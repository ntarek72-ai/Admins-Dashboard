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Line'!$A$1:$AK$6001</definedName>
    <definedName name="_xlnm._FilterDatabase" localSheetId="3" hidden="1">'Per Invoice'!$A$1:$V$1201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ADMINISTRATIVE CONTROL AUTHORITY (ACA)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A-J, L-T, Y-AF (same order as the system export).</t>
        </is>
      </c>
    </row>
    <row r="6">
      <c r="A6" s="3" t="inlineStr">
        <is>
          <t>3. Green columns (K, U, V, W, X) and the grey helper columns (AG-AK)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Subtotal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(12%) if Local is TRUE, otherwise Imported rate (5%).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Subtotal / 100. Net = Subtotal - Co val.</t>
        </is>
      </c>
    </row>
    <row r="20">
      <c r="A20" s="3" t="inlineStr">
        <is>
          <t>Capacity: up to 6,000 lines and 1,200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ADMINISTRATIVE CONTROL AUTHORITY (ACA)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ACA Pensioners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0.12</v>
      </c>
      <c r="D6" t="inlineStr">
        <is>
          <t>Source: Sep sheet (Rebates = 12 on Local lines, 0 on Special Rebates = Yes).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Sep sheet (Rebates = 5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Line'!$C$2:$C$6001)</f>
        <v/>
      </c>
    </row>
    <row r="11">
      <c r="B11" t="inlineStr">
        <is>
          <t>Invoices (unique Order #)</t>
        </is>
      </c>
      <c r="C11">
        <f>MAX('Per Line'!$AH$2:$AH$6001)</f>
        <v/>
      </c>
    </row>
    <row r="12">
      <c r="B12" t="inlineStr">
        <is>
          <t>Invoices shown in Per Invoice</t>
        </is>
      </c>
      <c r="C12">
        <f>SUMPRODUCT(--('Per Invoice'!$B$2:$B$1201&lt;&gt;""))</f>
        <v/>
      </c>
    </row>
    <row r="13">
      <c r="B13" t="inlineStr">
        <is>
          <t>Grand Total - Per Line (Product Total)</t>
        </is>
      </c>
      <c r="C13" s="7">
        <f>SUM('Per Line'!$R$2:$R$6001)</f>
        <v/>
      </c>
    </row>
    <row r="14">
      <c r="B14" t="inlineStr">
        <is>
          <t>Grand Total - Per Invoice</t>
        </is>
      </c>
      <c r="C14" s="7">
        <f>SUM('Per Invoice'!$T$2:$T$1201)</f>
        <v/>
      </c>
    </row>
    <row r="15">
      <c r="B15" t="inlineStr">
        <is>
          <t>Discount - Per Line</t>
        </is>
      </c>
      <c r="C15" s="7">
        <f>SUM('Per Line'!$V$2:$V$6001)</f>
        <v/>
      </c>
    </row>
    <row r="16">
      <c r="B16" t="inlineStr">
        <is>
          <t>Discount - Per Invoice</t>
        </is>
      </c>
      <c r="C16" s="7">
        <f>SUM('Per Invoice'!$R$2:$R$1201)</f>
        <v/>
      </c>
    </row>
    <row r="17">
      <c r="B17" t="inlineStr">
        <is>
          <t>Co val - Per Line</t>
        </is>
      </c>
      <c r="C17" s="7">
        <f>SUM('Per Line'!$K$2:$K$6001)</f>
        <v/>
      </c>
    </row>
    <row r="18">
      <c r="B18" t="inlineStr">
        <is>
          <t>Co val - Per Invoice</t>
        </is>
      </c>
      <c r="C18" s="7">
        <f>SUM('Per Invoice'!$I$2:$I$1201)</f>
        <v/>
      </c>
    </row>
    <row r="19">
      <c r="B19" t="inlineStr">
        <is>
          <t>Net - Per Line</t>
        </is>
      </c>
      <c r="C19" s="7">
        <f>SUM('Per Line'!$X$2:$X$6001)</f>
        <v/>
      </c>
    </row>
    <row r="20">
      <c r="B20" t="inlineStr">
        <is>
          <t>Net - Per Invoice</t>
        </is>
      </c>
      <c r="C20" s="7">
        <f>SUM('Per Invoice'!$U$2:$U$1201)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Line'!$C:$C)-1&gt;6000,"TOO MANY LINES - extend template",IF(C11&gt;1200,"TOO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7" customWidth="1" min="4" max="4"/>
    <col width="18" customWidth="1" min="5" max="5"/>
    <col width="12" customWidth="1" min="6" max="6"/>
    <col width="24" customWidth="1" min="7" max="7"/>
    <col width="12" customWidth="1" min="8" max="8"/>
    <col width="26" customWidth="1" min="9" max="9"/>
    <col width="12" customWidth="1" min="10" max="10"/>
    <col width="11" customWidth="1" min="11" max="11"/>
    <col width="12" customWidth="1" min="12" max="12"/>
    <col width="44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36" customWidth="1" min="19" max="19"/>
    <col width="12" customWidth="1" min="20" max="20"/>
    <col width="11" customWidth="1" min="21" max="21"/>
    <col width="11" customWidth="1" min="22" max="22"/>
    <col width="11" customWidth="1" min="23" max="23"/>
    <col width="11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7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32" customHeight="1">
      <c r="A1" s="8" t="inlineStr">
        <is>
          <t>Cycle</t>
        </is>
      </c>
      <c r="B1" s="8" t="inlineStr">
        <is>
          <t>Approval Ref</t>
        </is>
      </c>
      <c r="C1" s="8" t="inlineStr">
        <is>
          <t>Order #</t>
        </is>
      </c>
      <c r="D1" s="8" t="inlineStr">
        <is>
          <t>Create At</t>
        </is>
      </c>
      <c r="E1" s="8" t="inlineStr">
        <is>
          <t>Insurance Company</t>
        </is>
      </c>
      <c r="F1" s="8" t="inlineStr">
        <is>
          <t>Country Portal ID</t>
        </is>
      </c>
      <c r="G1" s="8" t="inlineStr">
        <is>
          <t>Corporate</t>
        </is>
      </c>
      <c r="H1" s="8" t="inlineStr">
        <is>
          <t>Card</t>
        </is>
      </c>
      <c r="I1" s="8" t="inlineStr">
        <is>
          <t>Name</t>
        </is>
      </c>
      <c r="J1" s="8" t="inlineStr">
        <is>
          <t>Order Co Payment</t>
        </is>
      </c>
      <c r="K1" s="9" t="inlineStr">
        <is>
          <t>Co val</t>
        </is>
      </c>
      <c r="L1" s="8" t="inlineStr">
        <is>
          <t>heisenberg id</t>
        </is>
      </c>
      <c r="M1" s="8" t="inlineStr">
        <is>
          <t>Product Name</t>
        </is>
      </c>
      <c r="N1" s="8" t="inlineStr">
        <is>
          <t>Local</t>
        </is>
      </c>
      <c r="O1" s="8" t="inlineStr">
        <is>
          <t>Unit</t>
        </is>
      </c>
      <c r="P1" s="8" t="inlineStr">
        <is>
          <t>Quantity</t>
        </is>
      </c>
      <c r="Q1" s="8" t="inlineStr">
        <is>
          <t>Unit Price</t>
        </is>
      </c>
      <c r="R1" s="8" t="inlineStr">
        <is>
          <t>Product Total</t>
        </is>
      </c>
      <c r="S1" s="8" t="inlineStr">
        <is>
          <t>ERX ID</t>
        </is>
      </c>
      <c r="T1" s="8" t="inlineStr">
        <is>
          <t>Special Rebates?</t>
        </is>
      </c>
      <c r="U1" s="9" t="inlineStr">
        <is>
          <t>Rebates</t>
        </is>
      </c>
      <c r="V1" s="9" t="inlineStr">
        <is>
          <t>Discount</t>
        </is>
      </c>
      <c r="W1" s="9" t="inlineStr">
        <is>
          <t>Subtotal</t>
        </is>
      </c>
      <c r="X1" s="9" t="inlineStr">
        <is>
          <t>Net</t>
        </is>
      </c>
      <c r="Y1" s="8" t="inlineStr">
        <is>
          <t>Approval Type</t>
        </is>
      </c>
      <c r="Z1" s="8" t="inlineStr">
        <is>
          <t>Max Limit</t>
        </is>
      </c>
      <c r="AA1" s="8" t="inlineStr">
        <is>
          <t>Exceeding Limit</t>
        </is>
      </c>
      <c r="AB1" s="8" t="inlineStr">
        <is>
          <t>Amount collected from customer</t>
        </is>
      </c>
      <c r="AC1" s="8" t="inlineStr">
        <is>
          <t>By Patient (Delivered)</t>
        </is>
      </c>
      <c r="AD1" s="8" t="inlineStr">
        <is>
          <t>Dispense Number</t>
        </is>
      </c>
      <c r="AE1" s="8" t="inlineStr">
        <is>
          <t>Dispense Date</t>
        </is>
      </c>
      <c r="AF1" s="8" t="inlineStr">
        <is>
          <t>Has OTP?</t>
        </is>
      </c>
      <c r="AG1" s="10" t="inlineStr">
        <is>
          <t>Order 1st Row (helper)</t>
        </is>
      </c>
      <c r="AH1" s="10" t="inlineStr">
        <is>
          <t>Invoice # (helper)</t>
        </is>
      </c>
      <c r="AI1" s="10" t="inlineStr">
        <is>
          <t>Is Local (helper)</t>
        </is>
      </c>
      <c r="AJ1" s="10" t="inlineStr">
        <is>
          <t>Is Special (helper)</t>
        </is>
      </c>
      <c r="AK1" s="10" t="inlineStr">
        <is>
          <t>Sort Key (helper)</t>
        </is>
      </c>
    </row>
    <row r="2">
      <c r="D2" s="11" t="n"/>
      <c r="K2" s="7">
        <f>IF($C2="","",J2*W2/100)</f>
        <v/>
      </c>
      <c r="Q2" s="7" t="n"/>
      <c r="R2" s="7" t="n"/>
      <c r="U2">
        <f>IF($C2="","",IF($AJ2=1,0,IF($AI2=1,Settings!$C$6,Settings!$C$7))*100)</f>
        <v/>
      </c>
      <c r="V2" s="7">
        <f>IF($C2="","",R2*U2/100)</f>
        <v/>
      </c>
      <c r="W2" s="7">
        <f>IF($C2="","",R2-V2)</f>
        <v/>
      </c>
      <c r="X2" s="7">
        <f>IF($C2="","",W2-K2)</f>
        <v/>
      </c>
      <c r="AB2" s="7" t="n"/>
      <c r="AE2" s="11" t="n"/>
      <c r="AG2">
        <f>IF($C2="","",IF(COUNTIF($C$2:$C2,$C2)=1,1,0))</f>
        <v/>
      </c>
      <c r="AH2">
        <f>IF($AG2=1,SUMPRODUCT(--($AK$2:$AK$6001&lt;$AK2))+1,"")</f>
        <v/>
      </c>
      <c r="AI2">
        <f>IF($C2="","",IF(OR($N2=TRUE(),$N2="TRUE"),1,0))</f>
        <v/>
      </c>
      <c r="AJ2">
        <f>IF($C2="","",IF($T2="Yes",1,0))</f>
        <v/>
      </c>
      <c r="AK2">
        <f>IF($AG2=1,IFERROR(IF(VALUE($C2)&lt;100000000,VALUE($C2),1000000000),IFERROR(IF(VALUE(MID($C2,2,20))&lt;100000000,VALUE(MID($C2,2,20)),1000000000),1000000000))+ROW()/100000,"")</f>
        <v/>
      </c>
    </row>
    <row r="3">
      <c r="D3" s="11" t="n"/>
      <c r="K3" s="7">
        <f>IF($C3="","",J3*W3/100)</f>
        <v/>
      </c>
      <c r="Q3" s="7" t="n"/>
      <c r="R3" s="7" t="n"/>
      <c r="U3">
        <f>IF($C3="","",IF($AJ3=1,0,IF($AI3=1,Settings!$C$6,Settings!$C$7))*100)</f>
        <v/>
      </c>
      <c r="V3" s="7">
        <f>IF($C3="","",R3*U3/100)</f>
        <v/>
      </c>
      <c r="W3" s="7">
        <f>IF($C3="","",R3-V3)</f>
        <v/>
      </c>
      <c r="X3" s="7">
        <f>IF($C3="","",W3-K3)</f>
        <v/>
      </c>
      <c r="AB3" s="7" t="n"/>
      <c r="AE3" s="11" t="n"/>
      <c r="AG3">
        <f>IF($C3="","",IF(COUNTIF($C$2:$C3,$C3)=1,1,0))</f>
        <v/>
      </c>
      <c r="AH3">
        <f>IF($AG3=1,SUMPRODUCT(--($AK$2:$AK$6001&lt;$AK3))+1,"")</f>
        <v/>
      </c>
      <c r="AI3">
        <f>IF($C3="","",IF(OR($N3=TRUE(),$N3="TRUE"),1,0))</f>
        <v/>
      </c>
      <c r="AJ3">
        <f>IF($C3="","",IF($T3="Yes",1,0))</f>
        <v/>
      </c>
      <c r="AK3">
        <f>IF($AG3=1,IFERROR(IF(VALUE($C3)&lt;100000000,VALUE($C3),1000000000),IFERROR(IF(VALUE(MID($C3,2,20))&lt;100000000,VALUE(MID($C3,2,20)),1000000000),1000000000))+ROW()/100000,"")</f>
        <v/>
      </c>
    </row>
    <row r="4">
      <c r="D4" s="11" t="n"/>
      <c r="K4" s="7">
        <f>IF($C4="","",J4*W4/100)</f>
        <v/>
      </c>
      <c r="Q4" s="7" t="n"/>
      <c r="R4" s="7" t="n"/>
      <c r="U4">
        <f>IF($C4="","",IF($AJ4=1,0,IF($AI4=1,Settings!$C$6,Settings!$C$7))*100)</f>
        <v/>
      </c>
      <c r="V4" s="7">
        <f>IF($C4="","",R4*U4/100)</f>
        <v/>
      </c>
      <c r="W4" s="7">
        <f>IF($C4="","",R4-V4)</f>
        <v/>
      </c>
      <c r="X4" s="7">
        <f>IF($C4="","",W4-K4)</f>
        <v/>
      </c>
      <c r="AB4" s="7" t="n"/>
      <c r="AE4" s="11" t="n"/>
      <c r="AG4">
        <f>IF($C4="","",IF(COUNTIF($C$2:$C4,$C4)=1,1,0))</f>
        <v/>
      </c>
      <c r="AH4">
        <f>IF($AG4=1,SUMPRODUCT(--($AK$2:$AK$6001&lt;$AK4))+1,"")</f>
        <v/>
      </c>
      <c r="AI4">
        <f>IF($C4="","",IF(OR($N4=TRUE(),$N4="TRUE"),1,0))</f>
        <v/>
      </c>
      <c r="AJ4">
        <f>IF($C4="","",IF($T4="Yes",1,0))</f>
        <v/>
      </c>
      <c r="AK4">
        <f>IF($AG4=1,IFERROR(IF(VALUE($C4)&lt;100000000,VALUE($C4),1000000000),IFERROR(IF(VALUE(MID($C4,2,20))&lt;100000000,VALUE(MID($C4,2,20)),1000000000),1000000000))+ROW()/100000,"")</f>
        <v/>
      </c>
    </row>
    <row r="5">
      <c r="D5" s="11" t="n"/>
      <c r="K5" s="7">
        <f>IF($C5="","",J5*W5/100)</f>
        <v/>
      </c>
      <c r="Q5" s="7" t="n"/>
      <c r="R5" s="7" t="n"/>
      <c r="U5">
        <f>IF($C5="","",IF($AJ5=1,0,IF($AI5=1,Settings!$C$6,Settings!$C$7))*100)</f>
        <v/>
      </c>
      <c r="V5" s="7">
        <f>IF($C5="","",R5*U5/100)</f>
        <v/>
      </c>
      <c r="W5" s="7">
        <f>IF($C5="","",R5-V5)</f>
        <v/>
      </c>
      <c r="X5" s="7">
        <f>IF($C5="","",W5-K5)</f>
        <v/>
      </c>
      <c r="AB5" s="7" t="n"/>
      <c r="AE5" s="11" t="n"/>
      <c r="AG5">
        <f>IF($C5="","",IF(COUNTIF($C$2:$C5,$C5)=1,1,0))</f>
        <v/>
      </c>
      <c r="AH5">
        <f>IF($AG5=1,SUMPRODUCT(--($AK$2:$AK$6001&lt;$AK5))+1,"")</f>
        <v/>
      </c>
      <c r="AI5">
        <f>IF($C5="","",IF(OR($N5=TRUE(),$N5="TRUE"),1,0))</f>
        <v/>
      </c>
      <c r="AJ5">
        <f>IF($C5="","",IF($T5="Yes",1,0))</f>
        <v/>
      </c>
      <c r="AK5">
        <f>IF($AG5=1,IFERROR(IF(VALUE($C5)&lt;100000000,VALUE($C5),1000000000),IFERROR(IF(VALUE(MID($C5,2,20))&lt;100000000,VALUE(MID($C5,2,20)),1000000000),1000000000))+ROW()/100000,"")</f>
        <v/>
      </c>
    </row>
    <row r="6">
      <c r="D6" s="11" t="n"/>
      <c r="K6" s="7">
        <f>IF($C6="","",J6*W6/100)</f>
        <v/>
      </c>
      <c r="Q6" s="7" t="n"/>
      <c r="R6" s="7" t="n"/>
      <c r="U6">
        <f>IF($C6="","",IF($AJ6=1,0,IF($AI6=1,Settings!$C$6,Settings!$C$7))*100)</f>
        <v/>
      </c>
      <c r="V6" s="7">
        <f>IF($C6="","",R6*U6/100)</f>
        <v/>
      </c>
      <c r="W6" s="7">
        <f>IF($C6="","",R6-V6)</f>
        <v/>
      </c>
      <c r="X6" s="7">
        <f>IF($C6="","",W6-K6)</f>
        <v/>
      </c>
      <c r="AB6" s="7" t="n"/>
      <c r="AE6" s="11" t="n"/>
      <c r="AG6">
        <f>IF($C6="","",IF(COUNTIF($C$2:$C6,$C6)=1,1,0))</f>
        <v/>
      </c>
      <c r="AH6">
        <f>IF($AG6=1,SUMPRODUCT(--($AK$2:$AK$6001&lt;$AK6))+1,"")</f>
        <v/>
      </c>
      <c r="AI6">
        <f>IF($C6="","",IF(OR($N6=TRUE(),$N6="TRUE"),1,0))</f>
        <v/>
      </c>
      <c r="AJ6">
        <f>IF($C6="","",IF($T6="Yes",1,0))</f>
        <v/>
      </c>
      <c r="AK6">
        <f>IF($AG6=1,IFERROR(IF(VALUE($C6)&lt;100000000,VALUE($C6),1000000000),IFERROR(IF(VALUE(MID($C6,2,20))&lt;100000000,VALUE(MID($C6,2,20)),1000000000),1000000000))+ROW()/100000,"")</f>
        <v/>
      </c>
    </row>
    <row r="7">
      <c r="D7" s="11" t="n"/>
      <c r="K7" s="7">
        <f>IF($C7="","",J7*W7/100)</f>
        <v/>
      </c>
      <c r="Q7" s="7" t="n"/>
      <c r="R7" s="7" t="n"/>
      <c r="U7">
        <f>IF($C7="","",IF($AJ7=1,0,IF($AI7=1,Settings!$C$6,Settings!$C$7))*100)</f>
        <v/>
      </c>
      <c r="V7" s="7">
        <f>IF($C7="","",R7*U7/100)</f>
        <v/>
      </c>
      <c r="W7" s="7">
        <f>IF($C7="","",R7-V7)</f>
        <v/>
      </c>
      <c r="X7" s="7">
        <f>IF($C7="","",W7-K7)</f>
        <v/>
      </c>
      <c r="AB7" s="7" t="n"/>
      <c r="AE7" s="11" t="n"/>
      <c r="AG7">
        <f>IF($C7="","",IF(COUNTIF($C$2:$C7,$C7)=1,1,0))</f>
        <v/>
      </c>
      <c r="AH7">
        <f>IF($AG7=1,SUMPRODUCT(--($AK$2:$AK$6001&lt;$AK7))+1,"")</f>
        <v/>
      </c>
      <c r="AI7">
        <f>IF($C7="","",IF(OR($N7=TRUE(),$N7="TRUE"),1,0))</f>
        <v/>
      </c>
      <c r="AJ7">
        <f>IF($C7="","",IF($T7="Yes",1,0))</f>
        <v/>
      </c>
      <c r="AK7">
        <f>IF($AG7=1,IFERROR(IF(VALUE($C7)&lt;100000000,VALUE($C7),1000000000),IFERROR(IF(VALUE(MID($C7,2,20))&lt;100000000,VALUE(MID($C7,2,20)),1000000000),1000000000))+ROW()/100000,"")</f>
        <v/>
      </c>
    </row>
    <row r="8">
      <c r="D8" s="11" t="n"/>
      <c r="K8" s="7">
        <f>IF($C8="","",J8*W8/100)</f>
        <v/>
      </c>
      <c r="Q8" s="7" t="n"/>
      <c r="R8" s="7" t="n"/>
      <c r="U8">
        <f>IF($C8="","",IF($AJ8=1,0,IF($AI8=1,Settings!$C$6,Settings!$C$7))*100)</f>
        <v/>
      </c>
      <c r="V8" s="7">
        <f>IF($C8="","",R8*U8/100)</f>
        <v/>
      </c>
      <c r="W8" s="7">
        <f>IF($C8="","",R8-V8)</f>
        <v/>
      </c>
      <c r="X8" s="7">
        <f>IF($C8="","",W8-K8)</f>
        <v/>
      </c>
      <c r="AB8" s="7" t="n"/>
      <c r="AE8" s="11" t="n"/>
      <c r="AG8">
        <f>IF($C8="","",IF(COUNTIF($C$2:$C8,$C8)=1,1,0))</f>
        <v/>
      </c>
      <c r="AH8">
        <f>IF($AG8=1,SUMPRODUCT(--($AK$2:$AK$6001&lt;$AK8))+1,"")</f>
        <v/>
      </c>
      <c r="AI8">
        <f>IF($C8="","",IF(OR($N8=TRUE(),$N8="TRUE"),1,0))</f>
        <v/>
      </c>
      <c r="AJ8">
        <f>IF($C8="","",IF($T8="Yes",1,0))</f>
        <v/>
      </c>
      <c r="AK8">
        <f>IF($AG8=1,IFERROR(IF(VALUE($C8)&lt;100000000,VALUE($C8),1000000000),IFERROR(IF(VALUE(MID($C8,2,20))&lt;100000000,VALUE(MID($C8,2,20)),1000000000),1000000000))+ROW()/100000,"")</f>
        <v/>
      </c>
    </row>
    <row r="9">
      <c r="D9" s="11" t="n"/>
      <c r="K9" s="7">
        <f>IF($C9="","",J9*W9/100)</f>
        <v/>
      </c>
      <c r="Q9" s="7" t="n"/>
      <c r="R9" s="7" t="n"/>
      <c r="U9">
        <f>IF($C9="","",IF($AJ9=1,0,IF($AI9=1,Settings!$C$6,Settings!$C$7))*100)</f>
        <v/>
      </c>
      <c r="V9" s="7">
        <f>IF($C9="","",R9*U9/100)</f>
        <v/>
      </c>
      <c r="W9" s="7">
        <f>IF($C9="","",R9-V9)</f>
        <v/>
      </c>
      <c r="X9" s="7">
        <f>IF($C9="","",W9-K9)</f>
        <v/>
      </c>
      <c r="AB9" s="7" t="n"/>
      <c r="AE9" s="11" t="n"/>
      <c r="AG9">
        <f>IF($C9="","",IF(COUNTIF($C$2:$C9,$C9)=1,1,0))</f>
        <v/>
      </c>
      <c r="AH9">
        <f>IF($AG9=1,SUMPRODUCT(--($AK$2:$AK$6001&lt;$AK9))+1,"")</f>
        <v/>
      </c>
      <c r="AI9">
        <f>IF($C9="","",IF(OR($N9=TRUE(),$N9="TRUE"),1,0))</f>
        <v/>
      </c>
      <c r="AJ9">
        <f>IF($C9="","",IF($T9="Yes",1,0))</f>
        <v/>
      </c>
      <c r="AK9">
        <f>IF($AG9=1,IFERROR(IF(VALUE($C9)&lt;100000000,VALUE($C9),1000000000),IFERROR(IF(VALUE(MID($C9,2,20))&lt;100000000,VALUE(MID($C9,2,20)),1000000000),1000000000))+ROW()/100000,"")</f>
        <v/>
      </c>
    </row>
    <row r="10">
      <c r="D10" s="11" t="n"/>
      <c r="K10" s="7">
        <f>IF($C10="","",J10*W10/100)</f>
        <v/>
      </c>
      <c r="Q10" s="7" t="n"/>
      <c r="R10" s="7" t="n"/>
      <c r="U10">
        <f>IF($C10="","",IF($AJ10=1,0,IF($AI10=1,Settings!$C$6,Settings!$C$7))*100)</f>
        <v/>
      </c>
      <c r="V10" s="7">
        <f>IF($C10="","",R10*U10/100)</f>
        <v/>
      </c>
      <c r="W10" s="7">
        <f>IF($C10="","",R10-V10)</f>
        <v/>
      </c>
      <c r="X10" s="7">
        <f>IF($C10="","",W10-K10)</f>
        <v/>
      </c>
      <c r="AB10" s="7" t="n"/>
      <c r="AE10" s="11" t="n"/>
      <c r="AG10">
        <f>IF($C10="","",IF(COUNTIF($C$2:$C10,$C10)=1,1,0))</f>
        <v/>
      </c>
      <c r="AH10">
        <f>IF($AG10=1,SUMPRODUCT(--($AK$2:$AK$6001&lt;$AK10))+1,"")</f>
        <v/>
      </c>
      <c r="AI10">
        <f>IF($C10="","",IF(OR($N10=TRUE(),$N10="TRUE"),1,0))</f>
        <v/>
      </c>
      <c r="AJ10">
        <f>IF($C10="","",IF($T10="Yes",1,0))</f>
        <v/>
      </c>
      <c r="AK10">
        <f>IF($AG10=1,IFERROR(IF(VALUE($C10)&lt;100000000,VALUE($C10),1000000000),IFERROR(IF(VALUE(MID($C10,2,20))&lt;100000000,VALUE(MID($C10,2,20)),1000000000),1000000000))+ROW()/100000,"")</f>
        <v/>
      </c>
    </row>
    <row r="11">
      <c r="D11" s="11" t="n"/>
      <c r="K11" s="7">
        <f>IF($C11="","",J11*W11/100)</f>
        <v/>
      </c>
      <c r="Q11" s="7" t="n"/>
      <c r="R11" s="7" t="n"/>
      <c r="U11">
        <f>IF($C11="","",IF($AJ11=1,0,IF($AI11=1,Settings!$C$6,Settings!$C$7))*100)</f>
        <v/>
      </c>
      <c r="V11" s="7">
        <f>IF($C11="","",R11*U11/100)</f>
        <v/>
      </c>
      <c r="W11" s="7">
        <f>IF($C11="","",R11-V11)</f>
        <v/>
      </c>
      <c r="X11" s="7">
        <f>IF($C11="","",W11-K11)</f>
        <v/>
      </c>
      <c r="AB11" s="7" t="n"/>
      <c r="AE11" s="11" t="n"/>
      <c r="AG11">
        <f>IF($C11="","",IF(COUNTIF($C$2:$C11,$C11)=1,1,0))</f>
        <v/>
      </c>
      <c r="AH11">
        <f>IF($AG11=1,SUMPRODUCT(--($AK$2:$AK$6001&lt;$AK11))+1,"")</f>
        <v/>
      </c>
      <c r="AI11">
        <f>IF($C11="","",IF(OR($N11=TRUE(),$N11="TRUE"),1,0))</f>
        <v/>
      </c>
      <c r="AJ11">
        <f>IF($C11="","",IF($T11="Yes",1,0))</f>
        <v/>
      </c>
      <c r="AK11">
        <f>IF($AG11=1,IFERROR(IF(VALUE($C11)&lt;100000000,VALUE($C11),1000000000),IFERROR(IF(VALUE(MID($C11,2,20))&lt;100000000,VALUE(MID($C11,2,20)),1000000000),1000000000))+ROW()/100000,"")</f>
        <v/>
      </c>
    </row>
    <row r="12">
      <c r="D12" s="11" t="n"/>
      <c r="K12" s="7">
        <f>IF($C12="","",J12*W12/100)</f>
        <v/>
      </c>
      <c r="Q12" s="7" t="n"/>
      <c r="R12" s="7" t="n"/>
      <c r="U12">
        <f>IF($C12="","",IF($AJ12=1,0,IF($AI12=1,Settings!$C$6,Settings!$C$7))*100)</f>
        <v/>
      </c>
      <c r="V12" s="7">
        <f>IF($C12="","",R12*U12/100)</f>
        <v/>
      </c>
      <c r="W12" s="7">
        <f>IF($C12="","",R12-V12)</f>
        <v/>
      </c>
      <c r="X12" s="7">
        <f>IF($C12="","",W12-K12)</f>
        <v/>
      </c>
      <c r="AB12" s="7" t="n"/>
      <c r="AE12" s="11" t="n"/>
      <c r="AG12">
        <f>IF($C12="","",IF(COUNTIF($C$2:$C12,$C12)=1,1,0))</f>
        <v/>
      </c>
      <c r="AH12">
        <f>IF($AG12=1,SUMPRODUCT(--($AK$2:$AK$6001&lt;$AK12))+1,"")</f>
        <v/>
      </c>
      <c r="AI12">
        <f>IF($C12="","",IF(OR($N12=TRUE(),$N12="TRUE"),1,0))</f>
        <v/>
      </c>
      <c r="AJ12">
        <f>IF($C12="","",IF($T12="Yes",1,0))</f>
        <v/>
      </c>
      <c r="AK12">
        <f>IF($AG12=1,IFERROR(IF(VALUE($C12)&lt;100000000,VALUE($C12),1000000000),IFERROR(IF(VALUE(MID($C12,2,20))&lt;100000000,VALUE(MID($C12,2,20)),1000000000),1000000000))+ROW()/100000,"")</f>
        <v/>
      </c>
    </row>
    <row r="13">
      <c r="D13" s="11" t="n"/>
      <c r="K13" s="7">
        <f>IF($C13="","",J13*W13/100)</f>
        <v/>
      </c>
      <c r="Q13" s="7" t="n"/>
      <c r="R13" s="7" t="n"/>
      <c r="U13">
        <f>IF($C13="","",IF($AJ13=1,0,IF($AI13=1,Settings!$C$6,Settings!$C$7))*100)</f>
        <v/>
      </c>
      <c r="V13" s="7">
        <f>IF($C13="","",R13*U13/100)</f>
        <v/>
      </c>
      <c r="W13" s="7">
        <f>IF($C13="","",R13-V13)</f>
        <v/>
      </c>
      <c r="X13" s="7">
        <f>IF($C13="","",W13-K13)</f>
        <v/>
      </c>
      <c r="AB13" s="7" t="n"/>
      <c r="AE13" s="11" t="n"/>
      <c r="AG13">
        <f>IF($C13="","",IF(COUNTIF($C$2:$C13,$C13)=1,1,0))</f>
        <v/>
      </c>
      <c r="AH13">
        <f>IF($AG13=1,SUMPRODUCT(--($AK$2:$AK$6001&lt;$AK13))+1,"")</f>
        <v/>
      </c>
      <c r="AI13">
        <f>IF($C13="","",IF(OR($N13=TRUE(),$N13="TRUE"),1,0))</f>
        <v/>
      </c>
      <c r="AJ13">
        <f>IF($C13="","",IF($T13="Yes",1,0))</f>
        <v/>
      </c>
      <c r="AK13">
        <f>IF($AG13=1,IFERROR(IF(VALUE($C13)&lt;100000000,VALUE($C13),1000000000),IFERROR(IF(VALUE(MID($C13,2,20))&lt;100000000,VALUE(MID($C13,2,20)),1000000000),1000000000))+ROW()/100000,"")</f>
        <v/>
      </c>
    </row>
    <row r="14">
      <c r="D14" s="11" t="n"/>
      <c r="K14" s="7">
        <f>IF($C14="","",J14*W14/100)</f>
        <v/>
      </c>
      <c r="Q14" s="7" t="n"/>
      <c r="R14" s="7" t="n"/>
      <c r="U14">
        <f>IF($C14="","",IF($AJ14=1,0,IF($AI14=1,Settings!$C$6,Settings!$C$7))*100)</f>
        <v/>
      </c>
      <c r="V14" s="7">
        <f>IF($C14="","",R14*U14/100)</f>
        <v/>
      </c>
      <c r="W14" s="7">
        <f>IF($C14="","",R14-V14)</f>
        <v/>
      </c>
      <c r="X14" s="7">
        <f>IF($C14="","",W14-K14)</f>
        <v/>
      </c>
      <c r="AB14" s="7" t="n"/>
      <c r="AE14" s="11" t="n"/>
      <c r="AG14">
        <f>IF($C14="","",IF(COUNTIF($C$2:$C14,$C14)=1,1,0))</f>
        <v/>
      </c>
      <c r="AH14">
        <f>IF($AG14=1,SUMPRODUCT(--($AK$2:$AK$6001&lt;$AK14))+1,"")</f>
        <v/>
      </c>
      <c r="AI14">
        <f>IF($C14="","",IF(OR($N14=TRUE(),$N14="TRUE"),1,0))</f>
        <v/>
      </c>
      <c r="AJ14">
        <f>IF($C14="","",IF($T14="Yes",1,0))</f>
        <v/>
      </c>
      <c r="AK14">
        <f>IF($AG14=1,IFERROR(IF(VALUE($C14)&lt;100000000,VALUE($C14),1000000000),IFERROR(IF(VALUE(MID($C14,2,20))&lt;100000000,VALUE(MID($C14,2,20)),1000000000),1000000000))+ROW()/100000,"")</f>
        <v/>
      </c>
    </row>
    <row r="15">
      <c r="D15" s="11" t="n"/>
      <c r="K15" s="7">
        <f>IF($C15="","",J15*W15/100)</f>
        <v/>
      </c>
      <c r="Q15" s="7" t="n"/>
      <c r="R15" s="7" t="n"/>
      <c r="U15">
        <f>IF($C15="","",IF($AJ15=1,0,IF($AI15=1,Settings!$C$6,Settings!$C$7))*100)</f>
        <v/>
      </c>
      <c r="V15" s="7">
        <f>IF($C15="","",R15*U15/100)</f>
        <v/>
      </c>
      <c r="W15" s="7">
        <f>IF($C15="","",R15-V15)</f>
        <v/>
      </c>
      <c r="X15" s="7">
        <f>IF($C15="","",W15-K15)</f>
        <v/>
      </c>
      <c r="AB15" s="7" t="n"/>
      <c r="AE15" s="11" t="n"/>
      <c r="AG15">
        <f>IF($C15="","",IF(COUNTIF($C$2:$C15,$C15)=1,1,0))</f>
        <v/>
      </c>
      <c r="AH15">
        <f>IF($AG15=1,SUMPRODUCT(--($AK$2:$AK$6001&lt;$AK15))+1,"")</f>
        <v/>
      </c>
      <c r="AI15">
        <f>IF($C15="","",IF(OR($N15=TRUE(),$N15="TRUE"),1,0))</f>
        <v/>
      </c>
      <c r="AJ15">
        <f>IF($C15="","",IF($T15="Yes",1,0))</f>
        <v/>
      </c>
      <c r="AK15">
        <f>IF($AG15=1,IFERROR(IF(VALUE($C15)&lt;100000000,VALUE($C15),1000000000),IFERROR(IF(VALUE(MID($C15,2,20))&lt;100000000,VALUE(MID($C15,2,20)),1000000000),1000000000))+ROW()/100000,"")</f>
        <v/>
      </c>
    </row>
    <row r="16">
      <c r="D16" s="11" t="n"/>
      <c r="K16" s="7">
        <f>IF($C16="","",J16*W16/100)</f>
        <v/>
      </c>
      <c r="Q16" s="7" t="n"/>
      <c r="R16" s="7" t="n"/>
      <c r="U16">
        <f>IF($C16="","",IF($AJ16=1,0,IF($AI16=1,Settings!$C$6,Settings!$C$7))*100)</f>
        <v/>
      </c>
      <c r="V16" s="7">
        <f>IF($C16="","",R16*U16/100)</f>
        <v/>
      </c>
      <c r="W16" s="7">
        <f>IF($C16="","",R16-V16)</f>
        <v/>
      </c>
      <c r="X16" s="7">
        <f>IF($C16="","",W16-K16)</f>
        <v/>
      </c>
      <c r="AB16" s="7" t="n"/>
      <c r="AE16" s="11" t="n"/>
      <c r="AG16">
        <f>IF($C16="","",IF(COUNTIF($C$2:$C16,$C16)=1,1,0))</f>
        <v/>
      </c>
      <c r="AH16">
        <f>IF($AG16=1,SUMPRODUCT(--($AK$2:$AK$6001&lt;$AK16))+1,"")</f>
        <v/>
      </c>
      <c r="AI16">
        <f>IF($C16="","",IF(OR($N16=TRUE(),$N16="TRUE"),1,0))</f>
        <v/>
      </c>
      <c r="AJ16">
        <f>IF($C16="","",IF($T16="Yes",1,0))</f>
        <v/>
      </c>
      <c r="AK16">
        <f>IF($AG16=1,IFERROR(IF(VALUE($C16)&lt;100000000,VALUE($C16),1000000000),IFERROR(IF(VALUE(MID($C16,2,20))&lt;100000000,VALUE(MID($C16,2,20)),1000000000),1000000000))+ROW()/100000,"")</f>
        <v/>
      </c>
    </row>
    <row r="17">
      <c r="D17" s="11" t="n"/>
      <c r="K17" s="7">
        <f>IF($C17="","",J17*W17/100)</f>
        <v/>
      </c>
      <c r="Q17" s="7" t="n"/>
      <c r="R17" s="7" t="n"/>
      <c r="U17">
        <f>IF($C17="","",IF($AJ17=1,0,IF($AI17=1,Settings!$C$6,Settings!$C$7))*100)</f>
        <v/>
      </c>
      <c r="V17" s="7">
        <f>IF($C17="","",R17*U17/100)</f>
        <v/>
      </c>
      <c r="W17" s="7">
        <f>IF($C17="","",R17-V17)</f>
        <v/>
      </c>
      <c r="X17" s="7">
        <f>IF($C17="","",W17-K17)</f>
        <v/>
      </c>
      <c r="AB17" s="7" t="n"/>
      <c r="AE17" s="11" t="n"/>
      <c r="AG17">
        <f>IF($C17="","",IF(COUNTIF($C$2:$C17,$C17)=1,1,0))</f>
        <v/>
      </c>
      <c r="AH17">
        <f>IF($AG17=1,SUMPRODUCT(--($AK$2:$AK$6001&lt;$AK17))+1,"")</f>
        <v/>
      </c>
      <c r="AI17">
        <f>IF($C17="","",IF(OR($N17=TRUE(),$N17="TRUE"),1,0))</f>
        <v/>
      </c>
      <c r="AJ17">
        <f>IF($C17="","",IF($T17="Yes",1,0))</f>
        <v/>
      </c>
      <c r="AK17">
        <f>IF($AG17=1,IFERROR(IF(VALUE($C17)&lt;100000000,VALUE($C17),1000000000),IFERROR(IF(VALUE(MID($C17,2,20))&lt;100000000,VALUE(MID($C17,2,20)),1000000000),1000000000))+ROW()/100000,"")</f>
        <v/>
      </c>
    </row>
    <row r="18">
      <c r="D18" s="11" t="n"/>
      <c r="K18" s="7">
        <f>IF($C18="","",J18*W18/100)</f>
        <v/>
      </c>
      <c r="Q18" s="7" t="n"/>
      <c r="R18" s="7" t="n"/>
      <c r="U18">
        <f>IF($C18="","",IF($AJ18=1,0,IF($AI18=1,Settings!$C$6,Settings!$C$7))*100)</f>
        <v/>
      </c>
      <c r="V18" s="7">
        <f>IF($C18="","",R18*U18/100)</f>
        <v/>
      </c>
      <c r="W18" s="7">
        <f>IF($C18="","",R18-V18)</f>
        <v/>
      </c>
      <c r="X18" s="7">
        <f>IF($C18="","",W18-K18)</f>
        <v/>
      </c>
      <c r="AB18" s="7" t="n"/>
      <c r="AE18" s="11" t="n"/>
      <c r="AG18">
        <f>IF($C18="","",IF(COUNTIF($C$2:$C18,$C18)=1,1,0))</f>
        <v/>
      </c>
      <c r="AH18">
        <f>IF($AG18=1,SUMPRODUCT(--($AK$2:$AK$6001&lt;$AK18))+1,"")</f>
        <v/>
      </c>
      <c r="AI18">
        <f>IF($C18="","",IF(OR($N18=TRUE(),$N18="TRUE"),1,0))</f>
        <v/>
      </c>
      <c r="AJ18">
        <f>IF($C18="","",IF($T18="Yes",1,0))</f>
        <v/>
      </c>
      <c r="AK18">
        <f>IF($AG18=1,IFERROR(IF(VALUE($C18)&lt;100000000,VALUE($C18),1000000000),IFERROR(IF(VALUE(MID($C18,2,20))&lt;100000000,VALUE(MID($C18,2,20)),1000000000),1000000000))+ROW()/100000,"")</f>
        <v/>
      </c>
    </row>
    <row r="19">
      <c r="D19" s="11" t="n"/>
      <c r="K19" s="7">
        <f>IF($C19="","",J19*W19/100)</f>
        <v/>
      </c>
      <c r="Q19" s="7" t="n"/>
      <c r="R19" s="7" t="n"/>
      <c r="U19">
        <f>IF($C19="","",IF($AJ19=1,0,IF($AI19=1,Settings!$C$6,Settings!$C$7))*100)</f>
        <v/>
      </c>
      <c r="V19" s="7">
        <f>IF($C19="","",R19*U19/100)</f>
        <v/>
      </c>
      <c r="W19" s="7">
        <f>IF($C19="","",R19-V19)</f>
        <v/>
      </c>
      <c r="X19" s="7">
        <f>IF($C19="","",W19-K19)</f>
        <v/>
      </c>
      <c r="AB19" s="7" t="n"/>
      <c r="AE19" s="11" t="n"/>
      <c r="AG19">
        <f>IF($C19="","",IF(COUNTIF($C$2:$C19,$C19)=1,1,0))</f>
        <v/>
      </c>
      <c r="AH19">
        <f>IF($AG19=1,SUMPRODUCT(--($AK$2:$AK$6001&lt;$AK19))+1,"")</f>
        <v/>
      </c>
      <c r="AI19">
        <f>IF($C19="","",IF(OR($N19=TRUE(),$N19="TRUE"),1,0))</f>
        <v/>
      </c>
      <c r="AJ19">
        <f>IF($C19="","",IF($T19="Yes",1,0))</f>
        <v/>
      </c>
      <c r="AK19">
        <f>IF($AG19=1,IFERROR(IF(VALUE($C19)&lt;100000000,VALUE($C19),1000000000),IFERROR(IF(VALUE(MID($C19,2,20))&lt;100000000,VALUE(MID($C19,2,20)),1000000000),1000000000))+ROW()/100000,"")</f>
        <v/>
      </c>
    </row>
    <row r="20">
      <c r="D20" s="11" t="n"/>
      <c r="K20" s="7">
        <f>IF($C20="","",J20*W20/100)</f>
        <v/>
      </c>
      <c r="Q20" s="7" t="n"/>
      <c r="R20" s="7" t="n"/>
      <c r="U20">
        <f>IF($C20="","",IF($AJ20=1,0,IF($AI20=1,Settings!$C$6,Settings!$C$7))*100)</f>
        <v/>
      </c>
      <c r="V20" s="7">
        <f>IF($C20="","",R20*U20/100)</f>
        <v/>
      </c>
      <c r="W20" s="7">
        <f>IF($C20="","",R20-V20)</f>
        <v/>
      </c>
      <c r="X20" s="7">
        <f>IF($C20="","",W20-K20)</f>
        <v/>
      </c>
      <c r="AB20" s="7" t="n"/>
      <c r="AE20" s="11" t="n"/>
      <c r="AG20">
        <f>IF($C20="","",IF(COUNTIF($C$2:$C20,$C20)=1,1,0))</f>
        <v/>
      </c>
      <c r="AH20">
        <f>IF($AG20=1,SUMPRODUCT(--($AK$2:$AK$6001&lt;$AK20))+1,"")</f>
        <v/>
      </c>
      <c r="AI20">
        <f>IF($C20="","",IF(OR($N20=TRUE(),$N20="TRUE"),1,0))</f>
        <v/>
      </c>
      <c r="AJ20">
        <f>IF($C20="","",IF($T20="Yes",1,0))</f>
        <v/>
      </c>
      <c r="AK20">
        <f>IF($AG20=1,IFERROR(IF(VALUE($C20)&lt;100000000,VALUE($C20),1000000000),IFERROR(IF(VALUE(MID($C20,2,20))&lt;100000000,VALUE(MID($C20,2,20)),1000000000),1000000000))+ROW()/100000,"")</f>
        <v/>
      </c>
    </row>
    <row r="21">
      <c r="D21" s="11" t="n"/>
      <c r="K21" s="7">
        <f>IF($C21="","",J21*W21/100)</f>
        <v/>
      </c>
      <c r="Q21" s="7" t="n"/>
      <c r="R21" s="7" t="n"/>
      <c r="U21">
        <f>IF($C21="","",IF($AJ21=1,0,IF($AI21=1,Settings!$C$6,Settings!$C$7))*100)</f>
        <v/>
      </c>
      <c r="V21" s="7">
        <f>IF($C21="","",R21*U21/100)</f>
        <v/>
      </c>
      <c r="W21" s="7">
        <f>IF($C21="","",R21-V21)</f>
        <v/>
      </c>
      <c r="X21" s="7">
        <f>IF($C21="","",W21-K21)</f>
        <v/>
      </c>
      <c r="AB21" s="7" t="n"/>
      <c r="AE21" s="11" t="n"/>
      <c r="AG21">
        <f>IF($C21="","",IF(COUNTIF($C$2:$C21,$C21)=1,1,0))</f>
        <v/>
      </c>
      <c r="AH21">
        <f>IF($AG21=1,SUMPRODUCT(--($AK$2:$AK$6001&lt;$AK21))+1,"")</f>
        <v/>
      </c>
      <c r="AI21">
        <f>IF($C21="","",IF(OR($N21=TRUE(),$N21="TRUE"),1,0))</f>
        <v/>
      </c>
      <c r="AJ21">
        <f>IF($C21="","",IF($T21="Yes",1,0))</f>
        <v/>
      </c>
      <c r="AK21">
        <f>IF($AG21=1,IFERROR(IF(VALUE($C21)&lt;100000000,VALUE($C21),1000000000),IFERROR(IF(VALUE(MID($C21,2,20))&lt;100000000,VALUE(MID($C21,2,20)),1000000000),1000000000))+ROW()/100000,"")</f>
        <v/>
      </c>
    </row>
    <row r="22">
      <c r="D22" s="11" t="n"/>
      <c r="K22" s="7">
        <f>IF($C22="","",J22*W22/100)</f>
        <v/>
      </c>
      <c r="Q22" s="7" t="n"/>
      <c r="R22" s="7" t="n"/>
      <c r="U22">
        <f>IF($C22="","",IF($AJ22=1,0,IF($AI22=1,Settings!$C$6,Settings!$C$7))*100)</f>
        <v/>
      </c>
      <c r="V22" s="7">
        <f>IF($C22="","",R22*U22/100)</f>
        <v/>
      </c>
      <c r="W22" s="7">
        <f>IF($C22="","",R22-V22)</f>
        <v/>
      </c>
      <c r="X22" s="7">
        <f>IF($C22="","",W22-K22)</f>
        <v/>
      </c>
      <c r="AB22" s="7" t="n"/>
      <c r="AE22" s="11" t="n"/>
      <c r="AG22">
        <f>IF($C22="","",IF(COUNTIF($C$2:$C22,$C22)=1,1,0))</f>
        <v/>
      </c>
      <c r="AH22">
        <f>IF($AG22=1,SUMPRODUCT(--($AK$2:$AK$6001&lt;$AK22))+1,"")</f>
        <v/>
      </c>
      <c r="AI22">
        <f>IF($C22="","",IF(OR($N22=TRUE(),$N22="TRUE"),1,0))</f>
        <v/>
      </c>
      <c r="AJ22">
        <f>IF($C22="","",IF($T22="Yes",1,0))</f>
        <v/>
      </c>
      <c r="AK22">
        <f>IF($AG22=1,IFERROR(IF(VALUE($C22)&lt;100000000,VALUE($C22),1000000000),IFERROR(IF(VALUE(MID($C22,2,20))&lt;100000000,VALUE(MID($C22,2,20)),1000000000),1000000000))+ROW()/100000,"")</f>
        <v/>
      </c>
    </row>
    <row r="23">
      <c r="D23" s="11" t="n"/>
      <c r="K23" s="7">
        <f>IF($C23="","",J23*W23/100)</f>
        <v/>
      </c>
      <c r="Q23" s="7" t="n"/>
      <c r="R23" s="7" t="n"/>
      <c r="U23">
        <f>IF($C23="","",IF($AJ23=1,0,IF($AI23=1,Settings!$C$6,Settings!$C$7))*100)</f>
        <v/>
      </c>
      <c r="V23" s="7">
        <f>IF($C23="","",R23*U23/100)</f>
        <v/>
      </c>
      <c r="W23" s="7">
        <f>IF($C23="","",R23-V23)</f>
        <v/>
      </c>
      <c r="X23" s="7">
        <f>IF($C23="","",W23-K23)</f>
        <v/>
      </c>
      <c r="AB23" s="7" t="n"/>
      <c r="AE23" s="11" t="n"/>
      <c r="AG23">
        <f>IF($C23="","",IF(COUNTIF($C$2:$C23,$C23)=1,1,0))</f>
        <v/>
      </c>
      <c r="AH23">
        <f>IF($AG23=1,SUMPRODUCT(--($AK$2:$AK$6001&lt;$AK23))+1,"")</f>
        <v/>
      </c>
      <c r="AI23">
        <f>IF($C23="","",IF(OR($N23=TRUE(),$N23="TRUE"),1,0))</f>
        <v/>
      </c>
      <c r="AJ23">
        <f>IF($C23="","",IF($T23="Yes",1,0))</f>
        <v/>
      </c>
      <c r="AK23">
        <f>IF($AG23=1,IFERROR(IF(VALUE($C23)&lt;100000000,VALUE($C23),1000000000),IFERROR(IF(VALUE(MID($C23,2,20))&lt;100000000,VALUE(MID($C23,2,20)),1000000000),1000000000))+ROW()/100000,"")</f>
        <v/>
      </c>
    </row>
    <row r="24">
      <c r="D24" s="11" t="n"/>
      <c r="K24" s="7">
        <f>IF($C24="","",J24*W24/100)</f>
        <v/>
      </c>
      <c r="Q24" s="7" t="n"/>
      <c r="R24" s="7" t="n"/>
      <c r="U24">
        <f>IF($C24="","",IF($AJ24=1,0,IF($AI24=1,Settings!$C$6,Settings!$C$7))*100)</f>
        <v/>
      </c>
      <c r="V24" s="7">
        <f>IF($C24="","",R24*U24/100)</f>
        <v/>
      </c>
      <c r="W24" s="7">
        <f>IF($C24="","",R24-V24)</f>
        <v/>
      </c>
      <c r="X24" s="7">
        <f>IF($C24="","",W24-K24)</f>
        <v/>
      </c>
      <c r="AB24" s="7" t="n"/>
      <c r="AE24" s="11" t="n"/>
      <c r="AG24">
        <f>IF($C24="","",IF(COUNTIF($C$2:$C24,$C24)=1,1,0))</f>
        <v/>
      </c>
      <c r="AH24">
        <f>IF($AG24=1,SUMPRODUCT(--($AK$2:$AK$6001&lt;$AK24))+1,"")</f>
        <v/>
      </c>
      <c r="AI24">
        <f>IF($C24="","",IF(OR($N24=TRUE(),$N24="TRUE"),1,0))</f>
        <v/>
      </c>
      <c r="AJ24">
        <f>IF($C24="","",IF($T24="Yes",1,0))</f>
        <v/>
      </c>
      <c r="AK24">
        <f>IF($AG24=1,IFERROR(IF(VALUE($C24)&lt;100000000,VALUE($C24),1000000000),IFERROR(IF(VALUE(MID($C24,2,20))&lt;100000000,VALUE(MID($C24,2,20)),1000000000),1000000000))+ROW()/100000,"")</f>
        <v/>
      </c>
    </row>
    <row r="25">
      <c r="D25" s="11" t="n"/>
      <c r="K25" s="7">
        <f>IF($C25="","",J25*W25/100)</f>
        <v/>
      </c>
      <c r="Q25" s="7" t="n"/>
      <c r="R25" s="7" t="n"/>
      <c r="U25">
        <f>IF($C25="","",IF($AJ25=1,0,IF($AI25=1,Settings!$C$6,Settings!$C$7))*100)</f>
        <v/>
      </c>
      <c r="V25" s="7">
        <f>IF($C25="","",R25*U25/100)</f>
        <v/>
      </c>
      <c r="W25" s="7">
        <f>IF($C25="","",R25-V25)</f>
        <v/>
      </c>
      <c r="X25" s="7">
        <f>IF($C25="","",W25-K25)</f>
        <v/>
      </c>
      <c r="AB25" s="7" t="n"/>
      <c r="AE25" s="11" t="n"/>
      <c r="AG25">
        <f>IF($C25="","",IF(COUNTIF($C$2:$C25,$C25)=1,1,0))</f>
        <v/>
      </c>
      <c r="AH25">
        <f>IF($AG25=1,SUMPRODUCT(--($AK$2:$AK$6001&lt;$AK25))+1,"")</f>
        <v/>
      </c>
      <c r="AI25">
        <f>IF($C25="","",IF(OR($N25=TRUE(),$N25="TRUE"),1,0))</f>
        <v/>
      </c>
      <c r="AJ25">
        <f>IF($C25="","",IF($T25="Yes",1,0))</f>
        <v/>
      </c>
      <c r="AK25">
        <f>IF($AG25=1,IFERROR(IF(VALUE($C25)&lt;100000000,VALUE($C25),1000000000),IFERROR(IF(VALUE(MID($C25,2,20))&lt;100000000,VALUE(MID($C25,2,20)),1000000000),1000000000))+ROW()/100000,"")</f>
        <v/>
      </c>
    </row>
    <row r="26">
      <c r="D26" s="11" t="n"/>
      <c r="K26" s="7">
        <f>IF($C26="","",J26*W26/100)</f>
        <v/>
      </c>
      <c r="Q26" s="7" t="n"/>
      <c r="R26" s="7" t="n"/>
      <c r="U26">
        <f>IF($C26="","",IF($AJ26=1,0,IF($AI26=1,Settings!$C$6,Settings!$C$7))*100)</f>
        <v/>
      </c>
      <c r="V26" s="7">
        <f>IF($C26="","",R26*U26/100)</f>
        <v/>
      </c>
      <c r="W26" s="7">
        <f>IF($C26="","",R26-V26)</f>
        <v/>
      </c>
      <c r="X26" s="7">
        <f>IF($C26="","",W26-K26)</f>
        <v/>
      </c>
      <c r="AB26" s="7" t="n"/>
      <c r="AE26" s="11" t="n"/>
      <c r="AG26">
        <f>IF($C26="","",IF(COUNTIF($C$2:$C26,$C26)=1,1,0))</f>
        <v/>
      </c>
      <c r="AH26">
        <f>IF($AG26=1,SUMPRODUCT(--($AK$2:$AK$6001&lt;$AK26))+1,"")</f>
        <v/>
      </c>
      <c r="AI26">
        <f>IF($C26="","",IF(OR($N26=TRUE(),$N26="TRUE"),1,0))</f>
        <v/>
      </c>
      <c r="AJ26">
        <f>IF($C26="","",IF($T26="Yes",1,0))</f>
        <v/>
      </c>
      <c r="AK26">
        <f>IF($AG26=1,IFERROR(IF(VALUE($C26)&lt;100000000,VALUE($C26),1000000000),IFERROR(IF(VALUE(MID($C26,2,20))&lt;100000000,VALUE(MID($C26,2,20)),1000000000),1000000000))+ROW()/100000,"")</f>
        <v/>
      </c>
    </row>
    <row r="27">
      <c r="D27" s="11" t="n"/>
      <c r="K27" s="7">
        <f>IF($C27="","",J27*W27/100)</f>
        <v/>
      </c>
      <c r="Q27" s="7" t="n"/>
      <c r="R27" s="7" t="n"/>
      <c r="U27">
        <f>IF($C27="","",IF($AJ27=1,0,IF($AI27=1,Settings!$C$6,Settings!$C$7))*100)</f>
        <v/>
      </c>
      <c r="V27" s="7">
        <f>IF($C27="","",R27*U27/100)</f>
        <v/>
      </c>
      <c r="W27" s="7">
        <f>IF($C27="","",R27-V27)</f>
        <v/>
      </c>
      <c r="X27" s="7">
        <f>IF($C27="","",W27-K27)</f>
        <v/>
      </c>
      <c r="AB27" s="7" t="n"/>
      <c r="AE27" s="11" t="n"/>
      <c r="AG27">
        <f>IF($C27="","",IF(COUNTIF($C$2:$C27,$C27)=1,1,0))</f>
        <v/>
      </c>
      <c r="AH27">
        <f>IF($AG27=1,SUMPRODUCT(--($AK$2:$AK$6001&lt;$AK27))+1,"")</f>
        <v/>
      </c>
      <c r="AI27">
        <f>IF($C27="","",IF(OR($N27=TRUE(),$N27="TRUE"),1,0))</f>
        <v/>
      </c>
      <c r="AJ27">
        <f>IF($C27="","",IF($T27="Yes",1,0))</f>
        <v/>
      </c>
      <c r="AK27">
        <f>IF($AG27=1,IFERROR(IF(VALUE($C27)&lt;100000000,VALUE($C27),1000000000),IFERROR(IF(VALUE(MID($C27,2,20))&lt;100000000,VALUE(MID($C27,2,20)),1000000000),1000000000))+ROW()/100000,"")</f>
        <v/>
      </c>
    </row>
    <row r="28">
      <c r="D28" s="11" t="n"/>
      <c r="K28" s="7">
        <f>IF($C28="","",J28*W28/100)</f>
        <v/>
      </c>
      <c r="Q28" s="7" t="n"/>
      <c r="R28" s="7" t="n"/>
      <c r="U28">
        <f>IF($C28="","",IF($AJ28=1,0,IF($AI28=1,Settings!$C$6,Settings!$C$7))*100)</f>
        <v/>
      </c>
      <c r="V28" s="7">
        <f>IF($C28="","",R28*U28/100)</f>
        <v/>
      </c>
      <c r="W28" s="7">
        <f>IF($C28="","",R28-V28)</f>
        <v/>
      </c>
      <c r="X28" s="7">
        <f>IF($C28="","",W28-K28)</f>
        <v/>
      </c>
      <c r="AB28" s="7" t="n"/>
      <c r="AE28" s="11" t="n"/>
      <c r="AG28">
        <f>IF($C28="","",IF(COUNTIF($C$2:$C28,$C28)=1,1,0))</f>
        <v/>
      </c>
      <c r="AH28">
        <f>IF($AG28=1,SUMPRODUCT(--($AK$2:$AK$6001&lt;$AK28))+1,"")</f>
        <v/>
      </c>
      <c r="AI28">
        <f>IF($C28="","",IF(OR($N28=TRUE(),$N28="TRUE"),1,0))</f>
        <v/>
      </c>
      <c r="AJ28">
        <f>IF($C28="","",IF($T28="Yes",1,0))</f>
        <v/>
      </c>
      <c r="AK28">
        <f>IF($AG28=1,IFERROR(IF(VALUE($C28)&lt;100000000,VALUE($C28),1000000000),IFERROR(IF(VALUE(MID($C28,2,20))&lt;100000000,VALUE(MID($C28,2,20)),1000000000),1000000000))+ROW()/100000,"")</f>
        <v/>
      </c>
    </row>
    <row r="29">
      <c r="D29" s="11" t="n"/>
      <c r="K29" s="7">
        <f>IF($C29="","",J29*W29/100)</f>
        <v/>
      </c>
      <c r="Q29" s="7" t="n"/>
      <c r="R29" s="7" t="n"/>
      <c r="U29">
        <f>IF($C29="","",IF($AJ29=1,0,IF($AI29=1,Settings!$C$6,Settings!$C$7))*100)</f>
        <v/>
      </c>
      <c r="V29" s="7">
        <f>IF($C29="","",R29*U29/100)</f>
        <v/>
      </c>
      <c r="W29" s="7">
        <f>IF($C29="","",R29-V29)</f>
        <v/>
      </c>
      <c r="X29" s="7">
        <f>IF($C29="","",W29-K29)</f>
        <v/>
      </c>
      <c r="AB29" s="7" t="n"/>
      <c r="AE29" s="11" t="n"/>
      <c r="AG29">
        <f>IF($C29="","",IF(COUNTIF($C$2:$C29,$C29)=1,1,0))</f>
        <v/>
      </c>
      <c r="AH29">
        <f>IF($AG29=1,SUMPRODUCT(--($AK$2:$AK$6001&lt;$AK29))+1,"")</f>
        <v/>
      </c>
      <c r="AI29">
        <f>IF($C29="","",IF(OR($N29=TRUE(),$N29="TRUE"),1,0))</f>
        <v/>
      </c>
      <c r="AJ29">
        <f>IF($C29="","",IF($T29="Yes",1,0))</f>
        <v/>
      </c>
      <c r="AK29">
        <f>IF($AG29=1,IFERROR(IF(VALUE($C29)&lt;100000000,VALUE($C29),1000000000),IFERROR(IF(VALUE(MID($C29,2,20))&lt;100000000,VALUE(MID($C29,2,20)),1000000000),1000000000))+ROW()/100000,"")</f>
        <v/>
      </c>
    </row>
    <row r="30">
      <c r="D30" s="11" t="n"/>
      <c r="K30" s="7">
        <f>IF($C30="","",J30*W30/100)</f>
        <v/>
      </c>
      <c r="Q30" s="7" t="n"/>
      <c r="R30" s="7" t="n"/>
      <c r="U30">
        <f>IF($C30="","",IF($AJ30=1,0,IF($AI30=1,Settings!$C$6,Settings!$C$7))*100)</f>
        <v/>
      </c>
      <c r="V30" s="7">
        <f>IF($C30="","",R30*U30/100)</f>
        <v/>
      </c>
      <c r="W30" s="7">
        <f>IF($C30="","",R30-V30)</f>
        <v/>
      </c>
      <c r="X30" s="7">
        <f>IF($C30="","",W30-K30)</f>
        <v/>
      </c>
      <c r="AB30" s="7" t="n"/>
      <c r="AE30" s="11" t="n"/>
      <c r="AG30">
        <f>IF($C30="","",IF(COUNTIF($C$2:$C30,$C30)=1,1,0))</f>
        <v/>
      </c>
      <c r="AH30">
        <f>IF($AG30=1,SUMPRODUCT(--($AK$2:$AK$6001&lt;$AK30))+1,"")</f>
        <v/>
      </c>
      <c r="AI30">
        <f>IF($C30="","",IF(OR($N30=TRUE(),$N30="TRUE"),1,0))</f>
        <v/>
      </c>
      <c r="AJ30">
        <f>IF($C30="","",IF($T30="Yes",1,0))</f>
        <v/>
      </c>
      <c r="AK30">
        <f>IF($AG30=1,IFERROR(IF(VALUE($C30)&lt;100000000,VALUE($C30),1000000000),IFERROR(IF(VALUE(MID($C30,2,20))&lt;100000000,VALUE(MID($C30,2,20)),1000000000),1000000000))+ROW()/100000,"")</f>
        <v/>
      </c>
    </row>
    <row r="31">
      <c r="D31" s="11" t="n"/>
      <c r="K31" s="7">
        <f>IF($C31="","",J31*W31/100)</f>
        <v/>
      </c>
      <c r="Q31" s="7" t="n"/>
      <c r="R31" s="7" t="n"/>
      <c r="U31">
        <f>IF($C31="","",IF($AJ31=1,0,IF($AI31=1,Settings!$C$6,Settings!$C$7))*100)</f>
        <v/>
      </c>
      <c r="V31" s="7">
        <f>IF($C31="","",R31*U31/100)</f>
        <v/>
      </c>
      <c r="W31" s="7">
        <f>IF($C31="","",R31-V31)</f>
        <v/>
      </c>
      <c r="X31" s="7">
        <f>IF($C31="","",W31-K31)</f>
        <v/>
      </c>
      <c r="AB31" s="7" t="n"/>
      <c r="AE31" s="11" t="n"/>
      <c r="AG31">
        <f>IF($C31="","",IF(COUNTIF($C$2:$C31,$C31)=1,1,0))</f>
        <v/>
      </c>
      <c r="AH31">
        <f>IF($AG31=1,SUMPRODUCT(--($AK$2:$AK$6001&lt;$AK31))+1,"")</f>
        <v/>
      </c>
      <c r="AI31">
        <f>IF($C31="","",IF(OR($N31=TRUE(),$N31="TRUE"),1,0))</f>
        <v/>
      </c>
      <c r="AJ31">
        <f>IF($C31="","",IF($T31="Yes",1,0))</f>
        <v/>
      </c>
      <c r="AK31">
        <f>IF($AG31=1,IFERROR(IF(VALUE($C31)&lt;100000000,VALUE($C31),1000000000),IFERROR(IF(VALUE(MID($C31,2,20))&lt;100000000,VALUE(MID($C31,2,20)),1000000000),1000000000))+ROW()/100000,"")</f>
        <v/>
      </c>
    </row>
    <row r="32">
      <c r="D32" s="11" t="n"/>
      <c r="K32" s="7">
        <f>IF($C32="","",J32*W32/100)</f>
        <v/>
      </c>
      <c r="Q32" s="7" t="n"/>
      <c r="R32" s="7" t="n"/>
      <c r="U32">
        <f>IF($C32="","",IF($AJ32=1,0,IF($AI32=1,Settings!$C$6,Settings!$C$7))*100)</f>
        <v/>
      </c>
      <c r="V32" s="7">
        <f>IF($C32="","",R32*U32/100)</f>
        <v/>
      </c>
      <c r="W32" s="7">
        <f>IF($C32="","",R32-V32)</f>
        <v/>
      </c>
      <c r="X32" s="7">
        <f>IF($C32="","",W32-K32)</f>
        <v/>
      </c>
      <c r="AB32" s="7" t="n"/>
      <c r="AE32" s="11" t="n"/>
      <c r="AG32">
        <f>IF($C32="","",IF(COUNTIF($C$2:$C32,$C32)=1,1,0))</f>
        <v/>
      </c>
      <c r="AH32">
        <f>IF($AG32=1,SUMPRODUCT(--($AK$2:$AK$6001&lt;$AK32))+1,"")</f>
        <v/>
      </c>
      <c r="AI32">
        <f>IF($C32="","",IF(OR($N32=TRUE(),$N32="TRUE"),1,0))</f>
        <v/>
      </c>
      <c r="AJ32">
        <f>IF($C32="","",IF($T32="Yes",1,0))</f>
        <v/>
      </c>
      <c r="AK32">
        <f>IF($AG32=1,IFERROR(IF(VALUE($C32)&lt;100000000,VALUE($C32),1000000000),IFERROR(IF(VALUE(MID($C32,2,20))&lt;100000000,VALUE(MID($C32,2,20)),1000000000),1000000000))+ROW()/100000,"")</f>
        <v/>
      </c>
    </row>
    <row r="33">
      <c r="D33" s="11" t="n"/>
      <c r="K33" s="7">
        <f>IF($C33="","",J33*W33/100)</f>
        <v/>
      </c>
      <c r="Q33" s="7" t="n"/>
      <c r="R33" s="7" t="n"/>
      <c r="U33">
        <f>IF($C33="","",IF($AJ33=1,0,IF($AI33=1,Settings!$C$6,Settings!$C$7))*100)</f>
        <v/>
      </c>
      <c r="V33" s="7">
        <f>IF($C33="","",R33*U33/100)</f>
        <v/>
      </c>
      <c r="W33" s="7">
        <f>IF($C33="","",R33-V33)</f>
        <v/>
      </c>
      <c r="X33" s="7">
        <f>IF($C33="","",W33-K33)</f>
        <v/>
      </c>
      <c r="AB33" s="7" t="n"/>
      <c r="AE33" s="11" t="n"/>
      <c r="AG33">
        <f>IF($C33="","",IF(COUNTIF($C$2:$C33,$C33)=1,1,0))</f>
        <v/>
      </c>
      <c r="AH33">
        <f>IF($AG33=1,SUMPRODUCT(--($AK$2:$AK$6001&lt;$AK33))+1,"")</f>
        <v/>
      </c>
      <c r="AI33">
        <f>IF($C33="","",IF(OR($N33=TRUE(),$N33="TRUE"),1,0))</f>
        <v/>
      </c>
      <c r="AJ33">
        <f>IF($C33="","",IF($T33="Yes",1,0))</f>
        <v/>
      </c>
      <c r="AK33">
        <f>IF($AG33=1,IFERROR(IF(VALUE($C33)&lt;100000000,VALUE($C33),1000000000),IFERROR(IF(VALUE(MID($C33,2,20))&lt;100000000,VALUE(MID($C33,2,20)),1000000000),1000000000))+ROW()/100000,"")</f>
        <v/>
      </c>
    </row>
    <row r="34">
      <c r="D34" s="11" t="n"/>
      <c r="K34" s="7">
        <f>IF($C34="","",J34*W34/100)</f>
        <v/>
      </c>
      <c r="Q34" s="7" t="n"/>
      <c r="R34" s="7" t="n"/>
      <c r="U34">
        <f>IF($C34="","",IF($AJ34=1,0,IF($AI34=1,Settings!$C$6,Settings!$C$7))*100)</f>
        <v/>
      </c>
      <c r="V34" s="7">
        <f>IF($C34="","",R34*U34/100)</f>
        <v/>
      </c>
      <c r="W34" s="7">
        <f>IF($C34="","",R34-V34)</f>
        <v/>
      </c>
      <c r="X34" s="7">
        <f>IF($C34="","",W34-K34)</f>
        <v/>
      </c>
      <c r="AB34" s="7" t="n"/>
      <c r="AE34" s="11" t="n"/>
      <c r="AG34">
        <f>IF($C34="","",IF(COUNTIF($C$2:$C34,$C34)=1,1,0))</f>
        <v/>
      </c>
      <c r="AH34">
        <f>IF($AG34=1,SUMPRODUCT(--($AK$2:$AK$6001&lt;$AK34))+1,"")</f>
        <v/>
      </c>
      <c r="AI34">
        <f>IF($C34="","",IF(OR($N34=TRUE(),$N34="TRUE"),1,0))</f>
        <v/>
      </c>
      <c r="AJ34">
        <f>IF($C34="","",IF($T34="Yes",1,0))</f>
        <v/>
      </c>
      <c r="AK34">
        <f>IF($AG34=1,IFERROR(IF(VALUE($C34)&lt;100000000,VALUE($C34),1000000000),IFERROR(IF(VALUE(MID($C34,2,20))&lt;100000000,VALUE(MID($C34,2,20)),1000000000),1000000000))+ROW()/100000,"")</f>
        <v/>
      </c>
    </row>
    <row r="35">
      <c r="D35" s="11" t="n"/>
      <c r="K35" s="7">
        <f>IF($C35="","",J35*W35/100)</f>
        <v/>
      </c>
      <c r="Q35" s="7" t="n"/>
      <c r="R35" s="7" t="n"/>
      <c r="U35">
        <f>IF($C35="","",IF($AJ35=1,0,IF($AI35=1,Settings!$C$6,Settings!$C$7))*100)</f>
        <v/>
      </c>
      <c r="V35" s="7">
        <f>IF($C35="","",R35*U35/100)</f>
        <v/>
      </c>
      <c r="W35" s="7">
        <f>IF($C35="","",R35-V35)</f>
        <v/>
      </c>
      <c r="X35" s="7">
        <f>IF($C35="","",W35-K35)</f>
        <v/>
      </c>
      <c r="AB35" s="7" t="n"/>
      <c r="AE35" s="11" t="n"/>
      <c r="AG35">
        <f>IF($C35="","",IF(COUNTIF($C$2:$C35,$C35)=1,1,0))</f>
        <v/>
      </c>
      <c r="AH35">
        <f>IF($AG35=1,SUMPRODUCT(--($AK$2:$AK$6001&lt;$AK35))+1,"")</f>
        <v/>
      </c>
      <c r="AI35">
        <f>IF($C35="","",IF(OR($N35=TRUE(),$N35="TRUE"),1,0))</f>
        <v/>
      </c>
      <c r="AJ35">
        <f>IF($C35="","",IF($T35="Yes",1,0))</f>
        <v/>
      </c>
      <c r="AK35">
        <f>IF($AG35=1,IFERROR(IF(VALUE($C35)&lt;100000000,VALUE($C35),1000000000),IFERROR(IF(VALUE(MID($C35,2,20))&lt;100000000,VALUE(MID($C35,2,20)),1000000000),1000000000))+ROW()/100000,"")</f>
        <v/>
      </c>
    </row>
    <row r="36">
      <c r="D36" s="11" t="n"/>
      <c r="K36" s="7">
        <f>IF($C36="","",J36*W36/100)</f>
        <v/>
      </c>
      <c r="Q36" s="7" t="n"/>
      <c r="R36" s="7" t="n"/>
      <c r="U36">
        <f>IF($C36="","",IF($AJ36=1,0,IF($AI36=1,Settings!$C$6,Settings!$C$7))*100)</f>
        <v/>
      </c>
      <c r="V36" s="7">
        <f>IF($C36="","",R36*U36/100)</f>
        <v/>
      </c>
      <c r="W36" s="7">
        <f>IF($C36="","",R36-V36)</f>
        <v/>
      </c>
      <c r="X36" s="7">
        <f>IF($C36="","",W36-K36)</f>
        <v/>
      </c>
      <c r="AB36" s="7" t="n"/>
      <c r="AE36" s="11" t="n"/>
      <c r="AG36">
        <f>IF($C36="","",IF(COUNTIF($C$2:$C36,$C36)=1,1,0))</f>
        <v/>
      </c>
      <c r="AH36">
        <f>IF($AG36=1,SUMPRODUCT(--($AK$2:$AK$6001&lt;$AK36))+1,"")</f>
        <v/>
      </c>
      <c r="AI36">
        <f>IF($C36="","",IF(OR($N36=TRUE(),$N36="TRUE"),1,0))</f>
        <v/>
      </c>
      <c r="AJ36">
        <f>IF($C36="","",IF($T36="Yes",1,0))</f>
        <v/>
      </c>
      <c r="AK36">
        <f>IF($AG36=1,IFERROR(IF(VALUE($C36)&lt;100000000,VALUE($C36),1000000000),IFERROR(IF(VALUE(MID($C36,2,20))&lt;100000000,VALUE(MID($C36,2,20)),1000000000),1000000000))+ROW()/100000,"")</f>
        <v/>
      </c>
    </row>
    <row r="37">
      <c r="D37" s="11" t="n"/>
      <c r="K37" s="7">
        <f>IF($C37="","",J37*W37/100)</f>
        <v/>
      </c>
      <c r="Q37" s="7" t="n"/>
      <c r="R37" s="7" t="n"/>
      <c r="U37">
        <f>IF($C37="","",IF($AJ37=1,0,IF($AI37=1,Settings!$C$6,Settings!$C$7))*100)</f>
        <v/>
      </c>
      <c r="V37" s="7">
        <f>IF($C37="","",R37*U37/100)</f>
        <v/>
      </c>
      <c r="W37" s="7">
        <f>IF($C37="","",R37-V37)</f>
        <v/>
      </c>
      <c r="X37" s="7">
        <f>IF($C37="","",W37-K37)</f>
        <v/>
      </c>
      <c r="AB37" s="7" t="n"/>
      <c r="AE37" s="11" t="n"/>
      <c r="AG37">
        <f>IF($C37="","",IF(COUNTIF($C$2:$C37,$C37)=1,1,0))</f>
        <v/>
      </c>
      <c r="AH37">
        <f>IF($AG37=1,SUMPRODUCT(--($AK$2:$AK$6001&lt;$AK37))+1,"")</f>
        <v/>
      </c>
      <c r="AI37">
        <f>IF($C37="","",IF(OR($N37=TRUE(),$N37="TRUE"),1,0))</f>
        <v/>
      </c>
      <c r="AJ37">
        <f>IF($C37="","",IF($T37="Yes",1,0))</f>
        <v/>
      </c>
      <c r="AK37">
        <f>IF($AG37=1,IFERROR(IF(VALUE($C37)&lt;100000000,VALUE($C37),1000000000),IFERROR(IF(VALUE(MID($C37,2,20))&lt;100000000,VALUE(MID($C37,2,20)),1000000000),1000000000))+ROW()/100000,"")</f>
        <v/>
      </c>
    </row>
    <row r="38">
      <c r="D38" s="11" t="n"/>
      <c r="K38" s="7">
        <f>IF($C38="","",J38*W38/100)</f>
        <v/>
      </c>
      <c r="Q38" s="7" t="n"/>
      <c r="R38" s="7" t="n"/>
      <c r="U38">
        <f>IF($C38="","",IF($AJ38=1,0,IF($AI38=1,Settings!$C$6,Settings!$C$7))*100)</f>
        <v/>
      </c>
      <c r="V38" s="7">
        <f>IF($C38="","",R38*U38/100)</f>
        <v/>
      </c>
      <c r="W38" s="7">
        <f>IF($C38="","",R38-V38)</f>
        <v/>
      </c>
      <c r="X38" s="7">
        <f>IF($C38="","",W38-K38)</f>
        <v/>
      </c>
      <c r="AB38" s="7" t="n"/>
      <c r="AE38" s="11" t="n"/>
      <c r="AG38">
        <f>IF($C38="","",IF(COUNTIF($C$2:$C38,$C38)=1,1,0))</f>
        <v/>
      </c>
      <c r="AH38">
        <f>IF($AG38=1,SUMPRODUCT(--($AK$2:$AK$6001&lt;$AK38))+1,"")</f>
        <v/>
      </c>
      <c r="AI38">
        <f>IF($C38="","",IF(OR($N38=TRUE(),$N38="TRUE"),1,0))</f>
        <v/>
      </c>
      <c r="AJ38">
        <f>IF($C38="","",IF($T38="Yes",1,0))</f>
        <v/>
      </c>
      <c r="AK38">
        <f>IF($AG38=1,IFERROR(IF(VALUE($C38)&lt;100000000,VALUE($C38),1000000000),IFERROR(IF(VALUE(MID($C38,2,20))&lt;100000000,VALUE(MID($C38,2,20)),1000000000),1000000000))+ROW()/100000,"")</f>
        <v/>
      </c>
    </row>
    <row r="39">
      <c r="D39" s="11" t="n"/>
      <c r="K39" s="7">
        <f>IF($C39="","",J39*W39/100)</f>
        <v/>
      </c>
      <c r="Q39" s="7" t="n"/>
      <c r="R39" s="7" t="n"/>
      <c r="U39">
        <f>IF($C39="","",IF($AJ39=1,0,IF($AI39=1,Settings!$C$6,Settings!$C$7))*100)</f>
        <v/>
      </c>
      <c r="V39" s="7">
        <f>IF($C39="","",R39*U39/100)</f>
        <v/>
      </c>
      <c r="W39" s="7">
        <f>IF($C39="","",R39-V39)</f>
        <v/>
      </c>
      <c r="X39" s="7">
        <f>IF($C39="","",W39-K39)</f>
        <v/>
      </c>
      <c r="AB39" s="7" t="n"/>
      <c r="AE39" s="11" t="n"/>
      <c r="AG39">
        <f>IF($C39="","",IF(COUNTIF($C$2:$C39,$C39)=1,1,0))</f>
        <v/>
      </c>
      <c r="AH39">
        <f>IF($AG39=1,SUMPRODUCT(--($AK$2:$AK$6001&lt;$AK39))+1,"")</f>
        <v/>
      </c>
      <c r="AI39">
        <f>IF($C39="","",IF(OR($N39=TRUE(),$N39="TRUE"),1,0))</f>
        <v/>
      </c>
      <c r="AJ39">
        <f>IF($C39="","",IF($T39="Yes",1,0))</f>
        <v/>
      </c>
      <c r="AK39">
        <f>IF($AG39=1,IFERROR(IF(VALUE($C39)&lt;100000000,VALUE($C39),1000000000),IFERROR(IF(VALUE(MID($C39,2,20))&lt;100000000,VALUE(MID($C39,2,20)),1000000000),1000000000))+ROW()/100000,"")</f>
        <v/>
      </c>
    </row>
    <row r="40">
      <c r="D40" s="11" t="n"/>
      <c r="K40" s="7">
        <f>IF($C40="","",J40*W40/100)</f>
        <v/>
      </c>
      <c r="Q40" s="7" t="n"/>
      <c r="R40" s="7" t="n"/>
      <c r="U40">
        <f>IF($C40="","",IF($AJ40=1,0,IF($AI40=1,Settings!$C$6,Settings!$C$7))*100)</f>
        <v/>
      </c>
      <c r="V40" s="7">
        <f>IF($C40="","",R40*U40/100)</f>
        <v/>
      </c>
      <c r="W40" s="7">
        <f>IF($C40="","",R40-V40)</f>
        <v/>
      </c>
      <c r="X40" s="7">
        <f>IF($C40="","",W40-K40)</f>
        <v/>
      </c>
      <c r="AB40" s="7" t="n"/>
      <c r="AE40" s="11" t="n"/>
      <c r="AG40">
        <f>IF($C40="","",IF(COUNTIF($C$2:$C40,$C40)=1,1,0))</f>
        <v/>
      </c>
      <c r="AH40">
        <f>IF($AG40=1,SUMPRODUCT(--($AK$2:$AK$6001&lt;$AK40))+1,"")</f>
        <v/>
      </c>
      <c r="AI40">
        <f>IF($C40="","",IF(OR($N40=TRUE(),$N40="TRUE"),1,0))</f>
        <v/>
      </c>
      <c r="AJ40">
        <f>IF($C40="","",IF($T40="Yes",1,0))</f>
        <v/>
      </c>
      <c r="AK40">
        <f>IF($AG40=1,IFERROR(IF(VALUE($C40)&lt;100000000,VALUE($C40),1000000000),IFERROR(IF(VALUE(MID($C40,2,20))&lt;100000000,VALUE(MID($C40,2,20)),1000000000),1000000000))+ROW()/100000,"")</f>
        <v/>
      </c>
    </row>
    <row r="41">
      <c r="D41" s="11" t="n"/>
      <c r="K41" s="7">
        <f>IF($C41="","",J41*W41/100)</f>
        <v/>
      </c>
      <c r="Q41" s="7" t="n"/>
      <c r="R41" s="7" t="n"/>
      <c r="U41">
        <f>IF($C41="","",IF($AJ41=1,0,IF($AI41=1,Settings!$C$6,Settings!$C$7))*100)</f>
        <v/>
      </c>
      <c r="V41" s="7">
        <f>IF($C41="","",R41*U41/100)</f>
        <v/>
      </c>
      <c r="W41" s="7">
        <f>IF($C41="","",R41-V41)</f>
        <v/>
      </c>
      <c r="X41" s="7">
        <f>IF($C41="","",W41-K41)</f>
        <v/>
      </c>
      <c r="AB41" s="7" t="n"/>
      <c r="AE41" s="11" t="n"/>
      <c r="AG41">
        <f>IF($C41="","",IF(COUNTIF($C$2:$C41,$C41)=1,1,0))</f>
        <v/>
      </c>
      <c r="AH41">
        <f>IF($AG41=1,SUMPRODUCT(--($AK$2:$AK$6001&lt;$AK41))+1,"")</f>
        <v/>
      </c>
      <c r="AI41">
        <f>IF($C41="","",IF(OR($N41=TRUE(),$N41="TRUE"),1,0))</f>
        <v/>
      </c>
      <c r="AJ41">
        <f>IF($C41="","",IF($T41="Yes",1,0))</f>
        <v/>
      </c>
      <c r="AK41">
        <f>IF($AG41=1,IFERROR(IF(VALUE($C41)&lt;100000000,VALUE($C41),1000000000),IFERROR(IF(VALUE(MID($C41,2,20))&lt;100000000,VALUE(MID($C41,2,20)),1000000000),1000000000))+ROW()/100000,"")</f>
        <v/>
      </c>
    </row>
    <row r="42">
      <c r="D42" s="11" t="n"/>
      <c r="K42" s="7">
        <f>IF($C42="","",J42*W42/100)</f>
        <v/>
      </c>
      <c r="Q42" s="7" t="n"/>
      <c r="R42" s="7" t="n"/>
      <c r="U42">
        <f>IF($C42="","",IF($AJ42=1,0,IF($AI42=1,Settings!$C$6,Settings!$C$7))*100)</f>
        <v/>
      </c>
      <c r="V42" s="7">
        <f>IF($C42="","",R42*U42/100)</f>
        <v/>
      </c>
      <c r="W42" s="7">
        <f>IF($C42="","",R42-V42)</f>
        <v/>
      </c>
      <c r="X42" s="7">
        <f>IF($C42="","",W42-K42)</f>
        <v/>
      </c>
      <c r="AB42" s="7" t="n"/>
      <c r="AE42" s="11" t="n"/>
      <c r="AG42">
        <f>IF($C42="","",IF(COUNTIF($C$2:$C42,$C42)=1,1,0))</f>
        <v/>
      </c>
      <c r="AH42">
        <f>IF($AG42=1,SUMPRODUCT(--($AK$2:$AK$6001&lt;$AK42))+1,"")</f>
        <v/>
      </c>
      <c r="AI42">
        <f>IF($C42="","",IF(OR($N42=TRUE(),$N42="TRUE"),1,0))</f>
        <v/>
      </c>
      <c r="AJ42">
        <f>IF($C42="","",IF($T42="Yes",1,0))</f>
        <v/>
      </c>
      <c r="AK42">
        <f>IF($AG42=1,IFERROR(IF(VALUE($C42)&lt;100000000,VALUE($C42),1000000000),IFERROR(IF(VALUE(MID($C42,2,20))&lt;100000000,VALUE(MID($C42,2,20)),1000000000),1000000000))+ROW()/100000,"")</f>
        <v/>
      </c>
    </row>
    <row r="43">
      <c r="D43" s="11" t="n"/>
      <c r="K43" s="7">
        <f>IF($C43="","",J43*W43/100)</f>
        <v/>
      </c>
      <c r="Q43" s="7" t="n"/>
      <c r="R43" s="7" t="n"/>
      <c r="U43">
        <f>IF($C43="","",IF($AJ43=1,0,IF($AI43=1,Settings!$C$6,Settings!$C$7))*100)</f>
        <v/>
      </c>
      <c r="V43" s="7">
        <f>IF($C43="","",R43*U43/100)</f>
        <v/>
      </c>
      <c r="W43" s="7">
        <f>IF($C43="","",R43-V43)</f>
        <v/>
      </c>
      <c r="X43" s="7">
        <f>IF($C43="","",W43-K43)</f>
        <v/>
      </c>
      <c r="AB43" s="7" t="n"/>
      <c r="AE43" s="11" t="n"/>
      <c r="AG43">
        <f>IF($C43="","",IF(COUNTIF($C$2:$C43,$C43)=1,1,0))</f>
        <v/>
      </c>
      <c r="AH43">
        <f>IF($AG43=1,SUMPRODUCT(--($AK$2:$AK$6001&lt;$AK43))+1,"")</f>
        <v/>
      </c>
      <c r="AI43">
        <f>IF($C43="","",IF(OR($N43=TRUE(),$N43="TRUE"),1,0))</f>
        <v/>
      </c>
      <c r="AJ43">
        <f>IF($C43="","",IF($T43="Yes",1,0))</f>
        <v/>
      </c>
      <c r="AK43">
        <f>IF($AG43=1,IFERROR(IF(VALUE($C43)&lt;100000000,VALUE($C43),1000000000),IFERROR(IF(VALUE(MID($C43,2,20))&lt;100000000,VALUE(MID($C43,2,20)),1000000000),1000000000))+ROW()/100000,"")</f>
        <v/>
      </c>
    </row>
    <row r="44">
      <c r="D44" s="11" t="n"/>
      <c r="K44" s="7">
        <f>IF($C44="","",J44*W44/100)</f>
        <v/>
      </c>
      <c r="Q44" s="7" t="n"/>
      <c r="R44" s="7" t="n"/>
      <c r="U44">
        <f>IF($C44="","",IF($AJ44=1,0,IF($AI44=1,Settings!$C$6,Settings!$C$7))*100)</f>
        <v/>
      </c>
      <c r="V44" s="7">
        <f>IF($C44="","",R44*U44/100)</f>
        <v/>
      </c>
      <c r="W44" s="7">
        <f>IF($C44="","",R44-V44)</f>
        <v/>
      </c>
      <c r="X44" s="7">
        <f>IF($C44="","",W44-K44)</f>
        <v/>
      </c>
      <c r="AB44" s="7" t="n"/>
      <c r="AE44" s="11" t="n"/>
      <c r="AG44">
        <f>IF($C44="","",IF(COUNTIF($C$2:$C44,$C44)=1,1,0))</f>
        <v/>
      </c>
      <c r="AH44">
        <f>IF($AG44=1,SUMPRODUCT(--($AK$2:$AK$6001&lt;$AK44))+1,"")</f>
        <v/>
      </c>
      <c r="AI44">
        <f>IF($C44="","",IF(OR($N44=TRUE(),$N44="TRUE"),1,0))</f>
        <v/>
      </c>
      <c r="AJ44">
        <f>IF($C44="","",IF($T44="Yes",1,0))</f>
        <v/>
      </c>
      <c r="AK44">
        <f>IF($AG44=1,IFERROR(IF(VALUE($C44)&lt;100000000,VALUE($C44),1000000000),IFERROR(IF(VALUE(MID($C44,2,20))&lt;100000000,VALUE(MID($C44,2,20)),1000000000),1000000000))+ROW()/100000,"")</f>
        <v/>
      </c>
    </row>
    <row r="45">
      <c r="D45" s="11" t="n"/>
      <c r="K45" s="7">
        <f>IF($C45="","",J45*W45/100)</f>
        <v/>
      </c>
      <c r="Q45" s="7" t="n"/>
      <c r="R45" s="7" t="n"/>
      <c r="U45">
        <f>IF($C45="","",IF($AJ45=1,0,IF($AI45=1,Settings!$C$6,Settings!$C$7))*100)</f>
        <v/>
      </c>
      <c r="V45" s="7">
        <f>IF($C45="","",R45*U45/100)</f>
        <v/>
      </c>
      <c r="W45" s="7">
        <f>IF($C45="","",R45-V45)</f>
        <v/>
      </c>
      <c r="X45" s="7">
        <f>IF($C45="","",W45-K45)</f>
        <v/>
      </c>
      <c r="AB45" s="7" t="n"/>
      <c r="AE45" s="11" t="n"/>
      <c r="AG45">
        <f>IF($C45="","",IF(COUNTIF($C$2:$C45,$C45)=1,1,0))</f>
        <v/>
      </c>
      <c r="AH45">
        <f>IF($AG45=1,SUMPRODUCT(--($AK$2:$AK$6001&lt;$AK45))+1,"")</f>
        <v/>
      </c>
      <c r="AI45">
        <f>IF($C45="","",IF(OR($N45=TRUE(),$N45="TRUE"),1,0))</f>
        <v/>
      </c>
      <c r="AJ45">
        <f>IF($C45="","",IF($T45="Yes",1,0))</f>
        <v/>
      </c>
      <c r="AK45">
        <f>IF($AG45=1,IFERROR(IF(VALUE($C45)&lt;100000000,VALUE($C45),1000000000),IFERROR(IF(VALUE(MID($C45,2,20))&lt;100000000,VALUE(MID($C45,2,20)),1000000000),1000000000))+ROW()/100000,"")</f>
        <v/>
      </c>
    </row>
    <row r="46">
      <c r="D46" s="11" t="n"/>
      <c r="K46" s="7">
        <f>IF($C46="","",J46*W46/100)</f>
        <v/>
      </c>
      <c r="Q46" s="7" t="n"/>
      <c r="R46" s="7" t="n"/>
      <c r="U46">
        <f>IF($C46="","",IF($AJ46=1,0,IF($AI46=1,Settings!$C$6,Settings!$C$7))*100)</f>
        <v/>
      </c>
      <c r="V46" s="7">
        <f>IF($C46="","",R46*U46/100)</f>
        <v/>
      </c>
      <c r="W46" s="7">
        <f>IF($C46="","",R46-V46)</f>
        <v/>
      </c>
      <c r="X46" s="7">
        <f>IF($C46="","",W46-K46)</f>
        <v/>
      </c>
      <c r="AB46" s="7" t="n"/>
      <c r="AE46" s="11" t="n"/>
      <c r="AG46">
        <f>IF($C46="","",IF(COUNTIF($C$2:$C46,$C46)=1,1,0))</f>
        <v/>
      </c>
      <c r="AH46">
        <f>IF($AG46=1,SUMPRODUCT(--($AK$2:$AK$6001&lt;$AK46))+1,"")</f>
        <v/>
      </c>
      <c r="AI46">
        <f>IF($C46="","",IF(OR($N46=TRUE(),$N46="TRUE"),1,0))</f>
        <v/>
      </c>
      <c r="AJ46">
        <f>IF($C46="","",IF($T46="Yes",1,0))</f>
        <v/>
      </c>
      <c r="AK46">
        <f>IF($AG46=1,IFERROR(IF(VALUE($C46)&lt;100000000,VALUE($C46),1000000000),IFERROR(IF(VALUE(MID($C46,2,20))&lt;100000000,VALUE(MID($C46,2,20)),1000000000),1000000000))+ROW()/100000,"")</f>
        <v/>
      </c>
    </row>
    <row r="47">
      <c r="D47" s="11" t="n"/>
      <c r="K47" s="7">
        <f>IF($C47="","",J47*W47/100)</f>
        <v/>
      </c>
      <c r="Q47" s="7" t="n"/>
      <c r="R47" s="7" t="n"/>
      <c r="U47">
        <f>IF($C47="","",IF($AJ47=1,0,IF($AI47=1,Settings!$C$6,Settings!$C$7))*100)</f>
        <v/>
      </c>
      <c r="V47" s="7">
        <f>IF($C47="","",R47*U47/100)</f>
        <v/>
      </c>
      <c r="W47" s="7">
        <f>IF($C47="","",R47-V47)</f>
        <v/>
      </c>
      <c r="X47" s="7">
        <f>IF($C47="","",W47-K47)</f>
        <v/>
      </c>
      <c r="AB47" s="7" t="n"/>
      <c r="AE47" s="11" t="n"/>
      <c r="AG47">
        <f>IF($C47="","",IF(COUNTIF($C$2:$C47,$C47)=1,1,0))</f>
        <v/>
      </c>
      <c r="AH47">
        <f>IF($AG47=1,SUMPRODUCT(--($AK$2:$AK$6001&lt;$AK47))+1,"")</f>
        <v/>
      </c>
      <c r="AI47">
        <f>IF($C47="","",IF(OR($N47=TRUE(),$N47="TRUE"),1,0))</f>
        <v/>
      </c>
      <c r="AJ47">
        <f>IF($C47="","",IF($T47="Yes",1,0))</f>
        <v/>
      </c>
      <c r="AK47">
        <f>IF($AG47=1,IFERROR(IF(VALUE($C47)&lt;100000000,VALUE($C47),1000000000),IFERROR(IF(VALUE(MID($C47,2,20))&lt;100000000,VALUE(MID($C47,2,20)),1000000000),1000000000))+ROW()/100000,"")</f>
        <v/>
      </c>
    </row>
    <row r="48">
      <c r="D48" s="11" t="n"/>
      <c r="K48" s="7">
        <f>IF($C48="","",J48*W48/100)</f>
        <v/>
      </c>
      <c r="Q48" s="7" t="n"/>
      <c r="R48" s="7" t="n"/>
      <c r="U48">
        <f>IF($C48="","",IF($AJ48=1,0,IF($AI48=1,Settings!$C$6,Settings!$C$7))*100)</f>
        <v/>
      </c>
      <c r="V48" s="7">
        <f>IF($C48="","",R48*U48/100)</f>
        <v/>
      </c>
      <c r="W48" s="7">
        <f>IF($C48="","",R48-V48)</f>
        <v/>
      </c>
      <c r="X48" s="7">
        <f>IF($C48="","",W48-K48)</f>
        <v/>
      </c>
      <c r="AB48" s="7" t="n"/>
      <c r="AE48" s="11" t="n"/>
      <c r="AG48">
        <f>IF($C48="","",IF(COUNTIF($C$2:$C48,$C48)=1,1,0))</f>
        <v/>
      </c>
      <c r="AH48">
        <f>IF($AG48=1,SUMPRODUCT(--($AK$2:$AK$6001&lt;$AK48))+1,"")</f>
        <v/>
      </c>
      <c r="AI48">
        <f>IF($C48="","",IF(OR($N48=TRUE(),$N48="TRUE"),1,0))</f>
        <v/>
      </c>
      <c r="AJ48">
        <f>IF($C48="","",IF($T48="Yes",1,0))</f>
        <v/>
      </c>
      <c r="AK48">
        <f>IF($AG48=1,IFERROR(IF(VALUE($C48)&lt;100000000,VALUE($C48),1000000000),IFERROR(IF(VALUE(MID($C48,2,20))&lt;100000000,VALUE(MID($C48,2,20)),1000000000),1000000000))+ROW()/100000,"")</f>
        <v/>
      </c>
    </row>
    <row r="49">
      <c r="D49" s="11" t="n"/>
      <c r="K49" s="7">
        <f>IF($C49="","",J49*W49/100)</f>
        <v/>
      </c>
      <c r="Q49" s="7" t="n"/>
      <c r="R49" s="7" t="n"/>
      <c r="U49">
        <f>IF($C49="","",IF($AJ49=1,0,IF($AI49=1,Settings!$C$6,Settings!$C$7))*100)</f>
        <v/>
      </c>
      <c r="V49" s="7">
        <f>IF($C49="","",R49*U49/100)</f>
        <v/>
      </c>
      <c r="W49" s="7">
        <f>IF($C49="","",R49-V49)</f>
        <v/>
      </c>
      <c r="X49" s="7">
        <f>IF($C49="","",W49-K49)</f>
        <v/>
      </c>
      <c r="AB49" s="7" t="n"/>
      <c r="AE49" s="11" t="n"/>
      <c r="AG49">
        <f>IF($C49="","",IF(COUNTIF($C$2:$C49,$C49)=1,1,0))</f>
        <v/>
      </c>
      <c r="AH49">
        <f>IF($AG49=1,SUMPRODUCT(--($AK$2:$AK$6001&lt;$AK49))+1,"")</f>
        <v/>
      </c>
      <c r="AI49">
        <f>IF($C49="","",IF(OR($N49=TRUE(),$N49="TRUE"),1,0))</f>
        <v/>
      </c>
      <c r="AJ49">
        <f>IF($C49="","",IF($T49="Yes",1,0))</f>
        <v/>
      </c>
      <c r="AK49">
        <f>IF($AG49=1,IFERROR(IF(VALUE($C49)&lt;100000000,VALUE($C49),1000000000),IFERROR(IF(VALUE(MID($C49,2,20))&lt;100000000,VALUE(MID($C49,2,20)),1000000000),1000000000))+ROW()/100000,"")</f>
        <v/>
      </c>
    </row>
    <row r="50">
      <c r="D50" s="11" t="n"/>
      <c r="K50" s="7">
        <f>IF($C50="","",J50*W50/100)</f>
        <v/>
      </c>
      <c r="Q50" s="7" t="n"/>
      <c r="R50" s="7" t="n"/>
      <c r="U50">
        <f>IF($C50="","",IF($AJ50=1,0,IF($AI50=1,Settings!$C$6,Settings!$C$7))*100)</f>
        <v/>
      </c>
      <c r="V50" s="7">
        <f>IF($C50="","",R50*U50/100)</f>
        <v/>
      </c>
      <c r="W50" s="7">
        <f>IF($C50="","",R50-V50)</f>
        <v/>
      </c>
      <c r="X50" s="7">
        <f>IF($C50="","",W50-K50)</f>
        <v/>
      </c>
      <c r="AB50" s="7" t="n"/>
      <c r="AE50" s="11" t="n"/>
      <c r="AG50">
        <f>IF($C50="","",IF(COUNTIF($C$2:$C50,$C50)=1,1,0))</f>
        <v/>
      </c>
      <c r="AH50">
        <f>IF($AG50=1,SUMPRODUCT(--($AK$2:$AK$6001&lt;$AK50))+1,"")</f>
        <v/>
      </c>
      <c r="AI50">
        <f>IF($C50="","",IF(OR($N50=TRUE(),$N50="TRUE"),1,0))</f>
        <v/>
      </c>
      <c r="AJ50">
        <f>IF($C50="","",IF($T50="Yes",1,0))</f>
        <v/>
      </c>
      <c r="AK50">
        <f>IF($AG50=1,IFERROR(IF(VALUE($C50)&lt;100000000,VALUE($C50),1000000000),IFERROR(IF(VALUE(MID($C50,2,20))&lt;100000000,VALUE(MID($C50,2,20)),1000000000),1000000000))+ROW()/100000,"")</f>
        <v/>
      </c>
    </row>
    <row r="51">
      <c r="D51" s="11" t="n"/>
      <c r="K51" s="7">
        <f>IF($C51="","",J51*W51/100)</f>
        <v/>
      </c>
      <c r="Q51" s="7" t="n"/>
      <c r="R51" s="7" t="n"/>
      <c r="U51">
        <f>IF($C51="","",IF($AJ51=1,0,IF($AI51=1,Settings!$C$6,Settings!$C$7))*100)</f>
        <v/>
      </c>
      <c r="V51" s="7">
        <f>IF($C51="","",R51*U51/100)</f>
        <v/>
      </c>
      <c r="W51" s="7">
        <f>IF($C51="","",R51-V51)</f>
        <v/>
      </c>
      <c r="X51" s="7">
        <f>IF($C51="","",W51-K51)</f>
        <v/>
      </c>
      <c r="AB51" s="7" t="n"/>
      <c r="AE51" s="11" t="n"/>
      <c r="AG51">
        <f>IF($C51="","",IF(COUNTIF($C$2:$C51,$C51)=1,1,0))</f>
        <v/>
      </c>
      <c r="AH51">
        <f>IF($AG51=1,SUMPRODUCT(--($AK$2:$AK$6001&lt;$AK51))+1,"")</f>
        <v/>
      </c>
      <c r="AI51">
        <f>IF($C51="","",IF(OR($N51=TRUE(),$N51="TRUE"),1,0))</f>
        <v/>
      </c>
      <c r="AJ51">
        <f>IF($C51="","",IF($T51="Yes",1,0))</f>
        <v/>
      </c>
      <c r="AK51">
        <f>IF($AG51=1,IFERROR(IF(VALUE($C51)&lt;100000000,VALUE($C51),1000000000),IFERROR(IF(VALUE(MID($C51,2,20))&lt;100000000,VALUE(MID($C51,2,20)),1000000000),1000000000))+ROW()/100000,"")</f>
        <v/>
      </c>
    </row>
    <row r="52">
      <c r="D52" s="11" t="n"/>
      <c r="K52" s="7">
        <f>IF($C52="","",J52*W52/100)</f>
        <v/>
      </c>
      <c r="Q52" s="7" t="n"/>
      <c r="R52" s="7" t="n"/>
      <c r="U52">
        <f>IF($C52="","",IF($AJ52=1,0,IF($AI52=1,Settings!$C$6,Settings!$C$7))*100)</f>
        <v/>
      </c>
      <c r="V52" s="7">
        <f>IF($C52="","",R52*U52/100)</f>
        <v/>
      </c>
      <c r="W52" s="7">
        <f>IF($C52="","",R52-V52)</f>
        <v/>
      </c>
      <c r="X52" s="7">
        <f>IF($C52="","",W52-K52)</f>
        <v/>
      </c>
      <c r="AB52" s="7" t="n"/>
      <c r="AE52" s="11" t="n"/>
      <c r="AG52">
        <f>IF($C52="","",IF(COUNTIF($C$2:$C52,$C52)=1,1,0))</f>
        <v/>
      </c>
      <c r="AH52">
        <f>IF($AG52=1,SUMPRODUCT(--($AK$2:$AK$6001&lt;$AK52))+1,"")</f>
        <v/>
      </c>
      <c r="AI52">
        <f>IF($C52="","",IF(OR($N52=TRUE(),$N52="TRUE"),1,0))</f>
        <v/>
      </c>
      <c r="AJ52">
        <f>IF($C52="","",IF($T52="Yes",1,0))</f>
        <v/>
      </c>
      <c r="AK52">
        <f>IF($AG52=1,IFERROR(IF(VALUE($C52)&lt;100000000,VALUE($C52),1000000000),IFERROR(IF(VALUE(MID($C52,2,20))&lt;100000000,VALUE(MID($C52,2,20)),1000000000),1000000000))+ROW()/100000,"")</f>
        <v/>
      </c>
    </row>
    <row r="53">
      <c r="D53" s="11" t="n"/>
      <c r="K53" s="7">
        <f>IF($C53="","",J53*W53/100)</f>
        <v/>
      </c>
      <c r="Q53" s="7" t="n"/>
      <c r="R53" s="7" t="n"/>
      <c r="U53">
        <f>IF($C53="","",IF($AJ53=1,0,IF($AI53=1,Settings!$C$6,Settings!$C$7))*100)</f>
        <v/>
      </c>
      <c r="V53" s="7">
        <f>IF($C53="","",R53*U53/100)</f>
        <v/>
      </c>
      <c r="W53" s="7">
        <f>IF($C53="","",R53-V53)</f>
        <v/>
      </c>
      <c r="X53" s="7">
        <f>IF($C53="","",W53-K53)</f>
        <v/>
      </c>
      <c r="AB53" s="7" t="n"/>
      <c r="AE53" s="11" t="n"/>
      <c r="AG53">
        <f>IF($C53="","",IF(COUNTIF($C$2:$C53,$C53)=1,1,0))</f>
        <v/>
      </c>
      <c r="AH53">
        <f>IF($AG53=1,SUMPRODUCT(--($AK$2:$AK$6001&lt;$AK53))+1,"")</f>
        <v/>
      </c>
      <c r="AI53">
        <f>IF($C53="","",IF(OR($N53=TRUE(),$N53="TRUE"),1,0))</f>
        <v/>
      </c>
      <c r="AJ53">
        <f>IF($C53="","",IF($T53="Yes",1,0))</f>
        <v/>
      </c>
      <c r="AK53">
        <f>IF($AG53=1,IFERROR(IF(VALUE($C53)&lt;100000000,VALUE($C53),1000000000),IFERROR(IF(VALUE(MID($C53,2,20))&lt;100000000,VALUE(MID($C53,2,20)),1000000000),1000000000))+ROW()/100000,"")</f>
        <v/>
      </c>
    </row>
    <row r="54">
      <c r="D54" s="11" t="n"/>
      <c r="K54" s="7">
        <f>IF($C54="","",J54*W54/100)</f>
        <v/>
      </c>
      <c r="Q54" s="7" t="n"/>
      <c r="R54" s="7" t="n"/>
      <c r="U54">
        <f>IF($C54="","",IF($AJ54=1,0,IF($AI54=1,Settings!$C$6,Settings!$C$7))*100)</f>
        <v/>
      </c>
      <c r="V54" s="7">
        <f>IF($C54="","",R54*U54/100)</f>
        <v/>
      </c>
      <c r="W54" s="7">
        <f>IF($C54="","",R54-V54)</f>
        <v/>
      </c>
      <c r="X54" s="7">
        <f>IF($C54="","",W54-K54)</f>
        <v/>
      </c>
      <c r="AB54" s="7" t="n"/>
      <c r="AE54" s="11" t="n"/>
      <c r="AG54">
        <f>IF($C54="","",IF(COUNTIF($C$2:$C54,$C54)=1,1,0))</f>
        <v/>
      </c>
      <c r="AH54">
        <f>IF($AG54=1,SUMPRODUCT(--($AK$2:$AK$6001&lt;$AK54))+1,"")</f>
        <v/>
      </c>
      <c r="AI54">
        <f>IF($C54="","",IF(OR($N54=TRUE(),$N54="TRUE"),1,0))</f>
        <v/>
      </c>
      <c r="AJ54">
        <f>IF($C54="","",IF($T54="Yes",1,0))</f>
        <v/>
      </c>
      <c r="AK54">
        <f>IF($AG54=1,IFERROR(IF(VALUE($C54)&lt;100000000,VALUE($C54),1000000000),IFERROR(IF(VALUE(MID($C54,2,20))&lt;100000000,VALUE(MID($C54,2,20)),1000000000),1000000000))+ROW()/100000,"")</f>
        <v/>
      </c>
    </row>
    <row r="55">
      <c r="D55" s="11" t="n"/>
      <c r="K55" s="7">
        <f>IF($C55="","",J55*W55/100)</f>
        <v/>
      </c>
      <c r="Q55" s="7" t="n"/>
      <c r="R55" s="7" t="n"/>
      <c r="U55">
        <f>IF($C55="","",IF($AJ55=1,0,IF($AI55=1,Settings!$C$6,Settings!$C$7))*100)</f>
        <v/>
      </c>
      <c r="V55" s="7">
        <f>IF($C55="","",R55*U55/100)</f>
        <v/>
      </c>
      <c r="W55" s="7">
        <f>IF($C55="","",R55-V55)</f>
        <v/>
      </c>
      <c r="X55" s="7">
        <f>IF($C55="","",W55-K55)</f>
        <v/>
      </c>
      <c r="AB55" s="7" t="n"/>
      <c r="AE55" s="11" t="n"/>
      <c r="AG55">
        <f>IF($C55="","",IF(COUNTIF($C$2:$C55,$C55)=1,1,0))</f>
        <v/>
      </c>
      <c r="AH55">
        <f>IF($AG55=1,SUMPRODUCT(--($AK$2:$AK$6001&lt;$AK55))+1,"")</f>
        <v/>
      </c>
      <c r="AI55">
        <f>IF($C55="","",IF(OR($N55=TRUE(),$N55="TRUE"),1,0))</f>
        <v/>
      </c>
      <c r="AJ55">
        <f>IF($C55="","",IF($T55="Yes",1,0))</f>
        <v/>
      </c>
      <c r="AK55">
        <f>IF($AG55=1,IFERROR(IF(VALUE($C55)&lt;100000000,VALUE($C55),1000000000),IFERROR(IF(VALUE(MID($C55,2,20))&lt;100000000,VALUE(MID($C55,2,20)),1000000000),1000000000))+ROW()/100000,"")</f>
        <v/>
      </c>
    </row>
    <row r="56">
      <c r="D56" s="11" t="n"/>
      <c r="K56" s="7">
        <f>IF($C56="","",J56*W56/100)</f>
        <v/>
      </c>
      <c r="Q56" s="7" t="n"/>
      <c r="R56" s="7" t="n"/>
      <c r="U56">
        <f>IF($C56="","",IF($AJ56=1,0,IF($AI56=1,Settings!$C$6,Settings!$C$7))*100)</f>
        <v/>
      </c>
      <c r="V56" s="7">
        <f>IF($C56="","",R56*U56/100)</f>
        <v/>
      </c>
      <c r="W56" s="7">
        <f>IF($C56="","",R56-V56)</f>
        <v/>
      </c>
      <c r="X56" s="7">
        <f>IF($C56="","",W56-K56)</f>
        <v/>
      </c>
      <c r="AB56" s="7" t="n"/>
      <c r="AE56" s="11" t="n"/>
      <c r="AG56">
        <f>IF($C56="","",IF(COUNTIF($C$2:$C56,$C56)=1,1,0))</f>
        <v/>
      </c>
      <c r="AH56">
        <f>IF($AG56=1,SUMPRODUCT(--($AK$2:$AK$6001&lt;$AK56))+1,"")</f>
        <v/>
      </c>
      <c r="AI56">
        <f>IF($C56="","",IF(OR($N56=TRUE(),$N56="TRUE"),1,0))</f>
        <v/>
      </c>
      <c r="AJ56">
        <f>IF($C56="","",IF($T56="Yes",1,0))</f>
        <v/>
      </c>
      <c r="AK56">
        <f>IF($AG56=1,IFERROR(IF(VALUE($C56)&lt;100000000,VALUE($C56),1000000000),IFERROR(IF(VALUE(MID($C56,2,20))&lt;100000000,VALUE(MID($C56,2,20)),1000000000),1000000000))+ROW()/100000,"")</f>
        <v/>
      </c>
    </row>
    <row r="57">
      <c r="D57" s="11" t="n"/>
      <c r="K57" s="7">
        <f>IF($C57="","",J57*W57/100)</f>
        <v/>
      </c>
      <c r="Q57" s="7" t="n"/>
      <c r="R57" s="7" t="n"/>
      <c r="U57">
        <f>IF($C57="","",IF($AJ57=1,0,IF($AI57=1,Settings!$C$6,Settings!$C$7))*100)</f>
        <v/>
      </c>
      <c r="V57" s="7">
        <f>IF($C57="","",R57*U57/100)</f>
        <v/>
      </c>
      <c r="W57" s="7">
        <f>IF($C57="","",R57-V57)</f>
        <v/>
      </c>
      <c r="X57" s="7">
        <f>IF($C57="","",W57-K57)</f>
        <v/>
      </c>
      <c r="AB57" s="7" t="n"/>
      <c r="AE57" s="11" t="n"/>
      <c r="AG57">
        <f>IF($C57="","",IF(COUNTIF($C$2:$C57,$C57)=1,1,0))</f>
        <v/>
      </c>
      <c r="AH57">
        <f>IF($AG57=1,SUMPRODUCT(--($AK$2:$AK$6001&lt;$AK57))+1,"")</f>
        <v/>
      </c>
      <c r="AI57">
        <f>IF($C57="","",IF(OR($N57=TRUE(),$N57="TRUE"),1,0))</f>
        <v/>
      </c>
      <c r="AJ57">
        <f>IF($C57="","",IF($T57="Yes",1,0))</f>
        <v/>
      </c>
      <c r="AK57">
        <f>IF($AG57=1,IFERROR(IF(VALUE($C57)&lt;100000000,VALUE($C57),1000000000),IFERROR(IF(VALUE(MID($C57,2,20))&lt;100000000,VALUE(MID($C57,2,20)),1000000000),1000000000))+ROW()/100000,"")</f>
        <v/>
      </c>
    </row>
    <row r="58">
      <c r="D58" s="11" t="n"/>
      <c r="K58" s="7">
        <f>IF($C58="","",J58*W58/100)</f>
        <v/>
      </c>
      <c r="Q58" s="7" t="n"/>
      <c r="R58" s="7" t="n"/>
      <c r="U58">
        <f>IF($C58="","",IF($AJ58=1,0,IF($AI58=1,Settings!$C$6,Settings!$C$7))*100)</f>
        <v/>
      </c>
      <c r="V58" s="7">
        <f>IF($C58="","",R58*U58/100)</f>
        <v/>
      </c>
      <c r="W58" s="7">
        <f>IF($C58="","",R58-V58)</f>
        <v/>
      </c>
      <c r="X58" s="7">
        <f>IF($C58="","",W58-K58)</f>
        <v/>
      </c>
      <c r="AB58" s="7" t="n"/>
      <c r="AE58" s="11" t="n"/>
      <c r="AG58">
        <f>IF($C58="","",IF(COUNTIF($C$2:$C58,$C58)=1,1,0))</f>
        <v/>
      </c>
      <c r="AH58">
        <f>IF($AG58=1,SUMPRODUCT(--($AK$2:$AK$6001&lt;$AK58))+1,"")</f>
        <v/>
      </c>
      <c r="AI58">
        <f>IF($C58="","",IF(OR($N58=TRUE(),$N58="TRUE"),1,0))</f>
        <v/>
      </c>
      <c r="AJ58">
        <f>IF($C58="","",IF($T58="Yes",1,0))</f>
        <v/>
      </c>
      <c r="AK58">
        <f>IF($AG58=1,IFERROR(IF(VALUE($C58)&lt;100000000,VALUE($C58),1000000000),IFERROR(IF(VALUE(MID($C58,2,20))&lt;100000000,VALUE(MID($C58,2,20)),1000000000),1000000000))+ROW()/100000,"")</f>
        <v/>
      </c>
    </row>
    <row r="59">
      <c r="D59" s="11" t="n"/>
      <c r="K59" s="7">
        <f>IF($C59="","",J59*W59/100)</f>
        <v/>
      </c>
      <c r="Q59" s="7" t="n"/>
      <c r="R59" s="7" t="n"/>
      <c r="U59">
        <f>IF($C59="","",IF($AJ59=1,0,IF($AI59=1,Settings!$C$6,Settings!$C$7))*100)</f>
        <v/>
      </c>
      <c r="V59" s="7">
        <f>IF($C59="","",R59*U59/100)</f>
        <v/>
      </c>
      <c r="W59" s="7">
        <f>IF($C59="","",R59-V59)</f>
        <v/>
      </c>
      <c r="X59" s="7">
        <f>IF($C59="","",W59-K59)</f>
        <v/>
      </c>
      <c r="AB59" s="7" t="n"/>
      <c r="AE59" s="11" t="n"/>
      <c r="AG59">
        <f>IF($C59="","",IF(COUNTIF($C$2:$C59,$C59)=1,1,0))</f>
        <v/>
      </c>
      <c r="AH59">
        <f>IF($AG59=1,SUMPRODUCT(--($AK$2:$AK$6001&lt;$AK59))+1,"")</f>
        <v/>
      </c>
      <c r="AI59">
        <f>IF($C59="","",IF(OR($N59=TRUE(),$N59="TRUE"),1,0))</f>
        <v/>
      </c>
      <c r="AJ59">
        <f>IF($C59="","",IF($T59="Yes",1,0))</f>
        <v/>
      </c>
      <c r="AK59">
        <f>IF($AG59=1,IFERROR(IF(VALUE($C59)&lt;100000000,VALUE($C59),1000000000),IFERROR(IF(VALUE(MID($C59,2,20))&lt;100000000,VALUE(MID($C59,2,20)),1000000000),1000000000))+ROW()/100000,"")</f>
        <v/>
      </c>
    </row>
    <row r="60">
      <c r="D60" s="11" t="n"/>
      <c r="K60" s="7">
        <f>IF($C60="","",J60*W60/100)</f>
        <v/>
      </c>
      <c r="Q60" s="7" t="n"/>
      <c r="R60" s="7" t="n"/>
      <c r="U60">
        <f>IF($C60="","",IF($AJ60=1,0,IF($AI60=1,Settings!$C$6,Settings!$C$7))*100)</f>
        <v/>
      </c>
      <c r="V60" s="7">
        <f>IF($C60="","",R60*U60/100)</f>
        <v/>
      </c>
      <c r="W60" s="7">
        <f>IF($C60="","",R60-V60)</f>
        <v/>
      </c>
      <c r="X60" s="7">
        <f>IF($C60="","",W60-K60)</f>
        <v/>
      </c>
      <c r="AB60" s="7" t="n"/>
      <c r="AE60" s="11" t="n"/>
      <c r="AG60">
        <f>IF($C60="","",IF(COUNTIF($C$2:$C60,$C60)=1,1,0))</f>
        <v/>
      </c>
      <c r="AH60">
        <f>IF($AG60=1,SUMPRODUCT(--($AK$2:$AK$6001&lt;$AK60))+1,"")</f>
        <v/>
      </c>
      <c r="AI60">
        <f>IF($C60="","",IF(OR($N60=TRUE(),$N60="TRUE"),1,0))</f>
        <v/>
      </c>
      <c r="AJ60">
        <f>IF($C60="","",IF($T60="Yes",1,0))</f>
        <v/>
      </c>
      <c r="AK60">
        <f>IF($AG60=1,IFERROR(IF(VALUE($C60)&lt;100000000,VALUE($C60),1000000000),IFERROR(IF(VALUE(MID($C60,2,20))&lt;100000000,VALUE(MID($C60,2,20)),1000000000),1000000000))+ROW()/100000,"")</f>
        <v/>
      </c>
    </row>
    <row r="61">
      <c r="D61" s="11" t="n"/>
      <c r="K61" s="7">
        <f>IF($C61="","",J61*W61/100)</f>
        <v/>
      </c>
      <c r="Q61" s="7" t="n"/>
      <c r="R61" s="7" t="n"/>
      <c r="U61">
        <f>IF($C61="","",IF($AJ61=1,0,IF($AI61=1,Settings!$C$6,Settings!$C$7))*100)</f>
        <v/>
      </c>
      <c r="V61" s="7">
        <f>IF($C61="","",R61*U61/100)</f>
        <v/>
      </c>
      <c r="W61" s="7">
        <f>IF($C61="","",R61-V61)</f>
        <v/>
      </c>
      <c r="X61" s="7">
        <f>IF($C61="","",W61-K61)</f>
        <v/>
      </c>
      <c r="AB61" s="7" t="n"/>
      <c r="AE61" s="11" t="n"/>
      <c r="AG61">
        <f>IF($C61="","",IF(COUNTIF($C$2:$C61,$C61)=1,1,0))</f>
        <v/>
      </c>
      <c r="AH61">
        <f>IF($AG61=1,SUMPRODUCT(--($AK$2:$AK$6001&lt;$AK61))+1,"")</f>
        <v/>
      </c>
      <c r="AI61">
        <f>IF($C61="","",IF(OR($N61=TRUE(),$N61="TRUE"),1,0))</f>
        <v/>
      </c>
      <c r="AJ61">
        <f>IF($C61="","",IF($T61="Yes",1,0))</f>
        <v/>
      </c>
      <c r="AK61">
        <f>IF($AG61=1,IFERROR(IF(VALUE($C61)&lt;100000000,VALUE($C61),1000000000),IFERROR(IF(VALUE(MID($C61,2,20))&lt;100000000,VALUE(MID($C61,2,20)),1000000000),1000000000))+ROW()/100000,"")</f>
        <v/>
      </c>
    </row>
    <row r="62">
      <c r="D62" s="11" t="n"/>
      <c r="K62" s="7">
        <f>IF($C62="","",J62*W62/100)</f>
        <v/>
      </c>
      <c r="Q62" s="7" t="n"/>
      <c r="R62" s="7" t="n"/>
      <c r="U62">
        <f>IF($C62="","",IF($AJ62=1,0,IF($AI62=1,Settings!$C$6,Settings!$C$7))*100)</f>
        <v/>
      </c>
      <c r="V62" s="7">
        <f>IF($C62="","",R62*U62/100)</f>
        <v/>
      </c>
      <c r="W62" s="7">
        <f>IF($C62="","",R62-V62)</f>
        <v/>
      </c>
      <c r="X62" s="7">
        <f>IF($C62="","",W62-K62)</f>
        <v/>
      </c>
      <c r="AB62" s="7" t="n"/>
      <c r="AE62" s="11" t="n"/>
      <c r="AG62">
        <f>IF($C62="","",IF(COUNTIF($C$2:$C62,$C62)=1,1,0))</f>
        <v/>
      </c>
      <c r="AH62">
        <f>IF($AG62=1,SUMPRODUCT(--($AK$2:$AK$6001&lt;$AK62))+1,"")</f>
        <v/>
      </c>
      <c r="AI62">
        <f>IF($C62="","",IF(OR($N62=TRUE(),$N62="TRUE"),1,0))</f>
        <v/>
      </c>
      <c r="AJ62">
        <f>IF($C62="","",IF($T62="Yes",1,0))</f>
        <v/>
      </c>
      <c r="AK62">
        <f>IF($AG62=1,IFERROR(IF(VALUE($C62)&lt;100000000,VALUE($C62),1000000000),IFERROR(IF(VALUE(MID($C62,2,20))&lt;100000000,VALUE(MID($C62,2,20)),1000000000),1000000000))+ROW()/100000,"")</f>
        <v/>
      </c>
    </row>
    <row r="63">
      <c r="D63" s="11" t="n"/>
      <c r="K63" s="7">
        <f>IF($C63="","",J63*W63/100)</f>
        <v/>
      </c>
      <c r="Q63" s="7" t="n"/>
      <c r="R63" s="7" t="n"/>
      <c r="U63">
        <f>IF($C63="","",IF($AJ63=1,0,IF($AI63=1,Settings!$C$6,Settings!$C$7))*100)</f>
        <v/>
      </c>
      <c r="V63" s="7">
        <f>IF($C63="","",R63*U63/100)</f>
        <v/>
      </c>
      <c r="W63" s="7">
        <f>IF($C63="","",R63-V63)</f>
        <v/>
      </c>
      <c r="X63" s="7">
        <f>IF($C63="","",W63-K63)</f>
        <v/>
      </c>
      <c r="AB63" s="7" t="n"/>
      <c r="AE63" s="11" t="n"/>
      <c r="AG63">
        <f>IF($C63="","",IF(COUNTIF($C$2:$C63,$C63)=1,1,0))</f>
        <v/>
      </c>
      <c r="AH63">
        <f>IF($AG63=1,SUMPRODUCT(--($AK$2:$AK$6001&lt;$AK63))+1,"")</f>
        <v/>
      </c>
      <c r="AI63">
        <f>IF($C63="","",IF(OR($N63=TRUE(),$N63="TRUE"),1,0))</f>
        <v/>
      </c>
      <c r="AJ63">
        <f>IF($C63="","",IF($T63="Yes",1,0))</f>
        <v/>
      </c>
      <c r="AK63">
        <f>IF($AG63=1,IFERROR(IF(VALUE($C63)&lt;100000000,VALUE($C63),1000000000),IFERROR(IF(VALUE(MID($C63,2,20))&lt;100000000,VALUE(MID($C63,2,20)),1000000000),1000000000))+ROW()/100000,"")</f>
        <v/>
      </c>
    </row>
    <row r="64">
      <c r="D64" s="11" t="n"/>
      <c r="K64" s="7">
        <f>IF($C64="","",J64*W64/100)</f>
        <v/>
      </c>
      <c r="Q64" s="7" t="n"/>
      <c r="R64" s="7" t="n"/>
      <c r="U64">
        <f>IF($C64="","",IF($AJ64=1,0,IF($AI64=1,Settings!$C$6,Settings!$C$7))*100)</f>
        <v/>
      </c>
      <c r="V64" s="7">
        <f>IF($C64="","",R64*U64/100)</f>
        <v/>
      </c>
      <c r="W64" s="7">
        <f>IF($C64="","",R64-V64)</f>
        <v/>
      </c>
      <c r="X64" s="7">
        <f>IF($C64="","",W64-K64)</f>
        <v/>
      </c>
      <c r="AB64" s="7" t="n"/>
      <c r="AE64" s="11" t="n"/>
      <c r="AG64">
        <f>IF($C64="","",IF(COUNTIF($C$2:$C64,$C64)=1,1,0))</f>
        <v/>
      </c>
      <c r="AH64">
        <f>IF($AG64=1,SUMPRODUCT(--($AK$2:$AK$6001&lt;$AK64))+1,"")</f>
        <v/>
      </c>
      <c r="AI64">
        <f>IF($C64="","",IF(OR($N64=TRUE(),$N64="TRUE"),1,0))</f>
        <v/>
      </c>
      <c r="AJ64">
        <f>IF($C64="","",IF($T64="Yes",1,0))</f>
        <v/>
      </c>
      <c r="AK64">
        <f>IF($AG64=1,IFERROR(IF(VALUE($C64)&lt;100000000,VALUE($C64),1000000000),IFERROR(IF(VALUE(MID($C64,2,20))&lt;100000000,VALUE(MID($C64,2,20)),1000000000),1000000000))+ROW()/100000,"")</f>
        <v/>
      </c>
    </row>
    <row r="65">
      <c r="D65" s="11" t="n"/>
      <c r="K65" s="7">
        <f>IF($C65="","",J65*W65/100)</f>
        <v/>
      </c>
      <c r="Q65" s="7" t="n"/>
      <c r="R65" s="7" t="n"/>
      <c r="U65">
        <f>IF($C65="","",IF($AJ65=1,0,IF($AI65=1,Settings!$C$6,Settings!$C$7))*100)</f>
        <v/>
      </c>
      <c r="V65" s="7">
        <f>IF($C65="","",R65*U65/100)</f>
        <v/>
      </c>
      <c r="W65" s="7">
        <f>IF($C65="","",R65-V65)</f>
        <v/>
      </c>
      <c r="X65" s="7">
        <f>IF($C65="","",W65-K65)</f>
        <v/>
      </c>
      <c r="AB65" s="7" t="n"/>
      <c r="AE65" s="11" t="n"/>
      <c r="AG65">
        <f>IF($C65="","",IF(COUNTIF($C$2:$C65,$C65)=1,1,0))</f>
        <v/>
      </c>
      <c r="AH65">
        <f>IF($AG65=1,SUMPRODUCT(--($AK$2:$AK$6001&lt;$AK65))+1,"")</f>
        <v/>
      </c>
      <c r="AI65">
        <f>IF($C65="","",IF(OR($N65=TRUE(),$N65="TRUE"),1,0))</f>
        <v/>
      </c>
      <c r="AJ65">
        <f>IF($C65="","",IF($T65="Yes",1,0))</f>
        <v/>
      </c>
      <c r="AK65">
        <f>IF($AG65=1,IFERROR(IF(VALUE($C65)&lt;100000000,VALUE($C65),1000000000),IFERROR(IF(VALUE(MID($C65,2,20))&lt;100000000,VALUE(MID($C65,2,20)),1000000000),1000000000))+ROW()/100000,"")</f>
        <v/>
      </c>
    </row>
    <row r="66">
      <c r="D66" s="11" t="n"/>
      <c r="K66" s="7">
        <f>IF($C66="","",J66*W66/100)</f>
        <v/>
      </c>
      <c r="Q66" s="7" t="n"/>
      <c r="R66" s="7" t="n"/>
      <c r="U66">
        <f>IF($C66="","",IF($AJ66=1,0,IF($AI66=1,Settings!$C$6,Settings!$C$7))*100)</f>
        <v/>
      </c>
      <c r="V66" s="7">
        <f>IF($C66="","",R66*U66/100)</f>
        <v/>
      </c>
      <c r="W66" s="7">
        <f>IF($C66="","",R66-V66)</f>
        <v/>
      </c>
      <c r="X66" s="7">
        <f>IF($C66="","",W66-K66)</f>
        <v/>
      </c>
      <c r="AB66" s="7" t="n"/>
      <c r="AE66" s="11" t="n"/>
      <c r="AG66">
        <f>IF($C66="","",IF(COUNTIF($C$2:$C66,$C66)=1,1,0))</f>
        <v/>
      </c>
      <c r="AH66">
        <f>IF($AG66=1,SUMPRODUCT(--($AK$2:$AK$6001&lt;$AK66))+1,"")</f>
        <v/>
      </c>
      <c r="AI66">
        <f>IF($C66="","",IF(OR($N66=TRUE(),$N66="TRUE"),1,0))</f>
        <v/>
      </c>
      <c r="AJ66">
        <f>IF($C66="","",IF($T66="Yes",1,0))</f>
        <v/>
      </c>
      <c r="AK66">
        <f>IF($AG66=1,IFERROR(IF(VALUE($C66)&lt;100000000,VALUE($C66),1000000000),IFERROR(IF(VALUE(MID($C66,2,20))&lt;100000000,VALUE(MID($C66,2,20)),1000000000),1000000000))+ROW()/100000,"")</f>
        <v/>
      </c>
    </row>
    <row r="67">
      <c r="D67" s="11" t="n"/>
      <c r="K67" s="7">
        <f>IF($C67="","",J67*W67/100)</f>
        <v/>
      </c>
      <c r="Q67" s="7" t="n"/>
      <c r="R67" s="7" t="n"/>
      <c r="U67">
        <f>IF($C67="","",IF($AJ67=1,0,IF($AI67=1,Settings!$C$6,Settings!$C$7))*100)</f>
        <v/>
      </c>
      <c r="V67" s="7">
        <f>IF($C67="","",R67*U67/100)</f>
        <v/>
      </c>
      <c r="W67" s="7">
        <f>IF($C67="","",R67-V67)</f>
        <v/>
      </c>
      <c r="X67" s="7">
        <f>IF($C67="","",W67-K67)</f>
        <v/>
      </c>
      <c r="AB67" s="7" t="n"/>
      <c r="AE67" s="11" t="n"/>
      <c r="AG67">
        <f>IF($C67="","",IF(COUNTIF($C$2:$C67,$C67)=1,1,0))</f>
        <v/>
      </c>
      <c r="AH67">
        <f>IF($AG67=1,SUMPRODUCT(--($AK$2:$AK$6001&lt;$AK67))+1,"")</f>
        <v/>
      </c>
      <c r="AI67">
        <f>IF($C67="","",IF(OR($N67=TRUE(),$N67="TRUE"),1,0))</f>
        <v/>
      </c>
      <c r="AJ67">
        <f>IF($C67="","",IF($T67="Yes",1,0))</f>
        <v/>
      </c>
      <c r="AK67">
        <f>IF($AG67=1,IFERROR(IF(VALUE($C67)&lt;100000000,VALUE($C67),1000000000),IFERROR(IF(VALUE(MID($C67,2,20))&lt;100000000,VALUE(MID($C67,2,20)),1000000000),1000000000))+ROW()/100000,"")</f>
        <v/>
      </c>
    </row>
    <row r="68">
      <c r="D68" s="11" t="n"/>
      <c r="K68" s="7">
        <f>IF($C68="","",J68*W68/100)</f>
        <v/>
      </c>
      <c r="Q68" s="7" t="n"/>
      <c r="R68" s="7" t="n"/>
      <c r="U68">
        <f>IF($C68="","",IF($AJ68=1,0,IF($AI68=1,Settings!$C$6,Settings!$C$7))*100)</f>
        <v/>
      </c>
      <c r="V68" s="7">
        <f>IF($C68="","",R68*U68/100)</f>
        <v/>
      </c>
      <c r="W68" s="7">
        <f>IF($C68="","",R68-V68)</f>
        <v/>
      </c>
      <c r="X68" s="7">
        <f>IF($C68="","",W68-K68)</f>
        <v/>
      </c>
      <c r="AB68" s="7" t="n"/>
      <c r="AE68" s="11" t="n"/>
      <c r="AG68">
        <f>IF($C68="","",IF(COUNTIF($C$2:$C68,$C68)=1,1,0))</f>
        <v/>
      </c>
      <c r="AH68">
        <f>IF($AG68=1,SUMPRODUCT(--($AK$2:$AK$6001&lt;$AK68))+1,"")</f>
        <v/>
      </c>
      <c r="AI68">
        <f>IF($C68="","",IF(OR($N68=TRUE(),$N68="TRUE"),1,0))</f>
        <v/>
      </c>
      <c r="AJ68">
        <f>IF($C68="","",IF($T68="Yes",1,0))</f>
        <v/>
      </c>
      <c r="AK68">
        <f>IF($AG68=1,IFERROR(IF(VALUE($C68)&lt;100000000,VALUE($C68),1000000000),IFERROR(IF(VALUE(MID($C68,2,20))&lt;100000000,VALUE(MID($C68,2,20)),1000000000),1000000000))+ROW()/100000,"")</f>
        <v/>
      </c>
    </row>
    <row r="69">
      <c r="D69" s="11" t="n"/>
      <c r="K69" s="7">
        <f>IF($C69="","",J69*W69/100)</f>
        <v/>
      </c>
      <c r="Q69" s="7" t="n"/>
      <c r="R69" s="7" t="n"/>
      <c r="U69">
        <f>IF($C69="","",IF($AJ69=1,0,IF($AI69=1,Settings!$C$6,Settings!$C$7))*100)</f>
        <v/>
      </c>
      <c r="V69" s="7">
        <f>IF($C69="","",R69*U69/100)</f>
        <v/>
      </c>
      <c r="W69" s="7">
        <f>IF($C69="","",R69-V69)</f>
        <v/>
      </c>
      <c r="X69" s="7">
        <f>IF($C69="","",W69-K69)</f>
        <v/>
      </c>
      <c r="AB69" s="7" t="n"/>
      <c r="AE69" s="11" t="n"/>
      <c r="AG69">
        <f>IF($C69="","",IF(COUNTIF($C$2:$C69,$C69)=1,1,0))</f>
        <v/>
      </c>
      <c r="AH69">
        <f>IF($AG69=1,SUMPRODUCT(--($AK$2:$AK$6001&lt;$AK69))+1,"")</f>
        <v/>
      </c>
      <c r="AI69">
        <f>IF($C69="","",IF(OR($N69=TRUE(),$N69="TRUE"),1,0))</f>
        <v/>
      </c>
      <c r="AJ69">
        <f>IF($C69="","",IF($T69="Yes",1,0))</f>
        <v/>
      </c>
      <c r="AK69">
        <f>IF($AG69=1,IFERROR(IF(VALUE($C69)&lt;100000000,VALUE($C69),1000000000),IFERROR(IF(VALUE(MID($C69,2,20))&lt;100000000,VALUE(MID($C69,2,20)),1000000000),1000000000))+ROW()/100000,"")</f>
        <v/>
      </c>
    </row>
    <row r="70">
      <c r="D70" s="11" t="n"/>
      <c r="K70" s="7">
        <f>IF($C70="","",J70*W70/100)</f>
        <v/>
      </c>
      <c r="Q70" s="7" t="n"/>
      <c r="R70" s="7" t="n"/>
      <c r="U70">
        <f>IF($C70="","",IF($AJ70=1,0,IF($AI70=1,Settings!$C$6,Settings!$C$7))*100)</f>
        <v/>
      </c>
      <c r="V70" s="7">
        <f>IF($C70="","",R70*U70/100)</f>
        <v/>
      </c>
      <c r="W70" s="7">
        <f>IF($C70="","",R70-V70)</f>
        <v/>
      </c>
      <c r="X70" s="7">
        <f>IF($C70="","",W70-K70)</f>
        <v/>
      </c>
      <c r="AB70" s="7" t="n"/>
      <c r="AE70" s="11" t="n"/>
      <c r="AG70">
        <f>IF($C70="","",IF(COUNTIF($C$2:$C70,$C70)=1,1,0))</f>
        <v/>
      </c>
      <c r="AH70">
        <f>IF($AG70=1,SUMPRODUCT(--($AK$2:$AK$6001&lt;$AK70))+1,"")</f>
        <v/>
      </c>
      <c r="AI70">
        <f>IF($C70="","",IF(OR($N70=TRUE(),$N70="TRUE"),1,0))</f>
        <v/>
      </c>
      <c r="AJ70">
        <f>IF($C70="","",IF($T70="Yes",1,0))</f>
        <v/>
      </c>
      <c r="AK70">
        <f>IF($AG70=1,IFERROR(IF(VALUE($C70)&lt;100000000,VALUE($C70),1000000000),IFERROR(IF(VALUE(MID($C70,2,20))&lt;100000000,VALUE(MID($C70,2,20)),1000000000),1000000000))+ROW()/100000,"")</f>
        <v/>
      </c>
    </row>
    <row r="71">
      <c r="D71" s="11" t="n"/>
      <c r="K71" s="7">
        <f>IF($C71="","",J71*W71/100)</f>
        <v/>
      </c>
      <c r="Q71" s="7" t="n"/>
      <c r="R71" s="7" t="n"/>
      <c r="U71">
        <f>IF($C71="","",IF($AJ71=1,0,IF($AI71=1,Settings!$C$6,Settings!$C$7))*100)</f>
        <v/>
      </c>
      <c r="V71" s="7">
        <f>IF($C71="","",R71*U71/100)</f>
        <v/>
      </c>
      <c r="W71" s="7">
        <f>IF($C71="","",R71-V71)</f>
        <v/>
      </c>
      <c r="X71" s="7">
        <f>IF($C71="","",W71-K71)</f>
        <v/>
      </c>
      <c r="AB71" s="7" t="n"/>
      <c r="AE71" s="11" t="n"/>
      <c r="AG71">
        <f>IF($C71="","",IF(COUNTIF($C$2:$C71,$C71)=1,1,0))</f>
        <v/>
      </c>
      <c r="AH71">
        <f>IF($AG71=1,SUMPRODUCT(--($AK$2:$AK$6001&lt;$AK71))+1,"")</f>
        <v/>
      </c>
      <c r="AI71">
        <f>IF($C71="","",IF(OR($N71=TRUE(),$N71="TRUE"),1,0))</f>
        <v/>
      </c>
      <c r="AJ71">
        <f>IF($C71="","",IF($T71="Yes",1,0))</f>
        <v/>
      </c>
      <c r="AK71">
        <f>IF($AG71=1,IFERROR(IF(VALUE($C71)&lt;100000000,VALUE($C71),1000000000),IFERROR(IF(VALUE(MID($C71,2,20))&lt;100000000,VALUE(MID($C71,2,20)),1000000000),1000000000))+ROW()/100000,"")</f>
        <v/>
      </c>
    </row>
    <row r="72">
      <c r="D72" s="11" t="n"/>
      <c r="K72" s="7">
        <f>IF($C72="","",J72*W72/100)</f>
        <v/>
      </c>
      <c r="Q72" s="7" t="n"/>
      <c r="R72" s="7" t="n"/>
      <c r="U72">
        <f>IF($C72="","",IF($AJ72=1,0,IF($AI72=1,Settings!$C$6,Settings!$C$7))*100)</f>
        <v/>
      </c>
      <c r="V72" s="7">
        <f>IF($C72="","",R72*U72/100)</f>
        <v/>
      </c>
      <c r="W72" s="7">
        <f>IF($C72="","",R72-V72)</f>
        <v/>
      </c>
      <c r="X72" s="7">
        <f>IF($C72="","",W72-K72)</f>
        <v/>
      </c>
      <c r="AB72" s="7" t="n"/>
      <c r="AE72" s="11" t="n"/>
      <c r="AG72">
        <f>IF($C72="","",IF(COUNTIF($C$2:$C72,$C72)=1,1,0))</f>
        <v/>
      </c>
      <c r="AH72">
        <f>IF($AG72=1,SUMPRODUCT(--($AK$2:$AK$6001&lt;$AK72))+1,"")</f>
        <v/>
      </c>
      <c r="AI72">
        <f>IF($C72="","",IF(OR($N72=TRUE(),$N72="TRUE"),1,0))</f>
        <v/>
      </c>
      <c r="AJ72">
        <f>IF($C72="","",IF($T72="Yes",1,0))</f>
        <v/>
      </c>
      <c r="AK72">
        <f>IF($AG72=1,IFERROR(IF(VALUE($C72)&lt;100000000,VALUE($C72),1000000000),IFERROR(IF(VALUE(MID($C72,2,20))&lt;100000000,VALUE(MID($C72,2,20)),1000000000),1000000000))+ROW()/100000,"")</f>
        <v/>
      </c>
    </row>
    <row r="73">
      <c r="D73" s="11" t="n"/>
      <c r="K73" s="7">
        <f>IF($C73="","",J73*W73/100)</f>
        <v/>
      </c>
      <c r="Q73" s="7" t="n"/>
      <c r="R73" s="7" t="n"/>
      <c r="U73">
        <f>IF($C73="","",IF($AJ73=1,0,IF($AI73=1,Settings!$C$6,Settings!$C$7))*100)</f>
        <v/>
      </c>
      <c r="V73" s="7">
        <f>IF($C73="","",R73*U73/100)</f>
        <v/>
      </c>
      <c r="W73" s="7">
        <f>IF($C73="","",R73-V73)</f>
        <v/>
      </c>
      <c r="X73" s="7">
        <f>IF($C73="","",W73-K73)</f>
        <v/>
      </c>
      <c r="AB73" s="7" t="n"/>
      <c r="AE73" s="11" t="n"/>
      <c r="AG73">
        <f>IF($C73="","",IF(COUNTIF($C$2:$C73,$C73)=1,1,0))</f>
        <v/>
      </c>
      <c r="AH73">
        <f>IF($AG73=1,SUMPRODUCT(--($AK$2:$AK$6001&lt;$AK73))+1,"")</f>
        <v/>
      </c>
      <c r="AI73">
        <f>IF($C73="","",IF(OR($N73=TRUE(),$N73="TRUE"),1,0))</f>
        <v/>
      </c>
      <c r="AJ73">
        <f>IF($C73="","",IF($T73="Yes",1,0))</f>
        <v/>
      </c>
      <c r="AK73">
        <f>IF($AG73=1,IFERROR(IF(VALUE($C73)&lt;100000000,VALUE($C73),1000000000),IFERROR(IF(VALUE(MID($C73,2,20))&lt;100000000,VALUE(MID($C73,2,20)),1000000000),1000000000))+ROW()/100000,"")</f>
        <v/>
      </c>
    </row>
    <row r="74">
      <c r="D74" s="11" t="n"/>
      <c r="K74" s="7">
        <f>IF($C74="","",J74*W74/100)</f>
        <v/>
      </c>
      <c r="Q74" s="7" t="n"/>
      <c r="R74" s="7" t="n"/>
      <c r="U74">
        <f>IF($C74="","",IF($AJ74=1,0,IF($AI74=1,Settings!$C$6,Settings!$C$7))*100)</f>
        <v/>
      </c>
      <c r="V74" s="7">
        <f>IF($C74="","",R74*U74/100)</f>
        <v/>
      </c>
      <c r="W74" s="7">
        <f>IF($C74="","",R74-V74)</f>
        <v/>
      </c>
      <c r="X74" s="7">
        <f>IF($C74="","",W74-K74)</f>
        <v/>
      </c>
      <c r="AB74" s="7" t="n"/>
      <c r="AE74" s="11" t="n"/>
      <c r="AG74">
        <f>IF($C74="","",IF(COUNTIF($C$2:$C74,$C74)=1,1,0))</f>
        <v/>
      </c>
      <c r="AH74">
        <f>IF($AG74=1,SUMPRODUCT(--($AK$2:$AK$6001&lt;$AK74))+1,"")</f>
        <v/>
      </c>
      <c r="AI74">
        <f>IF($C74="","",IF(OR($N74=TRUE(),$N74="TRUE"),1,0))</f>
        <v/>
      </c>
      <c r="AJ74">
        <f>IF($C74="","",IF($T74="Yes",1,0))</f>
        <v/>
      </c>
      <c r="AK74">
        <f>IF($AG74=1,IFERROR(IF(VALUE($C74)&lt;100000000,VALUE($C74),1000000000),IFERROR(IF(VALUE(MID($C74,2,20))&lt;100000000,VALUE(MID($C74,2,20)),1000000000),1000000000))+ROW()/100000,"")</f>
        <v/>
      </c>
    </row>
    <row r="75">
      <c r="D75" s="11" t="n"/>
      <c r="K75" s="7">
        <f>IF($C75="","",J75*W75/100)</f>
        <v/>
      </c>
      <c r="Q75" s="7" t="n"/>
      <c r="R75" s="7" t="n"/>
      <c r="U75">
        <f>IF($C75="","",IF($AJ75=1,0,IF($AI75=1,Settings!$C$6,Settings!$C$7))*100)</f>
        <v/>
      </c>
      <c r="V75" s="7">
        <f>IF($C75="","",R75*U75/100)</f>
        <v/>
      </c>
      <c r="W75" s="7">
        <f>IF($C75="","",R75-V75)</f>
        <v/>
      </c>
      <c r="X75" s="7">
        <f>IF($C75="","",W75-K75)</f>
        <v/>
      </c>
      <c r="AB75" s="7" t="n"/>
      <c r="AE75" s="11" t="n"/>
      <c r="AG75">
        <f>IF($C75="","",IF(COUNTIF($C$2:$C75,$C75)=1,1,0))</f>
        <v/>
      </c>
      <c r="AH75">
        <f>IF($AG75=1,SUMPRODUCT(--($AK$2:$AK$6001&lt;$AK75))+1,"")</f>
        <v/>
      </c>
      <c r="AI75">
        <f>IF($C75="","",IF(OR($N75=TRUE(),$N75="TRUE"),1,0))</f>
        <v/>
      </c>
      <c r="AJ75">
        <f>IF($C75="","",IF($T75="Yes",1,0))</f>
        <v/>
      </c>
      <c r="AK75">
        <f>IF($AG75=1,IFERROR(IF(VALUE($C75)&lt;100000000,VALUE($C75),1000000000),IFERROR(IF(VALUE(MID($C75,2,20))&lt;100000000,VALUE(MID($C75,2,20)),1000000000),1000000000))+ROW()/100000,"")</f>
        <v/>
      </c>
    </row>
    <row r="76">
      <c r="D76" s="11" t="n"/>
      <c r="K76" s="7">
        <f>IF($C76="","",J76*W76/100)</f>
        <v/>
      </c>
      <c r="Q76" s="7" t="n"/>
      <c r="R76" s="7" t="n"/>
      <c r="U76">
        <f>IF($C76="","",IF($AJ76=1,0,IF($AI76=1,Settings!$C$6,Settings!$C$7))*100)</f>
        <v/>
      </c>
      <c r="V76" s="7">
        <f>IF($C76="","",R76*U76/100)</f>
        <v/>
      </c>
      <c r="W76" s="7">
        <f>IF($C76="","",R76-V76)</f>
        <v/>
      </c>
      <c r="X76" s="7">
        <f>IF($C76="","",W76-K76)</f>
        <v/>
      </c>
      <c r="AB76" s="7" t="n"/>
      <c r="AE76" s="11" t="n"/>
      <c r="AG76">
        <f>IF($C76="","",IF(COUNTIF($C$2:$C76,$C76)=1,1,0))</f>
        <v/>
      </c>
      <c r="AH76">
        <f>IF($AG76=1,SUMPRODUCT(--($AK$2:$AK$6001&lt;$AK76))+1,"")</f>
        <v/>
      </c>
      <c r="AI76">
        <f>IF($C76="","",IF(OR($N76=TRUE(),$N76="TRUE"),1,0))</f>
        <v/>
      </c>
      <c r="AJ76">
        <f>IF($C76="","",IF($T76="Yes",1,0))</f>
        <v/>
      </c>
      <c r="AK76">
        <f>IF($AG76=1,IFERROR(IF(VALUE($C76)&lt;100000000,VALUE($C76),1000000000),IFERROR(IF(VALUE(MID($C76,2,20))&lt;100000000,VALUE(MID($C76,2,20)),1000000000),1000000000))+ROW()/100000,"")</f>
        <v/>
      </c>
    </row>
    <row r="77">
      <c r="D77" s="11" t="n"/>
      <c r="K77" s="7">
        <f>IF($C77="","",J77*W77/100)</f>
        <v/>
      </c>
      <c r="Q77" s="7" t="n"/>
      <c r="R77" s="7" t="n"/>
      <c r="U77">
        <f>IF($C77="","",IF($AJ77=1,0,IF($AI77=1,Settings!$C$6,Settings!$C$7))*100)</f>
        <v/>
      </c>
      <c r="V77" s="7">
        <f>IF($C77="","",R77*U77/100)</f>
        <v/>
      </c>
      <c r="W77" s="7">
        <f>IF($C77="","",R77-V77)</f>
        <v/>
      </c>
      <c r="X77" s="7">
        <f>IF($C77="","",W77-K77)</f>
        <v/>
      </c>
      <c r="AB77" s="7" t="n"/>
      <c r="AE77" s="11" t="n"/>
      <c r="AG77">
        <f>IF($C77="","",IF(COUNTIF($C$2:$C77,$C77)=1,1,0))</f>
        <v/>
      </c>
      <c r="AH77">
        <f>IF($AG77=1,SUMPRODUCT(--($AK$2:$AK$6001&lt;$AK77))+1,"")</f>
        <v/>
      </c>
      <c r="AI77">
        <f>IF($C77="","",IF(OR($N77=TRUE(),$N77="TRUE"),1,0))</f>
        <v/>
      </c>
      <c r="AJ77">
        <f>IF($C77="","",IF($T77="Yes",1,0))</f>
        <v/>
      </c>
      <c r="AK77">
        <f>IF($AG77=1,IFERROR(IF(VALUE($C77)&lt;100000000,VALUE($C77),1000000000),IFERROR(IF(VALUE(MID($C77,2,20))&lt;100000000,VALUE(MID($C77,2,20)),1000000000),1000000000))+ROW()/100000,"")</f>
        <v/>
      </c>
    </row>
    <row r="78">
      <c r="D78" s="11" t="n"/>
      <c r="K78" s="7">
        <f>IF($C78="","",J78*W78/100)</f>
        <v/>
      </c>
      <c r="Q78" s="7" t="n"/>
      <c r="R78" s="7" t="n"/>
      <c r="U78">
        <f>IF($C78="","",IF($AJ78=1,0,IF($AI78=1,Settings!$C$6,Settings!$C$7))*100)</f>
        <v/>
      </c>
      <c r="V78" s="7">
        <f>IF($C78="","",R78*U78/100)</f>
        <v/>
      </c>
      <c r="W78" s="7">
        <f>IF($C78="","",R78-V78)</f>
        <v/>
      </c>
      <c r="X78" s="7">
        <f>IF($C78="","",W78-K78)</f>
        <v/>
      </c>
      <c r="AB78" s="7" t="n"/>
      <c r="AE78" s="11" t="n"/>
      <c r="AG78">
        <f>IF($C78="","",IF(COUNTIF($C$2:$C78,$C78)=1,1,0))</f>
        <v/>
      </c>
      <c r="AH78">
        <f>IF($AG78=1,SUMPRODUCT(--($AK$2:$AK$6001&lt;$AK78))+1,"")</f>
        <v/>
      </c>
      <c r="AI78">
        <f>IF($C78="","",IF(OR($N78=TRUE(),$N78="TRUE"),1,0))</f>
        <v/>
      </c>
      <c r="AJ78">
        <f>IF($C78="","",IF($T78="Yes",1,0))</f>
        <v/>
      </c>
      <c r="AK78">
        <f>IF($AG78=1,IFERROR(IF(VALUE($C78)&lt;100000000,VALUE($C78),1000000000),IFERROR(IF(VALUE(MID($C78,2,20))&lt;100000000,VALUE(MID($C78,2,20)),1000000000),1000000000))+ROW()/100000,"")</f>
        <v/>
      </c>
    </row>
    <row r="79">
      <c r="D79" s="11" t="n"/>
      <c r="K79" s="7">
        <f>IF($C79="","",J79*W79/100)</f>
        <v/>
      </c>
      <c r="Q79" s="7" t="n"/>
      <c r="R79" s="7" t="n"/>
      <c r="U79">
        <f>IF($C79="","",IF($AJ79=1,0,IF($AI79=1,Settings!$C$6,Settings!$C$7))*100)</f>
        <v/>
      </c>
      <c r="V79" s="7">
        <f>IF($C79="","",R79*U79/100)</f>
        <v/>
      </c>
      <c r="W79" s="7">
        <f>IF($C79="","",R79-V79)</f>
        <v/>
      </c>
      <c r="X79" s="7">
        <f>IF($C79="","",W79-K79)</f>
        <v/>
      </c>
      <c r="AB79" s="7" t="n"/>
      <c r="AE79" s="11" t="n"/>
      <c r="AG79">
        <f>IF($C79="","",IF(COUNTIF($C$2:$C79,$C79)=1,1,0))</f>
        <v/>
      </c>
      <c r="AH79">
        <f>IF($AG79=1,SUMPRODUCT(--($AK$2:$AK$6001&lt;$AK79))+1,"")</f>
        <v/>
      </c>
      <c r="AI79">
        <f>IF($C79="","",IF(OR($N79=TRUE(),$N79="TRUE"),1,0))</f>
        <v/>
      </c>
      <c r="AJ79">
        <f>IF($C79="","",IF($T79="Yes",1,0))</f>
        <v/>
      </c>
      <c r="AK79">
        <f>IF($AG79=1,IFERROR(IF(VALUE($C79)&lt;100000000,VALUE($C79),1000000000),IFERROR(IF(VALUE(MID($C79,2,20))&lt;100000000,VALUE(MID($C79,2,20)),1000000000),1000000000))+ROW()/100000,"")</f>
        <v/>
      </c>
    </row>
    <row r="80">
      <c r="D80" s="11" t="n"/>
      <c r="K80" s="7">
        <f>IF($C80="","",J80*W80/100)</f>
        <v/>
      </c>
      <c r="Q80" s="7" t="n"/>
      <c r="R80" s="7" t="n"/>
      <c r="U80">
        <f>IF($C80="","",IF($AJ80=1,0,IF($AI80=1,Settings!$C$6,Settings!$C$7))*100)</f>
        <v/>
      </c>
      <c r="V80" s="7">
        <f>IF($C80="","",R80*U80/100)</f>
        <v/>
      </c>
      <c r="W80" s="7">
        <f>IF($C80="","",R80-V80)</f>
        <v/>
      </c>
      <c r="X80" s="7">
        <f>IF($C80="","",W80-K80)</f>
        <v/>
      </c>
      <c r="AB80" s="7" t="n"/>
      <c r="AE80" s="11" t="n"/>
      <c r="AG80">
        <f>IF($C80="","",IF(COUNTIF($C$2:$C80,$C80)=1,1,0))</f>
        <v/>
      </c>
      <c r="AH80">
        <f>IF($AG80=1,SUMPRODUCT(--($AK$2:$AK$6001&lt;$AK80))+1,"")</f>
        <v/>
      </c>
      <c r="AI80">
        <f>IF($C80="","",IF(OR($N80=TRUE(),$N80="TRUE"),1,0))</f>
        <v/>
      </c>
      <c r="AJ80">
        <f>IF($C80="","",IF($T80="Yes",1,0))</f>
        <v/>
      </c>
      <c r="AK80">
        <f>IF($AG80=1,IFERROR(IF(VALUE($C80)&lt;100000000,VALUE($C80),1000000000),IFERROR(IF(VALUE(MID($C80,2,20))&lt;100000000,VALUE(MID($C80,2,20)),1000000000),1000000000))+ROW()/100000,"")</f>
        <v/>
      </c>
    </row>
    <row r="81">
      <c r="D81" s="11" t="n"/>
      <c r="K81" s="7">
        <f>IF($C81="","",J81*W81/100)</f>
        <v/>
      </c>
      <c r="Q81" s="7" t="n"/>
      <c r="R81" s="7" t="n"/>
      <c r="U81">
        <f>IF($C81="","",IF($AJ81=1,0,IF($AI81=1,Settings!$C$6,Settings!$C$7))*100)</f>
        <v/>
      </c>
      <c r="V81" s="7">
        <f>IF($C81="","",R81*U81/100)</f>
        <v/>
      </c>
      <c r="W81" s="7">
        <f>IF($C81="","",R81-V81)</f>
        <v/>
      </c>
      <c r="X81" s="7">
        <f>IF($C81="","",W81-K81)</f>
        <v/>
      </c>
      <c r="AB81" s="7" t="n"/>
      <c r="AE81" s="11" t="n"/>
      <c r="AG81">
        <f>IF($C81="","",IF(COUNTIF($C$2:$C81,$C81)=1,1,0))</f>
        <v/>
      </c>
      <c r="AH81">
        <f>IF($AG81=1,SUMPRODUCT(--($AK$2:$AK$6001&lt;$AK81))+1,"")</f>
        <v/>
      </c>
      <c r="AI81">
        <f>IF($C81="","",IF(OR($N81=TRUE(),$N81="TRUE"),1,0))</f>
        <v/>
      </c>
      <c r="AJ81">
        <f>IF($C81="","",IF($T81="Yes",1,0))</f>
        <v/>
      </c>
      <c r="AK81">
        <f>IF($AG81=1,IFERROR(IF(VALUE($C81)&lt;100000000,VALUE($C81),1000000000),IFERROR(IF(VALUE(MID($C81,2,20))&lt;100000000,VALUE(MID($C81,2,20)),1000000000),1000000000))+ROW()/100000,"")</f>
        <v/>
      </c>
    </row>
    <row r="82">
      <c r="D82" s="11" t="n"/>
      <c r="K82" s="7">
        <f>IF($C82="","",J82*W82/100)</f>
        <v/>
      </c>
      <c r="Q82" s="7" t="n"/>
      <c r="R82" s="7" t="n"/>
      <c r="U82">
        <f>IF($C82="","",IF($AJ82=1,0,IF($AI82=1,Settings!$C$6,Settings!$C$7))*100)</f>
        <v/>
      </c>
      <c r="V82" s="7">
        <f>IF($C82="","",R82*U82/100)</f>
        <v/>
      </c>
      <c r="W82" s="7">
        <f>IF($C82="","",R82-V82)</f>
        <v/>
      </c>
      <c r="X82" s="7">
        <f>IF($C82="","",W82-K82)</f>
        <v/>
      </c>
      <c r="AB82" s="7" t="n"/>
      <c r="AE82" s="11" t="n"/>
      <c r="AG82">
        <f>IF($C82="","",IF(COUNTIF($C$2:$C82,$C82)=1,1,0))</f>
        <v/>
      </c>
      <c r="AH82">
        <f>IF($AG82=1,SUMPRODUCT(--($AK$2:$AK$6001&lt;$AK82))+1,"")</f>
        <v/>
      </c>
      <c r="AI82">
        <f>IF($C82="","",IF(OR($N82=TRUE(),$N82="TRUE"),1,0))</f>
        <v/>
      </c>
      <c r="AJ82">
        <f>IF($C82="","",IF($T82="Yes",1,0))</f>
        <v/>
      </c>
      <c r="AK82">
        <f>IF($AG82=1,IFERROR(IF(VALUE($C82)&lt;100000000,VALUE($C82),1000000000),IFERROR(IF(VALUE(MID($C82,2,20))&lt;100000000,VALUE(MID($C82,2,20)),1000000000),1000000000))+ROW()/100000,"")</f>
        <v/>
      </c>
    </row>
    <row r="83">
      <c r="D83" s="11" t="n"/>
      <c r="K83" s="7">
        <f>IF($C83="","",J83*W83/100)</f>
        <v/>
      </c>
      <c r="Q83" s="7" t="n"/>
      <c r="R83" s="7" t="n"/>
      <c r="U83">
        <f>IF($C83="","",IF($AJ83=1,0,IF($AI83=1,Settings!$C$6,Settings!$C$7))*100)</f>
        <v/>
      </c>
      <c r="V83" s="7">
        <f>IF($C83="","",R83*U83/100)</f>
        <v/>
      </c>
      <c r="W83" s="7">
        <f>IF($C83="","",R83-V83)</f>
        <v/>
      </c>
      <c r="X83" s="7">
        <f>IF($C83="","",W83-K83)</f>
        <v/>
      </c>
      <c r="AB83" s="7" t="n"/>
      <c r="AE83" s="11" t="n"/>
      <c r="AG83">
        <f>IF($C83="","",IF(COUNTIF($C$2:$C83,$C83)=1,1,0))</f>
        <v/>
      </c>
      <c r="AH83">
        <f>IF($AG83=1,SUMPRODUCT(--($AK$2:$AK$6001&lt;$AK83))+1,"")</f>
        <v/>
      </c>
      <c r="AI83">
        <f>IF($C83="","",IF(OR($N83=TRUE(),$N83="TRUE"),1,0))</f>
        <v/>
      </c>
      <c r="AJ83">
        <f>IF($C83="","",IF($T83="Yes",1,0))</f>
        <v/>
      </c>
      <c r="AK83">
        <f>IF($AG83=1,IFERROR(IF(VALUE($C83)&lt;100000000,VALUE($C83),1000000000),IFERROR(IF(VALUE(MID($C83,2,20))&lt;100000000,VALUE(MID($C83,2,20)),1000000000),1000000000))+ROW()/100000,"")</f>
        <v/>
      </c>
    </row>
    <row r="84">
      <c r="D84" s="11" t="n"/>
      <c r="K84" s="7">
        <f>IF($C84="","",J84*W84/100)</f>
        <v/>
      </c>
      <c r="Q84" s="7" t="n"/>
      <c r="R84" s="7" t="n"/>
      <c r="U84">
        <f>IF($C84="","",IF($AJ84=1,0,IF($AI84=1,Settings!$C$6,Settings!$C$7))*100)</f>
        <v/>
      </c>
      <c r="V84" s="7">
        <f>IF($C84="","",R84*U84/100)</f>
        <v/>
      </c>
      <c r="W84" s="7">
        <f>IF($C84="","",R84-V84)</f>
        <v/>
      </c>
      <c r="X84" s="7">
        <f>IF($C84="","",W84-K84)</f>
        <v/>
      </c>
      <c r="AB84" s="7" t="n"/>
      <c r="AE84" s="11" t="n"/>
      <c r="AG84">
        <f>IF($C84="","",IF(COUNTIF($C$2:$C84,$C84)=1,1,0))</f>
        <v/>
      </c>
      <c r="AH84">
        <f>IF($AG84=1,SUMPRODUCT(--($AK$2:$AK$6001&lt;$AK84))+1,"")</f>
        <v/>
      </c>
      <c r="AI84">
        <f>IF($C84="","",IF(OR($N84=TRUE(),$N84="TRUE"),1,0))</f>
        <v/>
      </c>
      <c r="AJ84">
        <f>IF($C84="","",IF($T84="Yes",1,0))</f>
        <v/>
      </c>
      <c r="AK84">
        <f>IF($AG84=1,IFERROR(IF(VALUE($C84)&lt;100000000,VALUE($C84),1000000000),IFERROR(IF(VALUE(MID($C84,2,20))&lt;100000000,VALUE(MID($C84,2,20)),1000000000),1000000000))+ROW()/100000,"")</f>
        <v/>
      </c>
    </row>
    <row r="85">
      <c r="D85" s="11" t="n"/>
      <c r="K85" s="7">
        <f>IF($C85="","",J85*W85/100)</f>
        <v/>
      </c>
      <c r="Q85" s="7" t="n"/>
      <c r="R85" s="7" t="n"/>
      <c r="U85">
        <f>IF($C85="","",IF($AJ85=1,0,IF($AI85=1,Settings!$C$6,Settings!$C$7))*100)</f>
        <v/>
      </c>
      <c r="V85" s="7">
        <f>IF($C85="","",R85*U85/100)</f>
        <v/>
      </c>
      <c r="W85" s="7">
        <f>IF($C85="","",R85-V85)</f>
        <v/>
      </c>
      <c r="X85" s="7">
        <f>IF($C85="","",W85-K85)</f>
        <v/>
      </c>
      <c r="AB85" s="7" t="n"/>
      <c r="AE85" s="11" t="n"/>
      <c r="AG85">
        <f>IF($C85="","",IF(COUNTIF($C$2:$C85,$C85)=1,1,0))</f>
        <v/>
      </c>
      <c r="AH85">
        <f>IF($AG85=1,SUMPRODUCT(--($AK$2:$AK$6001&lt;$AK85))+1,"")</f>
        <v/>
      </c>
      <c r="AI85">
        <f>IF($C85="","",IF(OR($N85=TRUE(),$N85="TRUE"),1,0))</f>
        <v/>
      </c>
      <c r="AJ85">
        <f>IF($C85="","",IF($T85="Yes",1,0))</f>
        <v/>
      </c>
      <c r="AK85">
        <f>IF($AG85=1,IFERROR(IF(VALUE($C85)&lt;100000000,VALUE($C85),1000000000),IFERROR(IF(VALUE(MID($C85,2,20))&lt;100000000,VALUE(MID($C85,2,20)),1000000000),1000000000))+ROW()/100000,"")</f>
        <v/>
      </c>
    </row>
    <row r="86">
      <c r="D86" s="11" t="n"/>
      <c r="K86" s="7">
        <f>IF($C86="","",J86*W86/100)</f>
        <v/>
      </c>
      <c r="Q86" s="7" t="n"/>
      <c r="R86" s="7" t="n"/>
      <c r="U86">
        <f>IF($C86="","",IF($AJ86=1,0,IF($AI86=1,Settings!$C$6,Settings!$C$7))*100)</f>
        <v/>
      </c>
      <c r="V86" s="7">
        <f>IF($C86="","",R86*U86/100)</f>
        <v/>
      </c>
      <c r="W86" s="7">
        <f>IF($C86="","",R86-V86)</f>
        <v/>
      </c>
      <c r="X86" s="7">
        <f>IF($C86="","",W86-K86)</f>
        <v/>
      </c>
      <c r="AB86" s="7" t="n"/>
      <c r="AE86" s="11" t="n"/>
      <c r="AG86">
        <f>IF($C86="","",IF(COUNTIF($C$2:$C86,$C86)=1,1,0))</f>
        <v/>
      </c>
      <c r="AH86">
        <f>IF($AG86=1,SUMPRODUCT(--($AK$2:$AK$6001&lt;$AK86))+1,"")</f>
        <v/>
      </c>
      <c r="AI86">
        <f>IF($C86="","",IF(OR($N86=TRUE(),$N86="TRUE"),1,0))</f>
        <v/>
      </c>
      <c r="AJ86">
        <f>IF($C86="","",IF($T86="Yes",1,0))</f>
        <v/>
      </c>
      <c r="AK86">
        <f>IF($AG86=1,IFERROR(IF(VALUE($C86)&lt;100000000,VALUE($C86),1000000000),IFERROR(IF(VALUE(MID($C86,2,20))&lt;100000000,VALUE(MID($C86,2,20)),1000000000),1000000000))+ROW()/100000,"")</f>
        <v/>
      </c>
    </row>
    <row r="87">
      <c r="D87" s="11" t="n"/>
      <c r="K87" s="7">
        <f>IF($C87="","",J87*W87/100)</f>
        <v/>
      </c>
      <c r="Q87" s="7" t="n"/>
      <c r="R87" s="7" t="n"/>
      <c r="U87">
        <f>IF($C87="","",IF($AJ87=1,0,IF($AI87=1,Settings!$C$6,Settings!$C$7))*100)</f>
        <v/>
      </c>
      <c r="V87" s="7">
        <f>IF($C87="","",R87*U87/100)</f>
        <v/>
      </c>
      <c r="W87" s="7">
        <f>IF($C87="","",R87-V87)</f>
        <v/>
      </c>
      <c r="X87" s="7">
        <f>IF($C87="","",W87-K87)</f>
        <v/>
      </c>
      <c r="AB87" s="7" t="n"/>
      <c r="AE87" s="11" t="n"/>
      <c r="AG87">
        <f>IF($C87="","",IF(COUNTIF($C$2:$C87,$C87)=1,1,0))</f>
        <v/>
      </c>
      <c r="AH87">
        <f>IF($AG87=1,SUMPRODUCT(--($AK$2:$AK$6001&lt;$AK87))+1,"")</f>
        <v/>
      </c>
      <c r="AI87">
        <f>IF($C87="","",IF(OR($N87=TRUE(),$N87="TRUE"),1,0))</f>
        <v/>
      </c>
      <c r="AJ87">
        <f>IF($C87="","",IF($T87="Yes",1,0))</f>
        <v/>
      </c>
      <c r="AK87">
        <f>IF($AG87=1,IFERROR(IF(VALUE($C87)&lt;100000000,VALUE($C87),1000000000),IFERROR(IF(VALUE(MID($C87,2,20))&lt;100000000,VALUE(MID($C87,2,20)),1000000000),1000000000))+ROW()/100000,"")</f>
        <v/>
      </c>
    </row>
    <row r="88">
      <c r="D88" s="11" t="n"/>
      <c r="K88" s="7">
        <f>IF($C88="","",J88*W88/100)</f>
        <v/>
      </c>
      <c r="Q88" s="7" t="n"/>
      <c r="R88" s="7" t="n"/>
      <c r="U88">
        <f>IF($C88="","",IF($AJ88=1,0,IF($AI88=1,Settings!$C$6,Settings!$C$7))*100)</f>
        <v/>
      </c>
      <c r="V88" s="7">
        <f>IF($C88="","",R88*U88/100)</f>
        <v/>
      </c>
      <c r="W88" s="7">
        <f>IF($C88="","",R88-V88)</f>
        <v/>
      </c>
      <c r="X88" s="7">
        <f>IF($C88="","",W88-K88)</f>
        <v/>
      </c>
      <c r="AB88" s="7" t="n"/>
      <c r="AE88" s="11" t="n"/>
      <c r="AG88">
        <f>IF($C88="","",IF(COUNTIF($C$2:$C88,$C88)=1,1,0))</f>
        <v/>
      </c>
      <c r="AH88">
        <f>IF($AG88=1,SUMPRODUCT(--($AK$2:$AK$6001&lt;$AK88))+1,"")</f>
        <v/>
      </c>
      <c r="AI88">
        <f>IF($C88="","",IF(OR($N88=TRUE(),$N88="TRUE"),1,0))</f>
        <v/>
      </c>
      <c r="AJ88">
        <f>IF($C88="","",IF($T88="Yes",1,0))</f>
        <v/>
      </c>
      <c r="AK88">
        <f>IF($AG88=1,IFERROR(IF(VALUE($C88)&lt;100000000,VALUE($C88),1000000000),IFERROR(IF(VALUE(MID($C88,2,20))&lt;100000000,VALUE(MID($C88,2,20)),1000000000),1000000000))+ROW()/100000,"")</f>
        <v/>
      </c>
    </row>
    <row r="89">
      <c r="D89" s="11" t="n"/>
      <c r="K89" s="7">
        <f>IF($C89="","",J89*W89/100)</f>
        <v/>
      </c>
      <c r="Q89" s="7" t="n"/>
      <c r="R89" s="7" t="n"/>
      <c r="U89">
        <f>IF($C89="","",IF($AJ89=1,0,IF($AI89=1,Settings!$C$6,Settings!$C$7))*100)</f>
        <v/>
      </c>
      <c r="V89" s="7">
        <f>IF($C89="","",R89*U89/100)</f>
        <v/>
      </c>
      <c r="W89" s="7">
        <f>IF($C89="","",R89-V89)</f>
        <v/>
      </c>
      <c r="X89" s="7">
        <f>IF($C89="","",W89-K89)</f>
        <v/>
      </c>
      <c r="AB89" s="7" t="n"/>
      <c r="AE89" s="11" t="n"/>
      <c r="AG89">
        <f>IF($C89="","",IF(COUNTIF($C$2:$C89,$C89)=1,1,0))</f>
        <v/>
      </c>
      <c r="AH89">
        <f>IF($AG89=1,SUMPRODUCT(--($AK$2:$AK$6001&lt;$AK89))+1,"")</f>
        <v/>
      </c>
      <c r="AI89">
        <f>IF($C89="","",IF(OR($N89=TRUE(),$N89="TRUE"),1,0))</f>
        <v/>
      </c>
      <c r="AJ89">
        <f>IF($C89="","",IF($T89="Yes",1,0))</f>
        <v/>
      </c>
      <c r="AK89">
        <f>IF($AG89=1,IFERROR(IF(VALUE($C89)&lt;100000000,VALUE($C89),1000000000),IFERROR(IF(VALUE(MID($C89,2,20))&lt;100000000,VALUE(MID($C89,2,20)),1000000000),1000000000))+ROW()/100000,"")</f>
        <v/>
      </c>
    </row>
    <row r="90">
      <c r="D90" s="11" t="n"/>
      <c r="K90" s="7">
        <f>IF($C90="","",J90*W90/100)</f>
        <v/>
      </c>
      <c r="Q90" s="7" t="n"/>
      <c r="R90" s="7" t="n"/>
      <c r="U90">
        <f>IF($C90="","",IF($AJ90=1,0,IF($AI90=1,Settings!$C$6,Settings!$C$7))*100)</f>
        <v/>
      </c>
      <c r="V90" s="7">
        <f>IF($C90="","",R90*U90/100)</f>
        <v/>
      </c>
      <c r="W90" s="7">
        <f>IF($C90="","",R90-V90)</f>
        <v/>
      </c>
      <c r="X90" s="7">
        <f>IF($C90="","",W90-K90)</f>
        <v/>
      </c>
      <c r="AB90" s="7" t="n"/>
      <c r="AE90" s="11" t="n"/>
      <c r="AG90">
        <f>IF($C90="","",IF(COUNTIF($C$2:$C90,$C90)=1,1,0))</f>
        <v/>
      </c>
      <c r="AH90">
        <f>IF($AG90=1,SUMPRODUCT(--($AK$2:$AK$6001&lt;$AK90))+1,"")</f>
        <v/>
      </c>
      <c r="AI90">
        <f>IF($C90="","",IF(OR($N90=TRUE(),$N90="TRUE"),1,0))</f>
        <v/>
      </c>
      <c r="AJ90">
        <f>IF($C90="","",IF($T90="Yes",1,0))</f>
        <v/>
      </c>
      <c r="AK90">
        <f>IF($AG90=1,IFERROR(IF(VALUE($C90)&lt;100000000,VALUE($C90),1000000000),IFERROR(IF(VALUE(MID($C90,2,20))&lt;100000000,VALUE(MID($C90,2,20)),1000000000),1000000000))+ROW()/100000,"")</f>
        <v/>
      </c>
    </row>
    <row r="91">
      <c r="D91" s="11" t="n"/>
      <c r="K91" s="7">
        <f>IF($C91="","",J91*W91/100)</f>
        <v/>
      </c>
      <c r="Q91" s="7" t="n"/>
      <c r="R91" s="7" t="n"/>
      <c r="U91">
        <f>IF($C91="","",IF($AJ91=1,0,IF($AI91=1,Settings!$C$6,Settings!$C$7))*100)</f>
        <v/>
      </c>
      <c r="V91" s="7">
        <f>IF($C91="","",R91*U91/100)</f>
        <v/>
      </c>
      <c r="W91" s="7">
        <f>IF($C91="","",R91-V91)</f>
        <v/>
      </c>
      <c r="X91" s="7">
        <f>IF($C91="","",W91-K91)</f>
        <v/>
      </c>
      <c r="AB91" s="7" t="n"/>
      <c r="AE91" s="11" t="n"/>
      <c r="AG91">
        <f>IF($C91="","",IF(COUNTIF($C$2:$C91,$C91)=1,1,0))</f>
        <v/>
      </c>
      <c r="AH91">
        <f>IF($AG91=1,SUMPRODUCT(--($AK$2:$AK$6001&lt;$AK91))+1,"")</f>
        <v/>
      </c>
      <c r="AI91">
        <f>IF($C91="","",IF(OR($N91=TRUE(),$N91="TRUE"),1,0))</f>
        <v/>
      </c>
      <c r="AJ91">
        <f>IF($C91="","",IF($T91="Yes",1,0))</f>
        <v/>
      </c>
      <c r="AK91">
        <f>IF($AG91=1,IFERROR(IF(VALUE($C91)&lt;100000000,VALUE($C91),1000000000),IFERROR(IF(VALUE(MID($C91,2,20))&lt;100000000,VALUE(MID($C91,2,20)),1000000000),1000000000))+ROW()/100000,"")</f>
        <v/>
      </c>
    </row>
    <row r="92">
      <c r="D92" s="11" t="n"/>
      <c r="K92" s="7">
        <f>IF($C92="","",J92*W92/100)</f>
        <v/>
      </c>
      <c r="Q92" s="7" t="n"/>
      <c r="R92" s="7" t="n"/>
      <c r="U92">
        <f>IF($C92="","",IF($AJ92=1,0,IF($AI92=1,Settings!$C$6,Settings!$C$7))*100)</f>
        <v/>
      </c>
      <c r="V92" s="7">
        <f>IF($C92="","",R92*U92/100)</f>
        <v/>
      </c>
      <c r="W92" s="7">
        <f>IF($C92="","",R92-V92)</f>
        <v/>
      </c>
      <c r="X92" s="7">
        <f>IF($C92="","",W92-K92)</f>
        <v/>
      </c>
      <c r="AB92" s="7" t="n"/>
      <c r="AE92" s="11" t="n"/>
      <c r="AG92">
        <f>IF($C92="","",IF(COUNTIF($C$2:$C92,$C92)=1,1,0))</f>
        <v/>
      </c>
      <c r="AH92">
        <f>IF($AG92=1,SUMPRODUCT(--($AK$2:$AK$6001&lt;$AK92))+1,"")</f>
        <v/>
      </c>
      <c r="AI92">
        <f>IF($C92="","",IF(OR($N92=TRUE(),$N92="TRUE"),1,0))</f>
        <v/>
      </c>
      <c r="AJ92">
        <f>IF($C92="","",IF($T92="Yes",1,0))</f>
        <v/>
      </c>
      <c r="AK92">
        <f>IF($AG92=1,IFERROR(IF(VALUE($C92)&lt;100000000,VALUE($C92),1000000000),IFERROR(IF(VALUE(MID($C92,2,20))&lt;100000000,VALUE(MID($C92,2,20)),1000000000),1000000000))+ROW()/100000,"")</f>
        <v/>
      </c>
    </row>
    <row r="93">
      <c r="D93" s="11" t="n"/>
      <c r="K93" s="7">
        <f>IF($C93="","",J93*W93/100)</f>
        <v/>
      </c>
      <c r="Q93" s="7" t="n"/>
      <c r="R93" s="7" t="n"/>
      <c r="U93">
        <f>IF($C93="","",IF($AJ93=1,0,IF($AI93=1,Settings!$C$6,Settings!$C$7))*100)</f>
        <v/>
      </c>
      <c r="V93" s="7">
        <f>IF($C93="","",R93*U93/100)</f>
        <v/>
      </c>
      <c r="W93" s="7">
        <f>IF($C93="","",R93-V93)</f>
        <v/>
      </c>
      <c r="X93" s="7">
        <f>IF($C93="","",W93-K93)</f>
        <v/>
      </c>
      <c r="AB93" s="7" t="n"/>
      <c r="AE93" s="11" t="n"/>
      <c r="AG93">
        <f>IF($C93="","",IF(COUNTIF($C$2:$C93,$C93)=1,1,0))</f>
        <v/>
      </c>
      <c r="AH93">
        <f>IF($AG93=1,SUMPRODUCT(--($AK$2:$AK$6001&lt;$AK93))+1,"")</f>
        <v/>
      </c>
      <c r="AI93">
        <f>IF($C93="","",IF(OR($N93=TRUE(),$N93="TRUE"),1,0))</f>
        <v/>
      </c>
      <c r="AJ93">
        <f>IF($C93="","",IF($T93="Yes",1,0))</f>
        <v/>
      </c>
      <c r="AK93">
        <f>IF($AG93=1,IFERROR(IF(VALUE($C93)&lt;100000000,VALUE($C93),1000000000),IFERROR(IF(VALUE(MID($C93,2,20))&lt;100000000,VALUE(MID($C93,2,20)),1000000000),1000000000))+ROW()/100000,"")</f>
        <v/>
      </c>
    </row>
    <row r="94">
      <c r="D94" s="11" t="n"/>
      <c r="K94" s="7">
        <f>IF($C94="","",J94*W94/100)</f>
        <v/>
      </c>
      <c r="Q94" s="7" t="n"/>
      <c r="R94" s="7" t="n"/>
      <c r="U94">
        <f>IF($C94="","",IF($AJ94=1,0,IF($AI94=1,Settings!$C$6,Settings!$C$7))*100)</f>
        <v/>
      </c>
      <c r="V94" s="7">
        <f>IF($C94="","",R94*U94/100)</f>
        <v/>
      </c>
      <c r="W94" s="7">
        <f>IF($C94="","",R94-V94)</f>
        <v/>
      </c>
      <c r="X94" s="7">
        <f>IF($C94="","",W94-K94)</f>
        <v/>
      </c>
      <c r="AB94" s="7" t="n"/>
      <c r="AE94" s="11" t="n"/>
      <c r="AG94">
        <f>IF($C94="","",IF(COUNTIF($C$2:$C94,$C94)=1,1,0))</f>
        <v/>
      </c>
      <c r="AH94">
        <f>IF($AG94=1,SUMPRODUCT(--($AK$2:$AK$6001&lt;$AK94))+1,"")</f>
        <v/>
      </c>
      <c r="AI94">
        <f>IF($C94="","",IF(OR($N94=TRUE(),$N94="TRUE"),1,0))</f>
        <v/>
      </c>
      <c r="AJ94">
        <f>IF($C94="","",IF($T94="Yes",1,0))</f>
        <v/>
      </c>
      <c r="AK94">
        <f>IF($AG94=1,IFERROR(IF(VALUE($C94)&lt;100000000,VALUE($C94),1000000000),IFERROR(IF(VALUE(MID($C94,2,20))&lt;100000000,VALUE(MID($C94,2,20)),1000000000),1000000000))+ROW()/100000,"")</f>
        <v/>
      </c>
    </row>
    <row r="95">
      <c r="D95" s="11" t="n"/>
      <c r="K95" s="7">
        <f>IF($C95="","",J95*W95/100)</f>
        <v/>
      </c>
      <c r="Q95" s="7" t="n"/>
      <c r="R95" s="7" t="n"/>
      <c r="U95">
        <f>IF($C95="","",IF($AJ95=1,0,IF($AI95=1,Settings!$C$6,Settings!$C$7))*100)</f>
        <v/>
      </c>
      <c r="V95" s="7">
        <f>IF($C95="","",R95*U95/100)</f>
        <v/>
      </c>
      <c r="W95" s="7">
        <f>IF($C95="","",R95-V95)</f>
        <v/>
      </c>
      <c r="X95" s="7">
        <f>IF($C95="","",W95-K95)</f>
        <v/>
      </c>
      <c r="AB95" s="7" t="n"/>
      <c r="AE95" s="11" t="n"/>
      <c r="AG95">
        <f>IF($C95="","",IF(COUNTIF($C$2:$C95,$C95)=1,1,0))</f>
        <v/>
      </c>
      <c r="AH95">
        <f>IF($AG95=1,SUMPRODUCT(--($AK$2:$AK$6001&lt;$AK95))+1,"")</f>
        <v/>
      </c>
      <c r="AI95">
        <f>IF($C95="","",IF(OR($N95=TRUE(),$N95="TRUE"),1,0))</f>
        <v/>
      </c>
      <c r="AJ95">
        <f>IF($C95="","",IF($T95="Yes",1,0))</f>
        <v/>
      </c>
      <c r="AK95">
        <f>IF($AG95=1,IFERROR(IF(VALUE($C95)&lt;100000000,VALUE($C95),1000000000),IFERROR(IF(VALUE(MID($C95,2,20))&lt;100000000,VALUE(MID($C95,2,20)),1000000000),1000000000))+ROW()/100000,"")</f>
        <v/>
      </c>
    </row>
    <row r="96">
      <c r="D96" s="11" t="n"/>
      <c r="K96" s="7">
        <f>IF($C96="","",J96*W96/100)</f>
        <v/>
      </c>
      <c r="Q96" s="7" t="n"/>
      <c r="R96" s="7" t="n"/>
      <c r="U96">
        <f>IF($C96="","",IF($AJ96=1,0,IF($AI96=1,Settings!$C$6,Settings!$C$7))*100)</f>
        <v/>
      </c>
      <c r="V96" s="7">
        <f>IF($C96="","",R96*U96/100)</f>
        <v/>
      </c>
      <c r="W96" s="7">
        <f>IF($C96="","",R96-V96)</f>
        <v/>
      </c>
      <c r="X96" s="7">
        <f>IF($C96="","",W96-K96)</f>
        <v/>
      </c>
      <c r="AB96" s="7" t="n"/>
      <c r="AE96" s="11" t="n"/>
      <c r="AG96">
        <f>IF($C96="","",IF(COUNTIF($C$2:$C96,$C96)=1,1,0))</f>
        <v/>
      </c>
      <c r="AH96">
        <f>IF($AG96=1,SUMPRODUCT(--($AK$2:$AK$6001&lt;$AK96))+1,"")</f>
        <v/>
      </c>
      <c r="AI96">
        <f>IF($C96="","",IF(OR($N96=TRUE(),$N96="TRUE"),1,0))</f>
        <v/>
      </c>
      <c r="AJ96">
        <f>IF($C96="","",IF($T96="Yes",1,0))</f>
        <v/>
      </c>
      <c r="AK96">
        <f>IF($AG96=1,IFERROR(IF(VALUE($C96)&lt;100000000,VALUE($C96),1000000000),IFERROR(IF(VALUE(MID($C96,2,20))&lt;100000000,VALUE(MID($C96,2,20)),1000000000),1000000000))+ROW()/100000,"")</f>
        <v/>
      </c>
    </row>
    <row r="97">
      <c r="D97" s="11" t="n"/>
      <c r="K97" s="7">
        <f>IF($C97="","",J97*W97/100)</f>
        <v/>
      </c>
      <c r="Q97" s="7" t="n"/>
      <c r="R97" s="7" t="n"/>
      <c r="U97">
        <f>IF($C97="","",IF($AJ97=1,0,IF($AI97=1,Settings!$C$6,Settings!$C$7))*100)</f>
        <v/>
      </c>
      <c r="V97" s="7">
        <f>IF($C97="","",R97*U97/100)</f>
        <v/>
      </c>
      <c r="W97" s="7">
        <f>IF($C97="","",R97-V97)</f>
        <v/>
      </c>
      <c r="X97" s="7">
        <f>IF($C97="","",W97-K97)</f>
        <v/>
      </c>
      <c r="AB97" s="7" t="n"/>
      <c r="AE97" s="11" t="n"/>
      <c r="AG97">
        <f>IF($C97="","",IF(COUNTIF($C$2:$C97,$C97)=1,1,0))</f>
        <v/>
      </c>
      <c r="AH97">
        <f>IF($AG97=1,SUMPRODUCT(--($AK$2:$AK$6001&lt;$AK97))+1,"")</f>
        <v/>
      </c>
      <c r="AI97">
        <f>IF($C97="","",IF(OR($N97=TRUE(),$N97="TRUE"),1,0))</f>
        <v/>
      </c>
      <c r="AJ97">
        <f>IF($C97="","",IF($T97="Yes",1,0))</f>
        <v/>
      </c>
      <c r="AK97">
        <f>IF($AG97=1,IFERROR(IF(VALUE($C97)&lt;100000000,VALUE($C97),1000000000),IFERROR(IF(VALUE(MID($C97,2,20))&lt;100000000,VALUE(MID($C97,2,20)),1000000000),1000000000))+ROW()/100000,"")</f>
        <v/>
      </c>
    </row>
    <row r="98">
      <c r="D98" s="11" t="n"/>
      <c r="K98" s="7">
        <f>IF($C98="","",J98*W98/100)</f>
        <v/>
      </c>
      <c r="Q98" s="7" t="n"/>
      <c r="R98" s="7" t="n"/>
      <c r="U98">
        <f>IF($C98="","",IF($AJ98=1,0,IF($AI98=1,Settings!$C$6,Settings!$C$7))*100)</f>
        <v/>
      </c>
      <c r="V98" s="7">
        <f>IF($C98="","",R98*U98/100)</f>
        <v/>
      </c>
      <c r="W98" s="7">
        <f>IF($C98="","",R98-V98)</f>
        <v/>
      </c>
      <c r="X98" s="7">
        <f>IF($C98="","",W98-K98)</f>
        <v/>
      </c>
      <c r="AB98" s="7" t="n"/>
      <c r="AE98" s="11" t="n"/>
      <c r="AG98">
        <f>IF($C98="","",IF(COUNTIF($C$2:$C98,$C98)=1,1,0))</f>
        <v/>
      </c>
      <c r="AH98">
        <f>IF($AG98=1,SUMPRODUCT(--($AK$2:$AK$6001&lt;$AK98))+1,"")</f>
        <v/>
      </c>
      <c r="AI98">
        <f>IF($C98="","",IF(OR($N98=TRUE(),$N98="TRUE"),1,0))</f>
        <v/>
      </c>
      <c r="AJ98">
        <f>IF($C98="","",IF($T98="Yes",1,0))</f>
        <v/>
      </c>
      <c r="AK98">
        <f>IF($AG98=1,IFERROR(IF(VALUE($C98)&lt;100000000,VALUE($C98),1000000000),IFERROR(IF(VALUE(MID($C98,2,20))&lt;100000000,VALUE(MID($C98,2,20)),1000000000),1000000000))+ROW()/100000,"")</f>
        <v/>
      </c>
    </row>
    <row r="99">
      <c r="D99" s="11" t="n"/>
      <c r="K99" s="7">
        <f>IF($C99="","",J99*W99/100)</f>
        <v/>
      </c>
      <c r="Q99" s="7" t="n"/>
      <c r="R99" s="7" t="n"/>
      <c r="U99">
        <f>IF($C99="","",IF($AJ99=1,0,IF($AI99=1,Settings!$C$6,Settings!$C$7))*100)</f>
        <v/>
      </c>
      <c r="V99" s="7">
        <f>IF($C99="","",R99*U99/100)</f>
        <v/>
      </c>
      <c r="W99" s="7">
        <f>IF($C99="","",R99-V99)</f>
        <v/>
      </c>
      <c r="X99" s="7">
        <f>IF($C99="","",W99-K99)</f>
        <v/>
      </c>
      <c r="AB99" s="7" t="n"/>
      <c r="AE99" s="11" t="n"/>
      <c r="AG99">
        <f>IF($C99="","",IF(COUNTIF($C$2:$C99,$C99)=1,1,0))</f>
        <v/>
      </c>
      <c r="AH99">
        <f>IF($AG99=1,SUMPRODUCT(--($AK$2:$AK$6001&lt;$AK99))+1,"")</f>
        <v/>
      </c>
      <c r="AI99">
        <f>IF($C99="","",IF(OR($N99=TRUE(),$N99="TRUE"),1,0))</f>
        <v/>
      </c>
      <c r="AJ99">
        <f>IF($C99="","",IF($T99="Yes",1,0))</f>
        <v/>
      </c>
      <c r="AK99">
        <f>IF($AG99=1,IFERROR(IF(VALUE($C99)&lt;100000000,VALUE($C99),1000000000),IFERROR(IF(VALUE(MID($C99,2,20))&lt;100000000,VALUE(MID($C99,2,20)),1000000000),1000000000))+ROW()/100000,"")</f>
        <v/>
      </c>
    </row>
    <row r="100">
      <c r="D100" s="11" t="n"/>
      <c r="K100" s="7">
        <f>IF($C100="","",J100*W100/100)</f>
        <v/>
      </c>
      <c r="Q100" s="7" t="n"/>
      <c r="R100" s="7" t="n"/>
      <c r="U100">
        <f>IF($C100="","",IF($AJ100=1,0,IF($AI100=1,Settings!$C$6,Settings!$C$7))*100)</f>
        <v/>
      </c>
      <c r="V100" s="7">
        <f>IF($C100="","",R100*U100/100)</f>
        <v/>
      </c>
      <c r="W100" s="7">
        <f>IF($C100="","",R100-V100)</f>
        <v/>
      </c>
      <c r="X100" s="7">
        <f>IF($C100="","",W100-K100)</f>
        <v/>
      </c>
      <c r="AB100" s="7" t="n"/>
      <c r="AE100" s="11" t="n"/>
      <c r="AG100">
        <f>IF($C100="","",IF(COUNTIF($C$2:$C100,$C100)=1,1,0))</f>
        <v/>
      </c>
      <c r="AH100">
        <f>IF($AG100=1,SUMPRODUCT(--($AK$2:$AK$6001&lt;$AK100))+1,"")</f>
        <v/>
      </c>
      <c r="AI100">
        <f>IF($C100="","",IF(OR($N100=TRUE(),$N100="TRUE"),1,0))</f>
        <v/>
      </c>
      <c r="AJ100">
        <f>IF($C100="","",IF($T100="Yes",1,0))</f>
        <v/>
      </c>
      <c r="AK100">
        <f>IF($AG100=1,IFERROR(IF(VALUE($C100)&lt;100000000,VALUE($C100),1000000000),IFERROR(IF(VALUE(MID($C100,2,20))&lt;100000000,VALUE(MID($C100,2,20)),1000000000),1000000000))+ROW()/100000,"")</f>
        <v/>
      </c>
    </row>
    <row r="101">
      <c r="D101" s="11" t="n"/>
      <c r="K101" s="7">
        <f>IF($C101="","",J101*W101/100)</f>
        <v/>
      </c>
      <c r="Q101" s="7" t="n"/>
      <c r="R101" s="7" t="n"/>
      <c r="U101">
        <f>IF($C101="","",IF($AJ101=1,0,IF($AI101=1,Settings!$C$6,Settings!$C$7))*100)</f>
        <v/>
      </c>
      <c r="V101" s="7">
        <f>IF($C101="","",R101*U101/100)</f>
        <v/>
      </c>
      <c r="W101" s="7">
        <f>IF($C101="","",R101-V101)</f>
        <v/>
      </c>
      <c r="X101" s="7">
        <f>IF($C101="","",W101-K101)</f>
        <v/>
      </c>
      <c r="AB101" s="7" t="n"/>
      <c r="AE101" s="11" t="n"/>
      <c r="AG101">
        <f>IF($C101="","",IF(COUNTIF($C$2:$C101,$C101)=1,1,0))</f>
        <v/>
      </c>
      <c r="AH101">
        <f>IF($AG101=1,SUMPRODUCT(--($AK$2:$AK$6001&lt;$AK101))+1,"")</f>
        <v/>
      </c>
      <c r="AI101">
        <f>IF($C101="","",IF(OR($N101=TRUE(),$N101="TRUE"),1,0))</f>
        <v/>
      </c>
      <c r="AJ101">
        <f>IF($C101="","",IF($T101="Yes",1,0))</f>
        <v/>
      </c>
      <c r="AK101">
        <f>IF($AG101=1,IFERROR(IF(VALUE($C101)&lt;100000000,VALUE($C101),1000000000),IFERROR(IF(VALUE(MID($C101,2,20))&lt;100000000,VALUE(MID($C101,2,20)),1000000000),1000000000))+ROW()/100000,"")</f>
        <v/>
      </c>
    </row>
    <row r="102">
      <c r="D102" s="11" t="n"/>
      <c r="K102" s="7">
        <f>IF($C102="","",J102*W102/100)</f>
        <v/>
      </c>
      <c r="Q102" s="7" t="n"/>
      <c r="R102" s="7" t="n"/>
      <c r="U102">
        <f>IF($C102="","",IF($AJ102=1,0,IF($AI102=1,Settings!$C$6,Settings!$C$7))*100)</f>
        <v/>
      </c>
      <c r="V102" s="7">
        <f>IF($C102="","",R102*U102/100)</f>
        <v/>
      </c>
      <c r="W102" s="7">
        <f>IF($C102="","",R102-V102)</f>
        <v/>
      </c>
      <c r="X102" s="7">
        <f>IF($C102="","",W102-K102)</f>
        <v/>
      </c>
      <c r="AB102" s="7" t="n"/>
      <c r="AE102" s="11" t="n"/>
      <c r="AG102">
        <f>IF($C102="","",IF(COUNTIF($C$2:$C102,$C102)=1,1,0))</f>
        <v/>
      </c>
      <c r="AH102">
        <f>IF($AG102=1,SUMPRODUCT(--($AK$2:$AK$6001&lt;$AK102))+1,"")</f>
        <v/>
      </c>
      <c r="AI102">
        <f>IF($C102="","",IF(OR($N102=TRUE(),$N102="TRUE"),1,0))</f>
        <v/>
      </c>
      <c r="AJ102">
        <f>IF($C102="","",IF($T102="Yes",1,0))</f>
        <v/>
      </c>
      <c r="AK102">
        <f>IF($AG102=1,IFERROR(IF(VALUE($C102)&lt;100000000,VALUE($C102),1000000000),IFERROR(IF(VALUE(MID($C102,2,20))&lt;100000000,VALUE(MID($C102,2,20)),1000000000),1000000000))+ROW()/100000,"")</f>
        <v/>
      </c>
    </row>
    <row r="103">
      <c r="D103" s="11" t="n"/>
      <c r="K103" s="7">
        <f>IF($C103="","",J103*W103/100)</f>
        <v/>
      </c>
      <c r="Q103" s="7" t="n"/>
      <c r="R103" s="7" t="n"/>
      <c r="U103">
        <f>IF($C103="","",IF($AJ103=1,0,IF($AI103=1,Settings!$C$6,Settings!$C$7))*100)</f>
        <v/>
      </c>
      <c r="V103" s="7">
        <f>IF($C103="","",R103*U103/100)</f>
        <v/>
      </c>
      <c r="W103" s="7">
        <f>IF($C103="","",R103-V103)</f>
        <v/>
      </c>
      <c r="X103" s="7">
        <f>IF($C103="","",W103-K103)</f>
        <v/>
      </c>
      <c r="AB103" s="7" t="n"/>
      <c r="AE103" s="11" t="n"/>
      <c r="AG103">
        <f>IF($C103="","",IF(COUNTIF($C$2:$C103,$C103)=1,1,0))</f>
        <v/>
      </c>
      <c r="AH103">
        <f>IF($AG103=1,SUMPRODUCT(--($AK$2:$AK$6001&lt;$AK103))+1,"")</f>
        <v/>
      </c>
      <c r="AI103">
        <f>IF($C103="","",IF(OR($N103=TRUE(),$N103="TRUE"),1,0))</f>
        <v/>
      </c>
      <c r="AJ103">
        <f>IF($C103="","",IF($T103="Yes",1,0))</f>
        <v/>
      </c>
      <c r="AK103">
        <f>IF($AG103=1,IFERROR(IF(VALUE($C103)&lt;100000000,VALUE($C103),1000000000),IFERROR(IF(VALUE(MID($C103,2,20))&lt;100000000,VALUE(MID($C103,2,20)),1000000000),1000000000))+ROW()/100000,"")</f>
        <v/>
      </c>
    </row>
    <row r="104">
      <c r="D104" s="11" t="n"/>
      <c r="K104" s="7">
        <f>IF($C104="","",J104*W104/100)</f>
        <v/>
      </c>
      <c r="Q104" s="7" t="n"/>
      <c r="R104" s="7" t="n"/>
      <c r="U104">
        <f>IF($C104="","",IF($AJ104=1,0,IF($AI104=1,Settings!$C$6,Settings!$C$7))*100)</f>
        <v/>
      </c>
      <c r="V104" s="7">
        <f>IF($C104="","",R104*U104/100)</f>
        <v/>
      </c>
      <c r="W104" s="7">
        <f>IF($C104="","",R104-V104)</f>
        <v/>
      </c>
      <c r="X104" s="7">
        <f>IF($C104="","",W104-K104)</f>
        <v/>
      </c>
      <c r="AB104" s="7" t="n"/>
      <c r="AE104" s="11" t="n"/>
      <c r="AG104">
        <f>IF($C104="","",IF(COUNTIF($C$2:$C104,$C104)=1,1,0))</f>
        <v/>
      </c>
      <c r="AH104">
        <f>IF($AG104=1,SUMPRODUCT(--($AK$2:$AK$6001&lt;$AK104))+1,"")</f>
        <v/>
      </c>
      <c r="AI104">
        <f>IF($C104="","",IF(OR($N104=TRUE(),$N104="TRUE"),1,0))</f>
        <v/>
      </c>
      <c r="AJ104">
        <f>IF($C104="","",IF($T104="Yes",1,0))</f>
        <v/>
      </c>
      <c r="AK104">
        <f>IF($AG104=1,IFERROR(IF(VALUE($C104)&lt;100000000,VALUE($C104),1000000000),IFERROR(IF(VALUE(MID($C104,2,20))&lt;100000000,VALUE(MID($C104,2,20)),1000000000),1000000000))+ROW()/100000,"")</f>
        <v/>
      </c>
    </row>
    <row r="105">
      <c r="D105" s="11" t="n"/>
      <c r="K105" s="7">
        <f>IF($C105="","",J105*W105/100)</f>
        <v/>
      </c>
      <c r="Q105" s="7" t="n"/>
      <c r="R105" s="7" t="n"/>
      <c r="U105">
        <f>IF($C105="","",IF($AJ105=1,0,IF($AI105=1,Settings!$C$6,Settings!$C$7))*100)</f>
        <v/>
      </c>
      <c r="V105" s="7">
        <f>IF($C105="","",R105*U105/100)</f>
        <v/>
      </c>
      <c r="W105" s="7">
        <f>IF($C105="","",R105-V105)</f>
        <v/>
      </c>
      <c r="X105" s="7">
        <f>IF($C105="","",W105-K105)</f>
        <v/>
      </c>
      <c r="AB105" s="7" t="n"/>
      <c r="AE105" s="11" t="n"/>
      <c r="AG105">
        <f>IF($C105="","",IF(COUNTIF($C$2:$C105,$C105)=1,1,0))</f>
        <v/>
      </c>
      <c r="AH105">
        <f>IF($AG105=1,SUMPRODUCT(--($AK$2:$AK$6001&lt;$AK105))+1,"")</f>
        <v/>
      </c>
      <c r="AI105">
        <f>IF($C105="","",IF(OR($N105=TRUE(),$N105="TRUE"),1,0))</f>
        <v/>
      </c>
      <c r="AJ105">
        <f>IF($C105="","",IF($T105="Yes",1,0))</f>
        <v/>
      </c>
      <c r="AK105">
        <f>IF($AG105=1,IFERROR(IF(VALUE($C105)&lt;100000000,VALUE($C105),1000000000),IFERROR(IF(VALUE(MID($C105,2,20))&lt;100000000,VALUE(MID($C105,2,20)),1000000000),1000000000))+ROW()/100000,"")</f>
        <v/>
      </c>
    </row>
    <row r="106">
      <c r="D106" s="11" t="n"/>
      <c r="K106" s="7">
        <f>IF($C106="","",J106*W106/100)</f>
        <v/>
      </c>
      <c r="Q106" s="7" t="n"/>
      <c r="R106" s="7" t="n"/>
      <c r="U106">
        <f>IF($C106="","",IF($AJ106=1,0,IF($AI106=1,Settings!$C$6,Settings!$C$7))*100)</f>
        <v/>
      </c>
      <c r="V106" s="7">
        <f>IF($C106="","",R106*U106/100)</f>
        <v/>
      </c>
      <c r="W106" s="7">
        <f>IF($C106="","",R106-V106)</f>
        <v/>
      </c>
      <c r="X106" s="7">
        <f>IF($C106="","",W106-K106)</f>
        <v/>
      </c>
      <c r="AB106" s="7" t="n"/>
      <c r="AE106" s="11" t="n"/>
      <c r="AG106">
        <f>IF($C106="","",IF(COUNTIF($C$2:$C106,$C106)=1,1,0))</f>
        <v/>
      </c>
      <c r="AH106">
        <f>IF($AG106=1,SUMPRODUCT(--($AK$2:$AK$6001&lt;$AK106))+1,"")</f>
        <v/>
      </c>
      <c r="AI106">
        <f>IF($C106="","",IF(OR($N106=TRUE(),$N106="TRUE"),1,0))</f>
        <v/>
      </c>
      <c r="AJ106">
        <f>IF($C106="","",IF($T106="Yes",1,0))</f>
        <v/>
      </c>
      <c r="AK106">
        <f>IF($AG106=1,IFERROR(IF(VALUE($C106)&lt;100000000,VALUE($C106),1000000000),IFERROR(IF(VALUE(MID($C106,2,20))&lt;100000000,VALUE(MID($C106,2,20)),1000000000),1000000000))+ROW()/100000,"")</f>
        <v/>
      </c>
    </row>
    <row r="107">
      <c r="D107" s="11" t="n"/>
      <c r="K107" s="7">
        <f>IF($C107="","",J107*W107/100)</f>
        <v/>
      </c>
      <c r="Q107" s="7" t="n"/>
      <c r="R107" s="7" t="n"/>
      <c r="U107">
        <f>IF($C107="","",IF($AJ107=1,0,IF($AI107=1,Settings!$C$6,Settings!$C$7))*100)</f>
        <v/>
      </c>
      <c r="V107" s="7">
        <f>IF($C107="","",R107*U107/100)</f>
        <v/>
      </c>
      <c r="W107" s="7">
        <f>IF($C107="","",R107-V107)</f>
        <v/>
      </c>
      <c r="X107" s="7">
        <f>IF($C107="","",W107-K107)</f>
        <v/>
      </c>
      <c r="AB107" s="7" t="n"/>
      <c r="AE107" s="11" t="n"/>
      <c r="AG107">
        <f>IF($C107="","",IF(COUNTIF($C$2:$C107,$C107)=1,1,0))</f>
        <v/>
      </c>
      <c r="AH107">
        <f>IF($AG107=1,SUMPRODUCT(--($AK$2:$AK$6001&lt;$AK107))+1,"")</f>
        <v/>
      </c>
      <c r="AI107">
        <f>IF($C107="","",IF(OR($N107=TRUE(),$N107="TRUE"),1,0))</f>
        <v/>
      </c>
      <c r="AJ107">
        <f>IF($C107="","",IF($T107="Yes",1,0))</f>
        <v/>
      </c>
      <c r="AK107">
        <f>IF($AG107=1,IFERROR(IF(VALUE($C107)&lt;100000000,VALUE($C107),1000000000),IFERROR(IF(VALUE(MID($C107,2,20))&lt;100000000,VALUE(MID($C107,2,20)),1000000000),1000000000))+ROW()/100000,"")</f>
        <v/>
      </c>
    </row>
    <row r="108">
      <c r="D108" s="11" t="n"/>
      <c r="K108" s="7">
        <f>IF($C108="","",J108*W108/100)</f>
        <v/>
      </c>
      <c r="Q108" s="7" t="n"/>
      <c r="R108" s="7" t="n"/>
      <c r="U108">
        <f>IF($C108="","",IF($AJ108=1,0,IF($AI108=1,Settings!$C$6,Settings!$C$7))*100)</f>
        <v/>
      </c>
      <c r="V108" s="7">
        <f>IF($C108="","",R108*U108/100)</f>
        <v/>
      </c>
      <c r="W108" s="7">
        <f>IF($C108="","",R108-V108)</f>
        <v/>
      </c>
      <c r="X108" s="7">
        <f>IF($C108="","",W108-K108)</f>
        <v/>
      </c>
      <c r="AB108" s="7" t="n"/>
      <c r="AE108" s="11" t="n"/>
      <c r="AG108">
        <f>IF($C108="","",IF(COUNTIF($C$2:$C108,$C108)=1,1,0))</f>
        <v/>
      </c>
      <c r="AH108">
        <f>IF($AG108=1,SUMPRODUCT(--($AK$2:$AK$6001&lt;$AK108))+1,"")</f>
        <v/>
      </c>
      <c r="AI108">
        <f>IF($C108="","",IF(OR($N108=TRUE(),$N108="TRUE"),1,0))</f>
        <v/>
      </c>
      <c r="AJ108">
        <f>IF($C108="","",IF($T108="Yes",1,0))</f>
        <v/>
      </c>
      <c r="AK108">
        <f>IF($AG108=1,IFERROR(IF(VALUE($C108)&lt;100000000,VALUE($C108),1000000000),IFERROR(IF(VALUE(MID($C108,2,20))&lt;100000000,VALUE(MID($C108,2,20)),1000000000),1000000000))+ROW()/100000,"")</f>
        <v/>
      </c>
    </row>
    <row r="109">
      <c r="D109" s="11" t="n"/>
      <c r="K109" s="7">
        <f>IF($C109="","",J109*W109/100)</f>
        <v/>
      </c>
      <c r="Q109" s="7" t="n"/>
      <c r="R109" s="7" t="n"/>
      <c r="U109">
        <f>IF($C109="","",IF($AJ109=1,0,IF($AI109=1,Settings!$C$6,Settings!$C$7))*100)</f>
        <v/>
      </c>
      <c r="V109" s="7">
        <f>IF($C109="","",R109*U109/100)</f>
        <v/>
      </c>
      <c r="W109" s="7">
        <f>IF($C109="","",R109-V109)</f>
        <v/>
      </c>
      <c r="X109" s="7">
        <f>IF($C109="","",W109-K109)</f>
        <v/>
      </c>
      <c r="AB109" s="7" t="n"/>
      <c r="AE109" s="11" t="n"/>
      <c r="AG109">
        <f>IF($C109="","",IF(COUNTIF($C$2:$C109,$C109)=1,1,0))</f>
        <v/>
      </c>
      <c r="AH109">
        <f>IF($AG109=1,SUMPRODUCT(--($AK$2:$AK$6001&lt;$AK109))+1,"")</f>
        <v/>
      </c>
      <c r="AI109">
        <f>IF($C109="","",IF(OR($N109=TRUE(),$N109="TRUE"),1,0))</f>
        <v/>
      </c>
      <c r="AJ109">
        <f>IF($C109="","",IF($T109="Yes",1,0))</f>
        <v/>
      </c>
      <c r="AK109">
        <f>IF($AG109=1,IFERROR(IF(VALUE($C109)&lt;100000000,VALUE($C109),1000000000),IFERROR(IF(VALUE(MID($C109,2,20))&lt;100000000,VALUE(MID($C109,2,20)),1000000000),1000000000))+ROW()/100000,"")</f>
        <v/>
      </c>
    </row>
    <row r="110">
      <c r="D110" s="11" t="n"/>
      <c r="K110" s="7">
        <f>IF($C110="","",J110*W110/100)</f>
        <v/>
      </c>
      <c r="Q110" s="7" t="n"/>
      <c r="R110" s="7" t="n"/>
      <c r="U110">
        <f>IF($C110="","",IF($AJ110=1,0,IF($AI110=1,Settings!$C$6,Settings!$C$7))*100)</f>
        <v/>
      </c>
      <c r="V110" s="7">
        <f>IF($C110="","",R110*U110/100)</f>
        <v/>
      </c>
      <c r="W110" s="7">
        <f>IF($C110="","",R110-V110)</f>
        <v/>
      </c>
      <c r="X110" s="7">
        <f>IF($C110="","",W110-K110)</f>
        <v/>
      </c>
      <c r="AB110" s="7" t="n"/>
      <c r="AE110" s="11" t="n"/>
      <c r="AG110">
        <f>IF($C110="","",IF(COUNTIF($C$2:$C110,$C110)=1,1,0))</f>
        <v/>
      </c>
      <c r="AH110">
        <f>IF($AG110=1,SUMPRODUCT(--($AK$2:$AK$6001&lt;$AK110))+1,"")</f>
        <v/>
      </c>
      <c r="AI110">
        <f>IF($C110="","",IF(OR($N110=TRUE(),$N110="TRUE"),1,0))</f>
        <v/>
      </c>
      <c r="AJ110">
        <f>IF($C110="","",IF($T110="Yes",1,0))</f>
        <v/>
      </c>
      <c r="AK110">
        <f>IF($AG110=1,IFERROR(IF(VALUE($C110)&lt;100000000,VALUE($C110),1000000000),IFERROR(IF(VALUE(MID($C110,2,20))&lt;100000000,VALUE(MID($C110,2,20)),1000000000),1000000000))+ROW()/100000,"")</f>
        <v/>
      </c>
    </row>
    <row r="111">
      <c r="D111" s="11" t="n"/>
      <c r="K111" s="7">
        <f>IF($C111="","",J111*W111/100)</f>
        <v/>
      </c>
      <c r="Q111" s="7" t="n"/>
      <c r="R111" s="7" t="n"/>
      <c r="U111">
        <f>IF($C111="","",IF($AJ111=1,0,IF($AI111=1,Settings!$C$6,Settings!$C$7))*100)</f>
        <v/>
      </c>
      <c r="V111" s="7">
        <f>IF($C111="","",R111*U111/100)</f>
        <v/>
      </c>
      <c r="W111" s="7">
        <f>IF($C111="","",R111-V111)</f>
        <v/>
      </c>
      <c r="X111" s="7">
        <f>IF($C111="","",W111-K111)</f>
        <v/>
      </c>
      <c r="AB111" s="7" t="n"/>
      <c r="AE111" s="11" t="n"/>
      <c r="AG111">
        <f>IF($C111="","",IF(COUNTIF($C$2:$C111,$C111)=1,1,0))</f>
        <v/>
      </c>
      <c r="AH111">
        <f>IF($AG111=1,SUMPRODUCT(--($AK$2:$AK$6001&lt;$AK111))+1,"")</f>
        <v/>
      </c>
      <c r="AI111">
        <f>IF($C111="","",IF(OR($N111=TRUE(),$N111="TRUE"),1,0))</f>
        <v/>
      </c>
      <c r="AJ111">
        <f>IF($C111="","",IF($T111="Yes",1,0))</f>
        <v/>
      </c>
      <c r="AK111">
        <f>IF($AG111=1,IFERROR(IF(VALUE($C111)&lt;100000000,VALUE($C111),1000000000),IFERROR(IF(VALUE(MID($C111,2,20))&lt;100000000,VALUE(MID($C111,2,20)),1000000000),1000000000))+ROW()/100000,"")</f>
        <v/>
      </c>
    </row>
    <row r="112">
      <c r="D112" s="11" t="n"/>
      <c r="K112" s="7">
        <f>IF($C112="","",J112*W112/100)</f>
        <v/>
      </c>
      <c r="Q112" s="7" t="n"/>
      <c r="R112" s="7" t="n"/>
      <c r="U112">
        <f>IF($C112="","",IF($AJ112=1,0,IF($AI112=1,Settings!$C$6,Settings!$C$7))*100)</f>
        <v/>
      </c>
      <c r="V112" s="7">
        <f>IF($C112="","",R112*U112/100)</f>
        <v/>
      </c>
      <c r="W112" s="7">
        <f>IF($C112="","",R112-V112)</f>
        <v/>
      </c>
      <c r="X112" s="7">
        <f>IF($C112="","",W112-K112)</f>
        <v/>
      </c>
      <c r="AB112" s="7" t="n"/>
      <c r="AE112" s="11" t="n"/>
      <c r="AG112">
        <f>IF($C112="","",IF(COUNTIF($C$2:$C112,$C112)=1,1,0))</f>
        <v/>
      </c>
      <c r="AH112">
        <f>IF($AG112=1,SUMPRODUCT(--($AK$2:$AK$6001&lt;$AK112))+1,"")</f>
        <v/>
      </c>
      <c r="AI112">
        <f>IF($C112="","",IF(OR($N112=TRUE(),$N112="TRUE"),1,0))</f>
        <v/>
      </c>
      <c r="AJ112">
        <f>IF($C112="","",IF($T112="Yes",1,0))</f>
        <v/>
      </c>
      <c r="AK112">
        <f>IF($AG112=1,IFERROR(IF(VALUE($C112)&lt;100000000,VALUE($C112),1000000000),IFERROR(IF(VALUE(MID($C112,2,20))&lt;100000000,VALUE(MID($C112,2,20)),1000000000),1000000000))+ROW()/100000,"")</f>
        <v/>
      </c>
    </row>
    <row r="113">
      <c r="D113" s="11" t="n"/>
      <c r="K113" s="7">
        <f>IF($C113="","",J113*W113/100)</f>
        <v/>
      </c>
      <c r="Q113" s="7" t="n"/>
      <c r="R113" s="7" t="n"/>
      <c r="U113">
        <f>IF($C113="","",IF($AJ113=1,0,IF($AI113=1,Settings!$C$6,Settings!$C$7))*100)</f>
        <v/>
      </c>
      <c r="V113" s="7">
        <f>IF($C113="","",R113*U113/100)</f>
        <v/>
      </c>
      <c r="W113" s="7">
        <f>IF($C113="","",R113-V113)</f>
        <v/>
      </c>
      <c r="X113" s="7">
        <f>IF($C113="","",W113-K113)</f>
        <v/>
      </c>
      <c r="AB113" s="7" t="n"/>
      <c r="AE113" s="11" t="n"/>
      <c r="AG113">
        <f>IF($C113="","",IF(COUNTIF($C$2:$C113,$C113)=1,1,0))</f>
        <v/>
      </c>
      <c r="AH113">
        <f>IF($AG113=1,SUMPRODUCT(--($AK$2:$AK$6001&lt;$AK113))+1,"")</f>
        <v/>
      </c>
      <c r="AI113">
        <f>IF($C113="","",IF(OR($N113=TRUE(),$N113="TRUE"),1,0))</f>
        <v/>
      </c>
      <c r="AJ113">
        <f>IF($C113="","",IF($T113="Yes",1,0))</f>
        <v/>
      </c>
      <c r="AK113">
        <f>IF($AG113=1,IFERROR(IF(VALUE($C113)&lt;100000000,VALUE($C113),1000000000),IFERROR(IF(VALUE(MID($C113,2,20))&lt;100000000,VALUE(MID($C113,2,20)),1000000000),1000000000))+ROW()/100000,"")</f>
        <v/>
      </c>
    </row>
    <row r="114">
      <c r="D114" s="11" t="n"/>
      <c r="K114" s="7">
        <f>IF($C114="","",J114*W114/100)</f>
        <v/>
      </c>
      <c r="Q114" s="7" t="n"/>
      <c r="R114" s="7" t="n"/>
      <c r="U114">
        <f>IF($C114="","",IF($AJ114=1,0,IF($AI114=1,Settings!$C$6,Settings!$C$7))*100)</f>
        <v/>
      </c>
      <c r="V114" s="7">
        <f>IF($C114="","",R114*U114/100)</f>
        <v/>
      </c>
      <c r="W114" s="7">
        <f>IF($C114="","",R114-V114)</f>
        <v/>
      </c>
      <c r="X114" s="7">
        <f>IF($C114="","",W114-K114)</f>
        <v/>
      </c>
      <c r="AB114" s="7" t="n"/>
      <c r="AE114" s="11" t="n"/>
      <c r="AG114">
        <f>IF($C114="","",IF(COUNTIF($C$2:$C114,$C114)=1,1,0))</f>
        <v/>
      </c>
      <c r="AH114">
        <f>IF($AG114=1,SUMPRODUCT(--($AK$2:$AK$6001&lt;$AK114))+1,"")</f>
        <v/>
      </c>
      <c r="AI114">
        <f>IF($C114="","",IF(OR($N114=TRUE(),$N114="TRUE"),1,0))</f>
        <v/>
      </c>
      <c r="AJ114">
        <f>IF($C114="","",IF($T114="Yes",1,0))</f>
        <v/>
      </c>
      <c r="AK114">
        <f>IF($AG114=1,IFERROR(IF(VALUE($C114)&lt;100000000,VALUE($C114),1000000000),IFERROR(IF(VALUE(MID($C114,2,20))&lt;100000000,VALUE(MID($C114,2,20)),1000000000),1000000000))+ROW()/100000,"")</f>
        <v/>
      </c>
    </row>
    <row r="115">
      <c r="D115" s="11" t="n"/>
      <c r="K115" s="7">
        <f>IF($C115="","",J115*W115/100)</f>
        <v/>
      </c>
      <c r="Q115" s="7" t="n"/>
      <c r="R115" s="7" t="n"/>
      <c r="U115">
        <f>IF($C115="","",IF($AJ115=1,0,IF($AI115=1,Settings!$C$6,Settings!$C$7))*100)</f>
        <v/>
      </c>
      <c r="V115" s="7">
        <f>IF($C115="","",R115*U115/100)</f>
        <v/>
      </c>
      <c r="W115" s="7">
        <f>IF($C115="","",R115-V115)</f>
        <v/>
      </c>
      <c r="X115" s="7">
        <f>IF($C115="","",W115-K115)</f>
        <v/>
      </c>
      <c r="AB115" s="7" t="n"/>
      <c r="AE115" s="11" t="n"/>
      <c r="AG115">
        <f>IF($C115="","",IF(COUNTIF($C$2:$C115,$C115)=1,1,0))</f>
        <v/>
      </c>
      <c r="AH115">
        <f>IF($AG115=1,SUMPRODUCT(--($AK$2:$AK$6001&lt;$AK115))+1,"")</f>
        <v/>
      </c>
      <c r="AI115">
        <f>IF($C115="","",IF(OR($N115=TRUE(),$N115="TRUE"),1,0))</f>
        <v/>
      </c>
      <c r="AJ115">
        <f>IF($C115="","",IF($T115="Yes",1,0))</f>
        <v/>
      </c>
      <c r="AK115">
        <f>IF($AG115=1,IFERROR(IF(VALUE($C115)&lt;100000000,VALUE($C115),1000000000),IFERROR(IF(VALUE(MID($C115,2,20))&lt;100000000,VALUE(MID($C115,2,20)),1000000000),1000000000))+ROW()/100000,"")</f>
        <v/>
      </c>
    </row>
    <row r="116">
      <c r="D116" s="11" t="n"/>
      <c r="K116" s="7">
        <f>IF($C116="","",J116*W116/100)</f>
        <v/>
      </c>
      <c r="Q116" s="7" t="n"/>
      <c r="R116" s="7" t="n"/>
      <c r="U116">
        <f>IF($C116="","",IF($AJ116=1,0,IF($AI116=1,Settings!$C$6,Settings!$C$7))*100)</f>
        <v/>
      </c>
      <c r="V116" s="7">
        <f>IF($C116="","",R116*U116/100)</f>
        <v/>
      </c>
      <c r="W116" s="7">
        <f>IF($C116="","",R116-V116)</f>
        <v/>
      </c>
      <c r="X116" s="7">
        <f>IF($C116="","",W116-K116)</f>
        <v/>
      </c>
      <c r="AB116" s="7" t="n"/>
      <c r="AE116" s="11" t="n"/>
      <c r="AG116">
        <f>IF($C116="","",IF(COUNTIF($C$2:$C116,$C116)=1,1,0))</f>
        <v/>
      </c>
      <c r="AH116">
        <f>IF($AG116=1,SUMPRODUCT(--($AK$2:$AK$6001&lt;$AK116))+1,"")</f>
        <v/>
      </c>
      <c r="AI116">
        <f>IF($C116="","",IF(OR($N116=TRUE(),$N116="TRUE"),1,0))</f>
        <v/>
      </c>
      <c r="AJ116">
        <f>IF($C116="","",IF($T116="Yes",1,0))</f>
        <v/>
      </c>
      <c r="AK116">
        <f>IF($AG116=1,IFERROR(IF(VALUE($C116)&lt;100000000,VALUE($C116),1000000000),IFERROR(IF(VALUE(MID($C116,2,20))&lt;100000000,VALUE(MID($C116,2,20)),1000000000),1000000000))+ROW()/100000,"")</f>
        <v/>
      </c>
    </row>
    <row r="117">
      <c r="D117" s="11" t="n"/>
      <c r="K117" s="7">
        <f>IF($C117="","",J117*W117/100)</f>
        <v/>
      </c>
      <c r="Q117" s="7" t="n"/>
      <c r="R117" s="7" t="n"/>
      <c r="U117">
        <f>IF($C117="","",IF($AJ117=1,0,IF($AI117=1,Settings!$C$6,Settings!$C$7))*100)</f>
        <v/>
      </c>
      <c r="V117" s="7">
        <f>IF($C117="","",R117*U117/100)</f>
        <v/>
      </c>
      <c r="W117" s="7">
        <f>IF($C117="","",R117-V117)</f>
        <v/>
      </c>
      <c r="X117" s="7">
        <f>IF($C117="","",W117-K117)</f>
        <v/>
      </c>
      <c r="AB117" s="7" t="n"/>
      <c r="AE117" s="11" t="n"/>
      <c r="AG117">
        <f>IF($C117="","",IF(COUNTIF($C$2:$C117,$C117)=1,1,0))</f>
        <v/>
      </c>
      <c r="AH117">
        <f>IF($AG117=1,SUMPRODUCT(--($AK$2:$AK$6001&lt;$AK117))+1,"")</f>
        <v/>
      </c>
      <c r="AI117">
        <f>IF($C117="","",IF(OR($N117=TRUE(),$N117="TRUE"),1,0))</f>
        <v/>
      </c>
      <c r="AJ117">
        <f>IF($C117="","",IF($T117="Yes",1,0))</f>
        <v/>
      </c>
      <c r="AK117">
        <f>IF($AG117=1,IFERROR(IF(VALUE($C117)&lt;100000000,VALUE($C117),1000000000),IFERROR(IF(VALUE(MID($C117,2,20))&lt;100000000,VALUE(MID($C117,2,20)),1000000000),1000000000))+ROW()/100000,"")</f>
        <v/>
      </c>
    </row>
    <row r="118">
      <c r="D118" s="11" t="n"/>
      <c r="K118" s="7">
        <f>IF($C118="","",J118*W118/100)</f>
        <v/>
      </c>
      <c r="Q118" s="7" t="n"/>
      <c r="R118" s="7" t="n"/>
      <c r="U118">
        <f>IF($C118="","",IF($AJ118=1,0,IF($AI118=1,Settings!$C$6,Settings!$C$7))*100)</f>
        <v/>
      </c>
      <c r="V118" s="7">
        <f>IF($C118="","",R118*U118/100)</f>
        <v/>
      </c>
      <c r="W118" s="7">
        <f>IF($C118="","",R118-V118)</f>
        <v/>
      </c>
      <c r="X118" s="7">
        <f>IF($C118="","",W118-K118)</f>
        <v/>
      </c>
      <c r="AB118" s="7" t="n"/>
      <c r="AE118" s="11" t="n"/>
      <c r="AG118">
        <f>IF($C118="","",IF(COUNTIF($C$2:$C118,$C118)=1,1,0))</f>
        <v/>
      </c>
      <c r="AH118">
        <f>IF($AG118=1,SUMPRODUCT(--($AK$2:$AK$6001&lt;$AK118))+1,"")</f>
        <v/>
      </c>
      <c r="AI118">
        <f>IF($C118="","",IF(OR($N118=TRUE(),$N118="TRUE"),1,0))</f>
        <v/>
      </c>
      <c r="AJ118">
        <f>IF($C118="","",IF($T118="Yes",1,0))</f>
        <v/>
      </c>
      <c r="AK118">
        <f>IF($AG118=1,IFERROR(IF(VALUE($C118)&lt;100000000,VALUE($C118),1000000000),IFERROR(IF(VALUE(MID($C118,2,20))&lt;100000000,VALUE(MID($C118,2,20)),1000000000),1000000000))+ROW()/100000,"")</f>
        <v/>
      </c>
    </row>
    <row r="119">
      <c r="D119" s="11" t="n"/>
      <c r="K119" s="7">
        <f>IF($C119="","",J119*W119/100)</f>
        <v/>
      </c>
      <c r="Q119" s="7" t="n"/>
      <c r="R119" s="7" t="n"/>
      <c r="U119">
        <f>IF($C119="","",IF($AJ119=1,0,IF($AI119=1,Settings!$C$6,Settings!$C$7))*100)</f>
        <v/>
      </c>
      <c r="V119" s="7">
        <f>IF($C119="","",R119*U119/100)</f>
        <v/>
      </c>
      <c r="W119" s="7">
        <f>IF($C119="","",R119-V119)</f>
        <v/>
      </c>
      <c r="X119" s="7">
        <f>IF($C119="","",W119-K119)</f>
        <v/>
      </c>
      <c r="AB119" s="7" t="n"/>
      <c r="AE119" s="11" t="n"/>
      <c r="AG119">
        <f>IF($C119="","",IF(COUNTIF($C$2:$C119,$C119)=1,1,0))</f>
        <v/>
      </c>
      <c r="AH119">
        <f>IF($AG119=1,SUMPRODUCT(--($AK$2:$AK$6001&lt;$AK119))+1,"")</f>
        <v/>
      </c>
      <c r="AI119">
        <f>IF($C119="","",IF(OR($N119=TRUE(),$N119="TRUE"),1,0))</f>
        <v/>
      </c>
      <c r="AJ119">
        <f>IF($C119="","",IF($T119="Yes",1,0))</f>
        <v/>
      </c>
      <c r="AK119">
        <f>IF($AG119=1,IFERROR(IF(VALUE($C119)&lt;100000000,VALUE($C119),1000000000),IFERROR(IF(VALUE(MID($C119,2,20))&lt;100000000,VALUE(MID($C119,2,20)),1000000000),1000000000))+ROW()/100000,"")</f>
        <v/>
      </c>
    </row>
    <row r="120">
      <c r="D120" s="11" t="n"/>
      <c r="K120" s="7">
        <f>IF($C120="","",J120*W120/100)</f>
        <v/>
      </c>
      <c r="Q120" s="7" t="n"/>
      <c r="R120" s="7" t="n"/>
      <c r="U120">
        <f>IF($C120="","",IF($AJ120=1,0,IF($AI120=1,Settings!$C$6,Settings!$C$7))*100)</f>
        <v/>
      </c>
      <c r="V120" s="7">
        <f>IF($C120="","",R120*U120/100)</f>
        <v/>
      </c>
      <c r="W120" s="7">
        <f>IF($C120="","",R120-V120)</f>
        <v/>
      </c>
      <c r="X120" s="7">
        <f>IF($C120="","",W120-K120)</f>
        <v/>
      </c>
      <c r="AB120" s="7" t="n"/>
      <c r="AE120" s="11" t="n"/>
      <c r="AG120">
        <f>IF($C120="","",IF(COUNTIF($C$2:$C120,$C120)=1,1,0))</f>
        <v/>
      </c>
      <c r="AH120">
        <f>IF($AG120=1,SUMPRODUCT(--($AK$2:$AK$6001&lt;$AK120))+1,"")</f>
        <v/>
      </c>
      <c r="AI120">
        <f>IF($C120="","",IF(OR($N120=TRUE(),$N120="TRUE"),1,0))</f>
        <v/>
      </c>
      <c r="AJ120">
        <f>IF($C120="","",IF($T120="Yes",1,0))</f>
        <v/>
      </c>
      <c r="AK120">
        <f>IF($AG120=1,IFERROR(IF(VALUE($C120)&lt;100000000,VALUE($C120),1000000000),IFERROR(IF(VALUE(MID($C120,2,20))&lt;100000000,VALUE(MID($C120,2,20)),1000000000),1000000000))+ROW()/100000,"")</f>
        <v/>
      </c>
    </row>
    <row r="121">
      <c r="D121" s="11" t="n"/>
      <c r="K121" s="7">
        <f>IF($C121="","",J121*W121/100)</f>
        <v/>
      </c>
      <c r="Q121" s="7" t="n"/>
      <c r="R121" s="7" t="n"/>
      <c r="U121">
        <f>IF($C121="","",IF($AJ121=1,0,IF($AI121=1,Settings!$C$6,Settings!$C$7))*100)</f>
        <v/>
      </c>
      <c r="V121" s="7">
        <f>IF($C121="","",R121*U121/100)</f>
        <v/>
      </c>
      <c r="W121" s="7">
        <f>IF($C121="","",R121-V121)</f>
        <v/>
      </c>
      <c r="X121" s="7">
        <f>IF($C121="","",W121-K121)</f>
        <v/>
      </c>
      <c r="AB121" s="7" t="n"/>
      <c r="AE121" s="11" t="n"/>
      <c r="AG121">
        <f>IF($C121="","",IF(COUNTIF($C$2:$C121,$C121)=1,1,0))</f>
        <v/>
      </c>
      <c r="AH121">
        <f>IF($AG121=1,SUMPRODUCT(--($AK$2:$AK$6001&lt;$AK121))+1,"")</f>
        <v/>
      </c>
      <c r="AI121">
        <f>IF($C121="","",IF(OR($N121=TRUE(),$N121="TRUE"),1,0))</f>
        <v/>
      </c>
      <c r="AJ121">
        <f>IF($C121="","",IF($T121="Yes",1,0))</f>
        <v/>
      </c>
      <c r="AK121">
        <f>IF($AG121=1,IFERROR(IF(VALUE($C121)&lt;100000000,VALUE($C121),1000000000),IFERROR(IF(VALUE(MID($C121,2,20))&lt;100000000,VALUE(MID($C121,2,20)),1000000000),1000000000))+ROW()/100000,"")</f>
        <v/>
      </c>
    </row>
    <row r="122">
      <c r="D122" s="11" t="n"/>
      <c r="K122" s="7">
        <f>IF($C122="","",J122*W122/100)</f>
        <v/>
      </c>
      <c r="Q122" s="7" t="n"/>
      <c r="R122" s="7" t="n"/>
      <c r="U122">
        <f>IF($C122="","",IF($AJ122=1,0,IF($AI122=1,Settings!$C$6,Settings!$C$7))*100)</f>
        <v/>
      </c>
      <c r="V122" s="7">
        <f>IF($C122="","",R122*U122/100)</f>
        <v/>
      </c>
      <c r="W122" s="7">
        <f>IF($C122="","",R122-V122)</f>
        <v/>
      </c>
      <c r="X122" s="7">
        <f>IF($C122="","",W122-K122)</f>
        <v/>
      </c>
      <c r="AB122" s="7" t="n"/>
      <c r="AE122" s="11" t="n"/>
      <c r="AG122">
        <f>IF($C122="","",IF(COUNTIF($C$2:$C122,$C122)=1,1,0))</f>
        <v/>
      </c>
      <c r="AH122">
        <f>IF($AG122=1,SUMPRODUCT(--($AK$2:$AK$6001&lt;$AK122))+1,"")</f>
        <v/>
      </c>
      <c r="AI122">
        <f>IF($C122="","",IF(OR($N122=TRUE(),$N122="TRUE"),1,0))</f>
        <v/>
      </c>
      <c r="AJ122">
        <f>IF($C122="","",IF($T122="Yes",1,0))</f>
        <v/>
      </c>
      <c r="AK122">
        <f>IF($AG122=1,IFERROR(IF(VALUE($C122)&lt;100000000,VALUE($C122),1000000000),IFERROR(IF(VALUE(MID($C122,2,20))&lt;100000000,VALUE(MID($C122,2,20)),1000000000),1000000000))+ROW()/100000,"")</f>
        <v/>
      </c>
    </row>
    <row r="123">
      <c r="D123" s="11" t="n"/>
      <c r="K123" s="7">
        <f>IF($C123="","",J123*W123/100)</f>
        <v/>
      </c>
      <c r="Q123" s="7" t="n"/>
      <c r="R123" s="7" t="n"/>
      <c r="U123">
        <f>IF($C123="","",IF($AJ123=1,0,IF($AI123=1,Settings!$C$6,Settings!$C$7))*100)</f>
        <v/>
      </c>
      <c r="V123" s="7">
        <f>IF($C123="","",R123*U123/100)</f>
        <v/>
      </c>
      <c r="W123" s="7">
        <f>IF($C123="","",R123-V123)</f>
        <v/>
      </c>
      <c r="X123" s="7">
        <f>IF($C123="","",W123-K123)</f>
        <v/>
      </c>
      <c r="AB123" s="7" t="n"/>
      <c r="AE123" s="11" t="n"/>
      <c r="AG123">
        <f>IF($C123="","",IF(COUNTIF($C$2:$C123,$C123)=1,1,0))</f>
        <v/>
      </c>
      <c r="AH123">
        <f>IF($AG123=1,SUMPRODUCT(--($AK$2:$AK$6001&lt;$AK123))+1,"")</f>
        <v/>
      </c>
      <c r="AI123">
        <f>IF($C123="","",IF(OR($N123=TRUE(),$N123="TRUE"),1,0))</f>
        <v/>
      </c>
      <c r="AJ123">
        <f>IF($C123="","",IF($T123="Yes",1,0))</f>
        <v/>
      </c>
      <c r="AK123">
        <f>IF($AG123=1,IFERROR(IF(VALUE($C123)&lt;100000000,VALUE($C123),1000000000),IFERROR(IF(VALUE(MID($C123,2,20))&lt;100000000,VALUE(MID($C123,2,20)),1000000000),1000000000))+ROW()/100000,"")</f>
        <v/>
      </c>
    </row>
    <row r="124">
      <c r="D124" s="11" t="n"/>
      <c r="K124" s="7">
        <f>IF($C124="","",J124*W124/100)</f>
        <v/>
      </c>
      <c r="Q124" s="7" t="n"/>
      <c r="R124" s="7" t="n"/>
      <c r="U124">
        <f>IF($C124="","",IF($AJ124=1,0,IF($AI124=1,Settings!$C$6,Settings!$C$7))*100)</f>
        <v/>
      </c>
      <c r="V124" s="7">
        <f>IF($C124="","",R124*U124/100)</f>
        <v/>
      </c>
      <c r="W124" s="7">
        <f>IF($C124="","",R124-V124)</f>
        <v/>
      </c>
      <c r="X124" s="7">
        <f>IF($C124="","",W124-K124)</f>
        <v/>
      </c>
      <c r="AB124" s="7" t="n"/>
      <c r="AE124" s="11" t="n"/>
      <c r="AG124">
        <f>IF($C124="","",IF(COUNTIF($C$2:$C124,$C124)=1,1,0))</f>
        <v/>
      </c>
      <c r="AH124">
        <f>IF($AG124=1,SUMPRODUCT(--($AK$2:$AK$6001&lt;$AK124))+1,"")</f>
        <v/>
      </c>
      <c r="AI124">
        <f>IF($C124="","",IF(OR($N124=TRUE(),$N124="TRUE"),1,0))</f>
        <v/>
      </c>
      <c r="AJ124">
        <f>IF($C124="","",IF($T124="Yes",1,0))</f>
        <v/>
      </c>
      <c r="AK124">
        <f>IF($AG124=1,IFERROR(IF(VALUE($C124)&lt;100000000,VALUE($C124),1000000000),IFERROR(IF(VALUE(MID($C124,2,20))&lt;100000000,VALUE(MID($C124,2,20)),1000000000),1000000000))+ROW()/100000,"")</f>
        <v/>
      </c>
    </row>
    <row r="125">
      <c r="D125" s="11" t="n"/>
      <c r="K125" s="7">
        <f>IF($C125="","",J125*W125/100)</f>
        <v/>
      </c>
      <c r="Q125" s="7" t="n"/>
      <c r="R125" s="7" t="n"/>
      <c r="U125">
        <f>IF($C125="","",IF($AJ125=1,0,IF($AI125=1,Settings!$C$6,Settings!$C$7))*100)</f>
        <v/>
      </c>
      <c r="V125" s="7">
        <f>IF($C125="","",R125*U125/100)</f>
        <v/>
      </c>
      <c r="W125" s="7">
        <f>IF($C125="","",R125-V125)</f>
        <v/>
      </c>
      <c r="X125" s="7">
        <f>IF($C125="","",W125-K125)</f>
        <v/>
      </c>
      <c r="AB125" s="7" t="n"/>
      <c r="AE125" s="11" t="n"/>
      <c r="AG125">
        <f>IF($C125="","",IF(COUNTIF($C$2:$C125,$C125)=1,1,0))</f>
        <v/>
      </c>
      <c r="AH125">
        <f>IF($AG125=1,SUMPRODUCT(--($AK$2:$AK$6001&lt;$AK125))+1,"")</f>
        <v/>
      </c>
      <c r="AI125">
        <f>IF($C125="","",IF(OR($N125=TRUE(),$N125="TRUE"),1,0))</f>
        <v/>
      </c>
      <c r="AJ125">
        <f>IF($C125="","",IF($T125="Yes",1,0))</f>
        <v/>
      </c>
      <c r="AK125">
        <f>IF($AG125=1,IFERROR(IF(VALUE($C125)&lt;100000000,VALUE($C125),1000000000),IFERROR(IF(VALUE(MID($C125,2,20))&lt;100000000,VALUE(MID($C125,2,20)),1000000000),1000000000))+ROW()/100000,"")</f>
        <v/>
      </c>
    </row>
    <row r="126">
      <c r="D126" s="11" t="n"/>
      <c r="K126" s="7">
        <f>IF($C126="","",J126*W126/100)</f>
        <v/>
      </c>
      <c r="Q126" s="7" t="n"/>
      <c r="R126" s="7" t="n"/>
      <c r="U126">
        <f>IF($C126="","",IF($AJ126=1,0,IF($AI126=1,Settings!$C$6,Settings!$C$7))*100)</f>
        <v/>
      </c>
      <c r="V126" s="7">
        <f>IF($C126="","",R126*U126/100)</f>
        <v/>
      </c>
      <c r="W126" s="7">
        <f>IF($C126="","",R126-V126)</f>
        <v/>
      </c>
      <c r="X126" s="7">
        <f>IF($C126="","",W126-K126)</f>
        <v/>
      </c>
      <c r="AB126" s="7" t="n"/>
      <c r="AE126" s="11" t="n"/>
      <c r="AG126">
        <f>IF($C126="","",IF(COUNTIF($C$2:$C126,$C126)=1,1,0))</f>
        <v/>
      </c>
      <c r="AH126">
        <f>IF($AG126=1,SUMPRODUCT(--($AK$2:$AK$6001&lt;$AK126))+1,"")</f>
        <v/>
      </c>
      <c r="AI126">
        <f>IF($C126="","",IF(OR($N126=TRUE(),$N126="TRUE"),1,0))</f>
        <v/>
      </c>
      <c r="AJ126">
        <f>IF($C126="","",IF($T126="Yes",1,0))</f>
        <v/>
      </c>
      <c r="AK126">
        <f>IF($AG126=1,IFERROR(IF(VALUE($C126)&lt;100000000,VALUE($C126),1000000000),IFERROR(IF(VALUE(MID($C126,2,20))&lt;100000000,VALUE(MID($C126,2,20)),1000000000),1000000000))+ROW()/100000,"")</f>
        <v/>
      </c>
    </row>
    <row r="127">
      <c r="D127" s="11" t="n"/>
      <c r="K127" s="7">
        <f>IF($C127="","",J127*W127/100)</f>
        <v/>
      </c>
      <c r="Q127" s="7" t="n"/>
      <c r="R127" s="7" t="n"/>
      <c r="U127">
        <f>IF($C127="","",IF($AJ127=1,0,IF($AI127=1,Settings!$C$6,Settings!$C$7))*100)</f>
        <v/>
      </c>
      <c r="V127" s="7">
        <f>IF($C127="","",R127*U127/100)</f>
        <v/>
      </c>
      <c r="W127" s="7">
        <f>IF($C127="","",R127-V127)</f>
        <v/>
      </c>
      <c r="X127" s="7">
        <f>IF($C127="","",W127-K127)</f>
        <v/>
      </c>
      <c r="AB127" s="7" t="n"/>
      <c r="AE127" s="11" t="n"/>
      <c r="AG127">
        <f>IF($C127="","",IF(COUNTIF($C$2:$C127,$C127)=1,1,0))</f>
        <v/>
      </c>
      <c r="AH127">
        <f>IF($AG127=1,SUMPRODUCT(--($AK$2:$AK$6001&lt;$AK127))+1,"")</f>
        <v/>
      </c>
      <c r="AI127">
        <f>IF($C127="","",IF(OR($N127=TRUE(),$N127="TRUE"),1,0))</f>
        <v/>
      </c>
      <c r="AJ127">
        <f>IF($C127="","",IF($T127="Yes",1,0))</f>
        <v/>
      </c>
      <c r="AK127">
        <f>IF($AG127=1,IFERROR(IF(VALUE($C127)&lt;100000000,VALUE($C127),1000000000),IFERROR(IF(VALUE(MID($C127,2,20))&lt;100000000,VALUE(MID($C127,2,20)),1000000000),1000000000))+ROW()/100000,"")</f>
        <v/>
      </c>
    </row>
    <row r="128">
      <c r="D128" s="11" t="n"/>
      <c r="K128" s="7">
        <f>IF($C128="","",J128*W128/100)</f>
        <v/>
      </c>
      <c r="Q128" s="7" t="n"/>
      <c r="R128" s="7" t="n"/>
      <c r="U128">
        <f>IF($C128="","",IF($AJ128=1,0,IF($AI128=1,Settings!$C$6,Settings!$C$7))*100)</f>
        <v/>
      </c>
      <c r="V128" s="7">
        <f>IF($C128="","",R128*U128/100)</f>
        <v/>
      </c>
      <c r="W128" s="7">
        <f>IF($C128="","",R128-V128)</f>
        <v/>
      </c>
      <c r="X128" s="7">
        <f>IF($C128="","",W128-K128)</f>
        <v/>
      </c>
      <c r="AB128" s="7" t="n"/>
      <c r="AE128" s="11" t="n"/>
      <c r="AG128">
        <f>IF($C128="","",IF(COUNTIF($C$2:$C128,$C128)=1,1,0))</f>
        <v/>
      </c>
      <c r="AH128">
        <f>IF($AG128=1,SUMPRODUCT(--($AK$2:$AK$6001&lt;$AK128))+1,"")</f>
        <v/>
      </c>
      <c r="AI128">
        <f>IF($C128="","",IF(OR($N128=TRUE(),$N128="TRUE"),1,0))</f>
        <v/>
      </c>
      <c r="AJ128">
        <f>IF($C128="","",IF($T128="Yes",1,0))</f>
        <v/>
      </c>
      <c r="AK128">
        <f>IF($AG128=1,IFERROR(IF(VALUE($C128)&lt;100000000,VALUE($C128),1000000000),IFERROR(IF(VALUE(MID($C128,2,20))&lt;100000000,VALUE(MID($C128,2,20)),1000000000),1000000000))+ROW()/100000,"")</f>
        <v/>
      </c>
    </row>
    <row r="129">
      <c r="D129" s="11" t="n"/>
      <c r="K129" s="7">
        <f>IF($C129="","",J129*W129/100)</f>
        <v/>
      </c>
      <c r="Q129" s="7" t="n"/>
      <c r="R129" s="7" t="n"/>
      <c r="U129">
        <f>IF($C129="","",IF($AJ129=1,0,IF($AI129=1,Settings!$C$6,Settings!$C$7))*100)</f>
        <v/>
      </c>
      <c r="V129" s="7">
        <f>IF($C129="","",R129*U129/100)</f>
        <v/>
      </c>
      <c r="W129" s="7">
        <f>IF($C129="","",R129-V129)</f>
        <v/>
      </c>
      <c r="X129" s="7">
        <f>IF($C129="","",W129-K129)</f>
        <v/>
      </c>
      <c r="AB129" s="7" t="n"/>
      <c r="AE129" s="11" t="n"/>
      <c r="AG129">
        <f>IF($C129="","",IF(COUNTIF($C$2:$C129,$C129)=1,1,0))</f>
        <v/>
      </c>
      <c r="AH129">
        <f>IF($AG129=1,SUMPRODUCT(--($AK$2:$AK$6001&lt;$AK129))+1,"")</f>
        <v/>
      </c>
      <c r="AI129">
        <f>IF($C129="","",IF(OR($N129=TRUE(),$N129="TRUE"),1,0))</f>
        <v/>
      </c>
      <c r="AJ129">
        <f>IF($C129="","",IF($T129="Yes",1,0))</f>
        <v/>
      </c>
      <c r="AK129">
        <f>IF($AG129=1,IFERROR(IF(VALUE($C129)&lt;100000000,VALUE($C129),1000000000),IFERROR(IF(VALUE(MID($C129,2,20))&lt;100000000,VALUE(MID($C129,2,20)),1000000000),1000000000))+ROW()/100000,"")</f>
        <v/>
      </c>
    </row>
    <row r="130">
      <c r="D130" s="11" t="n"/>
      <c r="K130" s="7">
        <f>IF($C130="","",J130*W130/100)</f>
        <v/>
      </c>
      <c r="Q130" s="7" t="n"/>
      <c r="R130" s="7" t="n"/>
      <c r="U130">
        <f>IF($C130="","",IF($AJ130=1,0,IF($AI130=1,Settings!$C$6,Settings!$C$7))*100)</f>
        <v/>
      </c>
      <c r="V130" s="7">
        <f>IF($C130="","",R130*U130/100)</f>
        <v/>
      </c>
      <c r="W130" s="7">
        <f>IF($C130="","",R130-V130)</f>
        <v/>
      </c>
      <c r="X130" s="7">
        <f>IF($C130="","",W130-K130)</f>
        <v/>
      </c>
      <c r="AB130" s="7" t="n"/>
      <c r="AE130" s="11" t="n"/>
      <c r="AG130">
        <f>IF($C130="","",IF(COUNTIF($C$2:$C130,$C130)=1,1,0))</f>
        <v/>
      </c>
      <c r="AH130">
        <f>IF($AG130=1,SUMPRODUCT(--($AK$2:$AK$6001&lt;$AK130))+1,"")</f>
        <v/>
      </c>
      <c r="AI130">
        <f>IF($C130="","",IF(OR($N130=TRUE(),$N130="TRUE"),1,0))</f>
        <v/>
      </c>
      <c r="AJ130">
        <f>IF($C130="","",IF($T130="Yes",1,0))</f>
        <v/>
      </c>
      <c r="AK130">
        <f>IF($AG130=1,IFERROR(IF(VALUE($C130)&lt;100000000,VALUE($C130),1000000000),IFERROR(IF(VALUE(MID($C130,2,20))&lt;100000000,VALUE(MID($C130,2,20)),1000000000),1000000000))+ROW()/100000,"")</f>
        <v/>
      </c>
    </row>
    <row r="131">
      <c r="D131" s="11" t="n"/>
      <c r="K131" s="7">
        <f>IF($C131="","",J131*W131/100)</f>
        <v/>
      </c>
      <c r="Q131" s="7" t="n"/>
      <c r="R131" s="7" t="n"/>
      <c r="U131">
        <f>IF($C131="","",IF($AJ131=1,0,IF($AI131=1,Settings!$C$6,Settings!$C$7))*100)</f>
        <v/>
      </c>
      <c r="V131" s="7">
        <f>IF($C131="","",R131*U131/100)</f>
        <v/>
      </c>
      <c r="W131" s="7">
        <f>IF($C131="","",R131-V131)</f>
        <v/>
      </c>
      <c r="X131" s="7">
        <f>IF($C131="","",W131-K131)</f>
        <v/>
      </c>
      <c r="AB131" s="7" t="n"/>
      <c r="AE131" s="11" t="n"/>
      <c r="AG131">
        <f>IF($C131="","",IF(COUNTIF($C$2:$C131,$C131)=1,1,0))</f>
        <v/>
      </c>
      <c r="AH131">
        <f>IF($AG131=1,SUMPRODUCT(--($AK$2:$AK$6001&lt;$AK131))+1,"")</f>
        <v/>
      </c>
      <c r="AI131">
        <f>IF($C131="","",IF(OR($N131=TRUE(),$N131="TRUE"),1,0))</f>
        <v/>
      </c>
      <c r="AJ131">
        <f>IF($C131="","",IF($T131="Yes",1,0))</f>
        <v/>
      </c>
      <c r="AK131">
        <f>IF($AG131=1,IFERROR(IF(VALUE($C131)&lt;100000000,VALUE($C131),1000000000),IFERROR(IF(VALUE(MID($C131,2,20))&lt;100000000,VALUE(MID($C131,2,20)),1000000000),1000000000))+ROW()/100000,"")</f>
        <v/>
      </c>
    </row>
    <row r="132">
      <c r="D132" s="11" t="n"/>
      <c r="K132" s="7">
        <f>IF($C132="","",J132*W132/100)</f>
        <v/>
      </c>
      <c r="Q132" s="7" t="n"/>
      <c r="R132" s="7" t="n"/>
      <c r="U132">
        <f>IF($C132="","",IF($AJ132=1,0,IF($AI132=1,Settings!$C$6,Settings!$C$7))*100)</f>
        <v/>
      </c>
      <c r="V132" s="7">
        <f>IF($C132="","",R132*U132/100)</f>
        <v/>
      </c>
      <c r="W132" s="7">
        <f>IF($C132="","",R132-V132)</f>
        <v/>
      </c>
      <c r="X132" s="7">
        <f>IF($C132="","",W132-K132)</f>
        <v/>
      </c>
      <c r="AB132" s="7" t="n"/>
      <c r="AE132" s="11" t="n"/>
      <c r="AG132">
        <f>IF($C132="","",IF(COUNTIF($C$2:$C132,$C132)=1,1,0))</f>
        <v/>
      </c>
      <c r="AH132">
        <f>IF($AG132=1,SUMPRODUCT(--($AK$2:$AK$6001&lt;$AK132))+1,"")</f>
        <v/>
      </c>
      <c r="AI132">
        <f>IF($C132="","",IF(OR($N132=TRUE(),$N132="TRUE"),1,0))</f>
        <v/>
      </c>
      <c r="AJ132">
        <f>IF($C132="","",IF($T132="Yes",1,0))</f>
        <v/>
      </c>
      <c r="AK132">
        <f>IF($AG132=1,IFERROR(IF(VALUE($C132)&lt;100000000,VALUE($C132),1000000000),IFERROR(IF(VALUE(MID($C132,2,20))&lt;100000000,VALUE(MID($C132,2,20)),1000000000),1000000000))+ROW()/100000,"")</f>
        <v/>
      </c>
    </row>
    <row r="133">
      <c r="D133" s="11" t="n"/>
      <c r="K133" s="7">
        <f>IF($C133="","",J133*W133/100)</f>
        <v/>
      </c>
      <c r="Q133" s="7" t="n"/>
      <c r="R133" s="7" t="n"/>
      <c r="U133">
        <f>IF($C133="","",IF($AJ133=1,0,IF($AI133=1,Settings!$C$6,Settings!$C$7))*100)</f>
        <v/>
      </c>
      <c r="V133" s="7">
        <f>IF($C133="","",R133*U133/100)</f>
        <v/>
      </c>
      <c r="W133" s="7">
        <f>IF($C133="","",R133-V133)</f>
        <v/>
      </c>
      <c r="X133" s="7">
        <f>IF($C133="","",W133-K133)</f>
        <v/>
      </c>
      <c r="AB133" s="7" t="n"/>
      <c r="AE133" s="11" t="n"/>
      <c r="AG133">
        <f>IF($C133="","",IF(COUNTIF($C$2:$C133,$C133)=1,1,0))</f>
        <v/>
      </c>
      <c r="AH133">
        <f>IF($AG133=1,SUMPRODUCT(--($AK$2:$AK$6001&lt;$AK133))+1,"")</f>
        <v/>
      </c>
      <c r="AI133">
        <f>IF($C133="","",IF(OR($N133=TRUE(),$N133="TRUE"),1,0))</f>
        <v/>
      </c>
      <c r="AJ133">
        <f>IF($C133="","",IF($T133="Yes",1,0))</f>
        <v/>
      </c>
      <c r="AK133">
        <f>IF($AG133=1,IFERROR(IF(VALUE($C133)&lt;100000000,VALUE($C133),1000000000),IFERROR(IF(VALUE(MID($C133,2,20))&lt;100000000,VALUE(MID($C133,2,20)),1000000000),1000000000))+ROW()/100000,"")</f>
        <v/>
      </c>
    </row>
    <row r="134">
      <c r="D134" s="11" t="n"/>
      <c r="K134" s="7">
        <f>IF($C134="","",J134*W134/100)</f>
        <v/>
      </c>
      <c r="Q134" s="7" t="n"/>
      <c r="R134" s="7" t="n"/>
      <c r="U134">
        <f>IF($C134="","",IF($AJ134=1,0,IF($AI134=1,Settings!$C$6,Settings!$C$7))*100)</f>
        <v/>
      </c>
      <c r="V134" s="7">
        <f>IF($C134="","",R134*U134/100)</f>
        <v/>
      </c>
      <c r="W134" s="7">
        <f>IF($C134="","",R134-V134)</f>
        <v/>
      </c>
      <c r="X134" s="7">
        <f>IF($C134="","",W134-K134)</f>
        <v/>
      </c>
      <c r="AB134" s="7" t="n"/>
      <c r="AE134" s="11" t="n"/>
      <c r="AG134">
        <f>IF($C134="","",IF(COUNTIF($C$2:$C134,$C134)=1,1,0))</f>
        <v/>
      </c>
      <c r="AH134">
        <f>IF($AG134=1,SUMPRODUCT(--($AK$2:$AK$6001&lt;$AK134))+1,"")</f>
        <v/>
      </c>
      <c r="AI134">
        <f>IF($C134="","",IF(OR($N134=TRUE(),$N134="TRUE"),1,0))</f>
        <v/>
      </c>
      <c r="AJ134">
        <f>IF($C134="","",IF($T134="Yes",1,0))</f>
        <v/>
      </c>
      <c r="AK134">
        <f>IF($AG134=1,IFERROR(IF(VALUE($C134)&lt;100000000,VALUE($C134),1000000000),IFERROR(IF(VALUE(MID($C134,2,20))&lt;100000000,VALUE(MID($C134,2,20)),1000000000),1000000000))+ROW()/100000,"")</f>
        <v/>
      </c>
    </row>
    <row r="135">
      <c r="D135" s="11" t="n"/>
      <c r="K135" s="7">
        <f>IF($C135="","",J135*W135/100)</f>
        <v/>
      </c>
      <c r="Q135" s="7" t="n"/>
      <c r="R135" s="7" t="n"/>
      <c r="U135">
        <f>IF($C135="","",IF($AJ135=1,0,IF($AI135=1,Settings!$C$6,Settings!$C$7))*100)</f>
        <v/>
      </c>
      <c r="V135" s="7">
        <f>IF($C135="","",R135*U135/100)</f>
        <v/>
      </c>
      <c r="W135" s="7">
        <f>IF($C135="","",R135-V135)</f>
        <v/>
      </c>
      <c r="X135" s="7">
        <f>IF($C135="","",W135-K135)</f>
        <v/>
      </c>
      <c r="AB135" s="7" t="n"/>
      <c r="AE135" s="11" t="n"/>
      <c r="AG135">
        <f>IF($C135="","",IF(COUNTIF($C$2:$C135,$C135)=1,1,0))</f>
        <v/>
      </c>
      <c r="AH135">
        <f>IF($AG135=1,SUMPRODUCT(--($AK$2:$AK$6001&lt;$AK135))+1,"")</f>
        <v/>
      </c>
      <c r="AI135">
        <f>IF($C135="","",IF(OR($N135=TRUE(),$N135="TRUE"),1,0))</f>
        <v/>
      </c>
      <c r="AJ135">
        <f>IF($C135="","",IF($T135="Yes",1,0))</f>
        <v/>
      </c>
      <c r="AK135">
        <f>IF($AG135=1,IFERROR(IF(VALUE($C135)&lt;100000000,VALUE($C135),1000000000),IFERROR(IF(VALUE(MID($C135,2,20))&lt;100000000,VALUE(MID($C135,2,20)),1000000000),1000000000))+ROW()/100000,"")</f>
        <v/>
      </c>
    </row>
    <row r="136">
      <c r="D136" s="11" t="n"/>
      <c r="K136" s="7">
        <f>IF($C136="","",J136*W136/100)</f>
        <v/>
      </c>
      <c r="Q136" s="7" t="n"/>
      <c r="R136" s="7" t="n"/>
      <c r="U136">
        <f>IF($C136="","",IF($AJ136=1,0,IF($AI136=1,Settings!$C$6,Settings!$C$7))*100)</f>
        <v/>
      </c>
      <c r="V136" s="7">
        <f>IF($C136="","",R136*U136/100)</f>
        <v/>
      </c>
      <c r="W136" s="7">
        <f>IF($C136="","",R136-V136)</f>
        <v/>
      </c>
      <c r="X136" s="7">
        <f>IF($C136="","",W136-K136)</f>
        <v/>
      </c>
      <c r="AB136" s="7" t="n"/>
      <c r="AE136" s="11" t="n"/>
      <c r="AG136">
        <f>IF($C136="","",IF(COUNTIF($C$2:$C136,$C136)=1,1,0))</f>
        <v/>
      </c>
      <c r="AH136">
        <f>IF($AG136=1,SUMPRODUCT(--($AK$2:$AK$6001&lt;$AK136))+1,"")</f>
        <v/>
      </c>
      <c r="AI136">
        <f>IF($C136="","",IF(OR($N136=TRUE(),$N136="TRUE"),1,0))</f>
        <v/>
      </c>
      <c r="AJ136">
        <f>IF($C136="","",IF($T136="Yes",1,0))</f>
        <v/>
      </c>
      <c r="AK136">
        <f>IF($AG136=1,IFERROR(IF(VALUE($C136)&lt;100000000,VALUE($C136),1000000000),IFERROR(IF(VALUE(MID($C136,2,20))&lt;100000000,VALUE(MID($C136,2,20)),1000000000),1000000000))+ROW()/100000,"")</f>
        <v/>
      </c>
    </row>
    <row r="137">
      <c r="D137" s="11" t="n"/>
      <c r="K137" s="7">
        <f>IF($C137="","",J137*W137/100)</f>
        <v/>
      </c>
      <c r="Q137" s="7" t="n"/>
      <c r="R137" s="7" t="n"/>
      <c r="U137">
        <f>IF($C137="","",IF($AJ137=1,0,IF($AI137=1,Settings!$C$6,Settings!$C$7))*100)</f>
        <v/>
      </c>
      <c r="V137" s="7">
        <f>IF($C137="","",R137*U137/100)</f>
        <v/>
      </c>
      <c r="W137" s="7">
        <f>IF($C137="","",R137-V137)</f>
        <v/>
      </c>
      <c r="X137" s="7">
        <f>IF($C137="","",W137-K137)</f>
        <v/>
      </c>
      <c r="AB137" s="7" t="n"/>
      <c r="AE137" s="11" t="n"/>
      <c r="AG137">
        <f>IF($C137="","",IF(COUNTIF($C$2:$C137,$C137)=1,1,0))</f>
        <v/>
      </c>
      <c r="AH137">
        <f>IF($AG137=1,SUMPRODUCT(--($AK$2:$AK$6001&lt;$AK137))+1,"")</f>
        <v/>
      </c>
      <c r="AI137">
        <f>IF($C137="","",IF(OR($N137=TRUE(),$N137="TRUE"),1,0))</f>
        <v/>
      </c>
      <c r="AJ137">
        <f>IF($C137="","",IF($T137="Yes",1,0))</f>
        <v/>
      </c>
      <c r="AK137">
        <f>IF($AG137=1,IFERROR(IF(VALUE($C137)&lt;100000000,VALUE($C137),1000000000),IFERROR(IF(VALUE(MID($C137,2,20))&lt;100000000,VALUE(MID($C137,2,20)),1000000000),1000000000))+ROW()/100000,"")</f>
        <v/>
      </c>
    </row>
    <row r="138">
      <c r="D138" s="11" t="n"/>
      <c r="K138" s="7">
        <f>IF($C138="","",J138*W138/100)</f>
        <v/>
      </c>
      <c r="Q138" s="7" t="n"/>
      <c r="R138" s="7" t="n"/>
      <c r="U138">
        <f>IF($C138="","",IF($AJ138=1,0,IF($AI138=1,Settings!$C$6,Settings!$C$7))*100)</f>
        <v/>
      </c>
      <c r="V138" s="7">
        <f>IF($C138="","",R138*U138/100)</f>
        <v/>
      </c>
      <c r="W138" s="7">
        <f>IF($C138="","",R138-V138)</f>
        <v/>
      </c>
      <c r="X138" s="7">
        <f>IF($C138="","",W138-K138)</f>
        <v/>
      </c>
      <c r="AB138" s="7" t="n"/>
      <c r="AE138" s="11" t="n"/>
      <c r="AG138">
        <f>IF($C138="","",IF(COUNTIF($C$2:$C138,$C138)=1,1,0))</f>
        <v/>
      </c>
      <c r="AH138">
        <f>IF($AG138=1,SUMPRODUCT(--($AK$2:$AK$6001&lt;$AK138))+1,"")</f>
        <v/>
      </c>
      <c r="AI138">
        <f>IF($C138="","",IF(OR($N138=TRUE(),$N138="TRUE"),1,0))</f>
        <v/>
      </c>
      <c r="AJ138">
        <f>IF($C138="","",IF($T138="Yes",1,0))</f>
        <v/>
      </c>
      <c r="AK138">
        <f>IF($AG138=1,IFERROR(IF(VALUE($C138)&lt;100000000,VALUE($C138),1000000000),IFERROR(IF(VALUE(MID($C138,2,20))&lt;100000000,VALUE(MID($C138,2,20)),1000000000),1000000000))+ROW()/100000,"")</f>
        <v/>
      </c>
    </row>
    <row r="139">
      <c r="D139" s="11" t="n"/>
      <c r="K139" s="7">
        <f>IF($C139="","",J139*W139/100)</f>
        <v/>
      </c>
      <c r="Q139" s="7" t="n"/>
      <c r="R139" s="7" t="n"/>
      <c r="U139">
        <f>IF($C139="","",IF($AJ139=1,0,IF($AI139=1,Settings!$C$6,Settings!$C$7))*100)</f>
        <v/>
      </c>
      <c r="V139" s="7">
        <f>IF($C139="","",R139*U139/100)</f>
        <v/>
      </c>
      <c r="W139" s="7">
        <f>IF($C139="","",R139-V139)</f>
        <v/>
      </c>
      <c r="X139" s="7">
        <f>IF($C139="","",W139-K139)</f>
        <v/>
      </c>
      <c r="AB139" s="7" t="n"/>
      <c r="AE139" s="11" t="n"/>
      <c r="AG139">
        <f>IF($C139="","",IF(COUNTIF($C$2:$C139,$C139)=1,1,0))</f>
        <v/>
      </c>
      <c r="AH139">
        <f>IF($AG139=1,SUMPRODUCT(--($AK$2:$AK$6001&lt;$AK139))+1,"")</f>
        <v/>
      </c>
      <c r="AI139">
        <f>IF($C139="","",IF(OR($N139=TRUE(),$N139="TRUE"),1,0))</f>
        <v/>
      </c>
      <c r="AJ139">
        <f>IF($C139="","",IF($T139="Yes",1,0))</f>
        <v/>
      </c>
      <c r="AK139">
        <f>IF($AG139=1,IFERROR(IF(VALUE($C139)&lt;100000000,VALUE($C139),1000000000),IFERROR(IF(VALUE(MID($C139,2,20))&lt;100000000,VALUE(MID($C139,2,20)),1000000000),1000000000))+ROW()/100000,"")</f>
        <v/>
      </c>
    </row>
    <row r="140">
      <c r="D140" s="11" t="n"/>
      <c r="K140" s="7">
        <f>IF($C140="","",J140*W140/100)</f>
        <v/>
      </c>
      <c r="Q140" s="7" t="n"/>
      <c r="R140" s="7" t="n"/>
      <c r="U140">
        <f>IF($C140="","",IF($AJ140=1,0,IF($AI140=1,Settings!$C$6,Settings!$C$7))*100)</f>
        <v/>
      </c>
      <c r="V140" s="7">
        <f>IF($C140="","",R140*U140/100)</f>
        <v/>
      </c>
      <c r="W140" s="7">
        <f>IF($C140="","",R140-V140)</f>
        <v/>
      </c>
      <c r="X140" s="7">
        <f>IF($C140="","",W140-K140)</f>
        <v/>
      </c>
      <c r="AB140" s="7" t="n"/>
      <c r="AE140" s="11" t="n"/>
      <c r="AG140">
        <f>IF($C140="","",IF(COUNTIF($C$2:$C140,$C140)=1,1,0))</f>
        <v/>
      </c>
      <c r="AH140">
        <f>IF($AG140=1,SUMPRODUCT(--($AK$2:$AK$6001&lt;$AK140))+1,"")</f>
        <v/>
      </c>
      <c r="AI140">
        <f>IF($C140="","",IF(OR($N140=TRUE(),$N140="TRUE"),1,0))</f>
        <v/>
      </c>
      <c r="AJ140">
        <f>IF($C140="","",IF($T140="Yes",1,0))</f>
        <v/>
      </c>
      <c r="AK140">
        <f>IF($AG140=1,IFERROR(IF(VALUE($C140)&lt;100000000,VALUE($C140),1000000000),IFERROR(IF(VALUE(MID($C140,2,20))&lt;100000000,VALUE(MID($C140,2,20)),1000000000),1000000000))+ROW()/100000,"")</f>
        <v/>
      </c>
    </row>
    <row r="141">
      <c r="D141" s="11" t="n"/>
      <c r="K141" s="7">
        <f>IF($C141="","",J141*W141/100)</f>
        <v/>
      </c>
      <c r="Q141" s="7" t="n"/>
      <c r="R141" s="7" t="n"/>
      <c r="U141">
        <f>IF($C141="","",IF($AJ141=1,0,IF($AI141=1,Settings!$C$6,Settings!$C$7))*100)</f>
        <v/>
      </c>
      <c r="V141" s="7">
        <f>IF($C141="","",R141*U141/100)</f>
        <v/>
      </c>
      <c r="W141" s="7">
        <f>IF($C141="","",R141-V141)</f>
        <v/>
      </c>
      <c r="X141" s="7">
        <f>IF($C141="","",W141-K141)</f>
        <v/>
      </c>
      <c r="AB141" s="7" t="n"/>
      <c r="AE141" s="11" t="n"/>
      <c r="AG141">
        <f>IF($C141="","",IF(COUNTIF($C$2:$C141,$C141)=1,1,0))</f>
        <v/>
      </c>
      <c r="AH141">
        <f>IF($AG141=1,SUMPRODUCT(--($AK$2:$AK$6001&lt;$AK141))+1,"")</f>
        <v/>
      </c>
      <c r="AI141">
        <f>IF($C141="","",IF(OR($N141=TRUE(),$N141="TRUE"),1,0))</f>
        <v/>
      </c>
      <c r="AJ141">
        <f>IF($C141="","",IF($T141="Yes",1,0))</f>
        <v/>
      </c>
      <c r="AK141">
        <f>IF($AG141=1,IFERROR(IF(VALUE($C141)&lt;100000000,VALUE($C141),1000000000),IFERROR(IF(VALUE(MID($C141,2,20))&lt;100000000,VALUE(MID($C141,2,20)),1000000000),1000000000))+ROW()/100000,"")</f>
        <v/>
      </c>
    </row>
    <row r="142">
      <c r="D142" s="11" t="n"/>
      <c r="K142" s="7">
        <f>IF($C142="","",J142*W142/100)</f>
        <v/>
      </c>
      <c r="Q142" s="7" t="n"/>
      <c r="R142" s="7" t="n"/>
      <c r="U142">
        <f>IF($C142="","",IF($AJ142=1,0,IF($AI142=1,Settings!$C$6,Settings!$C$7))*100)</f>
        <v/>
      </c>
      <c r="V142" s="7">
        <f>IF($C142="","",R142*U142/100)</f>
        <v/>
      </c>
      <c r="W142" s="7">
        <f>IF($C142="","",R142-V142)</f>
        <v/>
      </c>
      <c r="X142" s="7">
        <f>IF($C142="","",W142-K142)</f>
        <v/>
      </c>
      <c r="AB142" s="7" t="n"/>
      <c r="AE142" s="11" t="n"/>
      <c r="AG142">
        <f>IF($C142="","",IF(COUNTIF($C$2:$C142,$C142)=1,1,0))</f>
        <v/>
      </c>
      <c r="AH142">
        <f>IF($AG142=1,SUMPRODUCT(--($AK$2:$AK$6001&lt;$AK142))+1,"")</f>
        <v/>
      </c>
      <c r="AI142">
        <f>IF($C142="","",IF(OR($N142=TRUE(),$N142="TRUE"),1,0))</f>
        <v/>
      </c>
      <c r="AJ142">
        <f>IF($C142="","",IF($T142="Yes",1,0))</f>
        <v/>
      </c>
      <c r="AK142">
        <f>IF($AG142=1,IFERROR(IF(VALUE($C142)&lt;100000000,VALUE($C142),1000000000),IFERROR(IF(VALUE(MID($C142,2,20))&lt;100000000,VALUE(MID($C142,2,20)),1000000000),1000000000))+ROW()/100000,"")</f>
        <v/>
      </c>
    </row>
    <row r="143">
      <c r="D143" s="11" t="n"/>
      <c r="K143" s="7">
        <f>IF($C143="","",J143*W143/100)</f>
        <v/>
      </c>
      <c r="Q143" s="7" t="n"/>
      <c r="R143" s="7" t="n"/>
      <c r="U143">
        <f>IF($C143="","",IF($AJ143=1,0,IF($AI143=1,Settings!$C$6,Settings!$C$7))*100)</f>
        <v/>
      </c>
      <c r="V143" s="7">
        <f>IF($C143="","",R143*U143/100)</f>
        <v/>
      </c>
      <c r="W143" s="7">
        <f>IF($C143="","",R143-V143)</f>
        <v/>
      </c>
      <c r="X143" s="7">
        <f>IF($C143="","",W143-K143)</f>
        <v/>
      </c>
      <c r="AB143" s="7" t="n"/>
      <c r="AE143" s="11" t="n"/>
      <c r="AG143">
        <f>IF($C143="","",IF(COUNTIF($C$2:$C143,$C143)=1,1,0))</f>
        <v/>
      </c>
      <c r="AH143">
        <f>IF($AG143=1,SUMPRODUCT(--($AK$2:$AK$6001&lt;$AK143))+1,"")</f>
        <v/>
      </c>
      <c r="AI143">
        <f>IF($C143="","",IF(OR($N143=TRUE(),$N143="TRUE"),1,0))</f>
        <v/>
      </c>
      <c r="AJ143">
        <f>IF($C143="","",IF($T143="Yes",1,0))</f>
        <v/>
      </c>
      <c r="AK143">
        <f>IF($AG143=1,IFERROR(IF(VALUE($C143)&lt;100000000,VALUE($C143),1000000000),IFERROR(IF(VALUE(MID($C143,2,20))&lt;100000000,VALUE(MID($C143,2,20)),1000000000),1000000000))+ROW()/100000,"")</f>
        <v/>
      </c>
    </row>
    <row r="144">
      <c r="D144" s="11" t="n"/>
      <c r="K144" s="7">
        <f>IF($C144="","",J144*W144/100)</f>
        <v/>
      </c>
      <c r="Q144" s="7" t="n"/>
      <c r="R144" s="7" t="n"/>
      <c r="U144">
        <f>IF($C144="","",IF($AJ144=1,0,IF($AI144=1,Settings!$C$6,Settings!$C$7))*100)</f>
        <v/>
      </c>
      <c r="V144" s="7">
        <f>IF($C144="","",R144*U144/100)</f>
        <v/>
      </c>
      <c r="W144" s="7">
        <f>IF($C144="","",R144-V144)</f>
        <v/>
      </c>
      <c r="X144" s="7">
        <f>IF($C144="","",W144-K144)</f>
        <v/>
      </c>
      <c r="AB144" s="7" t="n"/>
      <c r="AE144" s="11" t="n"/>
      <c r="AG144">
        <f>IF($C144="","",IF(COUNTIF($C$2:$C144,$C144)=1,1,0))</f>
        <v/>
      </c>
      <c r="AH144">
        <f>IF($AG144=1,SUMPRODUCT(--($AK$2:$AK$6001&lt;$AK144))+1,"")</f>
        <v/>
      </c>
      <c r="AI144">
        <f>IF($C144="","",IF(OR($N144=TRUE(),$N144="TRUE"),1,0))</f>
        <v/>
      </c>
      <c r="AJ144">
        <f>IF($C144="","",IF($T144="Yes",1,0))</f>
        <v/>
      </c>
      <c r="AK144">
        <f>IF($AG144=1,IFERROR(IF(VALUE($C144)&lt;100000000,VALUE($C144),1000000000),IFERROR(IF(VALUE(MID($C144,2,20))&lt;100000000,VALUE(MID($C144,2,20)),1000000000),1000000000))+ROW()/100000,"")</f>
        <v/>
      </c>
    </row>
    <row r="145">
      <c r="D145" s="11" t="n"/>
      <c r="K145" s="7">
        <f>IF($C145="","",J145*W145/100)</f>
        <v/>
      </c>
      <c r="Q145" s="7" t="n"/>
      <c r="R145" s="7" t="n"/>
      <c r="U145">
        <f>IF($C145="","",IF($AJ145=1,0,IF($AI145=1,Settings!$C$6,Settings!$C$7))*100)</f>
        <v/>
      </c>
      <c r="V145" s="7">
        <f>IF($C145="","",R145*U145/100)</f>
        <v/>
      </c>
      <c r="W145" s="7">
        <f>IF($C145="","",R145-V145)</f>
        <v/>
      </c>
      <c r="X145" s="7">
        <f>IF($C145="","",W145-K145)</f>
        <v/>
      </c>
      <c r="AB145" s="7" t="n"/>
      <c r="AE145" s="11" t="n"/>
      <c r="AG145">
        <f>IF($C145="","",IF(COUNTIF($C$2:$C145,$C145)=1,1,0))</f>
        <v/>
      </c>
      <c r="AH145">
        <f>IF($AG145=1,SUMPRODUCT(--($AK$2:$AK$6001&lt;$AK145))+1,"")</f>
        <v/>
      </c>
      <c r="AI145">
        <f>IF($C145="","",IF(OR($N145=TRUE(),$N145="TRUE"),1,0))</f>
        <v/>
      </c>
      <c r="AJ145">
        <f>IF($C145="","",IF($T145="Yes",1,0))</f>
        <v/>
      </c>
      <c r="AK145">
        <f>IF($AG145=1,IFERROR(IF(VALUE($C145)&lt;100000000,VALUE($C145),1000000000),IFERROR(IF(VALUE(MID($C145,2,20))&lt;100000000,VALUE(MID($C145,2,20)),1000000000),1000000000))+ROW()/100000,"")</f>
        <v/>
      </c>
    </row>
    <row r="146">
      <c r="D146" s="11" t="n"/>
      <c r="K146" s="7">
        <f>IF($C146="","",J146*W146/100)</f>
        <v/>
      </c>
      <c r="Q146" s="7" t="n"/>
      <c r="R146" s="7" t="n"/>
      <c r="U146">
        <f>IF($C146="","",IF($AJ146=1,0,IF($AI146=1,Settings!$C$6,Settings!$C$7))*100)</f>
        <v/>
      </c>
      <c r="V146" s="7">
        <f>IF($C146="","",R146*U146/100)</f>
        <v/>
      </c>
      <c r="W146" s="7">
        <f>IF($C146="","",R146-V146)</f>
        <v/>
      </c>
      <c r="X146" s="7">
        <f>IF($C146="","",W146-K146)</f>
        <v/>
      </c>
      <c r="AB146" s="7" t="n"/>
      <c r="AE146" s="11" t="n"/>
      <c r="AG146">
        <f>IF($C146="","",IF(COUNTIF($C$2:$C146,$C146)=1,1,0))</f>
        <v/>
      </c>
      <c r="AH146">
        <f>IF($AG146=1,SUMPRODUCT(--($AK$2:$AK$6001&lt;$AK146))+1,"")</f>
        <v/>
      </c>
      <c r="AI146">
        <f>IF($C146="","",IF(OR($N146=TRUE(),$N146="TRUE"),1,0))</f>
        <v/>
      </c>
      <c r="AJ146">
        <f>IF($C146="","",IF($T146="Yes",1,0))</f>
        <v/>
      </c>
      <c r="AK146">
        <f>IF($AG146=1,IFERROR(IF(VALUE($C146)&lt;100000000,VALUE($C146),1000000000),IFERROR(IF(VALUE(MID($C146,2,20))&lt;100000000,VALUE(MID($C146,2,20)),1000000000),1000000000))+ROW()/100000,"")</f>
        <v/>
      </c>
    </row>
    <row r="147">
      <c r="D147" s="11" t="n"/>
      <c r="K147" s="7">
        <f>IF($C147="","",J147*W147/100)</f>
        <v/>
      </c>
      <c r="Q147" s="7" t="n"/>
      <c r="R147" s="7" t="n"/>
      <c r="U147">
        <f>IF($C147="","",IF($AJ147=1,0,IF($AI147=1,Settings!$C$6,Settings!$C$7))*100)</f>
        <v/>
      </c>
      <c r="V147" s="7">
        <f>IF($C147="","",R147*U147/100)</f>
        <v/>
      </c>
      <c r="W147" s="7">
        <f>IF($C147="","",R147-V147)</f>
        <v/>
      </c>
      <c r="X147" s="7">
        <f>IF($C147="","",W147-K147)</f>
        <v/>
      </c>
      <c r="AB147" s="7" t="n"/>
      <c r="AE147" s="11" t="n"/>
      <c r="AG147">
        <f>IF($C147="","",IF(COUNTIF($C$2:$C147,$C147)=1,1,0))</f>
        <v/>
      </c>
      <c r="AH147">
        <f>IF($AG147=1,SUMPRODUCT(--($AK$2:$AK$6001&lt;$AK147))+1,"")</f>
        <v/>
      </c>
      <c r="AI147">
        <f>IF($C147="","",IF(OR($N147=TRUE(),$N147="TRUE"),1,0))</f>
        <v/>
      </c>
      <c r="AJ147">
        <f>IF($C147="","",IF($T147="Yes",1,0))</f>
        <v/>
      </c>
      <c r="AK147">
        <f>IF($AG147=1,IFERROR(IF(VALUE($C147)&lt;100000000,VALUE($C147),1000000000),IFERROR(IF(VALUE(MID($C147,2,20))&lt;100000000,VALUE(MID($C147,2,20)),1000000000),1000000000))+ROW()/100000,"")</f>
        <v/>
      </c>
    </row>
    <row r="148">
      <c r="D148" s="11" t="n"/>
      <c r="K148" s="7">
        <f>IF($C148="","",J148*W148/100)</f>
        <v/>
      </c>
      <c r="Q148" s="7" t="n"/>
      <c r="R148" s="7" t="n"/>
      <c r="U148">
        <f>IF($C148="","",IF($AJ148=1,0,IF($AI148=1,Settings!$C$6,Settings!$C$7))*100)</f>
        <v/>
      </c>
      <c r="V148" s="7">
        <f>IF($C148="","",R148*U148/100)</f>
        <v/>
      </c>
      <c r="W148" s="7">
        <f>IF($C148="","",R148-V148)</f>
        <v/>
      </c>
      <c r="X148" s="7">
        <f>IF($C148="","",W148-K148)</f>
        <v/>
      </c>
      <c r="AB148" s="7" t="n"/>
      <c r="AE148" s="11" t="n"/>
      <c r="AG148">
        <f>IF($C148="","",IF(COUNTIF($C$2:$C148,$C148)=1,1,0))</f>
        <v/>
      </c>
      <c r="AH148">
        <f>IF($AG148=1,SUMPRODUCT(--($AK$2:$AK$6001&lt;$AK148))+1,"")</f>
        <v/>
      </c>
      <c r="AI148">
        <f>IF($C148="","",IF(OR($N148=TRUE(),$N148="TRUE"),1,0))</f>
        <v/>
      </c>
      <c r="AJ148">
        <f>IF($C148="","",IF($T148="Yes",1,0))</f>
        <v/>
      </c>
      <c r="AK148">
        <f>IF($AG148=1,IFERROR(IF(VALUE($C148)&lt;100000000,VALUE($C148),1000000000),IFERROR(IF(VALUE(MID($C148,2,20))&lt;100000000,VALUE(MID($C148,2,20)),1000000000),1000000000))+ROW()/100000,"")</f>
        <v/>
      </c>
    </row>
    <row r="149">
      <c r="D149" s="11" t="n"/>
      <c r="K149" s="7">
        <f>IF($C149="","",J149*W149/100)</f>
        <v/>
      </c>
      <c r="Q149" s="7" t="n"/>
      <c r="R149" s="7" t="n"/>
      <c r="U149">
        <f>IF($C149="","",IF($AJ149=1,0,IF($AI149=1,Settings!$C$6,Settings!$C$7))*100)</f>
        <v/>
      </c>
      <c r="V149" s="7">
        <f>IF($C149="","",R149*U149/100)</f>
        <v/>
      </c>
      <c r="W149" s="7">
        <f>IF($C149="","",R149-V149)</f>
        <v/>
      </c>
      <c r="X149" s="7">
        <f>IF($C149="","",W149-K149)</f>
        <v/>
      </c>
      <c r="AB149" s="7" t="n"/>
      <c r="AE149" s="11" t="n"/>
      <c r="AG149">
        <f>IF($C149="","",IF(COUNTIF($C$2:$C149,$C149)=1,1,0))</f>
        <v/>
      </c>
      <c r="AH149">
        <f>IF($AG149=1,SUMPRODUCT(--($AK$2:$AK$6001&lt;$AK149))+1,"")</f>
        <v/>
      </c>
      <c r="AI149">
        <f>IF($C149="","",IF(OR($N149=TRUE(),$N149="TRUE"),1,0))</f>
        <v/>
      </c>
      <c r="AJ149">
        <f>IF($C149="","",IF($T149="Yes",1,0))</f>
        <v/>
      </c>
      <c r="AK149">
        <f>IF($AG149=1,IFERROR(IF(VALUE($C149)&lt;100000000,VALUE($C149),1000000000),IFERROR(IF(VALUE(MID($C149,2,20))&lt;100000000,VALUE(MID($C149,2,20)),1000000000),1000000000))+ROW()/100000,"")</f>
        <v/>
      </c>
    </row>
    <row r="150">
      <c r="D150" s="11" t="n"/>
      <c r="K150" s="7">
        <f>IF($C150="","",J150*W150/100)</f>
        <v/>
      </c>
      <c r="Q150" s="7" t="n"/>
      <c r="R150" s="7" t="n"/>
      <c r="U150">
        <f>IF($C150="","",IF($AJ150=1,0,IF($AI150=1,Settings!$C$6,Settings!$C$7))*100)</f>
        <v/>
      </c>
      <c r="V150" s="7">
        <f>IF($C150="","",R150*U150/100)</f>
        <v/>
      </c>
      <c r="W150" s="7">
        <f>IF($C150="","",R150-V150)</f>
        <v/>
      </c>
      <c r="X150" s="7">
        <f>IF($C150="","",W150-K150)</f>
        <v/>
      </c>
      <c r="AB150" s="7" t="n"/>
      <c r="AE150" s="11" t="n"/>
      <c r="AG150">
        <f>IF($C150="","",IF(COUNTIF($C$2:$C150,$C150)=1,1,0))</f>
        <v/>
      </c>
      <c r="AH150">
        <f>IF($AG150=1,SUMPRODUCT(--($AK$2:$AK$6001&lt;$AK150))+1,"")</f>
        <v/>
      </c>
      <c r="AI150">
        <f>IF($C150="","",IF(OR($N150=TRUE(),$N150="TRUE"),1,0))</f>
        <v/>
      </c>
      <c r="AJ150">
        <f>IF($C150="","",IF($T150="Yes",1,0))</f>
        <v/>
      </c>
      <c r="AK150">
        <f>IF($AG150=1,IFERROR(IF(VALUE($C150)&lt;100000000,VALUE($C150),1000000000),IFERROR(IF(VALUE(MID($C150,2,20))&lt;100000000,VALUE(MID($C150,2,20)),1000000000),1000000000))+ROW()/100000,"")</f>
        <v/>
      </c>
    </row>
    <row r="151">
      <c r="D151" s="11" t="n"/>
      <c r="K151" s="7">
        <f>IF($C151="","",J151*W151/100)</f>
        <v/>
      </c>
      <c r="Q151" s="7" t="n"/>
      <c r="R151" s="7" t="n"/>
      <c r="U151">
        <f>IF($C151="","",IF($AJ151=1,0,IF($AI151=1,Settings!$C$6,Settings!$C$7))*100)</f>
        <v/>
      </c>
      <c r="V151" s="7">
        <f>IF($C151="","",R151*U151/100)</f>
        <v/>
      </c>
      <c r="W151" s="7">
        <f>IF($C151="","",R151-V151)</f>
        <v/>
      </c>
      <c r="X151" s="7">
        <f>IF($C151="","",W151-K151)</f>
        <v/>
      </c>
      <c r="AB151" s="7" t="n"/>
      <c r="AE151" s="11" t="n"/>
      <c r="AG151">
        <f>IF($C151="","",IF(COUNTIF($C$2:$C151,$C151)=1,1,0))</f>
        <v/>
      </c>
      <c r="AH151">
        <f>IF($AG151=1,SUMPRODUCT(--($AK$2:$AK$6001&lt;$AK151))+1,"")</f>
        <v/>
      </c>
      <c r="AI151">
        <f>IF($C151="","",IF(OR($N151=TRUE(),$N151="TRUE"),1,0))</f>
        <v/>
      </c>
      <c r="AJ151">
        <f>IF($C151="","",IF($T151="Yes",1,0))</f>
        <v/>
      </c>
      <c r="AK151">
        <f>IF($AG151=1,IFERROR(IF(VALUE($C151)&lt;100000000,VALUE($C151),1000000000),IFERROR(IF(VALUE(MID($C151,2,20))&lt;100000000,VALUE(MID($C151,2,20)),1000000000),1000000000))+ROW()/100000,"")</f>
        <v/>
      </c>
    </row>
    <row r="152">
      <c r="D152" s="11" t="n"/>
      <c r="K152" s="7">
        <f>IF($C152="","",J152*W152/100)</f>
        <v/>
      </c>
      <c r="Q152" s="7" t="n"/>
      <c r="R152" s="7" t="n"/>
      <c r="U152">
        <f>IF($C152="","",IF($AJ152=1,0,IF($AI152=1,Settings!$C$6,Settings!$C$7))*100)</f>
        <v/>
      </c>
      <c r="V152" s="7">
        <f>IF($C152="","",R152*U152/100)</f>
        <v/>
      </c>
      <c r="W152" s="7">
        <f>IF($C152="","",R152-V152)</f>
        <v/>
      </c>
      <c r="X152" s="7">
        <f>IF($C152="","",W152-K152)</f>
        <v/>
      </c>
      <c r="AB152" s="7" t="n"/>
      <c r="AE152" s="11" t="n"/>
      <c r="AG152">
        <f>IF($C152="","",IF(COUNTIF($C$2:$C152,$C152)=1,1,0))</f>
        <v/>
      </c>
      <c r="AH152">
        <f>IF($AG152=1,SUMPRODUCT(--($AK$2:$AK$6001&lt;$AK152))+1,"")</f>
        <v/>
      </c>
      <c r="AI152">
        <f>IF($C152="","",IF(OR($N152=TRUE(),$N152="TRUE"),1,0))</f>
        <v/>
      </c>
      <c r="AJ152">
        <f>IF($C152="","",IF($T152="Yes",1,0))</f>
        <v/>
      </c>
      <c r="AK152">
        <f>IF($AG152=1,IFERROR(IF(VALUE($C152)&lt;100000000,VALUE($C152),1000000000),IFERROR(IF(VALUE(MID($C152,2,20))&lt;100000000,VALUE(MID($C152,2,20)),1000000000),1000000000))+ROW()/100000,"")</f>
        <v/>
      </c>
    </row>
    <row r="153">
      <c r="D153" s="11" t="n"/>
      <c r="K153" s="7">
        <f>IF($C153="","",J153*W153/100)</f>
        <v/>
      </c>
      <c r="Q153" s="7" t="n"/>
      <c r="R153" s="7" t="n"/>
      <c r="U153">
        <f>IF($C153="","",IF($AJ153=1,0,IF($AI153=1,Settings!$C$6,Settings!$C$7))*100)</f>
        <v/>
      </c>
      <c r="V153" s="7">
        <f>IF($C153="","",R153*U153/100)</f>
        <v/>
      </c>
      <c r="W153" s="7">
        <f>IF($C153="","",R153-V153)</f>
        <v/>
      </c>
      <c r="X153" s="7">
        <f>IF($C153="","",W153-K153)</f>
        <v/>
      </c>
      <c r="AB153" s="7" t="n"/>
      <c r="AE153" s="11" t="n"/>
      <c r="AG153">
        <f>IF($C153="","",IF(COUNTIF($C$2:$C153,$C153)=1,1,0))</f>
        <v/>
      </c>
      <c r="AH153">
        <f>IF($AG153=1,SUMPRODUCT(--($AK$2:$AK$6001&lt;$AK153))+1,"")</f>
        <v/>
      </c>
      <c r="AI153">
        <f>IF($C153="","",IF(OR($N153=TRUE(),$N153="TRUE"),1,0))</f>
        <v/>
      </c>
      <c r="AJ153">
        <f>IF($C153="","",IF($T153="Yes",1,0))</f>
        <v/>
      </c>
      <c r="AK153">
        <f>IF($AG153=1,IFERROR(IF(VALUE($C153)&lt;100000000,VALUE($C153),1000000000),IFERROR(IF(VALUE(MID($C153,2,20))&lt;100000000,VALUE(MID($C153,2,20)),1000000000),1000000000))+ROW()/100000,"")</f>
        <v/>
      </c>
    </row>
    <row r="154">
      <c r="D154" s="11" t="n"/>
      <c r="K154" s="7">
        <f>IF($C154="","",J154*W154/100)</f>
        <v/>
      </c>
      <c r="Q154" s="7" t="n"/>
      <c r="R154" s="7" t="n"/>
      <c r="U154">
        <f>IF($C154="","",IF($AJ154=1,0,IF($AI154=1,Settings!$C$6,Settings!$C$7))*100)</f>
        <v/>
      </c>
      <c r="V154" s="7">
        <f>IF($C154="","",R154*U154/100)</f>
        <v/>
      </c>
      <c r="W154" s="7">
        <f>IF($C154="","",R154-V154)</f>
        <v/>
      </c>
      <c r="X154" s="7">
        <f>IF($C154="","",W154-K154)</f>
        <v/>
      </c>
      <c r="AB154" s="7" t="n"/>
      <c r="AE154" s="11" t="n"/>
      <c r="AG154">
        <f>IF($C154="","",IF(COUNTIF($C$2:$C154,$C154)=1,1,0))</f>
        <v/>
      </c>
      <c r="AH154">
        <f>IF($AG154=1,SUMPRODUCT(--($AK$2:$AK$6001&lt;$AK154))+1,"")</f>
        <v/>
      </c>
      <c r="AI154">
        <f>IF($C154="","",IF(OR($N154=TRUE(),$N154="TRUE"),1,0))</f>
        <v/>
      </c>
      <c r="AJ154">
        <f>IF($C154="","",IF($T154="Yes",1,0))</f>
        <v/>
      </c>
      <c r="AK154">
        <f>IF($AG154=1,IFERROR(IF(VALUE($C154)&lt;100000000,VALUE($C154),1000000000),IFERROR(IF(VALUE(MID($C154,2,20))&lt;100000000,VALUE(MID($C154,2,20)),1000000000),1000000000))+ROW()/100000,"")</f>
        <v/>
      </c>
    </row>
    <row r="155">
      <c r="D155" s="11" t="n"/>
      <c r="K155" s="7">
        <f>IF($C155="","",J155*W155/100)</f>
        <v/>
      </c>
      <c r="Q155" s="7" t="n"/>
      <c r="R155" s="7" t="n"/>
      <c r="U155">
        <f>IF($C155="","",IF($AJ155=1,0,IF($AI155=1,Settings!$C$6,Settings!$C$7))*100)</f>
        <v/>
      </c>
      <c r="V155" s="7">
        <f>IF($C155="","",R155*U155/100)</f>
        <v/>
      </c>
      <c r="W155" s="7">
        <f>IF($C155="","",R155-V155)</f>
        <v/>
      </c>
      <c r="X155" s="7">
        <f>IF($C155="","",W155-K155)</f>
        <v/>
      </c>
      <c r="AB155" s="7" t="n"/>
      <c r="AE155" s="11" t="n"/>
      <c r="AG155">
        <f>IF($C155="","",IF(COUNTIF($C$2:$C155,$C155)=1,1,0))</f>
        <v/>
      </c>
      <c r="AH155">
        <f>IF($AG155=1,SUMPRODUCT(--($AK$2:$AK$6001&lt;$AK155))+1,"")</f>
        <v/>
      </c>
      <c r="AI155">
        <f>IF($C155="","",IF(OR($N155=TRUE(),$N155="TRUE"),1,0))</f>
        <v/>
      </c>
      <c r="AJ155">
        <f>IF($C155="","",IF($T155="Yes",1,0))</f>
        <v/>
      </c>
      <c r="AK155">
        <f>IF($AG155=1,IFERROR(IF(VALUE($C155)&lt;100000000,VALUE($C155),1000000000),IFERROR(IF(VALUE(MID($C155,2,20))&lt;100000000,VALUE(MID($C155,2,20)),1000000000),1000000000))+ROW()/100000,"")</f>
        <v/>
      </c>
    </row>
    <row r="156">
      <c r="D156" s="11" t="n"/>
      <c r="K156" s="7">
        <f>IF($C156="","",J156*W156/100)</f>
        <v/>
      </c>
      <c r="Q156" s="7" t="n"/>
      <c r="R156" s="7" t="n"/>
      <c r="U156">
        <f>IF($C156="","",IF($AJ156=1,0,IF($AI156=1,Settings!$C$6,Settings!$C$7))*100)</f>
        <v/>
      </c>
      <c r="V156" s="7">
        <f>IF($C156="","",R156*U156/100)</f>
        <v/>
      </c>
      <c r="W156" s="7">
        <f>IF($C156="","",R156-V156)</f>
        <v/>
      </c>
      <c r="X156" s="7">
        <f>IF($C156="","",W156-K156)</f>
        <v/>
      </c>
      <c r="AB156" s="7" t="n"/>
      <c r="AE156" s="11" t="n"/>
      <c r="AG156">
        <f>IF($C156="","",IF(COUNTIF($C$2:$C156,$C156)=1,1,0))</f>
        <v/>
      </c>
      <c r="AH156">
        <f>IF($AG156=1,SUMPRODUCT(--($AK$2:$AK$6001&lt;$AK156))+1,"")</f>
        <v/>
      </c>
      <c r="AI156">
        <f>IF($C156="","",IF(OR($N156=TRUE(),$N156="TRUE"),1,0))</f>
        <v/>
      </c>
      <c r="AJ156">
        <f>IF($C156="","",IF($T156="Yes",1,0))</f>
        <v/>
      </c>
      <c r="AK156">
        <f>IF($AG156=1,IFERROR(IF(VALUE($C156)&lt;100000000,VALUE($C156),1000000000),IFERROR(IF(VALUE(MID($C156,2,20))&lt;100000000,VALUE(MID($C156,2,20)),1000000000),1000000000))+ROW()/100000,"")</f>
        <v/>
      </c>
    </row>
    <row r="157">
      <c r="D157" s="11" t="n"/>
      <c r="K157" s="7">
        <f>IF($C157="","",J157*W157/100)</f>
        <v/>
      </c>
      <c r="Q157" s="7" t="n"/>
      <c r="R157" s="7" t="n"/>
      <c r="U157">
        <f>IF($C157="","",IF($AJ157=1,0,IF($AI157=1,Settings!$C$6,Settings!$C$7))*100)</f>
        <v/>
      </c>
      <c r="V157" s="7">
        <f>IF($C157="","",R157*U157/100)</f>
        <v/>
      </c>
      <c r="W157" s="7">
        <f>IF($C157="","",R157-V157)</f>
        <v/>
      </c>
      <c r="X157" s="7">
        <f>IF($C157="","",W157-K157)</f>
        <v/>
      </c>
      <c r="AB157" s="7" t="n"/>
      <c r="AE157" s="11" t="n"/>
      <c r="AG157">
        <f>IF($C157="","",IF(COUNTIF($C$2:$C157,$C157)=1,1,0))</f>
        <v/>
      </c>
      <c r="AH157">
        <f>IF($AG157=1,SUMPRODUCT(--($AK$2:$AK$6001&lt;$AK157))+1,"")</f>
        <v/>
      </c>
      <c r="AI157">
        <f>IF($C157="","",IF(OR($N157=TRUE(),$N157="TRUE"),1,0))</f>
        <v/>
      </c>
      <c r="AJ157">
        <f>IF($C157="","",IF($T157="Yes",1,0))</f>
        <v/>
      </c>
      <c r="AK157">
        <f>IF($AG157=1,IFERROR(IF(VALUE($C157)&lt;100000000,VALUE($C157),1000000000),IFERROR(IF(VALUE(MID($C157,2,20))&lt;100000000,VALUE(MID($C157,2,20)),1000000000),1000000000))+ROW()/100000,"")</f>
        <v/>
      </c>
    </row>
    <row r="158">
      <c r="D158" s="11" t="n"/>
      <c r="K158" s="7">
        <f>IF($C158="","",J158*W158/100)</f>
        <v/>
      </c>
      <c r="Q158" s="7" t="n"/>
      <c r="R158" s="7" t="n"/>
      <c r="U158">
        <f>IF($C158="","",IF($AJ158=1,0,IF($AI158=1,Settings!$C$6,Settings!$C$7))*100)</f>
        <v/>
      </c>
      <c r="V158" s="7">
        <f>IF($C158="","",R158*U158/100)</f>
        <v/>
      </c>
      <c r="W158" s="7">
        <f>IF($C158="","",R158-V158)</f>
        <v/>
      </c>
      <c r="X158" s="7">
        <f>IF($C158="","",W158-K158)</f>
        <v/>
      </c>
      <c r="AB158" s="7" t="n"/>
      <c r="AE158" s="11" t="n"/>
      <c r="AG158">
        <f>IF($C158="","",IF(COUNTIF($C$2:$C158,$C158)=1,1,0))</f>
        <v/>
      </c>
      <c r="AH158">
        <f>IF($AG158=1,SUMPRODUCT(--($AK$2:$AK$6001&lt;$AK158))+1,"")</f>
        <v/>
      </c>
      <c r="AI158">
        <f>IF($C158="","",IF(OR($N158=TRUE(),$N158="TRUE"),1,0))</f>
        <v/>
      </c>
      <c r="AJ158">
        <f>IF($C158="","",IF($T158="Yes",1,0))</f>
        <v/>
      </c>
      <c r="AK158">
        <f>IF($AG158=1,IFERROR(IF(VALUE($C158)&lt;100000000,VALUE($C158),1000000000),IFERROR(IF(VALUE(MID($C158,2,20))&lt;100000000,VALUE(MID($C158,2,20)),1000000000),1000000000))+ROW()/100000,"")</f>
        <v/>
      </c>
    </row>
    <row r="159">
      <c r="D159" s="11" t="n"/>
      <c r="K159" s="7">
        <f>IF($C159="","",J159*W159/100)</f>
        <v/>
      </c>
      <c r="Q159" s="7" t="n"/>
      <c r="R159" s="7" t="n"/>
      <c r="U159">
        <f>IF($C159="","",IF($AJ159=1,0,IF($AI159=1,Settings!$C$6,Settings!$C$7))*100)</f>
        <v/>
      </c>
      <c r="V159" s="7">
        <f>IF($C159="","",R159*U159/100)</f>
        <v/>
      </c>
      <c r="W159" s="7">
        <f>IF($C159="","",R159-V159)</f>
        <v/>
      </c>
      <c r="X159" s="7">
        <f>IF($C159="","",W159-K159)</f>
        <v/>
      </c>
      <c r="AB159" s="7" t="n"/>
      <c r="AE159" s="11" t="n"/>
      <c r="AG159">
        <f>IF($C159="","",IF(COUNTIF($C$2:$C159,$C159)=1,1,0))</f>
        <v/>
      </c>
      <c r="AH159">
        <f>IF($AG159=1,SUMPRODUCT(--($AK$2:$AK$6001&lt;$AK159))+1,"")</f>
        <v/>
      </c>
      <c r="AI159">
        <f>IF($C159="","",IF(OR($N159=TRUE(),$N159="TRUE"),1,0))</f>
        <v/>
      </c>
      <c r="AJ159">
        <f>IF($C159="","",IF($T159="Yes",1,0))</f>
        <v/>
      </c>
      <c r="AK159">
        <f>IF($AG159=1,IFERROR(IF(VALUE($C159)&lt;100000000,VALUE($C159),1000000000),IFERROR(IF(VALUE(MID($C159,2,20))&lt;100000000,VALUE(MID($C159,2,20)),1000000000),1000000000))+ROW()/100000,"")</f>
        <v/>
      </c>
    </row>
    <row r="160">
      <c r="D160" s="11" t="n"/>
      <c r="K160" s="7">
        <f>IF($C160="","",J160*W160/100)</f>
        <v/>
      </c>
      <c r="Q160" s="7" t="n"/>
      <c r="R160" s="7" t="n"/>
      <c r="U160">
        <f>IF($C160="","",IF($AJ160=1,0,IF($AI160=1,Settings!$C$6,Settings!$C$7))*100)</f>
        <v/>
      </c>
      <c r="V160" s="7">
        <f>IF($C160="","",R160*U160/100)</f>
        <v/>
      </c>
      <c r="W160" s="7">
        <f>IF($C160="","",R160-V160)</f>
        <v/>
      </c>
      <c r="X160" s="7">
        <f>IF($C160="","",W160-K160)</f>
        <v/>
      </c>
      <c r="AB160" s="7" t="n"/>
      <c r="AE160" s="11" t="n"/>
      <c r="AG160">
        <f>IF($C160="","",IF(COUNTIF($C$2:$C160,$C160)=1,1,0))</f>
        <v/>
      </c>
      <c r="AH160">
        <f>IF($AG160=1,SUMPRODUCT(--($AK$2:$AK$6001&lt;$AK160))+1,"")</f>
        <v/>
      </c>
      <c r="AI160">
        <f>IF($C160="","",IF(OR($N160=TRUE(),$N160="TRUE"),1,0))</f>
        <v/>
      </c>
      <c r="AJ160">
        <f>IF($C160="","",IF($T160="Yes",1,0))</f>
        <v/>
      </c>
      <c r="AK160">
        <f>IF($AG160=1,IFERROR(IF(VALUE($C160)&lt;100000000,VALUE($C160),1000000000),IFERROR(IF(VALUE(MID($C160,2,20))&lt;100000000,VALUE(MID($C160,2,20)),1000000000),1000000000))+ROW()/100000,"")</f>
        <v/>
      </c>
    </row>
    <row r="161">
      <c r="D161" s="11" t="n"/>
      <c r="K161" s="7">
        <f>IF($C161="","",J161*W161/100)</f>
        <v/>
      </c>
      <c r="Q161" s="7" t="n"/>
      <c r="R161" s="7" t="n"/>
      <c r="U161">
        <f>IF($C161="","",IF($AJ161=1,0,IF($AI161=1,Settings!$C$6,Settings!$C$7))*100)</f>
        <v/>
      </c>
      <c r="V161" s="7">
        <f>IF($C161="","",R161*U161/100)</f>
        <v/>
      </c>
      <c r="W161" s="7">
        <f>IF($C161="","",R161-V161)</f>
        <v/>
      </c>
      <c r="X161" s="7">
        <f>IF($C161="","",W161-K161)</f>
        <v/>
      </c>
      <c r="AB161" s="7" t="n"/>
      <c r="AE161" s="11" t="n"/>
      <c r="AG161">
        <f>IF($C161="","",IF(COUNTIF($C$2:$C161,$C161)=1,1,0))</f>
        <v/>
      </c>
      <c r="AH161">
        <f>IF($AG161=1,SUMPRODUCT(--($AK$2:$AK$6001&lt;$AK161))+1,"")</f>
        <v/>
      </c>
      <c r="AI161">
        <f>IF($C161="","",IF(OR($N161=TRUE(),$N161="TRUE"),1,0))</f>
        <v/>
      </c>
      <c r="AJ161">
        <f>IF($C161="","",IF($T161="Yes",1,0))</f>
        <v/>
      </c>
      <c r="AK161">
        <f>IF($AG161=1,IFERROR(IF(VALUE($C161)&lt;100000000,VALUE($C161),1000000000),IFERROR(IF(VALUE(MID($C161,2,20))&lt;100000000,VALUE(MID($C161,2,20)),1000000000),1000000000))+ROW()/100000,"")</f>
        <v/>
      </c>
    </row>
    <row r="162">
      <c r="D162" s="11" t="n"/>
      <c r="K162" s="7">
        <f>IF($C162="","",J162*W162/100)</f>
        <v/>
      </c>
      <c r="Q162" s="7" t="n"/>
      <c r="R162" s="7" t="n"/>
      <c r="U162">
        <f>IF($C162="","",IF($AJ162=1,0,IF($AI162=1,Settings!$C$6,Settings!$C$7))*100)</f>
        <v/>
      </c>
      <c r="V162" s="7">
        <f>IF($C162="","",R162*U162/100)</f>
        <v/>
      </c>
      <c r="W162" s="7">
        <f>IF($C162="","",R162-V162)</f>
        <v/>
      </c>
      <c r="X162" s="7">
        <f>IF($C162="","",W162-K162)</f>
        <v/>
      </c>
      <c r="AB162" s="7" t="n"/>
      <c r="AE162" s="11" t="n"/>
      <c r="AG162">
        <f>IF($C162="","",IF(COUNTIF($C$2:$C162,$C162)=1,1,0))</f>
        <v/>
      </c>
      <c r="AH162">
        <f>IF($AG162=1,SUMPRODUCT(--($AK$2:$AK$6001&lt;$AK162))+1,"")</f>
        <v/>
      </c>
      <c r="AI162">
        <f>IF($C162="","",IF(OR($N162=TRUE(),$N162="TRUE"),1,0))</f>
        <v/>
      </c>
      <c r="AJ162">
        <f>IF($C162="","",IF($T162="Yes",1,0))</f>
        <v/>
      </c>
      <c r="AK162">
        <f>IF($AG162=1,IFERROR(IF(VALUE($C162)&lt;100000000,VALUE($C162),1000000000),IFERROR(IF(VALUE(MID($C162,2,20))&lt;100000000,VALUE(MID($C162,2,20)),1000000000),1000000000))+ROW()/100000,"")</f>
        <v/>
      </c>
    </row>
    <row r="163">
      <c r="D163" s="11" t="n"/>
      <c r="K163" s="7">
        <f>IF($C163="","",J163*W163/100)</f>
        <v/>
      </c>
      <c r="Q163" s="7" t="n"/>
      <c r="R163" s="7" t="n"/>
      <c r="U163">
        <f>IF($C163="","",IF($AJ163=1,0,IF($AI163=1,Settings!$C$6,Settings!$C$7))*100)</f>
        <v/>
      </c>
      <c r="V163" s="7">
        <f>IF($C163="","",R163*U163/100)</f>
        <v/>
      </c>
      <c r="W163" s="7">
        <f>IF($C163="","",R163-V163)</f>
        <v/>
      </c>
      <c r="X163" s="7">
        <f>IF($C163="","",W163-K163)</f>
        <v/>
      </c>
      <c r="AB163" s="7" t="n"/>
      <c r="AE163" s="11" t="n"/>
      <c r="AG163">
        <f>IF($C163="","",IF(COUNTIF($C$2:$C163,$C163)=1,1,0))</f>
        <v/>
      </c>
      <c r="AH163">
        <f>IF($AG163=1,SUMPRODUCT(--($AK$2:$AK$6001&lt;$AK163))+1,"")</f>
        <v/>
      </c>
      <c r="AI163">
        <f>IF($C163="","",IF(OR($N163=TRUE(),$N163="TRUE"),1,0))</f>
        <v/>
      </c>
      <c r="AJ163">
        <f>IF($C163="","",IF($T163="Yes",1,0))</f>
        <v/>
      </c>
      <c r="AK163">
        <f>IF($AG163=1,IFERROR(IF(VALUE($C163)&lt;100000000,VALUE($C163),1000000000),IFERROR(IF(VALUE(MID($C163,2,20))&lt;100000000,VALUE(MID($C163,2,20)),1000000000),1000000000))+ROW()/100000,"")</f>
        <v/>
      </c>
    </row>
    <row r="164">
      <c r="D164" s="11" t="n"/>
      <c r="K164" s="7">
        <f>IF($C164="","",J164*W164/100)</f>
        <v/>
      </c>
      <c r="Q164" s="7" t="n"/>
      <c r="R164" s="7" t="n"/>
      <c r="U164">
        <f>IF($C164="","",IF($AJ164=1,0,IF($AI164=1,Settings!$C$6,Settings!$C$7))*100)</f>
        <v/>
      </c>
      <c r="V164" s="7">
        <f>IF($C164="","",R164*U164/100)</f>
        <v/>
      </c>
      <c r="W164" s="7">
        <f>IF($C164="","",R164-V164)</f>
        <v/>
      </c>
      <c r="X164" s="7">
        <f>IF($C164="","",W164-K164)</f>
        <v/>
      </c>
      <c r="AB164" s="7" t="n"/>
      <c r="AE164" s="11" t="n"/>
      <c r="AG164">
        <f>IF($C164="","",IF(COUNTIF($C$2:$C164,$C164)=1,1,0))</f>
        <v/>
      </c>
      <c r="AH164">
        <f>IF($AG164=1,SUMPRODUCT(--($AK$2:$AK$6001&lt;$AK164))+1,"")</f>
        <v/>
      </c>
      <c r="AI164">
        <f>IF($C164="","",IF(OR($N164=TRUE(),$N164="TRUE"),1,0))</f>
        <v/>
      </c>
      <c r="AJ164">
        <f>IF($C164="","",IF($T164="Yes",1,0))</f>
        <v/>
      </c>
      <c r="AK164">
        <f>IF($AG164=1,IFERROR(IF(VALUE($C164)&lt;100000000,VALUE($C164),1000000000),IFERROR(IF(VALUE(MID($C164,2,20))&lt;100000000,VALUE(MID($C164,2,20)),1000000000),1000000000))+ROW()/100000,"")</f>
        <v/>
      </c>
    </row>
    <row r="165">
      <c r="D165" s="11" t="n"/>
      <c r="K165" s="7">
        <f>IF($C165="","",J165*W165/100)</f>
        <v/>
      </c>
      <c r="Q165" s="7" t="n"/>
      <c r="R165" s="7" t="n"/>
      <c r="U165">
        <f>IF($C165="","",IF($AJ165=1,0,IF($AI165=1,Settings!$C$6,Settings!$C$7))*100)</f>
        <v/>
      </c>
      <c r="V165" s="7">
        <f>IF($C165="","",R165*U165/100)</f>
        <v/>
      </c>
      <c r="W165" s="7">
        <f>IF($C165="","",R165-V165)</f>
        <v/>
      </c>
      <c r="X165" s="7">
        <f>IF($C165="","",W165-K165)</f>
        <v/>
      </c>
      <c r="AB165" s="7" t="n"/>
      <c r="AE165" s="11" t="n"/>
      <c r="AG165">
        <f>IF($C165="","",IF(COUNTIF($C$2:$C165,$C165)=1,1,0))</f>
        <v/>
      </c>
      <c r="AH165">
        <f>IF($AG165=1,SUMPRODUCT(--($AK$2:$AK$6001&lt;$AK165))+1,"")</f>
        <v/>
      </c>
      <c r="AI165">
        <f>IF($C165="","",IF(OR($N165=TRUE(),$N165="TRUE"),1,0))</f>
        <v/>
      </c>
      <c r="AJ165">
        <f>IF($C165="","",IF($T165="Yes",1,0))</f>
        <v/>
      </c>
      <c r="AK165">
        <f>IF($AG165=1,IFERROR(IF(VALUE($C165)&lt;100000000,VALUE($C165),1000000000),IFERROR(IF(VALUE(MID($C165,2,20))&lt;100000000,VALUE(MID($C165,2,20)),1000000000),1000000000))+ROW()/100000,"")</f>
        <v/>
      </c>
    </row>
    <row r="166">
      <c r="D166" s="11" t="n"/>
      <c r="K166" s="7">
        <f>IF($C166="","",J166*W166/100)</f>
        <v/>
      </c>
      <c r="Q166" s="7" t="n"/>
      <c r="R166" s="7" t="n"/>
      <c r="U166">
        <f>IF($C166="","",IF($AJ166=1,0,IF($AI166=1,Settings!$C$6,Settings!$C$7))*100)</f>
        <v/>
      </c>
      <c r="V166" s="7">
        <f>IF($C166="","",R166*U166/100)</f>
        <v/>
      </c>
      <c r="W166" s="7">
        <f>IF($C166="","",R166-V166)</f>
        <v/>
      </c>
      <c r="X166" s="7">
        <f>IF($C166="","",W166-K166)</f>
        <v/>
      </c>
      <c r="AB166" s="7" t="n"/>
      <c r="AE166" s="11" t="n"/>
      <c r="AG166">
        <f>IF($C166="","",IF(COUNTIF($C$2:$C166,$C166)=1,1,0))</f>
        <v/>
      </c>
      <c r="AH166">
        <f>IF($AG166=1,SUMPRODUCT(--($AK$2:$AK$6001&lt;$AK166))+1,"")</f>
        <v/>
      </c>
      <c r="AI166">
        <f>IF($C166="","",IF(OR($N166=TRUE(),$N166="TRUE"),1,0))</f>
        <v/>
      </c>
      <c r="AJ166">
        <f>IF($C166="","",IF($T166="Yes",1,0))</f>
        <v/>
      </c>
      <c r="AK166">
        <f>IF($AG166=1,IFERROR(IF(VALUE($C166)&lt;100000000,VALUE($C166),1000000000),IFERROR(IF(VALUE(MID($C166,2,20))&lt;100000000,VALUE(MID($C166,2,20)),1000000000),1000000000))+ROW()/100000,"")</f>
        <v/>
      </c>
    </row>
    <row r="167">
      <c r="D167" s="11" t="n"/>
      <c r="K167" s="7">
        <f>IF($C167="","",J167*W167/100)</f>
        <v/>
      </c>
      <c r="Q167" s="7" t="n"/>
      <c r="R167" s="7" t="n"/>
      <c r="U167">
        <f>IF($C167="","",IF($AJ167=1,0,IF($AI167=1,Settings!$C$6,Settings!$C$7))*100)</f>
        <v/>
      </c>
      <c r="V167" s="7">
        <f>IF($C167="","",R167*U167/100)</f>
        <v/>
      </c>
      <c r="W167" s="7">
        <f>IF($C167="","",R167-V167)</f>
        <v/>
      </c>
      <c r="X167" s="7">
        <f>IF($C167="","",W167-K167)</f>
        <v/>
      </c>
      <c r="AB167" s="7" t="n"/>
      <c r="AE167" s="11" t="n"/>
      <c r="AG167">
        <f>IF($C167="","",IF(COUNTIF($C$2:$C167,$C167)=1,1,0))</f>
        <v/>
      </c>
      <c r="AH167">
        <f>IF($AG167=1,SUMPRODUCT(--($AK$2:$AK$6001&lt;$AK167))+1,"")</f>
        <v/>
      </c>
      <c r="AI167">
        <f>IF($C167="","",IF(OR($N167=TRUE(),$N167="TRUE"),1,0))</f>
        <v/>
      </c>
      <c r="AJ167">
        <f>IF($C167="","",IF($T167="Yes",1,0))</f>
        <v/>
      </c>
      <c r="AK167">
        <f>IF($AG167=1,IFERROR(IF(VALUE($C167)&lt;100000000,VALUE($C167),1000000000),IFERROR(IF(VALUE(MID($C167,2,20))&lt;100000000,VALUE(MID($C167,2,20)),1000000000),1000000000))+ROW()/100000,"")</f>
        <v/>
      </c>
    </row>
    <row r="168">
      <c r="D168" s="11" t="n"/>
      <c r="K168" s="7">
        <f>IF($C168="","",J168*W168/100)</f>
        <v/>
      </c>
      <c r="Q168" s="7" t="n"/>
      <c r="R168" s="7" t="n"/>
      <c r="U168">
        <f>IF($C168="","",IF($AJ168=1,0,IF($AI168=1,Settings!$C$6,Settings!$C$7))*100)</f>
        <v/>
      </c>
      <c r="V168" s="7">
        <f>IF($C168="","",R168*U168/100)</f>
        <v/>
      </c>
      <c r="W168" s="7">
        <f>IF($C168="","",R168-V168)</f>
        <v/>
      </c>
      <c r="X168" s="7">
        <f>IF($C168="","",W168-K168)</f>
        <v/>
      </c>
      <c r="AB168" s="7" t="n"/>
      <c r="AE168" s="11" t="n"/>
      <c r="AG168">
        <f>IF($C168="","",IF(COUNTIF($C$2:$C168,$C168)=1,1,0))</f>
        <v/>
      </c>
      <c r="AH168">
        <f>IF($AG168=1,SUMPRODUCT(--($AK$2:$AK$6001&lt;$AK168))+1,"")</f>
        <v/>
      </c>
      <c r="AI168">
        <f>IF($C168="","",IF(OR($N168=TRUE(),$N168="TRUE"),1,0))</f>
        <v/>
      </c>
      <c r="AJ168">
        <f>IF($C168="","",IF($T168="Yes",1,0))</f>
        <v/>
      </c>
      <c r="AK168">
        <f>IF($AG168=1,IFERROR(IF(VALUE($C168)&lt;100000000,VALUE($C168),1000000000),IFERROR(IF(VALUE(MID($C168,2,20))&lt;100000000,VALUE(MID($C168,2,20)),1000000000),1000000000))+ROW()/100000,"")</f>
        <v/>
      </c>
    </row>
    <row r="169">
      <c r="D169" s="11" t="n"/>
      <c r="K169" s="7">
        <f>IF($C169="","",J169*W169/100)</f>
        <v/>
      </c>
      <c r="Q169" s="7" t="n"/>
      <c r="R169" s="7" t="n"/>
      <c r="U169">
        <f>IF($C169="","",IF($AJ169=1,0,IF($AI169=1,Settings!$C$6,Settings!$C$7))*100)</f>
        <v/>
      </c>
      <c r="V169" s="7">
        <f>IF($C169="","",R169*U169/100)</f>
        <v/>
      </c>
      <c r="W169" s="7">
        <f>IF($C169="","",R169-V169)</f>
        <v/>
      </c>
      <c r="X169" s="7">
        <f>IF($C169="","",W169-K169)</f>
        <v/>
      </c>
      <c r="AB169" s="7" t="n"/>
      <c r="AE169" s="11" t="n"/>
      <c r="AG169">
        <f>IF($C169="","",IF(COUNTIF($C$2:$C169,$C169)=1,1,0))</f>
        <v/>
      </c>
      <c r="AH169">
        <f>IF($AG169=1,SUMPRODUCT(--($AK$2:$AK$6001&lt;$AK169))+1,"")</f>
        <v/>
      </c>
      <c r="AI169">
        <f>IF($C169="","",IF(OR($N169=TRUE(),$N169="TRUE"),1,0))</f>
        <v/>
      </c>
      <c r="AJ169">
        <f>IF($C169="","",IF($T169="Yes",1,0))</f>
        <v/>
      </c>
      <c r="AK169">
        <f>IF($AG169=1,IFERROR(IF(VALUE($C169)&lt;100000000,VALUE($C169),1000000000),IFERROR(IF(VALUE(MID($C169,2,20))&lt;100000000,VALUE(MID($C169,2,20)),1000000000),1000000000))+ROW()/100000,"")</f>
        <v/>
      </c>
    </row>
    <row r="170">
      <c r="D170" s="11" t="n"/>
      <c r="K170" s="7">
        <f>IF($C170="","",J170*W170/100)</f>
        <v/>
      </c>
      <c r="Q170" s="7" t="n"/>
      <c r="R170" s="7" t="n"/>
      <c r="U170">
        <f>IF($C170="","",IF($AJ170=1,0,IF($AI170=1,Settings!$C$6,Settings!$C$7))*100)</f>
        <v/>
      </c>
      <c r="V170" s="7">
        <f>IF($C170="","",R170*U170/100)</f>
        <v/>
      </c>
      <c r="W170" s="7">
        <f>IF($C170="","",R170-V170)</f>
        <v/>
      </c>
      <c r="X170" s="7">
        <f>IF($C170="","",W170-K170)</f>
        <v/>
      </c>
      <c r="AB170" s="7" t="n"/>
      <c r="AE170" s="11" t="n"/>
      <c r="AG170">
        <f>IF($C170="","",IF(COUNTIF($C$2:$C170,$C170)=1,1,0))</f>
        <v/>
      </c>
      <c r="AH170">
        <f>IF($AG170=1,SUMPRODUCT(--($AK$2:$AK$6001&lt;$AK170))+1,"")</f>
        <v/>
      </c>
      <c r="AI170">
        <f>IF($C170="","",IF(OR($N170=TRUE(),$N170="TRUE"),1,0))</f>
        <v/>
      </c>
      <c r="AJ170">
        <f>IF($C170="","",IF($T170="Yes",1,0))</f>
        <v/>
      </c>
      <c r="AK170">
        <f>IF($AG170=1,IFERROR(IF(VALUE($C170)&lt;100000000,VALUE($C170),1000000000),IFERROR(IF(VALUE(MID($C170,2,20))&lt;100000000,VALUE(MID($C170,2,20)),1000000000),1000000000))+ROW()/100000,"")</f>
        <v/>
      </c>
    </row>
    <row r="171">
      <c r="D171" s="11" t="n"/>
      <c r="K171" s="7">
        <f>IF($C171="","",J171*W171/100)</f>
        <v/>
      </c>
      <c r="Q171" s="7" t="n"/>
      <c r="R171" s="7" t="n"/>
      <c r="U171">
        <f>IF($C171="","",IF($AJ171=1,0,IF($AI171=1,Settings!$C$6,Settings!$C$7))*100)</f>
        <v/>
      </c>
      <c r="V171" s="7">
        <f>IF($C171="","",R171*U171/100)</f>
        <v/>
      </c>
      <c r="W171" s="7">
        <f>IF($C171="","",R171-V171)</f>
        <v/>
      </c>
      <c r="X171" s="7">
        <f>IF($C171="","",W171-K171)</f>
        <v/>
      </c>
      <c r="AB171" s="7" t="n"/>
      <c r="AE171" s="11" t="n"/>
      <c r="AG171">
        <f>IF($C171="","",IF(COUNTIF($C$2:$C171,$C171)=1,1,0))</f>
        <v/>
      </c>
      <c r="AH171">
        <f>IF($AG171=1,SUMPRODUCT(--($AK$2:$AK$6001&lt;$AK171))+1,"")</f>
        <v/>
      </c>
      <c r="AI171">
        <f>IF($C171="","",IF(OR($N171=TRUE(),$N171="TRUE"),1,0))</f>
        <v/>
      </c>
      <c r="AJ171">
        <f>IF($C171="","",IF($T171="Yes",1,0))</f>
        <v/>
      </c>
      <c r="AK171">
        <f>IF($AG171=1,IFERROR(IF(VALUE($C171)&lt;100000000,VALUE($C171),1000000000),IFERROR(IF(VALUE(MID($C171,2,20))&lt;100000000,VALUE(MID($C171,2,20)),1000000000),1000000000))+ROW()/100000,"")</f>
        <v/>
      </c>
    </row>
    <row r="172">
      <c r="D172" s="11" t="n"/>
      <c r="K172" s="7">
        <f>IF($C172="","",J172*W172/100)</f>
        <v/>
      </c>
      <c r="Q172" s="7" t="n"/>
      <c r="R172" s="7" t="n"/>
      <c r="U172">
        <f>IF($C172="","",IF($AJ172=1,0,IF($AI172=1,Settings!$C$6,Settings!$C$7))*100)</f>
        <v/>
      </c>
      <c r="V172" s="7">
        <f>IF($C172="","",R172*U172/100)</f>
        <v/>
      </c>
      <c r="W172" s="7">
        <f>IF($C172="","",R172-V172)</f>
        <v/>
      </c>
      <c r="X172" s="7">
        <f>IF($C172="","",W172-K172)</f>
        <v/>
      </c>
      <c r="AB172" s="7" t="n"/>
      <c r="AE172" s="11" t="n"/>
      <c r="AG172">
        <f>IF($C172="","",IF(COUNTIF($C$2:$C172,$C172)=1,1,0))</f>
        <v/>
      </c>
      <c r="AH172">
        <f>IF($AG172=1,SUMPRODUCT(--($AK$2:$AK$6001&lt;$AK172))+1,"")</f>
        <v/>
      </c>
      <c r="AI172">
        <f>IF($C172="","",IF(OR($N172=TRUE(),$N172="TRUE"),1,0))</f>
        <v/>
      </c>
      <c r="AJ172">
        <f>IF($C172="","",IF($T172="Yes",1,0))</f>
        <v/>
      </c>
      <c r="AK172">
        <f>IF($AG172=1,IFERROR(IF(VALUE($C172)&lt;100000000,VALUE($C172),1000000000),IFERROR(IF(VALUE(MID($C172,2,20))&lt;100000000,VALUE(MID($C172,2,20)),1000000000),1000000000))+ROW()/100000,"")</f>
        <v/>
      </c>
    </row>
    <row r="173">
      <c r="D173" s="11" t="n"/>
      <c r="K173" s="7">
        <f>IF($C173="","",J173*W173/100)</f>
        <v/>
      </c>
      <c r="Q173" s="7" t="n"/>
      <c r="R173" s="7" t="n"/>
      <c r="U173">
        <f>IF($C173="","",IF($AJ173=1,0,IF($AI173=1,Settings!$C$6,Settings!$C$7))*100)</f>
        <v/>
      </c>
      <c r="V173" s="7">
        <f>IF($C173="","",R173*U173/100)</f>
        <v/>
      </c>
      <c r="W173" s="7">
        <f>IF($C173="","",R173-V173)</f>
        <v/>
      </c>
      <c r="X173" s="7">
        <f>IF($C173="","",W173-K173)</f>
        <v/>
      </c>
      <c r="AB173" s="7" t="n"/>
      <c r="AE173" s="11" t="n"/>
      <c r="AG173">
        <f>IF($C173="","",IF(COUNTIF($C$2:$C173,$C173)=1,1,0))</f>
        <v/>
      </c>
      <c r="AH173">
        <f>IF($AG173=1,SUMPRODUCT(--($AK$2:$AK$6001&lt;$AK173))+1,"")</f>
        <v/>
      </c>
      <c r="AI173">
        <f>IF($C173="","",IF(OR($N173=TRUE(),$N173="TRUE"),1,0))</f>
        <v/>
      </c>
      <c r="AJ173">
        <f>IF($C173="","",IF($T173="Yes",1,0))</f>
        <v/>
      </c>
      <c r="AK173">
        <f>IF($AG173=1,IFERROR(IF(VALUE($C173)&lt;100000000,VALUE($C173),1000000000),IFERROR(IF(VALUE(MID($C173,2,20))&lt;100000000,VALUE(MID($C173,2,20)),1000000000),1000000000))+ROW()/100000,"")</f>
        <v/>
      </c>
    </row>
    <row r="174">
      <c r="D174" s="11" t="n"/>
      <c r="K174" s="7">
        <f>IF($C174="","",J174*W174/100)</f>
        <v/>
      </c>
      <c r="Q174" s="7" t="n"/>
      <c r="R174" s="7" t="n"/>
      <c r="U174">
        <f>IF($C174="","",IF($AJ174=1,0,IF($AI174=1,Settings!$C$6,Settings!$C$7))*100)</f>
        <v/>
      </c>
      <c r="V174" s="7">
        <f>IF($C174="","",R174*U174/100)</f>
        <v/>
      </c>
      <c r="W174" s="7">
        <f>IF($C174="","",R174-V174)</f>
        <v/>
      </c>
      <c r="X174" s="7">
        <f>IF($C174="","",W174-K174)</f>
        <v/>
      </c>
      <c r="AB174" s="7" t="n"/>
      <c r="AE174" s="11" t="n"/>
      <c r="AG174">
        <f>IF($C174="","",IF(COUNTIF($C$2:$C174,$C174)=1,1,0))</f>
        <v/>
      </c>
      <c r="AH174">
        <f>IF($AG174=1,SUMPRODUCT(--($AK$2:$AK$6001&lt;$AK174))+1,"")</f>
        <v/>
      </c>
      <c r="AI174">
        <f>IF($C174="","",IF(OR($N174=TRUE(),$N174="TRUE"),1,0))</f>
        <v/>
      </c>
      <c r="AJ174">
        <f>IF($C174="","",IF($T174="Yes",1,0))</f>
        <v/>
      </c>
      <c r="AK174">
        <f>IF($AG174=1,IFERROR(IF(VALUE($C174)&lt;100000000,VALUE($C174),1000000000),IFERROR(IF(VALUE(MID($C174,2,20))&lt;100000000,VALUE(MID($C174,2,20)),1000000000),1000000000))+ROW()/100000,"")</f>
        <v/>
      </c>
    </row>
    <row r="175">
      <c r="D175" s="11" t="n"/>
      <c r="K175" s="7">
        <f>IF($C175="","",J175*W175/100)</f>
        <v/>
      </c>
      <c r="Q175" s="7" t="n"/>
      <c r="R175" s="7" t="n"/>
      <c r="U175">
        <f>IF($C175="","",IF($AJ175=1,0,IF($AI175=1,Settings!$C$6,Settings!$C$7))*100)</f>
        <v/>
      </c>
      <c r="V175" s="7">
        <f>IF($C175="","",R175*U175/100)</f>
        <v/>
      </c>
      <c r="W175" s="7">
        <f>IF($C175="","",R175-V175)</f>
        <v/>
      </c>
      <c r="X175" s="7">
        <f>IF($C175="","",W175-K175)</f>
        <v/>
      </c>
      <c r="AB175" s="7" t="n"/>
      <c r="AE175" s="11" t="n"/>
      <c r="AG175">
        <f>IF($C175="","",IF(COUNTIF($C$2:$C175,$C175)=1,1,0))</f>
        <v/>
      </c>
      <c r="AH175">
        <f>IF($AG175=1,SUMPRODUCT(--($AK$2:$AK$6001&lt;$AK175))+1,"")</f>
        <v/>
      </c>
      <c r="AI175">
        <f>IF($C175="","",IF(OR($N175=TRUE(),$N175="TRUE"),1,0))</f>
        <v/>
      </c>
      <c r="AJ175">
        <f>IF($C175="","",IF($T175="Yes",1,0))</f>
        <v/>
      </c>
      <c r="AK175">
        <f>IF($AG175=1,IFERROR(IF(VALUE($C175)&lt;100000000,VALUE($C175),1000000000),IFERROR(IF(VALUE(MID($C175,2,20))&lt;100000000,VALUE(MID($C175,2,20)),1000000000),1000000000))+ROW()/100000,"")</f>
        <v/>
      </c>
    </row>
    <row r="176">
      <c r="D176" s="11" t="n"/>
      <c r="K176" s="7">
        <f>IF($C176="","",J176*W176/100)</f>
        <v/>
      </c>
      <c r="Q176" s="7" t="n"/>
      <c r="R176" s="7" t="n"/>
      <c r="U176">
        <f>IF($C176="","",IF($AJ176=1,0,IF($AI176=1,Settings!$C$6,Settings!$C$7))*100)</f>
        <v/>
      </c>
      <c r="V176" s="7">
        <f>IF($C176="","",R176*U176/100)</f>
        <v/>
      </c>
      <c r="W176" s="7">
        <f>IF($C176="","",R176-V176)</f>
        <v/>
      </c>
      <c r="X176" s="7">
        <f>IF($C176="","",W176-K176)</f>
        <v/>
      </c>
      <c r="AB176" s="7" t="n"/>
      <c r="AE176" s="11" t="n"/>
      <c r="AG176">
        <f>IF($C176="","",IF(COUNTIF($C$2:$C176,$C176)=1,1,0))</f>
        <v/>
      </c>
      <c r="AH176">
        <f>IF($AG176=1,SUMPRODUCT(--($AK$2:$AK$6001&lt;$AK176))+1,"")</f>
        <v/>
      </c>
      <c r="AI176">
        <f>IF($C176="","",IF(OR($N176=TRUE(),$N176="TRUE"),1,0))</f>
        <v/>
      </c>
      <c r="AJ176">
        <f>IF($C176="","",IF($T176="Yes",1,0))</f>
        <v/>
      </c>
      <c r="AK176">
        <f>IF($AG176=1,IFERROR(IF(VALUE($C176)&lt;100000000,VALUE($C176),1000000000),IFERROR(IF(VALUE(MID($C176,2,20))&lt;100000000,VALUE(MID($C176,2,20)),1000000000),1000000000))+ROW()/100000,"")</f>
        <v/>
      </c>
    </row>
    <row r="177">
      <c r="D177" s="11" t="n"/>
      <c r="K177" s="7">
        <f>IF($C177="","",J177*W177/100)</f>
        <v/>
      </c>
      <c r="Q177" s="7" t="n"/>
      <c r="R177" s="7" t="n"/>
      <c r="U177">
        <f>IF($C177="","",IF($AJ177=1,0,IF($AI177=1,Settings!$C$6,Settings!$C$7))*100)</f>
        <v/>
      </c>
      <c r="V177" s="7">
        <f>IF($C177="","",R177*U177/100)</f>
        <v/>
      </c>
      <c r="W177" s="7">
        <f>IF($C177="","",R177-V177)</f>
        <v/>
      </c>
      <c r="X177" s="7">
        <f>IF($C177="","",W177-K177)</f>
        <v/>
      </c>
      <c r="AB177" s="7" t="n"/>
      <c r="AE177" s="11" t="n"/>
      <c r="AG177">
        <f>IF($C177="","",IF(COUNTIF($C$2:$C177,$C177)=1,1,0))</f>
        <v/>
      </c>
      <c r="AH177">
        <f>IF($AG177=1,SUMPRODUCT(--($AK$2:$AK$6001&lt;$AK177))+1,"")</f>
        <v/>
      </c>
      <c r="AI177">
        <f>IF($C177="","",IF(OR($N177=TRUE(),$N177="TRUE"),1,0))</f>
        <v/>
      </c>
      <c r="AJ177">
        <f>IF($C177="","",IF($T177="Yes",1,0))</f>
        <v/>
      </c>
      <c r="AK177">
        <f>IF($AG177=1,IFERROR(IF(VALUE($C177)&lt;100000000,VALUE($C177),1000000000),IFERROR(IF(VALUE(MID($C177,2,20))&lt;100000000,VALUE(MID($C177,2,20)),1000000000),1000000000))+ROW()/100000,"")</f>
        <v/>
      </c>
    </row>
    <row r="178">
      <c r="D178" s="11" t="n"/>
      <c r="K178" s="7">
        <f>IF($C178="","",J178*W178/100)</f>
        <v/>
      </c>
      <c r="Q178" s="7" t="n"/>
      <c r="R178" s="7" t="n"/>
      <c r="U178">
        <f>IF($C178="","",IF($AJ178=1,0,IF($AI178=1,Settings!$C$6,Settings!$C$7))*100)</f>
        <v/>
      </c>
      <c r="V178" s="7">
        <f>IF($C178="","",R178*U178/100)</f>
        <v/>
      </c>
      <c r="W178" s="7">
        <f>IF($C178="","",R178-V178)</f>
        <v/>
      </c>
      <c r="X178" s="7">
        <f>IF($C178="","",W178-K178)</f>
        <v/>
      </c>
      <c r="AB178" s="7" t="n"/>
      <c r="AE178" s="11" t="n"/>
      <c r="AG178">
        <f>IF($C178="","",IF(COUNTIF($C$2:$C178,$C178)=1,1,0))</f>
        <v/>
      </c>
      <c r="AH178">
        <f>IF($AG178=1,SUMPRODUCT(--($AK$2:$AK$6001&lt;$AK178))+1,"")</f>
        <v/>
      </c>
      <c r="AI178">
        <f>IF($C178="","",IF(OR($N178=TRUE(),$N178="TRUE"),1,0))</f>
        <v/>
      </c>
      <c r="AJ178">
        <f>IF($C178="","",IF($T178="Yes",1,0))</f>
        <v/>
      </c>
      <c r="AK178">
        <f>IF($AG178=1,IFERROR(IF(VALUE($C178)&lt;100000000,VALUE($C178),1000000000),IFERROR(IF(VALUE(MID($C178,2,20))&lt;100000000,VALUE(MID($C178,2,20)),1000000000),1000000000))+ROW()/100000,"")</f>
        <v/>
      </c>
    </row>
    <row r="179">
      <c r="D179" s="11" t="n"/>
      <c r="K179" s="7">
        <f>IF($C179="","",J179*W179/100)</f>
        <v/>
      </c>
      <c r="Q179" s="7" t="n"/>
      <c r="R179" s="7" t="n"/>
      <c r="U179">
        <f>IF($C179="","",IF($AJ179=1,0,IF($AI179=1,Settings!$C$6,Settings!$C$7))*100)</f>
        <v/>
      </c>
      <c r="V179" s="7">
        <f>IF($C179="","",R179*U179/100)</f>
        <v/>
      </c>
      <c r="W179" s="7">
        <f>IF($C179="","",R179-V179)</f>
        <v/>
      </c>
      <c r="X179" s="7">
        <f>IF($C179="","",W179-K179)</f>
        <v/>
      </c>
      <c r="AB179" s="7" t="n"/>
      <c r="AE179" s="11" t="n"/>
      <c r="AG179">
        <f>IF($C179="","",IF(COUNTIF($C$2:$C179,$C179)=1,1,0))</f>
        <v/>
      </c>
      <c r="AH179">
        <f>IF($AG179=1,SUMPRODUCT(--($AK$2:$AK$6001&lt;$AK179))+1,"")</f>
        <v/>
      </c>
      <c r="AI179">
        <f>IF($C179="","",IF(OR($N179=TRUE(),$N179="TRUE"),1,0))</f>
        <v/>
      </c>
      <c r="AJ179">
        <f>IF($C179="","",IF($T179="Yes",1,0))</f>
        <v/>
      </c>
      <c r="AK179">
        <f>IF($AG179=1,IFERROR(IF(VALUE($C179)&lt;100000000,VALUE($C179),1000000000),IFERROR(IF(VALUE(MID($C179,2,20))&lt;100000000,VALUE(MID($C179,2,20)),1000000000),1000000000))+ROW()/100000,"")</f>
        <v/>
      </c>
    </row>
    <row r="180">
      <c r="D180" s="11" t="n"/>
      <c r="K180" s="7">
        <f>IF($C180="","",J180*W180/100)</f>
        <v/>
      </c>
      <c r="Q180" s="7" t="n"/>
      <c r="R180" s="7" t="n"/>
      <c r="U180">
        <f>IF($C180="","",IF($AJ180=1,0,IF($AI180=1,Settings!$C$6,Settings!$C$7))*100)</f>
        <v/>
      </c>
      <c r="V180" s="7">
        <f>IF($C180="","",R180*U180/100)</f>
        <v/>
      </c>
      <c r="W180" s="7">
        <f>IF($C180="","",R180-V180)</f>
        <v/>
      </c>
      <c r="X180" s="7">
        <f>IF($C180="","",W180-K180)</f>
        <v/>
      </c>
      <c r="AB180" s="7" t="n"/>
      <c r="AE180" s="11" t="n"/>
      <c r="AG180">
        <f>IF($C180="","",IF(COUNTIF($C$2:$C180,$C180)=1,1,0))</f>
        <v/>
      </c>
      <c r="AH180">
        <f>IF($AG180=1,SUMPRODUCT(--($AK$2:$AK$6001&lt;$AK180))+1,"")</f>
        <v/>
      </c>
      <c r="AI180">
        <f>IF($C180="","",IF(OR($N180=TRUE(),$N180="TRUE"),1,0))</f>
        <v/>
      </c>
      <c r="AJ180">
        <f>IF($C180="","",IF($T180="Yes",1,0))</f>
        <v/>
      </c>
      <c r="AK180">
        <f>IF($AG180=1,IFERROR(IF(VALUE($C180)&lt;100000000,VALUE($C180),1000000000),IFERROR(IF(VALUE(MID($C180,2,20))&lt;100000000,VALUE(MID($C180,2,20)),1000000000),1000000000))+ROW()/100000,"")</f>
        <v/>
      </c>
    </row>
    <row r="181">
      <c r="D181" s="11" t="n"/>
      <c r="K181" s="7">
        <f>IF($C181="","",J181*W181/100)</f>
        <v/>
      </c>
      <c r="Q181" s="7" t="n"/>
      <c r="R181" s="7" t="n"/>
      <c r="U181">
        <f>IF($C181="","",IF($AJ181=1,0,IF($AI181=1,Settings!$C$6,Settings!$C$7))*100)</f>
        <v/>
      </c>
      <c r="V181" s="7">
        <f>IF($C181="","",R181*U181/100)</f>
        <v/>
      </c>
      <c r="W181" s="7">
        <f>IF($C181="","",R181-V181)</f>
        <v/>
      </c>
      <c r="X181" s="7">
        <f>IF($C181="","",W181-K181)</f>
        <v/>
      </c>
      <c r="AB181" s="7" t="n"/>
      <c r="AE181" s="11" t="n"/>
      <c r="AG181">
        <f>IF($C181="","",IF(COUNTIF($C$2:$C181,$C181)=1,1,0))</f>
        <v/>
      </c>
      <c r="AH181">
        <f>IF($AG181=1,SUMPRODUCT(--($AK$2:$AK$6001&lt;$AK181))+1,"")</f>
        <v/>
      </c>
      <c r="AI181">
        <f>IF($C181="","",IF(OR($N181=TRUE(),$N181="TRUE"),1,0))</f>
        <v/>
      </c>
      <c r="AJ181">
        <f>IF($C181="","",IF($T181="Yes",1,0))</f>
        <v/>
      </c>
      <c r="AK181">
        <f>IF($AG181=1,IFERROR(IF(VALUE($C181)&lt;100000000,VALUE($C181),1000000000),IFERROR(IF(VALUE(MID($C181,2,20))&lt;100000000,VALUE(MID($C181,2,20)),1000000000),1000000000))+ROW()/100000,"")</f>
        <v/>
      </c>
    </row>
    <row r="182">
      <c r="D182" s="11" t="n"/>
      <c r="K182" s="7">
        <f>IF($C182="","",J182*W182/100)</f>
        <v/>
      </c>
      <c r="Q182" s="7" t="n"/>
      <c r="R182" s="7" t="n"/>
      <c r="U182">
        <f>IF($C182="","",IF($AJ182=1,0,IF($AI182=1,Settings!$C$6,Settings!$C$7))*100)</f>
        <v/>
      </c>
      <c r="V182" s="7">
        <f>IF($C182="","",R182*U182/100)</f>
        <v/>
      </c>
      <c r="W182" s="7">
        <f>IF($C182="","",R182-V182)</f>
        <v/>
      </c>
      <c r="X182" s="7">
        <f>IF($C182="","",W182-K182)</f>
        <v/>
      </c>
      <c r="AB182" s="7" t="n"/>
      <c r="AE182" s="11" t="n"/>
      <c r="AG182">
        <f>IF($C182="","",IF(COUNTIF($C$2:$C182,$C182)=1,1,0))</f>
        <v/>
      </c>
      <c r="AH182">
        <f>IF($AG182=1,SUMPRODUCT(--($AK$2:$AK$6001&lt;$AK182))+1,"")</f>
        <v/>
      </c>
      <c r="AI182">
        <f>IF($C182="","",IF(OR($N182=TRUE(),$N182="TRUE"),1,0))</f>
        <v/>
      </c>
      <c r="AJ182">
        <f>IF($C182="","",IF($T182="Yes",1,0))</f>
        <v/>
      </c>
      <c r="AK182">
        <f>IF($AG182=1,IFERROR(IF(VALUE($C182)&lt;100000000,VALUE($C182),1000000000),IFERROR(IF(VALUE(MID($C182,2,20))&lt;100000000,VALUE(MID($C182,2,20)),1000000000),1000000000))+ROW()/100000,"")</f>
        <v/>
      </c>
    </row>
    <row r="183">
      <c r="D183" s="11" t="n"/>
      <c r="K183" s="7">
        <f>IF($C183="","",J183*W183/100)</f>
        <v/>
      </c>
      <c r="Q183" s="7" t="n"/>
      <c r="R183" s="7" t="n"/>
      <c r="U183">
        <f>IF($C183="","",IF($AJ183=1,0,IF($AI183=1,Settings!$C$6,Settings!$C$7))*100)</f>
        <v/>
      </c>
      <c r="V183" s="7">
        <f>IF($C183="","",R183*U183/100)</f>
        <v/>
      </c>
      <c r="W183" s="7">
        <f>IF($C183="","",R183-V183)</f>
        <v/>
      </c>
      <c r="X183" s="7">
        <f>IF($C183="","",W183-K183)</f>
        <v/>
      </c>
      <c r="AB183" s="7" t="n"/>
      <c r="AE183" s="11" t="n"/>
      <c r="AG183">
        <f>IF($C183="","",IF(COUNTIF($C$2:$C183,$C183)=1,1,0))</f>
        <v/>
      </c>
      <c r="AH183">
        <f>IF($AG183=1,SUMPRODUCT(--($AK$2:$AK$6001&lt;$AK183))+1,"")</f>
        <v/>
      </c>
      <c r="AI183">
        <f>IF($C183="","",IF(OR($N183=TRUE(),$N183="TRUE"),1,0))</f>
        <v/>
      </c>
      <c r="AJ183">
        <f>IF($C183="","",IF($T183="Yes",1,0))</f>
        <v/>
      </c>
      <c r="AK183">
        <f>IF($AG183=1,IFERROR(IF(VALUE($C183)&lt;100000000,VALUE($C183),1000000000),IFERROR(IF(VALUE(MID($C183,2,20))&lt;100000000,VALUE(MID($C183,2,20)),1000000000),1000000000))+ROW()/100000,"")</f>
        <v/>
      </c>
    </row>
    <row r="184">
      <c r="D184" s="11" t="n"/>
      <c r="K184" s="7">
        <f>IF($C184="","",J184*W184/100)</f>
        <v/>
      </c>
      <c r="Q184" s="7" t="n"/>
      <c r="R184" s="7" t="n"/>
      <c r="U184">
        <f>IF($C184="","",IF($AJ184=1,0,IF($AI184=1,Settings!$C$6,Settings!$C$7))*100)</f>
        <v/>
      </c>
      <c r="V184" s="7">
        <f>IF($C184="","",R184*U184/100)</f>
        <v/>
      </c>
      <c r="W184" s="7">
        <f>IF($C184="","",R184-V184)</f>
        <v/>
      </c>
      <c r="X184" s="7">
        <f>IF($C184="","",W184-K184)</f>
        <v/>
      </c>
      <c r="AB184" s="7" t="n"/>
      <c r="AE184" s="11" t="n"/>
      <c r="AG184">
        <f>IF($C184="","",IF(COUNTIF($C$2:$C184,$C184)=1,1,0))</f>
        <v/>
      </c>
      <c r="AH184">
        <f>IF($AG184=1,SUMPRODUCT(--($AK$2:$AK$6001&lt;$AK184))+1,"")</f>
        <v/>
      </c>
      <c r="AI184">
        <f>IF($C184="","",IF(OR($N184=TRUE(),$N184="TRUE"),1,0))</f>
        <v/>
      </c>
      <c r="AJ184">
        <f>IF($C184="","",IF($T184="Yes",1,0))</f>
        <v/>
      </c>
      <c r="AK184">
        <f>IF($AG184=1,IFERROR(IF(VALUE($C184)&lt;100000000,VALUE($C184),1000000000),IFERROR(IF(VALUE(MID($C184,2,20))&lt;100000000,VALUE(MID($C184,2,20)),1000000000),1000000000))+ROW()/100000,"")</f>
        <v/>
      </c>
    </row>
    <row r="185">
      <c r="D185" s="11" t="n"/>
      <c r="K185" s="7">
        <f>IF($C185="","",J185*W185/100)</f>
        <v/>
      </c>
      <c r="Q185" s="7" t="n"/>
      <c r="R185" s="7" t="n"/>
      <c r="U185">
        <f>IF($C185="","",IF($AJ185=1,0,IF($AI185=1,Settings!$C$6,Settings!$C$7))*100)</f>
        <v/>
      </c>
      <c r="V185" s="7">
        <f>IF($C185="","",R185*U185/100)</f>
        <v/>
      </c>
      <c r="W185" s="7">
        <f>IF($C185="","",R185-V185)</f>
        <v/>
      </c>
      <c r="X185" s="7">
        <f>IF($C185="","",W185-K185)</f>
        <v/>
      </c>
      <c r="AB185" s="7" t="n"/>
      <c r="AE185" s="11" t="n"/>
      <c r="AG185">
        <f>IF($C185="","",IF(COUNTIF($C$2:$C185,$C185)=1,1,0))</f>
        <v/>
      </c>
      <c r="AH185">
        <f>IF($AG185=1,SUMPRODUCT(--($AK$2:$AK$6001&lt;$AK185))+1,"")</f>
        <v/>
      </c>
      <c r="AI185">
        <f>IF($C185="","",IF(OR($N185=TRUE(),$N185="TRUE"),1,0))</f>
        <v/>
      </c>
      <c r="AJ185">
        <f>IF($C185="","",IF($T185="Yes",1,0))</f>
        <v/>
      </c>
      <c r="AK185">
        <f>IF($AG185=1,IFERROR(IF(VALUE($C185)&lt;100000000,VALUE($C185),1000000000),IFERROR(IF(VALUE(MID($C185,2,20))&lt;100000000,VALUE(MID($C185,2,20)),1000000000),1000000000))+ROW()/100000,"")</f>
        <v/>
      </c>
    </row>
    <row r="186">
      <c r="D186" s="11" t="n"/>
      <c r="K186" s="7">
        <f>IF($C186="","",J186*W186/100)</f>
        <v/>
      </c>
      <c r="Q186" s="7" t="n"/>
      <c r="R186" s="7" t="n"/>
      <c r="U186">
        <f>IF($C186="","",IF($AJ186=1,0,IF($AI186=1,Settings!$C$6,Settings!$C$7))*100)</f>
        <v/>
      </c>
      <c r="V186" s="7">
        <f>IF($C186="","",R186*U186/100)</f>
        <v/>
      </c>
      <c r="W186" s="7">
        <f>IF($C186="","",R186-V186)</f>
        <v/>
      </c>
      <c r="X186" s="7">
        <f>IF($C186="","",W186-K186)</f>
        <v/>
      </c>
      <c r="AB186" s="7" t="n"/>
      <c r="AE186" s="11" t="n"/>
      <c r="AG186">
        <f>IF($C186="","",IF(COUNTIF($C$2:$C186,$C186)=1,1,0))</f>
        <v/>
      </c>
      <c r="AH186">
        <f>IF($AG186=1,SUMPRODUCT(--($AK$2:$AK$6001&lt;$AK186))+1,"")</f>
        <v/>
      </c>
      <c r="AI186">
        <f>IF($C186="","",IF(OR($N186=TRUE(),$N186="TRUE"),1,0))</f>
        <v/>
      </c>
      <c r="AJ186">
        <f>IF($C186="","",IF($T186="Yes",1,0))</f>
        <v/>
      </c>
      <c r="AK186">
        <f>IF($AG186=1,IFERROR(IF(VALUE($C186)&lt;100000000,VALUE($C186),1000000000),IFERROR(IF(VALUE(MID($C186,2,20))&lt;100000000,VALUE(MID($C186,2,20)),1000000000),1000000000))+ROW()/100000,"")</f>
        <v/>
      </c>
    </row>
    <row r="187">
      <c r="D187" s="11" t="n"/>
      <c r="K187" s="7">
        <f>IF($C187="","",J187*W187/100)</f>
        <v/>
      </c>
      <c r="Q187" s="7" t="n"/>
      <c r="R187" s="7" t="n"/>
      <c r="U187">
        <f>IF($C187="","",IF($AJ187=1,0,IF($AI187=1,Settings!$C$6,Settings!$C$7))*100)</f>
        <v/>
      </c>
      <c r="V187" s="7">
        <f>IF($C187="","",R187*U187/100)</f>
        <v/>
      </c>
      <c r="W187" s="7">
        <f>IF($C187="","",R187-V187)</f>
        <v/>
      </c>
      <c r="X187" s="7">
        <f>IF($C187="","",W187-K187)</f>
        <v/>
      </c>
      <c r="AB187" s="7" t="n"/>
      <c r="AE187" s="11" t="n"/>
      <c r="AG187">
        <f>IF($C187="","",IF(COUNTIF($C$2:$C187,$C187)=1,1,0))</f>
        <v/>
      </c>
      <c r="AH187">
        <f>IF($AG187=1,SUMPRODUCT(--($AK$2:$AK$6001&lt;$AK187))+1,"")</f>
        <v/>
      </c>
      <c r="AI187">
        <f>IF($C187="","",IF(OR($N187=TRUE(),$N187="TRUE"),1,0))</f>
        <v/>
      </c>
      <c r="AJ187">
        <f>IF($C187="","",IF($T187="Yes",1,0))</f>
        <v/>
      </c>
      <c r="AK187">
        <f>IF($AG187=1,IFERROR(IF(VALUE($C187)&lt;100000000,VALUE($C187),1000000000),IFERROR(IF(VALUE(MID($C187,2,20))&lt;100000000,VALUE(MID($C187,2,20)),1000000000),1000000000))+ROW()/100000,"")</f>
        <v/>
      </c>
    </row>
    <row r="188">
      <c r="D188" s="11" t="n"/>
      <c r="K188" s="7">
        <f>IF($C188="","",J188*W188/100)</f>
        <v/>
      </c>
      <c r="Q188" s="7" t="n"/>
      <c r="R188" s="7" t="n"/>
      <c r="U188">
        <f>IF($C188="","",IF($AJ188=1,0,IF($AI188=1,Settings!$C$6,Settings!$C$7))*100)</f>
        <v/>
      </c>
      <c r="V188" s="7">
        <f>IF($C188="","",R188*U188/100)</f>
        <v/>
      </c>
      <c r="W188" s="7">
        <f>IF($C188="","",R188-V188)</f>
        <v/>
      </c>
      <c r="X188" s="7">
        <f>IF($C188="","",W188-K188)</f>
        <v/>
      </c>
      <c r="AB188" s="7" t="n"/>
      <c r="AE188" s="11" t="n"/>
      <c r="AG188">
        <f>IF($C188="","",IF(COUNTIF($C$2:$C188,$C188)=1,1,0))</f>
        <v/>
      </c>
      <c r="AH188">
        <f>IF($AG188=1,SUMPRODUCT(--($AK$2:$AK$6001&lt;$AK188))+1,"")</f>
        <v/>
      </c>
      <c r="AI188">
        <f>IF($C188="","",IF(OR($N188=TRUE(),$N188="TRUE"),1,0))</f>
        <v/>
      </c>
      <c r="AJ188">
        <f>IF($C188="","",IF($T188="Yes",1,0))</f>
        <v/>
      </c>
      <c r="AK188">
        <f>IF($AG188=1,IFERROR(IF(VALUE($C188)&lt;100000000,VALUE($C188),1000000000),IFERROR(IF(VALUE(MID($C188,2,20))&lt;100000000,VALUE(MID($C188,2,20)),1000000000),1000000000))+ROW()/100000,"")</f>
        <v/>
      </c>
    </row>
    <row r="189">
      <c r="D189" s="11" t="n"/>
      <c r="K189" s="7">
        <f>IF($C189="","",J189*W189/100)</f>
        <v/>
      </c>
      <c r="Q189" s="7" t="n"/>
      <c r="R189" s="7" t="n"/>
      <c r="U189">
        <f>IF($C189="","",IF($AJ189=1,0,IF($AI189=1,Settings!$C$6,Settings!$C$7))*100)</f>
        <v/>
      </c>
      <c r="V189" s="7">
        <f>IF($C189="","",R189*U189/100)</f>
        <v/>
      </c>
      <c r="W189" s="7">
        <f>IF($C189="","",R189-V189)</f>
        <v/>
      </c>
      <c r="X189" s="7">
        <f>IF($C189="","",W189-K189)</f>
        <v/>
      </c>
      <c r="AB189" s="7" t="n"/>
      <c r="AE189" s="11" t="n"/>
      <c r="AG189">
        <f>IF($C189="","",IF(COUNTIF($C$2:$C189,$C189)=1,1,0))</f>
        <v/>
      </c>
      <c r="AH189">
        <f>IF($AG189=1,SUMPRODUCT(--($AK$2:$AK$6001&lt;$AK189))+1,"")</f>
        <v/>
      </c>
      <c r="AI189">
        <f>IF($C189="","",IF(OR($N189=TRUE(),$N189="TRUE"),1,0))</f>
        <v/>
      </c>
      <c r="AJ189">
        <f>IF($C189="","",IF($T189="Yes",1,0))</f>
        <v/>
      </c>
      <c r="AK189">
        <f>IF($AG189=1,IFERROR(IF(VALUE($C189)&lt;100000000,VALUE($C189),1000000000),IFERROR(IF(VALUE(MID($C189,2,20))&lt;100000000,VALUE(MID($C189,2,20)),1000000000),1000000000))+ROW()/100000,"")</f>
        <v/>
      </c>
    </row>
    <row r="190">
      <c r="D190" s="11" t="n"/>
      <c r="K190" s="7">
        <f>IF($C190="","",J190*W190/100)</f>
        <v/>
      </c>
      <c r="Q190" s="7" t="n"/>
      <c r="R190" s="7" t="n"/>
      <c r="U190">
        <f>IF($C190="","",IF($AJ190=1,0,IF($AI190=1,Settings!$C$6,Settings!$C$7))*100)</f>
        <v/>
      </c>
      <c r="V190" s="7">
        <f>IF($C190="","",R190*U190/100)</f>
        <v/>
      </c>
      <c r="W190" s="7">
        <f>IF($C190="","",R190-V190)</f>
        <v/>
      </c>
      <c r="X190" s="7">
        <f>IF($C190="","",W190-K190)</f>
        <v/>
      </c>
      <c r="AB190" s="7" t="n"/>
      <c r="AE190" s="11" t="n"/>
      <c r="AG190">
        <f>IF($C190="","",IF(COUNTIF($C$2:$C190,$C190)=1,1,0))</f>
        <v/>
      </c>
      <c r="AH190">
        <f>IF($AG190=1,SUMPRODUCT(--($AK$2:$AK$6001&lt;$AK190))+1,"")</f>
        <v/>
      </c>
      <c r="AI190">
        <f>IF($C190="","",IF(OR($N190=TRUE(),$N190="TRUE"),1,0))</f>
        <v/>
      </c>
      <c r="AJ190">
        <f>IF($C190="","",IF($T190="Yes",1,0))</f>
        <v/>
      </c>
      <c r="AK190">
        <f>IF($AG190=1,IFERROR(IF(VALUE($C190)&lt;100000000,VALUE($C190),1000000000),IFERROR(IF(VALUE(MID($C190,2,20))&lt;100000000,VALUE(MID($C190,2,20)),1000000000),1000000000))+ROW()/100000,"")</f>
        <v/>
      </c>
    </row>
    <row r="191">
      <c r="D191" s="11" t="n"/>
      <c r="K191" s="7">
        <f>IF($C191="","",J191*W191/100)</f>
        <v/>
      </c>
      <c r="Q191" s="7" t="n"/>
      <c r="R191" s="7" t="n"/>
      <c r="U191">
        <f>IF($C191="","",IF($AJ191=1,0,IF($AI191=1,Settings!$C$6,Settings!$C$7))*100)</f>
        <v/>
      </c>
      <c r="V191" s="7">
        <f>IF($C191="","",R191*U191/100)</f>
        <v/>
      </c>
      <c r="W191" s="7">
        <f>IF($C191="","",R191-V191)</f>
        <v/>
      </c>
      <c r="X191" s="7">
        <f>IF($C191="","",W191-K191)</f>
        <v/>
      </c>
      <c r="AB191" s="7" t="n"/>
      <c r="AE191" s="11" t="n"/>
      <c r="AG191">
        <f>IF($C191="","",IF(COUNTIF($C$2:$C191,$C191)=1,1,0))</f>
        <v/>
      </c>
      <c r="AH191">
        <f>IF($AG191=1,SUMPRODUCT(--($AK$2:$AK$6001&lt;$AK191))+1,"")</f>
        <v/>
      </c>
      <c r="AI191">
        <f>IF($C191="","",IF(OR($N191=TRUE(),$N191="TRUE"),1,0))</f>
        <v/>
      </c>
      <c r="AJ191">
        <f>IF($C191="","",IF($T191="Yes",1,0))</f>
        <v/>
      </c>
      <c r="AK191">
        <f>IF($AG191=1,IFERROR(IF(VALUE($C191)&lt;100000000,VALUE($C191),1000000000),IFERROR(IF(VALUE(MID($C191,2,20))&lt;100000000,VALUE(MID($C191,2,20)),1000000000),1000000000))+ROW()/100000,"")</f>
        <v/>
      </c>
    </row>
    <row r="192">
      <c r="D192" s="11" t="n"/>
      <c r="K192" s="7">
        <f>IF($C192="","",J192*W192/100)</f>
        <v/>
      </c>
      <c r="Q192" s="7" t="n"/>
      <c r="R192" s="7" t="n"/>
      <c r="U192">
        <f>IF($C192="","",IF($AJ192=1,0,IF($AI192=1,Settings!$C$6,Settings!$C$7))*100)</f>
        <v/>
      </c>
      <c r="V192" s="7">
        <f>IF($C192="","",R192*U192/100)</f>
        <v/>
      </c>
      <c r="W192" s="7">
        <f>IF($C192="","",R192-V192)</f>
        <v/>
      </c>
      <c r="X192" s="7">
        <f>IF($C192="","",W192-K192)</f>
        <v/>
      </c>
      <c r="AB192" s="7" t="n"/>
      <c r="AE192" s="11" t="n"/>
      <c r="AG192">
        <f>IF($C192="","",IF(COUNTIF($C$2:$C192,$C192)=1,1,0))</f>
        <v/>
      </c>
      <c r="AH192">
        <f>IF($AG192=1,SUMPRODUCT(--($AK$2:$AK$6001&lt;$AK192))+1,"")</f>
        <v/>
      </c>
      <c r="AI192">
        <f>IF($C192="","",IF(OR($N192=TRUE(),$N192="TRUE"),1,0))</f>
        <v/>
      </c>
      <c r="AJ192">
        <f>IF($C192="","",IF($T192="Yes",1,0))</f>
        <v/>
      </c>
      <c r="AK192">
        <f>IF($AG192=1,IFERROR(IF(VALUE($C192)&lt;100000000,VALUE($C192),1000000000),IFERROR(IF(VALUE(MID($C192,2,20))&lt;100000000,VALUE(MID($C192,2,20)),1000000000),1000000000))+ROW()/100000,"")</f>
        <v/>
      </c>
    </row>
    <row r="193">
      <c r="D193" s="11" t="n"/>
      <c r="K193" s="7">
        <f>IF($C193="","",J193*W193/100)</f>
        <v/>
      </c>
      <c r="Q193" s="7" t="n"/>
      <c r="R193" s="7" t="n"/>
      <c r="U193">
        <f>IF($C193="","",IF($AJ193=1,0,IF($AI193=1,Settings!$C$6,Settings!$C$7))*100)</f>
        <v/>
      </c>
      <c r="V193" s="7">
        <f>IF($C193="","",R193*U193/100)</f>
        <v/>
      </c>
      <c r="W193" s="7">
        <f>IF($C193="","",R193-V193)</f>
        <v/>
      </c>
      <c r="X193" s="7">
        <f>IF($C193="","",W193-K193)</f>
        <v/>
      </c>
      <c r="AB193" s="7" t="n"/>
      <c r="AE193" s="11" t="n"/>
      <c r="AG193">
        <f>IF($C193="","",IF(COUNTIF($C$2:$C193,$C193)=1,1,0))</f>
        <v/>
      </c>
      <c r="AH193">
        <f>IF($AG193=1,SUMPRODUCT(--($AK$2:$AK$6001&lt;$AK193))+1,"")</f>
        <v/>
      </c>
      <c r="AI193">
        <f>IF($C193="","",IF(OR($N193=TRUE(),$N193="TRUE"),1,0))</f>
        <v/>
      </c>
      <c r="AJ193">
        <f>IF($C193="","",IF($T193="Yes",1,0))</f>
        <v/>
      </c>
      <c r="AK193">
        <f>IF($AG193=1,IFERROR(IF(VALUE($C193)&lt;100000000,VALUE($C193),1000000000),IFERROR(IF(VALUE(MID($C193,2,20))&lt;100000000,VALUE(MID($C193,2,20)),1000000000),1000000000))+ROW()/100000,"")</f>
        <v/>
      </c>
    </row>
    <row r="194">
      <c r="D194" s="11" t="n"/>
      <c r="K194" s="7">
        <f>IF($C194="","",J194*W194/100)</f>
        <v/>
      </c>
      <c r="Q194" s="7" t="n"/>
      <c r="R194" s="7" t="n"/>
      <c r="U194">
        <f>IF($C194="","",IF($AJ194=1,0,IF($AI194=1,Settings!$C$6,Settings!$C$7))*100)</f>
        <v/>
      </c>
      <c r="V194" s="7">
        <f>IF($C194="","",R194*U194/100)</f>
        <v/>
      </c>
      <c r="W194" s="7">
        <f>IF($C194="","",R194-V194)</f>
        <v/>
      </c>
      <c r="X194" s="7">
        <f>IF($C194="","",W194-K194)</f>
        <v/>
      </c>
      <c r="AB194" s="7" t="n"/>
      <c r="AE194" s="11" t="n"/>
      <c r="AG194">
        <f>IF($C194="","",IF(COUNTIF($C$2:$C194,$C194)=1,1,0))</f>
        <v/>
      </c>
      <c r="AH194">
        <f>IF($AG194=1,SUMPRODUCT(--($AK$2:$AK$6001&lt;$AK194))+1,"")</f>
        <v/>
      </c>
      <c r="AI194">
        <f>IF($C194="","",IF(OR($N194=TRUE(),$N194="TRUE"),1,0))</f>
        <v/>
      </c>
      <c r="AJ194">
        <f>IF($C194="","",IF($T194="Yes",1,0))</f>
        <v/>
      </c>
      <c r="AK194">
        <f>IF($AG194=1,IFERROR(IF(VALUE($C194)&lt;100000000,VALUE($C194),1000000000),IFERROR(IF(VALUE(MID($C194,2,20))&lt;100000000,VALUE(MID($C194,2,20)),1000000000),1000000000))+ROW()/100000,"")</f>
        <v/>
      </c>
    </row>
    <row r="195">
      <c r="D195" s="11" t="n"/>
      <c r="K195" s="7">
        <f>IF($C195="","",J195*W195/100)</f>
        <v/>
      </c>
      <c r="Q195" s="7" t="n"/>
      <c r="R195" s="7" t="n"/>
      <c r="U195">
        <f>IF($C195="","",IF($AJ195=1,0,IF($AI195=1,Settings!$C$6,Settings!$C$7))*100)</f>
        <v/>
      </c>
      <c r="V195" s="7">
        <f>IF($C195="","",R195*U195/100)</f>
        <v/>
      </c>
      <c r="W195" s="7">
        <f>IF($C195="","",R195-V195)</f>
        <v/>
      </c>
      <c r="X195" s="7">
        <f>IF($C195="","",W195-K195)</f>
        <v/>
      </c>
      <c r="AB195" s="7" t="n"/>
      <c r="AE195" s="11" t="n"/>
      <c r="AG195">
        <f>IF($C195="","",IF(COUNTIF($C$2:$C195,$C195)=1,1,0))</f>
        <v/>
      </c>
      <c r="AH195">
        <f>IF($AG195=1,SUMPRODUCT(--($AK$2:$AK$6001&lt;$AK195))+1,"")</f>
        <v/>
      </c>
      <c r="AI195">
        <f>IF($C195="","",IF(OR($N195=TRUE(),$N195="TRUE"),1,0))</f>
        <v/>
      </c>
      <c r="AJ195">
        <f>IF($C195="","",IF($T195="Yes",1,0))</f>
        <v/>
      </c>
      <c r="AK195">
        <f>IF($AG195=1,IFERROR(IF(VALUE($C195)&lt;100000000,VALUE($C195),1000000000),IFERROR(IF(VALUE(MID($C195,2,20))&lt;100000000,VALUE(MID($C195,2,20)),1000000000),1000000000))+ROW()/100000,"")</f>
        <v/>
      </c>
    </row>
    <row r="196">
      <c r="D196" s="11" t="n"/>
      <c r="K196" s="7">
        <f>IF($C196="","",J196*W196/100)</f>
        <v/>
      </c>
      <c r="Q196" s="7" t="n"/>
      <c r="R196" s="7" t="n"/>
      <c r="U196">
        <f>IF($C196="","",IF($AJ196=1,0,IF($AI196=1,Settings!$C$6,Settings!$C$7))*100)</f>
        <v/>
      </c>
      <c r="V196" s="7">
        <f>IF($C196="","",R196*U196/100)</f>
        <v/>
      </c>
      <c r="W196" s="7">
        <f>IF($C196="","",R196-V196)</f>
        <v/>
      </c>
      <c r="X196" s="7">
        <f>IF($C196="","",W196-K196)</f>
        <v/>
      </c>
      <c r="AB196" s="7" t="n"/>
      <c r="AE196" s="11" t="n"/>
      <c r="AG196">
        <f>IF($C196="","",IF(COUNTIF($C$2:$C196,$C196)=1,1,0))</f>
        <v/>
      </c>
      <c r="AH196">
        <f>IF($AG196=1,SUMPRODUCT(--($AK$2:$AK$6001&lt;$AK196))+1,"")</f>
        <v/>
      </c>
      <c r="AI196">
        <f>IF($C196="","",IF(OR($N196=TRUE(),$N196="TRUE"),1,0))</f>
        <v/>
      </c>
      <c r="AJ196">
        <f>IF($C196="","",IF($T196="Yes",1,0))</f>
        <v/>
      </c>
      <c r="AK196">
        <f>IF($AG196=1,IFERROR(IF(VALUE($C196)&lt;100000000,VALUE($C196),1000000000),IFERROR(IF(VALUE(MID($C196,2,20))&lt;100000000,VALUE(MID($C196,2,20)),1000000000),1000000000))+ROW()/100000,"")</f>
        <v/>
      </c>
    </row>
    <row r="197">
      <c r="D197" s="11" t="n"/>
      <c r="K197" s="7">
        <f>IF($C197="","",J197*W197/100)</f>
        <v/>
      </c>
      <c r="Q197" s="7" t="n"/>
      <c r="R197" s="7" t="n"/>
      <c r="U197">
        <f>IF($C197="","",IF($AJ197=1,0,IF($AI197=1,Settings!$C$6,Settings!$C$7))*100)</f>
        <v/>
      </c>
      <c r="V197" s="7">
        <f>IF($C197="","",R197*U197/100)</f>
        <v/>
      </c>
      <c r="W197" s="7">
        <f>IF($C197="","",R197-V197)</f>
        <v/>
      </c>
      <c r="X197" s="7">
        <f>IF($C197="","",W197-K197)</f>
        <v/>
      </c>
      <c r="AB197" s="7" t="n"/>
      <c r="AE197" s="11" t="n"/>
      <c r="AG197">
        <f>IF($C197="","",IF(COUNTIF($C$2:$C197,$C197)=1,1,0))</f>
        <v/>
      </c>
      <c r="AH197">
        <f>IF($AG197=1,SUMPRODUCT(--($AK$2:$AK$6001&lt;$AK197))+1,"")</f>
        <v/>
      </c>
      <c r="AI197">
        <f>IF($C197="","",IF(OR($N197=TRUE(),$N197="TRUE"),1,0))</f>
        <v/>
      </c>
      <c r="AJ197">
        <f>IF($C197="","",IF($T197="Yes",1,0))</f>
        <v/>
      </c>
      <c r="AK197">
        <f>IF($AG197=1,IFERROR(IF(VALUE($C197)&lt;100000000,VALUE($C197),1000000000),IFERROR(IF(VALUE(MID($C197,2,20))&lt;100000000,VALUE(MID($C197,2,20)),1000000000),1000000000))+ROW()/100000,"")</f>
        <v/>
      </c>
    </row>
    <row r="198">
      <c r="D198" s="11" t="n"/>
      <c r="K198" s="7">
        <f>IF($C198="","",J198*W198/100)</f>
        <v/>
      </c>
      <c r="Q198" s="7" t="n"/>
      <c r="R198" s="7" t="n"/>
      <c r="U198">
        <f>IF($C198="","",IF($AJ198=1,0,IF($AI198=1,Settings!$C$6,Settings!$C$7))*100)</f>
        <v/>
      </c>
      <c r="V198" s="7">
        <f>IF($C198="","",R198*U198/100)</f>
        <v/>
      </c>
      <c r="W198" s="7">
        <f>IF($C198="","",R198-V198)</f>
        <v/>
      </c>
      <c r="X198" s="7">
        <f>IF($C198="","",W198-K198)</f>
        <v/>
      </c>
      <c r="AB198" s="7" t="n"/>
      <c r="AE198" s="11" t="n"/>
      <c r="AG198">
        <f>IF($C198="","",IF(COUNTIF($C$2:$C198,$C198)=1,1,0))</f>
        <v/>
      </c>
      <c r="AH198">
        <f>IF($AG198=1,SUMPRODUCT(--($AK$2:$AK$6001&lt;$AK198))+1,"")</f>
        <v/>
      </c>
      <c r="AI198">
        <f>IF($C198="","",IF(OR($N198=TRUE(),$N198="TRUE"),1,0))</f>
        <v/>
      </c>
      <c r="AJ198">
        <f>IF($C198="","",IF($T198="Yes",1,0))</f>
        <v/>
      </c>
      <c r="AK198">
        <f>IF($AG198=1,IFERROR(IF(VALUE($C198)&lt;100000000,VALUE($C198),1000000000),IFERROR(IF(VALUE(MID($C198,2,20))&lt;100000000,VALUE(MID($C198,2,20)),1000000000),1000000000))+ROW()/100000,"")</f>
        <v/>
      </c>
    </row>
    <row r="199">
      <c r="D199" s="11" t="n"/>
      <c r="K199" s="7">
        <f>IF($C199="","",J199*W199/100)</f>
        <v/>
      </c>
      <c r="Q199" s="7" t="n"/>
      <c r="R199" s="7" t="n"/>
      <c r="U199">
        <f>IF($C199="","",IF($AJ199=1,0,IF($AI199=1,Settings!$C$6,Settings!$C$7))*100)</f>
        <v/>
      </c>
      <c r="V199" s="7">
        <f>IF($C199="","",R199*U199/100)</f>
        <v/>
      </c>
      <c r="W199" s="7">
        <f>IF($C199="","",R199-V199)</f>
        <v/>
      </c>
      <c r="X199" s="7">
        <f>IF($C199="","",W199-K199)</f>
        <v/>
      </c>
      <c r="AB199" s="7" t="n"/>
      <c r="AE199" s="11" t="n"/>
      <c r="AG199">
        <f>IF($C199="","",IF(COUNTIF($C$2:$C199,$C199)=1,1,0))</f>
        <v/>
      </c>
      <c r="AH199">
        <f>IF($AG199=1,SUMPRODUCT(--($AK$2:$AK$6001&lt;$AK199))+1,"")</f>
        <v/>
      </c>
      <c r="AI199">
        <f>IF($C199="","",IF(OR($N199=TRUE(),$N199="TRUE"),1,0))</f>
        <v/>
      </c>
      <c r="AJ199">
        <f>IF($C199="","",IF($T199="Yes",1,0))</f>
        <v/>
      </c>
      <c r="AK199">
        <f>IF($AG199=1,IFERROR(IF(VALUE($C199)&lt;100000000,VALUE($C199),1000000000),IFERROR(IF(VALUE(MID($C199,2,20))&lt;100000000,VALUE(MID($C199,2,20)),1000000000),1000000000))+ROW()/100000,"")</f>
        <v/>
      </c>
    </row>
    <row r="200">
      <c r="D200" s="11" t="n"/>
      <c r="K200" s="7">
        <f>IF($C200="","",J200*W200/100)</f>
        <v/>
      </c>
      <c r="Q200" s="7" t="n"/>
      <c r="R200" s="7" t="n"/>
      <c r="U200">
        <f>IF($C200="","",IF($AJ200=1,0,IF($AI200=1,Settings!$C$6,Settings!$C$7))*100)</f>
        <v/>
      </c>
      <c r="V200" s="7">
        <f>IF($C200="","",R200*U200/100)</f>
        <v/>
      </c>
      <c r="W200" s="7">
        <f>IF($C200="","",R200-V200)</f>
        <v/>
      </c>
      <c r="X200" s="7">
        <f>IF($C200="","",W200-K200)</f>
        <v/>
      </c>
      <c r="AB200" s="7" t="n"/>
      <c r="AE200" s="11" t="n"/>
      <c r="AG200">
        <f>IF($C200="","",IF(COUNTIF($C$2:$C200,$C200)=1,1,0))</f>
        <v/>
      </c>
      <c r="AH200">
        <f>IF($AG200=1,SUMPRODUCT(--($AK$2:$AK$6001&lt;$AK200))+1,"")</f>
        <v/>
      </c>
      <c r="AI200">
        <f>IF($C200="","",IF(OR($N200=TRUE(),$N200="TRUE"),1,0))</f>
        <v/>
      </c>
      <c r="AJ200">
        <f>IF($C200="","",IF($T200="Yes",1,0))</f>
        <v/>
      </c>
      <c r="AK200">
        <f>IF($AG200=1,IFERROR(IF(VALUE($C200)&lt;100000000,VALUE($C200),1000000000),IFERROR(IF(VALUE(MID($C200,2,20))&lt;100000000,VALUE(MID($C200,2,20)),1000000000),1000000000))+ROW()/100000,"")</f>
        <v/>
      </c>
    </row>
    <row r="201">
      <c r="D201" s="11" t="n"/>
      <c r="K201" s="7">
        <f>IF($C201="","",J201*W201/100)</f>
        <v/>
      </c>
      <c r="Q201" s="7" t="n"/>
      <c r="R201" s="7" t="n"/>
      <c r="U201">
        <f>IF($C201="","",IF($AJ201=1,0,IF($AI201=1,Settings!$C$6,Settings!$C$7))*100)</f>
        <v/>
      </c>
      <c r="V201" s="7">
        <f>IF($C201="","",R201*U201/100)</f>
        <v/>
      </c>
      <c r="W201" s="7">
        <f>IF($C201="","",R201-V201)</f>
        <v/>
      </c>
      <c r="X201" s="7">
        <f>IF($C201="","",W201-K201)</f>
        <v/>
      </c>
      <c r="AB201" s="7" t="n"/>
      <c r="AE201" s="11" t="n"/>
      <c r="AG201">
        <f>IF($C201="","",IF(COUNTIF($C$2:$C201,$C201)=1,1,0))</f>
        <v/>
      </c>
      <c r="AH201">
        <f>IF($AG201=1,SUMPRODUCT(--($AK$2:$AK$6001&lt;$AK201))+1,"")</f>
        <v/>
      </c>
      <c r="AI201">
        <f>IF($C201="","",IF(OR($N201=TRUE(),$N201="TRUE"),1,0))</f>
        <v/>
      </c>
      <c r="AJ201">
        <f>IF($C201="","",IF($T201="Yes",1,0))</f>
        <v/>
      </c>
      <c r="AK201">
        <f>IF($AG201=1,IFERROR(IF(VALUE($C201)&lt;100000000,VALUE($C201),1000000000),IFERROR(IF(VALUE(MID($C201,2,20))&lt;100000000,VALUE(MID($C201,2,20)),1000000000),1000000000))+ROW()/100000,"")</f>
        <v/>
      </c>
    </row>
    <row r="202">
      <c r="D202" s="11" t="n"/>
      <c r="K202" s="7">
        <f>IF($C202="","",J202*W202/100)</f>
        <v/>
      </c>
      <c r="Q202" s="7" t="n"/>
      <c r="R202" s="7" t="n"/>
      <c r="U202">
        <f>IF($C202="","",IF($AJ202=1,0,IF($AI202=1,Settings!$C$6,Settings!$C$7))*100)</f>
        <v/>
      </c>
      <c r="V202" s="7">
        <f>IF($C202="","",R202*U202/100)</f>
        <v/>
      </c>
      <c r="W202" s="7">
        <f>IF($C202="","",R202-V202)</f>
        <v/>
      </c>
      <c r="X202" s="7">
        <f>IF($C202="","",W202-K202)</f>
        <v/>
      </c>
      <c r="AB202" s="7" t="n"/>
      <c r="AE202" s="11" t="n"/>
      <c r="AG202">
        <f>IF($C202="","",IF(COUNTIF($C$2:$C202,$C202)=1,1,0))</f>
        <v/>
      </c>
      <c r="AH202">
        <f>IF($AG202=1,SUMPRODUCT(--($AK$2:$AK$6001&lt;$AK202))+1,"")</f>
        <v/>
      </c>
      <c r="AI202">
        <f>IF($C202="","",IF(OR($N202=TRUE(),$N202="TRUE"),1,0))</f>
        <v/>
      </c>
      <c r="AJ202">
        <f>IF($C202="","",IF($T202="Yes",1,0))</f>
        <v/>
      </c>
      <c r="AK202">
        <f>IF($AG202=1,IFERROR(IF(VALUE($C202)&lt;100000000,VALUE($C202),1000000000),IFERROR(IF(VALUE(MID($C202,2,20))&lt;100000000,VALUE(MID($C202,2,20)),1000000000),1000000000))+ROW()/100000,"")</f>
        <v/>
      </c>
    </row>
    <row r="203">
      <c r="D203" s="11" t="n"/>
      <c r="K203" s="7">
        <f>IF($C203="","",J203*W203/100)</f>
        <v/>
      </c>
      <c r="Q203" s="7" t="n"/>
      <c r="R203" s="7" t="n"/>
      <c r="U203">
        <f>IF($C203="","",IF($AJ203=1,0,IF($AI203=1,Settings!$C$6,Settings!$C$7))*100)</f>
        <v/>
      </c>
      <c r="V203" s="7">
        <f>IF($C203="","",R203*U203/100)</f>
        <v/>
      </c>
      <c r="W203" s="7">
        <f>IF($C203="","",R203-V203)</f>
        <v/>
      </c>
      <c r="X203" s="7">
        <f>IF($C203="","",W203-K203)</f>
        <v/>
      </c>
      <c r="AB203" s="7" t="n"/>
      <c r="AE203" s="11" t="n"/>
      <c r="AG203">
        <f>IF($C203="","",IF(COUNTIF($C$2:$C203,$C203)=1,1,0))</f>
        <v/>
      </c>
      <c r="AH203">
        <f>IF($AG203=1,SUMPRODUCT(--($AK$2:$AK$6001&lt;$AK203))+1,"")</f>
        <v/>
      </c>
      <c r="AI203">
        <f>IF($C203="","",IF(OR($N203=TRUE(),$N203="TRUE"),1,0))</f>
        <v/>
      </c>
      <c r="AJ203">
        <f>IF($C203="","",IF($T203="Yes",1,0))</f>
        <v/>
      </c>
      <c r="AK203">
        <f>IF($AG203=1,IFERROR(IF(VALUE($C203)&lt;100000000,VALUE($C203),1000000000),IFERROR(IF(VALUE(MID($C203,2,20))&lt;100000000,VALUE(MID($C203,2,20)),1000000000),1000000000))+ROW()/100000,"")</f>
        <v/>
      </c>
    </row>
    <row r="204">
      <c r="D204" s="11" t="n"/>
      <c r="K204" s="7">
        <f>IF($C204="","",J204*W204/100)</f>
        <v/>
      </c>
      <c r="Q204" s="7" t="n"/>
      <c r="R204" s="7" t="n"/>
      <c r="U204">
        <f>IF($C204="","",IF($AJ204=1,0,IF($AI204=1,Settings!$C$6,Settings!$C$7))*100)</f>
        <v/>
      </c>
      <c r="V204" s="7">
        <f>IF($C204="","",R204*U204/100)</f>
        <v/>
      </c>
      <c r="W204" s="7">
        <f>IF($C204="","",R204-V204)</f>
        <v/>
      </c>
      <c r="X204" s="7">
        <f>IF($C204="","",W204-K204)</f>
        <v/>
      </c>
      <c r="AB204" s="7" t="n"/>
      <c r="AE204" s="11" t="n"/>
      <c r="AG204">
        <f>IF($C204="","",IF(COUNTIF($C$2:$C204,$C204)=1,1,0))</f>
        <v/>
      </c>
      <c r="AH204">
        <f>IF($AG204=1,SUMPRODUCT(--($AK$2:$AK$6001&lt;$AK204))+1,"")</f>
        <v/>
      </c>
      <c r="AI204">
        <f>IF($C204="","",IF(OR($N204=TRUE(),$N204="TRUE"),1,0))</f>
        <v/>
      </c>
      <c r="AJ204">
        <f>IF($C204="","",IF($T204="Yes",1,0))</f>
        <v/>
      </c>
      <c r="AK204">
        <f>IF($AG204=1,IFERROR(IF(VALUE($C204)&lt;100000000,VALUE($C204),1000000000),IFERROR(IF(VALUE(MID($C204,2,20))&lt;100000000,VALUE(MID($C204,2,20)),1000000000),1000000000))+ROW()/100000,"")</f>
        <v/>
      </c>
    </row>
    <row r="205">
      <c r="D205" s="11" t="n"/>
      <c r="K205" s="7">
        <f>IF($C205="","",J205*W205/100)</f>
        <v/>
      </c>
      <c r="Q205" s="7" t="n"/>
      <c r="R205" s="7" t="n"/>
      <c r="U205">
        <f>IF($C205="","",IF($AJ205=1,0,IF($AI205=1,Settings!$C$6,Settings!$C$7))*100)</f>
        <v/>
      </c>
      <c r="V205" s="7">
        <f>IF($C205="","",R205*U205/100)</f>
        <v/>
      </c>
      <c r="W205" s="7">
        <f>IF($C205="","",R205-V205)</f>
        <v/>
      </c>
      <c r="X205" s="7">
        <f>IF($C205="","",W205-K205)</f>
        <v/>
      </c>
      <c r="AB205" s="7" t="n"/>
      <c r="AE205" s="11" t="n"/>
      <c r="AG205">
        <f>IF($C205="","",IF(COUNTIF($C$2:$C205,$C205)=1,1,0))</f>
        <v/>
      </c>
      <c r="AH205">
        <f>IF($AG205=1,SUMPRODUCT(--($AK$2:$AK$6001&lt;$AK205))+1,"")</f>
        <v/>
      </c>
      <c r="AI205">
        <f>IF($C205="","",IF(OR($N205=TRUE(),$N205="TRUE"),1,0))</f>
        <v/>
      </c>
      <c r="AJ205">
        <f>IF($C205="","",IF($T205="Yes",1,0))</f>
        <v/>
      </c>
      <c r="AK205">
        <f>IF($AG205=1,IFERROR(IF(VALUE($C205)&lt;100000000,VALUE($C205),1000000000),IFERROR(IF(VALUE(MID($C205,2,20))&lt;100000000,VALUE(MID($C205,2,20)),1000000000),1000000000))+ROW()/100000,"")</f>
        <v/>
      </c>
    </row>
    <row r="206">
      <c r="D206" s="11" t="n"/>
      <c r="K206" s="7">
        <f>IF($C206="","",J206*W206/100)</f>
        <v/>
      </c>
      <c r="Q206" s="7" t="n"/>
      <c r="R206" s="7" t="n"/>
      <c r="U206">
        <f>IF($C206="","",IF($AJ206=1,0,IF($AI206=1,Settings!$C$6,Settings!$C$7))*100)</f>
        <v/>
      </c>
      <c r="V206" s="7">
        <f>IF($C206="","",R206*U206/100)</f>
        <v/>
      </c>
      <c r="W206" s="7">
        <f>IF($C206="","",R206-V206)</f>
        <v/>
      </c>
      <c r="X206" s="7">
        <f>IF($C206="","",W206-K206)</f>
        <v/>
      </c>
      <c r="AB206" s="7" t="n"/>
      <c r="AE206" s="11" t="n"/>
      <c r="AG206">
        <f>IF($C206="","",IF(COUNTIF($C$2:$C206,$C206)=1,1,0))</f>
        <v/>
      </c>
      <c r="AH206">
        <f>IF($AG206=1,SUMPRODUCT(--($AK$2:$AK$6001&lt;$AK206))+1,"")</f>
        <v/>
      </c>
      <c r="AI206">
        <f>IF($C206="","",IF(OR($N206=TRUE(),$N206="TRUE"),1,0))</f>
        <v/>
      </c>
      <c r="AJ206">
        <f>IF($C206="","",IF($T206="Yes",1,0))</f>
        <v/>
      </c>
      <c r="AK206">
        <f>IF($AG206=1,IFERROR(IF(VALUE($C206)&lt;100000000,VALUE($C206),1000000000),IFERROR(IF(VALUE(MID($C206,2,20))&lt;100000000,VALUE(MID($C206,2,20)),1000000000),1000000000))+ROW()/100000,"")</f>
        <v/>
      </c>
    </row>
    <row r="207">
      <c r="D207" s="11" t="n"/>
      <c r="K207" s="7">
        <f>IF($C207="","",J207*W207/100)</f>
        <v/>
      </c>
      <c r="Q207" s="7" t="n"/>
      <c r="R207" s="7" t="n"/>
      <c r="U207">
        <f>IF($C207="","",IF($AJ207=1,0,IF($AI207=1,Settings!$C$6,Settings!$C$7))*100)</f>
        <v/>
      </c>
      <c r="V207" s="7">
        <f>IF($C207="","",R207*U207/100)</f>
        <v/>
      </c>
      <c r="W207" s="7">
        <f>IF($C207="","",R207-V207)</f>
        <v/>
      </c>
      <c r="X207" s="7">
        <f>IF($C207="","",W207-K207)</f>
        <v/>
      </c>
      <c r="AB207" s="7" t="n"/>
      <c r="AE207" s="11" t="n"/>
      <c r="AG207">
        <f>IF($C207="","",IF(COUNTIF($C$2:$C207,$C207)=1,1,0))</f>
        <v/>
      </c>
      <c r="AH207">
        <f>IF($AG207=1,SUMPRODUCT(--($AK$2:$AK$6001&lt;$AK207))+1,"")</f>
        <v/>
      </c>
      <c r="AI207">
        <f>IF($C207="","",IF(OR($N207=TRUE(),$N207="TRUE"),1,0))</f>
        <v/>
      </c>
      <c r="AJ207">
        <f>IF($C207="","",IF($T207="Yes",1,0))</f>
        <v/>
      </c>
      <c r="AK207">
        <f>IF($AG207=1,IFERROR(IF(VALUE($C207)&lt;100000000,VALUE($C207),1000000000),IFERROR(IF(VALUE(MID($C207,2,20))&lt;100000000,VALUE(MID($C207,2,20)),1000000000),1000000000))+ROW()/100000,"")</f>
        <v/>
      </c>
    </row>
    <row r="208">
      <c r="D208" s="11" t="n"/>
      <c r="K208" s="7">
        <f>IF($C208="","",J208*W208/100)</f>
        <v/>
      </c>
      <c r="Q208" s="7" t="n"/>
      <c r="R208" s="7" t="n"/>
      <c r="U208">
        <f>IF($C208="","",IF($AJ208=1,0,IF($AI208=1,Settings!$C$6,Settings!$C$7))*100)</f>
        <v/>
      </c>
      <c r="V208" s="7">
        <f>IF($C208="","",R208*U208/100)</f>
        <v/>
      </c>
      <c r="W208" s="7">
        <f>IF($C208="","",R208-V208)</f>
        <v/>
      </c>
      <c r="X208" s="7">
        <f>IF($C208="","",W208-K208)</f>
        <v/>
      </c>
      <c r="AB208" s="7" t="n"/>
      <c r="AE208" s="11" t="n"/>
      <c r="AG208">
        <f>IF($C208="","",IF(COUNTIF($C$2:$C208,$C208)=1,1,0))</f>
        <v/>
      </c>
      <c r="AH208">
        <f>IF($AG208=1,SUMPRODUCT(--($AK$2:$AK$6001&lt;$AK208))+1,"")</f>
        <v/>
      </c>
      <c r="AI208">
        <f>IF($C208="","",IF(OR($N208=TRUE(),$N208="TRUE"),1,0))</f>
        <v/>
      </c>
      <c r="AJ208">
        <f>IF($C208="","",IF($T208="Yes",1,0))</f>
        <v/>
      </c>
      <c r="AK208">
        <f>IF($AG208=1,IFERROR(IF(VALUE($C208)&lt;100000000,VALUE($C208),1000000000),IFERROR(IF(VALUE(MID($C208,2,20))&lt;100000000,VALUE(MID($C208,2,20)),1000000000),1000000000))+ROW()/100000,"")</f>
        <v/>
      </c>
    </row>
    <row r="209">
      <c r="D209" s="11" t="n"/>
      <c r="K209" s="7">
        <f>IF($C209="","",J209*W209/100)</f>
        <v/>
      </c>
      <c r="Q209" s="7" t="n"/>
      <c r="R209" s="7" t="n"/>
      <c r="U209">
        <f>IF($C209="","",IF($AJ209=1,0,IF($AI209=1,Settings!$C$6,Settings!$C$7))*100)</f>
        <v/>
      </c>
      <c r="V209" s="7">
        <f>IF($C209="","",R209*U209/100)</f>
        <v/>
      </c>
      <c r="W209" s="7">
        <f>IF($C209="","",R209-V209)</f>
        <v/>
      </c>
      <c r="X209" s="7">
        <f>IF($C209="","",W209-K209)</f>
        <v/>
      </c>
      <c r="AB209" s="7" t="n"/>
      <c r="AE209" s="11" t="n"/>
      <c r="AG209">
        <f>IF($C209="","",IF(COUNTIF($C$2:$C209,$C209)=1,1,0))</f>
        <v/>
      </c>
      <c r="AH209">
        <f>IF($AG209=1,SUMPRODUCT(--($AK$2:$AK$6001&lt;$AK209))+1,"")</f>
        <v/>
      </c>
      <c r="AI209">
        <f>IF($C209="","",IF(OR($N209=TRUE(),$N209="TRUE"),1,0))</f>
        <v/>
      </c>
      <c r="AJ209">
        <f>IF($C209="","",IF($T209="Yes",1,0))</f>
        <v/>
      </c>
      <c r="AK209">
        <f>IF($AG209=1,IFERROR(IF(VALUE($C209)&lt;100000000,VALUE($C209),1000000000),IFERROR(IF(VALUE(MID($C209,2,20))&lt;100000000,VALUE(MID($C209,2,20)),1000000000),1000000000))+ROW()/100000,"")</f>
        <v/>
      </c>
    </row>
    <row r="210">
      <c r="D210" s="11" t="n"/>
      <c r="K210" s="7">
        <f>IF($C210="","",J210*W210/100)</f>
        <v/>
      </c>
      <c r="Q210" s="7" t="n"/>
      <c r="R210" s="7" t="n"/>
      <c r="U210">
        <f>IF($C210="","",IF($AJ210=1,0,IF($AI210=1,Settings!$C$6,Settings!$C$7))*100)</f>
        <v/>
      </c>
      <c r="V210" s="7">
        <f>IF($C210="","",R210*U210/100)</f>
        <v/>
      </c>
      <c r="W210" s="7">
        <f>IF($C210="","",R210-V210)</f>
        <v/>
      </c>
      <c r="X210" s="7">
        <f>IF($C210="","",W210-K210)</f>
        <v/>
      </c>
      <c r="AB210" s="7" t="n"/>
      <c r="AE210" s="11" t="n"/>
      <c r="AG210">
        <f>IF($C210="","",IF(COUNTIF($C$2:$C210,$C210)=1,1,0))</f>
        <v/>
      </c>
      <c r="AH210">
        <f>IF($AG210=1,SUMPRODUCT(--($AK$2:$AK$6001&lt;$AK210))+1,"")</f>
        <v/>
      </c>
      <c r="AI210">
        <f>IF($C210="","",IF(OR($N210=TRUE(),$N210="TRUE"),1,0))</f>
        <v/>
      </c>
      <c r="AJ210">
        <f>IF($C210="","",IF($T210="Yes",1,0))</f>
        <v/>
      </c>
      <c r="AK210">
        <f>IF($AG210=1,IFERROR(IF(VALUE($C210)&lt;100000000,VALUE($C210),1000000000),IFERROR(IF(VALUE(MID($C210,2,20))&lt;100000000,VALUE(MID($C210,2,20)),1000000000),1000000000))+ROW()/100000,"")</f>
        <v/>
      </c>
    </row>
    <row r="211">
      <c r="D211" s="11" t="n"/>
      <c r="K211" s="7">
        <f>IF($C211="","",J211*W211/100)</f>
        <v/>
      </c>
      <c r="Q211" s="7" t="n"/>
      <c r="R211" s="7" t="n"/>
      <c r="U211">
        <f>IF($C211="","",IF($AJ211=1,0,IF($AI211=1,Settings!$C$6,Settings!$C$7))*100)</f>
        <v/>
      </c>
      <c r="V211" s="7">
        <f>IF($C211="","",R211*U211/100)</f>
        <v/>
      </c>
      <c r="W211" s="7">
        <f>IF($C211="","",R211-V211)</f>
        <v/>
      </c>
      <c r="X211" s="7">
        <f>IF($C211="","",W211-K211)</f>
        <v/>
      </c>
      <c r="AB211" s="7" t="n"/>
      <c r="AE211" s="11" t="n"/>
      <c r="AG211">
        <f>IF($C211="","",IF(COUNTIF($C$2:$C211,$C211)=1,1,0))</f>
        <v/>
      </c>
      <c r="AH211">
        <f>IF($AG211=1,SUMPRODUCT(--($AK$2:$AK$6001&lt;$AK211))+1,"")</f>
        <v/>
      </c>
      <c r="AI211">
        <f>IF($C211="","",IF(OR($N211=TRUE(),$N211="TRUE"),1,0))</f>
        <v/>
      </c>
      <c r="AJ211">
        <f>IF($C211="","",IF($T211="Yes",1,0))</f>
        <v/>
      </c>
      <c r="AK211">
        <f>IF($AG211=1,IFERROR(IF(VALUE($C211)&lt;100000000,VALUE($C211),1000000000),IFERROR(IF(VALUE(MID($C211,2,20))&lt;100000000,VALUE(MID($C211,2,20)),1000000000),1000000000))+ROW()/100000,"")</f>
        <v/>
      </c>
    </row>
    <row r="212">
      <c r="D212" s="11" t="n"/>
      <c r="K212" s="7">
        <f>IF($C212="","",J212*W212/100)</f>
        <v/>
      </c>
      <c r="Q212" s="7" t="n"/>
      <c r="R212" s="7" t="n"/>
      <c r="U212">
        <f>IF($C212="","",IF($AJ212=1,0,IF($AI212=1,Settings!$C$6,Settings!$C$7))*100)</f>
        <v/>
      </c>
      <c r="V212" s="7">
        <f>IF($C212="","",R212*U212/100)</f>
        <v/>
      </c>
      <c r="W212" s="7">
        <f>IF($C212="","",R212-V212)</f>
        <v/>
      </c>
      <c r="X212" s="7">
        <f>IF($C212="","",W212-K212)</f>
        <v/>
      </c>
      <c r="AB212" s="7" t="n"/>
      <c r="AE212" s="11" t="n"/>
      <c r="AG212">
        <f>IF($C212="","",IF(COUNTIF($C$2:$C212,$C212)=1,1,0))</f>
        <v/>
      </c>
      <c r="AH212">
        <f>IF($AG212=1,SUMPRODUCT(--($AK$2:$AK$6001&lt;$AK212))+1,"")</f>
        <v/>
      </c>
      <c r="AI212">
        <f>IF($C212="","",IF(OR($N212=TRUE(),$N212="TRUE"),1,0))</f>
        <v/>
      </c>
      <c r="AJ212">
        <f>IF($C212="","",IF($T212="Yes",1,0))</f>
        <v/>
      </c>
      <c r="AK212">
        <f>IF($AG212=1,IFERROR(IF(VALUE($C212)&lt;100000000,VALUE($C212),1000000000),IFERROR(IF(VALUE(MID($C212,2,20))&lt;100000000,VALUE(MID($C212,2,20)),1000000000),1000000000))+ROW()/100000,"")</f>
        <v/>
      </c>
    </row>
    <row r="213">
      <c r="D213" s="11" t="n"/>
      <c r="K213" s="7">
        <f>IF($C213="","",J213*W213/100)</f>
        <v/>
      </c>
      <c r="Q213" s="7" t="n"/>
      <c r="R213" s="7" t="n"/>
      <c r="U213">
        <f>IF($C213="","",IF($AJ213=1,0,IF($AI213=1,Settings!$C$6,Settings!$C$7))*100)</f>
        <v/>
      </c>
      <c r="V213" s="7">
        <f>IF($C213="","",R213*U213/100)</f>
        <v/>
      </c>
      <c r="W213" s="7">
        <f>IF($C213="","",R213-V213)</f>
        <v/>
      </c>
      <c r="X213" s="7">
        <f>IF($C213="","",W213-K213)</f>
        <v/>
      </c>
      <c r="AB213" s="7" t="n"/>
      <c r="AE213" s="11" t="n"/>
      <c r="AG213">
        <f>IF($C213="","",IF(COUNTIF($C$2:$C213,$C213)=1,1,0))</f>
        <v/>
      </c>
      <c r="AH213">
        <f>IF($AG213=1,SUMPRODUCT(--($AK$2:$AK$6001&lt;$AK213))+1,"")</f>
        <v/>
      </c>
      <c r="AI213">
        <f>IF($C213="","",IF(OR($N213=TRUE(),$N213="TRUE"),1,0))</f>
        <v/>
      </c>
      <c r="AJ213">
        <f>IF($C213="","",IF($T213="Yes",1,0))</f>
        <v/>
      </c>
      <c r="AK213">
        <f>IF($AG213=1,IFERROR(IF(VALUE($C213)&lt;100000000,VALUE($C213),1000000000),IFERROR(IF(VALUE(MID($C213,2,20))&lt;100000000,VALUE(MID($C213,2,20)),1000000000),1000000000))+ROW()/100000,"")</f>
        <v/>
      </c>
    </row>
    <row r="214">
      <c r="D214" s="11" t="n"/>
      <c r="K214" s="7">
        <f>IF($C214="","",J214*W214/100)</f>
        <v/>
      </c>
      <c r="Q214" s="7" t="n"/>
      <c r="R214" s="7" t="n"/>
      <c r="U214">
        <f>IF($C214="","",IF($AJ214=1,0,IF($AI214=1,Settings!$C$6,Settings!$C$7))*100)</f>
        <v/>
      </c>
      <c r="V214" s="7">
        <f>IF($C214="","",R214*U214/100)</f>
        <v/>
      </c>
      <c r="W214" s="7">
        <f>IF($C214="","",R214-V214)</f>
        <v/>
      </c>
      <c r="X214" s="7">
        <f>IF($C214="","",W214-K214)</f>
        <v/>
      </c>
      <c r="AB214" s="7" t="n"/>
      <c r="AE214" s="11" t="n"/>
      <c r="AG214">
        <f>IF($C214="","",IF(COUNTIF($C$2:$C214,$C214)=1,1,0))</f>
        <v/>
      </c>
      <c r="AH214">
        <f>IF($AG214=1,SUMPRODUCT(--($AK$2:$AK$6001&lt;$AK214))+1,"")</f>
        <v/>
      </c>
      <c r="AI214">
        <f>IF($C214="","",IF(OR($N214=TRUE(),$N214="TRUE"),1,0))</f>
        <v/>
      </c>
      <c r="AJ214">
        <f>IF($C214="","",IF($T214="Yes",1,0))</f>
        <v/>
      </c>
      <c r="AK214">
        <f>IF($AG214=1,IFERROR(IF(VALUE($C214)&lt;100000000,VALUE($C214),1000000000),IFERROR(IF(VALUE(MID($C214,2,20))&lt;100000000,VALUE(MID($C214,2,20)),1000000000),1000000000))+ROW()/100000,"")</f>
        <v/>
      </c>
    </row>
    <row r="215">
      <c r="D215" s="11" t="n"/>
      <c r="K215" s="7">
        <f>IF($C215="","",J215*W215/100)</f>
        <v/>
      </c>
      <c r="Q215" s="7" t="n"/>
      <c r="R215" s="7" t="n"/>
      <c r="U215">
        <f>IF($C215="","",IF($AJ215=1,0,IF($AI215=1,Settings!$C$6,Settings!$C$7))*100)</f>
        <v/>
      </c>
      <c r="V215" s="7">
        <f>IF($C215="","",R215*U215/100)</f>
        <v/>
      </c>
      <c r="W215" s="7">
        <f>IF($C215="","",R215-V215)</f>
        <v/>
      </c>
      <c r="X215" s="7">
        <f>IF($C215="","",W215-K215)</f>
        <v/>
      </c>
      <c r="AB215" s="7" t="n"/>
      <c r="AE215" s="11" t="n"/>
      <c r="AG215">
        <f>IF($C215="","",IF(COUNTIF($C$2:$C215,$C215)=1,1,0))</f>
        <v/>
      </c>
      <c r="AH215">
        <f>IF($AG215=1,SUMPRODUCT(--($AK$2:$AK$6001&lt;$AK215))+1,"")</f>
        <v/>
      </c>
      <c r="AI215">
        <f>IF($C215="","",IF(OR($N215=TRUE(),$N215="TRUE"),1,0))</f>
        <v/>
      </c>
      <c r="AJ215">
        <f>IF($C215="","",IF($T215="Yes",1,0))</f>
        <v/>
      </c>
      <c r="AK215">
        <f>IF($AG215=1,IFERROR(IF(VALUE($C215)&lt;100000000,VALUE($C215),1000000000),IFERROR(IF(VALUE(MID($C215,2,20))&lt;100000000,VALUE(MID($C215,2,20)),1000000000),1000000000))+ROW()/100000,"")</f>
        <v/>
      </c>
    </row>
    <row r="216">
      <c r="D216" s="11" t="n"/>
      <c r="K216" s="7">
        <f>IF($C216="","",J216*W216/100)</f>
        <v/>
      </c>
      <c r="Q216" s="7" t="n"/>
      <c r="R216" s="7" t="n"/>
      <c r="U216">
        <f>IF($C216="","",IF($AJ216=1,0,IF($AI216=1,Settings!$C$6,Settings!$C$7))*100)</f>
        <v/>
      </c>
      <c r="V216" s="7">
        <f>IF($C216="","",R216*U216/100)</f>
        <v/>
      </c>
      <c r="W216" s="7">
        <f>IF($C216="","",R216-V216)</f>
        <v/>
      </c>
      <c r="X216" s="7">
        <f>IF($C216="","",W216-K216)</f>
        <v/>
      </c>
      <c r="AB216" s="7" t="n"/>
      <c r="AE216" s="11" t="n"/>
      <c r="AG216">
        <f>IF($C216="","",IF(COUNTIF($C$2:$C216,$C216)=1,1,0))</f>
        <v/>
      </c>
      <c r="AH216">
        <f>IF($AG216=1,SUMPRODUCT(--($AK$2:$AK$6001&lt;$AK216))+1,"")</f>
        <v/>
      </c>
      <c r="AI216">
        <f>IF($C216="","",IF(OR($N216=TRUE(),$N216="TRUE"),1,0))</f>
        <v/>
      </c>
      <c r="AJ216">
        <f>IF($C216="","",IF($T216="Yes",1,0))</f>
        <v/>
      </c>
      <c r="AK216">
        <f>IF($AG216=1,IFERROR(IF(VALUE($C216)&lt;100000000,VALUE($C216),1000000000),IFERROR(IF(VALUE(MID($C216,2,20))&lt;100000000,VALUE(MID($C216,2,20)),1000000000),1000000000))+ROW()/100000,"")</f>
        <v/>
      </c>
    </row>
    <row r="217">
      <c r="D217" s="11" t="n"/>
      <c r="K217" s="7">
        <f>IF($C217="","",J217*W217/100)</f>
        <v/>
      </c>
      <c r="Q217" s="7" t="n"/>
      <c r="R217" s="7" t="n"/>
      <c r="U217">
        <f>IF($C217="","",IF($AJ217=1,0,IF($AI217=1,Settings!$C$6,Settings!$C$7))*100)</f>
        <v/>
      </c>
      <c r="V217" s="7">
        <f>IF($C217="","",R217*U217/100)</f>
        <v/>
      </c>
      <c r="W217" s="7">
        <f>IF($C217="","",R217-V217)</f>
        <v/>
      </c>
      <c r="X217" s="7">
        <f>IF($C217="","",W217-K217)</f>
        <v/>
      </c>
      <c r="AB217" s="7" t="n"/>
      <c r="AE217" s="11" t="n"/>
      <c r="AG217">
        <f>IF($C217="","",IF(COUNTIF($C$2:$C217,$C217)=1,1,0))</f>
        <v/>
      </c>
      <c r="AH217">
        <f>IF($AG217=1,SUMPRODUCT(--($AK$2:$AK$6001&lt;$AK217))+1,"")</f>
        <v/>
      </c>
      <c r="AI217">
        <f>IF($C217="","",IF(OR($N217=TRUE(),$N217="TRUE"),1,0))</f>
        <v/>
      </c>
      <c r="AJ217">
        <f>IF($C217="","",IF($T217="Yes",1,0))</f>
        <v/>
      </c>
      <c r="AK217">
        <f>IF($AG217=1,IFERROR(IF(VALUE($C217)&lt;100000000,VALUE($C217),1000000000),IFERROR(IF(VALUE(MID($C217,2,20))&lt;100000000,VALUE(MID($C217,2,20)),1000000000),1000000000))+ROW()/100000,"")</f>
        <v/>
      </c>
    </row>
    <row r="218">
      <c r="D218" s="11" t="n"/>
      <c r="K218" s="7">
        <f>IF($C218="","",J218*W218/100)</f>
        <v/>
      </c>
      <c r="Q218" s="7" t="n"/>
      <c r="R218" s="7" t="n"/>
      <c r="U218">
        <f>IF($C218="","",IF($AJ218=1,0,IF($AI218=1,Settings!$C$6,Settings!$C$7))*100)</f>
        <v/>
      </c>
      <c r="V218" s="7">
        <f>IF($C218="","",R218*U218/100)</f>
        <v/>
      </c>
      <c r="W218" s="7">
        <f>IF($C218="","",R218-V218)</f>
        <v/>
      </c>
      <c r="X218" s="7">
        <f>IF($C218="","",W218-K218)</f>
        <v/>
      </c>
      <c r="AB218" s="7" t="n"/>
      <c r="AE218" s="11" t="n"/>
      <c r="AG218">
        <f>IF($C218="","",IF(COUNTIF($C$2:$C218,$C218)=1,1,0))</f>
        <v/>
      </c>
      <c r="AH218">
        <f>IF($AG218=1,SUMPRODUCT(--($AK$2:$AK$6001&lt;$AK218))+1,"")</f>
        <v/>
      </c>
      <c r="AI218">
        <f>IF($C218="","",IF(OR($N218=TRUE(),$N218="TRUE"),1,0))</f>
        <v/>
      </c>
      <c r="AJ218">
        <f>IF($C218="","",IF($T218="Yes",1,0))</f>
        <v/>
      </c>
      <c r="AK218">
        <f>IF($AG218=1,IFERROR(IF(VALUE($C218)&lt;100000000,VALUE($C218),1000000000),IFERROR(IF(VALUE(MID($C218,2,20))&lt;100000000,VALUE(MID($C218,2,20)),1000000000),1000000000))+ROW()/100000,"")</f>
        <v/>
      </c>
    </row>
    <row r="219">
      <c r="D219" s="11" t="n"/>
      <c r="K219" s="7">
        <f>IF($C219="","",J219*W219/100)</f>
        <v/>
      </c>
      <c r="Q219" s="7" t="n"/>
      <c r="R219" s="7" t="n"/>
      <c r="U219">
        <f>IF($C219="","",IF($AJ219=1,0,IF($AI219=1,Settings!$C$6,Settings!$C$7))*100)</f>
        <v/>
      </c>
      <c r="V219" s="7">
        <f>IF($C219="","",R219*U219/100)</f>
        <v/>
      </c>
      <c r="W219" s="7">
        <f>IF($C219="","",R219-V219)</f>
        <v/>
      </c>
      <c r="X219" s="7">
        <f>IF($C219="","",W219-K219)</f>
        <v/>
      </c>
      <c r="AB219" s="7" t="n"/>
      <c r="AE219" s="11" t="n"/>
      <c r="AG219">
        <f>IF($C219="","",IF(COUNTIF($C$2:$C219,$C219)=1,1,0))</f>
        <v/>
      </c>
      <c r="AH219">
        <f>IF($AG219=1,SUMPRODUCT(--($AK$2:$AK$6001&lt;$AK219))+1,"")</f>
        <v/>
      </c>
      <c r="AI219">
        <f>IF($C219="","",IF(OR($N219=TRUE(),$N219="TRUE"),1,0))</f>
        <v/>
      </c>
      <c r="AJ219">
        <f>IF($C219="","",IF($T219="Yes",1,0))</f>
        <v/>
      </c>
      <c r="AK219">
        <f>IF($AG219=1,IFERROR(IF(VALUE($C219)&lt;100000000,VALUE($C219),1000000000),IFERROR(IF(VALUE(MID($C219,2,20))&lt;100000000,VALUE(MID($C219,2,20)),1000000000),1000000000))+ROW()/100000,"")</f>
        <v/>
      </c>
    </row>
    <row r="220">
      <c r="D220" s="11" t="n"/>
      <c r="K220" s="7">
        <f>IF($C220="","",J220*W220/100)</f>
        <v/>
      </c>
      <c r="Q220" s="7" t="n"/>
      <c r="R220" s="7" t="n"/>
      <c r="U220">
        <f>IF($C220="","",IF($AJ220=1,0,IF($AI220=1,Settings!$C$6,Settings!$C$7))*100)</f>
        <v/>
      </c>
      <c r="V220" s="7">
        <f>IF($C220="","",R220*U220/100)</f>
        <v/>
      </c>
      <c r="W220" s="7">
        <f>IF($C220="","",R220-V220)</f>
        <v/>
      </c>
      <c r="X220" s="7">
        <f>IF($C220="","",W220-K220)</f>
        <v/>
      </c>
      <c r="AB220" s="7" t="n"/>
      <c r="AE220" s="11" t="n"/>
      <c r="AG220">
        <f>IF($C220="","",IF(COUNTIF($C$2:$C220,$C220)=1,1,0))</f>
        <v/>
      </c>
      <c r="AH220">
        <f>IF($AG220=1,SUMPRODUCT(--($AK$2:$AK$6001&lt;$AK220))+1,"")</f>
        <v/>
      </c>
      <c r="AI220">
        <f>IF($C220="","",IF(OR($N220=TRUE(),$N220="TRUE"),1,0))</f>
        <v/>
      </c>
      <c r="AJ220">
        <f>IF($C220="","",IF($T220="Yes",1,0))</f>
        <v/>
      </c>
      <c r="AK220">
        <f>IF($AG220=1,IFERROR(IF(VALUE($C220)&lt;100000000,VALUE($C220),1000000000),IFERROR(IF(VALUE(MID($C220,2,20))&lt;100000000,VALUE(MID($C220,2,20)),1000000000),1000000000))+ROW()/100000,"")</f>
        <v/>
      </c>
    </row>
    <row r="221">
      <c r="D221" s="11" t="n"/>
      <c r="K221" s="7">
        <f>IF($C221="","",J221*W221/100)</f>
        <v/>
      </c>
      <c r="Q221" s="7" t="n"/>
      <c r="R221" s="7" t="n"/>
      <c r="U221">
        <f>IF($C221="","",IF($AJ221=1,0,IF($AI221=1,Settings!$C$6,Settings!$C$7))*100)</f>
        <v/>
      </c>
      <c r="V221" s="7">
        <f>IF($C221="","",R221*U221/100)</f>
        <v/>
      </c>
      <c r="W221" s="7">
        <f>IF($C221="","",R221-V221)</f>
        <v/>
      </c>
      <c r="X221" s="7">
        <f>IF($C221="","",W221-K221)</f>
        <v/>
      </c>
      <c r="AB221" s="7" t="n"/>
      <c r="AE221" s="11" t="n"/>
      <c r="AG221">
        <f>IF($C221="","",IF(COUNTIF($C$2:$C221,$C221)=1,1,0))</f>
        <v/>
      </c>
      <c r="AH221">
        <f>IF($AG221=1,SUMPRODUCT(--($AK$2:$AK$6001&lt;$AK221))+1,"")</f>
        <v/>
      </c>
      <c r="AI221">
        <f>IF($C221="","",IF(OR($N221=TRUE(),$N221="TRUE"),1,0))</f>
        <v/>
      </c>
      <c r="AJ221">
        <f>IF($C221="","",IF($T221="Yes",1,0))</f>
        <v/>
      </c>
      <c r="AK221">
        <f>IF($AG221=1,IFERROR(IF(VALUE($C221)&lt;100000000,VALUE($C221),1000000000),IFERROR(IF(VALUE(MID($C221,2,20))&lt;100000000,VALUE(MID($C221,2,20)),1000000000),1000000000))+ROW()/100000,"")</f>
        <v/>
      </c>
    </row>
    <row r="222">
      <c r="D222" s="11" t="n"/>
      <c r="K222" s="7">
        <f>IF($C222="","",J222*W222/100)</f>
        <v/>
      </c>
      <c r="Q222" s="7" t="n"/>
      <c r="R222" s="7" t="n"/>
      <c r="U222">
        <f>IF($C222="","",IF($AJ222=1,0,IF($AI222=1,Settings!$C$6,Settings!$C$7))*100)</f>
        <v/>
      </c>
      <c r="V222" s="7">
        <f>IF($C222="","",R222*U222/100)</f>
        <v/>
      </c>
      <c r="W222" s="7">
        <f>IF($C222="","",R222-V222)</f>
        <v/>
      </c>
      <c r="X222" s="7">
        <f>IF($C222="","",W222-K222)</f>
        <v/>
      </c>
      <c r="AB222" s="7" t="n"/>
      <c r="AE222" s="11" t="n"/>
      <c r="AG222">
        <f>IF($C222="","",IF(COUNTIF($C$2:$C222,$C222)=1,1,0))</f>
        <v/>
      </c>
      <c r="AH222">
        <f>IF($AG222=1,SUMPRODUCT(--($AK$2:$AK$6001&lt;$AK222))+1,"")</f>
        <v/>
      </c>
      <c r="AI222">
        <f>IF($C222="","",IF(OR($N222=TRUE(),$N222="TRUE"),1,0))</f>
        <v/>
      </c>
      <c r="AJ222">
        <f>IF($C222="","",IF($T222="Yes",1,0))</f>
        <v/>
      </c>
      <c r="AK222">
        <f>IF($AG222=1,IFERROR(IF(VALUE($C222)&lt;100000000,VALUE($C222),1000000000),IFERROR(IF(VALUE(MID($C222,2,20))&lt;100000000,VALUE(MID($C222,2,20)),1000000000),1000000000))+ROW()/100000,"")</f>
        <v/>
      </c>
    </row>
    <row r="223">
      <c r="D223" s="11" t="n"/>
      <c r="K223" s="7">
        <f>IF($C223="","",J223*W223/100)</f>
        <v/>
      </c>
      <c r="Q223" s="7" t="n"/>
      <c r="R223" s="7" t="n"/>
      <c r="U223">
        <f>IF($C223="","",IF($AJ223=1,0,IF($AI223=1,Settings!$C$6,Settings!$C$7))*100)</f>
        <v/>
      </c>
      <c r="V223" s="7">
        <f>IF($C223="","",R223*U223/100)</f>
        <v/>
      </c>
      <c r="W223" s="7">
        <f>IF($C223="","",R223-V223)</f>
        <v/>
      </c>
      <c r="X223" s="7">
        <f>IF($C223="","",W223-K223)</f>
        <v/>
      </c>
      <c r="AB223" s="7" t="n"/>
      <c r="AE223" s="11" t="n"/>
      <c r="AG223">
        <f>IF($C223="","",IF(COUNTIF($C$2:$C223,$C223)=1,1,0))</f>
        <v/>
      </c>
      <c r="AH223">
        <f>IF($AG223=1,SUMPRODUCT(--($AK$2:$AK$6001&lt;$AK223))+1,"")</f>
        <v/>
      </c>
      <c r="AI223">
        <f>IF($C223="","",IF(OR($N223=TRUE(),$N223="TRUE"),1,0))</f>
        <v/>
      </c>
      <c r="AJ223">
        <f>IF($C223="","",IF($T223="Yes",1,0))</f>
        <v/>
      </c>
      <c r="AK223">
        <f>IF($AG223=1,IFERROR(IF(VALUE($C223)&lt;100000000,VALUE($C223),1000000000),IFERROR(IF(VALUE(MID($C223,2,20))&lt;100000000,VALUE(MID($C223,2,20)),1000000000),1000000000))+ROW()/100000,"")</f>
        <v/>
      </c>
    </row>
    <row r="224">
      <c r="D224" s="11" t="n"/>
      <c r="K224" s="7">
        <f>IF($C224="","",J224*W224/100)</f>
        <v/>
      </c>
      <c r="Q224" s="7" t="n"/>
      <c r="R224" s="7" t="n"/>
      <c r="U224">
        <f>IF($C224="","",IF($AJ224=1,0,IF($AI224=1,Settings!$C$6,Settings!$C$7))*100)</f>
        <v/>
      </c>
      <c r="V224" s="7">
        <f>IF($C224="","",R224*U224/100)</f>
        <v/>
      </c>
      <c r="W224" s="7">
        <f>IF($C224="","",R224-V224)</f>
        <v/>
      </c>
      <c r="X224" s="7">
        <f>IF($C224="","",W224-K224)</f>
        <v/>
      </c>
      <c r="AB224" s="7" t="n"/>
      <c r="AE224" s="11" t="n"/>
      <c r="AG224">
        <f>IF($C224="","",IF(COUNTIF($C$2:$C224,$C224)=1,1,0))</f>
        <v/>
      </c>
      <c r="AH224">
        <f>IF($AG224=1,SUMPRODUCT(--($AK$2:$AK$6001&lt;$AK224))+1,"")</f>
        <v/>
      </c>
      <c r="AI224">
        <f>IF($C224="","",IF(OR($N224=TRUE(),$N224="TRUE"),1,0))</f>
        <v/>
      </c>
      <c r="AJ224">
        <f>IF($C224="","",IF($T224="Yes",1,0))</f>
        <v/>
      </c>
      <c r="AK224">
        <f>IF($AG224=1,IFERROR(IF(VALUE($C224)&lt;100000000,VALUE($C224),1000000000),IFERROR(IF(VALUE(MID($C224,2,20))&lt;100000000,VALUE(MID($C224,2,20)),1000000000),1000000000))+ROW()/100000,"")</f>
        <v/>
      </c>
    </row>
    <row r="225">
      <c r="D225" s="11" t="n"/>
      <c r="K225" s="7">
        <f>IF($C225="","",J225*W225/100)</f>
        <v/>
      </c>
      <c r="Q225" s="7" t="n"/>
      <c r="R225" s="7" t="n"/>
      <c r="U225">
        <f>IF($C225="","",IF($AJ225=1,0,IF($AI225=1,Settings!$C$6,Settings!$C$7))*100)</f>
        <v/>
      </c>
      <c r="V225" s="7">
        <f>IF($C225="","",R225*U225/100)</f>
        <v/>
      </c>
      <c r="W225" s="7">
        <f>IF($C225="","",R225-V225)</f>
        <v/>
      </c>
      <c r="X225" s="7">
        <f>IF($C225="","",W225-K225)</f>
        <v/>
      </c>
      <c r="AB225" s="7" t="n"/>
      <c r="AE225" s="11" t="n"/>
      <c r="AG225">
        <f>IF($C225="","",IF(COUNTIF($C$2:$C225,$C225)=1,1,0))</f>
        <v/>
      </c>
      <c r="AH225">
        <f>IF($AG225=1,SUMPRODUCT(--($AK$2:$AK$6001&lt;$AK225))+1,"")</f>
        <v/>
      </c>
      <c r="AI225">
        <f>IF($C225="","",IF(OR($N225=TRUE(),$N225="TRUE"),1,0))</f>
        <v/>
      </c>
      <c r="AJ225">
        <f>IF($C225="","",IF($T225="Yes",1,0))</f>
        <v/>
      </c>
      <c r="AK225">
        <f>IF($AG225=1,IFERROR(IF(VALUE($C225)&lt;100000000,VALUE($C225),1000000000),IFERROR(IF(VALUE(MID($C225,2,20))&lt;100000000,VALUE(MID($C225,2,20)),1000000000),1000000000))+ROW()/100000,"")</f>
        <v/>
      </c>
    </row>
    <row r="226">
      <c r="D226" s="11" t="n"/>
      <c r="K226" s="7">
        <f>IF($C226="","",J226*W226/100)</f>
        <v/>
      </c>
      <c r="Q226" s="7" t="n"/>
      <c r="R226" s="7" t="n"/>
      <c r="U226">
        <f>IF($C226="","",IF($AJ226=1,0,IF($AI226=1,Settings!$C$6,Settings!$C$7))*100)</f>
        <v/>
      </c>
      <c r="V226" s="7">
        <f>IF($C226="","",R226*U226/100)</f>
        <v/>
      </c>
      <c r="W226" s="7">
        <f>IF($C226="","",R226-V226)</f>
        <v/>
      </c>
      <c r="X226" s="7">
        <f>IF($C226="","",W226-K226)</f>
        <v/>
      </c>
      <c r="AB226" s="7" t="n"/>
      <c r="AE226" s="11" t="n"/>
      <c r="AG226">
        <f>IF($C226="","",IF(COUNTIF($C$2:$C226,$C226)=1,1,0))</f>
        <v/>
      </c>
      <c r="AH226">
        <f>IF($AG226=1,SUMPRODUCT(--($AK$2:$AK$6001&lt;$AK226))+1,"")</f>
        <v/>
      </c>
      <c r="AI226">
        <f>IF($C226="","",IF(OR($N226=TRUE(),$N226="TRUE"),1,0))</f>
        <v/>
      </c>
      <c r="AJ226">
        <f>IF($C226="","",IF($T226="Yes",1,0))</f>
        <v/>
      </c>
      <c r="AK226">
        <f>IF($AG226=1,IFERROR(IF(VALUE($C226)&lt;100000000,VALUE($C226),1000000000),IFERROR(IF(VALUE(MID($C226,2,20))&lt;100000000,VALUE(MID($C226,2,20)),1000000000),1000000000))+ROW()/100000,"")</f>
        <v/>
      </c>
    </row>
    <row r="227">
      <c r="D227" s="11" t="n"/>
      <c r="K227" s="7">
        <f>IF($C227="","",J227*W227/100)</f>
        <v/>
      </c>
      <c r="Q227" s="7" t="n"/>
      <c r="R227" s="7" t="n"/>
      <c r="U227">
        <f>IF($C227="","",IF($AJ227=1,0,IF($AI227=1,Settings!$C$6,Settings!$C$7))*100)</f>
        <v/>
      </c>
      <c r="V227" s="7">
        <f>IF($C227="","",R227*U227/100)</f>
        <v/>
      </c>
      <c r="W227" s="7">
        <f>IF($C227="","",R227-V227)</f>
        <v/>
      </c>
      <c r="X227" s="7">
        <f>IF($C227="","",W227-K227)</f>
        <v/>
      </c>
      <c r="AB227" s="7" t="n"/>
      <c r="AE227" s="11" t="n"/>
      <c r="AG227">
        <f>IF($C227="","",IF(COUNTIF($C$2:$C227,$C227)=1,1,0))</f>
        <v/>
      </c>
      <c r="AH227">
        <f>IF($AG227=1,SUMPRODUCT(--($AK$2:$AK$6001&lt;$AK227))+1,"")</f>
        <v/>
      </c>
      <c r="AI227">
        <f>IF($C227="","",IF(OR($N227=TRUE(),$N227="TRUE"),1,0))</f>
        <v/>
      </c>
      <c r="AJ227">
        <f>IF($C227="","",IF($T227="Yes",1,0))</f>
        <v/>
      </c>
      <c r="AK227">
        <f>IF($AG227=1,IFERROR(IF(VALUE($C227)&lt;100000000,VALUE($C227),1000000000),IFERROR(IF(VALUE(MID($C227,2,20))&lt;100000000,VALUE(MID($C227,2,20)),1000000000),1000000000))+ROW()/100000,"")</f>
        <v/>
      </c>
    </row>
    <row r="228">
      <c r="D228" s="11" t="n"/>
      <c r="K228" s="7">
        <f>IF($C228="","",J228*W228/100)</f>
        <v/>
      </c>
      <c r="Q228" s="7" t="n"/>
      <c r="R228" s="7" t="n"/>
      <c r="U228">
        <f>IF($C228="","",IF($AJ228=1,0,IF($AI228=1,Settings!$C$6,Settings!$C$7))*100)</f>
        <v/>
      </c>
      <c r="V228" s="7">
        <f>IF($C228="","",R228*U228/100)</f>
        <v/>
      </c>
      <c r="W228" s="7">
        <f>IF($C228="","",R228-V228)</f>
        <v/>
      </c>
      <c r="X228" s="7">
        <f>IF($C228="","",W228-K228)</f>
        <v/>
      </c>
      <c r="AB228" s="7" t="n"/>
      <c r="AE228" s="11" t="n"/>
      <c r="AG228">
        <f>IF($C228="","",IF(COUNTIF($C$2:$C228,$C228)=1,1,0))</f>
        <v/>
      </c>
      <c r="AH228">
        <f>IF($AG228=1,SUMPRODUCT(--($AK$2:$AK$6001&lt;$AK228))+1,"")</f>
        <v/>
      </c>
      <c r="AI228">
        <f>IF($C228="","",IF(OR($N228=TRUE(),$N228="TRUE"),1,0))</f>
        <v/>
      </c>
      <c r="AJ228">
        <f>IF($C228="","",IF($T228="Yes",1,0))</f>
        <v/>
      </c>
      <c r="AK228">
        <f>IF($AG228=1,IFERROR(IF(VALUE($C228)&lt;100000000,VALUE($C228),1000000000),IFERROR(IF(VALUE(MID($C228,2,20))&lt;100000000,VALUE(MID($C228,2,20)),1000000000),1000000000))+ROW()/100000,"")</f>
        <v/>
      </c>
    </row>
    <row r="229">
      <c r="D229" s="11" t="n"/>
      <c r="K229" s="7">
        <f>IF($C229="","",J229*W229/100)</f>
        <v/>
      </c>
      <c r="Q229" s="7" t="n"/>
      <c r="R229" s="7" t="n"/>
      <c r="U229">
        <f>IF($C229="","",IF($AJ229=1,0,IF($AI229=1,Settings!$C$6,Settings!$C$7))*100)</f>
        <v/>
      </c>
      <c r="V229" s="7">
        <f>IF($C229="","",R229*U229/100)</f>
        <v/>
      </c>
      <c r="W229" s="7">
        <f>IF($C229="","",R229-V229)</f>
        <v/>
      </c>
      <c r="X229" s="7">
        <f>IF($C229="","",W229-K229)</f>
        <v/>
      </c>
      <c r="AB229" s="7" t="n"/>
      <c r="AE229" s="11" t="n"/>
      <c r="AG229">
        <f>IF($C229="","",IF(COUNTIF($C$2:$C229,$C229)=1,1,0))</f>
        <v/>
      </c>
      <c r="AH229">
        <f>IF($AG229=1,SUMPRODUCT(--($AK$2:$AK$6001&lt;$AK229))+1,"")</f>
        <v/>
      </c>
      <c r="AI229">
        <f>IF($C229="","",IF(OR($N229=TRUE(),$N229="TRUE"),1,0))</f>
        <v/>
      </c>
      <c r="AJ229">
        <f>IF($C229="","",IF($T229="Yes",1,0))</f>
        <v/>
      </c>
      <c r="AK229">
        <f>IF($AG229=1,IFERROR(IF(VALUE($C229)&lt;100000000,VALUE($C229),1000000000),IFERROR(IF(VALUE(MID($C229,2,20))&lt;100000000,VALUE(MID($C229,2,20)),1000000000),1000000000))+ROW()/100000,"")</f>
        <v/>
      </c>
    </row>
    <row r="230">
      <c r="D230" s="11" t="n"/>
      <c r="K230" s="7">
        <f>IF($C230="","",J230*W230/100)</f>
        <v/>
      </c>
      <c r="Q230" s="7" t="n"/>
      <c r="R230" s="7" t="n"/>
      <c r="U230">
        <f>IF($C230="","",IF($AJ230=1,0,IF($AI230=1,Settings!$C$6,Settings!$C$7))*100)</f>
        <v/>
      </c>
      <c r="V230" s="7">
        <f>IF($C230="","",R230*U230/100)</f>
        <v/>
      </c>
      <c r="W230" s="7">
        <f>IF($C230="","",R230-V230)</f>
        <v/>
      </c>
      <c r="X230" s="7">
        <f>IF($C230="","",W230-K230)</f>
        <v/>
      </c>
      <c r="AB230" s="7" t="n"/>
      <c r="AE230" s="11" t="n"/>
      <c r="AG230">
        <f>IF($C230="","",IF(COUNTIF($C$2:$C230,$C230)=1,1,0))</f>
        <v/>
      </c>
      <c r="AH230">
        <f>IF($AG230=1,SUMPRODUCT(--($AK$2:$AK$6001&lt;$AK230))+1,"")</f>
        <v/>
      </c>
      <c r="AI230">
        <f>IF($C230="","",IF(OR($N230=TRUE(),$N230="TRUE"),1,0))</f>
        <v/>
      </c>
      <c r="AJ230">
        <f>IF($C230="","",IF($T230="Yes",1,0))</f>
        <v/>
      </c>
      <c r="AK230">
        <f>IF($AG230=1,IFERROR(IF(VALUE($C230)&lt;100000000,VALUE($C230),1000000000),IFERROR(IF(VALUE(MID($C230,2,20))&lt;100000000,VALUE(MID($C230,2,20)),1000000000),1000000000))+ROW()/100000,"")</f>
        <v/>
      </c>
    </row>
    <row r="231">
      <c r="D231" s="11" t="n"/>
      <c r="K231" s="7">
        <f>IF($C231="","",J231*W231/100)</f>
        <v/>
      </c>
      <c r="Q231" s="7" t="n"/>
      <c r="R231" s="7" t="n"/>
      <c r="U231">
        <f>IF($C231="","",IF($AJ231=1,0,IF($AI231=1,Settings!$C$6,Settings!$C$7))*100)</f>
        <v/>
      </c>
      <c r="V231" s="7">
        <f>IF($C231="","",R231*U231/100)</f>
        <v/>
      </c>
      <c r="W231" s="7">
        <f>IF($C231="","",R231-V231)</f>
        <v/>
      </c>
      <c r="X231" s="7">
        <f>IF($C231="","",W231-K231)</f>
        <v/>
      </c>
      <c r="AB231" s="7" t="n"/>
      <c r="AE231" s="11" t="n"/>
      <c r="AG231">
        <f>IF($C231="","",IF(COUNTIF($C$2:$C231,$C231)=1,1,0))</f>
        <v/>
      </c>
      <c r="AH231">
        <f>IF($AG231=1,SUMPRODUCT(--($AK$2:$AK$6001&lt;$AK231))+1,"")</f>
        <v/>
      </c>
      <c r="AI231">
        <f>IF($C231="","",IF(OR($N231=TRUE(),$N231="TRUE"),1,0))</f>
        <v/>
      </c>
      <c r="AJ231">
        <f>IF($C231="","",IF($T231="Yes",1,0))</f>
        <v/>
      </c>
      <c r="AK231">
        <f>IF($AG231=1,IFERROR(IF(VALUE($C231)&lt;100000000,VALUE($C231),1000000000),IFERROR(IF(VALUE(MID($C231,2,20))&lt;100000000,VALUE(MID($C231,2,20)),1000000000),1000000000))+ROW()/100000,"")</f>
        <v/>
      </c>
    </row>
    <row r="232">
      <c r="D232" s="11" t="n"/>
      <c r="K232" s="7">
        <f>IF($C232="","",J232*W232/100)</f>
        <v/>
      </c>
      <c r="Q232" s="7" t="n"/>
      <c r="R232" s="7" t="n"/>
      <c r="U232">
        <f>IF($C232="","",IF($AJ232=1,0,IF($AI232=1,Settings!$C$6,Settings!$C$7))*100)</f>
        <v/>
      </c>
      <c r="V232" s="7">
        <f>IF($C232="","",R232*U232/100)</f>
        <v/>
      </c>
      <c r="W232" s="7">
        <f>IF($C232="","",R232-V232)</f>
        <v/>
      </c>
      <c r="X232" s="7">
        <f>IF($C232="","",W232-K232)</f>
        <v/>
      </c>
      <c r="AB232" s="7" t="n"/>
      <c r="AE232" s="11" t="n"/>
      <c r="AG232">
        <f>IF($C232="","",IF(COUNTIF($C$2:$C232,$C232)=1,1,0))</f>
        <v/>
      </c>
      <c r="AH232">
        <f>IF($AG232=1,SUMPRODUCT(--($AK$2:$AK$6001&lt;$AK232))+1,"")</f>
        <v/>
      </c>
      <c r="AI232">
        <f>IF($C232="","",IF(OR($N232=TRUE(),$N232="TRUE"),1,0))</f>
        <v/>
      </c>
      <c r="AJ232">
        <f>IF($C232="","",IF($T232="Yes",1,0))</f>
        <v/>
      </c>
      <c r="AK232">
        <f>IF($AG232=1,IFERROR(IF(VALUE($C232)&lt;100000000,VALUE($C232),1000000000),IFERROR(IF(VALUE(MID($C232,2,20))&lt;100000000,VALUE(MID($C232,2,20)),1000000000),1000000000))+ROW()/100000,"")</f>
        <v/>
      </c>
    </row>
    <row r="233">
      <c r="D233" s="11" t="n"/>
      <c r="K233" s="7">
        <f>IF($C233="","",J233*W233/100)</f>
        <v/>
      </c>
      <c r="Q233" s="7" t="n"/>
      <c r="R233" s="7" t="n"/>
      <c r="U233">
        <f>IF($C233="","",IF($AJ233=1,0,IF($AI233=1,Settings!$C$6,Settings!$C$7))*100)</f>
        <v/>
      </c>
      <c r="V233" s="7">
        <f>IF($C233="","",R233*U233/100)</f>
        <v/>
      </c>
      <c r="W233" s="7">
        <f>IF($C233="","",R233-V233)</f>
        <v/>
      </c>
      <c r="X233" s="7">
        <f>IF($C233="","",W233-K233)</f>
        <v/>
      </c>
      <c r="AB233" s="7" t="n"/>
      <c r="AE233" s="11" t="n"/>
      <c r="AG233">
        <f>IF($C233="","",IF(COUNTIF($C$2:$C233,$C233)=1,1,0))</f>
        <v/>
      </c>
      <c r="AH233">
        <f>IF($AG233=1,SUMPRODUCT(--($AK$2:$AK$6001&lt;$AK233))+1,"")</f>
        <v/>
      </c>
      <c r="AI233">
        <f>IF($C233="","",IF(OR($N233=TRUE(),$N233="TRUE"),1,0))</f>
        <v/>
      </c>
      <c r="AJ233">
        <f>IF($C233="","",IF($T233="Yes",1,0))</f>
        <v/>
      </c>
      <c r="AK233">
        <f>IF($AG233=1,IFERROR(IF(VALUE($C233)&lt;100000000,VALUE($C233),1000000000),IFERROR(IF(VALUE(MID($C233,2,20))&lt;100000000,VALUE(MID($C233,2,20)),1000000000),1000000000))+ROW()/100000,"")</f>
        <v/>
      </c>
    </row>
    <row r="234">
      <c r="D234" s="11" t="n"/>
      <c r="K234" s="7">
        <f>IF($C234="","",J234*W234/100)</f>
        <v/>
      </c>
      <c r="Q234" s="7" t="n"/>
      <c r="R234" s="7" t="n"/>
      <c r="U234">
        <f>IF($C234="","",IF($AJ234=1,0,IF($AI234=1,Settings!$C$6,Settings!$C$7))*100)</f>
        <v/>
      </c>
      <c r="V234" s="7">
        <f>IF($C234="","",R234*U234/100)</f>
        <v/>
      </c>
      <c r="W234" s="7">
        <f>IF($C234="","",R234-V234)</f>
        <v/>
      </c>
      <c r="X234" s="7">
        <f>IF($C234="","",W234-K234)</f>
        <v/>
      </c>
      <c r="AB234" s="7" t="n"/>
      <c r="AE234" s="11" t="n"/>
      <c r="AG234">
        <f>IF($C234="","",IF(COUNTIF($C$2:$C234,$C234)=1,1,0))</f>
        <v/>
      </c>
      <c r="AH234">
        <f>IF($AG234=1,SUMPRODUCT(--($AK$2:$AK$6001&lt;$AK234))+1,"")</f>
        <v/>
      </c>
      <c r="AI234">
        <f>IF($C234="","",IF(OR($N234=TRUE(),$N234="TRUE"),1,0))</f>
        <v/>
      </c>
      <c r="AJ234">
        <f>IF($C234="","",IF($T234="Yes",1,0))</f>
        <v/>
      </c>
      <c r="AK234">
        <f>IF($AG234=1,IFERROR(IF(VALUE($C234)&lt;100000000,VALUE($C234),1000000000),IFERROR(IF(VALUE(MID($C234,2,20))&lt;100000000,VALUE(MID($C234,2,20)),1000000000),1000000000))+ROW()/100000,"")</f>
        <v/>
      </c>
    </row>
    <row r="235">
      <c r="D235" s="11" t="n"/>
      <c r="K235" s="7">
        <f>IF($C235="","",J235*W235/100)</f>
        <v/>
      </c>
      <c r="Q235" s="7" t="n"/>
      <c r="R235" s="7" t="n"/>
      <c r="U235">
        <f>IF($C235="","",IF($AJ235=1,0,IF($AI235=1,Settings!$C$6,Settings!$C$7))*100)</f>
        <v/>
      </c>
      <c r="V235" s="7">
        <f>IF($C235="","",R235*U235/100)</f>
        <v/>
      </c>
      <c r="W235" s="7">
        <f>IF($C235="","",R235-V235)</f>
        <v/>
      </c>
      <c r="X235" s="7">
        <f>IF($C235="","",W235-K235)</f>
        <v/>
      </c>
      <c r="AB235" s="7" t="n"/>
      <c r="AE235" s="11" t="n"/>
      <c r="AG235">
        <f>IF($C235="","",IF(COUNTIF($C$2:$C235,$C235)=1,1,0))</f>
        <v/>
      </c>
      <c r="AH235">
        <f>IF($AG235=1,SUMPRODUCT(--($AK$2:$AK$6001&lt;$AK235))+1,"")</f>
        <v/>
      </c>
      <c r="AI235">
        <f>IF($C235="","",IF(OR($N235=TRUE(),$N235="TRUE"),1,0))</f>
        <v/>
      </c>
      <c r="AJ235">
        <f>IF($C235="","",IF($T235="Yes",1,0))</f>
        <v/>
      </c>
      <c r="AK235">
        <f>IF($AG235=1,IFERROR(IF(VALUE($C235)&lt;100000000,VALUE($C235),1000000000),IFERROR(IF(VALUE(MID($C235,2,20))&lt;100000000,VALUE(MID($C235,2,20)),1000000000),1000000000))+ROW()/100000,"")</f>
        <v/>
      </c>
    </row>
    <row r="236">
      <c r="D236" s="11" t="n"/>
      <c r="K236" s="7">
        <f>IF($C236="","",J236*W236/100)</f>
        <v/>
      </c>
      <c r="Q236" s="7" t="n"/>
      <c r="R236" s="7" t="n"/>
      <c r="U236">
        <f>IF($C236="","",IF($AJ236=1,0,IF($AI236=1,Settings!$C$6,Settings!$C$7))*100)</f>
        <v/>
      </c>
      <c r="V236" s="7">
        <f>IF($C236="","",R236*U236/100)</f>
        <v/>
      </c>
      <c r="W236" s="7">
        <f>IF($C236="","",R236-V236)</f>
        <v/>
      </c>
      <c r="X236" s="7">
        <f>IF($C236="","",W236-K236)</f>
        <v/>
      </c>
      <c r="AB236" s="7" t="n"/>
      <c r="AE236" s="11" t="n"/>
      <c r="AG236">
        <f>IF($C236="","",IF(COUNTIF($C$2:$C236,$C236)=1,1,0))</f>
        <v/>
      </c>
      <c r="AH236">
        <f>IF($AG236=1,SUMPRODUCT(--($AK$2:$AK$6001&lt;$AK236))+1,"")</f>
        <v/>
      </c>
      <c r="AI236">
        <f>IF($C236="","",IF(OR($N236=TRUE(),$N236="TRUE"),1,0))</f>
        <v/>
      </c>
      <c r="AJ236">
        <f>IF($C236="","",IF($T236="Yes",1,0))</f>
        <v/>
      </c>
      <c r="AK236">
        <f>IF($AG236=1,IFERROR(IF(VALUE($C236)&lt;100000000,VALUE($C236),1000000000),IFERROR(IF(VALUE(MID($C236,2,20))&lt;100000000,VALUE(MID($C236,2,20)),1000000000),1000000000))+ROW()/100000,"")</f>
        <v/>
      </c>
    </row>
    <row r="237">
      <c r="D237" s="11" t="n"/>
      <c r="K237" s="7">
        <f>IF($C237="","",J237*W237/100)</f>
        <v/>
      </c>
      <c r="Q237" s="7" t="n"/>
      <c r="R237" s="7" t="n"/>
      <c r="U237">
        <f>IF($C237="","",IF($AJ237=1,0,IF($AI237=1,Settings!$C$6,Settings!$C$7))*100)</f>
        <v/>
      </c>
      <c r="V237" s="7">
        <f>IF($C237="","",R237*U237/100)</f>
        <v/>
      </c>
      <c r="W237" s="7">
        <f>IF($C237="","",R237-V237)</f>
        <v/>
      </c>
      <c r="X237" s="7">
        <f>IF($C237="","",W237-K237)</f>
        <v/>
      </c>
      <c r="AB237" s="7" t="n"/>
      <c r="AE237" s="11" t="n"/>
      <c r="AG237">
        <f>IF($C237="","",IF(COUNTIF($C$2:$C237,$C237)=1,1,0))</f>
        <v/>
      </c>
      <c r="AH237">
        <f>IF($AG237=1,SUMPRODUCT(--($AK$2:$AK$6001&lt;$AK237))+1,"")</f>
        <v/>
      </c>
      <c r="AI237">
        <f>IF($C237="","",IF(OR($N237=TRUE(),$N237="TRUE"),1,0))</f>
        <v/>
      </c>
      <c r="AJ237">
        <f>IF($C237="","",IF($T237="Yes",1,0))</f>
        <v/>
      </c>
      <c r="AK237">
        <f>IF($AG237=1,IFERROR(IF(VALUE($C237)&lt;100000000,VALUE($C237),1000000000),IFERROR(IF(VALUE(MID($C237,2,20))&lt;100000000,VALUE(MID($C237,2,20)),1000000000),1000000000))+ROW()/100000,"")</f>
        <v/>
      </c>
    </row>
    <row r="238">
      <c r="D238" s="11" t="n"/>
      <c r="K238" s="7">
        <f>IF($C238="","",J238*W238/100)</f>
        <v/>
      </c>
      <c r="Q238" s="7" t="n"/>
      <c r="R238" s="7" t="n"/>
      <c r="U238">
        <f>IF($C238="","",IF($AJ238=1,0,IF($AI238=1,Settings!$C$6,Settings!$C$7))*100)</f>
        <v/>
      </c>
      <c r="V238" s="7">
        <f>IF($C238="","",R238*U238/100)</f>
        <v/>
      </c>
      <c r="W238" s="7">
        <f>IF($C238="","",R238-V238)</f>
        <v/>
      </c>
      <c r="X238" s="7">
        <f>IF($C238="","",W238-K238)</f>
        <v/>
      </c>
      <c r="AB238" s="7" t="n"/>
      <c r="AE238" s="11" t="n"/>
      <c r="AG238">
        <f>IF($C238="","",IF(COUNTIF($C$2:$C238,$C238)=1,1,0))</f>
        <v/>
      </c>
      <c r="AH238">
        <f>IF($AG238=1,SUMPRODUCT(--($AK$2:$AK$6001&lt;$AK238))+1,"")</f>
        <v/>
      </c>
      <c r="AI238">
        <f>IF($C238="","",IF(OR($N238=TRUE(),$N238="TRUE"),1,0))</f>
        <v/>
      </c>
      <c r="AJ238">
        <f>IF($C238="","",IF($T238="Yes",1,0))</f>
        <v/>
      </c>
      <c r="AK238">
        <f>IF($AG238=1,IFERROR(IF(VALUE($C238)&lt;100000000,VALUE($C238),1000000000),IFERROR(IF(VALUE(MID($C238,2,20))&lt;100000000,VALUE(MID($C238,2,20)),1000000000),1000000000))+ROW()/100000,"")</f>
        <v/>
      </c>
    </row>
    <row r="239">
      <c r="D239" s="11" t="n"/>
      <c r="K239" s="7">
        <f>IF($C239="","",J239*W239/100)</f>
        <v/>
      </c>
      <c r="Q239" s="7" t="n"/>
      <c r="R239" s="7" t="n"/>
      <c r="U239">
        <f>IF($C239="","",IF($AJ239=1,0,IF($AI239=1,Settings!$C$6,Settings!$C$7))*100)</f>
        <v/>
      </c>
      <c r="V239" s="7">
        <f>IF($C239="","",R239*U239/100)</f>
        <v/>
      </c>
      <c r="W239" s="7">
        <f>IF($C239="","",R239-V239)</f>
        <v/>
      </c>
      <c r="X239" s="7">
        <f>IF($C239="","",W239-K239)</f>
        <v/>
      </c>
      <c r="AB239" s="7" t="n"/>
      <c r="AE239" s="11" t="n"/>
      <c r="AG239">
        <f>IF($C239="","",IF(COUNTIF($C$2:$C239,$C239)=1,1,0))</f>
        <v/>
      </c>
      <c r="AH239">
        <f>IF($AG239=1,SUMPRODUCT(--($AK$2:$AK$6001&lt;$AK239))+1,"")</f>
        <v/>
      </c>
      <c r="AI239">
        <f>IF($C239="","",IF(OR($N239=TRUE(),$N239="TRUE"),1,0))</f>
        <v/>
      </c>
      <c r="AJ239">
        <f>IF($C239="","",IF($T239="Yes",1,0))</f>
        <v/>
      </c>
      <c r="AK239">
        <f>IF($AG239=1,IFERROR(IF(VALUE($C239)&lt;100000000,VALUE($C239),1000000000),IFERROR(IF(VALUE(MID($C239,2,20))&lt;100000000,VALUE(MID($C239,2,20)),1000000000),1000000000))+ROW()/100000,"")</f>
        <v/>
      </c>
    </row>
    <row r="240">
      <c r="D240" s="11" t="n"/>
      <c r="K240" s="7">
        <f>IF($C240="","",J240*W240/100)</f>
        <v/>
      </c>
      <c r="Q240" s="7" t="n"/>
      <c r="R240" s="7" t="n"/>
      <c r="U240">
        <f>IF($C240="","",IF($AJ240=1,0,IF($AI240=1,Settings!$C$6,Settings!$C$7))*100)</f>
        <v/>
      </c>
      <c r="V240" s="7">
        <f>IF($C240="","",R240*U240/100)</f>
        <v/>
      </c>
      <c r="W240" s="7">
        <f>IF($C240="","",R240-V240)</f>
        <v/>
      </c>
      <c r="X240" s="7">
        <f>IF($C240="","",W240-K240)</f>
        <v/>
      </c>
      <c r="AB240" s="7" t="n"/>
      <c r="AE240" s="11" t="n"/>
      <c r="AG240">
        <f>IF($C240="","",IF(COUNTIF($C$2:$C240,$C240)=1,1,0))</f>
        <v/>
      </c>
      <c r="AH240">
        <f>IF($AG240=1,SUMPRODUCT(--($AK$2:$AK$6001&lt;$AK240))+1,"")</f>
        <v/>
      </c>
      <c r="AI240">
        <f>IF($C240="","",IF(OR($N240=TRUE(),$N240="TRUE"),1,0))</f>
        <v/>
      </c>
      <c r="AJ240">
        <f>IF($C240="","",IF($T240="Yes",1,0))</f>
        <v/>
      </c>
      <c r="AK240">
        <f>IF($AG240=1,IFERROR(IF(VALUE($C240)&lt;100000000,VALUE($C240),1000000000),IFERROR(IF(VALUE(MID($C240,2,20))&lt;100000000,VALUE(MID($C240,2,20)),1000000000),1000000000))+ROW()/100000,"")</f>
        <v/>
      </c>
    </row>
    <row r="241">
      <c r="D241" s="11" t="n"/>
      <c r="K241" s="7">
        <f>IF($C241="","",J241*W241/100)</f>
        <v/>
      </c>
      <c r="Q241" s="7" t="n"/>
      <c r="R241" s="7" t="n"/>
      <c r="U241">
        <f>IF($C241="","",IF($AJ241=1,0,IF($AI241=1,Settings!$C$6,Settings!$C$7))*100)</f>
        <v/>
      </c>
      <c r="V241" s="7">
        <f>IF($C241="","",R241*U241/100)</f>
        <v/>
      </c>
      <c r="W241" s="7">
        <f>IF($C241="","",R241-V241)</f>
        <v/>
      </c>
      <c r="X241" s="7">
        <f>IF($C241="","",W241-K241)</f>
        <v/>
      </c>
      <c r="AB241" s="7" t="n"/>
      <c r="AE241" s="11" t="n"/>
      <c r="AG241">
        <f>IF($C241="","",IF(COUNTIF($C$2:$C241,$C241)=1,1,0))</f>
        <v/>
      </c>
      <c r="AH241">
        <f>IF($AG241=1,SUMPRODUCT(--($AK$2:$AK$6001&lt;$AK241))+1,"")</f>
        <v/>
      </c>
      <c r="AI241">
        <f>IF($C241="","",IF(OR($N241=TRUE(),$N241="TRUE"),1,0))</f>
        <v/>
      </c>
      <c r="AJ241">
        <f>IF($C241="","",IF($T241="Yes",1,0))</f>
        <v/>
      </c>
      <c r="AK241">
        <f>IF($AG241=1,IFERROR(IF(VALUE($C241)&lt;100000000,VALUE($C241),1000000000),IFERROR(IF(VALUE(MID($C241,2,20))&lt;100000000,VALUE(MID($C241,2,20)),1000000000),1000000000))+ROW()/100000,"")</f>
        <v/>
      </c>
    </row>
    <row r="242">
      <c r="D242" s="11" t="n"/>
      <c r="K242" s="7">
        <f>IF($C242="","",J242*W242/100)</f>
        <v/>
      </c>
      <c r="Q242" s="7" t="n"/>
      <c r="R242" s="7" t="n"/>
      <c r="U242">
        <f>IF($C242="","",IF($AJ242=1,0,IF($AI242=1,Settings!$C$6,Settings!$C$7))*100)</f>
        <v/>
      </c>
      <c r="V242" s="7">
        <f>IF($C242="","",R242*U242/100)</f>
        <v/>
      </c>
      <c r="W242" s="7">
        <f>IF($C242="","",R242-V242)</f>
        <v/>
      </c>
      <c r="X242" s="7">
        <f>IF($C242="","",W242-K242)</f>
        <v/>
      </c>
      <c r="AB242" s="7" t="n"/>
      <c r="AE242" s="11" t="n"/>
      <c r="AG242">
        <f>IF($C242="","",IF(COUNTIF($C$2:$C242,$C242)=1,1,0))</f>
        <v/>
      </c>
      <c r="AH242">
        <f>IF($AG242=1,SUMPRODUCT(--($AK$2:$AK$6001&lt;$AK242))+1,"")</f>
        <v/>
      </c>
      <c r="AI242">
        <f>IF($C242="","",IF(OR($N242=TRUE(),$N242="TRUE"),1,0))</f>
        <v/>
      </c>
      <c r="AJ242">
        <f>IF($C242="","",IF($T242="Yes",1,0))</f>
        <v/>
      </c>
      <c r="AK242">
        <f>IF($AG242=1,IFERROR(IF(VALUE($C242)&lt;100000000,VALUE($C242),1000000000),IFERROR(IF(VALUE(MID($C242,2,20))&lt;100000000,VALUE(MID($C242,2,20)),1000000000),1000000000))+ROW()/100000,"")</f>
        <v/>
      </c>
    </row>
    <row r="243">
      <c r="D243" s="11" t="n"/>
      <c r="K243" s="7">
        <f>IF($C243="","",J243*W243/100)</f>
        <v/>
      </c>
      <c r="Q243" s="7" t="n"/>
      <c r="R243" s="7" t="n"/>
      <c r="U243">
        <f>IF($C243="","",IF($AJ243=1,0,IF($AI243=1,Settings!$C$6,Settings!$C$7))*100)</f>
        <v/>
      </c>
      <c r="V243" s="7">
        <f>IF($C243="","",R243*U243/100)</f>
        <v/>
      </c>
      <c r="W243" s="7">
        <f>IF($C243="","",R243-V243)</f>
        <v/>
      </c>
      <c r="X243" s="7">
        <f>IF($C243="","",W243-K243)</f>
        <v/>
      </c>
      <c r="AB243" s="7" t="n"/>
      <c r="AE243" s="11" t="n"/>
      <c r="AG243">
        <f>IF($C243="","",IF(COUNTIF($C$2:$C243,$C243)=1,1,0))</f>
        <v/>
      </c>
      <c r="AH243">
        <f>IF($AG243=1,SUMPRODUCT(--($AK$2:$AK$6001&lt;$AK243))+1,"")</f>
        <v/>
      </c>
      <c r="AI243">
        <f>IF($C243="","",IF(OR($N243=TRUE(),$N243="TRUE"),1,0))</f>
        <v/>
      </c>
      <c r="AJ243">
        <f>IF($C243="","",IF($T243="Yes",1,0))</f>
        <v/>
      </c>
      <c r="AK243">
        <f>IF($AG243=1,IFERROR(IF(VALUE($C243)&lt;100000000,VALUE($C243),1000000000),IFERROR(IF(VALUE(MID($C243,2,20))&lt;100000000,VALUE(MID($C243,2,20)),1000000000),1000000000))+ROW()/100000,"")</f>
        <v/>
      </c>
    </row>
    <row r="244">
      <c r="D244" s="11" t="n"/>
      <c r="K244" s="7">
        <f>IF($C244="","",J244*W244/100)</f>
        <v/>
      </c>
      <c r="Q244" s="7" t="n"/>
      <c r="R244" s="7" t="n"/>
      <c r="U244">
        <f>IF($C244="","",IF($AJ244=1,0,IF($AI244=1,Settings!$C$6,Settings!$C$7))*100)</f>
        <v/>
      </c>
      <c r="V244" s="7">
        <f>IF($C244="","",R244*U244/100)</f>
        <v/>
      </c>
      <c r="W244" s="7">
        <f>IF($C244="","",R244-V244)</f>
        <v/>
      </c>
      <c r="X244" s="7">
        <f>IF($C244="","",W244-K244)</f>
        <v/>
      </c>
      <c r="AB244" s="7" t="n"/>
      <c r="AE244" s="11" t="n"/>
      <c r="AG244">
        <f>IF($C244="","",IF(COUNTIF($C$2:$C244,$C244)=1,1,0))</f>
        <v/>
      </c>
      <c r="AH244">
        <f>IF($AG244=1,SUMPRODUCT(--($AK$2:$AK$6001&lt;$AK244))+1,"")</f>
        <v/>
      </c>
      <c r="AI244">
        <f>IF($C244="","",IF(OR($N244=TRUE(),$N244="TRUE"),1,0))</f>
        <v/>
      </c>
      <c r="AJ244">
        <f>IF($C244="","",IF($T244="Yes",1,0))</f>
        <v/>
      </c>
      <c r="AK244">
        <f>IF($AG244=1,IFERROR(IF(VALUE($C244)&lt;100000000,VALUE($C244),1000000000),IFERROR(IF(VALUE(MID($C244,2,20))&lt;100000000,VALUE(MID($C244,2,20)),1000000000),1000000000))+ROW()/100000,"")</f>
        <v/>
      </c>
    </row>
    <row r="245">
      <c r="D245" s="11" t="n"/>
      <c r="K245" s="7">
        <f>IF($C245="","",J245*W245/100)</f>
        <v/>
      </c>
      <c r="Q245" s="7" t="n"/>
      <c r="R245" s="7" t="n"/>
      <c r="U245">
        <f>IF($C245="","",IF($AJ245=1,0,IF($AI245=1,Settings!$C$6,Settings!$C$7))*100)</f>
        <v/>
      </c>
      <c r="V245" s="7">
        <f>IF($C245="","",R245*U245/100)</f>
        <v/>
      </c>
      <c r="W245" s="7">
        <f>IF($C245="","",R245-V245)</f>
        <v/>
      </c>
      <c r="X245" s="7">
        <f>IF($C245="","",W245-K245)</f>
        <v/>
      </c>
      <c r="AB245" s="7" t="n"/>
      <c r="AE245" s="11" t="n"/>
      <c r="AG245">
        <f>IF($C245="","",IF(COUNTIF($C$2:$C245,$C245)=1,1,0))</f>
        <v/>
      </c>
      <c r="AH245">
        <f>IF($AG245=1,SUMPRODUCT(--($AK$2:$AK$6001&lt;$AK245))+1,"")</f>
        <v/>
      </c>
      <c r="AI245">
        <f>IF($C245="","",IF(OR($N245=TRUE(),$N245="TRUE"),1,0))</f>
        <v/>
      </c>
      <c r="AJ245">
        <f>IF($C245="","",IF($T245="Yes",1,0))</f>
        <v/>
      </c>
      <c r="AK245">
        <f>IF($AG245=1,IFERROR(IF(VALUE($C245)&lt;100000000,VALUE($C245),1000000000),IFERROR(IF(VALUE(MID($C245,2,20))&lt;100000000,VALUE(MID($C245,2,20)),1000000000),1000000000))+ROW()/100000,"")</f>
        <v/>
      </c>
    </row>
    <row r="246">
      <c r="D246" s="11" t="n"/>
      <c r="K246" s="7">
        <f>IF($C246="","",J246*W246/100)</f>
        <v/>
      </c>
      <c r="Q246" s="7" t="n"/>
      <c r="R246" s="7" t="n"/>
      <c r="U246">
        <f>IF($C246="","",IF($AJ246=1,0,IF($AI246=1,Settings!$C$6,Settings!$C$7))*100)</f>
        <v/>
      </c>
      <c r="V246" s="7">
        <f>IF($C246="","",R246*U246/100)</f>
        <v/>
      </c>
      <c r="W246" s="7">
        <f>IF($C246="","",R246-V246)</f>
        <v/>
      </c>
      <c r="X246" s="7">
        <f>IF($C246="","",W246-K246)</f>
        <v/>
      </c>
      <c r="AB246" s="7" t="n"/>
      <c r="AE246" s="11" t="n"/>
      <c r="AG246">
        <f>IF($C246="","",IF(COUNTIF($C$2:$C246,$C246)=1,1,0))</f>
        <v/>
      </c>
      <c r="AH246">
        <f>IF($AG246=1,SUMPRODUCT(--($AK$2:$AK$6001&lt;$AK246))+1,"")</f>
        <v/>
      </c>
      <c r="AI246">
        <f>IF($C246="","",IF(OR($N246=TRUE(),$N246="TRUE"),1,0))</f>
        <v/>
      </c>
      <c r="AJ246">
        <f>IF($C246="","",IF($T246="Yes",1,0))</f>
        <v/>
      </c>
      <c r="AK246">
        <f>IF($AG246=1,IFERROR(IF(VALUE($C246)&lt;100000000,VALUE($C246),1000000000),IFERROR(IF(VALUE(MID($C246,2,20))&lt;100000000,VALUE(MID($C246,2,20)),1000000000),1000000000))+ROW()/100000,"")</f>
        <v/>
      </c>
    </row>
    <row r="247">
      <c r="D247" s="11" t="n"/>
      <c r="K247" s="7">
        <f>IF($C247="","",J247*W247/100)</f>
        <v/>
      </c>
      <c r="Q247" s="7" t="n"/>
      <c r="R247" s="7" t="n"/>
      <c r="U247">
        <f>IF($C247="","",IF($AJ247=1,0,IF($AI247=1,Settings!$C$6,Settings!$C$7))*100)</f>
        <v/>
      </c>
      <c r="V247" s="7">
        <f>IF($C247="","",R247*U247/100)</f>
        <v/>
      </c>
      <c r="W247" s="7">
        <f>IF($C247="","",R247-V247)</f>
        <v/>
      </c>
      <c r="X247" s="7">
        <f>IF($C247="","",W247-K247)</f>
        <v/>
      </c>
      <c r="AB247" s="7" t="n"/>
      <c r="AE247" s="11" t="n"/>
      <c r="AG247">
        <f>IF($C247="","",IF(COUNTIF($C$2:$C247,$C247)=1,1,0))</f>
        <v/>
      </c>
      <c r="AH247">
        <f>IF($AG247=1,SUMPRODUCT(--($AK$2:$AK$6001&lt;$AK247))+1,"")</f>
        <v/>
      </c>
      <c r="AI247">
        <f>IF($C247="","",IF(OR($N247=TRUE(),$N247="TRUE"),1,0))</f>
        <v/>
      </c>
      <c r="AJ247">
        <f>IF($C247="","",IF($T247="Yes",1,0))</f>
        <v/>
      </c>
      <c r="AK247">
        <f>IF($AG247=1,IFERROR(IF(VALUE($C247)&lt;100000000,VALUE($C247),1000000000),IFERROR(IF(VALUE(MID($C247,2,20))&lt;100000000,VALUE(MID($C247,2,20)),1000000000),1000000000))+ROW()/100000,"")</f>
        <v/>
      </c>
    </row>
    <row r="248">
      <c r="D248" s="11" t="n"/>
      <c r="K248" s="7">
        <f>IF($C248="","",J248*W248/100)</f>
        <v/>
      </c>
      <c r="Q248" s="7" t="n"/>
      <c r="R248" s="7" t="n"/>
      <c r="U248">
        <f>IF($C248="","",IF($AJ248=1,0,IF($AI248=1,Settings!$C$6,Settings!$C$7))*100)</f>
        <v/>
      </c>
      <c r="V248" s="7">
        <f>IF($C248="","",R248*U248/100)</f>
        <v/>
      </c>
      <c r="W248" s="7">
        <f>IF($C248="","",R248-V248)</f>
        <v/>
      </c>
      <c r="X248" s="7">
        <f>IF($C248="","",W248-K248)</f>
        <v/>
      </c>
      <c r="AB248" s="7" t="n"/>
      <c r="AE248" s="11" t="n"/>
      <c r="AG248">
        <f>IF($C248="","",IF(COUNTIF($C$2:$C248,$C248)=1,1,0))</f>
        <v/>
      </c>
      <c r="AH248">
        <f>IF($AG248=1,SUMPRODUCT(--($AK$2:$AK$6001&lt;$AK248))+1,"")</f>
        <v/>
      </c>
      <c r="AI248">
        <f>IF($C248="","",IF(OR($N248=TRUE(),$N248="TRUE"),1,0))</f>
        <v/>
      </c>
      <c r="AJ248">
        <f>IF($C248="","",IF($T248="Yes",1,0))</f>
        <v/>
      </c>
      <c r="AK248">
        <f>IF($AG248=1,IFERROR(IF(VALUE($C248)&lt;100000000,VALUE($C248),1000000000),IFERROR(IF(VALUE(MID($C248,2,20))&lt;100000000,VALUE(MID($C248,2,20)),1000000000),1000000000))+ROW()/100000,"")</f>
        <v/>
      </c>
    </row>
    <row r="249">
      <c r="D249" s="11" t="n"/>
      <c r="K249" s="7">
        <f>IF($C249="","",J249*W249/100)</f>
        <v/>
      </c>
      <c r="Q249" s="7" t="n"/>
      <c r="R249" s="7" t="n"/>
      <c r="U249">
        <f>IF($C249="","",IF($AJ249=1,0,IF($AI249=1,Settings!$C$6,Settings!$C$7))*100)</f>
        <v/>
      </c>
      <c r="V249" s="7">
        <f>IF($C249="","",R249*U249/100)</f>
        <v/>
      </c>
      <c r="W249" s="7">
        <f>IF($C249="","",R249-V249)</f>
        <v/>
      </c>
      <c r="X249" s="7">
        <f>IF($C249="","",W249-K249)</f>
        <v/>
      </c>
      <c r="AB249" s="7" t="n"/>
      <c r="AE249" s="11" t="n"/>
      <c r="AG249">
        <f>IF($C249="","",IF(COUNTIF($C$2:$C249,$C249)=1,1,0))</f>
        <v/>
      </c>
      <c r="AH249">
        <f>IF($AG249=1,SUMPRODUCT(--($AK$2:$AK$6001&lt;$AK249))+1,"")</f>
        <v/>
      </c>
      <c r="AI249">
        <f>IF($C249="","",IF(OR($N249=TRUE(),$N249="TRUE"),1,0))</f>
        <v/>
      </c>
      <c r="AJ249">
        <f>IF($C249="","",IF($T249="Yes",1,0))</f>
        <v/>
      </c>
      <c r="AK249">
        <f>IF($AG249=1,IFERROR(IF(VALUE($C249)&lt;100000000,VALUE($C249),1000000000),IFERROR(IF(VALUE(MID($C249,2,20))&lt;100000000,VALUE(MID($C249,2,20)),1000000000),1000000000))+ROW()/100000,"")</f>
        <v/>
      </c>
    </row>
    <row r="250">
      <c r="D250" s="11" t="n"/>
      <c r="K250" s="7">
        <f>IF($C250="","",J250*W250/100)</f>
        <v/>
      </c>
      <c r="Q250" s="7" t="n"/>
      <c r="R250" s="7" t="n"/>
      <c r="U250">
        <f>IF($C250="","",IF($AJ250=1,0,IF($AI250=1,Settings!$C$6,Settings!$C$7))*100)</f>
        <v/>
      </c>
      <c r="V250" s="7">
        <f>IF($C250="","",R250*U250/100)</f>
        <v/>
      </c>
      <c r="W250" s="7">
        <f>IF($C250="","",R250-V250)</f>
        <v/>
      </c>
      <c r="X250" s="7">
        <f>IF($C250="","",W250-K250)</f>
        <v/>
      </c>
      <c r="AB250" s="7" t="n"/>
      <c r="AE250" s="11" t="n"/>
      <c r="AG250">
        <f>IF($C250="","",IF(COUNTIF($C$2:$C250,$C250)=1,1,0))</f>
        <v/>
      </c>
      <c r="AH250">
        <f>IF($AG250=1,SUMPRODUCT(--($AK$2:$AK$6001&lt;$AK250))+1,"")</f>
        <v/>
      </c>
      <c r="AI250">
        <f>IF($C250="","",IF(OR($N250=TRUE(),$N250="TRUE"),1,0))</f>
        <v/>
      </c>
      <c r="AJ250">
        <f>IF($C250="","",IF($T250="Yes",1,0))</f>
        <v/>
      </c>
      <c r="AK250">
        <f>IF($AG250=1,IFERROR(IF(VALUE($C250)&lt;100000000,VALUE($C250),1000000000),IFERROR(IF(VALUE(MID($C250,2,20))&lt;100000000,VALUE(MID($C250,2,20)),1000000000),1000000000))+ROW()/100000,"")</f>
        <v/>
      </c>
    </row>
    <row r="251">
      <c r="D251" s="11" t="n"/>
      <c r="K251" s="7">
        <f>IF($C251="","",J251*W251/100)</f>
        <v/>
      </c>
      <c r="Q251" s="7" t="n"/>
      <c r="R251" s="7" t="n"/>
      <c r="U251">
        <f>IF($C251="","",IF($AJ251=1,0,IF($AI251=1,Settings!$C$6,Settings!$C$7))*100)</f>
        <v/>
      </c>
      <c r="V251" s="7">
        <f>IF($C251="","",R251*U251/100)</f>
        <v/>
      </c>
      <c r="W251" s="7">
        <f>IF($C251="","",R251-V251)</f>
        <v/>
      </c>
      <c r="X251" s="7">
        <f>IF($C251="","",W251-K251)</f>
        <v/>
      </c>
      <c r="AB251" s="7" t="n"/>
      <c r="AE251" s="11" t="n"/>
      <c r="AG251">
        <f>IF($C251="","",IF(COUNTIF($C$2:$C251,$C251)=1,1,0))</f>
        <v/>
      </c>
      <c r="AH251">
        <f>IF($AG251=1,SUMPRODUCT(--($AK$2:$AK$6001&lt;$AK251))+1,"")</f>
        <v/>
      </c>
      <c r="AI251">
        <f>IF($C251="","",IF(OR($N251=TRUE(),$N251="TRUE"),1,0))</f>
        <v/>
      </c>
      <c r="AJ251">
        <f>IF($C251="","",IF($T251="Yes",1,0))</f>
        <v/>
      </c>
      <c r="AK251">
        <f>IF($AG251=1,IFERROR(IF(VALUE($C251)&lt;100000000,VALUE($C251),1000000000),IFERROR(IF(VALUE(MID($C251,2,20))&lt;100000000,VALUE(MID($C251,2,20)),1000000000),1000000000))+ROW()/100000,"")</f>
        <v/>
      </c>
    </row>
    <row r="252">
      <c r="D252" s="11" t="n"/>
      <c r="K252" s="7">
        <f>IF($C252="","",J252*W252/100)</f>
        <v/>
      </c>
      <c r="Q252" s="7" t="n"/>
      <c r="R252" s="7" t="n"/>
      <c r="U252">
        <f>IF($C252="","",IF($AJ252=1,0,IF($AI252=1,Settings!$C$6,Settings!$C$7))*100)</f>
        <v/>
      </c>
      <c r="V252" s="7">
        <f>IF($C252="","",R252*U252/100)</f>
        <v/>
      </c>
      <c r="W252" s="7">
        <f>IF($C252="","",R252-V252)</f>
        <v/>
      </c>
      <c r="X252" s="7">
        <f>IF($C252="","",W252-K252)</f>
        <v/>
      </c>
      <c r="AB252" s="7" t="n"/>
      <c r="AE252" s="11" t="n"/>
      <c r="AG252">
        <f>IF($C252="","",IF(COUNTIF($C$2:$C252,$C252)=1,1,0))</f>
        <v/>
      </c>
      <c r="AH252">
        <f>IF($AG252=1,SUMPRODUCT(--($AK$2:$AK$6001&lt;$AK252))+1,"")</f>
        <v/>
      </c>
      <c r="AI252">
        <f>IF($C252="","",IF(OR($N252=TRUE(),$N252="TRUE"),1,0))</f>
        <v/>
      </c>
      <c r="AJ252">
        <f>IF($C252="","",IF($T252="Yes",1,0))</f>
        <v/>
      </c>
      <c r="AK252">
        <f>IF($AG252=1,IFERROR(IF(VALUE($C252)&lt;100000000,VALUE($C252),1000000000),IFERROR(IF(VALUE(MID($C252,2,20))&lt;100000000,VALUE(MID($C252,2,20)),1000000000),1000000000))+ROW()/100000,"")</f>
        <v/>
      </c>
    </row>
    <row r="253">
      <c r="D253" s="11" t="n"/>
      <c r="K253" s="7">
        <f>IF($C253="","",J253*W253/100)</f>
        <v/>
      </c>
      <c r="Q253" s="7" t="n"/>
      <c r="R253" s="7" t="n"/>
      <c r="U253">
        <f>IF($C253="","",IF($AJ253=1,0,IF($AI253=1,Settings!$C$6,Settings!$C$7))*100)</f>
        <v/>
      </c>
      <c r="V253" s="7">
        <f>IF($C253="","",R253*U253/100)</f>
        <v/>
      </c>
      <c r="W253" s="7">
        <f>IF($C253="","",R253-V253)</f>
        <v/>
      </c>
      <c r="X253" s="7">
        <f>IF($C253="","",W253-K253)</f>
        <v/>
      </c>
      <c r="AB253" s="7" t="n"/>
      <c r="AE253" s="11" t="n"/>
      <c r="AG253">
        <f>IF($C253="","",IF(COUNTIF($C$2:$C253,$C253)=1,1,0))</f>
        <v/>
      </c>
      <c r="AH253">
        <f>IF($AG253=1,SUMPRODUCT(--($AK$2:$AK$6001&lt;$AK253))+1,"")</f>
        <v/>
      </c>
      <c r="AI253">
        <f>IF($C253="","",IF(OR($N253=TRUE(),$N253="TRUE"),1,0))</f>
        <v/>
      </c>
      <c r="AJ253">
        <f>IF($C253="","",IF($T253="Yes",1,0))</f>
        <v/>
      </c>
      <c r="AK253">
        <f>IF($AG253=1,IFERROR(IF(VALUE($C253)&lt;100000000,VALUE($C253),1000000000),IFERROR(IF(VALUE(MID($C253,2,20))&lt;100000000,VALUE(MID($C253,2,20)),1000000000),1000000000))+ROW()/100000,"")</f>
        <v/>
      </c>
    </row>
    <row r="254">
      <c r="D254" s="11" t="n"/>
      <c r="K254" s="7">
        <f>IF($C254="","",J254*W254/100)</f>
        <v/>
      </c>
      <c r="Q254" s="7" t="n"/>
      <c r="R254" s="7" t="n"/>
      <c r="U254">
        <f>IF($C254="","",IF($AJ254=1,0,IF($AI254=1,Settings!$C$6,Settings!$C$7))*100)</f>
        <v/>
      </c>
      <c r="V254" s="7">
        <f>IF($C254="","",R254*U254/100)</f>
        <v/>
      </c>
      <c r="W254" s="7">
        <f>IF($C254="","",R254-V254)</f>
        <v/>
      </c>
      <c r="X254" s="7">
        <f>IF($C254="","",W254-K254)</f>
        <v/>
      </c>
      <c r="AB254" s="7" t="n"/>
      <c r="AE254" s="11" t="n"/>
      <c r="AG254">
        <f>IF($C254="","",IF(COUNTIF($C$2:$C254,$C254)=1,1,0))</f>
        <v/>
      </c>
      <c r="AH254">
        <f>IF($AG254=1,SUMPRODUCT(--($AK$2:$AK$6001&lt;$AK254))+1,"")</f>
        <v/>
      </c>
      <c r="AI254">
        <f>IF($C254="","",IF(OR($N254=TRUE(),$N254="TRUE"),1,0))</f>
        <v/>
      </c>
      <c r="AJ254">
        <f>IF($C254="","",IF($T254="Yes",1,0))</f>
        <v/>
      </c>
      <c r="AK254">
        <f>IF($AG254=1,IFERROR(IF(VALUE($C254)&lt;100000000,VALUE($C254),1000000000),IFERROR(IF(VALUE(MID($C254,2,20))&lt;100000000,VALUE(MID($C254,2,20)),1000000000),1000000000))+ROW()/100000,"")</f>
        <v/>
      </c>
    </row>
    <row r="255">
      <c r="D255" s="11" t="n"/>
      <c r="K255" s="7">
        <f>IF($C255="","",J255*W255/100)</f>
        <v/>
      </c>
      <c r="Q255" s="7" t="n"/>
      <c r="R255" s="7" t="n"/>
      <c r="U255">
        <f>IF($C255="","",IF($AJ255=1,0,IF($AI255=1,Settings!$C$6,Settings!$C$7))*100)</f>
        <v/>
      </c>
      <c r="V255" s="7">
        <f>IF($C255="","",R255*U255/100)</f>
        <v/>
      </c>
      <c r="W255" s="7">
        <f>IF($C255="","",R255-V255)</f>
        <v/>
      </c>
      <c r="X255" s="7">
        <f>IF($C255="","",W255-K255)</f>
        <v/>
      </c>
      <c r="AB255" s="7" t="n"/>
      <c r="AE255" s="11" t="n"/>
      <c r="AG255">
        <f>IF($C255="","",IF(COUNTIF($C$2:$C255,$C255)=1,1,0))</f>
        <v/>
      </c>
      <c r="AH255">
        <f>IF($AG255=1,SUMPRODUCT(--($AK$2:$AK$6001&lt;$AK255))+1,"")</f>
        <v/>
      </c>
      <c r="AI255">
        <f>IF($C255="","",IF(OR($N255=TRUE(),$N255="TRUE"),1,0))</f>
        <v/>
      </c>
      <c r="AJ255">
        <f>IF($C255="","",IF($T255="Yes",1,0))</f>
        <v/>
      </c>
      <c r="AK255">
        <f>IF($AG255=1,IFERROR(IF(VALUE($C255)&lt;100000000,VALUE($C255),1000000000),IFERROR(IF(VALUE(MID($C255,2,20))&lt;100000000,VALUE(MID($C255,2,20)),1000000000),1000000000))+ROW()/100000,"")</f>
        <v/>
      </c>
    </row>
    <row r="256">
      <c r="D256" s="11" t="n"/>
      <c r="K256" s="7">
        <f>IF($C256="","",J256*W256/100)</f>
        <v/>
      </c>
      <c r="Q256" s="7" t="n"/>
      <c r="R256" s="7" t="n"/>
      <c r="U256">
        <f>IF($C256="","",IF($AJ256=1,0,IF($AI256=1,Settings!$C$6,Settings!$C$7))*100)</f>
        <v/>
      </c>
      <c r="V256" s="7">
        <f>IF($C256="","",R256*U256/100)</f>
        <v/>
      </c>
      <c r="W256" s="7">
        <f>IF($C256="","",R256-V256)</f>
        <v/>
      </c>
      <c r="X256" s="7">
        <f>IF($C256="","",W256-K256)</f>
        <v/>
      </c>
      <c r="AB256" s="7" t="n"/>
      <c r="AE256" s="11" t="n"/>
      <c r="AG256">
        <f>IF($C256="","",IF(COUNTIF($C$2:$C256,$C256)=1,1,0))</f>
        <v/>
      </c>
      <c r="AH256">
        <f>IF($AG256=1,SUMPRODUCT(--($AK$2:$AK$6001&lt;$AK256))+1,"")</f>
        <v/>
      </c>
      <c r="AI256">
        <f>IF($C256="","",IF(OR($N256=TRUE(),$N256="TRUE"),1,0))</f>
        <v/>
      </c>
      <c r="AJ256">
        <f>IF($C256="","",IF($T256="Yes",1,0))</f>
        <v/>
      </c>
      <c r="AK256">
        <f>IF($AG256=1,IFERROR(IF(VALUE($C256)&lt;100000000,VALUE($C256),1000000000),IFERROR(IF(VALUE(MID($C256,2,20))&lt;100000000,VALUE(MID($C256,2,20)),1000000000),1000000000))+ROW()/100000,"")</f>
        <v/>
      </c>
    </row>
    <row r="257">
      <c r="D257" s="11" t="n"/>
      <c r="K257" s="7">
        <f>IF($C257="","",J257*W257/100)</f>
        <v/>
      </c>
      <c r="Q257" s="7" t="n"/>
      <c r="R257" s="7" t="n"/>
      <c r="U257">
        <f>IF($C257="","",IF($AJ257=1,0,IF($AI257=1,Settings!$C$6,Settings!$C$7))*100)</f>
        <v/>
      </c>
      <c r="V257" s="7">
        <f>IF($C257="","",R257*U257/100)</f>
        <v/>
      </c>
      <c r="W257" s="7">
        <f>IF($C257="","",R257-V257)</f>
        <v/>
      </c>
      <c r="X257" s="7">
        <f>IF($C257="","",W257-K257)</f>
        <v/>
      </c>
      <c r="AB257" s="7" t="n"/>
      <c r="AE257" s="11" t="n"/>
      <c r="AG257">
        <f>IF($C257="","",IF(COUNTIF($C$2:$C257,$C257)=1,1,0))</f>
        <v/>
      </c>
      <c r="AH257">
        <f>IF($AG257=1,SUMPRODUCT(--($AK$2:$AK$6001&lt;$AK257))+1,"")</f>
        <v/>
      </c>
      <c r="AI257">
        <f>IF($C257="","",IF(OR($N257=TRUE(),$N257="TRUE"),1,0))</f>
        <v/>
      </c>
      <c r="AJ257">
        <f>IF($C257="","",IF($T257="Yes",1,0))</f>
        <v/>
      </c>
      <c r="AK257">
        <f>IF($AG257=1,IFERROR(IF(VALUE($C257)&lt;100000000,VALUE($C257),1000000000),IFERROR(IF(VALUE(MID($C257,2,20))&lt;100000000,VALUE(MID($C257,2,20)),1000000000),1000000000))+ROW()/100000,"")</f>
        <v/>
      </c>
    </row>
    <row r="258">
      <c r="D258" s="11" t="n"/>
      <c r="K258" s="7">
        <f>IF($C258="","",J258*W258/100)</f>
        <v/>
      </c>
      <c r="Q258" s="7" t="n"/>
      <c r="R258" s="7" t="n"/>
      <c r="U258">
        <f>IF($C258="","",IF($AJ258=1,0,IF($AI258=1,Settings!$C$6,Settings!$C$7))*100)</f>
        <v/>
      </c>
      <c r="V258" s="7">
        <f>IF($C258="","",R258*U258/100)</f>
        <v/>
      </c>
      <c r="W258" s="7">
        <f>IF($C258="","",R258-V258)</f>
        <v/>
      </c>
      <c r="X258" s="7">
        <f>IF($C258="","",W258-K258)</f>
        <v/>
      </c>
      <c r="AB258" s="7" t="n"/>
      <c r="AE258" s="11" t="n"/>
      <c r="AG258">
        <f>IF($C258="","",IF(COUNTIF($C$2:$C258,$C258)=1,1,0))</f>
        <v/>
      </c>
      <c r="AH258">
        <f>IF($AG258=1,SUMPRODUCT(--($AK$2:$AK$6001&lt;$AK258))+1,"")</f>
        <v/>
      </c>
      <c r="AI258">
        <f>IF($C258="","",IF(OR($N258=TRUE(),$N258="TRUE"),1,0))</f>
        <v/>
      </c>
      <c r="AJ258">
        <f>IF($C258="","",IF($T258="Yes",1,0))</f>
        <v/>
      </c>
      <c r="AK258">
        <f>IF($AG258=1,IFERROR(IF(VALUE($C258)&lt;100000000,VALUE($C258),1000000000),IFERROR(IF(VALUE(MID($C258,2,20))&lt;100000000,VALUE(MID($C258,2,20)),1000000000),1000000000))+ROW()/100000,"")</f>
        <v/>
      </c>
    </row>
    <row r="259">
      <c r="D259" s="11" t="n"/>
      <c r="K259" s="7">
        <f>IF($C259="","",J259*W259/100)</f>
        <v/>
      </c>
      <c r="Q259" s="7" t="n"/>
      <c r="R259" s="7" t="n"/>
      <c r="U259">
        <f>IF($C259="","",IF($AJ259=1,0,IF($AI259=1,Settings!$C$6,Settings!$C$7))*100)</f>
        <v/>
      </c>
      <c r="V259" s="7">
        <f>IF($C259="","",R259*U259/100)</f>
        <v/>
      </c>
      <c r="W259" s="7">
        <f>IF($C259="","",R259-V259)</f>
        <v/>
      </c>
      <c r="X259" s="7">
        <f>IF($C259="","",W259-K259)</f>
        <v/>
      </c>
      <c r="AB259" s="7" t="n"/>
      <c r="AE259" s="11" t="n"/>
      <c r="AG259">
        <f>IF($C259="","",IF(COUNTIF($C$2:$C259,$C259)=1,1,0))</f>
        <v/>
      </c>
      <c r="AH259">
        <f>IF($AG259=1,SUMPRODUCT(--($AK$2:$AK$6001&lt;$AK259))+1,"")</f>
        <v/>
      </c>
      <c r="AI259">
        <f>IF($C259="","",IF(OR($N259=TRUE(),$N259="TRUE"),1,0))</f>
        <v/>
      </c>
      <c r="AJ259">
        <f>IF($C259="","",IF($T259="Yes",1,0))</f>
        <v/>
      </c>
      <c r="AK259">
        <f>IF($AG259=1,IFERROR(IF(VALUE($C259)&lt;100000000,VALUE($C259),1000000000),IFERROR(IF(VALUE(MID($C259,2,20))&lt;100000000,VALUE(MID($C259,2,20)),1000000000),1000000000))+ROW()/100000,"")</f>
        <v/>
      </c>
    </row>
    <row r="260">
      <c r="D260" s="11" t="n"/>
      <c r="K260" s="7">
        <f>IF($C260="","",J260*W260/100)</f>
        <v/>
      </c>
      <c r="Q260" s="7" t="n"/>
      <c r="R260" s="7" t="n"/>
      <c r="U260">
        <f>IF($C260="","",IF($AJ260=1,0,IF($AI260=1,Settings!$C$6,Settings!$C$7))*100)</f>
        <v/>
      </c>
      <c r="V260" s="7">
        <f>IF($C260="","",R260*U260/100)</f>
        <v/>
      </c>
      <c r="W260" s="7">
        <f>IF($C260="","",R260-V260)</f>
        <v/>
      </c>
      <c r="X260" s="7">
        <f>IF($C260="","",W260-K260)</f>
        <v/>
      </c>
      <c r="AB260" s="7" t="n"/>
      <c r="AE260" s="11" t="n"/>
      <c r="AG260">
        <f>IF($C260="","",IF(COUNTIF($C$2:$C260,$C260)=1,1,0))</f>
        <v/>
      </c>
      <c r="AH260">
        <f>IF($AG260=1,SUMPRODUCT(--($AK$2:$AK$6001&lt;$AK260))+1,"")</f>
        <v/>
      </c>
      <c r="AI260">
        <f>IF($C260="","",IF(OR($N260=TRUE(),$N260="TRUE"),1,0))</f>
        <v/>
      </c>
      <c r="AJ260">
        <f>IF($C260="","",IF($T260="Yes",1,0))</f>
        <v/>
      </c>
      <c r="AK260">
        <f>IF($AG260=1,IFERROR(IF(VALUE($C260)&lt;100000000,VALUE($C260),1000000000),IFERROR(IF(VALUE(MID($C260,2,20))&lt;100000000,VALUE(MID($C260,2,20)),1000000000),1000000000))+ROW()/100000,"")</f>
        <v/>
      </c>
    </row>
    <row r="261">
      <c r="D261" s="11" t="n"/>
      <c r="K261" s="7">
        <f>IF($C261="","",J261*W261/100)</f>
        <v/>
      </c>
      <c r="Q261" s="7" t="n"/>
      <c r="R261" s="7" t="n"/>
      <c r="U261">
        <f>IF($C261="","",IF($AJ261=1,0,IF($AI261=1,Settings!$C$6,Settings!$C$7))*100)</f>
        <v/>
      </c>
      <c r="V261" s="7">
        <f>IF($C261="","",R261*U261/100)</f>
        <v/>
      </c>
      <c r="W261" s="7">
        <f>IF($C261="","",R261-V261)</f>
        <v/>
      </c>
      <c r="X261" s="7">
        <f>IF($C261="","",W261-K261)</f>
        <v/>
      </c>
      <c r="AB261" s="7" t="n"/>
      <c r="AE261" s="11" t="n"/>
      <c r="AG261">
        <f>IF($C261="","",IF(COUNTIF($C$2:$C261,$C261)=1,1,0))</f>
        <v/>
      </c>
      <c r="AH261">
        <f>IF($AG261=1,SUMPRODUCT(--($AK$2:$AK$6001&lt;$AK261))+1,"")</f>
        <v/>
      </c>
      <c r="AI261">
        <f>IF($C261="","",IF(OR($N261=TRUE(),$N261="TRUE"),1,0))</f>
        <v/>
      </c>
      <c r="AJ261">
        <f>IF($C261="","",IF($T261="Yes",1,0))</f>
        <v/>
      </c>
      <c r="AK261">
        <f>IF($AG261=1,IFERROR(IF(VALUE($C261)&lt;100000000,VALUE($C261),1000000000),IFERROR(IF(VALUE(MID($C261,2,20))&lt;100000000,VALUE(MID($C261,2,20)),1000000000),1000000000))+ROW()/100000,"")</f>
        <v/>
      </c>
    </row>
    <row r="262">
      <c r="D262" s="11" t="n"/>
      <c r="K262" s="7">
        <f>IF($C262="","",J262*W262/100)</f>
        <v/>
      </c>
      <c r="Q262" s="7" t="n"/>
      <c r="R262" s="7" t="n"/>
      <c r="U262">
        <f>IF($C262="","",IF($AJ262=1,0,IF($AI262=1,Settings!$C$6,Settings!$C$7))*100)</f>
        <v/>
      </c>
      <c r="V262" s="7">
        <f>IF($C262="","",R262*U262/100)</f>
        <v/>
      </c>
      <c r="W262" s="7">
        <f>IF($C262="","",R262-V262)</f>
        <v/>
      </c>
      <c r="X262" s="7">
        <f>IF($C262="","",W262-K262)</f>
        <v/>
      </c>
      <c r="AB262" s="7" t="n"/>
      <c r="AE262" s="11" t="n"/>
      <c r="AG262">
        <f>IF($C262="","",IF(COUNTIF($C$2:$C262,$C262)=1,1,0))</f>
        <v/>
      </c>
      <c r="AH262">
        <f>IF($AG262=1,SUMPRODUCT(--($AK$2:$AK$6001&lt;$AK262))+1,"")</f>
        <v/>
      </c>
      <c r="AI262">
        <f>IF($C262="","",IF(OR($N262=TRUE(),$N262="TRUE"),1,0))</f>
        <v/>
      </c>
      <c r="AJ262">
        <f>IF($C262="","",IF($T262="Yes",1,0))</f>
        <v/>
      </c>
      <c r="AK262">
        <f>IF($AG262=1,IFERROR(IF(VALUE($C262)&lt;100000000,VALUE($C262),1000000000),IFERROR(IF(VALUE(MID($C262,2,20))&lt;100000000,VALUE(MID($C262,2,20)),1000000000),1000000000))+ROW()/100000,"")</f>
        <v/>
      </c>
    </row>
    <row r="263">
      <c r="D263" s="11" t="n"/>
      <c r="K263" s="7">
        <f>IF($C263="","",J263*W263/100)</f>
        <v/>
      </c>
      <c r="Q263" s="7" t="n"/>
      <c r="R263" s="7" t="n"/>
      <c r="U263">
        <f>IF($C263="","",IF($AJ263=1,0,IF($AI263=1,Settings!$C$6,Settings!$C$7))*100)</f>
        <v/>
      </c>
      <c r="V263" s="7">
        <f>IF($C263="","",R263*U263/100)</f>
        <v/>
      </c>
      <c r="W263" s="7">
        <f>IF($C263="","",R263-V263)</f>
        <v/>
      </c>
      <c r="X263" s="7">
        <f>IF($C263="","",W263-K263)</f>
        <v/>
      </c>
      <c r="AB263" s="7" t="n"/>
      <c r="AE263" s="11" t="n"/>
      <c r="AG263">
        <f>IF($C263="","",IF(COUNTIF($C$2:$C263,$C263)=1,1,0))</f>
        <v/>
      </c>
      <c r="AH263">
        <f>IF($AG263=1,SUMPRODUCT(--($AK$2:$AK$6001&lt;$AK263))+1,"")</f>
        <v/>
      </c>
      <c r="AI263">
        <f>IF($C263="","",IF(OR($N263=TRUE(),$N263="TRUE"),1,0))</f>
        <v/>
      </c>
      <c r="AJ263">
        <f>IF($C263="","",IF($T263="Yes",1,0))</f>
        <v/>
      </c>
      <c r="AK263">
        <f>IF($AG263=1,IFERROR(IF(VALUE($C263)&lt;100000000,VALUE($C263),1000000000),IFERROR(IF(VALUE(MID($C263,2,20))&lt;100000000,VALUE(MID($C263,2,20)),1000000000),1000000000))+ROW()/100000,"")</f>
        <v/>
      </c>
    </row>
    <row r="264">
      <c r="D264" s="11" t="n"/>
      <c r="K264" s="7">
        <f>IF($C264="","",J264*W264/100)</f>
        <v/>
      </c>
      <c r="Q264" s="7" t="n"/>
      <c r="R264" s="7" t="n"/>
      <c r="U264">
        <f>IF($C264="","",IF($AJ264=1,0,IF($AI264=1,Settings!$C$6,Settings!$C$7))*100)</f>
        <v/>
      </c>
      <c r="V264" s="7">
        <f>IF($C264="","",R264*U264/100)</f>
        <v/>
      </c>
      <c r="W264" s="7">
        <f>IF($C264="","",R264-V264)</f>
        <v/>
      </c>
      <c r="X264" s="7">
        <f>IF($C264="","",W264-K264)</f>
        <v/>
      </c>
      <c r="AB264" s="7" t="n"/>
      <c r="AE264" s="11" t="n"/>
      <c r="AG264">
        <f>IF($C264="","",IF(COUNTIF($C$2:$C264,$C264)=1,1,0))</f>
        <v/>
      </c>
      <c r="AH264">
        <f>IF($AG264=1,SUMPRODUCT(--($AK$2:$AK$6001&lt;$AK264))+1,"")</f>
        <v/>
      </c>
      <c r="AI264">
        <f>IF($C264="","",IF(OR($N264=TRUE(),$N264="TRUE"),1,0))</f>
        <v/>
      </c>
      <c r="AJ264">
        <f>IF($C264="","",IF($T264="Yes",1,0))</f>
        <v/>
      </c>
      <c r="AK264">
        <f>IF($AG264=1,IFERROR(IF(VALUE($C264)&lt;100000000,VALUE($C264),1000000000),IFERROR(IF(VALUE(MID($C264,2,20))&lt;100000000,VALUE(MID($C264,2,20)),1000000000),1000000000))+ROW()/100000,"")</f>
        <v/>
      </c>
    </row>
    <row r="265">
      <c r="D265" s="11" t="n"/>
      <c r="K265" s="7">
        <f>IF($C265="","",J265*W265/100)</f>
        <v/>
      </c>
      <c r="Q265" s="7" t="n"/>
      <c r="R265" s="7" t="n"/>
      <c r="U265">
        <f>IF($C265="","",IF($AJ265=1,0,IF($AI265=1,Settings!$C$6,Settings!$C$7))*100)</f>
        <v/>
      </c>
      <c r="V265" s="7">
        <f>IF($C265="","",R265*U265/100)</f>
        <v/>
      </c>
      <c r="W265" s="7">
        <f>IF($C265="","",R265-V265)</f>
        <v/>
      </c>
      <c r="X265" s="7">
        <f>IF($C265="","",W265-K265)</f>
        <v/>
      </c>
      <c r="AB265" s="7" t="n"/>
      <c r="AE265" s="11" t="n"/>
      <c r="AG265">
        <f>IF($C265="","",IF(COUNTIF($C$2:$C265,$C265)=1,1,0))</f>
        <v/>
      </c>
      <c r="AH265">
        <f>IF($AG265=1,SUMPRODUCT(--($AK$2:$AK$6001&lt;$AK265))+1,"")</f>
        <v/>
      </c>
      <c r="AI265">
        <f>IF($C265="","",IF(OR($N265=TRUE(),$N265="TRUE"),1,0))</f>
        <v/>
      </c>
      <c r="AJ265">
        <f>IF($C265="","",IF($T265="Yes",1,0))</f>
        <v/>
      </c>
      <c r="AK265">
        <f>IF($AG265=1,IFERROR(IF(VALUE($C265)&lt;100000000,VALUE($C265),1000000000),IFERROR(IF(VALUE(MID($C265,2,20))&lt;100000000,VALUE(MID($C265,2,20)),1000000000),1000000000))+ROW()/100000,"")</f>
        <v/>
      </c>
    </row>
    <row r="266">
      <c r="D266" s="11" t="n"/>
      <c r="K266" s="7">
        <f>IF($C266="","",J266*W266/100)</f>
        <v/>
      </c>
      <c r="Q266" s="7" t="n"/>
      <c r="R266" s="7" t="n"/>
      <c r="U266">
        <f>IF($C266="","",IF($AJ266=1,0,IF($AI266=1,Settings!$C$6,Settings!$C$7))*100)</f>
        <v/>
      </c>
      <c r="V266" s="7">
        <f>IF($C266="","",R266*U266/100)</f>
        <v/>
      </c>
      <c r="W266" s="7">
        <f>IF($C266="","",R266-V266)</f>
        <v/>
      </c>
      <c r="X266" s="7">
        <f>IF($C266="","",W266-K266)</f>
        <v/>
      </c>
      <c r="AB266" s="7" t="n"/>
      <c r="AE266" s="11" t="n"/>
      <c r="AG266">
        <f>IF($C266="","",IF(COUNTIF($C$2:$C266,$C266)=1,1,0))</f>
        <v/>
      </c>
      <c r="AH266">
        <f>IF($AG266=1,SUMPRODUCT(--($AK$2:$AK$6001&lt;$AK266))+1,"")</f>
        <v/>
      </c>
      <c r="AI266">
        <f>IF($C266="","",IF(OR($N266=TRUE(),$N266="TRUE"),1,0))</f>
        <v/>
      </c>
      <c r="AJ266">
        <f>IF($C266="","",IF($T266="Yes",1,0))</f>
        <v/>
      </c>
      <c r="AK266">
        <f>IF($AG266=1,IFERROR(IF(VALUE($C266)&lt;100000000,VALUE($C266),1000000000),IFERROR(IF(VALUE(MID($C266,2,20))&lt;100000000,VALUE(MID($C266,2,20)),1000000000),1000000000))+ROW()/100000,"")</f>
        <v/>
      </c>
    </row>
    <row r="267">
      <c r="D267" s="11" t="n"/>
      <c r="K267" s="7">
        <f>IF($C267="","",J267*W267/100)</f>
        <v/>
      </c>
      <c r="Q267" s="7" t="n"/>
      <c r="R267" s="7" t="n"/>
      <c r="U267">
        <f>IF($C267="","",IF($AJ267=1,0,IF($AI267=1,Settings!$C$6,Settings!$C$7))*100)</f>
        <v/>
      </c>
      <c r="V267" s="7">
        <f>IF($C267="","",R267*U267/100)</f>
        <v/>
      </c>
      <c r="W267" s="7">
        <f>IF($C267="","",R267-V267)</f>
        <v/>
      </c>
      <c r="X267" s="7">
        <f>IF($C267="","",W267-K267)</f>
        <v/>
      </c>
      <c r="AB267" s="7" t="n"/>
      <c r="AE267" s="11" t="n"/>
      <c r="AG267">
        <f>IF($C267="","",IF(COUNTIF($C$2:$C267,$C267)=1,1,0))</f>
        <v/>
      </c>
      <c r="AH267">
        <f>IF($AG267=1,SUMPRODUCT(--($AK$2:$AK$6001&lt;$AK267))+1,"")</f>
        <v/>
      </c>
      <c r="AI267">
        <f>IF($C267="","",IF(OR($N267=TRUE(),$N267="TRUE"),1,0))</f>
        <v/>
      </c>
      <c r="AJ267">
        <f>IF($C267="","",IF($T267="Yes",1,0))</f>
        <v/>
      </c>
      <c r="AK267">
        <f>IF($AG267=1,IFERROR(IF(VALUE($C267)&lt;100000000,VALUE($C267),1000000000),IFERROR(IF(VALUE(MID($C267,2,20))&lt;100000000,VALUE(MID($C267,2,20)),1000000000),1000000000))+ROW()/100000,"")</f>
        <v/>
      </c>
    </row>
    <row r="268">
      <c r="D268" s="11" t="n"/>
      <c r="K268" s="7">
        <f>IF($C268="","",J268*W268/100)</f>
        <v/>
      </c>
      <c r="Q268" s="7" t="n"/>
      <c r="R268" s="7" t="n"/>
      <c r="U268">
        <f>IF($C268="","",IF($AJ268=1,0,IF($AI268=1,Settings!$C$6,Settings!$C$7))*100)</f>
        <v/>
      </c>
      <c r="V268" s="7">
        <f>IF($C268="","",R268*U268/100)</f>
        <v/>
      </c>
      <c r="W268" s="7">
        <f>IF($C268="","",R268-V268)</f>
        <v/>
      </c>
      <c r="X268" s="7">
        <f>IF($C268="","",W268-K268)</f>
        <v/>
      </c>
      <c r="AB268" s="7" t="n"/>
      <c r="AE268" s="11" t="n"/>
      <c r="AG268">
        <f>IF($C268="","",IF(COUNTIF($C$2:$C268,$C268)=1,1,0))</f>
        <v/>
      </c>
      <c r="AH268">
        <f>IF($AG268=1,SUMPRODUCT(--($AK$2:$AK$6001&lt;$AK268))+1,"")</f>
        <v/>
      </c>
      <c r="AI268">
        <f>IF($C268="","",IF(OR($N268=TRUE(),$N268="TRUE"),1,0))</f>
        <v/>
      </c>
      <c r="AJ268">
        <f>IF($C268="","",IF($T268="Yes",1,0))</f>
        <v/>
      </c>
      <c r="AK268">
        <f>IF($AG268=1,IFERROR(IF(VALUE($C268)&lt;100000000,VALUE($C268),1000000000),IFERROR(IF(VALUE(MID($C268,2,20))&lt;100000000,VALUE(MID($C268,2,20)),1000000000),1000000000))+ROW()/100000,"")</f>
        <v/>
      </c>
    </row>
    <row r="269">
      <c r="D269" s="11" t="n"/>
      <c r="K269" s="7">
        <f>IF($C269="","",J269*W269/100)</f>
        <v/>
      </c>
      <c r="Q269" s="7" t="n"/>
      <c r="R269" s="7" t="n"/>
      <c r="U269">
        <f>IF($C269="","",IF($AJ269=1,0,IF($AI269=1,Settings!$C$6,Settings!$C$7))*100)</f>
        <v/>
      </c>
      <c r="V269" s="7">
        <f>IF($C269="","",R269*U269/100)</f>
        <v/>
      </c>
      <c r="W269" s="7">
        <f>IF($C269="","",R269-V269)</f>
        <v/>
      </c>
      <c r="X269" s="7">
        <f>IF($C269="","",W269-K269)</f>
        <v/>
      </c>
      <c r="AB269" s="7" t="n"/>
      <c r="AE269" s="11" t="n"/>
      <c r="AG269">
        <f>IF($C269="","",IF(COUNTIF($C$2:$C269,$C269)=1,1,0))</f>
        <v/>
      </c>
      <c r="AH269">
        <f>IF($AG269=1,SUMPRODUCT(--($AK$2:$AK$6001&lt;$AK269))+1,"")</f>
        <v/>
      </c>
      <c r="AI269">
        <f>IF($C269="","",IF(OR($N269=TRUE(),$N269="TRUE"),1,0))</f>
        <v/>
      </c>
      <c r="AJ269">
        <f>IF($C269="","",IF($T269="Yes",1,0))</f>
        <v/>
      </c>
      <c r="AK269">
        <f>IF($AG269=1,IFERROR(IF(VALUE($C269)&lt;100000000,VALUE($C269),1000000000),IFERROR(IF(VALUE(MID($C269,2,20))&lt;100000000,VALUE(MID($C269,2,20)),1000000000),1000000000))+ROW()/100000,"")</f>
        <v/>
      </c>
    </row>
    <row r="270">
      <c r="D270" s="11" t="n"/>
      <c r="K270" s="7">
        <f>IF($C270="","",J270*W270/100)</f>
        <v/>
      </c>
      <c r="Q270" s="7" t="n"/>
      <c r="R270" s="7" t="n"/>
      <c r="U270">
        <f>IF($C270="","",IF($AJ270=1,0,IF($AI270=1,Settings!$C$6,Settings!$C$7))*100)</f>
        <v/>
      </c>
      <c r="V270" s="7">
        <f>IF($C270="","",R270*U270/100)</f>
        <v/>
      </c>
      <c r="W270" s="7">
        <f>IF($C270="","",R270-V270)</f>
        <v/>
      </c>
      <c r="X270" s="7">
        <f>IF($C270="","",W270-K270)</f>
        <v/>
      </c>
      <c r="AB270" s="7" t="n"/>
      <c r="AE270" s="11" t="n"/>
      <c r="AG270">
        <f>IF($C270="","",IF(COUNTIF($C$2:$C270,$C270)=1,1,0))</f>
        <v/>
      </c>
      <c r="AH270">
        <f>IF($AG270=1,SUMPRODUCT(--($AK$2:$AK$6001&lt;$AK270))+1,"")</f>
        <v/>
      </c>
      <c r="AI270">
        <f>IF($C270="","",IF(OR($N270=TRUE(),$N270="TRUE"),1,0))</f>
        <v/>
      </c>
      <c r="AJ270">
        <f>IF($C270="","",IF($T270="Yes",1,0))</f>
        <v/>
      </c>
      <c r="AK270">
        <f>IF($AG270=1,IFERROR(IF(VALUE($C270)&lt;100000000,VALUE($C270),1000000000),IFERROR(IF(VALUE(MID($C270,2,20))&lt;100000000,VALUE(MID($C270,2,20)),1000000000),1000000000))+ROW()/100000,"")</f>
        <v/>
      </c>
    </row>
    <row r="271">
      <c r="D271" s="11" t="n"/>
      <c r="K271" s="7">
        <f>IF($C271="","",J271*W271/100)</f>
        <v/>
      </c>
      <c r="Q271" s="7" t="n"/>
      <c r="R271" s="7" t="n"/>
      <c r="U271">
        <f>IF($C271="","",IF($AJ271=1,0,IF($AI271=1,Settings!$C$6,Settings!$C$7))*100)</f>
        <v/>
      </c>
      <c r="V271" s="7">
        <f>IF($C271="","",R271*U271/100)</f>
        <v/>
      </c>
      <c r="W271" s="7">
        <f>IF($C271="","",R271-V271)</f>
        <v/>
      </c>
      <c r="X271" s="7">
        <f>IF($C271="","",W271-K271)</f>
        <v/>
      </c>
      <c r="AB271" s="7" t="n"/>
      <c r="AE271" s="11" t="n"/>
      <c r="AG271">
        <f>IF($C271="","",IF(COUNTIF($C$2:$C271,$C271)=1,1,0))</f>
        <v/>
      </c>
      <c r="AH271">
        <f>IF($AG271=1,SUMPRODUCT(--($AK$2:$AK$6001&lt;$AK271))+1,"")</f>
        <v/>
      </c>
      <c r="AI271">
        <f>IF($C271="","",IF(OR($N271=TRUE(),$N271="TRUE"),1,0))</f>
        <v/>
      </c>
      <c r="AJ271">
        <f>IF($C271="","",IF($T271="Yes",1,0))</f>
        <v/>
      </c>
      <c r="AK271">
        <f>IF($AG271=1,IFERROR(IF(VALUE($C271)&lt;100000000,VALUE($C271),1000000000),IFERROR(IF(VALUE(MID($C271,2,20))&lt;100000000,VALUE(MID($C271,2,20)),1000000000),1000000000))+ROW()/100000,"")</f>
        <v/>
      </c>
    </row>
    <row r="272">
      <c r="D272" s="11" t="n"/>
      <c r="K272" s="7">
        <f>IF($C272="","",J272*W272/100)</f>
        <v/>
      </c>
      <c r="Q272" s="7" t="n"/>
      <c r="R272" s="7" t="n"/>
      <c r="U272">
        <f>IF($C272="","",IF($AJ272=1,0,IF($AI272=1,Settings!$C$6,Settings!$C$7))*100)</f>
        <v/>
      </c>
      <c r="V272" s="7">
        <f>IF($C272="","",R272*U272/100)</f>
        <v/>
      </c>
      <c r="W272" s="7">
        <f>IF($C272="","",R272-V272)</f>
        <v/>
      </c>
      <c r="X272" s="7">
        <f>IF($C272="","",W272-K272)</f>
        <v/>
      </c>
      <c r="AB272" s="7" t="n"/>
      <c r="AE272" s="11" t="n"/>
      <c r="AG272">
        <f>IF($C272="","",IF(COUNTIF($C$2:$C272,$C272)=1,1,0))</f>
        <v/>
      </c>
      <c r="AH272">
        <f>IF($AG272=1,SUMPRODUCT(--($AK$2:$AK$6001&lt;$AK272))+1,"")</f>
        <v/>
      </c>
      <c r="AI272">
        <f>IF($C272="","",IF(OR($N272=TRUE(),$N272="TRUE"),1,0))</f>
        <v/>
      </c>
      <c r="AJ272">
        <f>IF($C272="","",IF($T272="Yes",1,0))</f>
        <v/>
      </c>
      <c r="AK272">
        <f>IF($AG272=1,IFERROR(IF(VALUE($C272)&lt;100000000,VALUE($C272),1000000000),IFERROR(IF(VALUE(MID($C272,2,20))&lt;100000000,VALUE(MID($C272,2,20)),1000000000),1000000000))+ROW()/100000,"")</f>
        <v/>
      </c>
    </row>
    <row r="273">
      <c r="D273" s="11" t="n"/>
      <c r="K273" s="7">
        <f>IF($C273="","",J273*W273/100)</f>
        <v/>
      </c>
      <c r="Q273" s="7" t="n"/>
      <c r="R273" s="7" t="n"/>
      <c r="U273">
        <f>IF($C273="","",IF($AJ273=1,0,IF($AI273=1,Settings!$C$6,Settings!$C$7))*100)</f>
        <v/>
      </c>
      <c r="V273" s="7">
        <f>IF($C273="","",R273*U273/100)</f>
        <v/>
      </c>
      <c r="W273" s="7">
        <f>IF($C273="","",R273-V273)</f>
        <v/>
      </c>
      <c r="X273" s="7">
        <f>IF($C273="","",W273-K273)</f>
        <v/>
      </c>
      <c r="AB273" s="7" t="n"/>
      <c r="AE273" s="11" t="n"/>
      <c r="AG273">
        <f>IF($C273="","",IF(COUNTIF($C$2:$C273,$C273)=1,1,0))</f>
        <v/>
      </c>
      <c r="AH273">
        <f>IF($AG273=1,SUMPRODUCT(--($AK$2:$AK$6001&lt;$AK273))+1,"")</f>
        <v/>
      </c>
      <c r="AI273">
        <f>IF($C273="","",IF(OR($N273=TRUE(),$N273="TRUE"),1,0))</f>
        <v/>
      </c>
      <c r="AJ273">
        <f>IF($C273="","",IF($T273="Yes",1,0))</f>
        <v/>
      </c>
      <c r="AK273">
        <f>IF($AG273=1,IFERROR(IF(VALUE($C273)&lt;100000000,VALUE($C273),1000000000),IFERROR(IF(VALUE(MID($C273,2,20))&lt;100000000,VALUE(MID($C273,2,20)),1000000000),1000000000))+ROW()/100000,"")</f>
        <v/>
      </c>
    </row>
    <row r="274">
      <c r="D274" s="11" t="n"/>
      <c r="K274" s="7">
        <f>IF($C274="","",J274*W274/100)</f>
        <v/>
      </c>
      <c r="Q274" s="7" t="n"/>
      <c r="R274" s="7" t="n"/>
      <c r="U274">
        <f>IF($C274="","",IF($AJ274=1,0,IF($AI274=1,Settings!$C$6,Settings!$C$7))*100)</f>
        <v/>
      </c>
      <c r="V274" s="7">
        <f>IF($C274="","",R274*U274/100)</f>
        <v/>
      </c>
      <c r="W274" s="7">
        <f>IF($C274="","",R274-V274)</f>
        <v/>
      </c>
      <c r="X274" s="7">
        <f>IF($C274="","",W274-K274)</f>
        <v/>
      </c>
      <c r="AB274" s="7" t="n"/>
      <c r="AE274" s="11" t="n"/>
      <c r="AG274">
        <f>IF($C274="","",IF(COUNTIF($C$2:$C274,$C274)=1,1,0))</f>
        <v/>
      </c>
      <c r="AH274">
        <f>IF($AG274=1,SUMPRODUCT(--($AK$2:$AK$6001&lt;$AK274))+1,"")</f>
        <v/>
      </c>
      <c r="AI274">
        <f>IF($C274="","",IF(OR($N274=TRUE(),$N274="TRUE"),1,0))</f>
        <v/>
      </c>
      <c r="AJ274">
        <f>IF($C274="","",IF($T274="Yes",1,0))</f>
        <v/>
      </c>
      <c r="AK274">
        <f>IF($AG274=1,IFERROR(IF(VALUE($C274)&lt;100000000,VALUE($C274),1000000000),IFERROR(IF(VALUE(MID($C274,2,20))&lt;100000000,VALUE(MID($C274,2,20)),1000000000),1000000000))+ROW()/100000,"")</f>
        <v/>
      </c>
    </row>
    <row r="275">
      <c r="D275" s="11" t="n"/>
      <c r="K275" s="7">
        <f>IF($C275="","",J275*W275/100)</f>
        <v/>
      </c>
      <c r="Q275" s="7" t="n"/>
      <c r="R275" s="7" t="n"/>
      <c r="U275">
        <f>IF($C275="","",IF($AJ275=1,0,IF($AI275=1,Settings!$C$6,Settings!$C$7))*100)</f>
        <v/>
      </c>
      <c r="V275" s="7">
        <f>IF($C275="","",R275*U275/100)</f>
        <v/>
      </c>
      <c r="W275" s="7">
        <f>IF($C275="","",R275-V275)</f>
        <v/>
      </c>
      <c r="X275" s="7">
        <f>IF($C275="","",W275-K275)</f>
        <v/>
      </c>
      <c r="AB275" s="7" t="n"/>
      <c r="AE275" s="11" t="n"/>
      <c r="AG275">
        <f>IF($C275="","",IF(COUNTIF($C$2:$C275,$C275)=1,1,0))</f>
        <v/>
      </c>
      <c r="AH275">
        <f>IF($AG275=1,SUMPRODUCT(--($AK$2:$AK$6001&lt;$AK275))+1,"")</f>
        <v/>
      </c>
      <c r="AI275">
        <f>IF($C275="","",IF(OR($N275=TRUE(),$N275="TRUE"),1,0))</f>
        <v/>
      </c>
      <c r="AJ275">
        <f>IF($C275="","",IF($T275="Yes",1,0))</f>
        <v/>
      </c>
      <c r="AK275">
        <f>IF($AG275=1,IFERROR(IF(VALUE($C275)&lt;100000000,VALUE($C275),1000000000),IFERROR(IF(VALUE(MID($C275,2,20))&lt;100000000,VALUE(MID($C275,2,20)),1000000000),1000000000))+ROW()/100000,"")</f>
        <v/>
      </c>
    </row>
    <row r="276">
      <c r="D276" s="11" t="n"/>
      <c r="K276" s="7">
        <f>IF($C276="","",J276*W276/100)</f>
        <v/>
      </c>
      <c r="Q276" s="7" t="n"/>
      <c r="R276" s="7" t="n"/>
      <c r="U276">
        <f>IF($C276="","",IF($AJ276=1,0,IF($AI276=1,Settings!$C$6,Settings!$C$7))*100)</f>
        <v/>
      </c>
      <c r="V276" s="7">
        <f>IF($C276="","",R276*U276/100)</f>
        <v/>
      </c>
      <c r="W276" s="7">
        <f>IF($C276="","",R276-V276)</f>
        <v/>
      </c>
      <c r="X276" s="7">
        <f>IF($C276="","",W276-K276)</f>
        <v/>
      </c>
      <c r="AB276" s="7" t="n"/>
      <c r="AE276" s="11" t="n"/>
      <c r="AG276">
        <f>IF($C276="","",IF(COUNTIF($C$2:$C276,$C276)=1,1,0))</f>
        <v/>
      </c>
      <c r="AH276">
        <f>IF($AG276=1,SUMPRODUCT(--($AK$2:$AK$6001&lt;$AK276))+1,"")</f>
        <v/>
      </c>
      <c r="AI276">
        <f>IF($C276="","",IF(OR($N276=TRUE(),$N276="TRUE"),1,0))</f>
        <v/>
      </c>
      <c r="AJ276">
        <f>IF($C276="","",IF($T276="Yes",1,0))</f>
        <v/>
      </c>
      <c r="AK276">
        <f>IF($AG276=1,IFERROR(IF(VALUE($C276)&lt;100000000,VALUE($C276),1000000000),IFERROR(IF(VALUE(MID($C276,2,20))&lt;100000000,VALUE(MID($C276,2,20)),1000000000),1000000000))+ROW()/100000,"")</f>
        <v/>
      </c>
    </row>
    <row r="277">
      <c r="D277" s="11" t="n"/>
      <c r="K277" s="7">
        <f>IF($C277="","",J277*W277/100)</f>
        <v/>
      </c>
      <c r="Q277" s="7" t="n"/>
      <c r="R277" s="7" t="n"/>
      <c r="U277">
        <f>IF($C277="","",IF($AJ277=1,0,IF($AI277=1,Settings!$C$6,Settings!$C$7))*100)</f>
        <v/>
      </c>
      <c r="V277" s="7">
        <f>IF($C277="","",R277*U277/100)</f>
        <v/>
      </c>
      <c r="W277" s="7">
        <f>IF($C277="","",R277-V277)</f>
        <v/>
      </c>
      <c r="X277" s="7">
        <f>IF($C277="","",W277-K277)</f>
        <v/>
      </c>
      <c r="AB277" s="7" t="n"/>
      <c r="AE277" s="11" t="n"/>
      <c r="AG277">
        <f>IF($C277="","",IF(COUNTIF($C$2:$C277,$C277)=1,1,0))</f>
        <v/>
      </c>
      <c r="AH277">
        <f>IF($AG277=1,SUMPRODUCT(--($AK$2:$AK$6001&lt;$AK277))+1,"")</f>
        <v/>
      </c>
      <c r="AI277">
        <f>IF($C277="","",IF(OR($N277=TRUE(),$N277="TRUE"),1,0))</f>
        <v/>
      </c>
      <c r="AJ277">
        <f>IF($C277="","",IF($T277="Yes",1,0))</f>
        <v/>
      </c>
      <c r="AK277">
        <f>IF($AG277=1,IFERROR(IF(VALUE($C277)&lt;100000000,VALUE($C277),1000000000),IFERROR(IF(VALUE(MID($C277,2,20))&lt;100000000,VALUE(MID($C277,2,20)),1000000000),1000000000))+ROW()/100000,"")</f>
        <v/>
      </c>
    </row>
    <row r="278">
      <c r="D278" s="11" t="n"/>
      <c r="K278" s="7">
        <f>IF($C278="","",J278*W278/100)</f>
        <v/>
      </c>
      <c r="Q278" s="7" t="n"/>
      <c r="R278" s="7" t="n"/>
      <c r="U278">
        <f>IF($C278="","",IF($AJ278=1,0,IF($AI278=1,Settings!$C$6,Settings!$C$7))*100)</f>
        <v/>
      </c>
      <c r="V278" s="7">
        <f>IF($C278="","",R278*U278/100)</f>
        <v/>
      </c>
      <c r="W278" s="7">
        <f>IF($C278="","",R278-V278)</f>
        <v/>
      </c>
      <c r="X278" s="7">
        <f>IF($C278="","",W278-K278)</f>
        <v/>
      </c>
      <c r="AB278" s="7" t="n"/>
      <c r="AE278" s="11" t="n"/>
      <c r="AG278">
        <f>IF($C278="","",IF(COUNTIF($C$2:$C278,$C278)=1,1,0))</f>
        <v/>
      </c>
      <c r="AH278">
        <f>IF($AG278=1,SUMPRODUCT(--($AK$2:$AK$6001&lt;$AK278))+1,"")</f>
        <v/>
      </c>
      <c r="AI278">
        <f>IF($C278="","",IF(OR($N278=TRUE(),$N278="TRUE"),1,0))</f>
        <v/>
      </c>
      <c r="AJ278">
        <f>IF($C278="","",IF($T278="Yes",1,0))</f>
        <v/>
      </c>
      <c r="AK278">
        <f>IF($AG278=1,IFERROR(IF(VALUE($C278)&lt;100000000,VALUE($C278),1000000000),IFERROR(IF(VALUE(MID($C278,2,20))&lt;100000000,VALUE(MID($C278,2,20)),1000000000),1000000000))+ROW()/100000,"")</f>
        <v/>
      </c>
    </row>
    <row r="279">
      <c r="D279" s="11" t="n"/>
      <c r="K279" s="7">
        <f>IF($C279="","",J279*W279/100)</f>
        <v/>
      </c>
      <c r="Q279" s="7" t="n"/>
      <c r="R279" s="7" t="n"/>
      <c r="U279">
        <f>IF($C279="","",IF($AJ279=1,0,IF($AI279=1,Settings!$C$6,Settings!$C$7))*100)</f>
        <v/>
      </c>
      <c r="V279" s="7">
        <f>IF($C279="","",R279*U279/100)</f>
        <v/>
      </c>
      <c r="W279" s="7">
        <f>IF($C279="","",R279-V279)</f>
        <v/>
      </c>
      <c r="X279" s="7">
        <f>IF($C279="","",W279-K279)</f>
        <v/>
      </c>
      <c r="AB279" s="7" t="n"/>
      <c r="AE279" s="11" t="n"/>
      <c r="AG279">
        <f>IF($C279="","",IF(COUNTIF($C$2:$C279,$C279)=1,1,0))</f>
        <v/>
      </c>
      <c r="AH279">
        <f>IF($AG279=1,SUMPRODUCT(--($AK$2:$AK$6001&lt;$AK279))+1,"")</f>
        <v/>
      </c>
      <c r="AI279">
        <f>IF($C279="","",IF(OR($N279=TRUE(),$N279="TRUE"),1,0))</f>
        <v/>
      </c>
      <c r="AJ279">
        <f>IF($C279="","",IF($T279="Yes",1,0))</f>
        <v/>
      </c>
      <c r="AK279">
        <f>IF($AG279=1,IFERROR(IF(VALUE($C279)&lt;100000000,VALUE($C279),1000000000),IFERROR(IF(VALUE(MID($C279,2,20))&lt;100000000,VALUE(MID($C279,2,20)),1000000000),1000000000))+ROW()/100000,"")</f>
        <v/>
      </c>
    </row>
    <row r="280">
      <c r="D280" s="11" t="n"/>
      <c r="K280" s="7">
        <f>IF($C280="","",J280*W280/100)</f>
        <v/>
      </c>
      <c r="Q280" s="7" t="n"/>
      <c r="R280" s="7" t="n"/>
      <c r="U280">
        <f>IF($C280="","",IF($AJ280=1,0,IF($AI280=1,Settings!$C$6,Settings!$C$7))*100)</f>
        <v/>
      </c>
      <c r="V280" s="7">
        <f>IF($C280="","",R280*U280/100)</f>
        <v/>
      </c>
      <c r="W280" s="7">
        <f>IF($C280="","",R280-V280)</f>
        <v/>
      </c>
      <c r="X280" s="7">
        <f>IF($C280="","",W280-K280)</f>
        <v/>
      </c>
      <c r="AB280" s="7" t="n"/>
      <c r="AE280" s="11" t="n"/>
      <c r="AG280">
        <f>IF($C280="","",IF(COUNTIF($C$2:$C280,$C280)=1,1,0))</f>
        <v/>
      </c>
      <c r="AH280">
        <f>IF($AG280=1,SUMPRODUCT(--($AK$2:$AK$6001&lt;$AK280))+1,"")</f>
        <v/>
      </c>
      <c r="AI280">
        <f>IF($C280="","",IF(OR($N280=TRUE(),$N280="TRUE"),1,0))</f>
        <v/>
      </c>
      <c r="AJ280">
        <f>IF($C280="","",IF($T280="Yes",1,0))</f>
        <v/>
      </c>
      <c r="AK280">
        <f>IF($AG280=1,IFERROR(IF(VALUE($C280)&lt;100000000,VALUE($C280),1000000000),IFERROR(IF(VALUE(MID($C280,2,20))&lt;100000000,VALUE(MID($C280,2,20)),1000000000),1000000000))+ROW()/100000,"")</f>
        <v/>
      </c>
    </row>
    <row r="281">
      <c r="D281" s="11" t="n"/>
      <c r="K281" s="7">
        <f>IF($C281="","",J281*W281/100)</f>
        <v/>
      </c>
      <c r="Q281" s="7" t="n"/>
      <c r="R281" s="7" t="n"/>
      <c r="U281">
        <f>IF($C281="","",IF($AJ281=1,0,IF($AI281=1,Settings!$C$6,Settings!$C$7))*100)</f>
        <v/>
      </c>
      <c r="V281" s="7">
        <f>IF($C281="","",R281*U281/100)</f>
        <v/>
      </c>
      <c r="W281" s="7">
        <f>IF($C281="","",R281-V281)</f>
        <v/>
      </c>
      <c r="X281" s="7">
        <f>IF($C281="","",W281-K281)</f>
        <v/>
      </c>
      <c r="AB281" s="7" t="n"/>
      <c r="AE281" s="11" t="n"/>
      <c r="AG281">
        <f>IF($C281="","",IF(COUNTIF($C$2:$C281,$C281)=1,1,0))</f>
        <v/>
      </c>
      <c r="AH281">
        <f>IF($AG281=1,SUMPRODUCT(--($AK$2:$AK$6001&lt;$AK281))+1,"")</f>
        <v/>
      </c>
      <c r="AI281">
        <f>IF($C281="","",IF(OR($N281=TRUE(),$N281="TRUE"),1,0))</f>
        <v/>
      </c>
      <c r="AJ281">
        <f>IF($C281="","",IF($T281="Yes",1,0))</f>
        <v/>
      </c>
      <c r="AK281">
        <f>IF($AG281=1,IFERROR(IF(VALUE($C281)&lt;100000000,VALUE($C281),1000000000),IFERROR(IF(VALUE(MID($C281,2,20))&lt;100000000,VALUE(MID($C281,2,20)),1000000000),1000000000))+ROW()/100000,"")</f>
        <v/>
      </c>
    </row>
    <row r="282">
      <c r="D282" s="11" t="n"/>
      <c r="K282" s="7">
        <f>IF($C282="","",J282*W282/100)</f>
        <v/>
      </c>
      <c r="Q282" s="7" t="n"/>
      <c r="R282" s="7" t="n"/>
      <c r="U282">
        <f>IF($C282="","",IF($AJ282=1,0,IF($AI282=1,Settings!$C$6,Settings!$C$7))*100)</f>
        <v/>
      </c>
      <c r="V282" s="7">
        <f>IF($C282="","",R282*U282/100)</f>
        <v/>
      </c>
      <c r="W282" s="7">
        <f>IF($C282="","",R282-V282)</f>
        <v/>
      </c>
      <c r="X282" s="7">
        <f>IF($C282="","",W282-K282)</f>
        <v/>
      </c>
      <c r="AB282" s="7" t="n"/>
      <c r="AE282" s="11" t="n"/>
      <c r="AG282">
        <f>IF($C282="","",IF(COUNTIF($C$2:$C282,$C282)=1,1,0))</f>
        <v/>
      </c>
      <c r="AH282">
        <f>IF($AG282=1,SUMPRODUCT(--($AK$2:$AK$6001&lt;$AK282))+1,"")</f>
        <v/>
      </c>
      <c r="AI282">
        <f>IF($C282="","",IF(OR($N282=TRUE(),$N282="TRUE"),1,0))</f>
        <v/>
      </c>
      <c r="AJ282">
        <f>IF($C282="","",IF($T282="Yes",1,0))</f>
        <v/>
      </c>
      <c r="AK282">
        <f>IF($AG282=1,IFERROR(IF(VALUE($C282)&lt;100000000,VALUE($C282),1000000000),IFERROR(IF(VALUE(MID($C282,2,20))&lt;100000000,VALUE(MID($C282,2,20)),1000000000),1000000000))+ROW()/100000,"")</f>
        <v/>
      </c>
    </row>
    <row r="283">
      <c r="D283" s="11" t="n"/>
      <c r="K283" s="7">
        <f>IF($C283="","",J283*W283/100)</f>
        <v/>
      </c>
      <c r="Q283" s="7" t="n"/>
      <c r="R283" s="7" t="n"/>
      <c r="U283">
        <f>IF($C283="","",IF($AJ283=1,0,IF($AI283=1,Settings!$C$6,Settings!$C$7))*100)</f>
        <v/>
      </c>
      <c r="V283" s="7">
        <f>IF($C283="","",R283*U283/100)</f>
        <v/>
      </c>
      <c r="W283" s="7">
        <f>IF($C283="","",R283-V283)</f>
        <v/>
      </c>
      <c r="X283" s="7">
        <f>IF($C283="","",W283-K283)</f>
        <v/>
      </c>
      <c r="AB283" s="7" t="n"/>
      <c r="AE283" s="11" t="n"/>
      <c r="AG283">
        <f>IF($C283="","",IF(COUNTIF($C$2:$C283,$C283)=1,1,0))</f>
        <v/>
      </c>
      <c r="AH283">
        <f>IF($AG283=1,SUMPRODUCT(--($AK$2:$AK$6001&lt;$AK283))+1,"")</f>
        <v/>
      </c>
      <c r="AI283">
        <f>IF($C283="","",IF(OR($N283=TRUE(),$N283="TRUE"),1,0))</f>
        <v/>
      </c>
      <c r="AJ283">
        <f>IF($C283="","",IF($T283="Yes",1,0))</f>
        <v/>
      </c>
      <c r="AK283">
        <f>IF($AG283=1,IFERROR(IF(VALUE($C283)&lt;100000000,VALUE($C283),1000000000),IFERROR(IF(VALUE(MID($C283,2,20))&lt;100000000,VALUE(MID($C283,2,20)),1000000000),1000000000))+ROW()/100000,"")</f>
        <v/>
      </c>
    </row>
    <row r="284">
      <c r="D284" s="11" t="n"/>
      <c r="K284" s="7">
        <f>IF($C284="","",J284*W284/100)</f>
        <v/>
      </c>
      <c r="Q284" s="7" t="n"/>
      <c r="R284" s="7" t="n"/>
      <c r="U284">
        <f>IF($C284="","",IF($AJ284=1,0,IF($AI284=1,Settings!$C$6,Settings!$C$7))*100)</f>
        <v/>
      </c>
      <c r="V284" s="7">
        <f>IF($C284="","",R284*U284/100)</f>
        <v/>
      </c>
      <c r="W284" s="7">
        <f>IF($C284="","",R284-V284)</f>
        <v/>
      </c>
      <c r="X284" s="7">
        <f>IF($C284="","",W284-K284)</f>
        <v/>
      </c>
      <c r="AB284" s="7" t="n"/>
      <c r="AE284" s="11" t="n"/>
      <c r="AG284">
        <f>IF($C284="","",IF(COUNTIF($C$2:$C284,$C284)=1,1,0))</f>
        <v/>
      </c>
      <c r="AH284">
        <f>IF($AG284=1,SUMPRODUCT(--($AK$2:$AK$6001&lt;$AK284))+1,"")</f>
        <v/>
      </c>
      <c r="AI284">
        <f>IF($C284="","",IF(OR($N284=TRUE(),$N284="TRUE"),1,0))</f>
        <v/>
      </c>
      <c r="AJ284">
        <f>IF($C284="","",IF($T284="Yes",1,0))</f>
        <v/>
      </c>
      <c r="AK284">
        <f>IF($AG284=1,IFERROR(IF(VALUE($C284)&lt;100000000,VALUE($C284),1000000000),IFERROR(IF(VALUE(MID($C284,2,20))&lt;100000000,VALUE(MID($C284,2,20)),1000000000),1000000000))+ROW()/100000,"")</f>
        <v/>
      </c>
    </row>
    <row r="285">
      <c r="D285" s="11" t="n"/>
      <c r="K285" s="7">
        <f>IF($C285="","",J285*W285/100)</f>
        <v/>
      </c>
      <c r="Q285" s="7" t="n"/>
      <c r="R285" s="7" t="n"/>
      <c r="U285">
        <f>IF($C285="","",IF($AJ285=1,0,IF($AI285=1,Settings!$C$6,Settings!$C$7))*100)</f>
        <v/>
      </c>
      <c r="V285" s="7">
        <f>IF($C285="","",R285*U285/100)</f>
        <v/>
      </c>
      <c r="W285" s="7">
        <f>IF($C285="","",R285-V285)</f>
        <v/>
      </c>
      <c r="X285" s="7">
        <f>IF($C285="","",W285-K285)</f>
        <v/>
      </c>
      <c r="AB285" s="7" t="n"/>
      <c r="AE285" s="11" t="n"/>
      <c r="AG285">
        <f>IF($C285="","",IF(COUNTIF($C$2:$C285,$C285)=1,1,0))</f>
        <v/>
      </c>
      <c r="AH285">
        <f>IF($AG285=1,SUMPRODUCT(--($AK$2:$AK$6001&lt;$AK285))+1,"")</f>
        <v/>
      </c>
      <c r="AI285">
        <f>IF($C285="","",IF(OR($N285=TRUE(),$N285="TRUE"),1,0))</f>
        <v/>
      </c>
      <c r="AJ285">
        <f>IF($C285="","",IF($T285="Yes",1,0))</f>
        <v/>
      </c>
      <c r="AK285">
        <f>IF($AG285=1,IFERROR(IF(VALUE($C285)&lt;100000000,VALUE($C285),1000000000),IFERROR(IF(VALUE(MID($C285,2,20))&lt;100000000,VALUE(MID($C285,2,20)),1000000000),1000000000))+ROW()/100000,"")</f>
        <v/>
      </c>
    </row>
    <row r="286">
      <c r="D286" s="11" t="n"/>
      <c r="K286" s="7">
        <f>IF($C286="","",J286*W286/100)</f>
        <v/>
      </c>
      <c r="Q286" s="7" t="n"/>
      <c r="R286" s="7" t="n"/>
      <c r="U286">
        <f>IF($C286="","",IF($AJ286=1,0,IF($AI286=1,Settings!$C$6,Settings!$C$7))*100)</f>
        <v/>
      </c>
      <c r="V286" s="7">
        <f>IF($C286="","",R286*U286/100)</f>
        <v/>
      </c>
      <c r="W286" s="7">
        <f>IF($C286="","",R286-V286)</f>
        <v/>
      </c>
      <c r="X286" s="7">
        <f>IF($C286="","",W286-K286)</f>
        <v/>
      </c>
      <c r="AB286" s="7" t="n"/>
      <c r="AE286" s="11" t="n"/>
      <c r="AG286">
        <f>IF($C286="","",IF(COUNTIF($C$2:$C286,$C286)=1,1,0))</f>
        <v/>
      </c>
      <c r="AH286">
        <f>IF($AG286=1,SUMPRODUCT(--($AK$2:$AK$6001&lt;$AK286))+1,"")</f>
        <v/>
      </c>
      <c r="AI286">
        <f>IF($C286="","",IF(OR($N286=TRUE(),$N286="TRUE"),1,0))</f>
        <v/>
      </c>
      <c r="AJ286">
        <f>IF($C286="","",IF($T286="Yes",1,0))</f>
        <v/>
      </c>
      <c r="AK286">
        <f>IF($AG286=1,IFERROR(IF(VALUE($C286)&lt;100000000,VALUE($C286),1000000000),IFERROR(IF(VALUE(MID($C286,2,20))&lt;100000000,VALUE(MID($C286,2,20)),1000000000),1000000000))+ROW()/100000,"")</f>
        <v/>
      </c>
    </row>
    <row r="287">
      <c r="D287" s="11" t="n"/>
      <c r="K287" s="7">
        <f>IF($C287="","",J287*W287/100)</f>
        <v/>
      </c>
      <c r="Q287" s="7" t="n"/>
      <c r="R287" s="7" t="n"/>
      <c r="U287">
        <f>IF($C287="","",IF($AJ287=1,0,IF($AI287=1,Settings!$C$6,Settings!$C$7))*100)</f>
        <v/>
      </c>
      <c r="V287" s="7">
        <f>IF($C287="","",R287*U287/100)</f>
        <v/>
      </c>
      <c r="W287" s="7">
        <f>IF($C287="","",R287-V287)</f>
        <v/>
      </c>
      <c r="X287" s="7">
        <f>IF($C287="","",W287-K287)</f>
        <v/>
      </c>
      <c r="AB287" s="7" t="n"/>
      <c r="AE287" s="11" t="n"/>
      <c r="AG287">
        <f>IF($C287="","",IF(COUNTIF($C$2:$C287,$C287)=1,1,0))</f>
        <v/>
      </c>
      <c r="AH287">
        <f>IF($AG287=1,SUMPRODUCT(--($AK$2:$AK$6001&lt;$AK287))+1,"")</f>
        <v/>
      </c>
      <c r="AI287">
        <f>IF($C287="","",IF(OR($N287=TRUE(),$N287="TRUE"),1,0))</f>
        <v/>
      </c>
      <c r="AJ287">
        <f>IF($C287="","",IF($T287="Yes",1,0))</f>
        <v/>
      </c>
      <c r="AK287">
        <f>IF($AG287=1,IFERROR(IF(VALUE($C287)&lt;100000000,VALUE($C287),1000000000),IFERROR(IF(VALUE(MID($C287,2,20))&lt;100000000,VALUE(MID($C287,2,20)),1000000000),1000000000))+ROW()/100000,"")</f>
        <v/>
      </c>
    </row>
    <row r="288">
      <c r="D288" s="11" t="n"/>
      <c r="K288" s="7">
        <f>IF($C288="","",J288*W288/100)</f>
        <v/>
      </c>
      <c r="Q288" s="7" t="n"/>
      <c r="R288" s="7" t="n"/>
      <c r="U288">
        <f>IF($C288="","",IF($AJ288=1,0,IF($AI288=1,Settings!$C$6,Settings!$C$7))*100)</f>
        <v/>
      </c>
      <c r="V288" s="7">
        <f>IF($C288="","",R288*U288/100)</f>
        <v/>
      </c>
      <c r="W288" s="7">
        <f>IF($C288="","",R288-V288)</f>
        <v/>
      </c>
      <c r="X288" s="7">
        <f>IF($C288="","",W288-K288)</f>
        <v/>
      </c>
      <c r="AB288" s="7" t="n"/>
      <c r="AE288" s="11" t="n"/>
      <c r="AG288">
        <f>IF($C288="","",IF(COUNTIF($C$2:$C288,$C288)=1,1,0))</f>
        <v/>
      </c>
      <c r="AH288">
        <f>IF($AG288=1,SUMPRODUCT(--($AK$2:$AK$6001&lt;$AK288))+1,"")</f>
        <v/>
      </c>
      <c r="AI288">
        <f>IF($C288="","",IF(OR($N288=TRUE(),$N288="TRUE"),1,0))</f>
        <v/>
      </c>
      <c r="AJ288">
        <f>IF($C288="","",IF($T288="Yes",1,0))</f>
        <v/>
      </c>
      <c r="AK288">
        <f>IF($AG288=1,IFERROR(IF(VALUE($C288)&lt;100000000,VALUE($C288),1000000000),IFERROR(IF(VALUE(MID($C288,2,20))&lt;100000000,VALUE(MID($C288,2,20)),1000000000),1000000000))+ROW()/100000,"")</f>
        <v/>
      </c>
    </row>
    <row r="289">
      <c r="D289" s="11" t="n"/>
      <c r="K289" s="7">
        <f>IF($C289="","",J289*W289/100)</f>
        <v/>
      </c>
      <c r="Q289" s="7" t="n"/>
      <c r="R289" s="7" t="n"/>
      <c r="U289">
        <f>IF($C289="","",IF($AJ289=1,0,IF($AI289=1,Settings!$C$6,Settings!$C$7))*100)</f>
        <v/>
      </c>
      <c r="V289" s="7">
        <f>IF($C289="","",R289*U289/100)</f>
        <v/>
      </c>
      <c r="W289" s="7">
        <f>IF($C289="","",R289-V289)</f>
        <v/>
      </c>
      <c r="X289" s="7">
        <f>IF($C289="","",W289-K289)</f>
        <v/>
      </c>
      <c r="AB289" s="7" t="n"/>
      <c r="AE289" s="11" t="n"/>
      <c r="AG289">
        <f>IF($C289="","",IF(COUNTIF($C$2:$C289,$C289)=1,1,0))</f>
        <v/>
      </c>
      <c r="AH289">
        <f>IF($AG289=1,SUMPRODUCT(--($AK$2:$AK$6001&lt;$AK289))+1,"")</f>
        <v/>
      </c>
      <c r="AI289">
        <f>IF($C289="","",IF(OR($N289=TRUE(),$N289="TRUE"),1,0))</f>
        <v/>
      </c>
      <c r="AJ289">
        <f>IF($C289="","",IF($T289="Yes",1,0))</f>
        <v/>
      </c>
      <c r="AK289">
        <f>IF($AG289=1,IFERROR(IF(VALUE($C289)&lt;100000000,VALUE($C289),1000000000),IFERROR(IF(VALUE(MID($C289,2,20))&lt;100000000,VALUE(MID($C289,2,20)),1000000000),1000000000))+ROW()/100000,"")</f>
        <v/>
      </c>
    </row>
    <row r="290">
      <c r="D290" s="11" t="n"/>
      <c r="K290" s="7">
        <f>IF($C290="","",J290*W290/100)</f>
        <v/>
      </c>
      <c r="Q290" s="7" t="n"/>
      <c r="R290" s="7" t="n"/>
      <c r="U290">
        <f>IF($C290="","",IF($AJ290=1,0,IF($AI290=1,Settings!$C$6,Settings!$C$7))*100)</f>
        <v/>
      </c>
      <c r="V290" s="7">
        <f>IF($C290="","",R290*U290/100)</f>
        <v/>
      </c>
      <c r="W290" s="7">
        <f>IF($C290="","",R290-V290)</f>
        <v/>
      </c>
      <c r="X290" s="7">
        <f>IF($C290="","",W290-K290)</f>
        <v/>
      </c>
      <c r="AB290" s="7" t="n"/>
      <c r="AE290" s="11" t="n"/>
      <c r="AG290">
        <f>IF($C290="","",IF(COUNTIF($C$2:$C290,$C290)=1,1,0))</f>
        <v/>
      </c>
      <c r="AH290">
        <f>IF($AG290=1,SUMPRODUCT(--($AK$2:$AK$6001&lt;$AK290))+1,"")</f>
        <v/>
      </c>
      <c r="AI290">
        <f>IF($C290="","",IF(OR($N290=TRUE(),$N290="TRUE"),1,0))</f>
        <v/>
      </c>
      <c r="AJ290">
        <f>IF($C290="","",IF($T290="Yes",1,0))</f>
        <v/>
      </c>
      <c r="AK290">
        <f>IF($AG290=1,IFERROR(IF(VALUE($C290)&lt;100000000,VALUE($C290),1000000000),IFERROR(IF(VALUE(MID($C290,2,20))&lt;100000000,VALUE(MID($C290,2,20)),1000000000),1000000000))+ROW()/100000,"")</f>
        <v/>
      </c>
    </row>
    <row r="291">
      <c r="D291" s="11" t="n"/>
      <c r="K291" s="7">
        <f>IF($C291="","",J291*W291/100)</f>
        <v/>
      </c>
      <c r="Q291" s="7" t="n"/>
      <c r="R291" s="7" t="n"/>
      <c r="U291">
        <f>IF($C291="","",IF($AJ291=1,0,IF($AI291=1,Settings!$C$6,Settings!$C$7))*100)</f>
        <v/>
      </c>
      <c r="V291" s="7">
        <f>IF($C291="","",R291*U291/100)</f>
        <v/>
      </c>
      <c r="W291" s="7">
        <f>IF($C291="","",R291-V291)</f>
        <v/>
      </c>
      <c r="X291" s="7">
        <f>IF($C291="","",W291-K291)</f>
        <v/>
      </c>
      <c r="AB291" s="7" t="n"/>
      <c r="AE291" s="11" t="n"/>
      <c r="AG291">
        <f>IF($C291="","",IF(COUNTIF($C$2:$C291,$C291)=1,1,0))</f>
        <v/>
      </c>
      <c r="AH291">
        <f>IF($AG291=1,SUMPRODUCT(--($AK$2:$AK$6001&lt;$AK291))+1,"")</f>
        <v/>
      </c>
      <c r="AI291">
        <f>IF($C291="","",IF(OR($N291=TRUE(),$N291="TRUE"),1,0))</f>
        <v/>
      </c>
      <c r="AJ291">
        <f>IF($C291="","",IF($T291="Yes",1,0))</f>
        <v/>
      </c>
      <c r="AK291">
        <f>IF($AG291=1,IFERROR(IF(VALUE($C291)&lt;100000000,VALUE($C291),1000000000),IFERROR(IF(VALUE(MID($C291,2,20))&lt;100000000,VALUE(MID($C291,2,20)),1000000000),1000000000))+ROW()/100000,"")</f>
        <v/>
      </c>
    </row>
    <row r="292">
      <c r="D292" s="11" t="n"/>
      <c r="K292" s="7">
        <f>IF($C292="","",J292*W292/100)</f>
        <v/>
      </c>
      <c r="Q292" s="7" t="n"/>
      <c r="R292" s="7" t="n"/>
      <c r="U292">
        <f>IF($C292="","",IF($AJ292=1,0,IF($AI292=1,Settings!$C$6,Settings!$C$7))*100)</f>
        <v/>
      </c>
      <c r="V292" s="7">
        <f>IF($C292="","",R292*U292/100)</f>
        <v/>
      </c>
      <c r="W292" s="7">
        <f>IF($C292="","",R292-V292)</f>
        <v/>
      </c>
      <c r="X292" s="7">
        <f>IF($C292="","",W292-K292)</f>
        <v/>
      </c>
      <c r="AB292" s="7" t="n"/>
      <c r="AE292" s="11" t="n"/>
      <c r="AG292">
        <f>IF($C292="","",IF(COUNTIF($C$2:$C292,$C292)=1,1,0))</f>
        <v/>
      </c>
      <c r="AH292">
        <f>IF($AG292=1,SUMPRODUCT(--($AK$2:$AK$6001&lt;$AK292))+1,"")</f>
        <v/>
      </c>
      <c r="AI292">
        <f>IF($C292="","",IF(OR($N292=TRUE(),$N292="TRUE"),1,0))</f>
        <v/>
      </c>
      <c r="AJ292">
        <f>IF($C292="","",IF($T292="Yes",1,0))</f>
        <v/>
      </c>
      <c r="AK292">
        <f>IF($AG292=1,IFERROR(IF(VALUE($C292)&lt;100000000,VALUE($C292),1000000000),IFERROR(IF(VALUE(MID($C292,2,20))&lt;100000000,VALUE(MID($C292,2,20)),1000000000),1000000000))+ROW()/100000,"")</f>
        <v/>
      </c>
    </row>
    <row r="293">
      <c r="D293" s="11" t="n"/>
      <c r="K293" s="7">
        <f>IF($C293="","",J293*W293/100)</f>
        <v/>
      </c>
      <c r="Q293" s="7" t="n"/>
      <c r="R293" s="7" t="n"/>
      <c r="U293">
        <f>IF($C293="","",IF($AJ293=1,0,IF($AI293=1,Settings!$C$6,Settings!$C$7))*100)</f>
        <v/>
      </c>
      <c r="V293" s="7">
        <f>IF($C293="","",R293*U293/100)</f>
        <v/>
      </c>
      <c r="W293" s="7">
        <f>IF($C293="","",R293-V293)</f>
        <v/>
      </c>
      <c r="X293" s="7">
        <f>IF($C293="","",W293-K293)</f>
        <v/>
      </c>
      <c r="AB293" s="7" t="n"/>
      <c r="AE293" s="11" t="n"/>
      <c r="AG293">
        <f>IF($C293="","",IF(COUNTIF($C$2:$C293,$C293)=1,1,0))</f>
        <v/>
      </c>
      <c r="AH293">
        <f>IF($AG293=1,SUMPRODUCT(--($AK$2:$AK$6001&lt;$AK293))+1,"")</f>
        <v/>
      </c>
      <c r="AI293">
        <f>IF($C293="","",IF(OR($N293=TRUE(),$N293="TRUE"),1,0))</f>
        <v/>
      </c>
      <c r="AJ293">
        <f>IF($C293="","",IF($T293="Yes",1,0))</f>
        <v/>
      </c>
      <c r="AK293">
        <f>IF($AG293=1,IFERROR(IF(VALUE($C293)&lt;100000000,VALUE($C293),1000000000),IFERROR(IF(VALUE(MID($C293,2,20))&lt;100000000,VALUE(MID($C293,2,20)),1000000000),1000000000))+ROW()/100000,"")</f>
        <v/>
      </c>
    </row>
    <row r="294">
      <c r="D294" s="11" t="n"/>
      <c r="K294" s="7">
        <f>IF($C294="","",J294*W294/100)</f>
        <v/>
      </c>
      <c r="Q294" s="7" t="n"/>
      <c r="R294" s="7" t="n"/>
      <c r="U294">
        <f>IF($C294="","",IF($AJ294=1,0,IF($AI294=1,Settings!$C$6,Settings!$C$7))*100)</f>
        <v/>
      </c>
      <c r="V294" s="7">
        <f>IF($C294="","",R294*U294/100)</f>
        <v/>
      </c>
      <c r="W294" s="7">
        <f>IF($C294="","",R294-V294)</f>
        <v/>
      </c>
      <c r="X294" s="7">
        <f>IF($C294="","",W294-K294)</f>
        <v/>
      </c>
      <c r="AB294" s="7" t="n"/>
      <c r="AE294" s="11" t="n"/>
      <c r="AG294">
        <f>IF($C294="","",IF(COUNTIF($C$2:$C294,$C294)=1,1,0))</f>
        <v/>
      </c>
      <c r="AH294">
        <f>IF($AG294=1,SUMPRODUCT(--($AK$2:$AK$6001&lt;$AK294))+1,"")</f>
        <v/>
      </c>
      <c r="AI294">
        <f>IF($C294="","",IF(OR($N294=TRUE(),$N294="TRUE"),1,0))</f>
        <v/>
      </c>
      <c r="AJ294">
        <f>IF($C294="","",IF($T294="Yes",1,0))</f>
        <v/>
      </c>
      <c r="AK294">
        <f>IF($AG294=1,IFERROR(IF(VALUE($C294)&lt;100000000,VALUE($C294),1000000000),IFERROR(IF(VALUE(MID($C294,2,20))&lt;100000000,VALUE(MID($C294,2,20)),1000000000),1000000000))+ROW()/100000,"")</f>
        <v/>
      </c>
    </row>
    <row r="295">
      <c r="D295" s="11" t="n"/>
      <c r="K295" s="7">
        <f>IF($C295="","",J295*W295/100)</f>
        <v/>
      </c>
      <c r="Q295" s="7" t="n"/>
      <c r="R295" s="7" t="n"/>
      <c r="U295">
        <f>IF($C295="","",IF($AJ295=1,0,IF($AI295=1,Settings!$C$6,Settings!$C$7))*100)</f>
        <v/>
      </c>
      <c r="V295" s="7">
        <f>IF($C295="","",R295*U295/100)</f>
        <v/>
      </c>
      <c r="W295" s="7">
        <f>IF($C295="","",R295-V295)</f>
        <v/>
      </c>
      <c r="X295" s="7">
        <f>IF($C295="","",W295-K295)</f>
        <v/>
      </c>
      <c r="AB295" s="7" t="n"/>
      <c r="AE295" s="11" t="n"/>
      <c r="AG295">
        <f>IF($C295="","",IF(COUNTIF($C$2:$C295,$C295)=1,1,0))</f>
        <v/>
      </c>
      <c r="AH295">
        <f>IF($AG295=1,SUMPRODUCT(--($AK$2:$AK$6001&lt;$AK295))+1,"")</f>
        <v/>
      </c>
      <c r="AI295">
        <f>IF($C295="","",IF(OR($N295=TRUE(),$N295="TRUE"),1,0))</f>
        <v/>
      </c>
      <c r="AJ295">
        <f>IF($C295="","",IF($T295="Yes",1,0))</f>
        <v/>
      </c>
      <c r="AK295">
        <f>IF($AG295=1,IFERROR(IF(VALUE($C295)&lt;100000000,VALUE($C295),1000000000),IFERROR(IF(VALUE(MID($C295,2,20))&lt;100000000,VALUE(MID($C295,2,20)),1000000000),1000000000))+ROW()/100000,"")</f>
        <v/>
      </c>
    </row>
    <row r="296">
      <c r="D296" s="11" t="n"/>
      <c r="K296" s="7">
        <f>IF($C296="","",J296*W296/100)</f>
        <v/>
      </c>
      <c r="Q296" s="7" t="n"/>
      <c r="R296" s="7" t="n"/>
      <c r="U296">
        <f>IF($C296="","",IF($AJ296=1,0,IF($AI296=1,Settings!$C$6,Settings!$C$7))*100)</f>
        <v/>
      </c>
      <c r="V296" s="7">
        <f>IF($C296="","",R296*U296/100)</f>
        <v/>
      </c>
      <c r="W296" s="7">
        <f>IF($C296="","",R296-V296)</f>
        <v/>
      </c>
      <c r="X296" s="7">
        <f>IF($C296="","",W296-K296)</f>
        <v/>
      </c>
      <c r="AB296" s="7" t="n"/>
      <c r="AE296" s="11" t="n"/>
      <c r="AG296">
        <f>IF($C296="","",IF(COUNTIF($C$2:$C296,$C296)=1,1,0))</f>
        <v/>
      </c>
      <c r="AH296">
        <f>IF($AG296=1,SUMPRODUCT(--($AK$2:$AK$6001&lt;$AK296))+1,"")</f>
        <v/>
      </c>
      <c r="AI296">
        <f>IF($C296="","",IF(OR($N296=TRUE(),$N296="TRUE"),1,0))</f>
        <v/>
      </c>
      <c r="AJ296">
        <f>IF($C296="","",IF($T296="Yes",1,0))</f>
        <v/>
      </c>
      <c r="AK296">
        <f>IF($AG296=1,IFERROR(IF(VALUE($C296)&lt;100000000,VALUE($C296),1000000000),IFERROR(IF(VALUE(MID($C296,2,20))&lt;100000000,VALUE(MID($C296,2,20)),1000000000),1000000000))+ROW()/100000,"")</f>
        <v/>
      </c>
    </row>
    <row r="297">
      <c r="D297" s="11" t="n"/>
      <c r="K297" s="7">
        <f>IF($C297="","",J297*W297/100)</f>
        <v/>
      </c>
      <c r="Q297" s="7" t="n"/>
      <c r="R297" s="7" t="n"/>
      <c r="U297">
        <f>IF($C297="","",IF($AJ297=1,0,IF($AI297=1,Settings!$C$6,Settings!$C$7))*100)</f>
        <v/>
      </c>
      <c r="V297" s="7">
        <f>IF($C297="","",R297*U297/100)</f>
        <v/>
      </c>
      <c r="W297" s="7">
        <f>IF($C297="","",R297-V297)</f>
        <v/>
      </c>
      <c r="X297" s="7">
        <f>IF($C297="","",W297-K297)</f>
        <v/>
      </c>
      <c r="AB297" s="7" t="n"/>
      <c r="AE297" s="11" t="n"/>
      <c r="AG297">
        <f>IF($C297="","",IF(COUNTIF($C$2:$C297,$C297)=1,1,0))</f>
        <v/>
      </c>
      <c r="AH297">
        <f>IF($AG297=1,SUMPRODUCT(--($AK$2:$AK$6001&lt;$AK297))+1,"")</f>
        <v/>
      </c>
      <c r="AI297">
        <f>IF($C297="","",IF(OR($N297=TRUE(),$N297="TRUE"),1,0))</f>
        <v/>
      </c>
      <c r="AJ297">
        <f>IF($C297="","",IF($T297="Yes",1,0))</f>
        <v/>
      </c>
      <c r="AK297">
        <f>IF($AG297=1,IFERROR(IF(VALUE($C297)&lt;100000000,VALUE($C297),1000000000),IFERROR(IF(VALUE(MID($C297,2,20))&lt;100000000,VALUE(MID($C297,2,20)),1000000000),1000000000))+ROW()/100000,"")</f>
        <v/>
      </c>
    </row>
    <row r="298">
      <c r="D298" s="11" t="n"/>
      <c r="K298" s="7">
        <f>IF($C298="","",J298*W298/100)</f>
        <v/>
      </c>
      <c r="Q298" s="7" t="n"/>
      <c r="R298" s="7" t="n"/>
      <c r="U298">
        <f>IF($C298="","",IF($AJ298=1,0,IF($AI298=1,Settings!$C$6,Settings!$C$7))*100)</f>
        <v/>
      </c>
      <c r="V298" s="7">
        <f>IF($C298="","",R298*U298/100)</f>
        <v/>
      </c>
      <c r="W298" s="7">
        <f>IF($C298="","",R298-V298)</f>
        <v/>
      </c>
      <c r="X298" s="7">
        <f>IF($C298="","",W298-K298)</f>
        <v/>
      </c>
      <c r="AB298" s="7" t="n"/>
      <c r="AE298" s="11" t="n"/>
      <c r="AG298">
        <f>IF($C298="","",IF(COUNTIF($C$2:$C298,$C298)=1,1,0))</f>
        <v/>
      </c>
      <c r="AH298">
        <f>IF($AG298=1,SUMPRODUCT(--($AK$2:$AK$6001&lt;$AK298))+1,"")</f>
        <v/>
      </c>
      <c r="AI298">
        <f>IF($C298="","",IF(OR($N298=TRUE(),$N298="TRUE"),1,0))</f>
        <v/>
      </c>
      <c r="AJ298">
        <f>IF($C298="","",IF($T298="Yes",1,0))</f>
        <v/>
      </c>
      <c r="AK298">
        <f>IF($AG298=1,IFERROR(IF(VALUE($C298)&lt;100000000,VALUE($C298),1000000000),IFERROR(IF(VALUE(MID($C298,2,20))&lt;100000000,VALUE(MID($C298,2,20)),1000000000),1000000000))+ROW()/100000,"")</f>
        <v/>
      </c>
    </row>
    <row r="299">
      <c r="D299" s="11" t="n"/>
      <c r="K299" s="7">
        <f>IF($C299="","",J299*W299/100)</f>
        <v/>
      </c>
      <c r="Q299" s="7" t="n"/>
      <c r="R299" s="7" t="n"/>
      <c r="U299">
        <f>IF($C299="","",IF($AJ299=1,0,IF($AI299=1,Settings!$C$6,Settings!$C$7))*100)</f>
        <v/>
      </c>
      <c r="V299" s="7">
        <f>IF($C299="","",R299*U299/100)</f>
        <v/>
      </c>
      <c r="W299" s="7">
        <f>IF($C299="","",R299-V299)</f>
        <v/>
      </c>
      <c r="X299" s="7">
        <f>IF($C299="","",W299-K299)</f>
        <v/>
      </c>
      <c r="AB299" s="7" t="n"/>
      <c r="AE299" s="11" t="n"/>
      <c r="AG299">
        <f>IF($C299="","",IF(COUNTIF($C$2:$C299,$C299)=1,1,0))</f>
        <v/>
      </c>
      <c r="AH299">
        <f>IF($AG299=1,SUMPRODUCT(--($AK$2:$AK$6001&lt;$AK299))+1,"")</f>
        <v/>
      </c>
      <c r="AI299">
        <f>IF($C299="","",IF(OR($N299=TRUE(),$N299="TRUE"),1,0))</f>
        <v/>
      </c>
      <c r="AJ299">
        <f>IF($C299="","",IF($T299="Yes",1,0))</f>
        <v/>
      </c>
      <c r="AK299">
        <f>IF($AG299=1,IFERROR(IF(VALUE($C299)&lt;100000000,VALUE($C299),1000000000),IFERROR(IF(VALUE(MID($C299,2,20))&lt;100000000,VALUE(MID($C299,2,20)),1000000000),1000000000))+ROW()/100000,"")</f>
        <v/>
      </c>
    </row>
    <row r="300">
      <c r="D300" s="11" t="n"/>
      <c r="K300" s="7">
        <f>IF($C300="","",J300*W300/100)</f>
        <v/>
      </c>
      <c r="Q300" s="7" t="n"/>
      <c r="R300" s="7" t="n"/>
      <c r="U300">
        <f>IF($C300="","",IF($AJ300=1,0,IF($AI300=1,Settings!$C$6,Settings!$C$7))*100)</f>
        <v/>
      </c>
      <c r="V300" s="7">
        <f>IF($C300="","",R300*U300/100)</f>
        <v/>
      </c>
      <c r="W300" s="7">
        <f>IF($C300="","",R300-V300)</f>
        <v/>
      </c>
      <c r="X300" s="7">
        <f>IF($C300="","",W300-K300)</f>
        <v/>
      </c>
      <c r="AB300" s="7" t="n"/>
      <c r="AE300" s="11" t="n"/>
      <c r="AG300">
        <f>IF($C300="","",IF(COUNTIF($C$2:$C300,$C300)=1,1,0))</f>
        <v/>
      </c>
      <c r="AH300">
        <f>IF($AG300=1,SUMPRODUCT(--($AK$2:$AK$6001&lt;$AK300))+1,"")</f>
        <v/>
      </c>
      <c r="AI300">
        <f>IF($C300="","",IF(OR($N300=TRUE(),$N300="TRUE"),1,0))</f>
        <v/>
      </c>
      <c r="AJ300">
        <f>IF($C300="","",IF($T300="Yes",1,0))</f>
        <v/>
      </c>
      <c r="AK300">
        <f>IF($AG300=1,IFERROR(IF(VALUE($C300)&lt;100000000,VALUE($C300),1000000000),IFERROR(IF(VALUE(MID($C300,2,20))&lt;100000000,VALUE(MID($C300,2,20)),1000000000),1000000000))+ROW()/100000,"")</f>
        <v/>
      </c>
    </row>
    <row r="301">
      <c r="D301" s="11" t="n"/>
      <c r="K301" s="7">
        <f>IF($C301="","",J301*W301/100)</f>
        <v/>
      </c>
      <c r="Q301" s="7" t="n"/>
      <c r="R301" s="7" t="n"/>
      <c r="U301">
        <f>IF($C301="","",IF($AJ301=1,0,IF($AI301=1,Settings!$C$6,Settings!$C$7))*100)</f>
        <v/>
      </c>
      <c r="V301" s="7">
        <f>IF($C301="","",R301*U301/100)</f>
        <v/>
      </c>
      <c r="W301" s="7">
        <f>IF($C301="","",R301-V301)</f>
        <v/>
      </c>
      <c r="X301" s="7">
        <f>IF($C301="","",W301-K301)</f>
        <v/>
      </c>
      <c r="AB301" s="7" t="n"/>
      <c r="AE301" s="11" t="n"/>
      <c r="AG301">
        <f>IF($C301="","",IF(COUNTIF($C$2:$C301,$C301)=1,1,0))</f>
        <v/>
      </c>
      <c r="AH301">
        <f>IF($AG301=1,SUMPRODUCT(--($AK$2:$AK$6001&lt;$AK301))+1,"")</f>
        <v/>
      </c>
      <c r="AI301">
        <f>IF($C301="","",IF(OR($N301=TRUE(),$N301="TRUE"),1,0))</f>
        <v/>
      </c>
      <c r="AJ301">
        <f>IF($C301="","",IF($T301="Yes",1,0))</f>
        <v/>
      </c>
      <c r="AK301">
        <f>IF($AG301=1,IFERROR(IF(VALUE($C301)&lt;100000000,VALUE($C301),1000000000),IFERROR(IF(VALUE(MID($C301,2,20))&lt;100000000,VALUE(MID($C301,2,20)),1000000000),1000000000))+ROW()/100000,"")</f>
        <v/>
      </c>
    </row>
    <row r="302">
      <c r="D302" s="11" t="n"/>
      <c r="K302" s="7">
        <f>IF($C302="","",J302*W302/100)</f>
        <v/>
      </c>
      <c r="Q302" s="7" t="n"/>
      <c r="R302" s="7" t="n"/>
      <c r="U302">
        <f>IF($C302="","",IF($AJ302=1,0,IF($AI302=1,Settings!$C$6,Settings!$C$7))*100)</f>
        <v/>
      </c>
      <c r="V302" s="7">
        <f>IF($C302="","",R302*U302/100)</f>
        <v/>
      </c>
      <c r="W302" s="7">
        <f>IF($C302="","",R302-V302)</f>
        <v/>
      </c>
      <c r="X302" s="7">
        <f>IF($C302="","",W302-K302)</f>
        <v/>
      </c>
      <c r="AB302" s="7" t="n"/>
      <c r="AE302" s="11" t="n"/>
      <c r="AG302">
        <f>IF($C302="","",IF(COUNTIF($C$2:$C302,$C302)=1,1,0))</f>
        <v/>
      </c>
      <c r="AH302">
        <f>IF($AG302=1,SUMPRODUCT(--($AK$2:$AK$6001&lt;$AK302))+1,"")</f>
        <v/>
      </c>
      <c r="AI302">
        <f>IF($C302="","",IF(OR($N302=TRUE(),$N302="TRUE"),1,0))</f>
        <v/>
      </c>
      <c r="AJ302">
        <f>IF($C302="","",IF($T302="Yes",1,0))</f>
        <v/>
      </c>
      <c r="AK302">
        <f>IF($AG302=1,IFERROR(IF(VALUE($C302)&lt;100000000,VALUE($C302),1000000000),IFERROR(IF(VALUE(MID($C302,2,20))&lt;100000000,VALUE(MID($C302,2,20)),1000000000),1000000000))+ROW()/100000,"")</f>
        <v/>
      </c>
    </row>
    <row r="303">
      <c r="D303" s="11" t="n"/>
      <c r="K303" s="7">
        <f>IF($C303="","",J303*W303/100)</f>
        <v/>
      </c>
      <c r="Q303" s="7" t="n"/>
      <c r="R303" s="7" t="n"/>
      <c r="U303">
        <f>IF($C303="","",IF($AJ303=1,0,IF($AI303=1,Settings!$C$6,Settings!$C$7))*100)</f>
        <v/>
      </c>
      <c r="V303" s="7">
        <f>IF($C303="","",R303*U303/100)</f>
        <v/>
      </c>
      <c r="W303" s="7">
        <f>IF($C303="","",R303-V303)</f>
        <v/>
      </c>
      <c r="X303" s="7">
        <f>IF($C303="","",W303-K303)</f>
        <v/>
      </c>
      <c r="AB303" s="7" t="n"/>
      <c r="AE303" s="11" t="n"/>
      <c r="AG303">
        <f>IF($C303="","",IF(COUNTIF($C$2:$C303,$C303)=1,1,0))</f>
        <v/>
      </c>
      <c r="AH303">
        <f>IF($AG303=1,SUMPRODUCT(--($AK$2:$AK$6001&lt;$AK303))+1,"")</f>
        <v/>
      </c>
      <c r="AI303">
        <f>IF($C303="","",IF(OR($N303=TRUE(),$N303="TRUE"),1,0))</f>
        <v/>
      </c>
      <c r="AJ303">
        <f>IF($C303="","",IF($T303="Yes",1,0))</f>
        <v/>
      </c>
      <c r="AK303">
        <f>IF($AG303=1,IFERROR(IF(VALUE($C303)&lt;100000000,VALUE($C303),1000000000),IFERROR(IF(VALUE(MID($C303,2,20))&lt;100000000,VALUE(MID($C303,2,20)),1000000000),1000000000))+ROW()/100000,"")</f>
        <v/>
      </c>
    </row>
    <row r="304">
      <c r="D304" s="11" t="n"/>
      <c r="K304" s="7">
        <f>IF($C304="","",J304*W304/100)</f>
        <v/>
      </c>
      <c r="Q304" s="7" t="n"/>
      <c r="R304" s="7" t="n"/>
      <c r="U304">
        <f>IF($C304="","",IF($AJ304=1,0,IF($AI304=1,Settings!$C$6,Settings!$C$7))*100)</f>
        <v/>
      </c>
      <c r="V304" s="7">
        <f>IF($C304="","",R304*U304/100)</f>
        <v/>
      </c>
      <c r="W304" s="7">
        <f>IF($C304="","",R304-V304)</f>
        <v/>
      </c>
      <c r="X304" s="7">
        <f>IF($C304="","",W304-K304)</f>
        <v/>
      </c>
      <c r="AB304" s="7" t="n"/>
      <c r="AE304" s="11" t="n"/>
      <c r="AG304">
        <f>IF($C304="","",IF(COUNTIF($C$2:$C304,$C304)=1,1,0))</f>
        <v/>
      </c>
      <c r="AH304">
        <f>IF($AG304=1,SUMPRODUCT(--($AK$2:$AK$6001&lt;$AK304))+1,"")</f>
        <v/>
      </c>
      <c r="AI304">
        <f>IF($C304="","",IF(OR($N304=TRUE(),$N304="TRUE"),1,0))</f>
        <v/>
      </c>
      <c r="AJ304">
        <f>IF($C304="","",IF($T304="Yes",1,0))</f>
        <v/>
      </c>
      <c r="AK304">
        <f>IF($AG304=1,IFERROR(IF(VALUE($C304)&lt;100000000,VALUE($C304),1000000000),IFERROR(IF(VALUE(MID($C304,2,20))&lt;100000000,VALUE(MID($C304,2,20)),1000000000),1000000000))+ROW()/100000,"")</f>
        <v/>
      </c>
    </row>
    <row r="305">
      <c r="D305" s="11" t="n"/>
      <c r="K305" s="7">
        <f>IF($C305="","",J305*W305/100)</f>
        <v/>
      </c>
      <c r="Q305" s="7" t="n"/>
      <c r="R305" s="7" t="n"/>
      <c r="U305">
        <f>IF($C305="","",IF($AJ305=1,0,IF($AI305=1,Settings!$C$6,Settings!$C$7))*100)</f>
        <v/>
      </c>
      <c r="V305" s="7">
        <f>IF($C305="","",R305*U305/100)</f>
        <v/>
      </c>
      <c r="W305" s="7">
        <f>IF($C305="","",R305-V305)</f>
        <v/>
      </c>
      <c r="X305" s="7">
        <f>IF($C305="","",W305-K305)</f>
        <v/>
      </c>
      <c r="AB305" s="7" t="n"/>
      <c r="AE305" s="11" t="n"/>
      <c r="AG305">
        <f>IF($C305="","",IF(COUNTIF($C$2:$C305,$C305)=1,1,0))</f>
        <v/>
      </c>
      <c r="AH305">
        <f>IF($AG305=1,SUMPRODUCT(--($AK$2:$AK$6001&lt;$AK305))+1,"")</f>
        <v/>
      </c>
      <c r="AI305">
        <f>IF($C305="","",IF(OR($N305=TRUE(),$N305="TRUE"),1,0))</f>
        <v/>
      </c>
      <c r="AJ305">
        <f>IF($C305="","",IF($T305="Yes",1,0))</f>
        <v/>
      </c>
      <c r="AK305">
        <f>IF($AG305=1,IFERROR(IF(VALUE($C305)&lt;100000000,VALUE($C305),1000000000),IFERROR(IF(VALUE(MID($C305,2,20))&lt;100000000,VALUE(MID($C305,2,20)),1000000000),1000000000))+ROW()/100000,"")</f>
        <v/>
      </c>
    </row>
    <row r="306">
      <c r="D306" s="11" t="n"/>
      <c r="K306" s="7">
        <f>IF($C306="","",J306*W306/100)</f>
        <v/>
      </c>
      <c r="Q306" s="7" t="n"/>
      <c r="R306" s="7" t="n"/>
      <c r="U306">
        <f>IF($C306="","",IF($AJ306=1,0,IF($AI306=1,Settings!$C$6,Settings!$C$7))*100)</f>
        <v/>
      </c>
      <c r="V306" s="7">
        <f>IF($C306="","",R306*U306/100)</f>
        <v/>
      </c>
      <c r="W306" s="7">
        <f>IF($C306="","",R306-V306)</f>
        <v/>
      </c>
      <c r="X306" s="7">
        <f>IF($C306="","",W306-K306)</f>
        <v/>
      </c>
      <c r="AB306" s="7" t="n"/>
      <c r="AE306" s="11" t="n"/>
      <c r="AG306">
        <f>IF($C306="","",IF(COUNTIF($C$2:$C306,$C306)=1,1,0))</f>
        <v/>
      </c>
      <c r="AH306">
        <f>IF($AG306=1,SUMPRODUCT(--($AK$2:$AK$6001&lt;$AK306))+1,"")</f>
        <v/>
      </c>
      <c r="AI306">
        <f>IF($C306="","",IF(OR($N306=TRUE(),$N306="TRUE"),1,0))</f>
        <v/>
      </c>
      <c r="AJ306">
        <f>IF($C306="","",IF($T306="Yes",1,0))</f>
        <v/>
      </c>
      <c r="AK306">
        <f>IF($AG306=1,IFERROR(IF(VALUE($C306)&lt;100000000,VALUE($C306),1000000000),IFERROR(IF(VALUE(MID($C306,2,20))&lt;100000000,VALUE(MID($C306,2,20)),1000000000),1000000000))+ROW()/100000,"")</f>
        <v/>
      </c>
    </row>
    <row r="307">
      <c r="D307" s="11" t="n"/>
      <c r="K307" s="7">
        <f>IF($C307="","",J307*W307/100)</f>
        <v/>
      </c>
      <c r="Q307" s="7" t="n"/>
      <c r="R307" s="7" t="n"/>
      <c r="U307">
        <f>IF($C307="","",IF($AJ307=1,0,IF($AI307=1,Settings!$C$6,Settings!$C$7))*100)</f>
        <v/>
      </c>
      <c r="V307" s="7">
        <f>IF($C307="","",R307*U307/100)</f>
        <v/>
      </c>
      <c r="W307" s="7">
        <f>IF($C307="","",R307-V307)</f>
        <v/>
      </c>
      <c r="X307" s="7">
        <f>IF($C307="","",W307-K307)</f>
        <v/>
      </c>
      <c r="AB307" s="7" t="n"/>
      <c r="AE307" s="11" t="n"/>
      <c r="AG307">
        <f>IF($C307="","",IF(COUNTIF($C$2:$C307,$C307)=1,1,0))</f>
        <v/>
      </c>
      <c r="AH307">
        <f>IF($AG307=1,SUMPRODUCT(--($AK$2:$AK$6001&lt;$AK307))+1,"")</f>
        <v/>
      </c>
      <c r="AI307">
        <f>IF($C307="","",IF(OR($N307=TRUE(),$N307="TRUE"),1,0))</f>
        <v/>
      </c>
      <c r="AJ307">
        <f>IF($C307="","",IF($T307="Yes",1,0))</f>
        <v/>
      </c>
      <c r="AK307">
        <f>IF($AG307=1,IFERROR(IF(VALUE($C307)&lt;100000000,VALUE($C307),1000000000),IFERROR(IF(VALUE(MID($C307,2,20))&lt;100000000,VALUE(MID($C307,2,20)),1000000000),1000000000))+ROW()/100000,"")</f>
        <v/>
      </c>
    </row>
    <row r="308">
      <c r="D308" s="11" t="n"/>
      <c r="K308" s="7">
        <f>IF($C308="","",J308*W308/100)</f>
        <v/>
      </c>
      <c r="Q308" s="7" t="n"/>
      <c r="R308" s="7" t="n"/>
      <c r="U308">
        <f>IF($C308="","",IF($AJ308=1,0,IF($AI308=1,Settings!$C$6,Settings!$C$7))*100)</f>
        <v/>
      </c>
      <c r="V308" s="7">
        <f>IF($C308="","",R308*U308/100)</f>
        <v/>
      </c>
      <c r="W308" s="7">
        <f>IF($C308="","",R308-V308)</f>
        <v/>
      </c>
      <c r="X308" s="7">
        <f>IF($C308="","",W308-K308)</f>
        <v/>
      </c>
      <c r="AB308" s="7" t="n"/>
      <c r="AE308" s="11" t="n"/>
      <c r="AG308">
        <f>IF($C308="","",IF(COUNTIF($C$2:$C308,$C308)=1,1,0))</f>
        <v/>
      </c>
      <c r="AH308">
        <f>IF($AG308=1,SUMPRODUCT(--($AK$2:$AK$6001&lt;$AK308))+1,"")</f>
        <v/>
      </c>
      <c r="AI308">
        <f>IF($C308="","",IF(OR($N308=TRUE(),$N308="TRUE"),1,0))</f>
        <v/>
      </c>
      <c r="AJ308">
        <f>IF($C308="","",IF($T308="Yes",1,0))</f>
        <v/>
      </c>
      <c r="AK308">
        <f>IF($AG308=1,IFERROR(IF(VALUE($C308)&lt;100000000,VALUE($C308),1000000000),IFERROR(IF(VALUE(MID($C308,2,20))&lt;100000000,VALUE(MID($C308,2,20)),1000000000),1000000000))+ROW()/100000,"")</f>
        <v/>
      </c>
    </row>
    <row r="309">
      <c r="D309" s="11" t="n"/>
      <c r="K309" s="7">
        <f>IF($C309="","",J309*W309/100)</f>
        <v/>
      </c>
      <c r="Q309" s="7" t="n"/>
      <c r="R309" s="7" t="n"/>
      <c r="U309">
        <f>IF($C309="","",IF($AJ309=1,0,IF($AI309=1,Settings!$C$6,Settings!$C$7))*100)</f>
        <v/>
      </c>
      <c r="V309" s="7">
        <f>IF($C309="","",R309*U309/100)</f>
        <v/>
      </c>
      <c r="W309" s="7">
        <f>IF($C309="","",R309-V309)</f>
        <v/>
      </c>
      <c r="X309" s="7">
        <f>IF($C309="","",W309-K309)</f>
        <v/>
      </c>
      <c r="AB309" s="7" t="n"/>
      <c r="AE309" s="11" t="n"/>
      <c r="AG309">
        <f>IF($C309="","",IF(COUNTIF($C$2:$C309,$C309)=1,1,0))</f>
        <v/>
      </c>
      <c r="AH309">
        <f>IF($AG309=1,SUMPRODUCT(--($AK$2:$AK$6001&lt;$AK309))+1,"")</f>
        <v/>
      </c>
      <c r="AI309">
        <f>IF($C309="","",IF(OR($N309=TRUE(),$N309="TRUE"),1,0))</f>
        <v/>
      </c>
      <c r="AJ309">
        <f>IF($C309="","",IF($T309="Yes",1,0))</f>
        <v/>
      </c>
      <c r="AK309">
        <f>IF($AG309=1,IFERROR(IF(VALUE($C309)&lt;100000000,VALUE($C309),1000000000),IFERROR(IF(VALUE(MID($C309,2,20))&lt;100000000,VALUE(MID($C309,2,20)),1000000000),1000000000))+ROW()/100000,"")</f>
        <v/>
      </c>
    </row>
    <row r="310">
      <c r="D310" s="11" t="n"/>
      <c r="K310" s="7">
        <f>IF($C310="","",J310*W310/100)</f>
        <v/>
      </c>
      <c r="Q310" s="7" t="n"/>
      <c r="R310" s="7" t="n"/>
      <c r="U310">
        <f>IF($C310="","",IF($AJ310=1,0,IF($AI310=1,Settings!$C$6,Settings!$C$7))*100)</f>
        <v/>
      </c>
      <c r="V310" s="7">
        <f>IF($C310="","",R310*U310/100)</f>
        <v/>
      </c>
      <c r="W310" s="7">
        <f>IF($C310="","",R310-V310)</f>
        <v/>
      </c>
      <c r="X310" s="7">
        <f>IF($C310="","",W310-K310)</f>
        <v/>
      </c>
      <c r="AB310" s="7" t="n"/>
      <c r="AE310" s="11" t="n"/>
      <c r="AG310">
        <f>IF($C310="","",IF(COUNTIF($C$2:$C310,$C310)=1,1,0))</f>
        <v/>
      </c>
      <c r="AH310">
        <f>IF($AG310=1,SUMPRODUCT(--($AK$2:$AK$6001&lt;$AK310))+1,"")</f>
        <v/>
      </c>
      <c r="AI310">
        <f>IF($C310="","",IF(OR($N310=TRUE(),$N310="TRUE"),1,0))</f>
        <v/>
      </c>
      <c r="AJ310">
        <f>IF($C310="","",IF($T310="Yes",1,0))</f>
        <v/>
      </c>
      <c r="AK310">
        <f>IF($AG310=1,IFERROR(IF(VALUE($C310)&lt;100000000,VALUE($C310),1000000000),IFERROR(IF(VALUE(MID($C310,2,20))&lt;100000000,VALUE(MID($C310,2,20)),1000000000),1000000000))+ROW()/100000,"")</f>
        <v/>
      </c>
    </row>
    <row r="311">
      <c r="D311" s="11" t="n"/>
      <c r="K311" s="7">
        <f>IF($C311="","",J311*W311/100)</f>
        <v/>
      </c>
      <c r="Q311" s="7" t="n"/>
      <c r="R311" s="7" t="n"/>
      <c r="U311">
        <f>IF($C311="","",IF($AJ311=1,0,IF($AI311=1,Settings!$C$6,Settings!$C$7))*100)</f>
        <v/>
      </c>
      <c r="V311" s="7">
        <f>IF($C311="","",R311*U311/100)</f>
        <v/>
      </c>
      <c r="W311" s="7">
        <f>IF($C311="","",R311-V311)</f>
        <v/>
      </c>
      <c r="X311" s="7">
        <f>IF($C311="","",W311-K311)</f>
        <v/>
      </c>
      <c r="AB311" s="7" t="n"/>
      <c r="AE311" s="11" t="n"/>
      <c r="AG311">
        <f>IF($C311="","",IF(COUNTIF($C$2:$C311,$C311)=1,1,0))</f>
        <v/>
      </c>
      <c r="AH311">
        <f>IF($AG311=1,SUMPRODUCT(--($AK$2:$AK$6001&lt;$AK311))+1,"")</f>
        <v/>
      </c>
      <c r="AI311">
        <f>IF($C311="","",IF(OR($N311=TRUE(),$N311="TRUE"),1,0))</f>
        <v/>
      </c>
      <c r="AJ311">
        <f>IF($C311="","",IF($T311="Yes",1,0))</f>
        <v/>
      </c>
      <c r="AK311">
        <f>IF($AG311=1,IFERROR(IF(VALUE($C311)&lt;100000000,VALUE($C311),1000000000),IFERROR(IF(VALUE(MID($C311,2,20))&lt;100000000,VALUE(MID($C311,2,20)),1000000000),1000000000))+ROW()/100000,"")</f>
        <v/>
      </c>
    </row>
    <row r="312">
      <c r="D312" s="11" t="n"/>
      <c r="K312" s="7">
        <f>IF($C312="","",J312*W312/100)</f>
        <v/>
      </c>
      <c r="Q312" s="7" t="n"/>
      <c r="R312" s="7" t="n"/>
      <c r="U312">
        <f>IF($C312="","",IF($AJ312=1,0,IF($AI312=1,Settings!$C$6,Settings!$C$7))*100)</f>
        <v/>
      </c>
      <c r="V312" s="7">
        <f>IF($C312="","",R312*U312/100)</f>
        <v/>
      </c>
      <c r="W312" s="7">
        <f>IF($C312="","",R312-V312)</f>
        <v/>
      </c>
      <c r="X312" s="7">
        <f>IF($C312="","",W312-K312)</f>
        <v/>
      </c>
      <c r="AB312" s="7" t="n"/>
      <c r="AE312" s="11" t="n"/>
      <c r="AG312">
        <f>IF($C312="","",IF(COUNTIF($C$2:$C312,$C312)=1,1,0))</f>
        <v/>
      </c>
      <c r="AH312">
        <f>IF($AG312=1,SUMPRODUCT(--($AK$2:$AK$6001&lt;$AK312))+1,"")</f>
        <v/>
      </c>
      <c r="AI312">
        <f>IF($C312="","",IF(OR($N312=TRUE(),$N312="TRUE"),1,0))</f>
        <v/>
      </c>
      <c r="AJ312">
        <f>IF($C312="","",IF($T312="Yes",1,0))</f>
        <v/>
      </c>
      <c r="AK312">
        <f>IF($AG312=1,IFERROR(IF(VALUE($C312)&lt;100000000,VALUE($C312),1000000000),IFERROR(IF(VALUE(MID($C312,2,20))&lt;100000000,VALUE(MID($C312,2,20)),1000000000),1000000000))+ROW()/100000,"")</f>
        <v/>
      </c>
    </row>
    <row r="313">
      <c r="D313" s="11" t="n"/>
      <c r="K313" s="7">
        <f>IF($C313="","",J313*W313/100)</f>
        <v/>
      </c>
      <c r="Q313" s="7" t="n"/>
      <c r="R313" s="7" t="n"/>
      <c r="U313">
        <f>IF($C313="","",IF($AJ313=1,0,IF($AI313=1,Settings!$C$6,Settings!$C$7))*100)</f>
        <v/>
      </c>
      <c r="V313" s="7">
        <f>IF($C313="","",R313*U313/100)</f>
        <v/>
      </c>
      <c r="W313" s="7">
        <f>IF($C313="","",R313-V313)</f>
        <v/>
      </c>
      <c r="X313" s="7">
        <f>IF($C313="","",W313-K313)</f>
        <v/>
      </c>
      <c r="AB313" s="7" t="n"/>
      <c r="AE313" s="11" t="n"/>
      <c r="AG313">
        <f>IF($C313="","",IF(COUNTIF($C$2:$C313,$C313)=1,1,0))</f>
        <v/>
      </c>
      <c r="AH313">
        <f>IF($AG313=1,SUMPRODUCT(--($AK$2:$AK$6001&lt;$AK313))+1,"")</f>
        <v/>
      </c>
      <c r="AI313">
        <f>IF($C313="","",IF(OR($N313=TRUE(),$N313="TRUE"),1,0))</f>
        <v/>
      </c>
      <c r="AJ313">
        <f>IF($C313="","",IF($T313="Yes",1,0))</f>
        <v/>
      </c>
      <c r="AK313">
        <f>IF($AG313=1,IFERROR(IF(VALUE($C313)&lt;100000000,VALUE($C313),1000000000),IFERROR(IF(VALUE(MID($C313,2,20))&lt;100000000,VALUE(MID($C313,2,20)),1000000000),1000000000))+ROW()/100000,"")</f>
        <v/>
      </c>
    </row>
    <row r="314">
      <c r="D314" s="11" t="n"/>
      <c r="K314" s="7">
        <f>IF($C314="","",J314*W314/100)</f>
        <v/>
      </c>
      <c r="Q314" s="7" t="n"/>
      <c r="R314" s="7" t="n"/>
      <c r="U314">
        <f>IF($C314="","",IF($AJ314=1,0,IF($AI314=1,Settings!$C$6,Settings!$C$7))*100)</f>
        <v/>
      </c>
      <c r="V314" s="7">
        <f>IF($C314="","",R314*U314/100)</f>
        <v/>
      </c>
      <c r="W314" s="7">
        <f>IF($C314="","",R314-V314)</f>
        <v/>
      </c>
      <c r="X314" s="7">
        <f>IF($C314="","",W314-K314)</f>
        <v/>
      </c>
      <c r="AB314" s="7" t="n"/>
      <c r="AE314" s="11" t="n"/>
      <c r="AG314">
        <f>IF($C314="","",IF(COUNTIF($C$2:$C314,$C314)=1,1,0))</f>
        <v/>
      </c>
      <c r="AH314">
        <f>IF($AG314=1,SUMPRODUCT(--($AK$2:$AK$6001&lt;$AK314))+1,"")</f>
        <v/>
      </c>
      <c r="AI314">
        <f>IF($C314="","",IF(OR($N314=TRUE(),$N314="TRUE"),1,0))</f>
        <v/>
      </c>
      <c r="AJ314">
        <f>IF($C314="","",IF($T314="Yes",1,0))</f>
        <v/>
      </c>
      <c r="AK314">
        <f>IF($AG314=1,IFERROR(IF(VALUE($C314)&lt;100000000,VALUE($C314),1000000000),IFERROR(IF(VALUE(MID($C314,2,20))&lt;100000000,VALUE(MID($C314,2,20)),1000000000),1000000000))+ROW()/100000,"")</f>
        <v/>
      </c>
    </row>
    <row r="315">
      <c r="D315" s="11" t="n"/>
      <c r="K315" s="7">
        <f>IF($C315="","",J315*W315/100)</f>
        <v/>
      </c>
      <c r="Q315" s="7" t="n"/>
      <c r="R315" s="7" t="n"/>
      <c r="U315">
        <f>IF($C315="","",IF($AJ315=1,0,IF($AI315=1,Settings!$C$6,Settings!$C$7))*100)</f>
        <v/>
      </c>
      <c r="V315" s="7">
        <f>IF($C315="","",R315*U315/100)</f>
        <v/>
      </c>
      <c r="W315" s="7">
        <f>IF($C315="","",R315-V315)</f>
        <v/>
      </c>
      <c r="X315" s="7">
        <f>IF($C315="","",W315-K315)</f>
        <v/>
      </c>
      <c r="AB315" s="7" t="n"/>
      <c r="AE315" s="11" t="n"/>
      <c r="AG315">
        <f>IF($C315="","",IF(COUNTIF($C$2:$C315,$C315)=1,1,0))</f>
        <v/>
      </c>
      <c r="AH315">
        <f>IF($AG315=1,SUMPRODUCT(--($AK$2:$AK$6001&lt;$AK315))+1,"")</f>
        <v/>
      </c>
      <c r="AI315">
        <f>IF($C315="","",IF(OR($N315=TRUE(),$N315="TRUE"),1,0))</f>
        <v/>
      </c>
      <c r="AJ315">
        <f>IF($C315="","",IF($T315="Yes",1,0))</f>
        <v/>
      </c>
      <c r="AK315">
        <f>IF($AG315=1,IFERROR(IF(VALUE($C315)&lt;100000000,VALUE($C315),1000000000),IFERROR(IF(VALUE(MID($C315,2,20))&lt;100000000,VALUE(MID($C315,2,20)),1000000000),1000000000))+ROW()/100000,"")</f>
        <v/>
      </c>
    </row>
    <row r="316">
      <c r="D316" s="11" t="n"/>
      <c r="K316" s="7">
        <f>IF($C316="","",J316*W316/100)</f>
        <v/>
      </c>
      <c r="Q316" s="7" t="n"/>
      <c r="R316" s="7" t="n"/>
      <c r="U316">
        <f>IF($C316="","",IF($AJ316=1,0,IF($AI316=1,Settings!$C$6,Settings!$C$7))*100)</f>
        <v/>
      </c>
      <c r="V316" s="7">
        <f>IF($C316="","",R316*U316/100)</f>
        <v/>
      </c>
      <c r="W316" s="7">
        <f>IF($C316="","",R316-V316)</f>
        <v/>
      </c>
      <c r="X316" s="7">
        <f>IF($C316="","",W316-K316)</f>
        <v/>
      </c>
      <c r="AB316" s="7" t="n"/>
      <c r="AE316" s="11" t="n"/>
      <c r="AG316">
        <f>IF($C316="","",IF(COUNTIF($C$2:$C316,$C316)=1,1,0))</f>
        <v/>
      </c>
      <c r="AH316">
        <f>IF($AG316=1,SUMPRODUCT(--($AK$2:$AK$6001&lt;$AK316))+1,"")</f>
        <v/>
      </c>
      <c r="AI316">
        <f>IF($C316="","",IF(OR($N316=TRUE(),$N316="TRUE"),1,0))</f>
        <v/>
      </c>
      <c r="AJ316">
        <f>IF($C316="","",IF($T316="Yes",1,0))</f>
        <v/>
      </c>
      <c r="AK316">
        <f>IF($AG316=1,IFERROR(IF(VALUE($C316)&lt;100000000,VALUE($C316),1000000000),IFERROR(IF(VALUE(MID($C316,2,20))&lt;100000000,VALUE(MID($C316,2,20)),1000000000),1000000000))+ROW()/100000,"")</f>
        <v/>
      </c>
    </row>
    <row r="317">
      <c r="D317" s="11" t="n"/>
      <c r="K317" s="7">
        <f>IF($C317="","",J317*W317/100)</f>
        <v/>
      </c>
      <c r="Q317" s="7" t="n"/>
      <c r="R317" s="7" t="n"/>
      <c r="U317">
        <f>IF($C317="","",IF($AJ317=1,0,IF($AI317=1,Settings!$C$6,Settings!$C$7))*100)</f>
        <v/>
      </c>
      <c r="V317" s="7">
        <f>IF($C317="","",R317*U317/100)</f>
        <v/>
      </c>
      <c r="W317" s="7">
        <f>IF($C317="","",R317-V317)</f>
        <v/>
      </c>
      <c r="X317" s="7">
        <f>IF($C317="","",W317-K317)</f>
        <v/>
      </c>
      <c r="AB317" s="7" t="n"/>
      <c r="AE317" s="11" t="n"/>
      <c r="AG317">
        <f>IF($C317="","",IF(COUNTIF($C$2:$C317,$C317)=1,1,0))</f>
        <v/>
      </c>
      <c r="AH317">
        <f>IF($AG317=1,SUMPRODUCT(--($AK$2:$AK$6001&lt;$AK317))+1,"")</f>
        <v/>
      </c>
      <c r="AI317">
        <f>IF($C317="","",IF(OR($N317=TRUE(),$N317="TRUE"),1,0))</f>
        <v/>
      </c>
      <c r="AJ317">
        <f>IF($C317="","",IF($T317="Yes",1,0))</f>
        <v/>
      </c>
      <c r="AK317">
        <f>IF($AG317=1,IFERROR(IF(VALUE($C317)&lt;100000000,VALUE($C317),1000000000),IFERROR(IF(VALUE(MID($C317,2,20))&lt;100000000,VALUE(MID($C317,2,20)),1000000000),1000000000))+ROW()/100000,"")</f>
        <v/>
      </c>
    </row>
    <row r="318">
      <c r="D318" s="11" t="n"/>
      <c r="K318" s="7">
        <f>IF($C318="","",J318*W318/100)</f>
        <v/>
      </c>
      <c r="Q318" s="7" t="n"/>
      <c r="R318" s="7" t="n"/>
      <c r="U318">
        <f>IF($C318="","",IF($AJ318=1,0,IF($AI318=1,Settings!$C$6,Settings!$C$7))*100)</f>
        <v/>
      </c>
      <c r="V318" s="7">
        <f>IF($C318="","",R318*U318/100)</f>
        <v/>
      </c>
      <c r="W318" s="7">
        <f>IF($C318="","",R318-V318)</f>
        <v/>
      </c>
      <c r="X318" s="7">
        <f>IF($C318="","",W318-K318)</f>
        <v/>
      </c>
      <c r="AB318" s="7" t="n"/>
      <c r="AE318" s="11" t="n"/>
      <c r="AG318">
        <f>IF($C318="","",IF(COUNTIF($C$2:$C318,$C318)=1,1,0))</f>
        <v/>
      </c>
      <c r="AH318">
        <f>IF($AG318=1,SUMPRODUCT(--($AK$2:$AK$6001&lt;$AK318))+1,"")</f>
        <v/>
      </c>
      <c r="AI318">
        <f>IF($C318="","",IF(OR($N318=TRUE(),$N318="TRUE"),1,0))</f>
        <v/>
      </c>
      <c r="AJ318">
        <f>IF($C318="","",IF($T318="Yes",1,0))</f>
        <v/>
      </c>
      <c r="AK318">
        <f>IF($AG318=1,IFERROR(IF(VALUE($C318)&lt;100000000,VALUE($C318),1000000000),IFERROR(IF(VALUE(MID($C318,2,20))&lt;100000000,VALUE(MID($C318,2,20)),1000000000),1000000000))+ROW()/100000,"")</f>
        <v/>
      </c>
    </row>
    <row r="319">
      <c r="D319" s="11" t="n"/>
      <c r="K319" s="7">
        <f>IF($C319="","",J319*W319/100)</f>
        <v/>
      </c>
      <c r="Q319" s="7" t="n"/>
      <c r="R319" s="7" t="n"/>
      <c r="U319">
        <f>IF($C319="","",IF($AJ319=1,0,IF($AI319=1,Settings!$C$6,Settings!$C$7))*100)</f>
        <v/>
      </c>
      <c r="V319" s="7">
        <f>IF($C319="","",R319*U319/100)</f>
        <v/>
      </c>
      <c r="W319" s="7">
        <f>IF($C319="","",R319-V319)</f>
        <v/>
      </c>
      <c r="X319" s="7">
        <f>IF($C319="","",W319-K319)</f>
        <v/>
      </c>
      <c r="AB319" s="7" t="n"/>
      <c r="AE319" s="11" t="n"/>
      <c r="AG319">
        <f>IF($C319="","",IF(COUNTIF($C$2:$C319,$C319)=1,1,0))</f>
        <v/>
      </c>
      <c r="AH319">
        <f>IF($AG319=1,SUMPRODUCT(--($AK$2:$AK$6001&lt;$AK319))+1,"")</f>
        <v/>
      </c>
      <c r="AI319">
        <f>IF($C319="","",IF(OR($N319=TRUE(),$N319="TRUE"),1,0))</f>
        <v/>
      </c>
      <c r="AJ319">
        <f>IF($C319="","",IF($T319="Yes",1,0))</f>
        <v/>
      </c>
      <c r="AK319">
        <f>IF($AG319=1,IFERROR(IF(VALUE($C319)&lt;100000000,VALUE($C319),1000000000),IFERROR(IF(VALUE(MID($C319,2,20))&lt;100000000,VALUE(MID($C319,2,20)),1000000000),1000000000))+ROW()/100000,"")</f>
        <v/>
      </c>
    </row>
    <row r="320">
      <c r="D320" s="11" t="n"/>
      <c r="K320" s="7">
        <f>IF($C320="","",J320*W320/100)</f>
        <v/>
      </c>
      <c r="Q320" s="7" t="n"/>
      <c r="R320" s="7" t="n"/>
      <c r="U320">
        <f>IF($C320="","",IF($AJ320=1,0,IF($AI320=1,Settings!$C$6,Settings!$C$7))*100)</f>
        <v/>
      </c>
      <c r="V320" s="7">
        <f>IF($C320="","",R320*U320/100)</f>
        <v/>
      </c>
      <c r="W320" s="7">
        <f>IF($C320="","",R320-V320)</f>
        <v/>
      </c>
      <c r="X320" s="7">
        <f>IF($C320="","",W320-K320)</f>
        <v/>
      </c>
      <c r="AB320" s="7" t="n"/>
      <c r="AE320" s="11" t="n"/>
      <c r="AG320">
        <f>IF($C320="","",IF(COUNTIF($C$2:$C320,$C320)=1,1,0))</f>
        <v/>
      </c>
      <c r="AH320">
        <f>IF($AG320=1,SUMPRODUCT(--($AK$2:$AK$6001&lt;$AK320))+1,"")</f>
        <v/>
      </c>
      <c r="AI320">
        <f>IF($C320="","",IF(OR($N320=TRUE(),$N320="TRUE"),1,0))</f>
        <v/>
      </c>
      <c r="AJ320">
        <f>IF($C320="","",IF($T320="Yes",1,0))</f>
        <v/>
      </c>
      <c r="AK320">
        <f>IF($AG320=1,IFERROR(IF(VALUE($C320)&lt;100000000,VALUE($C320),1000000000),IFERROR(IF(VALUE(MID($C320,2,20))&lt;100000000,VALUE(MID($C320,2,20)),1000000000),1000000000))+ROW()/100000,"")</f>
        <v/>
      </c>
    </row>
    <row r="321">
      <c r="D321" s="11" t="n"/>
      <c r="K321" s="7">
        <f>IF($C321="","",J321*W321/100)</f>
        <v/>
      </c>
      <c r="Q321" s="7" t="n"/>
      <c r="R321" s="7" t="n"/>
      <c r="U321">
        <f>IF($C321="","",IF($AJ321=1,0,IF($AI321=1,Settings!$C$6,Settings!$C$7))*100)</f>
        <v/>
      </c>
      <c r="V321" s="7">
        <f>IF($C321="","",R321*U321/100)</f>
        <v/>
      </c>
      <c r="W321" s="7">
        <f>IF($C321="","",R321-V321)</f>
        <v/>
      </c>
      <c r="X321" s="7">
        <f>IF($C321="","",W321-K321)</f>
        <v/>
      </c>
      <c r="AB321" s="7" t="n"/>
      <c r="AE321" s="11" t="n"/>
      <c r="AG321">
        <f>IF($C321="","",IF(COUNTIF($C$2:$C321,$C321)=1,1,0))</f>
        <v/>
      </c>
      <c r="AH321">
        <f>IF($AG321=1,SUMPRODUCT(--($AK$2:$AK$6001&lt;$AK321))+1,"")</f>
        <v/>
      </c>
      <c r="AI321">
        <f>IF($C321="","",IF(OR($N321=TRUE(),$N321="TRUE"),1,0))</f>
        <v/>
      </c>
      <c r="AJ321">
        <f>IF($C321="","",IF($T321="Yes",1,0))</f>
        <v/>
      </c>
      <c r="AK321">
        <f>IF($AG321=1,IFERROR(IF(VALUE($C321)&lt;100000000,VALUE($C321),1000000000),IFERROR(IF(VALUE(MID($C321,2,20))&lt;100000000,VALUE(MID($C321,2,20)),1000000000),1000000000))+ROW()/100000,"")</f>
        <v/>
      </c>
    </row>
    <row r="322">
      <c r="D322" s="11" t="n"/>
      <c r="K322" s="7">
        <f>IF($C322="","",J322*W322/100)</f>
        <v/>
      </c>
      <c r="Q322" s="7" t="n"/>
      <c r="R322" s="7" t="n"/>
      <c r="U322">
        <f>IF($C322="","",IF($AJ322=1,0,IF($AI322=1,Settings!$C$6,Settings!$C$7))*100)</f>
        <v/>
      </c>
      <c r="V322" s="7">
        <f>IF($C322="","",R322*U322/100)</f>
        <v/>
      </c>
      <c r="W322" s="7">
        <f>IF($C322="","",R322-V322)</f>
        <v/>
      </c>
      <c r="X322" s="7">
        <f>IF($C322="","",W322-K322)</f>
        <v/>
      </c>
      <c r="AB322" s="7" t="n"/>
      <c r="AE322" s="11" t="n"/>
      <c r="AG322">
        <f>IF($C322="","",IF(COUNTIF($C$2:$C322,$C322)=1,1,0))</f>
        <v/>
      </c>
      <c r="AH322">
        <f>IF($AG322=1,SUMPRODUCT(--($AK$2:$AK$6001&lt;$AK322))+1,"")</f>
        <v/>
      </c>
      <c r="AI322">
        <f>IF($C322="","",IF(OR($N322=TRUE(),$N322="TRUE"),1,0))</f>
        <v/>
      </c>
      <c r="AJ322">
        <f>IF($C322="","",IF($T322="Yes",1,0))</f>
        <v/>
      </c>
      <c r="AK322">
        <f>IF($AG322=1,IFERROR(IF(VALUE($C322)&lt;100000000,VALUE($C322),1000000000),IFERROR(IF(VALUE(MID($C322,2,20))&lt;100000000,VALUE(MID($C322,2,20)),1000000000),1000000000))+ROW()/100000,"")</f>
        <v/>
      </c>
    </row>
    <row r="323">
      <c r="D323" s="11" t="n"/>
      <c r="K323" s="7">
        <f>IF($C323="","",J323*W323/100)</f>
        <v/>
      </c>
      <c r="Q323" s="7" t="n"/>
      <c r="R323" s="7" t="n"/>
      <c r="U323">
        <f>IF($C323="","",IF($AJ323=1,0,IF($AI323=1,Settings!$C$6,Settings!$C$7))*100)</f>
        <v/>
      </c>
      <c r="V323" s="7">
        <f>IF($C323="","",R323*U323/100)</f>
        <v/>
      </c>
      <c r="W323" s="7">
        <f>IF($C323="","",R323-V323)</f>
        <v/>
      </c>
      <c r="X323" s="7">
        <f>IF($C323="","",W323-K323)</f>
        <v/>
      </c>
      <c r="AB323" s="7" t="n"/>
      <c r="AE323" s="11" t="n"/>
      <c r="AG323">
        <f>IF($C323="","",IF(COUNTIF($C$2:$C323,$C323)=1,1,0))</f>
        <v/>
      </c>
      <c r="AH323">
        <f>IF($AG323=1,SUMPRODUCT(--($AK$2:$AK$6001&lt;$AK323))+1,"")</f>
        <v/>
      </c>
      <c r="AI323">
        <f>IF($C323="","",IF(OR($N323=TRUE(),$N323="TRUE"),1,0))</f>
        <v/>
      </c>
      <c r="AJ323">
        <f>IF($C323="","",IF($T323="Yes",1,0))</f>
        <v/>
      </c>
      <c r="AK323">
        <f>IF($AG323=1,IFERROR(IF(VALUE($C323)&lt;100000000,VALUE($C323),1000000000),IFERROR(IF(VALUE(MID($C323,2,20))&lt;100000000,VALUE(MID($C323,2,20)),1000000000),1000000000))+ROW()/100000,"")</f>
        <v/>
      </c>
    </row>
    <row r="324">
      <c r="D324" s="11" t="n"/>
      <c r="K324" s="7">
        <f>IF($C324="","",J324*W324/100)</f>
        <v/>
      </c>
      <c r="Q324" s="7" t="n"/>
      <c r="R324" s="7" t="n"/>
      <c r="U324">
        <f>IF($C324="","",IF($AJ324=1,0,IF($AI324=1,Settings!$C$6,Settings!$C$7))*100)</f>
        <v/>
      </c>
      <c r="V324" s="7">
        <f>IF($C324="","",R324*U324/100)</f>
        <v/>
      </c>
      <c r="W324" s="7">
        <f>IF($C324="","",R324-V324)</f>
        <v/>
      </c>
      <c r="X324" s="7">
        <f>IF($C324="","",W324-K324)</f>
        <v/>
      </c>
      <c r="AB324" s="7" t="n"/>
      <c r="AE324" s="11" t="n"/>
      <c r="AG324">
        <f>IF($C324="","",IF(COUNTIF($C$2:$C324,$C324)=1,1,0))</f>
        <v/>
      </c>
      <c r="AH324">
        <f>IF($AG324=1,SUMPRODUCT(--($AK$2:$AK$6001&lt;$AK324))+1,"")</f>
        <v/>
      </c>
      <c r="AI324">
        <f>IF($C324="","",IF(OR($N324=TRUE(),$N324="TRUE"),1,0))</f>
        <v/>
      </c>
      <c r="AJ324">
        <f>IF($C324="","",IF($T324="Yes",1,0))</f>
        <v/>
      </c>
      <c r="AK324">
        <f>IF($AG324=1,IFERROR(IF(VALUE($C324)&lt;100000000,VALUE($C324),1000000000),IFERROR(IF(VALUE(MID($C324,2,20))&lt;100000000,VALUE(MID($C324,2,20)),1000000000),1000000000))+ROW()/100000,"")</f>
        <v/>
      </c>
    </row>
    <row r="325">
      <c r="D325" s="11" t="n"/>
      <c r="K325" s="7">
        <f>IF($C325="","",J325*W325/100)</f>
        <v/>
      </c>
      <c r="Q325" s="7" t="n"/>
      <c r="R325" s="7" t="n"/>
      <c r="U325">
        <f>IF($C325="","",IF($AJ325=1,0,IF($AI325=1,Settings!$C$6,Settings!$C$7))*100)</f>
        <v/>
      </c>
      <c r="V325" s="7">
        <f>IF($C325="","",R325*U325/100)</f>
        <v/>
      </c>
      <c r="W325" s="7">
        <f>IF($C325="","",R325-V325)</f>
        <v/>
      </c>
      <c r="X325" s="7">
        <f>IF($C325="","",W325-K325)</f>
        <v/>
      </c>
      <c r="AB325" s="7" t="n"/>
      <c r="AE325" s="11" t="n"/>
      <c r="AG325">
        <f>IF($C325="","",IF(COUNTIF($C$2:$C325,$C325)=1,1,0))</f>
        <v/>
      </c>
      <c r="AH325">
        <f>IF($AG325=1,SUMPRODUCT(--($AK$2:$AK$6001&lt;$AK325))+1,"")</f>
        <v/>
      </c>
      <c r="AI325">
        <f>IF($C325="","",IF(OR($N325=TRUE(),$N325="TRUE"),1,0))</f>
        <v/>
      </c>
      <c r="AJ325">
        <f>IF($C325="","",IF($T325="Yes",1,0))</f>
        <v/>
      </c>
      <c r="AK325">
        <f>IF($AG325=1,IFERROR(IF(VALUE($C325)&lt;100000000,VALUE($C325),1000000000),IFERROR(IF(VALUE(MID($C325,2,20))&lt;100000000,VALUE(MID($C325,2,20)),1000000000),1000000000))+ROW()/100000,"")</f>
        <v/>
      </c>
    </row>
    <row r="326">
      <c r="D326" s="11" t="n"/>
      <c r="K326" s="7">
        <f>IF($C326="","",J326*W326/100)</f>
        <v/>
      </c>
      <c r="Q326" s="7" t="n"/>
      <c r="R326" s="7" t="n"/>
      <c r="U326">
        <f>IF($C326="","",IF($AJ326=1,0,IF($AI326=1,Settings!$C$6,Settings!$C$7))*100)</f>
        <v/>
      </c>
      <c r="V326" s="7">
        <f>IF($C326="","",R326*U326/100)</f>
        <v/>
      </c>
      <c r="W326" s="7">
        <f>IF($C326="","",R326-V326)</f>
        <v/>
      </c>
      <c r="X326" s="7">
        <f>IF($C326="","",W326-K326)</f>
        <v/>
      </c>
      <c r="AB326" s="7" t="n"/>
      <c r="AE326" s="11" t="n"/>
      <c r="AG326">
        <f>IF($C326="","",IF(COUNTIF($C$2:$C326,$C326)=1,1,0))</f>
        <v/>
      </c>
      <c r="AH326">
        <f>IF($AG326=1,SUMPRODUCT(--($AK$2:$AK$6001&lt;$AK326))+1,"")</f>
        <v/>
      </c>
      <c r="AI326">
        <f>IF($C326="","",IF(OR($N326=TRUE(),$N326="TRUE"),1,0))</f>
        <v/>
      </c>
      <c r="AJ326">
        <f>IF($C326="","",IF($T326="Yes",1,0))</f>
        <v/>
      </c>
      <c r="AK326">
        <f>IF($AG326=1,IFERROR(IF(VALUE($C326)&lt;100000000,VALUE($C326),1000000000),IFERROR(IF(VALUE(MID($C326,2,20))&lt;100000000,VALUE(MID($C326,2,20)),1000000000),1000000000))+ROW()/100000,"")</f>
        <v/>
      </c>
    </row>
    <row r="327">
      <c r="D327" s="11" t="n"/>
      <c r="K327" s="7">
        <f>IF($C327="","",J327*W327/100)</f>
        <v/>
      </c>
      <c r="Q327" s="7" t="n"/>
      <c r="R327" s="7" t="n"/>
      <c r="U327">
        <f>IF($C327="","",IF($AJ327=1,0,IF($AI327=1,Settings!$C$6,Settings!$C$7))*100)</f>
        <v/>
      </c>
      <c r="V327" s="7">
        <f>IF($C327="","",R327*U327/100)</f>
        <v/>
      </c>
      <c r="W327" s="7">
        <f>IF($C327="","",R327-V327)</f>
        <v/>
      </c>
      <c r="X327" s="7">
        <f>IF($C327="","",W327-K327)</f>
        <v/>
      </c>
      <c r="AB327" s="7" t="n"/>
      <c r="AE327" s="11" t="n"/>
      <c r="AG327">
        <f>IF($C327="","",IF(COUNTIF($C$2:$C327,$C327)=1,1,0))</f>
        <v/>
      </c>
      <c r="AH327">
        <f>IF($AG327=1,SUMPRODUCT(--($AK$2:$AK$6001&lt;$AK327))+1,"")</f>
        <v/>
      </c>
      <c r="AI327">
        <f>IF($C327="","",IF(OR($N327=TRUE(),$N327="TRUE"),1,0))</f>
        <v/>
      </c>
      <c r="AJ327">
        <f>IF($C327="","",IF($T327="Yes",1,0))</f>
        <v/>
      </c>
      <c r="AK327">
        <f>IF($AG327=1,IFERROR(IF(VALUE($C327)&lt;100000000,VALUE($C327),1000000000),IFERROR(IF(VALUE(MID($C327,2,20))&lt;100000000,VALUE(MID($C327,2,20)),1000000000),1000000000))+ROW()/100000,"")</f>
        <v/>
      </c>
    </row>
    <row r="328">
      <c r="D328" s="11" t="n"/>
      <c r="K328" s="7">
        <f>IF($C328="","",J328*W328/100)</f>
        <v/>
      </c>
      <c r="Q328" s="7" t="n"/>
      <c r="R328" s="7" t="n"/>
      <c r="U328">
        <f>IF($C328="","",IF($AJ328=1,0,IF($AI328=1,Settings!$C$6,Settings!$C$7))*100)</f>
        <v/>
      </c>
      <c r="V328" s="7">
        <f>IF($C328="","",R328*U328/100)</f>
        <v/>
      </c>
      <c r="W328" s="7">
        <f>IF($C328="","",R328-V328)</f>
        <v/>
      </c>
      <c r="X328" s="7">
        <f>IF($C328="","",W328-K328)</f>
        <v/>
      </c>
      <c r="AB328" s="7" t="n"/>
      <c r="AE328" s="11" t="n"/>
      <c r="AG328">
        <f>IF($C328="","",IF(COUNTIF($C$2:$C328,$C328)=1,1,0))</f>
        <v/>
      </c>
      <c r="AH328">
        <f>IF($AG328=1,SUMPRODUCT(--($AK$2:$AK$6001&lt;$AK328))+1,"")</f>
        <v/>
      </c>
      <c r="AI328">
        <f>IF($C328="","",IF(OR($N328=TRUE(),$N328="TRUE"),1,0))</f>
        <v/>
      </c>
      <c r="AJ328">
        <f>IF($C328="","",IF($T328="Yes",1,0))</f>
        <v/>
      </c>
      <c r="AK328">
        <f>IF($AG328=1,IFERROR(IF(VALUE($C328)&lt;100000000,VALUE($C328),1000000000),IFERROR(IF(VALUE(MID($C328,2,20))&lt;100000000,VALUE(MID($C328,2,20)),1000000000),1000000000))+ROW()/100000,"")</f>
        <v/>
      </c>
    </row>
    <row r="329">
      <c r="D329" s="11" t="n"/>
      <c r="K329" s="7">
        <f>IF($C329="","",J329*W329/100)</f>
        <v/>
      </c>
      <c r="Q329" s="7" t="n"/>
      <c r="R329" s="7" t="n"/>
      <c r="U329">
        <f>IF($C329="","",IF($AJ329=1,0,IF($AI329=1,Settings!$C$6,Settings!$C$7))*100)</f>
        <v/>
      </c>
      <c r="V329" s="7">
        <f>IF($C329="","",R329*U329/100)</f>
        <v/>
      </c>
      <c r="W329" s="7">
        <f>IF($C329="","",R329-V329)</f>
        <v/>
      </c>
      <c r="X329" s="7">
        <f>IF($C329="","",W329-K329)</f>
        <v/>
      </c>
      <c r="AB329" s="7" t="n"/>
      <c r="AE329" s="11" t="n"/>
      <c r="AG329">
        <f>IF($C329="","",IF(COUNTIF($C$2:$C329,$C329)=1,1,0))</f>
        <v/>
      </c>
      <c r="AH329">
        <f>IF($AG329=1,SUMPRODUCT(--($AK$2:$AK$6001&lt;$AK329))+1,"")</f>
        <v/>
      </c>
      <c r="AI329">
        <f>IF($C329="","",IF(OR($N329=TRUE(),$N329="TRUE"),1,0))</f>
        <v/>
      </c>
      <c r="AJ329">
        <f>IF($C329="","",IF($T329="Yes",1,0))</f>
        <v/>
      </c>
      <c r="AK329">
        <f>IF($AG329=1,IFERROR(IF(VALUE($C329)&lt;100000000,VALUE($C329),1000000000),IFERROR(IF(VALUE(MID($C329,2,20))&lt;100000000,VALUE(MID($C329,2,20)),1000000000),1000000000))+ROW()/100000,"")</f>
        <v/>
      </c>
    </row>
    <row r="330">
      <c r="D330" s="11" t="n"/>
      <c r="K330" s="7">
        <f>IF($C330="","",J330*W330/100)</f>
        <v/>
      </c>
      <c r="Q330" s="7" t="n"/>
      <c r="R330" s="7" t="n"/>
      <c r="U330">
        <f>IF($C330="","",IF($AJ330=1,0,IF($AI330=1,Settings!$C$6,Settings!$C$7))*100)</f>
        <v/>
      </c>
      <c r="V330" s="7">
        <f>IF($C330="","",R330*U330/100)</f>
        <v/>
      </c>
      <c r="W330" s="7">
        <f>IF($C330="","",R330-V330)</f>
        <v/>
      </c>
      <c r="X330" s="7">
        <f>IF($C330="","",W330-K330)</f>
        <v/>
      </c>
      <c r="AB330" s="7" t="n"/>
      <c r="AE330" s="11" t="n"/>
      <c r="AG330">
        <f>IF($C330="","",IF(COUNTIF($C$2:$C330,$C330)=1,1,0))</f>
        <v/>
      </c>
      <c r="AH330">
        <f>IF($AG330=1,SUMPRODUCT(--($AK$2:$AK$6001&lt;$AK330))+1,"")</f>
        <v/>
      </c>
      <c r="AI330">
        <f>IF($C330="","",IF(OR($N330=TRUE(),$N330="TRUE"),1,0))</f>
        <v/>
      </c>
      <c r="AJ330">
        <f>IF($C330="","",IF($T330="Yes",1,0))</f>
        <v/>
      </c>
      <c r="AK330">
        <f>IF($AG330=1,IFERROR(IF(VALUE($C330)&lt;100000000,VALUE($C330),1000000000),IFERROR(IF(VALUE(MID($C330,2,20))&lt;100000000,VALUE(MID($C330,2,20)),1000000000),1000000000))+ROW()/100000,"")</f>
        <v/>
      </c>
    </row>
    <row r="331">
      <c r="D331" s="11" t="n"/>
      <c r="K331" s="7">
        <f>IF($C331="","",J331*W331/100)</f>
        <v/>
      </c>
      <c r="Q331" s="7" t="n"/>
      <c r="R331" s="7" t="n"/>
      <c r="U331">
        <f>IF($C331="","",IF($AJ331=1,0,IF($AI331=1,Settings!$C$6,Settings!$C$7))*100)</f>
        <v/>
      </c>
      <c r="V331" s="7">
        <f>IF($C331="","",R331*U331/100)</f>
        <v/>
      </c>
      <c r="W331" s="7">
        <f>IF($C331="","",R331-V331)</f>
        <v/>
      </c>
      <c r="X331" s="7">
        <f>IF($C331="","",W331-K331)</f>
        <v/>
      </c>
      <c r="AB331" s="7" t="n"/>
      <c r="AE331" s="11" t="n"/>
      <c r="AG331">
        <f>IF($C331="","",IF(COUNTIF($C$2:$C331,$C331)=1,1,0))</f>
        <v/>
      </c>
      <c r="AH331">
        <f>IF($AG331=1,SUMPRODUCT(--($AK$2:$AK$6001&lt;$AK331))+1,"")</f>
        <v/>
      </c>
      <c r="AI331">
        <f>IF($C331="","",IF(OR($N331=TRUE(),$N331="TRUE"),1,0))</f>
        <v/>
      </c>
      <c r="AJ331">
        <f>IF($C331="","",IF($T331="Yes",1,0))</f>
        <v/>
      </c>
      <c r="AK331">
        <f>IF($AG331=1,IFERROR(IF(VALUE($C331)&lt;100000000,VALUE($C331),1000000000),IFERROR(IF(VALUE(MID($C331,2,20))&lt;100000000,VALUE(MID($C331,2,20)),1000000000),1000000000))+ROW()/100000,"")</f>
        <v/>
      </c>
    </row>
    <row r="332">
      <c r="D332" s="11" t="n"/>
      <c r="K332" s="7">
        <f>IF($C332="","",J332*W332/100)</f>
        <v/>
      </c>
      <c r="Q332" s="7" t="n"/>
      <c r="R332" s="7" t="n"/>
      <c r="U332">
        <f>IF($C332="","",IF($AJ332=1,0,IF($AI332=1,Settings!$C$6,Settings!$C$7))*100)</f>
        <v/>
      </c>
      <c r="V332" s="7">
        <f>IF($C332="","",R332*U332/100)</f>
        <v/>
      </c>
      <c r="W332" s="7">
        <f>IF($C332="","",R332-V332)</f>
        <v/>
      </c>
      <c r="X332" s="7">
        <f>IF($C332="","",W332-K332)</f>
        <v/>
      </c>
      <c r="AB332" s="7" t="n"/>
      <c r="AE332" s="11" t="n"/>
      <c r="AG332">
        <f>IF($C332="","",IF(COUNTIF($C$2:$C332,$C332)=1,1,0))</f>
        <v/>
      </c>
      <c r="AH332">
        <f>IF($AG332=1,SUMPRODUCT(--($AK$2:$AK$6001&lt;$AK332))+1,"")</f>
        <v/>
      </c>
      <c r="AI332">
        <f>IF($C332="","",IF(OR($N332=TRUE(),$N332="TRUE"),1,0))</f>
        <v/>
      </c>
      <c r="AJ332">
        <f>IF($C332="","",IF($T332="Yes",1,0))</f>
        <v/>
      </c>
      <c r="AK332">
        <f>IF($AG332=1,IFERROR(IF(VALUE($C332)&lt;100000000,VALUE($C332),1000000000),IFERROR(IF(VALUE(MID($C332,2,20))&lt;100000000,VALUE(MID($C332,2,20)),1000000000),1000000000))+ROW()/100000,"")</f>
        <v/>
      </c>
    </row>
    <row r="333">
      <c r="D333" s="11" t="n"/>
      <c r="K333" s="7">
        <f>IF($C333="","",J333*W333/100)</f>
        <v/>
      </c>
      <c r="Q333" s="7" t="n"/>
      <c r="R333" s="7" t="n"/>
      <c r="U333">
        <f>IF($C333="","",IF($AJ333=1,0,IF($AI333=1,Settings!$C$6,Settings!$C$7))*100)</f>
        <v/>
      </c>
      <c r="V333" s="7">
        <f>IF($C333="","",R333*U333/100)</f>
        <v/>
      </c>
      <c r="W333" s="7">
        <f>IF($C333="","",R333-V333)</f>
        <v/>
      </c>
      <c r="X333" s="7">
        <f>IF($C333="","",W333-K333)</f>
        <v/>
      </c>
      <c r="AB333" s="7" t="n"/>
      <c r="AE333" s="11" t="n"/>
      <c r="AG333">
        <f>IF($C333="","",IF(COUNTIF($C$2:$C333,$C333)=1,1,0))</f>
        <v/>
      </c>
      <c r="AH333">
        <f>IF($AG333=1,SUMPRODUCT(--($AK$2:$AK$6001&lt;$AK333))+1,"")</f>
        <v/>
      </c>
      <c r="AI333">
        <f>IF($C333="","",IF(OR($N333=TRUE(),$N333="TRUE"),1,0))</f>
        <v/>
      </c>
      <c r="AJ333">
        <f>IF($C333="","",IF($T333="Yes",1,0))</f>
        <v/>
      </c>
      <c r="AK333">
        <f>IF($AG333=1,IFERROR(IF(VALUE($C333)&lt;100000000,VALUE($C333),1000000000),IFERROR(IF(VALUE(MID($C333,2,20))&lt;100000000,VALUE(MID($C333,2,20)),1000000000),1000000000))+ROW()/100000,"")</f>
        <v/>
      </c>
    </row>
    <row r="334">
      <c r="D334" s="11" t="n"/>
      <c r="K334" s="7">
        <f>IF($C334="","",J334*W334/100)</f>
        <v/>
      </c>
      <c r="Q334" s="7" t="n"/>
      <c r="R334" s="7" t="n"/>
      <c r="U334">
        <f>IF($C334="","",IF($AJ334=1,0,IF($AI334=1,Settings!$C$6,Settings!$C$7))*100)</f>
        <v/>
      </c>
      <c r="V334" s="7">
        <f>IF($C334="","",R334*U334/100)</f>
        <v/>
      </c>
      <c r="W334" s="7">
        <f>IF($C334="","",R334-V334)</f>
        <v/>
      </c>
      <c r="X334" s="7">
        <f>IF($C334="","",W334-K334)</f>
        <v/>
      </c>
      <c r="AB334" s="7" t="n"/>
      <c r="AE334" s="11" t="n"/>
      <c r="AG334">
        <f>IF($C334="","",IF(COUNTIF($C$2:$C334,$C334)=1,1,0))</f>
        <v/>
      </c>
      <c r="AH334">
        <f>IF($AG334=1,SUMPRODUCT(--($AK$2:$AK$6001&lt;$AK334))+1,"")</f>
        <v/>
      </c>
      <c r="AI334">
        <f>IF($C334="","",IF(OR($N334=TRUE(),$N334="TRUE"),1,0))</f>
        <v/>
      </c>
      <c r="AJ334">
        <f>IF($C334="","",IF($T334="Yes",1,0))</f>
        <v/>
      </c>
      <c r="AK334">
        <f>IF($AG334=1,IFERROR(IF(VALUE($C334)&lt;100000000,VALUE($C334),1000000000),IFERROR(IF(VALUE(MID($C334,2,20))&lt;100000000,VALUE(MID($C334,2,20)),1000000000),1000000000))+ROW()/100000,"")</f>
        <v/>
      </c>
    </row>
    <row r="335">
      <c r="D335" s="11" t="n"/>
      <c r="K335" s="7">
        <f>IF($C335="","",J335*W335/100)</f>
        <v/>
      </c>
      <c r="Q335" s="7" t="n"/>
      <c r="R335" s="7" t="n"/>
      <c r="U335">
        <f>IF($C335="","",IF($AJ335=1,0,IF($AI335=1,Settings!$C$6,Settings!$C$7))*100)</f>
        <v/>
      </c>
      <c r="V335" s="7">
        <f>IF($C335="","",R335*U335/100)</f>
        <v/>
      </c>
      <c r="W335" s="7">
        <f>IF($C335="","",R335-V335)</f>
        <v/>
      </c>
      <c r="X335" s="7">
        <f>IF($C335="","",W335-K335)</f>
        <v/>
      </c>
      <c r="AB335" s="7" t="n"/>
      <c r="AE335" s="11" t="n"/>
      <c r="AG335">
        <f>IF($C335="","",IF(COUNTIF($C$2:$C335,$C335)=1,1,0))</f>
        <v/>
      </c>
      <c r="AH335">
        <f>IF($AG335=1,SUMPRODUCT(--($AK$2:$AK$6001&lt;$AK335))+1,"")</f>
        <v/>
      </c>
      <c r="AI335">
        <f>IF($C335="","",IF(OR($N335=TRUE(),$N335="TRUE"),1,0))</f>
        <v/>
      </c>
      <c r="AJ335">
        <f>IF($C335="","",IF($T335="Yes",1,0))</f>
        <v/>
      </c>
      <c r="AK335">
        <f>IF($AG335=1,IFERROR(IF(VALUE($C335)&lt;100000000,VALUE($C335),1000000000),IFERROR(IF(VALUE(MID($C335,2,20))&lt;100000000,VALUE(MID($C335,2,20)),1000000000),1000000000))+ROW()/100000,"")</f>
        <v/>
      </c>
    </row>
    <row r="336">
      <c r="D336" s="11" t="n"/>
      <c r="K336" s="7">
        <f>IF($C336="","",J336*W336/100)</f>
        <v/>
      </c>
      <c r="Q336" s="7" t="n"/>
      <c r="R336" s="7" t="n"/>
      <c r="U336">
        <f>IF($C336="","",IF($AJ336=1,0,IF($AI336=1,Settings!$C$6,Settings!$C$7))*100)</f>
        <v/>
      </c>
      <c r="V336" s="7">
        <f>IF($C336="","",R336*U336/100)</f>
        <v/>
      </c>
      <c r="W336" s="7">
        <f>IF($C336="","",R336-V336)</f>
        <v/>
      </c>
      <c r="X336" s="7">
        <f>IF($C336="","",W336-K336)</f>
        <v/>
      </c>
      <c r="AB336" s="7" t="n"/>
      <c r="AE336" s="11" t="n"/>
      <c r="AG336">
        <f>IF($C336="","",IF(COUNTIF($C$2:$C336,$C336)=1,1,0))</f>
        <v/>
      </c>
      <c r="AH336">
        <f>IF($AG336=1,SUMPRODUCT(--($AK$2:$AK$6001&lt;$AK336))+1,"")</f>
        <v/>
      </c>
      <c r="AI336">
        <f>IF($C336="","",IF(OR($N336=TRUE(),$N336="TRUE"),1,0))</f>
        <v/>
      </c>
      <c r="AJ336">
        <f>IF($C336="","",IF($T336="Yes",1,0))</f>
        <v/>
      </c>
      <c r="AK336">
        <f>IF($AG336=1,IFERROR(IF(VALUE($C336)&lt;100000000,VALUE($C336),1000000000),IFERROR(IF(VALUE(MID($C336,2,20))&lt;100000000,VALUE(MID($C336,2,20)),1000000000),1000000000))+ROW()/100000,"")</f>
        <v/>
      </c>
    </row>
    <row r="337">
      <c r="D337" s="11" t="n"/>
      <c r="K337" s="7">
        <f>IF($C337="","",J337*W337/100)</f>
        <v/>
      </c>
      <c r="Q337" s="7" t="n"/>
      <c r="R337" s="7" t="n"/>
      <c r="U337">
        <f>IF($C337="","",IF($AJ337=1,0,IF($AI337=1,Settings!$C$6,Settings!$C$7))*100)</f>
        <v/>
      </c>
      <c r="V337" s="7">
        <f>IF($C337="","",R337*U337/100)</f>
        <v/>
      </c>
      <c r="W337" s="7">
        <f>IF($C337="","",R337-V337)</f>
        <v/>
      </c>
      <c r="X337" s="7">
        <f>IF($C337="","",W337-K337)</f>
        <v/>
      </c>
      <c r="AB337" s="7" t="n"/>
      <c r="AE337" s="11" t="n"/>
      <c r="AG337">
        <f>IF($C337="","",IF(COUNTIF($C$2:$C337,$C337)=1,1,0))</f>
        <v/>
      </c>
      <c r="AH337">
        <f>IF($AG337=1,SUMPRODUCT(--($AK$2:$AK$6001&lt;$AK337))+1,"")</f>
        <v/>
      </c>
      <c r="AI337">
        <f>IF($C337="","",IF(OR($N337=TRUE(),$N337="TRUE"),1,0))</f>
        <v/>
      </c>
      <c r="AJ337">
        <f>IF($C337="","",IF($T337="Yes",1,0))</f>
        <v/>
      </c>
      <c r="AK337">
        <f>IF($AG337=1,IFERROR(IF(VALUE($C337)&lt;100000000,VALUE($C337),1000000000),IFERROR(IF(VALUE(MID($C337,2,20))&lt;100000000,VALUE(MID($C337,2,20)),1000000000),1000000000))+ROW()/100000,"")</f>
        <v/>
      </c>
    </row>
    <row r="338">
      <c r="D338" s="11" t="n"/>
      <c r="K338" s="7">
        <f>IF($C338="","",J338*W338/100)</f>
        <v/>
      </c>
      <c r="Q338" s="7" t="n"/>
      <c r="R338" s="7" t="n"/>
      <c r="U338">
        <f>IF($C338="","",IF($AJ338=1,0,IF($AI338=1,Settings!$C$6,Settings!$C$7))*100)</f>
        <v/>
      </c>
      <c r="V338" s="7">
        <f>IF($C338="","",R338*U338/100)</f>
        <v/>
      </c>
      <c r="W338" s="7">
        <f>IF($C338="","",R338-V338)</f>
        <v/>
      </c>
      <c r="X338" s="7">
        <f>IF($C338="","",W338-K338)</f>
        <v/>
      </c>
      <c r="AB338" s="7" t="n"/>
      <c r="AE338" s="11" t="n"/>
      <c r="AG338">
        <f>IF($C338="","",IF(COUNTIF($C$2:$C338,$C338)=1,1,0))</f>
        <v/>
      </c>
      <c r="AH338">
        <f>IF($AG338=1,SUMPRODUCT(--($AK$2:$AK$6001&lt;$AK338))+1,"")</f>
        <v/>
      </c>
      <c r="AI338">
        <f>IF($C338="","",IF(OR($N338=TRUE(),$N338="TRUE"),1,0))</f>
        <v/>
      </c>
      <c r="AJ338">
        <f>IF($C338="","",IF($T338="Yes",1,0))</f>
        <v/>
      </c>
      <c r="AK338">
        <f>IF($AG338=1,IFERROR(IF(VALUE($C338)&lt;100000000,VALUE($C338),1000000000),IFERROR(IF(VALUE(MID($C338,2,20))&lt;100000000,VALUE(MID($C338,2,20)),1000000000),1000000000))+ROW()/100000,"")</f>
        <v/>
      </c>
    </row>
    <row r="339">
      <c r="D339" s="11" t="n"/>
      <c r="K339" s="7">
        <f>IF($C339="","",J339*W339/100)</f>
        <v/>
      </c>
      <c r="Q339" s="7" t="n"/>
      <c r="R339" s="7" t="n"/>
      <c r="U339">
        <f>IF($C339="","",IF($AJ339=1,0,IF($AI339=1,Settings!$C$6,Settings!$C$7))*100)</f>
        <v/>
      </c>
      <c r="V339" s="7">
        <f>IF($C339="","",R339*U339/100)</f>
        <v/>
      </c>
      <c r="W339" s="7">
        <f>IF($C339="","",R339-V339)</f>
        <v/>
      </c>
      <c r="X339" s="7">
        <f>IF($C339="","",W339-K339)</f>
        <v/>
      </c>
      <c r="AB339" s="7" t="n"/>
      <c r="AE339" s="11" t="n"/>
      <c r="AG339">
        <f>IF($C339="","",IF(COUNTIF($C$2:$C339,$C339)=1,1,0))</f>
        <v/>
      </c>
      <c r="AH339">
        <f>IF($AG339=1,SUMPRODUCT(--($AK$2:$AK$6001&lt;$AK339))+1,"")</f>
        <v/>
      </c>
      <c r="AI339">
        <f>IF($C339="","",IF(OR($N339=TRUE(),$N339="TRUE"),1,0))</f>
        <v/>
      </c>
      <c r="AJ339">
        <f>IF($C339="","",IF($T339="Yes",1,0))</f>
        <v/>
      </c>
      <c r="AK339">
        <f>IF($AG339=1,IFERROR(IF(VALUE($C339)&lt;100000000,VALUE($C339),1000000000),IFERROR(IF(VALUE(MID($C339,2,20))&lt;100000000,VALUE(MID($C339,2,20)),1000000000),1000000000))+ROW()/100000,"")</f>
        <v/>
      </c>
    </row>
    <row r="340">
      <c r="D340" s="11" t="n"/>
      <c r="K340" s="7">
        <f>IF($C340="","",J340*W340/100)</f>
        <v/>
      </c>
      <c r="Q340" s="7" t="n"/>
      <c r="R340" s="7" t="n"/>
      <c r="U340">
        <f>IF($C340="","",IF($AJ340=1,0,IF($AI340=1,Settings!$C$6,Settings!$C$7))*100)</f>
        <v/>
      </c>
      <c r="V340" s="7">
        <f>IF($C340="","",R340*U340/100)</f>
        <v/>
      </c>
      <c r="W340" s="7">
        <f>IF($C340="","",R340-V340)</f>
        <v/>
      </c>
      <c r="X340" s="7">
        <f>IF($C340="","",W340-K340)</f>
        <v/>
      </c>
      <c r="AB340" s="7" t="n"/>
      <c r="AE340" s="11" t="n"/>
      <c r="AG340">
        <f>IF($C340="","",IF(COUNTIF($C$2:$C340,$C340)=1,1,0))</f>
        <v/>
      </c>
      <c r="AH340">
        <f>IF($AG340=1,SUMPRODUCT(--($AK$2:$AK$6001&lt;$AK340))+1,"")</f>
        <v/>
      </c>
      <c r="AI340">
        <f>IF($C340="","",IF(OR($N340=TRUE(),$N340="TRUE"),1,0))</f>
        <v/>
      </c>
      <c r="AJ340">
        <f>IF($C340="","",IF($T340="Yes",1,0))</f>
        <v/>
      </c>
      <c r="AK340">
        <f>IF($AG340=1,IFERROR(IF(VALUE($C340)&lt;100000000,VALUE($C340),1000000000),IFERROR(IF(VALUE(MID($C340,2,20))&lt;100000000,VALUE(MID($C340,2,20)),1000000000),1000000000))+ROW()/100000,"")</f>
        <v/>
      </c>
    </row>
    <row r="341">
      <c r="D341" s="11" t="n"/>
      <c r="K341" s="7">
        <f>IF($C341="","",J341*W341/100)</f>
        <v/>
      </c>
      <c r="Q341" s="7" t="n"/>
      <c r="R341" s="7" t="n"/>
      <c r="U341">
        <f>IF($C341="","",IF($AJ341=1,0,IF($AI341=1,Settings!$C$6,Settings!$C$7))*100)</f>
        <v/>
      </c>
      <c r="V341" s="7">
        <f>IF($C341="","",R341*U341/100)</f>
        <v/>
      </c>
      <c r="W341" s="7">
        <f>IF($C341="","",R341-V341)</f>
        <v/>
      </c>
      <c r="X341" s="7">
        <f>IF($C341="","",W341-K341)</f>
        <v/>
      </c>
      <c r="AB341" s="7" t="n"/>
      <c r="AE341" s="11" t="n"/>
      <c r="AG341">
        <f>IF($C341="","",IF(COUNTIF($C$2:$C341,$C341)=1,1,0))</f>
        <v/>
      </c>
      <c r="AH341">
        <f>IF($AG341=1,SUMPRODUCT(--($AK$2:$AK$6001&lt;$AK341))+1,"")</f>
        <v/>
      </c>
      <c r="AI341">
        <f>IF($C341="","",IF(OR($N341=TRUE(),$N341="TRUE"),1,0))</f>
        <v/>
      </c>
      <c r="AJ341">
        <f>IF($C341="","",IF($T341="Yes",1,0))</f>
        <v/>
      </c>
      <c r="AK341">
        <f>IF($AG341=1,IFERROR(IF(VALUE($C341)&lt;100000000,VALUE($C341),1000000000),IFERROR(IF(VALUE(MID($C341,2,20))&lt;100000000,VALUE(MID($C341,2,20)),1000000000),1000000000))+ROW()/100000,"")</f>
        <v/>
      </c>
    </row>
    <row r="342">
      <c r="D342" s="11" t="n"/>
      <c r="K342" s="7">
        <f>IF($C342="","",J342*W342/100)</f>
        <v/>
      </c>
      <c r="Q342" s="7" t="n"/>
      <c r="R342" s="7" t="n"/>
      <c r="U342">
        <f>IF($C342="","",IF($AJ342=1,0,IF($AI342=1,Settings!$C$6,Settings!$C$7))*100)</f>
        <v/>
      </c>
      <c r="V342" s="7">
        <f>IF($C342="","",R342*U342/100)</f>
        <v/>
      </c>
      <c r="W342" s="7">
        <f>IF($C342="","",R342-V342)</f>
        <v/>
      </c>
      <c r="X342" s="7">
        <f>IF($C342="","",W342-K342)</f>
        <v/>
      </c>
      <c r="AB342" s="7" t="n"/>
      <c r="AE342" s="11" t="n"/>
      <c r="AG342">
        <f>IF($C342="","",IF(COUNTIF($C$2:$C342,$C342)=1,1,0))</f>
        <v/>
      </c>
      <c r="AH342">
        <f>IF($AG342=1,SUMPRODUCT(--($AK$2:$AK$6001&lt;$AK342))+1,"")</f>
        <v/>
      </c>
      <c r="AI342">
        <f>IF($C342="","",IF(OR($N342=TRUE(),$N342="TRUE"),1,0))</f>
        <v/>
      </c>
      <c r="AJ342">
        <f>IF($C342="","",IF($T342="Yes",1,0))</f>
        <v/>
      </c>
      <c r="AK342">
        <f>IF($AG342=1,IFERROR(IF(VALUE($C342)&lt;100000000,VALUE($C342),1000000000),IFERROR(IF(VALUE(MID($C342,2,20))&lt;100000000,VALUE(MID($C342,2,20)),1000000000),1000000000))+ROW()/100000,"")</f>
        <v/>
      </c>
    </row>
    <row r="343">
      <c r="D343" s="11" t="n"/>
      <c r="K343" s="7">
        <f>IF($C343="","",J343*W343/100)</f>
        <v/>
      </c>
      <c r="Q343" s="7" t="n"/>
      <c r="R343" s="7" t="n"/>
      <c r="U343">
        <f>IF($C343="","",IF($AJ343=1,0,IF($AI343=1,Settings!$C$6,Settings!$C$7))*100)</f>
        <v/>
      </c>
      <c r="V343" s="7">
        <f>IF($C343="","",R343*U343/100)</f>
        <v/>
      </c>
      <c r="W343" s="7">
        <f>IF($C343="","",R343-V343)</f>
        <v/>
      </c>
      <c r="X343" s="7">
        <f>IF($C343="","",W343-K343)</f>
        <v/>
      </c>
      <c r="AB343" s="7" t="n"/>
      <c r="AE343" s="11" t="n"/>
      <c r="AG343">
        <f>IF($C343="","",IF(COUNTIF($C$2:$C343,$C343)=1,1,0))</f>
        <v/>
      </c>
      <c r="AH343">
        <f>IF($AG343=1,SUMPRODUCT(--($AK$2:$AK$6001&lt;$AK343))+1,"")</f>
        <v/>
      </c>
      <c r="AI343">
        <f>IF($C343="","",IF(OR($N343=TRUE(),$N343="TRUE"),1,0))</f>
        <v/>
      </c>
      <c r="AJ343">
        <f>IF($C343="","",IF($T343="Yes",1,0))</f>
        <v/>
      </c>
      <c r="AK343">
        <f>IF($AG343=1,IFERROR(IF(VALUE($C343)&lt;100000000,VALUE($C343),1000000000),IFERROR(IF(VALUE(MID($C343,2,20))&lt;100000000,VALUE(MID($C343,2,20)),1000000000),1000000000))+ROW()/100000,"")</f>
        <v/>
      </c>
    </row>
    <row r="344">
      <c r="D344" s="11" t="n"/>
      <c r="K344" s="7">
        <f>IF($C344="","",J344*W344/100)</f>
        <v/>
      </c>
      <c r="Q344" s="7" t="n"/>
      <c r="R344" s="7" t="n"/>
      <c r="U344">
        <f>IF($C344="","",IF($AJ344=1,0,IF($AI344=1,Settings!$C$6,Settings!$C$7))*100)</f>
        <v/>
      </c>
      <c r="V344" s="7">
        <f>IF($C344="","",R344*U344/100)</f>
        <v/>
      </c>
      <c r="W344" s="7">
        <f>IF($C344="","",R344-V344)</f>
        <v/>
      </c>
      <c r="X344" s="7">
        <f>IF($C344="","",W344-K344)</f>
        <v/>
      </c>
      <c r="AB344" s="7" t="n"/>
      <c r="AE344" s="11" t="n"/>
      <c r="AG344">
        <f>IF($C344="","",IF(COUNTIF($C$2:$C344,$C344)=1,1,0))</f>
        <v/>
      </c>
      <c r="AH344">
        <f>IF($AG344=1,SUMPRODUCT(--($AK$2:$AK$6001&lt;$AK344))+1,"")</f>
        <v/>
      </c>
      <c r="AI344">
        <f>IF($C344="","",IF(OR($N344=TRUE(),$N344="TRUE"),1,0))</f>
        <v/>
      </c>
      <c r="AJ344">
        <f>IF($C344="","",IF($T344="Yes",1,0))</f>
        <v/>
      </c>
      <c r="AK344">
        <f>IF($AG344=1,IFERROR(IF(VALUE($C344)&lt;100000000,VALUE($C344),1000000000),IFERROR(IF(VALUE(MID($C344,2,20))&lt;100000000,VALUE(MID($C344,2,20)),1000000000),1000000000))+ROW()/100000,"")</f>
        <v/>
      </c>
    </row>
    <row r="345">
      <c r="D345" s="11" t="n"/>
      <c r="K345" s="7">
        <f>IF($C345="","",J345*W345/100)</f>
        <v/>
      </c>
      <c r="Q345" s="7" t="n"/>
      <c r="R345" s="7" t="n"/>
      <c r="U345">
        <f>IF($C345="","",IF($AJ345=1,0,IF($AI345=1,Settings!$C$6,Settings!$C$7))*100)</f>
        <v/>
      </c>
      <c r="V345" s="7">
        <f>IF($C345="","",R345*U345/100)</f>
        <v/>
      </c>
      <c r="W345" s="7">
        <f>IF($C345="","",R345-V345)</f>
        <v/>
      </c>
      <c r="X345" s="7">
        <f>IF($C345="","",W345-K345)</f>
        <v/>
      </c>
      <c r="AB345" s="7" t="n"/>
      <c r="AE345" s="11" t="n"/>
      <c r="AG345">
        <f>IF($C345="","",IF(COUNTIF($C$2:$C345,$C345)=1,1,0))</f>
        <v/>
      </c>
      <c r="AH345">
        <f>IF($AG345=1,SUMPRODUCT(--($AK$2:$AK$6001&lt;$AK345))+1,"")</f>
        <v/>
      </c>
      <c r="AI345">
        <f>IF($C345="","",IF(OR($N345=TRUE(),$N345="TRUE"),1,0))</f>
        <v/>
      </c>
      <c r="AJ345">
        <f>IF($C345="","",IF($T345="Yes",1,0))</f>
        <v/>
      </c>
      <c r="AK345">
        <f>IF($AG345=1,IFERROR(IF(VALUE($C345)&lt;100000000,VALUE($C345),1000000000),IFERROR(IF(VALUE(MID($C345,2,20))&lt;100000000,VALUE(MID($C345,2,20)),1000000000),1000000000))+ROW()/100000,"")</f>
        <v/>
      </c>
    </row>
    <row r="346">
      <c r="D346" s="11" t="n"/>
      <c r="K346" s="7">
        <f>IF($C346="","",J346*W346/100)</f>
        <v/>
      </c>
      <c r="Q346" s="7" t="n"/>
      <c r="R346" s="7" t="n"/>
      <c r="U346">
        <f>IF($C346="","",IF($AJ346=1,0,IF($AI346=1,Settings!$C$6,Settings!$C$7))*100)</f>
        <v/>
      </c>
      <c r="V346" s="7">
        <f>IF($C346="","",R346*U346/100)</f>
        <v/>
      </c>
      <c r="W346" s="7">
        <f>IF($C346="","",R346-V346)</f>
        <v/>
      </c>
      <c r="X346" s="7">
        <f>IF($C346="","",W346-K346)</f>
        <v/>
      </c>
      <c r="AB346" s="7" t="n"/>
      <c r="AE346" s="11" t="n"/>
      <c r="AG346">
        <f>IF($C346="","",IF(COUNTIF($C$2:$C346,$C346)=1,1,0))</f>
        <v/>
      </c>
      <c r="AH346">
        <f>IF($AG346=1,SUMPRODUCT(--($AK$2:$AK$6001&lt;$AK346))+1,"")</f>
        <v/>
      </c>
      <c r="AI346">
        <f>IF($C346="","",IF(OR($N346=TRUE(),$N346="TRUE"),1,0))</f>
        <v/>
      </c>
      <c r="AJ346">
        <f>IF($C346="","",IF($T346="Yes",1,0))</f>
        <v/>
      </c>
      <c r="AK346">
        <f>IF($AG346=1,IFERROR(IF(VALUE($C346)&lt;100000000,VALUE($C346),1000000000),IFERROR(IF(VALUE(MID($C346,2,20))&lt;100000000,VALUE(MID($C346,2,20)),1000000000),1000000000))+ROW()/100000,"")</f>
        <v/>
      </c>
    </row>
    <row r="347">
      <c r="D347" s="11" t="n"/>
      <c r="K347" s="7">
        <f>IF($C347="","",J347*W347/100)</f>
        <v/>
      </c>
      <c r="Q347" s="7" t="n"/>
      <c r="R347" s="7" t="n"/>
      <c r="U347">
        <f>IF($C347="","",IF($AJ347=1,0,IF($AI347=1,Settings!$C$6,Settings!$C$7))*100)</f>
        <v/>
      </c>
      <c r="V347" s="7">
        <f>IF($C347="","",R347*U347/100)</f>
        <v/>
      </c>
      <c r="W347" s="7">
        <f>IF($C347="","",R347-V347)</f>
        <v/>
      </c>
      <c r="X347" s="7">
        <f>IF($C347="","",W347-K347)</f>
        <v/>
      </c>
      <c r="AB347" s="7" t="n"/>
      <c r="AE347" s="11" t="n"/>
      <c r="AG347">
        <f>IF($C347="","",IF(COUNTIF($C$2:$C347,$C347)=1,1,0))</f>
        <v/>
      </c>
      <c r="AH347">
        <f>IF($AG347=1,SUMPRODUCT(--($AK$2:$AK$6001&lt;$AK347))+1,"")</f>
        <v/>
      </c>
      <c r="AI347">
        <f>IF($C347="","",IF(OR($N347=TRUE(),$N347="TRUE"),1,0))</f>
        <v/>
      </c>
      <c r="AJ347">
        <f>IF($C347="","",IF($T347="Yes",1,0))</f>
        <v/>
      </c>
      <c r="AK347">
        <f>IF($AG347=1,IFERROR(IF(VALUE($C347)&lt;100000000,VALUE($C347),1000000000),IFERROR(IF(VALUE(MID($C347,2,20))&lt;100000000,VALUE(MID($C347,2,20)),1000000000),1000000000))+ROW()/100000,"")</f>
        <v/>
      </c>
    </row>
    <row r="348">
      <c r="D348" s="11" t="n"/>
      <c r="K348" s="7">
        <f>IF($C348="","",J348*W348/100)</f>
        <v/>
      </c>
      <c r="Q348" s="7" t="n"/>
      <c r="R348" s="7" t="n"/>
      <c r="U348">
        <f>IF($C348="","",IF($AJ348=1,0,IF($AI348=1,Settings!$C$6,Settings!$C$7))*100)</f>
        <v/>
      </c>
      <c r="V348" s="7">
        <f>IF($C348="","",R348*U348/100)</f>
        <v/>
      </c>
      <c r="W348" s="7">
        <f>IF($C348="","",R348-V348)</f>
        <v/>
      </c>
      <c r="X348" s="7">
        <f>IF($C348="","",W348-K348)</f>
        <v/>
      </c>
      <c r="AB348" s="7" t="n"/>
      <c r="AE348" s="11" t="n"/>
      <c r="AG348">
        <f>IF($C348="","",IF(COUNTIF($C$2:$C348,$C348)=1,1,0))</f>
        <v/>
      </c>
      <c r="AH348">
        <f>IF($AG348=1,SUMPRODUCT(--($AK$2:$AK$6001&lt;$AK348))+1,"")</f>
        <v/>
      </c>
      <c r="AI348">
        <f>IF($C348="","",IF(OR($N348=TRUE(),$N348="TRUE"),1,0))</f>
        <v/>
      </c>
      <c r="AJ348">
        <f>IF($C348="","",IF($T348="Yes",1,0))</f>
        <v/>
      </c>
      <c r="AK348">
        <f>IF($AG348=1,IFERROR(IF(VALUE($C348)&lt;100000000,VALUE($C348),1000000000),IFERROR(IF(VALUE(MID($C348,2,20))&lt;100000000,VALUE(MID($C348,2,20)),1000000000),1000000000))+ROW()/100000,"")</f>
        <v/>
      </c>
    </row>
    <row r="349">
      <c r="D349" s="11" t="n"/>
      <c r="K349" s="7">
        <f>IF($C349="","",J349*W349/100)</f>
        <v/>
      </c>
      <c r="Q349" s="7" t="n"/>
      <c r="R349" s="7" t="n"/>
      <c r="U349">
        <f>IF($C349="","",IF($AJ349=1,0,IF($AI349=1,Settings!$C$6,Settings!$C$7))*100)</f>
        <v/>
      </c>
      <c r="V349" s="7">
        <f>IF($C349="","",R349*U349/100)</f>
        <v/>
      </c>
      <c r="W349" s="7">
        <f>IF($C349="","",R349-V349)</f>
        <v/>
      </c>
      <c r="X349" s="7">
        <f>IF($C349="","",W349-K349)</f>
        <v/>
      </c>
      <c r="AB349" s="7" t="n"/>
      <c r="AE349" s="11" t="n"/>
      <c r="AG349">
        <f>IF($C349="","",IF(COUNTIF($C$2:$C349,$C349)=1,1,0))</f>
        <v/>
      </c>
      <c r="AH349">
        <f>IF($AG349=1,SUMPRODUCT(--($AK$2:$AK$6001&lt;$AK349))+1,"")</f>
        <v/>
      </c>
      <c r="AI349">
        <f>IF($C349="","",IF(OR($N349=TRUE(),$N349="TRUE"),1,0))</f>
        <v/>
      </c>
      <c r="AJ349">
        <f>IF($C349="","",IF($T349="Yes",1,0))</f>
        <v/>
      </c>
      <c r="AK349">
        <f>IF($AG349=1,IFERROR(IF(VALUE($C349)&lt;100000000,VALUE($C349),1000000000),IFERROR(IF(VALUE(MID($C349,2,20))&lt;100000000,VALUE(MID($C349,2,20)),1000000000),1000000000))+ROW()/100000,"")</f>
        <v/>
      </c>
    </row>
    <row r="350">
      <c r="D350" s="11" t="n"/>
      <c r="K350" s="7">
        <f>IF($C350="","",J350*W350/100)</f>
        <v/>
      </c>
      <c r="Q350" s="7" t="n"/>
      <c r="R350" s="7" t="n"/>
      <c r="U350">
        <f>IF($C350="","",IF($AJ350=1,0,IF($AI350=1,Settings!$C$6,Settings!$C$7))*100)</f>
        <v/>
      </c>
      <c r="V350" s="7">
        <f>IF($C350="","",R350*U350/100)</f>
        <v/>
      </c>
      <c r="W350" s="7">
        <f>IF($C350="","",R350-V350)</f>
        <v/>
      </c>
      <c r="X350" s="7">
        <f>IF($C350="","",W350-K350)</f>
        <v/>
      </c>
      <c r="AB350" s="7" t="n"/>
      <c r="AE350" s="11" t="n"/>
      <c r="AG350">
        <f>IF($C350="","",IF(COUNTIF($C$2:$C350,$C350)=1,1,0))</f>
        <v/>
      </c>
      <c r="AH350">
        <f>IF($AG350=1,SUMPRODUCT(--($AK$2:$AK$6001&lt;$AK350))+1,"")</f>
        <v/>
      </c>
      <c r="AI350">
        <f>IF($C350="","",IF(OR($N350=TRUE(),$N350="TRUE"),1,0))</f>
        <v/>
      </c>
      <c r="AJ350">
        <f>IF($C350="","",IF($T350="Yes",1,0))</f>
        <v/>
      </c>
      <c r="AK350">
        <f>IF($AG350=1,IFERROR(IF(VALUE($C350)&lt;100000000,VALUE($C350),1000000000),IFERROR(IF(VALUE(MID($C350,2,20))&lt;100000000,VALUE(MID($C350,2,20)),1000000000),1000000000))+ROW()/100000,"")</f>
        <v/>
      </c>
    </row>
    <row r="351">
      <c r="D351" s="11" t="n"/>
      <c r="K351" s="7">
        <f>IF($C351="","",J351*W351/100)</f>
        <v/>
      </c>
      <c r="Q351" s="7" t="n"/>
      <c r="R351" s="7" t="n"/>
      <c r="U351">
        <f>IF($C351="","",IF($AJ351=1,0,IF($AI351=1,Settings!$C$6,Settings!$C$7))*100)</f>
        <v/>
      </c>
      <c r="V351" s="7">
        <f>IF($C351="","",R351*U351/100)</f>
        <v/>
      </c>
      <c r="W351" s="7">
        <f>IF($C351="","",R351-V351)</f>
        <v/>
      </c>
      <c r="X351" s="7">
        <f>IF($C351="","",W351-K351)</f>
        <v/>
      </c>
      <c r="AB351" s="7" t="n"/>
      <c r="AE351" s="11" t="n"/>
      <c r="AG351">
        <f>IF($C351="","",IF(COUNTIF($C$2:$C351,$C351)=1,1,0))</f>
        <v/>
      </c>
      <c r="AH351">
        <f>IF($AG351=1,SUMPRODUCT(--($AK$2:$AK$6001&lt;$AK351))+1,"")</f>
        <v/>
      </c>
      <c r="AI351">
        <f>IF($C351="","",IF(OR($N351=TRUE(),$N351="TRUE"),1,0))</f>
        <v/>
      </c>
      <c r="AJ351">
        <f>IF($C351="","",IF($T351="Yes",1,0))</f>
        <v/>
      </c>
      <c r="AK351">
        <f>IF($AG351=1,IFERROR(IF(VALUE($C351)&lt;100000000,VALUE($C351),1000000000),IFERROR(IF(VALUE(MID($C351,2,20))&lt;100000000,VALUE(MID($C351,2,20)),1000000000),1000000000))+ROW()/100000,"")</f>
        <v/>
      </c>
    </row>
    <row r="352">
      <c r="D352" s="11" t="n"/>
      <c r="K352" s="7">
        <f>IF($C352="","",J352*W352/100)</f>
        <v/>
      </c>
      <c r="Q352" s="7" t="n"/>
      <c r="R352" s="7" t="n"/>
      <c r="U352">
        <f>IF($C352="","",IF($AJ352=1,0,IF($AI352=1,Settings!$C$6,Settings!$C$7))*100)</f>
        <v/>
      </c>
      <c r="V352" s="7">
        <f>IF($C352="","",R352*U352/100)</f>
        <v/>
      </c>
      <c r="W352" s="7">
        <f>IF($C352="","",R352-V352)</f>
        <v/>
      </c>
      <c r="X352" s="7">
        <f>IF($C352="","",W352-K352)</f>
        <v/>
      </c>
      <c r="AB352" s="7" t="n"/>
      <c r="AE352" s="11" t="n"/>
      <c r="AG352">
        <f>IF($C352="","",IF(COUNTIF($C$2:$C352,$C352)=1,1,0))</f>
        <v/>
      </c>
      <c r="AH352">
        <f>IF($AG352=1,SUMPRODUCT(--($AK$2:$AK$6001&lt;$AK352))+1,"")</f>
        <v/>
      </c>
      <c r="AI352">
        <f>IF($C352="","",IF(OR($N352=TRUE(),$N352="TRUE"),1,0))</f>
        <v/>
      </c>
      <c r="AJ352">
        <f>IF($C352="","",IF($T352="Yes",1,0))</f>
        <v/>
      </c>
      <c r="AK352">
        <f>IF($AG352=1,IFERROR(IF(VALUE($C352)&lt;100000000,VALUE($C352),1000000000),IFERROR(IF(VALUE(MID($C352,2,20))&lt;100000000,VALUE(MID($C352,2,20)),1000000000),1000000000))+ROW()/100000,"")</f>
        <v/>
      </c>
    </row>
    <row r="353">
      <c r="D353" s="11" t="n"/>
      <c r="K353" s="7">
        <f>IF($C353="","",J353*W353/100)</f>
        <v/>
      </c>
      <c r="Q353" s="7" t="n"/>
      <c r="R353" s="7" t="n"/>
      <c r="U353">
        <f>IF($C353="","",IF($AJ353=1,0,IF($AI353=1,Settings!$C$6,Settings!$C$7))*100)</f>
        <v/>
      </c>
      <c r="V353" s="7">
        <f>IF($C353="","",R353*U353/100)</f>
        <v/>
      </c>
      <c r="W353" s="7">
        <f>IF($C353="","",R353-V353)</f>
        <v/>
      </c>
      <c r="X353" s="7">
        <f>IF($C353="","",W353-K353)</f>
        <v/>
      </c>
      <c r="AB353" s="7" t="n"/>
      <c r="AE353" s="11" t="n"/>
      <c r="AG353">
        <f>IF($C353="","",IF(COUNTIF($C$2:$C353,$C353)=1,1,0))</f>
        <v/>
      </c>
      <c r="AH353">
        <f>IF($AG353=1,SUMPRODUCT(--($AK$2:$AK$6001&lt;$AK353))+1,"")</f>
        <v/>
      </c>
      <c r="AI353">
        <f>IF($C353="","",IF(OR($N353=TRUE(),$N353="TRUE"),1,0))</f>
        <v/>
      </c>
      <c r="AJ353">
        <f>IF($C353="","",IF($T353="Yes",1,0))</f>
        <v/>
      </c>
      <c r="AK353">
        <f>IF($AG353=1,IFERROR(IF(VALUE($C353)&lt;100000000,VALUE($C353),1000000000),IFERROR(IF(VALUE(MID($C353,2,20))&lt;100000000,VALUE(MID($C353,2,20)),1000000000),1000000000))+ROW()/100000,"")</f>
        <v/>
      </c>
    </row>
    <row r="354">
      <c r="D354" s="11" t="n"/>
      <c r="K354" s="7">
        <f>IF($C354="","",J354*W354/100)</f>
        <v/>
      </c>
      <c r="Q354" s="7" t="n"/>
      <c r="R354" s="7" t="n"/>
      <c r="U354">
        <f>IF($C354="","",IF($AJ354=1,0,IF($AI354=1,Settings!$C$6,Settings!$C$7))*100)</f>
        <v/>
      </c>
      <c r="V354" s="7">
        <f>IF($C354="","",R354*U354/100)</f>
        <v/>
      </c>
      <c r="W354" s="7">
        <f>IF($C354="","",R354-V354)</f>
        <v/>
      </c>
      <c r="X354" s="7">
        <f>IF($C354="","",W354-K354)</f>
        <v/>
      </c>
      <c r="AB354" s="7" t="n"/>
      <c r="AE354" s="11" t="n"/>
      <c r="AG354">
        <f>IF($C354="","",IF(COUNTIF($C$2:$C354,$C354)=1,1,0))</f>
        <v/>
      </c>
      <c r="AH354">
        <f>IF($AG354=1,SUMPRODUCT(--($AK$2:$AK$6001&lt;$AK354))+1,"")</f>
        <v/>
      </c>
      <c r="AI354">
        <f>IF($C354="","",IF(OR($N354=TRUE(),$N354="TRUE"),1,0))</f>
        <v/>
      </c>
      <c r="AJ354">
        <f>IF($C354="","",IF($T354="Yes",1,0))</f>
        <v/>
      </c>
      <c r="AK354">
        <f>IF($AG354=1,IFERROR(IF(VALUE($C354)&lt;100000000,VALUE($C354),1000000000),IFERROR(IF(VALUE(MID($C354,2,20))&lt;100000000,VALUE(MID($C354,2,20)),1000000000),1000000000))+ROW()/100000,"")</f>
        <v/>
      </c>
    </row>
    <row r="355">
      <c r="D355" s="11" t="n"/>
      <c r="K355" s="7">
        <f>IF($C355="","",J355*W355/100)</f>
        <v/>
      </c>
      <c r="Q355" s="7" t="n"/>
      <c r="R355" s="7" t="n"/>
      <c r="U355">
        <f>IF($C355="","",IF($AJ355=1,0,IF($AI355=1,Settings!$C$6,Settings!$C$7))*100)</f>
        <v/>
      </c>
      <c r="V355" s="7">
        <f>IF($C355="","",R355*U355/100)</f>
        <v/>
      </c>
      <c r="W355" s="7">
        <f>IF($C355="","",R355-V355)</f>
        <v/>
      </c>
      <c r="X355" s="7">
        <f>IF($C355="","",W355-K355)</f>
        <v/>
      </c>
      <c r="AB355" s="7" t="n"/>
      <c r="AE355" s="11" t="n"/>
      <c r="AG355">
        <f>IF($C355="","",IF(COUNTIF($C$2:$C355,$C355)=1,1,0))</f>
        <v/>
      </c>
      <c r="AH355">
        <f>IF($AG355=1,SUMPRODUCT(--($AK$2:$AK$6001&lt;$AK355))+1,"")</f>
        <v/>
      </c>
      <c r="AI355">
        <f>IF($C355="","",IF(OR($N355=TRUE(),$N355="TRUE"),1,0))</f>
        <v/>
      </c>
      <c r="AJ355">
        <f>IF($C355="","",IF($T355="Yes",1,0))</f>
        <v/>
      </c>
      <c r="AK355">
        <f>IF($AG355=1,IFERROR(IF(VALUE($C355)&lt;100000000,VALUE($C355),1000000000),IFERROR(IF(VALUE(MID($C355,2,20))&lt;100000000,VALUE(MID($C355,2,20)),1000000000),1000000000))+ROW()/100000,"")</f>
        <v/>
      </c>
    </row>
    <row r="356">
      <c r="D356" s="11" t="n"/>
      <c r="K356" s="7">
        <f>IF($C356="","",J356*W356/100)</f>
        <v/>
      </c>
      <c r="Q356" s="7" t="n"/>
      <c r="R356" s="7" t="n"/>
      <c r="U356">
        <f>IF($C356="","",IF($AJ356=1,0,IF($AI356=1,Settings!$C$6,Settings!$C$7))*100)</f>
        <v/>
      </c>
      <c r="V356" s="7">
        <f>IF($C356="","",R356*U356/100)</f>
        <v/>
      </c>
      <c r="W356" s="7">
        <f>IF($C356="","",R356-V356)</f>
        <v/>
      </c>
      <c r="X356" s="7">
        <f>IF($C356="","",W356-K356)</f>
        <v/>
      </c>
      <c r="AB356" s="7" t="n"/>
      <c r="AE356" s="11" t="n"/>
      <c r="AG356">
        <f>IF($C356="","",IF(COUNTIF($C$2:$C356,$C356)=1,1,0))</f>
        <v/>
      </c>
      <c r="AH356">
        <f>IF($AG356=1,SUMPRODUCT(--($AK$2:$AK$6001&lt;$AK356))+1,"")</f>
        <v/>
      </c>
      <c r="AI356">
        <f>IF($C356="","",IF(OR($N356=TRUE(),$N356="TRUE"),1,0))</f>
        <v/>
      </c>
      <c r="AJ356">
        <f>IF($C356="","",IF($T356="Yes",1,0))</f>
        <v/>
      </c>
      <c r="AK356">
        <f>IF($AG356=1,IFERROR(IF(VALUE($C356)&lt;100000000,VALUE($C356),1000000000),IFERROR(IF(VALUE(MID($C356,2,20))&lt;100000000,VALUE(MID($C356,2,20)),1000000000),1000000000))+ROW()/100000,"")</f>
        <v/>
      </c>
    </row>
    <row r="357">
      <c r="D357" s="11" t="n"/>
      <c r="K357" s="7">
        <f>IF($C357="","",J357*W357/100)</f>
        <v/>
      </c>
      <c r="Q357" s="7" t="n"/>
      <c r="R357" s="7" t="n"/>
      <c r="U357">
        <f>IF($C357="","",IF($AJ357=1,0,IF($AI357=1,Settings!$C$6,Settings!$C$7))*100)</f>
        <v/>
      </c>
      <c r="V357" s="7">
        <f>IF($C357="","",R357*U357/100)</f>
        <v/>
      </c>
      <c r="W357" s="7">
        <f>IF($C357="","",R357-V357)</f>
        <v/>
      </c>
      <c r="X357" s="7">
        <f>IF($C357="","",W357-K357)</f>
        <v/>
      </c>
      <c r="AB357" s="7" t="n"/>
      <c r="AE357" s="11" t="n"/>
      <c r="AG357">
        <f>IF($C357="","",IF(COUNTIF($C$2:$C357,$C357)=1,1,0))</f>
        <v/>
      </c>
      <c r="AH357">
        <f>IF($AG357=1,SUMPRODUCT(--($AK$2:$AK$6001&lt;$AK357))+1,"")</f>
        <v/>
      </c>
      <c r="AI357">
        <f>IF($C357="","",IF(OR($N357=TRUE(),$N357="TRUE"),1,0))</f>
        <v/>
      </c>
      <c r="AJ357">
        <f>IF($C357="","",IF($T357="Yes",1,0))</f>
        <v/>
      </c>
      <c r="AK357">
        <f>IF($AG357=1,IFERROR(IF(VALUE($C357)&lt;100000000,VALUE($C357),1000000000),IFERROR(IF(VALUE(MID($C357,2,20))&lt;100000000,VALUE(MID($C357,2,20)),1000000000),1000000000))+ROW()/100000,"")</f>
        <v/>
      </c>
    </row>
    <row r="358">
      <c r="D358" s="11" t="n"/>
      <c r="K358" s="7">
        <f>IF($C358="","",J358*W358/100)</f>
        <v/>
      </c>
      <c r="Q358" s="7" t="n"/>
      <c r="R358" s="7" t="n"/>
      <c r="U358">
        <f>IF($C358="","",IF($AJ358=1,0,IF($AI358=1,Settings!$C$6,Settings!$C$7))*100)</f>
        <v/>
      </c>
      <c r="V358" s="7">
        <f>IF($C358="","",R358*U358/100)</f>
        <v/>
      </c>
      <c r="W358" s="7">
        <f>IF($C358="","",R358-V358)</f>
        <v/>
      </c>
      <c r="X358" s="7">
        <f>IF($C358="","",W358-K358)</f>
        <v/>
      </c>
      <c r="AB358" s="7" t="n"/>
      <c r="AE358" s="11" t="n"/>
      <c r="AG358">
        <f>IF($C358="","",IF(COUNTIF($C$2:$C358,$C358)=1,1,0))</f>
        <v/>
      </c>
      <c r="AH358">
        <f>IF($AG358=1,SUMPRODUCT(--($AK$2:$AK$6001&lt;$AK358))+1,"")</f>
        <v/>
      </c>
      <c r="AI358">
        <f>IF($C358="","",IF(OR($N358=TRUE(),$N358="TRUE"),1,0))</f>
        <v/>
      </c>
      <c r="AJ358">
        <f>IF($C358="","",IF($T358="Yes",1,0))</f>
        <v/>
      </c>
      <c r="AK358">
        <f>IF($AG358=1,IFERROR(IF(VALUE($C358)&lt;100000000,VALUE($C358),1000000000),IFERROR(IF(VALUE(MID($C358,2,20))&lt;100000000,VALUE(MID($C358,2,20)),1000000000),1000000000))+ROW()/100000,"")</f>
        <v/>
      </c>
    </row>
    <row r="359">
      <c r="D359" s="11" t="n"/>
      <c r="K359" s="7">
        <f>IF($C359="","",J359*W359/100)</f>
        <v/>
      </c>
      <c r="Q359" s="7" t="n"/>
      <c r="R359" s="7" t="n"/>
      <c r="U359">
        <f>IF($C359="","",IF($AJ359=1,0,IF($AI359=1,Settings!$C$6,Settings!$C$7))*100)</f>
        <v/>
      </c>
      <c r="V359" s="7">
        <f>IF($C359="","",R359*U359/100)</f>
        <v/>
      </c>
      <c r="W359" s="7">
        <f>IF($C359="","",R359-V359)</f>
        <v/>
      </c>
      <c r="X359" s="7">
        <f>IF($C359="","",W359-K359)</f>
        <v/>
      </c>
      <c r="AB359" s="7" t="n"/>
      <c r="AE359" s="11" t="n"/>
      <c r="AG359">
        <f>IF($C359="","",IF(COUNTIF($C$2:$C359,$C359)=1,1,0))</f>
        <v/>
      </c>
      <c r="AH359">
        <f>IF($AG359=1,SUMPRODUCT(--($AK$2:$AK$6001&lt;$AK359))+1,"")</f>
        <v/>
      </c>
      <c r="AI359">
        <f>IF($C359="","",IF(OR($N359=TRUE(),$N359="TRUE"),1,0))</f>
        <v/>
      </c>
      <c r="AJ359">
        <f>IF($C359="","",IF($T359="Yes",1,0))</f>
        <v/>
      </c>
      <c r="AK359">
        <f>IF($AG359=1,IFERROR(IF(VALUE($C359)&lt;100000000,VALUE($C359),1000000000),IFERROR(IF(VALUE(MID($C359,2,20))&lt;100000000,VALUE(MID($C359,2,20)),1000000000),1000000000))+ROW()/100000,"")</f>
        <v/>
      </c>
    </row>
    <row r="360">
      <c r="D360" s="11" t="n"/>
      <c r="K360" s="7">
        <f>IF($C360="","",J360*W360/100)</f>
        <v/>
      </c>
      <c r="Q360" s="7" t="n"/>
      <c r="R360" s="7" t="n"/>
      <c r="U360">
        <f>IF($C360="","",IF($AJ360=1,0,IF($AI360=1,Settings!$C$6,Settings!$C$7))*100)</f>
        <v/>
      </c>
      <c r="V360" s="7">
        <f>IF($C360="","",R360*U360/100)</f>
        <v/>
      </c>
      <c r="W360" s="7">
        <f>IF($C360="","",R360-V360)</f>
        <v/>
      </c>
      <c r="X360" s="7">
        <f>IF($C360="","",W360-K360)</f>
        <v/>
      </c>
      <c r="AB360" s="7" t="n"/>
      <c r="AE360" s="11" t="n"/>
      <c r="AG360">
        <f>IF($C360="","",IF(COUNTIF($C$2:$C360,$C360)=1,1,0))</f>
        <v/>
      </c>
      <c r="AH360">
        <f>IF($AG360=1,SUMPRODUCT(--($AK$2:$AK$6001&lt;$AK360))+1,"")</f>
        <v/>
      </c>
      <c r="AI360">
        <f>IF($C360="","",IF(OR($N360=TRUE(),$N360="TRUE"),1,0))</f>
        <v/>
      </c>
      <c r="AJ360">
        <f>IF($C360="","",IF($T360="Yes",1,0))</f>
        <v/>
      </c>
      <c r="AK360">
        <f>IF($AG360=1,IFERROR(IF(VALUE($C360)&lt;100000000,VALUE($C360),1000000000),IFERROR(IF(VALUE(MID($C360,2,20))&lt;100000000,VALUE(MID($C360,2,20)),1000000000),1000000000))+ROW()/100000,"")</f>
        <v/>
      </c>
    </row>
    <row r="361">
      <c r="D361" s="11" t="n"/>
      <c r="K361" s="7">
        <f>IF($C361="","",J361*W361/100)</f>
        <v/>
      </c>
      <c r="Q361" s="7" t="n"/>
      <c r="R361" s="7" t="n"/>
      <c r="U361">
        <f>IF($C361="","",IF($AJ361=1,0,IF($AI361=1,Settings!$C$6,Settings!$C$7))*100)</f>
        <v/>
      </c>
      <c r="V361" s="7">
        <f>IF($C361="","",R361*U361/100)</f>
        <v/>
      </c>
      <c r="W361" s="7">
        <f>IF($C361="","",R361-V361)</f>
        <v/>
      </c>
      <c r="X361" s="7">
        <f>IF($C361="","",W361-K361)</f>
        <v/>
      </c>
      <c r="AB361" s="7" t="n"/>
      <c r="AE361" s="11" t="n"/>
      <c r="AG361">
        <f>IF($C361="","",IF(COUNTIF($C$2:$C361,$C361)=1,1,0))</f>
        <v/>
      </c>
      <c r="AH361">
        <f>IF($AG361=1,SUMPRODUCT(--($AK$2:$AK$6001&lt;$AK361))+1,"")</f>
        <v/>
      </c>
      <c r="AI361">
        <f>IF($C361="","",IF(OR($N361=TRUE(),$N361="TRUE"),1,0))</f>
        <v/>
      </c>
      <c r="AJ361">
        <f>IF($C361="","",IF($T361="Yes",1,0))</f>
        <v/>
      </c>
      <c r="AK361">
        <f>IF($AG361=1,IFERROR(IF(VALUE($C361)&lt;100000000,VALUE($C361),1000000000),IFERROR(IF(VALUE(MID($C361,2,20))&lt;100000000,VALUE(MID($C361,2,20)),1000000000),1000000000))+ROW()/100000,"")</f>
        <v/>
      </c>
    </row>
    <row r="362">
      <c r="D362" s="11" t="n"/>
      <c r="K362" s="7">
        <f>IF($C362="","",J362*W362/100)</f>
        <v/>
      </c>
      <c r="Q362" s="7" t="n"/>
      <c r="R362" s="7" t="n"/>
      <c r="U362">
        <f>IF($C362="","",IF($AJ362=1,0,IF($AI362=1,Settings!$C$6,Settings!$C$7))*100)</f>
        <v/>
      </c>
      <c r="V362" s="7">
        <f>IF($C362="","",R362*U362/100)</f>
        <v/>
      </c>
      <c r="W362" s="7">
        <f>IF($C362="","",R362-V362)</f>
        <v/>
      </c>
      <c r="X362" s="7">
        <f>IF($C362="","",W362-K362)</f>
        <v/>
      </c>
      <c r="AB362" s="7" t="n"/>
      <c r="AE362" s="11" t="n"/>
      <c r="AG362">
        <f>IF($C362="","",IF(COUNTIF($C$2:$C362,$C362)=1,1,0))</f>
        <v/>
      </c>
      <c r="AH362">
        <f>IF($AG362=1,SUMPRODUCT(--($AK$2:$AK$6001&lt;$AK362))+1,"")</f>
        <v/>
      </c>
      <c r="AI362">
        <f>IF($C362="","",IF(OR($N362=TRUE(),$N362="TRUE"),1,0))</f>
        <v/>
      </c>
      <c r="AJ362">
        <f>IF($C362="","",IF($T362="Yes",1,0))</f>
        <v/>
      </c>
      <c r="AK362">
        <f>IF($AG362=1,IFERROR(IF(VALUE($C362)&lt;100000000,VALUE($C362),1000000000),IFERROR(IF(VALUE(MID($C362,2,20))&lt;100000000,VALUE(MID($C362,2,20)),1000000000),1000000000))+ROW()/100000,"")</f>
        <v/>
      </c>
    </row>
    <row r="363">
      <c r="D363" s="11" t="n"/>
      <c r="K363" s="7">
        <f>IF($C363="","",J363*W363/100)</f>
        <v/>
      </c>
      <c r="Q363" s="7" t="n"/>
      <c r="R363" s="7" t="n"/>
      <c r="U363">
        <f>IF($C363="","",IF($AJ363=1,0,IF($AI363=1,Settings!$C$6,Settings!$C$7))*100)</f>
        <v/>
      </c>
      <c r="V363" s="7">
        <f>IF($C363="","",R363*U363/100)</f>
        <v/>
      </c>
      <c r="W363" s="7">
        <f>IF($C363="","",R363-V363)</f>
        <v/>
      </c>
      <c r="X363" s="7">
        <f>IF($C363="","",W363-K363)</f>
        <v/>
      </c>
      <c r="AB363" s="7" t="n"/>
      <c r="AE363" s="11" t="n"/>
      <c r="AG363">
        <f>IF($C363="","",IF(COUNTIF($C$2:$C363,$C363)=1,1,0))</f>
        <v/>
      </c>
      <c r="AH363">
        <f>IF($AG363=1,SUMPRODUCT(--($AK$2:$AK$6001&lt;$AK363))+1,"")</f>
        <v/>
      </c>
      <c r="AI363">
        <f>IF($C363="","",IF(OR($N363=TRUE(),$N363="TRUE"),1,0))</f>
        <v/>
      </c>
      <c r="AJ363">
        <f>IF($C363="","",IF($T363="Yes",1,0))</f>
        <v/>
      </c>
      <c r="AK363">
        <f>IF($AG363=1,IFERROR(IF(VALUE($C363)&lt;100000000,VALUE($C363),1000000000),IFERROR(IF(VALUE(MID($C363,2,20))&lt;100000000,VALUE(MID($C363,2,20)),1000000000),1000000000))+ROW()/100000,"")</f>
        <v/>
      </c>
    </row>
    <row r="364">
      <c r="D364" s="11" t="n"/>
      <c r="K364" s="7">
        <f>IF($C364="","",J364*W364/100)</f>
        <v/>
      </c>
      <c r="Q364" s="7" t="n"/>
      <c r="R364" s="7" t="n"/>
      <c r="U364">
        <f>IF($C364="","",IF($AJ364=1,0,IF($AI364=1,Settings!$C$6,Settings!$C$7))*100)</f>
        <v/>
      </c>
      <c r="V364" s="7">
        <f>IF($C364="","",R364*U364/100)</f>
        <v/>
      </c>
      <c r="W364" s="7">
        <f>IF($C364="","",R364-V364)</f>
        <v/>
      </c>
      <c r="X364" s="7">
        <f>IF($C364="","",W364-K364)</f>
        <v/>
      </c>
      <c r="AB364" s="7" t="n"/>
      <c r="AE364" s="11" t="n"/>
      <c r="AG364">
        <f>IF($C364="","",IF(COUNTIF($C$2:$C364,$C364)=1,1,0))</f>
        <v/>
      </c>
      <c r="AH364">
        <f>IF($AG364=1,SUMPRODUCT(--($AK$2:$AK$6001&lt;$AK364))+1,"")</f>
        <v/>
      </c>
      <c r="AI364">
        <f>IF($C364="","",IF(OR($N364=TRUE(),$N364="TRUE"),1,0))</f>
        <v/>
      </c>
      <c r="AJ364">
        <f>IF($C364="","",IF($T364="Yes",1,0))</f>
        <v/>
      </c>
      <c r="AK364">
        <f>IF($AG364=1,IFERROR(IF(VALUE($C364)&lt;100000000,VALUE($C364),1000000000),IFERROR(IF(VALUE(MID($C364,2,20))&lt;100000000,VALUE(MID($C364,2,20)),1000000000),1000000000))+ROW()/100000,"")</f>
        <v/>
      </c>
    </row>
    <row r="365">
      <c r="D365" s="11" t="n"/>
      <c r="K365" s="7">
        <f>IF($C365="","",J365*W365/100)</f>
        <v/>
      </c>
      <c r="Q365" s="7" t="n"/>
      <c r="R365" s="7" t="n"/>
      <c r="U365">
        <f>IF($C365="","",IF($AJ365=1,0,IF($AI365=1,Settings!$C$6,Settings!$C$7))*100)</f>
        <v/>
      </c>
      <c r="V365" s="7">
        <f>IF($C365="","",R365*U365/100)</f>
        <v/>
      </c>
      <c r="W365" s="7">
        <f>IF($C365="","",R365-V365)</f>
        <v/>
      </c>
      <c r="X365" s="7">
        <f>IF($C365="","",W365-K365)</f>
        <v/>
      </c>
      <c r="AB365" s="7" t="n"/>
      <c r="AE365" s="11" t="n"/>
      <c r="AG365">
        <f>IF($C365="","",IF(COUNTIF($C$2:$C365,$C365)=1,1,0))</f>
        <v/>
      </c>
      <c r="AH365">
        <f>IF($AG365=1,SUMPRODUCT(--($AK$2:$AK$6001&lt;$AK365))+1,"")</f>
        <v/>
      </c>
      <c r="AI365">
        <f>IF($C365="","",IF(OR($N365=TRUE(),$N365="TRUE"),1,0))</f>
        <v/>
      </c>
      <c r="AJ365">
        <f>IF($C365="","",IF($T365="Yes",1,0))</f>
        <v/>
      </c>
      <c r="AK365">
        <f>IF($AG365=1,IFERROR(IF(VALUE($C365)&lt;100000000,VALUE($C365),1000000000),IFERROR(IF(VALUE(MID($C365,2,20))&lt;100000000,VALUE(MID($C365,2,20)),1000000000),1000000000))+ROW()/100000,"")</f>
        <v/>
      </c>
    </row>
    <row r="366">
      <c r="D366" s="11" t="n"/>
      <c r="K366" s="7">
        <f>IF($C366="","",J366*W366/100)</f>
        <v/>
      </c>
      <c r="Q366" s="7" t="n"/>
      <c r="R366" s="7" t="n"/>
      <c r="U366">
        <f>IF($C366="","",IF($AJ366=1,0,IF($AI366=1,Settings!$C$6,Settings!$C$7))*100)</f>
        <v/>
      </c>
      <c r="V366" s="7">
        <f>IF($C366="","",R366*U366/100)</f>
        <v/>
      </c>
      <c r="W366" s="7">
        <f>IF($C366="","",R366-V366)</f>
        <v/>
      </c>
      <c r="X366" s="7">
        <f>IF($C366="","",W366-K366)</f>
        <v/>
      </c>
      <c r="AB366" s="7" t="n"/>
      <c r="AE366" s="11" t="n"/>
      <c r="AG366">
        <f>IF($C366="","",IF(COUNTIF($C$2:$C366,$C366)=1,1,0))</f>
        <v/>
      </c>
      <c r="AH366">
        <f>IF($AG366=1,SUMPRODUCT(--($AK$2:$AK$6001&lt;$AK366))+1,"")</f>
        <v/>
      </c>
      <c r="AI366">
        <f>IF($C366="","",IF(OR($N366=TRUE(),$N366="TRUE"),1,0))</f>
        <v/>
      </c>
      <c r="AJ366">
        <f>IF($C366="","",IF($T366="Yes",1,0))</f>
        <v/>
      </c>
      <c r="AK366">
        <f>IF($AG366=1,IFERROR(IF(VALUE($C366)&lt;100000000,VALUE($C366),1000000000),IFERROR(IF(VALUE(MID($C366,2,20))&lt;100000000,VALUE(MID($C366,2,20)),1000000000),1000000000))+ROW()/100000,"")</f>
        <v/>
      </c>
    </row>
    <row r="367">
      <c r="D367" s="11" t="n"/>
      <c r="K367" s="7">
        <f>IF($C367="","",J367*W367/100)</f>
        <v/>
      </c>
      <c r="Q367" s="7" t="n"/>
      <c r="R367" s="7" t="n"/>
      <c r="U367">
        <f>IF($C367="","",IF($AJ367=1,0,IF($AI367=1,Settings!$C$6,Settings!$C$7))*100)</f>
        <v/>
      </c>
      <c r="V367" s="7">
        <f>IF($C367="","",R367*U367/100)</f>
        <v/>
      </c>
      <c r="W367" s="7">
        <f>IF($C367="","",R367-V367)</f>
        <v/>
      </c>
      <c r="X367" s="7">
        <f>IF($C367="","",W367-K367)</f>
        <v/>
      </c>
      <c r="AB367" s="7" t="n"/>
      <c r="AE367" s="11" t="n"/>
      <c r="AG367">
        <f>IF($C367="","",IF(COUNTIF($C$2:$C367,$C367)=1,1,0))</f>
        <v/>
      </c>
      <c r="AH367">
        <f>IF($AG367=1,SUMPRODUCT(--($AK$2:$AK$6001&lt;$AK367))+1,"")</f>
        <v/>
      </c>
      <c r="AI367">
        <f>IF($C367="","",IF(OR($N367=TRUE(),$N367="TRUE"),1,0))</f>
        <v/>
      </c>
      <c r="AJ367">
        <f>IF($C367="","",IF($T367="Yes",1,0))</f>
        <v/>
      </c>
      <c r="AK367">
        <f>IF($AG367=1,IFERROR(IF(VALUE($C367)&lt;100000000,VALUE($C367),1000000000),IFERROR(IF(VALUE(MID($C367,2,20))&lt;100000000,VALUE(MID($C367,2,20)),1000000000),1000000000))+ROW()/100000,"")</f>
        <v/>
      </c>
    </row>
    <row r="368">
      <c r="D368" s="11" t="n"/>
      <c r="K368" s="7">
        <f>IF($C368="","",J368*W368/100)</f>
        <v/>
      </c>
      <c r="Q368" s="7" t="n"/>
      <c r="R368" s="7" t="n"/>
      <c r="U368">
        <f>IF($C368="","",IF($AJ368=1,0,IF($AI368=1,Settings!$C$6,Settings!$C$7))*100)</f>
        <v/>
      </c>
      <c r="V368" s="7">
        <f>IF($C368="","",R368*U368/100)</f>
        <v/>
      </c>
      <c r="W368" s="7">
        <f>IF($C368="","",R368-V368)</f>
        <v/>
      </c>
      <c r="X368" s="7">
        <f>IF($C368="","",W368-K368)</f>
        <v/>
      </c>
      <c r="AB368" s="7" t="n"/>
      <c r="AE368" s="11" t="n"/>
      <c r="AG368">
        <f>IF($C368="","",IF(COUNTIF($C$2:$C368,$C368)=1,1,0))</f>
        <v/>
      </c>
      <c r="AH368">
        <f>IF($AG368=1,SUMPRODUCT(--($AK$2:$AK$6001&lt;$AK368))+1,"")</f>
        <v/>
      </c>
      <c r="AI368">
        <f>IF($C368="","",IF(OR($N368=TRUE(),$N368="TRUE"),1,0))</f>
        <v/>
      </c>
      <c r="AJ368">
        <f>IF($C368="","",IF($T368="Yes",1,0))</f>
        <v/>
      </c>
      <c r="AK368">
        <f>IF($AG368=1,IFERROR(IF(VALUE($C368)&lt;100000000,VALUE($C368),1000000000),IFERROR(IF(VALUE(MID($C368,2,20))&lt;100000000,VALUE(MID($C368,2,20)),1000000000),1000000000))+ROW()/100000,"")</f>
        <v/>
      </c>
    </row>
    <row r="369">
      <c r="D369" s="11" t="n"/>
      <c r="K369" s="7">
        <f>IF($C369="","",J369*W369/100)</f>
        <v/>
      </c>
      <c r="Q369" s="7" t="n"/>
      <c r="R369" s="7" t="n"/>
      <c r="U369">
        <f>IF($C369="","",IF($AJ369=1,0,IF($AI369=1,Settings!$C$6,Settings!$C$7))*100)</f>
        <v/>
      </c>
      <c r="V369" s="7">
        <f>IF($C369="","",R369*U369/100)</f>
        <v/>
      </c>
      <c r="W369" s="7">
        <f>IF($C369="","",R369-V369)</f>
        <v/>
      </c>
      <c r="X369" s="7">
        <f>IF($C369="","",W369-K369)</f>
        <v/>
      </c>
      <c r="AB369" s="7" t="n"/>
      <c r="AE369" s="11" t="n"/>
      <c r="AG369">
        <f>IF($C369="","",IF(COUNTIF($C$2:$C369,$C369)=1,1,0))</f>
        <v/>
      </c>
      <c r="AH369">
        <f>IF($AG369=1,SUMPRODUCT(--($AK$2:$AK$6001&lt;$AK369))+1,"")</f>
        <v/>
      </c>
      <c r="AI369">
        <f>IF($C369="","",IF(OR($N369=TRUE(),$N369="TRUE"),1,0))</f>
        <v/>
      </c>
      <c r="AJ369">
        <f>IF($C369="","",IF($T369="Yes",1,0))</f>
        <v/>
      </c>
      <c r="AK369">
        <f>IF($AG369=1,IFERROR(IF(VALUE($C369)&lt;100000000,VALUE($C369),1000000000),IFERROR(IF(VALUE(MID($C369,2,20))&lt;100000000,VALUE(MID($C369,2,20)),1000000000),1000000000))+ROW()/100000,"")</f>
        <v/>
      </c>
    </row>
    <row r="370">
      <c r="D370" s="11" t="n"/>
      <c r="K370" s="7">
        <f>IF($C370="","",J370*W370/100)</f>
        <v/>
      </c>
      <c r="Q370" s="7" t="n"/>
      <c r="R370" s="7" t="n"/>
      <c r="U370">
        <f>IF($C370="","",IF($AJ370=1,0,IF($AI370=1,Settings!$C$6,Settings!$C$7))*100)</f>
        <v/>
      </c>
      <c r="V370" s="7">
        <f>IF($C370="","",R370*U370/100)</f>
        <v/>
      </c>
      <c r="W370" s="7">
        <f>IF($C370="","",R370-V370)</f>
        <v/>
      </c>
      <c r="X370" s="7">
        <f>IF($C370="","",W370-K370)</f>
        <v/>
      </c>
      <c r="AB370" s="7" t="n"/>
      <c r="AE370" s="11" t="n"/>
      <c r="AG370">
        <f>IF($C370="","",IF(COUNTIF($C$2:$C370,$C370)=1,1,0))</f>
        <v/>
      </c>
      <c r="AH370">
        <f>IF($AG370=1,SUMPRODUCT(--($AK$2:$AK$6001&lt;$AK370))+1,"")</f>
        <v/>
      </c>
      <c r="AI370">
        <f>IF($C370="","",IF(OR($N370=TRUE(),$N370="TRUE"),1,0))</f>
        <v/>
      </c>
      <c r="AJ370">
        <f>IF($C370="","",IF($T370="Yes",1,0))</f>
        <v/>
      </c>
      <c r="AK370">
        <f>IF($AG370=1,IFERROR(IF(VALUE($C370)&lt;100000000,VALUE($C370),1000000000),IFERROR(IF(VALUE(MID($C370,2,20))&lt;100000000,VALUE(MID($C370,2,20)),1000000000),1000000000))+ROW()/100000,"")</f>
        <v/>
      </c>
    </row>
    <row r="371">
      <c r="D371" s="11" t="n"/>
      <c r="K371" s="7">
        <f>IF($C371="","",J371*W371/100)</f>
        <v/>
      </c>
      <c r="Q371" s="7" t="n"/>
      <c r="R371" s="7" t="n"/>
      <c r="U371">
        <f>IF($C371="","",IF($AJ371=1,0,IF($AI371=1,Settings!$C$6,Settings!$C$7))*100)</f>
        <v/>
      </c>
      <c r="V371" s="7">
        <f>IF($C371="","",R371*U371/100)</f>
        <v/>
      </c>
      <c r="W371" s="7">
        <f>IF($C371="","",R371-V371)</f>
        <v/>
      </c>
      <c r="X371" s="7">
        <f>IF($C371="","",W371-K371)</f>
        <v/>
      </c>
      <c r="AB371" s="7" t="n"/>
      <c r="AE371" s="11" t="n"/>
      <c r="AG371">
        <f>IF($C371="","",IF(COUNTIF($C$2:$C371,$C371)=1,1,0))</f>
        <v/>
      </c>
      <c r="AH371">
        <f>IF($AG371=1,SUMPRODUCT(--($AK$2:$AK$6001&lt;$AK371))+1,"")</f>
        <v/>
      </c>
      <c r="AI371">
        <f>IF($C371="","",IF(OR($N371=TRUE(),$N371="TRUE"),1,0))</f>
        <v/>
      </c>
      <c r="AJ371">
        <f>IF($C371="","",IF($T371="Yes",1,0))</f>
        <v/>
      </c>
      <c r="AK371">
        <f>IF($AG371=1,IFERROR(IF(VALUE($C371)&lt;100000000,VALUE($C371),1000000000),IFERROR(IF(VALUE(MID($C371,2,20))&lt;100000000,VALUE(MID($C371,2,20)),1000000000),1000000000))+ROW()/100000,"")</f>
        <v/>
      </c>
    </row>
    <row r="372">
      <c r="D372" s="11" t="n"/>
      <c r="K372" s="7">
        <f>IF($C372="","",J372*W372/100)</f>
        <v/>
      </c>
      <c r="Q372" s="7" t="n"/>
      <c r="R372" s="7" t="n"/>
      <c r="U372">
        <f>IF($C372="","",IF($AJ372=1,0,IF($AI372=1,Settings!$C$6,Settings!$C$7))*100)</f>
        <v/>
      </c>
      <c r="V372" s="7">
        <f>IF($C372="","",R372*U372/100)</f>
        <v/>
      </c>
      <c r="W372" s="7">
        <f>IF($C372="","",R372-V372)</f>
        <v/>
      </c>
      <c r="X372" s="7">
        <f>IF($C372="","",W372-K372)</f>
        <v/>
      </c>
      <c r="AB372" s="7" t="n"/>
      <c r="AE372" s="11" t="n"/>
      <c r="AG372">
        <f>IF($C372="","",IF(COUNTIF($C$2:$C372,$C372)=1,1,0))</f>
        <v/>
      </c>
      <c r="AH372">
        <f>IF($AG372=1,SUMPRODUCT(--($AK$2:$AK$6001&lt;$AK372))+1,"")</f>
        <v/>
      </c>
      <c r="AI372">
        <f>IF($C372="","",IF(OR($N372=TRUE(),$N372="TRUE"),1,0))</f>
        <v/>
      </c>
      <c r="AJ372">
        <f>IF($C372="","",IF($T372="Yes",1,0))</f>
        <v/>
      </c>
      <c r="AK372">
        <f>IF($AG372=1,IFERROR(IF(VALUE($C372)&lt;100000000,VALUE($C372),1000000000),IFERROR(IF(VALUE(MID($C372,2,20))&lt;100000000,VALUE(MID($C372,2,20)),1000000000),1000000000))+ROW()/100000,"")</f>
        <v/>
      </c>
    </row>
    <row r="373">
      <c r="D373" s="11" t="n"/>
      <c r="K373" s="7">
        <f>IF($C373="","",J373*W373/100)</f>
        <v/>
      </c>
      <c r="Q373" s="7" t="n"/>
      <c r="R373" s="7" t="n"/>
      <c r="U373">
        <f>IF($C373="","",IF($AJ373=1,0,IF($AI373=1,Settings!$C$6,Settings!$C$7))*100)</f>
        <v/>
      </c>
      <c r="V373" s="7">
        <f>IF($C373="","",R373*U373/100)</f>
        <v/>
      </c>
      <c r="W373" s="7">
        <f>IF($C373="","",R373-V373)</f>
        <v/>
      </c>
      <c r="X373" s="7">
        <f>IF($C373="","",W373-K373)</f>
        <v/>
      </c>
      <c r="AB373" s="7" t="n"/>
      <c r="AE373" s="11" t="n"/>
      <c r="AG373">
        <f>IF($C373="","",IF(COUNTIF($C$2:$C373,$C373)=1,1,0))</f>
        <v/>
      </c>
      <c r="AH373">
        <f>IF($AG373=1,SUMPRODUCT(--($AK$2:$AK$6001&lt;$AK373))+1,"")</f>
        <v/>
      </c>
      <c r="AI373">
        <f>IF($C373="","",IF(OR($N373=TRUE(),$N373="TRUE"),1,0))</f>
        <v/>
      </c>
      <c r="AJ373">
        <f>IF($C373="","",IF($T373="Yes",1,0))</f>
        <v/>
      </c>
      <c r="AK373">
        <f>IF($AG373=1,IFERROR(IF(VALUE($C373)&lt;100000000,VALUE($C373),1000000000),IFERROR(IF(VALUE(MID($C373,2,20))&lt;100000000,VALUE(MID($C373,2,20)),1000000000),1000000000))+ROW()/100000,"")</f>
        <v/>
      </c>
    </row>
    <row r="374">
      <c r="D374" s="11" t="n"/>
      <c r="K374" s="7">
        <f>IF($C374="","",J374*W374/100)</f>
        <v/>
      </c>
      <c r="Q374" s="7" t="n"/>
      <c r="R374" s="7" t="n"/>
      <c r="U374">
        <f>IF($C374="","",IF($AJ374=1,0,IF($AI374=1,Settings!$C$6,Settings!$C$7))*100)</f>
        <v/>
      </c>
      <c r="V374" s="7">
        <f>IF($C374="","",R374*U374/100)</f>
        <v/>
      </c>
      <c r="W374" s="7">
        <f>IF($C374="","",R374-V374)</f>
        <v/>
      </c>
      <c r="X374" s="7">
        <f>IF($C374="","",W374-K374)</f>
        <v/>
      </c>
      <c r="AB374" s="7" t="n"/>
      <c r="AE374" s="11" t="n"/>
      <c r="AG374">
        <f>IF($C374="","",IF(COUNTIF($C$2:$C374,$C374)=1,1,0))</f>
        <v/>
      </c>
      <c r="AH374">
        <f>IF($AG374=1,SUMPRODUCT(--($AK$2:$AK$6001&lt;$AK374))+1,"")</f>
        <v/>
      </c>
      <c r="AI374">
        <f>IF($C374="","",IF(OR($N374=TRUE(),$N374="TRUE"),1,0))</f>
        <v/>
      </c>
      <c r="AJ374">
        <f>IF($C374="","",IF($T374="Yes",1,0))</f>
        <v/>
      </c>
      <c r="AK374">
        <f>IF($AG374=1,IFERROR(IF(VALUE($C374)&lt;100000000,VALUE($C374),1000000000),IFERROR(IF(VALUE(MID($C374,2,20))&lt;100000000,VALUE(MID($C374,2,20)),1000000000),1000000000))+ROW()/100000,"")</f>
        <v/>
      </c>
    </row>
    <row r="375">
      <c r="D375" s="11" t="n"/>
      <c r="K375" s="7">
        <f>IF($C375="","",J375*W375/100)</f>
        <v/>
      </c>
      <c r="Q375" s="7" t="n"/>
      <c r="R375" s="7" t="n"/>
      <c r="U375">
        <f>IF($C375="","",IF($AJ375=1,0,IF($AI375=1,Settings!$C$6,Settings!$C$7))*100)</f>
        <v/>
      </c>
      <c r="V375" s="7">
        <f>IF($C375="","",R375*U375/100)</f>
        <v/>
      </c>
      <c r="W375" s="7">
        <f>IF($C375="","",R375-V375)</f>
        <v/>
      </c>
      <c r="X375" s="7">
        <f>IF($C375="","",W375-K375)</f>
        <v/>
      </c>
      <c r="AB375" s="7" t="n"/>
      <c r="AE375" s="11" t="n"/>
      <c r="AG375">
        <f>IF($C375="","",IF(COUNTIF($C$2:$C375,$C375)=1,1,0))</f>
        <v/>
      </c>
      <c r="AH375">
        <f>IF($AG375=1,SUMPRODUCT(--($AK$2:$AK$6001&lt;$AK375))+1,"")</f>
        <v/>
      </c>
      <c r="AI375">
        <f>IF($C375="","",IF(OR($N375=TRUE(),$N375="TRUE"),1,0))</f>
        <v/>
      </c>
      <c r="AJ375">
        <f>IF($C375="","",IF($T375="Yes",1,0))</f>
        <v/>
      </c>
      <c r="AK375">
        <f>IF($AG375=1,IFERROR(IF(VALUE($C375)&lt;100000000,VALUE($C375),1000000000),IFERROR(IF(VALUE(MID($C375,2,20))&lt;100000000,VALUE(MID($C375,2,20)),1000000000),1000000000))+ROW()/100000,"")</f>
        <v/>
      </c>
    </row>
    <row r="376">
      <c r="D376" s="11" t="n"/>
      <c r="K376" s="7">
        <f>IF($C376="","",J376*W376/100)</f>
        <v/>
      </c>
      <c r="Q376" s="7" t="n"/>
      <c r="R376" s="7" t="n"/>
      <c r="U376">
        <f>IF($C376="","",IF($AJ376=1,0,IF($AI376=1,Settings!$C$6,Settings!$C$7))*100)</f>
        <v/>
      </c>
      <c r="V376" s="7">
        <f>IF($C376="","",R376*U376/100)</f>
        <v/>
      </c>
      <c r="W376" s="7">
        <f>IF($C376="","",R376-V376)</f>
        <v/>
      </c>
      <c r="X376" s="7">
        <f>IF($C376="","",W376-K376)</f>
        <v/>
      </c>
      <c r="AB376" s="7" t="n"/>
      <c r="AE376" s="11" t="n"/>
      <c r="AG376">
        <f>IF($C376="","",IF(COUNTIF($C$2:$C376,$C376)=1,1,0))</f>
        <v/>
      </c>
      <c r="AH376">
        <f>IF($AG376=1,SUMPRODUCT(--($AK$2:$AK$6001&lt;$AK376))+1,"")</f>
        <v/>
      </c>
      <c r="AI376">
        <f>IF($C376="","",IF(OR($N376=TRUE(),$N376="TRUE"),1,0))</f>
        <v/>
      </c>
      <c r="AJ376">
        <f>IF($C376="","",IF($T376="Yes",1,0))</f>
        <v/>
      </c>
      <c r="AK376">
        <f>IF($AG376=1,IFERROR(IF(VALUE($C376)&lt;100000000,VALUE($C376),1000000000),IFERROR(IF(VALUE(MID($C376,2,20))&lt;100000000,VALUE(MID($C376,2,20)),1000000000),1000000000))+ROW()/100000,"")</f>
        <v/>
      </c>
    </row>
    <row r="377">
      <c r="D377" s="11" t="n"/>
      <c r="K377" s="7">
        <f>IF($C377="","",J377*W377/100)</f>
        <v/>
      </c>
      <c r="Q377" s="7" t="n"/>
      <c r="R377" s="7" t="n"/>
      <c r="U377">
        <f>IF($C377="","",IF($AJ377=1,0,IF($AI377=1,Settings!$C$6,Settings!$C$7))*100)</f>
        <v/>
      </c>
      <c r="V377" s="7">
        <f>IF($C377="","",R377*U377/100)</f>
        <v/>
      </c>
      <c r="W377" s="7">
        <f>IF($C377="","",R377-V377)</f>
        <v/>
      </c>
      <c r="X377" s="7">
        <f>IF($C377="","",W377-K377)</f>
        <v/>
      </c>
      <c r="AB377" s="7" t="n"/>
      <c r="AE377" s="11" t="n"/>
      <c r="AG377">
        <f>IF($C377="","",IF(COUNTIF($C$2:$C377,$C377)=1,1,0))</f>
        <v/>
      </c>
      <c r="AH377">
        <f>IF($AG377=1,SUMPRODUCT(--($AK$2:$AK$6001&lt;$AK377))+1,"")</f>
        <v/>
      </c>
      <c r="AI377">
        <f>IF($C377="","",IF(OR($N377=TRUE(),$N377="TRUE"),1,0))</f>
        <v/>
      </c>
      <c r="AJ377">
        <f>IF($C377="","",IF($T377="Yes",1,0))</f>
        <v/>
      </c>
      <c r="AK377">
        <f>IF($AG377=1,IFERROR(IF(VALUE($C377)&lt;100000000,VALUE($C377),1000000000),IFERROR(IF(VALUE(MID($C377,2,20))&lt;100000000,VALUE(MID($C377,2,20)),1000000000),1000000000))+ROW()/100000,"")</f>
        <v/>
      </c>
    </row>
    <row r="378">
      <c r="D378" s="11" t="n"/>
      <c r="K378" s="7">
        <f>IF($C378="","",J378*W378/100)</f>
        <v/>
      </c>
      <c r="Q378" s="7" t="n"/>
      <c r="R378" s="7" t="n"/>
      <c r="U378">
        <f>IF($C378="","",IF($AJ378=1,0,IF($AI378=1,Settings!$C$6,Settings!$C$7))*100)</f>
        <v/>
      </c>
      <c r="V378" s="7">
        <f>IF($C378="","",R378*U378/100)</f>
        <v/>
      </c>
      <c r="W378" s="7">
        <f>IF($C378="","",R378-V378)</f>
        <v/>
      </c>
      <c r="X378" s="7">
        <f>IF($C378="","",W378-K378)</f>
        <v/>
      </c>
      <c r="AB378" s="7" t="n"/>
      <c r="AE378" s="11" t="n"/>
      <c r="AG378">
        <f>IF($C378="","",IF(COUNTIF($C$2:$C378,$C378)=1,1,0))</f>
        <v/>
      </c>
      <c r="AH378">
        <f>IF($AG378=1,SUMPRODUCT(--($AK$2:$AK$6001&lt;$AK378))+1,"")</f>
        <v/>
      </c>
      <c r="AI378">
        <f>IF($C378="","",IF(OR($N378=TRUE(),$N378="TRUE"),1,0))</f>
        <v/>
      </c>
      <c r="AJ378">
        <f>IF($C378="","",IF($T378="Yes",1,0))</f>
        <v/>
      </c>
      <c r="AK378">
        <f>IF($AG378=1,IFERROR(IF(VALUE($C378)&lt;100000000,VALUE($C378),1000000000),IFERROR(IF(VALUE(MID($C378,2,20))&lt;100000000,VALUE(MID($C378,2,20)),1000000000),1000000000))+ROW()/100000,"")</f>
        <v/>
      </c>
    </row>
    <row r="379">
      <c r="D379" s="11" t="n"/>
      <c r="K379" s="7">
        <f>IF($C379="","",J379*W379/100)</f>
        <v/>
      </c>
      <c r="Q379" s="7" t="n"/>
      <c r="R379" s="7" t="n"/>
      <c r="U379">
        <f>IF($C379="","",IF($AJ379=1,0,IF($AI379=1,Settings!$C$6,Settings!$C$7))*100)</f>
        <v/>
      </c>
      <c r="V379" s="7">
        <f>IF($C379="","",R379*U379/100)</f>
        <v/>
      </c>
      <c r="W379" s="7">
        <f>IF($C379="","",R379-V379)</f>
        <v/>
      </c>
      <c r="X379" s="7">
        <f>IF($C379="","",W379-K379)</f>
        <v/>
      </c>
      <c r="AB379" s="7" t="n"/>
      <c r="AE379" s="11" t="n"/>
      <c r="AG379">
        <f>IF($C379="","",IF(COUNTIF($C$2:$C379,$C379)=1,1,0))</f>
        <v/>
      </c>
      <c r="AH379">
        <f>IF($AG379=1,SUMPRODUCT(--($AK$2:$AK$6001&lt;$AK379))+1,"")</f>
        <v/>
      </c>
      <c r="AI379">
        <f>IF($C379="","",IF(OR($N379=TRUE(),$N379="TRUE"),1,0))</f>
        <v/>
      </c>
      <c r="AJ379">
        <f>IF($C379="","",IF($T379="Yes",1,0))</f>
        <v/>
      </c>
      <c r="AK379">
        <f>IF($AG379=1,IFERROR(IF(VALUE($C379)&lt;100000000,VALUE($C379),1000000000),IFERROR(IF(VALUE(MID($C379,2,20))&lt;100000000,VALUE(MID($C379,2,20)),1000000000),1000000000))+ROW()/100000,"")</f>
        <v/>
      </c>
    </row>
    <row r="380">
      <c r="D380" s="11" t="n"/>
      <c r="K380" s="7">
        <f>IF($C380="","",J380*W380/100)</f>
        <v/>
      </c>
      <c r="Q380" s="7" t="n"/>
      <c r="R380" s="7" t="n"/>
      <c r="U380">
        <f>IF($C380="","",IF($AJ380=1,0,IF($AI380=1,Settings!$C$6,Settings!$C$7))*100)</f>
        <v/>
      </c>
      <c r="V380" s="7">
        <f>IF($C380="","",R380*U380/100)</f>
        <v/>
      </c>
      <c r="W380" s="7">
        <f>IF($C380="","",R380-V380)</f>
        <v/>
      </c>
      <c r="X380" s="7">
        <f>IF($C380="","",W380-K380)</f>
        <v/>
      </c>
      <c r="AB380" s="7" t="n"/>
      <c r="AE380" s="11" t="n"/>
      <c r="AG380">
        <f>IF($C380="","",IF(COUNTIF($C$2:$C380,$C380)=1,1,0))</f>
        <v/>
      </c>
      <c r="AH380">
        <f>IF($AG380=1,SUMPRODUCT(--($AK$2:$AK$6001&lt;$AK380))+1,"")</f>
        <v/>
      </c>
      <c r="AI380">
        <f>IF($C380="","",IF(OR($N380=TRUE(),$N380="TRUE"),1,0))</f>
        <v/>
      </c>
      <c r="AJ380">
        <f>IF($C380="","",IF($T380="Yes",1,0))</f>
        <v/>
      </c>
      <c r="AK380">
        <f>IF($AG380=1,IFERROR(IF(VALUE($C380)&lt;100000000,VALUE($C380),1000000000),IFERROR(IF(VALUE(MID($C380,2,20))&lt;100000000,VALUE(MID($C380,2,20)),1000000000),1000000000))+ROW()/100000,"")</f>
        <v/>
      </c>
    </row>
    <row r="381">
      <c r="D381" s="11" t="n"/>
      <c r="K381" s="7">
        <f>IF($C381="","",J381*W381/100)</f>
        <v/>
      </c>
      <c r="Q381" s="7" t="n"/>
      <c r="R381" s="7" t="n"/>
      <c r="U381">
        <f>IF($C381="","",IF($AJ381=1,0,IF($AI381=1,Settings!$C$6,Settings!$C$7))*100)</f>
        <v/>
      </c>
      <c r="V381" s="7">
        <f>IF($C381="","",R381*U381/100)</f>
        <v/>
      </c>
      <c r="W381" s="7">
        <f>IF($C381="","",R381-V381)</f>
        <v/>
      </c>
      <c r="X381" s="7">
        <f>IF($C381="","",W381-K381)</f>
        <v/>
      </c>
      <c r="AB381" s="7" t="n"/>
      <c r="AE381" s="11" t="n"/>
      <c r="AG381">
        <f>IF($C381="","",IF(COUNTIF($C$2:$C381,$C381)=1,1,0))</f>
        <v/>
      </c>
      <c r="AH381">
        <f>IF($AG381=1,SUMPRODUCT(--($AK$2:$AK$6001&lt;$AK381))+1,"")</f>
        <v/>
      </c>
      <c r="AI381">
        <f>IF($C381="","",IF(OR($N381=TRUE(),$N381="TRUE"),1,0))</f>
        <v/>
      </c>
      <c r="AJ381">
        <f>IF($C381="","",IF($T381="Yes",1,0))</f>
        <v/>
      </c>
      <c r="AK381">
        <f>IF($AG381=1,IFERROR(IF(VALUE($C381)&lt;100000000,VALUE($C381),1000000000),IFERROR(IF(VALUE(MID($C381,2,20))&lt;100000000,VALUE(MID($C381,2,20)),1000000000),1000000000))+ROW()/100000,"")</f>
        <v/>
      </c>
    </row>
    <row r="382">
      <c r="D382" s="11" t="n"/>
      <c r="K382" s="7">
        <f>IF($C382="","",J382*W382/100)</f>
        <v/>
      </c>
      <c r="Q382" s="7" t="n"/>
      <c r="R382" s="7" t="n"/>
      <c r="U382">
        <f>IF($C382="","",IF($AJ382=1,0,IF($AI382=1,Settings!$C$6,Settings!$C$7))*100)</f>
        <v/>
      </c>
      <c r="V382" s="7">
        <f>IF($C382="","",R382*U382/100)</f>
        <v/>
      </c>
      <c r="W382" s="7">
        <f>IF($C382="","",R382-V382)</f>
        <v/>
      </c>
      <c r="X382" s="7">
        <f>IF($C382="","",W382-K382)</f>
        <v/>
      </c>
      <c r="AB382" s="7" t="n"/>
      <c r="AE382" s="11" t="n"/>
      <c r="AG382">
        <f>IF($C382="","",IF(COUNTIF($C$2:$C382,$C382)=1,1,0))</f>
        <v/>
      </c>
      <c r="AH382">
        <f>IF($AG382=1,SUMPRODUCT(--($AK$2:$AK$6001&lt;$AK382))+1,"")</f>
        <v/>
      </c>
      <c r="AI382">
        <f>IF($C382="","",IF(OR($N382=TRUE(),$N382="TRUE"),1,0))</f>
        <v/>
      </c>
      <c r="AJ382">
        <f>IF($C382="","",IF($T382="Yes",1,0))</f>
        <v/>
      </c>
      <c r="AK382">
        <f>IF($AG382=1,IFERROR(IF(VALUE($C382)&lt;100000000,VALUE($C382),1000000000),IFERROR(IF(VALUE(MID($C382,2,20))&lt;100000000,VALUE(MID($C382,2,20)),1000000000),1000000000))+ROW()/100000,"")</f>
        <v/>
      </c>
    </row>
    <row r="383">
      <c r="D383" s="11" t="n"/>
      <c r="K383" s="7">
        <f>IF($C383="","",J383*W383/100)</f>
        <v/>
      </c>
      <c r="Q383" s="7" t="n"/>
      <c r="R383" s="7" t="n"/>
      <c r="U383">
        <f>IF($C383="","",IF($AJ383=1,0,IF($AI383=1,Settings!$C$6,Settings!$C$7))*100)</f>
        <v/>
      </c>
      <c r="V383" s="7">
        <f>IF($C383="","",R383*U383/100)</f>
        <v/>
      </c>
      <c r="W383" s="7">
        <f>IF($C383="","",R383-V383)</f>
        <v/>
      </c>
      <c r="X383" s="7">
        <f>IF($C383="","",W383-K383)</f>
        <v/>
      </c>
      <c r="AB383" s="7" t="n"/>
      <c r="AE383" s="11" t="n"/>
      <c r="AG383">
        <f>IF($C383="","",IF(COUNTIF($C$2:$C383,$C383)=1,1,0))</f>
        <v/>
      </c>
      <c r="AH383">
        <f>IF($AG383=1,SUMPRODUCT(--($AK$2:$AK$6001&lt;$AK383))+1,"")</f>
        <v/>
      </c>
      <c r="AI383">
        <f>IF($C383="","",IF(OR($N383=TRUE(),$N383="TRUE"),1,0))</f>
        <v/>
      </c>
      <c r="AJ383">
        <f>IF($C383="","",IF($T383="Yes",1,0))</f>
        <v/>
      </c>
      <c r="AK383">
        <f>IF($AG383=1,IFERROR(IF(VALUE($C383)&lt;100000000,VALUE($C383),1000000000),IFERROR(IF(VALUE(MID($C383,2,20))&lt;100000000,VALUE(MID($C383,2,20)),1000000000),1000000000))+ROW()/100000,"")</f>
        <v/>
      </c>
    </row>
    <row r="384">
      <c r="D384" s="11" t="n"/>
      <c r="K384" s="7">
        <f>IF($C384="","",J384*W384/100)</f>
        <v/>
      </c>
      <c r="Q384" s="7" t="n"/>
      <c r="R384" s="7" t="n"/>
      <c r="U384">
        <f>IF($C384="","",IF($AJ384=1,0,IF($AI384=1,Settings!$C$6,Settings!$C$7))*100)</f>
        <v/>
      </c>
      <c r="V384" s="7">
        <f>IF($C384="","",R384*U384/100)</f>
        <v/>
      </c>
      <c r="W384" s="7">
        <f>IF($C384="","",R384-V384)</f>
        <v/>
      </c>
      <c r="X384" s="7">
        <f>IF($C384="","",W384-K384)</f>
        <v/>
      </c>
      <c r="AB384" s="7" t="n"/>
      <c r="AE384" s="11" t="n"/>
      <c r="AG384">
        <f>IF($C384="","",IF(COUNTIF($C$2:$C384,$C384)=1,1,0))</f>
        <v/>
      </c>
      <c r="AH384">
        <f>IF($AG384=1,SUMPRODUCT(--($AK$2:$AK$6001&lt;$AK384))+1,"")</f>
        <v/>
      </c>
      <c r="AI384">
        <f>IF($C384="","",IF(OR($N384=TRUE(),$N384="TRUE"),1,0))</f>
        <v/>
      </c>
      <c r="AJ384">
        <f>IF($C384="","",IF($T384="Yes",1,0))</f>
        <v/>
      </c>
      <c r="AK384">
        <f>IF($AG384=1,IFERROR(IF(VALUE($C384)&lt;100000000,VALUE($C384),1000000000),IFERROR(IF(VALUE(MID($C384,2,20))&lt;100000000,VALUE(MID($C384,2,20)),1000000000),1000000000))+ROW()/100000,"")</f>
        <v/>
      </c>
    </row>
    <row r="385">
      <c r="D385" s="11" t="n"/>
      <c r="K385" s="7">
        <f>IF($C385="","",J385*W385/100)</f>
        <v/>
      </c>
      <c r="Q385" s="7" t="n"/>
      <c r="R385" s="7" t="n"/>
      <c r="U385">
        <f>IF($C385="","",IF($AJ385=1,0,IF($AI385=1,Settings!$C$6,Settings!$C$7))*100)</f>
        <v/>
      </c>
      <c r="V385" s="7">
        <f>IF($C385="","",R385*U385/100)</f>
        <v/>
      </c>
      <c r="W385" s="7">
        <f>IF($C385="","",R385-V385)</f>
        <v/>
      </c>
      <c r="X385" s="7">
        <f>IF($C385="","",W385-K385)</f>
        <v/>
      </c>
      <c r="AB385" s="7" t="n"/>
      <c r="AE385" s="11" t="n"/>
      <c r="AG385">
        <f>IF($C385="","",IF(COUNTIF($C$2:$C385,$C385)=1,1,0))</f>
        <v/>
      </c>
      <c r="AH385">
        <f>IF($AG385=1,SUMPRODUCT(--($AK$2:$AK$6001&lt;$AK385))+1,"")</f>
        <v/>
      </c>
      <c r="AI385">
        <f>IF($C385="","",IF(OR($N385=TRUE(),$N385="TRUE"),1,0))</f>
        <v/>
      </c>
      <c r="AJ385">
        <f>IF($C385="","",IF($T385="Yes",1,0))</f>
        <v/>
      </c>
      <c r="AK385">
        <f>IF($AG385=1,IFERROR(IF(VALUE($C385)&lt;100000000,VALUE($C385),1000000000),IFERROR(IF(VALUE(MID($C385,2,20))&lt;100000000,VALUE(MID($C385,2,20)),1000000000),1000000000))+ROW()/100000,"")</f>
        <v/>
      </c>
    </row>
    <row r="386">
      <c r="D386" s="11" t="n"/>
      <c r="K386" s="7">
        <f>IF($C386="","",J386*W386/100)</f>
        <v/>
      </c>
      <c r="Q386" s="7" t="n"/>
      <c r="R386" s="7" t="n"/>
      <c r="U386">
        <f>IF($C386="","",IF($AJ386=1,0,IF($AI386=1,Settings!$C$6,Settings!$C$7))*100)</f>
        <v/>
      </c>
      <c r="V386" s="7">
        <f>IF($C386="","",R386*U386/100)</f>
        <v/>
      </c>
      <c r="W386" s="7">
        <f>IF($C386="","",R386-V386)</f>
        <v/>
      </c>
      <c r="X386" s="7">
        <f>IF($C386="","",W386-K386)</f>
        <v/>
      </c>
      <c r="AB386" s="7" t="n"/>
      <c r="AE386" s="11" t="n"/>
      <c r="AG386">
        <f>IF($C386="","",IF(COUNTIF($C$2:$C386,$C386)=1,1,0))</f>
        <v/>
      </c>
      <c r="AH386">
        <f>IF($AG386=1,SUMPRODUCT(--($AK$2:$AK$6001&lt;$AK386))+1,"")</f>
        <v/>
      </c>
      <c r="AI386">
        <f>IF($C386="","",IF(OR($N386=TRUE(),$N386="TRUE"),1,0))</f>
        <v/>
      </c>
      <c r="AJ386">
        <f>IF($C386="","",IF($T386="Yes",1,0))</f>
        <v/>
      </c>
      <c r="AK386">
        <f>IF($AG386=1,IFERROR(IF(VALUE($C386)&lt;100000000,VALUE($C386),1000000000),IFERROR(IF(VALUE(MID($C386,2,20))&lt;100000000,VALUE(MID($C386,2,20)),1000000000),1000000000))+ROW()/100000,"")</f>
        <v/>
      </c>
    </row>
    <row r="387">
      <c r="D387" s="11" t="n"/>
      <c r="K387" s="7">
        <f>IF($C387="","",J387*W387/100)</f>
        <v/>
      </c>
      <c r="Q387" s="7" t="n"/>
      <c r="R387" s="7" t="n"/>
      <c r="U387">
        <f>IF($C387="","",IF($AJ387=1,0,IF($AI387=1,Settings!$C$6,Settings!$C$7))*100)</f>
        <v/>
      </c>
      <c r="V387" s="7">
        <f>IF($C387="","",R387*U387/100)</f>
        <v/>
      </c>
      <c r="W387" s="7">
        <f>IF($C387="","",R387-V387)</f>
        <v/>
      </c>
      <c r="X387" s="7">
        <f>IF($C387="","",W387-K387)</f>
        <v/>
      </c>
      <c r="AB387" s="7" t="n"/>
      <c r="AE387" s="11" t="n"/>
      <c r="AG387">
        <f>IF($C387="","",IF(COUNTIF($C$2:$C387,$C387)=1,1,0))</f>
        <v/>
      </c>
      <c r="AH387">
        <f>IF($AG387=1,SUMPRODUCT(--($AK$2:$AK$6001&lt;$AK387))+1,"")</f>
        <v/>
      </c>
      <c r="AI387">
        <f>IF($C387="","",IF(OR($N387=TRUE(),$N387="TRUE"),1,0))</f>
        <v/>
      </c>
      <c r="AJ387">
        <f>IF($C387="","",IF($T387="Yes",1,0))</f>
        <v/>
      </c>
      <c r="AK387">
        <f>IF($AG387=1,IFERROR(IF(VALUE($C387)&lt;100000000,VALUE($C387),1000000000),IFERROR(IF(VALUE(MID($C387,2,20))&lt;100000000,VALUE(MID($C387,2,20)),1000000000),1000000000))+ROW()/100000,"")</f>
        <v/>
      </c>
    </row>
    <row r="388">
      <c r="D388" s="11" t="n"/>
      <c r="K388" s="7">
        <f>IF($C388="","",J388*W388/100)</f>
        <v/>
      </c>
      <c r="Q388" s="7" t="n"/>
      <c r="R388" s="7" t="n"/>
      <c r="U388">
        <f>IF($C388="","",IF($AJ388=1,0,IF($AI388=1,Settings!$C$6,Settings!$C$7))*100)</f>
        <v/>
      </c>
      <c r="V388" s="7">
        <f>IF($C388="","",R388*U388/100)</f>
        <v/>
      </c>
      <c r="W388" s="7">
        <f>IF($C388="","",R388-V388)</f>
        <v/>
      </c>
      <c r="X388" s="7">
        <f>IF($C388="","",W388-K388)</f>
        <v/>
      </c>
      <c r="AB388" s="7" t="n"/>
      <c r="AE388" s="11" t="n"/>
      <c r="AG388">
        <f>IF($C388="","",IF(COUNTIF($C$2:$C388,$C388)=1,1,0))</f>
        <v/>
      </c>
      <c r="AH388">
        <f>IF($AG388=1,SUMPRODUCT(--($AK$2:$AK$6001&lt;$AK388))+1,"")</f>
        <v/>
      </c>
      <c r="AI388">
        <f>IF($C388="","",IF(OR($N388=TRUE(),$N388="TRUE"),1,0))</f>
        <v/>
      </c>
      <c r="AJ388">
        <f>IF($C388="","",IF($T388="Yes",1,0))</f>
        <v/>
      </c>
      <c r="AK388">
        <f>IF($AG388=1,IFERROR(IF(VALUE($C388)&lt;100000000,VALUE($C388),1000000000),IFERROR(IF(VALUE(MID($C388,2,20))&lt;100000000,VALUE(MID($C388,2,20)),1000000000),1000000000))+ROW()/100000,"")</f>
        <v/>
      </c>
    </row>
    <row r="389">
      <c r="D389" s="11" t="n"/>
      <c r="K389" s="7">
        <f>IF($C389="","",J389*W389/100)</f>
        <v/>
      </c>
      <c r="Q389" s="7" t="n"/>
      <c r="R389" s="7" t="n"/>
      <c r="U389">
        <f>IF($C389="","",IF($AJ389=1,0,IF($AI389=1,Settings!$C$6,Settings!$C$7))*100)</f>
        <v/>
      </c>
      <c r="V389" s="7">
        <f>IF($C389="","",R389*U389/100)</f>
        <v/>
      </c>
      <c r="W389" s="7">
        <f>IF($C389="","",R389-V389)</f>
        <v/>
      </c>
      <c r="X389" s="7">
        <f>IF($C389="","",W389-K389)</f>
        <v/>
      </c>
      <c r="AB389" s="7" t="n"/>
      <c r="AE389" s="11" t="n"/>
      <c r="AG389">
        <f>IF($C389="","",IF(COUNTIF($C$2:$C389,$C389)=1,1,0))</f>
        <v/>
      </c>
      <c r="AH389">
        <f>IF($AG389=1,SUMPRODUCT(--($AK$2:$AK$6001&lt;$AK389))+1,"")</f>
        <v/>
      </c>
      <c r="AI389">
        <f>IF($C389="","",IF(OR($N389=TRUE(),$N389="TRUE"),1,0))</f>
        <v/>
      </c>
      <c r="AJ389">
        <f>IF($C389="","",IF($T389="Yes",1,0))</f>
        <v/>
      </c>
      <c r="AK389">
        <f>IF($AG389=1,IFERROR(IF(VALUE($C389)&lt;100000000,VALUE($C389),1000000000),IFERROR(IF(VALUE(MID($C389,2,20))&lt;100000000,VALUE(MID($C389,2,20)),1000000000),1000000000))+ROW()/100000,"")</f>
        <v/>
      </c>
    </row>
    <row r="390">
      <c r="D390" s="11" t="n"/>
      <c r="K390" s="7">
        <f>IF($C390="","",J390*W390/100)</f>
        <v/>
      </c>
      <c r="Q390" s="7" t="n"/>
      <c r="R390" s="7" t="n"/>
      <c r="U390">
        <f>IF($C390="","",IF($AJ390=1,0,IF($AI390=1,Settings!$C$6,Settings!$C$7))*100)</f>
        <v/>
      </c>
      <c r="V390" s="7">
        <f>IF($C390="","",R390*U390/100)</f>
        <v/>
      </c>
      <c r="W390" s="7">
        <f>IF($C390="","",R390-V390)</f>
        <v/>
      </c>
      <c r="X390" s="7">
        <f>IF($C390="","",W390-K390)</f>
        <v/>
      </c>
      <c r="AB390" s="7" t="n"/>
      <c r="AE390" s="11" t="n"/>
      <c r="AG390">
        <f>IF($C390="","",IF(COUNTIF($C$2:$C390,$C390)=1,1,0))</f>
        <v/>
      </c>
      <c r="AH390">
        <f>IF($AG390=1,SUMPRODUCT(--($AK$2:$AK$6001&lt;$AK390))+1,"")</f>
        <v/>
      </c>
      <c r="AI390">
        <f>IF($C390="","",IF(OR($N390=TRUE(),$N390="TRUE"),1,0))</f>
        <v/>
      </c>
      <c r="AJ390">
        <f>IF($C390="","",IF($T390="Yes",1,0))</f>
        <v/>
      </c>
      <c r="AK390">
        <f>IF($AG390=1,IFERROR(IF(VALUE($C390)&lt;100000000,VALUE($C390),1000000000),IFERROR(IF(VALUE(MID($C390,2,20))&lt;100000000,VALUE(MID($C390,2,20)),1000000000),1000000000))+ROW()/100000,"")</f>
        <v/>
      </c>
    </row>
    <row r="391">
      <c r="D391" s="11" t="n"/>
      <c r="K391" s="7">
        <f>IF($C391="","",J391*W391/100)</f>
        <v/>
      </c>
      <c r="Q391" s="7" t="n"/>
      <c r="R391" s="7" t="n"/>
      <c r="U391">
        <f>IF($C391="","",IF($AJ391=1,0,IF($AI391=1,Settings!$C$6,Settings!$C$7))*100)</f>
        <v/>
      </c>
      <c r="V391" s="7">
        <f>IF($C391="","",R391*U391/100)</f>
        <v/>
      </c>
      <c r="W391" s="7">
        <f>IF($C391="","",R391-V391)</f>
        <v/>
      </c>
      <c r="X391" s="7">
        <f>IF($C391="","",W391-K391)</f>
        <v/>
      </c>
      <c r="AB391" s="7" t="n"/>
      <c r="AE391" s="11" t="n"/>
      <c r="AG391">
        <f>IF($C391="","",IF(COUNTIF($C$2:$C391,$C391)=1,1,0))</f>
        <v/>
      </c>
      <c r="AH391">
        <f>IF($AG391=1,SUMPRODUCT(--($AK$2:$AK$6001&lt;$AK391))+1,"")</f>
        <v/>
      </c>
      <c r="AI391">
        <f>IF($C391="","",IF(OR($N391=TRUE(),$N391="TRUE"),1,0))</f>
        <v/>
      </c>
      <c r="AJ391">
        <f>IF($C391="","",IF($T391="Yes",1,0))</f>
        <v/>
      </c>
      <c r="AK391">
        <f>IF($AG391=1,IFERROR(IF(VALUE($C391)&lt;100000000,VALUE($C391),1000000000),IFERROR(IF(VALUE(MID($C391,2,20))&lt;100000000,VALUE(MID($C391,2,20)),1000000000),1000000000))+ROW()/100000,"")</f>
        <v/>
      </c>
    </row>
    <row r="392">
      <c r="D392" s="11" t="n"/>
      <c r="K392" s="7">
        <f>IF($C392="","",J392*W392/100)</f>
        <v/>
      </c>
      <c r="Q392" s="7" t="n"/>
      <c r="R392" s="7" t="n"/>
      <c r="U392">
        <f>IF($C392="","",IF($AJ392=1,0,IF($AI392=1,Settings!$C$6,Settings!$C$7))*100)</f>
        <v/>
      </c>
      <c r="V392" s="7">
        <f>IF($C392="","",R392*U392/100)</f>
        <v/>
      </c>
      <c r="W392" s="7">
        <f>IF($C392="","",R392-V392)</f>
        <v/>
      </c>
      <c r="X392" s="7">
        <f>IF($C392="","",W392-K392)</f>
        <v/>
      </c>
      <c r="AB392" s="7" t="n"/>
      <c r="AE392" s="11" t="n"/>
      <c r="AG392">
        <f>IF($C392="","",IF(COUNTIF($C$2:$C392,$C392)=1,1,0))</f>
        <v/>
      </c>
      <c r="AH392">
        <f>IF($AG392=1,SUMPRODUCT(--($AK$2:$AK$6001&lt;$AK392))+1,"")</f>
        <v/>
      </c>
      <c r="AI392">
        <f>IF($C392="","",IF(OR($N392=TRUE(),$N392="TRUE"),1,0))</f>
        <v/>
      </c>
      <c r="AJ392">
        <f>IF($C392="","",IF($T392="Yes",1,0))</f>
        <v/>
      </c>
      <c r="AK392">
        <f>IF($AG392=1,IFERROR(IF(VALUE($C392)&lt;100000000,VALUE($C392),1000000000),IFERROR(IF(VALUE(MID($C392,2,20))&lt;100000000,VALUE(MID($C392,2,20)),1000000000),1000000000))+ROW()/100000,"")</f>
        <v/>
      </c>
    </row>
    <row r="393">
      <c r="D393" s="11" t="n"/>
      <c r="K393" s="7">
        <f>IF($C393="","",J393*W393/100)</f>
        <v/>
      </c>
      <c r="Q393" s="7" t="n"/>
      <c r="R393" s="7" t="n"/>
      <c r="U393">
        <f>IF($C393="","",IF($AJ393=1,0,IF($AI393=1,Settings!$C$6,Settings!$C$7))*100)</f>
        <v/>
      </c>
      <c r="V393" s="7">
        <f>IF($C393="","",R393*U393/100)</f>
        <v/>
      </c>
      <c r="W393" s="7">
        <f>IF($C393="","",R393-V393)</f>
        <v/>
      </c>
      <c r="X393" s="7">
        <f>IF($C393="","",W393-K393)</f>
        <v/>
      </c>
      <c r="AB393" s="7" t="n"/>
      <c r="AE393" s="11" t="n"/>
      <c r="AG393">
        <f>IF($C393="","",IF(COUNTIF($C$2:$C393,$C393)=1,1,0))</f>
        <v/>
      </c>
      <c r="AH393">
        <f>IF($AG393=1,SUMPRODUCT(--($AK$2:$AK$6001&lt;$AK393))+1,"")</f>
        <v/>
      </c>
      <c r="AI393">
        <f>IF($C393="","",IF(OR($N393=TRUE(),$N393="TRUE"),1,0))</f>
        <v/>
      </c>
      <c r="AJ393">
        <f>IF($C393="","",IF($T393="Yes",1,0))</f>
        <v/>
      </c>
      <c r="AK393">
        <f>IF($AG393=1,IFERROR(IF(VALUE($C393)&lt;100000000,VALUE($C393),1000000000),IFERROR(IF(VALUE(MID($C393,2,20))&lt;100000000,VALUE(MID($C393,2,20)),1000000000),1000000000))+ROW()/100000,"")</f>
        <v/>
      </c>
    </row>
    <row r="394">
      <c r="D394" s="11" t="n"/>
      <c r="K394" s="7">
        <f>IF($C394="","",J394*W394/100)</f>
        <v/>
      </c>
      <c r="Q394" s="7" t="n"/>
      <c r="R394" s="7" t="n"/>
      <c r="U394">
        <f>IF($C394="","",IF($AJ394=1,0,IF($AI394=1,Settings!$C$6,Settings!$C$7))*100)</f>
        <v/>
      </c>
      <c r="V394" s="7">
        <f>IF($C394="","",R394*U394/100)</f>
        <v/>
      </c>
      <c r="W394" s="7">
        <f>IF($C394="","",R394-V394)</f>
        <v/>
      </c>
      <c r="X394" s="7">
        <f>IF($C394="","",W394-K394)</f>
        <v/>
      </c>
      <c r="AB394" s="7" t="n"/>
      <c r="AE394" s="11" t="n"/>
      <c r="AG394">
        <f>IF($C394="","",IF(COUNTIF($C$2:$C394,$C394)=1,1,0))</f>
        <v/>
      </c>
      <c r="AH394">
        <f>IF($AG394=1,SUMPRODUCT(--($AK$2:$AK$6001&lt;$AK394))+1,"")</f>
        <v/>
      </c>
      <c r="AI394">
        <f>IF($C394="","",IF(OR($N394=TRUE(),$N394="TRUE"),1,0))</f>
        <v/>
      </c>
      <c r="AJ394">
        <f>IF($C394="","",IF($T394="Yes",1,0))</f>
        <v/>
      </c>
      <c r="AK394">
        <f>IF($AG394=1,IFERROR(IF(VALUE($C394)&lt;100000000,VALUE($C394),1000000000),IFERROR(IF(VALUE(MID($C394,2,20))&lt;100000000,VALUE(MID($C394,2,20)),1000000000),1000000000))+ROW()/100000,"")</f>
        <v/>
      </c>
    </row>
    <row r="395">
      <c r="D395" s="11" t="n"/>
      <c r="K395" s="7">
        <f>IF($C395="","",J395*W395/100)</f>
        <v/>
      </c>
      <c r="Q395" s="7" t="n"/>
      <c r="R395" s="7" t="n"/>
      <c r="U395">
        <f>IF($C395="","",IF($AJ395=1,0,IF($AI395=1,Settings!$C$6,Settings!$C$7))*100)</f>
        <v/>
      </c>
      <c r="V395" s="7">
        <f>IF($C395="","",R395*U395/100)</f>
        <v/>
      </c>
      <c r="W395" s="7">
        <f>IF($C395="","",R395-V395)</f>
        <v/>
      </c>
      <c r="X395" s="7">
        <f>IF($C395="","",W395-K395)</f>
        <v/>
      </c>
      <c r="AB395" s="7" t="n"/>
      <c r="AE395" s="11" t="n"/>
      <c r="AG395">
        <f>IF($C395="","",IF(COUNTIF($C$2:$C395,$C395)=1,1,0))</f>
        <v/>
      </c>
      <c r="AH395">
        <f>IF($AG395=1,SUMPRODUCT(--($AK$2:$AK$6001&lt;$AK395))+1,"")</f>
        <v/>
      </c>
      <c r="AI395">
        <f>IF($C395="","",IF(OR($N395=TRUE(),$N395="TRUE"),1,0))</f>
        <v/>
      </c>
      <c r="AJ395">
        <f>IF($C395="","",IF($T395="Yes",1,0))</f>
        <v/>
      </c>
      <c r="AK395">
        <f>IF($AG395=1,IFERROR(IF(VALUE($C395)&lt;100000000,VALUE($C395),1000000000),IFERROR(IF(VALUE(MID($C395,2,20))&lt;100000000,VALUE(MID($C395,2,20)),1000000000),1000000000))+ROW()/100000,"")</f>
        <v/>
      </c>
    </row>
    <row r="396">
      <c r="D396" s="11" t="n"/>
      <c r="K396" s="7">
        <f>IF($C396="","",J396*W396/100)</f>
        <v/>
      </c>
      <c r="Q396" s="7" t="n"/>
      <c r="R396" s="7" t="n"/>
      <c r="U396">
        <f>IF($C396="","",IF($AJ396=1,0,IF($AI396=1,Settings!$C$6,Settings!$C$7))*100)</f>
        <v/>
      </c>
      <c r="V396" s="7">
        <f>IF($C396="","",R396*U396/100)</f>
        <v/>
      </c>
      <c r="W396" s="7">
        <f>IF($C396="","",R396-V396)</f>
        <v/>
      </c>
      <c r="X396" s="7">
        <f>IF($C396="","",W396-K396)</f>
        <v/>
      </c>
      <c r="AB396" s="7" t="n"/>
      <c r="AE396" s="11" t="n"/>
      <c r="AG396">
        <f>IF($C396="","",IF(COUNTIF($C$2:$C396,$C396)=1,1,0))</f>
        <v/>
      </c>
      <c r="AH396">
        <f>IF($AG396=1,SUMPRODUCT(--($AK$2:$AK$6001&lt;$AK396))+1,"")</f>
        <v/>
      </c>
      <c r="AI396">
        <f>IF($C396="","",IF(OR($N396=TRUE(),$N396="TRUE"),1,0))</f>
        <v/>
      </c>
      <c r="AJ396">
        <f>IF($C396="","",IF($T396="Yes",1,0))</f>
        <v/>
      </c>
      <c r="AK396">
        <f>IF($AG396=1,IFERROR(IF(VALUE($C396)&lt;100000000,VALUE($C396),1000000000),IFERROR(IF(VALUE(MID($C396,2,20))&lt;100000000,VALUE(MID($C396,2,20)),1000000000),1000000000))+ROW()/100000,"")</f>
        <v/>
      </c>
    </row>
    <row r="397">
      <c r="D397" s="11" t="n"/>
      <c r="K397" s="7">
        <f>IF($C397="","",J397*W397/100)</f>
        <v/>
      </c>
      <c r="Q397" s="7" t="n"/>
      <c r="R397" s="7" t="n"/>
      <c r="U397">
        <f>IF($C397="","",IF($AJ397=1,0,IF($AI397=1,Settings!$C$6,Settings!$C$7))*100)</f>
        <v/>
      </c>
      <c r="V397" s="7">
        <f>IF($C397="","",R397*U397/100)</f>
        <v/>
      </c>
      <c r="W397" s="7">
        <f>IF($C397="","",R397-V397)</f>
        <v/>
      </c>
      <c r="X397" s="7">
        <f>IF($C397="","",W397-K397)</f>
        <v/>
      </c>
      <c r="AB397" s="7" t="n"/>
      <c r="AE397" s="11" t="n"/>
      <c r="AG397">
        <f>IF($C397="","",IF(COUNTIF($C$2:$C397,$C397)=1,1,0))</f>
        <v/>
      </c>
      <c r="AH397">
        <f>IF($AG397=1,SUMPRODUCT(--($AK$2:$AK$6001&lt;$AK397))+1,"")</f>
        <v/>
      </c>
      <c r="AI397">
        <f>IF($C397="","",IF(OR($N397=TRUE(),$N397="TRUE"),1,0))</f>
        <v/>
      </c>
      <c r="AJ397">
        <f>IF($C397="","",IF($T397="Yes",1,0))</f>
        <v/>
      </c>
      <c r="AK397">
        <f>IF($AG397=1,IFERROR(IF(VALUE($C397)&lt;100000000,VALUE($C397),1000000000),IFERROR(IF(VALUE(MID($C397,2,20))&lt;100000000,VALUE(MID($C397,2,20)),1000000000),1000000000))+ROW()/100000,"")</f>
        <v/>
      </c>
    </row>
    <row r="398">
      <c r="D398" s="11" t="n"/>
      <c r="K398" s="7">
        <f>IF($C398="","",J398*W398/100)</f>
        <v/>
      </c>
      <c r="Q398" s="7" t="n"/>
      <c r="R398" s="7" t="n"/>
      <c r="U398">
        <f>IF($C398="","",IF($AJ398=1,0,IF($AI398=1,Settings!$C$6,Settings!$C$7))*100)</f>
        <v/>
      </c>
      <c r="V398" s="7">
        <f>IF($C398="","",R398*U398/100)</f>
        <v/>
      </c>
      <c r="W398" s="7">
        <f>IF($C398="","",R398-V398)</f>
        <v/>
      </c>
      <c r="X398" s="7">
        <f>IF($C398="","",W398-K398)</f>
        <v/>
      </c>
      <c r="AB398" s="7" t="n"/>
      <c r="AE398" s="11" t="n"/>
      <c r="AG398">
        <f>IF($C398="","",IF(COUNTIF($C$2:$C398,$C398)=1,1,0))</f>
        <v/>
      </c>
      <c r="AH398">
        <f>IF($AG398=1,SUMPRODUCT(--($AK$2:$AK$6001&lt;$AK398))+1,"")</f>
        <v/>
      </c>
      <c r="AI398">
        <f>IF($C398="","",IF(OR($N398=TRUE(),$N398="TRUE"),1,0))</f>
        <v/>
      </c>
      <c r="AJ398">
        <f>IF($C398="","",IF($T398="Yes",1,0))</f>
        <v/>
      </c>
      <c r="AK398">
        <f>IF($AG398=1,IFERROR(IF(VALUE($C398)&lt;100000000,VALUE($C398),1000000000),IFERROR(IF(VALUE(MID($C398,2,20))&lt;100000000,VALUE(MID($C398,2,20)),1000000000),1000000000))+ROW()/100000,"")</f>
        <v/>
      </c>
    </row>
    <row r="399">
      <c r="D399" s="11" t="n"/>
      <c r="K399" s="7">
        <f>IF($C399="","",J399*W399/100)</f>
        <v/>
      </c>
      <c r="Q399" s="7" t="n"/>
      <c r="R399" s="7" t="n"/>
      <c r="U399">
        <f>IF($C399="","",IF($AJ399=1,0,IF($AI399=1,Settings!$C$6,Settings!$C$7))*100)</f>
        <v/>
      </c>
      <c r="V399" s="7">
        <f>IF($C399="","",R399*U399/100)</f>
        <v/>
      </c>
      <c r="W399" s="7">
        <f>IF($C399="","",R399-V399)</f>
        <v/>
      </c>
      <c r="X399" s="7">
        <f>IF($C399="","",W399-K399)</f>
        <v/>
      </c>
      <c r="AB399" s="7" t="n"/>
      <c r="AE399" s="11" t="n"/>
      <c r="AG399">
        <f>IF($C399="","",IF(COUNTIF($C$2:$C399,$C399)=1,1,0))</f>
        <v/>
      </c>
      <c r="AH399">
        <f>IF($AG399=1,SUMPRODUCT(--($AK$2:$AK$6001&lt;$AK399))+1,"")</f>
        <v/>
      </c>
      <c r="AI399">
        <f>IF($C399="","",IF(OR($N399=TRUE(),$N399="TRUE"),1,0))</f>
        <v/>
      </c>
      <c r="AJ399">
        <f>IF($C399="","",IF($T399="Yes",1,0))</f>
        <v/>
      </c>
      <c r="AK399">
        <f>IF($AG399=1,IFERROR(IF(VALUE($C399)&lt;100000000,VALUE($C399),1000000000),IFERROR(IF(VALUE(MID($C399,2,20))&lt;100000000,VALUE(MID($C399,2,20)),1000000000),1000000000))+ROW()/100000,"")</f>
        <v/>
      </c>
    </row>
    <row r="400">
      <c r="D400" s="11" t="n"/>
      <c r="K400" s="7">
        <f>IF($C400="","",J400*W400/100)</f>
        <v/>
      </c>
      <c r="Q400" s="7" t="n"/>
      <c r="R400" s="7" t="n"/>
      <c r="U400">
        <f>IF($C400="","",IF($AJ400=1,0,IF($AI400=1,Settings!$C$6,Settings!$C$7))*100)</f>
        <v/>
      </c>
      <c r="V400" s="7">
        <f>IF($C400="","",R400*U400/100)</f>
        <v/>
      </c>
      <c r="W400" s="7">
        <f>IF($C400="","",R400-V400)</f>
        <v/>
      </c>
      <c r="X400" s="7">
        <f>IF($C400="","",W400-K400)</f>
        <v/>
      </c>
      <c r="AB400" s="7" t="n"/>
      <c r="AE400" s="11" t="n"/>
      <c r="AG400">
        <f>IF($C400="","",IF(COUNTIF($C$2:$C400,$C400)=1,1,0))</f>
        <v/>
      </c>
      <c r="AH400">
        <f>IF($AG400=1,SUMPRODUCT(--($AK$2:$AK$6001&lt;$AK400))+1,"")</f>
        <v/>
      </c>
      <c r="AI400">
        <f>IF($C400="","",IF(OR($N400=TRUE(),$N400="TRUE"),1,0))</f>
        <v/>
      </c>
      <c r="AJ400">
        <f>IF($C400="","",IF($T400="Yes",1,0))</f>
        <v/>
      </c>
      <c r="AK400">
        <f>IF($AG400=1,IFERROR(IF(VALUE($C400)&lt;100000000,VALUE($C400),1000000000),IFERROR(IF(VALUE(MID($C400,2,20))&lt;100000000,VALUE(MID($C400,2,20)),1000000000),1000000000))+ROW()/100000,"")</f>
        <v/>
      </c>
    </row>
    <row r="401">
      <c r="D401" s="11" t="n"/>
      <c r="K401" s="7">
        <f>IF($C401="","",J401*W401/100)</f>
        <v/>
      </c>
      <c r="Q401" s="7" t="n"/>
      <c r="R401" s="7" t="n"/>
      <c r="U401">
        <f>IF($C401="","",IF($AJ401=1,0,IF($AI401=1,Settings!$C$6,Settings!$C$7))*100)</f>
        <v/>
      </c>
      <c r="V401" s="7">
        <f>IF($C401="","",R401*U401/100)</f>
        <v/>
      </c>
      <c r="W401" s="7">
        <f>IF($C401="","",R401-V401)</f>
        <v/>
      </c>
      <c r="X401" s="7">
        <f>IF($C401="","",W401-K401)</f>
        <v/>
      </c>
      <c r="AB401" s="7" t="n"/>
      <c r="AE401" s="11" t="n"/>
      <c r="AG401">
        <f>IF($C401="","",IF(COUNTIF($C$2:$C401,$C401)=1,1,0))</f>
        <v/>
      </c>
      <c r="AH401">
        <f>IF($AG401=1,SUMPRODUCT(--($AK$2:$AK$6001&lt;$AK401))+1,"")</f>
        <v/>
      </c>
      <c r="AI401">
        <f>IF($C401="","",IF(OR($N401=TRUE(),$N401="TRUE"),1,0))</f>
        <v/>
      </c>
      <c r="AJ401">
        <f>IF($C401="","",IF($T401="Yes",1,0))</f>
        <v/>
      </c>
      <c r="AK401">
        <f>IF($AG401=1,IFERROR(IF(VALUE($C401)&lt;100000000,VALUE($C401),1000000000),IFERROR(IF(VALUE(MID($C401,2,20))&lt;100000000,VALUE(MID($C401,2,20)),1000000000),1000000000))+ROW()/100000,"")</f>
        <v/>
      </c>
    </row>
    <row r="402">
      <c r="D402" s="11" t="n"/>
      <c r="K402" s="7">
        <f>IF($C402="","",J402*W402/100)</f>
        <v/>
      </c>
      <c r="Q402" s="7" t="n"/>
      <c r="R402" s="7" t="n"/>
      <c r="U402">
        <f>IF($C402="","",IF($AJ402=1,0,IF($AI402=1,Settings!$C$6,Settings!$C$7))*100)</f>
        <v/>
      </c>
      <c r="V402" s="7">
        <f>IF($C402="","",R402*U402/100)</f>
        <v/>
      </c>
      <c r="W402" s="7">
        <f>IF($C402="","",R402-V402)</f>
        <v/>
      </c>
      <c r="X402" s="7">
        <f>IF($C402="","",W402-K402)</f>
        <v/>
      </c>
      <c r="AB402" s="7" t="n"/>
      <c r="AE402" s="11" t="n"/>
      <c r="AG402">
        <f>IF($C402="","",IF(COUNTIF($C$2:$C402,$C402)=1,1,0))</f>
        <v/>
      </c>
      <c r="AH402">
        <f>IF($AG402=1,SUMPRODUCT(--($AK$2:$AK$6001&lt;$AK402))+1,"")</f>
        <v/>
      </c>
      <c r="AI402">
        <f>IF($C402="","",IF(OR($N402=TRUE(),$N402="TRUE"),1,0))</f>
        <v/>
      </c>
      <c r="AJ402">
        <f>IF($C402="","",IF($T402="Yes",1,0))</f>
        <v/>
      </c>
      <c r="AK402">
        <f>IF($AG402=1,IFERROR(IF(VALUE($C402)&lt;100000000,VALUE($C402),1000000000),IFERROR(IF(VALUE(MID($C402,2,20))&lt;100000000,VALUE(MID($C402,2,20)),1000000000),1000000000))+ROW()/100000,"")</f>
        <v/>
      </c>
    </row>
    <row r="403">
      <c r="D403" s="11" t="n"/>
      <c r="K403" s="7">
        <f>IF($C403="","",J403*W403/100)</f>
        <v/>
      </c>
      <c r="Q403" s="7" t="n"/>
      <c r="R403" s="7" t="n"/>
      <c r="U403">
        <f>IF($C403="","",IF($AJ403=1,0,IF($AI403=1,Settings!$C$6,Settings!$C$7))*100)</f>
        <v/>
      </c>
      <c r="V403" s="7">
        <f>IF($C403="","",R403*U403/100)</f>
        <v/>
      </c>
      <c r="W403" s="7">
        <f>IF($C403="","",R403-V403)</f>
        <v/>
      </c>
      <c r="X403" s="7">
        <f>IF($C403="","",W403-K403)</f>
        <v/>
      </c>
      <c r="AB403" s="7" t="n"/>
      <c r="AE403" s="11" t="n"/>
      <c r="AG403">
        <f>IF($C403="","",IF(COUNTIF($C$2:$C403,$C403)=1,1,0))</f>
        <v/>
      </c>
      <c r="AH403">
        <f>IF($AG403=1,SUMPRODUCT(--($AK$2:$AK$6001&lt;$AK403))+1,"")</f>
        <v/>
      </c>
      <c r="AI403">
        <f>IF($C403="","",IF(OR($N403=TRUE(),$N403="TRUE"),1,0))</f>
        <v/>
      </c>
      <c r="AJ403">
        <f>IF($C403="","",IF($T403="Yes",1,0))</f>
        <v/>
      </c>
      <c r="AK403">
        <f>IF($AG403=1,IFERROR(IF(VALUE($C403)&lt;100000000,VALUE($C403),1000000000),IFERROR(IF(VALUE(MID($C403,2,20))&lt;100000000,VALUE(MID($C403,2,20)),1000000000),1000000000))+ROW()/100000,"")</f>
        <v/>
      </c>
    </row>
    <row r="404">
      <c r="D404" s="11" t="n"/>
      <c r="K404" s="7">
        <f>IF($C404="","",J404*W404/100)</f>
        <v/>
      </c>
      <c r="Q404" s="7" t="n"/>
      <c r="R404" s="7" t="n"/>
      <c r="U404">
        <f>IF($C404="","",IF($AJ404=1,0,IF($AI404=1,Settings!$C$6,Settings!$C$7))*100)</f>
        <v/>
      </c>
      <c r="V404" s="7">
        <f>IF($C404="","",R404*U404/100)</f>
        <v/>
      </c>
      <c r="W404" s="7">
        <f>IF($C404="","",R404-V404)</f>
        <v/>
      </c>
      <c r="X404" s="7">
        <f>IF($C404="","",W404-K404)</f>
        <v/>
      </c>
      <c r="AB404" s="7" t="n"/>
      <c r="AE404" s="11" t="n"/>
      <c r="AG404">
        <f>IF($C404="","",IF(COUNTIF($C$2:$C404,$C404)=1,1,0))</f>
        <v/>
      </c>
      <c r="AH404">
        <f>IF($AG404=1,SUMPRODUCT(--($AK$2:$AK$6001&lt;$AK404))+1,"")</f>
        <v/>
      </c>
      <c r="AI404">
        <f>IF($C404="","",IF(OR($N404=TRUE(),$N404="TRUE"),1,0))</f>
        <v/>
      </c>
      <c r="AJ404">
        <f>IF($C404="","",IF($T404="Yes",1,0))</f>
        <v/>
      </c>
      <c r="AK404">
        <f>IF($AG404=1,IFERROR(IF(VALUE($C404)&lt;100000000,VALUE($C404),1000000000),IFERROR(IF(VALUE(MID($C404,2,20))&lt;100000000,VALUE(MID($C404,2,20)),1000000000),1000000000))+ROW()/100000,"")</f>
        <v/>
      </c>
    </row>
    <row r="405">
      <c r="D405" s="11" t="n"/>
      <c r="K405" s="7">
        <f>IF($C405="","",J405*W405/100)</f>
        <v/>
      </c>
      <c r="Q405" s="7" t="n"/>
      <c r="R405" s="7" t="n"/>
      <c r="U405">
        <f>IF($C405="","",IF($AJ405=1,0,IF($AI405=1,Settings!$C$6,Settings!$C$7))*100)</f>
        <v/>
      </c>
      <c r="V405" s="7">
        <f>IF($C405="","",R405*U405/100)</f>
        <v/>
      </c>
      <c r="W405" s="7">
        <f>IF($C405="","",R405-V405)</f>
        <v/>
      </c>
      <c r="X405" s="7">
        <f>IF($C405="","",W405-K405)</f>
        <v/>
      </c>
      <c r="AB405" s="7" t="n"/>
      <c r="AE405" s="11" t="n"/>
      <c r="AG405">
        <f>IF($C405="","",IF(COUNTIF($C$2:$C405,$C405)=1,1,0))</f>
        <v/>
      </c>
      <c r="AH405">
        <f>IF($AG405=1,SUMPRODUCT(--($AK$2:$AK$6001&lt;$AK405))+1,"")</f>
        <v/>
      </c>
      <c r="AI405">
        <f>IF($C405="","",IF(OR($N405=TRUE(),$N405="TRUE"),1,0))</f>
        <v/>
      </c>
      <c r="AJ405">
        <f>IF($C405="","",IF($T405="Yes",1,0))</f>
        <v/>
      </c>
      <c r="AK405">
        <f>IF($AG405=1,IFERROR(IF(VALUE($C405)&lt;100000000,VALUE($C405),1000000000),IFERROR(IF(VALUE(MID($C405,2,20))&lt;100000000,VALUE(MID($C405,2,20)),1000000000),1000000000))+ROW()/100000,"")</f>
        <v/>
      </c>
    </row>
    <row r="406">
      <c r="D406" s="11" t="n"/>
      <c r="K406" s="7">
        <f>IF($C406="","",J406*W406/100)</f>
        <v/>
      </c>
      <c r="Q406" s="7" t="n"/>
      <c r="R406" s="7" t="n"/>
      <c r="U406">
        <f>IF($C406="","",IF($AJ406=1,0,IF($AI406=1,Settings!$C$6,Settings!$C$7))*100)</f>
        <v/>
      </c>
      <c r="V406" s="7">
        <f>IF($C406="","",R406*U406/100)</f>
        <v/>
      </c>
      <c r="W406" s="7">
        <f>IF($C406="","",R406-V406)</f>
        <v/>
      </c>
      <c r="X406" s="7">
        <f>IF($C406="","",W406-K406)</f>
        <v/>
      </c>
      <c r="AB406" s="7" t="n"/>
      <c r="AE406" s="11" t="n"/>
      <c r="AG406">
        <f>IF($C406="","",IF(COUNTIF($C$2:$C406,$C406)=1,1,0))</f>
        <v/>
      </c>
      <c r="AH406">
        <f>IF($AG406=1,SUMPRODUCT(--($AK$2:$AK$6001&lt;$AK406))+1,"")</f>
        <v/>
      </c>
      <c r="AI406">
        <f>IF($C406="","",IF(OR($N406=TRUE(),$N406="TRUE"),1,0))</f>
        <v/>
      </c>
      <c r="AJ406">
        <f>IF($C406="","",IF($T406="Yes",1,0))</f>
        <v/>
      </c>
      <c r="AK406">
        <f>IF($AG406=1,IFERROR(IF(VALUE($C406)&lt;100000000,VALUE($C406),1000000000),IFERROR(IF(VALUE(MID($C406,2,20))&lt;100000000,VALUE(MID($C406,2,20)),1000000000),1000000000))+ROW()/100000,"")</f>
        <v/>
      </c>
    </row>
    <row r="407">
      <c r="D407" s="11" t="n"/>
      <c r="K407" s="7">
        <f>IF($C407="","",J407*W407/100)</f>
        <v/>
      </c>
      <c r="Q407" s="7" t="n"/>
      <c r="R407" s="7" t="n"/>
      <c r="U407">
        <f>IF($C407="","",IF($AJ407=1,0,IF($AI407=1,Settings!$C$6,Settings!$C$7))*100)</f>
        <v/>
      </c>
      <c r="V407" s="7">
        <f>IF($C407="","",R407*U407/100)</f>
        <v/>
      </c>
      <c r="W407" s="7">
        <f>IF($C407="","",R407-V407)</f>
        <v/>
      </c>
      <c r="X407" s="7">
        <f>IF($C407="","",W407-K407)</f>
        <v/>
      </c>
      <c r="AB407" s="7" t="n"/>
      <c r="AE407" s="11" t="n"/>
      <c r="AG407">
        <f>IF($C407="","",IF(COUNTIF($C$2:$C407,$C407)=1,1,0))</f>
        <v/>
      </c>
      <c r="AH407">
        <f>IF($AG407=1,SUMPRODUCT(--($AK$2:$AK$6001&lt;$AK407))+1,"")</f>
        <v/>
      </c>
      <c r="AI407">
        <f>IF($C407="","",IF(OR($N407=TRUE(),$N407="TRUE"),1,0))</f>
        <v/>
      </c>
      <c r="AJ407">
        <f>IF($C407="","",IF($T407="Yes",1,0))</f>
        <v/>
      </c>
      <c r="AK407">
        <f>IF($AG407=1,IFERROR(IF(VALUE($C407)&lt;100000000,VALUE($C407),1000000000),IFERROR(IF(VALUE(MID($C407,2,20))&lt;100000000,VALUE(MID($C407,2,20)),1000000000),1000000000))+ROW()/100000,"")</f>
        <v/>
      </c>
    </row>
    <row r="408">
      <c r="D408" s="11" t="n"/>
      <c r="K408" s="7">
        <f>IF($C408="","",J408*W408/100)</f>
        <v/>
      </c>
      <c r="Q408" s="7" t="n"/>
      <c r="R408" s="7" t="n"/>
      <c r="U408">
        <f>IF($C408="","",IF($AJ408=1,0,IF($AI408=1,Settings!$C$6,Settings!$C$7))*100)</f>
        <v/>
      </c>
      <c r="V408" s="7">
        <f>IF($C408="","",R408*U408/100)</f>
        <v/>
      </c>
      <c r="W408" s="7">
        <f>IF($C408="","",R408-V408)</f>
        <v/>
      </c>
      <c r="X408" s="7">
        <f>IF($C408="","",W408-K408)</f>
        <v/>
      </c>
      <c r="AB408" s="7" t="n"/>
      <c r="AE408" s="11" t="n"/>
      <c r="AG408">
        <f>IF($C408="","",IF(COUNTIF($C$2:$C408,$C408)=1,1,0))</f>
        <v/>
      </c>
      <c r="AH408">
        <f>IF($AG408=1,SUMPRODUCT(--($AK$2:$AK$6001&lt;$AK408))+1,"")</f>
        <v/>
      </c>
      <c r="AI408">
        <f>IF($C408="","",IF(OR($N408=TRUE(),$N408="TRUE"),1,0))</f>
        <v/>
      </c>
      <c r="AJ408">
        <f>IF($C408="","",IF($T408="Yes",1,0))</f>
        <v/>
      </c>
      <c r="AK408">
        <f>IF($AG408=1,IFERROR(IF(VALUE($C408)&lt;100000000,VALUE($C408),1000000000),IFERROR(IF(VALUE(MID($C408,2,20))&lt;100000000,VALUE(MID($C408,2,20)),1000000000),1000000000))+ROW()/100000,"")</f>
        <v/>
      </c>
    </row>
    <row r="409">
      <c r="D409" s="11" t="n"/>
      <c r="K409" s="7">
        <f>IF($C409="","",J409*W409/100)</f>
        <v/>
      </c>
      <c r="Q409" s="7" t="n"/>
      <c r="R409" s="7" t="n"/>
      <c r="U409">
        <f>IF($C409="","",IF($AJ409=1,0,IF($AI409=1,Settings!$C$6,Settings!$C$7))*100)</f>
        <v/>
      </c>
      <c r="V409" s="7">
        <f>IF($C409="","",R409*U409/100)</f>
        <v/>
      </c>
      <c r="W409" s="7">
        <f>IF($C409="","",R409-V409)</f>
        <v/>
      </c>
      <c r="X409" s="7">
        <f>IF($C409="","",W409-K409)</f>
        <v/>
      </c>
      <c r="AB409" s="7" t="n"/>
      <c r="AE409" s="11" t="n"/>
      <c r="AG409">
        <f>IF($C409="","",IF(COUNTIF($C$2:$C409,$C409)=1,1,0))</f>
        <v/>
      </c>
      <c r="AH409">
        <f>IF($AG409=1,SUMPRODUCT(--($AK$2:$AK$6001&lt;$AK409))+1,"")</f>
        <v/>
      </c>
      <c r="AI409">
        <f>IF($C409="","",IF(OR($N409=TRUE(),$N409="TRUE"),1,0))</f>
        <v/>
      </c>
      <c r="AJ409">
        <f>IF($C409="","",IF($T409="Yes",1,0))</f>
        <v/>
      </c>
      <c r="AK409">
        <f>IF($AG409=1,IFERROR(IF(VALUE($C409)&lt;100000000,VALUE($C409),1000000000),IFERROR(IF(VALUE(MID($C409,2,20))&lt;100000000,VALUE(MID($C409,2,20)),1000000000),1000000000))+ROW()/100000,"")</f>
        <v/>
      </c>
    </row>
    <row r="410">
      <c r="D410" s="11" t="n"/>
      <c r="K410" s="7">
        <f>IF($C410="","",J410*W410/100)</f>
        <v/>
      </c>
      <c r="Q410" s="7" t="n"/>
      <c r="R410" s="7" t="n"/>
      <c r="U410">
        <f>IF($C410="","",IF($AJ410=1,0,IF($AI410=1,Settings!$C$6,Settings!$C$7))*100)</f>
        <v/>
      </c>
      <c r="V410" s="7">
        <f>IF($C410="","",R410*U410/100)</f>
        <v/>
      </c>
      <c r="W410" s="7">
        <f>IF($C410="","",R410-V410)</f>
        <v/>
      </c>
      <c r="X410" s="7">
        <f>IF($C410="","",W410-K410)</f>
        <v/>
      </c>
      <c r="AB410" s="7" t="n"/>
      <c r="AE410" s="11" t="n"/>
      <c r="AG410">
        <f>IF($C410="","",IF(COUNTIF($C$2:$C410,$C410)=1,1,0))</f>
        <v/>
      </c>
      <c r="AH410">
        <f>IF($AG410=1,SUMPRODUCT(--($AK$2:$AK$6001&lt;$AK410))+1,"")</f>
        <v/>
      </c>
      <c r="AI410">
        <f>IF($C410="","",IF(OR($N410=TRUE(),$N410="TRUE"),1,0))</f>
        <v/>
      </c>
      <c r="AJ410">
        <f>IF($C410="","",IF($T410="Yes",1,0))</f>
        <v/>
      </c>
      <c r="AK410">
        <f>IF($AG410=1,IFERROR(IF(VALUE($C410)&lt;100000000,VALUE($C410),1000000000),IFERROR(IF(VALUE(MID($C410,2,20))&lt;100000000,VALUE(MID($C410,2,20)),1000000000),1000000000))+ROW()/100000,"")</f>
        <v/>
      </c>
    </row>
    <row r="411">
      <c r="D411" s="11" t="n"/>
      <c r="K411" s="7">
        <f>IF($C411="","",J411*W411/100)</f>
        <v/>
      </c>
      <c r="Q411" s="7" t="n"/>
      <c r="R411" s="7" t="n"/>
      <c r="U411">
        <f>IF($C411="","",IF($AJ411=1,0,IF($AI411=1,Settings!$C$6,Settings!$C$7))*100)</f>
        <v/>
      </c>
      <c r="V411" s="7">
        <f>IF($C411="","",R411*U411/100)</f>
        <v/>
      </c>
      <c r="W411" s="7">
        <f>IF($C411="","",R411-V411)</f>
        <v/>
      </c>
      <c r="X411" s="7">
        <f>IF($C411="","",W411-K411)</f>
        <v/>
      </c>
      <c r="AB411" s="7" t="n"/>
      <c r="AE411" s="11" t="n"/>
      <c r="AG411">
        <f>IF($C411="","",IF(COUNTIF($C$2:$C411,$C411)=1,1,0))</f>
        <v/>
      </c>
      <c r="AH411">
        <f>IF($AG411=1,SUMPRODUCT(--($AK$2:$AK$6001&lt;$AK411))+1,"")</f>
        <v/>
      </c>
      <c r="AI411">
        <f>IF($C411="","",IF(OR($N411=TRUE(),$N411="TRUE"),1,0))</f>
        <v/>
      </c>
      <c r="AJ411">
        <f>IF($C411="","",IF($T411="Yes",1,0))</f>
        <v/>
      </c>
      <c r="AK411">
        <f>IF($AG411=1,IFERROR(IF(VALUE($C411)&lt;100000000,VALUE($C411),1000000000),IFERROR(IF(VALUE(MID($C411,2,20))&lt;100000000,VALUE(MID($C411,2,20)),1000000000),1000000000))+ROW()/100000,"")</f>
        <v/>
      </c>
    </row>
    <row r="412">
      <c r="D412" s="11" t="n"/>
      <c r="K412" s="7">
        <f>IF($C412="","",J412*W412/100)</f>
        <v/>
      </c>
      <c r="Q412" s="7" t="n"/>
      <c r="R412" s="7" t="n"/>
      <c r="U412">
        <f>IF($C412="","",IF($AJ412=1,0,IF($AI412=1,Settings!$C$6,Settings!$C$7))*100)</f>
        <v/>
      </c>
      <c r="V412" s="7">
        <f>IF($C412="","",R412*U412/100)</f>
        <v/>
      </c>
      <c r="W412" s="7">
        <f>IF($C412="","",R412-V412)</f>
        <v/>
      </c>
      <c r="X412" s="7">
        <f>IF($C412="","",W412-K412)</f>
        <v/>
      </c>
      <c r="AB412" s="7" t="n"/>
      <c r="AE412" s="11" t="n"/>
      <c r="AG412">
        <f>IF($C412="","",IF(COUNTIF($C$2:$C412,$C412)=1,1,0))</f>
        <v/>
      </c>
      <c r="AH412">
        <f>IF($AG412=1,SUMPRODUCT(--($AK$2:$AK$6001&lt;$AK412))+1,"")</f>
        <v/>
      </c>
      <c r="AI412">
        <f>IF($C412="","",IF(OR($N412=TRUE(),$N412="TRUE"),1,0))</f>
        <v/>
      </c>
      <c r="AJ412">
        <f>IF($C412="","",IF($T412="Yes",1,0))</f>
        <v/>
      </c>
      <c r="AK412">
        <f>IF($AG412=1,IFERROR(IF(VALUE($C412)&lt;100000000,VALUE($C412),1000000000),IFERROR(IF(VALUE(MID($C412,2,20))&lt;100000000,VALUE(MID($C412,2,20)),1000000000),1000000000))+ROW()/100000,"")</f>
        <v/>
      </c>
    </row>
    <row r="413">
      <c r="D413" s="11" t="n"/>
      <c r="K413" s="7">
        <f>IF($C413="","",J413*W413/100)</f>
        <v/>
      </c>
      <c r="Q413" s="7" t="n"/>
      <c r="R413" s="7" t="n"/>
      <c r="U413">
        <f>IF($C413="","",IF($AJ413=1,0,IF($AI413=1,Settings!$C$6,Settings!$C$7))*100)</f>
        <v/>
      </c>
      <c r="V413" s="7">
        <f>IF($C413="","",R413*U413/100)</f>
        <v/>
      </c>
      <c r="W413" s="7">
        <f>IF($C413="","",R413-V413)</f>
        <v/>
      </c>
      <c r="X413" s="7">
        <f>IF($C413="","",W413-K413)</f>
        <v/>
      </c>
      <c r="AB413" s="7" t="n"/>
      <c r="AE413" s="11" t="n"/>
      <c r="AG413">
        <f>IF($C413="","",IF(COUNTIF($C$2:$C413,$C413)=1,1,0))</f>
        <v/>
      </c>
      <c r="AH413">
        <f>IF($AG413=1,SUMPRODUCT(--($AK$2:$AK$6001&lt;$AK413))+1,"")</f>
        <v/>
      </c>
      <c r="AI413">
        <f>IF($C413="","",IF(OR($N413=TRUE(),$N413="TRUE"),1,0))</f>
        <v/>
      </c>
      <c r="AJ413">
        <f>IF($C413="","",IF($T413="Yes",1,0))</f>
        <v/>
      </c>
      <c r="AK413">
        <f>IF($AG413=1,IFERROR(IF(VALUE($C413)&lt;100000000,VALUE($C413),1000000000),IFERROR(IF(VALUE(MID($C413,2,20))&lt;100000000,VALUE(MID($C413,2,20)),1000000000),1000000000))+ROW()/100000,"")</f>
        <v/>
      </c>
    </row>
    <row r="414">
      <c r="D414" s="11" t="n"/>
      <c r="K414" s="7">
        <f>IF($C414="","",J414*W414/100)</f>
        <v/>
      </c>
      <c r="Q414" s="7" t="n"/>
      <c r="R414" s="7" t="n"/>
      <c r="U414">
        <f>IF($C414="","",IF($AJ414=1,0,IF($AI414=1,Settings!$C$6,Settings!$C$7))*100)</f>
        <v/>
      </c>
      <c r="V414" s="7">
        <f>IF($C414="","",R414*U414/100)</f>
        <v/>
      </c>
      <c r="W414" s="7">
        <f>IF($C414="","",R414-V414)</f>
        <v/>
      </c>
      <c r="X414" s="7">
        <f>IF($C414="","",W414-K414)</f>
        <v/>
      </c>
      <c r="AB414" s="7" t="n"/>
      <c r="AE414" s="11" t="n"/>
      <c r="AG414">
        <f>IF($C414="","",IF(COUNTIF($C$2:$C414,$C414)=1,1,0))</f>
        <v/>
      </c>
      <c r="AH414">
        <f>IF($AG414=1,SUMPRODUCT(--($AK$2:$AK$6001&lt;$AK414))+1,"")</f>
        <v/>
      </c>
      <c r="AI414">
        <f>IF($C414="","",IF(OR($N414=TRUE(),$N414="TRUE"),1,0))</f>
        <v/>
      </c>
      <c r="AJ414">
        <f>IF($C414="","",IF($T414="Yes",1,0))</f>
        <v/>
      </c>
      <c r="AK414">
        <f>IF($AG414=1,IFERROR(IF(VALUE($C414)&lt;100000000,VALUE($C414),1000000000),IFERROR(IF(VALUE(MID($C414,2,20))&lt;100000000,VALUE(MID($C414,2,20)),1000000000),1000000000))+ROW()/100000,"")</f>
        <v/>
      </c>
    </row>
    <row r="415">
      <c r="D415" s="11" t="n"/>
      <c r="K415" s="7">
        <f>IF($C415="","",J415*W415/100)</f>
        <v/>
      </c>
      <c r="Q415" s="7" t="n"/>
      <c r="R415" s="7" t="n"/>
      <c r="U415">
        <f>IF($C415="","",IF($AJ415=1,0,IF($AI415=1,Settings!$C$6,Settings!$C$7))*100)</f>
        <v/>
      </c>
      <c r="V415" s="7">
        <f>IF($C415="","",R415*U415/100)</f>
        <v/>
      </c>
      <c r="W415" s="7">
        <f>IF($C415="","",R415-V415)</f>
        <v/>
      </c>
      <c r="X415" s="7">
        <f>IF($C415="","",W415-K415)</f>
        <v/>
      </c>
      <c r="AB415" s="7" t="n"/>
      <c r="AE415" s="11" t="n"/>
      <c r="AG415">
        <f>IF($C415="","",IF(COUNTIF($C$2:$C415,$C415)=1,1,0))</f>
        <v/>
      </c>
      <c r="AH415">
        <f>IF($AG415=1,SUMPRODUCT(--($AK$2:$AK$6001&lt;$AK415))+1,"")</f>
        <v/>
      </c>
      <c r="AI415">
        <f>IF($C415="","",IF(OR($N415=TRUE(),$N415="TRUE"),1,0))</f>
        <v/>
      </c>
      <c r="AJ415">
        <f>IF($C415="","",IF($T415="Yes",1,0))</f>
        <v/>
      </c>
      <c r="AK415">
        <f>IF($AG415=1,IFERROR(IF(VALUE($C415)&lt;100000000,VALUE($C415),1000000000),IFERROR(IF(VALUE(MID($C415,2,20))&lt;100000000,VALUE(MID($C415,2,20)),1000000000),1000000000))+ROW()/100000,"")</f>
        <v/>
      </c>
    </row>
    <row r="416">
      <c r="D416" s="11" t="n"/>
      <c r="K416" s="7">
        <f>IF($C416="","",J416*W416/100)</f>
        <v/>
      </c>
      <c r="Q416" s="7" t="n"/>
      <c r="R416" s="7" t="n"/>
      <c r="U416">
        <f>IF($C416="","",IF($AJ416=1,0,IF($AI416=1,Settings!$C$6,Settings!$C$7))*100)</f>
        <v/>
      </c>
      <c r="V416" s="7">
        <f>IF($C416="","",R416*U416/100)</f>
        <v/>
      </c>
      <c r="W416" s="7">
        <f>IF($C416="","",R416-V416)</f>
        <v/>
      </c>
      <c r="X416" s="7">
        <f>IF($C416="","",W416-K416)</f>
        <v/>
      </c>
      <c r="AB416" s="7" t="n"/>
      <c r="AE416" s="11" t="n"/>
      <c r="AG416">
        <f>IF($C416="","",IF(COUNTIF($C$2:$C416,$C416)=1,1,0))</f>
        <v/>
      </c>
      <c r="AH416">
        <f>IF($AG416=1,SUMPRODUCT(--($AK$2:$AK$6001&lt;$AK416))+1,"")</f>
        <v/>
      </c>
      <c r="AI416">
        <f>IF($C416="","",IF(OR($N416=TRUE(),$N416="TRUE"),1,0))</f>
        <v/>
      </c>
      <c r="AJ416">
        <f>IF($C416="","",IF($T416="Yes",1,0))</f>
        <v/>
      </c>
      <c r="AK416">
        <f>IF($AG416=1,IFERROR(IF(VALUE($C416)&lt;100000000,VALUE($C416),1000000000),IFERROR(IF(VALUE(MID($C416,2,20))&lt;100000000,VALUE(MID($C416,2,20)),1000000000),1000000000))+ROW()/100000,"")</f>
        <v/>
      </c>
    </row>
    <row r="417">
      <c r="D417" s="11" t="n"/>
      <c r="K417" s="7">
        <f>IF($C417="","",J417*W417/100)</f>
        <v/>
      </c>
      <c r="Q417" s="7" t="n"/>
      <c r="R417" s="7" t="n"/>
      <c r="U417">
        <f>IF($C417="","",IF($AJ417=1,0,IF($AI417=1,Settings!$C$6,Settings!$C$7))*100)</f>
        <v/>
      </c>
      <c r="V417" s="7">
        <f>IF($C417="","",R417*U417/100)</f>
        <v/>
      </c>
      <c r="W417" s="7">
        <f>IF($C417="","",R417-V417)</f>
        <v/>
      </c>
      <c r="X417" s="7">
        <f>IF($C417="","",W417-K417)</f>
        <v/>
      </c>
      <c r="AB417" s="7" t="n"/>
      <c r="AE417" s="11" t="n"/>
      <c r="AG417">
        <f>IF($C417="","",IF(COUNTIF($C$2:$C417,$C417)=1,1,0))</f>
        <v/>
      </c>
      <c r="AH417">
        <f>IF($AG417=1,SUMPRODUCT(--($AK$2:$AK$6001&lt;$AK417))+1,"")</f>
        <v/>
      </c>
      <c r="AI417">
        <f>IF($C417="","",IF(OR($N417=TRUE(),$N417="TRUE"),1,0))</f>
        <v/>
      </c>
      <c r="AJ417">
        <f>IF($C417="","",IF($T417="Yes",1,0))</f>
        <v/>
      </c>
      <c r="AK417">
        <f>IF($AG417=1,IFERROR(IF(VALUE($C417)&lt;100000000,VALUE($C417),1000000000),IFERROR(IF(VALUE(MID($C417,2,20))&lt;100000000,VALUE(MID($C417,2,20)),1000000000),1000000000))+ROW()/100000,"")</f>
        <v/>
      </c>
    </row>
    <row r="418">
      <c r="D418" s="11" t="n"/>
      <c r="K418" s="7">
        <f>IF($C418="","",J418*W418/100)</f>
        <v/>
      </c>
      <c r="Q418" s="7" t="n"/>
      <c r="R418" s="7" t="n"/>
      <c r="U418">
        <f>IF($C418="","",IF($AJ418=1,0,IF($AI418=1,Settings!$C$6,Settings!$C$7))*100)</f>
        <v/>
      </c>
      <c r="V418" s="7">
        <f>IF($C418="","",R418*U418/100)</f>
        <v/>
      </c>
      <c r="W418" s="7">
        <f>IF($C418="","",R418-V418)</f>
        <v/>
      </c>
      <c r="X418" s="7">
        <f>IF($C418="","",W418-K418)</f>
        <v/>
      </c>
      <c r="AB418" s="7" t="n"/>
      <c r="AE418" s="11" t="n"/>
      <c r="AG418">
        <f>IF($C418="","",IF(COUNTIF($C$2:$C418,$C418)=1,1,0))</f>
        <v/>
      </c>
      <c r="AH418">
        <f>IF($AG418=1,SUMPRODUCT(--($AK$2:$AK$6001&lt;$AK418))+1,"")</f>
        <v/>
      </c>
      <c r="AI418">
        <f>IF($C418="","",IF(OR($N418=TRUE(),$N418="TRUE"),1,0))</f>
        <v/>
      </c>
      <c r="AJ418">
        <f>IF($C418="","",IF($T418="Yes",1,0))</f>
        <v/>
      </c>
      <c r="AK418">
        <f>IF($AG418=1,IFERROR(IF(VALUE($C418)&lt;100000000,VALUE($C418),1000000000),IFERROR(IF(VALUE(MID($C418,2,20))&lt;100000000,VALUE(MID($C418,2,20)),1000000000),1000000000))+ROW()/100000,"")</f>
        <v/>
      </c>
    </row>
    <row r="419">
      <c r="D419" s="11" t="n"/>
      <c r="K419" s="7">
        <f>IF($C419="","",J419*W419/100)</f>
        <v/>
      </c>
      <c r="Q419" s="7" t="n"/>
      <c r="R419" s="7" t="n"/>
      <c r="U419">
        <f>IF($C419="","",IF($AJ419=1,0,IF($AI419=1,Settings!$C$6,Settings!$C$7))*100)</f>
        <v/>
      </c>
      <c r="V419" s="7">
        <f>IF($C419="","",R419*U419/100)</f>
        <v/>
      </c>
      <c r="W419" s="7">
        <f>IF($C419="","",R419-V419)</f>
        <v/>
      </c>
      <c r="X419" s="7">
        <f>IF($C419="","",W419-K419)</f>
        <v/>
      </c>
      <c r="AB419" s="7" t="n"/>
      <c r="AE419" s="11" t="n"/>
      <c r="AG419">
        <f>IF($C419="","",IF(COUNTIF($C$2:$C419,$C419)=1,1,0))</f>
        <v/>
      </c>
      <c r="AH419">
        <f>IF($AG419=1,SUMPRODUCT(--($AK$2:$AK$6001&lt;$AK419))+1,"")</f>
        <v/>
      </c>
      <c r="AI419">
        <f>IF($C419="","",IF(OR($N419=TRUE(),$N419="TRUE"),1,0))</f>
        <v/>
      </c>
      <c r="AJ419">
        <f>IF($C419="","",IF($T419="Yes",1,0))</f>
        <v/>
      </c>
      <c r="AK419">
        <f>IF($AG419=1,IFERROR(IF(VALUE($C419)&lt;100000000,VALUE($C419),1000000000),IFERROR(IF(VALUE(MID($C419,2,20))&lt;100000000,VALUE(MID($C419,2,20)),1000000000),1000000000))+ROW()/100000,"")</f>
        <v/>
      </c>
    </row>
    <row r="420">
      <c r="D420" s="11" t="n"/>
      <c r="K420" s="7">
        <f>IF($C420="","",J420*W420/100)</f>
        <v/>
      </c>
      <c r="Q420" s="7" t="n"/>
      <c r="R420" s="7" t="n"/>
      <c r="U420">
        <f>IF($C420="","",IF($AJ420=1,0,IF($AI420=1,Settings!$C$6,Settings!$C$7))*100)</f>
        <v/>
      </c>
      <c r="V420" s="7">
        <f>IF($C420="","",R420*U420/100)</f>
        <v/>
      </c>
      <c r="W420" s="7">
        <f>IF($C420="","",R420-V420)</f>
        <v/>
      </c>
      <c r="X420" s="7">
        <f>IF($C420="","",W420-K420)</f>
        <v/>
      </c>
      <c r="AB420" s="7" t="n"/>
      <c r="AE420" s="11" t="n"/>
      <c r="AG420">
        <f>IF($C420="","",IF(COUNTIF($C$2:$C420,$C420)=1,1,0))</f>
        <v/>
      </c>
      <c r="AH420">
        <f>IF($AG420=1,SUMPRODUCT(--($AK$2:$AK$6001&lt;$AK420))+1,"")</f>
        <v/>
      </c>
      <c r="AI420">
        <f>IF($C420="","",IF(OR($N420=TRUE(),$N420="TRUE"),1,0))</f>
        <v/>
      </c>
      <c r="AJ420">
        <f>IF($C420="","",IF($T420="Yes",1,0))</f>
        <v/>
      </c>
      <c r="AK420">
        <f>IF($AG420=1,IFERROR(IF(VALUE($C420)&lt;100000000,VALUE($C420),1000000000),IFERROR(IF(VALUE(MID($C420,2,20))&lt;100000000,VALUE(MID($C420,2,20)),1000000000),1000000000))+ROW()/100000,"")</f>
        <v/>
      </c>
    </row>
    <row r="421">
      <c r="D421" s="11" t="n"/>
      <c r="K421" s="7">
        <f>IF($C421="","",J421*W421/100)</f>
        <v/>
      </c>
      <c r="Q421" s="7" t="n"/>
      <c r="R421" s="7" t="n"/>
      <c r="U421">
        <f>IF($C421="","",IF($AJ421=1,0,IF($AI421=1,Settings!$C$6,Settings!$C$7))*100)</f>
        <v/>
      </c>
      <c r="V421" s="7">
        <f>IF($C421="","",R421*U421/100)</f>
        <v/>
      </c>
      <c r="W421" s="7">
        <f>IF($C421="","",R421-V421)</f>
        <v/>
      </c>
      <c r="X421" s="7">
        <f>IF($C421="","",W421-K421)</f>
        <v/>
      </c>
      <c r="AB421" s="7" t="n"/>
      <c r="AE421" s="11" t="n"/>
      <c r="AG421">
        <f>IF($C421="","",IF(COUNTIF($C$2:$C421,$C421)=1,1,0))</f>
        <v/>
      </c>
      <c r="AH421">
        <f>IF($AG421=1,SUMPRODUCT(--($AK$2:$AK$6001&lt;$AK421))+1,"")</f>
        <v/>
      </c>
      <c r="AI421">
        <f>IF($C421="","",IF(OR($N421=TRUE(),$N421="TRUE"),1,0))</f>
        <v/>
      </c>
      <c r="AJ421">
        <f>IF($C421="","",IF($T421="Yes",1,0))</f>
        <v/>
      </c>
      <c r="AK421">
        <f>IF($AG421=1,IFERROR(IF(VALUE($C421)&lt;100000000,VALUE($C421),1000000000),IFERROR(IF(VALUE(MID($C421,2,20))&lt;100000000,VALUE(MID($C421,2,20)),1000000000),1000000000))+ROW()/100000,"")</f>
        <v/>
      </c>
    </row>
    <row r="422">
      <c r="D422" s="11" t="n"/>
      <c r="K422" s="7">
        <f>IF($C422="","",J422*W422/100)</f>
        <v/>
      </c>
      <c r="Q422" s="7" t="n"/>
      <c r="R422" s="7" t="n"/>
      <c r="U422">
        <f>IF($C422="","",IF($AJ422=1,0,IF($AI422=1,Settings!$C$6,Settings!$C$7))*100)</f>
        <v/>
      </c>
      <c r="V422" s="7">
        <f>IF($C422="","",R422*U422/100)</f>
        <v/>
      </c>
      <c r="W422" s="7">
        <f>IF($C422="","",R422-V422)</f>
        <v/>
      </c>
      <c r="X422" s="7">
        <f>IF($C422="","",W422-K422)</f>
        <v/>
      </c>
      <c r="AB422" s="7" t="n"/>
      <c r="AE422" s="11" t="n"/>
      <c r="AG422">
        <f>IF($C422="","",IF(COUNTIF($C$2:$C422,$C422)=1,1,0))</f>
        <v/>
      </c>
      <c r="AH422">
        <f>IF($AG422=1,SUMPRODUCT(--($AK$2:$AK$6001&lt;$AK422))+1,"")</f>
        <v/>
      </c>
      <c r="AI422">
        <f>IF($C422="","",IF(OR($N422=TRUE(),$N422="TRUE"),1,0))</f>
        <v/>
      </c>
      <c r="AJ422">
        <f>IF($C422="","",IF($T422="Yes",1,0))</f>
        <v/>
      </c>
      <c r="AK422">
        <f>IF($AG422=1,IFERROR(IF(VALUE($C422)&lt;100000000,VALUE($C422),1000000000),IFERROR(IF(VALUE(MID($C422,2,20))&lt;100000000,VALUE(MID($C422,2,20)),1000000000),1000000000))+ROW()/100000,"")</f>
        <v/>
      </c>
    </row>
    <row r="423">
      <c r="D423" s="11" t="n"/>
      <c r="K423" s="7">
        <f>IF($C423="","",J423*W423/100)</f>
        <v/>
      </c>
      <c r="Q423" s="7" t="n"/>
      <c r="R423" s="7" t="n"/>
      <c r="U423">
        <f>IF($C423="","",IF($AJ423=1,0,IF($AI423=1,Settings!$C$6,Settings!$C$7))*100)</f>
        <v/>
      </c>
      <c r="V423" s="7">
        <f>IF($C423="","",R423*U423/100)</f>
        <v/>
      </c>
      <c r="W423" s="7">
        <f>IF($C423="","",R423-V423)</f>
        <v/>
      </c>
      <c r="X423" s="7">
        <f>IF($C423="","",W423-K423)</f>
        <v/>
      </c>
      <c r="AB423" s="7" t="n"/>
      <c r="AE423" s="11" t="n"/>
      <c r="AG423">
        <f>IF($C423="","",IF(COUNTIF($C$2:$C423,$C423)=1,1,0))</f>
        <v/>
      </c>
      <c r="AH423">
        <f>IF($AG423=1,SUMPRODUCT(--($AK$2:$AK$6001&lt;$AK423))+1,"")</f>
        <v/>
      </c>
      <c r="AI423">
        <f>IF($C423="","",IF(OR($N423=TRUE(),$N423="TRUE"),1,0))</f>
        <v/>
      </c>
      <c r="AJ423">
        <f>IF($C423="","",IF($T423="Yes",1,0))</f>
        <v/>
      </c>
      <c r="AK423">
        <f>IF($AG423=1,IFERROR(IF(VALUE($C423)&lt;100000000,VALUE($C423),1000000000),IFERROR(IF(VALUE(MID($C423,2,20))&lt;100000000,VALUE(MID($C423,2,20)),1000000000),1000000000))+ROW()/100000,"")</f>
        <v/>
      </c>
    </row>
    <row r="424">
      <c r="D424" s="11" t="n"/>
      <c r="K424" s="7">
        <f>IF($C424="","",J424*W424/100)</f>
        <v/>
      </c>
      <c r="Q424" s="7" t="n"/>
      <c r="R424" s="7" t="n"/>
      <c r="U424">
        <f>IF($C424="","",IF($AJ424=1,0,IF($AI424=1,Settings!$C$6,Settings!$C$7))*100)</f>
        <v/>
      </c>
      <c r="V424" s="7">
        <f>IF($C424="","",R424*U424/100)</f>
        <v/>
      </c>
      <c r="W424" s="7">
        <f>IF($C424="","",R424-V424)</f>
        <v/>
      </c>
      <c r="X424" s="7">
        <f>IF($C424="","",W424-K424)</f>
        <v/>
      </c>
      <c r="AB424" s="7" t="n"/>
      <c r="AE424" s="11" t="n"/>
      <c r="AG424">
        <f>IF($C424="","",IF(COUNTIF($C$2:$C424,$C424)=1,1,0))</f>
        <v/>
      </c>
      <c r="AH424">
        <f>IF($AG424=1,SUMPRODUCT(--($AK$2:$AK$6001&lt;$AK424))+1,"")</f>
        <v/>
      </c>
      <c r="AI424">
        <f>IF($C424="","",IF(OR($N424=TRUE(),$N424="TRUE"),1,0))</f>
        <v/>
      </c>
      <c r="AJ424">
        <f>IF($C424="","",IF($T424="Yes",1,0))</f>
        <v/>
      </c>
      <c r="AK424">
        <f>IF($AG424=1,IFERROR(IF(VALUE($C424)&lt;100000000,VALUE($C424),1000000000),IFERROR(IF(VALUE(MID($C424,2,20))&lt;100000000,VALUE(MID($C424,2,20)),1000000000),1000000000))+ROW()/100000,"")</f>
        <v/>
      </c>
    </row>
    <row r="425">
      <c r="D425" s="11" t="n"/>
      <c r="K425" s="7">
        <f>IF($C425="","",J425*W425/100)</f>
        <v/>
      </c>
      <c r="Q425" s="7" t="n"/>
      <c r="R425" s="7" t="n"/>
      <c r="U425">
        <f>IF($C425="","",IF($AJ425=1,0,IF($AI425=1,Settings!$C$6,Settings!$C$7))*100)</f>
        <v/>
      </c>
      <c r="V425" s="7">
        <f>IF($C425="","",R425*U425/100)</f>
        <v/>
      </c>
      <c r="W425" s="7">
        <f>IF($C425="","",R425-V425)</f>
        <v/>
      </c>
      <c r="X425" s="7">
        <f>IF($C425="","",W425-K425)</f>
        <v/>
      </c>
      <c r="AB425" s="7" t="n"/>
      <c r="AE425" s="11" t="n"/>
      <c r="AG425">
        <f>IF($C425="","",IF(COUNTIF($C$2:$C425,$C425)=1,1,0))</f>
        <v/>
      </c>
      <c r="AH425">
        <f>IF($AG425=1,SUMPRODUCT(--($AK$2:$AK$6001&lt;$AK425))+1,"")</f>
        <v/>
      </c>
      <c r="AI425">
        <f>IF($C425="","",IF(OR($N425=TRUE(),$N425="TRUE"),1,0))</f>
        <v/>
      </c>
      <c r="AJ425">
        <f>IF($C425="","",IF($T425="Yes",1,0))</f>
        <v/>
      </c>
      <c r="AK425">
        <f>IF($AG425=1,IFERROR(IF(VALUE($C425)&lt;100000000,VALUE($C425),1000000000),IFERROR(IF(VALUE(MID($C425,2,20))&lt;100000000,VALUE(MID($C425,2,20)),1000000000),1000000000))+ROW()/100000,"")</f>
        <v/>
      </c>
    </row>
    <row r="426">
      <c r="D426" s="11" t="n"/>
      <c r="K426" s="7">
        <f>IF($C426="","",J426*W426/100)</f>
        <v/>
      </c>
      <c r="Q426" s="7" t="n"/>
      <c r="R426" s="7" t="n"/>
      <c r="U426">
        <f>IF($C426="","",IF($AJ426=1,0,IF($AI426=1,Settings!$C$6,Settings!$C$7))*100)</f>
        <v/>
      </c>
      <c r="V426" s="7">
        <f>IF($C426="","",R426*U426/100)</f>
        <v/>
      </c>
      <c r="W426" s="7">
        <f>IF($C426="","",R426-V426)</f>
        <v/>
      </c>
      <c r="X426" s="7">
        <f>IF($C426="","",W426-K426)</f>
        <v/>
      </c>
      <c r="AB426" s="7" t="n"/>
      <c r="AE426" s="11" t="n"/>
      <c r="AG426">
        <f>IF($C426="","",IF(COUNTIF($C$2:$C426,$C426)=1,1,0))</f>
        <v/>
      </c>
      <c r="AH426">
        <f>IF($AG426=1,SUMPRODUCT(--($AK$2:$AK$6001&lt;$AK426))+1,"")</f>
        <v/>
      </c>
      <c r="AI426">
        <f>IF($C426="","",IF(OR($N426=TRUE(),$N426="TRUE"),1,0))</f>
        <v/>
      </c>
      <c r="AJ426">
        <f>IF($C426="","",IF($T426="Yes",1,0))</f>
        <v/>
      </c>
      <c r="AK426">
        <f>IF($AG426=1,IFERROR(IF(VALUE($C426)&lt;100000000,VALUE($C426),1000000000),IFERROR(IF(VALUE(MID($C426,2,20))&lt;100000000,VALUE(MID($C426,2,20)),1000000000),1000000000))+ROW()/100000,"")</f>
        <v/>
      </c>
    </row>
    <row r="427">
      <c r="D427" s="11" t="n"/>
      <c r="K427" s="7">
        <f>IF($C427="","",J427*W427/100)</f>
        <v/>
      </c>
      <c r="Q427" s="7" t="n"/>
      <c r="R427" s="7" t="n"/>
      <c r="U427">
        <f>IF($C427="","",IF($AJ427=1,0,IF($AI427=1,Settings!$C$6,Settings!$C$7))*100)</f>
        <v/>
      </c>
      <c r="V427" s="7">
        <f>IF($C427="","",R427*U427/100)</f>
        <v/>
      </c>
      <c r="W427" s="7">
        <f>IF($C427="","",R427-V427)</f>
        <v/>
      </c>
      <c r="X427" s="7">
        <f>IF($C427="","",W427-K427)</f>
        <v/>
      </c>
      <c r="AB427" s="7" t="n"/>
      <c r="AE427" s="11" t="n"/>
      <c r="AG427">
        <f>IF($C427="","",IF(COUNTIF($C$2:$C427,$C427)=1,1,0))</f>
        <v/>
      </c>
      <c r="AH427">
        <f>IF($AG427=1,SUMPRODUCT(--($AK$2:$AK$6001&lt;$AK427))+1,"")</f>
        <v/>
      </c>
      <c r="AI427">
        <f>IF($C427="","",IF(OR($N427=TRUE(),$N427="TRUE"),1,0))</f>
        <v/>
      </c>
      <c r="AJ427">
        <f>IF($C427="","",IF($T427="Yes",1,0))</f>
        <v/>
      </c>
      <c r="AK427">
        <f>IF($AG427=1,IFERROR(IF(VALUE($C427)&lt;100000000,VALUE($C427),1000000000),IFERROR(IF(VALUE(MID($C427,2,20))&lt;100000000,VALUE(MID($C427,2,20)),1000000000),1000000000))+ROW()/100000,"")</f>
        <v/>
      </c>
    </row>
    <row r="428">
      <c r="D428" s="11" t="n"/>
      <c r="K428" s="7">
        <f>IF($C428="","",J428*W428/100)</f>
        <v/>
      </c>
      <c r="Q428" s="7" t="n"/>
      <c r="R428" s="7" t="n"/>
      <c r="U428">
        <f>IF($C428="","",IF($AJ428=1,0,IF($AI428=1,Settings!$C$6,Settings!$C$7))*100)</f>
        <v/>
      </c>
      <c r="V428" s="7">
        <f>IF($C428="","",R428*U428/100)</f>
        <v/>
      </c>
      <c r="W428" s="7">
        <f>IF($C428="","",R428-V428)</f>
        <v/>
      </c>
      <c r="X428" s="7">
        <f>IF($C428="","",W428-K428)</f>
        <v/>
      </c>
      <c r="AB428" s="7" t="n"/>
      <c r="AE428" s="11" t="n"/>
      <c r="AG428">
        <f>IF($C428="","",IF(COUNTIF($C$2:$C428,$C428)=1,1,0))</f>
        <v/>
      </c>
      <c r="AH428">
        <f>IF($AG428=1,SUMPRODUCT(--($AK$2:$AK$6001&lt;$AK428))+1,"")</f>
        <v/>
      </c>
      <c r="AI428">
        <f>IF($C428="","",IF(OR($N428=TRUE(),$N428="TRUE"),1,0))</f>
        <v/>
      </c>
      <c r="AJ428">
        <f>IF($C428="","",IF($T428="Yes",1,0))</f>
        <v/>
      </c>
      <c r="AK428">
        <f>IF($AG428=1,IFERROR(IF(VALUE($C428)&lt;100000000,VALUE($C428),1000000000),IFERROR(IF(VALUE(MID($C428,2,20))&lt;100000000,VALUE(MID($C428,2,20)),1000000000),1000000000))+ROW()/100000,"")</f>
        <v/>
      </c>
    </row>
    <row r="429">
      <c r="D429" s="11" t="n"/>
      <c r="K429" s="7">
        <f>IF($C429="","",J429*W429/100)</f>
        <v/>
      </c>
      <c r="Q429" s="7" t="n"/>
      <c r="R429" s="7" t="n"/>
      <c r="U429">
        <f>IF($C429="","",IF($AJ429=1,0,IF($AI429=1,Settings!$C$6,Settings!$C$7))*100)</f>
        <v/>
      </c>
      <c r="V429" s="7">
        <f>IF($C429="","",R429*U429/100)</f>
        <v/>
      </c>
      <c r="W429" s="7">
        <f>IF($C429="","",R429-V429)</f>
        <v/>
      </c>
      <c r="X429" s="7">
        <f>IF($C429="","",W429-K429)</f>
        <v/>
      </c>
      <c r="AB429" s="7" t="n"/>
      <c r="AE429" s="11" t="n"/>
      <c r="AG429">
        <f>IF($C429="","",IF(COUNTIF($C$2:$C429,$C429)=1,1,0))</f>
        <v/>
      </c>
      <c r="AH429">
        <f>IF($AG429=1,SUMPRODUCT(--($AK$2:$AK$6001&lt;$AK429))+1,"")</f>
        <v/>
      </c>
      <c r="AI429">
        <f>IF($C429="","",IF(OR($N429=TRUE(),$N429="TRUE"),1,0))</f>
        <v/>
      </c>
      <c r="AJ429">
        <f>IF($C429="","",IF($T429="Yes",1,0))</f>
        <v/>
      </c>
      <c r="AK429">
        <f>IF($AG429=1,IFERROR(IF(VALUE($C429)&lt;100000000,VALUE($C429),1000000000),IFERROR(IF(VALUE(MID($C429,2,20))&lt;100000000,VALUE(MID($C429,2,20)),1000000000),1000000000))+ROW()/100000,"")</f>
        <v/>
      </c>
    </row>
    <row r="430">
      <c r="D430" s="11" t="n"/>
      <c r="K430" s="7">
        <f>IF($C430="","",J430*W430/100)</f>
        <v/>
      </c>
      <c r="Q430" s="7" t="n"/>
      <c r="R430" s="7" t="n"/>
      <c r="U430">
        <f>IF($C430="","",IF($AJ430=1,0,IF($AI430=1,Settings!$C$6,Settings!$C$7))*100)</f>
        <v/>
      </c>
      <c r="V430" s="7">
        <f>IF($C430="","",R430*U430/100)</f>
        <v/>
      </c>
      <c r="W430" s="7">
        <f>IF($C430="","",R430-V430)</f>
        <v/>
      </c>
      <c r="X430" s="7">
        <f>IF($C430="","",W430-K430)</f>
        <v/>
      </c>
      <c r="AB430" s="7" t="n"/>
      <c r="AE430" s="11" t="n"/>
      <c r="AG430">
        <f>IF($C430="","",IF(COUNTIF($C$2:$C430,$C430)=1,1,0))</f>
        <v/>
      </c>
      <c r="AH430">
        <f>IF($AG430=1,SUMPRODUCT(--($AK$2:$AK$6001&lt;$AK430))+1,"")</f>
        <v/>
      </c>
      <c r="AI430">
        <f>IF($C430="","",IF(OR($N430=TRUE(),$N430="TRUE"),1,0))</f>
        <v/>
      </c>
      <c r="AJ430">
        <f>IF($C430="","",IF($T430="Yes",1,0))</f>
        <v/>
      </c>
      <c r="AK430">
        <f>IF($AG430=1,IFERROR(IF(VALUE($C430)&lt;100000000,VALUE($C430),1000000000),IFERROR(IF(VALUE(MID($C430,2,20))&lt;100000000,VALUE(MID($C430,2,20)),1000000000),1000000000))+ROW()/100000,"")</f>
        <v/>
      </c>
    </row>
    <row r="431">
      <c r="D431" s="11" t="n"/>
      <c r="K431" s="7">
        <f>IF($C431="","",J431*W431/100)</f>
        <v/>
      </c>
      <c r="Q431" s="7" t="n"/>
      <c r="R431" s="7" t="n"/>
      <c r="U431">
        <f>IF($C431="","",IF($AJ431=1,0,IF($AI431=1,Settings!$C$6,Settings!$C$7))*100)</f>
        <v/>
      </c>
      <c r="V431" s="7">
        <f>IF($C431="","",R431*U431/100)</f>
        <v/>
      </c>
      <c r="W431" s="7">
        <f>IF($C431="","",R431-V431)</f>
        <v/>
      </c>
      <c r="X431" s="7">
        <f>IF($C431="","",W431-K431)</f>
        <v/>
      </c>
      <c r="AB431" s="7" t="n"/>
      <c r="AE431" s="11" t="n"/>
      <c r="AG431">
        <f>IF($C431="","",IF(COUNTIF($C$2:$C431,$C431)=1,1,0))</f>
        <v/>
      </c>
      <c r="AH431">
        <f>IF($AG431=1,SUMPRODUCT(--($AK$2:$AK$6001&lt;$AK431))+1,"")</f>
        <v/>
      </c>
      <c r="AI431">
        <f>IF($C431="","",IF(OR($N431=TRUE(),$N431="TRUE"),1,0))</f>
        <v/>
      </c>
      <c r="AJ431">
        <f>IF($C431="","",IF($T431="Yes",1,0))</f>
        <v/>
      </c>
      <c r="AK431">
        <f>IF($AG431=1,IFERROR(IF(VALUE($C431)&lt;100000000,VALUE($C431),1000000000),IFERROR(IF(VALUE(MID($C431,2,20))&lt;100000000,VALUE(MID($C431,2,20)),1000000000),1000000000))+ROW()/100000,"")</f>
        <v/>
      </c>
    </row>
    <row r="432">
      <c r="D432" s="11" t="n"/>
      <c r="K432" s="7">
        <f>IF($C432="","",J432*W432/100)</f>
        <v/>
      </c>
      <c r="Q432" s="7" t="n"/>
      <c r="R432" s="7" t="n"/>
      <c r="U432">
        <f>IF($C432="","",IF($AJ432=1,0,IF($AI432=1,Settings!$C$6,Settings!$C$7))*100)</f>
        <v/>
      </c>
      <c r="V432" s="7">
        <f>IF($C432="","",R432*U432/100)</f>
        <v/>
      </c>
      <c r="W432" s="7">
        <f>IF($C432="","",R432-V432)</f>
        <v/>
      </c>
      <c r="X432" s="7">
        <f>IF($C432="","",W432-K432)</f>
        <v/>
      </c>
      <c r="AB432" s="7" t="n"/>
      <c r="AE432" s="11" t="n"/>
      <c r="AG432">
        <f>IF($C432="","",IF(COUNTIF($C$2:$C432,$C432)=1,1,0))</f>
        <v/>
      </c>
      <c r="AH432">
        <f>IF($AG432=1,SUMPRODUCT(--($AK$2:$AK$6001&lt;$AK432))+1,"")</f>
        <v/>
      </c>
      <c r="AI432">
        <f>IF($C432="","",IF(OR($N432=TRUE(),$N432="TRUE"),1,0))</f>
        <v/>
      </c>
      <c r="AJ432">
        <f>IF($C432="","",IF($T432="Yes",1,0))</f>
        <v/>
      </c>
      <c r="AK432">
        <f>IF($AG432=1,IFERROR(IF(VALUE($C432)&lt;100000000,VALUE($C432),1000000000),IFERROR(IF(VALUE(MID($C432,2,20))&lt;100000000,VALUE(MID($C432,2,20)),1000000000),1000000000))+ROW()/100000,"")</f>
        <v/>
      </c>
    </row>
    <row r="433">
      <c r="D433" s="11" t="n"/>
      <c r="K433" s="7">
        <f>IF($C433="","",J433*W433/100)</f>
        <v/>
      </c>
      <c r="Q433" s="7" t="n"/>
      <c r="R433" s="7" t="n"/>
      <c r="U433">
        <f>IF($C433="","",IF($AJ433=1,0,IF($AI433=1,Settings!$C$6,Settings!$C$7))*100)</f>
        <v/>
      </c>
      <c r="V433" s="7">
        <f>IF($C433="","",R433*U433/100)</f>
        <v/>
      </c>
      <c r="W433" s="7">
        <f>IF($C433="","",R433-V433)</f>
        <v/>
      </c>
      <c r="X433" s="7">
        <f>IF($C433="","",W433-K433)</f>
        <v/>
      </c>
      <c r="AB433" s="7" t="n"/>
      <c r="AE433" s="11" t="n"/>
      <c r="AG433">
        <f>IF($C433="","",IF(COUNTIF($C$2:$C433,$C433)=1,1,0))</f>
        <v/>
      </c>
      <c r="AH433">
        <f>IF($AG433=1,SUMPRODUCT(--($AK$2:$AK$6001&lt;$AK433))+1,"")</f>
        <v/>
      </c>
      <c r="AI433">
        <f>IF($C433="","",IF(OR($N433=TRUE(),$N433="TRUE"),1,0))</f>
        <v/>
      </c>
      <c r="AJ433">
        <f>IF($C433="","",IF($T433="Yes",1,0))</f>
        <v/>
      </c>
      <c r="AK433">
        <f>IF($AG433=1,IFERROR(IF(VALUE($C433)&lt;100000000,VALUE($C433),1000000000),IFERROR(IF(VALUE(MID($C433,2,20))&lt;100000000,VALUE(MID($C433,2,20)),1000000000),1000000000))+ROW()/100000,"")</f>
        <v/>
      </c>
    </row>
    <row r="434">
      <c r="D434" s="11" t="n"/>
      <c r="K434" s="7">
        <f>IF($C434="","",J434*W434/100)</f>
        <v/>
      </c>
      <c r="Q434" s="7" t="n"/>
      <c r="R434" s="7" t="n"/>
      <c r="U434">
        <f>IF($C434="","",IF($AJ434=1,0,IF($AI434=1,Settings!$C$6,Settings!$C$7))*100)</f>
        <v/>
      </c>
      <c r="V434" s="7">
        <f>IF($C434="","",R434*U434/100)</f>
        <v/>
      </c>
      <c r="W434" s="7">
        <f>IF($C434="","",R434-V434)</f>
        <v/>
      </c>
      <c r="X434" s="7">
        <f>IF($C434="","",W434-K434)</f>
        <v/>
      </c>
      <c r="AB434" s="7" t="n"/>
      <c r="AE434" s="11" t="n"/>
      <c r="AG434">
        <f>IF($C434="","",IF(COUNTIF($C$2:$C434,$C434)=1,1,0))</f>
        <v/>
      </c>
      <c r="AH434">
        <f>IF($AG434=1,SUMPRODUCT(--($AK$2:$AK$6001&lt;$AK434))+1,"")</f>
        <v/>
      </c>
      <c r="AI434">
        <f>IF($C434="","",IF(OR($N434=TRUE(),$N434="TRUE"),1,0))</f>
        <v/>
      </c>
      <c r="AJ434">
        <f>IF($C434="","",IF($T434="Yes",1,0))</f>
        <v/>
      </c>
      <c r="AK434">
        <f>IF($AG434=1,IFERROR(IF(VALUE($C434)&lt;100000000,VALUE($C434),1000000000),IFERROR(IF(VALUE(MID($C434,2,20))&lt;100000000,VALUE(MID($C434,2,20)),1000000000),1000000000))+ROW()/100000,"")</f>
        <v/>
      </c>
    </row>
    <row r="435">
      <c r="D435" s="11" t="n"/>
      <c r="K435" s="7">
        <f>IF($C435="","",J435*W435/100)</f>
        <v/>
      </c>
      <c r="Q435" s="7" t="n"/>
      <c r="R435" s="7" t="n"/>
      <c r="U435">
        <f>IF($C435="","",IF($AJ435=1,0,IF($AI435=1,Settings!$C$6,Settings!$C$7))*100)</f>
        <v/>
      </c>
      <c r="V435" s="7">
        <f>IF($C435="","",R435*U435/100)</f>
        <v/>
      </c>
      <c r="W435" s="7">
        <f>IF($C435="","",R435-V435)</f>
        <v/>
      </c>
      <c r="X435" s="7">
        <f>IF($C435="","",W435-K435)</f>
        <v/>
      </c>
      <c r="AB435" s="7" t="n"/>
      <c r="AE435" s="11" t="n"/>
      <c r="AG435">
        <f>IF($C435="","",IF(COUNTIF($C$2:$C435,$C435)=1,1,0))</f>
        <v/>
      </c>
      <c r="AH435">
        <f>IF($AG435=1,SUMPRODUCT(--($AK$2:$AK$6001&lt;$AK435))+1,"")</f>
        <v/>
      </c>
      <c r="AI435">
        <f>IF($C435="","",IF(OR($N435=TRUE(),$N435="TRUE"),1,0))</f>
        <v/>
      </c>
      <c r="AJ435">
        <f>IF($C435="","",IF($T435="Yes",1,0))</f>
        <v/>
      </c>
      <c r="AK435">
        <f>IF($AG435=1,IFERROR(IF(VALUE($C435)&lt;100000000,VALUE($C435),1000000000),IFERROR(IF(VALUE(MID($C435,2,20))&lt;100000000,VALUE(MID($C435,2,20)),1000000000),1000000000))+ROW()/100000,"")</f>
        <v/>
      </c>
    </row>
    <row r="436">
      <c r="D436" s="11" t="n"/>
      <c r="K436" s="7">
        <f>IF($C436="","",J436*W436/100)</f>
        <v/>
      </c>
      <c r="Q436" s="7" t="n"/>
      <c r="R436" s="7" t="n"/>
      <c r="U436">
        <f>IF($C436="","",IF($AJ436=1,0,IF($AI436=1,Settings!$C$6,Settings!$C$7))*100)</f>
        <v/>
      </c>
      <c r="V436" s="7">
        <f>IF($C436="","",R436*U436/100)</f>
        <v/>
      </c>
      <c r="W436" s="7">
        <f>IF($C436="","",R436-V436)</f>
        <v/>
      </c>
      <c r="X436" s="7">
        <f>IF($C436="","",W436-K436)</f>
        <v/>
      </c>
      <c r="AB436" s="7" t="n"/>
      <c r="AE436" s="11" t="n"/>
      <c r="AG436">
        <f>IF($C436="","",IF(COUNTIF($C$2:$C436,$C436)=1,1,0))</f>
        <v/>
      </c>
      <c r="AH436">
        <f>IF($AG436=1,SUMPRODUCT(--($AK$2:$AK$6001&lt;$AK436))+1,"")</f>
        <v/>
      </c>
      <c r="AI436">
        <f>IF($C436="","",IF(OR($N436=TRUE(),$N436="TRUE"),1,0))</f>
        <v/>
      </c>
      <c r="AJ436">
        <f>IF($C436="","",IF($T436="Yes",1,0))</f>
        <v/>
      </c>
      <c r="AK436">
        <f>IF($AG436=1,IFERROR(IF(VALUE($C436)&lt;100000000,VALUE($C436),1000000000),IFERROR(IF(VALUE(MID($C436,2,20))&lt;100000000,VALUE(MID($C436,2,20)),1000000000),1000000000))+ROW()/100000,"")</f>
        <v/>
      </c>
    </row>
    <row r="437">
      <c r="D437" s="11" t="n"/>
      <c r="K437" s="7">
        <f>IF($C437="","",J437*W437/100)</f>
        <v/>
      </c>
      <c r="Q437" s="7" t="n"/>
      <c r="R437" s="7" t="n"/>
      <c r="U437">
        <f>IF($C437="","",IF($AJ437=1,0,IF($AI437=1,Settings!$C$6,Settings!$C$7))*100)</f>
        <v/>
      </c>
      <c r="V437" s="7">
        <f>IF($C437="","",R437*U437/100)</f>
        <v/>
      </c>
      <c r="W437" s="7">
        <f>IF($C437="","",R437-V437)</f>
        <v/>
      </c>
      <c r="X437" s="7">
        <f>IF($C437="","",W437-K437)</f>
        <v/>
      </c>
      <c r="AB437" s="7" t="n"/>
      <c r="AE437" s="11" t="n"/>
      <c r="AG437">
        <f>IF($C437="","",IF(COUNTIF($C$2:$C437,$C437)=1,1,0))</f>
        <v/>
      </c>
      <c r="AH437">
        <f>IF($AG437=1,SUMPRODUCT(--($AK$2:$AK$6001&lt;$AK437))+1,"")</f>
        <v/>
      </c>
      <c r="AI437">
        <f>IF($C437="","",IF(OR($N437=TRUE(),$N437="TRUE"),1,0))</f>
        <v/>
      </c>
      <c r="AJ437">
        <f>IF($C437="","",IF($T437="Yes",1,0))</f>
        <v/>
      </c>
      <c r="AK437">
        <f>IF($AG437=1,IFERROR(IF(VALUE($C437)&lt;100000000,VALUE($C437),1000000000),IFERROR(IF(VALUE(MID($C437,2,20))&lt;100000000,VALUE(MID($C437,2,20)),1000000000),1000000000))+ROW()/100000,"")</f>
        <v/>
      </c>
    </row>
    <row r="438">
      <c r="D438" s="11" t="n"/>
      <c r="K438" s="7">
        <f>IF($C438="","",J438*W438/100)</f>
        <v/>
      </c>
      <c r="Q438" s="7" t="n"/>
      <c r="R438" s="7" t="n"/>
      <c r="U438">
        <f>IF($C438="","",IF($AJ438=1,0,IF($AI438=1,Settings!$C$6,Settings!$C$7))*100)</f>
        <v/>
      </c>
      <c r="V438" s="7">
        <f>IF($C438="","",R438*U438/100)</f>
        <v/>
      </c>
      <c r="W438" s="7">
        <f>IF($C438="","",R438-V438)</f>
        <v/>
      </c>
      <c r="X438" s="7">
        <f>IF($C438="","",W438-K438)</f>
        <v/>
      </c>
      <c r="AB438" s="7" t="n"/>
      <c r="AE438" s="11" t="n"/>
      <c r="AG438">
        <f>IF($C438="","",IF(COUNTIF($C$2:$C438,$C438)=1,1,0))</f>
        <v/>
      </c>
      <c r="AH438">
        <f>IF($AG438=1,SUMPRODUCT(--($AK$2:$AK$6001&lt;$AK438))+1,"")</f>
        <v/>
      </c>
      <c r="AI438">
        <f>IF($C438="","",IF(OR($N438=TRUE(),$N438="TRUE"),1,0))</f>
        <v/>
      </c>
      <c r="AJ438">
        <f>IF($C438="","",IF($T438="Yes",1,0))</f>
        <v/>
      </c>
      <c r="AK438">
        <f>IF($AG438=1,IFERROR(IF(VALUE($C438)&lt;100000000,VALUE($C438),1000000000),IFERROR(IF(VALUE(MID($C438,2,20))&lt;100000000,VALUE(MID($C438,2,20)),1000000000),1000000000))+ROW()/100000,"")</f>
        <v/>
      </c>
    </row>
    <row r="439">
      <c r="D439" s="11" t="n"/>
      <c r="K439" s="7">
        <f>IF($C439="","",J439*W439/100)</f>
        <v/>
      </c>
      <c r="Q439" s="7" t="n"/>
      <c r="R439" s="7" t="n"/>
      <c r="U439">
        <f>IF($C439="","",IF($AJ439=1,0,IF($AI439=1,Settings!$C$6,Settings!$C$7))*100)</f>
        <v/>
      </c>
      <c r="V439" s="7">
        <f>IF($C439="","",R439*U439/100)</f>
        <v/>
      </c>
      <c r="W439" s="7">
        <f>IF($C439="","",R439-V439)</f>
        <v/>
      </c>
      <c r="X439" s="7">
        <f>IF($C439="","",W439-K439)</f>
        <v/>
      </c>
      <c r="AB439" s="7" t="n"/>
      <c r="AE439" s="11" t="n"/>
      <c r="AG439">
        <f>IF($C439="","",IF(COUNTIF($C$2:$C439,$C439)=1,1,0))</f>
        <v/>
      </c>
      <c r="AH439">
        <f>IF($AG439=1,SUMPRODUCT(--($AK$2:$AK$6001&lt;$AK439))+1,"")</f>
        <v/>
      </c>
      <c r="AI439">
        <f>IF($C439="","",IF(OR($N439=TRUE(),$N439="TRUE"),1,0))</f>
        <v/>
      </c>
      <c r="AJ439">
        <f>IF($C439="","",IF($T439="Yes",1,0))</f>
        <v/>
      </c>
      <c r="AK439">
        <f>IF($AG439=1,IFERROR(IF(VALUE($C439)&lt;100000000,VALUE($C439),1000000000),IFERROR(IF(VALUE(MID($C439,2,20))&lt;100000000,VALUE(MID($C439,2,20)),1000000000),1000000000))+ROW()/100000,"")</f>
        <v/>
      </c>
    </row>
    <row r="440">
      <c r="D440" s="11" t="n"/>
      <c r="K440" s="7">
        <f>IF($C440="","",J440*W440/100)</f>
        <v/>
      </c>
      <c r="Q440" s="7" t="n"/>
      <c r="R440" s="7" t="n"/>
      <c r="U440">
        <f>IF($C440="","",IF($AJ440=1,0,IF($AI440=1,Settings!$C$6,Settings!$C$7))*100)</f>
        <v/>
      </c>
      <c r="V440" s="7">
        <f>IF($C440="","",R440*U440/100)</f>
        <v/>
      </c>
      <c r="W440" s="7">
        <f>IF($C440="","",R440-V440)</f>
        <v/>
      </c>
      <c r="X440" s="7">
        <f>IF($C440="","",W440-K440)</f>
        <v/>
      </c>
      <c r="AB440" s="7" t="n"/>
      <c r="AE440" s="11" t="n"/>
      <c r="AG440">
        <f>IF($C440="","",IF(COUNTIF($C$2:$C440,$C440)=1,1,0))</f>
        <v/>
      </c>
      <c r="AH440">
        <f>IF($AG440=1,SUMPRODUCT(--($AK$2:$AK$6001&lt;$AK440))+1,"")</f>
        <v/>
      </c>
      <c r="AI440">
        <f>IF($C440="","",IF(OR($N440=TRUE(),$N440="TRUE"),1,0))</f>
        <v/>
      </c>
      <c r="AJ440">
        <f>IF($C440="","",IF($T440="Yes",1,0))</f>
        <v/>
      </c>
      <c r="AK440">
        <f>IF($AG440=1,IFERROR(IF(VALUE($C440)&lt;100000000,VALUE($C440),1000000000),IFERROR(IF(VALUE(MID($C440,2,20))&lt;100000000,VALUE(MID($C440,2,20)),1000000000),1000000000))+ROW()/100000,"")</f>
        <v/>
      </c>
    </row>
    <row r="441">
      <c r="D441" s="11" t="n"/>
      <c r="K441" s="7">
        <f>IF($C441="","",J441*W441/100)</f>
        <v/>
      </c>
      <c r="Q441" s="7" t="n"/>
      <c r="R441" s="7" t="n"/>
      <c r="U441">
        <f>IF($C441="","",IF($AJ441=1,0,IF($AI441=1,Settings!$C$6,Settings!$C$7))*100)</f>
        <v/>
      </c>
      <c r="V441" s="7">
        <f>IF($C441="","",R441*U441/100)</f>
        <v/>
      </c>
      <c r="W441" s="7">
        <f>IF($C441="","",R441-V441)</f>
        <v/>
      </c>
      <c r="X441" s="7">
        <f>IF($C441="","",W441-K441)</f>
        <v/>
      </c>
      <c r="AB441" s="7" t="n"/>
      <c r="AE441" s="11" t="n"/>
      <c r="AG441">
        <f>IF($C441="","",IF(COUNTIF($C$2:$C441,$C441)=1,1,0))</f>
        <v/>
      </c>
      <c r="AH441">
        <f>IF($AG441=1,SUMPRODUCT(--($AK$2:$AK$6001&lt;$AK441))+1,"")</f>
        <v/>
      </c>
      <c r="AI441">
        <f>IF($C441="","",IF(OR($N441=TRUE(),$N441="TRUE"),1,0))</f>
        <v/>
      </c>
      <c r="AJ441">
        <f>IF($C441="","",IF($T441="Yes",1,0))</f>
        <v/>
      </c>
      <c r="AK441">
        <f>IF($AG441=1,IFERROR(IF(VALUE($C441)&lt;100000000,VALUE($C441),1000000000),IFERROR(IF(VALUE(MID($C441,2,20))&lt;100000000,VALUE(MID($C441,2,20)),1000000000),1000000000))+ROW()/100000,"")</f>
        <v/>
      </c>
    </row>
    <row r="442">
      <c r="D442" s="11" t="n"/>
      <c r="K442" s="7">
        <f>IF($C442="","",J442*W442/100)</f>
        <v/>
      </c>
      <c r="Q442" s="7" t="n"/>
      <c r="R442" s="7" t="n"/>
      <c r="U442">
        <f>IF($C442="","",IF($AJ442=1,0,IF($AI442=1,Settings!$C$6,Settings!$C$7))*100)</f>
        <v/>
      </c>
      <c r="V442" s="7">
        <f>IF($C442="","",R442*U442/100)</f>
        <v/>
      </c>
      <c r="W442" s="7">
        <f>IF($C442="","",R442-V442)</f>
        <v/>
      </c>
      <c r="X442" s="7">
        <f>IF($C442="","",W442-K442)</f>
        <v/>
      </c>
      <c r="AB442" s="7" t="n"/>
      <c r="AE442" s="11" t="n"/>
      <c r="AG442">
        <f>IF($C442="","",IF(COUNTIF($C$2:$C442,$C442)=1,1,0))</f>
        <v/>
      </c>
      <c r="AH442">
        <f>IF($AG442=1,SUMPRODUCT(--($AK$2:$AK$6001&lt;$AK442))+1,"")</f>
        <v/>
      </c>
      <c r="AI442">
        <f>IF($C442="","",IF(OR($N442=TRUE(),$N442="TRUE"),1,0))</f>
        <v/>
      </c>
      <c r="AJ442">
        <f>IF($C442="","",IF($T442="Yes",1,0))</f>
        <v/>
      </c>
      <c r="AK442">
        <f>IF($AG442=1,IFERROR(IF(VALUE($C442)&lt;100000000,VALUE($C442),1000000000),IFERROR(IF(VALUE(MID($C442,2,20))&lt;100000000,VALUE(MID($C442,2,20)),1000000000),1000000000))+ROW()/100000,"")</f>
        <v/>
      </c>
    </row>
    <row r="443">
      <c r="D443" s="11" t="n"/>
      <c r="K443" s="7">
        <f>IF($C443="","",J443*W443/100)</f>
        <v/>
      </c>
      <c r="Q443" s="7" t="n"/>
      <c r="R443" s="7" t="n"/>
      <c r="U443">
        <f>IF($C443="","",IF($AJ443=1,0,IF($AI443=1,Settings!$C$6,Settings!$C$7))*100)</f>
        <v/>
      </c>
      <c r="V443" s="7">
        <f>IF($C443="","",R443*U443/100)</f>
        <v/>
      </c>
      <c r="W443" s="7">
        <f>IF($C443="","",R443-V443)</f>
        <v/>
      </c>
      <c r="X443" s="7">
        <f>IF($C443="","",W443-K443)</f>
        <v/>
      </c>
      <c r="AB443" s="7" t="n"/>
      <c r="AE443" s="11" t="n"/>
      <c r="AG443">
        <f>IF($C443="","",IF(COUNTIF($C$2:$C443,$C443)=1,1,0))</f>
        <v/>
      </c>
      <c r="AH443">
        <f>IF($AG443=1,SUMPRODUCT(--($AK$2:$AK$6001&lt;$AK443))+1,"")</f>
        <v/>
      </c>
      <c r="AI443">
        <f>IF($C443="","",IF(OR($N443=TRUE(),$N443="TRUE"),1,0))</f>
        <v/>
      </c>
      <c r="AJ443">
        <f>IF($C443="","",IF($T443="Yes",1,0))</f>
        <v/>
      </c>
      <c r="AK443">
        <f>IF($AG443=1,IFERROR(IF(VALUE($C443)&lt;100000000,VALUE($C443),1000000000),IFERROR(IF(VALUE(MID($C443,2,20))&lt;100000000,VALUE(MID($C443,2,20)),1000000000),1000000000))+ROW()/100000,"")</f>
        <v/>
      </c>
    </row>
    <row r="444">
      <c r="D444" s="11" t="n"/>
      <c r="K444" s="7">
        <f>IF($C444="","",J444*W444/100)</f>
        <v/>
      </c>
      <c r="Q444" s="7" t="n"/>
      <c r="R444" s="7" t="n"/>
      <c r="U444">
        <f>IF($C444="","",IF($AJ444=1,0,IF($AI444=1,Settings!$C$6,Settings!$C$7))*100)</f>
        <v/>
      </c>
      <c r="V444" s="7">
        <f>IF($C444="","",R444*U444/100)</f>
        <v/>
      </c>
      <c r="W444" s="7">
        <f>IF($C444="","",R444-V444)</f>
        <v/>
      </c>
      <c r="X444" s="7">
        <f>IF($C444="","",W444-K444)</f>
        <v/>
      </c>
      <c r="AB444" s="7" t="n"/>
      <c r="AE444" s="11" t="n"/>
      <c r="AG444">
        <f>IF($C444="","",IF(COUNTIF($C$2:$C444,$C444)=1,1,0))</f>
        <v/>
      </c>
      <c r="AH444">
        <f>IF($AG444=1,SUMPRODUCT(--($AK$2:$AK$6001&lt;$AK444))+1,"")</f>
        <v/>
      </c>
      <c r="AI444">
        <f>IF($C444="","",IF(OR($N444=TRUE(),$N444="TRUE"),1,0))</f>
        <v/>
      </c>
      <c r="AJ444">
        <f>IF($C444="","",IF($T444="Yes",1,0))</f>
        <v/>
      </c>
      <c r="AK444">
        <f>IF($AG444=1,IFERROR(IF(VALUE($C444)&lt;100000000,VALUE($C444),1000000000),IFERROR(IF(VALUE(MID($C444,2,20))&lt;100000000,VALUE(MID($C444,2,20)),1000000000),1000000000))+ROW()/100000,"")</f>
        <v/>
      </c>
    </row>
    <row r="445">
      <c r="D445" s="11" t="n"/>
      <c r="K445" s="7">
        <f>IF($C445="","",J445*W445/100)</f>
        <v/>
      </c>
      <c r="Q445" s="7" t="n"/>
      <c r="R445" s="7" t="n"/>
      <c r="U445">
        <f>IF($C445="","",IF($AJ445=1,0,IF($AI445=1,Settings!$C$6,Settings!$C$7))*100)</f>
        <v/>
      </c>
      <c r="V445" s="7">
        <f>IF($C445="","",R445*U445/100)</f>
        <v/>
      </c>
      <c r="W445" s="7">
        <f>IF($C445="","",R445-V445)</f>
        <v/>
      </c>
      <c r="X445" s="7">
        <f>IF($C445="","",W445-K445)</f>
        <v/>
      </c>
      <c r="AB445" s="7" t="n"/>
      <c r="AE445" s="11" t="n"/>
      <c r="AG445">
        <f>IF($C445="","",IF(COUNTIF($C$2:$C445,$C445)=1,1,0))</f>
        <v/>
      </c>
      <c r="AH445">
        <f>IF($AG445=1,SUMPRODUCT(--($AK$2:$AK$6001&lt;$AK445))+1,"")</f>
        <v/>
      </c>
      <c r="AI445">
        <f>IF($C445="","",IF(OR($N445=TRUE(),$N445="TRUE"),1,0))</f>
        <v/>
      </c>
      <c r="AJ445">
        <f>IF($C445="","",IF($T445="Yes",1,0))</f>
        <v/>
      </c>
      <c r="AK445">
        <f>IF($AG445=1,IFERROR(IF(VALUE($C445)&lt;100000000,VALUE($C445),1000000000),IFERROR(IF(VALUE(MID($C445,2,20))&lt;100000000,VALUE(MID($C445,2,20)),1000000000),1000000000))+ROW()/100000,"")</f>
        <v/>
      </c>
    </row>
    <row r="446">
      <c r="D446" s="11" t="n"/>
      <c r="K446" s="7">
        <f>IF($C446="","",J446*W446/100)</f>
        <v/>
      </c>
      <c r="Q446" s="7" t="n"/>
      <c r="R446" s="7" t="n"/>
      <c r="U446">
        <f>IF($C446="","",IF($AJ446=1,0,IF($AI446=1,Settings!$C$6,Settings!$C$7))*100)</f>
        <v/>
      </c>
      <c r="V446" s="7">
        <f>IF($C446="","",R446*U446/100)</f>
        <v/>
      </c>
      <c r="W446" s="7">
        <f>IF($C446="","",R446-V446)</f>
        <v/>
      </c>
      <c r="X446" s="7">
        <f>IF($C446="","",W446-K446)</f>
        <v/>
      </c>
      <c r="AB446" s="7" t="n"/>
      <c r="AE446" s="11" t="n"/>
      <c r="AG446">
        <f>IF($C446="","",IF(COUNTIF($C$2:$C446,$C446)=1,1,0))</f>
        <v/>
      </c>
      <c r="AH446">
        <f>IF($AG446=1,SUMPRODUCT(--($AK$2:$AK$6001&lt;$AK446))+1,"")</f>
        <v/>
      </c>
      <c r="AI446">
        <f>IF($C446="","",IF(OR($N446=TRUE(),$N446="TRUE"),1,0))</f>
        <v/>
      </c>
      <c r="AJ446">
        <f>IF($C446="","",IF($T446="Yes",1,0))</f>
        <v/>
      </c>
      <c r="AK446">
        <f>IF($AG446=1,IFERROR(IF(VALUE($C446)&lt;100000000,VALUE($C446),1000000000),IFERROR(IF(VALUE(MID($C446,2,20))&lt;100000000,VALUE(MID($C446,2,20)),1000000000),1000000000))+ROW()/100000,"")</f>
        <v/>
      </c>
    </row>
    <row r="447">
      <c r="D447" s="11" t="n"/>
      <c r="K447" s="7">
        <f>IF($C447="","",J447*W447/100)</f>
        <v/>
      </c>
      <c r="Q447" s="7" t="n"/>
      <c r="R447" s="7" t="n"/>
      <c r="U447">
        <f>IF($C447="","",IF($AJ447=1,0,IF($AI447=1,Settings!$C$6,Settings!$C$7))*100)</f>
        <v/>
      </c>
      <c r="V447" s="7">
        <f>IF($C447="","",R447*U447/100)</f>
        <v/>
      </c>
      <c r="W447" s="7">
        <f>IF($C447="","",R447-V447)</f>
        <v/>
      </c>
      <c r="X447" s="7">
        <f>IF($C447="","",W447-K447)</f>
        <v/>
      </c>
      <c r="AB447" s="7" t="n"/>
      <c r="AE447" s="11" t="n"/>
      <c r="AG447">
        <f>IF($C447="","",IF(COUNTIF($C$2:$C447,$C447)=1,1,0))</f>
        <v/>
      </c>
      <c r="AH447">
        <f>IF($AG447=1,SUMPRODUCT(--($AK$2:$AK$6001&lt;$AK447))+1,"")</f>
        <v/>
      </c>
      <c r="AI447">
        <f>IF($C447="","",IF(OR($N447=TRUE(),$N447="TRUE"),1,0))</f>
        <v/>
      </c>
      <c r="AJ447">
        <f>IF($C447="","",IF($T447="Yes",1,0))</f>
        <v/>
      </c>
      <c r="AK447">
        <f>IF($AG447=1,IFERROR(IF(VALUE($C447)&lt;100000000,VALUE($C447),1000000000),IFERROR(IF(VALUE(MID($C447,2,20))&lt;100000000,VALUE(MID($C447,2,20)),1000000000),1000000000))+ROW()/100000,"")</f>
        <v/>
      </c>
    </row>
    <row r="448">
      <c r="D448" s="11" t="n"/>
      <c r="K448" s="7">
        <f>IF($C448="","",J448*W448/100)</f>
        <v/>
      </c>
      <c r="Q448" s="7" t="n"/>
      <c r="R448" s="7" t="n"/>
      <c r="U448">
        <f>IF($C448="","",IF($AJ448=1,0,IF($AI448=1,Settings!$C$6,Settings!$C$7))*100)</f>
        <v/>
      </c>
      <c r="V448" s="7">
        <f>IF($C448="","",R448*U448/100)</f>
        <v/>
      </c>
      <c r="W448" s="7">
        <f>IF($C448="","",R448-V448)</f>
        <v/>
      </c>
      <c r="X448" s="7">
        <f>IF($C448="","",W448-K448)</f>
        <v/>
      </c>
      <c r="AB448" s="7" t="n"/>
      <c r="AE448" s="11" t="n"/>
      <c r="AG448">
        <f>IF($C448="","",IF(COUNTIF($C$2:$C448,$C448)=1,1,0))</f>
        <v/>
      </c>
      <c r="AH448">
        <f>IF($AG448=1,SUMPRODUCT(--($AK$2:$AK$6001&lt;$AK448))+1,"")</f>
        <v/>
      </c>
      <c r="AI448">
        <f>IF($C448="","",IF(OR($N448=TRUE(),$N448="TRUE"),1,0))</f>
        <v/>
      </c>
      <c r="AJ448">
        <f>IF($C448="","",IF($T448="Yes",1,0))</f>
        <v/>
      </c>
      <c r="AK448">
        <f>IF($AG448=1,IFERROR(IF(VALUE($C448)&lt;100000000,VALUE($C448),1000000000),IFERROR(IF(VALUE(MID($C448,2,20))&lt;100000000,VALUE(MID($C448,2,20)),1000000000),1000000000))+ROW()/100000,"")</f>
        <v/>
      </c>
    </row>
    <row r="449">
      <c r="D449" s="11" t="n"/>
      <c r="K449" s="7">
        <f>IF($C449="","",J449*W449/100)</f>
        <v/>
      </c>
      <c r="Q449" s="7" t="n"/>
      <c r="R449" s="7" t="n"/>
      <c r="U449">
        <f>IF($C449="","",IF($AJ449=1,0,IF($AI449=1,Settings!$C$6,Settings!$C$7))*100)</f>
        <v/>
      </c>
      <c r="V449" s="7">
        <f>IF($C449="","",R449*U449/100)</f>
        <v/>
      </c>
      <c r="W449" s="7">
        <f>IF($C449="","",R449-V449)</f>
        <v/>
      </c>
      <c r="X449" s="7">
        <f>IF($C449="","",W449-K449)</f>
        <v/>
      </c>
      <c r="AB449" s="7" t="n"/>
      <c r="AE449" s="11" t="n"/>
      <c r="AG449">
        <f>IF($C449="","",IF(COUNTIF($C$2:$C449,$C449)=1,1,0))</f>
        <v/>
      </c>
      <c r="AH449">
        <f>IF($AG449=1,SUMPRODUCT(--($AK$2:$AK$6001&lt;$AK449))+1,"")</f>
        <v/>
      </c>
      <c r="AI449">
        <f>IF($C449="","",IF(OR($N449=TRUE(),$N449="TRUE"),1,0))</f>
        <v/>
      </c>
      <c r="AJ449">
        <f>IF($C449="","",IF($T449="Yes",1,0))</f>
        <v/>
      </c>
      <c r="AK449">
        <f>IF($AG449=1,IFERROR(IF(VALUE($C449)&lt;100000000,VALUE($C449),1000000000),IFERROR(IF(VALUE(MID($C449,2,20))&lt;100000000,VALUE(MID($C449,2,20)),1000000000),1000000000))+ROW()/100000,"")</f>
        <v/>
      </c>
    </row>
    <row r="450">
      <c r="D450" s="11" t="n"/>
      <c r="K450" s="7">
        <f>IF($C450="","",J450*W450/100)</f>
        <v/>
      </c>
      <c r="Q450" s="7" t="n"/>
      <c r="R450" s="7" t="n"/>
      <c r="U450">
        <f>IF($C450="","",IF($AJ450=1,0,IF($AI450=1,Settings!$C$6,Settings!$C$7))*100)</f>
        <v/>
      </c>
      <c r="V450" s="7">
        <f>IF($C450="","",R450*U450/100)</f>
        <v/>
      </c>
      <c r="W450" s="7">
        <f>IF($C450="","",R450-V450)</f>
        <v/>
      </c>
      <c r="X450" s="7">
        <f>IF($C450="","",W450-K450)</f>
        <v/>
      </c>
      <c r="AB450" s="7" t="n"/>
      <c r="AE450" s="11" t="n"/>
      <c r="AG450">
        <f>IF($C450="","",IF(COUNTIF($C$2:$C450,$C450)=1,1,0))</f>
        <v/>
      </c>
      <c r="AH450">
        <f>IF($AG450=1,SUMPRODUCT(--($AK$2:$AK$6001&lt;$AK450))+1,"")</f>
        <v/>
      </c>
      <c r="AI450">
        <f>IF($C450="","",IF(OR($N450=TRUE(),$N450="TRUE"),1,0))</f>
        <v/>
      </c>
      <c r="AJ450">
        <f>IF($C450="","",IF($T450="Yes",1,0))</f>
        <v/>
      </c>
      <c r="AK450">
        <f>IF($AG450=1,IFERROR(IF(VALUE($C450)&lt;100000000,VALUE($C450),1000000000),IFERROR(IF(VALUE(MID($C450,2,20))&lt;100000000,VALUE(MID($C450,2,20)),1000000000),1000000000))+ROW()/100000,"")</f>
        <v/>
      </c>
    </row>
    <row r="451">
      <c r="D451" s="11" t="n"/>
      <c r="K451" s="7">
        <f>IF($C451="","",J451*W451/100)</f>
        <v/>
      </c>
      <c r="Q451" s="7" t="n"/>
      <c r="R451" s="7" t="n"/>
      <c r="U451">
        <f>IF($C451="","",IF($AJ451=1,0,IF($AI451=1,Settings!$C$6,Settings!$C$7))*100)</f>
        <v/>
      </c>
      <c r="V451" s="7">
        <f>IF($C451="","",R451*U451/100)</f>
        <v/>
      </c>
      <c r="W451" s="7">
        <f>IF($C451="","",R451-V451)</f>
        <v/>
      </c>
      <c r="X451" s="7">
        <f>IF($C451="","",W451-K451)</f>
        <v/>
      </c>
      <c r="AB451" s="7" t="n"/>
      <c r="AE451" s="11" t="n"/>
      <c r="AG451">
        <f>IF($C451="","",IF(COUNTIF($C$2:$C451,$C451)=1,1,0))</f>
        <v/>
      </c>
      <c r="AH451">
        <f>IF($AG451=1,SUMPRODUCT(--($AK$2:$AK$6001&lt;$AK451))+1,"")</f>
        <v/>
      </c>
      <c r="AI451">
        <f>IF($C451="","",IF(OR($N451=TRUE(),$N451="TRUE"),1,0))</f>
        <v/>
      </c>
      <c r="AJ451">
        <f>IF($C451="","",IF($T451="Yes",1,0))</f>
        <v/>
      </c>
      <c r="AK451">
        <f>IF($AG451=1,IFERROR(IF(VALUE($C451)&lt;100000000,VALUE($C451),1000000000),IFERROR(IF(VALUE(MID($C451,2,20))&lt;100000000,VALUE(MID($C451,2,20)),1000000000),1000000000))+ROW()/100000,"")</f>
        <v/>
      </c>
    </row>
    <row r="452">
      <c r="D452" s="11" t="n"/>
      <c r="K452" s="7">
        <f>IF($C452="","",J452*W452/100)</f>
        <v/>
      </c>
      <c r="Q452" s="7" t="n"/>
      <c r="R452" s="7" t="n"/>
      <c r="U452">
        <f>IF($C452="","",IF($AJ452=1,0,IF($AI452=1,Settings!$C$6,Settings!$C$7))*100)</f>
        <v/>
      </c>
      <c r="V452" s="7">
        <f>IF($C452="","",R452*U452/100)</f>
        <v/>
      </c>
      <c r="W452" s="7">
        <f>IF($C452="","",R452-V452)</f>
        <v/>
      </c>
      <c r="X452" s="7">
        <f>IF($C452="","",W452-K452)</f>
        <v/>
      </c>
      <c r="AB452" s="7" t="n"/>
      <c r="AE452" s="11" t="n"/>
      <c r="AG452">
        <f>IF($C452="","",IF(COUNTIF($C$2:$C452,$C452)=1,1,0))</f>
        <v/>
      </c>
      <c r="AH452">
        <f>IF($AG452=1,SUMPRODUCT(--($AK$2:$AK$6001&lt;$AK452))+1,"")</f>
        <v/>
      </c>
      <c r="AI452">
        <f>IF($C452="","",IF(OR($N452=TRUE(),$N452="TRUE"),1,0))</f>
        <v/>
      </c>
      <c r="AJ452">
        <f>IF($C452="","",IF($T452="Yes",1,0))</f>
        <v/>
      </c>
      <c r="AK452">
        <f>IF($AG452=1,IFERROR(IF(VALUE($C452)&lt;100000000,VALUE($C452),1000000000),IFERROR(IF(VALUE(MID($C452,2,20))&lt;100000000,VALUE(MID($C452,2,20)),1000000000),1000000000))+ROW()/100000,"")</f>
        <v/>
      </c>
    </row>
    <row r="453">
      <c r="D453" s="11" t="n"/>
      <c r="K453" s="7">
        <f>IF($C453="","",J453*W453/100)</f>
        <v/>
      </c>
      <c r="Q453" s="7" t="n"/>
      <c r="R453" s="7" t="n"/>
      <c r="U453">
        <f>IF($C453="","",IF($AJ453=1,0,IF($AI453=1,Settings!$C$6,Settings!$C$7))*100)</f>
        <v/>
      </c>
      <c r="V453" s="7">
        <f>IF($C453="","",R453*U453/100)</f>
        <v/>
      </c>
      <c r="W453" s="7">
        <f>IF($C453="","",R453-V453)</f>
        <v/>
      </c>
      <c r="X453" s="7">
        <f>IF($C453="","",W453-K453)</f>
        <v/>
      </c>
      <c r="AB453" s="7" t="n"/>
      <c r="AE453" s="11" t="n"/>
      <c r="AG453">
        <f>IF($C453="","",IF(COUNTIF($C$2:$C453,$C453)=1,1,0))</f>
        <v/>
      </c>
      <c r="AH453">
        <f>IF($AG453=1,SUMPRODUCT(--($AK$2:$AK$6001&lt;$AK453))+1,"")</f>
        <v/>
      </c>
      <c r="AI453">
        <f>IF($C453="","",IF(OR($N453=TRUE(),$N453="TRUE"),1,0))</f>
        <v/>
      </c>
      <c r="AJ453">
        <f>IF($C453="","",IF($T453="Yes",1,0))</f>
        <v/>
      </c>
      <c r="AK453">
        <f>IF($AG453=1,IFERROR(IF(VALUE($C453)&lt;100000000,VALUE($C453),1000000000),IFERROR(IF(VALUE(MID($C453,2,20))&lt;100000000,VALUE(MID($C453,2,20)),1000000000),1000000000))+ROW()/100000,"")</f>
        <v/>
      </c>
    </row>
    <row r="454">
      <c r="D454" s="11" t="n"/>
      <c r="K454" s="7">
        <f>IF($C454="","",J454*W454/100)</f>
        <v/>
      </c>
      <c r="Q454" s="7" t="n"/>
      <c r="R454" s="7" t="n"/>
      <c r="U454">
        <f>IF($C454="","",IF($AJ454=1,0,IF($AI454=1,Settings!$C$6,Settings!$C$7))*100)</f>
        <v/>
      </c>
      <c r="V454" s="7">
        <f>IF($C454="","",R454*U454/100)</f>
        <v/>
      </c>
      <c r="W454" s="7">
        <f>IF($C454="","",R454-V454)</f>
        <v/>
      </c>
      <c r="X454" s="7">
        <f>IF($C454="","",W454-K454)</f>
        <v/>
      </c>
      <c r="AB454" s="7" t="n"/>
      <c r="AE454" s="11" t="n"/>
      <c r="AG454">
        <f>IF($C454="","",IF(COUNTIF($C$2:$C454,$C454)=1,1,0))</f>
        <v/>
      </c>
      <c r="AH454">
        <f>IF($AG454=1,SUMPRODUCT(--($AK$2:$AK$6001&lt;$AK454))+1,"")</f>
        <v/>
      </c>
      <c r="AI454">
        <f>IF($C454="","",IF(OR($N454=TRUE(),$N454="TRUE"),1,0))</f>
        <v/>
      </c>
      <c r="AJ454">
        <f>IF($C454="","",IF($T454="Yes",1,0))</f>
        <v/>
      </c>
      <c r="AK454">
        <f>IF($AG454=1,IFERROR(IF(VALUE($C454)&lt;100000000,VALUE($C454),1000000000),IFERROR(IF(VALUE(MID($C454,2,20))&lt;100000000,VALUE(MID($C454,2,20)),1000000000),1000000000))+ROW()/100000,"")</f>
        <v/>
      </c>
    </row>
    <row r="455">
      <c r="D455" s="11" t="n"/>
      <c r="K455" s="7">
        <f>IF($C455="","",J455*W455/100)</f>
        <v/>
      </c>
      <c r="Q455" s="7" t="n"/>
      <c r="R455" s="7" t="n"/>
      <c r="U455">
        <f>IF($C455="","",IF($AJ455=1,0,IF($AI455=1,Settings!$C$6,Settings!$C$7))*100)</f>
        <v/>
      </c>
      <c r="V455" s="7">
        <f>IF($C455="","",R455*U455/100)</f>
        <v/>
      </c>
      <c r="W455" s="7">
        <f>IF($C455="","",R455-V455)</f>
        <v/>
      </c>
      <c r="X455" s="7">
        <f>IF($C455="","",W455-K455)</f>
        <v/>
      </c>
      <c r="AB455" s="7" t="n"/>
      <c r="AE455" s="11" t="n"/>
      <c r="AG455">
        <f>IF($C455="","",IF(COUNTIF($C$2:$C455,$C455)=1,1,0))</f>
        <v/>
      </c>
      <c r="AH455">
        <f>IF($AG455=1,SUMPRODUCT(--($AK$2:$AK$6001&lt;$AK455))+1,"")</f>
        <v/>
      </c>
      <c r="AI455">
        <f>IF($C455="","",IF(OR($N455=TRUE(),$N455="TRUE"),1,0))</f>
        <v/>
      </c>
      <c r="AJ455">
        <f>IF($C455="","",IF($T455="Yes",1,0))</f>
        <v/>
      </c>
      <c r="AK455">
        <f>IF($AG455=1,IFERROR(IF(VALUE($C455)&lt;100000000,VALUE($C455),1000000000),IFERROR(IF(VALUE(MID($C455,2,20))&lt;100000000,VALUE(MID($C455,2,20)),1000000000),1000000000))+ROW()/100000,"")</f>
        <v/>
      </c>
    </row>
    <row r="456">
      <c r="D456" s="11" t="n"/>
      <c r="K456" s="7">
        <f>IF($C456="","",J456*W456/100)</f>
        <v/>
      </c>
      <c r="Q456" s="7" t="n"/>
      <c r="R456" s="7" t="n"/>
      <c r="U456">
        <f>IF($C456="","",IF($AJ456=1,0,IF($AI456=1,Settings!$C$6,Settings!$C$7))*100)</f>
        <v/>
      </c>
      <c r="V456" s="7">
        <f>IF($C456="","",R456*U456/100)</f>
        <v/>
      </c>
      <c r="W456" s="7">
        <f>IF($C456="","",R456-V456)</f>
        <v/>
      </c>
      <c r="X456" s="7">
        <f>IF($C456="","",W456-K456)</f>
        <v/>
      </c>
      <c r="AB456" s="7" t="n"/>
      <c r="AE456" s="11" t="n"/>
      <c r="AG456">
        <f>IF($C456="","",IF(COUNTIF($C$2:$C456,$C456)=1,1,0))</f>
        <v/>
      </c>
      <c r="AH456">
        <f>IF($AG456=1,SUMPRODUCT(--($AK$2:$AK$6001&lt;$AK456))+1,"")</f>
        <v/>
      </c>
      <c r="AI456">
        <f>IF($C456="","",IF(OR($N456=TRUE(),$N456="TRUE"),1,0))</f>
        <v/>
      </c>
      <c r="AJ456">
        <f>IF($C456="","",IF($T456="Yes",1,0))</f>
        <v/>
      </c>
      <c r="AK456">
        <f>IF($AG456=1,IFERROR(IF(VALUE($C456)&lt;100000000,VALUE($C456),1000000000),IFERROR(IF(VALUE(MID($C456,2,20))&lt;100000000,VALUE(MID($C456,2,20)),1000000000),1000000000))+ROW()/100000,"")</f>
        <v/>
      </c>
    </row>
    <row r="457">
      <c r="D457" s="11" t="n"/>
      <c r="K457" s="7">
        <f>IF($C457="","",J457*W457/100)</f>
        <v/>
      </c>
      <c r="Q457" s="7" t="n"/>
      <c r="R457" s="7" t="n"/>
      <c r="U457">
        <f>IF($C457="","",IF($AJ457=1,0,IF($AI457=1,Settings!$C$6,Settings!$C$7))*100)</f>
        <v/>
      </c>
      <c r="V457" s="7">
        <f>IF($C457="","",R457*U457/100)</f>
        <v/>
      </c>
      <c r="W457" s="7">
        <f>IF($C457="","",R457-V457)</f>
        <v/>
      </c>
      <c r="X457" s="7">
        <f>IF($C457="","",W457-K457)</f>
        <v/>
      </c>
      <c r="AB457" s="7" t="n"/>
      <c r="AE457" s="11" t="n"/>
      <c r="AG457">
        <f>IF($C457="","",IF(COUNTIF($C$2:$C457,$C457)=1,1,0))</f>
        <v/>
      </c>
      <c r="AH457">
        <f>IF($AG457=1,SUMPRODUCT(--($AK$2:$AK$6001&lt;$AK457))+1,"")</f>
        <v/>
      </c>
      <c r="AI457">
        <f>IF($C457="","",IF(OR($N457=TRUE(),$N457="TRUE"),1,0))</f>
        <v/>
      </c>
      <c r="AJ457">
        <f>IF($C457="","",IF($T457="Yes",1,0))</f>
        <v/>
      </c>
      <c r="AK457">
        <f>IF($AG457=1,IFERROR(IF(VALUE($C457)&lt;100000000,VALUE($C457),1000000000),IFERROR(IF(VALUE(MID($C457,2,20))&lt;100000000,VALUE(MID($C457,2,20)),1000000000),1000000000))+ROW()/100000,"")</f>
        <v/>
      </c>
    </row>
    <row r="458">
      <c r="D458" s="11" t="n"/>
      <c r="K458" s="7">
        <f>IF($C458="","",J458*W458/100)</f>
        <v/>
      </c>
      <c r="Q458" s="7" t="n"/>
      <c r="R458" s="7" t="n"/>
      <c r="U458">
        <f>IF($C458="","",IF($AJ458=1,0,IF($AI458=1,Settings!$C$6,Settings!$C$7))*100)</f>
        <v/>
      </c>
      <c r="V458" s="7">
        <f>IF($C458="","",R458*U458/100)</f>
        <v/>
      </c>
      <c r="W458" s="7">
        <f>IF($C458="","",R458-V458)</f>
        <v/>
      </c>
      <c r="X458" s="7">
        <f>IF($C458="","",W458-K458)</f>
        <v/>
      </c>
      <c r="AB458" s="7" t="n"/>
      <c r="AE458" s="11" t="n"/>
      <c r="AG458">
        <f>IF($C458="","",IF(COUNTIF($C$2:$C458,$C458)=1,1,0))</f>
        <v/>
      </c>
      <c r="AH458">
        <f>IF($AG458=1,SUMPRODUCT(--($AK$2:$AK$6001&lt;$AK458))+1,"")</f>
        <v/>
      </c>
      <c r="AI458">
        <f>IF($C458="","",IF(OR($N458=TRUE(),$N458="TRUE"),1,0))</f>
        <v/>
      </c>
      <c r="AJ458">
        <f>IF($C458="","",IF($T458="Yes",1,0))</f>
        <v/>
      </c>
      <c r="AK458">
        <f>IF($AG458=1,IFERROR(IF(VALUE($C458)&lt;100000000,VALUE($C458),1000000000),IFERROR(IF(VALUE(MID($C458,2,20))&lt;100000000,VALUE(MID($C458,2,20)),1000000000),1000000000))+ROW()/100000,"")</f>
        <v/>
      </c>
    </row>
    <row r="459">
      <c r="D459" s="11" t="n"/>
      <c r="K459" s="7">
        <f>IF($C459="","",J459*W459/100)</f>
        <v/>
      </c>
      <c r="Q459" s="7" t="n"/>
      <c r="R459" s="7" t="n"/>
      <c r="U459">
        <f>IF($C459="","",IF($AJ459=1,0,IF($AI459=1,Settings!$C$6,Settings!$C$7))*100)</f>
        <v/>
      </c>
      <c r="V459" s="7">
        <f>IF($C459="","",R459*U459/100)</f>
        <v/>
      </c>
      <c r="W459" s="7">
        <f>IF($C459="","",R459-V459)</f>
        <v/>
      </c>
      <c r="X459" s="7">
        <f>IF($C459="","",W459-K459)</f>
        <v/>
      </c>
      <c r="AB459" s="7" t="n"/>
      <c r="AE459" s="11" t="n"/>
      <c r="AG459">
        <f>IF($C459="","",IF(COUNTIF($C$2:$C459,$C459)=1,1,0))</f>
        <v/>
      </c>
      <c r="AH459">
        <f>IF($AG459=1,SUMPRODUCT(--($AK$2:$AK$6001&lt;$AK459))+1,"")</f>
        <v/>
      </c>
      <c r="AI459">
        <f>IF($C459="","",IF(OR($N459=TRUE(),$N459="TRUE"),1,0))</f>
        <v/>
      </c>
      <c r="AJ459">
        <f>IF($C459="","",IF($T459="Yes",1,0))</f>
        <v/>
      </c>
      <c r="AK459">
        <f>IF($AG459=1,IFERROR(IF(VALUE($C459)&lt;100000000,VALUE($C459),1000000000),IFERROR(IF(VALUE(MID($C459,2,20))&lt;100000000,VALUE(MID($C459,2,20)),1000000000),1000000000))+ROW()/100000,"")</f>
        <v/>
      </c>
    </row>
    <row r="460">
      <c r="D460" s="11" t="n"/>
      <c r="K460" s="7">
        <f>IF($C460="","",J460*W460/100)</f>
        <v/>
      </c>
      <c r="Q460" s="7" t="n"/>
      <c r="R460" s="7" t="n"/>
      <c r="U460">
        <f>IF($C460="","",IF($AJ460=1,0,IF($AI460=1,Settings!$C$6,Settings!$C$7))*100)</f>
        <v/>
      </c>
      <c r="V460" s="7">
        <f>IF($C460="","",R460*U460/100)</f>
        <v/>
      </c>
      <c r="W460" s="7">
        <f>IF($C460="","",R460-V460)</f>
        <v/>
      </c>
      <c r="X460" s="7">
        <f>IF($C460="","",W460-K460)</f>
        <v/>
      </c>
      <c r="AB460" s="7" t="n"/>
      <c r="AE460" s="11" t="n"/>
      <c r="AG460">
        <f>IF($C460="","",IF(COUNTIF($C$2:$C460,$C460)=1,1,0))</f>
        <v/>
      </c>
      <c r="AH460">
        <f>IF($AG460=1,SUMPRODUCT(--($AK$2:$AK$6001&lt;$AK460))+1,"")</f>
        <v/>
      </c>
      <c r="AI460">
        <f>IF($C460="","",IF(OR($N460=TRUE(),$N460="TRUE"),1,0))</f>
        <v/>
      </c>
      <c r="AJ460">
        <f>IF($C460="","",IF($T460="Yes",1,0))</f>
        <v/>
      </c>
      <c r="AK460">
        <f>IF($AG460=1,IFERROR(IF(VALUE($C460)&lt;100000000,VALUE($C460),1000000000),IFERROR(IF(VALUE(MID($C460,2,20))&lt;100000000,VALUE(MID($C460,2,20)),1000000000),1000000000))+ROW()/100000,"")</f>
        <v/>
      </c>
    </row>
    <row r="461">
      <c r="D461" s="11" t="n"/>
      <c r="K461" s="7">
        <f>IF($C461="","",J461*W461/100)</f>
        <v/>
      </c>
      <c r="Q461" s="7" t="n"/>
      <c r="R461" s="7" t="n"/>
      <c r="U461">
        <f>IF($C461="","",IF($AJ461=1,0,IF($AI461=1,Settings!$C$6,Settings!$C$7))*100)</f>
        <v/>
      </c>
      <c r="V461" s="7">
        <f>IF($C461="","",R461*U461/100)</f>
        <v/>
      </c>
      <c r="W461" s="7">
        <f>IF($C461="","",R461-V461)</f>
        <v/>
      </c>
      <c r="X461" s="7">
        <f>IF($C461="","",W461-K461)</f>
        <v/>
      </c>
      <c r="AB461" s="7" t="n"/>
      <c r="AE461" s="11" t="n"/>
      <c r="AG461">
        <f>IF($C461="","",IF(COUNTIF($C$2:$C461,$C461)=1,1,0))</f>
        <v/>
      </c>
      <c r="AH461">
        <f>IF($AG461=1,SUMPRODUCT(--($AK$2:$AK$6001&lt;$AK461))+1,"")</f>
        <v/>
      </c>
      <c r="AI461">
        <f>IF($C461="","",IF(OR($N461=TRUE(),$N461="TRUE"),1,0))</f>
        <v/>
      </c>
      <c r="AJ461">
        <f>IF($C461="","",IF($T461="Yes",1,0))</f>
        <v/>
      </c>
      <c r="AK461">
        <f>IF($AG461=1,IFERROR(IF(VALUE($C461)&lt;100000000,VALUE($C461),1000000000),IFERROR(IF(VALUE(MID($C461,2,20))&lt;100000000,VALUE(MID($C461,2,20)),1000000000),1000000000))+ROW()/100000,"")</f>
        <v/>
      </c>
    </row>
    <row r="462">
      <c r="D462" s="11" t="n"/>
      <c r="K462" s="7">
        <f>IF($C462="","",J462*W462/100)</f>
        <v/>
      </c>
      <c r="Q462" s="7" t="n"/>
      <c r="R462" s="7" t="n"/>
      <c r="U462">
        <f>IF($C462="","",IF($AJ462=1,0,IF($AI462=1,Settings!$C$6,Settings!$C$7))*100)</f>
        <v/>
      </c>
      <c r="V462" s="7">
        <f>IF($C462="","",R462*U462/100)</f>
        <v/>
      </c>
      <c r="W462" s="7">
        <f>IF($C462="","",R462-V462)</f>
        <v/>
      </c>
      <c r="X462" s="7">
        <f>IF($C462="","",W462-K462)</f>
        <v/>
      </c>
      <c r="AB462" s="7" t="n"/>
      <c r="AE462" s="11" t="n"/>
      <c r="AG462">
        <f>IF($C462="","",IF(COUNTIF($C$2:$C462,$C462)=1,1,0))</f>
        <v/>
      </c>
      <c r="AH462">
        <f>IF($AG462=1,SUMPRODUCT(--($AK$2:$AK$6001&lt;$AK462))+1,"")</f>
        <v/>
      </c>
      <c r="AI462">
        <f>IF($C462="","",IF(OR($N462=TRUE(),$N462="TRUE"),1,0))</f>
        <v/>
      </c>
      <c r="AJ462">
        <f>IF($C462="","",IF($T462="Yes",1,0))</f>
        <v/>
      </c>
      <c r="AK462">
        <f>IF($AG462=1,IFERROR(IF(VALUE($C462)&lt;100000000,VALUE($C462),1000000000),IFERROR(IF(VALUE(MID($C462,2,20))&lt;100000000,VALUE(MID($C462,2,20)),1000000000),1000000000))+ROW()/100000,"")</f>
        <v/>
      </c>
    </row>
    <row r="463">
      <c r="D463" s="11" t="n"/>
      <c r="K463" s="7">
        <f>IF($C463="","",J463*W463/100)</f>
        <v/>
      </c>
      <c r="Q463" s="7" t="n"/>
      <c r="R463" s="7" t="n"/>
      <c r="U463">
        <f>IF($C463="","",IF($AJ463=1,0,IF($AI463=1,Settings!$C$6,Settings!$C$7))*100)</f>
        <v/>
      </c>
      <c r="V463" s="7">
        <f>IF($C463="","",R463*U463/100)</f>
        <v/>
      </c>
      <c r="W463" s="7">
        <f>IF($C463="","",R463-V463)</f>
        <v/>
      </c>
      <c r="X463" s="7">
        <f>IF($C463="","",W463-K463)</f>
        <v/>
      </c>
      <c r="AB463" s="7" t="n"/>
      <c r="AE463" s="11" t="n"/>
      <c r="AG463">
        <f>IF($C463="","",IF(COUNTIF($C$2:$C463,$C463)=1,1,0))</f>
        <v/>
      </c>
      <c r="AH463">
        <f>IF($AG463=1,SUMPRODUCT(--($AK$2:$AK$6001&lt;$AK463))+1,"")</f>
        <v/>
      </c>
      <c r="AI463">
        <f>IF($C463="","",IF(OR($N463=TRUE(),$N463="TRUE"),1,0))</f>
        <v/>
      </c>
      <c r="AJ463">
        <f>IF($C463="","",IF($T463="Yes",1,0))</f>
        <v/>
      </c>
      <c r="AK463">
        <f>IF($AG463=1,IFERROR(IF(VALUE($C463)&lt;100000000,VALUE($C463),1000000000),IFERROR(IF(VALUE(MID($C463,2,20))&lt;100000000,VALUE(MID($C463,2,20)),1000000000),1000000000))+ROW()/100000,"")</f>
        <v/>
      </c>
    </row>
    <row r="464">
      <c r="D464" s="11" t="n"/>
      <c r="K464" s="7">
        <f>IF($C464="","",J464*W464/100)</f>
        <v/>
      </c>
      <c r="Q464" s="7" t="n"/>
      <c r="R464" s="7" t="n"/>
      <c r="U464">
        <f>IF($C464="","",IF($AJ464=1,0,IF($AI464=1,Settings!$C$6,Settings!$C$7))*100)</f>
        <v/>
      </c>
      <c r="V464" s="7">
        <f>IF($C464="","",R464*U464/100)</f>
        <v/>
      </c>
      <c r="W464" s="7">
        <f>IF($C464="","",R464-V464)</f>
        <v/>
      </c>
      <c r="X464" s="7">
        <f>IF($C464="","",W464-K464)</f>
        <v/>
      </c>
      <c r="AB464" s="7" t="n"/>
      <c r="AE464" s="11" t="n"/>
      <c r="AG464">
        <f>IF($C464="","",IF(COUNTIF($C$2:$C464,$C464)=1,1,0))</f>
        <v/>
      </c>
      <c r="AH464">
        <f>IF($AG464=1,SUMPRODUCT(--($AK$2:$AK$6001&lt;$AK464))+1,"")</f>
        <v/>
      </c>
      <c r="AI464">
        <f>IF($C464="","",IF(OR($N464=TRUE(),$N464="TRUE"),1,0))</f>
        <v/>
      </c>
      <c r="AJ464">
        <f>IF($C464="","",IF($T464="Yes",1,0))</f>
        <v/>
      </c>
      <c r="AK464">
        <f>IF($AG464=1,IFERROR(IF(VALUE($C464)&lt;100000000,VALUE($C464),1000000000),IFERROR(IF(VALUE(MID($C464,2,20))&lt;100000000,VALUE(MID($C464,2,20)),1000000000),1000000000))+ROW()/100000,"")</f>
        <v/>
      </c>
    </row>
    <row r="465">
      <c r="D465" s="11" t="n"/>
      <c r="K465" s="7">
        <f>IF($C465="","",J465*W465/100)</f>
        <v/>
      </c>
      <c r="Q465" s="7" t="n"/>
      <c r="R465" s="7" t="n"/>
      <c r="U465">
        <f>IF($C465="","",IF($AJ465=1,0,IF($AI465=1,Settings!$C$6,Settings!$C$7))*100)</f>
        <v/>
      </c>
      <c r="V465" s="7">
        <f>IF($C465="","",R465*U465/100)</f>
        <v/>
      </c>
      <c r="W465" s="7">
        <f>IF($C465="","",R465-V465)</f>
        <v/>
      </c>
      <c r="X465" s="7">
        <f>IF($C465="","",W465-K465)</f>
        <v/>
      </c>
      <c r="AB465" s="7" t="n"/>
      <c r="AE465" s="11" t="n"/>
      <c r="AG465">
        <f>IF($C465="","",IF(COUNTIF($C$2:$C465,$C465)=1,1,0))</f>
        <v/>
      </c>
      <c r="AH465">
        <f>IF($AG465=1,SUMPRODUCT(--($AK$2:$AK$6001&lt;$AK465))+1,"")</f>
        <v/>
      </c>
      <c r="AI465">
        <f>IF($C465="","",IF(OR($N465=TRUE(),$N465="TRUE"),1,0))</f>
        <v/>
      </c>
      <c r="AJ465">
        <f>IF($C465="","",IF($T465="Yes",1,0))</f>
        <v/>
      </c>
      <c r="AK465">
        <f>IF($AG465=1,IFERROR(IF(VALUE($C465)&lt;100000000,VALUE($C465),1000000000),IFERROR(IF(VALUE(MID($C465,2,20))&lt;100000000,VALUE(MID($C465,2,20)),1000000000),1000000000))+ROW()/100000,"")</f>
        <v/>
      </c>
    </row>
    <row r="466">
      <c r="D466" s="11" t="n"/>
      <c r="K466" s="7">
        <f>IF($C466="","",J466*W466/100)</f>
        <v/>
      </c>
      <c r="Q466" s="7" t="n"/>
      <c r="R466" s="7" t="n"/>
      <c r="U466">
        <f>IF($C466="","",IF($AJ466=1,0,IF($AI466=1,Settings!$C$6,Settings!$C$7))*100)</f>
        <v/>
      </c>
      <c r="V466" s="7">
        <f>IF($C466="","",R466*U466/100)</f>
        <v/>
      </c>
      <c r="W466" s="7">
        <f>IF($C466="","",R466-V466)</f>
        <v/>
      </c>
      <c r="X466" s="7">
        <f>IF($C466="","",W466-K466)</f>
        <v/>
      </c>
      <c r="AB466" s="7" t="n"/>
      <c r="AE466" s="11" t="n"/>
      <c r="AG466">
        <f>IF($C466="","",IF(COUNTIF($C$2:$C466,$C466)=1,1,0))</f>
        <v/>
      </c>
      <c r="AH466">
        <f>IF($AG466=1,SUMPRODUCT(--($AK$2:$AK$6001&lt;$AK466))+1,"")</f>
        <v/>
      </c>
      <c r="AI466">
        <f>IF($C466="","",IF(OR($N466=TRUE(),$N466="TRUE"),1,0))</f>
        <v/>
      </c>
      <c r="AJ466">
        <f>IF($C466="","",IF($T466="Yes",1,0))</f>
        <v/>
      </c>
      <c r="AK466">
        <f>IF($AG466=1,IFERROR(IF(VALUE($C466)&lt;100000000,VALUE($C466),1000000000),IFERROR(IF(VALUE(MID($C466,2,20))&lt;100000000,VALUE(MID($C466,2,20)),1000000000),1000000000))+ROW()/100000,"")</f>
        <v/>
      </c>
    </row>
    <row r="467">
      <c r="D467" s="11" t="n"/>
      <c r="K467" s="7">
        <f>IF($C467="","",J467*W467/100)</f>
        <v/>
      </c>
      <c r="Q467" s="7" t="n"/>
      <c r="R467" s="7" t="n"/>
      <c r="U467">
        <f>IF($C467="","",IF($AJ467=1,0,IF($AI467=1,Settings!$C$6,Settings!$C$7))*100)</f>
        <v/>
      </c>
      <c r="V467" s="7">
        <f>IF($C467="","",R467*U467/100)</f>
        <v/>
      </c>
      <c r="W467" s="7">
        <f>IF($C467="","",R467-V467)</f>
        <v/>
      </c>
      <c r="X467" s="7">
        <f>IF($C467="","",W467-K467)</f>
        <v/>
      </c>
      <c r="AB467" s="7" t="n"/>
      <c r="AE467" s="11" t="n"/>
      <c r="AG467">
        <f>IF($C467="","",IF(COUNTIF($C$2:$C467,$C467)=1,1,0))</f>
        <v/>
      </c>
      <c r="AH467">
        <f>IF($AG467=1,SUMPRODUCT(--($AK$2:$AK$6001&lt;$AK467))+1,"")</f>
        <v/>
      </c>
      <c r="AI467">
        <f>IF($C467="","",IF(OR($N467=TRUE(),$N467="TRUE"),1,0))</f>
        <v/>
      </c>
      <c r="AJ467">
        <f>IF($C467="","",IF($T467="Yes",1,0))</f>
        <v/>
      </c>
      <c r="AK467">
        <f>IF($AG467=1,IFERROR(IF(VALUE($C467)&lt;100000000,VALUE($C467),1000000000),IFERROR(IF(VALUE(MID($C467,2,20))&lt;100000000,VALUE(MID($C467,2,20)),1000000000),1000000000))+ROW()/100000,"")</f>
        <v/>
      </c>
    </row>
    <row r="468">
      <c r="D468" s="11" t="n"/>
      <c r="K468" s="7">
        <f>IF($C468="","",J468*W468/100)</f>
        <v/>
      </c>
      <c r="Q468" s="7" t="n"/>
      <c r="R468" s="7" t="n"/>
      <c r="U468">
        <f>IF($C468="","",IF($AJ468=1,0,IF($AI468=1,Settings!$C$6,Settings!$C$7))*100)</f>
        <v/>
      </c>
      <c r="V468" s="7">
        <f>IF($C468="","",R468*U468/100)</f>
        <v/>
      </c>
      <c r="W468" s="7">
        <f>IF($C468="","",R468-V468)</f>
        <v/>
      </c>
      <c r="X468" s="7">
        <f>IF($C468="","",W468-K468)</f>
        <v/>
      </c>
      <c r="AB468" s="7" t="n"/>
      <c r="AE468" s="11" t="n"/>
      <c r="AG468">
        <f>IF($C468="","",IF(COUNTIF($C$2:$C468,$C468)=1,1,0))</f>
        <v/>
      </c>
      <c r="AH468">
        <f>IF($AG468=1,SUMPRODUCT(--($AK$2:$AK$6001&lt;$AK468))+1,"")</f>
        <v/>
      </c>
      <c r="AI468">
        <f>IF($C468="","",IF(OR($N468=TRUE(),$N468="TRUE"),1,0))</f>
        <v/>
      </c>
      <c r="AJ468">
        <f>IF($C468="","",IF($T468="Yes",1,0))</f>
        <v/>
      </c>
      <c r="AK468">
        <f>IF($AG468=1,IFERROR(IF(VALUE($C468)&lt;100000000,VALUE($C468),1000000000),IFERROR(IF(VALUE(MID($C468,2,20))&lt;100000000,VALUE(MID($C468,2,20)),1000000000),1000000000))+ROW()/100000,"")</f>
        <v/>
      </c>
    </row>
    <row r="469">
      <c r="D469" s="11" t="n"/>
      <c r="K469" s="7">
        <f>IF($C469="","",J469*W469/100)</f>
        <v/>
      </c>
      <c r="Q469" s="7" t="n"/>
      <c r="R469" s="7" t="n"/>
      <c r="U469">
        <f>IF($C469="","",IF($AJ469=1,0,IF($AI469=1,Settings!$C$6,Settings!$C$7))*100)</f>
        <v/>
      </c>
      <c r="V469" s="7">
        <f>IF($C469="","",R469*U469/100)</f>
        <v/>
      </c>
      <c r="W469" s="7">
        <f>IF($C469="","",R469-V469)</f>
        <v/>
      </c>
      <c r="X469" s="7">
        <f>IF($C469="","",W469-K469)</f>
        <v/>
      </c>
      <c r="AB469" s="7" t="n"/>
      <c r="AE469" s="11" t="n"/>
      <c r="AG469">
        <f>IF($C469="","",IF(COUNTIF($C$2:$C469,$C469)=1,1,0))</f>
        <v/>
      </c>
      <c r="AH469">
        <f>IF($AG469=1,SUMPRODUCT(--($AK$2:$AK$6001&lt;$AK469))+1,"")</f>
        <v/>
      </c>
      <c r="AI469">
        <f>IF($C469="","",IF(OR($N469=TRUE(),$N469="TRUE"),1,0))</f>
        <v/>
      </c>
      <c r="AJ469">
        <f>IF($C469="","",IF($T469="Yes",1,0))</f>
        <v/>
      </c>
      <c r="AK469">
        <f>IF($AG469=1,IFERROR(IF(VALUE($C469)&lt;100000000,VALUE($C469),1000000000),IFERROR(IF(VALUE(MID($C469,2,20))&lt;100000000,VALUE(MID($C469,2,20)),1000000000),1000000000))+ROW()/100000,"")</f>
        <v/>
      </c>
    </row>
    <row r="470">
      <c r="D470" s="11" t="n"/>
      <c r="K470" s="7">
        <f>IF($C470="","",J470*W470/100)</f>
        <v/>
      </c>
      <c r="Q470" s="7" t="n"/>
      <c r="R470" s="7" t="n"/>
      <c r="U470">
        <f>IF($C470="","",IF($AJ470=1,0,IF($AI470=1,Settings!$C$6,Settings!$C$7))*100)</f>
        <v/>
      </c>
      <c r="V470" s="7">
        <f>IF($C470="","",R470*U470/100)</f>
        <v/>
      </c>
      <c r="W470" s="7">
        <f>IF($C470="","",R470-V470)</f>
        <v/>
      </c>
      <c r="X470" s="7">
        <f>IF($C470="","",W470-K470)</f>
        <v/>
      </c>
      <c r="AB470" s="7" t="n"/>
      <c r="AE470" s="11" t="n"/>
      <c r="AG470">
        <f>IF($C470="","",IF(COUNTIF($C$2:$C470,$C470)=1,1,0))</f>
        <v/>
      </c>
      <c r="AH470">
        <f>IF($AG470=1,SUMPRODUCT(--($AK$2:$AK$6001&lt;$AK470))+1,"")</f>
        <v/>
      </c>
      <c r="AI470">
        <f>IF($C470="","",IF(OR($N470=TRUE(),$N470="TRUE"),1,0))</f>
        <v/>
      </c>
      <c r="AJ470">
        <f>IF($C470="","",IF($T470="Yes",1,0))</f>
        <v/>
      </c>
      <c r="AK470">
        <f>IF($AG470=1,IFERROR(IF(VALUE($C470)&lt;100000000,VALUE($C470),1000000000),IFERROR(IF(VALUE(MID($C470,2,20))&lt;100000000,VALUE(MID($C470,2,20)),1000000000),1000000000))+ROW()/100000,"")</f>
        <v/>
      </c>
    </row>
    <row r="471">
      <c r="D471" s="11" t="n"/>
      <c r="K471" s="7">
        <f>IF($C471="","",J471*W471/100)</f>
        <v/>
      </c>
      <c r="Q471" s="7" t="n"/>
      <c r="R471" s="7" t="n"/>
      <c r="U471">
        <f>IF($C471="","",IF($AJ471=1,0,IF($AI471=1,Settings!$C$6,Settings!$C$7))*100)</f>
        <v/>
      </c>
      <c r="V471" s="7">
        <f>IF($C471="","",R471*U471/100)</f>
        <v/>
      </c>
      <c r="W471" s="7">
        <f>IF($C471="","",R471-V471)</f>
        <v/>
      </c>
      <c r="X471" s="7">
        <f>IF($C471="","",W471-K471)</f>
        <v/>
      </c>
      <c r="AB471" s="7" t="n"/>
      <c r="AE471" s="11" t="n"/>
      <c r="AG471">
        <f>IF($C471="","",IF(COUNTIF($C$2:$C471,$C471)=1,1,0))</f>
        <v/>
      </c>
      <c r="AH471">
        <f>IF($AG471=1,SUMPRODUCT(--($AK$2:$AK$6001&lt;$AK471))+1,"")</f>
        <v/>
      </c>
      <c r="AI471">
        <f>IF($C471="","",IF(OR($N471=TRUE(),$N471="TRUE"),1,0))</f>
        <v/>
      </c>
      <c r="AJ471">
        <f>IF($C471="","",IF($T471="Yes",1,0))</f>
        <v/>
      </c>
      <c r="AK471">
        <f>IF($AG471=1,IFERROR(IF(VALUE($C471)&lt;100000000,VALUE($C471),1000000000),IFERROR(IF(VALUE(MID($C471,2,20))&lt;100000000,VALUE(MID($C471,2,20)),1000000000),1000000000))+ROW()/100000,"")</f>
        <v/>
      </c>
    </row>
    <row r="472">
      <c r="D472" s="11" t="n"/>
      <c r="K472" s="7">
        <f>IF($C472="","",J472*W472/100)</f>
        <v/>
      </c>
      <c r="Q472" s="7" t="n"/>
      <c r="R472" s="7" t="n"/>
      <c r="U472">
        <f>IF($C472="","",IF($AJ472=1,0,IF($AI472=1,Settings!$C$6,Settings!$C$7))*100)</f>
        <v/>
      </c>
      <c r="V472" s="7">
        <f>IF($C472="","",R472*U472/100)</f>
        <v/>
      </c>
      <c r="W472" s="7">
        <f>IF($C472="","",R472-V472)</f>
        <v/>
      </c>
      <c r="X472" s="7">
        <f>IF($C472="","",W472-K472)</f>
        <v/>
      </c>
      <c r="AB472" s="7" t="n"/>
      <c r="AE472" s="11" t="n"/>
      <c r="AG472">
        <f>IF($C472="","",IF(COUNTIF($C$2:$C472,$C472)=1,1,0))</f>
        <v/>
      </c>
      <c r="AH472">
        <f>IF($AG472=1,SUMPRODUCT(--($AK$2:$AK$6001&lt;$AK472))+1,"")</f>
        <v/>
      </c>
      <c r="AI472">
        <f>IF($C472="","",IF(OR($N472=TRUE(),$N472="TRUE"),1,0))</f>
        <v/>
      </c>
      <c r="AJ472">
        <f>IF($C472="","",IF($T472="Yes",1,0))</f>
        <v/>
      </c>
      <c r="AK472">
        <f>IF($AG472=1,IFERROR(IF(VALUE($C472)&lt;100000000,VALUE($C472),1000000000),IFERROR(IF(VALUE(MID($C472,2,20))&lt;100000000,VALUE(MID($C472,2,20)),1000000000),1000000000))+ROW()/100000,"")</f>
        <v/>
      </c>
    </row>
    <row r="473">
      <c r="D473" s="11" t="n"/>
      <c r="K473" s="7">
        <f>IF($C473="","",J473*W473/100)</f>
        <v/>
      </c>
      <c r="Q473" s="7" t="n"/>
      <c r="R473" s="7" t="n"/>
      <c r="U473">
        <f>IF($C473="","",IF($AJ473=1,0,IF($AI473=1,Settings!$C$6,Settings!$C$7))*100)</f>
        <v/>
      </c>
      <c r="V473" s="7">
        <f>IF($C473="","",R473*U473/100)</f>
        <v/>
      </c>
      <c r="W473" s="7">
        <f>IF($C473="","",R473-V473)</f>
        <v/>
      </c>
      <c r="X473" s="7">
        <f>IF($C473="","",W473-K473)</f>
        <v/>
      </c>
      <c r="AB473" s="7" t="n"/>
      <c r="AE473" s="11" t="n"/>
      <c r="AG473">
        <f>IF($C473="","",IF(COUNTIF($C$2:$C473,$C473)=1,1,0))</f>
        <v/>
      </c>
      <c r="AH473">
        <f>IF($AG473=1,SUMPRODUCT(--($AK$2:$AK$6001&lt;$AK473))+1,"")</f>
        <v/>
      </c>
      <c r="AI473">
        <f>IF($C473="","",IF(OR($N473=TRUE(),$N473="TRUE"),1,0))</f>
        <v/>
      </c>
      <c r="AJ473">
        <f>IF($C473="","",IF($T473="Yes",1,0))</f>
        <v/>
      </c>
      <c r="AK473">
        <f>IF($AG473=1,IFERROR(IF(VALUE($C473)&lt;100000000,VALUE($C473),1000000000),IFERROR(IF(VALUE(MID($C473,2,20))&lt;100000000,VALUE(MID($C473,2,20)),1000000000),1000000000))+ROW()/100000,"")</f>
        <v/>
      </c>
    </row>
    <row r="474">
      <c r="D474" s="11" t="n"/>
      <c r="K474" s="7">
        <f>IF($C474="","",J474*W474/100)</f>
        <v/>
      </c>
      <c r="Q474" s="7" t="n"/>
      <c r="R474" s="7" t="n"/>
      <c r="U474">
        <f>IF($C474="","",IF($AJ474=1,0,IF($AI474=1,Settings!$C$6,Settings!$C$7))*100)</f>
        <v/>
      </c>
      <c r="V474" s="7">
        <f>IF($C474="","",R474*U474/100)</f>
        <v/>
      </c>
      <c r="W474" s="7">
        <f>IF($C474="","",R474-V474)</f>
        <v/>
      </c>
      <c r="X474" s="7">
        <f>IF($C474="","",W474-K474)</f>
        <v/>
      </c>
      <c r="AB474" s="7" t="n"/>
      <c r="AE474" s="11" t="n"/>
      <c r="AG474">
        <f>IF($C474="","",IF(COUNTIF($C$2:$C474,$C474)=1,1,0))</f>
        <v/>
      </c>
      <c r="AH474">
        <f>IF($AG474=1,SUMPRODUCT(--($AK$2:$AK$6001&lt;$AK474))+1,"")</f>
        <v/>
      </c>
      <c r="AI474">
        <f>IF($C474="","",IF(OR($N474=TRUE(),$N474="TRUE"),1,0))</f>
        <v/>
      </c>
      <c r="AJ474">
        <f>IF($C474="","",IF($T474="Yes",1,0))</f>
        <v/>
      </c>
      <c r="AK474">
        <f>IF($AG474=1,IFERROR(IF(VALUE($C474)&lt;100000000,VALUE($C474),1000000000),IFERROR(IF(VALUE(MID($C474,2,20))&lt;100000000,VALUE(MID($C474,2,20)),1000000000),1000000000))+ROW()/100000,"")</f>
        <v/>
      </c>
    </row>
    <row r="475">
      <c r="D475" s="11" t="n"/>
      <c r="K475" s="7">
        <f>IF($C475="","",J475*W475/100)</f>
        <v/>
      </c>
      <c r="Q475" s="7" t="n"/>
      <c r="R475" s="7" t="n"/>
      <c r="U475">
        <f>IF($C475="","",IF($AJ475=1,0,IF($AI475=1,Settings!$C$6,Settings!$C$7))*100)</f>
        <v/>
      </c>
      <c r="V475" s="7">
        <f>IF($C475="","",R475*U475/100)</f>
        <v/>
      </c>
      <c r="W475" s="7">
        <f>IF($C475="","",R475-V475)</f>
        <v/>
      </c>
      <c r="X475" s="7">
        <f>IF($C475="","",W475-K475)</f>
        <v/>
      </c>
      <c r="AB475" s="7" t="n"/>
      <c r="AE475" s="11" t="n"/>
      <c r="AG475">
        <f>IF($C475="","",IF(COUNTIF($C$2:$C475,$C475)=1,1,0))</f>
        <v/>
      </c>
      <c r="AH475">
        <f>IF($AG475=1,SUMPRODUCT(--($AK$2:$AK$6001&lt;$AK475))+1,"")</f>
        <v/>
      </c>
      <c r="AI475">
        <f>IF($C475="","",IF(OR($N475=TRUE(),$N475="TRUE"),1,0))</f>
        <v/>
      </c>
      <c r="AJ475">
        <f>IF($C475="","",IF($T475="Yes",1,0))</f>
        <v/>
      </c>
      <c r="AK475">
        <f>IF($AG475=1,IFERROR(IF(VALUE($C475)&lt;100000000,VALUE($C475),1000000000),IFERROR(IF(VALUE(MID($C475,2,20))&lt;100000000,VALUE(MID($C475,2,20)),1000000000),1000000000))+ROW()/100000,"")</f>
        <v/>
      </c>
    </row>
    <row r="476">
      <c r="D476" s="11" t="n"/>
      <c r="K476" s="7">
        <f>IF($C476="","",J476*W476/100)</f>
        <v/>
      </c>
      <c r="Q476" s="7" t="n"/>
      <c r="R476" s="7" t="n"/>
      <c r="U476">
        <f>IF($C476="","",IF($AJ476=1,0,IF($AI476=1,Settings!$C$6,Settings!$C$7))*100)</f>
        <v/>
      </c>
      <c r="V476" s="7">
        <f>IF($C476="","",R476*U476/100)</f>
        <v/>
      </c>
      <c r="W476" s="7">
        <f>IF($C476="","",R476-V476)</f>
        <v/>
      </c>
      <c r="X476" s="7">
        <f>IF($C476="","",W476-K476)</f>
        <v/>
      </c>
      <c r="AB476" s="7" t="n"/>
      <c r="AE476" s="11" t="n"/>
      <c r="AG476">
        <f>IF($C476="","",IF(COUNTIF($C$2:$C476,$C476)=1,1,0))</f>
        <v/>
      </c>
      <c r="AH476">
        <f>IF($AG476=1,SUMPRODUCT(--($AK$2:$AK$6001&lt;$AK476))+1,"")</f>
        <v/>
      </c>
      <c r="AI476">
        <f>IF($C476="","",IF(OR($N476=TRUE(),$N476="TRUE"),1,0))</f>
        <v/>
      </c>
      <c r="AJ476">
        <f>IF($C476="","",IF($T476="Yes",1,0))</f>
        <v/>
      </c>
      <c r="AK476">
        <f>IF($AG476=1,IFERROR(IF(VALUE($C476)&lt;100000000,VALUE($C476),1000000000),IFERROR(IF(VALUE(MID($C476,2,20))&lt;100000000,VALUE(MID($C476,2,20)),1000000000),1000000000))+ROW()/100000,"")</f>
        <v/>
      </c>
    </row>
    <row r="477">
      <c r="D477" s="11" t="n"/>
      <c r="K477" s="7">
        <f>IF($C477="","",J477*W477/100)</f>
        <v/>
      </c>
      <c r="Q477" s="7" t="n"/>
      <c r="R477" s="7" t="n"/>
      <c r="U477">
        <f>IF($C477="","",IF($AJ477=1,0,IF($AI477=1,Settings!$C$6,Settings!$C$7))*100)</f>
        <v/>
      </c>
      <c r="V477" s="7">
        <f>IF($C477="","",R477*U477/100)</f>
        <v/>
      </c>
      <c r="W477" s="7">
        <f>IF($C477="","",R477-V477)</f>
        <v/>
      </c>
      <c r="X477" s="7">
        <f>IF($C477="","",W477-K477)</f>
        <v/>
      </c>
      <c r="AB477" s="7" t="n"/>
      <c r="AE477" s="11" t="n"/>
      <c r="AG477">
        <f>IF($C477="","",IF(COUNTIF($C$2:$C477,$C477)=1,1,0))</f>
        <v/>
      </c>
      <c r="AH477">
        <f>IF($AG477=1,SUMPRODUCT(--($AK$2:$AK$6001&lt;$AK477))+1,"")</f>
        <v/>
      </c>
      <c r="AI477">
        <f>IF($C477="","",IF(OR($N477=TRUE(),$N477="TRUE"),1,0))</f>
        <v/>
      </c>
      <c r="AJ477">
        <f>IF($C477="","",IF($T477="Yes",1,0))</f>
        <v/>
      </c>
      <c r="AK477">
        <f>IF($AG477=1,IFERROR(IF(VALUE($C477)&lt;100000000,VALUE($C477),1000000000),IFERROR(IF(VALUE(MID($C477,2,20))&lt;100000000,VALUE(MID($C477,2,20)),1000000000),1000000000))+ROW()/100000,"")</f>
        <v/>
      </c>
    </row>
    <row r="478">
      <c r="D478" s="11" t="n"/>
      <c r="K478" s="7">
        <f>IF($C478="","",J478*W478/100)</f>
        <v/>
      </c>
      <c r="Q478" s="7" t="n"/>
      <c r="R478" s="7" t="n"/>
      <c r="U478">
        <f>IF($C478="","",IF($AJ478=1,0,IF($AI478=1,Settings!$C$6,Settings!$C$7))*100)</f>
        <v/>
      </c>
      <c r="V478" s="7">
        <f>IF($C478="","",R478*U478/100)</f>
        <v/>
      </c>
      <c r="W478" s="7">
        <f>IF($C478="","",R478-V478)</f>
        <v/>
      </c>
      <c r="X478" s="7">
        <f>IF($C478="","",W478-K478)</f>
        <v/>
      </c>
      <c r="AB478" s="7" t="n"/>
      <c r="AE478" s="11" t="n"/>
      <c r="AG478">
        <f>IF($C478="","",IF(COUNTIF($C$2:$C478,$C478)=1,1,0))</f>
        <v/>
      </c>
      <c r="AH478">
        <f>IF($AG478=1,SUMPRODUCT(--($AK$2:$AK$6001&lt;$AK478))+1,"")</f>
        <v/>
      </c>
      <c r="AI478">
        <f>IF($C478="","",IF(OR($N478=TRUE(),$N478="TRUE"),1,0))</f>
        <v/>
      </c>
      <c r="AJ478">
        <f>IF($C478="","",IF($T478="Yes",1,0))</f>
        <v/>
      </c>
      <c r="AK478">
        <f>IF($AG478=1,IFERROR(IF(VALUE($C478)&lt;100000000,VALUE($C478),1000000000),IFERROR(IF(VALUE(MID($C478,2,20))&lt;100000000,VALUE(MID($C478,2,20)),1000000000),1000000000))+ROW()/100000,"")</f>
        <v/>
      </c>
    </row>
    <row r="479">
      <c r="D479" s="11" t="n"/>
      <c r="K479" s="7">
        <f>IF($C479="","",J479*W479/100)</f>
        <v/>
      </c>
      <c r="Q479" s="7" t="n"/>
      <c r="R479" s="7" t="n"/>
      <c r="U479">
        <f>IF($C479="","",IF($AJ479=1,0,IF($AI479=1,Settings!$C$6,Settings!$C$7))*100)</f>
        <v/>
      </c>
      <c r="V479" s="7">
        <f>IF($C479="","",R479*U479/100)</f>
        <v/>
      </c>
      <c r="W479" s="7">
        <f>IF($C479="","",R479-V479)</f>
        <v/>
      </c>
      <c r="X479" s="7">
        <f>IF($C479="","",W479-K479)</f>
        <v/>
      </c>
      <c r="AB479" s="7" t="n"/>
      <c r="AE479" s="11" t="n"/>
      <c r="AG479">
        <f>IF($C479="","",IF(COUNTIF($C$2:$C479,$C479)=1,1,0))</f>
        <v/>
      </c>
      <c r="AH479">
        <f>IF($AG479=1,SUMPRODUCT(--($AK$2:$AK$6001&lt;$AK479))+1,"")</f>
        <v/>
      </c>
      <c r="AI479">
        <f>IF($C479="","",IF(OR($N479=TRUE(),$N479="TRUE"),1,0))</f>
        <v/>
      </c>
      <c r="AJ479">
        <f>IF($C479="","",IF($T479="Yes",1,0))</f>
        <v/>
      </c>
      <c r="AK479">
        <f>IF($AG479=1,IFERROR(IF(VALUE($C479)&lt;100000000,VALUE($C479),1000000000),IFERROR(IF(VALUE(MID($C479,2,20))&lt;100000000,VALUE(MID($C479,2,20)),1000000000),1000000000))+ROW()/100000,"")</f>
        <v/>
      </c>
    </row>
    <row r="480">
      <c r="D480" s="11" t="n"/>
      <c r="K480" s="7">
        <f>IF($C480="","",J480*W480/100)</f>
        <v/>
      </c>
      <c r="Q480" s="7" t="n"/>
      <c r="R480" s="7" t="n"/>
      <c r="U480">
        <f>IF($C480="","",IF($AJ480=1,0,IF($AI480=1,Settings!$C$6,Settings!$C$7))*100)</f>
        <v/>
      </c>
      <c r="V480" s="7">
        <f>IF($C480="","",R480*U480/100)</f>
        <v/>
      </c>
      <c r="W480" s="7">
        <f>IF($C480="","",R480-V480)</f>
        <v/>
      </c>
      <c r="X480" s="7">
        <f>IF($C480="","",W480-K480)</f>
        <v/>
      </c>
      <c r="AB480" s="7" t="n"/>
      <c r="AE480" s="11" t="n"/>
      <c r="AG480">
        <f>IF($C480="","",IF(COUNTIF($C$2:$C480,$C480)=1,1,0))</f>
        <v/>
      </c>
      <c r="AH480">
        <f>IF($AG480=1,SUMPRODUCT(--($AK$2:$AK$6001&lt;$AK480))+1,"")</f>
        <v/>
      </c>
      <c r="AI480">
        <f>IF($C480="","",IF(OR($N480=TRUE(),$N480="TRUE"),1,0))</f>
        <v/>
      </c>
      <c r="AJ480">
        <f>IF($C480="","",IF($T480="Yes",1,0))</f>
        <v/>
      </c>
      <c r="AK480">
        <f>IF($AG480=1,IFERROR(IF(VALUE($C480)&lt;100000000,VALUE($C480),1000000000),IFERROR(IF(VALUE(MID($C480,2,20))&lt;100000000,VALUE(MID($C480,2,20)),1000000000),1000000000))+ROW()/100000,"")</f>
        <v/>
      </c>
    </row>
    <row r="481">
      <c r="D481" s="11" t="n"/>
      <c r="K481" s="7">
        <f>IF($C481="","",J481*W481/100)</f>
        <v/>
      </c>
      <c r="Q481" s="7" t="n"/>
      <c r="R481" s="7" t="n"/>
      <c r="U481">
        <f>IF($C481="","",IF($AJ481=1,0,IF($AI481=1,Settings!$C$6,Settings!$C$7))*100)</f>
        <v/>
      </c>
      <c r="V481" s="7">
        <f>IF($C481="","",R481*U481/100)</f>
        <v/>
      </c>
      <c r="W481" s="7">
        <f>IF($C481="","",R481-V481)</f>
        <v/>
      </c>
      <c r="X481" s="7">
        <f>IF($C481="","",W481-K481)</f>
        <v/>
      </c>
      <c r="AB481" s="7" t="n"/>
      <c r="AE481" s="11" t="n"/>
      <c r="AG481">
        <f>IF($C481="","",IF(COUNTIF($C$2:$C481,$C481)=1,1,0))</f>
        <v/>
      </c>
      <c r="AH481">
        <f>IF($AG481=1,SUMPRODUCT(--($AK$2:$AK$6001&lt;$AK481))+1,"")</f>
        <v/>
      </c>
      <c r="AI481">
        <f>IF($C481="","",IF(OR($N481=TRUE(),$N481="TRUE"),1,0))</f>
        <v/>
      </c>
      <c r="AJ481">
        <f>IF($C481="","",IF($T481="Yes",1,0))</f>
        <v/>
      </c>
      <c r="AK481">
        <f>IF($AG481=1,IFERROR(IF(VALUE($C481)&lt;100000000,VALUE($C481),1000000000),IFERROR(IF(VALUE(MID($C481,2,20))&lt;100000000,VALUE(MID($C481,2,20)),1000000000),1000000000))+ROW()/100000,"")</f>
        <v/>
      </c>
    </row>
    <row r="482">
      <c r="D482" s="11" t="n"/>
      <c r="K482" s="7">
        <f>IF($C482="","",J482*W482/100)</f>
        <v/>
      </c>
      <c r="Q482" s="7" t="n"/>
      <c r="R482" s="7" t="n"/>
      <c r="U482">
        <f>IF($C482="","",IF($AJ482=1,0,IF($AI482=1,Settings!$C$6,Settings!$C$7))*100)</f>
        <v/>
      </c>
      <c r="V482" s="7">
        <f>IF($C482="","",R482*U482/100)</f>
        <v/>
      </c>
      <c r="W482" s="7">
        <f>IF($C482="","",R482-V482)</f>
        <v/>
      </c>
      <c r="X482" s="7">
        <f>IF($C482="","",W482-K482)</f>
        <v/>
      </c>
      <c r="AB482" s="7" t="n"/>
      <c r="AE482" s="11" t="n"/>
      <c r="AG482">
        <f>IF($C482="","",IF(COUNTIF($C$2:$C482,$C482)=1,1,0))</f>
        <v/>
      </c>
      <c r="AH482">
        <f>IF($AG482=1,SUMPRODUCT(--($AK$2:$AK$6001&lt;$AK482))+1,"")</f>
        <v/>
      </c>
      <c r="AI482">
        <f>IF($C482="","",IF(OR($N482=TRUE(),$N482="TRUE"),1,0))</f>
        <v/>
      </c>
      <c r="AJ482">
        <f>IF($C482="","",IF($T482="Yes",1,0))</f>
        <v/>
      </c>
      <c r="AK482">
        <f>IF($AG482=1,IFERROR(IF(VALUE($C482)&lt;100000000,VALUE($C482),1000000000),IFERROR(IF(VALUE(MID($C482,2,20))&lt;100000000,VALUE(MID($C482,2,20)),1000000000),1000000000))+ROW()/100000,"")</f>
        <v/>
      </c>
    </row>
    <row r="483">
      <c r="D483" s="11" t="n"/>
      <c r="K483" s="7">
        <f>IF($C483="","",J483*W483/100)</f>
        <v/>
      </c>
      <c r="Q483" s="7" t="n"/>
      <c r="R483" s="7" t="n"/>
      <c r="U483">
        <f>IF($C483="","",IF($AJ483=1,0,IF($AI483=1,Settings!$C$6,Settings!$C$7))*100)</f>
        <v/>
      </c>
      <c r="V483" s="7">
        <f>IF($C483="","",R483*U483/100)</f>
        <v/>
      </c>
      <c r="W483" s="7">
        <f>IF($C483="","",R483-V483)</f>
        <v/>
      </c>
      <c r="X483" s="7">
        <f>IF($C483="","",W483-K483)</f>
        <v/>
      </c>
      <c r="AB483" s="7" t="n"/>
      <c r="AE483" s="11" t="n"/>
      <c r="AG483">
        <f>IF($C483="","",IF(COUNTIF($C$2:$C483,$C483)=1,1,0))</f>
        <v/>
      </c>
      <c r="AH483">
        <f>IF($AG483=1,SUMPRODUCT(--($AK$2:$AK$6001&lt;$AK483))+1,"")</f>
        <v/>
      </c>
      <c r="AI483">
        <f>IF($C483="","",IF(OR($N483=TRUE(),$N483="TRUE"),1,0))</f>
        <v/>
      </c>
      <c r="AJ483">
        <f>IF($C483="","",IF($T483="Yes",1,0))</f>
        <v/>
      </c>
      <c r="AK483">
        <f>IF($AG483=1,IFERROR(IF(VALUE($C483)&lt;100000000,VALUE($C483),1000000000),IFERROR(IF(VALUE(MID($C483,2,20))&lt;100000000,VALUE(MID($C483,2,20)),1000000000),1000000000))+ROW()/100000,"")</f>
        <v/>
      </c>
    </row>
    <row r="484">
      <c r="D484" s="11" t="n"/>
      <c r="K484" s="7">
        <f>IF($C484="","",J484*W484/100)</f>
        <v/>
      </c>
      <c r="Q484" s="7" t="n"/>
      <c r="R484" s="7" t="n"/>
      <c r="U484">
        <f>IF($C484="","",IF($AJ484=1,0,IF($AI484=1,Settings!$C$6,Settings!$C$7))*100)</f>
        <v/>
      </c>
      <c r="V484" s="7">
        <f>IF($C484="","",R484*U484/100)</f>
        <v/>
      </c>
      <c r="W484" s="7">
        <f>IF($C484="","",R484-V484)</f>
        <v/>
      </c>
      <c r="X484" s="7">
        <f>IF($C484="","",W484-K484)</f>
        <v/>
      </c>
      <c r="AB484" s="7" t="n"/>
      <c r="AE484" s="11" t="n"/>
      <c r="AG484">
        <f>IF($C484="","",IF(COUNTIF($C$2:$C484,$C484)=1,1,0))</f>
        <v/>
      </c>
      <c r="AH484">
        <f>IF($AG484=1,SUMPRODUCT(--($AK$2:$AK$6001&lt;$AK484))+1,"")</f>
        <v/>
      </c>
      <c r="AI484">
        <f>IF($C484="","",IF(OR($N484=TRUE(),$N484="TRUE"),1,0))</f>
        <v/>
      </c>
      <c r="AJ484">
        <f>IF($C484="","",IF($T484="Yes",1,0))</f>
        <v/>
      </c>
      <c r="AK484">
        <f>IF($AG484=1,IFERROR(IF(VALUE($C484)&lt;100000000,VALUE($C484),1000000000),IFERROR(IF(VALUE(MID($C484,2,20))&lt;100000000,VALUE(MID($C484,2,20)),1000000000),1000000000))+ROW()/100000,"")</f>
        <v/>
      </c>
    </row>
    <row r="485">
      <c r="D485" s="11" t="n"/>
      <c r="K485" s="7">
        <f>IF($C485="","",J485*W485/100)</f>
        <v/>
      </c>
      <c r="Q485" s="7" t="n"/>
      <c r="R485" s="7" t="n"/>
      <c r="U485">
        <f>IF($C485="","",IF($AJ485=1,0,IF($AI485=1,Settings!$C$6,Settings!$C$7))*100)</f>
        <v/>
      </c>
      <c r="V485" s="7">
        <f>IF($C485="","",R485*U485/100)</f>
        <v/>
      </c>
      <c r="W485" s="7">
        <f>IF($C485="","",R485-V485)</f>
        <v/>
      </c>
      <c r="X485" s="7">
        <f>IF($C485="","",W485-K485)</f>
        <v/>
      </c>
      <c r="AB485" s="7" t="n"/>
      <c r="AE485" s="11" t="n"/>
      <c r="AG485">
        <f>IF($C485="","",IF(COUNTIF($C$2:$C485,$C485)=1,1,0))</f>
        <v/>
      </c>
      <c r="AH485">
        <f>IF($AG485=1,SUMPRODUCT(--($AK$2:$AK$6001&lt;$AK485))+1,"")</f>
        <v/>
      </c>
      <c r="AI485">
        <f>IF($C485="","",IF(OR($N485=TRUE(),$N485="TRUE"),1,0))</f>
        <v/>
      </c>
      <c r="AJ485">
        <f>IF($C485="","",IF($T485="Yes",1,0))</f>
        <v/>
      </c>
      <c r="AK485">
        <f>IF($AG485=1,IFERROR(IF(VALUE($C485)&lt;100000000,VALUE($C485),1000000000),IFERROR(IF(VALUE(MID($C485,2,20))&lt;100000000,VALUE(MID($C485,2,20)),1000000000),1000000000))+ROW()/100000,"")</f>
        <v/>
      </c>
    </row>
    <row r="486">
      <c r="D486" s="11" t="n"/>
      <c r="K486" s="7">
        <f>IF($C486="","",J486*W486/100)</f>
        <v/>
      </c>
      <c r="Q486" s="7" t="n"/>
      <c r="R486" s="7" t="n"/>
      <c r="U486">
        <f>IF($C486="","",IF($AJ486=1,0,IF($AI486=1,Settings!$C$6,Settings!$C$7))*100)</f>
        <v/>
      </c>
      <c r="V486" s="7">
        <f>IF($C486="","",R486*U486/100)</f>
        <v/>
      </c>
      <c r="W486" s="7">
        <f>IF($C486="","",R486-V486)</f>
        <v/>
      </c>
      <c r="X486" s="7">
        <f>IF($C486="","",W486-K486)</f>
        <v/>
      </c>
      <c r="AB486" s="7" t="n"/>
      <c r="AE486" s="11" t="n"/>
      <c r="AG486">
        <f>IF($C486="","",IF(COUNTIF($C$2:$C486,$C486)=1,1,0))</f>
        <v/>
      </c>
      <c r="AH486">
        <f>IF($AG486=1,SUMPRODUCT(--($AK$2:$AK$6001&lt;$AK486))+1,"")</f>
        <v/>
      </c>
      <c r="AI486">
        <f>IF($C486="","",IF(OR($N486=TRUE(),$N486="TRUE"),1,0))</f>
        <v/>
      </c>
      <c r="AJ486">
        <f>IF($C486="","",IF($T486="Yes",1,0))</f>
        <v/>
      </c>
      <c r="AK486">
        <f>IF($AG486=1,IFERROR(IF(VALUE($C486)&lt;100000000,VALUE($C486),1000000000),IFERROR(IF(VALUE(MID($C486,2,20))&lt;100000000,VALUE(MID($C486,2,20)),1000000000),1000000000))+ROW()/100000,"")</f>
        <v/>
      </c>
    </row>
    <row r="487">
      <c r="D487" s="11" t="n"/>
      <c r="K487" s="7">
        <f>IF($C487="","",J487*W487/100)</f>
        <v/>
      </c>
      <c r="Q487" s="7" t="n"/>
      <c r="R487" s="7" t="n"/>
      <c r="U487">
        <f>IF($C487="","",IF($AJ487=1,0,IF($AI487=1,Settings!$C$6,Settings!$C$7))*100)</f>
        <v/>
      </c>
      <c r="V487" s="7">
        <f>IF($C487="","",R487*U487/100)</f>
        <v/>
      </c>
      <c r="W487" s="7">
        <f>IF($C487="","",R487-V487)</f>
        <v/>
      </c>
      <c r="X487" s="7">
        <f>IF($C487="","",W487-K487)</f>
        <v/>
      </c>
      <c r="AB487" s="7" t="n"/>
      <c r="AE487" s="11" t="n"/>
      <c r="AG487">
        <f>IF($C487="","",IF(COUNTIF($C$2:$C487,$C487)=1,1,0))</f>
        <v/>
      </c>
      <c r="AH487">
        <f>IF($AG487=1,SUMPRODUCT(--($AK$2:$AK$6001&lt;$AK487))+1,"")</f>
        <v/>
      </c>
      <c r="AI487">
        <f>IF($C487="","",IF(OR($N487=TRUE(),$N487="TRUE"),1,0))</f>
        <v/>
      </c>
      <c r="AJ487">
        <f>IF($C487="","",IF($T487="Yes",1,0))</f>
        <v/>
      </c>
      <c r="AK487">
        <f>IF($AG487=1,IFERROR(IF(VALUE($C487)&lt;100000000,VALUE($C487),1000000000),IFERROR(IF(VALUE(MID($C487,2,20))&lt;100000000,VALUE(MID($C487,2,20)),1000000000),1000000000))+ROW()/100000,"")</f>
        <v/>
      </c>
    </row>
    <row r="488">
      <c r="D488" s="11" t="n"/>
      <c r="K488" s="7">
        <f>IF($C488="","",J488*W488/100)</f>
        <v/>
      </c>
      <c r="Q488" s="7" t="n"/>
      <c r="R488" s="7" t="n"/>
      <c r="U488">
        <f>IF($C488="","",IF($AJ488=1,0,IF($AI488=1,Settings!$C$6,Settings!$C$7))*100)</f>
        <v/>
      </c>
      <c r="V488" s="7">
        <f>IF($C488="","",R488*U488/100)</f>
        <v/>
      </c>
      <c r="W488" s="7">
        <f>IF($C488="","",R488-V488)</f>
        <v/>
      </c>
      <c r="X488" s="7">
        <f>IF($C488="","",W488-K488)</f>
        <v/>
      </c>
      <c r="AB488" s="7" t="n"/>
      <c r="AE488" s="11" t="n"/>
      <c r="AG488">
        <f>IF($C488="","",IF(COUNTIF($C$2:$C488,$C488)=1,1,0))</f>
        <v/>
      </c>
      <c r="AH488">
        <f>IF($AG488=1,SUMPRODUCT(--($AK$2:$AK$6001&lt;$AK488))+1,"")</f>
        <v/>
      </c>
      <c r="AI488">
        <f>IF($C488="","",IF(OR($N488=TRUE(),$N488="TRUE"),1,0))</f>
        <v/>
      </c>
      <c r="AJ488">
        <f>IF($C488="","",IF($T488="Yes",1,0))</f>
        <v/>
      </c>
      <c r="AK488">
        <f>IF($AG488=1,IFERROR(IF(VALUE($C488)&lt;100000000,VALUE($C488),1000000000),IFERROR(IF(VALUE(MID($C488,2,20))&lt;100000000,VALUE(MID($C488,2,20)),1000000000),1000000000))+ROW()/100000,"")</f>
        <v/>
      </c>
    </row>
    <row r="489">
      <c r="D489" s="11" t="n"/>
      <c r="K489" s="7">
        <f>IF($C489="","",J489*W489/100)</f>
        <v/>
      </c>
      <c r="Q489" s="7" t="n"/>
      <c r="R489" s="7" t="n"/>
      <c r="U489">
        <f>IF($C489="","",IF($AJ489=1,0,IF($AI489=1,Settings!$C$6,Settings!$C$7))*100)</f>
        <v/>
      </c>
      <c r="V489" s="7">
        <f>IF($C489="","",R489*U489/100)</f>
        <v/>
      </c>
      <c r="W489" s="7">
        <f>IF($C489="","",R489-V489)</f>
        <v/>
      </c>
      <c r="X489" s="7">
        <f>IF($C489="","",W489-K489)</f>
        <v/>
      </c>
      <c r="AB489" s="7" t="n"/>
      <c r="AE489" s="11" t="n"/>
      <c r="AG489">
        <f>IF($C489="","",IF(COUNTIF($C$2:$C489,$C489)=1,1,0))</f>
        <v/>
      </c>
      <c r="AH489">
        <f>IF($AG489=1,SUMPRODUCT(--($AK$2:$AK$6001&lt;$AK489))+1,"")</f>
        <v/>
      </c>
      <c r="AI489">
        <f>IF($C489="","",IF(OR($N489=TRUE(),$N489="TRUE"),1,0))</f>
        <v/>
      </c>
      <c r="AJ489">
        <f>IF($C489="","",IF($T489="Yes",1,0))</f>
        <v/>
      </c>
      <c r="AK489">
        <f>IF($AG489=1,IFERROR(IF(VALUE($C489)&lt;100000000,VALUE($C489),1000000000),IFERROR(IF(VALUE(MID($C489,2,20))&lt;100000000,VALUE(MID($C489,2,20)),1000000000),1000000000))+ROW()/100000,"")</f>
        <v/>
      </c>
    </row>
    <row r="490">
      <c r="D490" s="11" t="n"/>
      <c r="K490" s="7">
        <f>IF($C490="","",J490*W490/100)</f>
        <v/>
      </c>
      <c r="Q490" s="7" t="n"/>
      <c r="R490" s="7" t="n"/>
      <c r="U490">
        <f>IF($C490="","",IF($AJ490=1,0,IF($AI490=1,Settings!$C$6,Settings!$C$7))*100)</f>
        <v/>
      </c>
      <c r="V490" s="7">
        <f>IF($C490="","",R490*U490/100)</f>
        <v/>
      </c>
      <c r="W490" s="7">
        <f>IF($C490="","",R490-V490)</f>
        <v/>
      </c>
      <c r="X490" s="7">
        <f>IF($C490="","",W490-K490)</f>
        <v/>
      </c>
      <c r="AB490" s="7" t="n"/>
      <c r="AE490" s="11" t="n"/>
      <c r="AG490">
        <f>IF($C490="","",IF(COUNTIF($C$2:$C490,$C490)=1,1,0))</f>
        <v/>
      </c>
      <c r="AH490">
        <f>IF($AG490=1,SUMPRODUCT(--($AK$2:$AK$6001&lt;$AK490))+1,"")</f>
        <v/>
      </c>
      <c r="AI490">
        <f>IF($C490="","",IF(OR($N490=TRUE(),$N490="TRUE"),1,0))</f>
        <v/>
      </c>
      <c r="AJ490">
        <f>IF($C490="","",IF($T490="Yes",1,0))</f>
        <v/>
      </c>
      <c r="AK490">
        <f>IF($AG490=1,IFERROR(IF(VALUE($C490)&lt;100000000,VALUE($C490),1000000000),IFERROR(IF(VALUE(MID($C490,2,20))&lt;100000000,VALUE(MID($C490,2,20)),1000000000),1000000000))+ROW()/100000,"")</f>
        <v/>
      </c>
    </row>
    <row r="491">
      <c r="D491" s="11" t="n"/>
      <c r="K491" s="7">
        <f>IF($C491="","",J491*W491/100)</f>
        <v/>
      </c>
      <c r="Q491" s="7" t="n"/>
      <c r="R491" s="7" t="n"/>
      <c r="U491">
        <f>IF($C491="","",IF($AJ491=1,0,IF($AI491=1,Settings!$C$6,Settings!$C$7))*100)</f>
        <v/>
      </c>
      <c r="V491" s="7">
        <f>IF($C491="","",R491*U491/100)</f>
        <v/>
      </c>
      <c r="W491" s="7">
        <f>IF($C491="","",R491-V491)</f>
        <v/>
      </c>
      <c r="X491" s="7">
        <f>IF($C491="","",W491-K491)</f>
        <v/>
      </c>
      <c r="AB491" s="7" t="n"/>
      <c r="AE491" s="11" t="n"/>
      <c r="AG491">
        <f>IF($C491="","",IF(COUNTIF($C$2:$C491,$C491)=1,1,0))</f>
        <v/>
      </c>
      <c r="AH491">
        <f>IF($AG491=1,SUMPRODUCT(--($AK$2:$AK$6001&lt;$AK491))+1,"")</f>
        <v/>
      </c>
      <c r="AI491">
        <f>IF($C491="","",IF(OR($N491=TRUE(),$N491="TRUE"),1,0))</f>
        <v/>
      </c>
      <c r="AJ491">
        <f>IF($C491="","",IF($T491="Yes",1,0))</f>
        <v/>
      </c>
      <c r="AK491">
        <f>IF($AG491=1,IFERROR(IF(VALUE($C491)&lt;100000000,VALUE($C491),1000000000),IFERROR(IF(VALUE(MID($C491,2,20))&lt;100000000,VALUE(MID($C491,2,20)),1000000000),1000000000))+ROW()/100000,"")</f>
        <v/>
      </c>
    </row>
    <row r="492">
      <c r="D492" s="11" t="n"/>
      <c r="K492" s="7">
        <f>IF($C492="","",J492*W492/100)</f>
        <v/>
      </c>
      <c r="Q492" s="7" t="n"/>
      <c r="R492" s="7" t="n"/>
      <c r="U492">
        <f>IF($C492="","",IF($AJ492=1,0,IF($AI492=1,Settings!$C$6,Settings!$C$7))*100)</f>
        <v/>
      </c>
      <c r="V492" s="7">
        <f>IF($C492="","",R492*U492/100)</f>
        <v/>
      </c>
      <c r="W492" s="7">
        <f>IF($C492="","",R492-V492)</f>
        <v/>
      </c>
      <c r="X492" s="7">
        <f>IF($C492="","",W492-K492)</f>
        <v/>
      </c>
      <c r="AB492" s="7" t="n"/>
      <c r="AE492" s="11" t="n"/>
      <c r="AG492">
        <f>IF($C492="","",IF(COUNTIF($C$2:$C492,$C492)=1,1,0))</f>
        <v/>
      </c>
      <c r="AH492">
        <f>IF($AG492=1,SUMPRODUCT(--($AK$2:$AK$6001&lt;$AK492))+1,"")</f>
        <v/>
      </c>
      <c r="AI492">
        <f>IF($C492="","",IF(OR($N492=TRUE(),$N492="TRUE"),1,0))</f>
        <v/>
      </c>
      <c r="AJ492">
        <f>IF($C492="","",IF($T492="Yes",1,0))</f>
        <v/>
      </c>
      <c r="AK492">
        <f>IF($AG492=1,IFERROR(IF(VALUE($C492)&lt;100000000,VALUE($C492),1000000000),IFERROR(IF(VALUE(MID($C492,2,20))&lt;100000000,VALUE(MID($C492,2,20)),1000000000),1000000000))+ROW()/100000,"")</f>
        <v/>
      </c>
    </row>
    <row r="493">
      <c r="D493" s="11" t="n"/>
      <c r="K493" s="7">
        <f>IF($C493="","",J493*W493/100)</f>
        <v/>
      </c>
      <c r="Q493" s="7" t="n"/>
      <c r="R493" s="7" t="n"/>
      <c r="U493">
        <f>IF($C493="","",IF($AJ493=1,0,IF($AI493=1,Settings!$C$6,Settings!$C$7))*100)</f>
        <v/>
      </c>
      <c r="V493" s="7">
        <f>IF($C493="","",R493*U493/100)</f>
        <v/>
      </c>
      <c r="W493" s="7">
        <f>IF($C493="","",R493-V493)</f>
        <v/>
      </c>
      <c r="X493" s="7">
        <f>IF($C493="","",W493-K493)</f>
        <v/>
      </c>
      <c r="AB493" s="7" t="n"/>
      <c r="AE493" s="11" t="n"/>
      <c r="AG493">
        <f>IF($C493="","",IF(COUNTIF($C$2:$C493,$C493)=1,1,0))</f>
        <v/>
      </c>
      <c r="AH493">
        <f>IF($AG493=1,SUMPRODUCT(--($AK$2:$AK$6001&lt;$AK493))+1,"")</f>
        <v/>
      </c>
      <c r="AI493">
        <f>IF($C493="","",IF(OR($N493=TRUE(),$N493="TRUE"),1,0))</f>
        <v/>
      </c>
      <c r="AJ493">
        <f>IF($C493="","",IF($T493="Yes",1,0))</f>
        <v/>
      </c>
      <c r="AK493">
        <f>IF($AG493=1,IFERROR(IF(VALUE($C493)&lt;100000000,VALUE($C493),1000000000),IFERROR(IF(VALUE(MID($C493,2,20))&lt;100000000,VALUE(MID($C493,2,20)),1000000000),1000000000))+ROW()/100000,"")</f>
        <v/>
      </c>
    </row>
    <row r="494">
      <c r="D494" s="11" t="n"/>
      <c r="K494" s="7">
        <f>IF($C494="","",J494*W494/100)</f>
        <v/>
      </c>
      <c r="Q494" s="7" t="n"/>
      <c r="R494" s="7" t="n"/>
      <c r="U494">
        <f>IF($C494="","",IF($AJ494=1,0,IF($AI494=1,Settings!$C$6,Settings!$C$7))*100)</f>
        <v/>
      </c>
      <c r="V494" s="7">
        <f>IF($C494="","",R494*U494/100)</f>
        <v/>
      </c>
      <c r="W494" s="7">
        <f>IF($C494="","",R494-V494)</f>
        <v/>
      </c>
      <c r="X494" s="7">
        <f>IF($C494="","",W494-K494)</f>
        <v/>
      </c>
      <c r="AB494" s="7" t="n"/>
      <c r="AE494" s="11" t="n"/>
      <c r="AG494">
        <f>IF($C494="","",IF(COUNTIF($C$2:$C494,$C494)=1,1,0))</f>
        <v/>
      </c>
      <c r="AH494">
        <f>IF($AG494=1,SUMPRODUCT(--($AK$2:$AK$6001&lt;$AK494))+1,"")</f>
        <v/>
      </c>
      <c r="AI494">
        <f>IF($C494="","",IF(OR($N494=TRUE(),$N494="TRUE"),1,0))</f>
        <v/>
      </c>
      <c r="AJ494">
        <f>IF($C494="","",IF($T494="Yes",1,0))</f>
        <v/>
      </c>
      <c r="AK494">
        <f>IF($AG494=1,IFERROR(IF(VALUE($C494)&lt;100000000,VALUE($C494),1000000000),IFERROR(IF(VALUE(MID($C494,2,20))&lt;100000000,VALUE(MID($C494,2,20)),1000000000),1000000000))+ROW()/100000,"")</f>
        <v/>
      </c>
    </row>
    <row r="495">
      <c r="D495" s="11" t="n"/>
      <c r="K495" s="7">
        <f>IF($C495="","",J495*W495/100)</f>
        <v/>
      </c>
      <c r="Q495" s="7" t="n"/>
      <c r="R495" s="7" t="n"/>
      <c r="U495">
        <f>IF($C495="","",IF($AJ495=1,0,IF($AI495=1,Settings!$C$6,Settings!$C$7))*100)</f>
        <v/>
      </c>
      <c r="V495" s="7">
        <f>IF($C495="","",R495*U495/100)</f>
        <v/>
      </c>
      <c r="W495" s="7">
        <f>IF($C495="","",R495-V495)</f>
        <v/>
      </c>
      <c r="X495" s="7">
        <f>IF($C495="","",W495-K495)</f>
        <v/>
      </c>
      <c r="AB495" s="7" t="n"/>
      <c r="AE495" s="11" t="n"/>
      <c r="AG495">
        <f>IF($C495="","",IF(COUNTIF($C$2:$C495,$C495)=1,1,0))</f>
        <v/>
      </c>
      <c r="AH495">
        <f>IF($AG495=1,SUMPRODUCT(--($AK$2:$AK$6001&lt;$AK495))+1,"")</f>
        <v/>
      </c>
      <c r="AI495">
        <f>IF($C495="","",IF(OR($N495=TRUE(),$N495="TRUE"),1,0))</f>
        <v/>
      </c>
      <c r="AJ495">
        <f>IF($C495="","",IF($T495="Yes",1,0))</f>
        <v/>
      </c>
      <c r="AK495">
        <f>IF($AG495=1,IFERROR(IF(VALUE($C495)&lt;100000000,VALUE($C495),1000000000),IFERROR(IF(VALUE(MID($C495,2,20))&lt;100000000,VALUE(MID($C495,2,20)),1000000000),1000000000))+ROW()/100000,"")</f>
        <v/>
      </c>
    </row>
    <row r="496">
      <c r="D496" s="11" t="n"/>
      <c r="K496" s="7">
        <f>IF($C496="","",J496*W496/100)</f>
        <v/>
      </c>
      <c r="Q496" s="7" t="n"/>
      <c r="R496" s="7" t="n"/>
      <c r="U496">
        <f>IF($C496="","",IF($AJ496=1,0,IF($AI496=1,Settings!$C$6,Settings!$C$7))*100)</f>
        <v/>
      </c>
      <c r="V496" s="7">
        <f>IF($C496="","",R496*U496/100)</f>
        <v/>
      </c>
      <c r="W496" s="7">
        <f>IF($C496="","",R496-V496)</f>
        <v/>
      </c>
      <c r="X496" s="7">
        <f>IF($C496="","",W496-K496)</f>
        <v/>
      </c>
      <c r="AB496" s="7" t="n"/>
      <c r="AE496" s="11" t="n"/>
      <c r="AG496">
        <f>IF($C496="","",IF(COUNTIF($C$2:$C496,$C496)=1,1,0))</f>
        <v/>
      </c>
      <c r="AH496">
        <f>IF($AG496=1,SUMPRODUCT(--($AK$2:$AK$6001&lt;$AK496))+1,"")</f>
        <v/>
      </c>
      <c r="AI496">
        <f>IF($C496="","",IF(OR($N496=TRUE(),$N496="TRUE"),1,0))</f>
        <v/>
      </c>
      <c r="AJ496">
        <f>IF($C496="","",IF($T496="Yes",1,0))</f>
        <v/>
      </c>
      <c r="AK496">
        <f>IF($AG496=1,IFERROR(IF(VALUE($C496)&lt;100000000,VALUE($C496),1000000000),IFERROR(IF(VALUE(MID($C496,2,20))&lt;100000000,VALUE(MID($C496,2,20)),1000000000),1000000000))+ROW()/100000,"")</f>
        <v/>
      </c>
    </row>
    <row r="497">
      <c r="D497" s="11" t="n"/>
      <c r="K497" s="7">
        <f>IF($C497="","",J497*W497/100)</f>
        <v/>
      </c>
      <c r="Q497" s="7" t="n"/>
      <c r="R497" s="7" t="n"/>
      <c r="U497">
        <f>IF($C497="","",IF($AJ497=1,0,IF($AI497=1,Settings!$C$6,Settings!$C$7))*100)</f>
        <v/>
      </c>
      <c r="V497" s="7">
        <f>IF($C497="","",R497*U497/100)</f>
        <v/>
      </c>
      <c r="W497" s="7">
        <f>IF($C497="","",R497-V497)</f>
        <v/>
      </c>
      <c r="X497" s="7">
        <f>IF($C497="","",W497-K497)</f>
        <v/>
      </c>
      <c r="AB497" s="7" t="n"/>
      <c r="AE497" s="11" t="n"/>
      <c r="AG497">
        <f>IF($C497="","",IF(COUNTIF($C$2:$C497,$C497)=1,1,0))</f>
        <v/>
      </c>
      <c r="AH497">
        <f>IF($AG497=1,SUMPRODUCT(--($AK$2:$AK$6001&lt;$AK497))+1,"")</f>
        <v/>
      </c>
      <c r="AI497">
        <f>IF($C497="","",IF(OR($N497=TRUE(),$N497="TRUE"),1,0))</f>
        <v/>
      </c>
      <c r="AJ497">
        <f>IF($C497="","",IF($T497="Yes",1,0))</f>
        <v/>
      </c>
      <c r="AK497">
        <f>IF($AG497=1,IFERROR(IF(VALUE($C497)&lt;100000000,VALUE($C497),1000000000),IFERROR(IF(VALUE(MID($C497,2,20))&lt;100000000,VALUE(MID($C497,2,20)),1000000000),1000000000))+ROW()/100000,"")</f>
        <v/>
      </c>
    </row>
    <row r="498">
      <c r="D498" s="11" t="n"/>
      <c r="K498" s="7">
        <f>IF($C498="","",J498*W498/100)</f>
        <v/>
      </c>
      <c r="Q498" s="7" t="n"/>
      <c r="R498" s="7" t="n"/>
      <c r="U498">
        <f>IF($C498="","",IF($AJ498=1,0,IF($AI498=1,Settings!$C$6,Settings!$C$7))*100)</f>
        <v/>
      </c>
      <c r="V498" s="7">
        <f>IF($C498="","",R498*U498/100)</f>
        <v/>
      </c>
      <c r="W498" s="7">
        <f>IF($C498="","",R498-V498)</f>
        <v/>
      </c>
      <c r="X498" s="7">
        <f>IF($C498="","",W498-K498)</f>
        <v/>
      </c>
      <c r="AB498" s="7" t="n"/>
      <c r="AE498" s="11" t="n"/>
      <c r="AG498">
        <f>IF($C498="","",IF(COUNTIF($C$2:$C498,$C498)=1,1,0))</f>
        <v/>
      </c>
      <c r="AH498">
        <f>IF($AG498=1,SUMPRODUCT(--($AK$2:$AK$6001&lt;$AK498))+1,"")</f>
        <v/>
      </c>
      <c r="AI498">
        <f>IF($C498="","",IF(OR($N498=TRUE(),$N498="TRUE"),1,0))</f>
        <v/>
      </c>
      <c r="AJ498">
        <f>IF($C498="","",IF($T498="Yes",1,0))</f>
        <v/>
      </c>
      <c r="AK498">
        <f>IF($AG498=1,IFERROR(IF(VALUE($C498)&lt;100000000,VALUE($C498),1000000000),IFERROR(IF(VALUE(MID($C498,2,20))&lt;100000000,VALUE(MID($C498,2,20)),1000000000),1000000000))+ROW()/100000,"")</f>
        <v/>
      </c>
    </row>
    <row r="499">
      <c r="D499" s="11" t="n"/>
      <c r="K499" s="7">
        <f>IF($C499="","",J499*W499/100)</f>
        <v/>
      </c>
      <c r="Q499" s="7" t="n"/>
      <c r="R499" s="7" t="n"/>
      <c r="U499">
        <f>IF($C499="","",IF($AJ499=1,0,IF($AI499=1,Settings!$C$6,Settings!$C$7))*100)</f>
        <v/>
      </c>
      <c r="V499" s="7">
        <f>IF($C499="","",R499*U499/100)</f>
        <v/>
      </c>
      <c r="W499" s="7">
        <f>IF($C499="","",R499-V499)</f>
        <v/>
      </c>
      <c r="X499" s="7">
        <f>IF($C499="","",W499-K499)</f>
        <v/>
      </c>
      <c r="AB499" s="7" t="n"/>
      <c r="AE499" s="11" t="n"/>
      <c r="AG499">
        <f>IF($C499="","",IF(COUNTIF($C$2:$C499,$C499)=1,1,0))</f>
        <v/>
      </c>
      <c r="AH499">
        <f>IF($AG499=1,SUMPRODUCT(--($AK$2:$AK$6001&lt;$AK499))+1,"")</f>
        <v/>
      </c>
      <c r="AI499">
        <f>IF($C499="","",IF(OR($N499=TRUE(),$N499="TRUE"),1,0))</f>
        <v/>
      </c>
      <c r="AJ499">
        <f>IF($C499="","",IF($T499="Yes",1,0))</f>
        <v/>
      </c>
      <c r="AK499">
        <f>IF($AG499=1,IFERROR(IF(VALUE($C499)&lt;100000000,VALUE($C499),1000000000),IFERROR(IF(VALUE(MID($C499,2,20))&lt;100000000,VALUE(MID($C499,2,20)),1000000000),1000000000))+ROW()/100000,"")</f>
        <v/>
      </c>
    </row>
    <row r="500">
      <c r="D500" s="11" t="n"/>
      <c r="K500" s="7">
        <f>IF($C500="","",J500*W500/100)</f>
        <v/>
      </c>
      <c r="Q500" s="7" t="n"/>
      <c r="R500" s="7" t="n"/>
      <c r="U500">
        <f>IF($C500="","",IF($AJ500=1,0,IF($AI500=1,Settings!$C$6,Settings!$C$7))*100)</f>
        <v/>
      </c>
      <c r="V500" s="7">
        <f>IF($C500="","",R500*U500/100)</f>
        <v/>
      </c>
      <c r="W500" s="7">
        <f>IF($C500="","",R500-V500)</f>
        <v/>
      </c>
      <c r="X500" s="7">
        <f>IF($C500="","",W500-K500)</f>
        <v/>
      </c>
      <c r="AB500" s="7" t="n"/>
      <c r="AE500" s="11" t="n"/>
      <c r="AG500">
        <f>IF($C500="","",IF(COUNTIF($C$2:$C500,$C500)=1,1,0))</f>
        <v/>
      </c>
      <c r="AH500">
        <f>IF($AG500=1,SUMPRODUCT(--($AK$2:$AK$6001&lt;$AK500))+1,"")</f>
        <v/>
      </c>
      <c r="AI500">
        <f>IF($C500="","",IF(OR($N500=TRUE(),$N500="TRUE"),1,0))</f>
        <v/>
      </c>
      <c r="AJ500">
        <f>IF($C500="","",IF($T500="Yes",1,0))</f>
        <v/>
      </c>
      <c r="AK500">
        <f>IF($AG500=1,IFERROR(IF(VALUE($C500)&lt;100000000,VALUE($C500),1000000000),IFERROR(IF(VALUE(MID($C500,2,20))&lt;100000000,VALUE(MID($C500,2,20)),1000000000),1000000000))+ROW()/100000,"")</f>
        <v/>
      </c>
    </row>
    <row r="501">
      <c r="D501" s="11" t="n"/>
      <c r="K501" s="7">
        <f>IF($C501="","",J501*W501/100)</f>
        <v/>
      </c>
      <c r="Q501" s="7" t="n"/>
      <c r="R501" s="7" t="n"/>
      <c r="U501">
        <f>IF($C501="","",IF($AJ501=1,0,IF($AI501=1,Settings!$C$6,Settings!$C$7))*100)</f>
        <v/>
      </c>
      <c r="V501" s="7">
        <f>IF($C501="","",R501*U501/100)</f>
        <v/>
      </c>
      <c r="W501" s="7">
        <f>IF($C501="","",R501-V501)</f>
        <v/>
      </c>
      <c r="X501" s="7">
        <f>IF($C501="","",W501-K501)</f>
        <v/>
      </c>
      <c r="AB501" s="7" t="n"/>
      <c r="AE501" s="11" t="n"/>
      <c r="AG501">
        <f>IF($C501="","",IF(COUNTIF($C$2:$C501,$C501)=1,1,0))</f>
        <v/>
      </c>
      <c r="AH501">
        <f>IF($AG501=1,SUMPRODUCT(--($AK$2:$AK$6001&lt;$AK501))+1,"")</f>
        <v/>
      </c>
      <c r="AI501">
        <f>IF($C501="","",IF(OR($N501=TRUE(),$N501="TRUE"),1,0))</f>
        <v/>
      </c>
      <c r="AJ501">
        <f>IF($C501="","",IF($T501="Yes",1,0))</f>
        <v/>
      </c>
      <c r="AK501">
        <f>IF($AG501=1,IFERROR(IF(VALUE($C501)&lt;100000000,VALUE($C501),1000000000),IFERROR(IF(VALUE(MID($C501,2,20))&lt;100000000,VALUE(MID($C501,2,20)),1000000000),1000000000))+ROW()/100000,"")</f>
        <v/>
      </c>
    </row>
    <row r="502">
      <c r="D502" s="11" t="n"/>
      <c r="K502" s="7">
        <f>IF($C502="","",J502*W502/100)</f>
        <v/>
      </c>
      <c r="Q502" s="7" t="n"/>
      <c r="R502" s="7" t="n"/>
      <c r="U502">
        <f>IF($C502="","",IF($AJ502=1,0,IF($AI502=1,Settings!$C$6,Settings!$C$7))*100)</f>
        <v/>
      </c>
      <c r="V502" s="7">
        <f>IF($C502="","",R502*U502/100)</f>
        <v/>
      </c>
      <c r="W502" s="7">
        <f>IF($C502="","",R502-V502)</f>
        <v/>
      </c>
      <c r="X502" s="7">
        <f>IF($C502="","",W502-K502)</f>
        <v/>
      </c>
      <c r="AB502" s="7" t="n"/>
      <c r="AE502" s="11" t="n"/>
      <c r="AG502">
        <f>IF($C502="","",IF(COUNTIF($C$2:$C502,$C502)=1,1,0))</f>
        <v/>
      </c>
      <c r="AH502">
        <f>IF($AG502=1,SUMPRODUCT(--($AK$2:$AK$6001&lt;$AK502))+1,"")</f>
        <v/>
      </c>
      <c r="AI502">
        <f>IF($C502="","",IF(OR($N502=TRUE(),$N502="TRUE"),1,0))</f>
        <v/>
      </c>
      <c r="AJ502">
        <f>IF($C502="","",IF($T502="Yes",1,0))</f>
        <v/>
      </c>
      <c r="AK502">
        <f>IF($AG502=1,IFERROR(IF(VALUE($C502)&lt;100000000,VALUE($C502),1000000000),IFERROR(IF(VALUE(MID($C502,2,20))&lt;100000000,VALUE(MID($C502,2,20)),1000000000),1000000000))+ROW()/100000,"")</f>
        <v/>
      </c>
    </row>
    <row r="503">
      <c r="D503" s="11" t="n"/>
      <c r="K503" s="7">
        <f>IF($C503="","",J503*W503/100)</f>
        <v/>
      </c>
      <c r="Q503" s="7" t="n"/>
      <c r="R503" s="7" t="n"/>
      <c r="U503">
        <f>IF($C503="","",IF($AJ503=1,0,IF($AI503=1,Settings!$C$6,Settings!$C$7))*100)</f>
        <v/>
      </c>
      <c r="V503" s="7">
        <f>IF($C503="","",R503*U503/100)</f>
        <v/>
      </c>
      <c r="W503" s="7">
        <f>IF($C503="","",R503-V503)</f>
        <v/>
      </c>
      <c r="X503" s="7">
        <f>IF($C503="","",W503-K503)</f>
        <v/>
      </c>
      <c r="AB503" s="7" t="n"/>
      <c r="AE503" s="11" t="n"/>
      <c r="AG503">
        <f>IF($C503="","",IF(COUNTIF($C$2:$C503,$C503)=1,1,0))</f>
        <v/>
      </c>
      <c r="AH503">
        <f>IF($AG503=1,SUMPRODUCT(--($AK$2:$AK$6001&lt;$AK503))+1,"")</f>
        <v/>
      </c>
      <c r="AI503">
        <f>IF($C503="","",IF(OR($N503=TRUE(),$N503="TRUE"),1,0))</f>
        <v/>
      </c>
      <c r="AJ503">
        <f>IF($C503="","",IF($T503="Yes",1,0))</f>
        <v/>
      </c>
      <c r="AK503">
        <f>IF($AG503=1,IFERROR(IF(VALUE($C503)&lt;100000000,VALUE($C503),1000000000),IFERROR(IF(VALUE(MID($C503,2,20))&lt;100000000,VALUE(MID($C503,2,20)),1000000000),1000000000))+ROW()/100000,"")</f>
        <v/>
      </c>
    </row>
    <row r="504">
      <c r="D504" s="11" t="n"/>
      <c r="K504" s="7">
        <f>IF($C504="","",J504*W504/100)</f>
        <v/>
      </c>
      <c r="Q504" s="7" t="n"/>
      <c r="R504" s="7" t="n"/>
      <c r="U504">
        <f>IF($C504="","",IF($AJ504=1,0,IF($AI504=1,Settings!$C$6,Settings!$C$7))*100)</f>
        <v/>
      </c>
      <c r="V504" s="7">
        <f>IF($C504="","",R504*U504/100)</f>
        <v/>
      </c>
      <c r="W504" s="7">
        <f>IF($C504="","",R504-V504)</f>
        <v/>
      </c>
      <c r="X504" s="7">
        <f>IF($C504="","",W504-K504)</f>
        <v/>
      </c>
      <c r="AB504" s="7" t="n"/>
      <c r="AE504" s="11" t="n"/>
      <c r="AG504">
        <f>IF($C504="","",IF(COUNTIF($C$2:$C504,$C504)=1,1,0))</f>
        <v/>
      </c>
      <c r="AH504">
        <f>IF($AG504=1,SUMPRODUCT(--($AK$2:$AK$6001&lt;$AK504))+1,"")</f>
        <v/>
      </c>
      <c r="AI504">
        <f>IF($C504="","",IF(OR($N504=TRUE(),$N504="TRUE"),1,0))</f>
        <v/>
      </c>
      <c r="AJ504">
        <f>IF($C504="","",IF($T504="Yes",1,0))</f>
        <v/>
      </c>
      <c r="AK504">
        <f>IF($AG504=1,IFERROR(IF(VALUE($C504)&lt;100000000,VALUE($C504),1000000000),IFERROR(IF(VALUE(MID($C504,2,20))&lt;100000000,VALUE(MID($C504,2,20)),1000000000),1000000000))+ROW()/100000,"")</f>
        <v/>
      </c>
    </row>
    <row r="505">
      <c r="D505" s="11" t="n"/>
      <c r="K505" s="7">
        <f>IF($C505="","",J505*W505/100)</f>
        <v/>
      </c>
      <c r="Q505" s="7" t="n"/>
      <c r="R505" s="7" t="n"/>
      <c r="U505">
        <f>IF($C505="","",IF($AJ505=1,0,IF($AI505=1,Settings!$C$6,Settings!$C$7))*100)</f>
        <v/>
      </c>
      <c r="V505" s="7">
        <f>IF($C505="","",R505*U505/100)</f>
        <v/>
      </c>
      <c r="W505" s="7">
        <f>IF($C505="","",R505-V505)</f>
        <v/>
      </c>
      <c r="X505" s="7">
        <f>IF($C505="","",W505-K505)</f>
        <v/>
      </c>
      <c r="AB505" s="7" t="n"/>
      <c r="AE505" s="11" t="n"/>
      <c r="AG505">
        <f>IF($C505="","",IF(COUNTIF($C$2:$C505,$C505)=1,1,0))</f>
        <v/>
      </c>
      <c r="AH505">
        <f>IF($AG505=1,SUMPRODUCT(--($AK$2:$AK$6001&lt;$AK505))+1,"")</f>
        <v/>
      </c>
      <c r="AI505">
        <f>IF($C505="","",IF(OR($N505=TRUE(),$N505="TRUE"),1,0))</f>
        <v/>
      </c>
      <c r="AJ505">
        <f>IF($C505="","",IF($T505="Yes",1,0))</f>
        <v/>
      </c>
      <c r="AK505">
        <f>IF($AG505=1,IFERROR(IF(VALUE($C505)&lt;100000000,VALUE($C505),1000000000),IFERROR(IF(VALUE(MID($C505,2,20))&lt;100000000,VALUE(MID($C505,2,20)),1000000000),1000000000))+ROW()/100000,"")</f>
        <v/>
      </c>
    </row>
    <row r="506">
      <c r="D506" s="11" t="n"/>
      <c r="K506" s="7">
        <f>IF($C506="","",J506*W506/100)</f>
        <v/>
      </c>
      <c r="Q506" s="7" t="n"/>
      <c r="R506" s="7" t="n"/>
      <c r="U506">
        <f>IF($C506="","",IF($AJ506=1,0,IF($AI506=1,Settings!$C$6,Settings!$C$7))*100)</f>
        <v/>
      </c>
      <c r="V506" s="7">
        <f>IF($C506="","",R506*U506/100)</f>
        <v/>
      </c>
      <c r="W506" s="7">
        <f>IF($C506="","",R506-V506)</f>
        <v/>
      </c>
      <c r="X506" s="7">
        <f>IF($C506="","",W506-K506)</f>
        <v/>
      </c>
      <c r="AB506" s="7" t="n"/>
      <c r="AE506" s="11" t="n"/>
      <c r="AG506">
        <f>IF($C506="","",IF(COUNTIF($C$2:$C506,$C506)=1,1,0))</f>
        <v/>
      </c>
      <c r="AH506">
        <f>IF($AG506=1,SUMPRODUCT(--($AK$2:$AK$6001&lt;$AK506))+1,"")</f>
        <v/>
      </c>
      <c r="AI506">
        <f>IF($C506="","",IF(OR($N506=TRUE(),$N506="TRUE"),1,0))</f>
        <v/>
      </c>
      <c r="AJ506">
        <f>IF($C506="","",IF($T506="Yes",1,0))</f>
        <v/>
      </c>
      <c r="AK506">
        <f>IF($AG506=1,IFERROR(IF(VALUE($C506)&lt;100000000,VALUE($C506),1000000000),IFERROR(IF(VALUE(MID($C506,2,20))&lt;100000000,VALUE(MID($C506,2,20)),1000000000),1000000000))+ROW()/100000,"")</f>
        <v/>
      </c>
    </row>
    <row r="507">
      <c r="D507" s="11" t="n"/>
      <c r="K507" s="7">
        <f>IF($C507="","",J507*W507/100)</f>
        <v/>
      </c>
      <c r="Q507" s="7" t="n"/>
      <c r="R507" s="7" t="n"/>
      <c r="U507">
        <f>IF($C507="","",IF($AJ507=1,0,IF($AI507=1,Settings!$C$6,Settings!$C$7))*100)</f>
        <v/>
      </c>
      <c r="V507" s="7">
        <f>IF($C507="","",R507*U507/100)</f>
        <v/>
      </c>
      <c r="W507" s="7">
        <f>IF($C507="","",R507-V507)</f>
        <v/>
      </c>
      <c r="X507" s="7">
        <f>IF($C507="","",W507-K507)</f>
        <v/>
      </c>
      <c r="AB507" s="7" t="n"/>
      <c r="AE507" s="11" t="n"/>
      <c r="AG507">
        <f>IF($C507="","",IF(COUNTIF($C$2:$C507,$C507)=1,1,0))</f>
        <v/>
      </c>
      <c r="AH507">
        <f>IF($AG507=1,SUMPRODUCT(--($AK$2:$AK$6001&lt;$AK507))+1,"")</f>
        <v/>
      </c>
      <c r="AI507">
        <f>IF($C507="","",IF(OR($N507=TRUE(),$N507="TRUE"),1,0))</f>
        <v/>
      </c>
      <c r="AJ507">
        <f>IF($C507="","",IF($T507="Yes",1,0))</f>
        <v/>
      </c>
      <c r="AK507">
        <f>IF($AG507=1,IFERROR(IF(VALUE($C507)&lt;100000000,VALUE($C507),1000000000),IFERROR(IF(VALUE(MID($C507,2,20))&lt;100000000,VALUE(MID($C507,2,20)),1000000000),1000000000))+ROW()/100000,"")</f>
        <v/>
      </c>
    </row>
    <row r="508">
      <c r="D508" s="11" t="n"/>
      <c r="K508" s="7">
        <f>IF($C508="","",J508*W508/100)</f>
        <v/>
      </c>
      <c r="Q508" s="7" t="n"/>
      <c r="R508" s="7" t="n"/>
      <c r="U508">
        <f>IF($C508="","",IF($AJ508=1,0,IF($AI508=1,Settings!$C$6,Settings!$C$7))*100)</f>
        <v/>
      </c>
      <c r="V508" s="7">
        <f>IF($C508="","",R508*U508/100)</f>
        <v/>
      </c>
      <c r="W508" s="7">
        <f>IF($C508="","",R508-V508)</f>
        <v/>
      </c>
      <c r="X508" s="7">
        <f>IF($C508="","",W508-K508)</f>
        <v/>
      </c>
      <c r="AB508" s="7" t="n"/>
      <c r="AE508" s="11" t="n"/>
      <c r="AG508">
        <f>IF($C508="","",IF(COUNTIF($C$2:$C508,$C508)=1,1,0))</f>
        <v/>
      </c>
      <c r="AH508">
        <f>IF($AG508=1,SUMPRODUCT(--($AK$2:$AK$6001&lt;$AK508))+1,"")</f>
        <v/>
      </c>
      <c r="AI508">
        <f>IF($C508="","",IF(OR($N508=TRUE(),$N508="TRUE"),1,0))</f>
        <v/>
      </c>
      <c r="AJ508">
        <f>IF($C508="","",IF($T508="Yes",1,0))</f>
        <v/>
      </c>
      <c r="AK508">
        <f>IF($AG508=1,IFERROR(IF(VALUE($C508)&lt;100000000,VALUE($C508),1000000000),IFERROR(IF(VALUE(MID($C508,2,20))&lt;100000000,VALUE(MID($C508,2,20)),1000000000),1000000000))+ROW()/100000,"")</f>
        <v/>
      </c>
    </row>
    <row r="509">
      <c r="D509" s="11" t="n"/>
      <c r="K509" s="7">
        <f>IF($C509="","",J509*W509/100)</f>
        <v/>
      </c>
      <c r="Q509" s="7" t="n"/>
      <c r="R509" s="7" t="n"/>
      <c r="U509">
        <f>IF($C509="","",IF($AJ509=1,0,IF($AI509=1,Settings!$C$6,Settings!$C$7))*100)</f>
        <v/>
      </c>
      <c r="V509" s="7">
        <f>IF($C509="","",R509*U509/100)</f>
        <v/>
      </c>
      <c r="W509" s="7">
        <f>IF($C509="","",R509-V509)</f>
        <v/>
      </c>
      <c r="X509" s="7">
        <f>IF($C509="","",W509-K509)</f>
        <v/>
      </c>
      <c r="AB509" s="7" t="n"/>
      <c r="AE509" s="11" t="n"/>
      <c r="AG509">
        <f>IF($C509="","",IF(COUNTIF($C$2:$C509,$C509)=1,1,0))</f>
        <v/>
      </c>
      <c r="AH509">
        <f>IF($AG509=1,SUMPRODUCT(--($AK$2:$AK$6001&lt;$AK509))+1,"")</f>
        <v/>
      </c>
      <c r="AI509">
        <f>IF($C509="","",IF(OR($N509=TRUE(),$N509="TRUE"),1,0))</f>
        <v/>
      </c>
      <c r="AJ509">
        <f>IF($C509="","",IF($T509="Yes",1,0))</f>
        <v/>
      </c>
      <c r="AK509">
        <f>IF($AG509=1,IFERROR(IF(VALUE($C509)&lt;100000000,VALUE($C509),1000000000),IFERROR(IF(VALUE(MID($C509,2,20))&lt;100000000,VALUE(MID($C509,2,20)),1000000000),1000000000))+ROW()/100000,"")</f>
        <v/>
      </c>
    </row>
    <row r="510">
      <c r="D510" s="11" t="n"/>
      <c r="K510" s="7">
        <f>IF($C510="","",J510*W510/100)</f>
        <v/>
      </c>
      <c r="Q510" s="7" t="n"/>
      <c r="R510" s="7" t="n"/>
      <c r="U510">
        <f>IF($C510="","",IF($AJ510=1,0,IF($AI510=1,Settings!$C$6,Settings!$C$7))*100)</f>
        <v/>
      </c>
      <c r="V510" s="7">
        <f>IF($C510="","",R510*U510/100)</f>
        <v/>
      </c>
      <c r="W510" s="7">
        <f>IF($C510="","",R510-V510)</f>
        <v/>
      </c>
      <c r="X510" s="7">
        <f>IF($C510="","",W510-K510)</f>
        <v/>
      </c>
      <c r="AB510" s="7" t="n"/>
      <c r="AE510" s="11" t="n"/>
      <c r="AG510">
        <f>IF($C510="","",IF(COUNTIF($C$2:$C510,$C510)=1,1,0))</f>
        <v/>
      </c>
      <c r="AH510">
        <f>IF($AG510=1,SUMPRODUCT(--($AK$2:$AK$6001&lt;$AK510))+1,"")</f>
        <v/>
      </c>
      <c r="AI510">
        <f>IF($C510="","",IF(OR($N510=TRUE(),$N510="TRUE"),1,0))</f>
        <v/>
      </c>
      <c r="AJ510">
        <f>IF($C510="","",IF($T510="Yes",1,0))</f>
        <v/>
      </c>
      <c r="AK510">
        <f>IF($AG510=1,IFERROR(IF(VALUE($C510)&lt;100000000,VALUE($C510),1000000000),IFERROR(IF(VALUE(MID($C510,2,20))&lt;100000000,VALUE(MID($C510,2,20)),1000000000),1000000000))+ROW()/100000,"")</f>
        <v/>
      </c>
    </row>
    <row r="511">
      <c r="D511" s="11" t="n"/>
      <c r="K511" s="7">
        <f>IF($C511="","",J511*W511/100)</f>
        <v/>
      </c>
      <c r="Q511" s="7" t="n"/>
      <c r="R511" s="7" t="n"/>
      <c r="U511">
        <f>IF($C511="","",IF($AJ511=1,0,IF($AI511=1,Settings!$C$6,Settings!$C$7))*100)</f>
        <v/>
      </c>
      <c r="V511" s="7">
        <f>IF($C511="","",R511*U511/100)</f>
        <v/>
      </c>
      <c r="W511" s="7">
        <f>IF($C511="","",R511-V511)</f>
        <v/>
      </c>
      <c r="X511" s="7">
        <f>IF($C511="","",W511-K511)</f>
        <v/>
      </c>
      <c r="AB511" s="7" t="n"/>
      <c r="AE511" s="11" t="n"/>
      <c r="AG511">
        <f>IF($C511="","",IF(COUNTIF($C$2:$C511,$C511)=1,1,0))</f>
        <v/>
      </c>
      <c r="AH511">
        <f>IF($AG511=1,SUMPRODUCT(--($AK$2:$AK$6001&lt;$AK511))+1,"")</f>
        <v/>
      </c>
      <c r="AI511">
        <f>IF($C511="","",IF(OR($N511=TRUE(),$N511="TRUE"),1,0))</f>
        <v/>
      </c>
      <c r="AJ511">
        <f>IF($C511="","",IF($T511="Yes",1,0))</f>
        <v/>
      </c>
      <c r="AK511">
        <f>IF($AG511=1,IFERROR(IF(VALUE($C511)&lt;100000000,VALUE($C511),1000000000),IFERROR(IF(VALUE(MID($C511,2,20))&lt;100000000,VALUE(MID($C511,2,20)),1000000000),1000000000))+ROW()/100000,"")</f>
        <v/>
      </c>
    </row>
    <row r="512">
      <c r="D512" s="11" t="n"/>
      <c r="K512" s="7">
        <f>IF($C512="","",J512*W512/100)</f>
        <v/>
      </c>
      <c r="Q512" s="7" t="n"/>
      <c r="R512" s="7" t="n"/>
      <c r="U512">
        <f>IF($C512="","",IF($AJ512=1,0,IF($AI512=1,Settings!$C$6,Settings!$C$7))*100)</f>
        <v/>
      </c>
      <c r="V512" s="7">
        <f>IF($C512="","",R512*U512/100)</f>
        <v/>
      </c>
      <c r="W512" s="7">
        <f>IF($C512="","",R512-V512)</f>
        <v/>
      </c>
      <c r="X512" s="7">
        <f>IF($C512="","",W512-K512)</f>
        <v/>
      </c>
      <c r="AB512" s="7" t="n"/>
      <c r="AE512" s="11" t="n"/>
      <c r="AG512">
        <f>IF($C512="","",IF(COUNTIF($C$2:$C512,$C512)=1,1,0))</f>
        <v/>
      </c>
      <c r="AH512">
        <f>IF($AG512=1,SUMPRODUCT(--($AK$2:$AK$6001&lt;$AK512))+1,"")</f>
        <v/>
      </c>
      <c r="AI512">
        <f>IF($C512="","",IF(OR($N512=TRUE(),$N512="TRUE"),1,0))</f>
        <v/>
      </c>
      <c r="AJ512">
        <f>IF($C512="","",IF($T512="Yes",1,0))</f>
        <v/>
      </c>
      <c r="AK512">
        <f>IF($AG512=1,IFERROR(IF(VALUE($C512)&lt;100000000,VALUE($C512),1000000000),IFERROR(IF(VALUE(MID($C512,2,20))&lt;100000000,VALUE(MID($C512,2,20)),1000000000),1000000000))+ROW()/100000,"")</f>
        <v/>
      </c>
    </row>
    <row r="513">
      <c r="D513" s="11" t="n"/>
      <c r="K513" s="7">
        <f>IF($C513="","",J513*W513/100)</f>
        <v/>
      </c>
      <c r="Q513" s="7" t="n"/>
      <c r="R513" s="7" t="n"/>
      <c r="U513">
        <f>IF($C513="","",IF($AJ513=1,0,IF($AI513=1,Settings!$C$6,Settings!$C$7))*100)</f>
        <v/>
      </c>
      <c r="V513" s="7">
        <f>IF($C513="","",R513*U513/100)</f>
        <v/>
      </c>
      <c r="W513" s="7">
        <f>IF($C513="","",R513-V513)</f>
        <v/>
      </c>
      <c r="X513" s="7">
        <f>IF($C513="","",W513-K513)</f>
        <v/>
      </c>
      <c r="AB513" s="7" t="n"/>
      <c r="AE513" s="11" t="n"/>
      <c r="AG513">
        <f>IF($C513="","",IF(COUNTIF($C$2:$C513,$C513)=1,1,0))</f>
        <v/>
      </c>
      <c r="AH513">
        <f>IF($AG513=1,SUMPRODUCT(--($AK$2:$AK$6001&lt;$AK513))+1,"")</f>
        <v/>
      </c>
      <c r="AI513">
        <f>IF($C513="","",IF(OR($N513=TRUE(),$N513="TRUE"),1,0))</f>
        <v/>
      </c>
      <c r="AJ513">
        <f>IF($C513="","",IF($T513="Yes",1,0))</f>
        <v/>
      </c>
      <c r="AK513">
        <f>IF($AG513=1,IFERROR(IF(VALUE($C513)&lt;100000000,VALUE($C513),1000000000),IFERROR(IF(VALUE(MID($C513,2,20))&lt;100000000,VALUE(MID($C513,2,20)),1000000000),1000000000))+ROW()/100000,"")</f>
        <v/>
      </c>
    </row>
    <row r="514">
      <c r="D514" s="11" t="n"/>
      <c r="K514" s="7">
        <f>IF($C514="","",J514*W514/100)</f>
        <v/>
      </c>
      <c r="Q514" s="7" t="n"/>
      <c r="R514" s="7" t="n"/>
      <c r="U514">
        <f>IF($C514="","",IF($AJ514=1,0,IF($AI514=1,Settings!$C$6,Settings!$C$7))*100)</f>
        <v/>
      </c>
      <c r="V514" s="7">
        <f>IF($C514="","",R514*U514/100)</f>
        <v/>
      </c>
      <c r="W514" s="7">
        <f>IF($C514="","",R514-V514)</f>
        <v/>
      </c>
      <c r="X514" s="7">
        <f>IF($C514="","",W514-K514)</f>
        <v/>
      </c>
      <c r="AB514" s="7" t="n"/>
      <c r="AE514" s="11" t="n"/>
      <c r="AG514">
        <f>IF($C514="","",IF(COUNTIF($C$2:$C514,$C514)=1,1,0))</f>
        <v/>
      </c>
      <c r="AH514">
        <f>IF($AG514=1,SUMPRODUCT(--($AK$2:$AK$6001&lt;$AK514))+1,"")</f>
        <v/>
      </c>
      <c r="AI514">
        <f>IF($C514="","",IF(OR($N514=TRUE(),$N514="TRUE"),1,0))</f>
        <v/>
      </c>
      <c r="AJ514">
        <f>IF($C514="","",IF($T514="Yes",1,0))</f>
        <v/>
      </c>
      <c r="AK514">
        <f>IF($AG514=1,IFERROR(IF(VALUE($C514)&lt;100000000,VALUE($C514),1000000000),IFERROR(IF(VALUE(MID($C514,2,20))&lt;100000000,VALUE(MID($C514,2,20)),1000000000),1000000000))+ROW()/100000,"")</f>
        <v/>
      </c>
    </row>
    <row r="515">
      <c r="D515" s="11" t="n"/>
      <c r="K515" s="7">
        <f>IF($C515="","",J515*W515/100)</f>
        <v/>
      </c>
      <c r="Q515" s="7" t="n"/>
      <c r="R515" s="7" t="n"/>
      <c r="U515">
        <f>IF($C515="","",IF($AJ515=1,0,IF($AI515=1,Settings!$C$6,Settings!$C$7))*100)</f>
        <v/>
      </c>
      <c r="V515" s="7">
        <f>IF($C515="","",R515*U515/100)</f>
        <v/>
      </c>
      <c r="W515" s="7">
        <f>IF($C515="","",R515-V515)</f>
        <v/>
      </c>
      <c r="X515" s="7">
        <f>IF($C515="","",W515-K515)</f>
        <v/>
      </c>
      <c r="AB515" s="7" t="n"/>
      <c r="AE515" s="11" t="n"/>
      <c r="AG515">
        <f>IF($C515="","",IF(COUNTIF($C$2:$C515,$C515)=1,1,0))</f>
        <v/>
      </c>
      <c r="AH515">
        <f>IF($AG515=1,SUMPRODUCT(--($AK$2:$AK$6001&lt;$AK515))+1,"")</f>
        <v/>
      </c>
      <c r="AI515">
        <f>IF($C515="","",IF(OR($N515=TRUE(),$N515="TRUE"),1,0))</f>
        <v/>
      </c>
      <c r="AJ515">
        <f>IF($C515="","",IF($T515="Yes",1,0))</f>
        <v/>
      </c>
      <c r="AK515">
        <f>IF($AG515=1,IFERROR(IF(VALUE($C515)&lt;100000000,VALUE($C515),1000000000),IFERROR(IF(VALUE(MID($C515,2,20))&lt;100000000,VALUE(MID($C515,2,20)),1000000000),1000000000))+ROW()/100000,"")</f>
        <v/>
      </c>
    </row>
    <row r="516">
      <c r="D516" s="11" t="n"/>
      <c r="K516" s="7">
        <f>IF($C516="","",J516*W516/100)</f>
        <v/>
      </c>
      <c r="Q516" s="7" t="n"/>
      <c r="R516" s="7" t="n"/>
      <c r="U516">
        <f>IF($C516="","",IF($AJ516=1,0,IF($AI516=1,Settings!$C$6,Settings!$C$7))*100)</f>
        <v/>
      </c>
      <c r="V516" s="7">
        <f>IF($C516="","",R516*U516/100)</f>
        <v/>
      </c>
      <c r="W516" s="7">
        <f>IF($C516="","",R516-V516)</f>
        <v/>
      </c>
      <c r="X516" s="7">
        <f>IF($C516="","",W516-K516)</f>
        <v/>
      </c>
      <c r="AB516" s="7" t="n"/>
      <c r="AE516" s="11" t="n"/>
      <c r="AG516">
        <f>IF($C516="","",IF(COUNTIF($C$2:$C516,$C516)=1,1,0))</f>
        <v/>
      </c>
      <c r="AH516">
        <f>IF($AG516=1,SUMPRODUCT(--($AK$2:$AK$6001&lt;$AK516))+1,"")</f>
        <v/>
      </c>
      <c r="AI516">
        <f>IF($C516="","",IF(OR($N516=TRUE(),$N516="TRUE"),1,0))</f>
        <v/>
      </c>
      <c r="AJ516">
        <f>IF($C516="","",IF($T516="Yes",1,0))</f>
        <v/>
      </c>
      <c r="AK516">
        <f>IF($AG516=1,IFERROR(IF(VALUE($C516)&lt;100000000,VALUE($C516),1000000000),IFERROR(IF(VALUE(MID($C516,2,20))&lt;100000000,VALUE(MID($C516,2,20)),1000000000),1000000000))+ROW()/100000,"")</f>
        <v/>
      </c>
    </row>
    <row r="517">
      <c r="D517" s="11" t="n"/>
      <c r="K517" s="7">
        <f>IF($C517="","",J517*W517/100)</f>
        <v/>
      </c>
      <c r="Q517" s="7" t="n"/>
      <c r="R517" s="7" t="n"/>
      <c r="U517">
        <f>IF($C517="","",IF($AJ517=1,0,IF($AI517=1,Settings!$C$6,Settings!$C$7))*100)</f>
        <v/>
      </c>
      <c r="V517" s="7">
        <f>IF($C517="","",R517*U517/100)</f>
        <v/>
      </c>
      <c r="W517" s="7">
        <f>IF($C517="","",R517-V517)</f>
        <v/>
      </c>
      <c r="X517" s="7">
        <f>IF($C517="","",W517-K517)</f>
        <v/>
      </c>
      <c r="AB517" s="7" t="n"/>
      <c r="AE517" s="11" t="n"/>
      <c r="AG517">
        <f>IF($C517="","",IF(COUNTIF($C$2:$C517,$C517)=1,1,0))</f>
        <v/>
      </c>
      <c r="AH517">
        <f>IF($AG517=1,SUMPRODUCT(--($AK$2:$AK$6001&lt;$AK517))+1,"")</f>
        <v/>
      </c>
      <c r="AI517">
        <f>IF($C517="","",IF(OR($N517=TRUE(),$N517="TRUE"),1,0))</f>
        <v/>
      </c>
      <c r="AJ517">
        <f>IF($C517="","",IF($T517="Yes",1,0))</f>
        <v/>
      </c>
      <c r="AK517">
        <f>IF($AG517=1,IFERROR(IF(VALUE($C517)&lt;100000000,VALUE($C517),1000000000),IFERROR(IF(VALUE(MID($C517,2,20))&lt;100000000,VALUE(MID($C517,2,20)),1000000000),1000000000))+ROW()/100000,"")</f>
        <v/>
      </c>
    </row>
    <row r="518">
      <c r="D518" s="11" t="n"/>
      <c r="K518" s="7">
        <f>IF($C518="","",J518*W518/100)</f>
        <v/>
      </c>
      <c r="Q518" s="7" t="n"/>
      <c r="R518" s="7" t="n"/>
      <c r="U518">
        <f>IF($C518="","",IF($AJ518=1,0,IF($AI518=1,Settings!$C$6,Settings!$C$7))*100)</f>
        <v/>
      </c>
      <c r="V518" s="7">
        <f>IF($C518="","",R518*U518/100)</f>
        <v/>
      </c>
      <c r="W518" s="7">
        <f>IF($C518="","",R518-V518)</f>
        <v/>
      </c>
      <c r="X518" s="7">
        <f>IF($C518="","",W518-K518)</f>
        <v/>
      </c>
      <c r="AB518" s="7" t="n"/>
      <c r="AE518" s="11" t="n"/>
      <c r="AG518">
        <f>IF($C518="","",IF(COUNTIF($C$2:$C518,$C518)=1,1,0))</f>
        <v/>
      </c>
      <c r="AH518">
        <f>IF($AG518=1,SUMPRODUCT(--($AK$2:$AK$6001&lt;$AK518))+1,"")</f>
        <v/>
      </c>
      <c r="AI518">
        <f>IF($C518="","",IF(OR($N518=TRUE(),$N518="TRUE"),1,0))</f>
        <v/>
      </c>
      <c r="AJ518">
        <f>IF($C518="","",IF($T518="Yes",1,0))</f>
        <v/>
      </c>
      <c r="AK518">
        <f>IF($AG518=1,IFERROR(IF(VALUE($C518)&lt;100000000,VALUE($C518),1000000000),IFERROR(IF(VALUE(MID($C518,2,20))&lt;100000000,VALUE(MID($C518,2,20)),1000000000),1000000000))+ROW()/100000,"")</f>
        <v/>
      </c>
    </row>
    <row r="519">
      <c r="D519" s="11" t="n"/>
      <c r="K519" s="7">
        <f>IF($C519="","",J519*W519/100)</f>
        <v/>
      </c>
      <c r="Q519" s="7" t="n"/>
      <c r="R519" s="7" t="n"/>
      <c r="U519">
        <f>IF($C519="","",IF($AJ519=1,0,IF($AI519=1,Settings!$C$6,Settings!$C$7))*100)</f>
        <v/>
      </c>
      <c r="V519" s="7">
        <f>IF($C519="","",R519*U519/100)</f>
        <v/>
      </c>
      <c r="W519" s="7">
        <f>IF($C519="","",R519-V519)</f>
        <v/>
      </c>
      <c r="X519" s="7">
        <f>IF($C519="","",W519-K519)</f>
        <v/>
      </c>
      <c r="AB519" s="7" t="n"/>
      <c r="AE519" s="11" t="n"/>
      <c r="AG519">
        <f>IF($C519="","",IF(COUNTIF($C$2:$C519,$C519)=1,1,0))</f>
        <v/>
      </c>
      <c r="AH519">
        <f>IF($AG519=1,SUMPRODUCT(--($AK$2:$AK$6001&lt;$AK519))+1,"")</f>
        <v/>
      </c>
      <c r="AI519">
        <f>IF($C519="","",IF(OR($N519=TRUE(),$N519="TRUE"),1,0))</f>
        <v/>
      </c>
      <c r="AJ519">
        <f>IF($C519="","",IF($T519="Yes",1,0))</f>
        <v/>
      </c>
      <c r="AK519">
        <f>IF($AG519=1,IFERROR(IF(VALUE($C519)&lt;100000000,VALUE($C519),1000000000),IFERROR(IF(VALUE(MID($C519,2,20))&lt;100000000,VALUE(MID($C519,2,20)),1000000000),1000000000))+ROW()/100000,"")</f>
        <v/>
      </c>
    </row>
    <row r="520">
      <c r="D520" s="11" t="n"/>
      <c r="K520" s="7">
        <f>IF($C520="","",J520*W520/100)</f>
        <v/>
      </c>
      <c r="Q520" s="7" t="n"/>
      <c r="R520" s="7" t="n"/>
      <c r="U520">
        <f>IF($C520="","",IF($AJ520=1,0,IF($AI520=1,Settings!$C$6,Settings!$C$7))*100)</f>
        <v/>
      </c>
      <c r="V520" s="7">
        <f>IF($C520="","",R520*U520/100)</f>
        <v/>
      </c>
      <c r="W520" s="7">
        <f>IF($C520="","",R520-V520)</f>
        <v/>
      </c>
      <c r="X520" s="7">
        <f>IF($C520="","",W520-K520)</f>
        <v/>
      </c>
      <c r="AB520" s="7" t="n"/>
      <c r="AE520" s="11" t="n"/>
      <c r="AG520">
        <f>IF($C520="","",IF(COUNTIF($C$2:$C520,$C520)=1,1,0))</f>
        <v/>
      </c>
      <c r="AH520">
        <f>IF($AG520=1,SUMPRODUCT(--($AK$2:$AK$6001&lt;$AK520))+1,"")</f>
        <v/>
      </c>
      <c r="AI520">
        <f>IF($C520="","",IF(OR($N520=TRUE(),$N520="TRUE"),1,0))</f>
        <v/>
      </c>
      <c r="AJ520">
        <f>IF($C520="","",IF($T520="Yes",1,0))</f>
        <v/>
      </c>
      <c r="AK520">
        <f>IF($AG520=1,IFERROR(IF(VALUE($C520)&lt;100000000,VALUE($C520),1000000000),IFERROR(IF(VALUE(MID($C520,2,20))&lt;100000000,VALUE(MID($C520,2,20)),1000000000),1000000000))+ROW()/100000,"")</f>
        <v/>
      </c>
    </row>
    <row r="521">
      <c r="D521" s="11" t="n"/>
      <c r="K521" s="7">
        <f>IF($C521="","",J521*W521/100)</f>
        <v/>
      </c>
      <c r="Q521" s="7" t="n"/>
      <c r="R521" s="7" t="n"/>
      <c r="U521">
        <f>IF($C521="","",IF($AJ521=1,0,IF($AI521=1,Settings!$C$6,Settings!$C$7))*100)</f>
        <v/>
      </c>
      <c r="V521" s="7">
        <f>IF($C521="","",R521*U521/100)</f>
        <v/>
      </c>
      <c r="W521" s="7">
        <f>IF($C521="","",R521-V521)</f>
        <v/>
      </c>
      <c r="X521" s="7">
        <f>IF($C521="","",W521-K521)</f>
        <v/>
      </c>
      <c r="AB521" s="7" t="n"/>
      <c r="AE521" s="11" t="n"/>
      <c r="AG521">
        <f>IF($C521="","",IF(COUNTIF($C$2:$C521,$C521)=1,1,0))</f>
        <v/>
      </c>
      <c r="AH521">
        <f>IF($AG521=1,SUMPRODUCT(--($AK$2:$AK$6001&lt;$AK521))+1,"")</f>
        <v/>
      </c>
      <c r="AI521">
        <f>IF($C521="","",IF(OR($N521=TRUE(),$N521="TRUE"),1,0))</f>
        <v/>
      </c>
      <c r="AJ521">
        <f>IF($C521="","",IF($T521="Yes",1,0))</f>
        <v/>
      </c>
      <c r="AK521">
        <f>IF($AG521=1,IFERROR(IF(VALUE($C521)&lt;100000000,VALUE($C521),1000000000),IFERROR(IF(VALUE(MID($C521,2,20))&lt;100000000,VALUE(MID($C521,2,20)),1000000000),1000000000))+ROW()/100000,"")</f>
        <v/>
      </c>
    </row>
    <row r="522">
      <c r="D522" s="11" t="n"/>
      <c r="K522" s="7">
        <f>IF($C522="","",J522*W522/100)</f>
        <v/>
      </c>
      <c r="Q522" s="7" t="n"/>
      <c r="R522" s="7" t="n"/>
      <c r="U522">
        <f>IF($C522="","",IF($AJ522=1,0,IF($AI522=1,Settings!$C$6,Settings!$C$7))*100)</f>
        <v/>
      </c>
      <c r="V522" s="7">
        <f>IF($C522="","",R522*U522/100)</f>
        <v/>
      </c>
      <c r="W522" s="7">
        <f>IF($C522="","",R522-V522)</f>
        <v/>
      </c>
      <c r="X522" s="7">
        <f>IF($C522="","",W522-K522)</f>
        <v/>
      </c>
      <c r="AB522" s="7" t="n"/>
      <c r="AE522" s="11" t="n"/>
      <c r="AG522">
        <f>IF($C522="","",IF(COUNTIF($C$2:$C522,$C522)=1,1,0))</f>
        <v/>
      </c>
      <c r="AH522">
        <f>IF($AG522=1,SUMPRODUCT(--($AK$2:$AK$6001&lt;$AK522))+1,"")</f>
        <v/>
      </c>
      <c r="AI522">
        <f>IF($C522="","",IF(OR($N522=TRUE(),$N522="TRUE"),1,0))</f>
        <v/>
      </c>
      <c r="AJ522">
        <f>IF($C522="","",IF($T522="Yes",1,0))</f>
        <v/>
      </c>
      <c r="AK522">
        <f>IF($AG522=1,IFERROR(IF(VALUE($C522)&lt;100000000,VALUE($C522),1000000000),IFERROR(IF(VALUE(MID($C522,2,20))&lt;100000000,VALUE(MID($C522,2,20)),1000000000),1000000000))+ROW()/100000,"")</f>
        <v/>
      </c>
    </row>
    <row r="523">
      <c r="D523" s="11" t="n"/>
      <c r="K523" s="7">
        <f>IF($C523="","",J523*W523/100)</f>
        <v/>
      </c>
      <c r="Q523" s="7" t="n"/>
      <c r="R523" s="7" t="n"/>
      <c r="U523">
        <f>IF($C523="","",IF($AJ523=1,0,IF($AI523=1,Settings!$C$6,Settings!$C$7))*100)</f>
        <v/>
      </c>
      <c r="V523" s="7">
        <f>IF($C523="","",R523*U523/100)</f>
        <v/>
      </c>
      <c r="W523" s="7">
        <f>IF($C523="","",R523-V523)</f>
        <v/>
      </c>
      <c r="X523" s="7">
        <f>IF($C523="","",W523-K523)</f>
        <v/>
      </c>
      <c r="AB523" s="7" t="n"/>
      <c r="AE523" s="11" t="n"/>
      <c r="AG523">
        <f>IF($C523="","",IF(COUNTIF($C$2:$C523,$C523)=1,1,0))</f>
        <v/>
      </c>
      <c r="AH523">
        <f>IF($AG523=1,SUMPRODUCT(--($AK$2:$AK$6001&lt;$AK523))+1,"")</f>
        <v/>
      </c>
      <c r="AI523">
        <f>IF($C523="","",IF(OR($N523=TRUE(),$N523="TRUE"),1,0))</f>
        <v/>
      </c>
      <c r="AJ523">
        <f>IF($C523="","",IF($T523="Yes",1,0))</f>
        <v/>
      </c>
      <c r="AK523">
        <f>IF($AG523=1,IFERROR(IF(VALUE($C523)&lt;100000000,VALUE($C523),1000000000),IFERROR(IF(VALUE(MID($C523,2,20))&lt;100000000,VALUE(MID($C523,2,20)),1000000000),1000000000))+ROW()/100000,"")</f>
        <v/>
      </c>
    </row>
    <row r="524">
      <c r="D524" s="11" t="n"/>
      <c r="K524" s="7">
        <f>IF($C524="","",J524*W524/100)</f>
        <v/>
      </c>
      <c r="Q524" s="7" t="n"/>
      <c r="R524" s="7" t="n"/>
      <c r="U524">
        <f>IF($C524="","",IF($AJ524=1,0,IF($AI524=1,Settings!$C$6,Settings!$C$7))*100)</f>
        <v/>
      </c>
      <c r="V524" s="7">
        <f>IF($C524="","",R524*U524/100)</f>
        <v/>
      </c>
      <c r="W524" s="7">
        <f>IF($C524="","",R524-V524)</f>
        <v/>
      </c>
      <c r="X524" s="7">
        <f>IF($C524="","",W524-K524)</f>
        <v/>
      </c>
      <c r="AB524" s="7" t="n"/>
      <c r="AE524" s="11" t="n"/>
      <c r="AG524">
        <f>IF($C524="","",IF(COUNTIF($C$2:$C524,$C524)=1,1,0))</f>
        <v/>
      </c>
      <c r="AH524">
        <f>IF($AG524=1,SUMPRODUCT(--($AK$2:$AK$6001&lt;$AK524))+1,"")</f>
        <v/>
      </c>
      <c r="AI524">
        <f>IF($C524="","",IF(OR($N524=TRUE(),$N524="TRUE"),1,0))</f>
        <v/>
      </c>
      <c r="AJ524">
        <f>IF($C524="","",IF($T524="Yes",1,0))</f>
        <v/>
      </c>
      <c r="AK524">
        <f>IF($AG524=1,IFERROR(IF(VALUE($C524)&lt;100000000,VALUE($C524),1000000000),IFERROR(IF(VALUE(MID($C524,2,20))&lt;100000000,VALUE(MID($C524,2,20)),1000000000),1000000000))+ROW()/100000,"")</f>
        <v/>
      </c>
    </row>
    <row r="525">
      <c r="D525" s="11" t="n"/>
      <c r="K525" s="7">
        <f>IF($C525="","",J525*W525/100)</f>
        <v/>
      </c>
      <c r="Q525" s="7" t="n"/>
      <c r="R525" s="7" t="n"/>
      <c r="U525">
        <f>IF($C525="","",IF($AJ525=1,0,IF($AI525=1,Settings!$C$6,Settings!$C$7))*100)</f>
        <v/>
      </c>
      <c r="V525" s="7">
        <f>IF($C525="","",R525*U525/100)</f>
        <v/>
      </c>
      <c r="W525" s="7">
        <f>IF($C525="","",R525-V525)</f>
        <v/>
      </c>
      <c r="X525" s="7">
        <f>IF($C525="","",W525-K525)</f>
        <v/>
      </c>
      <c r="AB525" s="7" t="n"/>
      <c r="AE525" s="11" t="n"/>
      <c r="AG525">
        <f>IF($C525="","",IF(COUNTIF($C$2:$C525,$C525)=1,1,0))</f>
        <v/>
      </c>
      <c r="AH525">
        <f>IF($AG525=1,SUMPRODUCT(--($AK$2:$AK$6001&lt;$AK525))+1,"")</f>
        <v/>
      </c>
      <c r="AI525">
        <f>IF($C525="","",IF(OR($N525=TRUE(),$N525="TRUE"),1,0))</f>
        <v/>
      </c>
      <c r="AJ525">
        <f>IF($C525="","",IF($T525="Yes",1,0))</f>
        <v/>
      </c>
      <c r="AK525">
        <f>IF($AG525=1,IFERROR(IF(VALUE($C525)&lt;100000000,VALUE($C525),1000000000),IFERROR(IF(VALUE(MID($C525,2,20))&lt;100000000,VALUE(MID($C525,2,20)),1000000000),1000000000))+ROW()/100000,"")</f>
        <v/>
      </c>
    </row>
    <row r="526">
      <c r="D526" s="11" t="n"/>
      <c r="K526" s="7">
        <f>IF($C526="","",J526*W526/100)</f>
        <v/>
      </c>
      <c r="Q526" s="7" t="n"/>
      <c r="R526" s="7" t="n"/>
      <c r="U526">
        <f>IF($C526="","",IF($AJ526=1,0,IF($AI526=1,Settings!$C$6,Settings!$C$7))*100)</f>
        <v/>
      </c>
      <c r="V526" s="7">
        <f>IF($C526="","",R526*U526/100)</f>
        <v/>
      </c>
      <c r="W526" s="7">
        <f>IF($C526="","",R526-V526)</f>
        <v/>
      </c>
      <c r="X526" s="7">
        <f>IF($C526="","",W526-K526)</f>
        <v/>
      </c>
      <c r="AB526" s="7" t="n"/>
      <c r="AE526" s="11" t="n"/>
      <c r="AG526">
        <f>IF($C526="","",IF(COUNTIF($C$2:$C526,$C526)=1,1,0))</f>
        <v/>
      </c>
      <c r="AH526">
        <f>IF($AG526=1,SUMPRODUCT(--($AK$2:$AK$6001&lt;$AK526))+1,"")</f>
        <v/>
      </c>
      <c r="AI526">
        <f>IF($C526="","",IF(OR($N526=TRUE(),$N526="TRUE"),1,0))</f>
        <v/>
      </c>
      <c r="AJ526">
        <f>IF($C526="","",IF($T526="Yes",1,0))</f>
        <v/>
      </c>
      <c r="AK526">
        <f>IF($AG526=1,IFERROR(IF(VALUE($C526)&lt;100000000,VALUE($C526),1000000000),IFERROR(IF(VALUE(MID($C526,2,20))&lt;100000000,VALUE(MID($C526,2,20)),1000000000),1000000000))+ROW()/100000,"")</f>
        <v/>
      </c>
    </row>
    <row r="527">
      <c r="D527" s="11" t="n"/>
      <c r="K527" s="7">
        <f>IF($C527="","",J527*W527/100)</f>
        <v/>
      </c>
      <c r="Q527" s="7" t="n"/>
      <c r="R527" s="7" t="n"/>
      <c r="U527">
        <f>IF($C527="","",IF($AJ527=1,0,IF($AI527=1,Settings!$C$6,Settings!$C$7))*100)</f>
        <v/>
      </c>
      <c r="V527" s="7">
        <f>IF($C527="","",R527*U527/100)</f>
        <v/>
      </c>
      <c r="W527" s="7">
        <f>IF($C527="","",R527-V527)</f>
        <v/>
      </c>
      <c r="X527" s="7">
        <f>IF($C527="","",W527-K527)</f>
        <v/>
      </c>
      <c r="AB527" s="7" t="n"/>
      <c r="AE527" s="11" t="n"/>
      <c r="AG527">
        <f>IF($C527="","",IF(COUNTIF($C$2:$C527,$C527)=1,1,0))</f>
        <v/>
      </c>
      <c r="AH527">
        <f>IF($AG527=1,SUMPRODUCT(--($AK$2:$AK$6001&lt;$AK527))+1,"")</f>
        <v/>
      </c>
      <c r="AI527">
        <f>IF($C527="","",IF(OR($N527=TRUE(),$N527="TRUE"),1,0))</f>
        <v/>
      </c>
      <c r="AJ527">
        <f>IF($C527="","",IF($T527="Yes",1,0))</f>
        <v/>
      </c>
      <c r="AK527">
        <f>IF($AG527=1,IFERROR(IF(VALUE($C527)&lt;100000000,VALUE($C527),1000000000),IFERROR(IF(VALUE(MID($C527,2,20))&lt;100000000,VALUE(MID($C527,2,20)),1000000000),1000000000))+ROW()/100000,"")</f>
        <v/>
      </c>
    </row>
    <row r="528">
      <c r="D528" s="11" t="n"/>
      <c r="K528" s="7">
        <f>IF($C528="","",J528*W528/100)</f>
        <v/>
      </c>
      <c r="Q528" s="7" t="n"/>
      <c r="R528" s="7" t="n"/>
      <c r="U528">
        <f>IF($C528="","",IF($AJ528=1,0,IF($AI528=1,Settings!$C$6,Settings!$C$7))*100)</f>
        <v/>
      </c>
      <c r="V528" s="7">
        <f>IF($C528="","",R528*U528/100)</f>
        <v/>
      </c>
      <c r="W528" s="7">
        <f>IF($C528="","",R528-V528)</f>
        <v/>
      </c>
      <c r="X528" s="7">
        <f>IF($C528="","",W528-K528)</f>
        <v/>
      </c>
      <c r="AB528" s="7" t="n"/>
      <c r="AE528" s="11" t="n"/>
      <c r="AG528">
        <f>IF($C528="","",IF(COUNTIF($C$2:$C528,$C528)=1,1,0))</f>
        <v/>
      </c>
      <c r="AH528">
        <f>IF($AG528=1,SUMPRODUCT(--($AK$2:$AK$6001&lt;$AK528))+1,"")</f>
        <v/>
      </c>
      <c r="AI528">
        <f>IF($C528="","",IF(OR($N528=TRUE(),$N528="TRUE"),1,0))</f>
        <v/>
      </c>
      <c r="AJ528">
        <f>IF($C528="","",IF($T528="Yes",1,0))</f>
        <v/>
      </c>
      <c r="AK528">
        <f>IF($AG528=1,IFERROR(IF(VALUE($C528)&lt;100000000,VALUE($C528),1000000000),IFERROR(IF(VALUE(MID($C528,2,20))&lt;100000000,VALUE(MID($C528,2,20)),1000000000),1000000000))+ROW()/100000,"")</f>
        <v/>
      </c>
    </row>
    <row r="529">
      <c r="D529" s="11" t="n"/>
      <c r="K529" s="7">
        <f>IF($C529="","",J529*W529/100)</f>
        <v/>
      </c>
      <c r="Q529" s="7" t="n"/>
      <c r="R529" s="7" t="n"/>
      <c r="U529">
        <f>IF($C529="","",IF($AJ529=1,0,IF($AI529=1,Settings!$C$6,Settings!$C$7))*100)</f>
        <v/>
      </c>
      <c r="V529" s="7">
        <f>IF($C529="","",R529*U529/100)</f>
        <v/>
      </c>
      <c r="W529" s="7">
        <f>IF($C529="","",R529-V529)</f>
        <v/>
      </c>
      <c r="X529" s="7">
        <f>IF($C529="","",W529-K529)</f>
        <v/>
      </c>
      <c r="AB529" s="7" t="n"/>
      <c r="AE529" s="11" t="n"/>
      <c r="AG529">
        <f>IF($C529="","",IF(COUNTIF($C$2:$C529,$C529)=1,1,0))</f>
        <v/>
      </c>
      <c r="AH529">
        <f>IF($AG529=1,SUMPRODUCT(--($AK$2:$AK$6001&lt;$AK529))+1,"")</f>
        <v/>
      </c>
      <c r="AI529">
        <f>IF($C529="","",IF(OR($N529=TRUE(),$N529="TRUE"),1,0))</f>
        <v/>
      </c>
      <c r="AJ529">
        <f>IF($C529="","",IF($T529="Yes",1,0))</f>
        <v/>
      </c>
      <c r="AK529">
        <f>IF($AG529=1,IFERROR(IF(VALUE($C529)&lt;100000000,VALUE($C529),1000000000),IFERROR(IF(VALUE(MID($C529,2,20))&lt;100000000,VALUE(MID($C529,2,20)),1000000000),1000000000))+ROW()/100000,"")</f>
        <v/>
      </c>
    </row>
    <row r="530">
      <c r="D530" s="11" t="n"/>
      <c r="K530" s="7">
        <f>IF($C530="","",J530*W530/100)</f>
        <v/>
      </c>
      <c r="Q530" s="7" t="n"/>
      <c r="R530" s="7" t="n"/>
      <c r="U530">
        <f>IF($C530="","",IF($AJ530=1,0,IF($AI530=1,Settings!$C$6,Settings!$C$7))*100)</f>
        <v/>
      </c>
      <c r="V530" s="7">
        <f>IF($C530="","",R530*U530/100)</f>
        <v/>
      </c>
      <c r="W530" s="7">
        <f>IF($C530="","",R530-V530)</f>
        <v/>
      </c>
      <c r="X530" s="7">
        <f>IF($C530="","",W530-K530)</f>
        <v/>
      </c>
      <c r="AB530" s="7" t="n"/>
      <c r="AE530" s="11" t="n"/>
      <c r="AG530">
        <f>IF($C530="","",IF(COUNTIF($C$2:$C530,$C530)=1,1,0))</f>
        <v/>
      </c>
      <c r="AH530">
        <f>IF($AG530=1,SUMPRODUCT(--($AK$2:$AK$6001&lt;$AK530))+1,"")</f>
        <v/>
      </c>
      <c r="AI530">
        <f>IF($C530="","",IF(OR($N530=TRUE(),$N530="TRUE"),1,0))</f>
        <v/>
      </c>
      <c r="AJ530">
        <f>IF($C530="","",IF($T530="Yes",1,0))</f>
        <v/>
      </c>
      <c r="AK530">
        <f>IF($AG530=1,IFERROR(IF(VALUE($C530)&lt;100000000,VALUE($C530),1000000000),IFERROR(IF(VALUE(MID($C530,2,20))&lt;100000000,VALUE(MID($C530,2,20)),1000000000),1000000000))+ROW()/100000,"")</f>
        <v/>
      </c>
    </row>
    <row r="531">
      <c r="D531" s="11" t="n"/>
      <c r="K531" s="7">
        <f>IF($C531="","",J531*W531/100)</f>
        <v/>
      </c>
      <c r="Q531" s="7" t="n"/>
      <c r="R531" s="7" t="n"/>
      <c r="U531">
        <f>IF($C531="","",IF($AJ531=1,0,IF($AI531=1,Settings!$C$6,Settings!$C$7))*100)</f>
        <v/>
      </c>
      <c r="V531" s="7">
        <f>IF($C531="","",R531*U531/100)</f>
        <v/>
      </c>
      <c r="W531" s="7">
        <f>IF($C531="","",R531-V531)</f>
        <v/>
      </c>
      <c r="X531" s="7">
        <f>IF($C531="","",W531-K531)</f>
        <v/>
      </c>
      <c r="AB531" s="7" t="n"/>
      <c r="AE531" s="11" t="n"/>
      <c r="AG531">
        <f>IF($C531="","",IF(COUNTIF($C$2:$C531,$C531)=1,1,0))</f>
        <v/>
      </c>
      <c r="AH531">
        <f>IF($AG531=1,SUMPRODUCT(--($AK$2:$AK$6001&lt;$AK531))+1,"")</f>
        <v/>
      </c>
      <c r="AI531">
        <f>IF($C531="","",IF(OR($N531=TRUE(),$N531="TRUE"),1,0))</f>
        <v/>
      </c>
      <c r="AJ531">
        <f>IF($C531="","",IF($T531="Yes",1,0))</f>
        <v/>
      </c>
      <c r="AK531">
        <f>IF($AG531=1,IFERROR(IF(VALUE($C531)&lt;100000000,VALUE($C531),1000000000),IFERROR(IF(VALUE(MID($C531,2,20))&lt;100000000,VALUE(MID($C531,2,20)),1000000000),1000000000))+ROW()/100000,"")</f>
        <v/>
      </c>
    </row>
    <row r="532">
      <c r="D532" s="11" t="n"/>
      <c r="K532" s="7">
        <f>IF($C532="","",J532*W532/100)</f>
        <v/>
      </c>
      <c r="Q532" s="7" t="n"/>
      <c r="R532" s="7" t="n"/>
      <c r="U532">
        <f>IF($C532="","",IF($AJ532=1,0,IF($AI532=1,Settings!$C$6,Settings!$C$7))*100)</f>
        <v/>
      </c>
      <c r="V532" s="7">
        <f>IF($C532="","",R532*U532/100)</f>
        <v/>
      </c>
      <c r="W532" s="7">
        <f>IF($C532="","",R532-V532)</f>
        <v/>
      </c>
      <c r="X532" s="7">
        <f>IF($C532="","",W532-K532)</f>
        <v/>
      </c>
      <c r="AB532" s="7" t="n"/>
      <c r="AE532" s="11" t="n"/>
      <c r="AG532">
        <f>IF($C532="","",IF(COUNTIF($C$2:$C532,$C532)=1,1,0))</f>
        <v/>
      </c>
      <c r="AH532">
        <f>IF($AG532=1,SUMPRODUCT(--($AK$2:$AK$6001&lt;$AK532))+1,"")</f>
        <v/>
      </c>
      <c r="AI532">
        <f>IF($C532="","",IF(OR($N532=TRUE(),$N532="TRUE"),1,0))</f>
        <v/>
      </c>
      <c r="AJ532">
        <f>IF($C532="","",IF($T532="Yes",1,0))</f>
        <v/>
      </c>
      <c r="AK532">
        <f>IF($AG532=1,IFERROR(IF(VALUE($C532)&lt;100000000,VALUE($C532),1000000000),IFERROR(IF(VALUE(MID($C532,2,20))&lt;100000000,VALUE(MID($C532,2,20)),1000000000),1000000000))+ROW()/100000,"")</f>
        <v/>
      </c>
    </row>
    <row r="533">
      <c r="D533" s="11" t="n"/>
      <c r="K533" s="7">
        <f>IF($C533="","",J533*W533/100)</f>
        <v/>
      </c>
      <c r="Q533" s="7" t="n"/>
      <c r="R533" s="7" t="n"/>
      <c r="U533">
        <f>IF($C533="","",IF($AJ533=1,0,IF($AI533=1,Settings!$C$6,Settings!$C$7))*100)</f>
        <v/>
      </c>
      <c r="V533" s="7">
        <f>IF($C533="","",R533*U533/100)</f>
        <v/>
      </c>
      <c r="W533" s="7">
        <f>IF($C533="","",R533-V533)</f>
        <v/>
      </c>
      <c r="X533" s="7">
        <f>IF($C533="","",W533-K533)</f>
        <v/>
      </c>
      <c r="AB533" s="7" t="n"/>
      <c r="AE533" s="11" t="n"/>
      <c r="AG533">
        <f>IF($C533="","",IF(COUNTIF($C$2:$C533,$C533)=1,1,0))</f>
        <v/>
      </c>
      <c r="AH533">
        <f>IF($AG533=1,SUMPRODUCT(--($AK$2:$AK$6001&lt;$AK533))+1,"")</f>
        <v/>
      </c>
      <c r="AI533">
        <f>IF($C533="","",IF(OR($N533=TRUE(),$N533="TRUE"),1,0))</f>
        <v/>
      </c>
      <c r="AJ533">
        <f>IF($C533="","",IF($T533="Yes",1,0))</f>
        <v/>
      </c>
      <c r="AK533">
        <f>IF($AG533=1,IFERROR(IF(VALUE($C533)&lt;100000000,VALUE($C533),1000000000),IFERROR(IF(VALUE(MID($C533,2,20))&lt;100000000,VALUE(MID($C533,2,20)),1000000000),1000000000))+ROW()/100000,"")</f>
        <v/>
      </c>
    </row>
    <row r="534">
      <c r="D534" s="11" t="n"/>
      <c r="K534" s="7">
        <f>IF($C534="","",J534*W534/100)</f>
        <v/>
      </c>
      <c r="Q534" s="7" t="n"/>
      <c r="R534" s="7" t="n"/>
      <c r="U534">
        <f>IF($C534="","",IF($AJ534=1,0,IF($AI534=1,Settings!$C$6,Settings!$C$7))*100)</f>
        <v/>
      </c>
      <c r="V534" s="7">
        <f>IF($C534="","",R534*U534/100)</f>
        <v/>
      </c>
      <c r="W534" s="7">
        <f>IF($C534="","",R534-V534)</f>
        <v/>
      </c>
      <c r="X534" s="7">
        <f>IF($C534="","",W534-K534)</f>
        <v/>
      </c>
      <c r="AB534" s="7" t="n"/>
      <c r="AE534" s="11" t="n"/>
      <c r="AG534">
        <f>IF($C534="","",IF(COUNTIF($C$2:$C534,$C534)=1,1,0))</f>
        <v/>
      </c>
      <c r="AH534">
        <f>IF($AG534=1,SUMPRODUCT(--($AK$2:$AK$6001&lt;$AK534))+1,"")</f>
        <v/>
      </c>
      <c r="AI534">
        <f>IF($C534="","",IF(OR($N534=TRUE(),$N534="TRUE"),1,0))</f>
        <v/>
      </c>
      <c r="AJ534">
        <f>IF($C534="","",IF($T534="Yes",1,0))</f>
        <v/>
      </c>
      <c r="AK534">
        <f>IF($AG534=1,IFERROR(IF(VALUE($C534)&lt;100000000,VALUE($C534),1000000000),IFERROR(IF(VALUE(MID($C534,2,20))&lt;100000000,VALUE(MID($C534,2,20)),1000000000),1000000000))+ROW()/100000,"")</f>
        <v/>
      </c>
    </row>
    <row r="535">
      <c r="D535" s="11" t="n"/>
      <c r="K535" s="7">
        <f>IF($C535="","",J535*W535/100)</f>
        <v/>
      </c>
      <c r="Q535" s="7" t="n"/>
      <c r="R535" s="7" t="n"/>
      <c r="U535">
        <f>IF($C535="","",IF($AJ535=1,0,IF($AI535=1,Settings!$C$6,Settings!$C$7))*100)</f>
        <v/>
      </c>
      <c r="V535" s="7">
        <f>IF($C535="","",R535*U535/100)</f>
        <v/>
      </c>
      <c r="W535" s="7">
        <f>IF($C535="","",R535-V535)</f>
        <v/>
      </c>
      <c r="X535" s="7">
        <f>IF($C535="","",W535-K535)</f>
        <v/>
      </c>
      <c r="AB535" s="7" t="n"/>
      <c r="AE535" s="11" t="n"/>
      <c r="AG535">
        <f>IF($C535="","",IF(COUNTIF($C$2:$C535,$C535)=1,1,0))</f>
        <v/>
      </c>
      <c r="AH535">
        <f>IF($AG535=1,SUMPRODUCT(--($AK$2:$AK$6001&lt;$AK535))+1,"")</f>
        <v/>
      </c>
      <c r="AI535">
        <f>IF($C535="","",IF(OR($N535=TRUE(),$N535="TRUE"),1,0))</f>
        <v/>
      </c>
      <c r="AJ535">
        <f>IF($C535="","",IF($T535="Yes",1,0))</f>
        <v/>
      </c>
      <c r="AK535">
        <f>IF($AG535=1,IFERROR(IF(VALUE($C535)&lt;100000000,VALUE($C535),1000000000),IFERROR(IF(VALUE(MID($C535,2,20))&lt;100000000,VALUE(MID($C535,2,20)),1000000000),1000000000))+ROW()/100000,"")</f>
        <v/>
      </c>
    </row>
    <row r="536">
      <c r="D536" s="11" t="n"/>
      <c r="K536" s="7">
        <f>IF($C536="","",J536*W536/100)</f>
        <v/>
      </c>
      <c r="Q536" s="7" t="n"/>
      <c r="R536" s="7" t="n"/>
      <c r="U536">
        <f>IF($C536="","",IF($AJ536=1,0,IF($AI536=1,Settings!$C$6,Settings!$C$7))*100)</f>
        <v/>
      </c>
      <c r="V536" s="7">
        <f>IF($C536="","",R536*U536/100)</f>
        <v/>
      </c>
      <c r="W536" s="7">
        <f>IF($C536="","",R536-V536)</f>
        <v/>
      </c>
      <c r="X536" s="7">
        <f>IF($C536="","",W536-K536)</f>
        <v/>
      </c>
      <c r="AB536" s="7" t="n"/>
      <c r="AE536" s="11" t="n"/>
      <c r="AG536">
        <f>IF($C536="","",IF(COUNTIF($C$2:$C536,$C536)=1,1,0))</f>
        <v/>
      </c>
      <c r="AH536">
        <f>IF($AG536=1,SUMPRODUCT(--($AK$2:$AK$6001&lt;$AK536))+1,"")</f>
        <v/>
      </c>
      <c r="AI536">
        <f>IF($C536="","",IF(OR($N536=TRUE(),$N536="TRUE"),1,0))</f>
        <v/>
      </c>
      <c r="AJ536">
        <f>IF($C536="","",IF($T536="Yes",1,0))</f>
        <v/>
      </c>
      <c r="AK536">
        <f>IF($AG536=1,IFERROR(IF(VALUE($C536)&lt;100000000,VALUE($C536),1000000000),IFERROR(IF(VALUE(MID($C536,2,20))&lt;100000000,VALUE(MID($C536,2,20)),1000000000),1000000000))+ROW()/100000,"")</f>
        <v/>
      </c>
    </row>
    <row r="537">
      <c r="D537" s="11" t="n"/>
      <c r="K537" s="7">
        <f>IF($C537="","",J537*W537/100)</f>
        <v/>
      </c>
      <c r="Q537" s="7" t="n"/>
      <c r="R537" s="7" t="n"/>
      <c r="U537">
        <f>IF($C537="","",IF($AJ537=1,0,IF($AI537=1,Settings!$C$6,Settings!$C$7))*100)</f>
        <v/>
      </c>
      <c r="V537" s="7">
        <f>IF($C537="","",R537*U537/100)</f>
        <v/>
      </c>
      <c r="W537" s="7">
        <f>IF($C537="","",R537-V537)</f>
        <v/>
      </c>
      <c r="X537" s="7">
        <f>IF($C537="","",W537-K537)</f>
        <v/>
      </c>
      <c r="AB537" s="7" t="n"/>
      <c r="AE537" s="11" t="n"/>
      <c r="AG537">
        <f>IF($C537="","",IF(COUNTIF($C$2:$C537,$C537)=1,1,0))</f>
        <v/>
      </c>
      <c r="AH537">
        <f>IF($AG537=1,SUMPRODUCT(--($AK$2:$AK$6001&lt;$AK537))+1,"")</f>
        <v/>
      </c>
      <c r="AI537">
        <f>IF($C537="","",IF(OR($N537=TRUE(),$N537="TRUE"),1,0))</f>
        <v/>
      </c>
      <c r="AJ537">
        <f>IF($C537="","",IF($T537="Yes",1,0))</f>
        <v/>
      </c>
      <c r="AK537">
        <f>IF($AG537=1,IFERROR(IF(VALUE($C537)&lt;100000000,VALUE($C537),1000000000),IFERROR(IF(VALUE(MID($C537,2,20))&lt;100000000,VALUE(MID($C537,2,20)),1000000000),1000000000))+ROW()/100000,"")</f>
        <v/>
      </c>
    </row>
    <row r="538">
      <c r="D538" s="11" t="n"/>
      <c r="K538" s="7">
        <f>IF($C538="","",J538*W538/100)</f>
        <v/>
      </c>
      <c r="Q538" s="7" t="n"/>
      <c r="R538" s="7" t="n"/>
      <c r="U538">
        <f>IF($C538="","",IF($AJ538=1,0,IF($AI538=1,Settings!$C$6,Settings!$C$7))*100)</f>
        <v/>
      </c>
      <c r="V538" s="7">
        <f>IF($C538="","",R538*U538/100)</f>
        <v/>
      </c>
      <c r="W538" s="7">
        <f>IF($C538="","",R538-V538)</f>
        <v/>
      </c>
      <c r="X538" s="7">
        <f>IF($C538="","",W538-K538)</f>
        <v/>
      </c>
      <c r="AB538" s="7" t="n"/>
      <c r="AE538" s="11" t="n"/>
      <c r="AG538">
        <f>IF($C538="","",IF(COUNTIF($C$2:$C538,$C538)=1,1,0))</f>
        <v/>
      </c>
      <c r="AH538">
        <f>IF($AG538=1,SUMPRODUCT(--($AK$2:$AK$6001&lt;$AK538))+1,"")</f>
        <v/>
      </c>
      <c r="AI538">
        <f>IF($C538="","",IF(OR($N538=TRUE(),$N538="TRUE"),1,0))</f>
        <v/>
      </c>
      <c r="AJ538">
        <f>IF($C538="","",IF($T538="Yes",1,0))</f>
        <v/>
      </c>
      <c r="AK538">
        <f>IF($AG538=1,IFERROR(IF(VALUE($C538)&lt;100000000,VALUE($C538),1000000000),IFERROR(IF(VALUE(MID($C538,2,20))&lt;100000000,VALUE(MID($C538,2,20)),1000000000),1000000000))+ROW()/100000,"")</f>
        <v/>
      </c>
    </row>
    <row r="539">
      <c r="D539" s="11" t="n"/>
      <c r="K539" s="7">
        <f>IF($C539="","",J539*W539/100)</f>
        <v/>
      </c>
      <c r="Q539" s="7" t="n"/>
      <c r="R539" s="7" t="n"/>
      <c r="U539">
        <f>IF($C539="","",IF($AJ539=1,0,IF($AI539=1,Settings!$C$6,Settings!$C$7))*100)</f>
        <v/>
      </c>
      <c r="V539" s="7">
        <f>IF($C539="","",R539*U539/100)</f>
        <v/>
      </c>
      <c r="W539" s="7">
        <f>IF($C539="","",R539-V539)</f>
        <v/>
      </c>
      <c r="X539" s="7">
        <f>IF($C539="","",W539-K539)</f>
        <v/>
      </c>
      <c r="AB539" s="7" t="n"/>
      <c r="AE539" s="11" t="n"/>
      <c r="AG539">
        <f>IF($C539="","",IF(COUNTIF($C$2:$C539,$C539)=1,1,0))</f>
        <v/>
      </c>
      <c r="AH539">
        <f>IF($AG539=1,SUMPRODUCT(--($AK$2:$AK$6001&lt;$AK539))+1,"")</f>
        <v/>
      </c>
      <c r="AI539">
        <f>IF($C539="","",IF(OR($N539=TRUE(),$N539="TRUE"),1,0))</f>
        <v/>
      </c>
      <c r="AJ539">
        <f>IF($C539="","",IF($T539="Yes",1,0))</f>
        <v/>
      </c>
      <c r="AK539">
        <f>IF($AG539=1,IFERROR(IF(VALUE($C539)&lt;100000000,VALUE($C539),1000000000),IFERROR(IF(VALUE(MID($C539,2,20))&lt;100000000,VALUE(MID($C539,2,20)),1000000000),1000000000))+ROW()/100000,"")</f>
        <v/>
      </c>
    </row>
    <row r="540">
      <c r="D540" s="11" t="n"/>
      <c r="K540" s="7">
        <f>IF($C540="","",J540*W540/100)</f>
        <v/>
      </c>
      <c r="Q540" s="7" t="n"/>
      <c r="R540" s="7" t="n"/>
      <c r="U540">
        <f>IF($C540="","",IF($AJ540=1,0,IF($AI540=1,Settings!$C$6,Settings!$C$7))*100)</f>
        <v/>
      </c>
      <c r="V540" s="7">
        <f>IF($C540="","",R540*U540/100)</f>
        <v/>
      </c>
      <c r="W540" s="7">
        <f>IF($C540="","",R540-V540)</f>
        <v/>
      </c>
      <c r="X540" s="7">
        <f>IF($C540="","",W540-K540)</f>
        <v/>
      </c>
      <c r="AB540" s="7" t="n"/>
      <c r="AE540" s="11" t="n"/>
      <c r="AG540">
        <f>IF($C540="","",IF(COUNTIF($C$2:$C540,$C540)=1,1,0))</f>
        <v/>
      </c>
      <c r="AH540">
        <f>IF($AG540=1,SUMPRODUCT(--($AK$2:$AK$6001&lt;$AK540))+1,"")</f>
        <v/>
      </c>
      <c r="AI540">
        <f>IF($C540="","",IF(OR($N540=TRUE(),$N540="TRUE"),1,0))</f>
        <v/>
      </c>
      <c r="AJ540">
        <f>IF($C540="","",IF($T540="Yes",1,0))</f>
        <v/>
      </c>
      <c r="AK540">
        <f>IF($AG540=1,IFERROR(IF(VALUE($C540)&lt;100000000,VALUE($C540),1000000000),IFERROR(IF(VALUE(MID($C540,2,20))&lt;100000000,VALUE(MID($C540,2,20)),1000000000),1000000000))+ROW()/100000,"")</f>
        <v/>
      </c>
    </row>
    <row r="541">
      <c r="D541" s="11" t="n"/>
      <c r="K541" s="7">
        <f>IF($C541="","",J541*W541/100)</f>
        <v/>
      </c>
      <c r="Q541" s="7" t="n"/>
      <c r="R541" s="7" t="n"/>
      <c r="U541">
        <f>IF($C541="","",IF($AJ541=1,0,IF($AI541=1,Settings!$C$6,Settings!$C$7))*100)</f>
        <v/>
      </c>
      <c r="V541" s="7">
        <f>IF($C541="","",R541*U541/100)</f>
        <v/>
      </c>
      <c r="W541" s="7">
        <f>IF($C541="","",R541-V541)</f>
        <v/>
      </c>
      <c r="X541" s="7">
        <f>IF($C541="","",W541-K541)</f>
        <v/>
      </c>
      <c r="AB541" s="7" t="n"/>
      <c r="AE541" s="11" t="n"/>
      <c r="AG541">
        <f>IF($C541="","",IF(COUNTIF($C$2:$C541,$C541)=1,1,0))</f>
        <v/>
      </c>
      <c r="AH541">
        <f>IF($AG541=1,SUMPRODUCT(--($AK$2:$AK$6001&lt;$AK541))+1,"")</f>
        <v/>
      </c>
      <c r="AI541">
        <f>IF($C541="","",IF(OR($N541=TRUE(),$N541="TRUE"),1,0))</f>
        <v/>
      </c>
      <c r="AJ541">
        <f>IF($C541="","",IF($T541="Yes",1,0))</f>
        <v/>
      </c>
      <c r="AK541">
        <f>IF($AG541=1,IFERROR(IF(VALUE($C541)&lt;100000000,VALUE($C541),1000000000),IFERROR(IF(VALUE(MID($C541,2,20))&lt;100000000,VALUE(MID($C541,2,20)),1000000000),1000000000))+ROW()/100000,"")</f>
        <v/>
      </c>
    </row>
    <row r="542">
      <c r="D542" s="11" t="n"/>
      <c r="K542" s="7">
        <f>IF($C542="","",J542*W542/100)</f>
        <v/>
      </c>
      <c r="Q542" s="7" t="n"/>
      <c r="R542" s="7" t="n"/>
      <c r="U542">
        <f>IF($C542="","",IF($AJ542=1,0,IF($AI542=1,Settings!$C$6,Settings!$C$7))*100)</f>
        <v/>
      </c>
      <c r="V542" s="7">
        <f>IF($C542="","",R542*U542/100)</f>
        <v/>
      </c>
      <c r="W542" s="7">
        <f>IF($C542="","",R542-V542)</f>
        <v/>
      </c>
      <c r="X542" s="7">
        <f>IF($C542="","",W542-K542)</f>
        <v/>
      </c>
      <c r="AB542" s="7" t="n"/>
      <c r="AE542" s="11" t="n"/>
      <c r="AG542">
        <f>IF($C542="","",IF(COUNTIF($C$2:$C542,$C542)=1,1,0))</f>
        <v/>
      </c>
      <c r="AH542">
        <f>IF($AG542=1,SUMPRODUCT(--($AK$2:$AK$6001&lt;$AK542))+1,"")</f>
        <v/>
      </c>
      <c r="AI542">
        <f>IF($C542="","",IF(OR($N542=TRUE(),$N542="TRUE"),1,0))</f>
        <v/>
      </c>
      <c r="AJ542">
        <f>IF($C542="","",IF($T542="Yes",1,0))</f>
        <v/>
      </c>
      <c r="AK542">
        <f>IF($AG542=1,IFERROR(IF(VALUE($C542)&lt;100000000,VALUE($C542),1000000000),IFERROR(IF(VALUE(MID($C542,2,20))&lt;100000000,VALUE(MID($C542,2,20)),1000000000),1000000000))+ROW()/100000,"")</f>
        <v/>
      </c>
    </row>
    <row r="543">
      <c r="D543" s="11" t="n"/>
      <c r="K543" s="7">
        <f>IF($C543="","",J543*W543/100)</f>
        <v/>
      </c>
      <c r="Q543" s="7" t="n"/>
      <c r="R543" s="7" t="n"/>
      <c r="U543">
        <f>IF($C543="","",IF($AJ543=1,0,IF($AI543=1,Settings!$C$6,Settings!$C$7))*100)</f>
        <v/>
      </c>
      <c r="V543" s="7">
        <f>IF($C543="","",R543*U543/100)</f>
        <v/>
      </c>
      <c r="W543" s="7">
        <f>IF($C543="","",R543-V543)</f>
        <v/>
      </c>
      <c r="X543" s="7">
        <f>IF($C543="","",W543-K543)</f>
        <v/>
      </c>
      <c r="AB543" s="7" t="n"/>
      <c r="AE543" s="11" t="n"/>
      <c r="AG543">
        <f>IF($C543="","",IF(COUNTIF($C$2:$C543,$C543)=1,1,0))</f>
        <v/>
      </c>
      <c r="AH543">
        <f>IF($AG543=1,SUMPRODUCT(--($AK$2:$AK$6001&lt;$AK543))+1,"")</f>
        <v/>
      </c>
      <c r="AI543">
        <f>IF($C543="","",IF(OR($N543=TRUE(),$N543="TRUE"),1,0))</f>
        <v/>
      </c>
      <c r="AJ543">
        <f>IF($C543="","",IF($T543="Yes",1,0))</f>
        <v/>
      </c>
      <c r="AK543">
        <f>IF($AG543=1,IFERROR(IF(VALUE($C543)&lt;100000000,VALUE($C543),1000000000),IFERROR(IF(VALUE(MID($C543,2,20))&lt;100000000,VALUE(MID($C543,2,20)),1000000000),1000000000))+ROW()/100000,"")</f>
        <v/>
      </c>
    </row>
    <row r="544">
      <c r="D544" s="11" t="n"/>
      <c r="K544" s="7">
        <f>IF($C544="","",J544*W544/100)</f>
        <v/>
      </c>
      <c r="Q544" s="7" t="n"/>
      <c r="R544" s="7" t="n"/>
      <c r="U544">
        <f>IF($C544="","",IF($AJ544=1,0,IF($AI544=1,Settings!$C$6,Settings!$C$7))*100)</f>
        <v/>
      </c>
      <c r="V544" s="7">
        <f>IF($C544="","",R544*U544/100)</f>
        <v/>
      </c>
      <c r="W544" s="7">
        <f>IF($C544="","",R544-V544)</f>
        <v/>
      </c>
      <c r="X544" s="7">
        <f>IF($C544="","",W544-K544)</f>
        <v/>
      </c>
      <c r="AB544" s="7" t="n"/>
      <c r="AE544" s="11" t="n"/>
      <c r="AG544">
        <f>IF($C544="","",IF(COUNTIF($C$2:$C544,$C544)=1,1,0))</f>
        <v/>
      </c>
      <c r="AH544">
        <f>IF($AG544=1,SUMPRODUCT(--($AK$2:$AK$6001&lt;$AK544))+1,"")</f>
        <v/>
      </c>
      <c r="AI544">
        <f>IF($C544="","",IF(OR($N544=TRUE(),$N544="TRUE"),1,0))</f>
        <v/>
      </c>
      <c r="AJ544">
        <f>IF($C544="","",IF($T544="Yes",1,0))</f>
        <v/>
      </c>
      <c r="AK544">
        <f>IF($AG544=1,IFERROR(IF(VALUE($C544)&lt;100000000,VALUE($C544),1000000000),IFERROR(IF(VALUE(MID($C544,2,20))&lt;100000000,VALUE(MID($C544,2,20)),1000000000),1000000000))+ROW()/100000,"")</f>
        <v/>
      </c>
    </row>
    <row r="545">
      <c r="D545" s="11" t="n"/>
      <c r="K545" s="7">
        <f>IF($C545="","",J545*W545/100)</f>
        <v/>
      </c>
      <c r="Q545" s="7" t="n"/>
      <c r="R545" s="7" t="n"/>
      <c r="U545">
        <f>IF($C545="","",IF($AJ545=1,0,IF($AI545=1,Settings!$C$6,Settings!$C$7))*100)</f>
        <v/>
      </c>
      <c r="V545" s="7">
        <f>IF($C545="","",R545*U545/100)</f>
        <v/>
      </c>
      <c r="W545" s="7">
        <f>IF($C545="","",R545-V545)</f>
        <v/>
      </c>
      <c r="X545" s="7">
        <f>IF($C545="","",W545-K545)</f>
        <v/>
      </c>
      <c r="AB545" s="7" t="n"/>
      <c r="AE545" s="11" t="n"/>
      <c r="AG545">
        <f>IF($C545="","",IF(COUNTIF($C$2:$C545,$C545)=1,1,0))</f>
        <v/>
      </c>
      <c r="AH545">
        <f>IF($AG545=1,SUMPRODUCT(--($AK$2:$AK$6001&lt;$AK545))+1,"")</f>
        <v/>
      </c>
      <c r="AI545">
        <f>IF($C545="","",IF(OR($N545=TRUE(),$N545="TRUE"),1,0))</f>
        <v/>
      </c>
      <c r="AJ545">
        <f>IF($C545="","",IF($T545="Yes",1,0))</f>
        <v/>
      </c>
      <c r="AK545">
        <f>IF($AG545=1,IFERROR(IF(VALUE($C545)&lt;100000000,VALUE($C545),1000000000),IFERROR(IF(VALUE(MID($C545,2,20))&lt;100000000,VALUE(MID($C545,2,20)),1000000000),1000000000))+ROW()/100000,"")</f>
        <v/>
      </c>
    </row>
    <row r="546">
      <c r="D546" s="11" t="n"/>
      <c r="K546" s="7">
        <f>IF($C546="","",J546*W546/100)</f>
        <v/>
      </c>
      <c r="Q546" s="7" t="n"/>
      <c r="R546" s="7" t="n"/>
      <c r="U546">
        <f>IF($C546="","",IF($AJ546=1,0,IF($AI546=1,Settings!$C$6,Settings!$C$7))*100)</f>
        <v/>
      </c>
      <c r="V546" s="7">
        <f>IF($C546="","",R546*U546/100)</f>
        <v/>
      </c>
      <c r="W546" s="7">
        <f>IF($C546="","",R546-V546)</f>
        <v/>
      </c>
      <c r="X546" s="7">
        <f>IF($C546="","",W546-K546)</f>
        <v/>
      </c>
      <c r="AB546" s="7" t="n"/>
      <c r="AE546" s="11" t="n"/>
      <c r="AG546">
        <f>IF($C546="","",IF(COUNTIF($C$2:$C546,$C546)=1,1,0))</f>
        <v/>
      </c>
      <c r="AH546">
        <f>IF($AG546=1,SUMPRODUCT(--($AK$2:$AK$6001&lt;$AK546))+1,"")</f>
        <v/>
      </c>
      <c r="AI546">
        <f>IF($C546="","",IF(OR($N546=TRUE(),$N546="TRUE"),1,0))</f>
        <v/>
      </c>
      <c r="AJ546">
        <f>IF($C546="","",IF($T546="Yes",1,0))</f>
        <v/>
      </c>
      <c r="AK546">
        <f>IF($AG546=1,IFERROR(IF(VALUE($C546)&lt;100000000,VALUE($C546),1000000000),IFERROR(IF(VALUE(MID($C546,2,20))&lt;100000000,VALUE(MID($C546,2,20)),1000000000),1000000000))+ROW()/100000,"")</f>
        <v/>
      </c>
    </row>
    <row r="547">
      <c r="D547" s="11" t="n"/>
      <c r="K547" s="7">
        <f>IF($C547="","",J547*W547/100)</f>
        <v/>
      </c>
      <c r="Q547" s="7" t="n"/>
      <c r="R547" s="7" t="n"/>
      <c r="U547">
        <f>IF($C547="","",IF($AJ547=1,0,IF($AI547=1,Settings!$C$6,Settings!$C$7))*100)</f>
        <v/>
      </c>
      <c r="V547" s="7">
        <f>IF($C547="","",R547*U547/100)</f>
        <v/>
      </c>
      <c r="W547" s="7">
        <f>IF($C547="","",R547-V547)</f>
        <v/>
      </c>
      <c r="X547" s="7">
        <f>IF($C547="","",W547-K547)</f>
        <v/>
      </c>
      <c r="AB547" s="7" t="n"/>
      <c r="AE547" s="11" t="n"/>
      <c r="AG547">
        <f>IF($C547="","",IF(COUNTIF($C$2:$C547,$C547)=1,1,0))</f>
        <v/>
      </c>
      <c r="AH547">
        <f>IF($AG547=1,SUMPRODUCT(--($AK$2:$AK$6001&lt;$AK547))+1,"")</f>
        <v/>
      </c>
      <c r="AI547">
        <f>IF($C547="","",IF(OR($N547=TRUE(),$N547="TRUE"),1,0))</f>
        <v/>
      </c>
      <c r="AJ547">
        <f>IF($C547="","",IF($T547="Yes",1,0))</f>
        <v/>
      </c>
      <c r="AK547">
        <f>IF($AG547=1,IFERROR(IF(VALUE($C547)&lt;100000000,VALUE($C547),1000000000),IFERROR(IF(VALUE(MID($C547,2,20))&lt;100000000,VALUE(MID($C547,2,20)),1000000000),1000000000))+ROW()/100000,"")</f>
        <v/>
      </c>
    </row>
    <row r="548">
      <c r="D548" s="11" t="n"/>
      <c r="K548" s="7">
        <f>IF($C548="","",J548*W548/100)</f>
        <v/>
      </c>
      <c r="Q548" s="7" t="n"/>
      <c r="R548" s="7" t="n"/>
      <c r="U548">
        <f>IF($C548="","",IF($AJ548=1,0,IF($AI548=1,Settings!$C$6,Settings!$C$7))*100)</f>
        <v/>
      </c>
      <c r="V548" s="7">
        <f>IF($C548="","",R548*U548/100)</f>
        <v/>
      </c>
      <c r="W548" s="7">
        <f>IF($C548="","",R548-V548)</f>
        <v/>
      </c>
      <c r="X548" s="7">
        <f>IF($C548="","",W548-K548)</f>
        <v/>
      </c>
      <c r="AB548" s="7" t="n"/>
      <c r="AE548" s="11" t="n"/>
      <c r="AG548">
        <f>IF($C548="","",IF(COUNTIF($C$2:$C548,$C548)=1,1,0))</f>
        <v/>
      </c>
      <c r="AH548">
        <f>IF($AG548=1,SUMPRODUCT(--($AK$2:$AK$6001&lt;$AK548))+1,"")</f>
        <v/>
      </c>
      <c r="AI548">
        <f>IF($C548="","",IF(OR($N548=TRUE(),$N548="TRUE"),1,0))</f>
        <v/>
      </c>
      <c r="AJ548">
        <f>IF($C548="","",IF($T548="Yes",1,0))</f>
        <v/>
      </c>
      <c r="AK548">
        <f>IF($AG548=1,IFERROR(IF(VALUE($C548)&lt;100000000,VALUE($C548),1000000000),IFERROR(IF(VALUE(MID($C548,2,20))&lt;100000000,VALUE(MID($C548,2,20)),1000000000),1000000000))+ROW()/100000,"")</f>
        <v/>
      </c>
    </row>
    <row r="549">
      <c r="D549" s="11" t="n"/>
      <c r="K549" s="7">
        <f>IF($C549="","",J549*W549/100)</f>
        <v/>
      </c>
      <c r="Q549" s="7" t="n"/>
      <c r="R549" s="7" t="n"/>
      <c r="U549">
        <f>IF($C549="","",IF($AJ549=1,0,IF($AI549=1,Settings!$C$6,Settings!$C$7))*100)</f>
        <v/>
      </c>
      <c r="V549" s="7">
        <f>IF($C549="","",R549*U549/100)</f>
        <v/>
      </c>
      <c r="W549" s="7">
        <f>IF($C549="","",R549-V549)</f>
        <v/>
      </c>
      <c r="X549" s="7">
        <f>IF($C549="","",W549-K549)</f>
        <v/>
      </c>
      <c r="AB549" s="7" t="n"/>
      <c r="AE549" s="11" t="n"/>
      <c r="AG549">
        <f>IF($C549="","",IF(COUNTIF($C$2:$C549,$C549)=1,1,0))</f>
        <v/>
      </c>
      <c r="AH549">
        <f>IF($AG549=1,SUMPRODUCT(--($AK$2:$AK$6001&lt;$AK549))+1,"")</f>
        <v/>
      </c>
      <c r="AI549">
        <f>IF($C549="","",IF(OR($N549=TRUE(),$N549="TRUE"),1,0))</f>
        <v/>
      </c>
      <c r="AJ549">
        <f>IF($C549="","",IF($T549="Yes",1,0))</f>
        <v/>
      </c>
      <c r="AK549">
        <f>IF($AG549=1,IFERROR(IF(VALUE($C549)&lt;100000000,VALUE($C549),1000000000),IFERROR(IF(VALUE(MID($C549,2,20))&lt;100000000,VALUE(MID($C549,2,20)),1000000000),1000000000))+ROW()/100000,"")</f>
        <v/>
      </c>
    </row>
    <row r="550">
      <c r="D550" s="11" t="n"/>
      <c r="K550" s="7">
        <f>IF($C550="","",J550*W550/100)</f>
        <v/>
      </c>
      <c r="Q550" s="7" t="n"/>
      <c r="R550" s="7" t="n"/>
      <c r="U550">
        <f>IF($C550="","",IF($AJ550=1,0,IF($AI550=1,Settings!$C$6,Settings!$C$7))*100)</f>
        <v/>
      </c>
      <c r="V550" s="7">
        <f>IF($C550="","",R550*U550/100)</f>
        <v/>
      </c>
      <c r="W550" s="7">
        <f>IF($C550="","",R550-V550)</f>
        <v/>
      </c>
      <c r="X550" s="7">
        <f>IF($C550="","",W550-K550)</f>
        <v/>
      </c>
      <c r="AB550" s="7" t="n"/>
      <c r="AE550" s="11" t="n"/>
      <c r="AG550">
        <f>IF($C550="","",IF(COUNTIF($C$2:$C550,$C550)=1,1,0))</f>
        <v/>
      </c>
      <c r="AH550">
        <f>IF($AG550=1,SUMPRODUCT(--($AK$2:$AK$6001&lt;$AK550))+1,"")</f>
        <v/>
      </c>
      <c r="AI550">
        <f>IF($C550="","",IF(OR($N550=TRUE(),$N550="TRUE"),1,0))</f>
        <v/>
      </c>
      <c r="AJ550">
        <f>IF($C550="","",IF($T550="Yes",1,0))</f>
        <v/>
      </c>
      <c r="AK550">
        <f>IF($AG550=1,IFERROR(IF(VALUE($C550)&lt;100000000,VALUE($C550),1000000000),IFERROR(IF(VALUE(MID($C550,2,20))&lt;100000000,VALUE(MID($C550,2,20)),1000000000),1000000000))+ROW()/100000,"")</f>
        <v/>
      </c>
    </row>
    <row r="551">
      <c r="D551" s="11" t="n"/>
      <c r="K551" s="7">
        <f>IF($C551="","",J551*W551/100)</f>
        <v/>
      </c>
      <c r="Q551" s="7" t="n"/>
      <c r="R551" s="7" t="n"/>
      <c r="U551">
        <f>IF($C551="","",IF($AJ551=1,0,IF($AI551=1,Settings!$C$6,Settings!$C$7))*100)</f>
        <v/>
      </c>
      <c r="V551" s="7">
        <f>IF($C551="","",R551*U551/100)</f>
        <v/>
      </c>
      <c r="W551" s="7">
        <f>IF($C551="","",R551-V551)</f>
        <v/>
      </c>
      <c r="X551" s="7">
        <f>IF($C551="","",W551-K551)</f>
        <v/>
      </c>
      <c r="AB551" s="7" t="n"/>
      <c r="AE551" s="11" t="n"/>
      <c r="AG551">
        <f>IF($C551="","",IF(COUNTIF($C$2:$C551,$C551)=1,1,0))</f>
        <v/>
      </c>
      <c r="AH551">
        <f>IF($AG551=1,SUMPRODUCT(--($AK$2:$AK$6001&lt;$AK551))+1,"")</f>
        <v/>
      </c>
      <c r="AI551">
        <f>IF($C551="","",IF(OR($N551=TRUE(),$N551="TRUE"),1,0))</f>
        <v/>
      </c>
      <c r="AJ551">
        <f>IF($C551="","",IF($T551="Yes",1,0))</f>
        <v/>
      </c>
      <c r="AK551">
        <f>IF($AG551=1,IFERROR(IF(VALUE($C551)&lt;100000000,VALUE($C551),1000000000),IFERROR(IF(VALUE(MID($C551,2,20))&lt;100000000,VALUE(MID($C551,2,20)),1000000000),1000000000))+ROW()/100000,"")</f>
        <v/>
      </c>
    </row>
    <row r="552">
      <c r="D552" s="11" t="n"/>
      <c r="K552" s="7">
        <f>IF($C552="","",J552*W552/100)</f>
        <v/>
      </c>
      <c r="Q552" s="7" t="n"/>
      <c r="R552" s="7" t="n"/>
      <c r="U552">
        <f>IF($C552="","",IF($AJ552=1,0,IF($AI552=1,Settings!$C$6,Settings!$C$7))*100)</f>
        <v/>
      </c>
      <c r="V552" s="7">
        <f>IF($C552="","",R552*U552/100)</f>
        <v/>
      </c>
      <c r="W552" s="7">
        <f>IF($C552="","",R552-V552)</f>
        <v/>
      </c>
      <c r="X552" s="7">
        <f>IF($C552="","",W552-K552)</f>
        <v/>
      </c>
      <c r="AB552" s="7" t="n"/>
      <c r="AE552" s="11" t="n"/>
      <c r="AG552">
        <f>IF($C552="","",IF(COUNTIF($C$2:$C552,$C552)=1,1,0))</f>
        <v/>
      </c>
      <c r="AH552">
        <f>IF($AG552=1,SUMPRODUCT(--($AK$2:$AK$6001&lt;$AK552))+1,"")</f>
        <v/>
      </c>
      <c r="AI552">
        <f>IF($C552="","",IF(OR($N552=TRUE(),$N552="TRUE"),1,0))</f>
        <v/>
      </c>
      <c r="AJ552">
        <f>IF($C552="","",IF($T552="Yes",1,0))</f>
        <v/>
      </c>
      <c r="AK552">
        <f>IF($AG552=1,IFERROR(IF(VALUE($C552)&lt;100000000,VALUE($C552),1000000000),IFERROR(IF(VALUE(MID($C552,2,20))&lt;100000000,VALUE(MID($C552,2,20)),1000000000),1000000000))+ROW()/100000,"")</f>
        <v/>
      </c>
    </row>
    <row r="553">
      <c r="D553" s="11" t="n"/>
      <c r="K553" s="7">
        <f>IF($C553="","",J553*W553/100)</f>
        <v/>
      </c>
      <c r="Q553" s="7" t="n"/>
      <c r="R553" s="7" t="n"/>
      <c r="U553">
        <f>IF($C553="","",IF($AJ553=1,0,IF($AI553=1,Settings!$C$6,Settings!$C$7))*100)</f>
        <v/>
      </c>
      <c r="V553" s="7">
        <f>IF($C553="","",R553*U553/100)</f>
        <v/>
      </c>
      <c r="W553" s="7">
        <f>IF($C553="","",R553-V553)</f>
        <v/>
      </c>
      <c r="X553" s="7">
        <f>IF($C553="","",W553-K553)</f>
        <v/>
      </c>
      <c r="AB553" s="7" t="n"/>
      <c r="AE553" s="11" t="n"/>
      <c r="AG553">
        <f>IF($C553="","",IF(COUNTIF($C$2:$C553,$C553)=1,1,0))</f>
        <v/>
      </c>
      <c r="AH553">
        <f>IF($AG553=1,SUMPRODUCT(--($AK$2:$AK$6001&lt;$AK553))+1,"")</f>
        <v/>
      </c>
      <c r="AI553">
        <f>IF($C553="","",IF(OR($N553=TRUE(),$N553="TRUE"),1,0))</f>
        <v/>
      </c>
      <c r="AJ553">
        <f>IF($C553="","",IF($T553="Yes",1,0))</f>
        <v/>
      </c>
      <c r="AK553">
        <f>IF($AG553=1,IFERROR(IF(VALUE($C553)&lt;100000000,VALUE($C553),1000000000),IFERROR(IF(VALUE(MID($C553,2,20))&lt;100000000,VALUE(MID($C553,2,20)),1000000000),1000000000))+ROW()/100000,"")</f>
        <v/>
      </c>
    </row>
    <row r="554">
      <c r="D554" s="11" t="n"/>
      <c r="K554" s="7">
        <f>IF($C554="","",J554*W554/100)</f>
        <v/>
      </c>
      <c r="Q554" s="7" t="n"/>
      <c r="R554" s="7" t="n"/>
      <c r="U554">
        <f>IF($C554="","",IF($AJ554=1,0,IF($AI554=1,Settings!$C$6,Settings!$C$7))*100)</f>
        <v/>
      </c>
      <c r="V554" s="7">
        <f>IF($C554="","",R554*U554/100)</f>
        <v/>
      </c>
      <c r="W554" s="7">
        <f>IF($C554="","",R554-V554)</f>
        <v/>
      </c>
      <c r="X554" s="7">
        <f>IF($C554="","",W554-K554)</f>
        <v/>
      </c>
      <c r="AB554" s="7" t="n"/>
      <c r="AE554" s="11" t="n"/>
      <c r="AG554">
        <f>IF($C554="","",IF(COUNTIF($C$2:$C554,$C554)=1,1,0))</f>
        <v/>
      </c>
      <c r="AH554">
        <f>IF($AG554=1,SUMPRODUCT(--($AK$2:$AK$6001&lt;$AK554))+1,"")</f>
        <v/>
      </c>
      <c r="AI554">
        <f>IF($C554="","",IF(OR($N554=TRUE(),$N554="TRUE"),1,0))</f>
        <v/>
      </c>
      <c r="AJ554">
        <f>IF($C554="","",IF($T554="Yes",1,0))</f>
        <v/>
      </c>
      <c r="AK554">
        <f>IF($AG554=1,IFERROR(IF(VALUE($C554)&lt;100000000,VALUE($C554),1000000000),IFERROR(IF(VALUE(MID($C554,2,20))&lt;100000000,VALUE(MID($C554,2,20)),1000000000),1000000000))+ROW()/100000,"")</f>
        <v/>
      </c>
    </row>
    <row r="555">
      <c r="D555" s="11" t="n"/>
      <c r="K555" s="7">
        <f>IF($C555="","",J555*W555/100)</f>
        <v/>
      </c>
      <c r="Q555" s="7" t="n"/>
      <c r="R555" s="7" t="n"/>
      <c r="U555">
        <f>IF($C555="","",IF($AJ555=1,0,IF($AI555=1,Settings!$C$6,Settings!$C$7))*100)</f>
        <v/>
      </c>
      <c r="V555" s="7">
        <f>IF($C555="","",R555*U555/100)</f>
        <v/>
      </c>
      <c r="W555" s="7">
        <f>IF($C555="","",R555-V555)</f>
        <v/>
      </c>
      <c r="X555" s="7">
        <f>IF($C555="","",W555-K555)</f>
        <v/>
      </c>
      <c r="AB555" s="7" t="n"/>
      <c r="AE555" s="11" t="n"/>
      <c r="AG555">
        <f>IF($C555="","",IF(COUNTIF($C$2:$C555,$C555)=1,1,0))</f>
        <v/>
      </c>
      <c r="AH555">
        <f>IF($AG555=1,SUMPRODUCT(--($AK$2:$AK$6001&lt;$AK555))+1,"")</f>
        <v/>
      </c>
      <c r="AI555">
        <f>IF($C555="","",IF(OR($N555=TRUE(),$N555="TRUE"),1,0))</f>
        <v/>
      </c>
      <c r="AJ555">
        <f>IF($C555="","",IF($T555="Yes",1,0))</f>
        <v/>
      </c>
      <c r="AK555">
        <f>IF($AG555=1,IFERROR(IF(VALUE($C555)&lt;100000000,VALUE($C555),1000000000),IFERROR(IF(VALUE(MID($C555,2,20))&lt;100000000,VALUE(MID($C555,2,20)),1000000000),1000000000))+ROW()/100000,"")</f>
        <v/>
      </c>
    </row>
    <row r="556">
      <c r="D556" s="11" t="n"/>
      <c r="K556" s="7">
        <f>IF($C556="","",J556*W556/100)</f>
        <v/>
      </c>
      <c r="Q556" s="7" t="n"/>
      <c r="R556" s="7" t="n"/>
      <c r="U556">
        <f>IF($C556="","",IF($AJ556=1,0,IF($AI556=1,Settings!$C$6,Settings!$C$7))*100)</f>
        <v/>
      </c>
      <c r="V556" s="7">
        <f>IF($C556="","",R556*U556/100)</f>
        <v/>
      </c>
      <c r="W556" s="7">
        <f>IF($C556="","",R556-V556)</f>
        <v/>
      </c>
      <c r="X556" s="7">
        <f>IF($C556="","",W556-K556)</f>
        <v/>
      </c>
      <c r="AB556" s="7" t="n"/>
      <c r="AE556" s="11" t="n"/>
      <c r="AG556">
        <f>IF($C556="","",IF(COUNTIF($C$2:$C556,$C556)=1,1,0))</f>
        <v/>
      </c>
      <c r="AH556">
        <f>IF($AG556=1,SUMPRODUCT(--($AK$2:$AK$6001&lt;$AK556))+1,"")</f>
        <v/>
      </c>
      <c r="AI556">
        <f>IF($C556="","",IF(OR($N556=TRUE(),$N556="TRUE"),1,0))</f>
        <v/>
      </c>
      <c r="AJ556">
        <f>IF($C556="","",IF($T556="Yes",1,0))</f>
        <v/>
      </c>
      <c r="AK556">
        <f>IF($AG556=1,IFERROR(IF(VALUE($C556)&lt;100000000,VALUE($C556),1000000000),IFERROR(IF(VALUE(MID($C556,2,20))&lt;100000000,VALUE(MID($C556,2,20)),1000000000),1000000000))+ROW()/100000,"")</f>
        <v/>
      </c>
    </row>
    <row r="557">
      <c r="D557" s="11" t="n"/>
      <c r="K557" s="7">
        <f>IF($C557="","",J557*W557/100)</f>
        <v/>
      </c>
      <c r="Q557" s="7" t="n"/>
      <c r="R557" s="7" t="n"/>
      <c r="U557">
        <f>IF($C557="","",IF($AJ557=1,0,IF($AI557=1,Settings!$C$6,Settings!$C$7))*100)</f>
        <v/>
      </c>
      <c r="V557" s="7">
        <f>IF($C557="","",R557*U557/100)</f>
        <v/>
      </c>
      <c r="W557" s="7">
        <f>IF($C557="","",R557-V557)</f>
        <v/>
      </c>
      <c r="X557" s="7">
        <f>IF($C557="","",W557-K557)</f>
        <v/>
      </c>
      <c r="AB557" s="7" t="n"/>
      <c r="AE557" s="11" t="n"/>
      <c r="AG557">
        <f>IF($C557="","",IF(COUNTIF($C$2:$C557,$C557)=1,1,0))</f>
        <v/>
      </c>
      <c r="AH557">
        <f>IF($AG557=1,SUMPRODUCT(--($AK$2:$AK$6001&lt;$AK557))+1,"")</f>
        <v/>
      </c>
      <c r="AI557">
        <f>IF($C557="","",IF(OR($N557=TRUE(),$N557="TRUE"),1,0))</f>
        <v/>
      </c>
      <c r="AJ557">
        <f>IF($C557="","",IF($T557="Yes",1,0))</f>
        <v/>
      </c>
      <c r="AK557">
        <f>IF($AG557=1,IFERROR(IF(VALUE($C557)&lt;100000000,VALUE($C557),1000000000),IFERROR(IF(VALUE(MID($C557,2,20))&lt;100000000,VALUE(MID($C557,2,20)),1000000000),1000000000))+ROW()/100000,"")</f>
        <v/>
      </c>
    </row>
    <row r="558">
      <c r="D558" s="11" t="n"/>
      <c r="K558" s="7">
        <f>IF($C558="","",J558*W558/100)</f>
        <v/>
      </c>
      <c r="Q558" s="7" t="n"/>
      <c r="R558" s="7" t="n"/>
      <c r="U558">
        <f>IF($C558="","",IF($AJ558=1,0,IF($AI558=1,Settings!$C$6,Settings!$C$7))*100)</f>
        <v/>
      </c>
      <c r="V558" s="7">
        <f>IF($C558="","",R558*U558/100)</f>
        <v/>
      </c>
      <c r="W558" s="7">
        <f>IF($C558="","",R558-V558)</f>
        <v/>
      </c>
      <c r="X558" s="7">
        <f>IF($C558="","",W558-K558)</f>
        <v/>
      </c>
      <c r="AB558" s="7" t="n"/>
      <c r="AE558" s="11" t="n"/>
      <c r="AG558">
        <f>IF($C558="","",IF(COUNTIF($C$2:$C558,$C558)=1,1,0))</f>
        <v/>
      </c>
      <c r="AH558">
        <f>IF($AG558=1,SUMPRODUCT(--($AK$2:$AK$6001&lt;$AK558))+1,"")</f>
        <v/>
      </c>
      <c r="AI558">
        <f>IF($C558="","",IF(OR($N558=TRUE(),$N558="TRUE"),1,0))</f>
        <v/>
      </c>
      <c r="AJ558">
        <f>IF($C558="","",IF($T558="Yes",1,0))</f>
        <v/>
      </c>
      <c r="AK558">
        <f>IF($AG558=1,IFERROR(IF(VALUE($C558)&lt;100000000,VALUE($C558),1000000000),IFERROR(IF(VALUE(MID($C558,2,20))&lt;100000000,VALUE(MID($C558,2,20)),1000000000),1000000000))+ROW()/100000,"")</f>
        <v/>
      </c>
    </row>
    <row r="559">
      <c r="D559" s="11" t="n"/>
      <c r="K559" s="7">
        <f>IF($C559="","",J559*W559/100)</f>
        <v/>
      </c>
      <c r="Q559" s="7" t="n"/>
      <c r="R559" s="7" t="n"/>
      <c r="U559">
        <f>IF($C559="","",IF($AJ559=1,0,IF($AI559=1,Settings!$C$6,Settings!$C$7))*100)</f>
        <v/>
      </c>
      <c r="V559" s="7">
        <f>IF($C559="","",R559*U559/100)</f>
        <v/>
      </c>
      <c r="W559" s="7">
        <f>IF($C559="","",R559-V559)</f>
        <v/>
      </c>
      <c r="X559" s="7">
        <f>IF($C559="","",W559-K559)</f>
        <v/>
      </c>
      <c r="AB559" s="7" t="n"/>
      <c r="AE559" s="11" t="n"/>
      <c r="AG559">
        <f>IF($C559="","",IF(COUNTIF($C$2:$C559,$C559)=1,1,0))</f>
        <v/>
      </c>
      <c r="AH559">
        <f>IF($AG559=1,SUMPRODUCT(--($AK$2:$AK$6001&lt;$AK559))+1,"")</f>
        <v/>
      </c>
      <c r="AI559">
        <f>IF($C559="","",IF(OR($N559=TRUE(),$N559="TRUE"),1,0))</f>
        <v/>
      </c>
      <c r="AJ559">
        <f>IF($C559="","",IF($T559="Yes",1,0))</f>
        <v/>
      </c>
      <c r="AK559">
        <f>IF($AG559=1,IFERROR(IF(VALUE($C559)&lt;100000000,VALUE($C559),1000000000),IFERROR(IF(VALUE(MID($C559,2,20))&lt;100000000,VALUE(MID($C559,2,20)),1000000000),1000000000))+ROW()/100000,"")</f>
        <v/>
      </c>
    </row>
    <row r="560">
      <c r="D560" s="11" t="n"/>
      <c r="K560" s="7">
        <f>IF($C560="","",J560*W560/100)</f>
        <v/>
      </c>
      <c r="Q560" s="7" t="n"/>
      <c r="R560" s="7" t="n"/>
      <c r="U560">
        <f>IF($C560="","",IF($AJ560=1,0,IF($AI560=1,Settings!$C$6,Settings!$C$7))*100)</f>
        <v/>
      </c>
      <c r="V560" s="7">
        <f>IF($C560="","",R560*U560/100)</f>
        <v/>
      </c>
      <c r="W560" s="7">
        <f>IF($C560="","",R560-V560)</f>
        <v/>
      </c>
      <c r="X560" s="7">
        <f>IF($C560="","",W560-K560)</f>
        <v/>
      </c>
      <c r="AB560" s="7" t="n"/>
      <c r="AE560" s="11" t="n"/>
      <c r="AG560">
        <f>IF($C560="","",IF(COUNTIF($C$2:$C560,$C560)=1,1,0))</f>
        <v/>
      </c>
      <c r="AH560">
        <f>IF($AG560=1,SUMPRODUCT(--($AK$2:$AK$6001&lt;$AK560))+1,"")</f>
        <v/>
      </c>
      <c r="AI560">
        <f>IF($C560="","",IF(OR($N560=TRUE(),$N560="TRUE"),1,0))</f>
        <v/>
      </c>
      <c r="AJ560">
        <f>IF($C560="","",IF($T560="Yes",1,0))</f>
        <v/>
      </c>
      <c r="AK560">
        <f>IF($AG560=1,IFERROR(IF(VALUE($C560)&lt;100000000,VALUE($C560),1000000000),IFERROR(IF(VALUE(MID($C560,2,20))&lt;100000000,VALUE(MID($C560,2,20)),1000000000),1000000000))+ROW()/100000,"")</f>
        <v/>
      </c>
    </row>
    <row r="561">
      <c r="D561" s="11" t="n"/>
      <c r="K561" s="7">
        <f>IF($C561="","",J561*W561/100)</f>
        <v/>
      </c>
      <c r="Q561" s="7" t="n"/>
      <c r="R561" s="7" t="n"/>
      <c r="U561">
        <f>IF($C561="","",IF($AJ561=1,0,IF($AI561=1,Settings!$C$6,Settings!$C$7))*100)</f>
        <v/>
      </c>
      <c r="V561" s="7">
        <f>IF($C561="","",R561*U561/100)</f>
        <v/>
      </c>
      <c r="W561" s="7">
        <f>IF($C561="","",R561-V561)</f>
        <v/>
      </c>
      <c r="X561" s="7">
        <f>IF($C561="","",W561-K561)</f>
        <v/>
      </c>
      <c r="AB561" s="7" t="n"/>
      <c r="AE561" s="11" t="n"/>
      <c r="AG561">
        <f>IF($C561="","",IF(COUNTIF($C$2:$C561,$C561)=1,1,0))</f>
        <v/>
      </c>
      <c r="AH561">
        <f>IF($AG561=1,SUMPRODUCT(--($AK$2:$AK$6001&lt;$AK561))+1,"")</f>
        <v/>
      </c>
      <c r="AI561">
        <f>IF($C561="","",IF(OR($N561=TRUE(),$N561="TRUE"),1,0))</f>
        <v/>
      </c>
      <c r="AJ561">
        <f>IF($C561="","",IF($T561="Yes",1,0))</f>
        <v/>
      </c>
      <c r="AK561">
        <f>IF($AG561=1,IFERROR(IF(VALUE($C561)&lt;100000000,VALUE($C561),1000000000),IFERROR(IF(VALUE(MID($C561,2,20))&lt;100000000,VALUE(MID($C561,2,20)),1000000000),1000000000))+ROW()/100000,"")</f>
        <v/>
      </c>
    </row>
    <row r="562">
      <c r="D562" s="11" t="n"/>
      <c r="K562" s="7">
        <f>IF($C562="","",J562*W562/100)</f>
        <v/>
      </c>
      <c r="Q562" s="7" t="n"/>
      <c r="R562" s="7" t="n"/>
      <c r="U562">
        <f>IF($C562="","",IF($AJ562=1,0,IF($AI562=1,Settings!$C$6,Settings!$C$7))*100)</f>
        <v/>
      </c>
      <c r="V562" s="7">
        <f>IF($C562="","",R562*U562/100)</f>
        <v/>
      </c>
      <c r="W562" s="7">
        <f>IF($C562="","",R562-V562)</f>
        <v/>
      </c>
      <c r="X562" s="7">
        <f>IF($C562="","",W562-K562)</f>
        <v/>
      </c>
      <c r="AB562" s="7" t="n"/>
      <c r="AE562" s="11" t="n"/>
      <c r="AG562">
        <f>IF($C562="","",IF(COUNTIF($C$2:$C562,$C562)=1,1,0))</f>
        <v/>
      </c>
      <c r="AH562">
        <f>IF($AG562=1,SUMPRODUCT(--($AK$2:$AK$6001&lt;$AK562))+1,"")</f>
        <v/>
      </c>
      <c r="AI562">
        <f>IF($C562="","",IF(OR($N562=TRUE(),$N562="TRUE"),1,0))</f>
        <v/>
      </c>
      <c r="AJ562">
        <f>IF($C562="","",IF($T562="Yes",1,0))</f>
        <v/>
      </c>
      <c r="AK562">
        <f>IF($AG562=1,IFERROR(IF(VALUE($C562)&lt;100000000,VALUE($C562),1000000000),IFERROR(IF(VALUE(MID($C562,2,20))&lt;100000000,VALUE(MID($C562,2,20)),1000000000),1000000000))+ROW()/100000,"")</f>
        <v/>
      </c>
    </row>
    <row r="563">
      <c r="D563" s="11" t="n"/>
      <c r="K563" s="7">
        <f>IF($C563="","",J563*W563/100)</f>
        <v/>
      </c>
      <c r="Q563" s="7" t="n"/>
      <c r="R563" s="7" t="n"/>
      <c r="U563">
        <f>IF($C563="","",IF($AJ563=1,0,IF($AI563=1,Settings!$C$6,Settings!$C$7))*100)</f>
        <v/>
      </c>
      <c r="V563" s="7">
        <f>IF($C563="","",R563*U563/100)</f>
        <v/>
      </c>
      <c r="W563" s="7">
        <f>IF($C563="","",R563-V563)</f>
        <v/>
      </c>
      <c r="X563" s="7">
        <f>IF($C563="","",W563-K563)</f>
        <v/>
      </c>
      <c r="AB563" s="7" t="n"/>
      <c r="AE563" s="11" t="n"/>
      <c r="AG563">
        <f>IF($C563="","",IF(COUNTIF($C$2:$C563,$C563)=1,1,0))</f>
        <v/>
      </c>
      <c r="AH563">
        <f>IF($AG563=1,SUMPRODUCT(--($AK$2:$AK$6001&lt;$AK563))+1,"")</f>
        <v/>
      </c>
      <c r="AI563">
        <f>IF($C563="","",IF(OR($N563=TRUE(),$N563="TRUE"),1,0))</f>
        <v/>
      </c>
      <c r="AJ563">
        <f>IF($C563="","",IF($T563="Yes",1,0))</f>
        <v/>
      </c>
      <c r="AK563">
        <f>IF($AG563=1,IFERROR(IF(VALUE($C563)&lt;100000000,VALUE($C563),1000000000),IFERROR(IF(VALUE(MID($C563,2,20))&lt;100000000,VALUE(MID($C563,2,20)),1000000000),1000000000))+ROW()/100000,"")</f>
        <v/>
      </c>
    </row>
    <row r="564">
      <c r="D564" s="11" t="n"/>
      <c r="K564" s="7">
        <f>IF($C564="","",J564*W564/100)</f>
        <v/>
      </c>
      <c r="Q564" s="7" t="n"/>
      <c r="R564" s="7" t="n"/>
      <c r="U564">
        <f>IF($C564="","",IF($AJ564=1,0,IF($AI564=1,Settings!$C$6,Settings!$C$7))*100)</f>
        <v/>
      </c>
      <c r="V564" s="7">
        <f>IF($C564="","",R564*U564/100)</f>
        <v/>
      </c>
      <c r="W564" s="7">
        <f>IF($C564="","",R564-V564)</f>
        <v/>
      </c>
      <c r="X564" s="7">
        <f>IF($C564="","",W564-K564)</f>
        <v/>
      </c>
      <c r="AB564" s="7" t="n"/>
      <c r="AE564" s="11" t="n"/>
      <c r="AG564">
        <f>IF($C564="","",IF(COUNTIF($C$2:$C564,$C564)=1,1,0))</f>
        <v/>
      </c>
      <c r="AH564">
        <f>IF($AG564=1,SUMPRODUCT(--($AK$2:$AK$6001&lt;$AK564))+1,"")</f>
        <v/>
      </c>
      <c r="AI564">
        <f>IF($C564="","",IF(OR($N564=TRUE(),$N564="TRUE"),1,0))</f>
        <v/>
      </c>
      <c r="AJ564">
        <f>IF($C564="","",IF($T564="Yes",1,0))</f>
        <v/>
      </c>
      <c r="AK564">
        <f>IF($AG564=1,IFERROR(IF(VALUE($C564)&lt;100000000,VALUE($C564),1000000000),IFERROR(IF(VALUE(MID($C564,2,20))&lt;100000000,VALUE(MID($C564,2,20)),1000000000),1000000000))+ROW()/100000,"")</f>
        <v/>
      </c>
    </row>
    <row r="565">
      <c r="D565" s="11" t="n"/>
      <c r="K565" s="7">
        <f>IF($C565="","",J565*W565/100)</f>
        <v/>
      </c>
      <c r="Q565" s="7" t="n"/>
      <c r="R565" s="7" t="n"/>
      <c r="U565">
        <f>IF($C565="","",IF($AJ565=1,0,IF($AI565=1,Settings!$C$6,Settings!$C$7))*100)</f>
        <v/>
      </c>
      <c r="V565" s="7">
        <f>IF($C565="","",R565*U565/100)</f>
        <v/>
      </c>
      <c r="W565" s="7">
        <f>IF($C565="","",R565-V565)</f>
        <v/>
      </c>
      <c r="X565" s="7">
        <f>IF($C565="","",W565-K565)</f>
        <v/>
      </c>
      <c r="AB565" s="7" t="n"/>
      <c r="AE565" s="11" t="n"/>
      <c r="AG565">
        <f>IF($C565="","",IF(COUNTIF($C$2:$C565,$C565)=1,1,0))</f>
        <v/>
      </c>
      <c r="AH565">
        <f>IF($AG565=1,SUMPRODUCT(--($AK$2:$AK$6001&lt;$AK565))+1,"")</f>
        <v/>
      </c>
      <c r="AI565">
        <f>IF($C565="","",IF(OR($N565=TRUE(),$N565="TRUE"),1,0))</f>
        <v/>
      </c>
      <c r="AJ565">
        <f>IF($C565="","",IF($T565="Yes",1,0))</f>
        <v/>
      </c>
      <c r="AK565">
        <f>IF($AG565=1,IFERROR(IF(VALUE($C565)&lt;100000000,VALUE($C565),1000000000),IFERROR(IF(VALUE(MID($C565,2,20))&lt;100000000,VALUE(MID($C565,2,20)),1000000000),1000000000))+ROW()/100000,"")</f>
        <v/>
      </c>
    </row>
    <row r="566">
      <c r="D566" s="11" t="n"/>
      <c r="K566" s="7">
        <f>IF($C566="","",J566*W566/100)</f>
        <v/>
      </c>
      <c r="Q566" s="7" t="n"/>
      <c r="R566" s="7" t="n"/>
      <c r="U566">
        <f>IF($C566="","",IF($AJ566=1,0,IF($AI566=1,Settings!$C$6,Settings!$C$7))*100)</f>
        <v/>
      </c>
      <c r="V566" s="7">
        <f>IF($C566="","",R566*U566/100)</f>
        <v/>
      </c>
      <c r="W566" s="7">
        <f>IF($C566="","",R566-V566)</f>
        <v/>
      </c>
      <c r="X566" s="7">
        <f>IF($C566="","",W566-K566)</f>
        <v/>
      </c>
      <c r="AB566" s="7" t="n"/>
      <c r="AE566" s="11" t="n"/>
      <c r="AG566">
        <f>IF($C566="","",IF(COUNTIF($C$2:$C566,$C566)=1,1,0))</f>
        <v/>
      </c>
      <c r="AH566">
        <f>IF($AG566=1,SUMPRODUCT(--($AK$2:$AK$6001&lt;$AK566))+1,"")</f>
        <v/>
      </c>
      <c r="AI566">
        <f>IF($C566="","",IF(OR($N566=TRUE(),$N566="TRUE"),1,0))</f>
        <v/>
      </c>
      <c r="AJ566">
        <f>IF($C566="","",IF($T566="Yes",1,0))</f>
        <v/>
      </c>
      <c r="AK566">
        <f>IF($AG566=1,IFERROR(IF(VALUE($C566)&lt;100000000,VALUE($C566),1000000000),IFERROR(IF(VALUE(MID($C566,2,20))&lt;100000000,VALUE(MID($C566,2,20)),1000000000),1000000000))+ROW()/100000,"")</f>
        <v/>
      </c>
    </row>
    <row r="567">
      <c r="D567" s="11" t="n"/>
      <c r="K567" s="7">
        <f>IF($C567="","",J567*W567/100)</f>
        <v/>
      </c>
      <c r="Q567" s="7" t="n"/>
      <c r="R567" s="7" t="n"/>
      <c r="U567">
        <f>IF($C567="","",IF($AJ567=1,0,IF($AI567=1,Settings!$C$6,Settings!$C$7))*100)</f>
        <v/>
      </c>
      <c r="V567" s="7">
        <f>IF($C567="","",R567*U567/100)</f>
        <v/>
      </c>
      <c r="W567" s="7">
        <f>IF($C567="","",R567-V567)</f>
        <v/>
      </c>
      <c r="X567" s="7">
        <f>IF($C567="","",W567-K567)</f>
        <v/>
      </c>
      <c r="AB567" s="7" t="n"/>
      <c r="AE567" s="11" t="n"/>
      <c r="AG567">
        <f>IF($C567="","",IF(COUNTIF($C$2:$C567,$C567)=1,1,0))</f>
        <v/>
      </c>
      <c r="AH567">
        <f>IF($AG567=1,SUMPRODUCT(--($AK$2:$AK$6001&lt;$AK567))+1,"")</f>
        <v/>
      </c>
      <c r="AI567">
        <f>IF($C567="","",IF(OR($N567=TRUE(),$N567="TRUE"),1,0))</f>
        <v/>
      </c>
      <c r="AJ567">
        <f>IF($C567="","",IF($T567="Yes",1,0))</f>
        <v/>
      </c>
      <c r="AK567">
        <f>IF($AG567=1,IFERROR(IF(VALUE($C567)&lt;100000000,VALUE($C567),1000000000),IFERROR(IF(VALUE(MID($C567,2,20))&lt;100000000,VALUE(MID($C567,2,20)),1000000000),1000000000))+ROW()/100000,"")</f>
        <v/>
      </c>
    </row>
    <row r="568">
      <c r="D568" s="11" t="n"/>
      <c r="K568" s="7">
        <f>IF($C568="","",J568*W568/100)</f>
        <v/>
      </c>
      <c r="Q568" s="7" t="n"/>
      <c r="R568" s="7" t="n"/>
      <c r="U568">
        <f>IF($C568="","",IF($AJ568=1,0,IF($AI568=1,Settings!$C$6,Settings!$C$7))*100)</f>
        <v/>
      </c>
      <c r="V568" s="7">
        <f>IF($C568="","",R568*U568/100)</f>
        <v/>
      </c>
      <c r="W568" s="7">
        <f>IF($C568="","",R568-V568)</f>
        <v/>
      </c>
      <c r="X568" s="7">
        <f>IF($C568="","",W568-K568)</f>
        <v/>
      </c>
      <c r="AB568" s="7" t="n"/>
      <c r="AE568" s="11" t="n"/>
      <c r="AG568">
        <f>IF($C568="","",IF(COUNTIF($C$2:$C568,$C568)=1,1,0))</f>
        <v/>
      </c>
      <c r="AH568">
        <f>IF($AG568=1,SUMPRODUCT(--($AK$2:$AK$6001&lt;$AK568))+1,"")</f>
        <v/>
      </c>
      <c r="AI568">
        <f>IF($C568="","",IF(OR($N568=TRUE(),$N568="TRUE"),1,0))</f>
        <v/>
      </c>
      <c r="AJ568">
        <f>IF($C568="","",IF($T568="Yes",1,0))</f>
        <v/>
      </c>
      <c r="AK568">
        <f>IF($AG568=1,IFERROR(IF(VALUE($C568)&lt;100000000,VALUE($C568),1000000000),IFERROR(IF(VALUE(MID($C568,2,20))&lt;100000000,VALUE(MID($C568,2,20)),1000000000),1000000000))+ROW()/100000,"")</f>
        <v/>
      </c>
    </row>
    <row r="569">
      <c r="D569" s="11" t="n"/>
      <c r="K569" s="7">
        <f>IF($C569="","",J569*W569/100)</f>
        <v/>
      </c>
      <c r="Q569" s="7" t="n"/>
      <c r="R569" s="7" t="n"/>
      <c r="U569">
        <f>IF($C569="","",IF($AJ569=1,0,IF($AI569=1,Settings!$C$6,Settings!$C$7))*100)</f>
        <v/>
      </c>
      <c r="V569" s="7">
        <f>IF($C569="","",R569*U569/100)</f>
        <v/>
      </c>
      <c r="W569" s="7">
        <f>IF($C569="","",R569-V569)</f>
        <v/>
      </c>
      <c r="X569" s="7">
        <f>IF($C569="","",W569-K569)</f>
        <v/>
      </c>
      <c r="AB569" s="7" t="n"/>
      <c r="AE569" s="11" t="n"/>
      <c r="AG569">
        <f>IF($C569="","",IF(COUNTIF($C$2:$C569,$C569)=1,1,0))</f>
        <v/>
      </c>
      <c r="AH569">
        <f>IF($AG569=1,SUMPRODUCT(--($AK$2:$AK$6001&lt;$AK569))+1,"")</f>
        <v/>
      </c>
      <c r="AI569">
        <f>IF($C569="","",IF(OR($N569=TRUE(),$N569="TRUE"),1,0))</f>
        <v/>
      </c>
      <c r="AJ569">
        <f>IF($C569="","",IF($T569="Yes",1,0))</f>
        <v/>
      </c>
      <c r="AK569">
        <f>IF($AG569=1,IFERROR(IF(VALUE($C569)&lt;100000000,VALUE($C569),1000000000),IFERROR(IF(VALUE(MID($C569,2,20))&lt;100000000,VALUE(MID($C569,2,20)),1000000000),1000000000))+ROW()/100000,"")</f>
        <v/>
      </c>
    </row>
    <row r="570">
      <c r="D570" s="11" t="n"/>
      <c r="K570" s="7">
        <f>IF($C570="","",J570*W570/100)</f>
        <v/>
      </c>
      <c r="Q570" s="7" t="n"/>
      <c r="R570" s="7" t="n"/>
      <c r="U570">
        <f>IF($C570="","",IF($AJ570=1,0,IF($AI570=1,Settings!$C$6,Settings!$C$7))*100)</f>
        <v/>
      </c>
      <c r="V570" s="7">
        <f>IF($C570="","",R570*U570/100)</f>
        <v/>
      </c>
      <c r="W570" s="7">
        <f>IF($C570="","",R570-V570)</f>
        <v/>
      </c>
      <c r="X570" s="7">
        <f>IF($C570="","",W570-K570)</f>
        <v/>
      </c>
      <c r="AB570" s="7" t="n"/>
      <c r="AE570" s="11" t="n"/>
      <c r="AG570">
        <f>IF($C570="","",IF(COUNTIF($C$2:$C570,$C570)=1,1,0))</f>
        <v/>
      </c>
      <c r="AH570">
        <f>IF($AG570=1,SUMPRODUCT(--($AK$2:$AK$6001&lt;$AK570))+1,"")</f>
        <v/>
      </c>
      <c r="AI570">
        <f>IF($C570="","",IF(OR($N570=TRUE(),$N570="TRUE"),1,0))</f>
        <v/>
      </c>
      <c r="AJ570">
        <f>IF($C570="","",IF($T570="Yes",1,0))</f>
        <v/>
      </c>
      <c r="AK570">
        <f>IF($AG570=1,IFERROR(IF(VALUE($C570)&lt;100000000,VALUE($C570),1000000000),IFERROR(IF(VALUE(MID($C570,2,20))&lt;100000000,VALUE(MID($C570,2,20)),1000000000),1000000000))+ROW()/100000,"")</f>
        <v/>
      </c>
    </row>
    <row r="571">
      <c r="D571" s="11" t="n"/>
      <c r="K571" s="7">
        <f>IF($C571="","",J571*W571/100)</f>
        <v/>
      </c>
      <c r="Q571" s="7" t="n"/>
      <c r="R571" s="7" t="n"/>
      <c r="U571">
        <f>IF($C571="","",IF($AJ571=1,0,IF($AI571=1,Settings!$C$6,Settings!$C$7))*100)</f>
        <v/>
      </c>
      <c r="V571" s="7">
        <f>IF($C571="","",R571*U571/100)</f>
        <v/>
      </c>
      <c r="W571" s="7">
        <f>IF($C571="","",R571-V571)</f>
        <v/>
      </c>
      <c r="X571" s="7">
        <f>IF($C571="","",W571-K571)</f>
        <v/>
      </c>
      <c r="AB571" s="7" t="n"/>
      <c r="AE571" s="11" t="n"/>
      <c r="AG571">
        <f>IF($C571="","",IF(COUNTIF($C$2:$C571,$C571)=1,1,0))</f>
        <v/>
      </c>
      <c r="AH571">
        <f>IF($AG571=1,SUMPRODUCT(--($AK$2:$AK$6001&lt;$AK571))+1,"")</f>
        <v/>
      </c>
      <c r="AI571">
        <f>IF($C571="","",IF(OR($N571=TRUE(),$N571="TRUE"),1,0))</f>
        <v/>
      </c>
      <c r="AJ571">
        <f>IF($C571="","",IF($T571="Yes",1,0))</f>
        <v/>
      </c>
      <c r="AK571">
        <f>IF($AG571=1,IFERROR(IF(VALUE($C571)&lt;100000000,VALUE($C571),1000000000),IFERROR(IF(VALUE(MID($C571,2,20))&lt;100000000,VALUE(MID($C571,2,20)),1000000000),1000000000))+ROW()/100000,"")</f>
        <v/>
      </c>
    </row>
    <row r="572">
      <c r="D572" s="11" t="n"/>
      <c r="K572" s="7">
        <f>IF($C572="","",J572*W572/100)</f>
        <v/>
      </c>
      <c r="Q572" s="7" t="n"/>
      <c r="R572" s="7" t="n"/>
      <c r="U572">
        <f>IF($C572="","",IF($AJ572=1,0,IF($AI572=1,Settings!$C$6,Settings!$C$7))*100)</f>
        <v/>
      </c>
      <c r="V572" s="7">
        <f>IF($C572="","",R572*U572/100)</f>
        <v/>
      </c>
      <c r="W572" s="7">
        <f>IF($C572="","",R572-V572)</f>
        <v/>
      </c>
      <c r="X572" s="7">
        <f>IF($C572="","",W572-K572)</f>
        <v/>
      </c>
      <c r="AB572" s="7" t="n"/>
      <c r="AE572" s="11" t="n"/>
      <c r="AG572">
        <f>IF($C572="","",IF(COUNTIF($C$2:$C572,$C572)=1,1,0))</f>
        <v/>
      </c>
      <c r="AH572">
        <f>IF($AG572=1,SUMPRODUCT(--($AK$2:$AK$6001&lt;$AK572))+1,"")</f>
        <v/>
      </c>
      <c r="AI572">
        <f>IF($C572="","",IF(OR($N572=TRUE(),$N572="TRUE"),1,0))</f>
        <v/>
      </c>
      <c r="AJ572">
        <f>IF($C572="","",IF($T572="Yes",1,0))</f>
        <v/>
      </c>
      <c r="AK572">
        <f>IF($AG572=1,IFERROR(IF(VALUE($C572)&lt;100000000,VALUE($C572),1000000000),IFERROR(IF(VALUE(MID($C572,2,20))&lt;100000000,VALUE(MID($C572,2,20)),1000000000),1000000000))+ROW()/100000,"")</f>
        <v/>
      </c>
    </row>
    <row r="573">
      <c r="D573" s="11" t="n"/>
      <c r="K573" s="7">
        <f>IF($C573="","",J573*W573/100)</f>
        <v/>
      </c>
      <c r="Q573" s="7" t="n"/>
      <c r="R573" s="7" t="n"/>
      <c r="U573">
        <f>IF($C573="","",IF($AJ573=1,0,IF($AI573=1,Settings!$C$6,Settings!$C$7))*100)</f>
        <v/>
      </c>
      <c r="V573" s="7">
        <f>IF($C573="","",R573*U573/100)</f>
        <v/>
      </c>
      <c r="W573" s="7">
        <f>IF($C573="","",R573-V573)</f>
        <v/>
      </c>
      <c r="X573" s="7">
        <f>IF($C573="","",W573-K573)</f>
        <v/>
      </c>
      <c r="AB573" s="7" t="n"/>
      <c r="AE573" s="11" t="n"/>
      <c r="AG573">
        <f>IF($C573="","",IF(COUNTIF($C$2:$C573,$C573)=1,1,0))</f>
        <v/>
      </c>
      <c r="AH573">
        <f>IF($AG573=1,SUMPRODUCT(--($AK$2:$AK$6001&lt;$AK573))+1,"")</f>
        <v/>
      </c>
      <c r="AI573">
        <f>IF($C573="","",IF(OR($N573=TRUE(),$N573="TRUE"),1,0))</f>
        <v/>
      </c>
      <c r="AJ573">
        <f>IF($C573="","",IF($T573="Yes",1,0))</f>
        <v/>
      </c>
      <c r="AK573">
        <f>IF($AG573=1,IFERROR(IF(VALUE($C573)&lt;100000000,VALUE($C573),1000000000),IFERROR(IF(VALUE(MID($C573,2,20))&lt;100000000,VALUE(MID($C573,2,20)),1000000000),1000000000))+ROW()/100000,"")</f>
        <v/>
      </c>
    </row>
    <row r="574">
      <c r="D574" s="11" t="n"/>
      <c r="K574" s="7">
        <f>IF($C574="","",J574*W574/100)</f>
        <v/>
      </c>
      <c r="Q574" s="7" t="n"/>
      <c r="R574" s="7" t="n"/>
      <c r="U574">
        <f>IF($C574="","",IF($AJ574=1,0,IF($AI574=1,Settings!$C$6,Settings!$C$7))*100)</f>
        <v/>
      </c>
      <c r="V574" s="7">
        <f>IF($C574="","",R574*U574/100)</f>
        <v/>
      </c>
      <c r="W574" s="7">
        <f>IF($C574="","",R574-V574)</f>
        <v/>
      </c>
      <c r="X574" s="7">
        <f>IF($C574="","",W574-K574)</f>
        <v/>
      </c>
      <c r="AB574" s="7" t="n"/>
      <c r="AE574" s="11" t="n"/>
      <c r="AG574">
        <f>IF($C574="","",IF(COUNTIF($C$2:$C574,$C574)=1,1,0))</f>
        <v/>
      </c>
      <c r="AH574">
        <f>IF($AG574=1,SUMPRODUCT(--($AK$2:$AK$6001&lt;$AK574))+1,"")</f>
        <v/>
      </c>
      <c r="AI574">
        <f>IF($C574="","",IF(OR($N574=TRUE(),$N574="TRUE"),1,0))</f>
        <v/>
      </c>
      <c r="AJ574">
        <f>IF($C574="","",IF($T574="Yes",1,0))</f>
        <v/>
      </c>
      <c r="AK574">
        <f>IF($AG574=1,IFERROR(IF(VALUE($C574)&lt;100000000,VALUE($C574),1000000000),IFERROR(IF(VALUE(MID($C574,2,20))&lt;100000000,VALUE(MID($C574,2,20)),1000000000),1000000000))+ROW()/100000,"")</f>
        <v/>
      </c>
    </row>
    <row r="575">
      <c r="D575" s="11" t="n"/>
      <c r="K575" s="7">
        <f>IF($C575="","",J575*W575/100)</f>
        <v/>
      </c>
      <c r="Q575" s="7" t="n"/>
      <c r="R575" s="7" t="n"/>
      <c r="U575">
        <f>IF($C575="","",IF($AJ575=1,0,IF($AI575=1,Settings!$C$6,Settings!$C$7))*100)</f>
        <v/>
      </c>
      <c r="V575" s="7">
        <f>IF($C575="","",R575*U575/100)</f>
        <v/>
      </c>
      <c r="W575" s="7">
        <f>IF($C575="","",R575-V575)</f>
        <v/>
      </c>
      <c r="X575" s="7">
        <f>IF($C575="","",W575-K575)</f>
        <v/>
      </c>
      <c r="AB575" s="7" t="n"/>
      <c r="AE575" s="11" t="n"/>
      <c r="AG575">
        <f>IF($C575="","",IF(COUNTIF($C$2:$C575,$C575)=1,1,0))</f>
        <v/>
      </c>
      <c r="AH575">
        <f>IF($AG575=1,SUMPRODUCT(--($AK$2:$AK$6001&lt;$AK575))+1,"")</f>
        <v/>
      </c>
      <c r="AI575">
        <f>IF($C575="","",IF(OR($N575=TRUE(),$N575="TRUE"),1,0))</f>
        <v/>
      </c>
      <c r="AJ575">
        <f>IF($C575="","",IF($T575="Yes",1,0))</f>
        <v/>
      </c>
      <c r="AK575">
        <f>IF($AG575=1,IFERROR(IF(VALUE($C575)&lt;100000000,VALUE($C575),1000000000),IFERROR(IF(VALUE(MID($C575,2,20))&lt;100000000,VALUE(MID($C575,2,20)),1000000000),1000000000))+ROW()/100000,"")</f>
        <v/>
      </c>
    </row>
    <row r="576">
      <c r="D576" s="11" t="n"/>
      <c r="K576" s="7">
        <f>IF($C576="","",J576*W576/100)</f>
        <v/>
      </c>
      <c r="Q576" s="7" t="n"/>
      <c r="R576" s="7" t="n"/>
      <c r="U576">
        <f>IF($C576="","",IF($AJ576=1,0,IF($AI576=1,Settings!$C$6,Settings!$C$7))*100)</f>
        <v/>
      </c>
      <c r="V576" s="7">
        <f>IF($C576="","",R576*U576/100)</f>
        <v/>
      </c>
      <c r="W576" s="7">
        <f>IF($C576="","",R576-V576)</f>
        <v/>
      </c>
      <c r="X576" s="7">
        <f>IF($C576="","",W576-K576)</f>
        <v/>
      </c>
      <c r="AB576" s="7" t="n"/>
      <c r="AE576" s="11" t="n"/>
      <c r="AG576">
        <f>IF($C576="","",IF(COUNTIF($C$2:$C576,$C576)=1,1,0))</f>
        <v/>
      </c>
      <c r="AH576">
        <f>IF($AG576=1,SUMPRODUCT(--($AK$2:$AK$6001&lt;$AK576))+1,"")</f>
        <v/>
      </c>
      <c r="AI576">
        <f>IF($C576="","",IF(OR($N576=TRUE(),$N576="TRUE"),1,0))</f>
        <v/>
      </c>
      <c r="AJ576">
        <f>IF($C576="","",IF($T576="Yes",1,0))</f>
        <v/>
      </c>
      <c r="AK576">
        <f>IF($AG576=1,IFERROR(IF(VALUE($C576)&lt;100000000,VALUE($C576),1000000000),IFERROR(IF(VALUE(MID($C576,2,20))&lt;100000000,VALUE(MID($C576,2,20)),1000000000),1000000000))+ROW()/100000,"")</f>
        <v/>
      </c>
    </row>
    <row r="577">
      <c r="D577" s="11" t="n"/>
      <c r="K577" s="7">
        <f>IF($C577="","",J577*W577/100)</f>
        <v/>
      </c>
      <c r="Q577" s="7" t="n"/>
      <c r="R577" s="7" t="n"/>
      <c r="U577">
        <f>IF($C577="","",IF($AJ577=1,0,IF($AI577=1,Settings!$C$6,Settings!$C$7))*100)</f>
        <v/>
      </c>
      <c r="V577" s="7">
        <f>IF($C577="","",R577*U577/100)</f>
        <v/>
      </c>
      <c r="W577" s="7">
        <f>IF($C577="","",R577-V577)</f>
        <v/>
      </c>
      <c r="X577" s="7">
        <f>IF($C577="","",W577-K577)</f>
        <v/>
      </c>
      <c r="AB577" s="7" t="n"/>
      <c r="AE577" s="11" t="n"/>
      <c r="AG577">
        <f>IF($C577="","",IF(COUNTIF($C$2:$C577,$C577)=1,1,0))</f>
        <v/>
      </c>
      <c r="AH577">
        <f>IF($AG577=1,SUMPRODUCT(--($AK$2:$AK$6001&lt;$AK577))+1,"")</f>
        <v/>
      </c>
      <c r="AI577">
        <f>IF($C577="","",IF(OR($N577=TRUE(),$N577="TRUE"),1,0))</f>
        <v/>
      </c>
      <c r="AJ577">
        <f>IF($C577="","",IF($T577="Yes",1,0))</f>
        <v/>
      </c>
      <c r="AK577">
        <f>IF($AG577=1,IFERROR(IF(VALUE($C577)&lt;100000000,VALUE($C577),1000000000),IFERROR(IF(VALUE(MID($C577,2,20))&lt;100000000,VALUE(MID($C577,2,20)),1000000000),1000000000))+ROW()/100000,"")</f>
        <v/>
      </c>
    </row>
    <row r="578">
      <c r="D578" s="11" t="n"/>
      <c r="K578" s="7">
        <f>IF($C578="","",J578*W578/100)</f>
        <v/>
      </c>
      <c r="Q578" s="7" t="n"/>
      <c r="R578" s="7" t="n"/>
      <c r="U578">
        <f>IF($C578="","",IF($AJ578=1,0,IF($AI578=1,Settings!$C$6,Settings!$C$7))*100)</f>
        <v/>
      </c>
      <c r="V578" s="7">
        <f>IF($C578="","",R578*U578/100)</f>
        <v/>
      </c>
      <c r="W578" s="7">
        <f>IF($C578="","",R578-V578)</f>
        <v/>
      </c>
      <c r="X578" s="7">
        <f>IF($C578="","",W578-K578)</f>
        <v/>
      </c>
      <c r="AB578" s="7" t="n"/>
      <c r="AE578" s="11" t="n"/>
      <c r="AG578">
        <f>IF($C578="","",IF(COUNTIF($C$2:$C578,$C578)=1,1,0))</f>
        <v/>
      </c>
      <c r="AH578">
        <f>IF($AG578=1,SUMPRODUCT(--($AK$2:$AK$6001&lt;$AK578))+1,"")</f>
        <v/>
      </c>
      <c r="AI578">
        <f>IF($C578="","",IF(OR($N578=TRUE(),$N578="TRUE"),1,0))</f>
        <v/>
      </c>
      <c r="AJ578">
        <f>IF($C578="","",IF($T578="Yes",1,0))</f>
        <v/>
      </c>
      <c r="AK578">
        <f>IF($AG578=1,IFERROR(IF(VALUE($C578)&lt;100000000,VALUE($C578),1000000000),IFERROR(IF(VALUE(MID($C578,2,20))&lt;100000000,VALUE(MID($C578,2,20)),1000000000),1000000000))+ROW()/100000,"")</f>
        <v/>
      </c>
    </row>
    <row r="579">
      <c r="D579" s="11" t="n"/>
      <c r="K579" s="7">
        <f>IF($C579="","",J579*W579/100)</f>
        <v/>
      </c>
      <c r="Q579" s="7" t="n"/>
      <c r="R579" s="7" t="n"/>
      <c r="U579">
        <f>IF($C579="","",IF($AJ579=1,0,IF($AI579=1,Settings!$C$6,Settings!$C$7))*100)</f>
        <v/>
      </c>
      <c r="V579" s="7">
        <f>IF($C579="","",R579*U579/100)</f>
        <v/>
      </c>
      <c r="W579" s="7">
        <f>IF($C579="","",R579-V579)</f>
        <v/>
      </c>
      <c r="X579" s="7">
        <f>IF($C579="","",W579-K579)</f>
        <v/>
      </c>
      <c r="AB579" s="7" t="n"/>
      <c r="AE579" s="11" t="n"/>
      <c r="AG579">
        <f>IF($C579="","",IF(COUNTIF($C$2:$C579,$C579)=1,1,0))</f>
        <v/>
      </c>
      <c r="AH579">
        <f>IF($AG579=1,SUMPRODUCT(--($AK$2:$AK$6001&lt;$AK579))+1,"")</f>
        <v/>
      </c>
      <c r="AI579">
        <f>IF($C579="","",IF(OR($N579=TRUE(),$N579="TRUE"),1,0))</f>
        <v/>
      </c>
      <c r="AJ579">
        <f>IF($C579="","",IF($T579="Yes",1,0))</f>
        <v/>
      </c>
      <c r="AK579">
        <f>IF($AG579=1,IFERROR(IF(VALUE($C579)&lt;100000000,VALUE($C579),1000000000),IFERROR(IF(VALUE(MID($C579,2,20))&lt;100000000,VALUE(MID($C579,2,20)),1000000000),1000000000))+ROW()/100000,"")</f>
        <v/>
      </c>
    </row>
    <row r="580">
      <c r="D580" s="11" t="n"/>
      <c r="K580" s="7">
        <f>IF($C580="","",J580*W580/100)</f>
        <v/>
      </c>
      <c r="Q580" s="7" t="n"/>
      <c r="R580" s="7" t="n"/>
      <c r="U580">
        <f>IF($C580="","",IF($AJ580=1,0,IF($AI580=1,Settings!$C$6,Settings!$C$7))*100)</f>
        <v/>
      </c>
      <c r="V580" s="7">
        <f>IF($C580="","",R580*U580/100)</f>
        <v/>
      </c>
      <c r="W580" s="7">
        <f>IF($C580="","",R580-V580)</f>
        <v/>
      </c>
      <c r="X580" s="7">
        <f>IF($C580="","",W580-K580)</f>
        <v/>
      </c>
      <c r="AB580" s="7" t="n"/>
      <c r="AE580" s="11" t="n"/>
      <c r="AG580">
        <f>IF($C580="","",IF(COUNTIF($C$2:$C580,$C580)=1,1,0))</f>
        <v/>
      </c>
      <c r="AH580">
        <f>IF($AG580=1,SUMPRODUCT(--($AK$2:$AK$6001&lt;$AK580))+1,"")</f>
        <v/>
      </c>
      <c r="AI580">
        <f>IF($C580="","",IF(OR($N580=TRUE(),$N580="TRUE"),1,0))</f>
        <v/>
      </c>
      <c r="AJ580">
        <f>IF($C580="","",IF($T580="Yes",1,0))</f>
        <v/>
      </c>
      <c r="AK580">
        <f>IF($AG580=1,IFERROR(IF(VALUE($C580)&lt;100000000,VALUE($C580),1000000000),IFERROR(IF(VALUE(MID($C580,2,20))&lt;100000000,VALUE(MID($C580,2,20)),1000000000),1000000000))+ROW()/100000,"")</f>
        <v/>
      </c>
    </row>
    <row r="581">
      <c r="D581" s="11" t="n"/>
      <c r="K581" s="7">
        <f>IF($C581="","",J581*W581/100)</f>
        <v/>
      </c>
      <c r="Q581" s="7" t="n"/>
      <c r="R581" s="7" t="n"/>
      <c r="U581">
        <f>IF($C581="","",IF($AJ581=1,0,IF($AI581=1,Settings!$C$6,Settings!$C$7))*100)</f>
        <v/>
      </c>
      <c r="V581" s="7">
        <f>IF($C581="","",R581*U581/100)</f>
        <v/>
      </c>
      <c r="W581" s="7">
        <f>IF($C581="","",R581-V581)</f>
        <v/>
      </c>
      <c r="X581" s="7">
        <f>IF($C581="","",W581-K581)</f>
        <v/>
      </c>
      <c r="AB581" s="7" t="n"/>
      <c r="AE581" s="11" t="n"/>
      <c r="AG581">
        <f>IF($C581="","",IF(COUNTIF($C$2:$C581,$C581)=1,1,0))</f>
        <v/>
      </c>
      <c r="AH581">
        <f>IF($AG581=1,SUMPRODUCT(--($AK$2:$AK$6001&lt;$AK581))+1,"")</f>
        <v/>
      </c>
      <c r="AI581">
        <f>IF($C581="","",IF(OR($N581=TRUE(),$N581="TRUE"),1,0))</f>
        <v/>
      </c>
      <c r="AJ581">
        <f>IF($C581="","",IF($T581="Yes",1,0))</f>
        <v/>
      </c>
      <c r="AK581">
        <f>IF($AG581=1,IFERROR(IF(VALUE($C581)&lt;100000000,VALUE($C581),1000000000),IFERROR(IF(VALUE(MID($C581,2,20))&lt;100000000,VALUE(MID($C581,2,20)),1000000000),1000000000))+ROW()/100000,"")</f>
        <v/>
      </c>
    </row>
    <row r="582">
      <c r="D582" s="11" t="n"/>
      <c r="K582" s="7">
        <f>IF($C582="","",J582*W582/100)</f>
        <v/>
      </c>
      <c r="Q582" s="7" t="n"/>
      <c r="R582" s="7" t="n"/>
      <c r="U582">
        <f>IF($C582="","",IF($AJ582=1,0,IF($AI582=1,Settings!$C$6,Settings!$C$7))*100)</f>
        <v/>
      </c>
      <c r="V582" s="7">
        <f>IF($C582="","",R582*U582/100)</f>
        <v/>
      </c>
      <c r="W582" s="7">
        <f>IF($C582="","",R582-V582)</f>
        <v/>
      </c>
      <c r="X582" s="7">
        <f>IF($C582="","",W582-K582)</f>
        <v/>
      </c>
      <c r="AB582" s="7" t="n"/>
      <c r="AE582" s="11" t="n"/>
      <c r="AG582">
        <f>IF($C582="","",IF(COUNTIF($C$2:$C582,$C582)=1,1,0))</f>
        <v/>
      </c>
      <c r="AH582">
        <f>IF($AG582=1,SUMPRODUCT(--($AK$2:$AK$6001&lt;$AK582))+1,"")</f>
        <v/>
      </c>
      <c r="AI582">
        <f>IF($C582="","",IF(OR($N582=TRUE(),$N582="TRUE"),1,0))</f>
        <v/>
      </c>
      <c r="AJ582">
        <f>IF($C582="","",IF($T582="Yes",1,0))</f>
        <v/>
      </c>
      <c r="AK582">
        <f>IF($AG582=1,IFERROR(IF(VALUE($C582)&lt;100000000,VALUE($C582),1000000000),IFERROR(IF(VALUE(MID($C582,2,20))&lt;100000000,VALUE(MID($C582,2,20)),1000000000),1000000000))+ROW()/100000,"")</f>
        <v/>
      </c>
    </row>
    <row r="583">
      <c r="D583" s="11" t="n"/>
      <c r="K583" s="7">
        <f>IF($C583="","",J583*W583/100)</f>
        <v/>
      </c>
      <c r="Q583" s="7" t="n"/>
      <c r="R583" s="7" t="n"/>
      <c r="U583">
        <f>IF($C583="","",IF($AJ583=1,0,IF($AI583=1,Settings!$C$6,Settings!$C$7))*100)</f>
        <v/>
      </c>
      <c r="V583" s="7">
        <f>IF($C583="","",R583*U583/100)</f>
        <v/>
      </c>
      <c r="W583" s="7">
        <f>IF($C583="","",R583-V583)</f>
        <v/>
      </c>
      <c r="X583" s="7">
        <f>IF($C583="","",W583-K583)</f>
        <v/>
      </c>
      <c r="AB583" s="7" t="n"/>
      <c r="AE583" s="11" t="n"/>
      <c r="AG583">
        <f>IF($C583="","",IF(COUNTIF($C$2:$C583,$C583)=1,1,0))</f>
        <v/>
      </c>
      <c r="AH583">
        <f>IF($AG583=1,SUMPRODUCT(--($AK$2:$AK$6001&lt;$AK583))+1,"")</f>
        <v/>
      </c>
      <c r="AI583">
        <f>IF($C583="","",IF(OR($N583=TRUE(),$N583="TRUE"),1,0))</f>
        <v/>
      </c>
      <c r="AJ583">
        <f>IF($C583="","",IF($T583="Yes",1,0))</f>
        <v/>
      </c>
      <c r="AK583">
        <f>IF($AG583=1,IFERROR(IF(VALUE($C583)&lt;100000000,VALUE($C583),1000000000),IFERROR(IF(VALUE(MID($C583,2,20))&lt;100000000,VALUE(MID($C583,2,20)),1000000000),1000000000))+ROW()/100000,"")</f>
        <v/>
      </c>
    </row>
    <row r="584">
      <c r="D584" s="11" t="n"/>
      <c r="K584" s="7">
        <f>IF($C584="","",J584*W584/100)</f>
        <v/>
      </c>
      <c r="Q584" s="7" t="n"/>
      <c r="R584" s="7" t="n"/>
      <c r="U584">
        <f>IF($C584="","",IF($AJ584=1,0,IF($AI584=1,Settings!$C$6,Settings!$C$7))*100)</f>
        <v/>
      </c>
      <c r="V584" s="7">
        <f>IF($C584="","",R584*U584/100)</f>
        <v/>
      </c>
      <c r="W584" s="7">
        <f>IF($C584="","",R584-V584)</f>
        <v/>
      </c>
      <c r="X584" s="7">
        <f>IF($C584="","",W584-K584)</f>
        <v/>
      </c>
      <c r="AB584" s="7" t="n"/>
      <c r="AE584" s="11" t="n"/>
      <c r="AG584">
        <f>IF($C584="","",IF(COUNTIF($C$2:$C584,$C584)=1,1,0))</f>
        <v/>
      </c>
      <c r="AH584">
        <f>IF($AG584=1,SUMPRODUCT(--($AK$2:$AK$6001&lt;$AK584))+1,"")</f>
        <v/>
      </c>
      <c r="AI584">
        <f>IF($C584="","",IF(OR($N584=TRUE(),$N584="TRUE"),1,0))</f>
        <v/>
      </c>
      <c r="AJ584">
        <f>IF($C584="","",IF($T584="Yes",1,0))</f>
        <v/>
      </c>
      <c r="AK584">
        <f>IF($AG584=1,IFERROR(IF(VALUE($C584)&lt;100000000,VALUE($C584),1000000000),IFERROR(IF(VALUE(MID($C584,2,20))&lt;100000000,VALUE(MID($C584,2,20)),1000000000),1000000000))+ROW()/100000,"")</f>
        <v/>
      </c>
    </row>
    <row r="585">
      <c r="D585" s="11" t="n"/>
      <c r="K585" s="7">
        <f>IF($C585="","",J585*W585/100)</f>
        <v/>
      </c>
      <c r="Q585" s="7" t="n"/>
      <c r="R585" s="7" t="n"/>
      <c r="U585">
        <f>IF($C585="","",IF($AJ585=1,0,IF($AI585=1,Settings!$C$6,Settings!$C$7))*100)</f>
        <v/>
      </c>
      <c r="V585" s="7">
        <f>IF($C585="","",R585*U585/100)</f>
        <v/>
      </c>
      <c r="W585" s="7">
        <f>IF($C585="","",R585-V585)</f>
        <v/>
      </c>
      <c r="X585" s="7">
        <f>IF($C585="","",W585-K585)</f>
        <v/>
      </c>
      <c r="AB585" s="7" t="n"/>
      <c r="AE585" s="11" t="n"/>
      <c r="AG585">
        <f>IF($C585="","",IF(COUNTIF($C$2:$C585,$C585)=1,1,0))</f>
        <v/>
      </c>
      <c r="AH585">
        <f>IF($AG585=1,SUMPRODUCT(--($AK$2:$AK$6001&lt;$AK585))+1,"")</f>
        <v/>
      </c>
      <c r="AI585">
        <f>IF($C585="","",IF(OR($N585=TRUE(),$N585="TRUE"),1,0))</f>
        <v/>
      </c>
      <c r="AJ585">
        <f>IF($C585="","",IF($T585="Yes",1,0))</f>
        <v/>
      </c>
      <c r="AK585">
        <f>IF($AG585=1,IFERROR(IF(VALUE($C585)&lt;100000000,VALUE($C585),1000000000),IFERROR(IF(VALUE(MID($C585,2,20))&lt;100000000,VALUE(MID($C585,2,20)),1000000000),1000000000))+ROW()/100000,"")</f>
        <v/>
      </c>
    </row>
    <row r="586">
      <c r="D586" s="11" t="n"/>
      <c r="K586" s="7">
        <f>IF($C586="","",J586*W586/100)</f>
        <v/>
      </c>
      <c r="Q586" s="7" t="n"/>
      <c r="R586" s="7" t="n"/>
      <c r="U586">
        <f>IF($C586="","",IF($AJ586=1,0,IF($AI586=1,Settings!$C$6,Settings!$C$7))*100)</f>
        <v/>
      </c>
      <c r="V586" s="7">
        <f>IF($C586="","",R586*U586/100)</f>
        <v/>
      </c>
      <c r="W586" s="7">
        <f>IF($C586="","",R586-V586)</f>
        <v/>
      </c>
      <c r="X586" s="7">
        <f>IF($C586="","",W586-K586)</f>
        <v/>
      </c>
      <c r="AB586" s="7" t="n"/>
      <c r="AE586" s="11" t="n"/>
      <c r="AG586">
        <f>IF($C586="","",IF(COUNTIF($C$2:$C586,$C586)=1,1,0))</f>
        <v/>
      </c>
      <c r="AH586">
        <f>IF($AG586=1,SUMPRODUCT(--($AK$2:$AK$6001&lt;$AK586))+1,"")</f>
        <v/>
      </c>
      <c r="AI586">
        <f>IF($C586="","",IF(OR($N586=TRUE(),$N586="TRUE"),1,0))</f>
        <v/>
      </c>
      <c r="AJ586">
        <f>IF($C586="","",IF($T586="Yes",1,0))</f>
        <v/>
      </c>
      <c r="AK586">
        <f>IF($AG586=1,IFERROR(IF(VALUE($C586)&lt;100000000,VALUE($C586),1000000000),IFERROR(IF(VALUE(MID($C586,2,20))&lt;100000000,VALUE(MID($C586,2,20)),1000000000),1000000000))+ROW()/100000,"")</f>
        <v/>
      </c>
    </row>
    <row r="587">
      <c r="D587" s="11" t="n"/>
      <c r="K587" s="7">
        <f>IF($C587="","",J587*W587/100)</f>
        <v/>
      </c>
      <c r="Q587" s="7" t="n"/>
      <c r="R587" s="7" t="n"/>
      <c r="U587">
        <f>IF($C587="","",IF($AJ587=1,0,IF($AI587=1,Settings!$C$6,Settings!$C$7))*100)</f>
        <v/>
      </c>
      <c r="V587" s="7">
        <f>IF($C587="","",R587*U587/100)</f>
        <v/>
      </c>
      <c r="W587" s="7">
        <f>IF($C587="","",R587-V587)</f>
        <v/>
      </c>
      <c r="X587" s="7">
        <f>IF($C587="","",W587-K587)</f>
        <v/>
      </c>
      <c r="AB587" s="7" t="n"/>
      <c r="AE587" s="11" t="n"/>
      <c r="AG587">
        <f>IF($C587="","",IF(COUNTIF($C$2:$C587,$C587)=1,1,0))</f>
        <v/>
      </c>
      <c r="AH587">
        <f>IF($AG587=1,SUMPRODUCT(--($AK$2:$AK$6001&lt;$AK587))+1,"")</f>
        <v/>
      </c>
      <c r="AI587">
        <f>IF($C587="","",IF(OR($N587=TRUE(),$N587="TRUE"),1,0))</f>
        <v/>
      </c>
      <c r="AJ587">
        <f>IF($C587="","",IF($T587="Yes",1,0))</f>
        <v/>
      </c>
      <c r="AK587">
        <f>IF($AG587=1,IFERROR(IF(VALUE($C587)&lt;100000000,VALUE($C587),1000000000),IFERROR(IF(VALUE(MID($C587,2,20))&lt;100000000,VALUE(MID($C587,2,20)),1000000000),1000000000))+ROW()/100000,"")</f>
        <v/>
      </c>
    </row>
    <row r="588">
      <c r="D588" s="11" t="n"/>
      <c r="K588" s="7">
        <f>IF($C588="","",J588*W588/100)</f>
        <v/>
      </c>
      <c r="Q588" s="7" t="n"/>
      <c r="R588" s="7" t="n"/>
      <c r="U588">
        <f>IF($C588="","",IF($AJ588=1,0,IF($AI588=1,Settings!$C$6,Settings!$C$7))*100)</f>
        <v/>
      </c>
      <c r="V588" s="7">
        <f>IF($C588="","",R588*U588/100)</f>
        <v/>
      </c>
      <c r="W588" s="7">
        <f>IF($C588="","",R588-V588)</f>
        <v/>
      </c>
      <c r="X588" s="7">
        <f>IF($C588="","",W588-K588)</f>
        <v/>
      </c>
      <c r="AB588" s="7" t="n"/>
      <c r="AE588" s="11" t="n"/>
      <c r="AG588">
        <f>IF($C588="","",IF(COUNTIF($C$2:$C588,$C588)=1,1,0))</f>
        <v/>
      </c>
      <c r="AH588">
        <f>IF($AG588=1,SUMPRODUCT(--($AK$2:$AK$6001&lt;$AK588))+1,"")</f>
        <v/>
      </c>
      <c r="AI588">
        <f>IF($C588="","",IF(OR($N588=TRUE(),$N588="TRUE"),1,0))</f>
        <v/>
      </c>
      <c r="AJ588">
        <f>IF($C588="","",IF($T588="Yes",1,0))</f>
        <v/>
      </c>
      <c r="AK588">
        <f>IF($AG588=1,IFERROR(IF(VALUE($C588)&lt;100000000,VALUE($C588),1000000000),IFERROR(IF(VALUE(MID($C588,2,20))&lt;100000000,VALUE(MID($C588,2,20)),1000000000),1000000000))+ROW()/100000,"")</f>
        <v/>
      </c>
    </row>
    <row r="589">
      <c r="D589" s="11" t="n"/>
      <c r="K589" s="7">
        <f>IF($C589="","",J589*W589/100)</f>
        <v/>
      </c>
      <c r="Q589" s="7" t="n"/>
      <c r="R589" s="7" t="n"/>
      <c r="U589">
        <f>IF($C589="","",IF($AJ589=1,0,IF($AI589=1,Settings!$C$6,Settings!$C$7))*100)</f>
        <v/>
      </c>
      <c r="V589" s="7">
        <f>IF($C589="","",R589*U589/100)</f>
        <v/>
      </c>
      <c r="W589" s="7">
        <f>IF($C589="","",R589-V589)</f>
        <v/>
      </c>
      <c r="X589" s="7">
        <f>IF($C589="","",W589-K589)</f>
        <v/>
      </c>
      <c r="AB589" s="7" t="n"/>
      <c r="AE589" s="11" t="n"/>
      <c r="AG589">
        <f>IF($C589="","",IF(COUNTIF($C$2:$C589,$C589)=1,1,0))</f>
        <v/>
      </c>
      <c r="AH589">
        <f>IF($AG589=1,SUMPRODUCT(--($AK$2:$AK$6001&lt;$AK589))+1,"")</f>
        <v/>
      </c>
      <c r="AI589">
        <f>IF($C589="","",IF(OR($N589=TRUE(),$N589="TRUE"),1,0))</f>
        <v/>
      </c>
      <c r="AJ589">
        <f>IF($C589="","",IF($T589="Yes",1,0))</f>
        <v/>
      </c>
      <c r="AK589">
        <f>IF($AG589=1,IFERROR(IF(VALUE($C589)&lt;100000000,VALUE($C589),1000000000),IFERROR(IF(VALUE(MID($C589,2,20))&lt;100000000,VALUE(MID($C589,2,20)),1000000000),1000000000))+ROW()/100000,"")</f>
        <v/>
      </c>
    </row>
    <row r="590">
      <c r="D590" s="11" t="n"/>
      <c r="K590" s="7">
        <f>IF($C590="","",J590*W590/100)</f>
        <v/>
      </c>
      <c r="Q590" s="7" t="n"/>
      <c r="R590" s="7" t="n"/>
      <c r="U590">
        <f>IF($C590="","",IF($AJ590=1,0,IF($AI590=1,Settings!$C$6,Settings!$C$7))*100)</f>
        <v/>
      </c>
      <c r="V590" s="7">
        <f>IF($C590="","",R590*U590/100)</f>
        <v/>
      </c>
      <c r="W590" s="7">
        <f>IF($C590="","",R590-V590)</f>
        <v/>
      </c>
      <c r="X590" s="7">
        <f>IF($C590="","",W590-K590)</f>
        <v/>
      </c>
      <c r="AB590" s="7" t="n"/>
      <c r="AE590" s="11" t="n"/>
      <c r="AG590">
        <f>IF($C590="","",IF(COUNTIF($C$2:$C590,$C590)=1,1,0))</f>
        <v/>
      </c>
      <c r="AH590">
        <f>IF($AG590=1,SUMPRODUCT(--($AK$2:$AK$6001&lt;$AK590))+1,"")</f>
        <v/>
      </c>
      <c r="AI590">
        <f>IF($C590="","",IF(OR($N590=TRUE(),$N590="TRUE"),1,0))</f>
        <v/>
      </c>
      <c r="AJ590">
        <f>IF($C590="","",IF($T590="Yes",1,0))</f>
        <v/>
      </c>
      <c r="AK590">
        <f>IF($AG590=1,IFERROR(IF(VALUE($C590)&lt;100000000,VALUE($C590),1000000000),IFERROR(IF(VALUE(MID($C590,2,20))&lt;100000000,VALUE(MID($C590,2,20)),1000000000),1000000000))+ROW()/100000,"")</f>
        <v/>
      </c>
    </row>
    <row r="591">
      <c r="D591" s="11" t="n"/>
      <c r="K591" s="7">
        <f>IF($C591="","",J591*W591/100)</f>
        <v/>
      </c>
      <c r="Q591" s="7" t="n"/>
      <c r="R591" s="7" t="n"/>
      <c r="U591">
        <f>IF($C591="","",IF($AJ591=1,0,IF($AI591=1,Settings!$C$6,Settings!$C$7))*100)</f>
        <v/>
      </c>
      <c r="V591" s="7">
        <f>IF($C591="","",R591*U591/100)</f>
        <v/>
      </c>
      <c r="W591" s="7">
        <f>IF($C591="","",R591-V591)</f>
        <v/>
      </c>
      <c r="X591" s="7">
        <f>IF($C591="","",W591-K591)</f>
        <v/>
      </c>
      <c r="AB591" s="7" t="n"/>
      <c r="AE591" s="11" t="n"/>
      <c r="AG591">
        <f>IF($C591="","",IF(COUNTIF($C$2:$C591,$C591)=1,1,0))</f>
        <v/>
      </c>
      <c r="AH591">
        <f>IF($AG591=1,SUMPRODUCT(--($AK$2:$AK$6001&lt;$AK591))+1,"")</f>
        <v/>
      </c>
      <c r="AI591">
        <f>IF($C591="","",IF(OR($N591=TRUE(),$N591="TRUE"),1,0))</f>
        <v/>
      </c>
      <c r="AJ591">
        <f>IF($C591="","",IF($T591="Yes",1,0))</f>
        <v/>
      </c>
      <c r="AK591">
        <f>IF($AG591=1,IFERROR(IF(VALUE($C591)&lt;100000000,VALUE($C591),1000000000),IFERROR(IF(VALUE(MID($C591,2,20))&lt;100000000,VALUE(MID($C591,2,20)),1000000000),1000000000))+ROW()/100000,"")</f>
        <v/>
      </c>
    </row>
    <row r="592">
      <c r="D592" s="11" t="n"/>
      <c r="K592" s="7">
        <f>IF($C592="","",J592*W592/100)</f>
        <v/>
      </c>
      <c r="Q592" s="7" t="n"/>
      <c r="R592" s="7" t="n"/>
      <c r="U592">
        <f>IF($C592="","",IF($AJ592=1,0,IF($AI592=1,Settings!$C$6,Settings!$C$7))*100)</f>
        <v/>
      </c>
      <c r="V592" s="7">
        <f>IF($C592="","",R592*U592/100)</f>
        <v/>
      </c>
      <c r="W592" s="7">
        <f>IF($C592="","",R592-V592)</f>
        <v/>
      </c>
      <c r="X592" s="7">
        <f>IF($C592="","",W592-K592)</f>
        <v/>
      </c>
      <c r="AB592" s="7" t="n"/>
      <c r="AE592" s="11" t="n"/>
      <c r="AG592">
        <f>IF($C592="","",IF(COUNTIF($C$2:$C592,$C592)=1,1,0))</f>
        <v/>
      </c>
      <c r="AH592">
        <f>IF($AG592=1,SUMPRODUCT(--($AK$2:$AK$6001&lt;$AK592))+1,"")</f>
        <v/>
      </c>
      <c r="AI592">
        <f>IF($C592="","",IF(OR($N592=TRUE(),$N592="TRUE"),1,0))</f>
        <v/>
      </c>
      <c r="AJ592">
        <f>IF($C592="","",IF($T592="Yes",1,0))</f>
        <v/>
      </c>
      <c r="AK592">
        <f>IF($AG592=1,IFERROR(IF(VALUE($C592)&lt;100000000,VALUE($C592),1000000000),IFERROR(IF(VALUE(MID($C592,2,20))&lt;100000000,VALUE(MID($C592,2,20)),1000000000),1000000000))+ROW()/100000,"")</f>
        <v/>
      </c>
    </row>
    <row r="593">
      <c r="D593" s="11" t="n"/>
      <c r="K593" s="7">
        <f>IF($C593="","",J593*W593/100)</f>
        <v/>
      </c>
      <c r="Q593" s="7" t="n"/>
      <c r="R593" s="7" t="n"/>
      <c r="U593">
        <f>IF($C593="","",IF($AJ593=1,0,IF($AI593=1,Settings!$C$6,Settings!$C$7))*100)</f>
        <v/>
      </c>
      <c r="V593" s="7">
        <f>IF($C593="","",R593*U593/100)</f>
        <v/>
      </c>
      <c r="W593" s="7">
        <f>IF($C593="","",R593-V593)</f>
        <v/>
      </c>
      <c r="X593" s="7">
        <f>IF($C593="","",W593-K593)</f>
        <v/>
      </c>
      <c r="AB593" s="7" t="n"/>
      <c r="AE593" s="11" t="n"/>
      <c r="AG593">
        <f>IF($C593="","",IF(COUNTIF($C$2:$C593,$C593)=1,1,0))</f>
        <v/>
      </c>
      <c r="AH593">
        <f>IF($AG593=1,SUMPRODUCT(--($AK$2:$AK$6001&lt;$AK593))+1,"")</f>
        <v/>
      </c>
      <c r="AI593">
        <f>IF($C593="","",IF(OR($N593=TRUE(),$N593="TRUE"),1,0))</f>
        <v/>
      </c>
      <c r="AJ593">
        <f>IF($C593="","",IF($T593="Yes",1,0))</f>
        <v/>
      </c>
      <c r="AK593">
        <f>IF($AG593=1,IFERROR(IF(VALUE($C593)&lt;100000000,VALUE($C593),1000000000),IFERROR(IF(VALUE(MID($C593,2,20))&lt;100000000,VALUE(MID($C593,2,20)),1000000000),1000000000))+ROW()/100000,"")</f>
        <v/>
      </c>
    </row>
    <row r="594">
      <c r="D594" s="11" t="n"/>
      <c r="K594" s="7">
        <f>IF($C594="","",J594*W594/100)</f>
        <v/>
      </c>
      <c r="Q594" s="7" t="n"/>
      <c r="R594" s="7" t="n"/>
      <c r="U594">
        <f>IF($C594="","",IF($AJ594=1,0,IF($AI594=1,Settings!$C$6,Settings!$C$7))*100)</f>
        <v/>
      </c>
      <c r="V594" s="7">
        <f>IF($C594="","",R594*U594/100)</f>
        <v/>
      </c>
      <c r="W594" s="7">
        <f>IF($C594="","",R594-V594)</f>
        <v/>
      </c>
      <c r="X594" s="7">
        <f>IF($C594="","",W594-K594)</f>
        <v/>
      </c>
      <c r="AB594" s="7" t="n"/>
      <c r="AE594" s="11" t="n"/>
      <c r="AG594">
        <f>IF($C594="","",IF(COUNTIF($C$2:$C594,$C594)=1,1,0))</f>
        <v/>
      </c>
      <c r="AH594">
        <f>IF($AG594=1,SUMPRODUCT(--($AK$2:$AK$6001&lt;$AK594))+1,"")</f>
        <v/>
      </c>
      <c r="AI594">
        <f>IF($C594="","",IF(OR($N594=TRUE(),$N594="TRUE"),1,0))</f>
        <v/>
      </c>
      <c r="AJ594">
        <f>IF($C594="","",IF($T594="Yes",1,0))</f>
        <v/>
      </c>
      <c r="AK594">
        <f>IF($AG594=1,IFERROR(IF(VALUE($C594)&lt;100000000,VALUE($C594),1000000000),IFERROR(IF(VALUE(MID($C594,2,20))&lt;100000000,VALUE(MID($C594,2,20)),1000000000),1000000000))+ROW()/100000,"")</f>
        <v/>
      </c>
    </row>
    <row r="595">
      <c r="D595" s="11" t="n"/>
      <c r="K595" s="7">
        <f>IF($C595="","",J595*W595/100)</f>
        <v/>
      </c>
      <c r="Q595" s="7" t="n"/>
      <c r="R595" s="7" t="n"/>
      <c r="U595">
        <f>IF($C595="","",IF($AJ595=1,0,IF($AI595=1,Settings!$C$6,Settings!$C$7))*100)</f>
        <v/>
      </c>
      <c r="V595" s="7">
        <f>IF($C595="","",R595*U595/100)</f>
        <v/>
      </c>
      <c r="W595" s="7">
        <f>IF($C595="","",R595-V595)</f>
        <v/>
      </c>
      <c r="X595" s="7">
        <f>IF($C595="","",W595-K595)</f>
        <v/>
      </c>
      <c r="AB595" s="7" t="n"/>
      <c r="AE595" s="11" t="n"/>
      <c r="AG595">
        <f>IF($C595="","",IF(COUNTIF($C$2:$C595,$C595)=1,1,0))</f>
        <v/>
      </c>
      <c r="AH595">
        <f>IF($AG595=1,SUMPRODUCT(--($AK$2:$AK$6001&lt;$AK595))+1,"")</f>
        <v/>
      </c>
      <c r="AI595">
        <f>IF($C595="","",IF(OR($N595=TRUE(),$N595="TRUE"),1,0))</f>
        <v/>
      </c>
      <c r="AJ595">
        <f>IF($C595="","",IF($T595="Yes",1,0))</f>
        <v/>
      </c>
      <c r="AK595">
        <f>IF($AG595=1,IFERROR(IF(VALUE($C595)&lt;100000000,VALUE($C595),1000000000),IFERROR(IF(VALUE(MID($C595,2,20))&lt;100000000,VALUE(MID($C595,2,20)),1000000000),1000000000))+ROW()/100000,"")</f>
        <v/>
      </c>
    </row>
    <row r="596">
      <c r="D596" s="11" t="n"/>
      <c r="K596" s="7">
        <f>IF($C596="","",J596*W596/100)</f>
        <v/>
      </c>
      <c r="Q596" s="7" t="n"/>
      <c r="R596" s="7" t="n"/>
      <c r="U596">
        <f>IF($C596="","",IF($AJ596=1,0,IF($AI596=1,Settings!$C$6,Settings!$C$7))*100)</f>
        <v/>
      </c>
      <c r="V596" s="7">
        <f>IF($C596="","",R596*U596/100)</f>
        <v/>
      </c>
      <c r="W596" s="7">
        <f>IF($C596="","",R596-V596)</f>
        <v/>
      </c>
      <c r="X596" s="7">
        <f>IF($C596="","",W596-K596)</f>
        <v/>
      </c>
      <c r="AB596" s="7" t="n"/>
      <c r="AE596" s="11" t="n"/>
      <c r="AG596">
        <f>IF($C596="","",IF(COUNTIF($C$2:$C596,$C596)=1,1,0))</f>
        <v/>
      </c>
      <c r="AH596">
        <f>IF($AG596=1,SUMPRODUCT(--($AK$2:$AK$6001&lt;$AK596))+1,"")</f>
        <v/>
      </c>
      <c r="AI596">
        <f>IF($C596="","",IF(OR($N596=TRUE(),$N596="TRUE"),1,0))</f>
        <v/>
      </c>
      <c r="AJ596">
        <f>IF($C596="","",IF($T596="Yes",1,0))</f>
        <v/>
      </c>
      <c r="AK596">
        <f>IF($AG596=1,IFERROR(IF(VALUE($C596)&lt;100000000,VALUE($C596),1000000000),IFERROR(IF(VALUE(MID($C596,2,20))&lt;100000000,VALUE(MID($C596,2,20)),1000000000),1000000000))+ROW()/100000,"")</f>
        <v/>
      </c>
    </row>
    <row r="597">
      <c r="D597" s="11" t="n"/>
      <c r="K597" s="7">
        <f>IF($C597="","",J597*W597/100)</f>
        <v/>
      </c>
      <c r="Q597" s="7" t="n"/>
      <c r="R597" s="7" t="n"/>
      <c r="U597">
        <f>IF($C597="","",IF($AJ597=1,0,IF($AI597=1,Settings!$C$6,Settings!$C$7))*100)</f>
        <v/>
      </c>
      <c r="V597" s="7">
        <f>IF($C597="","",R597*U597/100)</f>
        <v/>
      </c>
      <c r="W597" s="7">
        <f>IF($C597="","",R597-V597)</f>
        <v/>
      </c>
      <c r="X597" s="7">
        <f>IF($C597="","",W597-K597)</f>
        <v/>
      </c>
      <c r="AB597" s="7" t="n"/>
      <c r="AE597" s="11" t="n"/>
      <c r="AG597">
        <f>IF($C597="","",IF(COUNTIF($C$2:$C597,$C597)=1,1,0))</f>
        <v/>
      </c>
      <c r="AH597">
        <f>IF($AG597=1,SUMPRODUCT(--($AK$2:$AK$6001&lt;$AK597))+1,"")</f>
        <v/>
      </c>
      <c r="AI597">
        <f>IF($C597="","",IF(OR($N597=TRUE(),$N597="TRUE"),1,0))</f>
        <v/>
      </c>
      <c r="AJ597">
        <f>IF($C597="","",IF($T597="Yes",1,0))</f>
        <v/>
      </c>
      <c r="AK597">
        <f>IF($AG597=1,IFERROR(IF(VALUE($C597)&lt;100000000,VALUE($C597),1000000000),IFERROR(IF(VALUE(MID($C597,2,20))&lt;100000000,VALUE(MID($C597,2,20)),1000000000),1000000000))+ROW()/100000,"")</f>
        <v/>
      </c>
    </row>
    <row r="598">
      <c r="D598" s="11" t="n"/>
      <c r="K598" s="7">
        <f>IF($C598="","",J598*W598/100)</f>
        <v/>
      </c>
      <c r="Q598" s="7" t="n"/>
      <c r="R598" s="7" t="n"/>
      <c r="U598">
        <f>IF($C598="","",IF($AJ598=1,0,IF($AI598=1,Settings!$C$6,Settings!$C$7))*100)</f>
        <v/>
      </c>
      <c r="V598" s="7">
        <f>IF($C598="","",R598*U598/100)</f>
        <v/>
      </c>
      <c r="W598" s="7">
        <f>IF($C598="","",R598-V598)</f>
        <v/>
      </c>
      <c r="X598" s="7">
        <f>IF($C598="","",W598-K598)</f>
        <v/>
      </c>
      <c r="AB598" s="7" t="n"/>
      <c r="AE598" s="11" t="n"/>
      <c r="AG598">
        <f>IF($C598="","",IF(COUNTIF($C$2:$C598,$C598)=1,1,0))</f>
        <v/>
      </c>
      <c r="AH598">
        <f>IF($AG598=1,SUMPRODUCT(--($AK$2:$AK$6001&lt;$AK598))+1,"")</f>
        <v/>
      </c>
      <c r="AI598">
        <f>IF($C598="","",IF(OR($N598=TRUE(),$N598="TRUE"),1,0))</f>
        <v/>
      </c>
      <c r="AJ598">
        <f>IF($C598="","",IF($T598="Yes",1,0))</f>
        <v/>
      </c>
      <c r="AK598">
        <f>IF($AG598=1,IFERROR(IF(VALUE($C598)&lt;100000000,VALUE($C598),1000000000),IFERROR(IF(VALUE(MID($C598,2,20))&lt;100000000,VALUE(MID($C598,2,20)),1000000000),1000000000))+ROW()/100000,"")</f>
        <v/>
      </c>
    </row>
    <row r="599">
      <c r="D599" s="11" t="n"/>
      <c r="K599" s="7">
        <f>IF($C599="","",J599*W599/100)</f>
        <v/>
      </c>
      <c r="Q599" s="7" t="n"/>
      <c r="R599" s="7" t="n"/>
      <c r="U599">
        <f>IF($C599="","",IF($AJ599=1,0,IF($AI599=1,Settings!$C$6,Settings!$C$7))*100)</f>
        <v/>
      </c>
      <c r="V599" s="7">
        <f>IF($C599="","",R599*U599/100)</f>
        <v/>
      </c>
      <c r="W599" s="7">
        <f>IF($C599="","",R599-V599)</f>
        <v/>
      </c>
      <c r="X599" s="7">
        <f>IF($C599="","",W599-K599)</f>
        <v/>
      </c>
      <c r="AB599" s="7" t="n"/>
      <c r="AE599" s="11" t="n"/>
      <c r="AG599">
        <f>IF($C599="","",IF(COUNTIF($C$2:$C599,$C599)=1,1,0))</f>
        <v/>
      </c>
      <c r="AH599">
        <f>IF($AG599=1,SUMPRODUCT(--($AK$2:$AK$6001&lt;$AK599))+1,"")</f>
        <v/>
      </c>
      <c r="AI599">
        <f>IF($C599="","",IF(OR($N599=TRUE(),$N599="TRUE"),1,0))</f>
        <v/>
      </c>
      <c r="AJ599">
        <f>IF($C599="","",IF($T599="Yes",1,0))</f>
        <v/>
      </c>
      <c r="AK599">
        <f>IF($AG599=1,IFERROR(IF(VALUE($C599)&lt;100000000,VALUE($C599),1000000000),IFERROR(IF(VALUE(MID($C599,2,20))&lt;100000000,VALUE(MID($C599,2,20)),1000000000),1000000000))+ROW()/100000,"")</f>
        <v/>
      </c>
    </row>
    <row r="600">
      <c r="D600" s="11" t="n"/>
      <c r="K600" s="7">
        <f>IF($C600="","",J600*W600/100)</f>
        <v/>
      </c>
      <c r="Q600" s="7" t="n"/>
      <c r="R600" s="7" t="n"/>
      <c r="U600">
        <f>IF($C600="","",IF($AJ600=1,0,IF($AI600=1,Settings!$C$6,Settings!$C$7))*100)</f>
        <v/>
      </c>
      <c r="V600" s="7">
        <f>IF($C600="","",R600*U600/100)</f>
        <v/>
      </c>
      <c r="W600" s="7">
        <f>IF($C600="","",R600-V600)</f>
        <v/>
      </c>
      <c r="X600" s="7">
        <f>IF($C600="","",W600-K600)</f>
        <v/>
      </c>
      <c r="AB600" s="7" t="n"/>
      <c r="AE600" s="11" t="n"/>
      <c r="AG600">
        <f>IF($C600="","",IF(COUNTIF($C$2:$C600,$C600)=1,1,0))</f>
        <v/>
      </c>
      <c r="AH600">
        <f>IF($AG600=1,SUMPRODUCT(--($AK$2:$AK$6001&lt;$AK600))+1,"")</f>
        <v/>
      </c>
      <c r="AI600">
        <f>IF($C600="","",IF(OR($N600=TRUE(),$N600="TRUE"),1,0))</f>
        <v/>
      </c>
      <c r="AJ600">
        <f>IF($C600="","",IF($T600="Yes",1,0))</f>
        <v/>
      </c>
      <c r="AK600">
        <f>IF($AG600=1,IFERROR(IF(VALUE($C600)&lt;100000000,VALUE($C600),1000000000),IFERROR(IF(VALUE(MID($C600,2,20))&lt;100000000,VALUE(MID($C600,2,20)),1000000000),1000000000))+ROW()/100000,"")</f>
        <v/>
      </c>
    </row>
    <row r="601">
      <c r="D601" s="11" t="n"/>
      <c r="K601" s="7">
        <f>IF($C601="","",J601*W601/100)</f>
        <v/>
      </c>
      <c r="Q601" s="7" t="n"/>
      <c r="R601" s="7" t="n"/>
      <c r="U601">
        <f>IF($C601="","",IF($AJ601=1,0,IF($AI601=1,Settings!$C$6,Settings!$C$7))*100)</f>
        <v/>
      </c>
      <c r="V601" s="7">
        <f>IF($C601="","",R601*U601/100)</f>
        <v/>
      </c>
      <c r="W601" s="7">
        <f>IF($C601="","",R601-V601)</f>
        <v/>
      </c>
      <c r="X601" s="7">
        <f>IF($C601="","",W601-K601)</f>
        <v/>
      </c>
      <c r="AB601" s="7" t="n"/>
      <c r="AE601" s="11" t="n"/>
      <c r="AG601">
        <f>IF($C601="","",IF(COUNTIF($C$2:$C601,$C601)=1,1,0))</f>
        <v/>
      </c>
      <c r="AH601">
        <f>IF($AG601=1,SUMPRODUCT(--($AK$2:$AK$6001&lt;$AK601))+1,"")</f>
        <v/>
      </c>
      <c r="AI601">
        <f>IF($C601="","",IF(OR($N601=TRUE(),$N601="TRUE"),1,0))</f>
        <v/>
      </c>
      <c r="AJ601">
        <f>IF($C601="","",IF($T601="Yes",1,0))</f>
        <v/>
      </c>
      <c r="AK601">
        <f>IF($AG601=1,IFERROR(IF(VALUE($C601)&lt;100000000,VALUE($C601),1000000000),IFERROR(IF(VALUE(MID($C601,2,20))&lt;100000000,VALUE(MID($C601,2,20)),1000000000),1000000000))+ROW()/100000,"")</f>
        <v/>
      </c>
    </row>
    <row r="602">
      <c r="D602" s="11" t="n"/>
      <c r="K602" s="7">
        <f>IF($C602="","",J602*W602/100)</f>
        <v/>
      </c>
      <c r="Q602" s="7" t="n"/>
      <c r="R602" s="7" t="n"/>
      <c r="U602">
        <f>IF($C602="","",IF($AJ602=1,0,IF($AI602=1,Settings!$C$6,Settings!$C$7))*100)</f>
        <v/>
      </c>
      <c r="V602" s="7">
        <f>IF($C602="","",R602*U602/100)</f>
        <v/>
      </c>
      <c r="W602" s="7">
        <f>IF($C602="","",R602-V602)</f>
        <v/>
      </c>
      <c r="X602" s="7">
        <f>IF($C602="","",W602-K602)</f>
        <v/>
      </c>
      <c r="AB602" s="7" t="n"/>
      <c r="AE602" s="11" t="n"/>
      <c r="AG602">
        <f>IF($C602="","",IF(COUNTIF($C$2:$C602,$C602)=1,1,0))</f>
        <v/>
      </c>
      <c r="AH602">
        <f>IF($AG602=1,SUMPRODUCT(--($AK$2:$AK$6001&lt;$AK602))+1,"")</f>
        <v/>
      </c>
      <c r="AI602">
        <f>IF($C602="","",IF(OR($N602=TRUE(),$N602="TRUE"),1,0))</f>
        <v/>
      </c>
      <c r="AJ602">
        <f>IF($C602="","",IF($T602="Yes",1,0))</f>
        <v/>
      </c>
      <c r="AK602">
        <f>IF($AG602=1,IFERROR(IF(VALUE($C602)&lt;100000000,VALUE($C602),1000000000),IFERROR(IF(VALUE(MID($C602,2,20))&lt;100000000,VALUE(MID($C602,2,20)),1000000000),1000000000))+ROW()/100000,"")</f>
        <v/>
      </c>
    </row>
    <row r="603">
      <c r="D603" s="11" t="n"/>
      <c r="K603" s="7">
        <f>IF($C603="","",J603*W603/100)</f>
        <v/>
      </c>
      <c r="Q603" s="7" t="n"/>
      <c r="R603" s="7" t="n"/>
      <c r="U603">
        <f>IF($C603="","",IF($AJ603=1,0,IF($AI603=1,Settings!$C$6,Settings!$C$7))*100)</f>
        <v/>
      </c>
      <c r="V603" s="7">
        <f>IF($C603="","",R603*U603/100)</f>
        <v/>
      </c>
      <c r="W603" s="7">
        <f>IF($C603="","",R603-V603)</f>
        <v/>
      </c>
      <c r="X603" s="7">
        <f>IF($C603="","",W603-K603)</f>
        <v/>
      </c>
      <c r="AB603" s="7" t="n"/>
      <c r="AE603" s="11" t="n"/>
      <c r="AG603">
        <f>IF($C603="","",IF(COUNTIF($C$2:$C603,$C603)=1,1,0))</f>
        <v/>
      </c>
      <c r="AH603">
        <f>IF($AG603=1,SUMPRODUCT(--($AK$2:$AK$6001&lt;$AK603))+1,"")</f>
        <v/>
      </c>
      <c r="AI603">
        <f>IF($C603="","",IF(OR($N603=TRUE(),$N603="TRUE"),1,0))</f>
        <v/>
      </c>
      <c r="AJ603">
        <f>IF($C603="","",IF($T603="Yes",1,0))</f>
        <v/>
      </c>
      <c r="AK603">
        <f>IF($AG603=1,IFERROR(IF(VALUE($C603)&lt;100000000,VALUE($C603),1000000000),IFERROR(IF(VALUE(MID($C603,2,20))&lt;100000000,VALUE(MID($C603,2,20)),1000000000),1000000000))+ROW()/100000,"")</f>
        <v/>
      </c>
    </row>
    <row r="604">
      <c r="D604" s="11" t="n"/>
      <c r="K604" s="7">
        <f>IF($C604="","",J604*W604/100)</f>
        <v/>
      </c>
      <c r="Q604" s="7" t="n"/>
      <c r="R604" s="7" t="n"/>
      <c r="U604">
        <f>IF($C604="","",IF($AJ604=1,0,IF($AI604=1,Settings!$C$6,Settings!$C$7))*100)</f>
        <v/>
      </c>
      <c r="V604" s="7">
        <f>IF($C604="","",R604*U604/100)</f>
        <v/>
      </c>
      <c r="W604" s="7">
        <f>IF($C604="","",R604-V604)</f>
        <v/>
      </c>
      <c r="X604" s="7">
        <f>IF($C604="","",W604-K604)</f>
        <v/>
      </c>
      <c r="AB604" s="7" t="n"/>
      <c r="AE604" s="11" t="n"/>
      <c r="AG604">
        <f>IF($C604="","",IF(COUNTIF($C$2:$C604,$C604)=1,1,0))</f>
        <v/>
      </c>
      <c r="AH604">
        <f>IF($AG604=1,SUMPRODUCT(--($AK$2:$AK$6001&lt;$AK604))+1,"")</f>
        <v/>
      </c>
      <c r="AI604">
        <f>IF($C604="","",IF(OR($N604=TRUE(),$N604="TRUE"),1,0))</f>
        <v/>
      </c>
      <c r="AJ604">
        <f>IF($C604="","",IF($T604="Yes",1,0))</f>
        <v/>
      </c>
      <c r="AK604">
        <f>IF($AG604=1,IFERROR(IF(VALUE($C604)&lt;100000000,VALUE($C604),1000000000),IFERROR(IF(VALUE(MID($C604,2,20))&lt;100000000,VALUE(MID($C604,2,20)),1000000000),1000000000))+ROW()/100000,"")</f>
        <v/>
      </c>
    </row>
    <row r="605">
      <c r="D605" s="11" t="n"/>
      <c r="K605" s="7">
        <f>IF($C605="","",J605*W605/100)</f>
        <v/>
      </c>
      <c r="Q605" s="7" t="n"/>
      <c r="R605" s="7" t="n"/>
      <c r="U605">
        <f>IF($C605="","",IF($AJ605=1,0,IF($AI605=1,Settings!$C$6,Settings!$C$7))*100)</f>
        <v/>
      </c>
      <c r="V605" s="7">
        <f>IF($C605="","",R605*U605/100)</f>
        <v/>
      </c>
      <c r="W605" s="7">
        <f>IF($C605="","",R605-V605)</f>
        <v/>
      </c>
      <c r="X605" s="7">
        <f>IF($C605="","",W605-K605)</f>
        <v/>
      </c>
      <c r="AB605" s="7" t="n"/>
      <c r="AE605" s="11" t="n"/>
      <c r="AG605">
        <f>IF($C605="","",IF(COUNTIF($C$2:$C605,$C605)=1,1,0))</f>
        <v/>
      </c>
      <c r="AH605">
        <f>IF($AG605=1,SUMPRODUCT(--($AK$2:$AK$6001&lt;$AK605))+1,"")</f>
        <v/>
      </c>
      <c r="AI605">
        <f>IF($C605="","",IF(OR($N605=TRUE(),$N605="TRUE"),1,0))</f>
        <v/>
      </c>
      <c r="AJ605">
        <f>IF($C605="","",IF($T605="Yes",1,0))</f>
        <v/>
      </c>
      <c r="AK605">
        <f>IF($AG605=1,IFERROR(IF(VALUE($C605)&lt;100000000,VALUE($C605),1000000000),IFERROR(IF(VALUE(MID($C605,2,20))&lt;100000000,VALUE(MID($C605,2,20)),1000000000),1000000000))+ROW()/100000,"")</f>
        <v/>
      </c>
    </row>
    <row r="606">
      <c r="D606" s="11" t="n"/>
      <c r="K606" s="7">
        <f>IF($C606="","",J606*W606/100)</f>
        <v/>
      </c>
      <c r="Q606" s="7" t="n"/>
      <c r="R606" s="7" t="n"/>
      <c r="U606">
        <f>IF($C606="","",IF($AJ606=1,0,IF($AI606=1,Settings!$C$6,Settings!$C$7))*100)</f>
        <v/>
      </c>
      <c r="V606" s="7">
        <f>IF($C606="","",R606*U606/100)</f>
        <v/>
      </c>
      <c r="W606" s="7">
        <f>IF($C606="","",R606-V606)</f>
        <v/>
      </c>
      <c r="X606" s="7">
        <f>IF($C606="","",W606-K606)</f>
        <v/>
      </c>
      <c r="AB606" s="7" t="n"/>
      <c r="AE606" s="11" t="n"/>
      <c r="AG606">
        <f>IF($C606="","",IF(COUNTIF($C$2:$C606,$C606)=1,1,0))</f>
        <v/>
      </c>
      <c r="AH606">
        <f>IF($AG606=1,SUMPRODUCT(--($AK$2:$AK$6001&lt;$AK606))+1,"")</f>
        <v/>
      </c>
      <c r="AI606">
        <f>IF($C606="","",IF(OR($N606=TRUE(),$N606="TRUE"),1,0))</f>
        <v/>
      </c>
      <c r="AJ606">
        <f>IF($C606="","",IF($T606="Yes",1,0))</f>
        <v/>
      </c>
      <c r="AK606">
        <f>IF($AG606=1,IFERROR(IF(VALUE($C606)&lt;100000000,VALUE($C606),1000000000),IFERROR(IF(VALUE(MID($C606,2,20))&lt;100000000,VALUE(MID($C606,2,20)),1000000000),1000000000))+ROW()/100000,"")</f>
        <v/>
      </c>
    </row>
    <row r="607">
      <c r="D607" s="11" t="n"/>
      <c r="K607" s="7">
        <f>IF($C607="","",J607*W607/100)</f>
        <v/>
      </c>
      <c r="Q607" s="7" t="n"/>
      <c r="R607" s="7" t="n"/>
      <c r="U607">
        <f>IF($C607="","",IF($AJ607=1,0,IF($AI607=1,Settings!$C$6,Settings!$C$7))*100)</f>
        <v/>
      </c>
      <c r="V607" s="7">
        <f>IF($C607="","",R607*U607/100)</f>
        <v/>
      </c>
      <c r="W607" s="7">
        <f>IF($C607="","",R607-V607)</f>
        <v/>
      </c>
      <c r="X607" s="7">
        <f>IF($C607="","",W607-K607)</f>
        <v/>
      </c>
      <c r="AB607" s="7" t="n"/>
      <c r="AE607" s="11" t="n"/>
      <c r="AG607">
        <f>IF($C607="","",IF(COUNTIF($C$2:$C607,$C607)=1,1,0))</f>
        <v/>
      </c>
      <c r="AH607">
        <f>IF($AG607=1,SUMPRODUCT(--($AK$2:$AK$6001&lt;$AK607))+1,"")</f>
        <v/>
      </c>
      <c r="AI607">
        <f>IF($C607="","",IF(OR($N607=TRUE(),$N607="TRUE"),1,0))</f>
        <v/>
      </c>
      <c r="AJ607">
        <f>IF($C607="","",IF($T607="Yes",1,0))</f>
        <v/>
      </c>
      <c r="AK607">
        <f>IF($AG607=1,IFERROR(IF(VALUE($C607)&lt;100000000,VALUE($C607),1000000000),IFERROR(IF(VALUE(MID($C607,2,20))&lt;100000000,VALUE(MID($C607,2,20)),1000000000),1000000000))+ROW()/100000,"")</f>
        <v/>
      </c>
    </row>
    <row r="608">
      <c r="D608" s="11" t="n"/>
      <c r="K608" s="7">
        <f>IF($C608="","",J608*W608/100)</f>
        <v/>
      </c>
      <c r="Q608" s="7" t="n"/>
      <c r="R608" s="7" t="n"/>
      <c r="U608">
        <f>IF($C608="","",IF($AJ608=1,0,IF($AI608=1,Settings!$C$6,Settings!$C$7))*100)</f>
        <v/>
      </c>
      <c r="V608" s="7">
        <f>IF($C608="","",R608*U608/100)</f>
        <v/>
      </c>
      <c r="W608" s="7">
        <f>IF($C608="","",R608-V608)</f>
        <v/>
      </c>
      <c r="X608" s="7">
        <f>IF($C608="","",W608-K608)</f>
        <v/>
      </c>
      <c r="AB608" s="7" t="n"/>
      <c r="AE608" s="11" t="n"/>
      <c r="AG608">
        <f>IF($C608="","",IF(COUNTIF($C$2:$C608,$C608)=1,1,0))</f>
        <v/>
      </c>
      <c r="AH608">
        <f>IF($AG608=1,SUMPRODUCT(--($AK$2:$AK$6001&lt;$AK608))+1,"")</f>
        <v/>
      </c>
      <c r="AI608">
        <f>IF($C608="","",IF(OR($N608=TRUE(),$N608="TRUE"),1,0))</f>
        <v/>
      </c>
      <c r="AJ608">
        <f>IF($C608="","",IF($T608="Yes",1,0))</f>
        <v/>
      </c>
      <c r="AK608">
        <f>IF($AG608=1,IFERROR(IF(VALUE($C608)&lt;100000000,VALUE($C608),1000000000),IFERROR(IF(VALUE(MID($C608,2,20))&lt;100000000,VALUE(MID($C608,2,20)),1000000000),1000000000))+ROW()/100000,"")</f>
        <v/>
      </c>
    </row>
    <row r="609">
      <c r="D609" s="11" t="n"/>
      <c r="K609" s="7">
        <f>IF($C609="","",J609*W609/100)</f>
        <v/>
      </c>
      <c r="Q609" s="7" t="n"/>
      <c r="R609" s="7" t="n"/>
      <c r="U609">
        <f>IF($C609="","",IF($AJ609=1,0,IF($AI609=1,Settings!$C$6,Settings!$C$7))*100)</f>
        <v/>
      </c>
      <c r="V609" s="7">
        <f>IF($C609="","",R609*U609/100)</f>
        <v/>
      </c>
      <c r="W609" s="7">
        <f>IF($C609="","",R609-V609)</f>
        <v/>
      </c>
      <c r="X609" s="7">
        <f>IF($C609="","",W609-K609)</f>
        <v/>
      </c>
      <c r="AB609" s="7" t="n"/>
      <c r="AE609" s="11" t="n"/>
      <c r="AG609">
        <f>IF($C609="","",IF(COUNTIF($C$2:$C609,$C609)=1,1,0))</f>
        <v/>
      </c>
      <c r="AH609">
        <f>IF($AG609=1,SUMPRODUCT(--($AK$2:$AK$6001&lt;$AK609))+1,"")</f>
        <v/>
      </c>
      <c r="AI609">
        <f>IF($C609="","",IF(OR($N609=TRUE(),$N609="TRUE"),1,0))</f>
        <v/>
      </c>
      <c r="AJ609">
        <f>IF($C609="","",IF($T609="Yes",1,0))</f>
        <v/>
      </c>
      <c r="AK609">
        <f>IF($AG609=1,IFERROR(IF(VALUE($C609)&lt;100000000,VALUE($C609),1000000000),IFERROR(IF(VALUE(MID($C609,2,20))&lt;100000000,VALUE(MID($C609,2,20)),1000000000),1000000000))+ROW()/100000,"")</f>
        <v/>
      </c>
    </row>
    <row r="610">
      <c r="D610" s="11" t="n"/>
      <c r="K610" s="7">
        <f>IF($C610="","",J610*W610/100)</f>
        <v/>
      </c>
      <c r="Q610" s="7" t="n"/>
      <c r="R610" s="7" t="n"/>
      <c r="U610">
        <f>IF($C610="","",IF($AJ610=1,0,IF($AI610=1,Settings!$C$6,Settings!$C$7))*100)</f>
        <v/>
      </c>
      <c r="V610" s="7">
        <f>IF($C610="","",R610*U610/100)</f>
        <v/>
      </c>
      <c r="W610" s="7">
        <f>IF($C610="","",R610-V610)</f>
        <v/>
      </c>
      <c r="X610" s="7">
        <f>IF($C610="","",W610-K610)</f>
        <v/>
      </c>
      <c r="AB610" s="7" t="n"/>
      <c r="AE610" s="11" t="n"/>
      <c r="AG610">
        <f>IF($C610="","",IF(COUNTIF($C$2:$C610,$C610)=1,1,0))</f>
        <v/>
      </c>
      <c r="AH610">
        <f>IF($AG610=1,SUMPRODUCT(--($AK$2:$AK$6001&lt;$AK610))+1,"")</f>
        <v/>
      </c>
      <c r="AI610">
        <f>IF($C610="","",IF(OR($N610=TRUE(),$N610="TRUE"),1,0))</f>
        <v/>
      </c>
      <c r="AJ610">
        <f>IF($C610="","",IF($T610="Yes",1,0))</f>
        <v/>
      </c>
      <c r="AK610">
        <f>IF($AG610=1,IFERROR(IF(VALUE($C610)&lt;100000000,VALUE($C610),1000000000),IFERROR(IF(VALUE(MID($C610,2,20))&lt;100000000,VALUE(MID($C610,2,20)),1000000000),1000000000))+ROW()/100000,"")</f>
        <v/>
      </c>
    </row>
    <row r="611">
      <c r="D611" s="11" t="n"/>
      <c r="K611" s="7">
        <f>IF($C611="","",J611*W611/100)</f>
        <v/>
      </c>
      <c r="Q611" s="7" t="n"/>
      <c r="R611" s="7" t="n"/>
      <c r="U611">
        <f>IF($C611="","",IF($AJ611=1,0,IF($AI611=1,Settings!$C$6,Settings!$C$7))*100)</f>
        <v/>
      </c>
      <c r="V611" s="7">
        <f>IF($C611="","",R611*U611/100)</f>
        <v/>
      </c>
      <c r="W611" s="7">
        <f>IF($C611="","",R611-V611)</f>
        <v/>
      </c>
      <c r="X611" s="7">
        <f>IF($C611="","",W611-K611)</f>
        <v/>
      </c>
      <c r="AB611" s="7" t="n"/>
      <c r="AE611" s="11" t="n"/>
      <c r="AG611">
        <f>IF($C611="","",IF(COUNTIF($C$2:$C611,$C611)=1,1,0))</f>
        <v/>
      </c>
      <c r="AH611">
        <f>IF($AG611=1,SUMPRODUCT(--($AK$2:$AK$6001&lt;$AK611))+1,"")</f>
        <v/>
      </c>
      <c r="AI611">
        <f>IF($C611="","",IF(OR($N611=TRUE(),$N611="TRUE"),1,0))</f>
        <v/>
      </c>
      <c r="AJ611">
        <f>IF($C611="","",IF($T611="Yes",1,0))</f>
        <v/>
      </c>
      <c r="AK611">
        <f>IF($AG611=1,IFERROR(IF(VALUE($C611)&lt;100000000,VALUE($C611),1000000000),IFERROR(IF(VALUE(MID($C611,2,20))&lt;100000000,VALUE(MID($C611,2,20)),1000000000),1000000000))+ROW()/100000,"")</f>
        <v/>
      </c>
    </row>
    <row r="612">
      <c r="D612" s="11" t="n"/>
      <c r="K612" s="7">
        <f>IF($C612="","",J612*W612/100)</f>
        <v/>
      </c>
      <c r="Q612" s="7" t="n"/>
      <c r="R612" s="7" t="n"/>
      <c r="U612">
        <f>IF($C612="","",IF($AJ612=1,0,IF($AI612=1,Settings!$C$6,Settings!$C$7))*100)</f>
        <v/>
      </c>
      <c r="V612" s="7">
        <f>IF($C612="","",R612*U612/100)</f>
        <v/>
      </c>
      <c r="W612" s="7">
        <f>IF($C612="","",R612-V612)</f>
        <v/>
      </c>
      <c r="X612" s="7">
        <f>IF($C612="","",W612-K612)</f>
        <v/>
      </c>
      <c r="AB612" s="7" t="n"/>
      <c r="AE612" s="11" t="n"/>
      <c r="AG612">
        <f>IF($C612="","",IF(COUNTIF($C$2:$C612,$C612)=1,1,0))</f>
        <v/>
      </c>
      <c r="AH612">
        <f>IF($AG612=1,SUMPRODUCT(--($AK$2:$AK$6001&lt;$AK612))+1,"")</f>
        <v/>
      </c>
      <c r="AI612">
        <f>IF($C612="","",IF(OR($N612=TRUE(),$N612="TRUE"),1,0))</f>
        <v/>
      </c>
      <c r="AJ612">
        <f>IF($C612="","",IF($T612="Yes",1,0))</f>
        <v/>
      </c>
      <c r="AK612">
        <f>IF($AG612=1,IFERROR(IF(VALUE($C612)&lt;100000000,VALUE($C612),1000000000),IFERROR(IF(VALUE(MID($C612,2,20))&lt;100000000,VALUE(MID($C612,2,20)),1000000000),1000000000))+ROW()/100000,"")</f>
        <v/>
      </c>
    </row>
    <row r="613">
      <c r="D613" s="11" t="n"/>
      <c r="K613" s="7">
        <f>IF($C613="","",J613*W613/100)</f>
        <v/>
      </c>
      <c r="Q613" s="7" t="n"/>
      <c r="R613" s="7" t="n"/>
      <c r="U613">
        <f>IF($C613="","",IF($AJ613=1,0,IF($AI613=1,Settings!$C$6,Settings!$C$7))*100)</f>
        <v/>
      </c>
      <c r="V613" s="7">
        <f>IF($C613="","",R613*U613/100)</f>
        <v/>
      </c>
      <c r="W613" s="7">
        <f>IF($C613="","",R613-V613)</f>
        <v/>
      </c>
      <c r="X613" s="7">
        <f>IF($C613="","",W613-K613)</f>
        <v/>
      </c>
      <c r="AB613" s="7" t="n"/>
      <c r="AE613" s="11" t="n"/>
      <c r="AG613">
        <f>IF($C613="","",IF(COUNTIF($C$2:$C613,$C613)=1,1,0))</f>
        <v/>
      </c>
      <c r="AH613">
        <f>IF($AG613=1,SUMPRODUCT(--($AK$2:$AK$6001&lt;$AK613))+1,"")</f>
        <v/>
      </c>
      <c r="AI613">
        <f>IF($C613="","",IF(OR($N613=TRUE(),$N613="TRUE"),1,0))</f>
        <v/>
      </c>
      <c r="AJ613">
        <f>IF($C613="","",IF($T613="Yes",1,0))</f>
        <v/>
      </c>
      <c r="AK613">
        <f>IF($AG613=1,IFERROR(IF(VALUE($C613)&lt;100000000,VALUE($C613),1000000000),IFERROR(IF(VALUE(MID($C613,2,20))&lt;100000000,VALUE(MID($C613,2,20)),1000000000),1000000000))+ROW()/100000,"")</f>
        <v/>
      </c>
    </row>
    <row r="614">
      <c r="D614" s="11" t="n"/>
      <c r="K614" s="7">
        <f>IF($C614="","",J614*W614/100)</f>
        <v/>
      </c>
      <c r="Q614" s="7" t="n"/>
      <c r="R614" s="7" t="n"/>
      <c r="U614">
        <f>IF($C614="","",IF($AJ614=1,0,IF($AI614=1,Settings!$C$6,Settings!$C$7))*100)</f>
        <v/>
      </c>
      <c r="V614" s="7">
        <f>IF($C614="","",R614*U614/100)</f>
        <v/>
      </c>
      <c r="W614" s="7">
        <f>IF($C614="","",R614-V614)</f>
        <v/>
      </c>
      <c r="X614" s="7">
        <f>IF($C614="","",W614-K614)</f>
        <v/>
      </c>
      <c r="AB614" s="7" t="n"/>
      <c r="AE614" s="11" t="n"/>
      <c r="AG614">
        <f>IF($C614="","",IF(COUNTIF($C$2:$C614,$C614)=1,1,0))</f>
        <v/>
      </c>
      <c r="AH614">
        <f>IF($AG614=1,SUMPRODUCT(--($AK$2:$AK$6001&lt;$AK614))+1,"")</f>
        <v/>
      </c>
      <c r="AI614">
        <f>IF($C614="","",IF(OR($N614=TRUE(),$N614="TRUE"),1,0))</f>
        <v/>
      </c>
      <c r="AJ614">
        <f>IF($C614="","",IF($T614="Yes",1,0))</f>
        <v/>
      </c>
      <c r="AK614">
        <f>IF($AG614=1,IFERROR(IF(VALUE($C614)&lt;100000000,VALUE($C614),1000000000),IFERROR(IF(VALUE(MID($C614,2,20))&lt;100000000,VALUE(MID($C614,2,20)),1000000000),1000000000))+ROW()/100000,"")</f>
        <v/>
      </c>
    </row>
    <row r="615">
      <c r="D615" s="11" t="n"/>
      <c r="K615" s="7">
        <f>IF($C615="","",J615*W615/100)</f>
        <v/>
      </c>
      <c r="Q615" s="7" t="n"/>
      <c r="R615" s="7" t="n"/>
      <c r="U615">
        <f>IF($C615="","",IF($AJ615=1,0,IF($AI615=1,Settings!$C$6,Settings!$C$7))*100)</f>
        <v/>
      </c>
      <c r="V615" s="7">
        <f>IF($C615="","",R615*U615/100)</f>
        <v/>
      </c>
      <c r="W615" s="7">
        <f>IF($C615="","",R615-V615)</f>
        <v/>
      </c>
      <c r="X615" s="7">
        <f>IF($C615="","",W615-K615)</f>
        <v/>
      </c>
      <c r="AB615" s="7" t="n"/>
      <c r="AE615" s="11" t="n"/>
      <c r="AG615">
        <f>IF($C615="","",IF(COUNTIF($C$2:$C615,$C615)=1,1,0))</f>
        <v/>
      </c>
      <c r="AH615">
        <f>IF($AG615=1,SUMPRODUCT(--($AK$2:$AK$6001&lt;$AK615))+1,"")</f>
        <v/>
      </c>
      <c r="AI615">
        <f>IF($C615="","",IF(OR($N615=TRUE(),$N615="TRUE"),1,0))</f>
        <v/>
      </c>
      <c r="AJ615">
        <f>IF($C615="","",IF($T615="Yes",1,0))</f>
        <v/>
      </c>
      <c r="AK615">
        <f>IF($AG615=1,IFERROR(IF(VALUE($C615)&lt;100000000,VALUE($C615),1000000000),IFERROR(IF(VALUE(MID($C615,2,20))&lt;100000000,VALUE(MID($C615,2,20)),1000000000),1000000000))+ROW()/100000,"")</f>
        <v/>
      </c>
    </row>
    <row r="616">
      <c r="D616" s="11" t="n"/>
      <c r="K616" s="7">
        <f>IF($C616="","",J616*W616/100)</f>
        <v/>
      </c>
      <c r="Q616" s="7" t="n"/>
      <c r="R616" s="7" t="n"/>
      <c r="U616">
        <f>IF($C616="","",IF($AJ616=1,0,IF($AI616=1,Settings!$C$6,Settings!$C$7))*100)</f>
        <v/>
      </c>
      <c r="V616" s="7">
        <f>IF($C616="","",R616*U616/100)</f>
        <v/>
      </c>
      <c r="W616" s="7">
        <f>IF($C616="","",R616-V616)</f>
        <v/>
      </c>
      <c r="X616" s="7">
        <f>IF($C616="","",W616-K616)</f>
        <v/>
      </c>
      <c r="AB616" s="7" t="n"/>
      <c r="AE616" s="11" t="n"/>
      <c r="AG616">
        <f>IF($C616="","",IF(COUNTIF($C$2:$C616,$C616)=1,1,0))</f>
        <v/>
      </c>
      <c r="AH616">
        <f>IF($AG616=1,SUMPRODUCT(--($AK$2:$AK$6001&lt;$AK616))+1,"")</f>
        <v/>
      </c>
      <c r="AI616">
        <f>IF($C616="","",IF(OR($N616=TRUE(),$N616="TRUE"),1,0))</f>
        <v/>
      </c>
      <c r="AJ616">
        <f>IF($C616="","",IF($T616="Yes",1,0))</f>
        <v/>
      </c>
      <c r="AK616">
        <f>IF($AG616=1,IFERROR(IF(VALUE($C616)&lt;100000000,VALUE($C616),1000000000),IFERROR(IF(VALUE(MID($C616,2,20))&lt;100000000,VALUE(MID($C616,2,20)),1000000000),1000000000))+ROW()/100000,"")</f>
        <v/>
      </c>
    </row>
    <row r="617">
      <c r="D617" s="11" t="n"/>
      <c r="K617" s="7">
        <f>IF($C617="","",J617*W617/100)</f>
        <v/>
      </c>
      <c r="Q617" s="7" t="n"/>
      <c r="R617" s="7" t="n"/>
      <c r="U617">
        <f>IF($C617="","",IF($AJ617=1,0,IF($AI617=1,Settings!$C$6,Settings!$C$7))*100)</f>
        <v/>
      </c>
      <c r="V617" s="7">
        <f>IF($C617="","",R617*U617/100)</f>
        <v/>
      </c>
      <c r="W617" s="7">
        <f>IF($C617="","",R617-V617)</f>
        <v/>
      </c>
      <c r="X617" s="7">
        <f>IF($C617="","",W617-K617)</f>
        <v/>
      </c>
      <c r="AB617" s="7" t="n"/>
      <c r="AE617" s="11" t="n"/>
      <c r="AG617">
        <f>IF($C617="","",IF(COUNTIF($C$2:$C617,$C617)=1,1,0))</f>
        <v/>
      </c>
      <c r="AH617">
        <f>IF($AG617=1,SUMPRODUCT(--($AK$2:$AK$6001&lt;$AK617))+1,"")</f>
        <v/>
      </c>
      <c r="AI617">
        <f>IF($C617="","",IF(OR($N617=TRUE(),$N617="TRUE"),1,0))</f>
        <v/>
      </c>
      <c r="AJ617">
        <f>IF($C617="","",IF($T617="Yes",1,0))</f>
        <v/>
      </c>
      <c r="AK617">
        <f>IF($AG617=1,IFERROR(IF(VALUE($C617)&lt;100000000,VALUE($C617),1000000000),IFERROR(IF(VALUE(MID($C617,2,20))&lt;100000000,VALUE(MID($C617,2,20)),1000000000),1000000000))+ROW()/100000,"")</f>
        <v/>
      </c>
    </row>
    <row r="618">
      <c r="D618" s="11" t="n"/>
      <c r="K618" s="7">
        <f>IF($C618="","",J618*W618/100)</f>
        <v/>
      </c>
      <c r="Q618" s="7" t="n"/>
      <c r="R618" s="7" t="n"/>
      <c r="U618">
        <f>IF($C618="","",IF($AJ618=1,0,IF($AI618=1,Settings!$C$6,Settings!$C$7))*100)</f>
        <v/>
      </c>
      <c r="V618" s="7">
        <f>IF($C618="","",R618*U618/100)</f>
        <v/>
      </c>
      <c r="W618" s="7">
        <f>IF($C618="","",R618-V618)</f>
        <v/>
      </c>
      <c r="X618" s="7">
        <f>IF($C618="","",W618-K618)</f>
        <v/>
      </c>
      <c r="AB618" s="7" t="n"/>
      <c r="AE618" s="11" t="n"/>
      <c r="AG618">
        <f>IF($C618="","",IF(COUNTIF($C$2:$C618,$C618)=1,1,0))</f>
        <v/>
      </c>
      <c r="AH618">
        <f>IF($AG618=1,SUMPRODUCT(--($AK$2:$AK$6001&lt;$AK618))+1,"")</f>
        <v/>
      </c>
      <c r="AI618">
        <f>IF($C618="","",IF(OR($N618=TRUE(),$N618="TRUE"),1,0))</f>
        <v/>
      </c>
      <c r="AJ618">
        <f>IF($C618="","",IF($T618="Yes",1,0))</f>
        <v/>
      </c>
      <c r="AK618">
        <f>IF($AG618=1,IFERROR(IF(VALUE($C618)&lt;100000000,VALUE($C618),1000000000),IFERROR(IF(VALUE(MID($C618,2,20))&lt;100000000,VALUE(MID($C618,2,20)),1000000000),1000000000))+ROW()/100000,"")</f>
        <v/>
      </c>
    </row>
    <row r="619">
      <c r="D619" s="11" t="n"/>
      <c r="K619" s="7">
        <f>IF($C619="","",J619*W619/100)</f>
        <v/>
      </c>
      <c r="Q619" s="7" t="n"/>
      <c r="R619" s="7" t="n"/>
      <c r="U619">
        <f>IF($C619="","",IF($AJ619=1,0,IF($AI619=1,Settings!$C$6,Settings!$C$7))*100)</f>
        <v/>
      </c>
      <c r="V619" s="7">
        <f>IF($C619="","",R619*U619/100)</f>
        <v/>
      </c>
      <c r="W619" s="7">
        <f>IF($C619="","",R619-V619)</f>
        <v/>
      </c>
      <c r="X619" s="7">
        <f>IF($C619="","",W619-K619)</f>
        <v/>
      </c>
      <c r="AB619" s="7" t="n"/>
      <c r="AE619" s="11" t="n"/>
      <c r="AG619">
        <f>IF($C619="","",IF(COUNTIF($C$2:$C619,$C619)=1,1,0))</f>
        <v/>
      </c>
      <c r="AH619">
        <f>IF($AG619=1,SUMPRODUCT(--($AK$2:$AK$6001&lt;$AK619))+1,"")</f>
        <v/>
      </c>
      <c r="AI619">
        <f>IF($C619="","",IF(OR($N619=TRUE(),$N619="TRUE"),1,0))</f>
        <v/>
      </c>
      <c r="AJ619">
        <f>IF($C619="","",IF($T619="Yes",1,0))</f>
        <v/>
      </c>
      <c r="AK619">
        <f>IF($AG619=1,IFERROR(IF(VALUE($C619)&lt;100000000,VALUE($C619),1000000000),IFERROR(IF(VALUE(MID($C619,2,20))&lt;100000000,VALUE(MID($C619,2,20)),1000000000),1000000000))+ROW()/100000,"")</f>
        <v/>
      </c>
    </row>
    <row r="620">
      <c r="D620" s="11" t="n"/>
      <c r="K620" s="7">
        <f>IF($C620="","",J620*W620/100)</f>
        <v/>
      </c>
      <c r="Q620" s="7" t="n"/>
      <c r="R620" s="7" t="n"/>
      <c r="U620">
        <f>IF($C620="","",IF($AJ620=1,0,IF($AI620=1,Settings!$C$6,Settings!$C$7))*100)</f>
        <v/>
      </c>
      <c r="V620" s="7">
        <f>IF($C620="","",R620*U620/100)</f>
        <v/>
      </c>
      <c r="W620" s="7">
        <f>IF($C620="","",R620-V620)</f>
        <v/>
      </c>
      <c r="X620" s="7">
        <f>IF($C620="","",W620-K620)</f>
        <v/>
      </c>
      <c r="AB620" s="7" t="n"/>
      <c r="AE620" s="11" t="n"/>
      <c r="AG620">
        <f>IF($C620="","",IF(COUNTIF($C$2:$C620,$C620)=1,1,0))</f>
        <v/>
      </c>
      <c r="AH620">
        <f>IF($AG620=1,SUMPRODUCT(--($AK$2:$AK$6001&lt;$AK620))+1,"")</f>
        <v/>
      </c>
      <c r="AI620">
        <f>IF($C620="","",IF(OR($N620=TRUE(),$N620="TRUE"),1,0))</f>
        <v/>
      </c>
      <c r="AJ620">
        <f>IF($C620="","",IF($T620="Yes",1,0))</f>
        <v/>
      </c>
      <c r="AK620">
        <f>IF($AG620=1,IFERROR(IF(VALUE($C620)&lt;100000000,VALUE($C620),1000000000),IFERROR(IF(VALUE(MID($C620,2,20))&lt;100000000,VALUE(MID($C620,2,20)),1000000000),1000000000))+ROW()/100000,"")</f>
        <v/>
      </c>
    </row>
    <row r="621">
      <c r="D621" s="11" t="n"/>
      <c r="K621" s="7">
        <f>IF($C621="","",J621*W621/100)</f>
        <v/>
      </c>
      <c r="Q621" s="7" t="n"/>
      <c r="R621" s="7" t="n"/>
      <c r="U621">
        <f>IF($C621="","",IF($AJ621=1,0,IF($AI621=1,Settings!$C$6,Settings!$C$7))*100)</f>
        <v/>
      </c>
      <c r="V621" s="7">
        <f>IF($C621="","",R621*U621/100)</f>
        <v/>
      </c>
      <c r="W621" s="7">
        <f>IF($C621="","",R621-V621)</f>
        <v/>
      </c>
      <c r="X621" s="7">
        <f>IF($C621="","",W621-K621)</f>
        <v/>
      </c>
      <c r="AB621" s="7" t="n"/>
      <c r="AE621" s="11" t="n"/>
      <c r="AG621">
        <f>IF($C621="","",IF(COUNTIF($C$2:$C621,$C621)=1,1,0))</f>
        <v/>
      </c>
      <c r="AH621">
        <f>IF($AG621=1,SUMPRODUCT(--($AK$2:$AK$6001&lt;$AK621))+1,"")</f>
        <v/>
      </c>
      <c r="AI621">
        <f>IF($C621="","",IF(OR($N621=TRUE(),$N621="TRUE"),1,0))</f>
        <v/>
      </c>
      <c r="AJ621">
        <f>IF($C621="","",IF($T621="Yes",1,0))</f>
        <v/>
      </c>
      <c r="AK621">
        <f>IF($AG621=1,IFERROR(IF(VALUE($C621)&lt;100000000,VALUE($C621),1000000000),IFERROR(IF(VALUE(MID($C621,2,20))&lt;100000000,VALUE(MID($C621,2,20)),1000000000),1000000000))+ROW()/100000,"")</f>
        <v/>
      </c>
    </row>
    <row r="622">
      <c r="D622" s="11" t="n"/>
      <c r="K622" s="7">
        <f>IF($C622="","",J622*W622/100)</f>
        <v/>
      </c>
      <c r="Q622" s="7" t="n"/>
      <c r="R622" s="7" t="n"/>
      <c r="U622">
        <f>IF($C622="","",IF($AJ622=1,0,IF($AI622=1,Settings!$C$6,Settings!$C$7))*100)</f>
        <v/>
      </c>
      <c r="V622" s="7">
        <f>IF($C622="","",R622*U622/100)</f>
        <v/>
      </c>
      <c r="W622" s="7">
        <f>IF($C622="","",R622-V622)</f>
        <v/>
      </c>
      <c r="X622" s="7">
        <f>IF($C622="","",W622-K622)</f>
        <v/>
      </c>
      <c r="AB622" s="7" t="n"/>
      <c r="AE622" s="11" t="n"/>
      <c r="AG622">
        <f>IF($C622="","",IF(COUNTIF($C$2:$C622,$C622)=1,1,0))</f>
        <v/>
      </c>
      <c r="AH622">
        <f>IF($AG622=1,SUMPRODUCT(--($AK$2:$AK$6001&lt;$AK622))+1,"")</f>
        <v/>
      </c>
      <c r="AI622">
        <f>IF($C622="","",IF(OR($N622=TRUE(),$N622="TRUE"),1,0))</f>
        <v/>
      </c>
      <c r="AJ622">
        <f>IF($C622="","",IF($T622="Yes",1,0))</f>
        <v/>
      </c>
      <c r="AK622">
        <f>IF($AG622=1,IFERROR(IF(VALUE($C622)&lt;100000000,VALUE($C622),1000000000),IFERROR(IF(VALUE(MID($C622,2,20))&lt;100000000,VALUE(MID($C622,2,20)),1000000000),1000000000))+ROW()/100000,"")</f>
        <v/>
      </c>
    </row>
    <row r="623">
      <c r="D623" s="11" t="n"/>
      <c r="K623" s="7">
        <f>IF($C623="","",J623*W623/100)</f>
        <v/>
      </c>
      <c r="Q623" s="7" t="n"/>
      <c r="R623" s="7" t="n"/>
      <c r="U623">
        <f>IF($C623="","",IF($AJ623=1,0,IF($AI623=1,Settings!$C$6,Settings!$C$7))*100)</f>
        <v/>
      </c>
      <c r="V623" s="7">
        <f>IF($C623="","",R623*U623/100)</f>
        <v/>
      </c>
      <c r="W623" s="7">
        <f>IF($C623="","",R623-V623)</f>
        <v/>
      </c>
      <c r="X623" s="7">
        <f>IF($C623="","",W623-K623)</f>
        <v/>
      </c>
      <c r="AB623" s="7" t="n"/>
      <c r="AE623" s="11" t="n"/>
      <c r="AG623">
        <f>IF($C623="","",IF(COUNTIF($C$2:$C623,$C623)=1,1,0))</f>
        <v/>
      </c>
      <c r="AH623">
        <f>IF($AG623=1,SUMPRODUCT(--($AK$2:$AK$6001&lt;$AK623))+1,"")</f>
        <v/>
      </c>
      <c r="AI623">
        <f>IF($C623="","",IF(OR($N623=TRUE(),$N623="TRUE"),1,0))</f>
        <v/>
      </c>
      <c r="AJ623">
        <f>IF($C623="","",IF($T623="Yes",1,0))</f>
        <v/>
      </c>
      <c r="AK623">
        <f>IF($AG623=1,IFERROR(IF(VALUE($C623)&lt;100000000,VALUE($C623),1000000000),IFERROR(IF(VALUE(MID($C623,2,20))&lt;100000000,VALUE(MID($C623,2,20)),1000000000),1000000000))+ROW()/100000,"")</f>
        <v/>
      </c>
    </row>
    <row r="624">
      <c r="D624" s="11" t="n"/>
      <c r="K624" s="7">
        <f>IF($C624="","",J624*W624/100)</f>
        <v/>
      </c>
      <c r="Q624" s="7" t="n"/>
      <c r="R624" s="7" t="n"/>
      <c r="U624">
        <f>IF($C624="","",IF($AJ624=1,0,IF($AI624=1,Settings!$C$6,Settings!$C$7))*100)</f>
        <v/>
      </c>
      <c r="V624" s="7">
        <f>IF($C624="","",R624*U624/100)</f>
        <v/>
      </c>
      <c r="W624" s="7">
        <f>IF($C624="","",R624-V624)</f>
        <v/>
      </c>
      <c r="X624" s="7">
        <f>IF($C624="","",W624-K624)</f>
        <v/>
      </c>
      <c r="AB624" s="7" t="n"/>
      <c r="AE624" s="11" t="n"/>
      <c r="AG624">
        <f>IF($C624="","",IF(COUNTIF($C$2:$C624,$C624)=1,1,0))</f>
        <v/>
      </c>
      <c r="AH624">
        <f>IF($AG624=1,SUMPRODUCT(--($AK$2:$AK$6001&lt;$AK624))+1,"")</f>
        <v/>
      </c>
      <c r="AI624">
        <f>IF($C624="","",IF(OR($N624=TRUE(),$N624="TRUE"),1,0))</f>
        <v/>
      </c>
      <c r="AJ624">
        <f>IF($C624="","",IF($T624="Yes",1,0))</f>
        <v/>
      </c>
      <c r="AK624">
        <f>IF($AG624=1,IFERROR(IF(VALUE($C624)&lt;100000000,VALUE($C624),1000000000),IFERROR(IF(VALUE(MID($C624,2,20))&lt;100000000,VALUE(MID($C624,2,20)),1000000000),1000000000))+ROW()/100000,"")</f>
        <v/>
      </c>
    </row>
    <row r="625">
      <c r="D625" s="11" t="n"/>
      <c r="K625" s="7">
        <f>IF($C625="","",J625*W625/100)</f>
        <v/>
      </c>
      <c r="Q625" s="7" t="n"/>
      <c r="R625" s="7" t="n"/>
      <c r="U625">
        <f>IF($C625="","",IF($AJ625=1,0,IF($AI625=1,Settings!$C$6,Settings!$C$7))*100)</f>
        <v/>
      </c>
      <c r="V625" s="7">
        <f>IF($C625="","",R625*U625/100)</f>
        <v/>
      </c>
      <c r="W625" s="7">
        <f>IF($C625="","",R625-V625)</f>
        <v/>
      </c>
      <c r="X625" s="7">
        <f>IF($C625="","",W625-K625)</f>
        <v/>
      </c>
      <c r="AB625" s="7" t="n"/>
      <c r="AE625" s="11" t="n"/>
      <c r="AG625">
        <f>IF($C625="","",IF(COUNTIF($C$2:$C625,$C625)=1,1,0))</f>
        <v/>
      </c>
      <c r="AH625">
        <f>IF($AG625=1,SUMPRODUCT(--($AK$2:$AK$6001&lt;$AK625))+1,"")</f>
        <v/>
      </c>
      <c r="AI625">
        <f>IF($C625="","",IF(OR($N625=TRUE(),$N625="TRUE"),1,0))</f>
        <v/>
      </c>
      <c r="AJ625">
        <f>IF($C625="","",IF($T625="Yes",1,0))</f>
        <v/>
      </c>
      <c r="AK625">
        <f>IF($AG625=1,IFERROR(IF(VALUE($C625)&lt;100000000,VALUE($C625),1000000000),IFERROR(IF(VALUE(MID($C625,2,20))&lt;100000000,VALUE(MID($C625,2,20)),1000000000),1000000000))+ROW()/100000,"")</f>
        <v/>
      </c>
    </row>
    <row r="626">
      <c r="D626" s="11" t="n"/>
      <c r="K626" s="7">
        <f>IF($C626="","",J626*W626/100)</f>
        <v/>
      </c>
      <c r="Q626" s="7" t="n"/>
      <c r="R626" s="7" t="n"/>
      <c r="U626">
        <f>IF($C626="","",IF($AJ626=1,0,IF($AI626=1,Settings!$C$6,Settings!$C$7))*100)</f>
        <v/>
      </c>
      <c r="V626" s="7">
        <f>IF($C626="","",R626*U626/100)</f>
        <v/>
      </c>
      <c r="W626" s="7">
        <f>IF($C626="","",R626-V626)</f>
        <v/>
      </c>
      <c r="X626" s="7">
        <f>IF($C626="","",W626-K626)</f>
        <v/>
      </c>
      <c r="AB626" s="7" t="n"/>
      <c r="AE626" s="11" t="n"/>
      <c r="AG626">
        <f>IF($C626="","",IF(COUNTIF($C$2:$C626,$C626)=1,1,0))</f>
        <v/>
      </c>
      <c r="AH626">
        <f>IF($AG626=1,SUMPRODUCT(--($AK$2:$AK$6001&lt;$AK626))+1,"")</f>
        <v/>
      </c>
      <c r="AI626">
        <f>IF($C626="","",IF(OR($N626=TRUE(),$N626="TRUE"),1,0))</f>
        <v/>
      </c>
      <c r="AJ626">
        <f>IF($C626="","",IF($T626="Yes",1,0))</f>
        <v/>
      </c>
      <c r="AK626">
        <f>IF($AG626=1,IFERROR(IF(VALUE($C626)&lt;100000000,VALUE($C626),1000000000),IFERROR(IF(VALUE(MID($C626,2,20))&lt;100000000,VALUE(MID($C626,2,20)),1000000000),1000000000))+ROW()/100000,"")</f>
        <v/>
      </c>
    </row>
    <row r="627">
      <c r="D627" s="11" t="n"/>
      <c r="K627" s="7">
        <f>IF($C627="","",J627*W627/100)</f>
        <v/>
      </c>
      <c r="Q627" s="7" t="n"/>
      <c r="R627" s="7" t="n"/>
      <c r="U627">
        <f>IF($C627="","",IF($AJ627=1,0,IF($AI627=1,Settings!$C$6,Settings!$C$7))*100)</f>
        <v/>
      </c>
      <c r="V627" s="7">
        <f>IF($C627="","",R627*U627/100)</f>
        <v/>
      </c>
      <c r="W627" s="7">
        <f>IF($C627="","",R627-V627)</f>
        <v/>
      </c>
      <c r="X627" s="7">
        <f>IF($C627="","",W627-K627)</f>
        <v/>
      </c>
      <c r="AB627" s="7" t="n"/>
      <c r="AE627" s="11" t="n"/>
      <c r="AG627">
        <f>IF($C627="","",IF(COUNTIF($C$2:$C627,$C627)=1,1,0))</f>
        <v/>
      </c>
      <c r="AH627">
        <f>IF($AG627=1,SUMPRODUCT(--($AK$2:$AK$6001&lt;$AK627))+1,"")</f>
        <v/>
      </c>
      <c r="AI627">
        <f>IF($C627="","",IF(OR($N627=TRUE(),$N627="TRUE"),1,0))</f>
        <v/>
      </c>
      <c r="AJ627">
        <f>IF($C627="","",IF($T627="Yes",1,0))</f>
        <v/>
      </c>
      <c r="AK627">
        <f>IF($AG627=1,IFERROR(IF(VALUE($C627)&lt;100000000,VALUE($C627),1000000000),IFERROR(IF(VALUE(MID($C627,2,20))&lt;100000000,VALUE(MID($C627,2,20)),1000000000),1000000000))+ROW()/100000,"")</f>
        <v/>
      </c>
    </row>
    <row r="628">
      <c r="D628" s="11" t="n"/>
      <c r="K628" s="7">
        <f>IF($C628="","",J628*W628/100)</f>
        <v/>
      </c>
      <c r="Q628" s="7" t="n"/>
      <c r="R628" s="7" t="n"/>
      <c r="U628">
        <f>IF($C628="","",IF($AJ628=1,0,IF($AI628=1,Settings!$C$6,Settings!$C$7))*100)</f>
        <v/>
      </c>
      <c r="V628" s="7">
        <f>IF($C628="","",R628*U628/100)</f>
        <v/>
      </c>
      <c r="W628" s="7">
        <f>IF($C628="","",R628-V628)</f>
        <v/>
      </c>
      <c r="X628" s="7">
        <f>IF($C628="","",W628-K628)</f>
        <v/>
      </c>
      <c r="AB628" s="7" t="n"/>
      <c r="AE628" s="11" t="n"/>
      <c r="AG628">
        <f>IF($C628="","",IF(COUNTIF($C$2:$C628,$C628)=1,1,0))</f>
        <v/>
      </c>
      <c r="AH628">
        <f>IF($AG628=1,SUMPRODUCT(--($AK$2:$AK$6001&lt;$AK628))+1,"")</f>
        <v/>
      </c>
      <c r="AI628">
        <f>IF($C628="","",IF(OR($N628=TRUE(),$N628="TRUE"),1,0))</f>
        <v/>
      </c>
      <c r="AJ628">
        <f>IF($C628="","",IF($T628="Yes",1,0))</f>
        <v/>
      </c>
      <c r="AK628">
        <f>IF($AG628=1,IFERROR(IF(VALUE($C628)&lt;100000000,VALUE($C628),1000000000),IFERROR(IF(VALUE(MID($C628,2,20))&lt;100000000,VALUE(MID($C628,2,20)),1000000000),1000000000))+ROW()/100000,"")</f>
        <v/>
      </c>
    </row>
    <row r="629">
      <c r="D629" s="11" t="n"/>
      <c r="K629" s="7">
        <f>IF($C629="","",J629*W629/100)</f>
        <v/>
      </c>
      <c r="Q629" s="7" t="n"/>
      <c r="R629" s="7" t="n"/>
      <c r="U629">
        <f>IF($C629="","",IF($AJ629=1,0,IF($AI629=1,Settings!$C$6,Settings!$C$7))*100)</f>
        <v/>
      </c>
      <c r="V629" s="7">
        <f>IF($C629="","",R629*U629/100)</f>
        <v/>
      </c>
      <c r="W629" s="7">
        <f>IF($C629="","",R629-V629)</f>
        <v/>
      </c>
      <c r="X629" s="7">
        <f>IF($C629="","",W629-K629)</f>
        <v/>
      </c>
      <c r="AB629" s="7" t="n"/>
      <c r="AE629" s="11" t="n"/>
      <c r="AG629">
        <f>IF($C629="","",IF(COUNTIF($C$2:$C629,$C629)=1,1,0))</f>
        <v/>
      </c>
      <c r="AH629">
        <f>IF($AG629=1,SUMPRODUCT(--($AK$2:$AK$6001&lt;$AK629))+1,"")</f>
        <v/>
      </c>
      <c r="AI629">
        <f>IF($C629="","",IF(OR($N629=TRUE(),$N629="TRUE"),1,0))</f>
        <v/>
      </c>
      <c r="AJ629">
        <f>IF($C629="","",IF($T629="Yes",1,0))</f>
        <v/>
      </c>
      <c r="AK629">
        <f>IF($AG629=1,IFERROR(IF(VALUE($C629)&lt;100000000,VALUE($C629),1000000000),IFERROR(IF(VALUE(MID($C629,2,20))&lt;100000000,VALUE(MID($C629,2,20)),1000000000),1000000000))+ROW()/100000,"")</f>
        <v/>
      </c>
    </row>
    <row r="630">
      <c r="D630" s="11" t="n"/>
      <c r="K630" s="7">
        <f>IF($C630="","",J630*W630/100)</f>
        <v/>
      </c>
      <c r="Q630" s="7" t="n"/>
      <c r="R630" s="7" t="n"/>
      <c r="U630">
        <f>IF($C630="","",IF($AJ630=1,0,IF($AI630=1,Settings!$C$6,Settings!$C$7))*100)</f>
        <v/>
      </c>
      <c r="V630" s="7">
        <f>IF($C630="","",R630*U630/100)</f>
        <v/>
      </c>
      <c r="W630" s="7">
        <f>IF($C630="","",R630-V630)</f>
        <v/>
      </c>
      <c r="X630" s="7">
        <f>IF($C630="","",W630-K630)</f>
        <v/>
      </c>
      <c r="AB630" s="7" t="n"/>
      <c r="AE630" s="11" t="n"/>
      <c r="AG630">
        <f>IF($C630="","",IF(COUNTIF($C$2:$C630,$C630)=1,1,0))</f>
        <v/>
      </c>
      <c r="AH630">
        <f>IF($AG630=1,SUMPRODUCT(--($AK$2:$AK$6001&lt;$AK630))+1,"")</f>
        <v/>
      </c>
      <c r="AI630">
        <f>IF($C630="","",IF(OR($N630=TRUE(),$N630="TRUE"),1,0))</f>
        <v/>
      </c>
      <c r="AJ630">
        <f>IF($C630="","",IF($T630="Yes",1,0))</f>
        <v/>
      </c>
      <c r="AK630">
        <f>IF($AG630=1,IFERROR(IF(VALUE($C630)&lt;100000000,VALUE($C630),1000000000),IFERROR(IF(VALUE(MID($C630,2,20))&lt;100000000,VALUE(MID($C630,2,20)),1000000000),1000000000))+ROW()/100000,"")</f>
        <v/>
      </c>
    </row>
    <row r="631">
      <c r="D631" s="11" t="n"/>
      <c r="K631" s="7">
        <f>IF($C631="","",J631*W631/100)</f>
        <v/>
      </c>
      <c r="Q631" s="7" t="n"/>
      <c r="R631" s="7" t="n"/>
      <c r="U631">
        <f>IF($C631="","",IF($AJ631=1,0,IF($AI631=1,Settings!$C$6,Settings!$C$7))*100)</f>
        <v/>
      </c>
      <c r="V631" s="7">
        <f>IF($C631="","",R631*U631/100)</f>
        <v/>
      </c>
      <c r="W631" s="7">
        <f>IF($C631="","",R631-V631)</f>
        <v/>
      </c>
      <c r="X631" s="7">
        <f>IF($C631="","",W631-K631)</f>
        <v/>
      </c>
      <c r="AB631" s="7" t="n"/>
      <c r="AE631" s="11" t="n"/>
      <c r="AG631">
        <f>IF($C631="","",IF(COUNTIF($C$2:$C631,$C631)=1,1,0))</f>
        <v/>
      </c>
      <c r="AH631">
        <f>IF($AG631=1,SUMPRODUCT(--($AK$2:$AK$6001&lt;$AK631))+1,"")</f>
        <v/>
      </c>
      <c r="AI631">
        <f>IF($C631="","",IF(OR($N631=TRUE(),$N631="TRUE"),1,0))</f>
        <v/>
      </c>
      <c r="AJ631">
        <f>IF($C631="","",IF($T631="Yes",1,0))</f>
        <v/>
      </c>
      <c r="AK631">
        <f>IF($AG631=1,IFERROR(IF(VALUE($C631)&lt;100000000,VALUE($C631),1000000000),IFERROR(IF(VALUE(MID($C631,2,20))&lt;100000000,VALUE(MID($C631,2,20)),1000000000),1000000000))+ROW()/100000,"")</f>
        <v/>
      </c>
    </row>
    <row r="632">
      <c r="D632" s="11" t="n"/>
      <c r="K632" s="7">
        <f>IF($C632="","",J632*W632/100)</f>
        <v/>
      </c>
      <c r="Q632" s="7" t="n"/>
      <c r="R632" s="7" t="n"/>
      <c r="U632">
        <f>IF($C632="","",IF($AJ632=1,0,IF($AI632=1,Settings!$C$6,Settings!$C$7))*100)</f>
        <v/>
      </c>
      <c r="V632" s="7">
        <f>IF($C632="","",R632*U632/100)</f>
        <v/>
      </c>
      <c r="W632" s="7">
        <f>IF($C632="","",R632-V632)</f>
        <v/>
      </c>
      <c r="X632" s="7">
        <f>IF($C632="","",W632-K632)</f>
        <v/>
      </c>
      <c r="AB632" s="7" t="n"/>
      <c r="AE632" s="11" t="n"/>
      <c r="AG632">
        <f>IF($C632="","",IF(COUNTIF($C$2:$C632,$C632)=1,1,0))</f>
        <v/>
      </c>
      <c r="AH632">
        <f>IF($AG632=1,SUMPRODUCT(--($AK$2:$AK$6001&lt;$AK632))+1,"")</f>
        <v/>
      </c>
      <c r="AI632">
        <f>IF($C632="","",IF(OR($N632=TRUE(),$N632="TRUE"),1,0))</f>
        <v/>
      </c>
      <c r="AJ632">
        <f>IF($C632="","",IF($T632="Yes",1,0))</f>
        <v/>
      </c>
      <c r="AK632">
        <f>IF($AG632=1,IFERROR(IF(VALUE($C632)&lt;100000000,VALUE($C632),1000000000),IFERROR(IF(VALUE(MID($C632,2,20))&lt;100000000,VALUE(MID($C632,2,20)),1000000000),1000000000))+ROW()/100000,"")</f>
        <v/>
      </c>
    </row>
    <row r="633">
      <c r="D633" s="11" t="n"/>
      <c r="K633" s="7">
        <f>IF($C633="","",J633*W633/100)</f>
        <v/>
      </c>
      <c r="Q633" s="7" t="n"/>
      <c r="R633" s="7" t="n"/>
      <c r="U633">
        <f>IF($C633="","",IF($AJ633=1,0,IF($AI633=1,Settings!$C$6,Settings!$C$7))*100)</f>
        <v/>
      </c>
      <c r="V633" s="7">
        <f>IF($C633="","",R633*U633/100)</f>
        <v/>
      </c>
      <c r="W633" s="7">
        <f>IF($C633="","",R633-V633)</f>
        <v/>
      </c>
      <c r="X633" s="7">
        <f>IF($C633="","",W633-K633)</f>
        <v/>
      </c>
      <c r="AB633" s="7" t="n"/>
      <c r="AE633" s="11" t="n"/>
      <c r="AG633">
        <f>IF($C633="","",IF(COUNTIF($C$2:$C633,$C633)=1,1,0))</f>
        <v/>
      </c>
      <c r="AH633">
        <f>IF($AG633=1,SUMPRODUCT(--($AK$2:$AK$6001&lt;$AK633))+1,"")</f>
        <v/>
      </c>
      <c r="AI633">
        <f>IF($C633="","",IF(OR($N633=TRUE(),$N633="TRUE"),1,0))</f>
        <v/>
      </c>
      <c r="AJ633">
        <f>IF($C633="","",IF($T633="Yes",1,0))</f>
        <v/>
      </c>
      <c r="AK633">
        <f>IF($AG633=1,IFERROR(IF(VALUE($C633)&lt;100000000,VALUE($C633),1000000000),IFERROR(IF(VALUE(MID($C633,2,20))&lt;100000000,VALUE(MID($C633,2,20)),1000000000),1000000000))+ROW()/100000,"")</f>
        <v/>
      </c>
    </row>
    <row r="634">
      <c r="D634" s="11" t="n"/>
      <c r="K634" s="7">
        <f>IF($C634="","",J634*W634/100)</f>
        <v/>
      </c>
      <c r="Q634" s="7" t="n"/>
      <c r="R634" s="7" t="n"/>
      <c r="U634">
        <f>IF($C634="","",IF($AJ634=1,0,IF($AI634=1,Settings!$C$6,Settings!$C$7))*100)</f>
        <v/>
      </c>
      <c r="V634" s="7">
        <f>IF($C634="","",R634*U634/100)</f>
        <v/>
      </c>
      <c r="W634" s="7">
        <f>IF($C634="","",R634-V634)</f>
        <v/>
      </c>
      <c r="X634" s="7">
        <f>IF($C634="","",W634-K634)</f>
        <v/>
      </c>
      <c r="AB634" s="7" t="n"/>
      <c r="AE634" s="11" t="n"/>
      <c r="AG634">
        <f>IF($C634="","",IF(COUNTIF($C$2:$C634,$C634)=1,1,0))</f>
        <v/>
      </c>
      <c r="AH634">
        <f>IF($AG634=1,SUMPRODUCT(--($AK$2:$AK$6001&lt;$AK634))+1,"")</f>
        <v/>
      </c>
      <c r="AI634">
        <f>IF($C634="","",IF(OR($N634=TRUE(),$N634="TRUE"),1,0))</f>
        <v/>
      </c>
      <c r="AJ634">
        <f>IF($C634="","",IF($T634="Yes",1,0))</f>
        <v/>
      </c>
      <c r="AK634">
        <f>IF($AG634=1,IFERROR(IF(VALUE($C634)&lt;100000000,VALUE($C634),1000000000),IFERROR(IF(VALUE(MID($C634,2,20))&lt;100000000,VALUE(MID($C634,2,20)),1000000000),1000000000))+ROW()/100000,"")</f>
        <v/>
      </c>
    </row>
    <row r="635">
      <c r="D635" s="11" t="n"/>
      <c r="K635" s="7">
        <f>IF($C635="","",J635*W635/100)</f>
        <v/>
      </c>
      <c r="Q635" s="7" t="n"/>
      <c r="R635" s="7" t="n"/>
      <c r="U635">
        <f>IF($C635="","",IF($AJ635=1,0,IF($AI635=1,Settings!$C$6,Settings!$C$7))*100)</f>
        <v/>
      </c>
      <c r="V635" s="7">
        <f>IF($C635="","",R635*U635/100)</f>
        <v/>
      </c>
      <c r="W635" s="7">
        <f>IF($C635="","",R635-V635)</f>
        <v/>
      </c>
      <c r="X635" s="7">
        <f>IF($C635="","",W635-K635)</f>
        <v/>
      </c>
      <c r="AB635" s="7" t="n"/>
      <c r="AE635" s="11" t="n"/>
      <c r="AG635">
        <f>IF($C635="","",IF(COUNTIF($C$2:$C635,$C635)=1,1,0))</f>
        <v/>
      </c>
      <c r="AH635">
        <f>IF($AG635=1,SUMPRODUCT(--($AK$2:$AK$6001&lt;$AK635))+1,"")</f>
        <v/>
      </c>
      <c r="AI635">
        <f>IF($C635="","",IF(OR($N635=TRUE(),$N635="TRUE"),1,0))</f>
        <v/>
      </c>
      <c r="AJ635">
        <f>IF($C635="","",IF($T635="Yes",1,0))</f>
        <v/>
      </c>
      <c r="AK635">
        <f>IF($AG635=1,IFERROR(IF(VALUE($C635)&lt;100000000,VALUE($C635),1000000000),IFERROR(IF(VALUE(MID($C635,2,20))&lt;100000000,VALUE(MID($C635,2,20)),1000000000),1000000000))+ROW()/100000,"")</f>
        <v/>
      </c>
    </row>
    <row r="636">
      <c r="D636" s="11" t="n"/>
      <c r="K636" s="7">
        <f>IF($C636="","",J636*W636/100)</f>
        <v/>
      </c>
      <c r="Q636" s="7" t="n"/>
      <c r="R636" s="7" t="n"/>
      <c r="U636">
        <f>IF($C636="","",IF($AJ636=1,0,IF($AI636=1,Settings!$C$6,Settings!$C$7))*100)</f>
        <v/>
      </c>
      <c r="V636" s="7">
        <f>IF($C636="","",R636*U636/100)</f>
        <v/>
      </c>
      <c r="W636" s="7">
        <f>IF($C636="","",R636-V636)</f>
        <v/>
      </c>
      <c r="X636" s="7">
        <f>IF($C636="","",W636-K636)</f>
        <v/>
      </c>
      <c r="AB636" s="7" t="n"/>
      <c r="AE636" s="11" t="n"/>
      <c r="AG636">
        <f>IF($C636="","",IF(COUNTIF($C$2:$C636,$C636)=1,1,0))</f>
        <v/>
      </c>
      <c r="AH636">
        <f>IF($AG636=1,SUMPRODUCT(--($AK$2:$AK$6001&lt;$AK636))+1,"")</f>
        <v/>
      </c>
      <c r="AI636">
        <f>IF($C636="","",IF(OR($N636=TRUE(),$N636="TRUE"),1,0))</f>
        <v/>
      </c>
      <c r="AJ636">
        <f>IF($C636="","",IF($T636="Yes",1,0))</f>
        <v/>
      </c>
      <c r="AK636">
        <f>IF($AG636=1,IFERROR(IF(VALUE($C636)&lt;100000000,VALUE($C636),1000000000),IFERROR(IF(VALUE(MID($C636,2,20))&lt;100000000,VALUE(MID($C636,2,20)),1000000000),1000000000))+ROW()/100000,"")</f>
        <v/>
      </c>
    </row>
    <row r="637">
      <c r="D637" s="11" t="n"/>
      <c r="K637" s="7">
        <f>IF($C637="","",J637*W637/100)</f>
        <v/>
      </c>
      <c r="Q637" s="7" t="n"/>
      <c r="R637" s="7" t="n"/>
      <c r="U637">
        <f>IF($C637="","",IF($AJ637=1,0,IF($AI637=1,Settings!$C$6,Settings!$C$7))*100)</f>
        <v/>
      </c>
      <c r="V637" s="7">
        <f>IF($C637="","",R637*U637/100)</f>
        <v/>
      </c>
      <c r="W637" s="7">
        <f>IF($C637="","",R637-V637)</f>
        <v/>
      </c>
      <c r="X637" s="7">
        <f>IF($C637="","",W637-K637)</f>
        <v/>
      </c>
      <c r="AB637" s="7" t="n"/>
      <c r="AE637" s="11" t="n"/>
      <c r="AG637">
        <f>IF($C637="","",IF(COUNTIF($C$2:$C637,$C637)=1,1,0))</f>
        <v/>
      </c>
      <c r="AH637">
        <f>IF($AG637=1,SUMPRODUCT(--($AK$2:$AK$6001&lt;$AK637))+1,"")</f>
        <v/>
      </c>
      <c r="AI637">
        <f>IF($C637="","",IF(OR($N637=TRUE(),$N637="TRUE"),1,0))</f>
        <v/>
      </c>
      <c r="AJ637">
        <f>IF($C637="","",IF($T637="Yes",1,0))</f>
        <v/>
      </c>
      <c r="AK637">
        <f>IF($AG637=1,IFERROR(IF(VALUE($C637)&lt;100000000,VALUE($C637),1000000000),IFERROR(IF(VALUE(MID($C637,2,20))&lt;100000000,VALUE(MID($C637,2,20)),1000000000),1000000000))+ROW()/100000,"")</f>
        <v/>
      </c>
    </row>
    <row r="638">
      <c r="D638" s="11" t="n"/>
      <c r="K638" s="7">
        <f>IF($C638="","",J638*W638/100)</f>
        <v/>
      </c>
      <c r="Q638" s="7" t="n"/>
      <c r="R638" s="7" t="n"/>
      <c r="U638">
        <f>IF($C638="","",IF($AJ638=1,0,IF($AI638=1,Settings!$C$6,Settings!$C$7))*100)</f>
        <v/>
      </c>
      <c r="V638" s="7">
        <f>IF($C638="","",R638*U638/100)</f>
        <v/>
      </c>
      <c r="W638" s="7">
        <f>IF($C638="","",R638-V638)</f>
        <v/>
      </c>
      <c r="X638" s="7">
        <f>IF($C638="","",W638-K638)</f>
        <v/>
      </c>
      <c r="AB638" s="7" t="n"/>
      <c r="AE638" s="11" t="n"/>
      <c r="AG638">
        <f>IF($C638="","",IF(COUNTIF($C$2:$C638,$C638)=1,1,0))</f>
        <v/>
      </c>
      <c r="AH638">
        <f>IF($AG638=1,SUMPRODUCT(--($AK$2:$AK$6001&lt;$AK638))+1,"")</f>
        <v/>
      </c>
      <c r="AI638">
        <f>IF($C638="","",IF(OR($N638=TRUE(),$N638="TRUE"),1,0))</f>
        <v/>
      </c>
      <c r="AJ638">
        <f>IF($C638="","",IF($T638="Yes",1,0))</f>
        <v/>
      </c>
      <c r="AK638">
        <f>IF($AG638=1,IFERROR(IF(VALUE($C638)&lt;100000000,VALUE($C638),1000000000),IFERROR(IF(VALUE(MID($C638,2,20))&lt;100000000,VALUE(MID($C638,2,20)),1000000000),1000000000))+ROW()/100000,"")</f>
        <v/>
      </c>
    </row>
    <row r="639">
      <c r="D639" s="11" t="n"/>
      <c r="K639" s="7">
        <f>IF($C639="","",J639*W639/100)</f>
        <v/>
      </c>
      <c r="Q639" s="7" t="n"/>
      <c r="R639" s="7" t="n"/>
      <c r="U639">
        <f>IF($C639="","",IF($AJ639=1,0,IF($AI639=1,Settings!$C$6,Settings!$C$7))*100)</f>
        <v/>
      </c>
      <c r="V639" s="7">
        <f>IF($C639="","",R639*U639/100)</f>
        <v/>
      </c>
      <c r="W639" s="7">
        <f>IF($C639="","",R639-V639)</f>
        <v/>
      </c>
      <c r="X639" s="7">
        <f>IF($C639="","",W639-K639)</f>
        <v/>
      </c>
      <c r="AB639" s="7" t="n"/>
      <c r="AE639" s="11" t="n"/>
      <c r="AG639">
        <f>IF($C639="","",IF(COUNTIF($C$2:$C639,$C639)=1,1,0))</f>
        <v/>
      </c>
      <c r="AH639">
        <f>IF($AG639=1,SUMPRODUCT(--($AK$2:$AK$6001&lt;$AK639))+1,"")</f>
        <v/>
      </c>
      <c r="AI639">
        <f>IF($C639="","",IF(OR($N639=TRUE(),$N639="TRUE"),1,0))</f>
        <v/>
      </c>
      <c r="AJ639">
        <f>IF($C639="","",IF($T639="Yes",1,0))</f>
        <v/>
      </c>
      <c r="AK639">
        <f>IF($AG639=1,IFERROR(IF(VALUE($C639)&lt;100000000,VALUE($C639),1000000000),IFERROR(IF(VALUE(MID($C639,2,20))&lt;100000000,VALUE(MID($C639,2,20)),1000000000),1000000000))+ROW()/100000,"")</f>
        <v/>
      </c>
    </row>
    <row r="640">
      <c r="D640" s="11" t="n"/>
      <c r="K640" s="7">
        <f>IF($C640="","",J640*W640/100)</f>
        <v/>
      </c>
      <c r="Q640" s="7" t="n"/>
      <c r="R640" s="7" t="n"/>
      <c r="U640">
        <f>IF($C640="","",IF($AJ640=1,0,IF($AI640=1,Settings!$C$6,Settings!$C$7))*100)</f>
        <v/>
      </c>
      <c r="V640" s="7">
        <f>IF($C640="","",R640*U640/100)</f>
        <v/>
      </c>
      <c r="W640" s="7">
        <f>IF($C640="","",R640-V640)</f>
        <v/>
      </c>
      <c r="X640" s="7">
        <f>IF($C640="","",W640-K640)</f>
        <v/>
      </c>
      <c r="AB640" s="7" t="n"/>
      <c r="AE640" s="11" t="n"/>
      <c r="AG640">
        <f>IF($C640="","",IF(COUNTIF($C$2:$C640,$C640)=1,1,0))</f>
        <v/>
      </c>
      <c r="AH640">
        <f>IF($AG640=1,SUMPRODUCT(--($AK$2:$AK$6001&lt;$AK640))+1,"")</f>
        <v/>
      </c>
      <c r="AI640">
        <f>IF($C640="","",IF(OR($N640=TRUE(),$N640="TRUE"),1,0))</f>
        <v/>
      </c>
      <c r="AJ640">
        <f>IF($C640="","",IF($T640="Yes",1,0))</f>
        <v/>
      </c>
      <c r="AK640">
        <f>IF($AG640=1,IFERROR(IF(VALUE($C640)&lt;100000000,VALUE($C640),1000000000),IFERROR(IF(VALUE(MID($C640,2,20))&lt;100000000,VALUE(MID($C640,2,20)),1000000000),1000000000))+ROW()/100000,"")</f>
        <v/>
      </c>
    </row>
    <row r="641">
      <c r="D641" s="11" t="n"/>
      <c r="K641" s="7">
        <f>IF($C641="","",J641*W641/100)</f>
        <v/>
      </c>
      <c r="Q641" s="7" t="n"/>
      <c r="R641" s="7" t="n"/>
      <c r="U641">
        <f>IF($C641="","",IF($AJ641=1,0,IF($AI641=1,Settings!$C$6,Settings!$C$7))*100)</f>
        <v/>
      </c>
      <c r="V641" s="7">
        <f>IF($C641="","",R641*U641/100)</f>
        <v/>
      </c>
      <c r="W641" s="7">
        <f>IF($C641="","",R641-V641)</f>
        <v/>
      </c>
      <c r="X641" s="7">
        <f>IF($C641="","",W641-K641)</f>
        <v/>
      </c>
      <c r="AB641" s="7" t="n"/>
      <c r="AE641" s="11" t="n"/>
      <c r="AG641">
        <f>IF($C641="","",IF(COUNTIF($C$2:$C641,$C641)=1,1,0))</f>
        <v/>
      </c>
      <c r="AH641">
        <f>IF($AG641=1,SUMPRODUCT(--($AK$2:$AK$6001&lt;$AK641))+1,"")</f>
        <v/>
      </c>
      <c r="AI641">
        <f>IF($C641="","",IF(OR($N641=TRUE(),$N641="TRUE"),1,0))</f>
        <v/>
      </c>
      <c r="AJ641">
        <f>IF($C641="","",IF($T641="Yes",1,0))</f>
        <v/>
      </c>
      <c r="AK641">
        <f>IF($AG641=1,IFERROR(IF(VALUE($C641)&lt;100000000,VALUE($C641),1000000000),IFERROR(IF(VALUE(MID($C641,2,20))&lt;100000000,VALUE(MID($C641,2,20)),1000000000),1000000000))+ROW()/100000,"")</f>
        <v/>
      </c>
    </row>
    <row r="642">
      <c r="D642" s="11" t="n"/>
      <c r="K642" s="7">
        <f>IF($C642="","",J642*W642/100)</f>
        <v/>
      </c>
      <c r="Q642" s="7" t="n"/>
      <c r="R642" s="7" t="n"/>
      <c r="U642">
        <f>IF($C642="","",IF($AJ642=1,0,IF($AI642=1,Settings!$C$6,Settings!$C$7))*100)</f>
        <v/>
      </c>
      <c r="V642" s="7">
        <f>IF($C642="","",R642*U642/100)</f>
        <v/>
      </c>
      <c r="W642" s="7">
        <f>IF($C642="","",R642-V642)</f>
        <v/>
      </c>
      <c r="X642" s="7">
        <f>IF($C642="","",W642-K642)</f>
        <v/>
      </c>
      <c r="AB642" s="7" t="n"/>
      <c r="AE642" s="11" t="n"/>
      <c r="AG642">
        <f>IF($C642="","",IF(COUNTIF($C$2:$C642,$C642)=1,1,0))</f>
        <v/>
      </c>
      <c r="AH642">
        <f>IF($AG642=1,SUMPRODUCT(--($AK$2:$AK$6001&lt;$AK642))+1,"")</f>
        <v/>
      </c>
      <c r="AI642">
        <f>IF($C642="","",IF(OR($N642=TRUE(),$N642="TRUE"),1,0))</f>
        <v/>
      </c>
      <c r="AJ642">
        <f>IF($C642="","",IF($T642="Yes",1,0))</f>
        <v/>
      </c>
      <c r="AK642">
        <f>IF($AG642=1,IFERROR(IF(VALUE($C642)&lt;100000000,VALUE($C642),1000000000),IFERROR(IF(VALUE(MID($C642,2,20))&lt;100000000,VALUE(MID($C642,2,20)),1000000000),1000000000))+ROW()/100000,"")</f>
        <v/>
      </c>
    </row>
    <row r="643">
      <c r="D643" s="11" t="n"/>
      <c r="K643" s="7">
        <f>IF($C643="","",J643*W643/100)</f>
        <v/>
      </c>
      <c r="Q643" s="7" t="n"/>
      <c r="R643" s="7" t="n"/>
      <c r="U643">
        <f>IF($C643="","",IF($AJ643=1,0,IF($AI643=1,Settings!$C$6,Settings!$C$7))*100)</f>
        <v/>
      </c>
      <c r="V643" s="7">
        <f>IF($C643="","",R643*U643/100)</f>
        <v/>
      </c>
      <c r="W643" s="7">
        <f>IF($C643="","",R643-V643)</f>
        <v/>
      </c>
      <c r="X643" s="7">
        <f>IF($C643="","",W643-K643)</f>
        <v/>
      </c>
      <c r="AB643" s="7" t="n"/>
      <c r="AE643" s="11" t="n"/>
      <c r="AG643">
        <f>IF($C643="","",IF(COUNTIF($C$2:$C643,$C643)=1,1,0))</f>
        <v/>
      </c>
      <c r="AH643">
        <f>IF($AG643=1,SUMPRODUCT(--($AK$2:$AK$6001&lt;$AK643))+1,"")</f>
        <v/>
      </c>
      <c r="AI643">
        <f>IF($C643="","",IF(OR($N643=TRUE(),$N643="TRUE"),1,0))</f>
        <v/>
      </c>
      <c r="AJ643">
        <f>IF($C643="","",IF($T643="Yes",1,0))</f>
        <v/>
      </c>
      <c r="AK643">
        <f>IF($AG643=1,IFERROR(IF(VALUE($C643)&lt;100000000,VALUE($C643),1000000000),IFERROR(IF(VALUE(MID($C643,2,20))&lt;100000000,VALUE(MID($C643,2,20)),1000000000),1000000000))+ROW()/100000,"")</f>
        <v/>
      </c>
    </row>
    <row r="644">
      <c r="D644" s="11" t="n"/>
      <c r="K644" s="7">
        <f>IF($C644="","",J644*W644/100)</f>
        <v/>
      </c>
      <c r="Q644" s="7" t="n"/>
      <c r="R644" s="7" t="n"/>
      <c r="U644">
        <f>IF($C644="","",IF($AJ644=1,0,IF($AI644=1,Settings!$C$6,Settings!$C$7))*100)</f>
        <v/>
      </c>
      <c r="V644" s="7">
        <f>IF($C644="","",R644*U644/100)</f>
        <v/>
      </c>
      <c r="W644" s="7">
        <f>IF($C644="","",R644-V644)</f>
        <v/>
      </c>
      <c r="X644" s="7">
        <f>IF($C644="","",W644-K644)</f>
        <v/>
      </c>
      <c r="AB644" s="7" t="n"/>
      <c r="AE644" s="11" t="n"/>
      <c r="AG644">
        <f>IF($C644="","",IF(COUNTIF($C$2:$C644,$C644)=1,1,0))</f>
        <v/>
      </c>
      <c r="AH644">
        <f>IF($AG644=1,SUMPRODUCT(--($AK$2:$AK$6001&lt;$AK644))+1,"")</f>
        <v/>
      </c>
      <c r="AI644">
        <f>IF($C644="","",IF(OR($N644=TRUE(),$N644="TRUE"),1,0))</f>
        <v/>
      </c>
      <c r="AJ644">
        <f>IF($C644="","",IF($T644="Yes",1,0))</f>
        <v/>
      </c>
      <c r="AK644">
        <f>IF($AG644=1,IFERROR(IF(VALUE($C644)&lt;100000000,VALUE($C644),1000000000),IFERROR(IF(VALUE(MID($C644,2,20))&lt;100000000,VALUE(MID($C644,2,20)),1000000000),1000000000))+ROW()/100000,"")</f>
        <v/>
      </c>
    </row>
    <row r="645">
      <c r="D645" s="11" t="n"/>
      <c r="K645" s="7">
        <f>IF($C645="","",J645*W645/100)</f>
        <v/>
      </c>
      <c r="Q645" s="7" t="n"/>
      <c r="R645" s="7" t="n"/>
      <c r="U645">
        <f>IF($C645="","",IF($AJ645=1,0,IF($AI645=1,Settings!$C$6,Settings!$C$7))*100)</f>
        <v/>
      </c>
      <c r="V645" s="7">
        <f>IF($C645="","",R645*U645/100)</f>
        <v/>
      </c>
      <c r="W645" s="7">
        <f>IF($C645="","",R645-V645)</f>
        <v/>
      </c>
      <c r="X645" s="7">
        <f>IF($C645="","",W645-K645)</f>
        <v/>
      </c>
      <c r="AB645" s="7" t="n"/>
      <c r="AE645" s="11" t="n"/>
      <c r="AG645">
        <f>IF($C645="","",IF(COUNTIF($C$2:$C645,$C645)=1,1,0))</f>
        <v/>
      </c>
      <c r="AH645">
        <f>IF($AG645=1,SUMPRODUCT(--($AK$2:$AK$6001&lt;$AK645))+1,"")</f>
        <v/>
      </c>
      <c r="AI645">
        <f>IF($C645="","",IF(OR($N645=TRUE(),$N645="TRUE"),1,0))</f>
        <v/>
      </c>
      <c r="AJ645">
        <f>IF($C645="","",IF($T645="Yes",1,0))</f>
        <v/>
      </c>
      <c r="AK645">
        <f>IF($AG645=1,IFERROR(IF(VALUE($C645)&lt;100000000,VALUE($C645),1000000000),IFERROR(IF(VALUE(MID($C645,2,20))&lt;100000000,VALUE(MID($C645,2,20)),1000000000),1000000000))+ROW()/100000,"")</f>
        <v/>
      </c>
    </row>
    <row r="646">
      <c r="D646" s="11" t="n"/>
      <c r="K646" s="7">
        <f>IF($C646="","",J646*W646/100)</f>
        <v/>
      </c>
      <c r="Q646" s="7" t="n"/>
      <c r="R646" s="7" t="n"/>
      <c r="U646">
        <f>IF($C646="","",IF($AJ646=1,0,IF($AI646=1,Settings!$C$6,Settings!$C$7))*100)</f>
        <v/>
      </c>
      <c r="V646" s="7">
        <f>IF($C646="","",R646*U646/100)</f>
        <v/>
      </c>
      <c r="W646" s="7">
        <f>IF($C646="","",R646-V646)</f>
        <v/>
      </c>
      <c r="X646" s="7">
        <f>IF($C646="","",W646-K646)</f>
        <v/>
      </c>
      <c r="AB646" s="7" t="n"/>
      <c r="AE646" s="11" t="n"/>
      <c r="AG646">
        <f>IF($C646="","",IF(COUNTIF($C$2:$C646,$C646)=1,1,0))</f>
        <v/>
      </c>
      <c r="AH646">
        <f>IF($AG646=1,SUMPRODUCT(--($AK$2:$AK$6001&lt;$AK646))+1,"")</f>
        <v/>
      </c>
      <c r="AI646">
        <f>IF($C646="","",IF(OR($N646=TRUE(),$N646="TRUE"),1,0))</f>
        <v/>
      </c>
      <c r="AJ646">
        <f>IF($C646="","",IF($T646="Yes",1,0))</f>
        <v/>
      </c>
      <c r="AK646">
        <f>IF($AG646=1,IFERROR(IF(VALUE($C646)&lt;100000000,VALUE($C646),1000000000),IFERROR(IF(VALUE(MID($C646,2,20))&lt;100000000,VALUE(MID($C646,2,20)),1000000000),1000000000))+ROW()/100000,"")</f>
        <v/>
      </c>
    </row>
    <row r="647">
      <c r="D647" s="11" t="n"/>
      <c r="K647" s="7">
        <f>IF($C647="","",J647*W647/100)</f>
        <v/>
      </c>
      <c r="Q647" s="7" t="n"/>
      <c r="R647" s="7" t="n"/>
      <c r="U647">
        <f>IF($C647="","",IF($AJ647=1,0,IF($AI647=1,Settings!$C$6,Settings!$C$7))*100)</f>
        <v/>
      </c>
      <c r="V647" s="7">
        <f>IF($C647="","",R647*U647/100)</f>
        <v/>
      </c>
      <c r="W647" s="7">
        <f>IF($C647="","",R647-V647)</f>
        <v/>
      </c>
      <c r="X647" s="7">
        <f>IF($C647="","",W647-K647)</f>
        <v/>
      </c>
      <c r="AB647" s="7" t="n"/>
      <c r="AE647" s="11" t="n"/>
      <c r="AG647">
        <f>IF($C647="","",IF(COUNTIF($C$2:$C647,$C647)=1,1,0))</f>
        <v/>
      </c>
      <c r="AH647">
        <f>IF($AG647=1,SUMPRODUCT(--($AK$2:$AK$6001&lt;$AK647))+1,"")</f>
        <v/>
      </c>
      <c r="AI647">
        <f>IF($C647="","",IF(OR($N647=TRUE(),$N647="TRUE"),1,0))</f>
        <v/>
      </c>
      <c r="AJ647">
        <f>IF($C647="","",IF($T647="Yes",1,0))</f>
        <v/>
      </c>
      <c r="AK647">
        <f>IF($AG647=1,IFERROR(IF(VALUE($C647)&lt;100000000,VALUE($C647),1000000000),IFERROR(IF(VALUE(MID($C647,2,20))&lt;100000000,VALUE(MID($C647,2,20)),1000000000),1000000000))+ROW()/100000,"")</f>
        <v/>
      </c>
    </row>
    <row r="648">
      <c r="D648" s="11" t="n"/>
      <c r="K648" s="7">
        <f>IF($C648="","",J648*W648/100)</f>
        <v/>
      </c>
      <c r="Q648" s="7" t="n"/>
      <c r="R648" s="7" t="n"/>
      <c r="U648">
        <f>IF($C648="","",IF($AJ648=1,0,IF($AI648=1,Settings!$C$6,Settings!$C$7))*100)</f>
        <v/>
      </c>
      <c r="V648" s="7">
        <f>IF($C648="","",R648*U648/100)</f>
        <v/>
      </c>
      <c r="W648" s="7">
        <f>IF($C648="","",R648-V648)</f>
        <v/>
      </c>
      <c r="X648" s="7">
        <f>IF($C648="","",W648-K648)</f>
        <v/>
      </c>
      <c r="AB648" s="7" t="n"/>
      <c r="AE648" s="11" t="n"/>
      <c r="AG648">
        <f>IF($C648="","",IF(COUNTIF($C$2:$C648,$C648)=1,1,0))</f>
        <v/>
      </c>
      <c r="AH648">
        <f>IF($AG648=1,SUMPRODUCT(--($AK$2:$AK$6001&lt;$AK648))+1,"")</f>
        <v/>
      </c>
      <c r="AI648">
        <f>IF($C648="","",IF(OR($N648=TRUE(),$N648="TRUE"),1,0))</f>
        <v/>
      </c>
      <c r="AJ648">
        <f>IF($C648="","",IF($T648="Yes",1,0))</f>
        <v/>
      </c>
      <c r="AK648">
        <f>IF($AG648=1,IFERROR(IF(VALUE($C648)&lt;100000000,VALUE($C648),1000000000),IFERROR(IF(VALUE(MID($C648,2,20))&lt;100000000,VALUE(MID($C648,2,20)),1000000000),1000000000))+ROW()/100000,"")</f>
        <v/>
      </c>
    </row>
    <row r="649">
      <c r="D649" s="11" t="n"/>
      <c r="K649" s="7">
        <f>IF($C649="","",J649*W649/100)</f>
        <v/>
      </c>
      <c r="Q649" s="7" t="n"/>
      <c r="R649" s="7" t="n"/>
      <c r="U649">
        <f>IF($C649="","",IF($AJ649=1,0,IF($AI649=1,Settings!$C$6,Settings!$C$7))*100)</f>
        <v/>
      </c>
      <c r="V649" s="7">
        <f>IF($C649="","",R649*U649/100)</f>
        <v/>
      </c>
      <c r="W649" s="7">
        <f>IF($C649="","",R649-V649)</f>
        <v/>
      </c>
      <c r="X649" s="7">
        <f>IF($C649="","",W649-K649)</f>
        <v/>
      </c>
      <c r="AB649" s="7" t="n"/>
      <c r="AE649" s="11" t="n"/>
      <c r="AG649">
        <f>IF($C649="","",IF(COUNTIF($C$2:$C649,$C649)=1,1,0))</f>
        <v/>
      </c>
      <c r="AH649">
        <f>IF($AG649=1,SUMPRODUCT(--($AK$2:$AK$6001&lt;$AK649))+1,"")</f>
        <v/>
      </c>
      <c r="AI649">
        <f>IF($C649="","",IF(OR($N649=TRUE(),$N649="TRUE"),1,0))</f>
        <v/>
      </c>
      <c r="AJ649">
        <f>IF($C649="","",IF($T649="Yes",1,0))</f>
        <v/>
      </c>
      <c r="AK649">
        <f>IF($AG649=1,IFERROR(IF(VALUE($C649)&lt;100000000,VALUE($C649),1000000000),IFERROR(IF(VALUE(MID($C649,2,20))&lt;100000000,VALUE(MID($C649,2,20)),1000000000),1000000000))+ROW()/100000,"")</f>
        <v/>
      </c>
    </row>
    <row r="650">
      <c r="D650" s="11" t="n"/>
      <c r="K650" s="7">
        <f>IF($C650="","",J650*W650/100)</f>
        <v/>
      </c>
      <c r="Q650" s="7" t="n"/>
      <c r="R650" s="7" t="n"/>
      <c r="U650">
        <f>IF($C650="","",IF($AJ650=1,0,IF($AI650=1,Settings!$C$6,Settings!$C$7))*100)</f>
        <v/>
      </c>
      <c r="V650" s="7">
        <f>IF($C650="","",R650*U650/100)</f>
        <v/>
      </c>
      <c r="W650" s="7">
        <f>IF($C650="","",R650-V650)</f>
        <v/>
      </c>
      <c r="X650" s="7">
        <f>IF($C650="","",W650-K650)</f>
        <v/>
      </c>
      <c r="AB650" s="7" t="n"/>
      <c r="AE650" s="11" t="n"/>
      <c r="AG650">
        <f>IF($C650="","",IF(COUNTIF($C$2:$C650,$C650)=1,1,0))</f>
        <v/>
      </c>
      <c r="AH650">
        <f>IF($AG650=1,SUMPRODUCT(--($AK$2:$AK$6001&lt;$AK650))+1,"")</f>
        <v/>
      </c>
      <c r="AI650">
        <f>IF($C650="","",IF(OR($N650=TRUE(),$N650="TRUE"),1,0))</f>
        <v/>
      </c>
      <c r="AJ650">
        <f>IF($C650="","",IF($T650="Yes",1,0))</f>
        <v/>
      </c>
      <c r="AK650">
        <f>IF($AG650=1,IFERROR(IF(VALUE($C650)&lt;100000000,VALUE($C650),1000000000),IFERROR(IF(VALUE(MID($C650,2,20))&lt;100000000,VALUE(MID($C650,2,20)),1000000000),1000000000))+ROW()/100000,"")</f>
        <v/>
      </c>
    </row>
    <row r="651">
      <c r="D651" s="11" t="n"/>
      <c r="K651" s="7">
        <f>IF($C651="","",J651*W651/100)</f>
        <v/>
      </c>
      <c r="Q651" s="7" t="n"/>
      <c r="R651" s="7" t="n"/>
      <c r="U651">
        <f>IF($C651="","",IF($AJ651=1,0,IF($AI651=1,Settings!$C$6,Settings!$C$7))*100)</f>
        <v/>
      </c>
      <c r="V651" s="7">
        <f>IF($C651="","",R651*U651/100)</f>
        <v/>
      </c>
      <c r="W651" s="7">
        <f>IF($C651="","",R651-V651)</f>
        <v/>
      </c>
      <c r="X651" s="7">
        <f>IF($C651="","",W651-K651)</f>
        <v/>
      </c>
      <c r="AB651" s="7" t="n"/>
      <c r="AE651" s="11" t="n"/>
      <c r="AG651">
        <f>IF($C651="","",IF(COUNTIF($C$2:$C651,$C651)=1,1,0))</f>
        <v/>
      </c>
      <c r="AH651">
        <f>IF($AG651=1,SUMPRODUCT(--($AK$2:$AK$6001&lt;$AK651))+1,"")</f>
        <v/>
      </c>
      <c r="AI651">
        <f>IF($C651="","",IF(OR($N651=TRUE(),$N651="TRUE"),1,0))</f>
        <v/>
      </c>
      <c r="AJ651">
        <f>IF($C651="","",IF($T651="Yes",1,0))</f>
        <v/>
      </c>
      <c r="AK651">
        <f>IF($AG651=1,IFERROR(IF(VALUE($C651)&lt;100000000,VALUE($C651),1000000000),IFERROR(IF(VALUE(MID($C651,2,20))&lt;100000000,VALUE(MID($C651,2,20)),1000000000),1000000000))+ROW()/100000,"")</f>
        <v/>
      </c>
    </row>
    <row r="652">
      <c r="D652" s="11" t="n"/>
      <c r="K652" s="7">
        <f>IF($C652="","",J652*W652/100)</f>
        <v/>
      </c>
      <c r="Q652" s="7" t="n"/>
      <c r="R652" s="7" t="n"/>
      <c r="U652">
        <f>IF($C652="","",IF($AJ652=1,0,IF($AI652=1,Settings!$C$6,Settings!$C$7))*100)</f>
        <v/>
      </c>
      <c r="V652" s="7">
        <f>IF($C652="","",R652*U652/100)</f>
        <v/>
      </c>
      <c r="W652" s="7">
        <f>IF($C652="","",R652-V652)</f>
        <v/>
      </c>
      <c r="X652" s="7">
        <f>IF($C652="","",W652-K652)</f>
        <v/>
      </c>
      <c r="AB652" s="7" t="n"/>
      <c r="AE652" s="11" t="n"/>
      <c r="AG652">
        <f>IF($C652="","",IF(COUNTIF($C$2:$C652,$C652)=1,1,0))</f>
        <v/>
      </c>
      <c r="AH652">
        <f>IF($AG652=1,SUMPRODUCT(--($AK$2:$AK$6001&lt;$AK652))+1,"")</f>
        <v/>
      </c>
      <c r="AI652">
        <f>IF($C652="","",IF(OR($N652=TRUE(),$N652="TRUE"),1,0))</f>
        <v/>
      </c>
      <c r="AJ652">
        <f>IF($C652="","",IF($T652="Yes",1,0))</f>
        <v/>
      </c>
      <c r="AK652">
        <f>IF($AG652=1,IFERROR(IF(VALUE($C652)&lt;100000000,VALUE($C652),1000000000),IFERROR(IF(VALUE(MID($C652,2,20))&lt;100000000,VALUE(MID($C652,2,20)),1000000000),1000000000))+ROW()/100000,"")</f>
        <v/>
      </c>
    </row>
    <row r="653">
      <c r="D653" s="11" t="n"/>
      <c r="K653" s="7">
        <f>IF($C653="","",J653*W653/100)</f>
        <v/>
      </c>
      <c r="Q653" s="7" t="n"/>
      <c r="R653" s="7" t="n"/>
      <c r="U653">
        <f>IF($C653="","",IF($AJ653=1,0,IF($AI653=1,Settings!$C$6,Settings!$C$7))*100)</f>
        <v/>
      </c>
      <c r="V653" s="7">
        <f>IF($C653="","",R653*U653/100)</f>
        <v/>
      </c>
      <c r="W653" s="7">
        <f>IF($C653="","",R653-V653)</f>
        <v/>
      </c>
      <c r="X653" s="7">
        <f>IF($C653="","",W653-K653)</f>
        <v/>
      </c>
      <c r="AB653" s="7" t="n"/>
      <c r="AE653" s="11" t="n"/>
      <c r="AG653">
        <f>IF($C653="","",IF(COUNTIF($C$2:$C653,$C653)=1,1,0))</f>
        <v/>
      </c>
      <c r="AH653">
        <f>IF($AG653=1,SUMPRODUCT(--($AK$2:$AK$6001&lt;$AK653))+1,"")</f>
        <v/>
      </c>
      <c r="AI653">
        <f>IF($C653="","",IF(OR($N653=TRUE(),$N653="TRUE"),1,0))</f>
        <v/>
      </c>
      <c r="AJ653">
        <f>IF($C653="","",IF($T653="Yes",1,0))</f>
        <v/>
      </c>
      <c r="AK653">
        <f>IF($AG653=1,IFERROR(IF(VALUE($C653)&lt;100000000,VALUE($C653),1000000000),IFERROR(IF(VALUE(MID($C653,2,20))&lt;100000000,VALUE(MID($C653,2,20)),1000000000),1000000000))+ROW()/100000,"")</f>
        <v/>
      </c>
    </row>
    <row r="654">
      <c r="D654" s="11" t="n"/>
      <c r="K654" s="7">
        <f>IF($C654="","",J654*W654/100)</f>
        <v/>
      </c>
      <c r="Q654" s="7" t="n"/>
      <c r="R654" s="7" t="n"/>
      <c r="U654">
        <f>IF($C654="","",IF($AJ654=1,0,IF($AI654=1,Settings!$C$6,Settings!$C$7))*100)</f>
        <v/>
      </c>
      <c r="V654" s="7">
        <f>IF($C654="","",R654*U654/100)</f>
        <v/>
      </c>
      <c r="W654" s="7">
        <f>IF($C654="","",R654-V654)</f>
        <v/>
      </c>
      <c r="X654" s="7">
        <f>IF($C654="","",W654-K654)</f>
        <v/>
      </c>
      <c r="AB654" s="7" t="n"/>
      <c r="AE654" s="11" t="n"/>
      <c r="AG654">
        <f>IF($C654="","",IF(COUNTIF($C$2:$C654,$C654)=1,1,0))</f>
        <v/>
      </c>
      <c r="AH654">
        <f>IF($AG654=1,SUMPRODUCT(--($AK$2:$AK$6001&lt;$AK654))+1,"")</f>
        <v/>
      </c>
      <c r="AI654">
        <f>IF($C654="","",IF(OR($N654=TRUE(),$N654="TRUE"),1,0))</f>
        <v/>
      </c>
      <c r="AJ654">
        <f>IF($C654="","",IF($T654="Yes",1,0))</f>
        <v/>
      </c>
      <c r="AK654">
        <f>IF($AG654=1,IFERROR(IF(VALUE($C654)&lt;100000000,VALUE($C654),1000000000),IFERROR(IF(VALUE(MID($C654,2,20))&lt;100000000,VALUE(MID($C654,2,20)),1000000000),1000000000))+ROW()/100000,"")</f>
        <v/>
      </c>
    </row>
    <row r="655">
      <c r="D655" s="11" t="n"/>
      <c r="K655" s="7">
        <f>IF($C655="","",J655*W655/100)</f>
        <v/>
      </c>
      <c r="Q655" s="7" t="n"/>
      <c r="R655" s="7" t="n"/>
      <c r="U655">
        <f>IF($C655="","",IF($AJ655=1,0,IF($AI655=1,Settings!$C$6,Settings!$C$7))*100)</f>
        <v/>
      </c>
      <c r="V655" s="7">
        <f>IF($C655="","",R655*U655/100)</f>
        <v/>
      </c>
      <c r="W655" s="7">
        <f>IF($C655="","",R655-V655)</f>
        <v/>
      </c>
      <c r="X655" s="7">
        <f>IF($C655="","",W655-K655)</f>
        <v/>
      </c>
      <c r="AB655" s="7" t="n"/>
      <c r="AE655" s="11" t="n"/>
      <c r="AG655">
        <f>IF($C655="","",IF(COUNTIF($C$2:$C655,$C655)=1,1,0))</f>
        <v/>
      </c>
      <c r="AH655">
        <f>IF($AG655=1,SUMPRODUCT(--($AK$2:$AK$6001&lt;$AK655))+1,"")</f>
        <v/>
      </c>
      <c r="AI655">
        <f>IF($C655="","",IF(OR($N655=TRUE(),$N655="TRUE"),1,0))</f>
        <v/>
      </c>
      <c r="AJ655">
        <f>IF($C655="","",IF($T655="Yes",1,0))</f>
        <v/>
      </c>
      <c r="AK655">
        <f>IF($AG655=1,IFERROR(IF(VALUE($C655)&lt;100000000,VALUE($C655),1000000000),IFERROR(IF(VALUE(MID($C655,2,20))&lt;100000000,VALUE(MID($C655,2,20)),1000000000),1000000000))+ROW()/100000,"")</f>
        <v/>
      </c>
    </row>
    <row r="656">
      <c r="D656" s="11" t="n"/>
      <c r="K656" s="7">
        <f>IF($C656="","",J656*W656/100)</f>
        <v/>
      </c>
      <c r="Q656" s="7" t="n"/>
      <c r="R656" s="7" t="n"/>
      <c r="U656">
        <f>IF($C656="","",IF($AJ656=1,0,IF($AI656=1,Settings!$C$6,Settings!$C$7))*100)</f>
        <v/>
      </c>
      <c r="V656" s="7">
        <f>IF($C656="","",R656*U656/100)</f>
        <v/>
      </c>
      <c r="W656" s="7">
        <f>IF($C656="","",R656-V656)</f>
        <v/>
      </c>
      <c r="X656" s="7">
        <f>IF($C656="","",W656-K656)</f>
        <v/>
      </c>
      <c r="AB656" s="7" t="n"/>
      <c r="AE656" s="11" t="n"/>
      <c r="AG656">
        <f>IF($C656="","",IF(COUNTIF($C$2:$C656,$C656)=1,1,0))</f>
        <v/>
      </c>
      <c r="AH656">
        <f>IF($AG656=1,SUMPRODUCT(--($AK$2:$AK$6001&lt;$AK656))+1,"")</f>
        <v/>
      </c>
      <c r="AI656">
        <f>IF($C656="","",IF(OR($N656=TRUE(),$N656="TRUE"),1,0))</f>
        <v/>
      </c>
      <c r="AJ656">
        <f>IF($C656="","",IF($T656="Yes",1,0))</f>
        <v/>
      </c>
      <c r="AK656">
        <f>IF($AG656=1,IFERROR(IF(VALUE($C656)&lt;100000000,VALUE($C656),1000000000),IFERROR(IF(VALUE(MID($C656,2,20))&lt;100000000,VALUE(MID($C656,2,20)),1000000000),1000000000))+ROW()/100000,"")</f>
        <v/>
      </c>
    </row>
    <row r="657">
      <c r="D657" s="11" t="n"/>
      <c r="K657" s="7">
        <f>IF($C657="","",J657*W657/100)</f>
        <v/>
      </c>
      <c r="Q657" s="7" t="n"/>
      <c r="R657" s="7" t="n"/>
      <c r="U657">
        <f>IF($C657="","",IF($AJ657=1,0,IF($AI657=1,Settings!$C$6,Settings!$C$7))*100)</f>
        <v/>
      </c>
      <c r="V657" s="7">
        <f>IF($C657="","",R657*U657/100)</f>
        <v/>
      </c>
      <c r="W657" s="7">
        <f>IF($C657="","",R657-V657)</f>
        <v/>
      </c>
      <c r="X657" s="7">
        <f>IF($C657="","",W657-K657)</f>
        <v/>
      </c>
      <c r="AB657" s="7" t="n"/>
      <c r="AE657" s="11" t="n"/>
      <c r="AG657">
        <f>IF($C657="","",IF(COUNTIF($C$2:$C657,$C657)=1,1,0))</f>
        <v/>
      </c>
      <c r="AH657">
        <f>IF($AG657=1,SUMPRODUCT(--($AK$2:$AK$6001&lt;$AK657))+1,"")</f>
        <v/>
      </c>
      <c r="AI657">
        <f>IF($C657="","",IF(OR($N657=TRUE(),$N657="TRUE"),1,0))</f>
        <v/>
      </c>
      <c r="AJ657">
        <f>IF($C657="","",IF($T657="Yes",1,0))</f>
        <v/>
      </c>
      <c r="AK657">
        <f>IF($AG657=1,IFERROR(IF(VALUE($C657)&lt;100000000,VALUE($C657),1000000000),IFERROR(IF(VALUE(MID($C657,2,20))&lt;100000000,VALUE(MID($C657,2,20)),1000000000),1000000000))+ROW()/100000,"")</f>
        <v/>
      </c>
    </row>
    <row r="658">
      <c r="D658" s="11" t="n"/>
      <c r="K658" s="7">
        <f>IF($C658="","",J658*W658/100)</f>
        <v/>
      </c>
      <c r="Q658" s="7" t="n"/>
      <c r="R658" s="7" t="n"/>
      <c r="U658">
        <f>IF($C658="","",IF($AJ658=1,0,IF($AI658=1,Settings!$C$6,Settings!$C$7))*100)</f>
        <v/>
      </c>
      <c r="V658" s="7">
        <f>IF($C658="","",R658*U658/100)</f>
        <v/>
      </c>
      <c r="W658" s="7">
        <f>IF($C658="","",R658-V658)</f>
        <v/>
      </c>
      <c r="X658" s="7">
        <f>IF($C658="","",W658-K658)</f>
        <v/>
      </c>
      <c r="AB658" s="7" t="n"/>
      <c r="AE658" s="11" t="n"/>
      <c r="AG658">
        <f>IF($C658="","",IF(COUNTIF($C$2:$C658,$C658)=1,1,0))</f>
        <v/>
      </c>
      <c r="AH658">
        <f>IF($AG658=1,SUMPRODUCT(--($AK$2:$AK$6001&lt;$AK658))+1,"")</f>
        <v/>
      </c>
      <c r="AI658">
        <f>IF($C658="","",IF(OR($N658=TRUE(),$N658="TRUE"),1,0))</f>
        <v/>
      </c>
      <c r="AJ658">
        <f>IF($C658="","",IF($T658="Yes",1,0))</f>
        <v/>
      </c>
      <c r="AK658">
        <f>IF($AG658=1,IFERROR(IF(VALUE($C658)&lt;100000000,VALUE($C658),1000000000),IFERROR(IF(VALUE(MID($C658,2,20))&lt;100000000,VALUE(MID($C658,2,20)),1000000000),1000000000))+ROW()/100000,"")</f>
        <v/>
      </c>
    </row>
    <row r="659">
      <c r="D659" s="11" t="n"/>
      <c r="K659" s="7">
        <f>IF($C659="","",J659*W659/100)</f>
        <v/>
      </c>
      <c r="Q659" s="7" t="n"/>
      <c r="R659" s="7" t="n"/>
      <c r="U659">
        <f>IF($C659="","",IF($AJ659=1,0,IF($AI659=1,Settings!$C$6,Settings!$C$7))*100)</f>
        <v/>
      </c>
      <c r="V659" s="7">
        <f>IF($C659="","",R659*U659/100)</f>
        <v/>
      </c>
      <c r="W659" s="7">
        <f>IF($C659="","",R659-V659)</f>
        <v/>
      </c>
      <c r="X659" s="7">
        <f>IF($C659="","",W659-K659)</f>
        <v/>
      </c>
      <c r="AB659" s="7" t="n"/>
      <c r="AE659" s="11" t="n"/>
      <c r="AG659">
        <f>IF($C659="","",IF(COUNTIF($C$2:$C659,$C659)=1,1,0))</f>
        <v/>
      </c>
      <c r="AH659">
        <f>IF($AG659=1,SUMPRODUCT(--($AK$2:$AK$6001&lt;$AK659))+1,"")</f>
        <v/>
      </c>
      <c r="AI659">
        <f>IF($C659="","",IF(OR($N659=TRUE(),$N659="TRUE"),1,0))</f>
        <v/>
      </c>
      <c r="AJ659">
        <f>IF($C659="","",IF($T659="Yes",1,0))</f>
        <v/>
      </c>
      <c r="AK659">
        <f>IF($AG659=1,IFERROR(IF(VALUE($C659)&lt;100000000,VALUE($C659),1000000000),IFERROR(IF(VALUE(MID($C659,2,20))&lt;100000000,VALUE(MID($C659,2,20)),1000000000),1000000000))+ROW()/100000,"")</f>
        <v/>
      </c>
    </row>
    <row r="660">
      <c r="D660" s="11" t="n"/>
      <c r="K660" s="7">
        <f>IF($C660="","",J660*W660/100)</f>
        <v/>
      </c>
      <c r="Q660" s="7" t="n"/>
      <c r="R660" s="7" t="n"/>
      <c r="U660">
        <f>IF($C660="","",IF($AJ660=1,0,IF($AI660=1,Settings!$C$6,Settings!$C$7))*100)</f>
        <v/>
      </c>
      <c r="V660" s="7">
        <f>IF($C660="","",R660*U660/100)</f>
        <v/>
      </c>
      <c r="W660" s="7">
        <f>IF($C660="","",R660-V660)</f>
        <v/>
      </c>
      <c r="X660" s="7">
        <f>IF($C660="","",W660-K660)</f>
        <v/>
      </c>
      <c r="AB660" s="7" t="n"/>
      <c r="AE660" s="11" t="n"/>
      <c r="AG660">
        <f>IF($C660="","",IF(COUNTIF($C$2:$C660,$C660)=1,1,0))</f>
        <v/>
      </c>
      <c r="AH660">
        <f>IF($AG660=1,SUMPRODUCT(--($AK$2:$AK$6001&lt;$AK660))+1,"")</f>
        <v/>
      </c>
      <c r="AI660">
        <f>IF($C660="","",IF(OR($N660=TRUE(),$N660="TRUE"),1,0))</f>
        <v/>
      </c>
      <c r="AJ660">
        <f>IF($C660="","",IF($T660="Yes",1,0))</f>
        <v/>
      </c>
      <c r="AK660">
        <f>IF($AG660=1,IFERROR(IF(VALUE($C660)&lt;100000000,VALUE($C660),1000000000),IFERROR(IF(VALUE(MID($C660,2,20))&lt;100000000,VALUE(MID($C660,2,20)),1000000000),1000000000))+ROW()/100000,"")</f>
        <v/>
      </c>
    </row>
    <row r="661">
      <c r="D661" s="11" t="n"/>
      <c r="K661" s="7">
        <f>IF($C661="","",J661*W661/100)</f>
        <v/>
      </c>
      <c r="Q661" s="7" t="n"/>
      <c r="R661" s="7" t="n"/>
      <c r="U661">
        <f>IF($C661="","",IF($AJ661=1,0,IF($AI661=1,Settings!$C$6,Settings!$C$7))*100)</f>
        <v/>
      </c>
      <c r="V661" s="7">
        <f>IF($C661="","",R661*U661/100)</f>
        <v/>
      </c>
      <c r="W661" s="7">
        <f>IF($C661="","",R661-V661)</f>
        <v/>
      </c>
      <c r="X661" s="7">
        <f>IF($C661="","",W661-K661)</f>
        <v/>
      </c>
      <c r="AB661" s="7" t="n"/>
      <c r="AE661" s="11" t="n"/>
      <c r="AG661">
        <f>IF($C661="","",IF(COUNTIF($C$2:$C661,$C661)=1,1,0))</f>
        <v/>
      </c>
      <c r="AH661">
        <f>IF($AG661=1,SUMPRODUCT(--($AK$2:$AK$6001&lt;$AK661))+1,"")</f>
        <v/>
      </c>
      <c r="AI661">
        <f>IF($C661="","",IF(OR($N661=TRUE(),$N661="TRUE"),1,0))</f>
        <v/>
      </c>
      <c r="AJ661">
        <f>IF($C661="","",IF($T661="Yes",1,0))</f>
        <v/>
      </c>
      <c r="AK661">
        <f>IF($AG661=1,IFERROR(IF(VALUE($C661)&lt;100000000,VALUE($C661),1000000000),IFERROR(IF(VALUE(MID($C661,2,20))&lt;100000000,VALUE(MID($C661,2,20)),1000000000),1000000000))+ROW()/100000,"")</f>
        <v/>
      </c>
    </row>
    <row r="662">
      <c r="D662" s="11" t="n"/>
      <c r="K662" s="7">
        <f>IF($C662="","",J662*W662/100)</f>
        <v/>
      </c>
      <c r="Q662" s="7" t="n"/>
      <c r="R662" s="7" t="n"/>
      <c r="U662">
        <f>IF($C662="","",IF($AJ662=1,0,IF($AI662=1,Settings!$C$6,Settings!$C$7))*100)</f>
        <v/>
      </c>
      <c r="V662" s="7">
        <f>IF($C662="","",R662*U662/100)</f>
        <v/>
      </c>
      <c r="W662" s="7">
        <f>IF($C662="","",R662-V662)</f>
        <v/>
      </c>
      <c r="X662" s="7">
        <f>IF($C662="","",W662-K662)</f>
        <v/>
      </c>
      <c r="AB662" s="7" t="n"/>
      <c r="AE662" s="11" t="n"/>
      <c r="AG662">
        <f>IF($C662="","",IF(COUNTIF($C$2:$C662,$C662)=1,1,0))</f>
        <v/>
      </c>
      <c r="AH662">
        <f>IF($AG662=1,SUMPRODUCT(--($AK$2:$AK$6001&lt;$AK662))+1,"")</f>
        <v/>
      </c>
      <c r="AI662">
        <f>IF($C662="","",IF(OR($N662=TRUE(),$N662="TRUE"),1,0))</f>
        <v/>
      </c>
      <c r="AJ662">
        <f>IF($C662="","",IF($T662="Yes",1,0))</f>
        <v/>
      </c>
      <c r="AK662">
        <f>IF($AG662=1,IFERROR(IF(VALUE($C662)&lt;100000000,VALUE($C662),1000000000),IFERROR(IF(VALUE(MID($C662,2,20))&lt;100000000,VALUE(MID($C662,2,20)),1000000000),1000000000))+ROW()/100000,"")</f>
        <v/>
      </c>
    </row>
    <row r="663">
      <c r="D663" s="11" t="n"/>
      <c r="K663" s="7">
        <f>IF($C663="","",J663*W663/100)</f>
        <v/>
      </c>
      <c r="Q663" s="7" t="n"/>
      <c r="R663" s="7" t="n"/>
      <c r="U663">
        <f>IF($C663="","",IF($AJ663=1,0,IF($AI663=1,Settings!$C$6,Settings!$C$7))*100)</f>
        <v/>
      </c>
      <c r="V663" s="7">
        <f>IF($C663="","",R663*U663/100)</f>
        <v/>
      </c>
      <c r="W663" s="7">
        <f>IF($C663="","",R663-V663)</f>
        <v/>
      </c>
      <c r="X663" s="7">
        <f>IF($C663="","",W663-K663)</f>
        <v/>
      </c>
      <c r="AB663" s="7" t="n"/>
      <c r="AE663" s="11" t="n"/>
      <c r="AG663">
        <f>IF($C663="","",IF(COUNTIF($C$2:$C663,$C663)=1,1,0))</f>
        <v/>
      </c>
      <c r="AH663">
        <f>IF($AG663=1,SUMPRODUCT(--($AK$2:$AK$6001&lt;$AK663))+1,"")</f>
        <v/>
      </c>
      <c r="AI663">
        <f>IF($C663="","",IF(OR($N663=TRUE(),$N663="TRUE"),1,0))</f>
        <v/>
      </c>
      <c r="AJ663">
        <f>IF($C663="","",IF($T663="Yes",1,0))</f>
        <v/>
      </c>
      <c r="AK663">
        <f>IF($AG663=1,IFERROR(IF(VALUE($C663)&lt;100000000,VALUE($C663),1000000000),IFERROR(IF(VALUE(MID($C663,2,20))&lt;100000000,VALUE(MID($C663,2,20)),1000000000),1000000000))+ROW()/100000,"")</f>
        <v/>
      </c>
    </row>
    <row r="664">
      <c r="D664" s="11" t="n"/>
      <c r="K664" s="7">
        <f>IF($C664="","",J664*W664/100)</f>
        <v/>
      </c>
      <c r="Q664" s="7" t="n"/>
      <c r="R664" s="7" t="n"/>
      <c r="U664">
        <f>IF($C664="","",IF($AJ664=1,0,IF($AI664=1,Settings!$C$6,Settings!$C$7))*100)</f>
        <v/>
      </c>
      <c r="V664" s="7">
        <f>IF($C664="","",R664*U664/100)</f>
        <v/>
      </c>
      <c r="W664" s="7">
        <f>IF($C664="","",R664-V664)</f>
        <v/>
      </c>
      <c r="X664" s="7">
        <f>IF($C664="","",W664-K664)</f>
        <v/>
      </c>
      <c r="AB664" s="7" t="n"/>
      <c r="AE664" s="11" t="n"/>
      <c r="AG664">
        <f>IF($C664="","",IF(COUNTIF($C$2:$C664,$C664)=1,1,0))</f>
        <v/>
      </c>
      <c r="AH664">
        <f>IF($AG664=1,SUMPRODUCT(--($AK$2:$AK$6001&lt;$AK664))+1,"")</f>
        <v/>
      </c>
      <c r="AI664">
        <f>IF($C664="","",IF(OR($N664=TRUE(),$N664="TRUE"),1,0))</f>
        <v/>
      </c>
      <c r="AJ664">
        <f>IF($C664="","",IF($T664="Yes",1,0))</f>
        <v/>
      </c>
      <c r="AK664">
        <f>IF($AG664=1,IFERROR(IF(VALUE($C664)&lt;100000000,VALUE($C664),1000000000),IFERROR(IF(VALUE(MID($C664,2,20))&lt;100000000,VALUE(MID($C664,2,20)),1000000000),1000000000))+ROW()/100000,"")</f>
        <v/>
      </c>
    </row>
    <row r="665">
      <c r="D665" s="11" t="n"/>
      <c r="K665" s="7">
        <f>IF($C665="","",J665*W665/100)</f>
        <v/>
      </c>
      <c r="Q665" s="7" t="n"/>
      <c r="R665" s="7" t="n"/>
      <c r="U665">
        <f>IF($C665="","",IF($AJ665=1,0,IF($AI665=1,Settings!$C$6,Settings!$C$7))*100)</f>
        <v/>
      </c>
      <c r="V665" s="7">
        <f>IF($C665="","",R665*U665/100)</f>
        <v/>
      </c>
      <c r="W665" s="7">
        <f>IF($C665="","",R665-V665)</f>
        <v/>
      </c>
      <c r="X665" s="7">
        <f>IF($C665="","",W665-K665)</f>
        <v/>
      </c>
      <c r="AB665" s="7" t="n"/>
      <c r="AE665" s="11" t="n"/>
      <c r="AG665">
        <f>IF($C665="","",IF(COUNTIF($C$2:$C665,$C665)=1,1,0))</f>
        <v/>
      </c>
      <c r="AH665">
        <f>IF($AG665=1,SUMPRODUCT(--($AK$2:$AK$6001&lt;$AK665))+1,"")</f>
        <v/>
      </c>
      <c r="AI665">
        <f>IF($C665="","",IF(OR($N665=TRUE(),$N665="TRUE"),1,0))</f>
        <v/>
      </c>
      <c r="AJ665">
        <f>IF($C665="","",IF($T665="Yes",1,0))</f>
        <v/>
      </c>
      <c r="AK665">
        <f>IF($AG665=1,IFERROR(IF(VALUE($C665)&lt;100000000,VALUE($C665),1000000000),IFERROR(IF(VALUE(MID($C665,2,20))&lt;100000000,VALUE(MID($C665,2,20)),1000000000),1000000000))+ROW()/100000,"")</f>
        <v/>
      </c>
    </row>
    <row r="666">
      <c r="D666" s="11" t="n"/>
      <c r="K666" s="7">
        <f>IF($C666="","",J666*W666/100)</f>
        <v/>
      </c>
      <c r="Q666" s="7" t="n"/>
      <c r="R666" s="7" t="n"/>
      <c r="U666">
        <f>IF($C666="","",IF($AJ666=1,0,IF($AI666=1,Settings!$C$6,Settings!$C$7))*100)</f>
        <v/>
      </c>
      <c r="V666" s="7">
        <f>IF($C666="","",R666*U666/100)</f>
        <v/>
      </c>
      <c r="W666" s="7">
        <f>IF($C666="","",R666-V666)</f>
        <v/>
      </c>
      <c r="X666" s="7">
        <f>IF($C666="","",W666-K666)</f>
        <v/>
      </c>
      <c r="AB666" s="7" t="n"/>
      <c r="AE666" s="11" t="n"/>
      <c r="AG666">
        <f>IF($C666="","",IF(COUNTIF($C$2:$C666,$C666)=1,1,0))</f>
        <v/>
      </c>
      <c r="AH666">
        <f>IF($AG666=1,SUMPRODUCT(--($AK$2:$AK$6001&lt;$AK666))+1,"")</f>
        <v/>
      </c>
      <c r="AI666">
        <f>IF($C666="","",IF(OR($N666=TRUE(),$N666="TRUE"),1,0))</f>
        <v/>
      </c>
      <c r="AJ666">
        <f>IF($C666="","",IF($T666="Yes",1,0))</f>
        <v/>
      </c>
      <c r="AK666">
        <f>IF($AG666=1,IFERROR(IF(VALUE($C666)&lt;100000000,VALUE($C666),1000000000),IFERROR(IF(VALUE(MID($C666,2,20))&lt;100000000,VALUE(MID($C666,2,20)),1000000000),1000000000))+ROW()/100000,"")</f>
        <v/>
      </c>
    </row>
    <row r="667">
      <c r="D667" s="11" t="n"/>
      <c r="K667" s="7">
        <f>IF($C667="","",J667*W667/100)</f>
        <v/>
      </c>
      <c r="Q667" s="7" t="n"/>
      <c r="R667" s="7" t="n"/>
      <c r="U667">
        <f>IF($C667="","",IF($AJ667=1,0,IF($AI667=1,Settings!$C$6,Settings!$C$7))*100)</f>
        <v/>
      </c>
      <c r="V667" s="7">
        <f>IF($C667="","",R667*U667/100)</f>
        <v/>
      </c>
      <c r="W667" s="7">
        <f>IF($C667="","",R667-V667)</f>
        <v/>
      </c>
      <c r="X667" s="7">
        <f>IF($C667="","",W667-K667)</f>
        <v/>
      </c>
      <c r="AB667" s="7" t="n"/>
      <c r="AE667" s="11" t="n"/>
      <c r="AG667">
        <f>IF($C667="","",IF(COUNTIF($C$2:$C667,$C667)=1,1,0))</f>
        <v/>
      </c>
      <c r="AH667">
        <f>IF($AG667=1,SUMPRODUCT(--($AK$2:$AK$6001&lt;$AK667))+1,"")</f>
        <v/>
      </c>
      <c r="AI667">
        <f>IF($C667="","",IF(OR($N667=TRUE(),$N667="TRUE"),1,0))</f>
        <v/>
      </c>
      <c r="AJ667">
        <f>IF($C667="","",IF($T667="Yes",1,0))</f>
        <v/>
      </c>
      <c r="AK667">
        <f>IF($AG667=1,IFERROR(IF(VALUE($C667)&lt;100000000,VALUE($C667),1000000000),IFERROR(IF(VALUE(MID($C667,2,20))&lt;100000000,VALUE(MID($C667,2,20)),1000000000),1000000000))+ROW()/100000,"")</f>
        <v/>
      </c>
    </row>
    <row r="668">
      <c r="D668" s="11" t="n"/>
      <c r="K668" s="7">
        <f>IF($C668="","",J668*W668/100)</f>
        <v/>
      </c>
      <c r="Q668" s="7" t="n"/>
      <c r="R668" s="7" t="n"/>
      <c r="U668">
        <f>IF($C668="","",IF($AJ668=1,0,IF($AI668=1,Settings!$C$6,Settings!$C$7))*100)</f>
        <v/>
      </c>
      <c r="V668" s="7">
        <f>IF($C668="","",R668*U668/100)</f>
        <v/>
      </c>
      <c r="W668" s="7">
        <f>IF($C668="","",R668-V668)</f>
        <v/>
      </c>
      <c r="X668" s="7">
        <f>IF($C668="","",W668-K668)</f>
        <v/>
      </c>
      <c r="AB668" s="7" t="n"/>
      <c r="AE668" s="11" t="n"/>
      <c r="AG668">
        <f>IF($C668="","",IF(COUNTIF($C$2:$C668,$C668)=1,1,0))</f>
        <v/>
      </c>
      <c r="AH668">
        <f>IF($AG668=1,SUMPRODUCT(--($AK$2:$AK$6001&lt;$AK668))+1,"")</f>
        <v/>
      </c>
      <c r="AI668">
        <f>IF($C668="","",IF(OR($N668=TRUE(),$N668="TRUE"),1,0))</f>
        <v/>
      </c>
      <c r="AJ668">
        <f>IF($C668="","",IF($T668="Yes",1,0))</f>
        <v/>
      </c>
      <c r="AK668">
        <f>IF($AG668=1,IFERROR(IF(VALUE($C668)&lt;100000000,VALUE($C668),1000000000),IFERROR(IF(VALUE(MID($C668,2,20))&lt;100000000,VALUE(MID($C668,2,20)),1000000000),1000000000))+ROW()/100000,"")</f>
        <v/>
      </c>
    </row>
    <row r="669">
      <c r="D669" s="11" t="n"/>
      <c r="K669" s="7">
        <f>IF($C669="","",J669*W669/100)</f>
        <v/>
      </c>
      <c r="Q669" s="7" t="n"/>
      <c r="R669" s="7" t="n"/>
      <c r="U669">
        <f>IF($C669="","",IF($AJ669=1,0,IF($AI669=1,Settings!$C$6,Settings!$C$7))*100)</f>
        <v/>
      </c>
      <c r="V669" s="7">
        <f>IF($C669="","",R669*U669/100)</f>
        <v/>
      </c>
      <c r="W669" s="7">
        <f>IF($C669="","",R669-V669)</f>
        <v/>
      </c>
      <c r="X669" s="7">
        <f>IF($C669="","",W669-K669)</f>
        <v/>
      </c>
      <c r="AB669" s="7" t="n"/>
      <c r="AE669" s="11" t="n"/>
      <c r="AG669">
        <f>IF($C669="","",IF(COUNTIF($C$2:$C669,$C669)=1,1,0))</f>
        <v/>
      </c>
      <c r="AH669">
        <f>IF($AG669=1,SUMPRODUCT(--($AK$2:$AK$6001&lt;$AK669))+1,"")</f>
        <v/>
      </c>
      <c r="AI669">
        <f>IF($C669="","",IF(OR($N669=TRUE(),$N669="TRUE"),1,0))</f>
        <v/>
      </c>
      <c r="AJ669">
        <f>IF($C669="","",IF($T669="Yes",1,0))</f>
        <v/>
      </c>
      <c r="AK669">
        <f>IF($AG669=1,IFERROR(IF(VALUE($C669)&lt;100000000,VALUE($C669),1000000000),IFERROR(IF(VALUE(MID($C669,2,20))&lt;100000000,VALUE(MID($C669,2,20)),1000000000),1000000000))+ROW()/100000,"")</f>
        <v/>
      </c>
    </row>
    <row r="670">
      <c r="D670" s="11" t="n"/>
      <c r="K670" s="7">
        <f>IF($C670="","",J670*W670/100)</f>
        <v/>
      </c>
      <c r="Q670" s="7" t="n"/>
      <c r="R670" s="7" t="n"/>
      <c r="U670">
        <f>IF($C670="","",IF($AJ670=1,0,IF($AI670=1,Settings!$C$6,Settings!$C$7))*100)</f>
        <v/>
      </c>
      <c r="V670" s="7">
        <f>IF($C670="","",R670*U670/100)</f>
        <v/>
      </c>
      <c r="W670" s="7">
        <f>IF($C670="","",R670-V670)</f>
        <v/>
      </c>
      <c r="X670" s="7">
        <f>IF($C670="","",W670-K670)</f>
        <v/>
      </c>
      <c r="AB670" s="7" t="n"/>
      <c r="AE670" s="11" t="n"/>
      <c r="AG670">
        <f>IF($C670="","",IF(COUNTIF($C$2:$C670,$C670)=1,1,0))</f>
        <v/>
      </c>
      <c r="AH670">
        <f>IF($AG670=1,SUMPRODUCT(--($AK$2:$AK$6001&lt;$AK670))+1,"")</f>
        <v/>
      </c>
      <c r="AI670">
        <f>IF($C670="","",IF(OR($N670=TRUE(),$N670="TRUE"),1,0))</f>
        <v/>
      </c>
      <c r="AJ670">
        <f>IF($C670="","",IF($T670="Yes",1,0))</f>
        <v/>
      </c>
      <c r="AK670">
        <f>IF($AG670=1,IFERROR(IF(VALUE($C670)&lt;100000000,VALUE($C670),1000000000),IFERROR(IF(VALUE(MID($C670,2,20))&lt;100000000,VALUE(MID($C670,2,20)),1000000000),1000000000))+ROW()/100000,"")</f>
        <v/>
      </c>
    </row>
    <row r="671">
      <c r="D671" s="11" t="n"/>
      <c r="K671" s="7">
        <f>IF($C671="","",J671*W671/100)</f>
        <v/>
      </c>
      <c r="Q671" s="7" t="n"/>
      <c r="R671" s="7" t="n"/>
      <c r="U671">
        <f>IF($C671="","",IF($AJ671=1,0,IF($AI671=1,Settings!$C$6,Settings!$C$7))*100)</f>
        <v/>
      </c>
      <c r="V671" s="7">
        <f>IF($C671="","",R671*U671/100)</f>
        <v/>
      </c>
      <c r="W671" s="7">
        <f>IF($C671="","",R671-V671)</f>
        <v/>
      </c>
      <c r="X671" s="7">
        <f>IF($C671="","",W671-K671)</f>
        <v/>
      </c>
      <c r="AB671" s="7" t="n"/>
      <c r="AE671" s="11" t="n"/>
      <c r="AG671">
        <f>IF($C671="","",IF(COUNTIF($C$2:$C671,$C671)=1,1,0))</f>
        <v/>
      </c>
      <c r="AH671">
        <f>IF($AG671=1,SUMPRODUCT(--($AK$2:$AK$6001&lt;$AK671))+1,"")</f>
        <v/>
      </c>
      <c r="AI671">
        <f>IF($C671="","",IF(OR($N671=TRUE(),$N671="TRUE"),1,0))</f>
        <v/>
      </c>
      <c r="AJ671">
        <f>IF($C671="","",IF($T671="Yes",1,0))</f>
        <v/>
      </c>
      <c r="AK671">
        <f>IF($AG671=1,IFERROR(IF(VALUE($C671)&lt;100000000,VALUE($C671),1000000000),IFERROR(IF(VALUE(MID($C671,2,20))&lt;100000000,VALUE(MID($C671,2,20)),1000000000),1000000000))+ROW()/100000,"")</f>
        <v/>
      </c>
    </row>
    <row r="672">
      <c r="D672" s="11" t="n"/>
      <c r="K672" s="7">
        <f>IF($C672="","",J672*W672/100)</f>
        <v/>
      </c>
      <c r="Q672" s="7" t="n"/>
      <c r="R672" s="7" t="n"/>
      <c r="U672">
        <f>IF($C672="","",IF($AJ672=1,0,IF($AI672=1,Settings!$C$6,Settings!$C$7))*100)</f>
        <v/>
      </c>
      <c r="V672" s="7">
        <f>IF($C672="","",R672*U672/100)</f>
        <v/>
      </c>
      <c r="W672" s="7">
        <f>IF($C672="","",R672-V672)</f>
        <v/>
      </c>
      <c r="X672" s="7">
        <f>IF($C672="","",W672-K672)</f>
        <v/>
      </c>
      <c r="AB672" s="7" t="n"/>
      <c r="AE672" s="11" t="n"/>
      <c r="AG672">
        <f>IF($C672="","",IF(COUNTIF($C$2:$C672,$C672)=1,1,0))</f>
        <v/>
      </c>
      <c r="AH672">
        <f>IF($AG672=1,SUMPRODUCT(--($AK$2:$AK$6001&lt;$AK672))+1,"")</f>
        <v/>
      </c>
      <c r="AI672">
        <f>IF($C672="","",IF(OR($N672=TRUE(),$N672="TRUE"),1,0))</f>
        <v/>
      </c>
      <c r="AJ672">
        <f>IF($C672="","",IF($T672="Yes",1,0))</f>
        <v/>
      </c>
      <c r="AK672">
        <f>IF($AG672=1,IFERROR(IF(VALUE($C672)&lt;100000000,VALUE($C672),1000000000),IFERROR(IF(VALUE(MID($C672,2,20))&lt;100000000,VALUE(MID($C672,2,20)),1000000000),1000000000))+ROW()/100000,"")</f>
        <v/>
      </c>
    </row>
    <row r="673">
      <c r="D673" s="11" t="n"/>
      <c r="K673" s="7">
        <f>IF($C673="","",J673*W673/100)</f>
        <v/>
      </c>
      <c r="Q673" s="7" t="n"/>
      <c r="R673" s="7" t="n"/>
      <c r="U673">
        <f>IF($C673="","",IF($AJ673=1,0,IF($AI673=1,Settings!$C$6,Settings!$C$7))*100)</f>
        <v/>
      </c>
      <c r="V673" s="7">
        <f>IF($C673="","",R673*U673/100)</f>
        <v/>
      </c>
      <c r="W673" s="7">
        <f>IF($C673="","",R673-V673)</f>
        <v/>
      </c>
      <c r="X673" s="7">
        <f>IF($C673="","",W673-K673)</f>
        <v/>
      </c>
      <c r="AB673" s="7" t="n"/>
      <c r="AE673" s="11" t="n"/>
      <c r="AG673">
        <f>IF($C673="","",IF(COUNTIF($C$2:$C673,$C673)=1,1,0))</f>
        <v/>
      </c>
      <c r="AH673">
        <f>IF($AG673=1,SUMPRODUCT(--($AK$2:$AK$6001&lt;$AK673))+1,"")</f>
        <v/>
      </c>
      <c r="AI673">
        <f>IF($C673="","",IF(OR($N673=TRUE(),$N673="TRUE"),1,0))</f>
        <v/>
      </c>
      <c r="AJ673">
        <f>IF($C673="","",IF($T673="Yes",1,0))</f>
        <v/>
      </c>
      <c r="AK673">
        <f>IF($AG673=1,IFERROR(IF(VALUE($C673)&lt;100000000,VALUE($C673),1000000000),IFERROR(IF(VALUE(MID($C673,2,20))&lt;100000000,VALUE(MID($C673,2,20)),1000000000),1000000000))+ROW()/100000,"")</f>
        <v/>
      </c>
    </row>
    <row r="674">
      <c r="D674" s="11" t="n"/>
      <c r="K674" s="7">
        <f>IF($C674="","",J674*W674/100)</f>
        <v/>
      </c>
      <c r="Q674" s="7" t="n"/>
      <c r="R674" s="7" t="n"/>
      <c r="U674">
        <f>IF($C674="","",IF($AJ674=1,0,IF($AI674=1,Settings!$C$6,Settings!$C$7))*100)</f>
        <v/>
      </c>
      <c r="V674" s="7">
        <f>IF($C674="","",R674*U674/100)</f>
        <v/>
      </c>
      <c r="W674" s="7">
        <f>IF($C674="","",R674-V674)</f>
        <v/>
      </c>
      <c r="X674" s="7">
        <f>IF($C674="","",W674-K674)</f>
        <v/>
      </c>
      <c r="AB674" s="7" t="n"/>
      <c r="AE674" s="11" t="n"/>
      <c r="AG674">
        <f>IF($C674="","",IF(COUNTIF($C$2:$C674,$C674)=1,1,0))</f>
        <v/>
      </c>
      <c r="AH674">
        <f>IF($AG674=1,SUMPRODUCT(--($AK$2:$AK$6001&lt;$AK674))+1,"")</f>
        <v/>
      </c>
      <c r="AI674">
        <f>IF($C674="","",IF(OR($N674=TRUE(),$N674="TRUE"),1,0))</f>
        <v/>
      </c>
      <c r="AJ674">
        <f>IF($C674="","",IF($T674="Yes",1,0))</f>
        <v/>
      </c>
      <c r="AK674">
        <f>IF($AG674=1,IFERROR(IF(VALUE($C674)&lt;100000000,VALUE($C674),1000000000),IFERROR(IF(VALUE(MID($C674,2,20))&lt;100000000,VALUE(MID($C674,2,20)),1000000000),1000000000))+ROW()/100000,"")</f>
        <v/>
      </c>
    </row>
    <row r="675">
      <c r="D675" s="11" t="n"/>
      <c r="K675" s="7">
        <f>IF($C675="","",J675*W675/100)</f>
        <v/>
      </c>
      <c r="Q675" s="7" t="n"/>
      <c r="R675" s="7" t="n"/>
      <c r="U675">
        <f>IF($C675="","",IF($AJ675=1,0,IF($AI675=1,Settings!$C$6,Settings!$C$7))*100)</f>
        <v/>
      </c>
      <c r="V675" s="7">
        <f>IF($C675="","",R675*U675/100)</f>
        <v/>
      </c>
      <c r="W675" s="7">
        <f>IF($C675="","",R675-V675)</f>
        <v/>
      </c>
      <c r="X675" s="7">
        <f>IF($C675="","",W675-K675)</f>
        <v/>
      </c>
      <c r="AB675" s="7" t="n"/>
      <c r="AE675" s="11" t="n"/>
      <c r="AG675">
        <f>IF($C675="","",IF(COUNTIF($C$2:$C675,$C675)=1,1,0))</f>
        <v/>
      </c>
      <c r="AH675">
        <f>IF($AG675=1,SUMPRODUCT(--($AK$2:$AK$6001&lt;$AK675))+1,"")</f>
        <v/>
      </c>
      <c r="AI675">
        <f>IF($C675="","",IF(OR($N675=TRUE(),$N675="TRUE"),1,0))</f>
        <v/>
      </c>
      <c r="AJ675">
        <f>IF($C675="","",IF($T675="Yes",1,0))</f>
        <v/>
      </c>
      <c r="AK675">
        <f>IF($AG675=1,IFERROR(IF(VALUE($C675)&lt;100000000,VALUE($C675),1000000000),IFERROR(IF(VALUE(MID($C675,2,20))&lt;100000000,VALUE(MID($C675,2,20)),1000000000),1000000000))+ROW()/100000,"")</f>
        <v/>
      </c>
    </row>
    <row r="676">
      <c r="D676" s="11" t="n"/>
      <c r="K676" s="7">
        <f>IF($C676="","",J676*W676/100)</f>
        <v/>
      </c>
      <c r="Q676" s="7" t="n"/>
      <c r="R676" s="7" t="n"/>
      <c r="U676">
        <f>IF($C676="","",IF($AJ676=1,0,IF($AI676=1,Settings!$C$6,Settings!$C$7))*100)</f>
        <v/>
      </c>
      <c r="V676" s="7">
        <f>IF($C676="","",R676*U676/100)</f>
        <v/>
      </c>
      <c r="W676" s="7">
        <f>IF($C676="","",R676-V676)</f>
        <v/>
      </c>
      <c r="X676" s="7">
        <f>IF($C676="","",W676-K676)</f>
        <v/>
      </c>
      <c r="AB676" s="7" t="n"/>
      <c r="AE676" s="11" t="n"/>
      <c r="AG676">
        <f>IF($C676="","",IF(COUNTIF($C$2:$C676,$C676)=1,1,0))</f>
        <v/>
      </c>
      <c r="AH676">
        <f>IF($AG676=1,SUMPRODUCT(--($AK$2:$AK$6001&lt;$AK676))+1,"")</f>
        <v/>
      </c>
      <c r="AI676">
        <f>IF($C676="","",IF(OR($N676=TRUE(),$N676="TRUE"),1,0))</f>
        <v/>
      </c>
      <c r="AJ676">
        <f>IF($C676="","",IF($T676="Yes",1,0))</f>
        <v/>
      </c>
      <c r="AK676">
        <f>IF($AG676=1,IFERROR(IF(VALUE($C676)&lt;100000000,VALUE($C676),1000000000),IFERROR(IF(VALUE(MID($C676,2,20))&lt;100000000,VALUE(MID($C676,2,20)),1000000000),1000000000))+ROW()/100000,"")</f>
        <v/>
      </c>
    </row>
    <row r="677">
      <c r="D677" s="11" t="n"/>
      <c r="K677" s="7">
        <f>IF($C677="","",J677*W677/100)</f>
        <v/>
      </c>
      <c r="Q677" s="7" t="n"/>
      <c r="R677" s="7" t="n"/>
      <c r="U677">
        <f>IF($C677="","",IF($AJ677=1,0,IF($AI677=1,Settings!$C$6,Settings!$C$7))*100)</f>
        <v/>
      </c>
      <c r="V677" s="7">
        <f>IF($C677="","",R677*U677/100)</f>
        <v/>
      </c>
      <c r="W677" s="7">
        <f>IF($C677="","",R677-V677)</f>
        <v/>
      </c>
      <c r="X677" s="7">
        <f>IF($C677="","",W677-K677)</f>
        <v/>
      </c>
      <c r="AB677" s="7" t="n"/>
      <c r="AE677" s="11" t="n"/>
      <c r="AG677">
        <f>IF($C677="","",IF(COUNTIF($C$2:$C677,$C677)=1,1,0))</f>
        <v/>
      </c>
      <c r="AH677">
        <f>IF($AG677=1,SUMPRODUCT(--($AK$2:$AK$6001&lt;$AK677))+1,"")</f>
        <v/>
      </c>
      <c r="AI677">
        <f>IF($C677="","",IF(OR($N677=TRUE(),$N677="TRUE"),1,0))</f>
        <v/>
      </c>
      <c r="AJ677">
        <f>IF($C677="","",IF($T677="Yes",1,0))</f>
        <v/>
      </c>
      <c r="AK677">
        <f>IF($AG677=1,IFERROR(IF(VALUE($C677)&lt;100000000,VALUE($C677),1000000000),IFERROR(IF(VALUE(MID($C677,2,20))&lt;100000000,VALUE(MID($C677,2,20)),1000000000),1000000000))+ROW()/100000,"")</f>
        <v/>
      </c>
    </row>
    <row r="678">
      <c r="D678" s="11" t="n"/>
      <c r="K678" s="7">
        <f>IF($C678="","",J678*W678/100)</f>
        <v/>
      </c>
      <c r="Q678" s="7" t="n"/>
      <c r="R678" s="7" t="n"/>
      <c r="U678">
        <f>IF($C678="","",IF($AJ678=1,0,IF($AI678=1,Settings!$C$6,Settings!$C$7))*100)</f>
        <v/>
      </c>
      <c r="V678" s="7">
        <f>IF($C678="","",R678*U678/100)</f>
        <v/>
      </c>
      <c r="W678" s="7">
        <f>IF($C678="","",R678-V678)</f>
        <v/>
      </c>
      <c r="X678" s="7">
        <f>IF($C678="","",W678-K678)</f>
        <v/>
      </c>
      <c r="AB678" s="7" t="n"/>
      <c r="AE678" s="11" t="n"/>
      <c r="AG678">
        <f>IF($C678="","",IF(COUNTIF($C$2:$C678,$C678)=1,1,0))</f>
        <v/>
      </c>
      <c r="AH678">
        <f>IF($AG678=1,SUMPRODUCT(--($AK$2:$AK$6001&lt;$AK678))+1,"")</f>
        <v/>
      </c>
      <c r="AI678">
        <f>IF($C678="","",IF(OR($N678=TRUE(),$N678="TRUE"),1,0))</f>
        <v/>
      </c>
      <c r="AJ678">
        <f>IF($C678="","",IF($T678="Yes",1,0))</f>
        <v/>
      </c>
      <c r="AK678">
        <f>IF($AG678=1,IFERROR(IF(VALUE($C678)&lt;100000000,VALUE($C678),1000000000),IFERROR(IF(VALUE(MID($C678,2,20))&lt;100000000,VALUE(MID($C678,2,20)),1000000000),1000000000))+ROW()/100000,"")</f>
        <v/>
      </c>
    </row>
    <row r="679">
      <c r="D679" s="11" t="n"/>
      <c r="K679" s="7">
        <f>IF($C679="","",J679*W679/100)</f>
        <v/>
      </c>
      <c r="Q679" s="7" t="n"/>
      <c r="R679" s="7" t="n"/>
      <c r="U679">
        <f>IF($C679="","",IF($AJ679=1,0,IF($AI679=1,Settings!$C$6,Settings!$C$7))*100)</f>
        <v/>
      </c>
      <c r="V679" s="7">
        <f>IF($C679="","",R679*U679/100)</f>
        <v/>
      </c>
      <c r="W679" s="7">
        <f>IF($C679="","",R679-V679)</f>
        <v/>
      </c>
      <c r="X679" s="7">
        <f>IF($C679="","",W679-K679)</f>
        <v/>
      </c>
      <c r="AB679" s="7" t="n"/>
      <c r="AE679" s="11" t="n"/>
      <c r="AG679">
        <f>IF($C679="","",IF(COUNTIF($C$2:$C679,$C679)=1,1,0))</f>
        <v/>
      </c>
      <c r="AH679">
        <f>IF($AG679=1,SUMPRODUCT(--($AK$2:$AK$6001&lt;$AK679))+1,"")</f>
        <v/>
      </c>
      <c r="AI679">
        <f>IF($C679="","",IF(OR($N679=TRUE(),$N679="TRUE"),1,0))</f>
        <v/>
      </c>
      <c r="AJ679">
        <f>IF($C679="","",IF($T679="Yes",1,0))</f>
        <v/>
      </c>
      <c r="AK679">
        <f>IF($AG679=1,IFERROR(IF(VALUE($C679)&lt;100000000,VALUE($C679),1000000000),IFERROR(IF(VALUE(MID($C679,2,20))&lt;100000000,VALUE(MID($C679,2,20)),1000000000),1000000000))+ROW()/100000,"")</f>
        <v/>
      </c>
    </row>
    <row r="680">
      <c r="D680" s="11" t="n"/>
      <c r="K680" s="7">
        <f>IF($C680="","",J680*W680/100)</f>
        <v/>
      </c>
      <c r="Q680" s="7" t="n"/>
      <c r="R680" s="7" t="n"/>
      <c r="U680">
        <f>IF($C680="","",IF($AJ680=1,0,IF($AI680=1,Settings!$C$6,Settings!$C$7))*100)</f>
        <v/>
      </c>
      <c r="V680" s="7">
        <f>IF($C680="","",R680*U680/100)</f>
        <v/>
      </c>
      <c r="W680" s="7">
        <f>IF($C680="","",R680-V680)</f>
        <v/>
      </c>
      <c r="X680" s="7">
        <f>IF($C680="","",W680-K680)</f>
        <v/>
      </c>
      <c r="AB680" s="7" t="n"/>
      <c r="AE680" s="11" t="n"/>
      <c r="AG680">
        <f>IF($C680="","",IF(COUNTIF($C$2:$C680,$C680)=1,1,0))</f>
        <v/>
      </c>
      <c r="AH680">
        <f>IF($AG680=1,SUMPRODUCT(--($AK$2:$AK$6001&lt;$AK680))+1,"")</f>
        <v/>
      </c>
      <c r="AI680">
        <f>IF($C680="","",IF(OR($N680=TRUE(),$N680="TRUE"),1,0))</f>
        <v/>
      </c>
      <c r="AJ680">
        <f>IF($C680="","",IF($T680="Yes",1,0))</f>
        <v/>
      </c>
      <c r="AK680">
        <f>IF($AG680=1,IFERROR(IF(VALUE($C680)&lt;100000000,VALUE($C680),1000000000),IFERROR(IF(VALUE(MID($C680,2,20))&lt;100000000,VALUE(MID($C680,2,20)),1000000000),1000000000))+ROW()/100000,"")</f>
        <v/>
      </c>
    </row>
    <row r="681">
      <c r="D681" s="11" t="n"/>
      <c r="K681" s="7">
        <f>IF($C681="","",J681*W681/100)</f>
        <v/>
      </c>
      <c r="Q681" s="7" t="n"/>
      <c r="R681" s="7" t="n"/>
      <c r="U681">
        <f>IF($C681="","",IF($AJ681=1,0,IF($AI681=1,Settings!$C$6,Settings!$C$7))*100)</f>
        <v/>
      </c>
      <c r="V681" s="7">
        <f>IF($C681="","",R681*U681/100)</f>
        <v/>
      </c>
      <c r="W681" s="7">
        <f>IF($C681="","",R681-V681)</f>
        <v/>
      </c>
      <c r="X681" s="7">
        <f>IF($C681="","",W681-K681)</f>
        <v/>
      </c>
      <c r="AB681" s="7" t="n"/>
      <c r="AE681" s="11" t="n"/>
      <c r="AG681">
        <f>IF($C681="","",IF(COUNTIF($C$2:$C681,$C681)=1,1,0))</f>
        <v/>
      </c>
      <c r="AH681">
        <f>IF($AG681=1,SUMPRODUCT(--($AK$2:$AK$6001&lt;$AK681))+1,"")</f>
        <v/>
      </c>
      <c r="AI681">
        <f>IF($C681="","",IF(OR($N681=TRUE(),$N681="TRUE"),1,0))</f>
        <v/>
      </c>
      <c r="AJ681">
        <f>IF($C681="","",IF($T681="Yes",1,0))</f>
        <v/>
      </c>
      <c r="AK681">
        <f>IF($AG681=1,IFERROR(IF(VALUE($C681)&lt;100000000,VALUE($C681),1000000000),IFERROR(IF(VALUE(MID($C681,2,20))&lt;100000000,VALUE(MID($C681,2,20)),1000000000),1000000000))+ROW()/100000,"")</f>
        <v/>
      </c>
    </row>
    <row r="682">
      <c r="D682" s="11" t="n"/>
      <c r="K682" s="7">
        <f>IF($C682="","",J682*W682/100)</f>
        <v/>
      </c>
      <c r="Q682" s="7" t="n"/>
      <c r="R682" s="7" t="n"/>
      <c r="U682">
        <f>IF($C682="","",IF($AJ682=1,0,IF($AI682=1,Settings!$C$6,Settings!$C$7))*100)</f>
        <v/>
      </c>
      <c r="V682" s="7">
        <f>IF($C682="","",R682*U682/100)</f>
        <v/>
      </c>
      <c r="W682" s="7">
        <f>IF($C682="","",R682-V682)</f>
        <v/>
      </c>
      <c r="X682" s="7">
        <f>IF($C682="","",W682-K682)</f>
        <v/>
      </c>
      <c r="AB682" s="7" t="n"/>
      <c r="AE682" s="11" t="n"/>
      <c r="AG682">
        <f>IF($C682="","",IF(COUNTIF($C$2:$C682,$C682)=1,1,0))</f>
        <v/>
      </c>
      <c r="AH682">
        <f>IF($AG682=1,SUMPRODUCT(--($AK$2:$AK$6001&lt;$AK682))+1,"")</f>
        <v/>
      </c>
      <c r="AI682">
        <f>IF($C682="","",IF(OR($N682=TRUE(),$N682="TRUE"),1,0))</f>
        <v/>
      </c>
      <c r="AJ682">
        <f>IF($C682="","",IF($T682="Yes",1,0))</f>
        <v/>
      </c>
      <c r="AK682">
        <f>IF($AG682=1,IFERROR(IF(VALUE($C682)&lt;100000000,VALUE($C682),1000000000),IFERROR(IF(VALUE(MID($C682,2,20))&lt;100000000,VALUE(MID($C682,2,20)),1000000000),1000000000))+ROW()/100000,"")</f>
        <v/>
      </c>
    </row>
    <row r="683">
      <c r="D683" s="11" t="n"/>
      <c r="K683" s="7">
        <f>IF($C683="","",J683*W683/100)</f>
        <v/>
      </c>
      <c r="Q683" s="7" t="n"/>
      <c r="R683" s="7" t="n"/>
      <c r="U683">
        <f>IF($C683="","",IF($AJ683=1,0,IF($AI683=1,Settings!$C$6,Settings!$C$7))*100)</f>
        <v/>
      </c>
      <c r="V683" s="7">
        <f>IF($C683="","",R683*U683/100)</f>
        <v/>
      </c>
      <c r="W683" s="7">
        <f>IF($C683="","",R683-V683)</f>
        <v/>
      </c>
      <c r="X683" s="7">
        <f>IF($C683="","",W683-K683)</f>
        <v/>
      </c>
      <c r="AB683" s="7" t="n"/>
      <c r="AE683" s="11" t="n"/>
      <c r="AG683">
        <f>IF($C683="","",IF(COUNTIF($C$2:$C683,$C683)=1,1,0))</f>
        <v/>
      </c>
      <c r="AH683">
        <f>IF($AG683=1,SUMPRODUCT(--($AK$2:$AK$6001&lt;$AK683))+1,"")</f>
        <v/>
      </c>
      <c r="AI683">
        <f>IF($C683="","",IF(OR($N683=TRUE(),$N683="TRUE"),1,0))</f>
        <v/>
      </c>
      <c r="AJ683">
        <f>IF($C683="","",IF($T683="Yes",1,0))</f>
        <v/>
      </c>
      <c r="AK683">
        <f>IF($AG683=1,IFERROR(IF(VALUE($C683)&lt;100000000,VALUE($C683),1000000000),IFERROR(IF(VALUE(MID($C683,2,20))&lt;100000000,VALUE(MID($C683,2,20)),1000000000),1000000000))+ROW()/100000,"")</f>
        <v/>
      </c>
    </row>
    <row r="684">
      <c r="D684" s="11" t="n"/>
      <c r="K684" s="7">
        <f>IF($C684="","",J684*W684/100)</f>
        <v/>
      </c>
      <c r="Q684" s="7" t="n"/>
      <c r="R684" s="7" t="n"/>
      <c r="U684">
        <f>IF($C684="","",IF($AJ684=1,0,IF($AI684=1,Settings!$C$6,Settings!$C$7))*100)</f>
        <v/>
      </c>
      <c r="V684" s="7">
        <f>IF($C684="","",R684*U684/100)</f>
        <v/>
      </c>
      <c r="W684" s="7">
        <f>IF($C684="","",R684-V684)</f>
        <v/>
      </c>
      <c r="X684" s="7">
        <f>IF($C684="","",W684-K684)</f>
        <v/>
      </c>
      <c r="AB684" s="7" t="n"/>
      <c r="AE684" s="11" t="n"/>
      <c r="AG684">
        <f>IF($C684="","",IF(COUNTIF($C$2:$C684,$C684)=1,1,0))</f>
        <v/>
      </c>
      <c r="AH684">
        <f>IF($AG684=1,SUMPRODUCT(--($AK$2:$AK$6001&lt;$AK684))+1,"")</f>
        <v/>
      </c>
      <c r="AI684">
        <f>IF($C684="","",IF(OR($N684=TRUE(),$N684="TRUE"),1,0))</f>
        <v/>
      </c>
      <c r="AJ684">
        <f>IF($C684="","",IF($T684="Yes",1,0))</f>
        <v/>
      </c>
      <c r="AK684">
        <f>IF($AG684=1,IFERROR(IF(VALUE($C684)&lt;100000000,VALUE($C684),1000000000),IFERROR(IF(VALUE(MID($C684,2,20))&lt;100000000,VALUE(MID($C684,2,20)),1000000000),1000000000))+ROW()/100000,"")</f>
        <v/>
      </c>
    </row>
    <row r="685">
      <c r="D685" s="11" t="n"/>
      <c r="K685" s="7">
        <f>IF($C685="","",J685*W685/100)</f>
        <v/>
      </c>
      <c r="Q685" s="7" t="n"/>
      <c r="R685" s="7" t="n"/>
      <c r="U685">
        <f>IF($C685="","",IF($AJ685=1,0,IF($AI685=1,Settings!$C$6,Settings!$C$7))*100)</f>
        <v/>
      </c>
      <c r="V685" s="7">
        <f>IF($C685="","",R685*U685/100)</f>
        <v/>
      </c>
      <c r="W685" s="7">
        <f>IF($C685="","",R685-V685)</f>
        <v/>
      </c>
      <c r="X685" s="7">
        <f>IF($C685="","",W685-K685)</f>
        <v/>
      </c>
      <c r="AB685" s="7" t="n"/>
      <c r="AE685" s="11" t="n"/>
      <c r="AG685">
        <f>IF($C685="","",IF(COUNTIF($C$2:$C685,$C685)=1,1,0))</f>
        <v/>
      </c>
      <c r="AH685">
        <f>IF($AG685=1,SUMPRODUCT(--($AK$2:$AK$6001&lt;$AK685))+1,"")</f>
        <v/>
      </c>
      <c r="AI685">
        <f>IF($C685="","",IF(OR($N685=TRUE(),$N685="TRUE"),1,0))</f>
        <v/>
      </c>
      <c r="AJ685">
        <f>IF($C685="","",IF($T685="Yes",1,0))</f>
        <v/>
      </c>
      <c r="AK685">
        <f>IF($AG685=1,IFERROR(IF(VALUE($C685)&lt;100000000,VALUE($C685),1000000000),IFERROR(IF(VALUE(MID($C685,2,20))&lt;100000000,VALUE(MID($C685,2,20)),1000000000),1000000000))+ROW()/100000,"")</f>
        <v/>
      </c>
    </row>
    <row r="686">
      <c r="D686" s="11" t="n"/>
      <c r="K686" s="7">
        <f>IF($C686="","",J686*W686/100)</f>
        <v/>
      </c>
      <c r="Q686" s="7" t="n"/>
      <c r="R686" s="7" t="n"/>
      <c r="U686">
        <f>IF($C686="","",IF($AJ686=1,0,IF($AI686=1,Settings!$C$6,Settings!$C$7))*100)</f>
        <v/>
      </c>
      <c r="V686" s="7">
        <f>IF($C686="","",R686*U686/100)</f>
        <v/>
      </c>
      <c r="W686" s="7">
        <f>IF($C686="","",R686-V686)</f>
        <v/>
      </c>
      <c r="X686" s="7">
        <f>IF($C686="","",W686-K686)</f>
        <v/>
      </c>
      <c r="AB686" s="7" t="n"/>
      <c r="AE686" s="11" t="n"/>
      <c r="AG686">
        <f>IF($C686="","",IF(COUNTIF($C$2:$C686,$C686)=1,1,0))</f>
        <v/>
      </c>
      <c r="AH686">
        <f>IF($AG686=1,SUMPRODUCT(--($AK$2:$AK$6001&lt;$AK686))+1,"")</f>
        <v/>
      </c>
      <c r="AI686">
        <f>IF($C686="","",IF(OR($N686=TRUE(),$N686="TRUE"),1,0))</f>
        <v/>
      </c>
      <c r="AJ686">
        <f>IF($C686="","",IF($T686="Yes",1,0))</f>
        <v/>
      </c>
      <c r="AK686">
        <f>IF($AG686=1,IFERROR(IF(VALUE($C686)&lt;100000000,VALUE($C686),1000000000),IFERROR(IF(VALUE(MID($C686,2,20))&lt;100000000,VALUE(MID($C686,2,20)),1000000000),1000000000))+ROW()/100000,"")</f>
        <v/>
      </c>
    </row>
    <row r="687">
      <c r="D687" s="11" t="n"/>
      <c r="K687" s="7">
        <f>IF($C687="","",J687*W687/100)</f>
        <v/>
      </c>
      <c r="Q687" s="7" t="n"/>
      <c r="R687" s="7" t="n"/>
      <c r="U687">
        <f>IF($C687="","",IF($AJ687=1,0,IF($AI687=1,Settings!$C$6,Settings!$C$7))*100)</f>
        <v/>
      </c>
      <c r="V687" s="7">
        <f>IF($C687="","",R687*U687/100)</f>
        <v/>
      </c>
      <c r="W687" s="7">
        <f>IF($C687="","",R687-V687)</f>
        <v/>
      </c>
      <c r="X687" s="7">
        <f>IF($C687="","",W687-K687)</f>
        <v/>
      </c>
      <c r="AB687" s="7" t="n"/>
      <c r="AE687" s="11" t="n"/>
      <c r="AG687">
        <f>IF($C687="","",IF(COUNTIF($C$2:$C687,$C687)=1,1,0))</f>
        <v/>
      </c>
      <c r="AH687">
        <f>IF($AG687=1,SUMPRODUCT(--($AK$2:$AK$6001&lt;$AK687))+1,"")</f>
        <v/>
      </c>
      <c r="AI687">
        <f>IF($C687="","",IF(OR($N687=TRUE(),$N687="TRUE"),1,0))</f>
        <v/>
      </c>
      <c r="AJ687">
        <f>IF($C687="","",IF($T687="Yes",1,0))</f>
        <v/>
      </c>
      <c r="AK687">
        <f>IF($AG687=1,IFERROR(IF(VALUE($C687)&lt;100000000,VALUE($C687),1000000000),IFERROR(IF(VALUE(MID($C687,2,20))&lt;100000000,VALUE(MID($C687,2,20)),1000000000),1000000000))+ROW()/100000,"")</f>
        <v/>
      </c>
    </row>
    <row r="688">
      <c r="D688" s="11" t="n"/>
      <c r="K688" s="7">
        <f>IF($C688="","",J688*W688/100)</f>
        <v/>
      </c>
      <c r="Q688" s="7" t="n"/>
      <c r="R688" s="7" t="n"/>
      <c r="U688">
        <f>IF($C688="","",IF($AJ688=1,0,IF($AI688=1,Settings!$C$6,Settings!$C$7))*100)</f>
        <v/>
      </c>
      <c r="V688" s="7">
        <f>IF($C688="","",R688*U688/100)</f>
        <v/>
      </c>
      <c r="W688" s="7">
        <f>IF($C688="","",R688-V688)</f>
        <v/>
      </c>
      <c r="X688" s="7">
        <f>IF($C688="","",W688-K688)</f>
        <v/>
      </c>
      <c r="AB688" s="7" t="n"/>
      <c r="AE688" s="11" t="n"/>
      <c r="AG688">
        <f>IF($C688="","",IF(COUNTIF($C$2:$C688,$C688)=1,1,0))</f>
        <v/>
      </c>
      <c r="AH688">
        <f>IF($AG688=1,SUMPRODUCT(--($AK$2:$AK$6001&lt;$AK688))+1,"")</f>
        <v/>
      </c>
      <c r="AI688">
        <f>IF($C688="","",IF(OR($N688=TRUE(),$N688="TRUE"),1,0))</f>
        <v/>
      </c>
      <c r="AJ688">
        <f>IF($C688="","",IF($T688="Yes",1,0))</f>
        <v/>
      </c>
      <c r="AK688">
        <f>IF($AG688=1,IFERROR(IF(VALUE($C688)&lt;100000000,VALUE($C688),1000000000),IFERROR(IF(VALUE(MID($C688,2,20))&lt;100000000,VALUE(MID($C688,2,20)),1000000000),1000000000))+ROW()/100000,"")</f>
        <v/>
      </c>
    </row>
    <row r="689">
      <c r="D689" s="11" t="n"/>
      <c r="K689" s="7">
        <f>IF($C689="","",J689*W689/100)</f>
        <v/>
      </c>
      <c r="Q689" s="7" t="n"/>
      <c r="R689" s="7" t="n"/>
      <c r="U689">
        <f>IF($C689="","",IF($AJ689=1,0,IF($AI689=1,Settings!$C$6,Settings!$C$7))*100)</f>
        <v/>
      </c>
      <c r="V689" s="7">
        <f>IF($C689="","",R689*U689/100)</f>
        <v/>
      </c>
      <c r="W689" s="7">
        <f>IF($C689="","",R689-V689)</f>
        <v/>
      </c>
      <c r="X689" s="7">
        <f>IF($C689="","",W689-K689)</f>
        <v/>
      </c>
      <c r="AB689" s="7" t="n"/>
      <c r="AE689" s="11" t="n"/>
      <c r="AG689">
        <f>IF($C689="","",IF(COUNTIF($C$2:$C689,$C689)=1,1,0))</f>
        <v/>
      </c>
      <c r="AH689">
        <f>IF($AG689=1,SUMPRODUCT(--($AK$2:$AK$6001&lt;$AK689))+1,"")</f>
        <v/>
      </c>
      <c r="AI689">
        <f>IF($C689="","",IF(OR($N689=TRUE(),$N689="TRUE"),1,0))</f>
        <v/>
      </c>
      <c r="AJ689">
        <f>IF($C689="","",IF($T689="Yes",1,0))</f>
        <v/>
      </c>
      <c r="AK689">
        <f>IF($AG689=1,IFERROR(IF(VALUE($C689)&lt;100000000,VALUE($C689),1000000000),IFERROR(IF(VALUE(MID($C689,2,20))&lt;100000000,VALUE(MID($C689,2,20)),1000000000),1000000000))+ROW()/100000,"")</f>
        <v/>
      </c>
    </row>
    <row r="690">
      <c r="D690" s="11" t="n"/>
      <c r="K690" s="7">
        <f>IF($C690="","",J690*W690/100)</f>
        <v/>
      </c>
      <c r="Q690" s="7" t="n"/>
      <c r="R690" s="7" t="n"/>
      <c r="U690">
        <f>IF($C690="","",IF($AJ690=1,0,IF($AI690=1,Settings!$C$6,Settings!$C$7))*100)</f>
        <v/>
      </c>
      <c r="V690" s="7">
        <f>IF($C690="","",R690*U690/100)</f>
        <v/>
      </c>
      <c r="W690" s="7">
        <f>IF($C690="","",R690-V690)</f>
        <v/>
      </c>
      <c r="X690" s="7">
        <f>IF($C690="","",W690-K690)</f>
        <v/>
      </c>
      <c r="AB690" s="7" t="n"/>
      <c r="AE690" s="11" t="n"/>
      <c r="AG690">
        <f>IF($C690="","",IF(COUNTIF($C$2:$C690,$C690)=1,1,0))</f>
        <v/>
      </c>
      <c r="AH690">
        <f>IF($AG690=1,SUMPRODUCT(--($AK$2:$AK$6001&lt;$AK690))+1,"")</f>
        <v/>
      </c>
      <c r="AI690">
        <f>IF($C690="","",IF(OR($N690=TRUE(),$N690="TRUE"),1,0))</f>
        <v/>
      </c>
      <c r="AJ690">
        <f>IF($C690="","",IF($T690="Yes",1,0))</f>
        <v/>
      </c>
      <c r="AK690">
        <f>IF($AG690=1,IFERROR(IF(VALUE($C690)&lt;100000000,VALUE($C690),1000000000),IFERROR(IF(VALUE(MID($C690,2,20))&lt;100000000,VALUE(MID($C690,2,20)),1000000000),1000000000))+ROW()/100000,"")</f>
        <v/>
      </c>
    </row>
    <row r="691">
      <c r="D691" s="11" t="n"/>
      <c r="K691" s="7">
        <f>IF($C691="","",J691*W691/100)</f>
        <v/>
      </c>
      <c r="Q691" s="7" t="n"/>
      <c r="R691" s="7" t="n"/>
      <c r="U691">
        <f>IF($C691="","",IF($AJ691=1,0,IF($AI691=1,Settings!$C$6,Settings!$C$7))*100)</f>
        <v/>
      </c>
      <c r="V691" s="7">
        <f>IF($C691="","",R691*U691/100)</f>
        <v/>
      </c>
      <c r="W691" s="7">
        <f>IF($C691="","",R691-V691)</f>
        <v/>
      </c>
      <c r="X691" s="7">
        <f>IF($C691="","",W691-K691)</f>
        <v/>
      </c>
      <c r="AB691" s="7" t="n"/>
      <c r="AE691" s="11" t="n"/>
      <c r="AG691">
        <f>IF($C691="","",IF(COUNTIF($C$2:$C691,$C691)=1,1,0))</f>
        <v/>
      </c>
      <c r="AH691">
        <f>IF($AG691=1,SUMPRODUCT(--($AK$2:$AK$6001&lt;$AK691))+1,"")</f>
        <v/>
      </c>
      <c r="AI691">
        <f>IF($C691="","",IF(OR($N691=TRUE(),$N691="TRUE"),1,0))</f>
        <v/>
      </c>
      <c r="AJ691">
        <f>IF($C691="","",IF($T691="Yes",1,0))</f>
        <v/>
      </c>
      <c r="AK691">
        <f>IF($AG691=1,IFERROR(IF(VALUE($C691)&lt;100000000,VALUE($C691),1000000000),IFERROR(IF(VALUE(MID($C691,2,20))&lt;100000000,VALUE(MID($C691,2,20)),1000000000),1000000000))+ROW()/100000,"")</f>
        <v/>
      </c>
    </row>
    <row r="692">
      <c r="D692" s="11" t="n"/>
      <c r="K692" s="7">
        <f>IF($C692="","",J692*W692/100)</f>
        <v/>
      </c>
      <c r="Q692" s="7" t="n"/>
      <c r="R692" s="7" t="n"/>
      <c r="U692">
        <f>IF($C692="","",IF($AJ692=1,0,IF($AI692=1,Settings!$C$6,Settings!$C$7))*100)</f>
        <v/>
      </c>
      <c r="V692" s="7">
        <f>IF($C692="","",R692*U692/100)</f>
        <v/>
      </c>
      <c r="W692" s="7">
        <f>IF($C692="","",R692-V692)</f>
        <v/>
      </c>
      <c r="X692" s="7">
        <f>IF($C692="","",W692-K692)</f>
        <v/>
      </c>
      <c r="AB692" s="7" t="n"/>
      <c r="AE692" s="11" t="n"/>
      <c r="AG692">
        <f>IF($C692="","",IF(COUNTIF($C$2:$C692,$C692)=1,1,0))</f>
        <v/>
      </c>
      <c r="AH692">
        <f>IF($AG692=1,SUMPRODUCT(--($AK$2:$AK$6001&lt;$AK692))+1,"")</f>
        <v/>
      </c>
      <c r="AI692">
        <f>IF($C692="","",IF(OR($N692=TRUE(),$N692="TRUE"),1,0))</f>
        <v/>
      </c>
      <c r="AJ692">
        <f>IF($C692="","",IF($T692="Yes",1,0))</f>
        <v/>
      </c>
      <c r="AK692">
        <f>IF($AG692=1,IFERROR(IF(VALUE($C692)&lt;100000000,VALUE($C692),1000000000),IFERROR(IF(VALUE(MID($C692,2,20))&lt;100000000,VALUE(MID($C692,2,20)),1000000000),1000000000))+ROW()/100000,"")</f>
        <v/>
      </c>
    </row>
    <row r="693">
      <c r="D693" s="11" t="n"/>
      <c r="K693" s="7">
        <f>IF($C693="","",J693*W693/100)</f>
        <v/>
      </c>
      <c r="Q693" s="7" t="n"/>
      <c r="R693" s="7" t="n"/>
      <c r="U693">
        <f>IF($C693="","",IF($AJ693=1,0,IF($AI693=1,Settings!$C$6,Settings!$C$7))*100)</f>
        <v/>
      </c>
      <c r="V693" s="7">
        <f>IF($C693="","",R693*U693/100)</f>
        <v/>
      </c>
      <c r="W693" s="7">
        <f>IF($C693="","",R693-V693)</f>
        <v/>
      </c>
      <c r="X693" s="7">
        <f>IF($C693="","",W693-K693)</f>
        <v/>
      </c>
      <c r="AB693" s="7" t="n"/>
      <c r="AE693" s="11" t="n"/>
      <c r="AG693">
        <f>IF($C693="","",IF(COUNTIF($C$2:$C693,$C693)=1,1,0))</f>
        <v/>
      </c>
      <c r="AH693">
        <f>IF($AG693=1,SUMPRODUCT(--($AK$2:$AK$6001&lt;$AK693))+1,"")</f>
        <v/>
      </c>
      <c r="AI693">
        <f>IF($C693="","",IF(OR($N693=TRUE(),$N693="TRUE"),1,0))</f>
        <v/>
      </c>
      <c r="AJ693">
        <f>IF($C693="","",IF($T693="Yes",1,0))</f>
        <v/>
      </c>
      <c r="AK693">
        <f>IF($AG693=1,IFERROR(IF(VALUE($C693)&lt;100000000,VALUE($C693),1000000000),IFERROR(IF(VALUE(MID($C693,2,20))&lt;100000000,VALUE(MID($C693,2,20)),1000000000),1000000000))+ROW()/100000,"")</f>
        <v/>
      </c>
    </row>
    <row r="694">
      <c r="D694" s="11" t="n"/>
      <c r="K694" s="7">
        <f>IF($C694="","",J694*W694/100)</f>
        <v/>
      </c>
      <c r="Q694" s="7" t="n"/>
      <c r="R694" s="7" t="n"/>
      <c r="U694">
        <f>IF($C694="","",IF($AJ694=1,0,IF($AI694=1,Settings!$C$6,Settings!$C$7))*100)</f>
        <v/>
      </c>
      <c r="V694" s="7">
        <f>IF($C694="","",R694*U694/100)</f>
        <v/>
      </c>
      <c r="W694" s="7">
        <f>IF($C694="","",R694-V694)</f>
        <v/>
      </c>
      <c r="X694" s="7">
        <f>IF($C694="","",W694-K694)</f>
        <v/>
      </c>
      <c r="AB694" s="7" t="n"/>
      <c r="AE694" s="11" t="n"/>
      <c r="AG694">
        <f>IF($C694="","",IF(COUNTIF($C$2:$C694,$C694)=1,1,0))</f>
        <v/>
      </c>
      <c r="AH694">
        <f>IF($AG694=1,SUMPRODUCT(--($AK$2:$AK$6001&lt;$AK694))+1,"")</f>
        <v/>
      </c>
      <c r="AI694">
        <f>IF($C694="","",IF(OR($N694=TRUE(),$N694="TRUE"),1,0))</f>
        <v/>
      </c>
      <c r="AJ694">
        <f>IF($C694="","",IF($T694="Yes",1,0))</f>
        <v/>
      </c>
      <c r="AK694">
        <f>IF($AG694=1,IFERROR(IF(VALUE($C694)&lt;100000000,VALUE($C694),1000000000),IFERROR(IF(VALUE(MID($C694,2,20))&lt;100000000,VALUE(MID($C694,2,20)),1000000000),1000000000))+ROW()/100000,"")</f>
        <v/>
      </c>
    </row>
    <row r="695">
      <c r="D695" s="11" t="n"/>
      <c r="K695" s="7">
        <f>IF($C695="","",J695*W695/100)</f>
        <v/>
      </c>
      <c r="Q695" s="7" t="n"/>
      <c r="R695" s="7" t="n"/>
      <c r="U695">
        <f>IF($C695="","",IF($AJ695=1,0,IF($AI695=1,Settings!$C$6,Settings!$C$7))*100)</f>
        <v/>
      </c>
      <c r="V695" s="7">
        <f>IF($C695="","",R695*U695/100)</f>
        <v/>
      </c>
      <c r="W695" s="7">
        <f>IF($C695="","",R695-V695)</f>
        <v/>
      </c>
      <c r="X695" s="7">
        <f>IF($C695="","",W695-K695)</f>
        <v/>
      </c>
      <c r="AB695" s="7" t="n"/>
      <c r="AE695" s="11" t="n"/>
      <c r="AG695">
        <f>IF($C695="","",IF(COUNTIF($C$2:$C695,$C695)=1,1,0))</f>
        <v/>
      </c>
      <c r="AH695">
        <f>IF($AG695=1,SUMPRODUCT(--($AK$2:$AK$6001&lt;$AK695))+1,"")</f>
        <v/>
      </c>
      <c r="AI695">
        <f>IF($C695="","",IF(OR($N695=TRUE(),$N695="TRUE"),1,0))</f>
        <v/>
      </c>
      <c r="AJ695">
        <f>IF($C695="","",IF($T695="Yes",1,0))</f>
        <v/>
      </c>
      <c r="AK695">
        <f>IF($AG695=1,IFERROR(IF(VALUE($C695)&lt;100000000,VALUE($C695),1000000000),IFERROR(IF(VALUE(MID($C695,2,20))&lt;100000000,VALUE(MID($C695,2,20)),1000000000),1000000000))+ROW()/100000,"")</f>
        <v/>
      </c>
    </row>
    <row r="696">
      <c r="D696" s="11" t="n"/>
      <c r="K696" s="7">
        <f>IF($C696="","",J696*W696/100)</f>
        <v/>
      </c>
      <c r="Q696" s="7" t="n"/>
      <c r="R696" s="7" t="n"/>
      <c r="U696">
        <f>IF($C696="","",IF($AJ696=1,0,IF($AI696=1,Settings!$C$6,Settings!$C$7))*100)</f>
        <v/>
      </c>
      <c r="V696" s="7">
        <f>IF($C696="","",R696*U696/100)</f>
        <v/>
      </c>
      <c r="W696" s="7">
        <f>IF($C696="","",R696-V696)</f>
        <v/>
      </c>
      <c r="X696" s="7">
        <f>IF($C696="","",W696-K696)</f>
        <v/>
      </c>
      <c r="AB696" s="7" t="n"/>
      <c r="AE696" s="11" t="n"/>
      <c r="AG696">
        <f>IF($C696="","",IF(COUNTIF($C$2:$C696,$C696)=1,1,0))</f>
        <v/>
      </c>
      <c r="AH696">
        <f>IF($AG696=1,SUMPRODUCT(--($AK$2:$AK$6001&lt;$AK696))+1,"")</f>
        <v/>
      </c>
      <c r="AI696">
        <f>IF($C696="","",IF(OR($N696=TRUE(),$N696="TRUE"),1,0))</f>
        <v/>
      </c>
      <c r="AJ696">
        <f>IF($C696="","",IF($T696="Yes",1,0))</f>
        <v/>
      </c>
      <c r="AK696">
        <f>IF($AG696=1,IFERROR(IF(VALUE($C696)&lt;100000000,VALUE($C696),1000000000),IFERROR(IF(VALUE(MID($C696,2,20))&lt;100000000,VALUE(MID($C696,2,20)),1000000000),1000000000))+ROW()/100000,"")</f>
        <v/>
      </c>
    </row>
    <row r="697">
      <c r="D697" s="11" t="n"/>
      <c r="K697" s="7">
        <f>IF($C697="","",J697*W697/100)</f>
        <v/>
      </c>
      <c r="Q697" s="7" t="n"/>
      <c r="R697" s="7" t="n"/>
      <c r="U697">
        <f>IF($C697="","",IF($AJ697=1,0,IF($AI697=1,Settings!$C$6,Settings!$C$7))*100)</f>
        <v/>
      </c>
      <c r="V697" s="7">
        <f>IF($C697="","",R697*U697/100)</f>
        <v/>
      </c>
      <c r="W697" s="7">
        <f>IF($C697="","",R697-V697)</f>
        <v/>
      </c>
      <c r="X697" s="7">
        <f>IF($C697="","",W697-K697)</f>
        <v/>
      </c>
      <c r="AB697" s="7" t="n"/>
      <c r="AE697" s="11" t="n"/>
      <c r="AG697">
        <f>IF($C697="","",IF(COUNTIF($C$2:$C697,$C697)=1,1,0))</f>
        <v/>
      </c>
      <c r="AH697">
        <f>IF($AG697=1,SUMPRODUCT(--($AK$2:$AK$6001&lt;$AK697))+1,"")</f>
        <v/>
      </c>
      <c r="AI697">
        <f>IF($C697="","",IF(OR($N697=TRUE(),$N697="TRUE"),1,0))</f>
        <v/>
      </c>
      <c r="AJ697">
        <f>IF($C697="","",IF($T697="Yes",1,0))</f>
        <v/>
      </c>
      <c r="AK697">
        <f>IF($AG697=1,IFERROR(IF(VALUE($C697)&lt;100000000,VALUE($C697),1000000000),IFERROR(IF(VALUE(MID($C697,2,20))&lt;100000000,VALUE(MID($C697,2,20)),1000000000),1000000000))+ROW()/100000,"")</f>
        <v/>
      </c>
    </row>
    <row r="698">
      <c r="D698" s="11" t="n"/>
      <c r="K698" s="7">
        <f>IF($C698="","",J698*W698/100)</f>
        <v/>
      </c>
      <c r="Q698" s="7" t="n"/>
      <c r="R698" s="7" t="n"/>
      <c r="U698">
        <f>IF($C698="","",IF($AJ698=1,0,IF($AI698=1,Settings!$C$6,Settings!$C$7))*100)</f>
        <v/>
      </c>
      <c r="V698" s="7">
        <f>IF($C698="","",R698*U698/100)</f>
        <v/>
      </c>
      <c r="W698" s="7">
        <f>IF($C698="","",R698-V698)</f>
        <v/>
      </c>
      <c r="X698" s="7">
        <f>IF($C698="","",W698-K698)</f>
        <v/>
      </c>
      <c r="AB698" s="7" t="n"/>
      <c r="AE698" s="11" t="n"/>
      <c r="AG698">
        <f>IF($C698="","",IF(COUNTIF($C$2:$C698,$C698)=1,1,0))</f>
        <v/>
      </c>
      <c r="AH698">
        <f>IF($AG698=1,SUMPRODUCT(--($AK$2:$AK$6001&lt;$AK698))+1,"")</f>
        <v/>
      </c>
      <c r="AI698">
        <f>IF($C698="","",IF(OR($N698=TRUE(),$N698="TRUE"),1,0))</f>
        <v/>
      </c>
      <c r="AJ698">
        <f>IF($C698="","",IF($T698="Yes",1,0))</f>
        <v/>
      </c>
      <c r="AK698">
        <f>IF($AG698=1,IFERROR(IF(VALUE($C698)&lt;100000000,VALUE($C698),1000000000),IFERROR(IF(VALUE(MID($C698,2,20))&lt;100000000,VALUE(MID($C698,2,20)),1000000000),1000000000))+ROW()/100000,"")</f>
        <v/>
      </c>
    </row>
    <row r="699">
      <c r="D699" s="11" t="n"/>
      <c r="K699" s="7">
        <f>IF($C699="","",J699*W699/100)</f>
        <v/>
      </c>
      <c r="Q699" s="7" t="n"/>
      <c r="R699" s="7" t="n"/>
      <c r="U699">
        <f>IF($C699="","",IF($AJ699=1,0,IF($AI699=1,Settings!$C$6,Settings!$C$7))*100)</f>
        <v/>
      </c>
      <c r="V699" s="7">
        <f>IF($C699="","",R699*U699/100)</f>
        <v/>
      </c>
      <c r="W699" s="7">
        <f>IF($C699="","",R699-V699)</f>
        <v/>
      </c>
      <c r="X699" s="7">
        <f>IF($C699="","",W699-K699)</f>
        <v/>
      </c>
      <c r="AB699" s="7" t="n"/>
      <c r="AE699" s="11" t="n"/>
      <c r="AG699">
        <f>IF($C699="","",IF(COUNTIF($C$2:$C699,$C699)=1,1,0))</f>
        <v/>
      </c>
      <c r="AH699">
        <f>IF($AG699=1,SUMPRODUCT(--($AK$2:$AK$6001&lt;$AK699))+1,"")</f>
        <v/>
      </c>
      <c r="AI699">
        <f>IF($C699="","",IF(OR($N699=TRUE(),$N699="TRUE"),1,0))</f>
        <v/>
      </c>
      <c r="AJ699">
        <f>IF($C699="","",IF($T699="Yes",1,0))</f>
        <v/>
      </c>
      <c r="AK699">
        <f>IF($AG699=1,IFERROR(IF(VALUE($C699)&lt;100000000,VALUE($C699),1000000000),IFERROR(IF(VALUE(MID($C699,2,20))&lt;100000000,VALUE(MID($C699,2,20)),1000000000),1000000000))+ROW()/100000,"")</f>
        <v/>
      </c>
    </row>
    <row r="700">
      <c r="D700" s="11" t="n"/>
      <c r="K700" s="7">
        <f>IF($C700="","",J700*W700/100)</f>
        <v/>
      </c>
      <c r="Q700" s="7" t="n"/>
      <c r="R700" s="7" t="n"/>
      <c r="U700">
        <f>IF($C700="","",IF($AJ700=1,0,IF($AI700=1,Settings!$C$6,Settings!$C$7))*100)</f>
        <v/>
      </c>
      <c r="V700" s="7">
        <f>IF($C700="","",R700*U700/100)</f>
        <v/>
      </c>
      <c r="W700" s="7">
        <f>IF($C700="","",R700-V700)</f>
        <v/>
      </c>
      <c r="X700" s="7">
        <f>IF($C700="","",W700-K700)</f>
        <v/>
      </c>
      <c r="AB700" s="7" t="n"/>
      <c r="AE700" s="11" t="n"/>
      <c r="AG700">
        <f>IF($C700="","",IF(COUNTIF($C$2:$C700,$C700)=1,1,0))</f>
        <v/>
      </c>
      <c r="AH700">
        <f>IF($AG700=1,SUMPRODUCT(--($AK$2:$AK$6001&lt;$AK700))+1,"")</f>
        <v/>
      </c>
      <c r="AI700">
        <f>IF($C700="","",IF(OR($N700=TRUE(),$N700="TRUE"),1,0))</f>
        <v/>
      </c>
      <c r="AJ700">
        <f>IF($C700="","",IF($T700="Yes",1,0))</f>
        <v/>
      </c>
      <c r="AK700">
        <f>IF($AG700=1,IFERROR(IF(VALUE($C700)&lt;100000000,VALUE($C700),1000000000),IFERROR(IF(VALUE(MID($C700,2,20))&lt;100000000,VALUE(MID($C700,2,20)),1000000000),1000000000))+ROW()/100000,"")</f>
        <v/>
      </c>
    </row>
    <row r="701">
      <c r="D701" s="11" t="n"/>
      <c r="K701" s="7">
        <f>IF($C701="","",J701*W701/100)</f>
        <v/>
      </c>
      <c r="Q701" s="7" t="n"/>
      <c r="R701" s="7" t="n"/>
      <c r="U701">
        <f>IF($C701="","",IF($AJ701=1,0,IF($AI701=1,Settings!$C$6,Settings!$C$7))*100)</f>
        <v/>
      </c>
      <c r="V701" s="7">
        <f>IF($C701="","",R701*U701/100)</f>
        <v/>
      </c>
      <c r="W701" s="7">
        <f>IF($C701="","",R701-V701)</f>
        <v/>
      </c>
      <c r="X701" s="7">
        <f>IF($C701="","",W701-K701)</f>
        <v/>
      </c>
      <c r="AB701" s="7" t="n"/>
      <c r="AE701" s="11" t="n"/>
      <c r="AG701">
        <f>IF($C701="","",IF(COUNTIF($C$2:$C701,$C701)=1,1,0))</f>
        <v/>
      </c>
      <c r="AH701">
        <f>IF($AG701=1,SUMPRODUCT(--($AK$2:$AK$6001&lt;$AK701))+1,"")</f>
        <v/>
      </c>
      <c r="AI701">
        <f>IF($C701="","",IF(OR($N701=TRUE(),$N701="TRUE"),1,0))</f>
        <v/>
      </c>
      <c r="AJ701">
        <f>IF($C701="","",IF($T701="Yes",1,0))</f>
        <v/>
      </c>
      <c r="AK701">
        <f>IF($AG701=1,IFERROR(IF(VALUE($C701)&lt;100000000,VALUE($C701),1000000000),IFERROR(IF(VALUE(MID($C701,2,20))&lt;100000000,VALUE(MID($C701,2,20)),1000000000),1000000000))+ROW()/100000,"")</f>
        <v/>
      </c>
    </row>
    <row r="702">
      <c r="D702" s="11" t="n"/>
      <c r="K702" s="7">
        <f>IF($C702="","",J702*W702/100)</f>
        <v/>
      </c>
      <c r="Q702" s="7" t="n"/>
      <c r="R702" s="7" t="n"/>
      <c r="U702">
        <f>IF($C702="","",IF($AJ702=1,0,IF($AI702=1,Settings!$C$6,Settings!$C$7))*100)</f>
        <v/>
      </c>
      <c r="V702" s="7">
        <f>IF($C702="","",R702*U702/100)</f>
        <v/>
      </c>
      <c r="W702" s="7">
        <f>IF($C702="","",R702-V702)</f>
        <v/>
      </c>
      <c r="X702" s="7">
        <f>IF($C702="","",W702-K702)</f>
        <v/>
      </c>
      <c r="AB702" s="7" t="n"/>
      <c r="AE702" s="11" t="n"/>
      <c r="AG702">
        <f>IF($C702="","",IF(COUNTIF($C$2:$C702,$C702)=1,1,0))</f>
        <v/>
      </c>
      <c r="AH702">
        <f>IF($AG702=1,SUMPRODUCT(--($AK$2:$AK$6001&lt;$AK702))+1,"")</f>
        <v/>
      </c>
      <c r="AI702">
        <f>IF($C702="","",IF(OR($N702=TRUE(),$N702="TRUE"),1,0))</f>
        <v/>
      </c>
      <c r="AJ702">
        <f>IF($C702="","",IF($T702="Yes",1,0))</f>
        <v/>
      </c>
      <c r="AK702">
        <f>IF($AG702=1,IFERROR(IF(VALUE($C702)&lt;100000000,VALUE($C702),1000000000),IFERROR(IF(VALUE(MID($C702,2,20))&lt;100000000,VALUE(MID($C702,2,20)),1000000000),1000000000))+ROW()/100000,"")</f>
        <v/>
      </c>
    </row>
    <row r="703">
      <c r="D703" s="11" t="n"/>
      <c r="K703" s="7">
        <f>IF($C703="","",J703*W703/100)</f>
        <v/>
      </c>
      <c r="Q703" s="7" t="n"/>
      <c r="R703" s="7" t="n"/>
      <c r="U703">
        <f>IF($C703="","",IF($AJ703=1,0,IF($AI703=1,Settings!$C$6,Settings!$C$7))*100)</f>
        <v/>
      </c>
      <c r="V703" s="7">
        <f>IF($C703="","",R703*U703/100)</f>
        <v/>
      </c>
      <c r="W703" s="7">
        <f>IF($C703="","",R703-V703)</f>
        <v/>
      </c>
      <c r="X703" s="7">
        <f>IF($C703="","",W703-K703)</f>
        <v/>
      </c>
      <c r="AB703" s="7" t="n"/>
      <c r="AE703" s="11" t="n"/>
      <c r="AG703">
        <f>IF($C703="","",IF(COUNTIF($C$2:$C703,$C703)=1,1,0))</f>
        <v/>
      </c>
      <c r="AH703">
        <f>IF($AG703=1,SUMPRODUCT(--($AK$2:$AK$6001&lt;$AK703))+1,"")</f>
        <v/>
      </c>
      <c r="AI703">
        <f>IF($C703="","",IF(OR($N703=TRUE(),$N703="TRUE"),1,0))</f>
        <v/>
      </c>
      <c r="AJ703">
        <f>IF($C703="","",IF($T703="Yes",1,0))</f>
        <v/>
      </c>
      <c r="AK703">
        <f>IF($AG703=1,IFERROR(IF(VALUE($C703)&lt;100000000,VALUE($C703),1000000000),IFERROR(IF(VALUE(MID($C703,2,20))&lt;100000000,VALUE(MID($C703,2,20)),1000000000),1000000000))+ROW()/100000,"")</f>
        <v/>
      </c>
    </row>
    <row r="704">
      <c r="D704" s="11" t="n"/>
      <c r="K704" s="7">
        <f>IF($C704="","",J704*W704/100)</f>
        <v/>
      </c>
      <c r="Q704" s="7" t="n"/>
      <c r="R704" s="7" t="n"/>
      <c r="U704">
        <f>IF($C704="","",IF($AJ704=1,0,IF($AI704=1,Settings!$C$6,Settings!$C$7))*100)</f>
        <v/>
      </c>
      <c r="V704" s="7">
        <f>IF($C704="","",R704*U704/100)</f>
        <v/>
      </c>
      <c r="W704" s="7">
        <f>IF($C704="","",R704-V704)</f>
        <v/>
      </c>
      <c r="X704" s="7">
        <f>IF($C704="","",W704-K704)</f>
        <v/>
      </c>
      <c r="AB704" s="7" t="n"/>
      <c r="AE704" s="11" t="n"/>
      <c r="AG704">
        <f>IF($C704="","",IF(COUNTIF($C$2:$C704,$C704)=1,1,0))</f>
        <v/>
      </c>
      <c r="AH704">
        <f>IF($AG704=1,SUMPRODUCT(--($AK$2:$AK$6001&lt;$AK704))+1,"")</f>
        <v/>
      </c>
      <c r="AI704">
        <f>IF($C704="","",IF(OR($N704=TRUE(),$N704="TRUE"),1,0))</f>
        <v/>
      </c>
      <c r="AJ704">
        <f>IF($C704="","",IF($T704="Yes",1,0))</f>
        <v/>
      </c>
      <c r="AK704">
        <f>IF($AG704=1,IFERROR(IF(VALUE($C704)&lt;100000000,VALUE($C704),1000000000),IFERROR(IF(VALUE(MID($C704,2,20))&lt;100000000,VALUE(MID($C704,2,20)),1000000000),1000000000))+ROW()/100000,"")</f>
        <v/>
      </c>
    </row>
    <row r="705">
      <c r="D705" s="11" t="n"/>
      <c r="K705" s="7">
        <f>IF($C705="","",J705*W705/100)</f>
        <v/>
      </c>
      <c r="Q705" s="7" t="n"/>
      <c r="R705" s="7" t="n"/>
      <c r="U705">
        <f>IF($C705="","",IF($AJ705=1,0,IF($AI705=1,Settings!$C$6,Settings!$C$7))*100)</f>
        <v/>
      </c>
      <c r="V705" s="7">
        <f>IF($C705="","",R705*U705/100)</f>
        <v/>
      </c>
      <c r="W705" s="7">
        <f>IF($C705="","",R705-V705)</f>
        <v/>
      </c>
      <c r="X705" s="7">
        <f>IF($C705="","",W705-K705)</f>
        <v/>
      </c>
      <c r="AB705" s="7" t="n"/>
      <c r="AE705" s="11" t="n"/>
      <c r="AG705">
        <f>IF($C705="","",IF(COUNTIF($C$2:$C705,$C705)=1,1,0))</f>
        <v/>
      </c>
      <c r="AH705">
        <f>IF($AG705=1,SUMPRODUCT(--($AK$2:$AK$6001&lt;$AK705))+1,"")</f>
        <v/>
      </c>
      <c r="AI705">
        <f>IF($C705="","",IF(OR($N705=TRUE(),$N705="TRUE"),1,0))</f>
        <v/>
      </c>
      <c r="AJ705">
        <f>IF($C705="","",IF($T705="Yes",1,0))</f>
        <v/>
      </c>
      <c r="AK705">
        <f>IF($AG705=1,IFERROR(IF(VALUE($C705)&lt;100000000,VALUE($C705),1000000000),IFERROR(IF(VALUE(MID($C705,2,20))&lt;100000000,VALUE(MID($C705,2,20)),1000000000),1000000000))+ROW()/100000,"")</f>
        <v/>
      </c>
    </row>
    <row r="706">
      <c r="D706" s="11" t="n"/>
      <c r="K706" s="7">
        <f>IF($C706="","",J706*W706/100)</f>
        <v/>
      </c>
      <c r="Q706" s="7" t="n"/>
      <c r="R706" s="7" t="n"/>
      <c r="U706">
        <f>IF($C706="","",IF($AJ706=1,0,IF($AI706=1,Settings!$C$6,Settings!$C$7))*100)</f>
        <v/>
      </c>
      <c r="V706" s="7">
        <f>IF($C706="","",R706*U706/100)</f>
        <v/>
      </c>
      <c r="W706" s="7">
        <f>IF($C706="","",R706-V706)</f>
        <v/>
      </c>
      <c r="X706" s="7">
        <f>IF($C706="","",W706-K706)</f>
        <v/>
      </c>
      <c r="AB706" s="7" t="n"/>
      <c r="AE706" s="11" t="n"/>
      <c r="AG706">
        <f>IF($C706="","",IF(COUNTIF($C$2:$C706,$C706)=1,1,0))</f>
        <v/>
      </c>
      <c r="AH706">
        <f>IF($AG706=1,SUMPRODUCT(--($AK$2:$AK$6001&lt;$AK706))+1,"")</f>
        <v/>
      </c>
      <c r="AI706">
        <f>IF($C706="","",IF(OR($N706=TRUE(),$N706="TRUE"),1,0))</f>
        <v/>
      </c>
      <c r="AJ706">
        <f>IF($C706="","",IF($T706="Yes",1,0))</f>
        <v/>
      </c>
      <c r="AK706">
        <f>IF($AG706=1,IFERROR(IF(VALUE($C706)&lt;100000000,VALUE($C706),1000000000),IFERROR(IF(VALUE(MID($C706,2,20))&lt;100000000,VALUE(MID($C706,2,20)),1000000000),1000000000))+ROW()/100000,"")</f>
        <v/>
      </c>
    </row>
    <row r="707">
      <c r="D707" s="11" t="n"/>
      <c r="K707" s="7">
        <f>IF($C707="","",J707*W707/100)</f>
        <v/>
      </c>
      <c r="Q707" s="7" t="n"/>
      <c r="R707" s="7" t="n"/>
      <c r="U707">
        <f>IF($C707="","",IF($AJ707=1,0,IF($AI707=1,Settings!$C$6,Settings!$C$7))*100)</f>
        <v/>
      </c>
      <c r="V707" s="7">
        <f>IF($C707="","",R707*U707/100)</f>
        <v/>
      </c>
      <c r="W707" s="7">
        <f>IF($C707="","",R707-V707)</f>
        <v/>
      </c>
      <c r="X707" s="7">
        <f>IF($C707="","",W707-K707)</f>
        <v/>
      </c>
      <c r="AB707" s="7" t="n"/>
      <c r="AE707" s="11" t="n"/>
      <c r="AG707">
        <f>IF($C707="","",IF(COUNTIF($C$2:$C707,$C707)=1,1,0))</f>
        <v/>
      </c>
      <c r="AH707">
        <f>IF($AG707=1,SUMPRODUCT(--($AK$2:$AK$6001&lt;$AK707))+1,"")</f>
        <v/>
      </c>
      <c r="AI707">
        <f>IF($C707="","",IF(OR($N707=TRUE(),$N707="TRUE"),1,0))</f>
        <v/>
      </c>
      <c r="AJ707">
        <f>IF($C707="","",IF($T707="Yes",1,0))</f>
        <v/>
      </c>
      <c r="AK707">
        <f>IF($AG707=1,IFERROR(IF(VALUE($C707)&lt;100000000,VALUE($C707),1000000000),IFERROR(IF(VALUE(MID($C707,2,20))&lt;100000000,VALUE(MID($C707,2,20)),1000000000),1000000000))+ROW()/100000,"")</f>
        <v/>
      </c>
    </row>
    <row r="708">
      <c r="D708" s="11" t="n"/>
      <c r="K708" s="7">
        <f>IF($C708="","",J708*W708/100)</f>
        <v/>
      </c>
      <c r="Q708" s="7" t="n"/>
      <c r="R708" s="7" t="n"/>
      <c r="U708">
        <f>IF($C708="","",IF($AJ708=1,0,IF($AI708=1,Settings!$C$6,Settings!$C$7))*100)</f>
        <v/>
      </c>
      <c r="V708" s="7">
        <f>IF($C708="","",R708*U708/100)</f>
        <v/>
      </c>
      <c r="W708" s="7">
        <f>IF($C708="","",R708-V708)</f>
        <v/>
      </c>
      <c r="X708" s="7">
        <f>IF($C708="","",W708-K708)</f>
        <v/>
      </c>
      <c r="AB708" s="7" t="n"/>
      <c r="AE708" s="11" t="n"/>
      <c r="AG708">
        <f>IF($C708="","",IF(COUNTIF($C$2:$C708,$C708)=1,1,0))</f>
        <v/>
      </c>
      <c r="AH708">
        <f>IF($AG708=1,SUMPRODUCT(--($AK$2:$AK$6001&lt;$AK708))+1,"")</f>
        <v/>
      </c>
      <c r="AI708">
        <f>IF($C708="","",IF(OR($N708=TRUE(),$N708="TRUE"),1,0))</f>
        <v/>
      </c>
      <c r="AJ708">
        <f>IF($C708="","",IF($T708="Yes",1,0))</f>
        <v/>
      </c>
      <c r="AK708">
        <f>IF($AG708=1,IFERROR(IF(VALUE($C708)&lt;100000000,VALUE($C708),1000000000),IFERROR(IF(VALUE(MID($C708,2,20))&lt;100000000,VALUE(MID($C708,2,20)),1000000000),1000000000))+ROW()/100000,"")</f>
        <v/>
      </c>
    </row>
    <row r="709">
      <c r="D709" s="11" t="n"/>
      <c r="K709" s="7">
        <f>IF($C709="","",J709*W709/100)</f>
        <v/>
      </c>
      <c r="Q709" s="7" t="n"/>
      <c r="R709" s="7" t="n"/>
      <c r="U709">
        <f>IF($C709="","",IF($AJ709=1,0,IF($AI709=1,Settings!$C$6,Settings!$C$7))*100)</f>
        <v/>
      </c>
      <c r="V709" s="7">
        <f>IF($C709="","",R709*U709/100)</f>
        <v/>
      </c>
      <c r="W709" s="7">
        <f>IF($C709="","",R709-V709)</f>
        <v/>
      </c>
      <c r="X709" s="7">
        <f>IF($C709="","",W709-K709)</f>
        <v/>
      </c>
      <c r="AB709" s="7" t="n"/>
      <c r="AE709" s="11" t="n"/>
      <c r="AG709">
        <f>IF($C709="","",IF(COUNTIF($C$2:$C709,$C709)=1,1,0))</f>
        <v/>
      </c>
      <c r="AH709">
        <f>IF($AG709=1,SUMPRODUCT(--($AK$2:$AK$6001&lt;$AK709))+1,"")</f>
        <v/>
      </c>
      <c r="AI709">
        <f>IF($C709="","",IF(OR($N709=TRUE(),$N709="TRUE"),1,0))</f>
        <v/>
      </c>
      <c r="AJ709">
        <f>IF($C709="","",IF($T709="Yes",1,0))</f>
        <v/>
      </c>
      <c r="AK709">
        <f>IF($AG709=1,IFERROR(IF(VALUE($C709)&lt;100000000,VALUE($C709),1000000000),IFERROR(IF(VALUE(MID($C709,2,20))&lt;100000000,VALUE(MID($C709,2,20)),1000000000),1000000000))+ROW()/100000,"")</f>
        <v/>
      </c>
    </row>
    <row r="710">
      <c r="D710" s="11" t="n"/>
      <c r="K710" s="7">
        <f>IF($C710="","",J710*W710/100)</f>
        <v/>
      </c>
      <c r="Q710" s="7" t="n"/>
      <c r="R710" s="7" t="n"/>
      <c r="U710">
        <f>IF($C710="","",IF($AJ710=1,0,IF($AI710=1,Settings!$C$6,Settings!$C$7))*100)</f>
        <v/>
      </c>
      <c r="V710" s="7">
        <f>IF($C710="","",R710*U710/100)</f>
        <v/>
      </c>
      <c r="W710" s="7">
        <f>IF($C710="","",R710-V710)</f>
        <v/>
      </c>
      <c r="X710" s="7">
        <f>IF($C710="","",W710-K710)</f>
        <v/>
      </c>
      <c r="AB710" s="7" t="n"/>
      <c r="AE710" s="11" t="n"/>
      <c r="AG710">
        <f>IF($C710="","",IF(COUNTIF($C$2:$C710,$C710)=1,1,0))</f>
        <v/>
      </c>
      <c r="AH710">
        <f>IF($AG710=1,SUMPRODUCT(--($AK$2:$AK$6001&lt;$AK710))+1,"")</f>
        <v/>
      </c>
      <c r="AI710">
        <f>IF($C710="","",IF(OR($N710=TRUE(),$N710="TRUE"),1,0))</f>
        <v/>
      </c>
      <c r="AJ710">
        <f>IF($C710="","",IF($T710="Yes",1,0))</f>
        <v/>
      </c>
      <c r="AK710">
        <f>IF($AG710=1,IFERROR(IF(VALUE($C710)&lt;100000000,VALUE($C710),1000000000),IFERROR(IF(VALUE(MID($C710,2,20))&lt;100000000,VALUE(MID($C710,2,20)),1000000000),1000000000))+ROW()/100000,"")</f>
        <v/>
      </c>
    </row>
    <row r="711">
      <c r="D711" s="11" t="n"/>
      <c r="K711" s="7">
        <f>IF($C711="","",J711*W711/100)</f>
        <v/>
      </c>
      <c r="Q711" s="7" t="n"/>
      <c r="R711" s="7" t="n"/>
      <c r="U711">
        <f>IF($C711="","",IF($AJ711=1,0,IF($AI711=1,Settings!$C$6,Settings!$C$7))*100)</f>
        <v/>
      </c>
      <c r="V711" s="7">
        <f>IF($C711="","",R711*U711/100)</f>
        <v/>
      </c>
      <c r="W711" s="7">
        <f>IF($C711="","",R711-V711)</f>
        <v/>
      </c>
      <c r="X711" s="7">
        <f>IF($C711="","",W711-K711)</f>
        <v/>
      </c>
      <c r="AB711" s="7" t="n"/>
      <c r="AE711" s="11" t="n"/>
      <c r="AG711">
        <f>IF($C711="","",IF(COUNTIF($C$2:$C711,$C711)=1,1,0))</f>
        <v/>
      </c>
      <c r="AH711">
        <f>IF($AG711=1,SUMPRODUCT(--($AK$2:$AK$6001&lt;$AK711))+1,"")</f>
        <v/>
      </c>
      <c r="AI711">
        <f>IF($C711="","",IF(OR($N711=TRUE(),$N711="TRUE"),1,0))</f>
        <v/>
      </c>
      <c r="AJ711">
        <f>IF($C711="","",IF($T711="Yes",1,0))</f>
        <v/>
      </c>
      <c r="AK711">
        <f>IF($AG711=1,IFERROR(IF(VALUE($C711)&lt;100000000,VALUE($C711),1000000000),IFERROR(IF(VALUE(MID($C711,2,20))&lt;100000000,VALUE(MID($C711,2,20)),1000000000),1000000000))+ROW()/100000,"")</f>
        <v/>
      </c>
    </row>
    <row r="712">
      <c r="D712" s="11" t="n"/>
      <c r="K712" s="7">
        <f>IF($C712="","",J712*W712/100)</f>
        <v/>
      </c>
      <c r="Q712" s="7" t="n"/>
      <c r="R712" s="7" t="n"/>
      <c r="U712">
        <f>IF($C712="","",IF($AJ712=1,0,IF($AI712=1,Settings!$C$6,Settings!$C$7))*100)</f>
        <v/>
      </c>
      <c r="V712" s="7">
        <f>IF($C712="","",R712*U712/100)</f>
        <v/>
      </c>
      <c r="W712" s="7">
        <f>IF($C712="","",R712-V712)</f>
        <v/>
      </c>
      <c r="X712" s="7">
        <f>IF($C712="","",W712-K712)</f>
        <v/>
      </c>
      <c r="AB712" s="7" t="n"/>
      <c r="AE712" s="11" t="n"/>
      <c r="AG712">
        <f>IF($C712="","",IF(COUNTIF($C$2:$C712,$C712)=1,1,0))</f>
        <v/>
      </c>
      <c r="AH712">
        <f>IF($AG712=1,SUMPRODUCT(--($AK$2:$AK$6001&lt;$AK712))+1,"")</f>
        <v/>
      </c>
      <c r="AI712">
        <f>IF($C712="","",IF(OR($N712=TRUE(),$N712="TRUE"),1,0))</f>
        <v/>
      </c>
      <c r="AJ712">
        <f>IF($C712="","",IF($T712="Yes",1,0))</f>
        <v/>
      </c>
      <c r="AK712">
        <f>IF($AG712=1,IFERROR(IF(VALUE($C712)&lt;100000000,VALUE($C712),1000000000),IFERROR(IF(VALUE(MID($C712,2,20))&lt;100000000,VALUE(MID($C712,2,20)),1000000000),1000000000))+ROW()/100000,"")</f>
        <v/>
      </c>
    </row>
    <row r="713">
      <c r="D713" s="11" t="n"/>
      <c r="K713" s="7">
        <f>IF($C713="","",J713*W713/100)</f>
        <v/>
      </c>
      <c r="Q713" s="7" t="n"/>
      <c r="R713" s="7" t="n"/>
      <c r="U713">
        <f>IF($C713="","",IF($AJ713=1,0,IF($AI713=1,Settings!$C$6,Settings!$C$7))*100)</f>
        <v/>
      </c>
      <c r="V713" s="7">
        <f>IF($C713="","",R713*U713/100)</f>
        <v/>
      </c>
      <c r="W713" s="7">
        <f>IF($C713="","",R713-V713)</f>
        <v/>
      </c>
      <c r="X713" s="7">
        <f>IF($C713="","",W713-K713)</f>
        <v/>
      </c>
      <c r="AB713" s="7" t="n"/>
      <c r="AE713" s="11" t="n"/>
      <c r="AG713">
        <f>IF($C713="","",IF(COUNTIF($C$2:$C713,$C713)=1,1,0))</f>
        <v/>
      </c>
      <c r="AH713">
        <f>IF($AG713=1,SUMPRODUCT(--($AK$2:$AK$6001&lt;$AK713))+1,"")</f>
        <v/>
      </c>
      <c r="AI713">
        <f>IF($C713="","",IF(OR($N713=TRUE(),$N713="TRUE"),1,0))</f>
        <v/>
      </c>
      <c r="AJ713">
        <f>IF($C713="","",IF($T713="Yes",1,0))</f>
        <v/>
      </c>
      <c r="AK713">
        <f>IF($AG713=1,IFERROR(IF(VALUE($C713)&lt;100000000,VALUE($C713),1000000000),IFERROR(IF(VALUE(MID($C713,2,20))&lt;100000000,VALUE(MID($C713,2,20)),1000000000),1000000000))+ROW()/100000,"")</f>
        <v/>
      </c>
    </row>
    <row r="714">
      <c r="D714" s="11" t="n"/>
      <c r="K714" s="7">
        <f>IF($C714="","",J714*W714/100)</f>
        <v/>
      </c>
      <c r="Q714" s="7" t="n"/>
      <c r="R714" s="7" t="n"/>
      <c r="U714">
        <f>IF($C714="","",IF($AJ714=1,0,IF($AI714=1,Settings!$C$6,Settings!$C$7))*100)</f>
        <v/>
      </c>
      <c r="V714" s="7">
        <f>IF($C714="","",R714*U714/100)</f>
        <v/>
      </c>
      <c r="W714" s="7">
        <f>IF($C714="","",R714-V714)</f>
        <v/>
      </c>
      <c r="X714" s="7">
        <f>IF($C714="","",W714-K714)</f>
        <v/>
      </c>
      <c r="AB714" s="7" t="n"/>
      <c r="AE714" s="11" t="n"/>
      <c r="AG714">
        <f>IF($C714="","",IF(COUNTIF($C$2:$C714,$C714)=1,1,0))</f>
        <v/>
      </c>
      <c r="AH714">
        <f>IF($AG714=1,SUMPRODUCT(--($AK$2:$AK$6001&lt;$AK714))+1,"")</f>
        <v/>
      </c>
      <c r="AI714">
        <f>IF($C714="","",IF(OR($N714=TRUE(),$N714="TRUE"),1,0))</f>
        <v/>
      </c>
      <c r="AJ714">
        <f>IF($C714="","",IF($T714="Yes",1,0))</f>
        <v/>
      </c>
      <c r="AK714">
        <f>IF($AG714=1,IFERROR(IF(VALUE($C714)&lt;100000000,VALUE($C714),1000000000),IFERROR(IF(VALUE(MID($C714,2,20))&lt;100000000,VALUE(MID($C714,2,20)),1000000000),1000000000))+ROW()/100000,"")</f>
        <v/>
      </c>
    </row>
    <row r="715">
      <c r="D715" s="11" t="n"/>
      <c r="K715" s="7">
        <f>IF($C715="","",J715*W715/100)</f>
        <v/>
      </c>
      <c r="Q715" s="7" t="n"/>
      <c r="R715" s="7" t="n"/>
      <c r="U715">
        <f>IF($C715="","",IF($AJ715=1,0,IF($AI715=1,Settings!$C$6,Settings!$C$7))*100)</f>
        <v/>
      </c>
      <c r="V715" s="7">
        <f>IF($C715="","",R715*U715/100)</f>
        <v/>
      </c>
      <c r="W715" s="7">
        <f>IF($C715="","",R715-V715)</f>
        <v/>
      </c>
      <c r="X715" s="7">
        <f>IF($C715="","",W715-K715)</f>
        <v/>
      </c>
      <c r="AB715" s="7" t="n"/>
      <c r="AE715" s="11" t="n"/>
      <c r="AG715">
        <f>IF($C715="","",IF(COUNTIF($C$2:$C715,$C715)=1,1,0))</f>
        <v/>
      </c>
      <c r="AH715">
        <f>IF($AG715=1,SUMPRODUCT(--($AK$2:$AK$6001&lt;$AK715))+1,"")</f>
        <v/>
      </c>
      <c r="AI715">
        <f>IF($C715="","",IF(OR($N715=TRUE(),$N715="TRUE"),1,0))</f>
        <v/>
      </c>
      <c r="AJ715">
        <f>IF($C715="","",IF($T715="Yes",1,0))</f>
        <v/>
      </c>
      <c r="AK715">
        <f>IF($AG715=1,IFERROR(IF(VALUE($C715)&lt;100000000,VALUE($C715),1000000000),IFERROR(IF(VALUE(MID($C715,2,20))&lt;100000000,VALUE(MID($C715,2,20)),1000000000),1000000000))+ROW()/100000,"")</f>
        <v/>
      </c>
    </row>
    <row r="716">
      <c r="D716" s="11" t="n"/>
      <c r="K716" s="7">
        <f>IF($C716="","",J716*W716/100)</f>
        <v/>
      </c>
      <c r="Q716" s="7" t="n"/>
      <c r="R716" s="7" t="n"/>
      <c r="U716">
        <f>IF($C716="","",IF($AJ716=1,0,IF($AI716=1,Settings!$C$6,Settings!$C$7))*100)</f>
        <v/>
      </c>
      <c r="V716" s="7">
        <f>IF($C716="","",R716*U716/100)</f>
        <v/>
      </c>
      <c r="W716" s="7">
        <f>IF($C716="","",R716-V716)</f>
        <v/>
      </c>
      <c r="X716" s="7">
        <f>IF($C716="","",W716-K716)</f>
        <v/>
      </c>
      <c r="AB716" s="7" t="n"/>
      <c r="AE716" s="11" t="n"/>
      <c r="AG716">
        <f>IF($C716="","",IF(COUNTIF($C$2:$C716,$C716)=1,1,0))</f>
        <v/>
      </c>
      <c r="AH716">
        <f>IF($AG716=1,SUMPRODUCT(--($AK$2:$AK$6001&lt;$AK716))+1,"")</f>
        <v/>
      </c>
      <c r="AI716">
        <f>IF($C716="","",IF(OR($N716=TRUE(),$N716="TRUE"),1,0))</f>
        <v/>
      </c>
      <c r="AJ716">
        <f>IF($C716="","",IF($T716="Yes",1,0))</f>
        <v/>
      </c>
      <c r="AK716">
        <f>IF($AG716=1,IFERROR(IF(VALUE($C716)&lt;100000000,VALUE($C716),1000000000),IFERROR(IF(VALUE(MID($C716,2,20))&lt;100000000,VALUE(MID($C716,2,20)),1000000000),1000000000))+ROW()/100000,"")</f>
        <v/>
      </c>
    </row>
    <row r="717">
      <c r="D717" s="11" t="n"/>
      <c r="K717" s="7">
        <f>IF($C717="","",J717*W717/100)</f>
        <v/>
      </c>
      <c r="Q717" s="7" t="n"/>
      <c r="R717" s="7" t="n"/>
      <c r="U717">
        <f>IF($C717="","",IF($AJ717=1,0,IF($AI717=1,Settings!$C$6,Settings!$C$7))*100)</f>
        <v/>
      </c>
      <c r="V717" s="7">
        <f>IF($C717="","",R717*U717/100)</f>
        <v/>
      </c>
      <c r="W717" s="7">
        <f>IF($C717="","",R717-V717)</f>
        <v/>
      </c>
      <c r="X717" s="7">
        <f>IF($C717="","",W717-K717)</f>
        <v/>
      </c>
      <c r="AB717" s="7" t="n"/>
      <c r="AE717" s="11" t="n"/>
      <c r="AG717">
        <f>IF($C717="","",IF(COUNTIF($C$2:$C717,$C717)=1,1,0))</f>
        <v/>
      </c>
      <c r="AH717">
        <f>IF($AG717=1,SUMPRODUCT(--($AK$2:$AK$6001&lt;$AK717))+1,"")</f>
        <v/>
      </c>
      <c r="AI717">
        <f>IF($C717="","",IF(OR($N717=TRUE(),$N717="TRUE"),1,0))</f>
        <v/>
      </c>
      <c r="AJ717">
        <f>IF($C717="","",IF($T717="Yes",1,0))</f>
        <v/>
      </c>
      <c r="AK717">
        <f>IF($AG717=1,IFERROR(IF(VALUE($C717)&lt;100000000,VALUE($C717),1000000000),IFERROR(IF(VALUE(MID($C717,2,20))&lt;100000000,VALUE(MID($C717,2,20)),1000000000),1000000000))+ROW()/100000,"")</f>
        <v/>
      </c>
    </row>
    <row r="718">
      <c r="D718" s="11" t="n"/>
      <c r="K718" s="7">
        <f>IF($C718="","",J718*W718/100)</f>
        <v/>
      </c>
      <c r="Q718" s="7" t="n"/>
      <c r="R718" s="7" t="n"/>
      <c r="U718">
        <f>IF($C718="","",IF($AJ718=1,0,IF($AI718=1,Settings!$C$6,Settings!$C$7))*100)</f>
        <v/>
      </c>
      <c r="V718" s="7">
        <f>IF($C718="","",R718*U718/100)</f>
        <v/>
      </c>
      <c r="W718" s="7">
        <f>IF($C718="","",R718-V718)</f>
        <v/>
      </c>
      <c r="X718" s="7">
        <f>IF($C718="","",W718-K718)</f>
        <v/>
      </c>
      <c r="AB718" s="7" t="n"/>
      <c r="AE718" s="11" t="n"/>
      <c r="AG718">
        <f>IF($C718="","",IF(COUNTIF($C$2:$C718,$C718)=1,1,0))</f>
        <v/>
      </c>
      <c r="AH718">
        <f>IF($AG718=1,SUMPRODUCT(--($AK$2:$AK$6001&lt;$AK718))+1,"")</f>
        <v/>
      </c>
      <c r="AI718">
        <f>IF($C718="","",IF(OR($N718=TRUE(),$N718="TRUE"),1,0))</f>
        <v/>
      </c>
      <c r="AJ718">
        <f>IF($C718="","",IF($T718="Yes",1,0))</f>
        <v/>
      </c>
      <c r="AK718">
        <f>IF($AG718=1,IFERROR(IF(VALUE($C718)&lt;100000000,VALUE($C718),1000000000),IFERROR(IF(VALUE(MID($C718,2,20))&lt;100000000,VALUE(MID($C718,2,20)),1000000000),1000000000))+ROW()/100000,"")</f>
        <v/>
      </c>
    </row>
    <row r="719">
      <c r="D719" s="11" t="n"/>
      <c r="K719" s="7">
        <f>IF($C719="","",J719*W719/100)</f>
        <v/>
      </c>
      <c r="Q719" s="7" t="n"/>
      <c r="R719" s="7" t="n"/>
      <c r="U719">
        <f>IF($C719="","",IF($AJ719=1,0,IF($AI719=1,Settings!$C$6,Settings!$C$7))*100)</f>
        <v/>
      </c>
      <c r="V719" s="7">
        <f>IF($C719="","",R719*U719/100)</f>
        <v/>
      </c>
      <c r="W719" s="7">
        <f>IF($C719="","",R719-V719)</f>
        <v/>
      </c>
      <c r="X719" s="7">
        <f>IF($C719="","",W719-K719)</f>
        <v/>
      </c>
      <c r="AB719" s="7" t="n"/>
      <c r="AE719" s="11" t="n"/>
      <c r="AG719">
        <f>IF($C719="","",IF(COUNTIF($C$2:$C719,$C719)=1,1,0))</f>
        <v/>
      </c>
      <c r="AH719">
        <f>IF($AG719=1,SUMPRODUCT(--($AK$2:$AK$6001&lt;$AK719))+1,"")</f>
        <v/>
      </c>
      <c r="AI719">
        <f>IF($C719="","",IF(OR($N719=TRUE(),$N719="TRUE"),1,0))</f>
        <v/>
      </c>
      <c r="AJ719">
        <f>IF($C719="","",IF($T719="Yes",1,0))</f>
        <v/>
      </c>
      <c r="AK719">
        <f>IF($AG719=1,IFERROR(IF(VALUE($C719)&lt;100000000,VALUE($C719),1000000000),IFERROR(IF(VALUE(MID($C719,2,20))&lt;100000000,VALUE(MID($C719,2,20)),1000000000),1000000000))+ROW()/100000,"")</f>
        <v/>
      </c>
    </row>
    <row r="720">
      <c r="D720" s="11" t="n"/>
      <c r="K720" s="7">
        <f>IF($C720="","",J720*W720/100)</f>
        <v/>
      </c>
      <c r="Q720" s="7" t="n"/>
      <c r="R720" s="7" t="n"/>
      <c r="U720">
        <f>IF($C720="","",IF($AJ720=1,0,IF($AI720=1,Settings!$C$6,Settings!$C$7))*100)</f>
        <v/>
      </c>
      <c r="V720" s="7">
        <f>IF($C720="","",R720*U720/100)</f>
        <v/>
      </c>
      <c r="W720" s="7">
        <f>IF($C720="","",R720-V720)</f>
        <v/>
      </c>
      <c r="X720" s="7">
        <f>IF($C720="","",W720-K720)</f>
        <v/>
      </c>
      <c r="AB720" s="7" t="n"/>
      <c r="AE720" s="11" t="n"/>
      <c r="AG720">
        <f>IF($C720="","",IF(COUNTIF($C$2:$C720,$C720)=1,1,0))</f>
        <v/>
      </c>
      <c r="AH720">
        <f>IF($AG720=1,SUMPRODUCT(--($AK$2:$AK$6001&lt;$AK720))+1,"")</f>
        <v/>
      </c>
      <c r="AI720">
        <f>IF($C720="","",IF(OR($N720=TRUE(),$N720="TRUE"),1,0))</f>
        <v/>
      </c>
      <c r="AJ720">
        <f>IF($C720="","",IF($T720="Yes",1,0))</f>
        <v/>
      </c>
      <c r="AK720">
        <f>IF($AG720=1,IFERROR(IF(VALUE($C720)&lt;100000000,VALUE($C720),1000000000),IFERROR(IF(VALUE(MID($C720,2,20))&lt;100000000,VALUE(MID($C720,2,20)),1000000000),1000000000))+ROW()/100000,"")</f>
        <v/>
      </c>
    </row>
    <row r="721">
      <c r="D721" s="11" t="n"/>
      <c r="K721" s="7">
        <f>IF($C721="","",J721*W721/100)</f>
        <v/>
      </c>
      <c r="Q721" s="7" t="n"/>
      <c r="R721" s="7" t="n"/>
      <c r="U721">
        <f>IF($C721="","",IF($AJ721=1,0,IF($AI721=1,Settings!$C$6,Settings!$C$7))*100)</f>
        <v/>
      </c>
      <c r="V721" s="7">
        <f>IF($C721="","",R721*U721/100)</f>
        <v/>
      </c>
      <c r="W721" s="7">
        <f>IF($C721="","",R721-V721)</f>
        <v/>
      </c>
      <c r="X721" s="7">
        <f>IF($C721="","",W721-K721)</f>
        <v/>
      </c>
      <c r="AB721" s="7" t="n"/>
      <c r="AE721" s="11" t="n"/>
      <c r="AG721">
        <f>IF($C721="","",IF(COUNTIF($C$2:$C721,$C721)=1,1,0))</f>
        <v/>
      </c>
      <c r="AH721">
        <f>IF($AG721=1,SUMPRODUCT(--($AK$2:$AK$6001&lt;$AK721))+1,"")</f>
        <v/>
      </c>
      <c r="AI721">
        <f>IF($C721="","",IF(OR($N721=TRUE(),$N721="TRUE"),1,0))</f>
        <v/>
      </c>
      <c r="AJ721">
        <f>IF($C721="","",IF($T721="Yes",1,0))</f>
        <v/>
      </c>
      <c r="AK721">
        <f>IF($AG721=1,IFERROR(IF(VALUE($C721)&lt;100000000,VALUE($C721),1000000000),IFERROR(IF(VALUE(MID($C721,2,20))&lt;100000000,VALUE(MID($C721,2,20)),1000000000),1000000000))+ROW()/100000,"")</f>
        <v/>
      </c>
    </row>
    <row r="722">
      <c r="D722" s="11" t="n"/>
      <c r="K722" s="7">
        <f>IF($C722="","",J722*W722/100)</f>
        <v/>
      </c>
      <c r="Q722" s="7" t="n"/>
      <c r="R722" s="7" t="n"/>
      <c r="U722">
        <f>IF($C722="","",IF($AJ722=1,0,IF($AI722=1,Settings!$C$6,Settings!$C$7))*100)</f>
        <v/>
      </c>
      <c r="V722" s="7">
        <f>IF($C722="","",R722*U722/100)</f>
        <v/>
      </c>
      <c r="W722" s="7">
        <f>IF($C722="","",R722-V722)</f>
        <v/>
      </c>
      <c r="X722" s="7">
        <f>IF($C722="","",W722-K722)</f>
        <v/>
      </c>
      <c r="AB722" s="7" t="n"/>
      <c r="AE722" s="11" t="n"/>
      <c r="AG722">
        <f>IF($C722="","",IF(COUNTIF($C$2:$C722,$C722)=1,1,0))</f>
        <v/>
      </c>
      <c r="AH722">
        <f>IF($AG722=1,SUMPRODUCT(--($AK$2:$AK$6001&lt;$AK722))+1,"")</f>
        <v/>
      </c>
      <c r="AI722">
        <f>IF($C722="","",IF(OR($N722=TRUE(),$N722="TRUE"),1,0))</f>
        <v/>
      </c>
      <c r="AJ722">
        <f>IF($C722="","",IF($T722="Yes",1,0))</f>
        <v/>
      </c>
      <c r="AK722">
        <f>IF($AG722=1,IFERROR(IF(VALUE($C722)&lt;100000000,VALUE($C722),1000000000),IFERROR(IF(VALUE(MID($C722,2,20))&lt;100000000,VALUE(MID($C722,2,20)),1000000000),1000000000))+ROW()/100000,"")</f>
        <v/>
      </c>
    </row>
    <row r="723">
      <c r="D723" s="11" t="n"/>
      <c r="K723" s="7">
        <f>IF($C723="","",J723*W723/100)</f>
        <v/>
      </c>
      <c r="Q723" s="7" t="n"/>
      <c r="R723" s="7" t="n"/>
      <c r="U723">
        <f>IF($C723="","",IF($AJ723=1,0,IF($AI723=1,Settings!$C$6,Settings!$C$7))*100)</f>
        <v/>
      </c>
      <c r="V723" s="7">
        <f>IF($C723="","",R723*U723/100)</f>
        <v/>
      </c>
      <c r="W723" s="7">
        <f>IF($C723="","",R723-V723)</f>
        <v/>
      </c>
      <c r="X723" s="7">
        <f>IF($C723="","",W723-K723)</f>
        <v/>
      </c>
      <c r="AB723" s="7" t="n"/>
      <c r="AE723" s="11" t="n"/>
      <c r="AG723">
        <f>IF($C723="","",IF(COUNTIF($C$2:$C723,$C723)=1,1,0))</f>
        <v/>
      </c>
      <c r="AH723">
        <f>IF($AG723=1,SUMPRODUCT(--($AK$2:$AK$6001&lt;$AK723))+1,"")</f>
        <v/>
      </c>
      <c r="AI723">
        <f>IF($C723="","",IF(OR($N723=TRUE(),$N723="TRUE"),1,0))</f>
        <v/>
      </c>
      <c r="AJ723">
        <f>IF($C723="","",IF($T723="Yes",1,0))</f>
        <v/>
      </c>
      <c r="AK723">
        <f>IF($AG723=1,IFERROR(IF(VALUE($C723)&lt;100000000,VALUE($C723),1000000000),IFERROR(IF(VALUE(MID($C723,2,20))&lt;100000000,VALUE(MID($C723,2,20)),1000000000),1000000000))+ROW()/100000,"")</f>
        <v/>
      </c>
    </row>
    <row r="724">
      <c r="D724" s="11" t="n"/>
      <c r="K724" s="7">
        <f>IF($C724="","",J724*W724/100)</f>
        <v/>
      </c>
      <c r="Q724" s="7" t="n"/>
      <c r="R724" s="7" t="n"/>
      <c r="U724">
        <f>IF($C724="","",IF($AJ724=1,0,IF($AI724=1,Settings!$C$6,Settings!$C$7))*100)</f>
        <v/>
      </c>
      <c r="V724" s="7">
        <f>IF($C724="","",R724*U724/100)</f>
        <v/>
      </c>
      <c r="W724" s="7">
        <f>IF($C724="","",R724-V724)</f>
        <v/>
      </c>
      <c r="X724" s="7">
        <f>IF($C724="","",W724-K724)</f>
        <v/>
      </c>
      <c r="AB724" s="7" t="n"/>
      <c r="AE724" s="11" t="n"/>
      <c r="AG724">
        <f>IF($C724="","",IF(COUNTIF($C$2:$C724,$C724)=1,1,0))</f>
        <v/>
      </c>
      <c r="AH724">
        <f>IF($AG724=1,SUMPRODUCT(--($AK$2:$AK$6001&lt;$AK724))+1,"")</f>
        <v/>
      </c>
      <c r="AI724">
        <f>IF($C724="","",IF(OR($N724=TRUE(),$N724="TRUE"),1,0))</f>
        <v/>
      </c>
      <c r="AJ724">
        <f>IF($C724="","",IF($T724="Yes",1,0))</f>
        <v/>
      </c>
      <c r="AK724">
        <f>IF($AG724=1,IFERROR(IF(VALUE($C724)&lt;100000000,VALUE($C724),1000000000),IFERROR(IF(VALUE(MID($C724,2,20))&lt;100000000,VALUE(MID($C724,2,20)),1000000000),1000000000))+ROW()/100000,"")</f>
        <v/>
      </c>
    </row>
    <row r="725">
      <c r="D725" s="11" t="n"/>
      <c r="K725" s="7">
        <f>IF($C725="","",J725*W725/100)</f>
        <v/>
      </c>
      <c r="Q725" s="7" t="n"/>
      <c r="R725" s="7" t="n"/>
      <c r="U725">
        <f>IF($C725="","",IF($AJ725=1,0,IF($AI725=1,Settings!$C$6,Settings!$C$7))*100)</f>
        <v/>
      </c>
      <c r="V725" s="7">
        <f>IF($C725="","",R725*U725/100)</f>
        <v/>
      </c>
      <c r="W725" s="7">
        <f>IF($C725="","",R725-V725)</f>
        <v/>
      </c>
      <c r="X725" s="7">
        <f>IF($C725="","",W725-K725)</f>
        <v/>
      </c>
      <c r="AB725" s="7" t="n"/>
      <c r="AE725" s="11" t="n"/>
      <c r="AG725">
        <f>IF($C725="","",IF(COUNTIF($C$2:$C725,$C725)=1,1,0))</f>
        <v/>
      </c>
      <c r="AH725">
        <f>IF($AG725=1,SUMPRODUCT(--($AK$2:$AK$6001&lt;$AK725))+1,"")</f>
        <v/>
      </c>
      <c r="AI725">
        <f>IF($C725="","",IF(OR($N725=TRUE(),$N725="TRUE"),1,0))</f>
        <v/>
      </c>
      <c r="AJ725">
        <f>IF($C725="","",IF($T725="Yes",1,0))</f>
        <v/>
      </c>
      <c r="AK725">
        <f>IF($AG725=1,IFERROR(IF(VALUE($C725)&lt;100000000,VALUE($C725),1000000000),IFERROR(IF(VALUE(MID($C725,2,20))&lt;100000000,VALUE(MID($C725,2,20)),1000000000),1000000000))+ROW()/100000,"")</f>
        <v/>
      </c>
    </row>
    <row r="726">
      <c r="D726" s="11" t="n"/>
      <c r="K726" s="7">
        <f>IF($C726="","",J726*W726/100)</f>
        <v/>
      </c>
      <c r="Q726" s="7" t="n"/>
      <c r="R726" s="7" t="n"/>
      <c r="U726">
        <f>IF($C726="","",IF($AJ726=1,0,IF($AI726=1,Settings!$C$6,Settings!$C$7))*100)</f>
        <v/>
      </c>
      <c r="V726" s="7">
        <f>IF($C726="","",R726*U726/100)</f>
        <v/>
      </c>
      <c r="W726" s="7">
        <f>IF($C726="","",R726-V726)</f>
        <v/>
      </c>
      <c r="X726" s="7">
        <f>IF($C726="","",W726-K726)</f>
        <v/>
      </c>
      <c r="AB726" s="7" t="n"/>
      <c r="AE726" s="11" t="n"/>
      <c r="AG726">
        <f>IF($C726="","",IF(COUNTIF($C$2:$C726,$C726)=1,1,0))</f>
        <v/>
      </c>
      <c r="AH726">
        <f>IF($AG726=1,SUMPRODUCT(--($AK$2:$AK$6001&lt;$AK726))+1,"")</f>
        <v/>
      </c>
      <c r="AI726">
        <f>IF($C726="","",IF(OR($N726=TRUE(),$N726="TRUE"),1,0))</f>
        <v/>
      </c>
      <c r="AJ726">
        <f>IF($C726="","",IF($T726="Yes",1,0))</f>
        <v/>
      </c>
      <c r="AK726">
        <f>IF($AG726=1,IFERROR(IF(VALUE($C726)&lt;100000000,VALUE($C726),1000000000),IFERROR(IF(VALUE(MID($C726,2,20))&lt;100000000,VALUE(MID($C726,2,20)),1000000000),1000000000))+ROW()/100000,"")</f>
        <v/>
      </c>
    </row>
    <row r="727">
      <c r="D727" s="11" t="n"/>
      <c r="K727" s="7">
        <f>IF($C727="","",J727*W727/100)</f>
        <v/>
      </c>
      <c r="Q727" s="7" t="n"/>
      <c r="R727" s="7" t="n"/>
      <c r="U727">
        <f>IF($C727="","",IF($AJ727=1,0,IF($AI727=1,Settings!$C$6,Settings!$C$7))*100)</f>
        <v/>
      </c>
      <c r="V727" s="7">
        <f>IF($C727="","",R727*U727/100)</f>
        <v/>
      </c>
      <c r="W727" s="7">
        <f>IF($C727="","",R727-V727)</f>
        <v/>
      </c>
      <c r="X727" s="7">
        <f>IF($C727="","",W727-K727)</f>
        <v/>
      </c>
      <c r="AB727" s="7" t="n"/>
      <c r="AE727" s="11" t="n"/>
      <c r="AG727">
        <f>IF($C727="","",IF(COUNTIF($C$2:$C727,$C727)=1,1,0))</f>
        <v/>
      </c>
      <c r="AH727">
        <f>IF($AG727=1,SUMPRODUCT(--($AK$2:$AK$6001&lt;$AK727))+1,"")</f>
        <v/>
      </c>
      <c r="AI727">
        <f>IF($C727="","",IF(OR($N727=TRUE(),$N727="TRUE"),1,0))</f>
        <v/>
      </c>
      <c r="AJ727">
        <f>IF($C727="","",IF($T727="Yes",1,0))</f>
        <v/>
      </c>
      <c r="AK727">
        <f>IF($AG727=1,IFERROR(IF(VALUE($C727)&lt;100000000,VALUE($C727),1000000000),IFERROR(IF(VALUE(MID($C727,2,20))&lt;100000000,VALUE(MID($C727,2,20)),1000000000),1000000000))+ROW()/100000,"")</f>
        <v/>
      </c>
    </row>
    <row r="728">
      <c r="D728" s="11" t="n"/>
      <c r="K728" s="7">
        <f>IF($C728="","",J728*W728/100)</f>
        <v/>
      </c>
      <c r="Q728" s="7" t="n"/>
      <c r="R728" s="7" t="n"/>
      <c r="U728">
        <f>IF($C728="","",IF($AJ728=1,0,IF($AI728=1,Settings!$C$6,Settings!$C$7))*100)</f>
        <v/>
      </c>
      <c r="V728" s="7">
        <f>IF($C728="","",R728*U728/100)</f>
        <v/>
      </c>
      <c r="W728" s="7">
        <f>IF($C728="","",R728-V728)</f>
        <v/>
      </c>
      <c r="X728" s="7">
        <f>IF($C728="","",W728-K728)</f>
        <v/>
      </c>
      <c r="AB728" s="7" t="n"/>
      <c r="AE728" s="11" t="n"/>
      <c r="AG728">
        <f>IF($C728="","",IF(COUNTIF($C$2:$C728,$C728)=1,1,0))</f>
        <v/>
      </c>
      <c r="AH728">
        <f>IF($AG728=1,SUMPRODUCT(--($AK$2:$AK$6001&lt;$AK728))+1,"")</f>
        <v/>
      </c>
      <c r="AI728">
        <f>IF($C728="","",IF(OR($N728=TRUE(),$N728="TRUE"),1,0))</f>
        <v/>
      </c>
      <c r="AJ728">
        <f>IF($C728="","",IF($T728="Yes",1,0))</f>
        <v/>
      </c>
      <c r="AK728">
        <f>IF($AG728=1,IFERROR(IF(VALUE($C728)&lt;100000000,VALUE($C728),1000000000),IFERROR(IF(VALUE(MID($C728,2,20))&lt;100000000,VALUE(MID($C728,2,20)),1000000000),1000000000))+ROW()/100000,"")</f>
        <v/>
      </c>
    </row>
    <row r="729">
      <c r="D729" s="11" t="n"/>
      <c r="K729" s="7">
        <f>IF($C729="","",J729*W729/100)</f>
        <v/>
      </c>
      <c r="Q729" s="7" t="n"/>
      <c r="R729" s="7" t="n"/>
      <c r="U729">
        <f>IF($C729="","",IF($AJ729=1,0,IF($AI729=1,Settings!$C$6,Settings!$C$7))*100)</f>
        <v/>
      </c>
      <c r="V729" s="7">
        <f>IF($C729="","",R729*U729/100)</f>
        <v/>
      </c>
      <c r="W729" s="7">
        <f>IF($C729="","",R729-V729)</f>
        <v/>
      </c>
      <c r="X729" s="7">
        <f>IF($C729="","",W729-K729)</f>
        <v/>
      </c>
      <c r="AB729" s="7" t="n"/>
      <c r="AE729" s="11" t="n"/>
      <c r="AG729">
        <f>IF($C729="","",IF(COUNTIF($C$2:$C729,$C729)=1,1,0))</f>
        <v/>
      </c>
      <c r="AH729">
        <f>IF($AG729=1,SUMPRODUCT(--($AK$2:$AK$6001&lt;$AK729))+1,"")</f>
        <v/>
      </c>
      <c r="AI729">
        <f>IF($C729="","",IF(OR($N729=TRUE(),$N729="TRUE"),1,0))</f>
        <v/>
      </c>
      <c r="AJ729">
        <f>IF($C729="","",IF($T729="Yes",1,0))</f>
        <v/>
      </c>
      <c r="AK729">
        <f>IF($AG729=1,IFERROR(IF(VALUE($C729)&lt;100000000,VALUE($C729),1000000000),IFERROR(IF(VALUE(MID($C729,2,20))&lt;100000000,VALUE(MID($C729,2,20)),1000000000),1000000000))+ROW()/100000,"")</f>
        <v/>
      </c>
    </row>
    <row r="730">
      <c r="D730" s="11" t="n"/>
      <c r="K730" s="7">
        <f>IF($C730="","",J730*W730/100)</f>
        <v/>
      </c>
      <c r="Q730" s="7" t="n"/>
      <c r="R730" s="7" t="n"/>
      <c r="U730">
        <f>IF($C730="","",IF($AJ730=1,0,IF($AI730=1,Settings!$C$6,Settings!$C$7))*100)</f>
        <v/>
      </c>
      <c r="V730" s="7">
        <f>IF($C730="","",R730*U730/100)</f>
        <v/>
      </c>
      <c r="W730" s="7">
        <f>IF($C730="","",R730-V730)</f>
        <v/>
      </c>
      <c r="X730" s="7">
        <f>IF($C730="","",W730-K730)</f>
        <v/>
      </c>
      <c r="AB730" s="7" t="n"/>
      <c r="AE730" s="11" t="n"/>
      <c r="AG730">
        <f>IF($C730="","",IF(COUNTIF($C$2:$C730,$C730)=1,1,0))</f>
        <v/>
      </c>
      <c r="AH730">
        <f>IF($AG730=1,SUMPRODUCT(--($AK$2:$AK$6001&lt;$AK730))+1,"")</f>
        <v/>
      </c>
      <c r="AI730">
        <f>IF($C730="","",IF(OR($N730=TRUE(),$N730="TRUE"),1,0))</f>
        <v/>
      </c>
      <c r="AJ730">
        <f>IF($C730="","",IF($T730="Yes",1,0))</f>
        <v/>
      </c>
      <c r="AK730">
        <f>IF($AG730=1,IFERROR(IF(VALUE($C730)&lt;100000000,VALUE($C730),1000000000),IFERROR(IF(VALUE(MID($C730,2,20))&lt;100000000,VALUE(MID($C730,2,20)),1000000000),1000000000))+ROW()/100000,"")</f>
        <v/>
      </c>
    </row>
    <row r="731">
      <c r="D731" s="11" t="n"/>
      <c r="K731" s="7">
        <f>IF($C731="","",J731*W731/100)</f>
        <v/>
      </c>
      <c r="Q731" s="7" t="n"/>
      <c r="R731" s="7" t="n"/>
      <c r="U731">
        <f>IF($C731="","",IF($AJ731=1,0,IF($AI731=1,Settings!$C$6,Settings!$C$7))*100)</f>
        <v/>
      </c>
      <c r="V731" s="7">
        <f>IF($C731="","",R731*U731/100)</f>
        <v/>
      </c>
      <c r="W731" s="7">
        <f>IF($C731="","",R731-V731)</f>
        <v/>
      </c>
      <c r="X731" s="7">
        <f>IF($C731="","",W731-K731)</f>
        <v/>
      </c>
      <c r="AB731" s="7" t="n"/>
      <c r="AE731" s="11" t="n"/>
      <c r="AG731">
        <f>IF($C731="","",IF(COUNTIF($C$2:$C731,$C731)=1,1,0))</f>
        <v/>
      </c>
      <c r="AH731">
        <f>IF($AG731=1,SUMPRODUCT(--($AK$2:$AK$6001&lt;$AK731))+1,"")</f>
        <v/>
      </c>
      <c r="AI731">
        <f>IF($C731="","",IF(OR($N731=TRUE(),$N731="TRUE"),1,0))</f>
        <v/>
      </c>
      <c r="AJ731">
        <f>IF($C731="","",IF($T731="Yes",1,0))</f>
        <v/>
      </c>
      <c r="AK731">
        <f>IF($AG731=1,IFERROR(IF(VALUE($C731)&lt;100000000,VALUE($C731),1000000000),IFERROR(IF(VALUE(MID($C731,2,20))&lt;100000000,VALUE(MID($C731,2,20)),1000000000),1000000000))+ROW()/100000,"")</f>
        <v/>
      </c>
    </row>
    <row r="732">
      <c r="D732" s="11" t="n"/>
      <c r="K732" s="7">
        <f>IF($C732="","",J732*W732/100)</f>
        <v/>
      </c>
      <c r="Q732" s="7" t="n"/>
      <c r="R732" s="7" t="n"/>
      <c r="U732">
        <f>IF($C732="","",IF($AJ732=1,0,IF($AI732=1,Settings!$C$6,Settings!$C$7))*100)</f>
        <v/>
      </c>
      <c r="V732" s="7">
        <f>IF($C732="","",R732*U732/100)</f>
        <v/>
      </c>
      <c r="W732" s="7">
        <f>IF($C732="","",R732-V732)</f>
        <v/>
      </c>
      <c r="X732" s="7">
        <f>IF($C732="","",W732-K732)</f>
        <v/>
      </c>
      <c r="AB732" s="7" t="n"/>
      <c r="AE732" s="11" t="n"/>
      <c r="AG732">
        <f>IF($C732="","",IF(COUNTIF($C$2:$C732,$C732)=1,1,0))</f>
        <v/>
      </c>
      <c r="AH732">
        <f>IF($AG732=1,SUMPRODUCT(--($AK$2:$AK$6001&lt;$AK732))+1,"")</f>
        <v/>
      </c>
      <c r="AI732">
        <f>IF($C732="","",IF(OR($N732=TRUE(),$N732="TRUE"),1,0))</f>
        <v/>
      </c>
      <c r="AJ732">
        <f>IF($C732="","",IF($T732="Yes",1,0))</f>
        <v/>
      </c>
      <c r="AK732">
        <f>IF($AG732=1,IFERROR(IF(VALUE($C732)&lt;100000000,VALUE($C732),1000000000),IFERROR(IF(VALUE(MID($C732,2,20))&lt;100000000,VALUE(MID($C732,2,20)),1000000000),1000000000))+ROW()/100000,"")</f>
        <v/>
      </c>
    </row>
    <row r="733">
      <c r="D733" s="11" t="n"/>
      <c r="K733" s="7">
        <f>IF($C733="","",J733*W733/100)</f>
        <v/>
      </c>
      <c r="Q733" s="7" t="n"/>
      <c r="R733" s="7" t="n"/>
      <c r="U733">
        <f>IF($C733="","",IF($AJ733=1,0,IF($AI733=1,Settings!$C$6,Settings!$C$7))*100)</f>
        <v/>
      </c>
      <c r="V733" s="7">
        <f>IF($C733="","",R733*U733/100)</f>
        <v/>
      </c>
      <c r="W733" s="7">
        <f>IF($C733="","",R733-V733)</f>
        <v/>
      </c>
      <c r="X733" s="7">
        <f>IF($C733="","",W733-K733)</f>
        <v/>
      </c>
      <c r="AB733" s="7" t="n"/>
      <c r="AE733" s="11" t="n"/>
      <c r="AG733">
        <f>IF($C733="","",IF(COUNTIF($C$2:$C733,$C733)=1,1,0))</f>
        <v/>
      </c>
      <c r="AH733">
        <f>IF($AG733=1,SUMPRODUCT(--($AK$2:$AK$6001&lt;$AK733))+1,"")</f>
        <v/>
      </c>
      <c r="AI733">
        <f>IF($C733="","",IF(OR($N733=TRUE(),$N733="TRUE"),1,0))</f>
        <v/>
      </c>
      <c r="AJ733">
        <f>IF($C733="","",IF($T733="Yes",1,0))</f>
        <v/>
      </c>
      <c r="AK733">
        <f>IF($AG733=1,IFERROR(IF(VALUE($C733)&lt;100000000,VALUE($C733),1000000000),IFERROR(IF(VALUE(MID($C733,2,20))&lt;100000000,VALUE(MID($C733,2,20)),1000000000),1000000000))+ROW()/100000,"")</f>
        <v/>
      </c>
    </row>
    <row r="734">
      <c r="D734" s="11" t="n"/>
      <c r="K734" s="7">
        <f>IF($C734="","",J734*W734/100)</f>
        <v/>
      </c>
      <c r="Q734" s="7" t="n"/>
      <c r="R734" s="7" t="n"/>
      <c r="U734">
        <f>IF($C734="","",IF($AJ734=1,0,IF($AI734=1,Settings!$C$6,Settings!$C$7))*100)</f>
        <v/>
      </c>
      <c r="V734" s="7">
        <f>IF($C734="","",R734*U734/100)</f>
        <v/>
      </c>
      <c r="W734" s="7">
        <f>IF($C734="","",R734-V734)</f>
        <v/>
      </c>
      <c r="X734" s="7">
        <f>IF($C734="","",W734-K734)</f>
        <v/>
      </c>
      <c r="AB734" s="7" t="n"/>
      <c r="AE734" s="11" t="n"/>
      <c r="AG734">
        <f>IF($C734="","",IF(COUNTIF($C$2:$C734,$C734)=1,1,0))</f>
        <v/>
      </c>
      <c r="AH734">
        <f>IF($AG734=1,SUMPRODUCT(--($AK$2:$AK$6001&lt;$AK734))+1,"")</f>
        <v/>
      </c>
      <c r="AI734">
        <f>IF($C734="","",IF(OR($N734=TRUE(),$N734="TRUE"),1,0))</f>
        <v/>
      </c>
      <c r="AJ734">
        <f>IF($C734="","",IF($T734="Yes",1,0))</f>
        <v/>
      </c>
      <c r="AK734">
        <f>IF($AG734=1,IFERROR(IF(VALUE($C734)&lt;100000000,VALUE($C734),1000000000),IFERROR(IF(VALUE(MID($C734,2,20))&lt;100000000,VALUE(MID($C734,2,20)),1000000000),1000000000))+ROW()/100000,"")</f>
        <v/>
      </c>
    </row>
    <row r="735">
      <c r="D735" s="11" t="n"/>
      <c r="K735" s="7">
        <f>IF($C735="","",J735*W735/100)</f>
        <v/>
      </c>
      <c r="Q735" s="7" t="n"/>
      <c r="R735" s="7" t="n"/>
      <c r="U735">
        <f>IF($C735="","",IF($AJ735=1,0,IF($AI735=1,Settings!$C$6,Settings!$C$7))*100)</f>
        <v/>
      </c>
      <c r="V735" s="7">
        <f>IF($C735="","",R735*U735/100)</f>
        <v/>
      </c>
      <c r="W735" s="7">
        <f>IF($C735="","",R735-V735)</f>
        <v/>
      </c>
      <c r="X735" s="7">
        <f>IF($C735="","",W735-K735)</f>
        <v/>
      </c>
      <c r="AB735" s="7" t="n"/>
      <c r="AE735" s="11" t="n"/>
      <c r="AG735">
        <f>IF($C735="","",IF(COUNTIF($C$2:$C735,$C735)=1,1,0))</f>
        <v/>
      </c>
      <c r="AH735">
        <f>IF($AG735=1,SUMPRODUCT(--($AK$2:$AK$6001&lt;$AK735))+1,"")</f>
        <v/>
      </c>
      <c r="AI735">
        <f>IF($C735="","",IF(OR($N735=TRUE(),$N735="TRUE"),1,0))</f>
        <v/>
      </c>
      <c r="AJ735">
        <f>IF($C735="","",IF($T735="Yes",1,0))</f>
        <v/>
      </c>
      <c r="AK735">
        <f>IF($AG735=1,IFERROR(IF(VALUE($C735)&lt;100000000,VALUE($C735),1000000000),IFERROR(IF(VALUE(MID($C735,2,20))&lt;100000000,VALUE(MID($C735,2,20)),1000000000),1000000000))+ROW()/100000,"")</f>
        <v/>
      </c>
    </row>
    <row r="736">
      <c r="D736" s="11" t="n"/>
      <c r="K736" s="7">
        <f>IF($C736="","",J736*W736/100)</f>
        <v/>
      </c>
      <c r="Q736" s="7" t="n"/>
      <c r="R736" s="7" t="n"/>
      <c r="U736">
        <f>IF($C736="","",IF($AJ736=1,0,IF($AI736=1,Settings!$C$6,Settings!$C$7))*100)</f>
        <v/>
      </c>
      <c r="V736" s="7">
        <f>IF($C736="","",R736*U736/100)</f>
        <v/>
      </c>
      <c r="W736" s="7">
        <f>IF($C736="","",R736-V736)</f>
        <v/>
      </c>
      <c r="X736" s="7">
        <f>IF($C736="","",W736-K736)</f>
        <v/>
      </c>
      <c r="AB736" s="7" t="n"/>
      <c r="AE736" s="11" t="n"/>
      <c r="AG736">
        <f>IF($C736="","",IF(COUNTIF($C$2:$C736,$C736)=1,1,0))</f>
        <v/>
      </c>
      <c r="AH736">
        <f>IF($AG736=1,SUMPRODUCT(--($AK$2:$AK$6001&lt;$AK736))+1,"")</f>
        <v/>
      </c>
      <c r="AI736">
        <f>IF($C736="","",IF(OR($N736=TRUE(),$N736="TRUE"),1,0))</f>
        <v/>
      </c>
      <c r="AJ736">
        <f>IF($C736="","",IF($T736="Yes",1,0))</f>
        <v/>
      </c>
      <c r="AK736">
        <f>IF($AG736=1,IFERROR(IF(VALUE($C736)&lt;100000000,VALUE($C736),1000000000),IFERROR(IF(VALUE(MID($C736,2,20))&lt;100000000,VALUE(MID($C736,2,20)),1000000000),1000000000))+ROW()/100000,"")</f>
        <v/>
      </c>
    </row>
    <row r="737">
      <c r="D737" s="11" t="n"/>
      <c r="K737" s="7">
        <f>IF($C737="","",J737*W737/100)</f>
        <v/>
      </c>
      <c r="Q737" s="7" t="n"/>
      <c r="R737" s="7" t="n"/>
      <c r="U737">
        <f>IF($C737="","",IF($AJ737=1,0,IF($AI737=1,Settings!$C$6,Settings!$C$7))*100)</f>
        <v/>
      </c>
      <c r="V737" s="7">
        <f>IF($C737="","",R737*U737/100)</f>
        <v/>
      </c>
      <c r="W737" s="7">
        <f>IF($C737="","",R737-V737)</f>
        <v/>
      </c>
      <c r="X737" s="7">
        <f>IF($C737="","",W737-K737)</f>
        <v/>
      </c>
      <c r="AB737" s="7" t="n"/>
      <c r="AE737" s="11" t="n"/>
      <c r="AG737">
        <f>IF($C737="","",IF(COUNTIF($C$2:$C737,$C737)=1,1,0))</f>
        <v/>
      </c>
      <c r="AH737">
        <f>IF($AG737=1,SUMPRODUCT(--($AK$2:$AK$6001&lt;$AK737))+1,"")</f>
        <v/>
      </c>
      <c r="AI737">
        <f>IF($C737="","",IF(OR($N737=TRUE(),$N737="TRUE"),1,0))</f>
        <v/>
      </c>
      <c r="AJ737">
        <f>IF($C737="","",IF($T737="Yes",1,0))</f>
        <v/>
      </c>
      <c r="AK737">
        <f>IF($AG737=1,IFERROR(IF(VALUE($C737)&lt;100000000,VALUE($C737),1000000000),IFERROR(IF(VALUE(MID($C737,2,20))&lt;100000000,VALUE(MID($C737,2,20)),1000000000),1000000000))+ROW()/100000,"")</f>
        <v/>
      </c>
    </row>
    <row r="738">
      <c r="D738" s="11" t="n"/>
      <c r="K738" s="7">
        <f>IF($C738="","",J738*W738/100)</f>
        <v/>
      </c>
      <c r="Q738" s="7" t="n"/>
      <c r="R738" s="7" t="n"/>
      <c r="U738">
        <f>IF($C738="","",IF($AJ738=1,0,IF($AI738=1,Settings!$C$6,Settings!$C$7))*100)</f>
        <v/>
      </c>
      <c r="V738" s="7">
        <f>IF($C738="","",R738*U738/100)</f>
        <v/>
      </c>
      <c r="W738" s="7">
        <f>IF($C738="","",R738-V738)</f>
        <v/>
      </c>
      <c r="X738" s="7">
        <f>IF($C738="","",W738-K738)</f>
        <v/>
      </c>
      <c r="AB738" s="7" t="n"/>
      <c r="AE738" s="11" t="n"/>
      <c r="AG738">
        <f>IF($C738="","",IF(COUNTIF($C$2:$C738,$C738)=1,1,0))</f>
        <v/>
      </c>
      <c r="AH738">
        <f>IF($AG738=1,SUMPRODUCT(--($AK$2:$AK$6001&lt;$AK738))+1,"")</f>
        <v/>
      </c>
      <c r="AI738">
        <f>IF($C738="","",IF(OR($N738=TRUE(),$N738="TRUE"),1,0))</f>
        <v/>
      </c>
      <c r="AJ738">
        <f>IF($C738="","",IF($T738="Yes",1,0))</f>
        <v/>
      </c>
      <c r="AK738">
        <f>IF($AG738=1,IFERROR(IF(VALUE($C738)&lt;100000000,VALUE($C738),1000000000),IFERROR(IF(VALUE(MID($C738,2,20))&lt;100000000,VALUE(MID($C738,2,20)),1000000000),1000000000))+ROW()/100000,"")</f>
        <v/>
      </c>
    </row>
    <row r="739">
      <c r="D739" s="11" t="n"/>
      <c r="K739" s="7">
        <f>IF($C739="","",J739*W739/100)</f>
        <v/>
      </c>
      <c r="Q739" s="7" t="n"/>
      <c r="R739" s="7" t="n"/>
      <c r="U739">
        <f>IF($C739="","",IF($AJ739=1,0,IF($AI739=1,Settings!$C$6,Settings!$C$7))*100)</f>
        <v/>
      </c>
      <c r="V739" s="7">
        <f>IF($C739="","",R739*U739/100)</f>
        <v/>
      </c>
      <c r="W739" s="7">
        <f>IF($C739="","",R739-V739)</f>
        <v/>
      </c>
      <c r="X739" s="7">
        <f>IF($C739="","",W739-K739)</f>
        <v/>
      </c>
      <c r="AB739" s="7" t="n"/>
      <c r="AE739" s="11" t="n"/>
      <c r="AG739">
        <f>IF($C739="","",IF(COUNTIF($C$2:$C739,$C739)=1,1,0))</f>
        <v/>
      </c>
      <c r="AH739">
        <f>IF($AG739=1,SUMPRODUCT(--($AK$2:$AK$6001&lt;$AK739))+1,"")</f>
        <v/>
      </c>
      <c r="AI739">
        <f>IF($C739="","",IF(OR($N739=TRUE(),$N739="TRUE"),1,0))</f>
        <v/>
      </c>
      <c r="AJ739">
        <f>IF($C739="","",IF($T739="Yes",1,0))</f>
        <v/>
      </c>
      <c r="AK739">
        <f>IF($AG739=1,IFERROR(IF(VALUE($C739)&lt;100000000,VALUE($C739),1000000000),IFERROR(IF(VALUE(MID($C739,2,20))&lt;100000000,VALUE(MID($C739,2,20)),1000000000),1000000000))+ROW()/100000,"")</f>
        <v/>
      </c>
    </row>
    <row r="740">
      <c r="D740" s="11" t="n"/>
      <c r="K740" s="7">
        <f>IF($C740="","",J740*W740/100)</f>
        <v/>
      </c>
      <c r="Q740" s="7" t="n"/>
      <c r="R740" s="7" t="n"/>
      <c r="U740">
        <f>IF($C740="","",IF($AJ740=1,0,IF($AI740=1,Settings!$C$6,Settings!$C$7))*100)</f>
        <v/>
      </c>
      <c r="V740" s="7">
        <f>IF($C740="","",R740*U740/100)</f>
        <v/>
      </c>
      <c r="W740" s="7">
        <f>IF($C740="","",R740-V740)</f>
        <v/>
      </c>
      <c r="X740" s="7">
        <f>IF($C740="","",W740-K740)</f>
        <v/>
      </c>
      <c r="AB740" s="7" t="n"/>
      <c r="AE740" s="11" t="n"/>
      <c r="AG740">
        <f>IF($C740="","",IF(COUNTIF($C$2:$C740,$C740)=1,1,0))</f>
        <v/>
      </c>
      <c r="AH740">
        <f>IF($AG740=1,SUMPRODUCT(--($AK$2:$AK$6001&lt;$AK740))+1,"")</f>
        <v/>
      </c>
      <c r="AI740">
        <f>IF($C740="","",IF(OR($N740=TRUE(),$N740="TRUE"),1,0))</f>
        <v/>
      </c>
      <c r="AJ740">
        <f>IF($C740="","",IF($T740="Yes",1,0))</f>
        <v/>
      </c>
      <c r="AK740">
        <f>IF($AG740=1,IFERROR(IF(VALUE($C740)&lt;100000000,VALUE($C740),1000000000),IFERROR(IF(VALUE(MID($C740,2,20))&lt;100000000,VALUE(MID($C740,2,20)),1000000000),1000000000))+ROW()/100000,"")</f>
        <v/>
      </c>
    </row>
    <row r="741">
      <c r="D741" s="11" t="n"/>
      <c r="K741" s="7">
        <f>IF($C741="","",J741*W741/100)</f>
        <v/>
      </c>
      <c r="Q741" s="7" t="n"/>
      <c r="R741" s="7" t="n"/>
      <c r="U741">
        <f>IF($C741="","",IF($AJ741=1,0,IF($AI741=1,Settings!$C$6,Settings!$C$7))*100)</f>
        <v/>
      </c>
      <c r="V741" s="7">
        <f>IF($C741="","",R741*U741/100)</f>
        <v/>
      </c>
      <c r="W741" s="7">
        <f>IF($C741="","",R741-V741)</f>
        <v/>
      </c>
      <c r="X741" s="7">
        <f>IF($C741="","",W741-K741)</f>
        <v/>
      </c>
      <c r="AB741" s="7" t="n"/>
      <c r="AE741" s="11" t="n"/>
      <c r="AG741">
        <f>IF($C741="","",IF(COUNTIF($C$2:$C741,$C741)=1,1,0))</f>
        <v/>
      </c>
      <c r="AH741">
        <f>IF($AG741=1,SUMPRODUCT(--($AK$2:$AK$6001&lt;$AK741))+1,"")</f>
        <v/>
      </c>
      <c r="AI741">
        <f>IF($C741="","",IF(OR($N741=TRUE(),$N741="TRUE"),1,0))</f>
        <v/>
      </c>
      <c r="AJ741">
        <f>IF($C741="","",IF($T741="Yes",1,0))</f>
        <v/>
      </c>
      <c r="AK741">
        <f>IF($AG741=1,IFERROR(IF(VALUE($C741)&lt;100000000,VALUE($C741),1000000000),IFERROR(IF(VALUE(MID($C741,2,20))&lt;100000000,VALUE(MID($C741,2,20)),1000000000),1000000000))+ROW()/100000,"")</f>
        <v/>
      </c>
    </row>
    <row r="742">
      <c r="D742" s="11" t="n"/>
      <c r="K742" s="7">
        <f>IF($C742="","",J742*W742/100)</f>
        <v/>
      </c>
      <c r="Q742" s="7" t="n"/>
      <c r="R742" s="7" t="n"/>
      <c r="U742">
        <f>IF($C742="","",IF($AJ742=1,0,IF($AI742=1,Settings!$C$6,Settings!$C$7))*100)</f>
        <v/>
      </c>
      <c r="V742" s="7">
        <f>IF($C742="","",R742*U742/100)</f>
        <v/>
      </c>
      <c r="W742" s="7">
        <f>IF($C742="","",R742-V742)</f>
        <v/>
      </c>
      <c r="X742" s="7">
        <f>IF($C742="","",W742-K742)</f>
        <v/>
      </c>
      <c r="AB742" s="7" t="n"/>
      <c r="AE742" s="11" t="n"/>
      <c r="AG742">
        <f>IF($C742="","",IF(COUNTIF($C$2:$C742,$C742)=1,1,0))</f>
        <v/>
      </c>
      <c r="AH742">
        <f>IF($AG742=1,SUMPRODUCT(--($AK$2:$AK$6001&lt;$AK742))+1,"")</f>
        <v/>
      </c>
      <c r="AI742">
        <f>IF($C742="","",IF(OR($N742=TRUE(),$N742="TRUE"),1,0))</f>
        <v/>
      </c>
      <c r="AJ742">
        <f>IF($C742="","",IF($T742="Yes",1,0))</f>
        <v/>
      </c>
      <c r="AK742">
        <f>IF($AG742=1,IFERROR(IF(VALUE($C742)&lt;100000000,VALUE($C742),1000000000),IFERROR(IF(VALUE(MID($C742,2,20))&lt;100000000,VALUE(MID($C742,2,20)),1000000000),1000000000))+ROW()/100000,"")</f>
        <v/>
      </c>
    </row>
    <row r="743">
      <c r="D743" s="11" t="n"/>
      <c r="K743" s="7">
        <f>IF($C743="","",J743*W743/100)</f>
        <v/>
      </c>
      <c r="Q743" s="7" t="n"/>
      <c r="R743" s="7" t="n"/>
      <c r="U743">
        <f>IF($C743="","",IF($AJ743=1,0,IF($AI743=1,Settings!$C$6,Settings!$C$7))*100)</f>
        <v/>
      </c>
      <c r="V743" s="7">
        <f>IF($C743="","",R743*U743/100)</f>
        <v/>
      </c>
      <c r="W743" s="7">
        <f>IF($C743="","",R743-V743)</f>
        <v/>
      </c>
      <c r="X743" s="7">
        <f>IF($C743="","",W743-K743)</f>
        <v/>
      </c>
      <c r="AB743" s="7" t="n"/>
      <c r="AE743" s="11" t="n"/>
      <c r="AG743">
        <f>IF($C743="","",IF(COUNTIF($C$2:$C743,$C743)=1,1,0))</f>
        <v/>
      </c>
      <c r="AH743">
        <f>IF($AG743=1,SUMPRODUCT(--($AK$2:$AK$6001&lt;$AK743))+1,"")</f>
        <v/>
      </c>
      <c r="AI743">
        <f>IF($C743="","",IF(OR($N743=TRUE(),$N743="TRUE"),1,0))</f>
        <v/>
      </c>
      <c r="AJ743">
        <f>IF($C743="","",IF($T743="Yes",1,0))</f>
        <v/>
      </c>
      <c r="AK743">
        <f>IF($AG743=1,IFERROR(IF(VALUE($C743)&lt;100000000,VALUE($C743),1000000000),IFERROR(IF(VALUE(MID($C743,2,20))&lt;100000000,VALUE(MID($C743,2,20)),1000000000),1000000000))+ROW()/100000,"")</f>
        <v/>
      </c>
    </row>
    <row r="744">
      <c r="D744" s="11" t="n"/>
      <c r="K744" s="7">
        <f>IF($C744="","",J744*W744/100)</f>
        <v/>
      </c>
      <c r="Q744" s="7" t="n"/>
      <c r="R744" s="7" t="n"/>
      <c r="U744">
        <f>IF($C744="","",IF($AJ744=1,0,IF($AI744=1,Settings!$C$6,Settings!$C$7))*100)</f>
        <v/>
      </c>
      <c r="V744" s="7">
        <f>IF($C744="","",R744*U744/100)</f>
        <v/>
      </c>
      <c r="W744" s="7">
        <f>IF($C744="","",R744-V744)</f>
        <v/>
      </c>
      <c r="X744" s="7">
        <f>IF($C744="","",W744-K744)</f>
        <v/>
      </c>
      <c r="AB744" s="7" t="n"/>
      <c r="AE744" s="11" t="n"/>
      <c r="AG744">
        <f>IF($C744="","",IF(COUNTIF($C$2:$C744,$C744)=1,1,0))</f>
        <v/>
      </c>
      <c r="AH744">
        <f>IF($AG744=1,SUMPRODUCT(--($AK$2:$AK$6001&lt;$AK744))+1,"")</f>
        <v/>
      </c>
      <c r="AI744">
        <f>IF($C744="","",IF(OR($N744=TRUE(),$N744="TRUE"),1,0))</f>
        <v/>
      </c>
      <c r="AJ744">
        <f>IF($C744="","",IF($T744="Yes",1,0))</f>
        <v/>
      </c>
      <c r="AK744">
        <f>IF($AG744=1,IFERROR(IF(VALUE($C744)&lt;100000000,VALUE($C744),1000000000),IFERROR(IF(VALUE(MID($C744,2,20))&lt;100000000,VALUE(MID($C744,2,20)),1000000000),1000000000))+ROW()/100000,"")</f>
        <v/>
      </c>
    </row>
    <row r="745">
      <c r="D745" s="11" t="n"/>
      <c r="K745" s="7">
        <f>IF($C745="","",J745*W745/100)</f>
        <v/>
      </c>
      <c r="Q745" s="7" t="n"/>
      <c r="R745" s="7" t="n"/>
      <c r="U745">
        <f>IF($C745="","",IF($AJ745=1,0,IF($AI745=1,Settings!$C$6,Settings!$C$7))*100)</f>
        <v/>
      </c>
      <c r="V745" s="7">
        <f>IF($C745="","",R745*U745/100)</f>
        <v/>
      </c>
      <c r="W745" s="7">
        <f>IF($C745="","",R745-V745)</f>
        <v/>
      </c>
      <c r="X745" s="7">
        <f>IF($C745="","",W745-K745)</f>
        <v/>
      </c>
      <c r="AB745" s="7" t="n"/>
      <c r="AE745" s="11" t="n"/>
      <c r="AG745">
        <f>IF($C745="","",IF(COUNTIF($C$2:$C745,$C745)=1,1,0))</f>
        <v/>
      </c>
      <c r="AH745">
        <f>IF($AG745=1,SUMPRODUCT(--($AK$2:$AK$6001&lt;$AK745))+1,"")</f>
        <v/>
      </c>
      <c r="AI745">
        <f>IF($C745="","",IF(OR($N745=TRUE(),$N745="TRUE"),1,0))</f>
        <v/>
      </c>
      <c r="AJ745">
        <f>IF($C745="","",IF($T745="Yes",1,0))</f>
        <v/>
      </c>
      <c r="AK745">
        <f>IF($AG745=1,IFERROR(IF(VALUE($C745)&lt;100000000,VALUE($C745),1000000000),IFERROR(IF(VALUE(MID($C745,2,20))&lt;100000000,VALUE(MID($C745,2,20)),1000000000),1000000000))+ROW()/100000,"")</f>
        <v/>
      </c>
    </row>
    <row r="746">
      <c r="D746" s="11" t="n"/>
      <c r="K746" s="7">
        <f>IF($C746="","",J746*W746/100)</f>
        <v/>
      </c>
      <c r="Q746" s="7" t="n"/>
      <c r="R746" s="7" t="n"/>
      <c r="U746">
        <f>IF($C746="","",IF($AJ746=1,0,IF($AI746=1,Settings!$C$6,Settings!$C$7))*100)</f>
        <v/>
      </c>
      <c r="V746" s="7">
        <f>IF($C746="","",R746*U746/100)</f>
        <v/>
      </c>
      <c r="W746" s="7">
        <f>IF($C746="","",R746-V746)</f>
        <v/>
      </c>
      <c r="X746" s="7">
        <f>IF($C746="","",W746-K746)</f>
        <v/>
      </c>
      <c r="AB746" s="7" t="n"/>
      <c r="AE746" s="11" t="n"/>
      <c r="AG746">
        <f>IF($C746="","",IF(COUNTIF($C$2:$C746,$C746)=1,1,0))</f>
        <v/>
      </c>
      <c r="AH746">
        <f>IF($AG746=1,SUMPRODUCT(--($AK$2:$AK$6001&lt;$AK746))+1,"")</f>
        <v/>
      </c>
      <c r="AI746">
        <f>IF($C746="","",IF(OR($N746=TRUE(),$N746="TRUE"),1,0))</f>
        <v/>
      </c>
      <c r="AJ746">
        <f>IF($C746="","",IF($T746="Yes",1,0))</f>
        <v/>
      </c>
      <c r="AK746">
        <f>IF($AG746=1,IFERROR(IF(VALUE($C746)&lt;100000000,VALUE($C746),1000000000),IFERROR(IF(VALUE(MID($C746,2,20))&lt;100000000,VALUE(MID($C746,2,20)),1000000000),1000000000))+ROW()/100000,"")</f>
        <v/>
      </c>
    </row>
    <row r="747">
      <c r="D747" s="11" t="n"/>
      <c r="K747" s="7">
        <f>IF($C747="","",J747*W747/100)</f>
        <v/>
      </c>
      <c r="Q747" s="7" t="n"/>
      <c r="R747" s="7" t="n"/>
      <c r="U747">
        <f>IF($C747="","",IF($AJ747=1,0,IF($AI747=1,Settings!$C$6,Settings!$C$7))*100)</f>
        <v/>
      </c>
      <c r="V747" s="7">
        <f>IF($C747="","",R747*U747/100)</f>
        <v/>
      </c>
      <c r="W747" s="7">
        <f>IF($C747="","",R747-V747)</f>
        <v/>
      </c>
      <c r="X747" s="7">
        <f>IF($C747="","",W747-K747)</f>
        <v/>
      </c>
      <c r="AB747" s="7" t="n"/>
      <c r="AE747" s="11" t="n"/>
      <c r="AG747">
        <f>IF($C747="","",IF(COUNTIF($C$2:$C747,$C747)=1,1,0))</f>
        <v/>
      </c>
      <c r="AH747">
        <f>IF($AG747=1,SUMPRODUCT(--($AK$2:$AK$6001&lt;$AK747))+1,"")</f>
        <v/>
      </c>
      <c r="AI747">
        <f>IF($C747="","",IF(OR($N747=TRUE(),$N747="TRUE"),1,0))</f>
        <v/>
      </c>
      <c r="AJ747">
        <f>IF($C747="","",IF($T747="Yes",1,0))</f>
        <v/>
      </c>
      <c r="AK747">
        <f>IF($AG747=1,IFERROR(IF(VALUE($C747)&lt;100000000,VALUE($C747),1000000000),IFERROR(IF(VALUE(MID($C747,2,20))&lt;100000000,VALUE(MID($C747,2,20)),1000000000),1000000000))+ROW()/100000,"")</f>
        <v/>
      </c>
    </row>
    <row r="748">
      <c r="D748" s="11" t="n"/>
      <c r="K748" s="7">
        <f>IF($C748="","",J748*W748/100)</f>
        <v/>
      </c>
      <c r="Q748" s="7" t="n"/>
      <c r="R748" s="7" t="n"/>
      <c r="U748">
        <f>IF($C748="","",IF($AJ748=1,0,IF($AI748=1,Settings!$C$6,Settings!$C$7))*100)</f>
        <v/>
      </c>
      <c r="V748" s="7">
        <f>IF($C748="","",R748*U748/100)</f>
        <v/>
      </c>
      <c r="W748" s="7">
        <f>IF($C748="","",R748-V748)</f>
        <v/>
      </c>
      <c r="X748" s="7">
        <f>IF($C748="","",W748-K748)</f>
        <v/>
      </c>
      <c r="AB748" s="7" t="n"/>
      <c r="AE748" s="11" t="n"/>
      <c r="AG748">
        <f>IF($C748="","",IF(COUNTIF($C$2:$C748,$C748)=1,1,0))</f>
        <v/>
      </c>
      <c r="AH748">
        <f>IF($AG748=1,SUMPRODUCT(--($AK$2:$AK$6001&lt;$AK748))+1,"")</f>
        <v/>
      </c>
      <c r="AI748">
        <f>IF($C748="","",IF(OR($N748=TRUE(),$N748="TRUE"),1,0))</f>
        <v/>
      </c>
      <c r="AJ748">
        <f>IF($C748="","",IF($T748="Yes",1,0))</f>
        <v/>
      </c>
      <c r="AK748">
        <f>IF($AG748=1,IFERROR(IF(VALUE($C748)&lt;100000000,VALUE($C748),1000000000),IFERROR(IF(VALUE(MID($C748,2,20))&lt;100000000,VALUE(MID($C748,2,20)),1000000000),1000000000))+ROW()/100000,"")</f>
        <v/>
      </c>
    </row>
    <row r="749">
      <c r="D749" s="11" t="n"/>
      <c r="K749" s="7">
        <f>IF($C749="","",J749*W749/100)</f>
        <v/>
      </c>
      <c r="Q749" s="7" t="n"/>
      <c r="R749" s="7" t="n"/>
      <c r="U749">
        <f>IF($C749="","",IF($AJ749=1,0,IF($AI749=1,Settings!$C$6,Settings!$C$7))*100)</f>
        <v/>
      </c>
      <c r="V749" s="7">
        <f>IF($C749="","",R749*U749/100)</f>
        <v/>
      </c>
      <c r="W749" s="7">
        <f>IF($C749="","",R749-V749)</f>
        <v/>
      </c>
      <c r="X749" s="7">
        <f>IF($C749="","",W749-K749)</f>
        <v/>
      </c>
      <c r="AB749" s="7" t="n"/>
      <c r="AE749" s="11" t="n"/>
      <c r="AG749">
        <f>IF($C749="","",IF(COUNTIF($C$2:$C749,$C749)=1,1,0))</f>
        <v/>
      </c>
      <c r="AH749">
        <f>IF($AG749=1,SUMPRODUCT(--($AK$2:$AK$6001&lt;$AK749))+1,"")</f>
        <v/>
      </c>
      <c r="AI749">
        <f>IF($C749="","",IF(OR($N749=TRUE(),$N749="TRUE"),1,0))</f>
        <v/>
      </c>
      <c r="AJ749">
        <f>IF($C749="","",IF($T749="Yes",1,0))</f>
        <v/>
      </c>
      <c r="AK749">
        <f>IF($AG749=1,IFERROR(IF(VALUE($C749)&lt;100000000,VALUE($C749),1000000000),IFERROR(IF(VALUE(MID($C749,2,20))&lt;100000000,VALUE(MID($C749,2,20)),1000000000),1000000000))+ROW()/100000,"")</f>
        <v/>
      </c>
    </row>
    <row r="750">
      <c r="D750" s="11" t="n"/>
      <c r="K750" s="7">
        <f>IF($C750="","",J750*W750/100)</f>
        <v/>
      </c>
      <c r="Q750" s="7" t="n"/>
      <c r="R750" s="7" t="n"/>
      <c r="U750">
        <f>IF($C750="","",IF($AJ750=1,0,IF($AI750=1,Settings!$C$6,Settings!$C$7))*100)</f>
        <v/>
      </c>
      <c r="V750" s="7">
        <f>IF($C750="","",R750*U750/100)</f>
        <v/>
      </c>
      <c r="W750" s="7">
        <f>IF($C750="","",R750-V750)</f>
        <v/>
      </c>
      <c r="X750" s="7">
        <f>IF($C750="","",W750-K750)</f>
        <v/>
      </c>
      <c r="AB750" s="7" t="n"/>
      <c r="AE750" s="11" t="n"/>
      <c r="AG750">
        <f>IF($C750="","",IF(COUNTIF($C$2:$C750,$C750)=1,1,0))</f>
        <v/>
      </c>
      <c r="AH750">
        <f>IF($AG750=1,SUMPRODUCT(--($AK$2:$AK$6001&lt;$AK750))+1,"")</f>
        <v/>
      </c>
      <c r="AI750">
        <f>IF($C750="","",IF(OR($N750=TRUE(),$N750="TRUE"),1,0))</f>
        <v/>
      </c>
      <c r="AJ750">
        <f>IF($C750="","",IF($T750="Yes",1,0))</f>
        <v/>
      </c>
      <c r="AK750">
        <f>IF($AG750=1,IFERROR(IF(VALUE($C750)&lt;100000000,VALUE($C750),1000000000),IFERROR(IF(VALUE(MID($C750,2,20))&lt;100000000,VALUE(MID($C750,2,20)),1000000000),1000000000))+ROW()/100000,"")</f>
        <v/>
      </c>
    </row>
    <row r="751">
      <c r="D751" s="11" t="n"/>
      <c r="K751" s="7">
        <f>IF($C751="","",J751*W751/100)</f>
        <v/>
      </c>
      <c r="Q751" s="7" t="n"/>
      <c r="R751" s="7" t="n"/>
      <c r="U751">
        <f>IF($C751="","",IF($AJ751=1,0,IF($AI751=1,Settings!$C$6,Settings!$C$7))*100)</f>
        <v/>
      </c>
      <c r="V751" s="7">
        <f>IF($C751="","",R751*U751/100)</f>
        <v/>
      </c>
      <c r="W751" s="7">
        <f>IF($C751="","",R751-V751)</f>
        <v/>
      </c>
      <c r="X751" s="7">
        <f>IF($C751="","",W751-K751)</f>
        <v/>
      </c>
      <c r="AB751" s="7" t="n"/>
      <c r="AE751" s="11" t="n"/>
      <c r="AG751">
        <f>IF($C751="","",IF(COUNTIF($C$2:$C751,$C751)=1,1,0))</f>
        <v/>
      </c>
      <c r="AH751">
        <f>IF($AG751=1,SUMPRODUCT(--($AK$2:$AK$6001&lt;$AK751))+1,"")</f>
        <v/>
      </c>
      <c r="AI751">
        <f>IF($C751="","",IF(OR($N751=TRUE(),$N751="TRUE"),1,0))</f>
        <v/>
      </c>
      <c r="AJ751">
        <f>IF($C751="","",IF($T751="Yes",1,0))</f>
        <v/>
      </c>
      <c r="AK751">
        <f>IF($AG751=1,IFERROR(IF(VALUE($C751)&lt;100000000,VALUE($C751),1000000000),IFERROR(IF(VALUE(MID($C751,2,20))&lt;100000000,VALUE(MID($C751,2,20)),1000000000),1000000000))+ROW()/100000,"")</f>
        <v/>
      </c>
    </row>
    <row r="752">
      <c r="D752" s="11" t="n"/>
      <c r="K752" s="7">
        <f>IF($C752="","",J752*W752/100)</f>
        <v/>
      </c>
      <c r="Q752" s="7" t="n"/>
      <c r="R752" s="7" t="n"/>
      <c r="U752">
        <f>IF($C752="","",IF($AJ752=1,0,IF($AI752=1,Settings!$C$6,Settings!$C$7))*100)</f>
        <v/>
      </c>
      <c r="V752" s="7">
        <f>IF($C752="","",R752*U752/100)</f>
        <v/>
      </c>
      <c r="W752" s="7">
        <f>IF($C752="","",R752-V752)</f>
        <v/>
      </c>
      <c r="X752" s="7">
        <f>IF($C752="","",W752-K752)</f>
        <v/>
      </c>
      <c r="AB752" s="7" t="n"/>
      <c r="AE752" s="11" t="n"/>
      <c r="AG752">
        <f>IF($C752="","",IF(COUNTIF($C$2:$C752,$C752)=1,1,0))</f>
        <v/>
      </c>
      <c r="AH752">
        <f>IF($AG752=1,SUMPRODUCT(--($AK$2:$AK$6001&lt;$AK752))+1,"")</f>
        <v/>
      </c>
      <c r="AI752">
        <f>IF($C752="","",IF(OR($N752=TRUE(),$N752="TRUE"),1,0))</f>
        <v/>
      </c>
      <c r="AJ752">
        <f>IF($C752="","",IF($T752="Yes",1,0))</f>
        <v/>
      </c>
      <c r="AK752">
        <f>IF($AG752=1,IFERROR(IF(VALUE($C752)&lt;100000000,VALUE($C752),1000000000),IFERROR(IF(VALUE(MID($C752,2,20))&lt;100000000,VALUE(MID($C752,2,20)),1000000000),1000000000))+ROW()/100000,"")</f>
        <v/>
      </c>
    </row>
    <row r="753">
      <c r="D753" s="11" t="n"/>
      <c r="K753" s="7">
        <f>IF($C753="","",J753*W753/100)</f>
        <v/>
      </c>
      <c r="Q753" s="7" t="n"/>
      <c r="R753" s="7" t="n"/>
      <c r="U753">
        <f>IF($C753="","",IF($AJ753=1,0,IF($AI753=1,Settings!$C$6,Settings!$C$7))*100)</f>
        <v/>
      </c>
      <c r="V753" s="7">
        <f>IF($C753="","",R753*U753/100)</f>
        <v/>
      </c>
      <c r="W753" s="7">
        <f>IF($C753="","",R753-V753)</f>
        <v/>
      </c>
      <c r="X753" s="7">
        <f>IF($C753="","",W753-K753)</f>
        <v/>
      </c>
      <c r="AB753" s="7" t="n"/>
      <c r="AE753" s="11" t="n"/>
      <c r="AG753">
        <f>IF($C753="","",IF(COUNTIF($C$2:$C753,$C753)=1,1,0))</f>
        <v/>
      </c>
      <c r="AH753">
        <f>IF($AG753=1,SUMPRODUCT(--($AK$2:$AK$6001&lt;$AK753))+1,"")</f>
        <v/>
      </c>
      <c r="AI753">
        <f>IF($C753="","",IF(OR($N753=TRUE(),$N753="TRUE"),1,0))</f>
        <v/>
      </c>
      <c r="AJ753">
        <f>IF($C753="","",IF($T753="Yes",1,0))</f>
        <v/>
      </c>
      <c r="AK753">
        <f>IF($AG753=1,IFERROR(IF(VALUE($C753)&lt;100000000,VALUE($C753),1000000000),IFERROR(IF(VALUE(MID($C753,2,20))&lt;100000000,VALUE(MID($C753,2,20)),1000000000),1000000000))+ROW()/100000,"")</f>
        <v/>
      </c>
    </row>
    <row r="754">
      <c r="D754" s="11" t="n"/>
      <c r="K754" s="7">
        <f>IF($C754="","",J754*W754/100)</f>
        <v/>
      </c>
      <c r="Q754" s="7" t="n"/>
      <c r="R754" s="7" t="n"/>
      <c r="U754">
        <f>IF($C754="","",IF($AJ754=1,0,IF($AI754=1,Settings!$C$6,Settings!$C$7))*100)</f>
        <v/>
      </c>
      <c r="V754" s="7">
        <f>IF($C754="","",R754*U754/100)</f>
        <v/>
      </c>
      <c r="W754" s="7">
        <f>IF($C754="","",R754-V754)</f>
        <v/>
      </c>
      <c r="X754" s="7">
        <f>IF($C754="","",W754-K754)</f>
        <v/>
      </c>
      <c r="AB754" s="7" t="n"/>
      <c r="AE754" s="11" t="n"/>
      <c r="AG754">
        <f>IF($C754="","",IF(COUNTIF($C$2:$C754,$C754)=1,1,0))</f>
        <v/>
      </c>
      <c r="AH754">
        <f>IF($AG754=1,SUMPRODUCT(--($AK$2:$AK$6001&lt;$AK754))+1,"")</f>
        <v/>
      </c>
      <c r="AI754">
        <f>IF($C754="","",IF(OR($N754=TRUE(),$N754="TRUE"),1,0))</f>
        <v/>
      </c>
      <c r="AJ754">
        <f>IF($C754="","",IF($T754="Yes",1,0))</f>
        <v/>
      </c>
      <c r="AK754">
        <f>IF($AG754=1,IFERROR(IF(VALUE($C754)&lt;100000000,VALUE($C754),1000000000),IFERROR(IF(VALUE(MID($C754,2,20))&lt;100000000,VALUE(MID($C754,2,20)),1000000000),1000000000))+ROW()/100000,"")</f>
        <v/>
      </c>
    </row>
    <row r="755">
      <c r="D755" s="11" t="n"/>
      <c r="K755" s="7">
        <f>IF($C755="","",J755*W755/100)</f>
        <v/>
      </c>
      <c r="Q755" s="7" t="n"/>
      <c r="R755" s="7" t="n"/>
      <c r="U755">
        <f>IF($C755="","",IF($AJ755=1,0,IF($AI755=1,Settings!$C$6,Settings!$C$7))*100)</f>
        <v/>
      </c>
      <c r="V755" s="7">
        <f>IF($C755="","",R755*U755/100)</f>
        <v/>
      </c>
      <c r="W755" s="7">
        <f>IF($C755="","",R755-V755)</f>
        <v/>
      </c>
      <c r="X755" s="7">
        <f>IF($C755="","",W755-K755)</f>
        <v/>
      </c>
      <c r="AB755" s="7" t="n"/>
      <c r="AE755" s="11" t="n"/>
      <c r="AG755">
        <f>IF($C755="","",IF(COUNTIF($C$2:$C755,$C755)=1,1,0))</f>
        <v/>
      </c>
      <c r="AH755">
        <f>IF($AG755=1,SUMPRODUCT(--($AK$2:$AK$6001&lt;$AK755))+1,"")</f>
        <v/>
      </c>
      <c r="AI755">
        <f>IF($C755="","",IF(OR($N755=TRUE(),$N755="TRUE"),1,0))</f>
        <v/>
      </c>
      <c r="AJ755">
        <f>IF($C755="","",IF($T755="Yes",1,0))</f>
        <v/>
      </c>
      <c r="AK755">
        <f>IF($AG755=1,IFERROR(IF(VALUE($C755)&lt;100000000,VALUE($C755),1000000000),IFERROR(IF(VALUE(MID($C755,2,20))&lt;100000000,VALUE(MID($C755,2,20)),1000000000),1000000000))+ROW()/100000,"")</f>
        <v/>
      </c>
    </row>
    <row r="756">
      <c r="D756" s="11" t="n"/>
      <c r="K756" s="7">
        <f>IF($C756="","",J756*W756/100)</f>
        <v/>
      </c>
      <c r="Q756" s="7" t="n"/>
      <c r="R756" s="7" t="n"/>
      <c r="U756">
        <f>IF($C756="","",IF($AJ756=1,0,IF($AI756=1,Settings!$C$6,Settings!$C$7))*100)</f>
        <v/>
      </c>
      <c r="V756" s="7">
        <f>IF($C756="","",R756*U756/100)</f>
        <v/>
      </c>
      <c r="W756" s="7">
        <f>IF($C756="","",R756-V756)</f>
        <v/>
      </c>
      <c r="X756" s="7">
        <f>IF($C756="","",W756-K756)</f>
        <v/>
      </c>
      <c r="AB756" s="7" t="n"/>
      <c r="AE756" s="11" t="n"/>
      <c r="AG756">
        <f>IF($C756="","",IF(COUNTIF($C$2:$C756,$C756)=1,1,0))</f>
        <v/>
      </c>
      <c r="AH756">
        <f>IF($AG756=1,SUMPRODUCT(--($AK$2:$AK$6001&lt;$AK756))+1,"")</f>
        <v/>
      </c>
      <c r="AI756">
        <f>IF($C756="","",IF(OR($N756=TRUE(),$N756="TRUE"),1,0))</f>
        <v/>
      </c>
      <c r="AJ756">
        <f>IF($C756="","",IF($T756="Yes",1,0))</f>
        <v/>
      </c>
      <c r="AK756">
        <f>IF($AG756=1,IFERROR(IF(VALUE($C756)&lt;100000000,VALUE($C756),1000000000),IFERROR(IF(VALUE(MID($C756,2,20))&lt;100000000,VALUE(MID($C756,2,20)),1000000000),1000000000))+ROW()/100000,"")</f>
        <v/>
      </c>
    </row>
    <row r="757">
      <c r="D757" s="11" t="n"/>
      <c r="K757" s="7">
        <f>IF($C757="","",J757*W757/100)</f>
        <v/>
      </c>
      <c r="Q757" s="7" t="n"/>
      <c r="R757" s="7" t="n"/>
      <c r="U757">
        <f>IF($C757="","",IF($AJ757=1,0,IF($AI757=1,Settings!$C$6,Settings!$C$7))*100)</f>
        <v/>
      </c>
      <c r="V757" s="7">
        <f>IF($C757="","",R757*U757/100)</f>
        <v/>
      </c>
      <c r="W757" s="7">
        <f>IF($C757="","",R757-V757)</f>
        <v/>
      </c>
      <c r="X757" s="7">
        <f>IF($C757="","",W757-K757)</f>
        <v/>
      </c>
      <c r="AB757" s="7" t="n"/>
      <c r="AE757" s="11" t="n"/>
      <c r="AG757">
        <f>IF($C757="","",IF(COUNTIF($C$2:$C757,$C757)=1,1,0))</f>
        <v/>
      </c>
      <c r="AH757">
        <f>IF($AG757=1,SUMPRODUCT(--($AK$2:$AK$6001&lt;$AK757))+1,"")</f>
        <v/>
      </c>
      <c r="AI757">
        <f>IF($C757="","",IF(OR($N757=TRUE(),$N757="TRUE"),1,0))</f>
        <v/>
      </c>
      <c r="AJ757">
        <f>IF($C757="","",IF($T757="Yes",1,0))</f>
        <v/>
      </c>
      <c r="AK757">
        <f>IF($AG757=1,IFERROR(IF(VALUE($C757)&lt;100000000,VALUE($C757),1000000000),IFERROR(IF(VALUE(MID($C757,2,20))&lt;100000000,VALUE(MID($C757,2,20)),1000000000),1000000000))+ROW()/100000,"")</f>
        <v/>
      </c>
    </row>
    <row r="758">
      <c r="D758" s="11" t="n"/>
      <c r="K758" s="7">
        <f>IF($C758="","",J758*W758/100)</f>
        <v/>
      </c>
      <c r="Q758" s="7" t="n"/>
      <c r="R758" s="7" t="n"/>
      <c r="U758">
        <f>IF($C758="","",IF($AJ758=1,0,IF($AI758=1,Settings!$C$6,Settings!$C$7))*100)</f>
        <v/>
      </c>
      <c r="V758" s="7">
        <f>IF($C758="","",R758*U758/100)</f>
        <v/>
      </c>
      <c r="W758" s="7">
        <f>IF($C758="","",R758-V758)</f>
        <v/>
      </c>
      <c r="X758" s="7">
        <f>IF($C758="","",W758-K758)</f>
        <v/>
      </c>
      <c r="AB758" s="7" t="n"/>
      <c r="AE758" s="11" t="n"/>
      <c r="AG758">
        <f>IF($C758="","",IF(COUNTIF($C$2:$C758,$C758)=1,1,0))</f>
        <v/>
      </c>
      <c r="AH758">
        <f>IF($AG758=1,SUMPRODUCT(--($AK$2:$AK$6001&lt;$AK758))+1,"")</f>
        <v/>
      </c>
      <c r="AI758">
        <f>IF($C758="","",IF(OR($N758=TRUE(),$N758="TRUE"),1,0))</f>
        <v/>
      </c>
      <c r="AJ758">
        <f>IF($C758="","",IF($T758="Yes",1,0))</f>
        <v/>
      </c>
      <c r="AK758">
        <f>IF($AG758=1,IFERROR(IF(VALUE($C758)&lt;100000000,VALUE($C758),1000000000),IFERROR(IF(VALUE(MID($C758,2,20))&lt;100000000,VALUE(MID($C758,2,20)),1000000000),1000000000))+ROW()/100000,"")</f>
        <v/>
      </c>
    </row>
    <row r="759">
      <c r="D759" s="11" t="n"/>
      <c r="K759" s="7">
        <f>IF($C759="","",J759*W759/100)</f>
        <v/>
      </c>
      <c r="Q759" s="7" t="n"/>
      <c r="R759" s="7" t="n"/>
      <c r="U759">
        <f>IF($C759="","",IF($AJ759=1,0,IF($AI759=1,Settings!$C$6,Settings!$C$7))*100)</f>
        <v/>
      </c>
      <c r="V759" s="7">
        <f>IF($C759="","",R759*U759/100)</f>
        <v/>
      </c>
      <c r="W759" s="7">
        <f>IF($C759="","",R759-V759)</f>
        <v/>
      </c>
      <c r="X759" s="7">
        <f>IF($C759="","",W759-K759)</f>
        <v/>
      </c>
      <c r="AB759" s="7" t="n"/>
      <c r="AE759" s="11" t="n"/>
      <c r="AG759">
        <f>IF($C759="","",IF(COUNTIF($C$2:$C759,$C759)=1,1,0))</f>
        <v/>
      </c>
      <c r="AH759">
        <f>IF($AG759=1,SUMPRODUCT(--($AK$2:$AK$6001&lt;$AK759))+1,"")</f>
        <v/>
      </c>
      <c r="AI759">
        <f>IF($C759="","",IF(OR($N759=TRUE(),$N759="TRUE"),1,0))</f>
        <v/>
      </c>
      <c r="AJ759">
        <f>IF($C759="","",IF($T759="Yes",1,0))</f>
        <v/>
      </c>
      <c r="AK759">
        <f>IF($AG759=1,IFERROR(IF(VALUE($C759)&lt;100000000,VALUE($C759),1000000000),IFERROR(IF(VALUE(MID($C759,2,20))&lt;100000000,VALUE(MID($C759,2,20)),1000000000),1000000000))+ROW()/100000,"")</f>
        <v/>
      </c>
    </row>
    <row r="760">
      <c r="D760" s="11" t="n"/>
      <c r="K760" s="7">
        <f>IF($C760="","",J760*W760/100)</f>
        <v/>
      </c>
      <c r="Q760" s="7" t="n"/>
      <c r="R760" s="7" t="n"/>
      <c r="U760">
        <f>IF($C760="","",IF($AJ760=1,0,IF($AI760=1,Settings!$C$6,Settings!$C$7))*100)</f>
        <v/>
      </c>
      <c r="V760" s="7">
        <f>IF($C760="","",R760*U760/100)</f>
        <v/>
      </c>
      <c r="W760" s="7">
        <f>IF($C760="","",R760-V760)</f>
        <v/>
      </c>
      <c r="X760" s="7">
        <f>IF($C760="","",W760-K760)</f>
        <v/>
      </c>
      <c r="AB760" s="7" t="n"/>
      <c r="AE760" s="11" t="n"/>
      <c r="AG760">
        <f>IF($C760="","",IF(COUNTIF($C$2:$C760,$C760)=1,1,0))</f>
        <v/>
      </c>
      <c r="AH760">
        <f>IF($AG760=1,SUMPRODUCT(--($AK$2:$AK$6001&lt;$AK760))+1,"")</f>
        <v/>
      </c>
      <c r="AI760">
        <f>IF($C760="","",IF(OR($N760=TRUE(),$N760="TRUE"),1,0))</f>
        <v/>
      </c>
      <c r="AJ760">
        <f>IF($C760="","",IF($T760="Yes",1,0))</f>
        <v/>
      </c>
      <c r="AK760">
        <f>IF($AG760=1,IFERROR(IF(VALUE($C760)&lt;100000000,VALUE($C760),1000000000),IFERROR(IF(VALUE(MID($C760,2,20))&lt;100000000,VALUE(MID($C760,2,20)),1000000000),1000000000))+ROW()/100000,"")</f>
        <v/>
      </c>
    </row>
    <row r="761">
      <c r="D761" s="11" t="n"/>
      <c r="K761" s="7">
        <f>IF($C761="","",J761*W761/100)</f>
        <v/>
      </c>
      <c r="Q761" s="7" t="n"/>
      <c r="R761" s="7" t="n"/>
      <c r="U761">
        <f>IF($C761="","",IF($AJ761=1,0,IF($AI761=1,Settings!$C$6,Settings!$C$7))*100)</f>
        <v/>
      </c>
      <c r="V761" s="7">
        <f>IF($C761="","",R761*U761/100)</f>
        <v/>
      </c>
      <c r="W761" s="7">
        <f>IF($C761="","",R761-V761)</f>
        <v/>
      </c>
      <c r="X761" s="7">
        <f>IF($C761="","",W761-K761)</f>
        <v/>
      </c>
      <c r="AB761" s="7" t="n"/>
      <c r="AE761" s="11" t="n"/>
      <c r="AG761">
        <f>IF($C761="","",IF(COUNTIF($C$2:$C761,$C761)=1,1,0))</f>
        <v/>
      </c>
      <c r="AH761">
        <f>IF($AG761=1,SUMPRODUCT(--($AK$2:$AK$6001&lt;$AK761))+1,"")</f>
        <v/>
      </c>
      <c r="AI761">
        <f>IF($C761="","",IF(OR($N761=TRUE(),$N761="TRUE"),1,0))</f>
        <v/>
      </c>
      <c r="AJ761">
        <f>IF($C761="","",IF($T761="Yes",1,0))</f>
        <v/>
      </c>
      <c r="AK761">
        <f>IF($AG761=1,IFERROR(IF(VALUE($C761)&lt;100000000,VALUE($C761),1000000000),IFERROR(IF(VALUE(MID($C761,2,20))&lt;100000000,VALUE(MID($C761,2,20)),1000000000),1000000000))+ROW()/100000,"")</f>
        <v/>
      </c>
    </row>
    <row r="762">
      <c r="D762" s="11" t="n"/>
      <c r="K762" s="7">
        <f>IF($C762="","",J762*W762/100)</f>
        <v/>
      </c>
      <c r="Q762" s="7" t="n"/>
      <c r="R762" s="7" t="n"/>
      <c r="U762">
        <f>IF($C762="","",IF($AJ762=1,0,IF($AI762=1,Settings!$C$6,Settings!$C$7))*100)</f>
        <v/>
      </c>
      <c r="V762" s="7">
        <f>IF($C762="","",R762*U762/100)</f>
        <v/>
      </c>
      <c r="W762" s="7">
        <f>IF($C762="","",R762-V762)</f>
        <v/>
      </c>
      <c r="X762" s="7">
        <f>IF($C762="","",W762-K762)</f>
        <v/>
      </c>
      <c r="AB762" s="7" t="n"/>
      <c r="AE762" s="11" t="n"/>
      <c r="AG762">
        <f>IF($C762="","",IF(COUNTIF($C$2:$C762,$C762)=1,1,0))</f>
        <v/>
      </c>
      <c r="AH762">
        <f>IF($AG762=1,SUMPRODUCT(--($AK$2:$AK$6001&lt;$AK762))+1,"")</f>
        <v/>
      </c>
      <c r="AI762">
        <f>IF($C762="","",IF(OR($N762=TRUE(),$N762="TRUE"),1,0))</f>
        <v/>
      </c>
      <c r="AJ762">
        <f>IF($C762="","",IF($T762="Yes",1,0))</f>
        <v/>
      </c>
      <c r="AK762">
        <f>IF($AG762=1,IFERROR(IF(VALUE($C762)&lt;100000000,VALUE($C762),1000000000),IFERROR(IF(VALUE(MID($C762,2,20))&lt;100000000,VALUE(MID($C762,2,20)),1000000000),1000000000))+ROW()/100000,"")</f>
        <v/>
      </c>
    </row>
    <row r="763">
      <c r="D763" s="11" t="n"/>
      <c r="K763" s="7">
        <f>IF($C763="","",J763*W763/100)</f>
        <v/>
      </c>
      <c r="Q763" s="7" t="n"/>
      <c r="R763" s="7" t="n"/>
      <c r="U763">
        <f>IF($C763="","",IF($AJ763=1,0,IF($AI763=1,Settings!$C$6,Settings!$C$7))*100)</f>
        <v/>
      </c>
      <c r="V763" s="7">
        <f>IF($C763="","",R763*U763/100)</f>
        <v/>
      </c>
      <c r="W763" s="7">
        <f>IF($C763="","",R763-V763)</f>
        <v/>
      </c>
      <c r="X763" s="7">
        <f>IF($C763="","",W763-K763)</f>
        <v/>
      </c>
      <c r="AB763" s="7" t="n"/>
      <c r="AE763" s="11" t="n"/>
      <c r="AG763">
        <f>IF($C763="","",IF(COUNTIF($C$2:$C763,$C763)=1,1,0))</f>
        <v/>
      </c>
      <c r="AH763">
        <f>IF($AG763=1,SUMPRODUCT(--($AK$2:$AK$6001&lt;$AK763))+1,"")</f>
        <v/>
      </c>
      <c r="AI763">
        <f>IF($C763="","",IF(OR($N763=TRUE(),$N763="TRUE"),1,0))</f>
        <v/>
      </c>
      <c r="AJ763">
        <f>IF($C763="","",IF($T763="Yes",1,0))</f>
        <v/>
      </c>
      <c r="AK763">
        <f>IF($AG763=1,IFERROR(IF(VALUE($C763)&lt;100000000,VALUE($C763),1000000000),IFERROR(IF(VALUE(MID($C763,2,20))&lt;100000000,VALUE(MID($C763,2,20)),1000000000),1000000000))+ROW()/100000,"")</f>
        <v/>
      </c>
    </row>
    <row r="764">
      <c r="D764" s="11" t="n"/>
      <c r="K764" s="7">
        <f>IF($C764="","",J764*W764/100)</f>
        <v/>
      </c>
      <c r="Q764" s="7" t="n"/>
      <c r="R764" s="7" t="n"/>
      <c r="U764">
        <f>IF($C764="","",IF($AJ764=1,0,IF($AI764=1,Settings!$C$6,Settings!$C$7))*100)</f>
        <v/>
      </c>
      <c r="V764" s="7">
        <f>IF($C764="","",R764*U764/100)</f>
        <v/>
      </c>
      <c r="W764" s="7">
        <f>IF($C764="","",R764-V764)</f>
        <v/>
      </c>
      <c r="X764" s="7">
        <f>IF($C764="","",W764-K764)</f>
        <v/>
      </c>
      <c r="AB764" s="7" t="n"/>
      <c r="AE764" s="11" t="n"/>
      <c r="AG764">
        <f>IF($C764="","",IF(COUNTIF($C$2:$C764,$C764)=1,1,0))</f>
        <v/>
      </c>
      <c r="AH764">
        <f>IF($AG764=1,SUMPRODUCT(--($AK$2:$AK$6001&lt;$AK764))+1,"")</f>
        <v/>
      </c>
      <c r="AI764">
        <f>IF($C764="","",IF(OR($N764=TRUE(),$N764="TRUE"),1,0))</f>
        <v/>
      </c>
      <c r="AJ764">
        <f>IF($C764="","",IF($T764="Yes",1,0))</f>
        <v/>
      </c>
      <c r="AK764">
        <f>IF($AG764=1,IFERROR(IF(VALUE($C764)&lt;100000000,VALUE($C764),1000000000),IFERROR(IF(VALUE(MID($C764,2,20))&lt;100000000,VALUE(MID($C764,2,20)),1000000000),1000000000))+ROW()/100000,"")</f>
        <v/>
      </c>
    </row>
    <row r="765">
      <c r="D765" s="11" t="n"/>
      <c r="K765" s="7">
        <f>IF($C765="","",J765*W765/100)</f>
        <v/>
      </c>
      <c r="Q765" s="7" t="n"/>
      <c r="R765" s="7" t="n"/>
      <c r="U765">
        <f>IF($C765="","",IF($AJ765=1,0,IF($AI765=1,Settings!$C$6,Settings!$C$7))*100)</f>
        <v/>
      </c>
      <c r="V765" s="7">
        <f>IF($C765="","",R765*U765/100)</f>
        <v/>
      </c>
      <c r="W765" s="7">
        <f>IF($C765="","",R765-V765)</f>
        <v/>
      </c>
      <c r="X765" s="7">
        <f>IF($C765="","",W765-K765)</f>
        <v/>
      </c>
      <c r="AB765" s="7" t="n"/>
      <c r="AE765" s="11" t="n"/>
      <c r="AG765">
        <f>IF($C765="","",IF(COUNTIF($C$2:$C765,$C765)=1,1,0))</f>
        <v/>
      </c>
      <c r="AH765">
        <f>IF($AG765=1,SUMPRODUCT(--($AK$2:$AK$6001&lt;$AK765))+1,"")</f>
        <v/>
      </c>
      <c r="AI765">
        <f>IF($C765="","",IF(OR($N765=TRUE(),$N765="TRUE"),1,0))</f>
        <v/>
      </c>
      <c r="AJ765">
        <f>IF($C765="","",IF($T765="Yes",1,0))</f>
        <v/>
      </c>
      <c r="AK765">
        <f>IF($AG765=1,IFERROR(IF(VALUE($C765)&lt;100000000,VALUE($C765),1000000000),IFERROR(IF(VALUE(MID($C765,2,20))&lt;100000000,VALUE(MID($C765,2,20)),1000000000),1000000000))+ROW()/100000,"")</f>
        <v/>
      </c>
    </row>
    <row r="766">
      <c r="D766" s="11" t="n"/>
      <c r="K766" s="7">
        <f>IF($C766="","",J766*W766/100)</f>
        <v/>
      </c>
      <c r="Q766" s="7" t="n"/>
      <c r="R766" s="7" t="n"/>
      <c r="U766">
        <f>IF($C766="","",IF($AJ766=1,0,IF($AI766=1,Settings!$C$6,Settings!$C$7))*100)</f>
        <v/>
      </c>
      <c r="V766" s="7">
        <f>IF($C766="","",R766*U766/100)</f>
        <v/>
      </c>
      <c r="W766" s="7">
        <f>IF($C766="","",R766-V766)</f>
        <v/>
      </c>
      <c r="X766" s="7">
        <f>IF($C766="","",W766-K766)</f>
        <v/>
      </c>
      <c r="AB766" s="7" t="n"/>
      <c r="AE766" s="11" t="n"/>
      <c r="AG766">
        <f>IF($C766="","",IF(COUNTIF($C$2:$C766,$C766)=1,1,0))</f>
        <v/>
      </c>
      <c r="AH766">
        <f>IF($AG766=1,SUMPRODUCT(--($AK$2:$AK$6001&lt;$AK766))+1,"")</f>
        <v/>
      </c>
      <c r="AI766">
        <f>IF($C766="","",IF(OR($N766=TRUE(),$N766="TRUE"),1,0))</f>
        <v/>
      </c>
      <c r="AJ766">
        <f>IF($C766="","",IF($T766="Yes",1,0))</f>
        <v/>
      </c>
      <c r="AK766">
        <f>IF($AG766=1,IFERROR(IF(VALUE($C766)&lt;100000000,VALUE($C766),1000000000),IFERROR(IF(VALUE(MID($C766,2,20))&lt;100000000,VALUE(MID($C766,2,20)),1000000000),1000000000))+ROW()/100000,"")</f>
        <v/>
      </c>
    </row>
    <row r="767">
      <c r="D767" s="11" t="n"/>
      <c r="K767" s="7">
        <f>IF($C767="","",J767*W767/100)</f>
        <v/>
      </c>
      <c r="Q767" s="7" t="n"/>
      <c r="R767" s="7" t="n"/>
      <c r="U767">
        <f>IF($C767="","",IF($AJ767=1,0,IF($AI767=1,Settings!$C$6,Settings!$C$7))*100)</f>
        <v/>
      </c>
      <c r="V767" s="7">
        <f>IF($C767="","",R767*U767/100)</f>
        <v/>
      </c>
      <c r="W767" s="7">
        <f>IF($C767="","",R767-V767)</f>
        <v/>
      </c>
      <c r="X767" s="7">
        <f>IF($C767="","",W767-K767)</f>
        <v/>
      </c>
      <c r="AB767" s="7" t="n"/>
      <c r="AE767" s="11" t="n"/>
      <c r="AG767">
        <f>IF($C767="","",IF(COUNTIF($C$2:$C767,$C767)=1,1,0))</f>
        <v/>
      </c>
      <c r="AH767">
        <f>IF($AG767=1,SUMPRODUCT(--($AK$2:$AK$6001&lt;$AK767))+1,"")</f>
        <v/>
      </c>
      <c r="AI767">
        <f>IF($C767="","",IF(OR($N767=TRUE(),$N767="TRUE"),1,0))</f>
        <v/>
      </c>
      <c r="AJ767">
        <f>IF($C767="","",IF($T767="Yes",1,0))</f>
        <v/>
      </c>
      <c r="AK767">
        <f>IF($AG767=1,IFERROR(IF(VALUE($C767)&lt;100000000,VALUE($C767),1000000000),IFERROR(IF(VALUE(MID($C767,2,20))&lt;100000000,VALUE(MID($C767,2,20)),1000000000),1000000000))+ROW()/100000,"")</f>
        <v/>
      </c>
    </row>
    <row r="768">
      <c r="D768" s="11" t="n"/>
      <c r="K768" s="7">
        <f>IF($C768="","",J768*W768/100)</f>
        <v/>
      </c>
      <c r="Q768" s="7" t="n"/>
      <c r="R768" s="7" t="n"/>
      <c r="U768">
        <f>IF($C768="","",IF($AJ768=1,0,IF($AI768=1,Settings!$C$6,Settings!$C$7))*100)</f>
        <v/>
      </c>
      <c r="V768" s="7">
        <f>IF($C768="","",R768*U768/100)</f>
        <v/>
      </c>
      <c r="W768" s="7">
        <f>IF($C768="","",R768-V768)</f>
        <v/>
      </c>
      <c r="X768" s="7">
        <f>IF($C768="","",W768-K768)</f>
        <v/>
      </c>
      <c r="AB768" s="7" t="n"/>
      <c r="AE768" s="11" t="n"/>
      <c r="AG768">
        <f>IF($C768="","",IF(COUNTIF($C$2:$C768,$C768)=1,1,0))</f>
        <v/>
      </c>
      <c r="AH768">
        <f>IF($AG768=1,SUMPRODUCT(--($AK$2:$AK$6001&lt;$AK768))+1,"")</f>
        <v/>
      </c>
      <c r="AI768">
        <f>IF($C768="","",IF(OR($N768=TRUE(),$N768="TRUE"),1,0))</f>
        <v/>
      </c>
      <c r="AJ768">
        <f>IF($C768="","",IF($T768="Yes",1,0))</f>
        <v/>
      </c>
      <c r="AK768">
        <f>IF($AG768=1,IFERROR(IF(VALUE($C768)&lt;100000000,VALUE($C768),1000000000),IFERROR(IF(VALUE(MID($C768,2,20))&lt;100000000,VALUE(MID($C768,2,20)),1000000000),1000000000))+ROW()/100000,"")</f>
        <v/>
      </c>
    </row>
    <row r="769">
      <c r="D769" s="11" t="n"/>
      <c r="K769" s="7">
        <f>IF($C769="","",J769*W769/100)</f>
        <v/>
      </c>
      <c r="Q769" s="7" t="n"/>
      <c r="R769" s="7" t="n"/>
      <c r="U769">
        <f>IF($C769="","",IF($AJ769=1,0,IF($AI769=1,Settings!$C$6,Settings!$C$7))*100)</f>
        <v/>
      </c>
      <c r="V769" s="7">
        <f>IF($C769="","",R769*U769/100)</f>
        <v/>
      </c>
      <c r="W769" s="7">
        <f>IF($C769="","",R769-V769)</f>
        <v/>
      </c>
      <c r="X769" s="7">
        <f>IF($C769="","",W769-K769)</f>
        <v/>
      </c>
      <c r="AB769" s="7" t="n"/>
      <c r="AE769" s="11" t="n"/>
      <c r="AG769">
        <f>IF($C769="","",IF(COUNTIF($C$2:$C769,$C769)=1,1,0))</f>
        <v/>
      </c>
      <c r="AH769">
        <f>IF($AG769=1,SUMPRODUCT(--($AK$2:$AK$6001&lt;$AK769))+1,"")</f>
        <v/>
      </c>
      <c r="AI769">
        <f>IF($C769="","",IF(OR($N769=TRUE(),$N769="TRUE"),1,0))</f>
        <v/>
      </c>
      <c r="AJ769">
        <f>IF($C769="","",IF($T769="Yes",1,0))</f>
        <v/>
      </c>
      <c r="AK769">
        <f>IF($AG769=1,IFERROR(IF(VALUE($C769)&lt;100000000,VALUE($C769),1000000000),IFERROR(IF(VALUE(MID($C769,2,20))&lt;100000000,VALUE(MID($C769,2,20)),1000000000),1000000000))+ROW()/100000,"")</f>
        <v/>
      </c>
    </row>
    <row r="770">
      <c r="D770" s="11" t="n"/>
      <c r="K770" s="7">
        <f>IF($C770="","",J770*W770/100)</f>
        <v/>
      </c>
      <c r="Q770" s="7" t="n"/>
      <c r="R770" s="7" t="n"/>
      <c r="U770">
        <f>IF($C770="","",IF($AJ770=1,0,IF($AI770=1,Settings!$C$6,Settings!$C$7))*100)</f>
        <v/>
      </c>
      <c r="V770" s="7">
        <f>IF($C770="","",R770*U770/100)</f>
        <v/>
      </c>
      <c r="W770" s="7">
        <f>IF($C770="","",R770-V770)</f>
        <v/>
      </c>
      <c r="X770" s="7">
        <f>IF($C770="","",W770-K770)</f>
        <v/>
      </c>
      <c r="AB770" s="7" t="n"/>
      <c r="AE770" s="11" t="n"/>
      <c r="AG770">
        <f>IF($C770="","",IF(COUNTIF($C$2:$C770,$C770)=1,1,0))</f>
        <v/>
      </c>
      <c r="AH770">
        <f>IF($AG770=1,SUMPRODUCT(--($AK$2:$AK$6001&lt;$AK770))+1,"")</f>
        <v/>
      </c>
      <c r="AI770">
        <f>IF($C770="","",IF(OR($N770=TRUE(),$N770="TRUE"),1,0))</f>
        <v/>
      </c>
      <c r="AJ770">
        <f>IF($C770="","",IF($T770="Yes",1,0))</f>
        <v/>
      </c>
      <c r="AK770">
        <f>IF($AG770=1,IFERROR(IF(VALUE($C770)&lt;100000000,VALUE($C770),1000000000),IFERROR(IF(VALUE(MID($C770,2,20))&lt;100000000,VALUE(MID($C770,2,20)),1000000000),1000000000))+ROW()/100000,"")</f>
        <v/>
      </c>
    </row>
    <row r="771">
      <c r="D771" s="11" t="n"/>
      <c r="K771" s="7">
        <f>IF($C771="","",J771*W771/100)</f>
        <v/>
      </c>
      <c r="Q771" s="7" t="n"/>
      <c r="R771" s="7" t="n"/>
      <c r="U771">
        <f>IF($C771="","",IF($AJ771=1,0,IF($AI771=1,Settings!$C$6,Settings!$C$7))*100)</f>
        <v/>
      </c>
      <c r="V771" s="7">
        <f>IF($C771="","",R771*U771/100)</f>
        <v/>
      </c>
      <c r="W771" s="7">
        <f>IF($C771="","",R771-V771)</f>
        <v/>
      </c>
      <c r="X771" s="7">
        <f>IF($C771="","",W771-K771)</f>
        <v/>
      </c>
      <c r="AB771" s="7" t="n"/>
      <c r="AE771" s="11" t="n"/>
      <c r="AG771">
        <f>IF($C771="","",IF(COUNTIF($C$2:$C771,$C771)=1,1,0))</f>
        <v/>
      </c>
      <c r="AH771">
        <f>IF($AG771=1,SUMPRODUCT(--($AK$2:$AK$6001&lt;$AK771))+1,"")</f>
        <v/>
      </c>
      <c r="AI771">
        <f>IF($C771="","",IF(OR($N771=TRUE(),$N771="TRUE"),1,0))</f>
        <v/>
      </c>
      <c r="AJ771">
        <f>IF($C771="","",IF($T771="Yes",1,0))</f>
        <v/>
      </c>
      <c r="AK771">
        <f>IF($AG771=1,IFERROR(IF(VALUE($C771)&lt;100000000,VALUE($C771),1000000000),IFERROR(IF(VALUE(MID($C771,2,20))&lt;100000000,VALUE(MID($C771,2,20)),1000000000),1000000000))+ROW()/100000,"")</f>
        <v/>
      </c>
    </row>
    <row r="772">
      <c r="D772" s="11" t="n"/>
      <c r="K772" s="7">
        <f>IF($C772="","",J772*W772/100)</f>
        <v/>
      </c>
      <c r="Q772" s="7" t="n"/>
      <c r="R772" s="7" t="n"/>
      <c r="U772">
        <f>IF($C772="","",IF($AJ772=1,0,IF($AI772=1,Settings!$C$6,Settings!$C$7))*100)</f>
        <v/>
      </c>
      <c r="V772" s="7">
        <f>IF($C772="","",R772*U772/100)</f>
        <v/>
      </c>
      <c r="W772" s="7">
        <f>IF($C772="","",R772-V772)</f>
        <v/>
      </c>
      <c r="X772" s="7">
        <f>IF($C772="","",W772-K772)</f>
        <v/>
      </c>
      <c r="AB772" s="7" t="n"/>
      <c r="AE772" s="11" t="n"/>
      <c r="AG772">
        <f>IF($C772="","",IF(COUNTIF($C$2:$C772,$C772)=1,1,0))</f>
        <v/>
      </c>
      <c r="AH772">
        <f>IF($AG772=1,SUMPRODUCT(--($AK$2:$AK$6001&lt;$AK772))+1,"")</f>
        <v/>
      </c>
      <c r="AI772">
        <f>IF($C772="","",IF(OR($N772=TRUE(),$N772="TRUE"),1,0))</f>
        <v/>
      </c>
      <c r="AJ772">
        <f>IF($C772="","",IF($T772="Yes",1,0))</f>
        <v/>
      </c>
      <c r="AK772">
        <f>IF($AG772=1,IFERROR(IF(VALUE($C772)&lt;100000000,VALUE($C772),1000000000),IFERROR(IF(VALUE(MID($C772,2,20))&lt;100000000,VALUE(MID($C772,2,20)),1000000000),1000000000))+ROW()/100000,"")</f>
        <v/>
      </c>
    </row>
    <row r="773">
      <c r="D773" s="11" t="n"/>
      <c r="K773" s="7">
        <f>IF($C773="","",J773*W773/100)</f>
        <v/>
      </c>
      <c r="Q773" s="7" t="n"/>
      <c r="R773" s="7" t="n"/>
      <c r="U773">
        <f>IF($C773="","",IF($AJ773=1,0,IF($AI773=1,Settings!$C$6,Settings!$C$7))*100)</f>
        <v/>
      </c>
      <c r="V773" s="7">
        <f>IF($C773="","",R773*U773/100)</f>
        <v/>
      </c>
      <c r="W773" s="7">
        <f>IF($C773="","",R773-V773)</f>
        <v/>
      </c>
      <c r="X773" s="7">
        <f>IF($C773="","",W773-K773)</f>
        <v/>
      </c>
      <c r="AB773" s="7" t="n"/>
      <c r="AE773" s="11" t="n"/>
      <c r="AG773">
        <f>IF($C773="","",IF(COUNTIF($C$2:$C773,$C773)=1,1,0))</f>
        <v/>
      </c>
      <c r="AH773">
        <f>IF($AG773=1,SUMPRODUCT(--($AK$2:$AK$6001&lt;$AK773))+1,"")</f>
        <v/>
      </c>
      <c r="AI773">
        <f>IF($C773="","",IF(OR($N773=TRUE(),$N773="TRUE"),1,0))</f>
        <v/>
      </c>
      <c r="AJ773">
        <f>IF($C773="","",IF($T773="Yes",1,0))</f>
        <v/>
      </c>
      <c r="AK773">
        <f>IF($AG773=1,IFERROR(IF(VALUE($C773)&lt;100000000,VALUE($C773),1000000000),IFERROR(IF(VALUE(MID($C773,2,20))&lt;100000000,VALUE(MID($C773,2,20)),1000000000),1000000000))+ROW()/100000,"")</f>
        <v/>
      </c>
    </row>
    <row r="774">
      <c r="D774" s="11" t="n"/>
      <c r="K774" s="7">
        <f>IF($C774="","",J774*W774/100)</f>
        <v/>
      </c>
      <c r="Q774" s="7" t="n"/>
      <c r="R774" s="7" t="n"/>
      <c r="U774">
        <f>IF($C774="","",IF($AJ774=1,0,IF($AI774=1,Settings!$C$6,Settings!$C$7))*100)</f>
        <v/>
      </c>
      <c r="V774" s="7">
        <f>IF($C774="","",R774*U774/100)</f>
        <v/>
      </c>
      <c r="W774" s="7">
        <f>IF($C774="","",R774-V774)</f>
        <v/>
      </c>
      <c r="X774" s="7">
        <f>IF($C774="","",W774-K774)</f>
        <v/>
      </c>
      <c r="AB774" s="7" t="n"/>
      <c r="AE774" s="11" t="n"/>
      <c r="AG774">
        <f>IF($C774="","",IF(COUNTIF($C$2:$C774,$C774)=1,1,0))</f>
        <v/>
      </c>
      <c r="AH774">
        <f>IF($AG774=1,SUMPRODUCT(--($AK$2:$AK$6001&lt;$AK774))+1,"")</f>
        <v/>
      </c>
      <c r="AI774">
        <f>IF($C774="","",IF(OR($N774=TRUE(),$N774="TRUE"),1,0))</f>
        <v/>
      </c>
      <c r="AJ774">
        <f>IF($C774="","",IF($T774="Yes",1,0))</f>
        <v/>
      </c>
      <c r="AK774">
        <f>IF($AG774=1,IFERROR(IF(VALUE($C774)&lt;100000000,VALUE($C774),1000000000),IFERROR(IF(VALUE(MID($C774,2,20))&lt;100000000,VALUE(MID($C774,2,20)),1000000000),1000000000))+ROW()/100000,"")</f>
        <v/>
      </c>
    </row>
    <row r="775">
      <c r="D775" s="11" t="n"/>
      <c r="K775" s="7">
        <f>IF($C775="","",J775*W775/100)</f>
        <v/>
      </c>
      <c r="Q775" s="7" t="n"/>
      <c r="R775" s="7" t="n"/>
      <c r="U775">
        <f>IF($C775="","",IF($AJ775=1,0,IF($AI775=1,Settings!$C$6,Settings!$C$7))*100)</f>
        <v/>
      </c>
      <c r="V775" s="7">
        <f>IF($C775="","",R775*U775/100)</f>
        <v/>
      </c>
      <c r="W775" s="7">
        <f>IF($C775="","",R775-V775)</f>
        <v/>
      </c>
      <c r="X775" s="7">
        <f>IF($C775="","",W775-K775)</f>
        <v/>
      </c>
      <c r="AB775" s="7" t="n"/>
      <c r="AE775" s="11" t="n"/>
      <c r="AG775">
        <f>IF($C775="","",IF(COUNTIF($C$2:$C775,$C775)=1,1,0))</f>
        <v/>
      </c>
      <c r="AH775">
        <f>IF($AG775=1,SUMPRODUCT(--($AK$2:$AK$6001&lt;$AK775))+1,"")</f>
        <v/>
      </c>
      <c r="AI775">
        <f>IF($C775="","",IF(OR($N775=TRUE(),$N775="TRUE"),1,0))</f>
        <v/>
      </c>
      <c r="AJ775">
        <f>IF($C775="","",IF($T775="Yes",1,0))</f>
        <v/>
      </c>
      <c r="AK775">
        <f>IF($AG775=1,IFERROR(IF(VALUE($C775)&lt;100000000,VALUE($C775),1000000000),IFERROR(IF(VALUE(MID($C775,2,20))&lt;100000000,VALUE(MID($C775,2,20)),1000000000),1000000000))+ROW()/100000,"")</f>
        <v/>
      </c>
    </row>
    <row r="776">
      <c r="D776" s="11" t="n"/>
      <c r="K776" s="7">
        <f>IF($C776="","",J776*W776/100)</f>
        <v/>
      </c>
      <c r="Q776" s="7" t="n"/>
      <c r="R776" s="7" t="n"/>
      <c r="U776">
        <f>IF($C776="","",IF($AJ776=1,0,IF($AI776=1,Settings!$C$6,Settings!$C$7))*100)</f>
        <v/>
      </c>
      <c r="V776" s="7">
        <f>IF($C776="","",R776*U776/100)</f>
        <v/>
      </c>
      <c r="W776" s="7">
        <f>IF($C776="","",R776-V776)</f>
        <v/>
      </c>
      <c r="X776" s="7">
        <f>IF($C776="","",W776-K776)</f>
        <v/>
      </c>
      <c r="AB776" s="7" t="n"/>
      <c r="AE776" s="11" t="n"/>
      <c r="AG776">
        <f>IF($C776="","",IF(COUNTIF($C$2:$C776,$C776)=1,1,0))</f>
        <v/>
      </c>
      <c r="AH776">
        <f>IF($AG776=1,SUMPRODUCT(--($AK$2:$AK$6001&lt;$AK776))+1,"")</f>
        <v/>
      </c>
      <c r="AI776">
        <f>IF($C776="","",IF(OR($N776=TRUE(),$N776="TRUE"),1,0))</f>
        <v/>
      </c>
      <c r="AJ776">
        <f>IF($C776="","",IF($T776="Yes",1,0))</f>
        <v/>
      </c>
      <c r="AK776">
        <f>IF($AG776=1,IFERROR(IF(VALUE($C776)&lt;100000000,VALUE($C776),1000000000),IFERROR(IF(VALUE(MID($C776,2,20))&lt;100000000,VALUE(MID($C776,2,20)),1000000000),1000000000))+ROW()/100000,"")</f>
        <v/>
      </c>
    </row>
    <row r="777">
      <c r="D777" s="11" t="n"/>
      <c r="K777" s="7">
        <f>IF($C777="","",J777*W777/100)</f>
        <v/>
      </c>
      <c r="Q777" s="7" t="n"/>
      <c r="R777" s="7" t="n"/>
      <c r="U777">
        <f>IF($C777="","",IF($AJ777=1,0,IF($AI777=1,Settings!$C$6,Settings!$C$7))*100)</f>
        <v/>
      </c>
      <c r="V777" s="7">
        <f>IF($C777="","",R777*U777/100)</f>
        <v/>
      </c>
      <c r="W777" s="7">
        <f>IF($C777="","",R777-V777)</f>
        <v/>
      </c>
      <c r="X777" s="7">
        <f>IF($C777="","",W777-K777)</f>
        <v/>
      </c>
      <c r="AB777" s="7" t="n"/>
      <c r="AE777" s="11" t="n"/>
      <c r="AG777">
        <f>IF($C777="","",IF(COUNTIF($C$2:$C777,$C777)=1,1,0))</f>
        <v/>
      </c>
      <c r="AH777">
        <f>IF($AG777=1,SUMPRODUCT(--($AK$2:$AK$6001&lt;$AK777))+1,"")</f>
        <v/>
      </c>
      <c r="AI777">
        <f>IF($C777="","",IF(OR($N777=TRUE(),$N777="TRUE"),1,0))</f>
        <v/>
      </c>
      <c r="AJ777">
        <f>IF($C777="","",IF($T777="Yes",1,0))</f>
        <v/>
      </c>
      <c r="AK777">
        <f>IF($AG777=1,IFERROR(IF(VALUE($C777)&lt;100000000,VALUE($C777),1000000000),IFERROR(IF(VALUE(MID($C777,2,20))&lt;100000000,VALUE(MID($C777,2,20)),1000000000),1000000000))+ROW()/100000,"")</f>
        <v/>
      </c>
    </row>
    <row r="778">
      <c r="D778" s="11" t="n"/>
      <c r="K778" s="7">
        <f>IF($C778="","",J778*W778/100)</f>
        <v/>
      </c>
      <c r="Q778" s="7" t="n"/>
      <c r="R778" s="7" t="n"/>
      <c r="U778">
        <f>IF($C778="","",IF($AJ778=1,0,IF($AI778=1,Settings!$C$6,Settings!$C$7))*100)</f>
        <v/>
      </c>
      <c r="V778" s="7">
        <f>IF($C778="","",R778*U778/100)</f>
        <v/>
      </c>
      <c r="W778" s="7">
        <f>IF($C778="","",R778-V778)</f>
        <v/>
      </c>
      <c r="X778" s="7">
        <f>IF($C778="","",W778-K778)</f>
        <v/>
      </c>
      <c r="AB778" s="7" t="n"/>
      <c r="AE778" s="11" t="n"/>
      <c r="AG778">
        <f>IF($C778="","",IF(COUNTIF($C$2:$C778,$C778)=1,1,0))</f>
        <v/>
      </c>
      <c r="AH778">
        <f>IF($AG778=1,SUMPRODUCT(--($AK$2:$AK$6001&lt;$AK778))+1,"")</f>
        <v/>
      </c>
      <c r="AI778">
        <f>IF($C778="","",IF(OR($N778=TRUE(),$N778="TRUE"),1,0))</f>
        <v/>
      </c>
      <c r="AJ778">
        <f>IF($C778="","",IF($T778="Yes",1,0))</f>
        <v/>
      </c>
      <c r="AK778">
        <f>IF($AG778=1,IFERROR(IF(VALUE($C778)&lt;100000000,VALUE($C778),1000000000),IFERROR(IF(VALUE(MID($C778,2,20))&lt;100000000,VALUE(MID($C778,2,20)),1000000000),1000000000))+ROW()/100000,"")</f>
        <v/>
      </c>
    </row>
    <row r="779">
      <c r="D779" s="11" t="n"/>
      <c r="K779" s="7">
        <f>IF($C779="","",J779*W779/100)</f>
        <v/>
      </c>
      <c r="Q779" s="7" t="n"/>
      <c r="R779" s="7" t="n"/>
      <c r="U779">
        <f>IF($C779="","",IF($AJ779=1,0,IF($AI779=1,Settings!$C$6,Settings!$C$7))*100)</f>
        <v/>
      </c>
      <c r="V779" s="7">
        <f>IF($C779="","",R779*U779/100)</f>
        <v/>
      </c>
      <c r="W779" s="7">
        <f>IF($C779="","",R779-V779)</f>
        <v/>
      </c>
      <c r="X779" s="7">
        <f>IF($C779="","",W779-K779)</f>
        <v/>
      </c>
      <c r="AB779" s="7" t="n"/>
      <c r="AE779" s="11" t="n"/>
      <c r="AG779">
        <f>IF($C779="","",IF(COUNTIF($C$2:$C779,$C779)=1,1,0))</f>
        <v/>
      </c>
      <c r="AH779">
        <f>IF($AG779=1,SUMPRODUCT(--($AK$2:$AK$6001&lt;$AK779))+1,"")</f>
        <v/>
      </c>
      <c r="AI779">
        <f>IF($C779="","",IF(OR($N779=TRUE(),$N779="TRUE"),1,0))</f>
        <v/>
      </c>
      <c r="AJ779">
        <f>IF($C779="","",IF($T779="Yes",1,0))</f>
        <v/>
      </c>
      <c r="AK779">
        <f>IF($AG779=1,IFERROR(IF(VALUE($C779)&lt;100000000,VALUE($C779),1000000000),IFERROR(IF(VALUE(MID($C779,2,20))&lt;100000000,VALUE(MID($C779,2,20)),1000000000),1000000000))+ROW()/100000,"")</f>
        <v/>
      </c>
    </row>
    <row r="780">
      <c r="D780" s="11" t="n"/>
      <c r="K780" s="7">
        <f>IF($C780="","",J780*W780/100)</f>
        <v/>
      </c>
      <c r="Q780" s="7" t="n"/>
      <c r="R780" s="7" t="n"/>
      <c r="U780">
        <f>IF($C780="","",IF($AJ780=1,0,IF($AI780=1,Settings!$C$6,Settings!$C$7))*100)</f>
        <v/>
      </c>
      <c r="V780" s="7">
        <f>IF($C780="","",R780*U780/100)</f>
        <v/>
      </c>
      <c r="W780" s="7">
        <f>IF($C780="","",R780-V780)</f>
        <v/>
      </c>
      <c r="X780" s="7">
        <f>IF($C780="","",W780-K780)</f>
        <v/>
      </c>
      <c r="AB780" s="7" t="n"/>
      <c r="AE780" s="11" t="n"/>
      <c r="AG780">
        <f>IF($C780="","",IF(COUNTIF($C$2:$C780,$C780)=1,1,0))</f>
        <v/>
      </c>
      <c r="AH780">
        <f>IF($AG780=1,SUMPRODUCT(--($AK$2:$AK$6001&lt;$AK780))+1,"")</f>
        <v/>
      </c>
      <c r="AI780">
        <f>IF($C780="","",IF(OR($N780=TRUE(),$N780="TRUE"),1,0))</f>
        <v/>
      </c>
      <c r="AJ780">
        <f>IF($C780="","",IF($T780="Yes",1,0))</f>
        <v/>
      </c>
      <c r="AK780">
        <f>IF($AG780=1,IFERROR(IF(VALUE($C780)&lt;100000000,VALUE($C780),1000000000),IFERROR(IF(VALUE(MID($C780,2,20))&lt;100000000,VALUE(MID($C780,2,20)),1000000000),1000000000))+ROW()/100000,"")</f>
        <v/>
      </c>
    </row>
    <row r="781">
      <c r="D781" s="11" t="n"/>
      <c r="K781" s="7">
        <f>IF($C781="","",J781*W781/100)</f>
        <v/>
      </c>
      <c r="Q781" s="7" t="n"/>
      <c r="R781" s="7" t="n"/>
      <c r="U781">
        <f>IF($C781="","",IF($AJ781=1,0,IF($AI781=1,Settings!$C$6,Settings!$C$7))*100)</f>
        <v/>
      </c>
      <c r="V781" s="7">
        <f>IF($C781="","",R781*U781/100)</f>
        <v/>
      </c>
      <c r="W781" s="7">
        <f>IF($C781="","",R781-V781)</f>
        <v/>
      </c>
      <c r="X781" s="7">
        <f>IF($C781="","",W781-K781)</f>
        <v/>
      </c>
      <c r="AB781" s="7" t="n"/>
      <c r="AE781" s="11" t="n"/>
      <c r="AG781">
        <f>IF($C781="","",IF(COUNTIF($C$2:$C781,$C781)=1,1,0))</f>
        <v/>
      </c>
      <c r="AH781">
        <f>IF($AG781=1,SUMPRODUCT(--($AK$2:$AK$6001&lt;$AK781))+1,"")</f>
        <v/>
      </c>
      <c r="AI781">
        <f>IF($C781="","",IF(OR($N781=TRUE(),$N781="TRUE"),1,0))</f>
        <v/>
      </c>
      <c r="AJ781">
        <f>IF($C781="","",IF($T781="Yes",1,0))</f>
        <v/>
      </c>
      <c r="AK781">
        <f>IF($AG781=1,IFERROR(IF(VALUE($C781)&lt;100000000,VALUE($C781),1000000000),IFERROR(IF(VALUE(MID($C781,2,20))&lt;100000000,VALUE(MID($C781,2,20)),1000000000),1000000000))+ROW()/100000,"")</f>
        <v/>
      </c>
    </row>
    <row r="782">
      <c r="D782" s="11" t="n"/>
      <c r="K782" s="7">
        <f>IF($C782="","",J782*W782/100)</f>
        <v/>
      </c>
      <c r="Q782" s="7" t="n"/>
      <c r="R782" s="7" t="n"/>
      <c r="U782">
        <f>IF($C782="","",IF($AJ782=1,0,IF($AI782=1,Settings!$C$6,Settings!$C$7))*100)</f>
        <v/>
      </c>
      <c r="V782" s="7">
        <f>IF($C782="","",R782*U782/100)</f>
        <v/>
      </c>
      <c r="W782" s="7">
        <f>IF($C782="","",R782-V782)</f>
        <v/>
      </c>
      <c r="X782" s="7">
        <f>IF($C782="","",W782-K782)</f>
        <v/>
      </c>
      <c r="AB782" s="7" t="n"/>
      <c r="AE782" s="11" t="n"/>
      <c r="AG782">
        <f>IF($C782="","",IF(COUNTIF($C$2:$C782,$C782)=1,1,0))</f>
        <v/>
      </c>
      <c r="AH782">
        <f>IF($AG782=1,SUMPRODUCT(--($AK$2:$AK$6001&lt;$AK782))+1,"")</f>
        <v/>
      </c>
      <c r="AI782">
        <f>IF($C782="","",IF(OR($N782=TRUE(),$N782="TRUE"),1,0))</f>
        <v/>
      </c>
      <c r="AJ782">
        <f>IF($C782="","",IF($T782="Yes",1,0))</f>
        <v/>
      </c>
      <c r="AK782">
        <f>IF($AG782=1,IFERROR(IF(VALUE($C782)&lt;100000000,VALUE($C782),1000000000),IFERROR(IF(VALUE(MID($C782,2,20))&lt;100000000,VALUE(MID($C782,2,20)),1000000000),1000000000))+ROW()/100000,"")</f>
        <v/>
      </c>
    </row>
    <row r="783">
      <c r="D783" s="11" t="n"/>
      <c r="K783" s="7">
        <f>IF($C783="","",J783*W783/100)</f>
        <v/>
      </c>
      <c r="Q783" s="7" t="n"/>
      <c r="R783" s="7" t="n"/>
      <c r="U783">
        <f>IF($C783="","",IF($AJ783=1,0,IF($AI783=1,Settings!$C$6,Settings!$C$7))*100)</f>
        <v/>
      </c>
      <c r="V783" s="7">
        <f>IF($C783="","",R783*U783/100)</f>
        <v/>
      </c>
      <c r="W783" s="7">
        <f>IF($C783="","",R783-V783)</f>
        <v/>
      </c>
      <c r="X783" s="7">
        <f>IF($C783="","",W783-K783)</f>
        <v/>
      </c>
      <c r="AB783" s="7" t="n"/>
      <c r="AE783" s="11" t="n"/>
      <c r="AG783">
        <f>IF($C783="","",IF(COUNTIF($C$2:$C783,$C783)=1,1,0))</f>
        <v/>
      </c>
      <c r="AH783">
        <f>IF($AG783=1,SUMPRODUCT(--($AK$2:$AK$6001&lt;$AK783))+1,"")</f>
        <v/>
      </c>
      <c r="AI783">
        <f>IF($C783="","",IF(OR($N783=TRUE(),$N783="TRUE"),1,0))</f>
        <v/>
      </c>
      <c r="AJ783">
        <f>IF($C783="","",IF($T783="Yes",1,0))</f>
        <v/>
      </c>
      <c r="AK783">
        <f>IF($AG783=1,IFERROR(IF(VALUE($C783)&lt;100000000,VALUE($C783),1000000000),IFERROR(IF(VALUE(MID($C783,2,20))&lt;100000000,VALUE(MID($C783,2,20)),1000000000),1000000000))+ROW()/100000,"")</f>
        <v/>
      </c>
    </row>
    <row r="784">
      <c r="D784" s="11" t="n"/>
      <c r="K784" s="7">
        <f>IF($C784="","",J784*W784/100)</f>
        <v/>
      </c>
      <c r="Q784" s="7" t="n"/>
      <c r="R784" s="7" t="n"/>
      <c r="U784">
        <f>IF($C784="","",IF($AJ784=1,0,IF($AI784=1,Settings!$C$6,Settings!$C$7))*100)</f>
        <v/>
      </c>
      <c r="V784" s="7">
        <f>IF($C784="","",R784*U784/100)</f>
        <v/>
      </c>
      <c r="W784" s="7">
        <f>IF($C784="","",R784-V784)</f>
        <v/>
      </c>
      <c r="X784" s="7">
        <f>IF($C784="","",W784-K784)</f>
        <v/>
      </c>
      <c r="AB784" s="7" t="n"/>
      <c r="AE784" s="11" t="n"/>
      <c r="AG784">
        <f>IF($C784="","",IF(COUNTIF($C$2:$C784,$C784)=1,1,0))</f>
        <v/>
      </c>
      <c r="AH784">
        <f>IF($AG784=1,SUMPRODUCT(--($AK$2:$AK$6001&lt;$AK784))+1,"")</f>
        <v/>
      </c>
      <c r="AI784">
        <f>IF($C784="","",IF(OR($N784=TRUE(),$N784="TRUE"),1,0))</f>
        <v/>
      </c>
      <c r="AJ784">
        <f>IF($C784="","",IF($T784="Yes",1,0))</f>
        <v/>
      </c>
      <c r="AK784">
        <f>IF($AG784=1,IFERROR(IF(VALUE($C784)&lt;100000000,VALUE($C784),1000000000),IFERROR(IF(VALUE(MID($C784,2,20))&lt;100000000,VALUE(MID($C784,2,20)),1000000000),1000000000))+ROW()/100000,"")</f>
        <v/>
      </c>
    </row>
    <row r="785">
      <c r="D785" s="11" t="n"/>
      <c r="K785" s="7">
        <f>IF($C785="","",J785*W785/100)</f>
        <v/>
      </c>
      <c r="Q785" s="7" t="n"/>
      <c r="R785" s="7" t="n"/>
      <c r="U785">
        <f>IF($C785="","",IF($AJ785=1,0,IF($AI785=1,Settings!$C$6,Settings!$C$7))*100)</f>
        <v/>
      </c>
      <c r="V785" s="7">
        <f>IF($C785="","",R785*U785/100)</f>
        <v/>
      </c>
      <c r="W785" s="7">
        <f>IF($C785="","",R785-V785)</f>
        <v/>
      </c>
      <c r="X785" s="7">
        <f>IF($C785="","",W785-K785)</f>
        <v/>
      </c>
      <c r="AB785" s="7" t="n"/>
      <c r="AE785" s="11" t="n"/>
      <c r="AG785">
        <f>IF($C785="","",IF(COUNTIF($C$2:$C785,$C785)=1,1,0))</f>
        <v/>
      </c>
      <c r="AH785">
        <f>IF($AG785=1,SUMPRODUCT(--($AK$2:$AK$6001&lt;$AK785))+1,"")</f>
        <v/>
      </c>
      <c r="AI785">
        <f>IF($C785="","",IF(OR($N785=TRUE(),$N785="TRUE"),1,0))</f>
        <v/>
      </c>
      <c r="AJ785">
        <f>IF($C785="","",IF($T785="Yes",1,0))</f>
        <v/>
      </c>
      <c r="AK785">
        <f>IF($AG785=1,IFERROR(IF(VALUE($C785)&lt;100000000,VALUE($C785),1000000000),IFERROR(IF(VALUE(MID($C785,2,20))&lt;100000000,VALUE(MID($C785,2,20)),1000000000),1000000000))+ROW()/100000,"")</f>
        <v/>
      </c>
    </row>
    <row r="786">
      <c r="D786" s="11" t="n"/>
      <c r="K786" s="7">
        <f>IF($C786="","",J786*W786/100)</f>
        <v/>
      </c>
      <c r="Q786" s="7" t="n"/>
      <c r="R786" s="7" t="n"/>
      <c r="U786">
        <f>IF($C786="","",IF($AJ786=1,0,IF($AI786=1,Settings!$C$6,Settings!$C$7))*100)</f>
        <v/>
      </c>
      <c r="V786" s="7">
        <f>IF($C786="","",R786*U786/100)</f>
        <v/>
      </c>
      <c r="W786" s="7">
        <f>IF($C786="","",R786-V786)</f>
        <v/>
      </c>
      <c r="X786" s="7">
        <f>IF($C786="","",W786-K786)</f>
        <v/>
      </c>
      <c r="AB786" s="7" t="n"/>
      <c r="AE786" s="11" t="n"/>
      <c r="AG786">
        <f>IF($C786="","",IF(COUNTIF($C$2:$C786,$C786)=1,1,0))</f>
        <v/>
      </c>
      <c r="AH786">
        <f>IF($AG786=1,SUMPRODUCT(--($AK$2:$AK$6001&lt;$AK786))+1,"")</f>
        <v/>
      </c>
      <c r="AI786">
        <f>IF($C786="","",IF(OR($N786=TRUE(),$N786="TRUE"),1,0))</f>
        <v/>
      </c>
      <c r="AJ786">
        <f>IF($C786="","",IF($T786="Yes",1,0))</f>
        <v/>
      </c>
      <c r="AK786">
        <f>IF($AG786=1,IFERROR(IF(VALUE($C786)&lt;100000000,VALUE($C786),1000000000),IFERROR(IF(VALUE(MID($C786,2,20))&lt;100000000,VALUE(MID($C786,2,20)),1000000000),1000000000))+ROW()/100000,"")</f>
        <v/>
      </c>
    </row>
    <row r="787">
      <c r="D787" s="11" t="n"/>
      <c r="K787" s="7">
        <f>IF($C787="","",J787*W787/100)</f>
        <v/>
      </c>
      <c r="Q787" s="7" t="n"/>
      <c r="R787" s="7" t="n"/>
      <c r="U787">
        <f>IF($C787="","",IF($AJ787=1,0,IF($AI787=1,Settings!$C$6,Settings!$C$7))*100)</f>
        <v/>
      </c>
      <c r="V787" s="7">
        <f>IF($C787="","",R787*U787/100)</f>
        <v/>
      </c>
      <c r="W787" s="7">
        <f>IF($C787="","",R787-V787)</f>
        <v/>
      </c>
      <c r="X787" s="7">
        <f>IF($C787="","",W787-K787)</f>
        <v/>
      </c>
      <c r="AB787" s="7" t="n"/>
      <c r="AE787" s="11" t="n"/>
      <c r="AG787">
        <f>IF($C787="","",IF(COUNTIF($C$2:$C787,$C787)=1,1,0))</f>
        <v/>
      </c>
      <c r="AH787">
        <f>IF($AG787=1,SUMPRODUCT(--($AK$2:$AK$6001&lt;$AK787))+1,"")</f>
        <v/>
      </c>
      <c r="AI787">
        <f>IF($C787="","",IF(OR($N787=TRUE(),$N787="TRUE"),1,0))</f>
        <v/>
      </c>
      <c r="AJ787">
        <f>IF($C787="","",IF($T787="Yes",1,0))</f>
        <v/>
      </c>
      <c r="AK787">
        <f>IF($AG787=1,IFERROR(IF(VALUE($C787)&lt;100000000,VALUE($C787),1000000000),IFERROR(IF(VALUE(MID($C787,2,20))&lt;100000000,VALUE(MID($C787,2,20)),1000000000),1000000000))+ROW()/100000,"")</f>
        <v/>
      </c>
    </row>
    <row r="788">
      <c r="D788" s="11" t="n"/>
      <c r="K788" s="7">
        <f>IF($C788="","",J788*W788/100)</f>
        <v/>
      </c>
      <c r="Q788" s="7" t="n"/>
      <c r="R788" s="7" t="n"/>
      <c r="U788">
        <f>IF($C788="","",IF($AJ788=1,0,IF($AI788=1,Settings!$C$6,Settings!$C$7))*100)</f>
        <v/>
      </c>
      <c r="V788" s="7">
        <f>IF($C788="","",R788*U788/100)</f>
        <v/>
      </c>
      <c r="W788" s="7">
        <f>IF($C788="","",R788-V788)</f>
        <v/>
      </c>
      <c r="X788" s="7">
        <f>IF($C788="","",W788-K788)</f>
        <v/>
      </c>
      <c r="AB788" s="7" t="n"/>
      <c r="AE788" s="11" t="n"/>
      <c r="AG788">
        <f>IF($C788="","",IF(COUNTIF($C$2:$C788,$C788)=1,1,0))</f>
        <v/>
      </c>
      <c r="AH788">
        <f>IF($AG788=1,SUMPRODUCT(--($AK$2:$AK$6001&lt;$AK788))+1,"")</f>
        <v/>
      </c>
      <c r="AI788">
        <f>IF($C788="","",IF(OR($N788=TRUE(),$N788="TRUE"),1,0))</f>
        <v/>
      </c>
      <c r="AJ788">
        <f>IF($C788="","",IF($T788="Yes",1,0))</f>
        <v/>
      </c>
      <c r="AK788">
        <f>IF($AG788=1,IFERROR(IF(VALUE($C788)&lt;100000000,VALUE($C788),1000000000),IFERROR(IF(VALUE(MID($C788,2,20))&lt;100000000,VALUE(MID($C788,2,20)),1000000000),1000000000))+ROW()/100000,"")</f>
        <v/>
      </c>
    </row>
    <row r="789">
      <c r="D789" s="11" t="n"/>
      <c r="K789" s="7">
        <f>IF($C789="","",J789*W789/100)</f>
        <v/>
      </c>
      <c r="Q789" s="7" t="n"/>
      <c r="R789" s="7" t="n"/>
      <c r="U789">
        <f>IF($C789="","",IF($AJ789=1,0,IF($AI789=1,Settings!$C$6,Settings!$C$7))*100)</f>
        <v/>
      </c>
      <c r="V789" s="7">
        <f>IF($C789="","",R789*U789/100)</f>
        <v/>
      </c>
      <c r="W789" s="7">
        <f>IF($C789="","",R789-V789)</f>
        <v/>
      </c>
      <c r="X789" s="7">
        <f>IF($C789="","",W789-K789)</f>
        <v/>
      </c>
      <c r="AB789" s="7" t="n"/>
      <c r="AE789" s="11" t="n"/>
      <c r="AG789">
        <f>IF($C789="","",IF(COUNTIF($C$2:$C789,$C789)=1,1,0))</f>
        <v/>
      </c>
      <c r="AH789">
        <f>IF($AG789=1,SUMPRODUCT(--($AK$2:$AK$6001&lt;$AK789))+1,"")</f>
        <v/>
      </c>
      <c r="AI789">
        <f>IF($C789="","",IF(OR($N789=TRUE(),$N789="TRUE"),1,0))</f>
        <v/>
      </c>
      <c r="AJ789">
        <f>IF($C789="","",IF($T789="Yes",1,0))</f>
        <v/>
      </c>
      <c r="AK789">
        <f>IF($AG789=1,IFERROR(IF(VALUE($C789)&lt;100000000,VALUE($C789),1000000000),IFERROR(IF(VALUE(MID($C789,2,20))&lt;100000000,VALUE(MID($C789,2,20)),1000000000),1000000000))+ROW()/100000,"")</f>
        <v/>
      </c>
    </row>
    <row r="790">
      <c r="D790" s="11" t="n"/>
      <c r="K790" s="7">
        <f>IF($C790="","",J790*W790/100)</f>
        <v/>
      </c>
      <c r="Q790" s="7" t="n"/>
      <c r="R790" s="7" t="n"/>
      <c r="U790">
        <f>IF($C790="","",IF($AJ790=1,0,IF($AI790=1,Settings!$C$6,Settings!$C$7))*100)</f>
        <v/>
      </c>
      <c r="V790" s="7">
        <f>IF($C790="","",R790*U790/100)</f>
        <v/>
      </c>
      <c r="W790" s="7">
        <f>IF($C790="","",R790-V790)</f>
        <v/>
      </c>
      <c r="X790" s="7">
        <f>IF($C790="","",W790-K790)</f>
        <v/>
      </c>
      <c r="AB790" s="7" t="n"/>
      <c r="AE790" s="11" t="n"/>
      <c r="AG790">
        <f>IF($C790="","",IF(COUNTIF($C$2:$C790,$C790)=1,1,0))</f>
        <v/>
      </c>
      <c r="AH790">
        <f>IF($AG790=1,SUMPRODUCT(--($AK$2:$AK$6001&lt;$AK790))+1,"")</f>
        <v/>
      </c>
      <c r="AI790">
        <f>IF($C790="","",IF(OR($N790=TRUE(),$N790="TRUE"),1,0))</f>
        <v/>
      </c>
      <c r="AJ790">
        <f>IF($C790="","",IF($T790="Yes",1,0))</f>
        <v/>
      </c>
      <c r="AK790">
        <f>IF($AG790=1,IFERROR(IF(VALUE($C790)&lt;100000000,VALUE($C790),1000000000),IFERROR(IF(VALUE(MID($C790,2,20))&lt;100000000,VALUE(MID($C790,2,20)),1000000000),1000000000))+ROW()/100000,"")</f>
        <v/>
      </c>
    </row>
    <row r="791">
      <c r="D791" s="11" t="n"/>
      <c r="K791" s="7">
        <f>IF($C791="","",J791*W791/100)</f>
        <v/>
      </c>
      <c r="Q791" s="7" t="n"/>
      <c r="R791" s="7" t="n"/>
      <c r="U791">
        <f>IF($C791="","",IF($AJ791=1,0,IF($AI791=1,Settings!$C$6,Settings!$C$7))*100)</f>
        <v/>
      </c>
      <c r="V791" s="7">
        <f>IF($C791="","",R791*U791/100)</f>
        <v/>
      </c>
      <c r="W791" s="7">
        <f>IF($C791="","",R791-V791)</f>
        <v/>
      </c>
      <c r="X791" s="7">
        <f>IF($C791="","",W791-K791)</f>
        <v/>
      </c>
      <c r="AB791" s="7" t="n"/>
      <c r="AE791" s="11" t="n"/>
      <c r="AG791">
        <f>IF($C791="","",IF(COUNTIF($C$2:$C791,$C791)=1,1,0))</f>
        <v/>
      </c>
      <c r="AH791">
        <f>IF($AG791=1,SUMPRODUCT(--($AK$2:$AK$6001&lt;$AK791))+1,"")</f>
        <v/>
      </c>
      <c r="AI791">
        <f>IF($C791="","",IF(OR($N791=TRUE(),$N791="TRUE"),1,0))</f>
        <v/>
      </c>
      <c r="AJ791">
        <f>IF($C791="","",IF($T791="Yes",1,0))</f>
        <v/>
      </c>
      <c r="AK791">
        <f>IF($AG791=1,IFERROR(IF(VALUE($C791)&lt;100000000,VALUE($C791),1000000000),IFERROR(IF(VALUE(MID($C791,2,20))&lt;100000000,VALUE(MID($C791,2,20)),1000000000),1000000000))+ROW()/100000,"")</f>
        <v/>
      </c>
    </row>
    <row r="792">
      <c r="D792" s="11" t="n"/>
      <c r="K792" s="7">
        <f>IF($C792="","",J792*W792/100)</f>
        <v/>
      </c>
      <c r="Q792" s="7" t="n"/>
      <c r="R792" s="7" t="n"/>
      <c r="U792">
        <f>IF($C792="","",IF($AJ792=1,0,IF($AI792=1,Settings!$C$6,Settings!$C$7))*100)</f>
        <v/>
      </c>
      <c r="V792" s="7">
        <f>IF($C792="","",R792*U792/100)</f>
        <v/>
      </c>
      <c r="W792" s="7">
        <f>IF($C792="","",R792-V792)</f>
        <v/>
      </c>
      <c r="X792" s="7">
        <f>IF($C792="","",W792-K792)</f>
        <v/>
      </c>
      <c r="AB792" s="7" t="n"/>
      <c r="AE792" s="11" t="n"/>
      <c r="AG792">
        <f>IF($C792="","",IF(COUNTIF($C$2:$C792,$C792)=1,1,0))</f>
        <v/>
      </c>
      <c r="AH792">
        <f>IF($AG792=1,SUMPRODUCT(--($AK$2:$AK$6001&lt;$AK792))+1,"")</f>
        <v/>
      </c>
      <c r="AI792">
        <f>IF($C792="","",IF(OR($N792=TRUE(),$N792="TRUE"),1,0))</f>
        <v/>
      </c>
      <c r="AJ792">
        <f>IF($C792="","",IF($T792="Yes",1,0))</f>
        <v/>
      </c>
      <c r="AK792">
        <f>IF($AG792=1,IFERROR(IF(VALUE($C792)&lt;100000000,VALUE($C792),1000000000),IFERROR(IF(VALUE(MID($C792,2,20))&lt;100000000,VALUE(MID($C792,2,20)),1000000000),1000000000))+ROW()/100000,"")</f>
        <v/>
      </c>
    </row>
    <row r="793">
      <c r="D793" s="11" t="n"/>
      <c r="K793" s="7">
        <f>IF($C793="","",J793*W793/100)</f>
        <v/>
      </c>
      <c r="Q793" s="7" t="n"/>
      <c r="R793" s="7" t="n"/>
      <c r="U793">
        <f>IF($C793="","",IF($AJ793=1,0,IF($AI793=1,Settings!$C$6,Settings!$C$7))*100)</f>
        <v/>
      </c>
      <c r="V793" s="7">
        <f>IF($C793="","",R793*U793/100)</f>
        <v/>
      </c>
      <c r="W793" s="7">
        <f>IF($C793="","",R793-V793)</f>
        <v/>
      </c>
      <c r="X793" s="7">
        <f>IF($C793="","",W793-K793)</f>
        <v/>
      </c>
      <c r="AB793" s="7" t="n"/>
      <c r="AE793" s="11" t="n"/>
      <c r="AG793">
        <f>IF($C793="","",IF(COUNTIF($C$2:$C793,$C793)=1,1,0))</f>
        <v/>
      </c>
      <c r="AH793">
        <f>IF($AG793=1,SUMPRODUCT(--($AK$2:$AK$6001&lt;$AK793))+1,"")</f>
        <v/>
      </c>
      <c r="AI793">
        <f>IF($C793="","",IF(OR($N793=TRUE(),$N793="TRUE"),1,0))</f>
        <v/>
      </c>
      <c r="AJ793">
        <f>IF($C793="","",IF($T793="Yes",1,0))</f>
        <v/>
      </c>
      <c r="AK793">
        <f>IF($AG793=1,IFERROR(IF(VALUE($C793)&lt;100000000,VALUE($C793),1000000000),IFERROR(IF(VALUE(MID($C793,2,20))&lt;100000000,VALUE(MID($C793,2,20)),1000000000),1000000000))+ROW()/100000,"")</f>
        <v/>
      </c>
    </row>
    <row r="794">
      <c r="D794" s="11" t="n"/>
      <c r="K794" s="7">
        <f>IF($C794="","",J794*W794/100)</f>
        <v/>
      </c>
      <c r="Q794" s="7" t="n"/>
      <c r="R794" s="7" t="n"/>
      <c r="U794">
        <f>IF($C794="","",IF($AJ794=1,0,IF($AI794=1,Settings!$C$6,Settings!$C$7))*100)</f>
        <v/>
      </c>
      <c r="V794" s="7">
        <f>IF($C794="","",R794*U794/100)</f>
        <v/>
      </c>
      <c r="W794" s="7">
        <f>IF($C794="","",R794-V794)</f>
        <v/>
      </c>
      <c r="X794" s="7">
        <f>IF($C794="","",W794-K794)</f>
        <v/>
      </c>
      <c r="AB794" s="7" t="n"/>
      <c r="AE794" s="11" t="n"/>
      <c r="AG794">
        <f>IF($C794="","",IF(COUNTIF($C$2:$C794,$C794)=1,1,0))</f>
        <v/>
      </c>
      <c r="AH794">
        <f>IF($AG794=1,SUMPRODUCT(--($AK$2:$AK$6001&lt;$AK794))+1,"")</f>
        <v/>
      </c>
      <c r="AI794">
        <f>IF($C794="","",IF(OR($N794=TRUE(),$N794="TRUE"),1,0))</f>
        <v/>
      </c>
      <c r="AJ794">
        <f>IF($C794="","",IF($T794="Yes",1,0))</f>
        <v/>
      </c>
      <c r="AK794">
        <f>IF($AG794=1,IFERROR(IF(VALUE($C794)&lt;100000000,VALUE($C794),1000000000),IFERROR(IF(VALUE(MID($C794,2,20))&lt;100000000,VALUE(MID($C794,2,20)),1000000000),1000000000))+ROW()/100000,"")</f>
        <v/>
      </c>
    </row>
    <row r="795">
      <c r="D795" s="11" t="n"/>
      <c r="K795" s="7">
        <f>IF($C795="","",J795*W795/100)</f>
        <v/>
      </c>
      <c r="Q795" s="7" t="n"/>
      <c r="R795" s="7" t="n"/>
      <c r="U795">
        <f>IF($C795="","",IF($AJ795=1,0,IF($AI795=1,Settings!$C$6,Settings!$C$7))*100)</f>
        <v/>
      </c>
      <c r="V795" s="7">
        <f>IF($C795="","",R795*U795/100)</f>
        <v/>
      </c>
      <c r="W795" s="7">
        <f>IF($C795="","",R795-V795)</f>
        <v/>
      </c>
      <c r="X795" s="7">
        <f>IF($C795="","",W795-K795)</f>
        <v/>
      </c>
      <c r="AB795" s="7" t="n"/>
      <c r="AE795" s="11" t="n"/>
      <c r="AG795">
        <f>IF($C795="","",IF(COUNTIF($C$2:$C795,$C795)=1,1,0))</f>
        <v/>
      </c>
      <c r="AH795">
        <f>IF($AG795=1,SUMPRODUCT(--($AK$2:$AK$6001&lt;$AK795))+1,"")</f>
        <v/>
      </c>
      <c r="AI795">
        <f>IF($C795="","",IF(OR($N795=TRUE(),$N795="TRUE"),1,0))</f>
        <v/>
      </c>
      <c r="AJ795">
        <f>IF($C795="","",IF($T795="Yes",1,0))</f>
        <v/>
      </c>
      <c r="AK795">
        <f>IF($AG795=1,IFERROR(IF(VALUE($C795)&lt;100000000,VALUE($C795),1000000000),IFERROR(IF(VALUE(MID($C795,2,20))&lt;100000000,VALUE(MID($C795,2,20)),1000000000),1000000000))+ROW()/100000,"")</f>
        <v/>
      </c>
    </row>
    <row r="796">
      <c r="D796" s="11" t="n"/>
      <c r="K796" s="7">
        <f>IF($C796="","",J796*W796/100)</f>
        <v/>
      </c>
      <c r="Q796" s="7" t="n"/>
      <c r="R796" s="7" t="n"/>
      <c r="U796">
        <f>IF($C796="","",IF($AJ796=1,0,IF($AI796=1,Settings!$C$6,Settings!$C$7))*100)</f>
        <v/>
      </c>
      <c r="V796" s="7">
        <f>IF($C796="","",R796*U796/100)</f>
        <v/>
      </c>
      <c r="W796" s="7">
        <f>IF($C796="","",R796-V796)</f>
        <v/>
      </c>
      <c r="X796" s="7">
        <f>IF($C796="","",W796-K796)</f>
        <v/>
      </c>
      <c r="AB796" s="7" t="n"/>
      <c r="AE796" s="11" t="n"/>
      <c r="AG796">
        <f>IF($C796="","",IF(COUNTIF($C$2:$C796,$C796)=1,1,0))</f>
        <v/>
      </c>
      <c r="AH796">
        <f>IF($AG796=1,SUMPRODUCT(--($AK$2:$AK$6001&lt;$AK796))+1,"")</f>
        <v/>
      </c>
      <c r="AI796">
        <f>IF($C796="","",IF(OR($N796=TRUE(),$N796="TRUE"),1,0))</f>
        <v/>
      </c>
      <c r="AJ796">
        <f>IF($C796="","",IF($T796="Yes",1,0))</f>
        <v/>
      </c>
      <c r="AK796">
        <f>IF($AG796=1,IFERROR(IF(VALUE($C796)&lt;100000000,VALUE($C796),1000000000),IFERROR(IF(VALUE(MID($C796,2,20))&lt;100000000,VALUE(MID($C796,2,20)),1000000000),1000000000))+ROW()/100000,"")</f>
        <v/>
      </c>
    </row>
    <row r="797">
      <c r="D797" s="11" t="n"/>
      <c r="K797" s="7">
        <f>IF($C797="","",J797*W797/100)</f>
        <v/>
      </c>
      <c r="Q797" s="7" t="n"/>
      <c r="R797" s="7" t="n"/>
      <c r="U797">
        <f>IF($C797="","",IF($AJ797=1,0,IF($AI797=1,Settings!$C$6,Settings!$C$7))*100)</f>
        <v/>
      </c>
      <c r="V797" s="7">
        <f>IF($C797="","",R797*U797/100)</f>
        <v/>
      </c>
      <c r="W797" s="7">
        <f>IF($C797="","",R797-V797)</f>
        <v/>
      </c>
      <c r="X797" s="7">
        <f>IF($C797="","",W797-K797)</f>
        <v/>
      </c>
      <c r="AB797" s="7" t="n"/>
      <c r="AE797" s="11" t="n"/>
      <c r="AG797">
        <f>IF($C797="","",IF(COUNTIF($C$2:$C797,$C797)=1,1,0))</f>
        <v/>
      </c>
      <c r="AH797">
        <f>IF($AG797=1,SUMPRODUCT(--($AK$2:$AK$6001&lt;$AK797))+1,"")</f>
        <v/>
      </c>
      <c r="AI797">
        <f>IF($C797="","",IF(OR($N797=TRUE(),$N797="TRUE"),1,0))</f>
        <v/>
      </c>
      <c r="AJ797">
        <f>IF($C797="","",IF($T797="Yes",1,0))</f>
        <v/>
      </c>
      <c r="AK797">
        <f>IF($AG797=1,IFERROR(IF(VALUE($C797)&lt;100000000,VALUE($C797),1000000000),IFERROR(IF(VALUE(MID($C797,2,20))&lt;100000000,VALUE(MID($C797,2,20)),1000000000),1000000000))+ROW()/100000,"")</f>
        <v/>
      </c>
    </row>
    <row r="798">
      <c r="D798" s="11" t="n"/>
      <c r="K798" s="7">
        <f>IF($C798="","",J798*W798/100)</f>
        <v/>
      </c>
      <c r="Q798" s="7" t="n"/>
      <c r="R798" s="7" t="n"/>
      <c r="U798">
        <f>IF($C798="","",IF($AJ798=1,0,IF($AI798=1,Settings!$C$6,Settings!$C$7))*100)</f>
        <v/>
      </c>
      <c r="V798" s="7">
        <f>IF($C798="","",R798*U798/100)</f>
        <v/>
      </c>
      <c r="W798" s="7">
        <f>IF($C798="","",R798-V798)</f>
        <v/>
      </c>
      <c r="X798" s="7">
        <f>IF($C798="","",W798-K798)</f>
        <v/>
      </c>
      <c r="AB798" s="7" t="n"/>
      <c r="AE798" s="11" t="n"/>
      <c r="AG798">
        <f>IF($C798="","",IF(COUNTIF($C$2:$C798,$C798)=1,1,0))</f>
        <v/>
      </c>
      <c r="AH798">
        <f>IF($AG798=1,SUMPRODUCT(--($AK$2:$AK$6001&lt;$AK798))+1,"")</f>
        <v/>
      </c>
      <c r="AI798">
        <f>IF($C798="","",IF(OR($N798=TRUE(),$N798="TRUE"),1,0))</f>
        <v/>
      </c>
      <c r="AJ798">
        <f>IF($C798="","",IF($T798="Yes",1,0))</f>
        <v/>
      </c>
      <c r="AK798">
        <f>IF($AG798=1,IFERROR(IF(VALUE($C798)&lt;100000000,VALUE($C798),1000000000),IFERROR(IF(VALUE(MID($C798,2,20))&lt;100000000,VALUE(MID($C798,2,20)),1000000000),1000000000))+ROW()/100000,"")</f>
        <v/>
      </c>
    </row>
    <row r="799">
      <c r="D799" s="11" t="n"/>
      <c r="K799" s="7">
        <f>IF($C799="","",J799*W799/100)</f>
        <v/>
      </c>
      <c r="Q799" s="7" t="n"/>
      <c r="R799" s="7" t="n"/>
      <c r="U799">
        <f>IF($C799="","",IF($AJ799=1,0,IF($AI799=1,Settings!$C$6,Settings!$C$7))*100)</f>
        <v/>
      </c>
      <c r="V799" s="7">
        <f>IF($C799="","",R799*U799/100)</f>
        <v/>
      </c>
      <c r="W799" s="7">
        <f>IF($C799="","",R799-V799)</f>
        <v/>
      </c>
      <c r="X799" s="7">
        <f>IF($C799="","",W799-K799)</f>
        <v/>
      </c>
      <c r="AB799" s="7" t="n"/>
      <c r="AE799" s="11" t="n"/>
      <c r="AG799">
        <f>IF($C799="","",IF(COUNTIF($C$2:$C799,$C799)=1,1,0))</f>
        <v/>
      </c>
      <c r="AH799">
        <f>IF($AG799=1,SUMPRODUCT(--($AK$2:$AK$6001&lt;$AK799))+1,"")</f>
        <v/>
      </c>
      <c r="AI799">
        <f>IF($C799="","",IF(OR($N799=TRUE(),$N799="TRUE"),1,0))</f>
        <v/>
      </c>
      <c r="AJ799">
        <f>IF($C799="","",IF($T799="Yes",1,0))</f>
        <v/>
      </c>
      <c r="AK799">
        <f>IF($AG799=1,IFERROR(IF(VALUE($C799)&lt;100000000,VALUE($C799),1000000000),IFERROR(IF(VALUE(MID($C799,2,20))&lt;100000000,VALUE(MID($C799,2,20)),1000000000),1000000000))+ROW()/100000,"")</f>
        <v/>
      </c>
    </row>
    <row r="800">
      <c r="D800" s="11" t="n"/>
      <c r="K800" s="7">
        <f>IF($C800="","",J800*W800/100)</f>
        <v/>
      </c>
      <c r="Q800" s="7" t="n"/>
      <c r="R800" s="7" t="n"/>
      <c r="U800">
        <f>IF($C800="","",IF($AJ800=1,0,IF($AI800=1,Settings!$C$6,Settings!$C$7))*100)</f>
        <v/>
      </c>
      <c r="V800" s="7">
        <f>IF($C800="","",R800*U800/100)</f>
        <v/>
      </c>
      <c r="W800" s="7">
        <f>IF($C800="","",R800-V800)</f>
        <v/>
      </c>
      <c r="X800" s="7">
        <f>IF($C800="","",W800-K800)</f>
        <v/>
      </c>
      <c r="AB800" s="7" t="n"/>
      <c r="AE800" s="11" t="n"/>
      <c r="AG800">
        <f>IF($C800="","",IF(COUNTIF($C$2:$C800,$C800)=1,1,0))</f>
        <v/>
      </c>
      <c r="AH800">
        <f>IF($AG800=1,SUMPRODUCT(--($AK$2:$AK$6001&lt;$AK800))+1,"")</f>
        <v/>
      </c>
      <c r="AI800">
        <f>IF($C800="","",IF(OR($N800=TRUE(),$N800="TRUE"),1,0))</f>
        <v/>
      </c>
      <c r="AJ800">
        <f>IF($C800="","",IF($T800="Yes",1,0))</f>
        <v/>
      </c>
      <c r="AK800">
        <f>IF($AG800=1,IFERROR(IF(VALUE($C800)&lt;100000000,VALUE($C800),1000000000),IFERROR(IF(VALUE(MID($C800,2,20))&lt;100000000,VALUE(MID($C800,2,20)),1000000000),1000000000))+ROW()/100000,"")</f>
        <v/>
      </c>
    </row>
    <row r="801">
      <c r="D801" s="11" t="n"/>
      <c r="K801" s="7">
        <f>IF($C801="","",J801*W801/100)</f>
        <v/>
      </c>
      <c r="Q801" s="7" t="n"/>
      <c r="R801" s="7" t="n"/>
      <c r="U801">
        <f>IF($C801="","",IF($AJ801=1,0,IF($AI801=1,Settings!$C$6,Settings!$C$7))*100)</f>
        <v/>
      </c>
      <c r="V801" s="7">
        <f>IF($C801="","",R801*U801/100)</f>
        <v/>
      </c>
      <c r="W801" s="7">
        <f>IF($C801="","",R801-V801)</f>
        <v/>
      </c>
      <c r="X801" s="7">
        <f>IF($C801="","",W801-K801)</f>
        <v/>
      </c>
      <c r="AB801" s="7" t="n"/>
      <c r="AE801" s="11" t="n"/>
      <c r="AG801">
        <f>IF($C801="","",IF(COUNTIF($C$2:$C801,$C801)=1,1,0))</f>
        <v/>
      </c>
      <c r="AH801">
        <f>IF($AG801=1,SUMPRODUCT(--($AK$2:$AK$6001&lt;$AK801))+1,"")</f>
        <v/>
      </c>
      <c r="AI801">
        <f>IF($C801="","",IF(OR($N801=TRUE(),$N801="TRUE"),1,0))</f>
        <v/>
      </c>
      <c r="AJ801">
        <f>IF($C801="","",IF($T801="Yes",1,0))</f>
        <v/>
      </c>
      <c r="AK801">
        <f>IF($AG801=1,IFERROR(IF(VALUE($C801)&lt;100000000,VALUE($C801),1000000000),IFERROR(IF(VALUE(MID($C801,2,20))&lt;100000000,VALUE(MID($C801,2,20)),1000000000),1000000000))+ROW()/100000,"")</f>
        <v/>
      </c>
    </row>
    <row r="802">
      <c r="D802" s="11" t="n"/>
      <c r="K802" s="7">
        <f>IF($C802="","",J802*W802/100)</f>
        <v/>
      </c>
      <c r="Q802" s="7" t="n"/>
      <c r="R802" s="7" t="n"/>
      <c r="U802">
        <f>IF($C802="","",IF($AJ802=1,0,IF($AI802=1,Settings!$C$6,Settings!$C$7))*100)</f>
        <v/>
      </c>
      <c r="V802" s="7">
        <f>IF($C802="","",R802*U802/100)</f>
        <v/>
      </c>
      <c r="W802" s="7">
        <f>IF($C802="","",R802-V802)</f>
        <v/>
      </c>
      <c r="X802" s="7">
        <f>IF($C802="","",W802-K802)</f>
        <v/>
      </c>
      <c r="AB802" s="7" t="n"/>
      <c r="AE802" s="11" t="n"/>
      <c r="AG802">
        <f>IF($C802="","",IF(COUNTIF($C$2:$C802,$C802)=1,1,0))</f>
        <v/>
      </c>
      <c r="AH802">
        <f>IF($AG802=1,SUMPRODUCT(--($AK$2:$AK$6001&lt;$AK802))+1,"")</f>
        <v/>
      </c>
      <c r="AI802">
        <f>IF($C802="","",IF(OR($N802=TRUE(),$N802="TRUE"),1,0))</f>
        <v/>
      </c>
      <c r="AJ802">
        <f>IF($C802="","",IF($T802="Yes",1,0))</f>
        <v/>
      </c>
      <c r="AK802">
        <f>IF($AG802=1,IFERROR(IF(VALUE($C802)&lt;100000000,VALUE($C802),1000000000),IFERROR(IF(VALUE(MID($C802,2,20))&lt;100000000,VALUE(MID($C802,2,20)),1000000000),1000000000))+ROW()/100000,"")</f>
        <v/>
      </c>
    </row>
    <row r="803">
      <c r="D803" s="11" t="n"/>
      <c r="K803" s="7">
        <f>IF($C803="","",J803*W803/100)</f>
        <v/>
      </c>
      <c r="Q803" s="7" t="n"/>
      <c r="R803" s="7" t="n"/>
      <c r="U803">
        <f>IF($C803="","",IF($AJ803=1,0,IF($AI803=1,Settings!$C$6,Settings!$C$7))*100)</f>
        <v/>
      </c>
      <c r="V803" s="7">
        <f>IF($C803="","",R803*U803/100)</f>
        <v/>
      </c>
      <c r="W803" s="7">
        <f>IF($C803="","",R803-V803)</f>
        <v/>
      </c>
      <c r="X803" s="7">
        <f>IF($C803="","",W803-K803)</f>
        <v/>
      </c>
      <c r="AB803" s="7" t="n"/>
      <c r="AE803" s="11" t="n"/>
      <c r="AG803">
        <f>IF($C803="","",IF(COUNTIF($C$2:$C803,$C803)=1,1,0))</f>
        <v/>
      </c>
      <c r="AH803">
        <f>IF($AG803=1,SUMPRODUCT(--($AK$2:$AK$6001&lt;$AK803))+1,"")</f>
        <v/>
      </c>
      <c r="AI803">
        <f>IF($C803="","",IF(OR($N803=TRUE(),$N803="TRUE"),1,0))</f>
        <v/>
      </c>
      <c r="AJ803">
        <f>IF($C803="","",IF($T803="Yes",1,0))</f>
        <v/>
      </c>
      <c r="AK803">
        <f>IF($AG803=1,IFERROR(IF(VALUE($C803)&lt;100000000,VALUE($C803),1000000000),IFERROR(IF(VALUE(MID($C803,2,20))&lt;100000000,VALUE(MID($C803,2,20)),1000000000),1000000000))+ROW()/100000,"")</f>
        <v/>
      </c>
    </row>
    <row r="804">
      <c r="D804" s="11" t="n"/>
      <c r="K804" s="7">
        <f>IF($C804="","",J804*W804/100)</f>
        <v/>
      </c>
      <c r="Q804" s="7" t="n"/>
      <c r="R804" s="7" t="n"/>
      <c r="U804">
        <f>IF($C804="","",IF($AJ804=1,0,IF($AI804=1,Settings!$C$6,Settings!$C$7))*100)</f>
        <v/>
      </c>
      <c r="V804" s="7">
        <f>IF($C804="","",R804*U804/100)</f>
        <v/>
      </c>
      <c r="W804" s="7">
        <f>IF($C804="","",R804-V804)</f>
        <v/>
      </c>
      <c r="X804" s="7">
        <f>IF($C804="","",W804-K804)</f>
        <v/>
      </c>
      <c r="AB804" s="7" t="n"/>
      <c r="AE804" s="11" t="n"/>
      <c r="AG804">
        <f>IF($C804="","",IF(COUNTIF($C$2:$C804,$C804)=1,1,0))</f>
        <v/>
      </c>
      <c r="AH804">
        <f>IF($AG804=1,SUMPRODUCT(--($AK$2:$AK$6001&lt;$AK804))+1,"")</f>
        <v/>
      </c>
      <c r="AI804">
        <f>IF($C804="","",IF(OR($N804=TRUE(),$N804="TRUE"),1,0))</f>
        <v/>
      </c>
      <c r="AJ804">
        <f>IF($C804="","",IF($T804="Yes",1,0))</f>
        <v/>
      </c>
      <c r="AK804">
        <f>IF($AG804=1,IFERROR(IF(VALUE($C804)&lt;100000000,VALUE($C804),1000000000),IFERROR(IF(VALUE(MID($C804,2,20))&lt;100000000,VALUE(MID($C804,2,20)),1000000000),1000000000))+ROW()/100000,"")</f>
        <v/>
      </c>
    </row>
    <row r="805">
      <c r="D805" s="11" t="n"/>
      <c r="K805" s="7">
        <f>IF($C805="","",J805*W805/100)</f>
        <v/>
      </c>
      <c r="Q805" s="7" t="n"/>
      <c r="R805" s="7" t="n"/>
      <c r="U805">
        <f>IF($C805="","",IF($AJ805=1,0,IF($AI805=1,Settings!$C$6,Settings!$C$7))*100)</f>
        <v/>
      </c>
      <c r="V805" s="7">
        <f>IF($C805="","",R805*U805/100)</f>
        <v/>
      </c>
      <c r="W805" s="7">
        <f>IF($C805="","",R805-V805)</f>
        <v/>
      </c>
      <c r="X805" s="7">
        <f>IF($C805="","",W805-K805)</f>
        <v/>
      </c>
      <c r="AB805" s="7" t="n"/>
      <c r="AE805" s="11" t="n"/>
      <c r="AG805">
        <f>IF($C805="","",IF(COUNTIF($C$2:$C805,$C805)=1,1,0))</f>
        <v/>
      </c>
      <c r="AH805">
        <f>IF($AG805=1,SUMPRODUCT(--($AK$2:$AK$6001&lt;$AK805))+1,"")</f>
        <v/>
      </c>
      <c r="AI805">
        <f>IF($C805="","",IF(OR($N805=TRUE(),$N805="TRUE"),1,0))</f>
        <v/>
      </c>
      <c r="AJ805">
        <f>IF($C805="","",IF($T805="Yes",1,0))</f>
        <v/>
      </c>
      <c r="AK805">
        <f>IF($AG805=1,IFERROR(IF(VALUE($C805)&lt;100000000,VALUE($C805),1000000000),IFERROR(IF(VALUE(MID($C805,2,20))&lt;100000000,VALUE(MID($C805,2,20)),1000000000),1000000000))+ROW()/100000,"")</f>
        <v/>
      </c>
    </row>
    <row r="806">
      <c r="D806" s="11" t="n"/>
      <c r="K806" s="7">
        <f>IF($C806="","",J806*W806/100)</f>
        <v/>
      </c>
      <c r="Q806" s="7" t="n"/>
      <c r="R806" s="7" t="n"/>
      <c r="U806">
        <f>IF($C806="","",IF($AJ806=1,0,IF($AI806=1,Settings!$C$6,Settings!$C$7))*100)</f>
        <v/>
      </c>
      <c r="V806" s="7">
        <f>IF($C806="","",R806*U806/100)</f>
        <v/>
      </c>
      <c r="W806" s="7">
        <f>IF($C806="","",R806-V806)</f>
        <v/>
      </c>
      <c r="X806" s="7">
        <f>IF($C806="","",W806-K806)</f>
        <v/>
      </c>
      <c r="AB806" s="7" t="n"/>
      <c r="AE806" s="11" t="n"/>
      <c r="AG806">
        <f>IF($C806="","",IF(COUNTIF($C$2:$C806,$C806)=1,1,0))</f>
        <v/>
      </c>
      <c r="AH806">
        <f>IF($AG806=1,SUMPRODUCT(--($AK$2:$AK$6001&lt;$AK806))+1,"")</f>
        <v/>
      </c>
      <c r="AI806">
        <f>IF($C806="","",IF(OR($N806=TRUE(),$N806="TRUE"),1,0))</f>
        <v/>
      </c>
      <c r="AJ806">
        <f>IF($C806="","",IF($T806="Yes",1,0))</f>
        <v/>
      </c>
      <c r="AK806">
        <f>IF($AG806=1,IFERROR(IF(VALUE($C806)&lt;100000000,VALUE($C806),1000000000),IFERROR(IF(VALUE(MID($C806,2,20))&lt;100000000,VALUE(MID($C806,2,20)),1000000000),1000000000))+ROW()/100000,"")</f>
        <v/>
      </c>
    </row>
    <row r="807">
      <c r="D807" s="11" t="n"/>
      <c r="K807" s="7">
        <f>IF($C807="","",J807*W807/100)</f>
        <v/>
      </c>
      <c r="Q807" s="7" t="n"/>
      <c r="R807" s="7" t="n"/>
      <c r="U807">
        <f>IF($C807="","",IF($AJ807=1,0,IF($AI807=1,Settings!$C$6,Settings!$C$7))*100)</f>
        <v/>
      </c>
      <c r="V807" s="7">
        <f>IF($C807="","",R807*U807/100)</f>
        <v/>
      </c>
      <c r="W807" s="7">
        <f>IF($C807="","",R807-V807)</f>
        <v/>
      </c>
      <c r="X807" s="7">
        <f>IF($C807="","",W807-K807)</f>
        <v/>
      </c>
      <c r="AB807" s="7" t="n"/>
      <c r="AE807" s="11" t="n"/>
      <c r="AG807">
        <f>IF($C807="","",IF(COUNTIF($C$2:$C807,$C807)=1,1,0))</f>
        <v/>
      </c>
      <c r="AH807">
        <f>IF($AG807=1,SUMPRODUCT(--($AK$2:$AK$6001&lt;$AK807))+1,"")</f>
        <v/>
      </c>
      <c r="AI807">
        <f>IF($C807="","",IF(OR($N807=TRUE(),$N807="TRUE"),1,0))</f>
        <v/>
      </c>
      <c r="AJ807">
        <f>IF($C807="","",IF($T807="Yes",1,0))</f>
        <v/>
      </c>
      <c r="AK807">
        <f>IF($AG807=1,IFERROR(IF(VALUE($C807)&lt;100000000,VALUE($C807),1000000000),IFERROR(IF(VALUE(MID($C807,2,20))&lt;100000000,VALUE(MID($C807,2,20)),1000000000),1000000000))+ROW()/100000,"")</f>
        <v/>
      </c>
    </row>
    <row r="808">
      <c r="D808" s="11" t="n"/>
      <c r="K808" s="7">
        <f>IF($C808="","",J808*W808/100)</f>
        <v/>
      </c>
      <c r="Q808" s="7" t="n"/>
      <c r="R808" s="7" t="n"/>
      <c r="U808">
        <f>IF($C808="","",IF($AJ808=1,0,IF($AI808=1,Settings!$C$6,Settings!$C$7))*100)</f>
        <v/>
      </c>
      <c r="V808" s="7">
        <f>IF($C808="","",R808*U808/100)</f>
        <v/>
      </c>
      <c r="W808" s="7">
        <f>IF($C808="","",R808-V808)</f>
        <v/>
      </c>
      <c r="X808" s="7">
        <f>IF($C808="","",W808-K808)</f>
        <v/>
      </c>
      <c r="AB808" s="7" t="n"/>
      <c r="AE808" s="11" t="n"/>
      <c r="AG808">
        <f>IF($C808="","",IF(COUNTIF($C$2:$C808,$C808)=1,1,0))</f>
        <v/>
      </c>
      <c r="AH808">
        <f>IF($AG808=1,SUMPRODUCT(--($AK$2:$AK$6001&lt;$AK808))+1,"")</f>
        <v/>
      </c>
      <c r="AI808">
        <f>IF($C808="","",IF(OR($N808=TRUE(),$N808="TRUE"),1,0))</f>
        <v/>
      </c>
      <c r="AJ808">
        <f>IF($C808="","",IF($T808="Yes",1,0))</f>
        <v/>
      </c>
      <c r="AK808">
        <f>IF($AG808=1,IFERROR(IF(VALUE($C808)&lt;100000000,VALUE($C808),1000000000),IFERROR(IF(VALUE(MID($C808,2,20))&lt;100000000,VALUE(MID($C808,2,20)),1000000000),1000000000))+ROW()/100000,"")</f>
        <v/>
      </c>
    </row>
    <row r="809">
      <c r="D809" s="11" t="n"/>
      <c r="K809" s="7">
        <f>IF($C809="","",J809*W809/100)</f>
        <v/>
      </c>
      <c r="Q809" s="7" t="n"/>
      <c r="R809" s="7" t="n"/>
      <c r="U809">
        <f>IF($C809="","",IF($AJ809=1,0,IF($AI809=1,Settings!$C$6,Settings!$C$7))*100)</f>
        <v/>
      </c>
      <c r="V809" s="7">
        <f>IF($C809="","",R809*U809/100)</f>
        <v/>
      </c>
      <c r="W809" s="7">
        <f>IF($C809="","",R809-V809)</f>
        <v/>
      </c>
      <c r="X809" s="7">
        <f>IF($C809="","",W809-K809)</f>
        <v/>
      </c>
      <c r="AB809" s="7" t="n"/>
      <c r="AE809" s="11" t="n"/>
      <c r="AG809">
        <f>IF($C809="","",IF(COUNTIF($C$2:$C809,$C809)=1,1,0))</f>
        <v/>
      </c>
      <c r="AH809">
        <f>IF($AG809=1,SUMPRODUCT(--($AK$2:$AK$6001&lt;$AK809))+1,"")</f>
        <v/>
      </c>
      <c r="AI809">
        <f>IF($C809="","",IF(OR($N809=TRUE(),$N809="TRUE"),1,0))</f>
        <v/>
      </c>
      <c r="AJ809">
        <f>IF($C809="","",IF($T809="Yes",1,0))</f>
        <v/>
      </c>
      <c r="AK809">
        <f>IF($AG809=1,IFERROR(IF(VALUE($C809)&lt;100000000,VALUE($C809),1000000000),IFERROR(IF(VALUE(MID($C809,2,20))&lt;100000000,VALUE(MID($C809,2,20)),1000000000),1000000000))+ROW()/100000,"")</f>
        <v/>
      </c>
    </row>
    <row r="810">
      <c r="D810" s="11" t="n"/>
      <c r="K810" s="7">
        <f>IF($C810="","",J810*W810/100)</f>
        <v/>
      </c>
      <c r="Q810" s="7" t="n"/>
      <c r="R810" s="7" t="n"/>
      <c r="U810">
        <f>IF($C810="","",IF($AJ810=1,0,IF($AI810=1,Settings!$C$6,Settings!$C$7))*100)</f>
        <v/>
      </c>
      <c r="V810" s="7">
        <f>IF($C810="","",R810*U810/100)</f>
        <v/>
      </c>
      <c r="W810" s="7">
        <f>IF($C810="","",R810-V810)</f>
        <v/>
      </c>
      <c r="X810" s="7">
        <f>IF($C810="","",W810-K810)</f>
        <v/>
      </c>
      <c r="AB810" s="7" t="n"/>
      <c r="AE810" s="11" t="n"/>
      <c r="AG810">
        <f>IF($C810="","",IF(COUNTIF($C$2:$C810,$C810)=1,1,0))</f>
        <v/>
      </c>
      <c r="AH810">
        <f>IF($AG810=1,SUMPRODUCT(--($AK$2:$AK$6001&lt;$AK810))+1,"")</f>
        <v/>
      </c>
      <c r="AI810">
        <f>IF($C810="","",IF(OR($N810=TRUE(),$N810="TRUE"),1,0))</f>
        <v/>
      </c>
      <c r="AJ810">
        <f>IF($C810="","",IF($T810="Yes",1,0))</f>
        <v/>
      </c>
      <c r="AK810">
        <f>IF($AG810=1,IFERROR(IF(VALUE($C810)&lt;100000000,VALUE($C810),1000000000),IFERROR(IF(VALUE(MID($C810,2,20))&lt;100000000,VALUE(MID($C810,2,20)),1000000000),1000000000))+ROW()/100000,"")</f>
        <v/>
      </c>
    </row>
    <row r="811">
      <c r="D811" s="11" t="n"/>
      <c r="K811" s="7">
        <f>IF($C811="","",J811*W811/100)</f>
        <v/>
      </c>
      <c r="Q811" s="7" t="n"/>
      <c r="R811" s="7" t="n"/>
      <c r="U811">
        <f>IF($C811="","",IF($AJ811=1,0,IF($AI811=1,Settings!$C$6,Settings!$C$7))*100)</f>
        <v/>
      </c>
      <c r="V811" s="7">
        <f>IF($C811="","",R811*U811/100)</f>
        <v/>
      </c>
      <c r="W811" s="7">
        <f>IF($C811="","",R811-V811)</f>
        <v/>
      </c>
      <c r="X811" s="7">
        <f>IF($C811="","",W811-K811)</f>
        <v/>
      </c>
      <c r="AB811" s="7" t="n"/>
      <c r="AE811" s="11" t="n"/>
      <c r="AG811">
        <f>IF($C811="","",IF(COUNTIF($C$2:$C811,$C811)=1,1,0))</f>
        <v/>
      </c>
      <c r="AH811">
        <f>IF($AG811=1,SUMPRODUCT(--($AK$2:$AK$6001&lt;$AK811))+1,"")</f>
        <v/>
      </c>
      <c r="AI811">
        <f>IF($C811="","",IF(OR($N811=TRUE(),$N811="TRUE"),1,0))</f>
        <v/>
      </c>
      <c r="AJ811">
        <f>IF($C811="","",IF($T811="Yes",1,0))</f>
        <v/>
      </c>
      <c r="AK811">
        <f>IF($AG811=1,IFERROR(IF(VALUE($C811)&lt;100000000,VALUE($C811),1000000000),IFERROR(IF(VALUE(MID($C811,2,20))&lt;100000000,VALUE(MID($C811,2,20)),1000000000),1000000000))+ROW()/100000,"")</f>
        <v/>
      </c>
    </row>
    <row r="812">
      <c r="D812" s="11" t="n"/>
      <c r="K812" s="7">
        <f>IF($C812="","",J812*W812/100)</f>
        <v/>
      </c>
      <c r="Q812" s="7" t="n"/>
      <c r="R812" s="7" t="n"/>
      <c r="U812">
        <f>IF($C812="","",IF($AJ812=1,0,IF($AI812=1,Settings!$C$6,Settings!$C$7))*100)</f>
        <v/>
      </c>
      <c r="V812" s="7">
        <f>IF($C812="","",R812*U812/100)</f>
        <v/>
      </c>
      <c r="W812" s="7">
        <f>IF($C812="","",R812-V812)</f>
        <v/>
      </c>
      <c r="X812" s="7">
        <f>IF($C812="","",W812-K812)</f>
        <v/>
      </c>
      <c r="AB812" s="7" t="n"/>
      <c r="AE812" s="11" t="n"/>
      <c r="AG812">
        <f>IF($C812="","",IF(COUNTIF($C$2:$C812,$C812)=1,1,0))</f>
        <v/>
      </c>
      <c r="AH812">
        <f>IF($AG812=1,SUMPRODUCT(--($AK$2:$AK$6001&lt;$AK812))+1,"")</f>
        <v/>
      </c>
      <c r="AI812">
        <f>IF($C812="","",IF(OR($N812=TRUE(),$N812="TRUE"),1,0))</f>
        <v/>
      </c>
      <c r="AJ812">
        <f>IF($C812="","",IF($T812="Yes",1,0))</f>
        <v/>
      </c>
      <c r="AK812">
        <f>IF($AG812=1,IFERROR(IF(VALUE($C812)&lt;100000000,VALUE($C812),1000000000),IFERROR(IF(VALUE(MID($C812,2,20))&lt;100000000,VALUE(MID($C812,2,20)),1000000000),1000000000))+ROW()/100000,"")</f>
        <v/>
      </c>
    </row>
    <row r="813">
      <c r="D813" s="11" t="n"/>
      <c r="K813" s="7">
        <f>IF($C813="","",J813*W813/100)</f>
        <v/>
      </c>
      <c r="Q813" s="7" t="n"/>
      <c r="R813" s="7" t="n"/>
      <c r="U813">
        <f>IF($C813="","",IF($AJ813=1,0,IF($AI813=1,Settings!$C$6,Settings!$C$7))*100)</f>
        <v/>
      </c>
      <c r="V813" s="7">
        <f>IF($C813="","",R813*U813/100)</f>
        <v/>
      </c>
      <c r="W813" s="7">
        <f>IF($C813="","",R813-V813)</f>
        <v/>
      </c>
      <c r="X813" s="7">
        <f>IF($C813="","",W813-K813)</f>
        <v/>
      </c>
      <c r="AB813" s="7" t="n"/>
      <c r="AE813" s="11" t="n"/>
      <c r="AG813">
        <f>IF($C813="","",IF(COUNTIF($C$2:$C813,$C813)=1,1,0))</f>
        <v/>
      </c>
      <c r="AH813">
        <f>IF($AG813=1,SUMPRODUCT(--($AK$2:$AK$6001&lt;$AK813))+1,"")</f>
        <v/>
      </c>
      <c r="AI813">
        <f>IF($C813="","",IF(OR($N813=TRUE(),$N813="TRUE"),1,0))</f>
        <v/>
      </c>
      <c r="AJ813">
        <f>IF($C813="","",IF($T813="Yes",1,0))</f>
        <v/>
      </c>
      <c r="AK813">
        <f>IF($AG813=1,IFERROR(IF(VALUE($C813)&lt;100000000,VALUE($C813),1000000000),IFERROR(IF(VALUE(MID($C813,2,20))&lt;100000000,VALUE(MID($C813,2,20)),1000000000),1000000000))+ROW()/100000,"")</f>
        <v/>
      </c>
    </row>
    <row r="814">
      <c r="D814" s="11" t="n"/>
      <c r="K814" s="7">
        <f>IF($C814="","",J814*W814/100)</f>
        <v/>
      </c>
      <c r="Q814" s="7" t="n"/>
      <c r="R814" s="7" t="n"/>
      <c r="U814">
        <f>IF($C814="","",IF($AJ814=1,0,IF($AI814=1,Settings!$C$6,Settings!$C$7))*100)</f>
        <v/>
      </c>
      <c r="V814" s="7">
        <f>IF($C814="","",R814*U814/100)</f>
        <v/>
      </c>
      <c r="W814" s="7">
        <f>IF($C814="","",R814-V814)</f>
        <v/>
      </c>
      <c r="X814" s="7">
        <f>IF($C814="","",W814-K814)</f>
        <v/>
      </c>
      <c r="AB814" s="7" t="n"/>
      <c r="AE814" s="11" t="n"/>
      <c r="AG814">
        <f>IF($C814="","",IF(COUNTIF($C$2:$C814,$C814)=1,1,0))</f>
        <v/>
      </c>
      <c r="AH814">
        <f>IF($AG814=1,SUMPRODUCT(--($AK$2:$AK$6001&lt;$AK814))+1,"")</f>
        <v/>
      </c>
      <c r="AI814">
        <f>IF($C814="","",IF(OR($N814=TRUE(),$N814="TRUE"),1,0))</f>
        <v/>
      </c>
      <c r="AJ814">
        <f>IF($C814="","",IF($T814="Yes",1,0))</f>
        <v/>
      </c>
      <c r="AK814">
        <f>IF($AG814=1,IFERROR(IF(VALUE($C814)&lt;100000000,VALUE($C814),1000000000),IFERROR(IF(VALUE(MID($C814,2,20))&lt;100000000,VALUE(MID($C814,2,20)),1000000000),1000000000))+ROW()/100000,"")</f>
        <v/>
      </c>
    </row>
    <row r="815">
      <c r="D815" s="11" t="n"/>
      <c r="K815" s="7">
        <f>IF($C815="","",J815*W815/100)</f>
        <v/>
      </c>
      <c r="Q815" s="7" t="n"/>
      <c r="R815" s="7" t="n"/>
      <c r="U815">
        <f>IF($C815="","",IF($AJ815=1,0,IF($AI815=1,Settings!$C$6,Settings!$C$7))*100)</f>
        <v/>
      </c>
      <c r="V815" s="7">
        <f>IF($C815="","",R815*U815/100)</f>
        <v/>
      </c>
      <c r="W815" s="7">
        <f>IF($C815="","",R815-V815)</f>
        <v/>
      </c>
      <c r="X815" s="7">
        <f>IF($C815="","",W815-K815)</f>
        <v/>
      </c>
      <c r="AB815" s="7" t="n"/>
      <c r="AE815" s="11" t="n"/>
      <c r="AG815">
        <f>IF($C815="","",IF(COUNTIF($C$2:$C815,$C815)=1,1,0))</f>
        <v/>
      </c>
      <c r="AH815">
        <f>IF($AG815=1,SUMPRODUCT(--($AK$2:$AK$6001&lt;$AK815))+1,"")</f>
        <v/>
      </c>
      <c r="AI815">
        <f>IF($C815="","",IF(OR($N815=TRUE(),$N815="TRUE"),1,0))</f>
        <v/>
      </c>
      <c r="AJ815">
        <f>IF($C815="","",IF($T815="Yes",1,0))</f>
        <v/>
      </c>
      <c r="AK815">
        <f>IF($AG815=1,IFERROR(IF(VALUE($C815)&lt;100000000,VALUE($C815),1000000000),IFERROR(IF(VALUE(MID($C815,2,20))&lt;100000000,VALUE(MID($C815,2,20)),1000000000),1000000000))+ROW()/100000,"")</f>
        <v/>
      </c>
    </row>
    <row r="816">
      <c r="D816" s="11" t="n"/>
      <c r="K816" s="7">
        <f>IF($C816="","",J816*W816/100)</f>
        <v/>
      </c>
      <c r="Q816" s="7" t="n"/>
      <c r="R816" s="7" t="n"/>
      <c r="U816">
        <f>IF($C816="","",IF($AJ816=1,0,IF($AI816=1,Settings!$C$6,Settings!$C$7))*100)</f>
        <v/>
      </c>
      <c r="V816" s="7">
        <f>IF($C816="","",R816*U816/100)</f>
        <v/>
      </c>
      <c r="W816" s="7">
        <f>IF($C816="","",R816-V816)</f>
        <v/>
      </c>
      <c r="X816" s="7">
        <f>IF($C816="","",W816-K816)</f>
        <v/>
      </c>
      <c r="AB816" s="7" t="n"/>
      <c r="AE816" s="11" t="n"/>
      <c r="AG816">
        <f>IF($C816="","",IF(COUNTIF($C$2:$C816,$C816)=1,1,0))</f>
        <v/>
      </c>
      <c r="AH816">
        <f>IF($AG816=1,SUMPRODUCT(--($AK$2:$AK$6001&lt;$AK816))+1,"")</f>
        <v/>
      </c>
      <c r="AI816">
        <f>IF($C816="","",IF(OR($N816=TRUE(),$N816="TRUE"),1,0))</f>
        <v/>
      </c>
      <c r="AJ816">
        <f>IF($C816="","",IF($T816="Yes",1,0))</f>
        <v/>
      </c>
      <c r="AK816">
        <f>IF($AG816=1,IFERROR(IF(VALUE($C816)&lt;100000000,VALUE($C816),1000000000),IFERROR(IF(VALUE(MID($C816,2,20))&lt;100000000,VALUE(MID($C816,2,20)),1000000000),1000000000))+ROW()/100000,"")</f>
        <v/>
      </c>
    </row>
    <row r="817">
      <c r="D817" s="11" t="n"/>
      <c r="K817" s="7">
        <f>IF($C817="","",J817*W817/100)</f>
        <v/>
      </c>
      <c r="Q817" s="7" t="n"/>
      <c r="R817" s="7" t="n"/>
      <c r="U817">
        <f>IF($C817="","",IF($AJ817=1,0,IF($AI817=1,Settings!$C$6,Settings!$C$7))*100)</f>
        <v/>
      </c>
      <c r="V817" s="7">
        <f>IF($C817="","",R817*U817/100)</f>
        <v/>
      </c>
      <c r="W817" s="7">
        <f>IF($C817="","",R817-V817)</f>
        <v/>
      </c>
      <c r="X817" s="7">
        <f>IF($C817="","",W817-K817)</f>
        <v/>
      </c>
      <c r="AB817" s="7" t="n"/>
      <c r="AE817" s="11" t="n"/>
      <c r="AG817">
        <f>IF($C817="","",IF(COUNTIF($C$2:$C817,$C817)=1,1,0))</f>
        <v/>
      </c>
      <c r="AH817">
        <f>IF($AG817=1,SUMPRODUCT(--($AK$2:$AK$6001&lt;$AK817))+1,"")</f>
        <v/>
      </c>
      <c r="AI817">
        <f>IF($C817="","",IF(OR($N817=TRUE(),$N817="TRUE"),1,0))</f>
        <v/>
      </c>
      <c r="AJ817">
        <f>IF($C817="","",IF($T817="Yes",1,0))</f>
        <v/>
      </c>
      <c r="AK817">
        <f>IF($AG817=1,IFERROR(IF(VALUE($C817)&lt;100000000,VALUE($C817),1000000000),IFERROR(IF(VALUE(MID($C817,2,20))&lt;100000000,VALUE(MID($C817,2,20)),1000000000),1000000000))+ROW()/100000,"")</f>
        <v/>
      </c>
    </row>
    <row r="818">
      <c r="D818" s="11" t="n"/>
      <c r="K818" s="7">
        <f>IF($C818="","",J818*W818/100)</f>
        <v/>
      </c>
      <c r="Q818" s="7" t="n"/>
      <c r="R818" s="7" t="n"/>
      <c r="U818">
        <f>IF($C818="","",IF($AJ818=1,0,IF($AI818=1,Settings!$C$6,Settings!$C$7))*100)</f>
        <v/>
      </c>
      <c r="V818" s="7">
        <f>IF($C818="","",R818*U818/100)</f>
        <v/>
      </c>
      <c r="W818" s="7">
        <f>IF($C818="","",R818-V818)</f>
        <v/>
      </c>
      <c r="X818" s="7">
        <f>IF($C818="","",W818-K818)</f>
        <v/>
      </c>
      <c r="AB818" s="7" t="n"/>
      <c r="AE818" s="11" t="n"/>
      <c r="AG818">
        <f>IF($C818="","",IF(COUNTIF($C$2:$C818,$C818)=1,1,0))</f>
        <v/>
      </c>
      <c r="AH818">
        <f>IF($AG818=1,SUMPRODUCT(--($AK$2:$AK$6001&lt;$AK818))+1,"")</f>
        <v/>
      </c>
      <c r="AI818">
        <f>IF($C818="","",IF(OR($N818=TRUE(),$N818="TRUE"),1,0))</f>
        <v/>
      </c>
      <c r="AJ818">
        <f>IF($C818="","",IF($T818="Yes",1,0))</f>
        <v/>
      </c>
      <c r="AK818">
        <f>IF($AG818=1,IFERROR(IF(VALUE($C818)&lt;100000000,VALUE($C818),1000000000),IFERROR(IF(VALUE(MID($C818,2,20))&lt;100000000,VALUE(MID($C818,2,20)),1000000000),1000000000))+ROW()/100000,"")</f>
        <v/>
      </c>
    </row>
    <row r="819">
      <c r="D819" s="11" t="n"/>
      <c r="K819" s="7">
        <f>IF($C819="","",J819*W819/100)</f>
        <v/>
      </c>
      <c r="Q819" s="7" t="n"/>
      <c r="R819" s="7" t="n"/>
      <c r="U819">
        <f>IF($C819="","",IF($AJ819=1,0,IF($AI819=1,Settings!$C$6,Settings!$C$7))*100)</f>
        <v/>
      </c>
      <c r="V819" s="7">
        <f>IF($C819="","",R819*U819/100)</f>
        <v/>
      </c>
      <c r="W819" s="7">
        <f>IF($C819="","",R819-V819)</f>
        <v/>
      </c>
      <c r="X819" s="7">
        <f>IF($C819="","",W819-K819)</f>
        <v/>
      </c>
      <c r="AB819" s="7" t="n"/>
      <c r="AE819" s="11" t="n"/>
      <c r="AG819">
        <f>IF($C819="","",IF(COUNTIF($C$2:$C819,$C819)=1,1,0))</f>
        <v/>
      </c>
      <c r="AH819">
        <f>IF($AG819=1,SUMPRODUCT(--($AK$2:$AK$6001&lt;$AK819))+1,"")</f>
        <v/>
      </c>
      <c r="AI819">
        <f>IF($C819="","",IF(OR($N819=TRUE(),$N819="TRUE"),1,0))</f>
        <v/>
      </c>
      <c r="AJ819">
        <f>IF($C819="","",IF($T819="Yes",1,0))</f>
        <v/>
      </c>
      <c r="AK819">
        <f>IF($AG819=1,IFERROR(IF(VALUE($C819)&lt;100000000,VALUE($C819),1000000000),IFERROR(IF(VALUE(MID($C819,2,20))&lt;100000000,VALUE(MID($C819,2,20)),1000000000),1000000000))+ROW()/100000,"")</f>
        <v/>
      </c>
    </row>
    <row r="820">
      <c r="D820" s="11" t="n"/>
      <c r="K820" s="7">
        <f>IF($C820="","",J820*W820/100)</f>
        <v/>
      </c>
      <c r="Q820" s="7" t="n"/>
      <c r="R820" s="7" t="n"/>
      <c r="U820">
        <f>IF($C820="","",IF($AJ820=1,0,IF($AI820=1,Settings!$C$6,Settings!$C$7))*100)</f>
        <v/>
      </c>
      <c r="V820" s="7">
        <f>IF($C820="","",R820*U820/100)</f>
        <v/>
      </c>
      <c r="W820" s="7">
        <f>IF($C820="","",R820-V820)</f>
        <v/>
      </c>
      <c r="X820" s="7">
        <f>IF($C820="","",W820-K820)</f>
        <v/>
      </c>
      <c r="AB820" s="7" t="n"/>
      <c r="AE820" s="11" t="n"/>
      <c r="AG820">
        <f>IF($C820="","",IF(COUNTIF($C$2:$C820,$C820)=1,1,0))</f>
        <v/>
      </c>
      <c r="AH820">
        <f>IF($AG820=1,SUMPRODUCT(--($AK$2:$AK$6001&lt;$AK820))+1,"")</f>
        <v/>
      </c>
      <c r="AI820">
        <f>IF($C820="","",IF(OR($N820=TRUE(),$N820="TRUE"),1,0))</f>
        <v/>
      </c>
      <c r="AJ820">
        <f>IF($C820="","",IF($T820="Yes",1,0))</f>
        <v/>
      </c>
      <c r="AK820">
        <f>IF($AG820=1,IFERROR(IF(VALUE($C820)&lt;100000000,VALUE($C820),1000000000),IFERROR(IF(VALUE(MID($C820,2,20))&lt;100000000,VALUE(MID($C820,2,20)),1000000000),1000000000))+ROW()/100000,"")</f>
        <v/>
      </c>
    </row>
    <row r="821">
      <c r="D821" s="11" t="n"/>
      <c r="K821" s="7">
        <f>IF($C821="","",J821*W821/100)</f>
        <v/>
      </c>
      <c r="Q821" s="7" t="n"/>
      <c r="R821" s="7" t="n"/>
      <c r="U821">
        <f>IF($C821="","",IF($AJ821=1,0,IF($AI821=1,Settings!$C$6,Settings!$C$7))*100)</f>
        <v/>
      </c>
      <c r="V821" s="7">
        <f>IF($C821="","",R821*U821/100)</f>
        <v/>
      </c>
      <c r="W821" s="7">
        <f>IF($C821="","",R821-V821)</f>
        <v/>
      </c>
      <c r="X821" s="7">
        <f>IF($C821="","",W821-K821)</f>
        <v/>
      </c>
      <c r="AB821" s="7" t="n"/>
      <c r="AE821" s="11" t="n"/>
      <c r="AG821">
        <f>IF($C821="","",IF(COUNTIF($C$2:$C821,$C821)=1,1,0))</f>
        <v/>
      </c>
      <c r="AH821">
        <f>IF($AG821=1,SUMPRODUCT(--($AK$2:$AK$6001&lt;$AK821))+1,"")</f>
        <v/>
      </c>
      <c r="AI821">
        <f>IF($C821="","",IF(OR($N821=TRUE(),$N821="TRUE"),1,0))</f>
        <v/>
      </c>
      <c r="AJ821">
        <f>IF($C821="","",IF($T821="Yes",1,0))</f>
        <v/>
      </c>
      <c r="AK821">
        <f>IF($AG821=1,IFERROR(IF(VALUE($C821)&lt;100000000,VALUE($C821),1000000000),IFERROR(IF(VALUE(MID($C821,2,20))&lt;100000000,VALUE(MID($C821,2,20)),1000000000),1000000000))+ROW()/100000,"")</f>
        <v/>
      </c>
    </row>
    <row r="822">
      <c r="D822" s="11" t="n"/>
      <c r="K822" s="7">
        <f>IF($C822="","",J822*W822/100)</f>
        <v/>
      </c>
      <c r="Q822" s="7" t="n"/>
      <c r="R822" s="7" t="n"/>
      <c r="U822">
        <f>IF($C822="","",IF($AJ822=1,0,IF($AI822=1,Settings!$C$6,Settings!$C$7))*100)</f>
        <v/>
      </c>
      <c r="V822" s="7">
        <f>IF($C822="","",R822*U822/100)</f>
        <v/>
      </c>
      <c r="W822" s="7">
        <f>IF($C822="","",R822-V822)</f>
        <v/>
      </c>
      <c r="X822" s="7">
        <f>IF($C822="","",W822-K822)</f>
        <v/>
      </c>
      <c r="AB822" s="7" t="n"/>
      <c r="AE822" s="11" t="n"/>
      <c r="AG822">
        <f>IF($C822="","",IF(COUNTIF($C$2:$C822,$C822)=1,1,0))</f>
        <v/>
      </c>
      <c r="AH822">
        <f>IF($AG822=1,SUMPRODUCT(--($AK$2:$AK$6001&lt;$AK822))+1,"")</f>
        <v/>
      </c>
      <c r="AI822">
        <f>IF($C822="","",IF(OR($N822=TRUE(),$N822="TRUE"),1,0))</f>
        <v/>
      </c>
      <c r="AJ822">
        <f>IF($C822="","",IF($T822="Yes",1,0))</f>
        <v/>
      </c>
      <c r="AK822">
        <f>IF($AG822=1,IFERROR(IF(VALUE($C822)&lt;100000000,VALUE($C822),1000000000),IFERROR(IF(VALUE(MID($C822,2,20))&lt;100000000,VALUE(MID($C822,2,20)),1000000000),1000000000))+ROW()/100000,"")</f>
        <v/>
      </c>
    </row>
    <row r="823">
      <c r="D823" s="11" t="n"/>
      <c r="K823" s="7">
        <f>IF($C823="","",J823*W823/100)</f>
        <v/>
      </c>
      <c r="Q823" s="7" t="n"/>
      <c r="R823" s="7" t="n"/>
      <c r="U823">
        <f>IF($C823="","",IF($AJ823=1,0,IF($AI823=1,Settings!$C$6,Settings!$C$7))*100)</f>
        <v/>
      </c>
      <c r="V823" s="7">
        <f>IF($C823="","",R823*U823/100)</f>
        <v/>
      </c>
      <c r="W823" s="7">
        <f>IF($C823="","",R823-V823)</f>
        <v/>
      </c>
      <c r="X823" s="7">
        <f>IF($C823="","",W823-K823)</f>
        <v/>
      </c>
      <c r="AB823" s="7" t="n"/>
      <c r="AE823" s="11" t="n"/>
      <c r="AG823">
        <f>IF($C823="","",IF(COUNTIF($C$2:$C823,$C823)=1,1,0))</f>
        <v/>
      </c>
      <c r="AH823">
        <f>IF($AG823=1,SUMPRODUCT(--($AK$2:$AK$6001&lt;$AK823))+1,"")</f>
        <v/>
      </c>
      <c r="AI823">
        <f>IF($C823="","",IF(OR($N823=TRUE(),$N823="TRUE"),1,0))</f>
        <v/>
      </c>
      <c r="AJ823">
        <f>IF($C823="","",IF($T823="Yes",1,0))</f>
        <v/>
      </c>
      <c r="AK823">
        <f>IF($AG823=1,IFERROR(IF(VALUE($C823)&lt;100000000,VALUE($C823),1000000000),IFERROR(IF(VALUE(MID($C823,2,20))&lt;100000000,VALUE(MID($C823,2,20)),1000000000),1000000000))+ROW()/100000,"")</f>
        <v/>
      </c>
    </row>
    <row r="824">
      <c r="D824" s="11" t="n"/>
      <c r="K824" s="7">
        <f>IF($C824="","",J824*W824/100)</f>
        <v/>
      </c>
      <c r="Q824" s="7" t="n"/>
      <c r="R824" s="7" t="n"/>
      <c r="U824">
        <f>IF($C824="","",IF($AJ824=1,0,IF($AI824=1,Settings!$C$6,Settings!$C$7))*100)</f>
        <v/>
      </c>
      <c r="V824" s="7">
        <f>IF($C824="","",R824*U824/100)</f>
        <v/>
      </c>
      <c r="W824" s="7">
        <f>IF($C824="","",R824-V824)</f>
        <v/>
      </c>
      <c r="X824" s="7">
        <f>IF($C824="","",W824-K824)</f>
        <v/>
      </c>
      <c r="AB824" s="7" t="n"/>
      <c r="AE824" s="11" t="n"/>
      <c r="AG824">
        <f>IF($C824="","",IF(COUNTIF($C$2:$C824,$C824)=1,1,0))</f>
        <v/>
      </c>
      <c r="AH824">
        <f>IF($AG824=1,SUMPRODUCT(--($AK$2:$AK$6001&lt;$AK824))+1,"")</f>
        <v/>
      </c>
      <c r="AI824">
        <f>IF($C824="","",IF(OR($N824=TRUE(),$N824="TRUE"),1,0))</f>
        <v/>
      </c>
      <c r="AJ824">
        <f>IF($C824="","",IF($T824="Yes",1,0))</f>
        <v/>
      </c>
      <c r="AK824">
        <f>IF($AG824=1,IFERROR(IF(VALUE($C824)&lt;100000000,VALUE($C824),1000000000),IFERROR(IF(VALUE(MID($C824,2,20))&lt;100000000,VALUE(MID($C824,2,20)),1000000000),1000000000))+ROW()/100000,"")</f>
        <v/>
      </c>
    </row>
    <row r="825">
      <c r="D825" s="11" t="n"/>
      <c r="K825" s="7">
        <f>IF($C825="","",J825*W825/100)</f>
        <v/>
      </c>
      <c r="Q825" s="7" t="n"/>
      <c r="R825" s="7" t="n"/>
      <c r="U825">
        <f>IF($C825="","",IF($AJ825=1,0,IF($AI825=1,Settings!$C$6,Settings!$C$7))*100)</f>
        <v/>
      </c>
      <c r="V825" s="7">
        <f>IF($C825="","",R825*U825/100)</f>
        <v/>
      </c>
      <c r="W825" s="7">
        <f>IF($C825="","",R825-V825)</f>
        <v/>
      </c>
      <c r="X825" s="7">
        <f>IF($C825="","",W825-K825)</f>
        <v/>
      </c>
      <c r="AB825" s="7" t="n"/>
      <c r="AE825" s="11" t="n"/>
      <c r="AG825">
        <f>IF($C825="","",IF(COUNTIF($C$2:$C825,$C825)=1,1,0))</f>
        <v/>
      </c>
      <c r="AH825">
        <f>IF($AG825=1,SUMPRODUCT(--($AK$2:$AK$6001&lt;$AK825))+1,"")</f>
        <v/>
      </c>
      <c r="AI825">
        <f>IF($C825="","",IF(OR($N825=TRUE(),$N825="TRUE"),1,0))</f>
        <v/>
      </c>
      <c r="AJ825">
        <f>IF($C825="","",IF($T825="Yes",1,0))</f>
        <v/>
      </c>
      <c r="AK825">
        <f>IF($AG825=1,IFERROR(IF(VALUE($C825)&lt;100000000,VALUE($C825),1000000000),IFERROR(IF(VALUE(MID($C825,2,20))&lt;100000000,VALUE(MID($C825,2,20)),1000000000),1000000000))+ROW()/100000,"")</f>
        <v/>
      </c>
    </row>
    <row r="826">
      <c r="D826" s="11" t="n"/>
      <c r="K826" s="7">
        <f>IF($C826="","",J826*W826/100)</f>
        <v/>
      </c>
      <c r="Q826" s="7" t="n"/>
      <c r="R826" s="7" t="n"/>
      <c r="U826">
        <f>IF($C826="","",IF($AJ826=1,0,IF($AI826=1,Settings!$C$6,Settings!$C$7))*100)</f>
        <v/>
      </c>
      <c r="V826" s="7">
        <f>IF($C826="","",R826*U826/100)</f>
        <v/>
      </c>
      <c r="W826" s="7">
        <f>IF($C826="","",R826-V826)</f>
        <v/>
      </c>
      <c r="X826" s="7">
        <f>IF($C826="","",W826-K826)</f>
        <v/>
      </c>
      <c r="AB826" s="7" t="n"/>
      <c r="AE826" s="11" t="n"/>
      <c r="AG826">
        <f>IF($C826="","",IF(COUNTIF($C$2:$C826,$C826)=1,1,0))</f>
        <v/>
      </c>
      <c r="AH826">
        <f>IF($AG826=1,SUMPRODUCT(--($AK$2:$AK$6001&lt;$AK826))+1,"")</f>
        <v/>
      </c>
      <c r="AI826">
        <f>IF($C826="","",IF(OR($N826=TRUE(),$N826="TRUE"),1,0))</f>
        <v/>
      </c>
      <c r="AJ826">
        <f>IF($C826="","",IF($T826="Yes",1,0))</f>
        <v/>
      </c>
      <c r="AK826">
        <f>IF($AG826=1,IFERROR(IF(VALUE($C826)&lt;100000000,VALUE($C826),1000000000),IFERROR(IF(VALUE(MID($C826,2,20))&lt;100000000,VALUE(MID($C826,2,20)),1000000000),1000000000))+ROW()/100000,"")</f>
        <v/>
      </c>
    </row>
    <row r="827">
      <c r="D827" s="11" t="n"/>
      <c r="K827" s="7">
        <f>IF($C827="","",J827*W827/100)</f>
        <v/>
      </c>
      <c r="Q827" s="7" t="n"/>
      <c r="R827" s="7" t="n"/>
      <c r="U827">
        <f>IF($C827="","",IF($AJ827=1,0,IF($AI827=1,Settings!$C$6,Settings!$C$7))*100)</f>
        <v/>
      </c>
      <c r="V827" s="7">
        <f>IF($C827="","",R827*U827/100)</f>
        <v/>
      </c>
      <c r="W827" s="7">
        <f>IF($C827="","",R827-V827)</f>
        <v/>
      </c>
      <c r="X827" s="7">
        <f>IF($C827="","",W827-K827)</f>
        <v/>
      </c>
      <c r="AB827" s="7" t="n"/>
      <c r="AE827" s="11" t="n"/>
      <c r="AG827">
        <f>IF($C827="","",IF(COUNTIF($C$2:$C827,$C827)=1,1,0))</f>
        <v/>
      </c>
      <c r="AH827">
        <f>IF($AG827=1,SUMPRODUCT(--($AK$2:$AK$6001&lt;$AK827))+1,"")</f>
        <v/>
      </c>
      <c r="AI827">
        <f>IF($C827="","",IF(OR($N827=TRUE(),$N827="TRUE"),1,0))</f>
        <v/>
      </c>
      <c r="AJ827">
        <f>IF($C827="","",IF($T827="Yes",1,0))</f>
        <v/>
      </c>
      <c r="AK827">
        <f>IF($AG827=1,IFERROR(IF(VALUE($C827)&lt;100000000,VALUE($C827),1000000000),IFERROR(IF(VALUE(MID($C827,2,20))&lt;100000000,VALUE(MID($C827,2,20)),1000000000),1000000000))+ROW()/100000,"")</f>
        <v/>
      </c>
    </row>
    <row r="828">
      <c r="D828" s="11" t="n"/>
      <c r="K828" s="7">
        <f>IF($C828="","",J828*W828/100)</f>
        <v/>
      </c>
      <c r="Q828" s="7" t="n"/>
      <c r="R828" s="7" t="n"/>
      <c r="U828">
        <f>IF($C828="","",IF($AJ828=1,0,IF($AI828=1,Settings!$C$6,Settings!$C$7))*100)</f>
        <v/>
      </c>
      <c r="V828" s="7">
        <f>IF($C828="","",R828*U828/100)</f>
        <v/>
      </c>
      <c r="W828" s="7">
        <f>IF($C828="","",R828-V828)</f>
        <v/>
      </c>
      <c r="X828" s="7">
        <f>IF($C828="","",W828-K828)</f>
        <v/>
      </c>
      <c r="AB828" s="7" t="n"/>
      <c r="AE828" s="11" t="n"/>
      <c r="AG828">
        <f>IF($C828="","",IF(COUNTIF($C$2:$C828,$C828)=1,1,0))</f>
        <v/>
      </c>
      <c r="AH828">
        <f>IF($AG828=1,SUMPRODUCT(--($AK$2:$AK$6001&lt;$AK828))+1,"")</f>
        <v/>
      </c>
      <c r="AI828">
        <f>IF($C828="","",IF(OR($N828=TRUE(),$N828="TRUE"),1,0))</f>
        <v/>
      </c>
      <c r="AJ828">
        <f>IF($C828="","",IF($T828="Yes",1,0))</f>
        <v/>
      </c>
      <c r="AK828">
        <f>IF($AG828=1,IFERROR(IF(VALUE($C828)&lt;100000000,VALUE($C828),1000000000),IFERROR(IF(VALUE(MID($C828,2,20))&lt;100000000,VALUE(MID($C828,2,20)),1000000000),1000000000))+ROW()/100000,"")</f>
        <v/>
      </c>
    </row>
    <row r="829">
      <c r="D829" s="11" t="n"/>
      <c r="K829" s="7">
        <f>IF($C829="","",J829*W829/100)</f>
        <v/>
      </c>
      <c r="Q829" s="7" t="n"/>
      <c r="R829" s="7" t="n"/>
      <c r="U829">
        <f>IF($C829="","",IF($AJ829=1,0,IF($AI829=1,Settings!$C$6,Settings!$C$7))*100)</f>
        <v/>
      </c>
      <c r="V829" s="7">
        <f>IF($C829="","",R829*U829/100)</f>
        <v/>
      </c>
      <c r="W829" s="7">
        <f>IF($C829="","",R829-V829)</f>
        <v/>
      </c>
      <c r="X829" s="7">
        <f>IF($C829="","",W829-K829)</f>
        <v/>
      </c>
      <c r="AB829" s="7" t="n"/>
      <c r="AE829" s="11" t="n"/>
      <c r="AG829">
        <f>IF($C829="","",IF(COUNTIF($C$2:$C829,$C829)=1,1,0))</f>
        <v/>
      </c>
      <c r="AH829">
        <f>IF($AG829=1,SUMPRODUCT(--($AK$2:$AK$6001&lt;$AK829))+1,"")</f>
        <v/>
      </c>
      <c r="AI829">
        <f>IF($C829="","",IF(OR($N829=TRUE(),$N829="TRUE"),1,0))</f>
        <v/>
      </c>
      <c r="AJ829">
        <f>IF($C829="","",IF($T829="Yes",1,0))</f>
        <v/>
      </c>
      <c r="AK829">
        <f>IF($AG829=1,IFERROR(IF(VALUE($C829)&lt;100000000,VALUE($C829),1000000000),IFERROR(IF(VALUE(MID($C829,2,20))&lt;100000000,VALUE(MID($C829,2,20)),1000000000),1000000000))+ROW()/100000,"")</f>
        <v/>
      </c>
    </row>
    <row r="830">
      <c r="D830" s="11" t="n"/>
      <c r="K830" s="7">
        <f>IF($C830="","",J830*W830/100)</f>
        <v/>
      </c>
      <c r="Q830" s="7" t="n"/>
      <c r="R830" s="7" t="n"/>
      <c r="U830">
        <f>IF($C830="","",IF($AJ830=1,0,IF($AI830=1,Settings!$C$6,Settings!$C$7))*100)</f>
        <v/>
      </c>
      <c r="V830" s="7">
        <f>IF($C830="","",R830*U830/100)</f>
        <v/>
      </c>
      <c r="W830" s="7">
        <f>IF($C830="","",R830-V830)</f>
        <v/>
      </c>
      <c r="X830" s="7">
        <f>IF($C830="","",W830-K830)</f>
        <v/>
      </c>
      <c r="AB830" s="7" t="n"/>
      <c r="AE830" s="11" t="n"/>
      <c r="AG830">
        <f>IF($C830="","",IF(COUNTIF($C$2:$C830,$C830)=1,1,0))</f>
        <v/>
      </c>
      <c r="AH830">
        <f>IF($AG830=1,SUMPRODUCT(--($AK$2:$AK$6001&lt;$AK830))+1,"")</f>
        <v/>
      </c>
      <c r="AI830">
        <f>IF($C830="","",IF(OR($N830=TRUE(),$N830="TRUE"),1,0))</f>
        <v/>
      </c>
      <c r="AJ830">
        <f>IF($C830="","",IF($T830="Yes",1,0))</f>
        <v/>
      </c>
      <c r="AK830">
        <f>IF($AG830=1,IFERROR(IF(VALUE($C830)&lt;100000000,VALUE($C830),1000000000),IFERROR(IF(VALUE(MID($C830,2,20))&lt;100000000,VALUE(MID($C830,2,20)),1000000000),1000000000))+ROW()/100000,"")</f>
        <v/>
      </c>
    </row>
    <row r="831">
      <c r="D831" s="11" t="n"/>
      <c r="K831" s="7">
        <f>IF($C831="","",J831*W831/100)</f>
        <v/>
      </c>
      <c r="Q831" s="7" t="n"/>
      <c r="R831" s="7" t="n"/>
      <c r="U831">
        <f>IF($C831="","",IF($AJ831=1,0,IF($AI831=1,Settings!$C$6,Settings!$C$7))*100)</f>
        <v/>
      </c>
      <c r="V831" s="7">
        <f>IF($C831="","",R831*U831/100)</f>
        <v/>
      </c>
      <c r="W831" s="7">
        <f>IF($C831="","",R831-V831)</f>
        <v/>
      </c>
      <c r="X831" s="7">
        <f>IF($C831="","",W831-K831)</f>
        <v/>
      </c>
      <c r="AB831" s="7" t="n"/>
      <c r="AE831" s="11" t="n"/>
      <c r="AG831">
        <f>IF($C831="","",IF(COUNTIF($C$2:$C831,$C831)=1,1,0))</f>
        <v/>
      </c>
      <c r="AH831">
        <f>IF($AG831=1,SUMPRODUCT(--($AK$2:$AK$6001&lt;$AK831))+1,"")</f>
        <v/>
      </c>
      <c r="AI831">
        <f>IF($C831="","",IF(OR($N831=TRUE(),$N831="TRUE"),1,0))</f>
        <v/>
      </c>
      <c r="AJ831">
        <f>IF($C831="","",IF($T831="Yes",1,0))</f>
        <v/>
      </c>
      <c r="AK831">
        <f>IF($AG831=1,IFERROR(IF(VALUE($C831)&lt;100000000,VALUE($C831),1000000000),IFERROR(IF(VALUE(MID($C831,2,20))&lt;100000000,VALUE(MID($C831,2,20)),1000000000),1000000000))+ROW()/100000,"")</f>
        <v/>
      </c>
    </row>
    <row r="832">
      <c r="D832" s="11" t="n"/>
      <c r="K832" s="7">
        <f>IF($C832="","",J832*W832/100)</f>
        <v/>
      </c>
      <c r="Q832" s="7" t="n"/>
      <c r="R832" s="7" t="n"/>
      <c r="U832">
        <f>IF($C832="","",IF($AJ832=1,0,IF($AI832=1,Settings!$C$6,Settings!$C$7))*100)</f>
        <v/>
      </c>
      <c r="V832" s="7">
        <f>IF($C832="","",R832*U832/100)</f>
        <v/>
      </c>
      <c r="W832" s="7">
        <f>IF($C832="","",R832-V832)</f>
        <v/>
      </c>
      <c r="X832" s="7">
        <f>IF($C832="","",W832-K832)</f>
        <v/>
      </c>
      <c r="AB832" s="7" t="n"/>
      <c r="AE832" s="11" t="n"/>
      <c r="AG832">
        <f>IF($C832="","",IF(COUNTIF($C$2:$C832,$C832)=1,1,0))</f>
        <v/>
      </c>
      <c r="AH832">
        <f>IF($AG832=1,SUMPRODUCT(--($AK$2:$AK$6001&lt;$AK832))+1,"")</f>
        <v/>
      </c>
      <c r="AI832">
        <f>IF($C832="","",IF(OR($N832=TRUE(),$N832="TRUE"),1,0))</f>
        <v/>
      </c>
      <c r="AJ832">
        <f>IF($C832="","",IF($T832="Yes",1,0))</f>
        <v/>
      </c>
      <c r="AK832">
        <f>IF($AG832=1,IFERROR(IF(VALUE($C832)&lt;100000000,VALUE($C832),1000000000),IFERROR(IF(VALUE(MID($C832,2,20))&lt;100000000,VALUE(MID($C832,2,20)),1000000000),1000000000))+ROW()/100000,"")</f>
        <v/>
      </c>
    </row>
    <row r="833">
      <c r="D833" s="11" t="n"/>
      <c r="K833" s="7">
        <f>IF($C833="","",J833*W833/100)</f>
        <v/>
      </c>
      <c r="Q833" s="7" t="n"/>
      <c r="R833" s="7" t="n"/>
      <c r="U833">
        <f>IF($C833="","",IF($AJ833=1,0,IF($AI833=1,Settings!$C$6,Settings!$C$7))*100)</f>
        <v/>
      </c>
      <c r="V833" s="7">
        <f>IF($C833="","",R833*U833/100)</f>
        <v/>
      </c>
      <c r="W833" s="7">
        <f>IF($C833="","",R833-V833)</f>
        <v/>
      </c>
      <c r="X833" s="7">
        <f>IF($C833="","",W833-K833)</f>
        <v/>
      </c>
      <c r="AB833" s="7" t="n"/>
      <c r="AE833" s="11" t="n"/>
      <c r="AG833">
        <f>IF($C833="","",IF(COUNTIF($C$2:$C833,$C833)=1,1,0))</f>
        <v/>
      </c>
      <c r="AH833">
        <f>IF($AG833=1,SUMPRODUCT(--($AK$2:$AK$6001&lt;$AK833))+1,"")</f>
        <v/>
      </c>
      <c r="AI833">
        <f>IF($C833="","",IF(OR($N833=TRUE(),$N833="TRUE"),1,0))</f>
        <v/>
      </c>
      <c r="AJ833">
        <f>IF($C833="","",IF($T833="Yes",1,0))</f>
        <v/>
      </c>
      <c r="AK833">
        <f>IF($AG833=1,IFERROR(IF(VALUE($C833)&lt;100000000,VALUE($C833),1000000000),IFERROR(IF(VALUE(MID($C833,2,20))&lt;100000000,VALUE(MID($C833,2,20)),1000000000),1000000000))+ROW()/100000,"")</f>
        <v/>
      </c>
    </row>
    <row r="834">
      <c r="D834" s="11" t="n"/>
      <c r="K834" s="7">
        <f>IF($C834="","",J834*W834/100)</f>
        <v/>
      </c>
      <c r="Q834" s="7" t="n"/>
      <c r="R834" s="7" t="n"/>
      <c r="U834">
        <f>IF($C834="","",IF($AJ834=1,0,IF($AI834=1,Settings!$C$6,Settings!$C$7))*100)</f>
        <v/>
      </c>
      <c r="V834" s="7">
        <f>IF($C834="","",R834*U834/100)</f>
        <v/>
      </c>
      <c r="W834" s="7">
        <f>IF($C834="","",R834-V834)</f>
        <v/>
      </c>
      <c r="X834" s="7">
        <f>IF($C834="","",W834-K834)</f>
        <v/>
      </c>
      <c r="AB834" s="7" t="n"/>
      <c r="AE834" s="11" t="n"/>
      <c r="AG834">
        <f>IF($C834="","",IF(COUNTIF($C$2:$C834,$C834)=1,1,0))</f>
        <v/>
      </c>
      <c r="AH834">
        <f>IF($AG834=1,SUMPRODUCT(--($AK$2:$AK$6001&lt;$AK834))+1,"")</f>
        <v/>
      </c>
      <c r="AI834">
        <f>IF($C834="","",IF(OR($N834=TRUE(),$N834="TRUE"),1,0))</f>
        <v/>
      </c>
      <c r="AJ834">
        <f>IF($C834="","",IF($T834="Yes",1,0))</f>
        <v/>
      </c>
      <c r="AK834">
        <f>IF($AG834=1,IFERROR(IF(VALUE($C834)&lt;100000000,VALUE($C834),1000000000),IFERROR(IF(VALUE(MID($C834,2,20))&lt;100000000,VALUE(MID($C834,2,20)),1000000000),1000000000))+ROW()/100000,"")</f>
        <v/>
      </c>
    </row>
    <row r="835">
      <c r="D835" s="11" t="n"/>
      <c r="K835" s="7">
        <f>IF($C835="","",J835*W835/100)</f>
        <v/>
      </c>
      <c r="Q835" s="7" t="n"/>
      <c r="R835" s="7" t="n"/>
      <c r="U835">
        <f>IF($C835="","",IF($AJ835=1,0,IF($AI835=1,Settings!$C$6,Settings!$C$7))*100)</f>
        <v/>
      </c>
      <c r="V835" s="7">
        <f>IF($C835="","",R835*U835/100)</f>
        <v/>
      </c>
      <c r="W835" s="7">
        <f>IF($C835="","",R835-V835)</f>
        <v/>
      </c>
      <c r="X835" s="7">
        <f>IF($C835="","",W835-K835)</f>
        <v/>
      </c>
      <c r="AB835" s="7" t="n"/>
      <c r="AE835" s="11" t="n"/>
      <c r="AG835">
        <f>IF($C835="","",IF(COUNTIF($C$2:$C835,$C835)=1,1,0))</f>
        <v/>
      </c>
      <c r="AH835">
        <f>IF($AG835=1,SUMPRODUCT(--($AK$2:$AK$6001&lt;$AK835))+1,"")</f>
        <v/>
      </c>
      <c r="AI835">
        <f>IF($C835="","",IF(OR($N835=TRUE(),$N835="TRUE"),1,0))</f>
        <v/>
      </c>
      <c r="AJ835">
        <f>IF($C835="","",IF($T835="Yes",1,0))</f>
        <v/>
      </c>
      <c r="AK835">
        <f>IF($AG835=1,IFERROR(IF(VALUE($C835)&lt;100000000,VALUE($C835),1000000000),IFERROR(IF(VALUE(MID($C835,2,20))&lt;100000000,VALUE(MID($C835,2,20)),1000000000),1000000000))+ROW()/100000,"")</f>
        <v/>
      </c>
    </row>
    <row r="836">
      <c r="D836" s="11" t="n"/>
      <c r="K836" s="7">
        <f>IF($C836="","",J836*W836/100)</f>
        <v/>
      </c>
      <c r="Q836" s="7" t="n"/>
      <c r="R836" s="7" t="n"/>
      <c r="U836">
        <f>IF($C836="","",IF($AJ836=1,0,IF($AI836=1,Settings!$C$6,Settings!$C$7))*100)</f>
        <v/>
      </c>
      <c r="V836" s="7">
        <f>IF($C836="","",R836*U836/100)</f>
        <v/>
      </c>
      <c r="W836" s="7">
        <f>IF($C836="","",R836-V836)</f>
        <v/>
      </c>
      <c r="X836" s="7">
        <f>IF($C836="","",W836-K836)</f>
        <v/>
      </c>
      <c r="AB836" s="7" t="n"/>
      <c r="AE836" s="11" t="n"/>
      <c r="AG836">
        <f>IF($C836="","",IF(COUNTIF($C$2:$C836,$C836)=1,1,0))</f>
        <v/>
      </c>
      <c r="AH836">
        <f>IF($AG836=1,SUMPRODUCT(--($AK$2:$AK$6001&lt;$AK836))+1,"")</f>
        <v/>
      </c>
      <c r="AI836">
        <f>IF($C836="","",IF(OR($N836=TRUE(),$N836="TRUE"),1,0))</f>
        <v/>
      </c>
      <c r="AJ836">
        <f>IF($C836="","",IF($T836="Yes",1,0))</f>
        <v/>
      </c>
      <c r="AK836">
        <f>IF($AG836=1,IFERROR(IF(VALUE($C836)&lt;100000000,VALUE($C836),1000000000),IFERROR(IF(VALUE(MID($C836,2,20))&lt;100000000,VALUE(MID($C836,2,20)),1000000000),1000000000))+ROW()/100000,"")</f>
        <v/>
      </c>
    </row>
    <row r="837">
      <c r="D837" s="11" t="n"/>
      <c r="K837" s="7">
        <f>IF($C837="","",J837*W837/100)</f>
        <v/>
      </c>
      <c r="Q837" s="7" t="n"/>
      <c r="R837" s="7" t="n"/>
      <c r="U837">
        <f>IF($C837="","",IF($AJ837=1,0,IF($AI837=1,Settings!$C$6,Settings!$C$7))*100)</f>
        <v/>
      </c>
      <c r="V837" s="7">
        <f>IF($C837="","",R837*U837/100)</f>
        <v/>
      </c>
      <c r="W837" s="7">
        <f>IF($C837="","",R837-V837)</f>
        <v/>
      </c>
      <c r="X837" s="7">
        <f>IF($C837="","",W837-K837)</f>
        <v/>
      </c>
      <c r="AB837" s="7" t="n"/>
      <c r="AE837" s="11" t="n"/>
      <c r="AG837">
        <f>IF($C837="","",IF(COUNTIF($C$2:$C837,$C837)=1,1,0))</f>
        <v/>
      </c>
      <c r="AH837">
        <f>IF($AG837=1,SUMPRODUCT(--($AK$2:$AK$6001&lt;$AK837))+1,"")</f>
        <v/>
      </c>
      <c r="AI837">
        <f>IF($C837="","",IF(OR($N837=TRUE(),$N837="TRUE"),1,0))</f>
        <v/>
      </c>
      <c r="AJ837">
        <f>IF($C837="","",IF($T837="Yes",1,0))</f>
        <v/>
      </c>
      <c r="AK837">
        <f>IF($AG837=1,IFERROR(IF(VALUE($C837)&lt;100000000,VALUE($C837),1000000000),IFERROR(IF(VALUE(MID($C837,2,20))&lt;100000000,VALUE(MID($C837,2,20)),1000000000),1000000000))+ROW()/100000,"")</f>
        <v/>
      </c>
    </row>
    <row r="838">
      <c r="D838" s="11" t="n"/>
      <c r="K838" s="7">
        <f>IF($C838="","",J838*W838/100)</f>
        <v/>
      </c>
      <c r="Q838" s="7" t="n"/>
      <c r="R838" s="7" t="n"/>
      <c r="U838">
        <f>IF($C838="","",IF($AJ838=1,0,IF($AI838=1,Settings!$C$6,Settings!$C$7))*100)</f>
        <v/>
      </c>
      <c r="V838" s="7">
        <f>IF($C838="","",R838*U838/100)</f>
        <v/>
      </c>
      <c r="W838" s="7">
        <f>IF($C838="","",R838-V838)</f>
        <v/>
      </c>
      <c r="X838" s="7">
        <f>IF($C838="","",W838-K838)</f>
        <v/>
      </c>
      <c r="AB838" s="7" t="n"/>
      <c r="AE838" s="11" t="n"/>
      <c r="AG838">
        <f>IF($C838="","",IF(COUNTIF($C$2:$C838,$C838)=1,1,0))</f>
        <v/>
      </c>
      <c r="AH838">
        <f>IF($AG838=1,SUMPRODUCT(--($AK$2:$AK$6001&lt;$AK838))+1,"")</f>
        <v/>
      </c>
      <c r="AI838">
        <f>IF($C838="","",IF(OR($N838=TRUE(),$N838="TRUE"),1,0))</f>
        <v/>
      </c>
      <c r="AJ838">
        <f>IF($C838="","",IF($T838="Yes",1,0))</f>
        <v/>
      </c>
      <c r="AK838">
        <f>IF($AG838=1,IFERROR(IF(VALUE($C838)&lt;100000000,VALUE($C838),1000000000),IFERROR(IF(VALUE(MID($C838,2,20))&lt;100000000,VALUE(MID($C838,2,20)),1000000000),1000000000))+ROW()/100000,"")</f>
        <v/>
      </c>
    </row>
    <row r="839">
      <c r="D839" s="11" t="n"/>
      <c r="K839" s="7">
        <f>IF($C839="","",J839*W839/100)</f>
        <v/>
      </c>
      <c r="Q839" s="7" t="n"/>
      <c r="R839" s="7" t="n"/>
      <c r="U839">
        <f>IF($C839="","",IF($AJ839=1,0,IF($AI839=1,Settings!$C$6,Settings!$C$7))*100)</f>
        <v/>
      </c>
      <c r="V839" s="7">
        <f>IF($C839="","",R839*U839/100)</f>
        <v/>
      </c>
      <c r="W839" s="7">
        <f>IF($C839="","",R839-V839)</f>
        <v/>
      </c>
      <c r="X839" s="7">
        <f>IF($C839="","",W839-K839)</f>
        <v/>
      </c>
      <c r="AB839" s="7" t="n"/>
      <c r="AE839" s="11" t="n"/>
      <c r="AG839">
        <f>IF($C839="","",IF(COUNTIF($C$2:$C839,$C839)=1,1,0))</f>
        <v/>
      </c>
      <c r="AH839">
        <f>IF($AG839=1,SUMPRODUCT(--($AK$2:$AK$6001&lt;$AK839))+1,"")</f>
        <v/>
      </c>
      <c r="AI839">
        <f>IF($C839="","",IF(OR($N839=TRUE(),$N839="TRUE"),1,0))</f>
        <v/>
      </c>
      <c r="AJ839">
        <f>IF($C839="","",IF($T839="Yes",1,0))</f>
        <v/>
      </c>
      <c r="AK839">
        <f>IF($AG839=1,IFERROR(IF(VALUE($C839)&lt;100000000,VALUE($C839),1000000000),IFERROR(IF(VALUE(MID($C839,2,20))&lt;100000000,VALUE(MID($C839,2,20)),1000000000),1000000000))+ROW()/100000,"")</f>
        <v/>
      </c>
    </row>
    <row r="840">
      <c r="D840" s="11" t="n"/>
      <c r="K840" s="7">
        <f>IF($C840="","",J840*W840/100)</f>
        <v/>
      </c>
      <c r="Q840" s="7" t="n"/>
      <c r="R840" s="7" t="n"/>
      <c r="U840">
        <f>IF($C840="","",IF($AJ840=1,0,IF($AI840=1,Settings!$C$6,Settings!$C$7))*100)</f>
        <v/>
      </c>
      <c r="V840" s="7">
        <f>IF($C840="","",R840*U840/100)</f>
        <v/>
      </c>
      <c r="W840" s="7">
        <f>IF($C840="","",R840-V840)</f>
        <v/>
      </c>
      <c r="X840" s="7">
        <f>IF($C840="","",W840-K840)</f>
        <v/>
      </c>
      <c r="AB840" s="7" t="n"/>
      <c r="AE840" s="11" t="n"/>
      <c r="AG840">
        <f>IF($C840="","",IF(COUNTIF($C$2:$C840,$C840)=1,1,0))</f>
        <v/>
      </c>
      <c r="AH840">
        <f>IF($AG840=1,SUMPRODUCT(--($AK$2:$AK$6001&lt;$AK840))+1,"")</f>
        <v/>
      </c>
      <c r="AI840">
        <f>IF($C840="","",IF(OR($N840=TRUE(),$N840="TRUE"),1,0))</f>
        <v/>
      </c>
      <c r="AJ840">
        <f>IF($C840="","",IF($T840="Yes",1,0))</f>
        <v/>
      </c>
      <c r="AK840">
        <f>IF($AG840=1,IFERROR(IF(VALUE($C840)&lt;100000000,VALUE($C840),1000000000),IFERROR(IF(VALUE(MID($C840,2,20))&lt;100000000,VALUE(MID($C840,2,20)),1000000000),1000000000))+ROW()/100000,"")</f>
        <v/>
      </c>
    </row>
    <row r="841">
      <c r="D841" s="11" t="n"/>
      <c r="K841" s="7">
        <f>IF($C841="","",J841*W841/100)</f>
        <v/>
      </c>
      <c r="Q841" s="7" t="n"/>
      <c r="R841" s="7" t="n"/>
      <c r="U841">
        <f>IF($C841="","",IF($AJ841=1,0,IF($AI841=1,Settings!$C$6,Settings!$C$7))*100)</f>
        <v/>
      </c>
      <c r="V841" s="7">
        <f>IF($C841="","",R841*U841/100)</f>
        <v/>
      </c>
      <c r="W841" s="7">
        <f>IF($C841="","",R841-V841)</f>
        <v/>
      </c>
      <c r="X841" s="7">
        <f>IF($C841="","",W841-K841)</f>
        <v/>
      </c>
      <c r="AB841" s="7" t="n"/>
      <c r="AE841" s="11" t="n"/>
      <c r="AG841">
        <f>IF($C841="","",IF(COUNTIF($C$2:$C841,$C841)=1,1,0))</f>
        <v/>
      </c>
      <c r="AH841">
        <f>IF($AG841=1,SUMPRODUCT(--($AK$2:$AK$6001&lt;$AK841))+1,"")</f>
        <v/>
      </c>
      <c r="AI841">
        <f>IF($C841="","",IF(OR($N841=TRUE(),$N841="TRUE"),1,0))</f>
        <v/>
      </c>
      <c r="AJ841">
        <f>IF($C841="","",IF($T841="Yes",1,0))</f>
        <v/>
      </c>
      <c r="AK841">
        <f>IF($AG841=1,IFERROR(IF(VALUE($C841)&lt;100000000,VALUE($C841),1000000000),IFERROR(IF(VALUE(MID($C841,2,20))&lt;100000000,VALUE(MID($C841,2,20)),1000000000),1000000000))+ROW()/100000,"")</f>
        <v/>
      </c>
    </row>
    <row r="842">
      <c r="D842" s="11" t="n"/>
      <c r="K842" s="7">
        <f>IF($C842="","",J842*W842/100)</f>
        <v/>
      </c>
      <c r="Q842" s="7" t="n"/>
      <c r="R842" s="7" t="n"/>
      <c r="U842">
        <f>IF($C842="","",IF($AJ842=1,0,IF($AI842=1,Settings!$C$6,Settings!$C$7))*100)</f>
        <v/>
      </c>
      <c r="V842" s="7">
        <f>IF($C842="","",R842*U842/100)</f>
        <v/>
      </c>
      <c r="W842" s="7">
        <f>IF($C842="","",R842-V842)</f>
        <v/>
      </c>
      <c r="X842" s="7">
        <f>IF($C842="","",W842-K842)</f>
        <v/>
      </c>
      <c r="AB842" s="7" t="n"/>
      <c r="AE842" s="11" t="n"/>
      <c r="AG842">
        <f>IF($C842="","",IF(COUNTIF($C$2:$C842,$C842)=1,1,0))</f>
        <v/>
      </c>
      <c r="AH842">
        <f>IF($AG842=1,SUMPRODUCT(--($AK$2:$AK$6001&lt;$AK842))+1,"")</f>
        <v/>
      </c>
      <c r="AI842">
        <f>IF($C842="","",IF(OR($N842=TRUE(),$N842="TRUE"),1,0))</f>
        <v/>
      </c>
      <c r="AJ842">
        <f>IF($C842="","",IF($T842="Yes",1,0))</f>
        <v/>
      </c>
      <c r="AK842">
        <f>IF($AG842=1,IFERROR(IF(VALUE($C842)&lt;100000000,VALUE($C842),1000000000),IFERROR(IF(VALUE(MID($C842,2,20))&lt;100000000,VALUE(MID($C842,2,20)),1000000000),1000000000))+ROW()/100000,"")</f>
        <v/>
      </c>
    </row>
    <row r="843">
      <c r="D843" s="11" t="n"/>
      <c r="K843" s="7">
        <f>IF($C843="","",J843*W843/100)</f>
        <v/>
      </c>
      <c r="Q843" s="7" t="n"/>
      <c r="R843" s="7" t="n"/>
      <c r="U843">
        <f>IF($C843="","",IF($AJ843=1,0,IF($AI843=1,Settings!$C$6,Settings!$C$7))*100)</f>
        <v/>
      </c>
      <c r="V843" s="7">
        <f>IF($C843="","",R843*U843/100)</f>
        <v/>
      </c>
      <c r="W843" s="7">
        <f>IF($C843="","",R843-V843)</f>
        <v/>
      </c>
      <c r="X843" s="7">
        <f>IF($C843="","",W843-K843)</f>
        <v/>
      </c>
      <c r="AB843" s="7" t="n"/>
      <c r="AE843" s="11" t="n"/>
      <c r="AG843">
        <f>IF($C843="","",IF(COUNTIF($C$2:$C843,$C843)=1,1,0))</f>
        <v/>
      </c>
      <c r="AH843">
        <f>IF($AG843=1,SUMPRODUCT(--($AK$2:$AK$6001&lt;$AK843))+1,"")</f>
        <v/>
      </c>
      <c r="AI843">
        <f>IF($C843="","",IF(OR($N843=TRUE(),$N843="TRUE"),1,0))</f>
        <v/>
      </c>
      <c r="AJ843">
        <f>IF($C843="","",IF($T843="Yes",1,0))</f>
        <v/>
      </c>
      <c r="AK843">
        <f>IF($AG843=1,IFERROR(IF(VALUE($C843)&lt;100000000,VALUE($C843),1000000000),IFERROR(IF(VALUE(MID($C843,2,20))&lt;100000000,VALUE(MID($C843,2,20)),1000000000),1000000000))+ROW()/100000,"")</f>
        <v/>
      </c>
    </row>
    <row r="844">
      <c r="D844" s="11" t="n"/>
      <c r="K844" s="7">
        <f>IF($C844="","",J844*W844/100)</f>
        <v/>
      </c>
      <c r="Q844" s="7" t="n"/>
      <c r="R844" s="7" t="n"/>
      <c r="U844">
        <f>IF($C844="","",IF($AJ844=1,0,IF($AI844=1,Settings!$C$6,Settings!$C$7))*100)</f>
        <v/>
      </c>
      <c r="V844" s="7">
        <f>IF($C844="","",R844*U844/100)</f>
        <v/>
      </c>
      <c r="W844" s="7">
        <f>IF($C844="","",R844-V844)</f>
        <v/>
      </c>
      <c r="X844" s="7">
        <f>IF($C844="","",W844-K844)</f>
        <v/>
      </c>
      <c r="AB844" s="7" t="n"/>
      <c r="AE844" s="11" t="n"/>
      <c r="AG844">
        <f>IF($C844="","",IF(COUNTIF($C$2:$C844,$C844)=1,1,0))</f>
        <v/>
      </c>
      <c r="AH844">
        <f>IF($AG844=1,SUMPRODUCT(--($AK$2:$AK$6001&lt;$AK844))+1,"")</f>
        <v/>
      </c>
      <c r="AI844">
        <f>IF($C844="","",IF(OR($N844=TRUE(),$N844="TRUE"),1,0))</f>
        <v/>
      </c>
      <c r="AJ844">
        <f>IF($C844="","",IF($T844="Yes",1,0))</f>
        <v/>
      </c>
      <c r="AK844">
        <f>IF($AG844=1,IFERROR(IF(VALUE($C844)&lt;100000000,VALUE($C844),1000000000),IFERROR(IF(VALUE(MID($C844,2,20))&lt;100000000,VALUE(MID($C844,2,20)),1000000000),1000000000))+ROW()/100000,"")</f>
        <v/>
      </c>
    </row>
    <row r="845">
      <c r="D845" s="11" t="n"/>
      <c r="K845" s="7">
        <f>IF($C845="","",J845*W845/100)</f>
        <v/>
      </c>
      <c r="Q845" s="7" t="n"/>
      <c r="R845" s="7" t="n"/>
      <c r="U845">
        <f>IF($C845="","",IF($AJ845=1,0,IF($AI845=1,Settings!$C$6,Settings!$C$7))*100)</f>
        <v/>
      </c>
      <c r="V845" s="7">
        <f>IF($C845="","",R845*U845/100)</f>
        <v/>
      </c>
      <c r="W845" s="7">
        <f>IF($C845="","",R845-V845)</f>
        <v/>
      </c>
      <c r="X845" s="7">
        <f>IF($C845="","",W845-K845)</f>
        <v/>
      </c>
      <c r="AB845" s="7" t="n"/>
      <c r="AE845" s="11" t="n"/>
      <c r="AG845">
        <f>IF($C845="","",IF(COUNTIF($C$2:$C845,$C845)=1,1,0))</f>
        <v/>
      </c>
      <c r="AH845">
        <f>IF($AG845=1,SUMPRODUCT(--($AK$2:$AK$6001&lt;$AK845))+1,"")</f>
        <v/>
      </c>
      <c r="AI845">
        <f>IF($C845="","",IF(OR($N845=TRUE(),$N845="TRUE"),1,0))</f>
        <v/>
      </c>
      <c r="AJ845">
        <f>IF($C845="","",IF($T845="Yes",1,0))</f>
        <v/>
      </c>
      <c r="AK845">
        <f>IF($AG845=1,IFERROR(IF(VALUE($C845)&lt;100000000,VALUE($C845),1000000000),IFERROR(IF(VALUE(MID($C845,2,20))&lt;100000000,VALUE(MID($C845,2,20)),1000000000),1000000000))+ROW()/100000,"")</f>
        <v/>
      </c>
    </row>
    <row r="846">
      <c r="D846" s="11" t="n"/>
      <c r="K846" s="7">
        <f>IF($C846="","",J846*W846/100)</f>
        <v/>
      </c>
      <c r="Q846" s="7" t="n"/>
      <c r="R846" s="7" t="n"/>
      <c r="U846">
        <f>IF($C846="","",IF($AJ846=1,0,IF($AI846=1,Settings!$C$6,Settings!$C$7))*100)</f>
        <v/>
      </c>
      <c r="V846" s="7">
        <f>IF($C846="","",R846*U846/100)</f>
        <v/>
      </c>
      <c r="W846" s="7">
        <f>IF($C846="","",R846-V846)</f>
        <v/>
      </c>
      <c r="X846" s="7">
        <f>IF($C846="","",W846-K846)</f>
        <v/>
      </c>
      <c r="AB846" s="7" t="n"/>
      <c r="AE846" s="11" t="n"/>
      <c r="AG846">
        <f>IF($C846="","",IF(COUNTIF($C$2:$C846,$C846)=1,1,0))</f>
        <v/>
      </c>
      <c r="AH846">
        <f>IF($AG846=1,SUMPRODUCT(--($AK$2:$AK$6001&lt;$AK846))+1,"")</f>
        <v/>
      </c>
      <c r="AI846">
        <f>IF($C846="","",IF(OR($N846=TRUE(),$N846="TRUE"),1,0))</f>
        <v/>
      </c>
      <c r="AJ846">
        <f>IF($C846="","",IF($T846="Yes",1,0))</f>
        <v/>
      </c>
      <c r="AK846">
        <f>IF($AG846=1,IFERROR(IF(VALUE($C846)&lt;100000000,VALUE($C846),1000000000),IFERROR(IF(VALUE(MID($C846,2,20))&lt;100000000,VALUE(MID($C846,2,20)),1000000000),1000000000))+ROW()/100000,"")</f>
        <v/>
      </c>
    </row>
    <row r="847">
      <c r="D847" s="11" t="n"/>
      <c r="K847" s="7">
        <f>IF($C847="","",J847*W847/100)</f>
        <v/>
      </c>
      <c r="Q847" s="7" t="n"/>
      <c r="R847" s="7" t="n"/>
      <c r="U847">
        <f>IF($C847="","",IF($AJ847=1,0,IF($AI847=1,Settings!$C$6,Settings!$C$7))*100)</f>
        <v/>
      </c>
      <c r="V847" s="7">
        <f>IF($C847="","",R847*U847/100)</f>
        <v/>
      </c>
      <c r="W847" s="7">
        <f>IF($C847="","",R847-V847)</f>
        <v/>
      </c>
      <c r="X847" s="7">
        <f>IF($C847="","",W847-K847)</f>
        <v/>
      </c>
      <c r="AB847" s="7" t="n"/>
      <c r="AE847" s="11" t="n"/>
      <c r="AG847">
        <f>IF($C847="","",IF(COUNTIF($C$2:$C847,$C847)=1,1,0))</f>
        <v/>
      </c>
      <c r="AH847">
        <f>IF($AG847=1,SUMPRODUCT(--($AK$2:$AK$6001&lt;$AK847))+1,"")</f>
        <v/>
      </c>
      <c r="AI847">
        <f>IF($C847="","",IF(OR($N847=TRUE(),$N847="TRUE"),1,0))</f>
        <v/>
      </c>
      <c r="AJ847">
        <f>IF($C847="","",IF($T847="Yes",1,0))</f>
        <v/>
      </c>
      <c r="AK847">
        <f>IF($AG847=1,IFERROR(IF(VALUE($C847)&lt;100000000,VALUE($C847),1000000000),IFERROR(IF(VALUE(MID($C847,2,20))&lt;100000000,VALUE(MID($C847,2,20)),1000000000),1000000000))+ROW()/100000,"")</f>
        <v/>
      </c>
    </row>
    <row r="848">
      <c r="D848" s="11" t="n"/>
      <c r="K848" s="7">
        <f>IF($C848="","",J848*W848/100)</f>
        <v/>
      </c>
      <c r="Q848" s="7" t="n"/>
      <c r="R848" s="7" t="n"/>
      <c r="U848">
        <f>IF($C848="","",IF($AJ848=1,0,IF($AI848=1,Settings!$C$6,Settings!$C$7))*100)</f>
        <v/>
      </c>
      <c r="V848" s="7">
        <f>IF($C848="","",R848*U848/100)</f>
        <v/>
      </c>
      <c r="W848" s="7">
        <f>IF($C848="","",R848-V848)</f>
        <v/>
      </c>
      <c r="X848" s="7">
        <f>IF($C848="","",W848-K848)</f>
        <v/>
      </c>
      <c r="AB848" s="7" t="n"/>
      <c r="AE848" s="11" t="n"/>
      <c r="AG848">
        <f>IF($C848="","",IF(COUNTIF($C$2:$C848,$C848)=1,1,0))</f>
        <v/>
      </c>
      <c r="AH848">
        <f>IF($AG848=1,SUMPRODUCT(--($AK$2:$AK$6001&lt;$AK848))+1,"")</f>
        <v/>
      </c>
      <c r="AI848">
        <f>IF($C848="","",IF(OR($N848=TRUE(),$N848="TRUE"),1,0))</f>
        <v/>
      </c>
      <c r="AJ848">
        <f>IF($C848="","",IF($T848="Yes",1,0))</f>
        <v/>
      </c>
      <c r="AK848">
        <f>IF($AG848=1,IFERROR(IF(VALUE($C848)&lt;100000000,VALUE($C848),1000000000),IFERROR(IF(VALUE(MID($C848,2,20))&lt;100000000,VALUE(MID($C848,2,20)),1000000000),1000000000))+ROW()/100000,"")</f>
        <v/>
      </c>
    </row>
    <row r="849">
      <c r="D849" s="11" t="n"/>
      <c r="K849" s="7">
        <f>IF($C849="","",J849*W849/100)</f>
        <v/>
      </c>
      <c r="Q849" s="7" t="n"/>
      <c r="R849" s="7" t="n"/>
      <c r="U849">
        <f>IF($C849="","",IF($AJ849=1,0,IF($AI849=1,Settings!$C$6,Settings!$C$7))*100)</f>
        <v/>
      </c>
      <c r="V849" s="7">
        <f>IF($C849="","",R849*U849/100)</f>
        <v/>
      </c>
      <c r="W849" s="7">
        <f>IF($C849="","",R849-V849)</f>
        <v/>
      </c>
      <c r="X849" s="7">
        <f>IF($C849="","",W849-K849)</f>
        <v/>
      </c>
      <c r="AB849" s="7" t="n"/>
      <c r="AE849" s="11" t="n"/>
      <c r="AG849">
        <f>IF($C849="","",IF(COUNTIF($C$2:$C849,$C849)=1,1,0))</f>
        <v/>
      </c>
      <c r="AH849">
        <f>IF($AG849=1,SUMPRODUCT(--($AK$2:$AK$6001&lt;$AK849))+1,"")</f>
        <v/>
      </c>
      <c r="AI849">
        <f>IF($C849="","",IF(OR($N849=TRUE(),$N849="TRUE"),1,0))</f>
        <v/>
      </c>
      <c r="AJ849">
        <f>IF($C849="","",IF($T849="Yes",1,0))</f>
        <v/>
      </c>
      <c r="AK849">
        <f>IF($AG849=1,IFERROR(IF(VALUE($C849)&lt;100000000,VALUE($C849),1000000000),IFERROR(IF(VALUE(MID($C849,2,20))&lt;100000000,VALUE(MID($C849,2,20)),1000000000),1000000000))+ROW()/100000,"")</f>
        <v/>
      </c>
    </row>
    <row r="850">
      <c r="D850" s="11" t="n"/>
      <c r="K850" s="7">
        <f>IF($C850="","",J850*W850/100)</f>
        <v/>
      </c>
      <c r="Q850" s="7" t="n"/>
      <c r="R850" s="7" t="n"/>
      <c r="U850">
        <f>IF($C850="","",IF($AJ850=1,0,IF($AI850=1,Settings!$C$6,Settings!$C$7))*100)</f>
        <v/>
      </c>
      <c r="V850" s="7">
        <f>IF($C850="","",R850*U850/100)</f>
        <v/>
      </c>
      <c r="W850" s="7">
        <f>IF($C850="","",R850-V850)</f>
        <v/>
      </c>
      <c r="X850" s="7">
        <f>IF($C850="","",W850-K850)</f>
        <v/>
      </c>
      <c r="AB850" s="7" t="n"/>
      <c r="AE850" s="11" t="n"/>
      <c r="AG850">
        <f>IF($C850="","",IF(COUNTIF($C$2:$C850,$C850)=1,1,0))</f>
        <v/>
      </c>
      <c r="AH850">
        <f>IF($AG850=1,SUMPRODUCT(--($AK$2:$AK$6001&lt;$AK850))+1,"")</f>
        <v/>
      </c>
      <c r="AI850">
        <f>IF($C850="","",IF(OR($N850=TRUE(),$N850="TRUE"),1,0))</f>
        <v/>
      </c>
      <c r="AJ850">
        <f>IF($C850="","",IF($T850="Yes",1,0))</f>
        <v/>
      </c>
      <c r="AK850">
        <f>IF($AG850=1,IFERROR(IF(VALUE($C850)&lt;100000000,VALUE($C850),1000000000),IFERROR(IF(VALUE(MID($C850,2,20))&lt;100000000,VALUE(MID($C850,2,20)),1000000000),1000000000))+ROW()/100000,"")</f>
        <v/>
      </c>
    </row>
    <row r="851">
      <c r="D851" s="11" t="n"/>
      <c r="K851" s="7">
        <f>IF($C851="","",J851*W851/100)</f>
        <v/>
      </c>
      <c r="Q851" s="7" t="n"/>
      <c r="R851" s="7" t="n"/>
      <c r="U851">
        <f>IF($C851="","",IF($AJ851=1,0,IF($AI851=1,Settings!$C$6,Settings!$C$7))*100)</f>
        <v/>
      </c>
      <c r="V851" s="7">
        <f>IF($C851="","",R851*U851/100)</f>
        <v/>
      </c>
      <c r="W851" s="7">
        <f>IF($C851="","",R851-V851)</f>
        <v/>
      </c>
      <c r="X851" s="7">
        <f>IF($C851="","",W851-K851)</f>
        <v/>
      </c>
      <c r="AB851" s="7" t="n"/>
      <c r="AE851" s="11" t="n"/>
      <c r="AG851">
        <f>IF($C851="","",IF(COUNTIF($C$2:$C851,$C851)=1,1,0))</f>
        <v/>
      </c>
      <c r="AH851">
        <f>IF($AG851=1,SUMPRODUCT(--($AK$2:$AK$6001&lt;$AK851))+1,"")</f>
        <v/>
      </c>
      <c r="AI851">
        <f>IF($C851="","",IF(OR($N851=TRUE(),$N851="TRUE"),1,0))</f>
        <v/>
      </c>
      <c r="AJ851">
        <f>IF($C851="","",IF($T851="Yes",1,0))</f>
        <v/>
      </c>
      <c r="AK851">
        <f>IF($AG851=1,IFERROR(IF(VALUE($C851)&lt;100000000,VALUE($C851),1000000000),IFERROR(IF(VALUE(MID($C851,2,20))&lt;100000000,VALUE(MID($C851,2,20)),1000000000),1000000000))+ROW()/100000,"")</f>
        <v/>
      </c>
    </row>
    <row r="852">
      <c r="D852" s="11" t="n"/>
      <c r="K852" s="7">
        <f>IF($C852="","",J852*W852/100)</f>
        <v/>
      </c>
      <c r="Q852" s="7" t="n"/>
      <c r="R852" s="7" t="n"/>
      <c r="U852">
        <f>IF($C852="","",IF($AJ852=1,0,IF($AI852=1,Settings!$C$6,Settings!$C$7))*100)</f>
        <v/>
      </c>
      <c r="V852" s="7">
        <f>IF($C852="","",R852*U852/100)</f>
        <v/>
      </c>
      <c r="W852" s="7">
        <f>IF($C852="","",R852-V852)</f>
        <v/>
      </c>
      <c r="X852" s="7">
        <f>IF($C852="","",W852-K852)</f>
        <v/>
      </c>
      <c r="AB852" s="7" t="n"/>
      <c r="AE852" s="11" t="n"/>
      <c r="AG852">
        <f>IF($C852="","",IF(COUNTIF($C$2:$C852,$C852)=1,1,0))</f>
        <v/>
      </c>
      <c r="AH852">
        <f>IF($AG852=1,SUMPRODUCT(--($AK$2:$AK$6001&lt;$AK852))+1,"")</f>
        <v/>
      </c>
      <c r="AI852">
        <f>IF($C852="","",IF(OR($N852=TRUE(),$N852="TRUE"),1,0))</f>
        <v/>
      </c>
      <c r="AJ852">
        <f>IF($C852="","",IF($T852="Yes",1,0))</f>
        <v/>
      </c>
      <c r="AK852">
        <f>IF($AG852=1,IFERROR(IF(VALUE($C852)&lt;100000000,VALUE($C852),1000000000),IFERROR(IF(VALUE(MID($C852,2,20))&lt;100000000,VALUE(MID($C852,2,20)),1000000000),1000000000))+ROW()/100000,"")</f>
        <v/>
      </c>
    </row>
    <row r="853">
      <c r="D853" s="11" t="n"/>
      <c r="K853" s="7">
        <f>IF($C853="","",J853*W853/100)</f>
        <v/>
      </c>
      <c r="Q853" s="7" t="n"/>
      <c r="R853" s="7" t="n"/>
      <c r="U853">
        <f>IF($C853="","",IF($AJ853=1,0,IF($AI853=1,Settings!$C$6,Settings!$C$7))*100)</f>
        <v/>
      </c>
      <c r="V853" s="7">
        <f>IF($C853="","",R853*U853/100)</f>
        <v/>
      </c>
      <c r="W853" s="7">
        <f>IF($C853="","",R853-V853)</f>
        <v/>
      </c>
      <c r="X853" s="7">
        <f>IF($C853="","",W853-K853)</f>
        <v/>
      </c>
      <c r="AB853" s="7" t="n"/>
      <c r="AE853" s="11" t="n"/>
      <c r="AG853">
        <f>IF($C853="","",IF(COUNTIF($C$2:$C853,$C853)=1,1,0))</f>
        <v/>
      </c>
      <c r="AH853">
        <f>IF($AG853=1,SUMPRODUCT(--($AK$2:$AK$6001&lt;$AK853))+1,"")</f>
        <v/>
      </c>
      <c r="AI853">
        <f>IF($C853="","",IF(OR($N853=TRUE(),$N853="TRUE"),1,0))</f>
        <v/>
      </c>
      <c r="AJ853">
        <f>IF($C853="","",IF($T853="Yes",1,0))</f>
        <v/>
      </c>
      <c r="AK853">
        <f>IF($AG853=1,IFERROR(IF(VALUE($C853)&lt;100000000,VALUE($C853),1000000000),IFERROR(IF(VALUE(MID($C853,2,20))&lt;100000000,VALUE(MID($C853,2,20)),1000000000),1000000000))+ROW()/100000,"")</f>
        <v/>
      </c>
    </row>
    <row r="854">
      <c r="D854" s="11" t="n"/>
      <c r="K854" s="7">
        <f>IF($C854="","",J854*W854/100)</f>
        <v/>
      </c>
      <c r="Q854" s="7" t="n"/>
      <c r="R854" s="7" t="n"/>
      <c r="U854">
        <f>IF($C854="","",IF($AJ854=1,0,IF($AI854=1,Settings!$C$6,Settings!$C$7))*100)</f>
        <v/>
      </c>
      <c r="V854" s="7">
        <f>IF($C854="","",R854*U854/100)</f>
        <v/>
      </c>
      <c r="W854" s="7">
        <f>IF($C854="","",R854-V854)</f>
        <v/>
      </c>
      <c r="X854" s="7">
        <f>IF($C854="","",W854-K854)</f>
        <v/>
      </c>
      <c r="AB854" s="7" t="n"/>
      <c r="AE854" s="11" t="n"/>
      <c r="AG854">
        <f>IF($C854="","",IF(COUNTIF($C$2:$C854,$C854)=1,1,0))</f>
        <v/>
      </c>
      <c r="AH854">
        <f>IF($AG854=1,SUMPRODUCT(--($AK$2:$AK$6001&lt;$AK854))+1,"")</f>
        <v/>
      </c>
      <c r="AI854">
        <f>IF($C854="","",IF(OR($N854=TRUE(),$N854="TRUE"),1,0))</f>
        <v/>
      </c>
      <c r="AJ854">
        <f>IF($C854="","",IF($T854="Yes",1,0))</f>
        <v/>
      </c>
      <c r="AK854">
        <f>IF($AG854=1,IFERROR(IF(VALUE($C854)&lt;100000000,VALUE($C854),1000000000),IFERROR(IF(VALUE(MID($C854,2,20))&lt;100000000,VALUE(MID($C854,2,20)),1000000000),1000000000))+ROW()/100000,"")</f>
        <v/>
      </c>
    </row>
    <row r="855">
      <c r="D855" s="11" t="n"/>
      <c r="K855" s="7">
        <f>IF($C855="","",J855*W855/100)</f>
        <v/>
      </c>
      <c r="Q855" s="7" t="n"/>
      <c r="R855" s="7" t="n"/>
      <c r="U855">
        <f>IF($C855="","",IF($AJ855=1,0,IF($AI855=1,Settings!$C$6,Settings!$C$7))*100)</f>
        <v/>
      </c>
      <c r="V855" s="7">
        <f>IF($C855="","",R855*U855/100)</f>
        <v/>
      </c>
      <c r="W855" s="7">
        <f>IF($C855="","",R855-V855)</f>
        <v/>
      </c>
      <c r="X855" s="7">
        <f>IF($C855="","",W855-K855)</f>
        <v/>
      </c>
      <c r="AB855" s="7" t="n"/>
      <c r="AE855" s="11" t="n"/>
      <c r="AG855">
        <f>IF($C855="","",IF(COUNTIF($C$2:$C855,$C855)=1,1,0))</f>
        <v/>
      </c>
      <c r="AH855">
        <f>IF($AG855=1,SUMPRODUCT(--($AK$2:$AK$6001&lt;$AK855))+1,"")</f>
        <v/>
      </c>
      <c r="AI855">
        <f>IF($C855="","",IF(OR($N855=TRUE(),$N855="TRUE"),1,0))</f>
        <v/>
      </c>
      <c r="AJ855">
        <f>IF($C855="","",IF($T855="Yes",1,0))</f>
        <v/>
      </c>
      <c r="AK855">
        <f>IF($AG855=1,IFERROR(IF(VALUE($C855)&lt;100000000,VALUE($C855),1000000000),IFERROR(IF(VALUE(MID($C855,2,20))&lt;100000000,VALUE(MID($C855,2,20)),1000000000),1000000000))+ROW()/100000,"")</f>
        <v/>
      </c>
    </row>
    <row r="856">
      <c r="D856" s="11" t="n"/>
      <c r="K856" s="7">
        <f>IF($C856="","",J856*W856/100)</f>
        <v/>
      </c>
      <c r="Q856" s="7" t="n"/>
      <c r="R856" s="7" t="n"/>
      <c r="U856">
        <f>IF($C856="","",IF($AJ856=1,0,IF($AI856=1,Settings!$C$6,Settings!$C$7))*100)</f>
        <v/>
      </c>
      <c r="V856" s="7">
        <f>IF($C856="","",R856*U856/100)</f>
        <v/>
      </c>
      <c r="W856" s="7">
        <f>IF($C856="","",R856-V856)</f>
        <v/>
      </c>
      <c r="X856" s="7">
        <f>IF($C856="","",W856-K856)</f>
        <v/>
      </c>
      <c r="AB856" s="7" t="n"/>
      <c r="AE856" s="11" t="n"/>
      <c r="AG856">
        <f>IF($C856="","",IF(COUNTIF($C$2:$C856,$C856)=1,1,0))</f>
        <v/>
      </c>
      <c r="AH856">
        <f>IF($AG856=1,SUMPRODUCT(--($AK$2:$AK$6001&lt;$AK856))+1,"")</f>
        <v/>
      </c>
      <c r="AI856">
        <f>IF($C856="","",IF(OR($N856=TRUE(),$N856="TRUE"),1,0))</f>
        <v/>
      </c>
      <c r="AJ856">
        <f>IF($C856="","",IF($T856="Yes",1,0))</f>
        <v/>
      </c>
      <c r="AK856">
        <f>IF($AG856=1,IFERROR(IF(VALUE($C856)&lt;100000000,VALUE($C856),1000000000),IFERROR(IF(VALUE(MID($C856,2,20))&lt;100000000,VALUE(MID($C856,2,20)),1000000000),1000000000))+ROW()/100000,"")</f>
        <v/>
      </c>
    </row>
    <row r="857">
      <c r="D857" s="11" t="n"/>
      <c r="K857" s="7">
        <f>IF($C857="","",J857*W857/100)</f>
        <v/>
      </c>
      <c r="Q857" s="7" t="n"/>
      <c r="R857" s="7" t="n"/>
      <c r="U857">
        <f>IF($C857="","",IF($AJ857=1,0,IF($AI857=1,Settings!$C$6,Settings!$C$7))*100)</f>
        <v/>
      </c>
      <c r="V857" s="7">
        <f>IF($C857="","",R857*U857/100)</f>
        <v/>
      </c>
      <c r="W857" s="7">
        <f>IF($C857="","",R857-V857)</f>
        <v/>
      </c>
      <c r="X857" s="7">
        <f>IF($C857="","",W857-K857)</f>
        <v/>
      </c>
      <c r="AB857" s="7" t="n"/>
      <c r="AE857" s="11" t="n"/>
      <c r="AG857">
        <f>IF($C857="","",IF(COUNTIF($C$2:$C857,$C857)=1,1,0))</f>
        <v/>
      </c>
      <c r="AH857">
        <f>IF($AG857=1,SUMPRODUCT(--($AK$2:$AK$6001&lt;$AK857))+1,"")</f>
        <v/>
      </c>
      <c r="AI857">
        <f>IF($C857="","",IF(OR($N857=TRUE(),$N857="TRUE"),1,0))</f>
        <v/>
      </c>
      <c r="AJ857">
        <f>IF($C857="","",IF($T857="Yes",1,0))</f>
        <v/>
      </c>
      <c r="AK857">
        <f>IF($AG857=1,IFERROR(IF(VALUE($C857)&lt;100000000,VALUE($C857),1000000000),IFERROR(IF(VALUE(MID($C857,2,20))&lt;100000000,VALUE(MID($C857,2,20)),1000000000),1000000000))+ROW()/100000,"")</f>
        <v/>
      </c>
    </row>
    <row r="858">
      <c r="D858" s="11" t="n"/>
      <c r="K858" s="7">
        <f>IF($C858="","",J858*W858/100)</f>
        <v/>
      </c>
      <c r="Q858" s="7" t="n"/>
      <c r="R858" s="7" t="n"/>
      <c r="U858">
        <f>IF($C858="","",IF($AJ858=1,0,IF($AI858=1,Settings!$C$6,Settings!$C$7))*100)</f>
        <v/>
      </c>
      <c r="V858" s="7">
        <f>IF($C858="","",R858*U858/100)</f>
        <v/>
      </c>
      <c r="W858" s="7">
        <f>IF($C858="","",R858-V858)</f>
        <v/>
      </c>
      <c r="X858" s="7">
        <f>IF($C858="","",W858-K858)</f>
        <v/>
      </c>
      <c r="AB858" s="7" t="n"/>
      <c r="AE858" s="11" t="n"/>
      <c r="AG858">
        <f>IF($C858="","",IF(COUNTIF($C$2:$C858,$C858)=1,1,0))</f>
        <v/>
      </c>
      <c r="AH858">
        <f>IF($AG858=1,SUMPRODUCT(--($AK$2:$AK$6001&lt;$AK858))+1,"")</f>
        <v/>
      </c>
      <c r="AI858">
        <f>IF($C858="","",IF(OR($N858=TRUE(),$N858="TRUE"),1,0))</f>
        <v/>
      </c>
      <c r="AJ858">
        <f>IF($C858="","",IF($T858="Yes",1,0))</f>
        <v/>
      </c>
      <c r="AK858">
        <f>IF($AG858=1,IFERROR(IF(VALUE($C858)&lt;100000000,VALUE($C858),1000000000),IFERROR(IF(VALUE(MID($C858,2,20))&lt;100000000,VALUE(MID($C858,2,20)),1000000000),1000000000))+ROW()/100000,"")</f>
        <v/>
      </c>
    </row>
    <row r="859">
      <c r="D859" s="11" t="n"/>
      <c r="K859" s="7">
        <f>IF($C859="","",J859*W859/100)</f>
        <v/>
      </c>
      <c r="Q859" s="7" t="n"/>
      <c r="R859" s="7" t="n"/>
      <c r="U859">
        <f>IF($C859="","",IF($AJ859=1,0,IF($AI859=1,Settings!$C$6,Settings!$C$7))*100)</f>
        <v/>
      </c>
      <c r="V859" s="7">
        <f>IF($C859="","",R859*U859/100)</f>
        <v/>
      </c>
      <c r="W859" s="7">
        <f>IF($C859="","",R859-V859)</f>
        <v/>
      </c>
      <c r="X859" s="7">
        <f>IF($C859="","",W859-K859)</f>
        <v/>
      </c>
      <c r="AB859" s="7" t="n"/>
      <c r="AE859" s="11" t="n"/>
      <c r="AG859">
        <f>IF($C859="","",IF(COUNTIF($C$2:$C859,$C859)=1,1,0))</f>
        <v/>
      </c>
      <c r="AH859">
        <f>IF($AG859=1,SUMPRODUCT(--($AK$2:$AK$6001&lt;$AK859))+1,"")</f>
        <v/>
      </c>
      <c r="AI859">
        <f>IF($C859="","",IF(OR($N859=TRUE(),$N859="TRUE"),1,0))</f>
        <v/>
      </c>
      <c r="AJ859">
        <f>IF($C859="","",IF($T859="Yes",1,0))</f>
        <v/>
      </c>
      <c r="AK859">
        <f>IF($AG859=1,IFERROR(IF(VALUE($C859)&lt;100000000,VALUE($C859),1000000000),IFERROR(IF(VALUE(MID($C859,2,20))&lt;100000000,VALUE(MID($C859,2,20)),1000000000),1000000000))+ROW()/100000,"")</f>
        <v/>
      </c>
    </row>
    <row r="860">
      <c r="D860" s="11" t="n"/>
      <c r="K860" s="7">
        <f>IF($C860="","",J860*W860/100)</f>
        <v/>
      </c>
      <c r="Q860" s="7" t="n"/>
      <c r="R860" s="7" t="n"/>
      <c r="U860">
        <f>IF($C860="","",IF($AJ860=1,0,IF($AI860=1,Settings!$C$6,Settings!$C$7))*100)</f>
        <v/>
      </c>
      <c r="V860" s="7">
        <f>IF($C860="","",R860*U860/100)</f>
        <v/>
      </c>
      <c r="W860" s="7">
        <f>IF($C860="","",R860-V860)</f>
        <v/>
      </c>
      <c r="X860" s="7">
        <f>IF($C860="","",W860-K860)</f>
        <v/>
      </c>
      <c r="AB860" s="7" t="n"/>
      <c r="AE860" s="11" t="n"/>
      <c r="AG860">
        <f>IF($C860="","",IF(COUNTIF($C$2:$C860,$C860)=1,1,0))</f>
        <v/>
      </c>
      <c r="AH860">
        <f>IF($AG860=1,SUMPRODUCT(--($AK$2:$AK$6001&lt;$AK860))+1,"")</f>
        <v/>
      </c>
      <c r="AI860">
        <f>IF($C860="","",IF(OR($N860=TRUE(),$N860="TRUE"),1,0))</f>
        <v/>
      </c>
      <c r="AJ860">
        <f>IF($C860="","",IF($T860="Yes",1,0))</f>
        <v/>
      </c>
      <c r="AK860">
        <f>IF($AG860=1,IFERROR(IF(VALUE($C860)&lt;100000000,VALUE($C860),1000000000),IFERROR(IF(VALUE(MID($C860,2,20))&lt;100000000,VALUE(MID($C860,2,20)),1000000000),1000000000))+ROW()/100000,"")</f>
        <v/>
      </c>
    </row>
    <row r="861">
      <c r="D861" s="11" t="n"/>
      <c r="K861" s="7">
        <f>IF($C861="","",J861*W861/100)</f>
        <v/>
      </c>
      <c r="Q861" s="7" t="n"/>
      <c r="R861" s="7" t="n"/>
      <c r="U861">
        <f>IF($C861="","",IF($AJ861=1,0,IF($AI861=1,Settings!$C$6,Settings!$C$7))*100)</f>
        <v/>
      </c>
      <c r="V861" s="7">
        <f>IF($C861="","",R861*U861/100)</f>
        <v/>
      </c>
      <c r="W861" s="7">
        <f>IF($C861="","",R861-V861)</f>
        <v/>
      </c>
      <c r="X861" s="7">
        <f>IF($C861="","",W861-K861)</f>
        <v/>
      </c>
      <c r="AB861" s="7" t="n"/>
      <c r="AE861" s="11" t="n"/>
      <c r="AG861">
        <f>IF($C861="","",IF(COUNTIF($C$2:$C861,$C861)=1,1,0))</f>
        <v/>
      </c>
      <c r="AH861">
        <f>IF($AG861=1,SUMPRODUCT(--($AK$2:$AK$6001&lt;$AK861))+1,"")</f>
        <v/>
      </c>
      <c r="AI861">
        <f>IF($C861="","",IF(OR($N861=TRUE(),$N861="TRUE"),1,0))</f>
        <v/>
      </c>
      <c r="AJ861">
        <f>IF($C861="","",IF($T861="Yes",1,0))</f>
        <v/>
      </c>
      <c r="AK861">
        <f>IF($AG861=1,IFERROR(IF(VALUE($C861)&lt;100000000,VALUE($C861),1000000000),IFERROR(IF(VALUE(MID($C861,2,20))&lt;100000000,VALUE(MID($C861,2,20)),1000000000),1000000000))+ROW()/100000,"")</f>
        <v/>
      </c>
    </row>
    <row r="862">
      <c r="D862" s="11" t="n"/>
      <c r="K862" s="7">
        <f>IF($C862="","",J862*W862/100)</f>
        <v/>
      </c>
      <c r="Q862" s="7" t="n"/>
      <c r="R862" s="7" t="n"/>
      <c r="U862">
        <f>IF($C862="","",IF($AJ862=1,0,IF($AI862=1,Settings!$C$6,Settings!$C$7))*100)</f>
        <v/>
      </c>
      <c r="V862" s="7">
        <f>IF($C862="","",R862*U862/100)</f>
        <v/>
      </c>
      <c r="W862" s="7">
        <f>IF($C862="","",R862-V862)</f>
        <v/>
      </c>
      <c r="X862" s="7">
        <f>IF($C862="","",W862-K862)</f>
        <v/>
      </c>
      <c r="AB862" s="7" t="n"/>
      <c r="AE862" s="11" t="n"/>
      <c r="AG862">
        <f>IF($C862="","",IF(COUNTIF($C$2:$C862,$C862)=1,1,0))</f>
        <v/>
      </c>
      <c r="AH862">
        <f>IF($AG862=1,SUMPRODUCT(--($AK$2:$AK$6001&lt;$AK862))+1,"")</f>
        <v/>
      </c>
      <c r="AI862">
        <f>IF($C862="","",IF(OR($N862=TRUE(),$N862="TRUE"),1,0))</f>
        <v/>
      </c>
      <c r="AJ862">
        <f>IF($C862="","",IF($T862="Yes",1,0))</f>
        <v/>
      </c>
      <c r="AK862">
        <f>IF($AG862=1,IFERROR(IF(VALUE($C862)&lt;100000000,VALUE($C862),1000000000),IFERROR(IF(VALUE(MID($C862,2,20))&lt;100000000,VALUE(MID($C862,2,20)),1000000000),1000000000))+ROW()/100000,"")</f>
        <v/>
      </c>
    </row>
    <row r="863">
      <c r="D863" s="11" t="n"/>
      <c r="K863" s="7">
        <f>IF($C863="","",J863*W863/100)</f>
        <v/>
      </c>
      <c r="Q863" s="7" t="n"/>
      <c r="R863" s="7" t="n"/>
      <c r="U863">
        <f>IF($C863="","",IF($AJ863=1,0,IF($AI863=1,Settings!$C$6,Settings!$C$7))*100)</f>
        <v/>
      </c>
      <c r="V863" s="7">
        <f>IF($C863="","",R863*U863/100)</f>
        <v/>
      </c>
      <c r="W863" s="7">
        <f>IF($C863="","",R863-V863)</f>
        <v/>
      </c>
      <c r="X863" s="7">
        <f>IF($C863="","",W863-K863)</f>
        <v/>
      </c>
      <c r="AB863" s="7" t="n"/>
      <c r="AE863" s="11" t="n"/>
      <c r="AG863">
        <f>IF($C863="","",IF(COUNTIF($C$2:$C863,$C863)=1,1,0))</f>
        <v/>
      </c>
      <c r="AH863">
        <f>IF($AG863=1,SUMPRODUCT(--($AK$2:$AK$6001&lt;$AK863))+1,"")</f>
        <v/>
      </c>
      <c r="AI863">
        <f>IF($C863="","",IF(OR($N863=TRUE(),$N863="TRUE"),1,0))</f>
        <v/>
      </c>
      <c r="AJ863">
        <f>IF($C863="","",IF($T863="Yes",1,0))</f>
        <v/>
      </c>
      <c r="AK863">
        <f>IF($AG863=1,IFERROR(IF(VALUE($C863)&lt;100000000,VALUE($C863),1000000000),IFERROR(IF(VALUE(MID($C863,2,20))&lt;100000000,VALUE(MID($C863,2,20)),1000000000),1000000000))+ROW()/100000,"")</f>
        <v/>
      </c>
    </row>
    <row r="864">
      <c r="D864" s="11" t="n"/>
      <c r="K864" s="7">
        <f>IF($C864="","",J864*W864/100)</f>
        <v/>
      </c>
      <c r="Q864" s="7" t="n"/>
      <c r="R864" s="7" t="n"/>
      <c r="U864">
        <f>IF($C864="","",IF($AJ864=1,0,IF($AI864=1,Settings!$C$6,Settings!$C$7))*100)</f>
        <v/>
      </c>
      <c r="V864" s="7">
        <f>IF($C864="","",R864*U864/100)</f>
        <v/>
      </c>
      <c r="W864" s="7">
        <f>IF($C864="","",R864-V864)</f>
        <v/>
      </c>
      <c r="X864" s="7">
        <f>IF($C864="","",W864-K864)</f>
        <v/>
      </c>
      <c r="AB864" s="7" t="n"/>
      <c r="AE864" s="11" t="n"/>
      <c r="AG864">
        <f>IF($C864="","",IF(COUNTIF($C$2:$C864,$C864)=1,1,0))</f>
        <v/>
      </c>
      <c r="AH864">
        <f>IF($AG864=1,SUMPRODUCT(--($AK$2:$AK$6001&lt;$AK864))+1,"")</f>
        <v/>
      </c>
      <c r="AI864">
        <f>IF($C864="","",IF(OR($N864=TRUE(),$N864="TRUE"),1,0))</f>
        <v/>
      </c>
      <c r="AJ864">
        <f>IF($C864="","",IF($T864="Yes",1,0))</f>
        <v/>
      </c>
      <c r="AK864">
        <f>IF($AG864=1,IFERROR(IF(VALUE($C864)&lt;100000000,VALUE($C864),1000000000),IFERROR(IF(VALUE(MID($C864,2,20))&lt;100000000,VALUE(MID($C864,2,20)),1000000000),1000000000))+ROW()/100000,"")</f>
        <v/>
      </c>
    </row>
    <row r="865">
      <c r="D865" s="11" t="n"/>
      <c r="K865" s="7">
        <f>IF($C865="","",J865*W865/100)</f>
        <v/>
      </c>
      <c r="Q865" s="7" t="n"/>
      <c r="R865" s="7" t="n"/>
      <c r="U865">
        <f>IF($C865="","",IF($AJ865=1,0,IF($AI865=1,Settings!$C$6,Settings!$C$7))*100)</f>
        <v/>
      </c>
      <c r="V865" s="7">
        <f>IF($C865="","",R865*U865/100)</f>
        <v/>
      </c>
      <c r="W865" s="7">
        <f>IF($C865="","",R865-V865)</f>
        <v/>
      </c>
      <c r="X865" s="7">
        <f>IF($C865="","",W865-K865)</f>
        <v/>
      </c>
      <c r="AB865" s="7" t="n"/>
      <c r="AE865" s="11" t="n"/>
      <c r="AG865">
        <f>IF($C865="","",IF(COUNTIF($C$2:$C865,$C865)=1,1,0))</f>
        <v/>
      </c>
      <c r="AH865">
        <f>IF($AG865=1,SUMPRODUCT(--($AK$2:$AK$6001&lt;$AK865))+1,"")</f>
        <v/>
      </c>
      <c r="AI865">
        <f>IF($C865="","",IF(OR($N865=TRUE(),$N865="TRUE"),1,0))</f>
        <v/>
      </c>
      <c r="AJ865">
        <f>IF($C865="","",IF($T865="Yes",1,0))</f>
        <v/>
      </c>
      <c r="AK865">
        <f>IF($AG865=1,IFERROR(IF(VALUE($C865)&lt;100000000,VALUE($C865),1000000000),IFERROR(IF(VALUE(MID($C865,2,20))&lt;100000000,VALUE(MID($C865,2,20)),1000000000),1000000000))+ROW()/100000,"")</f>
        <v/>
      </c>
    </row>
    <row r="866">
      <c r="D866" s="11" t="n"/>
      <c r="K866" s="7">
        <f>IF($C866="","",J866*W866/100)</f>
        <v/>
      </c>
      <c r="Q866" s="7" t="n"/>
      <c r="R866" s="7" t="n"/>
      <c r="U866">
        <f>IF($C866="","",IF($AJ866=1,0,IF($AI866=1,Settings!$C$6,Settings!$C$7))*100)</f>
        <v/>
      </c>
      <c r="V866" s="7">
        <f>IF($C866="","",R866*U866/100)</f>
        <v/>
      </c>
      <c r="W866" s="7">
        <f>IF($C866="","",R866-V866)</f>
        <v/>
      </c>
      <c r="X866" s="7">
        <f>IF($C866="","",W866-K866)</f>
        <v/>
      </c>
      <c r="AB866" s="7" t="n"/>
      <c r="AE866" s="11" t="n"/>
      <c r="AG866">
        <f>IF($C866="","",IF(COUNTIF($C$2:$C866,$C866)=1,1,0))</f>
        <v/>
      </c>
      <c r="AH866">
        <f>IF($AG866=1,SUMPRODUCT(--($AK$2:$AK$6001&lt;$AK866))+1,"")</f>
        <v/>
      </c>
      <c r="AI866">
        <f>IF($C866="","",IF(OR($N866=TRUE(),$N866="TRUE"),1,0))</f>
        <v/>
      </c>
      <c r="AJ866">
        <f>IF($C866="","",IF($T866="Yes",1,0))</f>
        <v/>
      </c>
      <c r="AK866">
        <f>IF($AG866=1,IFERROR(IF(VALUE($C866)&lt;100000000,VALUE($C866),1000000000),IFERROR(IF(VALUE(MID($C866,2,20))&lt;100000000,VALUE(MID($C866,2,20)),1000000000),1000000000))+ROW()/100000,"")</f>
        <v/>
      </c>
    </row>
    <row r="867">
      <c r="D867" s="11" t="n"/>
      <c r="K867" s="7">
        <f>IF($C867="","",J867*W867/100)</f>
        <v/>
      </c>
      <c r="Q867" s="7" t="n"/>
      <c r="R867" s="7" t="n"/>
      <c r="U867">
        <f>IF($C867="","",IF($AJ867=1,0,IF($AI867=1,Settings!$C$6,Settings!$C$7))*100)</f>
        <v/>
      </c>
      <c r="V867" s="7">
        <f>IF($C867="","",R867*U867/100)</f>
        <v/>
      </c>
      <c r="W867" s="7">
        <f>IF($C867="","",R867-V867)</f>
        <v/>
      </c>
      <c r="X867" s="7">
        <f>IF($C867="","",W867-K867)</f>
        <v/>
      </c>
      <c r="AB867" s="7" t="n"/>
      <c r="AE867" s="11" t="n"/>
      <c r="AG867">
        <f>IF($C867="","",IF(COUNTIF($C$2:$C867,$C867)=1,1,0))</f>
        <v/>
      </c>
      <c r="AH867">
        <f>IF($AG867=1,SUMPRODUCT(--($AK$2:$AK$6001&lt;$AK867))+1,"")</f>
        <v/>
      </c>
      <c r="AI867">
        <f>IF($C867="","",IF(OR($N867=TRUE(),$N867="TRUE"),1,0))</f>
        <v/>
      </c>
      <c r="AJ867">
        <f>IF($C867="","",IF($T867="Yes",1,0))</f>
        <v/>
      </c>
      <c r="AK867">
        <f>IF($AG867=1,IFERROR(IF(VALUE($C867)&lt;100000000,VALUE($C867),1000000000),IFERROR(IF(VALUE(MID($C867,2,20))&lt;100000000,VALUE(MID($C867,2,20)),1000000000),1000000000))+ROW()/100000,"")</f>
        <v/>
      </c>
    </row>
    <row r="868">
      <c r="D868" s="11" t="n"/>
      <c r="K868" s="7">
        <f>IF($C868="","",J868*W868/100)</f>
        <v/>
      </c>
      <c r="Q868" s="7" t="n"/>
      <c r="R868" s="7" t="n"/>
      <c r="U868">
        <f>IF($C868="","",IF($AJ868=1,0,IF($AI868=1,Settings!$C$6,Settings!$C$7))*100)</f>
        <v/>
      </c>
      <c r="V868" s="7">
        <f>IF($C868="","",R868*U868/100)</f>
        <v/>
      </c>
      <c r="W868" s="7">
        <f>IF($C868="","",R868-V868)</f>
        <v/>
      </c>
      <c r="X868" s="7">
        <f>IF($C868="","",W868-K868)</f>
        <v/>
      </c>
      <c r="AB868" s="7" t="n"/>
      <c r="AE868" s="11" t="n"/>
      <c r="AG868">
        <f>IF($C868="","",IF(COUNTIF($C$2:$C868,$C868)=1,1,0))</f>
        <v/>
      </c>
      <c r="AH868">
        <f>IF($AG868=1,SUMPRODUCT(--($AK$2:$AK$6001&lt;$AK868))+1,"")</f>
        <v/>
      </c>
      <c r="AI868">
        <f>IF($C868="","",IF(OR($N868=TRUE(),$N868="TRUE"),1,0))</f>
        <v/>
      </c>
      <c r="AJ868">
        <f>IF($C868="","",IF($T868="Yes",1,0))</f>
        <v/>
      </c>
      <c r="AK868">
        <f>IF($AG868=1,IFERROR(IF(VALUE($C868)&lt;100000000,VALUE($C868),1000000000),IFERROR(IF(VALUE(MID($C868,2,20))&lt;100000000,VALUE(MID($C868,2,20)),1000000000),1000000000))+ROW()/100000,"")</f>
        <v/>
      </c>
    </row>
    <row r="869">
      <c r="D869" s="11" t="n"/>
      <c r="K869" s="7">
        <f>IF($C869="","",J869*W869/100)</f>
        <v/>
      </c>
      <c r="Q869" s="7" t="n"/>
      <c r="R869" s="7" t="n"/>
      <c r="U869">
        <f>IF($C869="","",IF($AJ869=1,0,IF($AI869=1,Settings!$C$6,Settings!$C$7))*100)</f>
        <v/>
      </c>
      <c r="V869" s="7">
        <f>IF($C869="","",R869*U869/100)</f>
        <v/>
      </c>
      <c r="W869" s="7">
        <f>IF($C869="","",R869-V869)</f>
        <v/>
      </c>
      <c r="X869" s="7">
        <f>IF($C869="","",W869-K869)</f>
        <v/>
      </c>
      <c r="AB869" s="7" t="n"/>
      <c r="AE869" s="11" t="n"/>
      <c r="AG869">
        <f>IF($C869="","",IF(COUNTIF($C$2:$C869,$C869)=1,1,0))</f>
        <v/>
      </c>
      <c r="AH869">
        <f>IF($AG869=1,SUMPRODUCT(--($AK$2:$AK$6001&lt;$AK869))+1,"")</f>
        <v/>
      </c>
      <c r="AI869">
        <f>IF($C869="","",IF(OR($N869=TRUE(),$N869="TRUE"),1,0))</f>
        <v/>
      </c>
      <c r="AJ869">
        <f>IF($C869="","",IF($T869="Yes",1,0))</f>
        <v/>
      </c>
      <c r="AK869">
        <f>IF($AG869=1,IFERROR(IF(VALUE($C869)&lt;100000000,VALUE($C869),1000000000),IFERROR(IF(VALUE(MID($C869,2,20))&lt;100000000,VALUE(MID($C869,2,20)),1000000000),1000000000))+ROW()/100000,"")</f>
        <v/>
      </c>
    </row>
    <row r="870">
      <c r="D870" s="11" t="n"/>
      <c r="K870" s="7">
        <f>IF($C870="","",J870*W870/100)</f>
        <v/>
      </c>
      <c r="Q870" s="7" t="n"/>
      <c r="R870" s="7" t="n"/>
      <c r="U870">
        <f>IF($C870="","",IF($AJ870=1,0,IF($AI870=1,Settings!$C$6,Settings!$C$7))*100)</f>
        <v/>
      </c>
      <c r="V870" s="7">
        <f>IF($C870="","",R870*U870/100)</f>
        <v/>
      </c>
      <c r="W870" s="7">
        <f>IF($C870="","",R870-V870)</f>
        <v/>
      </c>
      <c r="X870" s="7">
        <f>IF($C870="","",W870-K870)</f>
        <v/>
      </c>
      <c r="AB870" s="7" t="n"/>
      <c r="AE870" s="11" t="n"/>
      <c r="AG870">
        <f>IF($C870="","",IF(COUNTIF($C$2:$C870,$C870)=1,1,0))</f>
        <v/>
      </c>
      <c r="AH870">
        <f>IF($AG870=1,SUMPRODUCT(--($AK$2:$AK$6001&lt;$AK870))+1,"")</f>
        <v/>
      </c>
      <c r="AI870">
        <f>IF($C870="","",IF(OR($N870=TRUE(),$N870="TRUE"),1,0))</f>
        <v/>
      </c>
      <c r="AJ870">
        <f>IF($C870="","",IF($T870="Yes",1,0))</f>
        <v/>
      </c>
      <c r="AK870">
        <f>IF($AG870=1,IFERROR(IF(VALUE($C870)&lt;100000000,VALUE($C870),1000000000),IFERROR(IF(VALUE(MID($C870,2,20))&lt;100000000,VALUE(MID($C870,2,20)),1000000000),1000000000))+ROW()/100000,"")</f>
        <v/>
      </c>
    </row>
    <row r="871">
      <c r="D871" s="11" t="n"/>
      <c r="K871" s="7">
        <f>IF($C871="","",J871*W871/100)</f>
        <v/>
      </c>
      <c r="Q871" s="7" t="n"/>
      <c r="R871" s="7" t="n"/>
      <c r="U871">
        <f>IF($C871="","",IF($AJ871=1,0,IF($AI871=1,Settings!$C$6,Settings!$C$7))*100)</f>
        <v/>
      </c>
      <c r="V871" s="7">
        <f>IF($C871="","",R871*U871/100)</f>
        <v/>
      </c>
      <c r="W871" s="7">
        <f>IF($C871="","",R871-V871)</f>
        <v/>
      </c>
      <c r="X871" s="7">
        <f>IF($C871="","",W871-K871)</f>
        <v/>
      </c>
      <c r="AB871" s="7" t="n"/>
      <c r="AE871" s="11" t="n"/>
      <c r="AG871">
        <f>IF($C871="","",IF(COUNTIF($C$2:$C871,$C871)=1,1,0))</f>
        <v/>
      </c>
      <c r="AH871">
        <f>IF($AG871=1,SUMPRODUCT(--($AK$2:$AK$6001&lt;$AK871))+1,"")</f>
        <v/>
      </c>
      <c r="AI871">
        <f>IF($C871="","",IF(OR($N871=TRUE(),$N871="TRUE"),1,0))</f>
        <v/>
      </c>
      <c r="AJ871">
        <f>IF($C871="","",IF($T871="Yes",1,0))</f>
        <v/>
      </c>
      <c r="AK871">
        <f>IF($AG871=1,IFERROR(IF(VALUE($C871)&lt;100000000,VALUE($C871),1000000000),IFERROR(IF(VALUE(MID($C871,2,20))&lt;100000000,VALUE(MID($C871,2,20)),1000000000),1000000000))+ROW()/100000,"")</f>
        <v/>
      </c>
    </row>
    <row r="872">
      <c r="D872" s="11" t="n"/>
      <c r="K872" s="7">
        <f>IF($C872="","",J872*W872/100)</f>
        <v/>
      </c>
      <c r="Q872" s="7" t="n"/>
      <c r="R872" s="7" t="n"/>
      <c r="U872">
        <f>IF($C872="","",IF($AJ872=1,0,IF($AI872=1,Settings!$C$6,Settings!$C$7))*100)</f>
        <v/>
      </c>
      <c r="V872" s="7">
        <f>IF($C872="","",R872*U872/100)</f>
        <v/>
      </c>
      <c r="W872" s="7">
        <f>IF($C872="","",R872-V872)</f>
        <v/>
      </c>
      <c r="X872" s="7">
        <f>IF($C872="","",W872-K872)</f>
        <v/>
      </c>
      <c r="AB872" s="7" t="n"/>
      <c r="AE872" s="11" t="n"/>
      <c r="AG872">
        <f>IF($C872="","",IF(COUNTIF($C$2:$C872,$C872)=1,1,0))</f>
        <v/>
      </c>
      <c r="AH872">
        <f>IF($AG872=1,SUMPRODUCT(--($AK$2:$AK$6001&lt;$AK872))+1,"")</f>
        <v/>
      </c>
      <c r="AI872">
        <f>IF($C872="","",IF(OR($N872=TRUE(),$N872="TRUE"),1,0))</f>
        <v/>
      </c>
      <c r="AJ872">
        <f>IF($C872="","",IF($T872="Yes",1,0))</f>
        <v/>
      </c>
      <c r="AK872">
        <f>IF($AG872=1,IFERROR(IF(VALUE($C872)&lt;100000000,VALUE($C872),1000000000),IFERROR(IF(VALUE(MID($C872,2,20))&lt;100000000,VALUE(MID($C872,2,20)),1000000000),1000000000))+ROW()/100000,"")</f>
        <v/>
      </c>
    </row>
    <row r="873">
      <c r="D873" s="11" t="n"/>
      <c r="K873" s="7">
        <f>IF($C873="","",J873*W873/100)</f>
        <v/>
      </c>
      <c r="Q873" s="7" t="n"/>
      <c r="R873" s="7" t="n"/>
      <c r="U873">
        <f>IF($C873="","",IF($AJ873=1,0,IF($AI873=1,Settings!$C$6,Settings!$C$7))*100)</f>
        <v/>
      </c>
      <c r="V873" s="7">
        <f>IF($C873="","",R873*U873/100)</f>
        <v/>
      </c>
      <c r="W873" s="7">
        <f>IF($C873="","",R873-V873)</f>
        <v/>
      </c>
      <c r="X873" s="7">
        <f>IF($C873="","",W873-K873)</f>
        <v/>
      </c>
      <c r="AB873" s="7" t="n"/>
      <c r="AE873" s="11" t="n"/>
      <c r="AG873">
        <f>IF($C873="","",IF(COUNTIF($C$2:$C873,$C873)=1,1,0))</f>
        <v/>
      </c>
      <c r="AH873">
        <f>IF($AG873=1,SUMPRODUCT(--($AK$2:$AK$6001&lt;$AK873))+1,"")</f>
        <v/>
      </c>
      <c r="AI873">
        <f>IF($C873="","",IF(OR($N873=TRUE(),$N873="TRUE"),1,0))</f>
        <v/>
      </c>
      <c r="AJ873">
        <f>IF($C873="","",IF($T873="Yes",1,0))</f>
        <v/>
      </c>
      <c r="AK873">
        <f>IF($AG873=1,IFERROR(IF(VALUE($C873)&lt;100000000,VALUE($C873),1000000000),IFERROR(IF(VALUE(MID($C873,2,20))&lt;100000000,VALUE(MID($C873,2,20)),1000000000),1000000000))+ROW()/100000,"")</f>
        <v/>
      </c>
    </row>
    <row r="874">
      <c r="D874" s="11" t="n"/>
      <c r="K874" s="7">
        <f>IF($C874="","",J874*W874/100)</f>
        <v/>
      </c>
      <c r="Q874" s="7" t="n"/>
      <c r="R874" s="7" t="n"/>
      <c r="U874">
        <f>IF($C874="","",IF($AJ874=1,0,IF($AI874=1,Settings!$C$6,Settings!$C$7))*100)</f>
        <v/>
      </c>
      <c r="V874" s="7">
        <f>IF($C874="","",R874*U874/100)</f>
        <v/>
      </c>
      <c r="W874" s="7">
        <f>IF($C874="","",R874-V874)</f>
        <v/>
      </c>
      <c r="X874" s="7">
        <f>IF($C874="","",W874-K874)</f>
        <v/>
      </c>
      <c r="AB874" s="7" t="n"/>
      <c r="AE874" s="11" t="n"/>
      <c r="AG874">
        <f>IF($C874="","",IF(COUNTIF($C$2:$C874,$C874)=1,1,0))</f>
        <v/>
      </c>
      <c r="AH874">
        <f>IF($AG874=1,SUMPRODUCT(--($AK$2:$AK$6001&lt;$AK874))+1,"")</f>
        <v/>
      </c>
      <c r="AI874">
        <f>IF($C874="","",IF(OR($N874=TRUE(),$N874="TRUE"),1,0))</f>
        <v/>
      </c>
      <c r="AJ874">
        <f>IF($C874="","",IF($T874="Yes",1,0))</f>
        <v/>
      </c>
      <c r="AK874">
        <f>IF($AG874=1,IFERROR(IF(VALUE($C874)&lt;100000000,VALUE($C874),1000000000),IFERROR(IF(VALUE(MID($C874,2,20))&lt;100000000,VALUE(MID($C874,2,20)),1000000000),1000000000))+ROW()/100000,"")</f>
        <v/>
      </c>
    </row>
    <row r="875">
      <c r="D875" s="11" t="n"/>
      <c r="K875" s="7">
        <f>IF($C875="","",J875*W875/100)</f>
        <v/>
      </c>
      <c r="Q875" s="7" t="n"/>
      <c r="R875" s="7" t="n"/>
      <c r="U875">
        <f>IF($C875="","",IF($AJ875=1,0,IF($AI875=1,Settings!$C$6,Settings!$C$7))*100)</f>
        <v/>
      </c>
      <c r="V875" s="7">
        <f>IF($C875="","",R875*U875/100)</f>
        <v/>
      </c>
      <c r="W875" s="7">
        <f>IF($C875="","",R875-V875)</f>
        <v/>
      </c>
      <c r="X875" s="7">
        <f>IF($C875="","",W875-K875)</f>
        <v/>
      </c>
      <c r="AB875" s="7" t="n"/>
      <c r="AE875" s="11" t="n"/>
      <c r="AG875">
        <f>IF($C875="","",IF(COUNTIF($C$2:$C875,$C875)=1,1,0))</f>
        <v/>
      </c>
      <c r="AH875">
        <f>IF($AG875=1,SUMPRODUCT(--($AK$2:$AK$6001&lt;$AK875))+1,"")</f>
        <v/>
      </c>
      <c r="AI875">
        <f>IF($C875="","",IF(OR($N875=TRUE(),$N875="TRUE"),1,0))</f>
        <v/>
      </c>
      <c r="AJ875">
        <f>IF($C875="","",IF($T875="Yes",1,0))</f>
        <v/>
      </c>
      <c r="AK875">
        <f>IF($AG875=1,IFERROR(IF(VALUE($C875)&lt;100000000,VALUE($C875),1000000000),IFERROR(IF(VALUE(MID($C875,2,20))&lt;100000000,VALUE(MID($C875,2,20)),1000000000),1000000000))+ROW()/100000,"")</f>
        <v/>
      </c>
    </row>
    <row r="876">
      <c r="D876" s="11" t="n"/>
      <c r="K876" s="7">
        <f>IF($C876="","",J876*W876/100)</f>
        <v/>
      </c>
      <c r="Q876" s="7" t="n"/>
      <c r="R876" s="7" t="n"/>
      <c r="U876">
        <f>IF($C876="","",IF($AJ876=1,0,IF($AI876=1,Settings!$C$6,Settings!$C$7))*100)</f>
        <v/>
      </c>
      <c r="V876" s="7">
        <f>IF($C876="","",R876*U876/100)</f>
        <v/>
      </c>
      <c r="W876" s="7">
        <f>IF($C876="","",R876-V876)</f>
        <v/>
      </c>
      <c r="X876" s="7">
        <f>IF($C876="","",W876-K876)</f>
        <v/>
      </c>
      <c r="AB876" s="7" t="n"/>
      <c r="AE876" s="11" t="n"/>
      <c r="AG876">
        <f>IF($C876="","",IF(COUNTIF($C$2:$C876,$C876)=1,1,0))</f>
        <v/>
      </c>
      <c r="AH876">
        <f>IF($AG876=1,SUMPRODUCT(--($AK$2:$AK$6001&lt;$AK876))+1,"")</f>
        <v/>
      </c>
      <c r="AI876">
        <f>IF($C876="","",IF(OR($N876=TRUE(),$N876="TRUE"),1,0))</f>
        <v/>
      </c>
      <c r="AJ876">
        <f>IF($C876="","",IF($T876="Yes",1,0))</f>
        <v/>
      </c>
      <c r="AK876">
        <f>IF($AG876=1,IFERROR(IF(VALUE($C876)&lt;100000000,VALUE($C876),1000000000),IFERROR(IF(VALUE(MID($C876,2,20))&lt;100000000,VALUE(MID($C876,2,20)),1000000000),1000000000))+ROW()/100000,"")</f>
        <v/>
      </c>
    </row>
    <row r="877">
      <c r="D877" s="11" t="n"/>
      <c r="K877" s="7">
        <f>IF($C877="","",J877*W877/100)</f>
        <v/>
      </c>
      <c r="Q877" s="7" t="n"/>
      <c r="R877" s="7" t="n"/>
      <c r="U877">
        <f>IF($C877="","",IF($AJ877=1,0,IF($AI877=1,Settings!$C$6,Settings!$C$7))*100)</f>
        <v/>
      </c>
      <c r="V877" s="7">
        <f>IF($C877="","",R877*U877/100)</f>
        <v/>
      </c>
      <c r="W877" s="7">
        <f>IF($C877="","",R877-V877)</f>
        <v/>
      </c>
      <c r="X877" s="7">
        <f>IF($C877="","",W877-K877)</f>
        <v/>
      </c>
      <c r="AB877" s="7" t="n"/>
      <c r="AE877" s="11" t="n"/>
      <c r="AG877">
        <f>IF($C877="","",IF(COUNTIF($C$2:$C877,$C877)=1,1,0))</f>
        <v/>
      </c>
      <c r="AH877">
        <f>IF($AG877=1,SUMPRODUCT(--($AK$2:$AK$6001&lt;$AK877))+1,"")</f>
        <v/>
      </c>
      <c r="AI877">
        <f>IF($C877="","",IF(OR($N877=TRUE(),$N877="TRUE"),1,0))</f>
        <v/>
      </c>
      <c r="AJ877">
        <f>IF($C877="","",IF($T877="Yes",1,0))</f>
        <v/>
      </c>
      <c r="AK877">
        <f>IF($AG877=1,IFERROR(IF(VALUE($C877)&lt;100000000,VALUE($C877),1000000000),IFERROR(IF(VALUE(MID($C877,2,20))&lt;100000000,VALUE(MID($C877,2,20)),1000000000),1000000000))+ROW()/100000,"")</f>
        <v/>
      </c>
    </row>
    <row r="878">
      <c r="D878" s="11" t="n"/>
      <c r="K878" s="7">
        <f>IF($C878="","",J878*W878/100)</f>
        <v/>
      </c>
      <c r="Q878" s="7" t="n"/>
      <c r="R878" s="7" t="n"/>
      <c r="U878">
        <f>IF($C878="","",IF($AJ878=1,0,IF($AI878=1,Settings!$C$6,Settings!$C$7))*100)</f>
        <v/>
      </c>
      <c r="V878" s="7">
        <f>IF($C878="","",R878*U878/100)</f>
        <v/>
      </c>
      <c r="W878" s="7">
        <f>IF($C878="","",R878-V878)</f>
        <v/>
      </c>
      <c r="X878" s="7">
        <f>IF($C878="","",W878-K878)</f>
        <v/>
      </c>
      <c r="AB878" s="7" t="n"/>
      <c r="AE878" s="11" t="n"/>
      <c r="AG878">
        <f>IF($C878="","",IF(COUNTIF($C$2:$C878,$C878)=1,1,0))</f>
        <v/>
      </c>
      <c r="AH878">
        <f>IF($AG878=1,SUMPRODUCT(--($AK$2:$AK$6001&lt;$AK878))+1,"")</f>
        <v/>
      </c>
      <c r="AI878">
        <f>IF($C878="","",IF(OR($N878=TRUE(),$N878="TRUE"),1,0))</f>
        <v/>
      </c>
      <c r="AJ878">
        <f>IF($C878="","",IF($T878="Yes",1,0))</f>
        <v/>
      </c>
      <c r="AK878">
        <f>IF($AG878=1,IFERROR(IF(VALUE($C878)&lt;100000000,VALUE($C878),1000000000),IFERROR(IF(VALUE(MID($C878,2,20))&lt;100000000,VALUE(MID($C878,2,20)),1000000000),1000000000))+ROW()/100000,"")</f>
        <v/>
      </c>
    </row>
    <row r="879">
      <c r="D879" s="11" t="n"/>
      <c r="K879" s="7">
        <f>IF($C879="","",J879*W879/100)</f>
        <v/>
      </c>
      <c r="Q879" s="7" t="n"/>
      <c r="R879" s="7" t="n"/>
      <c r="U879">
        <f>IF($C879="","",IF($AJ879=1,0,IF($AI879=1,Settings!$C$6,Settings!$C$7))*100)</f>
        <v/>
      </c>
      <c r="V879" s="7">
        <f>IF($C879="","",R879*U879/100)</f>
        <v/>
      </c>
      <c r="W879" s="7">
        <f>IF($C879="","",R879-V879)</f>
        <v/>
      </c>
      <c r="X879" s="7">
        <f>IF($C879="","",W879-K879)</f>
        <v/>
      </c>
      <c r="AB879" s="7" t="n"/>
      <c r="AE879" s="11" t="n"/>
      <c r="AG879">
        <f>IF($C879="","",IF(COUNTIF($C$2:$C879,$C879)=1,1,0))</f>
        <v/>
      </c>
      <c r="AH879">
        <f>IF($AG879=1,SUMPRODUCT(--($AK$2:$AK$6001&lt;$AK879))+1,"")</f>
        <v/>
      </c>
      <c r="AI879">
        <f>IF($C879="","",IF(OR($N879=TRUE(),$N879="TRUE"),1,0))</f>
        <v/>
      </c>
      <c r="AJ879">
        <f>IF($C879="","",IF($T879="Yes",1,0))</f>
        <v/>
      </c>
      <c r="AK879">
        <f>IF($AG879=1,IFERROR(IF(VALUE($C879)&lt;100000000,VALUE($C879),1000000000),IFERROR(IF(VALUE(MID($C879,2,20))&lt;100000000,VALUE(MID($C879,2,20)),1000000000),1000000000))+ROW()/100000,"")</f>
        <v/>
      </c>
    </row>
    <row r="880">
      <c r="D880" s="11" t="n"/>
      <c r="K880" s="7">
        <f>IF($C880="","",J880*W880/100)</f>
        <v/>
      </c>
      <c r="Q880" s="7" t="n"/>
      <c r="R880" s="7" t="n"/>
      <c r="U880">
        <f>IF($C880="","",IF($AJ880=1,0,IF($AI880=1,Settings!$C$6,Settings!$C$7))*100)</f>
        <v/>
      </c>
      <c r="V880" s="7">
        <f>IF($C880="","",R880*U880/100)</f>
        <v/>
      </c>
      <c r="W880" s="7">
        <f>IF($C880="","",R880-V880)</f>
        <v/>
      </c>
      <c r="X880" s="7">
        <f>IF($C880="","",W880-K880)</f>
        <v/>
      </c>
      <c r="AB880" s="7" t="n"/>
      <c r="AE880" s="11" t="n"/>
      <c r="AG880">
        <f>IF($C880="","",IF(COUNTIF($C$2:$C880,$C880)=1,1,0))</f>
        <v/>
      </c>
      <c r="AH880">
        <f>IF($AG880=1,SUMPRODUCT(--($AK$2:$AK$6001&lt;$AK880))+1,"")</f>
        <v/>
      </c>
      <c r="AI880">
        <f>IF($C880="","",IF(OR($N880=TRUE(),$N880="TRUE"),1,0))</f>
        <v/>
      </c>
      <c r="AJ880">
        <f>IF($C880="","",IF($T880="Yes",1,0))</f>
        <v/>
      </c>
      <c r="AK880">
        <f>IF($AG880=1,IFERROR(IF(VALUE($C880)&lt;100000000,VALUE($C880),1000000000),IFERROR(IF(VALUE(MID($C880,2,20))&lt;100000000,VALUE(MID($C880,2,20)),1000000000),1000000000))+ROW()/100000,"")</f>
        <v/>
      </c>
    </row>
    <row r="881">
      <c r="D881" s="11" t="n"/>
      <c r="K881" s="7">
        <f>IF($C881="","",J881*W881/100)</f>
        <v/>
      </c>
      <c r="Q881" s="7" t="n"/>
      <c r="R881" s="7" t="n"/>
      <c r="U881">
        <f>IF($C881="","",IF($AJ881=1,0,IF($AI881=1,Settings!$C$6,Settings!$C$7))*100)</f>
        <v/>
      </c>
      <c r="V881" s="7">
        <f>IF($C881="","",R881*U881/100)</f>
        <v/>
      </c>
      <c r="W881" s="7">
        <f>IF($C881="","",R881-V881)</f>
        <v/>
      </c>
      <c r="X881" s="7">
        <f>IF($C881="","",W881-K881)</f>
        <v/>
      </c>
      <c r="AB881" s="7" t="n"/>
      <c r="AE881" s="11" t="n"/>
      <c r="AG881">
        <f>IF($C881="","",IF(COUNTIF($C$2:$C881,$C881)=1,1,0))</f>
        <v/>
      </c>
      <c r="AH881">
        <f>IF($AG881=1,SUMPRODUCT(--($AK$2:$AK$6001&lt;$AK881))+1,"")</f>
        <v/>
      </c>
      <c r="AI881">
        <f>IF($C881="","",IF(OR($N881=TRUE(),$N881="TRUE"),1,0))</f>
        <v/>
      </c>
      <c r="AJ881">
        <f>IF($C881="","",IF($T881="Yes",1,0))</f>
        <v/>
      </c>
      <c r="AK881">
        <f>IF($AG881=1,IFERROR(IF(VALUE($C881)&lt;100000000,VALUE($C881),1000000000),IFERROR(IF(VALUE(MID($C881,2,20))&lt;100000000,VALUE(MID($C881,2,20)),1000000000),1000000000))+ROW()/100000,"")</f>
        <v/>
      </c>
    </row>
    <row r="882">
      <c r="D882" s="11" t="n"/>
      <c r="K882" s="7">
        <f>IF($C882="","",J882*W882/100)</f>
        <v/>
      </c>
      <c r="Q882" s="7" t="n"/>
      <c r="R882" s="7" t="n"/>
      <c r="U882">
        <f>IF($C882="","",IF($AJ882=1,0,IF($AI882=1,Settings!$C$6,Settings!$C$7))*100)</f>
        <v/>
      </c>
      <c r="V882" s="7">
        <f>IF($C882="","",R882*U882/100)</f>
        <v/>
      </c>
      <c r="W882" s="7">
        <f>IF($C882="","",R882-V882)</f>
        <v/>
      </c>
      <c r="X882" s="7">
        <f>IF($C882="","",W882-K882)</f>
        <v/>
      </c>
      <c r="AB882" s="7" t="n"/>
      <c r="AE882" s="11" t="n"/>
      <c r="AG882">
        <f>IF($C882="","",IF(COUNTIF($C$2:$C882,$C882)=1,1,0))</f>
        <v/>
      </c>
      <c r="AH882">
        <f>IF($AG882=1,SUMPRODUCT(--($AK$2:$AK$6001&lt;$AK882))+1,"")</f>
        <v/>
      </c>
      <c r="AI882">
        <f>IF($C882="","",IF(OR($N882=TRUE(),$N882="TRUE"),1,0))</f>
        <v/>
      </c>
      <c r="AJ882">
        <f>IF($C882="","",IF($T882="Yes",1,0))</f>
        <v/>
      </c>
      <c r="AK882">
        <f>IF($AG882=1,IFERROR(IF(VALUE($C882)&lt;100000000,VALUE($C882),1000000000),IFERROR(IF(VALUE(MID($C882,2,20))&lt;100000000,VALUE(MID($C882,2,20)),1000000000),1000000000))+ROW()/100000,"")</f>
        <v/>
      </c>
    </row>
    <row r="883">
      <c r="D883" s="11" t="n"/>
      <c r="K883" s="7">
        <f>IF($C883="","",J883*W883/100)</f>
        <v/>
      </c>
      <c r="Q883" s="7" t="n"/>
      <c r="R883" s="7" t="n"/>
      <c r="U883">
        <f>IF($C883="","",IF($AJ883=1,0,IF($AI883=1,Settings!$C$6,Settings!$C$7))*100)</f>
        <v/>
      </c>
      <c r="V883" s="7">
        <f>IF($C883="","",R883*U883/100)</f>
        <v/>
      </c>
      <c r="W883" s="7">
        <f>IF($C883="","",R883-V883)</f>
        <v/>
      </c>
      <c r="X883" s="7">
        <f>IF($C883="","",W883-K883)</f>
        <v/>
      </c>
      <c r="AB883" s="7" t="n"/>
      <c r="AE883" s="11" t="n"/>
      <c r="AG883">
        <f>IF($C883="","",IF(COUNTIF($C$2:$C883,$C883)=1,1,0))</f>
        <v/>
      </c>
      <c r="AH883">
        <f>IF($AG883=1,SUMPRODUCT(--($AK$2:$AK$6001&lt;$AK883))+1,"")</f>
        <v/>
      </c>
      <c r="AI883">
        <f>IF($C883="","",IF(OR($N883=TRUE(),$N883="TRUE"),1,0))</f>
        <v/>
      </c>
      <c r="AJ883">
        <f>IF($C883="","",IF($T883="Yes",1,0))</f>
        <v/>
      </c>
      <c r="AK883">
        <f>IF($AG883=1,IFERROR(IF(VALUE($C883)&lt;100000000,VALUE($C883),1000000000),IFERROR(IF(VALUE(MID($C883,2,20))&lt;100000000,VALUE(MID($C883,2,20)),1000000000),1000000000))+ROW()/100000,"")</f>
        <v/>
      </c>
    </row>
    <row r="884">
      <c r="D884" s="11" t="n"/>
      <c r="K884" s="7">
        <f>IF($C884="","",J884*W884/100)</f>
        <v/>
      </c>
      <c r="Q884" s="7" t="n"/>
      <c r="R884" s="7" t="n"/>
      <c r="U884">
        <f>IF($C884="","",IF($AJ884=1,0,IF($AI884=1,Settings!$C$6,Settings!$C$7))*100)</f>
        <v/>
      </c>
      <c r="V884" s="7">
        <f>IF($C884="","",R884*U884/100)</f>
        <v/>
      </c>
      <c r="W884" s="7">
        <f>IF($C884="","",R884-V884)</f>
        <v/>
      </c>
      <c r="X884" s="7">
        <f>IF($C884="","",W884-K884)</f>
        <v/>
      </c>
      <c r="AB884" s="7" t="n"/>
      <c r="AE884" s="11" t="n"/>
      <c r="AG884">
        <f>IF($C884="","",IF(COUNTIF($C$2:$C884,$C884)=1,1,0))</f>
        <v/>
      </c>
      <c r="AH884">
        <f>IF($AG884=1,SUMPRODUCT(--($AK$2:$AK$6001&lt;$AK884))+1,"")</f>
        <v/>
      </c>
      <c r="AI884">
        <f>IF($C884="","",IF(OR($N884=TRUE(),$N884="TRUE"),1,0))</f>
        <v/>
      </c>
      <c r="AJ884">
        <f>IF($C884="","",IF($T884="Yes",1,0))</f>
        <v/>
      </c>
      <c r="AK884">
        <f>IF($AG884=1,IFERROR(IF(VALUE($C884)&lt;100000000,VALUE($C884),1000000000),IFERROR(IF(VALUE(MID($C884,2,20))&lt;100000000,VALUE(MID($C884,2,20)),1000000000),1000000000))+ROW()/100000,"")</f>
        <v/>
      </c>
    </row>
    <row r="885">
      <c r="D885" s="11" t="n"/>
      <c r="K885" s="7">
        <f>IF($C885="","",J885*W885/100)</f>
        <v/>
      </c>
      <c r="Q885" s="7" t="n"/>
      <c r="R885" s="7" t="n"/>
      <c r="U885">
        <f>IF($C885="","",IF($AJ885=1,0,IF($AI885=1,Settings!$C$6,Settings!$C$7))*100)</f>
        <v/>
      </c>
      <c r="V885" s="7">
        <f>IF($C885="","",R885*U885/100)</f>
        <v/>
      </c>
      <c r="W885" s="7">
        <f>IF($C885="","",R885-V885)</f>
        <v/>
      </c>
      <c r="X885" s="7">
        <f>IF($C885="","",W885-K885)</f>
        <v/>
      </c>
      <c r="AB885" s="7" t="n"/>
      <c r="AE885" s="11" t="n"/>
      <c r="AG885">
        <f>IF($C885="","",IF(COUNTIF($C$2:$C885,$C885)=1,1,0))</f>
        <v/>
      </c>
      <c r="AH885">
        <f>IF($AG885=1,SUMPRODUCT(--($AK$2:$AK$6001&lt;$AK885))+1,"")</f>
        <v/>
      </c>
      <c r="AI885">
        <f>IF($C885="","",IF(OR($N885=TRUE(),$N885="TRUE"),1,0))</f>
        <v/>
      </c>
      <c r="AJ885">
        <f>IF($C885="","",IF($T885="Yes",1,0))</f>
        <v/>
      </c>
      <c r="AK885">
        <f>IF($AG885=1,IFERROR(IF(VALUE($C885)&lt;100000000,VALUE($C885),1000000000),IFERROR(IF(VALUE(MID($C885,2,20))&lt;100000000,VALUE(MID($C885,2,20)),1000000000),1000000000))+ROW()/100000,"")</f>
        <v/>
      </c>
    </row>
    <row r="886">
      <c r="D886" s="11" t="n"/>
      <c r="K886" s="7">
        <f>IF($C886="","",J886*W886/100)</f>
        <v/>
      </c>
      <c r="Q886" s="7" t="n"/>
      <c r="R886" s="7" t="n"/>
      <c r="U886">
        <f>IF($C886="","",IF($AJ886=1,0,IF($AI886=1,Settings!$C$6,Settings!$C$7))*100)</f>
        <v/>
      </c>
      <c r="V886" s="7">
        <f>IF($C886="","",R886*U886/100)</f>
        <v/>
      </c>
      <c r="W886" s="7">
        <f>IF($C886="","",R886-V886)</f>
        <v/>
      </c>
      <c r="X886" s="7">
        <f>IF($C886="","",W886-K886)</f>
        <v/>
      </c>
      <c r="AB886" s="7" t="n"/>
      <c r="AE886" s="11" t="n"/>
      <c r="AG886">
        <f>IF($C886="","",IF(COUNTIF($C$2:$C886,$C886)=1,1,0))</f>
        <v/>
      </c>
      <c r="AH886">
        <f>IF($AG886=1,SUMPRODUCT(--($AK$2:$AK$6001&lt;$AK886))+1,"")</f>
        <v/>
      </c>
      <c r="AI886">
        <f>IF($C886="","",IF(OR($N886=TRUE(),$N886="TRUE"),1,0))</f>
        <v/>
      </c>
      <c r="AJ886">
        <f>IF($C886="","",IF($T886="Yes",1,0))</f>
        <v/>
      </c>
      <c r="AK886">
        <f>IF($AG886=1,IFERROR(IF(VALUE($C886)&lt;100000000,VALUE($C886),1000000000),IFERROR(IF(VALUE(MID($C886,2,20))&lt;100000000,VALUE(MID($C886,2,20)),1000000000),1000000000))+ROW()/100000,"")</f>
        <v/>
      </c>
    </row>
    <row r="887">
      <c r="D887" s="11" t="n"/>
      <c r="K887" s="7">
        <f>IF($C887="","",J887*W887/100)</f>
        <v/>
      </c>
      <c r="Q887" s="7" t="n"/>
      <c r="R887" s="7" t="n"/>
      <c r="U887">
        <f>IF($C887="","",IF($AJ887=1,0,IF($AI887=1,Settings!$C$6,Settings!$C$7))*100)</f>
        <v/>
      </c>
      <c r="V887" s="7">
        <f>IF($C887="","",R887*U887/100)</f>
        <v/>
      </c>
      <c r="W887" s="7">
        <f>IF($C887="","",R887-V887)</f>
        <v/>
      </c>
      <c r="X887" s="7">
        <f>IF($C887="","",W887-K887)</f>
        <v/>
      </c>
      <c r="AB887" s="7" t="n"/>
      <c r="AE887" s="11" t="n"/>
      <c r="AG887">
        <f>IF($C887="","",IF(COUNTIF($C$2:$C887,$C887)=1,1,0))</f>
        <v/>
      </c>
      <c r="AH887">
        <f>IF($AG887=1,SUMPRODUCT(--($AK$2:$AK$6001&lt;$AK887))+1,"")</f>
        <v/>
      </c>
      <c r="AI887">
        <f>IF($C887="","",IF(OR($N887=TRUE(),$N887="TRUE"),1,0))</f>
        <v/>
      </c>
      <c r="AJ887">
        <f>IF($C887="","",IF($T887="Yes",1,0))</f>
        <v/>
      </c>
      <c r="AK887">
        <f>IF($AG887=1,IFERROR(IF(VALUE($C887)&lt;100000000,VALUE($C887),1000000000),IFERROR(IF(VALUE(MID($C887,2,20))&lt;100000000,VALUE(MID($C887,2,20)),1000000000),1000000000))+ROW()/100000,"")</f>
        <v/>
      </c>
    </row>
    <row r="888">
      <c r="D888" s="11" t="n"/>
      <c r="K888" s="7">
        <f>IF($C888="","",J888*W888/100)</f>
        <v/>
      </c>
      <c r="Q888" s="7" t="n"/>
      <c r="R888" s="7" t="n"/>
      <c r="U888">
        <f>IF($C888="","",IF($AJ888=1,0,IF($AI888=1,Settings!$C$6,Settings!$C$7))*100)</f>
        <v/>
      </c>
      <c r="V888" s="7">
        <f>IF($C888="","",R888*U888/100)</f>
        <v/>
      </c>
      <c r="W888" s="7">
        <f>IF($C888="","",R888-V888)</f>
        <v/>
      </c>
      <c r="X888" s="7">
        <f>IF($C888="","",W888-K888)</f>
        <v/>
      </c>
      <c r="AB888" s="7" t="n"/>
      <c r="AE888" s="11" t="n"/>
      <c r="AG888">
        <f>IF($C888="","",IF(COUNTIF($C$2:$C888,$C888)=1,1,0))</f>
        <v/>
      </c>
      <c r="AH888">
        <f>IF($AG888=1,SUMPRODUCT(--($AK$2:$AK$6001&lt;$AK888))+1,"")</f>
        <v/>
      </c>
      <c r="AI888">
        <f>IF($C888="","",IF(OR($N888=TRUE(),$N888="TRUE"),1,0))</f>
        <v/>
      </c>
      <c r="AJ888">
        <f>IF($C888="","",IF($T888="Yes",1,0))</f>
        <v/>
      </c>
      <c r="AK888">
        <f>IF($AG888=1,IFERROR(IF(VALUE($C888)&lt;100000000,VALUE($C888),1000000000),IFERROR(IF(VALUE(MID($C888,2,20))&lt;100000000,VALUE(MID($C888,2,20)),1000000000),1000000000))+ROW()/100000,"")</f>
        <v/>
      </c>
    </row>
    <row r="889">
      <c r="D889" s="11" t="n"/>
      <c r="K889" s="7">
        <f>IF($C889="","",J889*W889/100)</f>
        <v/>
      </c>
      <c r="Q889" s="7" t="n"/>
      <c r="R889" s="7" t="n"/>
      <c r="U889">
        <f>IF($C889="","",IF($AJ889=1,0,IF($AI889=1,Settings!$C$6,Settings!$C$7))*100)</f>
        <v/>
      </c>
      <c r="V889" s="7">
        <f>IF($C889="","",R889*U889/100)</f>
        <v/>
      </c>
      <c r="W889" s="7">
        <f>IF($C889="","",R889-V889)</f>
        <v/>
      </c>
      <c r="X889" s="7">
        <f>IF($C889="","",W889-K889)</f>
        <v/>
      </c>
      <c r="AB889" s="7" t="n"/>
      <c r="AE889" s="11" t="n"/>
      <c r="AG889">
        <f>IF($C889="","",IF(COUNTIF($C$2:$C889,$C889)=1,1,0))</f>
        <v/>
      </c>
      <c r="AH889">
        <f>IF($AG889=1,SUMPRODUCT(--($AK$2:$AK$6001&lt;$AK889))+1,"")</f>
        <v/>
      </c>
      <c r="AI889">
        <f>IF($C889="","",IF(OR($N889=TRUE(),$N889="TRUE"),1,0))</f>
        <v/>
      </c>
      <c r="AJ889">
        <f>IF($C889="","",IF($T889="Yes",1,0))</f>
        <v/>
      </c>
      <c r="AK889">
        <f>IF($AG889=1,IFERROR(IF(VALUE($C889)&lt;100000000,VALUE($C889),1000000000),IFERROR(IF(VALUE(MID($C889,2,20))&lt;100000000,VALUE(MID($C889,2,20)),1000000000),1000000000))+ROW()/100000,"")</f>
        <v/>
      </c>
    </row>
    <row r="890">
      <c r="D890" s="11" t="n"/>
      <c r="K890" s="7">
        <f>IF($C890="","",J890*W890/100)</f>
        <v/>
      </c>
      <c r="Q890" s="7" t="n"/>
      <c r="R890" s="7" t="n"/>
      <c r="U890">
        <f>IF($C890="","",IF($AJ890=1,0,IF($AI890=1,Settings!$C$6,Settings!$C$7))*100)</f>
        <v/>
      </c>
      <c r="V890" s="7">
        <f>IF($C890="","",R890*U890/100)</f>
        <v/>
      </c>
      <c r="W890" s="7">
        <f>IF($C890="","",R890-V890)</f>
        <v/>
      </c>
      <c r="X890" s="7">
        <f>IF($C890="","",W890-K890)</f>
        <v/>
      </c>
      <c r="AB890" s="7" t="n"/>
      <c r="AE890" s="11" t="n"/>
      <c r="AG890">
        <f>IF($C890="","",IF(COUNTIF($C$2:$C890,$C890)=1,1,0))</f>
        <v/>
      </c>
      <c r="AH890">
        <f>IF($AG890=1,SUMPRODUCT(--($AK$2:$AK$6001&lt;$AK890))+1,"")</f>
        <v/>
      </c>
      <c r="AI890">
        <f>IF($C890="","",IF(OR($N890=TRUE(),$N890="TRUE"),1,0))</f>
        <v/>
      </c>
      <c r="AJ890">
        <f>IF($C890="","",IF($T890="Yes",1,0))</f>
        <v/>
      </c>
      <c r="AK890">
        <f>IF($AG890=1,IFERROR(IF(VALUE($C890)&lt;100000000,VALUE($C890),1000000000),IFERROR(IF(VALUE(MID($C890,2,20))&lt;100000000,VALUE(MID($C890,2,20)),1000000000),1000000000))+ROW()/100000,"")</f>
        <v/>
      </c>
    </row>
    <row r="891">
      <c r="D891" s="11" t="n"/>
      <c r="K891" s="7">
        <f>IF($C891="","",J891*W891/100)</f>
        <v/>
      </c>
      <c r="Q891" s="7" t="n"/>
      <c r="R891" s="7" t="n"/>
      <c r="U891">
        <f>IF($C891="","",IF($AJ891=1,0,IF($AI891=1,Settings!$C$6,Settings!$C$7))*100)</f>
        <v/>
      </c>
      <c r="V891" s="7">
        <f>IF($C891="","",R891*U891/100)</f>
        <v/>
      </c>
      <c r="W891" s="7">
        <f>IF($C891="","",R891-V891)</f>
        <v/>
      </c>
      <c r="X891" s="7">
        <f>IF($C891="","",W891-K891)</f>
        <v/>
      </c>
      <c r="AB891" s="7" t="n"/>
      <c r="AE891" s="11" t="n"/>
      <c r="AG891">
        <f>IF($C891="","",IF(COUNTIF($C$2:$C891,$C891)=1,1,0))</f>
        <v/>
      </c>
      <c r="AH891">
        <f>IF($AG891=1,SUMPRODUCT(--($AK$2:$AK$6001&lt;$AK891))+1,"")</f>
        <v/>
      </c>
      <c r="AI891">
        <f>IF($C891="","",IF(OR($N891=TRUE(),$N891="TRUE"),1,0))</f>
        <v/>
      </c>
      <c r="AJ891">
        <f>IF($C891="","",IF($T891="Yes",1,0))</f>
        <v/>
      </c>
      <c r="AK891">
        <f>IF($AG891=1,IFERROR(IF(VALUE($C891)&lt;100000000,VALUE($C891),1000000000),IFERROR(IF(VALUE(MID($C891,2,20))&lt;100000000,VALUE(MID($C891,2,20)),1000000000),1000000000))+ROW()/100000,"")</f>
        <v/>
      </c>
    </row>
    <row r="892">
      <c r="D892" s="11" t="n"/>
      <c r="K892" s="7">
        <f>IF($C892="","",J892*W892/100)</f>
        <v/>
      </c>
      <c r="Q892" s="7" t="n"/>
      <c r="R892" s="7" t="n"/>
      <c r="U892">
        <f>IF($C892="","",IF($AJ892=1,0,IF($AI892=1,Settings!$C$6,Settings!$C$7))*100)</f>
        <v/>
      </c>
      <c r="V892" s="7">
        <f>IF($C892="","",R892*U892/100)</f>
        <v/>
      </c>
      <c r="W892" s="7">
        <f>IF($C892="","",R892-V892)</f>
        <v/>
      </c>
      <c r="X892" s="7">
        <f>IF($C892="","",W892-K892)</f>
        <v/>
      </c>
      <c r="AB892" s="7" t="n"/>
      <c r="AE892" s="11" t="n"/>
      <c r="AG892">
        <f>IF($C892="","",IF(COUNTIF($C$2:$C892,$C892)=1,1,0))</f>
        <v/>
      </c>
      <c r="AH892">
        <f>IF($AG892=1,SUMPRODUCT(--($AK$2:$AK$6001&lt;$AK892))+1,"")</f>
        <v/>
      </c>
      <c r="AI892">
        <f>IF($C892="","",IF(OR($N892=TRUE(),$N892="TRUE"),1,0))</f>
        <v/>
      </c>
      <c r="AJ892">
        <f>IF($C892="","",IF($T892="Yes",1,0))</f>
        <v/>
      </c>
      <c r="AK892">
        <f>IF($AG892=1,IFERROR(IF(VALUE($C892)&lt;100000000,VALUE($C892),1000000000),IFERROR(IF(VALUE(MID($C892,2,20))&lt;100000000,VALUE(MID($C892,2,20)),1000000000),1000000000))+ROW()/100000,"")</f>
        <v/>
      </c>
    </row>
    <row r="893">
      <c r="D893" s="11" t="n"/>
      <c r="K893" s="7">
        <f>IF($C893="","",J893*W893/100)</f>
        <v/>
      </c>
      <c r="Q893" s="7" t="n"/>
      <c r="R893" s="7" t="n"/>
      <c r="U893">
        <f>IF($C893="","",IF($AJ893=1,0,IF($AI893=1,Settings!$C$6,Settings!$C$7))*100)</f>
        <v/>
      </c>
      <c r="V893" s="7">
        <f>IF($C893="","",R893*U893/100)</f>
        <v/>
      </c>
      <c r="W893" s="7">
        <f>IF($C893="","",R893-V893)</f>
        <v/>
      </c>
      <c r="X893" s="7">
        <f>IF($C893="","",W893-K893)</f>
        <v/>
      </c>
      <c r="AB893" s="7" t="n"/>
      <c r="AE893" s="11" t="n"/>
      <c r="AG893">
        <f>IF($C893="","",IF(COUNTIF($C$2:$C893,$C893)=1,1,0))</f>
        <v/>
      </c>
      <c r="AH893">
        <f>IF($AG893=1,SUMPRODUCT(--($AK$2:$AK$6001&lt;$AK893))+1,"")</f>
        <v/>
      </c>
      <c r="AI893">
        <f>IF($C893="","",IF(OR($N893=TRUE(),$N893="TRUE"),1,0))</f>
        <v/>
      </c>
      <c r="AJ893">
        <f>IF($C893="","",IF($T893="Yes",1,0))</f>
        <v/>
      </c>
      <c r="AK893">
        <f>IF($AG893=1,IFERROR(IF(VALUE($C893)&lt;100000000,VALUE($C893),1000000000),IFERROR(IF(VALUE(MID($C893,2,20))&lt;100000000,VALUE(MID($C893,2,20)),1000000000),1000000000))+ROW()/100000,"")</f>
        <v/>
      </c>
    </row>
    <row r="894">
      <c r="D894" s="11" t="n"/>
      <c r="K894" s="7">
        <f>IF($C894="","",J894*W894/100)</f>
        <v/>
      </c>
      <c r="Q894" s="7" t="n"/>
      <c r="R894" s="7" t="n"/>
      <c r="U894">
        <f>IF($C894="","",IF($AJ894=1,0,IF($AI894=1,Settings!$C$6,Settings!$C$7))*100)</f>
        <v/>
      </c>
      <c r="V894" s="7">
        <f>IF($C894="","",R894*U894/100)</f>
        <v/>
      </c>
      <c r="W894" s="7">
        <f>IF($C894="","",R894-V894)</f>
        <v/>
      </c>
      <c r="X894" s="7">
        <f>IF($C894="","",W894-K894)</f>
        <v/>
      </c>
      <c r="AB894" s="7" t="n"/>
      <c r="AE894" s="11" t="n"/>
      <c r="AG894">
        <f>IF($C894="","",IF(COUNTIF($C$2:$C894,$C894)=1,1,0))</f>
        <v/>
      </c>
      <c r="AH894">
        <f>IF($AG894=1,SUMPRODUCT(--($AK$2:$AK$6001&lt;$AK894))+1,"")</f>
        <v/>
      </c>
      <c r="AI894">
        <f>IF($C894="","",IF(OR($N894=TRUE(),$N894="TRUE"),1,0))</f>
        <v/>
      </c>
      <c r="AJ894">
        <f>IF($C894="","",IF($T894="Yes",1,0))</f>
        <v/>
      </c>
      <c r="AK894">
        <f>IF($AG894=1,IFERROR(IF(VALUE($C894)&lt;100000000,VALUE($C894),1000000000),IFERROR(IF(VALUE(MID($C894,2,20))&lt;100000000,VALUE(MID($C894,2,20)),1000000000),1000000000))+ROW()/100000,"")</f>
        <v/>
      </c>
    </row>
    <row r="895">
      <c r="D895" s="11" t="n"/>
      <c r="K895" s="7">
        <f>IF($C895="","",J895*W895/100)</f>
        <v/>
      </c>
      <c r="Q895" s="7" t="n"/>
      <c r="R895" s="7" t="n"/>
      <c r="U895">
        <f>IF($C895="","",IF($AJ895=1,0,IF($AI895=1,Settings!$C$6,Settings!$C$7))*100)</f>
        <v/>
      </c>
      <c r="V895" s="7">
        <f>IF($C895="","",R895*U895/100)</f>
        <v/>
      </c>
      <c r="W895" s="7">
        <f>IF($C895="","",R895-V895)</f>
        <v/>
      </c>
      <c r="X895" s="7">
        <f>IF($C895="","",W895-K895)</f>
        <v/>
      </c>
      <c r="AB895" s="7" t="n"/>
      <c r="AE895" s="11" t="n"/>
      <c r="AG895">
        <f>IF($C895="","",IF(COUNTIF($C$2:$C895,$C895)=1,1,0))</f>
        <v/>
      </c>
      <c r="AH895">
        <f>IF($AG895=1,SUMPRODUCT(--($AK$2:$AK$6001&lt;$AK895))+1,"")</f>
        <v/>
      </c>
      <c r="AI895">
        <f>IF($C895="","",IF(OR($N895=TRUE(),$N895="TRUE"),1,0))</f>
        <v/>
      </c>
      <c r="AJ895">
        <f>IF($C895="","",IF($T895="Yes",1,0))</f>
        <v/>
      </c>
      <c r="AK895">
        <f>IF($AG895=1,IFERROR(IF(VALUE($C895)&lt;100000000,VALUE($C895),1000000000),IFERROR(IF(VALUE(MID($C895,2,20))&lt;100000000,VALUE(MID($C895,2,20)),1000000000),1000000000))+ROW()/100000,"")</f>
        <v/>
      </c>
    </row>
    <row r="896">
      <c r="D896" s="11" t="n"/>
      <c r="K896" s="7">
        <f>IF($C896="","",J896*W896/100)</f>
        <v/>
      </c>
      <c r="Q896" s="7" t="n"/>
      <c r="R896" s="7" t="n"/>
      <c r="U896">
        <f>IF($C896="","",IF($AJ896=1,0,IF($AI896=1,Settings!$C$6,Settings!$C$7))*100)</f>
        <v/>
      </c>
      <c r="V896" s="7">
        <f>IF($C896="","",R896*U896/100)</f>
        <v/>
      </c>
      <c r="W896" s="7">
        <f>IF($C896="","",R896-V896)</f>
        <v/>
      </c>
      <c r="X896" s="7">
        <f>IF($C896="","",W896-K896)</f>
        <v/>
      </c>
      <c r="AB896" s="7" t="n"/>
      <c r="AE896" s="11" t="n"/>
      <c r="AG896">
        <f>IF($C896="","",IF(COUNTIF($C$2:$C896,$C896)=1,1,0))</f>
        <v/>
      </c>
      <c r="AH896">
        <f>IF($AG896=1,SUMPRODUCT(--($AK$2:$AK$6001&lt;$AK896))+1,"")</f>
        <v/>
      </c>
      <c r="AI896">
        <f>IF($C896="","",IF(OR($N896=TRUE(),$N896="TRUE"),1,0))</f>
        <v/>
      </c>
      <c r="AJ896">
        <f>IF($C896="","",IF($T896="Yes",1,0))</f>
        <v/>
      </c>
      <c r="AK896">
        <f>IF($AG896=1,IFERROR(IF(VALUE($C896)&lt;100000000,VALUE($C896),1000000000),IFERROR(IF(VALUE(MID($C896,2,20))&lt;100000000,VALUE(MID($C896,2,20)),1000000000),1000000000))+ROW()/100000,"")</f>
        <v/>
      </c>
    </row>
    <row r="897">
      <c r="D897" s="11" t="n"/>
      <c r="K897" s="7">
        <f>IF($C897="","",J897*W897/100)</f>
        <v/>
      </c>
      <c r="Q897" s="7" t="n"/>
      <c r="R897" s="7" t="n"/>
      <c r="U897">
        <f>IF($C897="","",IF($AJ897=1,0,IF($AI897=1,Settings!$C$6,Settings!$C$7))*100)</f>
        <v/>
      </c>
      <c r="V897" s="7">
        <f>IF($C897="","",R897*U897/100)</f>
        <v/>
      </c>
      <c r="W897" s="7">
        <f>IF($C897="","",R897-V897)</f>
        <v/>
      </c>
      <c r="X897" s="7">
        <f>IF($C897="","",W897-K897)</f>
        <v/>
      </c>
      <c r="AB897" s="7" t="n"/>
      <c r="AE897" s="11" t="n"/>
      <c r="AG897">
        <f>IF($C897="","",IF(COUNTIF($C$2:$C897,$C897)=1,1,0))</f>
        <v/>
      </c>
      <c r="AH897">
        <f>IF($AG897=1,SUMPRODUCT(--($AK$2:$AK$6001&lt;$AK897))+1,"")</f>
        <v/>
      </c>
      <c r="AI897">
        <f>IF($C897="","",IF(OR($N897=TRUE(),$N897="TRUE"),1,0))</f>
        <v/>
      </c>
      <c r="AJ897">
        <f>IF($C897="","",IF($T897="Yes",1,0))</f>
        <v/>
      </c>
      <c r="AK897">
        <f>IF($AG897=1,IFERROR(IF(VALUE($C897)&lt;100000000,VALUE($C897),1000000000),IFERROR(IF(VALUE(MID($C897,2,20))&lt;100000000,VALUE(MID($C897,2,20)),1000000000),1000000000))+ROW()/100000,"")</f>
        <v/>
      </c>
    </row>
    <row r="898">
      <c r="D898" s="11" t="n"/>
      <c r="K898" s="7">
        <f>IF($C898="","",J898*W898/100)</f>
        <v/>
      </c>
      <c r="Q898" s="7" t="n"/>
      <c r="R898" s="7" t="n"/>
      <c r="U898">
        <f>IF($C898="","",IF($AJ898=1,0,IF($AI898=1,Settings!$C$6,Settings!$C$7))*100)</f>
        <v/>
      </c>
      <c r="V898" s="7">
        <f>IF($C898="","",R898*U898/100)</f>
        <v/>
      </c>
      <c r="W898" s="7">
        <f>IF($C898="","",R898-V898)</f>
        <v/>
      </c>
      <c r="X898" s="7">
        <f>IF($C898="","",W898-K898)</f>
        <v/>
      </c>
      <c r="AB898" s="7" t="n"/>
      <c r="AE898" s="11" t="n"/>
      <c r="AG898">
        <f>IF($C898="","",IF(COUNTIF($C$2:$C898,$C898)=1,1,0))</f>
        <v/>
      </c>
      <c r="AH898">
        <f>IF($AG898=1,SUMPRODUCT(--($AK$2:$AK$6001&lt;$AK898))+1,"")</f>
        <v/>
      </c>
      <c r="AI898">
        <f>IF($C898="","",IF(OR($N898=TRUE(),$N898="TRUE"),1,0))</f>
        <v/>
      </c>
      <c r="AJ898">
        <f>IF($C898="","",IF($T898="Yes",1,0))</f>
        <v/>
      </c>
      <c r="AK898">
        <f>IF($AG898=1,IFERROR(IF(VALUE($C898)&lt;100000000,VALUE($C898),1000000000),IFERROR(IF(VALUE(MID($C898,2,20))&lt;100000000,VALUE(MID($C898,2,20)),1000000000),1000000000))+ROW()/100000,"")</f>
        <v/>
      </c>
    </row>
    <row r="899">
      <c r="D899" s="11" t="n"/>
      <c r="K899" s="7">
        <f>IF($C899="","",J899*W899/100)</f>
        <v/>
      </c>
      <c r="Q899" s="7" t="n"/>
      <c r="R899" s="7" t="n"/>
      <c r="U899">
        <f>IF($C899="","",IF($AJ899=1,0,IF($AI899=1,Settings!$C$6,Settings!$C$7))*100)</f>
        <v/>
      </c>
      <c r="V899" s="7">
        <f>IF($C899="","",R899*U899/100)</f>
        <v/>
      </c>
      <c r="W899" s="7">
        <f>IF($C899="","",R899-V899)</f>
        <v/>
      </c>
      <c r="X899" s="7">
        <f>IF($C899="","",W899-K899)</f>
        <v/>
      </c>
      <c r="AB899" s="7" t="n"/>
      <c r="AE899" s="11" t="n"/>
      <c r="AG899">
        <f>IF($C899="","",IF(COUNTIF($C$2:$C899,$C899)=1,1,0))</f>
        <v/>
      </c>
      <c r="AH899">
        <f>IF($AG899=1,SUMPRODUCT(--($AK$2:$AK$6001&lt;$AK899))+1,"")</f>
        <v/>
      </c>
      <c r="AI899">
        <f>IF($C899="","",IF(OR($N899=TRUE(),$N899="TRUE"),1,0))</f>
        <v/>
      </c>
      <c r="AJ899">
        <f>IF($C899="","",IF($T899="Yes",1,0))</f>
        <v/>
      </c>
      <c r="AK899">
        <f>IF($AG899=1,IFERROR(IF(VALUE($C899)&lt;100000000,VALUE($C899),1000000000),IFERROR(IF(VALUE(MID($C899,2,20))&lt;100000000,VALUE(MID($C899,2,20)),1000000000),1000000000))+ROW()/100000,"")</f>
        <v/>
      </c>
    </row>
    <row r="900">
      <c r="D900" s="11" t="n"/>
      <c r="K900" s="7">
        <f>IF($C900="","",J900*W900/100)</f>
        <v/>
      </c>
      <c r="Q900" s="7" t="n"/>
      <c r="R900" s="7" t="n"/>
      <c r="U900">
        <f>IF($C900="","",IF($AJ900=1,0,IF($AI900=1,Settings!$C$6,Settings!$C$7))*100)</f>
        <v/>
      </c>
      <c r="V900" s="7">
        <f>IF($C900="","",R900*U900/100)</f>
        <v/>
      </c>
      <c r="W900" s="7">
        <f>IF($C900="","",R900-V900)</f>
        <v/>
      </c>
      <c r="X900" s="7">
        <f>IF($C900="","",W900-K900)</f>
        <v/>
      </c>
      <c r="AB900" s="7" t="n"/>
      <c r="AE900" s="11" t="n"/>
      <c r="AG900">
        <f>IF($C900="","",IF(COUNTIF($C$2:$C900,$C900)=1,1,0))</f>
        <v/>
      </c>
      <c r="AH900">
        <f>IF($AG900=1,SUMPRODUCT(--($AK$2:$AK$6001&lt;$AK900))+1,"")</f>
        <v/>
      </c>
      <c r="AI900">
        <f>IF($C900="","",IF(OR($N900=TRUE(),$N900="TRUE"),1,0))</f>
        <v/>
      </c>
      <c r="AJ900">
        <f>IF($C900="","",IF($T900="Yes",1,0))</f>
        <v/>
      </c>
      <c r="AK900">
        <f>IF($AG900=1,IFERROR(IF(VALUE($C900)&lt;100000000,VALUE($C900),1000000000),IFERROR(IF(VALUE(MID($C900,2,20))&lt;100000000,VALUE(MID($C900,2,20)),1000000000),1000000000))+ROW()/100000,"")</f>
        <v/>
      </c>
    </row>
    <row r="901">
      <c r="D901" s="11" t="n"/>
      <c r="K901" s="7">
        <f>IF($C901="","",J901*W901/100)</f>
        <v/>
      </c>
      <c r="Q901" s="7" t="n"/>
      <c r="R901" s="7" t="n"/>
      <c r="U901">
        <f>IF($C901="","",IF($AJ901=1,0,IF($AI901=1,Settings!$C$6,Settings!$C$7))*100)</f>
        <v/>
      </c>
      <c r="V901" s="7">
        <f>IF($C901="","",R901*U901/100)</f>
        <v/>
      </c>
      <c r="W901" s="7">
        <f>IF($C901="","",R901-V901)</f>
        <v/>
      </c>
      <c r="X901" s="7">
        <f>IF($C901="","",W901-K901)</f>
        <v/>
      </c>
      <c r="AB901" s="7" t="n"/>
      <c r="AE901" s="11" t="n"/>
      <c r="AG901">
        <f>IF($C901="","",IF(COUNTIF($C$2:$C901,$C901)=1,1,0))</f>
        <v/>
      </c>
      <c r="AH901">
        <f>IF($AG901=1,SUMPRODUCT(--($AK$2:$AK$6001&lt;$AK901))+1,"")</f>
        <v/>
      </c>
      <c r="AI901">
        <f>IF($C901="","",IF(OR($N901=TRUE(),$N901="TRUE"),1,0))</f>
        <v/>
      </c>
      <c r="AJ901">
        <f>IF($C901="","",IF($T901="Yes",1,0))</f>
        <v/>
      </c>
      <c r="AK901">
        <f>IF($AG901=1,IFERROR(IF(VALUE($C901)&lt;100000000,VALUE($C901),1000000000),IFERROR(IF(VALUE(MID($C901,2,20))&lt;100000000,VALUE(MID($C901,2,20)),1000000000),1000000000))+ROW()/100000,"")</f>
        <v/>
      </c>
    </row>
    <row r="902">
      <c r="D902" s="11" t="n"/>
      <c r="K902" s="7">
        <f>IF($C902="","",J902*W902/100)</f>
        <v/>
      </c>
      <c r="Q902" s="7" t="n"/>
      <c r="R902" s="7" t="n"/>
      <c r="U902">
        <f>IF($C902="","",IF($AJ902=1,0,IF($AI902=1,Settings!$C$6,Settings!$C$7))*100)</f>
        <v/>
      </c>
      <c r="V902" s="7">
        <f>IF($C902="","",R902*U902/100)</f>
        <v/>
      </c>
      <c r="W902" s="7">
        <f>IF($C902="","",R902-V902)</f>
        <v/>
      </c>
      <c r="X902" s="7">
        <f>IF($C902="","",W902-K902)</f>
        <v/>
      </c>
      <c r="AB902" s="7" t="n"/>
      <c r="AE902" s="11" t="n"/>
      <c r="AG902">
        <f>IF($C902="","",IF(COUNTIF($C$2:$C902,$C902)=1,1,0))</f>
        <v/>
      </c>
      <c r="AH902">
        <f>IF($AG902=1,SUMPRODUCT(--($AK$2:$AK$6001&lt;$AK902))+1,"")</f>
        <v/>
      </c>
      <c r="AI902">
        <f>IF($C902="","",IF(OR($N902=TRUE(),$N902="TRUE"),1,0))</f>
        <v/>
      </c>
      <c r="AJ902">
        <f>IF($C902="","",IF($T902="Yes",1,0))</f>
        <v/>
      </c>
      <c r="AK902">
        <f>IF($AG902=1,IFERROR(IF(VALUE($C902)&lt;100000000,VALUE($C902),1000000000),IFERROR(IF(VALUE(MID($C902,2,20))&lt;100000000,VALUE(MID($C902,2,20)),1000000000),1000000000))+ROW()/100000,"")</f>
        <v/>
      </c>
    </row>
    <row r="903">
      <c r="D903" s="11" t="n"/>
      <c r="K903" s="7">
        <f>IF($C903="","",J903*W903/100)</f>
        <v/>
      </c>
      <c r="Q903" s="7" t="n"/>
      <c r="R903" s="7" t="n"/>
      <c r="U903">
        <f>IF($C903="","",IF($AJ903=1,0,IF($AI903=1,Settings!$C$6,Settings!$C$7))*100)</f>
        <v/>
      </c>
      <c r="V903" s="7">
        <f>IF($C903="","",R903*U903/100)</f>
        <v/>
      </c>
      <c r="W903" s="7">
        <f>IF($C903="","",R903-V903)</f>
        <v/>
      </c>
      <c r="X903" s="7">
        <f>IF($C903="","",W903-K903)</f>
        <v/>
      </c>
      <c r="AB903" s="7" t="n"/>
      <c r="AE903" s="11" t="n"/>
      <c r="AG903">
        <f>IF($C903="","",IF(COUNTIF($C$2:$C903,$C903)=1,1,0))</f>
        <v/>
      </c>
      <c r="AH903">
        <f>IF($AG903=1,SUMPRODUCT(--($AK$2:$AK$6001&lt;$AK903))+1,"")</f>
        <v/>
      </c>
      <c r="AI903">
        <f>IF($C903="","",IF(OR($N903=TRUE(),$N903="TRUE"),1,0))</f>
        <v/>
      </c>
      <c r="AJ903">
        <f>IF($C903="","",IF($T903="Yes",1,0))</f>
        <v/>
      </c>
      <c r="AK903">
        <f>IF($AG903=1,IFERROR(IF(VALUE($C903)&lt;100000000,VALUE($C903),1000000000),IFERROR(IF(VALUE(MID($C903,2,20))&lt;100000000,VALUE(MID($C903,2,20)),1000000000),1000000000))+ROW()/100000,"")</f>
        <v/>
      </c>
    </row>
    <row r="904">
      <c r="D904" s="11" t="n"/>
      <c r="K904" s="7">
        <f>IF($C904="","",J904*W904/100)</f>
        <v/>
      </c>
      <c r="Q904" s="7" t="n"/>
      <c r="R904" s="7" t="n"/>
      <c r="U904">
        <f>IF($C904="","",IF($AJ904=1,0,IF($AI904=1,Settings!$C$6,Settings!$C$7))*100)</f>
        <v/>
      </c>
      <c r="V904" s="7">
        <f>IF($C904="","",R904*U904/100)</f>
        <v/>
      </c>
      <c r="W904" s="7">
        <f>IF($C904="","",R904-V904)</f>
        <v/>
      </c>
      <c r="X904" s="7">
        <f>IF($C904="","",W904-K904)</f>
        <v/>
      </c>
      <c r="AB904" s="7" t="n"/>
      <c r="AE904" s="11" t="n"/>
      <c r="AG904">
        <f>IF($C904="","",IF(COUNTIF($C$2:$C904,$C904)=1,1,0))</f>
        <v/>
      </c>
      <c r="AH904">
        <f>IF($AG904=1,SUMPRODUCT(--($AK$2:$AK$6001&lt;$AK904))+1,"")</f>
        <v/>
      </c>
      <c r="AI904">
        <f>IF($C904="","",IF(OR($N904=TRUE(),$N904="TRUE"),1,0))</f>
        <v/>
      </c>
      <c r="AJ904">
        <f>IF($C904="","",IF($T904="Yes",1,0))</f>
        <v/>
      </c>
      <c r="AK904">
        <f>IF($AG904=1,IFERROR(IF(VALUE($C904)&lt;100000000,VALUE($C904),1000000000),IFERROR(IF(VALUE(MID($C904,2,20))&lt;100000000,VALUE(MID($C904,2,20)),1000000000),1000000000))+ROW()/100000,"")</f>
        <v/>
      </c>
    </row>
    <row r="905">
      <c r="D905" s="11" t="n"/>
      <c r="K905" s="7">
        <f>IF($C905="","",J905*W905/100)</f>
        <v/>
      </c>
      <c r="Q905" s="7" t="n"/>
      <c r="R905" s="7" t="n"/>
      <c r="U905">
        <f>IF($C905="","",IF($AJ905=1,0,IF($AI905=1,Settings!$C$6,Settings!$C$7))*100)</f>
        <v/>
      </c>
      <c r="V905" s="7">
        <f>IF($C905="","",R905*U905/100)</f>
        <v/>
      </c>
      <c r="W905" s="7">
        <f>IF($C905="","",R905-V905)</f>
        <v/>
      </c>
      <c r="X905" s="7">
        <f>IF($C905="","",W905-K905)</f>
        <v/>
      </c>
      <c r="AB905" s="7" t="n"/>
      <c r="AE905" s="11" t="n"/>
      <c r="AG905">
        <f>IF($C905="","",IF(COUNTIF($C$2:$C905,$C905)=1,1,0))</f>
        <v/>
      </c>
      <c r="AH905">
        <f>IF($AG905=1,SUMPRODUCT(--($AK$2:$AK$6001&lt;$AK905))+1,"")</f>
        <v/>
      </c>
      <c r="AI905">
        <f>IF($C905="","",IF(OR($N905=TRUE(),$N905="TRUE"),1,0))</f>
        <v/>
      </c>
      <c r="AJ905">
        <f>IF($C905="","",IF($T905="Yes",1,0))</f>
        <v/>
      </c>
      <c r="AK905">
        <f>IF($AG905=1,IFERROR(IF(VALUE($C905)&lt;100000000,VALUE($C905),1000000000),IFERROR(IF(VALUE(MID($C905,2,20))&lt;100000000,VALUE(MID($C905,2,20)),1000000000),1000000000))+ROW()/100000,"")</f>
        <v/>
      </c>
    </row>
    <row r="906">
      <c r="D906" s="11" t="n"/>
      <c r="K906" s="7">
        <f>IF($C906="","",J906*W906/100)</f>
        <v/>
      </c>
      <c r="Q906" s="7" t="n"/>
      <c r="R906" s="7" t="n"/>
      <c r="U906">
        <f>IF($C906="","",IF($AJ906=1,0,IF($AI906=1,Settings!$C$6,Settings!$C$7))*100)</f>
        <v/>
      </c>
      <c r="V906" s="7">
        <f>IF($C906="","",R906*U906/100)</f>
        <v/>
      </c>
      <c r="W906" s="7">
        <f>IF($C906="","",R906-V906)</f>
        <v/>
      </c>
      <c r="X906" s="7">
        <f>IF($C906="","",W906-K906)</f>
        <v/>
      </c>
      <c r="AB906" s="7" t="n"/>
      <c r="AE906" s="11" t="n"/>
      <c r="AG906">
        <f>IF($C906="","",IF(COUNTIF($C$2:$C906,$C906)=1,1,0))</f>
        <v/>
      </c>
      <c r="AH906">
        <f>IF($AG906=1,SUMPRODUCT(--($AK$2:$AK$6001&lt;$AK906))+1,"")</f>
        <v/>
      </c>
      <c r="AI906">
        <f>IF($C906="","",IF(OR($N906=TRUE(),$N906="TRUE"),1,0))</f>
        <v/>
      </c>
      <c r="AJ906">
        <f>IF($C906="","",IF($T906="Yes",1,0))</f>
        <v/>
      </c>
      <c r="AK906">
        <f>IF($AG906=1,IFERROR(IF(VALUE($C906)&lt;100000000,VALUE($C906),1000000000),IFERROR(IF(VALUE(MID($C906,2,20))&lt;100000000,VALUE(MID($C906,2,20)),1000000000),1000000000))+ROW()/100000,"")</f>
        <v/>
      </c>
    </row>
    <row r="907">
      <c r="D907" s="11" t="n"/>
      <c r="K907" s="7">
        <f>IF($C907="","",J907*W907/100)</f>
        <v/>
      </c>
      <c r="Q907" s="7" t="n"/>
      <c r="R907" s="7" t="n"/>
      <c r="U907">
        <f>IF($C907="","",IF($AJ907=1,0,IF($AI907=1,Settings!$C$6,Settings!$C$7))*100)</f>
        <v/>
      </c>
      <c r="V907" s="7">
        <f>IF($C907="","",R907*U907/100)</f>
        <v/>
      </c>
      <c r="W907" s="7">
        <f>IF($C907="","",R907-V907)</f>
        <v/>
      </c>
      <c r="X907" s="7">
        <f>IF($C907="","",W907-K907)</f>
        <v/>
      </c>
      <c r="AB907" s="7" t="n"/>
      <c r="AE907" s="11" t="n"/>
      <c r="AG907">
        <f>IF($C907="","",IF(COUNTIF($C$2:$C907,$C907)=1,1,0))</f>
        <v/>
      </c>
      <c r="AH907">
        <f>IF($AG907=1,SUMPRODUCT(--($AK$2:$AK$6001&lt;$AK907))+1,"")</f>
        <v/>
      </c>
      <c r="AI907">
        <f>IF($C907="","",IF(OR($N907=TRUE(),$N907="TRUE"),1,0))</f>
        <v/>
      </c>
      <c r="AJ907">
        <f>IF($C907="","",IF($T907="Yes",1,0))</f>
        <v/>
      </c>
      <c r="AK907">
        <f>IF($AG907=1,IFERROR(IF(VALUE($C907)&lt;100000000,VALUE($C907),1000000000),IFERROR(IF(VALUE(MID($C907,2,20))&lt;100000000,VALUE(MID($C907,2,20)),1000000000),1000000000))+ROW()/100000,"")</f>
        <v/>
      </c>
    </row>
    <row r="908">
      <c r="D908" s="11" t="n"/>
      <c r="K908" s="7">
        <f>IF($C908="","",J908*W908/100)</f>
        <v/>
      </c>
      <c r="Q908" s="7" t="n"/>
      <c r="R908" s="7" t="n"/>
      <c r="U908">
        <f>IF($C908="","",IF($AJ908=1,0,IF($AI908=1,Settings!$C$6,Settings!$C$7))*100)</f>
        <v/>
      </c>
      <c r="V908" s="7">
        <f>IF($C908="","",R908*U908/100)</f>
        <v/>
      </c>
      <c r="W908" s="7">
        <f>IF($C908="","",R908-V908)</f>
        <v/>
      </c>
      <c r="X908" s="7">
        <f>IF($C908="","",W908-K908)</f>
        <v/>
      </c>
      <c r="AB908" s="7" t="n"/>
      <c r="AE908" s="11" t="n"/>
      <c r="AG908">
        <f>IF($C908="","",IF(COUNTIF($C$2:$C908,$C908)=1,1,0))</f>
        <v/>
      </c>
      <c r="AH908">
        <f>IF($AG908=1,SUMPRODUCT(--($AK$2:$AK$6001&lt;$AK908))+1,"")</f>
        <v/>
      </c>
      <c r="AI908">
        <f>IF($C908="","",IF(OR($N908=TRUE(),$N908="TRUE"),1,0))</f>
        <v/>
      </c>
      <c r="AJ908">
        <f>IF($C908="","",IF($T908="Yes",1,0))</f>
        <v/>
      </c>
      <c r="AK908">
        <f>IF($AG908=1,IFERROR(IF(VALUE($C908)&lt;100000000,VALUE($C908),1000000000),IFERROR(IF(VALUE(MID($C908,2,20))&lt;100000000,VALUE(MID($C908,2,20)),1000000000),1000000000))+ROW()/100000,"")</f>
        <v/>
      </c>
    </row>
    <row r="909">
      <c r="D909" s="11" t="n"/>
      <c r="K909" s="7">
        <f>IF($C909="","",J909*W909/100)</f>
        <v/>
      </c>
      <c r="Q909" s="7" t="n"/>
      <c r="R909" s="7" t="n"/>
      <c r="U909">
        <f>IF($C909="","",IF($AJ909=1,0,IF($AI909=1,Settings!$C$6,Settings!$C$7))*100)</f>
        <v/>
      </c>
      <c r="V909" s="7">
        <f>IF($C909="","",R909*U909/100)</f>
        <v/>
      </c>
      <c r="W909" s="7">
        <f>IF($C909="","",R909-V909)</f>
        <v/>
      </c>
      <c r="X909" s="7">
        <f>IF($C909="","",W909-K909)</f>
        <v/>
      </c>
      <c r="AB909" s="7" t="n"/>
      <c r="AE909" s="11" t="n"/>
      <c r="AG909">
        <f>IF($C909="","",IF(COUNTIF($C$2:$C909,$C909)=1,1,0))</f>
        <v/>
      </c>
      <c r="AH909">
        <f>IF($AG909=1,SUMPRODUCT(--($AK$2:$AK$6001&lt;$AK909))+1,"")</f>
        <v/>
      </c>
      <c r="AI909">
        <f>IF($C909="","",IF(OR($N909=TRUE(),$N909="TRUE"),1,0))</f>
        <v/>
      </c>
      <c r="AJ909">
        <f>IF($C909="","",IF($T909="Yes",1,0))</f>
        <v/>
      </c>
      <c r="AK909">
        <f>IF($AG909=1,IFERROR(IF(VALUE($C909)&lt;100000000,VALUE($C909),1000000000),IFERROR(IF(VALUE(MID($C909,2,20))&lt;100000000,VALUE(MID($C909,2,20)),1000000000),1000000000))+ROW()/100000,"")</f>
        <v/>
      </c>
    </row>
    <row r="910">
      <c r="D910" s="11" t="n"/>
      <c r="K910" s="7">
        <f>IF($C910="","",J910*W910/100)</f>
        <v/>
      </c>
      <c r="Q910" s="7" t="n"/>
      <c r="R910" s="7" t="n"/>
      <c r="U910">
        <f>IF($C910="","",IF($AJ910=1,0,IF($AI910=1,Settings!$C$6,Settings!$C$7))*100)</f>
        <v/>
      </c>
      <c r="V910" s="7">
        <f>IF($C910="","",R910*U910/100)</f>
        <v/>
      </c>
      <c r="W910" s="7">
        <f>IF($C910="","",R910-V910)</f>
        <v/>
      </c>
      <c r="X910" s="7">
        <f>IF($C910="","",W910-K910)</f>
        <v/>
      </c>
      <c r="AB910" s="7" t="n"/>
      <c r="AE910" s="11" t="n"/>
      <c r="AG910">
        <f>IF($C910="","",IF(COUNTIF($C$2:$C910,$C910)=1,1,0))</f>
        <v/>
      </c>
      <c r="AH910">
        <f>IF($AG910=1,SUMPRODUCT(--($AK$2:$AK$6001&lt;$AK910))+1,"")</f>
        <v/>
      </c>
      <c r="AI910">
        <f>IF($C910="","",IF(OR($N910=TRUE(),$N910="TRUE"),1,0))</f>
        <v/>
      </c>
      <c r="AJ910">
        <f>IF($C910="","",IF($T910="Yes",1,0))</f>
        <v/>
      </c>
      <c r="AK910">
        <f>IF($AG910=1,IFERROR(IF(VALUE($C910)&lt;100000000,VALUE($C910),1000000000),IFERROR(IF(VALUE(MID($C910,2,20))&lt;100000000,VALUE(MID($C910,2,20)),1000000000),1000000000))+ROW()/100000,"")</f>
        <v/>
      </c>
    </row>
    <row r="911">
      <c r="D911" s="11" t="n"/>
      <c r="K911" s="7">
        <f>IF($C911="","",J911*W911/100)</f>
        <v/>
      </c>
      <c r="Q911" s="7" t="n"/>
      <c r="R911" s="7" t="n"/>
      <c r="U911">
        <f>IF($C911="","",IF($AJ911=1,0,IF($AI911=1,Settings!$C$6,Settings!$C$7))*100)</f>
        <v/>
      </c>
      <c r="V911" s="7">
        <f>IF($C911="","",R911*U911/100)</f>
        <v/>
      </c>
      <c r="W911" s="7">
        <f>IF($C911="","",R911-V911)</f>
        <v/>
      </c>
      <c r="X911" s="7">
        <f>IF($C911="","",W911-K911)</f>
        <v/>
      </c>
      <c r="AB911" s="7" t="n"/>
      <c r="AE911" s="11" t="n"/>
      <c r="AG911">
        <f>IF($C911="","",IF(COUNTIF($C$2:$C911,$C911)=1,1,0))</f>
        <v/>
      </c>
      <c r="AH911">
        <f>IF($AG911=1,SUMPRODUCT(--($AK$2:$AK$6001&lt;$AK911))+1,"")</f>
        <v/>
      </c>
      <c r="AI911">
        <f>IF($C911="","",IF(OR($N911=TRUE(),$N911="TRUE"),1,0))</f>
        <v/>
      </c>
      <c r="AJ911">
        <f>IF($C911="","",IF($T911="Yes",1,0))</f>
        <v/>
      </c>
      <c r="AK911">
        <f>IF($AG911=1,IFERROR(IF(VALUE($C911)&lt;100000000,VALUE($C911),1000000000),IFERROR(IF(VALUE(MID($C911,2,20))&lt;100000000,VALUE(MID($C911,2,20)),1000000000),1000000000))+ROW()/100000,"")</f>
        <v/>
      </c>
    </row>
    <row r="912">
      <c r="D912" s="11" t="n"/>
      <c r="K912" s="7">
        <f>IF($C912="","",J912*W912/100)</f>
        <v/>
      </c>
      <c r="Q912" s="7" t="n"/>
      <c r="R912" s="7" t="n"/>
      <c r="U912">
        <f>IF($C912="","",IF($AJ912=1,0,IF($AI912=1,Settings!$C$6,Settings!$C$7))*100)</f>
        <v/>
      </c>
      <c r="V912" s="7">
        <f>IF($C912="","",R912*U912/100)</f>
        <v/>
      </c>
      <c r="W912" s="7">
        <f>IF($C912="","",R912-V912)</f>
        <v/>
      </c>
      <c r="X912" s="7">
        <f>IF($C912="","",W912-K912)</f>
        <v/>
      </c>
      <c r="AB912" s="7" t="n"/>
      <c r="AE912" s="11" t="n"/>
      <c r="AG912">
        <f>IF($C912="","",IF(COUNTIF($C$2:$C912,$C912)=1,1,0))</f>
        <v/>
      </c>
      <c r="AH912">
        <f>IF($AG912=1,SUMPRODUCT(--($AK$2:$AK$6001&lt;$AK912))+1,"")</f>
        <v/>
      </c>
      <c r="AI912">
        <f>IF($C912="","",IF(OR($N912=TRUE(),$N912="TRUE"),1,0))</f>
        <v/>
      </c>
      <c r="AJ912">
        <f>IF($C912="","",IF($T912="Yes",1,0))</f>
        <v/>
      </c>
      <c r="AK912">
        <f>IF($AG912=1,IFERROR(IF(VALUE($C912)&lt;100000000,VALUE($C912),1000000000),IFERROR(IF(VALUE(MID($C912,2,20))&lt;100000000,VALUE(MID($C912,2,20)),1000000000),1000000000))+ROW()/100000,"")</f>
        <v/>
      </c>
    </row>
    <row r="913">
      <c r="D913" s="11" t="n"/>
      <c r="K913" s="7">
        <f>IF($C913="","",J913*W913/100)</f>
        <v/>
      </c>
      <c r="Q913" s="7" t="n"/>
      <c r="R913" s="7" t="n"/>
      <c r="U913">
        <f>IF($C913="","",IF($AJ913=1,0,IF($AI913=1,Settings!$C$6,Settings!$C$7))*100)</f>
        <v/>
      </c>
      <c r="V913" s="7">
        <f>IF($C913="","",R913*U913/100)</f>
        <v/>
      </c>
      <c r="W913" s="7">
        <f>IF($C913="","",R913-V913)</f>
        <v/>
      </c>
      <c r="X913" s="7">
        <f>IF($C913="","",W913-K913)</f>
        <v/>
      </c>
      <c r="AB913" s="7" t="n"/>
      <c r="AE913" s="11" t="n"/>
      <c r="AG913">
        <f>IF($C913="","",IF(COUNTIF($C$2:$C913,$C913)=1,1,0))</f>
        <v/>
      </c>
      <c r="AH913">
        <f>IF($AG913=1,SUMPRODUCT(--($AK$2:$AK$6001&lt;$AK913))+1,"")</f>
        <v/>
      </c>
      <c r="AI913">
        <f>IF($C913="","",IF(OR($N913=TRUE(),$N913="TRUE"),1,0))</f>
        <v/>
      </c>
      <c r="AJ913">
        <f>IF($C913="","",IF($T913="Yes",1,0))</f>
        <v/>
      </c>
      <c r="AK913">
        <f>IF($AG913=1,IFERROR(IF(VALUE($C913)&lt;100000000,VALUE($C913),1000000000),IFERROR(IF(VALUE(MID($C913,2,20))&lt;100000000,VALUE(MID($C913,2,20)),1000000000),1000000000))+ROW()/100000,"")</f>
        <v/>
      </c>
    </row>
    <row r="914">
      <c r="D914" s="11" t="n"/>
      <c r="K914" s="7">
        <f>IF($C914="","",J914*W914/100)</f>
        <v/>
      </c>
      <c r="Q914" s="7" t="n"/>
      <c r="R914" s="7" t="n"/>
      <c r="U914">
        <f>IF($C914="","",IF($AJ914=1,0,IF($AI914=1,Settings!$C$6,Settings!$C$7))*100)</f>
        <v/>
      </c>
      <c r="V914" s="7">
        <f>IF($C914="","",R914*U914/100)</f>
        <v/>
      </c>
      <c r="W914" s="7">
        <f>IF($C914="","",R914-V914)</f>
        <v/>
      </c>
      <c r="X914" s="7">
        <f>IF($C914="","",W914-K914)</f>
        <v/>
      </c>
      <c r="AB914" s="7" t="n"/>
      <c r="AE914" s="11" t="n"/>
      <c r="AG914">
        <f>IF($C914="","",IF(COUNTIF($C$2:$C914,$C914)=1,1,0))</f>
        <v/>
      </c>
      <c r="AH914">
        <f>IF($AG914=1,SUMPRODUCT(--($AK$2:$AK$6001&lt;$AK914))+1,"")</f>
        <v/>
      </c>
      <c r="AI914">
        <f>IF($C914="","",IF(OR($N914=TRUE(),$N914="TRUE"),1,0))</f>
        <v/>
      </c>
      <c r="AJ914">
        <f>IF($C914="","",IF($T914="Yes",1,0))</f>
        <v/>
      </c>
      <c r="AK914">
        <f>IF($AG914=1,IFERROR(IF(VALUE($C914)&lt;100000000,VALUE($C914),1000000000),IFERROR(IF(VALUE(MID($C914,2,20))&lt;100000000,VALUE(MID($C914,2,20)),1000000000),1000000000))+ROW()/100000,"")</f>
        <v/>
      </c>
    </row>
    <row r="915">
      <c r="D915" s="11" t="n"/>
      <c r="K915" s="7">
        <f>IF($C915="","",J915*W915/100)</f>
        <v/>
      </c>
      <c r="Q915" s="7" t="n"/>
      <c r="R915" s="7" t="n"/>
      <c r="U915">
        <f>IF($C915="","",IF($AJ915=1,0,IF($AI915=1,Settings!$C$6,Settings!$C$7))*100)</f>
        <v/>
      </c>
      <c r="V915" s="7">
        <f>IF($C915="","",R915*U915/100)</f>
        <v/>
      </c>
      <c r="W915" s="7">
        <f>IF($C915="","",R915-V915)</f>
        <v/>
      </c>
      <c r="X915" s="7">
        <f>IF($C915="","",W915-K915)</f>
        <v/>
      </c>
      <c r="AB915" s="7" t="n"/>
      <c r="AE915" s="11" t="n"/>
      <c r="AG915">
        <f>IF($C915="","",IF(COUNTIF($C$2:$C915,$C915)=1,1,0))</f>
        <v/>
      </c>
      <c r="AH915">
        <f>IF($AG915=1,SUMPRODUCT(--($AK$2:$AK$6001&lt;$AK915))+1,"")</f>
        <v/>
      </c>
      <c r="AI915">
        <f>IF($C915="","",IF(OR($N915=TRUE(),$N915="TRUE"),1,0))</f>
        <v/>
      </c>
      <c r="AJ915">
        <f>IF($C915="","",IF($T915="Yes",1,0))</f>
        <v/>
      </c>
      <c r="AK915">
        <f>IF($AG915=1,IFERROR(IF(VALUE($C915)&lt;100000000,VALUE($C915),1000000000),IFERROR(IF(VALUE(MID($C915,2,20))&lt;100000000,VALUE(MID($C915,2,20)),1000000000),1000000000))+ROW()/100000,"")</f>
        <v/>
      </c>
    </row>
    <row r="916">
      <c r="D916" s="11" t="n"/>
      <c r="K916" s="7">
        <f>IF($C916="","",J916*W916/100)</f>
        <v/>
      </c>
      <c r="Q916" s="7" t="n"/>
      <c r="R916" s="7" t="n"/>
      <c r="U916">
        <f>IF($C916="","",IF($AJ916=1,0,IF($AI916=1,Settings!$C$6,Settings!$C$7))*100)</f>
        <v/>
      </c>
      <c r="V916" s="7">
        <f>IF($C916="","",R916*U916/100)</f>
        <v/>
      </c>
      <c r="W916" s="7">
        <f>IF($C916="","",R916-V916)</f>
        <v/>
      </c>
      <c r="X916" s="7">
        <f>IF($C916="","",W916-K916)</f>
        <v/>
      </c>
      <c r="AB916" s="7" t="n"/>
      <c r="AE916" s="11" t="n"/>
      <c r="AG916">
        <f>IF($C916="","",IF(COUNTIF($C$2:$C916,$C916)=1,1,0))</f>
        <v/>
      </c>
      <c r="AH916">
        <f>IF($AG916=1,SUMPRODUCT(--($AK$2:$AK$6001&lt;$AK916))+1,"")</f>
        <v/>
      </c>
      <c r="AI916">
        <f>IF($C916="","",IF(OR($N916=TRUE(),$N916="TRUE"),1,0))</f>
        <v/>
      </c>
      <c r="AJ916">
        <f>IF($C916="","",IF($T916="Yes",1,0))</f>
        <v/>
      </c>
      <c r="AK916">
        <f>IF($AG916=1,IFERROR(IF(VALUE($C916)&lt;100000000,VALUE($C916),1000000000),IFERROR(IF(VALUE(MID($C916,2,20))&lt;100000000,VALUE(MID($C916,2,20)),1000000000),1000000000))+ROW()/100000,"")</f>
        <v/>
      </c>
    </row>
    <row r="917">
      <c r="D917" s="11" t="n"/>
      <c r="K917" s="7">
        <f>IF($C917="","",J917*W917/100)</f>
        <v/>
      </c>
      <c r="Q917" s="7" t="n"/>
      <c r="R917" s="7" t="n"/>
      <c r="U917">
        <f>IF($C917="","",IF($AJ917=1,0,IF($AI917=1,Settings!$C$6,Settings!$C$7))*100)</f>
        <v/>
      </c>
      <c r="V917" s="7">
        <f>IF($C917="","",R917*U917/100)</f>
        <v/>
      </c>
      <c r="W917" s="7">
        <f>IF($C917="","",R917-V917)</f>
        <v/>
      </c>
      <c r="X917" s="7">
        <f>IF($C917="","",W917-K917)</f>
        <v/>
      </c>
      <c r="AB917" s="7" t="n"/>
      <c r="AE917" s="11" t="n"/>
      <c r="AG917">
        <f>IF($C917="","",IF(COUNTIF($C$2:$C917,$C917)=1,1,0))</f>
        <v/>
      </c>
      <c r="AH917">
        <f>IF($AG917=1,SUMPRODUCT(--($AK$2:$AK$6001&lt;$AK917))+1,"")</f>
        <v/>
      </c>
      <c r="AI917">
        <f>IF($C917="","",IF(OR($N917=TRUE(),$N917="TRUE"),1,0))</f>
        <v/>
      </c>
      <c r="AJ917">
        <f>IF($C917="","",IF($T917="Yes",1,0))</f>
        <v/>
      </c>
      <c r="AK917">
        <f>IF($AG917=1,IFERROR(IF(VALUE($C917)&lt;100000000,VALUE($C917),1000000000),IFERROR(IF(VALUE(MID($C917,2,20))&lt;100000000,VALUE(MID($C917,2,20)),1000000000),1000000000))+ROW()/100000,"")</f>
        <v/>
      </c>
    </row>
    <row r="918">
      <c r="D918" s="11" t="n"/>
      <c r="K918" s="7">
        <f>IF($C918="","",J918*W918/100)</f>
        <v/>
      </c>
      <c r="Q918" s="7" t="n"/>
      <c r="R918" s="7" t="n"/>
      <c r="U918">
        <f>IF($C918="","",IF($AJ918=1,0,IF($AI918=1,Settings!$C$6,Settings!$C$7))*100)</f>
        <v/>
      </c>
      <c r="V918" s="7">
        <f>IF($C918="","",R918*U918/100)</f>
        <v/>
      </c>
      <c r="W918" s="7">
        <f>IF($C918="","",R918-V918)</f>
        <v/>
      </c>
      <c r="X918" s="7">
        <f>IF($C918="","",W918-K918)</f>
        <v/>
      </c>
      <c r="AB918" s="7" t="n"/>
      <c r="AE918" s="11" t="n"/>
      <c r="AG918">
        <f>IF($C918="","",IF(COUNTIF($C$2:$C918,$C918)=1,1,0))</f>
        <v/>
      </c>
      <c r="AH918">
        <f>IF($AG918=1,SUMPRODUCT(--($AK$2:$AK$6001&lt;$AK918))+1,"")</f>
        <v/>
      </c>
      <c r="AI918">
        <f>IF($C918="","",IF(OR($N918=TRUE(),$N918="TRUE"),1,0))</f>
        <v/>
      </c>
      <c r="AJ918">
        <f>IF($C918="","",IF($T918="Yes",1,0))</f>
        <v/>
      </c>
      <c r="AK918">
        <f>IF($AG918=1,IFERROR(IF(VALUE($C918)&lt;100000000,VALUE($C918),1000000000),IFERROR(IF(VALUE(MID($C918,2,20))&lt;100000000,VALUE(MID($C918,2,20)),1000000000),1000000000))+ROW()/100000,"")</f>
        <v/>
      </c>
    </row>
    <row r="919">
      <c r="D919" s="11" t="n"/>
      <c r="K919" s="7">
        <f>IF($C919="","",J919*W919/100)</f>
        <v/>
      </c>
      <c r="Q919" s="7" t="n"/>
      <c r="R919" s="7" t="n"/>
      <c r="U919">
        <f>IF($C919="","",IF($AJ919=1,0,IF($AI919=1,Settings!$C$6,Settings!$C$7))*100)</f>
        <v/>
      </c>
      <c r="V919" s="7">
        <f>IF($C919="","",R919*U919/100)</f>
        <v/>
      </c>
      <c r="W919" s="7">
        <f>IF($C919="","",R919-V919)</f>
        <v/>
      </c>
      <c r="X919" s="7">
        <f>IF($C919="","",W919-K919)</f>
        <v/>
      </c>
      <c r="AB919" s="7" t="n"/>
      <c r="AE919" s="11" t="n"/>
      <c r="AG919">
        <f>IF($C919="","",IF(COUNTIF($C$2:$C919,$C919)=1,1,0))</f>
        <v/>
      </c>
      <c r="AH919">
        <f>IF($AG919=1,SUMPRODUCT(--($AK$2:$AK$6001&lt;$AK919))+1,"")</f>
        <v/>
      </c>
      <c r="AI919">
        <f>IF($C919="","",IF(OR($N919=TRUE(),$N919="TRUE"),1,0))</f>
        <v/>
      </c>
      <c r="AJ919">
        <f>IF($C919="","",IF($T919="Yes",1,0))</f>
        <v/>
      </c>
      <c r="AK919">
        <f>IF($AG919=1,IFERROR(IF(VALUE($C919)&lt;100000000,VALUE($C919),1000000000),IFERROR(IF(VALUE(MID($C919,2,20))&lt;100000000,VALUE(MID($C919,2,20)),1000000000),1000000000))+ROW()/100000,"")</f>
        <v/>
      </c>
    </row>
    <row r="920">
      <c r="D920" s="11" t="n"/>
      <c r="K920" s="7">
        <f>IF($C920="","",J920*W920/100)</f>
        <v/>
      </c>
      <c r="Q920" s="7" t="n"/>
      <c r="R920" s="7" t="n"/>
      <c r="U920">
        <f>IF($C920="","",IF($AJ920=1,0,IF($AI920=1,Settings!$C$6,Settings!$C$7))*100)</f>
        <v/>
      </c>
      <c r="V920" s="7">
        <f>IF($C920="","",R920*U920/100)</f>
        <v/>
      </c>
      <c r="W920" s="7">
        <f>IF($C920="","",R920-V920)</f>
        <v/>
      </c>
      <c r="X920" s="7">
        <f>IF($C920="","",W920-K920)</f>
        <v/>
      </c>
      <c r="AB920" s="7" t="n"/>
      <c r="AE920" s="11" t="n"/>
      <c r="AG920">
        <f>IF($C920="","",IF(COUNTIF($C$2:$C920,$C920)=1,1,0))</f>
        <v/>
      </c>
      <c r="AH920">
        <f>IF($AG920=1,SUMPRODUCT(--($AK$2:$AK$6001&lt;$AK920))+1,"")</f>
        <v/>
      </c>
      <c r="AI920">
        <f>IF($C920="","",IF(OR($N920=TRUE(),$N920="TRUE"),1,0))</f>
        <v/>
      </c>
      <c r="AJ920">
        <f>IF($C920="","",IF($T920="Yes",1,0))</f>
        <v/>
      </c>
      <c r="AK920">
        <f>IF($AG920=1,IFERROR(IF(VALUE($C920)&lt;100000000,VALUE($C920),1000000000),IFERROR(IF(VALUE(MID($C920,2,20))&lt;100000000,VALUE(MID($C920,2,20)),1000000000),1000000000))+ROW()/100000,"")</f>
        <v/>
      </c>
    </row>
    <row r="921">
      <c r="D921" s="11" t="n"/>
      <c r="K921" s="7">
        <f>IF($C921="","",J921*W921/100)</f>
        <v/>
      </c>
      <c r="Q921" s="7" t="n"/>
      <c r="R921" s="7" t="n"/>
      <c r="U921">
        <f>IF($C921="","",IF($AJ921=1,0,IF($AI921=1,Settings!$C$6,Settings!$C$7))*100)</f>
        <v/>
      </c>
      <c r="V921" s="7">
        <f>IF($C921="","",R921*U921/100)</f>
        <v/>
      </c>
      <c r="W921" s="7">
        <f>IF($C921="","",R921-V921)</f>
        <v/>
      </c>
      <c r="X921" s="7">
        <f>IF($C921="","",W921-K921)</f>
        <v/>
      </c>
      <c r="AB921" s="7" t="n"/>
      <c r="AE921" s="11" t="n"/>
      <c r="AG921">
        <f>IF($C921="","",IF(COUNTIF($C$2:$C921,$C921)=1,1,0))</f>
        <v/>
      </c>
      <c r="AH921">
        <f>IF($AG921=1,SUMPRODUCT(--($AK$2:$AK$6001&lt;$AK921))+1,"")</f>
        <v/>
      </c>
      <c r="AI921">
        <f>IF($C921="","",IF(OR($N921=TRUE(),$N921="TRUE"),1,0))</f>
        <v/>
      </c>
      <c r="AJ921">
        <f>IF($C921="","",IF($T921="Yes",1,0))</f>
        <v/>
      </c>
      <c r="AK921">
        <f>IF($AG921=1,IFERROR(IF(VALUE($C921)&lt;100000000,VALUE($C921),1000000000),IFERROR(IF(VALUE(MID($C921,2,20))&lt;100000000,VALUE(MID($C921,2,20)),1000000000),1000000000))+ROW()/100000,"")</f>
        <v/>
      </c>
    </row>
    <row r="922">
      <c r="D922" s="11" t="n"/>
      <c r="K922" s="7">
        <f>IF($C922="","",J922*W922/100)</f>
        <v/>
      </c>
      <c r="Q922" s="7" t="n"/>
      <c r="R922" s="7" t="n"/>
      <c r="U922">
        <f>IF($C922="","",IF($AJ922=1,0,IF($AI922=1,Settings!$C$6,Settings!$C$7))*100)</f>
        <v/>
      </c>
      <c r="V922" s="7">
        <f>IF($C922="","",R922*U922/100)</f>
        <v/>
      </c>
      <c r="W922" s="7">
        <f>IF($C922="","",R922-V922)</f>
        <v/>
      </c>
      <c r="X922" s="7">
        <f>IF($C922="","",W922-K922)</f>
        <v/>
      </c>
      <c r="AB922" s="7" t="n"/>
      <c r="AE922" s="11" t="n"/>
      <c r="AG922">
        <f>IF($C922="","",IF(COUNTIF($C$2:$C922,$C922)=1,1,0))</f>
        <v/>
      </c>
      <c r="AH922">
        <f>IF($AG922=1,SUMPRODUCT(--($AK$2:$AK$6001&lt;$AK922))+1,"")</f>
        <v/>
      </c>
      <c r="AI922">
        <f>IF($C922="","",IF(OR($N922=TRUE(),$N922="TRUE"),1,0))</f>
        <v/>
      </c>
      <c r="AJ922">
        <f>IF($C922="","",IF($T922="Yes",1,0))</f>
        <v/>
      </c>
      <c r="AK922">
        <f>IF($AG922=1,IFERROR(IF(VALUE($C922)&lt;100000000,VALUE($C922),1000000000),IFERROR(IF(VALUE(MID($C922,2,20))&lt;100000000,VALUE(MID($C922,2,20)),1000000000),1000000000))+ROW()/100000,"")</f>
        <v/>
      </c>
    </row>
    <row r="923">
      <c r="D923" s="11" t="n"/>
      <c r="K923" s="7">
        <f>IF($C923="","",J923*W923/100)</f>
        <v/>
      </c>
      <c r="Q923" s="7" t="n"/>
      <c r="R923" s="7" t="n"/>
      <c r="U923">
        <f>IF($C923="","",IF($AJ923=1,0,IF($AI923=1,Settings!$C$6,Settings!$C$7))*100)</f>
        <v/>
      </c>
      <c r="V923" s="7">
        <f>IF($C923="","",R923*U923/100)</f>
        <v/>
      </c>
      <c r="W923" s="7">
        <f>IF($C923="","",R923-V923)</f>
        <v/>
      </c>
      <c r="X923" s="7">
        <f>IF($C923="","",W923-K923)</f>
        <v/>
      </c>
      <c r="AB923" s="7" t="n"/>
      <c r="AE923" s="11" t="n"/>
      <c r="AG923">
        <f>IF($C923="","",IF(COUNTIF($C$2:$C923,$C923)=1,1,0))</f>
        <v/>
      </c>
      <c r="AH923">
        <f>IF($AG923=1,SUMPRODUCT(--($AK$2:$AK$6001&lt;$AK923))+1,"")</f>
        <v/>
      </c>
      <c r="AI923">
        <f>IF($C923="","",IF(OR($N923=TRUE(),$N923="TRUE"),1,0))</f>
        <v/>
      </c>
      <c r="AJ923">
        <f>IF($C923="","",IF($T923="Yes",1,0))</f>
        <v/>
      </c>
      <c r="AK923">
        <f>IF($AG923=1,IFERROR(IF(VALUE($C923)&lt;100000000,VALUE($C923),1000000000),IFERROR(IF(VALUE(MID($C923,2,20))&lt;100000000,VALUE(MID($C923,2,20)),1000000000),1000000000))+ROW()/100000,"")</f>
        <v/>
      </c>
    </row>
    <row r="924">
      <c r="D924" s="11" t="n"/>
      <c r="K924" s="7">
        <f>IF($C924="","",J924*W924/100)</f>
        <v/>
      </c>
      <c r="Q924" s="7" t="n"/>
      <c r="R924" s="7" t="n"/>
      <c r="U924">
        <f>IF($C924="","",IF($AJ924=1,0,IF($AI924=1,Settings!$C$6,Settings!$C$7))*100)</f>
        <v/>
      </c>
      <c r="V924" s="7">
        <f>IF($C924="","",R924*U924/100)</f>
        <v/>
      </c>
      <c r="W924" s="7">
        <f>IF($C924="","",R924-V924)</f>
        <v/>
      </c>
      <c r="X924" s="7">
        <f>IF($C924="","",W924-K924)</f>
        <v/>
      </c>
      <c r="AB924" s="7" t="n"/>
      <c r="AE924" s="11" t="n"/>
      <c r="AG924">
        <f>IF($C924="","",IF(COUNTIF($C$2:$C924,$C924)=1,1,0))</f>
        <v/>
      </c>
      <c r="AH924">
        <f>IF($AG924=1,SUMPRODUCT(--($AK$2:$AK$6001&lt;$AK924))+1,"")</f>
        <v/>
      </c>
      <c r="AI924">
        <f>IF($C924="","",IF(OR($N924=TRUE(),$N924="TRUE"),1,0))</f>
        <v/>
      </c>
      <c r="AJ924">
        <f>IF($C924="","",IF($T924="Yes",1,0))</f>
        <v/>
      </c>
      <c r="AK924">
        <f>IF($AG924=1,IFERROR(IF(VALUE($C924)&lt;100000000,VALUE($C924),1000000000),IFERROR(IF(VALUE(MID($C924,2,20))&lt;100000000,VALUE(MID($C924,2,20)),1000000000),1000000000))+ROW()/100000,"")</f>
        <v/>
      </c>
    </row>
    <row r="925">
      <c r="D925" s="11" t="n"/>
      <c r="K925" s="7">
        <f>IF($C925="","",J925*W925/100)</f>
        <v/>
      </c>
      <c r="Q925" s="7" t="n"/>
      <c r="R925" s="7" t="n"/>
      <c r="U925">
        <f>IF($C925="","",IF($AJ925=1,0,IF($AI925=1,Settings!$C$6,Settings!$C$7))*100)</f>
        <v/>
      </c>
      <c r="V925" s="7">
        <f>IF($C925="","",R925*U925/100)</f>
        <v/>
      </c>
      <c r="W925" s="7">
        <f>IF($C925="","",R925-V925)</f>
        <v/>
      </c>
      <c r="X925" s="7">
        <f>IF($C925="","",W925-K925)</f>
        <v/>
      </c>
      <c r="AB925" s="7" t="n"/>
      <c r="AE925" s="11" t="n"/>
      <c r="AG925">
        <f>IF($C925="","",IF(COUNTIF($C$2:$C925,$C925)=1,1,0))</f>
        <v/>
      </c>
      <c r="AH925">
        <f>IF($AG925=1,SUMPRODUCT(--($AK$2:$AK$6001&lt;$AK925))+1,"")</f>
        <v/>
      </c>
      <c r="AI925">
        <f>IF($C925="","",IF(OR($N925=TRUE(),$N925="TRUE"),1,0))</f>
        <v/>
      </c>
      <c r="AJ925">
        <f>IF($C925="","",IF($T925="Yes",1,0))</f>
        <v/>
      </c>
      <c r="AK925">
        <f>IF($AG925=1,IFERROR(IF(VALUE($C925)&lt;100000000,VALUE($C925),1000000000),IFERROR(IF(VALUE(MID($C925,2,20))&lt;100000000,VALUE(MID($C925,2,20)),1000000000),1000000000))+ROW()/100000,"")</f>
        <v/>
      </c>
    </row>
    <row r="926">
      <c r="D926" s="11" t="n"/>
      <c r="K926" s="7">
        <f>IF($C926="","",J926*W926/100)</f>
        <v/>
      </c>
      <c r="Q926" s="7" t="n"/>
      <c r="R926" s="7" t="n"/>
      <c r="U926">
        <f>IF($C926="","",IF($AJ926=1,0,IF($AI926=1,Settings!$C$6,Settings!$C$7))*100)</f>
        <v/>
      </c>
      <c r="V926" s="7">
        <f>IF($C926="","",R926*U926/100)</f>
        <v/>
      </c>
      <c r="W926" s="7">
        <f>IF($C926="","",R926-V926)</f>
        <v/>
      </c>
      <c r="X926" s="7">
        <f>IF($C926="","",W926-K926)</f>
        <v/>
      </c>
      <c r="AB926" s="7" t="n"/>
      <c r="AE926" s="11" t="n"/>
      <c r="AG926">
        <f>IF($C926="","",IF(COUNTIF($C$2:$C926,$C926)=1,1,0))</f>
        <v/>
      </c>
      <c r="AH926">
        <f>IF($AG926=1,SUMPRODUCT(--($AK$2:$AK$6001&lt;$AK926))+1,"")</f>
        <v/>
      </c>
      <c r="AI926">
        <f>IF($C926="","",IF(OR($N926=TRUE(),$N926="TRUE"),1,0))</f>
        <v/>
      </c>
      <c r="AJ926">
        <f>IF($C926="","",IF($T926="Yes",1,0))</f>
        <v/>
      </c>
      <c r="AK926">
        <f>IF($AG926=1,IFERROR(IF(VALUE($C926)&lt;100000000,VALUE($C926),1000000000),IFERROR(IF(VALUE(MID($C926,2,20))&lt;100000000,VALUE(MID($C926,2,20)),1000000000),1000000000))+ROW()/100000,"")</f>
        <v/>
      </c>
    </row>
    <row r="927">
      <c r="D927" s="11" t="n"/>
      <c r="K927" s="7">
        <f>IF($C927="","",J927*W927/100)</f>
        <v/>
      </c>
      <c r="Q927" s="7" t="n"/>
      <c r="R927" s="7" t="n"/>
      <c r="U927">
        <f>IF($C927="","",IF($AJ927=1,0,IF($AI927=1,Settings!$C$6,Settings!$C$7))*100)</f>
        <v/>
      </c>
      <c r="V927" s="7">
        <f>IF($C927="","",R927*U927/100)</f>
        <v/>
      </c>
      <c r="W927" s="7">
        <f>IF($C927="","",R927-V927)</f>
        <v/>
      </c>
      <c r="X927" s="7">
        <f>IF($C927="","",W927-K927)</f>
        <v/>
      </c>
      <c r="AB927" s="7" t="n"/>
      <c r="AE927" s="11" t="n"/>
      <c r="AG927">
        <f>IF($C927="","",IF(COUNTIF($C$2:$C927,$C927)=1,1,0))</f>
        <v/>
      </c>
      <c r="AH927">
        <f>IF($AG927=1,SUMPRODUCT(--($AK$2:$AK$6001&lt;$AK927))+1,"")</f>
        <v/>
      </c>
      <c r="AI927">
        <f>IF($C927="","",IF(OR($N927=TRUE(),$N927="TRUE"),1,0))</f>
        <v/>
      </c>
      <c r="AJ927">
        <f>IF($C927="","",IF($T927="Yes",1,0))</f>
        <v/>
      </c>
      <c r="AK927">
        <f>IF($AG927=1,IFERROR(IF(VALUE($C927)&lt;100000000,VALUE($C927),1000000000),IFERROR(IF(VALUE(MID($C927,2,20))&lt;100000000,VALUE(MID($C927,2,20)),1000000000),1000000000))+ROW()/100000,"")</f>
        <v/>
      </c>
    </row>
    <row r="928">
      <c r="D928" s="11" t="n"/>
      <c r="K928" s="7">
        <f>IF($C928="","",J928*W928/100)</f>
        <v/>
      </c>
      <c r="Q928" s="7" t="n"/>
      <c r="R928" s="7" t="n"/>
      <c r="U928">
        <f>IF($C928="","",IF($AJ928=1,0,IF($AI928=1,Settings!$C$6,Settings!$C$7))*100)</f>
        <v/>
      </c>
      <c r="V928" s="7">
        <f>IF($C928="","",R928*U928/100)</f>
        <v/>
      </c>
      <c r="W928" s="7">
        <f>IF($C928="","",R928-V928)</f>
        <v/>
      </c>
      <c r="X928" s="7">
        <f>IF($C928="","",W928-K928)</f>
        <v/>
      </c>
      <c r="AB928" s="7" t="n"/>
      <c r="AE928" s="11" t="n"/>
      <c r="AG928">
        <f>IF($C928="","",IF(COUNTIF($C$2:$C928,$C928)=1,1,0))</f>
        <v/>
      </c>
      <c r="AH928">
        <f>IF($AG928=1,SUMPRODUCT(--($AK$2:$AK$6001&lt;$AK928))+1,"")</f>
        <v/>
      </c>
      <c r="AI928">
        <f>IF($C928="","",IF(OR($N928=TRUE(),$N928="TRUE"),1,0))</f>
        <v/>
      </c>
      <c r="AJ928">
        <f>IF($C928="","",IF($T928="Yes",1,0))</f>
        <v/>
      </c>
      <c r="AK928">
        <f>IF($AG928=1,IFERROR(IF(VALUE($C928)&lt;100000000,VALUE($C928),1000000000),IFERROR(IF(VALUE(MID($C928,2,20))&lt;100000000,VALUE(MID($C928,2,20)),1000000000),1000000000))+ROW()/100000,"")</f>
        <v/>
      </c>
    </row>
    <row r="929">
      <c r="D929" s="11" t="n"/>
      <c r="K929" s="7">
        <f>IF($C929="","",J929*W929/100)</f>
        <v/>
      </c>
      <c r="Q929" s="7" t="n"/>
      <c r="R929" s="7" t="n"/>
      <c r="U929">
        <f>IF($C929="","",IF($AJ929=1,0,IF($AI929=1,Settings!$C$6,Settings!$C$7))*100)</f>
        <v/>
      </c>
      <c r="V929" s="7">
        <f>IF($C929="","",R929*U929/100)</f>
        <v/>
      </c>
      <c r="W929" s="7">
        <f>IF($C929="","",R929-V929)</f>
        <v/>
      </c>
      <c r="X929" s="7">
        <f>IF($C929="","",W929-K929)</f>
        <v/>
      </c>
      <c r="AB929" s="7" t="n"/>
      <c r="AE929" s="11" t="n"/>
      <c r="AG929">
        <f>IF($C929="","",IF(COUNTIF($C$2:$C929,$C929)=1,1,0))</f>
        <v/>
      </c>
      <c r="AH929">
        <f>IF($AG929=1,SUMPRODUCT(--($AK$2:$AK$6001&lt;$AK929))+1,"")</f>
        <v/>
      </c>
      <c r="AI929">
        <f>IF($C929="","",IF(OR($N929=TRUE(),$N929="TRUE"),1,0))</f>
        <v/>
      </c>
      <c r="AJ929">
        <f>IF($C929="","",IF($T929="Yes",1,0))</f>
        <v/>
      </c>
      <c r="AK929">
        <f>IF($AG929=1,IFERROR(IF(VALUE($C929)&lt;100000000,VALUE($C929),1000000000),IFERROR(IF(VALUE(MID($C929,2,20))&lt;100000000,VALUE(MID($C929,2,20)),1000000000),1000000000))+ROW()/100000,"")</f>
        <v/>
      </c>
    </row>
    <row r="930">
      <c r="D930" s="11" t="n"/>
      <c r="K930" s="7">
        <f>IF($C930="","",J930*W930/100)</f>
        <v/>
      </c>
      <c r="Q930" s="7" t="n"/>
      <c r="R930" s="7" t="n"/>
      <c r="U930">
        <f>IF($C930="","",IF($AJ930=1,0,IF($AI930=1,Settings!$C$6,Settings!$C$7))*100)</f>
        <v/>
      </c>
      <c r="V930" s="7">
        <f>IF($C930="","",R930*U930/100)</f>
        <v/>
      </c>
      <c r="W930" s="7">
        <f>IF($C930="","",R930-V930)</f>
        <v/>
      </c>
      <c r="X930" s="7">
        <f>IF($C930="","",W930-K930)</f>
        <v/>
      </c>
      <c r="AB930" s="7" t="n"/>
      <c r="AE930" s="11" t="n"/>
      <c r="AG930">
        <f>IF($C930="","",IF(COUNTIF($C$2:$C930,$C930)=1,1,0))</f>
        <v/>
      </c>
      <c r="AH930">
        <f>IF($AG930=1,SUMPRODUCT(--($AK$2:$AK$6001&lt;$AK930))+1,"")</f>
        <v/>
      </c>
      <c r="AI930">
        <f>IF($C930="","",IF(OR($N930=TRUE(),$N930="TRUE"),1,0))</f>
        <v/>
      </c>
      <c r="AJ930">
        <f>IF($C930="","",IF($T930="Yes",1,0))</f>
        <v/>
      </c>
      <c r="AK930">
        <f>IF($AG930=1,IFERROR(IF(VALUE($C930)&lt;100000000,VALUE($C930),1000000000),IFERROR(IF(VALUE(MID($C930,2,20))&lt;100000000,VALUE(MID($C930,2,20)),1000000000),1000000000))+ROW()/100000,"")</f>
        <v/>
      </c>
    </row>
    <row r="931">
      <c r="D931" s="11" t="n"/>
      <c r="K931" s="7">
        <f>IF($C931="","",J931*W931/100)</f>
        <v/>
      </c>
      <c r="Q931" s="7" t="n"/>
      <c r="R931" s="7" t="n"/>
      <c r="U931">
        <f>IF($C931="","",IF($AJ931=1,0,IF($AI931=1,Settings!$C$6,Settings!$C$7))*100)</f>
        <v/>
      </c>
      <c r="V931" s="7">
        <f>IF($C931="","",R931*U931/100)</f>
        <v/>
      </c>
      <c r="W931" s="7">
        <f>IF($C931="","",R931-V931)</f>
        <v/>
      </c>
      <c r="X931" s="7">
        <f>IF($C931="","",W931-K931)</f>
        <v/>
      </c>
      <c r="AB931" s="7" t="n"/>
      <c r="AE931" s="11" t="n"/>
      <c r="AG931">
        <f>IF($C931="","",IF(COUNTIF($C$2:$C931,$C931)=1,1,0))</f>
        <v/>
      </c>
      <c r="AH931">
        <f>IF($AG931=1,SUMPRODUCT(--($AK$2:$AK$6001&lt;$AK931))+1,"")</f>
        <v/>
      </c>
      <c r="AI931">
        <f>IF($C931="","",IF(OR($N931=TRUE(),$N931="TRUE"),1,0))</f>
        <v/>
      </c>
      <c r="AJ931">
        <f>IF($C931="","",IF($T931="Yes",1,0))</f>
        <v/>
      </c>
      <c r="AK931">
        <f>IF($AG931=1,IFERROR(IF(VALUE($C931)&lt;100000000,VALUE($C931),1000000000),IFERROR(IF(VALUE(MID($C931,2,20))&lt;100000000,VALUE(MID($C931,2,20)),1000000000),1000000000))+ROW()/100000,"")</f>
        <v/>
      </c>
    </row>
    <row r="932">
      <c r="D932" s="11" t="n"/>
      <c r="K932" s="7">
        <f>IF($C932="","",J932*W932/100)</f>
        <v/>
      </c>
      <c r="Q932" s="7" t="n"/>
      <c r="R932" s="7" t="n"/>
      <c r="U932">
        <f>IF($C932="","",IF($AJ932=1,0,IF($AI932=1,Settings!$C$6,Settings!$C$7))*100)</f>
        <v/>
      </c>
      <c r="V932" s="7">
        <f>IF($C932="","",R932*U932/100)</f>
        <v/>
      </c>
      <c r="W932" s="7">
        <f>IF($C932="","",R932-V932)</f>
        <v/>
      </c>
      <c r="X932" s="7">
        <f>IF($C932="","",W932-K932)</f>
        <v/>
      </c>
      <c r="AB932" s="7" t="n"/>
      <c r="AE932" s="11" t="n"/>
      <c r="AG932">
        <f>IF($C932="","",IF(COUNTIF($C$2:$C932,$C932)=1,1,0))</f>
        <v/>
      </c>
      <c r="AH932">
        <f>IF($AG932=1,SUMPRODUCT(--($AK$2:$AK$6001&lt;$AK932))+1,"")</f>
        <v/>
      </c>
      <c r="AI932">
        <f>IF($C932="","",IF(OR($N932=TRUE(),$N932="TRUE"),1,0))</f>
        <v/>
      </c>
      <c r="AJ932">
        <f>IF($C932="","",IF($T932="Yes",1,0))</f>
        <v/>
      </c>
      <c r="AK932">
        <f>IF($AG932=1,IFERROR(IF(VALUE($C932)&lt;100000000,VALUE($C932),1000000000),IFERROR(IF(VALUE(MID($C932,2,20))&lt;100000000,VALUE(MID($C932,2,20)),1000000000),1000000000))+ROW()/100000,"")</f>
        <v/>
      </c>
    </row>
    <row r="933">
      <c r="D933" s="11" t="n"/>
      <c r="K933" s="7">
        <f>IF($C933="","",J933*W933/100)</f>
        <v/>
      </c>
      <c r="Q933" s="7" t="n"/>
      <c r="R933" s="7" t="n"/>
      <c r="U933">
        <f>IF($C933="","",IF($AJ933=1,0,IF($AI933=1,Settings!$C$6,Settings!$C$7))*100)</f>
        <v/>
      </c>
      <c r="V933" s="7">
        <f>IF($C933="","",R933*U933/100)</f>
        <v/>
      </c>
      <c r="W933" s="7">
        <f>IF($C933="","",R933-V933)</f>
        <v/>
      </c>
      <c r="X933" s="7">
        <f>IF($C933="","",W933-K933)</f>
        <v/>
      </c>
      <c r="AB933" s="7" t="n"/>
      <c r="AE933" s="11" t="n"/>
      <c r="AG933">
        <f>IF($C933="","",IF(COUNTIF($C$2:$C933,$C933)=1,1,0))</f>
        <v/>
      </c>
      <c r="AH933">
        <f>IF($AG933=1,SUMPRODUCT(--($AK$2:$AK$6001&lt;$AK933))+1,"")</f>
        <v/>
      </c>
      <c r="AI933">
        <f>IF($C933="","",IF(OR($N933=TRUE(),$N933="TRUE"),1,0))</f>
        <v/>
      </c>
      <c r="AJ933">
        <f>IF($C933="","",IF($T933="Yes",1,0))</f>
        <v/>
      </c>
      <c r="AK933">
        <f>IF($AG933=1,IFERROR(IF(VALUE($C933)&lt;100000000,VALUE($C933),1000000000),IFERROR(IF(VALUE(MID($C933,2,20))&lt;100000000,VALUE(MID($C933,2,20)),1000000000),1000000000))+ROW()/100000,"")</f>
        <v/>
      </c>
    </row>
    <row r="934">
      <c r="D934" s="11" t="n"/>
      <c r="K934" s="7">
        <f>IF($C934="","",J934*W934/100)</f>
        <v/>
      </c>
      <c r="Q934" s="7" t="n"/>
      <c r="R934" s="7" t="n"/>
      <c r="U934">
        <f>IF($C934="","",IF($AJ934=1,0,IF($AI934=1,Settings!$C$6,Settings!$C$7))*100)</f>
        <v/>
      </c>
      <c r="V934" s="7">
        <f>IF($C934="","",R934*U934/100)</f>
        <v/>
      </c>
      <c r="W934" s="7">
        <f>IF($C934="","",R934-V934)</f>
        <v/>
      </c>
      <c r="X934" s="7">
        <f>IF($C934="","",W934-K934)</f>
        <v/>
      </c>
      <c r="AB934" s="7" t="n"/>
      <c r="AE934" s="11" t="n"/>
      <c r="AG934">
        <f>IF($C934="","",IF(COUNTIF($C$2:$C934,$C934)=1,1,0))</f>
        <v/>
      </c>
      <c r="AH934">
        <f>IF($AG934=1,SUMPRODUCT(--($AK$2:$AK$6001&lt;$AK934))+1,"")</f>
        <v/>
      </c>
      <c r="AI934">
        <f>IF($C934="","",IF(OR($N934=TRUE(),$N934="TRUE"),1,0))</f>
        <v/>
      </c>
      <c r="AJ934">
        <f>IF($C934="","",IF($T934="Yes",1,0))</f>
        <v/>
      </c>
      <c r="AK934">
        <f>IF($AG934=1,IFERROR(IF(VALUE($C934)&lt;100000000,VALUE($C934),1000000000),IFERROR(IF(VALUE(MID($C934,2,20))&lt;100000000,VALUE(MID($C934,2,20)),1000000000),1000000000))+ROW()/100000,"")</f>
        <v/>
      </c>
    </row>
    <row r="935">
      <c r="D935" s="11" t="n"/>
      <c r="K935" s="7">
        <f>IF($C935="","",J935*W935/100)</f>
        <v/>
      </c>
      <c r="Q935" s="7" t="n"/>
      <c r="R935" s="7" t="n"/>
      <c r="U935">
        <f>IF($C935="","",IF($AJ935=1,0,IF($AI935=1,Settings!$C$6,Settings!$C$7))*100)</f>
        <v/>
      </c>
      <c r="V935" s="7">
        <f>IF($C935="","",R935*U935/100)</f>
        <v/>
      </c>
      <c r="W935" s="7">
        <f>IF($C935="","",R935-V935)</f>
        <v/>
      </c>
      <c r="X935" s="7">
        <f>IF($C935="","",W935-K935)</f>
        <v/>
      </c>
      <c r="AB935" s="7" t="n"/>
      <c r="AE935" s="11" t="n"/>
      <c r="AG935">
        <f>IF($C935="","",IF(COUNTIF($C$2:$C935,$C935)=1,1,0))</f>
        <v/>
      </c>
      <c r="AH935">
        <f>IF($AG935=1,SUMPRODUCT(--($AK$2:$AK$6001&lt;$AK935))+1,"")</f>
        <v/>
      </c>
      <c r="AI935">
        <f>IF($C935="","",IF(OR($N935=TRUE(),$N935="TRUE"),1,0))</f>
        <v/>
      </c>
      <c r="AJ935">
        <f>IF($C935="","",IF($T935="Yes",1,0))</f>
        <v/>
      </c>
      <c r="AK935">
        <f>IF($AG935=1,IFERROR(IF(VALUE($C935)&lt;100000000,VALUE($C935),1000000000),IFERROR(IF(VALUE(MID($C935,2,20))&lt;100000000,VALUE(MID($C935,2,20)),1000000000),1000000000))+ROW()/100000,"")</f>
        <v/>
      </c>
    </row>
    <row r="936">
      <c r="D936" s="11" t="n"/>
      <c r="K936" s="7">
        <f>IF($C936="","",J936*W936/100)</f>
        <v/>
      </c>
      <c r="Q936" s="7" t="n"/>
      <c r="R936" s="7" t="n"/>
      <c r="U936">
        <f>IF($C936="","",IF($AJ936=1,0,IF($AI936=1,Settings!$C$6,Settings!$C$7))*100)</f>
        <v/>
      </c>
      <c r="V936" s="7">
        <f>IF($C936="","",R936*U936/100)</f>
        <v/>
      </c>
      <c r="W936" s="7">
        <f>IF($C936="","",R936-V936)</f>
        <v/>
      </c>
      <c r="X936" s="7">
        <f>IF($C936="","",W936-K936)</f>
        <v/>
      </c>
      <c r="AB936" s="7" t="n"/>
      <c r="AE936" s="11" t="n"/>
      <c r="AG936">
        <f>IF($C936="","",IF(COUNTIF($C$2:$C936,$C936)=1,1,0))</f>
        <v/>
      </c>
      <c r="AH936">
        <f>IF($AG936=1,SUMPRODUCT(--($AK$2:$AK$6001&lt;$AK936))+1,"")</f>
        <v/>
      </c>
      <c r="AI936">
        <f>IF($C936="","",IF(OR($N936=TRUE(),$N936="TRUE"),1,0))</f>
        <v/>
      </c>
      <c r="AJ936">
        <f>IF($C936="","",IF($T936="Yes",1,0))</f>
        <v/>
      </c>
      <c r="AK936">
        <f>IF($AG936=1,IFERROR(IF(VALUE($C936)&lt;100000000,VALUE($C936),1000000000),IFERROR(IF(VALUE(MID($C936,2,20))&lt;100000000,VALUE(MID($C936,2,20)),1000000000),1000000000))+ROW()/100000,"")</f>
        <v/>
      </c>
    </row>
    <row r="937">
      <c r="D937" s="11" t="n"/>
      <c r="K937" s="7">
        <f>IF($C937="","",J937*W937/100)</f>
        <v/>
      </c>
      <c r="Q937" s="7" t="n"/>
      <c r="R937" s="7" t="n"/>
      <c r="U937">
        <f>IF($C937="","",IF($AJ937=1,0,IF($AI937=1,Settings!$C$6,Settings!$C$7))*100)</f>
        <v/>
      </c>
      <c r="V937" s="7">
        <f>IF($C937="","",R937*U937/100)</f>
        <v/>
      </c>
      <c r="W937" s="7">
        <f>IF($C937="","",R937-V937)</f>
        <v/>
      </c>
      <c r="X937" s="7">
        <f>IF($C937="","",W937-K937)</f>
        <v/>
      </c>
      <c r="AB937" s="7" t="n"/>
      <c r="AE937" s="11" t="n"/>
      <c r="AG937">
        <f>IF($C937="","",IF(COUNTIF($C$2:$C937,$C937)=1,1,0))</f>
        <v/>
      </c>
      <c r="AH937">
        <f>IF($AG937=1,SUMPRODUCT(--($AK$2:$AK$6001&lt;$AK937))+1,"")</f>
        <v/>
      </c>
      <c r="AI937">
        <f>IF($C937="","",IF(OR($N937=TRUE(),$N937="TRUE"),1,0))</f>
        <v/>
      </c>
      <c r="AJ937">
        <f>IF($C937="","",IF($T937="Yes",1,0))</f>
        <v/>
      </c>
      <c r="AK937">
        <f>IF($AG937=1,IFERROR(IF(VALUE($C937)&lt;100000000,VALUE($C937),1000000000),IFERROR(IF(VALUE(MID($C937,2,20))&lt;100000000,VALUE(MID($C937,2,20)),1000000000),1000000000))+ROW()/100000,"")</f>
        <v/>
      </c>
    </row>
    <row r="938">
      <c r="D938" s="11" t="n"/>
      <c r="K938" s="7">
        <f>IF($C938="","",J938*W938/100)</f>
        <v/>
      </c>
      <c r="Q938" s="7" t="n"/>
      <c r="R938" s="7" t="n"/>
      <c r="U938">
        <f>IF($C938="","",IF($AJ938=1,0,IF($AI938=1,Settings!$C$6,Settings!$C$7))*100)</f>
        <v/>
      </c>
      <c r="V938" s="7">
        <f>IF($C938="","",R938*U938/100)</f>
        <v/>
      </c>
      <c r="W938" s="7">
        <f>IF($C938="","",R938-V938)</f>
        <v/>
      </c>
      <c r="X938" s="7">
        <f>IF($C938="","",W938-K938)</f>
        <v/>
      </c>
      <c r="AB938" s="7" t="n"/>
      <c r="AE938" s="11" t="n"/>
      <c r="AG938">
        <f>IF($C938="","",IF(COUNTIF($C$2:$C938,$C938)=1,1,0))</f>
        <v/>
      </c>
      <c r="AH938">
        <f>IF($AG938=1,SUMPRODUCT(--($AK$2:$AK$6001&lt;$AK938))+1,"")</f>
        <v/>
      </c>
      <c r="AI938">
        <f>IF($C938="","",IF(OR($N938=TRUE(),$N938="TRUE"),1,0))</f>
        <v/>
      </c>
      <c r="AJ938">
        <f>IF($C938="","",IF($T938="Yes",1,0))</f>
        <v/>
      </c>
      <c r="AK938">
        <f>IF($AG938=1,IFERROR(IF(VALUE($C938)&lt;100000000,VALUE($C938),1000000000),IFERROR(IF(VALUE(MID($C938,2,20))&lt;100000000,VALUE(MID($C938,2,20)),1000000000),1000000000))+ROW()/100000,"")</f>
        <v/>
      </c>
    </row>
    <row r="939">
      <c r="D939" s="11" t="n"/>
      <c r="K939" s="7">
        <f>IF($C939="","",J939*W939/100)</f>
        <v/>
      </c>
      <c r="Q939" s="7" t="n"/>
      <c r="R939" s="7" t="n"/>
      <c r="U939">
        <f>IF($C939="","",IF($AJ939=1,0,IF($AI939=1,Settings!$C$6,Settings!$C$7))*100)</f>
        <v/>
      </c>
      <c r="V939" s="7">
        <f>IF($C939="","",R939*U939/100)</f>
        <v/>
      </c>
      <c r="W939" s="7">
        <f>IF($C939="","",R939-V939)</f>
        <v/>
      </c>
      <c r="X939" s="7">
        <f>IF($C939="","",W939-K939)</f>
        <v/>
      </c>
      <c r="AB939" s="7" t="n"/>
      <c r="AE939" s="11" t="n"/>
      <c r="AG939">
        <f>IF($C939="","",IF(COUNTIF($C$2:$C939,$C939)=1,1,0))</f>
        <v/>
      </c>
      <c r="AH939">
        <f>IF($AG939=1,SUMPRODUCT(--($AK$2:$AK$6001&lt;$AK939))+1,"")</f>
        <v/>
      </c>
      <c r="AI939">
        <f>IF($C939="","",IF(OR($N939=TRUE(),$N939="TRUE"),1,0))</f>
        <v/>
      </c>
      <c r="AJ939">
        <f>IF($C939="","",IF($T939="Yes",1,0))</f>
        <v/>
      </c>
      <c r="AK939">
        <f>IF($AG939=1,IFERROR(IF(VALUE($C939)&lt;100000000,VALUE($C939),1000000000),IFERROR(IF(VALUE(MID($C939,2,20))&lt;100000000,VALUE(MID($C939,2,20)),1000000000),1000000000))+ROW()/100000,"")</f>
        <v/>
      </c>
    </row>
    <row r="940">
      <c r="D940" s="11" t="n"/>
      <c r="K940" s="7">
        <f>IF($C940="","",J940*W940/100)</f>
        <v/>
      </c>
      <c r="Q940" s="7" t="n"/>
      <c r="R940" s="7" t="n"/>
      <c r="U940">
        <f>IF($C940="","",IF($AJ940=1,0,IF($AI940=1,Settings!$C$6,Settings!$C$7))*100)</f>
        <v/>
      </c>
      <c r="V940" s="7">
        <f>IF($C940="","",R940*U940/100)</f>
        <v/>
      </c>
      <c r="W940" s="7">
        <f>IF($C940="","",R940-V940)</f>
        <v/>
      </c>
      <c r="X940" s="7">
        <f>IF($C940="","",W940-K940)</f>
        <v/>
      </c>
      <c r="AB940" s="7" t="n"/>
      <c r="AE940" s="11" t="n"/>
      <c r="AG940">
        <f>IF($C940="","",IF(COUNTIF($C$2:$C940,$C940)=1,1,0))</f>
        <v/>
      </c>
      <c r="AH940">
        <f>IF($AG940=1,SUMPRODUCT(--($AK$2:$AK$6001&lt;$AK940))+1,"")</f>
        <v/>
      </c>
      <c r="AI940">
        <f>IF($C940="","",IF(OR($N940=TRUE(),$N940="TRUE"),1,0))</f>
        <v/>
      </c>
      <c r="AJ940">
        <f>IF($C940="","",IF($T940="Yes",1,0))</f>
        <v/>
      </c>
      <c r="AK940">
        <f>IF($AG940=1,IFERROR(IF(VALUE($C940)&lt;100000000,VALUE($C940),1000000000),IFERROR(IF(VALUE(MID($C940,2,20))&lt;100000000,VALUE(MID($C940,2,20)),1000000000),1000000000))+ROW()/100000,"")</f>
        <v/>
      </c>
    </row>
    <row r="941">
      <c r="D941" s="11" t="n"/>
      <c r="K941" s="7">
        <f>IF($C941="","",J941*W941/100)</f>
        <v/>
      </c>
      <c r="Q941" s="7" t="n"/>
      <c r="R941" s="7" t="n"/>
      <c r="U941">
        <f>IF($C941="","",IF($AJ941=1,0,IF($AI941=1,Settings!$C$6,Settings!$C$7))*100)</f>
        <v/>
      </c>
      <c r="V941" s="7">
        <f>IF($C941="","",R941*U941/100)</f>
        <v/>
      </c>
      <c r="W941" s="7">
        <f>IF($C941="","",R941-V941)</f>
        <v/>
      </c>
      <c r="X941" s="7">
        <f>IF($C941="","",W941-K941)</f>
        <v/>
      </c>
      <c r="AB941" s="7" t="n"/>
      <c r="AE941" s="11" t="n"/>
      <c r="AG941">
        <f>IF($C941="","",IF(COUNTIF($C$2:$C941,$C941)=1,1,0))</f>
        <v/>
      </c>
      <c r="AH941">
        <f>IF($AG941=1,SUMPRODUCT(--($AK$2:$AK$6001&lt;$AK941))+1,"")</f>
        <v/>
      </c>
      <c r="AI941">
        <f>IF($C941="","",IF(OR($N941=TRUE(),$N941="TRUE"),1,0))</f>
        <v/>
      </c>
      <c r="AJ941">
        <f>IF($C941="","",IF($T941="Yes",1,0))</f>
        <v/>
      </c>
      <c r="AK941">
        <f>IF($AG941=1,IFERROR(IF(VALUE($C941)&lt;100000000,VALUE($C941),1000000000),IFERROR(IF(VALUE(MID($C941,2,20))&lt;100000000,VALUE(MID($C941,2,20)),1000000000),1000000000))+ROW()/100000,"")</f>
        <v/>
      </c>
    </row>
    <row r="942">
      <c r="D942" s="11" t="n"/>
      <c r="K942" s="7">
        <f>IF($C942="","",J942*W942/100)</f>
        <v/>
      </c>
      <c r="Q942" s="7" t="n"/>
      <c r="R942" s="7" t="n"/>
      <c r="U942">
        <f>IF($C942="","",IF($AJ942=1,0,IF($AI942=1,Settings!$C$6,Settings!$C$7))*100)</f>
        <v/>
      </c>
      <c r="V942" s="7">
        <f>IF($C942="","",R942*U942/100)</f>
        <v/>
      </c>
      <c r="W942" s="7">
        <f>IF($C942="","",R942-V942)</f>
        <v/>
      </c>
      <c r="X942" s="7">
        <f>IF($C942="","",W942-K942)</f>
        <v/>
      </c>
      <c r="AB942" s="7" t="n"/>
      <c r="AE942" s="11" t="n"/>
      <c r="AG942">
        <f>IF($C942="","",IF(COUNTIF($C$2:$C942,$C942)=1,1,0))</f>
        <v/>
      </c>
      <c r="AH942">
        <f>IF($AG942=1,SUMPRODUCT(--($AK$2:$AK$6001&lt;$AK942))+1,"")</f>
        <v/>
      </c>
      <c r="AI942">
        <f>IF($C942="","",IF(OR($N942=TRUE(),$N942="TRUE"),1,0))</f>
        <v/>
      </c>
      <c r="AJ942">
        <f>IF($C942="","",IF($T942="Yes",1,0))</f>
        <v/>
      </c>
      <c r="AK942">
        <f>IF($AG942=1,IFERROR(IF(VALUE($C942)&lt;100000000,VALUE($C942),1000000000),IFERROR(IF(VALUE(MID($C942,2,20))&lt;100000000,VALUE(MID($C942,2,20)),1000000000),1000000000))+ROW()/100000,"")</f>
        <v/>
      </c>
    </row>
    <row r="943">
      <c r="D943" s="11" t="n"/>
      <c r="K943" s="7">
        <f>IF($C943="","",J943*W943/100)</f>
        <v/>
      </c>
      <c r="Q943" s="7" t="n"/>
      <c r="R943" s="7" t="n"/>
      <c r="U943">
        <f>IF($C943="","",IF($AJ943=1,0,IF($AI943=1,Settings!$C$6,Settings!$C$7))*100)</f>
        <v/>
      </c>
      <c r="V943" s="7">
        <f>IF($C943="","",R943*U943/100)</f>
        <v/>
      </c>
      <c r="W943" s="7">
        <f>IF($C943="","",R943-V943)</f>
        <v/>
      </c>
      <c r="X943" s="7">
        <f>IF($C943="","",W943-K943)</f>
        <v/>
      </c>
      <c r="AB943" s="7" t="n"/>
      <c r="AE943" s="11" t="n"/>
      <c r="AG943">
        <f>IF($C943="","",IF(COUNTIF($C$2:$C943,$C943)=1,1,0))</f>
        <v/>
      </c>
      <c r="AH943">
        <f>IF($AG943=1,SUMPRODUCT(--($AK$2:$AK$6001&lt;$AK943))+1,"")</f>
        <v/>
      </c>
      <c r="AI943">
        <f>IF($C943="","",IF(OR($N943=TRUE(),$N943="TRUE"),1,0))</f>
        <v/>
      </c>
      <c r="AJ943">
        <f>IF($C943="","",IF($T943="Yes",1,0))</f>
        <v/>
      </c>
      <c r="AK943">
        <f>IF($AG943=1,IFERROR(IF(VALUE($C943)&lt;100000000,VALUE($C943),1000000000),IFERROR(IF(VALUE(MID($C943,2,20))&lt;100000000,VALUE(MID($C943,2,20)),1000000000),1000000000))+ROW()/100000,"")</f>
        <v/>
      </c>
    </row>
    <row r="944">
      <c r="D944" s="11" t="n"/>
      <c r="K944" s="7">
        <f>IF($C944="","",J944*W944/100)</f>
        <v/>
      </c>
      <c r="Q944" s="7" t="n"/>
      <c r="R944" s="7" t="n"/>
      <c r="U944">
        <f>IF($C944="","",IF($AJ944=1,0,IF($AI944=1,Settings!$C$6,Settings!$C$7))*100)</f>
        <v/>
      </c>
      <c r="V944" s="7">
        <f>IF($C944="","",R944*U944/100)</f>
        <v/>
      </c>
      <c r="W944" s="7">
        <f>IF($C944="","",R944-V944)</f>
        <v/>
      </c>
      <c r="X944" s="7">
        <f>IF($C944="","",W944-K944)</f>
        <v/>
      </c>
      <c r="AB944" s="7" t="n"/>
      <c r="AE944" s="11" t="n"/>
      <c r="AG944">
        <f>IF($C944="","",IF(COUNTIF($C$2:$C944,$C944)=1,1,0))</f>
        <v/>
      </c>
      <c r="AH944">
        <f>IF($AG944=1,SUMPRODUCT(--($AK$2:$AK$6001&lt;$AK944))+1,"")</f>
        <v/>
      </c>
      <c r="AI944">
        <f>IF($C944="","",IF(OR($N944=TRUE(),$N944="TRUE"),1,0))</f>
        <v/>
      </c>
      <c r="AJ944">
        <f>IF($C944="","",IF($T944="Yes",1,0))</f>
        <v/>
      </c>
      <c r="AK944">
        <f>IF($AG944=1,IFERROR(IF(VALUE($C944)&lt;100000000,VALUE($C944),1000000000),IFERROR(IF(VALUE(MID($C944,2,20))&lt;100000000,VALUE(MID($C944,2,20)),1000000000),1000000000))+ROW()/100000,"")</f>
        <v/>
      </c>
    </row>
    <row r="945">
      <c r="D945" s="11" t="n"/>
      <c r="K945" s="7">
        <f>IF($C945="","",J945*W945/100)</f>
        <v/>
      </c>
      <c r="Q945" s="7" t="n"/>
      <c r="R945" s="7" t="n"/>
      <c r="U945">
        <f>IF($C945="","",IF($AJ945=1,0,IF($AI945=1,Settings!$C$6,Settings!$C$7))*100)</f>
        <v/>
      </c>
      <c r="V945" s="7">
        <f>IF($C945="","",R945*U945/100)</f>
        <v/>
      </c>
      <c r="W945" s="7">
        <f>IF($C945="","",R945-V945)</f>
        <v/>
      </c>
      <c r="X945" s="7">
        <f>IF($C945="","",W945-K945)</f>
        <v/>
      </c>
      <c r="AB945" s="7" t="n"/>
      <c r="AE945" s="11" t="n"/>
      <c r="AG945">
        <f>IF($C945="","",IF(COUNTIF($C$2:$C945,$C945)=1,1,0))</f>
        <v/>
      </c>
      <c r="AH945">
        <f>IF($AG945=1,SUMPRODUCT(--($AK$2:$AK$6001&lt;$AK945))+1,"")</f>
        <v/>
      </c>
      <c r="AI945">
        <f>IF($C945="","",IF(OR($N945=TRUE(),$N945="TRUE"),1,0))</f>
        <v/>
      </c>
      <c r="AJ945">
        <f>IF($C945="","",IF($T945="Yes",1,0))</f>
        <v/>
      </c>
      <c r="AK945">
        <f>IF($AG945=1,IFERROR(IF(VALUE($C945)&lt;100000000,VALUE($C945),1000000000),IFERROR(IF(VALUE(MID($C945,2,20))&lt;100000000,VALUE(MID($C945,2,20)),1000000000),1000000000))+ROW()/100000,"")</f>
        <v/>
      </c>
    </row>
    <row r="946">
      <c r="D946" s="11" t="n"/>
      <c r="K946" s="7">
        <f>IF($C946="","",J946*W946/100)</f>
        <v/>
      </c>
      <c r="Q946" s="7" t="n"/>
      <c r="R946" s="7" t="n"/>
      <c r="U946">
        <f>IF($C946="","",IF($AJ946=1,0,IF($AI946=1,Settings!$C$6,Settings!$C$7))*100)</f>
        <v/>
      </c>
      <c r="V946" s="7">
        <f>IF($C946="","",R946*U946/100)</f>
        <v/>
      </c>
      <c r="W946" s="7">
        <f>IF($C946="","",R946-V946)</f>
        <v/>
      </c>
      <c r="X946" s="7">
        <f>IF($C946="","",W946-K946)</f>
        <v/>
      </c>
      <c r="AB946" s="7" t="n"/>
      <c r="AE946" s="11" t="n"/>
      <c r="AG946">
        <f>IF($C946="","",IF(COUNTIF($C$2:$C946,$C946)=1,1,0))</f>
        <v/>
      </c>
      <c r="AH946">
        <f>IF($AG946=1,SUMPRODUCT(--($AK$2:$AK$6001&lt;$AK946))+1,"")</f>
        <v/>
      </c>
      <c r="AI946">
        <f>IF($C946="","",IF(OR($N946=TRUE(),$N946="TRUE"),1,0))</f>
        <v/>
      </c>
      <c r="AJ946">
        <f>IF($C946="","",IF($T946="Yes",1,0))</f>
        <v/>
      </c>
      <c r="AK946">
        <f>IF($AG946=1,IFERROR(IF(VALUE($C946)&lt;100000000,VALUE($C946),1000000000),IFERROR(IF(VALUE(MID($C946,2,20))&lt;100000000,VALUE(MID($C946,2,20)),1000000000),1000000000))+ROW()/100000,"")</f>
        <v/>
      </c>
    </row>
    <row r="947">
      <c r="D947" s="11" t="n"/>
      <c r="K947" s="7">
        <f>IF($C947="","",J947*W947/100)</f>
        <v/>
      </c>
      <c r="Q947" s="7" t="n"/>
      <c r="R947" s="7" t="n"/>
      <c r="U947">
        <f>IF($C947="","",IF($AJ947=1,0,IF($AI947=1,Settings!$C$6,Settings!$C$7))*100)</f>
        <v/>
      </c>
      <c r="V947" s="7">
        <f>IF($C947="","",R947*U947/100)</f>
        <v/>
      </c>
      <c r="W947" s="7">
        <f>IF($C947="","",R947-V947)</f>
        <v/>
      </c>
      <c r="X947" s="7">
        <f>IF($C947="","",W947-K947)</f>
        <v/>
      </c>
      <c r="AB947" s="7" t="n"/>
      <c r="AE947" s="11" t="n"/>
      <c r="AG947">
        <f>IF($C947="","",IF(COUNTIF($C$2:$C947,$C947)=1,1,0))</f>
        <v/>
      </c>
      <c r="AH947">
        <f>IF($AG947=1,SUMPRODUCT(--($AK$2:$AK$6001&lt;$AK947))+1,"")</f>
        <v/>
      </c>
      <c r="AI947">
        <f>IF($C947="","",IF(OR($N947=TRUE(),$N947="TRUE"),1,0))</f>
        <v/>
      </c>
      <c r="AJ947">
        <f>IF($C947="","",IF($T947="Yes",1,0))</f>
        <v/>
      </c>
      <c r="AK947">
        <f>IF($AG947=1,IFERROR(IF(VALUE($C947)&lt;100000000,VALUE($C947),1000000000),IFERROR(IF(VALUE(MID($C947,2,20))&lt;100000000,VALUE(MID($C947,2,20)),1000000000),1000000000))+ROW()/100000,"")</f>
        <v/>
      </c>
    </row>
    <row r="948">
      <c r="D948" s="11" t="n"/>
      <c r="K948" s="7">
        <f>IF($C948="","",J948*W948/100)</f>
        <v/>
      </c>
      <c r="Q948" s="7" t="n"/>
      <c r="R948" s="7" t="n"/>
      <c r="U948">
        <f>IF($C948="","",IF($AJ948=1,0,IF($AI948=1,Settings!$C$6,Settings!$C$7))*100)</f>
        <v/>
      </c>
      <c r="V948" s="7">
        <f>IF($C948="","",R948*U948/100)</f>
        <v/>
      </c>
      <c r="W948" s="7">
        <f>IF($C948="","",R948-V948)</f>
        <v/>
      </c>
      <c r="X948" s="7">
        <f>IF($C948="","",W948-K948)</f>
        <v/>
      </c>
      <c r="AB948" s="7" t="n"/>
      <c r="AE948" s="11" t="n"/>
      <c r="AG948">
        <f>IF($C948="","",IF(COUNTIF($C$2:$C948,$C948)=1,1,0))</f>
        <v/>
      </c>
      <c r="AH948">
        <f>IF($AG948=1,SUMPRODUCT(--($AK$2:$AK$6001&lt;$AK948))+1,"")</f>
        <v/>
      </c>
      <c r="AI948">
        <f>IF($C948="","",IF(OR($N948=TRUE(),$N948="TRUE"),1,0))</f>
        <v/>
      </c>
      <c r="AJ948">
        <f>IF($C948="","",IF($T948="Yes",1,0))</f>
        <v/>
      </c>
      <c r="AK948">
        <f>IF($AG948=1,IFERROR(IF(VALUE($C948)&lt;100000000,VALUE($C948),1000000000),IFERROR(IF(VALUE(MID($C948,2,20))&lt;100000000,VALUE(MID($C948,2,20)),1000000000),1000000000))+ROW()/100000,"")</f>
        <v/>
      </c>
    </row>
    <row r="949">
      <c r="D949" s="11" t="n"/>
      <c r="K949" s="7">
        <f>IF($C949="","",J949*W949/100)</f>
        <v/>
      </c>
      <c r="Q949" s="7" t="n"/>
      <c r="R949" s="7" t="n"/>
      <c r="U949">
        <f>IF($C949="","",IF($AJ949=1,0,IF($AI949=1,Settings!$C$6,Settings!$C$7))*100)</f>
        <v/>
      </c>
      <c r="V949" s="7">
        <f>IF($C949="","",R949*U949/100)</f>
        <v/>
      </c>
      <c r="W949" s="7">
        <f>IF($C949="","",R949-V949)</f>
        <v/>
      </c>
      <c r="X949" s="7">
        <f>IF($C949="","",W949-K949)</f>
        <v/>
      </c>
      <c r="AB949" s="7" t="n"/>
      <c r="AE949" s="11" t="n"/>
      <c r="AG949">
        <f>IF($C949="","",IF(COUNTIF($C$2:$C949,$C949)=1,1,0))</f>
        <v/>
      </c>
      <c r="AH949">
        <f>IF($AG949=1,SUMPRODUCT(--($AK$2:$AK$6001&lt;$AK949))+1,"")</f>
        <v/>
      </c>
      <c r="AI949">
        <f>IF($C949="","",IF(OR($N949=TRUE(),$N949="TRUE"),1,0))</f>
        <v/>
      </c>
      <c r="AJ949">
        <f>IF($C949="","",IF($T949="Yes",1,0))</f>
        <v/>
      </c>
      <c r="AK949">
        <f>IF($AG949=1,IFERROR(IF(VALUE($C949)&lt;100000000,VALUE($C949),1000000000),IFERROR(IF(VALUE(MID($C949,2,20))&lt;100000000,VALUE(MID($C949,2,20)),1000000000),1000000000))+ROW()/100000,"")</f>
        <v/>
      </c>
    </row>
    <row r="950">
      <c r="D950" s="11" t="n"/>
      <c r="K950" s="7">
        <f>IF($C950="","",J950*W950/100)</f>
        <v/>
      </c>
      <c r="Q950" s="7" t="n"/>
      <c r="R950" s="7" t="n"/>
      <c r="U950">
        <f>IF($C950="","",IF($AJ950=1,0,IF($AI950=1,Settings!$C$6,Settings!$C$7))*100)</f>
        <v/>
      </c>
      <c r="V950" s="7">
        <f>IF($C950="","",R950*U950/100)</f>
        <v/>
      </c>
      <c r="W950" s="7">
        <f>IF($C950="","",R950-V950)</f>
        <v/>
      </c>
      <c r="X950" s="7">
        <f>IF($C950="","",W950-K950)</f>
        <v/>
      </c>
      <c r="AB950" s="7" t="n"/>
      <c r="AE950" s="11" t="n"/>
      <c r="AG950">
        <f>IF($C950="","",IF(COUNTIF($C$2:$C950,$C950)=1,1,0))</f>
        <v/>
      </c>
      <c r="AH950">
        <f>IF($AG950=1,SUMPRODUCT(--($AK$2:$AK$6001&lt;$AK950))+1,"")</f>
        <v/>
      </c>
      <c r="AI950">
        <f>IF($C950="","",IF(OR($N950=TRUE(),$N950="TRUE"),1,0))</f>
        <v/>
      </c>
      <c r="AJ950">
        <f>IF($C950="","",IF($T950="Yes",1,0))</f>
        <v/>
      </c>
      <c r="AK950">
        <f>IF($AG950=1,IFERROR(IF(VALUE($C950)&lt;100000000,VALUE($C950),1000000000),IFERROR(IF(VALUE(MID($C950,2,20))&lt;100000000,VALUE(MID($C950,2,20)),1000000000),1000000000))+ROW()/100000,"")</f>
        <v/>
      </c>
    </row>
    <row r="951">
      <c r="D951" s="11" t="n"/>
      <c r="K951" s="7">
        <f>IF($C951="","",J951*W951/100)</f>
        <v/>
      </c>
      <c r="Q951" s="7" t="n"/>
      <c r="R951" s="7" t="n"/>
      <c r="U951">
        <f>IF($C951="","",IF($AJ951=1,0,IF($AI951=1,Settings!$C$6,Settings!$C$7))*100)</f>
        <v/>
      </c>
      <c r="V951" s="7">
        <f>IF($C951="","",R951*U951/100)</f>
        <v/>
      </c>
      <c r="W951" s="7">
        <f>IF($C951="","",R951-V951)</f>
        <v/>
      </c>
      <c r="X951" s="7">
        <f>IF($C951="","",W951-K951)</f>
        <v/>
      </c>
      <c r="AB951" s="7" t="n"/>
      <c r="AE951" s="11" t="n"/>
      <c r="AG951">
        <f>IF($C951="","",IF(COUNTIF($C$2:$C951,$C951)=1,1,0))</f>
        <v/>
      </c>
      <c r="AH951">
        <f>IF($AG951=1,SUMPRODUCT(--($AK$2:$AK$6001&lt;$AK951))+1,"")</f>
        <v/>
      </c>
      <c r="AI951">
        <f>IF($C951="","",IF(OR($N951=TRUE(),$N951="TRUE"),1,0))</f>
        <v/>
      </c>
      <c r="AJ951">
        <f>IF($C951="","",IF($T951="Yes",1,0))</f>
        <v/>
      </c>
      <c r="AK951">
        <f>IF($AG951=1,IFERROR(IF(VALUE($C951)&lt;100000000,VALUE($C951),1000000000),IFERROR(IF(VALUE(MID($C951,2,20))&lt;100000000,VALUE(MID($C951,2,20)),1000000000),1000000000))+ROW()/100000,"")</f>
        <v/>
      </c>
    </row>
    <row r="952">
      <c r="D952" s="11" t="n"/>
      <c r="K952" s="7">
        <f>IF($C952="","",J952*W952/100)</f>
        <v/>
      </c>
      <c r="Q952" s="7" t="n"/>
      <c r="R952" s="7" t="n"/>
      <c r="U952">
        <f>IF($C952="","",IF($AJ952=1,0,IF($AI952=1,Settings!$C$6,Settings!$C$7))*100)</f>
        <v/>
      </c>
      <c r="V952" s="7">
        <f>IF($C952="","",R952*U952/100)</f>
        <v/>
      </c>
      <c r="W952" s="7">
        <f>IF($C952="","",R952-V952)</f>
        <v/>
      </c>
      <c r="X952" s="7">
        <f>IF($C952="","",W952-K952)</f>
        <v/>
      </c>
      <c r="AB952" s="7" t="n"/>
      <c r="AE952" s="11" t="n"/>
      <c r="AG952">
        <f>IF($C952="","",IF(COUNTIF($C$2:$C952,$C952)=1,1,0))</f>
        <v/>
      </c>
      <c r="AH952">
        <f>IF($AG952=1,SUMPRODUCT(--($AK$2:$AK$6001&lt;$AK952))+1,"")</f>
        <v/>
      </c>
      <c r="AI952">
        <f>IF($C952="","",IF(OR($N952=TRUE(),$N952="TRUE"),1,0))</f>
        <v/>
      </c>
      <c r="AJ952">
        <f>IF($C952="","",IF($T952="Yes",1,0))</f>
        <v/>
      </c>
      <c r="AK952">
        <f>IF($AG952=1,IFERROR(IF(VALUE($C952)&lt;100000000,VALUE($C952),1000000000),IFERROR(IF(VALUE(MID($C952,2,20))&lt;100000000,VALUE(MID($C952,2,20)),1000000000),1000000000))+ROW()/100000,"")</f>
        <v/>
      </c>
    </row>
    <row r="953">
      <c r="D953" s="11" t="n"/>
      <c r="K953" s="7">
        <f>IF($C953="","",J953*W953/100)</f>
        <v/>
      </c>
      <c r="Q953" s="7" t="n"/>
      <c r="R953" s="7" t="n"/>
      <c r="U953">
        <f>IF($C953="","",IF($AJ953=1,0,IF($AI953=1,Settings!$C$6,Settings!$C$7))*100)</f>
        <v/>
      </c>
      <c r="V953" s="7">
        <f>IF($C953="","",R953*U953/100)</f>
        <v/>
      </c>
      <c r="W953" s="7">
        <f>IF($C953="","",R953-V953)</f>
        <v/>
      </c>
      <c r="X953" s="7">
        <f>IF($C953="","",W953-K953)</f>
        <v/>
      </c>
      <c r="AB953" s="7" t="n"/>
      <c r="AE953" s="11" t="n"/>
      <c r="AG953">
        <f>IF($C953="","",IF(COUNTIF($C$2:$C953,$C953)=1,1,0))</f>
        <v/>
      </c>
      <c r="AH953">
        <f>IF($AG953=1,SUMPRODUCT(--($AK$2:$AK$6001&lt;$AK953))+1,"")</f>
        <v/>
      </c>
      <c r="AI953">
        <f>IF($C953="","",IF(OR($N953=TRUE(),$N953="TRUE"),1,0))</f>
        <v/>
      </c>
      <c r="AJ953">
        <f>IF($C953="","",IF($T953="Yes",1,0))</f>
        <v/>
      </c>
      <c r="AK953">
        <f>IF($AG953=1,IFERROR(IF(VALUE($C953)&lt;100000000,VALUE($C953),1000000000),IFERROR(IF(VALUE(MID($C953,2,20))&lt;100000000,VALUE(MID($C953,2,20)),1000000000),1000000000))+ROW()/100000,"")</f>
        <v/>
      </c>
    </row>
    <row r="954">
      <c r="D954" s="11" t="n"/>
      <c r="K954" s="7">
        <f>IF($C954="","",J954*W954/100)</f>
        <v/>
      </c>
      <c r="Q954" s="7" t="n"/>
      <c r="R954" s="7" t="n"/>
      <c r="U954">
        <f>IF($C954="","",IF($AJ954=1,0,IF($AI954=1,Settings!$C$6,Settings!$C$7))*100)</f>
        <v/>
      </c>
      <c r="V954" s="7">
        <f>IF($C954="","",R954*U954/100)</f>
        <v/>
      </c>
      <c r="W954" s="7">
        <f>IF($C954="","",R954-V954)</f>
        <v/>
      </c>
      <c r="X954" s="7">
        <f>IF($C954="","",W954-K954)</f>
        <v/>
      </c>
      <c r="AB954" s="7" t="n"/>
      <c r="AE954" s="11" t="n"/>
      <c r="AG954">
        <f>IF($C954="","",IF(COUNTIF($C$2:$C954,$C954)=1,1,0))</f>
        <v/>
      </c>
      <c r="AH954">
        <f>IF($AG954=1,SUMPRODUCT(--($AK$2:$AK$6001&lt;$AK954))+1,"")</f>
        <v/>
      </c>
      <c r="AI954">
        <f>IF($C954="","",IF(OR($N954=TRUE(),$N954="TRUE"),1,0))</f>
        <v/>
      </c>
      <c r="AJ954">
        <f>IF($C954="","",IF($T954="Yes",1,0))</f>
        <v/>
      </c>
      <c r="AK954">
        <f>IF($AG954=1,IFERROR(IF(VALUE($C954)&lt;100000000,VALUE($C954),1000000000),IFERROR(IF(VALUE(MID($C954,2,20))&lt;100000000,VALUE(MID($C954,2,20)),1000000000),1000000000))+ROW()/100000,"")</f>
        <v/>
      </c>
    </row>
    <row r="955">
      <c r="D955" s="11" t="n"/>
      <c r="K955" s="7">
        <f>IF($C955="","",J955*W955/100)</f>
        <v/>
      </c>
      <c r="Q955" s="7" t="n"/>
      <c r="R955" s="7" t="n"/>
      <c r="U955">
        <f>IF($C955="","",IF($AJ955=1,0,IF($AI955=1,Settings!$C$6,Settings!$C$7))*100)</f>
        <v/>
      </c>
      <c r="V955" s="7">
        <f>IF($C955="","",R955*U955/100)</f>
        <v/>
      </c>
      <c r="W955" s="7">
        <f>IF($C955="","",R955-V955)</f>
        <v/>
      </c>
      <c r="X955" s="7">
        <f>IF($C955="","",W955-K955)</f>
        <v/>
      </c>
      <c r="AB955" s="7" t="n"/>
      <c r="AE955" s="11" t="n"/>
      <c r="AG955">
        <f>IF($C955="","",IF(COUNTIF($C$2:$C955,$C955)=1,1,0))</f>
        <v/>
      </c>
      <c r="AH955">
        <f>IF($AG955=1,SUMPRODUCT(--($AK$2:$AK$6001&lt;$AK955))+1,"")</f>
        <v/>
      </c>
      <c r="AI955">
        <f>IF($C955="","",IF(OR($N955=TRUE(),$N955="TRUE"),1,0))</f>
        <v/>
      </c>
      <c r="AJ955">
        <f>IF($C955="","",IF($T955="Yes",1,0))</f>
        <v/>
      </c>
      <c r="AK955">
        <f>IF($AG955=1,IFERROR(IF(VALUE($C955)&lt;100000000,VALUE($C955),1000000000),IFERROR(IF(VALUE(MID($C955,2,20))&lt;100000000,VALUE(MID($C955,2,20)),1000000000),1000000000))+ROW()/100000,"")</f>
        <v/>
      </c>
    </row>
    <row r="956">
      <c r="D956" s="11" t="n"/>
      <c r="K956" s="7">
        <f>IF($C956="","",J956*W956/100)</f>
        <v/>
      </c>
      <c r="Q956" s="7" t="n"/>
      <c r="R956" s="7" t="n"/>
      <c r="U956">
        <f>IF($C956="","",IF($AJ956=1,0,IF($AI956=1,Settings!$C$6,Settings!$C$7))*100)</f>
        <v/>
      </c>
      <c r="V956" s="7">
        <f>IF($C956="","",R956*U956/100)</f>
        <v/>
      </c>
      <c r="W956" s="7">
        <f>IF($C956="","",R956-V956)</f>
        <v/>
      </c>
      <c r="X956" s="7">
        <f>IF($C956="","",W956-K956)</f>
        <v/>
      </c>
      <c r="AB956" s="7" t="n"/>
      <c r="AE956" s="11" t="n"/>
      <c r="AG956">
        <f>IF($C956="","",IF(COUNTIF($C$2:$C956,$C956)=1,1,0))</f>
        <v/>
      </c>
      <c r="AH956">
        <f>IF($AG956=1,SUMPRODUCT(--($AK$2:$AK$6001&lt;$AK956))+1,"")</f>
        <v/>
      </c>
      <c r="AI956">
        <f>IF($C956="","",IF(OR($N956=TRUE(),$N956="TRUE"),1,0))</f>
        <v/>
      </c>
      <c r="AJ956">
        <f>IF($C956="","",IF($T956="Yes",1,0))</f>
        <v/>
      </c>
      <c r="AK956">
        <f>IF($AG956=1,IFERROR(IF(VALUE($C956)&lt;100000000,VALUE($C956),1000000000),IFERROR(IF(VALUE(MID($C956,2,20))&lt;100000000,VALUE(MID($C956,2,20)),1000000000),1000000000))+ROW()/100000,"")</f>
        <v/>
      </c>
    </row>
    <row r="957">
      <c r="D957" s="11" t="n"/>
      <c r="K957" s="7">
        <f>IF($C957="","",J957*W957/100)</f>
        <v/>
      </c>
      <c r="Q957" s="7" t="n"/>
      <c r="R957" s="7" t="n"/>
      <c r="U957">
        <f>IF($C957="","",IF($AJ957=1,0,IF($AI957=1,Settings!$C$6,Settings!$C$7))*100)</f>
        <v/>
      </c>
      <c r="V957" s="7">
        <f>IF($C957="","",R957*U957/100)</f>
        <v/>
      </c>
      <c r="W957" s="7">
        <f>IF($C957="","",R957-V957)</f>
        <v/>
      </c>
      <c r="X957" s="7">
        <f>IF($C957="","",W957-K957)</f>
        <v/>
      </c>
      <c r="AB957" s="7" t="n"/>
      <c r="AE957" s="11" t="n"/>
      <c r="AG957">
        <f>IF($C957="","",IF(COUNTIF($C$2:$C957,$C957)=1,1,0))</f>
        <v/>
      </c>
      <c r="AH957">
        <f>IF($AG957=1,SUMPRODUCT(--($AK$2:$AK$6001&lt;$AK957))+1,"")</f>
        <v/>
      </c>
      <c r="AI957">
        <f>IF($C957="","",IF(OR($N957=TRUE(),$N957="TRUE"),1,0))</f>
        <v/>
      </c>
      <c r="AJ957">
        <f>IF($C957="","",IF($T957="Yes",1,0))</f>
        <v/>
      </c>
      <c r="AK957">
        <f>IF($AG957=1,IFERROR(IF(VALUE($C957)&lt;100000000,VALUE($C957),1000000000),IFERROR(IF(VALUE(MID($C957,2,20))&lt;100000000,VALUE(MID($C957,2,20)),1000000000),1000000000))+ROW()/100000,"")</f>
        <v/>
      </c>
    </row>
    <row r="958">
      <c r="D958" s="11" t="n"/>
      <c r="K958" s="7">
        <f>IF($C958="","",J958*W958/100)</f>
        <v/>
      </c>
      <c r="Q958" s="7" t="n"/>
      <c r="R958" s="7" t="n"/>
      <c r="U958">
        <f>IF($C958="","",IF($AJ958=1,0,IF($AI958=1,Settings!$C$6,Settings!$C$7))*100)</f>
        <v/>
      </c>
      <c r="V958" s="7">
        <f>IF($C958="","",R958*U958/100)</f>
        <v/>
      </c>
      <c r="W958" s="7">
        <f>IF($C958="","",R958-V958)</f>
        <v/>
      </c>
      <c r="X958" s="7">
        <f>IF($C958="","",W958-K958)</f>
        <v/>
      </c>
      <c r="AB958" s="7" t="n"/>
      <c r="AE958" s="11" t="n"/>
      <c r="AG958">
        <f>IF($C958="","",IF(COUNTIF($C$2:$C958,$C958)=1,1,0))</f>
        <v/>
      </c>
      <c r="AH958">
        <f>IF($AG958=1,SUMPRODUCT(--($AK$2:$AK$6001&lt;$AK958))+1,"")</f>
        <v/>
      </c>
      <c r="AI958">
        <f>IF($C958="","",IF(OR($N958=TRUE(),$N958="TRUE"),1,0))</f>
        <v/>
      </c>
      <c r="AJ958">
        <f>IF($C958="","",IF($T958="Yes",1,0))</f>
        <v/>
      </c>
      <c r="AK958">
        <f>IF($AG958=1,IFERROR(IF(VALUE($C958)&lt;100000000,VALUE($C958),1000000000),IFERROR(IF(VALUE(MID($C958,2,20))&lt;100000000,VALUE(MID($C958,2,20)),1000000000),1000000000))+ROW()/100000,"")</f>
        <v/>
      </c>
    </row>
    <row r="959">
      <c r="D959" s="11" t="n"/>
      <c r="K959" s="7">
        <f>IF($C959="","",J959*W959/100)</f>
        <v/>
      </c>
      <c r="Q959" s="7" t="n"/>
      <c r="R959" s="7" t="n"/>
      <c r="U959">
        <f>IF($C959="","",IF($AJ959=1,0,IF($AI959=1,Settings!$C$6,Settings!$C$7))*100)</f>
        <v/>
      </c>
      <c r="V959" s="7">
        <f>IF($C959="","",R959*U959/100)</f>
        <v/>
      </c>
      <c r="W959" s="7">
        <f>IF($C959="","",R959-V959)</f>
        <v/>
      </c>
      <c r="X959" s="7">
        <f>IF($C959="","",W959-K959)</f>
        <v/>
      </c>
      <c r="AB959" s="7" t="n"/>
      <c r="AE959" s="11" t="n"/>
      <c r="AG959">
        <f>IF($C959="","",IF(COUNTIF($C$2:$C959,$C959)=1,1,0))</f>
        <v/>
      </c>
      <c r="AH959">
        <f>IF($AG959=1,SUMPRODUCT(--($AK$2:$AK$6001&lt;$AK959))+1,"")</f>
        <v/>
      </c>
      <c r="AI959">
        <f>IF($C959="","",IF(OR($N959=TRUE(),$N959="TRUE"),1,0))</f>
        <v/>
      </c>
      <c r="AJ959">
        <f>IF($C959="","",IF($T959="Yes",1,0))</f>
        <v/>
      </c>
      <c r="AK959">
        <f>IF($AG959=1,IFERROR(IF(VALUE($C959)&lt;100000000,VALUE($C959),1000000000),IFERROR(IF(VALUE(MID($C959,2,20))&lt;100000000,VALUE(MID($C959,2,20)),1000000000),1000000000))+ROW()/100000,"")</f>
        <v/>
      </c>
    </row>
    <row r="960">
      <c r="D960" s="11" t="n"/>
      <c r="K960" s="7">
        <f>IF($C960="","",J960*W960/100)</f>
        <v/>
      </c>
      <c r="Q960" s="7" t="n"/>
      <c r="R960" s="7" t="n"/>
      <c r="U960">
        <f>IF($C960="","",IF($AJ960=1,0,IF($AI960=1,Settings!$C$6,Settings!$C$7))*100)</f>
        <v/>
      </c>
      <c r="V960" s="7">
        <f>IF($C960="","",R960*U960/100)</f>
        <v/>
      </c>
      <c r="W960" s="7">
        <f>IF($C960="","",R960-V960)</f>
        <v/>
      </c>
      <c r="X960" s="7">
        <f>IF($C960="","",W960-K960)</f>
        <v/>
      </c>
      <c r="AB960" s="7" t="n"/>
      <c r="AE960" s="11" t="n"/>
      <c r="AG960">
        <f>IF($C960="","",IF(COUNTIF($C$2:$C960,$C960)=1,1,0))</f>
        <v/>
      </c>
      <c r="AH960">
        <f>IF($AG960=1,SUMPRODUCT(--($AK$2:$AK$6001&lt;$AK960))+1,"")</f>
        <v/>
      </c>
      <c r="AI960">
        <f>IF($C960="","",IF(OR($N960=TRUE(),$N960="TRUE"),1,0))</f>
        <v/>
      </c>
      <c r="AJ960">
        <f>IF($C960="","",IF($T960="Yes",1,0))</f>
        <v/>
      </c>
      <c r="AK960">
        <f>IF($AG960=1,IFERROR(IF(VALUE($C960)&lt;100000000,VALUE($C960),1000000000),IFERROR(IF(VALUE(MID($C960,2,20))&lt;100000000,VALUE(MID($C960,2,20)),1000000000),1000000000))+ROW()/100000,"")</f>
        <v/>
      </c>
    </row>
    <row r="961">
      <c r="D961" s="11" t="n"/>
      <c r="K961" s="7">
        <f>IF($C961="","",J961*W961/100)</f>
        <v/>
      </c>
      <c r="Q961" s="7" t="n"/>
      <c r="R961" s="7" t="n"/>
      <c r="U961">
        <f>IF($C961="","",IF($AJ961=1,0,IF($AI961=1,Settings!$C$6,Settings!$C$7))*100)</f>
        <v/>
      </c>
      <c r="V961" s="7">
        <f>IF($C961="","",R961*U961/100)</f>
        <v/>
      </c>
      <c r="W961" s="7">
        <f>IF($C961="","",R961-V961)</f>
        <v/>
      </c>
      <c r="X961" s="7">
        <f>IF($C961="","",W961-K961)</f>
        <v/>
      </c>
      <c r="AB961" s="7" t="n"/>
      <c r="AE961" s="11" t="n"/>
      <c r="AG961">
        <f>IF($C961="","",IF(COUNTIF($C$2:$C961,$C961)=1,1,0))</f>
        <v/>
      </c>
      <c r="AH961">
        <f>IF($AG961=1,SUMPRODUCT(--($AK$2:$AK$6001&lt;$AK961))+1,"")</f>
        <v/>
      </c>
      <c r="AI961">
        <f>IF($C961="","",IF(OR($N961=TRUE(),$N961="TRUE"),1,0))</f>
        <v/>
      </c>
      <c r="AJ961">
        <f>IF($C961="","",IF($T961="Yes",1,0))</f>
        <v/>
      </c>
      <c r="AK961">
        <f>IF($AG961=1,IFERROR(IF(VALUE($C961)&lt;100000000,VALUE($C961),1000000000),IFERROR(IF(VALUE(MID($C961,2,20))&lt;100000000,VALUE(MID($C961,2,20)),1000000000),1000000000))+ROW()/100000,"")</f>
        <v/>
      </c>
    </row>
    <row r="962">
      <c r="D962" s="11" t="n"/>
      <c r="K962" s="7">
        <f>IF($C962="","",J962*W962/100)</f>
        <v/>
      </c>
      <c r="Q962" s="7" t="n"/>
      <c r="R962" s="7" t="n"/>
      <c r="U962">
        <f>IF($C962="","",IF($AJ962=1,0,IF($AI962=1,Settings!$C$6,Settings!$C$7))*100)</f>
        <v/>
      </c>
      <c r="V962" s="7">
        <f>IF($C962="","",R962*U962/100)</f>
        <v/>
      </c>
      <c r="W962" s="7">
        <f>IF($C962="","",R962-V962)</f>
        <v/>
      </c>
      <c r="X962" s="7">
        <f>IF($C962="","",W962-K962)</f>
        <v/>
      </c>
      <c r="AB962" s="7" t="n"/>
      <c r="AE962" s="11" t="n"/>
      <c r="AG962">
        <f>IF($C962="","",IF(COUNTIF($C$2:$C962,$C962)=1,1,0))</f>
        <v/>
      </c>
      <c r="AH962">
        <f>IF($AG962=1,SUMPRODUCT(--($AK$2:$AK$6001&lt;$AK962))+1,"")</f>
        <v/>
      </c>
      <c r="AI962">
        <f>IF($C962="","",IF(OR($N962=TRUE(),$N962="TRUE"),1,0))</f>
        <v/>
      </c>
      <c r="AJ962">
        <f>IF($C962="","",IF($T962="Yes",1,0))</f>
        <v/>
      </c>
      <c r="AK962">
        <f>IF($AG962=1,IFERROR(IF(VALUE($C962)&lt;100000000,VALUE($C962),1000000000),IFERROR(IF(VALUE(MID($C962,2,20))&lt;100000000,VALUE(MID($C962,2,20)),1000000000),1000000000))+ROW()/100000,"")</f>
        <v/>
      </c>
    </row>
    <row r="963">
      <c r="D963" s="11" t="n"/>
      <c r="K963" s="7">
        <f>IF($C963="","",J963*W963/100)</f>
        <v/>
      </c>
      <c r="Q963" s="7" t="n"/>
      <c r="R963" s="7" t="n"/>
      <c r="U963">
        <f>IF($C963="","",IF($AJ963=1,0,IF($AI963=1,Settings!$C$6,Settings!$C$7))*100)</f>
        <v/>
      </c>
      <c r="V963" s="7">
        <f>IF($C963="","",R963*U963/100)</f>
        <v/>
      </c>
      <c r="W963" s="7">
        <f>IF($C963="","",R963-V963)</f>
        <v/>
      </c>
      <c r="X963" s="7">
        <f>IF($C963="","",W963-K963)</f>
        <v/>
      </c>
      <c r="AB963" s="7" t="n"/>
      <c r="AE963" s="11" t="n"/>
      <c r="AG963">
        <f>IF($C963="","",IF(COUNTIF($C$2:$C963,$C963)=1,1,0))</f>
        <v/>
      </c>
      <c r="AH963">
        <f>IF($AG963=1,SUMPRODUCT(--($AK$2:$AK$6001&lt;$AK963))+1,"")</f>
        <v/>
      </c>
      <c r="AI963">
        <f>IF($C963="","",IF(OR($N963=TRUE(),$N963="TRUE"),1,0))</f>
        <v/>
      </c>
      <c r="AJ963">
        <f>IF($C963="","",IF($T963="Yes",1,0))</f>
        <v/>
      </c>
      <c r="AK963">
        <f>IF($AG963=1,IFERROR(IF(VALUE($C963)&lt;100000000,VALUE($C963),1000000000),IFERROR(IF(VALUE(MID($C963,2,20))&lt;100000000,VALUE(MID($C963,2,20)),1000000000),1000000000))+ROW()/100000,"")</f>
        <v/>
      </c>
    </row>
    <row r="964">
      <c r="D964" s="11" t="n"/>
      <c r="K964" s="7">
        <f>IF($C964="","",J964*W964/100)</f>
        <v/>
      </c>
      <c r="Q964" s="7" t="n"/>
      <c r="R964" s="7" t="n"/>
      <c r="U964">
        <f>IF($C964="","",IF($AJ964=1,0,IF($AI964=1,Settings!$C$6,Settings!$C$7))*100)</f>
        <v/>
      </c>
      <c r="V964" s="7">
        <f>IF($C964="","",R964*U964/100)</f>
        <v/>
      </c>
      <c r="W964" s="7">
        <f>IF($C964="","",R964-V964)</f>
        <v/>
      </c>
      <c r="X964" s="7">
        <f>IF($C964="","",W964-K964)</f>
        <v/>
      </c>
      <c r="AB964" s="7" t="n"/>
      <c r="AE964" s="11" t="n"/>
      <c r="AG964">
        <f>IF($C964="","",IF(COUNTIF($C$2:$C964,$C964)=1,1,0))</f>
        <v/>
      </c>
      <c r="AH964">
        <f>IF($AG964=1,SUMPRODUCT(--($AK$2:$AK$6001&lt;$AK964))+1,"")</f>
        <v/>
      </c>
      <c r="AI964">
        <f>IF($C964="","",IF(OR($N964=TRUE(),$N964="TRUE"),1,0))</f>
        <v/>
      </c>
      <c r="AJ964">
        <f>IF($C964="","",IF($T964="Yes",1,0))</f>
        <v/>
      </c>
      <c r="AK964">
        <f>IF($AG964=1,IFERROR(IF(VALUE($C964)&lt;100000000,VALUE($C964),1000000000),IFERROR(IF(VALUE(MID($C964,2,20))&lt;100000000,VALUE(MID($C964,2,20)),1000000000),1000000000))+ROW()/100000,"")</f>
        <v/>
      </c>
    </row>
    <row r="965">
      <c r="D965" s="11" t="n"/>
      <c r="K965" s="7">
        <f>IF($C965="","",J965*W965/100)</f>
        <v/>
      </c>
      <c r="Q965" s="7" t="n"/>
      <c r="R965" s="7" t="n"/>
      <c r="U965">
        <f>IF($C965="","",IF($AJ965=1,0,IF($AI965=1,Settings!$C$6,Settings!$C$7))*100)</f>
        <v/>
      </c>
      <c r="V965" s="7">
        <f>IF($C965="","",R965*U965/100)</f>
        <v/>
      </c>
      <c r="W965" s="7">
        <f>IF($C965="","",R965-V965)</f>
        <v/>
      </c>
      <c r="X965" s="7">
        <f>IF($C965="","",W965-K965)</f>
        <v/>
      </c>
      <c r="AB965" s="7" t="n"/>
      <c r="AE965" s="11" t="n"/>
      <c r="AG965">
        <f>IF($C965="","",IF(COUNTIF($C$2:$C965,$C965)=1,1,0))</f>
        <v/>
      </c>
      <c r="AH965">
        <f>IF($AG965=1,SUMPRODUCT(--($AK$2:$AK$6001&lt;$AK965))+1,"")</f>
        <v/>
      </c>
      <c r="AI965">
        <f>IF($C965="","",IF(OR($N965=TRUE(),$N965="TRUE"),1,0))</f>
        <v/>
      </c>
      <c r="AJ965">
        <f>IF($C965="","",IF($T965="Yes",1,0))</f>
        <v/>
      </c>
      <c r="AK965">
        <f>IF($AG965=1,IFERROR(IF(VALUE($C965)&lt;100000000,VALUE($C965),1000000000),IFERROR(IF(VALUE(MID($C965,2,20))&lt;100000000,VALUE(MID($C965,2,20)),1000000000),1000000000))+ROW()/100000,"")</f>
        <v/>
      </c>
    </row>
    <row r="966">
      <c r="D966" s="11" t="n"/>
      <c r="K966" s="7">
        <f>IF($C966="","",J966*W966/100)</f>
        <v/>
      </c>
      <c r="Q966" s="7" t="n"/>
      <c r="R966" s="7" t="n"/>
      <c r="U966">
        <f>IF($C966="","",IF($AJ966=1,0,IF($AI966=1,Settings!$C$6,Settings!$C$7))*100)</f>
        <v/>
      </c>
      <c r="V966" s="7">
        <f>IF($C966="","",R966*U966/100)</f>
        <v/>
      </c>
      <c r="W966" s="7">
        <f>IF($C966="","",R966-V966)</f>
        <v/>
      </c>
      <c r="X966" s="7">
        <f>IF($C966="","",W966-K966)</f>
        <v/>
      </c>
      <c r="AB966" s="7" t="n"/>
      <c r="AE966" s="11" t="n"/>
      <c r="AG966">
        <f>IF($C966="","",IF(COUNTIF($C$2:$C966,$C966)=1,1,0))</f>
        <v/>
      </c>
      <c r="AH966">
        <f>IF($AG966=1,SUMPRODUCT(--($AK$2:$AK$6001&lt;$AK966))+1,"")</f>
        <v/>
      </c>
      <c r="AI966">
        <f>IF($C966="","",IF(OR($N966=TRUE(),$N966="TRUE"),1,0))</f>
        <v/>
      </c>
      <c r="AJ966">
        <f>IF($C966="","",IF($T966="Yes",1,0))</f>
        <v/>
      </c>
      <c r="AK966">
        <f>IF($AG966=1,IFERROR(IF(VALUE($C966)&lt;100000000,VALUE($C966),1000000000),IFERROR(IF(VALUE(MID($C966,2,20))&lt;100000000,VALUE(MID($C966,2,20)),1000000000),1000000000))+ROW()/100000,"")</f>
        <v/>
      </c>
    </row>
    <row r="967">
      <c r="D967" s="11" t="n"/>
      <c r="K967" s="7">
        <f>IF($C967="","",J967*W967/100)</f>
        <v/>
      </c>
      <c r="Q967" s="7" t="n"/>
      <c r="R967" s="7" t="n"/>
      <c r="U967">
        <f>IF($C967="","",IF($AJ967=1,0,IF($AI967=1,Settings!$C$6,Settings!$C$7))*100)</f>
        <v/>
      </c>
      <c r="V967" s="7">
        <f>IF($C967="","",R967*U967/100)</f>
        <v/>
      </c>
      <c r="W967" s="7">
        <f>IF($C967="","",R967-V967)</f>
        <v/>
      </c>
      <c r="X967" s="7">
        <f>IF($C967="","",W967-K967)</f>
        <v/>
      </c>
      <c r="AB967" s="7" t="n"/>
      <c r="AE967" s="11" t="n"/>
      <c r="AG967">
        <f>IF($C967="","",IF(COUNTIF($C$2:$C967,$C967)=1,1,0))</f>
        <v/>
      </c>
      <c r="AH967">
        <f>IF($AG967=1,SUMPRODUCT(--($AK$2:$AK$6001&lt;$AK967))+1,"")</f>
        <v/>
      </c>
      <c r="AI967">
        <f>IF($C967="","",IF(OR($N967=TRUE(),$N967="TRUE"),1,0))</f>
        <v/>
      </c>
      <c r="AJ967">
        <f>IF($C967="","",IF($T967="Yes",1,0))</f>
        <v/>
      </c>
      <c r="AK967">
        <f>IF($AG967=1,IFERROR(IF(VALUE($C967)&lt;100000000,VALUE($C967),1000000000),IFERROR(IF(VALUE(MID($C967,2,20))&lt;100000000,VALUE(MID($C967,2,20)),1000000000),1000000000))+ROW()/100000,"")</f>
        <v/>
      </c>
    </row>
    <row r="968">
      <c r="D968" s="11" t="n"/>
      <c r="K968" s="7">
        <f>IF($C968="","",J968*W968/100)</f>
        <v/>
      </c>
      <c r="Q968" s="7" t="n"/>
      <c r="R968" s="7" t="n"/>
      <c r="U968">
        <f>IF($C968="","",IF($AJ968=1,0,IF($AI968=1,Settings!$C$6,Settings!$C$7))*100)</f>
        <v/>
      </c>
      <c r="V968" s="7">
        <f>IF($C968="","",R968*U968/100)</f>
        <v/>
      </c>
      <c r="W968" s="7">
        <f>IF($C968="","",R968-V968)</f>
        <v/>
      </c>
      <c r="X968" s="7">
        <f>IF($C968="","",W968-K968)</f>
        <v/>
      </c>
      <c r="AB968" s="7" t="n"/>
      <c r="AE968" s="11" t="n"/>
      <c r="AG968">
        <f>IF($C968="","",IF(COUNTIF($C$2:$C968,$C968)=1,1,0))</f>
        <v/>
      </c>
      <c r="AH968">
        <f>IF($AG968=1,SUMPRODUCT(--($AK$2:$AK$6001&lt;$AK968))+1,"")</f>
        <v/>
      </c>
      <c r="AI968">
        <f>IF($C968="","",IF(OR($N968=TRUE(),$N968="TRUE"),1,0))</f>
        <v/>
      </c>
      <c r="AJ968">
        <f>IF($C968="","",IF($T968="Yes",1,0))</f>
        <v/>
      </c>
      <c r="AK968">
        <f>IF($AG968=1,IFERROR(IF(VALUE($C968)&lt;100000000,VALUE($C968),1000000000),IFERROR(IF(VALUE(MID($C968,2,20))&lt;100000000,VALUE(MID($C968,2,20)),1000000000),1000000000))+ROW()/100000,"")</f>
        <v/>
      </c>
    </row>
    <row r="969">
      <c r="D969" s="11" t="n"/>
      <c r="K969" s="7">
        <f>IF($C969="","",J969*W969/100)</f>
        <v/>
      </c>
      <c r="Q969" s="7" t="n"/>
      <c r="R969" s="7" t="n"/>
      <c r="U969">
        <f>IF($C969="","",IF($AJ969=1,0,IF($AI969=1,Settings!$C$6,Settings!$C$7))*100)</f>
        <v/>
      </c>
      <c r="V969" s="7">
        <f>IF($C969="","",R969*U969/100)</f>
        <v/>
      </c>
      <c r="W969" s="7">
        <f>IF($C969="","",R969-V969)</f>
        <v/>
      </c>
      <c r="X969" s="7">
        <f>IF($C969="","",W969-K969)</f>
        <v/>
      </c>
      <c r="AB969" s="7" t="n"/>
      <c r="AE969" s="11" t="n"/>
      <c r="AG969">
        <f>IF($C969="","",IF(COUNTIF($C$2:$C969,$C969)=1,1,0))</f>
        <v/>
      </c>
      <c r="AH969">
        <f>IF($AG969=1,SUMPRODUCT(--($AK$2:$AK$6001&lt;$AK969))+1,"")</f>
        <v/>
      </c>
      <c r="AI969">
        <f>IF($C969="","",IF(OR($N969=TRUE(),$N969="TRUE"),1,0))</f>
        <v/>
      </c>
      <c r="AJ969">
        <f>IF($C969="","",IF($T969="Yes",1,0))</f>
        <v/>
      </c>
      <c r="AK969">
        <f>IF($AG969=1,IFERROR(IF(VALUE($C969)&lt;100000000,VALUE($C969),1000000000),IFERROR(IF(VALUE(MID($C969,2,20))&lt;100000000,VALUE(MID($C969,2,20)),1000000000),1000000000))+ROW()/100000,"")</f>
        <v/>
      </c>
    </row>
    <row r="970">
      <c r="D970" s="11" t="n"/>
      <c r="K970" s="7">
        <f>IF($C970="","",J970*W970/100)</f>
        <v/>
      </c>
      <c r="Q970" s="7" t="n"/>
      <c r="R970" s="7" t="n"/>
      <c r="U970">
        <f>IF($C970="","",IF($AJ970=1,0,IF($AI970=1,Settings!$C$6,Settings!$C$7))*100)</f>
        <v/>
      </c>
      <c r="V970" s="7">
        <f>IF($C970="","",R970*U970/100)</f>
        <v/>
      </c>
      <c r="W970" s="7">
        <f>IF($C970="","",R970-V970)</f>
        <v/>
      </c>
      <c r="X970" s="7">
        <f>IF($C970="","",W970-K970)</f>
        <v/>
      </c>
      <c r="AB970" s="7" t="n"/>
      <c r="AE970" s="11" t="n"/>
      <c r="AG970">
        <f>IF($C970="","",IF(COUNTIF($C$2:$C970,$C970)=1,1,0))</f>
        <v/>
      </c>
      <c r="AH970">
        <f>IF($AG970=1,SUMPRODUCT(--($AK$2:$AK$6001&lt;$AK970))+1,"")</f>
        <v/>
      </c>
      <c r="AI970">
        <f>IF($C970="","",IF(OR($N970=TRUE(),$N970="TRUE"),1,0))</f>
        <v/>
      </c>
      <c r="AJ970">
        <f>IF($C970="","",IF($T970="Yes",1,0))</f>
        <v/>
      </c>
      <c r="AK970">
        <f>IF($AG970=1,IFERROR(IF(VALUE($C970)&lt;100000000,VALUE($C970),1000000000),IFERROR(IF(VALUE(MID($C970,2,20))&lt;100000000,VALUE(MID($C970,2,20)),1000000000),1000000000))+ROW()/100000,"")</f>
        <v/>
      </c>
    </row>
    <row r="971">
      <c r="D971" s="11" t="n"/>
      <c r="K971" s="7">
        <f>IF($C971="","",J971*W971/100)</f>
        <v/>
      </c>
      <c r="Q971" s="7" t="n"/>
      <c r="R971" s="7" t="n"/>
      <c r="U971">
        <f>IF($C971="","",IF($AJ971=1,0,IF($AI971=1,Settings!$C$6,Settings!$C$7))*100)</f>
        <v/>
      </c>
      <c r="V971" s="7">
        <f>IF($C971="","",R971*U971/100)</f>
        <v/>
      </c>
      <c r="W971" s="7">
        <f>IF($C971="","",R971-V971)</f>
        <v/>
      </c>
      <c r="X971" s="7">
        <f>IF($C971="","",W971-K971)</f>
        <v/>
      </c>
      <c r="AB971" s="7" t="n"/>
      <c r="AE971" s="11" t="n"/>
      <c r="AG971">
        <f>IF($C971="","",IF(COUNTIF($C$2:$C971,$C971)=1,1,0))</f>
        <v/>
      </c>
      <c r="AH971">
        <f>IF($AG971=1,SUMPRODUCT(--($AK$2:$AK$6001&lt;$AK971))+1,"")</f>
        <v/>
      </c>
      <c r="AI971">
        <f>IF($C971="","",IF(OR($N971=TRUE(),$N971="TRUE"),1,0))</f>
        <v/>
      </c>
      <c r="AJ971">
        <f>IF($C971="","",IF($T971="Yes",1,0))</f>
        <v/>
      </c>
      <c r="AK971">
        <f>IF($AG971=1,IFERROR(IF(VALUE($C971)&lt;100000000,VALUE($C971),1000000000),IFERROR(IF(VALUE(MID($C971,2,20))&lt;100000000,VALUE(MID($C971,2,20)),1000000000),1000000000))+ROW()/100000,"")</f>
        <v/>
      </c>
    </row>
    <row r="972">
      <c r="D972" s="11" t="n"/>
      <c r="K972" s="7">
        <f>IF($C972="","",J972*W972/100)</f>
        <v/>
      </c>
      <c r="Q972" s="7" t="n"/>
      <c r="R972" s="7" t="n"/>
      <c r="U972">
        <f>IF($C972="","",IF($AJ972=1,0,IF($AI972=1,Settings!$C$6,Settings!$C$7))*100)</f>
        <v/>
      </c>
      <c r="V972" s="7">
        <f>IF($C972="","",R972*U972/100)</f>
        <v/>
      </c>
      <c r="W972" s="7">
        <f>IF($C972="","",R972-V972)</f>
        <v/>
      </c>
      <c r="X972" s="7">
        <f>IF($C972="","",W972-K972)</f>
        <v/>
      </c>
      <c r="AB972" s="7" t="n"/>
      <c r="AE972" s="11" t="n"/>
      <c r="AG972">
        <f>IF($C972="","",IF(COUNTIF($C$2:$C972,$C972)=1,1,0))</f>
        <v/>
      </c>
      <c r="AH972">
        <f>IF($AG972=1,SUMPRODUCT(--($AK$2:$AK$6001&lt;$AK972))+1,"")</f>
        <v/>
      </c>
      <c r="AI972">
        <f>IF($C972="","",IF(OR($N972=TRUE(),$N972="TRUE"),1,0))</f>
        <v/>
      </c>
      <c r="AJ972">
        <f>IF($C972="","",IF($T972="Yes",1,0))</f>
        <v/>
      </c>
      <c r="AK972">
        <f>IF($AG972=1,IFERROR(IF(VALUE($C972)&lt;100000000,VALUE($C972),1000000000),IFERROR(IF(VALUE(MID($C972,2,20))&lt;100000000,VALUE(MID($C972,2,20)),1000000000),1000000000))+ROW()/100000,"")</f>
        <v/>
      </c>
    </row>
    <row r="973">
      <c r="D973" s="11" t="n"/>
      <c r="K973" s="7">
        <f>IF($C973="","",J973*W973/100)</f>
        <v/>
      </c>
      <c r="Q973" s="7" t="n"/>
      <c r="R973" s="7" t="n"/>
      <c r="U973">
        <f>IF($C973="","",IF($AJ973=1,0,IF($AI973=1,Settings!$C$6,Settings!$C$7))*100)</f>
        <v/>
      </c>
      <c r="V973" s="7">
        <f>IF($C973="","",R973*U973/100)</f>
        <v/>
      </c>
      <c r="W973" s="7">
        <f>IF($C973="","",R973-V973)</f>
        <v/>
      </c>
      <c r="X973" s="7">
        <f>IF($C973="","",W973-K973)</f>
        <v/>
      </c>
      <c r="AB973" s="7" t="n"/>
      <c r="AE973" s="11" t="n"/>
      <c r="AG973">
        <f>IF($C973="","",IF(COUNTIF($C$2:$C973,$C973)=1,1,0))</f>
        <v/>
      </c>
      <c r="AH973">
        <f>IF($AG973=1,SUMPRODUCT(--($AK$2:$AK$6001&lt;$AK973))+1,"")</f>
        <v/>
      </c>
      <c r="AI973">
        <f>IF($C973="","",IF(OR($N973=TRUE(),$N973="TRUE"),1,0))</f>
        <v/>
      </c>
      <c r="AJ973">
        <f>IF($C973="","",IF($T973="Yes",1,0))</f>
        <v/>
      </c>
      <c r="AK973">
        <f>IF($AG973=1,IFERROR(IF(VALUE($C973)&lt;100000000,VALUE($C973),1000000000),IFERROR(IF(VALUE(MID($C973,2,20))&lt;100000000,VALUE(MID($C973,2,20)),1000000000),1000000000))+ROW()/100000,"")</f>
        <v/>
      </c>
    </row>
    <row r="974">
      <c r="D974" s="11" t="n"/>
      <c r="K974" s="7">
        <f>IF($C974="","",J974*W974/100)</f>
        <v/>
      </c>
      <c r="Q974" s="7" t="n"/>
      <c r="R974" s="7" t="n"/>
      <c r="U974">
        <f>IF($C974="","",IF($AJ974=1,0,IF($AI974=1,Settings!$C$6,Settings!$C$7))*100)</f>
        <v/>
      </c>
      <c r="V974" s="7">
        <f>IF($C974="","",R974*U974/100)</f>
        <v/>
      </c>
      <c r="W974" s="7">
        <f>IF($C974="","",R974-V974)</f>
        <v/>
      </c>
      <c r="X974" s="7">
        <f>IF($C974="","",W974-K974)</f>
        <v/>
      </c>
      <c r="AB974" s="7" t="n"/>
      <c r="AE974" s="11" t="n"/>
      <c r="AG974">
        <f>IF($C974="","",IF(COUNTIF($C$2:$C974,$C974)=1,1,0))</f>
        <v/>
      </c>
      <c r="AH974">
        <f>IF($AG974=1,SUMPRODUCT(--($AK$2:$AK$6001&lt;$AK974))+1,"")</f>
        <v/>
      </c>
      <c r="AI974">
        <f>IF($C974="","",IF(OR($N974=TRUE(),$N974="TRUE"),1,0))</f>
        <v/>
      </c>
      <c r="AJ974">
        <f>IF($C974="","",IF($T974="Yes",1,0))</f>
        <v/>
      </c>
      <c r="AK974">
        <f>IF($AG974=1,IFERROR(IF(VALUE($C974)&lt;100000000,VALUE($C974),1000000000),IFERROR(IF(VALUE(MID($C974,2,20))&lt;100000000,VALUE(MID($C974,2,20)),1000000000),1000000000))+ROW()/100000,"")</f>
        <v/>
      </c>
    </row>
    <row r="975">
      <c r="D975" s="11" t="n"/>
      <c r="K975" s="7">
        <f>IF($C975="","",J975*W975/100)</f>
        <v/>
      </c>
      <c r="Q975" s="7" t="n"/>
      <c r="R975" s="7" t="n"/>
      <c r="U975">
        <f>IF($C975="","",IF($AJ975=1,0,IF($AI975=1,Settings!$C$6,Settings!$C$7))*100)</f>
        <v/>
      </c>
      <c r="V975" s="7">
        <f>IF($C975="","",R975*U975/100)</f>
        <v/>
      </c>
      <c r="W975" s="7">
        <f>IF($C975="","",R975-V975)</f>
        <v/>
      </c>
      <c r="X975" s="7">
        <f>IF($C975="","",W975-K975)</f>
        <v/>
      </c>
      <c r="AB975" s="7" t="n"/>
      <c r="AE975" s="11" t="n"/>
      <c r="AG975">
        <f>IF($C975="","",IF(COUNTIF($C$2:$C975,$C975)=1,1,0))</f>
        <v/>
      </c>
      <c r="AH975">
        <f>IF($AG975=1,SUMPRODUCT(--($AK$2:$AK$6001&lt;$AK975))+1,"")</f>
        <v/>
      </c>
      <c r="AI975">
        <f>IF($C975="","",IF(OR($N975=TRUE(),$N975="TRUE"),1,0))</f>
        <v/>
      </c>
      <c r="AJ975">
        <f>IF($C975="","",IF($T975="Yes",1,0))</f>
        <v/>
      </c>
      <c r="AK975">
        <f>IF($AG975=1,IFERROR(IF(VALUE($C975)&lt;100000000,VALUE($C975),1000000000),IFERROR(IF(VALUE(MID($C975,2,20))&lt;100000000,VALUE(MID($C975,2,20)),1000000000),1000000000))+ROW()/100000,"")</f>
        <v/>
      </c>
    </row>
    <row r="976">
      <c r="D976" s="11" t="n"/>
      <c r="K976" s="7">
        <f>IF($C976="","",J976*W976/100)</f>
        <v/>
      </c>
      <c r="Q976" s="7" t="n"/>
      <c r="R976" s="7" t="n"/>
      <c r="U976">
        <f>IF($C976="","",IF($AJ976=1,0,IF($AI976=1,Settings!$C$6,Settings!$C$7))*100)</f>
        <v/>
      </c>
      <c r="V976" s="7">
        <f>IF($C976="","",R976*U976/100)</f>
        <v/>
      </c>
      <c r="W976" s="7">
        <f>IF($C976="","",R976-V976)</f>
        <v/>
      </c>
      <c r="X976" s="7">
        <f>IF($C976="","",W976-K976)</f>
        <v/>
      </c>
      <c r="AB976" s="7" t="n"/>
      <c r="AE976" s="11" t="n"/>
      <c r="AG976">
        <f>IF($C976="","",IF(COUNTIF($C$2:$C976,$C976)=1,1,0))</f>
        <v/>
      </c>
      <c r="AH976">
        <f>IF($AG976=1,SUMPRODUCT(--($AK$2:$AK$6001&lt;$AK976))+1,"")</f>
        <v/>
      </c>
      <c r="AI976">
        <f>IF($C976="","",IF(OR($N976=TRUE(),$N976="TRUE"),1,0))</f>
        <v/>
      </c>
      <c r="AJ976">
        <f>IF($C976="","",IF($T976="Yes",1,0))</f>
        <v/>
      </c>
      <c r="AK976">
        <f>IF($AG976=1,IFERROR(IF(VALUE($C976)&lt;100000000,VALUE($C976),1000000000),IFERROR(IF(VALUE(MID($C976,2,20))&lt;100000000,VALUE(MID($C976,2,20)),1000000000),1000000000))+ROW()/100000,"")</f>
        <v/>
      </c>
    </row>
    <row r="977">
      <c r="D977" s="11" t="n"/>
      <c r="K977" s="7">
        <f>IF($C977="","",J977*W977/100)</f>
        <v/>
      </c>
      <c r="Q977" s="7" t="n"/>
      <c r="R977" s="7" t="n"/>
      <c r="U977">
        <f>IF($C977="","",IF($AJ977=1,0,IF($AI977=1,Settings!$C$6,Settings!$C$7))*100)</f>
        <v/>
      </c>
      <c r="V977" s="7">
        <f>IF($C977="","",R977*U977/100)</f>
        <v/>
      </c>
      <c r="W977" s="7">
        <f>IF($C977="","",R977-V977)</f>
        <v/>
      </c>
      <c r="X977" s="7">
        <f>IF($C977="","",W977-K977)</f>
        <v/>
      </c>
      <c r="AB977" s="7" t="n"/>
      <c r="AE977" s="11" t="n"/>
      <c r="AG977">
        <f>IF($C977="","",IF(COUNTIF($C$2:$C977,$C977)=1,1,0))</f>
        <v/>
      </c>
      <c r="AH977">
        <f>IF($AG977=1,SUMPRODUCT(--($AK$2:$AK$6001&lt;$AK977))+1,"")</f>
        <v/>
      </c>
      <c r="AI977">
        <f>IF($C977="","",IF(OR($N977=TRUE(),$N977="TRUE"),1,0))</f>
        <v/>
      </c>
      <c r="AJ977">
        <f>IF($C977="","",IF($T977="Yes",1,0))</f>
        <v/>
      </c>
      <c r="AK977">
        <f>IF($AG977=1,IFERROR(IF(VALUE($C977)&lt;100000000,VALUE($C977),1000000000),IFERROR(IF(VALUE(MID($C977,2,20))&lt;100000000,VALUE(MID($C977,2,20)),1000000000),1000000000))+ROW()/100000,"")</f>
        <v/>
      </c>
    </row>
    <row r="978">
      <c r="D978" s="11" t="n"/>
      <c r="K978" s="7">
        <f>IF($C978="","",J978*W978/100)</f>
        <v/>
      </c>
      <c r="Q978" s="7" t="n"/>
      <c r="R978" s="7" t="n"/>
      <c r="U978">
        <f>IF($C978="","",IF($AJ978=1,0,IF($AI978=1,Settings!$C$6,Settings!$C$7))*100)</f>
        <v/>
      </c>
      <c r="V978" s="7">
        <f>IF($C978="","",R978*U978/100)</f>
        <v/>
      </c>
      <c r="W978" s="7">
        <f>IF($C978="","",R978-V978)</f>
        <v/>
      </c>
      <c r="X978" s="7">
        <f>IF($C978="","",W978-K978)</f>
        <v/>
      </c>
      <c r="AB978" s="7" t="n"/>
      <c r="AE978" s="11" t="n"/>
      <c r="AG978">
        <f>IF($C978="","",IF(COUNTIF($C$2:$C978,$C978)=1,1,0))</f>
        <v/>
      </c>
      <c r="AH978">
        <f>IF($AG978=1,SUMPRODUCT(--($AK$2:$AK$6001&lt;$AK978))+1,"")</f>
        <v/>
      </c>
      <c r="AI978">
        <f>IF($C978="","",IF(OR($N978=TRUE(),$N978="TRUE"),1,0))</f>
        <v/>
      </c>
      <c r="AJ978">
        <f>IF($C978="","",IF($T978="Yes",1,0))</f>
        <v/>
      </c>
      <c r="AK978">
        <f>IF($AG978=1,IFERROR(IF(VALUE($C978)&lt;100000000,VALUE($C978),1000000000),IFERROR(IF(VALUE(MID($C978,2,20))&lt;100000000,VALUE(MID($C978,2,20)),1000000000),1000000000))+ROW()/100000,"")</f>
        <v/>
      </c>
    </row>
    <row r="979">
      <c r="D979" s="11" t="n"/>
      <c r="K979" s="7">
        <f>IF($C979="","",J979*W979/100)</f>
        <v/>
      </c>
      <c r="Q979" s="7" t="n"/>
      <c r="R979" s="7" t="n"/>
      <c r="U979">
        <f>IF($C979="","",IF($AJ979=1,0,IF($AI979=1,Settings!$C$6,Settings!$C$7))*100)</f>
        <v/>
      </c>
      <c r="V979" s="7">
        <f>IF($C979="","",R979*U979/100)</f>
        <v/>
      </c>
      <c r="W979" s="7">
        <f>IF($C979="","",R979-V979)</f>
        <v/>
      </c>
      <c r="X979" s="7">
        <f>IF($C979="","",W979-K979)</f>
        <v/>
      </c>
      <c r="AB979" s="7" t="n"/>
      <c r="AE979" s="11" t="n"/>
      <c r="AG979">
        <f>IF($C979="","",IF(COUNTIF($C$2:$C979,$C979)=1,1,0))</f>
        <v/>
      </c>
      <c r="AH979">
        <f>IF($AG979=1,SUMPRODUCT(--($AK$2:$AK$6001&lt;$AK979))+1,"")</f>
        <v/>
      </c>
      <c r="AI979">
        <f>IF($C979="","",IF(OR($N979=TRUE(),$N979="TRUE"),1,0))</f>
        <v/>
      </c>
      <c r="AJ979">
        <f>IF($C979="","",IF($T979="Yes",1,0))</f>
        <v/>
      </c>
      <c r="AK979">
        <f>IF($AG979=1,IFERROR(IF(VALUE($C979)&lt;100000000,VALUE($C979),1000000000),IFERROR(IF(VALUE(MID($C979,2,20))&lt;100000000,VALUE(MID($C979,2,20)),1000000000),1000000000))+ROW()/100000,"")</f>
        <v/>
      </c>
    </row>
    <row r="980">
      <c r="D980" s="11" t="n"/>
      <c r="K980" s="7">
        <f>IF($C980="","",J980*W980/100)</f>
        <v/>
      </c>
      <c r="Q980" s="7" t="n"/>
      <c r="R980" s="7" t="n"/>
      <c r="U980">
        <f>IF($C980="","",IF($AJ980=1,0,IF($AI980=1,Settings!$C$6,Settings!$C$7))*100)</f>
        <v/>
      </c>
      <c r="V980" s="7">
        <f>IF($C980="","",R980*U980/100)</f>
        <v/>
      </c>
      <c r="W980" s="7">
        <f>IF($C980="","",R980-V980)</f>
        <v/>
      </c>
      <c r="X980" s="7">
        <f>IF($C980="","",W980-K980)</f>
        <v/>
      </c>
      <c r="AB980" s="7" t="n"/>
      <c r="AE980" s="11" t="n"/>
      <c r="AG980">
        <f>IF($C980="","",IF(COUNTIF($C$2:$C980,$C980)=1,1,0))</f>
        <v/>
      </c>
      <c r="AH980">
        <f>IF($AG980=1,SUMPRODUCT(--($AK$2:$AK$6001&lt;$AK980))+1,"")</f>
        <v/>
      </c>
      <c r="AI980">
        <f>IF($C980="","",IF(OR($N980=TRUE(),$N980="TRUE"),1,0))</f>
        <v/>
      </c>
      <c r="AJ980">
        <f>IF($C980="","",IF($T980="Yes",1,0))</f>
        <v/>
      </c>
      <c r="AK980">
        <f>IF($AG980=1,IFERROR(IF(VALUE($C980)&lt;100000000,VALUE($C980),1000000000),IFERROR(IF(VALUE(MID($C980,2,20))&lt;100000000,VALUE(MID($C980,2,20)),1000000000),1000000000))+ROW()/100000,"")</f>
        <v/>
      </c>
    </row>
    <row r="981">
      <c r="D981" s="11" t="n"/>
      <c r="K981" s="7">
        <f>IF($C981="","",J981*W981/100)</f>
        <v/>
      </c>
      <c r="Q981" s="7" t="n"/>
      <c r="R981" s="7" t="n"/>
      <c r="U981">
        <f>IF($C981="","",IF($AJ981=1,0,IF($AI981=1,Settings!$C$6,Settings!$C$7))*100)</f>
        <v/>
      </c>
      <c r="V981" s="7">
        <f>IF($C981="","",R981*U981/100)</f>
        <v/>
      </c>
      <c r="W981" s="7">
        <f>IF($C981="","",R981-V981)</f>
        <v/>
      </c>
      <c r="X981" s="7">
        <f>IF($C981="","",W981-K981)</f>
        <v/>
      </c>
      <c r="AB981" s="7" t="n"/>
      <c r="AE981" s="11" t="n"/>
      <c r="AG981">
        <f>IF($C981="","",IF(COUNTIF($C$2:$C981,$C981)=1,1,0))</f>
        <v/>
      </c>
      <c r="AH981">
        <f>IF($AG981=1,SUMPRODUCT(--($AK$2:$AK$6001&lt;$AK981))+1,"")</f>
        <v/>
      </c>
      <c r="AI981">
        <f>IF($C981="","",IF(OR($N981=TRUE(),$N981="TRUE"),1,0))</f>
        <v/>
      </c>
      <c r="AJ981">
        <f>IF($C981="","",IF($T981="Yes",1,0))</f>
        <v/>
      </c>
      <c r="AK981">
        <f>IF($AG981=1,IFERROR(IF(VALUE($C981)&lt;100000000,VALUE($C981),1000000000),IFERROR(IF(VALUE(MID($C981,2,20))&lt;100000000,VALUE(MID($C981,2,20)),1000000000),1000000000))+ROW()/100000,"")</f>
        <v/>
      </c>
    </row>
    <row r="982">
      <c r="D982" s="11" t="n"/>
      <c r="K982" s="7">
        <f>IF($C982="","",J982*W982/100)</f>
        <v/>
      </c>
      <c r="Q982" s="7" t="n"/>
      <c r="R982" s="7" t="n"/>
      <c r="U982">
        <f>IF($C982="","",IF($AJ982=1,0,IF($AI982=1,Settings!$C$6,Settings!$C$7))*100)</f>
        <v/>
      </c>
      <c r="V982" s="7">
        <f>IF($C982="","",R982*U982/100)</f>
        <v/>
      </c>
      <c r="W982" s="7">
        <f>IF($C982="","",R982-V982)</f>
        <v/>
      </c>
      <c r="X982" s="7">
        <f>IF($C982="","",W982-K982)</f>
        <v/>
      </c>
      <c r="AB982" s="7" t="n"/>
      <c r="AE982" s="11" t="n"/>
      <c r="AG982">
        <f>IF($C982="","",IF(COUNTIF($C$2:$C982,$C982)=1,1,0))</f>
        <v/>
      </c>
      <c r="AH982">
        <f>IF($AG982=1,SUMPRODUCT(--($AK$2:$AK$6001&lt;$AK982))+1,"")</f>
        <v/>
      </c>
      <c r="AI982">
        <f>IF($C982="","",IF(OR($N982=TRUE(),$N982="TRUE"),1,0))</f>
        <v/>
      </c>
      <c r="AJ982">
        <f>IF($C982="","",IF($T982="Yes",1,0))</f>
        <v/>
      </c>
      <c r="AK982">
        <f>IF($AG982=1,IFERROR(IF(VALUE($C982)&lt;100000000,VALUE($C982),1000000000),IFERROR(IF(VALUE(MID($C982,2,20))&lt;100000000,VALUE(MID($C982,2,20)),1000000000),1000000000))+ROW()/100000,"")</f>
        <v/>
      </c>
    </row>
    <row r="983">
      <c r="D983" s="11" t="n"/>
      <c r="K983" s="7">
        <f>IF($C983="","",J983*W983/100)</f>
        <v/>
      </c>
      <c r="Q983" s="7" t="n"/>
      <c r="R983" s="7" t="n"/>
      <c r="U983">
        <f>IF($C983="","",IF($AJ983=1,0,IF($AI983=1,Settings!$C$6,Settings!$C$7))*100)</f>
        <v/>
      </c>
      <c r="V983" s="7">
        <f>IF($C983="","",R983*U983/100)</f>
        <v/>
      </c>
      <c r="W983" s="7">
        <f>IF($C983="","",R983-V983)</f>
        <v/>
      </c>
      <c r="X983" s="7">
        <f>IF($C983="","",W983-K983)</f>
        <v/>
      </c>
      <c r="AB983" s="7" t="n"/>
      <c r="AE983" s="11" t="n"/>
      <c r="AG983">
        <f>IF($C983="","",IF(COUNTIF($C$2:$C983,$C983)=1,1,0))</f>
        <v/>
      </c>
      <c r="AH983">
        <f>IF($AG983=1,SUMPRODUCT(--($AK$2:$AK$6001&lt;$AK983))+1,"")</f>
        <v/>
      </c>
      <c r="AI983">
        <f>IF($C983="","",IF(OR($N983=TRUE(),$N983="TRUE"),1,0))</f>
        <v/>
      </c>
      <c r="AJ983">
        <f>IF($C983="","",IF($T983="Yes",1,0))</f>
        <v/>
      </c>
      <c r="AK983">
        <f>IF($AG983=1,IFERROR(IF(VALUE($C983)&lt;100000000,VALUE($C983),1000000000),IFERROR(IF(VALUE(MID($C983,2,20))&lt;100000000,VALUE(MID($C983,2,20)),1000000000),1000000000))+ROW()/100000,"")</f>
        <v/>
      </c>
    </row>
    <row r="984">
      <c r="D984" s="11" t="n"/>
      <c r="K984" s="7">
        <f>IF($C984="","",J984*W984/100)</f>
        <v/>
      </c>
      <c r="Q984" s="7" t="n"/>
      <c r="R984" s="7" t="n"/>
      <c r="U984">
        <f>IF($C984="","",IF($AJ984=1,0,IF($AI984=1,Settings!$C$6,Settings!$C$7))*100)</f>
        <v/>
      </c>
      <c r="V984" s="7">
        <f>IF($C984="","",R984*U984/100)</f>
        <v/>
      </c>
      <c r="W984" s="7">
        <f>IF($C984="","",R984-V984)</f>
        <v/>
      </c>
      <c r="X984" s="7">
        <f>IF($C984="","",W984-K984)</f>
        <v/>
      </c>
      <c r="AB984" s="7" t="n"/>
      <c r="AE984" s="11" t="n"/>
      <c r="AG984">
        <f>IF($C984="","",IF(COUNTIF($C$2:$C984,$C984)=1,1,0))</f>
        <v/>
      </c>
      <c r="AH984">
        <f>IF($AG984=1,SUMPRODUCT(--($AK$2:$AK$6001&lt;$AK984))+1,"")</f>
        <v/>
      </c>
      <c r="AI984">
        <f>IF($C984="","",IF(OR($N984=TRUE(),$N984="TRUE"),1,0))</f>
        <v/>
      </c>
      <c r="AJ984">
        <f>IF($C984="","",IF($T984="Yes",1,0))</f>
        <v/>
      </c>
      <c r="AK984">
        <f>IF($AG984=1,IFERROR(IF(VALUE($C984)&lt;100000000,VALUE($C984),1000000000),IFERROR(IF(VALUE(MID($C984,2,20))&lt;100000000,VALUE(MID($C984,2,20)),1000000000),1000000000))+ROW()/100000,"")</f>
        <v/>
      </c>
    </row>
    <row r="985">
      <c r="D985" s="11" t="n"/>
      <c r="K985" s="7">
        <f>IF($C985="","",J985*W985/100)</f>
        <v/>
      </c>
      <c r="Q985" s="7" t="n"/>
      <c r="R985" s="7" t="n"/>
      <c r="U985">
        <f>IF($C985="","",IF($AJ985=1,0,IF($AI985=1,Settings!$C$6,Settings!$C$7))*100)</f>
        <v/>
      </c>
      <c r="V985" s="7">
        <f>IF($C985="","",R985*U985/100)</f>
        <v/>
      </c>
      <c r="W985" s="7">
        <f>IF($C985="","",R985-V985)</f>
        <v/>
      </c>
      <c r="X985" s="7">
        <f>IF($C985="","",W985-K985)</f>
        <v/>
      </c>
      <c r="AB985" s="7" t="n"/>
      <c r="AE985" s="11" t="n"/>
      <c r="AG985">
        <f>IF($C985="","",IF(COUNTIF($C$2:$C985,$C985)=1,1,0))</f>
        <v/>
      </c>
      <c r="AH985">
        <f>IF($AG985=1,SUMPRODUCT(--($AK$2:$AK$6001&lt;$AK985))+1,"")</f>
        <v/>
      </c>
      <c r="AI985">
        <f>IF($C985="","",IF(OR($N985=TRUE(),$N985="TRUE"),1,0))</f>
        <v/>
      </c>
      <c r="AJ985">
        <f>IF($C985="","",IF($T985="Yes",1,0))</f>
        <v/>
      </c>
      <c r="AK985">
        <f>IF($AG985=1,IFERROR(IF(VALUE($C985)&lt;100000000,VALUE($C985),1000000000),IFERROR(IF(VALUE(MID($C985,2,20))&lt;100000000,VALUE(MID($C985,2,20)),1000000000),1000000000))+ROW()/100000,"")</f>
        <v/>
      </c>
    </row>
    <row r="986">
      <c r="D986" s="11" t="n"/>
      <c r="K986" s="7">
        <f>IF($C986="","",J986*W986/100)</f>
        <v/>
      </c>
      <c r="Q986" s="7" t="n"/>
      <c r="R986" s="7" t="n"/>
      <c r="U986">
        <f>IF($C986="","",IF($AJ986=1,0,IF($AI986=1,Settings!$C$6,Settings!$C$7))*100)</f>
        <v/>
      </c>
      <c r="V986" s="7">
        <f>IF($C986="","",R986*U986/100)</f>
        <v/>
      </c>
      <c r="W986" s="7">
        <f>IF($C986="","",R986-V986)</f>
        <v/>
      </c>
      <c r="X986" s="7">
        <f>IF($C986="","",W986-K986)</f>
        <v/>
      </c>
      <c r="AB986" s="7" t="n"/>
      <c r="AE986" s="11" t="n"/>
      <c r="AG986">
        <f>IF($C986="","",IF(COUNTIF($C$2:$C986,$C986)=1,1,0))</f>
        <v/>
      </c>
      <c r="AH986">
        <f>IF($AG986=1,SUMPRODUCT(--($AK$2:$AK$6001&lt;$AK986))+1,"")</f>
        <v/>
      </c>
      <c r="AI986">
        <f>IF($C986="","",IF(OR($N986=TRUE(),$N986="TRUE"),1,0))</f>
        <v/>
      </c>
      <c r="AJ986">
        <f>IF($C986="","",IF($T986="Yes",1,0))</f>
        <v/>
      </c>
      <c r="AK986">
        <f>IF($AG986=1,IFERROR(IF(VALUE($C986)&lt;100000000,VALUE($C986),1000000000),IFERROR(IF(VALUE(MID($C986,2,20))&lt;100000000,VALUE(MID($C986,2,20)),1000000000),1000000000))+ROW()/100000,"")</f>
        <v/>
      </c>
    </row>
    <row r="987">
      <c r="D987" s="11" t="n"/>
      <c r="K987" s="7">
        <f>IF($C987="","",J987*W987/100)</f>
        <v/>
      </c>
      <c r="Q987" s="7" t="n"/>
      <c r="R987" s="7" t="n"/>
      <c r="U987">
        <f>IF($C987="","",IF($AJ987=1,0,IF($AI987=1,Settings!$C$6,Settings!$C$7))*100)</f>
        <v/>
      </c>
      <c r="V987" s="7">
        <f>IF($C987="","",R987*U987/100)</f>
        <v/>
      </c>
      <c r="W987" s="7">
        <f>IF($C987="","",R987-V987)</f>
        <v/>
      </c>
      <c r="X987" s="7">
        <f>IF($C987="","",W987-K987)</f>
        <v/>
      </c>
      <c r="AB987" s="7" t="n"/>
      <c r="AE987" s="11" t="n"/>
      <c r="AG987">
        <f>IF($C987="","",IF(COUNTIF($C$2:$C987,$C987)=1,1,0))</f>
        <v/>
      </c>
      <c r="AH987">
        <f>IF($AG987=1,SUMPRODUCT(--($AK$2:$AK$6001&lt;$AK987))+1,"")</f>
        <v/>
      </c>
      <c r="AI987">
        <f>IF($C987="","",IF(OR($N987=TRUE(),$N987="TRUE"),1,0))</f>
        <v/>
      </c>
      <c r="AJ987">
        <f>IF($C987="","",IF($T987="Yes",1,0))</f>
        <v/>
      </c>
      <c r="AK987">
        <f>IF($AG987=1,IFERROR(IF(VALUE($C987)&lt;100000000,VALUE($C987),1000000000),IFERROR(IF(VALUE(MID($C987,2,20))&lt;100000000,VALUE(MID($C987,2,20)),1000000000),1000000000))+ROW()/100000,"")</f>
        <v/>
      </c>
    </row>
    <row r="988">
      <c r="D988" s="11" t="n"/>
      <c r="K988" s="7">
        <f>IF($C988="","",J988*W988/100)</f>
        <v/>
      </c>
      <c r="Q988" s="7" t="n"/>
      <c r="R988" s="7" t="n"/>
      <c r="U988">
        <f>IF($C988="","",IF($AJ988=1,0,IF($AI988=1,Settings!$C$6,Settings!$C$7))*100)</f>
        <v/>
      </c>
      <c r="V988" s="7">
        <f>IF($C988="","",R988*U988/100)</f>
        <v/>
      </c>
      <c r="W988" s="7">
        <f>IF($C988="","",R988-V988)</f>
        <v/>
      </c>
      <c r="X988" s="7">
        <f>IF($C988="","",W988-K988)</f>
        <v/>
      </c>
      <c r="AB988" s="7" t="n"/>
      <c r="AE988" s="11" t="n"/>
      <c r="AG988">
        <f>IF($C988="","",IF(COUNTIF($C$2:$C988,$C988)=1,1,0))</f>
        <v/>
      </c>
      <c r="AH988">
        <f>IF($AG988=1,SUMPRODUCT(--($AK$2:$AK$6001&lt;$AK988))+1,"")</f>
        <v/>
      </c>
      <c r="AI988">
        <f>IF($C988="","",IF(OR($N988=TRUE(),$N988="TRUE"),1,0))</f>
        <v/>
      </c>
      <c r="AJ988">
        <f>IF($C988="","",IF($T988="Yes",1,0))</f>
        <v/>
      </c>
      <c r="AK988">
        <f>IF($AG988=1,IFERROR(IF(VALUE($C988)&lt;100000000,VALUE($C988),1000000000),IFERROR(IF(VALUE(MID($C988,2,20))&lt;100000000,VALUE(MID($C988,2,20)),1000000000),1000000000))+ROW()/100000,"")</f>
        <v/>
      </c>
    </row>
    <row r="989">
      <c r="D989" s="11" t="n"/>
      <c r="K989" s="7">
        <f>IF($C989="","",J989*W989/100)</f>
        <v/>
      </c>
      <c r="Q989" s="7" t="n"/>
      <c r="R989" s="7" t="n"/>
      <c r="U989">
        <f>IF($C989="","",IF($AJ989=1,0,IF($AI989=1,Settings!$C$6,Settings!$C$7))*100)</f>
        <v/>
      </c>
      <c r="V989" s="7">
        <f>IF($C989="","",R989*U989/100)</f>
        <v/>
      </c>
      <c r="W989" s="7">
        <f>IF($C989="","",R989-V989)</f>
        <v/>
      </c>
      <c r="X989" s="7">
        <f>IF($C989="","",W989-K989)</f>
        <v/>
      </c>
      <c r="AB989" s="7" t="n"/>
      <c r="AE989" s="11" t="n"/>
      <c r="AG989">
        <f>IF($C989="","",IF(COUNTIF($C$2:$C989,$C989)=1,1,0))</f>
        <v/>
      </c>
      <c r="AH989">
        <f>IF($AG989=1,SUMPRODUCT(--($AK$2:$AK$6001&lt;$AK989))+1,"")</f>
        <v/>
      </c>
      <c r="AI989">
        <f>IF($C989="","",IF(OR($N989=TRUE(),$N989="TRUE"),1,0))</f>
        <v/>
      </c>
      <c r="AJ989">
        <f>IF($C989="","",IF($T989="Yes",1,0))</f>
        <v/>
      </c>
      <c r="AK989">
        <f>IF($AG989=1,IFERROR(IF(VALUE($C989)&lt;100000000,VALUE($C989),1000000000),IFERROR(IF(VALUE(MID($C989,2,20))&lt;100000000,VALUE(MID($C989,2,20)),1000000000),1000000000))+ROW()/100000,"")</f>
        <v/>
      </c>
    </row>
    <row r="990">
      <c r="D990" s="11" t="n"/>
      <c r="K990" s="7">
        <f>IF($C990="","",J990*W990/100)</f>
        <v/>
      </c>
      <c r="Q990" s="7" t="n"/>
      <c r="R990" s="7" t="n"/>
      <c r="U990">
        <f>IF($C990="","",IF($AJ990=1,0,IF($AI990=1,Settings!$C$6,Settings!$C$7))*100)</f>
        <v/>
      </c>
      <c r="V990" s="7">
        <f>IF($C990="","",R990*U990/100)</f>
        <v/>
      </c>
      <c r="W990" s="7">
        <f>IF($C990="","",R990-V990)</f>
        <v/>
      </c>
      <c r="X990" s="7">
        <f>IF($C990="","",W990-K990)</f>
        <v/>
      </c>
      <c r="AB990" s="7" t="n"/>
      <c r="AE990" s="11" t="n"/>
      <c r="AG990">
        <f>IF($C990="","",IF(COUNTIF($C$2:$C990,$C990)=1,1,0))</f>
        <v/>
      </c>
      <c r="AH990">
        <f>IF($AG990=1,SUMPRODUCT(--($AK$2:$AK$6001&lt;$AK990))+1,"")</f>
        <v/>
      </c>
      <c r="AI990">
        <f>IF($C990="","",IF(OR($N990=TRUE(),$N990="TRUE"),1,0))</f>
        <v/>
      </c>
      <c r="AJ990">
        <f>IF($C990="","",IF($T990="Yes",1,0))</f>
        <v/>
      </c>
      <c r="AK990">
        <f>IF($AG990=1,IFERROR(IF(VALUE($C990)&lt;100000000,VALUE($C990),1000000000),IFERROR(IF(VALUE(MID($C990,2,20))&lt;100000000,VALUE(MID($C990,2,20)),1000000000),1000000000))+ROW()/100000,"")</f>
        <v/>
      </c>
    </row>
    <row r="991">
      <c r="D991" s="11" t="n"/>
      <c r="K991" s="7">
        <f>IF($C991="","",J991*W991/100)</f>
        <v/>
      </c>
      <c r="Q991" s="7" t="n"/>
      <c r="R991" s="7" t="n"/>
      <c r="U991">
        <f>IF($C991="","",IF($AJ991=1,0,IF($AI991=1,Settings!$C$6,Settings!$C$7))*100)</f>
        <v/>
      </c>
      <c r="V991" s="7">
        <f>IF($C991="","",R991*U991/100)</f>
        <v/>
      </c>
      <c r="W991" s="7">
        <f>IF($C991="","",R991-V991)</f>
        <v/>
      </c>
      <c r="X991" s="7">
        <f>IF($C991="","",W991-K991)</f>
        <v/>
      </c>
      <c r="AB991" s="7" t="n"/>
      <c r="AE991" s="11" t="n"/>
      <c r="AG991">
        <f>IF($C991="","",IF(COUNTIF($C$2:$C991,$C991)=1,1,0))</f>
        <v/>
      </c>
      <c r="AH991">
        <f>IF($AG991=1,SUMPRODUCT(--($AK$2:$AK$6001&lt;$AK991))+1,"")</f>
        <v/>
      </c>
      <c r="AI991">
        <f>IF($C991="","",IF(OR($N991=TRUE(),$N991="TRUE"),1,0))</f>
        <v/>
      </c>
      <c r="AJ991">
        <f>IF($C991="","",IF($T991="Yes",1,0))</f>
        <v/>
      </c>
      <c r="AK991">
        <f>IF($AG991=1,IFERROR(IF(VALUE($C991)&lt;100000000,VALUE($C991),1000000000),IFERROR(IF(VALUE(MID($C991,2,20))&lt;100000000,VALUE(MID($C991,2,20)),1000000000),1000000000))+ROW()/100000,"")</f>
        <v/>
      </c>
    </row>
    <row r="992">
      <c r="D992" s="11" t="n"/>
      <c r="K992" s="7">
        <f>IF($C992="","",J992*W992/100)</f>
        <v/>
      </c>
      <c r="Q992" s="7" t="n"/>
      <c r="R992" s="7" t="n"/>
      <c r="U992">
        <f>IF($C992="","",IF($AJ992=1,0,IF($AI992=1,Settings!$C$6,Settings!$C$7))*100)</f>
        <v/>
      </c>
      <c r="V992" s="7">
        <f>IF($C992="","",R992*U992/100)</f>
        <v/>
      </c>
      <c r="W992" s="7">
        <f>IF($C992="","",R992-V992)</f>
        <v/>
      </c>
      <c r="X992" s="7">
        <f>IF($C992="","",W992-K992)</f>
        <v/>
      </c>
      <c r="AB992" s="7" t="n"/>
      <c r="AE992" s="11" t="n"/>
      <c r="AG992">
        <f>IF($C992="","",IF(COUNTIF($C$2:$C992,$C992)=1,1,0))</f>
        <v/>
      </c>
      <c r="AH992">
        <f>IF($AG992=1,SUMPRODUCT(--($AK$2:$AK$6001&lt;$AK992))+1,"")</f>
        <v/>
      </c>
      <c r="AI992">
        <f>IF($C992="","",IF(OR($N992=TRUE(),$N992="TRUE"),1,0))</f>
        <v/>
      </c>
      <c r="AJ992">
        <f>IF($C992="","",IF($T992="Yes",1,0))</f>
        <v/>
      </c>
      <c r="AK992">
        <f>IF($AG992=1,IFERROR(IF(VALUE($C992)&lt;100000000,VALUE($C992),1000000000),IFERROR(IF(VALUE(MID($C992,2,20))&lt;100000000,VALUE(MID($C992,2,20)),1000000000),1000000000))+ROW()/100000,"")</f>
        <v/>
      </c>
    </row>
    <row r="993">
      <c r="D993" s="11" t="n"/>
      <c r="K993" s="7">
        <f>IF($C993="","",J993*W993/100)</f>
        <v/>
      </c>
      <c r="Q993" s="7" t="n"/>
      <c r="R993" s="7" t="n"/>
      <c r="U993">
        <f>IF($C993="","",IF($AJ993=1,0,IF($AI993=1,Settings!$C$6,Settings!$C$7))*100)</f>
        <v/>
      </c>
      <c r="V993" s="7">
        <f>IF($C993="","",R993*U993/100)</f>
        <v/>
      </c>
      <c r="W993" s="7">
        <f>IF($C993="","",R993-V993)</f>
        <v/>
      </c>
      <c r="X993" s="7">
        <f>IF($C993="","",W993-K993)</f>
        <v/>
      </c>
      <c r="AB993" s="7" t="n"/>
      <c r="AE993" s="11" t="n"/>
      <c r="AG993">
        <f>IF($C993="","",IF(COUNTIF($C$2:$C993,$C993)=1,1,0))</f>
        <v/>
      </c>
      <c r="AH993">
        <f>IF($AG993=1,SUMPRODUCT(--($AK$2:$AK$6001&lt;$AK993))+1,"")</f>
        <v/>
      </c>
      <c r="AI993">
        <f>IF($C993="","",IF(OR($N993=TRUE(),$N993="TRUE"),1,0))</f>
        <v/>
      </c>
      <c r="AJ993">
        <f>IF($C993="","",IF($T993="Yes",1,0))</f>
        <v/>
      </c>
      <c r="AK993">
        <f>IF($AG993=1,IFERROR(IF(VALUE($C993)&lt;100000000,VALUE($C993),1000000000),IFERROR(IF(VALUE(MID($C993,2,20))&lt;100000000,VALUE(MID($C993,2,20)),1000000000),1000000000))+ROW()/100000,"")</f>
        <v/>
      </c>
    </row>
    <row r="994">
      <c r="D994" s="11" t="n"/>
      <c r="K994" s="7">
        <f>IF($C994="","",J994*W994/100)</f>
        <v/>
      </c>
      <c r="Q994" s="7" t="n"/>
      <c r="R994" s="7" t="n"/>
      <c r="U994">
        <f>IF($C994="","",IF($AJ994=1,0,IF($AI994=1,Settings!$C$6,Settings!$C$7))*100)</f>
        <v/>
      </c>
      <c r="V994" s="7">
        <f>IF($C994="","",R994*U994/100)</f>
        <v/>
      </c>
      <c r="W994" s="7">
        <f>IF($C994="","",R994-V994)</f>
        <v/>
      </c>
      <c r="X994" s="7">
        <f>IF($C994="","",W994-K994)</f>
        <v/>
      </c>
      <c r="AB994" s="7" t="n"/>
      <c r="AE994" s="11" t="n"/>
      <c r="AG994">
        <f>IF($C994="","",IF(COUNTIF($C$2:$C994,$C994)=1,1,0))</f>
        <v/>
      </c>
      <c r="AH994">
        <f>IF($AG994=1,SUMPRODUCT(--($AK$2:$AK$6001&lt;$AK994))+1,"")</f>
        <v/>
      </c>
      <c r="AI994">
        <f>IF($C994="","",IF(OR($N994=TRUE(),$N994="TRUE"),1,0))</f>
        <v/>
      </c>
      <c r="AJ994">
        <f>IF($C994="","",IF($T994="Yes",1,0))</f>
        <v/>
      </c>
      <c r="AK994">
        <f>IF($AG994=1,IFERROR(IF(VALUE($C994)&lt;100000000,VALUE($C994),1000000000),IFERROR(IF(VALUE(MID($C994,2,20))&lt;100000000,VALUE(MID($C994,2,20)),1000000000),1000000000))+ROW()/100000,"")</f>
        <v/>
      </c>
    </row>
    <row r="995">
      <c r="D995" s="11" t="n"/>
      <c r="K995" s="7">
        <f>IF($C995="","",J995*W995/100)</f>
        <v/>
      </c>
      <c r="Q995" s="7" t="n"/>
      <c r="R995" s="7" t="n"/>
      <c r="U995">
        <f>IF($C995="","",IF($AJ995=1,0,IF($AI995=1,Settings!$C$6,Settings!$C$7))*100)</f>
        <v/>
      </c>
      <c r="V995" s="7">
        <f>IF($C995="","",R995*U995/100)</f>
        <v/>
      </c>
      <c r="W995" s="7">
        <f>IF($C995="","",R995-V995)</f>
        <v/>
      </c>
      <c r="X995" s="7">
        <f>IF($C995="","",W995-K995)</f>
        <v/>
      </c>
      <c r="AB995" s="7" t="n"/>
      <c r="AE995" s="11" t="n"/>
      <c r="AG995">
        <f>IF($C995="","",IF(COUNTIF($C$2:$C995,$C995)=1,1,0))</f>
        <v/>
      </c>
      <c r="AH995">
        <f>IF($AG995=1,SUMPRODUCT(--($AK$2:$AK$6001&lt;$AK995))+1,"")</f>
        <v/>
      </c>
      <c r="AI995">
        <f>IF($C995="","",IF(OR($N995=TRUE(),$N995="TRUE"),1,0))</f>
        <v/>
      </c>
      <c r="AJ995">
        <f>IF($C995="","",IF($T995="Yes",1,0))</f>
        <v/>
      </c>
      <c r="AK995">
        <f>IF($AG995=1,IFERROR(IF(VALUE($C995)&lt;100000000,VALUE($C995),1000000000),IFERROR(IF(VALUE(MID($C995,2,20))&lt;100000000,VALUE(MID($C995,2,20)),1000000000),1000000000))+ROW()/100000,"")</f>
        <v/>
      </c>
    </row>
    <row r="996">
      <c r="D996" s="11" t="n"/>
      <c r="K996" s="7">
        <f>IF($C996="","",J996*W996/100)</f>
        <v/>
      </c>
      <c r="Q996" s="7" t="n"/>
      <c r="R996" s="7" t="n"/>
      <c r="U996">
        <f>IF($C996="","",IF($AJ996=1,0,IF($AI996=1,Settings!$C$6,Settings!$C$7))*100)</f>
        <v/>
      </c>
      <c r="V996" s="7">
        <f>IF($C996="","",R996*U996/100)</f>
        <v/>
      </c>
      <c r="W996" s="7">
        <f>IF($C996="","",R996-V996)</f>
        <v/>
      </c>
      <c r="X996" s="7">
        <f>IF($C996="","",W996-K996)</f>
        <v/>
      </c>
      <c r="AB996" s="7" t="n"/>
      <c r="AE996" s="11" t="n"/>
      <c r="AG996">
        <f>IF($C996="","",IF(COUNTIF($C$2:$C996,$C996)=1,1,0))</f>
        <v/>
      </c>
      <c r="AH996">
        <f>IF($AG996=1,SUMPRODUCT(--($AK$2:$AK$6001&lt;$AK996))+1,"")</f>
        <v/>
      </c>
      <c r="AI996">
        <f>IF($C996="","",IF(OR($N996=TRUE(),$N996="TRUE"),1,0))</f>
        <v/>
      </c>
      <c r="AJ996">
        <f>IF($C996="","",IF($T996="Yes",1,0))</f>
        <v/>
      </c>
      <c r="AK996">
        <f>IF($AG996=1,IFERROR(IF(VALUE($C996)&lt;100000000,VALUE($C996),1000000000),IFERROR(IF(VALUE(MID($C996,2,20))&lt;100000000,VALUE(MID($C996,2,20)),1000000000),1000000000))+ROW()/100000,"")</f>
        <v/>
      </c>
    </row>
    <row r="997">
      <c r="D997" s="11" t="n"/>
      <c r="K997" s="7">
        <f>IF($C997="","",J997*W997/100)</f>
        <v/>
      </c>
      <c r="Q997" s="7" t="n"/>
      <c r="R997" s="7" t="n"/>
      <c r="U997">
        <f>IF($C997="","",IF($AJ997=1,0,IF($AI997=1,Settings!$C$6,Settings!$C$7))*100)</f>
        <v/>
      </c>
      <c r="V997" s="7">
        <f>IF($C997="","",R997*U997/100)</f>
        <v/>
      </c>
      <c r="W997" s="7">
        <f>IF($C997="","",R997-V997)</f>
        <v/>
      </c>
      <c r="X997" s="7">
        <f>IF($C997="","",W997-K997)</f>
        <v/>
      </c>
      <c r="AB997" s="7" t="n"/>
      <c r="AE997" s="11" t="n"/>
      <c r="AG997">
        <f>IF($C997="","",IF(COUNTIF($C$2:$C997,$C997)=1,1,0))</f>
        <v/>
      </c>
      <c r="AH997">
        <f>IF($AG997=1,SUMPRODUCT(--($AK$2:$AK$6001&lt;$AK997))+1,"")</f>
        <v/>
      </c>
      <c r="AI997">
        <f>IF($C997="","",IF(OR($N997=TRUE(),$N997="TRUE"),1,0))</f>
        <v/>
      </c>
      <c r="AJ997">
        <f>IF($C997="","",IF($T997="Yes",1,0))</f>
        <v/>
      </c>
      <c r="AK997">
        <f>IF($AG997=1,IFERROR(IF(VALUE($C997)&lt;100000000,VALUE($C997),1000000000),IFERROR(IF(VALUE(MID($C997,2,20))&lt;100000000,VALUE(MID($C997,2,20)),1000000000),1000000000))+ROW()/100000,"")</f>
        <v/>
      </c>
    </row>
    <row r="998">
      <c r="D998" s="11" t="n"/>
      <c r="K998" s="7">
        <f>IF($C998="","",J998*W998/100)</f>
        <v/>
      </c>
      <c r="Q998" s="7" t="n"/>
      <c r="R998" s="7" t="n"/>
      <c r="U998">
        <f>IF($C998="","",IF($AJ998=1,0,IF($AI998=1,Settings!$C$6,Settings!$C$7))*100)</f>
        <v/>
      </c>
      <c r="V998" s="7">
        <f>IF($C998="","",R998*U998/100)</f>
        <v/>
      </c>
      <c r="W998" s="7">
        <f>IF($C998="","",R998-V998)</f>
        <v/>
      </c>
      <c r="X998" s="7">
        <f>IF($C998="","",W998-K998)</f>
        <v/>
      </c>
      <c r="AB998" s="7" t="n"/>
      <c r="AE998" s="11" t="n"/>
      <c r="AG998">
        <f>IF($C998="","",IF(COUNTIF($C$2:$C998,$C998)=1,1,0))</f>
        <v/>
      </c>
      <c r="AH998">
        <f>IF($AG998=1,SUMPRODUCT(--($AK$2:$AK$6001&lt;$AK998))+1,"")</f>
        <v/>
      </c>
      <c r="AI998">
        <f>IF($C998="","",IF(OR($N998=TRUE(),$N998="TRUE"),1,0))</f>
        <v/>
      </c>
      <c r="AJ998">
        <f>IF($C998="","",IF($T998="Yes",1,0))</f>
        <v/>
      </c>
      <c r="AK998">
        <f>IF($AG998=1,IFERROR(IF(VALUE($C998)&lt;100000000,VALUE($C998),1000000000),IFERROR(IF(VALUE(MID($C998,2,20))&lt;100000000,VALUE(MID($C998,2,20)),1000000000),1000000000))+ROW()/100000,"")</f>
        <v/>
      </c>
    </row>
    <row r="999">
      <c r="D999" s="11" t="n"/>
      <c r="K999" s="7">
        <f>IF($C999="","",J999*W999/100)</f>
        <v/>
      </c>
      <c r="Q999" s="7" t="n"/>
      <c r="R999" s="7" t="n"/>
      <c r="U999">
        <f>IF($C999="","",IF($AJ999=1,0,IF($AI999=1,Settings!$C$6,Settings!$C$7))*100)</f>
        <v/>
      </c>
      <c r="V999" s="7">
        <f>IF($C999="","",R999*U999/100)</f>
        <v/>
      </c>
      <c r="W999" s="7">
        <f>IF($C999="","",R999-V999)</f>
        <v/>
      </c>
      <c r="X999" s="7">
        <f>IF($C999="","",W999-K999)</f>
        <v/>
      </c>
      <c r="AB999" s="7" t="n"/>
      <c r="AE999" s="11" t="n"/>
      <c r="AG999">
        <f>IF($C999="","",IF(COUNTIF($C$2:$C999,$C999)=1,1,0))</f>
        <v/>
      </c>
      <c r="AH999">
        <f>IF($AG999=1,SUMPRODUCT(--($AK$2:$AK$6001&lt;$AK999))+1,"")</f>
        <v/>
      </c>
      <c r="AI999">
        <f>IF($C999="","",IF(OR($N999=TRUE(),$N999="TRUE"),1,0))</f>
        <v/>
      </c>
      <c r="AJ999">
        <f>IF($C999="","",IF($T999="Yes",1,0))</f>
        <v/>
      </c>
      <c r="AK999">
        <f>IF($AG999=1,IFERROR(IF(VALUE($C999)&lt;100000000,VALUE($C999),1000000000),IFERROR(IF(VALUE(MID($C999,2,20))&lt;100000000,VALUE(MID($C999,2,20)),1000000000),1000000000))+ROW()/100000,"")</f>
        <v/>
      </c>
    </row>
    <row r="1000">
      <c r="D1000" s="11" t="n"/>
      <c r="K1000" s="7">
        <f>IF($C1000="","",J1000*W1000/100)</f>
        <v/>
      </c>
      <c r="Q1000" s="7" t="n"/>
      <c r="R1000" s="7" t="n"/>
      <c r="U1000">
        <f>IF($C1000="","",IF($AJ1000=1,0,IF($AI1000=1,Settings!$C$6,Settings!$C$7))*100)</f>
        <v/>
      </c>
      <c r="V1000" s="7">
        <f>IF($C1000="","",R1000*U1000/100)</f>
        <v/>
      </c>
      <c r="W1000" s="7">
        <f>IF($C1000="","",R1000-V1000)</f>
        <v/>
      </c>
      <c r="X1000" s="7">
        <f>IF($C1000="","",W1000-K1000)</f>
        <v/>
      </c>
      <c r="AB1000" s="7" t="n"/>
      <c r="AE1000" s="11" t="n"/>
      <c r="AG1000">
        <f>IF($C1000="","",IF(COUNTIF($C$2:$C1000,$C1000)=1,1,0))</f>
        <v/>
      </c>
      <c r="AH1000">
        <f>IF($AG1000=1,SUMPRODUCT(--($AK$2:$AK$6001&lt;$AK1000))+1,"")</f>
        <v/>
      </c>
      <c r="AI1000">
        <f>IF($C1000="","",IF(OR($N1000=TRUE(),$N1000="TRUE"),1,0))</f>
        <v/>
      </c>
      <c r="AJ1000">
        <f>IF($C1000="","",IF($T1000="Yes",1,0))</f>
        <v/>
      </c>
      <c r="AK1000">
        <f>IF($AG1000=1,IFERROR(IF(VALUE($C1000)&lt;100000000,VALUE($C1000),1000000000),IFERROR(IF(VALUE(MID($C1000,2,20))&lt;100000000,VALUE(MID($C1000,2,20)),1000000000),1000000000))+ROW()/100000,"")</f>
        <v/>
      </c>
    </row>
    <row r="1001">
      <c r="D1001" s="11" t="n"/>
      <c r="K1001" s="7">
        <f>IF($C1001="","",J1001*W1001/100)</f>
        <v/>
      </c>
      <c r="Q1001" s="7" t="n"/>
      <c r="R1001" s="7" t="n"/>
      <c r="U1001">
        <f>IF($C1001="","",IF($AJ1001=1,0,IF($AI1001=1,Settings!$C$6,Settings!$C$7))*100)</f>
        <v/>
      </c>
      <c r="V1001" s="7">
        <f>IF($C1001="","",R1001*U1001/100)</f>
        <v/>
      </c>
      <c r="W1001" s="7">
        <f>IF($C1001="","",R1001-V1001)</f>
        <v/>
      </c>
      <c r="X1001" s="7">
        <f>IF($C1001="","",W1001-K1001)</f>
        <v/>
      </c>
      <c r="AB1001" s="7" t="n"/>
      <c r="AE1001" s="11" t="n"/>
      <c r="AG1001">
        <f>IF($C1001="","",IF(COUNTIF($C$2:$C1001,$C1001)=1,1,0))</f>
        <v/>
      </c>
      <c r="AH1001">
        <f>IF($AG1001=1,SUMPRODUCT(--($AK$2:$AK$6001&lt;$AK1001))+1,"")</f>
        <v/>
      </c>
      <c r="AI1001">
        <f>IF($C1001="","",IF(OR($N1001=TRUE(),$N1001="TRUE"),1,0))</f>
        <v/>
      </c>
      <c r="AJ1001">
        <f>IF($C1001="","",IF($T1001="Yes",1,0))</f>
        <v/>
      </c>
      <c r="AK1001">
        <f>IF($AG1001=1,IFERROR(IF(VALUE($C1001)&lt;100000000,VALUE($C1001),1000000000),IFERROR(IF(VALUE(MID($C1001,2,20))&lt;100000000,VALUE(MID($C1001,2,20)),1000000000),1000000000))+ROW()/100000,"")</f>
        <v/>
      </c>
    </row>
    <row r="1002">
      <c r="D1002" s="11" t="n"/>
      <c r="K1002" s="7">
        <f>IF($C1002="","",J1002*W1002/100)</f>
        <v/>
      </c>
      <c r="Q1002" s="7" t="n"/>
      <c r="R1002" s="7" t="n"/>
      <c r="U1002">
        <f>IF($C1002="","",IF($AJ1002=1,0,IF($AI1002=1,Settings!$C$6,Settings!$C$7))*100)</f>
        <v/>
      </c>
      <c r="V1002" s="7">
        <f>IF($C1002="","",R1002*U1002/100)</f>
        <v/>
      </c>
      <c r="W1002" s="7">
        <f>IF($C1002="","",R1002-V1002)</f>
        <v/>
      </c>
      <c r="X1002" s="7">
        <f>IF($C1002="","",W1002-K1002)</f>
        <v/>
      </c>
      <c r="AB1002" s="7" t="n"/>
      <c r="AE1002" s="11" t="n"/>
      <c r="AG1002">
        <f>IF($C1002="","",IF(COUNTIF($C$2:$C1002,$C1002)=1,1,0))</f>
        <v/>
      </c>
      <c r="AH1002">
        <f>IF($AG1002=1,SUMPRODUCT(--($AK$2:$AK$6001&lt;$AK1002))+1,"")</f>
        <v/>
      </c>
      <c r="AI1002">
        <f>IF($C1002="","",IF(OR($N1002=TRUE(),$N1002="TRUE"),1,0))</f>
        <v/>
      </c>
      <c r="AJ1002">
        <f>IF($C1002="","",IF($T1002="Yes",1,0))</f>
        <v/>
      </c>
      <c r="AK1002">
        <f>IF($AG1002=1,IFERROR(IF(VALUE($C1002)&lt;100000000,VALUE($C1002),1000000000),IFERROR(IF(VALUE(MID($C1002,2,20))&lt;100000000,VALUE(MID($C1002,2,20)),1000000000),1000000000))+ROW()/100000,"")</f>
        <v/>
      </c>
    </row>
    <row r="1003">
      <c r="D1003" s="11" t="n"/>
      <c r="K1003" s="7">
        <f>IF($C1003="","",J1003*W1003/100)</f>
        <v/>
      </c>
      <c r="Q1003" s="7" t="n"/>
      <c r="R1003" s="7" t="n"/>
      <c r="U1003">
        <f>IF($C1003="","",IF($AJ1003=1,0,IF($AI1003=1,Settings!$C$6,Settings!$C$7))*100)</f>
        <v/>
      </c>
      <c r="V1003" s="7">
        <f>IF($C1003="","",R1003*U1003/100)</f>
        <v/>
      </c>
      <c r="W1003" s="7">
        <f>IF($C1003="","",R1003-V1003)</f>
        <v/>
      </c>
      <c r="X1003" s="7">
        <f>IF($C1003="","",W1003-K1003)</f>
        <v/>
      </c>
      <c r="AB1003" s="7" t="n"/>
      <c r="AE1003" s="11" t="n"/>
      <c r="AG1003">
        <f>IF($C1003="","",IF(COUNTIF($C$2:$C1003,$C1003)=1,1,0))</f>
        <v/>
      </c>
      <c r="AH1003">
        <f>IF($AG1003=1,SUMPRODUCT(--($AK$2:$AK$6001&lt;$AK1003))+1,"")</f>
        <v/>
      </c>
      <c r="AI1003">
        <f>IF($C1003="","",IF(OR($N1003=TRUE(),$N1003="TRUE"),1,0))</f>
        <v/>
      </c>
      <c r="AJ1003">
        <f>IF($C1003="","",IF($T1003="Yes",1,0))</f>
        <v/>
      </c>
      <c r="AK1003">
        <f>IF($AG1003=1,IFERROR(IF(VALUE($C1003)&lt;100000000,VALUE($C1003),1000000000),IFERROR(IF(VALUE(MID($C1003,2,20))&lt;100000000,VALUE(MID($C1003,2,20)),1000000000),1000000000))+ROW()/100000,"")</f>
        <v/>
      </c>
    </row>
    <row r="1004">
      <c r="D1004" s="11" t="n"/>
      <c r="K1004" s="7">
        <f>IF($C1004="","",J1004*W1004/100)</f>
        <v/>
      </c>
      <c r="Q1004" s="7" t="n"/>
      <c r="R1004" s="7" t="n"/>
      <c r="U1004">
        <f>IF($C1004="","",IF($AJ1004=1,0,IF($AI1004=1,Settings!$C$6,Settings!$C$7))*100)</f>
        <v/>
      </c>
      <c r="V1004" s="7">
        <f>IF($C1004="","",R1004*U1004/100)</f>
        <v/>
      </c>
      <c r="W1004" s="7">
        <f>IF($C1004="","",R1004-V1004)</f>
        <v/>
      </c>
      <c r="X1004" s="7">
        <f>IF($C1004="","",W1004-K1004)</f>
        <v/>
      </c>
      <c r="AB1004" s="7" t="n"/>
      <c r="AE1004" s="11" t="n"/>
      <c r="AG1004">
        <f>IF($C1004="","",IF(COUNTIF($C$2:$C1004,$C1004)=1,1,0))</f>
        <v/>
      </c>
      <c r="AH1004">
        <f>IF($AG1004=1,SUMPRODUCT(--($AK$2:$AK$6001&lt;$AK1004))+1,"")</f>
        <v/>
      </c>
      <c r="AI1004">
        <f>IF($C1004="","",IF(OR($N1004=TRUE(),$N1004="TRUE"),1,0))</f>
        <v/>
      </c>
      <c r="AJ1004">
        <f>IF($C1004="","",IF($T1004="Yes",1,0))</f>
        <v/>
      </c>
      <c r="AK1004">
        <f>IF($AG1004=1,IFERROR(IF(VALUE($C1004)&lt;100000000,VALUE($C1004),1000000000),IFERROR(IF(VALUE(MID($C1004,2,20))&lt;100000000,VALUE(MID($C1004,2,20)),1000000000),1000000000))+ROW()/100000,"")</f>
        <v/>
      </c>
    </row>
    <row r="1005">
      <c r="D1005" s="11" t="n"/>
      <c r="K1005" s="7">
        <f>IF($C1005="","",J1005*W1005/100)</f>
        <v/>
      </c>
      <c r="Q1005" s="7" t="n"/>
      <c r="R1005" s="7" t="n"/>
      <c r="U1005">
        <f>IF($C1005="","",IF($AJ1005=1,0,IF($AI1005=1,Settings!$C$6,Settings!$C$7))*100)</f>
        <v/>
      </c>
      <c r="V1005" s="7">
        <f>IF($C1005="","",R1005*U1005/100)</f>
        <v/>
      </c>
      <c r="W1005" s="7">
        <f>IF($C1005="","",R1005-V1005)</f>
        <v/>
      </c>
      <c r="X1005" s="7">
        <f>IF($C1005="","",W1005-K1005)</f>
        <v/>
      </c>
      <c r="AB1005" s="7" t="n"/>
      <c r="AE1005" s="11" t="n"/>
      <c r="AG1005">
        <f>IF($C1005="","",IF(COUNTIF($C$2:$C1005,$C1005)=1,1,0))</f>
        <v/>
      </c>
      <c r="AH1005">
        <f>IF($AG1005=1,SUMPRODUCT(--($AK$2:$AK$6001&lt;$AK1005))+1,"")</f>
        <v/>
      </c>
      <c r="AI1005">
        <f>IF($C1005="","",IF(OR($N1005=TRUE(),$N1005="TRUE"),1,0))</f>
        <v/>
      </c>
      <c r="AJ1005">
        <f>IF($C1005="","",IF($T1005="Yes",1,0))</f>
        <v/>
      </c>
      <c r="AK1005">
        <f>IF($AG1005=1,IFERROR(IF(VALUE($C1005)&lt;100000000,VALUE($C1005),1000000000),IFERROR(IF(VALUE(MID($C1005,2,20))&lt;100000000,VALUE(MID($C1005,2,20)),1000000000),1000000000))+ROW()/100000,"")</f>
        <v/>
      </c>
    </row>
    <row r="1006">
      <c r="D1006" s="11" t="n"/>
      <c r="K1006" s="7">
        <f>IF($C1006="","",J1006*W1006/100)</f>
        <v/>
      </c>
      <c r="Q1006" s="7" t="n"/>
      <c r="R1006" s="7" t="n"/>
      <c r="U1006">
        <f>IF($C1006="","",IF($AJ1006=1,0,IF($AI1006=1,Settings!$C$6,Settings!$C$7))*100)</f>
        <v/>
      </c>
      <c r="V1006" s="7">
        <f>IF($C1006="","",R1006*U1006/100)</f>
        <v/>
      </c>
      <c r="W1006" s="7">
        <f>IF($C1006="","",R1006-V1006)</f>
        <v/>
      </c>
      <c r="X1006" s="7">
        <f>IF($C1006="","",W1006-K1006)</f>
        <v/>
      </c>
      <c r="AB1006" s="7" t="n"/>
      <c r="AE1006" s="11" t="n"/>
      <c r="AG1006">
        <f>IF($C1006="","",IF(COUNTIF($C$2:$C1006,$C1006)=1,1,0))</f>
        <v/>
      </c>
      <c r="AH1006">
        <f>IF($AG1006=1,SUMPRODUCT(--($AK$2:$AK$6001&lt;$AK1006))+1,"")</f>
        <v/>
      </c>
      <c r="AI1006">
        <f>IF($C1006="","",IF(OR($N1006=TRUE(),$N1006="TRUE"),1,0))</f>
        <v/>
      </c>
      <c r="AJ1006">
        <f>IF($C1006="","",IF($T1006="Yes",1,0))</f>
        <v/>
      </c>
      <c r="AK1006">
        <f>IF($AG1006=1,IFERROR(IF(VALUE($C1006)&lt;100000000,VALUE($C1006),1000000000),IFERROR(IF(VALUE(MID($C1006,2,20))&lt;100000000,VALUE(MID($C1006,2,20)),1000000000),1000000000))+ROW()/100000,"")</f>
        <v/>
      </c>
    </row>
    <row r="1007">
      <c r="D1007" s="11" t="n"/>
      <c r="K1007" s="7">
        <f>IF($C1007="","",J1007*W1007/100)</f>
        <v/>
      </c>
      <c r="Q1007" s="7" t="n"/>
      <c r="R1007" s="7" t="n"/>
      <c r="U1007">
        <f>IF($C1007="","",IF($AJ1007=1,0,IF($AI1007=1,Settings!$C$6,Settings!$C$7))*100)</f>
        <v/>
      </c>
      <c r="V1007" s="7">
        <f>IF($C1007="","",R1007*U1007/100)</f>
        <v/>
      </c>
      <c r="W1007" s="7">
        <f>IF($C1007="","",R1007-V1007)</f>
        <v/>
      </c>
      <c r="X1007" s="7">
        <f>IF($C1007="","",W1007-K1007)</f>
        <v/>
      </c>
      <c r="AB1007" s="7" t="n"/>
      <c r="AE1007" s="11" t="n"/>
      <c r="AG1007">
        <f>IF($C1007="","",IF(COUNTIF($C$2:$C1007,$C1007)=1,1,0))</f>
        <v/>
      </c>
      <c r="AH1007">
        <f>IF($AG1007=1,SUMPRODUCT(--($AK$2:$AK$6001&lt;$AK1007))+1,"")</f>
        <v/>
      </c>
      <c r="AI1007">
        <f>IF($C1007="","",IF(OR($N1007=TRUE(),$N1007="TRUE"),1,0))</f>
        <v/>
      </c>
      <c r="AJ1007">
        <f>IF($C1007="","",IF($T1007="Yes",1,0))</f>
        <v/>
      </c>
      <c r="AK1007">
        <f>IF($AG1007=1,IFERROR(IF(VALUE($C1007)&lt;100000000,VALUE($C1007),1000000000),IFERROR(IF(VALUE(MID($C1007,2,20))&lt;100000000,VALUE(MID($C1007,2,20)),1000000000),1000000000))+ROW()/100000,"")</f>
        <v/>
      </c>
    </row>
    <row r="1008">
      <c r="D1008" s="11" t="n"/>
      <c r="K1008" s="7">
        <f>IF($C1008="","",J1008*W1008/100)</f>
        <v/>
      </c>
      <c r="Q1008" s="7" t="n"/>
      <c r="R1008" s="7" t="n"/>
      <c r="U1008">
        <f>IF($C1008="","",IF($AJ1008=1,0,IF($AI1008=1,Settings!$C$6,Settings!$C$7))*100)</f>
        <v/>
      </c>
      <c r="V1008" s="7">
        <f>IF($C1008="","",R1008*U1008/100)</f>
        <v/>
      </c>
      <c r="W1008" s="7">
        <f>IF($C1008="","",R1008-V1008)</f>
        <v/>
      </c>
      <c r="X1008" s="7">
        <f>IF($C1008="","",W1008-K1008)</f>
        <v/>
      </c>
      <c r="AB1008" s="7" t="n"/>
      <c r="AE1008" s="11" t="n"/>
      <c r="AG1008">
        <f>IF($C1008="","",IF(COUNTIF($C$2:$C1008,$C1008)=1,1,0))</f>
        <v/>
      </c>
      <c r="AH1008">
        <f>IF($AG1008=1,SUMPRODUCT(--($AK$2:$AK$6001&lt;$AK1008))+1,"")</f>
        <v/>
      </c>
      <c r="AI1008">
        <f>IF($C1008="","",IF(OR($N1008=TRUE(),$N1008="TRUE"),1,0))</f>
        <v/>
      </c>
      <c r="AJ1008">
        <f>IF($C1008="","",IF($T1008="Yes",1,0))</f>
        <v/>
      </c>
      <c r="AK1008">
        <f>IF($AG1008=1,IFERROR(IF(VALUE($C1008)&lt;100000000,VALUE($C1008),1000000000),IFERROR(IF(VALUE(MID($C1008,2,20))&lt;100000000,VALUE(MID($C1008,2,20)),1000000000),1000000000))+ROW()/100000,"")</f>
        <v/>
      </c>
    </row>
    <row r="1009">
      <c r="D1009" s="11" t="n"/>
      <c r="K1009" s="7">
        <f>IF($C1009="","",J1009*W1009/100)</f>
        <v/>
      </c>
      <c r="Q1009" s="7" t="n"/>
      <c r="R1009" s="7" t="n"/>
      <c r="U1009">
        <f>IF($C1009="","",IF($AJ1009=1,0,IF($AI1009=1,Settings!$C$6,Settings!$C$7))*100)</f>
        <v/>
      </c>
      <c r="V1009" s="7">
        <f>IF($C1009="","",R1009*U1009/100)</f>
        <v/>
      </c>
      <c r="W1009" s="7">
        <f>IF($C1009="","",R1009-V1009)</f>
        <v/>
      </c>
      <c r="X1009" s="7">
        <f>IF($C1009="","",W1009-K1009)</f>
        <v/>
      </c>
      <c r="AB1009" s="7" t="n"/>
      <c r="AE1009" s="11" t="n"/>
      <c r="AG1009">
        <f>IF($C1009="","",IF(COUNTIF($C$2:$C1009,$C1009)=1,1,0))</f>
        <v/>
      </c>
      <c r="AH1009">
        <f>IF($AG1009=1,SUMPRODUCT(--($AK$2:$AK$6001&lt;$AK1009))+1,"")</f>
        <v/>
      </c>
      <c r="AI1009">
        <f>IF($C1009="","",IF(OR($N1009=TRUE(),$N1009="TRUE"),1,0))</f>
        <v/>
      </c>
      <c r="AJ1009">
        <f>IF($C1009="","",IF($T1009="Yes",1,0))</f>
        <v/>
      </c>
      <c r="AK1009">
        <f>IF($AG1009=1,IFERROR(IF(VALUE($C1009)&lt;100000000,VALUE($C1009),1000000000),IFERROR(IF(VALUE(MID($C1009,2,20))&lt;100000000,VALUE(MID($C1009,2,20)),1000000000),1000000000))+ROW()/100000,"")</f>
        <v/>
      </c>
    </row>
    <row r="1010">
      <c r="D1010" s="11" t="n"/>
      <c r="K1010" s="7">
        <f>IF($C1010="","",J1010*W1010/100)</f>
        <v/>
      </c>
      <c r="Q1010" s="7" t="n"/>
      <c r="R1010" s="7" t="n"/>
      <c r="U1010">
        <f>IF($C1010="","",IF($AJ1010=1,0,IF($AI1010=1,Settings!$C$6,Settings!$C$7))*100)</f>
        <v/>
      </c>
      <c r="V1010" s="7">
        <f>IF($C1010="","",R1010*U1010/100)</f>
        <v/>
      </c>
      <c r="W1010" s="7">
        <f>IF($C1010="","",R1010-V1010)</f>
        <v/>
      </c>
      <c r="X1010" s="7">
        <f>IF($C1010="","",W1010-K1010)</f>
        <v/>
      </c>
      <c r="AB1010" s="7" t="n"/>
      <c r="AE1010" s="11" t="n"/>
      <c r="AG1010">
        <f>IF($C1010="","",IF(COUNTIF($C$2:$C1010,$C1010)=1,1,0))</f>
        <v/>
      </c>
      <c r="AH1010">
        <f>IF($AG1010=1,SUMPRODUCT(--($AK$2:$AK$6001&lt;$AK1010))+1,"")</f>
        <v/>
      </c>
      <c r="AI1010">
        <f>IF($C1010="","",IF(OR($N1010=TRUE(),$N1010="TRUE"),1,0))</f>
        <v/>
      </c>
      <c r="AJ1010">
        <f>IF($C1010="","",IF($T1010="Yes",1,0))</f>
        <v/>
      </c>
      <c r="AK1010">
        <f>IF($AG1010=1,IFERROR(IF(VALUE($C1010)&lt;100000000,VALUE($C1010),1000000000),IFERROR(IF(VALUE(MID($C1010,2,20))&lt;100000000,VALUE(MID($C1010,2,20)),1000000000),1000000000))+ROW()/100000,"")</f>
        <v/>
      </c>
    </row>
    <row r="1011">
      <c r="D1011" s="11" t="n"/>
      <c r="K1011" s="7">
        <f>IF($C1011="","",J1011*W1011/100)</f>
        <v/>
      </c>
      <c r="Q1011" s="7" t="n"/>
      <c r="R1011" s="7" t="n"/>
      <c r="U1011">
        <f>IF($C1011="","",IF($AJ1011=1,0,IF($AI1011=1,Settings!$C$6,Settings!$C$7))*100)</f>
        <v/>
      </c>
      <c r="V1011" s="7">
        <f>IF($C1011="","",R1011*U1011/100)</f>
        <v/>
      </c>
      <c r="W1011" s="7">
        <f>IF($C1011="","",R1011-V1011)</f>
        <v/>
      </c>
      <c r="X1011" s="7">
        <f>IF($C1011="","",W1011-K1011)</f>
        <v/>
      </c>
      <c r="AB1011" s="7" t="n"/>
      <c r="AE1011" s="11" t="n"/>
      <c r="AG1011">
        <f>IF($C1011="","",IF(COUNTIF($C$2:$C1011,$C1011)=1,1,0))</f>
        <v/>
      </c>
      <c r="AH1011">
        <f>IF($AG1011=1,SUMPRODUCT(--($AK$2:$AK$6001&lt;$AK1011))+1,"")</f>
        <v/>
      </c>
      <c r="AI1011">
        <f>IF($C1011="","",IF(OR($N1011=TRUE(),$N1011="TRUE"),1,0))</f>
        <v/>
      </c>
      <c r="AJ1011">
        <f>IF($C1011="","",IF($T1011="Yes",1,0))</f>
        <v/>
      </c>
      <c r="AK1011">
        <f>IF($AG1011=1,IFERROR(IF(VALUE($C1011)&lt;100000000,VALUE($C1011),1000000000),IFERROR(IF(VALUE(MID($C1011,2,20))&lt;100000000,VALUE(MID($C1011,2,20)),1000000000),1000000000))+ROW()/100000,"")</f>
        <v/>
      </c>
    </row>
    <row r="1012">
      <c r="D1012" s="11" t="n"/>
      <c r="K1012" s="7">
        <f>IF($C1012="","",J1012*W1012/100)</f>
        <v/>
      </c>
      <c r="Q1012" s="7" t="n"/>
      <c r="R1012" s="7" t="n"/>
      <c r="U1012">
        <f>IF($C1012="","",IF($AJ1012=1,0,IF($AI1012=1,Settings!$C$6,Settings!$C$7))*100)</f>
        <v/>
      </c>
      <c r="V1012" s="7">
        <f>IF($C1012="","",R1012*U1012/100)</f>
        <v/>
      </c>
      <c r="W1012" s="7">
        <f>IF($C1012="","",R1012-V1012)</f>
        <v/>
      </c>
      <c r="X1012" s="7">
        <f>IF($C1012="","",W1012-K1012)</f>
        <v/>
      </c>
      <c r="AB1012" s="7" t="n"/>
      <c r="AE1012" s="11" t="n"/>
      <c r="AG1012">
        <f>IF($C1012="","",IF(COUNTIF($C$2:$C1012,$C1012)=1,1,0))</f>
        <v/>
      </c>
      <c r="AH1012">
        <f>IF($AG1012=1,SUMPRODUCT(--($AK$2:$AK$6001&lt;$AK1012))+1,"")</f>
        <v/>
      </c>
      <c r="AI1012">
        <f>IF($C1012="","",IF(OR($N1012=TRUE(),$N1012="TRUE"),1,0))</f>
        <v/>
      </c>
      <c r="AJ1012">
        <f>IF($C1012="","",IF($T1012="Yes",1,0))</f>
        <v/>
      </c>
      <c r="AK1012">
        <f>IF($AG1012=1,IFERROR(IF(VALUE($C1012)&lt;100000000,VALUE($C1012),1000000000),IFERROR(IF(VALUE(MID($C1012,2,20))&lt;100000000,VALUE(MID($C1012,2,20)),1000000000),1000000000))+ROW()/100000,"")</f>
        <v/>
      </c>
    </row>
    <row r="1013">
      <c r="D1013" s="11" t="n"/>
      <c r="K1013" s="7">
        <f>IF($C1013="","",J1013*W1013/100)</f>
        <v/>
      </c>
      <c r="Q1013" s="7" t="n"/>
      <c r="R1013" s="7" t="n"/>
      <c r="U1013">
        <f>IF($C1013="","",IF($AJ1013=1,0,IF($AI1013=1,Settings!$C$6,Settings!$C$7))*100)</f>
        <v/>
      </c>
      <c r="V1013" s="7">
        <f>IF($C1013="","",R1013*U1013/100)</f>
        <v/>
      </c>
      <c r="W1013" s="7">
        <f>IF($C1013="","",R1013-V1013)</f>
        <v/>
      </c>
      <c r="X1013" s="7">
        <f>IF($C1013="","",W1013-K1013)</f>
        <v/>
      </c>
      <c r="AB1013" s="7" t="n"/>
      <c r="AE1013" s="11" t="n"/>
      <c r="AG1013">
        <f>IF($C1013="","",IF(COUNTIF($C$2:$C1013,$C1013)=1,1,0))</f>
        <v/>
      </c>
      <c r="AH1013">
        <f>IF($AG1013=1,SUMPRODUCT(--($AK$2:$AK$6001&lt;$AK1013))+1,"")</f>
        <v/>
      </c>
      <c r="AI1013">
        <f>IF($C1013="","",IF(OR($N1013=TRUE(),$N1013="TRUE"),1,0))</f>
        <v/>
      </c>
      <c r="AJ1013">
        <f>IF($C1013="","",IF($T1013="Yes",1,0))</f>
        <v/>
      </c>
      <c r="AK1013">
        <f>IF($AG1013=1,IFERROR(IF(VALUE($C1013)&lt;100000000,VALUE($C1013),1000000000),IFERROR(IF(VALUE(MID($C1013,2,20))&lt;100000000,VALUE(MID($C1013,2,20)),1000000000),1000000000))+ROW()/100000,"")</f>
        <v/>
      </c>
    </row>
    <row r="1014">
      <c r="D1014" s="11" t="n"/>
      <c r="K1014" s="7">
        <f>IF($C1014="","",J1014*W1014/100)</f>
        <v/>
      </c>
      <c r="Q1014" s="7" t="n"/>
      <c r="R1014" s="7" t="n"/>
      <c r="U1014">
        <f>IF($C1014="","",IF($AJ1014=1,0,IF($AI1014=1,Settings!$C$6,Settings!$C$7))*100)</f>
        <v/>
      </c>
      <c r="V1014" s="7">
        <f>IF($C1014="","",R1014*U1014/100)</f>
        <v/>
      </c>
      <c r="W1014" s="7">
        <f>IF($C1014="","",R1014-V1014)</f>
        <v/>
      </c>
      <c r="X1014" s="7">
        <f>IF($C1014="","",W1014-K1014)</f>
        <v/>
      </c>
      <c r="AB1014" s="7" t="n"/>
      <c r="AE1014" s="11" t="n"/>
      <c r="AG1014">
        <f>IF($C1014="","",IF(COUNTIF($C$2:$C1014,$C1014)=1,1,0))</f>
        <v/>
      </c>
      <c r="AH1014">
        <f>IF($AG1014=1,SUMPRODUCT(--($AK$2:$AK$6001&lt;$AK1014))+1,"")</f>
        <v/>
      </c>
      <c r="AI1014">
        <f>IF($C1014="","",IF(OR($N1014=TRUE(),$N1014="TRUE"),1,0))</f>
        <v/>
      </c>
      <c r="AJ1014">
        <f>IF($C1014="","",IF($T1014="Yes",1,0))</f>
        <v/>
      </c>
      <c r="AK1014">
        <f>IF($AG1014=1,IFERROR(IF(VALUE($C1014)&lt;100000000,VALUE($C1014),1000000000),IFERROR(IF(VALUE(MID($C1014,2,20))&lt;100000000,VALUE(MID($C1014,2,20)),1000000000),1000000000))+ROW()/100000,"")</f>
        <v/>
      </c>
    </row>
    <row r="1015">
      <c r="D1015" s="11" t="n"/>
      <c r="K1015" s="7">
        <f>IF($C1015="","",J1015*W1015/100)</f>
        <v/>
      </c>
      <c r="Q1015" s="7" t="n"/>
      <c r="R1015" s="7" t="n"/>
      <c r="U1015">
        <f>IF($C1015="","",IF($AJ1015=1,0,IF($AI1015=1,Settings!$C$6,Settings!$C$7))*100)</f>
        <v/>
      </c>
      <c r="V1015" s="7">
        <f>IF($C1015="","",R1015*U1015/100)</f>
        <v/>
      </c>
      <c r="W1015" s="7">
        <f>IF($C1015="","",R1015-V1015)</f>
        <v/>
      </c>
      <c r="X1015" s="7">
        <f>IF($C1015="","",W1015-K1015)</f>
        <v/>
      </c>
      <c r="AB1015" s="7" t="n"/>
      <c r="AE1015" s="11" t="n"/>
      <c r="AG1015">
        <f>IF($C1015="","",IF(COUNTIF($C$2:$C1015,$C1015)=1,1,0))</f>
        <v/>
      </c>
      <c r="AH1015">
        <f>IF($AG1015=1,SUMPRODUCT(--($AK$2:$AK$6001&lt;$AK1015))+1,"")</f>
        <v/>
      </c>
      <c r="AI1015">
        <f>IF($C1015="","",IF(OR($N1015=TRUE(),$N1015="TRUE"),1,0))</f>
        <v/>
      </c>
      <c r="AJ1015">
        <f>IF($C1015="","",IF($T1015="Yes",1,0))</f>
        <v/>
      </c>
      <c r="AK1015">
        <f>IF($AG1015=1,IFERROR(IF(VALUE($C1015)&lt;100000000,VALUE($C1015),1000000000),IFERROR(IF(VALUE(MID($C1015,2,20))&lt;100000000,VALUE(MID($C1015,2,20)),1000000000),1000000000))+ROW()/100000,"")</f>
        <v/>
      </c>
    </row>
    <row r="1016">
      <c r="D1016" s="11" t="n"/>
      <c r="K1016" s="7">
        <f>IF($C1016="","",J1016*W1016/100)</f>
        <v/>
      </c>
      <c r="Q1016" s="7" t="n"/>
      <c r="R1016" s="7" t="n"/>
      <c r="U1016">
        <f>IF($C1016="","",IF($AJ1016=1,0,IF($AI1016=1,Settings!$C$6,Settings!$C$7))*100)</f>
        <v/>
      </c>
      <c r="V1016" s="7">
        <f>IF($C1016="","",R1016*U1016/100)</f>
        <v/>
      </c>
      <c r="W1016" s="7">
        <f>IF($C1016="","",R1016-V1016)</f>
        <v/>
      </c>
      <c r="X1016" s="7">
        <f>IF($C1016="","",W1016-K1016)</f>
        <v/>
      </c>
      <c r="AB1016" s="7" t="n"/>
      <c r="AE1016" s="11" t="n"/>
      <c r="AG1016">
        <f>IF($C1016="","",IF(COUNTIF($C$2:$C1016,$C1016)=1,1,0))</f>
        <v/>
      </c>
      <c r="AH1016">
        <f>IF($AG1016=1,SUMPRODUCT(--($AK$2:$AK$6001&lt;$AK1016))+1,"")</f>
        <v/>
      </c>
      <c r="AI1016">
        <f>IF($C1016="","",IF(OR($N1016=TRUE(),$N1016="TRUE"),1,0))</f>
        <v/>
      </c>
      <c r="AJ1016">
        <f>IF($C1016="","",IF($T1016="Yes",1,0))</f>
        <v/>
      </c>
      <c r="AK1016">
        <f>IF($AG1016=1,IFERROR(IF(VALUE($C1016)&lt;100000000,VALUE($C1016),1000000000),IFERROR(IF(VALUE(MID($C1016,2,20))&lt;100000000,VALUE(MID($C1016,2,20)),1000000000),1000000000))+ROW()/100000,"")</f>
        <v/>
      </c>
    </row>
    <row r="1017">
      <c r="D1017" s="11" t="n"/>
      <c r="K1017" s="7">
        <f>IF($C1017="","",J1017*W1017/100)</f>
        <v/>
      </c>
      <c r="Q1017" s="7" t="n"/>
      <c r="R1017" s="7" t="n"/>
      <c r="U1017">
        <f>IF($C1017="","",IF($AJ1017=1,0,IF($AI1017=1,Settings!$C$6,Settings!$C$7))*100)</f>
        <v/>
      </c>
      <c r="V1017" s="7">
        <f>IF($C1017="","",R1017*U1017/100)</f>
        <v/>
      </c>
      <c r="W1017" s="7">
        <f>IF($C1017="","",R1017-V1017)</f>
        <v/>
      </c>
      <c r="X1017" s="7">
        <f>IF($C1017="","",W1017-K1017)</f>
        <v/>
      </c>
      <c r="AB1017" s="7" t="n"/>
      <c r="AE1017" s="11" t="n"/>
      <c r="AG1017">
        <f>IF($C1017="","",IF(COUNTIF($C$2:$C1017,$C1017)=1,1,0))</f>
        <v/>
      </c>
      <c r="AH1017">
        <f>IF($AG1017=1,SUMPRODUCT(--($AK$2:$AK$6001&lt;$AK1017))+1,"")</f>
        <v/>
      </c>
      <c r="AI1017">
        <f>IF($C1017="","",IF(OR($N1017=TRUE(),$N1017="TRUE"),1,0))</f>
        <v/>
      </c>
      <c r="AJ1017">
        <f>IF($C1017="","",IF($T1017="Yes",1,0))</f>
        <v/>
      </c>
      <c r="AK1017">
        <f>IF($AG1017=1,IFERROR(IF(VALUE($C1017)&lt;100000000,VALUE($C1017),1000000000),IFERROR(IF(VALUE(MID($C1017,2,20))&lt;100000000,VALUE(MID($C1017,2,20)),1000000000),1000000000))+ROW()/100000,"")</f>
        <v/>
      </c>
    </row>
    <row r="1018">
      <c r="D1018" s="11" t="n"/>
      <c r="K1018" s="7">
        <f>IF($C1018="","",J1018*W1018/100)</f>
        <v/>
      </c>
      <c r="Q1018" s="7" t="n"/>
      <c r="R1018" s="7" t="n"/>
      <c r="U1018">
        <f>IF($C1018="","",IF($AJ1018=1,0,IF($AI1018=1,Settings!$C$6,Settings!$C$7))*100)</f>
        <v/>
      </c>
      <c r="V1018" s="7">
        <f>IF($C1018="","",R1018*U1018/100)</f>
        <v/>
      </c>
      <c r="W1018" s="7">
        <f>IF($C1018="","",R1018-V1018)</f>
        <v/>
      </c>
      <c r="X1018" s="7">
        <f>IF($C1018="","",W1018-K1018)</f>
        <v/>
      </c>
      <c r="AB1018" s="7" t="n"/>
      <c r="AE1018" s="11" t="n"/>
      <c r="AG1018">
        <f>IF($C1018="","",IF(COUNTIF($C$2:$C1018,$C1018)=1,1,0))</f>
        <v/>
      </c>
      <c r="AH1018">
        <f>IF($AG1018=1,SUMPRODUCT(--($AK$2:$AK$6001&lt;$AK1018))+1,"")</f>
        <v/>
      </c>
      <c r="AI1018">
        <f>IF($C1018="","",IF(OR($N1018=TRUE(),$N1018="TRUE"),1,0))</f>
        <v/>
      </c>
      <c r="AJ1018">
        <f>IF($C1018="","",IF($T1018="Yes",1,0))</f>
        <v/>
      </c>
      <c r="AK1018">
        <f>IF($AG1018=1,IFERROR(IF(VALUE($C1018)&lt;100000000,VALUE($C1018),1000000000),IFERROR(IF(VALUE(MID($C1018,2,20))&lt;100000000,VALUE(MID($C1018,2,20)),1000000000),1000000000))+ROW()/100000,"")</f>
        <v/>
      </c>
    </row>
    <row r="1019">
      <c r="D1019" s="11" t="n"/>
      <c r="K1019" s="7">
        <f>IF($C1019="","",J1019*W1019/100)</f>
        <v/>
      </c>
      <c r="Q1019" s="7" t="n"/>
      <c r="R1019" s="7" t="n"/>
      <c r="U1019">
        <f>IF($C1019="","",IF($AJ1019=1,0,IF($AI1019=1,Settings!$C$6,Settings!$C$7))*100)</f>
        <v/>
      </c>
      <c r="V1019" s="7">
        <f>IF($C1019="","",R1019*U1019/100)</f>
        <v/>
      </c>
      <c r="W1019" s="7">
        <f>IF($C1019="","",R1019-V1019)</f>
        <v/>
      </c>
      <c r="X1019" s="7">
        <f>IF($C1019="","",W1019-K1019)</f>
        <v/>
      </c>
      <c r="AB1019" s="7" t="n"/>
      <c r="AE1019" s="11" t="n"/>
      <c r="AG1019">
        <f>IF($C1019="","",IF(COUNTIF($C$2:$C1019,$C1019)=1,1,0))</f>
        <v/>
      </c>
      <c r="AH1019">
        <f>IF($AG1019=1,SUMPRODUCT(--($AK$2:$AK$6001&lt;$AK1019))+1,"")</f>
        <v/>
      </c>
      <c r="AI1019">
        <f>IF($C1019="","",IF(OR($N1019=TRUE(),$N1019="TRUE"),1,0))</f>
        <v/>
      </c>
      <c r="AJ1019">
        <f>IF($C1019="","",IF($T1019="Yes",1,0))</f>
        <v/>
      </c>
      <c r="AK1019">
        <f>IF($AG1019=1,IFERROR(IF(VALUE($C1019)&lt;100000000,VALUE($C1019),1000000000),IFERROR(IF(VALUE(MID($C1019,2,20))&lt;100000000,VALUE(MID($C1019,2,20)),1000000000),1000000000))+ROW()/100000,"")</f>
        <v/>
      </c>
    </row>
    <row r="1020">
      <c r="D1020" s="11" t="n"/>
      <c r="K1020" s="7">
        <f>IF($C1020="","",J1020*W1020/100)</f>
        <v/>
      </c>
      <c r="Q1020" s="7" t="n"/>
      <c r="R1020" s="7" t="n"/>
      <c r="U1020">
        <f>IF($C1020="","",IF($AJ1020=1,0,IF($AI1020=1,Settings!$C$6,Settings!$C$7))*100)</f>
        <v/>
      </c>
      <c r="V1020" s="7">
        <f>IF($C1020="","",R1020*U1020/100)</f>
        <v/>
      </c>
      <c r="W1020" s="7">
        <f>IF($C1020="","",R1020-V1020)</f>
        <v/>
      </c>
      <c r="X1020" s="7">
        <f>IF($C1020="","",W1020-K1020)</f>
        <v/>
      </c>
      <c r="AB1020" s="7" t="n"/>
      <c r="AE1020" s="11" t="n"/>
      <c r="AG1020">
        <f>IF($C1020="","",IF(COUNTIF($C$2:$C1020,$C1020)=1,1,0))</f>
        <v/>
      </c>
      <c r="AH1020">
        <f>IF($AG1020=1,SUMPRODUCT(--($AK$2:$AK$6001&lt;$AK1020))+1,"")</f>
        <v/>
      </c>
      <c r="AI1020">
        <f>IF($C1020="","",IF(OR($N1020=TRUE(),$N1020="TRUE"),1,0))</f>
        <v/>
      </c>
      <c r="AJ1020">
        <f>IF($C1020="","",IF($T1020="Yes",1,0))</f>
        <v/>
      </c>
      <c r="AK1020">
        <f>IF($AG1020=1,IFERROR(IF(VALUE($C1020)&lt;100000000,VALUE($C1020),1000000000),IFERROR(IF(VALUE(MID($C1020,2,20))&lt;100000000,VALUE(MID($C1020,2,20)),1000000000),1000000000))+ROW()/100000,"")</f>
        <v/>
      </c>
    </row>
    <row r="1021">
      <c r="D1021" s="11" t="n"/>
      <c r="K1021" s="7">
        <f>IF($C1021="","",J1021*W1021/100)</f>
        <v/>
      </c>
      <c r="Q1021" s="7" t="n"/>
      <c r="R1021" s="7" t="n"/>
      <c r="U1021">
        <f>IF($C1021="","",IF($AJ1021=1,0,IF($AI1021=1,Settings!$C$6,Settings!$C$7))*100)</f>
        <v/>
      </c>
      <c r="V1021" s="7">
        <f>IF($C1021="","",R1021*U1021/100)</f>
        <v/>
      </c>
      <c r="W1021" s="7">
        <f>IF($C1021="","",R1021-V1021)</f>
        <v/>
      </c>
      <c r="X1021" s="7">
        <f>IF($C1021="","",W1021-K1021)</f>
        <v/>
      </c>
      <c r="AB1021" s="7" t="n"/>
      <c r="AE1021" s="11" t="n"/>
      <c r="AG1021">
        <f>IF($C1021="","",IF(COUNTIF($C$2:$C1021,$C1021)=1,1,0))</f>
        <v/>
      </c>
      <c r="AH1021">
        <f>IF($AG1021=1,SUMPRODUCT(--($AK$2:$AK$6001&lt;$AK1021))+1,"")</f>
        <v/>
      </c>
      <c r="AI1021">
        <f>IF($C1021="","",IF(OR($N1021=TRUE(),$N1021="TRUE"),1,0))</f>
        <v/>
      </c>
      <c r="AJ1021">
        <f>IF($C1021="","",IF($T1021="Yes",1,0))</f>
        <v/>
      </c>
      <c r="AK1021">
        <f>IF($AG1021=1,IFERROR(IF(VALUE($C1021)&lt;100000000,VALUE($C1021),1000000000),IFERROR(IF(VALUE(MID($C1021,2,20))&lt;100000000,VALUE(MID($C1021,2,20)),1000000000),1000000000))+ROW()/100000,"")</f>
        <v/>
      </c>
    </row>
    <row r="1022">
      <c r="D1022" s="11" t="n"/>
      <c r="K1022" s="7">
        <f>IF($C1022="","",J1022*W1022/100)</f>
        <v/>
      </c>
      <c r="Q1022" s="7" t="n"/>
      <c r="R1022" s="7" t="n"/>
      <c r="U1022">
        <f>IF($C1022="","",IF($AJ1022=1,0,IF($AI1022=1,Settings!$C$6,Settings!$C$7))*100)</f>
        <v/>
      </c>
      <c r="V1022" s="7">
        <f>IF($C1022="","",R1022*U1022/100)</f>
        <v/>
      </c>
      <c r="W1022" s="7">
        <f>IF($C1022="","",R1022-V1022)</f>
        <v/>
      </c>
      <c r="X1022" s="7">
        <f>IF($C1022="","",W1022-K1022)</f>
        <v/>
      </c>
      <c r="AB1022" s="7" t="n"/>
      <c r="AE1022" s="11" t="n"/>
      <c r="AG1022">
        <f>IF($C1022="","",IF(COUNTIF($C$2:$C1022,$C1022)=1,1,0))</f>
        <v/>
      </c>
      <c r="AH1022">
        <f>IF($AG1022=1,SUMPRODUCT(--($AK$2:$AK$6001&lt;$AK1022))+1,"")</f>
        <v/>
      </c>
      <c r="AI1022">
        <f>IF($C1022="","",IF(OR($N1022=TRUE(),$N1022="TRUE"),1,0))</f>
        <v/>
      </c>
      <c r="AJ1022">
        <f>IF($C1022="","",IF($T1022="Yes",1,0))</f>
        <v/>
      </c>
      <c r="AK1022">
        <f>IF($AG1022=1,IFERROR(IF(VALUE($C1022)&lt;100000000,VALUE($C1022),1000000000),IFERROR(IF(VALUE(MID($C1022,2,20))&lt;100000000,VALUE(MID($C1022,2,20)),1000000000),1000000000))+ROW()/100000,"")</f>
        <v/>
      </c>
    </row>
    <row r="1023">
      <c r="D1023" s="11" t="n"/>
      <c r="K1023" s="7">
        <f>IF($C1023="","",J1023*W1023/100)</f>
        <v/>
      </c>
      <c r="Q1023" s="7" t="n"/>
      <c r="R1023" s="7" t="n"/>
      <c r="U1023">
        <f>IF($C1023="","",IF($AJ1023=1,0,IF($AI1023=1,Settings!$C$6,Settings!$C$7))*100)</f>
        <v/>
      </c>
      <c r="V1023" s="7">
        <f>IF($C1023="","",R1023*U1023/100)</f>
        <v/>
      </c>
      <c r="W1023" s="7">
        <f>IF($C1023="","",R1023-V1023)</f>
        <v/>
      </c>
      <c r="X1023" s="7">
        <f>IF($C1023="","",W1023-K1023)</f>
        <v/>
      </c>
      <c r="AB1023" s="7" t="n"/>
      <c r="AE1023" s="11" t="n"/>
      <c r="AG1023">
        <f>IF($C1023="","",IF(COUNTIF($C$2:$C1023,$C1023)=1,1,0))</f>
        <v/>
      </c>
      <c r="AH1023">
        <f>IF($AG1023=1,SUMPRODUCT(--($AK$2:$AK$6001&lt;$AK1023))+1,"")</f>
        <v/>
      </c>
      <c r="AI1023">
        <f>IF($C1023="","",IF(OR($N1023=TRUE(),$N1023="TRUE"),1,0))</f>
        <v/>
      </c>
      <c r="AJ1023">
        <f>IF($C1023="","",IF($T1023="Yes",1,0))</f>
        <v/>
      </c>
      <c r="AK1023">
        <f>IF($AG1023=1,IFERROR(IF(VALUE($C1023)&lt;100000000,VALUE($C1023),1000000000),IFERROR(IF(VALUE(MID($C1023,2,20))&lt;100000000,VALUE(MID($C1023,2,20)),1000000000),1000000000))+ROW()/100000,"")</f>
        <v/>
      </c>
    </row>
    <row r="1024">
      <c r="D1024" s="11" t="n"/>
      <c r="K1024" s="7">
        <f>IF($C1024="","",J1024*W1024/100)</f>
        <v/>
      </c>
      <c r="Q1024" s="7" t="n"/>
      <c r="R1024" s="7" t="n"/>
      <c r="U1024">
        <f>IF($C1024="","",IF($AJ1024=1,0,IF($AI1024=1,Settings!$C$6,Settings!$C$7))*100)</f>
        <v/>
      </c>
      <c r="V1024" s="7">
        <f>IF($C1024="","",R1024*U1024/100)</f>
        <v/>
      </c>
      <c r="W1024" s="7">
        <f>IF($C1024="","",R1024-V1024)</f>
        <v/>
      </c>
      <c r="X1024" s="7">
        <f>IF($C1024="","",W1024-K1024)</f>
        <v/>
      </c>
      <c r="AB1024" s="7" t="n"/>
      <c r="AE1024" s="11" t="n"/>
      <c r="AG1024">
        <f>IF($C1024="","",IF(COUNTIF($C$2:$C1024,$C1024)=1,1,0))</f>
        <v/>
      </c>
      <c r="AH1024">
        <f>IF($AG1024=1,SUMPRODUCT(--($AK$2:$AK$6001&lt;$AK1024))+1,"")</f>
        <v/>
      </c>
      <c r="AI1024">
        <f>IF($C1024="","",IF(OR($N1024=TRUE(),$N1024="TRUE"),1,0))</f>
        <v/>
      </c>
      <c r="AJ1024">
        <f>IF($C1024="","",IF($T1024="Yes",1,0))</f>
        <v/>
      </c>
      <c r="AK1024">
        <f>IF($AG1024=1,IFERROR(IF(VALUE($C1024)&lt;100000000,VALUE($C1024),1000000000),IFERROR(IF(VALUE(MID($C1024,2,20))&lt;100000000,VALUE(MID($C1024,2,20)),1000000000),1000000000))+ROW()/100000,"")</f>
        <v/>
      </c>
    </row>
    <row r="1025">
      <c r="D1025" s="11" t="n"/>
      <c r="K1025" s="7">
        <f>IF($C1025="","",J1025*W1025/100)</f>
        <v/>
      </c>
      <c r="Q1025" s="7" t="n"/>
      <c r="R1025" s="7" t="n"/>
      <c r="U1025">
        <f>IF($C1025="","",IF($AJ1025=1,0,IF($AI1025=1,Settings!$C$6,Settings!$C$7))*100)</f>
        <v/>
      </c>
      <c r="V1025" s="7">
        <f>IF($C1025="","",R1025*U1025/100)</f>
        <v/>
      </c>
      <c r="W1025" s="7">
        <f>IF($C1025="","",R1025-V1025)</f>
        <v/>
      </c>
      <c r="X1025" s="7">
        <f>IF($C1025="","",W1025-K1025)</f>
        <v/>
      </c>
      <c r="AB1025" s="7" t="n"/>
      <c r="AE1025" s="11" t="n"/>
      <c r="AG1025">
        <f>IF($C1025="","",IF(COUNTIF($C$2:$C1025,$C1025)=1,1,0))</f>
        <v/>
      </c>
      <c r="AH1025">
        <f>IF($AG1025=1,SUMPRODUCT(--($AK$2:$AK$6001&lt;$AK1025))+1,"")</f>
        <v/>
      </c>
      <c r="AI1025">
        <f>IF($C1025="","",IF(OR($N1025=TRUE(),$N1025="TRUE"),1,0))</f>
        <v/>
      </c>
      <c r="AJ1025">
        <f>IF($C1025="","",IF($T1025="Yes",1,0))</f>
        <v/>
      </c>
      <c r="AK1025">
        <f>IF($AG1025=1,IFERROR(IF(VALUE($C1025)&lt;100000000,VALUE($C1025),1000000000),IFERROR(IF(VALUE(MID($C1025,2,20))&lt;100000000,VALUE(MID($C1025,2,20)),1000000000),1000000000))+ROW()/100000,"")</f>
        <v/>
      </c>
    </row>
    <row r="1026">
      <c r="D1026" s="11" t="n"/>
      <c r="K1026" s="7">
        <f>IF($C1026="","",J1026*W1026/100)</f>
        <v/>
      </c>
      <c r="Q1026" s="7" t="n"/>
      <c r="R1026" s="7" t="n"/>
      <c r="U1026">
        <f>IF($C1026="","",IF($AJ1026=1,0,IF($AI1026=1,Settings!$C$6,Settings!$C$7))*100)</f>
        <v/>
      </c>
      <c r="V1026" s="7">
        <f>IF($C1026="","",R1026*U1026/100)</f>
        <v/>
      </c>
      <c r="W1026" s="7">
        <f>IF($C1026="","",R1026-V1026)</f>
        <v/>
      </c>
      <c r="X1026" s="7">
        <f>IF($C1026="","",W1026-K1026)</f>
        <v/>
      </c>
      <c r="AB1026" s="7" t="n"/>
      <c r="AE1026" s="11" t="n"/>
      <c r="AG1026">
        <f>IF($C1026="","",IF(COUNTIF($C$2:$C1026,$C1026)=1,1,0))</f>
        <v/>
      </c>
      <c r="AH1026">
        <f>IF($AG1026=1,SUMPRODUCT(--($AK$2:$AK$6001&lt;$AK1026))+1,"")</f>
        <v/>
      </c>
      <c r="AI1026">
        <f>IF($C1026="","",IF(OR($N1026=TRUE(),$N1026="TRUE"),1,0))</f>
        <v/>
      </c>
      <c r="AJ1026">
        <f>IF($C1026="","",IF($T1026="Yes",1,0))</f>
        <v/>
      </c>
      <c r="AK1026">
        <f>IF($AG1026=1,IFERROR(IF(VALUE($C1026)&lt;100000000,VALUE($C1026),1000000000),IFERROR(IF(VALUE(MID($C1026,2,20))&lt;100000000,VALUE(MID($C1026,2,20)),1000000000),1000000000))+ROW()/100000,"")</f>
        <v/>
      </c>
    </row>
    <row r="1027">
      <c r="D1027" s="11" t="n"/>
      <c r="K1027" s="7">
        <f>IF($C1027="","",J1027*W1027/100)</f>
        <v/>
      </c>
      <c r="Q1027" s="7" t="n"/>
      <c r="R1027" s="7" t="n"/>
      <c r="U1027">
        <f>IF($C1027="","",IF($AJ1027=1,0,IF($AI1027=1,Settings!$C$6,Settings!$C$7))*100)</f>
        <v/>
      </c>
      <c r="V1027" s="7">
        <f>IF($C1027="","",R1027*U1027/100)</f>
        <v/>
      </c>
      <c r="W1027" s="7">
        <f>IF($C1027="","",R1027-V1027)</f>
        <v/>
      </c>
      <c r="X1027" s="7">
        <f>IF($C1027="","",W1027-K1027)</f>
        <v/>
      </c>
      <c r="AB1027" s="7" t="n"/>
      <c r="AE1027" s="11" t="n"/>
      <c r="AG1027">
        <f>IF($C1027="","",IF(COUNTIF($C$2:$C1027,$C1027)=1,1,0))</f>
        <v/>
      </c>
      <c r="AH1027">
        <f>IF($AG1027=1,SUMPRODUCT(--($AK$2:$AK$6001&lt;$AK1027))+1,"")</f>
        <v/>
      </c>
      <c r="AI1027">
        <f>IF($C1027="","",IF(OR($N1027=TRUE(),$N1027="TRUE"),1,0))</f>
        <v/>
      </c>
      <c r="AJ1027">
        <f>IF($C1027="","",IF($T1027="Yes",1,0))</f>
        <v/>
      </c>
      <c r="AK1027">
        <f>IF($AG1027=1,IFERROR(IF(VALUE($C1027)&lt;100000000,VALUE($C1027),1000000000),IFERROR(IF(VALUE(MID($C1027,2,20))&lt;100000000,VALUE(MID($C1027,2,20)),1000000000),1000000000))+ROW()/100000,"")</f>
        <v/>
      </c>
    </row>
    <row r="1028">
      <c r="D1028" s="11" t="n"/>
      <c r="K1028" s="7">
        <f>IF($C1028="","",J1028*W1028/100)</f>
        <v/>
      </c>
      <c r="Q1028" s="7" t="n"/>
      <c r="R1028" s="7" t="n"/>
      <c r="U1028">
        <f>IF($C1028="","",IF($AJ1028=1,0,IF($AI1028=1,Settings!$C$6,Settings!$C$7))*100)</f>
        <v/>
      </c>
      <c r="V1028" s="7">
        <f>IF($C1028="","",R1028*U1028/100)</f>
        <v/>
      </c>
      <c r="W1028" s="7">
        <f>IF($C1028="","",R1028-V1028)</f>
        <v/>
      </c>
      <c r="X1028" s="7">
        <f>IF($C1028="","",W1028-K1028)</f>
        <v/>
      </c>
      <c r="AB1028" s="7" t="n"/>
      <c r="AE1028" s="11" t="n"/>
      <c r="AG1028">
        <f>IF($C1028="","",IF(COUNTIF($C$2:$C1028,$C1028)=1,1,0))</f>
        <v/>
      </c>
      <c r="AH1028">
        <f>IF($AG1028=1,SUMPRODUCT(--($AK$2:$AK$6001&lt;$AK1028))+1,"")</f>
        <v/>
      </c>
      <c r="AI1028">
        <f>IF($C1028="","",IF(OR($N1028=TRUE(),$N1028="TRUE"),1,0))</f>
        <v/>
      </c>
      <c r="AJ1028">
        <f>IF($C1028="","",IF($T1028="Yes",1,0))</f>
        <v/>
      </c>
      <c r="AK1028">
        <f>IF($AG1028=1,IFERROR(IF(VALUE($C1028)&lt;100000000,VALUE($C1028),1000000000),IFERROR(IF(VALUE(MID($C1028,2,20))&lt;100000000,VALUE(MID($C1028,2,20)),1000000000),1000000000))+ROW()/100000,"")</f>
        <v/>
      </c>
    </row>
    <row r="1029">
      <c r="D1029" s="11" t="n"/>
      <c r="K1029" s="7">
        <f>IF($C1029="","",J1029*W1029/100)</f>
        <v/>
      </c>
      <c r="Q1029" s="7" t="n"/>
      <c r="R1029" s="7" t="n"/>
      <c r="U1029">
        <f>IF($C1029="","",IF($AJ1029=1,0,IF($AI1029=1,Settings!$C$6,Settings!$C$7))*100)</f>
        <v/>
      </c>
      <c r="V1029" s="7">
        <f>IF($C1029="","",R1029*U1029/100)</f>
        <v/>
      </c>
      <c r="W1029" s="7">
        <f>IF($C1029="","",R1029-V1029)</f>
        <v/>
      </c>
      <c r="X1029" s="7">
        <f>IF($C1029="","",W1029-K1029)</f>
        <v/>
      </c>
      <c r="AB1029" s="7" t="n"/>
      <c r="AE1029" s="11" t="n"/>
      <c r="AG1029">
        <f>IF($C1029="","",IF(COUNTIF($C$2:$C1029,$C1029)=1,1,0))</f>
        <v/>
      </c>
      <c r="AH1029">
        <f>IF($AG1029=1,SUMPRODUCT(--($AK$2:$AK$6001&lt;$AK1029))+1,"")</f>
        <v/>
      </c>
      <c r="AI1029">
        <f>IF($C1029="","",IF(OR($N1029=TRUE(),$N1029="TRUE"),1,0))</f>
        <v/>
      </c>
      <c r="AJ1029">
        <f>IF($C1029="","",IF($T1029="Yes",1,0))</f>
        <v/>
      </c>
      <c r="AK1029">
        <f>IF($AG1029=1,IFERROR(IF(VALUE($C1029)&lt;100000000,VALUE($C1029),1000000000),IFERROR(IF(VALUE(MID($C1029,2,20))&lt;100000000,VALUE(MID($C1029,2,20)),1000000000),1000000000))+ROW()/100000,"")</f>
        <v/>
      </c>
    </row>
    <row r="1030">
      <c r="D1030" s="11" t="n"/>
      <c r="K1030" s="7">
        <f>IF($C1030="","",J1030*W1030/100)</f>
        <v/>
      </c>
      <c r="Q1030" s="7" t="n"/>
      <c r="R1030" s="7" t="n"/>
      <c r="U1030">
        <f>IF($C1030="","",IF($AJ1030=1,0,IF($AI1030=1,Settings!$C$6,Settings!$C$7))*100)</f>
        <v/>
      </c>
      <c r="V1030" s="7">
        <f>IF($C1030="","",R1030*U1030/100)</f>
        <v/>
      </c>
      <c r="W1030" s="7">
        <f>IF($C1030="","",R1030-V1030)</f>
        <v/>
      </c>
      <c r="X1030" s="7">
        <f>IF($C1030="","",W1030-K1030)</f>
        <v/>
      </c>
      <c r="AB1030" s="7" t="n"/>
      <c r="AE1030" s="11" t="n"/>
      <c r="AG1030">
        <f>IF($C1030="","",IF(COUNTIF($C$2:$C1030,$C1030)=1,1,0))</f>
        <v/>
      </c>
      <c r="AH1030">
        <f>IF($AG1030=1,SUMPRODUCT(--($AK$2:$AK$6001&lt;$AK1030))+1,"")</f>
        <v/>
      </c>
      <c r="AI1030">
        <f>IF($C1030="","",IF(OR($N1030=TRUE(),$N1030="TRUE"),1,0))</f>
        <v/>
      </c>
      <c r="AJ1030">
        <f>IF($C1030="","",IF($T1030="Yes",1,0))</f>
        <v/>
      </c>
      <c r="AK1030">
        <f>IF($AG1030=1,IFERROR(IF(VALUE($C1030)&lt;100000000,VALUE($C1030),1000000000),IFERROR(IF(VALUE(MID($C1030,2,20))&lt;100000000,VALUE(MID($C1030,2,20)),1000000000),1000000000))+ROW()/100000,"")</f>
        <v/>
      </c>
    </row>
    <row r="1031">
      <c r="D1031" s="11" t="n"/>
      <c r="K1031" s="7">
        <f>IF($C1031="","",J1031*W1031/100)</f>
        <v/>
      </c>
      <c r="Q1031" s="7" t="n"/>
      <c r="R1031" s="7" t="n"/>
      <c r="U1031">
        <f>IF($C1031="","",IF($AJ1031=1,0,IF($AI1031=1,Settings!$C$6,Settings!$C$7))*100)</f>
        <v/>
      </c>
      <c r="V1031" s="7">
        <f>IF($C1031="","",R1031*U1031/100)</f>
        <v/>
      </c>
      <c r="W1031" s="7">
        <f>IF($C1031="","",R1031-V1031)</f>
        <v/>
      </c>
      <c r="X1031" s="7">
        <f>IF($C1031="","",W1031-K1031)</f>
        <v/>
      </c>
      <c r="AB1031" s="7" t="n"/>
      <c r="AE1031" s="11" t="n"/>
      <c r="AG1031">
        <f>IF($C1031="","",IF(COUNTIF($C$2:$C1031,$C1031)=1,1,0))</f>
        <v/>
      </c>
      <c r="AH1031">
        <f>IF($AG1031=1,SUMPRODUCT(--($AK$2:$AK$6001&lt;$AK1031))+1,"")</f>
        <v/>
      </c>
      <c r="AI1031">
        <f>IF($C1031="","",IF(OR($N1031=TRUE(),$N1031="TRUE"),1,0))</f>
        <v/>
      </c>
      <c r="AJ1031">
        <f>IF($C1031="","",IF($T1031="Yes",1,0))</f>
        <v/>
      </c>
      <c r="AK1031">
        <f>IF($AG1031=1,IFERROR(IF(VALUE($C1031)&lt;100000000,VALUE($C1031),1000000000),IFERROR(IF(VALUE(MID($C1031,2,20))&lt;100000000,VALUE(MID($C1031,2,20)),1000000000),1000000000))+ROW()/100000,"")</f>
        <v/>
      </c>
    </row>
    <row r="1032">
      <c r="D1032" s="11" t="n"/>
      <c r="K1032" s="7">
        <f>IF($C1032="","",J1032*W1032/100)</f>
        <v/>
      </c>
      <c r="Q1032" s="7" t="n"/>
      <c r="R1032" s="7" t="n"/>
      <c r="U1032">
        <f>IF($C1032="","",IF($AJ1032=1,0,IF($AI1032=1,Settings!$C$6,Settings!$C$7))*100)</f>
        <v/>
      </c>
      <c r="V1032" s="7">
        <f>IF($C1032="","",R1032*U1032/100)</f>
        <v/>
      </c>
      <c r="W1032" s="7">
        <f>IF($C1032="","",R1032-V1032)</f>
        <v/>
      </c>
      <c r="X1032" s="7">
        <f>IF($C1032="","",W1032-K1032)</f>
        <v/>
      </c>
      <c r="AB1032" s="7" t="n"/>
      <c r="AE1032" s="11" t="n"/>
      <c r="AG1032">
        <f>IF($C1032="","",IF(COUNTIF($C$2:$C1032,$C1032)=1,1,0))</f>
        <v/>
      </c>
      <c r="AH1032">
        <f>IF($AG1032=1,SUMPRODUCT(--($AK$2:$AK$6001&lt;$AK1032))+1,"")</f>
        <v/>
      </c>
      <c r="AI1032">
        <f>IF($C1032="","",IF(OR($N1032=TRUE(),$N1032="TRUE"),1,0))</f>
        <v/>
      </c>
      <c r="AJ1032">
        <f>IF($C1032="","",IF($T1032="Yes",1,0))</f>
        <v/>
      </c>
      <c r="AK1032">
        <f>IF($AG1032=1,IFERROR(IF(VALUE($C1032)&lt;100000000,VALUE($C1032),1000000000),IFERROR(IF(VALUE(MID($C1032,2,20))&lt;100000000,VALUE(MID($C1032,2,20)),1000000000),1000000000))+ROW()/100000,"")</f>
        <v/>
      </c>
    </row>
    <row r="1033">
      <c r="D1033" s="11" t="n"/>
      <c r="K1033" s="7">
        <f>IF($C1033="","",J1033*W1033/100)</f>
        <v/>
      </c>
      <c r="Q1033" s="7" t="n"/>
      <c r="R1033" s="7" t="n"/>
      <c r="U1033">
        <f>IF($C1033="","",IF($AJ1033=1,0,IF($AI1033=1,Settings!$C$6,Settings!$C$7))*100)</f>
        <v/>
      </c>
      <c r="V1033" s="7">
        <f>IF($C1033="","",R1033*U1033/100)</f>
        <v/>
      </c>
      <c r="W1033" s="7">
        <f>IF($C1033="","",R1033-V1033)</f>
        <v/>
      </c>
      <c r="X1033" s="7">
        <f>IF($C1033="","",W1033-K1033)</f>
        <v/>
      </c>
      <c r="AB1033" s="7" t="n"/>
      <c r="AE1033" s="11" t="n"/>
      <c r="AG1033">
        <f>IF($C1033="","",IF(COUNTIF($C$2:$C1033,$C1033)=1,1,0))</f>
        <v/>
      </c>
      <c r="AH1033">
        <f>IF($AG1033=1,SUMPRODUCT(--($AK$2:$AK$6001&lt;$AK1033))+1,"")</f>
        <v/>
      </c>
      <c r="AI1033">
        <f>IF($C1033="","",IF(OR($N1033=TRUE(),$N1033="TRUE"),1,0))</f>
        <v/>
      </c>
      <c r="AJ1033">
        <f>IF($C1033="","",IF($T1033="Yes",1,0))</f>
        <v/>
      </c>
      <c r="AK1033">
        <f>IF($AG1033=1,IFERROR(IF(VALUE($C1033)&lt;100000000,VALUE($C1033),1000000000),IFERROR(IF(VALUE(MID($C1033,2,20))&lt;100000000,VALUE(MID($C1033,2,20)),1000000000),1000000000))+ROW()/100000,"")</f>
        <v/>
      </c>
    </row>
    <row r="1034">
      <c r="D1034" s="11" t="n"/>
      <c r="K1034" s="7">
        <f>IF($C1034="","",J1034*W1034/100)</f>
        <v/>
      </c>
      <c r="Q1034" s="7" t="n"/>
      <c r="R1034" s="7" t="n"/>
      <c r="U1034">
        <f>IF($C1034="","",IF($AJ1034=1,0,IF($AI1034=1,Settings!$C$6,Settings!$C$7))*100)</f>
        <v/>
      </c>
      <c r="V1034" s="7">
        <f>IF($C1034="","",R1034*U1034/100)</f>
        <v/>
      </c>
      <c r="W1034" s="7">
        <f>IF($C1034="","",R1034-V1034)</f>
        <v/>
      </c>
      <c r="X1034" s="7">
        <f>IF($C1034="","",W1034-K1034)</f>
        <v/>
      </c>
      <c r="AB1034" s="7" t="n"/>
      <c r="AE1034" s="11" t="n"/>
      <c r="AG1034">
        <f>IF($C1034="","",IF(COUNTIF($C$2:$C1034,$C1034)=1,1,0))</f>
        <v/>
      </c>
      <c r="AH1034">
        <f>IF($AG1034=1,SUMPRODUCT(--($AK$2:$AK$6001&lt;$AK1034))+1,"")</f>
        <v/>
      </c>
      <c r="AI1034">
        <f>IF($C1034="","",IF(OR($N1034=TRUE(),$N1034="TRUE"),1,0))</f>
        <v/>
      </c>
      <c r="AJ1034">
        <f>IF($C1034="","",IF($T1034="Yes",1,0))</f>
        <v/>
      </c>
      <c r="AK1034">
        <f>IF($AG1034=1,IFERROR(IF(VALUE($C1034)&lt;100000000,VALUE($C1034),1000000000),IFERROR(IF(VALUE(MID($C1034,2,20))&lt;100000000,VALUE(MID($C1034,2,20)),1000000000),1000000000))+ROW()/100000,"")</f>
        <v/>
      </c>
    </row>
    <row r="1035">
      <c r="D1035" s="11" t="n"/>
      <c r="K1035" s="7">
        <f>IF($C1035="","",J1035*W1035/100)</f>
        <v/>
      </c>
      <c r="Q1035" s="7" t="n"/>
      <c r="R1035" s="7" t="n"/>
      <c r="U1035">
        <f>IF($C1035="","",IF($AJ1035=1,0,IF($AI1035=1,Settings!$C$6,Settings!$C$7))*100)</f>
        <v/>
      </c>
      <c r="V1035" s="7">
        <f>IF($C1035="","",R1035*U1035/100)</f>
        <v/>
      </c>
      <c r="W1035" s="7">
        <f>IF($C1035="","",R1035-V1035)</f>
        <v/>
      </c>
      <c r="X1035" s="7">
        <f>IF($C1035="","",W1035-K1035)</f>
        <v/>
      </c>
      <c r="AB1035" s="7" t="n"/>
      <c r="AE1035" s="11" t="n"/>
      <c r="AG1035">
        <f>IF($C1035="","",IF(COUNTIF($C$2:$C1035,$C1035)=1,1,0))</f>
        <v/>
      </c>
      <c r="AH1035">
        <f>IF($AG1035=1,SUMPRODUCT(--($AK$2:$AK$6001&lt;$AK1035))+1,"")</f>
        <v/>
      </c>
      <c r="AI1035">
        <f>IF($C1035="","",IF(OR($N1035=TRUE(),$N1035="TRUE"),1,0))</f>
        <v/>
      </c>
      <c r="AJ1035">
        <f>IF($C1035="","",IF($T1035="Yes",1,0))</f>
        <v/>
      </c>
      <c r="AK1035">
        <f>IF($AG1035=1,IFERROR(IF(VALUE($C1035)&lt;100000000,VALUE($C1035),1000000000),IFERROR(IF(VALUE(MID($C1035,2,20))&lt;100000000,VALUE(MID($C1035,2,20)),1000000000),1000000000))+ROW()/100000,"")</f>
        <v/>
      </c>
    </row>
    <row r="1036">
      <c r="D1036" s="11" t="n"/>
      <c r="K1036" s="7">
        <f>IF($C1036="","",J1036*W1036/100)</f>
        <v/>
      </c>
      <c r="Q1036" s="7" t="n"/>
      <c r="R1036" s="7" t="n"/>
      <c r="U1036">
        <f>IF($C1036="","",IF($AJ1036=1,0,IF($AI1036=1,Settings!$C$6,Settings!$C$7))*100)</f>
        <v/>
      </c>
      <c r="V1036" s="7">
        <f>IF($C1036="","",R1036*U1036/100)</f>
        <v/>
      </c>
      <c r="W1036" s="7">
        <f>IF($C1036="","",R1036-V1036)</f>
        <v/>
      </c>
      <c r="X1036" s="7">
        <f>IF($C1036="","",W1036-K1036)</f>
        <v/>
      </c>
      <c r="AB1036" s="7" t="n"/>
      <c r="AE1036" s="11" t="n"/>
      <c r="AG1036">
        <f>IF($C1036="","",IF(COUNTIF($C$2:$C1036,$C1036)=1,1,0))</f>
        <v/>
      </c>
      <c r="AH1036">
        <f>IF($AG1036=1,SUMPRODUCT(--($AK$2:$AK$6001&lt;$AK1036))+1,"")</f>
        <v/>
      </c>
      <c r="AI1036">
        <f>IF($C1036="","",IF(OR($N1036=TRUE(),$N1036="TRUE"),1,0))</f>
        <v/>
      </c>
      <c r="AJ1036">
        <f>IF($C1036="","",IF($T1036="Yes",1,0))</f>
        <v/>
      </c>
      <c r="AK1036">
        <f>IF($AG1036=1,IFERROR(IF(VALUE($C1036)&lt;100000000,VALUE($C1036),1000000000),IFERROR(IF(VALUE(MID($C1036,2,20))&lt;100000000,VALUE(MID($C1036,2,20)),1000000000),1000000000))+ROW()/100000,"")</f>
        <v/>
      </c>
    </row>
    <row r="1037">
      <c r="D1037" s="11" t="n"/>
      <c r="K1037" s="7">
        <f>IF($C1037="","",J1037*W1037/100)</f>
        <v/>
      </c>
      <c r="Q1037" s="7" t="n"/>
      <c r="R1037" s="7" t="n"/>
      <c r="U1037">
        <f>IF($C1037="","",IF($AJ1037=1,0,IF($AI1037=1,Settings!$C$6,Settings!$C$7))*100)</f>
        <v/>
      </c>
      <c r="V1037" s="7">
        <f>IF($C1037="","",R1037*U1037/100)</f>
        <v/>
      </c>
      <c r="W1037" s="7">
        <f>IF($C1037="","",R1037-V1037)</f>
        <v/>
      </c>
      <c r="X1037" s="7">
        <f>IF($C1037="","",W1037-K1037)</f>
        <v/>
      </c>
      <c r="AB1037" s="7" t="n"/>
      <c r="AE1037" s="11" t="n"/>
      <c r="AG1037">
        <f>IF($C1037="","",IF(COUNTIF($C$2:$C1037,$C1037)=1,1,0))</f>
        <v/>
      </c>
      <c r="AH1037">
        <f>IF($AG1037=1,SUMPRODUCT(--($AK$2:$AK$6001&lt;$AK1037))+1,"")</f>
        <v/>
      </c>
      <c r="AI1037">
        <f>IF($C1037="","",IF(OR($N1037=TRUE(),$N1037="TRUE"),1,0))</f>
        <v/>
      </c>
      <c r="AJ1037">
        <f>IF($C1037="","",IF($T1037="Yes",1,0))</f>
        <v/>
      </c>
      <c r="AK1037">
        <f>IF($AG1037=1,IFERROR(IF(VALUE($C1037)&lt;100000000,VALUE($C1037),1000000000),IFERROR(IF(VALUE(MID($C1037,2,20))&lt;100000000,VALUE(MID($C1037,2,20)),1000000000),1000000000))+ROW()/100000,"")</f>
        <v/>
      </c>
    </row>
    <row r="1038">
      <c r="D1038" s="11" t="n"/>
      <c r="K1038" s="7">
        <f>IF($C1038="","",J1038*W1038/100)</f>
        <v/>
      </c>
      <c r="Q1038" s="7" t="n"/>
      <c r="R1038" s="7" t="n"/>
      <c r="U1038">
        <f>IF($C1038="","",IF($AJ1038=1,0,IF($AI1038=1,Settings!$C$6,Settings!$C$7))*100)</f>
        <v/>
      </c>
      <c r="V1038" s="7">
        <f>IF($C1038="","",R1038*U1038/100)</f>
        <v/>
      </c>
      <c r="W1038" s="7">
        <f>IF($C1038="","",R1038-V1038)</f>
        <v/>
      </c>
      <c r="X1038" s="7">
        <f>IF($C1038="","",W1038-K1038)</f>
        <v/>
      </c>
      <c r="AB1038" s="7" t="n"/>
      <c r="AE1038" s="11" t="n"/>
      <c r="AG1038">
        <f>IF($C1038="","",IF(COUNTIF($C$2:$C1038,$C1038)=1,1,0))</f>
        <v/>
      </c>
      <c r="AH1038">
        <f>IF($AG1038=1,SUMPRODUCT(--($AK$2:$AK$6001&lt;$AK1038))+1,"")</f>
        <v/>
      </c>
      <c r="AI1038">
        <f>IF($C1038="","",IF(OR($N1038=TRUE(),$N1038="TRUE"),1,0))</f>
        <v/>
      </c>
      <c r="AJ1038">
        <f>IF($C1038="","",IF($T1038="Yes",1,0))</f>
        <v/>
      </c>
      <c r="AK1038">
        <f>IF($AG1038=1,IFERROR(IF(VALUE($C1038)&lt;100000000,VALUE($C1038),1000000000),IFERROR(IF(VALUE(MID($C1038,2,20))&lt;100000000,VALUE(MID($C1038,2,20)),1000000000),1000000000))+ROW()/100000,"")</f>
        <v/>
      </c>
    </row>
    <row r="1039">
      <c r="D1039" s="11" t="n"/>
      <c r="K1039" s="7">
        <f>IF($C1039="","",J1039*W1039/100)</f>
        <v/>
      </c>
      <c r="Q1039" s="7" t="n"/>
      <c r="R1039" s="7" t="n"/>
      <c r="U1039">
        <f>IF($C1039="","",IF($AJ1039=1,0,IF($AI1039=1,Settings!$C$6,Settings!$C$7))*100)</f>
        <v/>
      </c>
      <c r="V1039" s="7">
        <f>IF($C1039="","",R1039*U1039/100)</f>
        <v/>
      </c>
      <c r="W1039" s="7">
        <f>IF($C1039="","",R1039-V1039)</f>
        <v/>
      </c>
      <c r="X1039" s="7">
        <f>IF($C1039="","",W1039-K1039)</f>
        <v/>
      </c>
      <c r="AB1039" s="7" t="n"/>
      <c r="AE1039" s="11" t="n"/>
      <c r="AG1039">
        <f>IF($C1039="","",IF(COUNTIF($C$2:$C1039,$C1039)=1,1,0))</f>
        <v/>
      </c>
      <c r="AH1039">
        <f>IF($AG1039=1,SUMPRODUCT(--($AK$2:$AK$6001&lt;$AK1039))+1,"")</f>
        <v/>
      </c>
      <c r="AI1039">
        <f>IF($C1039="","",IF(OR($N1039=TRUE(),$N1039="TRUE"),1,0))</f>
        <v/>
      </c>
      <c r="AJ1039">
        <f>IF($C1039="","",IF($T1039="Yes",1,0))</f>
        <v/>
      </c>
      <c r="AK1039">
        <f>IF($AG1039=1,IFERROR(IF(VALUE($C1039)&lt;100000000,VALUE($C1039),1000000000),IFERROR(IF(VALUE(MID($C1039,2,20))&lt;100000000,VALUE(MID($C1039,2,20)),1000000000),1000000000))+ROW()/100000,"")</f>
        <v/>
      </c>
    </row>
    <row r="1040">
      <c r="D1040" s="11" t="n"/>
      <c r="K1040" s="7">
        <f>IF($C1040="","",J1040*W1040/100)</f>
        <v/>
      </c>
      <c r="Q1040" s="7" t="n"/>
      <c r="R1040" s="7" t="n"/>
      <c r="U1040">
        <f>IF($C1040="","",IF($AJ1040=1,0,IF($AI1040=1,Settings!$C$6,Settings!$C$7))*100)</f>
        <v/>
      </c>
      <c r="V1040" s="7">
        <f>IF($C1040="","",R1040*U1040/100)</f>
        <v/>
      </c>
      <c r="W1040" s="7">
        <f>IF($C1040="","",R1040-V1040)</f>
        <v/>
      </c>
      <c r="X1040" s="7">
        <f>IF($C1040="","",W1040-K1040)</f>
        <v/>
      </c>
      <c r="AB1040" s="7" t="n"/>
      <c r="AE1040" s="11" t="n"/>
      <c r="AG1040">
        <f>IF($C1040="","",IF(COUNTIF($C$2:$C1040,$C1040)=1,1,0))</f>
        <v/>
      </c>
      <c r="AH1040">
        <f>IF($AG1040=1,SUMPRODUCT(--($AK$2:$AK$6001&lt;$AK1040))+1,"")</f>
        <v/>
      </c>
      <c r="AI1040">
        <f>IF($C1040="","",IF(OR($N1040=TRUE(),$N1040="TRUE"),1,0))</f>
        <v/>
      </c>
      <c r="AJ1040">
        <f>IF($C1040="","",IF($T1040="Yes",1,0))</f>
        <v/>
      </c>
      <c r="AK1040">
        <f>IF($AG1040=1,IFERROR(IF(VALUE($C1040)&lt;100000000,VALUE($C1040),1000000000),IFERROR(IF(VALUE(MID($C1040,2,20))&lt;100000000,VALUE(MID($C1040,2,20)),1000000000),1000000000))+ROW()/100000,"")</f>
        <v/>
      </c>
    </row>
    <row r="1041">
      <c r="D1041" s="11" t="n"/>
      <c r="K1041" s="7">
        <f>IF($C1041="","",J1041*W1041/100)</f>
        <v/>
      </c>
      <c r="Q1041" s="7" t="n"/>
      <c r="R1041" s="7" t="n"/>
      <c r="U1041">
        <f>IF($C1041="","",IF($AJ1041=1,0,IF($AI1041=1,Settings!$C$6,Settings!$C$7))*100)</f>
        <v/>
      </c>
      <c r="V1041" s="7">
        <f>IF($C1041="","",R1041*U1041/100)</f>
        <v/>
      </c>
      <c r="W1041" s="7">
        <f>IF($C1041="","",R1041-V1041)</f>
        <v/>
      </c>
      <c r="X1041" s="7">
        <f>IF($C1041="","",W1041-K1041)</f>
        <v/>
      </c>
      <c r="AB1041" s="7" t="n"/>
      <c r="AE1041" s="11" t="n"/>
      <c r="AG1041">
        <f>IF($C1041="","",IF(COUNTIF($C$2:$C1041,$C1041)=1,1,0))</f>
        <v/>
      </c>
      <c r="AH1041">
        <f>IF($AG1041=1,SUMPRODUCT(--($AK$2:$AK$6001&lt;$AK1041))+1,"")</f>
        <v/>
      </c>
      <c r="AI1041">
        <f>IF($C1041="","",IF(OR($N1041=TRUE(),$N1041="TRUE"),1,0))</f>
        <v/>
      </c>
      <c r="AJ1041">
        <f>IF($C1041="","",IF($T1041="Yes",1,0))</f>
        <v/>
      </c>
      <c r="AK1041">
        <f>IF($AG1041=1,IFERROR(IF(VALUE($C1041)&lt;100000000,VALUE($C1041),1000000000),IFERROR(IF(VALUE(MID($C1041,2,20))&lt;100000000,VALUE(MID($C1041,2,20)),1000000000),1000000000))+ROW()/100000,"")</f>
        <v/>
      </c>
    </row>
    <row r="1042">
      <c r="D1042" s="11" t="n"/>
      <c r="K1042" s="7">
        <f>IF($C1042="","",J1042*W1042/100)</f>
        <v/>
      </c>
      <c r="Q1042" s="7" t="n"/>
      <c r="R1042" s="7" t="n"/>
      <c r="U1042">
        <f>IF($C1042="","",IF($AJ1042=1,0,IF($AI1042=1,Settings!$C$6,Settings!$C$7))*100)</f>
        <v/>
      </c>
      <c r="V1042" s="7">
        <f>IF($C1042="","",R1042*U1042/100)</f>
        <v/>
      </c>
      <c r="W1042" s="7">
        <f>IF($C1042="","",R1042-V1042)</f>
        <v/>
      </c>
      <c r="X1042" s="7">
        <f>IF($C1042="","",W1042-K1042)</f>
        <v/>
      </c>
      <c r="AB1042" s="7" t="n"/>
      <c r="AE1042" s="11" t="n"/>
      <c r="AG1042">
        <f>IF($C1042="","",IF(COUNTIF($C$2:$C1042,$C1042)=1,1,0))</f>
        <v/>
      </c>
      <c r="AH1042">
        <f>IF($AG1042=1,SUMPRODUCT(--($AK$2:$AK$6001&lt;$AK1042))+1,"")</f>
        <v/>
      </c>
      <c r="AI1042">
        <f>IF($C1042="","",IF(OR($N1042=TRUE(),$N1042="TRUE"),1,0))</f>
        <v/>
      </c>
      <c r="AJ1042">
        <f>IF($C1042="","",IF($T1042="Yes",1,0))</f>
        <v/>
      </c>
      <c r="AK1042">
        <f>IF($AG1042=1,IFERROR(IF(VALUE($C1042)&lt;100000000,VALUE($C1042),1000000000),IFERROR(IF(VALUE(MID($C1042,2,20))&lt;100000000,VALUE(MID($C1042,2,20)),1000000000),1000000000))+ROW()/100000,"")</f>
        <v/>
      </c>
    </row>
    <row r="1043">
      <c r="D1043" s="11" t="n"/>
      <c r="K1043" s="7">
        <f>IF($C1043="","",J1043*W1043/100)</f>
        <v/>
      </c>
      <c r="Q1043" s="7" t="n"/>
      <c r="R1043" s="7" t="n"/>
      <c r="U1043">
        <f>IF($C1043="","",IF($AJ1043=1,0,IF($AI1043=1,Settings!$C$6,Settings!$C$7))*100)</f>
        <v/>
      </c>
      <c r="V1043" s="7">
        <f>IF($C1043="","",R1043*U1043/100)</f>
        <v/>
      </c>
      <c r="W1043" s="7">
        <f>IF($C1043="","",R1043-V1043)</f>
        <v/>
      </c>
      <c r="X1043" s="7">
        <f>IF($C1043="","",W1043-K1043)</f>
        <v/>
      </c>
      <c r="AB1043" s="7" t="n"/>
      <c r="AE1043" s="11" t="n"/>
      <c r="AG1043">
        <f>IF($C1043="","",IF(COUNTIF($C$2:$C1043,$C1043)=1,1,0))</f>
        <v/>
      </c>
      <c r="AH1043">
        <f>IF($AG1043=1,SUMPRODUCT(--($AK$2:$AK$6001&lt;$AK1043))+1,"")</f>
        <v/>
      </c>
      <c r="AI1043">
        <f>IF($C1043="","",IF(OR($N1043=TRUE(),$N1043="TRUE"),1,0))</f>
        <v/>
      </c>
      <c r="AJ1043">
        <f>IF($C1043="","",IF($T1043="Yes",1,0))</f>
        <v/>
      </c>
      <c r="AK1043">
        <f>IF($AG1043=1,IFERROR(IF(VALUE($C1043)&lt;100000000,VALUE($C1043),1000000000),IFERROR(IF(VALUE(MID($C1043,2,20))&lt;100000000,VALUE(MID($C1043,2,20)),1000000000),1000000000))+ROW()/100000,"")</f>
        <v/>
      </c>
    </row>
    <row r="1044">
      <c r="D1044" s="11" t="n"/>
      <c r="K1044" s="7">
        <f>IF($C1044="","",J1044*W1044/100)</f>
        <v/>
      </c>
      <c r="Q1044" s="7" t="n"/>
      <c r="R1044" s="7" t="n"/>
      <c r="U1044">
        <f>IF($C1044="","",IF($AJ1044=1,0,IF($AI1044=1,Settings!$C$6,Settings!$C$7))*100)</f>
        <v/>
      </c>
      <c r="V1044" s="7">
        <f>IF($C1044="","",R1044*U1044/100)</f>
        <v/>
      </c>
      <c r="W1044" s="7">
        <f>IF($C1044="","",R1044-V1044)</f>
        <v/>
      </c>
      <c r="X1044" s="7">
        <f>IF($C1044="","",W1044-K1044)</f>
        <v/>
      </c>
      <c r="AB1044" s="7" t="n"/>
      <c r="AE1044" s="11" t="n"/>
      <c r="AG1044">
        <f>IF($C1044="","",IF(COUNTIF($C$2:$C1044,$C1044)=1,1,0))</f>
        <v/>
      </c>
      <c r="AH1044">
        <f>IF($AG1044=1,SUMPRODUCT(--($AK$2:$AK$6001&lt;$AK1044))+1,"")</f>
        <v/>
      </c>
      <c r="AI1044">
        <f>IF($C1044="","",IF(OR($N1044=TRUE(),$N1044="TRUE"),1,0))</f>
        <v/>
      </c>
      <c r="AJ1044">
        <f>IF($C1044="","",IF($T1044="Yes",1,0))</f>
        <v/>
      </c>
      <c r="AK1044">
        <f>IF($AG1044=1,IFERROR(IF(VALUE($C1044)&lt;100000000,VALUE($C1044),1000000000),IFERROR(IF(VALUE(MID($C1044,2,20))&lt;100000000,VALUE(MID($C1044,2,20)),1000000000),1000000000))+ROW()/100000,"")</f>
        <v/>
      </c>
    </row>
    <row r="1045">
      <c r="D1045" s="11" t="n"/>
      <c r="K1045" s="7">
        <f>IF($C1045="","",J1045*W1045/100)</f>
        <v/>
      </c>
      <c r="Q1045" s="7" t="n"/>
      <c r="R1045" s="7" t="n"/>
      <c r="U1045">
        <f>IF($C1045="","",IF($AJ1045=1,0,IF($AI1045=1,Settings!$C$6,Settings!$C$7))*100)</f>
        <v/>
      </c>
      <c r="V1045" s="7">
        <f>IF($C1045="","",R1045*U1045/100)</f>
        <v/>
      </c>
      <c r="W1045" s="7">
        <f>IF($C1045="","",R1045-V1045)</f>
        <v/>
      </c>
      <c r="X1045" s="7">
        <f>IF($C1045="","",W1045-K1045)</f>
        <v/>
      </c>
      <c r="AB1045" s="7" t="n"/>
      <c r="AE1045" s="11" t="n"/>
      <c r="AG1045">
        <f>IF($C1045="","",IF(COUNTIF($C$2:$C1045,$C1045)=1,1,0))</f>
        <v/>
      </c>
      <c r="AH1045">
        <f>IF($AG1045=1,SUMPRODUCT(--($AK$2:$AK$6001&lt;$AK1045))+1,"")</f>
        <v/>
      </c>
      <c r="AI1045">
        <f>IF($C1045="","",IF(OR($N1045=TRUE(),$N1045="TRUE"),1,0))</f>
        <v/>
      </c>
      <c r="AJ1045">
        <f>IF($C1045="","",IF($T1045="Yes",1,0))</f>
        <v/>
      </c>
      <c r="AK1045">
        <f>IF($AG1045=1,IFERROR(IF(VALUE($C1045)&lt;100000000,VALUE($C1045),1000000000),IFERROR(IF(VALUE(MID($C1045,2,20))&lt;100000000,VALUE(MID($C1045,2,20)),1000000000),1000000000))+ROW()/100000,"")</f>
        <v/>
      </c>
    </row>
    <row r="1046">
      <c r="D1046" s="11" t="n"/>
      <c r="K1046" s="7">
        <f>IF($C1046="","",J1046*W1046/100)</f>
        <v/>
      </c>
      <c r="Q1046" s="7" t="n"/>
      <c r="R1046" s="7" t="n"/>
      <c r="U1046">
        <f>IF($C1046="","",IF($AJ1046=1,0,IF($AI1046=1,Settings!$C$6,Settings!$C$7))*100)</f>
        <v/>
      </c>
      <c r="V1046" s="7">
        <f>IF($C1046="","",R1046*U1046/100)</f>
        <v/>
      </c>
      <c r="W1046" s="7">
        <f>IF($C1046="","",R1046-V1046)</f>
        <v/>
      </c>
      <c r="X1046" s="7">
        <f>IF($C1046="","",W1046-K1046)</f>
        <v/>
      </c>
      <c r="AB1046" s="7" t="n"/>
      <c r="AE1046" s="11" t="n"/>
      <c r="AG1046">
        <f>IF($C1046="","",IF(COUNTIF($C$2:$C1046,$C1046)=1,1,0))</f>
        <v/>
      </c>
      <c r="AH1046">
        <f>IF($AG1046=1,SUMPRODUCT(--($AK$2:$AK$6001&lt;$AK1046))+1,"")</f>
        <v/>
      </c>
      <c r="AI1046">
        <f>IF($C1046="","",IF(OR($N1046=TRUE(),$N1046="TRUE"),1,0))</f>
        <v/>
      </c>
      <c r="AJ1046">
        <f>IF($C1046="","",IF($T1046="Yes",1,0))</f>
        <v/>
      </c>
      <c r="AK1046">
        <f>IF($AG1046=1,IFERROR(IF(VALUE($C1046)&lt;100000000,VALUE($C1046),1000000000),IFERROR(IF(VALUE(MID($C1046,2,20))&lt;100000000,VALUE(MID($C1046,2,20)),1000000000),1000000000))+ROW()/100000,"")</f>
        <v/>
      </c>
    </row>
    <row r="1047">
      <c r="D1047" s="11" t="n"/>
      <c r="K1047" s="7">
        <f>IF($C1047="","",J1047*W1047/100)</f>
        <v/>
      </c>
      <c r="Q1047" s="7" t="n"/>
      <c r="R1047" s="7" t="n"/>
      <c r="U1047">
        <f>IF($C1047="","",IF($AJ1047=1,0,IF($AI1047=1,Settings!$C$6,Settings!$C$7))*100)</f>
        <v/>
      </c>
      <c r="V1047" s="7">
        <f>IF($C1047="","",R1047*U1047/100)</f>
        <v/>
      </c>
      <c r="W1047" s="7">
        <f>IF($C1047="","",R1047-V1047)</f>
        <v/>
      </c>
      <c r="X1047" s="7">
        <f>IF($C1047="","",W1047-K1047)</f>
        <v/>
      </c>
      <c r="AB1047" s="7" t="n"/>
      <c r="AE1047" s="11" t="n"/>
      <c r="AG1047">
        <f>IF($C1047="","",IF(COUNTIF($C$2:$C1047,$C1047)=1,1,0))</f>
        <v/>
      </c>
      <c r="AH1047">
        <f>IF($AG1047=1,SUMPRODUCT(--($AK$2:$AK$6001&lt;$AK1047))+1,"")</f>
        <v/>
      </c>
      <c r="AI1047">
        <f>IF($C1047="","",IF(OR($N1047=TRUE(),$N1047="TRUE"),1,0))</f>
        <v/>
      </c>
      <c r="AJ1047">
        <f>IF($C1047="","",IF($T1047="Yes",1,0))</f>
        <v/>
      </c>
      <c r="AK1047">
        <f>IF($AG1047=1,IFERROR(IF(VALUE($C1047)&lt;100000000,VALUE($C1047),1000000000),IFERROR(IF(VALUE(MID($C1047,2,20))&lt;100000000,VALUE(MID($C1047,2,20)),1000000000),1000000000))+ROW()/100000,"")</f>
        <v/>
      </c>
    </row>
    <row r="1048">
      <c r="D1048" s="11" t="n"/>
      <c r="K1048" s="7">
        <f>IF($C1048="","",J1048*W1048/100)</f>
        <v/>
      </c>
      <c r="Q1048" s="7" t="n"/>
      <c r="R1048" s="7" t="n"/>
      <c r="U1048">
        <f>IF($C1048="","",IF($AJ1048=1,0,IF($AI1048=1,Settings!$C$6,Settings!$C$7))*100)</f>
        <v/>
      </c>
      <c r="V1048" s="7">
        <f>IF($C1048="","",R1048*U1048/100)</f>
        <v/>
      </c>
      <c r="W1048" s="7">
        <f>IF($C1048="","",R1048-V1048)</f>
        <v/>
      </c>
      <c r="X1048" s="7">
        <f>IF($C1048="","",W1048-K1048)</f>
        <v/>
      </c>
      <c r="AB1048" s="7" t="n"/>
      <c r="AE1048" s="11" t="n"/>
      <c r="AG1048">
        <f>IF($C1048="","",IF(COUNTIF($C$2:$C1048,$C1048)=1,1,0))</f>
        <v/>
      </c>
      <c r="AH1048">
        <f>IF($AG1048=1,SUMPRODUCT(--($AK$2:$AK$6001&lt;$AK1048))+1,"")</f>
        <v/>
      </c>
      <c r="AI1048">
        <f>IF($C1048="","",IF(OR($N1048=TRUE(),$N1048="TRUE"),1,0))</f>
        <v/>
      </c>
      <c r="AJ1048">
        <f>IF($C1048="","",IF($T1048="Yes",1,0))</f>
        <v/>
      </c>
      <c r="AK1048">
        <f>IF($AG1048=1,IFERROR(IF(VALUE($C1048)&lt;100000000,VALUE($C1048),1000000000),IFERROR(IF(VALUE(MID($C1048,2,20))&lt;100000000,VALUE(MID($C1048,2,20)),1000000000),1000000000))+ROW()/100000,"")</f>
        <v/>
      </c>
    </row>
    <row r="1049">
      <c r="D1049" s="11" t="n"/>
      <c r="K1049" s="7">
        <f>IF($C1049="","",J1049*W1049/100)</f>
        <v/>
      </c>
      <c r="Q1049" s="7" t="n"/>
      <c r="R1049" s="7" t="n"/>
      <c r="U1049">
        <f>IF($C1049="","",IF($AJ1049=1,0,IF($AI1049=1,Settings!$C$6,Settings!$C$7))*100)</f>
        <v/>
      </c>
      <c r="V1049" s="7">
        <f>IF($C1049="","",R1049*U1049/100)</f>
        <v/>
      </c>
      <c r="W1049" s="7">
        <f>IF($C1049="","",R1049-V1049)</f>
        <v/>
      </c>
      <c r="X1049" s="7">
        <f>IF($C1049="","",W1049-K1049)</f>
        <v/>
      </c>
      <c r="AB1049" s="7" t="n"/>
      <c r="AE1049" s="11" t="n"/>
      <c r="AG1049">
        <f>IF($C1049="","",IF(COUNTIF($C$2:$C1049,$C1049)=1,1,0))</f>
        <v/>
      </c>
      <c r="AH1049">
        <f>IF($AG1049=1,SUMPRODUCT(--($AK$2:$AK$6001&lt;$AK1049))+1,"")</f>
        <v/>
      </c>
      <c r="AI1049">
        <f>IF($C1049="","",IF(OR($N1049=TRUE(),$N1049="TRUE"),1,0))</f>
        <v/>
      </c>
      <c r="AJ1049">
        <f>IF($C1049="","",IF($T1049="Yes",1,0))</f>
        <v/>
      </c>
      <c r="AK1049">
        <f>IF($AG1049=1,IFERROR(IF(VALUE($C1049)&lt;100000000,VALUE($C1049),1000000000),IFERROR(IF(VALUE(MID($C1049,2,20))&lt;100000000,VALUE(MID($C1049,2,20)),1000000000),1000000000))+ROW()/100000,"")</f>
        <v/>
      </c>
    </row>
    <row r="1050">
      <c r="D1050" s="11" t="n"/>
      <c r="K1050" s="7">
        <f>IF($C1050="","",J1050*W1050/100)</f>
        <v/>
      </c>
      <c r="Q1050" s="7" t="n"/>
      <c r="R1050" s="7" t="n"/>
      <c r="U1050">
        <f>IF($C1050="","",IF($AJ1050=1,0,IF($AI1050=1,Settings!$C$6,Settings!$C$7))*100)</f>
        <v/>
      </c>
      <c r="V1050" s="7">
        <f>IF($C1050="","",R1050*U1050/100)</f>
        <v/>
      </c>
      <c r="W1050" s="7">
        <f>IF($C1050="","",R1050-V1050)</f>
        <v/>
      </c>
      <c r="X1050" s="7">
        <f>IF($C1050="","",W1050-K1050)</f>
        <v/>
      </c>
      <c r="AB1050" s="7" t="n"/>
      <c r="AE1050" s="11" t="n"/>
      <c r="AG1050">
        <f>IF($C1050="","",IF(COUNTIF($C$2:$C1050,$C1050)=1,1,0))</f>
        <v/>
      </c>
      <c r="AH1050">
        <f>IF($AG1050=1,SUMPRODUCT(--($AK$2:$AK$6001&lt;$AK1050))+1,"")</f>
        <v/>
      </c>
      <c r="AI1050">
        <f>IF($C1050="","",IF(OR($N1050=TRUE(),$N1050="TRUE"),1,0))</f>
        <v/>
      </c>
      <c r="AJ1050">
        <f>IF($C1050="","",IF($T1050="Yes",1,0))</f>
        <v/>
      </c>
      <c r="AK1050">
        <f>IF($AG1050=1,IFERROR(IF(VALUE($C1050)&lt;100000000,VALUE($C1050),1000000000),IFERROR(IF(VALUE(MID($C1050,2,20))&lt;100000000,VALUE(MID($C1050,2,20)),1000000000),1000000000))+ROW()/100000,"")</f>
        <v/>
      </c>
    </row>
    <row r="1051">
      <c r="D1051" s="11" t="n"/>
      <c r="K1051" s="7">
        <f>IF($C1051="","",J1051*W1051/100)</f>
        <v/>
      </c>
      <c r="Q1051" s="7" t="n"/>
      <c r="R1051" s="7" t="n"/>
      <c r="U1051">
        <f>IF($C1051="","",IF($AJ1051=1,0,IF($AI1051=1,Settings!$C$6,Settings!$C$7))*100)</f>
        <v/>
      </c>
      <c r="V1051" s="7">
        <f>IF($C1051="","",R1051*U1051/100)</f>
        <v/>
      </c>
      <c r="W1051" s="7">
        <f>IF($C1051="","",R1051-V1051)</f>
        <v/>
      </c>
      <c r="X1051" s="7">
        <f>IF($C1051="","",W1051-K1051)</f>
        <v/>
      </c>
      <c r="AB1051" s="7" t="n"/>
      <c r="AE1051" s="11" t="n"/>
      <c r="AG1051">
        <f>IF($C1051="","",IF(COUNTIF($C$2:$C1051,$C1051)=1,1,0))</f>
        <v/>
      </c>
      <c r="AH1051">
        <f>IF($AG1051=1,SUMPRODUCT(--($AK$2:$AK$6001&lt;$AK1051))+1,"")</f>
        <v/>
      </c>
      <c r="AI1051">
        <f>IF($C1051="","",IF(OR($N1051=TRUE(),$N1051="TRUE"),1,0))</f>
        <v/>
      </c>
      <c r="AJ1051">
        <f>IF($C1051="","",IF($T1051="Yes",1,0))</f>
        <v/>
      </c>
      <c r="AK1051">
        <f>IF($AG1051=1,IFERROR(IF(VALUE($C1051)&lt;100000000,VALUE($C1051),1000000000),IFERROR(IF(VALUE(MID($C1051,2,20))&lt;100000000,VALUE(MID($C1051,2,20)),1000000000),1000000000))+ROW()/100000,"")</f>
        <v/>
      </c>
    </row>
    <row r="1052">
      <c r="D1052" s="11" t="n"/>
      <c r="K1052" s="7">
        <f>IF($C1052="","",J1052*W1052/100)</f>
        <v/>
      </c>
      <c r="Q1052" s="7" t="n"/>
      <c r="R1052" s="7" t="n"/>
      <c r="U1052">
        <f>IF($C1052="","",IF($AJ1052=1,0,IF($AI1052=1,Settings!$C$6,Settings!$C$7))*100)</f>
        <v/>
      </c>
      <c r="V1052" s="7">
        <f>IF($C1052="","",R1052*U1052/100)</f>
        <v/>
      </c>
      <c r="W1052" s="7">
        <f>IF($C1052="","",R1052-V1052)</f>
        <v/>
      </c>
      <c r="X1052" s="7">
        <f>IF($C1052="","",W1052-K1052)</f>
        <v/>
      </c>
      <c r="AB1052" s="7" t="n"/>
      <c r="AE1052" s="11" t="n"/>
      <c r="AG1052">
        <f>IF($C1052="","",IF(COUNTIF($C$2:$C1052,$C1052)=1,1,0))</f>
        <v/>
      </c>
      <c r="AH1052">
        <f>IF($AG1052=1,SUMPRODUCT(--($AK$2:$AK$6001&lt;$AK1052))+1,"")</f>
        <v/>
      </c>
      <c r="AI1052">
        <f>IF($C1052="","",IF(OR($N1052=TRUE(),$N1052="TRUE"),1,0))</f>
        <v/>
      </c>
      <c r="AJ1052">
        <f>IF($C1052="","",IF($T1052="Yes",1,0))</f>
        <v/>
      </c>
      <c r="AK1052">
        <f>IF($AG1052=1,IFERROR(IF(VALUE($C1052)&lt;100000000,VALUE($C1052),1000000000),IFERROR(IF(VALUE(MID($C1052,2,20))&lt;100000000,VALUE(MID($C1052,2,20)),1000000000),1000000000))+ROW()/100000,"")</f>
        <v/>
      </c>
    </row>
    <row r="1053">
      <c r="D1053" s="11" t="n"/>
      <c r="K1053" s="7">
        <f>IF($C1053="","",J1053*W1053/100)</f>
        <v/>
      </c>
      <c r="Q1053" s="7" t="n"/>
      <c r="R1053" s="7" t="n"/>
      <c r="U1053">
        <f>IF($C1053="","",IF($AJ1053=1,0,IF($AI1053=1,Settings!$C$6,Settings!$C$7))*100)</f>
        <v/>
      </c>
      <c r="V1053" s="7">
        <f>IF($C1053="","",R1053*U1053/100)</f>
        <v/>
      </c>
      <c r="W1053" s="7">
        <f>IF($C1053="","",R1053-V1053)</f>
        <v/>
      </c>
      <c r="X1053" s="7">
        <f>IF($C1053="","",W1053-K1053)</f>
        <v/>
      </c>
      <c r="AB1053" s="7" t="n"/>
      <c r="AE1053" s="11" t="n"/>
      <c r="AG1053">
        <f>IF($C1053="","",IF(COUNTIF($C$2:$C1053,$C1053)=1,1,0))</f>
        <v/>
      </c>
      <c r="AH1053">
        <f>IF($AG1053=1,SUMPRODUCT(--($AK$2:$AK$6001&lt;$AK1053))+1,"")</f>
        <v/>
      </c>
      <c r="AI1053">
        <f>IF($C1053="","",IF(OR($N1053=TRUE(),$N1053="TRUE"),1,0))</f>
        <v/>
      </c>
      <c r="AJ1053">
        <f>IF($C1053="","",IF($T1053="Yes",1,0))</f>
        <v/>
      </c>
      <c r="AK1053">
        <f>IF($AG1053=1,IFERROR(IF(VALUE($C1053)&lt;100000000,VALUE($C1053),1000000000),IFERROR(IF(VALUE(MID($C1053,2,20))&lt;100000000,VALUE(MID($C1053,2,20)),1000000000),1000000000))+ROW()/100000,"")</f>
        <v/>
      </c>
    </row>
    <row r="1054">
      <c r="D1054" s="11" t="n"/>
      <c r="K1054" s="7">
        <f>IF($C1054="","",J1054*W1054/100)</f>
        <v/>
      </c>
      <c r="Q1054" s="7" t="n"/>
      <c r="R1054" s="7" t="n"/>
      <c r="U1054">
        <f>IF($C1054="","",IF($AJ1054=1,0,IF($AI1054=1,Settings!$C$6,Settings!$C$7))*100)</f>
        <v/>
      </c>
      <c r="V1054" s="7">
        <f>IF($C1054="","",R1054*U1054/100)</f>
        <v/>
      </c>
      <c r="W1054" s="7">
        <f>IF($C1054="","",R1054-V1054)</f>
        <v/>
      </c>
      <c r="X1054" s="7">
        <f>IF($C1054="","",W1054-K1054)</f>
        <v/>
      </c>
      <c r="AB1054" s="7" t="n"/>
      <c r="AE1054" s="11" t="n"/>
      <c r="AG1054">
        <f>IF($C1054="","",IF(COUNTIF($C$2:$C1054,$C1054)=1,1,0))</f>
        <v/>
      </c>
      <c r="AH1054">
        <f>IF($AG1054=1,SUMPRODUCT(--($AK$2:$AK$6001&lt;$AK1054))+1,"")</f>
        <v/>
      </c>
      <c r="AI1054">
        <f>IF($C1054="","",IF(OR($N1054=TRUE(),$N1054="TRUE"),1,0))</f>
        <v/>
      </c>
      <c r="AJ1054">
        <f>IF($C1054="","",IF($T1054="Yes",1,0))</f>
        <v/>
      </c>
      <c r="AK1054">
        <f>IF($AG1054=1,IFERROR(IF(VALUE($C1054)&lt;100000000,VALUE($C1054),1000000000),IFERROR(IF(VALUE(MID($C1054,2,20))&lt;100000000,VALUE(MID($C1054,2,20)),1000000000),1000000000))+ROW()/100000,"")</f>
        <v/>
      </c>
    </row>
    <row r="1055">
      <c r="D1055" s="11" t="n"/>
      <c r="K1055" s="7">
        <f>IF($C1055="","",J1055*W1055/100)</f>
        <v/>
      </c>
      <c r="Q1055" s="7" t="n"/>
      <c r="R1055" s="7" t="n"/>
      <c r="U1055">
        <f>IF($C1055="","",IF($AJ1055=1,0,IF($AI1055=1,Settings!$C$6,Settings!$C$7))*100)</f>
        <v/>
      </c>
      <c r="V1055" s="7">
        <f>IF($C1055="","",R1055*U1055/100)</f>
        <v/>
      </c>
      <c r="W1055" s="7">
        <f>IF($C1055="","",R1055-V1055)</f>
        <v/>
      </c>
      <c r="X1055" s="7">
        <f>IF($C1055="","",W1055-K1055)</f>
        <v/>
      </c>
      <c r="AB1055" s="7" t="n"/>
      <c r="AE1055" s="11" t="n"/>
      <c r="AG1055">
        <f>IF($C1055="","",IF(COUNTIF($C$2:$C1055,$C1055)=1,1,0))</f>
        <v/>
      </c>
      <c r="AH1055">
        <f>IF($AG1055=1,SUMPRODUCT(--($AK$2:$AK$6001&lt;$AK1055))+1,"")</f>
        <v/>
      </c>
      <c r="AI1055">
        <f>IF($C1055="","",IF(OR($N1055=TRUE(),$N1055="TRUE"),1,0))</f>
        <v/>
      </c>
      <c r="AJ1055">
        <f>IF($C1055="","",IF($T1055="Yes",1,0))</f>
        <v/>
      </c>
      <c r="AK1055">
        <f>IF($AG1055=1,IFERROR(IF(VALUE($C1055)&lt;100000000,VALUE($C1055),1000000000),IFERROR(IF(VALUE(MID($C1055,2,20))&lt;100000000,VALUE(MID($C1055,2,20)),1000000000),1000000000))+ROW()/100000,"")</f>
        <v/>
      </c>
    </row>
    <row r="1056">
      <c r="D1056" s="11" t="n"/>
      <c r="K1056" s="7">
        <f>IF($C1056="","",J1056*W1056/100)</f>
        <v/>
      </c>
      <c r="Q1056" s="7" t="n"/>
      <c r="R1056" s="7" t="n"/>
      <c r="U1056">
        <f>IF($C1056="","",IF($AJ1056=1,0,IF($AI1056=1,Settings!$C$6,Settings!$C$7))*100)</f>
        <v/>
      </c>
      <c r="V1056" s="7">
        <f>IF($C1056="","",R1056*U1056/100)</f>
        <v/>
      </c>
      <c r="W1056" s="7">
        <f>IF($C1056="","",R1056-V1056)</f>
        <v/>
      </c>
      <c r="X1056" s="7">
        <f>IF($C1056="","",W1056-K1056)</f>
        <v/>
      </c>
      <c r="AB1056" s="7" t="n"/>
      <c r="AE1056" s="11" t="n"/>
      <c r="AG1056">
        <f>IF($C1056="","",IF(COUNTIF($C$2:$C1056,$C1056)=1,1,0))</f>
        <v/>
      </c>
      <c r="AH1056">
        <f>IF($AG1056=1,SUMPRODUCT(--($AK$2:$AK$6001&lt;$AK1056))+1,"")</f>
        <v/>
      </c>
      <c r="AI1056">
        <f>IF($C1056="","",IF(OR($N1056=TRUE(),$N1056="TRUE"),1,0))</f>
        <v/>
      </c>
      <c r="AJ1056">
        <f>IF($C1056="","",IF($T1056="Yes",1,0))</f>
        <v/>
      </c>
      <c r="AK1056">
        <f>IF($AG1056=1,IFERROR(IF(VALUE($C1056)&lt;100000000,VALUE($C1056),1000000000),IFERROR(IF(VALUE(MID($C1056,2,20))&lt;100000000,VALUE(MID($C1056,2,20)),1000000000),1000000000))+ROW()/100000,"")</f>
        <v/>
      </c>
    </row>
    <row r="1057">
      <c r="D1057" s="11" t="n"/>
      <c r="K1057" s="7">
        <f>IF($C1057="","",J1057*W1057/100)</f>
        <v/>
      </c>
      <c r="Q1057" s="7" t="n"/>
      <c r="R1057" s="7" t="n"/>
      <c r="U1057">
        <f>IF($C1057="","",IF($AJ1057=1,0,IF($AI1057=1,Settings!$C$6,Settings!$C$7))*100)</f>
        <v/>
      </c>
      <c r="V1057" s="7">
        <f>IF($C1057="","",R1057*U1057/100)</f>
        <v/>
      </c>
      <c r="W1057" s="7">
        <f>IF($C1057="","",R1057-V1057)</f>
        <v/>
      </c>
      <c r="X1057" s="7">
        <f>IF($C1057="","",W1057-K1057)</f>
        <v/>
      </c>
      <c r="AB1057" s="7" t="n"/>
      <c r="AE1057" s="11" t="n"/>
      <c r="AG1057">
        <f>IF($C1057="","",IF(COUNTIF($C$2:$C1057,$C1057)=1,1,0))</f>
        <v/>
      </c>
      <c r="AH1057">
        <f>IF($AG1057=1,SUMPRODUCT(--($AK$2:$AK$6001&lt;$AK1057))+1,"")</f>
        <v/>
      </c>
      <c r="AI1057">
        <f>IF($C1057="","",IF(OR($N1057=TRUE(),$N1057="TRUE"),1,0))</f>
        <v/>
      </c>
      <c r="AJ1057">
        <f>IF($C1057="","",IF($T1057="Yes",1,0))</f>
        <v/>
      </c>
      <c r="AK1057">
        <f>IF($AG1057=1,IFERROR(IF(VALUE($C1057)&lt;100000000,VALUE($C1057),1000000000),IFERROR(IF(VALUE(MID($C1057,2,20))&lt;100000000,VALUE(MID($C1057,2,20)),1000000000),1000000000))+ROW()/100000,"")</f>
        <v/>
      </c>
    </row>
    <row r="1058">
      <c r="D1058" s="11" t="n"/>
      <c r="K1058" s="7">
        <f>IF($C1058="","",J1058*W1058/100)</f>
        <v/>
      </c>
      <c r="Q1058" s="7" t="n"/>
      <c r="R1058" s="7" t="n"/>
      <c r="U1058">
        <f>IF($C1058="","",IF($AJ1058=1,0,IF($AI1058=1,Settings!$C$6,Settings!$C$7))*100)</f>
        <v/>
      </c>
      <c r="V1058" s="7">
        <f>IF($C1058="","",R1058*U1058/100)</f>
        <v/>
      </c>
      <c r="W1058" s="7">
        <f>IF($C1058="","",R1058-V1058)</f>
        <v/>
      </c>
      <c r="X1058" s="7">
        <f>IF($C1058="","",W1058-K1058)</f>
        <v/>
      </c>
      <c r="AB1058" s="7" t="n"/>
      <c r="AE1058" s="11" t="n"/>
      <c r="AG1058">
        <f>IF($C1058="","",IF(COUNTIF($C$2:$C1058,$C1058)=1,1,0))</f>
        <v/>
      </c>
      <c r="AH1058">
        <f>IF($AG1058=1,SUMPRODUCT(--($AK$2:$AK$6001&lt;$AK1058))+1,"")</f>
        <v/>
      </c>
      <c r="AI1058">
        <f>IF($C1058="","",IF(OR($N1058=TRUE(),$N1058="TRUE"),1,0))</f>
        <v/>
      </c>
      <c r="AJ1058">
        <f>IF($C1058="","",IF($T1058="Yes",1,0))</f>
        <v/>
      </c>
      <c r="AK1058">
        <f>IF($AG1058=1,IFERROR(IF(VALUE($C1058)&lt;100000000,VALUE($C1058),1000000000),IFERROR(IF(VALUE(MID($C1058,2,20))&lt;100000000,VALUE(MID($C1058,2,20)),1000000000),1000000000))+ROW()/100000,"")</f>
        <v/>
      </c>
    </row>
    <row r="1059">
      <c r="D1059" s="11" t="n"/>
      <c r="K1059" s="7">
        <f>IF($C1059="","",J1059*W1059/100)</f>
        <v/>
      </c>
      <c r="Q1059" s="7" t="n"/>
      <c r="R1059" s="7" t="n"/>
      <c r="U1059">
        <f>IF($C1059="","",IF($AJ1059=1,0,IF($AI1059=1,Settings!$C$6,Settings!$C$7))*100)</f>
        <v/>
      </c>
      <c r="V1059" s="7">
        <f>IF($C1059="","",R1059*U1059/100)</f>
        <v/>
      </c>
      <c r="W1059" s="7">
        <f>IF($C1059="","",R1059-V1059)</f>
        <v/>
      </c>
      <c r="X1059" s="7">
        <f>IF($C1059="","",W1059-K1059)</f>
        <v/>
      </c>
      <c r="AB1059" s="7" t="n"/>
      <c r="AE1059" s="11" t="n"/>
      <c r="AG1059">
        <f>IF($C1059="","",IF(COUNTIF($C$2:$C1059,$C1059)=1,1,0))</f>
        <v/>
      </c>
      <c r="AH1059">
        <f>IF($AG1059=1,SUMPRODUCT(--($AK$2:$AK$6001&lt;$AK1059))+1,"")</f>
        <v/>
      </c>
      <c r="AI1059">
        <f>IF($C1059="","",IF(OR($N1059=TRUE(),$N1059="TRUE"),1,0))</f>
        <v/>
      </c>
      <c r="AJ1059">
        <f>IF($C1059="","",IF($T1059="Yes",1,0))</f>
        <v/>
      </c>
      <c r="AK1059">
        <f>IF($AG1059=1,IFERROR(IF(VALUE($C1059)&lt;100000000,VALUE($C1059),1000000000),IFERROR(IF(VALUE(MID($C1059,2,20))&lt;100000000,VALUE(MID($C1059,2,20)),1000000000),1000000000))+ROW()/100000,"")</f>
        <v/>
      </c>
    </row>
    <row r="1060">
      <c r="D1060" s="11" t="n"/>
      <c r="K1060" s="7">
        <f>IF($C1060="","",J1060*W1060/100)</f>
        <v/>
      </c>
      <c r="Q1060" s="7" t="n"/>
      <c r="R1060" s="7" t="n"/>
      <c r="U1060">
        <f>IF($C1060="","",IF($AJ1060=1,0,IF($AI1060=1,Settings!$C$6,Settings!$C$7))*100)</f>
        <v/>
      </c>
      <c r="V1060" s="7">
        <f>IF($C1060="","",R1060*U1060/100)</f>
        <v/>
      </c>
      <c r="W1060" s="7">
        <f>IF($C1060="","",R1060-V1060)</f>
        <v/>
      </c>
      <c r="X1060" s="7">
        <f>IF($C1060="","",W1060-K1060)</f>
        <v/>
      </c>
      <c r="AB1060" s="7" t="n"/>
      <c r="AE1060" s="11" t="n"/>
      <c r="AG1060">
        <f>IF($C1060="","",IF(COUNTIF($C$2:$C1060,$C1060)=1,1,0))</f>
        <v/>
      </c>
      <c r="AH1060">
        <f>IF($AG1060=1,SUMPRODUCT(--($AK$2:$AK$6001&lt;$AK1060))+1,"")</f>
        <v/>
      </c>
      <c r="AI1060">
        <f>IF($C1060="","",IF(OR($N1060=TRUE(),$N1060="TRUE"),1,0))</f>
        <v/>
      </c>
      <c r="AJ1060">
        <f>IF($C1060="","",IF($T1060="Yes",1,0))</f>
        <v/>
      </c>
      <c r="AK1060">
        <f>IF($AG1060=1,IFERROR(IF(VALUE($C1060)&lt;100000000,VALUE($C1060),1000000000),IFERROR(IF(VALUE(MID($C1060,2,20))&lt;100000000,VALUE(MID($C1060,2,20)),1000000000),1000000000))+ROW()/100000,"")</f>
        <v/>
      </c>
    </row>
    <row r="1061">
      <c r="D1061" s="11" t="n"/>
      <c r="K1061" s="7">
        <f>IF($C1061="","",J1061*W1061/100)</f>
        <v/>
      </c>
      <c r="Q1061" s="7" t="n"/>
      <c r="R1061" s="7" t="n"/>
      <c r="U1061">
        <f>IF($C1061="","",IF($AJ1061=1,0,IF($AI1061=1,Settings!$C$6,Settings!$C$7))*100)</f>
        <v/>
      </c>
      <c r="V1061" s="7">
        <f>IF($C1061="","",R1061*U1061/100)</f>
        <v/>
      </c>
      <c r="W1061" s="7">
        <f>IF($C1061="","",R1061-V1061)</f>
        <v/>
      </c>
      <c r="X1061" s="7">
        <f>IF($C1061="","",W1061-K1061)</f>
        <v/>
      </c>
      <c r="AB1061" s="7" t="n"/>
      <c r="AE1061" s="11" t="n"/>
      <c r="AG1061">
        <f>IF($C1061="","",IF(COUNTIF($C$2:$C1061,$C1061)=1,1,0))</f>
        <v/>
      </c>
      <c r="AH1061">
        <f>IF($AG1061=1,SUMPRODUCT(--($AK$2:$AK$6001&lt;$AK1061))+1,"")</f>
        <v/>
      </c>
      <c r="AI1061">
        <f>IF($C1061="","",IF(OR($N1061=TRUE(),$N1061="TRUE"),1,0))</f>
        <v/>
      </c>
      <c r="AJ1061">
        <f>IF($C1061="","",IF($T1061="Yes",1,0))</f>
        <v/>
      </c>
      <c r="AK1061">
        <f>IF($AG1061=1,IFERROR(IF(VALUE($C1061)&lt;100000000,VALUE($C1061),1000000000),IFERROR(IF(VALUE(MID($C1061,2,20))&lt;100000000,VALUE(MID($C1061,2,20)),1000000000),1000000000))+ROW()/100000,"")</f>
        <v/>
      </c>
    </row>
    <row r="1062">
      <c r="D1062" s="11" t="n"/>
      <c r="K1062" s="7">
        <f>IF($C1062="","",J1062*W1062/100)</f>
        <v/>
      </c>
      <c r="Q1062" s="7" t="n"/>
      <c r="R1062" s="7" t="n"/>
      <c r="U1062">
        <f>IF($C1062="","",IF($AJ1062=1,0,IF($AI1062=1,Settings!$C$6,Settings!$C$7))*100)</f>
        <v/>
      </c>
      <c r="V1062" s="7">
        <f>IF($C1062="","",R1062*U1062/100)</f>
        <v/>
      </c>
      <c r="W1062" s="7">
        <f>IF($C1062="","",R1062-V1062)</f>
        <v/>
      </c>
      <c r="X1062" s="7">
        <f>IF($C1062="","",W1062-K1062)</f>
        <v/>
      </c>
      <c r="AB1062" s="7" t="n"/>
      <c r="AE1062" s="11" t="n"/>
      <c r="AG1062">
        <f>IF($C1062="","",IF(COUNTIF($C$2:$C1062,$C1062)=1,1,0))</f>
        <v/>
      </c>
      <c r="AH1062">
        <f>IF($AG1062=1,SUMPRODUCT(--($AK$2:$AK$6001&lt;$AK1062))+1,"")</f>
        <v/>
      </c>
      <c r="AI1062">
        <f>IF($C1062="","",IF(OR($N1062=TRUE(),$N1062="TRUE"),1,0))</f>
        <v/>
      </c>
      <c r="AJ1062">
        <f>IF($C1062="","",IF($T1062="Yes",1,0))</f>
        <v/>
      </c>
      <c r="AK1062">
        <f>IF($AG1062=1,IFERROR(IF(VALUE($C1062)&lt;100000000,VALUE($C1062),1000000000),IFERROR(IF(VALUE(MID($C1062,2,20))&lt;100000000,VALUE(MID($C1062,2,20)),1000000000),1000000000))+ROW()/100000,"")</f>
        <v/>
      </c>
    </row>
    <row r="1063">
      <c r="D1063" s="11" t="n"/>
      <c r="K1063" s="7">
        <f>IF($C1063="","",J1063*W1063/100)</f>
        <v/>
      </c>
      <c r="Q1063" s="7" t="n"/>
      <c r="R1063" s="7" t="n"/>
      <c r="U1063">
        <f>IF($C1063="","",IF($AJ1063=1,0,IF($AI1063=1,Settings!$C$6,Settings!$C$7))*100)</f>
        <v/>
      </c>
      <c r="V1063" s="7">
        <f>IF($C1063="","",R1063*U1063/100)</f>
        <v/>
      </c>
      <c r="W1063" s="7">
        <f>IF($C1063="","",R1063-V1063)</f>
        <v/>
      </c>
      <c r="X1063" s="7">
        <f>IF($C1063="","",W1063-K1063)</f>
        <v/>
      </c>
      <c r="AB1063" s="7" t="n"/>
      <c r="AE1063" s="11" t="n"/>
      <c r="AG1063">
        <f>IF($C1063="","",IF(COUNTIF($C$2:$C1063,$C1063)=1,1,0))</f>
        <v/>
      </c>
      <c r="AH1063">
        <f>IF($AG1063=1,SUMPRODUCT(--($AK$2:$AK$6001&lt;$AK1063))+1,"")</f>
        <v/>
      </c>
      <c r="AI1063">
        <f>IF($C1063="","",IF(OR($N1063=TRUE(),$N1063="TRUE"),1,0))</f>
        <v/>
      </c>
      <c r="AJ1063">
        <f>IF($C1063="","",IF($T1063="Yes",1,0))</f>
        <v/>
      </c>
      <c r="AK1063">
        <f>IF($AG1063=1,IFERROR(IF(VALUE($C1063)&lt;100000000,VALUE($C1063),1000000000),IFERROR(IF(VALUE(MID($C1063,2,20))&lt;100000000,VALUE(MID($C1063,2,20)),1000000000),1000000000))+ROW()/100000,"")</f>
        <v/>
      </c>
    </row>
    <row r="1064">
      <c r="D1064" s="11" t="n"/>
      <c r="K1064" s="7">
        <f>IF($C1064="","",J1064*W1064/100)</f>
        <v/>
      </c>
      <c r="Q1064" s="7" t="n"/>
      <c r="R1064" s="7" t="n"/>
      <c r="U1064">
        <f>IF($C1064="","",IF($AJ1064=1,0,IF($AI1064=1,Settings!$C$6,Settings!$C$7))*100)</f>
        <v/>
      </c>
      <c r="V1064" s="7">
        <f>IF($C1064="","",R1064*U1064/100)</f>
        <v/>
      </c>
      <c r="W1064" s="7">
        <f>IF($C1064="","",R1064-V1064)</f>
        <v/>
      </c>
      <c r="X1064" s="7">
        <f>IF($C1064="","",W1064-K1064)</f>
        <v/>
      </c>
      <c r="AB1064" s="7" t="n"/>
      <c r="AE1064" s="11" t="n"/>
      <c r="AG1064">
        <f>IF($C1064="","",IF(COUNTIF($C$2:$C1064,$C1064)=1,1,0))</f>
        <v/>
      </c>
      <c r="AH1064">
        <f>IF($AG1064=1,SUMPRODUCT(--($AK$2:$AK$6001&lt;$AK1064))+1,"")</f>
        <v/>
      </c>
      <c r="AI1064">
        <f>IF($C1064="","",IF(OR($N1064=TRUE(),$N1064="TRUE"),1,0))</f>
        <v/>
      </c>
      <c r="AJ1064">
        <f>IF($C1064="","",IF($T1064="Yes",1,0))</f>
        <v/>
      </c>
      <c r="AK1064">
        <f>IF($AG1064=1,IFERROR(IF(VALUE($C1064)&lt;100000000,VALUE($C1064),1000000000),IFERROR(IF(VALUE(MID($C1064,2,20))&lt;100000000,VALUE(MID($C1064,2,20)),1000000000),1000000000))+ROW()/100000,"")</f>
        <v/>
      </c>
    </row>
    <row r="1065">
      <c r="D1065" s="11" t="n"/>
      <c r="K1065" s="7">
        <f>IF($C1065="","",J1065*W1065/100)</f>
        <v/>
      </c>
      <c r="Q1065" s="7" t="n"/>
      <c r="R1065" s="7" t="n"/>
      <c r="U1065">
        <f>IF($C1065="","",IF($AJ1065=1,0,IF($AI1065=1,Settings!$C$6,Settings!$C$7))*100)</f>
        <v/>
      </c>
      <c r="V1065" s="7">
        <f>IF($C1065="","",R1065*U1065/100)</f>
        <v/>
      </c>
      <c r="W1065" s="7">
        <f>IF($C1065="","",R1065-V1065)</f>
        <v/>
      </c>
      <c r="X1065" s="7">
        <f>IF($C1065="","",W1065-K1065)</f>
        <v/>
      </c>
      <c r="AB1065" s="7" t="n"/>
      <c r="AE1065" s="11" t="n"/>
      <c r="AG1065">
        <f>IF($C1065="","",IF(COUNTIF($C$2:$C1065,$C1065)=1,1,0))</f>
        <v/>
      </c>
      <c r="AH1065">
        <f>IF($AG1065=1,SUMPRODUCT(--($AK$2:$AK$6001&lt;$AK1065))+1,"")</f>
        <v/>
      </c>
      <c r="AI1065">
        <f>IF($C1065="","",IF(OR($N1065=TRUE(),$N1065="TRUE"),1,0))</f>
        <v/>
      </c>
      <c r="AJ1065">
        <f>IF($C1065="","",IF($T1065="Yes",1,0))</f>
        <v/>
      </c>
      <c r="AK1065">
        <f>IF($AG1065=1,IFERROR(IF(VALUE($C1065)&lt;100000000,VALUE($C1065),1000000000),IFERROR(IF(VALUE(MID($C1065,2,20))&lt;100000000,VALUE(MID($C1065,2,20)),1000000000),1000000000))+ROW()/100000,"")</f>
        <v/>
      </c>
    </row>
    <row r="1066">
      <c r="D1066" s="11" t="n"/>
      <c r="K1066" s="7">
        <f>IF($C1066="","",J1066*W1066/100)</f>
        <v/>
      </c>
      <c r="Q1066" s="7" t="n"/>
      <c r="R1066" s="7" t="n"/>
      <c r="U1066">
        <f>IF($C1066="","",IF($AJ1066=1,0,IF($AI1066=1,Settings!$C$6,Settings!$C$7))*100)</f>
        <v/>
      </c>
      <c r="V1066" s="7">
        <f>IF($C1066="","",R1066*U1066/100)</f>
        <v/>
      </c>
      <c r="W1066" s="7">
        <f>IF($C1066="","",R1066-V1066)</f>
        <v/>
      </c>
      <c r="X1066" s="7">
        <f>IF($C1066="","",W1066-K1066)</f>
        <v/>
      </c>
      <c r="AB1066" s="7" t="n"/>
      <c r="AE1066" s="11" t="n"/>
      <c r="AG1066">
        <f>IF($C1066="","",IF(COUNTIF($C$2:$C1066,$C1066)=1,1,0))</f>
        <v/>
      </c>
      <c r="AH1066">
        <f>IF($AG1066=1,SUMPRODUCT(--($AK$2:$AK$6001&lt;$AK1066))+1,"")</f>
        <v/>
      </c>
      <c r="AI1066">
        <f>IF($C1066="","",IF(OR($N1066=TRUE(),$N1066="TRUE"),1,0))</f>
        <v/>
      </c>
      <c r="AJ1066">
        <f>IF($C1066="","",IF($T1066="Yes",1,0))</f>
        <v/>
      </c>
      <c r="AK1066">
        <f>IF($AG1066=1,IFERROR(IF(VALUE($C1066)&lt;100000000,VALUE($C1066),1000000000),IFERROR(IF(VALUE(MID($C1066,2,20))&lt;100000000,VALUE(MID($C1066,2,20)),1000000000),1000000000))+ROW()/100000,"")</f>
        <v/>
      </c>
    </row>
    <row r="1067">
      <c r="D1067" s="11" t="n"/>
      <c r="K1067" s="7">
        <f>IF($C1067="","",J1067*W1067/100)</f>
        <v/>
      </c>
      <c r="Q1067" s="7" t="n"/>
      <c r="R1067" s="7" t="n"/>
      <c r="U1067">
        <f>IF($C1067="","",IF($AJ1067=1,0,IF($AI1067=1,Settings!$C$6,Settings!$C$7))*100)</f>
        <v/>
      </c>
      <c r="V1067" s="7">
        <f>IF($C1067="","",R1067*U1067/100)</f>
        <v/>
      </c>
      <c r="W1067" s="7">
        <f>IF($C1067="","",R1067-V1067)</f>
        <v/>
      </c>
      <c r="X1067" s="7">
        <f>IF($C1067="","",W1067-K1067)</f>
        <v/>
      </c>
      <c r="AB1067" s="7" t="n"/>
      <c r="AE1067" s="11" t="n"/>
      <c r="AG1067">
        <f>IF($C1067="","",IF(COUNTIF($C$2:$C1067,$C1067)=1,1,0))</f>
        <v/>
      </c>
      <c r="AH1067">
        <f>IF($AG1067=1,SUMPRODUCT(--($AK$2:$AK$6001&lt;$AK1067))+1,"")</f>
        <v/>
      </c>
      <c r="AI1067">
        <f>IF($C1067="","",IF(OR($N1067=TRUE(),$N1067="TRUE"),1,0))</f>
        <v/>
      </c>
      <c r="AJ1067">
        <f>IF($C1067="","",IF($T1067="Yes",1,0))</f>
        <v/>
      </c>
      <c r="AK1067">
        <f>IF($AG1067=1,IFERROR(IF(VALUE($C1067)&lt;100000000,VALUE($C1067),1000000000),IFERROR(IF(VALUE(MID($C1067,2,20))&lt;100000000,VALUE(MID($C1067,2,20)),1000000000),1000000000))+ROW()/100000,"")</f>
        <v/>
      </c>
    </row>
    <row r="1068">
      <c r="D1068" s="11" t="n"/>
      <c r="K1068" s="7">
        <f>IF($C1068="","",J1068*W1068/100)</f>
        <v/>
      </c>
      <c r="Q1068" s="7" t="n"/>
      <c r="R1068" s="7" t="n"/>
      <c r="U1068">
        <f>IF($C1068="","",IF($AJ1068=1,0,IF($AI1068=1,Settings!$C$6,Settings!$C$7))*100)</f>
        <v/>
      </c>
      <c r="V1068" s="7">
        <f>IF($C1068="","",R1068*U1068/100)</f>
        <v/>
      </c>
      <c r="W1068" s="7">
        <f>IF($C1068="","",R1068-V1068)</f>
        <v/>
      </c>
      <c r="X1068" s="7">
        <f>IF($C1068="","",W1068-K1068)</f>
        <v/>
      </c>
      <c r="AB1068" s="7" t="n"/>
      <c r="AE1068" s="11" t="n"/>
      <c r="AG1068">
        <f>IF($C1068="","",IF(COUNTIF($C$2:$C1068,$C1068)=1,1,0))</f>
        <v/>
      </c>
      <c r="AH1068">
        <f>IF($AG1068=1,SUMPRODUCT(--($AK$2:$AK$6001&lt;$AK1068))+1,"")</f>
        <v/>
      </c>
      <c r="AI1068">
        <f>IF($C1068="","",IF(OR($N1068=TRUE(),$N1068="TRUE"),1,0))</f>
        <v/>
      </c>
      <c r="AJ1068">
        <f>IF($C1068="","",IF($T1068="Yes",1,0))</f>
        <v/>
      </c>
      <c r="AK1068">
        <f>IF($AG1068=1,IFERROR(IF(VALUE($C1068)&lt;100000000,VALUE($C1068),1000000000),IFERROR(IF(VALUE(MID($C1068,2,20))&lt;100000000,VALUE(MID($C1068,2,20)),1000000000),1000000000))+ROW()/100000,"")</f>
        <v/>
      </c>
    </row>
    <row r="1069">
      <c r="D1069" s="11" t="n"/>
      <c r="K1069" s="7">
        <f>IF($C1069="","",J1069*W1069/100)</f>
        <v/>
      </c>
      <c r="Q1069" s="7" t="n"/>
      <c r="R1069" s="7" t="n"/>
      <c r="U1069">
        <f>IF($C1069="","",IF($AJ1069=1,0,IF($AI1069=1,Settings!$C$6,Settings!$C$7))*100)</f>
        <v/>
      </c>
      <c r="V1069" s="7">
        <f>IF($C1069="","",R1069*U1069/100)</f>
        <v/>
      </c>
      <c r="W1069" s="7">
        <f>IF($C1069="","",R1069-V1069)</f>
        <v/>
      </c>
      <c r="X1069" s="7">
        <f>IF($C1069="","",W1069-K1069)</f>
        <v/>
      </c>
      <c r="AB1069" s="7" t="n"/>
      <c r="AE1069" s="11" t="n"/>
      <c r="AG1069">
        <f>IF($C1069="","",IF(COUNTIF($C$2:$C1069,$C1069)=1,1,0))</f>
        <v/>
      </c>
      <c r="AH1069">
        <f>IF($AG1069=1,SUMPRODUCT(--($AK$2:$AK$6001&lt;$AK1069))+1,"")</f>
        <v/>
      </c>
      <c r="AI1069">
        <f>IF($C1069="","",IF(OR($N1069=TRUE(),$N1069="TRUE"),1,0))</f>
        <v/>
      </c>
      <c r="AJ1069">
        <f>IF($C1069="","",IF($T1069="Yes",1,0))</f>
        <v/>
      </c>
      <c r="AK1069">
        <f>IF($AG1069=1,IFERROR(IF(VALUE($C1069)&lt;100000000,VALUE($C1069),1000000000),IFERROR(IF(VALUE(MID($C1069,2,20))&lt;100000000,VALUE(MID($C1069,2,20)),1000000000),1000000000))+ROW()/100000,"")</f>
        <v/>
      </c>
    </row>
    <row r="1070">
      <c r="D1070" s="11" t="n"/>
      <c r="K1070" s="7">
        <f>IF($C1070="","",J1070*W1070/100)</f>
        <v/>
      </c>
      <c r="Q1070" s="7" t="n"/>
      <c r="R1070" s="7" t="n"/>
      <c r="U1070">
        <f>IF($C1070="","",IF($AJ1070=1,0,IF($AI1070=1,Settings!$C$6,Settings!$C$7))*100)</f>
        <v/>
      </c>
      <c r="V1070" s="7">
        <f>IF($C1070="","",R1070*U1070/100)</f>
        <v/>
      </c>
      <c r="W1070" s="7">
        <f>IF($C1070="","",R1070-V1070)</f>
        <v/>
      </c>
      <c r="X1070" s="7">
        <f>IF($C1070="","",W1070-K1070)</f>
        <v/>
      </c>
      <c r="AB1070" s="7" t="n"/>
      <c r="AE1070" s="11" t="n"/>
      <c r="AG1070">
        <f>IF($C1070="","",IF(COUNTIF($C$2:$C1070,$C1070)=1,1,0))</f>
        <v/>
      </c>
      <c r="AH1070">
        <f>IF($AG1070=1,SUMPRODUCT(--($AK$2:$AK$6001&lt;$AK1070))+1,"")</f>
        <v/>
      </c>
      <c r="AI1070">
        <f>IF($C1070="","",IF(OR($N1070=TRUE(),$N1070="TRUE"),1,0))</f>
        <v/>
      </c>
      <c r="AJ1070">
        <f>IF($C1070="","",IF($T1070="Yes",1,0))</f>
        <v/>
      </c>
      <c r="AK1070">
        <f>IF($AG1070=1,IFERROR(IF(VALUE($C1070)&lt;100000000,VALUE($C1070),1000000000),IFERROR(IF(VALUE(MID($C1070,2,20))&lt;100000000,VALUE(MID($C1070,2,20)),1000000000),1000000000))+ROW()/100000,"")</f>
        <v/>
      </c>
    </row>
    <row r="1071">
      <c r="D1071" s="11" t="n"/>
      <c r="K1071" s="7">
        <f>IF($C1071="","",J1071*W1071/100)</f>
        <v/>
      </c>
      <c r="Q1071" s="7" t="n"/>
      <c r="R1071" s="7" t="n"/>
      <c r="U1071">
        <f>IF($C1071="","",IF($AJ1071=1,0,IF($AI1071=1,Settings!$C$6,Settings!$C$7))*100)</f>
        <v/>
      </c>
      <c r="V1071" s="7">
        <f>IF($C1071="","",R1071*U1071/100)</f>
        <v/>
      </c>
      <c r="W1071" s="7">
        <f>IF($C1071="","",R1071-V1071)</f>
        <v/>
      </c>
      <c r="X1071" s="7">
        <f>IF($C1071="","",W1071-K1071)</f>
        <v/>
      </c>
      <c r="AB1071" s="7" t="n"/>
      <c r="AE1071" s="11" t="n"/>
      <c r="AG1071">
        <f>IF($C1071="","",IF(COUNTIF($C$2:$C1071,$C1071)=1,1,0))</f>
        <v/>
      </c>
      <c r="AH1071">
        <f>IF($AG1071=1,SUMPRODUCT(--($AK$2:$AK$6001&lt;$AK1071))+1,"")</f>
        <v/>
      </c>
      <c r="AI1071">
        <f>IF($C1071="","",IF(OR($N1071=TRUE(),$N1071="TRUE"),1,0))</f>
        <v/>
      </c>
      <c r="AJ1071">
        <f>IF($C1071="","",IF($T1071="Yes",1,0))</f>
        <v/>
      </c>
      <c r="AK1071">
        <f>IF($AG1071=1,IFERROR(IF(VALUE($C1071)&lt;100000000,VALUE($C1071),1000000000),IFERROR(IF(VALUE(MID($C1071,2,20))&lt;100000000,VALUE(MID($C1071,2,20)),1000000000),1000000000))+ROW()/100000,"")</f>
        <v/>
      </c>
    </row>
    <row r="1072">
      <c r="D1072" s="11" t="n"/>
      <c r="K1072" s="7">
        <f>IF($C1072="","",J1072*W1072/100)</f>
        <v/>
      </c>
      <c r="Q1072" s="7" t="n"/>
      <c r="R1072" s="7" t="n"/>
      <c r="U1072">
        <f>IF($C1072="","",IF($AJ1072=1,0,IF($AI1072=1,Settings!$C$6,Settings!$C$7))*100)</f>
        <v/>
      </c>
      <c r="V1072" s="7">
        <f>IF($C1072="","",R1072*U1072/100)</f>
        <v/>
      </c>
      <c r="W1072" s="7">
        <f>IF($C1072="","",R1072-V1072)</f>
        <v/>
      </c>
      <c r="X1072" s="7">
        <f>IF($C1072="","",W1072-K1072)</f>
        <v/>
      </c>
      <c r="AB1072" s="7" t="n"/>
      <c r="AE1072" s="11" t="n"/>
      <c r="AG1072">
        <f>IF($C1072="","",IF(COUNTIF($C$2:$C1072,$C1072)=1,1,0))</f>
        <v/>
      </c>
      <c r="AH1072">
        <f>IF($AG1072=1,SUMPRODUCT(--($AK$2:$AK$6001&lt;$AK1072))+1,"")</f>
        <v/>
      </c>
      <c r="AI1072">
        <f>IF($C1072="","",IF(OR($N1072=TRUE(),$N1072="TRUE"),1,0))</f>
        <v/>
      </c>
      <c r="AJ1072">
        <f>IF($C1072="","",IF($T1072="Yes",1,0))</f>
        <v/>
      </c>
      <c r="AK1072">
        <f>IF($AG1072=1,IFERROR(IF(VALUE($C1072)&lt;100000000,VALUE($C1072),1000000000),IFERROR(IF(VALUE(MID($C1072,2,20))&lt;100000000,VALUE(MID($C1072,2,20)),1000000000),1000000000))+ROW()/100000,"")</f>
        <v/>
      </c>
    </row>
    <row r="1073">
      <c r="D1073" s="11" t="n"/>
      <c r="K1073" s="7">
        <f>IF($C1073="","",J1073*W1073/100)</f>
        <v/>
      </c>
      <c r="Q1073" s="7" t="n"/>
      <c r="R1073" s="7" t="n"/>
      <c r="U1073">
        <f>IF($C1073="","",IF($AJ1073=1,0,IF($AI1073=1,Settings!$C$6,Settings!$C$7))*100)</f>
        <v/>
      </c>
      <c r="V1073" s="7">
        <f>IF($C1073="","",R1073*U1073/100)</f>
        <v/>
      </c>
      <c r="W1073" s="7">
        <f>IF($C1073="","",R1073-V1073)</f>
        <v/>
      </c>
      <c r="X1073" s="7">
        <f>IF($C1073="","",W1073-K1073)</f>
        <v/>
      </c>
      <c r="AB1073" s="7" t="n"/>
      <c r="AE1073" s="11" t="n"/>
      <c r="AG1073">
        <f>IF($C1073="","",IF(COUNTIF($C$2:$C1073,$C1073)=1,1,0))</f>
        <v/>
      </c>
      <c r="AH1073">
        <f>IF($AG1073=1,SUMPRODUCT(--($AK$2:$AK$6001&lt;$AK1073))+1,"")</f>
        <v/>
      </c>
      <c r="AI1073">
        <f>IF($C1073="","",IF(OR($N1073=TRUE(),$N1073="TRUE"),1,0))</f>
        <v/>
      </c>
      <c r="AJ1073">
        <f>IF($C1073="","",IF($T1073="Yes",1,0))</f>
        <v/>
      </c>
      <c r="AK1073">
        <f>IF($AG1073=1,IFERROR(IF(VALUE($C1073)&lt;100000000,VALUE($C1073),1000000000),IFERROR(IF(VALUE(MID($C1073,2,20))&lt;100000000,VALUE(MID($C1073,2,20)),1000000000),1000000000))+ROW()/100000,"")</f>
        <v/>
      </c>
    </row>
    <row r="1074">
      <c r="D1074" s="11" t="n"/>
      <c r="K1074" s="7">
        <f>IF($C1074="","",J1074*W1074/100)</f>
        <v/>
      </c>
      <c r="Q1074" s="7" t="n"/>
      <c r="R1074" s="7" t="n"/>
      <c r="U1074">
        <f>IF($C1074="","",IF($AJ1074=1,0,IF($AI1074=1,Settings!$C$6,Settings!$C$7))*100)</f>
        <v/>
      </c>
      <c r="V1074" s="7">
        <f>IF($C1074="","",R1074*U1074/100)</f>
        <v/>
      </c>
      <c r="W1074" s="7">
        <f>IF($C1074="","",R1074-V1074)</f>
        <v/>
      </c>
      <c r="X1074" s="7">
        <f>IF($C1074="","",W1074-K1074)</f>
        <v/>
      </c>
      <c r="AB1074" s="7" t="n"/>
      <c r="AE1074" s="11" t="n"/>
      <c r="AG1074">
        <f>IF($C1074="","",IF(COUNTIF($C$2:$C1074,$C1074)=1,1,0))</f>
        <v/>
      </c>
      <c r="AH1074">
        <f>IF($AG1074=1,SUMPRODUCT(--($AK$2:$AK$6001&lt;$AK1074))+1,"")</f>
        <v/>
      </c>
      <c r="AI1074">
        <f>IF($C1074="","",IF(OR($N1074=TRUE(),$N1074="TRUE"),1,0))</f>
        <v/>
      </c>
      <c r="AJ1074">
        <f>IF($C1074="","",IF($T1074="Yes",1,0))</f>
        <v/>
      </c>
      <c r="AK1074">
        <f>IF($AG1074=1,IFERROR(IF(VALUE($C1074)&lt;100000000,VALUE($C1074),1000000000),IFERROR(IF(VALUE(MID($C1074,2,20))&lt;100000000,VALUE(MID($C1074,2,20)),1000000000),1000000000))+ROW()/100000,"")</f>
        <v/>
      </c>
    </row>
    <row r="1075">
      <c r="D1075" s="11" t="n"/>
      <c r="K1075" s="7">
        <f>IF($C1075="","",J1075*W1075/100)</f>
        <v/>
      </c>
      <c r="Q1075" s="7" t="n"/>
      <c r="R1075" s="7" t="n"/>
      <c r="U1075">
        <f>IF($C1075="","",IF($AJ1075=1,0,IF($AI1075=1,Settings!$C$6,Settings!$C$7))*100)</f>
        <v/>
      </c>
      <c r="V1075" s="7">
        <f>IF($C1075="","",R1075*U1075/100)</f>
        <v/>
      </c>
      <c r="W1075" s="7">
        <f>IF($C1075="","",R1075-V1075)</f>
        <v/>
      </c>
      <c r="X1075" s="7">
        <f>IF($C1075="","",W1075-K1075)</f>
        <v/>
      </c>
      <c r="AB1075" s="7" t="n"/>
      <c r="AE1075" s="11" t="n"/>
      <c r="AG1075">
        <f>IF($C1075="","",IF(COUNTIF($C$2:$C1075,$C1075)=1,1,0))</f>
        <v/>
      </c>
      <c r="AH1075">
        <f>IF($AG1075=1,SUMPRODUCT(--($AK$2:$AK$6001&lt;$AK1075))+1,"")</f>
        <v/>
      </c>
      <c r="AI1075">
        <f>IF($C1075="","",IF(OR($N1075=TRUE(),$N1075="TRUE"),1,0))</f>
        <v/>
      </c>
      <c r="AJ1075">
        <f>IF($C1075="","",IF($T1075="Yes",1,0))</f>
        <v/>
      </c>
      <c r="AK1075">
        <f>IF($AG1075=1,IFERROR(IF(VALUE($C1075)&lt;100000000,VALUE($C1075),1000000000),IFERROR(IF(VALUE(MID($C1075,2,20))&lt;100000000,VALUE(MID($C1075,2,20)),1000000000),1000000000))+ROW()/100000,"")</f>
        <v/>
      </c>
    </row>
    <row r="1076">
      <c r="D1076" s="11" t="n"/>
      <c r="K1076" s="7">
        <f>IF($C1076="","",J1076*W1076/100)</f>
        <v/>
      </c>
      <c r="Q1076" s="7" t="n"/>
      <c r="R1076" s="7" t="n"/>
      <c r="U1076">
        <f>IF($C1076="","",IF($AJ1076=1,0,IF($AI1076=1,Settings!$C$6,Settings!$C$7))*100)</f>
        <v/>
      </c>
      <c r="V1076" s="7">
        <f>IF($C1076="","",R1076*U1076/100)</f>
        <v/>
      </c>
      <c r="W1076" s="7">
        <f>IF($C1076="","",R1076-V1076)</f>
        <v/>
      </c>
      <c r="X1076" s="7">
        <f>IF($C1076="","",W1076-K1076)</f>
        <v/>
      </c>
      <c r="AB1076" s="7" t="n"/>
      <c r="AE1076" s="11" t="n"/>
      <c r="AG1076">
        <f>IF($C1076="","",IF(COUNTIF($C$2:$C1076,$C1076)=1,1,0))</f>
        <v/>
      </c>
      <c r="AH1076">
        <f>IF($AG1076=1,SUMPRODUCT(--($AK$2:$AK$6001&lt;$AK1076))+1,"")</f>
        <v/>
      </c>
      <c r="AI1076">
        <f>IF($C1076="","",IF(OR($N1076=TRUE(),$N1076="TRUE"),1,0))</f>
        <v/>
      </c>
      <c r="AJ1076">
        <f>IF($C1076="","",IF($T1076="Yes",1,0))</f>
        <v/>
      </c>
      <c r="AK1076">
        <f>IF($AG1076=1,IFERROR(IF(VALUE($C1076)&lt;100000000,VALUE($C1076),1000000000),IFERROR(IF(VALUE(MID($C1076,2,20))&lt;100000000,VALUE(MID($C1076,2,20)),1000000000),1000000000))+ROW()/100000,"")</f>
        <v/>
      </c>
    </row>
    <row r="1077">
      <c r="D1077" s="11" t="n"/>
      <c r="K1077" s="7">
        <f>IF($C1077="","",J1077*W1077/100)</f>
        <v/>
      </c>
      <c r="Q1077" s="7" t="n"/>
      <c r="R1077" s="7" t="n"/>
      <c r="U1077">
        <f>IF($C1077="","",IF($AJ1077=1,0,IF($AI1077=1,Settings!$C$6,Settings!$C$7))*100)</f>
        <v/>
      </c>
      <c r="V1077" s="7">
        <f>IF($C1077="","",R1077*U1077/100)</f>
        <v/>
      </c>
      <c r="W1077" s="7">
        <f>IF($C1077="","",R1077-V1077)</f>
        <v/>
      </c>
      <c r="X1077" s="7">
        <f>IF($C1077="","",W1077-K1077)</f>
        <v/>
      </c>
      <c r="AB1077" s="7" t="n"/>
      <c r="AE1077" s="11" t="n"/>
      <c r="AG1077">
        <f>IF($C1077="","",IF(COUNTIF($C$2:$C1077,$C1077)=1,1,0))</f>
        <v/>
      </c>
      <c r="AH1077">
        <f>IF($AG1077=1,SUMPRODUCT(--($AK$2:$AK$6001&lt;$AK1077))+1,"")</f>
        <v/>
      </c>
      <c r="AI1077">
        <f>IF($C1077="","",IF(OR($N1077=TRUE(),$N1077="TRUE"),1,0))</f>
        <v/>
      </c>
      <c r="AJ1077">
        <f>IF($C1077="","",IF($T1077="Yes",1,0))</f>
        <v/>
      </c>
      <c r="AK1077">
        <f>IF($AG1077=1,IFERROR(IF(VALUE($C1077)&lt;100000000,VALUE($C1077),1000000000),IFERROR(IF(VALUE(MID($C1077,2,20))&lt;100000000,VALUE(MID($C1077,2,20)),1000000000),1000000000))+ROW()/100000,"")</f>
        <v/>
      </c>
    </row>
    <row r="1078">
      <c r="D1078" s="11" t="n"/>
      <c r="K1078" s="7">
        <f>IF($C1078="","",J1078*W1078/100)</f>
        <v/>
      </c>
      <c r="Q1078" s="7" t="n"/>
      <c r="R1078" s="7" t="n"/>
      <c r="U1078">
        <f>IF($C1078="","",IF($AJ1078=1,0,IF($AI1078=1,Settings!$C$6,Settings!$C$7))*100)</f>
        <v/>
      </c>
      <c r="V1078" s="7">
        <f>IF($C1078="","",R1078*U1078/100)</f>
        <v/>
      </c>
      <c r="W1078" s="7">
        <f>IF($C1078="","",R1078-V1078)</f>
        <v/>
      </c>
      <c r="X1078" s="7">
        <f>IF($C1078="","",W1078-K1078)</f>
        <v/>
      </c>
      <c r="AB1078" s="7" t="n"/>
      <c r="AE1078" s="11" t="n"/>
      <c r="AG1078">
        <f>IF($C1078="","",IF(COUNTIF($C$2:$C1078,$C1078)=1,1,0))</f>
        <v/>
      </c>
      <c r="AH1078">
        <f>IF($AG1078=1,SUMPRODUCT(--($AK$2:$AK$6001&lt;$AK1078))+1,"")</f>
        <v/>
      </c>
      <c r="AI1078">
        <f>IF($C1078="","",IF(OR($N1078=TRUE(),$N1078="TRUE"),1,0))</f>
        <v/>
      </c>
      <c r="AJ1078">
        <f>IF($C1078="","",IF($T1078="Yes",1,0))</f>
        <v/>
      </c>
      <c r="AK1078">
        <f>IF($AG1078=1,IFERROR(IF(VALUE($C1078)&lt;100000000,VALUE($C1078),1000000000),IFERROR(IF(VALUE(MID($C1078,2,20))&lt;100000000,VALUE(MID($C1078,2,20)),1000000000),1000000000))+ROW()/100000,"")</f>
        <v/>
      </c>
    </row>
    <row r="1079">
      <c r="D1079" s="11" t="n"/>
      <c r="K1079" s="7">
        <f>IF($C1079="","",J1079*W1079/100)</f>
        <v/>
      </c>
      <c r="Q1079" s="7" t="n"/>
      <c r="R1079" s="7" t="n"/>
      <c r="U1079">
        <f>IF($C1079="","",IF($AJ1079=1,0,IF($AI1079=1,Settings!$C$6,Settings!$C$7))*100)</f>
        <v/>
      </c>
      <c r="V1079" s="7">
        <f>IF($C1079="","",R1079*U1079/100)</f>
        <v/>
      </c>
      <c r="W1079" s="7">
        <f>IF($C1079="","",R1079-V1079)</f>
        <v/>
      </c>
      <c r="X1079" s="7">
        <f>IF($C1079="","",W1079-K1079)</f>
        <v/>
      </c>
      <c r="AB1079" s="7" t="n"/>
      <c r="AE1079" s="11" t="n"/>
      <c r="AG1079">
        <f>IF($C1079="","",IF(COUNTIF($C$2:$C1079,$C1079)=1,1,0))</f>
        <v/>
      </c>
      <c r="AH1079">
        <f>IF($AG1079=1,SUMPRODUCT(--($AK$2:$AK$6001&lt;$AK1079))+1,"")</f>
        <v/>
      </c>
      <c r="AI1079">
        <f>IF($C1079="","",IF(OR($N1079=TRUE(),$N1079="TRUE"),1,0))</f>
        <v/>
      </c>
      <c r="AJ1079">
        <f>IF($C1079="","",IF($T1079="Yes",1,0))</f>
        <v/>
      </c>
      <c r="AK1079">
        <f>IF($AG1079=1,IFERROR(IF(VALUE($C1079)&lt;100000000,VALUE($C1079),1000000000),IFERROR(IF(VALUE(MID($C1079,2,20))&lt;100000000,VALUE(MID($C1079,2,20)),1000000000),1000000000))+ROW()/100000,"")</f>
        <v/>
      </c>
    </row>
    <row r="1080">
      <c r="D1080" s="11" t="n"/>
      <c r="K1080" s="7">
        <f>IF($C1080="","",J1080*W1080/100)</f>
        <v/>
      </c>
      <c r="Q1080" s="7" t="n"/>
      <c r="R1080" s="7" t="n"/>
      <c r="U1080">
        <f>IF($C1080="","",IF($AJ1080=1,0,IF($AI1080=1,Settings!$C$6,Settings!$C$7))*100)</f>
        <v/>
      </c>
      <c r="V1080" s="7">
        <f>IF($C1080="","",R1080*U1080/100)</f>
        <v/>
      </c>
      <c r="W1080" s="7">
        <f>IF($C1080="","",R1080-V1080)</f>
        <v/>
      </c>
      <c r="X1080" s="7">
        <f>IF($C1080="","",W1080-K1080)</f>
        <v/>
      </c>
      <c r="AB1080" s="7" t="n"/>
      <c r="AE1080" s="11" t="n"/>
      <c r="AG1080">
        <f>IF($C1080="","",IF(COUNTIF($C$2:$C1080,$C1080)=1,1,0))</f>
        <v/>
      </c>
      <c r="AH1080">
        <f>IF($AG1080=1,SUMPRODUCT(--($AK$2:$AK$6001&lt;$AK1080))+1,"")</f>
        <v/>
      </c>
      <c r="AI1080">
        <f>IF($C1080="","",IF(OR($N1080=TRUE(),$N1080="TRUE"),1,0))</f>
        <v/>
      </c>
      <c r="AJ1080">
        <f>IF($C1080="","",IF($T1080="Yes",1,0))</f>
        <v/>
      </c>
      <c r="AK1080">
        <f>IF($AG1080=1,IFERROR(IF(VALUE($C1080)&lt;100000000,VALUE($C1080),1000000000),IFERROR(IF(VALUE(MID($C1080,2,20))&lt;100000000,VALUE(MID($C1080,2,20)),1000000000),1000000000))+ROW()/100000,"")</f>
        <v/>
      </c>
    </row>
    <row r="1081">
      <c r="D1081" s="11" t="n"/>
      <c r="K1081" s="7">
        <f>IF($C1081="","",J1081*W1081/100)</f>
        <v/>
      </c>
      <c r="Q1081" s="7" t="n"/>
      <c r="R1081" s="7" t="n"/>
      <c r="U1081">
        <f>IF($C1081="","",IF($AJ1081=1,0,IF($AI1081=1,Settings!$C$6,Settings!$C$7))*100)</f>
        <v/>
      </c>
      <c r="V1081" s="7">
        <f>IF($C1081="","",R1081*U1081/100)</f>
        <v/>
      </c>
      <c r="W1081" s="7">
        <f>IF($C1081="","",R1081-V1081)</f>
        <v/>
      </c>
      <c r="X1081" s="7">
        <f>IF($C1081="","",W1081-K1081)</f>
        <v/>
      </c>
      <c r="AB1081" s="7" t="n"/>
      <c r="AE1081" s="11" t="n"/>
      <c r="AG1081">
        <f>IF($C1081="","",IF(COUNTIF($C$2:$C1081,$C1081)=1,1,0))</f>
        <v/>
      </c>
      <c r="AH1081">
        <f>IF($AG1081=1,SUMPRODUCT(--($AK$2:$AK$6001&lt;$AK1081))+1,"")</f>
        <v/>
      </c>
      <c r="AI1081">
        <f>IF($C1081="","",IF(OR($N1081=TRUE(),$N1081="TRUE"),1,0))</f>
        <v/>
      </c>
      <c r="AJ1081">
        <f>IF($C1081="","",IF($T1081="Yes",1,0))</f>
        <v/>
      </c>
      <c r="AK1081">
        <f>IF($AG1081=1,IFERROR(IF(VALUE($C1081)&lt;100000000,VALUE($C1081),1000000000),IFERROR(IF(VALUE(MID($C1081,2,20))&lt;100000000,VALUE(MID($C1081,2,20)),1000000000),1000000000))+ROW()/100000,"")</f>
        <v/>
      </c>
    </row>
    <row r="1082">
      <c r="D1082" s="11" t="n"/>
      <c r="K1082" s="7">
        <f>IF($C1082="","",J1082*W1082/100)</f>
        <v/>
      </c>
      <c r="Q1082" s="7" t="n"/>
      <c r="R1082" s="7" t="n"/>
      <c r="U1082">
        <f>IF($C1082="","",IF($AJ1082=1,0,IF($AI1082=1,Settings!$C$6,Settings!$C$7))*100)</f>
        <v/>
      </c>
      <c r="V1082" s="7">
        <f>IF($C1082="","",R1082*U1082/100)</f>
        <v/>
      </c>
      <c r="W1082" s="7">
        <f>IF($C1082="","",R1082-V1082)</f>
        <v/>
      </c>
      <c r="X1082" s="7">
        <f>IF($C1082="","",W1082-K1082)</f>
        <v/>
      </c>
      <c r="AB1082" s="7" t="n"/>
      <c r="AE1082" s="11" t="n"/>
      <c r="AG1082">
        <f>IF($C1082="","",IF(COUNTIF($C$2:$C1082,$C1082)=1,1,0))</f>
        <v/>
      </c>
      <c r="AH1082">
        <f>IF($AG1082=1,SUMPRODUCT(--($AK$2:$AK$6001&lt;$AK1082))+1,"")</f>
        <v/>
      </c>
      <c r="AI1082">
        <f>IF($C1082="","",IF(OR($N1082=TRUE(),$N1082="TRUE"),1,0))</f>
        <v/>
      </c>
      <c r="AJ1082">
        <f>IF($C1082="","",IF($T1082="Yes",1,0))</f>
        <v/>
      </c>
      <c r="AK1082">
        <f>IF($AG1082=1,IFERROR(IF(VALUE($C1082)&lt;100000000,VALUE($C1082),1000000000),IFERROR(IF(VALUE(MID($C1082,2,20))&lt;100000000,VALUE(MID($C1082,2,20)),1000000000),1000000000))+ROW()/100000,"")</f>
        <v/>
      </c>
    </row>
    <row r="1083">
      <c r="D1083" s="11" t="n"/>
      <c r="K1083" s="7">
        <f>IF($C1083="","",J1083*W1083/100)</f>
        <v/>
      </c>
      <c r="Q1083" s="7" t="n"/>
      <c r="R1083" s="7" t="n"/>
      <c r="U1083">
        <f>IF($C1083="","",IF($AJ1083=1,0,IF($AI1083=1,Settings!$C$6,Settings!$C$7))*100)</f>
        <v/>
      </c>
      <c r="V1083" s="7">
        <f>IF($C1083="","",R1083*U1083/100)</f>
        <v/>
      </c>
      <c r="W1083" s="7">
        <f>IF($C1083="","",R1083-V1083)</f>
        <v/>
      </c>
      <c r="X1083" s="7">
        <f>IF($C1083="","",W1083-K1083)</f>
        <v/>
      </c>
      <c r="AB1083" s="7" t="n"/>
      <c r="AE1083" s="11" t="n"/>
      <c r="AG1083">
        <f>IF($C1083="","",IF(COUNTIF($C$2:$C1083,$C1083)=1,1,0))</f>
        <v/>
      </c>
      <c r="AH1083">
        <f>IF($AG1083=1,SUMPRODUCT(--($AK$2:$AK$6001&lt;$AK1083))+1,"")</f>
        <v/>
      </c>
      <c r="AI1083">
        <f>IF($C1083="","",IF(OR($N1083=TRUE(),$N1083="TRUE"),1,0))</f>
        <v/>
      </c>
      <c r="AJ1083">
        <f>IF($C1083="","",IF($T1083="Yes",1,0))</f>
        <v/>
      </c>
      <c r="AK1083">
        <f>IF($AG1083=1,IFERROR(IF(VALUE($C1083)&lt;100000000,VALUE($C1083),1000000000),IFERROR(IF(VALUE(MID($C1083,2,20))&lt;100000000,VALUE(MID($C1083,2,20)),1000000000),1000000000))+ROW()/100000,"")</f>
        <v/>
      </c>
    </row>
    <row r="1084">
      <c r="D1084" s="11" t="n"/>
      <c r="K1084" s="7">
        <f>IF($C1084="","",J1084*W1084/100)</f>
        <v/>
      </c>
      <c r="Q1084" s="7" t="n"/>
      <c r="R1084" s="7" t="n"/>
      <c r="U1084">
        <f>IF($C1084="","",IF($AJ1084=1,0,IF($AI1084=1,Settings!$C$6,Settings!$C$7))*100)</f>
        <v/>
      </c>
      <c r="V1084" s="7">
        <f>IF($C1084="","",R1084*U1084/100)</f>
        <v/>
      </c>
      <c r="W1084" s="7">
        <f>IF($C1084="","",R1084-V1084)</f>
        <v/>
      </c>
      <c r="X1084" s="7">
        <f>IF($C1084="","",W1084-K1084)</f>
        <v/>
      </c>
      <c r="AB1084" s="7" t="n"/>
      <c r="AE1084" s="11" t="n"/>
      <c r="AG1084">
        <f>IF($C1084="","",IF(COUNTIF($C$2:$C1084,$C1084)=1,1,0))</f>
        <v/>
      </c>
      <c r="AH1084">
        <f>IF($AG1084=1,SUMPRODUCT(--($AK$2:$AK$6001&lt;$AK1084))+1,"")</f>
        <v/>
      </c>
      <c r="AI1084">
        <f>IF($C1084="","",IF(OR($N1084=TRUE(),$N1084="TRUE"),1,0))</f>
        <v/>
      </c>
      <c r="AJ1084">
        <f>IF($C1084="","",IF($T1084="Yes",1,0))</f>
        <v/>
      </c>
      <c r="AK1084">
        <f>IF($AG1084=1,IFERROR(IF(VALUE($C1084)&lt;100000000,VALUE($C1084),1000000000),IFERROR(IF(VALUE(MID($C1084,2,20))&lt;100000000,VALUE(MID($C1084,2,20)),1000000000),1000000000))+ROW()/100000,"")</f>
        <v/>
      </c>
    </row>
    <row r="1085">
      <c r="D1085" s="11" t="n"/>
      <c r="K1085" s="7">
        <f>IF($C1085="","",J1085*W1085/100)</f>
        <v/>
      </c>
      <c r="Q1085" s="7" t="n"/>
      <c r="R1085" s="7" t="n"/>
      <c r="U1085">
        <f>IF($C1085="","",IF($AJ1085=1,0,IF($AI1085=1,Settings!$C$6,Settings!$C$7))*100)</f>
        <v/>
      </c>
      <c r="V1085" s="7">
        <f>IF($C1085="","",R1085*U1085/100)</f>
        <v/>
      </c>
      <c r="W1085" s="7">
        <f>IF($C1085="","",R1085-V1085)</f>
        <v/>
      </c>
      <c r="X1085" s="7">
        <f>IF($C1085="","",W1085-K1085)</f>
        <v/>
      </c>
      <c r="AB1085" s="7" t="n"/>
      <c r="AE1085" s="11" t="n"/>
      <c r="AG1085">
        <f>IF($C1085="","",IF(COUNTIF($C$2:$C1085,$C1085)=1,1,0))</f>
        <v/>
      </c>
      <c r="AH1085">
        <f>IF($AG1085=1,SUMPRODUCT(--($AK$2:$AK$6001&lt;$AK1085))+1,"")</f>
        <v/>
      </c>
      <c r="AI1085">
        <f>IF($C1085="","",IF(OR($N1085=TRUE(),$N1085="TRUE"),1,0))</f>
        <v/>
      </c>
      <c r="AJ1085">
        <f>IF($C1085="","",IF($T1085="Yes",1,0))</f>
        <v/>
      </c>
      <c r="AK1085">
        <f>IF($AG1085=1,IFERROR(IF(VALUE($C1085)&lt;100000000,VALUE($C1085),1000000000),IFERROR(IF(VALUE(MID($C1085,2,20))&lt;100000000,VALUE(MID($C1085,2,20)),1000000000),1000000000))+ROW()/100000,"")</f>
        <v/>
      </c>
    </row>
    <row r="1086">
      <c r="D1086" s="11" t="n"/>
      <c r="K1086" s="7">
        <f>IF($C1086="","",J1086*W1086/100)</f>
        <v/>
      </c>
      <c r="Q1086" s="7" t="n"/>
      <c r="R1086" s="7" t="n"/>
      <c r="U1086">
        <f>IF($C1086="","",IF($AJ1086=1,0,IF($AI1086=1,Settings!$C$6,Settings!$C$7))*100)</f>
        <v/>
      </c>
      <c r="V1086" s="7">
        <f>IF($C1086="","",R1086*U1086/100)</f>
        <v/>
      </c>
      <c r="W1086" s="7">
        <f>IF($C1086="","",R1086-V1086)</f>
        <v/>
      </c>
      <c r="X1086" s="7">
        <f>IF($C1086="","",W1086-K1086)</f>
        <v/>
      </c>
      <c r="AB1086" s="7" t="n"/>
      <c r="AE1086" s="11" t="n"/>
      <c r="AG1086">
        <f>IF($C1086="","",IF(COUNTIF($C$2:$C1086,$C1086)=1,1,0))</f>
        <v/>
      </c>
      <c r="AH1086">
        <f>IF($AG1086=1,SUMPRODUCT(--($AK$2:$AK$6001&lt;$AK1086))+1,"")</f>
        <v/>
      </c>
      <c r="AI1086">
        <f>IF($C1086="","",IF(OR($N1086=TRUE(),$N1086="TRUE"),1,0))</f>
        <v/>
      </c>
      <c r="AJ1086">
        <f>IF($C1086="","",IF($T1086="Yes",1,0))</f>
        <v/>
      </c>
      <c r="AK1086">
        <f>IF($AG1086=1,IFERROR(IF(VALUE($C1086)&lt;100000000,VALUE($C1086),1000000000),IFERROR(IF(VALUE(MID($C1086,2,20))&lt;100000000,VALUE(MID($C1086,2,20)),1000000000),1000000000))+ROW()/100000,"")</f>
        <v/>
      </c>
    </row>
    <row r="1087">
      <c r="D1087" s="11" t="n"/>
      <c r="K1087" s="7">
        <f>IF($C1087="","",J1087*W1087/100)</f>
        <v/>
      </c>
      <c r="Q1087" s="7" t="n"/>
      <c r="R1087" s="7" t="n"/>
      <c r="U1087">
        <f>IF($C1087="","",IF($AJ1087=1,0,IF($AI1087=1,Settings!$C$6,Settings!$C$7))*100)</f>
        <v/>
      </c>
      <c r="V1087" s="7">
        <f>IF($C1087="","",R1087*U1087/100)</f>
        <v/>
      </c>
      <c r="W1087" s="7">
        <f>IF($C1087="","",R1087-V1087)</f>
        <v/>
      </c>
      <c r="X1087" s="7">
        <f>IF($C1087="","",W1087-K1087)</f>
        <v/>
      </c>
      <c r="AB1087" s="7" t="n"/>
      <c r="AE1087" s="11" t="n"/>
      <c r="AG1087">
        <f>IF($C1087="","",IF(COUNTIF($C$2:$C1087,$C1087)=1,1,0))</f>
        <v/>
      </c>
      <c r="AH1087">
        <f>IF($AG1087=1,SUMPRODUCT(--($AK$2:$AK$6001&lt;$AK1087))+1,"")</f>
        <v/>
      </c>
      <c r="AI1087">
        <f>IF($C1087="","",IF(OR($N1087=TRUE(),$N1087="TRUE"),1,0))</f>
        <v/>
      </c>
      <c r="AJ1087">
        <f>IF($C1087="","",IF($T1087="Yes",1,0))</f>
        <v/>
      </c>
      <c r="AK1087">
        <f>IF($AG1087=1,IFERROR(IF(VALUE($C1087)&lt;100000000,VALUE($C1087),1000000000),IFERROR(IF(VALUE(MID($C1087,2,20))&lt;100000000,VALUE(MID($C1087,2,20)),1000000000),1000000000))+ROW()/100000,"")</f>
        <v/>
      </c>
    </row>
    <row r="1088">
      <c r="D1088" s="11" t="n"/>
      <c r="K1088" s="7">
        <f>IF($C1088="","",J1088*W1088/100)</f>
        <v/>
      </c>
      <c r="Q1088" s="7" t="n"/>
      <c r="R1088" s="7" t="n"/>
      <c r="U1088">
        <f>IF($C1088="","",IF($AJ1088=1,0,IF($AI1088=1,Settings!$C$6,Settings!$C$7))*100)</f>
        <v/>
      </c>
      <c r="V1088" s="7">
        <f>IF($C1088="","",R1088*U1088/100)</f>
        <v/>
      </c>
      <c r="W1088" s="7">
        <f>IF($C1088="","",R1088-V1088)</f>
        <v/>
      </c>
      <c r="X1088" s="7">
        <f>IF($C1088="","",W1088-K1088)</f>
        <v/>
      </c>
      <c r="AB1088" s="7" t="n"/>
      <c r="AE1088" s="11" t="n"/>
      <c r="AG1088">
        <f>IF($C1088="","",IF(COUNTIF($C$2:$C1088,$C1088)=1,1,0))</f>
        <v/>
      </c>
      <c r="AH1088">
        <f>IF($AG1088=1,SUMPRODUCT(--($AK$2:$AK$6001&lt;$AK1088))+1,"")</f>
        <v/>
      </c>
      <c r="AI1088">
        <f>IF($C1088="","",IF(OR($N1088=TRUE(),$N1088="TRUE"),1,0))</f>
        <v/>
      </c>
      <c r="AJ1088">
        <f>IF($C1088="","",IF($T1088="Yes",1,0))</f>
        <v/>
      </c>
      <c r="AK1088">
        <f>IF($AG1088=1,IFERROR(IF(VALUE($C1088)&lt;100000000,VALUE($C1088),1000000000),IFERROR(IF(VALUE(MID($C1088,2,20))&lt;100000000,VALUE(MID($C1088,2,20)),1000000000),1000000000))+ROW()/100000,"")</f>
        <v/>
      </c>
    </row>
    <row r="1089">
      <c r="D1089" s="11" t="n"/>
      <c r="K1089" s="7">
        <f>IF($C1089="","",J1089*W1089/100)</f>
        <v/>
      </c>
      <c r="Q1089" s="7" t="n"/>
      <c r="R1089" s="7" t="n"/>
      <c r="U1089">
        <f>IF($C1089="","",IF($AJ1089=1,0,IF($AI1089=1,Settings!$C$6,Settings!$C$7))*100)</f>
        <v/>
      </c>
      <c r="V1089" s="7">
        <f>IF($C1089="","",R1089*U1089/100)</f>
        <v/>
      </c>
      <c r="W1089" s="7">
        <f>IF($C1089="","",R1089-V1089)</f>
        <v/>
      </c>
      <c r="X1089" s="7">
        <f>IF($C1089="","",W1089-K1089)</f>
        <v/>
      </c>
      <c r="AB1089" s="7" t="n"/>
      <c r="AE1089" s="11" t="n"/>
      <c r="AG1089">
        <f>IF($C1089="","",IF(COUNTIF($C$2:$C1089,$C1089)=1,1,0))</f>
        <v/>
      </c>
      <c r="AH1089">
        <f>IF($AG1089=1,SUMPRODUCT(--($AK$2:$AK$6001&lt;$AK1089))+1,"")</f>
        <v/>
      </c>
      <c r="AI1089">
        <f>IF($C1089="","",IF(OR($N1089=TRUE(),$N1089="TRUE"),1,0))</f>
        <v/>
      </c>
      <c r="AJ1089">
        <f>IF($C1089="","",IF($T1089="Yes",1,0))</f>
        <v/>
      </c>
      <c r="AK1089">
        <f>IF($AG1089=1,IFERROR(IF(VALUE($C1089)&lt;100000000,VALUE($C1089),1000000000),IFERROR(IF(VALUE(MID($C1089,2,20))&lt;100000000,VALUE(MID($C1089,2,20)),1000000000),1000000000))+ROW()/100000,"")</f>
        <v/>
      </c>
    </row>
    <row r="1090">
      <c r="D1090" s="11" t="n"/>
      <c r="K1090" s="7">
        <f>IF($C1090="","",J1090*W1090/100)</f>
        <v/>
      </c>
      <c r="Q1090" s="7" t="n"/>
      <c r="R1090" s="7" t="n"/>
      <c r="U1090">
        <f>IF($C1090="","",IF($AJ1090=1,0,IF($AI1090=1,Settings!$C$6,Settings!$C$7))*100)</f>
        <v/>
      </c>
      <c r="V1090" s="7">
        <f>IF($C1090="","",R1090*U1090/100)</f>
        <v/>
      </c>
      <c r="W1090" s="7">
        <f>IF($C1090="","",R1090-V1090)</f>
        <v/>
      </c>
      <c r="X1090" s="7">
        <f>IF($C1090="","",W1090-K1090)</f>
        <v/>
      </c>
      <c r="AB1090" s="7" t="n"/>
      <c r="AE1090" s="11" t="n"/>
      <c r="AG1090">
        <f>IF($C1090="","",IF(COUNTIF($C$2:$C1090,$C1090)=1,1,0))</f>
        <v/>
      </c>
      <c r="AH1090">
        <f>IF($AG1090=1,SUMPRODUCT(--($AK$2:$AK$6001&lt;$AK1090))+1,"")</f>
        <v/>
      </c>
      <c r="AI1090">
        <f>IF($C1090="","",IF(OR($N1090=TRUE(),$N1090="TRUE"),1,0))</f>
        <v/>
      </c>
      <c r="AJ1090">
        <f>IF($C1090="","",IF($T1090="Yes",1,0))</f>
        <v/>
      </c>
      <c r="AK1090">
        <f>IF($AG1090=1,IFERROR(IF(VALUE($C1090)&lt;100000000,VALUE($C1090),1000000000),IFERROR(IF(VALUE(MID($C1090,2,20))&lt;100000000,VALUE(MID($C1090,2,20)),1000000000),1000000000))+ROW()/100000,"")</f>
        <v/>
      </c>
    </row>
    <row r="1091">
      <c r="D1091" s="11" t="n"/>
      <c r="K1091" s="7">
        <f>IF($C1091="","",J1091*W1091/100)</f>
        <v/>
      </c>
      <c r="Q1091" s="7" t="n"/>
      <c r="R1091" s="7" t="n"/>
      <c r="U1091">
        <f>IF($C1091="","",IF($AJ1091=1,0,IF($AI1091=1,Settings!$C$6,Settings!$C$7))*100)</f>
        <v/>
      </c>
      <c r="V1091" s="7">
        <f>IF($C1091="","",R1091*U1091/100)</f>
        <v/>
      </c>
      <c r="W1091" s="7">
        <f>IF($C1091="","",R1091-V1091)</f>
        <v/>
      </c>
      <c r="X1091" s="7">
        <f>IF($C1091="","",W1091-K1091)</f>
        <v/>
      </c>
      <c r="AB1091" s="7" t="n"/>
      <c r="AE1091" s="11" t="n"/>
      <c r="AG1091">
        <f>IF($C1091="","",IF(COUNTIF($C$2:$C1091,$C1091)=1,1,0))</f>
        <v/>
      </c>
      <c r="AH1091">
        <f>IF($AG1091=1,SUMPRODUCT(--($AK$2:$AK$6001&lt;$AK1091))+1,"")</f>
        <v/>
      </c>
      <c r="AI1091">
        <f>IF($C1091="","",IF(OR($N1091=TRUE(),$N1091="TRUE"),1,0))</f>
        <v/>
      </c>
      <c r="AJ1091">
        <f>IF($C1091="","",IF($T1091="Yes",1,0))</f>
        <v/>
      </c>
      <c r="AK1091">
        <f>IF($AG1091=1,IFERROR(IF(VALUE($C1091)&lt;100000000,VALUE($C1091),1000000000),IFERROR(IF(VALUE(MID($C1091,2,20))&lt;100000000,VALUE(MID($C1091,2,20)),1000000000),1000000000))+ROW()/100000,"")</f>
        <v/>
      </c>
    </row>
    <row r="1092">
      <c r="D1092" s="11" t="n"/>
      <c r="K1092" s="7">
        <f>IF($C1092="","",J1092*W1092/100)</f>
        <v/>
      </c>
      <c r="Q1092" s="7" t="n"/>
      <c r="R1092" s="7" t="n"/>
      <c r="U1092">
        <f>IF($C1092="","",IF($AJ1092=1,0,IF($AI1092=1,Settings!$C$6,Settings!$C$7))*100)</f>
        <v/>
      </c>
      <c r="V1092" s="7">
        <f>IF($C1092="","",R1092*U1092/100)</f>
        <v/>
      </c>
      <c r="W1092" s="7">
        <f>IF($C1092="","",R1092-V1092)</f>
        <v/>
      </c>
      <c r="X1092" s="7">
        <f>IF($C1092="","",W1092-K1092)</f>
        <v/>
      </c>
      <c r="AB1092" s="7" t="n"/>
      <c r="AE1092" s="11" t="n"/>
      <c r="AG1092">
        <f>IF($C1092="","",IF(COUNTIF($C$2:$C1092,$C1092)=1,1,0))</f>
        <v/>
      </c>
      <c r="AH1092">
        <f>IF($AG1092=1,SUMPRODUCT(--($AK$2:$AK$6001&lt;$AK1092))+1,"")</f>
        <v/>
      </c>
      <c r="AI1092">
        <f>IF($C1092="","",IF(OR($N1092=TRUE(),$N1092="TRUE"),1,0))</f>
        <v/>
      </c>
      <c r="AJ1092">
        <f>IF($C1092="","",IF($T1092="Yes",1,0))</f>
        <v/>
      </c>
      <c r="AK1092">
        <f>IF($AG1092=1,IFERROR(IF(VALUE($C1092)&lt;100000000,VALUE($C1092),1000000000),IFERROR(IF(VALUE(MID($C1092,2,20))&lt;100000000,VALUE(MID($C1092,2,20)),1000000000),1000000000))+ROW()/100000,"")</f>
        <v/>
      </c>
    </row>
    <row r="1093">
      <c r="D1093" s="11" t="n"/>
      <c r="K1093" s="7">
        <f>IF($C1093="","",J1093*W1093/100)</f>
        <v/>
      </c>
      <c r="Q1093" s="7" t="n"/>
      <c r="R1093" s="7" t="n"/>
      <c r="U1093">
        <f>IF($C1093="","",IF($AJ1093=1,0,IF($AI1093=1,Settings!$C$6,Settings!$C$7))*100)</f>
        <v/>
      </c>
      <c r="V1093" s="7">
        <f>IF($C1093="","",R1093*U1093/100)</f>
        <v/>
      </c>
      <c r="W1093" s="7">
        <f>IF($C1093="","",R1093-V1093)</f>
        <v/>
      </c>
      <c r="X1093" s="7">
        <f>IF($C1093="","",W1093-K1093)</f>
        <v/>
      </c>
      <c r="AB1093" s="7" t="n"/>
      <c r="AE1093" s="11" t="n"/>
      <c r="AG1093">
        <f>IF($C1093="","",IF(COUNTIF($C$2:$C1093,$C1093)=1,1,0))</f>
        <v/>
      </c>
      <c r="AH1093">
        <f>IF($AG1093=1,SUMPRODUCT(--($AK$2:$AK$6001&lt;$AK1093))+1,"")</f>
        <v/>
      </c>
      <c r="AI1093">
        <f>IF($C1093="","",IF(OR($N1093=TRUE(),$N1093="TRUE"),1,0))</f>
        <v/>
      </c>
      <c r="AJ1093">
        <f>IF($C1093="","",IF($T1093="Yes",1,0))</f>
        <v/>
      </c>
      <c r="AK1093">
        <f>IF($AG1093=1,IFERROR(IF(VALUE($C1093)&lt;100000000,VALUE($C1093),1000000000),IFERROR(IF(VALUE(MID($C1093,2,20))&lt;100000000,VALUE(MID($C1093,2,20)),1000000000),1000000000))+ROW()/100000,"")</f>
        <v/>
      </c>
    </row>
    <row r="1094">
      <c r="D1094" s="11" t="n"/>
      <c r="K1094" s="7">
        <f>IF($C1094="","",J1094*W1094/100)</f>
        <v/>
      </c>
      <c r="Q1094" s="7" t="n"/>
      <c r="R1094" s="7" t="n"/>
      <c r="U1094">
        <f>IF($C1094="","",IF($AJ1094=1,0,IF($AI1094=1,Settings!$C$6,Settings!$C$7))*100)</f>
        <v/>
      </c>
      <c r="V1094" s="7">
        <f>IF($C1094="","",R1094*U1094/100)</f>
        <v/>
      </c>
      <c r="W1094" s="7">
        <f>IF($C1094="","",R1094-V1094)</f>
        <v/>
      </c>
      <c r="X1094" s="7">
        <f>IF($C1094="","",W1094-K1094)</f>
        <v/>
      </c>
      <c r="AB1094" s="7" t="n"/>
      <c r="AE1094" s="11" t="n"/>
      <c r="AG1094">
        <f>IF($C1094="","",IF(COUNTIF($C$2:$C1094,$C1094)=1,1,0))</f>
        <v/>
      </c>
      <c r="AH1094">
        <f>IF($AG1094=1,SUMPRODUCT(--($AK$2:$AK$6001&lt;$AK1094))+1,"")</f>
        <v/>
      </c>
      <c r="AI1094">
        <f>IF($C1094="","",IF(OR($N1094=TRUE(),$N1094="TRUE"),1,0))</f>
        <v/>
      </c>
      <c r="AJ1094">
        <f>IF($C1094="","",IF($T1094="Yes",1,0))</f>
        <v/>
      </c>
      <c r="AK1094">
        <f>IF($AG1094=1,IFERROR(IF(VALUE($C1094)&lt;100000000,VALUE($C1094),1000000000),IFERROR(IF(VALUE(MID($C1094,2,20))&lt;100000000,VALUE(MID($C1094,2,20)),1000000000),1000000000))+ROW()/100000,"")</f>
        <v/>
      </c>
    </row>
    <row r="1095">
      <c r="D1095" s="11" t="n"/>
      <c r="K1095" s="7">
        <f>IF($C1095="","",J1095*W1095/100)</f>
        <v/>
      </c>
      <c r="Q1095" s="7" t="n"/>
      <c r="R1095" s="7" t="n"/>
      <c r="U1095">
        <f>IF($C1095="","",IF($AJ1095=1,0,IF($AI1095=1,Settings!$C$6,Settings!$C$7))*100)</f>
        <v/>
      </c>
      <c r="V1095" s="7">
        <f>IF($C1095="","",R1095*U1095/100)</f>
        <v/>
      </c>
      <c r="W1095" s="7">
        <f>IF($C1095="","",R1095-V1095)</f>
        <v/>
      </c>
      <c r="X1095" s="7">
        <f>IF($C1095="","",W1095-K1095)</f>
        <v/>
      </c>
      <c r="AB1095" s="7" t="n"/>
      <c r="AE1095" s="11" t="n"/>
      <c r="AG1095">
        <f>IF($C1095="","",IF(COUNTIF($C$2:$C1095,$C1095)=1,1,0))</f>
        <v/>
      </c>
      <c r="AH1095">
        <f>IF($AG1095=1,SUMPRODUCT(--($AK$2:$AK$6001&lt;$AK1095))+1,"")</f>
        <v/>
      </c>
      <c r="AI1095">
        <f>IF($C1095="","",IF(OR($N1095=TRUE(),$N1095="TRUE"),1,0))</f>
        <v/>
      </c>
      <c r="AJ1095">
        <f>IF($C1095="","",IF($T1095="Yes",1,0))</f>
        <v/>
      </c>
      <c r="AK1095">
        <f>IF($AG1095=1,IFERROR(IF(VALUE($C1095)&lt;100000000,VALUE($C1095),1000000000),IFERROR(IF(VALUE(MID($C1095,2,20))&lt;100000000,VALUE(MID($C1095,2,20)),1000000000),1000000000))+ROW()/100000,"")</f>
        <v/>
      </c>
    </row>
    <row r="1096">
      <c r="D1096" s="11" t="n"/>
      <c r="K1096" s="7">
        <f>IF($C1096="","",J1096*W1096/100)</f>
        <v/>
      </c>
      <c r="Q1096" s="7" t="n"/>
      <c r="R1096" s="7" t="n"/>
      <c r="U1096">
        <f>IF($C1096="","",IF($AJ1096=1,0,IF($AI1096=1,Settings!$C$6,Settings!$C$7))*100)</f>
        <v/>
      </c>
      <c r="V1096" s="7">
        <f>IF($C1096="","",R1096*U1096/100)</f>
        <v/>
      </c>
      <c r="W1096" s="7">
        <f>IF($C1096="","",R1096-V1096)</f>
        <v/>
      </c>
      <c r="X1096" s="7">
        <f>IF($C1096="","",W1096-K1096)</f>
        <v/>
      </c>
      <c r="AB1096" s="7" t="n"/>
      <c r="AE1096" s="11" t="n"/>
      <c r="AG1096">
        <f>IF($C1096="","",IF(COUNTIF($C$2:$C1096,$C1096)=1,1,0))</f>
        <v/>
      </c>
      <c r="AH1096">
        <f>IF($AG1096=1,SUMPRODUCT(--($AK$2:$AK$6001&lt;$AK1096))+1,"")</f>
        <v/>
      </c>
      <c r="AI1096">
        <f>IF($C1096="","",IF(OR($N1096=TRUE(),$N1096="TRUE"),1,0))</f>
        <v/>
      </c>
      <c r="AJ1096">
        <f>IF($C1096="","",IF($T1096="Yes",1,0))</f>
        <v/>
      </c>
      <c r="AK1096">
        <f>IF($AG1096=1,IFERROR(IF(VALUE($C1096)&lt;100000000,VALUE($C1096),1000000000),IFERROR(IF(VALUE(MID($C1096,2,20))&lt;100000000,VALUE(MID($C1096,2,20)),1000000000),1000000000))+ROW()/100000,"")</f>
        <v/>
      </c>
    </row>
    <row r="1097">
      <c r="D1097" s="11" t="n"/>
      <c r="K1097" s="7">
        <f>IF($C1097="","",J1097*W1097/100)</f>
        <v/>
      </c>
      <c r="Q1097" s="7" t="n"/>
      <c r="R1097" s="7" t="n"/>
      <c r="U1097">
        <f>IF($C1097="","",IF($AJ1097=1,0,IF($AI1097=1,Settings!$C$6,Settings!$C$7))*100)</f>
        <v/>
      </c>
      <c r="V1097" s="7">
        <f>IF($C1097="","",R1097*U1097/100)</f>
        <v/>
      </c>
      <c r="W1097" s="7">
        <f>IF($C1097="","",R1097-V1097)</f>
        <v/>
      </c>
      <c r="X1097" s="7">
        <f>IF($C1097="","",W1097-K1097)</f>
        <v/>
      </c>
      <c r="AB1097" s="7" t="n"/>
      <c r="AE1097" s="11" t="n"/>
      <c r="AG1097">
        <f>IF($C1097="","",IF(COUNTIF($C$2:$C1097,$C1097)=1,1,0))</f>
        <v/>
      </c>
      <c r="AH1097">
        <f>IF($AG1097=1,SUMPRODUCT(--($AK$2:$AK$6001&lt;$AK1097))+1,"")</f>
        <v/>
      </c>
      <c r="AI1097">
        <f>IF($C1097="","",IF(OR($N1097=TRUE(),$N1097="TRUE"),1,0))</f>
        <v/>
      </c>
      <c r="AJ1097">
        <f>IF($C1097="","",IF($T1097="Yes",1,0))</f>
        <v/>
      </c>
      <c r="AK1097">
        <f>IF($AG1097=1,IFERROR(IF(VALUE($C1097)&lt;100000000,VALUE($C1097),1000000000),IFERROR(IF(VALUE(MID($C1097,2,20))&lt;100000000,VALUE(MID($C1097,2,20)),1000000000),1000000000))+ROW()/100000,"")</f>
        <v/>
      </c>
    </row>
    <row r="1098">
      <c r="D1098" s="11" t="n"/>
      <c r="K1098" s="7">
        <f>IF($C1098="","",J1098*W1098/100)</f>
        <v/>
      </c>
      <c r="Q1098" s="7" t="n"/>
      <c r="R1098" s="7" t="n"/>
      <c r="U1098">
        <f>IF($C1098="","",IF($AJ1098=1,0,IF($AI1098=1,Settings!$C$6,Settings!$C$7))*100)</f>
        <v/>
      </c>
      <c r="V1098" s="7">
        <f>IF($C1098="","",R1098*U1098/100)</f>
        <v/>
      </c>
      <c r="W1098" s="7">
        <f>IF($C1098="","",R1098-V1098)</f>
        <v/>
      </c>
      <c r="X1098" s="7">
        <f>IF($C1098="","",W1098-K1098)</f>
        <v/>
      </c>
      <c r="AB1098" s="7" t="n"/>
      <c r="AE1098" s="11" t="n"/>
      <c r="AG1098">
        <f>IF($C1098="","",IF(COUNTIF($C$2:$C1098,$C1098)=1,1,0))</f>
        <v/>
      </c>
      <c r="AH1098">
        <f>IF($AG1098=1,SUMPRODUCT(--($AK$2:$AK$6001&lt;$AK1098))+1,"")</f>
        <v/>
      </c>
      <c r="AI1098">
        <f>IF($C1098="","",IF(OR($N1098=TRUE(),$N1098="TRUE"),1,0))</f>
        <v/>
      </c>
      <c r="AJ1098">
        <f>IF($C1098="","",IF($T1098="Yes",1,0))</f>
        <v/>
      </c>
      <c r="AK1098">
        <f>IF($AG1098=1,IFERROR(IF(VALUE($C1098)&lt;100000000,VALUE($C1098),1000000000),IFERROR(IF(VALUE(MID($C1098,2,20))&lt;100000000,VALUE(MID($C1098,2,20)),1000000000),1000000000))+ROW()/100000,"")</f>
        <v/>
      </c>
    </row>
    <row r="1099">
      <c r="D1099" s="11" t="n"/>
      <c r="K1099" s="7">
        <f>IF($C1099="","",J1099*W1099/100)</f>
        <v/>
      </c>
      <c r="Q1099" s="7" t="n"/>
      <c r="R1099" s="7" t="n"/>
      <c r="U1099">
        <f>IF($C1099="","",IF($AJ1099=1,0,IF($AI1099=1,Settings!$C$6,Settings!$C$7))*100)</f>
        <v/>
      </c>
      <c r="V1099" s="7">
        <f>IF($C1099="","",R1099*U1099/100)</f>
        <v/>
      </c>
      <c r="W1099" s="7">
        <f>IF($C1099="","",R1099-V1099)</f>
        <v/>
      </c>
      <c r="X1099" s="7">
        <f>IF($C1099="","",W1099-K1099)</f>
        <v/>
      </c>
      <c r="AB1099" s="7" t="n"/>
      <c r="AE1099" s="11" t="n"/>
      <c r="AG1099">
        <f>IF($C1099="","",IF(COUNTIF($C$2:$C1099,$C1099)=1,1,0))</f>
        <v/>
      </c>
      <c r="AH1099">
        <f>IF($AG1099=1,SUMPRODUCT(--($AK$2:$AK$6001&lt;$AK1099))+1,"")</f>
        <v/>
      </c>
      <c r="AI1099">
        <f>IF($C1099="","",IF(OR($N1099=TRUE(),$N1099="TRUE"),1,0))</f>
        <v/>
      </c>
      <c r="AJ1099">
        <f>IF($C1099="","",IF($T1099="Yes",1,0))</f>
        <v/>
      </c>
      <c r="AK1099">
        <f>IF($AG1099=1,IFERROR(IF(VALUE($C1099)&lt;100000000,VALUE($C1099),1000000000),IFERROR(IF(VALUE(MID($C1099,2,20))&lt;100000000,VALUE(MID($C1099,2,20)),1000000000),1000000000))+ROW()/100000,"")</f>
        <v/>
      </c>
    </row>
    <row r="1100">
      <c r="D1100" s="11" t="n"/>
      <c r="K1100" s="7">
        <f>IF($C1100="","",J1100*W1100/100)</f>
        <v/>
      </c>
      <c r="Q1100" s="7" t="n"/>
      <c r="R1100" s="7" t="n"/>
      <c r="U1100">
        <f>IF($C1100="","",IF($AJ1100=1,0,IF($AI1100=1,Settings!$C$6,Settings!$C$7))*100)</f>
        <v/>
      </c>
      <c r="V1100" s="7">
        <f>IF($C1100="","",R1100*U1100/100)</f>
        <v/>
      </c>
      <c r="W1100" s="7">
        <f>IF($C1100="","",R1100-V1100)</f>
        <v/>
      </c>
      <c r="X1100" s="7">
        <f>IF($C1100="","",W1100-K1100)</f>
        <v/>
      </c>
      <c r="AB1100" s="7" t="n"/>
      <c r="AE1100" s="11" t="n"/>
      <c r="AG1100">
        <f>IF($C1100="","",IF(COUNTIF($C$2:$C1100,$C1100)=1,1,0))</f>
        <v/>
      </c>
      <c r="AH1100">
        <f>IF($AG1100=1,SUMPRODUCT(--($AK$2:$AK$6001&lt;$AK1100))+1,"")</f>
        <v/>
      </c>
      <c r="AI1100">
        <f>IF($C1100="","",IF(OR($N1100=TRUE(),$N1100="TRUE"),1,0))</f>
        <v/>
      </c>
      <c r="AJ1100">
        <f>IF($C1100="","",IF($T1100="Yes",1,0))</f>
        <v/>
      </c>
      <c r="AK1100">
        <f>IF($AG1100=1,IFERROR(IF(VALUE($C1100)&lt;100000000,VALUE($C1100),1000000000),IFERROR(IF(VALUE(MID($C1100,2,20))&lt;100000000,VALUE(MID($C1100,2,20)),1000000000),1000000000))+ROW()/100000,"")</f>
        <v/>
      </c>
    </row>
    <row r="1101">
      <c r="D1101" s="11" t="n"/>
      <c r="K1101" s="7">
        <f>IF($C1101="","",J1101*W1101/100)</f>
        <v/>
      </c>
      <c r="Q1101" s="7" t="n"/>
      <c r="R1101" s="7" t="n"/>
      <c r="U1101">
        <f>IF($C1101="","",IF($AJ1101=1,0,IF($AI1101=1,Settings!$C$6,Settings!$C$7))*100)</f>
        <v/>
      </c>
      <c r="V1101" s="7">
        <f>IF($C1101="","",R1101*U1101/100)</f>
        <v/>
      </c>
      <c r="W1101" s="7">
        <f>IF($C1101="","",R1101-V1101)</f>
        <v/>
      </c>
      <c r="X1101" s="7">
        <f>IF($C1101="","",W1101-K1101)</f>
        <v/>
      </c>
      <c r="AB1101" s="7" t="n"/>
      <c r="AE1101" s="11" t="n"/>
      <c r="AG1101">
        <f>IF($C1101="","",IF(COUNTIF($C$2:$C1101,$C1101)=1,1,0))</f>
        <v/>
      </c>
      <c r="AH1101">
        <f>IF($AG1101=1,SUMPRODUCT(--($AK$2:$AK$6001&lt;$AK1101))+1,"")</f>
        <v/>
      </c>
      <c r="AI1101">
        <f>IF($C1101="","",IF(OR($N1101=TRUE(),$N1101="TRUE"),1,0))</f>
        <v/>
      </c>
      <c r="AJ1101">
        <f>IF($C1101="","",IF($T1101="Yes",1,0))</f>
        <v/>
      </c>
      <c r="AK1101">
        <f>IF($AG1101=1,IFERROR(IF(VALUE($C1101)&lt;100000000,VALUE($C1101),1000000000),IFERROR(IF(VALUE(MID($C1101,2,20))&lt;100000000,VALUE(MID($C1101,2,20)),1000000000),1000000000))+ROW()/100000,"")</f>
        <v/>
      </c>
    </row>
    <row r="1102">
      <c r="D1102" s="11" t="n"/>
      <c r="K1102" s="7">
        <f>IF($C1102="","",J1102*W1102/100)</f>
        <v/>
      </c>
      <c r="Q1102" s="7" t="n"/>
      <c r="R1102" s="7" t="n"/>
      <c r="U1102">
        <f>IF($C1102="","",IF($AJ1102=1,0,IF($AI1102=1,Settings!$C$6,Settings!$C$7))*100)</f>
        <v/>
      </c>
      <c r="V1102" s="7">
        <f>IF($C1102="","",R1102*U1102/100)</f>
        <v/>
      </c>
      <c r="W1102" s="7">
        <f>IF($C1102="","",R1102-V1102)</f>
        <v/>
      </c>
      <c r="X1102" s="7">
        <f>IF($C1102="","",W1102-K1102)</f>
        <v/>
      </c>
      <c r="AB1102" s="7" t="n"/>
      <c r="AE1102" s="11" t="n"/>
      <c r="AG1102">
        <f>IF($C1102="","",IF(COUNTIF($C$2:$C1102,$C1102)=1,1,0))</f>
        <v/>
      </c>
      <c r="AH1102">
        <f>IF($AG1102=1,SUMPRODUCT(--($AK$2:$AK$6001&lt;$AK1102))+1,"")</f>
        <v/>
      </c>
      <c r="AI1102">
        <f>IF($C1102="","",IF(OR($N1102=TRUE(),$N1102="TRUE"),1,0))</f>
        <v/>
      </c>
      <c r="AJ1102">
        <f>IF($C1102="","",IF($T1102="Yes",1,0))</f>
        <v/>
      </c>
      <c r="AK1102">
        <f>IF($AG1102=1,IFERROR(IF(VALUE($C1102)&lt;100000000,VALUE($C1102),1000000000),IFERROR(IF(VALUE(MID($C1102,2,20))&lt;100000000,VALUE(MID($C1102,2,20)),1000000000),1000000000))+ROW()/100000,"")</f>
        <v/>
      </c>
    </row>
    <row r="1103">
      <c r="D1103" s="11" t="n"/>
      <c r="K1103" s="7">
        <f>IF($C1103="","",J1103*W1103/100)</f>
        <v/>
      </c>
      <c r="Q1103" s="7" t="n"/>
      <c r="R1103" s="7" t="n"/>
      <c r="U1103">
        <f>IF($C1103="","",IF($AJ1103=1,0,IF($AI1103=1,Settings!$C$6,Settings!$C$7))*100)</f>
        <v/>
      </c>
      <c r="V1103" s="7">
        <f>IF($C1103="","",R1103*U1103/100)</f>
        <v/>
      </c>
      <c r="W1103" s="7">
        <f>IF($C1103="","",R1103-V1103)</f>
        <v/>
      </c>
      <c r="X1103" s="7">
        <f>IF($C1103="","",W1103-K1103)</f>
        <v/>
      </c>
      <c r="AB1103" s="7" t="n"/>
      <c r="AE1103" s="11" t="n"/>
      <c r="AG1103">
        <f>IF($C1103="","",IF(COUNTIF($C$2:$C1103,$C1103)=1,1,0))</f>
        <v/>
      </c>
      <c r="AH1103">
        <f>IF($AG1103=1,SUMPRODUCT(--($AK$2:$AK$6001&lt;$AK1103))+1,"")</f>
        <v/>
      </c>
      <c r="AI1103">
        <f>IF($C1103="","",IF(OR($N1103=TRUE(),$N1103="TRUE"),1,0))</f>
        <v/>
      </c>
      <c r="AJ1103">
        <f>IF($C1103="","",IF($T1103="Yes",1,0))</f>
        <v/>
      </c>
      <c r="AK1103">
        <f>IF($AG1103=1,IFERROR(IF(VALUE($C1103)&lt;100000000,VALUE($C1103),1000000000),IFERROR(IF(VALUE(MID($C1103,2,20))&lt;100000000,VALUE(MID($C1103,2,20)),1000000000),1000000000))+ROW()/100000,"")</f>
        <v/>
      </c>
    </row>
    <row r="1104">
      <c r="D1104" s="11" t="n"/>
      <c r="K1104" s="7">
        <f>IF($C1104="","",J1104*W1104/100)</f>
        <v/>
      </c>
      <c r="Q1104" s="7" t="n"/>
      <c r="R1104" s="7" t="n"/>
      <c r="U1104">
        <f>IF($C1104="","",IF($AJ1104=1,0,IF($AI1104=1,Settings!$C$6,Settings!$C$7))*100)</f>
        <v/>
      </c>
      <c r="V1104" s="7">
        <f>IF($C1104="","",R1104*U1104/100)</f>
        <v/>
      </c>
      <c r="W1104" s="7">
        <f>IF($C1104="","",R1104-V1104)</f>
        <v/>
      </c>
      <c r="X1104" s="7">
        <f>IF($C1104="","",W1104-K1104)</f>
        <v/>
      </c>
      <c r="AB1104" s="7" t="n"/>
      <c r="AE1104" s="11" t="n"/>
      <c r="AG1104">
        <f>IF($C1104="","",IF(COUNTIF($C$2:$C1104,$C1104)=1,1,0))</f>
        <v/>
      </c>
      <c r="AH1104">
        <f>IF($AG1104=1,SUMPRODUCT(--($AK$2:$AK$6001&lt;$AK1104))+1,"")</f>
        <v/>
      </c>
      <c r="AI1104">
        <f>IF($C1104="","",IF(OR($N1104=TRUE(),$N1104="TRUE"),1,0))</f>
        <v/>
      </c>
      <c r="AJ1104">
        <f>IF($C1104="","",IF($T1104="Yes",1,0))</f>
        <v/>
      </c>
      <c r="AK1104">
        <f>IF($AG1104=1,IFERROR(IF(VALUE($C1104)&lt;100000000,VALUE($C1104),1000000000),IFERROR(IF(VALUE(MID($C1104,2,20))&lt;100000000,VALUE(MID($C1104,2,20)),1000000000),1000000000))+ROW()/100000,"")</f>
        <v/>
      </c>
    </row>
    <row r="1105">
      <c r="D1105" s="11" t="n"/>
      <c r="K1105" s="7">
        <f>IF($C1105="","",J1105*W1105/100)</f>
        <v/>
      </c>
      <c r="Q1105" s="7" t="n"/>
      <c r="R1105" s="7" t="n"/>
      <c r="U1105">
        <f>IF($C1105="","",IF($AJ1105=1,0,IF($AI1105=1,Settings!$C$6,Settings!$C$7))*100)</f>
        <v/>
      </c>
      <c r="V1105" s="7">
        <f>IF($C1105="","",R1105*U1105/100)</f>
        <v/>
      </c>
      <c r="W1105" s="7">
        <f>IF($C1105="","",R1105-V1105)</f>
        <v/>
      </c>
      <c r="X1105" s="7">
        <f>IF($C1105="","",W1105-K1105)</f>
        <v/>
      </c>
      <c r="AB1105" s="7" t="n"/>
      <c r="AE1105" s="11" t="n"/>
      <c r="AG1105">
        <f>IF($C1105="","",IF(COUNTIF($C$2:$C1105,$C1105)=1,1,0))</f>
        <v/>
      </c>
      <c r="AH1105">
        <f>IF($AG1105=1,SUMPRODUCT(--($AK$2:$AK$6001&lt;$AK1105))+1,"")</f>
        <v/>
      </c>
      <c r="AI1105">
        <f>IF($C1105="","",IF(OR($N1105=TRUE(),$N1105="TRUE"),1,0))</f>
        <v/>
      </c>
      <c r="AJ1105">
        <f>IF($C1105="","",IF($T1105="Yes",1,0))</f>
        <v/>
      </c>
      <c r="AK1105">
        <f>IF($AG1105=1,IFERROR(IF(VALUE($C1105)&lt;100000000,VALUE($C1105),1000000000),IFERROR(IF(VALUE(MID($C1105,2,20))&lt;100000000,VALUE(MID($C1105,2,20)),1000000000),1000000000))+ROW()/100000,"")</f>
        <v/>
      </c>
    </row>
    <row r="1106">
      <c r="D1106" s="11" t="n"/>
      <c r="K1106" s="7">
        <f>IF($C1106="","",J1106*W1106/100)</f>
        <v/>
      </c>
      <c r="Q1106" s="7" t="n"/>
      <c r="R1106" s="7" t="n"/>
      <c r="U1106">
        <f>IF($C1106="","",IF($AJ1106=1,0,IF($AI1106=1,Settings!$C$6,Settings!$C$7))*100)</f>
        <v/>
      </c>
      <c r="V1106" s="7">
        <f>IF($C1106="","",R1106*U1106/100)</f>
        <v/>
      </c>
      <c r="W1106" s="7">
        <f>IF($C1106="","",R1106-V1106)</f>
        <v/>
      </c>
      <c r="X1106" s="7">
        <f>IF($C1106="","",W1106-K1106)</f>
        <v/>
      </c>
      <c r="AB1106" s="7" t="n"/>
      <c r="AE1106" s="11" t="n"/>
      <c r="AG1106">
        <f>IF($C1106="","",IF(COUNTIF($C$2:$C1106,$C1106)=1,1,0))</f>
        <v/>
      </c>
      <c r="AH1106">
        <f>IF($AG1106=1,SUMPRODUCT(--($AK$2:$AK$6001&lt;$AK1106))+1,"")</f>
        <v/>
      </c>
      <c r="AI1106">
        <f>IF($C1106="","",IF(OR($N1106=TRUE(),$N1106="TRUE"),1,0))</f>
        <v/>
      </c>
      <c r="AJ1106">
        <f>IF($C1106="","",IF($T1106="Yes",1,0))</f>
        <v/>
      </c>
      <c r="AK1106">
        <f>IF($AG1106=1,IFERROR(IF(VALUE($C1106)&lt;100000000,VALUE($C1106),1000000000),IFERROR(IF(VALUE(MID($C1106,2,20))&lt;100000000,VALUE(MID($C1106,2,20)),1000000000),1000000000))+ROW()/100000,"")</f>
        <v/>
      </c>
    </row>
    <row r="1107">
      <c r="D1107" s="11" t="n"/>
      <c r="K1107" s="7">
        <f>IF($C1107="","",J1107*W1107/100)</f>
        <v/>
      </c>
      <c r="Q1107" s="7" t="n"/>
      <c r="R1107" s="7" t="n"/>
      <c r="U1107">
        <f>IF($C1107="","",IF($AJ1107=1,0,IF($AI1107=1,Settings!$C$6,Settings!$C$7))*100)</f>
        <v/>
      </c>
      <c r="V1107" s="7">
        <f>IF($C1107="","",R1107*U1107/100)</f>
        <v/>
      </c>
      <c r="W1107" s="7">
        <f>IF($C1107="","",R1107-V1107)</f>
        <v/>
      </c>
      <c r="X1107" s="7">
        <f>IF($C1107="","",W1107-K1107)</f>
        <v/>
      </c>
      <c r="AB1107" s="7" t="n"/>
      <c r="AE1107" s="11" t="n"/>
      <c r="AG1107">
        <f>IF($C1107="","",IF(COUNTIF($C$2:$C1107,$C1107)=1,1,0))</f>
        <v/>
      </c>
      <c r="AH1107">
        <f>IF($AG1107=1,SUMPRODUCT(--($AK$2:$AK$6001&lt;$AK1107))+1,"")</f>
        <v/>
      </c>
      <c r="AI1107">
        <f>IF($C1107="","",IF(OR($N1107=TRUE(),$N1107="TRUE"),1,0))</f>
        <v/>
      </c>
      <c r="AJ1107">
        <f>IF($C1107="","",IF($T1107="Yes",1,0))</f>
        <v/>
      </c>
      <c r="AK1107">
        <f>IF($AG1107=1,IFERROR(IF(VALUE($C1107)&lt;100000000,VALUE($C1107),1000000000),IFERROR(IF(VALUE(MID($C1107,2,20))&lt;100000000,VALUE(MID($C1107,2,20)),1000000000),1000000000))+ROW()/100000,"")</f>
        <v/>
      </c>
    </row>
    <row r="1108">
      <c r="D1108" s="11" t="n"/>
      <c r="K1108" s="7">
        <f>IF($C1108="","",J1108*W1108/100)</f>
        <v/>
      </c>
      <c r="Q1108" s="7" t="n"/>
      <c r="R1108" s="7" t="n"/>
      <c r="U1108">
        <f>IF($C1108="","",IF($AJ1108=1,0,IF($AI1108=1,Settings!$C$6,Settings!$C$7))*100)</f>
        <v/>
      </c>
      <c r="V1108" s="7">
        <f>IF($C1108="","",R1108*U1108/100)</f>
        <v/>
      </c>
      <c r="W1108" s="7">
        <f>IF($C1108="","",R1108-V1108)</f>
        <v/>
      </c>
      <c r="X1108" s="7">
        <f>IF($C1108="","",W1108-K1108)</f>
        <v/>
      </c>
      <c r="AB1108" s="7" t="n"/>
      <c r="AE1108" s="11" t="n"/>
      <c r="AG1108">
        <f>IF($C1108="","",IF(COUNTIF($C$2:$C1108,$C1108)=1,1,0))</f>
        <v/>
      </c>
      <c r="AH1108">
        <f>IF($AG1108=1,SUMPRODUCT(--($AK$2:$AK$6001&lt;$AK1108))+1,"")</f>
        <v/>
      </c>
      <c r="AI1108">
        <f>IF($C1108="","",IF(OR($N1108=TRUE(),$N1108="TRUE"),1,0))</f>
        <v/>
      </c>
      <c r="AJ1108">
        <f>IF($C1108="","",IF($T1108="Yes",1,0))</f>
        <v/>
      </c>
      <c r="AK1108">
        <f>IF($AG1108=1,IFERROR(IF(VALUE($C1108)&lt;100000000,VALUE($C1108),1000000000),IFERROR(IF(VALUE(MID($C1108,2,20))&lt;100000000,VALUE(MID($C1108,2,20)),1000000000),1000000000))+ROW()/100000,"")</f>
        <v/>
      </c>
    </row>
    <row r="1109">
      <c r="D1109" s="11" t="n"/>
      <c r="K1109" s="7">
        <f>IF($C1109="","",J1109*W1109/100)</f>
        <v/>
      </c>
      <c r="Q1109" s="7" t="n"/>
      <c r="R1109" s="7" t="n"/>
      <c r="U1109">
        <f>IF($C1109="","",IF($AJ1109=1,0,IF($AI1109=1,Settings!$C$6,Settings!$C$7))*100)</f>
        <v/>
      </c>
      <c r="V1109" s="7">
        <f>IF($C1109="","",R1109*U1109/100)</f>
        <v/>
      </c>
      <c r="W1109" s="7">
        <f>IF($C1109="","",R1109-V1109)</f>
        <v/>
      </c>
      <c r="X1109" s="7">
        <f>IF($C1109="","",W1109-K1109)</f>
        <v/>
      </c>
      <c r="AB1109" s="7" t="n"/>
      <c r="AE1109" s="11" t="n"/>
      <c r="AG1109">
        <f>IF($C1109="","",IF(COUNTIF($C$2:$C1109,$C1109)=1,1,0))</f>
        <v/>
      </c>
      <c r="AH1109">
        <f>IF($AG1109=1,SUMPRODUCT(--($AK$2:$AK$6001&lt;$AK1109))+1,"")</f>
        <v/>
      </c>
      <c r="AI1109">
        <f>IF($C1109="","",IF(OR($N1109=TRUE(),$N1109="TRUE"),1,0))</f>
        <v/>
      </c>
      <c r="AJ1109">
        <f>IF($C1109="","",IF($T1109="Yes",1,0))</f>
        <v/>
      </c>
      <c r="AK1109">
        <f>IF($AG1109=1,IFERROR(IF(VALUE($C1109)&lt;100000000,VALUE($C1109),1000000000),IFERROR(IF(VALUE(MID($C1109,2,20))&lt;100000000,VALUE(MID($C1109,2,20)),1000000000),1000000000))+ROW()/100000,"")</f>
        <v/>
      </c>
    </row>
    <row r="1110">
      <c r="D1110" s="11" t="n"/>
      <c r="K1110" s="7">
        <f>IF($C1110="","",J1110*W1110/100)</f>
        <v/>
      </c>
      <c r="Q1110" s="7" t="n"/>
      <c r="R1110" s="7" t="n"/>
      <c r="U1110">
        <f>IF($C1110="","",IF($AJ1110=1,0,IF($AI1110=1,Settings!$C$6,Settings!$C$7))*100)</f>
        <v/>
      </c>
      <c r="V1110" s="7">
        <f>IF($C1110="","",R1110*U1110/100)</f>
        <v/>
      </c>
      <c r="W1110" s="7">
        <f>IF($C1110="","",R1110-V1110)</f>
        <v/>
      </c>
      <c r="X1110" s="7">
        <f>IF($C1110="","",W1110-K1110)</f>
        <v/>
      </c>
      <c r="AB1110" s="7" t="n"/>
      <c r="AE1110" s="11" t="n"/>
      <c r="AG1110">
        <f>IF($C1110="","",IF(COUNTIF($C$2:$C1110,$C1110)=1,1,0))</f>
        <v/>
      </c>
      <c r="AH1110">
        <f>IF($AG1110=1,SUMPRODUCT(--($AK$2:$AK$6001&lt;$AK1110))+1,"")</f>
        <v/>
      </c>
      <c r="AI1110">
        <f>IF($C1110="","",IF(OR($N1110=TRUE(),$N1110="TRUE"),1,0))</f>
        <v/>
      </c>
      <c r="AJ1110">
        <f>IF($C1110="","",IF($T1110="Yes",1,0))</f>
        <v/>
      </c>
      <c r="AK1110">
        <f>IF($AG1110=1,IFERROR(IF(VALUE($C1110)&lt;100000000,VALUE($C1110),1000000000),IFERROR(IF(VALUE(MID($C1110,2,20))&lt;100000000,VALUE(MID($C1110,2,20)),1000000000),1000000000))+ROW()/100000,"")</f>
        <v/>
      </c>
    </row>
    <row r="1111">
      <c r="D1111" s="11" t="n"/>
      <c r="K1111" s="7">
        <f>IF($C1111="","",J1111*W1111/100)</f>
        <v/>
      </c>
      <c r="Q1111" s="7" t="n"/>
      <c r="R1111" s="7" t="n"/>
      <c r="U1111">
        <f>IF($C1111="","",IF($AJ1111=1,0,IF($AI1111=1,Settings!$C$6,Settings!$C$7))*100)</f>
        <v/>
      </c>
      <c r="V1111" s="7">
        <f>IF($C1111="","",R1111*U1111/100)</f>
        <v/>
      </c>
      <c r="W1111" s="7">
        <f>IF($C1111="","",R1111-V1111)</f>
        <v/>
      </c>
      <c r="X1111" s="7">
        <f>IF($C1111="","",W1111-K1111)</f>
        <v/>
      </c>
      <c r="AB1111" s="7" t="n"/>
      <c r="AE1111" s="11" t="n"/>
      <c r="AG1111">
        <f>IF($C1111="","",IF(COUNTIF($C$2:$C1111,$C1111)=1,1,0))</f>
        <v/>
      </c>
      <c r="AH1111">
        <f>IF($AG1111=1,SUMPRODUCT(--($AK$2:$AK$6001&lt;$AK1111))+1,"")</f>
        <v/>
      </c>
      <c r="AI1111">
        <f>IF($C1111="","",IF(OR($N1111=TRUE(),$N1111="TRUE"),1,0))</f>
        <v/>
      </c>
      <c r="AJ1111">
        <f>IF($C1111="","",IF($T1111="Yes",1,0))</f>
        <v/>
      </c>
      <c r="AK1111">
        <f>IF($AG1111=1,IFERROR(IF(VALUE($C1111)&lt;100000000,VALUE($C1111),1000000000),IFERROR(IF(VALUE(MID($C1111,2,20))&lt;100000000,VALUE(MID($C1111,2,20)),1000000000),1000000000))+ROW()/100000,"")</f>
        <v/>
      </c>
    </row>
    <row r="1112">
      <c r="D1112" s="11" t="n"/>
      <c r="K1112" s="7">
        <f>IF($C1112="","",J1112*W1112/100)</f>
        <v/>
      </c>
      <c r="Q1112" s="7" t="n"/>
      <c r="R1112" s="7" t="n"/>
      <c r="U1112">
        <f>IF($C1112="","",IF($AJ1112=1,0,IF($AI1112=1,Settings!$C$6,Settings!$C$7))*100)</f>
        <v/>
      </c>
      <c r="V1112" s="7">
        <f>IF($C1112="","",R1112*U1112/100)</f>
        <v/>
      </c>
      <c r="W1112" s="7">
        <f>IF($C1112="","",R1112-V1112)</f>
        <v/>
      </c>
      <c r="X1112" s="7">
        <f>IF($C1112="","",W1112-K1112)</f>
        <v/>
      </c>
      <c r="AB1112" s="7" t="n"/>
      <c r="AE1112" s="11" t="n"/>
      <c r="AG1112">
        <f>IF($C1112="","",IF(COUNTIF($C$2:$C1112,$C1112)=1,1,0))</f>
        <v/>
      </c>
      <c r="AH1112">
        <f>IF($AG1112=1,SUMPRODUCT(--($AK$2:$AK$6001&lt;$AK1112))+1,"")</f>
        <v/>
      </c>
      <c r="AI1112">
        <f>IF($C1112="","",IF(OR($N1112=TRUE(),$N1112="TRUE"),1,0))</f>
        <v/>
      </c>
      <c r="AJ1112">
        <f>IF($C1112="","",IF($T1112="Yes",1,0))</f>
        <v/>
      </c>
      <c r="AK1112">
        <f>IF($AG1112=1,IFERROR(IF(VALUE($C1112)&lt;100000000,VALUE($C1112),1000000000),IFERROR(IF(VALUE(MID($C1112,2,20))&lt;100000000,VALUE(MID($C1112,2,20)),1000000000),1000000000))+ROW()/100000,"")</f>
        <v/>
      </c>
    </row>
    <row r="1113">
      <c r="D1113" s="11" t="n"/>
      <c r="K1113" s="7">
        <f>IF($C1113="","",J1113*W1113/100)</f>
        <v/>
      </c>
      <c r="Q1113" s="7" t="n"/>
      <c r="R1113" s="7" t="n"/>
      <c r="U1113">
        <f>IF($C1113="","",IF($AJ1113=1,0,IF($AI1113=1,Settings!$C$6,Settings!$C$7))*100)</f>
        <v/>
      </c>
      <c r="V1113" s="7">
        <f>IF($C1113="","",R1113*U1113/100)</f>
        <v/>
      </c>
      <c r="W1113" s="7">
        <f>IF($C1113="","",R1113-V1113)</f>
        <v/>
      </c>
      <c r="X1113" s="7">
        <f>IF($C1113="","",W1113-K1113)</f>
        <v/>
      </c>
      <c r="AB1113" s="7" t="n"/>
      <c r="AE1113" s="11" t="n"/>
      <c r="AG1113">
        <f>IF($C1113="","",IF(COUNTIF($C$2:$C1113,$C1113)=1,1,0))</f>
        <v/>
      </c>
      <c r="AH1113">
        <f>IF($AG1113=1,SUMPRODUCT(--($AK$2:$AK$6001&lt;$AK1113))+1,"")</f>
        <v/>
      </c>
      <c r="AI1113">
        <f>IF($C1113="","",IF(OR($N1113=TRUE(),$N1113="TRUE"),1,0))</f>
        <v/>
      </c>
      <c r="AJ1113">
        <f>IF($C1113="","",IF($T1113="Yes",1,0))</f>
        <v/>
      </c>
      <c r="AK1113">
        <f>IF($AG1113=1,IFERROR(IF(VALUE($C1113)&lt;100000000,VALUE($C1113),1000000000),IFERROR(IF(VALUE(MID($C1113,2,20))&lt;100000000,VALUE(MID($C1113,2,20)),1000000000),1000000000))+ROW()/100000,"")</f>
        <v/>
      </c>
    </row>
    <row r="1114">
      <c r="D1114" s="11" t="n"/>
      <c r="K1114" s="7">
        <f>IF($C1114="","",J1114*W1114/100)</f>
        <v/>
      </c>
      <c r="Q1114" s="7" t="n"/>
      <c r="R1114" s="7" t="n"/>
      <c r="U1114">
        <f>IF($C1114="","",IF($AJ1114=1,0,IF($AI1114=1,Settings!$C$6,Settings!$C$7))*100)</f>
        <v/>
      </c>
      <c r="V1114" s="7">
        <f>IF($C1114="","",R1114*U1114/100)</f>
        <v/>
      </c>
      <c r="W1114" s="7">
        <f>IF($C1114="","",R1114-V1114)</f>
        <v/>
      </c>
      <c r="X1114" s="7">
        <f>IF($C1114="","",W1114-K1114)</f>
        <v/>
      </c>
      <c r="AB1114" s="7" t="n"/>
      <c r="AE1114" s="11" t="n"/>
      <c r="AG1114">
        <f>IF($C1114="","",IF(COUNTIF($C$2:$C1114,$C1114)=1,1,0))</f>
        <v/>
      </c>
      <c r="AH1114">
        <f>IF($AG1114=1,SUMPRODUCT(--($AK$2:$AK$6001&lt;$AK1114))+1,"")</f>
        <v/>
      </c>
      <c r="AI1114">
        <f>IF($C1114="","",IF(OR($N1114=TRUE(),$N1114="TRUE"),1,0))</f>
        <v/>
      </c>
      <c r="AJ1114">
        <f>IF($C1114="","",IF($T1114="Yes",1,0))</f>
        <v/>
      </c>
      <c r="AK1114">
        <f>IF($AG1114=1,IFERROR(IF(VALUE($C1114)&lt;100000000,VALUE($C1114),1000000000),IFERROR(IF(VALUE(MID($C1114,2,20))&lt;100000000,VALUE(MID($C1114,2,20)),1000000000),1000000000))+ROW()/100000,"")</f>
        <v/>
      </c>
    </row>
    <row r="1115">
      <c r="D1115" s="11" t="n"/>
      <c r="K1115" s="7">
        <f>IF($C1115="","",J1115*W1115/100)</f>
        <v/>
      </c>
      <c r="Q1115" s="7" t="n"/>
      <c r="R1115" s="7" t="n"/>
      <c r="U1115">
        <f>IF($C1115="","",IF($AJ1115=1,0,IF($AI1115=1,Settings!$C$6,Settings!$C$7))*100)</f>
        <v/>
      </c>
      <c r="V1115" s="7">
        <f>IF($C1115="","",R1115*U1115/100)</f>
        <v/>
      </c>
      <c r="W1115" s="7">
        <f>IF($C1115="","",R1115-V1115)</f>
        <v/>
      </c>
      <c r="X1115" s="7">
        <f>IF($C1115="","",W1115-K1115)</f>
        <v/>
      </c>
      <c r="AB1115" s="7" t="n"/>
      <c r="AE1115" s="11" t="n"/>
      <c r="AG1115">
        <f>IF($C1115="","",IF(COUNTIF($C$2:$C1115,$C1115)=1,1,0))</f>
        <v/>
      </c>
      <c r="AH1115">
        <f>IF($AG1115=1,SUMPRODUCT(--($AK$2:$AK$6001&lt;$AK1115))+1,"")</f>
        <v/>
      </c>
      <c r="AI1115">
        <f>IF($C1115="","",IF(OR($N1115=TRUE(),$N1115="TRUE"),1,0))</f>
        <v/>
      </c>
      <c r="AJ1115">
        <f>IF($C1115="","",IF($T1115="Yes",1,0))</f>
        <v/>
      </c>
      <c r="AK1115">
        <f>IF($AG1115=1,IFERROR(IF(VALUE($C1115)&lt;100000000,VALUE($C1115),1000000000),IFERROR(IF(VALUE(MID($C1115,2,20))&lt;100000000,VALUE(MID($C1115,2,20)),1000000000),1000000000))+ROW()/100000,"")</f>
        <v/>
      </c>
    </row>
    <row r="1116">
      <c r="D1116" s="11" t="n"/>
      <c r="K1116" s="7">
        <f>IF($C1116="","",J1116*W1116/100)</f>
        <v/>
      </c>
      <c r="Q1116" s="7" t="n"/>
      <c r="R1116" s="7" t="n"/>
      <c r="U1116">
        <f>IF($C1116="","",IF($AJ1116=1,0,IF($AI1116=1,Settings!$C$6,Settings!$C$7))*100)</f>
        <v/>
      </c>
      <c r="V1116" s="7">
        <f>IF($C1116="","",R1116*U1116/100)</f>
        <v/>
      </c>
      <c r="W1116" s="7">
        <f>IF($C1116="","",R1116-V1116)</f>
        <v/>
      </c>
      <c r="X1116" s="7">
        <f>IF($C1116="","",W1116-K1116)</f>
        <v/>
      </c>
      <c r="AB1116" s="7" t="n"/>
      <c r="AE1116" s="11" t="n"/>
      <c r="AG1116">
        <f>IF($C1116="","",IF(COUNTIF($C$2:$C1116,$C1116)=1,1,0))</f>
        <v/>
      </c>
      <c r="AH1116">
        <f>IF($AG1116=1,SUMPRODUCT(--($AK$2:$AK$6001&lt;$AK1116))+1,"")</f>
        <v/>
      </c>
      <c r="AI1116">
        <f>IF($C1116="","",IF(OR($N1116=TRUE(),$N1116="TRUE"),1,0))</f>
        <v/>
      </c>
      <c r="AJ1116">
        <f>IF($C1116="","",IF($T1116="Yes",1,0))</f>
        <v/>
      </c>
      <c r="AK1116">
        <f>IF($AG1116=1,IFERROR(IF(VALUE($C1116)&lt;100000000,VALUE($C1116),1000000000),IFERROR(IF(VALUE(MID($C1116,2,20))&lt;100000000,VALUE(MID($C1116,2,20)),1000000000),1000000000))+ROW()/100000,"")</f>
        <v/>
      </c>
    </row>
    <row r="1117">
      <c r="D1117" s="11" t="n"/>
      <c r="K1117" s="7">
        <f>IF($C1117="","",J1117*W1117/100)</f>
        <v/>
      </c>
      <c r="Q1117" s="7" t="n"/>
      <c r="R1117" s="7" t="n"/>
      <c r="U1117">
        <f>IF($C1117="","",IF($AJ1117=1,0,IF($AI1117=1,Settings!$C$6,Settings!$C$7))*100)</f>
        <v/>
      </c>
      <c r="V1117" s="7">
        <f>IF($C1117="","",R1117*U1117/100)</f>
        <v/>
      </c>
      <c r="W1117" s="7">
        <f>IF($C1117="","",R1117-V1117)</f>
        <v/>
      </c>
      <c r="X1117" s="7">
        <f>IF($C1117="","",W1117-K1117)</f>
        <v/>
      </c>
      <c r="AB1117" s="7" t="n"/>
      <c r="AE1117" s="11" t="n"/>
      <c r="AG1117">
        <f>IF($C1117="","",IF(COUNTIF($C$2:$C1117,$C1117)=1,1,0))</f>
        <v/>
      </c>
      <c r="AH1117">
        <f>IF($AG1117=1,SUMPRODUCT(--($AK$2:$AK$6001&lt;$AK1117))+1,"")</f>
        <v/>
      </c>
      <c r="AI1117">
        <f>IF($C1117="","",IF(OR($N1117=TRUE(),$N1117="TRUE"),1,0))</f>
        <v/>
      </c>
      <c r="AJ1117">
        <f>IF($C1117="","",IF($T1117="Yes",1,0))</f>
        <v/>
      </c>
      <c r="AK1117">
        <f>IF($AG1117=1,IFERROR(IF(VALUE($C1117)&lt;100000000,VALUE($C1117),1000000000),IFERROR(IF(VALUE(MID($C1117,2,20))&lt;100000000,VALUE(MID($C1117,2,20)),1000000000),1000000000))+ROW()/100000,"")</f>
        <v/>
      </c>
    </row>
    <row r="1118">
      <c r="D1118" s="11" t="n"/>
      <c r="K1118" s="7">
        <f>IF($C1118="","",J1118*W1118/100)</f>
        <v/>
      </c>
      <c r="Q1118" s="7" t="n"/>
      <c r="R1118" s="7" t="n"/>
      <c r="U1118">
        <f>IF($C1118="","",IF($AJ1118=1,0,IF($AI1118=1,Settings!$C$6,Settings!$C$7))*100)</f>
        <v/>
      </c>
      <c r="V1118" s="7">
        <f>IF($C1118="","",R1118*U1118/100)</f>
        <v/>
      </c>
      <c r="W1118" s="7">
        <f>IF($C1118="","",R1118-V1118)</f>
        <v/>
      </c>
      <c r="X1118" s="7">
        <f>IF($C1118="","",W1118-K1118)</f>
        <v/>
      </c>
      <c r="AB1118" s="7" t="n"/>
      <c r="AE1118" s="11" t="n"/>
      <c r="AG1118">
        <f>IF($C1118="","",IF(COUNTIF($C$2:$C1118,$C1118)=1,1,0))</f>
        <v/>
      </c>
      <c r="AH1118">
        <f>IF($AG1118=1,SUMPRODUCT(--($AK$2:$AK$6001&lt;$AK1118))+1,"")</f>
        <v/>
      </c>
      <c r="AI1118">
        <f>IF($C1118="","",IF(OR($N1118=TRUE(),$N1118="TRUE"),1,0))</f>
        <v/>
      </c>
      <c r="AJ1118">
        <f>IF($C1118="","",IF($T1118="Yes",1,0))</f>
        <v/>
      </c>
      <c r="AK1118">
        <f>IF($AG1118=1,IFERROR(IF(VALUE($C1118)&lt;100000000,VALUE($C1118),1000000000),IFERROR(IF(VALUE(MID($C1118,2,20))&lt;100000000,VALUE(MID($C1118,2,20)),1000000000),1000000000))+ROW()/100000,"")</f>
        <v/>
      </c>
    </row>
    <row r="1119">
      <c r="D1119" s="11" t="n"/>
      <c r="K1119" s="7">
        <f>IF($C1119="","",J1119*W1119/100)</f>
        <v/>
      </c>
      <c r="Q1119" s="7" t="n"/>
      <c r="R1119" s="7" t="n"/>
      <c r="U1119">
        <f>IF($C1119="","",IF($AJ1119=1,0,IF($AI1119=1,Settings!$C$6,Settings!$C$7))*100)</f>
        <v/>
      </c>
      <c r="V1119" s="7">
        <f>IF($C1119="","",R1119*U1119/100)</f>
        <v/>
      </c>
      <c r="W1119" s="7">
        <f>IF($C1119="","",R1119-V1119)</f>
        <v/>
      </c>
      <c r="X1119" s="7">
        <f>IF($C1119="","",W1119-K1119)</f>
        <v/>
      </c>
      <c r="AB1119" s="7" t="n"/>
      <c r="AE1119" s="11" t="n"/>
      <c r="AG1119">
        <f>IF($C1119="","",IF(COUNTIF($C$2:$C1119,$C1119)=1,1,0))</f>
        <v/>
      </c>
      <c r="AH1119">
        <f>IF($AG1119=1,SUMPRODUCT(--($AK$2:$AK$6001&lt;$AK1119))+1,"")</f>
        <v/>
      </c>
      <c r="AI1119">
        <f>IF($C1119="","",IF(OR($N1119=TRUE(),$N1119="TRUE"),1,0))</f>
        <v/>
      </c>
      <c r="AJ1119">
        <f>IF($C1119="","",IF($T1119="Yes",1,0))</f>
        <v/>
      </c>
      <c r="AK1119">
        <f>IF($AG1119=1,IFERROR(IF(VALUE($C1119)&lt;100000000,VALUE($C1119),1000000000),IFERROR(IF(VALUE(MID($C1119,2,20))&lt;100000000,VALUE(MID($C1119,2,20)),1000000000),1000000000))+ROW()/100000,"")</f>
        <v/>
      </c>
    </row>
    <row r="1120">
      <c r="D1120" s="11" t="n"/>
      <c r="K1120" s="7">
        <f>IF($C1120="","",J1120*W1120/100)</f>
        <v/>
      </c>
      <c r="Q1120" s="7" t="n"/>
      <c r="R1120" s="7" t="n"/>
      <c r="U1120">
        <f>IF($C1120="","",IF($AJ1120=1,0,IF($AI1120=1,Settings!$C$6,Settings!$C$7))*100)</f>
        <v/>
      </c>
      <c r="V1120" s="7">
        <f>IF($C1120="","",R1120*U1120/100)</f>
        <v/>
      </c>
      <c r="W1120" s="7">
        <f>IF($C1120="","",R1120-V1120)</f>
        <v/>
      </c>
      <c r="X1120" s="7">
        <f>IF($C1120="","",W1120-K1120)</f>
        <v/>
      </c>
      <c r="AB1120" s="7" t="n"/>
      <c r="AE1120" s="11" t="n"/>
      <c r="AG1120">
        <f>IF($C1120="","",IF(COUNTIF($C$2:$C1120,$C1120)=1,1,0))</f>
        <v/>
      </c>
      <c r="AH1120">
        <f>IF($AG1120=1,SUMPRODUCT(--($AK$2:$AK$6001&lt;$AK1120))+1,"")</f>
        <v/>
      </c>
      <c r="AI1120">
        <f>IF($C1120="","",IF(OR($N1120=TRUE(),$N1120="TRUE"),1,0))</f>
        <v/>
      </c>
      <c r="AJ1120">
        <f>IF($C1120="","",IF($T1120="Yes",1,0))</f>
        <v/>
      </c>
      <c r="AK1120">
        <f>IF($AG1120=1,IFERROR(IF(VALUE($C1120)&lt;100000000,VALUE($C1120),1000000000),IFERROR(IF(VALUE(MID($C1120,2,20))&lt;100000000,VALUE(MID($C1120,2,20)),1000000000),1000000000))+ROW()/100000,"")</f>
        <v/>
      </c>
    </row>
    <row r="1121">
      <c r="D1121" s="11" t="n"/>
      <c r="K1121" s="7">
        <f>IF($C1121="","",J1121*W1121/100)</f>
        <v/>
      </c>
      <c r="Q1121" s="7" t="n"/>
      <c r="R1121" s="7" t="n"/>
      <c r="U1121">
        <f>IF($C1121="","",IF($AJ1121=1,0,IF($AI1121=1,Settings!$C$6,Settings!$C$7))*100)</f>
        <v/>
      </c>
      <c r="V1121" s="7">
        <f>IF($C1121="","",R1121*U1121/100)</f>
        <v/>
      </c>
      <c r="W1121" s="7">
        <f>IF($C1121="","",R1121-V1121)</f>
        <v/>
      </c>
      <c r="X1121" s="7">
        <f>IF($C1121="","",W1121-K1121)</f>
        <v/>
      </c>
      <c r="AB1121" s="7" t="n"/>
      <c r="AE1121" s="11" t="n"/>
      <c r="AG1121">
        <f>IF($C1121="","",IF(COUNTIF($C$2:$C1121,$C1121)=1,1,0))</f>
        <v/>
      </c>
      <c r="AH1121">
        <f>IF($AG1121=1,SUMPRODUCT(--($AK$2:$AK$6001&lt;$AK1121))+1,"")</f>
        <v/>
      </c>
      <c r="AI1121">
        <f>IF($C1121="","",IF(OR($N1121=TRUE(),$N1121="TRUE"),1,0))</f>
        <v/>
      </c>
      <c r="AJ1121">
        <f>IF($C1121="","",IF($T1121="Yes",1,0))</f>
        <v/>
      </c>
      <c r="AK1121">
        <f>IF($AG1121=1,IFERROR(IF(VALUE($C1121)&lt;100000000,VALUE($C1121),1000000000),IFERROR(IF(VALUE(MID($C1121,2,20))&lt;100000000,VALUE(MID($C1121,2,20)),1000000000),1000000000))+ROW()/100000,"")</f>
        <v/>
      </c>
    </row>
    <row r="1122">
      <c r="D1122" s="11" t="n"/>
      <c r="K1122" s="7">
        <f>IF($C1122="","",J1122*W1122/100)</f>
        <v/>
      </c>
      <c r="Q1122" s="7" t="n"/>
      <c r="R1122" s="7" t="n"/>
      <c r="U1122">
        <f>IF($C1122="","",IF($AJ1122=1,0,IF($AI1122=1,Settings!$C$6,Settings!$C$7))*100)</f>
        <v/>
      </c>
      <c r="V1122" s="7">
        <f>IF($C1122="","",R1122*U1122/100)</f>
        <v/>
      </c>
      <c r="W1122" s="7">
        <f>IF($C1122="","",R1122-V1122)</f>
        <v/>
      </c>
      <c r="X1122" s="7">
        <f>IF($C1122="","",W1122-K1122)</f>
        <v/>
      </c>
      <c r="AB1122" s="7" t="n"/>
      <c r="AE1122" s="11" t="n"/>
      <c r="AG1122">
        <f>IF($C1122="","",IF(COUNTIF($C$2:$C1122,$C1122)=1,1,0))</f>
        <v/>
      </c>
      <c r="AH1122">
        <f>IF($AG1122=1,SUMPRODUCT(--($AK$2:$AK$6001&lt;$AK1122))+1,"")</f>
        <v/>
      </c>
      <c r="AI1122">
        <f>IF($C1122="","",IF(OR($N1122=TRUE(),$N1122="TRUE"),1,0))</f>
        <v/>
      </c>
      <c r="AJ1122">
        <f>IF($C1122="","",IF($T1122="Yes",1,0))</f>
        <v/>
      </c>
      <c r="AK1122">
        <f>IF($AG1122=1,IFERROR(IF(VALUE($C1122)&lt;100000000,VALUE($C1122),1000000000),IFERROR(IF(VALUE(MID($C1122,2,20))&lt;100000000,VALUE(MID($C1122,2,20)),1000000000),1000000000))+ROW()/100000,"")</f>
        <v/>
      </c>
    </row>
    <row r="1123">
      <c r="D1123" s="11" t="n"/>
      <c r="K1123" s="7">
        <f>IF($C1123="","",J1123*W1123/100)</f>
        <v/>
      </c>
      <c r="Q1123" s="7" t="n"/>
      <c r="R1123" s="7" t="n"/>
      <c r="U1123">
        <f>IF($C1123="","",IF($AJ1123=1,0,IF($AI1123=1,Settings!$C$6,Settings!$C$7))*100)</f>
        <v/>
      </c>
      <c r="V1123" s="7">
        <f>IF($C1123="","",R1123*U1123/100)</f>
        <v/>
      </c>
      <c r="W1123" s="7">
        <f>IF($C1123="","",R1123-V1123)</f>
        <v/>
      </c>
      <c r="X1123" s="7">
        <f>IF($C1123="","",W1123-K1123)</f>
        <v/>
      </c>
      <c r="AB1123" s="7" t="n"/>
      <c r="AE1123" s="11" t="n"/>
      <c r="AG1123">
        <f>IF($C1123="","",IF(COUNTIF($C$2:$C1123,$C1123)=1,1,0))</f>
        <v/>
      </c>
      <c r="AH1123">
        <f>IF($AG1123=1,SUMPRODUCT(--($AK$2:$AK$6001&lt;$AK1123))+1,"")</f>
        <v/>
      </c>
      <c r="AI1123">
        <f>IF($C1123="","",IF(OR($N1123=TRUE(),$N1123="TRUE"),1,0))</f>
        <v/>
      </c>
      <c r="AJ1123">
        <f>IF($C1123="","",IF($T1123="Yes",1,0))</f>
        <v/>
      </c>
      <c r="AK1123">
        <f>IF($AG1123=1,IFERROR(IF(VALUE($C1123)&lt;100000000,VALUE($C1123),1000000000),IFERROR(IF(VALUE(MID($C1123,2,20))&lt;100000000,VALUE(MID($C1123,2,20)),1000000000),1000000000))+ROW()/100000,"")</f>
        <v/>
      </c>
    </row>
    <row r="1124">
      <c r="D1124" s="11" t="n"/>
      <c r="K1124" s="7">
        <f>IF($C1124="","",J1124*W1124/100)</f>
        <v/>
      </c>
      <c r="Q1124" s="7" t="n"/>
      <c r="R1124" s="7" t="n"/>
      <c r="U1124">
        <f>IF($C1124="","",IF($AJ1124=1,0,IF($AI1124=1,Settings!$C$6,Settings!$C$7))*100)</f>
        <v/>
      </c>
      <c r="V1124" s="7">
        <f>IF($C1124="","",R1124*U1124/100)</f>
        <v/>
      </c>
      <c r="W1124" s="7">
        <f>IF($C1124="","",R1124-V1124)</f>
        <v/>
      </c>
      <c r="X1124" s="7">
        <f>IF($C1124="","",W1124-K1124)</f>
        <v/>
      </c>
      <c r="AB1124" s="7" t="n"/>
      <c r="AE1124" s="11" t="n"/>
      <c r="AG1124">
        <f>IF($C1124="","",IF(COUNTIF($C$2:$C1124,$C1124)=1,1,0))</f>
        <v/>
      </c>
      <c r="AH1124">
        <f>IF($AG1124=1,SUMPRODUCT(--($AK$2:$AK$6001&lt;$AK1124))+1,"")</f>
        <v/>
      </c>
      <c r="AI1124">
        <f>IF($C1124="","",IF(OR($N1124=TRUE(),$N1124="TRUE"),1,0))</f>
        <v/>
      </c>
      <c r="AJ1124">
        <f>IF($C1124="","",IF($T1124="Yes",1,0))</f>
        <v/>
      </c>
      <c r="AK1124">
        <f>IF($AG1124=1,IFERROR(IF(VALUE($C1124)&lt;100000000,VALUE($C1124),1000000000),IFERROR(IF(VALUE(MID($C1124,2,20))&lt;100000000,VALUE(MID($C1124,2,20)),1000000000),1000000000))+ROW()/100000,"")</f>
        <v/>
      </c>
    </row>
    <row r="1125">
      <c r="D1125" s="11" t="n"/>
      <c r="K1125" s="7">
        <f>IF($C1125="","",J1125*W1125/100)</f>
        <v/>
      </c>
      <c r="Q1125" s="7" t="n"/>
      <c r="R1125" s="7" t="n"/>
      <c r="U1125">
        <f>IF($C1125="","",IF($AJ1125=1,0,IF($AI1125=1,Settings!$C$6,Settings!$C$7))*100)</f>
        <v/>
      </c>
      <c r="V1125" s="7">
        <f>IF($C1125="","",R1125*U1125/100)</f>
        <v/>
      </c>
      <c r="W1125" s="7">
        <f>IF($C1125="","",R1125-V1125)</f>
        <v/>
      </c>
      <c r="X1125" s="7">
        <f>IF($C1125="","",W1125-K1125)</f>
        <v/>
      </c>
      <c r="AB1125" s="7" t="n"/>
      <c r="AE1125" s="11" t="n"/>
      <c r="AG1125">
        <f>IF($C1125="","",IF(COUNTIF($C$2:$C1125,$C1125)=1,1,0))</f>
        <v/>
      </c>
      <c r="AH1125">
        <f>IF($AG1125=1,SUMPRODUCT(--($AK$2:$AK$6001&lt;$AK1125))+1,"")</f>
        <v/>
      </c>
      <c r="AI1125">
        <f>IF($C1125="","",IF(OR($N1125=TRUE(),$N1125="TRUE"),1,0))</f>
        <v/>
      </c>
      <c r="AJ1125">
        <f>IF($C1125="","",IF($T1125="Yes",1,0))</f>
        <v/>
      </c>
      <c r="AK1125">
        <f>IF($AG1125=1,IFERROR(IF(VALUE($C1125)&lt;100000000,VALUE($C1125),1000000000),IFERROR(IF(VALUE(MID($C1125,2,20))&lt;100000000,VALUE(MID($C1125,2,20)),1000000000),1000000000))+ROW()/100000,"")</f>
        <v/>
      </c>
    </row>
    <row r="1126">
      <c r="D1126" s="11" t="n"/>
      <c r="K1126" s="7">
        <f>IF($C1126="","",J1126*W1126/100)</f>
        <v/>
      </c>
      <c r="Q1126" s="7" t="n"/>
      <c r="R1126" s="7" t="n"/>
      <c r="U1126">
        <f>IF($C1126="","",IF($AJ1126=1,0,IF($AI1126=1,Settings!$C$6,Settings!$C$7))*100)</f>
        <v/>
      </c>
      <c r="V1126" s="7">
        <f>IF($C1126="","",R1126*U1126/100)</f>
        <v/>
      </c>
      <c r="W1126" s="7">
        <f>IF($C1126="","",R1126-V1126)</f>
        <v/>
      </c>
      <c r="X1126" s="7">
        <f>IF($C1126="","",W1126-K1126)</f>
        <v/>
      </c>
      <c r="AB1126" s="7" t="n"/>
      <c r="AE1126" s="11" t="n"/>
      <c r="AG1126">
        <f>IF($C1126="","",IF(COUNTIF($C$2:$C1126,$C1126)=1,1,0))</f>
        <v/>
      </c>
      <c r="AH1126">
        <f>IF($AG1126=1,SUMPRODUCT(--($AK$2:$AK$6001&lt;$AK1126))+1,"")</f>
        <v/>
      </c>
      <c r="AI1126">
        <f>IF($C1126="","",IF(OR($N1126=TRUE(),$N1126="TRUE"),1,0))</f>
        <v/>
      </c>
      <c r="AJ1126">
        <f>IF($C1126="","",IF($T1126="Yes",1,0))</f>
        <v/>
      </c>
      <c r="AK1126">
        <f>IF($AG1126=1,IFERROR(IF(VALUE($C1126)&lt;100000000,VALUE($C1126),1000000000),IFERROR(IF(VALUE(MID($C1126,2,20))&lt;100000000,VALUE(MID($C1126,2,20)),1000000000),1000000000))+ROW()/100000,"")</f>
        <v/>
      </c>
    </row>
    <row r="1127">
      <c r="D1127" s="11" t="n"/>
      <c r="K1127" s="7">
        <f>IF($C1127="","",J1127*W1127/100)</f>
        <v/>
      </c>
      <c r="Q1127" s="7" t="n"/>
      <c r="R1127" s="7" t="n"/>
      <c r="U1127">
        <f>IF($C1127="","",IF($AJ1127=1,0,IF($AI1127=1,Settings!$C$6,Settings!$C$7))*100)</f>
        <v/>
      </c>
      <c r="V1127" s="7">
        <f>IF($C1127="","",R1127*U1127/100)</f>
        <v/>
      </c>
      <c r="W1127" s="7">
        <f>IF($C1127="","",R1127-V1127)</f>
        <v/>
      </c>
      <c r="X1127" s="7">
        <f>IF($C1127="","",W1127-K1127)</f>
        <v/>
      </c>
      <c r="AB1127" s="7" t="n"/>
      <c r="AE1127" s="11" t="n"/>
      <c r="AG1127">
        <f>IF($C1127="","",IF(COUNTIF($C$2:$C1127,$C1127)=1,1,0))</f>
        <v/>
      </c>
      <c r="AH1127">
        <f>IF($AG1127=1,SUMPRODUCT(--($AK$2:$AK$6001&lt;$AK1127))+1,"")</f>
        <v/>
      </c>
      <c r="AI1127">
        <f>IF($C1127="","",IF(OR($N1127=TRUE(),$N1127="TRUE"),1,0))</f>
        <v/>
      </c>
      <c r="AJ1127">
        <f>IF($C1127="","",IF($T1127="Yes",1,0))</f>
        <v/>
      </c>
      <c r="AK1127">
        <f>IF($AG1127=1,IFERROR(IF(VALUE($C1127)&lt;100000000,VALUE($C1127),1000000000),IFERROR(IF(VALUE(MID($C1127,2,20))&lt;100000000,VALUE(MID($C1127,2,20)),1000000000),1000000000))+ROW()/100000,"")</f>
        <v/>
      </c>
    </row>
    <row r="1128">
      <c r="D1128" s="11" t="n"/>
      <c r="K1128" s="7">
        <f>IF($C1128="","",J1128*W1128/100)</f>
        <v/>
      </c>
      <c r="Q1128" s="7" t="n"/>
      <c r="R1128" s="7" t="n"/>
      <c r="U1128">
        <f>IF($C1128="","",IF($AJ1128=1,0,IF($AI1128=1,Settings!$C$6,Settings!$C$7))*100)</f>
        <v/>
      </c>
      <c r="V1128" s="7">
        <f>IF($C1128="","",R1128*U1128/100)</f>
        <v/>
      </c>
      <c r="W1128" s="7">
        <f>IF($C1128="","",R1128-V1128)</f>
        <v/>
      </c>
      <c r="X1128" s="7">
        <f>IF($C1128="","",W1128-K1128)</f>
        <v/>
      </c>
      <c r="AB1128" s="7" t="n"/>
      <c r="AE1128" s="11" t="n"/>
      <c r="AG1128">
        <f>IF($C1128="","",IF(COUNTIF($C$2:$C1128,$C1128)=1,1,0))</f>
        <v/>
      </c>
      <c r="AH1128">
        <f>IF($AG1128=1,SUMPRODUCT(--($AK$2:$AK$6001&lt;$AK1128))+1,"")</f>
        <v/>
      </c>
      <c r="AI1128">
        <f>IF($C1128="","",IF(OR($N1128=TRUE(),$N1128="TRUE"),1,0))</f>
        <v/>
      </c>
      <c r="AJ1128">
        <f>IF($C1128="","",IF($T1128="Yes",1,0))</f>
        <v/>
      </c>
      <c r="AK1128">
        <f>IF($AG1128=1,IFERROR(IF(VALUE($C1128)&lt;100000000,VALUE($C1128),1000000000),IFERROR(IF(VALUE(MID($C1128,2,20))&lt;100000000,VALUE(MID($C1128,2,20)),1000000000),1000000000))+ROW()/100000,"")</f>
        <v/>
      </c>
    </row>
    <row r="1129">
      <c r="D1129" s="11" t="n"/>
      <c r="K1129" s="7">
        <f>IF($C1129="","",J1129*W1129/100)</f>
        <v/>
      </c>
      <c r="Q1129" s="7" t="n"/>
      <c r="R1129" s="7" t="n"/>
      <c r="U1129">
        <f>IF($C1129="","",IF($AJ1129=1,0,IF($AI1129=1,Settings!$C$6,Settings!$C$7))*100)</f>
        <v/>
      </c>
      <c r="V1129" s="7">
        <f>IF($C1129="","",R1129*U1129/100)</f>
        <v/>
      </c>
      <c r="W1129" s="7">
        <f>IF($C1129="","",R1129-V1129)</f>
        <v/>
      </c>
      <c r="X1129" s="7">
        <f>IF($C1129="","",W1129-K1129)</f>
        <v/>
      </c>
      <c r="AB1129" s="7" t="n"/>
      <c r="AE1129" s="11" t="n"/>
      <c r="AG1129">
        <f>IF($C1129="","",IF(COUNTIF($C$2:$C1129,$C1129)=1,1,0))</f>
        <v/>
      </c>
      <c r="AH1129">
        <f>IF($AG1129=1,SUMPRODUCT(--($AK$2:$AK$6001&lt;$AK1129))+1,"")</f>
        <v/>
      </c>
      <c r="AI1129">
        <f>IF($C1129="","",IF(OR($N1129=TRUE(),$N1129="TRUE"),1,0))</f>
        <v/>
      </c>
      <c r="AJ1129">
        <f>IF($C1129="","",IF($T1129="Yes",1,0))</f>
        <v/>
      </c>
      <c r="AK1129">
        <f>IF($AG1129=1,IFERROR(IF(VALUE($C1129)&lt;100000000,VALUE($C1129),1000000000),IFERROR(IF(VALUE(MID($C1129,2,20))&lt;100000000,VALUE(MID($C1129,2,20)),1000000000),1000000000))+ROW()/100000,"")</f>
        <v/>
      </c>
    </row>
    <row r="1130">
      <c r="D1130" s="11" t="n"/>
      <c r="K1130" s="7">
        <f>IF($C1130="","",J1130*W1130/100)</f>
        <v/>
      </c>
      <c r="Q1130" s="7" t="n"/>
      <c r="R1130" s="7" t="n"/>
      <c r="U1130">
        <f>IF($C1130="","",IF($AJ1130=1,0,IF($AI1130=1,Settings!$C$6,Settings!$C$7))*100)</f>
        <v/>
      </c>
      <c r="V1130" s="7">
        <f>IF($C1130="","",R1130*U1130/100)</f>
        <v/>
      </c>
      <c r="W1130" s="7">
        <f>IF($C1130="","",R1130-V1130)</f>
        <v/>
      </c>
      <c r="X1130" s="7">
        <f>IF($C1130="","",W1130-K1130)</f>
        <v/>
      </c>
      <c r="AB1130" s="7" t="n"/>
      <c r="AE1130" s="11" t="n"/>
      <c r="AG1130">
        <f>IF($C1130="","",IF(COUNTIF($C$2:$C1130,$C1130)=1,1,0))</f>
        <v/>
      </c>
      <c r="AH1130">
        <f>IF($AG1130=1,SUMPRODUCT(--($AK$2:$AK$6001&lt;$AK1130))+1,"")</f>
        <v/>
      </c>
      <c r="AI1130">
        <f>IF($C1130="","",IF(OR($N1130=TRUE(),$N1130="TRUE"),1,0))</f>
        <v/>
      </c>
      <c r="AJ1130">
        <f>IF($C1130="","",IF($T1130="Yes",1,0))</f>
        <v/>
      </c>
      <c r="AK1130">
        <f>IF($AG1130=1,IFERROR(IF(VALUE($C1130)&lt;100000000,VALUE($C1130),1000000000),IFERROR(IF(VALUE(MID($C1130,2,20))&lt;100000000,VALUE(MID($C1130,2,20)),1000000000),1000000000))+ROW()/100000,"")</f>
        <v/>
      </c>
    </row>
    <row r="1131">
      <c r="D1131" s="11" t="n"/>
      <c r="K1131" s="7">
        <f>IF($C1131="","",J1131*W1131/100)</f>
        <v/>
      </c>
      <c r="Q1131" s="7" t="n"/>
      <c r="R1131" s="7" t="n"/>
      <c r="U1131">
        <f>IF($C1131="","",IF($AJ1131=1,0,IF($AI1131=1,Settings!$C$6,Settings!$C$7))*100)</f>
        <v/>
      </c>
      <c r="V1131" s="7">
        <f>IF($C1131="","",R1131*U1131/100)</f>
        <v/>
      </c>
      <c r="W1131" s="7">
        <f>IF($C1131="","",R1131-V1131)</f>
        <v/>
      </c>
      <c r="X1131" s="7">
        <f>IF($C1131="","",W1131-K1131)</f>
        <v/>
      </c>
      <c r="AB1131" s="7" t="n"/>
      <c r="AE1131" s="11" t="n"/>
      <c r="AG1131">
        <f>IF($C1131="","",IF(COUNTIF($C$2:$C1131,$C1131)=1,1,0))</f>
        <v/>
      </c>
      <c r="AH1131">
        <f>IF($AG1131=1,SUMPRODUCT(--($AK$2:$AK$6001&lt;$AK1131))+1,"")</f>
        <v/>
      </c>
      <c r="AI1131">
        <f>IF($C1131="","",IF(OR($N1131=TRUE(),$N1131="TRUE"),1,0))</f>
        <v/>
      </c>
      <c r="AJ1131">
        <f>IF($C1131="","",IF($T1131="Yes",1,0))</f>
        <v/>
      </c>
      <c r="AK1131">
        <f>IF($AG1131=1,IFERROR(IF(VALUE($C1131)&lt;100000000,VALUE($C1131),1000000000),IFERROR(IF(VALUE(MID($C1131,2,20))&lt;100000000,VALUE(MID($C1131,2,20)),1000000000),1000000000))+ROW()/100000,"")</f>
        <v/>
      </c>
    </row>
    <row r="1132">
      <c r="D1132" s="11" t="n"/>
      <c r="K1132" s="7">
        <f>IF($C1132="","",J1132*W1132/100)</f>
        <v/>
      </c>
      <c r="Q1132" s="7" t="n"/>
      <c r="R1132" s="7" t="n"/>
      <c r="U1132">
        <f>IF($C1132="","",IF($AJ1132=1,0,IF($AI1132=1,Settings!$C$6,Settings!$C$7))*100)</f>
        <v/>
      </c>
      <c r="V1132" s="7">
        <f>IF($C1132="","",R1132*U1132/100)</f>
        <v/>
      </c>
      <c r="W1132" s="7">
        <f>IF($C1132="","",R1132-V1132)</f>
        <v/>
      </c>
      <c r="X1132" s="7">
        <f>IF($C1132="","",W1132-K1132)</f>
        <v/>
      </c>
      <c r="AB1132" s="7" t="n"/>
      <c r="AE1132" s="11" t="n"/>
      <c r="AG1132">
        <f>IF($C1132="","",IF(COUNTIF($C$2:$C1132,$C1132)=1,1,0))</f>
        <v/>
      </c>
      <c r="AH1132">
        <f>IF($AG1132=1,SUMPRODUCT(--($AK$2:$AK$6001&lt;$AK1132))+1,"")</f>
        <v/>
      </c>
      <c r="AI1132">
        <f>IF($C1132="","",IF(OR($N1132=TRUE(),$N1132="TRUE"),1,0))</f>
        <v/>
      </c>
      <c r="AJ1132">
        <f>IF($C1132="","",IF($T1132="Yes",1,0))</f>
        <v/>
      </c>
      <c r="AK1132">
        <f>IF($AG1132=1,IFERROR(IF(VALUE($C1132)&lt;100000000,VALUE($C1132),1000000000),IFERROR(IF(VALUE(MID($C1132,2,20))&lt;100000000,VALUE(MID($C1132,2,20)),1000000000),1000000000))+ROW()/100000,"")</f>
        <v/>
      </c>
    </row>
    <row r="1133">
      <c r="D1133" s="11" t="n"/>
      <c r="K1133" s="7">
        <f>IF($C1133="","",J1133*W1133/100)</f>
        <v/>
      </c>
      <c r="Q1133" s="7" t="n"/>
      <c r="R1133" s="7" t="n"/>
      <c r="U1133">
        <f>IF($C1133="","",IF($AJ1133=1,0,IF($AI1133=1,Settings!$C$6,Settings!$C$7))*100)</f>
        <v/>
      </c>
      <c r="V1133" s="7">
        <f>IF($C1133="","",R1133*U1133/100)</f>
        <v/>
      </c>
      <c r="W1133" s="7">
        <f>IF($C1133="","",R1133-V1133)</f>
        <v/>
      </c>
      <c r="X1133" s="7">
        <f>IF($C1133="","",W1133-K1133)</f>
        <v/>
      </c>
      <c r="AB1133" s="7" t="n"/>
      <c r="AE1133" s="11" t="n"/>
      <c r="AG1133">
        <f>IF($C1133="","",IF(COUNTIF($C$2:$C1133,$C1133)=1,1,0))</f>
        <v/>
      </c>
      <c r="AH1133">
        <f>IF($AG1133=1,SUMPRODUCT(--($AK$2:$AK$6001&lt;$AK1133))+1,"")</f>
        <v/>
      </c>
      <c r="AI1133">
        <f>IF($C1133="","",IF(OR($N1133=TRUE(),$N1133="TRUE"),1,0))</f>
        <v/>
      </c>
      <c r="AJ1133">
        <f>IF($C1133="","",IF($T1133="Yes",1,0))</f>
        <v/>
      </c>
      <c r="AK1133">
        <f>IF($AG1133=1,IFERROR(IF(VALUE($C1133)&lt;100000000,VALUE($C1133),1000000000),IFERROR(IF(VALUE(MID($C1133,2,20))&lt;100000000,VALUE(MID($C1133,2,20)),1000000000),1000000000))+ROW()/100000,"")</f>
        <v/>
      </c>
    </row>
    <row r="1134">
      <c r="D1134" s="11" t="n"/>
      <c r="K1134" s="7">
        <f>IF($C1134="","",J1134*W1134/100)</f>
        <v/>
      </c>
      <c r="Q1134" s="7" t="n"/>
      <c r="R1134" s="7" t="n"/>
      <c r="U1134">
        <f>IF($C1134="","",IF($AJ1134=1,0,IF($AI1134=1,Settings!$C$6,Settings!$C$7))*100)</f>
        <v/>
      </c>
      <c r="V1134" s="7">
        <f>IF($C1134="","",R1134*U1134/100)</f>
        <v/>
      </c>
      <c r="W1134" s="7">
        <f>IF($C1134="","",R1134-V1134)</f>
        <v/>
      </c>
      <c r="X1134" s="7">
        <f>IF($C1134="","",W1134-K1134)</f>
        <v/>
      </c>
      <c r="AB1134" s="7" t="n"/>
      <c r="AE1134" s="11" t="n"/>
      <c r="AG1134">
        <f>IF($C1134="","",IF(COUNTIF($C$2:$C1134,$C1134)=1,1,0))</f>
        <v/>
      </c>
      <c r="AH1134">
        <f>IF($AG1134=1,SUMPRODUCT(--($AK$2:$AK$6001&lt;$AK1134))+1,"")</f>
        <v/>
      </c>
      <c r="AI1134">
        <f>IF($C1134="","",IF(OR($N1134=TRUE(),$N1134="TRUE"),1,0))</f>
        <v/>
      </c>
      <c r="AJ1134">
        <f>IF($C1134="","",IF($T1134="Yes",1,0))</f>
        <v/>
      </c>
      <c r="AK1134">
        <f>IF($AG1134=1,IFERROR(IF(VALUE($C1134)&lt;100000000,VALUE($C1134),1000000000),IFERROR(IF(VALUE(MID($C1134,2,20))&lt;100000000,VALUE(MID($C1134,2,20)),1000000000),1000000000))+ROW()/100000,"")</f>
        <v/>
      </c>
    </row>
    <row r="1135">
      <c r="D1135" s="11" t="n"/>
      <c r="K1135" s="7">
        <f>IF($C1135="","",J1135*W1135/100)</f>
        <v/>
      </c>
      <c r="Q1135" s="7" t="n"/>
      <c r="R1135" s="7" t="n"/>
      <c r="U1135">
        <f>IF($C1135="","",IF($AJ1135=1,0,IF($AI1135=1,Settings!$C$6,Settings!$C$7))*100)</f>
        <v/>
      </c>
      <c r="V1135" s="7">
        <f>IF($C1135="","",R1135*U1135/100)</f>
        <v/>
      </c>
      <c r="W1135" s="7">
        <f>IF($C1135="","",R1135-V1135)</f>
        <v/>
      </c>
      <c r="X1135" s="7">
        <f>IF($C1135="","",W1135-K1135)</f>
        <v/>
      </c>
      <c r="AB1135" s="7" t="n"/>
      <c r="AE1135" s="11" t="n"/>
      <c r="AG1135">
        <f>IF($C1135="","",IF(COUNTIF($C$2:$C1135,$C1135)=1,1,0))</f>
        <v/>
      </c>
      <c r="AH1135">
        <f>IF($AG1135=1,SUMPRODUCT(--($AK$2:$AK$6001&lt;$AK1135))+1,"")</f>
        <v/>
      </c>
      <c r="AI1135">
        <f>IF($C1135="","",IF(OR($N1135=TRUE(),$N1135="TRUE"),1,0))</f>
        <v/>
      </c>
      <c r="AJ1135">
        <f>IF($C1135="","",IF($T1135="Yes",1,0))</f>
        <v/>
      </c>
      <c r="AK1135">
        <f>IF($AG1135=1,IFERROR(IF(VALUE($C1135)&lt;100000000,VALUE($C1135),1000000000),IFERROR(IF(VALUE(MID($C1135,2,20))&lt;100000000,VALUE(MID($C1135,2,20)),1000000000),1000000000))+ROW()/100000,"")</f>
        <v/>
      </c>
    </row>
    <row r="1136">
      <c r="D1136" s="11" t="n"/>
      <c r="K1136" s="7">
        <f>IF($C1136="","",J1136*W1136/100)</f>
        <v/>
      </c>
      <c r="Q1136" s="7" t="n"/>
      <c r="R1136" s="7" t="n"/>
      <c r="U1136">
        <f>IF($C1136="","",IF($AJ1136=1,0,IF($AI1136=1,Settings!$C$6,Settings!$C$7))*100)</f>
        <v/>
      </c>
      <c r="V1136" s="7">
        <f>IF($C1136="","",R1136*U1136/100)</f>
        <v/>
      </c>
      <c r="W1136" s="7">
        <f>IF($C1136="","",R1136-V1136)</f>
        <v/>
      </c>
      <c r="X1136" s="7">
        <f>IF($C1136="","",W1136-K1136)</f>
        <v/>
      </c>
      <c r="AB1136" s="7" t="n"/>
      <c r="AE1136" s="11" t="n"/>
      <c r="AG1136">
        <f>IF($C1136="","",IF(COUNTIF($C$2:$C1136,$C1136)=1,1,0))</f>
        <v/>
      </c>
      <c r="AH1136">
        <f>IF($AG1136=1,SUMPRODUCT(--($AK$2:$AK$6001&lt;$AK1136))+1,"")</f>
        <v/>
      </c>
      <c r="AI1136">
        <f>IF($C1136="","",IF(OR($N1136=TRUE(),$N1136="TRUE"),1,0))</f>
        <v/>
      </c>
      <c r="AJ1136">
        <f>IF($C1136="","",IF($T1136="Yes",1,0))</f>
        <v/>
      </c>
      <c r="AK1136">
        <f>IF($AG1136=1,IFERROR(IF(VALUE($C1136)&lt;100000000,VALUE($C1136),1000000000),IFERROR(IF(VALUE(MID($C1136,2,20))&lt;100000000,VALUE(MID($C1136,2,20)),1000000000),1000000000))+ROW()/100000,"")</f>
        <v/>
      </c>
    </row>
    <row r="1137">
      <c r="D1137" s="11" t="n"/>
      <c r="K1137" s="7">
        <f>IF($C1137="","",J1137*W1137/100)</f>
        <v/>
      </c>
      <c r="Q1137" s="7" t="n"/>
      <c r="R1137" s="7" t="n"/>
      <c r="U1137">
        <f>IF($C1137="","",IF($AJ1137=1,0,IF($AI1137=1,Settings!$C$6,Settings!$C$7))*100)</f>
        <v/>
      </c>
      <c r="V1137" s="7">
        <f>IF($C1137="","",R1137*U1137/100)</f>
        <v/>
      </c>
      <c r="W1137" s="7">
        <f>IF($C1137="","",R1137-V1137)</f>
        <v/>
      </c>
      <c r="X1137" s="7">
        <f>IF($C1137="","",W1137-K1137)</f>
        <v/>
      </c>
      <c r="AB1137" s="7" t="n"/>
      <c r="AE1137" s="11" t="n"/>
      <c r="AG1137">
        <f>IF($C1137="","",IF(COUNTIF($C$2:$C1137,$C1137)=1,1,0))</f>
        <v/>
      </c>
      <c r="AH1137">
        <f>IF($AG1137=1,SUMPRODUCT(--($AK$2:$AK$6001&lt;$AK1137))+1,"")</f>
        <v/>
      </c>
      <c r="AI1137">
        <f>IF($C1137="","",IF(OR($N1137=TRUE(),$N1137="TRUE"),1,0))</f>
        <v/>
      </c>
      <c r="AJ1137">
        <f>IF($C1137="","",IF($T1137="Yes",1,0))</f>
        <v/>
      </c>
      <c r="AK1137">
        <f>IF($AG1137=1,IFERROR(IF(VALUE($C1137)&lt;100000000,VALUE($C1137),1000000000),IFERROR(IF(VALUE(MID($C1137,2,20))&lt;100000000,VALUE(MID($C1137,2,20)),1000000000),1000000000))+ROW()/100000,"")</f>
        <v/>
      </c>
    </row>
    <row r="1138">
      <c r="D1138" s="11" t="n"/>
      <c r="K1138" s="7">
        <f>IF($C1138="","",J1138*W1138/100)</f>
        <v/>
      </c>
      <c r="Q1138" s="7" t="n"/>
      <c r="R1138" s="7" t="n"/>
      <c r="U1138">
        <f>IF($C1138="","",IF($AJ1138=1,0,IF($AI1138=1,Settings!$C$6,Settings!$C$7))*100)</f>
        <v/>
      </c>
      <c r="V1138" s="7">
        <f>IF($C1138="","",R1138*U1138/100)</f>
        <v/>
      </c>
      <c r="W1138" s="7">
        <f>IF($C1138="","",R1138-V1138)</f>
        <v/>
      </c>
      <c r="X1138" s="7">
        <f>IF($C1138="","",W1138-K1138)</f>
        <v/>
      </c>
      <c r="AB1138" s="7" t="n"/>
      <c r="AE1138" s="11" t="n"/>
      <c r="AG1138">
        <f>IF($C1138="","",IF(COUNTIF($C$2:$C1138,$C1138)=1,1,0))</f>
        <v/>
      </c>
      <c r="AH1138">
        <f>IF($AG1138=1,SUMPRODUCT(--($AK$2:$AK$6001&lt;$AK1138))+1,"")</f>
        <v/>
      </c>
      <c r="AI1138">
        <f>IF($C1138="","",IF(OR($N1138=TRUE(),$N1138="TRUE"),1,0))</f>
        <v/>
      </c>
      <c r="AJ1138">
        <f>IF($C1138="","",IF($T1138="Yes",1,0))</f>
        <v/>
      </c>
      <c r="AK1138">
        <f>IF($AG1138=1,IFERROR(IF(VALUE($C1138)&lt;100000000,VALUE($C1138),1000000000),IFERROR(IF(VALUE(MID($C1138,2,20))&lt;100000000,VALUE(MID($C1138,2,20)),1000000000),1000000000))+ROW()/100000,"")</f>
        <v/>
      </c>
    </row>
    <row r="1139">
      <c r="D1139" s="11" t="n"/>
      <c r="K1139" s="7">
        <f>IF($C1139="","",J1139*W1139/100)</f>
        <v/>
      </c>
      <c r="Q1139" s="7" t="n"/>
      <c r="R1139" s="7" t="n"/>
      <c r="U1139">
        <f>IF($C1139="","",IF($AJ1139=1,0,IF($AI1139=1,Settings!$C$6,Settings!$C$7))*100)</f>
        <v/>
      </c>
      <c r="V1139" s="7">
        <f>IF($C1139="","",R1139*U1139/100)</f>
        <v/>
      </c>
      <c r="W1139" s="7">
        <f>IF($C1139="","",R1139-V1139)</f>
        <v/>
      </c>
      <c r="X1139" s="7">
        <f>IF($C1139="","",W1139-K1139)</f>
        <v/>
      </c>
      <c r="AB1139" s="7" t="n"/>
      <c r="AE1139" s="11" t="n"/>
      <c r="AG1139">
        <f>IF($C1139="","",IF(COUNTIF($C$2:$C1139,$C1139)=1,1,0))</f>
        <v/>
      </c>
      <c r="AH1139">
        <f>IF($AG1139=1,SUMPRODUCT(--($AK$2:$AK$6001&lt;$AK1139))+1,"")</f>
        <v/>
      </c>
      <c r="AI1139">
        <f>IF($C1139="","",IF(OR($N1139=TRUE(),$N1139="TRUE"),1,0))</f>
        <v/>
      </c>
      <c r="AJ1139">
        <f>IF($C1139="","",IF($T1139="Yes",1,0))</f>
        <v/>
      </c>
      <c r="AK1139">
        <f>IF($AG1139=1,IFERROR(IF(VALUE($C1139)&lt;100000000,VALUE($C1139),1000000000),IFERROR(IF(VALUE(MID($C1139,2,20))&lt;100000000,VALUE(MID($C1139,2,20)),1000000000),1000000000))+ROW()/100000,"")</f>
        <v/>
      </c>
    </row>
    <row r="1140">
      <c r="D1140" s="11" t="n"/>
      <c r="K1140" s="7">
        <f>IF($C1140="","",J1140*W1140/100)</f>
        <v/>
      </c>
      <c r="Q1140" s="7" t="n"/>
      <c r="R1140" s="7" t="n"/>
      <c r="U1140">
        <f>IF($C1140="","",IF($AJ1140=1,0,IF($AI1140=1,Settings!$C$6,Settings!$C$7))*100)</f>
        <v/>
      </c>
      <c r="V1140" s="7">
        <f>IF($C1140="","",R1140*U1140/100)</f>
        <v/>
      </c>
      <c r="W1140" s="7">
        <f>IF($C1140="","",R1140-V1140)</f>
        <v/>
      </c>
      <c r="X1140" s="7">
        <f>IF($C1140="","",W1140-K1140)</f>
        <v/>
      </c>
      <c r="AB1140" s="7" t="n"/>
      <c r="AE1140" s="11" t="n"/>
      <c r="AG1140">
        <f>IF($C1140="","",IF(COUNTIF($C$2:$C1140,$C1140)=1,1,0))</f>
        <v/>
      </c>
      <c r="AH1140">
        <f>IF($AG1140=1,SUMPRODUCT(--($AK$2:$AK$6001&lt;$AK1140))+1,"")</f>
        <v/>
      </c>
      <c r="AI1140">
        <f>IF($C1140="","",IF(OR($N1140=TRUE(),$N1140="TRUE"),1,0))</f>
        <v/>
      </c>
      <c r="AJ1140">
        <f>IF($C1140="","",IF($T1140="Yes",1,0))</f>
        <v/>
      </c>
      <c r="AK1140">
        <f>IF($AG1140=1,IFERROR(IF(VALUE($C1140)&lt;100000000,VALUE($C1140),1000000000),IFERROR(IF(VALUE(MID($C1140,2,20))&lt;100000000,VALUE(MID($C1140,2,20)),1000000000),1000000000))+ROW()/100000,"")</f>
        <v/>
      </c>
    </row>
    <row r="1141">
      <c r="D1141" s="11" t="n"/>
      <c r="K1141" s="7">
        <f>IF($C1141="","",J1141*W1141/100)</f>
        <v/>
      </c>
      <c r="Q1141" s="7" t="n"/>
      <c r="R1141" s="7" t="n"/>
      <c r="U1141">
        <f>IF($C1141="","",IF($AJ1141=1,0,IF($AI1141=1,Settings!$C$6,Settings!$C$7))*100)</f>
        <v/>
      </c>
      <c r="V1141" s="7">
        <f>IF($C1141="","",R1141*U1141/100)</f>
        <v/>
      </c>
      <c r="W1141" s="7">
        <f>IF($C1141="","",R1141-V1141)</f>
        <v/>
      </c>
      <c r="X1141" s="7">
        <f>IF($C1141="","",W1141-K1141)</f>
        <v/>
      </c>
      <c r="AB1141" s="7" t="n"/>
      <c r="AE1141" s="11" t="n"/>
      <c r="AG1141">
        <f>IF($C1141="","",IF(COUNTIF($C$2:$C1141,$C1141)=1,1,0))</f>
        <v/>
      </c>
      <c r="AH1141">
        <f>IF($AG1141=1,SUMPRODUCT(--($AK$2:$AK$6001&lt;$AK1141))+1,"")</f>
        <v/>
      </c>
      <c r="AI1141">
        <f>IF($C1141="","",IF(OR($N1141=TRUE(),$N1141="TRUE"),1,0))</f>
        <v/>
      </c>
      <c r="AJ1141">
        <f>IF($C1141="","",IF($T1141="Yes",1,0))</f>
        <v/>
      </c>
      <c r="AK1141">
        <f>IF($AG1141=1,IFERROR(IF(VALUE($C1141)&lt;100000000,VALUE($C1141),1000000000),IFERROR(IF(VALUE(MID($C1141,2,20))&lt;100000000,VALUE(MID($C1141,2,20)),1000000000),1000000000))+ROW()/100000,"")</f>
        <v/>
      </c>
    </row>
    <row r="1142">
      <c r="D1142" s="11" t="n"/>
      <c r="K1142" s="7">
        <f>IF($C1142="","",J1142*W1142/100)</f>
        <v/>
      </c>
      <c r="Q1142" s="7" t="n"/>
      <c r="R1142" s="7" t="n"/>
      <c r="U1142">
        <f>IF($C1142="","",IF($AJ1142=1,0,IF($AI1142=1,Settings!$C$6,Settings!$C$7))*100)</f>
        <v/>
      </c>
      <c r="V1142" s="7">
        <f>IF($C1142="","",R1142*U1142/100)</f>
        <v/>
      </c>
      <c r="W1142" s="7">
        <f>IF($C1142="","",R1142-V1142)</f>
        <v/>
      </c>
      <c r="X1142" s="7">
        <f>IF($C1142="","",W1142-K1142)</f>
        <v/>
      </c>
      <c r="AB1142" s="7" t="n"/>
      <c r="AE1142" s="11" t="n"/>
      <c r="AG1142">
        <f>IF($C1142="","",IF(COUNTIF($C$2:$C1142,$C1142)=1,1,0))</f>
        <v/>
      </c>
      <c r="AH1142">
        <f>IF($AG1142=1,SUMPRODUCT(--($AK$2:$AK$6001&lt;$AK1142))+1,"")</f>
        <v/>
      </c>
      <c r="AI1142">
        <f>IF($C1142="","",IF(OR($N1142=TRUE(),$N1142="TRUE"),1,0))</f>
        <v/>
      </c>
      <c r="AJ1142">
        <f>IF($C1142="","",IF($T1142="Yes",1,0))</f>
        <v/>
      </c>
      <c r="AK1142">
        <f>IF($AG1142=1,IFERROR(IF(VALUE($C1142)&lt;100000000,VALUE($C1142),1000000000),IFERROR(IF(VALUE(MID($C1142,2,20))&lt;100000000,VALUE(MID($C1142,2,20)),1000000000),1000000000))+ROW()/100000,"")</f>
        <v/>
      </c>
    </row>
    <row r="1143">
      <c r="D1143" s="11" t="n"/>
      <c r="K1143" s="7">
        <f>IF($C1143="","",J1143*W1143/100)</f>
        <v/>
      </c>
      <c r="Q1143" s="7" t="n"/>
      <c r="R1143" s="7" t="n"/>
      <c r="U1143">
        <f>IF($C1143="","",IF($AJ1143=1,0,IF($AI1143=1,Settings!$C$6,Settings!$C$7))*100)</f>
        <v/>
      </c>
      <c r="V1143" s="7">
        <f>IF($C1143="","",R1143*U1143/100)</f>
        <v/>
      </c>
      <c r="W1143" s="7">
        <f>IF($C1143="","",R1143-V1143)</f>
        <v/>
      </c>
      <c r="X1143" s="7">
        <f>IF($C1143="","",W1143-K1143)</f>
        <v/>
      </c>
      <c r="AB1143" s="7" t="n"/>
      <c r="AE1143" s="11" t="n"/>
      <c r="AG1143">
        <f>IF($C1143="","",IF(COUNTIF($C$2:$C1143,$C1143)=1,1,0))</f>
        <v/>
      </c>
      <c r="AH1143">
        <f>IF($AG1143=1,SUMPRODUCT(--($AK$2:$AK$6001&lt;$AK1143))+1,"")</f>
        <v/>
      </c>
      <c r="AI1143">
        <f>IF($C1143="","",IF(OR($N1143=TRUE(),$N1143="TRUE"),1,0))</f>
        <v/>
      </c>
      <c r="AJ1143">
        <f>IF($C1143="","",IF($T1143="Yes",1,0))</f>
        <v/>
      </c>
      <c r="AK1143">
        <f>IF($AG1143=1,IFERROR(IF(VALUE($C1143)&lt;100000000,VALUE($C1143),1000000000),IFERROR(IF(VALUE(MID($C1143,2,20))&lt;100000000,VALUE(MID($C1143,2,20)),1000000000),1000000000))+ROW()/100000,"")</f>
        <v/>
      </c>
    </row>
    <row r="1144">
      <c r="D1144" s="11" t="n"/>
      <c r="K1144" s="7">
        <f>IF($C1144="","",J1144*W1144/100)</f>
        <v/>
      </c>
      <c r="Q1144" s="7" t="n"/>
      <c r="R1144" s="7" t="n"/>
      <c r="U1144">
        <f>IF($C1144="","",IF($AJ1144=1,0,IF($AI1144=1,Settings!$C$6,Settings!$C$7))*100)</f>
        <v/>
      </c>
      <c r="V1144" s="7">
        <f>IF($C1144="","",R1144*U1144/100)</f>
        <v/>
      </c>
      <c r="W1144" s="7">
        <f>IF($C1144="","",R1144-V1144)</f>
        <v/>
      </c>
      <c r="X1144" s="7">
        <f>IF($C1144="","",W1144-K1144)</f>
        <v/>
      </c>
      <c r="AB1144" s="7" t="n"/>
      <c r="AE1144" s="11" t="n"/>
      <c r="AG1144">
        <f>IF($C1144="","",IF(COUNTIF($C$2:$C1144,$C1144)=1,1,0))</f>
        <v/>
      </c>
      <c r="AH1144">
        <f>IF($AG1144=1,SUMPRODUCT(--($AK$2:$AK$6001&lt;$AK1144))+1,"")</f>
        <v/>
      </c>
      <c r="AI1144">
        <f>IF($C1144="","",IF(OR($N1144=TRUE(),$N1144="TRUE"),1,0))</f>
        <v/>
      </c>
      <c r="AJ1144">
        <f>IF($C1144="","",IF($T1144="Yes",1,0))</f>
        <v/>
      </c>
      <c r="AK1144">
        <f>IF($AG1144=1,IFERROR(IF(VALUE($C1144)&lt;100000000,VALUE($C1144),1000000000),IFERROR(IF(VALUE(MID($C1144,2,20))&lt;100000000,VALUE(MID($C1144,2,20)),1000000000),1000000000))+ROW()/100000,"")</f>
        <v/>
      </c>
    </row>
    <row r="1145">
      <c r="D1145" s="11" t="n"/>
      <c r="K1145" s="7">
        <f>IF($C1145="","",J1145*W1145/100)</f>
        <v/>
      </c>
      <c r="Q1145" s="7" t="n"/>
      <c r="R1145" s="7" t="n"/>
      <c r="U1145">
        <f>IF($C1145="","",IF($AJ1145=1,0,IF($AI1145=1,Settings!$C$6,Settings!$C$7))*100)</f>
        <v/>
      </c>
      <c r="V1145" s="7">
        <f>IF($C1145="","",R1145*U1145/100)</f>
        <v/>
      </c>
      <c r="W1145" s="7">
        <f>IF($C1145="","",R1145-V1145)</f>
        <v/>
      </c>
      <c r="X1145" s="7">
        <f>IF($C1145="","",W1145-K1145)</f>
        <v/>
      </c>
      <c r="AB1145" s="7" t="n"/>
      <c r="AE1145" s="11" t="n"/>
      <c r="AG1145">
        <f>IF($C1145="","",IF(COUNTIF($C$2:$C1145,$C1145)=1,1,0))</f>
        <v/>
      </c>
      <c r="AH1145">
        <f>IF($AG1145=1,SUMPRODUCT(--($AK$2:$AK$6001&lt;$AK1145))+1,"")</f>
        <v/>
      </c>
      <c r="AI1145">
        <f>IF($C1145="","",IF(OR($N1145=TRUE(),$N1145="TRUE"),1,0))</f>
        <v/>
      </c>
      <c r="AJ1145">
        <f>IF($C1145="","",IF($T1145="Yes",1,0))</f>
        <v/>
      </c>
      <c r="AK1145">
        <f>IF($AG1145=1,IFERROR(IF(VALUE($C1145)&lt;100000000,VALUE($C1145),1000000000),IFERROR(IF(VALUE(MID($C1145,2,20))&lt;100000000,VALUE(MID($C1145,2,20)),1000000000),1000000000))+ROW()/100000,"")</f>
        <v/>
      </c>
    </row>
    <row r="1146">
      <c r="D1146" s="11" t="n"/>
      <c r="K1146" s="7">
        <f>IF($C1146="","",J1146*W1146/100)</f>
        <v/>
      </c>
      <c r="Q1146" s="7" t="n"/>
      <c r="R1146" s="7" t="n"/>
      <c r="U1146">
        <f>IF($C1146="","",IF($AJ1146=1,0,IF($AI1146=1,Settings!$C$6,Settings!$C$7))*100)</f>
        <v/>
      </c>
      <c r="V1146" s="7">
        <f>IF($C1146="","",R1146*U1146/100)</f>
        <v/>
      </c>
      <c r="W1146" s="7">
        <f>IF($C1146="","",R1146-V1146)</f>
        <v/>
      </c>
      <c r="X1146" s="7">
        <f>IF($C1146="","",W1146-K1146)</f>
        <v/>
      </c>
      <c r="AB1146" s="7" t="n"/>
      <c r="AE1146" s="11" t="n"/>
      <c r="AG1146">
        <f>IF($C1146="","",IF(COUNTIF($C$2:$C1146,$C1146)=1,1,0))</f>
        <v/>
      </c>
      <c r="AH1146">
        <f>IF($AG1146=1,SUMPRODUCT(--($AK$2:$AK$6001&lt;$AK1146))+1,"")</f>
        <v/>
      </c>
      <c r="AI1146">
        <f>IF($C1146="","",IF(OR($N1146=TRUE(),$N1146="TRUE"),1,0))</f>
        <v/>
      </c>
      <c r="AJ1146">
        <f>IF($C1146="","",IF($T1146="Yes",1,0))</f>
        <v/>
      </c>
      <c r="AK1146">
        <f>IF($AG1146=1,IFERROR(IF(VALUE($C1146)&lt;100000000,VALUE($C1146),1000000000),IFERROR(IF(VALUE(MID($C1146,2,20))&lt;100000000,VALUE(MID($C1146,2,20)),1000000000),1000000000))+ROW()/100000,"")</f>
        <v/>
      </c>
    </row>
    <row r="1147">
      <c r="D1147" s="11" t="n"/>
      <c r="K1147" s="7">
        <f>IF($C1147="","",J1147*W1147/100)</f>
        <v/>
      </c>
      <c r="Q1147" s="7" t="n"/>
      <c r="R1147" s="7" t="n"/>
      <c r="U1147">
        <f>IF($C1147="","",IF($AJ1147=1,0,IF($AI1147=1,Settings!$C$6,Settings!$C$7))*100)</f>
        <v/>
      </c>
      <c r="V1147" s="7">
        <f>IF($C1147="","",R1147*U1147/100)</f>
        <v/>
      </c>
      <c r="W1147" s="7">
        <f>IF($C1147="","",R1147-V1147)</f>
        <v/>
      </c>
      <c r="X1147" s="7">
        <f>IF($C1147="","",W1147-K1147)</f>
        <v/>
      </c>
      <c r="AB1147" s="7" t="n"/>
      <c r="AE1147" s="11" t="n"/>
      <c r="AG1147">
        <f>IF($C1147="","",IF(COUNTIF($C$2:$C1147,$C1147)=1,1,0))</f>
        <v/>
      </c>
      <c r="AH1147">
        <f>IF($AG1147=1,SUMPRODUCT(--($AK$2:$AK$6001&lt;$AK1147))+1,"")</f>
        <v/>
      </c>
      <c r="AI1147">
        <f>IF($C1147="","",IF(OR($N1147=TRUE(),$N1147="TRUE"),1,0))</f>
        <v/>
      </c>
      <c r="AJ1147">
        <f>IF($C1147="","",IF($T1147="Yes",1,0))</f>
        <v/>
      </c>
      <c r="AK1147">
        <f>IF($AG1147=1,IFERROR(IF(VALUE($C1147)&lt;100000000,VALUE($C1147),1000000000),IFERROR(IF(VALUE(MID($C1147,2,20))&lt;100000000,VALUE(MID($C1147,2,20)),1000000000),1000000000))+ROW()/100000,"")</f>
        <v/>
      </c>
    </row>
    <row r="1148">
      <c r="D1148" s="11" t="n"/>
      <c r="K1148" s="7">
        <f>IF($C1148="","",J1148*W1148/100)</f>
        <v/>
      </c>
      <c r="Q1148" s="7" t="n"/>
      <c r="R1148" s="7" t="n"/>
      <c r="U1148">
        <f>IF($C1148="","",IF($AJ1148=1,0,IF($AI1148=1,Settings!$C$6,Settings!$C$7))*100)</f>
        <v/>
      </c>
      <c r="V1148" s="7">
        <f>IF($C1148="","",R1148*U1148/100)</f>
        <v/>
      </c>
      <c r="W1148" s="7">
        <f>IF($C1148="","",R1148-V1148)</f>
        <v/>
      </c>
      <c r="X1148" s="7">
        <f>IF($C1148="","",W1148-K1148)</f>
        <v/>
      </c>
      <c r="AB1148" s="7" t="n"/>
      <c r="AE1148" s="11" t="n"/>
      <c r="AG1148">
        <f>IF($C1148="","",IF(COUNTIF($C$2:$C1148,$C1148)=1,1,0))</f>
        <v/>
      </c>
      <c r="AH1148">
        <f>IF($AG1148=1,SUMPRODUCT(--($AK$2:$AK$6001&lt;$AK1148))+1,"")</f>
        <v/>
      </c>
      <c r="AI1148">
        <f>IF($C1148="","",IF(OR($N1148=TRUE(),$N1148="TRUE"),1,0))</f>
        <v/>
      </c>
      <c r="AJ1148">
        <f>IF($C1148="","",IF($T1148="Yes",1,0))</f>
        <v/>
      </c>
      <c r="AK1148">
        <f>IF($AG1148=1,IFERROR(IF(VALUE($C1148)&lt;100000000,VALUE($C1148),1000000000),IFERROR(IF(VALUE(MID($C1148,2,20))&lt;100000000,VALUE(MID($C1148,2,20)),1000000000),1000000000))+ROW()/100000,"")</f>
        <v/>
      </c>
    </row>
    <row r="1149">
      <c r="D1149" s="11" t="n"/>
      <c r="K1149" s="7">
        <f>IF($C1149="","",J1149*W1149/100)</f>
        <v/>
      </c>
      <c r="Q1149" s="7" t="n"/>
      <c r="R1149" s="7" t="n"/>
      <c r="U1149">
        <f>IF($C1149="","",IF($AJ1149=1,0,IF($AI1149=1,Settings!$C$6,Settings!$C$7))*100)</f>
        <v/>
      </c>
      <c r="V1149" s="7">
        <f>IF($C1149="","",R1149*U1149/100)</f>
        <v/>
      </c>
      <c r="W1149" s="7">
        <f>IF($C1149="","",R1149-V1149)</f>
        <v/>
      </c>
      <c r="X1149" s="7">
        <f>IF($C1149="","",W1149-K1149)</f>
        <v/>
      </c>
      <c r="AB1149" s="7" t="n"/>
      <c r="AE1149" s="11" t="n"/>
      <c r="AG1149">
        <f>IF($C1149="","",IF(COUNTIF($C$2:$C1149,$C1149)=1,1,0))</f>
        <v/>
      </c>
      <c r="AH1149">
        <f>IF($AG1149=1,SUMPRODUCT(--($AK$2:$AK$6001&lt;$AK1149))+1,"")</f>
        <v/>
      </c>
      <c r="AI1149">
        <f>IF($C1149="","",IF(OR($N1149=TRUE(),$N1149="TRUE"),1,0))</f>
        <v/>
      </c>
      <c r="AJ1149">
        <f>IF($C1149="","",IF($T1149="Yes",1,0))</f>
        <v/>
      </c>
      <c r="AK1149">
        <f>IF($AG1149=1,IFERROR(IF(VALUE($C1149)&lt;100000000,VALUE($C1149),1000000000),IFERROR(IF(VALUE(MID($C1149,2,20))&lt;100000000,VALUE(MID($C1149,2,20)),1000000000),1000000000))+ROW()/100000,"")</f>
        <v/>
      </c>
    </row>
    <row r="1150">
      <c r="D1150" s="11" t="n"/>
      <c r="K1150" s="7">
        <f>IF($C1150="","",J1150*W1150/100)</f>
        <v/>
      </c>
      <c r="Q1150" s="7" t="n"/>
      <c r="R1150" s="7" t="n"/>
      <c r="U1150">
        <f>IF($C1150="","",IF($AJ1150=1,0,IF($AI1150=1,Settings!$C$6,Settings!$C$7))*100)</f>
        <v/>
      </c>
      <c r="V1150" s="7">
        <f>IF($C1150="","",R1150*U1150/100)</f>
        <v/>
      </c>
      <c r="W1150" s="7">
        <f>IF($C1150="","",R1150-V1150)</f>
        <v/>
      </c>
      <c r="X1150" s="7">
        <f>IF($C1150="","",W1150-K1150)</f>
        <v/>
      </c>
      <c r="AB1150" s="7" t="n"/>
      <c r="AE1150" s="11" t="n"/>
      <c r="AG1150">
        <f>IF($C1150="","",IF(COUNTIF($C$2:$C1150,$C1150)=1,1,0))</f>
        <v/>
      </c>
      <c r="AH1150">
        <f>IF($AG1150=1,SUMPRODUCT(--($AK$2:$AK$6001&lt;$AK1150))+1,"")</f>
        <v/>
      </c>
      <c r="AI1150">
        <f>IF($C1150="","",IF(OR($N1150=TRUE(),$N1150="TRUE"),1,0))</f>
        <v/>
      </c>
      <c r="AJ1150">
        <f>IF($C1150="","",IF($T1150="Yes",1,0))</f>
        <v/>
      </c>
      <c r="AK1150">
        <f>IF($AG1150=1,IFERROR(IF(VALUE($C1150)&lt;100000000,VALUE($C1150),1000000000),IFERROR(IF(VALUE(MID($C1150,2,20))&lt;100000000,VALUE(MID($C1150,2,20)),1000000000),1000000000))+ROW()/100000,"")</f>
        <v/>
      </c>
    </row>
    <row r="1151">
      <c r="D1151" s="11" t="n"/>
      <c r="K1151" s="7">
        <f>IF($C1151="","",J1151*W1151/100)</f>
        <v/>
      </c>
      <c r="Q1151" s="7" t="n"/>
      <c r="R1151" s="7" t="n"/>
      <c r="U1151">
        <f>IF($C1151="","",IF($AJ1151=1,0,IF($AI1151=1,Settings!$C$6,Settings!$C$7))*100)</f>
        <v/>
      </c>
      <c r="V1151" s="7">
        <f>IF($C1151="","",R1151*U1151/100)</f>
        <v/>
      </c>
      <c r="W1151" s="7">
        <f>IF($C1151="","",R1151-V1151)</f>
        <v/>
      </c>
      <c r="X1151" s="7">
        <f>IF($C1151="","",W1151-K1151)</f>
        <v/>
      </c>
      <c r="AB1151" s="7" t="n"/>
      <c r="AE1151" s="11" t="n"/>
      <c r="AG1151">
        <f>IF($C1151="","",IF(COUNTIF($C$2:$C1151,$C1151)=1,1,0))</f>
        <v/>
      </c>
      <c r="AH1151">
        <f>IF($AG1151=1,SUMPRODUCT(--($AK$2:$AK$6001&lt;$AK1151))+1,"")</f>
        <v/>
      </c>
      <c r="AI1151">
        <f>IF($C1151="","",IF(OR($N1151=TRUE(),$N1151="TRUE"),1,0))</f>
        <v/>
      </c>
      <c r="AJ1151">
        <f>IF($C1151="","",IF($T1151="Yes",1,0))</f>
        <v/>
      </c>
      <c r="AK1151">
        <f>IF($AG1151=1,IFERROR(IF(VALUE($C1151)&lt;100000000,VALUE($C1151),1000000000),IFERROR(IF(VALUE(MID($C1151,2,20))&lt;100000000,VALUE(MID($C1151,2,20)),1000000000),1000000000))+ROW()/100000,"")</f>
        <v/>
      </c>
    </row>
    <row r="1152">
      <c r="D1152" s="11" t="n"/>
      <c r="K1152" s="7">
        <f>IF($C1152="","",J1152*W1152/100)</f>
        <v/>
      </c>
      <c r="Q1152" s="7" t="n"/>
      <c r="R1152" s="7" t="n"/>
      <c r="U1152">
        <f>IF($C1152="","",IF($AJ1152=1,0,IF($AI1152=1,Settings!$C$6,Settings!$C$7))*100)</f>
        <v/>
      </c>
      <c r="V1152" s="7">
        <f>IF($C1152="","",R1152*U1152/100)</f>
        <v/>
      </c>
      <c r="W1152" s="7">
        <f>IF($C1152="","",R1152-V1152)</f>
        <v/>
      </c>
      <c r="X1152" s="7">
        <f>IF($C1152="","",W1152-K1152)</f>
        <v/>
      </c>
      <c r="AB1152" s="7" t="n"/>
      <c r="AE1152" s="11" t="n"/>
      <c r="AG1152">
        <f>IF($C1152="","",IF(COUNTIF($C$2:$C1152,$C1152)=1,1,0))</f>
        <v/>
      </c>
      <c r="AH1152">
        <f>IF($AG1152=1,SUMPRODUCT(--($AK$2:$AK$6001&lt;$AK1152))+1,"")</f>
        <v/>
      </c>
      <c r="AI1152">
        <f>IF($C1152="","",IF(OR($N1152=TRUE(),$N1152="TRUE"),1,0))</f>
        <v/>
      </c>
      <c r="AJ1152">
        <f>IF($C1152="","",IF($T1152="Yes",1,0))</f>
        <v/>
      </c>
      <c r="AK1152">
        <f>IF($AG1152=1,IFERROR(IF(VALUE($C1152)&lt;100000000,VALUE($C1152),1000000000),IFERROR(IF(VALUE(MID($C1152,2,20))&lt;100000000,VALUE(MID($C1152,2,20)),1000000000),1000000000))+ROW()/100000,"")</f>
        <v/>
      </c>
    </row>
    <row r="1153">
      <c r="D1153" s="11" t="n"/>
      <c r="K1153" s="7">
        <f>IF($C1153="","",J1153*W1153/100)</f>
        <v/>
      </c>
      <c r="Q1153" s="7" t="n"/>
      <c r="R1153" s="7" t="n"/>
      <c r="U1153">
        <f>IF($C1153="","",IF($AJ1153=1,0,IF($AI1153=1,Settings!$C$6,Settings!$C$7))*100)</f>
        <v/>
      </c>
      <c r="V1153" s="7">
        <f>IF($C1153="","",R1153*U1153/100)</f>
        <v/>
      </c>
      <c r="W1153" s="7">
        <f>IF($C1153="","",R1153-V1153)</f>
        <v/>
      </c>
      <c r="X1153" s="7">
        <f>IF($C1153="","",W1153-K1153)</f>
        <v/>
      </c>
      <c r="AB1153" s="7" t="n"/>
      <c r="AE1153" s="11" t="n"/>
      <c r="AG1153">
        <f>IF($C1153="","",IF(COUNTIF($C$2:$C1153,$C1153)=1,1,0))</f>
        <v/>
      </c>
      <c r="AH1153">
        <f>IF($AG1153=1,SUMPRODUCT(--($AK$2:$AK$6001&lt;$AK1153))+1,"")</f>
        <v/>
      </c>
      <c r="AI1153">
        <f>IF($C1153="","",IF(OR($N1153=TRUE(),$N1153="TRUE"),1,0))</f>
        <v/>
      </c>
      <c r="AJ1153">
        <f>IF($C1153="","",IF($T1153="Yes",1,0))</f>
        <v/>
      </c>
      <c r="AK1153">
        <f>IF($AG1153=1,IFERROR(IF(VALUE($C1153)&lt;100000000,VALUE($C1153),1000000000),IFERROR(IF(VALUE(MID($C1153,2,20))&lt;100000000,VALUE(MID($C1153,2,20)),1000000000),1000000000))+ROW()/100000,"")</f>
        <v/>
      </c>
    </row>
    <row r="1154">
      <c r="D1154" s="11" t="n"/>
      <c r="K1154" s="7">
        <f>IF($C1154="","",J1154*W1154/100)</f>
        <v/>
      </c>
      <c r="Q1154" s="7" t="n"/>
      <c r="R1154" s="7" t="n"/>
      <c r="U1154">
        <f>IF($C1154="","",IF($AJ1154=1,0,IF($AI1154=1,Settings!$C$6,Settings!$C$7))*100)</f>
        <v/>
      </c>
      <c r="V1154" s="7">
        <f>IF($C1154="","",R1154*U1154/100)</f>
        <v/>
      </c>
      <c r="W1154" s="7">
        <f>IF($C1154="","",R1154-V1154)</f>
        <v/>
      </c>
      <c r="X1154" s="7">
        <f>IF($C1154="","",W1154-K1154)</f>
        <v/>
      </c>
      <c r="AB1154" s="7" t="n"/>
      <c r="AE1154" s="11" t="n"/>
      <c r="AG1154">
        <f>IF($C1154="","",IF(COUNTIF($C$2:$C1154,$C1154)=1,1,0))</f>
        <v/>
      </c>
      <c r="AH1154">
        <f>IF($AG1154=1,SUMPRODUCT(--($AK$2:$AK$6001&lt;$AK1154))+1,"")</f>
        <v/>
      </c>
      <c r="AI1154">
        <f>IF($C1154="","",IF(OR($N1154=TRUE(),$N1154="TRUE"),1,0))</f>
        <v/>
      </c>
      <c r="AJ1154">
        <f>IF($C1154="","",IF($T1154="Yes",1,0))</f>
        <v/>
      </c>
      <c r="AK1154">
        <f>IF($AG1154=1,IFERROR(IF(VALUE($C1154)&lt;100000000,VALUE($C1154),1000000000),IFERROR(IF(VALUE(MID($C1154,2,20))&lt;100000000,VALUE(MID($C1154,2,20)),1000000000),1000000000))+ROW()/100000,"")</f>
        <v/>
      </c>
    </row>
    <row r="1155">
      <c r="D1155" s="11" t="n"/>
      <c r="K1155" s="7">
        <f>IF($C1155="","",J1155*W1155/100)</f>
        <v/>
      </c>
      <c r="Q1155" s="7" t="n"/>
      <c r="R1155" s="7" t="n"/>
      <c r="U1155">
        <f>IF($C1155="","",IF($AJ1155=1,0,IF($AI1155=1,Settings!$C$6,Settings!$C$7))*100)</f>
        <v/>
      </c>
      <c r="V1155" s="7">
        <f>IF($C1155="","",R1155*U1155/100)</f>
        <v/>
      </c>
      <c r="W1155" s="7">
        <f>IF($C1155="","",R1155-V1155)</f>
        <v/>
      </c>
      <c r="X1155" s="7">
        <f>IF($C1155="","",W1155-K1155)</f>
        <v/>
      </c>
      <c r="AB1155" s="7" t="n"/>
      <c r="AE1155" s="11" t="n"/>
      <c r="AG1155">
        <f>IF($C1155="","",IF(COUNTIF($C$2:$C1155,$C1155)=1,1,0))</f>
        <v/>
      </c>
      <c r="AH1155">
        <f>IF($AG1155=1,SUMPRODUCT(--($AK$2:$AK$6001&lt;$AK1155))+1,"")</f>
        <v/>
      </c>
      <c r="AI1155">
        <f>IF($C1155="","",IF(OR($N1155=TRUE(),$N1155="TRUE"),1,0))</f>
        <v/>
      </c>
      <c r="AJ1155">
        <f>IF($C1155="","",IF($T1155="Yes",1,0))</f>
        <v/>
      </c>
      <c r="AK1155">
        <f>IF($AG1155=1,IFERROR(IF(VALUE($C1155)&lt;100000000,VALUE($C1155),1000000000),IFERROR(IF(VALUE(MID($C1155,2,20))&lt;100000000,VALUE(MID($C1155,2,20)),1000000000),1000000000))+ROW()/100000,"")</f>
        <v/>
      </c>
    </row>
    <row r="1156">
      <c r="D1156" s="11" t="n"/>
      <c r="K1156" s="7">
        <f>IF($C1156="","",J1156*W1156/100)</f>
        <v/>
      </c>
      <c r="Q1156" s="7" t="n"/>
      <c r="R1156" s="7" t="n"/>
      <c r="U1156">
        <f>IF($C1156="","",IF($AJ1156=1,0,IF($AI1156=1,Settings!$C$6,Settings!$C$7))*100)</f>
        <v/>
      </c>
      <c r="V1156" s="7">
        <f>IF($C1156="","",R1156*U1156/100)</f>
        <v/>
      </c>
      <c r="W1156" s="7">
        <f>IF($C1156="","",R1156-V1156)</f>
        <v/>
      </c>
      <c r="X1156" s="7">
        <f>IF($C1156="","",W1156-K1156)</f>
        <v/>
      </c>
      <c r="AB1156" s="7" t="n"/>
      <c r="AE1156" s="11" t="n"/>
      <c r="AG1156">
        <f>IF($C1156="","",IF(COUNTIF($C$2:$C1156,$C1156)=1,1,0))</f>
        <v/>
      </c>
      <c r="AH1156">
        <f>IF($AG1156=1,SUMPRODUCT(--($AK$2:$AK$6001&lt;$AK1156))+1,"")</f>
        <v/>
      </c>
      <c r="AI1156">
        <f>IF($C1156="","",IF(OR($N1156=TRUE(),$N1156="TRUE"),1,0))</f>
        <v/>
      </c>
      <c r="AJ1156">
        <f>IF($C1156="","",IF($T1156="Yes",1,0))</f>
        <v/>
      </c>
      <c r="AK1156">
        <f>IF($AG1156=1,IFERROR(IF(VALUE($C1156)&lt;100000000,VALUE($C1156),1000000000),IFERROR(IF(VALUE(MID($C1156,2,20))&lt;100000000,VALUE(MID($C1156,2,20)),1000000000),1000000000))+ROW()/100000,"")</f>
        <v/>
      </c>
    </row>
    <row r="1157">
      <c r="D1157" s="11" t="n"/>
      <c r="K1157" s="7">
        <f>IF($C1157="","",J1157*W1157/100)</f>
        <v/>
      </c>
      <c r="Q1157" s="7" t="n"/>
      <c r="R1157" s="7" t="n"/>
      <c r="U1157">
        <f>IF($C1157="","",IF($AJ1157=1,0,IF($AI1157=1,Settings!$C$6,Settings!$C$7))*100)</f>
        <v/>
      </c>
      <c r="V1157" s="7">
        <f>IF($C1157="","",R1157*U1157/100)</f>
        <v/>
      </c>
      <c r="W1157" s="7">
        <f>IF($C1157="","",R1157-V1157)</f>
        <v/>
      </c>
      <c r="X1157" s="7">
        <f>IF($C1157="","",W1157-K1157)</f>
        <v/>
      </c>
      <c r="AB1157" s="7" t="n"/>
      <c r="AE1157" s="11" t="n"/>
      <c r="AG1157">
        <f>IF($C1157="","",IF(COUNTIF($C$2:$C1157,$C1157)=1,1,0))</f>
        <v/>
      </c>
      <c r="AH1157">
        <f>IF($AG1157=1,SUMPRODUCT(--($AK$2:$AK$6001&lt;$AK1157))+1,"")</f>
        <v/>
      </c>
      <c r="AI1157">
        <f>IF($C1157="","",IF(OR($N1157=TRUE(),$N1157="TRUE"),1,0))</f>
        <v/>
      </c>
      <c r="AJ1157">
        <f>IF($C1157="","",IF($T1157="Yes",1,0))</f>
        <v/>
      </c>
      <c r="AK1157">
        <f>IF($AG1157=1,IFERROR(IF(VALUE($C1157)&lt;100000000,VALUE($C1157),1000000000),IFERROR(IF(VALUE(MID($C1157,2,20))&lt;100000000,VALUE(MID($C1157,2,20)),1000000000),1000000000))+ROW()/100000,"")</f>
        <v/>
      </c>
    </row>
    <row r="1158">
      <c r="D1158" s="11" t="n"/>
      <c r="K1158" s="7">
        <f>IF($C1158="","",J1158*W1158/100)</f>
        <v/>
      </c>
      <c r="Q1158" s="7" t="n"/>
      <c r="R1158" s="7" t="n"/>
      <c r="U1158">
        <f>IF($C1158="","",IF($AJ1158=1,0,IF($AI1158=1,Settings!$C$6,Settings!$C$7))*100)</f>
        <v/>
      </c>
      <c r="V1158" s="7">
        <f>IF($C1158="","",R1158*U1158/100)</f>
        <v/>
      </c>
      <c r="W1158" s="7">
        <f>IF($C1158="","",R1158-V1158)</f>
        <v/>
      </c>
      <c r="X1158" s="7">
        <f>IF($C1158="","",W1158-K1158)</f>
        <v/>
      </c>
      <c r="AB1158" s="7" t="n"/>
      <c r="AE1158" s="11" t="n"/>
      <c r="AG1158">
        <f>IF($C1158="","",IF(COUNTIF($C$2:$C1158,$C1158)=1,1,0))</f>
        <v/>
      </c>
      <c r="AH1158">
        <f>IF($AG1158=1,SUMPRODUCT(--($AK$2:$AK$6001&lt;$AK1158))+1,"")</f>
        <v/>
      </c>
      <c r="AI1158">
        <f>IF($C1158="","",IF(OR($N1158=TRUE(),$N1158="TRUE"),1,0))</f>
        <v/>
      </c>
      <c r="AJ1158">
        <f>IF($C1158="","",IF($T1158="Yes",1,0))</f>
        <v/>
      </c>
      <c r="AK1158">
        <f>IF($AG1158=1,IFERROR(IF(VALUE($C1158)&lt;100000000,VALUE($C1158),1000000000),IFERROR(IF(VALUE(MID($C1158,2,20))&lt;100000000,VALUE(MID($C1158,2,20)),1000000000),1000000000))+ROW()/100000,"")</f>
        <v/>
      </c>
    </row>
    <row r="1159">
      <c r="D1159" s="11" t="n"/>
      <c r="K1159" s="7">
        <f>IF($C1159="","",J1159*W1159/100)</f>
        <v/>
      </c>
      <c r="Q1159" s="7" t="n"/>
      <c r="R1159" s="7" t="n"/>
      <c r="U1159">
        <f>IF($C1159="","",IF($AJ1159=1,0,IF($AI1159=1,Settings!$C$6,Settings!$C$7))*100)</f>
        <v/>
      </c>
      <c r="V1159" s="7">
        <f>IF($C1159="","",R1159*U1159/100)</f>
        <v/>
      </c>
      <c r="W1159" s="7">
        <f>IF($C1159="","",R1159-V1159)</f>
        <v/>
      </c>
      <c r="X1159" s="7">
        <f>IF($C1159="","",W1159-K1159)</f>
        <v/>
      </c>
      <c r="AB1159" s="7" t="n"/>
      <c r="AE1159" s="11" t="n"/>
      <c r="AG1159">
        <f>IF($C1159="","",IF(COUNTIF($C$2:$C1159,$C1159)=1,1,0))</f>
        <v/>
      </c>
      <c r="AH1159">
        <f>IF($AG1159=1,SUMPRODUCT(--($AK$2:$AK$6001&lt;$AK1159))+1,"")</f>
        <v/>
      </c>
      <c r="AI1159">
        <f>IF($C1159="","",IF(OR($N1159=TRUE(),$N1159="TRUE"),1,0))</f>
        <v/>
      </c>
      <c r="AJ1159">
        <f>IF($C1159="","",IF($T1159="Yes",1,0))</f>
        <v/>
      </c>
      <c r="AK1159">
        <f>IF($AG1159=1,IFERROR(IF(VALUE($C1159)&lt;100000000,VALUE($C1159),1000000000),IFERROR(IF(VALUE(MID($C1159,2,20))&lt;100000000,VALUE(MID($C1159,2,20)),1000000000),1000000000))+ROW()/100000,"")</f>
        <v/>
      </c>
    </row>
    <row r="1160">
      <c r="D1160" s="11" t="n"/>
      <c r="K1160" s="7">
        <f>IF($C1160="","",J1160*W1160/100)</f>
        <v/>
      </c>
      <c r="Q1160" s="7" t="n"/>
      <c r="R1160" s="7" t="n"/>
      <c r="U1160">
        <f>IF($C1160="","",IF($AJ1160=1,0,IF($AI1160=1,Settings!$C$6,Settings!$C$7))*100)</f>
        <v/>
      </c>
      <c r="V1160" s="7">
        <f>IF($C1160="","",R1160*U1160/100)</f>
        <v/>
      </c>
      <c r="W1160" s="7">
        <f>IF($C1160="","",R1160-V1160)</f>
        <v/>
      </c>
      <c r="X1160" s="7">
        <f>IF($C1160="","",W1160-K1160)</f>
        <v/>
      </c>
      <c r="AB1160" s="7" t="n"/>
      <c r="AE1160" s="11" t="n"/>
      <c r="AG1160">
        <f>IF($C1160="","",IF(COUNTIF($C$2:$C1160,$C1160)=1,1,0))</f>
        <v/>
      </c>
      <c r="AH1160">
        <f>IF($AG1160=1,SUMPRODUCT(--($AK$2:$AK$6001&lt;$AK1160))+1,"")</f>
        <v/>
      </c>
      <c r="AI1160">
        <f>IF($C1160="","",IF(OR($N1160=TRUE(),$N1160="TRUE"),1,0))</f>
        <v/>
      </c>
      <c r="AJ1160">
        <f>IF($C1160="","",IF($T1160="Yes",1,0))</f>
        <v/>
      </c>
      <c r="AK1160">
        <f>IF($AG1160=1,IFERROR(IF(VALUE($C1160)&lt;100000000,VALUE($C1160),1000000000),IFERROR(IF(VALUE(MID($C1160,2,20))&lt;100000000,VALUE(MID($C1160,2,20)),1000000000),1000000000))+ROW()/100000,"")</f>
        <v/>
      </c>
    </row>
    <row r="1161">
      <c r="D1161" s="11" t="n"/>
      <c r="K1161" s="7">
        <f>IF($C1161="","",J1161*W1161/100)</f>
        <v/>
      </c>
      <c r="Q1161" s="7" t="n"/>
      <c r="R1161" s="7" t="n"/>
      <c r="U1161">
        <f>IF($C1161="","",IF($AJ1161=1,0,IF($AI1161=1,Settings!$C$6,Settings!$C$7))*100)</f>
        <v/>
      </c>
      <c r="V1161" s="7">
        <f>IF($C1161="","",R1161*U1161/100)</f>
        <v/>
      </c>
      <c r="W1161" s="7">
        <f>IF($C1161="","",R1161-V1161)</f>
        <v/>
      </c>
      <c r="X1161" s="7">
        <f>IF($C1161="","",W1161-K1161)</f>
        <v/>
      </c>
      <c r="AB1161" s="7" t="n"/>
      <c r="AE1161" s="11" t="n"/>
      <c r="AG1161">
        <f>IF($C1161="","",IF(COUNTIF($C$2:$C1161,$C1161)=1,1,0))</f>
        <v/>
      </c>
      <c r="AH1161">
        <f>IF($AG1161=1,SUMPRODUCT(--($AK$2:$AK$6001&lt;$AK1161))+1,"")</f>
        <v/>
      </c>
      <c r="AI1161">
        <f>IF($C1161="","",IF(OR($N1161=TRUE(),$N1161="TRUE"),1,0))</f>
        <v/>
      </c>
      <c r="AJ1161">
        <f>IF($C1161="","",IF($T1161="Yes",1,0))</f>
        <v/>
      </c>
      <c r="AK1161">
        <f>IF($AG1161=1,IFERROR(IF(VALUE($C1161)&lt;100000000,VALUE($C1161),1000000000),IFERROR(IF(VALUE(MID($C1161,2,20))&lt;100000000,VALUE(MID($C1161,2,20)),1000000000),1000000000))+ROW()/100000,"")</f>
        <v/>
      </c>
    </row>
    <row r="1162">
      <c r="D1162" s="11" t="n"/>
      <c r="K1162" s="7">
        <f>IF($C1162="","",J1162*W1162/100)</f>
        <v/>
      </c>
      <c r="Q1162" s="7" t="n"/>
      <c r="R1162" s="7" t="n"/>
      <c r="U1162">
        <f>IF($C1162="","",IF($AJ1162=1,0,IF($AI1162=1,Settings!$C$6,Settings!$C$7))*100)</f>
        <v/>
      </c>
      <c r="V1162" s="7">
        <f>IF($C1162="","",R1162*U1162/100)</f>
        <v/>
      </c>
      <c r="W1162" s="7">
        <f>IF($C1162="","",R1162-V1162)</f>
        <v/>
      </c>
      <c r="X1162" s="7">
        <f>IF($C1162="","",W1162-K1162)</f>
        <v/>
      </c>
      <c r="AB1162" s="7" t="n"/>
      <c r="AE1162" s="11" t="n"/>
      <c r="AG1162">
        <f>IF($C1162="","",IF(COUNTIF($C$2:$C1162,$C1162)=1,1,0))</f>
        <v/>
      </c>
      <c r="AH1162">
        <f>IF($AG1162=1,SUMPRODUCT(--($AK$2:$AK$6001&lt;$AK1162))+1,"")</f>
        <v/>
      </c>
      <c r="AI1162">
        <f>IF($C1162="","",IF(OR($N1162=TRUE(),$N1162="TRUE"),1,0))</f>
        <v/>
      </c>
      <c r="AJ1162">
        <f>IF($C1162="","",IF($T1162="Yes",1,0))</f>
        <v/>
      </c>
      <c r="AK1162">
        <f>IF($AG1162=1,IFERROR(IF(VALUE($C1162)&lt;100000000,VALUE($C1162),1000000000),IFERROR(IF(VALUE(MID($C1162,2,20))&lt;100000000,VALUE(MID($C1162,2,20)),1000000000),1000000000))+ROW()/100000,"")</f>
        <v/>
      </c>
    </row>
    <row r="1163">
      <c r="D1163" s="11" t="n"/>
      <c r="K1163" s="7">
        <f>IF($C1163="","",J1163*W1163/100)</f>
        <v/>
      </c>
      <c r="Q1163" s="7" t="n"/>
      <c r="R1163" s="7" t="n"/>
      <c r="U1163">
        <f>IF($C1163="","",IF($AJ1163=1,0,IF($AI1163=1,Settings!$C$6,Settings!$C$7))*100)</f>
        <v/>
      </c>
      <c r="V1163" s="7">
        <f>IF($C1163="","",R1163*U1163/100)</f>
        <v/>
      </c>
      <c r="W1163" s="7">
        <f>IF($C1163="","",R1163-V1163)</f>
        <v/>
      </c>
      <c r="X1163" s="7">
        <f>IF($C1163="","",W1163-K1163)</f>
        <v/>
      </c>
      <c r="AB1163" s="7" t="n"/>
      <c r="AE1163" s="11" t="n"/>
      <c r="AG1163">
        <f>IF($C1163="","",IF(COUNTIF($C$2:$C1163,$C1163)=1,1,0))</f>
        <v/>
      </c>
      <c r="AH1163">
        <f>IF($AG1163=1,SUMPRODUCT(--($AK$2:$AK$6001&lt;$AK1163))+1,"")</f>
        <v/>
      </c>
      <c r="AI1163">
        <f>IF($C1163="","",IF(OR($N1163=TRUE(),$N1163="TRUE"),1,0))</f>
        <v/>
      </c>
      <c r="AJ1163">
        <f>IF($C1163="","",IF($T1163="Yes",1,0))</f>
        <v/>
      </c>
      <c r="AK1163">
        <f>IF($AG1163=1,IFERROR(IF(VALUE($C1163)&lt;100000000,VALUE($C1163),1000000000),IFERROR(IF(VALUE(MID($C1163,2,20))&lt;100000000,VALUE(MID($C1163,2,20)),1000000000),1000000000))+ROW()/100000,"")</f>
        <v/>
      </c>
    </row>
    <row r="1164">
      <c r="D1164" s="11" t="n"/>
      <c r="K1164" s="7">
        <f>IF($C1164="","",J1164*W1164/100)</f>
        <v/>
      </c>
      <c r="Q1164" s="7" t="n"/>
      <c r="R1164" s="7" t="n"/>
      <c r="U1164">
        <f>IF($C1164="","",IF($AJ1164=1,0,IF($AI1164=1,Settings!$C$6,Settings!$C$7))*100)</f>
        <v/>
      </c>
      <c r="V1164" s="7">
        <f>IF($C1164="","",R1164*U1164/100)</f>
        <v/>
      </c>
      <c r="W1164" s="7">
        <f>IF($C1164="","",R1164-V1164)</f>
        <v/>
      </c>
      <c r="X1164" s="7">
        <f>IF($C1164="","",W1164-K1164)</f>
        <v/>
      </c>
      <c r="AB1164" s="7" t="n"/>
      <c r="AE1164" s="11" t="n"/>
      <c r="AG1164">
        <f>IF($C1164="","",IF(COUNTIF($C$2:$C1164,$C1164)=1,1,0))</f>
        <v/>
      </c>
      <c r="AH1164">
        <f>IF($AG1164=1,SUMPRODUCT(--($AK$2:$AK$6001&lt;$AK1164))+1,"")</f>
        <v/>
      </c>
      <c r="AI1164">
        <f>IF($C1164="","",IF(OR($N1164=TRUE(),$N1164="TRUE"),1,0))</f>
        <v/>
      </c>
      <c r="AJ1164">
        <f>IF($C1164="","",IF($T1164="Yes",1,0))</f>
        <v/>
      </c>
      <c r="AK1164">
        <f>IF($AG1164=1,IFERROR(IF(VALUE($C1164)&lt;100000000,VALUE($C1164),1000000000),IFERROR(IF(VALUE(MID($C1164,2,20))&lt;100000000,VALUE(MID($C1164,2,20)),1000000000),1000000000))+ROW()/100000,"")</f>
        <v/>
      </c>
    </row>
    <row r="1165">
      <c r="D1165" s="11" t="n"/>
      <c r="K1165" s="7">
        <f>IF($C1165="","",J1165*W1165/100)</f>
        <v/>
      </c>
      <c r="Q1165" s="7" t="n"/>
      <c r="R1165" s="7" t="n"/>
      <c r="U1165">
        <f>IF($C1165="","",IF($AJ1165=1,0,IF($AI1165=1,Settings!$C$6,Settings!$C$7))*100)</f>
        <v/>
      </c>
      <c r="V1165" s="7">
        <f>IF($C1165="","",R1165*U1165/100)</f>
        <v/>
      </c>
      <c r="W1165" s="7">
        <f>IF($C1165="","",R1165-V1165)</f>
        <v/>
      </c>
      <c r="X1165" s="7">
        <f>IF($C1165="","",W1165-K1165)</f>
        <v/>
      </c>
      <c r="AB1165" s="7" t="n"/>
      <c r="AE1165" s="11" t="n"/>
      <c r="AG1165">
        <f>IF($C1165="","",IF(COUNTIF($C$2:$C1165,$C1165)=1,1,0))</f>
        <v/>
      </c>
      <c r="AH1165">
        <f>IF($AG1165=1,SUMPRODUCT(--($AK$2:$AK$6001&lt;$AK1165))+1,"")</f>
        <v/>
      </c>
      <c r="AI1165">
        <f>IF($C1165="","",IF(OR($N1165=TRUE(),$N1165="TRUE"),1,0))</f>
        <v/>
      </c>
      <c r="AJ1165">
        <f>IF($C1165="","",IF($T1165="Yes",1,0))</f>
        <v/>
      </c>
      <c r="AK1165">
        <f>IF($AG1165=1,IFERROR(IF(VALUE($C1165)&lt;100000000,VALUE($C1165),1000000000),IFERROR(IF(VALUE(MID($C1165,2,20))&lt;100000000,VALUE(MID($C1165,2,20)),1000000000),1000000000))+ROW()/100000,"")</f>
        <v/>
      </c>
    </row>
    <row r="1166">
      <c r="D1166" s="11" t="n"/>
      <c r="K1166" s="7">
        <f>IF($C1166="","",J1166*W1166/100)</f>
        <v/>
      </c>
      <c r="Q1166" s="7" t="n"/>
      <c r="R1166" s="7" t="n"/>
      <c r="U1166">
        <f>IF($C1166="","",IF($AJ1166=1,0,IF($AI1166=1,Settings!$C$6,Settings!$C$7))*100)</f>
        <v/>
      </c>
      <c r="V1166" s="7">
        <f>IF($C1166="","",R1166*U1166/100)</f>
        <v/>
      </c>
      <c r="W1166" s="7">
        <f>IF($C1166="","",R1166-V1166)</f>
        <v/>
      </c>
      <c r="X1166" s="7">
        <f>IF($C1166="","",W1166-K1166)</f>
        <v/>
      </c>
      <c r="AB1166" s="7" t="n"/>
      <c r="AE1166" s="11" t="n"/>
      <c r="AG1166">
        <f>IF($C1166="","",IF(COUNTIF($C$2:$C1166,$C1166)=1,1,0))</f>
        <v/>
      </c>
      <c r="AH1166">
        <f>IF($AG1166=1,SUMPRODUCT(--($AK$2:$AK$6001&lt;$AK1166))+1,"")</f>
        <v/>
      </c>
      <c r="AI1166">
        <f>IF($C1166="","",IF(OR($N1166=TRUE(),$N1166="TRUE"),1,0))</f>
        <v/>
      </c>
      <c r="AJ1166">
        <f>IF($C1166="","",IF($T1166="Yes",1,0))</f>
        <v/>
      </c>
      <c r="AK1166">
        <f>IF($AG1166=1,IFERROR(IF(VALUE($C1166)&lt;100000000,VALUE($C1166),1000000000),IFERROR(IF(VALUE(MID($C1166,2,20))&lt;100000000,VALUE(MID($C1166,2,20)),1000000000),1000000000))+ROW()/100000,"")</f>
        <v/>
      </c>
    </row>
    <row r="1167">
      <c r="D1167" s="11" t="n"/>
      <c r="K1167" s="7">
        <f>IF($C1167="","",J1167*W1167/100)</f>
        <v/>
      </c>
      <c r="Q1167" s="7" t="n"/>
      <c r="R1167" s="7" t="n"/>
      <c r="U1167">
        <f>IF($C1167="","",IF($AJ1167=1,0,IF($AI1167=1,Settings!$C$6,Settings!$C$7))*100)</f>
        <v/>
      </c>
      <c r="V1167" s="7">
        <f>IF($C1167="","",R1167*U1167/100)</f>
        <v/>
      </c>
      <c r="W1167" s="7">
        <f>IF($C1167="","",R1167-V1167)</f>
        <v/>
      </c>
      <c r="X1167" s="7">
        <f>IF($C1167="","",W1167-K1167)</f>
        <v/>
      </c>
      <c r="AB1167" s="7" t="n"/>
      <c r="AE1167" s="11" t="n"/>
      <c r="AG1167">
        <f>IF($C1167="","",IF(COUNTIF($C$2:$C1167,$C1167)=1,1,0))</f>
        <v/>
      </c>
      <c r="AH1167">
        <f>IF($AG1167=1,SUMPRODUCT(--($AK$2:$AK$6001&lt;$AK1167))+1,"")</f>
        <v/>
      </c>
      <c r="AI1167">
        <f>IF($C1167="","",IF(OR($N1167=TRUE(),$N1167="TRUE"),1,0))</f>
        <v/>
      </c>
      <c r="AJ1167">
        <f>IF($C1167="","",IF($T1167="Yes",1,0))</f>
        <v/>
      </c>
      <c r="AK1167">
        <f>IF($AG1167=1,IFERROR(IF(VALUE($C1167)&lt;100000000,VALUE($C1167),1000000000),IFERROR(IF(VALUE(MID($C1167,2,20))&lt;100000000,VALUE(MID($C1167,2,20)),1000000000),1000000000))+ROW()/100000,"")</f>
        <v/>
      </c>
    </row>
    <row r="1168">
      <c r="D1168" s="11" t="n"/>
      <c r="K1168" s="7">
        <f>IF($C1168="","",J1168*W1168/100)</f>
        <v/>
      </c>
      <c r="Q1168" s="7" t="n"/>
      <c r="R1168" s="7" t="n"/>
      <c r="U1168">
        <f>IF($C1168="","",IF($AJ1168=1,0,IF($AI1168=1,Settings!$C$6,Settings!$C$7))*100)</f>
        <v/>
      </c>
      <c r="V1168" s="7">
        <f>IF($C1168="","",R1168*U1168/100)</f>
        <v/>
      </c>
      <c r="W1168" s="7">
        <f>IF($C1168="","",R1168-V1168)</f>
        <v/>
      </c>
      <c r="X1168" s="7">
        <f>IF($C1168="","",W1168-K1168)</f>
        <v/>
      </c>
      <c r="AB1168" s="7" t="n"/>
      <c r="AE1168" s="11" t="n"/>
      <c r="AG1168">
        <f>IF($C1168="","",IF(COUNTIF($C$2:$C1168,$C1168)=1,1,0))</f>
        <v/>
      </c>
      <c r="AH1168">
        <f>IF($AG1168=1,SUMPRODUCT(--($AK$2:$AK$6001&lt;$AK1168))+1,"")</f>
        <v/>
      </c>
      <c r="AI1168">
        <f>IF($C1168="","",IF(OR($N1168=TRUE(),$N1168="TRUE"),1,0))</f>
        <v/>
      </c>
      <c r="AJ1168">
        <f>IF($C1168="","",IF($T1168="Yes",1,0))</f>
        <v/>
      </c>
      <c r="AK1168">
        <f>IF($AG1168=1,IFERROR(IF(VALUE($C1168)&lt;100000000,VALUE($C1168),1000000000),IFERROR(IF(VALUE(MID($C1168,2,20))&lt;100000000,VALUE(MID($C1168,2,20)),1000000000),1000000000))+ROW()/100000,"")</f>
        <v/>
      </c>
    </row>
    <row r="1169">
      <c r="D1169" s="11" t="n"/>
      <c r="K1169" s="7">
        <f>IF($C1169="","",J1169*W1169/100)</f>
        <v/>
      </c>
      <c r="Q1169" s="7" t="n"/>
      <c r="R1169" s="7" t="n"/>
      <c r="U1169">
        <f>IF($C1169="","",IF($AJ1169=1,0,IF($AI1169=1,Settings!$C$6,Settings!$C$7))*100)</f>
        <v/>
      </c>
      <c r="V1169" s="7">
        <f>IF($C1169="","",R1169*U1169/100)</f>
        <v/>
      </c>
      <c r="W1169" s="7">
        <f>IF($C1169="","",R1169-V1169)</f>
        <v/>
      </c>
      <c r="X1169" s="7">
        <f>IF($C1169="","",W1169-K1169)</f>
        <v/>
      </c>
      <c r="AB1169" s="7" t="n"/>
      <c r="AE1169" s="11" t="n"/>
      <c r="AG1169">
        <f>IF($C1169="","",IF(COUNTIF($C$2:$C1169,$C1169)=1,1,0))</f>
        <v/>
      </c>
      <c r="AH1169">
        <f>IF($AG1169=1,SUMPRODUCT(--($AK$2:$AK$6001&lt;$AK1169))+1,"")</f>
        <v/>
      </c>
      <c r="AI1169">
        <f>IF($C1169="","",IF(OR($N1169=TRUE(),$N1169="TRUE"),1,0))</f>
        <v/>
      </c>
      <c r="AJ1169">
        <f>IF($C1169="","",IF($T1169="Yes",1,0))</f>
        <v/>
      </c>
      <c r="AK1169">
        <f>IF($AG1169=1,IFERROR(IF(VALUE($C1169)&lt;100000000,VALUE($C1169),1000000000),IFERROR(IF(VALUE(MID($C1169,2,20))&lt;100000000,VALUE(MID($C1169,2,20)),1000000000),1000000000))+ROW()/100000,"")</f>
        <v/>
      </c>
    </row>
    <row r="1170">
      <c r="D1170" s="11" t="n"/>
      <c r="K1170" s="7">
        <f>IF($C1170="","",J1170*W1170/100)</f>
        <v/>
      </c>
      <c r="Q1170" s="7" t="n"/>
      <c r="R1170" s="7" t="n"/>
      <c r="U1170">
        <f>IF($C1170="","",IF($AJ1170=1,0,IF($AI1170=1,Settings!$C$6,Settings!$C$7))*100)</f>
        <v/>
      </c>
      <c r="V1170" s="7">
        <f>IF($C1170="","",R1170*U1170/100)</f>
        <v/>
      </c>
      <c r="W1170" s="7">
        <f>IF($C1170="","",R1170-V1170)</f>
        <v/>
      </c>
      <c r="X1170" s="7">
        <f>IF($C1170="","",W1170-K1170)</f>
        <v/>
      </c>
      <c r="AB1170" s="7" t="n"/>
      <c r="AE1170" s="11" t="n"/>
      <c r="AG1170">
        <f>IF($C1170="","",IF(COUNTIF($C$2:$C1170,$C1170)=1,1,0))</f>
        <v/>
      </c>
      <c r="AH1170">
        <f>IF($AG1170=1,SUMPRODUCT(--($AK$2:$AK$6001&lt;$AK1170))+1,"")</f>
        <v/>
      </c>
      <c r="AI1170">
        <f>IF($C1170="","",IF(OR($N1170=TRUE(),$N1170="TRUE"),1,0))</f>
        <v/>
      </c>
      <c r="AJ1170">
        <f>IF($C1170="","",IF($T1170="Yes",1,0))</f>
        <v/>
      </c>
      <c r="AK1170">
        <f>IF($AG1170=1,IFERROR(IF(VALUE($C1170)&lt;100000000,VALUE($C1170),1000000000),IFERROR(IF(VALUE(MID($C1170,2,20))&lt;100000000,VALUE(MID($C1170,2,20)),1000000000),1000000000))+ROW()/100000,"")</f>
        <v/>
      </c>
    </row>
    <row r="1171">
      <c r="D1171" s="11" t="n"/>
      <c r="K1171" s="7">
        <f>IF($C1171="","",J1171*W1171/100)</f>
        <v/>
      </c>
      <c r="Q1171" s="7" t="n"/>
      <c r="R1171" s="7" t="n"/>
      <c r="U1171">
        <f>IF($C1171="","",IF($AJ1171=1,0,IF($AI1171=1,Settings!$C$6,Settings!$C$7))*100)</f>
        <v/>
      </c>
      <c r="V1171" s="7">
        <f>IF($C1171="","",R1171*U1171/100)</f>
        <v/>
      </c>
      <c r="W1171" s="7">
        <f>IF($C1171="","",R1171-V1171)</f>
        <v/>
      </c>
      <c r="X1171" s="7">
        <f>IF($C1171="","",W1171-K1171)</f>
        <v/>
      </c>
      <c r="AB1171" s="7" t="n"/>
      <c r="AE1171" s="11" t="n"/>
      <c r="AG1171">
        <f>IF($C1171="","",IF(COUNTIF($C$2:$C1171,$C1171)=1,1,0))</f>
        <v/>
      </c>
      <c r="AH1171">
        <f>IF($AG1171=1,SUMPRODUCT(--($AK$2:$AK$6001&lt;$AK1171))+1,"")</f>
        <v/>
      </c>
      <c r="AI1171">
        <f>IF($C1171="","",IF(OR($N1171=TRUE(),$N1171="TRUE"),1,0))</f>
        <v/>
      </c>
      <c r="AJ1171">
        <f>IF($C1171="","",IF($T1171="Yes",1,0))</f>
        <v/>
      </c>
      <c r="AK1171">
        <f>IF($AG1171=1,IFERROR(IF(VALUE($C1171)&lt;100000000,VALUE($C1171),1000000000),IFERROR(IF(VALUE(MID($C1171,2,20))&lt;100000000,VALUE(MID($C1171,2,20)),1000000000),1000000000))+ROW()/100000,"")</f>
        <v/>
      </c>
    </row>
    <row r="1172">
      <c r="D1172" s="11" t="n"/>
      <c r="K1172" s="7">
        <f>IF($C1172="","",J1172*W1172/100)</f>
        <v/>
      </c>
      <c r="Q1172" s="7" t="n"/>
      <c r="R1172" s="7" t="n"/>
      <c r="U1172">
        <f>IF($C1172="","",IF($AJ1172=1,0,IF($AI1172=1,Settings!$C$6,Settings!$C$7))*100)</f>
        <v/>
      </c>
      <c r="V1172" s="7">
        <f>IF($C1172="","",R1172*U1172/100)</f>
        <v/>
      </c>
      <c r="W1172" s="7">
        <f>IF($C1172="","",R1172-V1172)</f>
        <v/>
      </c>
      <c r="X1172" s="7">
        <f>IF($C1172="","",W1172-K1172)</f>
        <v/>
      </c>
      <c r="AB1172" s="7" t="n"/>
      <c r="AE1172" s="11" t="n"/>
      <c r="AG1172">
        <f>IF($C1172="","",IF(COUNTIF($C$2:$C1172,$C1172)=1,1,0))</f>
        <v/>
      </c>
      <c r="AH1172">
        <f>IF($AG1172=1,SUMPRODUCT(--($AK$2:$AK$6001&lt;$AK1172))+1,"")</f>
        <v/>
      </c>
      <c r="AI1172">
        <f>IF($C1172="","",IF(OR($N1172=TRUE(),$N1172="TRUE"),1,0))</f>
        <v/>
      </c>
      <c r="AJ1172">
        <f>IF($C1172="","",IF($T1172="Yes",1,0))</f>
        <v/>
      </c>
      <c r="AK1172">
        <f>IF($AG1172=1,IFERROR(IF(VALUE($C1172)&lt;100000000,VALUE($C1172),1000000000),IFERROR(IF(VALUE(MID($C1172,2,20))&lt;100000000,VALUE(MID($C1172,2,20)),1000000000),1000000000))+ROW()/100000,"")</f>
        <v/>
      </c>
    </row>
    <row r="1173">
      <c r="D1173" s="11" t="n"/>
      <c r="K1173" s="7">
        <f>IF($C1173="","",J1173*W1173/100)</f>
        <v/>
      </c>
      <c r="Q1173" s="7" t="n"/>
      <c r="R1173" s="7" t="n"/>
      <c r="U1173">
        <f>IF($C1173="","",IF($AJ1173=1,0,IF($AI1173=1,Settings!$C$6,Settings!$C$7))*100)</f>
        <v/>
      </c>
      <c r="V1173" s="7">
        <f>IF($C1173="","",R1173*U1173/100)</f>
        <v/>
      </c>
      <c r="W1173" s="7">
        <f>IF($C1173="","",R1173-V1173)</f>
        <v/>
      </c>
      <c r="X1173" s="7">
        <f>IF($C1173="","",W1173-K1173)</f>
        <v/>
      </c>
      <c r="AB1173" s="7" t="n"/>
      <c r="AE1173" s="11" t="n"/>
      <c r="AG1173">
        <f>IF($C1173="","",IF(COUNTIF($C$2:$C1173,$C1173)=1,1,0))</f>
        <v/>
      </c>
      <c r="AH1173">
        <f>IF($AG1173=1,SUMPRODUCT(--($AK$2:$AK$6001&lt;$AK1173))+1,"")</f>
        <v/>
      </c>
      <c r="AI1173">
        <f>IF($C1173="","",IF(OR($N1173=TRUE(),$N1173="TRUE"),1,0))</f>
        <v/>
      </c>
      <c r="AJ1173">
        <f>IF($C1173="","",IF($T1173="Yes",1,0))</f>
        <v/>
      </c>
      <c r="AK1173">
        <f>IF($AG1173=1,IFERROR(IF(VALUE($C1173)&lt;100000000,VALUE($C1173),1000000000),IFERROR(IF(VALUE(MID($C1173,2,20))&lt;100000000,VALUE(MID($C1173,2,20)),1000000000),1000000000))+ROW()/100000,"")</f>
        <v/>
      </c>
    </row>
    <row r="1174">
      <c r="D1174" s="11" t="n"/>
      <c r="K1174" s="7">
        <f>IF($C1174="","",J1174*W1174/100)</f>
        <v/>
      </c>
      <c r="Q1174" s="7" t="n"/>
      <c r="R1174" s="7" t="n"/>
      <c r="U1174">
        <f>IF($C1174="","",IF($AJ1174=1,0,IF($AI1174=1,Settings!$C$6,Settings!$C$7))*100)</f>
        <v/>
      </c>
      <c r="V1174" s="7">
        <f>IF($C1174="","",R1174*U1174/100)</f>
        <v/>
      </c>
      <c r="W1174" s="7">
        <f>IF($C1174="","",R1174-V1174)</f>
        <v/>
      </c>
      <c r="X1174" s="7">
        <f>IF($C1174="","",W1174-K1174)</f>
        <v/>
      </c>
      <c r="AB1174" s="7" t="n"/>
      <c r="AE1174" s="11" t="n"/>
      <c r="AG1174">
        <f>IF($C1174="","",IF(COUNTIF($C$2:$C1174,$C1174)=1,1,0))</f>
        <v/>
      </c>
      <c r="AH1174">
        <f>IF($AG1174=1,SUMPRODUCT(--($AK$2:$AK$6001&lt;$AK1174))+1,"")</f>
        <v/>
      </c>
      <c r="AI1174">
        <f>IF($C1174="","",IF(OR($N1174=TRUE(),$N1174="TRUE"),1,0))</f>
        <v/>
      </c>
      <c r="AJ1174">
        <f>IF($C1174="","",IF($T1174="Yes",1,0))</f>
        <v/>
      </c>
      <c r="AK1174">
        <f>IF($AG1174=1,IFERROR(IF(VALUE($C1174)&lt;100000000,VALUE($C1174),1000000000),IFERROR(IF(VALUE(MID($C1174,2,20))&lt;100000000,VALUE(MID($C1174,2,20)),1000000000),1000000000))+ROW()/100000,"")</f>
        <v/>
      </c>
    </row>
    <row r="1175">
      <c r="D1175" s="11" t="n"/>
      <c r="K1175" s="7">
        <f>IF($C1175="","",J1175*W1175/100)</f>
        <v/>
      </c>
      <c r="Q1175" s="7" t="n"/>
      <c r="R1175" s="7" t="n"/>
      <c r="U1175">
        <f>IF($C1175="","",IF($AJ1175=1,0,IF($AI1175=1,Settings!$C$6,Settings!$C$7))*100)</f>
        <v/>
      </c>
      <c r="V1175" s="7">
        <f>IF($C1175="","",R1175*U1175/100)</f>
        <v/>
      </c>
      <c r="W1175" s="7">
        <f>IF($C1175="","",R1175-V1175)</f>
        <v/>
      </c>
      <c r="X1175" s="7">
        <f>IF($C1175="","",W1175-K1175)</f>
        <v/>
      </c>
      <c r="AB1175" s="7" t="n"/>
      <c r="AE1175" s="11" t="n"/>
      <c r="AG1175">
        <f>IF($C1175="","",IF(COUNTIF($C$2:$C1175,$C1175)=1,1,0))</f>
        <v/>
      </c>
      <c r="AH1175">
        <f>IF($AG1175=1,SUMPRODUCT(--($AK$2:$AK$6001&lt;$AK1175))+1,"")</f>
        <v/>
      </c>
      <c r="AI1175">
        <f>IF($C1175="","",IF(OR($N1175=TRUE(),$N1175="TRUE"),1,0))</f>
        <v/>
      </c>
      <c r="AJ1175">
        <f>IF($C1175="","",IF($T1175="Yes",1,0))</f>
        <v/>
      </c>
      <c r="AK1175">
        <f>IF($AG1175=1,IFERROR(IF(VALUE($C1175)&lt;100000000,VALUE($C1175),1000000000),IFERROR(IF(VALUE(MID($C1175,2,20))&lt;100000000,VALUE(MID($C1175,2,20)),1000000000),1000000000))+ROW()/100000,"")</f>
        <v/>
      </c>
    </row>
    <row r="1176">
      <c r="D1176" s="11" t="n"/>
      <c r="K1176" s="7">
        <f>IF($C1176="","",J1176*W1176/100)</f>
        <v/>
      </c>
      <c r="Q1176" s="7" t="n"/>
      <c r="R1176" s="7" t="n"/>
      <c r="U1176">
        <f>IF($C1176="","",IF($AJ1176=1,0,IF($AI1176=1,Settings!$C$6,Settings!$C$7))*100)</f>
        <v/>
      </c>
      <c r="V1176" s="7">
        <f>IF($C1176="","",R1176*U1176/100)</f>
        <v/>
      </c>
      <c r="W1176" s="7">
        <f>IF($C1176="","",R1176-V1176)</f>
        <v/>
      </c>
      <c r="X1176" s="7">
        <f>IF($C1176="","",W1176-K1176)</f>
        <v/>
      </c>
      <c r="AB1176" s="7" t="n"/>
      <c r="AE1176" s="11" t="n"/>
      <c r="AG1176">
        <f>IF($C1176="","",IF(COUNTIF($C$2:$C1176,$C1176)=1,1,0))</f>
        <v/>
      </c>
      <c r="AH1176">
        <f>IF($AG1176=1,SUMPRODUCT(--($AK$2:$AK$6001&lt;$AK1176))+1,"")</f>
        <v/>
      </c>
      <c r="AI1176">
        <f>IF($C1176="","",IF(OR($N1176=TRUE(),$N1176="TRUE"),1,0))</f>
        <v/>
      </c>
      <c r="AJ1176">
        <f>IF($C1176="","",IF($T1176="Yes",1,0))</f>
        <v/>
      </c>
      <c r="AK1176">
        <f>IF($AG1176=1,IFERROR(IF(VALUE($C1176)&lt;100000000,VALUE($C1176),1000000000),IFERROR(IF(VALUE(MID($C1176,2,20))&lt;100000000,VALUE(MID($C1176,2,20)),1000000000),1000000000))+ROW()/100000,"")</f>
        <v/>
      </c>
    </row>
    <row r="1177">
      <c r="D1177" s="11" t="n"/>
      <c r="K1177" s="7">
        <f>IF($C1177="","",J1177*W1177/100)</f>
        <v/>
      </c>
      <c r="Q1177" s="7" t="n"/>
      <c r="R1177" s="7" t="n"/>
      <c r="U1177">
        <f>IF($C1177="","",IF($AJ1177=1,0,IF($AI1177=1,Settings!$C$6,Settings!$C$7))*100)</f>
        <v/>
      </c>
      <c r="V1177" s="7">
        <f>IF($C1177="","",R1177*U1177/100)</f>
        <v/>
      </c>
      <c r="W1177" s="7">
        <f>IF($C1177="","",R1177-V1177)</f>
        <v/>
      </c>
      <c r="X1177" s="7">
        <f>IF($C1177="","",W1177-K1177)</f>
        <v/>
      </c>
      <c r="AB1177" s="7" t="n"/>
      <c r="AE1177" s="11" t="n"/>
      <c r="AG1177">
        <f>IF($C1177="","",IF(COUNTIF($C$2:$C1177,$C1177)=1,1,0))</f>
        <v/>
      </c>
      <c r="AH1177">
        <f>IF($AG1177=1,SUMPRODUCT(--($AK$2:$AK$6001&lt;$AK1177))+1,"")</f>
        <v/>
      </c>
      <c r="AI1177">
        <f>IF($C1177="","",IF(OR($N1177=TRUE(),$N1177="TRUE"),1,0))</f>
        <v/>
      </c>
      <c r="AJ1177">
        <f>IF($C1177="","",IF($T1177="Yes",1,0))</f>
        <v/>
      </c>
      <c r="AK1177">
        <f>IF($AG1177=1,IFERROR(IF(VALUE($C1177)&lt;100000000,VALUE($C1177),1000000000),IFERROR(IF(VALUE(MID($C1177,2,20))&lt;100000000,VALUE(MID($C1177,2,20)),1000000000),1000000000))+ROW()/100000,"")</f>
        <v/>
      </c>
    </row>
    <row r="1178">
      <c r="D1178" s="11" t="n"/>
      <c r="K1178" s="7">
        <f>IF($C1178="","",J1178*W1178/100)</f>
        <v/>
      </c>
      <c r="Q1178" s="7" t="n"/>
      <c r="R1178" s="7" t="n"/>
      <c r="U1178">
        <f>IF($C1178="","",IF($AJ1178=1,0,IF($AI1178=1,Settings!$C$6,Settings!$C$7))*100)</f>
        <v/>
      </c>
      <c r="V1178" s="7">
        <f>IF($C1178="","",R1178*U1178/100)</f>
        <v/>
      </c>
      <c r="W1178" s="7">
        <f>IF($C1178="","",R1178-V1178)</f>
        <v/>
      </c>
      <c r="X1178" s="7">
        <f>IF($C1178="","",W1178-K1178)</f>
        <v/>
      </c>
      <c r="AB1178" s="7" t="n"/>
      <c r="AE1178" s="11" t="n"/>
      <c r="AG1178">
        <f>IF($C1178="","",IF(COUNTIF($C$2:$C1178,$C1178)=1,1,0))</f>
        <v/>
      </c>
      <c r="AH1178">
        <f>IF($AG1178=1,SUMPRODUCT(--($AK$2:$AK$6001&lt;$AK1178))+1,"")</f>
        <v/>
      </c>
      <c r="AI1178">
        <f>IF($C1178="","",IF(OR($N1178=TRUE(),$N1178="TRUE"),1,0))</f>
        <v/>
      </c>
      <c r="AJ1178">
        <f>IF($C1178="","",IF($T1178="Yes",1,0))</f>
        <v/>
      </c>
      <c r="AK1178">
        <f>IF($AG1178=1,IFERROR(IF(VALUE($C1178)&lt;100000000,VALUE($C1178),1000000000),IFERROR(IF(VALUE(MID($C1178,2,20))&lt;100000000,VALUE(MID($C1178,2,20)),1000000000),1000000000))+ROW()/100000,"")</f>
        <v/>
      </c>
    </row>
    <row r="1179">
      <c r="D1179" s="11" t="n"/>
      <c r="K1179" s="7">
        <f>IF($C1179="","",J1179*W1179/100)</f>
        <v/>
      </c>
      <c r="Q1179" s="7" t="n"/>
      <c r="R1179" s="7" t="n"/>
      <c r="U1179">
        <f>IF($C1179="","",IF($AJ1179=1,0,IF($AI1179=1,Settings!$C$6,Settings!$C$7))*100)</f>
        <v/>
      </c>
      <c r="V1179" s="7">
        <f>IF($C1179="","",R1179*U1179/100)</f>
        <v/>
      </c>
      <c r="W1179" s="7">
        <f>IF($C1179="","",R1179-V1179)</f>
        <v/>
      </c>
      <c r="X1179" s="7">
        <f>IF($C1179="","",W1179-K1179)</f>
        <v/>
      </c>
      <c r="AB1179" s="7" t="n"/>
      <c r="AE1179" s="11" t="n"/>
      <c r="AG1179">
        <f>IF($C1179="","",IF(COUNTIF($C$2:$C1179,$C1179)=1,1,0))</f>
        <v/>
      </c>
      <c r="AH1179">
        <f>IF($AG1179=1,SUMPRODUCT(--($AK$2:$AK$6001&lt;$AK1179))+1,"")</f>
        <v/>
      </c>
      <c r="AI1179">
        <f>IF($C1179="","",IF(OR($N1179=TRUE(),$N1179="TRUE"),1,0))</f>
        <v/>
      </c>
      <c r="AJ1179">
        <f>IF($C1179="","",IF($T1179="Yes",1,0))</f>
        <v/>
      </c>
      <c r="AK1179">
        <f>IF($AG1179=1,IFERROR(IF(VALUE($C1179)&lt;100000000,VALUE($C1179),1000000000),IFERROR(IF(VALUE(MID($C1179,2,20))&lt;100000000,VALUE(MID($C1179,2,20)),1000000000),1000000000))+ROW()/100000,"")</f>
        <v/>
      </c>
    </row>
    <row r="1180">
      <c r="D1180" s="11" t="n"/>
      <c r="K1180" s="7">
        <f>IF($C1180="","",J1180*W1180/100)</f>
        <v/>
      </c>
      <c r="Q1180" s="7" t="n"/>
      <c r="R1180" s="7" t="n"/>
      <c r="U1180">
        <f>IF($C1180="","",IF($AJ1180=1,0,IF($AI1180=1,Settings!$C$6,Settings!$C$7))*100)</f>
        <v/>
      </c>
      <c r="V1180" s="7">
        <f>IF($C1180="","",R1180*U1180/100)</f>
        <v/>
      </c>
      <c r="W1180" s="7">
        <f>IF($C1180="","",R1180-V1180)</f>
        <v/>
      </c>
      <c r="X1180" s="7">
        <f>IF($C1180="","",W1180-K1180)</f>
        <v/>
      </c>
      <c r="AB1180" s="7" t="n"/>
      <c r="AE1180" s="11" t="n"/>
      <c r="AG1180">
        <f>IF($C1180="","",IF(COUNTIF($C$2:$C1180,$C1180)=1,1,0))</f>
        <v/>
      </c>
      <c r="AH1180">
        <f>IF($AG1180=1,SUMPRODUCT(--($AK$2:$AK$6001&lt;$AK1180))+1,"")</f>
        <v/>
      </c>
      <c r="AI1180">
        <f>IF($C1180="","",IF(OR($N1180=TRUE(),$N1180="TRUE"),1,0))</f>
        <v/>
      </c>
      <c r="AJ1180">
        <f>IF($C1180="","",IF($T1180="Yes",1,0))</f>
        <v/>
      </c>
      <c r="AK1180">
        <f>IF($AG1180=1,IFERROR(IF(VALUE($C1180)&lt;100000000,VALUE($C1180),1000000000),IFERROR(IF(VALUE(MID($C1180,2,20))&lt;100000000,VALUE(MID($C1180,2,20)),1000000000),1000000000))+ROW()/100000,"")</f>
        <v/>
      </c>
    </row>
    <row r="1181">
      <c r="D1181" s="11" t="n"/>
      <c r="K1181" s="7">
        <f>IF($C1181="","",J1181*W1181/100)</f>
        <v/>
      </c>
      <c r="Q1181" s="7" t="n"/>
      <c r="R1181" s="7" t="n"/>
      <c r="U1181">
        <f>IF($C1181="","",IF($AJ1181=1,0,IF($AI1181=1,Settings!$C$6,Settings!$C$7))*100)</f>
        <v/>
      </c>
      <c r="V1181" s="7">
        <f>IF($C1181="","",R1181*U1181/100)</f>
        <v/>
      </c>
      <c r="W1181" s="7">
        <f>IF($C1181="","",R1181-V1181)</f>
        <v/>
      </c>
      <c r="X1181" s="7">
        <f>IF($C1181="","",W1181-K1181)</f>
        <v/>
      </c>
      <c r="AB1181" s="7" t="n"/>
      <c r="AE1181" s="11" t="n"/>
      <c r="AG1181">
        <f>IF($C1181="","",IF(COUNTIF($C$2:$C1181,$C1181)=1,1,0))</f>
        <v/>
      </c>
      <c r="AH1181">
        <f>IF($AG1181=1,SUMPRODUCT(--($AK$2:$AK$6001&lt;$AK1181))+1,"")</f>
        <v/>
      </c>
      <c r="AI1181">
        <f>IF($C1181="","",IF(OR($N1181=TRUE(),$N1181="TRUE"),1,0))</f>
        <v/>
      </c>
      <c r="AJ1181">
        <f>IF($C1181="","",IF($T1181="Yes",1,0))</f>
        <v/>
      </c>
      <c r="AK1181">
        <f>IF($AG1181=1,IFERROR(IF(VALUE($C1181)&lt;100000000,VALUE($C1181),1000000000),IFERROR(IF(VALUE(MID($C1181,2,20))&lt;100000000,VALUE(MID($C1181,2,20)),1000000000),1000000000))+ROW()/100000,"")</f>
        <v/>
      </c>
    </row>
    <row r="1182">
      <c r="D1182" s="11" t="n"/>
      <c r="K1182" s="7">
        <f>IF($C1182="","",J1182*W1182/100)</f>
        <v/>
      </c>
      <c r="Q1182" s="7" t="n"/>
      <c r="R1182" s="7" t="n"/>
      <c r="U1182">
        <f>IF($C1182="","",IF($AJ1182=1,0,IF($AI1182=1,Settings!$C$6,Settings!$C$7))*100)</f>
        <v/>
      </c>
      <c r="V1182" s="7">
        <f>IF($C1182="","",R1182*U1182/100)</f>
        <v/>
      </c>
      <c r="W1182" s="7">
        <f>IF($C1182="","",R1182-V1182)</f>
        <v/>
      </c>
      <c r="X1182" s="7">
        <f>IF($C1182="","",W1182-K1182)</f>
        <v/>
      </c>
      <c r="AB1182" s="7" t="n"/>
      <c r="AE1182" s="11" t="n"/>
      <c r="AG1182">
        <f>IF($C1182="","",IF(COUNTIF($C$2:$C1182,$C1182)=1,1,0))</f>
        <v/>
      </c>
      <c r="AH1182">
        <f>IF($AG1182=1,SUMPRODUCT(--($AK$2:$AK$6001&lt;$AK1182))+1,"")</f>
        <v/>
      </c>
      <c r="AI1182">
        <f>IF($C1182="","",IF(OR($N1182=TRUE(),$N1182="TRUE"),1,0))</f>
        <v/>
      </c>
      <c r="AJ1182">
        <f>IF($C1182="","",IF($T1182="Yes",1,0))</f>
        <v/>
      </c>
      <c r="AK1182">
        <f>IF($AG1182=1,IFERROR(IF(VALUE($C1182)&lt;100000000,VALUE($C1182),1000000000),IFERROR(IF(VALUE(MID($C1182,2,20))&lt;100000000,VALUE(MID($C1182,2,20)),1000000000),1000000000))+ROW()/100000,"")</f>
        <v/>
      </c>
    </row>
    <row r="1183">
      <c r="D1183" s="11" t="n"/>
      <c r="K1183" s="7">
        <f>IF($C1183="","",J1183*W1183/100)</f>
        <v/>
      </c>
      <c r="Q1183" s="7" t="n"/>
      <c r="R1183" s="7" t="n"/>
      <c r="U1183">
        <f>IF($C1183="","",IF($AJ1183=1,0,IF($AI1183=1,Settings!$C$6,Settings!$C$7))*100)</f>
        <v/>
      </c>
      <c r="V1183" s="7">
        <f>IF($C1183="","",R1183*U1183/100)</f>
        <v/>
      </c>
      <c r="W1183" s="7">
        <f>IF($C1183="","",R1183-V1183)</f>
        <v/>
      </c>
      <c r="X1183" s="7">
        <f>IF($C1183="","",W1183-K1183)</f>
        <v/>
      </c>
      <c r="AB1183" s="7" t="n"/>
      <c r="AE1183" s="11" t="n"/>
      <c r="AG1183">
        <f>IF($C1183="","",IF(COUNTIF($C$2:$C1183,$C1183)=1,1,0))</f>
        <v/>
      </c>
      <c r="AH1183">
        <f>IF($AG1183=1,SUMPRODUCT(--($AK$2:$AK$6001&lt;$AK1183))+1,"")</f>
        <v/>
      </c>
      <c r="AI1183">
        <f>IF($C1183="","",IF(OR($N1183=TRUE(),$N1183="TRUE"),1,0))</f>
        <v/>
      </c>
      <c r="AJ1183">
        <f>IF($C1183="","",IF($T1183="Yes",1,0))</f>
        <v/>
      </c>
      <c r="AK1183">
        <f>IF($AG1183=1,IFERROR(IF(VALUE($C1183)&lt;100000000,VALUE($C1183),1000000000),IFERROR(IF(VALUE(MID($C1183,2,20))&lt;100000000,VALUE(MID($C1183,2,20)),1000000000),1000000000))+ROW()/100000,"")</f>
        <v/>
      </c>
    </row>
    <row r="1184">
      <c r="D1184" s="11" t="n"/>
      <c r="K1184" s="7">
        <f>IF($C1184="","",J1184*W1184/100)</f>
        <v/>
      </c>
      <c r="Q1184" s="7" t="n"/>
      <c r="R1184" s="7" t="n"/>
      <c r="U1184">
        <f>IF($C1184="","",IF($AJ1184=1,0,IF($AI1184=1,Settings!$C$6,Settings!$C$7))*100)</f>
        <v/>
      </c>
      <c r="V1184" s="7">
        <f>IF($C1184="","",R1184*U1184/100)</f>
        <v/>
      </c>
      <c r="W1184" s="7">
        <f>IF($C1184="","",R1184-V1184)</f>
        <v/>
      </c>
      <c r="X1184" s="7">
        <f>IF($C1184="","",W1184-K1184)</f>
        <v/>
      </c>
      <c r="AB1184" s="7" t="n"/>
      <c r="AE1184" s="11" t="n"/>
      <c r="AG1184">
        <f>IF($C1184="","",IF(COUNTIF($C$2:$C1184,$C1184)=1,1,0))</f>
        <v/>
      </c>
      <c r="AH1184">
        <f>IF($AG1184=1,SUMPRODUCT(--($AK$2:$AK$6001&lt;$AK1184))+1,"")</f>
        <v/>
      </c>
      <c r="AI1184">
        <f>IF($C1184="","",IF(OR($N1184=TRUE(),$N1184="TRUE"),1,0))</f>
        <v/>
      </c>
      <c r="AJ1184">
        <f>IF($C1184="","",IF($T1184="Yes",1,0))</f>
        <v/>
      </c>
      <c r="AK1184">
        <f>IF($AG1184=1,IFERROR(IF(VALUE($C1184)&lt;100000000,VALUE($C1184),1000000000),IFERROR(IF(VALUE(MID($C1184,2,20))&lt;100000000,VALUE(MID($C1184,2,20)),1000000000),1000000000))+ROW()/100000,"")</f>
        <v/>
      </c>
    </row>
    <row r="1185">
      <c r="D1185" s="11" t="n"/>
      <c r="K1185" s="7">
        <f>IF($C1185="","",J1185*W1185/100)</f>
        <v/>
      </c>
      <c r="Q1185" s="7" t="n"/>
      <c r="R1185" s="7" t="n"/>
      <c r="U1185">
        <f>IF($C1185="","",IF($AJ1185=1,0,IF($AI1185=1,Settings!$C$6,Settings!$C$7))*100)</f>
        <v/>
      </c>
      <c r="V1185" s="7">
        <f>IF($C1185="","",R1185*U1185/100)</f>
        <v/>
      </c>
      <c r="W1185" s="7">
        <f>IF($C1185="","",R1185-V1185)</f>
        <v/>
      </c>
      <c r="X1185" s="7">
        <f>IF($C1185="","",W1185-K1185)</f>
        <v/>
      </c>
      <c r="AB1185" s="7" t="n"/>
      <c r="AE1185" s="11" t="n"/>
      <c r="AG1185">
        <f>IF($C1185="","",IF(COUNTIF($C$2:$C1185,$C1185)=1,1,0))</f>
        <v/>
      </c>
      <c r="AH1185">
        <f>IF($AG1185=1,SUMPRODUCT(--($AK$2:$AK$6001&lt;$AK1185))+1,"")</f>
        <v/>
      </c>
      <c r="AI1185">
        <f>IF($C1185="","",IF(OR($N1185=TRUE(),$N1185="TRUE"),1,0))</f>
        <v/>
      </c>
      <c r="AJ1185">
        <f>IF($C1185="","",IF($T1185="Yes",1,0))</f>
        <v/>
      </c>
      <c r="AK1185">
        <f>IF($AG1185=1,IFERROR(IF(VALUE($C1185)&lt;100000000,VALUE($C1185),1000000000),IFERROR(IF(VALUE(MID($C1185,2,20))&lt;100000000,VALUE(MID($C1185,2,20)),1000000000),1000000000))+ROW()/100000,"")</f>
        <v/>
      </c>
    </row>
    <row r="1186">
      <c r="D1186" s="11" t="n"/>
      <c r="K1186" s="7">
        <f>IF($C1186="","",J1186*W1186/100)</f>
        <v/>
      </c>
      <c r="Q1186" s="7" t="n"/>
      <c r="R1186" s="7" t="n"/>
      <c r="U1186">
        <f>IF($C1186="","",IF($AJ1186=1,0,IF($AI1186=1,Settings!$C$6,Settings!$C$7))*100)</f>
        <v/>
      </c>
      <c r="V1186" s="7">
        <f>IF($C1186="","",R1186*U1186/100)</f>
        <v/>
      </c>
      <c r="W1186" s="7">
        <f>IF($C1186="","",R1186-V1186)</f>
        <v/>
      </c>
      <c r="X1186" s="7">
        <f>IF($C1186="","",W1186-K1186)</f>
        <v/>
      </c>
      <c r="AB1186" s="7" t="n"/>
      <c r="AE1186" s="11" t="n"/>
      <c r="AG1186">
        <f>IF($C1186="","",IF(COUNTIF($C$2:$C1186,$C1186)=1,1,0))</f>
        <v/>
      </c>
      <c r="AH1186">
        <f>IF($AG1186=1,SUMPRODUCT(--($AK$2:$AK$6001&lt;$AK1186))+1,"")</f>
        <v/>
      </c>
      <c r="AI1186">
        <f>IF($C1186="","",IF(OR($N1186=TRUE(),$N1186="TRUE"),1,0))</f>
        <v/>
      </c>
      <c r="AJ1186">
        <f>IF($C1186="","",IF($T1186="Yes",1,0))</f>
        <v/>
      </c>
      <c r="AK1186">
        <f>IF($AG1186=1,IFERROR(IF(VALUE($C1186)&lt;100000000,VALUE($C1186),1000000000),IFERROR(IF(VALUE(MID($C1186,2,20))&lt;100000000,VALUE(MID($C1186,2,20)),1000000000),1000000000))+ROW()/100000,"")</f>
        <v/>
      </c>
    </row>
    <row r="1187">
      <c r="D1187" s="11" t="n"/>
      <c r="K1187" s="7">
        <f>IF($C1187="","",J1187*W1187/100)</f>
        <v/>
      </c>
      <c r="Q1187" s="7" t="n"/>
      <c r="R1187" s="7" t="n"/>
      <c r="U1187">
        <f>IF($C1187="","",IF($AJ1187=1,0,IF($AI1187=1,Settings!$C$6,Settings!$C$7))*100)</f>
        <v/>
      </c>
      <c r="V1187" s="7">
        <f>IF($C1187="","",R1187*U1187/100)</f>
        <v/>
      </c>
      <c r="W1187" s="7">
        <f>IF($C1187="","",R1187-V1187)</f>
        <v/>
      </c>
      <c r="X1187" s="7">
        <f>IF($C1187="","",W1187-K1187)</f>
        <v/>
      </c>
      <c r="AB1187" s="7" t="n"/>
      <c r="AE1187" s="11" t="n"/>
      <c r="AG1187">
        <f>IF($C1187="","",IF(COUNTIF($C$2:$C1187,$C1187)=1,1,0))</f>
        <v/>
      </c>
      <c r="AH1187">
        <f>IF($AG1187=1,SUMPRODUCT(--($AK$2:$AK$6001&lt;$AK1187))+1,"")</f>
        <v/>
      </c>
      <c r="AI1187">
        <f>IF($C1187="","",IF(OR($N1187=TRUE(),$N1187="TRUE"),1,0))</f>
        <v/>
      </c>
      <c r="AJ1187">
        <f>IF($C1187="","",IF($T1187="Yes",1,0))</f>
        <v/>
      </c>
      <c r="AK1187">
        <f>IF($AG1187=1,IFERROR(IF(VALUE($C1187)&lt;100000000,VALUE($C1187),1000000000),IFERROR(IF(VALUE(MID($C1187,2,20))&lt;100000000,VALUE(MID($C1187,2,20)),1000000000),1000000000))+ROW()/100000,"")</f>
        <v/>
      </c>
    </row>
    <row r="1188">
      <c r="D1188" s="11" t="n"/>
      <c r="K1188" s="7">
        <f>IF($C1188="","",J1188*W1188/100)</f>
        <v/>
      </c>
      <c r="Q1188" s="7" t="n"/>
      <c r="R1188" s="7" t="n"/>
      <c r="U1188">
        <f>IF($C1188="","",IF($AJ1188=1,0,IF($AI1188=1,Settings!$C$6,Settings!$C$7))*100)</f>
        <v/>
      </c>
      <c r="V1188" s="7">
        <f>IF($C1188="","",R1188*U1188/100)</f>
        <v/>
      </c>
      <c r="W1188" s="7">
        <f>IF($C1188="","",R1188-V1188)</f>
        <v/>
      </c>
      <c r="X1188" s="7">
        <f>IF($C1188="","",W1188-K1188)</f>
        <v/>
      </c>
      <c r="AB1188" s="7" t="n"/>
      <c r="AE1188" s="11" t="n"/>
      <c r="AG1188">
        <f>IF($C1188="","",IF(COUNTIF($C$2:$C1188,$C1188)=1,1,0))</f>
        <v/>
      </c>
      <c r="AH1188">
        <f>IF($AG1188=1,SUMPRODUCT(--($AK$2:$AK$6001&lt;$AK1188))+1,"")</f>
        <v/>
      </c>
      <c r="AI1188">
        <f>IF($C1188="","",IF(OR($N1188=TRUE(),$N1188="TRUE"),1,0))</f>
        <v/>
      </c>
      <c r="AJ1188">
        <f>IF($C1188="","",IF($T1188="Yes",1,0))</f>
        <v/>
      </c>
      <c r="AK1188">
        <f>IF($AG1188=1,IFERROR(IF(VALUE($C1188)&lt;100000000,VALUE($C1188),1000000000),IFERROR(IF(VALUE(MID($C1188,2,20))&lt;100000000,VALUE(MID($C1188,2,20)),1000000000),1000000000))+ROW()/100000,"")</f>
        <v/>
      </c>
    </row>
    <row r="1189">
      <c r="D1189" s="11" t="n"/>
      <c r="K1189" s="7">
        <f>IF($C1189="","",J1189*W1189/100)</f>
        <v/>
      </c>
      <c r="Q1189" s="7" t="n"/>
      <c r="R1189" s="7" t="n"/>
      <c r="U1189">
        <f>IF($C1189="","",IF($AJ1189=1,0,IF($AI1189=1,Settings!$C$6,Settings!$C$7))*100)</f>
        <v/>
      </c>
      <c r="V1189" s="7">
        <f>IF($C1189="","",R1189*U1189/100)</f>
        <v/>
      </c>
      <c r="W1189" s="7">
        <f>IF($C1189="","",R1189-V1189)</f>
        <v/>
      </c>
      <c r="X1189" s="7">
        <f>IF($C1189="","",W1189-K1189)</f>
        <v/>
      </c>
      <c r="AB1189" s="7" t="n"/>
      <c r="AE1189" s="11" t="n"/>
      <c r="AG1189">
        <f>IF($C1189="","",IF(COUNTIF($C$2:$C1189,$C1189)=1,1,0))</f>
        <v/>
      </c>
      <c r="AH1189">
        <f>IF($AG1189=1,SUMPRODUCT(--($AK$2:$AK$6001&lt;$AK1189))+1,"")</f>
        <v/>
      </c>
      <c r="AI1189">
        <f>IF($C1189="","",IF(OR($N1189=TRUE(),$N1189="TRUE"),1,0))</f>
        <v/>
      </c>
      <c r="AJ1189">
        <f>IF($C1189="","",IF($T1189="Yes",1,0))</f>
        <v/>
      </c>
      <c r="AK1189">
        <f>IF($AG1189=1,IFERROR(IF(VALUE($C1189)&lt;100000000,VALUE($C1189),1000000000),IFERROR(IF(VALUE(MID($C1189,2,20))&lt;100000000,VALUE(MID($C1189,2,20)),1000000000),1000000000))+ROW()/100000,"")</f>
        <v/>
      </c>
    </row>
    <row r="1190">
      <c r="D1190" s="11" t="n"/>
      <c r="K1190" s="7">
        <f>IF($C1190="","",J1190*W1190/100)</f>
        <v/>
      </c>
      <c r="Q1190" s="7" t="n"/>
      <c r="R1190" s="7" t="n"/>
      <c r="U1190">
        <f>IF($C1190="","",IF($AJ1190=1,0,IF($AI1190=1,Settings!$C$6,Settings!$C$7))*100)</f>
        <v/>
      </c>
      <c r="V1190" s="7">
        <f>IF($C1190="","",R1190*U1190/100)</f>
        <v/>
      </c>
      <c r="W1190" s="7">
        <f>IF($C1190="","",R1190-V1190)</f>
        <v/>
      </c>
      <c r="X1190" s="7">
        <f>IF($C1190="","",W1190-K1190)</f>
        <v/>
      </c>
      <c r="AB1190" s="7" t="n"/>
      <c r="AE1190" s="11" t="n"/>
      <c r="AG1190">
        <f>IF($C1190="","",IF(COUNTIF($C$2:$C1190,$C1190)=1,1,0))</f>
        <v/>
      </c>
      <c r="AH1190">
        <f>IF($AG1190=1,SUMPRODUCT(--($AK$2:$AK$6001&lt;$AK1190))+1,"")</f>
        <v/>
      </c>
      <c r="AI1190">
        <f>IF($C1190="","",IF(OR($N1190=TRUE(),$N1190="TRUE"),1,0))</f>
        <v/>
      </c>
      <c r="AJ1190">
        <f>IF($C1190="","",IF($T1190="Yes",1,0))</f>
        <v/>
      </c>
      <c r="AK1190">
        <f>IF($AG1190=1,IFERROR(IF(VALUE($C1190)&lt;100000000,VALUE($C1190),1000000000),IFERROR(IF(VALUE(MID($C1190,2,20))&lt;100000000,VALUE(MID($C1190,2,20)),1000000000),1000000000))+ROW()/100000,"")</f>
        <v/>
      </c>
    </row>
    <row r="1191">
      <c r="D1191" s="11" t="n"/>
      <c r="K1191" s="7">
        <f>IF($C1191="","",J1191*W1191/100)</f>
        <v/>
      </c>
      <c r="Q1191" s="7" t="n"/>
      <c r="R1191" s="7" t="n"/>
      <c r="U1191">
        <f>IF($C1191="","",IF($AJ1191=1,0,IF($AI1191=1,Settings!$C$6,Settings!$C$7))*100)</f>
        <v/>
      </c>
      <c r="V1191" s="7">
        <f>IF($C1191="","",R1191*U1191/100)</f>
        <v/>
      </c>
      <c r="W1191" s="7">
        <f>IF($C1191="","",R1191-V1191)</f>
        <v/>
      </c>
      <c r="X1191" s="7">
        <f>IF($C1191="","",W1191-K1191)</f>
        <v/>
      </c>
      <c r="AB1191" s="7" t="n"/>
      <c r="AE1191" s="11" t="n"/>
      <c r="AG1191">
        <f>IF($C1191="","",IF(COUNTIF($C$2:$C1191,$C1191)=1,1,0))</f>
        <v/>
      </c>
      <c r="AH1191">
        <f>IF($AG1191=1,SUMPRODUCT(--($AK$2:$AK$6001&lt;$AK1191))+1,"")</f>
        <v/>
      </c>
      <c r="AI1191">
        <f>IF($C1191="","",IF(OR($N1191=TRUE(),$N1191="TRUE"),1,0))</f>
        <v/>
      </c>
      <c r="AJ1191">
        <f>IF($C1191="","",IF($T1191="Yes",1,0))</f>
        <v/>
      </c>
      <c r="AK1191">
        <f>IF($AG1191=1,IFERROR(IF(VALUE($C1191)&lt;100000000,VALUE($C1191),1000000000),IFERROR(IF(VALUE(MID($C1191,2,20))&lt;100000000,VALUE(MID($C1191,2,20)),1000000000),1000000000))+ROW()/100000,"")</f>
        <v/>
      </c>
    </row>
    <row r="1192">
      <c r="D1192" s="11" t="n"/>
      <c r="K1192" s="7">
        <f>IF($C1192="","",J1192*W1192/100)</f>
        <v/>
      </c>
      <c r="Q1192" s="7" t="n"/>
      <c r="R1192" s="7" t="n"/>
      <c r="U1192">
        <f>IF($C1192="","",IF($AJ1192=1,0,IF($AI1192=1,Settings!$C$6,Settings!$C$7))*100)</f>
        <v/>
      </c>
      <c r="V1192" s="7">
        <f>IF($C1192="","",R1192*U1192/100)</f>
        <v/>
      </c>
      <c r="W1192" s="7">
        <f>IF($C1192="","",R1192-V1192)</f>
        <v/>
      </c>
      <c r="X1192" s="7">
        <f>IF($C1192="","",W1192-K1192)</f>
        <v/>
      </c>
      <c r="AB1192" s="7" t="n"/>
      <c r="AE1192" s="11" t="n"/>
      <c r="AG1192">
        <f>IF($C1192="","",IF(COUNTIF($C$2:$C1192,$C1192)=1,1,0))</f>
        <v/>
      </c>
      <c r="AH1192">
        <f>IF($AG1192=1,SUMPRODUCT(--($AK$2:$AK$6001&lt;$AK1192))+1,"")</f>
        <v/>
      </c>
      <c r="AI1192">
        <f>IF($C1192="","",IF(OR($N1192=TRUE(),$N1192="TRUE"),1,0))</f>
        <v/>
      </c>
      <c r="AJ1192">
        <f>IF($C1192="","",IF($T1192="Yes",1,0))</f>
        <v/>
      </c>
      <c r="AK1192">
        <f>IF($AG1192=1,IFERROR(IF(VALUE($C1192)&lt;100000000,VALUE($C1192),1000000000),IFERROR(IF(VALUE(MID($C1192,2,20))&lt;100000000,VALUE(MID($C1192,2,20)),1000000000),1000000000))+ROW()/100000,"")</f>
        <v/>
      </c>
    </row>
    <row r="1193">
      <c r="D1193" s="11" t="n"/>
      <c r="K1193" s="7">
        <f>IF($C1193="","",J1193*W1193/100)</f>
        <v/>
      </c>
      <c r="Q1193" s="7" t="n"/>
      <c r="R1193" s="7" t="n"/>
      <c r="U1193">
        <f>IF($C1193="","",IF($AJ1193=1,0,IF($AI1193=1,Settings!$C$6,Settings!$C$7))*100)</f>
        <v/>
      </c>
      <c r="V1193" s="7">
        <f>IF($C1193="","",R1193*U1193/100)</f>
        <v/>
      </c>
      <c r="W1193" s="7">
        <f>IF($C1193="","",R1193-V1193)</f>
        <v/>
      </c>
      <c r="X1193" s="7">
        <f>IF($C1193="","",W1193-K1193)</f>
        <v/>
      </c>
      <c r="AB1193" s="7" t="n"/>
      <c r="AE1193" s="11" t="n"/>
      <c r="AG1193">
        <f>IF($C1193="","",IF(COUNTIF($C$2:$C1193,$C1193)=1,1,0))</f>
        <v/>
      </c>
      <c r="AH1193">
        <f>IF($AG1193=1,SUMPRODUCT(--($AK$2:$AK$6001&lt;$AK1193))+1,"")</f>
        <v/>
      </c>
      <c r="AI1193">
        <f>IF($C1193="","",IF(OR($N1193=TRUE(),$N1193="TRUE"),1,0))</f>
        <v/>
      </c>
      <c r="AJ1193">
        <f>IF($C1193="","",IF($T1193="Yes",1,0))</f>
        <v/>
      </c>
      <c r="AK1193">
        <f>IF($AG1193=1,IFERROR(IF(VALUE($C1193)&lt;100000000,VALUE($C1193),1000000000),IFERROR(IF(VALUE(MID($C1193,2,20))&lt;100000000,VALUE(MID($C1193,2,20)),1000000000),1000000000))+ROW()/100000,"")</f>
        <v/>
      </c>
    </row>
    <row r="1194">
      <c r="D1194" s="11" t="n"/>
      <c r="K1194" s="7">
        <f>IF($C1194="","",J1194*W1194/100)</f>
        <v/>
      </c>
      <c r="Q1194" s="7" t="n"/>
      <c r="R1194" s="7" t="n"/>
      <c r="U1194">
        <f>IF($C1194="","",IF($AJ1194=1,0,IF($AI1194=1,Settings!$C$6,Settings!$C$7))*100)</f>
        <v/>
      </c>
      <c r="V1194" s="7">
        <f>IF($C1194="","",R1194*U1194/100)</f>
        <v/>
      </c>
      <c r="W1194" s="7">
        <f>IF($C1194="","",R1194-V1194)</f>
        <v/>
      </c>
      <c r="X1194" s="7">
        <f>IF($C1194="","",W1194-K1194)</f>
        <v/>
      </c>
      <c r="AB1194" s="7" t="n"/>
      <c r="AE1194" s="11" t="n"/>
      <c r="AG1194">
        <f>IF($C1194="","",IF(COUNTIF($C$2:$C1194,$C1194)=1,1,0))</f>
        <v/>
      </c>
      <c r="AH1194">
        <f>IF($AG1194=1,SUMPRODUCT(--($AK$2:$AK$6001&lt;$AK1194))+1,"")</f>
        <v/>
      </c>
      <c r="AI1194">
        <f>IF($C1194="","",IF(OR($N1194=TRUE(),$N1194="TRUE"),1,0))</f>
        <v/>
      </c>
      <c r="AJ1194">
        <f>IF($C1194="","",IF($T1194="Yes",1,0))</f>
        <v/>
      </c>
      <c r="AK1194">
        <f>IF($AG1194=1,IFERROR(IF(VALUE($C1194)&lt;100000000,VALUE($C1194),1000000000),IFERROR(IF(VALUE(MID($C1194,2,20))&lt;100000000,VALUE(MID($C1194,2,20)),1000000000),1000000000))+ROW()/100000,"")</f>
        <v/>
      </c>
    </row>
    <row r="1195">
      <c r="D1195" s="11" t="n"/>
      <c r="K1195" s="7">
        <f>IF($C1195="","",J1195*W1195/100)</f>
        <v/>
      </c>
      <c r="Q1195" s="7" t="n"/>
      <c r="R1195" s="7" t="n"/>
      <c r="U1195">
        <f>IF($C1195="","",IF($AJ1195=1,0,IF($AI1195=1,Settings!$C$6,Settings!$C$7))*100)</f>
        <v/>
      </c>
      <c r="V1195" s="7">
        <f>IF($C1195="","",R1195*U1195/100)</f>
        <v/>
      </c>
      <c r="W1195" s="7">
        <f>IF($C1195="","",R1195-V1195)</f>
        <v/>
      </c>
      <c r="X1195" s="7">
        <f>IF($C1195="","",W1195-K1195)</f>
        <v/>
      </c>
      <c r="AB1195" s="7" t="n"/>
      <c r="AE1195" s="11" t="n"/>
      <c r="AG1195">
        <f>IF($C1195="","",IF(COUNTIF($C$2:$C1195,$C1195)=1,1,0))</f>
        <v/>
      </c>
      <c r="AH1195">
        <f>IF($AG1195=1,SUMPRODUCT(--($AK$2:$AK$6001&lt;$AK1195))+1,"")</f>
        <v/>
      </c>
      <c r="AI1195">
        <f>IF($C1195="","",IF(OR($N1195=TRUE(),$N1195="TRUE"),1,0))</f>
        <v/>
      </c>
      <c r="AJ1195">
        <f>IF($C1195="","",IF($T1195="Yes",1,0))</f>
        <v/>
      </c>
      <c r="AK1195">
        <f>IF($AG1195=1,IFERROR(IF(VALUE($C1195)&lt;100000000,VALUE($C1195),1000000000),IFERROR(IF(VALUE(MID($C1195,2,20))&lt;100000000,VALUE(MID($C1195,2,20)),1000000000),1000000000))+ROW()/100000,"")</f>
        <v/>
      </c>
    </row>
    <row r="1196">
      <c r="D1196" s="11" t="n"/>
      <c r="K1196" s="7">
        <f>IF($C1196="","",J1196*W1196/100)</f>
        <v/>
      </c>
      <c r="Q1196" s="7" t="n"/>
      <c r="R1196" s="7" t="n"/>
      <c r="U1196">
        <f>IF($C1196="","",IF($AJ1196=1,0,IF($AI1196=1,Settings!$C$6,Settings!$C$7))*100)</f>
        <v/>
      </c>
      <c r="V1196" s="7">
        <f>IF($C1196="","",R1196*U1196/100)</f>
        <v/>
      </c>
      <c r="W1196" s="7">
        <f>IF($C1196="","",R1196-V1196)</f>
        <v/>
      </c>
      <c r="X1196" s="7">
        <f>IF($C1196="","",W1196-K1196)</f>
        <v/>
      </c>
      <c r="AB1196" s="7" t="n"/>
      <c r="AE1196" s="11" t="n"/>
      <c r="AG1196">
        <f>IF($C1196="","",IF(COUNTIF($C$2:$C1196,$C1196)=1,1,0))</f>
        <v/>
      </c>
      <c r="AH1196">
        <f>IF($AG1196=1,SUMPRODUCT(--($AK$2:$AK$6001&lt;$AK1196))+1,"")</f>
        <v/>
      </c>
      <c r="AI1196">
        <f>IF($C1196="","",IF(OR($N1196=TRUE(),$N1196="TRUE"),1,0))</f>
        <v/>
      </c>
      <c r="AJ1196">
        <f>IF($C1196="","",IF($T1196="Yes",1,0))</f>
        <v/>
      </c>
      <c r="AK1196">
        <f>IF($AG1196=1,IFERROR(IF(VALUE($C1196)&lt;100000000,VALUE($C1196),1000000000),IFERROR(IF(VALUE(MID($C1196,2,20))&lt;100000000,VALUE(MID($C1196,2,20)),1000000000),1000000000))+ROW()/100000,"")</f>
        <v/>
      </c>
    </row>
    <row r="1197">
      <c r="D1197" s="11" t="n"/>
      <c r="K1197" s="7">
        <f>IF($C1197="","",J1197*W1197/100)</f>
        <v/>
      </c>
      <c r="Q1197" s="7" t="n"/>
      <c r="R1197" s="7" t="n"/>
      <c r="U1197">
        <f>IF($C1197="","",IF($AJ1197=1,0,IF($AI1197=1,Settings!$C$6,Settings!$C$7))*100)</f>
        <v/>
      </c>
      <c r="V1197" s="7">
        <f>IF($C1197="","",R1197*U1197/100)</f>
        <v/>
      </c>
      <c r="W1197" s="7">
        <f>IF($C1197="","",R1197-V1197)</f>
        <v/>
      </c>
      <c r="X1197" s="7">
        <f>IF($C1197="","",W1197-K1197)</f>
        <v/>
      </c>
      <c r="AB1197" s="7" t="n"/>
      <c r="AE1197" s="11" t="n"/>
      <c r="AG1197">
        <f>IF($C1197="","",IF(COUNTIF($C$2:$C1197,$C1197)=1,1,0))</f>
        <v/>
      </c>
      <c r="AH1197">
        <f>IF($AG1197=1,SUMPRODUCT(--($AK$2:$AK$6001&lt;$AK1197))+1,"")</f>
        <v/>
      </c>
      <c r="AI1197">
        <f>IF($C1197="","",IF(OR($N1197=TRUE(),$N1197="TRUE"),1,0))</f>
        <v/>
      </c>
      <c r="AJ1197">
        <f>IF($C1197="","",IF($T1197="Yes",1,0))</f>
        <v/>
      </c>
      <c r="AK1197">
        <f>IF($AG1197=1,IFERROR(IF(VALUE($C1197)&lt;100000000,VALUE($C1197),1000000000),IFERROR(IF(VALUE(MID($C1197,2,20))&lt;100000000,VALUE(MID($C1197,2,20)),1000000000),1000000000))+ROW()/100000,"")</f>
        <v/>
      </c>
    </row>
    <row r="1198">
      <c r="D1198" s="11" t="n"/>
      <c r="K1198" s="7">
        <f>IF($C1198="","",J1198*W1198/100)</f>
        <v/>
      </c>
      <c r="Q1198" s="7" t="n"/>
      <c r="R1198" s="7" t="n"/>
      <c r="U1198">
        <f>IF($C1198="","",IF($AJ1198=1,0,IF($AI1198=1,Settings!$C$6,Settings!$C$7))*100)</f>
        <v/>
      </c>
      <c r="V1198" s="7">
        <f>IF($C1198="","",R1198*U1198/100)</f>
        <v/>
      </c>
      <c r="W1198" s="7">
        <f>IF($C1198="","",R1198-V1198)</f>
        <v/>
      </c>
      <c r="X1198" s="7">
        <f>IF($C1198="","",W1198-K1198)</f>
        <v/>
      </c>
      <c r="AB1198" s="7" t="n"/>
      <c r="AE1198" s="11" t="n"/>
      <c r="AG1198">
        <f>IF($C1198="","",IF(COUNTIF($C$2:$C1198,$C1198)=1,1,0))</f>
        <v/>
      </c>
      <c r="AH1198">
        <f>IF($AG1198=1,SUMPRODUCT(--($AK$2:$AK$6001&lt;$AK1198))+1,"")</f>
        <v/>
      </c>
      <c r="AI1198">
        <f>IF($C1198="","",IF(OR($N1198=TRUE(),$N1198="TRUE"),1,0))</f>
        <v/>
      </c>
      <c r="AJ1198">
        <f>IF($C1198="","",IF($T1198="Yes",1,0))</f>
        <v/>
      </c>
      <c r="AK1198">
        <f>IF($AG1198=1,IFERROR(IF(VALUE($C1198)&lt;100000000,VALUE($C1198),1000000000),IFERROR(IF(VALUE(MID($C1198,2,20))&lt;100000000,VALUE(MID($C1198,2,20)),1000000000),1000000000))+ROW()/100000,"")</f>
        <v/>
      </c>
    </row>
    <row r="1199">
      <c r="D1199" s="11" t="n"/>
      <c r="K1199" s="7">
        <f>IF($C1199="","",J1199*W1199/100)</f>
        <v/>
      </c>
      <c r="Q1199" s="7" t="n"/>
      <c r="R1199" s="7" t="n"/>
      <c r="U1199">
        <f>IF($C1199="","",IF($AJ1199=1,0,IF($AI1199=1,Settings!$C$6,Settings!$C$7))*100)</f>
        <v/>
      </c>
      <c r="V1199" s="7">
        <f>IF($C1199="","",R1199*U1199/100)</f>
        <v/>
      </c>
      <c r="W1199" s="7">
        <f>IF($C1199="","",R1199-V1199)</f>
        <v/>
      </c>
      <c r="X1199" s="7">
        <f>IF($C1199="","",W1199-K1199)</f>
        <v/>
      </c>
      <c r="AB1199" s="7" t="n"/>
      <c r="AE1199" s="11" t="n"/>
      <c r="AG1199">
        <f>IF($C1199="","",IF(COUNTIF($C$2:$C1199,$C1199)=1,1,0))</f>
        <v/>
      </c>
      <c r="AH1199">
        <f>IF($AG1199=1,SUMPRODUCT(--($AK$2:$AK$6001&lt;$AK1199))+1,"")</f>
        <v/>
      </c>
      <c r="AI1199">
        <f>IF($C1199="","",IF(OR($N1199=TRUE(),$N1199="TRUE"),1,0))</f>
        <v/>
      </c>
      <c r="AJ1199">
        <f>IF($C1199="","",IF($T1199="Yes",1,0))</f>
        <v/>
      </c>
      <c r="AK1199">
        <f>IF($AG1199=1,IFERROR(IF(VALUE($C1199)&lt;100000000,VALUE($C1199),1000000000),IFERROR(IF(VALUE(MID($C1199,2,20))&lt;100000000,VALUE(MID($C1199,2,20)),1000000000),1000000000))+ROW()/100000,"")</f>
        <v/>
      </c>
    </row>
    <row r="1200">
      <c r="D1200" s="11" t="n"/>
      <c r="K1200" s="7">
        <f>IF($C1200="","",J1200*W1200/100)</f>
        <v/>
      </c>
      <c r="Q1200" s="7" t="n"/>
      <c r="R1200" s="7" t="n"/>
      <c r="U1200">
        <f>IF($C1200="","",IF($AJ1200=1,0,IF($AI1200=1,Settings!$C$6,Settings!$C$7))*100)</f>
        <v/>
      </c>
      <c r="V1200" s="7">
        <f>IF($C1200="","",R1200*U1200/100)</f>
        <v/>
      </c>
      <c r="W1200" s="7">
        <f>IF($C1200="","",R1200-V1200)</f>
        <v/>
      </c>
      <c r="X1200" s="7">
        <f>IF($C1200="","",W1200-K1200)</f>
        <v/>
      </c>
      <c r="AB1200" s="7" t="n"/>
      <c r="AE1200" s="11" t="n"/>
      <c r="AG1200">
        <f>IF($C1200="","",IF(COUNTIF($C$2:$C1200,$C1200)=1,1,0))</f>
        <v/>
      </c>
      <c r="AH1200">
        <f>IF($AG1200=1,SUMPRODUCT(--($AK$2:$AK$6001&lt;$AK1200))+1,"")</f>
        <v/>
      </c>
      <c r="AI1200">
        <f>IF($C1200="","",IF(OR($N1200=TRUE(),$N1200="TRUE"),1,0))</f>
        <v/>
      </c>
      <c r="AJ1200">
        <f>IF($C1200="","",IF($T1200="Yes",1,0))</f>
        <v/>
      </c>
      <c r="AK1200">
        <f>IF($AG1200=1,IFERROR(IF(VALUE($C1200)&lt;100000000,VALUE($C1200),1000000000),IFERROR(IF(VALUE(MID($C1200,2,20))&lt;100000000,VALUE(MID($C1200,2,20)),1000000000),1000000000))+ROW()/100000,"")</f>
        <v/>
      </c>
    </row>
    <row r="1201">
      <c r="D1201" s="11" t="n"/>
      <c r="K1201" s="7">
        <f>IF($C1201="","",J1201*W1201/100)</f>
        <v/>
      </c>
      <c r="Q1201" s="7" t="n"/>
      <c r="R1201" s="7" t="n"/>
      <c r="U1201">
        <f>IF($C1201="","",IF($AJ1201=1,0,IF($AI1201=1,Settings!$C$6,Settings!$C$7))*100)</f>
        <v/>
      </c>
      <c r="V1201" s="7">
        <f>IF($C1201="","",R1201*U1201/100)</f>
        <v/>
      </c>
      <c r="W1201" s="7">
        <f>IF($C1201="","",R1201-V1201)</f>
        <v/>
      </c>
      <c r="X1201" s="7">
        <f>IF($C1201="","",W1201-K1201)</f>
        <v/>
      </c>
      <c r="AB1201" s="7" t="n"/>
      <c r="AE1201" s="11" t="n"/>
      <c r="AG1201">
        <f>IF($C1201="","",IF(COUNTIF($C$2:$C1201,$C1201)=1,1,0))</f>
        <v/>
      </c>
      <c r="AH1201">
        <f>IF($AG1201=1,SUMPRODUCT(--($AK$2:$AK$6001&lt;$AK1201))+1,"")</f>
        <v/>
      </c>
      <c r="AI1201">
        <f>IF($C1201="","",IF(OR($N1201=TRUE(),$N1201="TRUE"),1,0))</f>
        <v/>
      </c>
      <c r="AJ1201">
        <f>IF($C1201="","",IF($T1201="Yes",1,0))</f>
        <v/>
      </c>
      <c r="AK1201">
        <f>IF($AG1201=1,IFERROR(IF(VALUE($C1201)&lt;100000000,VALUE($C1201),1000000000),IFERROR(IF(VALUE(MID($C1201,2,20))&lt;100000000,VALUE(MID($C1201,2,20)),1000000000),1000000000))+ROW()/100000,"")</f>
        <v/>
      </c>
    </row>
    <row r="1202">
      <c r="D1202" s="11" t="n"/>
      <c r="K1202" s="7">
        <f>IF($C1202="","",J1202*W1202/100)</f>
        <v/>
      </c>
      <c r="Q1202" s="7" t="n"/>
      <c r="R1202" s="7" t="n"/>
      <c r="U1202">
        <f>IF($C1202="","",IF($AJ1202=1,0,IF($AI1202=1,Settings!$C$6,Settings!$C$7))*100)</f>
        <v/>
      </c>
      <c r="V1202" s="7">
        <f>IF($C1202="","",R1202*U1202/100)</f>
        <v/>
      </c>
      <c r="W1202" s="7">
        <f>IF($C1202="","",R1202-V1202)</f>
        <v/>
      </c>
      <c r="X1202" s="7">
        <f>IF($C1202="","",W1202-K1202)</f>
        <v/>
      </c>
      <c r="AB1202" s="7" t="n"/>
      <c r="AE1202" s="11" t="n"/>
      <c r="AG1202">
        <f>IF($C1202="","",IF(COUNTIF($C$2:$C1202,$C1202)=1,1,0))</f>
        <v/>
      </c>
      <c r="AH1202">
        <f>IF($AG1202=1,SUMPRODUCT(--($AK$2:$AK$6001&lt;$AK1202))+1,"")</f>
        <v/>
      </c>
      <c r="AI1202">
        <f>IF($C1202="","",IF(OR($N1202=TRUE(),$N1202="TRUE"),1,0))</f>
        <v/>
      </c>
      <c r="AJ1202">
        <f>IF($C1202="","",IF($T1202="Yes",1,0))</f>
        <v/>
      </c>
      <c r="AK1202">
        <f>IF($AG1202=1,IFERROR(IF(VALUE($C1202)&lt;100000000,VALUE($C1202),1000000000),IFERROR(IF(VALUE(MID($C1202,2,20))&lt;100000000,VALUE(MID($C1202,2,20)),1000000000),1000000000))+ROW()/100000,"")</f>
        <v/>
      </c>
    </row>
    <row r="1203">
      <c r="D1203" s="11" t="n"/>
      <c r="K1203" s="7">
        <f>IF($C1203="","",J1203*W1203/100)</f>
        <v/>
      </c>
      <c r="Q1203" s="7" t="n"/>
      <c r="R1203" s="7" t="n"/>
      <c r="U1203">
        <f>IF($C1203="","",IF($AJ1203=1,0,IF($AI1203=1,Settings!$C$6,Settings!$C$7))*100)</f>
        <v/>
      </c>
      <c r="V1203" s="7">
        <f>IF($C1203="","",R1203*U1203/100)</f>
        <v/>
      </c>
      <c r="W1203" s="7">
        <f>IF($C1203="","",R1203-V1203)</f>
        <v/>
      </c>
      <c r="X1203" s="7">
        <f>IF($C1203="","",W1203-K1203)</f>
        <v/>
      </c>
      <c r="AB1203" s="7" t="n"/>
      <c r="AE1203" s="11" t="n"/>
      <c r="AG1203">
        <f>IF($C1203="","",IF(COUNTIF($C$2:$C1203,$C1203)=1,1,0))</f>
        <v/>
      </c>
      <c r="AH1203">
        <f>IF($AG1203=1,SUMPRODUCT(--($AK$2:$AK$6001&lt;$AK1203))+1,"")</f>
        <v/>
      </c>
      <c r="AI1203">
        <f>IF($C1203="","",IF(OR($N1203=TRUE(),$N1203="TRUE"),1,0))</f>
        <v/>
      </c>
      <c r="AJ1203">
        <f>IF($C1203="","",IF($T1203="Yes",1,0))</f>
        <v/>
      </c>
      <c r="AK1203">
        <f>IF($AG1203=1,IFERROR(IF(VALUE($C1203)&lt;100000000,VALUE($C1203),1000000000),IFERROR(IF(VALUE(MID($C1203,2,20))&lt;100000000,VALUE(MID($C1203,2,20)),1000000000),1000000000))+ROW()/100000,"")</f>
        <v/>
      </c>
    </row>
    <row r="1204">
      <c r="D1204" s="11" t="n"/>
      <c r="K1204" s="7">
        <f>IF($C1204="","",J1204*W1204/100)</f>
        <v/>
      </c>
      <c r="Q1204" s="7" t="n"/>
      <c r="R1204" s="7" t="n"/>
      <c r="U1204">
        <f>IF($C1204="","",IF($AJ1204=1,0,IF($AI1204=1,Settings!$C$6,Settings!$C$7))*100)</f>
        <v/>
      </c>
      <c r="V1204" s="7">
        <f>IF($C1204="","",R1204*U1204/100)</f>
        <v/>
      </c>
      <c r="W1204" s="7">
        <f>IF($C1204="","",R1204-V1204)</f>
        <v/>
      </c>
      <c r="X1204" s="7">
        <f>IF($C1204="","",W1204-K1204)</f>
        <v/>
      </c>
      <c r="AB1204" s="7" t="n"/>
      <c r="AE1204" s="11" t="n"/>
      <c r="AG1204">
        <f>IF($C1204="","",IF(COUNTIF($C$2:$C1204,$C1204)=1,1,0))</f>
        <v/>
      </c>
      <c r="AH1204">
        <f>IF($AG1204=1,SUMPRODUCT(--($AK$2:$AK$6001&lt;$AK1204))+1,"")</f>
        <v/>
      </c>
      <c r="AI1204">
        <f>IF($C1204="","",IF(OR($N1204=TRUE(),$N1204="TRUE"),1,0))</f>
        <v/>
      </c>
      <c r="AJ1204">
        <f>IF($C1204="","",IF($T1204="Yes",1,0))</f>
        <v/>
      </c>
      <c r="AK1204">
        <f>IF($AG1204=1,IFERROR(IF(VALUE($C1204)&lt;100000000,VALUE($C1204),1000000000),IFERROR(IF(VALUE(MID($C1204,2,20))&lt;100000000,VALUE(MID($C1204,2,20)),1000000000),1000000000))+ROW()/100000,"")</f>
        <v/>
      </c>
    </row>
    <row r="1205">
      <c r="D1205" s="11" t="n"/>
      <c r="K1205" s="7">
        <f>IF($C1205="","",J1205*W1205/100)</f>
        <v/>
      </c>
      <c r="Q1205" s="7" t="n"/>
      <c r="R1205" s="7" t="n"/>
      <c r="U1205">
        <f>IF($C1205="","",IF($AJ1205=1,0,IF($AI1205=1,Settings!$C$6,Settings!$C$7))*100)</f>
        <v/>
      </c>
      <c r="V1205" s="7">
        <f>IF($C1205="","",R1205*U1205/100)</f>
        <v/>
      </c>
      <c r="W1205" s="7">
        <f>IF($C1205="","",R1205-V1205)</f>
        <v/>
      </c>
      <c r="X1205" s="7">
        <f>IF($C1205="","",W1205-K1205)</f>
        <v/>
      </c>
      <c r="AB1205" s="7" t="n"/>
      <c r="AE1205" s="11" t="n"/>
      <c r="AG1205">
        <f>IF($C1205="","",IF(COUNTIF($C$2:$C1205,$C1205)=1,1,0))</f>
        <v/>
      </c>
      <c r="AH1205">
        <f>IF($AG1205=1,SUMPRODUCT(--($AK$2:$AK$6001&lt;$AK1205))+1,"")</f>
        <v/>
      </c>
      <c r="AI1205">
        <f>IF($C1205="","",IF(OR($N1205=TRUE(),$N1205="TRUE"),1,0))</f>
        <v/>
      </c>
      <c r="AJ1205">
        <f>IF($C1205="","",IF($T1205="Yes",1,0))</f>
        <v/>
      </c>
      <c r="AK1205">
        <f>IF($AG1205=1,IFERROR(IF(VALUE($C1205)&lt;100000000,VALUE($C1205),1000000000),IFERROR(IF(VALUE(MID($C1205,2,20))&lt;100000000,VALUE(MID($C1205,2,20)),1000000000),1000000000))+ROW()/100000,"")</f>
        <v/>
      </c>
    </row>
    <row r="1206">
      <c r="D1206" s="11" t="n"/>
      <c r="K1206" s="7">
        <f>IF($C1206="","",J1206*W1206/100)</f>
        <v/>
      </c>
      <c r="Q1206" s="7" t="n"/>
      <c r="R1206" s="7" t="n"/>
      <c r="U1206">
        <f>IF($C1206="","",IF($AJ1206=1,0,IF($AI1206=1,Settings!$C$6,Settings!$C$7))*100)</f>
        <v/>
      </c>
      <c r="V1206" s="7">
        <f>IF($C1206="","",R1206*U1206/100)</f>
        <v/>
      </c>
      <c r="W1206" s="7">
        <f>IF($C1206="","",R1206-V1206)</f>
        <v/>
      </c>
      <c r="X1206" s="7">
        <f>IF($C1206="","",W1206-K1206)</f>
        <v/>
      </c>
      <c r="AB1206" s="7" t="n"/>
      <c r="AE1206" s="11" t="n"/>
      <c r="AG1206">
        <f>IF($C1206="","",IF(COUNTIF($C$2:$C1206,$C1206)=1,1,0))</f>
        <v/>
      </c>
      <c r="AH1206">
        <f>IF($AG1206=1,SUMPRODUCT(--($AK$2:$AK$6001&lt;$AK1206))+1,"")</f>
        <v/>
      </c>
      <c r="AI1206">
        <f>IF($C1206="","",IF(OR($N1206=TRUE(),$N1206="TRUE"),1,0))</f>
        <v/>
      </c>
      <c r="AJ1206">
        <f>IF($C1206="","",IF($T1206="Yes",1,0))</f>
        <v/>
      </c>
      <c r="AK1206">
        <f>IF($AG1206=1,IFERROR(IF(VALUE($C1206)&lt;100000000,VALUE($C1206),1000000000),IFERROR(IF(VALUE(MID($C1206,2,20))&lt;100000000,VALUE(MID($C1206,2,20)),1000000000),1000000000))+ROW()/100000,"")</f>
        <v/>
      </c>
    </row>
    <row r="1207">
      <c r="D1207" s="11" t="n"/>
      <c r="K1207" s="7">
        <f>IF($C1207="","",J1207*W1207/100)</f>
        <v/>
      </c>
      <c r="Q1207" s="7" t="n"/>
      <c r="R1207" s="7" t="n"/>
      <c r="U1207">
        <f>IF($C1207="","",IF($AJ1207=1,0,IF($AI1207=1,Settings!$C$6,Settings!$C$7))*100)</f>
        <v/>
      </c>
      <c r="V1207" s="7">
        <f>IF($C1207="","",R1207*U1207/100)</f>
        <v/>
      </c>
      <c r="W1207" s="7">
        <f>IF($C1207="","",R1207-V1207)</f>
        <v/>
      </c>
      <c r="X1207" s="7">
        <f>IF($C1207="","",W1207-K1207)</f>
        <v/>
      </c>
      <c r="AB1207" s="7" t="n"/>
      <c r="AE1207" s="11" t="n"/>
      <c r="AG1207">
        <f>IF($C1207="","",IF(COUNTIF($C$2:$C1207,$C1207)=1,1,0))</f>
        <v/>
      </c>
      <c r="AH1207">
        <f>IF($AG1207=1,SUMPRODUCT(--($AK$2:$AK$6001&lt;$AK1207))+1,"")</f>
        <v/>
      </c>
      <c r="AI1207">
        <f>IF($C1207="","",IF(OR($N1207=TRUE(),$N1207="TRUE"),1,0))</f>
        <v/>
      </c>
      <c r="AJ1207">
        <f>IF($C1207="","",IF($T1207="Yes",1,0))</f>
        <v/>
      </c>
      <c r="AK1207">
        <f>IF($AG1207=1,IFERROR(IF(VALUE($C1207)&lt;100000000,VALUE($C1207),1000000000),IFERROR(IF(VALUE(MID($C1207,2,20))&lt;100000000,VALUE(MID($C1207,2,20)),1000000000),1000000000))+ROW()/100000,"")</f>
        <v/>
      </c>
    </row>
    <row r="1208">
      <c r="D1208" s="11" t="n"/>
      <c r="K1208" s="7">
        <f>IF($C1208="","",J1208*W1208/100)</f>
        <v/>
      </c>
      <c r="Q1208" s="7" t="n"/>
      <c r="R1208" s="7" t="n"/>
      <c r="U1208">
        <f>IF($C1208="","",IF($AJ1208=1,0,IF($AI1208=1,Settings!$C$6,Settings!$C$7))*100)</f>
        <v/>
      </c>
      <c r="V1208" s="7">
        <f>IF($C1208="","",R1208*U1208/100)</f>
        <v/>
      </c>
      <c r="W1208" s="7">
        <f>IF($C1208="","",R1208-V1208)</f>
        <v/>
      </c>
      <c r="X1208" s="7">
        <f>IF($C1208="","",W1208-K1208)</f>
        <v/>
      </c>
      <c r="AB1208" s="7" t="n"/>
      <c r="AE1208" s="11" t="n"/>
      <c r="AG1208">
        <f>IF($C1208="","",IF(COUNTIF($C$2:$C1208,$C1208)=1,1,0))</f>
        <v/>
      </c>
      <c r="AH1208">
        <f>IF($AG1208=1,SUMPRODUCT(--($AK$2:$AK$6001&lt;$AK1208))+1,"")</f>
        <v/>
      </c>
      <c r="AI1208">
        <f>IF($C1208="","",IF(OR($N1208=TRUE(),$N1208="TRUE"),1,0))</f>
        <v/>
      </c>
      <c r="AJ1208">
        <f>IF($C1208="","",IF($T1208="Yes",1,0))</f>
        <v/>
      </c>
      <c r="AK1208">
        <f>IF($AG1208=1,IFERROR(IF(VALUE($C1208)&lt;100000000,VALUE($C1208),1000000000),IFERROR(IF(VALUE(MID($C1208,2,20))&lt;100000000,VALUE(MID($C1208,2,20)),1000000000),1000000000))+ROW()/100000,"")</f>
        <v/>
      </c>
    </row>
    <row r="1209">
      <c r="D1209" s="11" t="n"/>
      <c r="K1209" s="7">
        <f>IF($C1209="","",J1209*W1209/100)</f>
        <v/>
      </c>
      <c r="Q1209" s="7" t="n"/>
      <c r="R1209" s="7" t="n"/>
      <c r="U1209">
        <f>IF($C1209="","",IF($AJ1209=1,0,IF($AI1209=1,Settings!$C$6,Settings!$C$7))*100)</f>
        <v/>
      </c>
      <c r="V1209" s="7">
        <f>IF($C1209="","",R1209*U1209/100)</f>
        <v/>
      </c>
      <c r="W1209" s="7">
        <f>IF($C1209="","",R1209-V1209)</f>
        <v/>
      </c>
      <c r="X1209" s="7">
        <f>IF($C1209="","",W1209-K1209)</f>
        <v/>
      </c>
      <c r="AB1209" s="7" t="n"/>
      <c r="AE1209" s="11" t="n"/>
      <c r="AG1209">
        <f>IF($C1209="","",IF(COUNTIF($C$2:$C1209,$C1209)=1,1,0))</f>
        <v/>
      </c>
      <c r="AH1209">
        <f>IF($AG1209=1,SUMPRODUCT(--($AK$2:$AK$6001&lt;$AK1209))+1,"")</f>
        <v/>
      </c>
      <c r="AI1209">
        <f>IF($C1209="","",IF(OR($N1209=TRUE(),$N1209="TRUE"),1,0))</f>
        <v/>
      </c>
      <c r="AJ1209">
        <f>IF($C1209="","",IF($T1209="Yes",1,0))</f>
        <v/>
      </c>
      <c r="AK1209">
        <f>IF($AG1209=1,IFERROR(IF(VALUE($C1209)&lt;100000000,VALUE($C1209),1000000000),IFERROR(IF(VALUE(MID($C1209,2,20))&lt;100000000,VALUE(MID($C1209,2,20)),1000000000),1000000000))+ROW()/100000,"")</f>
        <v/>
      </c>
    </row>
    <row r="1210">
      <c r="D1210" s="11" t="n"/>
      <c r="K1210" s="7">
        <f>IF($C1210="","",J1210*W1210/100)</f>
        <v/>
      </c>
      <c r="Q1210" s="7" t="n"/>
      <c r="R1210" s="7" t="n"/>
      <c r="U1210">
        <f>IF($C1210="","",IF($AJ1210=1,0,IF($AI1210=1,Settings!$C$6,Settings!$C$7))*100)</f>
        <v/>
      </c>
      <c r="V1210" s="7">
        <f>IF($C1210="","",R1210*U1210/100)</f>
        <v/>
      </c>
      <c r="W1210" s="7">
        <f>IF($C1210="","",R1210-V1210)</f>
        <v/>
      </c>
      <c r="X1210" s="7">
        <f>IF($C1210="","",W1210-K1210)</f>
        <v/>
      </c>
      <c r="AB1210" s="7" t="n"/>
      <c r="AE1210" s="11" t="n"/>
      <c r="AG1210">
        <f>IF($C1210="","",IF(COUNTIF($C$2:$C1210,$C1210)=1,1,0))</f>
        <v/>
      </c>
      <c r="AH1210">
        <f>IF($AG1210=1,SUMPRODUCT(--($AK$2:$AK$6001&lt;$AK1210))+1,"")</f>
        <v/>
      </c>
      <c r="AI1210">
        <f>IF($C1210="","",IF(OR($N1210=TRUE(),$N1210="TRUE"),1,0))</f>
        <v/>
      </c>
      <c r="AJ1210">
        <f>IF($C1210="","",IF($T1210="Yes",1,0))</f>
        <v/>
      </c>
      <c r="AK1210">
        <f>IF($AG1210=1,IFERROR(IF(VALUE($C1210)&lt;100000000,VALUE($C1210),1000000000),IFERROR(IF(VALUE(MID($C1210,2,20))&lt;100000000,VALUE(MID($C1210,2,20)),1000000000),1000000000))+ROW()/100000,"")</f>
        <v/>
      </c>
    </row>
    <row r="1211">
      <c r="D1211" s="11" t="n"/>
      <c r="K1211" s="7">
        <f>IF($C1211="","",J1211*W1211/100)</f>
        <v/>
      </c>
      <c r="Q1211" s="7" t="n"/>
      <c r="R1211" s="7" t="n"/>
      <c r="U1211">
        <f>IF($C1211="","",IF($AJ1211=1,0,IF($AI1211=1,Settings!$C$6,Settings!$C$7))*100)</f>
        <v/>
      </c>
      <c r="V1211" s="7">
        <f>IF($C1211="","",R1211*U1211/100)</f>
        <v/>
      </c>
      <c r="W1211" s="7">
        <f>IF($C1211="","",R1211-V1211)</f>
        <v/>
      </c>
      <c r="X1211" s="7">
        <f>IF($C1211="","",W1211-K1211)</f>
        <v/>
      </c>
      <c r="AB1211" s="7" t="n"/>
      <c r="AE1211" s="11" t="n"/>
      <c r="AG1211">
        <f>IF($C1211="","",IF(COUNTIF($C$2:$C1211,$C1211)=1,1,0))</f>
        <v/>
      </c>
      <c r="AH1211">
        <f>IF($AG1211=1,SUMPRODUCT(--($AK$2:$AK$6001&lt;$AK1211))+1,"")</f>
        <v/>
      </c>
      <c r="AI1211">
        <f>IF($C1211="","",IF(OR($N1211=TRUE(),$N1211="TRUE"),1,0))</f>
        <v/>
      </c>
      <c r="AJ1211">
        <f>IF($C1211="","",IF($T1211="Yes",1,0))</f>
        <v/>
      </c>
      <c r="AK1211">
        <f>IF($AG1211=1,IFERROR(IF(VALUE($C1211)&lt;100000000,VALUE($C1211),1000000000),IFERROR(IF(VALUE(MID($C1211,2,20))&lt;100000000,VALUE(MID($C1211,2,20)),1000000000),1000000000))+ROW()/100000,"")</f>
        <v/>
      </c>
    </row>
    <row r="1212">
      <c r="D1212" s="11" t="n"/>
      <c r="K1212" s="7">
        <f>IF($C1212="","",J1212*W1212/100)</f>
        <v/>
      </c>
      <c r="Q1212" s="7" t="n"/>
      <c r="R1212" s="7" t="n"/>
      <c r="U1212">
        <f>IF($C1212="","",IF($AJ1212=1,0,IF($AI1212=1,Settings!$C$6,Settings!$C$7))*100)</f>
        <v/>
      </c>
      <c r="V1212" s="7">
        <f>IF($C1212="","",R1212*U1212/100)</f>
        <v/>
      </c>
      <c r="W1212" s="7">
        <f>IF($C1212="","",R1212-V1212)</f>
        <v/>
      </c>
      <c r="X1212" s="7">
        <f>IF($C1212="","",W1212-K1212)</f>
        <v/>
      </c>
      <c r="AB1212" s="7" t="n"/>
      <c r="AE1212" s="11" t="n"/>
      <c r="AG1212">
        <f>IF($C1212="","",IF(COUNTIF($C$2:$C1212,$C1212)=1,1,0))</f>
        <v/>
      </c>
      <c r="AH1212">
        <f>IF($AG1212=1,SUMPRODUCT(--($AK$2:$AK$6001&lt;$AK1212))+1,"")</f>
        <v/>
      </c>
      <c r="AI1212">
        <f>IF($C1212="","",IF(OR($N1212=TRUE(),$N1212="TRUE"),1,0))</f>
        <v/>
      </c>
      <c r="AJ1212">
        <f>IF($C1212="","",IF($T1212="Yes",1,0))</f>
        <v/>
      </c>
      <c r="AK1212">
        <f>IF($AG1212=1,IFERROR(IF(VALUE($C1212)&lt;100000000,VALUE($C1212),1000000000),IFERROR(IF(VALUE(MID($C1212,2,20))&lt;100000000,VALUE(MID($C1212,2,20)),1000000000),1000000000))+ROW()/100000,"")</f>
        <v/>
      </c>
    </row>
    <row r="1213">
      <c r="D1213" s="11" t="n"/>
      <c r="K1213" s="7">
        <f>IF($C1213="","",J1213*W1213/100)</f>
        <v/>
      </c>
      <c r="Q1213" s="7" t="n"/>
      <c r="R1213" s="7" t="n"/>
      <c r="U1213">
        <f>IF($C1213="","",IF($AJ1213=1,0,IF($AI1213=1,Settings!$C$6,Settings!$C$7))*100)</f>
        <v/>
      </c>
      <c r="V1213" s="7">
        <f>IF($C1213="","",R1213*U1213/100)</f>
        <v/>
      </c>
      <c r="W1213" s="7">
        <f>IF($C1213="","",R1213-V1213)</f>
        <v/>
      </c>
      <c r="X1213" s="7">
        <f>IF($C1213="","",W1213-K1213)</f>
        <v/>
      </c>
      <c r="AB1213" s="7" t="n"/>
      <c r="AE1213" s="11" t="n"/>
      <c r="AG1213">
        <f>IF($C1213="","",IF(COUNTIF($C$2:$C1213,$C1213)=1,1,0))</f>
        <v/>
      </c>
      <c r="AH1213">
        <f>IF($AG1213=1,SUMPRODUCT(--($AK$2:$AK$6001&lt;$AK1213))+1,"")</f>
        <v/>
      </c>
      <c r="AI1213">
        <f>IF($C1213="","",IF(OR($N1213=TRUE(),$N1213="TRUE"),1,0))</f>
        <v/>
      </c>
      <c r="AJ1213">
        <f>IF($C1213="","",IF($T1213="Yes",1,0))</f>
        <v/>
      </c>
      <c r="AK1213">
        <f>IF($AG1213=1,IFERROR(IF(VALUE($C1213)&lt;100000000,VALUE($C1213),1000000000),IFERROR(IF(VALUE(MID($C1213,2,20))&lt;100000000,VALUE(MID($C1213,2,20)),1000000000),1000000000))+ROW()/100000,"")</f>
        <v/>
      </c>
    </row>
    <row r="1214">
      <c r="D1214" s="11" t="n"/>
      <c r="K1214" s="7">
        <f>IF($C1214="","",J1214*W1214/100)</f>
        <v/>
      </c>
      <c r="Q1214" s="7" t="n"/>
      <c r="R1214" s="7" t="n"/>
      <c r="U1214">
        <f>IF($C1214="","",IF($AJ1214=1,0,IF($AI1214=1,Settings!$C$6,Settings!$C$7))*100)</f>
        <v/>
      </c>
      <c r="V1214" s="7">
        <f>IF($C1214="","",R1214*U1214/100)</f>
        <v/>
      </c>
      <c r="W1214" s="7">
        <f>IF($C1214="","",R1214-V1214)</f>
        <v/>
      </c>
      <c r="X1214" s="7">
        <f>IF($C1214="","",W1214-K1214)</f>
        <v/>
      </c>
      <c r="AB1214" s="7" t="n"/>
      <c r="AE1214" s="11" t="n"/>
      <c r="AG1214">
        <f>IF($C1214="","",IF(COUNTIF($C$2:$C1214,$C1214)=1,1,0))</f>
        <v/>
      </c>
      <c r="AH1214">
        <f>IF($AG1214=1,SUMPRODUCT(--($AK$2:$AK$6001&lt;$AK1214))+1,"")</f>
        <v/>
      </c>
      <c r="AI1214">
        <f>IF($C1214="","",IF(OR($N1214=TRUE(),$N1214="TRUE"),1,0))</f>
        <v/>
      </c>
      <c r="AJ1214">
        <f>IF($C1214="","",IF($T1214="Yes",1,0))</f>
        <v/>
      </c>
      <c r="AK1214">
        <f>IF($AG1214=1,IFERROR(IF(VALUE($C1214)&lt;100000000,VALUE($C1214),1000000000),IFERROR(IF(VALUE(MID($C1214,2,20))&lt;100000000,VALUE(MID($C1214,2,20)),1000000000),1000000000))+ROW()/100000,"")</f>
        <v/>
      </c>
    </row>
    <row r="1215">
      <c r="D1215" s="11" t="n"/>
      <c r="K1215" s="7">
        <f>IF($C1215="","",J1215*W1215/100)</f>
        <v/>
      </c>
      <c r="Q1215" s="7" t="n"/>
      <c r="R1215" s="7" t="n"/>
      <c r="U1215">
        <f>IF($C1215="","",IF($AJ1215=1,0,IF($AI1215=1,Settings!$C$6,Settings!$C$7))*100)</f>
        <v/>
      </c>
      <c r="V1215" s="7">
        <f>IF($C1215="","",R1215*U1215/100)</f>
        <v/>
      </c>
      <c r="W1215" s="7">
        <f>IF($C1215="","",R1215-V1215)</f>
        <v/>
      </c>
      <c r="X1215" s="7">
        <f>IF($C1215="","",W1215-K1215)</f>
        <v/>
      </c>
      <c r="AB1215" s="7" t="n"/>
      <c r="AE1215" s="11" t="n"/>
      <c r="AG1215">
        <f>IF($C1215="","",IF(COUNTIF($C$2:$C1215,$C1215)=1,1,0))</f>
        <v/>
      </c>
      <c r="AH1215">
        <f>IF($AG1215=1,SUMPRODUCT(--($AK$2:$AK$6001&lt;$AK1215))+1,"")</f>
        <v/>
      </c>
      <c r="AI1215">
        <f>IF($C1215="","",IF(OR($N1215=TRUE(),$N1215="TRUE"),1,0))</f>
        <v/>
      </c>
      <c r="AJ1215">
        <f>IF($C1215="","",IF($T1215="Yes",1,0))</f>
        <v/>
      </c>
      <c r="AK1215">
        <f>IF($AG1215=1,IFERROR(IF(VALUE($C1215)&lt;100000000,VALUE($C1215),1000000000),IFERROR(IF(VALUE(MID($C1215,2,20))&lt;100000000,VALUE(MID($C1215,2,20)),1000000000),1000000000))+ROW()/100000,"")</f>
        <v/>
      </c>
    </row>
    <row r="1216">
      <c r="D1216" s="11" t="n"/>
      <c r="K1216" s="7">
        <f>IF($C1216="","",J1216*W1216/100)</f>
        <v/>
      </c>
      <c r="Q1216" s="7" t="n"/>
      <c r="R1216" s="7" t="n"/>
      <c r="U1216">
        <f>IF($C1216="","",IF($AJ1216=1,0,IF($AI1216=1,Settings!$C$6,Settings!$C$7))*100)</f>
        <v/>
      </c>
      <c r="V1216" s="7">
        <f>IF($C1216="","",R1216*U1216/100)</f>
        <v/>
      </c>
      <c r="W1216" s="7">
        <f>IF($C1216="","",R1216-V1216)</f>
        <v/>
      </c>
      <c r="X1216" s="7">
        <f>IF($C1216="","",W1216-K1216)</f>
        <v/>
      </c>
      <c r="AB1216" s="7" t="n"/>
      <c r="AE1216" s="11" t="n"/>
      <c r="AG1216">
        <f>IF($C1216="","",IF(COUNTIF($C$2:$C1216,$C1216)=1,1,0))</f>
        <v/>
      </c>
      <c r="AH1216">
        <f>IF($AG1216=1,SUMPRODUCT(--($AK$2:$AK$6001&lt;$AK1216))+1,"")</f>
        <v/>
      </c>
      <c r="AI1216">
        <f>IF($C1216="","",IF(OR($N1216=TRUE(),$N1216="TRUE"),1,0))</f>
        <v/>
      </c>
      <c r="AJ1216">
        <f>IF($C1216="","",IF($T1216="Yes",1,0))</f>
        <v/>
      </c>
      <c r="AK1216">
        <f>IF($AG1216=1,IFERROR(IF(VALUE($C1216)&lt;100000000,VALUE($C1216),1000000000),IFERROR(IF(VALUE(MID($C1216,2,20))&lt;100000000,VALUE(MID($C1216,2,20)),1000000000),1000000000))+ROW()/100000,"")</f>
        <v/>
      </c>
    </row>
    <row r="1217">
      <c r="D1217" s="11" t="n"/>
      <c r="K1217" s="7">
        <f>IF($C1217="","",J1217*W1217/100)</f>
        <v/>
      </c>
      <c r="Q1217" s="7" t="n"/>
      <c r="R1217" s="7" t="n"/>
      <c r="U1217">
        <f>IF($C1217="","",IF($AJ1217=1,0,IF($AI1217=1,Settings!$C$6,Settings!$C$7))*100)</f>
        <v/>
      </c>
      <c r="V1217" s="7">
        <f>IF($C1217="","",R1217*U1217/100)</f>
        <v/>
      </c>
      <c r="W1217" s="7">
        <f>IF($C1217="","",R1217-V1217)</f>
        <v/>
      </c>
      <c r="X1217" s="7">
        <f>IF($C1217="","",W1217-K1217)</f>
        <v/>
      </c>
      <c r="AB1217" s="7" t="n"/>
      <c r="AE1217" s="11" t="n"/>
      <c r="AG1217">
        <f>IF($C1217="","",IF(COUNTIF($C$2:$C1217,$C1217)=1,1,0))</f>
        <v/>
      </c>
      <c r="AH1217">
        <f>IF($AG1217=1,SUMPRODUCT(--($AK$2:$AK$6001&lt;$AK1217))+1,"")</f>
        <v/>
      </c>
      <c r="AI1217">
        <f>IF($C1217="","",IF(OR($N1217=TRUE(),$N1217="TRUE"),1,0))</f>
        <v/>
      </c>
      <c r="AJ1217">
        <f>IF($C1217="","",IF($T1217="Yes",1,0))</f>
        <v/>
      </c>
      <c r="AK1217">
        <f>IF($AG1217=1,IFERROR(IF(VALUE($C1217)&lt;100000000,VALUE($C1217),1000000000),IFERROR(IF(VALUE(MID($C1217,2,20))&lt;100000000,VALUE(MID($C1217,2,20)),1000000000),1000000000))+ROW()/100000,"")</f>
        <v/>
      </c>
    </row>
    <row r="1218">
      <c r="D1218" s="11" t="n"/>
      <c r="K1218" s="7">
        <f>IF($C1218="","",J1218*W1218/100)</f>
        <v/>
      </c>
      <c r="Q1218" s="7" t="n"/>
      <c r="R1218" s="7" t="n"/>
      <c r="U1218">
        <f>IF($C1218="","",IF($AJ1218=1,0,IF($AI1218=1,Settings!$C$6,Settings!$C$7))*100)</f>
        <v/>
      </c>
      <c r="V1218" s="7">
        <f>IF($C1218="","",R1218*U1218/100)</f>
        <v/>
      </c>
      <c r="W1218" s="7">
        <f>IF($C1218="","",R1218-V1218)</f>
        <v/>
      </c>
      <c r="X1218" s="7">
        <f>IF($C1218="","",W1218-K1218)</f>
        <v/>
      </c>
      <c r="AB1218" s="7" t="n"/>
      <c r="AE1218" s="11" t="n"/>
      <c r="AG1218">
        <f>IF($C1218="","",IF(COUNTIF($C$2:$C1218,$C1218)=1,1,0))</f>
        <v/>
      </c>
      <c r="AH1218">
        <f>IF($AG1218=1,SUMPRODUCT(--($AK$2:$AK$6001&lt;$AK1218))+1,"")</f>
        <v/>
      </c>
      <c r="AI1218">
        <f>IF($C1218="","",IF(OR($N1218=TRUE(),$N1218="TRUE"),1,0))</f>
        <v/>
      </c>
      <c r="AJ1218">
        <f>IF($C1218="","",IF($T1218="Yes",1,0))</f>
        <v/>
      </c>
      <c r="AK1218">
        <f>IF($AG1218=1,IFERROR(IF(VALUE($C1218)&lt;100000000,VALUE($C1218),1000000000),IFERROR(IF(VALUE(MID($C1218,2,20))&lt;100000000,VALUE(MID($C1218,2,20)),1000000000),1000000000))+ROW()/100000,"")</f>
        <v/>
      </c>
    </row>
    <row r="1219">
      <c r="D1219" s="11" t="n"/>
      <c r="K1219" s="7">
        <f>IF($C1219="","",J1219*W1219/100)</f>
        <v/>
      </c>
      <c r="Q1219" s="7" t="n"/>
      <c r="R1219" s="7" t="n"/>
      <c r="U1219">
        <f>IF($C1219="","",IF($AJ1219=1,0,IF($AI1219=1,Settings!$C$6,Settings!$C$7))*100)</f>
        <v/>
      </c>
      <c r="V1219" s="7">
        <f>IF($C1219="","",R1219*U1219/100)</f>
        <v/>
      </c>
      <c r="W1219" s="7">
        <f>IF($C1219="","",R1219-V1219)</f>
        <v/>
      </c>
      <c r="X1219" s="7">
        <f>IF($C1219="","",W1219-K1219)</f>
        <v/>
      </c>
      <c r="AB1219" s="7" t="n"/>
      <c r="AE1219" s="11" t="n"/>
      <c r="AG1219">
        <f>IF($C1219="","",IF(COUNTIF($C$2:$C1219,$C1219)=1,1,0))</f>
        <v/>
      </c>
      <c r="AH1219">
        <f>IF($AG1219=1,SUMPRODUCT(--($AK$2:$AK$6001&lt;$AK1219))+1,"")</f>
        <v/>
      </c>
      <c r="AI1219">
        <f>IF($C1219="","",IF(OR($N1219=TRUE(),$N1219="TRUE"),1,0))</f>
        <v/>
      </c>
      <c r="AJ1219">
        <f>IF($C1219="","",IF($T1219="Yes",1,0))</f>
        <v/>
      </c>
      <c r="AK1219">
        <f>IF($AG1219=1,IFERROR(IF(VALUE($C1219)&lt;100000000,VALUE($C1219),1000000000),IFERROR(IF(VALUE(MID($C1219,2,20))&lt;100000000,VALUE(MID($C1219,2,20)),1000000000),1000000000))+ROW()/100000,"")</f>
        <v/>
      </c>
    </row>
    <row r="1220">
      <c r="D1220" s="11" t="n"/>
      <c r="K1220" s="7">
        <f>IF($C1220="","",J1220*W1220/100)</f>
        <v/>
      </c>
      <c r="Q1220" s="7" t="n"/>
      <c r="R1220" s="7" t="n"/>
      <c r="U1220">
        <f>IF($C1220="","",IF($AJ1220=1,0,IF($AI1220=1,Settings!$C$6,Settings!$C$7))*100)</f>
        <v/>
      </c>
      <c r="V1220" s="7">
        <f>IF($C1220="","",R1220*U1220/100)</f>
        <v/>
      </c>
      <c r="W1220" s="7">
        <f>IF($C1220="","",R1220-V1220)</f>
        <v/>
      </c>
      <c r="X1220" s="7">
        <f>IF($C1220="","",W1220-K1220)</f>
        <v/>
      </c>
      <c r="AB1220" s="7" t="n"/>
      <c r="AE1220" s="11" t="n"/>
      <c r="AG1220">
        <f>IF($C1220="","",IF(COUNTIF($C$2:$C1220,$C1220)=1,1,0))</f>
        <v/>
      </c>
      <c r="AH1220">
        <f>IF($AG1220=1,SUMPRODUCT(--($AK$2:$AK$6001&lt;$AK1220))+1,"")</f>
        <v/>
      </c>
      <c r="AI1220">
        <f>IF($C1220="","",IF(OR($N1220=TRUE(),$N1220="TRUE"),1,0))</f>
        <v/>
      </c>
      <c r="AJ1220">
        <f>IF($C1220="","",IF($T1220="Yes",1,0))</f>
        <v/>
      </c>
      <c r="AK1220">
        <f>IF($AG1220=1,IFERROR(IF(VALUE($C1220)&lt;100000000,VALUE($C1220),1000000000),IFERROR(IF(VALUE(MID($C1220,2,20))&lt;100000000,VALUE(MID($C1220,2,20)),1000000000),1000000000))+ROW()/100000,"")</f>
        <v/>
      </c>
    </row>
    <row r="1221">
      <c r="D1221" s="11" t="n"/>
      <c r="K1221" s="7">
        <f>IF($C1221="","",J1221*W1221/100)</f>
        <v/>
      </c>
      <c r="Q1221" s="7" t="n"/>
      <c r="R1221" s="7" t="n"/>
      <c r="U1221">
        <f>IF($C1221="","",IF($AJ1221=1,0,IF($AI1221=1,Settings!$C$6,Settings!$C$7))*100)</f>
        <v/>
      </c>
      <c r="V1221" s="7">
        <f>IF($C1221="","",R1221*U1221/100)</f>
        <v/>
      </c>
      <c r="W1221" s="7">
        <f>IF($C1221="","",R1221-V1221)</f>
        <v/>
      </c>
      <c r="X1221" s="7">
        <f>IF($C1221="","",W1221-K1221)</f>
        <v/>
      </c>
      <c r="AB1221" s="7" t="n"/>
      <c r="AE1221" s="11" t="n"/>
      <c r="AG1221">
        <f>IF($C1221="","",IF(COUNTIF($C$2:$C1221,$C1221)=1,1,0))</f>
        <v/>
      </c>
      <c r="AH1221">
        <f>IF($AG1221=1,SUMPRODUCT(--($AK$2:$AK$6001&lt;$AK1221))+1,"")</f>
        <v/>
      </c>
      <c r="AI1221">
        <f>IF($C1221="","",IF(OR($N1221=TRUE(),$N1221="TRUE"),1,0))</f>
        <v/>
      </c>
      <c r="AJ1221">
        <f>IF($C1221="","",IF($T1221="Yes",1,0))</f>
        <v/>
      </c>
      <c r="AK1221">
        <f>IF($AG1221=1,IFERROR(IF(VALUE($C1221)&lt;100000000,VALUE($C1221),1000000000),IFERROR(IF(VALUE(MID($C1221,2,20))&lt;100000000,VALUE(MID($C1221,2,20)),1000000000),1000000000))+ROW()/100000,"")</f>
        <v/>
      </c>
    </row>
    <row r="1222">
      <c r="D1222" s="11" t="n"/>
      <c r="K1222" s="7">
        <f>IF($C1222="","",J1222*W1222/100)</f>
        <v/>
      </c>
      <c r="Q1222" s="7" t="n"/>
      <c r="R1222" s="7" t="n"/>
      <c r="U1222">
        <f>IF($C1222="","",IF($AJ1222=1,0,IF($AI1222=1,Settings!$C$6,Settings!$C$7))*100)</f>
        <v/>
      </c>
      <c r="V1222" s="7">
        <f>IF($C1222="","",R1222*U1222/100)</f>
        <v/>
      </c>
      <c r="W1222" s="7">
        <f>IF($C1222="","",R1222-V1222)</f>
        <v/>
      </c>
      <c r="X1222" s="7">
        <f>IF($C1222="","",W1222-K1222)</f>
        <v/>
      </c>
      <c r="AB1222" s="7" t="n"/>
      <c r="AE1222" s="11" t="n"/>
      <c r="AG1222">
        <f>IF($C1222="","",IF(COUNTIF($C$2:$C1222,$C1222)=1,1,0))</f>
        <v/>
      </c>
      <c r="AH1222">
        <f>IF($AG1222=1,SUMPRODUCT(--($AK$2:$AK$6001&lt;$AK1222))+1,"")</f>
        <v/>
      </c>
      <c r="AI1222">
        <f>IF($C1222="","",IF(OR($N1222=TRUE(),$N1222="TRUE"),1,0))</f>
        <v/>
      </c>
      <c r="AJ1222">
        <f>IF($C1222="","",IF($T1222="Yes",1,0))</f>
        <v/>
      </c>
      <c r="AK1222">
        <f>IF($AG1222=1,IFERROR(IF(VALUE($C1222)&lt;100000000,VALUE($C1222),1000000000),IFERROR(IF(VALUE(MID($C1222,2,20))&lt;100000000,VALUE(MID($C1222,2,20)),1000000000),1000000000))+ROW()/100000,"")</f>
        <v/>
      </c>
    </row>
    <row r="1223">
      <c r="D1223" s="11" t="n"/>
      <c r="K1223" s="7">
        <f>IF($C1223="","",J1223*W1223/100)</f>
        <v/>
      </c>
      <c r="Q1223" s="7" t="n"/>
      <c r="R1223" s="7" t="n"/>
      <c r="U1223">
        <f>IF($C1223="","",IF($AJ1223=1,0,IF($AI1223=1,Settings!$C$6,Settings!$C$7))*100)</f>
        <v/>
      </c>
      <c r="V1223" s="7">
        <f>IF($C1223="","",R1223*U1223/100)</f>
        <v/>
      </c>
      <c r="W1223" s="7">
        <f>IF($C1223="","",R1223-V1223)</f>
        <v/>
      </c>
      <c r="X1223" s="7">
        <f>IF($C1223="","",W1223-K1223)</f>
        <v/>
      </c>
      <c r="AB1223" s="7" t="n"/>
      <c r="AE1223" s="11" t="n"/>
      <c r="AG1223">
        <f>IF($C1223="","",IF(COUNTIF($C$2:$C1223,$C1223)=1,1,0))</f>
        <v/>
      </c>
      <c r="AH1223">
        <f>IF($AG1223=1,SUMPRODUCT(--($AK$2:$AK$6001&lt;$AK1223))+1,"")</f>
        <v/>
      </c>
      <c r="AI1223">
        <f>IF($C1223="","",IF(OR($N1223=TRUE(),$N1223="TRUE"),1,0))</f>
        <v/>
      </c>
      <c r="AJ1223">
        <f>IF($C1223="","",IF($T1223="Yes",1,0))</f>
        <v/>
      </c>
      <c r="AK1223">
        <f>IF($AG1223=1,IFERROR(IF(VALUE($C1223)&lt;100000000,VALUE($C1223),1000000000),IFERROR(IF(VALUE(MID($C1223,2,20))&lt;100000000,VALUE(MID($C1223,2,20)),1000000000),1000000000))+ROW()/100000,"")</f>
        <v/>
      </c>
    </row>
    <row r="1224">
      <c r="D1224" s="11" t="n"/>
      <c r="K1224" s="7">
        <f>IF($C1224="","",J1224*W1224/100)</f>
        <v/>
      </c>
      <c r="Q1224" s="7" t="n"/>
      <c r="R1224" s="7" t="n"/>
      <c r="U1224">
        <f>IF($C1224="","",IF($AJ1224=1,0,IF($AI1224=1,Settings!$C$6,Settings!$C$7))*100)</f>
        <v/>
      </c>
      <c r="V1224" s="7">
        <f>IF($C1224="","",R1224*U1224/100)</f>
        <v/>
      </c>
      <c r="W1224" s="7">
        <f>IF($C1224="","",R1224-V1224)</f>
        <v/>
      </c>
      <c r="X1224" s="7">
        <f>IF($C1224="","",W1224-K1224)</f>
        <v/>
      </c>
      <c r="AB1224" s="7" t="n"/>
      <c r="AE1224" s="11" t="n"/>
      <c r="AG1224">
        <f>IF($C1224="","",IF(COUNTIF($C$2:$C1224,$C1224)=1,1,0))</f>
        <v/>
      </c>
      <c r="AH1224">
        <f>IF($AG1224=1,SUMPRODUCT(--($AK$2:$AK$6001&lt;$AK1224))+1,"")</f>
        <v/>
      </c>
      <c r="AI1224">
        <f>IF($C1224="","",IF(OR($N1224=TRUE(),$N1224="TRUE"),1,0))</f>
        <v/>
      </c>
      <c r="AJ1224">
        <f>IF($C1224="","",IF($T1224="Yes",1,0))</f>
        <v/>
      </c>
      <c r="AK1224">
        <f>IF($AG1224=1,IFERROR(IF(VALUE($C1224)&lt;100000000,VALUE($C1224),1000000000),IFERROR(IF(VALUE(MID($C1224,2,20))&lt;100000000,VALUE(MID($C1224,2,20)),1000000000),1000000000))+ROW()/100000,"")</f>
        <v/>
      </c>
    </row>
    <row r="1225">
      <c r="D1225" s="11" t="n"/>
      <c r="K1225" s="7">
        <f>IF($C1225="","",J1225*W1225/100)</f>
        <v/>
      </c>
      <c r="Q1225" s="7" t="n"/>
      <c r="R1225" s="7" t="n"/>
      <c r="U1225">
        <f>IF($C1225="","",IF($AJ1225=1,0,IF($AI1225=1,Settings!$C$6,Settings!$C$7))*100)</f>
        <v/>
      </c>
      <c r="V1225" s="7">
        <f>IF($C1225="","",R1225*U1225/100)</f>
        <v/>
      </c>
      <c r="W1225" s="7">
        <f>IF($C1225="","",R1225-V1225)</f>
        <v/>
      </c>
      <c r="X1225" s="7">
        <f>IF($C1225="","",W1225-K1225)</f>
        <v/>
      </c>
      <c r="AB1225" s="7" t="n"/>
      <c r="AE1225" s="11" t="n"/>
      <c r="AG1225">
        <f>IF($C1225="","",IF(COUNTIF($C$2:$C1225,$C1225)=1,1,0))</f>
        <v/>
      </c>
      <c r="AH1225">
        <f>IF($AG1225=1,SUMPRODUCT(--($AK$2:$AK$6001&lt;$AK1225))+1,"")</f>
        <v/>
      </c>
      <c r="AI1225">
        <f>IF($C1225="","",IF(OR($N1225=TRUE(),$N1225="TRUE"),1,0))</f>
        <v/>
      </c>
      <c r="AJ1225">
        <f>IF($C1225="","",IF($T1225="Yes",1,0))</f>
        <v/>
      </c>
      <c r="AK1225">
        <f>IF($AG1225=1,IFERROR(IF(VALUE($C1225)&lt;100000000,VALUE($C1225),1000000000),IFERROR(IF(VALUE(MID($C1225,2,20))&lt;100000000,VALUE(MID($C1225,2,20)),1000000000),1000000000))+ROW()/100000,"")</f>
        <v/>
      </c>
    </row>
    <row r="1226">
      <c r="D1226" s="11" t="n"/>
      <c r="K1226" s="7">
        <f>IF($C1226="","",J1226*W1226/100)</f>
        <v/>
      </c>
      <c r="Q1226" s="7" t="n"/>
      <c r="R1226" s="7" t="n"/>
      <c r="U1226">
        <f>IF($C1226="","",IF($AJ1226=1,0,IF($AI1226=1,Settings!$C$6,Settings!$C$7))*100)</f>
        <v/>
      </c>
      <c r="V1226" s="7">
        <f>IF($C1226="","",R1226*U1226/100)</f>
        <v/>
      </c>
      <c r="W1226" s="7">
        <f>IF($C1226="","",R1226-V1226)</f>
        <v/>
      </c>
      <c r="X1226" s="7">
        <f>IF($C1226="","",W1226-K1226)</f>
        <v/>
      </c>
      <c r="AB1226" s="7" t="n"/>
      <c r="AE1226" s="11" t="n"/>
      <c r="AG1226">
        <f>IF($C1226="","",IF(COUNTIF($C$2:$C1226,$C1226)=1,1,0))</f>
        <v/>
      </c>
      <c r="AH1226">
        <f>IF($AG1226=1,SUMPRODUCT(--($AK$2:$AK$6001&lt;$AK1226))+1,"")</f>
        <v/>
      </c>
      <c r="AI1226">
        <f>IF($C1226="","",IF(OR($N1226=TRUE(),$N1226="TRUE"),1,0))</f>
        <v/>
      </c>
      <c r="AJ1226">
        <f>IF($C1226="","",IF($T1226="Yes",1,0))</f>
        <v/>
      </c>
      <c r="AK1226">
        <f>IF($AG1226=1,IFERROR(IF(VALUE($C1226)&lt;100000000,VALUE($C1226),1000000000),IFERROR(IF(VALUE(MID($C1226,2,20))&lt;100000000,VALUE(MID($C1226,2,20)),1000000000),1000000000))+ROW()/100000,"")</f>
        <v/>
      </c>
    </row>
    <row r="1227">
      <c r="D1227" s="11" t="n"/>
      <c r="K1227" s="7">
        <f>IF($C1227="","",J1227*W1227/100)</f>
        <v/>
      </c>
      <c r="Q1227" s="7" t="n"/>
      <c r="R1227" s="7" t="n"/>
      <c r="U1227">
        <f>IF($C1227="","",IF($AJ1227=1,0,IF($AI1227=1,Settings!$C$6,Settings!$C$7))*100)</f>
        <v/>
      </c>
      <c r="V1227" s="7">
        <f>IF($C1227="","",R1227*U1227/100)</f>
        <v/>
      </c>
      <c r="W1227" s="7">
        <f>IF($C1227="","",R1227-V1227)</f>
        <v/>
      </c>
      <c r="X1227" s="7">
        <f>IF($C1227="","",W1227-K1227)</f>
        <v/>
      </c>
      <c r="AB1227" s="7" t="n"/>
      <c r="AE1227" s="11" t="n"/>
      <c r="AG1227">
        <f>IF($C1227="","",IF(COUNTIF($C$2:$C1227,$C1227)=1,1,0))</f>
        <v/>
      </c>
      <c r="AH1227">
        <f>IF($AG1227=1,SUMPRODUCT(--($AK$2:$AK$6001&lt;$AK1227))+1,"")</f>
        <v/>
      </c>
      <c r="AI1227">
        <f>IF($C1227="","",IF(OR($N1227=TRUE(),$N1227="TRUE"),1,0))</f>
        <v/>
      </c>
      <c r="AJ1227">
        <f>IF($C1227="","",IF($T1227="Yes",1,0))</f>
        <v/>
      </c>
      <c r="AK1227">
        <f>IF($AG1227=1,IFERROR(IF(VALUE($C1227)&lt;100000000,VALUE($C1227),1000000000),IFERROR(IF(VALUE(MID($C1227,2,20))&lt;100000000,VALUE(MID($C1227,2,20)),1000000000),1000000000))+ROW()/100000,"")</f>
        <v/>
      </c>
    </row>
    <row r="1228">
      <c r="D1228" s="11" t="n"/>
      <c r="K1228" s="7">
        <f>IF($C1228="","",J1228*W1228/100)</f>
        <v/>
      </c>
      <c r="Q1228" s="7" t="n"/>
      <c r="R1228" s="7" t="n"/>
      <c r="U1228">
        <f>IF($C1228="","",IF($AJ1228=1,0,IF($AI1228=1,Settings!$C$6,Settings!$C$7))*100)</f>
        <v/>
      </c>
      <c r="V1228" s="7">
        <f>IF($C1228="","",R1228*U1228/100)</f>
        <v/>
      </c>
      <c r="W1228" s="7">
        <f>IF($C1228="","",R1228-V1228)</f>
        <v/>
      </c>
      <c r="X1228" s="7">
        <f>IF($C1228="","",W1228-K1228)</f>
        <v/>
      </c>
      <c r="AB1228" s="7" t="n"/>
      <c r="AE1228" s="11" t="n"/>
      <c r="AG1228">
        <f>IF($C1228="","",IF(COUNTIF($C$2:$C1228,$C1228)=1,1,0))</f>
        <v/>
      </c>
      <c r="AH1228">
        <f>IF($AG1228=1,SUMPRODUCT(--($AK$2:$AK$6001&lt;$AK1228))+1,"")</f>
        <v/>
      </c>
      <c r="AI1228">
        <f>IF($C1228="","",IF(OR($N1228=TRUE(),$N1228="TRUE"),1,0))</f>
        <v/>
      </c>
      <c r="AJ1228">
        <f>IF($C1228="","",IF($T1228="Yes",1,0))</f>
        <v/>
      </c>
      <c r="AK1228">
        <f>IF($AG1228=1,IFERROR(IF(VALUE($C1228)&lt;100000000,VALUE($C1228),1000000000),IFERROR(IF(VALUE(MID($C1228,2,20))&lt;100000000,VALUE(MID($C1228,2,20)),1000000000),1000000000))+ROW()/100000,"")</f>
        <v/>
      </c>
    </row>
    <row r="1229">
      <c r="D1229" s="11" t="n"/>
      <c r="K1229" s="7">
        <f>IF($C1229="","",J1229*W1229/100)</f>
        <v/>
      </c>
      <c r="Q1229" s="7" t="n"/>
      <c r="R1229" s="7" t="n"/>
      <c r="U1229">
        <f>IF($C1229="","",IF($AJ1229=1,0,IF($AI1229=1,Settings!$C$6,Settings!$C$7))*100)</f>
        <v/>
      </c>
      <c r="V1229" s="7">
        <f>IF($C1229="","",R1229*U1229/100)</f>
        <v/>
      </c>
      <c r="W1229" s="7">
        <f>IF($C1229="","",R1229-V1229)</f>
        <v/>
      </c>
      <c r="X1229" s="7">
        <f>IF($C1229="","",W1229-K1229)</f>
        <v/>
      </c>
      <c r="AB1229" s="7" t="n"/>
      <c r="AE1229" s="11" t="n"/>
      <c r="AG1229">
        <f>IF($C1229="","",IF(COUNTIF($C$2:$C1229,$C1229)=1,1,0))</f>
        <v/>
      </c>
      <c r="AH1229">
        <f>IF($AG1229=1,SUMPRODUCT(--($AK$2:$AK$6001&lt;$AK1229))+1,"")</f>
        <v/>
      </c>
      <c r="AI1229">
        <f>IF($C1229="","",IF(OR($N1229=TRUE(),$N1229="TRUE"),1,0))</f>
        <v/>
      </c>
      <c r="AJ1229">
        <f>IF($C1229="","",IF($T1229="Yes",1,0))</f>
        <v/>
      </c>
      <c r="AK1229">
        <f>IF($AG1229=1,IFERROR(IF(VALUE($C1229)&lt;100000000,VALUE($C1229),1000000000),IFERROR(IF(VALUE(MID($C1229,2,20))&lt;100000000,VALUE(MID($C1229,2,20)),1000000000),1000000000))+ROW()/100000,"")</f>
        <v/>
      </c>
    </row>
    <row r="1230">
      <c r="D1230" s="11" t="n"/>
      <c r="K1230" s="7">
        <f>IF($C1230="","",J1230*W1230/100)</f>
        <v/>
      </c>
      <c r="Q1230" s="7" t="n"/>
      <c r="R1230" s="7" t="n"/>
      <c r="U1230">
        <f>IF($C1230="","",IF($AJ1230=1,0,IF($AI1230=1,Settings!$C$6,Settings!$C$7))*100)</f>
        <v/>
      </c>
      <c r="V1230" s="7">
        <f>IF($C1230="","",R1230*U1230/100)</f>
        <v/>
      </c>
      <c r="W1230" s="7">
        <f>IF($C1230="","",R1230-V1230)</f>
        <v/>
      </c>
      <c r="X1230" s="7">
        <f>IF($C1230="","",W1230-K1230)</f>
        <v/>
      </c>
      <c r="AB1230" s="7" t="n"/>
      <c r="AE1230" s="11" t="n"/>
      <c r="AG1230">
        <f>IF($C1230="","",IF(COUNTIF($C$2:$C1230,$C1230)=1,1,0))</f>
        <v/>
      </c>
      <c r="AH1230">
        <f>IF($AG1230=1,SUMPRODUCT(--($AK$2:$AK$6001&lt;$AK1230))+1,"")</f>
        <v/>
      </c>
      <c r="AI1230">
        <f>IF($C1230="","",IF(OR($N1230=TRUE(),$N1230="TRUE"),1,0))</f>
        <v/>
      </c>
      <c r="AJ1230">
        <f>IF($C1230="","",IF($T1230="Yes",1,0))</f>
        <v/>
      </c>
      <c r="AK1230">
        <f>IF($AG1230=1,IFERROR(IF(VALUE($C1230)&lt;100000000,VALUE($C1230),1000000000),IFERROR(IF(VALUE(MID($C1230,2,20))&lt;100000000,VALUE(MID($C1230,2,20)),1000000000),1000000000))+ROW()/100000,"")</f>
        <v/>
      </c>
    </row>
    <row r="1231">
      <c r="D1231" s="11" t="n"/>
      <c r="K1231" s="7">
        <f>IF($C1231="","",J1231*W1231/100)</f>
        <v/>
      </c>
      <c r="Q1231" s="7" t="n"/>
      <c r="R1231" s="7" t="n"/>
      <c r="U1231">
        <f>IF($C1231="","",IF($AJ1231=1,0,IF($AI1231=1,Settings!$C$6,Settings!$C$7))*100)</f>
        <v/>
      </c>
      <c r="V1231" s="7">
        <f>IF($C1231="","",R1231*U1231/100)</f>
        <v/>
      </c>
      <c r="W1231" s="7">
        <f>IF($C1231="","",R1231-V1231)</f>
        <v/>
      </c>
      <c r="X1231" s="7">
        <f>IF($C1231="","",W1231-K1231)</f>
        <v/>
      </c>
      <c r="AB1231" s="7" t="n"/>
      <c r="AE1231" s="11" t="n"/>
      <c r="AG1231">
        <f>IF($C1231="","",IF(COUNTIF($C$2:$C1231,$C1231)=1,1,0))</f>
        <v/>
      </c>
      <c r="AH1231">
        <f>IF($AG1231=1,SUMPRODUCT(--($AK$2:$AK$6001&lt;$AK1231))+1,"")</f>
        <v/>
      </c>
      <c r="AI1231">
        <f>IF($C1231="","",IF(OR($N1231=TRUE(),$N1231="TRUE"),1,0))</f>
        <v/>
      </c>
      <c r="AJ1231">
        <f>IF($C1231="","",IF($T1231="Yes",1,0))</f>
        <v/>
      </c>
      <c r="AK1231">
        <f>IF($AG1231=1,IFERROR(IF(VALUE($C1231)&lt;100000000,VALUE($C1231),1000000000),IFERROR(IF(VALUE(MID($C1231,2,20))&lt;100000000,VALUE(MID($C1231,2,20)),1000000000),1000000000))+ROW()/100000,"")</f>
        <v/>
      </c>
    </row>
    <row r="1232">
      <c r="D1232" s="11" t="n"/>
      <c r="K1232" s="7">
        <f>IF($C1232="","",J1232*W1232/100)</f>
        <v/>
      </c>
      <c r="Q1232" s="7" t="n"/>
      <c r="R1232" s="7" t="n"/>
      <c r="U1232">
        <f>IF($C1232="","",IF($AJ1232=1,0,IF($AI1232=1,Settings!$C$6,Settings!$C$7))*100)</f>
        <v/>
      </c>
      <c r="V1232" s="7">
        <f>IF($C1232="","",R1232*U1232/100)</f>
        <v/>
      </c>
      <c r="W1232" s="7">
        <f>IF($C1232="","",R1232-V1232)</f>
        <v/>
      </c>
      <c r="X1232" s="7">
        <f>IF($C1232="","",W1232-K1232)</f>
        <v/>
      </c>
      <c r="AB1232" s="7" t="n"/>
      <c r="AE1232" s="11" t="n"/>
      <c r="AG1232">
        <f>IF($C1232="","",IF(COUNTIF($C$2:$C1232,$C1232)=1,1,0))</f>
        <v/>
      </c>
      <c r="AH1232">
        <f>IF($AG1232=1,SUMPRODUCT(--($AK$2:$AK$6001&lt;$AK1232))+1,"")</f>
        <v/>
      </c>
      <c r="AI1232">
        <f>IF($C1232="","",IF(OR($N1232=TRUE(),$N1232="TRUE"),1,0))</f>
        <v/>
      </c>
      <c r="AJ1232">
        <f>IF($C1232="","",IF($T1232="Yes",1,0))</f>
        <v/>
      </c>
      <c r="AK1232">
        <f>IF($AG1232=1,IFERROR(IF(VALUE($C1232)&lt;100000000,VALUE($C1232),1000000000),IFERROR(IF(VALUE(MID($C1232,2,20))&lt;100000000,VALUE(MID($C1232,2,20)),1000000000),1000000000))+ROW()/100000,"")</f>
        <v/>
      </c>
    </row>
    <row r="1233">
      <c r="D1233" s="11" t="n"/>
      <c r="K1233" s="7">
        <f>IF($C1233="","",J1233*W1233/100)</f>
        <v/>
      </c>
      <c r="Q1233" s="7" t="n"/>
      <c r="R1233" s="7" t="n"/>
      <c r="U1233">
        <f>IF($C1233="","",IF($AJ1233=1,0,IF($AI1233=1,Settings!$C$6,Settings!$C$7))*100)</f>
        <v/>
      </c>
      <c r="V1233" s="7">
        <f>IF($C1233="","",R1233*U1233/100)</f>
        <v/>
      </c>
      <c r="W1233" s="7">
        <f>IF($C1233="","",R1233-V1233)</f>
        <v/>
      </c>
      <c r="X1233" s="7">
        <f>IF($C1233="","",W1233-K1233)</f>
        <v/>
      </c>
      <c r="AB1233" s="7" t="n"/>
      <c r="AE1233" s="11" t="n"/>
      <c r="AG1233">
        <f>IF($C1233="","",IF(COUNTIF($C$2:$C1233,$C1233)=1,1,0))</f>
        <v/>
      </c>
      <c r="AH1233">
        <f>IF($AG1233=1,SUMPRODUCT(--($AK$2:$AK$6001&lt;$AK1233))+1,"")</f>
        <v/>
      </c>
      <c r="AI1233">
        <f>IF($C1233="","",IF(OR($N1233=TRUE(),$N1233="TRUE"),1,0))</f>
        <v/>
      </c>
      <c r="AJ1233">
        <f>IF($C1233="","",IF($T1233="Yes",1,0))</f>
        <v/>
      </c>
      <c r="AK1233">
        <f>IF($AG1233=1,IFERROR(IF(VALUE($C1233)&lt;100000000,VALUE($C1233),1000000000),IFERROR(IF(VALUE(MID($C1233,2,20))&lt;100000000,VALUE(MID($C1233,2,20)),1000000000),1000000000))+ROW()/100000,"")</f>
        <v/>
      </c>
    </row>
    <row r="1234">
      <c r="D1234" s="11" t="n"/>
      <c r="K1234" s="7">
        <f>IF($C1234="","",J1234*W1234/100)</f>
        <v/>
      </c>
      <c r="Q1234" s="7" t="n"/>
      <c r="R1234" s="7" t="n"/>
      <c r="U1234">
        <f>IF($C1234="","",IF($AJ1234=1,0,IF($AI1234=1,Settings!$C$6,Settings!$C$7))*100)</f>
        <v/>
      </c>
      <c r="V1234" s="7">
        <f>IF($C1234="","",R1234*U1234/100)</f>
        <v/>
      </c>
      <c r="W1234" s="7">
        <f>IF($C1234="","",R1234-V1234)</f>
        <v/>
      </c>
      <c r="X1234" s="7">
        <f>IF($C1234="","",W1234-K1234)</f>
        <v/>
      </c>
      <c r="AB1234" s="7" t="n"/>
      <c r="AE1234" s="11" t="n"/>
      <c r="AG1234">
        <f>IF($C1234="","",IF(COUNTIF($C$2:$C1234,$C1234)=1,1,0))</f>
        <v/>
      </c>
      <c r="AH1234">
        <f>IF($AG1234=1,SUMPRODUCT(--($AK$2:$AK$6001&lt;$AK1234))+1,"")</f>
        <v/>
      </c>
      <c r="AI1234">
        <f>IF($C1234="","",IF(OR($N1234=TRUE(),$N1234="TRUE"),1,0))</f>
        <v/>
      </c>
      <c r="AJ1234">
        <f>IF($C1234="","",IF($T1234="Yes",1,0))</f>
        <v/>
      </c>
      <c r="AK1234">
        <f>IF($AG1234=1,IFERROR(IF(VALUE($C1234)&lt;100000000,VALUE($C1234),1000000000),IFERROR(IF(VALUE(MID($C1234,2,20))&lt;100000000,VALUE(MID($C1234,2,20)),1000000000),1000000000))+ROW()/100000,"")</f>
        <v/>
      </c>
    </row>
    <row r="1235">
      <c r="D1235" s="11" t="n"/>
      <c r="K1235" s="7">
        <f>IF($C1235="","",J1235*W1235/100)</f>
        <v/>
      </c>
      <c r="Q1235" s="7" t="n"/>
      <c r="R1235" s="7" t="n"/>
      <c r="U1235">
        <f>IF($C1235="","",IF($AJ1235=1,0,IF($AI1235=1,Settings!$C$6,Settings!$C$7))*100)</f>
        <v/>
      </c>
      <c r="V1235" s="7">
        <f>IF($C1235="","",R1235*U1235/100)</f>
        <v/>
      </c>
      <c r="W1235" s="7">
        <f>IF($C1235="","",R1235-V1235)</f>
        <v/>
      </c>
      <c r="X1235" s="7">
        <f>IF($C1235="","",W1235-K1235)</f>
        <v/>
      </c>
      <c r="AB1235" s="7" t="n"/>
      <c r="AE1235" s="11" t="n"/>
      <c r="AG1235">
        <f>IF($C1235="","",IF(COUNTIF($C$2:$C1235,$C1235)=1,1,0))</f>
        <v/>
      </c>
      <c r="AH1235">
        <f>IF($AG1235=1,SUMPRODUCT(--($AK$2:$AK$6001&lt;$AK1235))+1,"")</f>
        <v/>
      </c>
      <c r="AI1235">
        <f>IF($C1235="","",IF(OR($N1235=TRUE(),$N1235="TRUE"),1,0))</f>
        <v/>
      </c>
      <c r="AJ1235">
        <f>IF($C1235="","",IF($T1235="Yes",1,0))</f>
        <v/>
      </c>
      <c r="AK1235">
        <f>IF($AG1235=1,IFERROR(IF(VALUE($C1235)&lt;100000000,VALUE($C1235),1000000000),IFERROR(IF(VALUE(MID($C1235,2,20))&lt;100000000,VALUE(MID($C1235,2,20)),1000000000),1000000000))+ROW()/100000,"")</f>
        <v/>
      </c>
    </row>
    <row r="1236">
      <c r="D1236" s="11" t="n"/>
      <c r="K1236" s="7">
        <f>IF($C1236="","",J1236*W1236/100)</f>
        <v/>
      </c>
      <c r="Q1236" s="7" t="n"/>
      <c r="R1236" s="7" t="n"/>
      <c r="U1236">
        <f>IF($C1236="","",IF($AJ1236=1,0,IF($AI1236=1,Settings!$C$6,Settings!$C$7))*100)</f>
        <v/>
      </c>
      <c r="V1236" s="7">
        <f>IF($C1236="","",R1236*U1236/100)</f>
        <v/>
      </c>
      <c r="W1236" s="7">
        <f>IF($C1236="","",R1236-V1236)</f>
        <v/>
      </c>
      <c r="X1236" s="7">
        <f>IF($C1236="","",W1236-K1236)</f>
        <v/>
      </c>
      <c r="AB1236" s="7" t="n"/>
      <c r="AE1236" s="11" t="n"/>
      <c r="AG1236">
        <f>IF($C1236="","",IF(COUNTIF($C$2:$C1236,$C1236)=1,1,0))</f>
        <v/>
      </c>
      <c r="AH1236">
        <f>IF($AG1236=1,SUMPRODUCT(--($AK$2:$AK$6001&lt;$AK1236))+1,"")</f>
        <v/>
      </c>
      <c r="AI1236">
        <f>IF($C1236="","",IF(OR($N1236=TRUE(),$N1236="TRUE"),1,0))</f>
        <v/>
      </c>
      <c r="AJ1236">
        <f>IF($C1236="","",IF($T1236="Yes",1,0))</f>
        <v/>
      </c>
      <c r="AK1236">
        <f>IF($AG1236=1,IFERROR(IF(VALUE($C1236)&lt;100000000,VALUE($C1236),1000000000),IFERROR(IF(VALUE(MID($C1236,2,20))&lt;100000000,VALUE(MID($C1236,2,20)),1000000000),1000000000))+ROW()/100000,"")</f>
        <v/>
      </c>
    </row>
    <row r="1237">
      <c r="D1237" s="11" t="n"/>
      <c r="K1237" s="7">
        <f>IF($C1237="","",J1237*W1237/100)</f>
        <v/>
      </c>
      <c r="Q1237" s="7" t="n"/>
      <c r="R1237" s="7" t="n"/>
      <c r="U1237">
        <f>IF($C1237="","",IF($AJ1237=1,0,IF($AI1237=1,Settings!$C$6,Settings!$C$7))*100)</f>
        <v/>
      </c>
      <c r="V1237" s="7">
        <f>IF($C1237="","",R1237*U1237/100)</f>
        <v/>
      </c>
      <c r="W1237" s="7">
        <f>IF($C1237="","",R1237-V1237)</f>
        <v/>
      </c>
      <c r="X1237" s="7">
        <f>IF($C1237="","",W1237-K1237)</f>
        <v/>
      </c>
      <c r="AB1237" s="7" t="n"/>
      <c r="AE1237" s="11" t="n"/>
      <c r="AG1237">
        <f>IF($C1237="","",IF(COUNTIF($C$2:$C1237,$C1237)=1,1,0))</f>
        <v/>
      </c>
      <c r="AH1237">
        <f>IF($AG1237=1,SUMPRODUCT(--($AK$2:$AK$6001&lt;$AK1237))+1,"")</f>
        <v/>
      </c>
      <c r="AI1237">
        <f>IF($C1237="","",IF(OR($N1237=TRUE(),$N1237="TRUE"),1,0))</f>
        <v/>
      </c>
      <c r="AJ1237">
        <f>IF($C1237="","",IF($T1237="Yes",1,0))</f>
        <v/>
      </c>
      <c r="AK1237">
        <f>IF($AG1237=1,IFERROR(IF(VALUE($C1237)&lt;100000000,VALUE($C1237),1000000000),IFERROR(IF(VALUE(MID($C1237,2,20))&lt;100000000,VALUE(MID($C1237,2,20)),1000000000),1000000000))+ROW()/100000,"")</f>
        <v/>
      </c>
    </row>
    <row r="1238">
      <c r="D1238" s="11" t="n"/>
      <c r="K1238" s="7">
        <f>IF($C1238="","",J1238*W1238/100)</f>
        <v/>
      </c>
      <c r="Q1238" s="7" t="n"/>
      <c r="R1238" s="7" t="n"/>
      <c r="U1238">
        <f>IF($C1238="","",IF($AJ1238=1,0,IF($AI1238=1,Settings!$C$6,Settings!$C$7))*100)</f>
        <v/>
      </c>
      <c r="V1238" s="7">
        <f>IF($C1238="","",R1238*U1238/100)</f>
        <v/>
      </c>
      <c r="W1238" s="7">
        <f>IF($C1238="","",R1238-V1238)</f>
        <v/>
      </c>
      <c r="X1238" s="7">
        <f>IF($C1238="","",W1238-K1238)</f>
        <v/>
      </c>
      <c r="AB1238" s="7" t="n"/>
      <c r="AE1238" s="11" t="n"/>
      <c r="AG1238">
        <f>IF($C1238="","",IF(COUNTIF($C$2:$C1238,$C1238)=1,1,0))</f>
        <v/>
      </c>
      <c r="AH1238">
        <f>IF($AG1238=1,SUMPRODUCT(--($AK$2:$AK$6001&lt;$AK1238))+1,"")</f>
        <v/>
      </c>
      <c r="AI1238">
        <f>IF($C1238="","",IF(OR($N1238=TRUE(),$N1238="TRUE"),1,0))</f>
        <v/>
      </c>
      <c r="AJ1238">
        <f>IF($C1238="","",IF($T1238="Yes",1,0))</f>
        <v/>
      </c>
      <c r="AK1238">
        <f>IF($AG1238=1,IFERROR(IF(VALUE($C1238)&lt;100000000,VALUE($C1238),1000000000),IFERROR(IF(VALUE(MID($C1238,2,20))&lt;100000000,VALUE(MID($C1238,2,20)),1000000000),1000000000))+ROW()/100000,"")</f>
        <v/>
      </c>
    </row>
    <row r="1239">
      <c r="D1239" s="11" t="n"/>
      <c r="K1239" s="7">
        <f>IF($C1239="","",J1239*W1239/100)</f>
        <v/>
      </c>
      <c r="Q1239" s="7" t="n"/>
      <c r="R1239" s="7" t="n"/>
      <c r="U1239">
        <f>IF($C1239="","",IF($AJ1239=1,0,IF($AI1239=1,Settings!$C$6,Settings!$C$7))*100)</f>
        <v/>
      </c>
      <c r="V1239" s="7">
        <f>IF($C1239="","",R1239*U1239/100)</f>
        <v/>
      </c>
      <c r="W1239" s="7">
        <f>IF($C1239="","",R1239-V1239)</f>
        <v/>
      </c>
      <c r="X1239" s="7">
        <f>IF($C1239="","",W1239-K1239)</f>
        <v/>
      </c>
      <c r="AB1239" s="7" t="n"/>
      <c r="AE1239" s="11" t="n"/>
      <c r="AG1239">
        <f>IF($C1239="","",IF(COUNTIF($C$2:$C1239,$C1239)=1,1,0))</f>
        <v/>
      </c>
      <c r="AH1239">
        <f>IF($AG1239=1,SUMPRODUCT(--($AK$2:$AK$6001&lt;$AK1239))+1,"")</f>
        <v/>
      </c>
      <c r="AI1239">
        <f>IF($C1239="","",IF(OR($N1239=TRUE(),$N1239="TRUE"),1,0))</f>
        <v/>
      </c>
      <c r="AJ1239">
        <f>IF($C1239="","",IF($T1239="Yes",1,0))</f>
        <v/>
      </c>
      <c r="AK1239">
        <f>IF($AG1239=1,IFERROR(IF(VALUE($C1239)&lt;100000000,VALUE($C1239),1000000000),IFERROR(IF(VALUE(MID($C1239,2,20))&lt;100000000,VALUE(MID($C1239,2,20)),1000000000),1000000000))+ROW()/100000,"")</f>
        <v/>
      </c>
    </row>
    <row r="1240">
      <c r="D1240" s="11" t="n"/>
      <c r="K1240" s="7">
        <f>IF($C1240="","",J1240*W1240/100)</f>
        <v/>
      </c>
      <c r="Q1240" s="7" t="n"/>
      <c r="R1240" s="7" t="n"/>
      <c r="U1240">
        <f>IF($C1240="","",IF($AJ1240=1,0,IF($AI1240=1,Settings!$C$6,Settings!$C$7))*100)</f>
        <v/>
      </c>
      <c r="V1240" s="7">
        <f>IF($C1240="","",R1240*U1240/100)</f>
        <v/>
      </c>
      <c r="W1240" s="7">
        <f>IF($C1240="","",R1240-V1240)</f>
        <v/>
      </c>
      <c r="X1240" s="7">
        <f>IF($C1240="","",W1240-K1240)</f>
        <v/>
      </c>
      <c r="AB1240" s="7" t="n"/>
      <c r="AE1240" s="11" t="n"/>
      <c r="AG1240">
        <f>IF($C1240="","",IF(COUNTIF($C$2:$C1240,$C1240)=1,1,0))</f>
        <v/>
      </c>
      <c r="AH1240">
        <f>IF($AG1240=1,SUMPRODUCT(--($AK$2:$AK$6001&lt;$AK1240))+1,"")</f>
        <v/>
      </c>
      <c r="AI1240">
        <f>IF($C1240="","",IF(OR($N1240=TRUE(),$N1240="TRUE"),1,0))</f>
        <v/>
      </c>
      <c r="AJ1240">
        <f>IF($C1240="","",IF($T1240="Yes",1,0))</f>
        <v/>
      </c>
      <c r="AK1240">
        <f>IF($AG1240=1,IFERROR(IF(VALUE($C1240)&lt;100000000,VALUE($C1240),1000000000),IFERROR(IF(VALUE(MID($C1240,2,20))&lt;100000000,VALUE(MID($C1240,2,20)),1000000000),1000000000))+ROW()/100000,"")</f>
        <v/>
      </c>
    </row>
    <row r="1241">
      <c r="D1241" s="11" t="n"/>
      <c r="K1241" s="7">
        <f>IF($C1241="","",J1241*W1241/100)</f>
        <v/>
      </c>
      <c r="Q1241" s="7" t="n"/>
      <c r="R1241" s="7" t="n"/>
      <c r="U1241">
        <f>IF($C1241="","",IF($AJ1241=1,0,IF($AI1241=1,Settings!$C$6,Settings!$C$7))*100)</f>
        <v/>
      </c>
      <c r="V1241" s="7">
        <f>IF($C1241="","",R1241*U1241/100)</f>
        <v/>
      </c>
      <c r="W1241" s="7">
        <f>IF($C1241="","",R1241-V1241)</f>
        <v/>
      </c>
      <c r="X1241" s="7">
        <f>IF($C1241="","",W1241-K1241)</f>
        <v/>
      </c>
      <c r="AB1241" s="7" t="n"/>
      <c r="AE1241" s="11" t="n"/>
      <c r="AG1241">
        <f>IF($C1241="","",IF(COUNTIF($C$2:$C1241,$C1241)=1,1,0))</f>
        <v/>
      </c>
      <c r="AH1241">
        <f>IF($AG1241=1,SUMPRODUCT(--($AK$2:$AK$6001&lt;$AK1241))+1,"")</f>
        <v/>
      </c>
      <c r="AI1241">
        <f>IF($C1241="","",IF(OR($N1241=TRUE(),$N1241="TRUE"),1,0))</f>
        <v/>
      </c>
      <c r="AJ1241">
        <f>IF($C1241="","",IF($T1241="Yes",1,0))</f>
        <v/>
      </c>
      <c r="AK1241">
        <f>IF($AG1241=1,IFERROR(IF(VALUE($C1241)&lt;100000000,VALUE($C1241),1000000000),IFERROR(IF(VALUE(MID($C1241,2,20))&lt;100000000,VALUE(MID($C1241,2,20)),1000000000),1000000000))+ROW()/100000,"")</f>
        <v/>
      </c>
    </row>
    <row r="1242">
      <c r="D1242" s="11" t="n"/>
      <c r="K1242" s="7">
        <f>IF($C1242="","",J1242*W1242/100)</f>
        <v/>
      </c>
      <c r="Q1242" s="7" t="n"/>
      <c r="R1242" s="7" t="n"/>
      <c r="U1242">
        <f>IF($C1242="","",IF($AJ1242=1,0,IF($AI1242=1,Settings!$C$6,Settings!$C$7))*100)</f>
        <v/>
      </c>
      <c r="V1242" s="7">
        <f>IF($C1242="","",R1242*U1242/100)</f>
        <v/>
      </c>
      <c r="W1242" s="7">
        <f>IF($C1242="","",R1242-V1242)</f>
        <v/>
      </c>
      <c r="X1242" s="7">
        <f>IF($C1242="","",W1242-K1242)</f>
        <v/>
      </c>
      <c r="AB1242" s="7" t="n"/>
      <c r="AE1242" s="11" t="n"/>
      <c r="AG1242">
        <f>IF($C1242="","",IF(COUNTIF($C$2:$C1242,$C1242)=1,1,0))</f>
        <v/>
      </c>
      <c r="AH1242">
        <f>IF($AG1242=1,SUMPRODUCT(--($AK$2:$AK$6001&lt;$AK1242))+1,"")</f>
        <v/>
      </c>
      <c r="AI1242">
        <f>IF($C1242="","",IF(OR($N1242=TRUE(),$N1242="TRUE"),1,0))</f>
        <v/>
      </c>
      <c r="AJ1242">
        <f>IF($C1242="","",IF($T1242="Yes",1,0))</f>
        <v/>
      </c>
      <c r="AK1242">
        <f>IF($AG1242=1,IFERROR(IF(VALUE($C1242)&lt;100000000,VALUE($C1242),1000000000),IFERROR(IF(VALUE(MID($C1242,2,20))&lt;100000000,VALUE(MID($C1242,2,20)),1000000000),1000000000))+ROW()/100000,"")</f>
        <v/>
      </c>
    </row>
    <row r="1243">
      <c r="D1243" s="11" t="n"/>
      <c r="K1243" s="7">
        <f>IF($C1243="","",J1243*W1243/100)</f>
        <v/>
      </c>
      <c r="Q1243" s="7" t="n"/>
      <c r="R1243" s="7" t="n"/>
      <c r="U1243">
        <f>IF($C1243="","",IF($AJ1243=1,0,IF($AI1243=1,Settings!$C$6,Settings!$C$7))*100)</f>
        <v/>
      </c>
      <c r="V1243" s="7">
        <f>IF($C1243="","",R1243*U1243/100)</f>
        <v/>
      </c>
      <c r="W1243" s="7">
        <f>IF($C1243="","",R1243-V1243)</f>
        <v/>
      </c>
      <c r="X1243" s="7">
        <f>IF($C1243="","",W1243-K1243)</f>
        <v/>
      </c>
      <c r="AB1243" s="7" t="n"/>
      <c r="AE1243" s="11" t="n"/>
      <c r="AG1243">
        <f>IF($C1243="","",IF(COUNTIF($C$2:$C1243,$C1243)=1,1,0))</f>
        <v/>
      </c>
      <c r="AH1243">
        <f>IF($AG1243=1,SUMPRODUCT(--($AK$2:$AK$6001&lt;$AK1243))+1,"")</f>
        <v/>
      </c>
      <c r="AI1243">
        <f>IF($C1243="","",IF(OR($N1243=TRUE(),$N1243="TRUE"),1,0))</f>
        <v/>
      </c>
      <c r="AJ1243">
        <f>IF($C1243="","",IF($T1243="Yes",1,0))</f>
        <v/>
      </c>
      <c r="AK1243">
        <f>IF($AG1243=1,IFERROR(IF(VALUE($C1243)&lt;100000000,VALUE($C1243),1000000000),IFERROR(IF(VALUE(MID($C1243,2,20))&lt;100000000,VALUE(MID($C1243,2,20)),1000000000),1000000000))+ROW()/100000,"")</f>
        <v/>
      </c>
    </row>
    <row r="1244">
      <c r="D1244" s="11" t="n"/>
      <c r="K1244" s="7">
        <f>IF($C1244="","",J1244*W1244/100)</f>
        <v/>
      </c>
      <c r="Q1244" s="7" t="n"/>
      <c r="R1244" s="7" t="n"/>
      <c r="U1244">
        <f>IF($C1244="","",IF($AJ1244=1,0,IF($AI1244=1,Settings!$C$6,Settings!$C$7))*100)</f>
        <v/>
      </c>
      <c r="V1244" s="7">
        <f>IF($C1244="","",R1244*U1244/100)</f>
        <v/>
      </c>
      <c r="W1244" s="7">
        <f>IF($C1244="","",R1244-V1244)</f>
        <v/>
      </c>
      <c r="X1244" s="7">
        <f>IF($C1244="","",W1244-K1244)</f>
        <v/>
      </c>
      <c r="AB1244" s="7" t="n"/>
      <c r="AE1244" s="11" t="n"/>
      <c r="AG1244">
        <f>IF($C1244="","",IF(COUNTIF($C$2:$C1244,$C1244)=1,1,0))</f>
        <v/>
      </c>
      <c r="AH1244">
        <f>IF($AG1244=1,SUMPRODUCT(--($AK$2:$AK$6001&lt;$AK1244))+1,"")</f>
        <v/>
      </c>
      <c r="AI1244">
        <f>IF($C1244="","",IF(OR($N1244=TRUE(),$N1244="TRUE"),1,0))</f>
        <v/>
      </c>
      <c r="AJ1244">
        <f>IF($C1244="","",IF($T1244="Yes",1,0))</f>
        <v/>
      </c>
      <c r="AK1244">
        <f>IF($AG1244=1,IFERROR(IF(VALUE($C1244)&lt;100000000,VALUE($C1244),1000000000),IFERROR(IF(VALUE(MID($C1244,2,20))&lt;100000000,VALUE(MID($C1244,2,20)),1000000000),1000000000))+ROW()/100000,"")</f>
        <v/>
      </c>
    </row>
    <row r="1245">
      <c r="D1245" s="11" t="n"/>
      <c r="K1245" s="7">
        <f>IF($C1245="","",J1245*W1245/100)</f>
        <v/>
      </c>
      <c r="Q1245" s="7" t="n"/>
      <c r="R1245" s="7" t="n"/>
      <c r="U1245">
        <f>IF($C1245="","",IF($AJ1245=1,0,IF($AI1245=1,Settings!$C$6,Settings!$C$7))*100)</f>
        <v/>
      </c>
      <c r="V1245" s="7">
        <f>IF($C1245="","",R1245*U1245/100)</f>
        <v/>
      </c>
      <c r="W1245" s="7">
        <f>IF($C1245="","",R1245-V1245)</f>
        <v/>
      </c>
      <c r="X1245" s="7">
        <f>IF($C1245="","",W1245-K1245)</f>
        <v/>
      </c>
      <c r="AB1245" s="7" t="n"/>
      <c r="AE1245" s="11" t="n"/>
      <c r="AG1245">
        <f>IF($C1245="","",IF(COUNTIF($C$2:$C1245,$C1245)=1,1,0))</f>
        <v/>
      </c>
      <c r="AH1245">
        <f>IF($AG1245=1,SUMPRODUCT(--($AK$2:$AK$6001&lt;$AK1245))+1,"")</f>
        <v/>
      </c>
      <c r="AI1245">
        <f>IF($C1245="","",IF(OR($N1245=TRUE(),$N1245="TRUE"),1,0))</f>
        <v/>
      </c>
      <c r="AJ1245">
        <f>IF($C1245="","",IF($T1245="Yes",1,0))</f>
        <v/>
      </c>
      <c r="AK1245">
        <f>IF($AG1245=1,IFERROR(IF(VALUE($C1245)&lt;100000000,VALUE($C1245),1000000000),IFERROR(IF(VALUE(MID($C1245,2,20))&lt;100000000,VALUE(MID($C1245,2,20)),1000000000),1000000000))+ROW()/100000,"")</f>
        <v/>
      </c>
    </row>
    <row r="1246">
      <c r="D1246" s="11" t="n"/>
      <c r="K1246" s="7">
        <f>IF($C1246="","",J1246*W1246/100)</f>
        <v/>
      </c>
      <c r="Q1246" s="7" t="n"/>
      <c r="R1246" s="7" t="n"/>
      <c r="U1246">
        <f>IF($C1246="","",IF($AJ1246=1,0,IF($AI1246=1,Settings!$C$6,Settings!$C$7))*100)</f>
        <v/>
      </c>
      <c r="V1246" s="7">
        <f>IF($C1246="","",R1246*U1246/100)</f>
        <v/>
      </c>
      <c r="W1246" s="7">
        <f>IF($C1246="","",R1246-V1246)</f>
        <v/>
      </c>
      <c r="X1246" s="7">
        <f>IF($C1246="","",W1246-K1246)</f>
        <v/>
      </c>
      <c r="AB1246" s="7" t="n"/>
      <c r="AE1246" s="11" t="n"/>
      <c r="AG1246">
        <f>IF($C1246="","",IF(COUNTIF($C$2:$C1246,$C1246)=1,1,0))</f>
        <v/>
      </c>
      <c r="AH1246">
        <f>IF($AG1246=1,SUMPRODUCT(--($AK$2:$AK$6001&lt;$AK1246))+1,"")</f>
        <v/>
      </c>
      <c r="AI1246">
        <f>IF($C1246="","",IF(OR($N1246=TRUE(),$N1246="TRUE"),1,0))</f>
        <v/>
      </c>
      <c r="AJ1246">
        <f>IF($C1246="","",IF($T1246="Yes",1,0))</f>
        <v/>
      </c>
      <c r="AK1246">
        <f>IF($AG1246=1,IFERROR(IF(VALUE($C1246)&lt;100000000,VALUE($C1246),1000000000),IFERROR(IF(VALUE(MID($C1246,2,20))&lt;100000000,VALUE(MID($C1246,2,20)),1000000000),1000000000))+ROW()/100000,"")</f>
        <v/>
      </c>
    </row>
    <row r="1247">
      <c r="D1247" s="11" t="n"/>
      <c r="K1247" s="7">
        <f>IF($C1247="","",J1247*W1247/100)</f>
        <v/>
      </c>
      <c r="Q1247" s="7" t="n"/>
      <c r="R1247" s="7" t="n"/>
      <c r="U1247">
        <f>IF($C1247="","",IF($AJ1247=1,0,IF($AI1247=1,Settings!$C$6,Settings!$C$7))*100)</f>
        <v/>
      </c>
      <c r="V1247" s="7">
        <f>IF($C1247="","",R1247*U1247/100)</f>
        <v/>
      </c>
      <c r="W1247" s="7">
        <f>IF($C1247="","",R1247-V1247)</f>
        <v/>
      </c>
      <c r="X1247" s="7">
        <f>IF($C1247="","",W1247-K1247)</f>
        <v/>
      </c>
      <c r="AB1247" s="7" t="n"/>
      <c r="AE1247" s="11" t="n"/>
      <c r="AG1247">
        <f>IF($C1247="","",IF(COUNTIF($C$2:$C1247,$C1247)=1,1,0))</f>
        <v/>
      </c>
      <c r="AH1247">
        <f>IF($AG1247=1,SUMPRODUCT(--($AK$2:$AK$6001&lt;$AK1247))+1,"")</f>
        <v/>
      </c>
      <c r="AI1247">
        <f>IF($C1247="","",IF(OR($N1247=TRUE(),$N1247="TRUE"),1,0))</f>
        <v/>
      </c>
      <c r="AJ1247">
        <f>IF($C1247="","",IF($T1247="Yes",1,0))</f>
        <v/>
      </c>
      <c r="AK1247">
        <f>IF($AG1247=1,IFERROR(IF(VALUE($C1247)&lt;100000000,VALUE($C1247),1000000000),IFERROR(IF(VALUE(MID($C1247,2,20))&lt;100000000,VALUE(MID($C1247,2,20)),1000000000),1000000000))+ROW()/100000,"")</f>
        <v/>
      </c>
    </row>
    <row r="1248">
      <c r="D1248" s="11" t="n"/>
      <c r="K1248" s="7">
        <f>IF($C1248="","",J1248*W1248/100)</f>
        <v/>
      </c>
      <c r="Q1248" s="7" t="n"/>
      <c r="R1248" s="7" t="n"/>
      <c r="U1248">
        <f>IF($C1248="","",IF($AJ1248=1,0,IF($AI1248=1,Settings!$C$6,Settings!$C$7))*100)</f>
        <v/>
      </c>
      <c r="V1248" s="7">
        <f>IF($C1248="","",R1248*U1248/100)</f>
        <v/>
      </c>
      <c r="W1248" s="7">
        <f>IF($C1248="","",R1248-V1248)</f>
        <v/>
      </c>
      <c r="X1248" s="7">
        <f>IF($C1248="","",W1248-K1248)</f>
        <v/>
      </c>
      <c r="AB1248" s="7" t="n"/>
      <c r="AE1248" s="11" t="n"/>
      <c r="AG1248">
        <f>IF($C1248="","",IF(COUNTIF($C$2:$C1248,$C1248)=1,1,0))</f>
        <v/>
      </c>
      <c r="AH1248">
        <f>IF($AG1248=1,SUMPRODUCT(--($AK$2:$AK$6001&lt;$AK1248))+1,"")</f>
        <v/>
      </c>
      <c r="AI1248">
        <f>IF($C1248="","",IF(OR($N1248=TRUE(),$N1248="TRUE"),1,0))</f>
        <v/>
      </c>
      <c r="AJ1248">
        <f>IF($C1248="","",IF($T1248="Yes",1,0))</f>
        <v/>
      </c>
      <c r="AK1248">
        <f>IF($AG1248=1,IFERROR(IF(VALUE($C1248)&lt;100000000,VALUE($C1248),1000000000),IFERROR(IF(VALUE(MID($C1248,2,20))&lt;100000000,VALUE(MID($C1248,2,20)),1000000000),1000000000))+ROW()/100000,"")</f>
        <v/>
      </c>
    </row>
    <row r="1249">
      <c r="D1249" s="11" t="n"/>
      <c r="K1249" s="7">
        <f>IF($C1249="","",J1249*W1249/100)</f>
        <v/>
      </c>
      <c r="Q1249" s="7" t="n"/>
      <c r="R1249" s="7" t="n"/>
      <c r="U1249">
        <f>IF($C1249="","",IF($AJ1249=1,0,IF($AI1249=1,Settings!$C$6,Settings!$C$7))*100)</f>
        <v/>
      </c>
      <c r="V1249" s="7">
        <f>IF($C1249="","",R1249*U1249/100)</f>
        <v/>
      </c>
      <c r="W1249" s="7">
        <f>IF($C1249="","",R1249-V1249)</f>
        <v/>
      </c>
      <c r="X1249" s="7">
        <f>IF($C1249="","",W1249-K1249)</f>
        <v/>
      </c>
      <c r="AB1249" s="7" t="n"/>
      <c r="AE1249" s="11" t="n"/>
      <c r="AG1249">
        <f>IF($C1249="","",IF(COUNTIF($C$2:$C1249,$C1249)=1,1,0))</f>
        <v/>
      </c>
      <c r="AH1249">
        <f>IF($AG1249=1,SUMPRODUCT(--($AK$2:$AK$6001&lt;$AK1249))+1,"")</f>
        <v/>
      </c>
      <c r="AI1249">
        <f>IF($C1249="","",IF(OR($N1249=TRUE(),$N1249="TRUE"),1,0))</f>
        <v/>
      </c>
      <c r="AJ1249">
        <f>IF($C1249="","",IF($T1249="Yes",1,0))</f>
        <v/>
      </c>
      <c r="AK1249">
        <f>IF($AG1249=1,IFERROR(IF(VALUE($C1249)&lt;100000000,VALUE($C1249),1000000000),IFERROR(IF(VALUE(MID($C1249,2,20))&lt;100000000,VALUE(MID($C1249,2,20)),1000000000),1000000000))+ROW()/100000,"")</f>
        <v/>
      </c>
    </row>
    <row r="1250">
      <c r="D1250" s="11" t="n"/>
      <c r="K1250" s="7">
        <f>IF($C1250="","",J1250*W1250/100)</f>
        <v/>
      </c>
      <c r="Q1250" s="7" t="n"/>
      <c r="R1250" s="7" t="n"/>
      <c r="U1250">
        <f>IF($C1250="","",IF($AJ1250=1,0,IF($AI1250=1,Settings!$C$6,Settings!$C$7))*100)</f>
        <v/>
      </c>
      <c r="V1250" s="7">
        <f>IF($C1250="","",R1250*U1250/100)</f>
        <v/>
      </c>
      <c r="W1250" s="7">
        <f>IF($C1250="","",R1250-V1250)</f>
        <v/>
      </c>
      <c r="X1250" s="7">
        <f>IF($C1250="","",W1250-K1250)</f>
        <v/>
      </c>
      <c r="AB1250" s="7" t="n"/>
      <c r="AE1250" s="11" t="n"/>
      <c r="AG1250">
        <f>IF($C1250="","",IF(COUNTIF($C$2:$C1250,$C1250)=1,1,0))</f>
        <v/>
      </c>
      <c r="AH1250">
        <f>IF($AG1250=1,SUMPRODUCT(--($AK$2:$AK$6001&lt;$AK1250))+1,"")</f>
        <v/>
      </c>
      <c r="AI1250">
        <f>IF($C1250="","",IF(OR($N1250=TRUE(),$N1250="TRUE"),1,0))</f>
        <v/>
      </c>
      <c r="AJ1250">
        <f>IF($C1250="","",IF($T1250="Yes",1,0))</f>
        <v/>
      </c>
      <c r="AK1250">
        <f>IF($AG1250=1,IFERROR(IF(VALUE($C1250)&lt;100000000,VALUE($C1250),1000000000),IFERROR(IF(VALUE(MID($C1250,2,20))&lt;100000000,VALUE(MID($C1250,2,20)),1000000000),1000000000))+ROW()/100000,"")</f>
        <v/>
      </c>
    </row>
    <row r="1251">
      <c r="D1251" s="11" t="n"/>
      <c r="K1251" s="7">
        <f>IF($C1251="","",J1251*W1251/100)</f>
        <v/>
      </c>
      <c r="Q1251" s="7" t="n"/>
      <c r="R1251" s="7" t="n"/>
      <c r="U1251">
        <f>IF($C1251="","",IF($AJ1251=1,0,IF($AI1251=1,Settings!$C$6,Settings!$C$7))*100)</f>
        <v/>
      </c>
      <c r="V1251" s="7">
        <f>IF($C1251="","",R1251*U1251/100)</f>
        <v/>
      </c>
      <c r="W1251" s="7">
        <f>IF($C1251="","",R1251-V1251)</f>
        <v/>
      </c>
      <c r="X1251" s="7">
        <f>IF($C1251="","",W1251-K1251)</f>
        <v/>
      </c>
      <c r="AB1251" s="7" t="n"/>
      <c r="AE1251" s="11" t="n"/>
      <c r="AG1251">
        <f>IF($C1251="","",IF(COUNTIF($C$2:$C1251,$C1251)=1,1,0))</f>
        <v/>
      </c>
      <c r="AH1251">
        <f>IF($AG1251=1,SUMPRODUCT(--($AK$2:$AK$6001&lt;$AK1251))+1,"")</f>
        <v/>
      </c>
      <c r="AI1251">
        <f>IF($C1251="","",IF(OR($N1251=TRUE(),$N1251="TRUE"),1,0))</f>
        <v/>
      </c>
      <c r="AJ1251">
        <f>IF($C1251="","",IF($T1251="Yes",1,0))</f>
        <v/>
      </c>
      <c r="AK1251">
        <f>IF($AG1251=1,IFERROR(IF(VALUE($C1251)&lt;100000000,VALUE($C1251),1000000000),IFERROR(IF(VALUE(MID($C1251,2,20))&lt;100000000,VALUE(MID($C1251,2,20)),1000000000),1000000000))+ROW()/100000,"")</f>
        <v/>
      </c>
    </row>
    <row r="1252">
      <c r="D1252" s="11" t="n"/>
      <c r="K1252" s="7">
        <f>IF($C1252="","",J1252*W1252/100)</f>
        <v/>
      </c>
      <c r="Q1252" s="7" t="n"/>
      <c r="R1252" s="7" t="n"/>
      <c r="U1252">
        <f>IF($C1252="","",IF($AJ1252=1,0,IF($AI1252=1,Settings!$C$6,Settings!$C$7))*100)</f>
        <v/>
      </c>
      <c r="V1252" s="7">
        <f>IF($C1252="","",R1252*U1252/100)</f>
        <v/>
      </c>
      <c r="W1252" s="7">
        <f>IF($C1252="","",R1252-V1252)</f>
        <v/>
      </c>
      <c r="X1252" s="7">
        <f>IF($C1252="","",W1252-K1252)</f>
        <v/>
      </c>
      <c r="AB1252" s="7" t="n"/>
      <c r="AE1252" s="11" t="n"/>
      <c r="AG1252">
        <f>IF($C1252="","",IF(COUNTIF($C$2:$C1252,$C1252)=1,1,0))</f>
        <v/>
      </c>
      <c r="AH1252">
        <f>IF($AG1252=1,SUMPRODUCT(--($AK$2:$AK$6001&lt;$AK1252))+1,"")</f>
        <v/>
      </c>
      <c r="AI1252">
        <f>IF($C1252="","",IF(OR($N1252=TRUE(),$N1252="TRUE"),1,0))</f>
        <v/>
      </c>
      <c r="AJ1252">
        <f>IF($C1252="","",IF($T1252="Yes",1,0))</f>
        <v/>
      </c>
      <c r="AK1252">
        <f>IF($AG1252=1,IFERROR(IF(VALUE($C1252)&lt;100000000,VALUE($C1252),1000000000),IFERROR(IF(VALUE(MID($C1252,2,20))&lt;100000000,VALUE(MID($C1252,2,20)),1000000000),1000000000))+ROW()/100000,"")</f>
        <v/>
      </c>
    </row>
    <row r="1253">
      <c r="D1253" s="11" t="n"/>
      <c r="K1253" s="7">
        <f>IF($C1253="","",J1253*W1253/100)</f>
        <v/>
      </c>
      <c r="Q1253" s="7" t="n"/>
      <c r="R1253" s="7" t="n"/>
      <c r="U1253">
        <f>IF($C1253="","",IF($AJ1253=1,0,IF($AI1253=1,Settings!$C$6,Settings!$C$7))*100)</f>
        <v/>
      </c>
      <c r="V1253" s="7">
        <f>IF($C1253="","",R1253*U1253/100)</f>
        <v/>
      </c>
      <c r="W1253" s="7">
        <f>IF($C1253="","",R1253-V1253)</f>
        <v/>
      </c>
      <c r="X1253" s="7">
        <f>IF($C1253="","",W1253-K1253)</f>
        <v/>
      </c>
      <c r="AB1253" s="7" t="n"/>
      <c r="AE1253" s="11" t="n"/>
      <c r="AG1253">
        <f>IF($C1253="","",IF(COUNTIF($C$2:$C1253,$C1253)=1,1,0))</f>
        <v/>
      </c>
      <c r="AH1253">
        <f>IF($AG1253=1,SUMPRODUCT(--($AK$2:$AK$6001&lt;$AK1253))+1,"")</f>
        <v/>
      </c>
      <c r="AI1253">
        <f>IF($C1253="","",IF(OR($N1253=TRUE(),$N1253="TRUE"),1,0))</f>
        <v/>
      </c>
      <c r="AJ1253">
        <f>IF($C1253="","",IF($T1253="Yes",1,0))</f>
        <v/>
      </c>
      <c r="AK1253">
        <f>IF($AG1253=1,IFERROR(IF(VALUE($C1253)&lt;100000000,VALUE($C1253),1000000000),IFERROR(IF(VALUE(MID($C1253,2,20))&lt;100000000,VALUE(MID($C1253,2,20)),1000000000),1000000000))+ROW()/100000,"")</f>
        <v/>
      </c>
    </row>
    <row r="1254">
      <c r="D1254" s="11" t="n"/>
      <c r="K1254" s="7">
        <f>IF($C1254="","",J1254*W1254/100)</f>
        <v/>
      </c>
      <c r="Q1254" s="7" t="n"/>
      <c r="R1254" s="7" t="n"/>
      <c r="U1254">
        <f>IF($C1254="","",IF($AJ1254=1,0,IF($AI1254=1,Settings!$C$6,Settings!$C$7))*100)</f>
        <v/>
      </c>
      <c r="V1254" s="7">
        <f>IF($C1254="","",R1254*U1254/100)</f>
        <v/>
      </c>
      <c r="W1254" s="7">
        <f>IF($C1254="","",R1254-V1254)</f>
        <v/>
      </c>
      <c r="X1254" s="7">
        <f>IF($C1254="","",W1254-K1254)</f>
        <v/>
      </c>
      <c r="AB1254" s="7" t="n"/>
      <c r="AE1254" s="11" t="n"/>
      <c r="AG1254">
        <f>IF($C1254="","",IF(COUNTIF($C$2:$C1254,$C1254)=1,1,0))</f>
        <v/>
      </c>
      <c r="AH1254">
        <f>IF($AG1254=1,SUMPRODUCT(--($AK$2:$AK$6001&lt;$AK1254))+1,"")</f>
        <v/>
      </c>
      <c r="AI1254">
        <f>IF($C1254="","",IF(OR($N1254=TRUE(),$N1254="TRUE"),1,0))</f>
        <v/>
      </c>
      <c r="AJ1254">
        <f>IF($C1254="","",IF($T1254="Yes",1,0))</f>
        <v/>
      </c>
      <c r="AK1254">
        <f>IF($AG1254=1,IFERROR(IF(VALUE($C1254)&lt;100000000,VALUE($C1254),1000000000),IFERROR(IF(VALUE(MID($C1254,2,20))&lt;100000000,VALUE(MID($C1254,2,20)),1000000000),1000000000))+ROW()/100000,"")</f>
        <v/>
      </c>
    </row>
    <row r="1255">
      <c r="D1255" s="11" t="n"/>
      <c r="K1255" s="7">
        <f>IF($C1255="","",J1255*W1255/100)</f>
        <v/>
      </c>
      <c r="Q1255" s="7" t="n"/>
      <c r="R1255" s="7" t="n"/>
      <c r="U1255">
        <f>IF($C1255="","",IF($AJ1255=1,0,IF($AI1255=1,Settings!$C$6,Settings!$C$7))*100)</f>
        <v/>
      </c>
      <c r="V1255" s="7">
        <f>IF($C1255="","",R1255*U1255/100)</f>
        <v/>
      </c>
      <c r="W1255" s="7">
        <f>IF($C1255="","",R1255-V1255)</f>
        <v/>
      </c>
      <c r="X1255" s="7">
        <f>IF($C1255="","",W1255-K1255)</f>
        <v/>
      </c>
      <c r="AB1255" s="7" t="n"/>
      <c r="AE1255" s="11" t="n"/>
      <c r="AG1255">
        <f>IF($C1255="","",IF(COUNTIF($C$2:$C1255,$C1255)=1,1,0))</f>
        <v/>
      </c>
      <c r="AH1255">
        <f>IF($AG1255=1,SUMPRODUCT(--($AK$2:$AK$6001&lt;$AK1255))+1,"")</f>
        <v/>
      </c>
      <c r="AI1255">
        <f>IF($C1255="","",IF(OR($N1255=TRUE(),$N1255="TRUE"),1,0))</f>
        <v/>
      </c>
      <c r="AJ1255">
        <f>IF($C1255="","",IF($T1255="Yes",1,0))</f>
        <v/>
      </c>
      <c r="AK1255">
        <f>IF($AG1255=1,IFERROR(IF(VALUE($C1255)&lt;100000000,VALUE($C1255),1000000000),IFERROR(IF(VALUE(MID($C1255,2,20))&lt;100000000,VALUE(MID($C1255,2,20)),1000000000),1000000000))+ROW()/100000,"")</f>
        <v/>
      </c>
    </row>
    <row r="1256">
      <c r="D1256" s="11" t="n"/>
      <c r="K1256" s="7">
        <f>IF($C1256="","",J1256*W1256/100)</f>
        <v/>
      </c>
      <c r="Q1256" s="7" t="n"/>
      <c r="R1256" s="7" t="n"/>
      <c r="U1256">
        <f>IF($C1256="","",IF($AJ1256=1,0,IF($AI1256=1,Settings!$C$6,Settings!$C$7))*100)</f>
        <v/>
      </c>
      <c r="V1256" s="7">
        <f>IF($C1256="","",R1256*U1256/100)</f>
        <v/>
      </c>
      <c r="W1256" s="7">
        <f>IF($C1256="","",R1256-V1256)</f>
        <v/>
      </c>
      <c r="X1256" s="7">
        <f>IF($C1256="","",W1256-K1256)</f>
        <v/>
      </c>
      <c r="AB1256" s="7" t="n"/>
      <c r="AE1256" s="11" t="n"/>
      <c r="AG1256">
        <f>IF($C1256="","",IF(COUNTIF($C$2:$C1256,$C1256)=1,1,0))</f>
        <v/>
      </c>
      <c r="AH1256">
        <f>IF($AG1256=1,SUMPRODUCT(--($AK$2:$AK$6001&lt;$AK1256))+1,"")</f>
        <v/>
      </c>
      <c r="AI1256">
        <f>IF($C1256="","",IF(OR($N1256=TRUE(),$N1256="TRUE"),1,0))</f>
        <v/>
      </c>
      <c r="AJ1256">
        <f>IF($C1256="","",IF($T1256="Yes",1,0))</f>
        <v/>
      </c>
      <c r="AK1256">
        <f>IF($AG1256=1,IFERROR(IF(VALUE($C1256)&lt;100000000,VALUE($C1256),1000000000),IFERROR(IF(VALUE(MID($C1256,2,20))&lt;100000000,VALUE(MID($C1256,2,20)),1000000000),1000000000))+ROW()/100000,"")</f>
        <v/>
      </c>
    </row>
    <row r="1257">
      <c r="D1257" s="11" t="n"/>
      <c r="K1257" s="7">
        <f>IF($C1257="","",J1257*W1257/100)</f>
        <v/>
      </c>
      <c r="Q1257" s="7" t="n"/>
      <c r="R1257" s="7" t="n"/>
      <c r="U1257">
        <f>IF($C1257="","",IF($AJ1257=1,0,IF($AI1257=1,Settings!$C$6,Settings!$C$7))*100)</f>
        <v/>
      </c>
      <c r="V1257" s="7">
        <f>IF($C1257="","",R1257*U1257/100)</f>
        <v/>
      </c>
      <c r="W1257" s="7">
        <f>IF($C1257="","",R1257-V1257)</f>
        <v/>
      </c>
      <c r="X1257" s="7">
        <f>IF($C1257="","",W1257-K1257)</f>
        <v/>
      </c>
      <c r="AB1257" s="7" t="n"/>
      <c r="AE1257" s="11" t="n"/>
      <c r="AG1257">
        <f>IF($C1257="","",IF(COUNTIF($C$2:$C1257,$C1257)=1,1,0))</f>
        <v/>
      </c>
      <c r="AH1257">
        <f>IF($AG1257=1,SUMPRODUCT(--($AK$2:$AK$6001&lt;$AK1257))+1,"")</f>
        <v/>
      </c>
      <c r="AI1257">
        <f>IF($C1257="","",IF(OR($N1257=TRUE(),$N1257="TRUE"),1,0))</f>
        <v/>
      </c>
      <c r="AJ1257">
        <f>IF($C1257="","",IF($T1257="Yes",1,0))</f>
        <v/>
      </c>
      <c r="AK1257">
        <f>IF($AG1257=1,IFERROR(IF(VALUE($C1257)&lt;100000000,VALUE($C1257),1000000000),IFERROR(IF(VALUE(MID($C1257,2,20))&lt;100000000,VALUE(MID($C1257,2,20)),1000000000),1000000000))+ROW()/100000,"")</f>
        <v/>
      </c>
    </row>
    <row r="1258">
      <c r="D1258" s="11" t="n"/>
      <c r="K1258" s="7">
        <f>IF($C1258="","",J1258*W1258/100)</f>
        <v/>
      </c>
      <c r="Q1258" s="7" t="n"/>
      <c r="R1258" s="7" t="n"/>
      <c r="U1258">
        <f>IF($C1258="","",IF($AJ1258=1,0,IF($AI1258=1,Settings!$C$6,Settings!$C$7))*100)</f>
        <v/>
      </c>
      <c r="V1258" s="7">
        <f>IF($C1258="","",R1258*U1258/100)</f>
        <v/>
      </c>
      <c r="W1258" s="7">
        <f>IF($C1258="","",R1258-V1258)</f>
        <v/>
      </c>
      <c r="X1258" s="7">
        <f>IF($C1258="","",W1258-K1258)</f>
        <v/>
      </c>
      <c r="AB1258" s="7" t="n"/>
      <c r="AE1258" s="11" t="n"/>
      <c r="AG1258">
        <f>IF($C1258="","",IF(COUNTIF($C$2:$C1258,$C1258)=1,1,0))</f>
        <v/>
      </c>
      <c r="AH1258">
        <f>IF($AG1258=1,SUMPRODUCT(--($AK$2:$AK$6001&lt;$AK1258))+1,"")</f>
        <v/>
      </c>
      <c r="AI1258">
        <f>IF($C1258="","",IF(OR($N1258=TRUE(),$N1258="TRUE"),1,0))</f>
        <v/>
      </c>
      <c r="AJ1258">
        <f>IF($C1258="","",IF($T1258="Yes",1,0))</f>
        <v/>
      </c>
      <c r="AK1258">
        <f>IF($AG1258=1,IFERROR(IF(VALUE($C1258)&lt;100000000,VALUE($C1258),1000000000),IFERROR(IF(VALUE(MID($C1258,2,20))&lt;100000000,VALUE(MID($C1258,2,20)),1000000000),1000000000))+ROW()/100000,"")</f>
        <v/>
      </c>
    </row>
    <row r="1259">
      <c r="D1259" s="11" t="n"/>
      <c r="K1259" s="7">
        <f>IF($C1259="","",J1259*W1259/100)</f>
        <v/>
      </c>
      <c r="Q1259" s="7" t="n"/>
      <c r="R1259" s="7" t="n"/>
      <c r="U1259">
        <f>IF($C1259="","",IF($AJ1259=1,0,IF($AI1259=1,Settings!$C$6,Settings!$C$7))*100)</f>
        <v/>
      </c>
      <c r="V1259" s="7">
        <f>IF($C1259="","",R1259*U1259/100)</f>
        <v/>
      </c>
      <c r="W1259" s="7">
        <f>IF($C1259="","",R1259-V1259)</f>
        <v/>
      </c>
      <c r="X1259" s="7">
        <f>IF($C1259="","",W1259-K1259)</f>
        <v/>
      </c>
      <c r="AB1259" s="7" t="n"/>
      <c r="AE1259" s="11" t="n"/>
      <c r="AG1259">
        <f>IF($C1259="","",IF(COUNTIF($C$2:$C1259,$C1259)=1,1,0))</f>
        <v/>
      </c>
      <c r="AH1259">
        <f>IF($AG1259=1,SUMPRODUCT(--($AK$2:$AK$6001&lt;$AK1259))+1,"")</f>
        <v/>
      </c>
      <c r="AI1259">
        <f>IF($C1259="","",IF(OR($N1259=TRUE(),$N1259="TRUE"),1,0))</f>
        <v/>
      </c>
      <c r="AJ1259">
        <f>IF($C1259="","",IF($T1259="Yes",1,0))</f>
        <v/>
      </c>
      <c r="AK1259">
        <f>IF($AG1259=1,IFERROR(IF(VALUE($C1259)&lt;100000000,VALUE($C1259),1000000000),IFERROR(IF(VALUE(MID($C1259,2,20))&lt;100000000,VALUE(MID($C1259,2,20)),1000000000),1000000000))+ROW()/100000,"")</f>
        <v/>
      </c>
    </row>
    <row r="1260">
      <c r="D1260" s="11" t="n"/>
      <c r="K1260" s="7">
        <f>IF($C1260="","",J1260*W1260/100)</f>
        <v/>
      </c>
      <c r="Q1260" s="7" t="n"/>
      <c r="R1260" s="7" t="n"/>
      <c r="U1260">
        <f>IF($C1260="","",IF($AJ1260=1,0,IF($AI1260=1,Settings!$C$6,Settings!$C$7))*100)</f>
        <v/>
      </c>
      <c r="V1260" s="7">
        <f>IF($C1260="","",R1260*U1260/100)</f>
        <v/>
      </c>
      <c r="W1260" s="7">
        <f>IF($C1260="","",R1260-V1260)</f>
        <v/>
      </c>
      <c r="X1260" s="7">
        <f>IF($C1260="","",W1260-K1260)</f>
        <v/>
      </c>
      <c r="AB1260" s="7" t="n"/>
      <c r="AE1260" s="11" t="n"/>
      <c r="AG1260">
        <f>IF($C1260="","",IF(COUNTIF($C$2:$C1260,$C1260)=1,1,0))</f>
        <v/>
      </c>
      <c r="AH1260">
        <f>IF($AG1260=1,SUMPRODUCT(--($AK$2:$AK$6001&lt;$AK1260))+1,"")</f>
        <v/>
      </c>
      <c r="AI1260">
        <f>IF($C1260="","",IF(OR($N1260=TRUE(),$N1260="TRUE"),1,0))</f>
        <v/>
      </c>
      <c r="AJ1260">
        <f>IF($C1260="","",IF($T1260="Yes",1,0))</f>
        <v/>
      </c>
      <c r="AK1260">
        <f>IF($AG1260=1,IFERROR(IF(VALUE($C1260)&lt;100000000,VALUE($C1260),1000000000),IFERROR(IF(VALUE(MID($C1260,2,20))&lt;100000000,VALUE(MID($C1260,2,20)),1000000000),1000000000))+ROW()/100000,"")</f>
        <v/>
      </c>
    </row>
    <row r="1261">
      <c r="D1261" s="11" t="n"/>
      <c r="K1261" s="7">
        <f>IF($C1261="","",J1261*W1261/100)</f>
        <v/>
      </c>
      <c r="Q1261" s="7" t="n"/>
      <c r="R1261" s="7" t="n"/>
      <c r="U1261">
        <f>IF($C1261="","",IF($AJ1261=1,0,IF($AI1261=1,Settings!$C$6,Settings!$C$7))*100)</f>
        <v/>
      </c>
      <c r="V1261" s="7">
        <f>IF($C1261="","",R1261*U1261/100)</f>
        <v/>
      </c>
      <c r="W1261" s="7">
        <f>IF($C1261="","",R1261-V1261)</f>
        <v/>
      </c>
      <c r="X1261" s="7">
        <f>IF($C1261="","",W1261-K1261)</f>
        <v/>
      </c>
      <c r="AB1261" s="7" t="n"/>
      <c r="AE1261" s="11" t="n"/>
      <c r="AG1261">
        <f>IF($C1261="","",IF(COUNTIF($C$2:$C1261,$C1261)=1,1,0))</f>
        <v/>
      </c>
      <c r="AH1261">
        <f>IF($AG1261=1,SUMPRODUCT(--($AK$2:$AK$6001&lt;$AK1261))+1,"")</f>
        <v/>
      </c>
      <c r="AI1261">
        <f>IF($C1261="","",IF(OR($N1261=TRUE(),$N1261="TRUE"),1,0))</f>
        <v/>
      </c>
      <c r="AJ1261">
        <f>IF($C1261="","",IF($T1261="Yes",1,0))</f>
        <v/>
      </c>
      <c r="AK1261">
        <f>IF($AG1261=1,IFERROR(IF(VALUE($C1261)&lt;100000000,VALUE($C1261),1000000000),IFERROR(IF(VALUE(MID($C1261,2,20))&lt;100000000,VALUE(MID($C1261,2,20)),1000000000),1000000000))+ROW()/100000,"")</f>
        <v/>
      </c>
    </row>
    <row r="1262">
      <c r="D1262" s="11" t="n"/>
      <c r="K1262" s="7">
        <f>IF($C1262="","",J1262*W1262/100)</f>
        <v/>
      </c>
      <c r="Q1262" s="7" t="n"/>
      <c r="R1262" s="7" t="n"/>
      <c r="U1262">
        <f>IF($C1262="","",IF($AJ1262=1,0,IF($AI1262=1,Settings!$C$6,Settings!$C$7))*100)</f>
        <v/>
      </c>
      <c r="V1262" s="7">
        <f>IF($C1262="","",R1262*U1262/100)</f>
        <v/>
      </c>
      <c r="W1262" s="7">
        <f>IF($C1262="","",R1262-V1262)</f>
        <v/>
      </c>
      <c r="X1262" s="7">
        <f>IF($C1262="","",W1262-K1262)</f>
        <v/>
      </c>
      <c r="AB1262" s="7" t="n"/>
      <c r="AE1262" s="11" t="n"/>
      <c r="AG1262">
        <f>IF($C1262="","",IF(COUNTIF($C$2:$C1262,$C1262)=1,1,0))</f>
        <v/>
      </c>
      <c r="AH1262">
        <f>IF($AG1262=1,SUMPRODUCT(--($AK$2:$AK$6001&lt;$AK1262))+1,"")</f>
        <v/>
      </c>
      <c r="AI1262">
        <f>IF($C1262="","",IF(OR($N1262=TRUE(),$N1262="TRUE"),1,0))</f>
        <v/>
      </c>
      <c r="AJ1262">
        <f>IF($C1262="","",IF($T1262="Yes",1,0))</f>
        <v/>
      </c>
      <c r="AK1262">
        <f>IF($AG1262=1,IFERROR(IF(VALUE($C1262)&lt;100000000,VALUE($C1262),1000000000),IFERROR(IF(VALUE(MID($C1262,2,20))&lt;100000000,VALUE(MID($C1262,2,20)),1000000000),1000000000))+ROW()/100000,"")</f>
        <v/>
      </c>
    </row>
    <row r="1263">
      <c r="D1263" s="11" t="n"/>
      <c r="K1263" s="7">
        <f>IF($C1263="","",J1263*W1263/100)</f>
        <v/>
      </c>
      <c r="Q1263" s="7" t="n"/>
      <c r="R1263" s="7" t="n"/>
      <c r="U1263">
        <f>IF($C1263="","",IF($AJ1263=1,0,IF($AI1263=1,Settings!$C$6,Settings!$C$7))*100)</f>
        <v/>
      </c>
      <c r="V1263" s="7">
        <f>IF($C1263="","",R1263*U1263/100)</f>
        <v/>
      </c>
      <c r="W1263" s="7">
        <f>IF($C1263="","",R1263-V1263)</f>
        <v/>
      </c>
      <c r="X1263" s="7">
        <f>IF($C1263="","",W1263-K1263)</f>
        <v/>
      </c>
      <c r="AB1263" s="7" t="n"/>
      <c r="AE1263" s="11" t="n"/>
      <c r="AG1263">
        <f>IF($C1263="","",IF(COUNTIF($C$2:$C1263,$C1263)=1,1,0))</f>
        <v/>
      </c>
      <c r="AH1263">
        <f>IF($AG1263=1,SUMPRODUCT(--($AK$2:$AK$6001&lt;$AK1263))+1,"")</f>
        <v/>
      </c>
      <c r="AI1263">
        <f>IF($C1263="","",IF(OR($N1263=TRUE(),$N1263="TRUE"),1,0))</f>
        <v/>
      </c>
      <c r="AJ1263">
        <f>IF($C1263="","",IF($T1263="Yes",1,0))</f>
        <v/>
      </c>
      <c r="AK1263">
        <f>IF($AG1263=1,IFERROR(IF(VALUE($C1263)&lt;100000000,VALUE($C1263),1000000000),IFERROR(IF(VALUE(MID($C1263,2,20))&lt;100000000,VALUE(MID($C1263,2,20)),1000000000),1000000000))+ROW()/100000,"")</f>
        <v/>
      </c>
    </row>
    <row r="1264">
      <c r="D1264" s="11" t="n"/>
      <c r="K1264" s="7">
        <f>IF($C1264="","",J1264*W1264/100)</f>
        <v/>
      </c>
      <c r="Q1264" s="7" t="n"/>
      <c r="R1264" s="7" t="n"/>
      <c r="U1264">
        <f>IF($C1264="","",IF($AJ1264=1,0,IF($AI1264=1,Settings!$C$6,Settings!$C$7))*100)</f>
        <v/>
      </c>
      <c r="V1264" s="7">
        <f>IF($C1264="","",R1264*U1264/100)</f>
        <v/>
      </c>
      <c r="W1264" s="7">
        <f>IF($C1264="","",R1264-V1264)</f>
        <v/>
      </c>
      <c r="X1264" s="7">
        <f>IF($C1264="","",W1264-K1264)</f>
        <v/>
      </c>
      <c r="AB1264" s="7" t="n"/>
      <c r="AE1264" s="11" t="n"/>
      <c r="AG1264">
        <f>IF($C1264="","",IF(COUNTIF($C$2:$C1264,$C1264)=1,1,0))</f>
        <v/>
      </c>
      <c r="AH1264">
        <f>IF($AG1264=1,SUMPRODUCT(--($AK$2:$AK$6001&lt;$AK1264))+1,"")</f>
        <v/>
      </c>
      <c r="AI1264">
        <f>IF($C1264="","",IF(OR($N1264=TRUE(),$N1264="TRUE"),1,0))</f>
        <v/>
      </c>
      <c r="AJ1264">
        <f>IF($C1264="","",IF($T1264="Yes",1,0))</f>
        <v/>
      </c>
      <c r="AK1264">
        <f>IF($AG1264=1,IFERROR(IF(VALUE($C1264)&lt;100000000,VALUE($C1264),1000000000),IFERROR(IF(VALUE(MID($C1264,2,20))&lt;100000000,VALUE(MID($C1264,2,20)),1000000000),1000000000))+ROW()/100000,"")</f>
        <v/>
      </c>
    </row>
    <row r="1265">
      <c r="D1265" s="11" t="n"/>
      <c r="K1265" s="7">
        <f>IF($C1265="","",J1265*W1265/100)</f>
        <v/>
      </c>
      <c r="Q1265" s="7" t="n"/>
      <c r="R1265" s="7" t="n"/>
      <c r="U1265">
        <f>IF($C1265="","",IF($AJ1265=1,0,IF($AI1265=1,Settings!$C$6,Settings!$C$7))*100)</f>
        <v/>
      </c>
      <c r="V1265" s="7">
        <f>IF($C1265="","",R1265*U1265/100)</f>
        <v/>
      </c>
      <c r="W1265" s="7">
        <f>IF($C1265="","",R1265-V1265)</f>
        <v/>
      </c>
      <c r="X1265" s="7">
        <f>IF($C1265="","",W1265-K1265)</f>
        <v/>
      </c>
      <c r="AB1265" s="7" t="n"/>
      <c r="AE1265" s="11" t="n"/>
      <c r="AG1265">
        <f>IF($C1265="","",IF(COUNTIF($C$2:$C1265,$C1265)=1,1,0))</f>
        <v/>
      </c>
      <c r="AH1265">
        <f>IF($AG1265=1,SUMPRODUCT(--($AK$2:$AK$6001&lt;$AK1265))+1,"")</f>
        <v/>
      </c>
      <c r="AI1265">
        <f>IF($C1265="","",IF(OR($N1265=TRUE(),$N1265="TRUE"),1,0))</f>
        <v/>
      </c>
      <c r="AJ1265">
        <f>IF($C1265="","",IF($T1265="Yes",1,0))</f>
        <v/>
      </c>
      <c r="AK1265">
        <f>IF($AG1265=1,IFERROR(IF(VALUE($C1265)&lt;100000000,VALUE($C1265),1000000000),IFERROR(IF(VALUE(MID($C1265,2,20))&lt;100000000,VALUE(MID($C1265,2,20)),1000000000),1000000000))+ROW()/100000,"")</f>
        <v/>
      </c>
    </row>
    <row r="1266">
      <c r="D1266" s="11" t="n"/>
      <c r="K1266" s="7">
        <f>IF($C1266="","",J1266*W1266/100)</f>
        <v/>
      </c>
      <c r="Q1266" s="7" t="n"/>
      <c r="R1266" s="7" t="n"/>
      <c r="U1266">
        <f>IF($C1266="","",IF($AJ1266=1,0,IF($AI1266=1,Settings!$C$6,Settings!$C$7))*100)</f>
        <v/>
      </c>
      <c r="V1266" s="7">
        <f>IF($C1266="","",R1266*U1266/100)</f>
        <v/>
      </c>
      <c r="W1266" s="7">
        <f>IF($C1266="","",R1266-V1266)</f>
        <v/>
      </c>
      <c r="X1266" s="7">
        <f>IF($C1266="","",W1266-K1266)</f>
        <v/>
      </c>
      <c r="AB1266" s="7" t="n"/>
      <c r="AE1266" s="11" t="n"/>
      <c r="AG1266">
        <f>IF($C1266="","",IF(COUNTIF($C$2:$C1266,$C1266)=1,1,0))</f>
        <v/>
      </c>
      <c r="AH1266">
        <f>IF($AG1266=1,SUMPRODUCT(--($AK$2:$AK$6001&lt;$AK1266))+1,"")</f>
        <v/>
      </c>
      <c r="AI1266">
        <f>IF($C1266="","",IF(OR($N1266=TRUE(),$N1266="TRUE"),1,0))</f>
        <v/>
      </c>
      <c r="AJ1266">
        <f>IF($C1266="","",IF($T1266="Yes",1,0))</f>
        <v/>
      </c>
      <c r="AK1266">
        <f>IF($AG1266=1,IFERROR(IF(VALUE($C1266)&lt;100000000,VALUE($C1266),1000000000),IFERROR(IF(VALUE(MID($C1266,2,20))&lt;100000000,VALUE(MID($C1266,2,20)),1000000000),1000000000))+ROW()/100000,"")</f>
        <v/>
      </c>
    </row>
    <row r="1267">
      <c r="D1267" s="11" t="n"/>
      <c r="K1267" s="7">
        <f>IF($C1267="","",J1267*W1267/100)</f>
        <v/>
      </c>
      <c r="Q1267" s="7" t="n"/>
      <c r="R1267" s="7" t="n"/>
      <c r="U1267">
        <f>IF($C1267="","",IF($AJ1267=1,0,IF($AI1267=1,Settings!$C$6,Settings!$C$7))*100)</f>
        <v/>
      </c>
      <c r="V1267" s="7">
        <f>IF($C1267="","",R1267*U1267/100)</f>
        <v/>
      </c>
      <c r="W1267" s="7">
        <f>IF($C1267="","",R1267-V1267)</f>
        <v/>
      </c>
      <c r="X1267" s="7">
        <f>IF($C1267="","",W1267-K1267)</f>
        <v/>
      </c>
      <c r="AB1267" s="7" t="n"/>
      <c r="AE1267" s="11" t="n"/>
      <c r="AG1267">
        <f>IF($C1267="","",IF(COUNTIF($C$2:$C1267,$C1267)=1,1,0))</f>
        <v/>
      </c>
      <c r="AH1267">
        <f>IF($AG1267=1,SUMPRODUCT(--($AK$2:$AK$6001&lt;$AK1267))+1,"")</f>
        <v/>
      </c>
      <c r="AI1267">
        <f>IF($C1267="","",IF(OR($N1267=TRUE(),$N1267="TRUE"),1,0))</f>
        <v/>
      </c>
      <c r="AJ1267">
        <f>IF($C1267="","",IF($T1267="Yes",1,0))</f>
        <v/>
      </c>
      <c r="AK1267">
        <f>IF($AG1267=1,IFERROR(IF(VALUE($C1267)&lt;100000000,VALUE($C1267),1000000000),IFERROR(IF(VALUE(MID($C1267,2,20))&lt;100000000,VALUE(MID($C1267,2,20)),1000000000),1000000000))+ROW()/100000,"")</f>
        <v/>
      </c>
    </row>
    <row r="1268">
      <c r="D1268" s="11" t="n"/>
      <c r="K1268" s="7">
        <f>IF($C1268="","",J1268*W1268/100)</f>
        <v/>
      </c>
      <c r="Q1268" s="7" t="n"/>
      <c r="R1268" s="7" t="n"/>
      <c r="U1268">
        <f>IF($C1268="","",IF($AJ1268=1,0,IF($AI1268=1,Settings!$C$6,Settings!$C$7))*100)</f>
        <v/>
      </c>
      <c r="V1268" s="7">
        <f>IF($C1268="","",R1268*U1268/100)</f>
        <v/>
      </c>
      <c r="W1268" s="7">
        <f>IF($C1268="","",R1268-V1268)</f>
        <v/>
      </c>
      <c r="X1268" s="7">
        <f>IF($C1268="","",W1268-K1268)</f>
        <v/>
      </c>
      <c r="AB1268" s="7" t="n"/>
      <c r="AE1268" s="11" t="n"/>
      <c r="AG1268">
        <f>IF($C1268="","",IF(COUNTIF($C$2:$C1268,$C1268)=1,1,0))</f>
        <v/>
      </c>
      <c r="AH1268">
        <f>IF($AG1268=1,SUMPRODUCT(--($AK$2:$AK$6001&lt;$AK1268))+1,"")</f>
        <v/>
      </c>
      <c r="AI1268">
        <f>IF($C1268="","",IF(OR($N1268=TRUE(),$N1268="TRUE"),1,0))</f>
        <v/>
      </c>
      <c r="AJ1268">
        <f>IF($C1268="","",IF($T1268="Yes",1,0))</f>
        <v/>
      </c>
      <c r="AK1268">
        <f>IF($AG1268=1,IFERROR(IF(VALUE($C1268)&lt;100000000,VALUE($C1268),1000000000),IFERROR(IF(VALUE(MID($C1268,2,20))&lt;100000000,VALUE(MID($C1268,2,20)),1000000000),1000000000))+ROW()/100000,"")</f>
        <v/>
      </c>
    </row>
    <row r="1269">
      <c r="D1269" s="11" t="n"/>
      <c r="K1269" s="7">
        <f>IF($C1269="","",J1269*W1269/100)</f>
        <v/>
      </c>
      <c r="Q1269" s="7" t="n"/>
      <c r="R1269" s="7" t="n"/>
      <c r="U1269">
        <f>IF($C1269="","",IF($AJ1269=1,0,IF($AI1269=1,Settings!$C$6,Settings!$C$7))*100)</f>
        <v/>
      </c>
      <c r="V1269" s="7">
        <f>IF($C1269="","",R1269*U1269/100)</f>
        <v/>
      </c>
      <c r="W1269" s="7">
        <f>IF($C1269="","",R1269-V1269)</f>
        <v/>
      </c>
      <c r="X1269" s="7">
        <f>IF($C1269="","",W1269-K1269)</f>
        <v/>
      </c>
      <c r="AB1269" s="7" t="n"/>
      <c r="AE1269" s="11" t="n"/>
      <c r="AG1269">
        <f>IF($C1269="","",IF(COUNTIF($C$2:$C1269,$C1269)=1,1,0))</f>
        <v/>
      </c>
      <c r="AH1269">
        <f>IF($AG1269=1,SUMPRODUCT(--($AK$2:$AK$6001&lt;$AK1269))+1,"")</f>
        <v/>
      </c>
      <c r="AI1269">
        <f>IF($C1269="","",IF(OR($N1269=TRUE(),$N1269="TRUE"),1,0))</f>
        <v/>
      </c>
      <c r="AJ1269">
        <f>IF($C1269="","",IF($T1269="Yes",1,0))</f>
        <v/>
      </c>
      <c r="AK1269">
        <f>IF($AG1269=1,IFERROR(IF(VALUE($C1269)&lt;100000000,VALUE($C1269),1000000000),IFERROR(IF(VALUE(MID($C1269,2,20))&lt;100000000,VALUE(MID($C1269,2,20)),1000000000),1000000000))+ROW()/100000,"")</f>
        <v/>
      </c>
    </row>
    <row r="1270">
      <c r="D1270" s="11" t="n"/>
      <c r="K1270" s="7">
        <f>IF($C1270="","",J1270*W1270/100)</f>
        <v/>
      </c>
      <c r="Q1270" s="7" t="n"/>
      <c r="R1270" s="7" t="n"/>
      <c r="U1270">
        <f>IF($C1270="","",IF($AJ1270=1,0,IF($AI1270=1,Settings!$C$6,Settings!$C$7))*100)</f>
        <v/>
      </c>
      <c r="V1270" s="7">
        <f>IF($C1270="","",R1270*U1270/100)</f>
        <v/>
      </c>
      <c r="W1270" s="7">
        <f>IF($C1270="","",R1270-V1270)</f>
        <v/>
      </c>
      <c r="X1270" s="7">
        <f>IF($C1270="","",W1270-K1270)</f>
        <v/>
      </c>
      <c r="AB1270" s="7" t="n"/>
      <c r="AE1270" s="11" t="n"/>
      <c r="AG1270">
        <f>IF($C1270="","",IF(COUNTIF($C$2:$C1270,$C1270)=1,1,0))</f>
        <v/>
      </c>
      <c r="AH1270">
        <f>IF($AG1270=1,SUMPRODUCT(--($AK$2:$AK$6001&lt;$AK1270))+1,"")</f>
        <v/>
      </c>
      <c r="AI1270">
        <f>IF($C1270="","",IF(OR($N1270=TRUE(),$N1270="TRUE"),1,0))</f>
        <v/>
      </c>
      <c r="AJ1270">
        <f>IF($C1270="","",IF($T1270="Yes",1,0))</f>
        <v/>
      </c>
      <c r="AK1270">
        <f>IF($AG1270=1,IFERROR(IF(VALUE($C1270)&lt;100000000,VALUE($C1270),1000000000),IFERROR(IF(VALUE(MID($C1270,2,20))&lt;100000000,VALUE(MID($C1270,2,20)),1000000000),1000000000))+ROW()/100000,"")</f>
        <v/>
      </c>
    </row>
    <row r="1271">
      <c r="D1271" s="11" t="n"/>
      <c r="K1271" s="7">
        <f>IF($C1271="","",J1271*W1271/100)</f>
        <v/>
      </c>
      <c r="Q1271" s="7" t="n"/>
      <c r="R1271" s="7" t="n"/>
      <c r="U1271">
        <f>IF($C1271="","",IF($AJ1271=1,0,IF($AI1271=1,Settings!$C$6,Settings!$C$7))*100)</f>
        <v/>
      </c>
      <c r="V1271" s="7">
        <f>IF($C1271="","",R1271*U1271/100)</f>
        <v/>
      </c>
      <c r="W1271" s="7">
        <f>IF($C1271="","",R1271-V1271)</f>
        <v/>
      </c>
      <c r="X1271" s="7">
        <f>IF($C1271="","",W1271-K1271)</f>
        <v/>
      </c>
      <c r="AB1271" s="7" t="n"/>
      <c r="AE1271" s="11" t="n"/>
      <c r="AG1271">
        <f>IF($C1271="","",IF(COUNTIF($C$2:$C1271,$C1271)=1,1,0))</f>
        <v/>
      </c>
      <c r="AH1271">
        <f>IF($AG1271=1,SUMPRODUCT(--($AK$2:$AK$6001&lt;$AK1271))+1,"")</f>
        <v/>
      </c>
      <c r="AI1271">
        <f>IF($C1271="","",IF(OR($N1271=TRUE(),$N1271="TRUE"),1,0))</f>
        <v/>
      </c>
      <c r="AJ1271">
        <f>IF($C1271="","",IF($T1271="Yes",1,0))</f>
        <v/>
      </c>
      <c r="AK1271">
        <f>IF($AG1271=1,IFERROR(IF(VALUE($C1271)&lt;100000000,VALUE($C1271),1000000000),IFERROR(IF(VALUE(MID($C1271,2,20))&lt;100000000,VALUE(MID($C1271,2,20)),1000000000),1000000000))+ROW()/100000,"")</f>
        <v/>
      </c>
    </row>
    <row r="1272">
      <c r="D1272" s="11" t="n"/>
      <c r="K1272" s="7">
        <f>IF($C1272="","",J1272*W1272/100)</f>
        <v/>
      </c>
      <c r="Q1272" s="7" t="n"/>
      <c r="R1272" s="7" t="n"/>
      <c r="U1272">
        <f>IF($C1272="","",IF($AJ1272=1,0,IF($AI1272=1,Settings!$C$6,Settings!$C$7))*100)</f>
        <v/>
      </c>
      <c r="V1272" s="7">
        <f>IF($C1272="","",R1272*U1272/100)</f>
        <v/>
      </c>
      <c r="W1272" s="7">
        <f>IF($C1272="","",R1272-V1272)</f>
        <v/>
      </c>
      <c r="X1272" s="7">
        <f>IF($C1272="","",W1272-K1272)</f>
        <v/>
      </c>
      <c r="AB1272" s="7" t="n"/>
      <c r="AE1272" s="11" t="n"/>
      <c r="AG1272">
        <f>IF($C1272="","",IF(COUNTIF($C$2:$C1272,$C1272)=1,1,0))</f>
        <v/>
      </c>
      <c r="AH1272">
        <f>IF($AG1272=1,SUMPRODUCT(--($AK$2:$AK$6001&lt;$AK1272))+1,"")</f>
        <v/>
      </c>
      <c r="AI1272">
        <f>IF($C1272="","",IF(OR($N1272=TRUE(),$N1272="TRUE"),1,0))</f>
        <v/>
      </c>
      <c r="AJ1272">
        <f>IF($C1272="","",IF($T1272="Yes",1,0))</f>
        <v/>
      </c>
      <c r="AK1272">
        <f>IF($AG1272=1,IFERROR(IF(VALUE($C1272)&lt;100000000,VALUE($C1272),1000000000),IFERROR(IF(VALUE(MID($C1272,2,20))&lt;100000000,VALUE(MID($C1272,2,20)),1000000000),1000000000))+ROW()/100000,"")</f>
        <v/>
      </c>
    </row>
    <row r="1273">
      <c r="D1273" s="11" t="n"/>
      <c r="K1273" s="7">
        <f>IF($C1273="","",J1273*W1273/100)</f>
        <v/>
      </c>
      <c r="Q1273" s="7" t="n"/>
      <c r="R1273" s="7" t="n"/>
      <c r="U1273">
        <f>IF($C1273="","",IF($AJ1273=1,0,IF($AI1273=1,Settings!$C$6,Settings!$C$7))*100)</f>
        <v/>
      </c>
      <c r="V1273" s="7">
        <f>IF($C1273="","",R1273*U1273/100)</f>
        <v/>
      </c>
      <c r="W1273" s="7">
        <f>IF($C1273="","",R1273-V1273)</f>
        <v/>
      </c>
      <c r="X1273" s="7">
        <f>IF($C1273="","",W1273-K1273)</f>
        <v/>
      </c>
      <c r="AB1273" s="7" t="n"/>
      <c r="AE1273" s="11" t="n"/>
      <c r="AG1273">
        <f>IF($C1273="","",IF(COUNTIF($C$2:$C1273,$C1273)=1,1,0))</f>
        <v/>
      </c>
      <c r="AH1273">
        <f>IF($AG1273=1,SUMPRODUCT(--($AK$2:$AK$6001&lt;$AK1273))+1,"")</f>
        <v/>
      </c>
      <c r="AI1273">
        <f>IF($C1273="","",IF(OR($N1273=TRUE(),$N1273="TRUE"),1,0))</f>
        <v/>
      </c>
      <c r="AJ1273">
        <f>IF($C1273="","",IF($T1273="Yes",1,0))</f>
        <v/>
      </c>
      <c r="AK1273">
        <f>IF($AG1273=1,IFERROR(IF(VALUE($C1273)&lt;100000000,VALUE($C1273),1000000000),IFERROR(IF(VALUE(MID($C1273,2,20))&lt;100000000,VALUE(MID($C1273,2,20)),1000000000),1000000000))+ROW()/100000,"")</f>
        <v/>
      </c>
    </row>
    <row r="1274">
      <c r="D1274" s="11" t="n"/>
      <c r="K1274" s="7">
        <f>IF($C1274="","",J1274*W1274/100)</f>
        <v/>
      </c>
      <c r="Q1274" s="7" t="n"/>
      <c r="R1274" s="7" t="n"/>
      <c r="U1274">
        <f>IF($C1274="","",IF($AJ1274=1,0,IF($AI1274=1,Settings!$C$6,Settings!$C$7))*100)</f>
        <v/>
      </c>
      <c r="V1274" s="7">
        <f>IF($C1274="","",R1274*U1274/100)</f>
        <v/>
      </c>
      <c r="W1274" s="7">
        <f>IF($C1274="","",R1274-V1274)</f>
        <v/>
      </c>
      <c r="X1274" s="7">
        <f>IF($C1274="","",W1274-K1274)</f>
        <v/>
      </c>
      <c r="AB1274" s="7" t="n"/>
      <c r="AE1274" s="11" t="n"/>
      <c r="AG1274">
        <f>IF($C1274="","",IF(COUNTIF($C$2:$C1274,$C1274)=1,1,0))</f>
        <v/>
      </c>
      <c r="AH1274">
        <f>IF($AG1274=1,SUMPRODUCT(--($AK$2:$AK$6001&lt;$AK1274))+1,"")</f>
        <v/>
      </c>
      <c r="AI1274">
        <f>IF($C1274="","",IF(OR($N1274=TRUE(),$N1274="TRUE"),1,0))</f>
        <v/>
      </c>
      <c r="AJ1274">
        <f>IF($C1274="","",IF($T1274="Yes",1,0))</f>
        <v/>
      </c>
      <c r="AK1274">
        <f>IF($AG1274=1,IFERROR(IF(VALUE($C1274)&lt;100000000,VALUE($C1274),1000000000),IFERROR(IF(VALUE(MID($C1274,2,20))&lt;100000000,VALUE(MID($C1274,2,20)),1000000000),1000000000))+ROW()/100000,"")</f>
        <v/>
      </c>
    </row>
    <row r="1275">
      <c r="D1275" s="11" t="n"/>
      <c r="K1275" s="7">
        <f>IF($C1275="","",J1275*W1275/100)</f>
        <v/>
      </c>
      <c r="Q1275" s="7" t="n"/>
      <c r="R1275" s="7" t="n"/>
      <c r="U1275">
        <f>IF($C1275="","",IF($AJ1275=1,0,IF($AI1275=1,Settings!$C$6,Settings!$C$7))*100)</f>
        <v/>
      </c>
      <c r="V1275" s="7">
        <f>IF($C1275="","",R1275*U1275/100)</f>
        <v/>
      </c>
      <c r="W1275" s="7">
        <f>IF($C1275="","",R1275-V1275)</f>
        <v/>
      </c>
      <c r="X1275" s="7">
        <f>IF($C1275="","",W1275-K1275)</f>
        <v/>
      </c>
      <c r="AB1275" s="7" t="n"/>
      <c r="AE1275" s="11" t="n"/>
      <c r="AG1275">
        <f>IF($C1275="","",IF(COUNTIF($C$2:$C1275,$C1275)=1,1,0))</f>
        <v/>
      </c>
      <c r="AH1275">
        <f>IF($AG1275=1,SUMPRODUCT(--($AK$2:$AK$6001&lt;$AK1275))+1,"")</f>
        <v/>
      </c>
      <c r="AI1275">
        <f>IF($C1275="","",IF(OR($N1275=TRUE(),$N1275="TRUE"),1,0))</f>
        <v/>
      </c>
      <c r="AJ1275">
        <f>IF($C1275="","",IF($T1275="Yes",1,0))</f>
        <v/>
      </c>
      <c r="AK1275">
        <f>IF($AG1275=1,IFERROR(IF(VALUE($C1275)&lt;100000000,VALUE($C1275),1000000000),IFERROR(IF(VALUE(MID($C1275,2,20))&lt;100000000,VALUE(MID($C1275,2,20)),1000000000),1000000000))+ROW()/100000,"")</f>
        <v/>
      </c>
    </row>
    <row r="1276">
      <c r="D1276" s="11" t="n"/>
      <c r="K1276" s="7">
        <f>IF($C1276="","",J1276*W1276/100)</f>
        <v/>
      </c>
      <c r="Q1276" s="7" t="n"/>
      <c r="R1276" s="7" t="n"/>
      <c r="U1276">
        <f>IF($C1276="","",IF($AJ1276=1,0,IF($AI1276=1,Settings!$C$6,Settings!$C$7))*100)</f>
        <v/>
      </c>
      <c r="V1276" s="7">
        <f>IF($C1276="","",R1276*U1276/100)</f>
        <v/>
      </c>
      <c r="W1276" s="7">
        <f>IF($C1276="","",R1276-V1276)</f>
        <v/>
      </c>
      <c r="X1276" s="7">
        <f>IF($C1276="","",W1276-K1276)</f>
        <v/>
      </c>
      <c r="AB1276" s="7" t="n"/>
      <c r="AE1276" s="11" t="n"/>
      <c r="AG1276">
        <f>IF($C1276="","",IF(COUNTIF($C$2:$C1276,$C1276)=1,1,0))</f>
        <v/>
      </c>
      <c r="AH1276">
        <f>IF($AG1276=1,SUMPRODUCT(--($AK$2:$AK$6001&lt;$AK1276))+1,"")</f>
        <v/>
      </c>
      <c r="AI1276">
        <f>IF($C1276="","",IF(OR($N1276=TRUE(),$N1276="TRUE"),1,0))</f>
        <v/>
      </c>
      <c r="AJ1276">
        <f>IF($C1276="","",IF($T1276="Yes",1,0))</f>
        <v/>
      </c>
      <c r="AK1276">
        <f>IF($AG1276=1,IFERROR(IF(VALUE($C1276)&lt;100000000,VALUE($C1276),1000000000),IFERROR(IF(VALUE(MID($C1276,2,20))&lt;100000000,VALUE(MID($C1276,2,20)),1000000000),1000000000))+ROW()/100000,"")</f>
        <v/>
      </c>
    </row>
    <row r="1277">
      <c r="D1277" s="11" t="n"/>
      <c r="K1277" s="7">
        <f>IF($C1277="","",J1277*W1277/100)</f>
        <v/>
      </c>
      <c r="Q1277" s="7" t="n"/>
      <c r="R1277" s="7" t="n"/>
      <c r="U1277">
        <f>IF($C1277="","",IF($AJ1277=1,0,IF($AI1277=1,Settings!$C$6,Settings!$C$7))*100)</f>
        <v/>
      </c>
      <c r="V1277" s="7">
        <f>IF($C1277="","",R1277*U1277/100)</f>
        <v/>
      </c>
      <c r="W1277" s="7">
        <f>IF($C1277="","",R1277-V1277)</f>
        <v/>
      </c>
      <c r="X1277" s="7">
        <f>IF($C1277="","",W1277-K1277)</f>
        <v/>
      </c>
      <c r="AB1277" s="7" t="n"/>
      <c r="AE1277" s="11" t="n"/>
      <c r="AG1277">
        <f>IF($C1277="","",IF(COUNTIF($C$2:$C1277,$C1277)=1,1,0))</f>
        <v/>
      </c>
      <c r="AH1277">
        <f>IF($AG1277=1,SUMPRODUCT(--($AK$2:$AK$6001&lt;$AK1277))+1,"")</f>
        <v/>
      </c>
      <c r="AI1277">
        <f>IF($C1277="","",IF(OR($N1277=TRUE(),$N1277="TRUE"),1,0))</f>
        <v/>
      </c>
      <c r="AJ1277">
        <f>IF($C1277="","",IF($T1277="Yes",1,0))</f>
        <v/>
      </c>
      <c r="AK1277">
        <f>IF($AG1277=1,IFERROR(IF(VALUE($C1277)&lt;100000000,VALUE($C1277),1000000000),IFERROR(IF(VALUE(MID($C1277,2,20))&lt;100000000,VALUE(MID($C1277,2,20)),1000000000),1000000000))+ROW()/100000,"")</f>
        <v/>
      </c>
    </row>
    <row r="1278">
      <c r="D1278" s="11" t="n"/>
      <c r="K1278" s="7">
        <f>IF($C1278="","",J1278*W1278/100)</f>
        <v/>
      </c>
      <c r="Q1278" s="7" t="n"/>
      <c r="R1278" s="7" t="n"/>
      <c r="U1278">
        <f>IF($C1278="","",IF($AJ1278=1,0,IF($AI1278=1,Settings!$C$6,Settings!$C$7))*100)</f>
        <v/>
      </c>
      <c r="V1278" s="7">
        <f>IF($C1278="","",R1278*U1278/100)</f>
        <v/>
      </c>
      <c r="W1278" s="7">
        <f>IF($C1278="","",R1278-V1278)</f>
        <v/>
      </c>
      <c r="X1278" s="7">
        <f>IF($C1278="","",W1278-K1278)</f>
        <v/>
      </c>
      <c r="AB1278" s="7" t="n"/>
      <c r="AE1278" s="11" t="n"/>
      <c r="AG1278">
        <f>IF($C1278="","",IF(COUNTIF($C$2:$C1278,$C1278)=1,1,0))</f>
        <v/>
      </c>
      <c r="AH1278">
        <f>IF($AG1278=1,SUMPRODUCT(--($AK$2:$AK$6001&lt;$AK1278))+1,"")</f>
        <v/>
      </c>
      <c r="AI1278">
        <f>IF($C1278="","",IF(OR($N1278=TRUE(),$N1278="TRUE"),1,0))</f>
        <v/>
      </c>
      <c r="AJ1278">
        <f>IF($C1278="","",IF($T1278="Yes",1,0))</f>
        <v/>
      </c>
      <c r="AK1278">
        <f>IF($AG1278=1,IFERROR(IF(VALUE($C1278)&lt;100000000,VALUE($C1278),1000000000),IFERROR(IF(VALUE(MID($C1278,2,20))&lt;100000000,VALUE(MID($C1278,2,20)),1000000000),1000000000))+ROW()/100000,"")</f>
        <v/>
      </c>
    </row>
    <row r="1279">
      <c r="D1279" s="11" t="n"/>
      <c r="K1279" s="7">
        <f>IF($C1279="","",J1279*W1279/100)</f>
        <v/>
      </c>
      <c r="Q1279" s="7" t="n"/>
      <c r="R1279" s="7" t="n"/>
      <c r="U1279">
        <f>IF($C1279="","",IF($AJ1279=1,0,IF($AI1279=1,Settings!$C$6,Settings!$C$7))*100)</f>
        <v/>
      </c>
      <c r="V1279" s="7">
        <f>IF($C1279="","",R1279*U1279/100)</f>
        <v/>
      </c>
      <c r="W1279" s="7">
        <f>IF($C1279="","",R1279-V1279)</f>
        <v/>
      </c>
      <c r="X1279" s="7">
        <f>IF($C1279="","",W1279-K1279)</f>
        <v/>
      </c>
      <c r="AB1279" s="7" t="n"/>
      <c r="AE1279" s="11" t="n"/>
      <c r="AG1279">
        <f>IF($C1279="","",IF(COUNTIF($C$2:$C1279,$C1279)=1,1,0))</f>
        <v/>
      </c>
      <c r="AH1279">
        <f>IF($AG1279=1,SUMPRODUCT(--($AK$2:$AK$6001&lt;$AK1279))+1,"")</f>
        <v/>
      </c>
      <c r="AI1279">
        <f>IF($C1279="","",IF(OR($N1279=TRUE(),$N1279="TRUE"),1,0))</f>
        <v/>
      </c>
      <c r="AJ1279">
        <f>IF($C1279="","",IF($T1279="Yes",1,0))</f>
        <v/>
      </c>
      <c r="AK1279">
        <f>IF($AG1279=1,IFERROR(IF(VALUE($C1279)&lt;100000000,VALUE($C1279),1000000000),IFERROR(IF(VALUE(MID($C1279,2,20))&lt;100000000,VALUE(MID($C1279,2,20)),1000000000),1000000000))+ROW()/100000,"")</f>
        <v/>
      </c>
    </row>
    <row r="1280">
      <c r="D1280" s="11" t="n"/>
      <c r="K1280" s="7">
        <f>IF($C1280="","",J1280*W1280/100)</f>
        <v/>
      </c>
      <c r="Q1280" s="7" t="n"/>
      <c r="R1280" s="7" t="n"/>
      <c r="U1280">
        <f>IF($C1280="","",IF($AJ1280=1,0,IF($AI1280=1,Settings!$C$6,Settings!$C$7))*100)</f>
        <v/>
      </c>
      <c r="V1280" s="7">
        <f>IF($C1280="","",R1280*U1280/100)</f>
        <v/>
      </c>
      <c r="W1280" s="7">
        <f>IF($C1280="","",R1280-V1280)</f>
        <v/>
      </c>
      <c r="X1280" s="7">
        <f>IF($C1280="","",W1280-K1280)</f>
        <v/>
      </c>
      <c r="AB1280" s="7" t="n"/>
      <c r="AE1280" s="11" t="n"/>
      <c r="AG1280">
        <f>IF($C1280="","",IF(COUNTIF($C$2:$C1280,$C1280)=1,1,0))</f>
        <v/>
      </c>
      <c r="AH1280">
        <f>IF($AG1280=1,SUMPRODUCT(--($AK$2:$AK$6001&lt;$AK1280))+1,"")</f>
        <v/>
      </c>
      <c r="AI1280">
        <f>IF($C1280="","",IF(OR($N1280=TRUE(),$N1280="TRUE"),1,0))</f>
        <v/>
      </c>
      <c r="AJ1280">
        <f>IF($C1280="","",IF($T1280="Yes",1,0))</f>
        <v/>
      </c>
      <c r="AK1280">
        <f>IF($AG1280=1,IFERROR(IF(VALUE($C1280)&lt;100000000,VALUE($C1280),1000000000),IFERROR(IF(VALUE(MID($C1280,2,20))&lt;100000000,VALUE(MID($C1280,2,20)),1000000000),1000000000))+ROW()/100000,"")</f>
        <v/>
      </c>
    </row>
    <row r="1281">
      <c r="D1281" s="11" t="n"/>
      <c r="K1281" s="7">
        <f>IF($C1281="","",J1281*W1281/100)</f>
        <v/>
      </c>
      <c r="Q1281" s="7" t="n"/>
      <c r="R1281" s="7" t="n"/>
      <c r="U1281">
        <f>IF($C1281="","",IF($AJ1281=1,0,IF($AI1281=1,Settings!$C$6,Settings!$C$7))*100)</f>
        <v/>
      </c>
      <c r="V1281" s="7">
        <f>IF($C1281="","",R1281*U1281/100)</f>
        <v/>
      </c>
      <c r="W1281" s="7">
        <f>IF($C1281="","",R1281-V1281)</f>
        <v/>
      </c>
      <c r="X1281" s="7">
        <f>IF($C1281="","",W1281-K1281)</f>
        <v/>
      </c>
      <c r="AB1281" s="7" t="n"/>
      <c r="AE1281" s="11" t="n"/>
      <c r="AG1281">
        <f>IF($C1281="","",IF(COUNTIF($C$2:$C1281,$C1281)=1,1,0))</f>
        <v/>
      </c>
      <c r="AH1281">
        <f>IF($AG1281=1,SUMPRODUCT(--($AK$2:$AK$6001&lt;$AK1281))+1,"")</f>
        <v/>
      </c>
      <c r="AI1281">
        <f>IF($C1281="","",IF(OR($N1281=TRUE(),$N1281="TRUE"),1,0))</f>
        <v/>
      </c>
      <c r="AJ1281">
        <f>IF($C1281="","",IF($T1281="Yes",1,0))</f>
        <v/>
      </c>
      <c r="AK1281">
        <f>IF($AG1281=1,IFERROR(IF(VALUE($C1281)&lt;100000000,VALUE($C1281),1000000000),IFERROR(IF(VALUE(MID($C1281,2,20))&lt;100000000,VALUE(MID($C1281,2,20)),1000000000),1000000000))+ROW()/100000,"")</f>
        <v/>
      </c>
    </row>
    <row r="1282">
      <c r="D1282" s="11" t="n"/>
      <c r="K1282" s="7">
        <f>IF($C1282="","",J1282*W1282/100)</f>
        <v/>
      </c>
      <c r="Q1282" s="7" t="n"/>
      <c r="R1282" s="7" t="n"/>
      <c r="U1282">
        <f>IF($C1282="","",IF($AJ1282=1,0,IF($AI1282=1,Settings!$C$6,Settings!$C$7))*100)</f>
        <v/>
      </c>
      <c r="V1282" s="7">
        <f>IF($C1282="","",R1282*U1282/100)</f>
        <v/>
      </c>
      <c r="W1282" s="7">
        <f>IF($C1282="","",R1282-V1282)</f>
        <v/>
      </c>
      <c r="X1282" s="7">
        <f>IF($C1282="","",W1282-K1282)</f>
        <v/>
      </c>
      <c r="AB1282" s="7" t="n"/>
      <c r="AE1282" s="11" t="n"/>
      <c r="AG1282">
        <f>IF($C1282="","",IF(COUNTIF($C$2:$C1282,$C1282)=1,1,0))</f>
        <v/>
      </c>
      <c r="AH1282">
        <f>IF($AG1282=1,SUMPRODUCT(--($AK$2:$AK$6001&lt;$AK1282))+1,"")</f>
        <v/>
      </c>
      <c r="AI1282">
        <f>IF($C1282="","",IF(OR($N1282=TRUE(),$N1282="TRUE"),1,0))</f>
        <v/>
      </c>
      <c r="AJ1282">
        <f>IF($C1282="","",IF($T1282="Yes",1,0))</f>
        <v/>
      </c>
      <c r="AK1282">
        <f>IF($AG1282=1,IFERROR(IF(VALUE($C1282)&lt;100000000,VALUE($C1282),1000000000),IFERROR(IF(VALUE(MID($C1282,2,20))&lt;100000000,VALUE(MID($C1282,2,20)),1000000000),1000000000))+ROW()/100000,"")</f>
        <v/>
      </c>
    </row>
    <row r="1283">
      <c r="D1283" s="11" t="n"/>
      <c r="K1283" s="7">
        <f>IF($C1283="","",J1283*W1283/100)</f>
        <v/>
      </c>
      <c r="Q1283" s="7" t="n"/>
      <c r="R1283" s="7" t="n"/>
      <c r="U1283">
        <f>IF($C1283="","",IF($AJ1283=1,0,IF($AI1283=1,Settings!$C$6,Settings!$C$7))*100)</f>
        <v/>
      </c>
      <c r="V1283" s="7">
        <f>IF($C1283="","",R1283*U1283/100)</f>
        <v/>
      </c>
      <c r="W1283" s="7">
        <f>IF($C1283="","",R1283-V1283)</f>
        <v/>
      </c>
      <c r="X1283" s="7">
        <f>IF($C1283="","",W1283-K1283)</f>
        <v/>
      </c>
      <c r="AB1283" s="7" t="n"/>
      <c r="AE1283" s="11" t="n"/>
      <c r="AG1283">
        <f>IF($C1283="","",IF(COUNTIF($C$2:$C1283,$C1283)=1,1,0))</f>
        <v/>
      </c>
      <c r="AH1283">
        <f>IF($AG1283=1,SUMPRODUCT(--($AK$2:$AK$6001&lt;$AK1283))+1,"")</f>
        <v/>
      </c>
      <c r="AI1283">
        <f>IF($C1283="","",IF(OR($N1283=TRUE(),$N1283="TRUE"),1,0))</f>
        <v/>
      </c>
      <c r="AJ1283">
        <f>IF($C1283="","",IF($T1283="Yes",1,0))</f>
        <v/>
      </c>
      <c r="AK1283">
        <f>IF($AG1283=1,IFERROR(IF(VALUE($C1283)&lt;100000000,VALUE($C1283),1000000000),IFERROR(IF(VALUE(MID($C1283,2,20))&lt;100000000,VALUE(MID($C1283,2,20)),1000000000),1000000000))+ROW()/100000,"")</f>
        <v/>
      </c>
    </row>
    <row r="1284">
      <c r="D1284" s="11" t="n"/>
      <c r="K1284" s="7">
        <f>IF($C1284="","",J1284*W1284/100)</f>
        <v/>
      </c>
      <c r="Q1284" s="7" t="n"/>
      <c r="R1284" s="7" t="n"/>
      <c r="U1284">
        <f>IF($C1284="","",IF($AJ1284=1,0,IF($AI1284=1,Settings!$C$6,Settings!$C$7))*100)</f>
        <v/>
      </c>
      <c r="V1284" s="7">
        <f>IF($C1284="","",R1284*U1284/100)</f>
        <v/>
      </c>
      <c r="W1284" s="7">
        <f>IF($C1284="","",R1284-V1284)</f>
        <v/>
      </c>
      <c r="X1284" s="7">
        <f>IF($C1284="","",W1284-K1284)</f>
        <v/>
      </c>
      <c r="AB1284" s="7" t="n"/>
      <c r="AE1284" s="11" t="n"/>
      <c r="AG1284">
        <f>IF($C1284="","",IF(COUNTIF($C$2:$C1284,$C1284)=1,1,0))</f>
        <v/>
      </c>
      <c r="AH1284">
        <f>IF($AG1284=1,SUMPRODUCT(--($AK$2:$AK$6001&lt;$AK1284))+1,"")</f>
        <v/>
      </c>
      <c r="AI1284">
        <f>IF($C1284="","",IF(OR($N1284=TRUE(),$N1284="TRUE"),1,0))</f>
        <v/>
      </c>
      <c r="AJ1284">
        <f>IF($C1284="","",IF($T1284="Yes",1,0))</f>
        <v/>
      </c>
      <c r="AK1284">
        <f>IF($AG1284=1,IFERROR(IF(VALUE($C1284)&lt;100000000,VALUE($C1284),1000000000),IFERROR(IF(VALUE(MID($C1284,2,20))&lt;100000000,VALUE(MID($C1284,2,20)),1000000000),1000000000))+ROW()/100000,"")</f>
        <v/>
      </c>
    </row>
    <row r="1285">
      <c r="D1285" s="11" t="n"/>
      <c r="K1285" s="7">
        <f>IF($C1285="","",J1285*W1285/100)</f>
        <v/>
      </c>
      <c r="Q1285" s="7" t="n"/>
      <c r="R1285" s="7" t="n"/>
      <c r="U1285">
        <f>IF($C1285="","",IF($AJ1285=1,0,IF($AI1285=1,Settings!$C$6,Settings!$C$7))*100)</f>
        <v/>
      </c>
      <c r="V1285" s="7">
        <f>IF($C1285="","",R1285*U1285/100)</f>
        <v/>
      </c>
      <c r="W1285" s="7">
        <f>IF($C1285="","",R1285-V1285)</f>
        <v/>
      </c>
      <c r="X1285" s="7">
        <f>IF($C1285="","",W1285-K1285)</f>
        <v/>
      </c>
      <c r="AB1285" s="7" t="n"/>
      <c r="AE1285" s="11" t="n"/>
      <c r="AG1285">
        <f>IF($C1285="","",IF(COUNTIF($C$2:$C1285,$C1285)=1,1,0))</f>
        <v/>
      </c>
      <c r="AH1285">
        <f>IF($AG1285=1,SUMPRODUCT(--($AK$2:$AK$6001&lt;$AK1285))+1,"")</f>
        <v/>
      </c>
      <c r="AI1285">
        <f>IF($C1285="","",IF(OR($N1285=TRUE(),$N1285="TRUE"),1,0))</f>
        <v/>
      </c>
      <c r="AJ1285">
        <f>IF($C1285="","",IF($T1285="Yes",1,0))</f>
        <v/>
      </c>
      <c r="AK1285">
        <f>IF($AG1285=1,IFERROR(IF(VALUE($C1285)&lt;100000000,VALUE($C1285),1000000000),IFERROR(IF(VALUE(MID($C1285,2,20))&lt;100000000,VALUE(MID($C1285,2,20)),1000000000),1000000000))+ROW()/100000,"")</f>
        <v/>
      </c>
    </row>
    <row r="1286">
      <c r="D1286" s="11" t="n"/>
      <c r="K1286" s="7">
        <f>IF($C1286="","",J1286*W1286/100)</f>
        <v/>
      </c>
      <c r="Q1286" s="7" t="n"/>
      <c r="R1286" s="7" t="n"/>
      <c r="U1286">
        <f>IF($C1286="","",IF($AJ1286=1,0,IF($AI1286=1,Settings!$C$6,Settings!$C$7))*100)</f>
        <v/>
      </c>
      <c r="V1286" s="7">
        <f>IF($C1286="","",R1286*U1286/100)</f>
        <v/>
      </c>
      <c r="W1286" s="7">
        <f>IF($C1286="","",R1286-V1286)</f>
        <v/>
      </c>
      <c r="X1286" s="7">
        <f>IF($C1286="","",W1286-K1286)</f>
        <v/>
      </c>
      <c r="AB1286" s="7" t="n"/>
      <c r="AE1286" s="11" t="n"/>
      <c r="AG1286">
        <f>IF($C1286="","",IF(COUNTIF($C$2:$C1286,$C1286)=1,1,0))</f>
        <v/>
      </c>
      <c r="AH1286">
        <f>IF($AG1286=1,SUMPRODUCT(--($AK$2:$AK$6001&lt;$AK1286))+1,"")</f>
        <v/>
      </c>
      <c r="AI1286">
        <f>IF($C1286="","",IF(OR($N1286=TRUE(),$N1286="TRUE"),1,0))</f>
        <v/>
      </c>
      <c r="AJ1286">
        <f>IF($C1286="","",IF($T1286="Yes",1,0))</f>
        <v/>
      </c>
      <c r="AK1286">
        <f>IF($AG1286=1,IFERROR(IF(VALUE($C1286)&lt;100000000,VALUE($C1286),1000000000),IFERROR(IF(VALUE(MID($C1286,2,20))&lt;100000000,VALUE(MID($C1286,2,20)),1000000000),1000000000))+ROW()/100000,"")</f>
        <v/>
      </c>
    </row>
    <row r="1287">
      <c r="D1287" s="11" t="n"/>
      <c r="K1287" s="7">
        <f>IF($C1287="","",J1287*W1287/100)</f>
        <v/>
      </c>
      <c r="Q1287" s="7" t="n"/>
      <c r="R1287" s="7" t="n"/>
      <c r="U1287">
        <f>IF($C1287="","",IF($AJ1287=1,0,IF($AI1287=1,Settings!$C$6,Settings!$C$7))*100)</f>
        <v/>
      </c>
      <c r="V1287" s="7">
        <f>IF($C1287="","",R1287*U1287/100)</f>
        <v/>
      </c>
      <c r="W1287" s="7">
        <f>IF($C1287="","",R1287-V1287)</f>
        <v/>
      </c>
      <c r="X1287" s="7">
        <f>IF($C1287="","",W1287-K1287)</f>
        <v/>
      </c>
      <c r="AB1287" s="7" t="n"/>
      <c r="AE1287" s="11" t="n"/>
      <c r="AG1287">
        <f>IF($C1287="","",IF(COUNTIF($C$2:$C1287,$C1287)=1,1,0))</f>
        <v/>
      </c>
      <c r="AH1287">
        <f>IF($AG1287=1,SUMPRODUCT(--($AK$2:$AK$6001&lt;$AK1287))+1,"")</f>
        <v/>
      </c>
      <c r="AI1287">
        <f>IF($C1287="","",IF(OR($N1287=TRUE(),$N1287="TRUE"),1,0))</f>
        <v/>
      </c>
      <c r="AJ1287">
        <f>IF($C1287="","",IF($T1287="Yes",1,0))</f>
        <v/>
      </c>
      <c r="AK1287">
        <f>IF($AG1287=1,IFERROR(IF(VALUE($C1287)&lt;100000000,VALUE($C1287),1000000000),IFERROR(IF(VALUE(MID($C1287,2,20))&lt;100000000,VALUE(MID($C1287,2,20)),1000000000),1000000000))+ROW()/100000,"")</f>
        <v/>
      </c>
    </row>
    <row r="1288">
      <c r="D1288" s="11" t="n"/>
      <c r="K1288" s="7">
        <f>IF($C1288="","",J1288*W1288/100)</f>
        <v/>
      </c>
      <c r="Q1288" s="7" t="n"/>
      <c r="R1288" s="7" t="n"/>
      <c r="U1288">
        <f>IF($C1288="","",IF($AJ1288=1,0,IF($AI1288=1,Settings!$C$6,Settings!$C$7))*100)</f>
        <v/>
      </c>
      <c r="V1288" s="7">
        <f>IF($C1288="","",R1288*U1288/100)</f>
        <v/>
      </c>
      <c r="W1288" s="7">
        <f>IF($C1288="","",R1288-V1288)</f>
        <v/>
      </c>
      <c r="X1288" s="7">
        <f>IF($C1288="","",W1288-K1288)</f>
        <v/>
      </c>
      <c r="AB1288" s="7" t="n"/>
      <c r="AE1288" s="11" t="n"/>
      <c r="AG1288">
        <f>IF($C1288="","",IF(COUNTIF($C$2:$C1288,$C1288)=1,1,0))</f>
        <v/>
      </c>
      <c r="AH1288">
        <f>IF($AG1288=1,SUMPRODUCT(--($AK$2:$AK$6001&lt;$AK1288))+1,"")</f>
        <v/>
      </c>
      <c r="AI1288">
        <f>IF($C1288="","",IF(OR($N1288=TRUE(),$N1288="TRUE"),1,0))</f>
        <v/>
      </c>
      <c r="AJ1288">
        <f>IF($C1288="","",IF($T1288="Yes",1,0))</f>
        <v/>
      </c>
      <c r="AK1288">
        <f>IF($AG1288=1,IFERROR(IF(VALUE($C1288)&lt;100000000,VALUE($C1288),1000000000),IFERROR(IF(VALUE(MID($C1288,2,20))&lt;100000000,VALUE(MID($C1288,2,20)),1000000000),1000000000))+ROW()/100000,"")</f>
        <v/>
      </c>
    </row>
    <row r="1289">
      <c r="D1289" s="11" t="n"/>
      <c r="K1289" s="7">
        <f>IF($C1289="","",J1289*W1289/100)</f>
        <v/>
      </c>
      <c r="Q1289" s="7" t="n"/>
      <c r="R1289" s="7" t="n"/>
      <c r="U1289">
        <f>IF($C1289="","",IF($AJ1289=1,0,IF($AI1289=1,Settings!$C$6,Settings!$C$7))*100)</f>
        <v/>
      </c>
      <c r="V1289" s="7">
        <f>IF($C1289="","",R1289*U1289/100)</f>
        <v/>
      </c>
      <c r="W1289" s="7">
        <f>IF($C1289="","",R1289-V1289)</f>
        <v/>
      </c>
      <c r="X1289" s="7">
        <f>IF($C1289="","",W1289-K1289)</f>
        <v/>
      </c>
      <c r="AB1289" s="7" t="n"/>
      <c r="AE1289" s="11" t="n"/>
      <c r="AG1289">
        <f>IF($C1289="","",IF(COUNTIF($C$2:$C1289,$C1289)=1,1,0))</f>
        <v/>
      </c>
      <c r="AH1289">
        <f>IF($AG1289=1,SUMPRODUCT(--($AK$2:$AK$6001&lt;$AK1289))+1,"")</f>
        <v/>
      </c>
      <c r="AI1289">
        <f>IF($C1289="","",IF(OR($N1289=TRUE(),$N1289="TRUE"),1,0))</f>
        <v/>
      </c>
      <c r="AJ1289">
        <f>IF($C1289="","",IF($T1289="Yes",1,0))</f>
        <v/>
      </c>
      <c r="AK1289">
        <f>IF($AG1289=1,IFERROR(IF(VALUE($C1289)&lt;100000000,VALUE($C1289),1000000000),IFERROR(IF(VALUE(MID($C1289,2,20))&lt;100000000,VALUE(MID($C1289,2,20)),1000000000),1000000000))+ROW()/100000,"")</f>
        <v/>
      </c>
    </row>
    <row r="1290">
      <c r="D1290" s="11" t="n"/>
      <c r="K1290" s="7">
        <f>IF($C1290="","",J1290*W1290/100)</f>
        <v/>
      </c>
      <c r="Q1290" s="7" t="n"/>
      <c r="R1290" s="7" t="n"/>
      <c r="U1290">
        <f>IF($C1290="","",IF($AJ1290=1,0,IF($AI1290=1,Settings!$C$6,Settings!$C$7))*100)</f>
        <v/>
      </c>
      <c r="V1290" s="7">
        <f>IF($C1290="","",R1290*U1290/100)</f>
        <v/>
      </c>
      <c r="W1290" s="7">
        <f>IF($C1290="","",R1290-V1290)</f>
        <v/>
      </c>
      <c r="X1290" s="7">
        <f>IF($C1290="","",W1290-K1290)</f>
        <v/>
      </c>
      <c r="AB1290" s="7" t="n"/>
      <c r="AE1290" s="11" t="n"/>
      <c r="AG1290">
        <f>IF($C1290="","",IF(COUNTIF($C$2:$C1290,$C1290)=1,1,0))</f>
        <v/>
      </c>
      <c r="AH1290">
        <f>IF($AG1290=1,SUMPRODUCT(--($AK$2:$AK$6001&lt;$AK1290))+1,"")</f>
        <v/>
      </c>
      <c r="AI1290">
        <f>IF($C1290="","",IF(OR($N1290=TRUE(),$N1290="TRUE"),1,0))</f>
        <v/>
      </c>
      <c r="AJ1290">
        <f>IF($C1290="","",IF($T1290="Yes",1,0))</f>
        <v/>
      </c>
      <c r="AK1290">
        <f>IF($AG1290=1,IFERROR(IF(VALUE($C1290)&lt;100000000,VALUE($C1290),1000000000),IFERROR(IF(VALUE(MID($C1290,2,20))&lt;100000000,VALUE(MID($C1290,2,20)),1000000000),1000000000))+ROW()/100000,"")</f>
        <v/>
      </c>
    </row>
    <row r="1291">
      <c r="D1291" s="11" t="n"/>
      <c r="K1291" s="7">
        <f>IF($C1291="","",J1291*W1291/100)</f>
        <v/>
      </c>
      <c r="Q1291" s="7" t="n"/>
      <c r="R1291" s="7" t="n"/>
      <c r="U1291">
        <f>IF($C1291="","",IF($AJ1291=1,0,IF($AI1291=1,Settings!$C$6,Settings!$C$7))*100)</f>
        <v/>
      </c>
      <c r="V1291" s="7">
        <f>IF($C1291="","",R1291*U1291/100)</f>
        <v/>
      </c>
      <c r="W1291" s="7">
        <f>IF($C1291="","",R1291-V1291)</f>
        <v/>
      </c>
      <c r="X1291" s="7">
        <f>IF($C1291="","",W1291-K1291)</f>
        <v/>
      </c>
      <c r="AB1291" s="7" t="n"/>
      <c r="AE1291" s="11" t="n"/>
      <c r="AG1291">
        <f>IF($C1291="","",IF(COUNTIF($C$2:$C1291,$C1291)=1,1,0))</f>
        <v/>
      </c>
      <c r="AH1291">
        <f>IF($AG1291=1,SUMPRODUCT(--($AK$2:$AK$6001&lt;$AK1291))+1,"")</f>
        <v/>
      </c>
      <c r="AI1291">
        <f>IF($C1291="","",IF(OR($N1291=TRUE(),$N1291="TRUE"),1,0))</f>
        <v/>
      </c>
      <c r="AJ1291">
        <f>IF($C1291="","",IF($T1291="Yes",1,0))</f>
        <v/>
      </c>
      <c r="AK1291">
        <f>IF($AG1291=1,IFERROR(IF(VALUE($C1291)&lt;100000000,VALUE($C1291),1000000000),IFERROR(IF(VALUE(MID($C1291,2,20))&lt;100000000,VALUE(MID($C1291,2,20)),1000000000),1000000000))+ROW()/100000,"")</f>
        <v/>
      </c>
    </row>
    <row r="1292">
      <c r="D1292" s="11" t="n"/>
      <c r="K1292" s="7">
        <f>IF($C1292="","",J1292*W1292/100)</f>
        <v/>
      </c>
      <c r="Q1292" s="7" t="n"/>
      <c r="R1292" s="7" t="n"/>
      <c r="U1292">
        <f>IF($C1292="","",IF($AJ1292=1,0,IF($AI1292=1,Settings!$C$6,Settings!$C$7))*100)</f>
        <v/>
      </c>
      <c r="V1292" s="7">
        <f>IF($C1292="","",R1292*U1292/100)</f>
        <v/>
      </c>
      <c r="W1292" s="7">
        <f>IF($C1292="","",R1292-V1292)</f>
        <v/>
      </c>
      <c r="X1292" s="7">
        <f>IF($C1292="","",W1292-K1292)</f>
        <v/>
      </c>
      <c r="AB1292" s="7" t="n"/>
      <c r="AE1292" s="11" t="n"/>
      <c r="AG1292">
        <f>IF($C1292="","",IF(COUNTIF($C$2:$C1292,$C1292)=1,1,0))</f>
        <v/>
      </c>
      <c r="AH1292">
        <f>IF($AG1292=1,SUMPRODUCT(--($AK$2:$AK$6001&lt;$AK1292))+1,"")</f>
        <v/>
      </c>
      <c r="AI1292">
        <f>IF($C1292="","",IF(OR($N1292=TRUE(),$N1292="TRUE"),1,0))</f>
        <v/>
      </c>
      <c r="AJ1292">
        <f>IF($C1292="","",IF($T1292="Yes",1,0))</f>
        <v/>
      </c>
      <c r="AK1292">
        <f>IF($AG1292=1,IFERROR(IF(VALUE($C1292)&lt;100000000,VALUE($C1292),1000000000),IFERROR(IF(VALUE(MID($C1292,2,20))&lt;100000000,VALUE(MID($C1292,2,20)),1000000000),1000000000))+ROW()/100000,"")</f>
        <v/>
      </c>
    </row>
    <row r="1293">
      <c r="D1293" s="11" t="n"/>
      <c r="K1293" s="7">
        <f>IF($C1293="","",J1293*W1293/100)</f>
        <v/>
      </c>
      <c r="Q1293" s="7" t="n"/>
      <c r="R1293" s="7" t="n"/>
      <c r="U1293">
        <f>IF($C1293="","",IF($AJ1293=1,0,IF($AI1293=1,Settings!$C$6,Settings!$C$7))*100)</f>
        <v/>
      </c>
      <c r="V1293" s="7">
        <f>IF($C1293="","",R1293*U1293/100)</f>
        <v/>
      </c>
      <c r="W1293" s="7">
        <f>IF($C1293="","",R1293-V1293)</f>
        <v/>
      </c>
      <c r="X1293" s="7">
        <f>IF($C1293="","",W1293-K1293)</f>
        <v/>
      </c>
      <c r="AB1293" s="7" t="n"/>
      <c r="AE1293" s="11" t="n"/>
      <c r="AG1293">
        <f>IF($C1293="","",IF(COUNTIF($C$2:$C1293,$C1293)=1,1,0))</f>
        <v/>
      </c>
      <c r="AH1293">
        <f>IF($AG1293=1,SUMPRODUCT(--($AK$2:$AK$6001&lt;$AK1293))+1,"")</f>
        <v/>
      </c>
      <c r="AI1293">
        <f>IF($C1293="","",IF(OR($N1293=TRUE(),$N1293="TRUE"),1,0))</f>
        <v/>
      </c>
      <c r="AJ1293">
        <f>IF($C1293="","",IF($T1293="Yes",1,0))</f>
        <v/>
      </c>
      <c r="AK1293">
        <f>IF($AG1293=1,IFERROR(IF(VALUE($C1293)&lt;100000000,VALUE($C1293),1000000000),IFERROR(IF(VALUE(MID($C1293,2,20))&lt;100000000,VALUE(MID($C1293,2,20)),1000000000),1000000000))+ROW()/100000,"")</f>
        <v/>
      </c>
    </row>
    <row r="1294">
      <c r="D1294" s="11" t="n"/>
      <c r="K1294" s="7">
        <f>IF($C1294="","",J1294*W1294/100)</f>
        <v/>
      </c>
      <c r="Q1294" s="7" t="n"/>
      <c r="R1294" s="7" t="n"/>
      <c r="U1294">
        <f>IF($C1294="","",IF($AJ1294=1,0,IF($AI1294=1,Settings!$C$6,Settings!$C$7))*100)</f>
        <v/>
      </c>
      <c r="V1294" s="7">
        <f>IF($C1294="","",R1294*U1294/100)</f>
        <v/>
      </c>
      <c r="W1294" s="7">
        <f>IF($C1294="","",R1294-V1294)</f>
        <v/>
      </c>
      <c r="X1294" s="7">
        <f>IF($C1294="","",W1294-K1294)</f>
        <v/>
      </c>
      <c r="AB1294" s="7" t="n"/>
      <c r="AE1294" s="11" t="n"/>
      <c r="AG1294">
        <f>IF($C1294="","",IF(COUNTIF($C$2:$C1294,$C1294)=1,1,0))</f>
        <v/>
      </c>
      <c r="AH1294">
        <f>IF($AG1294=1,SUMPRODUCT(--($AK$2:$AK$6001&lt;$AK1294))+1,"")</f>
        <v/>
      </c>
      <c r="AI1294">
        <f>IF($C1294="","",IF(OR($N1294=TRUE(),$N1294="TRUE"),1,0))</f>
        <v/>
      </c>
      <c r="AJ1294">
        <f>IF($C1294="","",IF($T1294="Yes",1,0))</f>
        <v/>
      </c>
      <c r="AK1294">
        <f>IF($AG1294=1,IFERROR(IF(VALUE($C1294)&lt;100000000,VALUE($C1294),1000000000),IFERROR(IF(VALUE(MID($C1294,2,20))&lt;100000000,VALUE(MID($C1294,2,20)),1000000000),1000000000))+ROW()/100000,"")</f>
        <v/>
      </c>
    </row>
    <row r="1295">
      <c r="D1295" s="11" t="n"/>
      <c r="K1295" s="7">
        <f>IF($C1295="","",J1295*W1295/100)</f>
        <v/>
      </c>
      <c r="Q1295" s="7" t="n"/>
      <c r="R1295" s="7" t="n"/>
      <c r="U1295">
        <f>IF($C1295="","",IF($AJ1295=1,0,IF($AI1295=1,Settings!$C$6,Settings!$C$7))*100)</f>
        <v/>
      </c>
      <c r="V1295" s="7">
        <f>IF($C1295="","",R1295*U1295/100)</f>
        <v/>
      </c>
      <c r="W1295" s="7">
        <f>IF($C1295="","",R1295-V1295)</f>
        <v/>
      </c>
      <c r="X1295" s="7">
        <f>IF($C1295="","",W1295-K1295)</f>
        <v/>
      </c>
      <c r="AB1295" s="7" t="n"/>
      <c r="AE1295" s="11" t="n"/>
      <c r="AG1295">
        <f>IF($C1295="","",IF(COUNTIF($C$2:$C1295,$C1295)=1,1,0))</f>
        <v/>
      </c>
      <c r="AH1295">
        <f>IF($AG1295=1,SUMPRODUCT(--($AK$2:$AK$6001&lt;$AK1295))+1,"")</f>
        <v/>
      </c>
      <c r="AI1295">
        <f>IF($C1295="","",IF(OR($N1295=TRUE(),$N1295="TRUE"),1,0))</f>
        <v/>
      </c>
      <c r="AJ1295">
        <f>IF($C1295="","",IF($T1295="Yes",1,0))</f>
        <v/>
      </c>
      <c r="AK1295">
        <f>IF($AG1295=1,IFERROR(IF(VALUE($C1295)&lt;100000000,VALUE($C1295),1000000000),IFERROR(IF(VALUE(MID($C1295,2,20))&lt;100000000,VALUE(MID($C1295,2,20)),1000000000),1000000000))+ROW()/100000,"")</f>
        <v/>
      </c>
    </row>
    <row r="1296">
      <c r="D1296" s="11" t="n"/>
      <c r="K1296" s="7">
        <f>IF($C1296="","",J1296*W1296/100)</f>
        <v/>
      </c>
      <c r="Q1296" s="7" t="n"/>
      <c r="R1296" s="7" t="n"/>
      <c r="U1296">
        <f>IF($C1296="","",IF($AJ1296=1,0,IF($AI1296=1,Settings!$C$6,Settings!$C$7))*100)</f>
        <v/>
      </c>
      <c r="V1296" s="7">
        <f>IF($C1296="","",R1296*U1296/100)</f>
        <v/>
      </c>
      <c r="W1296" s="7">
        <f>IF($C1296="","",R1296-V1296)</f>
        <v/>
      </c>
      <c r="X1296" s="7">
        <f>IF($C1296="","",W1296-K1296)</f>
        <v/>
      </c>
      <c r="AB1296" s="7" t="n"/>
      <c r="AE1296" s="11" t="n"/>
      <c r="AG1296">
        <f>IF($C1296="","",IF(COUNTIF($C$2:$C1296,$C1296)=1,1,0))</f>
        <v/>
      </c>
      <c r="AH1296">
        <f>IF($AG1296=1,SUMPRODUCT(--($AK$2:$AK$6001&lt;$AK1296))+1,"")</f>
        <v/>
      </c>
      <c r="AI1296">
        <f>IF($C1296="","",IF(OR($N1296=TRUE(),$N1296="TRUE"),1,0))</f>
        <v/>
      </c>
      <c r="AJ1296">
        <f>IF($C1296="","",IF($T1296="Yes",1,0))</f>
        <v/>
      </c>
      <c r="AK1296">
        <f>IF($AG1296=1,IFERROR(IF(VALUE($C1296)&lt;100000000,VALUE($C1296),1000000000),IFERROR(IF(VALUE(MID($C1296,2,20))&lt;100000000,VALUE(MID($C1296,2,20)),1000000000),1000000000))+ROW()/100000,"")</f>
        <v/>
      </c>
    </row>
    <row r="1297">
      <c r="D1297" s="11" t="n"/>
      <c r="K1297" s="7">
        <f>IF($C1297="","",J1297*W1297/100)</f>
        <v/>
      </c>
      <c r="Q1297" s="7" t="n"/>
      <c r="R1297" s="7" t="n"/>
      <c r="U1297">
        <f>IF($C1297="","",IF($AJ1297=1,0,IF($AI1297=1,Settings!$C$6,Settings!$C$7))*100)</f>
        <v/>
      </c>
      <c r="V1297" s="7">
        <f>IF($C1297="","",R1297*U1297/100)</f>
        <v/>
      </c>
      <c r="W1297" s="7">
        <f>IF($C1297="","",R1297-V1297)</f>
        <v/>
      </c>
      <c r="X1297" s="7">
        <f>IF($C1297="","",W1297-K1297)</f>
        <v/>
      </c>
      <c r="AB1297" s="7" t="n"/>
      <c r="AE1297" s="11" t="n"/>
      <c r="AG1297">
        <f>IF($C1297="","",IF(COUNTIF($C$2:$C1297,$C1297)=1,1,0))</f>
        <v/>
      </c>
      <c r="AH1297">
        <f>IF($AG1297=1,SUMPRODUCT(--($AK$2:$AK$6001&lt;$AK1297))+1,"")</f>
        <v/>
      </c>
      <c r="AI1297">
        <f>IF($C1297="","",IF(OR($N1297=TRUE(),$N1297="TRUE"),1,0))</f>
        <v/>
      </c>
      <c r="AJ1297">
        <f>IF($C1297="","",IF($T1297="Yes",1,0))</f>
        <v/>
      </c>
      <c r="AK1297">
        <f>IF($AG1297=1,IFERROR(IF(VALUE($C1297)&lt;100000000,VALUE($C1297),1000000000),IFERROR(IF(VALUE(MID($C1297,2,20))&lt;100000000,VALUE(MID($C1297,2,20)),1000000000),1000000000))+ROW()/100000,"")</f>
        <v/>
      </c>
    </row>
    <row r="1298">
      <c r="D1298" s="11" t="n"/>
      <c r="K1298" s="7">
        <f>IF($C1298="","",J1298*W1298/100)</f>
        <v/>
      </c>
      <c r="Q1298" s="7" t="n"/>
      <c r="R1298" s="7" t="n"/>
      <c r="U1298">
        <f>IF($C1298="","",IF($AJ1298=1,0,IF($AI1298=1,Settings!$C$6,Settings!$C$7))*100)</f>
        <v/>
      </c>
      <c r="V1298" s="7">
        <f>IF($C1298="","",R1298*U1298/100)</f>
        <v/>
      </c>
      <c r="W1298" s="7">
        <f>IF($C1298="","",R1298-V1298)</f>
        <v/>
      </c>
      <c r="X1298" s="7">
        <f>IF($C1298="","",W1298-K1298)</f>
        <v/>
      </c>
      <c r="AB1298" s="7" t="n"/>
      <c r="AE1298" s="11" t="n"/>
      <c r="AG1298">
        <f>IF($C1298="","",IF(COUNTIF($C$2:$C1298,$C1298)=1,1,0))</f>
        <v/>
      </c>
      <c r="AH1298">
        <f>IF($AG1298=1,SUMPRODUCT(--($AK$2:$AK$6001&lt;$AK1298))+1,"")</f>
        <v/>
      </c>
      <c r="AI1298">
        <f>IF($C1298="","",IF(OR($N1298=TRUE(),$N1298="TRUE"),1,0))</f>
        <v/>
      </c>
      <c r="AJ1298">
        <f>IF($C1298="","",IF($T1298="Yes",1,0))</f>
        <v/>
      </c>
      <c r="AK1298">
        <f>IF($AG1298=1,IFERROR(IF(VALUE($C1298)&lt;100000000,VALUE($C1298),1000000000),IFERROR(IF(VALUE(MID($C1298,2,20))&lt;100000000,VALUE(MID($C1298,2,20)),1000000000),1000000000))+ROW()/100000,"")</f>
        <v/>
      </c>
    </row>
    <row r="1299">
      <c r="D1299" s="11" t="n"/>
      <c r="K1299" s="7">
        <f>IF($C1299="","",J1299*W1299/100)</f>
        <v/>
      </c>
      <c r="Q1299" s="7" t="n"/>
      <c r="R1299" s="7" t="n"/>
      <c r="U1299">
        <f>IF($C1299="","",IF($AJ1299=1,0,IF($AI1299=1,Settings!$C$6,Settings!$C$7))*100)</f>
        <v/>
      </c>
      <c r="V1299" s="7">
        <f>IF($C1299="","",R1299*U1299/100)</f>
        <v/>
      </c>
      <c r="W1299" s="7">
        <f>IF($C1299="","",R1299-V1299)</f>
        <v/>
      </c>
      <c r="X1299" s="7">
        <f>IF($C1299="","",W1299-K1299)</f>
        <v/>
      </c>
      <c r="AB1299" s="7" t="n"/>
      <c r="AE1299" s="11" t="n"/>
      <c r="AG1299">
        <f>IF($C1299="","",IF(COUNTIF($C$2:$C1299,$C1299)=1,1,0))</f>
        <v/>
      </c>
      <c r="AH1299">
        <f>IF($AG1299=1,SUMPRODUCT(--($AK$2:$AK$6001&lt;$AK1299))+1,"")</f>
        <v/>
      </c>
      <c r="AI1299">
        <f>IF($C1299="","",IF(OR($N1299=TRUE(),$N1299="TRUE"),1,0))</f>
        <v/>
      </c>
      <c r="AJ1299">
        <f>IF($C1299="","",IF($T1299="Yes",1,0))</f>
        <v/>
      </c>
      <c r="AK1299">
        <f>IF($AG1299=1,IFERROR(IF(VALUE($C1299)&lt;100000000,VALUE($C1299),1000000000),IFERROR(IF(VALUE(MID($C1299,2,20))&lt;100000000,VALUE(MID($C1299,2,20)),1000000000),1000000000))+ROW()/100000,"")</f>
        <v/>
      </c>
    </row>
    <row r="1300">
      <c r="D1300" s="11" t="n"/>
      <c r="K1300" s="7">
        <f>IF($C1300="","",J1300*W1300/100)</f>
        <v/>
      </c>
      <c r="Q1300" s="7" t="n"/>
      <c r="R1300" s="7" t="n"/>
      <c r="U1300">
        <f>IF($C1300="","",IF($AJ1300=1,0,IF($AI1300=1,Settings!$C$6,Settings!$C$7))*100)</f>
        <v/>
      </c>
      <c r="V1300" s="7">
        <f>IF($C1300="","",R1300*U1300/100)</f>
        <v/>
      </c>
      <c r="W1300" s="7">
        <f>IF($C1300="","",R1300-V1300)</f>
        <v/>
      </c>
      <c r="X1300" s="7">
        <f>IF($C1300="","",W1300-K1300)</f>
        <v/>
      </c>
      <c r="AB1300" s="7" t="n"/>
      <c r="AE1300" s="11" t="n"/>
      <c r="AG1300">
        <f>IF($C1300="","",IF(COUNTIF($C$2:$C1300,$C1300)=1,1,0))</f>
        <v/>
      </c>
      <c r="AH1300">
        <f>IF($AG1300=1,SUMPRODUCT(--($AK$2:$AK$6001&lt;$AK1300))+1,"")</f>
        <v/>
      </c>
      <c r="AI1300">
        <f>IF($C1300="","",IF(OR($N1300=TRUE(),$N1300="TRUE"),1,0))</f>
        <v/>
      </c>
      <c r="AJ1300">
        <f>IF($C1300="","",IF($T1300="Yes",1,0))</f>
        <v/>
      </c>
      <c r="AK1300">
        <f>IF($AG1300=1,IFERROR(IF(VALUE($C1300)&lt;100000000,VALUE($C1300),1000000000),IFERROR(IF(VALUE(MID($C1300,2,20))&lt;100000000,VALUE(MID($C1300,2,20)),1000000000),1000000000))+ROW()/100000,"")</f>
        <v/>
      </c>
    </row>
    <row r="1301">
      <c r="D1301" s="11" t="n"/>
      <c r="K1301" s="7">
        <f>IF($C1301="","",J1301*W1301/100)</f>
        <v/>
      </c>
      <c r="Q1301" s="7" t="n"/>
      <c r="R1301" s="7" t="n"/>
      <c r="U1301">
        <f>IF($C1301="","",IF($AJ1301=1,0,IF($AI1301=1,Settings!$C$6,Settings!$C$7))*100)</f>
        <v/>
      </c>
      <c r="V1301" s="7">
        <f>IF($C1301="","",R1301*U1301/100)</f>
        <v/>
      </c>
      <c r="W1301" s="7">
        <f>IF($C1301="","",R1301-V1301)</f>
        <v/>
      </c>
      <c r="X1301" s="7">
        <f>IF($C1301="","",W1301-K1301)</f>
        <v/>
      </c>
      <c r="AB1301" s="7" t="n"/>
      <c r="AE1301" s="11" t="n"/>
      <c r="AG1301">
        <f>IF($C1301="","",IF(COUNTIF($C$2:$C1301,$C1301)=1,1,0))</f>
        <v/>
      </c>
      <c r="AH1301">
        <f>IF($AG1301=1,SUMPRODUCT(--($AK$2:$AK$6001&lt;$AK1301))+1,"")</f>
        <v/>
      </c>
      <c r="AI1301">
        <f>IF($C1301="","",IF(OR($N1301=TRUE(),$N1301="TRUE"),1,0))</f>
        <v/>
      </c>
      <c r="AJ1301">
        <f>IF($C1301="","",IF($T1301="Yes",1,0))</f>
        <v/>
      </c>
      <c r="AK1301">
        <f>IF($AG1301=1,IFERROR(IF(VALUE($C1301)&lt;100000000,VALUE($C1301),1000000000),IFERROR(IF(VALUE(MID($C1301,2,20))&lt;100000000,VALUE(MID($C1301,2,20)),1000000000),1000000000))+ROW()/100000,"")</f>
        <v/>
      </c>
    </row>
    <row r="1302">
      <c r="D1302" s="11" t="n"/>
      <c r="K1302" s="7">
        <f>IF($C1302="","",J1302*W1302/100)</f>
        <v/>
      </c>
      <c r="Q1302" s="7" t="n"/>
      <c r="R1302" s="7" t="n"/>
      <c r="U1302">
        <f>IF($C1302="","",IF($AJ1302=1,0,IF($AI1302=1,Settings!$C$6,Settings!$C$7))*100)</f>
        <v/>
      </c>
      <c r="V1302" s="7">
        <f>IF($C1302="","",R1302*U1302/100)</f>
        <v/>
      </c>
      <c r="W1302" s="7">
        <f>IF($C1302="","",R1302-V1302)</f>
        <v/>
      </c>
      <c r="X1302" s="7">
        <f>IF($C1302="","",W1302-K1302)</f>
        <v/>
      </c>
      <c r="AB1302" s="7" t="n"/>
      <c r="AE1302" s="11" t="n"/>
      <c r="AG1302">
        <f>IF($C1302="","",IF(COUNTIF($C$2:$C1302,$C1302)=1,1,0))</f>
        <v/>
      </c>
      <c r="AH1302">
        <f>IF($AG1302=1,SUMPRODUCT(--($AK$2:$AK$6001&lt;$AK1302))+1,"")</f>
        <v/>
      </c>
      <c r="AI1302">
        <f>IF($C1302="","",IF(OR($N1302=TRUE(),$N1302="TRUE"),1,0))</f>
        <v/>
      </c>
      <c r="AJ1302">
        <f>IF($C1302="","",IF($T1302="Yes",1,0))</f>
        <v/>
      </c>
      <c r="AK1302">
        <f>IF($AG1302=1,IFERROR(IF(VALUE($C1302)&lt;100000000,VALUE($C1302),1000000000),IFERROR(IF(VALUE(MID($C1302,2,20))&lt;100000000,VALUE(MID($C1302,2,20)),1000000000),1000000000))+ROW()/100000,"")</f>
        <v/>
      </c>
    </row>
    <row r="1303">
      <c r="D1303" s="11" t="n"/>
      <c r="K1303" s="7">
        <f>IF($C1303="","",J1303*W1303/100)</f>
        <v/>
      </c>
      <c r="Q1303" s="7" t="n"/>
      <c r="R1303" s="7" t="n"/>
      <c r="U1303">
        <f>IF($C1303="","",IF($AJ1303=1,0,IF($AI1303=1,Settings!$C$6,Settings!$C$7))*100)</f>
        <v/>
      </c>
      <c r="V1303" s="7">
        <f>IF($C1303="","",R1303*U1303/100)</f>
        <v/>
      </c>
      <c r="W1303" s="7">
        <f>IF($C1303="","",R1303-V1303)</f>
        <v/>
      </c>
      <c r="X1303" s="7">
        <f>IF($C1303="","",W1303-K1303)</f>
        <v/>
      </c>
      <c r="AB1303" s="7" t="n"/>
      <c r="AE1303" s="11" t="n"/>
      <c r="AG1303">
        <f>IF($C1303="","",IF(COUNTIF($C$2:$C1303,$C1303)=1,1,0))</f>
        <v/>
      </c>
      <c r="AH1303">
        <f>IF($AG1303=1,SUMPRODUCT(--($AK$2:$AK$6001&lt;$AK1303))+1,"")</f>
        <v/>
      </c>
      <c r="AI1303">
        <f>IF($C1303="","",IF(OR($N1303=TRUE(),$N1303="TRUE"),1,0))</f>
        <v/>
      </c>
      <c r="AJ1303">
        <f>IF($C1303="","",IF($T1303="Yes",1,0))</f>
        <v/>
      </c>
      <c r="AK1303">
        <f>IF($AG1303=1,IFERROR(IF(VALUE($C1303)&lt;100000000,VALUE($C1303),1000000000),IFERROR(IF(VALUE(MID($C1303,2,20))&lt;100000000,VALUE(MID($C1303,2,20)),1000000000),1000000000))+ROW()/100000,"")</f>
        <v/>
      </c>
    </row>
    <row r="1304">
      <c r="D1304" s="11" t="n"/>
      <c r="K1304" s="7">
        <f>IF($C1304="","",J1304*W1304/100)</f>
        <v/>
      </c>
      <c r="Q1304" s="7" t="n"/>
      <c r="R1304" s="7" t="n"/>
      <c r="U1304">
        <f>IF($C1304="","",IF($AJ1304=1,0,IF($AI1304=1,Settings!$C$6,Settings!$C$7))*100)</f>
        <v/>
      </c>
      <c r="V1304" s="7">
        <f>IF($C1304="","",R1304*U1304/100)</f>
        <v/>
      </c>
      <c r="W1304" s="7">
        <f>IF($C1304="","",R1304-V1304)</f>
        <v/>
      </c>
      <c r="X1304" s="7">
        <f>IF($C1304="","",W1304-K1304)</f>
        <v/>
      </c>
      <c r="AB1304" s="7" t="n"/>
      <c r="AE1304" s="11" t="n"/>
      <c r="AG1304">
        <f>IF($C1304="","",IF(COUNTIF($C$2:$C1304,$C1304)=1,1,0))</f>
        <v/>
      </c>
      <c r="AH1304">
        <f>IF($AG1304=1,SUMPRODUCT(--($AK$2:$AK$6001&lt;$AK1304))+1,"")</f>
        <v/>
      </c>
      <c r="AI1304">
        <f>IF($C1304="","",IF(OR($N1304=TRUE(),$N1304="TRUE"),1,0))</f>
        <v/>
      </c>
      <c r="AJ1304">
        <f>IF($C1304="","",IF($T1304="Yes",1,0))</f>
        <v/>
      </c>
      <c r="AK1304">
        <f>IF($AG1304=1,IFERROR(IF(VALUE($C1304)&lt;100000000,VALUE($C1304),1000000000),IFERROR(IF(VALUE(MID($C1304,2,20))&lt;100000000,VALUE(MID($C1304,2,20)),1000000000),1000000000))+ROW()/100000,"")</f>
        <v/>
      </c>
    </row>
    <row r="1305">
      <c r="D1305" s="11" t="n"/>
      <c r="K1305" s="7">
        <f>IF($C1305="","",J1305*W1305/100)</f>
        <v/>
      </c>
      <c r="Q1305" s="7" t="n"/>
      <c r="R1305" s="7" t="n"/>
      <c r="U1305">
        <f>IF($C1305="","",IF($AJ1305=1,0,IF($AI1305=1,Settings!$C$6,Settings!$C$7))*100)</f>
        <v/>
      </c>
      <c r="V1305" s="7">
        <f>IF($C1305="","",R1305*U1305/100)</f>
        <v/>
      </c>
      <c r="W1305" s="7">
        <f>IF($C1305="","",R1305-V1305)</f>
        <v/>
      </c>
      <c r="X1305" s="7">
        <f>IF($C1305="","",W1305-K1305)</f>
        <v/>
      </c>
      <c r="AB1305" s="7" t="n"/>
      <c r="AE1305" s="11" t="n"/>
      <c r="AG1305">
        <f>IF($C1305="","",IF(COUNTIF($C$2:$C1305,$C1305)=1,1,0))</f>
        <v/>
      </c>
      <c r="AH1305">
        <f>IF($AG1305=1,SUMPRODUCT(--($AK$2:$AK$6001&lt;$AK1305))+1,"")</f>
        <v/>
      </c>
      <c r="AI1305">
        <f>IF($C1305="","",IF(OR($N1305=TRUE(),$N1305="TRUE"),1,0))</f>
        <v/>
      </c>
      <c r="AJ1305">
        <f>IF($C1305="","",IF($T1305="Yes",1,0))</f>
        <v/>
      </c>
      <c r="AK1305">
        <f>IF($AG1305=1,IFERROR(IF(VALUE($C1305)&lt;100000000,VALUE($C1305),1000000000),IFERROR(IF(VALUE(MID($C1305,2,20))&lt;100000000,VALUE(MID($C1305,2,20)),1000000000),1000000000))+ROW()/100000,"")</f>
        <v/>
      </c>
    </row>
    <row r="1306">
      <c r="D1306" s="11" t="n"/>
      <c r="K1306" s="7">
        <f>IF($C1306="","",J1306*W1306/100)</f>
        <v/>
      </c>
      <c r="Q1306" s="7" t="n"/>
      <c r="R1306" s="7" t="n"/>
      <c r="U1306">
        <f>IF($C1306="","",IF($AJ1306=1,0,IF($AI1306=1,Settings!$C$6,Settings!$C$7))*100)</f>
        <v/>
      </c>
      <c r="V1306" s="7">
        <f>IF($C1306="","",R1306*U1306/100)</f>
        <v/>
      </c>
      <c r="W1306" s="7">
        <f>IF($C1306="","",R1306-V1306)</f>
        <v/>
      </c>
      <c r="X1306" s="7">
        <f>IF($C1306="","",W1306-K1306)</f>
        <v/>
      </c>
      <c r="AB1306" s="7" t="n"/>
      <c r="AE1306" s="11" t="n"/>
      <c r="AG1306">
        <f>IF($C1306="","",IF(COUNTIF($C$2:$C1306,$C1306)=1,1,0))</f>
        <v/>
      </c>
      <c r="AH1306">
        <f>IF($AG1306=1,SUMPRODUCT(--($AK$2:$AK$6001&lt;$AK1306))+1,"")</f>
        <v/>
      </c>
      <c r="AI1306">
        <f>IF($C1306="","",IF(OR($N1306=TRUE(),$N1306="TRUE"),1,0))</f>
        <v/>
      </c>
      <c r="AJ1306">
        <f>IF($C1306="","",IF($T1306="Yes",1,0))</f>
        <v/>
      </c>
      <c r="AK1306">
        <f>IF($AG1306=1,IFERROR(IF(VALUE($C1306)&lt;100000000,VALUE($C1306),1000000000),IFERROR(IF(VALUE(MID($C1306,2,20))&lt;100000000,VALUE(MID($C1306,2,20)),1000000000),1000000000))+ROW()/100000,"")</f>
        <v/>
      </c>
    </row>
    <row r="1307">
      <c r="D1307" s="11" t="n"/>
      <c r="K1307" s="7">
        <f>IF($C1307="","",J1307*W1307/100)</f>
        <v/>
      </c>
      <c r="Q1307" s="7" t="n"/>
      <c r="R1307" s="7" t="n"/>
      <c r="U1307">
        <f>IF($C1307="","",IF($AJ1307=1,0,IF($AI1307=1,Settings!$C$6,Settings!$C$7))*100)</f>
        <v/>
      </c>
      <c r="V1307" s="7">
        <f>IF($C1307="","",R1307*U1307/100)</f>
        <v/>
      </c>
      <c r="W1307" s="7">
        <f>IF($C1307="","",R1307-V1307)</f>
        <v/>
      </c>
      <c r="X1307" s="7">
        <f>IF($C1307="","",W1307-K1307)</f>
        <v/>
      </c>
      <c r="AB1307" s="7" t="n"/>
      <c r="AE1307" s="11" t="n"/>
      <c r="AG1307">
        <f>IF($C1307="","",IF(COUNTIF($C$2:$C1307,$C1307)=1,1,0))</f>
        <v/>
      </c>
      <c r="AH1307">
        <f>IF($AG1307=1,SUMPRODUCT(--($AK$2:$AK$6001&lt;$AK1307))+1,"")</f>
        <v/>
      </c>
      <c r="AI1307">
        <f>IF($C1307="","",IF(OR($N1307=TRUE(),$N1307="TRUE"),1,0))</f>
        <v/>
      </c>
      <c r="AJ1307">
        <f>IF($C1307="","",IF($T1307="Yes",1,0))</f>
        <v/>
      </c>
      <c r="AK1307">
        <f>IF($AG1307=1,IFERROR(IF(VALUE($C1307)&lt;100000000,VALUE($C1307),1000000000),IFERROR(IF(VALUE(MID($C1307,2,20))&lt;100000000,VALUE(MID($C1307,2,20)),1000000000),1000000000))+ROW()/100000,"")</f>
        <v/>
      </c>
    </row>
    <row r="1308">
      <c r="D1308" s="11" t="n"/>
      <c r="K1308" s="7">
        <f>IF($C1308="","",J1308*W1308/100)</f>
        <v/>
      </c>
      <c r="Q1308" s="7" t="n"/>
      <c r="R1308" s="7" t="n"/>
      <c r="U1308">
        <f>IF($C1308="","",IF($AJ1308=1,0,IF($AI1308=1,Settings!$C$6,Settings!$C$7))*100)</f>
        <v/>
      </c>
      <c r="V1308" s="7">
        <f>IF($C1308="","",R1308*U1308/100)</f>
        <v/>
      </c>
      <c r="W1308" s="7">
        <f>IF($C1308="","",R1308-V1308)</f>
        <v/>
      </c>
      <c r="X1308" s="7">
        <f>IF($C1308="","",W1308-K1308)</f>
        <v/>
      </c>
      <c r="AB1308" s="7" t="n"/>
      <c r="AE1308" s="11" t="n"/>
      <c r="AG1308">
        <f>IF($C1308="","",IF(COUNTIF($C$2:$C1308,$C1308)=1,1,0))</f>
        <v/>
      </c>
      <c r="AH1308">
        <f>IF($AG1308=1,SUMPRODUCT(--($AK$2:$AK$6001&lt;$AK1308))+1,"")</f>
        <v/>
      </c>
      <c r="AI1308">
        <f>IF($C1308="","",IF(OR($N1308=TRUE(),$N1308="TRUE"),1,0))</f>
        <v/>
      </c>
      <c r="AJ1308">
        <f>IF($C1308="","",IF($T1308="Yes",1,0))</f>
        <v/>
      </c>
      <c r="AK1308">
        <f>IF($AG1308=1,IFERROR(IF(VALUE($C1308)&lt;100000000,VALUE($C1308),1000000000),IFERROR(IF(VALUE(MID($C1308,2,20))&lt;100000000,VALUE(MID($C1308,2,20)),1000000000),1000000000))+ROW()/100000,"")</f>
        <v/>
      </c>
    </row>
    <row r="1309">
      <c r="D1309" s="11" t="n"/>
      <c r="K1309" s="7">
        <f>IF($C1309="","",J1309*W1309/100)</f>
        <v/>
      </c>
      <c r="Q1309" s="7" t="n"/>
      <c r="R1309" s="7" t="n"/>
      <c r="U1309">
        <f>IF($C1309="","",IF($AJ1309=1,0,IF($AI1309=1,Settings!$C$6,Settings!$C$7))*100)</f>
        <v/>
      </c>
      <c r="V1309" s="7">
        <f>IF($C1309="","",R1309*U1309/100)</f>
        <v/>
      </c>
      <c r="W1309" s="7">
        <f>IF($C1309="","",R1309-V1309)</f>
        <v/>
      </c>
      <c r="X1309" s="7">
        <f>IF($C1309="","",W1309-K1309)</f>
        <v/>
      </c>
      <c r="AB1309" s="7" t="n"/>
      <c r="AE1309" s="11" t="n"/>
      <c r="AG1309">
        <f>IF($C1309="","",IF(COUNTIF($C$2:$C1309,$C1309)=1,1,0))</f>
        <v/>
      </c>
      <c r="AH1309">
        <f>IF($AG1309=1,SUMPRODUCT(--($AK$2:$AK$6001&lt;$AK1309))+1,"")</f>
        <v/>
      </c>
      <c r="AI1309">
        <f>IF($C1309="","",IF(OR($N1309=TRUE(),$N1309="TRUE"),1,0))</f>
        <v/>
      </c>
      <c r="AJ1309">
        <f>IF($C1309="","",IF($T1309="Yes",1,0))</f>
        <v/>
      </c>
      <c r="AK1309">
        <f>IF($AG1309=1,IFERROR(IF(VALUE($C1309)&lt;100000000,VALUE($C1309),1000000000),IFERROR(IF(VALUE(MID($C1309,2,20))&lt;100000000,VALUE(MID($C1309,2,20)),1000000000),1000000000))+ROW()/100000,"")</f>
        <v/>
      </c>
    </row>
    <row r="1310">
      <c r="D1310" s="11" t="n"/>
      <c r="K1310" s="7">
        <f>IF($C1310="","",J1310*W1310/100)</f>
        <v/>
      </c>
      <c r="Q1310" s="7" t="n"/>
      <c r="R1310" s="7" t="n"/>
      <c r="U1310">
        <f>IF($C1310="","",IF($AJ1310=1,0,IF($AI1310=1,Settings!$C$6,Settings!$C$7))*100)</f>
        <v/>
      </c>
      <c r="V1310" s="7">
        <f>IF($C1310="","",R1310*U1310/100)</f>
        <v/>
      </c>
      <c r="W1310" s="7">
        <f>IF($C1310="","",R1310-V1310)</f>
        <v/>
      </c>
      <c r="X1310" s="7">
        <f>IF($C1310="","",W1310-K1310)</f>
        <v/>
      </c>
      <c r="AB1310" s="7" t="n"/>
      <c r="AE1310" s="11" t="n"/>
      <c r="AG1310">
        <f>IF($C1310="","",IF(COUNTIF($C$2:$C1310,$C1310)=1,1,0))</f>
        <v/>
      </c>
      <c r="AH1310">
        <f>IF($AG1310=1,SUMPRODUCT(--($AK$2:$AK$6001&lt;$AK1310))+1,"")</f>
        <v/>
      </c>
      <c r="AI1310">
        <f>IF($C1310="","",IF(OR($N1310=TRUE(),$N1310="TRUE"),1,0))</f>
        <v/>
      </c>
      <c r="AJ1310">
        <f>IF($C1310="","",IF($T1310="Yes",1,0))</f>
        <v/>
      </c>
      <c r="AK1310">
        <f>IF($AG1310=1,IFERROR(IF(VALUE($C1310)&lt;100000000,VALUE($C1310),1000000000),IFERROR(IF(VALUE(MID($C1310,2,20))&lt;100000000,VALUE(MID($C1310,2,20)),1000000000),1000000000))+ROW()/100000,"")</f>
        <v/>
      </c>
    </row>
    <row r="1311">
      <c r="D1311" s="11" t="n"/>
      <c r="K1311" s="7">
        <f>IF($C1311="","",J1311*W1311/100)</f>
        <v/>
      </c>
      <c r="Q1311" s="7" t="n"/>
      <c r="R1311" s="7" t="n"/>
      <c r="U1311">
        <f>IF($C1311="","",IF($AJ1311=1,0,IF($AI1311=1,Settings!$C$6,Settings!$C$7))*100)</f>
        <v/>
      </c>
      <c r="V1311" s="7">
        <f>IF($C1311="","",R1311*U1311/100)</f>
        <v/>
      </c>
      <c r="W1311" s="7">
        <f>IF($C1311="","",R1311-V1311)</f>
        <v/>
      </c>
      <c r="X1311" s="7">
        <f>IF($C1311="","",W1311-K1311)</f>
        <v/>
      </c>
      <c r="AB1311" s="7" t="n"/>
      <c r="AE1311" s="11" t="n"/>
      <c r="AG1311">
        <f>IF($C1311="","",IF(COUNTIF($C$2:$C1311,$C1311)=1,1,0))</f>
        <v/>
      </c>
      <c r="AH1311">
        <f>IF($AG1311=1,SUMPRODUCT(--($AK$2:$AK$6001&lt;$AK1311))+1,"")</f>
        <v/>
      </c>
      <c r="AI1311">
        <f>IF($C1311="","",IF(OR($N1311=TRUE(),$N1311="TRUE"),1,0))</f>
        <v/>
      </c>
      <c r="AJ1311">
        <f>IF($C1311="","",IF($T1311="Yes",1,0))</f>
        <v/>
      </c>
      <c r="AK1311">
        <f>IF($AG1311=1,IFERROR(IF(VALUE($C1311)&lt;100000000,VALUE($C1311),1000000000),IFERROR(IF(VALUE(MID($C1311,2,20))&lt;100000000,VALUE(MID($C1311,2,20)),1000000000),1000000000))+ROW()/100000,"")</f>
        <v/>
      </c>
    </row>
    <row r="1312">
      <c r="D1312" s="11" t="n"/>
      <c r="K1312" s="7">
        <f>IF($C1312="","",J1312*W1312/100)</f>
        <v/>
      </c>
      <c r="Q1312" s="7" t="n"/>
      <c r="R1312" s="7" t="n"/>
      <c r="U1312">
        <f>IF($C1312="","",IF($AJ1312=1,0,IF($AI1312=1,Settings!$C$6,Settings!$C$7))*100)</f>
        <v/>
      </c>
      <c r="V1312" s="7">
        <f>IF($C1312="","",R1312*U1312/100)</f>
        <v/>
      </c>
      <c r="W1312" s="7">
        <f>IF($C1312="","",R1312-V1312)</f>
        <v/>
      </c>
      <c r="X1312" s="7">
        <f>IF($C1312="","",W1312-K1312)</f>
        <v/>
      </c>
      <c r="AB1312" s="7" t="n"/>
      <c r="AE1312" s="11" t="n"/>
      <c r="AG1312">
        <f>IF($C1312="","",IF(COUNTIF($C$2:$C1312,$C1312)=1,1,0))</f>
        <v/>
      </c>
      <c r="AH1312">
        <f>IF($AG1312=1,SUMPRODUCT(--($AK$2:$AK$6001&lt;$AK1312))+1,"")</f>
        <v/>
      </c>
      <c r="AI1312">
        <f>IF($C1312="","",IF(OR($N1312=TRUE(),$N1312="TRUE"),1,0))</f>
        <v/>
      </c>
      <c r="AJ1312">
        <f>IF($C1312="","",IF($T1312="Yes",1,0))</f>
        <v/>
      </c>
      <c r="AK1312">
        <f>IF($AG1312=1,IFERROR(IF(VALUE($C1312)&lt;100000000,VALUE($C1312),1000000000),IFERROR(IF(VALUE(MID($C1312,2,20))&lt;100000000,VALUE(MID($C1312,2,20)),1000000000),1000000000))+ROW()/100000,"")</f>
        <v/>
      </c>
    </row>
    <row r="1313">
      <c r="D1313" s="11" t="n"/>
      <c r="K1313" s="7">
        <f>IF($C1313="","",J1313*W1313/100)</f>
        <v/>
      </c>
      <c r="Q1313" s="7" t="n"/>
      <c r="R1313" s="7" t="n"/>
      <c r="U1313">
        <f>IF($C1313="","",IF($AJ1313=1,0,IF($AI1313=1,Settings!$C$6,Settings!$C$7))*100)</f>
        <v/>
      </c>
      <c r="V1313" s="7">
        <f>IF($C1313="","",R1313*U1313/100)</f>
        <v/>
      </c>
      <c r="W1313" s="7">
        <f>IF($C1313="","",R1313-V1313)</f>
        <v/>
      </c>
      <c r="X1313" s="7">
        <f>IF($C1313="","",W1313-K1313)</f>
        <v/>
      </c>
      <c r="AB1313" s="7" t="n"/>
      <c r="AE1313" s="11" t="n"/>
      <c r="AG1313">
        <f>IF($C1313="","",IF(COUNTIF($C$2:$C1313,$C1313)=1,1,0))</f>
        <v/>
      </c>
      <c r="AH1313">
        <f>IF($AG1313=1,SUMPRODUCT(--($AK$2:$AK$6001&lt;$AK1313))+1,"")</f>
        <v/>
      </c>
      <c r="AI1313">
        <f>IF($C1313="","",IF(OR($N1313=TRUE(),$N1313="TRUE"),1,0))</f>
        <v/>
      </c>
      <c r="AJ1313">
        <f>IF($C1313="","",IF($T1313="Yes",1,0))</f>
        <v/>
      </c>
      <c r="AK1313">
        <f>IF($AG1313=1,IFERROR(IF(VALUE($C1313)&lt;100000000,VALUE($C1313),1000000000),IFERROR(IF(VALUE(MID($C1313,2,20))&lt;100000000,VALUE(MID($C1313,2,20)),1000000000),1000000000))+ROW()/100000,"")</f>
        <v/>
      </c>
    </row>
    <row r="1314">
      <c r="D1314" s="11" t="n"/>
      <c r="K1314" s="7">
        <f>IF($C1314="","",J1314*W1314/100)</f>
        <v/>
      </c>
      <c r="Q1314" s="7" t="n"/>
      <c r="R1314" s="7" t="n"/>
      <c r="U1314">
        <f>IF($C1314="","",IF($AJ1314=1,0,IF($AI1314=1,Settings!$C$6,Settings!$C$7))*100)</f>
        <v/>
      </c>
      <c r="V1314" s="7">
        <f>IF($C1314="","",R1314*U1314/100)</f>
        <v/>
      </c>
      <c r="W1314" s="7">
        <f>IF($C1314="","",R1314-V1314)</f>
        <v/>
      </c>
      <c r="X1314" s="7">
        <f>IF($C1314="","",W1314-K1314)</f>
        <v/>
      </c>
      <c r="AB1314" s="7" t="n"/>
      <c r="AE1314" s="11" t="n"/>
      <c r="AG1314">
        <f>IF($C1314="","",IF(COUNTIF($C$2:$C1314,$C1314)=1,1,0))</f>
        <v/>
      </c>
      <c r="AH1314">
        <f>IF($AG1314=1,SUMPRODUCT(--($AK$2:$AK$6001&lt;$AK1314))+1,"")</f>
        <v/>
      </c>
      <c r="AI1314">
        <f>IF($C1314="","",IF(OR($N1314=TRUE(),$N1314="TRUE"),1,0))</f>
        <v/>
      </c>
      <c r="AJ1314">
        <f>IF($C1314="","",IF($T1314="Yes",1,0))</f>
        <v/>
      </c>
      <c r="AK1314">
        <f>IF($AG1314=1,IFERROR(IF(VALUE($C1314)&lt;100000000,VALUE($C1314),1000000000),IFERROR(IF(VALUE(MID($C1314,2,20))&lt;100000000,VALUE(MID($C1314,2,20)),1000000000),1000000000))+ROW()/100000,"")</f>
        <v/>
      </c>
    </row>
    <row r="1315">
      <c r="D1315" s="11" t="n"/>
      <c r="K1315" s="7">
        <f>IF($C1315="","",J1315*W1315/100)</f>
        <v/>
      </c>
      <c r="Q1315" s="7" t="n"/>
      <c r="R1315" s="7" t="n"/>
      <c r="U1315">
        <f>IF($C1315="","",IF($AJ1315=1,0,IF($AI1315=1,Settings!$C$6,Settings!$C$7))*100)</f>
        <v/>
      </c>
      <c r="V1315" s="7">
        <f>IF($C1315="","",R1315*U1315/100)</f>
        <v/>
      </c>
      <c r="W1315" s="7">
        <f>IF($C1315="","",R1315-V1315)</f>
        <v/>
      </c>
      <c r="X1315" s="7">
        <f>IF($C1315="","",W1315-K1315)</f>
        <v/>
      </c>
      <c r="AB1315" s="7" t="n"/>
      <c r="AE1315" s="11" t="n"/>
      <c r="AG1315">
        <f>IF($C1315="","",IF(COUNTIF($C$2:$C1315,$C1315)=1,1,0))</f>
        <v/>
      </c>
      <c r="AH1315">
        <f>IF($AG1315=1,SUMPRODUCT(--($AK$2:$AK$6001&lt;$AK1315))+1,"")</f>
        <v/>
      </c>
      <c r="AI1315">
        <f>IF($C1315="","",IF(OR($N1315=TRUE(),$N1315="TRUE"),1,0))</f>
        <v/>
      </c>
      <c r="AJ1315">
        <f>IF($C1315="","",IF($T1315="Yes",1,0))</f>
        <v/>
      </c>
      <c r="AK1315">
        <f>IF($AG1315=1,IFERROR(IF(VALUE($C1315)&lt;100000000,VALUE($C1315),1000000000),IFERROR(IF(VALUE(MID($C1315,2,20))&lt;100000000,VALUE(MID($C1315,2,20)),1000000000),1000000000))+ROW()/100000,"")</f>
        <v/>
      </c>
    </row>
    <row r="1316">
      <c r="D1316" s="11" t="n"/>
      <c r="K1316" s="7">
        <f>IF($C1316="","",J1316*W1316/100)</f>
        <v/>
      </c>
      <c r="Q1316" s="7" t="n"/>
      <c r="R1316" s="7" t="n"/>
      <c r="U1316">
        <f>IF($C1316="","",IF($AJ1316=1,0,IF($AI1316=1,Settings!$C$6,Settings!$C$7))*100)</f>
        <v/>
      </c>
      <c r="V1316" s="7">
        <f>IF($C1316="","",R1316*U1316/100)</f>
        <v/>
      </c>
      <c r="W1316" s="7">
        <f>IF($C1316="","",R1316-V1316)</f>
        <v/>
      </c>
      <c r="X1316" s="7">
        <f>IF($C1316="","",W1316-K1316)</f>
        <v/>
      </c>
      <c r="AB1316" s="7" t="n"/>
      <c r="AE1316" s="11" t="n"/>
      <c r="AG1316">
        <f>IF($C1316="","",IF(COUNTIF($C$2:$C1316,$C1316)=1,1,0))</f>
        <v/>
      </c>
      <c r="AH1316">
        <f>IF($AG1316=1,SUMPRODUCT(--($AK$2:$AK$6001&lt;$AK1316))+1,"")</f>
        <v/>
      </c>
      <c r="AI1316">
        <f>IF($C1316="","",IF(OR($N1316=TRUE(),$N1316="TRUE"),1,0))</f>
        <v/>
      </c>
      <c r="AJ1316">
        <f>IF($C1316="","",IF($T1316="Yes",1,0))</f>
        <v/>
      </c>
      <c r="AK1316">
        <f>IF($AG1316=1,IFERROR(IF(VALUE($C1316)&lt;100000000,VALUE($C1316),1000000000),IFERROR(IF(VALUE(MID($C1316,2,20))&lt;100000000,VALUE(MID($C1316,2,20)),1000000000),1000000000))+ROW()/100000,"")</f>
        <v/>
      </c>
    </row>
    <row r="1317">
      <c r="D1317" s="11" t="n"/>
      <c r="K1317" s="7">
        <f>IF($C1317="","",J1317*W1317/100)</f>
        <v/>
      </c>
      <c r="Q1317" s="7" t="n"/>
      <c r="R1317" s="7" t="n"/>
      <c r="U1317">
        <f>IF($C1317="","",IF($AJ1317=1,0,IF($AI1317=1,Settings!$C$6,Settings!$C$7))*100)</f>
        <v/>
      </c>
      <c r="V1317" s="7">
        <f>IF($C1317="","",R1317*U1317/100)</f>
        <v/>
      </c>
      <c r="W1317" s="7">
        <f>IF($C1317="","",R1317-V1317)</f>
        <v/>
      </c>
      <c r="X1317" s="7">
        <f>IF($C1317="","",W1317-K1317)</f>
        <v/>
      </c>
      <c r="AB1317" s="7" t="n"/>
      <c r="AE1317" s="11" t="n"/>
      <c r="AG1317">
        <f>IF($C1317="","",IF(COUNTIF($C$2:$C1317,$C1317)=1,1,0))</f>
        <v/>
      </c>
      <c r="AH1317">
        <f>IF($AG1317=1,SUMPRODUCT(--($AK$2:$AK$6001&lt;$AK1317))+1,"")</f>
        <v/>
      </c>
      <c r="AI1317">
        <f>IF($C1317="","",IF(OR($N1317=TRUE(),$N1317="TRUE"),1,0))</f>
        <v/>
      </c>
      <c r="AJ1317">
        <f>IF($C1317="","",IF($T1317="Yes",1,0))</f>
        <v/>
      </c>
      <c r="AK1317">
        <f>IF($AG1317=1,IFERROR(IF(VALUE($C1317)&lt;100000000,VALUE($C1317),1000000000),IFERROR(IF(VALUE(MID($C1317,2,20))&lt;100000000,VALUE(MID($C1317,2,20)),1000000000),1000000000))+ROW()/100000,"")</f>
        <v/>
      </c>
    </row>
    <row r="1318">
      <c r="D1318" s="11" t="n"/>
      <c r="K1318" s="7">
        <f>IF($C1318="","",J1318*W1318/100)</f>
        <v/>
      </c>
      <c r="Q1318" s="7" t="n"/>
      <c r="R1318" s="7" t="n"/>
      <c r="U1318">
        <f>IF($C1318="","",IF($AJ1318=1,0,IF($AI1318=1,Settings!$C$6,Settings!$C$7))*100)</f>
        <v/>
      </c>
      <c r="V1318" s="7">
        <f>IF($C1318="","",R1318*U1318/100)</f>
        <v/>
      </c>
      <c r="W1318" s="7">
        <f>IF($C1318="","",R1318-V1318)</f>
        <v/>
      </c>
      <c r="X1318" s="7">
        <f>IF($C1318="","",W1318-K1318)</f>
        <v/>
      </c>
      <c r="AB1318" s="7" t="n"/>
      <c r="AE1318" s="11" t="n"/>
      <c r="AG1318">
        <f>IF($C1318="","",IF(COUNTIF($C$2:$C1318,$C1318)=1,1,0))</f>
        <v/>
      </c>
      <c r="AH1318">
        <f>IF($AG1318=1,SUMPRODUCT(--($AK$2:$AK$6001&lt;$AK1318))+1,"")</f>
        <v/>
      </c>
      <c r="AI1318">
        <f>IF($C1318="","",IF(OR($N1318=TRUE(),$N1318="TRUE"),1,0))</f>
        <v/>
      </c>
      <c r="AJ1318">
        <f>IF($C1318="","",IF($T1318="Yes",1,0))</f>
        <v/>
      </c>
      <c r="AK1318">
        <f>IF($AG1318=1,IFERROR(IF(VALUE($C1318)&lt;100000000,VALUE($C1318),1000000000),IFERROR(IF(VALUE(MID($C1318,2,20))&lt;100000000,VALUE(MID($C1318,2,20)),1000000000),1000000000))+ROW()/100000,"")</f>
        <v/>
      </c>
    </row>
    <row r="1319">
      <c r="D1319" s="11" t="n"/>
      <c r="K1319" s="7">
        <f>IF($C1319="","",J1319*W1319/100)</f>
        <v/>
      </c>
      <c r="Q1319" s="7" t="n"/>
      <c r="R1319" s="7" t="n"/>
      <c r="U1319">
        <f>IF($C1319="","",IF($AJ1319=1,0,IF($AI1319=1,Settings!$C$6,Settings!$C$7))*100)</f>
        <v/>
      </c>
      <c r="V1319" s="7">
        <f>IF($C1319="","",R1319*U1319/100)</f>
        <v/>
      </c>
      <c r="W1319" s="7">
        <f>IF($C1319="","",R1319-V1319)</f>
        <v/>
      </c>
      <c r="X1319" s="7">
        <f>IF($C1319="","",W1319-K1319)</f>
        <v/>
      </c>
      <c r="AB1319" s="7" t="n"/>
      <c r="AE1319" s="11" t="n"/>
      <c r="AG1319">
        <f>IF($C1319="","",IF(COUNTIF($C$2:$C1319,$C1319)=1,1,0))</f>
        <v/>
      </c>
      <c r="AH1319">
        <f>IF($AG1319=1,SUMPRODUCT(--($AK$2:$AK$6001&lt;$AK1319))+1,"")</f>
        <v/>
      </c>
      <c r="AI1319">
        <f>IF($C1319="","",IF(OR($N1319=TRUE(),$N1319="TRUE"),1,0))</f>
        <v/>
      </c>
      <c r="AJ1319">
        <f>IF($C1319="","",IF($T1319="Yes",1,0))</f>
        <v/>
      </c>
      <c r="AK1319">
        <f>IF($AG1319=1,IFERROR(IF(VALUE($C1319)&lt;100000000,VALUE($C1319),1000000000),IFERROR(IF(VALUE(MID($C1319,2,20))&lt;100000000,VALUE(MID($C1319,2,20)),1000000000),1000000000))+ROW()/100000,"")</f>
        <v/>
      </c>
    </row>
    <row r="1320">
      <c r="D1320" s="11" t="n"/>
      <c r="K1320" s="7">
        <f>IF($C1320="","",J1320*W1320/100)</f>
        <v/>
      </c>
      <c r="Q1320" s="7" t="n"/>
      <c r="R1320" s="7" t="n"/>
      <c r="U1320">
        <f>IF($C1320="","",IF($AJ1320=1,0,IF($AI1320=1,Settings!$C$6,Settings!$C$7))*100)</f>
        <v/>
      </c>
      <c r="V1320" s="7">
        <f>IF($C1320="","",R1320*U1320/100)</f>
        <v/>
      </c>
      <c r="W1320" s="7">
        <f>IF($C1320="","",R1320-V1320)</f>
        <v/>
      </c>
      <c r="X1320" s="7">
        <f>IF($C1320="","",W1320-K1320)</f>
        <v/>
      </c>
      <c r="AB1320" s="7" t="n"/>
      <c r="AE1320" s="11" t="n"/>
      <c r="AG1320">
        <f>IF($C1320="","",IF(COUNTIF($C$2:$C1320,$C1320)=1,1,0))</f>
        <v/>
      </c>
      <c r="AH1320">
        <f>IF($AG1320=1,SUMPRODUCT(--($AK$2:$AK$6001&lt;$AK1320))+1,"")</f>
        <v/>
      </c>
      <c r="AI1320">
        <f>IF($C1320="","",IF(OR($N1320=TRUE(),$N1320="TRUE"),1,0))</f>
        <v/>
      </c>
      <c r="AJ1320">
        <f>IF($C1320="","",IF($T1320="Yes",1,0))</f>
        <v/>
      </c>
      <c r="AK1320">
        <f>IF($AG1320=1,IFERROR(IF(VALUE($C1320)&lt;100000000,VALUE($C1320),1000000000),IFERROR(IF(VALUE(MID($C1320,2,20))&lt;100000000,VALUE(MID($C1320,2,20)),1000000000),1000000000))+ROW()/100000,"")</f>
        <v/>
      </c>
    </row>
    <row r="1321">
      <c r="D1321" s="11" t="n"/>
      <c r="K1321" s="7">
        <f>IF($C1321="","",J1321*W1321/100)</f>
        <v/>
      </c>
      <c r="Q1321" s="7" t="n"/>
      <c r="R1321" s="7" t="n"/>
      <c r="U1321">
        <f>IF($C1321="","",IF($AJ1321=1,0,IF($AI1321=1,Settings!$C$6,Settings!$C$7))*100)</f>
        <v/>
      </c>
      <c r="V1321" s="7">
        <f>IF($C1321="","",R1321*U1321/100)</f>
        <v/>
      </c>
      <c r="W1321" s="7">
        <f>IF($C1321="","",R1321-V1321)</f>
        <v/>
      </c>
      <c r="X1321" s="7">
        <f>IF($C1321="","",W1321-K1321)</f>
        <v/>
      </c>
      <c r="AB1321" s="7" t="n"/>
      <c r="AE1321" s="11" t="n"/>
      <c r="AG1321">
        <f>IF($C1321="","",IF(COUNTIF($C$2:$C1321,$C1321)=1,1,0))</f>
        <v/>
      </c>
      <c r="AH1321">
        <f>IF($AG1321=1,SUMPRODUCT(--($AK$2:$AK$6001&lt;$AK1321))+1,"")</f>
        <v/>
      </c>
      <c r="AI1321">
        <f>IF($C1321="","",IF(OR($N1321=TRUE(),$N1321="TRUE"),1,0))</f>
        <v/>
      </c>
      <c r="AJ1321">
        <f>IF($C1321="","",IF($T1321="Yes",1,0))</f>
        <v/>
      </c>
      <c r="AK1321">
        <f>IF($AG1321=1,IFERROR(IF(VALUE($C1321)&lt;100000000,VALUE($C1321),1000000000),IFERROR(IF(VALUE(MID($C1321,2,20))&lt;100000000,VALUE(MID($C1321,2,20)),1000000000),1000000000))+ROW()/100000,"")</f>
        <v/>
      </c>
    </row>
    <row r="1322">
      <c r="D1322" s="11" t="n"/>
      <c r="K1322" s="7">
        <f>IF($C1322="","",J1322*W1322/100)</f>
        <v/>
      </c>
      <c r="Q1322" s="7" t="n"/>
      <c r="R1322" s="7" t="n"/>
      <c r="U1322">
        <f>IF($C1322="","",IF($AJ1322=1,0,IF($AI1322=1,Settings!$C$6,Settings!$C$7))*100)</f>
        <v/>
      </c>
      <c r="V1322" s="7">
        <f>IF($C1322="","",R1322*U1322/100)</f>
        <v/>
      </c>
      <c r="W1322" s="7">
        <f>IF($C1322="","",R1322-V1322)</f>
        <v/>
      </c>
      <c r="X1322" s="7">
        <f>IF($C1322="","",W1322-K1322)</f>
        <v/>
      </c>
      <c r="AB1322" s="7" t="n"/>
      <c r="AE1322" s="11" t="n"/>
      <c r="AG1322">
        <f>IF($C1322="","",IF(COUNTIF($C$2:$C1322,$C1322)=1,1,0))</f>
        <v/>
      </c>
      <c r="AH1322">
        <f>IF($AG1322=1,SUMPRODUCT(--($AK$2:$AK$6001&lt;$AK1322))+1,"")</f>
        <v/>
      </c>
      <c r="AI1322">
        <f>IF($C1322="","",IF(OR($N1322=TRUE(),$N1322="TRUE"),1,0))</f>
        <v/>
      </c>
      <c r="AJ1322">
        <f>IF($C1322="","",IF($T1322="Yes",1,0))</f>
        <v/>
      </c>
      <c r="AK1322">
        <f>IF($AG1322=1,IFERROR(IF(VALUE($C1322)&lt;100000000,VALUE($C1322),1000000000),IFERROR(IF(VALUE(MID($C1322,2,20))&lt;100000000,VALUE(MID($C1322,2,20)),1000000000),1000000000))+ROW()/100000,"")</f>
        <v/>
      </c>
    </row>
    <row r="1323">
      <c r="D1323" s="11" t="n"/>
      <c r="K1323" s="7">
        <f>IF($C1323="","",J1323*W1323/100)</f>
        <v/>
      </c>
      <c r="Q1323" s="7" t="n"/>
      <c r="R1323" s="7" t="n"/>
      <c r="U1323">
        <f>IF($C1323="","",IF($AJ1323=1,0,IF($AI1323=1,Settings!$C$6,Settings!$C$7))*100)</f>
        <v/>
      </c>
      <c r="V1323" s="7">
        <f>IF($C1323="","",R1323*U1323/100)</f>
        <v/>
      </c>
      <c r="W1323" s="7">
        <f>IF($C1323="","",R1323-V1323)</f>
        <v/>
      </c>
      <c r="X1323" s="7">
        <f>IF($C1323="","",W1323-K1323)</f>
        <v/>
      </c>
      <c r="AB1323" s="7" t="n"/>
      <c r="AE1323" s="11" t="n"/>
      <c r="AG1323">
        <f>IF($C1323="","",IF(COUNTIF($C$2:$C1323,$C1323)=1,1,0))</f>
        <v/>
      </c>
      <c r="AH1323">
        <f>IF($AG1323=1,SUMPRODUCT(--($AK$2:$AK$6001&lt;$AK1323))+1,"")</f>
        <v/>
      </c>
      <c r="AI1323">
        <f>IF($C1323="","",IF(OR($N1323=TRUE(),$N1323="TRUE"),1,0))</f>
        <v/>
      </c>
      <c r="AJ1323">
        <f>IF($C1323="","",IF($T1323="Yes",1,0))</f>
        <v/>
      </c>
      <c r="AK1323">
        <f>IF($AG1323=1,IFERROR(IF(VALUE($C1323)&lt;100000000,VALUE($C1323),1000000000),IFERROR(IF(VALUE(MID($C1323,2,20))&lt;100000000,VALUE(MID($C1323,2,20)),1000000000),1000000000))+ROW()/100000,"")</f>
        <v/>
      </c>
    </row>
    <row r="1324">
      <c r="D1324" s="11" t="n"/>
      <c r="K1324" s="7">
        <f>IF($C1324="","",J1324*W1324/100)</f>
        <v/>
      </c>
      <c r="Q1324" s="7" t="n"/>
      <c r="R1324" s="7" t="n"/>
      <c r="U1324">
        <f>IF($C1324="","",IF($AJ1324=1,0,IF($AI1324=1,Settings!$C$6,Settings!$C$7))*100)</f>
        <v/>
      </c>
      <c r="V1324" s="7">
        <f>IF($C1324="","",R1324*U1324/100)</f>
        <v/>
      </c>
      <c r="W1324" s="7">
        <f>IF($C1324="","",R1324-V1324)</f>
        <v/>
      </c>
      <c r="X1324" s="7">
        <f>IF($C1324="","",W1324-K1324)</f>
        <v/>
      </c>
      <c r="AB1324" s="7" t="n"/>
      <c r="AE1324" s="11" t="n"/>
      <c r="AG1324">
        <f>IF($C1324="","",IF(COUNTIF($C$2:$C1324,$C1324)=1,1,0))</f>
        <v/>
      </c>
      <c r="AH1324">
        <f>IF($AG1324=1,SUMPRODUCT(--($AK$2:$AK$6001&lt;$AK1324))+1,"")</f>
        <v/>
      </c>
      <c r="AI1324">
        <f>IF($C1324="","",IF(OR($N1324=TRUE(),$N1324="TRUE"),1,0))</f>
        <v/>
      </c>
      <c r="AJ1324">
        <f>IF($C1324="","",IF($T1324="Yes",1,0))</f>
        <v/>
      </c>
      <c r="AK1324">
        <f>IF($AG1324=1,IFERROR(IF(VALUE($C1324)&lt;100000000,VALUE($C1324),1000000000),IFERROR(IF(VALUE(MID($C1324,2,20))&lt;100000000,VALUE(MID($C1324,2,20)),1000000000),1000000000))+ROW()/100000,"")</f>
        <v/>
      </c>
    </row>
    <row r="1325">
      <c r="D1325" s="11" t="n"/>
      <c r="K1325" s="7">
        <f>IF($C1325="","",J1325*W1325/100)</f>
        <v/>
      </c>
      <c r="Q1325" s="7" t="n"/>
      <c r="R1325" s="7" t="n"/>
      <c r="U1325">
        <f>IF($C1325="","",IF($AJ1325=1,0,IF($AI1325=1,Settings!$C$6,Settings!$C$7))*100)</f>
        <v/>
      </c>
      <c r="V1325" s="7">
        <f>IF($C1325="","",R1325*U1325/100)</f>
        <v/>
      </c>
      <c r="W1325" s="7">
        <f>IF($C1325="","",R1325-V1325)</f>
        <v/>
      </c>
      <c r="X1325" s="7">
        <f>IF($C1325="","",W1325-K1325)</f>
        <v/>
      </c>
      <c r="AB1325" s="7" t="n"/>
      <c r="AE1325" s="11" t="n"/>
      <c r="AG1325">
        <f>IF($C1325="","",IF(COUNTIF($C$2:$C1325,$C1325)=1,1,0))</f>
        <v/>
      </c>
      <c r="AH1325">
        <f>IF($AG1325=1,SUMPRODUCT(--($AK$2:$AK$6001&lt;$AK1325))+1,"")</f>
        <v/>
      </c>
      <c r="AI1325">
        <f>IF($C1325="","",IF(OR($N1325=TRUE(),$N1325="TRUE"),1,0))</f>
        <v/>
      </c>
      <c r="AJ1325">
        <f>IF($C1325="","",IF($T1325="Yes",1,0))</f>
        <v/>
      </c>
      <c r="AK1325">
        <f>IF($AG1325=1,IFERROR(IF(VALUE($C1325)&lt;100000000,VALUE($C1325),1000000000),IFERROR(IF(VALUE(MID($C1325,2,20))&lt;100000000,VALUE(MID($C1325,2,20)),1000000000),1000000000))+ROW()/100000,"")</f>
        <v/>
      </c>
    </row>
    <row r="1326">
      <c r="D1326" s="11" t="n"/>
      <c r="K1326" s="7">
        <f>IF($C1326="","",J1326*W1326/100)</f>
        <v/>
      </c>
      <c r="Q1326" s="7" t="n"/>
      <c r="R1326" s="7" t="n"/>
      <c r="U1326">
        <f>IF($C1326="","",IF($AJ1326=1,0,IF($AI1326=1,Settings!$C$6,Settings!$C$7))*100)</f>
        <v/>
      </c>
      <c r="V1326" s="7">
        <f>IF($C1326="","",R1326*U1326/100)</f>
        <v/>
      </c>
      <c r="W1326" s="7">
        <f>IF($C1326="","",R1326-V1326)</f>
        <v/>
      </c>
      <c r="X1326" s="7">
        <f>IF($C1326="","",W1326-K1326)</f>
        <v/>
      </c>
      <c r="AB1326" s="7" t="n"/>
      <c r="AE1326" s="11" t="n"/>
      <c r="AG1326">
        <f>IF($C1326="","",IF(COUNTIF($C$2:$C1326,$C1326)=1,1,0))</f>
        <v/>
      </c>
      <c r="AH1326">
        <f>IF($AG1326=1,SUMPRODUCT(--($AK$2:$AK$6001&lt;$AK1326))+1,"")</f>
        <v/>
      </c>
      <c r="AI1326">
        <f>IF($C1326="","",IF(OR($N1326=TRUE(),$N1326="TRUE"),1,0))</f>
        <v/>
      </c>
      <c r="AJ1326">
        <f>IF($C1326="","",IF($T1326="Yes",1,0))</f>
        <v/>
      </c>
      <c r="AK1326">
        <f>IF($AG1326=1,IFERROR(IF(VALUE($C1326)&lt;100000000,VALUE($C1326),1000000000),IFERROR(IF(VALUE(MID($C1326,2,20))&lt;100000000,VALUE(MID($C1326,2,20)),1000000000),1000000000))+ROW()/100000,"")</f>
        <v/>
      </c>
    </row>
    <row r="1327">
      <c r="D1327" s="11" t="n"/>
      <c r="K1327" s="7">
        <f>IF($C1327="","",J1327*W1327/100)</f>
        <v/>
      </c>
      <c r="Q1327" s="7" t="n"/>
      <c r="R1327" s="7" t="n"/>
      <c r="U1327">
        <f>IF($C1327="","",IF($AJ1327=1,0,IF($AI1327=1,Settings!$C$6,Settings!$C$7))*100)</f>
        <v/>
      </c>
      <c r="V1327" s="7">
        <f>IF($C1327="","",R1327*U1327/100)</f>
        <v/>
      </c>
      <c r="W1327" s="7">
        <f>IF($C1327="","",R1327-V1327)</f>
        <v/>
      </c>
      <c r="X1327" s="7">
        <f>IF($C1327="","",W1327-K1327)</f>
        <v/>
      </c>
      <c r="AB1327" s="7" t="n"/>
      <c r="AE1327" s="11" t="n"/>
      <c r="AG1327">
        <f>IF($C1327="","",IF(COUNTIF($C$2:$C1327,$C1327)=1,1,0))</f>
        <v/>
      </c>
      <c r="AH1327">
        <f>IF($AG1327=1,SUMPRODUCT(--($AK$2:$AK$6001&lt;$AK1327))+1,"")</f>
        <v/>
      </c>
      <c r="AI1327">
        <f>IF($C1327="","",IF(OR($N1327=TRUE(),$N1327="TRUE"),1,0))</f>
        <v/>
      </c>
      <c r="AJ1327">
        <f>IF($C1327="","",IF($T1327="Yes",1,0))</f>
        <v/>
      </c>
      <c r="AK1327">
        <f>IF($AG1327=1,IFERROR(IF(VALUE($C1327)&lt;100000000,VALUE($C1327),1000000000),IFERROR(IF(VALUE(MID($C1327,2,20))&lt;100000000,VALUE(MID($C1327,2,20)),1000000000),1000000000))+ROW()/100000,"")</f>
        <v/>
      </c>
    </row>
    <row r="1328">
      <c r="D1328" s="11" t="n"/>
      <c r="K1328" s="7">
        <f>IF($C1328="","",J1328*W1328/100)</f>
        <v/>
      </c>
      <c r="Q1328" s="7" t="n"/>
      <c r="R1328" s="7" t="n"/>
      <c r="U1328">
        <f>IF($C1328="","",IF($AJ1328=1,0,IF($AI1328=1,Settings!$C$6,Settings!$C$7))*100)</f>
        <v/>
      </c>
      <c r="V1328" s="7">
        <f>IF($C1328="","",R1328*U1328/100)</f>
        <v/>
      </c>
      <c r="W1328" s="7">
        <f>IF($C1328="","",R1328-V1328)</f>
        <v/>
      </c>
      <c r="X1328" s="7">
        <f>IF($C1328="","",W1328-K1328)</f>
        <v/>
      </c>
      <c r="AB1328" s="7" t="n"/>
      <c r="AE1328" s="11" t="n"/>
      <c r="AG1328">
        <f>IF($C1328="","",IF(COUNTIF($C$2:$C1328,$C1328)=1,1,0))</f>
        <v/>
      </c>
      <c r="AH1328">
        <f>IF($AG1328=1,SUMPRODUCT(--($AK$2:$AK$6001&lt;$AK1328))+1,"")</f>
        <v/>
      </c>
      <c r="AI1328">
        <f>IF($C1328="","",IF(OR($N1328=TRUE(),$N1328="TRUE"),1,0))</f>
        <v/>
      </c>
      <c r="AJ1328">
        <f>IF($C1328="","",IF($T1328="Yes",1,0))</f>
        <v/>
      </c>
      <c r="AK1328">
        <f>IF($AG1328=1,IFERROR(IF(VALUE($C1328)&lt;100000000,VALUE($C1328),1000000000),IFERROR(IF(VALUE(MID($C1328,2,20))&lt;100000000,VALUE(MID($C1328,2,20)),1000000000),1000000000))+ROW()/100000,"")</f>
        <v/>
      </c>
    </row>
    <row r="1329">
      <c r="D1329" s="11" t="n"/>
      <c r="K1329" s="7">
        <f>IF($C1329="","",J1329*W1329/100)</f>
        <v/>
      </c>
      <c r="Q1329" s="7" t="n"/>
      <c r="R1329" s="7" t="n"/>
      <c r="U1329">
        <f>IF($C1329="","",IF($AJ1329=1,0,IF($AI1329=1,Settings!$C$6,Settings!$C$7))*100)</f>
        <v/>
      </c>
      <c r="V1329" s="7">
        <f>IF($C1329="","",R1329*U1329/100)</f>
        <v/>
      </c>
      <c r="W1329" s="7">
        <f>IF($C1329="","",R1329-V1329)</f>
        <v/>
      </c>
      <c r="X1329" s="7">
        <f>IF($C1329="","",W1329-K1329)</f>
        <v/>
      </c>
      <c r="AB1329" s="7" t="n"/>
      <c r="AE1329" s="11" t="n"/>
      <c r="AG1329">
        <f>IF($C1329="","",IF(COUNTIF($C$2:$C1329,$C1329)=1,1,0))</f>
        <v/>
      </c>
      <c r="AH1329">
        <f>IF($AG1329=1,SUMPRODUCT(--($AK$2:$AK$6001&lt;$AK1329))+1,"")</f>
        <v/>
      </c>
      <c r="AI1329">
        <f>IF($C1329="","",IF(OR($N1329=TRUE(),$N1329="TRUE"),1,0))</f>
        <v/>
      </c>
      <c r="AJ1329">
        <f>IF($C1329="","",IF($T1329="Yes",1,0))</f>
        <v/>
      </c>
      <c r="AK1329">
        <f>IF($AG1329=1,IFERROR(IF(VALUE($C1329)&lt;100000000,VALUE($C1329),1000000000),IFERROR(IF(VALUE(MID($C1329,2,20))&lt;100000000,VALUE(MID($C1329,2,20)),1000000000),1000000000))+ROW()/100000,"")</f>
        <v/>
      </c>
    </row>
    <row r="1330">
      <c r="D1330" s="11" t="n"/>
      <c r="K1330" s="7">
        <f>IF($C1330="","",J1330*W1330/100)</f>
        <v/>
      </c>
      <c r="Q1330" s="7" t="n"/>
      <c r="R1330" s="7" t="n"/>
      <c r="U1330">
        <f>IF($C1330="","",IF($AJ1330=1,0,IF($AI1330=1,Settings!$C$6,Settings!$C$7))*100)</f>
        <v/>
      </c>
      <c r="V1330" s="7">
        <f>IF($C1330="","",R1330*U1330/100)</f>
        <v/>
      </c>
      <c r="W1330" s="7">
        <f>IF($C1330="","",R1330-V1330)</f>
        <v/>
      </c>
      <c r="X1330" s="7">
        <f>IF($C1330="","",W1330-K1330)</f>
        <v/>
      </c>
      <c r="AB1330" s="7" t="n"/>
      <c r="AE1330" s="11" t="n"/>
      <c r="AG1330">
        <f>IF($C1330="","",IF(COUNTIF($C$2:$C1330,$C1330)=1,1,0))</f>
        <v/>
      </c>
      <c r="AH1330">
        <f>IF($AG1330=1,SUMPRODUCT(--($AK$2:$AK$6001&lt;$AK1330))+1,"")</f>
        <v/>
      </c>
      <c r="AI1330">
        <f>IF($C1330="","",IF(OR($N1330=TRUE(),$N1330="TRUE"),1,0))</f>
        <v/>
      </c>
      <c r="AJ1330">
        <f>IF($C1330="","",IF($T1330="Yes",1,0))</f>
        <v/>
      </c>
      <c r="AK1330">
        <f>IF($AG1330=1,IFERROR(IF(VALUE($C1330)&lt;100000000,VALUE($C1330),1000000000),IFERROR(IF(VALUE(MID($C1330,2,20))&lt;100000000,VALUE(MID($C1330,2,20)),1000000000),1000000000))+ROW()/100000,"")</f>
        <v/>
      </c>
    </row>
    <row r="1331">
      <c r="D1331" s="11" t="n"/>
      <c r="K1331" s="7">
        <f>IF($C1331="","",J1331*W1331/100)</f>
        <v/>
      </c>
      <c r="Q1331" s="7" t="n"/>
      <c r="R1331" s="7" t="n"/>
      <c r="U1331">
        <f>IF($C1331="","",IF($AJ1331=1,0,IF($AI1331=1,Settings!$C$6,Settings!$C$7))*100)</f>
        <v/>
      </c>
      <c r="V1331" s="7">
        <f>IF($C1331="","",R1331*U1331/100)</f>
        <v/>
      </c>
      <c r="W1331" s="7">
        <f>IF($C1331="","",R1331-V1331)</f>
        <v/>
      </c>
      <c r="X1331" s="7">
        <f>IF($C1331="","",W1331-K1331)</f>
        <v/>
      </c>
      <c r="AB1331" s="7" t="n"/>
      <c r="AE1331" s="11" t="n"/>
      <c r="AG1331">
        <f>IF($C1331="","",IF(COUNTIF($C$2:$C1331,$C1331)=1,1,0))</f>
        <v/>
      </c>
      <c r="AH1331">
        <f>IF($AG1331=1,SUMPRODUCT(--($AK$2:$AK$6001&lt;$AK1331))+1,"")</f>
        <v/>
      </c>
      <c r="AI1331">
        <f>IF($C1331="","",IF(OR($N1331=TRUE(),$N1331="TRUE"),1,0))</f>
        <v/>
      </c>
      <c r="AJ1331">
        <f>IF($C1331="","",IF($T1331="Yes",1,0))</f>
        <v/>
      </c>
      <c r="AK1331">
        <f>IF($AG1331=1,IFERROR(IF(VALUE($C1331)&lt;100000000,VALUE($C1331),1000000000),IFERROR(IF(VALUE(MID($C1331,2,20))&lt;100000000,VALUE(MID($C1331,2,20)),1000000000),1000000000))+ROW()/100000,"")</f>
        <v/>
      </c>
    </row>
    <row r="1332">
      <c r="D1332" s="11" t="n"/>
      <c r="K1332" s="7">
        <f>IF($C1332="","",J1332*W1332/100)</f>
        <v/>
      </c>
      <c r="Q1332" s="7" t="n"/>
      <c r="R1332" s="7" t="n"/>
      <c r="U1332">
        <f>IF($C1332="","",IF($AJ1332=1,0,IF($AI1332=1,Settings!$C$6,Settings!$C$7))*100)</f>
        <v/>
      </c>
      <c r="V1332" s="7">
        <f>IF($C1332="","",R1332*U1332/100)</f>
        <v/>
      </c>
      <c r="W1332" s="7">
        <f>IF($C1332="","",R1332-V1332)</f>
        <v/>
      </c>
      <c r="X1332" s="7">
        <f>IF($C1332="","",W1332-K1332)</f>
        <v/>
      </c>
      <c r="AB1332" s="7" t="n"/>
      <c r="AE1332" s="11" t="n"/>
      <c r="AG1332">
        <f>IF($C1332="","",IF(COUNTIF($C$2:$C1332,$C1332)=1,1,0))</f>
        <v/>
      </c>
      <c r="AH1332">
        <f>IF($AG1332=1,SUMPRODUCT(--($AK$2:$AK$6001&lt;$AK1332))+1,"")</f>
        <v/>
      </c>
      <c r="AI1332">
        <f>IF($C1332="","",IF(OR($N1332=TRUE(),$N1332="TRUE"),1,0))</f>
        <v/>
      </c>
      <c r="AJ1332">
        <f>IF($C1332="","",IF($T1332="Yes",1,0))</f>
        <v/>
      </c>
      <c r="AK1332">
        <f>IF($AG1332=1,IFERROR(IF(VALUE($C1332)&lt;100000000,VALUE($C1332),1000000000),IFERROR(IF(VALUE(MID($C1332,2,20))&lt;100000000,VALUE(MID($C1332,2,20)),1000000000),1000000000))+ROW()/100000,"")</f>
        <v/>
      </c>
    </row>
    <row r="1333">
      <c r="D1333" s="11" t="n"/>
      <c r="K1333" s="7">
        <f>IF($C1333="","",J1333*W1333/100)</f>
        <v/>
      </c>
      <c r="Q1333" s="7" t="n"/>
      <c r="R1333" s="7" t="n"/>
      <c r="U1333">
        <f>IF($C1333="","",IF($AJ1333=1,0,IF($AI1333=1,Settings!$C$6,Settings!$C$7))*100)</f>
        <v/>
      </c>
      <c r="V1333" s="7">
        <f>IF($C1333="","",R1333*U1333/100)</f>
        <v/>
      </c>
      <c r="W1333" s="7">
        <f>IF($C1333="","",R1333-V1333)</f>
        <v/>
      </c>
      <c r="X1333" s="7">
        <f>IF($C1333="","",W1333-K1333)</f>
        <v/>
      </c>
      <c r="AB1333" s="7" t="n"/>
      <c r="AE1333" s="11" t="n"/>
      <c r="AG1333">
        <f>IF($C1333="","",IF(COUNTIF($C$2:$C1333,$C1333)=1,1,0))</f>
        <v/>
      </c>
      <c r="AH1333">
        <f>IF($AG1333=1,SUMPRODUCT(--($AK$2:$AK$6001&lt;$AK1333))+1,"")</f>
        <v/>
      </c>
      <c r="AI1333">
        <f>IF($C1333="","",IF(OR($N1333=TRUE(),$N1333="TRUE"),1,0))</f>
        <v/>
      </c>
      <c r="AJ1333">
        <f>IF($C1333="","",IF($T1333="Yes",1,0))</f>
        <v/>
      </c>
      <c r="AK1333">
        <f>IF($AG1333=1,IFERROR(IF(VALUE($C1333)&lt;100000000,VALUE($C1333),1000000000),IFERROR(IF(VALUE(MID($C1333,2,20))&lt;100000000,VALUE(MID($C1333,2,20)),1000000000),1000000000))+ROW()/100000,"")</f>
        <v/>
      </c>
    </row>
    <row r="1334">
      <c r="D1334" s="11" t="n"/>
      <c r="K1334" s="7">
        <f>IF($C1334="","",J1334*W1334/100)</f>
        <v/>
      </c>
      <c r="Q1334" s="7" t="n"/>
      <c r="R1334" s="7" t="n"/>
      <c r="U1334">
        <f>IF($C1334="","",IF($AJ1334=1,0,IF($AI1334=1,Settings!$C$6,Settings!$C$7))*100)</f>
        <v/>
      </c>
      <c r="V1334" s="7">
        <f>IF($C1334="","",R1334*U1334/100)</f>
        <v/>
      </c>
      <c r="W1334" s="7">
        <f>IF($C1334="","",R1334-V1334)</f>
        <v/>
      </c>
      <c r="X1334" s="7">
        <f>IF($C1334="","",W1334-K1334)</f>
        <v/>
      </c>
      <c r="AB1334" s="7" t="n"/>
      <c r="AE1334" s="11" t="n"/>
      <c r="AG1334">
        <f>IF($C1334="","",IF(COUNTIF($C$2:$C1334,$C1334)=1,1,0))</f>
        <v/>
      </c>
      <c r="AH1334">
        <f>IF($AG1334=1,SUMPRODUCT(--($AK$2:$AK$6001&lt;$AK1334))+1,"")</f>
        <v/>
      </c>
      <c r="AI1334">
        <f>IF($C1334="","",IF(OR($N1334=TRUE(),$N1334="TRUE"),1,0))</f>
        <v/>
      </c>
      <c r="AJ1334">
        <f>IF($C1334="","",IF($T1334="Yes",1,0))</f>
        <v/>
      </c>
      <c r="AK1334">
        <f>IF($AG1334=1,IFERROR(IF(VALUE($C1334)&lt;100000000,VALUE($C1334),1000000000),IFERROR(IF(VALUE(MID($C1334,2,20))&lt;100000000,VALUE(MID($C1334,2,20)),1000000000),1000000000))+ROW()/100000,"")</f>
        <v/>
      </c>
    </row>
    <row r="1335">
      <c r="D1335" s="11" t="n"/>
      <c r="K1335" s="7">
        <f>IF($C1335="","",J1335*W1335/100)</f>
        <v/>
      </c>
      <c r="Q1335" s="7" t="n"/>
      <c r="R1335" s="7" t="n"/>
      <c r="U1335">
        <f>IF($C1335="","",IF($AJ1335=1,0,IF($AI1335=1,Settings!$C$6,Settings!$C$7))*100)</f>
        <v/>
      </c>
      <c r="V1335" s="7">
        <f>IF($C1335="","",R1335*U1335/100)</f>
        <v/>
      </c>
      <c r="W1335" s="7">
        <f>IF($C1335="","",R1335-V1335)</f>
        <v/>
      </c>
      <c r="X1335" s="7">
        <f>IF($C1335="","",W1335-K1335)</f>
        <v/>
      </c>
      <c r="AB1335" s="7" t="n"/>
      <c r="AE1335" s="11" t="n"/>
      <c r="AG1335">
        <f>IF($C1335="","",IF(COUNTIF($C$2:$C1335,$C1335)=1,1,0))</f>
        <v/>
      </c>
      <c r="AH1335">
        <f>IF($AG1335=1,SUMPRODUCT(--($AK$2:$AK$6001&lt;$AK1335))+1,"")</f>
        <v/>
      </c>
      <c r="AI1335">
        <f>IF($C1335="","",IF(OR($N1335=TRUE(),$N1335="TRUE"),1,0))</f>
        <v/>
      </c>
      <c r="AJ1335">
        <f>IF($C1335="","",IF($T1335="Yes",1,0))</f>
        <v/>
      </c>
      <c r="AK1335">
        <f>IF($AG1335=1,IFERROR(IF(VALUE($C1335)&lt;100000000,VALUE($C1335),1000000000),IFERROR(IF(VALUE(MID($C1335,2,20))&lt;100000000,VALUE(MID($C1335,2,20)),1000000000),1000000000))+ROW()/100000,"")</f>
        <v/>
      </c>
    </row>
    <row r="1336">
      <c r="D1336" s="11" t="n"/>
      <c r="K1336" s="7">
        <f>IF($C1336="","",J1336*W1336/100)</f>
        <v/>
      </c>
      <c r="Q1336" s="7" t="n"/>
      <c r="R1336" s="7" t="n"/>
      <c r="U1336">
        <f>IF($C1336="","",IF($AJ1336=1,0,IF($AI1336=1,Settings!$C$6,Settings!$C$7))*100)</f>
        <v/>
      </c>
      <c r="V1336" s="7">
        <f>IF($C1336="","",R1336*U1336/100)</f>
        <v/>
      </c>
      <c r="W1336" s="7">
        <f>IF($C1336="","",R1336-V1336)</f>
        <v/>
      </c>
      <c r="X1336" s="7">
        <f>IF($C1336="","",W1336-K1336)</f>
        <v/>
      </c>
      <c r="AB1336" s="7" t="n"/>
      <c r="AE1336" s="11" t="n"/>
      <c r="AG1336">
        <f>IF($C1336="","",IF(COUNTIF($C$2:$C1336,$C1336)=1,1,0))</f>
        <v/>
      </c>
      <c r="AH1336">
        <f>IF($AG1336=1,SUMPRODUCT(--($AK$2:$AK$6001&lt;$AK1336))+1,"")</f>
        <v/>
      </c>
      <c r="AI1336">
        <f>IF($C1336="","",IF(OR($N1336=TRUE(),$N1336="TRUE"),1,0))</f>
        <v/>
      </c>
      <c r="AJ1336">
        <f>IF($C1336="","",IF($T1336="Yes",1,0))</f>
        <v/>
      </c>
      <c r="AK1336">
        <f>IF($AG1336=1,IFERROR(IF(VALUE($C1336)&lt;100000000,VALUE($C1336),1000000000),IFERROR(IF(VALUE(MID($C1336,2,20))&lt;100000000,VALUE(MID($C1336,2,20)),1000000000),1000000000))+ROW()/100000,"")</f>
        <v/>
      </c>
    </row>
    <row r="1337">
      <c r="D1337" s="11" t="n"/>
      <c r="K1337" s="7">
        <f>IF($C1337="","",J1337*W1337/100)</f>
        <v/>
      </c>
      <c r="Q1337" s="7" t="n"/>
      <c r="R1337" s="7" t="n"/>
      <c r="U1337">
        <f>IF($C1337="","",IF($AJ1337=1,0,IF($AI1337=1,Settings!$C$6,Settings!$C$7))*100)</f>
        <v/>
      </c>
      <c r="V1337" s="7">
        <f>IF($C1337="","",R1337*U1337/100)</f>
        <v/>
      </c>
      <c r="W1337" s="7">
        <f>IF($C1337="","",R1337-V1337)</f>
        <v/>
      </c>
      <c r="X1337" s="7">
        <f>IF($C1337="","",W1337-K1337)</f>
        <v/>
      </c>
      <c r="AB1337" s="7" t="n"/>
      <c r="AE1337" s="11" t="n"/>
      <c r="AG1337">
        <f>IF($C1337="","",IF(COUNTIF($C$2:$C1337,$C1337)=1,1,0))</f>
        <v/>
      </c>
      <c r="AH1337">
        <f>IF($AG1337=1,SUMPRODUCT(--($AK$2:$AK$6001&lt;$AK1337))+1,"")</f>
        <v/>
      </c>
      <c r="AI1337">
        <f>IF($C1337="","",IF(OR($N1337=TRUE(),$N1337="TRUE"),1,0))</f>
        <v/>
      </c>
      <c r="AJ1337">
        <f>IF($C1337="","",IF($T1337="Yes",1,0))</f>
        <v/>
      </c>
      <c r="AK1337">
        <f>IF($AG1337=1,IFERROR(IF(VALUE($C1337)&lt;100000000,VALUE($C1337),1000000000),IFERROR(IF(VALUE(MID($C1337,2,20))&lt;100000000,VALUE(MID($C1337,2,20)),1000000000),1000000000))+ROW()/100000,"")</f>
        <v/>
      </c>
    </row>
    <row r="1338">
      <c r="D1338" s="11" t="n"/>
      <c r="K1338" s="7">
        <f>IF($C1338="","",J1338*W1338/100)</f>
        <v/>
      </c>
      <c r="Q1338" s="7" t="n"/>
      <c r="R1338" s="7" t="n"/>
      <c r="U1338">
        <f>IF($C1338="","",IF($AJ1338=1,0,IF($AI1338=1,Settings!$C$6,Settings!$C$7))*100)</f>
        <v/>
      </c>
      <c r="V1338" s="7">
        <f>IF($C1338="","",R1338*U1338/100)</f>
        <v/>
      </c>
      <c r="W1338" s="7">
        <f>IF($C1338="","",R1338-V1338)</f>
        <v/>
      </c>
      <c r="X1338" s="7">
        <f>IF($C1338="","",W1338-K1338)</f>
        <v/>
      </c>
      <c r="AB1338" s="7" t="n"/>
      <c r="AE1338" s="11" t="n"/>
      <c r="AG1338">
        <f>IF($C1338="","",IF(COUNTIF($C$2:$C1338,$C1338)=1,1,0))</f>
        <v/>
      </c>
      <c r="AH1338">
        <f>IF($AG1338=1,SUMPRODUCT(--($AK$2:$AK$6001&lt;$AK1338))+1,"")</f>
        <v/>
      </c>
      <c r="AI1338">
        <f>IF($C1338="","",IF(OR($N1338=TRUE(),$N1338="TRUE"),1,0))</f>
        <v/>
      </c>
      <c r="AJ1338">
        <f>IF($C1338="","",IF($T1338="Yes",1,0))</f>
        <v/>
      </c>
      <c r="AK1338">
        <f>IF($AG1338=1,IFERROR(IF(VALUE($C1338)&lt;100000000,VALUE($C1338),1000000000),IFERROR(IF(VALUE(MID($C1338,2,20))&lt;100000000,VALUE(MID($C1338,2,20)),1000000000),1000000000))+ROW()/100000,"")</f>
        <v/>
      </c>
    </row>
    <row r="1339">
      <c r="D1339" s="11" t="n"/>
      <c r="K1339" s="7">
        <f>IF($C1339="","",J1339*W1339/100)</f>
        <v/>
      </c>
      <c r="Q1339" s="7" t="n"/>
      <c r="R1339" s="7" t="n"/>
      <c r="U1339">
        <f>IF($C1339="","",IF($AJ1339=1,0,IF($AI1339=1,Settings!$C$6,Settings!$C$7))*100)</f>
        <v/>
      </c>
      <c r="V1339" s="7">
        <f>IF($C1339="","",R1339*U1339/100)</f>
        <v/>
      </c>
      <c r="W1339" s="7">
        <f>IF($C1339="","",R1339-V1339)</f>
        <v/>
      </c>
      <c r="X1339" s="7">
        <f>IF($C1339="","",W1339-K1339)</f>
        <v/>
      </c>
      <c r="AB1339" s="7" t="n"/>
      <c r="AE1339" s="11" t="n"/>
      <c r="AG1339">
        <f>IF($C1339="","",IF(COUNTIF($C$2:$C1339,$C1339)=1,1,0))</f>
        <v/>
      </c>
      <c r="AH1339">
        <f>IF($AG1339=1,SUMPRODUCT(--($AK$2:$AK$6001&lt;$AK1339))+1,"")</f>
        <v/>
      </c>
      <c r="AI1339">
        <f>IF($C1339="","",IF(OR($N1339=TRUE(),$N1339="TRUE"),1,0))</f>
        <v/>
      </c>
      <c r="AJ1339">
        <f>IF($C1339="","",IF($T1339="Yes",1,0))</f>
        <v/>
      </c>
      <c r="AK1339">
        <f>IF($AG1339=1,IFERROR(IF(VALUE($C1339)&lt;100000000,VALUE($C1339),1000000000),IFERROR(IF(VALUE(MID($C1339,2,20))&lt;100000000,VALUE(MID($C1339,2,20)),1000000000),1000000000))+ROW()/100000,"")</f>
        <v/>
      </c>
    </row>
    <row r="1340">
      <c r="D1340" s="11" t="n"/>
      <c r="K1340" s="7">
        <f>IF($C1340="","",J1340*W1340/100)</f>
        <v/>
      </c>
      <c r="Q1340" s="7" t="n"/>
      <c r="R1340" s="7" t="n"/>
      <c r="U1340">
        <f>IF($C1340="","",IF($AJ1340=1,0,IF($AI1340=1,Settings!$C$6,Settings!$C$7))*100)</f>
        <v/>
      </c>
      <c r="V1340" s="7">
        <f>IF($C1340="","",R1340*U1340/100)</f>
        <v/>
      </c>
      <c r="W1340" s="7">
        <f>IF($C1340="","",R1340-V1340)</f>
        <v/>
      </c>
      <c r="X1340" s="7">
        <f>IF($C1340="","",W1340-K1340)</f>
        <v/>
      </c>
      <c r="AB1340" s="7" t="n"/>
      <c r="AE1340" s="11" t="n"/>
      <c r="AG1340">
        <f>IF($C1340="","",IF(COUNTIF($C$2:$C1340,$C1340)=1,1,0))</f>
        <v/>
      </c>
      <c r="AH1340">
        <f>IF($AG1340=1,SUMPRODUCT(--($AK$2:$AK$6001&lt;$AK1340))+1,"")</f>
        <v/>
      </c>
      <c r="AI1340">
        <f>IF($C1340="","",IF(OR($N1340=TRUE(),$N1340="TRUE"),1,0))</f>
        <v/>
      </c>
      <c r="AJ1340">
        <f>IF($C1340="","",IF($T1340="Yes",1,0))</f>
        <v/>
      </c>
      <c r="AK1340">
        <f>IF($AG1340=1,IFERROR(IF(VALUE($C1340)&lt;100000000,VALUE($C1340),1000000000),IFERROR(IF(VALUE(MID($C1340,2,20))&lt;100000000,VALUE(MID($C1340,2,20)),1000000000),1000000000))+ROW()/100000,"")</f>
        <v/>
      </c>
    </row>
    <row r="1341">
      <c r="D1341" s="11" t="n"/>
      <c r="K1341" s="7">
        <f>IF($C1341="","",J1341*W1341/100)</f>
        <v/>
      </c>
      <c r="Q1341" s="7" t="n"/>
      <c r="R1341" s="7" t="n"/>
      <c r="U1341">
        <f>IF($C1341="","",IF($AJ1341=1,0,IF($AI1341=1,Settings!$C$6,Settings!$C$7))*100)</f>
        <v/>
      </c>
      <c r="V1341" s="7">
        <f>IF($C1341="","",R1341*U1341/100)</f>
        <v/>
      </c>
      <c r="W1341" s="7">
        <f>IF($C1341="","",R1341-V1341)</f>
        <v/>
      </c>
      <c r="X1341" s="7">
        <f>IF($C1341="","",W1341-K1341)</f>
        <v/>
      </c>
      <c r="AB1341" s="7" t="n"/>
      <c r="AE1341" s="11" t="n"/>
      <c r="AG1341">
        <f>IF($C1341="","",IF(COUNTIF($C$2:$C1341,$C1341)=1,1,0))</f>
        <v/>
      </c>
      <c r="AH1341">
        <f>IF($AG1341=1,SUMPRODUCT(--($AK$2:$AK$6001&lt;$AK1341))+1,"")</f>
        <v/>
      </c>
      <c r="AI1341">
        <f>IF($C1341="","",IF(OR($N1341=TRUE(),$N1341="TRUE"),1,0))</f>
        <v/>
      </c>
      <c r="AJ1341">
        <f>IF($C1341="","",IF($T1341="Yes",1,0))</f>
        <v/>
      </c>
      <c r="AK1341">
        <f>IF($AG1341=1,IFERROR(IF(VALUE($C1341)&lt;100000000,VALUE($C1341),1000000000),IFERROR(IF(VALUE(MID($C1341,2,20))&lt;100000000,VALUE(MID($C1341,2,20)),1000000000),1000000000))+ROW()/100000,"")</f>
        <v/>
      </c>
    </row>
    <row r="1342">
      <c r="D1342" s="11" t="n"/>
      <c r="K1342" s="7">
        <f>IF($C1342="","",J1342*W1342/100)</f>
        <v/>
      </c>
      <c r="Q1342" s="7" t="n"/>
      <c r="R1342" s="7" t="n"/>
      <c r="U1342">
        <f>IF($C1342="","",IF($AJ1342=1,0,IF($AI1342=1,Settings!$C$6,Settings!$C$7))*100)</f>
        <v/>
      </c>
      <c r="V1342" s="7">
        <f>IF($C1342="","",R1342*U1342/100)</f>
        <v/>
      </c>
      <c r="W1342" s="7">
        <f>IF($C1342="","",R1342-V1342)</f>
        <v/>
      </c>
      <c r="X1342" s="7">
        <f>IF($C1342="","",W1342-K1342)</f>
        <v/>
      </c>
      <c r="AB1342" s="7" t="n"/>
      <c r="AE1342" s="11" t="n"/>
      <c r="AG1342">
        <f>IF($C1342="","",IF(COUNTIF($C$2:$C1342,$C1342)=1,1,0))</f>
        <v/>
      </c>
      <c r="AH1342">
        <f>IF($AG1342=1,SUMPRODUCT(--($AK$2:$AK$6001&lt;$AK1342))+1,"")</f>
        <v/>
      </c>
      <c r="AI1342">
        <f>IF($C1342="","",IF(OR($N1342=TRUE(),$N1342="TRUE"),1,0))</f>
        <v/>
      </c>
      <c r="AJ1342">
        <f>IF($C1342="","",IF($T1342="Yes",1,0))</f>
        <v/>
      </c>
      <c r="AK1342">
        <f>IF($AG1342=1,IFERROR(IF(VALUE($C1342)&lt;100000000,VALUE($C1342),1000000000),IFERROR(IF(VALUE(MID($C1342,2,20))&lt;100000000,VALUE(MID($C1342,2,20)),1000000000),1000000000))+ROW()/100000,"")</f>
        <v/>
      </c>
    </row>
    <row r="1343">
      <c r="D1343" s="11" t="n"/>
      <c r="K1343" s="7">
        <f>IF($C1343="","",J1343*W1343/100)</f>
        <v/>
      </c>
      <c r="Q1343" s="7" t="n"/>
      <c r="R1343" s="7" t="n"/>
      <c r="U1343">
        <f>IF($C1343="","",IF($AJ1343=1,0,IF($AI1343=1,Settings!$C$6,Settings!$C$7))*100)</f>
        <v/>
      </c>
      <c r="V1343" s="7">
        <f>IF($C1343="","",R1343*U1343/100)</f>
        <v/>
      </c>
      <c r="W1343" s="7">
        <f>IF($C1343="","",R1343-V1343)</f>
        <v/>
      </c>
      <c r="X1343" s="7">
        <f>IF($C1343="","",W1343-K1343)</f>
        <v/>
      </c>
      <c r="AB1343" s="7" t="n"/>
      <c r="AE1343" s="11" t="n"/>
      <c r="AG1343">
        <f>IF($C1343="","",IF(COUNTIF($C$2:$C1343,$C1343)=1,1,0))</f>
        <v/>
      </c>
      <c r="AH1343">
        <f>IF($AG1343=1,SUMPRODUCT(--($AK$2:$AK$6001&lt;$AK1343))+1,"")</f>
        <v/>
      </c>
      <c r="AI1343">
        <f>IF($C1343="","",IF(OR($N1343=TRUE(),$N1343="TRUE"),1,0))</f>
        <v/>
      </c>
      <c r="AJ1343">
        <f>IF($C1343="","",IF($T1343="Yes",1,0))</f>
        <v/>
      </c>
      <c r="AK1343">
        <f>IF($AG1343=1,IFERROR(IF(VALUE($C1343)&lt;100000000,VALUE($C1343),1000000000),IFERROR(IF(VALUE(MID($C1343,2,20))&lt;100000000,VALUE(MID($C1343,2,20)),1000000000),1000000000))+ROW()/100000,"")</f>
        <v/>
      </c>
    </row>
    <row r="1344">
      <c r="D1344" s="11" t="n"/>
      <c r="K1344" s="7">
        <f>IF($C1344="","",J1344*W1344/100)</f>
        <v/>
      </c>
      <c r="Q1344" s="7" t="n"/>
      <c r="R1344" s="7" t="n"/>
      <c r="U1344">
        <f>IF($C1344="","",IF($AJ1344=1,0,IF($AI1344=1,Settings!$C$6,Settings!$C$7))*100)</f>
        <v/>
      </c>
      <c r="V1344" s="7">
        <f>IF($C1344="","",R1344*U1344/100)</f>
        <v/>
      </c>
      <c r="W1344" s="7">
        <f>IF($C1344="","",R1344-V1344)</f>
        <v/>
      </c>
      <c r="X1344" s="7">
        <f>IF($C1344="","",W1344-K1344)</f>
        <v/>
      </c>
      <c r="AB1344" s="7" t="n"/>
      <c r="AE1344" s="11" t="n"/>
      <c r="AG1344">
        <f>IF($C1344="","",IF(COUNTIF($C$2:$C1344,$C1344)=1,1,0))</f>
        <v/>
      </c>
      <c r="AH1344">
        <f>IF($AG1344=1,SUMPRODUCT(--($AK$2:$AK$6001&lt;$AK1344))+1,"")</f>
        <v/>
      </c>
      <c r="AI1344">
        <f>IF($C1344="","",IF(OR($N1344=TRUE(),$N1344="TRUE"),1,0))</f>
        <v/>
      </c>
      <c r="AJ1344">
        <f>IF($C1344="","",IF($T1344="Yes",1,0))</f>
        <v/>
      </c>
      <c r="AK1344">
        <f>IF($AG1344=1,IFERROR(IF(VALUE($C1344)&lt;100000000,VALUE($C1344),1000000000),IFERROR(IF(VALUE(MID($C1344,2,20))&lt;100000000,VALUE(MID($C1344,2,20)),1000000000),1000000000))+ROW()/100000,"")</f>
        <v/>
      </c>
    </row>
    <row r="1345">
      <c r="D1345" s="11" t="n"/>
      <c r="K1345" s="7">
        <f>IF($C1345="","",J1345*W1345/100)</f>
        <v/>
      </c>
      <c r="Q1345" s="7" t="n"/>
      <c r="R1345" s="7" t="n"/>
      <c r="U1345">
        <f>IF($C1345="","",IF($AJ1345=1,0,IF($AI1345=1,Settings!$C$6,Settings!$C$7))*100)</f>
        <v/>
      </c>
      <c r="V1345" s="7">
        <f>IF($C1345="","",R1345*U1345/100)</f>
        <v/>
      </c>
      <c r="W1345" s="7">
        <f>IF($C1345="","",R1345-V1345)</f>
        <v/>
      </c>
      <c r="X1345" s="7">
        <f>IF($C1345="","",W1345-K1345)</f>
        <v/>
      </c>
      <c r="AB1345" s="7" t="n"/>
      <c r="AE1345" s="11" t="n"/>
      <c r="AG1345">
        <f>IF($C1345="","",IF(COUNTIF($C$2:$C1345,$C1345)=1,1,0))</f>
        <v/>
      </c>
      <c r="AH1345">
        <f>IF($AG1345=1,SUMPRODUCT(--($AK$2:$AK$6001&lt;$AK1345))+1,"")</f>
        <v/>
      </c>
      <c r="AI1345">
        <f>IF($C1345="","",IF(OR($N1345=TRUE(),$N1345="TRUE"),1,0))</f>
        <v/>
      </c>
      <c r="AJ1345">
        <f>IF($C1345="","",IF($T1345="Yes",1,0))</f>
        <v/>
      </c>
      <c r="AK1345">
        <f>IF($AG1345=1,IFERROR(IF(VALUE($C1345)&lt;100000000,VALUE($C1345),1000000000),IFERROR(IF(VALUE(MID($C1345,2,20))&lt;100000000,VALUE(MID($C1345,2,20)),1000000000),1000000000))+ROW()/100000,"")</f>
        <v/>
      </c>
    </row>
    <row r="1346">
      <c r="D1346" s="11" t="n"/>
      <c r="K1346" s="7">
        <f>IF($C1346="","",J1346*W1346/100)</f>
        <v/>
      </c>
      <c r="Q1346" s="7" t="n"/>
      <c r="R1346" s="7" t="n"/>
      <c r="U1346">
        <f>IF($C1346="","",IF($AJ1346=1,0,IF($AI1346=1,Settings!$C$6,Settings!$C$7))*100)</f>
        <v/>
      </c>
      <c r="V1346" s="7">
        <f>IF($C1346="","",R1346*U1346/100)</f>
        <v/>
      </c>
      <c r="W1346" s="7">
        <f>IF($C1346="","",R1346-V1346)</f>
        <v/>
      </c>
      <c r="X1346" s="7">
        <f>IF($C1346="","",W1346-K1346)</f>
        <v/>
      </c>
      <c r="AB1346" s="7" t="n"/>
      <c r="AE1346" s="11" t="n"/>
      <c r="AG1346">
        <f>IF($C1346="","",IF(COUNTIF($C$2:$C1346,$C1346)=1,1,0))</f>
        <v/>
      </c>
      <c r="AH1346">
        <f>IF($AG1346=1,SUMPRODUCT(--($AK$2:$AK$6001&lt;$AK1346))+1,"")</f>
        <v/>
      </c>
      <c r="AI1346">
        <f>IF($C1346="","",IF(OR($N1346=TRUE(),$N1346="TRUE"),1,0))</f>
        <v/>
      </c>
      <c r="AJ1346">
        <f>IF($C1346="","",IF($T1346="Yes",1,0))</f>
        <v/>
      </c>
      <c r="AK1346">
        <f>IF($AG1346=1,IFERROR(IF(VALUE($C1346)&lt;100000000,VALUE($C1346),1000000000),IFERROR(IF(VALUE(MID($C1346,2,20))&lt;100000000,VALUE(MID($C1346,2,20)),1000000000),1000000000))+ROW()/100000,"")</f>
        <v/>
      </c>
    </row>
    <row r="1347">
      <c r="D1347" s="11" t="n"/>
      <c r="K1347" s="7">
        <f>IF($C1347="","",J1347*W1347/100)</f>
        <v/>
      </c>
      <c r="Q1347" s="7" t="n"/>
      <c r="R1347" s="7" t="n"/>
      <c r="U1347">
        <f>IF($C1347="","",IF($AJ1347=1,0,IF($AI1347=1,Settings!$C$6,Settings!$C$7))*100)</f>
        <v/>
      </c>
      <c r="V1347" s="7">
        <f>IF($C1347="","",R1347*U1347/100)</f>
        <v/>
      </c>
      <c r="W1347" s="7">
        <f>IF($C1347="","",R1347-V1347)</f>
        <v/>
      </c>
      <c r="X1347" s="7">
        <f>IF($C1347="","",W1347-K1347)</f>
        <v/>
      </c>
      <c r="AB1347" s="7" t="n"/>
      <c r="AE1347" s="11" t="n"/>
      <c r="AG1347">
        <f>IF($C1347="","",IF(COUNTIF($C$2:$C1347,$C1347)=1,1,0))</f>
        <v/>
      </c>
      <c r="AH1347">
        <f>IF($AG1347=1,SUMPRODUCT(--($AK$2:$AK$6001&lt;$AK1347))+1,"")</f>
        <v/>
      </c>
      <c r="AI1347">
        <f>IF($C1347="","",IF(OR($N1347=TRUE(),$N1347="TRUE"),1,0))</f>
        <v/>
      </c>
      <c r="AJ1347">
        <f>IF($C1347="","",IF($T1347="Yes",1,0))</f>
        <v/>
      </c>
      <c r="AK1347">
        <f>IF($AG1347=1,IFERROR(IF(VALUE($C1347)&lt;100000000,VALUE($C1347),1000000000),IFERROR(IF(VALUE(MID($C1347,2,20))&lt;100000000,VALUE(MID($C1347,2,20)),1000000000),1000000000))+ROW()/100000,"")</f>
        <v/>
      </c>
    </row>
    <row r="1348">
      <c r="D1348" s="11" t="n"/>
      <c r="K1348" s="7">
        <f>IF($C1348="","",J1348*W1348/100)</f>
        <v/>
      </c>
      <c r="Q1348" s="7" t="n"/>
      <c r="R1348" s="7" t="n"/>
      <c r="U1348">
        <f>IF($C1348="","",IF($AJ1348=1,0,IF($AI1348=1,Settings!$C$6,Settings!$C$7))*100)</f>
        <v/>
      </c>
      <c r="V1348" s="7">
        <f>IF($C1348="","",R1348*U1348/100)</f>
        <v/>
      </c>
      <c r="W1348" s="7">
        <f>IF($C1348="","",R1348-V1348)</f>
        <v/>
      </c>
      <c r="X1348" s="7">
        <f>IF($C1348="","",W1348-K1348)</f>
        <v/>
      </c>
      <c r="AB1348" s="7" t="n"/>
      <c r="AE1348" s="11" t="n"/>
      <c r="AG1348">
        <f>IF($C1348="","",IF(COUNTIF($C$2:$C1348,$C1348)=1,1,0))</f>
        <v/>
      </c>
      <c r="AH1348">
        <f>IF($AG1348=1,SUMPRODUCT(--($AK$2:$AK$6001&lt;$AK1348))+1,"")</f>
        <v/>
      </c>
      <c r="AI1348">
        <f>IF($C1348="","",IF(OR($N1348=TRUE(),$N1348="TRUE"),1,0))</f>
        <v/>
      </c>
      <c r="AJ1348">
        <f>IF($C1348="","",IF($T1348="Yes",1,0))</f>
        <v/>
      </c>
      <c r="AK1348">
        <f>IF($AG1348=1,IFERROR(IF(VALUE($C1348)&lt;100000000,VALUE($C1348),1000000000),IFERROR(IF(VALUE(MID($C1348,2,20))&lt;100000000,VALUE(MID($C1348,2,20)),1000000000),1000000000))+ROW()/100000,"")</f>
        <v/>
      </c>
    </row>
    <row r="1349">
      <c r="D1349" s="11" t="n"/>
      <c r="K1349" s="7">
        <f>IF($C1349="","",J1349*W1349/100)</f>
        <v/>
      </c>
      <c r="Q1349" s="7" t="n"/>
      <c r="R1349" s="7" t="n"/>
      <c r="U1349">
        <f>IF($C1349="","",IF($AJ1349=1,0,IF($AI1349=1,Settings!$C$6,Settings!$C$7))*100)</f>
        <v/>
      </c>
      <c r="V1349" s="7">
        <f>IF($C1349="","",R1349*U1349/100)</f>
        <v/>
      </c>
      <c r="W1349" s="7">
        <f>IF($C1349="","",R1349-V1349)</f>
        <v/>
      </c>
      <c r="X1349" s="7">
        <f>IF($C1349="","",W1349-K1349)</f>
        <v/>
      </c>
      <c r="AB1349" s="7" t="n"/>
      <c r="AE1349" s="11" t="n"/>
      <c r="AG1349">
        <f>IF($C1349="","",IF(COUNTIF($C$2:$C1349,$C1349)=1,1,0))</f>
        <v/>
      </c>
      <c r="AH1349">
        <f>IF($AG1349=1,SUMPRODUCT(--($AK$2:$AK$6001&lt;$AK1349))+1,"")</f>
        <v/>
      </c>
      <c r="AI1349">
        <f>IF($C1349="","",IF(OR($N1349=TRUE(),$N1349="TRUE"),1,0))</f>
        <v/>
      </c>
      <c r="AJ1349">
        <f>IF($C1349="","",IF($T1349="Yes",1,0))</f>
        <v/>
      </c>
      <c r="AK1349">
        <f>IF($AG1349=1,IFERROR(IF(VALUE($C1349)&lt;100000000,VALUE($C1349),1000000000),IFERROR(IF(VALUE(MID($C1349,2,20))&lt;100000000,VALUE(MID($C1349,2,20)),1000000000),1000000000))+ROW()/100000,"")</f>
        <v/>
      </c>
    </row>
    <row r="1350">
      <c r="D1350" s="11" t="n"/>
      <c r="K1350" s="7">
        <f>IF($C1350="","",J1350*W1350/100)</f>
        <v/>
      </c>
      <c r="Q1350" s="7" t="n"/>
      <c r="R1350" s="7" t="n"/>
      <c r="U1350">
        <f>IF($C1350="","",IF($AJ1350=1,0,IF($AI1350=1,Settings!$C$6,Settings!$C$7))*100)</f>
        <v/>
      </c>
      <c r="V1350" s="7">
        <f>IF($C1350="","",R1350*U1350/100)</f>
        <v/>
      </c>
      <c r="W1350" s="7">
        <f>IF($C1350="","",R1350-V1350)</f>
        <v/>
      </c>
      <c r="X1350" s="7">
        <f>IF($C1350="","",W1350-K1350)</f>
        <v/>
      </c>
      <c r="AB1350" s="7" t="n"/>
      <c r="AE1350" s="11" t="n"/>
      <c r="AG1350">
        <f>IF($C1350="","",IF(COUNTIF($C$2:$C1350,$C1350)=1,1,0))</f>
        <v/>
      </c>
      <c r="AH1350">
        <f>IF($AG1350=1,SUMPRODUCT(--($AK$2:$AK$6001&lt;$AK1350))+1,"")</f>
        <v/>
      </c>
      <c r="AI1350">
        <f>IF($C1350="","",IF(OR($N1350=TRUE(),$N1350="TRUE"),1,0))</f>
        <v/>
      </c>
      <c r="AJ1350">
        <f>IF($C1350="","",IF($T1350="Yes",1,0))</f>
        <v/>
      </c>
      <c r="AK1350">
        <f>IF($AG1350=1,IFERROR(IF(VALUE($C1350)&lt;100000000,VALUE($C1350),1000000000),IFERROR(IF(VALUE(MID($C1350,2,20))&lt;100000000,VALUE(MID($C1350,2,20)),1000000000),1000000000))+ROW()/100000,"")</f>
        <v/>
      </c>
    </row>
    <row r="1351">
      <c r="D1351" s="11" t="n"/>
      <c r="K1351" s="7">
        <f>IF($C1351="","",J1351*W1351/100)</f>
        <v/>
      </c>
      <c r="Q1351" s="7" t="n"/>
      <c r="R1351" s="7" t="n"/>
      <c r="U1351">
        <f>IF($C1351="","",IF($AJ1351=1,0,IF($AI1351=1,Settings!$C$6,Settings!$C$7))*100)</f>
        <v/>
      </c>
      <c r="V1351" s="7">
        <f>IF($C1351="","",R1351*U1351/100)</f>
        <v/>
      </c>
      <c r="W1351" s="7">
        <f>IF($C1351="","",R1351-V1351)</f>
        <v/>
      </c>
      <c r="X1351" s="7">
        <f>IF($C1351="","",W1351-K1351)</f>
        <v/>
      </c>
      <c r="AB1351" s="7" t="n"/>
      <c r="AE1351" s="11" t="n"/>
      <c r="AG1351">
        <f>IF($C1351="","",IF(COUNTIF($C$2:$C1351,$C1351)=1,1,0))</f>
        <v/>
      </c>
      <c r="AH1351">
        <f>IF($AG1351=1,SUMPRODUCT(--($AK$2:$AK$6001&lt;$AK1351))+1,"")</f>
        <v/>
      </c>
      <c r="AI1351">
        <f>IF($C1351="","",IF(OR($N1351=TRUE(),$N1351="TRUE"),1,0))</f>
        <v/>
      </c>
      <c r="AJ1351">
        <f>IF($C1351="","",IF($T1351="Yes",1,0))</f>
        <v/>
      </c>
      <c r="AK1351">
        <f>IF($AG1351=1,IFERROR(IF(VALUE($C1351)&lt;100000000,VALUE($C1351),1000000000),IFERROR(IF(VALUE(MID($C1351,2,20))&lt;100000000,VALUE(MID($C1351,2,20)),1000000000),1000000000))+ROW()/100000,"")</f>
        <v/>
      </c>
    </row>
    <row r="1352">
      <c r="D1352" s="11" t="n"/>
      <c r="K1352" s="7">
        <f>IF($C1352="","",J1352*W1352/100)</f>
        <v/>
      </c>
      <c r="Q1352" s="7" t="n"/>
      <c r="R1352" s="7" t="n"/>
      <c r="U1352">
        <f>IF($C1352="","",IF($AJ1352=1,0,IF($AI1352=1,Settings!$C$6,Settings!$C$7))*100)</f>
        <v/>
      </c>
      <c r="V1352" s="7">
        <f>IF($C1352="","",R1352*U1352/100)</f>
        <v/>
      </c>
      <c r="W1352" s="7">
        <f>IF($C1352="","",R1352-V1352)</f>
        <v/>
      </c>
      <c r="X1352" s="7">
        <f>IF($C1352="","",W1352-K1352)</f>
        <v/>
      </c>
      <c r="AB1352" s="7" t="n"/>
      <c r="AE1352" s="11" t="n"/>
      <c r="AG1352">
        <f>IF($C1352="","",IF(COUNTIF($C$2:$C1352,$C1352)=1,1,0))</f>
        <v/>
      </c>
      <c r="AH1352">
        <f>IF($AG1352=1,SUMPRODUCT(--($AK$2:$AK$6001&lt;$AK1352))+1,"")</f>
        <v/>
      </c>
      <c r="AI1352">
        <f>IF($C1352="","",IF(OR($N1352=TRUE(),$N1352="TRUE"),1,0))</f>
        <v/>
      </c>
      <c r="AJ1352">
        <f>IF($C1352="","",IF($T1352="Yes",1,0))</f>
        <v/>
      </c>
      <c r="AK1352">
        <f>IF($AG1352=1,IFERROR(IF(VALUE($C1352)&lt;100000000,VALUE($C1352),1000000000),IFERROR(IF(VALUE(MID($C1352,2,20))&lt;100000000,VALUE(MID($C1352,2,20)),1000000000),1000000000))+ROW()/100000,"")</f>
        <v/>
      </c>
    </row>
    <row r="1353">
      <c r="D1353" s="11" t="n"/>
      <c r="K1353" s="7">
        <f>IF($C1353="","",J1353*W1353/100)</f>
        <v/>
      </c>
      <c r="Q1353" s="7" t="n"/>
      <c r="R1353" s="7" t="n"/>
      <c r="U1353">
        <f>IF($C1353="","",IF($AJ1353=1,0,IF($AI1353=1,Settings!$C$6,Settings!$C$7))*100)</f>
        <v/>
      </c>
      <c r="V1353" s="7">
        <f>IF($C1353="","",R1353*U1353/100)</f>
        <v/>
      </c>
      <c r="W1353" s="7">
        <f>IF($C1353="","",R1353-V1353)</f>
        <v/>
      </c>
      <c r="X1353" s="7">
        <f>IF($C1353="","",W1353-K1353)</f>
        <v/>
      </c>
      <c r="AB1353" s="7" t="n"/>
      <c r="AE1353" s="11" t="n"/>
      <c r="AG1353">
        <f>IF($C1353="","",IF(COUNTIF($C$2:$C1353,$C1353)=1,1,0))</f>
        <v/>
      </c>
      <c r="AH1353">
        <f>IF($AG1353=1,SUMPRODUCT(--($AK$2:$AK$6001&lt;$AK1353))+1,"")</f>
        <v/>
      </c>
      <c r="AI1353">
        <f>IF($C1353="","",IF(OR($N1353=TRUE(),$N1353="TRUE"),1,0))</f>
        <v/>
      </c>
      <c r="AJ1353">
        <f>IF($C1353="","",IF($T1353="Yes",1,0))</f>
        <v/>
      </c>
      <c r="AK1353">
        <f>IF($AG1353=1,IFERROR(IF(VALUE($C1353)&lt;100000000,VALUE($C1353),1000000000),IFERROR(IF(VALUE(MID($C1353,2,20))&lt;100000000,VALUE(MID($C1353,2,20)),1000000000),1000000000))+ROW()/100000,"")</f>
        <v/>
      </c>
    </row>
    <row r="1354">
      <c r="D1354" s="11" t="n"/>
      <c r="K1354" s="7">
        <f>IF($C1354="","",J1354*W1354/100)</f>
        <v/>
      </c>
      <c r="Q1354" s="7" t="n"/>
      <c r="R1354" s="7" t="n"/>
      <c r="U1354">
        <f>IF($C1354="","",IF($AJ1354=1,0,IF($AI1354=1,Settings!$C$6,Settings!$C$7))*100)</f>
        <v/>
      </c>
      <c r="V1354" s="7">
        <f>IF($C1354="","",R1354*U1354/100)</f>
        <v/>
      </c>
      <c r="W1354" s="7">
        <f>IF($C1354="","",R1354-V1354)</f>
        <v/>
      </c>
      <c r="X1354" s="7">
        <f>IF($C1354="","",W1354-K1354)</f>
        <v/>
      </c>
      <c r="AB1354" s="7" t="n"/>
      <c r="AE1354" s="11" t="n"/>
      <c r="AG1354">
        <f>IF($C1354="","",IF(COUNTIF($C$2:$C1354,$C1354)=1,1,0))</f>
        <v/>
      </c>
      <c r="AH1354">
        <f>IF($AG1354=1,SUMPRODUCT(--($AK$2:$AK$6001&lt;$AK1354))+1,"")</f>
        <v/>
      </c>
      <c r="AI1354">
        <f>IF($C1354="","",IF(OR($N1354=TRUE(),$N1354="TRUE"),1,0))</f>
        <v/>
      </c>
      <c r="AJ1354">
        <f>IF($C1354="","",IF($T1354="Yes",1,0))</f>
        <v/>
      </c>
      <c r="AK1354">
        <f>IF($AG1354=1,IFERROR(IF(VALUE($C1354)&lt;100000000,VALUE($C1354),1000000000),IFERROR(IF(VALUE(MID($C1354,2,20))&lt;100000000,VALUE(MID($C1354,2,20)),1000000000),1000000000))+ROW()/100000,"")</f>
        <v/>
      </c>
    </row>
    <row r="1355">
      <c r="D1355" s="11" t="n"/>
      <c r="K1355" s="7">
        <f>IF($C1355="","",J1355*W1355/100)</f>
        <v/>
      </c>
      <c r="Q1355" s="7" t="n"/>
      <c r="R1355" s="7" t="n"/>
      <c r="U1355">
        <f>IF($C1355="","",IF($AJ1355=1,0,IF($AI1355=1,Settings!$C$6,Settings!$C$7))*100)</f>
        <v/>
      </c>
      <c r="V1355" s="7">
        <f>IF($C1355="","",R1355*U1355/100)</f>
        <v/>
      </c>
      <c r="W1355" s="7">
        <f>IF($C1355="","",R1355-V1355)</f>
        <v/>
      </c>
      <c r="X1355" s="7">
        <f>IF($C1355="","",W1355-K1355)</f>
        <v/>
      </c>
      <c r="AB1355" s="7" t="n"/>
      <c r="AE1355" s="11" t="n"/>
      <c r="AG1355">
        <f>IF($C1355="","",IF(COUNTIF($C$2:$C1355,$C1355)=1,1,0))</f>
        <v/>
      </c>
      <c r="AH1355">
        <f>IF($AG1355=1,SUMPRODUCT(--($AK$2:$AK$6001&lt;$AK1355))+1,"")</f>
        <v/>
      </c>
      <c r="AI1355">
        <f>IF($C1355="","",IF(OR($N1355=TRUE(),$N1355="TRUE"),1,0))</f>
        <v/>
      </c>
      <c r="AJ1355">
        <f>IF($C1355="","",IF($T1355="Yes",1,0))</f>
        <v/>
      </c>
      <c r="AK1355">
        <f>IF($AG1355=1,IFERROR(IF(VALUE($C1355)&lt;100000000,VALUE($C1355),1000000000),IFERROR(IF(VALUE(MID($C1355,2,20))&lt;100000000,VALUE(MID($C1355,2,20)),1000000000),1000000000))+ROW()/100000,"")</f>
        <v/>
      </c>
    </row>
    <row r="1356">
      <c r="D1356" s="11" t="n"/>
      <c r="K1356" s="7">
        <f>IF($C1356="","",J1356*W1356/100)</f>
        <v/>
      </c>
      <c r="Q1356" s="7" t="n"/>
      <c r="R1356" s="7" t="n"/>
      <c r="U1356">
        <f>IF($C1356="","",IF($AJ1356=1,0,IF($AI1356=1,Settings!$C$6,Settings!$C$7))*100)</f>
        <v/>
      </c>
      <c r="V1356" s="7">
        <f>IF($C1356="","",R1356*U1356/100)</f>
        <v/>
      </c>
      <c r="W1356" s="7">
        <f>IF($C1356="","",R1356-V1356)</f>
        <v/>
      </c>
      <c r="X1356" s="7">
        <f>IF($C1356="","",W1356-K1356)</f>
        <v/>
      </c>
      <c r="AB1356" s="7" t="n"/>
      <c r="AE1356" s="11" t="n"/>
      <c r="AG1356">
        <f>IF($C1356="","",IF(COUNTIF($C$2:$C1356,$C1356)=1,1,0))</f>
        <v/>
      </c>
      <c r="AH1356">
        <f>IF($AG1356=1,SUMPRODUCT(--($AK$2:$AK$6001&lt;$AK1356))+1,"")</f>
        <v/>
      </c>
      <c r="AI1356">
        <f>IF($C1356="","",IF(OR($N1356=TRUE(),$N1356="TRUE"),1,0))</f>
        <v/>
      </c>
      <c r="AJ1356">
        <f>IF($C1356="","",IF($T1356="Yes",1,0))</f>
        <v/>
      </c>
      <c r="AK1356">
        <f>IF($AG1356=1,IFERROR(IF(VALUE($C1356)&lt;100000000,VALUE($C1356),1000000000),IFERROR(IF(VALUE(MID($C1356,2,20))&lt;100000000,VALUE(MID($C1356,2,20)),1000000000),1000000000))+ROW()/100000,"")</f>
        <v/>
      </c>
    </row>
    <row r="1357">
      <c r="D1357" s="11" t="n"/>
      <c r="K1357" s="7">
        <f>IF($C1357="","",J1357*W1357/100)</f>
        <v/>
      </c>
      <c r="Q1357" s="7" t="n"/>
      <c r="R1357" s="7" t="n"/>
      <c r="U1357">
        <f>IF($C1357="","",IF($AJ1357=1,0,IF($AI1357=1,Settings!$C$6,Settings!$C$7))*100)</f>
        <v/>
      </c>
      <c r="V1357" s="7">
        <f>IF($C1357="","",R1357*U1357/100)</f>
        <v/>
      </c>
      <c r="W1357" s="7">
        <f>IF($C1357="","",R1357-V1357)</f>
        <v/>
      </c>
      <c r="X1357" s="7">
        <f>IF($C1357="","",W1357-K1357)</f>
        <v/>
      </c>
      <c r="AB1357" s="7" t="n"/>
      <c r="AE1357" s="11" t="n"/>
      <c r="AG1357">
        <f>IF($C1357="","",IF(COUNTIF($C$2:$C1357,$C1357)=1,1,0))</f>
        <v/>
      </c>
      <c r="AH1357">
        <f>IF($AG1357=1,SUMPRODUCT(--($AK$2:$AK$6001&lt;$AK1357))+1,"")</f>
        <v/>
      </c>
      <c r="AI1357">
        <f>IF($C1357="","",IF(OR($N1357=TRUE(),$N1357="TRUE"),1,0))</f>
        <v/>
      </c>
      <c r="AJ1357">
        <f>IF($C1357="","",IF($T1357="Yes",1,0))</f>
        <v/>
      </c>
      <c r="AK1357">
        <f>IF($AG1357=1,IFERROR(IF(VALUE($C1357)&lt;100000000,VALUE($C1357),1000000000),IFERROR(IF(VALUE(MID($C1357,2,20))&lt;100000000,VALUE(MID($C1357,2,20)),1000000000),1000000000))+ROW()/100000,"")</f>
        <v/>
      </c>
    </row>
    <row r="1358">
      <c r="D1358" s="11" t="n"/>
      <c r="K1358" s="7">
        <f>IF($C1358="","",J1358*W1358/100)</f>
        <v/>
      </c>
      <c r="Q1358" s="7" t="n"/>
      <c r="R1358" s="7" t="n"/>
      <c r="U1358">
        <f>IF($C1358="","",IF($AJ1358=1,0,IF($AI1358=1,Settings!$C$6,Settings!$C$7))*100)</f>
        <v/>
      </c>
      <c r="V1358" s="7">
        <f>IF($C1358="","",R1358*U1358/100)</f>
        <v/>
      </c>
      <c r="W1358" s="7">
        <f>IF($C1358="","",R1358-V1358)</f>
        <v/>
      </c>
      <c r="X1358" s="7">
        <f>IF($C1358="","",W1358-K1358)</f>
        <v/>
      </c>
      <c r="AB1358" s="7" t="n"/>
      <c r="AE1358" s="11" t="n"/>
      <c r="AG1358">
        <f>IF($C1358="","",IF(COUNTIF($C$2:$C1358,$C1358)=1,1,0))</f>
        <v/>
      </c>
      <c r="AH1358">
        <f>IF($AG1358=1,SUMPRODUCT(--($AK$2:$AK$6001&lt;$AK1358))+1,"")</f>
        <v/>
      </c>
      <c r="AI1358">
        <f>IF($C1358="","",IF(OR($N1358=TRUE(),$N1358="TRUE"),1,0))</f>
        <v/>
      </c>
      <c r="AJ1358">
        <f>IF($C1358="","",IF($T1358="Yes",1,0))</f>
        <v/>
      </c>
      <c r="AK1358">
        <f>IF($AG1358=1,IFERROR(IF(VALUE($C1358)&lt;100000000,VALUE($C1358),1000000000),IFERROR(IF(VALUE(MID($C1358,2,20))&lt;100000000,VALUE(MID($C1358,2,20)),1000000000),1000000000))+ROW()/100000,"")</f>
        <v/>
      </c>
    </row>
    <row r="1359">
      <c r="D1359" s="11" t="n"/>
      <c r="K1359" s="7">
        <f>IF($C1359="","",J1359*W1359/100)</f>
        <v/>
      </c>
      <c r="Q1359" s="7" t="n"/>
      <c r="R1359" s="7" t="n"/>
      <c r="U1359">
        <f>IF($C1359="","",IF($AJ1359=1,0,IF($AI1359=1,Settings!$C$6,Settings!$C$7))*100)</f>
        <v/>
      </c>
      <c r="V1359" s="7">
        <f>IF($C1359="","",R1359*U1359/100)</f>
        <v/>
      </c>
      <c r="W1359" s="7">
        <f>IF($C1359="","",R1359-V1359)</f>
        <v/>
      </c>
      <c r="X1359" s="7">
        <f>IF($C1359="","",W1359-K1359)</f>
        <v/>
      </c>
      <c r="AB1359" s="7" t="n"/>
      <c r="AE1359" s="11" t="n"/>
      <c r="AG1359">
        <f>IF($C1359="","",IF(COUNTIF($C$2:$C1359,$C1359)=1,1,0))</f>
        <v/>
      </c>
      <c r="AH1359">
        <f>IF($AG1359=1,SUMPRODUCT(--($AK$2:$AK$6001&lt;$AK1359))+1,"")</f>
        <v/>
      </c>
      <c r="AI1359">
        <f>IF($C1359="","",IF(OR($N1359=TRUE(),$N1359="TRUE"),1,0))</f>
        <v/>
      </c>
      <c r="AJ1359">
        <f>IF($C1359="","",IF($T1359="Yes",1,0))</f>
        <v/>
      </c>
      <c r="AK1359">
        <f>IF($AG1359=1,IFERROR(IF(VALUE($C1359)&lt;100000000,VALUE($C1359),1000000000),IFERROR(IF(VALUE(MID($C1359,2,20))&lt;100000000,VALUE(MID($C1359,2,20)),1000000000),1000000000))+ROW()/100000,"")</f>
        <v/>
      </c>
    </row>
    <row r="1360">
      <c r="D1360" s="11" t="n"/>
      <c r="K1360" s="7">
        <f>IF($C1360="","",J1360*W1360/100)</f>
        <v/>
      </c>
      <c r="Q1360" s="7" t="n"/>
      <c r="R1360" s="7" t="n"/>
      <c r="U1360">
        <f>IF($C1360="","",IF($AJ1360=1,0,IF($AI1360=1,Settings!$C$6,Settings!$C$7))*100)</f>
        <v/>
      </c>
      <c r="V1360" s="7">
        <f>IF($C1360="","",R1360*U1360/100)</f>
        <v/>
      </c>
      <c r="W1360" s="7">
        <f>IF($C1360="","",R1360-V1360)</f>
        <v/>
      </c>
      <c r="X1360" s="7">
        <f>IF($C1360="","",W1360-K1360)</f>
        <v/>
      </c>
      <c r="AB1360" s="7" t="n"/>
      <c r="AE1360" s="11" t="n"/>
      <c r="AG1360">
        <f>IF($C1360="","",IF(COUNTIF($C$2:$C1360,$C1360)=1,1,0))</f>
        <v/>
      </c>
      <c r="AH1360">
        <f>IF($AG1360=1,SUMPRODUCT(--($AK$2:$AK$6001&lt;$AK1360))+1,"")</f>
        <v/>
      </c>
      <c r="AI1360">
        <f>IF($C1360="","",IF(OR($N1360=TRUE(),$N1360="TRUE"),1,0))</f>
        <v/>
      </c>
      <c r="AJ1360">
        <f>IF($C1360="","",IF($T1360="Yes",1,0))</f>
        <v/>
      </c>
      <c r="AK1360">
        <f>IF($AG1360=1,IFERROR(IF(VALUE($C1360)&lt;100000000,VALUE($C1360),1000000000),IFERROR(IF(VALUE(MID($C1360,2,20))&lt;100000000,VALUE(MID($C1360,2,20)),1000000000),1000000000))+ROW()/100000,"")</f>
        <v/>
      </c>
    </row>
    <row r="1361">
      <c r="D1361" s="11" t="n"/>
      <c r="K1361" s="7">
        <f>IF($C1361="","",J1361*W1361/100)</f>
        <v/>
      </c>
      <c r="Q1361" s="7" t="n"/>
      <c r="R1361" s="7" t="n"/>
      <c r="U1361">
        <f>IF($C1361="","",IF($AJ1361=1,0,IF($AI1361=1,Settings!$C$6,Settings!$C$7))*100)</f>
        <v/>
      </c>
      <c r="V1361" s="7">
        <f>IF($C1361="","",R1361*U1361/100)</f>
        <v/>
      </c>
      <c r="W1361" s="7">
        <f>IF($C1361="","",R1361-V1361)</f>
        <v/>
      </c>
      <c r="X1361" s="7">
        <f>IF($C1361="","",W1361-K1361)</f>
        <v/>
      </c>
      <c r="AB1361" s="7" t="n"/>
      <c r="AE1361" s="11" t="n"/>
      <c r="AG1361">
        <f>IF($C1361="","",IF(COUNTIF($C$2:$C1361,$C1361)=1,1,0))</f>
        <v/>
      </c>
      <c r="AH1361">
        <f>IF($AG1361=1,SUMPRODUCT(--($AK$2:$AK$6001&lt;$AK1361))+1,"")</f>
        <v/>
      </c>
      <c r="AI1361">
        <f>IF($C1361="","",IF(OR($N1361=TRUE(),$N1361="TRUE"),1,0))</f>
        <v/>
      </c>
      <c r="AJ1361">
        <f>IF($C1361="","",IF($T1361="Yes",1,0))</f>
        <v/>
      </c>
      <c r="AK1361">
        <f>IF($AG1361=1,IFERROR(IF(VALUE($C1361)&lt;100000000,VALUE($C1361),1000000000),IFERROR(IF(VALUE(MID($C1361,2,20))&lt;100000000,VALUE(MID($C1361,2,20)),1000000000),1000000000))+ROW()/100000,"")</f>
        <v/>
      </c>
    </row>
    <row r="1362">
      <c r="D1362" s="11" t="n"/>
      <c r="K1362" s="7">
        <f>IF($C1362="","",J1362*W1362/100)</f>
        <v/>
      </c>
      <c r="Q1362" s="7" t="n"/>
      <c r="R1362" s="7" t="n"/>
      <c r="U1362">
        <f>IF($C1362="","",IF($AJ1362=1,0,IF($AI1362=1,Settings!$C$6,Settings!$C$7))*100)</f>
        <v/>
      </c>
      <c r="V1362" s="7">
        <f>IF($C1362="","",R1362*U1362/100)</f>
        <v/>
      </c>
      <c r="W1362" s="7">
        <f>IF($C1362="","",R1362-V1362)</f>
        <v/>
      </c>
      <c r="X1362" s="7">
        <f>IF($C1362="","",W1362-K1362)</f>
        <v/>
      </c>
      <c r="AB1362" s="7" t="n"/>
      <c r="AE1362" s="11" t="n"/>
      <c r="AG1362">
        <f>IF($C1362="","",IF(COUNTIF($C$2:$C1362,$C1362)=1,1,0))</f>
        <v/>
      </c>
      <c r="AH1362">
        <f>IF($AG1362=1,SUMPRODUCT(--($AK$2:$AK$6001&lt;$AK1362))+1,"")</f>
        <v/>
      </c>
      <c r="AI1362">
        <f>IF($C1362="","",IF(OR($N1362=TRUE(),$N1362="TRUE"),1,0))</f>
        <v/>
      </c>
      <c r="AJ1362">
        <f>IF($C1362="","",IF($T1362="Yes",1,0))</f>
        <v/>
      </c>
      <c r="AK1362">
        <f>IF($AG1362=1,IFERROR(IF(VALUE($C1362)&lt;100000000,VALUE($C1362),1000000000),IFERROR(IF(VALUE(MID($C1362,2,20))&lt;100000000,VALUE(MID($C1362,2,20)),1000000000),1000000000))+ROW()/100000,"")</f>
        <v/>
      </c>
    </row>
    <row r="1363">
      <c r="D1363" s="11" t="n"/>
      <c r="K1363" s="7">
        <f>IF($C1363="","",J1363*W1363/100)</f>
        <v/>
      </c>
      <c r="Q1363" s="7" t="n"/>
      <c r="R1363" s="7" t="n"/>
      <c r="U1363">
        <f>IF($C1363="","",IF($AJ1363=1,0,IF($AI1363=1,Settings!$C$6,Settings!$C$7))*100)</f>
        <v/>
      </c>
      <c r="V1363" s="7">
        <f>IF($C1363="","",R1363*U1363/100)</f>
        <v/>
      </c>
      <c r="W1363" s="7">
        <f>IF($C1363="","",R1363-V1363)</f>
        <v/>
      </c>
      <c r="X1363" s="7">
        <f>IF($C1363="","",W1363-K1363)</f>
        <v/>
      </c>
      <c r="AB1363" s="7" t="n"/>
      <c r="AE1363" s="11" t="n"/>
      <c r="AG1363">
        <f>IF($C1363="","",IF(COUNTIF($C$2:$C1363,$C1363)=1,1,0))</f>
        <v/>
      </c>
      <c r="AH1363">
        <f>IF($AG1363=1,SUMPRODUCT(--($AK$2:$AK$6001&lt;$AK1363))+1,"")</f>
        <v/>
      </c>
      <c r="AI1363">
        <f>IF($C1363="","",IF(OR($N1363=TRUE(),$N1363="TRUE"),1,0))</f>
        <v/>
      </c>
      <c r="AJ1363">
        <f>IF($C1363="","",IF($T1363="Yes",1,0))</f>
        <v/>
      </c>
      <c r="AK1363">
        <f>IF($AG1363=1,IFERROR(IF(VALUE($C1363)&lt;100000000,VALUE($C1363),1000000000),IFERROR(IF(VALUE(MID($C1363,2,20))&lt;100000000,VALUE(MID($C1363,2,20)),1000000000),1000000000))+ROW()/100000,"")</f>
        <v/>
      </c>
    </row>
    <row r="1364">
      <c r="D1364" s="11" t="n"/>
      <c r="K1364" s="7">
        <f>IF($C1364="","",J1364*W1364/100)</f>
        <v/>
      </c>
      <c r="Q1364" s="7" t="n"/>
      <c r="R1364" s="7" t="n"/>
      <c r="U1364">
        <f>IF($C1364="","",IF($AJ1364=1,0,IF($AI1364=1,Settings!$C$6,Settings!$C$7))*100)</f>
        <v/>
      </c>
      <c r="V1364" s="7">
        <f>IF($C1364="","",R1364*U1364/100)</f>
        <v/>
      </c>
      <c r="W1364" s="7">
        <f>IF($C1364="","",R1364-V1364)</f>
        <v/>
      </c>
      <c r="X1364" s="7">
        <f>IF($C1364="","",W1364-K1364)</f>
        <v/>
      </c>
      <c r="AB1364" s="7" t="n"/>
      <c r="AE1364" s="11" t="n"/>
      <c r="AG1364">
        <f>IF($C1364="","",IF(COUNTIF($C$2:$C1364,$C1364)=1,1,0))</f>
        <v/>
      </c>
      <c r="AH1364">
        <f>IF($AG1364=1,SUMPRODUCT(--($AK$2:$AK$6001&lt;$AK1364))+1,"")</f>
        <v/>
      </c>
      <c r="AI1364">
        <f>IF($C1364="","",IF(OR($N1364=TRUE(),$N1364="TRUE"),1,0))</f>
        <v/>
      </c>
      <c r="AJ1364">
        <f>IF($C1364="","",IF($T1364="Yes",1,0))</f>
        <v/>
      </c>
      <c r="AK1364">
        <f>IF($AG1364=1,IFERROR(IF(VALUE($C1364)&lt;100000000,VALUE($C1364),1000000000),IFERROR(IF(VALUE(MID($C1364,2,20))&lt;100000000,VALUE(MID($C1364,2,20)),1000000000),1000000000))+ROW()/100000,"")</f>
        <v/>
      </c>
    </row>
    <row r="1365">
      <c r="D1365" s="11" t="n"/>
      <c r="K1365" s="7">
        <f>IF($C1365="","",J1365*W1365/100)</f>
        <v/>
      </c>
      <c r="Q1365" s="7" t="n"/>
      <c r="R1365" s="7" t="n"/>
      <c r="U1365">
        <f>IF($C1365="","",IF($AJ1365=1,0,IF($AI1365=1,Settings!$C$6,Settings!$C$7))*100)</f>
        <v/>
      </c>
      <c r="V1365" s="7">
        <f>IF($C1365="","",R1365*U1365/100)</f>
        <v/>
      </c>
      <c r="W1365" s="7">
        <f>IF($C1365="","",R1365-V1365)</f>
        <v/>
      </c>
      <c r="X1365" s="7">
        <f>IF($C1365="","",W1365-K1365)</f>
        <v/>
      </c>
      <c r="AB1365" s="7" t="n"/>
      <c r="AE1365" s="11" t="n"/>
      <c r="AG1365">
        <f>IF($C1365="","",IF(COUNTIF($C$2:$C1365,$C1365)=1,1,0))</f>
        <v/>
      </c>
      <c r="AH1365">
        <f>IF($AG1365=1,SUMPRODUCT(--($AK$2:$AK$6001&lt;$AK1365))+1,"")</f>
        <v/>
      </c>
      <c r="AI1365">
        <f>IF($C1365="","",IF(OR($N1365=TRUE(),$N1365="TRUE"),1,0))</f>
        <v/>
      </c>
      <c r="AJ1365">
        <f>IF($C1365="","",IF($T1365="Yes",1,0))</f>
        <v/>
      </c>
      <c r="AK1365">
        <f>IF($AG1365=1,IFERROR(IF(VALUE($C1365)&lt;100000000,VALUE($C1365),1000000000),IFERROR(IF(VALUE(MID($C1365,2,20))&lt;100000000,VALUE(MID($C1365,2,20)),1000000000),1000000000))+ROW()/100000,"")</f>
        <v/>
      </c>
    </row>
    <row r="1366">
      <c r="D1366" s="11" t="n"/>
      <c r="K1366" s="7">
        <f>IF($C1366="","",J1366*W1366/100)</f>
        <v/>
      </c>
      <c r="Q1366" s="7" t="n"/>
      <c r="R1366" s="7" t="n"/>
      <c r="U1366">
        <f>IF($C1366="","",IF($AJ1366=1,0,IF($AI1366=1,Settings!$C$6,Settings!$C$7))*100)</f>
        <v/>
      </c>
      <c r="V1366" s="7">
        <f>IF($C1366="","",R1366*U1366/100)</f>
        <v/>
      </c>
      <c r="W1366" s="7">
        <f>IF($C1366="","",R1366-V1366)</f>
        <v/>
      </c>
      <c r="X1366" s="7">
        <f>IF($C1366="","",W1366-K1366)</f>
        <v/>
      </c>
      <c r="AB1366" s="7" t="n"/>
      <c r="AE1366" s="11" t="n"/>
      <c r="AG1366">
        <f>IF($C1366="","",IF(COUNTIF($C$2:$C1366,$C1366)=1,1,0))</f>
        <v/>
      </c>
      <c r="AH1366">
        <f>IF($AG1366=1,SUMPRODUCT(--($AK$2:$AK$6001&lt;$AK1366))+1,"")</f>
        <v/>
      </c>
      <c r="AI1366">
        <f>IF($C1366="","",IF(OR($N1366=TRUE(),$N1366="TRUE"),1,0))</f>
        <v/>
      </c>
      <c r="AJ1366">
        <f>IF($C1366="","",IF($T1366="Yes",1,0))</f>
        <v/>
      </c>
      <c r="AK1366">
        <f>IF($AG1366=1,IFERROR(IF(VALUE($C1366)&lt;100000000,VALUE($C1366),1000000000),IFERROR(IF(VALUE(MID($C1366,2,20))&lt;100000000,VALUE(MID($C1366,2,20)),1000000000),1000000000))+ROW()/100000,"")</f>
        <v/>
      </c>
    </row>
    <row r="1367">
      <c r="D1367" s="11" t="n"/>
      <c r="K1367" s="7">
        <f>IF($C1367="","",J1367*W1367/100)</f>
        <v/>
      </c>
      <c r="Q1367" s="7" t="n"/>
      <c r="R1367" s="7" t="n"/>
      <c r="U1367">
        <f>IF($C1367="","",IF($AJ1367=1,0,IF($AI1367=1,Settings!$C$6,Settings!$C$7))*100)</f>
        <v/>
      </c>
      <c r="V1367" s="7">
        <f>IF($C1367="","",R1367*U1367/100)</f>
        <v/>
      </c>
      <c r="W1367" s="7">
        <f>IF($C1367="","",R1367-V1367)</f>
        <v/>
      </c>
      <c r="X1367" s="7">
        <f>IF($C1367="","",W1367-K1367)</f>
        <v/>
      </c>
      <c r="AB1367" s="7" t="n"/>
      <c r="AE1367" s="11" t="n"/>
      <c r="AG1367">
        <f>IF($C1367="","",IF(COUNTIF($C$2:$C1367,$C1367)=1,1,0))</f>
        <v/>
      </c>
      <c r="AH1367">
        <f>IF($AG1367=1,SUMPRODUCT(--($AK$2:$AK$6001&lt;$AK1367))+1,"")</f>
        <v/>
      </c>
      <c r="AI1367">
        <f>IF($C1367="","",IF(OR($N1367=TRUE(),$N1367="TRUE"),1,0))</f>
        <v/>
      </c>
      <c r="AJ1367">
        <f>IF($C1367="","",IF($T1367="Yes",1,0))</f>
        <v/>
      </c>
      <c r="AK1367">
        <f>IF($AG1367=1,IFERROR(IF(VALUE($C1367)&lt;100000000,VALUE($C1367),1000000000),IFERROR(IF(VALUE(MID($C1367,2,20))&lt;100000000,VALUE(MID($C1367,2,20)),1000000000),1000000000))+ROW()/100000,"")</f>
        <v/>
      </c>
    </row>
    <row r="1368">
      <c r="D1368" s="11" t="n"/>
      <c r="K1368" s="7">
        <f>IF($C1368="","",J1368*W1368/100)</f>
        <v/>
      </c>
      <c r="Q1368" s="7" t="n"/>
      <c r="R1368" s="7" t="n"/>
      <c r="U1368">
        <f>IF($C1368="","",IF($AJ1368=1,0,IF($AI1368=1,Settings!$C$6,Settings!$C$7))*100)</f>
        <v/>
      </c>
      <c r="V1368" s="7">
        <f>IF($C1368="","",R1368*U1368/100)</f>
        <v/>
      </c>
      <c r="W1368" s="7">
        <f>IF($C1368="","",R1368-V1368)</f>
        <v/>
      </c>
      <c r="X1368" s="7">
        <f>IF($C1368="","",W1368-K1368)</f>
        <v/>
      </c>
      <c r="AB1368" s="7" t="n"/>
      <c r="AE1368" s="11" t="n"/>
      <c r="AG1368">
        <f>IF($C1368="","",IF(COUNTIF($C$2:$C1368,$C1368)=1,1,0))</f>
        <v/>
      </c>
      <c r="AH1368">
        <f>IF($AG1368=1,SUMPRODUCT(--($AK$2:$AK$6001&lt;$AK1368))+1,"")</f>
        <v/>
      </c>
      <c r="AI1368">
        <f>IF($C1368="","",IF(OR($N1368=TRUE(),$N1368="TRUE"),1,0))</f>
        <v/>
      </c>
      <c r="AJ1368">
        <f>IF($C1368="","",IF($T1368="Yes",1,0))</f>
        <v/>
      </c>
      <c r="AK1368">
        <f>IF($AG1368=1,IFERROR(IF(VALUE($C1368)&lt;100000000,VALUE($C1368),1000000000),IFERROR(IF(VALUE(MID($C1368,2,20))&lt;100000000,VALUE(MID($C1368,2,20)),1000000000),1000000000))+ROW()/100000,"")</f>
        <v/>
      </c>
    </row>
    <row r="1369">
      <c r="D1369" s="11" t="n"/>
      <c r="K1369" s="7">
        <f>IF($C1369="","",J1369*W1369/100)</f>
        <v/>
      </c>
      <c r="Q1369" s="7" t="n"/>
      <c r="R1369" s="7" t="n"/>
      <c r="U1369">
        <f>IF($C1369="","",IF($AJ1369=1,0,IF($AI1369=1,Settings!$C$6,Settings!$C$7))*100)</f>
        <v/>
      </c>
      <c r="V1369" s="7">
        <f>IF($C1369="","",R1369*U1369/100)</f>
        <v/>
      </c>
      <c r="W1369" s="7">
        <f>IF($C1369="","",R1369-V1369)</f>
        <v/>
      </c>
      <c r="X1369" s="7">
        <f>IF($C1369="","",W1369-K1369)</f>
        <v/>
      </c>
      <c r="AB1369" s="7" t="n"/>
      <c r="AE1369" s="11" t="n"/>
      <c r="AG1369">
        <f>IF($C1369="","",IF(COUNTIF($C$2:$C1369,$C1369)=1,1,0))</f>
        <v/>
      </c>
      <c r="AH1369">
        <f>IF($AG1369=1,SUMPRODUCT(--($AK$2:$AK$6001&lt;$AK1369))+1,"")</f>
        <v/>
      </c>
      <c r="AI1369">
        <f>IF($C1369="","",IF(OR($N1369=TRUE(),$N1369="TRUE"),1,0))</f>
        <v/>
      </c>
      <c r="AJ1369">
        <f>IF($C1369="","",IF($T1369="Yes",1,0))</f>
        <v/>
      </c>
      <c r="AK1369">
        <f>IF($AG1369=1,IFERROR(IF(VALUE($C1369)&lt;100000000,VALUE($C1369),1000000000),IFERROR(IF(VALUE(MID($C1369,2,20))&lt;100000000,VALUE(MID($C1369,2,20)),1000000000),1000000000))+ROW()/100000,"")</f>
        <v/>
      </c>
    </row>
    <row r="1370">
      <c r="D1370" s="11" t="n"/>
      <c r="K1370" s="7">
        <f>IF($C1370="","",J1370*W1370/100)</f>
        <v/>
      </c>
      <c r="Q1370" s="7" t="n"/>
      <c r="R1370" s="7" t="n"/>
      <c r="U1370">
        <f>IF($C1370="","",IF($AJ1370=1,0,IF($AI1370=1,Settings!$C$6,Settings!$C$7))*100)</f>
        <v/>
      </c>
      <c r="V1370" s="7">
        <f>IF($C1370="","",R1370*U1370/100)</f>
        <v/>
      </c>
      <c r="W1370" s="7">
        <f>IF($C1370="","",R1370-V1370)</f>
        <v/>
      </c>
      <c r="X1370" s="7">
        <f>IF($C1370="","",W1370-K1370)</f>
        <v/>
      </c>
      <c r="AB1370" s="7" t="n"/>
      <c r="AE1370" s="11" t="n"/>
      <c r="AG1370">
        <f>IF($C1370="","",IF(COUNTIF($C$2:$C1370,$C1370)=1,1,0))</f>
        <v/>
      </c>
      <c r="AH1370">
        <f>IF($AG1370=1,SUMPRODUCT(--($AK$2:$AK$6001&lt;$AK1370))+1,"")</f>
        <v/>
      </c>
      <c r="AI1370">
        <f>IF($C1370="","",IF(OR($N1370=TRUE(),$N1370="TRUE"),1,0))</f>
        <v/>
      </c>
      <c r="AJ1370">
        <f>IF($C1370="","",IF($T1370="Yes",1,0))</f>
        <v/>
      </c>
      <c r="AK1370">
        <f>IF($AG1370=1,IFERROR(IF(VALUE($C1370)&lt;100000000,VALUE($C1370),1000000000),IFERROR(IF(VALUE(MID($C1370,2,20))&lt;100000000,VALUE(MID($C1370,2,20)),1000000000),1000000000))+ROW()/100000,"")</f>
        <v/>
      </c>
    </row>
    <row r="1371">
      <c r="D1371" s="11" t="n"/>
      <c r="K1371" s="7">
        <f>IF($C1371="","",J1371*W1371/100)</f>
        <v/>
      </c>
      <c r="Q1371" s="7" t="n"/>
      <c r="R1371" s="7" t="n"/>
      <c r="U1371">
        <f>IF($C1371="","",IF($AJ1371=1,0,IF($AI1371=1,Settings!$C$6,Settings!$C$7))*100)</f>
        <v/>
      </c>
      <c r="V1371" s="7">
        <f>IF($C1371="","",R1371*U1371/100)</f>
        <v/>
      </c>
      <c r="W1371" s="7">
        <f>IF($C1371="","",R1371-V1371)</f>
        <v/>
      </c>
      <c r="X1371" s="7">
        <f>IF($C1371="","",W1371-K1371)</f>
        <v/>
      </c>
      <c r="AB1371" s="7" t="n"/>
      <c r="AE1371" s="11" t="n"/>
      <c r="AG1371">
        <f>IF($C1371="","",IF(COUNTIF($C$2:$C1371,$C1371)=1,1,0))</f>
        <v/>
      </c>
      <c r="AH1371">
        <f>IF($AG1371=1,SUMPRODUCT(--($AK$2:$AK$6001&lt;$AK1371))+1,"")</f>
        <v/>
      </c>
      <c r="AI1371">
        <f>IF($C1371="","",IF(OR($N1371=TRUE(),$N1371="TRUE"),1,0))</f>
        <v/>
      </c>
      <c r="AJ1371">
        <f>IF($C1371="","",IF($T1371="Yes",1,0))</f>
        <v/>
      </c>
      <c r="AK1371">
        <f>IF($AG1371=1,IFERROR(IF(VALUE($C1371)&lt;100000000,VALUE($C1371),1000000000),IFERROR(IF(VALUE(MID($C1371,2,20))&lt;100000000,VALUE(MID($C1371,2,20)),1000000000),1000000000))+ROW()/100000,"")</f>
        <v/>
      </c>
    </row>
    <row r="1372">
      <c r="D1372" s="11" t="n"/>
      <c r="K1372" s="7">
        <f>IF($C1372="","",J1372*W1372/100)</f>
        <v/>
      </c>
      <c r="Q1372" s="7" t="n"/>
      <c r="R1372" s="7" t="n"/>
      <c r="U1372">
        <f>IF($C1372="","",IF($AJ1372=1,0,IF($AI1372=1,Settings!$C$6,Settings!$C$7))*100)</f>
        <v/>
      </c>
      <c r="V1372" s="7">
        <f>IF($C1372="","",R1372*U1372/100)</f>
        <v/>
      </c>
      <c r="W1372" s="7">
        <f>IF($C1372="","",R1372-V1372)</f>
        <v/>
      </c>
      <c r="X1372" s="7">
        <f>IF($C1372="","",W1372-K1372)</f>
        <v/>
      </c>
      <c r="AB1372" s="7" t="n"/>
      <c r="AE1372" s="11" t="n"/>
      <c r="AG1372">
        <f>IF($C1372="","",IF(COUNTIF($C$2:$C1372,$C1372)=1,1,0))</f>
        <v/>
      </c>
      <c r="AH1372">
        <f>IF($AG1372=1,SUMPRODUCT(--($AK$2:$AK$6001&lt;$AK1372))+1,"")</f>
        <v/>
      </c>
      <c r="AI1372">
        <f>IF($C1372="","",IF(OR($N1372=TRUE(),$N1372="TRUE"),1,0))</f>
        <v/>
      </c>
      <c r="AJ1372">
        <f>IF($C1372="","",IF($T1372="Yes",1,0))</f>
        <v/>
      </c>
      <c r="AK1372">
        <f>IF($AG1372=1,IFERROR(IF(VALUE($C1372)&lt;100000000,VALUE($C1372),1000000000),IFERROR(IF(VALUE(MID($C1372,2,20))&lt;100000000,VALUE(MID($C1372,2,20)),1000000000),1000000000))+ROW()/100000,"")</f>
        <v/>
      </c>
    </row>
    <row r="1373">
      <c r="D1373" s="11" t="n"/>
      <c r="K1373" s="7">
        <f>IF($C1373="","",J1373*W1373/100)</f>
        <v/>
      </c>
      <c r="Q1373" s="7" t="n"/>
      <c r="R1373" s="7" t="n"/>
      <c r="U1373">
        <f>IF($C1373="","",IF($AJ1373=1,0,IF($AI1373=1,Settings!$C$6,Settings!$C$7))*100)</f>
        <v/>
      </c>
      <c r="V1373" s="7">
        <f>IF($C1373="","",R1373*U1373/100)</f>
        <v/>
      </c>
      <c r="W1373" s="7">
        <f>IF($C1373="","",R1373-V1373)</f>
        <v/>
      </c>
      <c r="X1373" s="7">
        <f>IF($C1373="","",W1373-K1373)</f>
        <v/>
      </c>
      <c r="AB1373" s="7" t="n"/>
      <c r="AE1373" s="11" t="n"/>
      <c r="AG1373">
        <f>IF($C1373="","",IF(COUNTIF($C$2:$C1373,$C1373)=1,1,0))</f>
        <v/>
      </c>
      <c r="AH1373">
        <f>IF($AG1373=1,SUMPRODUCT(--($AK$2:$AK$6001&lt;$AK1373))+1,"")</f>
        <v/>
      </c>
      <c r="AI1373">
        <f>IF($C1373="","",IF(OR($N1373=TRUE(),$N1373="TRUE"),1,0))</f>
        <v/>
      </c>
      <c r="AJ1373">
        <f>IF($C1373="","",IF($T1373="Yes",1,0))</f>
        <v/>
      </c>
      <c r="AK1373">
        <f>IF($AG1373=1,IFERROR(IF(VALUE($C1373)&lt;100000000,VALUE($C1373),1000000000),IFERROR(IF(VALUE(MID($C1373,2,20))&lt;100000000,VALUE(MID($C1373,2,20)),1000000000),1000000000))+ROW()/100000,"")</f>
        <v/>
      </c>
    </row>
    <row r="1374">
      <c r="D1374" s="11" t="n"/>
      <c r="K1374" s="7">
        <f>IF($C1374="","",J1374*W1374/100)</f>
        <v/>
      </c>
      <c r="Q1374" s="7" t="n"/>
      <c r="R1374" s="7" t="n"/>
      <c r="U1374">
        <f>IF($C1374="","",IF($AJ1374=1,0,IF($AI1374=1,Settings!$C$6,Settings!$C$7))*100)</f>
        <v/>
      </c>
      <c r="V1374" s="7">
        <f>IF($C1374="","",R1374*U1374/100)</f>
        <v/>
      </c>
      <c r="W1374" s="7">
        <f>IF($C1374="","",R1374-V1374)</f>
        <v/>
      </c>
      <c r="X1374" s="7">
        <f>IF($C1374="","",W1374-K1374)</f>
        <v/>
      </c>
      <c r="AB1374" s="7" t="n"/>
      <c r="AE1374" s="11" t="n"/>
      <c r="AG1374">
        <f>IF($C1374="","",IF(COUNTIF($C$2:$C1374,$C1374)=1,1,0))</f>
        <v/>
      </c>
      <c r="AH1374">
        <f>IF($AG1374=1,SUMPRODUCT(--($AK$2:$AK$6001&lt;$AK1374))+1,"")</f>
        <v/>
      </c>
      <c r="AI1374">
        <f>IF($C1374="","",IF(OR($N1374=TRUE(),$N1374="TRUE"),1,0))</f>
        <v/>
      </c>
      <c r="AJ1374">
        <f>IF($C1374="","",IF($T1374="Yes",1,0))</f>
        <v/>
      </c>
      <c r="AK1374">
        <f>IF($AG1374=1,IFERROR(IF(VALUE($C1374)&lt;100000000,VALUE($C1374),1000000000),IFERROR(IF(VALUE(MID($C1374,2,20))&lt;100000000,VALUE(MID($C1374,2,20)),1000000000),1000000000))+ROW()/100000,"")</f>
        <v/>
      </c>
    </row>
    <row r="1375">
      <c r="D1375" s="11" t="n"/>
      <c r="K1375" s="7">
        <f>IF($C1375="","",J1375*W1375/100)</f>
        <v/>
      </c>
      <c r="Q1375" s="7" t="n"/>
      <c r="R1375" s="7" t="n"/>
      <c r="U1375">
        <f>IF($C1375="","",IF($AJ1375=1,0,IF($AI1375=1,Settings!$C$6,Settings!$C$7))*100)</f>
        <v/>
      </c>
      <c r="V1375" s="7">
        <f>IF($C1375="","",R1375*U1375/100)</f>
        <v/>
      </c>
      <c r="W1375" s="7">
        <f>IF($C1375="","",R1375-V1375)</f>
        <v/>
      </c>
      <c r="X1375" s="7">
        <f>IF($C1375="","",W1375-K1375)</f>
        <v/>
      </c>
      <c r="AB1375" s="7" t="n"/>
      <c r="AE1375" s="11" t="n"/>
      <c r="AG1375">
        <f>IF($C1375="","",IF(COUNTIF($C$2:$C1375,$C1375)=1,1,0))</f>
        <v/>
      </c>
      <c r="AH1375">
        <f>IF($AG1375=1,SUMPRODUCT(--($AK$2:$AK$6001&lt;$AK1375))+1,"")</f>
        <v/>
      </c>
      <c r="AI1375">
        <f>IF($C1375="","",IF(OR($N1375=TRUE(),$N1375="TRUE"),1,0))</f>
        <v/>
      </c>
      <c r="AJ1375">
        <f>IF($C1375="","",IF($T1375="Yes",1,0))</f>
        <v/>
      </c>
      <c r="AK1375">
        <f>IF($AG1375=1,IFERROR(IF(VALUE($C1375)&lt;100000000,VALUE($C1375),1000000000),IFERROR(IF(VALUE(MID($C1375,2,20))&lt;100000000,VALUE(MID($C1375,2,20)),1000000000),1000000000))+ROW()/100000,"")</f>
        <v/>
      </c>
    </row>
    <row r="1376">
      <c r="D1376" s="11" t="n"/>
      <c r="K1376" s="7">
        <f>IF($C1376="","",J1376*W1376/100)</f>
        <v/>
      </c>
      <c r="Q1376" s="7" t="n"/>
      <c r="R1376" s="7" t="n"/>
      <c r="U1376">
        <f>IF($C1376="","",IF($AJ1376=1,0,IF($AI1376=1,Settings!$C$6,Settings!$C$7))*100)</f>
        <v/>
      </c>
      <c r="V1376" s="7">
        <f>IF($C1376="","",R1376*U1376/100)</f>
        <v/>
      </c>
      <c r="W1376" s="7">
        <f>IF($C1376="","",R1376-V1376)</f>
        <v/>
      </c>
      <c r="X1376" s="7">
        <f>IF($C1376="","",W1376-K1376)</f>
        <v/>
      </c>
      <c r="AB1376" s="7" t="n"/>
      <c r="AE1376" s="11" t="n"/>
      <c r="AG1376">
        <f>IF($C1376="","",IF(COUNTIF($C$2:$C1376,$C1376)=1,1,0))</f>
        <v/>
      </c>
      <c r="AH1376">
        <f>IF($AG1376=1,SUMPRODUCT(--($AK$2:$AK$6001&lt;$AK1376))+1,"")</f>
        <v/>
      </c>
      <c r="AI1376">
        <f>IF($C1376="","",IF(OR($N1376=TRUE(),$N1376="TRUE"),1,0))</f>
        <v/>
      </c>
      <c r="AJ1376">
        <f>IF($C1376="","",IF($T1376="Yes",1,0))</f>
        <v/>
      </c>
      <c r="AK1376">
        <f>IF($AG1376=1,IFERROR(IF(VALUE($C1376)&lt;100000000,VALUE($C1376),1000000000),IFERROR(IF(VALUE(MID($C1376,2,20))&lt;100000000,VALUE(MID($C1376,2,20)),1000000000),1000000000))+ROW()/100000,"")</f>
        <v/>
      </c>
    </row>
    <row r="1377">
      <c r="D1377" s="11" t="n"/>
      <c r="K1377" s="7">
        <f>IF($C1377="","",J1377*W1377/100)</f>
        <v/>
      </c>
      <c r="Q1377" s="7" t="n"/>
      <c r="R1377" s="7" t="n"/>
      <c r="U1377">
        <f>IF($C1377="","",IF($AJ1377=1,0,IF($AI1377=1,Settings!$C$6,Settings!$C$7))*100)</f>
        <v/>
      </c>
      <c r="V1377" s="7">
        <f>IF($C1377="","",R1377*U1377/100)</f>
        <v/>
      </c>
      <c r="W1377" s="7">
        <f>IF($C1377="","",R1377-V1377)</f>
        <v/>
      </c>
      <c r="X1377" s="7">
        <f>IF($C1377="","",W1377-K1377)</f>
        <v/>
      </c>
      <c r="AB1377" s="7" t="n"/>
      <c r="AE1377" s="11" t="n"/>
      <c r="AG1377">
        <f>IF($C1377="","",IF(COUNTIF($C$2:$C1377,$C1377)=1,1,0))</f>
        <v/>
      </c>
      <c r="AH1377">
        <f>IF($AG1377=1,SUMPRODUCT(--($AK$2:$AK$6001&lt;$AK1377))+1,"")</f>
        <v/>
      </c>
      <c r="AI1377">
        <f>IF($C1377="","",IF(OR($N1377=TRUE(),$N1377="TRUE"),1,0))</f>
        <v/>
      </c>
      <c r="AJ1377">
        <f>IF($C1377="","",IF($T1377="Yes",1,0))</f>
        <v/>
      </c>
      <c r="AK1377">
        <f>IF($AG1377=1,IFERROR(IF(VALUE($C1377)&lt;100000000,VALUE($C1377),1000000000),IFERROR(IF(VALUE(MID($C1377,2,20))&lt;100000000,VALUE(MID($C1377,2,20)),1000000000),1000000000))+ROW()/100000,"")</f>
        <v/>
      </c>
    </row>
    <row r="1378">
      <c r="D1378" s="11" t="n"/>
      <c r="K1378" s="7">
        <f>IF($C1378="","",J1378*W1378/100)</f>
        <v/>
      </c>
      <c r="Q1378" s="7" t="n"/>
      <c r="R1378" s="7" t="n"/>
      <c r="U1378">
        <f>IF($C1378="","",IF($AJ1378=1,0,IF($AI1378=1,Settings!$C$6,Settings!$C$7))*100)</f>
        <v/>
      </c>
      <c r="V1378" s="7">
        <f>IF($C1378="","",R1378*U1378/100)</f>
        <v/>
      </c>
      <c r="W1378" s="7">
        <f>IF($C1378="","",R1378-V1378)</f>
        <v/>
      </c>
      <c r="X1378" s="7">
        <f>IF($C1378="","",W1378-K1378)</f>
        <v/>
      </c>
      <c r="AB1378" s="7" t="n"/>
      <c r="AE1378" s="11" t="n"/>
      <c r="AG1378">
        <f>IF($C1378="","",IF(COUNTIF($C$2:$C1378,$C1378)=1,1,0))</f>
        <v/>
      </c>
      <c r="AH1378">
        <f>IF($AG1378=1,SUMPRODUCT(--($AK$2:$AK$6001&lt;$AK1378))+1,"")</f>
        <v/>
      </c>
      <c r="AI1378">
        <f>IF($C1378="","",IF(OR($N1378=TRUE(),$N1378="TRUE"),1,0))</f>
        <v/>
      </c>
      <c r="AJ1378">
        <f>IF($C1378="","",IF($T1378="Yes",1,0))</f>
        <v/>
      </c>
      <c r="AK1378">
        <f>IF($AG1378=1,IFERROR(IF(VALUE($C1378)&lt;100000000,VALUE($C1378),1000000000),IFERROR(IF(VALUE(MID($C1378,2,20))&lt;100000000,VALUE(MID($C1378,2,20)),1000000000),1000000000))+ROW()/100000,"")</f>
        <v/>
      </c>
    </row>
    <row r="1379">
      <c r="D1379" s="11" t="n"/>
      <c r="K1379" s="7">
        <f>IF($C1379="","",J1379*W1379/100)</f>
        <v/>
      </c>
      <c r="Q1379" s="7" t="n"/>
      <c r="R1379" s="7" t="n"/>
      <c r="U1379">
        <f>IF($C1379="","",IF($AJ1379=1,0,IF($AI1379=1,Settings!$C$6,Settings!$C$7))*100)</f>
        <v/>
      </c>
      <c r="V1379" s="7">
        <f>IF($C1379="","",R1379*U1379/100)</f>
        <v/>
      </c>
      <c r="W1379" s="7">
        <f>IF($C1379="","",R1379-V1379)</f>
        <v/>
      </c>
      <c r="X1379" s="7">
        <f>IF($C1379="","",W1379-K1379)</f>
        <v/>
      </c>
      <c r="AB1379" s="7" t="n"/>
      <c r="AE1379" s="11" t="n"/>
      <c r="AG1379">
        <f>IF($C1379="","",IF(COUNTIF($C$2:$C1379,$C1379)=1,1,0))</f>
        <v/>
      </c>
      <c r="AH1379">
        <f>IF($AG1379=1,SUMPRODUCT(--($AK$2:$AK$6001&lt;$AK1379))+1,"")</f>
        <v/>
      </c>
      <c r="AI1379">
        <f>IF($C1379="","",IF(OR($N1379=TRUE(),$N1379="TRUE"),1,0))</f>
        <v/>
      </c>
      <c r="AJ1379">
        <f>IF($C1379="","",IF($T1379="Yes",1,0))</f>
        <v/>
      </c>
      <c r="AK1379">
        <f>IF($AG1379=1,IFERROR(IF(VALUE($C1379)&lt;100000000,VALUE($C1379),1000000000),IFERROR(IF(VALUE(MID($C1379,2,20))&lt;100000000,VALUE(MID($C1379,2,20)),1000000000),1000000000))+ROW()/100000,"")</f>
        <v/>
      </c>
    </row>
    <row r="1380">
      <c r="D1380" s="11" t="n"/>
      <c r="K1380" s="7">
        <f>IF($C1380="","",J1380*W1380/100)</f>
        <v/>
      </c>
      <c r="Q1380" s="7" t="n"/>
      <c r="R1380" s="7" t="n"/>
      <c r="U1380">
        <f>IF($C1380="","",IF($AJ1380=1,0,IF($AI1380=1,Settings!$C$6,Settings!$C$7))*100)</f>
        <v/>
      </c>
      <c r="V1380" s="7">
        <f>IF($C1380="","",R1380*U1380/100)</f>
        <v/>
      </c>
      <c r="W1380" s="7">
        <f>IF($C1380="","",R1380-V1380)</f>
        <v/>
      </c>
      <c r="X1380" s="7">
        <f>IF($C1380="","",W1380-K1380)</f>
        <v/>
      </c>
      <c r="AB1380" s="7" t="n"/>
      <c r="AE1380" s="11" t="n"/>
      <c r="AG1380">
        <f>IF($C1380="","",IF(COUNTIF($C$2:$C1380,$C1380)=1,1,0))</f>
        <v/>
      </c>
      <c r="AH1380">
        <f>IF($AG1380=1,SUMPRODUCT(--($AK$2:$AK$6001&lt;$AK1380))+1,"")</f>
        <v/>
      </c>
      <c r="AI1380">
        <f>IF($C1380="","",IF(OR($N1380=TRUE(),$N1380="TRUE"),1,0))</f>
        <v/>
      </c>
      <c r="AJ1380">
        <f>IF($C1380="","",IF($T1380="Yes",1,0))</f>
        <v/>
      </c>
      <c r="AK1380">
        <f>IF($AG1380=1,IFERROR(IF(VALUE($C1380)&lt;100000000,VALUE($C1380),1000000000),IFERROR(IF(VALUE(MID($C1380,2,20))&lt;100000000,VALUE(MID($C1380,2,20)),1000000000),1000000000))+ROW()/100000,"")</f>
        <v/>
      </c>
    </row>
    <row r="1381">
      <c r="D1381" s="11" t="n"/>
      <c r="K1381" s="7">
        <f>IF($C1381="","",J1381*W1381/100)</f>
        <v/>
      </c>
      <c r="Q1381" s="7" t="n"/>
      <c r="R1381" s="7" t="n"/>
      <c r="U1381">
        <f>IF($C1381="","",IF($AJ1381=1,0,IF($AI1381=1,Settings!$C$6,Settings!$C$7))*100)</f>
        <v/>
      </c>
      <c r="V1381" s="7">
        <f>IF($C1381="","",R1381*U1381/100)</f>
        <v/>
      </c>
      <c r="W1381" s="7">
        <f>IF($C1381="","",R1381-V1381)</f>
        <v/>
      </c>
      <c r="X1381" s="7">
        <f>IF($C1381="","",W1381-K1381)</f>
        <v/>
      </c>
      <c r="AB1381" s="7" t="n"/>
      <c r="AE1381" s="11" t="n"/>
      <c r="AG1381">
        <f>IF($C1381="","",IF(COUNTIF($C$2:$C1381,$C1381)=1,1,0))</f>
        <v/>
      </c>
      <c r="AH1381">
        <f>IF($AG1381=1,SUMPRODUCT(--($AK$2:$AK$6001&lt;$AK1381))+1,"")</f>
        <v/>
      </c>
      <c r="AI1381">
        <f>IF($C1381="","",IF(OR($N1381=TRUE(),$N1381="TRUE"),1,0))</f>
        <v/>
      </c>
      <c r="AJ1381">
        <f>IF($C1381="","",IF($T1381="Yes",1,0))</f>
        <v/>
      </c>
      <c r="AK1381">
        <f>IF($AG1381=1,IFERROR(IF(VALUE($C1381)&lt;100000000,VALUE($C1381),1000000000),IFERROR(IF(VALUE(MID($C1381,2,20))&lt;100000000,VALUE(MID($C1381,2,20)),1000000000),1000000000))+ROW()/100000,"")</f>
        <v/>
      </c>
    </row>
    <row r="1382">
      <c r="D1382" s="11" t="n"/>
      <c r="K1382" s="7">
        <f>IF($C1382="","",J1382*W1382/100)</f>
        <v/>
      </c>
      <c r="Q1382" s="7" t="n"/>
      <c r="R1382" s="7" t="n"/>
      <c r="U1382">
        <f>IF($C1382="","",IF($AJ1382=1,0,IF($AI1382=1,Settings!$C$6,Settings!$C$7))*100)</f>
        <v/>
      </c>
      <c r="V1382" s="7">
        <f>IF($C1382="","",R1382*U1382/100)</f>
        <v/>
      </c>
      <c r="W1382" s="7">
        <f>IF($C1382="","",R1382-V1382)</f>
        <v/>
      </c>
      <c r="X1382" s="7">
        <f>IF($C1382="","",W1382-K1382)</f>
        <v/>
      </c>
      <c r="AB1382" s="7" t="n"/>
      <c r="AE1382" s="11" t="n"/>
      <c r="AG1382">
        <f>IF($C1382="","",IF(COUNTIF($C$2:$C1382,$C1382)=1,1,0))</f>
        <v/>
      </c>
      <c r="AH1382">
        <f>IF($AG1382=1,SUMPRODUCT(--($AK$2:$AK$6001&lt;$AK1382))+1,"")</f>
        <v/>
      </c>
      <c r="AI1382">
        <f>IF($C1382="","",IF(OR($N1382=TRUE(),$N1382="TRUE"),1,0))</f>
        <v/>
      </c>
      <c r="AJ1382">
        <f>IF($C1382="","",IF($T1382="Yes",1,0))</f>
        <v/>
      </c>
      <c r="AK1382">
        <f>IF($AG1382=1,IFERROR(IF(VALUE($C1382)&lt;100000000,VALUE($C1382),1000000000),IFERROR(IF(VALUE(MID($C1382,2,20))&lt;100000000,VALUE(MID($C1382,2,20)),1000000000),1000000000))+ROW()/100000,"")</f>
        <v/>
      </c>
    </row>
    <row r="1383">
      <c r="D1383" s="11" t="n"/>
      <c r="K1383" s="7">
        <f>IF($C1383="","",J1383*W1383/100)</f>
        <v/>
      </c>
      <c r="Q1383" s="7" t="n"/>
      <c r="R1383" s="7" t="n"/>
      <c r="U1383">
        <f>IF($C1383="","",IF($AJ1383=1,0,IF($AI1383=1,Settings!$C$6,Settings!$C$7))*100)</f>
        <v/>
      </c>
      <c r="V1383" s="7">
        <f>IF($C1383="","",R1383*U1383/100)</f>
        <v/>
      </c>
      <c r="W1383" s="7">
        <f>IF($C1383="","",R1383-V1383)</f>
        <v/>
      </c>
      <c r="X1383" s="7">
        <f>IF($C1383="","",W1383-K1383)</f>
        <v/>
      </c>
      <c r="AB1383" s="7" t="n"/>
      <c r="AE1383" s="11" t="n"/>
      <c r="AG1383">
        <f>IF($C1383="","",IF(COUNTIF($C$2:$C1383,$C1383)=1,1,0))</f>
        <v/>
      </c>
      <c r="AH1383">
        <f>IF($AG1383=1,SUMPRODUCT(--($AK$2:$AK$6001&lt;$AK1383))+1,"")</f>
        <v/>
      </c>
      <c r="AI1383">
        <f>IF($C1383="","",IF(OR($N1383=TRUE(),$N1383="TRUE"),1,0))</f>
        <v/>
      </c>
      <c r="AJ1383">
        <f>IF($C1383="","",IF($T1383="Yes",1,0))</f>
        <v/>
      </c>
      <c r="AK1383">
        <f>IF($AG1383=1,IFERROR(IF(VALUE($C1383)&lt;100000000,VALUE($C1383),1000000000),IFERROR(IF(VALUE(MID($C1383,2,20))&lt;100000000,VALUE(MID($C1383,2,20)),1000000000),1000000000))+ROW()/100000,"")</f>
        <v/>
      </c>
    </row>
    <row r="1384">
      <c r="D1384" s="11" t="n"/>
      <c r="K1384" s="7">
        <f>IF($C1384="","",J1384*W1384/100)</f>
        <v/>
      </c>
      <c r="Q1384" s="7" t="n"/>
      <c r="R1384" s="7" t="n"/>
      <c r="U1384">
        <f>IF($C1384="","",IF($AJ1384=1,0,IF($AI1384=1,Settings!$C$6,Settings!$C$7))*100)</f>
        <v/>
      </c>
      <c r="V1384" s="7">
        <f>IF($C1384="","",R1384*U1384/100)</f>
        <v/>
      </c>
      <c r="W1384" s="7">
        <f>IF($C1384="","",R1384-V1384)</f>
        <v/>
      </c>
      <c r="X1384" s="7">
        <f>IF($C1384="","",W1384-K1384)</f>
        <v/>
      </c>
      <c r="AB1384" s="7" t="n"/>
      <c r="AE1384" s="11" t="n"/>
      <c r="AG1384">
        <f>IF($C1384="","",IF(COUNTIF($C$2:$C1384,$C1384)=1,1,0))</f>
        <v/>
      </c>
      <c r="AH1384">
        <f>IF($AG1384=1,SUMPRODUCT(--($AK$2:$AK$6001&lt;$AK1384))+1,"")</f>
        <v/>
      </c>
      <c r="AI1384">
        <f>IF($C1384="","",IF(OR($N1384=TRUE(),$N1384="TRUE"),1,0))</f>
        <v/>
      </c>
      <c r="AJ1384">
        <f>IF($C1384="","",IF($T1384="Yes",1,0))</f>
        <v/>
      </c>
      <c r="AK1384">
        <f>IF($AG1384=1,IFERROR(IF(VALUE($C1384)&lt;100000000,VALUE($C1384),1000000000),IFERROR(IF(VALUE(MID($C1384,2,20))&lt;100000000,VALUE(MID($C1384,2,20)),1000000000),1000000000))+ROW()/100000,"")</f>
        <v/>
      </c>
    </row>
    <row r="1385">
      <c r="D1385" s="11" t="n"/>
      <c r="K1385" s="7">
        <f>IF($C1385="","",J1385*W1385/100)</f>
        <v/>
      </c>
      <c r="Q1385" s="7" t="n"/>
      <c r="R1385" s="7" t="n"/>
      <c r="U1385">
        <f>IF($C1385="","",IF($AJ1385=1,0,IF($AI1385=1,Settings!$C$6,Settings!$C$7))*100)</f>
        <v/>
      </c>
      <c r="V1385" s="7">
        <f>IF($C1385="","",R1385*U1385/100)</f>
        <v/>
      </c>
      <c r="W1385" s="7">
        <f>IF($C1385="","",R1385-V1385)</f>
        <v/>
      </c>
      <c r="X1385" s="7">
        <f>IF($C1385="","",W1385-K1385)</f>
        <v/>
      </c>
      <c r="AB1385" s="7" t="n"/>
      <c r="AE1385" s="11" t="n"/>
      <c r="AG1385">
        <f>IF($C1385="","",IF(COUNTIF($C$2:$C1385,$C1385)=1,1,0))</f>
        <v/>
      </c>
      <c r="AH1385">
        <f>IF($AG1385=1,SUMPRODUCT(--($AK$2:$AK$6001&lt;$AK1385))+1,"")</f>
        <v/>
      </c>
      <c r="AI1385">
        <f>IF($C1385="","",IF(OR($N1385=TRUE(),$N1385="TRUE"),1,0))</f>
        <v/>
      </c>
      <c r="AJ1385">
        <f>IF($C1385="","",IF($T1385="Yes",1,0))</f>
        <v/>
      </c>
      <c r="AK1385">
        <f>IF($AG1385=1,IFERROR(IF(VALUE($C1385)&lt;100000000,VALUE($C1385),1000000000),IFERROR(IF(VALUE(MID($C1385,2,20))&lt;100000000,VALUE(MID($C1385,2,20)),1000000000),1000000000))+ROW()/100000,"")</f>
        <v/>
      </c>
    </row>
    <row r="1386">
      <c r="D1386" s="11" t="n"/>
      <c r="K1386" s="7">
        <f>IF($C1386="","",J1386*W1386/100)</f>
        <v/>
      </c>
      <c r="Q1386" s="7" t="n"/>
      <c r="R1386" s="7" t="n"/>
      <c r="U1386">
        <f>IF($C1386="","",IF($AJ1386=1,0,IF($AI1386=1,Settings!$C$6,Settings!$C$7))*100)</f>
        <v/>
      </c>
      <c r="V1386" s="7">
        <f>IF($C1386="","",R1386*U1386/100)</f>
        <v/>
      </c>
      <c r="W1386" s="7">
        <f>IF($C1386="","",R1386-V1386)</f>
        <v/>
      </c>
      <c r="X1386" s="7">
        <f>IF($C1386="","",W1386-K1386)</f>
        <v/>
      </c>
      <c r="AB1386" s="7" t="n"/>
      <c r="AE1386" s="11" t="n"/>
      <c r="AG1386">
        <f>IF($C1386="","",IF(COUNTIF($C$2:$C1386,$C1386)=1,1,0))</f>
        <v/>
      </c>
      <c r="AH1386">
        <f>IF($AG1386=1,SUMPRODUCT(--($AK$2:$AK$6001&lt;$AK1386))+1,"")</f>
        <v/>
      </c>
      <c r="AI1386">
        <f>IF($C1386="","",IF(OR($N1386=TRUE(),$N1386="TRUE"),1,0))</f>
        <v/>
      </c>
      <c r="AJ1386">
        <f>IF($C1386="","",IF($T1386="Yes",1,0))</f>
        <v/>
      </c>
      <c r="AK1386">
        <f>IF($AG1386=1,IFERROR(IF(VALUE($C1386)&lt;100000000,VALUE($C1386),1000000000),IFERROR(IF(VALUE(MID($C1386,2,20))&lt;100000000,VALUE(MID($C1386,2,20)),1000000000),1000000000))+ROW()/100000,"")</f>
        <v/>
      </c>
    </row>
    <row r="1387">
      <c r="D1387" s="11" t="n"/>
      <c r="K1387" s="7">
        <f>IF($C1387="","",J1387*W1387/100)</f>
        <v/>
      </c>
      <c r="Q1387" s="7" t="n"/>
      <c r="R1387" s="7" t="n"/>
      <c r="U1387">
        <f>IF($C1387="","",IF($AJ1387=1,0,IF($AI1387=1,Settings!$C$6,Settings!$C$7))*100)</f>
        <v/>
      </c>
      <c r="V1387" s="7">
        <f>IF($C1387="","",R1387*U1387/100)</f>
        <v/>
      </c>
      <c r="W1387" s="7">
        <f>IF($C1387="","",R1387-V1387)</f>
        <v/>
      </c>
      <c r="X1387" s="7">
        <f>IF($C1387="","",W1387-K1387)</f>
        <v/>
      </c>
      <c r="AB1387" s="7" t="n"/>
      <c r="AE1387" s="11" t="n"/>
      <c r="AG1387">
        <f>IF($C1387="","",IF(COUNTIF($C$2:$C1387,$C1387)=1,1,0))</f>
        <v/>
      </c>
      <c r="AH1387">
        <f>IF($AG1387=1,SUMPRODUCT(--($AK$2:$AK$6001&lt;$AK1387))+1,"")</f>
        <v/>
      </c>
      <c r="AI1387">
        <f>IF($C1387="","",IF(OR($N1387=TRUE(),$N1387="TRUE"),1,0))</f>
        <v/>
      </c>
      <c r="AJ1387">
        <f>IF($C1387="","",IF($T1387="Yes",1,0))</f>
        <v/>
      </c>
      <c r="AK1387">
        <f>IF($AG1387=1,IFERROR(IF(VALUE($C1387)&lt;100000000,VALUE($C1387),1000000000),IFERROR(IF(VALUE(MID($C1387,2,20))&lt;100000000,VALUE(MID($C1387,2,20)),1000000000),1000000000))+ROW()/100000,"")</f>
        <v/>
      </c>
    </row>
    <row r="1388">
      <c r="D1388" s="11" t="n"/>
      <c r="K1388" s="7">
        <f>IF($C1388="","",J1388*W1388/100)</f>
        <v/>
      </c>
      <c r="Q1388" s="7" t="n"/>
      <c r="R1388" s="7" t="n"/>
      <c r="U1388">
        <f>IF($C1388="","",IF($AJ1388=1,0,IF($AI1388=1,Settings!$C$6,Settings!$C$7))*100)</f>
        <v/>
      </c>
      <c r="V1388" s="7">
        <f>IF($C1388="","",R1388*U1388/100)</f>
        <v/>
      </c>
      <c r="W1388" s="7">
        <f>IF($C1388="","",R1388-V1388)</f>
        <v/>
      </c>
      <c r="X1388" s="7">
        <f>IF($C1388="","",W1388-K1388)</f>
        <v/>
      </c>
      <c r="AB1388" s="7" t="n"/>
      <c r="AE1388" s="11" t="n"/>
      <c r="AG1388">
        <f>IF($C1388="","",IF(COUNTIF($C$2:$C1388,$C1388)=1,1,0))</f>
        <v/>
      </c>
      <c r="AH1388">
        <f>IF($AG1388=1,SUMPRODUCT(--($AK$2:$AK$6001&lt;$AK1388))+1,"")</f>
        <v/>
      </c>
      <c r="AI1388">
        <f>IF($C1388="","",IF(OR($N1388=TRUE(),$N1388="TRUE"),1,0))</f>
        <v/>
      </c>
      <c r="AJ1388">
        <f>IF($C1388="","",IF($T1388="Yes",1,0))</f>
        <v/>
      </c>
      <c r="AK1388">
        <f>IF($AG1388=1,IFERROR(IF(VALUE($C1388)&lt;100000000,VALUE($C1388),1000000000),IFERROR(IF(VALUE(MID($C1388,2,20))&lt;100000000,VALUE(MID($C1388,2,20)),1000000000),1000000000))+ROW()/100000,"")</f>
        <v/>
      </c>
    </row>
    <row r="1389">
      <c r="D1389" s="11" t="n"/>
      <c r="K1389" s="7">
        <f>IF($C1389="","",J1389*W1389/100)</f>
        <v/>
      </c>
      <c r="Q1389" s="7" t="n"/>
      <c r="R1389" s="7" t="n"/>
      <c r="U1389">
        <f>IF($C1389="","",IF($AJ1389=1,0,IF($AI1389=1,Settings!$C$6,Settings!$C$7))*100)</f>
        <v/>
      </c>
      <c r="V1389" s="7">
        <f>IF($C1389="","",R1389*U1389/100)</f>
        <v/>
      </c>
      <c r="W1389" s="7">
        <f>IF($C1389="","",R1389-V1389)</f>
        <v/>
      </c>
      <c r="X1389" s="7">
        <f>IF($C1389="","",W1389-K1389)</f>
        <v/>
      </c>
      <c r="AB1389" s="7" t="n"/>
      <c r="AE1389" s="11" t="n"/>
      <c r="AG1389">
        <f>IF($C1389="","",IF(COUNTIF($C$2:$C1389,$C1389)=1,1,0))</f>
        <v/>
      </c>
      <c r="AH1389">
        <f>IF($AG1389=1,SUMPRODUCT(--($AK$2:$AK$6001&lt;$AK1389))+1,"")</f>
        <v/>
      </c>
      <c r="AI1389">
        <f>IF($C1389="","",IF(OR($N1389=TRUE(),$N1389="TRUE"),1,0))</f>
        <v/>
      </c>
      <c r="AJ1389">
        <f>IF($C1389="","",IF($T1389="Yes",1,0))</f>
        <v/>
      </c>
      <c r="AK1389">
        <f>IF($AG1389=1,IFERROR(IF(VALUE($C1389)&lt;100000000,VALUE($C1389),1000000000),IFERROR(IF(VALUE(MID($C1389,2,20))&lt;100000000,VALUE(MID($C1389,2,20)),1000000000),1000000000))+ROW()/100000,"")</f>
        <v/>
      </c>
    </row>
    <row r="1390">
      <c r="D1390" s="11" t="n"/>
      <c r="K1390" s="7">
        <f>IF($C1390="","",J1390*W1390/100)</f>
        <v/>
      </c>
      <c r="Q1390" s="7" t="n"/>
      <c r="R1390" s="7" t="n"/>
      <c r="U1390">
        <f>IF($C1390="","",IF($AJ1390=1,0,IF($AI1390=1,Settings!$C$6,Settings!$C$7))*100)</f>
        <v/>
      </c>
      <c r="V1390" s="7">
        <f>IF($C1390="","",R1390*U1390/100)</f>
        <v/>
      </c>
      <c r="W1390" s="7">
        <f>IF($C1390="","",R1390-V1390)</f>
        <v/>
      </c>
      <c r="X1390" s="7">
        <f>IF($C1390="","",W1390-K1390)</f>
        <v/>
      </c>
      <c r="AB1390" s="7" t="n"/>
      <c r="AE1390" s="11" t="n"/>
      <c r="AG1390">
        <f>IF($C1390="","",IF(COUNTIF($C$2:$C1390,$C1390)=1,1,0))</f>
        <v/>
      </c>
      <c r="AH1390">
        <f>IF($AG1390=1,SUMPRODUCT(--($AK$2:$AK$6001&lt;$AK1390))+1,"")</f>
        <v/>
      </c>
      <c r="AI1390">
        <f>IF($C1390="","",IF(OR($N1390=TRUE(),$N1390="TRUE"),1,0))</f>
        <v/>
      </c>
      <c r="AJ1390">
        <f>IF($C1390="","",IF($T1390="Yes",1,0))</f>
        <v/>
      </c>
      <c r="AK1390">
        <f>IF($AG1390=1,IFERROR(IF(VALUE($C1390)&lt;100000000,VALUE($C1390),1000000000),IFERROR(IF(VALUE(MID($C1390,2,20))&lt;100000000,VALUE(MID($C1390,2,20)),1000000000),1000000000))+ROW()/100000,"")</f>
        <v/>
      </c>
    </row>
    <row r="1391">
      <c r="D1391" s="11" t="n"/>
      <c r="K1391" s="7">
        <f>IF($C1391="","",J1391*W1391/100)</f>
        <v/>
      </c>
      <c r="Q1391" s="7" t="n"/>
      <c r="R1391" s="7" t="n"/>
      <c r="U1391">
        <f>IF($C1391="","",IF($AJ1391=1,0,IF($AI1391=1,Settings!$C$6,Settings!$C$7))*100)</f>
        <v/>
      </c>
      <c r="V1391" s="7">
        <f>IF($C1391="","",R1391*U1391/100)</f>
        <v/>
      </c>
      <c r="W1391" s="7">
        <f>IF($C1391="","",R1391-V1391)</f>
        <v/>
      </c>
      <c r="X1391" s="7">
        <f>IF($C1391="","",W1391-K1391)</f>
        <v/>
      </c>
      <c r="AB1391" s="7" t="n"/>
      <c r="AE1391" s="11" t="n"/>
      <c r="AG1391">
        <f>IF($C1391="","",IF(COUNTIF($C$2:$C1391,$C1391)=1,1,0))</f>
        <v/>
      </c>
      <c r="AH1391">
        <f>IF($AG1391=1,SUMPRODUCT(--($AK$2:$AK$6001&lt;$AK1391))+1,"")</f>
        <v/>
      </c>
      <c r="AI1391">
        <f>IF($C1391="","",IF(OR($N1391=TRUE(),$N1391="TRUE"),1,0))</f>
        <v/>
      </c>
      <c r="AJ1391">
        <f>IF($C1391="","",IF($T1391="Yes",1,0))</f>
        <v/>
      </c>
      <c r="AK1391">
        <f>IF($AG1391=1,IFERROR(IF(VALUE($C1391)&lt;100000000,VALUE($C1391),1000000000),IFERROR(IF(VALUE(MID($C1391,2,20))&lt;100000000,VALUE(MID($C1391,2,20)),1000000000),1000000000))+ROW()/100000,"")</f>
        <v/>
      </c>
    </row>
    <row r="1392">
      <c r="D1392" s="11" t="n"/>
      <c r="K1392" s="7">
        <f>IF($C1392="","",J1392*W1392/100)</f>
        <v/>
      </c>
      <c r="Q1392" s="7" t="n"/>
      <c r="R1392" s="7" t="n"/>
      <c r="U1392">
        <f>IF($C1392="","",IF($AJ1392=1,0,IF($AI1392=1,Settings!$C$6,Settings!$C$7))*100)</f>
        <v/>
      </c>
      <c r="V1392" s="7">
        <f>IF($C1392="","",R1392*U1392/100)</f>
        <v/>
      </c>
      <c r="W1392" s="7">
        <f>IF($C1392="","",R1392-V1392)</f>
        <v/>
      </c>
      <c r="X1392" s="7">
        <f>IF($C1392="","",W1392-K1392)</f>
        <v/>
      </c>
      <c r="AB1392" s="7" t="n"/>
      <c r="AE1392" s="11" t="n"/>
      <c r="AG1392">
        <f>IF($C1392="","",IF(COUNTIF($C$2:$C1392,$C1392)=1,1,0))</f>
        <v/>
      </c>
      <c r="AH1392">
        <f>IF($AG1392=1,SUMPRODUCT(--($AK$2:$AK$6001&lt;$AK1392))+1,"")</f>
        <v/>
      </c>
      <c r="AI1392">
        <f>IF($C1392="","",IF(OR($N1392=TRUE(),$N1392="TRUE"),1,0))</f>
        <v/>
      </c>
      <c r="AJ1392">
        <f>IF($C1392="","",IF($T1392="Yes",1,0))</f>
        <v/>
      </c>
      <c r="AK1392">
        <f>IF($AG1392=1,IFERROR(IF(VALUE($C1392)&lt;100000000,VALUE($C1392),1000000000),IFERROR(IF(VALUE(MID($C1392,2,20))&lt;100000000,VALUE(MID($C1392,2,20)),1000000000),1000000000))+ROW()/100000,"")</f>
        <v/>
      </c>
    </row>
    <row r="1393">
      <c r="D1393" s="11" t="n"/>
      <c r="K1393" s="7">
        <f>IF($C1393="","",J1393*W1393/100)</f>
        <v/>
      </c>
      <c r="Q1393" s="7" t="n"/>
      <c r="R1393" s="7" t="n"/>
      <c r="U1393">
        <f>IF($C1393="","",IF($AJ1393=1,0,IF($AI1393=1,Settings!$C$6,Settings!$C$7))*100)</f>
        <v/>
      </c>
      <c r="V1393" s="7">
        <f>IF($C1393="","",R1393*U1393/100)</f>
        <v/>
      </c>
      <c r="W1393" s="7">
        <f>IF($C1393="","",R1393-V1393)</f>
        <v/>
      </c>
      <c r="X1393" s="7">
        <f>IF($C1393="","",W1393-K1393)</f>
        <v/>
      </c>
      <c r="AB1393" s="7" t="n"/>
      <c r="AE1393" s="11" t="n"/>
      <c r="AG1393">
        <f>IF($C1393="","",IF(COUNTIF($C$2:$C1393,$C1393)=1,1,0))</f>
        <v/>
      </c>
      <c r="AH1393">
        <f>IF($AG1393=1,SUMPRODUCT(--($AK$2:$AK$6001&lt;$AK1393))+1,"")</f>
        <v/>
      </c>
      <c r="AI1393">
        <f>IF($C1393="","",IF(OR($N1393=TRUE(),$N1393="TRUE"),1,0))</f>
        <v/>
      </c>
      <c r="AJ1393">
        <f>IF($C1393="","",IF($T1393="Yes",1,0))</f>
        <v/>
      </c>
      <c r="AK1393">
        <f>IF($AG1393=1,IFERROR(IF(VALUE($C1393)&lt;100000000,VALUE($C1393),1000000000),IFERROR(IF(VALUE(MID($C1393,2,20))&lt;100000000,VALUE(MID($C1393,2,20)),1000000000),1000000000))+ROW()/100000,"")</f>
        <v/>
      </c>
    </row>
    <row r="1394">
      <c r="D1394" s="11" t="n"/>
      <c r="K1394" s="7">
        <f>IF($C1394="","",J1394*W1394/100)</f>
        <v/>
      </c>
      <c r="Q1394" s="7" t="n"/>
      <c r="R1394" s="7" t="n"/>
      <c r="U1394">
        <f>IF($C1394="","",IF($AJ1394=1,0,IF($AI1394=1,Settings!$C$6,Settings!$C$7))*100)</f>
        <v/>
      </c>
      <c r="V1394" s="7">
        <f>IF($C1394="","",R1394*U1394/100)</f>
        <v/>
      </c>
      <c r="W1394" s="7">
        <f>IF($C1394="","",R1394-V1394)</f>
        <v/>
      </c>
      <c r="X1394" s="7">
        <f>IF($C1394="","",W1394-K1394)</f>
        <v/>
      </c>
      <c r="AB1394" s="7" t="n"/>
      <c r="AE1394" s="11" t="n"/>
      <c r="AG1394">
        <f>IF($C1394="","",IF(COUNTIF($C$2:$C1394,$C1394)=1,1,0))</f>
        <v/>
      </c>
      <c r="AH1394">
        <f>IF($AG1394=1,SUMPRODUCT(--($AK$2:$AK$6001&lt;$AK1394))+1,"")</f>
        <v/>
      </c>
      <c r="AI1394">
        <f>IF($C1394="","",IF(OR($N1394=TRUE(),$N1394="TRUE"),1,0))</f>
        <v/>
      </c>
      <c r="AJ1394">
        <f>IF($C1394="","",IF($T1394="Yes",1,0))</f>
        <v/>
      </c>
      <c r="AK1394">
        <f>IF($AG1394=1,IFERROR(IF(VALUE($C1394)&lt;100000000,VALUE($C1394),1000000000),IFERROR(IF(VALUE(MID($C1394,2,20))&lt;100000000,VALUE(MID($C1394,2,20)),1000000000),1000000000))+ROW()/100000,"")</f>
        <v/>
      </c>
    </row>
    <row r="1395">
      <c r="D1395" s="11" t="n"/>
      <c r="K1395" s="7">
        <f>IF($C1395="","",J1395*W1395/100)</f>
        <v/>
      </c>
      <c r="Q1395" s="7" t="n"/>
      <c r="R1395" s="7" t="n"/>
      <c r="U1395">
        <f>IF($C1395="","",IF($AJ1395=1,0,IF($AI1395=1,Settings!$C$6,Settings!$C$7))*100)</f>
        <v/>
      </c>
      <c r="V1395" s="7">
        <f>IF($C1395="","",R1395*U1395/100)</f>
        <v/>
      </c>
      <c r="W1395" s="7">
        <f>IF($C1395="","",R1395-V1395)</f>
        <v/>
      </c>
      <c r="X1395" s="7">
        <f>IF($C1395="","",W1395-K1395)</f>
        <v/>
      </c>
      <c r="AB1395" s="7" t="n"/>
      <c r="AE1395" s="11" t="n"/>
      <c r="AG1395">
        <f>IF($C1395="","",IF(COUNTIF($C$2:$C1395,$C1395)=1,1,0))</f>
        <v/>
      </c>
      <c r="AH1395">
        <f>IF($AG1395=1,SUMPRODUCT(--($AK$2:$AK$6001&lt;$AK1395))+1,"")</f>
        <v/>
      </c>
      <c r="AI1395">
        <f>IF($C1395="","",IF(OR($N1395=TRUE(),$N1395="TRUE"),1,0))</f>
        <v/>
      </c>
      <c r="AJ1395">
        <f>IF($C1395="","",IF($T1395="Yes",1,0))</f>
        <v/>
      </c>
      <c r="AK1395">
        <f>IF($AG1395=1,IFERROR(IF(VALUE($C1395)&lt;100000000,VALUE($C1395),1000000000),IFERROR(IF(VALUE(MID($C1395,2,20))&lt;100000000,VALUE(MID($C1395,2,20)),1000000000),1000000000))+ROW()/100000,"")</f>
        <v/>
      </c>
    </row>
    <row r="1396">
      <c r="D1396" s="11" t="n"/>
      <c r="K1396" s="7">
        <f>IF($C1396="","",J1396*W1396/100)</f>
        <v/>
      </c>
      <c r="Q1396" s="7" t="n"/>
      <c r="R1396" s="7" t="n"/>
      <c r="U1396">
        <f>IF($C1396="","",IF($AJ1396=1,0,IF($AI1396=1,Settings!$C$6,Settings!$C$7))*100)</f>
        <v/>
      </c>
      <c r="V1396" s="7">
        <f>IF($C1396="","",R1396*U1396/100)</f>
        <v/>
      </c>
      <c r="W1396" s="7">
        <f>IF($C1396="","",R1396-V1396)</f>
        <v/>
      </c>
      <c r="X1396" s="7">
        <f>IF($C1396="","",W1396-K1396)</f>
        <v/>
      </c>
      <c r="AB1396" s="7" t="n"/>
      <c r="AE1396" s="11" t="n"/>
      <c r="AG1396">
        <f>IF($C1396="","",IF(COUNTIF($C$2:$C1396,$C1396)=1,1,0))</f>
        <v/>
      </c>
      <c r="AH1396">
        <f>IF($AG1396=1,SUMPRODUCT(--($AK$2:$AK$6001&lt;$AK1396))+1,"")</f>
        <v/>
      </c>
      <c r="AI1396">
        <f>IF($C1396="","",IF(OR($N1396=TRUE(),$N1396="TRUE"),1,0))</f>
        <v/>
      </c>
      <c r="AJ1396">
        <f>IF($C1396="","",IF($T1396="Yes",1,0))</f>
        <v/>
      </c>
      <c r="AK1396">
        <f>IF($AG1396=1,IFERROR(IF(VALUE($C1396)&lt;100000000,VALUE($C1396),1000000000),IFERROR(IF(VALUE(MID($C1396,2,20))&lt;100000000,VALUE(MID($C1396,2,20)),1000000000),1000000000))+ROW()/100000,"")</f>
        <v/>
      </c>
    </row>
    <row r="1397">
      <c r="D1397" s="11" t="n"/>
      <c r="K1397" s="7">
        <f>IF($C1397="","",J1397*W1397/100)</f>
        <v/>
      </c>
      <c r="Q1397" s="7" t="n"/>
      <c r="R1397" s="7" t="n"/>
      <c r="U1397">
        <f>IF($C1397="","",IF($AJ1397=1,0,IF($AI1397=1,Settings!$C$6,Settings!$C$7))*100)</f>
        <v/>
      </c>
      <c r="V1397" s="7">
        <f>IF($C1397="","",R1397*U1397/100)</f>
        <v/>
      </c>
      <c r="W1397" s="7">
        <f>IF($C1397="","",R1397-V1397)</f>
        <v/>
      </c>
      <c r="X1397" s="7">
        <f>IF($C1397="","",W1397-K1397)</f>
        <v/>
      </c>
      <c r="AB1397" s="7" t="n"/>
      <c r="AE1397" s="11" t="n"/>
      <c r="AG1397">
        <f>IF($C1397="","",IF(COUNTIF($C$2:$C1397,$C1397)=1,1,0))</f>
        <v/>
      </c>
      <c r="AH1397">
        <f>IF($AG1397=1,SUMPRODUCT(--($AK$2:$AK$6001&lt;$AK1397))+1,"")</f>
        <v/>
      </c>
      <c r="AI1397">
        <f>IF($C1397="","",IF(OR($N1397=TRUE(),$N1397="TRUE"),1,0))</f>
        <v/>
      </c>
      <c r="AJ1397">
        <f>IF($C1397="","",IF($T1397="Yes",1,0))</f>
        <v/>
      </c>
      <c r="AK1397">
        <f>IF($AG1397=1,IFERROR(IF(VALUE($C1397)&lt;100000000,VALUE($C1397),1000000000),IFERROR(IF(VALUE(MID($C1397,2,20))&lt;100000000,VALUE(MID($C1397,2,20)),1000000000),1000000000))+ROW()/100000,"")</f>
        <v/>
      </c>
    </row>
    <row r="1398">
      <c r="D1398" s="11" t="n"/>
      <c r="K1398" s="7">
        <f>IF($C1398="","",J1398*W1398/100)</f>
        <v/>
      </c>
      <c r="Q1398" s="7" t="n"/>
      <c r="R1398" s="7" t="n"/>
      <c r="U1398">
        <f>IF($C1398="","",IF($AJ1398=1,0,IF($AI1398=1,Settings!$C$6,Settings!$C$7))*100)</f>
        <v/>
      </c>
      <c r="V1398" s="7">
        <f>IF($C1398="","",R1398*U1398/100)</f>
        <v/>
      </c>
      <c r="W1398" s="7">
        <f>IF($C1398="","",R1398-V1398)</f>
        <v/>
      </c>
      <c r="X1398" s="7">
        <f>IF($C1398="","",W1398-K1398)</f>
        <v/>
      </c>
      <c r="AB1398" s="7" t="n"/>
      <c r="AE1398" s="11" t="n"/>
      <c r="AG1398">
        <f>IF($C1398="","",IF(COUNTIF($C$2:$C1398,$C1398)=1,1,0))</f>
        <v/>
      </c>
      <c r="AH1398">
        <f>IF($AG1398=1,SUMPRODUCT(--($AK$2:$AK$6001&lt;$AK1398))+1,"")</f>
        <v/>
      </c>
      <c r="AI1398">
        <f>IF($C1398="","",IF(OR($N1398=TRUE(),$N1398="TRUE"),1,0))</f>
        <v/>
      </c>
      <c r="AJ1398">
        <f>IF($C1398="","",IF($T1398="Yes",1,0))</f>
        <v/>
      </c>
      <c r="AK1398">
        <f>IF($AG1398=1,IFERROR(IF(VALUE($C1398)&lt;100000000,VALUE($C1398),1000000000),IFERROR(IF(VALUE(MID($C1398,2,20))&lt;100000000,VALUE(MID($C1398,2,20)),1000000000),1000000000))+ROW()/100000,"")</f>
        <v/>
      </c>
    </row>
    <row r="1399">
      <c r="D1399" s="11" t="n"/>
      <c r="K1399" s="7">
        <f>IF($C1399="","",J1399*W1399/100)</f>
        <v/>
      </c>
      <c r="Q1399" s="7" t="n"/>
      <c r="R1399" s="7" t="n"/>
      <c r="U1399">
        <f>IF($C1399="","",IF($AJ1399=1,0,IF($AI1399=1,Settings!$C$6,Settings!$C$7))*100)</f>
        <v/>
      </c>
      <c r="V1399" s="7">
        <f>IF($C1399="","",R1399*U1399/100)</f>
        <v/>
      </c>
      <c r="W1399" s="7">
        <f>IF($C1399="","",R1399-V1399)</f>
        <v/>
      </c>
      <c r="X1399" s="7">
        <f>IF($C1399="","",W1399-K1399)</f>
        <v/>
      </c>
      <c r="AB1399" s="7" t="n"/>
      <c r="AE1399" s="11" t="n"/>
      <c r="AG1399">
        <f>IF($C1399="","",IF(COUNTIF($C$2:$C1399,$C1399)=1,1,0))</f>
        <v/>
      </c>
      <c r="AH1399">
        <f>IF($AG1399=1,SUMPRODUCT(--($AK$2:$AK$6001&lt;$AK1399))+1,"")</f>
        <v/>
      </c>
      <c r="AI1399">
        <f>IF($C1399="","",IF(OR($N1399=TRUE(),$N1399="TRUE"),1,0))</f>
        <v/>
      </c>
      <c r="AJ1399">
        <f>IF($C1399="","",IF($T1399="Yes",1,0))</f>
        <v/>
      </c>
      <c r="AK1399">
        <f>IF($AG1399=1,IFERROR(IF(VALUE($C1399)&lt;100000000,VALUE($C1399),1000000000),IFERROR(IF(VALUE(MID($C1399,2,20))&lt;100000000,VALUE(MID($C1399,2,20)),1000000000),1000000000))+ROW()/100000,"")</f>
        <v/>
      </c>
    </row>
    <row r="1400">
      <c r="D1400" s="11" t="n"/>
      <c r="K1400" s="7">
        <f>IF($C1400="","",J1400*W1400/100)</f>
        <v/>
      </c>
      <c r="Q1400" s="7" t="n"/>
      <c r="R1400" s="7" t="n"/>
      <c r="U1400">
        <f>IF($C1400="","",IF($AJ1400=1,0,IF($AI1400=1,Settings!$C$6,Settings!$C$7))*100)</f>
        <v/>
      </c>
      <c r="V1400" s="7">
        <f>IF($C1400="","",R1400*U1400/100)</f>
        <v/>
      </c>
      <c r="W1400" s="7">
        <f>IF($C1400="","",R1400-V1400)</f>
        <v/>
      </c>
      <c r="X1400" s="7">
        <f>IF($C1400="","",W1400-K1400)</f>
        <v/>
      </c>
      <c r="AB1400" s="7" t="n"/>
      <c r="AE1400" s="11" t="n"/>
      <c r="AG1400">
        <f>IF($C1400="","",IF(COUNTIF($C$2:$C1400,$C1400)=1,1,0))</f>
        <v/>
      </c>
      <c r="AH1400">
        <f>IF($AG1400=1,SUMPRODUCT(--($AK$2:$AK$6001&lt;$AK1400))+1,"")</f>
        <v/>
      </c>
      <c r="AI1400">
        <f>IF($C1400="","",IF(OR($N1400=TRUE(),$N1400="TRUE"),1,0))</f>
        <v/>
      </c>
      <c r="AJ1400">
        <f>IF($C1400="","",IF($T1400="Yes",1,0))</f>
        <v/>
      </c>
      <c r="AK1400">
        <f>IF($AG1400=1,IFERROR(IF(VALUE($C1400)&lt;100000000,VALUE($C1400),1000000000),IFERROR(IF(VALUE(MID($C1400,2,20))&lt;100000000,VALUE(MID($C1400,2,20)),1000000000),1000000000))+ROW()/100000,"")</f>
        <v/>
      </c>
    </row>
    <row r="1401">
      <c r="D1401" s="11" t="n"/>
      <c r="K1401" s="7">
        <f>IF($C1401="","",J1401*W1401/100)</f>
        <v/>
      </c>
      <c r="Q1401" s="7" t="n"/>
      <c r="R1401" s="7" t="n"/>
      <c r="U1401">
        <f>IF($C1401="","",IF($AJ1401=1,0,IF($AI1401=1,Settings!$C$6,Settings!$C$7))*100)</f>
        <v/>
      </c>
      <c r="V1401" s="7">
        <f>IF($C1401="","",R1401*U1401/100)</f>
        <v/>
      </c>
      <c r="W1401" s="7">
        <f>IF($C1401="","",R1401-V1401)</f>
        <v/>
      </c>
      <c r="X1401" s="7">
        <f>IF($C1401="","",W1401-K1401)</f>
        <v/>
      </c>
      <c r="AB1401" s="7" t="n"/>
      <c r="AE1401" s="11" t="n"/>
      <c r="AG1401">
        <f>IF($C1401="","",IF(COUNTIF($C$2:$C1401,$C1401)=1,1,0))</f>
        <v/>
      </c>
      <c r="AH1401">
        <f>IF($AG1401=1,SUMPRODUCT(--($AK$2:$AK$6001&lt;$AK1401))+1,"")</f>
        <v/>
      </c>
      <c r="AI1401">
        <f>IF($C1401="","",IF(OR($N1401=TRUE(),$N1401="TRUE"),1,0))</f>
        <v/>
      </c>
      <c r="AJ1401">
        <f>IF($C1401="","",IF($T1401="Yes",1,0))</f>
        <v/>
      </c>
      <c r="AK1401">
        <f>IF($AG1401=1,IFERROR(IF(VALUE($C1401)&lt;100000000,VALUE($C1401),1000000000),IFERROR(IF(VALUE(MID($C1401,2,20))&lt;100000000,VALUE(MID($C1401,2,20)),1000000000),1000000000))+ROW()/100000,"")</f>
        <v/>
      </c>
    </row>
    <row r="1402">
      <c r="D1402" s="11" t="n"/>
      <c r="K1402" s="7">
        <f>IF($C1402="","",J1402*W1402/100)</f>
        <v/>
      </c>
      <c r="Q1402" s="7" t="n"/>
      <c r="R1402" s="7" t="n"/>
      <c r="U1402">
        <f>IF($C1402="","",IF($AJ1402=1,0,IF($AI1402=1,Settings!$C$6,Settings!$C$7))*100)</f>
        <v/>
      </c>
      <c r="V1402" s="7">
        <f>IF($C1402="","",R1402*U1402/100)</f>
        <v/>
      </c>
      <c r="W1402" s="7">
        <f>IF($C1402="","",R1402-V1402)</f>
        <v/>
      </c>
      <c r="X1402" s="7">
        <f>IF($C1402="","",W1402-K1402)</f>
        <v/>
      </c>
      <c r="AB1402" s="7" t="n"/>
      <c r="AE1402" s="11" t="n"/>
      <c r="AG1402">
        <f>IF($C1402="","",IF(COUNTIF($C$2:$C1402,$C1402)=1,1,0))</f>
        <v/>
      </c>
      <c r="AH1402">
        <f>IF($AG1402=1,SUMPRODUCT(--($AK$2:$AK$6001&lt;$AK1402))+1,"")</f>
        <v/>
      </c>
      <c r="AI1402">
        <f>IF($C1402="","",IF(OR($N1402=TRUE(),$N1402="TRUE"),1,0))</f>
        <v/>
      </c>
      <c r="AJ1402">
        <f>IF($C1402="","",IF($T1402="Yes",1,0))</f>
        <v/>
      </c>
      <c r="AK1402">
        <f>IF($AG1402=1,IFERROR(IF(VALUE($C1402)&lt;100000000,VALUE($C1402),1000000000),IFERROR(IF(VALUE(MID($C1402,2,20))&lt;100000000,VALUE(MID($C1402,2,20)),1000000000),1000000000))+ROW()/100000,"")</f>
        <v/>
      </c>
    </row>
    <row r="1403">
      <c r="D1403" s="11" t="n"/>
      <c r="K1403" s="7">
        <f>IF($C1403="","",J1403*W1403/100)</f>
        <v/>
      </c>
      <c r="Q1403" s="7" t="n"/>
      <c r="R1403" s="7" t="n"/>
      <c r="U1403">
        <f>IF($C1403="","",IF($AJ1403=1,0,IF($AI1403=1,Settings!$C$6,Settings!$C$7))*100)</f>
        <v/>
      </c>
      <c r="V1403" s="7">
        <f>IF($C1403="","",R1403*U1403/100)</f>
        <v/>
      </c>
      <c r="W1403" s="7">
        <f>IF($C1403="","",R1403-V1403)</f>
        <v/>
      </c>
      <c r="X1403" s="7">
        <f>IF($C1403="","",W1403-K1403)</f>
        <v/>
      </c>
      <c r="AB1403" s="7" t="n"/>
      <c r="AE1403" s="11" t="n"/>
      <c r="AG1403">
        <f>IF($C1403="","",IF(COUNTIF($C$2:$C1403,$C1403)=1,1,0))</f>
        <v/>
      </c>
      <c r="AH1403">
        <f>IF($AG1403=1,SUMPRODUCT(--($AK$2:$AK$6001&lt;$AK1403))+1,"")</f>
        <v/>
      </c>
      <c r="AI1403">
        <f>IF($C1403="","",IF(OR($N1403=TRUE(),$N1403="TRUE"),1,0))</f>
        <v/>
      </c>
      <c r="AJ1403">
        <f>IF($C1403="","",IF($T1403="Yes",1,0))</f>
        <v/>
      </c>
      <c r="AK1403">
        <f>IF($AG1403=1,IFERROR(IF(VALUE($C1403)&lt;100000000,VALUE($C1403),1000000000),IFERROR(IF(VALUE(MID($C1403,2,20))&lt;100000000,VALUE(MID($C1403,2,20)),1000000000),1000000000))+ROW()/100000,"")</f>
        <v/>
      </c>
    </row>
    <row r="1404">
      <c r="D1404" s="11" t="n"/>
      <c r="K1404" s="7">
        <f>IF($C1404="","",J1404*W1404/100)</f>
        <v/>
      </c>
      <c r="Q1404" s="7" t="n"/>
      <c r="R1404" s="7" t="n"/>
      <c r="U1404">
        <f>IF($C1404="","",IF($AJ1404=1,0,IF($AI1404=1,Settings!$C$6,Settings!$C$7))*100)</f>
        <v/>
      </c>
      <c r="V1404" s="7">
        <f>IF($C1404="","",R1404*U1404/100)</f>
        <v/>
      </c>
      <c r="W1404" s="7">
        <f>IF($C1404="","",R1404-V1404)</f>
        <v/>
      </c>
      <c r="X1404" s="7">
        <f>IF($C1404="","",W1404-K1404)</f>
        <v/>
      </c>
      <c r="AB1404" s="7" t="n"/>
      <c r="AE1404" s="11" t="n"/>
      <c r="AG1404">
        <f>IF($C1404="","",IF(COUNTIF($C$2:$C1404,$C1404)=1,1,0))</f>
        <v/>
      </c>
      <c r="AH1404">
        <f>IF($AG1404=1,SUMPRODUCT(--($AK$2:$AK$6001&lt;$AK1404))+1,"")</f>
        <v/>
      </c>
      <c r="AI1404">
        <f>IF($C1404="","",IF(OR($N1404=TRUE(),$N1404="TRUE"),1,0))</f>
        <v/>
      </c>
      <c r="AJ1404">
        <f>IF($C1404="","",IF($T1404="Yes",1,0))</f>
        <v/>
      </c>
      <c r="AK1404">
        <f>IF($AG1404=1,IFERROR(IF(VALUE($C1404)&lt;100000000,VALUE($C1404),1000000000),IFERROR(IF(VALUE(MID($C1404,2,20))&lt;100000000,VALUE(MID($C1404,2,20)),1000000000),1000000000))+ROW()/100000,"")</f>
        <v/>
      </c>
    </row>
    <row r="1405">
      <c r="D1405" s="11" t="n"/>
      <c r="K1405" s="7">
        <f>IF($C1405="","",J1405*W1405/100)</f>
        <v/>
      </c>
      <c r="Q1405" s="7" t="n"/>
      <c r="R1405" s="7" t="n"/>
      <c r="U1405">
        <f>IF($C1405="","",IF($AJ1405=1,0,IF($AI1405=1,Settings!$C$6,Settings!$C$7))*100)</f>
        <v/>
      </c>
      <c r="V1405" s="7">
        <f>IF($C1405="","",R1405*U1405/100)</f>
        <v/>
      </c>
      <c r="W1405" s="7">
        <f>IF($C1405="","",R1405-V1405)</f>
        <v/>
      </c>
      <c r="X1405" s="7">
        <f>IF($C1405="","",W1405-K1405)</f>
        <v/>
      </c>
      <c r="AB1405" s="7" t="n"/>
      <c r="AE1405" s="11" t="n"/>
      <c r="AG1405">
        <f>IF($C1405="","",IF(COUNTIF($C$2:$C1405,$C1405)=1,1,0))</f>
        <v/>
      </c>
      <c r="AH1405">
        <f>IF($AG1405=1,SUMPRODUCT(--($AK$2:$AK$6001&lt;$AK1405))+1,"")</f>
        <v/>
      </c>
      <c r="AI1405">
        <f>IF($C1405="","",IF(OR($N1405=TRUE(),$N1405="TRUE"),1,0))</f>
        <v/>
      </c>
      <c r="AJ1405">
        <f>IF($C1405="","",IF($T1405="Yes",1,0))</f>
        <v/>
      </c>
      <c r="AK1405">
        <f>IF($AG1405=1,IFERROR(IF(VALUE($C1405)&lt;100000000,VALUE($C1405),1000000000),IFERROR(IF(VALUE(MID($C1405,2,20))&lt;100000000,VALUE(MID($C1405,2,20)),1000000000),1000000000))+ROW()/100000,"")</f>
        <v/>
      </c>
    </row>
    <row r="1406">
      <c r="D1406" s="11" t="n"/>
      <c r="K1406" s="7">
        <f>IF($C1406="","",J1406*W1406/100)</f>
        <v/>
      </c>
      <c r="Q1406" s="7" t="n"/>
      <c r="R1406" s="7" t="n"/>
      <c r="U1406">
        <f>IF($C1406="","",IF($AJ1406=1,0,IF($AI1406=1,Settings!$C$6,Settings!$C$7))*100)</f>
        <v/>
      </c>
      <c r="V1406" s="7">
        <f>IF($C1406="","",R1406*U1406/100)</f>
        <v/>
      </c>
      <c r="W1406" s="7">
        <f>IF($C1406="","",R1406-V1406)</f>
        <v/>
      </c>
      <c r="X1406" s="7">
        <f>IF($C1406="","",W1406-K1406)</f>
        <v/>
      </c>
      <c r="AB1406" s="7" t="n"/>
      <c r="AE1406" s="11" t="n"/>
      <c r="AG1406">
        <f>IF($C1406="","",IF(COUNTIF($C$2:$C1406,$C1406)=1,1,0))</f>
        <v/>
      </c>
      <c r="AH1406">
        <f>IF($AG1406=1,SUMPRODUCT(--($AK$2:$AK$6001&lt;$AK1406))+1,"")</f>
        <v/>
      </c>
      <c r="AI1406">
        <f>IF($C1406="","",IF(OR($N1406=TRUE(),$N1406="TRUE"),1,0))</f>
        <v/>
      </c>
      <c r="AJ1406">
        <f>IF($C1406="","",IF($T1406="Yes",1,0))</f>
        <v/>
      </c>
      <c r="AK1406">
        <f>IF($AG1406=1,IFERROR(IF(VALUE($C1406)&lt;100000000,VALUE($C1406),1000000000),IFERROR(IF(VALUE(MID($C1406,2,20))&lt;100000000,VALUE(MID($C1406,2,20)),1000000000),1000000000))+ROW()/100000,"")</f>
        <v/>
      </c>
    </row>
    <row r="1407">
      <c r="D1407" s="11" t="n"/>
      <c r="K1407" s="7">
        <f>IF($C1407="","",J1407*W1407/100)</f>
        <v/>
      </c>
      <c r="Q1407" s="7" t="n"/>
      <c r="R1407" s="7" t="n"/>
      <c r="U1407">
        <f>IF($C1407="","",IF($AJ1407=1,0,IF($AI1407=1,Settings!$C$6,Settings!$C$7))*100)</f>
        <v/>
      </c>
      <c r="V1407" s="7">
        <f>IF($C1407="","",R1407*U1407/100)</f>
        <v/>
      </c>
      <c r="W1407" s="7">
        <f>IF($C1407="","",R1407-V1407)</f>
        <v/>
      </c>
      <c r="X1407" s="7">
        <f>IF($C1407="","",W1407-K1407)</f>
        <v/>
      </c>
      <c r="AB1407" s="7" t="n"/>
      <c r="AE1407" s="11" t="n"/>
      <c r="AG1407">
        <f>IF($C1407="","",IF(COUNTIF($C$2:$C1407,$C1407)=1,1,0))</f>
        <v/>
      </c>
      <c r="AH1407">
        <f>IF($AG1407=1,SUMPRODUCT(--($AK$2:$AK$6001&lt;$AK1407))+1,"")</f>
        <v/>
      </c>
      <c r="AI1407">
        <f>IF($C1407="","",IF(OR($N1407=TRUE(),$N1407="TRUE"),1,0))</f>
        <v/>
      </c>
      <c r="AJ1407">
        <f>IF($C1407="","",IF($T1407="Yes",1,0))</f>
        <v/>
      </c>
      <c r="AK1407">
        <f>IF($AG1407=1,IFERROR(IF(VALUE($C1407)&lt;100000000,VALUE($C1407),1000000000),IFERROR(IF(VALUE(MID($C1407,2,20))&lt;100000000,VALUE(MID($C1407,2,20)),1000000000),1000000000))+ROW()/100000,"")</f>
        <v/>
      </c>
    </row>
    <row r="1408">
      <c r="D1408" s="11" t="n"/>
      <c r="K1408" s="7">
        <f>IF($C1408="","",J1408*W1408/100)</f>
        <v/>
      </c>
      <c r="Q1408" s="7" t="n"/>
      <c r="R1408" s="7" t="n"/>
      <c r="U1408">
        <f>IF($C1408="","",IF($AJ1408=1,0,IF($AI1408=1,Settings!$C$6,Settings!$C$7))*100)</f>
        <v/>
      </c>
      <c r="V1408" s="7">
        <f>IF($C1408="","",R1408*U1408/100)</f>
        <v/>
      </c>
      <c r="W1408" s="7">
        <f>IF($C1408="","",R1408-V1408)</f>
        <v/>
      </c>
      <c r="X1408" s="7">
        <f>IF($C1408="","",W1408-K1408)</f>
        <v/>
      </c>
      <c r="AB1408" s="7" t="n"/>
      <c r="AE1408" s="11" t="n"/>
      <c r="AG1408">
        <f>IF($C1408="","",IF(COUNTIF($C$2:$C1408,$C1408)=1,1,0))</f>
        <v/>
      </c>
      <c r="AH1408">
        <f>IF($AG1408=1,SUMPRODUCT(--($AK$2:$AK$6001&lt;$AK1408))+1,"")</f>
        <v/>
      </c>
      <c r="AI1408">
        <f>IF($C1408="","",IF(OR($N1408=TRUE(),$N1408="TRUE"),1,0))</f>
        <v/>
      </c>
      <c r="AJ1408">
        <f>IF($C1408="","",IF($T1408="Yes",1,0))</f>
        <v/>
      </c>
      <c r="AK1408">
        <f>IF($AG1408=1,IFERROR(IF(VALUE($C1408)&lt;100000000,VALUE($C1408),1000000000),IFERROR(IF(VALUE(MID($C1408,2,20))&lt;100000000,VALUE(MID($C1408,2,20)),1000000000),1000000000))+ROW()/100000,"")</f>
        <v/>
      </c>
    </row>
    <row r="1409">
      <c r="D1409" s="11" t="n"/>
      <c r="K1409" s="7">
        <f>IF($C1409="","",J1409*W1409/100)</f>
        <v/>
      </c>
      <c r="Q1409" s="7" t="n"/>
      <c r="R1409" s="7" t="n"/>
      <c r="U1409">
        <f>IF($C1409="","",IF($AJ1409=1,0,IF($AI1409=1,Settings!$C$6,Settings!$C$7))*100)</f>
        <v/>
      </c>
      <c r="V1409" s="7">
        <f>IF($C1409="","",R1409*U1409/100)</f>
        <v/>
      </c>
      <c r="W1409" s="7">
        <f>IF($C1409="","",R1409-V1409)</f>
        <v/>
      </c>
      <c r="X1409" s="7">
        <f>IF($C1409="","",W1409-K1409)</f>
        <v/>
      </c>
      <c r="AB1409" s="7" t="n"/>
      <c r="AE1409" s="11" t="n"/>
      <c r="AG1409">
        <f>IF($C1409="","",IF(COUNTIF($C$2:$C1409,$C1409)=1,1,0))</f>
        <v/>
      </c>
      <c r="AH1409">
        <f>IF($AG1409=1,SUMPRODUCT(--($AK$2:$AK$6001&lt;$AK1409))+1,"")</f>
        <v/>
      </c>
      <c r="AI1409">
        <f>IF($C1409="","",IF(OR($N1409=TRUE(),$N1409="TRUE"),1,0))</f>
        <v/>
      </c>
      <c r="AJ1409">
        <f>IF($C1409="","",IF($T1409="Yes",1,0))</f>
        <v/>
      </c>
      <c r="AK1409">
        <f>IF($AG1409=1,IFERROR(IF(VALUE($C1409)&lt;100000000,VALUE($C1409),1000000000),IFERROR(IF(VALUE(MID($C1409,2,20))&lt;100000000,VALUE(MID($C1409,2,20)),1000000000),1000000000))+ROW()/100000,"")</f>
        <v/>
      </c>
    </row>
    <row r="1410">
      <c r="D1410" s="11" t="n"/>
      <c r="K1410" s="7">
        <f>IF($C1410="","",J1410*W1410/100)</f>
        <v/>
      </c>
      <c r="Q1410" s="7" t="n"/>
      <c r="R1410" s="7" t="n"/>
      <c r="U1410">
        <f>IF($C1410="","",IF($AJ1410=1,0,IF($AI1410=1,Settings!$C$6,Settings!$C$7))*100)</f>
        <v/>
      </c>
      <c r="V1410" s="7">
        <f>IF($C1410="","",R1410*U1410/100)</f>
        <v/>
      </c>
      <c r="W1410" s="7">
        <f>IF($C1410="","",R1410-V1410)</f>
        <v/>
      </c>
      <c r="X1410" s="7">
        <f>IF($C1410="","",W1410-K1410)</f>
        <v/>
      </c>
      <c r="AB1410" s="7" t="n"/>
      <c r="AE1410" s="11" t="n"/>
      <c r="AG1410">
        <f>IF($C1410="","",IF(COUNTIF($C$2:$C1410,$C1410)=1,1,0))</f>
        <v/>
      </c>
      <c r="AH1410">
        <f>IF($AG1410=1,SUMPRODUCT(--($AK$2:$AK$6001&lt;$AK1410))+1,"")</f>
        <v/>
      </c>
      <c r="AI1410">
        <f>IF($C1410="","",IF(OR($N1410=TRUE(),$N1410="TRUE"),1,0))</f>
        <v/>
      </c>
      <c r="AJ1410">
        <f>IF($C1410="","",IF($T1410="Yes",1,0))</f>
        <v/>
      </c>
      <c r="AK1410">
        <f>IF($AG1410=1,IFERROR(IF(VALUE($C1410)&lt;100000000,VALUE($C1410),1000000000),IFERROR(IF(VALUE(MID($C1410,2,20))&lt;100000000,VALUE(MID($C1410,2,20)),1000000000),1000000000))+ROW()/100000,"")</f>
        <v/>
      </c>
    </row>
    <row r="1411">
      <c r="D1411" s="11" t="n"/>
      <c r="K1411" s="7">
        <f>IF($C1411="","",J1411*W1411/100)</f>
        <v/>
      </c>
      <c r="Q1411" s="7" t="n"/>
      <c r="R1411" s="7" t="n"/>
      <c r="U1411">
        <f>IF($C1411="","",IF($AJ1411=1,0,IF($AI1411=1,Settings!$C$6,Settings!$C$7))*100)</f>
        <v/>
      </c>
      <c r="V1411" s="7">
        <f>IF($C1411="","",R1411*U1411/100)</f>
        <v/>
      </c>
      <c r="W1411" s="7">
        <f>IF($C1411="","",R1411-V1411)</f>
        <v/>
      </c>
      <c r="X1411" s="7">
        <f>IF($C1411="","",W1411-K1411)</f>
        <v/>
      </c>
      <c r="AB1411" s="7" t="n"/>
      <c r="AE1411" s="11" t="n"/>
      <c r="AG1411">
        <f>IF($C1411="","",IF(COUNTIF($C$2:$C1411,$C1411)=1,1,0))</f>
        <v/>
      </c>
      <c r="AH1411">
        <f>IF($AG1411=1,SUMPRODUCT(--($AK$2:$AK$6001&lt;$AK1411))+1,"")</f>
        <v/>
      </c>
      <c r="AI1411">
        <f>IF($C1411="","",IF(OR($N1411=TRUE(),$N1411="TRUE"),1,0))</f>
        <v/>
      </c>
      <c r="AJ1411">
        <f>IF($C1411="","",IF($T1411="Yes",1,0))</f>
        <v/>
      </c>
      <c r="AK1411">
        <f>IF($AG1411=1,IFERROR(IF(VALUE($C1411)&lt;100000000,VALUE($C1411),1000000000),IFERROR(IF(VALUE(MID($C1411,2,20))&lt;100000000,VALUE(MID($C1411,2,20)),1000000000),1000000000))+ROW()/100000,"")</f>
        <v/>
      </c>
    </row>
    <row r="1412">
      <c r="D1412" s="11" t="n"/>
      <c r="K1412" s="7">
        <f>IF($C1412="","",J1412*W1412/100)</f>
        <v/>
      </c>
      <c r="Q1412" s="7" t="n"/>
      <c r="R1412" s="7" t="n"/>
      <c r="U1412">
        <f>IF($C1412="","",IF($AJ1412=1,0,IF($AI1412=1,Settings!$C$6,Settings!$C$7))*100)</f>
        <v/>
      </c>
      <c r="V1412" s="7">
        <f>IF($C1412="","",R1412*U1412/100)</f>
        <v/>
      </c>
      <c r="W1412" s="7">
        <f>IF($C1412="","",R1412-V1412)</f>
        <v/>
      </c>
      <c r="X1412" s="7">
        <f>IF($C1412="","",W1412-K1412)</f>
        <v/>
      </c>
      <c r="AB1412" s="7" t="n"/>
      <c r="AE1412" s="11" t="n"/>
      <c r="AG1412">
        <f>IF($C1412="","",IF(COUNTIF($C$2:$C1412,$C1412)=1,1,0))</f>
        <v/>
      </c>
      <c r="AH1412">
        <f>IF($AG1412=1,SUMPRODUCT(--($AK$2:$AK$6001&lt;$AK1412))+1,"")</f>
        <v/>
      </c>
      <c r="AI1412">
        <f>IF($C1412="","",IF(OR($N1412=TRUE(),$N1412="TRUE"),1,0))</f>
        <v/>
      </c>
      <c r="AJ1412">
        <f>IF($C1412="","",IF($T1412="Yes",1,0))</f>
        <v/>
      </c>
      <c r="AK1412">
        <f>IF($AG1412=1,IFERROR(IF(VALUE($C1412)&lt;100000000,VALUE($C1412),1000000000),IFERROR(IF(VALUE(MID($C1412,2,20))&lt;100000000,VALUE(MID($C1412,2,20)),1000000000),1000000000))+ROW()/100000,"")</f>
        <v/>
      </c>
    </row>
    <row r="1413">
      <c r="D1413" s="11" t="n"/>
      <c r="K1413" s="7">
        <f>IF($C1413="","",J1413*W1413/100)</f>
        <v/>
      </c>
      <c r="Q1413" s="7" t="n"/>
      <c r="R1413" s="7" t="n"/>
      <c r="U1413">
        <f>IF($C1413="","",IF($AJ1413=1,0,IF($AI1413=1,Settings!$C$6,Settings!$C$7))*100)</f>
        <v/>
      </c>
      <c r="V1413" s="7">
        <f>IF($C1413="","",R1413*U1413/100)</f>
        <v/>
      </c>
      <c r="W1413" s="7">
        <f>IF($C1413="","",R1413-V1413)</f>
        <v/>
      </c>
      <c r="X1413" s="7">
        <f>IF($C1413="","",W1413-K1413)</f>
        <v/>
      </c>
      <c r="AB1413" s="7" t="n"/>
      <c r="AE1413" s="11" t="n"/>
      <c r="AG1413">
        <f>IF($C1413="","",IF(COUNTIF($C$2:$C1413,$C1413)=1,1,0))</f>
        <v/>
      </c>
      <c r="AH1413">
        <f>IF($AG1413=1,SUMPRODUCT(--($AK$2:$AK$6001&lt;$AK1413))+1,"")</f>
        <v/>
      </c>
      <c r="AI1413">
        <f>IF($C1413="","",IF(OR($N1413=TRUE(),$N1413="TRUE"),1,0))</f>
        <v/>
      </c>
      <c r="AJ1413">
        <f>IF($C1413="","",IF($T1413="Yes",1,0))</f>
        <v/>
      </c>
      <c r="AK1413">
        <f>IF($AG1413=1,IFERROR(IF(VALUE($C1413)&lt;100000000,VALUE($C1413),1000000000),IFERROR(IF(VALUE(MID($C1413,2,20))&lt;100000000,VALUE(MID($C1413,2,20)),1000000000),1000000000))+ROW()/100000,"")</f>
        <v/>
      </c>
    </row>
    <row r="1414">
      <c r="D1414" s="11" t="n"/>
      <c r="K1414" s="7">
        <f>IF($C1414="","",J1414*W1414/100)</f>
        <v/>
      </c>
      <c r="Q1414" s="7" t="n"/>
      <c r="R1414" s="7" t="n"/>
      <c r="U1414">
        <f>IF($C1414="","",IF($AJ1414=1,0,IF($AI1414=1,Settings!$C$6,Settings!$C$7))*100)</f>
        <v/>
      </c>
      <c r="V1414" s="7">
        <f>IF($C1414="","",R1414*U1414/100)</f>
        <v/>
      </c>
      <c r="W1414" s="7">
        <f>IF($C1414="","",R1414-V1414)</f>
        <v/>
      </c>
      <c r="X1414" s="7">
        <f>IF($C1414="","",W1414-K1414)</f>
        <v/>
      </c>
      <c r="AB1414" s="7" t="n"/>
      <c r="AE1414" s="11" t="n"/>
      <c r="AG1414">
        <f>IF($C1414="","",IF(COUNTIF($C$2:$C1414,$C1414)=1,1,0))</f>
        <v/>
      </c>
      <c r="AH1414">
        <f>IF($AG1414=1,SUMPRODUCT(--($AK$2:$AK$6001&lt;$AK1414))+1,"")</f>
        <v/>
      </c>
      <c r="AI1414">
        <f>IF($C1414="","",IF(OR($N1414=TRUE(),$N1414="TRUE"),1,0))</f>
        <v/>
      </c>
      <c r="AJ1414">
        <f>IF($C1414="","",IF($T1414="Yes",1,0))</f>
        <v/>
      </c>
      <c r="AK1414">
        <f>IF($AG1414=1,IFERROR(IF(VALUE($C1414)&lt;100000000,VALUE($C1414),1000000000),IFERROR(IF(VALUE(MID($C1414,2,20))&lt;100000000,VALUE(MID($C1414,2,20)),1000000000),1000000000))+ROW()/100000,"")</f>
        <v/>
      </c>
    </row>
    <row r="1415">
      <c r="D1415" s="11" t="n"/>
      <c r="K1415" s="7">
        <f>IF($C1415="","",J1415*W1415/100)</f>
        <v/>
      </c>
      <c r="Q1415" s="7" t="n"/>
      <c r="R1415" s="7" t="n"/>
      <c r="U1415">
        <f>IF($C1415="","",IF($AJ1415=1,0,IF($AI1415=1,Settings!$C$6,Settings!$C$7))*100)</f>
        <v/>
      </c>
      <c r="V1415" s="7">
        <f>IF($C1415="","",R1415*U1415/100)</f>
        <v/>
      </c>
      <c r="W1415" s="7">
        <f>IF($C1415="","",R1415-V1415)</f>
        <v/>
      </c>
      <c r="X1415" s="7">
        <f>IF($C1415="","",W1415-K1415)</f>
        <v/>
      </c>
      <c r="AB1415" s="7" t="n"/>
      <c r="AE1415" s="11" t="n"/>
      <c r="AG1415">
        <f>IF($C1415="","",IF(COUNTIF($C$2:$C1415,$C1415)=1,1,0))</f>
        <v/>
      </c>
      <c r="AH1415">
        <f>IF($AG1415=1,SUMPRODUCT(--($AK$2:$AK$6001&lt;$AK1415))+1,"")</f>
        <v/>
      </c>
      <c r="AI1415">
        <f>IF($C1415="","",IF(OR($N1415=TRUE(),$N1415="TRUE"),1,0))</f>
        <v/>
      </c>
      <c r="AJ1415">
        <f>IF($C1415="","",IF($T1415="Yes",1,0))</f>
        <v/>
      </c>
      <c r="AK1415">
        <f>IF($AG1415=1,IFERROR(IF(VALUE($C1415)&lt;100000000,VALUE($C1415),1000000000),IFERROR(IF(VALUE(MID($C1415,2,20))&lt;100000000,VALUE(MID($C1415,2,20)),1000000000),1000000000))+ROW()/100000,"")</f>
        <v/>
      </c>
    </row>
    <row r="1416">
      <c r="D1416" s="11" t="n"/>
      <c r="K1416" s="7">
        <f>IF($C1416="","",J1416*W1416/100)</f>
        <v/>
      </c>
      <c r="Q1416" s="7" t="n"/>
      <c r="R1416" s="7" t="n"/>
      <c r="U1416">
        <f>IF($C1416="","",IF($AJ1416=1,0,IF($AI1416=1,Settings!$C$6,Settings!$C$7))*100)</f>
        <v/>
      </c>
      <c r="V1416" s="7">
        <f>IF($C1416="","",R1416*U1416/100)</f>
        <v/>
      </c>
      <c r="W1416" s="7">
        <f>IF($C1416="","",R1416-V1416)</f>
        <v/>
      </c>
      <c r="X1416" s="7">
        <f>IF($C1416="","",W1416-K1416)</f>
        <v/>
      </c>
      <c r="AB1416" s="7" t="n"/>
      <c r="AE1416" s="11" t="n"/>
      <c r="AG1416">
        <f>IF($C1416="","",IF(COUNTIF($C$2:$C1416,$C1416)=1,1,0))</f>
        <v/>
      </c>
      <c r="AH1416">
        <f>IF($AG1416=1,SUMPRODUCT(--($AK$2:$AK$6001&lt;$AK1416))+1,"")</f>
        <v/>
      </c>
      <c r="AI1416">
        <f>IF($C1416="","",IF(OR($N1416=TRUE(),$N1416="TRUE"),1,0))</f>
        <v/>
      </c>
      <c r="AJ1416">
        <f>IF($C1416="","",IF($T1416="Yes",1,0))</f>
        <v/>
      </c>
      <c r="AK1416">
        <f>IF($AG1416=1,IFERROR(IF(VALUE($C1416)&lt;100000000,VALUE($C1416),1000000000),IFERROR(IF(VALUE(MID($C1416,2,20))&lt;100000000,VALUE(MID($C1416,2,20)),1000000000),1000000000))+ROW()/100000,"")</f>
        <v/>
      </c>
    </row>
    <row r="1417">
      <c r="D1417" s="11" t="n"/>
      <c r="K1417" s="7">
        <f>IF($C1417="","",J1417*W1417/100)</f>
        <v/>
      </c>
      <c r="Q1417" s="7" t="n"/>
      <c r="R1417" s="7" t="n"/>
      <c r="U1417">
        <f>IF($C1417="","",IF($AJ1417=1,0,IF($AI1417=1,Settings!$C$6,Settings!$C$7))*100)</f>
        <v/>
      </c>
      <c r="V1417" s="7">
        <f>IF($C1417="","",R1417*U1417/100)</f>
        <v/>
      </c>
      <c r="W1417" s="7">
        <f>IF($C1417="","",R1417-V1417)</f>
        <v/>
      </c>
      <c r="X1417" s="7">
        <f>IF($C1417="","",W1417-K1417)</f>
        <v/>
      </c>
      <c r="AB1417" s="7" t="n"/>
      <c r="AE1417" s="11" t="n"/>
      <c r="AG1417">
        <f>IF($C1417="","",IF(COUNTIF($C$2:$C1417,$C1417)=1,1,0))</f>
        <v/>
      </c>
      <c r="AH1417">
        <f>IF($AG1417=1,SUMPRODUCT(--($AK$2:$AK$6001&lt;$AK1417))+1,"")</f>
        <v/>
      </c>
      <c r="AI1417">
        <f>IF($C1417="","",IF(OR($N1417=TRUE(),$N1417="TRUE"),1,0))</f>
        <v/>
      </c>
      <c r="AJ1417">
        <f>IF($C1417="","",IF($T1417="Yes",1,0))</f>
        <v/>
      </c>
      <c r="AK1417">
        <f>IF($AG1417=1,IFERROR(IF(VALUE($C1417)&lt;100000000,VALUE($C1417),1000000000),IFERROR(IF(VALUE(MID($C1417,2,20))&lt;100000000,VALUE(MID($C1417,2,20)),1000000000),1000000000))+ROW()/100000,"")</f>
        <v/>
      </c>
    </row>
    <row r="1418">
      <c r="D1418" s="11" t="n"/>
      <c r="K1418" s="7">
        <f>IF($C1418="","",J1418*W1418/100)</f>
        <v/>
      </c>
      <c r="Q1418" s="7" t="n"/>
      <c r="R1418" s="7" t="n"/>
      <c r="U1418">
        <f>IF($C1418="","",IF($AJ1418=1,0,IF($AI1418=1,Settings!$C$6,Settings!$C$7))*100)</f>
        <v/>
      </c>
      <c r="V1418" s="7">
        <f>IF($C1418="","",R1418*U1418/100)</f>
        <v/>
      </c>
      <c r="W1418" s="7">
        <f>IF($C1418="","",R1418-V1418)</f>
        <v/>
      </c>
      <c r="X1418" s="7">
        <f>IF($C1418="","",W1418-K1418)</f>
        <v/>
      </c>
      <c r="AB1418" s="7" t="n"/>
      <c r="AE1418" s="11" t="n"/>
      <c r="AG1418">
        <f>IF($C1418="","",IF(COUNTIF($C$2:$C1418,$C1418)=1,1,0))</f>
        <v/>
      </c>
      <c r="AH1418">
        <f>IF($AG1418=1,SUMPRODUCT(--($AK$2:$AK$6001&lt;$AK1418))+1,"")</f>
        <v/>
      </c>
      <c r="AI1418">
        <f>IF($C1418="","",IF(OR($N1418=TRUE(),$N1418="TRUE"),1,0))</f>
        <v/>
      </c>
      <c r="AJ1418">
        <f>IF($C1418="","",IF($T1418="Yes",1,0))</f>
        <v/>
      </c>
      <c r="AK1418">
        <f>IF($AG1418=1,IFERROR(IF(VALUE($C1418)&lt;100000000,VALUE($C1418),1000000000),IFERROR(IF(VALUE(MID($C1418,2,20))&lt;100000000,VALUE(MID($C1418,2,20)),1000000000),1000000000))+ROW()/100000,"")</f>
        <v/>
      </c>
    </row>
    <row r="1419">
      <c r="D1419" s="11" t="n"/>
      <c r="K1419" s="7">
        <f>IF($C1419="","",J1419*W1419/100)</f>
        <v/>
      </c>
      <c r="Q1419" s="7" t="n"/>
      <c r="R1419" s="7" t="n"/>
      <c r="U1419">
        <f>IF($C1419="","",IF($AJ1419=1,0,IF($AI1419=1,Settings!$C$6,Settings!$C$7))*100)</f>
        <v/>
      </c>
      <c r="V1419" s="7">
        <f>IF($C1419="","",R1419*U1419/100)</f>
        <v/>
      </c>
      <c r="W1419" s="7">
        <f>IF($C1419="","",R1419-V1419)</f>
        <v/>
      </c>
      <c r="X1419" s="7">
        <f>IF($C1419="","",W1419-K1419)</f>
        <v/>
      </c>
      <c r="AB1419" s="7" t="n"/>
      <c r="AE1419" s="11" t="n"/>
      <c r="AG1419">
        <f>IF($C1419="","",IF(COUNTIF($C$2:$C1419,$C1419)=1,1,0))</f>
        <v/>
      </c>
      <c r="AH1419">
        <f>IF($AG1419=1,SUMPRODUCT(--($AK$2:$AK$6001&lt;$AK1419))+1,"")</f>
        <v/>
      </c>
      <c r="AI1419">
        <f>IF($C1419="","",IF(OR($N1419=TRUE(),$N1419="TRUE"),1,0))</f>
        <v/>
      </c>
      <c r="AJ1419">
        <f>IF($C1419="","",IF($T1419="Yes",1,0))</f>
        <v/>
      </c>
      <c r="AK1419">
        <f>IF($AG1419=1,IFERROR(IF(VALUE($C1419)&lt;100000000,VALUE($C1419),1000000000),IFERROR(IF(VALUE(MID($C1419,2,20))&lt;100000000,VALUE(MID($C1419,2,20)),1000000000),1000000000))+ROW()/100000,"")</f>
        <v/>
      </c>
    </row>
    <row r="1420">
      <c r="D1420" s="11" t="n"/>
      <c r="K1420" s="7">
        <f>IF($C1420="","",J1420*W1420/100)</f>
        <v/>
      </c>
      <c r="Q1420" s="7" t="n"/>
      <c r="R1420" s="7" t="n"/>
      <c r="U1420">
        <f>IF($C1420="","",IF($AJ1420=1,0,IF($AI1420=1,Settings!$C$6,Settings!$C$7))*100)</f>
        <v/>
      </c>
      <c r="V1420" s="7">
        <f>IF($C1420="","",R1420*U1420/100)</f>
        <v/>
      </c>
      <c r="W1420" s="7">
        <f>IF($C1420="","",R1420-V1420)</f>
        <v/>
      </c>
      <c r="X1420" s="7">
        <f>IF($C1420="","",W1420-K1420)</f>
        <v/>
      </c>
      <c r="AB1420" s="7" t="n"/>
      <c r="AE1420" s="11" t="n"/>
      <c r="AG1420">
        <f>IF($C1420="","",IF(COUNTIF($C$2:$C1420,$C1420)=1,1,0))</f>
        <v/>
      </c>
      <c r="AH1420">
        <f>IF($AG1420=1,SUMPRODUCT(--($AK$2:$AK$6001&lt;$AK1420))+1,"")</f>
        <v/>
      </c>
      <c r="AI1420">
        <f>IF($C1420="","",IF(OR($N1420=TRUE(),$N1420="TRUE"),1,0))</f>
        <v/>
      </c>
      <c r="AJ1420">
        <f>IF($C1420="","",IF($T1420="Yes",1,0))</f>
        <v/>
      </c>
      <c r="AK1420">
        <f>IF($AG1420=1,IFERROR(IF(VALUE($C1420)&lt;100000000,VALUE($C1420),1000000000),IFERROR(IF(VALUE(MID($C1420,2,20))&lt;100000000,VALUE(MID($C1420,2,20)),1000000000),1000000000))+ROW()/100000,"")</f>
        <v/>
      </c>
    </row>
    <row r="1421">
      <c r="D1421" s="11" t="n"/>
      <c r="K1421" s="7">
        <f>IF($C1421="","",J1421*W1421/100)</f>
        <v/>
      </c>
      <c r="Q1421" s="7" t="n"/>
      <c r="R1421" s="7" t="n"/>
      <c r="U1421">
        <f>IF($C1421="","",IF($AJ1421=1,0,IF($AI1421=1,Settings!$C$6,Settings!$C$7))*100)</f>
        <v/>
      </c>
      <c r="V1421" s="7">
        <f>IF($C1421="","",R1421*U1421/100)</f>
        <v/>
      </c>
      <c r="W1421" s="7">
        <f>IF($C1421="","",R1421-V1421)</f>
        <v/>
      </c>
      <c r="X1421" s="7">
        <f>IF($C1421="","",W1421-K1421)</f>
        <v/>
      </c>
      <c r="AB1421" s="7" t="n"/>
      <c r="AE1421" s="11" t="n"/>
      <c r="AG1421">
        <f>IF($C1421="","",IF(COUNTIF($C$2:$C1421,$C1421)=1,1,0))</f>
        <v/>
      </c>
      <c r="AH1421">
        <f>IF($AG1421=1,SUMPRODUCT(--($AK$2:$AK$6001&lt;$AK1421))+1,"")</f>
        <v/>
      </c>
      <c r="AI1421">
        <f>IF($C1421="","",IF(OR($N1421=TRUE(),$N1421="TRUE"),1,0))</f>
        <v/>
      </c>
      <c r="AJ1421">
        <f>IF($C1421="","",IF($T1421="Yes",1,0))</f>
        <v/>
      </c>
      <c r="AK1421">
        <f>IF($AG1421=1,IFERROR(IF(VALUE($C1421)&lt;100000000,VALUE($C1421),1000000000),IFERROR(IF(VALUE(MID($C1421,2,20))&lt;100000000,VALUE(MID($C1421,2,20)),1000000000),1000000000))+ROW()/100000,"")</f>
        <v/>
      </c>
    </row>
    <row r="1422">
      <c r="D1422" s="11" t="n"/>
      <c r="K1422" s="7">
        <f>IF($C1422="","",J1422*W1422/100)</f>
        <v/>
      </c>
      <c r="Q1422" s="7" t="n"/>
      <c r="R1422" s="7" t="n"/>
      <c r="U1422">
        <f>IF($C1422="","",IF($AJ1422=1,0,IF($AI1422=1,Settings!$C$6,Settings!$C$7))*100)</f>
        <v/>
      </c>
      <c r="V1422" s="7">
        <f>IF($C1422="","",R1422*U1422/100)</f>
        <v/>
      </c>
      <c r="W1422" s="7">
        <f>IF($C1422="","",R1422-V1422)</f>
        <v/>
      </c>
      <c r="X1422" s="7">
        <f>IF($C1422="","",W1422-K1422)</f>
        <v/>
      </c>
      <c r="AB1422" s="7" t="n"/>
      <c r="AE1422" s="11" t="n"/>
      <c r="AG1422">
        <f>IF($C1422="","",IF(COUNTIF($C$2:$C1422,$C1422)=1,1,0))</f>
        <v/>
      </c>
      <c r="AH1422">
        <f>IF($AG1422=1,SUMPRODUCT(--($AK$2:$AK$6001&lt;$AK1422))+1,"")</f>
        <v/>
      </c>
      <c r="AI1422">
        <f>IF($C1422="","",IF(OR($N1422=TRUE(),$N1422="TRUE"),1,0))</f>
        <v/>
      </c>
      <c r="AJ1422">
        <f>IF($C1422="","",IF($T1422="Yes",1,0))</f>
        <v/>
      </c>
      <c r="AK1422">
        <f>IF($AG1422=1,IFERROR(IF(VALUE($C1422)&lt;100000000,VALUE($C1422),1000000000),IFERROR(IF(VALUE(MID($C1422,2,20))&lt;100000000,VALUE(MID($C1422,2,20)),1000000000),1000000000))+ROW()/100000,"")</f>
        <v/>
      </c>
    </row>
    <row r="1423">
      <c r="D1423" s="11" t="n"/>
      <c r="K1423" s="7">
        <f>IF($C1423="","",J1423*W1423/100)</f>
        <v/>
      </c>
      <c r="Q1423" s="7" t="n"/>
      <c r="R1423" s="7" t="n"/>
      <c r="U1423">
        <f>IF($C1423="","",IF($AJ1423=1,0,IF($AI1423=1,Settings!$C$6,Settings!$C$7))*100)</f>
        <v/>
      </c>
      <c r="V1423" s="7">
        <f>IF($C1423="","",R1423*U1423/100)</f>
        <v/>
      </c>
      <c r="W1423" s="7">
        <f>IF($C1423="","",R1423-V1423)</f>
        <v/>
      </c>
      <c r="X1423" s="7">
        <f>IF($C1423="","",W1423-K1423)</f>
        <v/>
      </c>
      <c r="AB1423" s="7" t="n"/>
      <c r="AE1423" s="11" t="n"/>
      <c r="AG1423">
        <f>IF($C1423="","",IF(COUNTIF($C$2:$C1423,$C1423)=1,1,0))</f>
        <v/>
      </c>
      <c r="AH1423">
        <f>IF($AG1423=1,SUMPRODUCT(--($AK$2:$AK$6001&lt;$AK1423))+1,"")</f>
        <v/>
      </c>
      <c r="AI1423">
        <f>IF($C1423="","",IF(OR($N1423=TRUE(),$N1423="TRUE"),1,0))</f>
        <v/>
      </c>
      <c r="AJ1423">
        <f>IF($C1423="","",IF($T1423="Yes",1,0))</f>
        <v/>
      </c>
      <c r="AK1423">
        <f>IF($AG1423=1,IFERROR(IF(VALUE($C1423)&lt;100000000,VALUE($C1423),1000000000),IFERROR(IF(VALUE(MID($C1423,2,20))&lt;100000000,VALUE(MID($C1423,2,20)),1000000000),1000000000))+ROW()/100000,"")</f>
        <v/>
      </c>
    </row>
    <row r="1424">
      <c r="D1424" s="11" t="n"/>
      <c r="K1424" s="7">
        <f>IF($C1424="","",J1424*W1424/100)</f>
        <v/>
      </c>
      <c r="Q1424" s="7" t="n"/>
      <c r="R1424" s="7" t="n"/>
      <c r="U1424">
        <f>IF($C1424="","",IF($AJ1424=1,0,IF($AI1424=1,Settings!$C$6,Settings!$C$7))*100)</f>
        <v/>
      </c>
      <c r="V1424" s="7">
        <f>IF($C1424="","",R1424*U1424/100)</f>
        <v/>
      </c>
      <c r="W1424" s="7">
        <f>IF($C1424="","",R1424-V1424)</f>
        <v/>
      </c>
      <c r="X1424" s="7">
        <f>IF($C1424="","",W1424-K1424)</f>
        <v/>
      </c>
      <c r="AB1424" s="7" t="n"/>
      <c r="AE1424" s="11" t="n"/>
      <c r="AG1424">
        <f>IF($C1424="","",IF(COUNTIF($C$2:$C1424,$C1424)=1,1,0))</f>
        <v/>
      </c>
      <c r="AH1424">
        <f>IF($AG1424=1,SUMPRODUCT(--($AK$2:$AK$6001&lt;$AK1424))+1,"")</f>
        <v/>
      </c>
      <c r="AI1424">
        <f>IF($C1424="","",IF(OR($N1424=TRUE(),$N1424="TRUE"),1,0))</f>
        <v/>
      </c>
      <c r="AJ1424">
        <f>IF($C1424="","",IF($T1424="Yes",1,0))</f>
        <v/>
      </c>
      <c r="AK1424">
        <f>IF($AG1424=1,IFERROR(IF(VALUE($C1424)&lt;100000000,VALUE($C1424),1000000000),IFERROR(IF(VALUE(MID($C1424,2,20))&lt;100000000,VALUE(MID($C1424,2,20)),1000000000),1000000000))+ROW()/100000,"")</f>
        <v/>
      </c>
    </row>
    <row r="1425">
      <c r="D1425" s="11" t="n"/>
      <c r="K1425" s="7">
        <f>IF($C1425="","",J1425*W1425/100)</f>
        <v/>
      </c>
      <c r="Q1425" s="7" t="n"/>
      <c r="R1425" s="7" t="n"/>
      <c r="U1425">
        <f>IF($C1425="","",IF($AJ1425=1,0,IF($AI1425=1,Settings!$C$6,Settings!$C$7))*100)</f>
        <v/>
      </c>
      <c r="V1425" s="7">
        <f>IF($C1425="","",R1425*U1425/100)</f>
        <v/>
      </c>
      <c r="W1425" s="7">
        <f>IF($C1425="","",R1425-V1425)</f>
        <v/>
      </c>
      <c r="X1425" s="7">
        <f>IF($C1425="","",W1425-K1425)</f>
        <v/>
      </c>
      <c r="AB1425" s="7" t="n"/>
      <c r="AE1425" s="11" t="n"/>
      <c r="AG1425">
        <f>IF($C1425="","",IF(COUNTIF($C$2:$C1425,$C1425)=1,1,0))</f>
        <v/>
      </c>
      <c r="AH1425">
        <f>IF($AG1425=1,SUMPRODUCT(--($AK$2:$AK$6001&lt;$AK1425))+1,"")</f>
        <v/>
      </c>
      <c r="AI1425">
        <f>IF($C1425="","",IF(OR($N1425=TRUE(),$N1425="TRUE"),1,0))</f>
        <v/>
      </c>
      <c r="AJ1425">
        <f>IF($C1425="","",IF($T1425="Yes",1,0))</f>
        <v/>
      </c>
      <c r="AK1425">
        <f>IF($AG1425=1,IFERROR(IF(VALUE($C1425)&lt;100000000,VALUE($C1425),1000000000),IFERROR(IF(VALUE(MID($C1425,2,20))&lt;100000000,VALUE(MID($C1425,2,20)),1000000000),1000000000))+ROW()/100000,"")</f>
        <v/>
      </c>
    </row>
    <row r="1426">
      <c r="D1426" s="11" t="n"/>
      <c r="K1426" s="7">
        <f>IF($C1426="","",J1426*W1426/100)</f>
        <v/>
      </c>
      <c r="Q1426" s="7" t="n"/>
      <c r="R1426" s="7" t="n"/>
      <c r="U1426">
        <f>IF($C1426="","",IF($AJ1426=1,0,IF($AI1426=1,Settings!$C$6,Settings!$C$7))*100)</f>
        <v/>
      </c>
      <c r="V1426" s="7">
        <f>IF($C1426="","",R1426*U1426/100)</f>
        <v/>
      </c>
      <c r="W1426" s="7">
        <f>IF($C1426="","",R1426-V1426)</f>
        <v/>
      </c>
      <c r="X1426" s="7">
        <f>IF($C1426="","",W1426-K1426)</f>
        <v/>
      </c>
      <c r="AB1426" s="7" t="n"/>
      <c r="AE1426" s="11" t="n"/>
      <c r="AG1426">
        <f>IF($C1426="","",IF(COUNTIF($C$2:$C1426,$C1426)=1,1,0))</f>
        <v/>
      </c>
      <c r="AH1426">
        <f>IF($AG1426=1,SUMPRODUCT(--($AK$2:$AK$6001&lt;$AK1426))+1,"")</f>
        <v/>
      </c>
      <c r="AI1426">
        <f>IF($C1426="","",IF(OR($N1426=TRUE(),$N1426="TRUE"),1,0))</f>
        <v/>
      </c>
      <c r="AJ1426">
        <f>IF($C1426="","",IF($T1426="Yes",1,0))</f>
        <v/>
      </c>
      <c r="AK1426">
        <f>IF($AG1426=1,IFERROR(IF(VALUE($C1426)&lt;100000000,VALUE($C1426),1000000000),IFERROR(IF(VALUE(MID($C1426,2,20))&lt;100000000,VALUE(MID($C1426,2,20)),1000000000),1000000000))+ROW()/100000,"")</f>
        <v/>
      </c>
    </row>
    <row r="1427">
      <c r="D1427" s="11" t="n"/>
      <c r="K1427" s="7">
        <f>IF($C1427="","",J1427*W1427/100)</f>
        <v/>
      </c>
      <c r="Q1427" s="7" t="n"/>
      <c r="R1427" s="7" t="n"/>
      <c r="U1427">
        <f>IF($C1427="","",IF($AJ1427=1,0,IF($AI1427=1,Settings!$C$6,Settings!$C$7))*100)</f>
        <v/>
      </c>
      <c r="V1427" s="7">
        <f>IF($C1427="","",R1427*U1427/100)</f>
        <v/>
      </c>
      <c r="W1427" s="7">
        <f>IF($C1427="","",R1427-V1427)</f>
        <v/>
      </c>
      <c r="X1427" s="7">
        <f>IF($C1427="","",W1427-K1427)</f>
        <v/>
      </c>
      <c r="AB1427" s="7" t="n"/>
      <c r="AE1427" s="11" t="n"/>
      <c r="AG1427">
        <f>IF($C1427="","",IF(COUNTIF($C$2:$C1427,$C1427)=1,1,0))</f>
        <v/>
      </c>
      <c r="AH1427">
        <f>IF($AG1427=1,SUMPRODUCT(--($AK$2:$AK$6001&lt;$AK1427))+1,"")</f>
        <v/>
      </c>
      <c r="AI1427">
        <f>IF($C1427="","",IF(OR($N1427=TRUE(),$N1427="TRUE"),1,0))</f>
        <v/>
      </c>
      <c r="AJ1427">
        <f>IF($C1427="","",IF($T1427="Yes",1,0))</f>
        <v/>
      </c>
      <c r="AK1427">
        <f>IF($AG1427=1,IFERROR(IF(VALUE($C1427)&lt;100000000,VALUE($C1427),1000000000),IFERROR(IF(VALUE(MID($C1427,2,20))&lt;100000000,VALUE(MID($C1427,2,20)),1000000000),1000000000))+ROW()/100000,"")</f>
        <v/>
      </c>
    </row>
    <row r="1428">
      <c r="D1428" s="11" t="n"/>
      <c r="K1428" s="7">
        <f>IF($C1428="","",J1428*W1428/100)</f>
        <v/>
      </c>
      <c r="Q1428" s="7" t="n"/>
      <c r="R1428" s="7" t="n"/>
      <c r="U1428">
        <f>IF($C1428="","",IF($AJ1428=1,0,IF($AI1428=1,Settings!$C$6,Settings!$C$7))*100)</f>
        <v/>
      </c>
      <c r="V1428" s="7">
        <f>IF($C1428="","",R1428*U1428/100)</f>
        <v/>
      </c>
      <c r="W1428" s="7">
        <f>IF($C1428="","",R1428-V1428)</f>
        <v/>
      </c>
      <c r="X1428" s="7">
        <f>IF($C1428="","",W1428-K1428)</f>
        <v/>
      </c>
      <c r="AB1428" s="7" t="n"/>
      <c r="AE1428" s="11" t="n"/>
      <c r="AG1428">
        <f>IF($C1428="","",IF(COUNTIF($C$2:$C1428,$C1428)=1,1,0))</f>
        <v/>
      </c>
      <c r="AH1428">
        <f>IF($AG1428=1,SUMPRODUCT(--($AK$2:$AK$6001&lt;$AK1428))+1,"")</f>
        <v/>
      </c>
      <c r="AI1428">
        <f>IF($C1428="","",IF(OR($N1428=TRUE(),$N1428="TRUE"),1,0))</f>
        <v/>
      </c>
      <c r="AJ1428">
        <f>IF($C1428="","",IF($T1428="Yes",1,0))</f>
        <v/>
      </c>
      <c r="AK1428">
        <f>IF($AG1428=1,IFERROR(IF(VALUE($C1428)&lt;100000000,VALUE($C1428),1000000000),IFERROR(IF(VALUE(MID($C1428,2,20))&lt;100000000,VALUE(MID($C1428,2,20)),1000000000),1000000000))+ROW()/100000,"")</f>
        <v/>
      </c>
    </row>
    <row r="1429">
      <c r="D1429" s="11" t="n"/>
      <c r="K1429" s="7">
        <f>IF($C1429="","",J1429*W1429/100)</f>
        <v/>
      </c>
      <c r="Q1429" s="7" t="n"/>
      <c r="R1429" s="7" t="n"/>
      <c r="U1429">
        <f>IF($C1429="","",IF($AJ1429=1,0,IF($AI1429=1,Settings!$C$6,Settings!$C$7))*100)</f>
        <v/>
      </c>
      <c r="V1429" s="7">
        <f>IF($C1429="","",R1429*U1429/100)</f>
        <v/>
      </c>
      <c r="W1429" s="7">
        <f>IF($C1429="","",R1429-V1429)</f>
        <v/>
      </c>
      <c r="X1429" s="7">
        <f>IF($C1429="","",W1429-K1429)</f>
        <v/>
      </c>
      <c r="AB1429" s="7" t="n"/>
      <c r="AE1429" s="11" t="n"/>
      <c r="AG1429">
        <f>IF($C1429="","",IF(COUNTIF($C$2:$C1429,$C1429)=1,1,0))</f>
        <v/>
      </c>
      <c r="AH1429">
        <f>IF($AG1429=1,SUMPRODUCT(--($AK$2:$AK$6001&lt;$AK1429))+1,"")</f>
        <v/>
      </c>
      <c r="AI1429">
        <f>IF($C1429="","",IF(OR($N1429=TRUE(),$N1429="TRUE"),1,0))</f>
        <v/>
      </c>
      <c r="AJ1429">
        <f>IF($C1429="","",IF($T1429="Yes",1,0))</f>
        <v/>
      </c>
      <c r="AK1429">
        <f>IF($AG1429=1,IFERROR(IF(VALUE($C1429)&lt;100000000,VALUE($C1429),1000000000),IFERROR(IF(VALUE(MID($C1429,2,20))&lt;100000000,VALUE(MID($C1429,2,20)),1000000000),1000000000))+ROW()/100000,"")</f>
        <v/>
      </c>
    </row>
    <row r="1430">
      <c r="D1430" s="11" t="n"/>
      <c r="K1430" s="7">
        <f>IF($C1430="","",J1430*W1430/100)</f>
        <v/>
      </c>
      <c r="Q1430" s="7" t="n"/>
      <c r="R1430" s="7" t="n"/>
      <c r="U1430">
        <f>IF($C1430="","",IF($AJ1430=1,0,IF($AI1430=1,Settings!$C$6,Settings!$C$7))*100)</f>
        <v/>
      </c>
      <c r="V1430" s="7">
        <f>IF($C1430="","",R1430*U1430/100)</f>
        <v/>
      </c>
      <c r="W1430" s="7">
        <f>IF($C1430="","",R1430-V1430)</f>
        <v/>
      </c>
      <c r="X1430" s="7">
        <f>IF($C1430="","",W1430-K1430)</f>
        <v/>
      </c>
      <c r="AB1430" s="7" t="n"/>
      <c r="AE1430" s="11" t="n"/>
      <c r="AG1430">
        <f>IF($C1430="","",IF(COUNTIF($C$2:$C1430,$C1430)=1,1,0))</f>
        <v/>
      </c>
      <c r="AH1430">
        <f>IF($AG1430=1,SUMPRODUCT(--($AK$2:$AK$6001&lt;$AK1430))+1,"")</f>
        <v/>
      </c>
      <c r="AI1430">
        <f>IF($C1430="","",IF(OR($N1430=TRUE(),$N1430="TRUE"),1,0))</f>
        <v/>
      </c>
      <c r="AJ1430">
        <f>IF($C1430="","",IF($T1430="Yes",1,0))</f>
        <v/>
      </c>
      <c r="AK1430">
        <f>IF($AG1430=1,IFERROR(IF(VALUE($C1430)&lt;100000000,VALUE($C1430),1000000000),IFERROR(IF(VALUE(MID($C1430,2,20))&lt;100000000,VALUE(MID($C1430,2,20)),1000000000),1000000000))+ROW()/100000,"")</f>
        <v/>
      </c>
    </row>
    <row r="1431">
      <c r="D1431" s="11" t="n"/>
      <c r="K1431" s="7">
        <f>IF($C1431="","",J1431*W1431/100)</f>
        <v/>
      </c>
      <c r="Q1431" s="7" t="n"/>
      <c r="R1431" s="7" t="n"/>
      <c r="U1431">
        <f>IF($C1431="","",IF($AJ1431=1,0,IF($AI1431=1,Settings!$C$6,Settings!$C$7))*100)</f>
        <v/>
      </c>
      <c r="V1431" s="7">
        <f>IF($C1431="","",R1431*U1431/100)</f>
        <v/>
      </c>
      <c r="W1431" s="7">
        <f>IF($C1431="","",R1431-V1431)</f>
        <v/>
      </c>
      <c r="X1431" s="7">
        <f>IF($C1431="","",W1431-K1431)</f>
        <v/>
      </c>
      <c r="AB1431" s="7" t="n"/>
      <c r="AE1431" s="11" t="n"/>
      <c r="AG1431">
        <f>IF($C1431="","",IF(COUNTIF($C$2:$C1431,$C1431)=1,1,0))</f>
        <v/>
      </c>
      <c r="AH1431">
        <f>IF($AG1431=1,SUMPRODUCT(--($AK$2:$AK$6001&lt;$AK1431))+1,"")</f>
        <v/>
      </c>
      <c r="AI1431">
        <f>IF($C1431="","",IF(OR($N1431=TRUE(),$N1431="TRUE"),1,0))</f>
        <v/>
      </c>
      <c r="AJ1431">
        <f>IF($C1431="","",IF($T1431="Yes",1,0))</f>
        <v/>
      </c>
      <c r="AK1431">
        <f>IF($AG1431=1,IFERROR(IF(VALUE($C1431)&lt;100000000,VALUE($C1431),1000000000),IFERROR(IF(VALUE(MID($C1431,2,20))&lt;100000000,VALUE(MID($C1431,2,20)),1000000000),1000000000))+ROW()/100000,"")</f>
        <v/>
      </c>
    </row>
    <row r="1432">
      <c r="D1432" s="11" t="n"/>
      <c r="K1432" s="7">
        <f>IF($C1432="","",J1432*W1432/100)</f>
        <v/>
      </c>
      <c r="Q1432" s="7" t="n"/>
      <c r="R1432" s="7" t="n"/>
      <c r="U1432">
        <f>IF($C1432="","",IF($AJ1432=1,0,IF($AI1432=1,Settings!$C$6,Settings!$C$7))*100)</f>
        <v/>
      </c>
      <c r="V1432" s="7">
        <f>IF($C1432="","",R1432*U1432/100)</f>
        <v/>
      </c>
      <c r="W1432" s="7">
        <f>IF($C1432="","",R1432-V1432)</f>
        <v/>
      </c>
      <c r="X1432" s="7">
        <f>IF($C1432="","",W1432-K1432)</f>
        <v/>
      </c>
      <c r="AB1432" s="7" t="n"/>
      <c r="AE1432" s="11" t="n"/>
      <c r="AG1432">
        <f>IF($C1432="","",IF(COUNTIF($C$2:$C1432,$C1432)=1,1,0))</f>
        <v/>
      </c>
      <c r="AH1432">
        <f>IF($AG1432=1,SUMPRODUCT(--($AK$2:$AK$6001&lt;$AK1432))+1,"")</f>
        <v/>
      </c>
      <c r="AI1432">
        <f>IF($C1432="","",IF(OR($N1432=TRUE(),$N1432="TRUE"),1,0))</f>
        <v/>
      </c>
      <c r="AJ1432">
        <f>IF($C1432="","",IF($T1432="Yes",1,0))</f>
        <v/>
      </c>
      <c r="AK1432">
        <f>IF($AG1432=1,IFERROR(IF(VALUE($C1432)&lt;100000000,VALUE($C1432),1000000000),IFERROR(IF(VALUE(MID($C1432,2,20))&lt;100000000,VALUE(MID($C1432,2,20)),1000000000),1000000000))+ROW()/100000,"")</f>
        <v/>
      </c>
    </row>
    <row r="1433">
      <c r="D1433" s="11" t="n"/>
      <c r="K1433" s="7">
        <f>IF($C1433="","",J1433*W1433/100)</f>
        <v/>
      </c>
      <c r="Q1433" s="7" t="n"/>
      <c r="R1433" s="7" t="n"/>
      <c r="U1433">
        <f>IF($C1433="","",IF($AJ1433=1,0,IF($AI1433=1,Settings!$C$6,Settings!$C$7))*100)</f>
        <v/>
      </c>
      <c r="V1433" s="7">
        <f>IF($C1433="","",R1433*U1433/100)</f>
        <v/>
      </c>
      <c r="W1433" s="7">
        <f>IF($C1433="","",R1433-V1433)</f>
        <v/>
      </c>
      <c r="X1433" s="7">
        <f>IF($C1433="","",W1433-K1433)</f>
        <v/>
      </c>
      <c r="AB1433" s="7" t="n"/>
      <c r="AE1433" s="11" t="n"/>
      <c r="AG1433">
        <f>IF($C1433="","",IF(COUNTIF($C$2:$C1433,$C1433)=1,1,0))</f>
        <v/>
      </c>
      <c r="AH1433">
        <f>IF($AG1433=1,SUMPRODUCT(--($AK$2:$AK$6001&lt;$AK1433))+1,"")</f>
        <v/>
      </c>
      <c r="AI1433">
        <f>IF($C1433="","",IF(OR($N1433=TRUE(),$N1433="TRUE"),1,0))</f>
        <v/>
      </c>
      <c r="AJ1433">
        <f>IF($C1433="","",IF($T1433="Yes",1,0))</f>
        <v/>
      </c>
      <c r="AK1433">
        <f>IF($AG1433=1,IFERROR(IF(VALUE($C1433)&lt;100000000,VALUE($C1433),1000000000),IFERROR(IF(VALUE(MID($C1433,2,20))&lt;100000000,VALUE(MID($C1433,2,20)),1000000000),1000000000))+ROW()/100000,"")</f>
        <v/>
      </c>
    </row>
    <row r="1434">
      <c r="D1434" s="11" t="n"/>
      <c r="K1434" s="7">
        <f>IF($C1434="","",J1434*W1434/100)</f>
        <v/>
      </c>
      <c r="Q1434" s="7" t="n"/>
      <c r="R1434" s="7" t="n"/>
      <c r="U1434">
        <f>IF($C1434="","",IF($AJ1434=1,0,IF($AI1434=1,Settings!$C$6,Settings!$C$7))*100)</f>
        <v/>
      </c>
      <c r="V1434" s="7">
        <f>IF($C1434="","",R1434*U1434/100)</f>
        <v/>
      </c>
      <c r="W1434" s="7">
        <f>IF($C1434="","",R1434-V1434)</f>
        <v/>
      </c>
      <c r="X1434" s="7">
        <f>IF($C1434="","",W1434-K1434)</f>
        <v/>
      </c>
      <c r="AB1434" s="7" t="n"/>
      <c r="AE1434" s="11" t="n"/>
      <c r="AG1434">
        <f>IF($C1434="","",IF(COUNTIF($C$2:$C1434,$C1434)=1,1,0))</f>
        <v/>
      </c>
      <c r="AH1434">
        <f>IF($AG1434=1,SUMPRODUCT(--($AK$2:$AK$6001&lt;$AK1434))+1,"")</f>
        <v/>
      </c>
      <c r="AI1434">
        <f>IF($C1434="","",IF(OR($N1434=TRUE(),$N1434="TRUE"),1,0))</f>
        <v/>
      </c>
      <c r="AJ1434">
        <f>IF($C1434="","",IF($T1434="Yes",1,0))</f>
        <v/>
      </c>
      <c r="AK1434">
        <f>IF($AG1434=1,IFERROR(IF(VALUE($C1434)&lt;100000000,VALUE($C1434),1000000000),IFERROR(IF(VALUE(MID($C1434,2,20))&lt;100000000,VALUE(MID($C1434,2,20)),1000000000),1000000000))+ROW()/100000,"")</f>
        <v/>
      </c>
    </row>
    <row r="1435">
      <c r="D1435" s="11" t="n"/>
      <c r="K1435" s="7">
        <f>IF($C1435="","",J1435*W1435/100)</f>
        <v/>
      </c>
      <c r="Q1435" s="7" t="n"/>
      <c r="R1435" s="7" t="n"/>
      <c r="U1435">
        <f>IF($C1435="","",IF($AJ1435=1,0,IF($AI1435=1,Settings!$C$6,Settings!$C$7))*100)</f>
        <v/>
      </c>
      <c r="V1435" s="7">
        <f>IF($C1435="","",R1435*U1435/100)</f>
        <v/>
      </c>
      <c r="W1435" s="7">
        <f>IF($C1435="","",R1435-V1435)</f>
        <v/>
      </c>
      <c r="X1435" s="7">
        <f>IF($C1435="","",W1435-K1435)</f>
        <v/>
      </c>
      <c r="AB1435" s="7" t="n"/>
      <c r="AE1435" s="11" t="n"/>
      <c r="AG1435">
        <f>IF($C1435="","",IF(COUNTIF($C$2:$C1435,$C1435)=1,1,0))</f>
        <v/>
      </c>
      <c r="AH1435">
        <f>IF($AG1435=1,SUMPRODUCT(--($AK$2:$AK$6001&lt;$AK1435))+1,"")</f>
        <v/>
      </c>
      <c r="AI1435">
        <f>IF($C1435="","",IF(OR($N1435=TRUE(),$N1435="TRUE"),1,0))</f>
        <v/>
      </c>
      <c r="AJ1435">
        <f>IF($C1435="","",IF($T1435="Yes",1,0))</f>
        <v/>
      </c>
      <c r="AK1435">
        <f>IF($AG1435=1,IFERROR(IF(VALUE($C1435)&lt;100000000,VALUE($C1435),1000000000),IFERROR(IF(VALUE(MID($C1435,2,20))&lt;100000000,VALUE(MID($C1435,2,20)),1000000000),1000000000))+ROW()/100000,"")</f>
        <v/>
      </c>
    </row>
    <row r="1436">
      <c r="D1436" s="11" t="n"/>
      <c r="K1436" s="7">
        <f>IF($C1436="","",J1436*W1436/100)</f>
        <v/>
      </c>
      <c r="Q1436" s="7" t="n"/>
      <c r="R1436" s="7" t="n"/>
      <c r="U1436">
        <f>IF($C1436="","",IF($AJ1436=1,0,IF($AI1436=1,Settings!$C$6,Settings!$C$7))*100)</f>
        <v/>
      </c>
      <c r="V1436" s="7">
        <f>IF($C1436="","",R1436*U1436/100)</f>
        <v/>
      </c>
      <c r="W1436" s="7">
        <f>IF($C1436="","",R1436-V1436)</f>
        <v/>
      </c>
      <c r="X1436" s="7">
        <f>IF($C1436="","",W1436-K1436)</f>
        <v/>
      </c>
      <c r="AB1436" s="7" t="n"/>
      <c r="AE1436" s="11" t="n"/>
      <c r="AG1436">
        <f>IF($C1436="","",IF(COUNTIF($C$2:$C1436,$C1436)=1,1,0))</f>
        <v/>
      </c>
      <c r="AH1436">
        <f>IF($AG1436=1,SUMPRODUCT(--($AK$2:$AK$6001&lt;$AK1436))+1,"")</f>
        <v/>
      </c>
      <c r="AI1436">
        <f>IF($C1436="","",IF(OR($N1436=TRUE(),$N1436="TRUE"),1,0))</f>
        <v/>
      </c>
      <c r="AJ1436">
        <f>IF($C1436="","",IF($T1436="Yes",1,0))</f>
        <v/>
      </c>
      <c r="AK1436">
        <f>IF($AG1436=1,IFERROR(IF(VALUE($C1436)&lt;100000000,VALUE($C1436),1000000000),IFERROR(IF(VALUE(MID($C1436,2,20))&lt;100000000,VALUE(MID($C1436,2,20)),1000000000),1000000000))+ROW()/100000,"")</f>
        <v/>
      </c>
    </row>
    <row r="1437">
      <c r="D1437" s="11" t="n"/>
      <c r="K1437" s="7">
        <f>IF($C1437="","",J1437*W1437/100)</f>
        <v/>
      </c>
      <c r="Q1437" s="7" t="n"/>
      <c r="R1437" s="7" t="n"/>
      <c r="U1437">
        <f>IF($C1437="","",IF($AJ1437=1,0,IF($AI1437=1,Settings!$C$6,Settings!$C$7))*100)</f>
        <v/>
      </c>
      <c r="V1437" s="7">
        <f>IF($C1437="","",R1437*U1437/100)</f>
        <v/>
      </c>
      <c r="W1437" s="7">
        <f>IF($C1437="","",R1437-V1437)</f>
        <v/>
      </c>
      <c r="X1437" s="7">
        <f>IF($C1437="","",W1437-K1437)</f>
        <v/>
      </c>
      <c r="AB1437" s="7" t="n"/>
      <c r="AE1437" s="11" t="n"/>
      <c r="AG1437">
        <f>IF($C1437="","",IF(COUNTIF($C$2:$C1437,$C1437)=1,1,0))</f>
        <v/>
      </c>
      <c r="AH1437">
        <f>IF($AG1437=1,SUMPRODUCT(--($AK$2:$AK$6001&lt;$AK1437))+1,"")</f>
        <v/>
      </c>
      <c r="AI1437">
        <f>IF($C1437="","",IF(OR($N1437=TRUE(),$N1437="TRUE"),1,0))</f>
        <v/>
      </c>
      <c r="AJ1437">
        <f>IF($C1437="","",IF($T1437="Yes",1,0))</f>
        <v/>
      </c>
      <c r="AK1437">
        <f>IF($AG1437=1,IFERROR(IF(VALUE($C1437)&lt;100000000,VALUE($C1437),1000000000),IFERROR(IF(VALUE(MID($C1437,2,20))&lt;100000000,VALUE(MID($C1437,2,20)),1000000000),1000000000))+ROW()/100000,"")</f>
        <v/>
      </c>
    </row>
    <row r="1438">
      <c r="D1438" s="11" t="n"/>
      <c r="K1438" s="7">
        <f>IF($C1438="","",J1438*W1438/100)</f>
        <v/>
      </c>
      <c r="Q1438" s="7" t="n"/>
      <c r="R1438" s="7" t="n"/>
      <c r="U1438">
        <f>IF($C1438="","",IF($AJ1438=1,0,IF($AI1438=1,Settings!$C$6,Settings!$C$7))*100)</f>
        <v/>
      </c>
      <c r="V1438" s="7">
        <f>IF($C1438="","",R1438*U1438/100)</f>
        <v/>
      </c>
      <c r="W1438" s="7">
        <f>IF($C1438="","",R1438-V1438)</f>
        <v/>
      </c>
      <c r="X1438" s="7">
        <f>IF($C1438="","",W1438-K1438)</f>
        <v/>
      </c>
      <c r="AB1438" s="7" t="n"/>
      <c r="AE1438" s="11" t="n"/>
      <c r="AG1438">
        <f>IF($C1438="","",IF(COUNTIF($C$2:$C1438,$C1438)=1,1,0))</f>
        <v/>
      </c>
      <c r="AH1438">
        <f>IF($AG1438=1,SUMPRODUCT(--($AK$2:$AK$6001&lt;$AK1438))+1,"")</f>
        <v/>
      </c>
      <c r="AI1438">
        <f>IF($C1438="","",IF(OR($N1438=TRUE(),$N1438="TRUE"),1,0))</f>
        <v/>
      </c>
      <c r="AJ1438">
        <f>IF($C1438="","",IF($T1438="Yes",1,0))</f>
        <v/>
      </c>
      <c r="AK1438">
        <f>IF($AG1438=1,IFERROR(IF(VALUE($C1438)&lt;100000000,VALUE($C1438),1000000000),IFERROR(IF(VALUE(MID($C1438,2,20))&lt;100000000,VALUE(MID($C1438,2,20)),1000000000),1000000000))+ROW()/100000,"")</f>
        <v/>
      </c>
    </row>
    <row r="1439">
      <c r="D1439" s="11" t="n"/>
      <c r="K1439" s="7">
        <f>IF($C1439="","",J1439*W1439/100)</f>
        <v/>
      </c>
      <c r="Q1439" s="7" t="n"/>
      <c r="R1439" s="7" t="n"/>
      <c r="U1439">
        <f>IF($C1439="","",IF($AJ1439=1,0,IF($AI1439=1,Settings!$C$6,Settings!$C$7))*100)</f>
        <v/>
      </c>
      <c r="V1439" s="7">
        <f>IF($C1439="","",R1439*U1439/100)</f>
        <v/>
      </c>
      <c r="W1439" s="7">
        <f>IF($C1439="","",R1439-V1439)</f>
        <v/>
      </c>
      <c r="X1439" s="7">
        <f>IF($C1439="","",W1439-K1439)</f>
        <v/>
      </c>
      <c r="AB1439" s="7" t="n"/>
      <c r="AE1439" s="11" t="n"/>
      <c r="AG1439">
        <f>IF($C1439="","",IF(COUNTIF($C$2:$C1439,$C1439)=1,1,0))</f>
        <v/>
      </c>
      <c r="AH1439">
        <f>IF($AG1439=1,SUMPRODUCT(--($AK$2:$AK$6001&lt;$AK1439))+1,"")</f>
        <v/>
      </c>
      <c r="AI1439">
        <f>IF($C1439="","",IF(OR($N1439=TRUE(),$N1439="TRUE"),1,0))</f>
        <v/>
      </c>
      <c r="AJ1439">
        <f>IF($C1439="","",IF($T1439="Yes",1,0))</f>
        <v/>
      </c>
      <c r="AK1439">
        <f>IF($AG1439=1,IFERROR(IF(VALUE($C1439)&lt;100000000,VALUE($C1439),1000000000),IFERROR(IF(VALUE(MID($C1439,2,20))&lt;100000000,VALUE(MID($C1439,2,20)),1000000000),1000000000))+ROW()/100000,"")</f>
        <v/>
      </c>
    </row>
    <row r="1440">
      <c r="D1440" s="11" t="n"/>
      <c r="K1440" s="7">
        <f>IF($C1440="","",J1440*W1440/100)</f>
        <v/>
      </c>
      <c r="Q1440" s="7" t="n"/>
      <c r="R1440" s="7" t="n"/>
      <c r="U1440">
        <f>IF($C1440="","",IF($AJ1440=1,0,IF($AI1440=1,Settings!$C$6,Settings!$C$7))*100)</f>
        <v/>
      </c>
      <c r="V1440" s="7">
        <f>IF($C1440="","",R1440*U1440/100)</f>
        <v/>
      </c>
      <c r="W1440" s="7">
        <f>IF($C1440="","",R1440-V1440)</f>
        <v/>
      </c>
      <c r="X1440" s="7">
        <f>IF($C1440="","",W1440-K1440)</f>
        <v/>
      </c>
      <c r="AB1440" s="7" t="n"/>
      <c r="AE1440" s="11" t="n"/>
      <c r="AG1440">
        <f>IF($C1440="","",IF(COUNTIF($C$2:$C1440,$C1440)=1,1,0))</f>
        <v/>
      </c>
      <c r="AH1440">
        <f>IF($AG1440=1,SUMPRODUCT(--($AK$2:$AK$6001&lt;$AK1440))+1,"")</f>
        <v/>
      </c>
      <c r="AI1440">
        <f>IF($C1440="","",IF(OR($N1440=TRUE(),$N1440="TRUE"),1,0))</f>
        <v/>
      </c>
      <c r="AJ1440">
        <f>IF($C1440="","",IF($T1440="Yes",1,0))</f>
        <v/>
      </c>
      <c r="AK1440">
        <f>IF($AG1440=1,IFERROR(IF(VALUE($C1440)&lt;100000000,VALUE($C1440),1000000000),IFERROR(IF(VALUE(MID($C1440,2,20))&lt;100000000,VALUE(MID($C1440,2,20)),1000000000),1000000000))+ROW()/100000,"")</f>
        <v/>
      </c>
    </row>
    <row r="1441">
      <c r="D1441" s="11" t="n"/>
      <c r="K1441" s="7">
        <f>IF($C1441="","",J1441*W1441/100)</f>
        <v/>
      </c>
      <c r="Q1441" s="7" t="n"/>
      <c r="R1441" s="7" t="n"/>
      <c r="U1441">
        <f>IF($C1441="","",IF($AJ1441=1,0,IF($AI1441=1,Settings!$C$6,Settings!$C$7))*100)</f>
        <v/>
      </c>
      <c r="V1441" s="7">
        <f>IF($C1441="","",R1441*U1441/100)</f>
        <v/>
      </c>
      <c r="W1441" s="7">
        <f>IF($C1441="","",R1441-V1441)</f>
        <v/>
      </c>
      <c r="X1441" s="7">
        <f>IF($C1441="","",W1441-K1441)</f>
        <v/>
      </c>
      <c r="AB1441" s="7" t="n"/>
      <c r="AE1441" s="11" t="n"/>
      <c r="AG1441">
        <f>IF($C1441="","",IF(COUNTIF($C$2:$C1441,$C1441)=1,1,0))</f>
        <v/>
      </c>
      <c r="AH1441">
        <f>IF($AG1441=1,SUMPRODUCT(--($AK$2:$AK$6001&lt;$AK1441))+1,"")</f>
        <v/>
      </c>
      <c r="AI1441">
        <f>IF($C1441="","",IF(OR($N1441=TRUE(),$N1441="TRUE"),1,0))</f>
        <v/>
      </c>
      <c r="AJ1441">
        <f>IF($C1441="","",IF($T1441="Yes",1,0))</f>
        <v/>
      </c>
      <c r="AK1441">
        <f>IF($AG1441=1,IFERROR(IF(VALUE($C1441)&lt;100000000,VALUE($C1441),1000000000),IFERROR(IF(VALUE(MID($C1441,2,20))&lt;100000000,VALUE(MID($C1441,2,20)),1000000000),1000000000))+ROW()/100000,"")</f>
        <v/>
      </c>
    </row>
    <row r="1442">
      <c r="D1442" s="11" t="n"/>
      <c r="K1442" s="7">
        <f>IF($C1442="","",J1442*W1442/100)</f>
        <v/>
      </c>
      <c r="Q1442" s="7" t="n"/>
      <c r="R1442" s="7" t="n"/>
      <c r="U1442">
        <f>IF($C1442="","",IF($AJ1442=1,0,IF($AI1442=1,Settings!$C$6,Settings!$C$7))*100)</f>
        <v/>
      </c>
      <c r="V1442" s="7">
        <f>IF($C1442="","",R1442*U1442/100)</f>
        <v/>
      </c>
      <c r="W1442" s="7">
        <f>IF($C1442="","",R1442-V1442)</f>
        <v/>
      </c>
      <c r="X1442" s="7">
        <f>IF($C1442="","",W1442-K1442)</f>
        <v/>
      </c>
      <c r="AB1442" s="7" t="n"/>
      <c r="AE1442" s="11" t="n"/>
      <c r="AG1442">
        <f>IF($C1442="","",IF(COUNTIF($C$2:$C1442,$C1442)=1,1,0))</f>
        <v/>
      </c>
      <c r="AH1442">
        <f>IF($AG1442=1,SUMPRODUCT(--($AK$2:$AK$6001&lt;$AK1442))+1,"")</f>
        <v/>
      </c>
      <c r="AI1442">
        <f>IF($C1442="","",IF(OR($N1442=TRUE(),$N1442="TRUE"),1,0))</f>
        <v/>
      </c>
      <c r="AJ1442">
        <f>IF($C1442="","",IF($T1442="Yes",1,0))</f>
        <v/>
      </c>
      <c r="AK1442">
        <f>IF($AG1442=1,IFERROR(IF(VALUE($C1442)&lt;100000000,VALUE($C1442),1000000000),IFERROR(IF(VALUE(MID($C1442,2,20))&lt;100000000,VALUE(MID($C1442,2,20)),1000000000),1000000000))+ROW()/100000,"")</f>
        <v/>
      </c>
    </row>
    <row r="1443">
      <c r="D1443" s="11" t="n"/>
      <c r="K1443" s="7">
        <f>IF($C1443="","",J1443*W1443/100)</f>
        <v/>
      </c>
      <c r="Q1443" s="7" t="n"/>
      <c r="R1443" s="7" t="n"/>
      <c r="U1443">
        <f>IF($C1443="","",IF($AJ1443=1,0,IF($AI1443=1,Settings!$C$6,Settings!$C$7))*100)</f>
        <v/>
      </c>
      <c r="V1443" s="7">
        <f>IF($C1443="","",R1443*U1443/100)</f>
        <v/>
      </c>
      <c r="W1443" s="7">
        <f>IF($C1443="","",R1443-V1443)</f>
        <v/>
      </c>
      <c r="X1443" s="7">
        <f>IF($C1443="","",W1443-K1443)</f>
        <v/>
      </c>
      <c r="AB1443" s="7" t="n"/>
      <c r="AE1443" s="11" t="n"/>
      <c r="AG1443">
        <f>IF($C1443="","",IF(COUNTIF($C$2:$C1443,$C1443)=1,1,0))</f>
        <v/>
      </c>
      <c r="AH1443">
        <f>IF($AG1443=1,SUMPRODUCT(--($AK$2:$AK$6001&lt;$AK1443))+1,"")</f>
        <v/>
      </c>
      <c r="AI1443">
        <f>IF($C1443="","",IF(OR($N1443=TRUE(),$N1443="TRUE"),1,0))</f>
        <v/>
      </c>
      <c r="AJ1443">
        <f>IF($C1443="","",IF($T1443="Yes",1,0))</f>
        <v/>
      </c>
      <c r="AK1443">
        <f>IF($AG1443=1,IFERROR(IF(VALUE($C1443)&lt;100000000,VALUE($C1443),1000000000),IFERROR(IF(VALUE(MID($C1443,2,20))&lt;100000000,VALUE(MID($C1443,2,20)),1000000000),1000000000))+ROW()/100000,"")</f>
        <v/>
      </c>
    </row>
    <row r="1444">
      <c r="D1444" s="11" t="n"/>
      <c r="K1444" s="7">
        <f>IF($C1444="","",J1444*W1444/100)</f>
        <v/>
      </c>
      <c r="Q1444" s="7" t="n"/>
      <c r="R1444" s="7" t="n"/>
      <c r="U1444">
        <f>IF($C1444="","",IF($AJ1444=1,0,IF($AI1444=1,Settings!$C$6,Settings!$C$7))*100)</f>
        <v/>
      </c>
      <c r="V1444" s="7">
        <f>IF($C1444="","",R1444*U1444/100)</f>
        <v/>
      </c>
      <c r="W1444" s="7">
        <f>IF($C1444="","",R1444-V1444)</f>
        <v/>
      </c>
      <c r="X1444" s="7">
        <f>IF($C1444="","",W1444-K1444)</f>
        <v/>
      </c>
      <c r="AB1444" s="7" t="n"/>
      <c r="AE1444" s="11" t="n"/>
      <c r="AG1444">
        <f>IF($C1444="","",IF(COUNTIF($C$2:$C1444,$C1444)=1,1,0))</f>
        <v/>
      </c>
      <c r="AH1444">
        <f>IF($AG1444=1,SUMPRODUCT(--($AK$2:$AK$6001&lt;$AK1444))+1,"")</f>
        <v/>
      </c>
      <c r="AI1444">
        <f>IF($C1444="","",IF(OR($N1444=TRUE(),$N1444="TRUE"),1,0))</f>
        <v/>
      </c>
      <c r="AJ1444">
        <f>IF($C1444="","",IF($T1444="Yes",1,0))</f>
        <v/>
      </c>
      <c r="AK1444">
        <f>IF($AG1444=1,IFERROR(IF(VALUE($C1444)&lt;100000000,VALUE($C1444),1000000000),IFERROR(IF(VALUE(MID($C1444,2,20))&lt;100000000,VALUE(MID($C1444,2,20)),1000000000),1000000000))+ROW()/100000,"")</f>
        <v/>
      </c>
    </row>
    <row r="1445">
      <c r="D1445" s="11" t="n"/>
      <c r="K1445" s="7">
        <f>IF($C1445="","",J1445*W1445/100)</f>
        <v/>
      </c>
      <c r="Q1445" s="7" t="n"/>
      <c r="R1445" s="7" t="n"/>
      <c r="U1445">
        <f>IF($C1445="","",IF($AJ1445=1,0,IF($AI1445=1,Settings!$C$6,Settings!$C$7))*100)</f>
        <v/>
      </c>
      <c r="V1445" s="7">
        <f>IF($C1445="","",R1445*U1445/100)</f>
        <v/>
      </c>
      <c r="W1445" s="7">
        <f>IF($C1445="","",R1445-V1445)</f>
        <v/>
      </c>
      <c r="X1445" s="7">
        <f>IF($C1445="","",W1445-K1445)</f>
        <v/>
      </c>
      <c r="AB1445" s="7" t="n"/>
      <c r="AE1445" s="11" t="n"/>
      <c r="AG1445">
        <f>IF($C1445="","",IF(COUNTIF($C$2:$C1445,$C1445)=1,1,0))</f>
        <v/>
      </c>
      <c r="AH1445">
        <f>IF($AG1445=1,SUMPRODUCT(--($AK$2:$AK$6001&lt;$AK1445))+1,"")</f>
        <v/>
      </c>
      <c r="AI1445">
        <f>IF($C1445="","",IF(OR($N1445=TRUE(),$N1445="TRUE"),1,0))</f>
        <v/>
      </c>
      <c r="AJ1445">
        <f>IF($C1445="","",IF($T1445="Yes",1,0))</f>
        <v/>
      </c>
      <c r="AK1445">
        <f>IF($AG1445=1,IFERROR(IF(VALUE($C1445)&lt;100000000,VALUE($C1445),1000000000),IFERROR(IF(VALUE(MID($C1445,2,20))&lt;100000000,VALUE(MID($C1445,2,20)),1000000000),1000000000))+ROW()/100000,"")</f>
        <v/>
      </c>
    </row>
    <row r="1446">
      <c r="D1446" s="11" t="n"/>
      <c r="K1446" s="7">
        <f>IF($C1446="","",J1446*W1446/100)</f>
        <v/>
      </c>
      <c r="Q1446" s="7" t="n"/>
      <c r="R1446" s="7" t="n"/>
      <c r="U1446">
        <f>IF($C1446="","",IF($AJ1446=1,0,IF($AI1446=1,Settings!$C$6,Settings!$C$7))*100)</f>
        <v/>
      </c>
      <c r="V1446" s="7">
        <f>IF($C1446="","",R1446*U1446/100)</f>
        <v/>
      </c>
      <c r="W1446" s="7">
        <f>IF($C1446="","",R1446-V1446)</f>
        <v/>
      </c>
      <c r="X1446" s="7">
        <f>IF($C1446="","",W1446-K1446)</f>
        <v/>
      </c>
      <c r="AB1446" s="7" t="n"/>
      <c r="AE1446" s="11" t="n"/>
      <c r="AG1446">
        <f>IF($C1446="","",IF(COUNTIF($C$2:$C1446,$C1446)=1,1,0))</f>
        <v/>
      </c>
      <c r="AH1446">
        <f>IF($AG1446=1,SUMPRODUCT(--($AK$2:$AK$6001&lt;$AK1446))+1,"")</f>
        <v/>
      </c>
      <c r="AI1446">
        <f>IF($C1446="","",IF(OR($N1446=TRUE(),$N1446="TRUE"),1,0))</f>
        <v/>
      </c>
      <c r="AJ1446">
        <f>IF($C1446="","",IF($T1446="Yes",1,0))</f>
        <v/>
      </c>
      <c r="AK1446">
        <f>IF($AG1446=1,IFERROR(IF(VALUE($C1446)&lt;100000000,VALUE($C1446),1000000000),IFERROR(IF(VALUE(MID($C1446,2,20))&lt;100000000,VALUE(MID($C1446,2,20)),1000000000),1000000000))+ROW()/100000,"")</f>
        <v/>
      </c>
    </row>
    <row r="1447">
      <c r="D1447" s="11" t="n"/>
      <c r="K1447" s="7">
        <f>IF($C1447="","",J1447*W1447/100)</f>
        <v/>
      </c>
      <c r="Q1447" s="7" t="n"/>
      <c r="R1447" s="7" t="n"/>
      <c r="U1447">
        <f>IF($C1447="","",IF($AJ1447=1,0,IF($AI1447=1,Settings!$C$6,Settings!$C$7))*100)</f>
        <v/>
      </c>
      <c r="V1447" s="7">
        <f>IF($C1447="","",R1447*U1447/100)</f>
        <v/>
      </c>
      <c r="W1447" s="7">
        <f>IF($C1447="","",R1447-V1447)</f>
        <v/>
      </c>
      <c r="X1447" s="7">
        <f>IF($C1447="","",W1447-K1447)</f>
        <v/>
      </c>
      <c r="AB1447" s="7" t="n"/>
      <c r="AE1447" s="11" t="n"/>
      <c r="AG1447">
        <f>IF($C1447="","",IF(COUNTIF($C$2:$C1447,$C1447)=1,1,0))</f>
        <v/>
      </c>
      <c r="AH1447">
        <f>IF($AG1447=1,SUMPRODUCT(--($AK$2:$AK$6001&lt;$AK1447))+1,"")</f>
        <v/>
      </c>
      <c r="AI1447">
        <f>IF($C1447="","",IF(OR($N1447=TRUE(),$N1447="TRUE"),1,0))</f>
        <v/>
      </c>
      <c r="AJ1447">
        <f>IF($C1447="","",IF($T1447="Yes",1,0))</f>
        <v/>
      </c>
      <c r="AK1447">
        <f>IF($AG1447=1,IFERROR(IF(VALUE($C1447)&lt;100000000,VALUE($C1447),1000000000),IFERROR(IF(VALUE(MID($C1447,2,20))&lt;100000000,VALUE(MID($C1447,2,20)),1000000000),1000000000))+ROW()/100000,"")</f>
        <v/>
      </c>
    </row>
    <row r="1448">
      <c r="D1448" s="11" t="n"/>
      <c r="K1448" s="7">
        <f>IF($C1448="","",J1448*W1448/100)</f>
        <v/>
      </c>
      <c r="Q1448" s="7" t="n"/>
      <c r="R1448" s="7" t="n"/>
      <c r="U1448">
        <f>IF($C1448="","",IF($AJ1448=1,0,IF($AI1448=1,Settings!$C$6,Settings!$C$7))*100)</f>
        <v/>
      </c>
      <c r="V1448" s="7">
        <f>IF($C1448="","",R1448*U1448/100)</f>
        <v/>
      </c>
      <c r="W1448" s="7">
        <f>IF($C1448="","",R1448-V1448)</f>
        <v/>
      </c>
      <c r="X1448" s="7">
        <f>IF($C1448="","",W1448-K1448)</f>
        <v/>
      </c>
      <c r="AB1448" s="7" t="n"/>
      <c r="AE1448" s="11" t="n"/>
      <c r="AG1448">
        <f>IF($C1448="","",IF(COUNTIF($C$2:$C1448,$C1448)=1,1,0))</f>
        <v/>
      </c>
      <c r="AH1448">
        <f>IF($AG1448=1,SUMPRODUCT(--($AK$2:$AK$6001&lt;$AK1448))+1,"")</f>
        <v/>
      </c>
      <c r="AI1448">
        <f>IF($C1448="","",IF(OR($N1448=TRUE(),$N1448="TRUE"),1,0))</f>
        <v/>
      </c>
      <c r="AJ1448">
        <f>IF($C1448="","",IF($T1448="Yes",1,0))</f>
        <v/>
      </c>
      <c r="AK1448">
        <f>IF($AG1448=1,IFERROR(IF(VALUE($C1448)&lt;100000000,VALUE($C1448),1000000000),IFERROR(IF(VALUE(MID($C1448,2,20))&lt;100000000,VALUE(MID($C1448,2,20)),1000000000),1000000000))+ROW()/100000,"")</f>
        <v/>
      </c>
    </row>
    <row r="1449">
      <c r="D1449" s="11" t="n"/>
      <c r="K1449" s="7">
        <f>IF($C1449="","",J1449*W1449/100)</f>
        <v/>
      </c>
      <c r="Q1449" s="7" t="n"/>
      <c r="R1449" s="7" t="n"/>
      <c r="U1449">
        <f>IF($C1449="","",IF($AJ1449=1,0,IF($AI1449=1,Settings!$C$6,Settings!$C$7))*100)</f>
        <v/>
      </c>
      <c r="V1449" s="7">
        <f>IF($C1449="","",R1449*U1449/100)</f>
        <v/>
      </c>
      <c r="W1449" s="7">
        <f>IF($C1449="","",R1449-V1449)</f>
        <v/>
      </c>
      <c r="X1449" s="7">
        <f>IF($C1449="","",W1449-K1449)</f>
        <v/>
      </c>
      <c r="AB1449" s="7" t="n"/>
      <c r="AE1449" s="11" t="n"/>
      <c r="AG1449">
        <f>IF($C1449="","",IF(COUNTIF($C$2:$C1449,$C1449)=1,1,0))</f>
        <v/>
      </c>
      <c r="AH1449">
        <f>IF($AG1449=1,SUMPRODUCT(--($AK$2:$AK$6001&lt;$AK1449))+1,"")</f>
        <v/>
      </c>
      <c r="AI1449">
        <f>IF($C1449="","",IF(OR($N1449=TRUE(),$N1449="TRUE"),1,0))</f>
        <v/>
      </c>
      <c r="AJ1449">
        <f>IF($C1449="","",IF($T1449="Yes",1,0))</f>
        <v/>
      </c>
      <c r="AK1449">
        <f>IF($AG1449=1,IFERROR(IF(VALUE($C1449)&lt;100000000,VALUE($C1449),1000000000),IFERROR(IF(VALUE(MID($C1449,2,20))&lt;100000000,VALUE(MID($C1449,2,20)),1000000000),1000000000))+ROW()/100000,"")</f>
        <v/>
      </c>
    </row>
    <row r="1450">
      <c r="D1450" s="11" t="n"/>
      <c r="K1450" s="7">
        <f>IF($C1450="","",J1450*W1450/100)</f>
        <v/>
      </c>
      <c r="Q1450" s="7" t="n"/>
      <c r="R1450" s="7" t="n"/>
      <c r="U1450">
        <f>IF($C1450="","",IF($AJ1450=1,0,IF($AI1450=1,Settings!$C$6,Settings!$C$7))*100)</f>
        <v/>
      </c>
      <c r="V1450" s="7">
        <f>IF($C1450="","",R1450*U1450/100)</f>
        <v/>
      </c>
      <c r="W1450" s="7">
        <f>IF($C1450="","",R1450-V1450)</f>
        <v/>
      </c>
      <c r="X1450" s="7">
        <f>IF($C1450="","",W1450-K1450)</f>
        <v/>
      </c>
      <c r="AB1450" s="7" t="n"/>
      <c r="AE1450" s="11" t="n"/>
      <c r="AG1450">
        <f>IF($C1450="","",IF(COUNTIF($C$2:$C1450,$C1450)=1,1,0))</f>
        <v/>
      </c>
      <c r="AH1450">
        <f>IF($AG1450=1,SUMPRODUCT(--($AK$2:$AK$6001&lt;$AK1450))+1,"")</f>
        <v/>
      </c>
      <c r="AI1450">
        <f>IF($C1450="","",IF(OR($N1450=TRUE(),$N1450="TRUE"),1,0))</f>
        <v/>
      </c>
      <c r="AJ1450">
        <f>IF($C1450="","",IF($T1450="Yes",1,0))</f>
        <v/>
      </c>
      <c r="AK1450">
        <f>IF($AG1450=1,IFERROR(IF(VALUE($C1450)&lt;100000000,VALUE($C1450),1000000000),IFERROR(IF(VALUE(MID($C1450,2,20))&lt;100000000,VALUE(MID($C1450,2,20)),1000000000),1000000000))+ROW()/100000,"")</f>
        <v/>
      </c>
    </row>
    <row r="1451">
      <c r="D1451" s="11" t="n"/>
      <c r="K1451" s="7">
        <f>IF($C1451="","",J1451*W1451/100)</f>
        <v/>
      </c>
      <c r="Q1451" s="7" t="n"/>
      <c r="R1451" s="7" t="n"/>
      <c r="U1451">
        <f>IF($C1451="","",IF($AJ1451=1,0,IF($AI1451=1,Settings!$C$6,Settings!$C$7))*100)</f>
        <v/>
      </c>
      <c r="V1451" s="7">
        <f>IF($C1451="","",R1451*U1451/100)</f>
        <v/>
      </c>
      <c r="W1451" s="7">
        <f>IF($C1451="","",R1451-V1451)</f>
        <v/>
      </c>
      <c r="X1451" s="7">
        <f>IF($C1451="","",W1451-K1451)</f>
        <v/>
      </c>
      <c r="AB1451" s="7" t="n"/>
      <c r="AE1451" s="11" t="n"/>
      <c r="AG1451">
        <f>IF($C1451="","",IF(COUNTIF($C$2:$C1451,$C1451)=1,1,0))</f>
        <v/>
      </c>
      <c r="AH1451">
        <f>IF($AG1451=1,SUMPRODUCT(--($AK$2:$AK$6001&lt;$AK1451))+1,"")</f>
        <v/>
      </c>
      <c r="AI1451">
        <f>IF($C1451="","",IF(OR($N1451=TRUE(),$N1451="TRUE"),1,0))</f>
        <v/>
      </c>
      <c r="AJ1451">
        <f>IF($C1451="","",IF($T1451="Yes",1,0))</f>
        <v/>
      </c>
      <c r="AK1451">
        <f>IF($AG1451=1,IFERROR(IF(VALUE($C1451)&lt;100000000,VALUE($C1451),1000000000),IFERROR(IF(VALUE(MID($C1451,2,20))&lt;100000000,VALUE(MID($C1451,2,20)),1000000000),1000000000))+ROW()/100000,"")</f>
        <v/>
      </c>
    </row>
    <row r="1452">
      <c r="D1452" s="11" t="n"/>
      <c r="K1452" s="7">
        <f>IF($C1452="","",J1452*W1452/100)</f>
        <v/>
      </c>
      <c r="Q1452" s="7" t="n"/>
      <c r="R1452" s="7" t="n"/>
      <c r="U1452">
        <f>IF($C1452="","",IF($AJ1452=1,0,IF($AI1452=1,Settings!$C$6,Settings!$C$7))*100)</f>
        <v/>
      </c>
      <c r="V1452" s="7">
        <f>IF($C1452="","",R1452*U1452/100)</f>
        <v/>
      </c>
      <c r="W1452" s="7">
        <f>IF($C1452="","",R1452-V1452)</f>
        <v/>
      </c>
      <c r="X1452" s="7">
        <f>IF($C1452="","",W1452-K1452)</f>
        <v/>
      </c>
      <c r="AB1452" s="7" t="n"/>
      <c r="AE1452" s="11" t="n"/>
      <c r="AG1452">
        <f>IF($C1452="","",IF(COUNTIF($C$2:$C1452,$C1452)=1,1,0))</f>
        <v/>
      </c>
      <c r="AH1452">
        <f>IF($AG1452=1,SUMPRODUCT(--($AK$2:$AK$6001&lt;$AK1452))+1,"")</f>
        <v/>
      </c>
      <c r="AI1452">
        <f>IF($C1452="","",IF(OR($N1452=TRUE(),$N1452="TRUE"),1,0))</f>
        <v/>
      </c>
      <c r="AJ1452">
        <f>IF($C1452="","",IF($T1452="Yes",1,0))</f>
        <v/>
      </c>
      <c r="AK1452">
        <f>IF($AG1452=1,IFERROR(IF(VALUE($C1452)&lt;100000000,VALUE($C1452),1000000000),IFERROR(IF(VALUE(MID($C1452,2,20))&lt;100000000,VALUE(MID($C1452,2,20)),1000000000),1000000000))+ROW()/100000,"")</f>
        <v/>
      </c>
    </row>
    <row r="1453">
      <c r="D1453" s="11" t="n"/>
      <c r="K1453" s="7">
        <f>IF($C1453="","",J1453*W1453/100)</f>
        <v/>
      </c>
      <c r="Q1453" s="7" t="n"/>
      <c r="R1453" s="7" t="n"/>
      <c r="U1453">
        <f>IF($C1453="","",IF($AJ1453=1,0,IF($AI1453=1,Settings!$C$6,Settings!$C$7))*100)</f>
        <v/>
      </c>
      <c r="V1453" s="7">
        <f>IF($C1453="","",R1453*U1453/100)</f>
        <v/>
      </c>
      <c r="W1453" s="7">
        <f>IF($C1453="","",R1453-V1453)</f>
        <v/>
      </c>
      <c r="X1453" s="7">
        <f>IF($C1453="","",W1453-K1453)</f>
        <v/>
      </c>
      <c r="AB1453" s="7" t="n"/>
      <c r="AE1453" s="11" t="n"/>
      <c r="AG1453">
        <f>IF($C1453="","",IF(COUNTIF($C$2:$C1453,$C1453)=1,1,0))</f>
        <v/>
      </c>
      <c r="AH1453">
        <f>IF($AG1453=1,SUMPRODUCT(--($AK$2:$AK$6001&lt;$AK1453))+1,"")</f>
        <v/>
      </c>
      <c r="AI1453">
        <f>IF($C1453="","",IF(OR($N1453=TRUE(),$N1453="TRUE"),1,0))</f>
        <v/>
      </c>
      <c r="AJ1453">
        <f>IF($C1453="","",IF($T1453="Yes",1,0))</f>
        <v/>
      </c>
      <c r="AK1453">
        <f>IF($AG1453=1,IFERROR(IF(VALUE($C1453)&lt;100000000,VALUE($C1453),1000000000),IFERROR(IF(VALUE(MID($C1453,2,20))&lt;100000000,VALUE(MID($C1453,2,20)),1000000000),1000000000))+ROW()/100000,"")</f>
        <v/>
      </c>
    </row>
    <row r="1454">
      <c r="D1454" s="11" t="n"/>
      <c r="K1454" s="7">
        <f>IF($C1454="","",J1454*W1454/100)</f>
        <v/>
      </c>
      <c r="Q1454" s="7" t="n"/>
      <c r="R1454" s="7" t="n"/>
      <c r="U1454">
        <f>IF($C1454="","",IF($AJ1454=1,0,IF($AI1454=1,Settings!$C$6,Settings!$C$7))*100)</f>
        <v/>
      </c>
      <c r="V1454" s="7">
        <f>IF($C1454="","",R1454*U1454/100)</f>
        <v/>
      </c>
      <c r="W1454" s="7">
        <f>IF($C1454="","",R1454-V1454)</f>
        <v/>
      </c>
      <c r="X1454" s="7">
        <f>IF($C1454="","",W1454-K1454)</f>
        <v/>
      </c>
      <c r="AB1454" s="7" t="n"/>
      <c r="AE1454" s="11" t="n"/>
      <c r="AG1454">
        <f>IF($C1454="","",IF(COUNTIF($C$2:$C1454,$C1454)=1,1,0))</f>
        <v/>
      </c>
      <c r="AH1454">
        <f>IF($AG1454=1,SUMPRODUCT(--($AK$2:$AK$6001&lt;$AK1454))+1,"")</f>
        <v/>
      </c>
      <c r="AI1454">
        <f>IF($C1454="","",IF(OR($N1454=TRUE(),$N1454="TRUE"),1,0))</f>
        <v/>
      </c>
      <c r="AJ1454">
        <f>IF($C1454="","",IF($T1454="Yes",1,0))</f>
        <v/>
      </c>
      <c r="AK1454">
        <f>IF($AG1454=1,IFERROR(IF(VALUE($C1454)&lt;100000000,VALUE($C1454),1000000000),IFERROR(IF(VALUE(MID($C1454,2,20))&lt;100000000,VALUE(MID($C1454,2,20)),1000000000),1000000000))+ROW()/100000,"")</f>
        <v/>
      </c>
    </row>
    <row r="1455">
      <c r="D1455" s="11" t="n"/>
      <c r="K1455" s="7">
        <f>IF($C1455="","",J1455*W1455/100)</f>
        <v/>
      </c>
      <c r="Q1455" s="7" t="n"/>
      <c r="R1455" s="7" t="n"/>
      <c r="U1455">
        <f>IF($C1455="","",IF($AJ1455=1,0,IF($AI1455=1,Settings!$C$6,Settings!$C$7))*100)</f>
        <v/>
      </c>
      <c r="V1455" s="7">
        <f>IF($C1455="","",R1455*U1455/100)</f>
        <v/>
      </c>
      <c r="W1455" s="7">
        <f>IF($C1455="","",R1455-V1455)</f>
        <v/>
      </c>
      <c r="X1455" s="7">
        <f>IF($C1455="","",W1455-K1455)</f>
        <v/>
      </c>
      <c r="AB1455" s="7" t="n"/>
      <c r="AE1455" s="11" t="n"/>
      <c r="AG1455">
        <f>IF($C1455="","",IF(COUNTIF($C$2:$C1455,$C1455)=1,1,0))</f>
        <v/>
      </c>
      <c r="AH1455">
        <f>IF($AG1455=1,SUMPRODUCT(--($AK$2:$AK$6001&lt;$AK1455))+1,"")</f>
        <v/>
      </c>
      <c r="AI1455">
        <f>IF($C1455="","",IF(OR($N1455=TRUE(),$N1455="TRUE"),1,0))</f>
        <v/>
      </c>
      <c r="AJ1455">
        <f>IF($C1455="","",IF($T1455="Yes",1,0))</f>
        <v/>
      </c>
      <c r="AK1455">
        <f>IF($AG1455=1,IFERROR(IF(VALUE($C1455)&lt;100000000,VALUE($C1455),1000000000),IFERROR(IF(VALUE(MID($C1455,2,20))&lt;100000000,VALUE(MID($C1455,2,20)),1000000000),1000000000))+ROW()/100000,"")</f>
        <v/>
      </c>
    </row>
    <row r="1456">
      <c r="D1456" s="11" t="n"/>
      <c r="K1456" s="7">
        <f>IF($C1456="","",J1456*W1456/100)</f>
        <v/>
      </c>
      <c r="Q1456" s="7" t="n"/>
      <c r="R1456" s="7" t="n"/>
      <c r="U1456">
        <f>IF($C1456="","",IF($AJ1456=1,0,IF($AI1456=1,Settings!$C$6,Settings!$C$7))*100)</f>
        <v/>
      </c>
      <c r="V1456" s="7">
        <f>IF($C1456="","",R1456*U1456/100)</f>
        <v/>
      </c>
      <c r="W1456" s="7">
        <f>IF($C1456="","",R1456-V1456)</f>
        <v/>
      </c>
      <c r="X1456" s="7">
        <f>IF($C1456="","",W1456-K1456)</f>
        <v/>
      </c>
      <c r="AB1456" s="7" t="n"/>
      <c r="AE1456" s="11" t="n"/>
      <c r="AG1456">
        <f>IF($C1456="","",IF(COUNTIF($C$2:$C1456,$C1456)=1,1,0))</f>
        <v/>
      </c>
      <c r="AH1456">
        <f>IF($AG1456=1,SUMPRODUCT(--($AK$2:$AK$6001&lt;$AK1456))+1,"")</f>
        <v/>
      </c>
      <c r="AI1456">
        <f>IF($C1456="","",IF(OR($N1456=TRUE(),$N1456="TRUE"),1,0))</f>
        <v/>
      </c>
      <c r="AJ1456">
        <f>IF($C1456="","",IF($T1456="Yes",1,0))</f>
        <v/>
      </c>
      <c r="AK1456">
        <f>IF($AG1456=1,IFERROR(IF(VALUE($C1456)&lt;100000000,VALUE($C1456),1000000000),IFERROR(IF(VALUE(MID($C1456,2,20))&lt;100000000,VALUE(MID($C1456,2,20)),1000000000),1000000000))+ROW()/100000,"")</f>
        <v/>
      </c>
    </row>
    <row r="1457">
      <c r="D1457" s="11" t="n"/>
      <c r="K1457" s="7">
        <f>IF($C1457="","",J1457*W1457/100)</f>
        <v/>
      </c>
      <c r="Q1457" s="7" t="n"/>
      <c r="R1457" s="7" t="n"/>
      <c r="U1457">
        <f>IF($C1457="","",IF($AJ1457=1,0,IF($AI1457=1,Settings!$C$6,Settings!$C$7))*100)</f>
        <v/>
      </c>
      <c r="V1457" s="7">
        <f>IF($C1457="","",R1457*U1457/100)</f>
        <v/>
      </c>
      <c r="W1457" s="7">
        <f>IF($C1457="","",R1457-V1457)</f>
        <v/>
      </c>
      <c r="X1457" s="7">
        <f>IF($C1457="","",W1457-K1457)</f>
        <v/>
      </c>
      <c r="AB1457" s="7" t="n"/>
      <c r="AE1457" s="11" t="n"/>
      <c r="AG1457">
        <f>IF($C1457="","",IF(COUNTIF($C$2:$C1457,$C1457)=1,1,0))</f>
        <v/>
      </c>
      <c r="AH1457">
        <f>IF($AG1457=1,SUMPRODUCT(--($AK$2:$AK$6001&lt;$AK1457))+1,"")</f>
        <v/>
      </c>
      <c r="AI1457">
        <f>IF($C1457="","",IF(OR($N1457=TRUE(),$N1457="TRUE"),1,0))</f>
        <v/>
      </c>
      <c r="AJ1457">
        <f>IF($C1457="","",IF($T1457="Yes",1,0))</f>
        <v/>
      </c>
      <c r="AK1457">
        <f>IF($AG1457=1,IFERROR(IF(VALUE($C1457)&lt;100000000,VALUE($C1457),1000000000),IFERROR(IF(VALUE(MID($C1457,2,20))&lt;100000000,VALUE(MID($C1457,2,20)),1000000000),1000000000))+ROW()/100000,"")</f>
        <v/>
      </c>
    </row>
    <row r="1458">
      <c r="D1458" s="11" t="n"/>
      <c r="K1458" s="7">
        <f>IF($C1458="","",J1458*W1458/100)</f>
        <v/>
      </c>
      <c r="Q1458" s="7" t="n"/>
      <c r="R1458" s="7" t="n"/>
      <c r="U1458">
        <f>IF($C1458="","",IF($AJ1458=1,0,IF($AI1458=1,Settings!$C$6,Settings!$C$7))*100)</f>
        <v/>
      </c>
      <c r="V1458" s="7">
        <f>IF($C1458="","",R1458*U1458/100)</f>
        <v/>
      </c>
      <c r="W1458" s="7">
        <f>IF($C1458="","",R1458-V1458)</f>
        <v/>
      </c>
      <c r="X1458" s="7">
        <f>IF($C1458="","",W1458-K1458)</f>
        <v/>
      </c>
      <c r="AB1458" s="7" t="n"/>
      <c r="AE1458" s="11" t="n"/>
      <c r="AG1458">
        <f>IF($C1458="","",IF(COUNTIF($C$2:$C1458,$C1458)=1,1,0))</f>
        <v/>
      </c>
      <c r="AH1458">
        <f>IF($AG1458=1,SUMPRODUCT(--($AK$2:$AK$6001&lt;$AK1458))+1,"")</f>
        <v/>
      </c>
      <c r="AI1458">
        <f>IF($C1458="","",IF(OR($N1458=TRUE(),$N1458="TRUE"),1,0))</f>
        <v/>
      </c>
      <c r="AJ1458">
        <f>IF($C1458="","",IF($T1458="Yes",1,0))</f>
        <v/>
      </c>
      <c r="AK1458">
        <f>IF($AG1458=1,IFERROR(IF(VALUE($C1458)&lt;100000000,VALUE($C1458),1000000000),IFERROR(IF(VALUE(MID($C1458,2,20))&lt;100000000,VALUE(MID($C1458,2,20)),1000000000),1000000000))+ROW()/100000,"")</f>
        <v/>
      </c>
    </row>
    <row r="1459">
      <c r="D1459" s="11" t="n"/>
      <c r="K1459" s="7">
        <f>IF($C1459="","",J1459*W1459/100)</f>
        <v/>
      </c>
      <c r="Q1459" s="7" t="n"/>
      <c r="R1459" s="7" t="n"/>
      <c r="U1459">
        <f>IF($C1459="","",IF($AJ1459=1,0,IF($AI1459=1,Settings!$C$6,Settings!$C$7))*100)</f>
        <v/>
      </c>
      <c r="V1459" s="7">
        <f>IF($C1459="","",R1459*U1459/100)</f>
        <v/>
      </c>
      <c r="W1459" s="7">
        <f>IF($C1459="","",R1459-V1459)</f>
        <v/>
      </c>
      <c r="X1459" s="7">
        <f>IF($C1459="","",W1459-K1459)</f>
        <v/>
      </c>
      <c r="AB1459" s="7" t="n"/>
      <c r="AE1459" s="11" t="n"/>
      <c r="AG1459">
        <f>IF($C1459="","",IF(COUNTIF($C$2:$C1459,$C1459)=1,1,0))</f>
        <v/>
      </c>
      <c r="AH1459">
        <f>IF($AG1459=1,SUMPRODUCT(--($AK$2:$AK$6001&lt;$AK1459))+1,"")</f>
        <v/>
      </c>
      <c r="AI1459">
        <f>IF($C1459="","",IF(OR($N1459=TRUE(),$N1459="TRUE"),1,0))</f>
        <v/>
      </c>
      <c r="AJ1459">
        <f>IF($C1459="","",IF($T1459="Yes",1,0))</f>
        <v/>
      </c>
      <c r="AK1459">
        <f>IF($AG1459=1,IFERROR(IF(VALUE($C1459)&lt;100000000,VALUE($C1459),1000000000),IFERROR(IF(VALUE(MID($C1459,2,20))&lt;100000000,VALUE(MID($C1459,2,20)),1000000000),1000000000))+ROW()/100000,"")</f>
        <v/>
      </c>
    </row>
    <row r="1460">
      <c r="D1460" s="11" t="n"/>
      <c r="K1460" s="7">
        <f>IF($C1460="","",J1460*W1460/100)</f>
        <v/>
      </c>
      <c r="Q1460" s="7" t="n"/>
      <c r="R1460" s="7" t="n"/>
      <c r="U1460">
        <f>IF($C1460="","",IF($AJ1460=1,0,IF($AI1460=1,Settings!$C$6,Settings!$C$7))*100)</f>
        <v/>
      </c>
      <c r="V1460" s="7">
        <f>IF($C1460="","",R1460*U1460/100)</f>
        <v/>
      </c>
      <c r="W1460" s="7">
        <f>IF($C1460="","",R1460-V1460)</f>
        <v/>
      </c>
      <c r="X1460" s="7">
        <f>IF($C1460="","",W1460-K1460)</f>
        <v/>
      </c>
      <c r="AB1460" s="7" t="n"/>
      <c r="AE1460" s="11" t="n"/>
      <c r="AG1460">
        <f>IF($C1460="","",IF(COUNTIF($C$2:$C1460,$C1460)=1,1,0))</f>
        <v/>
      </c>
      <c r="AH1460">
        <f>IF($AG1460=1,SUMPRODUCT(--($AK$2:$AK$6001&lt;$AK1460))+1,"")</f>
        <v/>
      </c>
      <c r="AI1460">
        <f>IF($C1460="","",IF(OR($N1460=TRUE(),$N1460="TRUE"),1,0))</f>
        <v/>
      </c>
      <c r="AJ1460">
        <f>IF($C1460="","",IF($T1460="Yes",1,0))</f>
        <v/>
      </c>
      <c r="AK1460">
        <f>IF($AG1460=1,IFERROR(IF(VALUE($C1460)&lt;100000000,VALUE($C1460),1000000000),IFERROR(IF(VALUE(MID($C1460,2,20))&lt;100000000,VALUE(MID($C1460,2,20)),1000000000),1000000000))+ROW()/100000,"")</f>
        <v/>
      </c>
    </row>
    <row r="1461">
      <c r="D1461" s="11" t="n"/>
      <c r="K1461" s="7">
        <f>IF($C1461="","",J1461*W1461/100)</f>
        <v/>
      </c>
      <c r="Q1461" s="7" t="n"/>
      <c r="R1461" s="7" t="n"/>
      <c r="U1461">
        <f>IF($C1461="","",IF($AJ1461=1,0,IF($AI1461=1,Settings!$C$6,Settings!$C$7))*100)</f>
        <v/>
      </c>
      <c r="V1461" s="7">
        <f>IF($C1461="","",R1461*U1461/100)</f>
        <v/>
      </c>
      <c r="W1461" s="7">
        <f>IF($C1461="","",R1461-V1461)</f>
        <v/>
      </c>
      <c r="X1461" s="7">
        <f>IF($C1461="","",W1461-K1461)</f>
        <v/>
      </c>
      <c r="AB1461" s="7" t="n"/>
      <c r="AE1461" s="11" t="n"/>
      <c r="AG1461">
        <f>IF($C1461="","",IF(COUNTIF($C$2:$C1461,$C1461)=1,1,0))</f>
        <v/>
      </c>
      <c r="AH1461">
        <f>IF($AG1461=1,SUMPRODUCT(--($AK$2:$AK$6001&lt;$AK1461))+1,"")</f>
        <v/>
      </c>
      <c r="AI1461">
        <f>IF($C1461="","",IF(OR($N1461=TRUE(),$N1461="TRUE"),1,0))</f>
        <v/>
      </c>
      <c r="AJ1461">
        <f>IF($C1461="","",IF($T1461="Yes",1,0))</f>
        <v/>
      </c>
      <c r="AK1461">
        <f>IF($AG1461=1,IFERROR(IF(VALUE($C1461)&lt;100000000,VALUE($C1461),1000000000),IFERROR(IF(VALUE(MID($C1461,2,20))&lt;100000000,VALUE(MID($C1461,2,20)),1000000000),1000000000))+ROW()/100000,"")</f>
        <v/>
      </c>
    </row>
    <row r="1462">
      <c r="D1462" s="11" t="n"/>
      <c r="K1462" s="7">
        <f>IF($C1462="","",J1462*W1462/100)</f>
        <v/>
      </c>
      <c r="Q1462" s="7" t="n"/>
      <c r="R1462" s="7" t="n"/>
      <c r="U1462">
        <f>IF($C1462="","",IF($AJ1462=1,0,IF($AI1462=1,Settings!$C$6,Settings!$C$7))*100)</f>
        <v/>
      </c>
      <c r="V1462" s="7">
        <f>IF($C1462="","",R1462*U1462/100)</f>
        <v/>
      </c>
      <c r="W1462" s="7">
        <f>IF($C1462="","",R1462-V1462)</f>
        <v/>
      </c>
      <c r="X1462" s="7">
        <f>IF($C1462="","",W1462-K1462)</f>
        <v/>
      </c>
      <c r="AB1462" s="7" t="n"/>
      <c r="AE1462" s="11" t="n"/>
      <c r="AG1462">
        <f>IF($C1462="","",IF(COUNTIF($C$2:$C1462,$C1462)=1,1,0))</f>
        <v/>
      </c>
      <c r="AH1462">
        <f>IF($AG1462=1,SUMPRODUCT(--($AK$2:$AK$6001&lt;$AK1462))+1,"")</f>
        <v/>
      </c>
      <c r="AI1462">
        <f>IF($C1462="","",IF(OR($N1462=TRUE(),$N1462="TRUE"),1,0))</f>
        <v/>
      </c>
      <c r="AJ1462">
        <f>IF($C1462="","",IF($T1462="Yes",1,0))</f>
        <v/>
      </c>
      <c r="AK1462">
        <f>IF($AG1462=1,IFERROR(IF(VALUE($C1462)&lt;100000000,VALUE($C1462),1000000000),IFERROR(IF(VALUE(MID($C1462,2,20))&lt;100000000,VALUE(MID($C1462,2,20)),1000000000),1000000000))+ROW()/100000,"")</f>
        <v/>
      </c>
    </row>
    <row r="1463">
      <c r="D1463" s="11" t="n"/>
      <c r="K1463" s="7">
        <f>IF($C1463="","",J1463*W1463/100)</f>
        <v/>
      </c>
      <c r="Q1463" s="7" t="n"/>
      <c r="R1463" s="7" t="n"/>
      <c r="U1463">
        <f>IF($C1463="","",IF($AJ1463=1,0,IF($AI1463=1,Settings!$C$6,Settings!$C$7))*100)</f>
        <v/>
      </c>
      <c r="V1463" s="7">
        <f>IF($C1463="","",R1463*U1463/100)</f>
        <v/>
      </c>
      <c r="W1463" s="7">
        <f>IF($C1463="","",R1463-V1463)</f>
        <v/>
      </c>
      <c r="X1463" s="7">
        <f>IF($C1463="","",W1463-K1463)</f>
        <v/>
      </c>
      <c r="AB1463" s="7" t="n"/>
      <c r="AE1463" s="11" t="n"/>
      <c r="AG1463">
        <f>IF($C1463="","",IF(COUNTIF($C$2:$C1463,$C1463)=1,1,0))</f>
        <v/>
      </c>
      <c r="AH1463">
        <f>IF($AG1463=1,SUMPRODUCT(--($AK$2:$AK$6001&lt;$AK1463))+1,"")</f>
        <v/>
      </c>
      <c r="AI1463">
        <f>IF($C1463="","",IF(OR($N1463=TRUE(),$N1463="TRUE"),1,0))</f>
        <v/>
      </c>
      <c r="AJ1463">
        <f>IF($C1463="","",IF($T1463="Yes",1,0))</f>
        <v/>
      </c>
      <c r="AK1463">
        <f>IF($AG1463=1,IFERROR(IF(VALUE($C1463)&lt;100000000,VALUE($C1463),1000000000),IFERROR(IF(VALUE(MID($C1463,2,20))&lt;100000000,VALUE(MID($C1463,2,20)),1000000000),1000000000))+ROW()/100000,"")</f>
        <v/>
      </c>
    </row>
    <row r="1464">
      <c r="D1464" s="11" t="n"/>
      <c r="K1464" s="7">
        <f>IF($C1464="","",J1464*W1464/100)</f>
        <v/>
      </c>
      <c r="Q1464" s="7" t="n"/>
      <c r="R1464" s="7" t="n"/>
      <c r="U1464">
        <f>IF($C1464="","",IF($AJ1464=1,0,IF($AI1464=1,Settings!$C$6,Settings!$C$7))*100)</f>
        <v/>
      </c>
      <c r="V1464" s="7">
        <f>IF($C1464="","",R1464*U1464/100)</f>
        <v/>
      </c>
      <c r="W1464" s="7">
        <f>IF($C1464="","",R1464-V1464)</f>
        <v/>
      </c>
      <c r="X1464" s="7">
        <f>IF($C1464="","",W1464-K1464)</f>
        <v/>
      </c>
      <c r="AB1464" s="7" t="n"/>
      <c r="AE1464" s="11" t="n"/>
      <c r="AG1464">
        <f>IF($C1464="","",IF(COUNTIF($C$2:$C1464,$C1464)=1,1,0))</f>
        <v/>
      </c>
      <c r="AH1464">
        <f>IF($AG1464=1,SUMPRODUCT(--($AK$2:$AK$6001&lt;$AK1464))+1,"")</f>
        <v/>
      </c>
      <c r="AI1464">
        <f>IF($C1464="","",IF(OR($N1464=TRUE(),$N1464="TRUE"),1,0))</f>
        <v/>
      </c>
      <c r="AJ1464">
        <f>IF($C1464="","",IF($T1464="Yes",1,0))</f>
        <v/>
      </c>
      <c r="AK1464">
        <f>IF($AG1464=1,IFERROR(IF(VALUE($C1464)&lt;100000000,VALUE($C1464),1000000000),IFERROR(IF(VALUE(MID($C1464,2,20))&lt;100000000,VALUE(MID($C1464,2,20)),1000000000),1000000000))+ROW()/100000,"")</f>
        <v/>
      </c>
    </row>
    <row r="1465">
      <c r="D1465" s="11" t="n"/>
      <c r="K1465" s="7">
        <f>IF($C1465="","",J1465*W1465/100)</f>
        <v/>
      </c>
      <c r="Q1465" s="7" t="n"/>
      <c r="R1465" s="7" t="n"/>
      <c r="U1465">
        <f>IF($C1465="","",IF($AJ1465=1,0,IF($AI1465=1,Settings!$C$6,Settings!$C$7))*100)</f>
        <v/>
      </c>
      <c r="V1465" s="7">
        <f>IF($C1465="","",R1465*U1465/100)</f>
        <v/>
      </c>
      <c r="W1465" s="7">
        <f>IF($C1465="","",R1465-V1465)</f>
        <v/>
      </c>
      <c r="X1465" s="7">
        <f>IF($C1465="","",W1465-K1465)</f>
        <v/>
      </c>
      <c r="AB1465" s="7" t="n"/>
      <c r="AE1465" s="11" t="n"/>
      <c r="AG1465">
        <f>IF($C1465="","",IF(COUNTIF($C$2:$C1465,$C1465)=1,1,0))</f>
        <v/>
      </c>
      <c r="AH1465">
        <f>IF($AG1465=1,SUMPRODUCT(--($AK$2:$AK$6001&lt;$AK1465))+1,"")</f>
        <v/>
      </c>
      <c r="AI1465">
        <f>IF($C1465="","",IF(OR($N1465=TRUE(),$N1465="TRUE"),1,0))</f>
        <v/>
      </c>
      <c r="AJ1465">
        <f>IF($C1465="","",IF($T1465="Yes",1,0))</f>
        <v/>
      </c>
      <c r="AK1465">
        <f>IF($AG1465=1,IFERROR(IF(VALUE($C1465)&lt;100000000,VALUE($C1465),1000000000),IFERROR(IF(VALUE(MID($C1465,2,20))&lt;100000000,VALUE(MID($C1465,2,20)),1000000000),1000000000))+ROW()/100000,"")</f>
        <v/>
      </c>
    </row>
    <row r="1466">
      <c r="D1466" s="11" t="n"/>
      <c r="K1466" s="7">
        <f>IF($C1466="","",J1466*W1466/100)</f>
        <v/>
      </c>
      <c r="Q1466" s="7" t="n"/>
      <c r="R1466" s="7" t="n"/>
      <c r="U1466">
        <f>IF($C1466="","",IF($AJ1466=1,0,IF($AI1466=1,Settings!$C$6,Settings!$C$7))*100)</f>
        <v/>
      </c>
      <c r="V1466" s="7">
        <f>IF($C1466="","",R1466*U1466/100)</f>
        <v/>
      </c>
      <c r="W1466" s="7">
        <f>IF($C1466="","",R1466-V1466)</f>
        <v/>
      </c>
      <c r="X1466" s="7">
        <f>IF($C1466="","",W1466-K1466)</f>
        <v/>
      </c>
      <c r="AB1466" s="7" t="n"/>
      <c r="AE1466" s="11" t="n"/>
      <c r="AG1466">
        <f>IF($C1466="","",IF(COUNTIF($C$2:$C1466,$C1466)=1,1,0))</f>
        <v/>
      </c>
      <c r="AH1466">
        <f>IF($AG1466=1,SUMPRODUCT(--($AK$2:$AK$6001&lt;$AK1466))+1,"")</f>
        <v/>
      </c>
      <c r="AI1466">
        <f>IF($C1466="","",IF(OR($N1466=TRUE(),$N1466="TRUE"),1,0))</f>
        <v/>
      </c>
      <c r="AJ1466">
        <f>IF($C1466="","",IF($T1466="Yes",1,0))</f>
        <v/>
      </c>
      <c r="AK1466">
        <f>IF($AG1466=1,IFERROR(IF(VALUE($C1466)&lt;100000000,VALUE($C1466),1000000000),IFERROR(IF(VALUE(MID($C1466,2,20))&lt;100000000,VALUE(MID($C1466,2,20)),1000000000),1000000000))+ROW()/100000,"")</f>
        <v/>
      </c>
    </row>
    <row r="1467">
      <c r="D1467" s="11" t="n"/>
      <c r="K1467" s="7">
        <f>IF($C1467="","",J1467*W1467/100)</f>
        <v/>
      </c>
      <c r="Q1467" s="7" t="n"/>
      <c r="R1467" s="7" t="n"/>
      <c r="U1467">
        <f>IF($C1467="","",IF($AJ1467=1,0,IF($AI1467=1,Settings!$C$6,Settings!$C$7))*100)</f>
        <v/>
      </c>
      <c r="V1467" s="7">
        <f>IF($C1467="","",R1467*U1467/100)</f>
        <v/>
      </c>
      <c r="W1467" s="7">
        <f>IF($C1467="","",R1467-V1467)</f>
        <v/>
      </c>
      <c r="X1467" s="7">
        <f>IF($C1467="","",W1467-K1467)</f>
        <v/>
      </c>
      <c r="AB1467" s="7" t="n"/>
      <c r="AE1467" s="11" t="n"/>
      <c r="AG1467">
        <f>IF($C1467="","",IF(COUNTIF($C$2:$C1467,$C1467)=1,1,0))</f>
        <v/>
      </c>
      <c r="AH1467">
        <f>IF($AG1467=1,SUMPRODUCT(--($AK$2:$AK$6001&lt;$AK1467))+1,"")</f>
        <v/>
      </c>
      <c r="AI1467">
        <f>IF($C1467="","",IF(OR($N1467=TRUE(),$N1467="TRUE"),1,0))</f>
        <v/>
      </c>
      <c r="AJ1467">
        <f>IF($C1467="","",IF($T1467="Yes",1,0))</f>
        <v/>
      </c>
      <c r="AK1467">
        <f>IF($AG1467=1,IFERROR(IF(VALUE($C1467)&lt;100000000,VALUE($C1467),1000000000),IFERROR(IF(VALUE(MID($C1467,2,20))&lt;100000000,VALUE(MID($C1467,2,20)),1000000000),1000000000))+ROW()/100000,"")</f>
        <v/>
      </c>
    </row>
    <row r="1468">
      <c r="D1468" s="11" t="n"/>
      <c r="K1468" s="7">
        <f>IF($C1468="","",J1468*W1468/100)</f>
        <v/>
      </c>
      <c r="Q1468" s="7" t="n"/>
      <c r="R1468" s="7" t="n"/>
      <c r="U1468">
        <f>IF($C1468="","",IF($AJ1468=1,0,IF($AI1468=1,Settings!$C$6,Settings!$C$7))*100)</f>
        <v/>
      </c>
      <c r="V1468" s="7">
        <f>IF($C1468="","",R1468*U1468/100)</f>
        <v/>
      </c>
      <c r="W1468" s="7">
        <f>IF($C1468="","",R1468-V1468)</f>
        <v/>
      </c>
      <c r="X1468" s="7">
        <f>IF($C1468="","",W1468-K1468)</f>
        <v/>
      </c>
      <c r="AB1468" s="7" t="n"/>
      <c r="AE1468" s="11" t="n"/>
      <c r="AG1468">
        <f>IF($C1468="","",IF(COUNTIF($C$2:$C1468,$C1468)=1,1,0))</f>
        <v/>
      </c>
      <c r="AH1468">
        <f>IF($AG1468=1,SUMPRODUCT(--($AK$2:$AK$6001&lt;$AK1468))+1,"")</f>
        <v/>
      </c>
      <c r="AI1468">
        <f>IF($C1468="","",IF(OR($N1468=TRUE(),$N1468="TRUE"),1,0))</f>
        <v/>
      </c>
      <c r="AJ1468">
        <f>IF($C1468="","",IF($T1468="Yes",1,0))</f>
        <v/>
      </c>
      <c r="AK1468">
        <f>IF($AG1468=1,IFERROR(IF(VALUE($C1468)&lt;100000000,VALUE($C1468),1000000000),IFERROR(IF(VALUE(MID($C1468,2,20))&lt;100000000,VALUE(MID($C1468,2,20)),1000000000),1000000000))+ROW()/100000,"")</f>
        <v/>
      </c>
    </row>
    <row r="1469">
      <c r="D1469" s="11" t="n"/>
      <c r="K1469" s="7">
        <f>IF($C1469="","",J1469*W1469/100)</f>
        <v/>
      </c>
      <c r="Q1469" s="7" t="n"/>
      <c r="R1469" s="7" t="n"/>
      <c r="U1469">
        <f>IF($C1469="","",IF($AJ1469=1,0,IF($AI1469=1,Settings!$C$6,Settings!$C$7))*100)</f>
        <v/>
      </c>
      <c r="V1469" s="7">
        <f>IF($C1469="","",R1469*U1469/100)</f>
        <v/>
      </c>
      <c r="W1469" s="7">
        <f>IF($C1469="","",R1469-V1469)</f>
        <v/>
      </c>
      <c r="X1469" s="7">
        <f>IF($C1469="","",W1469-K1469)</f>
        <v/>
      </c>
      <c r="AB1469" s="7" t="n"/>
      <c r="AE1469" s="11" t="n"/>
      <c r="AG1469">
        <f>IF($C1469="","",IF(COUNTIF($C$2:$C1469,$C1469)=1,1,0))</f>
        <v/>
      </c>
      <c r="AH1469">
        <f>IF($AG1469=1,SUMPRODUCT(--($AK$2:$AK$6001&lt;$AK1469))+1,"")</f>
        <v/>
      </c>
      <c r="AI1469">
        <f>IF($C1469="","",IF(OR($N1469=TRUE(),$N1469="TRUE"),1,0))</f>
        <v/>
      </c>
      <c r="AJ1469">
        <f>IF($C1469="","",IF($T1469="Yes",1,0))</f>
        <v/>
      </c>
      <c r="AK1469">
        <f>IF($AG1469=1,IFERROR(IF(VALUE($C1469)&lt;100000000,VALUE($C1469),1000000000),IFERROR(IF(VALUE(MID($C1469,2,20))&lt;100000000,VALUE(MID($C1469,2,20)),1000000000),1000000000))+ROW()/100000,"")</f>
        <v/>
      </c>
    </row>
    <row r="1470">
      <c r="D1470" s="11" t="n"/>
      <c r="K1470" s="7">
        <f>IF($C1470="","",J1470*W1470/100)</f>
        <v/>
      </c>
      <c r="Q1470" s="7" t="n"/>
      <c r="R1470" s="7" t="n"/>
      <c r="U1470">
        <f>IF($C1470="","",IF($AJ1470=1,0,IF($AI1470=1,Settings!$C$6,Settings!$C$7))*100)</f>
        <v/>
      </c>
      <c r="V1470" s="7">
        <f>IF($C1470="","",R1470*U1470/100)</f>
        <v/>
      </c>
      <c r="W1470" s="7">
        <f>IF($C1470="","",R1470-V1470)</f>
        <v/>
      </c>
      <c r="X1470" s="7">
        <f>IF($C1470="","",W1470-K1470)</f>
        <v/>
      </c>
      <c r="AB1470" s="7" t="n"/>
      <c r="AE1470" s="11" t="n"/>
      <c r="AG1470">
        <f>IF($C1470="","",IF(COUNTIF($C$2:$C1470,$C1470)=1,1,0))</f>
        <v/>
      </c>
      <c r="AH1470">
        <f>IF($AG1470=1,SUMPRODUCT(--($AK$2:$AK$6001&lt;$AK1470))+1,"")</f>
        <v/>
      </c>
      <c r="AI1470">
        <f>IF($C1470="","",IF(OR($N1470=TRUE(),$N1470="TRUE"),1,0))</f>
        <v/>
      </c>
      <c r="AJ1470">
        <f>IF($C1470="","",IF($T1470="Yes",1,0))</f>
        <v/>
      </c>
      <c r="AK1470">
        <f>IF($AG1470=1,IFERROR(IF(VALUE($C1470)&lt;100000000,VALUE($C1470),1000000000),IFERROR(IF(VALUE(MID($C1470,2,20))&lt;100000000,VALUE(MID($C1470,2,20)),1000000000),1000000000))+ROW()/100000,"")</f>
        <v/>
      </c>
    </row>
    <row r="1471">
      <c r="D1471" s="11" t="n"/>
      <c r="K1471" s="7">
        <f>IF($C1471="","",J1471*W1471/100)</f>
        <v/>
      </c>
      <c r="Q1471" s="7" t="n"/>
      <c r="R1471" s="7" t="n"/>
      <c r="U1471">
        <f>IF($C1471="","",IF($AJ1471=1,0,IF($AI1471=1,Settings!$C$6,Settings!$C$7))*100)</f>
        <v/>
      </c>
      <c r="V1471" s="7">
        <f>IF($C1471="","",R1471*U1471/100)</f>
        <v/>
      </c>
      <c r="W1471" s="7">
        <f>IF($C1471="","",R1471-V1471)</f>
        <v/>
      </c>
      <c r="X1471" s="7">
        <f>IF($C1471="","",W1471-K1471)</f>
        <v/>
      </c>
      <c r="AB1471" s="7" t="n"/>
      <c r="AE1471" s="11" t="n"/>
      <c r="AG1471">
        <f>IF($C1471="","",IF(COUNTIF($C$2:$C1471,$C1471)=1,1,0))</f>
        <v/>
      </c>
      <c r="AH1471">
        <f>IF($AG1471=1,SUMPRODUCT(--($AK$2:$AK$6001&lt;$AK1471))+1,"")</f>
        <v/>
      </c>
      <c r="AI1471">
        <f>IF($C1471="","",IF(OR($N1471=TRUE(),$N1471="TRUE"),1,0))</f>
        <v/>
      </c>
      <c r="AJ1471">
        <f>IF($C1471="","",IF($T1471="Yes",1,0))</f>
        <v/>
      </c>
      <c r="AK1471">
        <f>IF($AG1471=1,IFERROR(IF(VALUE($C1471)&lt;100000000,VALUE($C1471),1000000000),IFERROR(IF(VALUE(MID($C1471,2,20))&lt;100000000,VALUE(MID($C1471,2,20)),1000000000),1000000000))+ROW()/100000,"")</f>
        <v/>
      </c>
    </row>
    <row r="1472">
      <c r="D1472" s="11" t="n"/>
      <c r="K1472" s="7">
        <f>IF($C1472="","",J1472*W1472/100)</f>
        <v/>
      </c>
      <c r="Q1472" s="7" t="n"/>
      <c r="R1472" s="7" t="n"/>
      <c r="U1472">
        <f>IF($C1472="","",IF($AJ1472=1,0,IF($AI1472=1,Settings!$C$6,Settings!$C$7))*100)</f>
        <v/>
      </c>
      <c r="V1472" s="7">
        <f>IF($C1472="","",R1472*U1472/100)</f>
        <v/>
      </c>
      <c r="W1472" s="7">
        <f>IF($C1472="","",R1472-V1472)</f>
        <v/>
      </c>
      <c r="X1472" s="7">
        <f>IF($C1472="","",W1472-K1472)</f>
        <v/>
      </c>
      <c r="AB1472" s="7" t="n"/>
      <c r="AE1472" s="11" t="n"/>
      <c r="AG1472">
        <f>IF($C1472="","",IF(COUNTIF($C$2:$C1472,$C1472)=1,1,0))</f>
        <v/>
      </c>
      <c r="AH1472">
        <f>IF($AG1472=1,SUMPRODUCT(--($AK$2:$AK$6001&lt;$AK1472))+1,"")</f>
        <v/>
      </c>
      <c r="AI1472">
        <f>IF($C1472="","",IF(OR($N1472=TRUE(),$N1472="TRUE"),1,0))</f>
        <v/>
      </c>
      <c r="AJ1472">
        <f>IF($C1472="","",IF($T1472="Yes",1,0))</f>
        <v/>
      </c>
      <c r="AK1472">
        <f>IF($AG1472=1,IFERROR(IF(VALUE($C1472)&lt;100000000,VALUE($C1472),1000000000),IFERROR(IF(VALUE(MID($C1472,2,20))&lt;100000000,VALUE(MID($C1472,2,20)),1000000000),1000000000))+ROW()/100000,"")</f>
        <v/>
      </c>
    </row>
    <row r="1473">
      <c r="D1473" s="11" t="n"/>
      <c r="K1473" s="7">
        <f>IF($C1473="","",J1473*W1473/100)</f>
        <v/>
      </c>
      <c r="Q1473" s="7" t="n"/>
      <c r="R1473" s="7" t="n"/>
      <c r="U1473">
        <f>IF($C1473="","",IF($AJ1473=1,0,IF($AI1473=1,Settings!$C$6,Settings!$C$7))*100)</f>
        <v/>
      </c>
      <c r="V1473" s="7">
        <f>IF($C1473="","",R1473*U1473/100)</f>
        <v/>
      </c>
      <c r="W1473" s="7">
        <f>IF($C1473="","",R1473-V1473)</f>
        <v/>
      </c>
      <c r="X1473" s="7">
        <f>IF($C1473="","",W1473-K1473)</f>
        <v/>
      </c>
      <c r="AB1473" s="7" t="n"/>
      <c r="AE1473" s="11" t="n"/>
      <c r="AG1473">
        <f>IF($C1473="","",IF(COUNTIF($C$2:$C1473,$C1473)=1,1,0))</f>
        <v/>
      </c>
      <c r="AH1473">
        <f>IF($AG1473=1,SUMPRODUCT(--($AK$2:$AK$6001&lt;$AK1473))+1,"")</f>
        <v/>
      </c>
      <c r="AI1473">
        <f>IF($C1473="","",IF(OR($N1473=TRUE(),$N1473="TRUE"),1,0))</f>
        <v/>
      </c>
      <c r="AJ1473">
        <f>IF($C1473="","",IF($T1473="Yes",1,0))</f>
        <v/>
      </c>
      <c r="AK1473">
        <f>IF($AG1473=1,IFERROR(IF(VALUE($C1473)&lt;100000000,VALUE($C1473),1000000000),IFERROR(IF(VALUE(MID($C1473,2,20))&lt;100000000,VALUE(MID($C1473,2,20)),1000000000),1000000000))+ROW()/100000,"")</f>
        <v/>
      </c>
    </row>
    <row r="1474">
      <c r="D1474" s="11" t="n"/>
      <c r="K1474" s="7">
        <f>IF($C1474="","",J1474*W1474/100)</f>
        <v/>
      </c>
      <c r="Q1474" s="7" t="n"/>
      <c r="R1474" s="7" t="n"/>
      <c r="U1474">
        <f>IF($C1474="","",IF($AJ1474=1,0,IF($AI1474=1,Settings!$C$6,Settings!$C$7))*100)</f>
        <v/>
      </c>
      <c r="V1474" s="7">
        <f>IF($C1474="","",R1474*U1474/100)</f>
        <v/>
      </c>
      <c r="W1474" s="7">
        <f>IF($C1474="","",R1474-V1474)</f>
        <v/>
      </c>
      <c r="X1474" s="7">
        <f>IF($C1474="","",W1474-K1474)</f>
        <v/>
      </c>
      <c r="AB1474" s="7" t="n"/>
      <c r="AE1474" s="11" t="n"/>
      <c r="AG1474">
        <f>IF($C1474="","",IF(COUNTIF($C$2:$C1474,$C1474)=1,1,0))</f>
        <v/>
      </c>
      <c r="AH1474">
        <f>IF($AG1474=1,SUMPRODUCT(--($AK$2:$AK$6001&lt;$AK1474))+1,"")</f>
        <v/>
      </c>
      <c r="AI1474">
        <f>IF($C1474="","",IF(OR($N1474=TRUE(),$N1474="TRUE"),1,0))</f>
        <v/>
      </c>
      <c r="AJ1474">
        <f>IF($C1474="","",IF($T1474="Yes",1,0))</f>
        <v/>
      </c>
      <c r="AK1474">
        <f>IF($AG1474=1,IFERROR(IF(VALUE($C1474)&lt;100000000,VALUE($C1474),1000000000),IFERROR(IF(VALUE(MID($C1474,2,20))&lt;100000000,VALUE(MID($C1474,2,20)),1000000000),1000000000))+ROW()/100000,"")</f>
        <v/>
      </c>
    </row>
    <row r="1475">
      <c r="D1475" s="11" t="n"/>
      <c r="K1475" s="7">
        <f>IF($C1475="","",J1475*W1475/100)</f>
        <v/>
      </c>
      <c r="Q1475" s="7" t="n"/>
      <c r="R1475" s="7" t="n"/>
      <c r="U1475">
        <f>IF($C1475="","",IF($AJ1475=1,0,IF($AI1475=1,Settings!$C$6,Settings!$C$7))*100)</f>
        <v/>
      </c>
      <c r="V1475" s="7">
        <f>IF($C1475="","",R1475*U1475/100)</f>
        <v/>
      </c>
      <c r="W1475" s="7">
        <f>IF($C1475="","",R1475-V1475)</f>
        <v/>
      </c>
      <c r="X1475" s="7">
        <f>IF($C1475="","",W1475-K1475)</f>
        <v/>
      </c>
      <c r="AB1475" s="7" t="n"/>
      <c r="AE1475" s="11" t="n"/>
      <c r="AG1475">
        <f>IF($C1475="","",IF(COUNTIF($C$2:$C1475,$C1475)=1,1,0))</f>
        <v/>
      </c>
      <c r="AH1475">
        <f>IF($AG1475=1,SUMPRODUCT(--($AK$2:$AK$6001&lt;$AK1475))+1,"")</f>
        <v/>
      </c>
      <c r="AI1475">
        <f>IF($C1475="","",IF(OR($N1475=TRUE(),$N1475="TRUE"),1,0))</f>
        <v/>
      </c>
      <c r="AJ1475">
        <f>IF($C1475="","",IF($T1475="Yes",1,0))</f>
        <v/>
      </c>
      <c r="AK1475">
        <f>IF($AG1475=1,IFERROR(IF(VALUE($C1475)&lt;100000000,VALUE($C1475),1000000000),IFERROR(IF(VALUE(MID($C1475,2,20))&lt;100000000,VALUE(MID($C1475,2,20)),1000000000),1000000000))+ROW()/100000,"")</f>
        <v/>
      </c>
    </row>
    <row r="1476">
      <c r="D1476" s="11" t="n"/>
      <c r="K1476" s="7">
        <f>IF($C1476="","",J1476*W1476/100)</f>
        <v/>
      </c>
      <c r="Q1476" s="7" t="n"/>
      <c r="R1476" s="7" t="n"/>
      <c r="U1476">
        <f>IF($C1476="","",IF($AJ1476=1,0,IF($AI1476=1,Settings!$C$6,Settings!$C$7))*100)</f>
        <v/>
      </c>
      <c r="V1476" s="7">
        <f>IF($C1476="","",R1476*U1476/100)</f>
        <v/>
      </c>
      <c r="W1476" s="7">
        <f>IF($C1476="","",R1476-V1476)</f>
        <v/>
      </c>
      <c r="X1476" s="7">
        <f>IF($C1476="","",W1476-K1476)</f>
        <v/>
      </c>
      <c r="AB1476" s="7" t="n"/>
      <c r="AE1476" s="11" t="n"/>
      <c r="AG1476">
        <f>IF($C1476="","",IF(COUNTIF($C$2:$C1476,$C1476)=1,1,0))</f>
        <v/>
      </c>
      <c r="AH1476">
        <f>IF($AG1476=1,SUMPRODUCT(--($AK$2:$AK$6001&lt;$AK1476))+1,"")</f>
        <v/>
      </c>
      <c r="AI1476">
        <f>IF($C1476="","",IF(OR($N1476=TRUE(),$N1476="TRUE"),1,0))</f>
        <v/>
      </c>
      <c r="AJ1476">
        <f>IF($C1476="","",IF($T1476="Yes",1,0))</f>
        <v/>
      </c>
      <c r="AK1476">
        <f>IF($AG1476=1,IFERROR(IF(VALUE($C1476)&lt;100000000,VALUE($C1476),1000000000),IFERROR(IF(VALUE(MID($C1476,2,20))&lt;100000000,VALUE(MID($C1476,2,20)),1000000000),1000000000))+ROW()/100000,"")</f>
        <v/>
      </c>
    </row>
    <row r="1477">
      <c r="D1477" s="11" t="n"/>
      <c r="K1477" s="7">
        <f>IF($C1477="","",J1477*W1477/100)</f>
        <v/>
      </c>
      <c r="Q1477" s="7" t="n"/>
      <c r="R1477" s="7" t="n"/>
      <c r="U1477">
        <f>IF($C1477="","",IF($AJ1477=1,0,IF($AI1477=1,Settings!$C$6,Settings!$C$7))*100)</f>
        <v/>
      </c>
      <c r="V1477" s="7">
        <f>IF($C1477="","",R1477*U1477/100)</f>
        <v/>
      </c>
      <c r="W1477" s="7">
        <f>IF($C1477="","",R1477-V1477)</f>
        <v/>
      </c>
      <c r="X1477" s="7">
        <f>IF($C1477="","",W1477-K1477)</f>
        <v/>
      </c>
      <c r="AB1477" s="7" t="n"/>
      <c r="AE1477" s="11" t="n"/>
      <c r="AG1477">
        <f>IF($C1477="","",IF(COUNTIF($C$2:$C1477,$C1477)=1,1,0))</f>
        <v/>
      </c>
      <c r="AH1477">
        <f>IF($AG1477=1,SUMPRODUCT(--($AK$2:$AK$6001&lt;$AK1477))+1,"")</f>
        <v/>
      </c>
      <c r="AI1477">
        <f>IF($C1477="","",IF(OR($N1477=TRUE(),$N1477="TRUE"),1,0))</f>
        <v/>
      </c>
      <c r="AJ1477">
        <f>IF($C1477="","",IF($T1477="Yes",1,0))</f>
        <v/>
      </c>
      <c r="AK1477">
        <f>IF($AG1477=1,IFERROR(IF(VALUE($C1477)&lt;100000000,VALUE($C1477),1000000000),IFERROR(IF(VALUE(MID($C1477,2,20))&lt;100000000,VALUE(MID($C1477,2,20)),1000000000),1000000000))+ROW()/100000,"")</f>
        <v/>
      </c>
    </row>
    <row r="1478">
      <c r="D1478" s="11" t="n"/>
      <c r="K1478" s="7">
        <f>IF($C1478="","",J1478*W1478/100)</f>
        <v/>
      </c>
      <c r="Q1478" s="7" t="n"/>
      <c r="R1478" s="7" t="n"/>
      <c r="U1478">
        <f>IF($C1478="","",IF($AJ1478=1,0,IF($AI1478=1,Settings!$C$6,Settings!$C$7))*100)</f>
        <v/>
      </c>
      <c r="V1478" s="7">
        <f>IF($C1478="","",R1478*U1478/100)</f>
        <v/>
      </c>
      <c r="W1478" s="7">
        <f>IF($C1478="","",R1478-V1478)</f>
        <v/>
      </c>
      <c r="X1478" s="7">
        <f>IF($C1478="","",W1478-K1478)</f>
        <v/>
      </c>
      <c r="AB1478" s="7" t="n"/>
      <c r="AE1478" s="11" t="n"/>
      <c r="AG1478">
        <f>IF($C1478="","",IF(COUNTIF($C$2:$C1478,$C1478)=1,1,0))</f>
        <v/>
      </c>
      <c r="AH1478">
        <f>IF($AG1478=1,SUMPRODUCT(--($AK$2:$AK$6001&lt;$AK1478))+1,"")</f>
        <v/>
      </c>
      <c r="AI1478">
        <f>IF($C1478="","",IF(OR($N1478=TRUE(),$N1478="TRUE"),1,0))</f>
        <v/>
      </c>
      <c r="AJ1478">
        <f>IF($C1478="","",IF($T1478="Yes",1,0))</f>
        <v/>
      </c>
      <c r="AK1478">
        <f>IF($AG1478=1,IFERROR(IF(VALUE($C1478)&lt;100000000,VALUE($C1478),1000000000),IFERROR(IF(VALUE(MID($C1478,2,20))&lt;100000000,VALUE(MID($C1478,2,20)),1000000000),1000000000))+ROW()/100000,"")</f>
        <v/>
      </c>
    </row>
    <row r="1479">
      <c r="D1479" s="11" t="n"/>
      <c r="K1479" s="7">
        <f>IF($C1479="","",J1479*W1479/100)</f>
        <v/>
      </c>
      <c r="Q1479" s="7" t="n"/>
      <c r="R1479" s="7" t="n"/>
      <c r="U1479">
        <f>IF($C1479="","",IF($AJ1479=1,0,IF($AI1479=1,Settings!$C$6,Settings!$C$7))*100)</f>
        <v/>
      </c>
      <c r="V1479" s="7">
        <f>IF($C1479="","",R1479*U1479/100)</f>
        <v/>
      </c>
      <c r="W1479" s="7">
        <f>IF($C1479="","",R1479-V1479)</f>
        <v/>
      </c>
      <c r="X1479" s="7">
        <f>IF($C1479="","",W1479-K1479)</f>
        <v/>
      </c>
      <c r="AB1479" s="7" t="n"/>
      <c r="AE1479" s="11" t="n"/>
      <c r="AG1479">
        <f>IF($C1479="","",IF(COUNTIF($C$2:$C1479,$C1479)=1,1,0))</f>
        <v/>
      </c>
      <c r="AH1479">
        <f>IF($AG1479=1,SUMPRODUCT(--($AK$2:$AK$6001&lt;$AK1479))+1,"")</f>
        <v/>
      </c>
      <c r="AI1479">
        <f>IF($C1479="","",IF(OR($N1479=TRUE(),$N1479="TRUE"),1,0))</f>
        <v/>
      </c>
      <c r="AJ1479">
        <f>IF($C1479="","",IF($T1479="Yes",1,0))</f>
        <v/>
      </c>
      <c r="AK1479">
        <f>IF($AG1479=1,IFERROR(IF(VALUE($C1479)&lt;100000000,VALUE($C1479),1000000000),IFERROR(IF(VALUE(MID($C1479,2,20))&lt;100000000,VALUE(MID($C1479,2,20)),1000000000),1000000000))+ROW()/100000,"")</f>
        <v/>
      </c>
    </row>
    <row r="1480">
      <c r="D1480" s="11" t="n"/>
      <c r="K1480" s="7">
        <f>IF($C1480="","",J1480*W1480/100)</f>
        <v/>
      </c>
      <c r="Q1480" s="7" t="n"/>
      <c r="R1480" s="7" t="n"/>
      <c r="U1480">
        <f>IF($C1480="","",IF($AJ1480=1,0,IF($AI1480=1,Settings!$C$6,Settings!$C$7))*100)</f>
        <v/>
      </c>
      <c r="V1480" s="7">
        <f>IF($C1480="","",R1480*U1480/100)</f>
        <v/>
      </c>
      <c r="W1480" s="7">
        <f>IF($C1480="","",R1480-V1480)</f>
        <v/>
      </c>
      <c r="X1480" s="7">
        <f>IF($C1480="","",W1480-K1480)</f>
        <v/>
      </c>
      <c r="AB1480" s="7" t="n"/>
      <c r="AE1480" s="11" t="n"/>
      <c r="AG1480">
        <f>IF($C1480="","",IF(COUNTIF($C$2:$C1480,$C1480)=1,1,0))</f>
        <v/>
      </c>
      <c r="AH1480">
        <f>IF($AG1480=1,SUMPRODUCT(--($AK$2:$AK$6001&lt;$AK1480))+1,"")</f>
        <v/>
      </c>
      <c r="AI1480">
        <f>IF($C1480="","",IF(OR($N1480=TRUE(),$N1480="TRUE"),1,0))</f>
        <v/>
      </c>
      <c r="AJ1480">
        <f>IF($C1480="","",IF($T1480="Yes",1,0))</f>
        <v/>
      </c>
      <c r="AK1480">
        <f>IF($AG1480=1,IFERROR(IF(VALUE($C1480)&lt;100000000,VALUE($C1480),1000000000),IFERROR(IF(VALUE(MID($C1480,2,20))&lt;100000000,VALUE(MID($C1480,2,20)),1000000000),1000000000))+ROW()/100000,"")</f>
        <v/>
      </c>
    </row>
    <row r="1481">
      <c r="D1481" s="11" t="n"/>
      <c r="K1481" s="7">
        <f>IF($C1481="","",J1481*W1481/100)</f>
        <v/>
      </c>
      <c r="Q1481" s="7" t="n"/>
      <c r="R1481" s="7" t="n"/>
      <c r="U1481">
        <f>IF($C1481="","",IF($AJ1481=1,0,IF($AI1481=1,Settings!$C$6,Settings!$C$7))*100)</f>
        <v/>
      </c>
      <c r="V1481" s="7">
        <f>IF($C1481="","",R1481*U1481/100)</f>
        <v/>
      </c>
      <c r="W1481" s="7">
        <f>IF($C1481="","",R1481-V1481)</f>
        <v/>
      </c>
      <c r="X1481" s="7">
        <f>IF($C1481="","",W1481-K1481)</f>
        <v/>
      </c>
      <c r="AB1481" s="7" t="n"/>
      <c r="AE1481" s="11" t="n"/>
      <c r="AG1481">
        <f>IF($C1481="","",IF(COUNTIF($C$2:$C1481,$C1481)=1,1,0))</f>
        <v/>
      </c>
      <c r="AH1481">
        <f>IF($AG1481=1,SUMPRODUCT(--($AK$2:$AK$6001&lt;$AK1481))+1,"")</f>
        <v/>
      </c>
      <c r="AI1481">
        <f>IF($C1481="","",IF(OR($N1481=TRUE(),$N1481="TRUE"),1,0))</f>
        <v/>
      </c>
      <c r="AJ1481">
        <f>IF($C1481="","",IF($T1481="Yes",1,0))</f>
        <v/>
      </c>
      <c r="AK1481">
        <f>IF($AG1481=1,IFERROR(IF(VALUE($C1481)&lt;100000000,VALUE($C1481),1000000000),IFERROR(IF(VALUE(MID($C1481,2,20))&lt;100000000,VALUE(MID($C1481,2,20)),1000000000),1000000000))+ROW()/100000,"")</f>
        <v/>
      </c>
    </row>
    <row r="1482">
      <c r="D1482" s="11" t="n"/>
      <c r="K1482" s="7">
        <f>IF($C1482="","",J1482*W1482/100)</f>
        <v/>
      </c>
      <c r="Q1482" s="7" t="n"/>
      <c r="R1482" s="7" t="n"/>
      <c r="U1482">
        <f>IF($C1482="","",IF($AJ1482=1,0,IF($AI1482=1,Settings!$C$6,Settings!$C$7))*100)</f>
        <v/>
      </c>
      <c r="V1482" s="7">
        <f>IF($C1482="","",R1482*U1482/100)</f>
        <v/>
      </c>
      <c r="W1482" s="7">
        <f>IF($C1482="","",R1482-V1482)</f>
        <v/>
      </c>
      <c r="X1482" s="7">
        <f>IF($C1482="","",W1482-K1482)</f>
        <v/>
      </c>
      <c r="AB1482" s="7" t="n"/>
      <c r="AE1482" s="11" t="n"/>
      <c r="AG1482">
        <f>IF($C1482="","",IF(COUNTIF($C$2:$C1482,$C1482)=1,1,0))</f>
        <v/>
      </c>
      <c r="AH1482">
        <f>IF($AG1482=1,SUMPRODUCT(--($AK$2:$AK$6001&lt;$AK1482))+1,"")</f>
        <v/>
      </c>
      <c r="AI1482">
        <f>IF($C1482="","",IF(OR($N1482=TRUE(),$N1482="TRUE"),1,0))</f>
        <v/>
      </c>
      <c r="AJ1482">
        <f>IF($C1482="","",IF($T1482="Yes",1,0))</f>
        <v/>
      </c>
      <c r="AK1482">
        <f>IF($AG1482=1,IFERROR(IF(VALUE($C1482)&lt;100000000,VALUE($C1482),1000000000),IFERROR(IF(VALUE(MID($C1482,2,20))&lt;100000000,VALUE(MID($C1482,2,20)),1000000000),1000000000))+ROW()/100000,"")</f>
        <v/>
      </c>
    </row>
    <row r="1483">
      <c r="D1483" s="11" t="n"/>
      <c r="K1483" s="7">
        <f>IF($C1483="","",J1483*W1483/100)</f>
        <v/>
      </c>
      <c r="Q1483" s="7" t="n"/>
      <c r="R1483" s="7" t="n"/>
      <c r="U1483">
        <f>IF($C1483="","",IF($AJ1483=1,0,IF($AI1483=1,Settings!$C$6,Settings!$C$7))*100)</f>
        <v/>
      </c>
      <c r="V1483" s="7">
        <f>IF($C1483="","",R1483*U1483/100)</f>
        <v/>
      </c>
      <c r="W1483" s="7">
        <f>IF($C1483="","",R1483-V1483)</f>
        <v/>
      </c>
      <c r="X1483" s="7">
        <f>IF($C1483="","",W1483-K1483)</f>
        <v/>
      </c>
      <c r="AB1483" s="7" t="n"/>
      <c r="AE1483" s="11" t="n"/>
      <c r="AG1483">
        <f>IF($C1483="","",IF(COUNTIF($C$2:$C1483,$C1483)=1,1,0))</f>
        <v/>
      </c>
      <c r="AH1483">
        <f>IF($AG1483=1,SUMPRODUCT(--($AK$2:$AK$6001&lt;$AK1483))+1,"")</f>
        <v/>
      </c>
      <c r="AI1483">
        <f>IF($C1483="","",IF(OR($N1483=TRUE(),$N1483="TRUE"),1,0))</f>
        <v/>
      </c>
      <c r="AJ1483">
        <f>IF($C1483="","",IF($T1483="Yes",1,0))</f>
        <v/>
      </c>
      <c r="AK1483">
        <f>IF($AG1483=1,IFERROR(IF(VALUE($C1483)&lt;100000000,VALUE($C1483),1000000000),IFERROR(IF(VALUE(MID($C1483,2,20))&lt;100000000,VALUE(MID($C1483,2,20)),1000000000),1000000000))+ROW()/100000,"")</f>
        <v/>
      </c>
    </row>
    <row r="1484">
      <c r="D1484" s="11" t="n"/>
      <c r="K1484" s="7">
        <f>IF($C1484="","",J1484*W1484/100)</f>
        <v/>
      </c>
      <c r="Q1484" s="7" t="n"/>
      <c r="R1484" s="7" t="n"/>
      <c r="U1484">
        <f>IF($C1484="","",IF($AJ1484=1,0,IF($AI1484=1,Settings!$C$6,Settings!$C$7))*100)</f>
        <v/>
      </c>
      <c r="V1484" s="7">
        <f>IF($C1484="","",R1484*U1484/100)</f>
        <v/>
      </c>
      <c r="W1484" s="7">
        <f>IF($C1484="","",R1484-V1484)</f>
        <v/>
      </c>
      <c r="X1484" s="7">
        <f>IF($C1484="","",W1484-K1484)</f>
        <v/>
      </c>
      <c r="AB1484" s="7" t="n"/>
      <c r="AE1484" s="11" t="n"/>
      <c r="AG1484">
        <f>IF($C1484="","",IF(COUNTIF($C$2:$C1484,$C1484)=1,1,0))</f>
        <v/>
      </c>
      <c r="AH1484">
        <f>IF($AG1484=1,SUMPRODUCT(--($AK$2:$AK$6001&lt;$AK1484))+1,"")</f>
        <v/>
      </c>
      <c r="AI1484">
        <f>IF($C1484="","",IF(OR($N1484=TRUE(),$N1484="TRUE"),1,0))</f>
        <v/>
      </c>
      <c r="AJ1484">
        <f>IF($C1484="","",IF($T1484="Yes",1,0))</f>
        <v/>
      </c>
      <c r="AK1484">
        <f>IF($AG1484=1,IFERROR(IF(VALUE($C1484)&lt;100000000,VALUE($C1484),1000000000),IFERROR(IF(VALUE(MID($C1484,2,20))&lt;100000000,VALUE(MID($C1484,2,20)),1000000000),1000000000))+ROW()/100000,"")</f>
        <v/>
      </c>
    </row>
    <row r="1485">
      <c r="D1485" s="11" t="n"/>
      <c r="K1485" s="7">
        <f>IF($C1485="","",J1485*W1485/100)</f>
        <v/>
      </c>
      <c r="Q1485" s="7" t="n"/>
      <c r="R1485" s="7" t="n"/>
      <c r="U1485">
        <f>IF($C1485="","",IF($AJ1485=1,0,IF($AI1485=1,Settings!$C$6,Settings!$C$7))*100)</f>
        <v/>
      </c>
      <c r="V1485" s="7">
        <f>IF($C1485="","",R1485*U1485/100)</f>
        <v/>
      </c>
      <c r="W1485" s="7">
        <f>IF($C1485="","",R1485-V1485)</f>
        <v/>
      </c>
      <c r="X1485" s="7">
        <f>IF($C1485="","",W1485-K1485)</f>
        <v/>
      </c>
      <c r="AB1485" s="7" t="n"/>
      <c r="AE1485" s="11" t="n"/>
      <c r="AG1485">
        <f>IF($C1485="","",IF(COUNTIF($C$2:$C1485,$C1485)=1,1,0))</f>
        <v/>
      </c>
      <c r="AH1485">
        <f>IF($AG1485=1,SUMPRODUCT(--($AK$2:$AK$6001&lt;$AK1485))+1,"")</f>
        <v/>
      </c>
      <c r="AI1485">
        <f>IF($C1485="","",IF(OR($N1485=TRUE(),$N1485="TRUE"),1,0))</f>
        <v/>
      </c>
      <c r="AJ1485">
        <f>IF($C1485="","",IF($T1485="Yes",1,0))</f>
        <v/>
      </c>
      <c r="AK1485">
        <f>IF($AG1485=1,IFERROR(IF(VALUE($C1485)&lt;100000000,VALUE($C1485),1000000000),IFERROR(IF(VALUE(MID($C1485,2,20))&lt;100000000,VALUE(MID($C1485,2,20)),1000000000),1000000000))+ROW()/100000,"")</f>
        <v/>
      </c>
    </row>
    <row r="1486">
      <c r="D1486" s="11" t="n"/>
      <c r="K1486" s="7">
        <f>IF($C1486="","",J1486*W1486/100)</f>
        <v/>
      </c>
      <c r="Q1486" s="7" t="n"/>
      <c r="R1486" s="7" t="n"/>
      <c r="U1486">
        <f>IF($C1486="","",IF($AJ1486=1,0,IF($AI1486=1,Settings!$C$6,Settings!$C$7))*100)</f>
        <v/>
      </c>
      <c r="V1486" s="7">
        <f>IF($C1486="","",R1486*U1486/100)</f>
        <v/>
      </c>
      <c r="W1486" s="7">
        <f>IF($C1486="","",R1486-V1486)</f>
        <v/>
      </c>
      <c r="X1486" s="7">
        <f>IF($C1486="","",W1486-K1486)</f>
        <v/>
      </c>
      <c r="AB1486" s="7" t="n"/>
      <c r="AE1486" s="11" t="n"/>
      <c r="AG1486">
        <f>IF($C1486="","",IF(COUNTIF($C$2:$C1486,$C1486)=1,1,0))</f>
        <v/>
      </c>
      <c r="AH1486">
        <f>IF($AG1486=1,SUMPRODUCT(--($AK$2:$AK$6001&lt;$AK1486))+1,"")</f>
        <v/>
      </c>
      <c r="AI1486">
        <f>IF($C1486="","",IF(OR($N1486=TRUE(),$N1486="TRUE"),1,0))</f>
        <v/>
      </c>
      <c r="AJ1486">
        <f>IF($C1486="","",IF($T1486="Yes",1,0))</f>
        <v/>
      </c>
      <c r="AK1486">
        <f>IF($AG1486=1,IFERROR(IF(VALUE($C1486)&lt;100000000,VALUE($C1486),1000000000),IFERROR(IF(VALUE(MID($C1486,2,20))&lt;100000000,VALUE(MID($C1486,2,20)),1000000000),1000000000))+ROW()/100000,"")</f>
        <v/>
      </c>
    </row>
    <row r="1487">
      <c r="D1487" s="11" t="n"/>
      <c r="K1487" s="7">
        <f>IF($C1487="","",J1487*W1487/100)</f>
        <v/>
      </c>
      <c r="Q1487" s="7" t="n"/>
      <c r="R1487" s="7" t="n"/>
      <c r="U1487">
        <f>IF($C1487="","",IF($AJ1487=1,0,IF($AI1487=1,Settings!$C$6,Settings!$C$7))*100)</f>
        <v/>
      </c>
      <c r="V1487" s="7">
        <f>IF($C1487="","",R1487*U1487/100)</f>
        <v/>
      </c>
      <c r="W1487" s="7">
        <f>IF($C1487="","",R1487-V1487)</f>
        <v/>
      </c>
      <c r="X1487" s="7">
        <f>IF($C1487="","",W1487-K1487)</f>
        <v/>
      </c>
      <c r="AB1487" s="7" t="n"/>
      <c r="AE1487" s="11" t="n"/>
      <c r="AG1487">
        <f>IF($C1487="","",IF(COUNTIF($C$2:$C1487,$C1487)=1,1,0))</f>
        <v/>
      </c>
      <c r="AH1487">
        <f>IF($AG1487=1,SUMPRODUCT(--($AK$2:$AK$6001&lt;$AK1487))+1,"")</f>
        <v/>
      </c>
      <c r="AI1487">
        <f>IF($C1487="","",IF(OR($N1487=TRUE(),$N1487="TRUE"),1,0))</f>
        <v/>
      </c>
      <c r="AJ1487">
        <f>IF($C1487="","",IF($T1487="Yes",1,0))</f>
        <v/>
      </c>
      <c r="AK1487">
        <f>IF($AG1487=1,IFERROR(IF(VALUE($C1487)&lt;100000000,VALUE($C1487),1000000000),IFERROR(IF(VALUE(MID($C1487,2,20))&lt;100000000,VALUE(MID($C1487,2,20)),1000000000),1000000000))+ROW()/100000,"")</f>
        <v/>
      </c>
    </row>
    <row r="1488">
      <c r="D1488" s="11" t="n"/>
      <c r="K1488" s="7">
        <f>IF($C1488="","",J1488*W1488/100)</f>
        <v/>
      </c>
      <c r="Q1488" s="7" t="n"/>
      <c r="R1488" s="7" t="n"/>
      <c r="U1488">
        <f>IF($C1488="","",IF($AJ1488=1,0,IF($AI1488=1,Settings!$C$6,Settings!$C$7))*100)</f>
        <v/>
      </c>
      <c r="V1488" s="7">
        <f>IF($C1488="","",R1488*U1488/100)</f>
        <v/>
      </c>
      <c r="W1488" s="7">
        <f>IF($C1488="","",R1488-V1488)</f>
        <v/>
      </c>
      <c r="X1488" s="7">
        <f>IF($C1488="","",W1488-K1488)</f>
        <v/>
      </c>
      <c r="AB1488" s="7" t="n"/>
      <c r="AE1488" s="11" t="n"/>
      <c r="AG1488">
        <f>IF($C1488="","",IF(COUNTIF($C$2:$C1488,$C1488)=1,1,0))</f>
        <v/>
      </c>
      <c r="AH1488">
        <f>IF($AG1488=1,SUMPRODUCT(--($AK$2:$AK$6001&lt;$AK1488))+1,"")</f>
        <v/>
      </c>
      <c r="AI1488">
        <f>IF($C1488="","",IF(OR($N1488=TRUE(),$N1488="TRUE"),1,0))</f>
        <v/>
      </c>
      <c r="AJ1488">
        <f>IF($C1488="","",IF($T1488="Yes",1,0))</f>
        <v/>
      </c>
      <c r="AK1488">
        <f>IF($AG1488=1,IFERROR(IF(VALUE($C1488)&lt;100000000,VALUE($C1488),1000000000),IFERROR(IF(VALUE(MID($C1488,2,20))&lt;100000000,VALUE(MID($C1488,2,20)),1000000000),1000000000))+ROW()/100000,"")</f>
        <v/>
      </c>
    </row>
    <row r="1489">
      <c r="D1489" s="11" t="n"/>
      <c r="K1489" s="7">
        <f>IF($C1489="","",J1489*W1489/100)</f>
        <v/>
      </c>
      <c r="Q1489" s="7" t="n"/>
      <c r="R1489" s="7" t="n"/>
      <c r="U1489">
        <f>IF($C1489="","",IF($AJ1489=1,0,IF($AI1489=1,Settings!$C$6,Settings!$C$7))*100)</f>
        <v/>
      </c>
      <c r="V1489" s="7">
        <f>IF($C1489="","",R1489*U1489/100)</f>
        <v/>
      </c>
      <c r="W1489" s="7">
        <f>IF($C1489="","",R1489-V1489)</f>
        <v/>
      </c>
      <c r="X1489" s="7">
        <f>IF($C1489="","",W1489-K1489)</f>
        <v/>
      </c>
      <c r="AB1489" s="7" t="n"/>
      <c r="AE1489" s="11" t="n"/>
      <c r="AG1489">
        <f>IF($C1489="","",IF(COUNTIF($C$2:$C1489,$C1489)=1,1,0))</f>
        <v/>
      </c>
      <c r="AH1489">
        <f>IF($AG1489=1,SUMPRODUCT(--($AK$2:$AK$6001&lt;$AK1489))+1,"")</f>
        <v/>
      </c>
      <c r="AI1489">
        <f>IF($C1489="","",IF(OR($N1489=TRUE(),$N1489="TRUE"),1,0))</f>
        <v/>
      </c>
      <c r="AJ1489">
        <f>IF($C1489="","",IF($T1489="Yes",1,0))</f>
        <v/>
      </c>
      <c r="AK1489">
        <f>IF($AG1489=1,IFERROR(IF(VALUE($C1489)&lt;100000000,VALUE($C1489),1000000000),IFERROR(IF(VALUE(MID($C1489,2,20))&lt;100000000,VALUE(MID($C1489,2,20)),1000000000),1000000000))+ROW()/100000,"")</f>
        <v/>
      </c>
    </row>
    <row r="1490">
      <c r="D1490" s="11" t="n"/>
      <c r="K1490" s="7">
        <f>IF($C1490="","",J1490*W1490/100)</f>
        <v/>
      </c>
      <c r="Q1490" s="7" t="n"/>
      <c r="R1490" s="7" t="n"/>
      <c r="U1490">
        <f>IF($C1490="","",IF($AJ1490=1,0,IF($AI1490=1,Settings!$C$6,Settings!$C$7))*100)</f>
        <v/>
      </c>
      <c r="V1490" s="7">
        <f>IF($C1490="","",R1490*U1490/100)</f>
        <v/>
      </c>
      <c r="W1490" s="7">
        <f>IF($C1490="","",R1490-V1490)</f>
        <v/>
      </c>
      <c r="X1490" s="7">
        <f>IF($C1490="","",W1490-K1490)</f>
        <v/>
      </c>
      <c r="AB1490" s="7" t="n"/>
      <c r="AE1490" s="11" t="n"/>
      <c r="AG1490">
        <f>IF($C1490="","",IF(COUNTIF($C$2:$C1490,$C1490)=1,1,0))</f>
        <v/>
      </c>
      <c r="AH1490">
        <f>IF($AG1490=1,SUMPRODUCT(--($AK$2:$AK$6001&lt;$AK1490))+1,"")</f>
        <v/>
      </c>
      <c r="AI1490">
        <f>IF($C1490="","",IF(OR($N1490=TRUE(),$N1490="TRUE"),1,0))</f>
        <v/>
      </c>
      <c r="AJ1490">
        <f>IF($C1490="","",IF($T1490="Yes",1,0))</f>
        <v/>
      </c>
      <c r="AK1490">
        <f>IF($AG1490=1,IFERROR(IF(VALUE($C1490)&lt;100000000,VALUE($C1490),1000000000),IFERROR(IF(VALUE(MID($C1490,2,20))&lt;100000000,VALUE(MID($C1490,2,20)),1000000000),1000000000))+ROW()/100000,"")</f>
        <v/>
      </c>
    </row>
    <row r="1491">
      <c r="D1491" s="11" t="n"/>
      <c r="K1491" s="7">
        <f>IF($C1491="","",J1491*W1491/100)</f>
        <v/>
      </c>
      <c r="Q1491" s="7" t="n"/>
      <c r="R1491" s="7" t="n"/>
      <c r="U1491">
        <f>IF($C1491="","",IF($AJ1491=1,0,IF($AI1491=1,Settings!$C$6,Settings!$C$7))*100)</f>
        <v/>
      </c>
      <c r="V1491" s="7">
        <f>IF($C1491="","",R1491*U1491/100)</f>
        <v/>
      </c>
      <c r="W1491" s="7">
        <f>IF($C1491="","",R1491-V1491)</f>
        <v/>
      </c>
      <c r="X1491" s="7">
        <f>IF($C1491="","",W1491-K1491)</f>
        <v/>
      </c>
      <c r="AB1491" s="7" t="n"/>
      <c r="AE1491" s="11" t="n"/>
      <c r="AG1491">
        <f>IF($C1491="","",IF(COUNTIF($C$2:$C1491,$C1491)=1,1,0))</f>
        <v/>
      </c>
      <c r="AH1491">
        <f>IF($AG1491=1,SUMPRODUCT(--($AK$2:$AK$6001&lt;$AK1491))+1,"")</f>
        <v/>
      </c>
      <c r="AI1491">
        <f>IF($C1491="","",IF(OR($N1491=TRUE(),$N1491="TRUE"),1,0))</f>
        <v/>
      </c>
      <c r="AJ1491">
        <f>IF($C1491="","",IF($T1491="Yes",1,0))</f>
        <v/>
      </c>
      <c r="AK1491">
        <f>IF($AG1491=1,IFERROR(IF(VALUE($C1491)&lt;100000000,VALUE($C1491),1000000000),IFERROR(IF(VALUE(MID($C1491,2,20))&lt;100000000,VALUE(MID($C1491,2,20)),1000000000),1000000000))+ROW()/100000,"")</f>
        <v/>
      </c>
    </row>
    <row r="1492">
      <c r="D1492" s="11" t="n"/>
      <c r="K1492" s="7">
        <f>IF($C1492="","",J1492*W1492/100)</f>
        <v/>
      </c>
      <c r="Q1492" s="7" t="n"/>
      <c r="R1492" s="7" t="n"/>
      <c r="U1492">
        <f>IF($C1492="","",IF($AJ1492=1,0,IF($AI1492=1,Settings!$C$6,Settings!$C$7))*100)</f>
        <v/>
      </c>
      <c r="V1492" s="7">
        <f>IF($C1492="","",R1492*U1492/100)</f>
        <v/>
      </c>
      <c r="W1492" s="7">
        <f>IF($C1492="","",R1492-V1492)</f>
        <v/>
      </c>
      <c r="X1492" s="7">
        <f>IF($C1492="","",W1492-K1492)</f>
        <v/>
      </c>
      <c r="AB1492" s="7" t="n"/>
      <c r="AE1492" s="11" t="n"/>
      <c r="AG1492">
        <f>IF($C1492="","",IF(COUNTIF($C$2:$C1492,$C1492)=1,1,0))</f>
        <v/>
      </c>
      <c r="AH1492">
        <f>IF($AG1492=1,SUMPRODUCT(--($AK$2:$AK$6001&lt;$AK1492))+1,"")</f>
        <v/>
      </c>
      <c r="AI1492">
        <f>IF($C1492="","",IF(OR($N1492=TRUE(),$N1492="TRUE"),1,0))</f>
        <v/>
      </c>
      <c r="AJ1492">
        <f>IF($C1492="","",IF($T1492="Yes",1,0))</f>
        <v/>
      </c>
      <c r="AK1492">
        <f>IF($AG1492=1,IFERROR(IF(VALUE($C1492)&lt;100000000,VALUE($C1492),1000000000),IFERROR(IF(VALUE(MID($C1492,2,20))&lt;100000000,VALUE(MID($C1492,2,20)),1000000000),1000000000))+ROW()/100000,"")</f>
        <v/>
      </c>
    </row>
    <row r="1493">
      <c r="D1493" s="11" t="n"/>
      <c r="K1493" s="7">
        <f>IF($C1493="","",J1493*W1493/100)</f>
        <v/>
      </c>
      <c r="Q1493" s="7" t="n"/>
      <c r="R1493" s="7" t="n"/>
      <c r="U1493">
        <f>IF($C1493="","",IF($AJ1493=1,0,IF($AI1493=1,Settings!$C$6,Settings!$C$7))*100)</f>
        <v/>
      </c>
      <c r="V1493" s="7">
        <f>IF($C1493="","",R1493*U1493/100)</f>
        <v/>
      </c>
      <c r="W1493" s="7">
        <f>IF($C1493="","",R1493-V1493)</f>
        <v/>
      </c>
      <c r="X1493" s="7">
        <f>IF($C1493="","",W1493-K1493)</f>
        <v/>
      </c>
      <c r="AB1493" s="7" t="n"/>
      <c r="AE1493" s="11" t="n"/>
      <c r="AG1493">
        <f>IF($C1493="","",IF(COUNTIF($C$2:$C1493,$C1493)=1,1,0))</f>
        <v/>
      </c>
      <c r="AH1493">
        <f>IF($AG1493=1,SUMPRODUCT(--($AK$2:$AK$6001&lt;$AK1493))+1,"")</f>
        <v/>
      </c>
      <c r="AI1493">
        <f>IF($C1493="","",IF(OR($N1493=TRUE(),$N1493="TRUE"),1,0))</f>
        <v/>
      </c>
      <c r="AJ1493">
        <f>IF($C1493="","",IF($T1493="Yes",1,0))</f>
        <v/>
      </c>
      <c r="AK1493">
        <f>IF($AG1493=1,IFERROR(IF(VALUE($C1493)&lt;100000000,VALUE($C1493),1000000000),IFERROR(IF(VALUE(MID($C1493,2,20))&lt;100000000,VALUE(MID($C1493,2,20)),1000000000),1000000000))+ROW()/100000,"")</f>
        <v/>
      </c>
    </row>
    <row r="1494">
      <c r="D1494" s="11" t="n"/>
      <c r="K1494" s="7">
        <f>IF($C1494="","",J1494*W1494/100)</f>
        <v/>
      </c>
      <c r="Q1494" s="7" t="n"/>
      <c r="R1494" s="7" t="n"/>
      <c r="U1494">
        <f>IF($C1494="","",IF($AJ1494=1,0,IF($AI1494=1,Settings!$C$6,Settings!$C$7))*100)</f>
        <v/>
      </c>
      <c r="V1494" s="7">
        <f>IF($C1494="","",R1494*U1494/100)</f>
        <v/>
      </c>
      <c r="W1494" s="7">
        <f>IF($C1494="","",R1494-V1494)</f>
        <v/>
      </c>
      <c r="X1494" s="7">
        <f>IF($C1494="","",W1494-K1494)</f>
        <v/>
      </c>
      <c r="AB1494" s="7" t="n"/>
      <c r="AE1494" s="11" t="n"/>
      <c r="AG1494">
        <f>IF($C1494="","",IF(COUNTIF($C$2:$C1494,$C1494)=1,1,0))</f>
        <v/>
      </c>
      <c r="AH1494">
        <f>IF($AG1494=1,SUMPRODUCT(--($AK$2:$AK$6001&lt;$AK1494))+1,"")</f>
        <v/>
      </c>
      <c r="AI1494">
        <f>IF($C1494="","",IF(OR($N1494=TRUE(),$N1494="TRUE"),1,0))</f>
        <v/>
      </c>
      <c r="AJ1494">
        <f>IF($C1494="","",IF($T1494="Yes",1,0))</f>
        <v/>
      </c>
      <c r="AK1494">
        <f>IF($AG1494=1,IFERROR(IF(VALUE($C1494)&lt;100000000,VALUE($C1494),1000000000),IFERROR(IF(VALUE(MID($C1494,2,20))&lt;100000000,VALUE(MID($C1494,2,20)),1000000000),1000000000))+ROW()/100000,"")</f>
        <v/>
      </c>
    </row>
    <row r="1495">
      <c r="D1495" s="11" t="n"/>
      <c r="K1495" s="7">
        <f>IF($C1495="","",J1495*W1495/100)</f>
        <v/>
      </c>
      <c r="Q1495" s="7" t="n"/>
      <c r="R1495" s="7" t="n"/>
      <c r="U1495">
        <f>IF($C1495="","",IF($AJ1495=1,0,IF($AI1495=1,Settings!$C$6,Settings!$C$7))*100)</f>
        <v/>
      </c>
      <c r="V1495" s="7">
        <f>IF($C1495="","",R1495*U1495/100)</f>
        <v/>
      </c>
      <c r="W1495" s="7">
        <f>IF($C1495="","",R1495-V1495)</f>
        <v/>
      </c>
      <c r="X1495" s="7">
        <f>IF($C1495="","",W1495-K1495)</f>
        <v/>
      </c>
      <c r="AB1495" s="7" t="n"/>
      <c r="AE1495" s="11" t="n"/>
      <c r="AG1495">
        <f>IF($C1495="","",IF(COUNTIF($C$2:$C1495,$C1495)=1,1,0))</f>
        <v/>
      </c>
      <c r="AH1495">
        <f>IF($AG1495=1,SUMPRODUCT(--($AK$2:$AK$6001&lt;$AK1495))+1,"")</f>
        <v/>
      </c>
      <c r="AI1495">
        <f>IF($C1495="","",IF(OR($N1495=TRUE(),$N1495="TRUE"),1,0))</f>
        <v/>
      </c>
      <c r="AJ1495">
        <f>IF($C1495="","",IF($T1495="Yes",1,0))</f>
        <v/>
      </c>
      <c r="AK1495">
        <f>IF($AG1495=1,IFERROR(IF(VALUE($C1495)&lt;100000000,VALUE($C1495),1000000000),IFERROR(IF(VALUE(MID($C1495,2,20))&lt;100000000,VALUE(MID($C1495,2,20)),1000000000),1000000000))+ROW()/100000,"")</f>
        <v/>
      </c>
    </row>
    <row r="1496">
      <c r="D1496" s="11" t="n"/>
      <c r="K1496" s="7">
        <f>IF($C1496="","",J1496*W1496/100)</f>
        <v/>
      </c>
      <c r="Q1496" s="7" t="n"/>
      <c r="R1496" s="7" t="n"/>
      <c r="U1496">
        <f>IF($C1496="","",IF($AJ1496=1,0,IF($AI1496=1,Settings!$C$6,Settings!$C$7))*100)</f>
        <v/>
      </c>
      <c r="V1496" s="7">
        <f>IF($C1496="","",R1496*U1496/100)</f>
        <v/>
      </c>
      <c r="W1496" s="7">
        <f>IF($C1496="","",R1496-V1496)</f>
        <v/>
      </c>
      <c r="X1496" s="7">
        <f>IF($C1496="","",W1496-K1496)</f>
        <v/>
      </c>
      <c r="AB1496" s="7" t="n"/>
      <c r="AE1496" s="11" t="n"/>
      <c r="AG1496">
        <f>IF($C1496="","",IF(COUNTIF($C$2:$C1496,$C1496)=1,1,0))</f>
        <v/>
      </c>
      <c r="AH1496">
        <f>IF($AG1496=1,SUMPRODUCT(--($AK$2:$AK$6001&lt;$AK1496))+1,"")</f>
        <v/>
      </c>
      <c r="AI1496">
        <f>IF($C1496="","",IF(OR($N1496=TRUE(),$N1496="TRUE"),1,0))</f>
        <v/>
      </c>
      <c r="AJ1496">
        <f>IF($C1496="","",IF($T1496="Yes",1,0))</f>
        <v/>
      </c>
      <c r="AK1496">
        <f>IF($AG1496=1,IFERROR(IF(VALUE($C1496)&lt;100000000,VALUE($C1496),1000000000),IFERROR(IF(VALUE(MID($C1496,2,20))&lt;100000000,VALUE(MID($C1496,2,20)),1000000000),1000000000))+ROW()/100000,"")</f>
        <v/>
      </c>
    </row>
    <row r="1497">
      <c r="D1497" s="11" t="n"/>
      <c r="K1497" s="7">
        <f>IF($C1497="","",J1497*W1497/100)</f>
        <v/>
      </c>
      <c r="Q1497" s="7" t="n"/>
      <c r="R1497" s="7" t="n"/>
      <c r="U1497">
        <f>IF($C1497="","",IF($AJ1497=1,0,IF($AI1497=1,Settings!$C$6,Settings!$C$7))*100)</f>
        <v/>
      </c>
      <c r="V1497" s="7">
        <f>IF($C1497="","",R1497*U1497/100)</f>
        <v/>
      </c>
      <c r="W1497" s="7">
        <f>IF($C1497="","",R1497-V1497)</f>
        <v/>
      </c>
      <c r="X1497" s="7">
        <f>IF($C1497="","",W1497-K1497)</f>
        <v/>
      </c>
      <c r="AB1497" s="7" t="n"/>
      <c r="AE1497" s="11" t="n"/>
      <c r="AG1497">
        <f>IF($C1497="","",IF(COUNTIF($C$2:$C1497,$C1497)=1,1,0))</f>
        <v/>
      </c>
      <c r="AH1497">
        <f>IF($AG1497=1,SUMPRODUCT(--($AK$2:$AK$6001&lt;$AK1497))+1,"")</f>
        <v/>
      </c>
      <c r="AI1497">
        <f>IF($C1497="","",IF(OR($N1497=TRUE(),$N1497="TRUE"),1,0))</f>
        <v/>
      </c>
      <c r="AJ1497">
        <f>IF($C1497="","",IF($T1497="Yes",1,0))</f>
        <v/>
      </c>
      <c r="AK1497">
        <f>IF($AG1497=1,IFERROR(IF(VALUE($C1497)&lt;100000000,VALUE($C1497),1000000000),IFERROR(IF(VALUE(MID($C1497,2,20))&lt;100000000,VALUE(MID($C1497,2,20)),1000000000),1000000000))+ROW()/100000,"")</f>
        <v/>
      </c>
    </row>
    <row r="1498">
      <c r="D1498" s="11" t="n"/>
      <c r="K1498" s="7">
        <f>IF($C1498="","",J1498*W1498/100)</f>
        <v/>
      </c>
      <c r="Q1498" s="7" t="n"/>
      <c r="R1498" s="7" t="n"/>
      <c r="U1498">
        <f>IF($C1498="","",IF($AJ1498=1,0,IF($AI1498=1,Settings!$C$6,Settings!$C$7))*100)</f>
        <v/>
      </c>
      <c r="V1498" s="7">
        <f>IF($C1498="","",R1498*U1498/100)</f>
        <v/>
      </c>
      <c r="W1498" s="7">
        <f>IF($C1498="","",R1498-V1498)</f>
        <v/>
      </c>
      <c r="X1498" s="7">
        <f>IF($C1498="","",W1498-K1498)</f>
        <v/>
      </c>
      <c r="AB1498" s="7" t="n"/>
      <c r="AE1498" s="11" t="n"/>
      <c r="AG1498">
        <f>IF($C1498="","",IF(COUNTIF($C$2:$C1498,$C1498)=1,1,0))</f>
        <v/>
      </c>
      <c r="AH1498">
        <f>IF($AG1498=1,SUMPRODUCT(--($AK$2:$AK$6001&lt;$AK1498))+1,"")</f>
        <v/>
      </c>
      <c r="AI1498">
        <f>IF($C1498="","",IF(OR($N1498=TRUE(),$N1498="TRUE"),1,0))</f>
        <v/>
      </c>
      <c r="AJ1498">
        <f>IF($C1498="","",IF($T1498="Yes",1,0))</f>
        <v/>
      </c>
      <c r="AK1498">
        <f>IF($AG1498=1,IFERROR(IF(VALUE($C1498)&lt;100000000,VALUE($C1498),1000000000),IFERROR(IF(VALUE(MID($C1498,2,20))&lt;100000000,VALUE(MID($C1498,2,20)),1000000000),1000000000))+ROW()/100000,"")</f>
        <v/>
      </c>
    </row>
    <row r="1499">
      <c r="D1499" s="11" t="n"/>
      <c r="K1499" s="7">
        <f>IF($C1499="","",J1499*W1499/100)</f>
        <v/>
      </c>
      <c r="Q1499" s="7" t="n"/>
      <c r="R1499" s="7" t="n"/>
      <c r="U1499">
        <f>IF($C1499="","",IF($AJ1499=1,0,IF($AI1499=1,Settings!$C$6,Settings!$C$7))*100)</f>
        <v/>
      </c>
      <c r="V1499" s="7">
        <f>IF($C1499="","",R1499*U1499/100)</f>
        <v/>
      </c>
      <c r="W1499" s="7">
        <f>IF($C1499="","",R1499-V1499)</f>
        <v/>
      </c>
      <c r="X1499" s="7">
        <f>IF($C1499="","",W1499-K1499)</f>
        <v/>
      </c>
      <c r="AB1499" s="7" t="n"/>
      <c r="AE1499" s="11" t="n"/>
      <c r="AG1499">
        <f>IF($C1499="","",IF(COUNTIF($C$2:$C1499,$C1499)=1,1,0))</f>
        <v/>
      </c>
      <c r="AH1499">
        <f>IF($AG1499=1,SUMPRODUCT(--($AK$2:$AK$6001&lt;$AK1499))+1,"")</f>
        <v/>
      </c>
      <c r="AI1499">
        <f>IF($C1499="","",IF(OR($N1499=TRUE(),$N1499="TRUE"),1,0))</f>
        <v/>
      </c>
      <c r="AJ1499">
        <f>IF($C1499="","",IF($T1499="Yes",1,0))</f>
        <v/>
      </c>
      <c r="AK1499">
        <f>IF($AG1499=1,IFERROR(IF(VALUE($C1499)&lt;100000000,VALUE($C1499),1000000000),IFERROR(IF(VALUE(MID($C1499,2,20))&lt;100000000,VALUE(MID($C1499,2,20)),1000000000),1000000000))+ROW()/100000,"")</f>
        <v/>
      </c>
    </row>
    <row r="1500">
      <c r="D1500" s="11" t="n"/>
      <c r="K1500" s="7">
        <f>IF($C1500="","",J1500*W1500/100)</f>
        <v/>
      </c>
      <c r="Q1500" s="7" t="n"/>
      <c r="R1500" s="7" t="n"/>
      <c r="U1500">
        <f>IF($C1500="","",IF($AJ1500=1,0,IF($AI1500=1,Settings!$C$6,Settings!$C$7))*100)</f>
        <v/>
      </c>
      <c r="V1500" s="7">
        <f>IF($C1500="","",R1500*U1500/100)</f>
        <v/>
      </c>
      <c r="W1500" s="7">
        <f>IF($C1500="","",R1500-V1500)</f>
        <v/>
      </c>
      <c r="X1500" s="7">
        <f>IF($C1500="","",W1500-K1500)</f>
        <v/>
      </c>
      <c r="AB1500" s="7" t="n"/>
      <c r="AE1500" s="11" t="n"/>
      <c r="AG1500">
        <f>IF($C1500="","",IF(COUNTIF($C$2:$C1500,$C1500)=1,1,0))</f>
        <v/>
      </c>
      <c r="AH1500">
        <f>IF($AG1500=1,SUMPRODUCT(--($AK$2:$AK$6001&lt;$AK1500))+1,"")</f>
        <v/>
      </c>
      <c r="AI1500">
        <f>IF($C1500="","",IF(OR($N1500=TRUE(),$N1500="TRUE"),1,0))</f>
        <v/>
      </c>
      <c r="AJ1500">
        <f>IF($C1500="","",IF($T1500="Yes",1,0))</f>
        <v/>
      </c>
      <c r="AK1500">
        <f>IF($AG1500=1,IFERROR(IF(VALUE($C1500)&lt;100000000,VALUE($C1500),1000000000),IFERROR(IF(VALUE(MID($C1500,2,20))&lt;100000000,VALUE(MID($C1500,2,20)),1000000000),1000000000))+ROW()/100000,"")</f>
        <v/>
      </c>
    </row>
    <row r="1501">
      <c r="D1501" s="11" t="n"/>
      <c r="K1501" s="7">
        <f>IF($C1501="","",J1501*W1501/100)</f>
        <v/>
      </c>
      <c r="Q1501" s="7" t="n"/>
      <c r="R1501" s="7" t="n"/>
      <c r="U1501">
        <f>IF($C1501="","",IF($AJ1501=1,0,IF($AI1501=1,Settings!$C$6,Settings!$C$7))*100)</f>
        <v/>
      </c>
      <c r="V1501" s="7">
        <f>IF($C1501="","",R1501*U1501/100)</f>
        <v/>
      </c>
      <c r="W1501" s="7">
        <f>IF($C1501="","",R1501-V1501)</f>
        <v/>
      </c>
      <c r="X1501" s="7">
        <f>IF($C1501="","",W1501-K1501)</f>
        <v/>
      </c>
      <c r="AB1501" s="7" t="n"/>
      <c r="AE1501" s="11" t="n"/>
      <c r="AG1501">
        <f>IF($C1501="","",IF(COUNTIF($C$2:$C1501,$C1501)=1,1,0))</f>
        <v/>
      </c>
      <c r="AH1501">
        <f>IF($AG1501=1,SUMPRODUCT(--($AK$2:$AK$6001&lt;$AK1501))+1,"")</f>
        <v/>
      </c>
      <c r="AI1501">
        <f>IF($C1501="","",IF(OR($N1501=TRUE(),$N1501="TRUE"),1,0))</f>
        <v/>
      </c>
      <c r="AJ1501">
        <f>IF($C1501="","",IF($T1501="Yes",1,0))</f>
        <v/>
      </c>
      <c r="AK1501">
        <f>IF($AG1501=1,IFERROR(IF(VALUE($C1501)&lt;100000000,VALUE($C1501),1000000000),IFERROR(IF(VALUE(MID($C1501,2,20))&lt;100000000,VALUE(MID($C1501,2,20)),1000000000),1000000000))+ROW()/100000,"")</f>
        <v/>
      </c>
    </row>
    <row r="1502">
      <c r="D1502" s="11" t="n"/>
      <c r="K1502" s="7">
        <f>IF($C1502="","",J1502*W1502/100)</f>
        <v/>
      </c>
      <c r="Q1502" s="7" t="n"/>
      <c r="R1502" s="7" t="n"/>
      <c r="U1502">
        <f>IF($C1502="","",IF($AJ1502=1,0,IF($AI1502=1,Settings!$C$6,Settings!$C$7))*100)</f>
        <v/>
      </c>
      <c r="V1502" s="7">
        <f>IF($C1502="","",R1502*U1502/100)</f>
        <v/>
      </c>
      <c r="W1502" s="7">
        <f>IF($C1502="","",R1502-V1502)</f>
        <v/>
      </c>
      <c r="X1502" s="7">
        <f>IF($C1502="","",W1502-K1502)</f>
        <v/>
      </c>
      <c r="AB1502" s="7" t="n"/>
      <c r="AE1502" s="11" t="n"/>
      <c r="AG1502">
        <f>IF($C1502="","",IF(COUNTIF($C$2:$C1502,$C1502)=1,1,0))</f>
        <v/>
      </c>
      <c r="AH1502">
        <f>IF($AG1502=1,SUMPRODUCT(--($AK$2:$AK$6001&lt;$AK1502))+1,"")</f>
        <v/>
      </c>
      <c r="AI1502">
        <f>IF($C1502="","",IF(OR($N1502=TRUE(),$N1502="TRUE"),1,0))</f>
        <v/>
      </c>
      <c r="AJ1502">
        <f>IF($C1502="","",IF($T1502="Yes",1,0))</f>
        <v/>
      </c>
      <c r="AK1502">
        <f>IF($AG1502=1,IFERROR(IF(VALUE($C1502)&lt;100000000,VALUE($C1502),1000000000),IFERROR(IF(VALUE(MID($C1502,2,20))&lt;100000000,VALUE(MID($C1502,2,20)),1000000000),1000000000))+ROW()/100000,"")</f>
        <v/>
      </c>
    </row>
    <row r="1503">
      <c r="D1503" s="11" t="n"/>
      <c r="K1503" s="7">
        <f>IF($C1503="","",J1503*W1503/100)</f>
        <v/>
      </c>
      <c r="Q1503" s="7" t="n"/>
      <c r="R1503" s="7" t="n"/>
      <c r="U1503">
        <f>IF($C1503="","",IF($AJ1503=1,0,IF($AI1503=1,Settings!$C$6,Settings!$C$7))*100)</f>
        <v/>
      </c>
      <c r="V1503" s="7">
        <f>IF($C1503="","",R1503*U1503/100)</f>
        <v/>
      </c>
      <c r="W1503" s="7">
        <f>IF($C1503="","",R1503-V1503)</f>
        <v/>
      </c>
      <c r="X1503" s="7">
        <f>IF($C1503="","",W1503-K1503)</f>
        <v/>
      </c>
      <c r="AB1503" s="7" t="n"/>
      <c r="AE1503" s="11" t="n"/>
      <c r="AG1503">
        <f>IF($C1503="","",IF(COUNTIF($C$2:$C1503,$C1503)=1,1,0))</f>
        <v/>
      </c>
      <c r="AH1503">
        <f>IF($AG1503=1,SUMPRODUCT(--($AK$2:$AK$6001&lt;$AK1503))+1,"")</f>
        <v/>
      </c>
      <c r="AI1503">
        <f>IF($C1503="","",IF(OR($N1503=TRUE(),$N1503="TRUE"),1,0))</f>
        <v/>
      </c>
      <c r="AJ1503">
        <f>IF($C1503="","",IF($T1503="Yes",1,0))</f>
        <v/>
      </c>
      <c r="AK1503">
        <f>IF($AG1503=1,IFERROR(IF(VALUE($C1503)&lt;100000000,VALUE($C1503),1000000000),IFERROR(IF(VALUE(MID($C1503,2,20))&lt;100000000,VALUE(MID($C1503,2,20)),1000000000),1000000000))+ROW()/100000,"")</f>
        <v/>
      </c>
    </row>
    <row r="1504">
      <c r="D1504" s="11" t="n"/>
      <c r="K1504" s="7">
        <f>IF($C1504="","",J1504*W1504/100)</f>
        <v/>
      </c>
      <c r="Q1504" s="7" t="n"/>
      <c r="R1504" s="7" t="n"/>
      <c r="U1504">
        <f>IF($C1504="","",IF($AJ1504=1,0,IF($AI1504=1,Settings!$C$6,Settings!$C$7))*100)</f>
        <v/>
      </c>
      <c r="V1504" s="7">
        <f>IF($C1504="","",R1504*U1504/100)</f>
        <v/>
      </c>
      <c r="W1504" s="7">
        <f>IF($C1504="","",R1504-V1504)</f>
        <v/>
      </c>
      <c r="X1504" s="7">
        <f>IF($C1504="","",W1504-K1504)</f>
        <v/>
      </c>
      <c r="AB1504" s="7" t="n"/>
      <c r="AE1504" s="11" t="n"/>
      <c r="AG1504">
        <f>IF($C1504="","",IF(COUNTIF($C$2:$C1504,$C1504)=1,1,0))</f>
        <v/>
      </c>
      <c r="AH1504">
        <f>IF($AG1504=1,SUMPRODUCT(--($AK$2:$AK$6001&lt;$AK1504))+1,"")</f>
        <v/>
      </c>
      <c r="AI1504">
        <f>IF($C1504="","",IF(OR($N1504=TRUE(),$N1504="TRUE"),1,0))</f>
        <v/>
      </c>
      <c r="AJ1504">
        <f>IF($C1504="","",IF($T1504="Yes",1,0))</f>
        <v/>
      </c>
      <c r="AK1504">
        <f>IF($AG1504=1,IFERROR(IF(VALUE($C1504)&lt;100000000,VALUE($C1504),1000000000),IFERROR(IF(VALUE(MID($C1504,2,20))&lt;100000000,VALUE(MID($C1504,2,20)),1000000000),1000000000))+ROW()/100000,"")</f>
        <v/>
      </c>
    </row>
    <row r="1505">
      <c r="D1505" s="11" t="n"/>
      <c r="K1505" s="7">
        <f>IF($C1505="","",J1505*W1505/100)</f>
        <v/>
      </c>
      <c r="Q1505" s="7" t="n"/>
      <c r="R1505" s="7" t="n"/>
      <c r="U1505">
        <f>IF($C1505="","",IF($AJ1505=1,0,IF($AI1505=1,Settings!$C$6,Settings!$C$7))*100)</f>
        <v/>
      </c>
      <c r="V1505" s="7">
        <f>IF($C1505="","",R1505*U1505/100)</f>
        <v/>
      </c>
      <c r="W1505" s="7">
        <f>IF($C1505="","",R1505-V1505)</f>
        <v/>
      </c>
      <c r="X1505" s="7">
        <f>IF($C1505="","",W1505-K1505)</f>
        <v/>
      </c>
      <c r="AB1505" s="7" t="n"/>
      <c r="AE1505" s="11" t="n"/>
      <c r="AG1505">
        <f>IF($C1505="","",IF(COUNTIF($C$2:$C1505,$C1505)=1,1,0))</f>
        <v/>
      </c>
      <c r="AH1505">
        <f>IF($AG1505=1,SUMPRODUCT(--($AK$2:$AK$6001&lt;$AK1505))+1,"")</f>
        <v/>
      </c>
      <c r="AI1505">
        <f>IF($C1505="","",IF(OR($N1505=TRUE(),$N1505="TRUE"),1,0))</f>
        <v/>
      </c>
      <c r="AJ1505">
        <f>IF($C1505="","",IF($T1505="Yes",1,0))</f>
        <v/>
      </c>
      <c r="AK1505">
        <f>IF($AG1505=1,IFERROR(IF(VALUE($C1505)&lt;100000000,VALUE($C1505),1000000000),IFERROR(IF(VALUE(MID($C1505,2,20))&lt;100000000,VALUE(MID($C1505,2,20)),1000000000),1000000000))+ROW()/100000,"")</f>
        <v/>
      </c>
    </row>
    <row r="1506">
      <c r="D1506" s="11" t="n"/>
      <c r="K1506" s="7">
        <f>IF($C1506="","",J1506*W1506/100)</f>
        <v/>
      </c>
      <c r="Q1506" s="7" t="n"/>
      <c r="R1506" s="7" t="n"/>
      <c r="U1506">
        <f>IF($C1506="","",IF($AJ1506=1,0,IF($AI1506=1,Settings!$C$6,Settings!$C$7))*100)</f>
        <v/>
      </c>
      <c r="V1506" s="7">
        <f>IF($C1506="","",R1506*U1506/100)</f>
        <v/>
      </c>
      <c r="W1506" s="7">
        <f>IF($C1506="","",R1506-V1506)</f>
        <v/>
      </c>
      <c r="X1506" s="7">
        <f>IF($C1506="","",W1506-K1506)</f>
        <v/>
      </c>
      <c r="AB1506" s="7" t="n"/>
      <c r="AE1506" s="11" t="n"/>
      <c r="AG1506">
        <f>IF($C1506="","",IF(COUNTIF($C$2:$C1506,$C1506)=1,1,0))</f>
        <v/>
      </c>
      <c r="AH1506">
        <f>IF($AG1506=1,SUMPRODUCT(--($AK$2:$AK$6001&lt;$AK1506))+1,"")</f>
        <v/>
      </c>
      <c r="AI1506">
        <f>IF($C1506="","",IF(OR($N1506=TRUE(),$N1506="TRUE"),1,0))</f>
        <v/>
      </c>
      <c r="AJ1506">
        <f>IF($C1506="","",IF($T1506="Yes",1,0))</f>
        <v/>
      </c>
      <c r="AK1506">
        <f>IF($AG1506=1,IFERROR(IF(VALUE($C1506)&lt;100000000,VALUE($C1506),1000000000),IFERROR(IF(VALUE(MID($C1506,2,20))&lt;100000000,VALUE(MID($C1506,2,20)),1000000000),1000000000))+ROW()/100000,"")</f>
        <v/>
      </c>
    </row>
    <row r="1507">
      <c r="D1507" s="11" t="n"/>
      <c r="K1507" s="7">
        <f>IF($C1507="","",J1507*W1507/100)</f>
        <v/>
      </c>
      <c r="Q1507" s="7" t="n"/>
      <c r="R1507" s="7" t="n"/>
      <c r="U1507">
        <f>IF($C1507="","",IF($AJ1507=1,0,IF($AI1507=1,Settings!$C$6,Settings!$C$7))*100)</f>
        <v/>
      </c>
      <c r="V1507" s="7">
        <f>IF($C1507="","",R1507*U1507/100)</f>
        <v/>
      </c>
      <c r="W1507" s="7">
        <f>IF($C1507="","",R1507-V1507)</f>
        <v/>
      </c>
      <c r="X1507" s="7">
        <f>IF($C1507="","",W1507-K1507)</f>
        <v/>
      </c>
      <c r="AB1507" s="7" t="n"/>
      <c r="AE1507" s="11" t="n"/>
      <c r="AG1507">
        <f>IF($C1507="","",IF(COUNTIF($C$2:$C1507,$C1507)=1,1,0))</f>
        <v/>
      </c>
      <c r="AH1507">
        <f>IF($AG1507=1,SUMPRODUCT(--($AK$2:$AK$6001&lt;$AK1507))+1,"")</f>
        <v/>
      </c>
      <c r="AI1507">
        <f>IF($C1507="","",IF(OR($N1507=TRUE(),$N1507="TRUE"),1,0))</f>
        <v/>
      </c>
      <c r="AJ1507">
        <f>IF($C1507="","",IF($T1507="Yes",1,0))</f>
        <v/>
      </c>
      <c r="AK1507">
        <f>IF($AG1507=1,IFERROR(IF(VALUE($C1507)&lt;100000000,VALUE($C1507),1000000000),IFERROR(IF(VALUE(MID($C1507,2,20))&lt;100000000,VALUE(MID($C1507,2,20)),1000000000),1000000000))+ROW()/100000,"")</f>
        <v/>
      </c>
    </row>
    <row r="1508">
      <c r="D1508" s="11" t="n"/>
      <c r="K1508" s="7">
        <f>IF($C1508="","",J1508*W1508/100)</f>
        <v/>
      </c>
      <c r="Q1508" s="7" t="n"/>
      <c r="R1508" s="7" t="n"/>
      <c r="U1508">
        <f>IF($C1508="","",IF($AJ1508=1,0,IF($AI1508=1,Settings!$C$6,Settings!$C$7))*100)</f>
        <v/>
      </c>
      <c r="V1508" s="7">
        <f>IF($C1508="","",R1508*U1508/100)</f>
        <v/>
      </c>
      <c r="W1508" s="7">
        <f>IF($C1508="","",R1508-V1508)</f>
        <v/>
      </c>
      <c r="X1508" s="7">
        <f>IF($C1508="","",W1508-K1508)</f>
        <v/>
      </c>
      <c r="AB1508" s="7" t="n"/>
      <c r="AE1508" s="11" t="n"/>
      <c r="AG1508">
        <f>IF($C1508="","",IF(COUNTIF($C$2:$C1508,$C1508)=1,1,0))</f>
        <v/>
      </c>
      <c r="AH1508">
        <f>IF($AG1508=1,SUMPRODUCT(--($AK$2:$AK$6001&lt;$AK1508))+1,"")</f>
        <v/>
      </c>
      <c r="AI1508">
        <f>IF($C1508="","",IF(OR($N1508=TRUE(),$N1508="TRUE"),1,0))</f>
        <v/>
      </c>
      <c r="AJ1508">
        <f>IF($C1508="","",IF($T1508="Yes",1,0))</f>
        <v/>
      </c>
      <c r="AK1508">
        <f>IF($AG1508=1,IFERROR(IF(VALUE($C1508)&lt;100000000,VALUE($C1508),1000000000),IFERROR(IF(VALUE(MID($C1508,2,20))&lt;100000000,VALUE(MID($C1508,2,20)),1000000000),1000000000))+ROW()/100000,"")</f>
        <v/>
      </c>
    </row>
    <row r="1509">
      <c r="D1509" s="11" t="n"/>
      <c r="K1509" s="7">
        <f>IF($C1509="","",J1509*W1509/100)</f>
        <v/>
      </c>
      <c r="Q1509" s="7" t="n"/>
      <c r="R1509" s="7" t="n"/>
      <c r="U1509">
        <f>IF($C1509="","",IF($AJ1509=1,0,IF($AI1509=1,Settings!$C$6,Settings!$C$7))*100)</f>
        <v/>
      </c>
      <c r="V1509" s="7">
        <f>IF($C1509="","",R1509*U1509/100)</f>
        <v/>
      </c>
      <c r="W1509" s="7">
        <f>IF($C1509="","",R1509-V1509)</f>
        <v/>
      </c>
      <c r="X1509" s="7">
        <f>IF($C1509="","",W1509-K1509)</f>
        <v/>
      </c>
      <c r="AB1509" s="7" t="n"/>
      <c r="AE1509" s="11" t="n"/>
      <c r="AG1509">
        <f>IF($C1509="","",IF(COUNTIF($C$2:$C1509,$C1509)=1,1,0))</f>
        <v/>
      </c>
      <c r="AH1509">
        <f>IF($AG1509=1,SUMPRODUCT(--($AK$2:$AK$6001&lt;$AK1509))+1,"")</f>
        <v/>
      </c>
      <c r="AI1509">
        <f>IF($C1509="","",IF(OR($N1509=TRUE(),$N1509="TRUE"),1,0))</f>
        <v/>
      </c>
      <c r="AJ1509">
        <f>IF($C1509="","",IF($T1509="Yes",1,0))</f>
        <v/>
      </c>
      <c r="AK1509">
        <f>IF($AG1509=1,IFERROR(IF(VALUE($C1509)&lt;100000000,VALUE($C1509),1000000000),IFERROR(IF(VALUE(MID($C1509,2,20))&lt;100000000,VALUE(MID($C1509,2,20)),1000000000),1000000000))+ROW()/100000,"")</f>
        <v/>
      </c>
    </row>
    <row r="1510">
      <c r="D1510" s="11" t="n"/>
      <c r="K1510" s="7">
        <f>IF($C1510="","",J1510*W1510/100)</f>
        <v/>
      </c>
      <c r="Q1510" s="7" t="n"/>
      <c r="R1510" s="7" t="n"/>
      <c r="U1510">
        <f>IF($C1510="","",IF($AJ1510=1,0,IF($AI1510=1,Settings!$C$6,Settings!$C$7))*100)</f>
        <v/>
      </c>
      <c r="V1510" s="7">
        <f>IF($C1510="","",R1510*U1510/100)</f>
        <v/>
      </c>
      <c r="W1510" s="7">
        <f>IF($C1510="","",R1510-V1510)</f>
        <v/>
      </c>
      <c r="X1510" s="7">
        <f>IF($C1510="","",W1510-K1510)</f>
        <v/>
      </c>
      <c r="AB1510" s="7" t="n"/>
      <c r="AE1510" s="11" t="n"/>
      <c r="AG1510">
        <f>IF($C1510="","",IF(COUNTIF($C$2:$C1510,$C1510)=1,1,0))</f>
        <v/>
      </c>
      <c r="AH1510">
        <f>IF($AG1510=1,SUMPRODUCT(--($AK$2:$AK$6001&lt;$AK1510))+1,"")</f>
        <v/>
      </c>
      <c r="AI1510">
        <f>IF($C1510="","",IF(OR($N1510=TRUE(),$N1510="TRUE"),1,0))</f>
        <v/>
      </c>
      <c r="AJ1510">
        <f>IF($C1510="","",IF($T1510="Yes",1,0))</f>
        <v/>
      </c>
      <c r="AK1510">
        <f>IF($AG1510=1,IFERROR(IF(VALUE($C1510)&lt;100000000,VALUE($C1510),1000000000),IFERROR(IF(VALUE(MID($C1510,2,20))&lt;100000000,VALUE(MID($C1510,2,20)),1000000000),1000000000))+ROW()/100000,"")</f>
        <v/>
      </c>
    </row>
    <row r="1511">
      <c r="D1511" s="11" t="n"/>
      <c r="K1511" s="7">
        <f>IF($C1511="","",J1511*W1511/100)</f>
        <v/>
      </c>
      <c r="Q1511" s="7" t="n"/>
      <c r="R1511" s="7" t="n"/>
      <c r="U1511">
        <f>IF($C1511="","",IF($AJ1511=1,0,IF($AI1511=1,Settings!$C$6,Settings!$C$7))*100)</f>
        <v/>
      </c>
      <c r="V1511" s="7">
        <f>IF($C1511="","",R1511*U1511/100)</f>
        <v/>
      </c>
      <c r="W1511" s="7">
        <f>IF($C1511="","",R1511-V1511)</f>
        <v/>
      </c>
      <c r="X1511" s="7">
        <f>IF($C1511="","",W1511-K1511)</f>
        <v/>
      </c>
      <c r="AB1511" s="7" t="n"/>
      <c r="AE1511" s="11" t="n"/>
      <c r="AG1511">
        <f>IF($C1511="","",IF(COUNTIF($C$2:$C1511,$C1511)=1,1,0))</f>
        <v/>
      </c>
      <c r="AH1511">
        <f>IF($AG1511=1,SUMPRODUCT(--($AK$2:$AK$6001&lt;$AK1511))+1,"")</f>
        <v/>
      </c>
      <c r="AI1511">
        <f>IF($C1511="","",IF(OR($N1511=TRUE(),$N1511="TRUE"),1,0))</f>
        <v/>
      </c>
      <c r="AJ1511">
        <f>IF($C1511="","",IF($T1511="Yes",1,0))</f>
        <v/>
      </c>
      <c r="AK1511">
        <f>IF($AG1511=1,IFERROR(IF(VALUE($C1511)&lt;100000000,VALUE($C1511),1000000000),IFERROR(IF(VALUE(MID($C1511,2,20))&lt;100000000,VALUE(MID($C1511,2,20)),1000000000),1000000000))+ROW()/100000,"")</f>
        <v/>
      </c>
    </row>
    <row r="1512">
      <c r="D1512" s="11" t="n"/>
      <c r="K1512" s="7">
        <f>IF($C1512="","",J1512*W1512/100)</f>
        <v/>
      </c>
      <c r="Q1512" s="7" t="n"/>
      <c r="R1512" s="7" t="n"/>
      <c r="U1512">
        <f>IF($C1512="","",IF($AJ1512=1,0,IF($AI1512=1,Settings!$C$6,Settings!$C$7))*100)</f>
        <v/>
      </c>
      <c r="V1512" s="7">
        <f>IF($C1512="","",R1512*U1512/100)</f>
        <v/>
      </c>
      <c r="W1512" s="7">
        <f>IF($C1512="","",R1512-V1512)</f>
        <v/>
      </c>
      <c r="X1512" s="7">
        <f>IF($C1512="","",W1512-K1512)</f>
        <v/>
      </c>
      <c r="AB1512" s="7" t="n"/>
      <c r="AE1512" s="11" t="n"/>
      <c r="AG1512">
        <f>IF($C1512="","",IF(COUNTIF($C$2:$C1512,$C1512)=1,1,0))</f>
        <v/>
      </c>
      <c r="AH1512">
        <f>IF($AG1512=1,SUMPRODUCT(--($AK$2:$AK$6001&lt;$AK1512))+1,"")</f>
        <v/>
      </c>
      <c r="AI1512">
        <f>IF($C1512="","",IF(OR($N1512=TRUE(),$N1512="TRUE"),1,0))</f>
        <v/>
      </c>
      <c r="AJ1512">
        <f>IF($C1512="","",IF($T1512="Yes",1,0))</f>
        <v/>
      </c>
      <c r="AK1512">
        <f>IF($AG1512=1,IFERROR(IF(VALUE($C1512)&lt;100000000,VALUE($C1512),1000000000),IFERROR(IF(VALUE(MID($C1512,2,20))&lt;100000000,VALUE(MID($C1512,2,20)),1000000000),1000000000))+ROW()/100000,"")</f>
        <v/>
      </c>
    </row>
    <row r="1513">
      <c r="D1513" s="11" t="n"/>
      <c r="K1513" s="7">
        <f>IF($C1513="","",J1513*W1513/100)</f>
        <v/>
      </c>
      <c r="Q1513" s="7" t="n"/>
      <c r="R1513" s="7" t="n"/>
      <c r="U1513">
        <f>IF($C1513="","",IF($AJ1513=1,0,IF($AI1513=1,Settings!$C$6,Settings!$C$7))*100)</f>
        <v/>
      </c>
      <c r="V1513" s="7">
        <f>IF($C1513="","",R1513*U1513/100)</f>
        <v/>
      </c>
      <c r="W1513" s="7">
        <f>IF($C1513="","",R1513-V1513)</f>
        <v/>
      </c>
      <c r="X1513" s="7">
        <f>IF($C1513="","",W1513-K1513)</f>
        <v/>
      </c>
      <c r="AB1513" s="7" t="n"/>
      <c r="AE1513" s="11" t="n"/>
      <c r="AG1513">
        <f>IF($C1513="","",IF(COUNTIF($C$2:$C1513,$C1513)=1,1,0))</f>
        <v/>
      </c>
      <c r="AH1513">
        <f>IF($AG1513=1,SUMPRODUCT(--($AK$2:$AK$6001&lt;$AK1513))+1,"")</f>
        <v/>
      </c>
      <c r="AI1513">
        <f>IF($C1513="","",IF(OR($N1513=TRUE(),$N1513="TRUE"),1,0))</f>
        <v/>
      </c>
      <c r="AJ1513">
        <f>IF($C1513="","",IF($T1513="Yes",1,0))</f>
        <v/>
      </c>
      <c r="AK1513">
        <f>IF($AG1513=1,IFERROR(IF(VALUE($C1513)&lt;100000000,VALUE($C1513),1000000000),IFERROR(IF(VALUE(MID($C1513,2,20))&lt;100000000,VALUE(MID($C1513,2,20)),1000000000),1000000000))+ROW()/100000,"")</f>
        <v/>
      </c>
    </row>
    <row r="1514">
      <c r="D1514" s="11" t="n"/>
      <c r="K1514" s="7">
        <f>IF($C1514="","",J1514*W1514/100)</f>
        <v/>
      </c>
      <c r="Q1514" s="7" t="n"/>
      <c r="R1514" s="7" t="n"/>
      <c r="U1514">
        <f>IF($C1514="","",IF($AJ1514=1,0,IF($AI1514=1,Settings!$C$6,Settings!$C$7))*100)</f>
        <v/>
      </c>
      <c r="V1514" s="7">
        <f>IF($C1514="","",R1514*U1514/100)</f>
        <v/>
      </c>
      <c r="W1514" s="7">
        <f>IF($C1514="","",R1514-V1514)</f>
        <v/>
      </c>
      <c r="X1514" s="7">
        <f>IF($C1514="","",W1514-K1514)</f>
        <v/>
      </c>
      <c r="AB1514" s="7" t="n"/>
      <c r="AE1514" s="11" t="n"/>
      <c r="AG1514">
        <f>IF($C1514="","",IF(COUNTIF($C$2:$C1514,$C1514)=1,1,0))</f>
        <v/>
      </c>
      <c r="AH1514">
        <f>IF($AG1514=1,SUMPRODUCT(--($AK$2:$AK$6001&lt;$AK1514))+1,"")</f>
        <v/>
      </c>
      <c r="AI1514">
        <f>IF($C1514="","",IF(OR($N1514=TRUE(),$N1514="TRUE"),1,0))</f>
        <v/>
      </c>
      <c r="AJ1514">
        <f>IF($C1514="","",IF($T1514="Yes",1,0))</f>
        <v/>
      </c>
      <c r="AK1514">
        <f>IF($AG1514=1,IFERROR(IF(VALUE($C1514)&lt;100000000,VALUE($C1514),1000000000),IFERROR(IF(VALUE(MID($C1514,2,20))&lt;100000000,VALUE(MID($C1514,2,20)),1000000000),1000000000))+ROW()/100000,"")</f>
        <v/>
      </c>
    </row>
    <row r="1515">
      <c r="D1515" s="11" t="n"/>
      <c r="K1515" s="7">
        <f>IF($C1515="","",J1515*W1515/100)</f>
        <v/>
      </c>
      <c r="Q1515" s="7" t="n"/>
      <c r="R1515" s="7" t="n"/>
      <c r="U1515">
        <f>IF($C1515="","",IF($AJ1515=1,0,IF($AI1515=1,Settings!$C$6,Settings!$C$7))*100)</f>
        <v/>
      </c>
      <c r="V1515" s="7">
        <f>IF($C1515="","",R1515*U1515/100)</f>
        <v/>
      </c>
      <c r="W1515" s="7">
        <f>IF($C1515="","",R1515-V1515)</f>
        <v/>
      </c>
      <c r="X1515" s="7">
        <f>IF($C1515="","",W1515-K1515)</f>
        <v/>
      </c>
      <c r="AB1515" s="7" t="n"/>
      <c r="AE1515" s="11" t="n"/>
      <c r="AG1515">
        <f>IF($C1515="","",IF(COUNTIF($C$2:$C1515,$C1515)=1,1,0))</f>
        <v/>
      </c>
      <c r="AH1515">
        <f>IF($AG1515=1,SUMPRODUCT(--($AK$2:$AK$6001&lt;$AK1515))+1,"")</f>
        <v/>
      </c>
      <c r="AI1515">
        <f>IF($C1515="","",IF(OR($N1515=TRUE(),$N1515="TRUE"),1,0))</f>
        <v/>
      </c>
      <c r="AJ1515">
        <f>IF($C1515="","",IF($T1515="Yes",1,0))</f>
        <v/>
      </c>
      <c r="AK1515">
        <f>IF($AG1515=1,IFERROR(IF(VALUE($C1515)&lt;100000000,VALUE($C1515),1000000000),IFERROR(IF(VALUE(MID($C1515,2,20))&lt;100000000,VALUE(MID($C1515,2,20)),1000000000),1000000000))+ROW()/100000,"")</f>
        <v/>
      </c>
    </row>
    <row r="1516">
      <c r="D1516" s="11" t="n"/>
      <c r="K1516" s="7">
        <f>IF($C1516="","",J1516*W1516/100)</f>
        <v/>
      </c>
      <c r="Q1516" s="7" t="n"/>
      <c r="R1516" s="7" t="n"/>
      <c r="U1516">
        <f>IF($C1516="","",IF($AJ1516=1,0,IF($AI1516=1,Settings!$C$6,Settings!$C$7))*100)</f>
        <v/>
      </c>
      <c r="V1516" s="7">
        <f>IF($C1516="","",R1516*U1516/100)</f>
        <v/>
      </c>
      <c r="W1516" s="7">
        <f>IF($C1516="","",R1516-V1516)</f>
        <v/>
      </c>
      <c r="X1516" s="7">
        <f>IF($C1516="","",W1516-K1516)</f>
        <v/>
      </c>
      <c r="AB1516" s="7" t="n"/>
      <c r="AE1516" s="11" t="n"/>
      <c r="AG1516">
        <f>IF($C1516="","",IF(COUNTIF($C$2:$C1516,$C1516)=1,1,0))</f>
        <v/>
      </c>
      <c r="AH1516">
        <f>IF($AG1516=1,SUMPRODUCT(--($AK$2:$AK$6001&lt;$AK1516))+1,"")</f>
        <v/>
      </c>
      <c r="AI1516">
        <f>IF($C1516="","",IF(OR($N1516=TRUE(),$N1516="TRUE"),1,0))</f>
        <v/>
      </c>
      <c r="AJ1516">
        <f>IF($C1516="","",IF($T1516="Yes",1,0))</f>
        <v/>
      </c>
      <c r="AK1516">
        <f>IF($AG1516=1,IFERROR(IF(VALUE($C1516)&lt;100000000,VALUE($C1516),1000000000),IFERROR(IF(VALUE(MID($C1516,2,20))&lt;100000000,VALUE(MID($C1516,2,20)),1000000000),1000000000))+ROW()/100000,"")</f>
        <v/>
      </c>
    </row>
    <row r="1517">
      <c r="D1517" s="11" t="n"/>
      <c r="K1517" s="7">
        <f>IF($C1517="","",J1517*W1517/100)</f>
        <v/>
      </c>
      <c r="Q1517" s="7" t="n"/>
      <c r="R1517" s="7" t="n"/>
      <c r="U1517">
        <f>IF($C1517="","",IF($AJ1517=1,0,IF($AI1517=1,Settings!$C$6,Settings!$C$7))*100)</f>
        <v/>
      </c>
      <c r="V1517" s="7">
        <f>IF($C1517="","",R1517*U1517/100)</f>
        <v/>
      </c>
      <c r="W1517" s="7">
        <f>IF($C1517="","",R1517-V1517)</f>
        <v/>
      </c>
      <c r="X1517" s="7">
        <f>IF($C1517="","",W1517-K1517)</f>
        <v/>
      </c>
      <c r="AB1517" s="7" t="n"/>
      <c r="AE1517" s="11" t="n"/>
      <c r="AG1517">
        <f>IF($C1517="","",IF(COUNTIF($C$2:$C1517,$C1517)=1,1,0))</f>
        <v/>
      </c>
      <c r="AH1517">
        <f>IF($AG1517=1,SUMPRODUCT(--($AK$2:$AK$6001&lt;$AK1517))+1,"")</f>
        <v/>
      </c>
      <c r="AI1517">
        <f>IF($C1517="","",IF(OR($N1517=TRUE(),$N1517="TRUE"),1,0))</f>
        <v/>
      </c>
      <c r="AJ1517">
        <f>IF($C1517="","",IF($T1517="Yes",1,0))</f>
        <v/>
      </c>
      <c r="AK1517">
        <f>IF($AG1517=1,IFERROR(IF(VALUE($C1517)&lt;100000000,VALUE($C1517),1000000000),IFERROR(IF(VALUE(MID($C1517,2,20))&lt;100000000,VALUE(MID($C1517,2,20)),1000000000),1000000000))+ROW()/100000,"")</f>
        <v/>
      </c>
    </row>
    <row r="1518">
      <c r="D1518" s="11" t="n"/>
      <c r="K1518" s="7">
        <f>IF($C1518="","",J1518*W1518/100)</f>
        <v/>
      </c>
      <c r="Q1518" s="7" t="n"/>
      <c r="R1518" s="7" t="n"/>
      <c r="U1518">
        <f>IF($C1518="","",IF($AJ1518=1,0,IF($AI1518=1,Settings!$C$6,Settings!$C$7))*100)</f>
        <v/>
      </c>
      <c r="V1518" s="7">
        <f>IF($C1518="","",R1518*U1518/100)</f>
        <v/>
      </c>
      <c r="W1518" s="7">
        <f>IF($C1518="","",R1518-V1518)</f>
        <v/>
      </c>
      <c r="X1518" s="7">
        <f>IF($C1518="","",W1518-K1518)</f>
        <v/>
      </c>
      <c r="AB1518" s="7" t="n"/>
      <c r="AE1518" s="11" t="n"/>
      <c r="AG1518">
        <f>IF($C1518="","",IF(COUNTIF($C$2:$C1518,$C1518)=1,1,0))</f>
        <v/>
      </c>
      <c r="AH1518">
        <f>IF($AG1518=1,SUMPRODUCT(--($AK$2:$AK$6001&lt;$AK1518))+1,"")</f>
        <v/>
      </c>
      <c r="AI1518">
        <f>IF($C1518="","",IF(OR($N1518=TRUE(),$N1518="TRUE"),1,0))</f>
        <v/>
      </c>
      <c r="AJ1518">
        <f>IF($C1518="","",IF($T1518="Yes",1,0))</f>
        <v/>
      </c>
      <c r="AK1518">
        <f>IF($AG1518=1,IFERROR(IF(VALUE($C1518)&lt;100000000,VALUE($C1518),1000000000),IFERROR(IF(VALUE(MID($C1518,2,20))&lt;100000000,VALUE(MID($C1518,2,20)),1000000000),1000000000))+ROW()/100000,"")</f>
        <v/>
      </c>
    </row>
    <row r="1519">
      <c r="D1519" s="11" t="n"/>
      <c r="K1519" s="7">
        <f>IF($C1519="","",J1519*W1519/100)</f>
        <v/>
      </c>
      <c r="Q1519" s="7" t="n"/>
      <c r="R1519" s="7" t="n"/>
      <c r="U1519">
        <f>IF($C1519="","",IF($AJ1519=1,0,IF($AI1519=1,Settings!$C$6,Settings!$C$7))*100)</f>
        <v/>
      </c>
      <c r="V1519" s="7">
        <f>IF($C1519="","",R1519*U1519/100)</f>
        <v/>
      </c>
      <c r="W1519" s="7">
        <f>IF($C1519="","",R1519-V1519)</f>
        <v/>
      </c>
      <c r="X1519" s="7">
        <f>IF($C1519="","",W1519-K1519)</f>
        <v/>
      </c>
      <c r="AB1519" s="7" t="n"/>
      <c r="AE1519" s="11" t="n"/>
      <c r="AG1519">
        <f>IF($C1519="","",IF(COUNTIF($C$2:$C1519,$C1519)=1,1,0))</f>
        <v/>
      </c>
      <c r="AH1519">
        <f>IF($AG1519=1,SUMPRODUCT(--($AK$2:$AK$6001&lt;$AK1519))+1,"")</f>
        <v/>
      </c>
      <c r="AI1519">
        <f>IF($C1519="","",IF(OR($N1519=TRUE(),$N1519="TRUE"),1,0))</f>
        <v/>
      </c>
      <c r="AJ1519">
        <f>IF($C1519="","",IF($T1519="Yes",1,0))</f>
        <v/>
      </c>
      <c r="AK1519">
        <f>IF($AG1519=1,IFERROR(IF(VALUE($C1519)&lt;100000000,VALUE($C1519),1000000000),IFERROR(IF(VALUE(MID($C1519,2,20))&lt;100000000,VALUE(MID($C1519,2,20)),1000000000),1000000000))+ROW()/100000,"")</f>
        <v/>
      </c>
    </row>
    <row r="1520">
      <c r="D1520" s="11" t="n"/>
      <c r="K1520" s="7">
        <f>IF($C1520="","",J1520*W1520/100)</f>
        <v/>
      </c>
      <c r="Q1520" s="7" t="n"/>
      <c r="R1520" s="7" t="n"/>
      <c r="U1520">
        <f>IF($C1520="","",IF($AJ1520=1,0,IF($AI1520=1,Settings!$C$6,Settings!$C$7))*100)</f>
        <v/>
      </c>
      <c r="V1520" s="7">
        <f>IF($C1520="","",R1520*U1520/100)</f>
        <v/>
      </c>
      <c r="W1520" s="7">
        <f>IF($C1520="","",R1520-V1520)</f>
        <v/>
      </c>
      <c r="X1520" s="7">
        <f>IF($C1520="","",W1520-K1520)</f>
        <v/>
      </c>
      <c r="AB1520" s="7" t="n"/>
      <c r="AE1520" s="11" t="n"/>
      <c r="AG1520">
        <f>IF($C1520="","",IF(COUNTIF($C$2:$C1520,$C1520)=1,1,0))</f>
        <v/>
      </c>
      <c r="AH1520">
        <f>IF($AG1520=1,SUMPRODUCT(--($AK$2:$AK$6001&lt;$AK1520))+1,"")</f>
        <v/>
      </c>
      <c r="AI1520">
        <f>IF($C1520="","",IF(OR($N1520=TRUE(),$N1520="TRUE"),1,0))</f>
        <v/>
      </c>
      <c r="AJ1520">
        <f>IF($C1520="","",IF($T1520="Yes",1,0))</f>
        <v/>
      </c>
      <c r="AK1520">
        <f>IF($AG1520=1,IFERROR(IF(VALUE($C1520)&lt;100000000,VALUE($C1520),1000000000),IFERROR(IF(VALUE(MID($C1520,2,20))&lt;100000000,VALUE(MID($C1520,2,20)),1000000000),1000000000))+ROW()/100000,"")</f>
        <v/>
      </c>
    </row>
    <row r="1521">
      <c r="D1521" s="11" t="n"/>
      <c r="K1521" s="7">
        <f>IF($C1521="","",J1521*W1521/100)</f>
        <v/>
      </c>
      <c r="Q1521" s="7" t="n"/>
      <c r="R1521" s="7" t="n"/>
      <c r="U1521">
        <f>IF($C1521="","",IF($AJ1521=1,0,IF($AI1521=1,Settings!$C$6,Settings!$C$7))*100)</f>
        <v/>
      </c>
      <c r="V1521" s="7">
        <f>IF($C1521="","",R1521*U1521/100)</f>
        <v/>
      </c>
      <c r="W1521" s="7">
        <f>IF($C1521="","",R1521-V1521)</f>
        <v/>
      </c>
      <c r="X1521" s="7">
        <f>IF($C1521="","",W1521-K1521)</f>
        <v/>
      </c>
      <c r="AB1521" s="7" t="n"/>
      <c r="AE1521" s="11" t="n"/>
      <c r="AG1521">
        <f>IF($C1521="","",IF(COUNTIF($C$2:$C1521,$C1521)=1,1,0))</f>
        <v/>
      </c>
      <c r="AH1521">
        <f>IF($AG1521=1,SUMPRODUCT(--($AK$2:$AK$6001&lt;$AK1521))+1,"")</f>
        <v/>
      </c>
      <c r="AI1521">
        <f>IF($C1521="","",IF(OR($N1521=TRUE(),$N1521="TRUE"),1,0))</f>
        <v/>
      </c>
      <c r="AJ1521">
        <f>IF($C1521="","",IF($T1521="Yes",1,0))</f>
        <v/>
      </c>
      <c r="AK1521">
        <f>IF($AG1521=1,IFERROR(IF(VALUE($C1521)&lt;100000000,VALUE($C1521),1000000000),IFERROR(IF(VALUE(MID($C1521,2,20))&lt;100000000,VALUE(MID($C1521,2,20)),1000000000),1000000000))+ROW()/100000,"")</f>
        <v/>
      </c>
    </row>
    <row r="1522">
      <c r="D1522" s="11" t="n"/>
      <c r="K1522" s="7">
        <f>IF($C1522="","",J1522*W1522/100)</f>
        <v/>
      </c>
      <c r="Q1522" s="7" t="n"/>
      <c r="R1522" s="7" t="n"/>
      <c r="U1522">
        <f>IF($C1522="","",IF($AJ1522=1,0,IF($AI1522=1,Settings!$C$6,Settings!$C$7))*100)</f>
        <v/>
      </c>
      <c r="V1522" s="7">
        <f>IF($C1522="","",R1522*U1522/100)</f>
        <v/>
      </c>
      <c r="W1522" s="7">
        <f>IF($C1522="","",R1522-V1522)</f>
        <v/>
      </c>
      <c r="X1522" s="7">
        <f>IF($C1522="","",W1522-K1522)</f>
        <v/>
      </c>
      <c r="AB1522" s="7" t="n"/>
      <c r="AE1522" s="11" t="n"/>
      <c r="AG1522">
        <f>IF($C1522="","",IF(COUNTIF($C$2:$C1522,$C1522)=1,1,0))</f>
        <v/>
      </c>
      <c r="AH1522">
        <f>IF($AG1522=1,SUMPRODUCT(--($AK$2:$AK$6001&lt;$AK1522))+1,"")</f>
        <v/>
      </c>
      <c r="AI1522">
        <f>IF($C1522="","",IF(OR($N1522=TRUE(),$N1522="TRUE"),1,0))</f>
        <v/>
      </c>
      <c r="AJ1522">
        <f>IF($C1522="","",IF($T1522="Yes",1,0))</f>
        <v/>
      </c>
      <c r="AK1522">
        <f>IF($AG1522=1,IFERROR(IF(VALUE($C1522)&lt;100000000,VALUE($C1522),1000000000),IFERROR(IF(VALUE(MID($C1522,2,20))&lt;100000000,VALUE(MID($C1522,2,20)),1000000000),1000000000))+ROW()/100000,"")</f>
        <v/>
      </c>
    </row>
    <row r="1523">
      <c r="D1523" s="11" t="n"/>
      <c r="K1523" s="7">
        <f>IF($C1523="","",J1523*W1523/100)</f>
        <v/>
      </c>
      <c r="Q1523" s="7" t="n"/>
      <c r="R1523" s="7" t="n"/>
      <c r="U1523">
        <f>IF($C1523="","",IF($AJ1523=1,0,IF($AI1523=1,Settings!$C$6,Settings!$C$7))*100)</f>
        <v/>
      </c>
      <c r="V1523" s="7">
        <f>IF($C1523="","",R1523*U1523/100)</f>
        <v/>
      </c>
      <c r="W1523" s="7">
        <f>IF($C1523="","",R1523-V1523)</f>
        <v/>
      </c>
      <c r="X1523" s="7">
        <f>IF($C1523="","",W1523-K1523)</f>
        <v/>
      </c>
      <c r="AB1523" s="7" t="n"/>
      <c r="AE1523" s="11" t="n"/>
      <c r="AG1523">
        <f>IF($C1523="","",IF(COUNTIF($C$2:$C1523,$C1523)=1,1,0))</f>
        <v/>
      </c>
      <c r="AH1523">
        <f>IF($AG1523=1,SUMPRODUCT(--($AK$2:$AK$6001&lt;$AK1523))+1,"")</f>
        <v/>
      </c>
      <c r="AI1523">
        <f>IF($C1523="","",IF(OR($N1523=TRUE(),$N1523="TRUE"),1,0))</f>
        <v/>
      </c>
      <c r="AJ1523">
        <f>IF($C1523="","",IF($T1523="Yes",1,0))</f>
        <v/>
      </c>
      <c r="AK1523">
        <f>IF($AG1523=1,IFERROR(IF(VALUE($C1523)&lt;100000000,VALUE($C1523),1000000000),IFERROR(IF(VALUE(MID($C1523,2,20))&lt;100000000,VALUE(MID($C1523,2,20)),1000000000),1000000000))+ROW()/100000,"")</f>
        <v/>
      </c>
    </row>
    <row r="1524">
      <c r="D1524" s="11" t="n"/>
      <c r="K1524" s="7">
        <f>IF($C1524="","",J1524*W1524/100)</f>
        <v/>
      </c>
      <c r="Q1524" s="7" t="n"/>
      <c r="R1524" s="7" t="n"/>
      <c r="U1524">
        <f>IF($C1524="","",IF($AJ1524=1,0,IF($AI1524=1,Settings!$C$6,Settings!$C$7))*100)</f>
        <v/>
      </c>
      <c r="V1524" s="7">
        <f>IF($C1524="","",R1524*U1524/100)</f>
        <v/>
      </c>
      <c r="W1524" s="7">
        <f>IF($C1524="","",R1524-V1524)</f>
        <v/>
      </c>
      <c r="X1524" s="7">
        <f>IF($C1524="","",W1524-K1524)</f>
        <v/>
      </c>
      <c r="AB1524" s="7" t="n"/>
      <c r="AE1524" s="11" t="n"/>
      <c r="AG1524">
        <f>IF($C1524="","",IF(COUNTIF($C$2:$C1524,$C1524)=1,1,0))</f>
        <v/>
      </c>
      <c r="AH1524">
        <f>IF($AG1524=1,SUMPRODUCT(--($AK$2:$AK$6001&lt;$AK1524))+1,"")</f>
        <v/>
      </c>
      <c r="AI1524">
        <f>IF($C1524="","",IF(OR($N1524=TRUE(),$N1524="TRUE"),1,0))</f>
        <v/>
      </c>
      <c r="AJ1524">
        <f>IF($C1524="","",IF($T1524="Yes",1,0))</f>
        <v/>
      </c>
      <c r="AK1524">
        <f>IF($AG1524=1,IFERROR(IF(VALUE($C1524)&lt;100000000,VALUE($C1524),1000000000),IFERROR(IF(VALUE(MID($C1524,2,20))&lt;100000000,VALUE(MID($C1524,2,20)),1000000000),1000000000))+ROW()/100000,"")</f>
        <v/>
      </c>
    </row>
    <row r="1525">
      <c r="D1525" s="11" t="n"/>
      <c r="K1525" s="7">
        <f>IF($C1525="","",J1525*W1525/100)</f>
        <v/>
      </c>
      <c r="Q1525" s="7" t="n"/>
      <c r="R1525" s="7" t="n"/>
      <c r="U1525">
        <f>IF($C1525="","",IF($AJ1525=1,0,IF($AI1525=1,Settings!$C$6,Settings!$C$7))*100)</f>
        <v/>
      </c>
      <c r="V1525" s="7">
        <f>IF($C1525="","",R1525*U1525/100)</f>
        <v/>
      </c>
      <c r="W1525" s="7">
        <f>IF($C1525="","",R1525-V1525)</f>
        <v/>
      </c>
      <c r="X1525" s="7">
        <f>IF($C1525="","",W1525-K1525)</f>
        <v/>
      </c>
      <c r="AB1525" s="7" t="n"/>
      <c r="AE1525" s="11" t="n"/>
      <c r="AG1525">
        <f>IF($C1525="","",IF(COUNTIF($C$2:$C1525,$C1525)=1,1,0))</f>
        <v/>
      </c>
      <c r="AH1525">
        <f>IF($AG1525=1,SUMPRODUCT(--($AK$2:$AK$6001&lt;$AK1525))+1,"")</f>
        <v/>
      </c>
      <c r="AI1525">
        <f>IF($C1525="","",IF(OR($N1525=TRUE(),$N1525="TRUE"),1,0))</f>
        <v/>
      </c>
      <c r="AJ1525">
        <f>IF($C1525="","",IF($T1525="Yes",1,0))</f>
        <v/>
      </c>
      <c r="AK1525">
        <f>IF($AG1525=1,IFERROR(IF(VALUE($C1525)&lt;100000000,VALUE($C1525),1000000000),IFERROR(IF(VALUE(MID($C1525,2,20))&lt;100000000,VALUE(MID($C1525,2,20)),1000000000),1000000000))+ROW()/100000,"")</f>
        <v/>
      </c>
    </row>
    <row r="1526">
      <c r="D1526" s="11" t="n"/>
      <c r="K1526" s="7">
        <f>IF($C1526="","",J1526*W1526/100)</f>
        <v/>
      </c>
      <c r="Q1526" s="7" t="n"/>
      <c r="R1526" s="7" t="n"/>
      <c r="U1526">
        <f>IF($C1526="","",IF($AJ1526=1,0,IF($AI1526=1,Settings!$C$6,Settings!$C$7))*100)</f>
        <v/>
      </c>
      <c r="V1526" s="7">
        <f>IF($C1526="","",R1526*U1526/100)</f>
        <v/>
      </c>
      <c r="W1526" s="7">
        <f>IF($C1526="","",R1526-V1526)</f>
        <v/>
      </c>
      <c r="X1526" s="7">
        <f>IF($C1526="","",W1526-K1526)</f>
        <v/>
      </c>
      <c r="AB1526" s="7" t="n"/>
      <c r="AE1526" s="11" t="n"/>
      <c r="AG1526">
        <f>IF($C1526="","",IF(COUNTIF($C$2:$C1526,$C1526)=1,1,0))</f>
        <v/>
      </c>
      <c r="AH1526">
        <f>IF($AG1526=1,SUMPRODUCT(--($AK$2:$AK$6001&lt;$AK1526))+1,"")</f>
        <v/>
      </c>
      <c r="AI1526">
        <f>IF($C1526="","",IF(OR($N1526=TRUE(),$N1526="TRUE"),1,0))</f>
        <v/>
      </c>
      <c r="AJ1526">
        <f>IF($C1526="","",IF($T1526="Yes",1,0))</f>
        <v/>
      </c>
      <c r="AK1526">
        <f>IF($AG1526=1,IFERROR(IF(VALUE($C1526)&lt;100000000,VALUE($C1526),1000000000),IFERROR(IF(VALUE(MID($C1526,2,20))&lt;100000000,VALUE(MID($C1526,2,20)),1000000000),1000000000))+ROW()/100000,"")</f>
        <v/>
      </c>
    </row>
    <row r="1527">
      <c r="D1527" s="11" t="n"/>
      <c r="K1527" s="7">
        <f>IF($C1527="","",J1527*W1527/100)</f>
        <v/>
      </c>
      <c r="Q1527" s="7" t="n"/>
      <c r="R1527" s="7" t="n"/>
      <c r="U1527">
        <f>IF($C1527="","",IF($AJ1527=1,0,IF($AI1527=1,Settings!$C$6,Settings!$C$7))*100)</f>
        <v/>
      </c>
      <c r="V1527" s="7">
        <f>IF($C1527="","",R1527*U1527/100)</f>
        <v/>
      </c>
      <c r="W1527" s="7">
        <f>IF($C1527="","",R1527-V1527)</f>
        <v/>
      </c>
      <c r="X1527" s="7">
        <f>IF($C1527="","",W1527-K1527)</f>
        <v/>
      </c>
      <c r="AB1527" s="7" t="n"/>
      <c r="AE1527" s="11" t="n"/>
      <c r="AG1527">
        <f>IF($C1527="","",IF(COUNTIF($C$2:$C1527,$C1527)=1,1,0))</f>
        <v/>
      </c>
      <c r="AH1527">
        <f>IF($AG1527=1,SUMPRODUCT(--($AK$2:$AK$6001&lt;$AK1527))+1,"")</f>
        <v/>
      </c>
      <c r="AI1527">
        <f>IF($C1527="","",IF(OR($N1527=TRUE(),$N1527="TRUE"),1,0))</f>
        <v/>
      </c>
      <c r="AJ1527">
        <f>IF($C1527="","",IF($T1527="Yes",1,0))</f>
        <v/>
      </c>
      <c r="AK1527">
        <f>IF($AG1527=1,IFERROR(IF(VALUE($C1527)&lt;100000000,VALUE($C1527),1000000000),IFERROR(IF(VALUE(MID($C1527,2,20))&lt;100000000,VALUE(MID($C1527,2,20)),1000000000),1000000000))+ROW()/100000,"")</f>
        <v/>
      </c>
    </row>
    <row r="1528">
      <c r="D1528" s="11" t="n"/>
      <c r="K1528" s="7">
        <f>IF($C1528="","",J1528*W1528/100)</f>
        <v/>
      </c>
      <c r="Q1528" s="7" t="n"/>
      <c r="R1528" s="7" t="n"/>
      <c r="U1528">
        <f>IF($C1528="","",IF($AJ1528=1,0,IF($AI1528=1,Settings!$C$6,Settings!$C$7))*100)</f>
        <v/>
      </c>
      <c r="V1528" s="7">
        <f>IF($C1528="","",R1528*U1528/100)</f>
        <v/>
      </c>
      <c r="W1528" s="7">
        <f>IF($C1528="","",R1528-V1528)</f>
        <v/>
      </c>
      <c r="X1528" s="7">
        <f>IF($C1528="","",W1528-K1528)</f>
        <v/>
      </c>
      <c r="AB1528" s="7" t="n"/>
      <c r="AE1528" s="11" t="n"/>
      <c r="AG1528">
        <f>IF($C1528="","",IF(COUNTIF($C$2:$C1528,$C1528)=1,1,0))</f>
        <v/>
      </c>
      <c r="AH1528">
        <f>IF($AG1528=1,SUMPRODUCT(--($AK$2:$AK$6001&lt;$AK1528))+1,"")</f>
        <v/>
      </c>
      <c r="AI1528">
        <f>IF($C1528="","",IF(OR($N1528=TRUE(),$N1528="TRUE"),1,0))</f>
        <v/>
      </c>
      <c r="AJ1528">
        <f>IF($C1528="","",IF($T1528="Yes",1,0))</f>
        <v/>
      </c>
      <c r="AK1528">
        <f>IF($AG1528=1,IFERROR(IF(VALUE($C1528)&lt;100000000,VALUE($C1528),1000000000),IFERROR(IF(VALUE(MID($C1528,2,20))&lt;100000000,VALUE(MID($C1528,2,20)),1000000000),1000000000))+ROW()/100000,"")</f>
        <v/>
      </c>
    </row>
    <row r="1529">
      <c r="D1529" s="11" t="n"/>
      <c r="K1529" s="7">
        <f>IF($C1529="","",J1529*W1529/100)</f>
        <v/>
      </c>
      <c r="Q1529" s="7" t="n"/>
      <c r="R1529" s="7" t="n"/>
      <c r="U1529">
        <f>IF($C1529="","",IF($AJ1529=1,0,IF($AI1529=1,Settings!$C$6,Settings!$C$7))*100)</f>
        <v/>
      </c>
      <c r="V1529" s="7">
        <f>IF($C1529="","",R1529*U1529/100)</f>
        <v/>
      </c>
      <c r="W1529" s="7">
        <f>IF($C1529="","",R1529-V1529)</f>
        <v/>
      </c>
      <c r="X1529" s="7">
        <f>IF($C1529="","",W1529-K1529)</f>
        <v/>
      </c>
      <c r="AB1529" s="7" t="n"/>
      <c r="AE1529" s="11" t="n"/>
      <c r="AG1529">
        <f>IF($C1529="","",IF(COUNTIF($C$2:$C1529,$C1529)=1,1,0))</f>
        <v/>
      </c>
      <c r="AH1529">
        <f>IF($AG1529=1,SUMPRODUCT(--($AK$2:$AK$6001&lt;$AK1529))+1,"")</f>
        <v/>
      </c>
      <c r="AI1529">
        <f>IF($C1529="","",IF(OR($N1529=TRUE(),$N1529="TRUE"),1,0))</f>
        <v/>
      </c>
      <c r="AJ1529">
        <f>IF($C1529="","",IF($T1529="Yes",1,0))</f>
        <v/>
      </c>
      <c r="AK1529">
        <f>IF($AG1529=1,IFERROR(IF(VALUE($C1529)&lt;100000000,VALUE($C1529),1000000000),IFERROR(IF(VALUE(MID($C1529,2,20))&lt;100000000,VALUE(MID($C1529,2,20)),1000000000),1000000000))+ROW()/100000,"")</f>
        <v/>
      </c>
    </row>
    <row r="1530">
      <c r="D1530" s="11" t="n"/>
      <c r="K1530" s="7">
        <f>IF($C1530="","",J1530*W1530/100)</f>
        <v/>
      </c>
      <c r="Q1530" s="7" t="n"/>
      <c r="R1530" s="7" t="n"/>
      <c r="U1530">
        <f>IF($C1530="","",IF($AJ1530=1,0,IF($AI1530=1,Settings!$C$6,Settings!$C$7))*100)</f>
        <v/>
      </c>
      <c r="V1530" s="7">
        <f>IF($C1530="","",R1530*U1530/100)</f>
        <v/>
      </c>
      <c r="W1530" s="7">
        <f>IF($C1530="","",R1530-V1530)</f>
        <v/>
      </c>
      <c r="X1530" s="7">
        <f>IF($C1530="","",W1530-K1530)</f>
        <v/>
      </c>
      <c r="AB1530" s="7" t="n"/>
      <c r="AE1530" s="11" t="n"/>
      <c r="AG1530">
        <f>IF($C1530="","",IF(COUNTIF($C$2:$C1530,$C1530)=1,1,0))</f>
        <v/>
      </c>
      <c r="AH1530">
        <f>IF($AG1530=1,SUMPRODUCT(--($AK$2:$AK$6001&lt;$AK1530))+1,"")</f>
        <v/>
      </c>
      <c r="AI1530">
        <f>IF($C1530="","",IF(OR($N1530=TRUE(),$N1530="TRUE"),1,0))</f>
        <v/>
      </c>
      <c r="AJ1530">
        <f>IF($C1530="","",IF($T1530="Yes",1,0))</f>
        <v/>
      </c>
      <c r="AK1530">
        <f>IF($AG1530=1,IFERROR(IF(VALUE($C1530)&lt;100000000,VALUE($C1530),1000000000),IFERROR(IF(VALUE(MID($C1530,2,20))&lt;100000000,VALUE(MID($C1530,2,20)),1000000000),1000000000))+ROW()/100000,"")</f>
        <v/>
      </c>
    </row>
    <row r="1531">
      <c r="D1531" s="11" t="n"/>
      <c r="K1531" s="7">
        <f>IF($C1531="","",J1531*W1531/100)</f>
        <v/>
      </c>
      <c r="Q1531" s="7" t="n"/>
      <c r="R1531" s="7" t="n"/>
      <c r="U1531">
        <f>IF($C1531="","",IF($AJ1531=1,0,IF($AI1531=1,Settings!$C$6,Settings!$C$7))*100)</f>
        <v/>
      </c>
      <c r="V1531" s="7">
        <f>IF($C1531="","",R1531*U1531/100)</f>
        <v/>
      </c>
      <c r="W1531" s="7">
        <f>IF($C1531="","",R1531-V1531)</f>
        <v/>
      </c>
      <c r="X1531" s="7">
        <f>IF($C1531="","",W1531-K1531)</f>
        <v/>
      </c>
      <c r="AB1531" s="7" t="n"/>
      <c r="AE1531" s="11" t="n"/>
      <c r="AG1531">
        <f>IF($C1531="","",IF(COUNTIF($C$2:$C1531,$C1531)=1,1,0))</f>
        <v/>
      </c>
      <c r="AH1531">
        <f>IF($AG1531=1,SUMPRODUCT(--($AK$2:$AK$6001&lt;$AK1531))+1,"")</f>
        <v/>
      </c>
      <c r="AI1531">
        <f>IF($C1531="","",IF(OR($N1531=TRUE(),$N1531="TRUE"),1,0))</f>
        <v/>
      </c>
      <c r="AJ1531">
        <f>IF($C1531="","",IF($T1531="Yes",1,0))</f>
        <v/>
      </c>
      <c r="AK1531">
        <f>IF($AG1531=1,IFERROR(IF(VALUE($C1531)&lt;100000000,VALUE($C1531),1000000000),IFERROR(IF(VALUE(MID($C1531,2,20))&lt;100000000,VALUE(MID($C1531,2,20)),1000000000),1000000000))+ROW()/100000,"")</f>
        <v/>
      </c>
    </row>
    <row r="1532">
      <c r="D1532" s="11" t="n"/>
      <c r="K1532" s="7">
        <f>IF($C1532="","",J1532*W1532/100)</f>
        <v/>
      </c>
      <c r="Q1532" s="7" t="n"/>
      <c r="R1532" s="7" t="n"/>
      <c r="U1532">
        <f>IF($C1532="","",IF($AJ1532=1,0,IF($AI1532=1,Settings!$C$6,Settings!$C$7))*100)</f>
        <v/>
      </c>
      <c r="V1532" s="7">
        <f>IF($C1532="","",R1532*U1532/100)</f>
        <v/>
      </c>
      <c r="W1532" s="7">
        <f>IF($C1532="","",R1532-V1532)</f>
        <v/>
      </c>
      <c r="X1532" s="7">
        <f>IF($C1532="","",W1532-K1532)</f>
        <v/>
      </c>
      <c r="AB1532" s="7" t="n"/>
      <c r="AE1532" s="11" t="n"/>
      <c r="AG1532">
        <f>IF($C1532="","",IF(COUNTIF($C$2:$C1532,$C1532)=1,1,0))</f>
        <v/>
      </c>
      <c r="AH1532">
        <f>IF($AG1532=1,SUMPRODUCT(--($AK$2:$AK$6001&lt;$AK1532))+1,"")</f>
        <v/>
      </c>
      <c r="AI1532">
        <f>IF($C1532="","",IF(OR($N1532=TRUE(),$N1532="TRUE"),1,0))</f>
        <v/>
      </c>
      <c r="AJ1532">
        <f>IF($C1532="","",IF($T1532="Yes",1,0))</f>
        <v/>
      </c>
      <c r="AK1532">
        <f>IF($AG1532=1,IFERROR(IF(VALUE($C1532)&lt;100000000,VALUE($C1532),1000000000),IFERROR(IF(VALUE(MID($C1532,2,20))&lt;100000000,VALUE(MID($C1532,2,20)),1000000000),1000000000))+ROW()/100000,"")</f>
        <v/>
      </c>
    </row>
    <row r="1533">
      <c r="D1533" s="11" t="n"/>
      <c r="K1533" s="7">
        <f>IF($C1533="","",J1533*W1533/100)</f>
        <v/>
      </c>
      <c r="Q1533" s="7" t="n"/>
      <c r="R1533" s="7" t="n"/>
      <c r="U1533">
        <f>IF($C1533="","",IF($AJ1533=1,0,IF($AI1533=1,Settings!$C$6,Settings!$C$7))*100)</f>
        <v/>
      </c>
      <c r="V1533" s="7">
        <f>IF($C1533="","",R1533*U1533/100)</f>
        <v/>
      </c>
      <c r="W1533" s="7">
        <f>IF($C1533="","",R1533-V1533)</f>
        <v/>
      </c>
      <c r="X1533" s="7">
        <f>IF($C1533="","",W1533-K1533)</f>
        <v/>
      </c>
      <c r="AB1533" s="7" t="n"/>
      <c r="AE1533" s="11" t="n"/>
      <c r="AG1533">
        <f>IF($C1533="","",IF(COUNTIF($C$2:$C1533,$C1533)=1,1,0))</f>
        <v/>
      </c>
      <c r="AH1533">
        <f>IF($AG1533=1,SUMPRODUCT(--($AK$2:$AK$6001&lt;$AK1533))+1,"")</f>
        <v/>
      </c>
      <c r="AI1533">
        <f>IF($C1533="","",IF(OR($N1533=TRUE(),$N1533="TRUE"),1,0))</f>
        <v/>
      </c>
      <c r="AJ1533">
        <f>IF($C1533="","",IF($T1533="Yes",1,0))</f>
        <v/>
      </c>
      <c r="AK1533">
        <f>IF($AG1533=1,IFERROR(IF(VALUE($C1533)&lt;100000000,VALUE($C1533),1000000000),IFERROR(IF(VALUE(MID($C1533,2,20))&lt;100000000,VALUE(MID($C1533,2,20)),1000000000),1000000000))+ROW()/100000,"")</f>
        <v/>
      </c>
    </row>
    <row r="1534">
      <c r="D1534" s="11" t="n"/>
      <c r="K1534" s="7">
        <f>IF($C1534="","",J1534*W1534/100)</f>
        <v/>
      </c>
      <c r="Q1534" s="7" t="n"/>
      <c r="R1534" s="7" t="n"/>
      <c r="U1534">
        <f>IF($C1534="","",IF($AJ1534=1,0,IF($AI1534=1,Settings!$C$6,Settings!$C$7))*100)</f>
        <v/>
      </c>
      <c r="V1534" s="7">
        <f>IF($C1534="","",R1534*U1534/100)</f>
        <v/>
      </c>
      <c r="W1534" s="7">
        <f>IF($C1534="","",R1534-V1534)</f>
        <v/>
      </c>
      <c r="X1534" s="7">
        <f>IF($C1534="","",W1534-K1534)</f>
        <v/>
      </c>
      <c r="AB1534" s="7" t="n"/>
      <c r="AE1534" s="11" t="n"/>
      <c r="AG1534">
        <f>IF($C1534="","",IF(COUNTIF($C$2:$C1534,$C1534)=1,1,0))</f>
        <v/>
      </c>
      <c r="AH1534">
        <f>IF($AG1534=1,SUMPRODUCT(--($AK$2:$AK$6001&lt;$AK1534))+1,"")</f>
        <v/>
      </c>
      <c r="AI1534">
        <f>IF($C1534="","",IF(OR($N1534=TRUE(),$N1534="TRUE"),1,0))</f>
        <v/>
      </c>
      <c r="AJ1534">
        <f>IF($C1534="","",IF($T1534="Yes",1,0))</f>
        <v/>
      </c>
      <c r="AK1534">
        <f>IF($AG1534=1,IFERROR(IF(VALUE($C1534)&lt;100000000,VALUE($C1534),1000000000),IFERROR(IF(VALUE(MID($C1534,2,20))&lt;100000000,VALUE(MID($C1534,2,20)),1000000000),1000000000))+ROW()/100000,"")</f>
        <v/>
      </c>
    </row>
    <row r="1535">
      <c r="D1535" s="11" t="n"/>
      <c r="K1535" s="7">
        <f>IF($C1535="","",J1535*W1535/100)</f>
        <v/>
      </c>
      <c r="Q1535" s="7" t="n"/>
      <c r="R1535" s="7" t="n"/>
      <c r="U1535">
        <f>IF($C1535="","",IF($AJ1535=1,0,IF($AI1535=1,Settings!$C$6,Settings!$C$7))*100)</f>
        <v/>
      </c>
      <c r="V1535" s="7">
        <f>IF($C1535="","",R1535*U1535/100)</f>
        <v/>
      </c>
      <c r="W1535" s="7">
        <f>IF($C1535="","",R1535-V1535)</f>
        <v/>
      </c>
      <c r="X1535" s="7">
        <f>IF($C1535="","",W1535-K1535)</f>
        <v/>
      </c>
      <c r="AB1535" s="7" t="n"/>
      <c r="AE1535" s="11" t="n"/>
      <c r="AG1535">
        <f>IF($C1535="","",IF(COUNTIF($C$2:$C1535,$C1535)=1,1,0))</f>
        <v/>
      </c>
      <c r="AH1535">
        <f>IF($AG1535=1,SUMPRODUCT(--($AK$2:$AK$6001&lt;$AK1535))+1,"")</f>
        <v/>
      </c>
      <c r="AI1535">
        <f>IF($C1535="","",IF(OR($N1535=TRUE(),$N1535="TRUE"),1,0))</f>
        <v/>
      </c>
      <c r="AJ1535">
        <f>IF($C1535="","",IF($T1535="Yes",1,0))</f>
        <v/>
      </c>
      <c r="AK1535">
        <f>IF($AG1535=1,IFERROR(IF(VALUE($C1535)&lt;100000000,VALUE($C1535),1000000000),IFERROR(IF(VALUE(MID($C1535,2,20))&lt;100000000,VALUE(MID($C1535,2,20)),1000000000),1000000000))+ROW()/100000,"")</f>
        <v/>
      </c>
    </row>
    <row r="1536">
      <c r="D1536" s="11" t="n"/>
      <c r="K1536" s="7">
        <f>IF($C1536="","",J1536*W1536/100)</f>
        <v/>
      </c>
      <c r="Q1536" s="7" t="n"/>
      <c r="R1536" s="7" t="n"/>
      <c r="U1536">
        <f>IF($C1536="","",IF($AJ1536=1,0,IF($AI1536=1,Settings!$C$6,Settings!$C$7))*100)</f>
        <v/>
      </c>
      <c r="V1536" s="7">
        <f>IF($C1536="","",R1536*U1536/100)</f>
        <v/>
      </c>
      <c r="W1536" s="7">
        <f>IF($C1536="","",R1536-V1536)</f>
        <v/>
      </c>
      <c r="X1536" s="7">
        <f>IF($C1536="","",W1536-K1536)</f>
        <v/>
      </c>
      <c r="AB1536" s="7" t="n"/>
      <c r="AE1536" s="11" t="n"/>
      <c r="AG1536">
        <f>IF($C1536="","",IF(COUNTIF($C$2:$C1536,$C1536)=1,1,0))</f>
        <v/>
      </c>
      <c r="AH1536">
        <f>IF($AG1536=1,SUMPRODUCT(--($AK$2:$AK$6001&lt;$AK1536))+1,"")</f>
        <v/>
      </c>
      <c r="AI1536">
        <f>IF($C1536="","",IF(OR($N1536=TRUE(),$N1536="TRUE"),1,0))</f>
        <v/>
      </c>
      <c r="AJ1536">
        <f>IF($C1536="","",IF($T1536="Yes",1,0))</f>
        <v/>
      </c>
      <c r="AK1536">
        <f>IF($AG1536=1,IFERROR(IF(VALUE($C1536)&lt;100000000,VALUE($C1536),1000000000),IFERROR(IF(VALUE(MID($C1536,2,20))&lt;100000000,VALUE(MID($C1536,2,20)),1000000000),1000000000))+ROW()/100000,"")</f>
        <v/>
      </c>
    </row>
    <row r="1537">
      <c r="D1537" s="11" t="n"/>
      <c r="K1537" s="7">
        <f>IF($C1537="","",J1537*W1537/100)</f>
        <v/>
      </c>
      <c r="Q1537" s="7" t="n"/>
      <c r="R1537" s="7" t="n"/>
      <c r="U1537">
        <f>IF($C1537="","",IF($AJ1537=1,0,IF($AI1537=1,Settings!$C$6,Settings!$C$7))*100)</f>
        <v/>
      </c>
      <c r="V1537" s="7">
        <f>IF($C1537="","",R1537*U1537/100)</f>
        <v/>
      </c>
      <c r="W1537" s="7">
        <f>IF($C1537="","",R1537-V1537)</f>
        <v/>
      </c>
      <c r="X1537" s="7">
        <f>IF($C1537="","",W1537-K1537)</f>
        <v/>
      </c>
      <c r="AB1537" s="7" t="n"/>
      <c r="AE1537" s="11" t="n"/>
      <c r="AG1537">
        <f>IF($C1537="","",IF(COUNTIF($C$2:$C1537,$C1537)=1,1,0))</f>
        <v/>
      </c>
      <c r="AH1537">
        <f>IF($AG1537=1,SUMPRODUCT(--($AK$2:$AK$6001&lt;$AK1537))+1,"")</f>
        <v/>
      </c>
      <c r="AI1537">
        <f>IF($C1537="","",IF(OR($N1537=TRUE(),$N1537="TRUE"),1,0))</f>
        <v/>
      </c>
      <c r="AJ1537">
        <f>IF($C1537="","",IF($T1537="Yes",1,0))</f>
        <v/>
      </c>
      <c r="AK1537">
        <f>IF($AG1537=1,IFERROR(IF(VALUE($C1537)&lt;100000000,VALUE($C1537),1000000000),IFERROR(IF(VALUE(MID($C1537,2,20))&lt;100000000,VALUE(MID($C1537,2,20)),1000000000),1000000000))+ROW()/100000,"")</f>
        <v/>
      </c>
    </row>
    <row r="1538">
      <c r="D1538" s="11" t="n"/>
      <c r="K1538" s="7">
        <f>IF($C1538="","",J1538*W1538/100)</f>
        <v/>
      </c>
      <c r="Q1538" s="7" t="n"/>
      <c r="R1538" s="7" t="n"/>
      <c r="U1538">
        <f>IF($C1538="","",IF($AJ1538=1,0,IF($AI1538=1,Settings!$C$6,Settings!$C$7))*100)</f>
        <v/>
      </c>
      <c r="V1538" s="7">
        <f>IF($C1538="","",R1538*U1538/100)</f>
        <v/>
      </c>
      <c r="W1538" s="7">
        <f>IF($C1538="","",R1538-V1538)</f>
        <v/>
      </c>
      <c r="X1538" s="7">
        <f>IF($C1538="","",W1538-K1538)</f>
        <v/>
      </c>
      <c r="AB1538" s="7" t="n"/>
      <c r="AE1538" s="11" t="n"/>
      <c r="AG1538">
        <f>IF($C1538="","",IF(COUNTIF($C$2:$C1538,$C1538)=1,1,0))</f>
        <v/>
      </c>
      <c r="AH1538">
        <f>IF($AG1538=1,SUMPRODUCT(--($AK$2:$AK$6001&lt;$AK1538))+1,"")</f>
        <v/>
      </c>
      <c r="AI1538">
        <f>IF($C1538="","",IF(OR($N1538=TRUE(),$N1538="TRUE"),1,0))</f>
        <v/>
      </c>
      <c r="AJ1538">
        <f>IF($C1538="","",IF($T1538="Yes",1,0))</f>
        <v/>
      </c>
      <c r="AK1538">
        <f>IF($AG1538=1,IFERROR(IF(VALUE($C1538)&lt;100000000,VALUE($C1538),1000000000),IFERROR(IF(VALUE(MID($C1538,2,20))&lt;100000000,VALUE(MID($C1538,2,20)),1000000000),1000000000))+ROW()/100000,"")</f>
        <v/>
      </c>
    </row>
    <row r="1539">
      <c r="D1539" s="11" t="n"/>
      <c r="K1539" s="7">
        <f>IF($C1539="","",J1539*W1539/100)</f>
        <v/>
      </c>
      <c r="Q1539" s="7" t="n"/>
      <c r="R1539" s="7" t="n"/>
      <c r="U1539">
        <f>IF($C1539="","",IF($AJ1539=1,0,IF($AI1539=1,Settings!$C$6,Settings!$C$7))*100)</f>
        <v/>
      </c>
      <c r="V1539" s="7">
        <f>IF($C1539="","",R1539*U1539/100)</f>
        <v/>
      </c>
      <c r="W1539" s="7">
        <f>IF($C1539="","",R1539-V1539)</f>
        <v/>
      </c>
      <c r="X1539" s="7">
        <f>IF($C1539="","",W1539-K1539)</f>
        <v/>
      </c>
      <c r="AB1539" s="7" t="n"/>
      <c r="AE1539" s="11" t="n"/>
      <c r="AG1539">
        <f>IF($C1539="","",IF(COUNTIF($C$2:$C1539,$C1539)=1,1,0))</f>
        <v/>
      </c>
      <c r="AH1539">
        <f>IF($AG1539=1,SUMPRODUCT(--($AK$2:$AK$6001&lt;$AK1539))+1,"")</f>
        <v/>
      </c>
      <c r="AI1539">
        <f>IF($C1539="","",IF(OR($N1539=TRUE(),$N1539="TRUE"),1,0))</f>
        <v/>
      </c>
      <c r="AJ1539">
        <f>IF($C1539="","",IF($T1539="Yes",1,0))</f>
        <v/>
      </c>
      <c r="AK1539">
        <f>IF($AG1539=1,IFERROR(IF(VALUE($C1539)&lt;100000000,VALUE($C1539),1000000000),IFERROR(IF(VALUE(MID($C1539,2,20))&lt;100000000,VALUE(MID($C1539,2,20)),1000000000),1000000000))+ROW()/100000,"")</f>
        <v/>
      </c>
    </row>
    <row r="1540">
      <c r="D1540" s="11" t="n"/>
      <c r="K1540" s="7">
        <f>IF($C1540="","",J1540*W1540/100)</f>
        <v/>
      </c>
      <c r="Q1540" s="7" t="n"/>
      <c r="R1540" s="7" t="n"/>
      <c r="U1540">
        <f>IF($C1540="","",IF($AJ1540=1,0,IF($AI1540=1,Settings!$C$6,Settings!$C$7))*100)</f>
        <v/>
      </c>
      <c r="V1540" s="7">
        <f>IF($C1540="","",R1540*U1540/100)</f>
        <v/>
      </c>
      <c r="W1540" s="7">
        <f>IF($C1540="","",R1540-V1540)</f>
        <v/>
      </c>
      <c r="X1540" s="7">
        <f>IF($C1540="","",W1540-K1540)</f>
        <v/>
      </c>
      <c r="AB1540" s="7" t="n"/>
      <c r="AE1540" s="11" t="n"/>
      <c r="AG1540">
        <f>IF($C1540="","",IF(COUNTIF($C$2:$C1540,$C1540)=1,1,0))</f>
        <v/>
      </c>
      <c r="AH1540">
        <f>IF($AG1540=1,SUMPRODUCT(--($AK$2:$AK$6001&lt;$AK1540))+1,"")</f>
        <v/>
      </c>
      <c r="AI1540">
        <f>IF($C1540="","",IF(OR($N1540=TRUE(),$N1540="TRUE"),1,0))</f>
        <v/>
      </c>
      <c r="AJ1540">
        <f>IF($C1540="","",IF($T1540="Yes",1,0))</f>
        <v/>
      </c>
      <c r="AK1540">
        <f>IF($AG1540=1,IFERROR(IF(VALUE($C1540)&lt;100000000,VALUE($C1540),1000000000),IFERROR(IF(VALUE(MID($C1540,2,20))&lt;100000000,VALUE(MID($C1540,2,20)),1000000000),1000000000))+ROW()/100000,"")</f>
        <v/>
      </c>
    </row>
    <row r="1541">
      <c r="D1541" s="11" t="n"/>
      <c r="K1541" s="7">
        <f>IF($C1541="","",J1541*W1541/100)</f>
        <v/>
      </c>
      <c r="Q1541" s="7" t="n"/>
      <c r="R1541" s="7" t="n"/>
      <c r="U1541">
        <f>IF($C1541="","",IF($AJ1541=1,0,IF($AI1541=1,Settings!$C$6,Settings!$C$7))*100)</f>
        <v/>
      </c>
      <c r="V1541" s="7">
        <f>IF($C1541="","",R1541*U1541/100)</f>
        <v/>
      </c>
      <c r="W1541" s="7">
        <f>IF($C1541="","",R1541-V1541)</f>
        <v/>
      </c>
      <c r="X1541" s="7">
        <f>IF($C1541="","",W1541-K1541)</f>
        <v/>
      </c>
      <c r="AB1541" s="7" t="n"/>
      <c r="AE1541" s="11" t="n"/>
      <c r="AG1541">
        <f>IF($C1541="","",IF(COUNTIF($C$2:$C1541,$C1541)=1,1,0))</f>
        <v/>
      </c>
      <c r="AH1541">
        <f>IF($AG1541=1,SUMPRODUCT(--($AK$2:$AK$6001&lt;$AK1541))+1,"")</f>
        <v/>
      </c>
      <c r="AI1541">
        <f>IF($C1541="","",IF(OR($N1541=TRUE(),$N1541="TRUE"),1,0))</f>
        <v/>
      </c>
      <c r="AJ1541">
        <f>IF($C1541="","",IF($T1541="Yes",1,0))</f>
        <v/>
      </c>
      <c r="AK1541">
        <f>IF($AG1541=1,IFERROR(IF(VALUE($C1541)&lt;100000000,VALUE($C1541),1000000000),IFERROR(IF(VALUE(MID($C1541,2,20))&lt;100000000,VALUE(MID($C1541,2,20)),1000000000),1000000000))+ROW()/100000,"")</f>
        <v/>
      </c>
    </row>
    <row r="1542">
      <c r="D1542" s="11" t="n"/>
      <c r="K1542" s="7">
        <f>IF($C1542="","",J1542*W1542/100)</f>
        <v/>
      </c>
      <c r="Q1542" s="7" t="n"/>
      <c r="R1542" s="7" t="n"/>
      <c r="U1542">
        <f>IF($C1542="","",IF($AJ1542=1,0,IF($AI1542=1,Settings!$C$6,Settings!$C$7))*100)</f>
        <v/>
      </c>
      <c r="V1542" s="7">
        <f>IF($C1542="","",R1542*U1542/100)</f>
        <v/>
      </c>
      <c r="W1542" s="7">
        <f>IF($C1542="","",R1542-V1542)</f>
        <v/>
      </c>
      <c r="X1542" s="7">
        <f>IF($C1542="","",W1542-K1542)</f>
        <v/>
      </c>
      <c r="AB1542" s="7" t="n"/>
      <c r="AE1542" s="11" t="n"/>
      <c r="AG1542">
        <f>IF($C1542="","",IF(COUNTIF($C$2:$C1542,$C1542)=1,1,0))</f>
        <v/>
      </c>
      <c r="AH1542">
        <f>IF($AG1542=1,SUMPRODUCT(--($AK$2:$AK$6001&lt;$AK1542))+1,"")</f>
        <v/>
      </c>
      <c r="AI1542">
        <f>IF($C1542="","",IF(OR($N1542=TRUE(),$N1542="TRUE"),1,0))</f>
        <v/>
      </c>
      <c r="AJ1542">
        <f>IF($C1542="","",IF($T1542="Yes",1,0))</f>
        <v/>
      </c>
      <c r="AK1542">
        <f>IF($AG1542=1,IFERROR(IF(VALUE($C1542)&lt;100000000,VALUE($C1542),1000000000),IFERROR(IF(VALUE(MID($C1542,2,20))&lt;100000000,VALUE(MID($C1542,2,20)),1000000000),1000000000))+ROW()/100000,"")</f>
        <v/>
      </c>
    </row>
    <row r="1543">
      <c r="D1543" s="11" t="n"/>
      <c r="K1543" s="7">
        <f>IF($C1543="","",J1543*W1543/100)</f>
        <v/>
      </c>
      <c r="Q1543" s="7" t="n"/>
      <c r="R1543" s="7" t="n"/>
      <c r="U1543">
        <f>IF($C1543="","",IF($AJ1543=1,0,IF($AI1543=1,Settings!$C$6,Settings!$C$7))*100)</f>
        <v/>
      </c>
      <c r="V1543" s="7">
        <f>IF($C1543="","",R1543*U1543/100)</f>
        <v/>
      </c>
      <c r="W1543" s="7">
        <f>IF($C1543="","",R1543-V1543)</f>
        <v/>
      </c>
      <c r="X1543" s="7">
        <f>IF($C1543="","",W1543-K1543)</f>
        <v/>
      </c>
      <c r="AB1543" s="7" t="n"/>
      <c r="AE1543" s="11" t="n"/>
      <c r="AG1543">
        <f>IF($C1543="","",IF(COUNTIF($C$2:$C1543,$C1543)=1,1,0))</f>
        <v/>
      </c>
      <c r="AH1543">
        <f>IF($AG1543=1,SUMPRODUCT(--($AK$2:$AK$6001&lt;$AK1543))+1,"")</f>
        <v/>
      </c>
      <c r="AI1543">
        <f>IF($C1543="","",IF(OR($N1543=TRUE(),$N1543="TRUE"),1,0))</f>
        <v/>
      </c>
      <c r="AJ1543">
        <f>IF($C1543="","",IF($T1543="Yes",1,0))</f>
        <v/>
      </c>
      <c r="AK1543">
        <f>IF($AG1543=1,IFERROR(IF(VALUE($C1543)&lt;100000000,VALUE($C1543),1000000000),IFERROR(IF(VALUE(MID($C1543,2,20))&lt;100000000,VALUE(MID($C1543,2,20)),1000000000),1000000000))+ROW()/100000,"")</f>
        <v/>
      </c>
    </row>
    <row r="1544">
      <c r="D1544" s="11" t="n"/>
      <c r="K1544" s="7">
        <f>IF($C1544="","",J1544*W1544/100)</f>
        <v/>
      </c>
      <c r="Q1544" s="7" t="n"/>
      <c r="R1544" s="7" t="n"/>
      <c r="U1544">
        <f>IF($C1544="","",IF($AJ1544=1,0,IF($AI1544=1,Settings!$C$6,Settings!$C$7))*100)</f>
        <v/>
      </c>
      <c r="V1544" s="7">
        <f>IF($C1544="","",R1544*U1544/100)</f>
        <v/>
      </c>
      <c r="W1544" s="7">
        <f>IF($C1544="","",R1544-V1544)</f>
        <v/>
      </c>
      <c r="X1544" s="7">
        <f>IF($C1544="","",W1544-K1544)</f>
        <v/>
      </c>
      <c r="AB1544" s="7" t="n"/>
      <c r="AE1544" s="11" t="n"/>
      <c r="AG1544">
        <f>IF($C1544="","",IF(COUNTIF($C$2:$C1544,$C1544)=1,1,0))</f>
        <v/>
      </c>
      <c r="AH1544">
        <f>IF($AG1544=1,SUMPRODUCT(--($AK$2:$AK$6001&lt;$AK1544))+1,"")</f>
        <v/>
      </c>
      <c r="AI1544">
        <f>IF($C1544="","",IF(OR($N1544=TRUE(),$N1544="TRUE"),1,0))</f>
        <v/>
      </c>
      <c r="AJ1544">
        <f>IF($C1544="","",IF($T1544="Yes",1,0))</f>
        <v/>
      </c>
      <c r="AK1544">
        <f>IF($AG1544=1,IFERROR(IF(VALUE($C1544)&lt;100000000,VALUE($C1544),1000000000),IFERROR(IF(VALUE(MID($C1544,2,20))&lt;100000000,VALUE(MID($C1544,2,20)),1000000000),1000000000))+ROW()/100000,"")</f>
        <v/>
      </c>
    </row>
    <row r="1545">
      <c r="D1545" s="11" t="n"/>
      <c r="K1545" s="7">
        <f>IF($C1545="","",J1545*W1545/100)</f>
        <v/>
      </c>
      <c r="Q1545" s="7" t="n"/>
      <c r="R1545" s="7" t="n"/>
      <c r="U1545">
        <f>IF($C1545="","",IF($AJ1545=1,0,IF($AI1545=1,Settings!$C$6,Settings!$C$7))*100)</f>
        <v/>
      </c>
      <c r="V1545" s="7">
        <f>IF($C1545="","",R1545*U1545/100)</f>
        <v/>
      </c>
      <c r="W1545" s="7">
        <f>IF($C1545="","",R1545-V1545)</f>
        <v/>
      </c>
      <c r="X1545" s="7">
        <f>IF($C1545="","",W1545-K1545)</f>
        <v/>
      </c>
      <c r="AB1545" s="7" t="n"/>
      <c r="AE1545" s="11" t="n"/>
      <c r="AG1545">
        <f>IF($C1545="","",IF(COUNTIF($C$2:$C1545,$C1545)=1,1,0))</f>
        <v/>
      </c>
      <c r="AH1545">
        <f>IF($AG1545=1,SUMPRODUCT(--($AK$2:$AK$6001&lt;$AK1545))+1,"")</f>
        <v/>
      </c>
      <c r="AI1545">
        <f>IF($C1545="","",IF(OR($N1545=TRUE(),$N1545="TRUE"),1,0))</f>
        <v/>
      </c>
      <c r="AJ1545">
        <f>IF($C1545="","",IF($T1545="Yes",1,0))</f>
        <v/>
      </c>
      <c r="AK1545">
        <f>IF($AG1545=1,IFERROR(IF(VALUE($C1545)&lt;100000000,VALUE($C1545),1000000000),IFERROR(IF(VALUE(MID($C1545,2,20))&lt;100000000,VALUE(MID($C1545,2,20)),1000000000),1000000000))+ROW()/100000,"")</f>
        <v/>
      </c>
    </row>
    <row r="1546">
      <c r="D1546" s="11" t="n"/>
      <c r="K1546" s="7">
        <f>IF($C1546="","",J1546*W1546/100)</f>
        <v/>
      </c>
      <c r="Q1546" s="7" t="n"/>
      <c r="R1546" s="7" t="n"/>
      <c r="U1546">
        <f>IF($C1546="","",IF($AJ1546=1,0,IF($AI1546=1,Settings!$C$6,Settings!$C$7))*100)</f>
        <v/>
      </c>
      <c r="V1546" s="7">
        <f>IF($C1546="","",R1546*U1546/100)</f>
        <v/>
      </c>
      <c r="W1546" s="7">
        <f>IF($C1546="","",R1546-V1546)</f>
        <v/>
      </c>
      <c r="X1546" s="7">
        <f>IF($C1546="","",W1546-K1546)</f>
        <v/>
      </c>
      <c r="AB1546" s="7" t="n"/>
      <c r="AE1546" s="11" t="n"/>
      <c r="AG1546">
        <f>IF($C1546="","",IF(COUNTIF($C$2:$C1546,$C1546)=1,1,0))</f>
        <v/>
      </c>
      <c r="AH1546">
        <f>IF($AG1546=1,SUMPRODUCT(--($AK$2:$AK$6001&lt;$AK1546))+1,"")</f>
        <v/>
      </c>
      <c r="AI1546">
        <f>IF($C1546="","",IF(OR($N1546=TRUE(),$N1546="TRUE"),1,0))</f>
        <v/>
      </c>
      <c r="AJ1546">
        <f>IF($C1546="","",IF($T1546="Yes",1,0))</f>
        <v/>
      </c>
      <c r="AK1546">
        <f>IF($AG1546=1,IFERROR(IF(VALUE($C1546)&lt;100000000,VALUE($C1546),1000000000),IFERROR(IF(VALUE(MID($C1546,2,20))&lt;100000000,VALUE(MID($C1546,2,20)),1000000000),1000000000))+ROW()/100000,"")</f>
        <v/>
      </c>
    </row>
    <row r="1547">
      <c r="D1547" s="11" t="n"/>
      <c r="K1547" s="7">
        <f>IF($C1547="","",J1547*W1547/100)</f>
        <v/>
      </c>
      <c r="Q1547" s="7" t="n"/>
      <c r="R1547" s="7" t="n"/>
      <c r="U1547">
        <f>IF($C1547="","",IF($AJ1547=1,0,IF($AI1547=1,Settings!$C$6,Settings!$C$7))*100)</f>
        <v/>
      </c>
      <c r="V1547" s="7">
        <f>IF($C1547="","",R1547*U1547/100)</f>
        <v/>
      </c>
      <c r="W1547" s="7">
        <f>IF($C1547="","",R1547-V1547)</f>
        <v/>
      </c>
      <c r="X1547" s="7">
        <f>IF($C1547="","",W1547-K1547)</f>
        <v/>
      </c>
      <c r="AB1547" s="7" t="n"/>
      <c r="AE1547" s="11" t="n"/>
      <c r="AG1547">
        <f>IF($C1547="","",IF(COUNTIF($C$2:$C1547,$C1547)=1,1,0))</f>
        <v/>
      </c>
      <c r="AH1547">
        <f>IF($AG1547=1,SUMPRODUCT(--($AK$2:$AK$6001&lt;$AK1547))+1,"")</f>
        <v/>
      </c>
      <c r="AI1547">
        <f>IF($C1547="","",IF(OR($N1547=TRUE(),$N1547="TRUE"),1,0))</f>
        <v/>
      </c>
      <c r="AJ1547">
        <f>IF($C1547="","",IF($T1547="Yes",1,0))</f>
        <v/>
      </c>
      <c r="AK1547">
        <f>IF($AG1547=1,IFERROR(IF(VALUE($C1547)&lt;100000000,VALUE($C1547),1000000000),IFERROR(IF(VALUE(MID($C1547,2,20))&lt;100000000,VALUE(MID($C1547,2,20)),1000000000),1000000000))+ROW()/100000,"")</f>
        <v/>
      </c>
    </row>
    <row r="1548">
      <c r="D1548" s="11" t="n"/>
      <c r="K1548" s="7">
        <f>IF($C1548="","",J1548*W1548/100)</f>
        <v/>
      </c>
      <c r="Q1548" s="7" t="n"/>
      <c r="R1548" s="7" t="n"/>
      <c r="U1548">
        <f>IF($C1548="","",IF($AJ1548=1,0,IF($AI1548=1,Settings!$C$6,Settings!$C$7))*100)</f>
        <v/>
      </c>
      <c r="V1548" s="7">
        <f>IF($C1548="","",R1548*U1548/100)</f>
        <v/>
      </c>
      <c r="W1548" s="7">
        <f>IF($C1548="","",R1548-V1548)</f>
        <v/>
      </c>
      <c r="X1548" s="7">
        <f>IF($C1548="","",W1548-K1548)</f>
        <v/>
      </c>
      <c r="AB1548" s="7" t="n"/>
      <c r="AE1548" s="11" t="n"/>
      <c r="AG1548">
        <f>IF($C1548="","",IF(COUNTIF($C$2:$C1548,$C1548)=1,1,0))</f>
        <v/>
      </c>
      <c r="AH1548">
        <f>IF($AG1548=1,SUMPRODUCT(--($AK$2:$AK$6001&lt;$AK1548))+1,"")</f>
        <v/>
      </c>
      <c r="AI1548">
        <f>IF($C1548="","",IF(OR($N1548=TRUE(),$N1548="TRUE"),1,0))</f>
        <v/>
      </c>
      <c r="AJ1548">
        <f>IF($C1548="","",IF($T1548="Yes",1,0))</f>
        <v/>
      </c>
      <c r="AK1548">
        <f>IF($AG1548=1,IFERROR(IF(VALUE($C1548)&lt;100000000,VALUE($C1548),1000000000),IFERROR(IF(VALUE(MID($C1548,2,20))&lt;100000000,VALUE(MID($C1548,2,20)),1000000000),1000000000))+ROW()/100000,"")</f>
        <v/>
      </c>
    </row>
    <row r="1549">
      <c r="D1549" s="11" t="n"/>
      <c r="K1549" s="7">
        <f>IF($C1549="","",J1549*W1549/100)</f>
        <v/>
      </c>
      <c r="Q1549" s="7" t="n"/>
      <c r="R1549" s="7" t="n"/>
      <c r="U1549">
        <f>IF($C1549="","",IF($AJ1549=1,0,IF($AI1549=1,Settings!$C$6,Settings!$C$7))*100)</f>
        <v/>
      </c>
      <c r="V1549" s="7">
        <f>IF($C1549="","",R1549*U1549/100)</f>
        <v/>
      </c>
      <c r="W1549" s="7">
        <f>IF($C1549="","",R1549-V1549)</f>
        <v/>
      </c>
      <c r="X1549" s="7">
        <f>IF($C1549="","",W1549-K1549)</f>
        <v/>
      </c>
      <c r="AB1549" s="7" t="n"/>
      <c r="AE1549" s="11" t="n"/>
      <c r="AG1549">
        <f>IF($C1549="","",IF(COUNTIF($C$2:$C1549,$C1549)=1,1,0))</f>
        <v/>
      </c>
      <c r="AH1549">
        <f>IF($AG1549=1,SUMPRODUCT(--($AK$2:$AK$6001&lt;$AK1549))+1,"")</f>
        <v/>
      </c>
      <c r="AI1549">
        <f>IF($C1549="","",IF(OR($N1549=TRUE(),$N1549="TRUE"),1,0))</f>
        <v/>
      </c>
      <c r="AJ1549">
        <f>IF($C1549="","",IF($T1549="Yes",1,0))</f>
        <v/>
      </c>
      <c r="AK1549">
        <f>IF($AG1549=1,IFERROR(IF(VALUE($C1549)&lt;100000000,VALUE($C1549),1000000000),IFERROR(IF(VALUE(MID($C1549,2,20))&lt;100000000,VALUE(MID($C1549,2,20)),1000000000),1000000000))+ROW()/100000,"")</f>
        <v/>
      </c>
    </row>
    <row r="1550">
      <c r="D1550" s="11" t="n"/>
      <c r="K1550" s="7">
        <f>IF($C1550="","",J1550*W1550/100)</f>
        <v/>
      </c>
      <c r="Q1550" s="7" t="n"/>
      <c r="R1550" s="7" t="n"/>
      <c r="U1550">
        <f>IF($C1550="","",IF($AJ1550=1,0,IF($AI1550=1,Settings!$C$6,Settings!$C$7))*100)</f>
        <v/>
      </c>
      <c r="V1550" s="7">
        <f>IF($C1550="","",R1550*U1550/100)</f>
        <v/>
      </c>
      <c r="W1550" s="7">
        <f>IF($C1550="","",R1550-V1550)</f>
        <v/>
      </c>
      <c r="X1550" s="7">
        <f>IF($C1550="","",W1550-K1550)</f>
        <v/>
      </c>
      <c r="AB1550" s="7" t="n"/>
      <c r="AE1550" s="11" t="n"/>
      <c r="AG1550">
        <f>IF($C1550="","",IF(COUNTIF($C$2:$C1550,$C1550)=1,1,0))</f>
        <v/>
      </c>
      <c r="AH1550">
        <f>IF($AG1550=1,SUMPRODUCT(--($AK$2:$AK$6001&lt;$AK1550))+1,"")</f>
        <v/>
      </c>
      <c r="AI1550">
        <f>IF($C1550="","",IF(OR($N1550=TRUE(),$N1550="TRUE"),1,0))</f>
        <v/>
      </c>
      <c r="AJ1550">
        <f>IF($C1550="","",IF($T1550="Yes",1,0))</f>
        <v/>
      </c>
      <c r="AK1550">
        <f>IF($AG1550=1,IFERROR(IF(VALUE($C1550)&lt;100000000,VALUE($C1550),1000000000),IFERROR(IF(VALUE(MID($C1550,2,20))&lt;100000000,VALUE(MID($C1550,2,20)),1000000000),1000000000))+ROW()/100000,"")</f>
        <v/>
      </c>
    </row>
    <row r="1551">
      <c r="D1551" s="11" t="n"/>
      <c r="K1551" s="7">
        <f>IF($C1551="","",J1551*W1551/100)</f>
        <v/>
      </c>
      <c r="Q1551" s="7" t="n"/>
      <c r="R1551" s="7" t="n"/>
      <c r="U1551">
        <f>IF($C1551="","",IF($AJ1551=1,0,IF($AI1551=1,Settings!$C$6,Settings!$C$7))*100)</f>
        <v/>
      </c>
      <c r="V1551" s="7">
        <f>IF($C1551="","",R1551*U1551/100)</f>
        <v/>
      </c>
      <c r="W1551" s="7">
        <f>IF($C1551="","",R1551-V1551)</f>
        <v/>
      </c>
      <c r="X1551" s="7">
        <f>IF($C1551="","",W1551-K1551)</f>
        <v/>
      </c>
      <c r="AB1551" s="7" t="n"/>
      <c r="AE1551" s="11" t="n"/>
      <c r="AG1551">
        <f>IF($C1551="","",IF(COUNTIF($C$2:$C1551,$C1551)=1,1,0))</f>
        <v/>
      </c>
      <c r="AH1551">
        <f>IF($AG1551=1,SUMPRODUCT(--($AK$2:$AK$6001&lt;$AK1551))+1,"")</f>
        <v/>
      </c>
      <c r="AI1551">
        <f>IF($C1551="","",IF(OR($N1551=TRUE(),$N1551="TRUE"),1,0))</f>
        <v/>
      </c>
      <c r="AJ1551">
        <f>IF($C1551="","",IF($T1551="Yes",1,0))</f>
        <v/>
      </c>
      <c r="AK1551">
        <f>IF($AG1551=1,IFERROR(IF(VALUE($C1551)&lt;100000000,VALUE($C1551),1000000000),IFERROR(IF(VALUE(MID($C1551,2,20))&lt;100000000,VALUE(MID($C1551,2,20)),1000000000),1000000000))+ROW()/100000,"")</f>
        <v/>
      </c>
    </row>
    <row r="1552">
      <c r="D1552" s="11" t="n"/>
      <c r="K1552" s="7">
        <f>IF($C1552="","",J1552*W1552/100)</f>
        <v/>
      </c>
      <c r="Q1552" s="7" t="n"/>
      <c r="R1552" s="7" t="n"/>
      <c r="U1552">
        <f>IF($C1552="","",IF($AJ1552=1,0,IF($AI1552=1,Settings!$C$6,Settings!$C$7))*100)</f>
        <v/>
      </c>
      <c r="V1552" s="7">
        <f>IF($C1552="","",R1552*U1552/100)</f>
        <v/>
      </c>
      <c r="W1552" s="7">
        <f>IF($C1552="","",R1552-V1552)</f>
        <v/>
      </c>
      <c r="X1552" s="7">
        <f>IF($C1552="","",W1552-K1552)</f>
        <v/>
      </c>
      <c r="AB1552" s="7" t="n"/>
      <c r="AE1552" s="11" t="n"/>
      <c r="AG1552">
        <f>IF($C1552="","",IF(COUNTIF($C$2:$C1552,$C1552)=1,1,0))</f>
        <v/>
      </c>
      <c r="AH1552">
        <f>IF($AG1552=1,SUMPRODUCT(--($AK$2:$AK$6001&lt;$AK1552))+1,"")</f>
        <v/>
      </c>
      <c r="AI1552">
        <f>IF($C1552="","",IF(OR($N1552=TRUE(),$N1552="TRUE"),1,0))</f>
        <v/>
      </c>
      <c r="AJ1552">
        <f>IF($C1552="","",IF($T1552="Yes",1,0))</f>
        <v/>
      </c>
      <c r="AK1552">
        <f>IF($AG1552=1,IFERROR(IF(VALUE($C1552)&lt;100000000,VALUE($C1552),1000000000),IFERROR(IF(VALUE(MID($C1552,2,20))&lt;100000000,VALUE(MID($C1552,2,20)),1000000000),1000000000))+ROW()/100000,"")</f>
        <v/>
      </c>
    </row>
    <row r="1553">
      <c r="D1553" s="11" t="n"/>
      <c r="K1553" s="7">
        <f>IF($C1553="","",J1553*W1553/100)</f>
        <v/>
      </c>
      <c r="Q1553" s="7" t="n"/>
      <c r="R1553" s="7" t="n"/>
      <c r="U1553">
        <f>IF($C1553="","",IF($AJ1553=1,0,IF($AI1553=1,Settings!$C$6,Settings!$C$7))*100)</f>
        <v/>
      </c>
      <c r="V1553" s="7">
        <f>IF($C1553="","",R1553*U1553/100)</f>
        <v/>
      </c>
      <c r="W1553" s="7">
        <f>IF($C1553="","",R1553-V1553)</f>
        <v/>
      </c>
      <c r="X1553" s="7">
        <f>IF($C1553="","",W1553-K1553)</f>
        <v/>
      </c>
      <c r="AB1553" s="7" t="n"/>
      <c r="AE1553" s="11" t="n"/>
      <c r="AG1553">
        <f>IF($C1553="","",IF(COUNTIF($C$2:$C1553,$C1553)=1,1,0))</f>
        <v/>
      </c>
      <c r="AH1553">
        <f>IF($AG1553=1,SUMPRODUCT(--($AK$2:$AK$6001&lt;$AK1553))+1,"")</f>
        <v/>
      </c>
      <c r="AI1553">
        <f>IF($C1553="","",IF(OR($N1553=TRUE(),$N1553="TRUE"),1,0))</f>
        <v/>
      </c>
      <c r="AJ1553">
        <f>IF($C1553="","",IF($T1553="Yes",1,0))</f>
        <v/>
      </c>
      <c r="AK1553">
        <f>IF($AG1553=1,IFERROR(IF(VALUE($C1553)&lt;100000000,VALUE($C1553),1000000000),IFERROR(IF(VALUE(MID($C1553,2,20))&lt;100000000,VALUE(MID($C1553,2,20)),1000000000),1000000000))+ROW()/100000,"")</f>
        <v/>
      </c>
    </row>
    <row r="1554">
      <c r="D1554" s="11" t="n"/>
      <c r="K1554" s="7">
        <f>IF($C1554="","",J1554*W1554/100)</f>
        <v/>
      </c>
      <c r="Q1554" s="7" t="n"/>
      <c r="R1554" s="7" t="n"/>
      <c r="U1554">
        <f>IF($C1554="","",IF($AJ1554=1,0,IF($AI1554=1,Settings!$C$6,Settings!$C$7))*100)</f>
        <v/>
      </c>
      <c r="V1554" s="7">
        <f>IF($C1554="","",R1554*U1554/100)</f>
        <v/>
      </c>
      <c r="W1554" s="7">
        <f>IF($C1554="","",R1554-V1554)</f>
        <v/>
      </c>
      <c r="X1554" s="7">
        <f>IF($C1554="","",W1554-K1554)</f>
        <v/>
      </c>
      <c r="AB1554" s="7" t="n"/>
      <c r="AE1554" s="11" t="n"/>
      <c r="AG1554">
        <f>IF($C1554="","",IF(COUNTIF($C$2:$C1554,$C1554)=1,1,0))</f>
        <v/>
      </c>
      <c r="AH1554">
        <f>IF($AG1554=1,SUMPRODUCT(--($AK$2:$AK$6001&lt;$AK1554))+1,"")</f>
        <v/>
      </c>
      <c r="AI1554">
        <f>IF($C1554="","",IF(OR($N1554=TRUE(),$N1554="TRUE"),1,0))</f>
        <v/>
      </c>
      <c r="AJ1554">
        <f>IF($C1554="","",IF($T1554="Yes",1,0))</f>
        <v/>
      </c>
      <c r="AK1554">
        <f>IF($AG1554=1,IFERROR(IF(VALUE($C1554)&lt;100000000,VALUE($C1554),1000000000),IFERROR(IF(VALUE(MID($C1554,2,20))&lt;100000000,VALUE(MID($C1554,2,20)),1000000000),1000000000))+ROW()/100000,"")</f>
        <v/>
      </c>
    </row>
    <row r="1555">
      <c r="D1555" s="11" t="n"/>
      <c r="K1555" s="7">
        <f>IF($C1555="","",J1555*W1555/100)</f>
        <v/>
      </c>
      <c r="Q1555" s="7" t="n"/>
      <c r="R1555" s="7" t="n"/>
      <c r="U1555">
        <f>IF($C1555="","",IF($AJ1555=1,0,IF($AI1555=1,Settings!$C$6,Settings!$C$7))*100)</f>
        <v/>
      </c>
      <c r="V1555" s="7">
        <f>IF($C1555="","",R1555*U1555/100)</f>
        <v/>
      </c>
      <c r="W1555" s="7">
        <f>IF($C1555="","",R1555-V1555)</f>
        <v/>
      </c>
      <c r="X1555" s="7">
        <f>IF($C1555="","",W1555-K1555)</f>
        <v/>
      </c>
      <c r="AB1555" s="7" t="n"/>
      <c r="AE1555" s="11" t="n"/>
      <c r="AG1555">
        <f>IF($C1555="","",IF(COUNTIF($C$2:$C1555,$C1555)=1,1,0))</f>
        <v/>
      </c>
      <c r="AH1555">
        <f>IF($AG1555=1,SUMPRODUCT(--($AK$2:$AK$6001&lt;$AK1555))+1,"")</f>
        <v/>
      </c>
      <c r="AI1555">
        <f>IF($C1555="","",IF(OR($N1555=TRUE(),$N1555="TRUE"),1,0))</f>
        <v/>
      </c>
      <c r="AJ1555">
        <f>IF($C1555="","",IF($T1555="Yes",1,0))</f>
        <v/>
      </c>
      <c r="AK1555">
        <f>IF($AG1555=1,IFERROR(IF(VALUE($C1555)&lt;100000000,VALUE($C1555),1000000000),IFERROR(IF(VALUE(MID($C1555,2,20))&lt;100000000,VALUE(MID($C1555,2,20)),1000000000),1000000000))+ROW()/100000,"")</f>
        <v/>
      </c>
    </row>
    <row r="1556">
      <c r="D1556" s="11" t="n"/>
      <c r="K1556" s="7">
        <f>IF($C1556="","",J1556*W1556/100)</f>
        <v/>
      </c>
      <c r="Q1556" s="7" t="n"/>
      <c r="R1556" s="7" t="n"/>
      <c r="U1556">
        <f>IF($C1556="","",IF($AJ1556=1,0,IF($AI1556=1,Settings!$C$6,Settings!$C$7))*100)</f>
        <v/>
      </c>
      <c r="V1556" s="7">
        <f>IF($C1556="","",R1556*U1556/100)</f>
        <v/>
      </c>
      <c r="W1556" s="7">
        <f>IF($C1556="","",R1556-V1556)</f>
        <v/>
      </c>
      <c r="X1556" s="7">
        <f>IF($C1556="","",W1556-K1556)</f>
        <v/>
      </c>
      <c r="AB1556" s="7" t="n"/>
      <c r="AE1556" s="11" t="n"/>
      <c r="AG1556">
        <f>IF($C1556="","",IF(COUNTIF($C$2:$C1556,$C1556)=1,1,0))</f>
        <v/>
      </c>
      <c r="AH1556">
        <f>IF($AG1556=1,SUMPRODUCT(--($AK$2:$AK$6001&lt;$AK1556))+1,"")</f>
        <v/>
      </c>
      <c r="AI1556">
        <f>IF($C1556="","",IF(OR($N1556=TRUE(),$N1556="TRUE"),1,0))</f>
        <v/>
      </c>
      <c r="AJ1556">
        <f>IF($C1556="","",IF($T1556="Yes",1,0))</f>
        <v/>
      </c>
      <c r="AK1556">
        <f>IF($AG1556=1,IFERROR(IF(VALUE($C1556)&lt;100000000,VALUE($C1556),1000000000),IFERROR(IF(VALUE(MID($C1556,2,20))&lt;100000000,VALUE(MID($C1556,2,20)),1000000000),1000000000))+ROW()/100000,"")</f>
        <v/>
      </c>
    </row>
    <row r="1557">
      <c r="D1557" s="11" t="n"/>
      <c r="K1557" s="7">
        <f>IF($C1557="","",J1557*W1557/100)</f>
        <v/>
      </c>
      <c r="Q1557" s="7" t="n"/>
      <c r="R1557" s="7" t="n"/>
      <c r="U1557">
        <f>IF($C1557="","",IF($AJ1557=1,0,IF($AI1557=1,Settings!$C$6,Settings!$C$7))*100)</f>
        <v/>
      </c>
      <c r="V1557" s="7">
        <f>IF($C1557="","",R1557*U1557/100)</f>
        <v/>
      </c>
      <c r="W1557" s="7">
        <f>IF($C1557="","",R1557-V1557)</f>
        <v/>
      </c>
      <c r="X1557" s="7">
        <f>IF($C1557="","",W1557-K1557)</f>
        <v/>
      </c>
      <c r="AB1557" s="7" t="n"/>
      <c r="AE1557" s="11" t="n"/>
      <c r="AG1557">
        <f>IF($C1557="","",IF(COUNTIF($C$2:$C1557,$C1557)=1,1,0))</f>
        <v/>
      </c>
      <c r="AH1557">
        <f>IF($AG1557=1,SUMPRODUCT(--($AK$2:$AK$6001&lt;$AK1557))+1,"")</f>
        <v/>
      </c>
      <c r="AI1557">
        <f>IF($C1557="","",IF(OR($N1557=TRUE(),$N1557="TRUE"),1,0))</f>
        <v/>
      </c>
      <c r="AJ1557">
        <f>IF($C1557="","",IF($T1557="Yes",1,0))</f>
        <v/>
      </c>
      <c r="AK1557">
        <f>IF($AG1557=1,IFERROR(IF(VALUE($C1557)&lt;100000000,VALUE($C1557),1000000000),IFERROR(IF(VALUE(MID($C1557,2,20))&lt;100000000,VALUE(MID($C1557,2,20)),1000000000),1000000000))+ROW()/100000,"")</f>
        <v/>
      </c>
    </row>
    <row r="1558">
      <c r="D1558" s="11" t="n"/>
      <c r="K1558" s="7">
        <f>IF($C1558="","",J1558*W1558/100)</f>
        <v/>
      </c>
      <c r="Q1558" s="7" t="n"/>
      <c r="R1558" s="7" t="n"/>
      <c r="U1558">
        <f>IF($C1558="","",IF($AJ1558=1,0,IF($AI1558=1,Settings!$C$6,Settings!$C$7))*100)</f>
        <v/>
      </c>
      <c r="V1558" s="7">
        <f>IF($C1558="","",R1558*U1558/100)</f>
        <v/>
      </c>
      <c r="W1558" s="7">
        <f>IF($C1558="","",R1558-V1558)</f>
        <v/>
      </c>
      <c r="X1558" s="7">
        <f>IF($C1558="","",W1558-K1558)</f>
        <v/>
      </c>
      <c r="AB1558" s="7" t="n"/>
      <c r="AE1558" s="11" t="n"/>
      <c r="AG1558">
        <f>IF($C1558="","",IF(COUNTIF($C$2:$C1558,$C1558)=1,1,0))</f>
        <v/>
      </c>
      <c r="AH1558">
        <f>IF($AG1558=1,SUMPRODUCT(--($AK$2:$AK$6001&lt;$AK1558))+1,"")</f>
        <v/>
      </c>
      <c r="AI1558">
        <f>IF($C1558="","",IF(OR($N1558=TRUE(),$N1558="TRUE"),1,0))</f>
        <v/>
      </c>
      <c r="AJ1558">
        <f>IF($C1558="","",IF($T1558="Yes",1,0))</f>
        <v/>
      </c>
      <c r="AK1558">
        <f>IF($AG1558=1,IFERROR(IF(VALUE($C1558)&lt;100000000,VALUE($C1558),1000000000),IFERROR(IF(VALUE(MID($C1558,2,20))&lt;100000000,VALUE(MID($C1558,2,20)),1000000000),1000000000))+ROW()/100000,"")</f>
        <v/>
      </c>
    </row>
    <row r="1559">
      <c r="D1559" s="11" t="n"/>
      <c r="K1559" s="7">
        <f>IF($C1559="","",J1559*W1559/100)</f>
        <v/>
      </c>
      <c r="Q1559" s="7" t="n"/>
      <c r="R1559" s="7" t="n"/>
      <c r="U1559">
        <f>IF($C1559="","",IF($AJ1559=1,0,IF($AI1559=1,Settings!$C$6,Settings!$C$7))*100)</f>
        <v/>
      </c>
      <c r="V1559" s="7">
        <f>IF($C1559="","",R1559*U1559/100)</f>
        <v/>
      </c>
      <c r="W1559" s="7">
        <f>IF($C1559="","",R1559-V1559)</f>
        <v/>
      </c>
      <c r="X1559" s="7">
        <f>IF($C1559="","",W1559-K1559)</f>
        <v/>
      </c>
      <c r="AB1559" s="7" t="n"/>
      <c r="AE1559" s="11" t="n"/>
      <c r="AG1559">
        <f>IF($C1559="","",IF(COUNTIF($C$2:$C1559,$C1559)=1,1,0))</f>
        <v/>
      </c>
      <c r="AH1559">
        <f>IF($AG1559=1,SUMPRODUCT(--($AK$2:$AK$6001&lt;$AK1559))+1,"")</f>
        <v/>
      </c>
      <c r="AI1559">
        <f>IF($C1559="","",IF(OR($N1559=TRUE(),$N1559="TRUE"),1,0))</f>
        <v/>
      </c>
      <c r="AJ1559">
        <f>IF($C1559="","",IF($T1559="Yes",1,0))</f>
        <v/>
      </c>
      <c r="AK1559">
        <f>IF($AG1559=1,IFERROR(IF(VALUE($C1559)&lt;100000000,VALUE($C1559),1000000000),IFERROR(IF(VALUE(MID($C1559,2,20))&lt;100000000,VALUE(MID($C1559,2,20)),1000000000),1000000000))+ROW()/100000,"")</f>
        <v/>
      </c>
    </row>
    <row r="1560">
      <c r="D1560" s="11" t="n"/>
      <c r="K1560" s="7">
        <f>IF($C1560="","",J1560*W1560/100)</f>
        <v/>
      </c>
      <c r="Q1560" s="7" t="n"/>
      <c r="R1560" s="7" t="n"/>
      <c r="U1560">
        <f>IF($C1560="","",IF($AJ1560=1,0,IF($AI1560=1,Settings!$C$6,Settings!$C$7))*100)</f>
        <v/>
      </c>
      <c r="V1560" s="7">
        <f>IF($C1560="","",R1560*U1560/100)</f>
        <v/>
      </c>
      <c r="W1560" s="7">
        <f>IF($C1560="","",R1560-V1560)</f>
        <v/>
      </c>
      <c r="X1560" s="7">
        <f>IF($C1560="","",W1560-K1560)</f>
        <v/>
      </c>
      <c r="AB1560" s="7" t="n"/>
      <c r="AE1560" s="11" t="n"/>
      <c r="AG1560">
        <f>IF($C1560="","",IF(COUNTIF($C$2:$C1560,$C1560)=1,1,0))</f>
        <v/>
      </c>
      <c r="AH1560">
        <f>IF($AG1560=1,SUMPRODUCT(--($AK$2:$AK$6001&lt;$AK1560))+1,"")</f>
        <v/>
      </c>
      <c r="AI1560">
        <f>IF($C1560="","",IF(OR($N1560=TRUE(),$N1560="TRUE"),1,0))</f>
        <v/>
      </c>
      <c r="AJ1560">
        <f>IF($C1560="","",IF($T1560="Yes",1,0))</f>
        <v/>
      </c>
      <c r="AK1560">
        <f>IF($AG1560=1,IFERROR(IF(VALUE($C1560)&lt;100000000,VALUE($C1560),1000000000),IFERROR(IF(VALUE(MID($C1560,2,20))&lt;100000000,VALUE(MID($C1560,2,20)),1000000000),1000000000))+ROW()/100000,"")</f>
        <v/>
      </c>
    </row>
    <row r="1561">
      <c r="D1561" s="11" t="n"/>
      <c r="K1561" s="7">
        <f>IF($C1561="","",J1561*W1561/100)</f>
        <v/>
      </c>
      <c r="Q1561" s="7" t="n"/>
      <c r="R1561" s="7" t="n"/>
      <c r="U1561">
        <f>IF($C1561="","",IF($AJ1561=1,0,IF($AI1561=1,Settings!$C$6,Settings!$C$7))*100)</f>
        <v/>
      </c>
      <c r="V1561" s="7">
        <f>IF($C1561="","",R1561*U1561/100)</f>
        <v/>
      </c>
      <c r="W1561" s="7">
        <f>IF($C1561="","",R1561-V1561)</f>
        <v/>
      </c>
      <c r="X1561" s="7">
        <f>IF($C1561="","",W1561-K1561)</f>
        <v/>
      </c>
      <c r="AB1561" s="7" t="n"/>
      <c r="AE1561" s="11" t="n"/>
      <c r="AG1561">
        <f>IF($C1561="","",IF(COUNTIF($C$2:$C1561,$C1561)=1,1,0))</f>
        <v/>
      </c>
      <c r="AH1561">
        <f>IF($AG1561=1,SUMPRODUCT(--($AK$2:$AK$6001&lt;$AK1561))+1,"")</f>
        <v/>
      </c>
      <c r="AI1561">
        <f>IF($C1561="","",IF(OR($N1561=TRUE(),$N1561="TRUE"),1,0))</f>
        <v/>
      </c>
      <c r="AJ1561">
        <f>IF($C1561="","",IF($T1561="Yes",1,0))</f>
        <v/>
      </c>
      <c r="AK1561">
        <f>IF($AG1561=1,IFERROR(IF(VALUE($C1561)&lt;100000000,VALUE($C1561),1000000000),IFERROR(IF(VALUE(MID($C1561,2,20))&lt;100000000,VALUE(MID($C1561,2,20)),1000000000),1000000000))+ROW()/100000,"")</f>
        <v/>
      </c>
    </row>
    <row r="1562">
      <c r="D1562" s="11" t="n"/>
      <c r="K1562" s="7">
        <f>IF($C1562="","",J1562*W1562/100)</f>
        <v/>
      </c>
      <c r="Q1562" s="7" t="n"/>
      <c r="R1562" s="7" t="n"/>
      <c r="U1562">
        <f>IF($C1562="","",IF($AJ1562=1,0,IF($AI1562=1,Settings!$C$6,Settings!$C$7))*100)</f>
        <v/>
      </c>
      <c r="V1562" s="7">
        <f>IF($C1562="","",R1562*U1562/100)</f>
        <v/>
      </c>
      <c r="W1562" s="7">
        <f>IF($C1562="","",R1562-V1562)</f>
        <v/>
      </c>
      <c r="X1562" s="7">
        <f>IF($C1562="","",W1562-K1562)</f>
        <v/>
      </c>
      <c r="AB1562" s="7" t="n"/>
      <c r="AE1562" s="11" t="n"/>
      <c r="AG1562">
        <f>IF($C1562="","",IF(COUNTIF($C$2:$C1562,$C1562)=1,1,0))</f>
        <v/>
      </c>
      <c r="AH1562">
        <f>IF($AG1562=1,SUMPRODUCT(--($AK$2:$AK$6001&lt;$AK1562))+1,"")</f>
        <v/>
      </c>
      <c r="AI1562">
        <f>IF($C1562="","",IF(OR($N1562=TRUE(),$N1562="TRUE"),1,0))</f>
        <v/>
      </c>
      <c r="AJ1562">
        <f>IF($C1562="","",IF($T1562="Yes",1,0))</f>
        <v/>
      </c>
      <c r="AK1562">
        <f>IF($AG1562=1,IFERROR(IF(VALUE($C1562)&lt;100000000,VALUE($C1562),1000000000),IFERROR(IF(VALUE(MID($C1562,2,20))&lt;100000000,VALUE(MID($C1562,2,20)),1000000000),1000000000))+ROW()/100000,"")</f>
        <v/>
      </c>
    </row>
    <row r="1563">
      <c r="D1563" s="11" t="n"/>
      <c r="K1563" s="7">
        <f>IF($C1563="","",J1563*W1563/100)</f>
        <v/>
      </c>
      <c r="Q1563" s="7" t="n"/>
      <c r="R1563" s="7" t="n"/>
      <c r="U1563">
        <f>IF($C1563="","",IF($AJ1563=1,0,IF($AI1563=1,Settings!$C$6,Settings!$C$7))*100)</f>
        <v/>
      </c>
      <c r="V1563" s="7">
        <f>IF($C1563="","",R1563*U1563/100)</f>
        <v/>
      </c>
      <c r="W1563" s="7">
        <f>IF($C1563="","",R1563-V1563)</f>
        <v/>
      </c>
      <c r="X1563" s="7">
        <f>IF($C1563="","",W1563-K1563)</f>
        <v/>
      </c>
      <c r="AB1563" s="7" t="n"/>
      <c r="AE1563" s="11" t="n"/>
      <c r="AG1563">
        <f>IF($C1563="","",IF(COUNTIF($C$2:$C1563,$C1563)=1,1,0))</f>
        <v/>
      </c>
      <c r="AH1563">
        <f>IF($AG1563=1,SUMPRODUCT(--($AK$2:$AK$6001&lt;$AK1563))+1,"")</f>
        <v/>
      </c>
      <c r="AI1563">
        <f>IF($C1563="","",IF(OR($N1563=TRUE(),$N1563="TRUE"),1,0))</f>
        <v/>
      </c>
      <c r="AJ1563">
        <f>IF($C1563="","",IF($T1563="Yes",1,0))</f>
        <v/>
      </c>
      <c r="AK1563">
        <f>IF($AG1563=1,IFERROR(IF(VALUE($C1563)&lt;100000000,VALUE($C1563),1000000000),IFERROR(IF(VALUE(MID($C1563,2,20))&lt;100000000,VALUE(MID($C1563,2,20)),1000000000),1000000000))+ROW()/100000,"")</f>
        <v/>
      </c>
    </row>
    <row r="1564">
      <c r="D1564" s="11" t="n"/>
      <c r="K1564" s="7">
        <f>IF($C1564="","",J1564*W1564/100)</f>
        <v/>
      </c>
      <c r="Q1564" s="7" t="n"/>
      <c r="R1564" s="7" t="n"/>
      <c r="U1564">
        <f>IF($C1564="","",IF($AJ1564=1,0,IF($AI1564=1,Settings!$C$6,Settings!$C$7))*100)</f>
        <v/>
      </c>
      <c r="V1564" s="7">
        <f>IF($C1564="","",R1564*U1564/100)</f>
        <v/>
      </c>
      <c r="W1564" s="7">
        <f>IF($C1564="","",R1564-V1564)</f>
        <v/>
      </c>
      <c r="X1564" s="7">
        <f>IF($C1564="","",W1564-K1564)</f>
        <v/>
      </c>
      <c r="AB1564" s="7" t="n"/>
      <c r="AE1564" s="11" t="n"/>
      <c r="AG1564">
        <f>IF($C1564="","",IF(COUNTIF($C$2:$C1564,$C1564)=1,1,0))</f>
        <v/>
      </c>
      <c r="AH1564">
        <f>IF($AG1564=1,SUMPRODUCT(--($AK$2:$AK$6001&lt;$AK1564))+1,"")</f>
        <v/>
      </c>
      <c r="AI1564">
        <f>IF($C1564="","",IF(OR($N1564=TRUE(),$N1564="TRUE"),1,0))</f>
        <v/>
      </c>
      <c r="AJ1564">
        <f>IF($C1564="","",IF($T1564="Yes",1,0))</f>
        <v/>
      </c>
      <c r="AK1564">
        <f>IF($AG1564=1,IFERROR(IF(VALUE($C1564)&lt;100000000,VALUE($C1564),1000000000),IFERROR(IF(VALUE(MID($C1564,2,20))&lt;100000000,VALUE(MID($C1564,2,20)),1000000000),1000000000))+ROW()/100000,"")</f>
        <v/>
      </c>
    </row>
    <row r="1565">
      <c r="D1565" s="11" t="n"/>
      <c r="K1565" s="7">
        <f>IF($C1565="","",J1565*W1565/100)</f>
        <v/>
      </c>
      <c r="Q1565" s="7" t="n"/>
      <c r="R1565" s="7" t="n"/>
      <c r="U1565">
        <f>IF($C1565="","",IF($AJ1565=1,0,IF($AI1565=1,Settings!$C$6,Settings!$C$7))*100)</f>
        <v/>
      </c>
      <c r="V1565" s="7">
        <f>IF($C1565="","",R1565*U1565/100)</f>
        <v/>
      </c>
      <c r="W1565" s="7">
        <f>IF($C1565="","",R1565-V1565)</f>
        <v/>
      </c>
      <c r="X1565" s="7">
        <f>IF($C1565="","",W1565-K1565)</f>
        <v/>
      </c>
      <c r="AB1565" s="7" t="n"/>
      <c r="AE1565" s="11" t="n"/>
      <c r="AG1565">
        <f>IF($C1565="","",IF(COUNTIF($C$2:$C1565,$C1565)=1,1,0))</f>
        <v/>
      </c>
      <c r="AH1565">
        <f>IF($AG1565=1,SUMPRODUCT(--($AK$2:$AK$6001&lt;$AK1565))+1,"")</f>
        <v/>
      </c>
      <c r="AI1565">
        <f>IF($C1565="","",IF(OR($N1565=TRUE(),$N1565="TRUE"),1,0))</f>
        <v/>
      </c>
      <c r="AJ1565">
        <f>IF($C1565="","",IF($T1565="Yes",1,0))</f>
        <v/>
      </c>
      <c r="AK1565">
        <f>IF($AG1565=1,IFERROR(IF(VALUE($C1565)&lt;100000000,VALUE($C1565),1000000000),IFERROR(IF(VALUE(MID($C1565,2,20))&lt;100000000,VALUE(MID($C1565,2,20)),1000000000),1000000000))+ROW()/100000,"")</f>
        <v/>
      </c>
    </row>
    <row r="1566">
      <c r="D1566" s="11" t="n"/>
      <c r="K1566" s="7">
        <f>IF($C1566="","",J1566*W1566/100)</f>
        <v/>
      </c>
      <c r="Q1566" s="7" t="n"/>
      <c r="R1566" s="7" t="n"/>
      <c r="U1566">
        <f>IF($C1566="","",IF($AJ1566=1,0,IF($AI1566=1,Settings!$C$6,Settings!$C$7))*100)</f>
        <v/>
      </c>
      <c r="V1566" s="7">
        <f>IF($C1566="","",R1566*U1566/100)</f>
        <v/>
      </c>
      <c r="W1566" s="7">
        <f>IF($C1566="","",R1566-V1566)</f>
        <v/>
      </c>
      <c r="X1566" s="7">
        <f>IF($C1566="","",W1566-K1566)</f>
        <v/>
      </c>
      <c r="AB1566" s="7" t="n"/>
      <c r="AE1566" s="11" t="n"/>
      <c r="AG1566">
        <f>IF($C1566="","",IF(COUNTIF($C$2:$C1566,$C1566)=1,1,0))</f>
        <v/>
      </c>
      <c r="AH1566">
        <f>IF($AG1566=1,SUMPRODUCT(--($AK$2:$AK$6001&lt;$AK1566))+1,"")</f>
        <v/>
      </c>
      <c r="AI1566">
        <f>IF($C1566="","",IF(OR($N1566=TRUE(),$N1566="TRUE"),1,0))</f>
        <v/>
      </c>
      <c r="AJ1566">
        <f>IF($C1566="","",IF($T1566="Yes",1,0))</f>
        <v/>
      </c>
      <c r="AK1566">
        <f>IF($AG1566=1,IFERROR(IF(VALUE($C1566)&lt;100000000,VALUE($C1566),1000000000),IFERROR(IF(VALUE(MID($C1566,2,20))&lt;100000000,VALUE(MID($C1566,2,20)),1000000000),1000000000))+ROW()/100000,"")</f>
        <v/>
      </c>
    </row>
    <row r="1567">
      <c r="D1567" s="11" t="n"/>
      <c r="K1567" s="7">
        <f>IF($C1567="","",J1567*W1567/100)</f>
        <v/>
      </c>
      <c r="Q1567" s="7" t="n"/>
      <c r="R1567" s="7" t="n"/>
      <c r="U1567">
        <f>IF($C1567="","",IF($AJ1567=1,0,IF($AI1567=1,Settings!$C$6,Settings!$C$7))*100)</f>
        <v/>
      </c>
      <c r="V1567" s="7">
        <f>IF($C1567="","",R1567*U1567/100)</f>
        <v/>
      </c>
      <c r="W1567" s="7">
        <f>IF($C1567="","",R1567-V1567)</f>
        <v/>
      </c>
      <c r="X1567" s="7">
        <f>IF($C1567="","",W1567-K1567)</f>
        <v/>
      </c>
      <c r="AB1567" s="7" t="n"/>
      <c r="AE1567" s="11" t="n"/>
      <c r="AG1567">
        <f>IF($C1567="","",IF(COUNTIF($C$2:$C1567,$C1567)=1,1,0))</f>
        <v/>
      </c>
      <c r="AH1567">
        <f>IF($AG1567=1,SUMPRODUCT(--($AK$2:$AK$6001&lt;$AK1567))+1,"")</f>
        <v/>
      </c>
      <c r="AI1567">
        <f>IF($C1567="","",IF(OR($N1567=TRUE(),$N1567="TRUE"),1,0))</f>
        <v/>
      </c>
      <c r="AJ1567">
        <f>IF($C1567="","",IF($T1567="Yes",1,0))</f>
        <v/>
      </c>
      <c r="AK1567">
        <f>IF($AG1567=1,IFERROR(IF(VALUE($C1567)&lt;100000000,VALUE($C1567),1000000000),IFERROR(IF(VALUE(MID($C1567,2,20))&lt;100000000,VALUE(MID($C1567,2,20)),1000000000),1000000000))+ROW()/100000,"")</f>
        <v/>
      </c>
    </row>
    <row r="1568">
      <c r="D1568" s="11" t="n"/>
      <c r="K1568" s="7">
        <f>IF($C1568="","",J1568*W1568/100)</f>
        <v/>
      </c>
      <c r="Q1568" s="7" t="n"/>
      <c r="R1568" s="7" t="n"/>
      <c r="U1568">
        <f>IF($C1568="","",IF($AJ1568=1,0,IF($AI1568=1,Settings!$C$6,Settings!$C$7))*100)</f>
        <v/>
      </c>
      <c r="V1568" s="7">
        <f>IF($C1568="","",R1568*U1568/100)</f>
        <v/>
      </c>
      <c r="W1568" s="7">
        <f>IF($C1568="","",R1568-V1568)</f>
        <v/>
      </c>
      <c r="X1568" s="7">
        <f>IF($C1568="","",W1568-K1568)</f>
        <v/>
      </c>
      <c r="AB1568" s="7" t="n"/>
      <c r="AE1568" s="11" t="n"/>
      <c r="AG1568">
        <f>IF($C1568="","",IF(COUNTIF($C$2:$C1568,$C1568)=1,1,0))</f>
        <v/>
      </c>
      <c r="AH1568">
        <f>IF($AG1568=1,SUMPRODUCT(--($AK$2:$AK$6001&lt;$AK1568))+1,"")</f>
        <v/>
      </c>
      <c r="AI1568">
        <f>IF($C1568="","",IF(OR($N1568=TRUE(),$N1568="TRUE"),1,0))</f>
        <v/>
      </c>
      <c r="AJ1568">
        <f>IF($C1568="","",IF($T1568="Yes",1,0))</f>
        <v/>
      </c>
      <c r="AK1568">
        <f>IF($AG1568=1,IFERROR(IF(VALUE($C1568)&lt;100000000,VALUE($C1568),1000000000),IFERROR(IF(VALUE(MID($C1568,2,20))&lt;100000000,VALUE(MID($C1568,2,20)),1000000000),1000000000))+ROW()/100000,"")</f>
        <v/>
      </c>
    </row>
    <row r="1569">
      <c r="D1569" s="11" t="n"/>
      <c r="K1569" s="7">
        <f>IF($C1569="","",J1569*W1569/100)</f>
        <v/>
      </c>
      <c r="Q1569" s="7" t="n"/>
      <c r="R1569" s="7" t="n"/>
      <c r="U1569">
        <f>IF($C1569="","",IF($AJ1569=1,0,IF($AI1569=1,Settings!$C$6,Settings!$C$7))*100)</f>
        <v/>
      </c>
      <c r="V1569" s="7">
        <f>IF($C1569="","",R1569*U1569/100)</f>
        <v/>
      </c>
      <c r="W1569" s="7">
        <f>IF($C1569="","",R1569-V1569)</f>
        <v/>
      </c>
      <c r="X1569" s="7">
        <f>IF($C1569="","",W1569-K1569)</f>
        <v/>
      </c>
      <c r="AB1569" s="7" t="n"/>
      <c r="AE1569" s="11" t="n"/>
      <c r="AG1569">
        <f>IF($C1569="","",IF(COUNTIF($C$2:$C1569,$C1569)=1,1,0))</f>
        <v/>
      </c>
      <c r="AH1569">
        <f>IF($AG1569=1,SUMPRODUCT(--($AK$2:$AK$6001&lt;$AK1569))+1,"")</f>
        <v/>
      </c>
      <c r="AI1569">
        <f>IF($C1569="","",IF(OR($N1569=TRUE(),$N1569="TRUE"),1,0))</f>
        <v/>
      </c>
      <c r="AJ1569">
        <f>IF($C1569="","",IF($T1569="Yes",1,0))</f>
        <v/>
      </c>
      <c r="AK1569">
        <f>IF($AG1569=1,IFERROR(IF(VALUE($C1569)&lt;100000000,VALUE($C1569),1000000000),IFERROR(IF(VALUE(MID($C1569,2,20))&lt;100000000,VALUE(MID($C1569,2,20)),1000000000),1000000000))+ROW()/100000,"")</f>
        <v/>
      </c>
    </row>
    <row r="1570">
      <c r="D1570" s="11" t="n"/>
      <c r="K1570" s="7">
        <f>IF($C1570="","",J1570*W1570/100)</f>
        <v/>
      </c>
      <c r="Q1570" s="7" t="n"/>
      <c r="R1570" s="7" t="n"/>
      <c r="U1570">
        <f>IF($C1570="","",IF($AJ1570=1,0,IF($AI1570=1,Settings!$C$6,Settings!$C$7))*100)</f>
        <v/>
      </c>
      <c r="V1570" s="7">
        <f>IF($C1570="","",R1570*U1570/100)</f>
        <v/>
      </c>
      <c r="W1570" s="7">
        <f>IF($C1570="","",R1570-V1570)</f>
        <v/>
      </c>
      <c r="X1570" s="7">
        <f>IF($C1570="","",W1570-K1570)</f>
        <v/>
      </c>
      <c r="AB1570" s="7" t="n"/>
      <c r="AE1570" s="11" t="n"/>
      <c r="AG1570">
        <f>IF($C1570="","",IF(COUNTIF($C$2:$C1570,$C1570)=1,1,0))</f>
        <v/>
      </c>
      <c r="AH1570">
        <f>IF($AG1570=1,SUMPRODUCT(--($AK$2:$AK$6001&lt;$AK1570))+1,"")</f>
        <v/>
      </c>
      <c r="AI1570">
        <f>IF($C1570="","",IF(OR($N1570=TRUE(),$N1570="TRUE"),1,0))</f>
        <v/>
      </c>
      <c r="AJ1570">
        <f>IF($C1570="","",IF($T1570="Yes",1,0))</f>
        <v/>
      </c>
      <c r="AK1570">
        <f>IF($AG1570=1,IFERROR(IF(VALUE($C1570)&lt;100000000,VALUE($C1570),1000000000),IFERROR(IF(VALUE(MID($C1570,2,20))&lt;100000000,VALUE(MID($C1570,2,20)),1000000000),1000000000))+ROW()/100000,"")</f>
        <v/>
      </c>
    </row>
    <row r="1571">
      <c r="D1571" s="11" t="n"/>
      <c r="K1571" s="7">
        <f>IF($C1571="","",J1571*W1571/100)</f>
        <v/>
      </c>
      <c r="Q1571" s="7" t="n"/>
      <c r="R1571" s="7" t="n"/>
      <c r="U1571">
        <f>IF($C1571="","",IF($AJ1571=1,0,IF($AI1571=1,Settings!$C$6,Settings!$C$7))*100)</f>
        <v/>
      </c>
      <c r="V1571" s="7">
        <f>IF($C1571="","",R1571*U1571/100)</f>
        <v/>
      </c>
      <c r="W1571" s="7">
        <f>IF($C1571="","",R1571-V1571)</f>
        <v/>
      </c>
      <c r="X1571" s="7">
        <f>IF($C1571="","",W1571-K1571)</f>
        <v/>
      </c>
      <c r="AB1571" s="7" t="n"/>
      <c r="AE1571" s="11" t="n"/>
      <c r="AG1571">
        <f>IF($C1571="","",IF(COUNTIF($C$2:$C1571,$C1571)=1,1,0))</f>
        <v/>
      </c>
      <c r="AH1571">
        <f>IF($AG1571=1,SUMPRODUCT(--($AK$2:$AK$6001&lt;$AK1571))+1,"")</f>
        <v/>
      </c>
      <c r="AI1571">
        <f>IF($C1571="","",IF(OR($N1571=TRUE(),$N1571="TRUE"),1,0))</f>
        <v/>
      </c>
      <c r="AJ1571">
        <f>IF($C1571="","",IF($T1571="Yes",1,0))</f>
        <v/>
      </c>
      <c r="AK1571">
        <f>IF($AG1571=1,IFERROR(IF(VALUE($C1571)&lt;100000000,VALUE($C1571),1000000000),IFERROR(IF(VALUE(MID($C1571,2,20))&lt;100000000,VALUE(MID($C1571,2,20)),1000000000),1000000000))+ROW()/100000,"")</f>
        <v/>
      </c>
    </row>
    <row r="1572">
      <c r="D1572" s="11" t="n"/>
      <c r="K1572" s="7">
        <f>IF($C1572="","",J1572*W1572/100)</f>
        <v/>
      </c>
      <c r="Q1572" s="7" t="n"/>
      <c r="R1572" s="7" t="n"/>
      <c r="U1572">
        <f>IF($C1572="","",IF($AJ1572=1,0,IF($AI1572=1,Settings!$C$6,Settings!$C$7))*100)</f>
        <v/>
      </c>
      <c r="V1572" s="7">
        <f>IF($C1572="","",R1572*U1572/100)</f>
        <v/>
      </c>
      <c r="W1572" s="7">
        <f>IF($C1572="","",R1572-V1572)</f>
        <v/>
      </c>
      <c r="X1572" s="7">
        <f>IF($C1572="","",W1572-K1572)</f>
        <v/>
      </c>
      <c r="AB1572" s="7" t="n"/>
      <c r="AE1572" s="11" t="n"/>
      <c r="AG1572">
        <f>IF($C1572="","",IF(COUNTIF($C$2:$C1572,$C1572)=1,1,0))</f>
        <v/>
      </c>
      <c r="AH1572">
        <f>IF($AG1572=1,SUMPRODUCT(--($AK$2:$AK$6001&lt;$AK1572))+1,"")</f>
        <v/>
      </c>
      <c r="AI1572">
        <f>IF($C1572="","",IF(OR($N1572=TRUE(),$N1572="TRUE"),1,0))</f>
        <v/>
      </c>
      <c r="AJ1572">
        <f>IF($C1572="","",IF($T1572="Yes",1,0))</f>
        <v/>
      </c>
      <c r="AK1572">
        <f>IF($AG1572=1,IFERROR(IF(VALUE($C1572)&lt;100000000,VALUE($C1572),1000000000),IFERROR(IF(VALUE(MID($C1572,2,20))&lt;100000000,VALUE(MID($C1572,2,20)),1000000000),1000000000))+ROW()/100000,"")</f>
        <v/>
      </c>
    </row>
    <row r="1573">
      <c r="D1573" s="11" t="n"/>
      <c r="K1573" s="7">
        <f>IF($C1573="","",J1573*W1573/100)</f>
        <v/>
      </c>
      <c r="Q1573" s="7" t="n"/>
      <c r="R1573" s="7" t="n"/>
      <c r="U1573">
        <f>IF($C1573="","",IF($AJ1573=1,0,IF($AI1573=1,Settings!$C$6,Settings!$C$7))*100)</f>
        <v/>
      </c>
      <c r="V1573" s="7">
        <f>IF($C1573="","",R1573*U1573/100)</f>
        <v/>
      </c>
      <c r="W1573" s="7">
        <f>IF($C1573="","",R1573-V1573)</f>
        <v/>
      </c>
      <c r="X1573" s="7">
        <f>IF($C1573="","",W1573-K1573)</f>
        <v/>
      </c>
      <c r="AB1573" s="7" t="n"/>
      <c r="AE1573" s="11" t="n"/>
      <c r="AG1573">
        <f>IF($C1573="","",IF(COUNTIF($C$2:$C1573,$C1573)=1,1,0))</f>
        <v/>
      </c>
      <c r="AH1573">
        <f>IF($AG1573=1,SUMPRODUCT(--($AK$2:$AK$6001&lt;$AK1573))+1,"")</f>
        <v/>
      </c>
      <c r="AI1573">
        <f>IF($C1573="","",IF(OR($N1573=TRUE(),$N1573="TRUE"),1,0))</f>
        <v/>
      </c>
      <c r="AJ1573">
        <f>IF($C1573="","",IF($T1573="Yes",1,0))</f>
        <v/>
      </c>
      <c r="AK1573">
        <f>IF($AG1573=1,IFERROR(IF(VALUE($C1573)&lt;100000000,VALUE($C1573),1000000000),IFERROR(IF(VALUE(MID($C1573,2,20))&lt;100000000,VALUE(MID($C1573,2,20)),1000000000),1000000000))+ROW()/100000,"")</f>
        <v/>
      </c>
    </row>
    <row r="1574">
      <c r="D1574" s="11" t="n"/>
      <c r="K1574" s="7">
        <f>IF($C1574="","",J1574*W1574/100)</f>
        <v/>
      </c>
      <c r="Q1574" s="7" t="n"/>
      <c r="R1574" s="7" t="n"/>
      <c r="U1574">
        <f>IF($C1574="","",IF($AJ1574=1,0,IF($AI1574=1,Settings!$C$6,Settings!$C$7))*100)</f>
        <v/>
      </c>
      <c r="V1574" s="7">
        <f>IF($C1574="","",R1574*U1574/100)</f>
        <v/>
      </c>
      <c r="W1574" s="7">
        <f>IF($C1574="","",R1574-V1574)</f>
        <v/>
      </c>
      <c r="X1574" s="7">
        <f>IF($C1574="","",W1574-K1574)</f>
        <v/>
      </c>
      <c r="AB1574" s="7" t="n"/>
      <c r="AE1574" s="11" t="n"/>
      <c r="AG1574">
        <f>IF($C1574="","",IF(COUNTIF($C$2:$C1574,$C1574)=1,1,0))</f>
        <v/>
      </c>
      <c r="AH1574">
        <f>IF($AG1574=1,SUMPRODUCT(--($AK$2:$AK$6001&lt;$AK1574))+1,"")</f>
        <v/>
      </c>
      <c r="AI1574">
        <f>IF($C1574="","",IF(OR($N1574=TRUE(),$N1574="TRUE"),1,0))</f>
        <v/>
      </c>
      <c r="AJ1574">
        <f>IF($C1574="","",IF($T1574="Yes",1,0))</f>
        <v/>
      </c>
      <c r="AK1574">
        <f>IF($AG1574=1,IFERROR(IF(VALUE($C1574)&lt;100000000,VALUE($C1574),1000000000),IFERROR(IF(VALUE(MID($C1574,2,20))&lt;100000000,VALUE(MID($C1574,2,20)),1000000000),1000000000))+ROW()/100000,"")</f>
        <v/>
      </c>
    </row>
    <row r="1575">
      <c r="D1575" s="11" t="n"/>
      <c r="K1575" s="7">
        <f>IF($C1575="","",J1575*W1575/100)</f>
        <v/>
      </c>
      <c r="Q1575" s="7" t="n"/>
      <c r="R1575" s="7" t="n"/>
      <c r="U1575">
        <f>IF($C1575="","",IF($AJ1575=1,0,IF($AI1575=1,Settings!$C$6,Settings!$C$7))*100)</f>
        <v/>
      </c>
      <c r="V1575" s="7">
        <f>IF($C1575="","",R1575*U1575/100)</f>
        <v/>
      </c>
      <c r="W1575" s="7">
        <f>IF($C1575="","",R1575-V1575)</f>
        <v/>
      </c>
      <c r="X1575" s="7">
        <f>IF($C1575="","",W1575-K1575)</f>
        <v/>
      </c>
      <c r="AB1575" s="7" t="n"/>
      <c r="AE1575" s="11" t="n"/>
      <c r="AG1575">
        <f>IF($C1575="","",IF(COUNTIF($C$2:$C1575,$C1575)=1,1,0))</f>
        <v/>
      </c>
      <c r="AH1575">
        <f>IF($AG1575=1,SUMPRODUCT(--($AK$2:$AK$6001&lt;$AK1575))+1,"")</f>
        <v/>
      </c>
      <c r="AI1575">
        <f>IF($C1575="","",IF(OR($N1575=TRUE(),$N1575="TRUE"),1,0))</f>
        <v/>
      </c>
      <c r="AJ1575">
        <f>IF($C1575="","",IF($T1575="Yes",1,0))</f>
        <v/>
      </c>
      <c r="AK1575">
        <f>IF($AG1575=1,IFERROR(IF(VALUE($C1575)&lt;100000000,VALUE($C1575),1000000000),IFERROR(IF(VALUE(MID($C1575,2,20))&lt;100000000,VALUE(MID($C1575,2,20)),1000000000),1000000000))+ROW()/100000,"")</f>
        <v/>
      </c>
    </row>
    <row r="1576">
      <c r="D1576" s="11" t="n"/>
      <c r="K1576" s="7">
        <f>IF($C1576="","",J1576*W1576/100)</f>
        <v/>
      </c>
      <c r="Q1576" s="7" t="n"/>
      <c r="R1576" s="7" t="n"/>
      <c r="U1576">
        <f>IF($C1576="","",IF($AJ1576=1,0,IF($AI1576=1,Settings!$C$6,Settings!$C$7))*100)</f>
        <v/>
      </c>
      <c r="V1576" s="7">
        <f>IF($C1576="","",R1576*U1576/100)</f>
        <v/>
      </c>
      <c r="W1576" s="7">
        <f>IF($C1576="","",R1576-V1576)</f>
        <v/>
      </c>
      <c r="X1576" s="7">
        <f>IF($C1576="","",W1576-K1576)</f>
        <v/>
      </c>
      <c r="AB1576" s="7" t="n"/>
      <c r="AE1576" s="11" t="n"/>
      <c r="AG1576">
        <f>IF($C1576="","",IF(COUNTIF($C$2:$C1576,$C1576)=1,1,0))</f>
        <v/>
      </c>
      <c r="AH1576">
        <f>IF($AG1576=1,SUMPRODUCT(--($AK$2:$AK$6001&lt;$AK1576))+1,"")</f>
        <v/>
      </c>
      <c r="AI1576">
        <f>IF($C1576="","",IF(OR($N1576=TRUE(),$N1576="TRUE"),1,0))</f>
        <v/>
      </c>
      <c r="AJ1576">
        <f>IF($C1576="","",IF($T1576="Yes",1,0))</f>
        <v/>
      </c>
      <c r="AK1576">
        <f>IF($AG1576=1,IFERROR(IF(VALUE($C1576)&lt;100000000,VALUE($C1576),1000000000),IFERROR(IF(VALUE(MID($C1576,2,20))&lt;100000000,VALUE(MID($C1576,2,20)),1000000000),1000000000))+ROW()/100000,"")</f>
        <v/>
      </c>
    </row>
    <row r="1577">
      <c r="D1577" s="11" t="n"/>
      <c r="K1577" s="7">
        <f>IF($C1577="","",J1577*W1577/100)</f>
        <v/>
      </c>
      <c r="Q1577" s="7" t="n"/>
      <c r="R1577" s="7" t="n"/>
      <c r="U1577">
        <f>IF($C1577="","",IF($AJ1577=1,0,IF($AI1577=1,Settings!$C$6,Settings!$C$7))*100)</f>
        <v/>
      </c>
      <c r="V1577" s="7">
        <f>IF($C1577="","",R1577*U1577/100)</f>
        <v/>
      </c>
      <c r="W1577" s="7">
        <f>IF($C1577="","",R1577-V1577)</f>
        <v/>
      </c>
      <c r="X1577" s="7">
        <f>IF($C1577="","",W1577-K1577)</f>
        <v/>
      </c>
      <c r="AB1577" s="7" t="n"/>
      <c r="AE1577" s="11" t="n"/>
      <c r="AG1577">
        <f>IF($C1577="","",IF(COUNTIF($C$2:$C1577,$C1577)=1,1,0))</f>
        <v/>
      </c>
      <c r="AH1577">
        <f>IF($AG1577=1,SUMPRODUCT(--($AK$2:$AK$6001&lt;$AK1577))+1,"")</f>
        <v/>
      </c>
      <c r="AI1577">
        <f>IF($C1577="","",IF(OR($N1577=TRUE(),$N1577="TRUE"),1,0))</f>
        <v/>
      </c>
      <c r="AJ1577">
        <f>IF($C1577="","",IF($T1577="Yes",1,0))</f>
        <v/>
      </c>
      <c r="AK1577">
        <f>IF($AG1577=1,IFERROR(IF(VALUE($C1577)&lt;100000000,VALUE($C1577),1000000000),IFERROR(IF(VALUE(MID($C1577,2,20))&lt;100000000,VALUE(MID($C1577,2,20)),1000000000),1000000000))+ROW()/100000,"")</f>
        <v/>
      </c>
    </row>
    <row r="1578">
      <c r="D1578" s="11" t="n"/>
      <c r="K1578" s="7">
        <f>IF($C1578="","",J1578*W1578/100)</f>
        <v/>
      </c>
      <c r="Q1578" s="7" t="n"/>
      <c r="R1578" s="7" t="n"/>
      <c r="U1578">
        <f>IF($C1578="","",IF($AJ1578=1,0,IF($AI1578=1,Settings!$C$6,Settings!$C$7))*100)</f>
        <v/>
      </c>
      <c r="V1578" s="7">
        <f>IF($C1578="","",R1578*U1578/100)</f>
        <v/>
      </c>
      <c r="W1578" s="7">
        <f>IF($C1578="","",R1578-V1578)</f>
        <v/>
      </c>
      <c r="X1578" s="7">
        <f>IF($C1578="","",W1578-K1578)</f>
        <v/>
      </c>
      <c r="AB1578" s="7" t="n"/>
      <c r="AE1578" s="11" t="n"/>
      <c r="AG1578">
        <f>IF($C1578="","",IF(COUNTIF($C$2:$C1578,$C1578)=1,1,0))</f>
        <v/>
      </c>
      <c r="AH1578">
        <f>IF($AG1578=1,SUMPRODUCT(--($AK$2:$AK$6001&lt;$AK1578))+1,"")</f>
        <v/>
      </c>
      <c r="AI1578">
        <f>IF($C1578="","",IF(OR($N1578=TRUE(),$N1578="TRUE"),1,0))</f>
        <v/>
      </c>
      <c r="AJ1578">
        <f>IF($C1578="","",IF($T1578="Yes",1,0))</f>
        <v/>
      </c>
      <c r="AK1578">
        <f>IF($AG1578=1,IFERROR(IF(VALUE($C1578)&lt;100000000,VALUE($C1578),1000000000),IFERROR(IF(VALUE(MID($C1578,2,20))&lt;100000000,VALUE(MID($C1578,2,20)),1000000000),1000000000))+ROW()/100000,"")</f>
        <v/>
      </c>
    </row>
    <row r="1579">
      <c r="D1579" s="11" t="n"/>
      <c r="K1579" s="7">
        <f>IF($C1579="","",J1579*W1579/100)</f>
        <v/>
      </c>
      <c r="Q1579" s="7" t="n"/>
      <c r="R1579" s="7" t="n"/>
      <c r="U1579">
        <f>IF($C1579="","",IF($AJ1579=1,0,IF($AI1579=1,Settings!$C$6,Settings!$C$7))*100)</f>
        <v/>
      </c>
      <c r="V1579" s="7">
        <f>IF($C1579="","",R1579*U1579/100)</f>
        <v/>
      </c>
      <c r="W1579" s="7">
        <f>IF($C1579="","",R1579-V1579)</f>
        <v/>
      </c>
      <c r="X1579" s="7">
        <f>IF($C1579="","",W1579-K1579)</f>
        <v/>
      </c>
      <c r="AB1579" s="7" t="n"/>
      <c r="AE1579" s="11" t="n"/>
      <c r="AG1579">
        <f>IF($C1579="","",IF(COUNTIF($C$2:$C1579,$C1579)=1,1,0))</f>
        <v/>
      </c>
      <c r="AH1579">
        <f>IF($AG1579=1,SUMPRODUCT(--($AK$2:$AK$6001&lt;$AK1579))+1,"")</f>
        <v/>
      </c>
      <c r="AI1579">
        <f>IF($C1579="","",IF(OR($N1579=TRUE(),$N1579="TRUE"),1,0))</f>
        <v/>
      </c>
      <c r="AJ1579">
        <f>IF($C1579="","",IF($T1579="Yes",1,0))</f>
        <v/>
      </c>
      <c r="AK1579">
        <f>IF($AG1579=1,IFERROR(IF(VALUE($C1579)&lt;100000000,VALUE($C1579),1000000000),IFERROR(IF(VALUE(MID($C1579,2,20))&lt;100000000,VALUE(MID($C1579,2,20)),1000000000),1000000000))+ROW()/100000,"")</f>
        <v/>
      </c>
    </row>
    <row r="1580">
      <c r="D1580" s="11" t="n"/>
      <c r="K1580" s="7">
        <f>IF($C1580="","",J1580*W1580/100)</f>
        <v/>
      </c>
      <c r="Q1580" s="7" t="n"/>
      <c r="R1580" s="7" t="n"/>
      <c r="U1580">
        <f>IF($C1580="","",IF($AJ1580=1,0,IF($AI1580=1,Settings!$C$6,Settings!$C$7))*100)</f>
        <v/>
      </c>
      <c r="V1580" s="7">
        <f>IF($C1580="","",R1580*U1580/100)</f>
        <v/>
      </c>
      <c r="W1580" s="7">
        <f>IF($C1580="","",R1580-V1580)</f>
        <v/>
      </c>
      <c r="X1580" s="7">
        <f>IF($C1580="","",W1580-K1580)</f>
        <v/>
      </c>
      <c r="AB1580" s="7" t="n"/>
      <c r="AE1580" s="11" t="n"/>
      <c r="AG1580">
        <f>IF($C1580="","",IF(COUNTIF($C$2:$C1580,$C1580)=1,1,0))</f>
        <v/>
      </c>
      <c r="AH1580">
        <f>IF($AG1580=1,SUMPRODUCT(--($AK$2:$AK$6001&lt;$AK1580))+1,"")</f>
        <v/>
      </c>
      <c r="AI1580">
        <f>IF($C1580="","",IF(OR($N1580=TRUE(),$N1580="TRUE"),1,0))</f>
        <v/>
      </c>
      <c r="AJ1580">
        <f>IF($C1580="","",IF($T1580="Yes",1,0))</f>
        <v/>
      </c>
      <c r="AK1580">
        <f>IF($AG1580=1,IFERROR(IF(VALUE($C1580)&lt;100000000,VALUE($C1580),1000000000),IFERROR(IF(VALUE(MID($C1580,2,20))&lt;100000000,VALUE(MID($C1580,2,20)),1000000000),1000000000))+ROW()/100000,"")</f>
        <v/>
      </c>
    </row>
    <row r="1581">
      <c r="D1581" s="11" t="n"/>
      <c r="K1581" s="7">
        <f>IF($C1581="","",J1581*W1581/100)</f>
        <v/>
      </c>
      <c r="Q1581" s="7" t="n"/>
      <c r="R1581" s="7" t="n"/>
      <c r="U1581">
        <f>IF($C1581="","",IF($AJ1581=1,0,IF($AI1581=1,Settings!$C$6,Settings!$C$7))*100)</f>
        <v/>
      </c>
      <c r="V1581" s="7">
        <f>IF($C1581="","",R1581*U1581/100)</f>
        <v/>
      </c>
      <c r="W1581" s="7">
        <f>IF($C1581="","",R1581-V1581)</f>
        <v/>
      </c>
      <c r="X1581" s="7">
        <f>IF($C1581="","",W1581-K1581)</f>
        <v/>
      </c>
      <c r="AB1581" s="7" t="n"/>
      <c r="AE1581" s="11" t="n"/>
      <c r="AG1581">
        <f>IF($C1581="","",IF(COUNTIF($C$2:$C1581,$C1581)=1,1,0))</f>
        <v/>
      </c>
      <c r="AH1581">
        <f>IF($AG1581=1,SUMPRODUCT(--($AK$2:$AK$6001&lt;$AK1581))+1,"")</f>
        <v/>
      </c>
      <c r="AI1581">
        <f>IF($C1581="","",IF(OR($N1581=TRUE(),$N1581="TRUE"),1,0))</f>
        <v/>
      </c>
      <c r="AJ1581">
        <f>IF($C1581="","",IF($T1581="Yes",1,0))</f>
        <v/>
      </c>
      <c r="AK1581">
        <f>IF($AG1581=1,IFERROR(IF(VALUE($C1581)&lt;100000000,VALUE($C1581),1000000000),IFERROR(IF(VALUE(MID($C1581,2,20))&lt;100000000,VALUE(MID($C1581,2,20)),1000000000),1000000000))+ROW()/100000,"")</f>
        <v/>
      </c>
    </row>
    <row r="1582">
      <c r="D1582" s="11" t="n"/>
      <c r="K1582" s="7">
        <f>IF($C1582="","",J1582*W1582/100)</f>
        <v/>
      </c>
      <c r="Q1582" s="7" t="n"/>
      <c r="R1582" s="7" t="n"/>
      <c r="U1582">
        <f>IF($C1582="","",IF($AJ1582=1,0,IF($AI1582=1,Settings!$C$6,Settings!$C$7))*100)</f>
        <v/>
      </c>
      <c r="V1582" s="7">
        <f>IF($C1582="","",R1582*U1582/100)</f>
        <v/>
      </c>
      <c r="W1582" s="7">
        <f>IF($C1582="","",R1582-V1582)</f>
        <v/>
      </c>
      <c r="X1582" s="7">
        <f>IF($C1582="","",W1582-K1582)</f>
        <v/>
      </c>
      <c r="AB1582" s="7" t="n"/>
      <c r="AE1582" s="11" t="n"/>
      <c r="AG1582">
        <f>IF($C1582="","",IF(COUNTIF($C$2:$C1582,$C1582)=1,1,0))</f>
        <v/>
      </c>
      <c r="AH1582">
        <f>IF($AG1582=1,SUMPRODUCT(--($AK$2:$AK$6001&lt;$AK1582))+1,"")</f>
        <v/>
      </c>
      <c r="AI1582">
        <f>IF($C1582="","",IF(OR($N1582=TRUE(),$N1582="TRUE"),1,0))</f>
        <v/>
      </c>
      <c r="AJ1582">
        <f>IF($C1582="","",IF($T1582="Yes",1,0))</f>
        <v/>
      </c>
      <c r="AK1582">
        <f>IF($AG1582=1,IFERROR(IF(VALUE($C1582)&lt;100000000,VALUE($C1582),1000000000),IFERROR(IF(VALUE(MID($C1582,2,20))&lt;100000000,VALUE(MID($C1582,2,20)),1000000000),1000000000))+ROW()/100000,"")</f>
        <v/>
      </c>
    </row>
    <row r="1583">
      <c r="D1583" s="11" t="n"/>
      <c r="K1583" s="7">
        <f>IF($C1583="","",J1583*W1583/100)</f>
        <v/>
      </c>
      <c r="Q1583" s="7" t="n"/>
      <c r="R1583" s="7" t="n"/>
      <c r="U1583">
        <f>IF($C1583="","",IF($AJ1583=1,0,IF($AI1583=1,Settings!$C$6,Settings!$C$7))*100)</f>
        <v/>
      </c>
      <c r="V1583" s="7">
        <f>IF($C1583="","",R1583*U1583/100)</f>
        <v/>
      </c>
      <c r="W1583" s="7">
        <f>IF($C1583="","",R1583-V1583)</f>
        <v/>
      </c>
      <c r="X1583" s="7">
        <f>IF($C1583="","",W1583-K1583)</f>
        <v/>
      </c>
      <c r="AB1583" s="7" t="n"/>
      <c r="AE1583" s="11" t="n"/>
      <c r="AG1583">
        <f>IF($C1583="","",IF(COUNTIF($C$2:$C1583,$C1583)=1,1,0))</f>
        <v/>
      </c>
      <c r="AH1583">
        <f>IF($AG1583=1,SUMPRODUCT(--($AK$2:$AK$6001&lt;$AK1583))+1,"")</f>
        <v/>
      </c>
      <c r="AI1583">
        <f>IF($C1583="","",IF(OR($N1583=TRUE(),$N1583="TRUE"),1,0))</f>
        <v/>
      </c>
      <c r="AJ1583">
        <f>IF($C1583="","",IF($T1583="Yes",1,0))</f>
        <v/>
      </c>
      <c r="AK1583">
        <f>IF($AG1583=1,IFERROR(IF(VALUE($C1583)&lt;100000000,VALUE($C1583),1000000000),IFERROR(IF(VALUE(MID($C1583,2,20))&lt;100000000,VALUE(MID($C1583,2,20)),1000000000),1000000000))+ROW()/100000,"")</f>
        <v/>
      </c>
    </row>
    <row r="1584">
      <c r="D1584" s="11" t="n"/>
      <c r="K1584" s="7">
        <f>IF($C1584="","",J1584*W1584/100)</f>
        <v/>
      </c>
      <c r="Q1584" s="7" t="n"/>
      <c r="R1584" s="7" t="n"/>
      <c r="U1584">
        <f>IF($C1584="","",IF($AJ1584=1,0,IF($AI1584=1,Settings!$C$6,Settings!$C$7))*100)</f>
        <v/>
      </c>
      <c r="V1584" s="7">
        <f>IF($C1584="","",R1584*U1584/100)</f>
        <v/>
      </c>
      <c r="W1584" s="7">
        <f>IF($C1584="","",R1584-V1584)</f>
        <v/>
      </c>
      <c r="X1584" s="7">
        <f>IF($C1584="","",W1584-K1584)</f>
        <v/>
      </c>
      <c r="AB1584" s="7" t="n"/>
      <c r="AE1584" s="11" t="n"/>
      <c r="AG1584">
        <f>IF($C1584="","",IF(COUNTIF($C$2:$C1584,$C1584)=1,1,0))</f>
        <v/>
      </c>
      <c r="AH1584">
        <f>IF($AG1584=1,SUMPRODUCT(--($AK$2:$AK$6001&lt;$AK1584))+1,"")</f>
        <v/>
      </c>
      <c r="AI1584">
        <f>IF($C1584="","",IF(OR($N1584=TRUE(),$N1584="TRUE"),1,0))</f>
        <v/>
      </c>
      <c r="AJ1584">
        <f>IF($C1584="","",IF($T1584="Yes",1,0))</f>
        <v/>
      </c>
      <c r="AK1584">
        <f>IF($AG1584=1,IFERROR(IF(VALUE($C1584)&lt;100000000,VALUE($C1584),1000000000),IFERROR(IF(VALUE(MID($C1584,2,20))&lt;100000000,VALUE(MID($C1584,2,20)),1000000000),1000000000))+ROW()/100000,"")</f>
        <v/>
      </c>
    </row>
    <row r="1585">
      <c r="D1585" s="11" t="n"/>
      <c r="K1585" s="7">
        <f>IF($C1585="","",J1585*W1585/100)</f>
        <v/>
      </c>
      <c r="Q1585" s="7" t="n"/>
      <c r="R1585" s="7" t="n"/>
      <c r="U1585">
        <f>IF($C1585="","",IF($AJ1585=1,0,IF($AI1585=1,Settings!$C$6,Settings!$C$7))*100)</f>
        <v/>
      </c>
      <c r="V1585" s="7">
        <f>IF($C1585="","",R1585*U1585/100)</f>
        <v/>
      </c>
      <c r="W1585" s="7">
        <f>IF($C1585="","",R1585-V1585)</f>
        <v/>
      </c>
      <c r="X1585" s="7">
        <f>IF($C1585="","",W1585-K1585)</f>
        <v/>
      </c>
      <c r="AB1585" s="7" t="n"/>
      <c r="AE1585" s="11" t="n"/>
      <c r="AG1585">
        <f>IF($C1585="","",IF(COUNTIF($C$2:$C1585,$C1585)=1,1,0))</f>
        <v/>
      </c>
      <c r="AH1585">
        <f>IF($AG1585=1,SUMPRODUCT(--($AK$2:$AK$6001&lt;$AK1585))+1,"")</f>
        <v/>
      </c>
      <c r="AI1585">
        <f>IF($C1585="","",IF(OR($N1585=TRUE(),$N1585="TRUE"),1,0))</f>
        <v/>
      </c>
      <c r="AJ1585">
        <f>IF($C1585="","",IF($T1585="Yes",1,0))</f>
        <v/>
      </c>
      <c r="AK1585">
        <f>IF($AG1585=1,IFERROR(IF(VALUE($C1585)&lt;100000000,VALUE($C1585),1000000000),IFERROR(IF(VALUE(MID($C1585,2,20))&lt;100000000,VALUE(MID($C1585,2,20)),1000000000),1000000000))+ROW()/100000,"")</f>
        <v/>
      </c>
    </row>
    <row r="1586">
      <c r="D1586" s="11" t="n"/>
      <c r="K1586" s="7">
        <f>IF($C1586="","",J1586*W1586/100)</f>
        <v/>
      </c>
      <c r="Q1586" s="7" t="n"/>
      <c r="R1586" s="7" t="n"/>
      <c r="U1586">
        <f>IF($C1586="","",IF($AJ1586=1,0,IF($AI1586=1,Settings!$C$6,Settings!$C$7))*100)</f>
        <v/>
      </c>
      <c r="V1586" s="7">
        <f>IF($C1586="","",R1586*U1586/100)</f>
        <v/>
      </c>
      <c r="W1586" s="7">
        <f>IF($C1586="","",R1586-V1586)</f>
        <v/>
      </c>
      <c r="X1586" s="7">
        <f>IF($C1586="","",W1586-K1586)</f>
        <v/>
      </c>
      <c r="AB1586" s="7" t="n"/>
      <c r="AE1586" s="11" t="n"/>
      <c r="AG1586">
        <f>IF($C1586="","",IF(COUNTIF($C$2:$C1586,$C1586)=1,1,0))</f>
        <v/>
      </c>
      <c r="AH1586">
        <f>IF($AG1586=1,SUMPRODUCT(--($AK$2:$AK$6001&lt;$AK1586))+1,"")</f>
        <v/>
      </c>
      <c r="AI1586">
        <f>IF($C1586="","",IF(OR($N1586=TRUE(),$N1586="TRUE"),1,0))</f>
        <v/>
      </c>
      <c r="AJ1586">
        <f>IF($C1586="","",IF($T1586="Yes",1,0))</f>
        <v/>
      </c>
      <c r="AK1586">
        <f>IF($AG1586=1,IFERROR(IF(VALUE($C1586)&lt;100000000,VALUE($C1586),1000000000),IFERROR(IF(VALUE(MID($C1586,2,20))&lt;100000000,VALUE(MID($C1586,2,20)),1000000000),1000000000))+ROW()/100000,"")</f>
        <v/>
      </c>
    </row>
    <row r="1587">
      <c r="D1587" s="11" t="n"/>
      <c r="K1587" s="7">
        <f>IF($C1587="","",J1587*W1587/100)</f>
        <v/>
      </c>
      <c r="Q1587" s="7" t="n"/>
      <c r="R1587" s="7" t="n"/>
      <c r="U1587">
        <f>IF($C1587="","",IF($AJ1587=1,0,IF($AI1587=1,Settings!$C$6,Settings!$C$7))*100)</f>
        <v/>
      </c>
      <c r="V1587" s="7">
        <f>IF($C1587="","",R1587*U1587/100)</f>
        <v/>
      </c>
      <c r="W1587" s="7">
        <f>IF($C1587="","",R1587-V1587)</f>
        <v/>
      </c>
      <c r="X1587" s="7">
        <f>IF($C1587="","",W1587-K1587)</f>
        <v/>
      </c>
      <c r="AB1587" s="7" t="n"/>
      <c r="AE1587" s="11" t="n"/>
      <c r="AG1587">
        <f>IF($C1587="","",IF(COUNTIF($C$2:$C1587,$C1587)=1,1,0))</f>
        <v/>
      </c>
      <c r="AH1587">
        <f>IF($AG1587=1,SUMPRODUCT(--($AK$2:$AK$6001&lt;$AK1587))+1,"")</f>
        <v/>
      </c>
      <c r="AI1587">
        <f>IF($C1587="","",IF(OR($N1587=TRUE(),$N1587="TRUE"),1,0))</f>
        <v/>
      </c>
      <c r="AJ1587">
        <f>IF($C1587="","",IF($T1587="Yes",1,0))</f>
        <v/>
      </c>
      <c r="AK1587">
        <f>IF($AG1587=1,IFERROR(IF(VALUE($C1587)&lt;100000000,VALUE($C1587),1000000000),IFERROR(IF(VALUE(MID($C1587,2,20))&lt;100000000,VALUE(MID($C1587,2,20)),1000000000),1000000000))+ROW()/100000,"")</f>
        <v/>
      </c>
    </row>
    <row r="1588">
      <c r="D1588" s="11" t="n"/>
      <c r="K1588" s="7">
        <f>IF($C1588="","",J1588*W1588/100)</f>
        <v/>
      </c>
      <c r="Q1588" s="7" t="n"/>
      <c r="R1588" s="7" t="n"/>
      <c r="U1588">
        <f>IF($C1588="","",IF($AJ1588=1,0,IF($AI1588=1,Settings!$C$6,Settings!$C$7))*100)</f>
        <v/>
      </c>
      <c r="V1588" s="7">
        <f>IF($C1588="","",R1588*U1588/100)</f>
        <v/>
      </c>
      <c r="W1588" s="7">
        <f>IF($C1588="","",R1588-V1588)</f>
        <v/>
      </c>
      <c r="X1588" s="7">
        <f>IF($C1588="","",W1588-K1588)</f>
        <v/>
      </c>
      <c r="AB1588" s="7" t="n"/>
      <c r="AE1588" s="11" t="n"/>
      <c r="AG1588">
        <f>IF($C1588="","",IF(COUNTIF($C$2:$C1588,$C1588)=1,1,0))</f>
        <v/>
      </c>
      <c r="AH1588">
        <f>IF($AG1588=1,SUMPRODUCT(--($AK$2:$AK$6001&lt;$AK1588))+1,"")</f>
        <v/>
      </c>
      <c r="AI1588">
        <f>IF($C1588="","",IF(OR($N1588=TRUE(),$N1588="TRUE"),1,0))</f>
        <v/>
      </c>
      <c r="AJ1588">
        <f>IF($C1588="","",IF($T1588="Yes",1,0))</f>
        <v/>
      </c>
      <c r="AK1588">
        <f>IF($AG1588=1,IFERROR(IF(VALUE($C1588)&lt;100000000,VALUE($C1588),1000000000),IFERROR(IF(VALUE(MID($C1588,2,20))&lt;100000000,VALUE(MID($C1588,2,20)),1000000000),1000000000))+ROW()/100000,"")</f>
        <v/>
      </c>
    </row>
    <row r="1589">
      <c r="D1589" s="11" t="n"/>
      <c r="K1589" s="7">
        <f>IF($C1589="","",J1589*W1589/100)</f>
        <v/>
      </c>
      <c r="Q1589" s="7" t="n"/>
      <c r="R1589" s="7" t="n"/>
      <c r="U1589">
        <f>IF($C1589="","",IF($AJ1589=1,0,IF($AI1589=1,Settings!$C$6,Settings!$C$7))*100)</f>
        <v/>
      </c>
      <c r="V1589" s="7">
        <f>IF($C1589="","",R1589*U1589/100)</f>
        <v/>
      </c>
      <c r="W1589" s="7">
        <f>IF($C1589="","",R1589-V1589)</f>
        <v/>
      </c>
      <c r="X1589" s="7">
        <f>IF($C1589="","",W1589-K1589)</f>
        <v/>
      </c>
      <c r="AB1589" s="7" t="n"/>
      <c r="AE1589" s="11" t="n"/>
      <c r="AG1589">
        <f>IF($C1589="","",IF(COUNTIF($C$2:$C1589,$C1589)=1,1,0))</f>
        <v/>
      </c>
      <c r="AH1589">
        <f>IF($AG1589=1,SUMPRODUCT(--($AK$2:$AK$6001&lt;$AK1589))+1,"")</f>
        <v/>
      </c>
      <c r="AI1589">
        <f>IF($C1589="","",IF(OR($N1589=TRUE(),$N1589="TRUE"),1,0))</f>
        <v/>
      </c>
      <c r="AJ1589">
        <f>IF($C1589="","",IF($T1589="Yes",1,0))</f>
        <v/>
      </c>
      <c r="AK1589">
        <f>IF($AG1589=1,IFERROR(IF(VALUE($C1589)&lt;100000000,VALUE($C1589),1000000000),IFERROR(IF(VALUE(MID($C1589,2,20))&lt;100000000,VALUE(MID($C1589,2,20)),1000000000),1000000000))+ROW()/100000,"")</f>
        <v/>
      </c>
    </row>
    <row r="1590">
      <c r="D1590" s="11" t="n"/>
      <c r="K1590" s="7">
        <f>IF($C1590="","",J1590*W1590/100)</f>
        <v/>
      </c>
      <c r="Q1590" s="7" t="n"/>
      <c r="R1590" s="7" t="n"/>
      <c r="U1590">
        <f>IF($C1590="","",IF($AJ1590=1,0,IF($AI1590=1,Settings!$C$6,Settings!$C$7))*100)</f>
        <v/>
      </c>
      <c r="V1590" s="7">
        <f>IF($C1590="","",R1590*U1590/100)</f>
        <v/>
      </c>
      <c r="W1590" s="7">
        <f>IF($C1590="","",R1590-V1590)</f>
        <v/>
      </c>
      <c r="X1590" s="7">
        <f>IF($C1590="","",W1590-K1590)</f>
        <v/>
      </c>
      <c r="AB1590" s="7" t="n"/>
      <c r="AE1590" s="11" t="n"/>
      <c r="AG1590">
        <f>IF($C1590="","",IF(COUNTIF($C$2:$C1590,$C1590)=1,1,0))</f>
        <v/>
      </c>
      <c r="AH1590">
        <f>IF($AG1590=1,SUMPRODUCT(--($AK$2:$AK$6001&lt;$AK1590))+1,"")</f>
        <v/>
      </c>
      <c r="AI1590">
        <f>IF($C1590="","",IF(OR($N1590=TRUE(),$N1590="TRUE"),1,0))</f>
        <v/>
      </c>
      <c r="AJ1590">
        <f>IF($C1590="","",IF($T1590="Yes",1,0))</f>
        <v/>
      </c>
      <c r="AK1590">
        <f>IF($AG1590=1,IFERROR(IF(VALUE($C1590)&lt;100000000,VALUE($C1590),1000000000),IFERROR(IF(VALUE(MID($C1590,2,20))&lt;100000000,VALUE(MID($C1590,2,20)),1000000000),1000000000))+ROW()/100000,"")</f>
        <v/>
      </c>
    </row>
    <row r="1591">
      <c r="D1591" s="11" t="n"/>
      <c r="K1591" s="7">
        <f>IF($C1591="","",J1591*W1591/100)</f>
        <v/>
      </c>
      <c r="Q1591" s="7" t="n"/>
      <c r="R1591" s="7" t="n"/>
      <c r="U1591">
        <f>IF($C1591="","",IF($AJ1591=1,0,IF($AI1591=1,Settings!$C$6,Settings!$C$7))*100)</f>
        <v/>
      </c>
      <c r="V1591" s="7">
        <f>IF($C1591="","",R1591*U1591/100)</f>
        <v/>
      </c>
      <c r="W1591" s="7">
        <f>IF($C1591="","",R1591-V1591)</f>
        <v/>
      </c>
      <c r="X1591" s="7">
        <f>IF($C1591="","",W1591-K1591)</f>
        <v/>
      </c>
      <c r="AB1591" s="7" t="n"/>
      <c r="AE1591" s="11" t="n"/>
      <c r="AG1591">
        <f>IF($C1591="","",IF(COUNTIF($C$2:$C1591,$C1591)=1,1,0))</f>
        <v/>
      </c>
      <c r="AH1591">
        <f>IF($AG1591=1,SUMPRODUCT(--($AK$2:$AK$6001&lt;$AK1591))+1,"")</f>
        <v/>
      </c>
      <c r="AI1591">
        <f>IF($C1591="","",IF(OR($N1591=TRUE(),$N1591="TRUE"),1,0))</f>
        <v/>
      </c>
      <c r="AJ1591">
        <f>IF($C1591="","",IF($T1591="Yes",1,0))</f>
        <v/>
      </c>
      <c r="AK1591">
        <f>IF($AG1591=1,IFERROR(IF(VALUE($C1591)&lt;100000000,VALUE($C1591),1000000000),IFERROR(IF(VALUE(MID($C1591,2,20))&lt;100000000,VALUE(MID($C1591,2,20)),1000000000),1000000000))+ROW()/100000,"")</f>
        <v/>
      </c>
    </row>
    <row r="1592">
      <c r="D1592" s="11" t="n"/>
      <c r="K1592" s="7">
        <f>IF($C1592="","",J1592*W1592/100)</f>
        <v/>
      </c>
      <c r="Q1592" s="7" t="n"/>
      <c r="R1592" s="7" t="n"/>
      <c r="U1592">
        <f>IF($C1592="","",IF($AJ1592=1,0,IF($AI1592=1,Settings!$C$6,Settings!$C$7))*100)</f>
        <v/>
      </c>
      <c r="V1592" s="7">
        <f>IF($C1592="","",R1592*U1592/100)</f>
        <v/>
      </c>
      <c r="W1592" s="7">
        <f>IF($C1592="","",R1592-V1592)</f>
        <v/>
      </c>
      <c r="X1592" s="7">
        <f>IF($C1592="","",W1592-K1592)</f>
        <v/>
      </c>
      <c r="AB1592" s="7" t="n"/>
      <c r="AE1592" s="11" t="n"/>
      <c r="AG1592">
        <f>IF($C1592="","",IF(COUNTIF($C$2:$C1592,$C1592)=1,1,0))</f>
        <v/>
      </c>
      <c r="AH1592">
        <f>IF($AG1592=1,SUMPRODUCT(--($AK$2:$AK$6001&lt;$AK1592))+1,"")</f>
        <v/>
      </c>
      <c r="AI1592">
        <f>IF($C1592="","",IF(OR($N1592=TRUE(),$N1592="TRUE"),1,0))</f>
        <v/>
      </c>
      <c r="AJ1592">
        <f>IF($C1592="","",IF($T1592="Yes",1,0))</f>
        <v/>
      </c>
      <c r="AK1592">
        <f>IF($AG1592=1,IFERROR(IF(VALUE($C1592)&lt;100000000,VALUE($C1592),1000000000),IFERROR(IF(VALUE(MID($C1592,2,20))&lt;100000000,VALUE(MID($C1592,2,20)),1000000000),1000000000))+ROW()/100000,"")</f>
        <v/>
      </c>
    </row>
    <row r="1593">
      <c r="D1593" s="11" t="n"/>
      <c r="K1593" s="7">
        <f>IF($C1593="","",J1593*W1593/100)</f>
        <v/>
      </c>
      <c r="Q1593" s="7" t="n"/>
      <c r="R1593" s="7" t="n"/>
      <c r="U1593">
        <f>IF($C1593="","",IF($AJ1593=1,0,IF($AI1593=1,Settings!$C$6,Settings!$C$7))*100)</f>
        <v/>
      </c>
      <c r="V1593" s="7">
        <f>IF($C1593="","",R1593*U1593/100)</f>
        <v/>
      </c>
      <c r="W1593" s="7">
        <f>IF($C1593="","",R1593-V1593)</f>
        <v/>
      </c>
      <c r="X1593" s="7">
        <f>IF($C1593="","",W1593-K1593)</f>
        <v/>
      </c>
      <c r="AB1593" s="7" t="n"/>
      <c r="AE1593" s="11" t="n"/>
      <c r="AG1593">
        <f>IF($C1593="","",IF(COUNTIF($C$2:$C1593,$C1593)=1,1,0))</f>
        <v/>
      </c>
      <c r="AH1593">
        <f>IF($AG1593=1,SUMPRODUCT(--($AK$2:$AK$6001&lt;$AK1593))+1,"")</f>
        <v/>
      </c>
      <c r="AI1593">
        <f>IF($C1593="","",IF(OR($N1593=TRUE(),$N1593="TRUE"),1,0))</f>
        <v/>
      </c>
      <c r="AJ1593">
        <f>IF($C1593="","",IF($T1593="Yes",1,0))</f>
        <v/>
      </c>
      <c r="AK1593">
        <f>IF($AG1593=1,IFERROR(IF(VALUE($C1593)&lt;100000000,VALUE($C1593),1000000000),IFERROR(IF(VALUE(MID($C1593,2,20))&lt;100000000,VALUE(MID($C1593,2,20)),1000000000),1000000000))+ROW()/100000,"")</f>
        <v/>
      </c>
    </row>
    <row r="1594">
      <c r="D1594" s="11" t="n"/>
      <c r="K1594" s="7">
        <f>IF($C1594="","",J1594*W1594/100)</f>
        <v/>
      </c>
      <c r="Q1594" s="7" t="n"/>
      <c r="R1594" s="7" t="n"/>
      <c r="U1594">
        <f>IF($C1594="","",IF($AJ1594=1,0,IF($AI1594=1,Settings!$C$6,Settings!$C$7))*100)</f>
        <v/>
      </c>
      <c r="V1594" s="7">
        <f>IF($C1594="","",R1594*U1594/100)</f>
        <v/>
      </c>
      <c r="W1594" s="7">
        <f>IF($C1594="","",R1594-V1594)</f>
        <v/>
      </c>
      <c r="X1594" s="7">
        <f>IF($C1594="","",W1594-K1594)</f>
        <v/>
      </c>
      <c r="AB1594" s="7" t="n"/>
      <c r="AE1594" s="11" t="n"/>
      <c r="AG1594">
        <f>IF($C1594="","",IF(COUNTIF($C$2:$C1594,$C1594)=1,1,0))</f>
        <v/>
      </c>
      <c r="AH1594">
        <f>IF($AG1594=1,SUMPRODUCT(--($AK$2:$AK$6001&lt;$AK1594))+1,"")</f>
        <v/>
      </c>
      <c r="AI1594">
        <f>IF($C1594="","",IF(OR($N1594=TRUE(),$N1594="TRUE"),1,0))</f>
        <v/>
      </c>
      <c r="AJ1594">
        <f>IF($C1594="","",IF($T1594="Yes",1,0))</f>
        <v/>
      </c>
      <c r="AK1594">
        <f>IF($AG1594=1,IFERROR(IF(VALUE($C1594)&lt;100000000,VALUE($C1594),1000000000),IFERROR(IF(VALUE(MID($C1594,2,20))&lt;100000000,VALUE(MID($C1594,2,20)),1000000000),1000000000))+ROW()/100000,"")</f>
        <v/>
      </c>
    </row>
    <row r="1595">
      <c r="D1595" s="11" t="n"/>
      <c r="K1595" s="7">
        <f>IF($C1595="","",J1595*W1595/100)</f>
        <v/>
      </c>
      <c r="Q1595" s="7" t="n"/>
      <c r="R1595" s="7" t="n"/>
      <c r="U1595">
        <f>IF($C1595="","",IF($AJ1595=1,0,IF($AI1595=1,Settings!$C$6,Settings!$C$7))*100)</f>
        <v/>
      </c>
      <c r="V1595" s="7">
        <f>IF($C1595="","",R1595*U1595/100)</f>
        <v/>
      </c>
      <c r="W1595" s="7">
        <f>IF($C1595="","",R1595-V1595)</f>
        <v/>
      </c>
      <c r="X1595" s="7">
        <f>IF($C1595="","",W1595-K1595)</f>
        <v/>
      </c>
      <c r="AB1595" s="7" t="n"/>
      <c r="AE1595" s="11" t="n"/>
      <c r="AG1595">
        <f>IF($C1595="","",IF(COUNTIF($C$2:$C1595,$C1595)=1,1,0))</f>
        <v/>
      </c>
      <c r="AH1595">
        <f>IF($AG1595=1,SUMPRODUCT(--($AK$2:$AK$6001&lt;$AK1595))+1,"")</f>
        <v/>
      </c>
      <c r="AI1595">
        <f>IF($C1595="","",IF(OR($N1595=TRUE(),$N1595="TRUE"),1,0))</f>
        <v/>
      </c>
      <c r="AJ1595">
        <f>IF($C1595="","",IF($T1595="Yes",1,0))</f>
        <v/>
      </c>
      <c r="AK1595">
        <f>IF($AG1595=1,IFERROR(IF(VALUE($C1595)&lt;100000000,VALUE($C1595),1000000000),IFERROR(IF(VALUE(MID($C1595,2,20))&lt;100000000,VALUE(MID($C1595,2,20)),1000000000),1000000000))+ROW()/100000,"")</f>
        <v/>
      </c>
    </row>
    <row r="1596">
      <c r="D1596" s="11" t="n"/>
      <c r="K1596" s="7">
        <f>IF($C1596="","",J1596*W1596/100)</f>
        <v/>
      </c>
      <c r="Q1596" s="7" t="n"/>
      <c r="R1596" s="7" t="n"/>
      <c r="U1596">
        <f>IF($C1596="","",IF($AJ1596=1,0,IF($AI1596=1,Settings!$C$6,Settings!$C$7))*100)</f>
        <v/>
      </c>
      <c r="V1596" s="7">
        <f>IF($C1596="","",R1596*U1596/100)</f>
        <v/>
      </c>
      <c r="W1596" s="7">
        <f>IF($C1596="","",R1596-V1596)</f>
        <v/>
      </c>
      <c r="X1596" s="7">
        <f>IF($C1596="","",W1596-K1596)</f>
        <v/>
      </c>
      <c r="AB1596" s="7" t="n"/>
      <c r="AE1596" s="11" t="n"/>
      <c r="AG1596">
        <f>IF($C1596="","",IF(COUNTIF($C$2:$C1596,$C1596)=1,1,0))</f>
        <v/>
      </c>
      <c r="AH1596">
        <f>IF($AG1596=1,SUMPRODUCT(--($AK$2:$AK$6001&lt;$AK1596))+1,"")</f>
        <v/>
      </c>
      <c r="AI1596">
        <f>IF($C1596="","",IF(OR($N1596=TRUE(),$N1596="TRUE"),1,0))</f>
        <v/>
      </c>
      <c r="AJ1596">
        <f>IF($C1596="","",IF($T1596="Yes",1,0))</f>
        <v/>
      </c>
      <c r="AK1596">
        <f>IF($AG1596=1,IFERROR(IF(VALUE($C1596)&lt;100000000,VALUE($C1596),1000000000),IFERROR(IF(VALUE(MID($C1596,2,20))&lt;100000000,VALUE(MID($C1596,2,20)),1000000000),1000000000))+ROW()/100000,"")</f>
        <v/>
      </c>
    </row>
    <row r="1597">
      <c r="D1597" s="11" t="n"/>
      <c r="K1597" s="7">
        <f>IF($C1597="","",J1597*W1597/100)</f>
        <v/>
      </c>
      <c r="Q1597" s="7" t="n"/>
      <c r="R1597" s="7" t="n"/>
      <c r="U1597">
        <f>IF($C1597="","",IF($AJ1597=1,0,IF($AI1597=1,Settings!$C$6,Settings!$C$7))*100)</f>
        <v/>
      </c>
      <c r="V1597" s="7">
        <f>IF($C1597="","",R1597*U1597/100)</f>
        <v/>
      </c>
      <c r="W1597" s="7">
        <f>IF($C1597="","",R1597-V1597)</f>
        <v/>
      </c>
      <c r="X1597" s="7">
        <f>IF($C1597="","",W1597-K1597)</f>
        <v/>
      </c>
      <c r="AB1597" s="7" t="n"/>
      <c r="AE1597" s="11" t="n"/>
      <c r="AG1597">
        <f>IF($C1597="","",IF(COUNTIF($C$2:$C1597,$C1597)=1,1,0))</f>
        <v/>
      </c>
      <c r="AH1597">
        <f>IF($AG1597=1,SUMPRODUCT(--($AK$2:$AK$6001&lt;$AK1597))+1,"")</f>
        <v/>
      </c>
      <c r="AI1597">
        <f>IF($C1597="","",IF(OR($N1597=TRUE(),$N1597="TRUE"),1,0))</f>
        <v/>
      </c>
      <c r="AJ1597">
        <f>IF($C1597="","",IF($T1597="Yes",1,0))</f>
        <v/>
      </c>
      <c r="AK1597">
        <f>IF($AG1597=1,IFERROR(IF(VALUE($C1597)&lt;100000000,VALUE($C1597),1000000000),IFERROR(IF(VALUE(MID($C1597,2,20))&lt;100000000,VALUE(MID($C1597,2,20)),1000000000),1000000000))+ROW()/100000,"")</f>
        <v/>
      </c>
    </row>
    <row r="1598">
      <c r="D1598" s="11" t="n"/>
      <c r="K1598" s="7">
        <f>IF($C1598="","",J1598*W1598/100)</f>
        <v/>
      </c>
      <c r="Q1598" s="7" t="n"/>
      <c r="R1598" s="7" t="n"/>
      <c r="U1598">
        <f>IF($C1598="","",IF($AJ1598=1,0,IF($AI1598=1,Settings!$C$6,Settings!$C$7))*100)</f>
        <v/>
      </c>
      <c r="V1598" s="7">
        <f>IF($C1598="","",R1598*U1598/100)</f>
        <v/>
      </c>
      <c r="W1598" s="7">
        <f>IF($C1598="","",R1598-V1598)</f>
        <v/>
      </c>
      <c r="X1598" s="7">
        <f>IF($C1598="","",W1598-K1598)</f>
        <v/>
      </c>
      <c r="AB1598" s="7" t="n"/>
      <c r="AE1598" s="11" t="n"/>
      <c r="AG1598">
        <f>IF($C1598="","",IF(COUNTIF($C$2:$C1598,$C1598)=1,1,0))</f>
        <v/>
      </c>
      <c r="AH1598">
        <f>IF($AG1598=1,SUMPRODUCT(--($AK$2:$AK$6001&lt;$AK1598))+1,"")</f>
        <v/>
      </c>
      <c r="AI1598">
        <f>IF($C1598="","",IF(OR($N1598=TRUE(),$N1598="TRUE"),1,0))</f>
        <v/>
      </c>
      <c r="AJ1598">
        <f>IF($C1598="","",IF($T1598="Yes",1,0))</f>
        <v/>
      </c>
      <c r="AK1598">
        <f>IF($AG1598=1,IFERROR(IF(VALUE($C1598)&lt;100000000,VALUE($C1598),1000000000),IFERROR(IF(VALUE(MID($C1598,2,20))&lt;100000000,VALUE(MID($C1598,2,20)),1000000000),1000000000))+ROW()/100000,"")</f>
        <v/>
      </c>
    </row>
    <row r="1599">
      <c r="D1599" s="11" t="n"/>
      <c r="K1599" s="7">
        <f>IF($C1599="","",J1599*W1599/100)</f>
        <v/>
      </c>
      <c r="Q1599" s="7" t="n"/>
      <c r="R1599" s="7" t="n"/>
      <c r="U1599">
        <f>IF($C1599="","",IF($AJ1599=1,0,IF($AI1599=1,Settings!$C$6,Settings!$C$7))*100)</f>
        <v/>
      </c>
      <c r="V1599" s="7">
        <f>IF($C1599="","",R1599*U1599/100)</f>
        <v/>
      </c>
      <c r="W1599" s="7">
        <f>IF($C1599="","",R1599-V1599)</f>
        <v/>
      </c>
      <c r="X1599" s="7">
        <f>IF($C1599="","",W1599-K1599)</f>
        <v/>
      </c>
      <c r="AB1599" s="7" t="n"/>
      <c r="AE1599" s="11" t="n"/>
      <c r="AG1599">
        <f>IF($C1599="","",IF(COUNTIF($C$2:$C1599,$C1599)=1,1,0))</f>
        <v/>
      </c>
      <c r="AH1599">
        <f>IF($AG1599=1,SUMPRODUCT(--($AK$2:$AK$6001&lt;$AK1599))+1,"")</f>
        <v/>
      </c>
      <c r="AI1599">
        <f>IF($C1599="","",IF(OR($N1599=TRUE(),$N1599="TRUE"),1,0))</f>
        <v/>
      </c>
      <c r="AJ1599">
        <f>IF($C1599="","",IF($T1599="Yes",1,0))</f>
        <v/>
      </c>
      <c r="AK1599">
        <f>IF($AG1599=1,IFERROR(IF(VALUE($C1599)&lt;100000000,VALUE($C1599),1000000000),IFERROR(IF(VALUE(MID($C1599,2,20))&lt;100000000,VALUE(MID($C1599,2,20)),1000000000),1000000000))+ROW()/100000,"")</f>
        <v/>
      </c>
    </row>
    <row r="1600">
      <c r="D1600" s="11" t="n"/>
      <c r="K1600" s="7">
        <f>IF($C1600="","",J1600*W1600/100)</f>
        <v/>
      </c>
      <c r="Q1600" s="7" t="n"/>
      <c r="R1600" s="7" t="n"/>
      <c r="U1600">
        <f>IF($C1600="","",IF($AJ1600=1,0,IF($AI1600=1,Settings!$C$6,Settings!$C$7))*100)</f>
        <v/>
      </c>
      <c r="V1600" s="7">
        <f>IF($C1600="","",R1600*U1600/100)</f>
        <v/>
      </c>
      <c r="W1600" s="7">
        <f>IF($C1600="","",R1600-V1600)</f>
        <v/>
      </c>
      <c r="X1600" s="7">
        <f>IF($C1600="","",W1600-K1600)</f>
        <v/>
      </c>
      <c r="AB1600" s="7" t="n"/>
      <c r="AE1600" s="11" t="n"/>
      <c r="AG1600">
        <f>IF($C1600="","",IF(COUNTIF($C$2:$C1600,$C1600)=1,1,0))</f>
        <v/>
      </c>
      <c r="AH1600">
        <f>IF($AG1600=1,SUMPRODUCT(--($AK$2:$AK$6001&lt;$AK1600))+1,"")</f>
        <v/>
      </c>
      <c r="AI1600">
        <f>IF($C1600="","",IF(OR($N1600=TRUE(),$N1600="TRUE"),1,0))</f>
        <v/>
      </c>
      <c r="AJ1600">
        <f>IF($C1600="","",IF($T1600="Yes",1,0))</f>
        <v/>
      </c>
      <c r="AK1600">
        <f>IF($AG1600=1,IFERROR(IF(VALUE($C1600)&lt;100000000,VALUE($C1600),1000000000),IFERROR(IF(VALUE(MID($C1600,2,20))&lt;100000000,VALUE(MID($C1600,2,20)),1000000000),1000000000))+ROW()/100000,"")</f>
        <v/>
      </c>
    </row>
    <row r="1601">
      <c r="D1601" s="11" t="n"/>
      <c r="K1601" s="7">
        <f>IF($C1601="","",J1601*W1601/100)</f>
        <v/>
      </c>
      <c r="Q1601" s="7" t="n"/>
      <c r="R1601" s="7" t="n"/>
      <c r="U1601">
        <f>IF($C1601="","",IF($AJ1601=1,0,IF($AI1601=1,Settings!$C$6,Settings!$C$7))*100)</f>
        <v/>
      </c>
      <c r="V1601" s="7">
        <f>IF($C1601="","",R1601*U1601/100)</f>
        <v/>
      </c>
      <c r="W1601" s="7">
        <f>IF($C1601="","",R1601-V1601)</f>
        <v/>
      </c>
      <c r="X1601" s="7">
        <f>IF($C1601="","",W1601-K1601)</f>
        <v/>
      </c>
      <c r="AB1601" s="7" t="n"/>
      <c r="AE1601" s="11" t="n"/>
      <c r="AG1601">
        <f>IF($C1601="","",IF(COUNTIF($C$2:$C1601,$C1601)=1,1,0))</f>
        <v/>
      </c>
      <c r="AH1601">
        <f>IF($AG1601=1,SUMPRODUCT(--($AK$2:$AK$6001&lt;$AK1601))+1,"")</f>
        <v/>
      </c>
      <c r="AI1601">
        <f>IF($C1601="","",IF(OR($N1601=TRUE(),$N1601="TRUE"),1,0))</f>
        <v/>
      </c>
      <c r="AJ1601">
        <f>IF($C1601="","",IF($T1601="Yes",1,0))</f>
        <v/>
      </c>
      <c r="AK1601">
        <f>IF($AG1601=1,IFERROR(IF(VALUE($C1601)&lt;100000000,VALUE($C1601),1000000000),IFERROR(IF(VALUE(MID($C1601,2,20))&lt;100000000,VALUE(MID($C1601,2,20)),1000000000),1000000000))+ROW()/100000,"")</f>
        <v/>
      </c>
    </row>
    <row r="1602">
      <c r="D1602" s="11" t="n"/>
      <c r="K1602" s="7">
        <f>IF($C1602="","",J1602*W1602/100)</f>
        <v/>
      </c>
      <c r="Q1602" s="7" t="n"/>
      <c r="R1602" s="7" t="n"/>
      <c r="U1602">
        <f>IF($C1602="","",IF($AJ1602=1,0,IF($AI1602=1,Settings!$C$6,Settings!$C$7))*100)</f>
        <v/>
      </c>
      <c r="V1602" s="7">
        <f>IF($C1602="","",R1602*U1602/100)</f>
        <v/>
      </c>
      <c r="W1602" s="7">
        <f>IF($C1602="","",R1602-V1602)</f>
        <v/>
      </c>
      <c r="X1602" s="7">
        <f>IF($C1602="","",W1602-K1602)</f>
        <v/>
      </c>
      <c r="AB1602" s="7" t="n"/>
      <c r="AE1602" s="11" t="n"/>
      <c r="AG1602">
        <f>IF($C1602="","",IF(COUNTIF($C$2:$C1602,$C1602)=1,1,0))</f>
        <v/>
      </c>
      <c r="AH1602">
        <f>IF($AG1602=1,SUMPRODUCT(--($AK$2:$AK$6001&lt;$AK1602))+1,"")</f>
        <v/>
      </c>
      <c r="AI1602">
        <f>IF($C1602="","",IF(OR($N1602=TRUE(),$N1602="TRUE"),1,0))</f>
        <v/>
      </c>
      <c r="AJ1602">
        <f>IF($C1602="","",IF($T1602="Yes",1,0))</f>
        <v/>
      </c>
      <c r="AK1602">
        <f>IF($AG1602=1,IFERROR(IF(VALUE($C1602)&lt;100000000,VALUE($C1602),1000000000),IFERROR(IF(VALUE(MID($C1602,2,20))&lt;100000000,VALUE(MID($C1602,2,20)),1000000000),1000000000))+ROW()/100000,"")</f>
        <v/>
      </c>
    </row>
    <row r="1603">
      <c r="D1603" s="11" t="n"/>
      <c r="K1603" s="7">
        <f>IF($C1603="","",J1603*W1603/100)</f>
        <v/>
      </c>
      <c r="Q1603" s="7" t="n"/>
      <c r="R1603" s="7" t="n"/>
      <c r="U1603">
        <f>IF($C1603="","",IF($AJ1603=1,0,IF($AI1603=1,Settings!$C$6,Settings!$C$7))*100)</f>
        <v/>
      </c>
      <c r="V1603" s="7">
        <f>IF($C1603="","",R1603*U1603/100)</f>
        <v/>
      </c>
      <c r="W1603" s="7">
        <f>IF($C1603="","",R1603-V1603)</f>
        <v/>
      </c>
      <c r="X1603" s="7">
        <f>IF($C1603="","",W1603-K1603)</f>
        <v/>
      </c>
      <c r="AB1603" s="7" t="n"/>
      <c r="AE1603" s="11" t="n"/>
      <c r="AG1603">
        <f>IF($C1603="","",IF(COUNTIF($C$2:$C1603,$C1603)=1,1,0))</f>
        <v/>
      </c>
      <c r="AH1603">
        <f>IF($AG1603=1,SUMPRODUCT(--($AK$2:$AK$6001&lt;$AK1603))+1,"")</f>
        <v/>
      </c>
      <c r="AI1603">
        <f>IF($C1603="","",IF(OR($N1603=TRUE(),$N1603="TRUE"),1,0))</f>
        <v/>
      </c>
      <c r="AJ1603">
        <f>IF($C1603="","",IF($T1603="Yes",1,0))</f>
        <v/>
      </c>
      <c r="AK1603">
        <f>IF($AG1603=1,IFERROR(IF(VALUE($C1603)&lt;100000000,VALUE($C1603),1000000000),IFERROR(IF(VALUE(MID($C1603,2,20))&lt;100000000,VALUE(MID($C1603,2,20)),1000000000),1000000000))+ROW()/100000,"")</f>
        <v/>
      </c>
    </row>
    <row r="1604">
      <c r="D1604" s="11" t="n"/>
      <c r="K1604" s="7">
        <f>IF($C1604="","",J1604*W1604/100)</f>
        <v/>
      </c>
      <c r="Q1604" s="7" t="n"/>
      <c r="R1604" s="7" t="n"/>
      <c r="U1604">
        <f>IF($C1604="","",IF($AJ1604=1,0,IF($AI1604=1,Settings!$C$6,Settings!$C$7))*100)</f>
        <v/>
      </c>
      <c r="V1604" s="7">
        <f>IF($C1604="","",R1604*U1604/100)</f>
        <v/>
      </c>
      <c r="W1604" s="7">
        <f>IF($C1604="","",R1604-V1604)</f>
        <v/>
      </c>
      <c r="X1604" s="7">
        <f>IF($C1604="","",W1604-K1604)</f>
        <v/>
      </c>
      <c r="AB1604" s="7" t="n"/>
      <c r="AE1604" s="11" t="n"/>
      <c r="AG1604">
        <f>IF($C1604="","",IF(COUNTIF($C$2:$C1604,$C1604)=1,1,0))</f>
        <v/>
      </c>
      <c r="AH1604">
        <f>IF($AG1604=1,SUMPRODUCT(--($AK$2:$AK$6001&lt;$AK1604))+1,"")</f>
        <v/>
      </c>
      <c r="AI1604">
        <f>IF($C1604="","",IF(OR($N1604=TRUE(),$N1604="TRUE"),1,0))</f>
        <v/>
      </c>
      <c r="AJ1604">
        <f>IF($C1604="","",IF($T1604="Yes",1,0))</f>
        <v/>
      </c>
      <c r="AK1604">
        <f>IF($AG1604=1,IFERROR(IF(VALUE($C1604)&lt;100000000,VALUE($C1604),1000000000),IFERROR(IF(VALUE(MID($C1604,2,20))&lt;100000000,VALUE(MID($C1604,2,20)),1000000000),1000000000))+ROW()/100000,"")</f>
        <v/>
      </c>
    </row>
    <row r="1605">
      <c r="D1605" s="11" t="n"/>
      <c r="K1605" s="7">
        <f>IF($C1605="","",J1605*W1605/100)</f>
        <v/>
      </c>
      <c r="Q1605" s="7" t="n"/>
      <c r="R1605" s="7" t="n"/>
      <c r="U1605">
        <f>IF($C1605="","",IF($AJ1605=1,0,IF($AI1605=1,Settings!$C$6,Settings!$C$7))*100)</f>
        <v/>
      </c>
      <c r="V1605" s="7">
        <f>IF($C1605="","",R1605*U1605/100)</f>
        <v/>
      </c>
      <c r="W1605" s="7">
        <f>IF($C1605="","",R1605-V1605)</f>
        <v/>
      </c>
      <c r="X1605" s="7">
        <f>IF($C1605="","",W1605-K1605)</f>
        <v/>
      </c>
      <c r="AB1605" s="7" t="n"/>
      <c r="AE1605" s="11" t="n"/>
      <c r="AG1605">
        <f>IF($C1605="","",IF(COUNTIF($C$2:$C1605,$C1605)=1,1,0))</f>
        <v/>
      </c>
      <c r="AH1605">
        <f>IF($AG1605=1,SUMPRODUCT(--($AK$2:$AK$6001&lt;$AK1605))+1,"")</f>
        <v/>
      </c>
      <c r="AI1605">
        <f>IF($C1605="","",IF(OR($N1605=TRUE(),$N1605="TRUE"),1,0))</f>
        <v/>
      </c>
      <c r="AJ1605">
        <f>IF($C1605="","",IF($T1605="Yes",1,0))</f>
        <v/>
      </c>
      <c r="AK1605">
        <f>IF($AG1605=1,IFERROR(IF(VALUE($C1605)&lt;100000000,VALUE($C1605),1000000000),IFERROR(IF(VALUE(MID($C1605,2,20))&lt;100000000,VALUE(MID($C1605,2,20)),1000000000),1000000000))+ROW()/100000,"")</f>
        <v/>
      </c>
    </row>
    <row r="1606">
      <c r="D1606" s="11" t="n"/>
      <c r="K1606" s="7">
        <f>IF($C1606="","",J1606*W1606/100)</f>
        <v/>
      </c>
      <c r="Q1606" s="7" t="n"/>
      <c r="R1606" s="7" t="n"/>
      <c r="U1606">
        <f>IF($C1606="","",IF($AJ1606=1,0,IF($AI1606=1,Settings!$C$6,Settings!$C$7))*100)</f>
        <v/>
      </c>
      <c r="V1606" s="7">
        <f>IF($C1606="","",R1606*U1606/100)</f>
        <v/>
      </c>
      <c r="W1606" s="7">
        <f>IF($C1606="","",R1606-V1606)</f>
        <v/>
      </c>
      <c r="X1606" s="7">
        <f>IF($C1606="","",W1606-K1606)</f>
        <v/>
      </c>
      <c r="AB1606" s="7" t="n"/>
      <c r="AE1606" s="11" t="n"/>
      <c r="AG1606">
        <f>IF($C1606="","",IF(COUNTIF($C$2:$C1606,$C1606)=1,1,0))</f>
        <v/>
      </c>
      <c r="AH1606">
        <f>IF($AG1606=1,SUMPRODUCT(--($AK$2:$AK$6001&lt;$AK1606))+1,"")</f>
        <v/>
      </c>
      <c r="AI1606">
        <f>IF($C1606="","",IF(OR($N1606=TRUE(),$N1606="TRUE"),1,0))</f>
        <v/>
      </c>
      <c r="AJ1606">
        <f>IF($C1606="","",IF($T1606="Yes",1,0))</f>
        <v/>
      </c>
      <c r="AK1606">
        <f>IF($AG1606=1,IFERROR(IF(VALUE($C1606)&lt;100000000,VALUE($C1606),1000000000),IFERROR(IF(VALUE(MID($C1606,2,20))&lt;100000000,VALUE(MID($C1606,2,20)),1000000000),1000000000))+ROW()/100000,"")</f>
        <v/>
      </c>
    </row>
    <row r="1607">
      <c r="D1607" s="11" t="n"/>
      <c r="K1607" s="7">
        <f>IF($C1607="","",J1607*W1607/100)</f>
        <v/>
      </c>
      <c r="Q1607" s="7" t="n"/>
      <c r="R1607" s="7" t="n"/>
      <c r="U1607">
        <f>IF($C1607="","",IF($AJ1607=1,0,IF($AI1607=1,Settings!$C$6,Settings!$C$7))*100)</f>
        <v/>
      </c>
      <c r="V1607" s="7">
        <f>IF($C1607="","",R1607*U1607/100)</f>
        <v/>
      </c>
      <c r="W1607" s="7">
        <f>IF($C1607="","",R1607-V1607)</f>
        <v/>
      </c>
      <c r="X1607" s="7">
        <f>IF($C1607="","",W1607-K1607)</f>
        <v/>
      </c>
      <c r="AB1607" s="7" t="n"/>
      <c r="AE1607" s="11" t="n"/>
      <c r="AG1607">
        <f>IF($C1607="","",IF(COUNTIF($C$2:$C1607,$C1607)=1,1,0))</f>
        <v/>
      </c>
      <c r="AH1607">
        <f>IF($AG1607=1,SUMPRODUCT(--($AK$2:$AK$6001&lt;$AK1607))+1,"")</f>
        <v/>
      </c>
      <c r="AI1607">
        <f>IF($C1607="","",IF(OR($N1607=TRUE(),$N1607="TRUE"),1,0))</f>
        <v/>
      </c>
      <c r="AJ1607">
        <f>IF($C1607="","",IF($T1607="Yes",1,0))</f>
        <v/>
      </c>
      <c r="AK1607">
        <f>IF($AG1607=1,IFERROR(IF(VALUE($C1607)&lt;100000000,VALUE($C1607),1000000000),IFERROR(IF(VALUE(MID($C1607,2,20))&lt;100000000,VALUE(MID($C1607,2,20)),1000000000),1000000000))+ROW()/100000,"")</f>
        <v/>
      </c>
    </row>
    <row r="1608">
      <c r="D1608" s="11" t="n"/>
      <c r="K1608" s="7">
        <f>IF($C1608="","",J1608*W1608/100)</f>
        <v/>
      </c>
      <c r="Q1608" s="7" t="n"/>
      <c r="R1608" s="7" t="n"/>
      <c r="U1608">
        <f>IF($C1608="","",IF($AJ1608=1,0,IF($AI1608=1,Settings!$C$6,Settings!$C$7))*100)</f>
        <v/>
      </c>
      <c r="V1608" s="7">
        <f>IF($C1608="","",R1608*U1608/100)</f>
        <v/>
      </c>
      <c r="W1608" s="7">
        <f>IF($C1608="","",R1608-V1608)</f>
        <v/>
      </c>
      <c r="X1608" s="7">
        <f>IF($C1608="","",W1608-K1608)</f>
        <v/>
      </c>
      <c r="AB1608" s="7" t="n"/>
      <c r="AE1608" s="11" t="n"/>
      <c r="AG1608">
        <f>IF($C1608="","",IF(COUNTIF($C$2:$C1608,$C1608)=1,1,0))</f>
        <v/>
      </c>
      <c r="AH1608">
        <f>IF($AG1608=1,SUMPRODUCT(--($AK$2:$AK$6001&lt;$AK1608))+1,"")</f>
        <v/>
      </c>
      <c r="AI1608">
        <f>IF($C1608="","",IF(OR($N1608=TRUE(),$N1608="TRUE"),1,0))</f>
        <v/>
      </c>
      <c r="AJ1608">
        <f>IF($C1608="","",IF($T1608="Yes",1,0))</f>
        <v/>
      </c>
      <c r="AK1608">
        <f>IF($AG1608=1,IFERROR(IF(VALUE($C1608)&lt;100000000,VALUE($C1608),1000000000),IFERROR(IF(VALUE(MID($C1608,2,20))&lt;100000000,VALUE(MID($C1608,2,20)),1000000000),1000000000))+ROW()/100000,"")</f>
        <v/>
      </c>
    </row>
    <row r="1609">
      <c r="D1609" s="11" t="n"/>
      <c r="K1609" s="7">
        <f>IF($C1609="","",J1609*W1609/100)</f>
        <v/>
      </c>
      <c r="Q1609" s="7" t="n"/>
      <c r="R1609" s="7" t="n"/>
      <c r="U1609">
        <f>IF($C1609="","",IF($AJ1609=1,0,IF($AI1609=1,Settings!$C$6,Settings!$C$7))*100)</f>
        <v/>
      </c>
      <c r="V1609" s="7">
        <f>IF($C1609="","",R1609*U1609/100)</f>
        <v/>
      </c>
      <c r="W1609" s="7">
        <f>IF($C1609="","",R1609-V1609)</f>
        <v/>
      </c>
      <c r="X1609" s="7">
        <f>IF($C1609="","",W1609-K1609)</f>
        <v/>
      </c>
      <c r="AB1609" s="7" t="n"/>
      <c r="AE1609" s="11" t="n"/>
      <c r="AG1609">
        <f>IF($C1609="","",IF(COUNTIF($C$2:$C1609,$C1609)=1,1,0))</f>
        <v/>
      </c>
      <c r="AH1609">
        <f>IF($AG1609=1,SUMPRODUCT(--($AK$2:$AK$6001&lt;$AK1609))+1,"")</f>
        <v/>
      </c>
      <c r="AI1609">
        <f>IF($C1609="","",IF(OR($N1609=TRUE(),$N1609="TRUE"),1,0))</f>
        <v/>
      </c>
      <c r="AJ1609">
        <f>IF($C1609="","",IF($T1609="Yes",1,0))</f>
        <v/>
      </c>
      <c r="AK1609">
        <f>IF($AG1609=1,IFERROR(IF(VALUE($C1609)&lt;100000000,VALUE($C1609),1000000000),IFERROR(IF(VALUE(MID($C1609,2,20))&lt;100000000,VALUE(MID($C1609,2,20)),1000000000),1000000000))+ROW()/100000,"")</f>
        <v/>
      </c>
    </row>
    <row r="1610">
      <c r="D1610" s="11" t="n"/>
      <c r="K1610" s="7">
        <f>IF($C1610="","",J1610*W1610/100)</f>
        <v/>
      </c>
      <c r="Q1610" s="7" t="n"/>
      <c r="R1610" s="7" t="n"/>
      <c r="U1610">
        <f>IF($C1610="","",IF($AJ1610=1,0,IF($AI1610=1,Settings!$C$6,Settings!$C$7))*100)</f>
        <v/>
      </c>
      <c r="V1610" s="7">
        <f>IF($C1610="","",R1610*U1610/100)</f>
        <v/>
      </c>
      <c r="W1610" s="7">
        <f>IF($C1610="","",R1610-V1610)</f>
        <v/>
      </c>
      <c r="X1610" s="7">
        <f>IF($C1610="","",W1610-K1610)</f>
        <v/>
      </c>
      <c r="AB1610" s="7" t="n"/>
      <c r="AE1610" s="11" t="n"/>
      <c r="AG1610">
        <f>IF($C1610="","",IF(COUNTIF($C$2:$C1610,$C1610)=1,1,0))</f>
        <v/>
      </c>
      <c r="AH1610">
        <f>IF($AG1610=1,SUMPRODUCT(--($AK$2:$AK$6001&lt;$AK1610))+1,"")</f>
        <v/>
      </c>
      <c r="AI1610">
        <f>IF($C1610="","",IF(OR($N1610=TRUE(),$N1610="TRUE"),1,0))</f>
        <v/>
      </c>
      <c r="AJ1610">
        <f>IF($C1610="","",IF($T1610="Yes",1,0))</f>
        <v/>
      </c>
      <c r="AK1610">
        <f>IF($AG1610=1,IFERROR(IF(VALUE($C1610)&lt;100000000,VALUE($C1610),1000000000),IFERROR(IF(VALUE(MID($C1610,2,20))&lt;100000000,VALUE(MID($C1610,2,20)),1000000000),1000000000))+ROW()/100000,"")</f>
        <v/>
      </c>
    </row>
    <row r="1611">
      <c r="D1611" s="11" t="n"/>
      <c r="K1611" s="7">
        <f>IF($C1611="","",J1611*W1611/100)</f>
        <v/>
      </c>
      <c r="Q1611" s="7" t="n"/>
      <c r="R1611" s="7" t="n"/>
      <c r="U1611">
        <f>IF($C1611="","",IF($AJ1611=1,0,IF($AI1611=1,Settings!$C$6,Settings!$C$7))*100)</f>
        <v/>
      </c>
      <c r="V1611" s="7">
        <f>IF($C1611="","",R1611*U1611/100)</f>
        <v/>
      </c>
      <c r="W1611" s="7">
        <f>IF($C1611="","",R1611-V1611)</f>
        <v/>
      </c>
      <c r="X1611" s="7">
        <f>IF($C1611="","",W1611-K1611)</f>
        <v/>
      </c>
      <c r="AB1611" s="7" t="n"/>
      <c r="AE1611" s="11" t="n"/>
      <c r="AG1611">
        <f>IF($C1611="","",IF(COUNTIF($C$2:$C1611,$C1611)=1,1,0))</f>
        <v/>
      </c>
      <c r="AH1611">
        <f>IF($AG1611=1,SUMPRODUCT(--($AK$2:$AK$6001&lt;$AK1611))+1,"")</f>
        <v/>
      </c>
      <c r="AI1611">
        <f>IF($C1611="","",IF(OR($N1611=TRUE(),$N1611="TRUE"),1,0))</f>
        <v/>
      </c>
      <c r="AJ1611">
        <f>IF($C1611="","",IF($T1611="Yes",1,0))</f>
        <v/>
      </c>
      <c r="AK1611">
        <f>IF($AG1611=1,IFERROR(IF(VALUE($C1611)&lt;100000000,VALUE($C1611),1000000000),IFERROR(IF(VALUE(MID($C1611,2,20))&lt;100000000,VALUE(MID($C1611,2,20)),1000000000),1000000000))+ROW()/100000,"")</f>
        <v/>
      </c>
    </row>
    <row r="1612">
      <c r="D1612" s="11" t="n"/>
      <c r="K1612" s="7">
        <f>IF($C1612="","",J1612*W1612/100)</f>
        <v/>
      </c>
      <c r="Q1612" s="7" t="n"/>
      <c r="R1612" s="7" t="n"/>
      <c r="U1612">
        <f>IF($C1612="","",IF($AJ1612=1,0,IF($AI1612=1,Settings!$C$6,Settings!$C$7))*100)</f>
        <v/>
      </c>
      <c r="V1612" s="7">
        <f>IF($C1612="","",R1612*U1612/100)</f>
        <v/>
      </c>
      <c r="W1612" s="7">
        <f>IF($C1612="","",R1612-V1612)</f>
        <v/>
      </c>
      <c r="X1612" s="7">
        <f>IF($C1612="","",W1612-K1612)</f>
        <v/>
      </c>
      <c r="AB1612" s="7" t="n"/>
      <c r="AE1612" s="11" t="n"/>
      <c r="AG1612">
        <f>IF($C1612="","",IF(COUNTIF($C$2:$C1612,$C1612)=1,1,0))</f>
        <v/>
      </c>
      <c r="AH1612">
        <f>IF($AG1612=1,SUMPRODUCT(--($AK$2:$AK$6001&lt;$AK1612))+1,"")</f>
        <v/>
      </c>
      <c r="AI1612">
        <f>IF($C1612="","",IF(OR($N1612=TRUE(),$N1612="TRUE"),1,0))</f>
        <v/>
      </c>
      <c r="AJ1612">
        <f>IF($C1612="","",IF($T1612="Yes",1,0))</f>
        <v/>
      </c>
      <c r="AK1612">
        <f>IF($AG1612=1,IFERROR(IF(VALUE($C1612)&lt;100000000,VALUE($C1612),1000000000),IFERROR(IF(VALUE(MID($C1612,2,20))&lt;100000000,VALUE(MID($C1612,2,20)),1000000000),1000000000))+ROW()/100000,"")</f>
        <v/>
      </c>
    </row>
    <row r="1613">
      <c r="D1613" s="11" t="n"/>
      <c r="K1613" s="7">
        <f>IF($C1613="","",J1613*W1613/100)</f>
        <v/>
      </c>
      <c r="Q1613" s="7" t="n"/>
      <c r="R1613" s="7" t="n"/>
      <c r="U1613">
        <f>IF($C1613="","",IF($AJ1613=1,0,IF($AI1613=1,Settings!$C$6,Settings!$C$7))*100)</f>
        <v/>
      </c>
      <c r="V1613" s="7">
        <f>IF($C1613="","",R1613*U1613/100)</f>
        <v/>
      </c>
      <c r="W1613" s="7">
        <f>IF($C1613="","",R1613-V1613)</f>
        <v/>
      </c>
      <c r="X1613" s="7">
        <f>IF($C1613="","",W1613-K1613)</f>
        <v/>
      </c>
      <c r="AB1613" s="7" t="n"/>
      <c r="AE1613" s="11" t="n"/>
      <c r="AG1613">
        <f>IF($C1613="","",IF(COUNTIF($C$2:$C1613,$C1613)=1,1,0))</f>
        <v/>
      </c>
      <c r="AH1613">
        <f>IF($AG1613=1,SUMPRODUCT(--($AK$2:$AK$6001&lt;$AK1613))+1,"")</f>
        <v/>
      </c>
      <c r="AI1613">
        <f>IF($C1613="","",IF(OR($N1613=TRUE(),$N1613="TRUE"),1,0))</f>
        <v/>
      </c>
      <c r="AJ1613">
        <f>IF($C1613="","",IF($T1613="Yes",1,0))</f>
        <v/>
      </c>
      <c r="AK1613">
        <f>IF($AG1613=1,IFERROR(IF(VALUE($C1613)&lt;100000000,VALUE($C1613),1000000000),IFERROR(IF(VALUE(MID($C1613,2,20))&lt;100000000,VALUE(MID($C1613,2,20)),1000000000),1000000000))+ROW()/100000,"")</f>
        <v/>
      </c>
    </row>
    <row r="1614">
      <c r="D1614" s="11" t="n"/>
      <c r="K1614" s="7">
        <f>IF($C1614="","",J1614*W1614/100)</f>
        <v/>
      </c>
      <c r="Q1614" s="7" t="n"/>
      <c r="R1614" s="7" t="n"/>
      <c r="U1614">
        <f>IF($C1614="","",IF($AJ1614=1,0,IF($AI1614=1,Settings!$C$6,Settings!$C$7))*100)</f>
        <v/>
      </c>
      <c r="V1614" s="7">
        <f>IF($C1614="","",R1614*U1614/100)</f>
        <v/>
      </c>
      <c r="W1614" s="7">
        <f>IF($C1614="","",R1614-V1614)</f>
        <v/>
      </c>
      <c r="X1614" s="7">
        <f>IF($C1614="","",W1614-K1614)</f>
        <v/>
      </c>
      <c r="AB1614" s="7" t="n"/>
      <c r="AE1614" s="11" t="n"/>
      <c r="AG1614">
        <f>IF($C1614="","",IF(COUNTIF($C$2:$C1614,$C1614)=1,1,0))</f>
        <v/>
      </c>
      <c r="AH1614">
        <f>IF($AG1614=1,SUMPRODUCT(--($AK$2:$AK$6001&lt;$AK1614))+1,"")</f>
        <v/>
      </c>
      <c r="AI1614">
        <f>IF($C1614="","",IF(OR($N1614=TRUE(),$N1614="TRUE"),1,0))</f>
        <v/>
      </c>
      <c r="AJ1614">
        <f>IF($C1614="","",IF($T1614="Yes",1,0))</f>
        <v/>
      </c>
      <c r="AK1614">
        <f>IF($AG1614=1,IFERROR(IF(VALUE($C1614)&lt;100000000,VALUE($C1614),1000000000),IFERROR(IF(VALUE(MID($C1614,2,20))&lt;100000000,VALUE(MID($C1614,2,20)),1000000000),1000000000))+ROW()/100000,"")</f>
        <v/>
      </c>
    </row>
    <row r="1615">
      <c r="D1615" s="11" t="n"/>
      <c r="K1615" s="7">
        <f>IF($C1615="","",J1615*W1615/100)</f>
        <v/>
      </c>
      <c r="Q1615" s="7" t="n"/>
      <c r="R1615" s="7" t="n"/>
      <c r="U1615">
        <f>IF($C1615="","",IF($AJ1615=1,0,IF($AI1615=1,Settings!$C$6,Settings!$C$7))*100)</f>
        <v/>
      </c>
      <c r="V1615" s="7">
        <f>IF($C1615="","",R1615*U1615/100)</f>
        <v/>
      </c>
      <c r="W1615" s="7">
        <f>IF($C1615="","",R1615-V1615)</f>
        <v/>
      </c>
      <c r="X1615" s="7">
        <f>IF($C1615="","",W1615-K1615)</f>
        <v/>
      </c>
      <c r="AB1615" s="7" t="n"/>
      <c r="AE1615" s="11" t="n"/>
      <c r="AG1615">
        <f>IF($C1615="","",IF(COUNTIF($C$2:$C1615,$C1615)=1,1,0))</f>
        <v/>
      </c>
      <c r="AH1615">
        <f>IF($AG1615=1,SUMPRODUCT(--($AK$2:$AK$6001&lt;$AK1615))+1,"")</f>
        <v/>
      </c>
      <c r="AI1615">
        <f>IF($C1615="","",IF(OR($N1615=TRUE(),$N1615="TRUE"),1,0))</f>
        <v/>
      </c>
      <c r="AJ1615">
        <f>IF($C1615="","",IF($T1615="Yes",1,0))</f>
        <v/>
      </c>
      <c r="AK1615">
        <f>IF($AG1615=1,IFERROR(IF(VALUE($C1615)&lt;100000000,VALUE($C1615),1000000000),IFERROR(IF(VALUE(MID($C1615,2,20))&lt;100000000,VALUE(MID($C1615,2,20)),1000000000),1000000000))+ROW()/100000,"")</f>
        <v/>
      </c>
    </row>
    <row r="1616">
      <c r="D1616" s="11" t="n"/>
      <c r="K1616" s="7">
        <f>IF($C1616="","",J1616*W1616/100)</f>
        <v/>
      </c>
      <c r="Q1616" s="7" t="n"/>
      <c r="R1616" s="7" t="n"/>
      <c r="U1616">
        <f>IF($C1616="","",IF($AJ1616=1,0,IF($AI1616=1,Settings!$C$6,Settings!$C$7))*100)</f>
        <v/>
      </c>
      <c r="V1616" s="7">
        <f>IF($C1616="","",R1616*U1616/100)</f>
        <v/>
      </c>
      <c r="W1616" s="7">
        <f>IF($C1616="","",R1616-V1616)</f>
        <v/>
      </c>
      <c r="X1616" s="7">
        <f>IF($C1616="","",W1616-K1616)</f>
        <v/>
      </c>
      <c r="AB1616" s="7" t="n"/>
      <c r="AE1616" s="11" t="n"/>
      <c r="AG1616">
        <f>IF($C1616="","",IF(COUNTIF($C$2:$C1616,$C1616)=1,1,0))</f>
        <v/>
      </c>
      <c r="AH1616">
        <f>IF($AG1616=1,SUMPRODUCT(--($AK$2:$AK$6001&lt;$AK1616))+1,"")</f>
        <v/>
      </c>
      <c r="AI1616">
        <f>IF($C1616="","",IF(OR($N1616=TRUE(),$N1616="TRUE"),1,0))</f>
        <v/>
      </c>
      <c r="AJ1616">
        <f>IF($C1616="","",IF($T1616="Yes",1,0))</f>
        <v/>
      </c>
      <c r="AK1616">
        <f>IF($AG1616=1,IFERROR(IF(VALUE($C1616)&lt;100000000,VALUE($C1616),1000000000),IFERROR(IF(VALUE(MID($C1616,2,20))&lt;100000000,VALUE(MID($C1616,2,20)),1000000000),1000000000))+ROW()/100000,"")</f>
        <v/>
      </c>
    </row>
    <row r="1617">
      <c r="D1617" s="11" t="n"/>
      <c r="K1617" s="7">
        <f>IF($C1617="","",J1617*W1617/100)</f>
        <v/>
      </c>
      <c r="Q1617" s="7" t="n"/>
      <c r="R1617" s="7" t="n"/>
      <c r="U1617">
        <f>IF($C1617="","",IF($AJ1617=1,0,IF($AI1617=1,Settings!$C$6,Settings!$C$7))*100)</f>
        <v/>
      </c>
      <c r="V1617" s="7">
        <f>IF($C1617="","",R1617*U1617/100)</f>
        <v/>
      </c>
      <c r="W1617" s="7">
        <f>IF($C1617="","",R1617-V1617)</f>
        <v/>
      </c>
      <c r="X1617" s="7">
        <f>IF($C1617="","",W1617-K1617)</f>
        <v/>
      </c>
      <c r="AB1617" s="7" t="n"/>
      <c r="AE1617" s="11" t="n"/>
      <c r="AG1617">
        <f>IF($C1617="","",IF(COUNTIF($C$2:$C1617,$C1617)=1,1,0))</f>
        <v/>
      </c>
      <c r="AH1617">
        <f>IF($AG1617=1,SUMPRODUCT(--($AK$2:$AK$6001&lt;$AK1617))+1,"")</f>
        <v/>
      </c>
      <c r="AI1617">
        <f>IF($C1617="","",IF(OR($N1617=TRUE(),$N1617="TRUE"),1,0))</f>
        <v/>
      </c>
      <c r="AJ1617">
        <f>IF($C1617="","",IF($T1617="Yes",1,0))</f>
        <v/>
      </c>
      <c r="AK1617">
        <f>IF($AG1617=1,IFERROR(IF(VALUE($C1617)&lt;100000000,VALUE($C1617),1000000000),IFERROR(IF(VALUE(MID($C1617,2,20))&lt;100000000,VALUE(MID($C1617,2,20)),1000000000),1000000000))+ROW()/100000,"")</f>
        <v/>
      </c>
    </row>
    <row r="1618">
      <c r="D1618" s="11" t="n"/>
      <c r="K1618" s="7">
        <f>IF($C1618="","",J1618*W1618/100)</f>
        <v/>
      </c>
      <c r="Q1618" s="7" t="n"/>
      <c r="R1618" s="7" t="n"/>
      <c r="U1618">
        <f>IF($C1618="","",IF($AJ1618=1,0,IF($AI1618=1,Settings!$C$6,Settings!$C$7))*100)</f>
        <v/>
      </c>
      <c r="V1618" s="7">
        <f>IF($C1618="","",R1618*U1618/100)</f>
        <v/>
      </c>
      <c r="W1618" s="7">
        <f>IF($C1618="","",R1618-V1618)</f>
        <v/>
      </c>
      <c r="X1618" s="7">
        <f>IF($C1618="","",W1618-K1618)</f>
        <v/>
      </c>
      <c r="AB1618" s="7" t="n"/>
      <c r="AE1618" s="11" t="n"/>
      <c r="AG1618">
        <f>IF($C1618="","",IF(COUNTIF($C$2:$C1618,$C1618)=1,1,0))</f>
        <v/>
      </c>
      <c r="AH1618">
        <f>IF($AG1618=1,SUMPRODUCT(--($AK$2:$AK$6001&lt;$AK1618))+1,"")</f>
        <v/>
      </c>
      <c r="AI1618">
        <f>IF($C1618="","",IF(OR($N1618=TRUE(),$N1618="TRUE"),1,0))</f>
        <v/>
      </c>
      <c r="AJ1618">
        <f>IF($C1618="","",IF($T1618="Yes",1,0))</f>
        <v/>
      </c>
      <c r="AK1618">
        <f>IF($AG1618=1,IFERROR(IF(VALUE($C1618)&lt;100000000,VALUE($C1618),1000000000),IFERROR(IF(VALUE(MID($C1618,2,20))&lt;100000000,VALUE(MID($C1618,2,20)),1000000000),1000000000))+ROW()/100000,"")</f>
        <v/>
      </c>
    </row>
    <row r="1619">
      <c r="D1619" s="11" t="n"/>
      <c r="K1619" s="7">
        <f>IF($C1619="","",J1619*W1619/100)</f>
        <v/>
      </c>
      <c r="Q1619" s="7" t="n"/>
      <c r="R1619" s="7" t="n"/>
      <c r="U1619">
        <f>IF($C1619="","",IF($AJ1619=1,0,IF($AI1619=1,Settings!$C$6,Settings!$C$7))*100)</f>
        <v/>
      </c>
      <c r="V1619" s="7">
        <f>IF($C1619="","",R1619*U1619/100)</f>
        <v/>
      </c>
      <c r="W1619" s="7">
        <f>IF($C1619="","",R1619-V1619)</f>
        <v/>
      </c>
      <c r="X1619" s="7">
        <f>IF($C1619="","",W1619-K1619)</f>
        <v/>
      </c>
      <c r="AB1619" s="7" t="n"/>
      <c r="AE1619" s="11" t="n"/>
      <c r="AG1619">
        <f>IF($C1619="","",IF(COUNTIF($C$2:$C1619,$C1619)=1,1,0))</f>
        <v/>
      </c>
      <c r="AH1619">
        <f>IF($AG1619=1,SUMPRODUCT(--($AK$2:$AK$6001&lt;$AK1619))+1,"")</f>
        <v/>
      </c>
      <c r="AI1619">
        <f>IF($C1619="","",IF(OR($N1619=TRUE(),$N1619="TRUE"),1,0))</f>
        <v/>
      </c>
      <c r="AJ1619">
        <f>IF($C1619="","",IF($T1619="Yes",1,0))</f>
        <v/>
      </c>
      <c r="AK1619">
        <f>IF($AG1619=1,IFERROR(IF(VALUE($C1619)&lt;100000000,VALUE($C1619),1000000000),IFERROR(IF(VALUE(MID($C1619,2,20))&lt;100000000,VALUE(MID($C1619,2,20)),1000000000),1000000000))+ROW()/100000,"")</f>
        <v/>
      </c>
    </row>
    <row r="1620">
      <c r="D1620" s="11" t="n"/>
      <c r="K1620" s="7">
        <f>IF($C1620="","",J1620*W1620/100)</f>
        <v/>
      </c>
      <c r="Q1620" s="7" t="n"/>
      <c r="R1620" s="7" t="n"/>
      <c r="U1620">
        <f>IF($C1620="","",IF($AJ1620=1,0,IF($AI1620=1,Settings!$C$6,Settings!$C$7))*100)</f>
        <v/>
      </c>
      <c r="V1620" s="7">
        <f>IF($C1620="","",R1620*U1620/100)</f>
        <v/>
      </c>
      <c r="W1620" s="7">
        <f>IF($C1620="","",R1620-V1620)</f>
        <v/>
      </c>
      <c r="X1620" s="7">
        <f>IF($C1620="","",W1620-K1620)</f>
        <v/>
      </c>
      <c r="AB1620" s="7" t="n"/>
      <c r="AE1620" s="11" t="n"/>
      <c r="AG1620">
        <f>IF($C1620="","",IF(COUNTIF($C$2:$C1620,$C1620)=1,1,0))</f>
        <v/>
      </c>
      <c r="AH1620">
        <f>IF($AG1620=1,SUMPRODUCT(--($AK$2:$AK$6001&lt;$AK1620))+1,"")</f>
        <v/>
      </c>
      <c r="AI1620">
        <f>IF($C1620="","",IF(OR($N1620=TRUE(),$N1620="TRUE"),1,0))</f>
        <v/>
      </c>
      <c r="AJ1620">
        <f>IF($C1620="","",IF($T1620="Yes",1,0))</f>
        <v/>
      </c>
      <c r="AK1620">
        <f>IF($AG1620=1,IFERROR(IF(VALUE($C1620)&lt;100000000,VALUE($C1620),1000000000),IFERROR(IF(VALUE(MID($C1620,2,20))&lt;100000000,VALUE(MID($C1620,2,20)),1000000000),1000000000))+ROW()/100000,"")</f>
        <v/>
      </c>
    </row>
    <row r="1621">
      <c r="D1621" s="11" t="n"/>
      <c r="K1621" s="7">
        <f>IF($C1621="","",J1621*W1621/100)</f>
        <v/>
      </c>
      <c r="Q1621" s="7" t="n"/>
      <c r="R1621" s="7" t="n"/>
      <c r="U1621">
        <f>IF($C1621="","",IF($AJ1621=1,0,IF($AI1621=1,Settings!$C$6,Settings!$C$7))*100)</f>
        <v/>
      </c>
      <c r="V1621" s="7">
        <f>IF($C1621="","",R1621*U1621/100)</f>
        <v/>
      </c>
      <c r="W1621" s="7">
        <f>IF($C1621="","",R1621-V1621)</f>
        <v/>
      </c>
      <c r="X1621" s="7">
        <f>IF($C1621="","",W1621-K1621)</f>
        <v/>
      </c>
      <c r="AB1621" s="7" t="n"/>
      <c r="AE1621" s="11" t="n"/>
      <c r="AG1621">
        <f>IF($C1621="","",IF(COUNTIF($C$2:$C1621,$C1621)=1,1,0))</f>
        <v/>
      </c>
      <c r="AH1621">
        <f>IF($AG1621=1,SUMPRODUCT(--($AK$2:$AK$6001&lt;$AK1621))+1,"")</f>
        <v/>
      </c>
      <c r="AI1621">
        <f>IF($C1621="","",IF(OR($N1621=TRUE(),$N1621="TRUE"),1,0))</f>
        <v/>
      </c>
      <c r="AJ1621">
        <f>IF($C1621="","",IF($T1621="Yes",1,0))</f>
        <v/>
      </c>
      <c r="AK1621">
        <f>IF($AG1621=1,IFERROR(IF(VALUE($C1621)&lt;100000000,VALUE($C1621),1000000000),IFERROR(IF(VALUE(MID($C1621,2,20))&lt;100000000,VALUE(MID($C1621,2,20)),1000000000),1000000000))+ROW()/100000,"")</f>
        <v/>
      </c>
    </row>
    <row r="1622">
      <c r="D1622" s="11" t="n"/>
      <c r="K1622" s="7">
        <f>IF($C1622="","",J1622*W1622/100)</f>
        <v/>
      </c>
      <c r="Q1622" s="7" t="n"/>
      <c r="R1622" s="7" t="n"/>
      <c r="U1622">
        <f>IF($C1622="","",IF($AJ1622=1,0,IF($AI1622=1,Settings!$C$6,Settings!$C$7))*100)</f>
        <v/>
      </c>
      <c r="V1622" s="7">
        <f>IF($C1622="","",R1622*U1622/100)</f>
        <v/>
      </c>
      <c r="W1622" s="7">
        <f>IF($C1622="","",R1622-V1622)</f>
        <v/>
      </c>
      <c r="X1622" s="7">
        <f>IF($C1622="","",W1622-K1622)</f>
        <v/>
      </c>
      <c r="AB1622" s="7" t="n"/>
      <c r="AE1622" s="11" t="n"/>
      <c r="AG1622">
        <f>IF($C1622="","",IF(COUNTIF($C$2:$C1622,$C1622)=1,1,0))</f>
        <v/>
      </c>
      <c r="AH1622">
        <f>IF($AG1622=1,SUMPRODUCT(--($AK$2:$AK$6001&lt;$AK1622))+1,"")</f>
        <v/>
      </c>
      <c r="AI1622">
        <f>IF($C1622="","",IF(OR($N1622=TRUE(),$N1622="TRUE"),1,0))</f>
        <v/>
      </c>
      <c r="AJ1622">
        <f>IF($C1622="","",IF($T1622="Yes",1,0))</f>
        <v/>
      </c>
      <c r="AK1622">
        <f>IF($AG1622=1,IFERROR(IF(VALUE($C1622)&lt;100000000,VALUE($C1622),1000000000),IFERROR(IF(VALUE(MID($C1622,2,20))&lt;100000000,VALUE(MID($C1622,2,20)),1000000000),1000000000))+ROW()/100000,"")</f>
        <v/>
      </c>
    </row>
    <row r="1623">
      <c r="D1623" s="11" t="n"/>
      <c r="K1623" s="7">
        <f>IF($C1623="","",J1623*W1623/100)</f>
        <v/>
      </c>
      <c r="Q1623" s="7" t="n"/>
      <c r="R1623" s="7" t="n"/>
      <c r="U1623">
        <f>IF($C1623="","",IF($AJ1623=1,0,IF($AI1623=1,Settings!$C$6,Settings!$C$7))*100)</f>
        <v/>
      </c>
      <c r="V1623" s="7">
        <f>IF($C1623="","",R1623*U1623/100)</f>
        <v/>
      </c>
      <c r="W1623" s="7">
        <f>IF($C1623="","",R1623-V1623)</f>
        <v/>
      </c>
      <c r="X1623" s="7">
        <f>IF($C1623="","",W1623-K1623)</f>
        <v/>
      </c>
      <c r="AB1623" s="7" t="n"/>
      <c r="AE1623" s="11" t="n"/>
      <c r="AG1623">
        <f>IF($C1623="","",IF(COUNTIF($C$2:$C1623,$C1623)=1,1,0))</f>
        <v/>
      </c>
      <c r="AH1623">
        <f>IF($AG1623=1,SUMPRODUCT(--($AK$2:$AK$6001&lt;$AK1623))+1,"")</f>
        <v/>
      </c>
      <c r="AI1623">
        <f>IF($C1623="","",IF(OR($N1623=TRUE(),$N1623="TRUE"),1,0))</f>
        <v/>
      </c>
      <c r="AJ1623">
        <f>IF($C1623="","",IF($T1623="Yes",1,0))</f>
        <v/>
      </c>
      <c r="AK1623">
        <f>IF($AG1623=1,IFERROR(IF(VALUE($C1623)&lt;100000000,VALUE($C1623),1000000000),IFERROR(IF(VALUE(MID($C1623,2,20))&lt;100000000,VALUE(MID($C1623,2,20)),1000000000),1000000000))+ROW()/100000,"")</f>
        <v/>
      </c>
    </row>
    <row r="1624">
      <c r="D1624" s="11" t="n"/>
      <c r="K1624" s="7">
        <f>IF($C1624="","",J1624*W1624/100)</f>
        <v/>
      </c>
      <c r="Q1624" s="7" t="n"/>
      <c r="R1624" s="7" t="n"/>
      <c r="U1624">
        <f>IF($C1624="","",IF($AJ1624=1,0,IF($AI1624=1,Settings!$C$6,Settings!$C$7))*100)</f>
        <v/>
      </c>
      <c r="V1624" s="7">
        <f>IF($C1624="","",R1624*U1624/100)</f>
        <v/>
      </c>
      <c r="W1624" s="7">
        <f>IF($C1624="","",R1624-V1624)</f>
        <v/>
      </c>
      <c r="X1624" s="7">
        <f>IF($C1624="","",W1624-K1624)</f>
        <v/>
      </c>
      <c r="AB1624" s="7" t="n"/>
      <c r="AE1624" s="11" t="n"/>
      <c r="AG1624">
        <f>IF($C1624="","",IF(COUNTIF($C$2:$C1624,$C1624)=1,1,0))</f>
        <v/>
      </c>
      <c r="AH1624">
        <f>IF($AG1624=1,SUMPRODUCT(--($AK$2:$AK$6001&lt;$AK1624))+1,"")</f>
        <v/>
      </c>
      <c r="AI1624">
        <f>IF($C1624="","",IF(OR($N1624=TRUE(),$N1624="TRUE"),1,0))</f>
        <v/>
      </c>
      <c r="AJ1624">
        <f>IF($C1624="","",IF($T1624="Yes",1,0))</f>
        <v/>
      </c>
      <c r="AK1624">
        <f>IF($AG1624=1,IFERROR(IF(VALUE($C1624)&lt;100000000,VALUE($C1624),1000000000),IFERROR(IF(VALUE(MID($C1624,2,20))&lt;100000000,VALUE(MID($C1624,2,20)),1000000000),1000000000))+ROW()/100000,"")</f>
        <v/>
      </c>
    </row>
    <row r="1625">
      <c r="D1625" s="11" t="n"/>
      <c r="K1625" s="7">
        <f>IF($C1625="","",J1625*W1625/100)</f>
        <v/>
      </c>
      <c r="Q1625" s="7" t="n"/>
      <c r="R1625" s="7" t="n"/>
      <c r="U1625">
        <f>IF($C1625="","",IF($AJ1625=1,0,IF($AI1625=1,Settings!$C$6,Settings!$C$7))*100)</f>
        <v/>
      </c>
      <c r="V1625" s="7">
        <f>IF($C1625="","",R1625*U1625/100)</f>
        <v/>
      </c>
      <c r="W1625" s="7">
        <f>IF($C1625="","",R1625-V1625)</f>
        <v/>
      </c>
      <c r="X1625" s="7">
        <f>IF($C1625="","",W1625-K1625)</f>
        <v/>
      </c>
      <c r="AB1625" s="7" t="n"/>
      <c r="AE1625" s="11" t="n"/>
      <c r="AG1625">
        <f>IF($C1625="","",IF(COUNTIF($C$2:$C1625,$C1625)=1,1,0))</f>
        <v/>
      </c>
      <c r="AH1625">
        <f>IF($AG1625=1,SUMPRODUCT(--($AK$2:$AK$6001&lt;$AK1625))+1,"")</f>
        <v/>
      </c>
      <c r="AI1625">
        <f>IF($C1625="","",IF(OR($N1625=TRUE(),$N1625="TRUE"),1,0))</f>
        <v/>
      </c>
      <c r="AJ1625">
        <f>IF($C1625="","",IF($T1625="Yes",1,0))</f>
        <v/>
      </c>
      <c r="AK1625">
        <f>IF($AG1625=1,IFERROR(IF(VALUE($C1625)&lt;100000000,VALUE($C1625),1000000000),IFERROR(IF(VALUE(MID($C1625,2,20))&lt;100000000,VALUE(MID($C1625,2,20)),1000000000),1000000000))+ROW()/100000,"")</f>
        <v/>
      </c>
    </row>
    <row r="1626">
      <c r="D1626" s="11" t="n"/>
      <c r="K1626" s="7">
        <f>IF($C1626="","",J1626*W1626/100)</f>
        <v/>
      </c>
      <c r="Q1626" s="7" t="n"/>
      <c r="R1626" s="7" t="n"/>
      <c r="U1626">
        <f>IF($C1626="","",IF($AJ1626=1,0,IF($AI1626=1,Settings!$C$6,Settings!$C$7))*100)</f>
        <v/>
      </c>
      <c r="V1626" s="7">
        <f>IF($C1626="","",R1626*U1626/100)</f>
        <v/>
      </c>
      <c r="W1626" s="7">
        <f>IF($C1626="","",R1626-V1626)</f>
        <v/>
      </c>
      <c r="X1626" s="7">
        <f>IF($C1626="","",W1626-K1626)</f>
        <v/>
      </c>
      <c r="AB1626" s="7" t="n"/>
      <c r="AE1626" s="11" t="n"/>
      <c r="AG1626">
        <f>IF($C1626="","",IF(COUNTIF($C$2:$C1626,$C1626)=1,1,0))</f>
        <v/>
      </c>
      <c r="AH1626">
        <f>IF($AG1626=1,SUMPRODUCT(--($AK$2:$AK$6001&lt;$AK1626))+1,"")</f>
        <v/>
      </c>
      <c r="AI1626">
        <f>IF($C1626="","",IF(OR($N1626=TRUE(),$N1626="TRUE"),1,0))</f>
        <v/>
      </c>
      <c r="AJ1626">
        <f>IF($C1626="","",IF($T1626="Yes",1,0))</f>
        <v/>
      </c>
      <c r="AK1626">
        <f>IF($AG1626=1,IFERROR(IF(VALUE($C1626)&lt;100000000,VALUE($C1626),1000000000),IFERROR(IF(VALUE(MID($C1626,2,20))&lt;100000000,VALUE(MID($C1626,2,20)),1000000000),1000000000))+ROW()/100000,"")</f>
        <v/>
      </c>
    </row>
    <row r="1627">
      <c r="D1627" s="11" t="n"/>
      <c r="K1627" s="7">
        <f>IF($C1627="","",J1627*W1627/100)</f>
        <v/>
      </c>
      <c r="Q1627" s="7" t="n"/>
      <c r="R1627" s="7" t="n"/>
      <c r="U1627">
        <f>IF($C1627="","",IF($AJ1627=1,0,IF($AI1627=1,Settings!$C$6,Settings!$C$7))*100)</f>
        <v/>
      </c>
      <c r="V1627" s="7">
        <f>IF($C1627="","",R1627*U1627/100)</f>
        <v/>
      </c>
      <c r="W1627" s="7">
        <f>IF($C1627="","",R1627-V1627)</f>
        <v/>
      </c>
      <c r="X1627" s="7">
        <f>IF($C1627="","",W1627-K1627)</f>
        <v/>
      </c>
      <c r="AB1627" s="7" t="n"/>
      <c r="AE1627" s="11" t="n"/>
      <c r="AG1627">
        <f>IF($C1627="","",IF(COUNTIF($C$2:$C1627,$C1627)=1,1,0))</f>
        <v/>
      </c>
      <c r="AH1627">
        <f>IF($AG1627=1,SUMPRODUCT(--($AK$2:$AK$6001&lt;$AK1627))+1,"")</f>
        <v/>
      </c>
      <c r="AI1627">
        <f>IF($C1627="","",IF(OR($N1627=TRUE(),$N1627="TRUE"),1,0))</f>
        <v/>
      </c>
      <c r="AJ1627">
        <f>IF($C1627="","",IF($T1627="Yes",1,0))</f>
        <v/>
      </c>
      <c r="AK1627">
        <f>IF($AG1627=1,IFERROR(IF(VALUE($C1627)&lt;100000000,VALUE($C1627),1000000000),IFERROR(IF(VALUE(MID($C1627,2,20))&lt;100000000,VALUE(MID($C1627,2,20)),1000000000),1000000000))+ROW()/100000,"")</f>
        <v/>
      </c>
    </row>
    <row r="1628">
      <c r="D1628" s="11" t="n"/>
      <c r="K1628" s="7">
        <f>IF($C1628="","",J1628*W1628/100)</f>
        <v/>
      </c>
      <c r="Q1628" s="7" t="n"/>
      <c r="R1628" s="7" t="n"/>
      <c r="U1628">
        <f>IF($C1628="","",IF($AJ1628=1,0,IF($AI1628=1,Settings!$C$6,Settings!$C$7))*100)</f>
        <v/>
      </c>
      <c r="V1628" s="7">
        <f>IF($C1628="","",R1628*U1628/100)</f>
        <v/>
      </c>
      <c r="W1628" s="7">
        <f>IF($C1628="","",R1628-V1628)</f>
        <v/>
      </c>
      <c r="X1628" s="7">
        <f>IF($C1628="","",W1628-K1628)</f>
        <v/>
      </c>
      <c r="AB1628" s="7" t="n"/>
      <c r="AE1628" s="11" t="n"/>
      <c r="AG1628">
        <f>IF($C1628="","",IF(COUNTIF($C$2:$C1628,$C1628)=1,1,0))</f>
        <v/>
      </c>
      <c r="AH1628">
        <f>IF($AG1628=1,SUMPRODUCT(--($AK$2:$AK$6001&lt;$AK1628))+1,"")</f>
        <v/>
      </c>
      <c r="AI1628">
        <f>IF($C1628="","",IF(OR($N1628=TRUE(),$N1628="TRUE"),1,0))</f>
        <v/>
      </c>
      <c r="AJ1628">
        <f>IF($C1628="","",IF($T1628="Yes",1,0))</f>
        <v/>
      </c>
      <c r="AK1628">
        <f>IF($AG1628=1,IFERROR(IF(VALUE($C1628)&lt;100000000,VALUE($C1628),1000000000),IFERROR(IF(VALUE(MID($C1628,2,20))&lt;100000000,VALUE(MID($C1628,2,20)),1000000000),1000000000))+ROW()/100000,"")</f>
        <v/>
      </c>
    </row>
    <row r="1629">
      <c r="D1629" s="11" t="n"/>
      <c r="K1629" s="7">
        <f>IF($C1629="","",J1629*W1629/100)</f>
        <v/>
      </c>
      <c r="Q1629" s="7" t="n"/>
      <c r="R1629" s="7" t="n"/>
      <c r="U1629">
        <f>IF($C1629="","",IF($AJ1629=1,0,IF($AI1629=1,Settings!$C$6,Settings!$C$7))*100)</f>
        <v/>
      </c>
      <c r="V1629" s="7">
        <f>IF($C1629="","",R1629*U1629/100)</f>
        <v/>
      </c>
      <c r="W1629" s="7">
        <f>IF($C1629="","",R1629-V1629)</f>
        <v/>
      </c>
      <c r="X1629" s="7">
        <f>IF($C1629="","",W1629-K1629)</f>
        <v/>
      </c>
      <c r="AB1629" s="7" t="n"/>
      <c r="AE1629" s="11" t="n"/>
      <c r="AG1629">
        <f>IF($C1629="","",IF(COUNTIF($C$2:$C1629,$C1629)=1,1,0))</f>
        <v/>
      </c>
      <c r="AH1629">
        <f>IF($AG1629=1,SUMPRODUCT(--($AK$2:$AK$6001&lt;$AK1629))+1,"")</f>
        <v/>
      </c>
      <c r="AI1629">
        <f>IF($C1629="","",IF(OR($N1629=TRUE(),$N1629="TRUE"),1,0))</f>
        <v/>
      </c>
      <c r="AJ1629">
        <f>IF($C1629="","",IF($T1629="Yes",1,0))</f>
        <v/>
      </c>
      <c r="AK1629">
        <f>IF($AG1629=1,IFERROR(IF(VALUE($C1629)&lt;100000000,VALUE($C1629),1000000000),IFERROR(IF(VALUE(MID($C1629,2,20))&lt;100000000,VALUE(MID($C1629,2,20)),1000000000),1000000000))+ROW()/100000,"")</f>
        <v/>
      </c>
    </row>
    <row r="1630">
      <c r="D1630" s="11" t="n"/>
      <c r="K1630" s="7">
        <f>IF($C1630="","",J1630*W1630/100)</f>
        <v/>
      </c>
      <c r="Q1630" s="7" t="n"/>
      <c r="R1630" s="7" t="n"/>
      <c r="U1630">
        <f>IF($C1630="","",IF($AJ1630=1,0,IF($AI1630=1,Settings!$C$6,Settings!$C$7))*100)</f>
        <v/>
      </c>
      <c r="V1630" s="7">
        <f>IF($C1630="","",R1630*U1630/100)</f>
        <v/>
      </c>
      <c r="W1630" s="7">
        <f>IF($C1630="","",R1630-V1630)</f>
        <v/>
      </c>
      <c r="X1630" s="7">
        <f>IF($C1630="","",W1630-K1630)</f>
        <v/>
      </c>
      <c r="AB1630" s="7" t="n"/>
      <c r="AE1630" s="11" t="n"/>
      <c r="AG1630">
        <f>IF($C1630="","",IF(COUNTIF($C$2:$C1630,$C1630)=1,1,0))</f>
        <v/>
      </c>
      <c r="AH1630">
        <f>IF($AG1630=1,SUMPRODUCT(--($AK$2:$AK$6001&lt;$AK1630))+1,"")</f>
        <v/>
      </c>
      <c r="AI1630">
        <f>IF($C1630="","",IF(OR($N1630=TRUE(),$N1630="TRUE"),1,0))</f>
        <v/>
      </c>
      <c r="AJ1630">
        <f>IF($C1630="","",IF($T1630="Yes",1,0))</f>
        <v/>
      </c>
      <c r="AK1630">
        <f>IF($AG1630=1,IFERROR(IF(VALUE($C1630)&lt;100000000,VALUE($C1630),1000000000),IFERROR(IF(VALUE(MID($C1630,2,20))&lt;100000000,VALUE(MID($C1630,2,20)),1000000000),1000000000))+ROW()/100000,"")</f>
        <v/>
      </c>
    </row>
    <row r="1631">
      <c r="D1631" s="11" t="n"/>
      <c r="K1631" s="7">
        <f>IF($C1631="","",J1631*W1631/100)</f>
        <v/>
      </c>
      <c r="Q1631" s="7" t="n"/>
      <c r="R1631" s="7" t="n"/>
      <c r="U1631">
        <f>IF($C1631="","",IF($AJ1631=1,0,IF($AI1631=1,Settings!$C$6,Settings!$C$7))*100)</f>
        <v/>
      </c>
      <c r="V1631" s="7">
        <f>IF($C1631="","",R1631*U1631/100)</f>
        <v/>
      </c>
      <c r="W1631" s="7">
        <f>IF($C1631="","",R1631-V1631)</f>
        <v/>
      </c>
      <c r="X1631" s="7">
        <f>IF($C1631="","",W1631-K1631)</f>
        <v/>
      </c>
      <c r="AB1631" s="7" t="n"/>
      <c r="AE1631" s="11" t="n"/>
      <c r="AG1631">
        <f>IF($C1631="","",IF(COUNTIF($C$2:$C1631,$C1631)=1,1,0))</f>
        <v/>
      </c>
      <c r="AH1631">
        <f>IF($AG1631=1,SUMPRODUCT(--($AK$2:$AK$6001&lt;$AK1631))+1,"")</f>
        <v/>
      </c>
      <c r="AI1631">
        <f>IF($C1631="","",IF(OR($N1631=TRUE(),$N1631="TRUE"),1,0))</f>
        <v/>
      </c>
      <c r="AJ1631">
        <f>IF($C1631="","",IF($T1631="Yes",1,0))</f>
        <v/>
      </c>
      <c r="AK1631">
        <f>IF($AG1631=1,IFERROR(IF(VALUE($C1631)&lt;100000000,VALUE($C1631),1000000000),IFERROR(IF(VALUE(MID($C1631,2,20))&lt;100000000,VALUE(MID($C1631,2,20)),1000000000),1000000000))+ROW()/100000,"")</f>
        <v/>
      </c>
    </row>
    <row r="1632">
      <c r="D1632" s="11" t="n"/>
      <c r="K1632" s="7">
        <f>IF($C1632="","",J1632*W1632/100)</f>
        <v/>
      </c>
      <c r="Q1632" s="7" t="n"/>
      <c r="R1632" s="7" t="n"/>
      <c r="U1632">
        <f>IF($C1632="","",IF($AJ1632=1,0,IF($AI1632=1,Settings!$C$6,Settings!$C$7))*100)</f>
        <v/>
      </c>
      <c r="V1632" s="7">
        <f>IF($C1632="","",R1632*U1632/100)</f>
        <v/>
      </c>
      <c r="W1632" s="7">
        <f>IF($C1632="","",R1632-V1632)</f>
        <v/>
      </c>
      <c r="X1632" s="7">
        <f>IF($C1632="","",W1632-K1632)</f>
        <v/>
      </c>
      <c r="AB1632" s="7" t="n"/>
      <c r="AE1632" s="11" t="n"/>
      <c r="AG1632">
        <f>IF($C1632="","",IF(COUNTIF($C$2:$C1632,$C1632)=1,1,0))</f>
        <v/>
      </c>
      <c r="AH1632">
        <f>IF($AG1632=1,SUMPRODUCT(--($AK$2:$AK$6001&lt;$AK1632))+1,"")</f>
        <v/>
      </c>
      <c r="AI1632">
        <f>IF($C1632="","",IF(OR($N1632=TRUE(),$N1632="TRUE"),1,0))</f>
        <v/>
      </c>
      <c r="AJ1632">
        <f>IF($C1632="","",IF($T1632="Yes",1,0))</f>
        <v/>
      </c>
      <c r="AK1632">
        <f>IF($AG1632=1,IFERROR(IF(VALUE($C1632)&lt;100000000,VALUE($C1632),1000000000),IFERROR(IF(VALUE(MID($C1632,2,20))&lt;100000000,VALUE(MID($C1632,2,20)),1000000000),1000000000))+ROW()/100000,"")</f>
        <v/>
      </c>
    </row>
    <row r="1633">
      <c r="D1633" s="11" t="n"/>
      <c r="K1633" s="7">
        <f>IF($C1633="","",J1633*W1633/100)</f>
        <v/>
      </c>
      <c r="Q1633" s="7" t="n"/>
      <c r="R1633" s="7" t="n"/>
      <c r="U1633">
        <f>IF($C1633="","",IF($AJ1633=1,0,IF($AI1633=1,Settings!$C$6,Settings!$C$7))*100)</f>
        <v/>
      </c>
      <c r="V1633" s="7">
        <f>IF($C1633="","",R1633*U1633/100)</f>
        <v/>
      </c>
      <c r="W1633" s="7">
        <f>IF($C1633="","",R1633-V1633)</f>
        <v/>
      </c>
      <c r="X1633" s="7">
        <f>IF($C1633="","",W1633-K1633)</f>
        <v/>
      </c>
      <c r="AB1633" s="7" t="n"/>
      <c r="AE1633" s="11" t="n"/>
      <c r="AG1633">
        <f>IF($C1633="","",IF(COUNTIF($C$2:$C1633,$C1633)=1,1,0))</f>
        <v/>
      </c>
      <c r="AH1633">
        <f>IF($AG1633=1,SUMPRODUCT(--($AK$2:$AK$6001&lt;$AK1633))+1,"")</f>
        <v/>
      </c>
      <c r="AI1633">
        <f>IF($C1633="","",IF(OR($N1633=TRUE(),$N1633="TRUE"),1,0))</f>
        <v/>
      </c>
      <c r="AJ1633">
        <f>IF($C1633="","",IF($T1633="Yes",1,0))</f>
        <v/>
      </c>
      <c r="AK1633">
        <f>IF($AG1633=1,IFERROR(IF(VALUE($C1633)&lt;100000000,VALUE($C1633),1000000000),IFERROR(IF(VALUE(MID($C1633,2,20))&lt;100000000,VALUE(MID($C1633,2,20)),1000000000),1000000000))+ROW()/100000,"")</f>
        <v/>
      </c>
    </row>
    <row r="1634">
      <c r="D1634" s="11" t="n"/>
      <c r="K1634" s="7">
        <f>IF($C1634="","",J1634*W1634/100)</f>
        <v/>
      </c>
      <c r="Q1634" s="7" t="n"/>
      <c r="R1634" s="7" t="n"/>
      <c r="U1634">
        <f>IF($C1634="","",IF($AJ1634=1,0,IF($AI1634=1,Settings!$C$6,Settings!$C$7))*100)</f>
        <v/>
      </c>
      <c r="V1634" s="7">
        <f>IF($C1634="","",R1634*U1634/100)</f>
        <v/>
      </c>
      <c r="W1634" s="7">
        <f>IF($C1634="","",R1634-V1634)</f>
        <v/>
      </c>
      <c r="X1634" s="7">
        <f>IF($C1634="","",W1634-K1634)</f>
        <v/>
      </c>
      <c r="AB1634" s="7" t="n"/>
      <c r="AE1634" s="11" t="n"/>
      <c r="AG1634">
        <f>IF($C1634="","",IF(COUNTIF($C$2:$C1634,$C1634)=1,1,0))</f>
        <v/>
      </c>
      <c r="AH1634">
        <f>IF($AG1634=1,SUMPRODUCT(--($AK$2:$AK$6001&lt;$AK1634))+1,"")</f>
        <v/>
      </c>
      <c r="AI1634">
        <f>IF($C1634="","",IF(OR($N1634=TRUE(),$N1634="TRUE"),1,0))</f>
        <v/>
      </c>
      <c r="AJ1634">
        <f>IF($C1634="","",IF($T1634="Yes",1,0))</f>
        <v/>
      </c>
      <c r="AK1634">
        <f>IF($AG1634=1,IFERROR(IF(VALUE($C1634)&lt;100000000,VALUE($C1634),1000000000),IFERROR(IF(VALUE(MID($C1634,2,20))&lt;100000000,VALUE(MID($C1634,2,20)),1000000000),1000000000))+ROW()/100000,"")</f>
        <v/>
      </c>
    </row>
    <row r="1635">
      <c r="D1635" s="11" t="n"/>
      <c r="K1635" s="7">
        <f>IF($C1635="","",J1635*W1635/100)</f>
        <v/>
      </c>
      <c r="Q1635" s="7" t="n"/>
      <c r="R1635" s="7" t="n"/>
      <c r="U1635">
        <f>IF($C1635="","",IF($AJ1635=1,0,IF($AI1635=1,Settings!$C$6,Settings!$C$7))*100)</f>
        <v/>
      </c>
      <c r="V1635" s="7">
        <f>IF($C1635="","",R1635*U1635/100)</f>
        <v/>
      </c>
      <c r="W1635" s="7">
        <f>IF($C1635="","",R1635-V1635)</f>
        <v/>
      </c>
      <c r="X1635" s="7">
        <f>IF($C1635="","",W1635-K1635)</f>
        <v/>
      </c>
      <c r="AB1635" s="7" t="n"/>
      <c r="AE1635" s="11" t="n"/>
      <c r="AG1635">
        <f>IF($C1635="","",IF(COUNTIF($C$2:$C1635,$C1635)=1,1,0))</f>
        <v/>
      </c>
      <c r="AH1635">
        <f>IF($AG1635=1,SUMPRODUCT(--($AK$2:$AK$6001&lt;$AK1635))+1,"")</f>
        <v/>
      </c>
      <c r="AI1635">
        <f>IF($C1635="","",IF(OR($N1635=TRUE(),$N1635="TRUE"),1,0))</f>
        <v/>
      </c>
      <c r="AJ1635">
        <f>IF($C1635="","",IF($T1635="Yes",1,0))</f>
        <v/>
      </c>
      <c r="AK1635">
        <f>IF($AG1635=1,IFERROR(IF(VALUE($C1635)&lt;100000000,VALUE($C1635),1000000000),IFERROR(IF(VALUE(MID($C1635,2,20))&lt;100000000,VALUE(MID($C1635,2,20)),1000000000),1000000000))+ROW()/100000,"")</f>
        <v/>
      </c>
    </row>
    <row r="1636">
      <c r="D1636" s="11" t="n"/>
      <c r="K1636" s="7">
        <f>IF($C1636="","",J1636*W1636/100)</f>
        <v/>
      </c>
      <c r="Q1636" s="7" t="n"/>
      <c r="R1636" s="7" t="n"/>
      <c r="U1636">
        <f>IF($C1636="","",IF($AJ1636=1,0,IF($AI1636=1,Settings!$C$6,Settings!$C$7))*100)</f>
        <v/>
      </c>
      <c r="V1636" s="7">
        <f>IF($C1636="","",R1636*U1636/100)</f>
        <v/>
      </c>
      <c r="W1636" s="7">
        <f>IF($C1636="","",R1636-V1636)</f>
        <v/>
      </c>
      <c r="X1636" s="7">
        <f>IF($C1636="","",W1636-K1636)</f>
        <v/>
      </c>
      <c r="AB1636" s="7" t="n"/>
      <c r="AE1636" s="11" t="n"/>
      <c r="AG1636">
        <f>IF($C1636="","",IF(COUNTIF($C$2:$C1636,$C1636)=1,1,0))</f>
        <v/>
      </c>
      <c r="AH1636">
        <f>IF($AG1636=1,SUMPRODUCT(--($AK$2:$AK$6001&lt;$AK1636))+1,"")</f>
        <v/>
      </c>
      <c r="AI1636">
        <f>IF($C1636="","",IF(OR($N1636=TRUE(),$N1636="TRUE"),1,0))</f>
        <v/>
      </c>
      <c r="AJ1636">
        <f>IF($C1636="","",IF($T1636="Yes",1,0))</f>
        <v/>
      </c>
      <c r="AK1636">
        <f>IF($AG1636=1,IFERROR(IF(VALUE($C1636)&lt;100000000,VALUE($C1636),1000000000),IFERROR(IF(VALUE(MID($C1636,2,20))&lt;100000000,VALUE(MID($C1636,2,20)),1000000000),1000000000))+ROW()/100000,"")</f>
        <v/>
      </c>
    </row>
    <row r="1637">
      <c r="D1637" s="11" t="n"/>
      <c r="K1637" s="7">
        <f>IF($C1637="","",J1637*W1637/100)</f>
        <v/>
      </c>
      <c r="Q1637" s="7" t="n"/>
      <c r="R1637" s="7" t="n"/>
      <c r="U1637">
        <f>IF($C1637="","",IF($AJ1637=1,0,IF($AI1637=1,Settings!$C$6,Settings!$C$7))*100)</f>
        <v/>
      </c>
      <c r="V1637" s="7">
        <f>IF($C1637="","",R1637*U1637/100)</f>
        <v/>
      </c>
      <c r="W1637" s="7">
        <f>IF($C1637="","",R1637-V1637)</f>
        <v/>
      </c>
      <c r="X1637" s="7">
        <f>IF($C1637="","",W1637-K1637)</f>
        <v/>
      </c>
      <c r="AB1637" s="7" t="n"/>
      <c r="AE1637" s="11" t="n"/>
      <c r="AG1637">
        <f>IF($C1637="","",IF(COUNTIF($C$2:$C1637,$C1637)=1,1,0))</f>
        <v/>
      </c>
      <c r="AH1637">
        <f>IF($AG1637=1,SUMPRODUCT(--($AK$2:$AK$6001&lt;$AK1637))+1,"")</f>
        <v/>
      </c>
      <c r="AI1637">
        <f>IF($C1637="","",IF(OR($N1637=TRUE(),$N1637="TRUE"),1,0))</f>
        <v/>
      </c>
      <c r="AJ1637">
        <f>IF($C1637="","",IF($T1637="Yes",1,0))</f>
        <v/>
      </c>
      <c r="AK1637">
        <f>IF($AG1637=1,IFERROR(IF(VALUE($C1637)&lt;100000000,VALUE($C1637),1000000000),IFERROR(IF(VALUE(MID($C1637,2,20))&lt;100000000,VALUE(MID($C1637,2,20)),1000000000),1000000000))+ROW()/100000,"")</f>
        <v/>
      </c>
    </row>
    <row r="1638">
      <c r="D1638" s="11" t="n"/>
      <c r="K1638" s="7">
        <f>IF($C1638="","",J1638*W1638/100)</f>
        <v/>
      </c>
      <c r="Q1638" s="7" t="n"/>
      <c r="R1638" s="7" t="n"/>
      <c r="U1638">
        <f>IF($C1638="","",IF($AJ1638=1,0,IF($AI1638=1,Settings!$C$6,Settings!$C$7))*100)</f>
        <v/>
      </c>
      <c r="V1638" s="7">
        <f>IF($C1638="","",R1638*U1638/100)</f>
        <v/>
      </c>
      <c r="W1638" s="7">
        <f>IF($C1638="","",R1638-V1638)</f>
        <v/>
      </c>
      <c r="X1638" s="7">
        <f>IF($C1638="","",W1638-K1638)</f>
        <v/>
      </c>
      <c r="AB1638" s="7" t="n"/>
      <c r="AE1638" s="11" t="n"/>
      <c r="AG1638">
        <f>IF($C1638="","",IF(COUNTIF($C$2:$C1638,$C1638)=1,1,0))</f>
        <v/>
      </c>
      <c r="AH1638">
        <f>IF($AG1638=1,SUMPRODUCT(--($AK$2:$AK$6001&lt;$AK1638))+1,"")</f>
        <v/>
      </c>
      <c r="AI1638">
        <f>IF($C1638="","",IF(OR($N1638=TRUE(),$N1638="TRUE"),1,0))</f>
        <v/>
      </c>
      <c r="AJ1638">
        <f>IF($C1638="","",IF($T1638="Yes",1,0))</f>
        <v/>
      </c>
      <c r="AK1638">
        <f>IF($AG1638=1,IFERROR(IF(VALUE($C1638)&lt;100000000,VALUE($C1638),1000000000),IFERROR(IF(VALUE(MID($C1638,2,20))&lt;100000000,VALUE(MID($C1638,2,20)),1000000000),1000000000))+ROW()/100000,"")</f>
        <v/>
      </c>
    </row>
    <row r="1639">
      <c r="D1639" s="11" t="n"/>
      <c r="K1639" s="7">
        <f>IF($C1639="","",J1639*W1639/100)</f>
        <v/>
      </c>
      <c r="Q1639" s="7" t="n"/>
      <c r="R1639" s="7" t="n"/>
      <c r="U1639">
        <f>IF($C1639="","",IF($AJ1639=1,0,IF($AI1639=1,Settings!$C$6,Settings!$C$7))*100)</f>
        <v/>
      </c>
      <c r="V1639" s="7">
        <f>IF($C1639="","",R1639*U1639/100)</f>
        <v/>
      </c>
      <c r="W1639" s="7">
        <f>IF($C1639="","",R1639-V1639)</f>
        <v/>
      </c>
      <c r="X1639" s="7">
        <f>IF($C1639="","",W1639-K1639)</f>
        <v/>
      </c>
      <c r="AB1639" s="7" t="n"/>
      <c r="AE1639" s="11" t="n"/>
      <c r="AG1639">
        <f>IF($C1639="","",IF(COUNTIF($C$2:$C1639,$C1639)=1,1,0))</f>
        <v/>
      </c>
      <c r="AH1639">
        <f>IF($AG1639=1,SUMPRODUCT(--($AK$2:$AK$6001&lt;$AK1639))+1,"")</f>
        <v/>
      </c>
      <c r="AI1639">
        <f>IF($C1639="","",IF(OR($N1639=TRUE(),$N1639="TRUE"),1,0))</f>
        <v/>
      </c>
      <c r="AJ1639">
        <f>IF($C1639="","",IF($T1639="Yes",1,0))</f>
        <v/>
      </c>
      <c r="AK1639">
        <f>IF($AG1639=1,IFERROR(IF(VALUE($C1639)&lt;100000000,VALUE($C1639),1000000000),IFERROR(IF(VALUE(MID($C1639,2,20))&lt;100000000,VALUE(MID($C1639,2,20)),1000000000),1000000000))+ROW()/100000,"")</f>
        <v/>
      </c>
    </row>
    <row r="1640">
      <c r="D1640" s="11" t="n"/>
      <c r="K1640" s="7">
        <f>IF($C1640="","",J1640*W1640/100)</f>
        <v/>
      </c>
      <c r="Q1640" s="7" t="n"/>
      <c r="R1640" s="7" t="n"/>
      <c r="U1640">
        <f>IF($C1640="","",IF($AJ1640=1,0,IF($AI1640=1,Settings!$C$6,Settings!$C$7))*100)</f>
        <v/>
      </c>
      <c r="V1640" s="7">
        <f>IF($C1640="","",R1640*U1640/100)</f>
        <v/>
      </c>
      <c r="W1640" s="7">
        <f>IF($C1640="","",R1640-V1640)</f>
        <v/>
      </c>
      <c r="X1640" s="7">
        <f>IF($C1640="","",W1640-K1640)</f>
        <v/>
      </c>
      <c r="AB1640" s="7" t="n"/>
      <c r="AE1640" s="11" t="n"/>
      <c r="AG1640">
        <f>IF($C1640="","",IF(COUNTIF($C$2:$C1640,$C1640)=1,1,0))</f>
        <v/>
      </c>
      <c r="AH1640">
        <f>IF($AG1640=1,SUMPRODUCT(--($AK$2:$AK$6001&lt;$AK1640))+1,"")</f>
        <v/>
      </c>
      <c r="AI1640">
        <f>IF($C1640="","",IF(OR($N1640=TRUE(),$N1640="TRUE"),1,0))</f>
        <v/>
      </c>
      <c r="AJ1640">
        <f>IF($C1640="","",IF($T1640="Yes",1,0))</f>
        <v/>
      </c>
      <c r="AK1640">
        <f>IF($AG1640=1,IFERROR(IF(VALUE($C1640)&lt;100000000,VALUE($C1640),1000000000),IFERROR(IF(VALUE(MID($C1640,2,20))&lt;100000000,VALUE(MID($C1640,2,20)),1000000000),1000000000))+ROW()/100000,"")</f>
        <v/>
      </c>
    </row>
    <row r="1641">
      <c r="D1641" s="11" t="n"/>
      <c r="K1641" s="7">
        <f>IF($C1641="","",J1641*W1641/100)</f>
        <v/>
      </c>
      <c r="Q1641" s="7" t="n"/>
      <c r="R1641" s="7" t="n"/>
      <c r="U1641">
        <f>IF($C1641="","",IF($AJ1641=1,0,IF($AI1641=1,Settings!$C$6,Settings!$C$7))*100)</f>
        <v/>
      </c>
      <c r="V1641" s="7">
        <f>IF($C1641="","",R1641*U1641/100)</f>
        <v/>
      </c>
      <c r="W1641" s="7">
        <f>IF($C1641="","",R1641-V1641)</f>
        <v/>
      </c>
      <c r="X1641" s="7">
        <f>IF($C1641="","",W1641-K1641)</f>
        <v/>
      </c>
      <c r="AB1641" s="7" t="n"/>
      <c r="AE1641" s="11" t="n"/>
      <c r="AG1641">
        <f>IF($C1641="","",IF(COUNTIF($C$2:$C1641,$C1641)=1,1,0))</f>
        <v/>
      </c>
      <c r="AH1641">
        <f>IF($AG1641=1,SUMPRODUCT(--($AK$2:$AK$6001&lt;$AK1641))+1,"")</f>
        <v/>
      </c>
      <c r="AI1641">
        <f>IF($C1641="","",IF(OR($N1641=TRUE(),$N1641="TRUE"),1,0))</f>
        <v/>
      </c>
      <c r="AJ1641">
        <f>IF($C1641="","",IF($T1641="Yes",1,0))</f>
        <v/>
      </c>
      <c r="AK1641">
        <f>IF($AG1641=1,IFERROR(IF(VALUE($C1641)&lt;100000000,VALUE($C1641),1000000000),IFERROR(IF(VALUE(MID($C1641,2,20))&lt;100000000,VALUE(MID($C1641,2,20)),1000000000),1000000000))+ROW()/100000,"")</f>
        <v/>
      </c>
    </row>
    <row r="1642">
      <c r="D1642" s="11" t="n"/>
      <c r="K1642" s="7">
        <f>IF($C1642="","",J1642*W1642/100)</f>
        <v/>
      </c>
      <c r="Q1642" s="7" t="n"/>
      <c r="R1642" s="7" t="n"/>
      <c r="U1642">
        <f>IF($C1642="","",IF($AJ1642=1,0,IF($AI1642=1,Settings!$C$6,Settings!$C$7))*100)</f>
        <v/>
      </c>
      <c r="V1642" s="7">
        <f>IF($C1642="","",R1642*U1642/100)</f>
        <v/>
      </c>
      <c r="W1642" s="7">
        <f>IF($C1642="","",R1642-V1642)</f>
        <v/>
      </c>
      <c r="X1642" s="7">
        <f>IF($C1642="","",W1642-K1642)</f>
        <v/>
      </c>
      <c r="AB1642" s="7" t="n"/>
      <c r="AE1642" s="11" t="n"/>
      <c r="AG1642">
        <f>IF($C1642="","",IF(COUNTIF($C$2:$C1642,$C1642)=1,1,0))</f>
        <v/>
      </c>
      <c r="AH1642">
        <f>IF($AG1642=1,SUMPRODUCT(--($AK$2:$AK$6001&lt;$AK1642))+1,"")</f>
        <v/>
      </c>
      <c r="AI1642">
        <f>IF($C1642="","",IF(OR($N1642=TRUE(),$N1642="TRUE"),1,0))</f>
        <v/>
      </c>
      <c r="AJ1642">
        <f>IF($C1642="","",IF($T1642="Yes",1,0))</f>
        <v/>
      </c>
      <c r="AK1642">
        <f>IF($AG1642=1,IFERROR(IF(VALUE($C1642)&lt;100000000,VALUE($C1642),1000000000),IFERROR(IF(VALUE(MID($C1642,2,20))&lt;100000000,VALUE(MID($C1642,2,20)),1000000000),1000000000))+ROW()/100000,"")</f>
        <v/>
      </c>
    </row>
    <row r="1643">
      <c r="D1643" s="11" t="n"/>
      <c r="K1643" s="7">
        <f>IF($C1643="","",J1643*W1643/100)</f>
        <v/>
      </c>
      <c r="Q1643" s="7" t="n"/>
      <c r="R1643" s="7" t="n"/>
      <c r="U1643">
        <f>IF($C1643="","",IF($AJ1643=1,0,IF($AI1643=1,Settings!$C$6,Settings!$C$7))*100)</f>
        <v/>
      </c>
      <c r="V1643" s="7">
        <f>IF($C1643="","",R1643*U1643/100)</f>
        <v/>
      </c>
      <c r="W1643" s="7">
        <f>IF($C1643="","",R1643-V1643)</f>
        <v/>
      </c>
      <c r="X1643" s="7">
        <f>IF($C1643="","",W1643-K1643)</f>
        <v/>
      </c>
      <c r="AB1643" s="7" t="n"/>
      <c r="AE1643" s="11" t="n"/>
      <c r="AG1643">
        <f>IF($C1643="","",IF(COUNTIF($C$2:$C1643,$C1643)=1,1,0))</f>
        <v/>
      </c>
      <c r="AH1643">
        <f>IF($AG1643=1,SUMPRODUCT(--($AK$2:$AK$6001&lt;$AK1643))+1,"")</f>
        <v/>
      </c>
      <c r="AI1643">
        <f>IF($C1643="","",IF(OR($N1643=TRUE(),$N1643="TRUE"),1,0))</f>
        <v/>
      </c>
      <c r="AJ1643">
        <f>IF($C1643="","",IF($T1643="Yes",1,0))</f>
        <v/>
      </c>
      <c r="AK1643">
        <f>IF($AG1643=1,IFERROR(IF(VALUE($C1643)&lt;100000000,VALUE($C1643),1000000000),IFERROR(IF(VALUE(MID($C1643,2,20))&lt;100000000,VALUE(MID($C1643,2,20)),1000000000),1000000000))+ROW()/100000,"")</f>
        <v/>
      </c>
    </row>
    <row r="1644">
      <c r="D1644" s="11" t="n"/>
      <c r="K1644" s="7">
        <f>IF($C1644="","",J1644*W1644/100)</f>
        <v/>
      </c>
      <c r="Q1644" s="7" t="n"/>
      <c r="R1644" s="7" t="n"/>
      <c r="U1644">
        <f>IF($C1644="","",IF($AJ1644=1,0,IF($AI1644=1,Settings!$C$6,Settings!$C$7))*100)</f>
        <v/>
      </c>
      <c r="V1644" s="7">
        <f>IF($C1644="","",R1644*U1644/100)</f>
        <v/>
      </c>
      <c r="W1644" s="7">
        <f>IF($C1644="","",R1644-V1644)</f>
        <v/>
      </c>
      <c r="X1644" s="7">
        <f>IF($C1644="","",W1644-K1644)</f>
        <v/>
      </c>
      <c r="AB1644" s="7" t="n"/>
      <c r="AE1644" s="11" t="n"/>
      <c r="AG1644">
        <f>IF($C1644="","",IF(COUNTIF($C$2:$C1644,$C1644)=1,1,0))</f>
        <v/>
      </c>
      <c r="AH1644">
        <f>IF($AG1644=1,SUMPRODUCT(--($AK$2:$AK$6001&lt;$AK1644))+1,"")</f>
        <v/>
      </c>
      <c r="AI1644">
        <f>IF($C1644="","",IF(OR($N1644=TRUE(),$N1644="TRUE"),1,0))</f>
        <v/>
      </c>
      <c r="AJ1644">
        <f>IF($C1644="","",IF($T1644="Yes",1,0))</f>
        <v/>
      </c>
      <c r="AK1644">
        <f>IF($AG1644=1,IFERROR(IF(VALUE($C1644)&lt;100000000,VALUE($C1644),1000000000),IFERROR(IF(VALUE(MID($C1644,2,20))&lt;100000000,VALUE(MID($C1644,2,20)),1000000000),1000000000))+ROW()/100000,"")</f>
        <v/>
      </c>
    </row>
    <row r="1645">
      <c r="D1645" s="11" t="n"/>
      <c r="K1645" s="7">
        <f>IF($C1645="","",J1645*W1645/100)</f>
        <v/>
      </c>
      <c r="Q1645" s="7" t="n"/>
      <c r="R1645" s="7" t="n"/>
      <c r="U1645">
        <f>IF($C1645="","",IF($AJ1645=1,0,IF($AI1645=1,Settings!$C$6,Settings!$C$7))*100)</f>
        <v/>
      </c>
      <c r="V1645" s="7">
        <f>IF($C1645="","",R1645*U1645/100)</f>
        <v/>
      </c>
      <c r="W1645" s="7">
        <f>IF($C1645="","",R1645-V1645)</f>
        <v/>
      </c>
      <c r="X1645" s="7">
        <f>IF($C1645="","",W1645-K1645)</f>
        <v/>
      </c>
      <c r="AB1645" s="7" t="n"/>
      <c r="AE1645" s="11" t="n"/>
      <c r="AG1645">
        <f>IF($C1645="","",IF(COUNTIF($C$2:$C1645,$C1645)=1,1,0))</f>
        <v/>
      </c>
      <c r="AH1645">
        <f>IF($AG1645=1,SUMPRODUCT(--($AK$2:$AK$6001&lt;$AK1645))+1,"")</f>
        <v/>
      </c>
      <c r="AI1645">
        <f>IF($C1645="","",IF(OR($N1645=TRUE(),$N1645="TRUE"),1,0))</f>
        <v/>
      </c>
      <c r="AJ1645">
        <f>IF($C1645="","",IF($T1645="Yes",1,0))</f>
        <v/>
      </c>
      <c r="AK1645">
        <f>IF($AG1645=1,IFERROR(IF(VALUE($C1645)&lt;100000000,VALUE($C1645),1000000000),IFERROR(IF(VALUE(MID($C1645,2,20))&lt;100000000,VALUE(MID($C1645,2,20)),1000000000),1000000000))+ROW()/100000,"")</f>
        <v/>
      </c>
    </row>
    <row r="1646">
      <c r="D1646" s="11" t="n"/>
      <c r="K1646" s="7">
        <f>IF($C1646="","",J1646*W1646/100)</f>
        <v/>
      </c>
      <c r="Q1646" s="7" t="n"/>
      <c r="R1646" s="7" t="n"/>
      <c r="U1646">
        <f>IF($C1646="","",IF($AJ1646=1,0,IF($AI1646=1,Settings!$C$6,Settings!$C$7))*100)</f>
        <v/>
      </c>
      <c r="V1646" s="7">
        <f>IF($C1646="","",R1646*U1646/100)</f>
        <v/>
      </c>
      <c r="W1646" s="7">
        <f>IF($C1646="","",R1646-V1646)</f>
        <v/>
      </c>
      <c r="X1646" s="7">
        <f>IF($C1646="","",W1646-K1646)</f>
        <v/>
      </c>
      <c r="AB1646" s="7" t="n"/>
      <c r="AE1646" s="11" t="n"/>
      <c r="AG1646">
        <f>IF($C1646="","",IF(COUNTIF($C$2:$C1646,$C1646)=1,1,0))</f>
        <v/>
      </c>
      <c r="AH1646">
        <f>IF($AG1646=1,SUMPRODUCT(--($AK$2:$AK$6001&lt;$AK1646))+1,"")</f>
        <v/>
      </c>
      <c r="AI1646">
        <f>IF($C1646="","",IF(OR($N1646=TRUE(),$N1646="TRUE"),1,0))</f>
        <v/>
      </c>
      <c r="AJ1646">
        <f>IF($C1646="","",IF($T1646="Yes",1,0))</f>
        <v/>
      </c>
      <c r="AK1646">
        <f>IF($AG1646=1,IFERROR(IF(VALUE($C1646)&lt;100000000,VALUE($C1646),1000000000),IFERROR(IF(VALUE(MID($C1646,2,20))&lt;100000000,VALUE(MID($C1646,2,20)),1000000000),1000000000))+ROW()/100000,"")</f>
        <v/>
      </c>
    </row>
    <row r="1647">
      <c r="D1647" s="11" t="n"/>
      <c r="K1647" s="7">
        <f>IF($C1647="","",J1647*W1647/100)</f>
        <v/>
      </c>
      <c r="Q1647" s="7" t="n"/>
      <c r="R1647" s="7" t="n"/>
      <c r="U1647">
        <f>IF($C1647="","",IF($AJ1647=1,0,IF($AI1647=1,Settings!$C$6,Settings!$C$7))*100)</f>
        <v/>
      </c>
      <c r="V1647" s="7">
        <f>IF($C1647="","",R1647*U1647/100)</f>
        <v/>
      </c>
      <c r="W1647" s="7">
        <f>IF($C1647="","",R1647-V1647)</f>
        <v/>
      </c>
      <c r="X1647" s="7">
        <f>IF($C1647="","",W1647-K1647)</f>
        <v/>
      </c>
      <c r="AB1647" s="7" t="n"/>
      <c r="AE1647" s="11" t="n"/>
      <c r="AG1647">
        <f>IF($C1647="","",IF(COUNTIF($C$2:$C1647,$C1647)=1,1,0))</f>
        <v/>
      </c>
      <c r="AH1647">
        <f>IF($AG1647=1,SUMPRODUCT(--($AK$2:$AK$6001&lt;$AK1647))+1,"")</f>
        <v/>
      </c>
      <c r="AI1647">
        <f>IF($C1647="","",IF(OR($N1647=TRUE(),$N1647="TRUE"),1,0))</f>
        <v/>
      </c>
      <c r="AJ1647">
        <f>IF($C1647="","",IF($T1647="Yes",1,0))</f>
        <v/>
      </c>
      <c r="AK1647">
        <f>IF($AG1647=1,IFERROR(IF(VALUE($C1647)&lt;100000000,VALUE($C1647),1000000000),IFERROR(IF(VALUE(MID($C1647,2,20))&lt;100000000,VALUE(MID($C1647,2,20)),1000000000),1000000000))+ROW()/100000,"")</f>
        <v/>
      </c>
    </row>
    <row r="1648">
      <c r="D1648" s="11" t="n"/>
      <c r="K1648" s="7">
        <f>IF($C1648="","",J1648*W1648/100)</f>
        <v/>
      </c>
      <c r="Q1648" s="7" t="n"/>
      <c r="R1648" s="7" t="n"/>
      <c r="U1648">
        <f>IF($C1648="","",IF($AJ1648=1,0,IF($AI1648=1,Settings!$C$6,Settings!$C$7))*100)</f>
        <v/>
      </c>
      <c r="V1648" s="7">
        <f>IF($C1648="","",R1648*U1648/100)</f>
        <v/>
      </c>
      <c r="W1648" s="7">
        <f>IF($C1648="","",R1648-V1648)</f>
        <v/>
      </c>
      <c r="X1648" s="7">
        <f>IF($C1648="","",W1648-K1648)</f>
        <v/>
      </c>
      <c r="AB1648" s="7" t="n"/>
      <c r="AE1648" s="11" t="n"/>
      <c r="AG1648">
        <f>IF($C1648="","",IF(COUNTIF($C$2:$C1648,$C1648)=1,1,0))</f>
        <v/>
      </c>
      <c r="AH1648">
        <f>IF($AG1648=1,SUMPRODUCT(--($AK$2:$AK$6001&lt;$AK1648))+1,"")</f>
        <v/>
      </c>
      <c r="AI1648">
        <f>IF($C1648="","",IF(OR($N1648=TRUE(),$N1648="TRUE"),1,0))</f>
        <v/>
      </c>
      <c r="AJ1648">
        <f>IF($C1648="","",IF($T1648="Yes",1,0))</f>
        <v/>
      </c>
      <c r="AK1648">
        <f>IF($AG1648=1,IFERROR(IF(VALUE($C1648)&lt;100000000,VALUE($C1648),1000000000),IFERROR(IF(VALUE(MID($C1648,2,20))&lt;100000000,VALUE(MID($C1648,2,20)),1000000000),1000000000))+ROW()/100000,"")</f>
        <v/>
      </c>
    </row>
    <row r="1649">
      <c r="D1649" s="11" t="n"/>
      <c r="K1649" s="7">
        <f>IF($C1649="","",J1649*W1649/100)</f>
        <v/>
      </c>
      <c r="Q1649" s="7" t="n"/>
      <c r="R1649" s="7" t="n"/>
      <c r="U1649">
        <f>IF($C1649="","",IF($AJ1649=1,0,IF($AI1649=1,Settings!$C$6,Settings!$C$7))*100)</f>
        <v/>
      </c>
      <c r="V1649" s="7">
        <f>IF($C1649="","",R1649*U1649/100)</f>
        <v/>
      </c>
      <c r="W1649" s="7">
        <f>IF($C1649="","",R1649-V1649)</f>
        <v/>
      </c>
      <c r="X1649" s="7">
        <f>IF($C1649="","",W1649-K1649)</f>
        <v/>
      </c>
      <c r="AB1649" s="7" t="n"/>
      <c r="AE1649" s="11" t="n"/>
      <c r="AG1649">
        <f>IF($C1649="","",IF(COUNTIF($C$2:$C1649,$C1649)=1,1,0))</f>
        <v/>
      </c>
      <c r="AH1649">
        <f>IF($AG1649=1,SUMPRODUCT(--($AK$2:$AK$6001&lt;$AK1649))+1,"")</f>
        <v/>
      </c>
      <c r="AI1649">
        <f>IF($C1649="","",IF(OR($N1649=TRUE(),$N1649="TRUE"),1,0))</f>
        <v/>
      </c>
      <c r="AJ1649">
        <f>IF($C1649="","",IF($T1649="Yes",1,0))</f>
        <v/>
      </c>
      <c r="AK1649">
        <f>IF($AG1649=1,IFERROR(IF(VALUE($C1649)&lt;100000000,VALUE($C1649),1000000000),IFERROR(IF(VALUE(MID($C1649,2,20))&lt;100000000,VALUE(MID($C1649,2,20)),1000000000),1000000000))+ROW()/100000,"")</f>
        <v/>
      </c>
    </row>
    <row r="1650">
      <c r="D1650" s="11" t="n"/>
      <c r="K1650" s="7">
        <f>IF($C1650="","",J1650*W1650/100)</f>
        <v/>
      </c>
      <c r="Q1650" s="7" t="n"/>
      <c r="R1650" s="7" t="n"/>
      <c r="U1650">
        <f>IF($C1650="","",IF($AJ1650=1,0,IF($AI1650=1,Settings!$C$6,Settings!$C$7))*100)</f>
        <v/>
      </c>
      <c r="V1650" s="7">
        <f>IF($C1650="","",R1650*U1650/100)</f>
        <v/>
      </c>
      <c r="W1650" s="7">
        <f>IF($C1650="","",R1650-V1650)</f>
        <v/>
      </c>
      <c r="X1650" s="7">
        <f>IF($C1650="","",W1650-K1650)</f>
        <v/>
      </c>
      <c r="AB1650" s="7" t="n"/>
      <c r="AE1650" s="11" t="n"/>
      <c r="AG1650">
        <f>IF($C1650="","",IF(COUNTIF($C$2:$C1650,$C1650)=1,1,0))</f>
        <v/>
      </c>
      <c r="AH1650">
        <f>IF($AG1650=1,SUMPRODUCT(--($AK$2:$AK$6001&lt;$AK1650))+1,"")</f>
        <v/>
      </c>
      <c r="AI1650">
        <f>IF($C1650="","",IF(OR($N1650=TRUE(),$N1650="TRUE"),1,0))</f>
        <v/>
      </c>
      <c r="AJ1650">
        <f>IF($C1650="","",IF($T1650="Yes",1,0))</f>
        <v/>
      </c>
      <c r="AK1650">
        <f>IF($AG1650=1,IFERROR(IF(VALUE($C1650)&lt;100000000,VALUE($C1650),1000000000),IFERROR(IF(VALUE(MID($C1650,2,20))&lt;100000000,VALUE(MID($C1650,2,20)),1000000000),1000000000))+ROW()/100000,"")</f>
        <v/>
      </c>
    </row>
    <row r="1651">
      <c r="D1651" s="11" t="n"/>
      <c r="K1651" s="7">
        <f>IF($C1651="","",J1651*W1651/100)</f>
        <v/>
      </c>
      <c r="Q1651" s="7" t="n"/>
      <c r="R1651" s="7" t="n"/>
      <c r="U1651">
        <f>IF($C1651="","",IF($AJ1651=1,0,IF($AI1651=1,Settings!$C$6,Settings!$C$7))*100)</f>
        <v/>
      </c>
      <c r="V1651" s="7">
        <f>IF($C1651="","",R1651*U1651/100)</f>
        <v/>
      </c>
      <c r="W1651" s="7">
        <f>IF($C1651="","",R1651-V1651)</f>
        <v/>
      </c>
      <c r="X1651" s="7">
        <f>IF($C1651="","",W1651-K1651)</f>
        <v/>
      </c>
      <c r="AB1651" s="7" t="n"/>
      <c r="AE1651" s="11" t="n"/>
      <c r="AG1651">
        <f>IF($C1651="","",IF(COUNTIF($C$2:$C1651,$C1651)=1,1,0))</f>
        <v/>
      </c>
      <c r="AH1651">
        <f>IF($AG1651=1,SUMPRODUCT(--($AK$2:$AK$6001&lt;$AK1651))+1,"")</f>
        <v/>
      </c>
      <c r="AI1651">
        <f>IF($C1651="","",IF(OR($N1651=TRUE(),$N1651="TRUE"),1,0))</f>
        <v/>
      </c>
      <c r="AJ1651">
        <f>IF($C1651="","",IF($T1651="Yes",1,0))</f>
        <v/>
      </c>
      <c r="AK1651">
        <f>IF($AG1651=1,IFERROR(IF(VALUE($C1651)&lt;100000000,VALUE($C1651),1000000000),IFERROR(IF(VALUE(MID($C1651,2,20))&lt;100000000,VALUE(MID($C1651,2,20)),1000000000),1000000000))+ROW()/100000,"")</f>
        <v/>
      </c>
    </row>
    <row r="1652">
      <c r="D1652" s="11" t="n"/>
      <c r="K1652" s="7">
        <f>IF($C1652="","",J1652*W1652/100)</f>
        <v/>
      </c>
      <c r="Q1652" s="7" t="n"/>
      <c r="R1652" s="7" t="n"/>
      <c r="U1652">
        <f>IF($C1652="","",IF($AJ1652=1,0,IF($AI1652=1,Settings!$C$6,Settings!$C$7))*100)</f>
        <v/>
      </c>
      <c r="V1652" s="7">
        <f>IF($C1652="","",R1652*U1652/100)</f>
        <v/>
      </c>
      <c r="W1652" s="7">
        <f>IF($C1652="","",R1652-V1652)</f>
        <v/>
      </c>
      <c r="X1652" s="7">
        <f>IF($C1652="","",W1652-K1652)</f>
        <v/>
      </c>
      <c r="AB1652" s="7" t="n"/>
      <c r="AE1652" s="11" t="n"/>
      <c r="AG1652">
        <f>IF($C1652="","",IF(COUNTIF($C$2:$C1652,$C1652)=1,1,0))</f>
        <v/>
      </c>
      <c r="AH1652">
        <f>IF($AG1652=1,SUMPRODUCT(--($AK$2:$AK$6001&lt;$AK1652))+1,"")</f>
        <v/>
      </c>
      <c r="AI1652">
        <f>IF($C1652="","",IF(OR($N1652=TRUE(),$N1652="TRUE"),1,0))</f>
        <v/>
      </c>
      <c r="AJ1652">
        <f>IF($C1652="","",IF($T1652="Yes",1,0))</f>
        <v/>
      </c>
      <c r="AK1652">
        <f>IF($AG1652=1,IFERROR(IF(VALUE($C1652)&lt;100000000,VALUE($C1652),1000000000),IFERROR(IF(VALUE(MID($C1652,2,20))&lt;100000000,VALUE(MID($C1652,2,20)),1000000000),1000000000))+ROW()/100000,"")</f>
        <v/>
      </c>
    </row>
    <row r="1653">
      <c r="D1653" s="11" t="n"/>
      <c r="K1653" s="7">
        <f>IF($C1653="","",J1653*W1653/100)</f>
        <v/>
      </c>
      <c r="Q1653" s="7" t="n"/>
      <c r="R1653" s="7" t="n"/>
      <c r="U1653">
        <f>IF($C1653="","",IF($AJ1653=1,0,IF($AI1653=1,Settings!$C$6,Settings!$C$7))*100)</f>
        <v/>
      </c>
      <c r="V1653" s="7">
        <f>IF($C1653="","",R1653*U1653/100)</f>
        <v/>
      </c>
      <c r="W1653" s="7">
        <f>IF($C1653="","",R1653-V1653)</f>
        <v/>
      </c>
      <c r="X1653" s="7">
        <f>IF($C1653="","",W1653-K1653)</f>
        <v/>
      </c>
      <c r="AB1653" s="7" t="n"/>
      <c r="AE1653" s="11" t="n"/>
      <c r="AG1653">
        <f>IF($C1653="","",IF(COUNTIF($C$2:$C1653,$C1653)=1,1,0))</f>
        <v/>
      </c>
      <c r="AH1653">
        <f>IF($AG1653=1,SUMPRODUCT(--($AK$2:$AK$6001&lt;$AK1653))+1,"")</f>
        <v/>
      </c>
      <c r="AI1653">
        <f>IF($C1653="","",IF(OR($N1653=TRUE(),$N1653="TRUE"),1,0))</f>
        <v/>
      </c>
      <c r="AJ1653">
        <f>IF($C1653="","",IF($T1653="Yes",1,0))</f>
        <v/>
      </c>
      <c r="AK1653">
        <f>IF($AG1653=1,IFERROR(IF(VALUE($C1653)&lt;100000000,VALUE($C1653),1000000000),IFERROR(IF(VALUE(MID($C1653,2,20))&lt;100000000,VALUE(MID($C1653,2,20)),1000000000),1000000000))+ROW()/100000,"")</f>
        <v/>
      </c>
    </row>
    <row r="1654">
      <c r="D1654" s="11" t="n"/>
      <c r="K1654" s="7">
        <f>IF($C1654="","",J1654*W1654/100)</f>
        <v/>
      </c>
      <c r="Q1654" s="7" t="n"/>
      <c r="R1654" s="7" t="n"/>
      <c r="U1654">
        <f>IF($C1654="","",IF($AJ1654=1,0,IF($AI1654=1,Settings!$C$6,Settings!$C$7))*100)</f>
        <v/>
      </c>
      <c r="V1654" s="7">
        <f>IF($C1654="","",R1654*U1654/100)</f>
        <v/>
      </c>
      <c r="W1654" s="7">
        <f>IF($C1654="","",R1654-V1654)</f>
        <v/>
      </c>
      <c r="X1654" s="7">
        <f>IF($C1654="","",W1654-K1654)</f>
        <v/>
      </c>
      <c r="AB1654" s="7" t="n"/>
      <c r="AE1654" s="11" t="n"/>
      <c r="AG1654">
        <f>IF($C1654="","",IF(COUNTIF($C$2:$C1654,$C1654)=1,1,0))</f>
        <v/>
      </c>
      <c r="AH1654">
        <f>IF($AG1654=1,SUMPRODUCT(--($AK$2:$AK$6001&lt;$AK1654))+1,"")</f>
        <v/>
      </c>
      <c r="AI1654">
        <f>IF($C1654="","",IF(OR($N1654=TRUE(),$N1654="TRUE"),1,0))</f>
        <v/>
      </c>
      <c r="AJ1654">
        <f>IF($C1654="","",IF($T1654="Yes",1,0))</f>
        <v/>
      </c>
      <c r="AK1654">
        <f>IF($AG1654=1,IFERROR(IF(VALUE($C1654)&lt;100000000,VALUE($C1654),1000000000),IFERROR(IF(VALUE(MID($C1654,2,20))&lt;100000000,VALUE(MID($C1654,2,20)),1000000000),1000000000))+ROW()/100000,"")</f>
        <v/>
      </c>
    </row>
    <row r="1655">
      <c r="D1655" s="11" t="n"/>
      <c r="K1655" s="7">
        <f>IF($C1655="","",J1655*W1655/100)</f>
        <v/>
      </c>
      <c r="Q1655" s="7" t="n"/>
      <c r="R1655" s="7" t="n"/>
      <c r="U1655">
        <f>IF($C1655="","",IF($AJ1655=1,0,IF($AI1655=1,Settings!$C$6,Settings!$C$7))*100)</f>
        <v/>
      </c>
      <c r="V1655" s="7">
        <f>IF($C1655="","",R1655*U1655/100)</f>
        <v/>
      </c>
      <c r="W1655" s="7">
        <f>IF($C1655="","",R1655-V1655)</f>
        <v/>
      </c>
      <c r="X1655" s="7">
        <f>IF($C1655="","",W1655-K1655)</f>
        <v/>
      </c>
      <c r="AB1655" s="7" t="n"/>
      <c r="AE1655" s="11" t="n"/>
      <c r="AG1655">
        <f>IF($C1655="","",IF(COUNTIF($C$2:$C1655,$C1655)=1,1,0))</f>
        <v/>
      </c>
      <c r="AH1655">
        <f>IF($AG1655=1,SUMPRODUCT(--($AK$2:$AK$6001&lt;$AK1655))+1,"")</f>
        <v/>
      </c>
      <c r="AI1655">
        <f>IF($C1655="","",IF(OR($N1655=TRUE(),$N1655="TRUE"),1,0))</f>
        <v/>
      </c>
      <c r="AJ1655">
        <f>IF($C1655="","",IF($T1655="Yes",1,0))</f>
        <v/>
      </c>
      <c r="AK1655">
        <f>IF($AG1655=1,IFERROR(IF(VALUE($C1655)&lt;100000000,VALUE($C1655),1000000000),IFERROR(IF(VALUE(MID($C1655,2,20))&lt;100000000,VALUE(MID($C1655,2,20)),1000000000),1000000000))+ROW()/100000,"")</f>
        <v/>
      </c>
    </row>
    <row r="1656">
      <c r="D1656" s="11" t="n"/>
      <c r="K1656" s="7">
        <f>IF($C1656="","",J1656*W1656/100)</f>
        <v/>
      </c>
      <c r="Q1656" s="7" t="n"/>
      <c r="R1656" s="7" t="n"/>
      <c r="U1656">
        <f>IF($C1656="","",IF($AJ1656=1,0,IF($AI1656=1,Settings!$C$6,Settings!$C$7))*100)</f>
        <v/>
      </c>
      <c r="V1656" s="7">
        <f>IF($C1656="","",R1656*U1656/100)</f>
        <v/>
      </c>
      <c r="W1656" s="7">
        <f>IF($C1656="","",R1656-V1656)</f>
        <v/>
      </c>
      <c r="X1656" s="7">
        <f>IF($C1656="","",W1656-K1656)</f>
        <v/>
      </c>
      <c r="AB1656" s="7" t="n"/>
      <c r="AE1656" s="11" t="n"/>
      <c r="AG1656">
        <f>IF($C1656="","",IF(COUNTIF($C$2:$C1656,$C1656)=1,1,0))</f>
        <v/>
      </c>
      <c r="AH1656">
        <f>IF($AG1656=1,SUMPRODUCT(--($AK$2:$AK$6001&lt;$AK1656))+1,"")</f>
        <v/>
      </c>
      <c r="AI1656">
        <f>IF($C1656="","",IF(OR($N1656=TRUE(),$N1656="TRUE"),1,0))</f>
        <v/>
      </c>
      <c r="AJ1656">
        <f>IF($C1656="","",IF($T1656="Yes",1,0))</f>
        <v/>
      </c>
      <c r="AK1656">
        <f>IF($AG1656=1,IFERROR(IF(VALUE($C1656)&lt;100000000,VALUE($C1656),1000000000),IFERROR(IF(VALUE(MID($C1656,2,20))&lt;100000000,VALUE(MID($C1656,2,20)),1000000000),1000000000))+ROW()/100000,"")</f>
        <v/>
      </c>
    </row>
    <row r="1657">
      <c r="D1657" s="11" t="n"/>
      <c r="K1657" s="7">
        <f>IF($C1657="","",J1657*W1657/100)</f>
        <v/>
      </c>
      <c r="Q1657" s="7" t="n"/>
      <c r="R1657" s="7" t="n"/>
      <c r="U1657">
        <f>IF($C1657="","",IF($AJ1657=1,0,IF($AI1657=1,Settings!$C$6,Settings!$C$7))*100)</f>
        <v/>
      </c>
      <c r="V1657" s="7">
        <f>IF($C1657="","",R1657*U1657/100)</f>
        <v/>
      </c>
      <c r="W1657" s="7">
        <f>IF($C1657="","",R1657-V1657)</f>
        <v/>
      </c>
      <c r="X1657" s="7">
        <f>IF($C1657="","",W1657-K1657)</f>
        <v/>
      </c>
      <c r="AB1657" s="7" t="n"/>
      <c r="AE1657" s="11" t="n"/>
      <c r="AG1657">
        <f>IF($C1657="","",IF(COUNTIF($C$2:$C1657,$C1657)=1,1,0))</f>
        <v/>
      </c>
      <c r="AH1657">
        <f>IF($AG1657=1,SUMPRODUCT(--($AK$2:$AK$6001&lt;$AK1657))+1,"")</f>
        <v/>
      </c>
      <c r="AI1657">
        <f>IF($C1657="","",IF(OR($N1657=TRUE(),$N1657="TRUE"),1,0))</f>
        <v/>
      </c>
      <c r="AJ1657">
        <f>IF($C1657="","",IF($T1657="Yes",1,0))</f>
        <v/>
      </c>
      <c r="AK1657">
        <f>IF($AG1657=1,IFERROR(IF(VALUE($C1657)&lt;100000000,VALUE($C1657),1000000000),IFERROR(IF(VALUE(MID($C1657,2,20))&lt;100000000,VALUE(MID($C1657,2,20)),1000000000),1000000000))+ROW()/100000,"")</f>
        <v/>
      </c>
    </row>
    <row r="1658">
      <c r="D1658" s="11" t="n"/>
      <c r="K1658" s="7">
        <f>IF($C1658="","",J1658*W1658/100)</f>
        <v/>
      </c>
      <c r="Q1658" s="7" t="n"/>
      <c r="R1658" s="7" t="n"/>
      <c r="U1658">
        <f>IF($C1658="","",IF($AJ1658=1,0,IF($AI1658=1,Settings!$C$6,Settings!$C$7))*100)</f>
        <v/>
      </c>
      <c r="V1658" s="7">
        <f>IF($C1658="","",R1658*U1658/100)</f>
        <v/>
      </c>
      <c r="W1658" s="7">
        <f>IF($C1658="","",R1658-V1658)</f>
        <v/>
      </c>
      <c r="X1658" s="7">
        <f>IF($C1658="","",W1658-K1658)</f>
        <v/>
      </c>
      <c r="AB1658" s="7" t="n"/>
      <c r="AE1658" s="11" t="n"/>
      <c r="AG1658">
        <f>IF($C1658="","",IF(COUNTIF($C$2:$C1658,$C1658)=1,1,0))</f>
        <v/>
      </c>
      <c r="AH1658">
        <f>IF($AG1658=1,SUMPRODUCT(--($AK$2:$AK$6001&lt;$AK1658))+1,"")</f>
        <v/>
      </c>
      <c r="AI1658">
        <f>IF($C1658="","",IF(OR($N1658=TRUE(),$N1658="TRUE"),1,0))</f>
        <v/>
      </c>
      <c r="AJ1658">
        <f>IF($C1658="","",IF($T1658="Yes",1,0))</f>
        <v/>
      </c>
      <c r="AK1658">
        <f>IF($AG1658=1,IFERROR(IF(VALUE($C1658)&lt;100000000,VALUE($C1658),1000000000),IFERROR(IF(VALUE(MID($C1658,2,20))&lt;100000000,VALUE(MID($C1658,2,20)),1000000000),1000000000))+ROW()/100000,"")</f>
        <v/>
      </c>
    </row>
    <row r="1659">
      <c r="D1659" s="11" t="n"/>
      <c r="K1659" s="7">
        <f>IF($C1659="","",J1659*W1659/100)</f>
        <v/>
      </c>
      <c r="Q1659" s="7" t="n"/>
      <c r="R1659" s="7" t="n"/>
      <c r="U1659">
        <f>IF($C1659="","",IF($AJ1659=1,0,IF($AI1659=1,Settings!$C$6,Settings!$C$7))*100)</f>
        <v/>
      </c>
      <c r="V1659" s="7">
        <f>IF($C1659="","",R1659*U1659/100)</f>
        <v/>
      </c>
      <c r="W1659" s="7">
        <f>IF($C1659="","",R1659-V1659)</f>
        <v/>
      </c>
      <c r="X1659" s="7">
        <f>IF($C1659="","",W1659-K1659)</f>
        <v/>
      </c>
      <c r="AB1659" s="7" t="n"/>
      <c r="AE1659" s="11" t="n"/>
      <c r="AG1659">
        <f>IF($C1659="","",IF(COUNTIF($C$2:$C1659,$C1659)=1,1,0))</f>
        <v/>
      </c>
      <c r="AH1659">
        <f>IF($AG1659=1,SUMPRODUCT(--($AK$2:$AK$6001&lt;$AK1659))+1,"")</f>
        <v/>
      </c>
      <c r="AI1659">
        <f>IF($C1659="","",IF(OR($N1659=TRUE(),$N1659="TRUE"),1,0))</f>
        <v/>
      </c>
      <c r="AJ1659">
        <f>IF($C1659="","",IF($T1659="Yes",1,0))</f>
        <v/>
      </c>
      <c r="AK1659">
        <f>IF($AG1659=1,IFERROR(IF(VALUE($C1659)&lt;100000000,VALUE($C1659),1000000000),IFERROR(IF(VALUE(MID($C1659,2,20))&lt;100000000,VALUE(MID($C1659,2,20)),1000000000),1000000000))+ROW()/100000,"")</f>
        <v/>
      </c>
    </row>
    <row r="1660">
      <c r="D1660" s="11" t="n"/>
      <c r="K1660" s="7">
        <f>IF($C1660="","",J1660*W1660/100)</f>
        <v/>
      </c>
      <c r="Q1660" s="7" t="n"/>
      <c r="R1660" s="7" t="n"/>
      <c r="U1660">
        <f>IF($C1660="","",IF($AJ1660=1,0,IF($AI1660=1,Settings!$C$6,Settings!$C$7))*100)</f>
        <v/>
      </c>
      <c r="V1660" s="7">
        <f>IF($C1660="","",R1660*U1660/100)</f>
        <v/>
      </c>
      <c r="W1660" s="7">
        <f>IF($C1660="","",R1660-V1660)</f>
        <v/>
      </c>
      <c r="X1660" s="7">
        <f>IF($C1660="","",W1660-K1660)</f>
        <v/>
      </c>
      <c r="AB1660" s="7" t="n"/>
      <c r="AE1660" s="11" t="n"/>
      <c r="AG1660">
        <f>IF($C1660="","",IF(COUNTIF($C$2:$C1660,$C1660)=1,1,0))</f>
        <v/>
      </c>
      <c r="AH1660">
        <f>IF($AG1660=1,SUMPRODUCT(--($AK$2:$AK$6001&lt;$AK1660))+1,"")</f>
        <v/>
      </c>
      <c r="AI1660">
        <f>IF($C1660="","",IF(OR($N1660=TRUE(),$N1660="TRUE"),1,0))</f>
        <v/>
      </c>
      <c r="AJ1660">
        <f>IF($C1660="","",IF($T1660="Yes",1,0))</f>
        <v/>
      </c>
      <c r="AK1660">
        <f>IF($AG1660=1,IFERROR(IF(VALUE($C1660)&lt;100000000,VALUE($C1660),1000000000),IFERROR(IF(VALUE(MID($C1660,2,20))&lt;100000000,VALUE(MID($C1660,2,20)),1000000000),1000000000))+ROW()/100000,"")</f>
        <v/>
      </c>
    </row>
    <row r="1661">
      <c r="D1661" s="11" t="n"/>
      <c r="K1661" s="7">
        <f>IF($C1661="","",J1661*W1661/100)</f>
        <v/>
      </c>
      <c r="Q1661" s="7" t="n"/>
      <c r="R1661" s="7" t="n"/>
      <c r="U1661">
        <f>IF($C1661="","",IF($AJ1661=1,0,IF($AI1661=1,Settings!$C$6,Settings!$C$7))*100)</f>
        <v/>
      </c>
      <c r="V1661" s="7">
        <f>IF($C1661="","",R1661*U1661/100)</f>
        <v/>
      </c>
      <c r="W1661" s="7">
        <f>IF($C1661="","",R1661-V1661)</f>
        <v/>
      </c>
      <c r="X1661" s="7">
        <f>IF($C1661="","",W1661-K1661)</f>
        <v/>
      </c>
      <c r="AB1661" s="7" t="n"/>
      <c r="AE1661" s="11" t="n"/>
      <c r="AG1661">
        <f>IF($C1661="","",IF(COUNTIF($C$2:$C1661,$C1661)=1,1,0))</f>
        <v/>
      </c>
      <c r="AH1661">
        <f>IF($AG1661=1,SUMPRODUCT(--($AK$2:$AK$6001&lt;$AK1661))+1,"")</f>
        <v/>
      </c>
      <c r="AI1661">
        <f>IF($C1661="","",IF(OR($N1661=TRUE(),$N1661="TRUE"),1,0))</f>
        <v/>
      </c>
      <c r="AJ1661">
        <f>IF($C1661="","",IF($T1661="Yes",1,0))</f>
        <v/>
      </c>
      <c r="AK1661">
        <f>IF($AG1661=1,IFERROR(IF(VALUE($C1661)&lt;100000000,VALUE($C1661),1000000000),IFERROR(IF(VALUE(MID($C1661,2,20))&lt;100000000,VALUE(MID($C1661,2,20)),1000000000),1000000000))+ROW()/100000,"")</f>
        <v/>
      </c>
    </row>
    <row r="1662">
      <c r="D1662" s="11" t="n"/>
      <c r="K1662" s="7">
        <f>IF($C1662="","",J1662*W1662/100)</f>
        <v/>
      </c>
      <c r="Q1662" s="7" t="n"/>
      <c r="R1662" s="7" t="n"/>
      <c r="U1662">
        <f>IF($C1662="","",IF($AJ1662=1,0,IF($AI1662=1,Settings!$C$6,Settings!$C$7))*100)</f>
        <v/>
      </c>
      <c r="V1662" s="7">
        <f>IF($C1662="","",R1662*U1662/100)</f>
        <v/>
      </c>
      <c r="W1662" s="7">
        <f>IF($C1662="","",R1662-V1662)</f>
        <v/>
      </c>
      <c r="X1662" s="7">
        <f>IF($C1662="","",W1662-K1662)</f>
        <v/>
      </c>
      <c r="AB1662" s="7" t="n"/>
      <c r="AE1662" s="11" t="n"/>
      <c r="AG1662">
        <f>IF($C1662="","",IF(COUNTIF($C$2:$C1662,$C1662)=1,1,0))</f>
        <v/>
      </c>
      <c r="AH1662">
        <f>IF($AG1662=1,SUMPRODUCT(--($AK$2:$AK$6001&lt;$AK1662))+1,"")</f>
        <v/>
      </c>
      <c r="AI1662">
        <f>IF($C1662="","",IF(OR($N1662=TRUE(),$N1662="TRUE"),1,0))</f>
        <v/>
      </c>
      <c r="AJ1662">
        <f>IF($C1662="","",IF($T1662="Yes",1,0))</f>
        <v/>
      </c>
      <c r="AK1662">
        <f>IF($AG1662=1,IFERROR(IF(VALUE($C1662)&lt;100000000,VALUE($C1662),1000000000),IFERROR(IF(VALUE(MID($C1662,2,20))&lt;100000000,VALUE(MID($C1662,2,20)),1000000000),1000000000))+ROW()/100000,"")</f>
        <v/>
      </c>
    </row>
    <row r="1663">
      <c r="D1663" s="11" t="n"/>
      <c r="K1663" s="7">
        <f>IF($C1663="","",J1663*W1663/100)</f>
        <v/>
      </c>
      <c r="Q1663" s="7" t="n"/>
      <c r="R1663" s="7" t="n"/>
      <c r="U1663">
        <f>IF($C1663="","",IF($AJ1663=1,0,IF($AI1663=1,Settings!$C$6,Settings!$C$7))*100)</f>
        <v/>
      </c>
      <c r="V1663" s="7">
        <f>IF($C1663="","",R1663*U1663/100)</f>
        <v/>
      </c>
      <c r="W1663" s="7">
        <f>IF($C1663="","",R1663-V1663)</f>
        <v/>
      </c>
      <c r="X1663" s="7">
        <f>IF($C1663="","",W1663-K1663)</f>
        <v/>
      </c>
      <c r="AB1663" s="7" t="n"/>
      <c r="AE1663" s="11" t="n"/>
      <c r="AG1663">
        <f>IF($C1663="","",IF(COUNTIF($C$2:$C1663,$C1663)=1,1,0))</f>
        <v/>
      </c>
      <c r="AH1663">
        <f>IF($AG1663=1,SUMPRODUCT(--($AK$2:$AK$6001&lt;$AK1663))+1,"")</f>
        <v/>
      </c>
      <c r="AI1663">
        <f>IF($C1663="","",IF(OR($N1663=TRUE(),$N1663="TRUE"),1,0))</f>
        <v/>
      </c>
      <c r="AJ1663">
        <f>IF($C1663="","",IF($T1663="Yes",1,0))</f>
        <v/>
      </c>
      <c r="AK1663">
        <f>IF($AG1663=1,IFERROR(IF(VALUE($C1663)&lt;100000000,VALUE($C1663),1000000000),IFERROR(IF(VALUE(MID($C1663,2,20))&lt;100000000,VALUE(MID($C1663,2,20)),1000000000),1000000000))+ROW()/100000,"")</f>
        <v/>
      </c>
    </row>
    <row r="1664">
      <c r="D1664" s="11" t="n"/>
      <c r="K1664" s="7">
        <f>IF($C1664="","",J1664*W1664/100)</f>
        <v/>
      </c>
      <c r="Q1664" s="7" t="n"/>
      <c r="R1664" s="7" t="n"/>
      <c r="U1664">
        <f>IF($C1664="","",IF($AJ1664=1,0,IF($AI1664=1,Settings!$C$6,Settings!$C$7))*100)</f>
        <v/>
      </c>
      <c r="V1664" s="7">
        <f>IF($C1664="","",R1664*U1664/100)</f>
        <v/>
      </c>
      <c r="W1664" s="7">
        <f>IF($C1664="","",R1664-V1664)</f>
        <v/>
      </c>
      <c r="X1664" s="7">
        <f>IF($C1664="","",W1664-K1664)</f>
        <v/>
      </c>
      <c r="AB1664" s="7" t="n"/>
      <c r="AE1664" s="11" t="n"/>
      <c r="AG1664">
        <f>IF($C1664="","",IF(COUNTIF($C$2:$C1664,$C1664)=1,1,0))</f>
        <v/>
      </c>
      <c r="AH1664">
        <f>IF($AG1664=1,SUMPRODUCT(--($AK$2:$AK$6001&lt;$AK1664))+1,"")</f>
        <v/>
      </c>
      <c r="AI1664">
        <f>IF($C1664="","",IF(OR($N1664=TRUE(),$N1664="TRUE"),1,0))</f>
        <v/>
      </c>
      <c r="AJ1664">
        <f>IF($C1664="","",IF($T1664="Yes",1,0))</f>
        <v/>
      </c>
      <c r="AK1664">
        <f>IF($AG1664=1,IFERROR(IF(VALUE($C1664)&lt;100000000,VALUE($C1664),1000000000),IFERROR(IF(VALUE(MID($C1664,2,20))&lt;100000000,VALUE(MID($C1664,2,20)),1000000000),1000000000))+ROW()/100000,"")</f>
        <v/>
      </c>
    </row>
    <row r="1665">
      <c r="D1665" s="11" t="n"/>
      <c r="K1665" s="7">
        <f>IF($C1665="","",J1665*W1665/100)</f>
        <v/>
      </c>
      <c r="Q1665" s="7" t="n"/>
      <c r="R1665" s="7" t="n"/>
      <c r="U1665">
        <f>IF($C1665="","",IF($AJ1665=1,0,IF($AI1665=1,Settings!$C$6,Settings!$C$7))*100)</f>
        <v/>
      </c>
      <c r="V1665" s="7">
        <f>IF($C1665="","",R1665*U1665/100)</f>
        <v/>
      </c>
      <c r="W1665" s="7">
        <f>IF($C1665="","",R1665-V1665)</f>
        <v/>
      </c>
      <c r="X1665" s="7">
        <f>IF($C1665="","",W1665-K1665)</f>
        <v/>
      </c>
      <c r="AB1665" s="7" t="n"/>
      <c r="AE1665" s="11" t="n"/>
      <c r="AG1665">
        <f>IF($C1665="","",IF(COUNTIF($C$2:$C1665,$C1665)=1,1,0))</f>
        <v/>
      </c>
      <c r="AH1665">
        <f>IF($AG1665=1,SUMPRODUCT(--($AK$2:$AK$6001&lt;$AK1665))+1,"")</f>
        <v/>
      </c>
      <c r="AI1665">
        <f>IF($C1665="","",IF(OR($N1665=TRUE(),$N1665="TRUE"),1,0))</f>
        <v/>
      </c>
      <c r="AJ1665">
        <f>IF($C1665="","",IF($T1665="Yes",1,0))</f>
        <v/>
      </c>
      <c r="AK1665">
        <f>IF($AG1665=1,IFERROR(IF(VALUE($C1665)&lt;100000000,VALUE($C1665),1000000000),IFERROR(IF(VALUE(MID($C1665,2,20))&lt;100000000,VALUE(MID($C1665,2,20)),1000000000),1000000000))+ROW()/100000,"")</f>
        <v/>
      </c>
    </row>
    <row r="1666">
      <c r="D1666" s="11" t="n"/>
      <c r="K1666" s="7">
        <f>IF($C1666="","",J1666*W1666/100)</f>
        <v/>
      </c>
      <c r="Q1666" s="7" t="n"/>
      <c r="R1666" s="7" t="n"/>
      <c r="U1666">
        <f>IF($C1666="","",IF($AJ1666=1,0,IF($AI1666=1,Settings!$C$6,Settings!$C$7))*100)</f>
        <v/>
      </c>
      <c r="V1666" s="7">
        <f>IF($C1666="","",R1666*U1666/100)</f>
        <v/>
      </c>
      <c r="W1666" s="7">
        <f>IF($C1666="","",R1666-V1666)</f>
        <v/>
      </c>
      <c r="X1666" s="7">
        <f>IF($C1666="","",W1666-K1666)</f>
        <v/>
      </c>
      <c r="AB1666" s="7" t="n"/>
      <c r="AE1666" s="11" t="n"/>
      <c r="AG1666">
        <f>IF($C1666="","",IF(COUNTIF($C$2:$C1666,$C1666)=1,1,0))</f>
        <v/>
      </c>
      <c r="AH1666">
        <f>IF($AG1666=1,SUMPRODUCT(--($AK$2:$AK$6001&lt;$AK1666))+1,"")</f>
        <v/>
      </c>
      <c r="AI1666">
        <f>IF($C1666="","",IF(OR($N1666=TRUE(),$N1666="TRUE"),1,0))</f>
        <v/>
      </c>
      <c r="AJ1666">
        <f>IF($C1666="","",IF($T1666="Yes",1,0))</f>
        <v/>
      </c>
      <c r="AK1666">
        <f>IF($AG1666=1,IFERROR(IF(VALUE($C1666)&lt;100000000,VALUE($C1666),1000000000),IFERROR(IF(VALUE(MID($C1666,2,20))&lt;100000000,VALUE(MID($C1666,2,20)),1000000000),1000000000))+ROW()/100000,"")</f>
        <v/>
      </c>
    </row>
    <row r="1667">
      <c r="D1667" s="11" t="n"/>
      <c r="K1667" s="7">
        <f>IF($C1667="","",J1667*W1667/100)</f>
        <v/>
      </c>
      <c r="Q1667" s="7" t="n"/>
      <c r="R1667" s="7" t="n"/>
      <c r="U1667">
        <f>IF($C1667="","",IF($AJ1667=1,0,IF($AI1667=1,Settings!$C$6,Settings!$C$7))*100)</f>
        <v/>
      </c>
      <c r="V1667" s="7">
        <f>IF($C1667="","",R1667*U1667/100)</f>
        <v/>
      </c>
      <c r="W1667" s="7">
        <f>IF($C1667="","",R1667-V1667)</f>
        <v/>
      </c>
      <c r="X1667" s="7">
        <f>IF($C1667="","",W1667-K1667)</f>
        <v/>
      </c>
      <c r="AB1667" s="7" t="n"/>
      <c r="AE1667" s="11" t="n"/>
      <c r="AG1667">
        <f>IF($C1667="","",IF(COUNTIF($C$2:$C1667,$C1667)=1,1,0))</f>
        <v/>
      </c>
      <c r="AH1667">
        <f>IF($AG1667=1,SUMPRODUCT(--($AK$2:$AK$6001&lt;$AK1667))+1,"")</f>
        <v/>
      </c>
      <c r="AI1667">
        <f>IF($C1667="","",IF(OR($N1667=TRUE(),$N1667="TRUE"),1,0))</f>
        <v/>
      </c>
      <c r="AJ1667">
        <f>IF($C1667="","",IF($T1667="Yes",1,0))</f>
        <v/>
      </c>
      <c r="AK1667">
        <f>IF($AG1667=1,IFERROR(IF(VALUE($C1667)&lt;100000000,VALUE($C1667),1000000000),IFERROR(IF(VALUE(MID($C1667,2,20))&lt;100000000,VALUE(MID($C1667,2,20)),1000000000),1000000000))+ROW()/100000,"")</f>
        <v/>
      </c>
    </row>
    <row r="1668">
      <c r="D1668" s="11" t="n"/>
      <c r="K1668" s="7">
        <f>IF($C1668="","",J1668*W1668/100)</f>
        <v/>
      </c>
      <c r="Q1668" s="7" t="n"/>
      <c r="R1668" s="7" t="n"/>
      <c r="U1668">
        <f>IF($C1668="","",IF($AJ1668=1,0,IF($AI1668=1,Settings!$C$6,Settings!$C$7))*100)</f>
        <v/>
      </c>
      <c r="V1668" s="7">
        <f>IF($C1668="","",R1668*U1668/100)</f>
        <v/>
      </c>
      <c r="W1668" s="7">
        <f>IF($C1668="","",R1668-V1668)</f>
        <v/>
      </c>
      <c r="X1668" s="7">
        <f>IF($C1668="","",W1668-K1668)</f>
        <v/>
      </c>
      <c r="AB1668" s="7" t="n"/>
      <c r="AE1668" s="11" t="n"/>
      <c r="AG1668">
        <f>IF($C1668="","",IF(COUNTIF($C$2:$C1668,$C1668)=1,1,0))</f>
        <v/>
      </c>
      <c r="AH1668">
        <f>IF($AG1668=1,SUMPRODUCT(--($AK$2:$AK$6001&lt;$AK1668))+1,"")</f>
        <v/>
      </c>
      <c r="AI1668">
        <f>IF($C1668="","",IF(OR($N1668=TRUE(),$N1668="TRUE"),1,0))</f>
        <v/>
      </c>
      <c r="AJ1668">
        <f>IF($C1668="","",IF($T1668="Yes",1,0))</f>
        <v/>
      </c>
      <c r="AK1668">
        <f>IF($AG1668=1,IFERROR(IF(VALUE($C1668)&lt;100000000,VALUE($C1668),1000000000),IFERROR(IF(VALUE(MID($C1668,2,20))&lt;100000000,VALUE(MID($C1668,2,20)),1000000000),1000000000))+ROW()/100000,"")</f>
        <v/>
      </c>
    </row>
    <row r="1669">
      <c r="D1669" s="11" t="n"/>
      <c r="K1669" s="7">
        <f>IF($C1669="","",J1669*W1669/100)</f>
        <v/>
      </c>
      <c r="Q1669" s="7" t="n"/>
      <c r="R1669" s="7" t="n"/>
      <c r="U1669">
        <f>IF($C1669="","",IF($AJ1669=1,0,IF($AI1669=1,Settings!$C$6,Settings!$C$7))*100)</f>
        <v/>
      </c>
      <c r="V1669" s="7">
        <f>IF($C1669="","",R1669*U1669/100)</f>
        <v/>
      </c>
      <c r="W1669" s="7">
        <f>IF($C1669="","",R1669-V1669)</f>
        <v/>
      </c>
      <c r="X1669" s="7">
        <f>IF($C1669="","",W1669-K1669)</f>
        <v/>
      </c>
      <c r="AB1669" s="7" t="n"/>
      <c r="AE1669" s="11" t="n"/>
      <c r="AG1669">
        <f>IF($C1669="","",IF(COUNTIF($C$2:$C1669,$C1669)=1,1,0))</f>
        <v/>
      </c>
      <c r="AH1669">
        <f>IF($AG1669=1,SUMPRODUCT(--($AK$2:$AK$6001&lt;$AK1669))+1,"")</f>
        <v/>
      </c>
      <c r="AI1669">
        <f>IF($C1669="","",IF(OR($N1669=TRUE(),$N1669="TRUE"),1,0))</f>
        <v/>
      </c>
      <c r="AJ1669">
        <f>IF($C1669="","",IF($T1669="Yes",1,0))</f>
        <v/>
      </c>
      <c r="AK1669">
        <f>IF($AG1669=1,IFERROR(IF(VALUE($C1669)&lt;100000000,VALUE($C1669),1000000000),IFERROR(IF(VALUE(MID($C1669,2,20))&lt;100000000,VALUE(MID($C1669,2,20)),1000000000),1000000000))+ROW()/100000,"")</f>
        <v/>
      </c>
    </row>
    <row r="1670">
      <c r="D1670" s="11" t="n"/>
      <c r="K1670" s="7">
        <f>IF($C1670="","",J1670*W1670/100)</f>
        <v/>
      </c>
      <c r="Q1670" s="7" t="n"/>
      <c r="R1670" s="7" t="n"/>
      <c r="U1670">
        <f>IF($C1670="","",IF($AJ1670=1,0,IF($AI1670=1,Settings!$C$6,Settings!$C$7))*100)</f>
        <v/>
      </c>
      <c r="V1670" s="7">
        <f>IF($C1670="","",R1670*U1670/100)</f>
        <v/>
      </c>
      <c r="W1670" s="7">
        <f>IF($C1670="","",R1670-V1670)</f>
        <v/>
      </c>
      <c r="X1670" s="7">
        <f>IF($C1670="","",W1670-K1670)</f>
        <v/>
      </c>
      <c r="AB1670" s="7" t="n"/>
      <c r="AE1670" s="11" t="n"/>
      <c r="AG1670">
        <f>IF($C1670="","",IF(COUNTIF($C$2:$C1670,$C1670)=1,1,0))</f>
        <v/>
      </c>
      <c r="AH1670">
        <f>IF($AG1670=1,SUMPRODUCT(--($AK$2:$AK$6001&lt;$AK1670))+1,"")</f>
        <v/>
      </c>
      <c r="AI1670">
        <f>IF($C1670="","",IF(OR($N1670=TRUE(),$N1670="TRUE"),1,0))</f>
        <v/>
      </c>
      <c r="AJ1670">
        <f>IF($C1670="","",IF($T1670="Yes",1,0))</f>
        <v/>
      </c>
      <c r="AK1670">
        <f>IF($AG1670=1,IFERROR(IF(VALUE($C1670)&lt;100000000,VALUE($C1670),1000000000),IFERROR(IF(VALUE(MID($C1670,2,20))&lt;100000000,VALUE(MID($C1670,2,20)),1000000000),1000000000))+ROW()/100000,"")</f>
        <v/>
      </c>
    </row>
    <row r="1671">
      <c r="D1671" s="11" t="n"/>
      <c r="K1671" s="7">
        <f>IF($C1671="","",J1671*W1671/100)</f>
        <v/>
      </c>
      <c r="Q1671" s="7" t="n"/>
      <c r="R1671" s="7" t="n"/>
      <c r="U1671">
        <f>IF($C1671="","",IF($AJ1671=1,0,IF($AI1671=1,Settings!$C$6,Settings!$C$7))*100)</f>
        <v/>
      </c>
      <c r="V1671" s="7">
        <f>IF($C1671="","",R1671*U1671/100)</f>
        <v/>
      </c>
      <c r="W1671" s="7">
        <f>IF($C1671="","",R1671-V1671)</f>
        <v/>
      </c>
      <c r="X1671" s="7">
        <f>IF($C1671="","",W1671-K1671)</f>
        <v/>
      </c>
      <c r="AB1671" s="7" t="n"/>
      <c r="AE1671" s="11" t="n"/>
      <c r="AG1671">
        <f>IF($C1671="","",IF(COUNTIF($C$2:$C1671,$C1671)=1,1,0))</f>
        <v/>
      </c>
      <c r="AH1671">
        <f>IF($AG1671=1,SUMPRODUCT(--($AK$2:$AK$6001&lt;$AK1671))+1,"")</f>
        <v/>
      </c>
      <c r="AI1671">
        <f>IF($C1671="","",IF(OR($N1671=TRUE(),$N1671="TRUE"),1,0))</f>
        <v/>
      </c>
      <c r="AJ1671">
        <f>IF($C1671="","",IF($T1671="Yes",1,0))</f>
        <v/>
      </c>
      <c r="AK1671">
        <f>IF($AG1671=1,IFERROR(IF(VALUE($C1671)&lt;100000000,VALUE($C1671),1000000000),IFERROR(IF(VALUE(MID($C1671,2,20))&lt;100000000,VALUE(MID($C1671,2,20)),1000000000),1000000000))+ROW()/100000,"")</f>
        <v/>
      </c>
    </row>
    <row r="1672">
      <c r="D1672" s="11" t="n"/>
      <c r="K1672" s="7">
        <f>IF($C1672="","",J1672*W1672/100)</f>
        <v/>
      </c>
      <c r="Q1672" s="7" t="n"/>
      <c r="R1672" s="7" t="n"/>
      <c r="U1672">
        <f>IF($C1672="","",IF($AJ1672=1,0,IF($AI1672=1,Settings!$C$6,Settings!$C$7))*100)</f>
        <v/>
      </c>
      <c r="V1672" s="7">
        <f>IF($C1672="","",R1672*U1672/100)</f>
        <v/>
      </c>
      <c r="W1672" s="7">
        <f>IF($C1672="","",R1672-V1672)</f>
        <v/>
      </c>
      <c r="X1672" s="7">
        <f>IF($C1672="","",W1672-K1672)</f>
        <v/>
      </c>
      <c r="AB1672" s="7" t="n"/>
      <c r="AE1672" s="11" t="n"/>
      <c r="AG1672">
        <f>IF($C1672="","",IF(COUNTIF($C$2:$C1672,$C1672)=1,1,0))</f>
        <v/>
      </c>
      <c r="AH1672">
        <f>IF($AG1672=1,SUMPRODUCT(--($AK$2:$AK$6001&lt;$AK1672))+1,"")</f>
        <v/>
      </c>
      <c r="AI1672">
        <f>IF($C1672="","",IF(OR($N1672=TRUE(),$N1672="TRUE"),1,0))</f>
        <v/>
      </c>
      <c r="AJ1672">
        <f>IF($C1672="","",IF($T1672="Yes",1,0))</f>
        <v/>
      </c>
      <c r="AK1672">
        <f>IF($AG1672=1,IFERROR(IF(VALUE($C1672)&lt;100000000,VALUE($C1672),1000000000),IFERROR(IF(VALUE(MID($C1672,2,20))&lt;100000000,VALUE(MID($C1672,2,20)),1000000000),1000000000))+ROW()/100000,"")</f>
        <v/>
      </c>
    </row>
    <row r="1673">
      <c r="D1673" s="11" t="n"/>
      <c r="K1673" s="7">
        <f>IF($C1673="","",J1673*W1673/100)</f>
        <v/>
      </c>
      <c r="Q1673" s="7" t="n"/>
      <c r="R1673" s="7" t="n"/>
      <c r="U1673">
        <f>IF($C1673="","",IF($AJ1673=1,0,IF($AI1673=1,Settings!$C$6,Settings!$C$7))*100)</f>
        <v/>
      </c>
      <c r="V1673" s="7">
        <f>IF($C1673="","",R1673*U1673/100)</f>
        <v/>
      </c>
      <c r="W1673" s="7">
        <f>IF($C1673="","",R1673-V1673)</f>
        <v/>
      </c>
      <c r="X1673" s="7">
        <f>IF($C1673="","",W1673-K1673)</f>
        <v/>
      </c>
      <c r="AB1673" s="7" t="n"/>
      <c r="AE1673" s="11" t="n"/>
      <c r="AG1673">
        <f>IF($C1673="","",IF(COUNTIF($C$2:$C1673,$C1673)=1,1,0))</f>
        <v/>
      </c>
      <c r="AH1673">
        <f>IF($AG1673=1,SUMPRODUCT(--($AK$2:$AK$6001&lt;$AK1673))+1,"")</f>
        <v/>
      </c>
      <c r="AI1673">
        <f>IF($C1673="","",IF(OR($N1673=TRUE(),$N1673="TRUE"),1,0))</f>
        <v/>
      </c>
      <c r="AJ1673">
        <f>IF($C1673="","",IF($T1673="Yes",1,0))</f>
        <v/>
      </c>
      <c r="AK1673">
        <f>IF($AG1673=1,IFERROR(IF(VALUE($C1673)&lt;100000000,VALUE($C1673),1000000000),IFERROR(IF(VALUE(MID($C1673,2,20))&lt;100000000,VALUE(MID($C1673,2,20)),1000000000),1000000000))+ROW()/100000,"")</f>
        <v/>
      </c>
    </row>
    <row r="1674">
      <c r="D1674" s="11" t="n"/>
      <c r="K1674" s="7">
        <f>IF($C1674="","",J1674*W1674/100)</f>
        <v/>
      </c>
      <c r="Q1674" s="7" t="n"/>
      <c r="R1674" s="7" t="n"/>
      <c r="U1674">
        <f>IF($C1674="","",IF($AJ1674=1,0,IF($AI1674=1,Settings!$C$6,Settings!$C$7))*100)</f>
        <v/>
      </c>
      <c r="V1674" s="7">
        <f>IF($C1674="","",R1674*U1674/100)</f>
        <v/>
      </c>
      <c r="W1674" s="7">
        <f>IF($C1674="","",R1674-V1674)</f>
        <v/>
      </c>
      <c r="X1674" s="7">
        <f>IF($C1674="","",W1674-K1674)</f>
        <v/>
      </c>
      <c r="AB1674" s="7" t="n"/>
      <c r="AE1674" s="11" t="n"/>
      <c r="AG1674">
        <f>IF($C1674="","",IF(COUNTIF($C$2:$C1674,$C1674)=1,1,0))</f>
        <v/>
      </c>
      <c r="AH1674">
        <f>IF($AG1674=1,SUMPRODUCT(--($AK$2:$AK$6001&lt;$AK1674))+1,"")</f>
        <v/>
      </c>
      <c r="AI1674">
        <f>IF($C1674="","",IF(OR($N1674=TRUE(),$N1674="TRUE"),1,0))</f>
        <v/>
      </c>
      <c r="AJ1674">
        <f>IF($C1674="","",IF($T1674="Yes",1,0))</f>
        <v/>
      </c>
      <c r="AK1674">
        <f>IF($AG1674=1,IFERROR(IF(VALUE($C1674)&lt;100000000,VALUE($C1674),1000000000),IFERROR(IF(VALUE(MID($C1674,2,20))&lt;100000000,VALUE(MID($C1674,2,20)),1000000000),1000000000))+ROW()/100000,"")</f>
        <v/>
      </c>
    </row>
    <row r="1675">
      <c r="D1675" s="11" t="n"/>
      <c r="K1675" s="7">
        <f>IF($C1675="","",J1675*W1675/100)</f>
        <v/>
      </c>
      <c r="Q1675" s="7" t="n"/>
      <c r="R1675" s="7" t="n"/>
      <c r="U1675">
        <f>IF($C1675="","",IF($AJ1675=1,0,IF($AI1675=1,Settings!$C$6,Settings!$C$7))*100)</f>
        <v/>
      </c>
      <c r="V1675" s="7">
        <f>IF($C1675="","",R1675*U1675/100)</f>
        <v/>
      </c>
      <c r="W1675" s="7">
        <f>IF($C1675="","",R1675-V1675)</f>
        <v/>
      </c>
      <c r="X1675" s="7">
        <f>IF($C1675="","",W1675-K1675)</f>
        <v/>
      </c>
      <c r="AB1675" s="7" t="n"/>
      <c r="AE1675" s="11" t="n"/>
      <c r="AG1675">
        <f>IF($C1675="","",IF(COUNTIF($C$2:$C1675,$C1675)=1,1,0))</f>
        <v/>
      </c>
      <c r="AH1675">
        <f>IF($AG1675=1,SUMPRODUCT(--($AK$2:$AK$6001&lt;$AK1675))+1,"")</f>
        <v/>
      </c>
      <c r="AI1675">
        <f>IF($C1675="","",IF(OR($N1675=TRUE(),$N1675="TRUE"),1,0))</f>
        <v/>
      </c>
      <c r="AJ1675">
        <f>IF($C1675="","",IF($T1675="Yes",1,0))</f>
        <v/>
      </c>
      <c r="AK1675">
        <f>IF($AG1675=1,IFERROR(IF(VALUE($C1675)&lt;100000000,VALUE($C1675),1000000000),IFERROR(IF(VALUE(MID($C1675,2,20))&lt;100000000,VALUE(MID($C1675,2,20)),1000000000),1000000000))+ROW()/100000,"")</f>
        <v/>
      </c>
    </row>
    <row r="1676">
      <c r="D1676" s="11" t="n"/>
      <c r="K1676" s="7">
        <f>IF($C1676="","",J1676*W1676/100)</f>
        <v/>
      </c>
      <c r="Q1676" s="7" t="n"/>
      <c r="R1676" s="7" t="n"/>
      <c r="U1676">
        <f>IF($C1676="","",IF($AJ1676=1,0,IF($AI1676=1,Settings!$C$6,Settings!$C$7))*100)</f>
        <v/>
      </c>
      <c r="V1676" s="7">
        <f>IF($C1676="","",R1676*U1676/100)</f>
        <v/>
      </c>
      <c r="W1676" s="7">
        <f>IF($C1676="","",R1676-V1676)</f>
        <v/>
      </c>
      <c r="X1676" s="7">
        <f>IF($C1676="","",W1676-K1676)</f>
        <v/>
      </c>
      <c r="AB1676" s="7" t="n"/>
      <c r="AE1676" s="11" t="n"/>
      <c r="AG1676">
        <f>IF($C1676="","",IF(COUNTIF($C$2:$C1676,$C1676)=1,1,0))</f>
        <v/>
      </c>
      <c r="AH1676">
        <f>IF($AG1676=1,SUMPRODUCT(--($AK$2:$AK$6001&lt;$AK1676))+1,"")</f>
        <v/>
      </c>
      <c r="AI1676">
        <f>IF($C1676="","",IF(OR($N1676=TRUE(),$N1676="TRUE"),1,0))</f>
        <v/>
      </c>
      <c r="AJ1676">
        <f>IF($C1676="","",IF($T1676="Yes",1,0))</f>
        <v/>
      </c>
      <c r="AK1676">
        <f>IF($AG1676=1,IFERROR(IF(VALUE($C1676)&lt;100000000,VALUE($C1676),1000000000),IFERROR(IF(VALUE(MID($C1676,2,20))&lt;100000000,VALUE(MID($C1676,2,20)),1000000000),1000000000))+ROW()/100000,"")</f>
        <v/>
      </c>
    </row>
    <row r="1677">
      <c r="D1677" s="11" t="n"/>
      <c r="K1677" s="7">
        <f>IF($C1677="","",J1677*W1677/100)</f>
        <v/>
      </c>
      <c r="Q1677" s="7" t="n"/>
      <c r="R1677" s="7" t="n"/>
      <c r="U1677">
        <f>IF($C1677="","",IF($AJ1677=1,0,IF($AI1677=1,Settings!$C$6,Settings!$C$7))*100)</f>
        <v/>
      </c>
      <c r="V1677" s="7">
        <f>IF($C1677="","",R1677*U1677/100)</f>
        <v/>
      </c>
      <c r="W1677" s="7">
        <f>IF($C1677="","",R1677-V1677)</f>
        <v/>
      </c>
      <c r="X1677" s="7">
        <f>IF($C1677="","",W1677-K1677)</f>
        <v/>
      </c>
      <c r="AB1677" s="7" t="n"/>
      <c r="AE1677" s="11" t="n"/>
      <c r="AG1677">
        <f>IF($C1677="","",IF(COUNTIF($C$2:$C1677,$C1677)=1,1,0))</f>
        <v/>
      </c>
      <c r="AH1677">
        <f>IF($AG1677=1,SUMPRODUCT(--($AK$2:$AK$6001&lt;$AK1677))+1,"")</f>
        <v/>
      </c>
      <c r="AI1677">
        <f>IF($C1677="","",IF(OR($N1677=TRUE(),$N1677="TRUE"),1,0))</f>
        <v/>
      </c>
      <c r="AJ1677">
        <f>IF($C1677="","",IF($T1677="Yes",1,0))</f>
        <v/>
      </c>
      <c r="AK1677">
        <f>IF($AG1677=1,IFERROR(IF(VALUE($C1677)&lt;100000000,VALUE($C1677),1000000000),IFERROR(IF(VALUE(MID($C1677,2,20))&lt;100000000,VALUE(MID($C1677,2,20)),1000000000),1000000000))+ROW()/100000,"")</f>
        <v/>
      </c>
    </row>
    <row r="1678">
      <c r="D1678" s="11" t="n"/>
      <c r="K1678" s="7">
        <f>IF($C1678="","",J1678*W1678/100)</f>
        <v/>
      </c>
      <c r="Q1678" s="7" t="n"/>
      <c r="R1678" s="7" t="n"/>
      <c r="U1678">
        <f>IF($C1678="","",IF($AJ1678=1,0,IF($AI1678=1,Settings!$C$6,Settings!$C$7))*100)</f>
        <v/>
      </c>
      <c r="V1678" s="7">
        <f>IF($C1678="","",R1678*U1678/100)</f>
        <v/>
      </c>
      <c r="W1678" s="7">
        <f>IF($C1678="","",R1678-V1678)</f>
        <v/>
      </c>
      <c r="X1678" s="7">
        <f>IF($C1678="","",W1678-K1678)</f>
        <v/>
      </c>
      <c r="AB1678" s="7" t="n"/>
      <c r="AE1678" s="11" t="n"/>
      <c r="AG1678">
        <f>IF($C1678="","",IF(COUNTIF($C$2:$C1678,$C1678)=1,1,0))</f>
        <v/>
      </c>
      <c r="AH1678">
        <f>IF($AG1678=1,SUMPRODUCT(--($AK$2:$AK$6001&lt;$AK1678))+1,"")</f>
        <v/>
      </c>
      <c r="AI1678">
        <f>IF($C1678="","",IF(OR($N1678=TRUE(),$N1678="TRUE"),1,0))</f>
        <v/>
      </c>
      <c r="AJ1678">
        <f>IF($C1678="","",IF($T1678="Yes",1,0))</f>
        <v/>
      </c>
      <c r="AK1678">
        <f>IF($AG1678=1,IFERROR(IF(VALUE($C1678)&lt;100000000,VALUE($C1678),1000000000),IFERROR(IF(VALUE(MID($C1678,2,20))&lt;100000000,VALUE(MID($C1678,2,20)),1000000000),1000000000))+ROW()/100000,"")</f>
        <v/>
      </c>
    </row>
    <row r="1679">
      <c r="D1679" s="11" t="n"/>
      <c r="K1679" s="7">
        <f>IF($C1679="","",J1679*W1679/100)</f>
        <v/>
      </c>
      <c r="Q1679" s="7" t="n"/>
      <c r="R1679" s="7" t="n"/>
      <c r="U1679">
        <f>IF($C1679="","",IF($AJ1679=1,0,IF($AI1679=1,Settings!$C$6,Settings!$C$7))*100)</f>
        <v/>
      </c>
      <c r="V1679" s="7">
        <f>IF($C1679="","",R1679*U1679/100)</f>
        <v/>
      </c>
      <c r="W1679" s="7">
        <f>IF($C1679="","",R1679-V1679)</f>
        <v/>
      </c>
      <c r="X1679" s="7">
        <f>IF($C1679="","",W1679-K1679)</f>
        <v/>
      </c>
      <c r="AB1679" s="7" t="n"/>
      <c r="AE1679" s="11" t="n"/>
      <c r="AG1679">
        <f>IF($C1679="","",IF(COUNTIF($C$2:$C1679,$C1679)=1,1,0))</f>
        <v/>
      </c>
      <c r="AH1679">
        <f>IF($AG1679=1,SUMPRODUCT(--($AK$2:$AK$6001&lt;$AK1679))+1,"")</f>
        <v/>
      </c>
      <c r="AI1679">
        <f>IF($C1679="","",IF(OR($N1679=TRUE(),$N1679="TRUE"),1,0))</f>
        <v/>
      </c>
      <c r="AJ1679">
        <f>IF($C1679="","",IF($T1679="Yes",1,0))</f>
        <v/>
      </c>
      <c r="AK1679">
        <f>IF($AG1679=1,IFERROR(IF(VALUE($C1679)&lt;100000000,VALUE($C1679),1000000000),IFERROR(IF(VALUE(MID($C1679,2,20))&lt;100000000,VALUE(MID($C1679,2,20)),1000000000),1000000000))+ROW()/100000,"")</f>
        <v/>
      </c>
    </row>
    <row r="1680">
      <c r="D1680" s="11" t="n"/>
      <c r="K1680" s="7">
        <f>IF($C1680="","",J1680*W1680/100)</f>
        <v/>
      </c>
      <c r="Q1680" s="7" t="n"/>
      <c r="R1680" s="7" t="n"/>
      <c r="U1680">
        <f>IF($C1680="","",IF($AJ1680=1,0,IF($AI1680=1,Settings!$C$6,Settings!$C$7))*100)</f>
        <v/>
      </c>
      <c r="V1680" s="7">
        <f>IF($C1680="","",R1680*U1680/100)</f>
        <v/>
      </c>
      <c r="W1680" s="7">
        <f>IF($C1680="","",R1680-V1680)</f>
        <v/>
      </c>
      <c r="X1680" s="7">
        <f>IF($C1680="","",W1680-K1680)</f>
        <v/>
      </c>
      <c r="AB1680" s="7" t="n"/>
      <c r="AE1680" s="11" t="n"/>
      <c r="AG1680">
        <f>IF($C1680="","",IF(COUNTIF($C$2:$C1680,$C1680)=1,1,0))</f>
        <v/>
      </c>
      <c r="AH1680">
        <f>IF($AG1680=1,SUMPRODUCT(--($AK$2:$AK$6001&lt;$AK1680))+1,"")</f>
        <v/>
      </c>
      <c r="AI1680">
        <f>IF($C1680="","",IF(OR($N1680=TRUE(),$N1680="TRUE"),1,0))</f>
        <v/>
      </c>
      <c r="AJ1680">
        <f>IF($C1680="","",IF($T1680="Yes",1,0))</f>
        <v/>
      </c>
      <c r="AK1680">
        <f>IF($AG1680=1,IFERROR(IF(VALUE($C1680)&lt;100000000,VALUE($C1680),1000000000),IFERROR(IF(VALUE(MID($C1680,2,20))&lt;100000000,VALUE(MID($C1680,2,20)),1000000000),1000000000))+ROW()/100000,"")</f>
        <v/>
      </c>
    </row>
    <row r="1681">
      <c r="D1681" s="11" t="n"/>
      <c r="K1681" s="7">
        <f>IF($C1681="","",J1681*W1681/100)</f>
        <v/>
      </c>
      <c r="Q1681" s="7" t="n"/>
      <c r="R1681" s="7" t="n"/>
      <c r="U1681">
        <f>IF($C1681="","",IF($AJ1681=1,0,IF($AI1681=1,Settings!$C$6,Settings!$C$7))*100)</f>
        <v/>
      </c>
      <c r="V1681" s="7">
        <f>IF($C1681="","",R1681*U1681/100)</f>
        <v/>
      </c>
      <c r="W1681" s="7">
        <f>IF($C1681="","",R1681-V1681)</f>
        <v/>
      </c>
      <c r="X1681" s="7">
        <f>IF($C1681="","",W1681-K1681)</f>
        <v/>
      </c>
      <c r="AB1681" s="7" t="n"/>
      <c r="AE1681" s="11" t="n"/>
      <c r="AG1681">
        <f>IF($C1681="","",IF(COUNTIF($C$2:$C1681,$C1681)=1,1,0))</f>
        <v/>
      </c>
      <c r="AH1681">
        <f>IF($AG1681=1,SUMPRODUCT(--($AK$2:$AK$6001&lt;$AK1681))+1,"")</f>
        <v/>
      </c>
      <c r="AI1681">
        <f>IF($C1681="","",IF(OR($N1681=TRUE(),$N1681="TRUE"),1,0))</f>
        <v/>
      </c>
      <c r="AJ1681">
        <f>IF($C1681="","",IF($T1681="Yes",1,0))</f>
        <v/>
      </c>
      <c r="AK1681">
        <f>IF($AG1681=1,IFERROR(IF(VALUE($C1681)&lt;100000000,VALUE($C1681),1000000000),IFERROR(IF(VALUE(MID($C1681,2,20))&lt;100000000,VALUE(MID($C1681,2,20)),1000000000),1000000000))+ROW()/100000,"")</f>
        <v/>
      </c>
    </row>
    <row r="1682">
      <c r="D1682" s="11" t="n"/>
      <c r="K1682" s="7">
        <f>IF($C1682="","",J1682*W1682/100)</f>
        <v/>
      </c>
      <c r="Q1682" s="7" t="n"/>
      <c r="R1682" s="7" t="n"/>
      <c r="U1682">
        <f>IF($C1682="","",IF($AJ1682=1,0,IF($AI1682=1,Settings!$C$6,Settings!$C$7))*100)</f>
        <v/>
      </c>
      <c r="V1682" s="7">
        <f>IF($C1682="","",R1682*U1682/100)</f>
        <v/>
      </c>
      <c r="W1682" s="7">
        <f>IF($C1682="","",R1682-V1682)</f>
        <v/>
      </c>
      <c r="X1682" s="7">
        <f>IF($C1682="","",W1682-K1682)</f>
        <v/>
      </c>
      <c r="AB1682" s="7" t="n"/>
      <c r="AE1682" s="11" t="n"/>
      <c r="AG1682">
        <f>IF($C1682="","",IF(COUNTIF($C$2:$C1682,$C1682)=1,1,0))</f>
        <v/>
      </c>
      <c r="AH1682">
        <f>IF($AG1682=1,SUMPRODUCT(--($AK$2:$AK$6001&lt;$AK1682))+1,"")</f>
        <v/>
      </c>
      <c r="AI1682">
        <f>IF($C1682="","",IF(OR($N1682=TRUE(),$N1682="TRUE"),1,0))</f>
        <v/>
      </c>
      <c r="AJ1682">
        <f>IF($C1682="","",IF($T1682="Yes",1,0))</f>
        <v/>
      </c>
      <c r="AK1682">
        <f>IF($AG1682=1,IFERROR(IF(VALUE($C1682)&lt;100000000,VALUE($C1682),1000000000),IFERROR(IF(VALUE(MID($C1682,2,20))&lt;100000000,VALUE(MID($C1682,2,20)),1000000000),1000000000))+ROW()/100000,"")</f>
        <v/>
      </c>
    </row>
    <row r="1683">
      <c r="D1683" s="11" t="n"/>
      <c r="K1683" s="7">
        <f>IF($C1683="","",J1683*W1683/100)</f>
        <v/>
      </c>
      <c r="Q1683" s="7" t="n"/>
      <c r="R1683" s="7" t="n"/>
      <c r="U1683">
        <f>IF($C1683="","",IF($AJ1683=1,0,IF($AI1683=1,Settings!$C$6,Settings!$C$7))*100)</f>
        <v/>
      </c>
      <c r="V1683" s="7">
        <f>IF($C1683="","",R1683*U1683/100)</f>
        <v/>
      </c>
      <c r="W1683" s="7">
        <f>IF($C1683="","",R1683-V1683)</f>
        <v/>
      </c>
      <c r="X1683" s="7">
        <f>IF($C1683="","",W1683-K1683)</f>
        <v/>
      </c>
      <c r="AB1683" s="7" t="n"/>
      <c r="AE1683" s="11" t="n"/>
      <c r="AG1683">
        <f>IF($C1683="","",IF(COUNTIF($C$2:$C1683,$C1683)=1,1,0))</f>
        <v/>
      </c>
      <c r="AH1683">
        <f>IF($AG1683=1,SUMPRODUCT(--($AK$2:$AK$6001&lt;$AK1683))+1,"")</f>
        <v/>
      </c>
      <c r="AI1683">
        <f>IF($C1683="","",IF(OR($N1683=TRUE(),$N1683="TRUE"),1,0))</f>
        <v/>
      </c>
      <c r="AJ1683">
        <f>IF($C1683="","",IF($T1683="Yes",1,0))</f>
        <v/>
      </c>
      <c r="AK1683">
        <f>IF($AG1683=1,IFERROR(IF(VALUE($C1683)&lt;100000000,VALUE($C1683),1000000000),IFERROR(IF(VALUE(MID($C1683,2,20))&lt;100000000,VALUE(MID($C1683,2,20)),1000000000),1000000000))+ROW()/100000,"")</f>
        <v/>
      </c>
    </row>
    <row r="1684">
      <c r="D1684" s="11" t="n"/>
      <c r="K1684" s="7">
        <f>IF($C1684="","",J1684*W1684/100)</f>
        <v/>
      </c>
      <c r="Q1684" s="7" t="n"/>
      <c r="R1684" s="7" t="n"/>
      <c r="U1684">
        <f>IF($C1684="","",IF($AJ1684=1,0,IF($AI1684=1,Settings!$C$6,Settings!$C$7))*100)</f>
        <v/>
      </c>
      <c r="V1684" s="7">
        <f>IF($C1684="","",R1684*U1684/100)</f>
        <v/>
      </c>
      <c r="W1684" s="7">
        <f>IF($C1684="","",R1684-V1684)</f>
        <v/>
      </c>
      <c r="X1684" s="7">
        <f>IF($C1684="","",W1684-K1684)</f>
        <v/>
      </c>
      <c r="AB1684" s="7" t="n"/>
      <c r="AE1684" s="11" t="n"/>
      <c r="AG1684">
        <f>IF($C1684="","",IF(COUNTIF($C$2:$C1684,$C1684)=1,1,0))</f>
        <v/>
      </c>
      <c r="AH1684">
        <f>IF($AG1684=1,SUMPRODUCT(--($AK$2:$AK$6001&lt;$AK1684))+1,"")</f>
        <v/>
      </c>
      <c r="AI1684">
        <f>IF($C1684="","",IF(OR($N1684=TRUE(),$N1684="TRUE"),1,0))</f>
        <v/>
      </c>
      <c r="AJ1684">
        <f>IF($C1684="","",IF($T1684="Yes",1,0))</f>
        <v/>
      </c>
      <c r="AK1684">
        <f>IF($AG1684=1,IFERROR(IF(VALUE($C1684)&lt;100000000,VALUE($C1684),1000000000),IFERROR(IF(VALUE(MID($C1684,2,20))&lt;100000000,VALUE(MID($C1684,2,20)),1000000000),1000000000))+ROW()/100000,"")</f>
        <v/>
      </c>
    </row>
    <row r="1685">
      <c r="D1685" s="11" t="n"/>
      <c r="K1685" s="7">
        <f>IF($C1685="","",J1685*W1685/100)</f>
        <v/>
      </c>
      <c r="Q1685" s="7" t="n"/>
      <c r="R1685" s="7" t="n"/>
      <c r="U1685">
        <f>IF($C1685="","",IF($AJ1685=1,0,IF($AI1685=1,Settings!$C$6,Settings!$C$7))*100)</f>
        <v/>
      </c>
      <c r="V1685" s="7">
        <f>IF($C1685="","",R1685*U1685/100)</f>
        <v/>
      </c>
      <c r="W1685" s="7">
        <f>IF($C1685="","",R1685-V1685)</f>
        <v/>
      </c>
      <c r="X1685" s="7">
        <f>IF($C1685="","",W1685-K1685)</f>
        <v/>
      </c>
      <c r="AB1685" s="7" t="n"/>
      <c r="AE1685" s="11" t="n"/>
      <c r="AG1685">
        <f>IF($C1685="","",IF(COUNTIF($C$2:$C1685,$C1685)=1,1,0))</f>
        <v/>
      </c>
      <c r="AH1685">
        <f>IF($AG1685=1,SUMPRODUCT(--($AK$2:$AK$6001&lt;$AK1685))+1,"")</f>
        <v/>
      </c>
      <c r="AI1685">
        <f>IF($C1685="","",IF(OR($N1685=TRUE(),$N1685="TRUE"),1,0))</f>
        <v/>
      </c>
      <c r="AJ1685">
        <f>IF($C1685="","",IF($T1685="Yes",1,0))</f>
        <v/>
      </c>
      <c r="AK1685">
        <f>IF($AG1685=1,IFERROR(IF(VALUE($C1685)&lt;100000000,VALUE($C1685),1000000000),IFERROR(IF(VALUE(MID($C1685,2,20))&lt;100000000,VALUE(MID($C1685,2,20)),1000000000),1000000000))+ROW()/100000,"")</f>
        <v/>
      </c>
    </row>
    <row r="1686">
      <c r="D1686" s="11" t="n"/>
      <c r="K1686" s="7">
        <f>IF($C1686="","",J1686*W1686/100)</f>
        <v/>
      </c>
      <c r="Q1686" s="7" t="n"/>
      <c r="R1686" s="7" t="n"/>
      <c r="U1686">
        <f>IF($C1686="","",IF($AJ1686=1,0,IF($AI1686=1,Settings!$C$6,Settings!$C$7))*100)</f>
        <v/>
      </c>
      <c r="V1686" s="7">
        <f>IF($C1686="","",R1686*U1686/100)</f>
        <v/>
      </c>
      <c r="W1686" s="7">
        <f>IF($C1686="","",R1686-V1686)</f>
        <v/>
      </c>
      <c r="X1686" s="7">
        <f>IF($C1686="","",W1686-K1686)</f>
        <v/>
      </c>
      <c r="AB1686" s="7" t="n"/>
      <c r="AE1686" s="11" t="n"/>
      <c r="AG1686">
        <f>IF($C1686="","",IF(COUNTIF($C$2:$C1686,$C1686)=1,1,0))</f>
        <v/>
      </c>
      <c r="AH1686">
        <f>IF($AG1686=1,SUMPRODUCT(--($AK$2:$AK$6001&lt;$AK1686))+1,"")</f>
        <v/>
      </c>
      <c r="AI1686">
        <f>IF($C1686="","",IF(OR($N1686=TRUE(),$N1686="TRUE"),1,0))</f>
        <v/>
      </c>
      <c r="AJ1686">
        <f>IF($C1686="","",IF($T1686="Yes",1,0))</f>
        <v/>
      </c>
      <c r="AK1686">
        <f>IF($AG1686=1,IFERROR(IF(VALUE($C1686)&lt;100000000,VALUE($C1686),1000000000),IFERROR(IF(VALUE(MID($C1686,2,20))&lt;100000000,VALUE(MID($C1686,2,20)),1000000000),1000000000))+ROW()/100000,"")</f>
        <v/>
      </c>
    </row>
    <row r="1687">
      <c r="D1687" s="11" t="n"/>
      <c r="K1687" s="7">
        <f>IF($C1687="","",J1687*W1687/100)</f>
        <v/>
      </c>
      <c r="Q1687" s="7" t="n"/>
      <c r="R1687" s="7" t="n"/>
      <c r="U1687">
        <f>IF($C1687="","",IF($AJ1687=1,0,IF($AI1687=1,Settings!$C$6,Settings!$C$7))*100)</f>
        <v/>
      </c>
      <c r="V1687" s="7">
        <f>IF($C1687="","",R1687*U1687/100)</f>
        <v/>
      </c>
      <c r="W1687" s="7">
        <f>IF($C1687="","",R1687-V1687)</f>
        <v/>
      </c>
      <c r="X1687" s="7">
        <f>IF($C1687="","",W1687-K1687)</f>
        <v/>
      </c>
      <c r="AB1687" s="7" t="n"/>
      <c r="AE1687" s="11" t="n"/>
      <c r="AG1687">
        <f>IF($C1687="","",IF(COUNTIF($C$2:$C1687,$C1687)=1,1,0))</f>
        <v/>
      </c>
      <c r="AH1687">
        <f>IF($AG1687=1,SUMPRODUCT(--($AK$2:$AK$6001&lt;$AK1687))+1,"")</f>
        <v/>
      </c>
      <c r="AI1687">
        <f>IF($C1687="","",IF(OR($N1687=TRUE(),$N1687="TRUE"),1,0))</f>
        <v/>
      </c>
      <c r="AJ1687">
        <f>IF($C1687="","",IF($T1687="Yes",1,0))</f>
        <v/>
      </c>
      <c r="AK1687">
        <f>IF($AG1687=1,IFERROR(IF(VALUE($C1687)&lt;100000000,VALUE($C1687),1000000000),IFERROR(IF(VALUE(MID($C1687,2,20))&lt;100000000,VALUE(MID($C1687,2,20)),1000000000),1000000000))+ROW()/100000,"")</f>
        <v/>
      </c>
    </row>
    <row r="1688">
      <c r="D1688" s="11" t="n"/>
      <c r="K1688" s="7">
        <f>IF($C1688="","",J1688*W1688/100)</f>
        <v/>
      </c>
      <c r="Q1688" s="7" t="n"/>
      <c r="R1688" s="7" t="n"/>
      <c r="U1688">
        <f>IF($C1688="","",IF($AJ1688=1,0,IF($AI1688=1,Settings!$C$6,Settings!$C$7))*100)</f>
        <v/>
      </c>
      <c r="V1688" s="7">
        <f>IF($C1688="","",R1688*U1688/100)</f>
        <v/>
      </c>
      <c r="W1688" s="7">
        <f>IF($C1688="","",R1688-V1688)</f>
        <v/>
      </c>
      <c r="X1688" s="7">
        <f>IF($C1688="","",W1688-K1688)</f>
        <v/>
      </c>
      <c r="AB1688" s="7" t="n"/>
      <c r="AE1688" s="11" t="n"/>
      <c r="AG1688">
        <f>IF($C1688="","",IF(COUNTIF($C$2:$C1688,$C1688)=1,1,0))</f>
        <v/>
      </c>
      <c r="AH1688">
        <f>IF($AG1688=1,SUMPRODUCT(--($AK$2:$AK$6001&lt;$AK1688))+1,"")</f>
        <v/>
      </c>
      <c r="AI1688">
        <f>IF($C1688="","",IF(OR($N1688=TRUE(),$N1688="TRUE"),1,0))</f>
        <v/>
      </c>
      <c r="AJ1688">
        <f>IF($C1688="","",IF($T1688="Yes",1,0))</f>
        <v/>
      </c>
      <c r="AK1688">
        <f>IF($AG1688=1,IFERROR(IF(VALUE($C1688)&lt;100000000,VALUE($C1688),1000000000),IFERROR(IF(VALUE(MID($C1688,2,20))&lt;100000000,VALUE(MID($C1688,2,20)),1000000000),1000000000))+ROW()/100000,"")</f>
        <v/>
      </c>
    </row>
    <row r="1689">
      <c r="D1689" s="11" t="n"/>
      <c r="K1689" s="7">
        <f>IF($C1689="","",J1689*W1689/100)</f>
        <v/>
      </c>
      <c r="Q1689" s="7" t="n"/>
      <c r="R1689" s="7" t="n"/>
      <c r="U1689">
        <f>IF($C1689="","",IF($AJ1689=1,0,IF($AI1689=1,Settings!$C$6,Settings!$C$7))*100)</f>
        <v/>
      </c>
      <c r="V1689" s="7">
        <f>IF($C1689="","",R1689*U1689/100)</f>
        <v/>
      </c>
      <c r="W1689" s="7">
        <f>IF($C1689="","",R1689-V1689)</f>
        <v/>
      </c>
      <c r="X1689" s="7">
        <f>IF($C1689="","",W1689-K1689)</f>
        <v/>
      </c>
      <c r="AB1689" s="7" t="n"/>
      <c r="AE1689" s="11" t="n"/>
      <c r="AG1689">
        <f>IF($C1689="","",IF(COUNTIF($C$2:$C1689,$C1689)=1,1,0))</f>
        <v/>
      </c>
      <c r="AH1689">
        <f>IF($AG1689=1,SUMPRODUCT(--($AK$2:$AK$6001&lt;$AK1689))+1,"")</f>
        <v/>
      </c>
      <c r="AI1689">
        <f>IF($C1689="","",IF(OR($N1689=TRUE(),$N1689="TRUE"),1,0))</f>
        <v/>
      </c>
      <c r="AJ1689">
        <f>IF($C1689="","",IF($T1689="Yes",1,0))</f>
        <v/>
      </c>
      <c r="AK1689">
        <f>IF($AG1689=1,IFERROR(IF(VALUE($C1689)&lt;100000000,VALUE($C1689),1000000000),IFERROR(IF(VALUE(MID($C1689,2,20))&lt;100000000,VALUE(MID($C1689,2,20)),1000000000),1000000000))+ROW()/100000,"")</f>
        <v/>
      </c>
    </row>
    <row r="1690">
      <c r="D1690" s="11" t="n"/>
      <c r="K1690" s="7">
        <f>IF($C1690="","",J1690*W1690/100)</f>
        <v/>
      </c>
      <c r="Q1690" s="7" t="n"/>
      <c r="R1690" s="7" t="n"/>
      <c r="U1690">
        <f>IF($C1690="","",IF($AJ1690=1,0,IF($AI1690=1,Settings!$C$6,Settings!$C$7))*100)</f>
        <v/>
      </c>
      <c r="V1690" s="7">
        <f>IF($C1690="","",R1690*U1690/100)</f>
        <v/>
      </c>
      <c r="W1690" s="7">
        <f>IF($C1690="","",R1690-V1690)</f>
        <v/>
      </c>
      <c r="X1690" s="7">
        <f>IF($C1690="","",W1690-K1690)</f>
        <v/>
      </c>
      <c r="AB1690" s="7" t="n"/>
      <c r="AE1690" s="11" t="n"/>
      <c r="AG1690">
        <f>IF($C1690="","",IF(COUNTIF($C$2:$C1690,$C1690)=1,1,0))</f>
        <v/>
      </c>
      <c r="AH1690">
        <f>IF($AG1690=1,SUMPRODUCT(--($AK$2:$AK$6001&lt;$AK1690))+1,"")</f>
        <v/>
      </c>
      <c r="AI1690">
        <f>IF($C1690="","",IF(OR($N1690=TRUE(),$N1690="TRUE"),1,0))</f>
        <v/>
      </c>
      <c r="AJ1690">
        <f>IF($C1690="","",IF($T1690="Yes",1,0))</f>
        <v/>
      </c>
      <c r="AK1690">
        <f>IF($AG1690=1,IFERROR(IF(VALUE($C1690)&lt;100000000,VALUE($C1690),1000000000),IFERROR(IF(VALUE(MID($C1690,2,20))&lt;100000000,VALUE(MID($C1690,2,20)),1000000000),1000000000))+ROW()/100000,"")</f>
        <v/>
      </c>
    </row>
    <row r="1691">
      <c r="D1691" s="11" t="n"/>
      <c r="K1691" s="7">
        <f>IF($C1691="","",J1691*W1691/100)</f>
        <v/>
      </c>
      <c r="Q1691" s="7" t="n"/>
      <c r="R1691" s="7" t="n"/>
      <c r="U1691">
        <f>IF($C1691="","",IF($AJ1691=1,0,IF($AI1691=1,Settings!$C$6,Settings!$C$7))*100)</f>
        <v/>
      </c>
      <c r="V1691" s="7">
        <f>IF($C1691="","",R1691*U1691/100)</f>
        <v/>
      </c>
      <c r="W1691" s="7">
        <f>IF($C1691="","",R1691-V1691)</f>
        <v/>
      </c>
      <c r="X1691" s="7">
        <f>IF($C1691="","",W1691-K1691)</f>
        <v/>
      </c>
      <c r="AB1691" s="7" t="n"/>
      <c r="AE1691" s="11" t="n"/>
      <c r="AG1691">
        <f>IF($C1691="","",IF(COUNTIF($C$2:$C1691,$C1691)=1,1,0))</f>
        <v/>
      </c>
      <c r="AH1691">
        <f>IF($AG1691=1,SUMPRODUCT(--($AK$2:$AK$6001&lt;$AK1691))+1,"")</f>
        <v/>
      </c>
      <c r="AI1691">
        <f>IF($C1691="","",IF(OR($N1691=TRUE(),$N1691="TRUE"),1,0))</f>
        <v/>
      </c>
      <c r="AJ1691">
        <f>IF($C1691="","",IF($T1691="Yes",1,0))</f>
        <v/>
      </c>
      <c r="AK1691">
        <f>IF($AG1691=1,IFERROR(IF(VALUE($C1691)&lt;100000000,VALUE($C1691),1000000000),IFERROR(IF(VALUE(MID($C1691,2,20))&lt;100000000,VALUE(MID($C1691,2,20)),1000000000),1000000000))+ROW()/100000,"")</f>
        <v/>
      </c>
    </row>
    <row r="1692">
      <c r="D1692" s="11" t="n"/>
      <c r="K1692" s="7">
        <f>IF($C1692="","",J1692*W1692/100)</f>
        <v/>
      </c>
      <c r="Q1692" s="7" t="n"/>
      <c r="R1692" s="7" t="n"/>
      <c r="U1692">
        <f>IF($C1692="","",IF($AJ1692=1,0,IF($AI1692=1,Settings!$C$6,Settings!$C$7))*100)</f>
        <v/>
      </c>
      <c r="V1692" s="7">
        <f>IF($C1692="","",R1692*U1692/100)</f>
        <v/>
      </c>
      <c r="W1692" s="7">
        <f>IF($C1692="","",R1692-V1692)</f>
        <v/>
      </c>
      <c r="X1692" s="7">
        <f>IF($C1692="","",W1692-K1692)</f>
        <v/>
      </c>
      <c r="AB1692" s="7" t="n"/>
      <c r="AE1692" s="11" t="n"/>
      <c r="AG1692">
        <f>IF($C1692="","",IF(COUNTIF($C$2:$C1692,$C1692)=1,1,0))</f>
        <v/>
      </c>
      <c r="AH1692">
        <f>IF($AG1692=1,SUMPRODUCT(--($AK$2:$AK$6001&lt;$AK1692))+1,"")</f>
        <v/>
      </c>
      <c r="AI1692">
        <f>IF($C1692="","",IF(OR($N1692=TRUE(),$N1692="TRUE"),1,0))</f>
        <v/>
      </c>
      <c r="AJ1692">
        <f>IF($C1692="","",IF($T1692="Yes",1,0))</f>
        <v/>
      </c>
      <c r="AK1692">
        <f>IF($AG1692=1,IFERROR(IF(VALUE($C1692)&lt;100000000,VALUE($C1692),1000000000),IFERROR(IF(VALUE(MID($C1692,2,20))&lt;100000000,VALUE(MID($C1692,2,20)),1000000000),1000000000))+ROW()/100000,"")</f>
        <v/>
      </c>
    </row>
    <row r="1693">
      <c r="D1693" s="11" t="n"/>
      <c r="K1693" s="7">
        <f>IF($C1693="","",J1693*W1693/100)</f>
        <v/>
      </c>
      <c r="Q1693" s="7" t="n"/>
      <c r="R1693" s="7" t="n"/>
      <c r="U1693">
        <f>IF($C1693="","",IF($AJ1693=1,0,IF($AI1693=1,Settings!$C$6,Settings!$C$7))*100)</f>
        <v/>
      </c>
      <c r="V1693" s="7">
        <f>IF($C1693="","",R1693*U1693/100)</f>
        <v/>
      </c>
      <c r="W1693" s="7">
        <f>IF($C1693="","",R1693-V1693)</f>
        <v/>
      </c>
      <c r="X1693" s="7">
        <f>IF($C1693="","",W1693-K1693)</f>
        <v/>
      </c>
      <c r="AB1693" s="7" t="n"/>
      <c r="AE1693" s="11" t="n"/>
      <c r="AG1693">
        <f>IF($C1693="","",IF(COUNTIF($C$2:$C1693,$C1693)=1,1,0))</f>
        <v/>
      </c>
      <c r="AH1693">
        <f>IF($AG1693=1,SUMPRODUCT(--($AK$2:$AK$6001&lt;$AK1693))+1,"")</f>
        <v/>
      </c>
      <c r="AI1693">
        <f>IF($C1693="","",IF(OR($N1693=TRUE(),$N1693="TRUE"),1,0))</f>
        <v/>
      </c>
      <c r="AJ1693">
        <f>IF($C1693="","",IF($T1693="Yes",1,0))</f>
        <v/>
      </c>
      <c r="AK1693">
        <f>IF($AG1693=1,IFERROR(IF(VALUE($C1693)&lt;100000000,VALUE($C1693),1000000000),IFERROR(IF(VALUE(MID($C1693,2,20))&lt;100000000,VALUE(MID($C1693,2,20)),1000000000),1000000000))+ROW()/100000,"")</f>
        <v/>
      </c>
    </row>
    <row r="1694">
      <c r="D1694" s="11" t="n"/>
      <c r="K1694" s="7">
        <f>IF($C1694="","",J1694*W1694/100)</f>
        <v/>
      </c>
      <c r="Q1694" s="7" t="n"/>
      <c r="R1694" s="7" t="n"/>
      <c r="U1694">
        <f>IF($C1694="","",IF($AJ1694=1,0,IF($AI1694=1,Settings!$C$6,Settings!$C$7))*100)</f>
        <v/>
      </c>
      <c r="V1694" s="7">
        <f>IF($C1694="","",R1694*U1694/100)</f>
        <v/>
      </c>
      <c r="W1694" s="7">
        <f>IF($C1694="","",R1694-V1694)</f>
        <v/>
      </c>
      <c r="X1694" s="7">
        <f>IF($C1694="","",W1694-K1694)</f>
        <v/>
      </c>
      <c r="AB1694" s="7" t="n"/>
      <c r="AE1694" s="11" t="n"/>
      <c r="AG1694">
        <f>IF($C1694="","",IF(COUNTIF($C$2:$C1694,$C1694)=1,1,0))</f>
        <v/>
      </c>
      <c r="AH1694">
        <f>IF($AG1694=1,SUMPRODUCT(--($AK$2:$AK$6001&lt;$AK1694))+1,"")</f>
        <v/>
      </c>
      <c r="AI1694">
        <f>IF($C1694="","",IF(OR($N1694=TRUE(),$N1694="TRUE"),1,0))</f>
        <v/>
      </c>
      <c r="AJ1694">
        <f>IF($C1694="","",IF($T1694="Yes",1,0))</f>
        <v/>
      </c>
      <c r="AK1694">
        <f>IF($AG1694=1,IFERROR(IF(VALUE($C1694)&lt;100000000,VALUE($C1694),1000000000),IFERROR(IF(VALUE(MID($C1694,2,20))&lt;100000000,VALUE(MID($C1694,2,20)),1000000000),1000000000))+ROW()/100000,"")</f>
        <v/>
      </c>
    </row>
    <row r="1695">
      <c r="D1695" s="11" t="n"/>
      <c r="K1695" s="7">
        <f>IF($C1695="","",J1695*W1695/100)</f>
        <v/>
      </c>
      <c r="Q1695" s="7" t="n"/>
      <c r="R1695" s="7" t="n"/>
      <c r="U1695">
        <f>IF($C1695="","",IF($AJ1695=1,0,IF($AI1695=1,Settings!$C$6,Settings!$C$7))*100)</f>
        <v/>
      </c>
      <c r="V1695" s="7">
        <f>IF($C1695="","",R1695*U1695/100)</f>
        <v/>
      </c>
      <c r="W1695" s="7">
        <f>IF($C1695="","",R1695-V1695)</f>
        <v/>
      </c>
      <c r="X1695" s="7">
        <f>IF($C1695="","",W1695-K1695)</f>
        <v/>
      </c>
      <c r="AB1695" s="7" t="n"/>
      <c r="AE1695" s="11" t="n"/>
      <c r="AG1695">
        <f>IF($C1695="","",IF(COUNTIF($C$2:$C1695,$C1695)=1,1,0))</f>
        <v/>
      </c>
      <c r="AH1695">
        <f>IF($AG1695=1,SUMPRODUCT(--($AK$2:$AK$6001&lt;$AK1695))+1,"")</f>
        <v/>
      </c>
      <c r="AI1695">
        <f>IF($C1695="","",IF(OR($N1695=TRUE(),$N1695="TRUE"),1,0))</f>
        <v/>
      </c>
      <c r="AJ1695">
        <f>IF($C1695="","",IF($T1695="Yes",1,0))</f>
        <v/>
      </c>
      <c r="AK1695">
        <f>IF($AG1695=1,IFERROR(IF(VALUE($C1695)&lt;100000000,VALUE($C1695),1000000000),IFERROR(IF(VALUE(MID($C1695,2,20))&lt;100000000,VALUE(MID($C1695,2,20)),1000000000),1000000000))+ROW()/100000,"")</f>
        <v/>
      </c>
    </row>
    <row r="1696">
      <c r="D1696" s="11" t="n"/>
      <c r="K1696" s="7">
        <f>IF($C1696="","",J1696*W1696/100)</f>
        <v/>
      </c>
      <c r="Q1696" s="7" t="n"/>
      <c r="R1696" s="7" t="n"/>
      <c r="U1696">
        <f>IF($C1696="","",IF($AJ1696=1,0,IF($AI1696=1,Settings!$C$6,Settings!$C$7))*100)</f>
        <v/>
      </c>
      <c r="V1696" s="7">
        <f>IF($C1696="","",R1696*U1696/100)</f>
        <v/>
      </c>
      <c r="W1696" s="7">
        <f>IF($C1696="","",R1696-V1696)</f>
        <v/>
      </c>
      <c r="X1696" s="7">
        <f>IF($C1696="","",W1696-K1696)</f>
        <v/>
      </c>
      <c r="AB1696" s="7" t="n"/>
      <c r="AE1696" s="11" t="n"/>
      <c r="AG1696">
        <f>IF($C1696="","",IF(COUNTIF($C$2:$C1696,$C1696)=1,1,0))</f>
        <v/>
      </c>
      <c r="AH1696">
        <f>IF($AG1696=1,SUMPRODUCT(--($AK$2:$AK$6001&lt;$AK1696))+1,"")</f>
        <v/>
      </c>
      <c r="AI1696">
        <f>IF($C1696="","",IF(OR($N1696=TRUE(),$N1696="TRUE"),1,0))</f>
        <v/>
      </c>
      <c r="AJ1696">
        <f>IF($C1696="","",IF($T1696="Yes",1,0))</f>
        <v/>
      </c>
      <c r="AK1696">
        <f>IF($AG1696=1,IFERROR(IF(VALUE($C1696)&lt;100000000,VALUE($C1696),1000000000),IFERROR(IF(VALUE(MID($C1696,2,20))&lt;100000000,VALUE(MID($C1696,2,20)),1000000000),1000000000))+ROW()/100000,"")</f>
        <v/>
      </c>
    </row>
    <row r="1697">
      <c r="D1697" s="11" t="n"/>
      <c r="K1697" s="7">
        <f>IF($C1697="","",J1697*W1697/100)</f>
        <v/>
      </c>
      <c r="Q1697" s="7" t="n"/>
      <c r="R1697" s="7" t="n"/>
      <c r="U1697">
        <f>IF($C1697="","",IF($AJ1697=1,0,IF($AI1697=1,Settings!$C$6,Settings!$C$7))*100)</f>
        <v/>
      </c>
      <c r="V1697" s="7">
        <f>IF($C1697="","",R1697*U1697/100)</f>
        <v/>
      </c>
      <c r="W1697" s="7">
        <f>IF($C1697="","",R1697-V1697)</f>
        <v/>
      </c>
      <c r="X1697" s="7">
        <f>IF($C1697="","",W1697-K1697)</f>
        <v/>
      </c>
      <c r="AB1697" s="7" t="n"/>
      <c r="AE1697" s="11" t="n"/>
      <c r="AG1697">
        <f>IF($C1697="","",IF(COUNTIF($C$2:$C1697,$C1697)=1,1,0))</f>
        <v/>
      </c>
      <c r="AH1697">
        <f>IF($AG1697=1,SUMPRODUCT(--($AK$2:$AK$6001&lt;$AK1697))+1,"")</f>
        <v/>
      </c>
      <c r="AI1697">
        <f>IF($C1697="","",IF(OR($N1697=TRUE(),$N1697="TRUE"),1,0))</f>
        <v/>
      </c>
      <c r="AJ1697">
        <f>IF($C1697="","",IF($T1697="Yes",1,0))</f>
        <v/>
      </c>
      <c r="AK1697">
        <f>IF($AG1697=1,IFERROR(IF(VALUE($C1697)&lt;100000000,VALUE($C1697),1000000000),IFERROR(IF(VALUE(MID($C1697,2,20))&lt;100000000,VALUE(MID($C1697,2,20)),1000000000),1000000000))+ROW()/100000,"")</f>
        <v/>
      </c>
    </row>
    <row r="1698">
      <c r="D1698" s="11" t="n"/>
      <c r="K1698" s="7">
        <f>IF($C1698="","",J1698*W1698/100)</f>
        <v/>
      </c>
      <c r="Q1698" s="7" t="n"/>
      <c r="R1698" s="7" t="n"/>
      <c r="U1698">
        <f>IF($C1698="","",IF($AJ1698=1,0,IF($AI1698=1,Settings!$C$6,Settings!$C$7))*100)</f>
        <v/>
      </c>
      <c r="V1698" s="7">
        <f>IF($C1698="","",R1698*U1698/100)</f>
        <v/>
      </c>
      <c r="W1698" s="7">
        <f>IF($C1698="","",R1698-V1698)</f>
        <v/>
      </c>
      <c r="X1698" s="7">
        <f>IF($C1698="","",W1698-K1698)</f>
        <v/>
      </c>
      <c r="AB1698" s="7" t="n"/>
      <c r="AE1698" s="11" t="n"/>
      <c r="AG1698">
        <f>IF($C1698="","",IF(COUNTIF($C$2:$C1698,$C1698)=1,1,0))</f>
        <v/>
      </c>
      <c r="AH1698">
        <f>IF($AG1698=1,SUMPRODUCT(--($AK$2:$AK$6001&lt;$AK1698))+1,"")</f>
        <v/>
      </c>
      <c r="AI1698">
        <f>IF($C1698="","",IF(OR($N1698=TRUE(),$N1698="TRUE"),1,0))</f>
        <v/>
      </c>
      <c r="AJ1698">
        <f>IF($C1698="","",IF($T1698="Yes",1,0))</f>
        <v/>
      </c>
      <c r="AK1698">
        <f>IF($AG1698=1,IFERROR(IF(VALUE($C1698)&lt;100000000,VALUE($C1698),1000000000),IFERROR(IF(VALUE(MID($C1698,2,20))&lt;100000000,VALUE(MID($C1698,2,20)),1000000000),1000000000))+ROW()/100000,"")</f>
        <v/>
      </c>
    </row>
    <row r="1699">
      <c r="D1699" s="11" t="n"/>
      <c r="K1699" s="7">
        <f>IF($C1699="","",J1699*W1699/100)</f>
        <v/>
      </c>
      <c r="Q1699" s="7" t="n"/>
      <c r="R1699" s="7" t="n"/>
      <c r="U1699">
        <f>IF($C1699="","",IF($AJ1699=1,0,IF($AI1699=1,Settings!$C$6,Settings!$C$7))*100)</f>
        <v/>
      </c>
      <c r="V1699" s="7">
        <f>IF($C1699="","",R1699*U1699/100)</f>
        <v/>
      </c>
      <c r="W1699" s="7">
        <f>IF($C1699="","",R1699-V1699)</f>
        <v/>
      </c>
      <c r="X1699" s="7">
        <f>IF($C1699="","",W1699-K1699)</f>
        <v/>
      </c>
      <c r="AB1699" s="7" t="n"/>
      <c r="AE1699" s="11" t="n"/>
      <c r="AG1699">
        <f>IF($C1699="","",IF(COUNTIF($C$2:$C1699,$C1699)=1,1,0))</f>
        <v/>
      </c>
      <c r="AH1699">
        <f>IF($AG1699=1,SUMPRODUCT(--($AK$2:$AK$6001&lt;$AK1699))+1,"")</f>
        <v/>
      </c>
      <c r="AI1699">
        <f>IF($C1699="","",IF(OR($N1699=TRUE(),$N1699="TRUE"),1,0))</f>
        <v/>
      </c>
      <c r="AJ1699">
        <f>IF($C1699="","",IF($T1699="Yes",1,0))</f>
        <v/>
      </c>
      <c r="AK1699">
        <f>IF($AG1699=1,IFERROR(IF(VALUE($C1699)&lt;100000000,VALUE($C1699),1000000000),IFERROR(IF(VALUE(MID($C1699,2,20))&lt;100000000,VALUE(MID($C1699,2,20)),1000000000),1000000000))+ROW()/100000,"")</f>
        <v/>
      </c>
    </row>
    <row r="1700">
      <c r="D1700" s="11" t="n"/>
      <c r="K1700" s="7">
        <f>IF($C1700="","",J1700*W1700/100)</f>
        <v/>
      </c>
      <c r="Q1700" s="7" t="n"/>
      <c r="R1700" s="7" t="n"/>
      <c r="U1700">
        <f>IF($C1700="","",IF($AJ1700=1,0,IF($AI1700=1,Settings!$C$6,Settings!$C$7))*100)</f>
        <v/>
      </c>
      <c r="V1700" s="7">
        <f>IF($C1700="","",R1700*U1700/100)</f>
        <v/>
      </c>
      <c r="W1700" s="7">
        <f>IF($C1700="","",R1700-V1700)</f>
        <v/>
      </c>
      <c r="X1700" s="7">
        <f>IF($C1700="","",W1700-K1700)</f>
        <v/>
      </c>
      <c r="AB1700" s="7" t="n"/>
      <c r="AE1700" s="11" t="n"/>
      <c r="AG1700">
        <f>IF($C1700="","",IF(COUNTIF($C$2:$C1700,$C1700)=1,1,0))</f>
        <v/>
      </c>
      <c r="AH1700">
        <f>IF($AG1700=1,SUMPRODUCT(--($AK$2:$AK$6001&lt;$AK1700))+1,"")</f>
        <v/>
      </c>
      <c r="AI1700">
        <f>IF($C1700="","",IF(OR($N1700=TRUE(),$N1700="TRUE"),1,0))</f>
        <v/>
      </c>
      <c r="AJ1700">
        <f>IF($C1700="","",IF($T1700="Yes",1,0))</f>
        <v/>
      </c>
      <c r="AK1700">
        <f>IF($AG1700=1,IFERROR(IF(VALUE($C1700)&lt;100000000,VALUE($C1700),1000000000),IFERROR(IF(VALUE(MID($C1700,2,20))&lt;100000000,VALUE(MID($C1700,2,20)),1000000000),1000000000))+ROW()/100000,"")</f>
        <v/>
      </c>
    </row>
    <row r="1701">
      <c r="D1701" s="11" t="n"/>
      <c r="K1701" s="7">
        <f>IF($C1701="","",J1701*W1701/100)</f>
        <v/>
      </c>
      <c r="Q1701" s="7" t="n"/>
      <c r="R1701" s="7" t="n"/>
      <c r="U1701">
        <f>IF($C1701="","",IF($AJ1701=1,0,IF($AI1701=1,Settings!$C$6,Settings!$C$7))*100)</f>
        <v/>
      </c>
      <c r="V1701" s="7">
        <f>IF($C1701="","",R1701*U1701/100)</f>
        <v/>
      </c>
      <c r="W1701" s="7">
        <f>IF($C1701="","",R1701-V1701)</f>
        <v/>
      </c>
      <c r="X1701" s="7">
        <f>IF($C1701="","",W1701-K1701)</f>
        <v/>
      </c>
      <c r="AB1701" s="7" t="n"/>
      <c r="AE1701" s="11" t="n"/>
      <c r="AG1701">
        <f>IF($C1701="","",IF(COUNTIF($C$2:$C1701,$C1701)=1,1,0))</f>
        <v/>
      </c>
      <c r="AH1701">
        <f>IF($AG1701=1,SUMPRODUCT(--($AK$2:$AK$6001&lt;$AK1701))+1,"")</f>
        <v/>
      </c>
      <c r="AI1701">
        <f>IF($C1701="","",IF(OR($N1701=TRUE(),$N1701="TRUE"),1,0))</f>
        <v/>
      </c>
      <c r="AJ1701">
        <f>IF($C1701="","",IF($T1701="Yes",1,0))</f>
        <v/>
      </c>
      <c r="AK1701">
        <f>IF($AG1701=1,IFERROR(IF(VALUE($C1701)&lt;100000000,VALUE($C1701),1000000000),IFERROR(IF(VALUE(MID($C1701,2,20))&lt;100000000,VALUE(MID($C1701,2,20)),1000000000),1000000000))+ROW()/100000,"")</f>
        <v/>
      </c>
    </row>
    <row r="1702">
      <c r="D1702" s="11" t="n"/>
      <c r="K1702" s="7">
        <f>IF($C1702="","",J1702*W1702/100)</f>
        <v/>
      </c>
      <c r="Q1702" s="7" t="n"/>
      <c r="R1702" s="7" t="n"/>
      <c r="U1702">
        <f>IF($C1702="","",IF($AJ1702=1,0,IF($AI1702=1,Settings!$C$6,Settings!$C$7))*100)</f>
        <v/>
      </c>
      <c r="V1702" s="7">
        <f>IF($C1702="","",R1702*U1702/100)</f>
        <v/>
      </c>
      <c r="W1702" s="7">
        <f>IF($C1702="","",R1702-V1702)</f>
        <v/>
      </c>
      <c r="X1702" s="7">
        <f>IF($C1702="","",W1702-K1702)</f>
        <v/>
      </c>
      <c r="AB1702" s="7" t="n"/>
      <c r="AE1702" s="11" t="n"/>
      <c r="AG1702">
        <f>IF($C1702="","",IF(COUNTIF($C$2:$C1702,$C1702)=1,1,0))</f>
        <v/>
      </c>
      <c r="AH1702">
        <f>IF($AG1702=1,SUMPRODUCT(--($AK$2:$AK$6001&lt;$AK1702))+1,"")</f>
        <v/>
      </c>
      <c r="AI1702">
        <f>IF($C1702="","",IF(OR($N1702=TRUE(),$N1702="TRUE"),1,0))</f>
        <v/>
      </c>
      <c r="AJ1702">
        <f>IF($C1702="","",IF($T1702="Yes",1,0))</f>
        <v/>
      </c>
      <c r="AK1702">
        <f>IF($AG1702=1,IFERROR(IF(VALUE($C1702)&lt;100000000,VALUE($C1702),1000000000),IFERROR(IF(VALUE(MID($C1702,2,20))&lt;100000000,VALUE(MID($C1702,2,20)),1000000000),1000000000))+ROW()/100000,"")</f>
        <v/>
      </c>
    </row>
    <row r="1703">
      <c r="D1703" s="11" t="n"/>
      <c r="K1703" s="7">
        <f>IF($C1703="","",J1703*W1703/100)</f>
        <v/>
      </c>
      <c r="Q1703" s="7" t="n"/>
      <c r="R1703" s="7" t="n"/>
      <c r="U1703">
        <f>IF($C1703="","",IF($AJ1703=1,0,IF($AI1703=1,Settings!$C$6,Settings!$C$7))*100)</f>
        <v/>
      </c>
      <c r="V1703" s="7">
        <f>IF($C1703="","",R1703*U1703/100)</f>
        <v/>
      </c>
      <c r="W1703" s="7">
        <f>IF($C1703="","",R1703-V1703)</f>
        <v/>
      </c>
      <c r="X1703" s="7">
        <f>IF($C1703="","",W1703-K1703)</f>
        <v/>
      </c>
      <c r="AB1703" s="7" t="n"/>
      <c r="AE1703" s="11" t="n"/>
      <c r="AG1703">
        <f>IF($C1703="","",IF(COUNTIF($C$2:$C1703,$C1703)=1,1,0))</f>
        <v/>
      </c>
      <c r="AH1703">
        <f>IF($AG1703=1,SUMPRODUCT(--($AK$2:$AK$6001&lt;$AK1703))+1,"")</f>
        <v/>
      </c>
      <c r="AI1703">
        <f>IF($C1703="","",IF(OR($N1703=TRUE(),$N1703="TRUE"),1,0))</f>
        <v/>
      </c>
      <c r="AJ1703">
        <f>IF($C1703="","",IF($T1703="Yes",1,0))</f>
        <v/>
      </c>
      <c r="AK1703">
        <f>IF($AG1703=1,IFERROR(IF(VALUE($C1703)&lt;100000000,VALUE($C1703),1000000000),IFERROR(IF(VALUE(MID($C1703,2,20))&lt;100000000,VALUE(MID($C1703,2,20)),1000000000),1000000000))+ROW()/100000,"")</f>
        <v/>
      </c>
    </row>
    <row r="1704">
      <c r="D1704" s="11" t="n"/>
      <c r="K1704" s="7">
        <f>IF($C1704="","",J1704*W1704/100)</f>
        <v/>
      </c>
      <c r="Q1704" s="7" t="n"/>
      <c r="R1704" s="7" t="n"/>
      <c r="U1704">
        <f>IF($C1704="","",IF($AJ1704=1,0,IF($AI1704=1,Settings!$C$6,Settings!$C$7))*100)</f>
        <v/>
      </c>
      <c r="V1704" s="7">
        <f>IF($C1704="","",R1704*U1704/100)</f>
        <v/>
      </c>
      <c r="W1704" s="7">
        <f>IF($C1704="","",R1704-V1704)</f>
        <v/>
      </c>
      <c r="X1704" s="7">
        <f>IF($C1704="","",W1704-K1704)</f>
        <v/>
      </c>
      <c r="AB1704" s="7" t="n"/>
      <c r="AE1704" s="11" t="n"/>
      <c r="AG1704">
        <f>IF($C1704="","",IF(COUNTIF($C$2:$C1704,$C1704)=1,1,0))</f>
        <v/>
      </c>
      <c r="AH1704">
        <f>IF($AG1704=1,SUMPRODUCT(--($AK$2:$AK$6001&lt;$AK1704))+1,"")</f>
        <v/>
      </c>
      <c r="AI1704">
        <f>IF($C1704="","",IF(OR($N1704=TRUE(),$N1704="TRUE"),1,0))</f>
        <v/>
      </c>
      <c r="AJ1704">
        <f>IF($C1704="","",IF($T1704="Yes",1,0))</f>
        <v/>
      </c>
      <c r="AK1704">
        <f>IF($AG1704=1,IFERROR(IF(VALUE($C1704)&lt;100000000,VALUE($C1704),1000000000),IFERROR(IF(VALUE(MID($C1704,2,20))&lt;100000000,VALUE(MID($C1704,2,20)),1000000000),1000000000))+ROW()/100000,"")</f>
        <v/>
      </c>
    </row>
    <row r="1705">
      <c r="D1705" s="11" t="n"/>
      <c r="K1705" s="7">
        <f>IF($C1705="","",J1705*W1705/100)</f>
        <v/>
      </c>
      <c r="Q1705" s="7" t="n"/>
      <c r="R1705" s="7" t="n"/>
      <c r="U1705">
        <f>IF($C1705="","",IF($AJ1705=1,0,IF($AI1705=1,Settings!$C$6,Settings!$C$7))*100)</f>
        <v/>
      </c>
      <c r="V1705" s="7">
        <f>IF($C1705="","",R1705*U1705/100)</f>
        <v/>
      </c>
      <c r="W1705" s="7">
        <f>IF($C1705="","",R1705-V1705)</f>
        <v/>
      </c>
      <c r="X1705" s="7">
        <f>IF($C1705="","",W1705-K1705)</f>
        <v/>
      </c>
      <c r="AB1705" s="7" t="n"/>
      <c r="AE1705" s="11" t="n"/>
      <c r="AG1705">
        <f>IF($C1705="","",IF(COUNTIF($C$2:$C1705,$C1705)=1,1,0))</f>
        <v/>
      </c>
      <c r="AH1705">
        <f>IF($AG1705=1,SUMPRODUCT(--($AK$2:$AK$6001&lt;$AK1705))+1,"")</f>
        <v/>
      </c>
      <c r="AI1705">
        <f>IF($C1705="","",IF(OR($N1705=TRUE(),$N1705="TRUE"),1,0))</f>
        <v/>
      </c>
      <c r="AJ1705">
        <f>IF($C1705="","",IF($T1705="Yes",1,0))</f>
        <v/>
      </c>
      <c r="AK1705">
        <f>IF($AG1705=1,IFERROR(IF(VALUE($C1705)&lt;100000000,VALUE($C1705),1000000000),IFERROR(IF(VALUE(MID($C1705,2,20))&lt;100000000,VALUE(MID($C1705,2,20)),1000000000),1000000000))+ROW()/100000,"")</f>
        <v/>
      </c>
    </row>
    <row r="1706">
      <c r="D1706" s="11" t="n"/>
      <c r="K1706" s="7">
        <f>IF($C1706="","",J1706*W1706/100)</f>
        <v/>
      </c>
      <c r="Q1706" s="7" t="n"/>
      <c r="R1706" s="7" t="n"/>
      <c r="U1706">
        <f>IF($C1706="","",IF($AJ1706=1,0,IF($AI1706=1,Settings!$C$6,Settings!$C$7))*100)</f>
        <v/>
      </c>
      <c r="V1706" s="7">
        <f>IF($C1706="","",R1706*U1706/100)</f>
        <v/>
      </c>
      <c r="W1706" s="7">
        <f>IF($C1706="","",R1706-V1706)</f>
        <v/>
      </c>
      <c r="X1706" s="7">
        <f>IF($C1706="","",W1706-K1706)</f>
        <v/>
      </c>
      <c r="AB1706" s="7" t="n"/>
      <c r="AE1706" s="11" t="n"/>
      <c r="AG1706">
        <f>IF($C1706="","",IF(COUNTIF($C$2:$C1706,$C1706)=1,1,0))</f>
        <v/>
      </c>
      <c r="AH1706">
        <f>IF($AG1706=1,SUMPRODUCT(--($AK$2:$AK$6001&lt;$AK1706))+1,"")</f>
        <v/>
      </c>
      <c r="AI1706">
        <f>IF($C1706="","",IF(OR($N1706=TRUE(),$N1706="TRUE"),1,0))</f>
        <v/>
      </c>
      <c r="AJ1706">
        <f>IF($C1706="","",IF($T1706="Yes",1,0))</f>
        <v/>
      </c>
      <c r="AK1706">
        <f>IF($AG1706=1,IFERROR(IF(VALUE($C1706)&lt;100000000,VALUE($C1706),1000000000),IFERROR(IF(VALUE(MID($C1706,2,20))&lt;100000000,VALUE(MID($C1706,2,20)),1000000000),1000000000))+ROW()/100000,"")</f>
        <v/>
      </c>
    </row>
    <row r="1707">
      <c r="D1707" s="11" t="n"/>
      <c r="K1707" s="7">
        <f>IF($C1707="","",J1707*W1707/100)</f>
        <v/>
      </c>
      <c r="Q1707" s="7" t="n"/>
      <c r="R1707" s="7" t="n"/>
      <c r="U1707">
        <f>IF($C1707="","",IF($AJ1707=1,0,IF($AI1707=1,Settings!$C$6,Settings!$C$7))*100)</f>
        <v/>
      </c>
      <c r="V1707" s="7">
        <f>IF($C1707="","",R1707*U1707/100)</f>
        <v/>
      </c>
      <c r="W1707" s="7">
        <f>IF($C1707="","",R1707-V1707)</f>
        <v/>
      </c>
      <c r="X1707" s="7">
        <f>IF($C1707="","",W1707-K1707)</f>
        <v/>
      </c>
      <c r="AB1707" s="7" t="n"/>
      <c r="AE1707" s="11" t="n"/>
      <c r="AG1707">
        <f>IF($C1707="","",IF(COUNTIF($C$2:$C1707,$C1707)=1,1,0))</f>
        <v/>
      </c>
      <c r="AH1707">
        <f>IF($AG1707=1,SUMPRODUCT(--($AK$2:$AK$6001&lt;$AK1707))+1,"")</f>
        <v/>
      </c>
      <c r="AI1707">
        <f>IF($C1707="","",IF(OR($N1707=TRUE(),$N1707="TRUE"),1,0))</f>
        <v/>
      </c>
      <c r="AJ1707">
        <f>IF($C1707="","",IF($T1707="Yes",1,0))</f>
        <v/>
      </c>
      <c r="AK1707">
        <f>IF($AG1707=1,IFERROR(IF(VALUE($C1707)&lt;100000000,VALUE($C1707),1000000000),IFERROR(IF(VALUE(MID($C1707,2,20))&lt;100000000,VALUE(MID($C1707,2,20)),1000000000),1000000000))+ROW()/100000,"")</f>
        <v/>
      </c>
    </row>
    <row r="1708">
      <c r="D1708" s="11" t="n"/>
      <c r="K1708" s="7">
        <f>IF($C1708="","",J1708*W1708/100)</f>
        <v/>
      </c>
      <c r="Q1708" s="7" t="n"/>
      <c r="R1708" s="7" t="n"/>
      <c r="U1708">
        <f>IF($C1708="","",IF($AJ1708=1,0,IF($AI1708=1,Settings!$C$6,Settings!$C$7))*100)</f>
        <v/>
      </c>
      <c r="V1708" s="7">
        <f>IF($C1708="","",R1708*U1708/100)</f>
        <v/>
      </c>
      <c r="W1708" s="7">
        <f>IF($C1708="","",R1708-V1708)</f>
        <v/>
      </c>
      <c r="X1708" s="7">
        <f>IF($C1708="","",W1708-K1708)</f>
        <v/>
      </c>
      <c r="AB1708" s="7" t="n"/>
      <c r="AE1708" s="11" t="n"/>
      <c r="AG1708">
        <f>IF($C1708="","",IF(COUNTIF($C$2:$C1708,$C1708)=1,1,0))</f>
        <v/>
      </c>
      <c r="AH1708">
        <f>IF($AG1708=1,SUMPRODUCT(--($AK$2:$AK$6001&lt;$AK1708))+1,"")</f>
        <v/>
      </c>
      <c r="AI1708">
        <f>IF($C1708="","",IF(OR($N1708=TRUE(),$N1708="TRUE"),1,0))</f>
        <v/>
      </c>
      <c r="AJ1708">
        <f>IF($C1708="","",IF($T1708="Yes",1,0))</f>
        <v/>
      </c>
      <c r="AK1708">
        <f>IF($AG1708=1,IFERROR(IF(VALUE($C1708)&lt;100000000,VALUE($C1708),1000000000),IFERROR(IF(VALUE(MID($C1708,2,20))&lt;100000000,VALUE(MID($C1708,2,20)),1000000000),1000000000))+ROW()/100000,"")</f>
        <v/>
      </c>
    </row>
    <row r="1709">
      <c r="D1709" s="11" t="n"/>
      <c r="K1709" s="7">
        <f>IF($C1709="","",J1709*W1709/100)</f>
        <v/>
      </c>
      <c r="Q1709" s="7" t="n"/>
      <c r="R1709" s="7" t="n"/>
      <c r="U1709">
        <f>IF($C1709="","",IF($AJ1709=1,0,IF($AI1709=1,Settings!$C$6,Settings!$C$7))*100)</f>
        <v/>
      </c>
      <c r="V1709" s="7">
        <f>IF($C1709="","",R1709*U1709/100)</f>
        <v/>
      </c>
      <c r="W1709" s="7">
        <f>IF($C1709="","",R1709-V1709)</f>
        <v/>
      </c>
      <c r="X1709" s="7">
        <f>IF($C1709="","",W1709-K1709)</f>
        <v/>
      </c>
      <c r="AB1709" s="7" t="n"/>
      <c r="AE1709" s="11" t="n"/>
      <c r="AG1709">
        <f>IF($C1709="","",IF(COUNTIF($C$2:$C1709,$C1709)=1,1,0))</f>
        <v/>
      </c>
      <c r="AH1709">
        <f>IF($AG1709=1,SUMPRODUCT(--($AK$2:$AK$6001&lt;$AK1709))+1,"")</f>
        <v/>
      </c>
      <c r="AI1709">
        <f>IF($C1709="","",IF(OR($N1709=TRUE(),$N1709="TRUE"),1,0))</f>
        <v/>
      </c>
      <c r="AJ1709">
        <f>IF($C1709="","",IF($T1709="Yes",1,0))</f>
        <v/>
      </c>
      <c r="AK1709">
        <f>IF($AG1709=1,IFERROR(IF(VALUE($C1709)&lt;100000000,VALUE($C1709),1000000000),IFERROR(IF(VALUE(MID($C1709,2,20))&lt;100000000,VALUE(MID($C1709,2,20)),1000000000),1000000000))+ROW()/100000,"")</f>
        <v/>
      </c>
    </row>
    <row r="1710">
      <c r="D1710" s="11" t="n"/>
      <c r="K1710" s="7">
        <f>IF($C1710="","",J1710*W1710/100)</f>
        <v/>
      </c>
      <c r="Q1710" s="7" t="n"/>
      <c r="R1710" s="7" t="n"/>
      <c r="U1710">
        <f>IF($C1710="","",IF($AJ1710=1,0,IF($AI1710=1,Settings!$C$6,Settings!$C$7))*100)</f>
        <v/>
      </c>
      <c r="V1710" s="7">
        <f>IF($C1710="","",R1710*U1710/100)</f>
        <v/>
      </c>
      <c r="W1710" s="7">
        <f>IF($C1710="","",R1710-V1710)</f>
        <v/>
      </c>
      <c r="X1710" s="7">
        <f>IF($C1710="","",W1710-K1710)</f>
        <v/>
      </c>
      <c r="AB1710" s="7" t="n"/>
      <c r="AE1710" s="11" t="n"/>
      <c r="AG1710">
        <f>IF($C1710="","",IF(COUNTIF($C$2:$C1710,$C1710)=1,1,0))</f>
        <v/>
      </c>
      <c r="AH1710">
        <f>IF($AG1710=1,SUMPRODUCT(--($AK$2:$AK$6001&lt;$AK1710))+1,"")</f>
        <v/>
      </c>
      <c r="AI1710">
        <f>IF($C1710="","",IF(OR($N1710=TRUE(),$N1710="TRUE"),1,0))</f>
        <v/>
      </c>
      <c r="AJ1710">
        <f>IF($C1710="","",IF($T1710="Yes",1,0))</f>
        <v/>
      </c>
      <c r="AK1710">
        <f>IF($AG1710=1,IFERROR(IF(VALUE($C1710)&lt;100000000,VALUE($C1710),1000000000),IFERROR(IF(VALUE(MID($C1710,2,20))&lt;100000000,VALUE(MID($C1710,2,20)),1000000000),1000000000))+ROW()/100000,"")</f>
        <v/>
      </c>
    </row>
    <row r="1711">
      <c r="D1711" s="11" t="n"/>
      <c r="K1711" s="7">
        <f>IF($C1711="","",J1711*W1711/100)</f>
        <v/>
      </c>
      <c r="Q1711" s="7" t="n"/>
      <c r="R1711" s="7" t="n"/>
      <c r="U1711">
        <f>IF($C1711="","",IF($AJ1711=1,0,IF($AI1711=1,Settings!$C$6,Settings!$C$7))*100)</f>
        <v/>
      </c>
      <c r="V1711" s="7">
        <f>IF($C1711="","",R1711*U1711/100)</f>
        <v/>
      </c>
      <c r="W1711" s="7">
        <f>IF($C1711="","",R1711-V1711)</f>
        <v/>
      </c>
      <c r="X1711" s="7">
        <f>IF($C1711="","",W1711-K1711)</f>
        <v/>
      </c>
      <c r="AB1711" s="7" t="n"/>
      <c r="AE1711" s="11" t="n"/>
      <c r="AG1711">
        <f>IF($C1711="","",IF(COUNTIF($C$2:$C1711,$C1711)=1,1,0))</f>
        <v/>
      </c>
      <c r="AH1711">
        <f>IF($AG1711=1,SUMPRODUCT(--($AK$2:$AK$6001&lt;$AK1711))+1,"")</f>
        <v/>
      </c>
      <c r="AI1711">
        <f>IF($C1711="","",IF(OR($N1711=TRUE(),$N1711="TRUE"),1,0))</f>
        <v/>
      </c>
      <c r="AJ1711">
        <f>IF($C1711="","",IF($T1711="Yes",1,0))</f>
        <v/>
      </c>
      <c r="AK1711">
        <f>IF($AG1711=1,IFERROR(IF(VALUE($C1711)&lt;100000000,VALUE($C1711),1000000000),IFERROR(IF(VALUE(MID($C1711,2,20))&lt;100000000,VALUE(MID($C1711,2,20)),1000000000),1000000000))+ROW()/100000,"")</f>
        <v/>
      </c>
    </row>
    <row r="1712">
      <c r="D1712" s="11" t="n"/>
      <c r="K1712" s="7">
        <f>IF($C1712="","",J1712*W1712/100)</f>
        <v/>
      </c>
      <c r="Q1712" s="7" t="n"/>
      <c r="R1712" s="7" t="n"/>
      <c r="U1712">
        <f>IF($C1712="","",IF($AJ1712=1,0,IF($AI1712=1,Settings!$C$6,Settings!$C$7))*100)</f>
        <v/>
      </c>
      <c r="V1712" s="7">
        <f>IF($C1712="","",R1712*U1712/100)</f>
        <v/>
      </c>
      <c r="W1712" s="7">
        <f>IF($C1712="","",R1712-V1712)</f>
        <v/>
      </c>
      <c r="X1712" s="7">
        <f>IF($C1712="","",W1712-K1712)</f>
        <v/>
      </c>
      <c r="AB1712" s="7" t="n"/>
      <c r="AE1712" s="11" t="n"/>
      <c r="AG1712">
        <f>IF($C1712="","",IF(COUNTIF($C$2:$C1712,$C1712)=1,1,0))</f>
        <v/>
      </c>
      <c r="AH1712">
        <f>IF($AG1712=1,SUMPRODUCT(--($AK$2:$AK$6001&lt;$AK1712))+1,"")</f>
        <v/>
      </c>
      <c r="AI1712">
        <f>IF($C1712="","",IF(OR($N1712=TRUE(),$N1712="TRUE"),1,0))</f>
        <v/>
      </c>
      <c r="AJ1712">
        <f>IF($C1712="","",IF($T1712="Yes",1,0))</f>
        <v/>
      </c>
      <c r="AK1712">
        <f>IF($AG1712=1,IFERROR(IF(VALUE($C1712)&lt;100000000,VALUE($C1712),1000000000),IFERROR(IF(VALUE(MID($C1712,2,20))&lt;100000000,VALUE(MID($C1712,2,20)),1000000000),1000000000))+ROW()/100000,"")</f>
        <v/>
      </c>
    </row>
    <row r="1713">
      <c r="D1713" s="11" t="n"/>
      <c r="K1713" s="7">
        <f>IF($C1713="","",J1713*W1713/100)</f>
        <v/>
      </c>
      <c r="Q1713" s="7" t="n"/>
      <c r="R1713" s="7" t="n"/>
      <c r="U1713">
        <f>IF($C1713="","",IF($AJ1713=1,0,IF($AI1713=1,Settings!$C$6,Settings!$C$7))*100)</f>
        <v/>
      </c>
      <c r="V1713" s="7">
        <f>IF($C1713="","",R1713*U1713/100)</f>
        <v/>
      </c>
      <c r="W1713" s="7">
        <f>IF($C1713="","",R1713-V1713)</f>
        <v/>
      </c>
      <c r="X1713" s="7">
        <f>IF($C1713="","",W1713-K1713)</f>
        <v/>
      </c>
      <c r="AB1713" s="7" t="n"/>
      <c r="AE1713" s="11" t="n"/>
      <c r="AG1713">
        <f>IF($C1713="","",IF(COUNTIF($C$2:$C1713,$C1713)=1,1,0))</f>
        <v/>
      </c>
      <c r="AH1713">
        <f>IF($AG1713=1,SUMPRODUCT(--($AK$2:$AK$6001&lt;$AK1713))+1,"")</f>
        <v/>
      </c>
      <c r="AI1713">
        <f>IF($C1713="","",IF(OR($N1713=TRUE(),$N1713="TRUE"),1,0))</f>
        <v/>
      </c>
      <c r="AJ1713">
        <f>IF($C1713="","",IF($T1713="Yes",1,0))</f>
        <v/>
      </c>
      <c r="AK1713">
        <f>IF($AG1713=1,IFERROR(IF(VALUE($C1713)&lt;100000000,VALUE($C1713),1000000000),IFERROR(IF(VALUE(MID($C1713,2,20))&lt;100000000,VALUE(MID($C1713,2,20)),1000000000),1000000000))+ROW()/100000,"")</f>
        <v/>
      </c>
    </row>
    <row r="1714">
      <c r="D1714" s="11" t="n"/>
      <c r="K1714" s="7">
        <f>IF($C1714="","",J1714*W1714/100)</f>
        <v/>
      </c>
      <c r="Q1714" s="7" t="n"/>
      <c r="R1714" s="7" t="n"/>
      <c r="U1714">
        <f>IF($C1714="","",IF($AJ1714=1,0,IF($AI1714=1,Settings!$C$6,Settings!$C$7))*100)</f>
        <v/>
      </c>
      <c r="V1714" s="7">
        <f>IF($C1714="","",R1714*U1714/100)</f>
        <v/>
      </c>
      <c r="W1714" s="7">
        <f>IF($C1714="","",R1714-V1714)</f>
        <v/>
      </c>
      <c r="X1714" s="7">
        <f>IF($C1714="","",W1714-K1714)</f>
        <v/>
      </c>
      <c r="AB1714" s="7" t="n"/>
      <c r="AE1714" s="11" t="n"/>
      <c r="AG1714">
        <f>IF($C1714="","",IF(COUNTIF($C$2:$C1714,$C1714)=1,1,0))</f>
        <v/>
      </c>
      <c r="AH1714">
        <f>IF($AG1714=1,SUMPRODUCT(--($AK$2:$AK$6001&lt;$AK1714))+1,"")</f>
        <v/>
      </c>
      <c r="AI1714">
        <f>IF($C1714="","",IF(OR($N1714=TRUE(),$N1714="TRUE"),1,0))</f>
        <v/>
      </c>
      <c r="AJ1714">
        <f>IF($C1714="","",IF($T1714="Yes",1,0))</f>
        <v/>
      </c>
      <c r="AK1714">
        <f>IF($AG1714=1,IFERROR(IF(VALUE($C1714)&lt;100000000,VALUE($C1714),1000000000),IFERROR(IF(VALUE(MID($C1714,2,20))&lt;100000000,VALUE(MID($C1714,2,20)),1000000000),1000000000))+ROW()/100000,"")</f>
        <v/>
      </c>
    </row>
    <row r="1715">
      <c r="D1715" s="11" t="n"/>
      <c r="K1715" s="7">
        <f>IF($C1715="","",J1715*W1715/100)</f>
        <v/>
      </c>
      <c r="Q1715" s="7" t="n"/>
      <c r="R1715" s="7" t="n"/>
      <c r="U1715">
        <f>IF($C1715="","",IF($AJ1715=1,0,IF($AI1715=1,Settings!$C$6,Settings!$C$7))*100)</f>
        <v/>
      </c>
      <c r="V1715" s="7">
        <f>IF($C1715="","",R1715*U1715/100)</f>
        <v/>
      </c>
      <c r="W1715" s="7">
        <f>IF($C1715="","",R1715-V1715)</f>
        <v/>
      </c>
      <c r="X1715" s="7">
        <f>IF($C1715="","",W1715-K1715)</f>
        <v/>
      </c>
      <c r="AB1715" s="7" t="n"/>
      <c r="AE1715" s="11" t="n"/>
      <c r="AG1715">
        <f>IF($C1715="","",IF(COUNTIF($C$2:$C1715,$C1715)=1,1,0))</f>
        <v/>
      </c>
      <c r="AH1715">
        <f>IF($AG1715=1,SUMPRODUCT(--($AK$2:$AK$6001&lt;$AK1715))+1,"")</f>
        <v/>
      </c>
      <c r="AI1715">
        <f>IF($C1715="","",IF(OR($N1715=TRUE(),$N1715="TRUE"),1,0))</f>
        <v/>
      </c>
      <c r="AJ1715">
        <f>IF($C1715="","",IF($T1715="Yes",1,0))</f>
        <v/>
      </c>
      <c r="AK1715">
        <f>IF($AG1715=1,IFERROR(IF(VALUE($C1715)&lt;100000000,VALUE($C1715),1000000000),IFERROR(IF(VALUE(MID($C1715,2,20))&lt;100000000,VALUE(MID($C1715,2,20)),1000000000),1000000000))+ROW()/100000,"")</f>
        <v/>
      </c>
    </row>
    <row r="1716">
      <c r="D1716" s="11" t="n"/>
      <c r="K1716" s="7">
        <f>IF($C1716="","",J1716*W1716/100)</f>
        <v/>
      </c>
      <c r="Q1716" s="7" t="n"/>
      <c r="R1716" s="7" t="n"/>
      <c r="U1716">
        <f>IF($C1716="","",IF($AJ1716=1,0,IF($AI1716=1,Settings!$C$6,Settings!$C$7))*100)</f>
        <v/>
      </c>
      <c r="V1716" s="7">
        <f>IF($C1716="","",R1716*U1716/100)</f>
        <v/>
      </c>
      <c r="W1716" s="7">
        <f>IF($C1716="","",R1716-V1716)</f>
        <v/>
      </c>
      <c r="X1716" s="7">
        <f>IF($C1716="","",W1716-K1716)</f>
        <v/>
      </c>
      <c r="AB1716" s="7" t="n"/>
      <c r="AE1716" s="11" t="n"/>
      <c r="AG1716">
        <f>IF($C1716="","",IF(COUNTIF($C$2:$C1716,$C1716)=1,1,0))</f>
        <v/>
      </c>
      <c r="AH1716">
        <f>IF($AG1716=1,SUMPRODUCT(--($AK$2:$AK$6001&lt;$AK1716))+1,"")</f>
        <v/>
      </c>
      <c r="AI1716">
        <f>IF($C1716="","",IF(OR($N1716=TRUE(),$N1716="TRUE"),1,0))</f>
        <v/>
      </c>
      <c r="AJ1716">
        <f>IF($C1716="","",IF($T1716="Yes",1,0))</f>
        <v/>
      </c>
      <c r="AK1716">
        <f>IF($AG1716=1,IFERROR(IF(VALUE($C1716)&lt;100000000,VALUE($C1716),1000000000),IFERROR(IF(VALUE(MID($C1716,2,20))&lt;100000000,VALUE(MID($C1716,2,20)),1000000000),1000000000))+ROW()/100000,"")</f>
        <v/>
      </c>
    </row>
    <row r="1717">
      <c r="D1717" s="11" t="n"/>
      <c r="K1717" s="7">
        <f>IF($C1717="","",J1717*W1717/100)</f>
        <v/>
      </c>
      <c r="Q1717" s="7" t="n"/>
      <c r="R1717" s="7" t="n"/>
      <c r="U1717">
        <f>IF($C1717="","",IF($AJ1717=1,0,IF($AI1717=1,Settings!$C$6,Settings!$C$7))*100)</f>
        <v/>
      </c>
      <c r="V1717" s="7">
        <f>IF($C1717="","",R1717*U1717/100)</f>
        <v/>
      </c>
      <c r="W1717" s="7">
        <f>IF($C1717="","",R1717-V1717)</f>
        <v/>
      </c>
      <c r="X1717" s="7">
        <f>IF($C1717="","",W1717-K1717)</f>
        <v/>
      </c>
      <c r="AB1717" s="7" t="n"/>
      <c r="AE1717" s="11" t="n"/>
      <c r="AG1717">
        <f>IF($C1717="","",IF(COUNTIF($C$2:$C1717,$C1717)=1,1,0))</f>
        <v/>
      </c>
      <c r="AH1717">
        <f>IF($AG1717=1,SUMPRODUCT(--($AK$2:$AK$6001&lt;$AK1717))+1,"")</f>
        <v/>
      </c>
      <c r="AI1717">
        <f>IF($C1717="","",IF(OR($N1717=TRUE(),$N1717="TRUE"),1,0))</f>
        <v/>
      </c>
      <c r="AJ1717">
        <f>IF($C1717="","",IF($T1717="Yes",1,0))</f>
        <v/>
      </c>
      <c r="AK1717">
        <f>IF($AG1717=1,IFERROR(IF(VALUE($C1717)&lt;100000000,VALUE($C1717),1000000000),IFERROR(IF(VALUE(MID($C1717,2,20))&lt;100000000,VALUE(MID($C1717,2,20)),1000000000),1000000000))+ROW()/100000,"")</f>
        <v/>
      </c>
    </row>
    <row r="1718">
      <c r="D1718" s="11" t="n"/>
      <c r="K1718" s="7">
        <f>IF($C1718="","",J1718*W1718/100)</f>
        <v/>
      </c>
      <c r="Q1718" s="7" t="n"/>
      <c r="R1718" s="7" t="n"/>
      <c r="U1718">
        <f>IF($C1718="","",IF($AJ1718=1,0,IF($AI1718=1,Settings!$C$6,Settings!$C$7))*100)</f>
        <v/>
      </c>
      <c r="V1718" s="7">
        <f>IF($C1718="","",R1718*U1718/100)</f>
        <v/>
      </c>
      <c r="W1718" s="7">
        <f>IF($C1718="","",R1718-V1718)</f>
        <v/>
      </c>
      <c r="X1718" s="7">
        <f>IF($C1718="","",W1718-K1718)</f>
        <v/>
      </c>
      <c r="AB1718" s="7" t="n"/>
      <c r="AE1718" s="11" t="n"/>
      <c r="AG1718">
        <f>IF($C1718="","",IF(COUNTIF($C$2:$C1718,$C1718)=1,1,0))</f>
        <v/>
      </c>
      <c r="AH1718">
        <f>IF($AG1718=1,SUMPRODUCT(--($AK$2:$AK$6001&lt;$AK1718))+1,"")</f>
        <v/>
      </c>
      <c r="AI1718">
        <f>IF($C1718="","",IF(OR($N1718=TRUE(),$N1718="TRUE"),1,0))</f>
        <v/>
      </c>
      <c r="AJ1718">
        <f>IF($C1718="","",IF($T1718="Yes",1,0))</f>
        <v/>
      </c>
      <c r="AK1718">
        <f>IF($AG1718=1,IFERROR(IF(VALUE($C1718)&lt;100000000,VALUE($C1718),1000000000),IFERROR(IF(VALUE(MID($C1718,2,20))&lt;100000000,VALUE(MID($C1718,2,20)),1000000000),1000000000))+ROW()/100000,"")</f>
        <v/>
      </c>
    </row>
    <row r="1719">
      <c r="D1719" s="11" t="n"/>
      <c r="K1719" s="7">
        <f>IF($C1719="","",J1719*W1719/100)</f>
        <v/>
      </c>
      <c r="Q1719" s="7" t="n"/>
      <c r="R1719" s="7" t="n"/>
      <c r="U1719">
        <f>IF($C1719="","",IF($AJ1719=1,0,IF($AI1719=1,Settings!$C$6,Settings!$C$7))*100)</f>
        <v/>
      </c>
      <c r="V1719" s="7">
        <f>IF($C1719="","",R1719*U1719/100)</f>
        <v/>
      </c>
      <c r="W1719" s="7">
        <f>IF($C1719="","",R1719-V1719)</f>
        <v/>
      </c>
      <c r="X1719" s="7">
        <f>IF($C1719="","",W1719-K1719)</f>
        <v/>
      </c>
      <c r="AB1719" s="7" t="n"/>
      <c r="AE1719" s="11" t="n"/>
      <c r="AG1719">
        <f>IF($C1719="","",IF(COUNTIF($C$2:$C1719,$C1719)=1,1,0))</f>
        <v/>
      </c>
      <c r="AH1719">
        <f>IF($AG1719=1,SUMPRODUCT(--($AK$2:$AK$6001&lt;$AK1719))+1,"")</f>
        <v/>
      </c>
      <c r="AI1719">
        <f>IF($C1719="","",IF(OR($N1719=TRUE(),$N1719="TRUE"),1,0))</f>
        <v/>
      </c>
      <c r="AJ1719">
        <f>IF($C1719="","",IF($T1719="Yes",1,0))</f>
        <v/>
      </c>
      <c r="AK1719">
        <f>IF($AG1719=1,IFERROR(IF(VALUE($C1719)&lt;100000000,VALUE($C1719),1000000000),IFERROR(IF(VALUE(MID($C1719,2,20))&lt;100000000,VALUE(MID($C1719,2,20)),1000000000),1000000000))+ROW()/100000,"")</f>
        <v/>
      </c>
    </row>
    <row r="1720">
      <c r="D1720" s="11" t="n"/>
      <c r="K1720" s="7">
        <f>IF($C1720="","",J1720*W1720/100)</f>
        <v/>
      </c>
      <c r="Q1720" s="7" t="n"/>
      <c r="R1720" s="7" t="n"/>
      <c r="U1720">
        <f>IF($C1720="","",IF($AJ1720=1,0,IF($AI1720=1,Settings!$C$6,Settings!$C$7))*100)</f>
        <v/>
      </c>
      <c r="V1720" s="7">
        <f>IF($C1720="","",R1720*U1720/100)</f>
        <v/>
      </c>
      <c r="W1720" s="7">
        <f>IF($C1720="","",R1720-V1720)</f>
        <v/>
      </c>
      <c r="X1720" s="7">
        <f>IF($C1720="","",W1720-K1720)</f>
        <v/>
      </c>
      <c r="AB1720" s="7" t="n"/>
      <c r="AE1720" s="11" t="n"/>
      <c r="AG1720">
        <f>IF($C1720="","",IF(COUNTIF($C$2:$C1720,$C1720)=1,1,0))</f>
        <v/>
      </c>
      <c r="AH1720">
        <f>IF($AG1720=1,SUMPRODUCT(--($AK$2:$AK$6001&lt;$AK1720))+1,"")</f>
        <v/>
      </c>
      <c r="AI1720">
        <f>IF($C1720="","",IF(OR($N1720=TRUE(),$N1720="TRUE"),1,0))</f>
        <v/>
      </c>
      <c r="AJ1720">
        <f>IF($C1720="","",IF($T1720="Yes",1,0))</f>
        <v/>
      </c>
      <c r="AK1720">
        <f>IF($AG1720=1,IFERROR(IF(VALUE($C1720)&lt;100000000,VALUE($C1720),1000000000),IFERROR(IF(VALUE(MID($C1720,2,20))&lt;100000000,VALUE(MID($C1720,2,20)),1000000000),1000000000))+ROW()/100000,"")</f>
        <v/>
      </c>
    </row>
    <row r="1721">
      <c r="D1721" s="11" t="n"/>
      <c r="K1721" s="7">
        <f>IF($C1721="","",J1721*W1721/100)</f>
        <v/>
      </c>
      <c r="Q1721" s="7" t="n"/>
      <c r="R1721" s="7" t="n"/>
      <c r="U1721">
        <f>IF($C1721="","",IF($AJ1721=1,0,IF($AI1721=1,Settings!$C$6,Settings!$C$7))*100)</f>
        <v/>
      </c>
      <c r="V1721" s="7">
        <f>IF($C1721="","",R1721*U1721/100)</f>
        <v/>
      </c>
      <c r="W1721" s="7">
        <f>IF($C1721="","",R1721-V1721)</f>
        <v/>
      </c>
      <c r="X1721" s="7">
        <f>IF($C1721="","",W1721-K1721)</f>
        <v/>
      </c>
      <c r="AB1721" s="7" t="n"/>
      <c r="AE1721" s="11" t="n"/>
      <c r="AG1721">
        <f>IF($C1721="","",IF(COUNTIF($C$2:$C1721,$C1721)=1,1,0))</f>
        <v/>
      </c>
      <c r="AH1721">
        <f>IF($AG1721=1,SUMPRODUCT(--($AK$2:$AK$6001&lt;$AK1721))+1,"")</f>
        <v/>
      </c>
      <c r="AI1721">
        <f>IF($C1721="","",IF(OR($N1721=TRUE(),$N1721="TRUE"),1,0))</f>
        <v/>
      </c>
      <c r="AJ1721">
        <f>IF($C1721="","",IF($T1721="Yes",1,0))</f>
        <v/>
      </c>
      <c r="AK1721">
        <f>IF($AG1721=1,IFERROR(IF(VALUE($C1721)&lt;100000000,VALUE($C1721),1000000000),IFERROR(IF(VALUE(MID($C1721,2,20))&lt;100000000,VALUE(MID($C1721,2,20)),1000000000),1000000000))+ROW()/100000,"")</f>
        <v/>
      </c>
    </row>
    <row r="1722">
      <c r="D1722" s="11" t="n"/>
      <c r="K1722" s="7">
        <f>IF($C1722="","",J1722*W1722/100)</f>
        <v/>
      </c>
      <c r="Q1722" s="7" t="n"/>
      <c r="R1722" s="7" t="n"/>
      <c r="U1722">
        <f>IF($C1722="","",IF($AJ1722=1,0,IF($AI1722=1,Settings!$C$6,Settings!$C$7))*100)</f>
        <v/>
      </c>
      <c r="V1722" s="7">
        <f>IF($C1722="","",R1722*U1722/100)</f>
        <v/>
      </c>
      <c r="W1722" s="7">
        <f>IF($C1722="","",R1722-V1722)</f>
        <v/>
      </c>
      <c r="X1722" s="7">
        <f>IF($C1722="","",W1722-K1722)</f>
        <v/>
      </c>
      <c r="AB1722" s="7" t="n"/>
      <c r="AE1722" s="11" t="n"/>
      <c r="AG1722">
        <f>IF($C1722="","",IF(COUNTIF($C$2:$C1722,$C1722)=1,1,0))</f>
        <v/>
      </c>
      <c r="AH1722">
        <f>IF($AG1722=1,SUMPRODUCT(--($AK$2:$AK$6001&lt;$AK1722))+1,"")</f>
        <v/>
      </c>
      <c r="AI1722">
        <f>IF($C1722="","",IF(OR($N1722=TRUE(),$N1722="TRUE"),1,0))</f>
        <v/>
      </c>
      <c r="AJ1722">
        <f>IF($C1722="","",IF($T1722="Yes",1,0))</f>
        <v/>
      </c>
      <c r="AK1722">
        <f>IF($AG1722=1,IFERROR(IF(VALUE($C1722)&lt;100000000,VALUE($C1722),1000000000),IFERROR(IF(VALUE(MID($C1722,2,20))&lt;100000000,VALUE(MID($C1722,2,20)),1000000000),1000000000))+ROW()/100000,"")</f>
        <v/>
      </c>
    </row>
    <row r="1723">
      <c r="D1723" s="11" t="n"/>
      <c r="K1723" s="7">
        <f>IF($C1723="","",J1723*W1723/100)</f>
        <v/>
      </c>
      <c r="Q1723" s="7" t="n"/>
      <c r="R1723" s="7" t="n"/>
      <c r="U1723">
        <f>IF($C1723="","",IF($AJ1723=1,0,IF($AI1723=1,Settings!$C$6,Settings!$C$7))*100)</f>
        <v/>
      </c>
      <c r="V1723" s="7">
        <f>IF($C1723="","",R1723*U1723/100)</f>
        <v/>
      </c>
      <c r="W1723" s="7">
        <f>IF($C1723="","",R1723-V1723)</f>
        <v/>
      </c>
      <c r="X1723" s="7">
        <f>IF($C1723="","",W1723-K1723)</f>
        <v/>
      </c>
      <c r="AB1723" s="7" t="n"/>
      <c r="AE1723" s="11" t="n"/>
      <c r="AG1723">
        <f>IF($C1723="","",IF(COUNTIF($C$2:$C1723,$C1723)=1,1,0))</f>
        <v/>
      </c>
      <c r="AH1723">
        <f>IF($AG1723=1,SUMPRODUCT(--($AK$2:$AK$6001&lt;$AK1723))+1,"")</f>
        <v/>
      </c>
      <c r="AI1723">
        <f>IF($C1723="","",IF(OR($N1723=TRUE(),$N1723="TRUE"),1,0))</f>
        <v/>
      </c>
      <c r="AJ1723">
        <f>IF($C1723="","",IF($T1723="Yes",1,0))</f>
        <v/>
      </c>
      <c r="AK1723">
        <f>IF($AG1723=1,IFERROR(IF(VALUE($C1723)&lt;100000000,VALUE($C1723),1000000000),IFERROR(IF(VALUE(MID($C1723,2,20))&lt;100000000,VALUE(MID($C1723,2,20)),1000000000),1000000000))+ROW()/100000,"")</f>
        <v/>
      </c>
    </row>
    <row r="1724">
      <c r="D1724" s="11" t="n"/>
      <c r="K1724" s="7">
        <f>IF($C1724="","",J1724*W1724/100)</f>
        <v/>
      </c>
      <c r="Q1724" s="7" t="n"/>
      <c r="R1724" s="7" t="n"/>
      <c r="U1724">
        <f>IF($C1724="","",IF($AJ1724=1,0,IF($AI1724=1,Settings!$C$6,Settings!$C$7))*100)</f>
        <v/>
      </c>
      <c r="V1724" s="7">
        <f>IF($C1724="","",R1724*U1724/100)</f>
        <v/>
      </c>
      <c r="W1724" s="7">
        <f>IF($C1724="","",R1724-V1724)</f>
        <v/>
      </c>
      <c r="X1724" s="7">
        <f>IF($C1724="","",W1724-K1724)</f>
        <v/>
      </c>
      <c r="AB1724" s="7" t="n"/>
      <c r="AE1724" s="11" t="n"/>
      <c r="AG1724">
        <f>IF($C1724="","",IF(COUNTIF($C$2:$C1724,$C1724)=1,1,0))</f>
        <v/>
      </c>
      <c r="AH1724">
        <f>IF($AG1724=1,SUMPRODUCT(--($AK$2:$AK$6001&lt;$AK1724))+1,"")</f>
        <v/>
      </c>
      <c r="AI1724">
        <f>IF($C1724="","",IF(OR($N1724=TRUE(),$N1724="TRUE"),1,0))</f>
        <v/>
      </c>
      <c r="AJ1724">
        <f>IF($C1724="","",IF($T1724="Yes",1,0))</f>
        <v/>
      </c>
      <c r="AK1724">
        <f>IF($AG1724=1,IFERROR(IF(VALUE($C1724)&lt;100000000,VALUE($C1724),1000000000),IFERROR(IF(VALUE(MID($C1724,2,20))&lt;100000000,VALUE(MID($C1724,2,20)),1000000000),1000000000))+ROW()/100000,"")</f>
        <v/>
      </c>
    </row>
    <row r="1725">
      <c r="D1725" s="11" t="n"/>
      <c r="K1725" s="7">
        <f>IF($C1725="","",J1725*W1725/100)</f>
        <v/>
      </c>
      <c r="Q1725" s="7" t="n"/>
      <c r="R1725" s="7" t="n"/>
      <c r="U1725">
        <f>IF($C1725="","",IF($AJ1725=1,0,IF($AI1725=1,Settings!$C$6,Settings!$C$7))*100)</f>
        <v/>
      </c>
      <c r="V1725" s="7">
        <f>IF($C1725="","",R1725*U1725/100)</f>
        <v/>
      </c>
      <c r="W1725" s="7">
        <f>IF($C1725="","",R1725-V1725)</f>
        <v/>
      </c>
      <c r="X1725" s="7">
        <f>IF($C1725="","",W1725-K1725)</f>
        <v/>
      </c>
      <c r="AB1725" s="7" t="n"/>
      <c r="AE1725" s="11" t="n"/>
      <c r="AG1725">
        <f>IF($C1725="","",IF(COUNTIF($C$2:$C1725,$C1725)=1,1,0))</f>
        <v/>
      </c>
      <c r="AH1725">
        <f>IF($AG1725=1,SUMPRODUCT(--($AK$2:$AK$6001&lt;$AK1725))+1,"")</f>
        <v/>
      </c>
      <c r="AI1725">
        <f>IF($C1725="","",IF(OR($N1725=TRUE(),$N1725="TRUE"),1,0))</f>
        <v/>
      </c>
      <c r="AJ1725">
        <f>IF($C1725="","",IF($T1725="Yes",1,0))</f>
        <v/>
      </c>
      <c r="AK1725">
        <f>IF($AG1725=1,IFERROR(IF(VALUE($C1725)&lt;100000000,VALUE($C1725),1000000000),IFERROR(IF(VALUE(MID($C1725,2,20))&lt;100000000,VALUE(MID($C1725,2,20)),1000000000),1000000000))+ROW()/100000,"")</f>
        <v/>
      </c>
    </row>
    <row r="1726">
      <c r="D1726" s="11" t="n"/>
      <c r="K1726" s="7">
        <f>IF($C1726="","",J1726*W1726/100)</f>
        <v/>
      </c>
      <c r="Q1726" s="7" t="n"/>
      <c r="R1726" s="7" t="n"/>
      <c r="U1726">
        <f>IF($C1726="","",IF($AJ1726=1,0,IF($AI1726=1,Settings!$C$6,Settings!$C$7))*100)</f>
        <v/>
      </c>
      <c r="V1726" s="7">
        <f>IF($C1726="","",R1726*U1726/100)</f>
        <v/>
      </c>
      <c r="W1726" s="7">
        <f>IF($C1726="","",R1726-V1726)</f>
        <v/>
      </c>
      <c r="X1726" s="7">
        <f>IF($C1726="","",W1726-K1726)</f>
        <v/>
      </c>
      <c r="AB1726" s="7" t="n"/>
      <c r="AE1726" s="11" t="n"/>
      <c r="AG1726">
        <f>IF($C1726="","",IF(COUNTIF($C$2:$C1726,$C1726)=1,1,0))</f>
        <v/>
      </c>
      <c r="AH1726">
        <f>IF($AG1726=1,SUMPRODUCT(--($AK$2:$AK$6001&lt;$AK1726))+1,"")</f>
        <v/>
      </c>
      <c r="AI1726">
        <f>IF($C1726="","",IF(OR($N1726=TRUE(),$N1726="TRUE"),1,0))</f>
        <v/>
      </c>
      <c r="AJ1726">
        <f>IF($C1726="","",IF($T1726="Yes",1,0))</f>
        <v/>
      </c>
      <c r="AK1726">
        <f>IF($AG1726=1,IFERROR(IF(VALUE($C1726)&lt;100000000,VALUE($C1726),1000000000),IFERROR(IF(VALUE(MID($C1726,2,20))&lt;100000000,VALUE(MID($C1726,2,20)),1000000000),1000000000))+ROW()/100000,"")</f>
        <v/>
      </c>
    </row>
    <row r="1727">
      <c r="D1727" s="11" t="n"/>
      <c r="K1727" s="7">
        <f>IF($C1727="","",J1727*W1727/100)</f>
        <v/>
      </c>
      <c r="Q1727" s="7" t="n"/>
      <c r="R1727" s="7" t="n"/>
      <c r="U1727">
        <f>IF($C1727="","",IF($AJ1727=1,0,IF($AI1727=1,Settings!$C$6,Settings!$C$7))*100)</f>
        <v/>
      </c>
      <c r="V1727" s="7">
        <f>IF($C1727="","",R1727*U1727/100)</f>
        <v/>
      </c>
      <c r="W1727" s="7">
        <f>IF($C1727="","",R1727-V1727)</f>
        <v/>
      </c>
      <c r="X1727" s="7">
        <f>IF($C1727="","",W1727-K1727)</f>
        <v/>
      </c>
      <c r="AB1727" s="7" t="n"/>
      <c r="AE1727" s="11" t="n"/>
      <c r="AG1727">
        <f>IF($C1727="","",IF(COUNTIF($C$2:$C1727,$C1727)=1,1,0))</f>
        <v/>
      </c>
      <c r="AH1727">
        <f>IF($AG1727=1,SUMPRODUCT(--($AK$2:$AK$6001&lt;$AK1727))+1,"")</f>
        <v/>
      </c>
      <c r="AI1727">
        <f>IF($C1727="","",IF(OR($N1727=TRUE(),$N1727="TRUE"),1,0))</f>
        <v/>
      </c>
      <c r="AJ1727">
        <f>IF($C1727="","",IF($T1727="Yes",1,0))</f>
        <v/>
      </c>
      <c r="AK1727">
        <f>IF($AG1727=1,IFERROR(IF(VALUE($C1727)&lt;100000000,VALUE($C1727),1000000000),IFERROR(IF(VALUE(MID($C1727,2,20))&lt;100000000,VALUE(MID($C1727,2,20)),1000000000),1000000000))+ROW()/100000,"")</f>
        <v/>
      </c>
    </row>
    <row r="1728">
      <c r="D1728" s="11" t="n"/>
      <c r="K1728" s="7">
        <f>IF($C1728="","",J1728*W1728/100)</f>
        <v/>
      </c>
      <c r="Q1728" s="7" t="n"/>
      <c r="R1728" s="7" t="n"/>
      <c r="U1728">
        <f>IF($C1728="","",IF($AJ1728=1,0,IF($AI1728=1,Settings!$C$6,Settings!$C$7))*100)</f>
        <v/>
      </c>
      <c r="V1728" s="7">
        <f>IF($C1728="","",R1728*U1728/100)</f>
        <v/>
      </c>
      <c r="W1728" s="7">
        <f>IF($C1728="","",R1728-V1728)</f>
        <v/>
      </c>
      <c r="X1728" s="7">
        <f>IF($C1728="","",W1728-K1728)</f>
        <v/>
      </c>
      <c r="AB1728" s="7" t="n"/>
      <c r="AE1728" s="11" t="n"/>
      <c r="AG1728">
        <f>IF($C1728="","",IF(COUNTIF($C$2:$C1728,$C1728)=1,1,0))</f>
        <v/>
      </c>
      <c r="AH1728">
        <f>IF($AG1728=1,SUMPRODUCT(--($AK$2:$AK$6001&lt;$AK1728))+1,"")</f>
        <v/>
      </c>
      <c r="AI1728">
        <f>IF($C1728="","",IF(OR($N1728=TRUE(),$N1728="TRUE"),1,0))</f>
        <v/>
      </c>
      <c r="AJ1728">
        <f>IF($C1728="","",IF($T1728="Yes",1,0))</f>
        <v/>
      </c>
      <c r="AK1728">
        <f>IF($AG1728=1,IFERROR(IF(VALUE($C1728)&lt;100000000,VALUE($C1728),1000000000),IFERROR(IF(VALUE(MID($C1728,2,20))&lt;100000000,VALUE(MID($C1728,2,20)),1000000000),1000000000))+ROW()/100000,"")</f>
        <v/>
      </c>
    </row>
    <row r="1729">
      <c r="D1729" s="11" t="n"/>
      <c r="K1729" s="7">
        <f>IF($C1729="","",J1729*W1729/100)</f>
        <v/>
      </c>
      <c r="Q1729" s="7" t="n"/>
      <c r="R1729" s="7" t="n"/>
      <c r="U1729">
        <f>IF($C1729="","",IF($AJ1729=1,0,IF($AI1729=1,Settings!$C$6,Settings!$C$7))*100)</f>
        <v/>
      </c>
      <c r="V1729" s="7">
        <f>IF($C1729="","",R1729*U1729/100)</f>
        <v/>
      </c>
      <c r="W1729" s="7">
        <f>IF($C1729="","",R1729-V1729)</f>
        <v/>
      </c>
      <c r="X1729" s="7">
        <f>IF($C1729="","",W1729-K1729)</f>
        <v/>
      </c>
      <c r="AB1729" s="7" t="n"/>
      <c r="AE1729" s="11" t="n"/>
      <c r="AG1729">
        <f>IF($C1729="","",IF(COUNTIF($C$2:$C1729,$C1729)=1,1,0))</f>
        <v/>
      </c>
      <c r="AH1729">
        <f>IF($AG1729=1,SUMPRODUCT(--($AK$2:$AK$6001&lt;$AK1729))+1,"")</f>
        <v/>
      </c>
      <c r="AI1729">
        <f>IF($C1729="","",IF(OR($N1729=TRUE(),$N1729="TRUE"),1,0))</f>
        <v/>
      </c>
      <c r="AJ1729">
        <f>IF($C1729="","",IF($T1729="Yes",1,0))</f>
        <v/>
      </c>
      <c r="AK1729">
        <f>IF($AG1729=1,IFERROR(IF(VALUE($C1729)&lt;100000000,VALUE($C1729),1000000000),IFERROR(IF(VALUE(MID($C1729,2,20))&lt;100000000,VALUE(MID($C1729,2,20)),1000000000),1000000000))+ROW()/100000,"")</f>
        <v/>
      </c>
    </row>
    <row r="1730">
      <c r="D1730" s="11" t="n"/>
      <c r="K1730" s="7">
        <f>IF($C1730="","",J1730*W1730/100)</f>
        <v/>
      </c>
      <c r="Q1730" s="7" t="n"/>
      <c r="R1730" s="7" t="n"/>
      <c r="U1730">
        <f>IF($C1730="","",IF($AJ1730=1,0,IF($AI1730=1,Settings!$C$6,Settings!$C$7))*100)</f>
        <v/>
      </c>
      <c r="V1730" s="7">
        <f>IF($C1730="","",R1730*U1730/100)</f>
        <v/>
      </c>
      <c r="W1730" s="7">
        <f>IF($C1730="","",R1730-V1730)</f>
        <v/>
      </c>
      <c r="X1730" s="7">
        <f>IF($C1730="","",W1730-K1730)</f>
        <v/>
      </c>
      <c r="AB1730" s="7" t="n"/>
      <c r="AE1730" s="11" t="n"/>
      <c r="AG1730">
        <f>IF($C1730="","",IF(COUNTIF($C$2:$C1730,$C1730)=1,1,0))</f>
        <v/>
      </c>
      <c r="AH1730">
        <f>IF($AG1730=1,SUMPRODUCT(--($AK$2:$AK$6001&lt;$AK1730))+1,"")</f>
        <v/>
      </c>
      <c r="AI1730">
        <f>IF($C1730="","",IF(OR($N1730=TRUE(),$N1730="TRUE"),1,0))</f>
        <v/>
      </c>
      <c r="AJ1730">
        <f>IF($C1730="","",IF($T1730="Yes",1,0))</f>
        <v/>
      </c>
      <c r="AK1730">
        <f>IF($AG1730=1,IFERROR(IF(VALUE($C1730)&lt;100000000,VALUE($C1730),1000000000),IFERROR(IF(VALUE(MID($C1730,2,20))&lt;100000000,VALUE(MID($C1730,2,20)),1000000000),1000000000))+ROW()/100000,"")</f>
        <v/>
      </c>
    </row>
    <row r="1731">
      <c r="D1731" s="11" t="n"/>
      <c r="K1731" s="7">
        <f>IF($C1731="","",J1731*W1731/100)</f>
        <v/>
      </c>
      <c r="Q1731" s="7" t="n"/>
      <c r="R1731" s="7" t="n"/>
      <c r="U1731">
        <f>IF($C1731="","",IF($AJ1731=1,0,IF($AI1731=1,Settings!$C$6,Settings!$C$7))*100)</f>
        <v/>
      </c>
      <c r="V1731" s="7">
        <f>IF($C1731="","",R1731*U1731/100)</f>
        <v/>
      </c>
      <c r="W1731" s="7">
        <f>IF($C1731="","",R1731-V1731)</f>
        <v/>
      </c>
      <c r="X1731" s="7">
        <f>IF($C1731="","",W1731-K1731)</f>
        <v/>
      </c>
      <c r="AB1731" s="7" t="n"/>
      <c r="AE1731" s="11" t="n"/>
      <c r="AG1731">
        <f>IF($C1731="","",IF(COUNTIF($C$2:$C1731,$C1731)=1,1,0))</f>
        <v/>
      </c>
      <c r="AH1731">
        <f>IF($AG1731=1,SUMPRODUCT(--($AK$2:$AK$6001&lt;$AK1731))+1,"")</f>
        <v/>
      </c>
      <c r="AI1731">
        <f>IF($C1731="","",IF(OR($N1731=TRUE(),$N1731="TRUE"),1,0))</f>
        <v/>
      </c>
      <c r="AJ1731">
        <f>IF($C1731="","",IF($T1731="Yes",1,0))</f>
        <v/>
      </c>
      <c r="AK1731">
        <f>IF($AG1731=1,IFERROR(IF(VALUE($C1731)&lt;100000000,VALUE($C1731),1000000000),IFERROR(IF(VALUE(MID($C1731,2,20))&lt;100000000,VALUE(MID($C1731,2,20)),1000000000),1000000000))+ROW()/100000,"")</f>
        <v/>
      </c>
    </row>
    <row r="1732">
      <c r="D1732" s="11" t="n"/>
      <c r="K1732" s="7">
        <f>IF($C1732="","",J1732*W1732/100)</f>
        <v/>
      </c>
      <c r="Q1732" s="7" t="n"/>
      <c r="R1732" s="7" t="n"/>
      <c r="U1732">
        <f>IF($C1732="","",IF($AJ1732=1,0,IF($AI1732=1,Settings!$C$6,Settings!$C$7))*100)</f>
        <v/>
      </c>
      <c r="V1732" s="7">
        <f>IF($C1732="","",R1732*U1732/100)</f>
        <v/>
      </c>
      <c r="W1732" s="7">
        <f>IF($C1732="","",R1732-V1732)</f>
        <v/>
      </c>
      <c r="X1732" s="7">
        <f>IF($C1732="","",W1732-K1732)</f>
        <v/>
      </c>
      <c r="AB1732" s="7" t="n"/>
      <c r="AE1732" s="11" t="n"/>
      <c r="AG1732">
        <f>IF($C1732="","",IF(COUNTIF($C$2:$C1732,$C1732)=1,1,0))</f>
        <v/>
      </c>
      <c r="AH1732">
        <f>IF($AG1732=1,SUMPRODUCT(--($AK$2:$AK$6001&lt;$AK1732))+1,"")</f>
        <v/>
      </c>
      <c r="AI1732">
        <f>IF($C1732="","",IF(OR($N1732=TRUE(),$N1732="TRUE"),1,0))</f>
        <v/>
      </c>
      <c r="AJ1732">
        <f>IF($C1732="","",IF($T1732="Yes",1,0))</f>
        <v/>
      </c>
      <c r="AK1732">
        <f>IF($AG1732=1,IFERROR(IF(VALUE($C1732)&lt;100000000,VALUE($C1732),1000000000),IFERROR(IF(VALUE(MID($C1732,2,20))&lt;100000000,VALUE(MID($C1732,2,20)),1000000000),1000000000))+ROW()/100000,"")</f>
        <v/>
      </c>
    </row>
    <row r="1733">
      <c r="D1733" s="11" t="n"/>
      <c r="K1733" s="7">
        <f>IF($C1733="","",J1733*W1733/100)</f>
        <v/>
      </c>
      <c r="Q1733" s="7" t="n"/>
      <c r="R1733" s="7" t="n"/>
      <c r="U1733">
        <f>IF($C1733="","",IF($AJ1733=1,0,IF($AI1733=1,Settings!$C$6,Settings!$C$7))*100)</f>
        <v/>
      </c>
      <c r="V1733" s="7">
        <f>IF($C1733="","",R1733*U1733/100)</f>
        <v/>
      </c>
      <c r="W1733" s="7">
        <f>IF($C1733="","",R1733-V1733)</f>
        <v/>
      </c>
      <c r="X1733" s="7">
        <f>IF($C1733="","",W1733-K1733)</f>
        <v/>
      </c>
      <c r="AB1733" s="7" t="n"/>
      <c r="AE1733" s="11" t="n"/>
      <c r="AG1733">
        <f>IF($C1733="","",IF(COUNTIF($C$2:$C1733,$C1733)=1,1,0))</f>
        <v/>
      </c>
      <c r="AH1733">
        <f>IF($AG1733=1,SUMPRODUCT(--($AK$2:$AK$6001&lt;$AK1733))+1,"")</f>
        <v/>
      </c>
      <c r="AI1733">
        <f>IF($C1733="","",IF(OR($N1733=TRUE(),$N1733="TRUE"),1,0))</f>
        <v/>
      </c>
      <c r="AJ1733">
        <f>IF($C1733="","",IF($T1733="Yes",1,0))</f>
        <v/>
      </c>
      <c r="AK1733">
        <f>IF($AG1733=1,IFERROR(IF(VALUE($C1733)&lt;100000000,VALUE($C1733),1000000000),IFERROR(IF(VALUE(MID($C1733,2,20))&lt;100000000,VALUE(MID($C1733,2,20)),1000000000),1000000000))+ROW()/100000,"")</f>
        <v/>
      </c>
    </row>
    <row r="1734">
      <c r="D1734" s="11" t="n"/>
      <c r="K1734" s="7">
        <f>IF($C1734="","",J1734*W1734/100)</f>
        <v/>
      </c>
      <c r="Q1734" s="7" t="n"/>
      <c r="R1734" s="7" t="n"/>
      <c r="U1734">
        <f>IF($C1734="","",IF($AJ1734=1,0,IF($AI1734=1,Settings!$C$6,Settings!$C$7))*100)</f>
        <v/>
      </c>
      <c r="V1734" s="7">
        <f>IF($C1734="","",R1734*U1734/100)</f>
        <v/>
      </c>
      <c r="W1734" s="7">
        <f>IF($C1734="","",R1734-V1734)</f>
        <v/>
      </c>
      <c r="X1734" s="7">
        <f>IF($C1734="","",W1734-K1734)</f>
        <v/>
      </c>
      <c r="AB1734" s="7" t="n"/>
      <c r="AE1734" s="11" t="n"/>
      <c r="AG1734">
        <f>IF($C1734="","",IF(COUNTIF($C$2:$C1734,$C1734)=1,1,0))</f>
        <v/>
      </c>
      <c r="AH1734">
        <f>IF($AG1734=1,SUMPRODUCT(--($AK$2:$AK$6001&lt;$AK1734))+1,"")</f>
        <v/>
      </c>
      <c r="AI1734">
        <f>IF($C1734="","",IF(OR($N1734=TRUE(),$N1734="TRUE"),1,0))</f>
        <v/>
      </c>
      <c r="AJ1734">
        <f>IF($C1734="","",IF($T1734="Yes",1,0))</f>
        <v/>
      </c>
      <c r="AK1734">
        <f>IF($AG1734=1,IFERROR(IF(VALUE($C1734)&lt;100000000,VALUE($C1734),1000000000),IFERROR(IF(VALUE(MID($C1734,2,20))&lt;100000000,VALUE(MID($C1734,2,20)),1000000000),1000000000))+ROW()/100000,"")</f>
        <v/>
      </c>
    </row>
    <row r="1735">
      <c r="D1735" s="11" t="n"/>
      <c r="K1735" s="7">
        <f>IF($C1735="","",J1735*W1735/100)</f>
        <v/>
      </c>
      <c r="Q1735" s="7" t="n"/>
      <c r="R1735" s="7" t="n"/>
      <c r="U1735">
        <f>IF($C1735="","",IF($AJ1735=1,0,IF($AI1735=1,Settings!$C$6,Settings!$C$7))*100)</f>
        <v/>
      </c>
      <c r="V1735" s="7">
        <f>IF($C1735="","",R1735*U1735/100)</f>
        <v/>
      </c>
      <c r="W1735" s="7">
        <f>IF($C1735="","",R1735-V1735)</f>
        <v/>
      </c>
      <c r="X1735" s="7">
        <f>IF($C1735="","",W1735-K1735)</f>
        <v/>
      </c>
      <c r="AB1735" s="7" t="n"/>
      <c r="AE1735" s="11" t="n"/>
      <c r="AG1735">
        <f>IF($C1735="","",IF(COUNTIF($C$2:$C1735,$C1735)=1,1,0))</f>
        <v/>
      </c>
      <c r="AH1735">
        <f>IF($AG1735=1,SUMPRODUCT(--($AK$2:$AK$6001&lt;$AK1735))+1,"")</f>
        <v/>
      </c>
      <c r="AI1735">
        <f>IF($C1735="","",IF(OR($N1735=TRUE(),$N1735="TRUE"),1,0))</f>
        <v/>
      </c>
      <c r="AJ1735">
        <f>IF($C1735="","",IF($T1735="Yes",1,0))</f>
        <v/>
      </c>
      <c r="AK1735">
        <f>IF($AG1735=1,IFERROR(IF(VALUE($C1735)&lt;100000000,VALUE($C1735),1000000000),IFERROR(IF(VALUE(MID($C1735,2,20))&lt;100000000,VALUE(MID($C1735,2,20)),1000000000),1000000000))+ROW()/100000,"")</f>
        <v/>
      </c>
    </row>
    <row r="1736">
      <c r="D1736" s="11" t="n"/>
      <c r="K1736" s="7">
        <f>IF($C1736="","",J1736*W1736/100)</f>
        <v/>
      </c>
      <c r="Q1736" s="7" t="n"/>
      <c r="R1736" s="7" t="n"/>
      <c r="U1736">
        <f>IF($C1736="","",IF($AJ1736=1,0,IF($AI1736=1,Settings!$C$6,Settings!$C$7))*100)</f>
        <v/>
      </c>
      <c r="V1736" s="7">
        <f>IF($C1736="","",R1736*U1736/100)</f>
        <v/>
      </c>
      <c r="W1736" s="7">
        <f>IF($C1736="","",R1736-V1736)</f>
        <v/>
      </c>
      <c r="X1736" s="7">
        <f>IF($C1736="","",W1736-K1736)</f>
        <v/>
      </c>
      <c r="AB1736" s="7" t="n"/>
      <c r="AE1736" s="11" t="n"/>
      <c r="AG1736">
        <f>IF($C1736="","",IF(COUNTIF($C$2:$C1736,$C1736)=1,1,0))</f>
        <v/>
      </c>
      <c r="AH1736">
        <f>IF($AG1736=1,SUMPRODUCT(--($AK$2:$AK$6001&lt;$AK1736))+1,"")</f>
        <v/>
      </c>
      <c r="AI1736">
        <f>IF($C1736="","",IF(OR($N1736=TRUE(),$N1736="TRUE"),1,0))</f>
        <v/>
      </c>
      <c r="AJ1736">
        <f>IF($C1736="","",IF($T1736="Yes",1,0))</f>
        <v/>
      </c>
      <c r="AK1736">
        <f>IF($AG1736=1,IFERROR(IF(VALUE($C1736)&lt;100000000,VALUE($C1736),1000000000),IFERROR(IF(VALUE(MID($C1736,2,20))&lt;100000000,VALUE(MID($C1736,2,20)),1000000000),1000000000))+ROW()/100000,"")</f>
        <v/>
      </c>
    </row>
    <row r="1737">
      <c r="D1737" s="11" t="n"/>
      <c r="K1737" s="7">
        <f>IF($C1737="","",J1737*W1737/100)</f>
        <v/>
      </c>
      <c r="Q1737" s="7" t="n"/>
      <c r="R1737" s="7" t="n"/>
      <c r="U1737">
        <f>IF($C1737="","",IF($AJ1737=1,0,IF($AI1737=1,Settings!$C$6,Settings!$C$7))*100)</f>
        <v/>
      </c>
      <c r="V1737" s="7">
        <f>IF($C1737="","",R1737*U1737/100)</f>
        <v/>
      </c>
      <c r="W1737" s="7">
        <f>IF($C1737="","",R1737-V1737)</f>
        <v/>
      </c>
      <c r="X1737" s="7">
        <f>IF($C1737="","",W1737-K1737)</f>
        <v/>
      </c>
      <c r="AB1737" s="7" t="n"/>
      <c r="AE1737" s="11" t="n"/>
      <c r="AG1737">
        <f>IF($C1737="","",IF(COUNTIF($C$2:$C1737,$C1737)=1,1,0))</f>
        <v/>
      </c>
      <c r="AH1737">
        <f>IF($AG1737=1,SUMPRODUCT(--($AK$2:$AK$6001&lt;$AK1737))+1,"")</f>
        <v/>
      </c>
      <c r="AI1737">
        <f>IF($C1737="","",IF(OR($N1737=TRUE(),$N1737="TRUE"),1,0))</f>
        <v/>
      </c>
      <c r="AJ1737">
        <f>IF($C1737="","",IF($T1737="Yes",1,0))</f>
        <v/>
      </c>
      <c r="AK1737">
        <f>IF($AG1737=1,IFERROR(IF(VALUE($C1737)&lt;100000000,VALUE($C1737),1000000000),IFERROR(IF(VALUE(MID($C1737,2,20))&lt;100000000,VALUE(MID($C1737,2,20)),1000000000),1000000000))+ROW()/100000,"")</f>
        <v/>
      </c>
    </row>
    <row r="1738">
      <c r="D1738" s="11" t="n"/>
      <c r="K1738" s="7">
        <f>IF($C1738="","",J1738*W1738/100)</f>
        <v/>
      </c>
      <c r="Q1738" s="7" t="n"/>
      <c r="R1738" s="7" t="n"/>
      <c r="U1738">
        <f>IF($C1738="","",IF($AJ1738=1,0,IF($AI1738=1,Settings!$C$6,Settings!$C$7))*100)</f>
        <v/>
      </c>
      <c r="V1738" s="7">
        <f>IF($C1738="","",R1738*U1738/100)</f>
        <v/>
      </c>
      <c r="W1738" s="7">
        <f>IF($C1738="","",R1738-V1738)</f>
        <v/>
      </c>
      <c r="X1738" s="7">
        <f>IF($C1738="","",W1738-K1738)</f>
        <v/>
      </c>
      <c r="AB1738" s="7" t="n"/>
      <c r="AE1738" s="11" t="n"/>
      <c r="AG1738">
        <f>IF($C1738="","",IF(COUNTIF($C$2:$C1738,$C1738)=1,1,0))</f>
        <v/>
      </c>
      <c r="AH1738">
        <f>IF($AG1738=1,SUMPRODUCT(--($AK$2:$AK$6001&lt;$AK1738))+1,"")</f>
        <v/>
      </c>
      <c r="AI1738">
        <f>IF($C1738="","",IF(OR($N1738=TRUE(),$N1738="TRUE"),1,0))</f>
        <v/>
      </c>
      <c r="AJ1738">
        <f>IF($C1738="","",IF($T1738="Yes",1,0))</f>
        <v/>
      </c>
      <c r="AK1738">
        <f>IF($AG1738=1,IFERROR(IF(VALUE($C1738)&lt;100000000,VALUE($C1738),1000000000),IFERROR(IF(VALUE(MID($C1738,2,20))&lt;100000000,VALUE(MID($C1738,2,20)),1000000000),1000000000))+ROW()/100000,"")</f>
        <v/>
      </c>
    </row>
    <row r="1739">
      <c r="D1739" s="11" t="n"/>
      <c r="K1739" s="7">
        <f>IF($C1739="","",J1739*W1739/100)</f>
        <v/>
      </c>
      <c r="Q1739" s="7" t="n"/>
      <c r="R1739" s="7" t="n"/>
      <c r="U1739">
        <f>IF($C1739="","",IF($AJ1739=1,0,IF($AI1739=1,Settings!$C$6,Settings!$C$7))*100)</f>
        <v/>
      </c>
      <c r="V1739" s="7">
        <f>IF($C1739="","",R1739*U1739/100)</f>
        <v/>
      </c>
      <c r="W1739" s="7">
        <f>IF($C1739="","",R1739-V1739)</f>
        <v/>
      </c>
      <c r="X1739" s="7">
        <f>IF($C1739="","",W1739-K1739)</f>
        <v/>
      </c>
      <c r="AB1739" s="7" t="n"/>
      <c r="AE1739" s="11" t="n"/>
      <c r="AG1739">
        <f>IF($C1739="","",IF(COUNTIF($C$2:$C1739,$C1739)=1,1,0))</f>
        <v/>
      </c>
      <c r="AH1739">
        <f>IF($AG1739=1,SUMPRODUCT(--($AK$2:$AK$6001&lt;$AK1739))+1,"")</f>
        <v/>
      </c>
      <c r="AI1739">
        <f>IF($C1739="","",IF(OR($N1739=TRUE(),$N1739="TRUE"),1,0))</f>
        <v/>
      </c>
      <c r="AJ1739">
        <f>IF($C1739="","",IF($T1739="Yes",1,0))</f>
        <v/>
      </c>
      <c r="AK1739">
        <f>IF($AG1739=1,IFERROR(IF(VALUE($C1739)&lt;100000000,VALUE($C1739),1000000000),IFERROR(IF(VALUE(MID($C1739,2,20))&lt;100000000,VALUE(MID($C1739,2,20)),1000000000),1000000000))+ROW()/100000,"")</f>
        <v/>
      </c>
    </row>
    <row r="1740">
      <c r="D1740" s="11" t="n"/>
      <c r="K1740" s="7">
        <f>IF($C1740="","",J1740*W1740/100)</f>
        <v/>
      </c>
      <c r="Q1740" s="7" t="n"/>
      <c r="R1740" s="7" t="n"/>
      <c r="U1740">
        <f>IF($C1740="","",IF($AJ1740=1,0,IF($AI1740=1,Settings!$C$6,Settings!$C$7))*100)</f>
        <v/>
      </c>
      <c r="V1740" s="7">
        <f>IF($C1740="","",R1740*U1740/100)</f>
        <v/>
      </c>
      <c r="W1740" s="7">
        <f>IF($C1740="","",R1740-V1740)</f>
        <v/>
      </c>
      <c r="X1740" s="7">
        <f>IF($C1740="","",W1740-K1740)</f>
        <v/>
      </c>
      <c r="AB1740" s="7" t="n"/>
      <c r="AE1740" s="11" t="n"/>
      <c r="AG1740">
        <f>IF($C1740="","",IF(COUNTIF($C$2:$C1740,$C1740)=1,1,0))</f>
        <v/>
      </c>
      <c r="AH1740">
        <f>IF($AG1740=1,SUMPRODUCT(--($AK$2:$AK$6001&lt;$AK1740))+1,"")</f>
        <v/>
      </c>
      <c r="AI1740">
        <f>IF($C1740="","",IF(OR($N1740=TRUE(),$N1740="TRUE"),1,0))</f>
        <v/>
      </c>
      <c r="AJ1740">
        <f>IF($C1740="","",IF($T1740="Yes",1,0))</f>
        <v/>
      </c>
      <c r="AK1740">
        <f>IF($AG1740=1,IFERROR(IF(VALUE($C1740)&lt;100000000,VALUE($C1740),1000000000),IFERROR(IF(VALUE(MID($C1740,2,20))&lt;100000000,VALUE(MID($C1740,2,20)),1000000000),1000000000))+ROW()/100000,"")</f>
        <v/>
      </c>
    </row>
    <row r="1741">
      <c r="D1741" s="11" t="n"/>
      <c r="K1741" s="7">
        <f>IF($C1741="","",J1741*W1741/100)</f>
        <v/>
      </c>
      <c r="Q1741" s="7" t="n"/>
      <c r="R1741" s="7" t="n"/>
      <c r="U1741">
        <f>IF($C1741="","",IF($AJ1741=1,0,IF($AI1741=1,Settings!$C$6,Settings!$C$7))*100)</f>
        <v/>
      </c>
      <c r="V1741" s="7">
        <f>IF($C1741="","",R1741*U1741/100)</f>
        <v/>
      </c>
      <c r="W1741" s="7">
        <f>IF($C1741="","",R1741-V1741)</f>
        <v/>
      </c>
      <c r="X1741" s="7">
        <f>IF($C1741="","",W1741-K1741)</f>
        <v/>
      </c>
      <c r="AB1741" s="7" t="n"/>
      <c r="AE1741" s="11" t="n"/>
      <c r="AG1741">
        <f>IF($C1741="","",IF(COUNTIF($C$2:$C1741,$C1741)=1,1,0))</f>
        <v/>
      </c>
      <c r="AH1741">
        <f>IF($AG1741=1,SUMPRODUCT(--($AK$2:$AK$6001&lt;$AK1741))+1,"")</f>
        <v/>
      </c>
      <c r="AI1741">
        <f>IF($C1741="","",IF(OR($N1741=TRUE(),$N1741="TRUE"),1,0))</f>
        <v/>
      </c>
      <c r="AJ1741">
        <f>IF($C1741="","",IF($T1741="Yes",1,0))</f>
        <v/>
      </c>
      <c r="AK1741">
        <f>IF($AG1741=1,IFERROR(IF(VALUE($C1741)&lt;100000000,VALUE($C1741),1000000000),IFERROR(IF(VALUE(MID($C1741,2,20))&lt;100000000,VALUE(MID($C1741,2,20)),1000000000),1000000000))+ROW()/100000,"")</f>
        <v/>
      </c>
    </row>
    <row r="1742">
      <c r="D1742" s="11" t="n"/>
      <c r="K1742" s="7">
        <f>IF($C1742="","",J1742*W1742/100)</f>
        <v/>
      </c>
      <c r="Q1742" s="7" t="n"/>
      <c r="R1742" s="7" t="n"/>
      <c r="U1742">
        <f>IF($C1742="","",IF($AJ1742=1,0,IF($AI1742=1,Settings!$C$6,Settings!$C$7))*100)</f>
        <v/>
      </c>
      <c r="V1742" s="7">
        <f>IF($C1742="","",R1742*U1742/100)</f>
        <v/>
      </c>
      <c r="W1742" s="7">
        <f>IF($C1742="","",R1742-V1742)</f>
        <v/>
      </c>
      <c r="X1742" s="7">
        <f>IF($C1742="","",W1742-K1742)</f>
        <v/>
      </c>
      <c r="AB1742" s="7" t="n"/>
      <c r="AE1742" s="11" t="n"/>
      <c r="AG1742">
        <f>IF($C1742="","",IF(COUNTIF($C$2:$C1742,$C1742)=1,1,0))</f>
        <v/>
      </c>
      <c r="AH1742">
        <f>IF($AG1742=1,SUMPRODUCT(--($AK$2:$AK$6001&lt;$AK1742))+1,"")</f>
        <v/>
      </c>
      <c r="AI1742">
        <f>IF($C1742="","",IF(OR($N1742=TRUE(),$N1742="TRUE"),1,0))</f>
        <v/>
      </c>
      <c r="AJ1742">
        <f>IF($C1742="","",IF($T1742="Yes",1,0))</f>
        <v/>
      </c>
      <c r="AK1742">
        <f>IF($AG1742=1,IFERROR(IF(VALUE($C1742)&lt;100000000,VALUE($C1742),1000000000),IFERROR(IF(VALUE(MID($C1742,2,20))&lt;100000000,VALUE(MID($C1742,2,20)),1000000000),1000000000))+ROW()/100000,"")</f>
        <v/>
      </c>
    </row>
    <row r="1743">
      <c r="D1743" s="11" t="n"/>
      <c r="K1743" s="7">
        <f>IF($C1743="","",J1743*W1743/100)</f>
        <v/>
      </c>
      <c r="Q1743" s="7" t="n"/>
      <c r="R1743" s="7" t="n"/>
      <c r="U1743">
        <f>IF($C1743="","",IF($AJ1743=1,0,IF($AI1743=1,Settings!$C$6,Settings!$C$7))*100)</f>
        <v/>
      </c>
      <c r="V1743" s="7">
        <f>IF($C1743="","",R1743*U1743/100)</f>
        <v/>
      </c>
      <c r="W1743" s="7">
        <f>IF($C1743="","",R1743-V1743)</f>
        <v/>
      </c>
      <c r="X1743" s="7">
        <f>IF($C1743="","",W1743-K1743)</f>
        <v/>
      </c>
      <c r="AB1743" s="7" t="n"/>
      <c r="AE1743" s="11" t="n"/>
      <c r="AG1743">
        <f>IF($C1743="","",IF(COUNTIF($C$2:$C1743,$C1743)=1,1,0))</f>
        <v/>
      </c>
      <c r="AH1743">
        <f>IF($AG1743=1,SUMPRODUCT(--($AK$2:$AK$6001&lt;$AK1743))+1,"")</f>
        <v/>
      </c>
      <c r="AI1743">
        <f>IF($C1743="","",IF(OR($N1743=TRUE(),$N1743="TRUE"),1,0))</f>
        <v/>
      </c>
      <c r="AJ1743">
        <f>IF($C1743="","",IF($T1743="Yes",1,0))</f>
        <v/>
      </c>
      <c r="AK1743">
        <f>IF($AG1743=1,IFERROR(IF(VALUE($C1743)&lt;100000000,VALUE($C1743),1000000000),IFERROR(IF(VALUE(MID($C1743,2,20))&lt;100000000,VALUE(MID($C1743,2,20)),1000000000),1000000000))+ROW()/100000,"")</f>
        <v/>
      </c>
    </row>
    <row r="1744">
      <c r="D1744" s="11" t="n"/>
      <c r="K1744" s="7">
        <f>IF($C1744="","",J1744*W1744/100)</f>
        <v/>
      </c>
      <c r="Q1744" s="7" t="n"/>
      <c r="R1744" s="7" t="n"/>
      <c r="U1744">
        <f>IF($C1744="","",IF($AJ1744=1,0,IF($AI1744=1,Settings!$C$6,Settings!$C$7))*100)</f>
        <v/>
      </c>
      <c r="V1744" s="7">
        <f>IF($C1744="","",R1744*U1744/100)</f>
        <v/>
      </c>
      <c r="W1744" s="7">
        <f>IF($C1744="","",R1744-V1744)</f>
        <v/>
      </c>
      <c r="X1744" s="7">
        <f>IF($C1744="","",W1744-K1744)</f>
        <v/>
      </c>
      <c r="AB1744" s="7" t="n"/>
      <c r="AE1744" s="11" t="n"/>
      <c r="AG1744">
        <f>IF($C1744="","",IF(COUNTIF($C$2:$C1744,$C1744)=1,1,0))</f>
        <v/>
      </c>
      <c r="AH1744">
        <f>IF($AG1744=1,SUMPRODUCT(--($AK$2:$AK$6001&lt;$AK1744))+1,"")</f>
        <v/>
      </c>
      <c r="AI1744">
        <f>IF($C1744="","",IF(OR($N1744=TRUE(),$N1744="TRUE"),1,0))</f>
        <v/>
      </c>
      <c r="AJ1744">
        <f>IF($C1744="","",IF($T1744="Yes",1,0))</f>
        <v/>
      </c>
      <c r="AK1744">
        <f>IF($AG1744=1,IFERROR(IF(VALUE($C1744)&lt;100000000,VALUE($C1744),1000000000),IFERROR(IF(VALUE(MID($C1744,2,20))&lt;100000000,VALUE(MID($C1744,2,20)),1000000000),1000000000))+ROW()/100000,"")</f>
        <v/>
      </c>
    </row>
    <row r="1745">
      <c r="D1745" s="11" t="n"/>
      <c r="K1745" s="7">
        <f>IF($C1745="","",J1745*W1745/100)</f>
        <v/>
      </c>
      <c r="Q1745" s="7" t="n"/>
      <c r="R1745" s="7" t="n"/>
      <c r="U1745">
        <f>IF($C1745="","",IF($AJ1745=1,0,IF($AI1745=1,Settings!$C$6,Settings!$C$7))*100)</f>
        <v/>
      </c>
      <c r="V1745" s="7">
        <f>IF($C1745="","",R1745*U1745/100)</f>
        <v/>
      </c>
      <c r="W1745" s="7">
        <f>IF($C1745="","",R1745-V1745)</f>
        <v/>
      </c>
      <c r="X1745" s="7">
        <f>IF($C1745="","",W1745-K1745)</f>
        <v/>
      </c>
      <c r="AB1745" s="7" t="n"/>
      <c r="AE1745" s="11" t="n"/>
      <c r="AG1745">
        <f>IF($C1745="","",IF(COUNTIF($C$2:$C1745,$C1745)=1,1,0))</f>
        <v/>
      </c>
      <c r="AH1745">
        <f>IF($AG1745=1,SUMPRODUCT(--($AK$2:$AK$6001&lt;$AK1745))+1,"")</f>
        <v/>
      </c>
      <c r="AI1745">
        <f>IF($C1745="","",IF(OR($N1745=TRUE(),$N1745="TRUE"),1,0))</f>
        <v/>
      </c>
      <c r="AJ1745">
        <f>IF($C1745="","",IF($T1745="Yes",1,0))</f>
        <v/>
      </c>
      <c r="AK1745">
        <f>IF($AG1745=1,IFERROR(IF(VALUE($C1745)&lt;100000000,VALUE($C1745),1000000000),IFERROR(IF(VALUE(MID($C1745,2,20))&lt;100000000,VALUE(MID($C1745,2,20)),1000000000),1000000000))+ROW()/100000,"")</f>
        <v/>
      </c>
    </row>
    <row r="1746">
      <c r="D1746" s="11" t="n"/>
      <c r="K1746" s="7">
        <f>IF($C1746="","",J1746*W1746/100)</f>
        <v/>
      </c>
      <c r="Q1746" s="7" t="n"/>
      <c r="R1746" s="7" t="n"/>
      <c r="U1746">
        <f>IF($C1746="","",IF($AJ1746=1,0,IF($AI1746=1,Settings!$C$6,Settings!$C$7))*100)</f>
        <v/>
      </c>
      <c r="V1746" s="7">
        <f>IF($C1746="","",R1746*U1746/100)</f>
        <v/>
      </c>
      <c r="W1746" s="7">
        <f>IF($C1746="","",R1746-V1746)</f>
        <v/>
      </c>
      <c r="X1746" s="7">
        <f>IF($C1746="","",W1746-K1746)</f>
        <v/>
      </c>
      <c r="AB1746" s="7" t="n"/>
      <c r="AE1746" s="11" t="n"/>
      <c r="AG1746">
        <f>IF($C1746="","",IF(COUNTIF($C$2:$C1746,$C1746)=1,1,0))</f>
        <v/>
      </c>
      <c r="AH1746">
        <f>IF($AG1746=1,SUMPRODUCT(--($AK$2:$AK$6001&lt;$AK1746))+1,"")</f>
        <v/>
      </c>
      <c r="AI1746">
        <f>IF($C1746="","",IF(OR($N1746=TRUE(),$N1746="TRUE"),1,0))</f>
        <v/>
      </c>
      <c r="AJ1746">
        <f>IF($C1746="","",IF($T1746="Yes",1,0))</f>
        <v/>
      </c>
      <c r="AK1746">
        <f>IF($AG1746=1,IFERROR(IF(VALUE($C1746)&lt;100000000,VALUE($C1746),1000000000),IFERROR(IF(VALUE(MID($C1746,2,20))&lt;100000000,VALUE(MID($C1746,2,20)),1000000000),1000000000))+ROW()/100000,"")</f>
        <v/>
      </c>
    </row>
    <row r="1747">
      <c r="D1747" s="11" t="n"/>
      <c r="K1747" s="7">
        <f>IF($C1747="","",J1747*W1747/100)</f>
        <v/>
      </c>
      <c r="Q1747" s="7" t="n"/>
      <c r="R1747" s="7" t="n"/>
      <c r="U1747">
        <f>IF($C1747="","",IF($AJ1747=1,0,IF($AI1747=1,Settings!$C$6,Settings!$C$7))*100)</f>
        <v/>
      </c>
      <c r="V1747" s="7">
        <f>IF($C1747="","",R1747*U1747/100)</f>
        <v/>
      </c>
      <c r="W1747" s="7">
        <f>IF($C1747="","",R1747-V1747)</f>
        <v/>
      </c>
      <c r="X1747" s="7">
        <f>IF($C1747="","",W1747-K1747)</f>
        <v/>
      </c>
      <c r="AB1747" s="7" t="n"/>
      <c r="AE1747" s="11" t="n"/>
      <c r="AG1747">
        <f>IF($C1747="","",IF(COUNTIF($C$2:$C1747,$C1747)=1,1,0))</f>
        <v/>
      </c>
      <c r="AH1747">
        <f>IF($AG1747=1,SUMPRODUCT(--($AK$2:$AK$6001&lt;$AK1747))+1,"")</f>
        <v/>
      </c>
      <c r="AI1747">
        <f>IF($C1747="","",IF(OR($N1747=TRUE(),$N1747="TRUE"),1,0))</f>
        <v/>
      </c>
      <c r="AJ1747">
        <f>IF($C1747="","",IF($T1747="Yes",1,0))</f>
        <v/>
      </c>
      <c r="AK1747">
        <f>IF($AG1747=1,IFERROR(IF(VALUE($C1747)&lt;100000000,VALUE($C1747),1000000000),IFERROR(IF(VALUE(MID($C1747,2,20))&lt;100000000,VALUE(MID($C1747,2,20)),1000000000),1000000000))+ROW()/100000,"")</f>
        <v/>
      </c>
    </row>
    <row r="1748">
      <c r="D1748" s="11" t="n"/>
      <c r="K1748" s="7">
        <f>IF($C1748="","",J1748*W1748/100)</f>
        <v/>
      </c>
      <c r="Q1748" s="7" t="n"/>
      <c r="R1748" s="7" t="n"/>
      <c r="U1748">
        <f>IF($C1748="","",IF($AJ1748=1,0,IF($AI1748=1,Settings!$C$6,Settings!$C$7))*100)</f>
        <v/>
      </c>
      <c r="V1748" s="7">
        <f>IF($C1748="","",R1748*U1748/100)</f>
        <v/>
      </c>
      <c r="W1748" s="7">
        <f>IF($C1748="","",R1748-V1748)</f>
        <v/>
      </c>
      <c r="X1748" s="7">
        <f>IF($C1748="","",W1748-K1748)</f>
        <v/>
      </c>
      <c r="AB1748" s="7" t="n"/>
      <c r="AE1748" s="11" t="n"/>
      <c r="AG1748">
        <f>IF($C1748="","",IF(COUNTIF($C$2:$C1748,$C1748)=1,1,0))</f>
        <v/>
      </c>
      <c r="AH1748">
        <f>IF($AG1748=1,SUMPRODUCT(--($AK$2:$AK$6001&lt;$AK1748))+1,"")</f>
        <v/>
      </c>
      <c r="AI1748">
        <f>IF($C1748="","",IF(OR($N1748=TRUE(),$N1748="TRUE"),1,0))</f>
        <v/>
      </c>
      <c r="AJ1748">
        <f>IF($C1748="","",IF($T1748="Yes",1,0))</f>
        <v/>
      </c>
      <c r="AK1748">
        <f>IF($AG1748=1,IFERROR(IF(VALUE($C1748)&lt;100000000,VALUE($C1748),1000000000),IFERROR(IF(VALUE(MID($C1748,2,20))&lt;100000000,VALUE(MID($C1748,2,20)),1000000000),1000000000))+ROW()/100000,"")</f>
        <v/>
      </c>
    </row>
    <row r="1749">
      <c r="D1749" s="11" t="n"/>
      <c r="K1749" s="7">
        <f>IF($C1749="","",J1749*W1749/100)</f>
        <v/>
      </c>
      <c r="Q1749" s="7" t="n"/>
      <c r="R1749" s="7" t="n"/>
      <c r="U1749">
        <f>IF($C1749="","",IF($AJ1749=1,0,IF($AI1749=1,Settings!$C$6,Settings!$C$7))*100)</f>
        <v/>
      </c>
      <c r="V1749" s="7">
        <f>IF($C1749="","",R1749*U1749/100)</f>
        <v/>
      </c>
      <c r="W1749" s="7">
        <f>IF($C1749="","",R1749-V1749)</f>
        <v/>
      </c>
      <c r="X1749" s="7">
        <f>IF($C1749="","",W1749-K1749)</f>
        <v/>
      </c>
      <c r="AB1749" s="7" t="n"/>
      <c r="AE1749" s="11" t="n"/>
      <c r="AG1749">
        <f>IF($C1749="","",IF(COUNTIF($C$2:$C1749,$C1749)=1,1,0))</f>
        <v/>
      </c>
      <c r="AH1749">
        <f>IF($AG1749=1,SUMPRODUCT(--($AK$2:$AK$6001&lt;$AK1749))+1,"")</f>
        <v/>
      </c>
      <c r="AI1749">
        <f>IF($C1749="","",IF(OR($N1749=TRUE(),$N1749="TRUE"),1,0))</f>
        <v/>
      </c>
      <c r="AJ1749">
        <f>IF($C1749="","",IF($T1749="Yes",1,0))</f>
        <v/>
      </c>
      <c r="AK1749">
        <f>IF($AG1749=1,IFERROR(IF(VALUE($C1749)&lt;100000000,VALUE($C1749),1000000000),IFERROR(IF(VALUE(MID($C1749,2,20))&lt;100000000,VALUE(MID($C1749,2,20)),1000000000),1000000000))+ROW()/100000,"")</f>
        <v/>
      </c>
    </row>
    <row r="1750">
      <c r="D1750" s="11" t="n"/>
      <c r="K1750" s="7">
        <f>IF($C1750="","",J1750*W1750/100)</f>
        <v/>
      </c>
      <c r="Q1750" s="7" t="n"/>
      <c r="R1750" s="7" t="n"/>
      <c r="U1750">
        <f>IF($C1750="","",IF($AJ1750=1,0,IF($AI1750=1,Settings!$C$6,Settings!$C$7))*100)</f>
        <v/>
      </c>
      <c r="V1750" s="7">
        <f>IF($C1750="","",R1750*U1750/100)</f>
        <v/>
      </c>
      <c r="W1750" s="7">
        <f>IF($C1750="","",R1750-V1750)</f>
        <v/>
      </c>
      <c r="X1750" s="7">
        <f>IF($C1750="","",W1750-K1750)</f>
        <v/>
      </c>
      <c r="AB1750" s="7" t="n"/>
      <c r="AE1750" s="11" t="n"/>
      <c r="AG1750">
        <f>IF($C1750="","",IF(COUNTIF($C$2:$C1750,$C1750)=1,1,0))</f>
        <v/>
      </c>
      <c r="AH1750">
        <f>IF($AG1750=1,SUMPRODUCT(--($AK$2:$AK$6001&lt;$AK1750))+1,"")</f>
        <v/>
      </c>
      <c r="AI1750">
        <f>IF($C1750="","",IF(OR($N1750=TRUE(),$N1750="TRUE"),1,0))</f>
        <v/>
      </c>
      <c r="AJ1750">
        <f>IF($C1750="","",IF($T1750="Yes",1,0))</f>
        <v/>
      </c>
      <c r="AK1750">
        <f>IF($AG1750=1,IFERROR(IF(VALUE($C1750)&lt;100000000,VALUE($C1750),1000000000),IFERROR(IF(VALUE(MID($C1750,2,20))&lt;100000000,VALUE(MID($C1750,2,20)),1000000000),1000000000))+ROW()/100000,"")</f>
        <v/>
      </c>
    </row>
    <row r="1751">
      <c r="D1751" s="11" t="n"/>
      <c r="K1751" s="7">
        <f>IF($C1751="","",J1751*W1751/100)</f>
        <v/>
      </c>
      <c r="Q1751" s="7" t="n"/>
      <c r="R1751" s="7" t="n"/>
      <c r="U1751">
        <f>IF($C1751="","",IF($AJ1751=1,0,IF($AI1751=1,Settings!$C$6,Settings!$C$7))*100)</f>
        <v/>
      </c>
      <c r="V1751" s="7">
        <f>IF($C1751="","",R1751*U1751/100)</f>
        <v/>
      </c>
      <c r="W1751" s="7">
        <f>IF($C1751="","",R1751-V1751)</f>
        <v/>
      </c>
      <c r="X1751" s="7">
        <f>IF($C1751="","",W1751-K1751)</f>
        <v/>
      </c>
      <c r="AB1751" s="7" t="n"/>
      <c r="AE1751" s="11" t="n"/>
      <c r="AG1751">
        <f>IF($C1751="","",IF(COUNTIF($C$2:$C1751,$C1751)=1,1,0))</f>
        <v/>
      </c>
      <c r="AH1751">
        <f>IF($AG1751=1,SUMPRODUCT(--($AK$2:$AK$6001&lt;$AK1751))+1,"")</f>
        <v/>
      </c>
      <c r="AI1751">
        <f>IF($C1751="","",IF(OR($N1751=TRUE(),$N1751="TRUE"),1,0))</f>
        <v/>
      </c>
      <c r="AJ1751">
        <f>IF($C1751="","",IF($T1751="Yes",1,0))</f>
        <v/>
      </c>
      <c r="AK1751">
        <f>IF($AG1751=1,IFERROR(IF(VALUE($C1751)&lt;100000000,VALUE($C1751),1000000000),IFERROR(IF(VALUE(MID($C1751,2,20))&lt;100000000,VALUE(MID($C1751,2,20)),1000000000),1000000000))+ROW()/100000,"")</f>
        <v/>
      </c>
    </row>
    <row r="1752">
      <c r="D1752" s="11" t="n"/>
      <c r="K1752" s="7">
        <f>IF($C1752="","",J1752*W1752/100)</f>
        <v/>
      </c>
      <c r="Q1752" s="7" t="n"/>
      <c r="R1752" s="7" t="n"/>
      <c r="U1752">
        <f>IF($C1752="","",IF($AJ1752=1,0,IF($AI1752=1,Settings!$C$6,Settings!$C$7))*100)</f>
        <v/>
      </c>
      <c r="V1752" s="7">
        <f>IF($C1752="","",R1752*U1752/100)</f>
        <v/>
      </c>
      <c r="W1752" s="7">
        <f>IF($C1752="","",R1752-V1752)</f>
        <v/>
      </c>
      <c r="X1752" s="7">
        <f>IF($C1752="","",W1752-K1752)</f>
        <v/>
      </c>
      <c r="AB1752" s="7" t="n"/>
      <c r="AE1752" s="11" t="n"/>
      <c r="AG1752">
        <f>IF($C1752="","",IF(COUNTIF($C$2:$C1752,$C1752)=1,1,0))</f>
        <v/>
      </c>
      <c r="AH1752">
        <f>IF($AG1752=1,SUMPRODUCT(--($AK$2:$AK$6001&lt;$AK1752))+1,"")</f>
        <v/>
      </c>
      <c r="AI1752">
        <f>IF($C1752="","",IF(OR($N1752=TRUE(),$N1752="TRUE"),1,0))</f>
        <v/>
      </c>
      <c r="AJ1752">
        <f>IF($C1752="","",IF($T1752="Yes",1,0))</f>
        <v/>
      </c>
      <c r="AK1752">
        <f>IF($AG1752=1,IFERROR(IF(VALUE($C1752)&lt;100000000,VALUE($C1752),1000000000),IFERROR(IF(VALUE(MID($C1752,2,20))&lt;100000000,VALUE(MID($C1752,2,20)),1000000000),1000000000))+ROW()/100000,"")</f>
        <v/>
      </c>
    </row>
    <row r="1753">
      <c r="D1753" s="11" t="n"/>
      <c r="K1753" s="7">
        <f>IF($C1753="","",J1753*W1753/100)</f>
        <v/>
      </c>
      <c r="Q1753" s="7" t="n"/>
      <c r="R1753" s="7" t="n"/>
      <c r="U1753">
        <f>IF($C1753="","",IF($AJ1753=1,0,IF($AI1753=1,Settings!$C$6,Settings!$C$7))*100)</f>
        <v/>
      </c>
      <c r="V1753" s="7">
        <f>IF($C1753="","",R1753*U1753/100)</f>
        <v/>
      </c>
      <c r="W1753" s="7">
        <f>IF($C1753="","",R1753-V1753)</f>
        <v/>
      </c>
      <c r="X1753" s="7">
        <f>IF($C1753="","",W1753-K1753)</f>
        <v/>
      </c>
      <c r="AB1753" s="7" t="n"/>
      <c r="AE1753" s="11" t="n"/>
      <c r="AG1753">
        <f>IF($C1753="","",IF(COUNTIF($C$2:$C1753,$C1753)=1,1,0))</f>
        <v/>
      </c>
      <c r="AH1753">
        <f>IF($AG1753=1,SUMPRODUCT(--($AK$2:$AK$6001&lt;$AK1753))+1,"")</f>
        <v/>
      </c>
      <c r="AI1753">
        <f>IF($C1753="","",IF(OR($N1753=TRUE(),$N1753="TRUE"),1,0))</f>
        <v/>
      </c>
      <c r="AJ1753">
        <f>IF($C1753="","",IF($T1753="Yes",1,0))</f>
        <v/>
      </c>
      <c r="AK1753">
        <f>IF($AG1753=1,IFERROR(IF(VALUE($C1753)&lt;100000000,VALUE($C1753),1000000000),IFERROR(IF(VALUE(MID($C1753,2,20))&lt;100000000,VALUE(MID($C1753,2,20)),1000000000),1000000000))+ROW()/100000,"")</f>
        <v/>
      </c>
    </row>
    <row r="1754">
      <c r="D1754" s="11" t="n"/>
      <c r="K1754" s="7">
        <f>IF($C1754="","",J1754*W1754/100)</f>
        <v/>
      </c>
      <c r="Q1754" s="7" t="n"/>
      <c r="R1754" s="7" t="n"/>
      <c r="U1754">
        <f>IF($C1754="","",IF($AJ1754=1,0,IF($AI1754=1,Settings!$C$6,Settings!$C$7))*100)</f>
        <v/>
      </c>
      <c r="V1754" s="7">
        <f>IF($C1754="","",R1754*U1754/100)</f>
        <v/>
      </c>
      <c r="W1754" s="7">
        <f>IF($C1754="","",R1754-V1754)</f>
        <v/>
      </c>
      <c r="X1754" s="7">
        <f>IF($C1754="","",W1754-K1754)</f>
        <v/>
      </c>
      <c r="AB1754" s="7" t="n"/>
      <c r="AE1754" s="11" t="n"/>
      <c r="AG1754">
        <f>IF($C1754="","",IF(COUNTIF($C$2:$C1754,$C1754)=1,1,0))</f>
        <v/>
      </c>
      <c r="AH1754">
        <f>IF($AG1754=1,SUMPRODUCT(--($AK$2:$AK$6001&lt;$AK1754))+1,"")</f>
        <v/>
      </c>
      <c r="AI1754">
        <f>IF($C1754="","",IF(OR($N1754=TRUE(),$N1754="TRUE"),1,0))</f>
        <v/>
      </c>
      <c r="AJ1754">
        <f>IF($C1754="","",IF($T1754="Yes",1,0))</f>
        <v/>
      </c>
      <c r="AK1754">
        <f>IF($AG1754=1,IFERROR(IF(VALUE($C1754)&lt;100000000,VALUE($C1754),1000000000),IFERROR(IF(VALUE(MID($C1754,2,20))&lt;100000000,VALUE(MID($C1754,2,20)),1000000000),1000000000))+ROW()/100000,"")</f>
        <v/>
      </c>
    </row>
    <row r="1755">
      <c r="D1755" s="11" t="n"/>
      <c r="K1755" s="7">
        <f>IF($C1755="","",J1755*W1755/100)</f>
        <v/>
      </c>
      <c r="Q1755" s="7" t="n"/>
      <c r="R1755" s="7" t="n"/>
      <c r="U1755">
        <f>IF($C1755="","",IF($AJ1755=1,0,IF($AI1755=1,Settings!$C$6,Settings!$C$7))*100)</f>
        <v/>
      </c>
      <c r="V1755" s="7">
        <f>IF($C1755="","",R1755*U1755/100)</f>
        <v/>
      </c>
      <c r="W1755" s="7">
        <f>IF($C1755="","",R1755-V1755)</f>
        <v/>
      </c>
      <c r="X1755" s="7">
        <f>IF($C1755="","",W1755-K1755)</f>
        <v/>
      </c>
      <c r="AB1755" s="7" t="n"/>
      <c r="AE1755" s="11" t="n"/>
      <c r="AG1755">
        <f>IF($C1755="","",IF(COUNTIF($C$2:$C1755,$C1755)=1,1,0))</f>
        <v/>
      </c>
      <c r="AH1755">
        <f>IF($AG1755=1,SUMPRODUCT(--($AK$2:$AK$6001&lt;$AK1755))+1,"")</f>
        <v/>
      </c>
      <c r="AI1755">
        <f>IF($C1755="","",IF(OR($N1755=TRUE(),$N1755="TRUE"),1,0))</f>
        <v/>
      </c>
      <c r="AJ1755">
        <f>IF($C1755="","",IF($T1755="Yes",1,0))</f>
        <v/>
      </c>
      <c r="AK1755">
        <f>IF($AG1755=1,IFERROR(IF(VALUE($C1755)&lt;100000000,VALUE($C1755),1000000000),IFERROR(IF(VALUE(MID($C1755,2,20))&lt;100000000,VALUE(MID($C1755,2,20)),1000000000),1000000000))+ROW()/100000,"")</f>
        <v/>
      </c>
    </row>
    <row r="1756">
      <c r="D1756" s="11" t="n"/>
      <c r="K1756" s="7">
        <f>IF($C1756="","",J1756*W1756/100)</f>
        <v/>
      </c>
      <c r="Q1756" s="7" t="n"/>
      <c r="R1756" s="7" t="n"/>
      <c r="U1756">
        <f>IF($C1756="","",IF($AJ1756=1,0,IF($AI1756=1,Settings!$C$6,Settings!$C$7))*100)</f>
        <v/>
      </c>
      <c r="V1756" s="7">
        <f>IF($C1756="","",R1756*U1756/100)</f>
        <v/>
      </c>
      <c r="W1756" s="7">
        <f>IF($C1756="","",R1756-V1756)</f>
        <v/>
      </c>
      <c r="X1756" s="7">
        <f>IF($C1756="","",W1756-K1756)</f>
        <v/>
      </c>
      <c r="AB1756" s="7" t="n"/>
      <c r="AE1756" s="11" t="n"/>
      <c r="AG1756">
        <f>IF($C1756="","",IF(COUNTIF($C$2:$C1756,$C1756)=1,1,0))</f>
        <v/>
      </c>
      <c r="AH1756">
        <f>IF($AG1756=1,SUMPRODUCT(--($AK$2:$AK$6001&lt;$AK1756))+1,"")</f>
        <v/>
      </c>
      <c r="AI1756">
        <f>IF($C1756="","",IF(OR($N1756=TRUE(),$N1756="TRUE"),1,0))</f>
        <v/>
      </c>
      <c r="AJ1756">
        <f>IF($C1756="","",IF($T1756="Yes",1,0))</f>
        <v/>
      </c>
      <c r="AK1756">
        <f>IF($AG1756=1,IFERROR(IF(VALUE($C1756)&lt;100000000,VALUE($C1756),1000000000),IFERROR(IF(VALUE(MID($C1756,2,20))&lt;100000000,VALUE(MID($C1756,2,20)),1000000000),1000000000))+ROW()/100000,"")</f>
        <v/>
      </c>
    </row>
    <row r="1757">
      <c r="D1757" s="11" t="n"/>
      <c r="K1757" s="7">
        <f>IF($C1757="","",J1757*W1757/100)</f>
        <v/>
      </c>
      <c r="Q1757" s="7" t="n"/>
      <c r="R1757" s="7" t="n"/>
      <c r="U1757">
        <f>IF($C1757="","",IF($AJ1757=1,0,IF($AI1757=1,Settings!$C$6,Settings!$C$7))*100)</f>
        <v/>
      </c>
      <c r="V1757" s="7">
        <f>IF($C1757="","",R1757*U1757/100)</f>
        <v/>
      </c>
      <c r="W1757" s="7">
        <f>IF($C1757="","",R1757-V1757)</f>
        <v/>
      </c>
      <c r="X1757" s="7">
        <f>IF($C1757="","",W1757-K1757)</f>
        <v/>
      </c>
      <c r="AB1757" s="7" t="n"/>
      <c r="AE1757" s="11" t="n"/>
      <c r="AG1757">
        <f>IF($C1757="","",IF(COUNTIF($C$2:$C1757,$C1757)=1,1,0))</f>
        <v/>
      </c>
      <c r="AH1757">
        <f>IF($AG1757=1,SUMPRODUCT(--($AK$2:$AK$6001&lt;$AK1757))+1,"")</f>
        <v/>
      </c>
      <c r="AI1757">
        <f>IF($C1757="","",IF(OR($N1757=TRUE(),$N1757="TRUE"),1,0))</f>
        <v/>
      </c>
      <c r="AJ1757">
        <f>IF($C1757="","",IF($T1757="Yes",1,0))</f>
        <v/>
      </c>
      <c r="AK1757">
        <f>IF($AG1757=1,IFERROR(IF(VALUE($C1757)&lt;100000000,VALUE($C1757),1000000000),IFERROR(IF(VALUE(MID($C1757,2,20))&lt;100000000,VALUE(MID($C1757,2,20)),1000000000),1000000000))+ROW()/100000,"")</f>
        <v/>
      </c>
    </row>
    <row r="1758">
      <c r="D1758" s="11" t="n"/>
      <c r="K1758" s="7">
        <f>IF($C1758="","",J1758*W1758/100)</f>
        <v/>
      </c>
      <c r="Q1758" s="7" t="n"/>
      <c r="R1758" s="7" t="n"/>
      <c r="U1758">
        <f>IF($C1758="","",IF($AJ1758=1,0,IF($AI1758=1,Settings!$C$6,Settings!$C$7))*100)</f>
        <v/>
      </c>
      <c r="V1758" s="7">
        <f>IF($C1758="","",R1758*U1758/100)</f>
        <v/>
      </c>
      <c r="W1758" s="7">
        <f>IF($C1758="","",R1758-V1758)</f>
        <v/>
      </c>
      <c r="X1758" s="7">
        <f>IF($C1758="","",W1758-K1758)</f>
        <v/>
      </c>
      <c r="AB1758" s="7" t="n"/>
      <c r="AE1758" s="11" t="n"/>
      <c r="AG1758">
        <f>IF($C1758="","",IF(COUNTIF($C$2:$C1758,$C1758)=1,1,0))</f>
        <v/>
      </c>
      <c r="AH1758">
        <f>IF($AG1758=1,SUMPRODUCT(--($AK$2:$AK$6001&lt;$AK1758))+1,"")</f>
        <v/>
      </c>
      <c r="AI1758">
        <f>IF($C1758="","",IF(OR($N1758=TRUE(),$N1758="TRUE"),1,0))</f>
        <v/>
      </c>
      <c r="AJ1758">
        <f>IF($C1758="","",IF($T1758="Yes",1,0))</f>
        <v/>
      </c>
      <c r="AK1758">
        <f>IF($AG1758=1,IFERROR(IF(VALUE($C1758)&lt;100000000,VALUE($C1758),1000000000),IFERROR(IF(VALUE(MID($C1758,2,20))&lt;100000000,VALUE(MID($C1758,2,20)),1000000000),1000000000))+ROW()/100000,"")</f>
        <v/>
      </c>
    </row>
    <row r="1759">
      <c r="D1759" s="11" t="n"/>
      <c r="K1759" s="7">
        <f>IF($C1759="","",J1759*W1759/100)</f>
        <v/>
      </c>
      <c r="Q1759" s="7" t="n"/>
      <c r="R1759" s="7" t="n"/>
      <c r="U1759">
        <f>IF($C1759="","",IF($AJ1759=1,0,IF($AI1759=1,Settings!$C$6,Settings!$C$7))*100)</f>
        <v/>
      </c>
      <c r="V1759" s="7">
        <f>IF($C1759="","",R1759*U1759/100)</f>
        <v/>
      </c>
      <c r="W1759" s="7">
        <f>IF($C1759="","",R1759-V1759)</f>
        <v/>
      </c>
      <c r="X1759" s="7">
        <f>IF($C1759="","",W1759-K1759)</f>
        <v/>
      </c>
      <c r="AB1759" s="7" t="n"/>
      <c r="AE1759" s="11" t="n"/>
      <c r="AG1759">
        <f>IF($C1759="","",IF(COUNTIF($C$2:$C1759,$C1759)=1,1,0))</f>
        <v/>
      </c>
      <c r="AH1759">
        <f>IF($AG1759=1,SUMPRODUCT(--($AK$2:$AK$6001&lt;$AK1759))+1,"")</f>
        <v/>
      </c>
      <c r="AI1759">
        <f>IF($C1759="","",IF(OR($N1759=TRUE(),$N1759="TRUE"),1,0))</f>
        <v/>
      </c>
      <c r="AJ1759">
        <f>IF($C1759="","",IF($T1759="Yes",1,0))</f>
        <v/>
      </c>
      <c r="AK1759">
        <f>IF($AG1759=1,IFERROR(IF(VALUE($C1759)&lt;100000000,VALUE($C1759),1000000000),IFERROR(IF(VALUE(MID($C1759,2,20))&lt;100000000,VALUE(MID($C1759,2,20)),1000000000),1000000000))+ROW()/100000,"")</f>
        <v/>
      </c>
    </row>
    <row r="1760">
      <c r="D1760" s="11" t="n"/>
      <c r="K1760" s="7">
        <f>IF($C1760="","",J1760*W1760/100)</f>
        <v/>
      </c>
      <c r="Q1760" s="7" t="n"/>
      <c r="R1760" s="7" t="n"/>
      <c r="U1760">
        <f>IF($C1760="","",IF($AJ1760=1,0,IF($AI1760=1,Settings!$C$6,Settings!$C$7))*100)</f>
        <v/>
      </c>
      <c r="V1760" s="7">
        <f>IF($C1760="","",R1760*U1760/100)</f>
        <v/>
      </c>
      <c r="W1760" s="7">
        <f>IF($C1760="","",R1760-V1760)</f>
        <v/>
      </c>
      <c r="X1760" s="7">
        <f>IF($C1760="","",W1760-K1760)</f>
        <v/>
      </c>
      <c r="AB1760" s="7" t="n"/>
      <c r="AE1760" s="11" t="n"/>
      <c r="AG1760">
        <f>IF($C1760="","",IF(COUNTIF($C$2:$C1760,$C1760)=1,1,0))</f>
        <v/>
      </c>
      <c r="AH1760">
        <f>IF($AG1760=1,SUMPRODUCT(--($AK$2:$AK$6001&lt;$AK1760))+1,"")</f>
        <v/>
      </c>
      <c r="AI1760">
        <f>IF($C1760="","",IF(OR($N1760=TRUE(),$N1760="TRUE"),1,0))</f>
        <v/>
      </c>
      <c r="AJ1760">
        <f>IF($C1760="","",IF($T1760="Yes",1,0))</f>
        <v/>
      </c>
      <c r="AK1760">
        <f>IF($AG1760=1,IFERROR(IF(VALUE($C1760)&lt;100000000,VALUE($C1760),1000000000),IFERROR(IF(VALUE(MID($C1760,2,20))&lt;100000000,VALUE(MID($C1760,2,20)),1000000000),1000000000))+ROW()/100000,"")</f>
        <v/>
      </c>
    </row>
    <row r="1761">
      <c r="D1761" s="11" t="n"/>
      <c r="K1761" s="7">
        <f>IF($C1761="","",J1761*W1761/100)</f>
        <v/>
      </c>
      <c r="Q1761" s="7" t="n"/>
      <c r="R1761" s="7" t="n"/>
      <c r="U1761">
        <f>IF($C1761="","",IF($AJ1761=1,0,IF($AI1761=1,Settings!$C$6,Settings!$C$7))*100)</f>
        <v/>
      </c>
      <c r="V1761" s="7">
        <f>IF($C1761="","",R1761*U1761/100)</f>
        <v/>
      </c>
      <c r="W1761" s="7">
        <f>IF($C1761="","",R1761-V1761)</f>
        <v/>
      </c>
      <c r="X1761" s="7">
        <f>IF($C1761="","",W1761-K1761)</f>
        <v/>
      </c>
      <c r="AB1761" s="7" t="n"/>
      <c r="AE1761" s="11" t="n"/>
      <c r="AG1761">
        <f>IF($C1761="","",IF(COUNTIF($C$2:$C1761,$C1761)=1,1,0))</f>
        <v/>
      </c>
      <c r="AH1761">
        <f>IF($AG1761=1,SUMPRODUCT(--($AK$2:$AK$6001&lt;$AK1761))+1,"")</f>
        <v/>
      </c>
      <c r="AI1761">
        <f>IF($C1761="","",IF(OR($N1761=TRUE(),$N1761="TRUE"),1,0))</f>
        <v/>
      </c>
      <c r="AJ1761">
        <f>IF($C1761="","",IF($T1761="Yes",1,0))</f>
        <v/>
      </c>
      <c r="AK1761">
        <f>IF($AG1761=1,IFERROR(IF(VALUE($C1761)&lt;100000000,VALUE($C1761),1000000000),IFERROR(IF(VALUE(MID($C1761,2,20))&lt;100000000,VALUE(MID($C1761,2,20)),1000000000),1000000000))+ROW()/100000,"")</f>
        <v/>
      </c>
    </row>
    <row r="1762">
      <c r="D1762" s="11" t="n"/>
      <c r="K1762" s="7">
        <f>IF($C1762="","",J1762*W1762/100)</f>
        <v/>
      </c>
      <c r="Q1762" s="7" t="n"/>
      <c r="R1762" s="7" t="n"/>
      <c r="U1762">
        <f>IF($C1762="","",IF($AJ1762=1,0,IF($AI1762=1,Settings!$C$6,Settings!$C$7))*100)</f>
        <v/>
      </c>
      <c r="V1762" s="7">
        <f>IF($C1762="","",R1762*U1762/100)</f>
        <v/>
      </c>
      <c r="W1762" s="7">
        <f>IF($C1762="","",R1762-V1762)</f>
        <v/>
      </c>
      <c r="X1762" s="7">
        <f>IF($C1762="","",W1762-K1762)</f>
        <v/>
      </c>
      <c r="AB1762" s="7" t="n"/>
      <c r="AE1762" s="11" t="n"/>
      <c r="AG1762">
        <f>IF($C1762="","",IF(COUNTIF($C$2:$C1762,$C1762)=1,1,0))</f>
        <v/>
      </c>
      <c r="AH1762">
        <f>IF($AG1762=1,SUMPRODUCT(--($AK$2:$AK$6001&lt;$AK1762))+1,"")</f>
        <v/>
      </c>
      <c r="AI1762">
        <f>IF($C1762="","",IF(OR($N1762=TRUE(),$N1762="TRUE"),1,0))</f>
        <v/>
      </c>
      <c r="AJ1762">
        <f>IF($C1762="","",IF($T1762="Yes",1,0))</f>
        <v/>
      </c>
      <c r="AK1762">
        <f>IF($AG1762=1,IFERROR(IF(VALUE($C1762)&lt;100000000,VALUE($C1762),1000000000),IFERROR(IF(VALUE(MID($C1762,2,20))&lt;100000000,VALUE(MID($C1762,2,20)),1000000000),1000000000))+ROW()/100000,"")</f>
        <v/>
      </c>
    </row>
    <row r="1763">
      <c r="D1763" s="11" t="n"/>
      <c r="K1763" s="7">
        <f>IF($C1763="","",J1763*W1763/100)</f>
        <v/>
      </c>
      <c r="Q1763" s="7" t="n"/>
      <c r="R1763" s="7" t="n"/>
      <c r="U1763">
        <f>IF($C1763="","",IF($AJ1763=1,0,IF($AI1763=1,Settings!$C$6,Settings!$C$7))*100)</f>
        <v/>
      </c>
      <c r="V1763" s="7">
        <f>IF($C1763="","",R1763*U1763/100)</f>
        <v/>
      </c>
      <c r="W1763" s="7">
        <f>IF($C1763="","",R1763-V1763)</f>
        <v/>
      </c>
      <c r="X1763" s="7">
        <f>IF($C1763="","",W1763-K1763)</f>
        <v/>
      </c>
      <c r="AB1763" s="7" t="n"/>
      <c r="AE1763" s="11" t="n"/>
      <c r="AG1763">
        <f>IF($C1763="","",IF(COUNTIF($C$2:$C1763,$C1763)=1,1,0))</f>
        <v/>
      </c>
      <c r="AH1763">
        <f>IF($AG1763=1,SUMPRODUCT(--($AK$2:$AK$6001&lt;$AK1763))+1,"")</f>
        <v/>
      </c>
      <c r="AI1763">
        <f>IF($C1763="","",IF(OR($N1763=TRUE(),$N1763="TRUE"),1,0))</f>
        <v/>
      </c>
      <c r="AJ1763">
        <f>IF($C1763="","",IF($T1763="Yes",1,0))</f>
        <v/>
      </c>
      <c r="AK1763">
        <f>IF($AG1763=1,IFERROR(IF(VALUE($C1763)&lt;100000000,VALUE($C1763),1000000000),IFERROR(IF(VALUE(MID($C1763,2,20))&lt;100000000,VALUE(MID($C1763,2,20)),1000000000),1000000000))+ROW()/100000,"")</f>
        <v/>
      </c>
    </row>
    <row r="1764">
      <c r="D1764" s="11" t="n"/>
      <c r="K1764" s="7">
        <f>IF($C1764="","",J1764*W1764/100)</f>
        <v/>
      </c>
      <c r="Q1764" s="7" t="n"/>
      <c r="R1764" s="7" t="n"/>
      <c r="U1764">
        <f>IF($C1764="","",IF($AJ1764=1,0,IF($AI1764=1,Settings!$C$6,Settings!$C$7))*100)</f>
        <v/>
      </c>
      <c r="V1764" s="7">
        <f>IF($C1764="","",R1764*U1764/100)</f>
        <v/>
      </c>
      <c r="W1764" s="7">
        <f>IF($C1764="","",R1764-V1764)</f>
        <v/>
      </c>
      <c r="X1764" s="7">
        <f>IF($C1764="","",W1764-K1764)</f>
        <v/>
      </c>
      <c r="AB1764" s="7" t="n"/>
      <c r="AE1764" s="11" t="n"/>
      <c r="AG1764">
        <f>IF($C1764="","",IF(COUNTIF($C$2:$C1764,$C1764)=1,1,0))</f>
        <v/>
      </c>
      <c r="AH1764">
        <f>IF($AG1764=1,SUMPRODUCT(--($AK$2:$AK$6001&lt;$AK1764))+1,"")</f>
        <v/>
      </c>
      <c r="AI1764">
        <f>IF($C1764="","",IF(OR($N1764=TRUE(),$N1764="TRUE"),1,0))</f>
        <v/>
      </c>
      <c r="AJ1764">
        <f>IF($C1764="","",IF($T1764="Yes",1,0))</f>
        <v/>
      </c>
      <c r="AK1764">
        <f>IF($AG1764=1,IFERROR(IF(VALUE($C1764)&lt;100000000,VALUE($C1764),1000000000),IFERROR(IF(VALUE(MID($C1764,2,20))&lt;100000000,VALUE(MID($C1764,2,20)),1000000000),1000000000))+ROW()/100000,"")</f>
        <v/>
      </c>
    </row>
    <row r="1765">
      <c r="D1765" s="11" t="n"/>
      <c r="K1765" s="7">
        <f>IF($C1765="","",J1765*W1765/100)</f>
        <v/>
      </c>
      <c r="Q1765" s="7" t="n"/>
      <c r="R1765" s="7" t="n"/>
      <c r="U1765">
        <f>IF($C1765="","",IF($AJ1765=1,0,IF($AI1765=1,Settings!$C$6,Settings!$C$7))*100)</f>
        <v/>
      </c>
      <c r="V1765" s="7">
        <f>IF($C1765="","",R1765*U1765/100)</f>
        <v/>
      </c>
      <c r="W1765" s="7">
        <f>IF($C1765="","",R1765-V1765)</f>
        <v/>
      </c>
      <c r="X1765" s="7">
        <f>IF($C1765="","",W1765-K1765)</f>
        <v/>
      </c>
      <c r="AB1765" s="7" t="n"/>
      <c r="AE1765" s="11" t="n"/>
      <c r="AG1765">
        <f>IF($C1765="","",IF(COUNTIF($C$2:$C1765,$C1765)=1,1,0))</f>
        <v/>
      </c>
      <c r="AH1765">
        <f>IF($AG1765=1,SUMPRODUCT(--($AK$2:$AK$6001&lt;$AK1765))+1,"")</f>
        <v/>
      </c>
      <c r="AI1765">
        <f>IF($C1765="","",IF(OR($N1765=TRUE(),$N1765="TRUE"),1,0))</f>
        <v/>
      </c>
      <c r="AJ1765">
        <f>IF($C1765="","",IF($T1765="Yes",1,0))</f>
        <v/>
      </c>
      <c r="AK1765">
        <f>IF($AG1765=1,IFERROR(IF(VALUE($C1765)&lt;100000000,VALUE($C1765),1000000000),IFERROR(IF(VALUE(MID($C1765,2,20))&lt;100000000,VALUE(MID($C1765,2,20)),1000000000),1000000000))+ROW()/100000,"")</f>
        <v/>
      </c>
    </row>
    <row r="1766">
      <c r="D1766" s="11" t="n"/>
      <c r="K1766" s="7">
        <f>IF($C1766="","",J1766*W1766/100)</f>
        <v/>
      </c>
      <c r="Q1766" s="7" t="n"/>
      <c r="R1766" s="7" t="n"/>
      <c r="U1766">
        <f>IF($C1766="","",IF($AJ1766=1,0,IF($AI1766=1,Settings!$C$6,Settings!$C$7))*100)</f>
        <v/>
      </c>
      <c r="V1766" s="7">
        <f>IF($C1766="","",R1766*U1766/100)</f>
        <v/>
      </c>
      <c r="W1766" s="7">
        <f>IF($C1766="","",R1766-V1766)</f>
        <v/>
      </c>
      <c r="X1766" s="7">
        <f>IF($C1766="","",W1766-K1766)</f>
        <v/>
      </c>
      <c r="AB1766" s="7" t="n"/>
      <c r="AE1766" s="11" t="n"/>
      <c r="AG1766">
        <f>IF($C1766="","",IF(COUNTIF($C$2:$C1766,$C1766)=1,1,0))</f>
        <v/>
      </c>
      <c r="AH1766">
        <f>IF($AG1766=1,SUMPRODUCT(--($AK$2:$AK$6001&lt;$AK1766))+1,"")</f>
        <v/>
      </c>
      <c r="AI1766">
        <f>IF($C1766="","",IF(OR($N1766=TRUE(),$N1766="TRUE"),1,0))</f>
        <v/>
      </c>
      <c r="AJ1766">
        <f>IF($C1766="","",IF($T1766="Yes",1,0))</f>
        <v/>
      </c>
      <c r="AK1766">
        <f>IF($AG1766=1,IFERROR(IF(VALUE($C1766)&lt;100000000,VALUE($C1766),1000000000),IFERROR(IF(VALUE(MID($C1766,2,20))&lt;100000000,VALUE(MID($C1766,2,20)),1000000000),1000000000))+ROW()/100000,"")</f>
        <v/>
      </c>
    </row>
    <row r="1767">
      <c r="D1767" s="11" t="n"/>
      <c r="K1767" s="7">
        <f>IF($C1767="","",J1767*W1767/100)</f>
        <v/>
      </c>
      <c r="Q1767" s="7" t="n"/>
      <c r="R1767" s="7" t="n"/>
      <c r="U1767">
        <f>IF($C1767="","",IF($AJ1767=1,0,IF($AI1767=1,Settings!$C$6,Settings!$C$7))*100)</f>
        <v/>
      </c>
      <c r="V1767" s="7">
        <f>IF($C1767="","",R1767*U1767/100)</f>
        <v/>
      </c>
      <c r="W1767" s="7">
        <f>IF($C1767="","",R1767-V1767)</f>
        <v/>
      </c>
      <c r="X1767" s="7">
        <f>IF($C1767="","",W1767-K1767)</f>
        <v/>
      </c>
      <c r="AB1767" s="7" t="n"/>
      <c r="AE1767" s="11" t="n"/>
      <c r="AG1767">
        <f>IF($C1767="","",IF(COUNTIF($C$2:$C1767,$C1767)=1,1,0))</f>
        <v/>
      </c>
      <c r="AH1767">
        <f>IF($AG1767=1,SUMPRODUCT(--($AK$2:$AK$6001&lt;$AK1767))+1,"")</f>
        <v/>
      </c>
      <c r="AI1767">
        <f>IF($C1767="","",IF(OR($N1767=TRUE(),$N1767="TRUE"),1,0))</f>
        <v/>
      </c>
      <c r="AJ1767">
        <f>IF($C1767="","",IF($T1767="Yes",1,0))</f>
        <v/>
      </c>
      <c r="AK1767">
        <f>IF($AG1767=1,IFERROR(IF(VALUE($C1767)&lt;100000000,VALUE($C1767),1000000000),IFERROR(IF(VALUE(MID($C1767,2,20))&lt;100000000,VALUE(MID($C1767,2,20)),1000000000),1000000000))+ROW()/100000,"")</f>
        <v/>
      </c>
    </row>
    <row r="1768">
      <c r="D1768" s="11" t="n"/>
      <c r="K1768" s="7">
        <f>IF($C1768="","",J1768*W1768/100)</f>
        <v/>
      </c>
      <c r="Q1768" s="7" t="n"/>
      <c r="R1768" s="7" t="n"/>
      <c r="U1768">
        <f>IF($C1768="","",IF($AJ1768=1,0,IF($AI1768=1,Settings!$C$6,Settings!$C$7))*100)</f>
        <v/>
      </c>
      <c r="V1768" s="7">
        <f>IF($C1768="","",R1768*U1768/100)</f>
        <v/>
      </c>
      <c r="W1768" s="7">
        <f>IF($C1768="","",R1768-V1768)</f>
        <v/>
      </c>
      <c r="X1768" s="7">
        <f>IF($C1768="","",W1768-K1768)</f>
        <v/>
      </c>
      <c r="AB1768" s="7" t="n"/>
      <c r="AE1768" s="11" t="n"/>
      <c r="AG1768">
        <f>IF($C1768="","",IF(COUNTIF($C$2:$C1768,$C1768)=1,1,0))</f>
        <v/>
      </c>
      <c r="AH1768">
        <f>IF($AG1768=1,SUMPRODUCT(--($AK$2:$AK$6001&lt;$AK1768))+1,"")</f>
        <v/>
      </c>
      <c r="AI1768">
        <f>IF($C1768="","",IF(OR($N1768=TRUE(),$N1768="TRUE"),1,0))</f>
        <v/>
      </c>
      <c r="AJ1768">
        <f>IF($C1768="","",IF($T1768="Yes",1,0))</f>
        <v/>
      </c>
      <c r="AK1768">
        <f>IF($AG1768=1,IFERROR(IF(VALUE($C1768)&lt;100000000,VALUE($C1768),1000000000),IFERROR(IF(VALUE(MID($C1768,2,20))&lt;100000000,VALUE(MID($C1768,2,20)),1000000000),1000000000))+ROW()/100000,"")</f>
        <v/>
      </c>
    </row>
    <row r="1769">
      <c r="D1769" s="11" t="n"/>
      <c r="K1769" s="7">
        <f>IF($C1769="","",J1769*W1769/100)</f>
        <v/>
      </c>
      <c r="Q1769" s="7" t="n"/>
      <c r="R1769" s="7" t="n"/>
      <c r="U1769">
        <f>IF($C1769="","",IF($AJ1769=1,0,IF($AI1769=1,Settings!$C$6,Settings!$C$7))*100)</f>
        <v/>
      </c>
      <c r="V1769" s="7">
        <f>IF($C1769="","",R1769*U1769/100)</f>
        <v/>
      </c>
      <c r="W1769" s="7">
        <f>IF($C1769="","",R1769-V1769)</f>
        <v/>
      </c>
      <c r="X1769" s="7">
        <f>IF($C1769="","",W1769-K1769)</f>
        <v/>
      </c>
      <c r="AB1769" s="7" t="n"/>
      <c r="AE1769" s="11" t="n"/>
      <c r="AG1769">
        <f>IF($C1769="","",IF(COUNTIF($C$2:$C1769,$C1769)=1,1,0))</f>
        <v/>
      </c>
      <c r="AH1769">
        <f>IF($AG1769=1,SUMPRODUCT(--($AK$2:$AK$6001&lt;$AK1769))+1,"")</f>
        <v/>
      </c>
      <c r="AI1769">
        <f>IF($C1769="","",IF(OR($N1769=TRUE(),$N1769="TRUE"),1,0))</f>
        <v/>
      </c>
      <c r="AJ1769">
        <f>IF($C1769="","",IF($T1769="Yes",1,0))</f>
        <v/>
      </c>
      <c r="AK1769">
        <f>IF($AG1769=1,IFERROR(IF(VALUE($C1769)&lt;100000000,VALUE($C1769),1000000000),IFERROR(IF(VALUE(MID($C1769,2,20))&lt;100000000,VALUE(MID($C1769,2,20)),1000000000),1000000000))+ROW()/100000,"")</f>
        <v/>
      </c>
    </row>
    <row r="1770">
      <c r="D1770" s="11" t="n"/>
      <c r="K1770" s="7">
        <f>IF($C1770="","",J1770*W1770/100)</f>
        <v/>
      </c>
      <c r="Q1770" s="7" t="n"/>
      <c r="R1770" s="7" t="n"/>
      <c r="U1770">
        <f>IF($C1770="","",IF($AJ1770=1,0,IF($AI1770=1,Settings!$C$6,Settings!$C$7))*100)</f>
        <v/>
      </c>
      <c r="V1770" s="7">
        <f>IF($C1770="","",R1770*U1770/100)</f>
        <v/>
      </c>
      <c r="W1770" s="7">
        <f>IF($C1770="","",R1770-V1770)</f>
        <v/>
      </c>
      <c r="X1770" s="7">
        <f>IF($C1770="","",W1770-K1770)</f>
        <v/>
      </c>
      <c r="AB1770" s="7" t="n"/>
      <c r="AE1770" s="11" t="n"/>
      <c r="AG1770">
        <f>IF($C1770="","",IF(COUNTIF($C$2:$C1770,$C1770)=1,1,0))</f>
        <v/>
      </c>
      <c r="AH1770">
        <f>IF($AG1770=1,SUMPRODUCT(--($AK$2:$AK$6001&lt;$AK1770))+1,"")</f>
        <v/>
      </c>
      <c r="AI1770">
        <f>IF($C1770="","",IF(OR($N1770=TRUE(),$N1770="TRUE"),1,0))</f>
        <v/>
      </c>
      <c r="AJ1770">
        <f>IF($C1770="","",IF($T1770="Yes",1,0))</f>
        <v/>
      </c>
      <c r="AK1770">
        <f>IF($AG1770=1,IFERROR(IF(VALUE($C1770)&lt;100000000,VALUE($C1770),1000000000),IFERROR(IF(VALUE(MID($C1770,2,20))&lt;100000000,VALUE(MID($C1770,2,20)),1000000000),1000000000))+ROW()/100000,"")</f>
        <v/>
      </c>
    </row>
    <row r="1771">
      <c r="D1771" s="11" t="n"/>
      <c r="K1771" s="7">
        <f>IF($C1771="","",J1771*W1771/100)</f>
        <v/>
      </c>
      <c r="Q1771" s="7" t="n"/>
      <c r="R1771" s="7" t="n"/>
      <c r="U1771">
        <f>IF($C1771="","",IF($AJ1771=1,0,IF($AI1771=1,Settings!$C$6,Settings!$C$7))*100)</f>
        <v/>
      </c>
      <c r="V1771" s="7">
        <f>IF($C1771="","",R1771*U1771/100)</f>
        <v/>
      </c>
      <c r="W1771" s="7">
        <f>IF($C1771="","",R1771-V1771)</f>
        <v/>
      </c>
      <c r="X1771" s="7">
        <f>IF($C1771="","",W1771-K1771)</f>
        <v/>
      </c>
      <c r="AB1771" s="7" t="n"/>
      <c r="AE1771" s="11" t="n"/>
      <c r="AG1771">
        <f>IF($C1771="","",IF(COUNTIF($C$2:$C1771,$C1771)=1,1,0))</f>
        <v/>
      </c>
      <c r="AH1771">
        <f>IF($AG1771=1,SUMPRODUCT(--($AK$2:$AK$6001&lt;$AK1771))+1,"")</f>
        <v/>
      </c>
      <c r="AI1771">
        <f>IF($C1771="","",IF(OR($N1771=TRUE(),$N1771="TRUE"),1,0))</f>
        <v/>
      </c>
      <c r="AJ1771">
        <f>IF($C1771="","",IF($T1771="Yes",1,0))</f>
        <v/>
      </c>
      <c r="AK1771">
        <f>IF($AG1771=1,IFERROR(IF(VALUE($C1771)&lt;100000000,VALUE($C1771),1000000000),IFERROR(IF(VALUE(MID($C1771,2,20))&lt;100000000,VALUE(MID($C1771,2,20)),1000000000),1000000000))+ROW()/100000,"")</f>
        <v/>
      </c>
    </row>
    <row r="1772">
      <c r="D1772" s="11" t="n"/>
      <c r="K1772" s="7">
        <f>IF($C1772="","",J1772*W1772/100)</f>
        <v/>
      </c>
      <c r="Q1772" s="7" t="n"/>
      <c r="R1772" s="7" t="n"/>
      <c r="U1772">
        <f>IF($C1772="","",IF($AJ1772=1,0,IF($AI1772=1,Settings!$C$6,Settings!$C$7))*100)</f>
        <v/>
      </c>
      <c r="V1772" s="7">
        <f>IF($C1772="","",R1772*U1772/100)</f>
        <v/>
      </c>
      <c r="W1772" s="7">
        <f>IF($C1772="","",R1772-V1772)</f>
        <v/>
      </c>
      <c r="X1772" s="7">
        <f>IF($C1772="","",W1772-K1772)</f>
        <v/>
      </c>
      <c r="AB1772" s="7" t="n"/>
      <c r="AE1772" s="11" t="n"/>
      <c r="AG1772">
        <f>IF($C1772="","",IF(COUNTIF($C$2:$C1772,$C1772)=1,1,0))</f>
        <v/>
      </c>
      <c r="AH1772">
        <f>IF($AG1772=1,SUMPRODUCT(--($AK$2:$AK$6001&lt;$AK1772))+1,"")</f>
        <v/>
      </c>
      <c r="AI1772">
        <f>IF($C1772="","",IF(OR($N1772=TRUE(),$N1772="TRUE"),1,0))</f>
        <v/>
      </c>
      <c r="AJ1772">
        <f>IF($C1772="","",IF($T1772="Yes",1,0))</f>
        <v/>
      </c>
      <c r="AK1772">
        <f>IF($AG1772=1,IFERROR(IF(VALUE($C1772)&lt;100000000,VALUE($C1772),1000000000),IFERROR(IF(VALUE(MID($C1772,2,20))&lt;100000000,VALUE(MID($C1772,2,20)),1000000000),1000000000))+ROW()/100000,"")</f>
        <v/>
      </c>
    </row>
    <row r="1773">
      <c r="D1773" s="11" t="n"/>
      <c r="K1773" s="7">
        <f>IF($C1773="","",J1773*W1773/100)</f>
        <v/>
      </c>
      <c r="Q1773" s="7" t="n"/>
      <c r="R1773" s="7" t="n"/>
      <c r="U1773">
        <f>IF($C1773="","",IF($AJ1773=1,0,IF($AI1773=1,Settings!$C$6,Settings!$C$7))*100)</f>
        <v/>
      </c>
      <c r="V1773" s="7">
        <f>IF($C1773="","",R1773*U1773/100)</f>
        <v/>
      </c>
      <c r="W1773" s="7">
        <f>IF($C1773="","",R1773-V1773)</f>
        <v/>
      </c>
      <c r="X1773" s="7">
        <f>IF($C1773="","",W1773-K1773)</f>
        <v/>
      </c>
      <c r="AB1773" s="7" t="n"/>
      <c r="AE1773" s="11" t="n"/>
      <c r="AG1773">
        <f>IF($C1773="","",IF(COUNTIF($C$2:$C1773,$C1773)=1,1,0))</f>
        <v/>
      </c>
      <c r="AH1773">
        <f>IF($AG1773=1,SUMPRODUCT(--($AK$2:$AK$6001&lt;$AK1773))+1,"")</f>
        <v/>
      </c>
      <c r="AI1773">
        <f>IF($C1773="","",IF(OR($N1773=TRUE(),$N1773="TRUE"),1,0))</f>
        <v/>
      </c>
      <c r="AJ1773">
        <f>IF($C1773="","",IF($T1773="Yes",1,0))</f>
        <v/>
      </c>
      <c r="AK1773">
        <f>IF($AG1773=1,IFERROR(IF(VALUE($C1773)&lt;100000000,VALUE($C1773),1000000000),IFERROR(IF(VALUE(MID($C1773,2,20))&lt;100000000,VALUE(MID($C1773,2,20)),1000000000),1000000000))+ROW()/100000,"")</f>
        <v/>
      </c>
    </row>
    <row r="1774">
      <c r="D1774" s="11" t="n"/>
      <c r="K1774" s="7">
        <f>IF($C1774="","",J1774*W1774/100)</f>
        <v/>
      </c>
      <c r="Q1774" s="7" t="n"/>
      <c r="R1774" s="7" t="n"/>
      <c r="U1774">
        <f>IF($C1774="","",IF($AJ1774=1,0,IF($AI1774=1,Settings!$C$6,Settings!$C$7))*100)</f>
        <v/>
      </c>
      <c r="V1774" s="7">
        <f>IF($C1774="","",R1774*U1774/100)</f>
        <v/>
      </c>
      <c r="W1774" s="7">
        <f>IF($C1774="","",R1774-V1774)</f>
        <v/>
      </c>
      <c r="X1774" s="7">
        <f>IF($C1774="","",W1774-K1774)</f>
        <v/>
      </c>
      <c r="AB1774" s="7" t="n"/>
      <c r="AE1774" s="11" t="n"/>
      <c r="AG1774">
        <f>IF($C1774="","",IF(COUNTIF($C$2:$C1774,$C1774)=1,1,0))</f>
        <v/>
      </c>
      <c r="AH1774">
        <f>IF($AG1774=1,SUMPRODUCT(--($AK$2:$AK$6001&lt;$AK1774))+1,"")</f>
        <v/>
      </c>
      <c r="AI1774">
        <f>IF($C1774="","",IF(OR($N1774=TRUE(),$N1774="TRUE"),1,0))</f>
        <v/>
      </c>
      <c r="AJ1774">
        <f>IF($C1774="","",IF($T1774="Yes",1,0))</f>
        <v/>
      </c>
      <c r="AK1774">
        <f>IF($AG1774=1,IFERROR(IF(VALUE($C1774)&lt;100000000,VALUE($C1774),1000000000),IFERROR(IF(VALUE(MID($C1774,2,20))&lt;100000000,VALUE(MID($C1774,2,20)),1000000000),1000000000))+ROW()/100000,"")</f>
        <v/>
      </c>
    </row>
    <row r="1775">
      <c r="D1775" s="11" t="n"/>
      <c r="K1775" s="7">
        <f>IF($C1775="","",J1775*W1775/100)</f>
        <v/>
      </c>
      <c r="Q1775" s="7" t="n"/>
      <c r="R1775" s="7" t="n"/>
      <c r="U1775">
        <f>IF($C1775="","",IF($AJ1775=1,0,IF($AI1775=1,Settings!$C$6,Settings!$C$7))*100)</f>
        <v/>
      </c>
      <c r="V1775" s="7">
        <f>IF($C1775="","",R1775*U1775/100)</f>
        <v/>
      </c>
      <c r="W1775" s="7">
        <f>IF($C1775="","",R1775-V1775)</f>
        <v/>
      </c>
      <c r="X1775" s="7">
        <f>IF($C1775="","",W1775-K1775)</f>
        <v/>
      </c>
      <c r="AB1775" s="7" t="n"/>
      <c r="AE1775" s="11" t="n"/>
      <c r="AG1775">
        <f>IF($C1775="","",IF(COUNTIF($C$2:$C1775,$C1775)=1,1,0))</f>
        <v/>
      </c>
      <c r="AH1775">
        <f>IF($AG1775=1,SUMPRODUCT(--($AK$2:$AK$6001&lt;$AK1775))+1,"")</f>
        <v/>
      </c>
      <c r="AI1775">
        <f>IF($C1775="","",IF(OR($N1775=TRUE(),$N1775="TRUE"),1,0))</f>
        <v/>
      </c>
      <c r="AJ1775">
        <f>IF($C1775="","",IF($T1775="Yes",1,0))</f>
        <v/>
      </c>
      <c r="AK1775">
        <f>IF($AG1775=1,IFERROR(IF(VALUE($C1775)&lt;100000000,VALUE($C1775),1000000000),IFERROR(IF(VALUE(MID($C1775,2,20))&lt;100000000,VALUE(MID($C1775,2,20)),1000000000),1000000000))+ROW()/100000,"")</f>
        <v/>
      </c>
    </row>
    <row r="1776">
      <c r="D1776" s="11" t="n"/>
      <c r="K1776" s="7">
        <f>IF($C1776="","",J1776*W1776/100)</f>
        <v/>
      </c>
      <c r="Q1776" s="7" t="n"/>
      <c r="R1776" s="7" t="n"/>
      <c r="U1776">
        <f>IF($C1776="","",IF($AJ1776=1,0,IF($AI1776=1,Settings!$C$6,Settings!$C$7))*100)</f>
        <v/>
      </c>
      <c r="V1776" s="7">
        <f>IF($C1776="","",R1776*U1776/100)</f>
        <v/>
      </c>
      <c r="W1776" s="7">
        <f>IF($C1776="","",R1776-V1776)</f>
        <v/>
      </c>
      <c r="X1776" s="7">
        <f>IF($C1776="","",W1776-K1776)</f>
        <v/>
      </c>
      <c r="AB1776" s="7" t="n"/>
      <c r="AE1776" s="11" t="n"/>
      <c r="AG1776">
        <f>IF($C1776="","",IF(COUNTIF($C$2:$C1776,$C1776)=1,1,0))</f>
        <v/>
      </c>
      <c r="AH1776">
        <f>IF($AG1776=1,SUMPRODUCT(--($AK$2:$AK$6001&lt;$AK1776))+1,"")</f>
        <v/>
      </c>
      <c r="AI1776">
        <f>IF($C1776="","",IF(OR($N1776=TRUE(),$N1776="TRUE"),1,0))</f>
        <v/>
      </c>
      <c r="AJ1776">
        <f>IF($C1776="","",IF($T1776="Yes",1,0))</f>
        <v/>
      </c>
      <c r="AK1776">
        <f>IF($AG1776=1,IFERROR(IF(VALUE($C1776)&lt;100000000,VALUE($C1776),1000000000),IFERROR(IF(VALUE(MID($C1776,2,20))&lt;100000000,VALUE(MID($C1776,2,20)),1000000000),1000000000))+ROW()/100000,"")</f>
        <v/>
      </c>
    </row>
    <row r="1777">
      <c r="D1777" s="11" t="n"/>
      <c r="K1777" s="7">
        <f>IF($C1777="","",J1777*W1777/100)</f>
        <v/>
      </c>
      <c r="Q1777" s="7" t="n"/>
      <c r="R1777" s="7" t="n"/>
      <c r="U1777">
        <f>IF($C1777="","",IF($AJ1777=1,0,IF($AI1777=1,Settings!$C$6,Settings!$C$7))*100)</f>
        <v/>
      </c>
      <c r="V1777" s="7">
        <f>IF($C1777="","",R1777*U1777/100)</f>
        <v/>
      </c>
      <c r="W1777" s="7">
        <f>IF($C1777="","",R1777-V1777)</f>
        <v/>
      </c>
      <c r="X1777" s="7">
        <f>IF($C1777="","",W1777-K1777)</f>
        <v/>
      </c>
      <c r="AB1777" s="7" t="n"/>
      <c r="AE1777" s="11" t="n"/>
      <c r="AG1777">
        <f>IF($C1777="","",IF(COUNTIF($C$2:$C1777,$C1777)=1,1,0))</f>
        <v/>
      </c>
      <c r="AH1777">
        <f>IF($AG1777=1,SUMPRODUCT(--($AK$2:$AK$6001&lt;$AK1777))+1,"")</f>
        <v/>
      </c>
      <c r="AI1777">
        <f>IF($C1777="","",IF(OR($N1777=TRUE(),$N1777="TRUE"),1,0))</f>
        <v/>
      </c>
      <c r="AJ1777">
        <f>IF($C1777="","",IF($T1777="Yes",1,0))</f>
        <v/>
      </c>
      <c r="AK1777">
        <f>IF($AG1777=1,IFERROR(IF(VALUE($C1777)&lt;100000000,VALUE($C1777),1000000000),IFERROR(IF(VALUE(MID($C1777,2,20))&lt;100000000,VALUE(MID($C1777,2,20)),1000000000),1000000000))+ROW()/100000,"")</f>
        <v/>
      </c>
    </row>
    <row r="1778">
      <c r="D1778" s="11" t="n"/>
      <c r="K1778" s="7">
        <f>IF($C1778="","",J1778*W1778/100)</f>
        <v/>
      </c>
      <c r="Q1778" s="7" t="n"/>
      <c r="R1778" s="7" t="n"/>
      <c r="U1778">
        <f>IF($C1778="","",IF($AJ1778=1,0,IF($AI1778=1,Settings!$C$6,Settings!$C$7))*100)</f>
        <v/>
      </c>
      <c r="V1778" s="7">
        <f>IF($C1778="","",R1778*U1778/100)</f>
        <v/>
      </c>
      <c r="W1778" s="7">
        <f>IF($C1778="","",R1778-V1778)</f>
        <v/>
      </c>
      <c r="X1778" s="7">
        <f>IF($C1778="","",W1778-K1778)</f>
        <v/>
      </c>
      <c r="AB1778" s="7" t="n"/>
      <c r="AE1778" s="11" t="n"/>
      <c r="AG1778">
        <f>IF($C1778="","",IF(COUNTIF($C$2:$C1778,$C1778)=1,1,0))</f>
        <v/>
      </c>
      <c r="AH1778">
        <f>IF($AG1778=1,SUMPRODUCT(--($AK$2:$AK$6001&lt;$AK1778))+1,"")</f>
        <v/>
      </c>
      <c r="AI1778">
        <f>IF($C1778="","",IF(OR($N1778=TRUE(),$N1778="TRUE"),1,0))</f>
        <v/>
      </c>
      <c r="AJ1778">
        <f>IF($C1778="","",IF($T1778="Yes",1,0))</f>
        <v/>
      </c>
      <c r="AK1778">
        <f>IF($AG1778=1,IFERROR(IF(VALUE($C1778)&lt;100000000,VALUE($C1778),1000000000),IFERROR(IF(VALUE(MID($C1778,2,20))&lt;100000000,VALUE(MID($C1778,2,20)),1000000000),1000000000))+ROW()/100000,"")</f>
        <v/>
      </c>
    </row>
    <row r="1779">
      <c r="D1779" s="11" t="n"/>
      <c r="K1779" s="7">
        <f>IF($C1779="","",J1779*W1779/100)</f>
        <v/>
      </c>
      <c r="Q1779" s="7" t="n"/>
      <c r="R1779" s="7" t="n"/>
      <c r="U1779">
        <f>IF($C1779="","",IF($AJ1779=1,0,IF($AI1779=1,Settings!$C$6,Settings!$C$7))*100)</f>
        <v/>
      </c>
      <c r="V1779" s="7">
        <f>IF($C1779="","",R1779*U1779/100)</f>
        <v/>
      </c>
      <c r="W1779" s="7">
        <f>IF($C1779="","",R1779-V1779)</f>
        <v/>
      </c>
      <c r="X1779" s="7">
        <f>IF($C1779="","",W1779-K1779)</f>
        <v/>
      </c>
      <c r="AB1779" s="7" t="n"/>
      <c r="AE1779" s="11" t="n"/>
      <c r="AG1779">
        <f>IF($C1779="","",IF(COUNTIF($C$2:$C1779,$C1779)=1,1,0))</f>
        <v/>
      </c>
      <c r="AH1779">
        <f>IF($AG1779=1,SUMPRODUCT(--($AK$2:$AK$6001&lt;$AK1779))+1,"")</f>
        <v/>
      </c>
      <c r="AI1779">
        <f>IF($C1779="","",IF(OR($N1779=TRUE(),$N1779="TRUE"),1,0))</f>
        <v/>
      </c>
      <c r="AJ1779">
        <f>IF($C1779="","",IF($T1779="Yes",1,0))</f>
        <v/>
      </c>
      <c r="AK1779">
        <f>IF($AG1779=1,IFERROR(IF(VALUE($C1779)&lt;100000000,VALUE($C1779),1000000000),IFERROR(IF(VALUE(MID($C1779,2,20))&lt;100000000,VALUE(MID($C1779,2,20)),1000000000),1000000000))+ROW()/100000,"")</f>
        <v/>
      </c>
    </row>
    <row r="1780">
      <c r="D1780" s="11" t="n"/>
      <c r="K1780" s="7">
        <f>IF($C1780="","",J1780*W1780/100)</f>
        <v/>
      </c>
      <c r="Q1780" s="7" t="n"/>
      <c r="R1780" s="7" t="n"/>
      <c r="U1780">
        <f>IF($C1780="","",IF($AJ1780=1,0,IF($AI1780=1,Settings!$C$6,Settings!$C$7))*100)</f>
        <v/>
      </c>
      <c r="V1780" s="7">
        <f>IF($C1780="","",R1780*U1780/100)</f>
        <v/>
      </c>
      <c r="W1780" s="7">
        <f>IF($C1780="","",R1780-V1780)</f>
        <v/>
      </c>
      <c r="X1780" s="7">
        <f>IF($C1780="","",W1780-K1780)</f>
        <v/>
      </c>
      <c r="AB1780" s="7" t="n"/>
      <c r="AE1780" s="11" t="n"/>
      <c r="AG1780">
        <f>IF($C1780="","",IF(COUNTIF($C$2:$C1780,$C1780)=1,1,0))</f>
        <v/>
      </c>
      <c r="AH1780">
        <f>IF($AG1780=1,SUMPRODUCT(--($AK$2:$AK$6001&lt;$AK1780))+1,"")</f>
        <v/>
      </c>
      <c r="AI1780">
        <f>IF($C1780="","",IF(OR($N1780=TRUE(),$N1780="TRUE"),1,0))</f>
        <v/>
      </c>
      <c r="AJ1780">
        <f>IF($C1780="","",IF($T1780="Yes",1,0))</f>
        <v/>
      </c>
      <c r="AK1780">
        <f>IF($AG1780=1,IFERROR(IF(VALUE($C1780)&lt;100000000,VALUE($C1780),1000000000),IFERROR(IF(VALUE(MID($C1780,2,20))&lt;100000000,VALUE(MID($C1780,2,20)),1000000000),1000000000))+ROW()/100000,"")</f>
        <v/>
      </c>
    </row>
    <row r="1781">
      <c r="D1781" s="11" t="n"/>
      <c r="K1781" s="7">
        <f>IF($C1781="","",J1781*W1781/100)</f>
        <v/>
      </c>
      <c r="Q1781" s="7" t="n"/>
      <c r="R1781" s="7" t="n"/>
      <c r="U1781">
        <f>IF($C1781="","",IF($AJ1781=1,0,IF($AI1781=1,Settings!$C$6,Settings!$C$7))*100)</f>
        <v/>
      </c>
      <c r="V1781" s="7">
        <f>IF($C1781="","",R1781*U1781/100)</f>
        <v/>
      </c>
      <c r="W1781" s="7">
        <f>IF($C1781="","",R1781-V1781)</f>
        <v/>
      </c>
      <c r="X1781" s="7">
        <f>IF($C1781="","",W1781-K1781)</f>
        <v/>
      </c>
      <c r="AB1781" s="7" t="n"/>
      <c r="AE1781" s="11" t="n"/>
      <c r="AG1781">
        <f>IF($C1781="","",IF(COUNTIF($C$2:$C1781,$C1781)=1,1,0))</f>
        <v/>
      </c>
      <c r="AH1781">
        <f>IF($AG1781=1,SUMPRODUCT(--($AK$2:$AK$6001&lt;$AK1781))+1,"")</f>
        <v/>
      </c>
      <c r="AI1781">
        <f>IF($C1781="","",IF(OR($N1781=TRUE(),$N1781="TRUE"),1,0))</f>
        <v/>
      </c>
      <c r="AJ1781">
        <f>IF($C1781="","",IF($T1781="Yes",1,0))</f>
        <v/>
      </c>
      <c r="AK1781">
        <f>IF($AG1781=1,IFERROR(IF(VALUE($C1781)&lt;100000000,VALUE($C1781),1000000000),IFERROR(IF(VALUE(MID($C1781,2,20))&lt;100000000,VALUE(MID($C1781,2,20)),1000000000),1000000000))+ROW()/100000,"")</f>
        <v/>
      </c>
    </row>
    <row r="1782">
      <c r="D1782" s="11" t="n"/>
      <c r="K1782" s="7">
        <f>IF($C1782="","",J1782*W1782/100)</f>
        <v/>
      </c>
      <c r="Q1782" s="7" t="n"/>
      <c r="R1782" s="7" t="n"/>
      <c r="U1782">
        <f>IF($C1782="","",IF($AJ1782=1,0,IF($AI1782=1,Settings!$C$6,Settings!$C$7))*100)</f>
        <v/>
      </c>
      <c r="V1782" s="7">
        <f>IF($C1782="","",R1782*U1782/100)</f>
        <v/>
      </c>
      <c r="W1782" s="7">
        <f>IF($C1782="","",R1782-V1782)</f>
        <v/>
      </c>
      <c r="X1782" s="7">
        <f>IF($C1782="","",W1782-K1782)</f>
        <v/>
      </c>
      <c r="AB1782" s="7" t="n"/>
      <c r="AE1782" s="11" t="n"/>
      <c r="AG1782">
        <f>IF($C1782="","",IF(COUNTIF($C$2:$C1782,$C1782)=1,1,0))</f>
        <v/>
      </c>
      <c r="AH1782">
        <f>IF($AG1782=1,SUMPRODUCT(--($AK$2:$AK$6001&lt;$AK1782))+1,"")</f>
        <v/>
      </c>
      <c r="AI1782">
        <f>IF($C1782="","",IF(OR($N1782=TRUE(),$N1782="TRUE"),1,0))</f>
        <v/>
      </c>
      <c r="AJ1782">
        <f>IF($C1782="","",IF($T1782="Yes",1,0))</f>
        <v/>
      </c>
      <c r="AK1782">
        <f>IF($AG1782=1,IFERROR(IF(VALUE($C1782)&lt;100000000,VALUE($C1782),1000000000),IFERROR(IF(VALUE(MID($C1782,2,20))&lt;100000000,VALUE(MID($C1782,2,20)),1000000000),1000000000))+ROW()/100000,"")</f>
        <v/>
      </c>
    </row>
    <row r="1783">
      <c r="D1783" s="11" t="n"/>
      <c r="K1783" s="7">
        <f>IF($C1783="","",J1783*W1783/100)</f>
        <v/>
      </c>
      <c r="Q1783" s="7" t="n"/>
      <c r="R1783" s="7" t="n"/>
      <c r="U1783">
        <f>IF($C1783="","",IF($AJ1783=1,0,IF($AI1783=1,Settings!$C$6,Settings!$C$7))*100)</f>
        <v/>
      </c>
      <c r="V1783" s="7">
        <f>IF($C1783="","",R1783*U1783/100)</f>
        <v/>
      </c>
      <c r="W1783" s="7">
        <f>IF($C1783="","",R1783-V1783)</f>
        <v/>
      </c>
      <c r="X1783" s="7">
        <f>IF($C1783="","",W1783-K1783)</f>
        <v/>
      </c>
      <c r="AB1783" s="7" t="n"/>
      <c r="AE1783" s="11" t="n"/>
      <c r="AG1783">
        <f>IF($C1783="","",IF(COUNTIF($C$2:$C1783,$C1783)=1,1,0))</f>
        <v/>
      </c>
      <c r="AH1783">
        <f>IF($AG1783=1,SUMPRODUCT(--($AK$2:$AK$6001&lt;$AK1783))+1,"")</f>
        <v/>
      </c>
      <c r="AI1783">
        <f>IF($C1783="","",IF(OR($N1783=TRUE(),$N1783="TRUE"),1,0))</f>
        <v/>
      </c>
      <c r="AJ1783">
        <f>IF($C1783="","",IF($T1783="Yes",1,0))</f>
        <v/>
      </c>
      <c r="AK1783">
        <f>IF($AG1783=1,IFERROR(IF(VALUE($C1783)&lt;100000000,VALUE($C1783),1000000000),IFERROR(IF(VALUE(MID($C1783,2,20))&lt;100000000,VALUE(MID($C1783,2,20)),1000000000),1000000000))+ROW()/100000,"")</f>
        <v/>
      </c>
    </row>
    <row r="1784">
      <c r="D1784" s="11" t="n"/>
      <c r="K1784" s="7">
        <f>IF($C1784="","",J1784*W1784/100)</f>
        <v/>
      </c>
      <c r="Q1784" s="7" t="n"/>
      <c r="R1784" s="7" t="n"/>
      <c r="U1784">
        <f>IF($C1784="","",IF($AJ1784=1,0,IF($AI1784=1,Settings!$C$6,Settings!$C$7))*100)</f>
        <v/>
      </c>
      <c r="V1784" s="7">
        <f>IF($C1784="","",R1784*U1784/100)</f>
        <v/>
      </c>
      <c r="W1784" s="7">
        <f>IF($C1784="","",R1784-V1784)</f>
        <v/>
      </c>
      <c r="X1784" s="7">
        <f>IF($C1784="","",W1784-K1784)</f>
        <v/>
      </c>
      <c r="AB1784" s="7" t="n"/>
      <c r="AE1784" s="11" t="n"/>
      <c r="AG1784">
        <f>IF($C1784="","",IF(COUNTIF($C$2:$C1784,$C1784)=1,1,0))</f>
        <v/>
      </c>
      <c r="AH1784">
        <f>IF($AG1784=1,SUMPRODUCT(--($AK$2:$AK$6001&lt;$AK1784))+1,"")</f>
        <v/>
      </c>
      <c r="AI1784">
        <f>IF($C1784="","",IF(OR($N1784=TRUE(),$N1784="TRUE"),1,0))</f>
        <v/>
      </c>
      <c r="AJ1784">
        <f>IF($C1784="","",IF($T1784="Yes",1,0))</f>
        <v/>
      </c>
      <c r="AK1784">
        <f>IF($AG1784=1,IFERROR(IF(VALUE($C1784)&lt;100000000,VALUE($C1784),1000000000),IFERROR(IF(VALUE(MID($C1784,2,20))&lt;100000000,VALUE(MID($C1784,2,20)),1000000000),1000000000))+ROW()/100000,"")</f>
        <v/>
      </c>
    </row>
    <row r="1785">
      <c r="D1785" s="11" t="n"/>
      <c r="K1785" s="7">
        <f>IF($C1785="","",J1785*W1785/100)</f>
        <v/>
      </c>
      <c r="Q1785" s="7" t="n"/>
      <c r="R1785" s="7" t="n"/>
      <c r="U1785">
        <f>IF($C1785="","",IF($AJ1785=1,0,IF($AI1785=1,Settings!$C$6,Settings!$C$7))*100)</f>
        <v/>
      </c>
      <c r="V1785" s="7">
        <f>IF($C1785="","",R1785*U1785/100)</f>
        <v/>
      </c>
      <c r="W1785" s="7">
        <f>IF($C1785="","",R1785-V1785)</f>
        <v/>
      </c>
      <c r="X1785" s="7">
        <f>IF($C1785="","",W1785-K1785)</f>
        <v/>
      </c>
      <c r="AB1785" s="7" t="n"/>
      <c r="AE1785" s="11" t="n"/>
      <c r="AG1785">
        <f>IF($C1785="","",IF(COUNTIF($C$2:$C1785,$C1785)=1,1,0))</f>
        <v/>
      </c>
      <c r="AH1785">
        <f>IF($AG1785=1,SUMPRODUCT(--($AK$2:$AK$6001&lt;$AK1785))+1,"")</f>
        <v/>
      </c>
      <c r="AI1785">
        <f>IF($C1785="","",IF(OR($N1785=TRUE(),$N1785="TRUE"),1,0))</f>
        <v/>
      </c>
      <c r="AJ1785">
        <f>IF($C1785="","",IF($T1785="Yes",1,0))</f>
        <v/>
      </c>
      <c r="AK1785">
        <f>IF($AG1785=1,IFERROR(IF(VALUE($C1785)&lt;100000000,VALUE($C1785),1000000000),IFERROR(IF(VALUE(MID($C1785,2,20))&lt;100000000,VALUE(MID($C1785,2,20)),1000000000),1000000000))+ROW()/100000,"")</f>
        <v/>
      </c>
    </row>
    <row r="1786">
      <c r="D1786" s="11" t="n"/>
      <c r="K1786" s="7">
        <f>IF($C1786="","",J1786*W1786/100)</f>
        <v/>
      </c>
      <c r="Q1786" s="7" t="n"/>
      <c r="R1786" s="7" t="n"/>
      <c r="U1786">
        <f>IF($C1786="","",IF($AJ1786=1,0,IF($AI1786=1,Settings!$C$6,Settings!$C$7))*100)</f>
        <v/>
      </c>
      <c r="V1786" s="7">
        <f>IF($C1786="","",R1786*U1786/100)</f>
        <v/>
      </c>
      <c r="W1786" s="7">
        <f>IF($C1786="","",R1786-V1786)</f>
        <v/>
      </c>
      <c r="X1786" s="7">
        <f>IF($C1786="","",W1786-K1786)</f>
        <v/>
      </c>
      <c r="AB1786" s="7" t="n"/>
      <c r="AE1786" s="11" t="n"/>
      <c r="AG1786">
        <f>IF($C1786="","",IF(COUNTIF($C$2:$C1786,$C1786)=1,1,0))</f>
        <v/>
      </c>
      <c r="AH1786">
        <f>IF($AG1786=1,SUMPRODUCT(--($AK$2:$AK$6001&lt;$AK1786))+1,"")</f>
        <v/>
      </c>
      <c r="AI1786">
        <f>IF($C1786="","",IF(OR($N1786=TRUE(),$N1786="TRUE"),1,0))</f>
        <v/>
      </c>
      <c r="AJ1786">
        <f>IF($C1786="","",IF($T1786="Yes",1,0))</f>
        <v/>
      </c>
      <c r="AK1786">
        <f>IF($AG1786=1,IFERROR(IF(VALUE($C1786)&lt;100000000,VALUE($C1786),1000000000),IFERROR(IF(VALUE(MID($C1786,2,20))&lt;100000000,VALUE(MID($C1786,2,20)),1000000000),1000000000))+ROW()/100000,"")</f>
        <v/>
      </c>
    </row>
    <row r="1787">
      <c r="D1787" s="11" t="n"/>
      <c r="K1787" s="7">
        <f>IF($C1787="","",J1787*W1787/100)</f>
        <v/>
      </c>
      <c r="Q1787" s="7" t="n"/>
      <c r="R1787" s="7" t="n"/>
      <c r="U1787">
        <f>IF($C1787="","",IF($AJ1787=1,0,IF($AI1787=1,Settings!$C$6,Settings!$C$7))*100)</f>
        <v/>
      </c>
      <c r="V1787" s="7">
        <f>IF($C1787="","",R1787*U1787/100)</f>
        <v/>
      </c>
      <c r="W1787" s="7">
        <f>IF($C1787="","",R1787-V1787)</f>
        <v/>
      </c>
      <c r="X1787" s="7">
        <f>IF($C1787="","",W1787-K1787)</f>
        <v/>
      </c>
      <c r="AB1787" s="7" t="n"/>
      <c r="AE1787" s="11" t="n"/>
      <c r="AG1787">
        <f>IF($C1787="","",IF(COUNTIF($C$2:$C1787,$C1787)=1,1,0))</f>
        <v/>
      </c>
      <c r="AH1787">
        <f>IF($AG1787=1,SUMPRODUCT(--($AK$2:$AK$6001&lt;$AK1787))+1,"")</f>
        <v/>
      </c>
      <c r="AI1787">
        <f>IF($C1787="","",IF(OR($N1787=TRUE(),$N1787="TRUE"),1,0))</f>
        <v/>
      </c>
      <c r="AJ1787">
        <f>IF($C1787="","",IF($T1787="Yes",1,0))</f>
        <v/>
      </c>
      <c r="AK1787">
        <f>IF($AG1787=1,IFERROR(IF(VALUE($C1787)&lt;100000000,VALUE($C1787),1000000000),IFERROR(IF(VALUE(MID($C1787,2,20))&lt;100000000,VALUE(MID($C1787,2,20)),1000000000),1000000000))+ROW()/100000,"")</f>
        <v/>
      </c>
    </row>
    <row r="1788">
      <c r="D1788" s="11" t="n"/>
      <c r="K1788" s="7">
        <f>IF($C1788="","",J1788*W1788/100)</f>
        <v/>
      </c>
      <c r="Q1788" s="7" t="n"/>
      <c r="R1788" s="7" t="n"/>
      <c r="U1788">
        <f>IF($C1788="","",IF($AJ1788=1,0,IF($AI1788=1,Settings!$C$6,Settings!$C$7))*100)</f>
        <v/>
      </c>
      <c r="V1788" s="7">
        <f>IF($C1788="","",R1788*U1788/100)</f>
        <v/>
      </c>
      <c r="W1788" s="7">
        <f>IF($C1788="","",R1788-V1788)</f>
        <v/>
      </c>
      <c r="X1788" s="7">
        <f>IF($C1788="","",W1788-K1788)</f>
        <v/>
      </c>
      <c r="AB1788" s="7" t="n"/>
      <c r="AE1788" s="11" t="n"/>
      <c r="AG1788">
        <f>IF($C1788="","",IF(COUNTIF($C$2:$C1788,$C1788)=1,1,0))</f>
        <v/>
      </c>
      <c r="AH1788">
        <f>IF($AG1788=1,SUMPRODUCT(--($AK$2:$AK$6001&lt;$AK1788))+1,"")</f>
        <v/>
      </c>
      <c r="AI1788">
        <f>IF($C1788="","",IF(OR($N1788=TRUE(),$N1788="TRUE"),1,0))</f>
        <v/>
      </c>
      <c r="AJ1788">
        <f>IF($C1788="","",IF($T1788="Yes",1,0))</f>
        <v/>
      </c>
      <c r="AK1788">
        <f>IF($AG1788=1,IFERROR(IF(VALUE($C1788)&lt;100000000,VALUE($C1788),1000000000),IFERROR(IF(VALUE(MID($C1788,2,20))&lt;100000000,VALUE(MID($C1788,2,20)),1000000000),1000000000))+ROW()/100000,"")</f>
        <v/>
      </c>
    </row>
    <row r="1789">
      <c r="D1789" s="11" t="n"/>
      <c r="K1789" s="7">
        <f>IF($C1789="","",J1789*W1789/100)</f>
        <v/>
      </c>
      <c r="Q1789" s="7" t="n"/>
      <c r="R1789" s="7" t="n"/>
      <c r="U1789">
        <f>IF($C1789="","",IF($AJ1789=1,0,IF($AI1789=1,Settings!$C$6,Settings!$C$7))*100)</f>
        <v/>
      </c>
      <c r="V1789" s="7">
        <f>IF($C1789="","",R1789*U1789/100)</f>
        <v/>
      </c>
      <c r="W1789" s="7">
        <f>IF($C1789="","",R1789-V1789)</f>
        <v/>
      </c>
      <c r="X1789" s="7">
        <f>IF($C1789="","",W1789-K1789)</f>
        <v/>
      </c>
      <c r="AB1789" s="7" t="n"/>
      <c r="AE1789" s="11" t="n"/>
      <c r="AG1789">
        <f>IF($C1789="","",IF(COUNTIF($C$2:$C1789,$C1789)=1,1,0))</f>
        <v/>
      </c>
      <c r="AH1789">
        <f>IF($AG1789=1,SUMPRODUCT(--($AK$2:$AK$6001&lt;$AK1789))+1,"")</f>
        <v/>
      </c>
      <c r="AI1789">
        <f>IF($C1789="","",IF(OR($N1789=TRUE(),$N1789="TRUE"),1,0))</f>
        <v/>
      </c>
      <c r="AJ1789">
        <f>IF($C1789="","",IF($T1789="Yes",1,0))</f>
        <v/>
      </c>
      <c r="AK1789">
        <f>IF($AG1789=1,IFERROR(IF(VALUE($C1789)&lt;100000000,VALUE($C1789),1000000000),IFERROR(IF(VALUE(MID($C1789,2,20))&lt;100000000,VALUE(MID($C1789,2,20)),1000000000),1000000000))+ROW()/100000,"")</f>
        <v/>
      </c>
    </row>
    <row r="1790">
      <c r="D1790" s="11" t="n"/>
      <c r="K1790" s="7">
        <f>IF($C1790="","",J1790*W1790/100)</f>
        <v/>
      </c>
      <c r="Q1790" s="7" t="n"/>
      <c r="R1790" s="7" t="n"/>
      <c r="U1790">
        <f>IF($C1790="","",IF($AJ1790=1,0,IF($AI1790=1,Settings!$C$6,Settings!$C$7))*100)</f>
        <v/>
      </c>
      <c r="V1790" s="7">
        <f>IF($C1790="","",R1790*U1790/100)</f>
        <v/>
      </c>
      <c r="W1790" s="7">
        <f>IF($C1790="","",R1790-V1790)</f>
        <v/>
      </c>
      <c r="X1790" s="7">
        <f>IF($C1790="","",W1790-K1790)</f>
        <v/>
      </c>
      <c r="AB1790" s="7" t="n"/>
      <c r="AE1790" s="11" t="n"/>
      <c r="AG1790">
        <f>IF($C1790="","",IF(COUNTIF($C$2:$C1790,$C1790)=1,1,0))</f>
        <v/>
      </c>
      <c r="AH1790">
        <f>IF($AG1790=1,SUMPRODUCT(--($AK$2:$AK$6001&lt;$AK1790))+1,"")</f>
        <v/>
      </c>
      <c r="AI1790">
        <f>IF($C1790="","",IF(OR($N1790=TRUE(),$N1790="TRUE"),1,0))</f>
        <v/>
      </c>
      <c r="AJ1790">
        <f>IF($C1790="","",IF($T1790="Yes",1,0))</f>
        <v/>
      </c>
      <c r="AK1790">
        <f>IF($AG1790=1,IFERROR(IF(VALUE($C1790)&lt;100000000,VALUE($C1790),1000000000),IFERROR(IF(VALUE(MID($C1790,2,20))&lt;100000000,VALUE(MID($C1790,2,20)),1000000000),1000000000))+ROW()/100000,"")</f>
        <v/>
      </c>
    </row>
    <row r="1791">
      <c r="D1791" s="11" t="n"/>
      <c r="K1791" s="7">
        <f>IF($C1791="","",J1791*W1791/100)</f>
        <v/>
      </c>
      <c r="Q1791" s="7" t="n"/>
      <c r="R1791" s="7" t="n"/>
      <c r="U1791">
        <f>IF($C1791="","",IF($AJ1791=1,0,IF($AI1791=1,Settings!$C$6,Settings!$C$7))*100)</f>
        <v/>
      </c>
      <c r="V1791" s="7">
        <f>IF($C1791="","",R1791*U1791/100)</f>
        <v/>
      </c>
      <c r="W1791" s="7">
        <f>IF($C1791="","",R1791-V1791)</f>
        <v/>
      </c>
      <c r="X1791" s="7">
        <f>IF($C1791="","",W1791-K1791)</f>
        <v/>
      </c>
      <c r="AB1791" s="7" t="n"/>
      <c r="AE1791" s="11" t="n"/>
      <c r="AG1791">
        <f>IF($C1791="","",IF(COUNTIF($C$2:$C1791,$C1791)=1,1,0))</f>
        <v/>
      </c>
      <c r="AH1791">
        <f>IF($AG1791=1,SUMPRODUCT(--($AK$2:$AK$6001&lt;$AK1791))+1,"")</f>
        <v/>
      </c>
      <c r="AI1791">
        <f>IF($C1791="","",IF(OR($N1791=TRUE(),$N1791="TRUE"),1,0))</f>
        <v/>
      </c>
      <c r="AJ1791">
        <f>IF($C1791="","",IF($T1791="Yes",1,0))</f>
        <v/>
      </c>
      <c r="AK1791">
        <f>IF($AG1791=1,IFERROR(IF(VALUE($C1791)&lt;100000000,VALUE($C1791),1000000000),IFERROR(IF(VALUE(MID($C1791,2,20))&lt;100000000,VALUE(MID($C1791,2,20)),1000000000),1000000000))+ROW()/100000,"")</f>
        <v/>
      </c>
    </row>
    <row r="1792">
      <c r="D1792" s="11" t="n"/>
      <c r="K1792" s="7">
        <f>IF($C1792="","",J1792*W1792/100)</f>
        <v/>
      </c>
      <c r="Q1792" s="7" t="n"/>
      <c r="R1792" s="7" t="n"/>
      <c r="U1792">
        <f>IF($C1792="","",IF($AJ1792=1,0,IF($AI1792=1,Settings!$C$6,Settings!$C$7))*100)</f>
        <v/>
      </c>
      <c r="V1792" s="7">
        <f>IF($C1792="","",R1792*U1792/100)</f>
        <v/>
      </c>
      <c r="W1792" s="7">
        <f>IF($C1792="","",R1792-V1792)</f>
        <v/>
      </c>
      <c r="X1792" s="7">
        <f>IF($C1792="","",W1792-K1792)</f>
        <v/>
      </c>
      <c r="AB1792" s="7" t="n"/>
      <c r="AE1792" s="11" t="n"/>
      <c r="AG1792">
        <f>IF($C1792="","",IF(COUNTIF($C$2:$C1792,$C1792)=1,1,0))</f>
        <v/>
      </c>
      <c r="AH1792">
        <f>IF($AG1792=1,SUMPRODUCT(--($AK$2:$AK$6001&lt;$AK1792))+1,"")</f>
        <v/>
      </c>
      <c r="AI1792">
        <f>IF($C1792="","",IF(OR($N1792=TRUE(),$N1792="TRUE"),1,0))</f>
        <v/>
      </c>
      <c r="AJ1792">
        <f>IF($C1792="","",IF($T1792="Yes",1,0))</f>
        <v/>
      </c>
      <c r="AK1792">
        <f>IF($AG1792=1,IFERROR(IF(VALUE($C1792)&lt;100000000,VALUE($C1792),1000000000),IFERROR(IF(VALUE(MID($C1792,2,20))&lt;100000000,VALUE(MID($C1792,2,20)),1000000000),1000000000))+ROW()/100000,"")</f>
        <v/>
      </c>
    </row>
    <row r="1793">
      <c r="D1793" s="11" t="n"/>
      <c r="K1793" s="7">
        <f>IF($C1793="","",J1793*W1793/100)</f>
        <v/>
      </c>
      <c r="Q1793" s="7" t="n"/>
      <c r="R1793" s="7" t="n"/>
      <c r="U1793">
        <f>IF($C1793="","",IF($AJ1793=1,0,IF($AI1793=1,Settings!$C$6,Settings!$C$7))*100)</f>
        <v/>
      </c>
      <c r="V1793" s="7">
        <f>IF($C1793="","",R1793*U1793/100)</f>
        <v/>
      </c>
      <c r="W1793" s="7">
        <f>IF($C1793="","",R1793-V1793)</f>
        <v/>
      </c>
      <c r="X1793" s="7">
        <f>IF($C1793="","",W1793-K1793)</f>
        <v/>
      </c>
      <c r="AB1793" s="7" t="n"/>
      <c r="AE1793" s="11" t="n"/>
      <c r="AG1793">
        <f>IF($C1793="","",IF(COUNTIF($C$2:$C1793,$C1793)=1,1,0))</f>
        <v/>
      </c>
      <c r="AH1793">
        <f>IF($AG1793=1,SUMPRODUCT(--($AK$2:$AK$6001&lt;$AK1793))+1,"")</f>
        <v/>
      </c>
      <c r="AI1793">
        <f>IF($C1793="","",IF(OR($N1793=TRUE(),$N1793="TRUE"),1,0))</f>
        <v/>
      </c>
      <c r="AJ1793">
        <f>IF($C1793="","",IF($T1793="Yes",1,0))</f>
        <v/>
      </c>
      <c r="AK1793">
        <f>IF($AG1793=1,IFERROR(IF(VALUE($C1793)&lt;100000000,VALUE($C1793),1000000000),IFERROR(IF(VALUE(MID($C1793,2,20))&lt;100000000,VALUE(MID($C1793,2,20)),1000000000),1000000000))+ROW()/100000,"")</f>
        <v/>
      </c>
    </row>
    <row r="1794">
      <c r="D1794" s="11" t="n"/>
      <c r="K1794" s="7">
        <f>IF($C1794="","",J1794*W1794/100)</f>
        <v/>
      </c>
      <c r="Q1794" s="7" t="n"/>
      <c r="R1794" s="7" t="n"/>
      <c r="U1794">
        <f>IF($C1794="","",IF($AJ1794=1,0,IF($AI1794=1,Settings!$C$6,Settings!$C$7))*100)</f>
        <v/>
      </c>
      <c r="V1794" s="7">
        <f>IF($C1794="","",R1794*U1794/100)</f>
        <v/>
      </c>
      <c r="W1794" s="7">
        <f>IF($C1794="","",R1794-V1794)</f>
        <v/>
      </c>
      <c r="X1794" s="7">
        <f>IF($C1794="","",W1794-K1794)</f>
        <v/>
      </c>
      <c r="AB1794" s="7" t="n"/>
      <c r="AE1794" s="11" t="n"/>
      <c r="AG1794">
        <f>IF($C1794="","",IF(COUNTIF($C$2:$C1794,$C1794)=1,1,0))</f>
        <v/>
      </c>
      <c r="AH1794">
        <f>IF($AG1794=1,SUMPRODUCT(--($AK$2:$AK$6001&lt;$AK1794))+1,"")</f>
        <v/>
      </c>
      <c r="AI1794">
        <f>IF($C1794="","",IF(OR($N1794=TRUE(),$N1794="TRUE"),1,0))</f>
        <v/>
      </c>
      <c r="AJ1794">
        <f>IF($C1794="","",IF($T1794="Yes",1,0))</f>
        <v/>
      </c>
      <c r="AK1794">
        <f>IF($AG1794=1,IFERROR(IF(VALUE($C1794)&lt;100000000,VALUE($C1794),1000000000),IFERROR(IF(VALUE(MID($C1794,2,20))&lt;100000000,VALUE(MID($C1794,2,20)),1000000000),1000000000))+ROW()/100000,"")</f>
        <v/>
      </c>
    </row>
    <row r="1795">
      <c r="D1795" s="11" t="n"/>
      <c r="K1795" s="7">
        <f>IF($C1795="","",J1795*W1795/100)</f>
        <v/>
      </c>
      <c r="Q1795" s="7" t="n"/>
      <c r="R1795" s="7" t="n"/>
      <c r="U1795">
        <f>IF($C1795="","",IF($AJ1795=1,0,IF($AI1795=1,Settings!$C$6,Settings!$C$7))*100)</f>
        <v/>
      </c>
      <c r="V1795" s="7">
        <f>IF($C1795="","",R1795*U1795/100)</f>
        <v/>
      </c>
      <c r="W1795" s="7">
        <f>IF($C1795="","",R1795-V1795)</f>
        <v/>
      </c>
      <c r="X1795" s="7">
        <f>IF($C1795="","",W1795-K1795)</f>
        <v/>
      </c>
      <c r="AB1795" s="7" t="n"/>
      <c r="AE1795" s="11" t="n"/>
      <c r="AG1795">
        <f>IF($C1795="","",IF(COUNTIF($C$2:$C1795,$C1795)=1,1,0))</f>
        <v/>
      </c>
      <c r="AH1795">
        <f>IF($AG1795=1,SUMPRODUCT(--($AK$2:$AK$6001&lt;$AK1795))+1,"")</f>
        <v/>
      </c>
      <c r="AI1795">
        <f>IF($C1795="","",IF(OR($N1795=TRUE(),$N1795="TRUE"),1,0))</f>
        <v/>
      </c>
      <c r="AJ1795">
        <f>IF($C1795="","",IF($T1795="Yes",1,0))</f>
        <v/>
      </c>
      <c r="AK1795">
        <f>IF($AG1795=1,IFERROR(IF(VALUE($C1795)&lt;100000000,VALUE($C1795),1000000000),IFERROR(IF(VALUE(MID($C1795,2,20))&lt;100000000,VALUE(MID($C1795,2,20)),1000000000),1000000000))+ROW()/100000,"")</f>
        <v/>
      </c>
    </row>
    <row r="1796">
      <c r="D1796" s="11" t="n"/>
      <c r="K1796" s="7">
        <f>IF($C1796="","",J1796*W1796/100)</f>
        <v/>
      </c>
      <c r="Q1796" s="7" t="n"/>
      <c r="R1796" s="7" t="n"/>
      <c r="U1796">
        <f>IF($C1796="","",IF($AJ1796=1,0,IF($AI1796=1,Settings!$C$6,Settings!$C$7))*100)</f>
        <v/>
      </c>
      <c r="V1796" s="7">
        <f>IF($C1796="","",R1796*U1796/100)</f>
        <v/>
      </c>
      <c r="W1796" s="7">
        <f>IF($C1796="","",R1796-V1796)</f>
        <v/>
      </c>
      <c r="X1796" s="7">
        <f>IF($C1796="","",W1796-K1796)</f>
        <v/>
      </c>
      <c r="AB1796" s="7" t="n"/>
      <c r="AE1796" s="11" t="n"/>
      <c r="AG1796">
        <f>IF($C1796="","",IF(COUNTIF($C$2:$C1796,$C1796)=1,1,0))</f>
        <v/>
      </c>
      <c r="AH1796">
        <f>IF($AG1796=1,SUMPRODUCT(--($AK$2:$AK$6001&lt;$AK1796))+1,"")</f>
        <v/>
      </c>
      <c r="AI1796">
        <f>IF($C1796="","",IF(OR($N1796=TRUE(),$N1796="TRUE"),1,0))</f>
        <v/>
      </c>
      <c r="AJ1796">
        <f>IF($C1796="","",IF($T1796="Yes",1,0))</f>
        <v/>
      </c>
      <c r="AK1796">
        <f>IF($AG1796=1,IFERROR(IF(VALUE($C1796)&lt;100000000,VALUE($C1796),1000000000),IFERROR(IF(VALUE(MID($C1796,2,20))&lt;100000000,VALUE(MID($C1796,2,20)),1000000000),1000000000))+ROW()/100000,"")</f>
        <v/>
      </c>
    </row>
    <row r="1797">
      <c r="D1797" s="11" t="n"/>
      <c r="K1797" s="7">
        <f>IF($C1797="","",J1797*W1797/100)</f>
        <v/>
      </c>
      <c r="Q1797" s="7" t="n"/>
      <c r="R1797" s="7" t="n"/>
      <c r="U1797">
        <f>IF($C1797="","",IF($AJ1797=1,0,IF($AI1797=1,Settings!$C$6,Settings!$C$7))*100)</f>
        <v/>
      </c>
      <c r="V1797" s="7">
        <f>IF($C1797="","",R1797*U1797/100)</f>
        <v/>
      </c>
      <c r="W1797" s="7">
        <f>IF($C1797="","",R1797-V1797)</f>
        <v/>
      </c>
      <c r="X1797" s="7">
        <f>IF($C1797="","",W1797-K1797)</f>
        <v/>
      </c>
      <c r="AB1797" s="7" t="n"/>
      <c r="AE1797" s="11" t="n"/>
      <c r="AG1797">
        <f>IF($C1797="","",IF(COUNTIF($C$2:$C1797,$C1797)=1,1,0))</f>
        <v/>
      </c>
      <c r="AH1797">
        <f>IF($AG1797=1,SUMPRODUCT(--($AK$2:$AK$6001&lt;$AK1797))+1,"")</f>
        <v/>
      </c>
      <c r="AI1797">
        <f>IF($C1797="","",IF(OR($N1797=TRUE(),$N1797="TRUE"),1,0))</f>
        <v/>
      </c>
      <c r="AJ1797">
        <f>IF($C1797="","",IF($T1797="Yes",1,0))</f>
        <v/>
      </c>
      <c r="AK1797">
        <f>IF($AG1797=1,IFERROR(IF(VALUE($C1797)&lt;100000000,VALUE($C1797),1000000000),IFERROR(IF(VALUE(MID($C1797,2,20))&lt;100000000,VALUE(MID($C1797,2,20)),1000000000),1000000000))+ROW()/100000,"")</f>
        <v/>
      </c>
    </row>
    <row r="1798">
      <c r="D1798" s="11" t="n"/>
      <c r="K1798" s="7">
        <f>IF($C1798="","",J1798*W1798/100)</f>
        <v/>
      </c>
      <c r="Q1798" s="7" t="n"/>
      <c r="R1798" s="7" t="n"/>
      <c r="U1798">
        <f>IF($C1798="","",IF($AJ1798=1,0,IF($AI1798=1,Settings!$C$6,Settings!$C$7))*100)</f>
        <v/>
      </c>
      <c r="V1798" s="7">
        <f>IF($C1798="","",R1798*U1798/100)</f>
        <v/>
      </c>
      <c r="W1798" s="7">
        <f>IF($C1798="","",R1798-V1798)</f>
        <v/>
      </c>
      <c r="X1798" s="7">
        <f>IF($C1798="","",W1798-K1798)</f>
        <v/>
      </c>
      <c r="AB1798" s="7" t="n"/>
      <c r="AE1798" s="11" t="n"/>
      <c r="AG1798">
        <f>IF($C1798="","",IF(COUNTIF($C$2:$C1798,$C1798)=1,1,0))</f>
        <v/>
      </c>
      <c r="AH1798">
        <f>IF($AG1798=1,SUMPRODUCT(--($AK$2:$AK$6001&lt;$AK1798))+1,"")</f>
        <v/>
      </c>
      <c r="AI1798">
        <f>IF($C1798="","",IF(OR($N1798=TRUE(),$N1798="TRUE"),1,0))</f>
        <v/>
      </c>
      <c r="AJ1798">
        <f>IF($C1798="","",IF($T1798="Yes",1,0))</f>
        <v/>
      </c>
      <c r="AK1798">
        <f>IF($AG1798=1,IFERROR(IF(VALUE($C1798)&lt;100000000,VALUE($C1798),1000000000),IFERROR(IF(VALUE(MID($C1798,2,20))&lt;100000000,VALUE(MID($C1798,2,20)),1000000000),1000000000))+ROW()/100000,"")</f>
        <v/>
      </c>
    </row>
    <row r="1799">
      <c r="D1799" s="11" t="n"/>
      <c r="K1799" s="7">
        <f>IF($C1799="","",J1799*W1799/100)</f>
        <v/>
      </c>
      <c r="Q1799" s="7" t="n"/>
      <c r="R1799" s="7" t="n"/>
      <c r="U1799">
        <f>IF($C1799="","",IF($AJ1799=1,0,IF($AI1799=1,Settings!$C$6,Settings!$C$7))*100)</f>
        <v/>
      </c>
      <c r="V1799" s="7">
        <f>IF($C1799="","",R1799*U1799/100)</f>
        <v/>
      </c>
      <c r="W1799" s="7">
        <f>IF($C1799="","",R1799-V1799)</f>
        <v/>
      </c>
      <c r="X1799" s="7">
        <f>IF($C1799="","",W1799-K1799)</f>
        <v/>
      </c>
      <c r="AB1799" s="7" t="n"/>
      <c r="AE1799" s="11" t="n"/>
      <c r="AG1799">
        <f>IF($C1799="","",IF(COUNTIF($C$2:$C1799,$C1799)=1,1,0))</f>
        <v/>
      </c>
      <c r="AH1799">
        <f>IF($AG1799=1,SUMPRODUCT(--($AK$2:$AK$6001&lt;$AK1799))+1,"")</f>
        <v/>
      </c>
      <c r="AI1799">
        <f>IF($C1799="","",IF(OR($N1799=TRUE(),$N1799="TRUE"),1,0))</f>
        <v/>
      </c>
      <c r="AJ1799">
        <f>IF($C1799="","",IF($T1799="Yes",1,0))</f>
        <v/>
      </c>
      <c r="AK1799">
        <f>IF($AG1799=1,IFERROR(IF(VALUE($C1799)&lt;100000000,VALUE($C1799),1000000000),IFERROR(IF(VALUE(MID($C1799,2,20))&lt;100000000,VALUE(MID($C1799,2,20)),1000000000),1000000000))+ROW()/100000,"")</f>
        <v/>
      </c>
    </row>
    <row r="1800">
      <c r="D1800" s="11" t="n"/>
      <c r="K1800" s="7">
        <f>IF($C1800="","",J1800*W1800/100)</f>
        <v/>
      </c>
      <c r="Q1800" s="7" t="n"/>
      <c r="R1800" s="7" t="n"/>
      <c r="U1800">
        <f>IF($C1800="","",IF($AJ1800=1,0,IF($AI1800=1,Settings!$C$6,Settings!$C$7))*100)</f>
        <v/>
      </c>
      <c r="V1800" s="7">
        <f>IF($C1800="","",R1800*U1800/100)</f>
        <v/>
      </c>
      <c r="W1800" s="7">
        <f>IF($C1800="","",R1800-V1800)</f>
        <v/>
      </c>
      <c r="X1800" s="7">
        <f>IF($C1800="","",W1800-K1800)</f>
        <v/>
      </c>
      <c r="AB1800" s="7" t="n"/>
      <c r="AE1800" s="11" t="n"/>
      <c r="AG1800">
        <f>IF($C1800="","",IF(COUNTIF($C$2:$C1800,$C1800)=1,1,0))</f>
        <v/>
      </c>
      <c r="AH1800">
        <f>IF($AG1800=1,SUMPRODUCT(--($AK$2:$AK$6001&lt;$AK1800))+1,"")</f>
        <v/>
      </c>
      <c r="AI1800">
        <f>IF($C1800="","",IF(OR($N1800=TRUE(),$N1800="TRUE"),1,0))</f>
        <v/>
      </c>
      <c r="AJ1800">
        <f>IF($C1800="","",IF($T1800="Yes",1,0))</f>
        <v/>
      </c>
      <c r="AK1800">
        <f>IF($AG1800=1,IFERROR(IF(VALUE($C1800)&lt;100000000,VALUE($C1800),1000000000),IFERROR(IF(VALUE(MID($C1800,2,20))&lt;100000000,VALUE(MID($C1800,2,20)),1000000000),1000000000))+ROW()/100000,"")</f>
        <v/>
      </c>
    </row>
    <row r="1801">
      <c r="D1801" s="11" t="n"/>
      <c r="K1801" s="7">
        <f>IF($C1801="","",J1801*W1801/100)</f>
        <v/>
      </c>
      <c r="Q1801" s="7" t="n"/>
      <c r="R1801" s="7" t="n"/>
      <c r="U1801">
        <f>IF($C1801="","",IF($AJ1801=1,0,IF($AI1801=1,Settings!$C$6,Settings!$C$7))*100)</f>
        <v/>
      </c>
      <c r="V1801" s="7">
        <f>IF($C1801="","",R1801*U1801/100)</f>
        <v/>
      </c>
      <c r="W1801" s="7">
        <f>IF($C1801="","",R1801-V1801)</f>
        <v/>
      </c>
      <c r="X1801" s="7">
        <f>IF($C1801="","",W1801-K1801)</f>
        <v/>
      </c>
      <c r="AB1801" s="7" t="n"/>
      <c r="AE1801" s="11" t="n"/>
      <c r="AG1801">
        <f>IF($C1801="","",IF(COUNTIF($C$2:$C1801,$C1801)=1,1,0))</f>
        <v/>
      </c>
      <c r="AH1801">
        <f>IF($AG1801=1,SUMPRODUCT(--($AK$2:$AK$6001&lt;$AK1801))+1,"")</f>
        <v/>
      </c>
      <c r="AI1801">
        <f>IF($C1801="","",IF(OR($N1801=TRUE(),$N1801="TRUE"),1,0))</f>
        <v/>
      </c>
      <c r="AJ1801">
        <f>IF($C1801="","",IF($T1801="Yes",1,0))</f>
        <v/>
      </c>
      <c r="AK1801">
        <f>IF($AG1801=1,IFERROR(IF(VALUE($C1801)&lt;100000000,VALUE($C1801),1000000000),IFERROR(IF(VALUE(MID($C1801,2,20))&lt;100000000,VALUE(MID($C1801,2,20)),1000000000),1000000000))+ROW()/100000,"")</f>
        <v/>
      </c>
    </row>
    <row r="1802">
      <c r="D1802" s="11" t="n"/>
      <c r="K1802" s="7">
        <f>IF($C1802="","",J1802*W1802/100)</f>
        <v/>
      </c>
      <c r="Q1802" s="7" t="n"/>
      <c r="R1802" s="7" t="n"/>
      <c r="U1802">
        <f>IF($C1802="","",IF($AJ1802=1,0,IF($AI1802=1,Settings!$C$6,Settings!$C$7))*100)</f>
        <v/>
      </c>
      <c r="V1802" s="7">
        <f>IF($C1802="","",R1802*U1802/100)</f>
        <v/>
      </c>
      <c r="W1802" s="7">
        <f>IF($C1802="","",R1802-V1802)</f>
        <v/>
      </c>
      <c r="X1802" s="7">
        <f>IF($C1802="","",W1802-K1802)</f>
        <v/>
      </c>
      <c r="AB1802" s="7" t="n"/>
      <c r="AE1802" s="11" t="n"/>
      <c r="AG1802">
        <f>IF($C1802="","",IF(COUNTIF($C$2:$C1802,$C1802)=1,1,0))</f>
        <v/>
      </c>
      <c r="AH1802">
        <f>IF($AG1802=1,SUMPRODUCT(--($AK$2:$AK$6001&lt;$AK1802))+1,"")</f>
        <v/>
      </c>
      <c r="AI1802">
        <f>IF($C1802="","",IF(OR($N1802=TRUE(),$N1802="TRUE"),1,0))</f>
        <v/>
      </c>
      <c r="AJ1802">
        <f>IF($C1802="","",IF($T1802="Yes",1,0))</f>
        <v/>
      </c>
      <c r="AK1802">
        <f>IF($AG1802=1,IFERROR(IF(VALUE($C1802)&lt;100000000,VALUE($C1802),1000000000),IFERROR(IF(VALUE(MID($C1802,2,20))&lt;100000000,VALUE(MID($C1802,2,20)),1000000000),1000000000))+ROW()/100000,"")</f>
        <v/>
      </c>
    </row>
    <row r="1803">
      <c r="D1803" s="11" t="n"/>
      <c r="K1803" s="7">
        <f>IF($C1803="","",J1803*W1803/100)</f>
        <v/>
      </c>
      <c r="Q1803" s="7" t="n"/>
      <c r="R1803" s="7" t="n"/>
      <c r="U1803">
        <f>IF($C1803="","",IF($AJ1803=1,0,IF($AI1803=1,Settings!$C$6,Settings!$C$7))*100)</f>
        <v/>
      </c>
      <c r="V1803" s="7">
        <f>IF($C1803="","",R1803*U1803/100)</f>
        <v/>
      </c>
      <c r="W1803" s="7">
        <f>IF($C1803="","",R1803-V1803)</f>
        <v/>
      </c>
      <c r="X1803" s="7">
        <f>IF($C1803="","",W1803-K1803)</f>
        <v/>
      </c>
      <c r="AB1803" s="7" t="n"/>
      <c r="AE1803" s="11" t="n"/>
      <c r="AG1803">
        <f>IF($C1803="","",IF(COUNTIF($C$2:$C1803,$C1803)=1,1,0))</f>
        <v/>
      </c>
      <c r="AH1803">
        <f>IF($AG1803=1,SUMPRODUCT(--($AK$2:$AK$6001&lt;$AK1803))+1,"")</f>
        <v/>
      </c>
      <c r="AI1803">
        <f>IF($C1803="","",IF(OR($N1803=TRUE(),$N1803="TRUE"),1,0))</f>
        <v/>
      </c>
      <c r="AJ1803">
        <f>IF($C1803="","",IF($T1803="Yes",1,0))</f>
        <v/>
      </c>
      <c r="AK1803">
        <f>IF($AG1803=1,IFERROR(IF(VALUE($C1803)&lt;100000000,VALUE($C1803),1000000000),IFERROR(IF(VALUE(MID($C1803,2,20))&lt;100000000,VALUE(MID($C1803,2,20)),1000000000),1000000000))+ROW()/100000,"")</f>
        <v/>
      </c>
    </row>
    <row r="1804">
      <c r="D1804" s="11" t="n"/>
      <c r="K1804" s="7">
        <f>IF($C1804="","",J1804*W1804/100)</f>
        <v/>
      </c>
      <c r="Q1804" s="7" t="n"/>
      <c r="R1804" s="7" t="n"/>
      <c r="U1804">
        <f>IF($C1804="","",IF($AJ1804=1,0,IF($AI1804=1,Settings!$C$6,Settings!$C$7))*100)</f>
        <v/>
      </c>
      <c r="V1804" s="7">
        <f>IF($C1804="","",R1804*U1804/100)</f>
        <v/>
      </c>
      <c r="W1804" s="7">
        <f>IF($C1804="","",R1804-V1804)</f>
        <v/>
      </c>
      <c r="X1804" s="7">
        <f>IF($C1804="","",W1804-K1804)</f>
        <v/>
      </c>
      <c r="AB1804" s="7" t="n"/>
      <c r="AE1804" s="11" t="n"/>
      <c r="AG1804">
        <f>IF($C1804="","",IF(COUNTIF($C$2:$C1804,$C1804)=1,1,0))</f>
        <v/>
      </c>
      <c r="AH1804">
        <f>IF($AG1804=1,SUMPRODUCT(--($AK$2:$AK$6001&lt;$AK1804))+1,"")</f>
        <v/>
      </c>
      <c r="AI1804">
        <f>IF($C1804="","",IF(OR($N1804=TRUE(),$N1804="TRUE"),1,0))</f>
        <v/>
      </c>
      <c r="AJ1804">
        <f>IF($C1804="","",IF($T1804="Yes",1,0))</f>
        <v/>
      </c>
      <c r="AK1804">
        <f>IF($AG1804=1,IFERROR(IF(VALUE($C1804)&lt;100000000,VALUE($C1804),1000000000),IFERROR(IF(VALUE(MID($C1804,2,20))&lt;100000000,VALUE(MID($C1804,2,20)),1000000000),1000000000))+ROW()/100000,"")</f>
        <v/>
      </c>
    </row>
    <row r="1805">
      <c r="D1805" s="11" t="n"/>
      <c r="K1805" s="7">
        <f>IF($C1805="","",J1805*W1805/100)</f>
        <v/>
      </c>
      <c r="Q1805" s="7" t="n"/>
      <c r="R1805" s="7" t="n"/>
      <c r="U1805">
        <f>IF($C1805="","",IF($AJ1805=1,0,IF($AI1805=1,Settings!$C$6,Settings!$C$7))*100)</f>
        <v/>
      </c>
      <c r="V1805" s="7">
        <f>IF($C1805="","",R1805*U1805/100)</f>
        <v/>
      </c>
      <c r="W1805" s="7">
        <f>IF($C1805="","",R1805-V1805)</f>
        <v/>
      </c>
      <c r="X1805" s="7">
        <f>IF($C1805="","",W1805-K1805)</f>
        <v/>
      </c>
      <c r="AB1805" s="7" t="n"/>
      <c r="AE1805" s="11" t="n"/>
      <c r="AG1805">
        <f>IF($C1805="","",IF(COUNTIF($C$2:$C1805,$C1805)=1,1,0))</f>
        <v/>
      </c>
      <c r="AH1805">
        <f>IF($AG1805=1,SUMPRODUCT(--($AK$2:$AK$6001&lt;$AK1805))+1,"")</f>
        <v/>
      </c>
      <c r="AI1805">
        <f>IF($C1805="","",IF(OR($N1805=TRUE(),$N1805="TRUE"),1,0))</f>
        <v/>
      </c>
      <c r="AJ1805">
        <f>IF($C1805="","",IF($T1805="Yes",1,0))</f>
        <v/>
      </c>
      <c r="AK1805">
        <f>IF($AG1805=1,IFERROR(IF(VALUE($C1805)&lt;100000000,VALUE($C1805),1000000000),IFERROR(IF(VALUE(MID($C1805,2,20))&lt;100000000,VALUE(MID($C1805,2,20)),1000000000),1000000000))+ROW()/100000,"")</f>
        <v/>
      </c>
    </row>
    <row r="1806">
      <c r="D1806" s="11" t="n"/>
      <c r="K1806" s="7">
        <f>IF($C1806="","",J1806*W1806/100)</f>
        <v/>
      </c>
      <c r="Q1806" s="7" t="n"/>
      <c r="R1806" s="7" t="n"/>
      <c r="U1806">
        <f>IF($C1806="","",IF($AJ1806=1,0,IF($AI1806=1,Settings!$C$6,Settings!$C$7))*100)</f>
        <v/>
      </c>
      <c r="V1806" s="7">
        <f>IF($C1806="","",R1806*U1806/100)</f>
        <v/>
      </c>
      <c r="W1806" s="7">
        <f>IF($C1806="","",R1806-V1806)</f>
        <v/>
      </c>
      <c r="X1806" s="7">
        <f>IF($C1806="","",W1806-K1806)</f>
        <v/>
      </c>
      <c r="AB1806" s="7" t="n"/>
      <c r="AE1806" s="11" t="n"/>
      <c r="AG1806">
        <f>IF($C1806="","",IF(COUNTIF($C$2:$C1806,$C1806)=1,1,0))</f>
        <v/>
      </c>
      <c r="AH1806">
        <f>IF($AG1806=1,SUMPRODUCT(--($AK$2:$AK$6001&lt;$AK1806))+1,"")</f>
        <v/>
      </c>
      <c r="AI1806">
        <f>IF($C1806="","",IF(OR($N1806=TRUE(),$N1806="TRUE"),1,0))</f>
        <v/>
      </c>
      <c r="AJ1806">
        <f>IF($C1806="","",IF($T1806="Yes",1,0))</f>
        <v/>
      </c>
      <c r="AK1806">
        <f>IF($AG1806=1,IFERROR(IF(VALUE($C1806)&lt;100000000,VALUE($C1806),1000000000),IFERROR(IF(VALUE(MID($C1806,2,20))&lt;100000000,VALUE(MID($C1806,2,20)),1000000000),1000000000))+ROW()/100000,"")</f>
        <v/>
      </c>
    </row>
    <row r="1807">
      <c r="D1807" s="11" t="n"/>
      <c r="K1807" s="7">
        <f>IF($C1807="","",J1807*W1807/100)</f>
        <v/>
      </c>
      <c r="Q1807" s="7" t="n"/>
      <c r="R1807" s="7" t="n"/>
      <c r="U1807">
        <f>IF($C1807="","",IF($AJ1807=1,0,IF($AI1807=1,Settings!$C$6,Settings!$C$7))*100)</f>
        <v/>
      </c>
      <c r="V1807" s="7">
        <f>IF($C1807="","",R1807*U1807/100)</f>
        <v/>
      </c>
      <c r="W1807" s="7">
        <f>IF($C1807="","",R1807-V1807)</f>
        <v/>
      </c>
      <c r="X1807" s="7">
        <f>IF($C1807="","",W1807-K1807)</f>
        <v/>
      </c>
      <c r="AB1807" s="7" t="n"/>
      <c r="AE1807" s="11" t="n"/>
      <c r="AG1807">
        <f>IF($C1807="","",IF(COUNTIF($C$2:$C1807,$C1807)=1,1,0))</f>
        <v/>
      </c>
      <c r="AH1807">
        <f>IF($AG1807=1,SUMPRODUCT(--($AK$2:$AK$6001&lt;$AK1807))+1,"")</f>
        <v/>
      </c>
      <c r="AI1807">
        <f>IF($C1807="","",IF(OR($N1807=TRUE(),$N1807="TRUE"),1,0))</f>
        <v/>
      </c>
      <c r="AJ1807">
        <f>IF($C1807="","",IF($T1807="Yes",1,0))</f>
        <v/>
      </c>
      <c r="AK1807">
        <f>IF($AG1807=1,IFERROR(IF(VALUE($C1807)&lt;100000000,VALUE($C1807),1000000000),IFERROR(IF(VALUE(MID($C1807,2,20))&lt;100000000,VALUE(MID($C1807,2,20)),1000000000),1000000000))+ROW()/100000,"")</f>
        <v/>
      </c>
    </row>
    <row r="1808">
      <c r="D1808" s="11" t="n"/>
      <c r="K1808" s="7">
        <f>IF($C1808="","",J1808*W1808/100)</f>
        <v/>
      </c>
      <c r="Q1808" s="7" t="n"/>
      <c r="R1808" s="7" t="n"/>
      <c r="U1808">
        <f>IF($C1808="","",IF($AJ1808=1,0,IF($AI1808=1,Settings!$C$6,Settings!$C$7))*100)</f>
        <v/>
      </c>
      <c r="V1808" s="7">
        <f>IF($C1808="","",R1808*U1808/100)</f>
        <v/>
      </c>
      <c r="W1808" s="7">
        <f>IF($C1808="","",R1808-V1808)</f>
        <v/>
      </c>
      <c r="X1808" s="7">
        <f>IF($C1808="","",W1808-K1808)</f>
        <v/>
      </c>
      <c r="AB1808" s="7" t="n"/>
      <c r="AE1808" s="11" t="n"/>
      <c r="AG1808">
        <f>IF($C1808="","",IF(COUNTIF($C$2:$C1808,$C1808)=1,1,0))</f>
        <v/>
      </c>
      <c r="AH1808">
        <f>IF($AG1808=1,SUMPRODUCT(--($AK$2:$AK$6001&lt;$AK1808))+1,"")</f>
        <v/>
      </c>
      <c r="AI1808">
        <f>IF($C1808="","",IF(OR($N1808=TRUE(),$N1808="TRUE"),1,0))</f>
        <v/>
      </c>
      <c r="AJ1808">
        <f>IF($C1808="","",IF($T1808="Yes",1,0))</f>
        <v/>
      </c>
      <c r="AK1808">
        <f>IF($AG1808=1,IFERROR(IF(VALUE($C1808)&lt;100000000,VALUE($C1808),1000000000),IFERROR(IF(VALUE(MID($C1808,2,20))&lt;100000000,VALUE(MID($C1808,2,20)),1000000000),1000000000))+ROW()/100000,"")</f>
        <v/>
      </c>
    </row>
    <row r="1809">
      <c r="D1809" s="11" t="n"/>
      <c r="K1809" s="7">
        <f>IF($C1809="","",J1809*W1809/100)</f>
        <v/>
      </c>
      <c r="Q1809" s="7" t="n"/>
      <c r="R1809" s="7" t="n"/>
      <c r="U1809">
        <f>IF($C1809="","",IF($AJ1809=1,0,IF($AI1809=1,Settings!$C$6,Settings!$C$7))*100)</f>
        <v/>
      </c>
      <c r="V1809" s="7">
        <f>IF($C1809="","",R1809*U1809/100)</f>
        <v/>
      </c>
      <c r="W1809" s="7">
        <f>IF($C1809="","",R1809-V1809)</f>
        <v/>
      </c>
      <c r="X1809" s="7">
        <f>IF($C1809="","",W1809-K1809)</f>
        <v/>
      </c>
      <c r="AB1809" s="7" t="n"/>
      <c r="AE1809" s="11" t="n"/>
      <c r="AG1809">
        <f>IF($C1809="","",IF(COUNTIF($C$2:$C1809,$C1809)=1,1,0))</f>
        <v/>
      </c>
      <c r="AH1809">
        <f>IF($AG1809=1,SUMPRODUCT(--($AK$2:$AK$6001&lt;$AK1809))+1,"")</f>
        <v/>
      </c>
      <c r="AI1809">
        <f>IF($C1809="","",IF(OR($N1809=TRUE(),$N1809="TRUE"),1,0))</f>
        <v/>
      </c>
      <c r="AJ1809">
        <f>IF($C1809="","",IF($T1809="Yes",1,0))</f>
        <v/>
      </c>
      <c r="AK1809">
        <f>IF($AG1809=1,IFERROR(IF(VALUE($C1809)&lt;100000000,VALUE($C1809),1000000000),IFERROR(IF(VALUE(MID($C1809,2,20))&lt;100000000,VALUE(MID($C1809,2,20)),1000000000),1000000000))+ROW()/100000,"")</f>
        <v/>
      </c>
    </row>
    <row r="1810">
      <c r="D1810" s="11" t="n"/>
      <c r="K1810" s="7">
        <f>IF($C1810="","",J1810*W1810/100)</f>
        <v/>
      </c>
      <c r="Q1810" s="7" t="n"/>
      <c r="R1810" s="7" t="n"/>
      <c r="U1810">
        <f>IF($C1810="","",IF($AJ1810=1,0,IF($AI1810=1,Settings!$C$6,Settings!$C$7))*100)</f>
        <v/>
      </c>
      <c r="V1810" s="7">
        <f>IF($C1810="","",R1810*U1810/100)</f>
        <v/>
      </c>
      <c r="W1810" s="7">
        <f>IF($C1810="","",R1810-V1810)</f>
        <v/>
      </c>
      <c r="X1810" s="7">
        <f>IF($C1810="","",W1810-K1810)</f>
        <v/>
      </c>
      <c r="AB1810" s="7" t="n"/>
      <c r="AE1810" s="11" t="n"/>
      <c r="AG1810">
        <f>IF($C1810="","",IF(COUNTIF($C$2:$C1810,$C1810)=1,1,0))</f>
        <v/>
      </c>
      <c r="AH1810">
        <f>IF($AG1810=1,SUMPRODUCT(--($AK$2:$AK$6001&lt;$AK1810))+1,"")</f>
        <v/>
      </c>
      <c r="AI1810">
        <f>IF($C1810="","",IF(OR($N1810=TRUE(),$N1810="TRUE"),1,0))</f>
        <v/>
      </c>
      <c r="AJ1810">
        <f>IF($C1810="","",IF($T1810="Yes",1,0))</f>
        <v/>
      </c>
      <c r="AK1810">
        <f>IF($AG1810=1,IFERROR(IF(VALUE($C1810)&lt;100000000,VALUE($C1810),1000000000),IFERROR(IF(VALUE(MID($C1810,2,20))&lt;100000000,VALUE(MID($C1810,2,20)),1000000000),1000000000))+ROW()/100000,"")</f>
        <v/>
      </c>
    </row>
    <row r="1811">
      <c r="D1811" s="11" t="n"/>
      <c r="K1811" s="7">
        <f>IF($C1811="","",J1811*W1811/100)</f>
        <v/>
      </c>
      <c r="Q1811" s="7" t="n"/>
      <c r="R1811" s="7" t="n"/>
      <c r="U1811">
        <f>IF($C1811="","",IF($AJ1811=1,0,IF($AI1811=1,Settings!$C$6,Settings!$C$7))*100)</f>
        <v/>
      </c>
      <c r="V1811" s="7">
        <f>IF($C1811="","",R1811*U1811/100)</f>
        <v/>
      </c>
      <c r="W1811" s="7">
        <f>IF($C1811="","",R1811-V1811)</f>
        <v/>
      </c>
      <c r="X1811" s="7">
        <f>IF($C1811="","",W1811-K1811)</f>
        <v/>
      </c>
      <c r="AB1811" s="7" t="n"/>
      <c r="AE1811" s="11" t="n"/>
      <c r="AG1811">
        <f>IF($C1811="","",IF(COUNTIF($C$2:$C1811,$C1811)=1,1,0))</f>
        <v/>
      </c>
      <c r="AH1811">
        <f>IF($AG1811=1,SUMPRODUCT(--($AK$2:$AK$6001&lt;$AK1811))+1,"")</f>
        <v/>
      </c>
      <c r="AI1811">
        <f>IF($C1811="","",IF(OR($N1811=TRUE(),$N1811="TRUE"),1,0))</f>
        <v/>
      </c>
      <c r="AJ1811">
        <f>IF($C1811="","",IF($T1811="Yes",1,0))</f>
        <v/>
      </c>
      <c r="AK1811">
        <f>IF($AG1811=1,IFERROR(IF(VALUE($C1811)&lt;100000000,VALUE($C1811),1000000000),IFERROR(IF(VALUE(MID($C1811,2,20))&lt;100000000,VALUE(MID($C1811,2,20)),1000000000),1000000000))+ROW()/100000,"")</f>
        <v/>
      </c>
    </row>
    <row r="1812">
      <c r="D1812" s="11" t="n"/>
      <c r="K1812" s="7">
        <f>IF($C1812="","",J1812*W1812/100)</f>
        <v/>
      </c>
      <c r="Q1812" s="7" t="n"/>
      <c r="R1812" s="7" t="n"/>
      <c r="U1812">
        <f>IF($C1812="","",IF($AJ1812=1,0,IF($AI1812=1,Settings!$C$6,Settings!$C$7))*100)</f>
        <v/>
      </c>
      <c r="V1812" s="7">
        <f>IF($C1812="","",R1812*U1812/100)</f>
        <v/>
      </c>
      <c r="W1812" s="7">
        <f>IF($C1812="","",R1812-V1812)</f>
        <v/>
      </c>
      <c r="X1812" s="7">
        <f>IF($C1812="","",W1812-K1812)</f>
        <v/>
      </c>
      <c r="AB1812" s="7" t="n"/>
      <c r="AE1812" s="11" t="n"/>
      <c r="AG1812">
        <f>IF($C1812="","",IF(COUNTIF($C$2:$C1812,$C1812)=1,1,0))</f>
        <v/>
      </c>
      <c r="AH1812">
        <f>IF($AG1812=1,SUMPRODUCT(--($AK$2:$AK$6001&lt;$AK1812))+1,"")</f>
        <v/>
      </c>
      <c r="AI1812">
        <f>IF($C1812="","",IF(OR($N1812=TRUE(),$N1812="TRUE"),1,0))</f>
        <v/>
      </c>
      <c r="AJ1812">
        <f>IF($C1812="","",IF($T1812="Yes",1,0))</f>
        <v/>
      </c>
      <c r="AK1812">
        <f>IF($AG1812=1,IFERROR(IF(VALUE($C1812)&lt;100000000,VALUE($C1812),1000000000),IFERROR(IF(VALUE(MID($C1812,2,20))&lt;100000000,VALUE(MID($C1812,2,20)),1000000000),1000000000))+ROW()/100000,"")</f>
        <v/>
      </c>
    </row>
    <row r="1813">
      <c r="D1813" s="11" t="n"/>
      <c r="K1813" s="7">
        <f>IF($C1813="","",J1813*W1813/100)</f>
        <v/>
      </c>
      <c r="Q1813" s="7" t="n"/>
      <c r="R1813" s="7" t="n"/>
      <c r="U1813">
        <f>IF($C1813="","",IF($AJ1813=1,0,IF($AI1813=1,Settings!$C$6,Settings!$C$7))*100)</f>
        <v/>
      </c>
      <c r="V1813" s="7">
        <f>IF($C1813="","",R1813*U1813/100)</f>
        <v/>
      </c>
      <c r="W1813" s="7">
        <f>IF($C1813="","",R1813-V1813)</f>
        <v/>
      </c>
      <c r="X1813" s="7">
        <f>IF($C1813="","",W1813-K1813)</f>
        <v/>
      </c>
      <c r="AB1813" s="7" t="n"/>
      <c r="AE1813" s="11" t="n"/>
      <c r="AG1813">
        <f>IF($C1813="","",IF(COUNTIF($C$2:$C1813,$C1813)=1,1,0))</f>
        <v/>
      </c>
      <c r="AH1813">
        <f>IF($AG1813=1,SUMPRODUCT(--($AK$2:$AK$6001&lt;$AK1813))+1,"")</f>
        <v/>
      </c>
      <c r="AI1813">
        <f>IF($C1813="","",IF(OR($N1813=TRUE(),$N1813="TRUE"),1,0))</f>
        <v/>
      </c>
      <c r="AJ1813">
        <f>IF($C1813="","",IF($T1813="Yes",1,0))</f>
        <v/>
      </c>
      <c r="AK1813">
        <f>IF($AG1813=1,IFERROR(IF(VALUE($C1813)&lt;100000000,VALUE($C1813),1000000000),IFERROR(IF(VALUE(MID($C1813,2,20))&lt;100000000,VALUE(MID($C1813,2,20)),1000000000),1000000000))+ROW()/100000,"")</f>
        <v/>
      </c>
    </row>
    <row r="1814">
      <c r="D1814" s="11" t="n"/>
      <c r="K1814" s="7">
        <f>IF($C1814="","",J1814*W1814/100)</f>
        <v/>
      </c>
      <c r="Q1814" s="7" t="n"/>
      <c r="R1814" s="7" t="n"/>
      <c r="U1814">
        <f>IF($C1814="","",IF($AJ1814=1,0,IF($AI1814=1,Settings!$C$6,Settings!$C$7))*100)</f>
        <v/>
      </c>
      <c r="V1814" s="7">
        <f>IF($C1814="","",R1814*U1814/100)</f>
        <v/>
      </c>
      <c r="W1814" s="7">
        <f>IF($C1814="","",R1814-V1814)</f>
        <v/>
      </c>
      <c r="X1814" s="7">
        <f>IF($C1814="","",W1814-K1814)</f>
        <v/>
      </c>
      <c r="AB1814" s="7" t="n"/>
      <c r="AE1814" s="11" t="n"/>
      <c r="AG1814">
        <f>IF($C1814="","",IF(COUNTIF($C$2:$C1814,$C1814)=1,1,0))</f>
        <v/>
      </c>
      <c r="AH1814">
        <f>IF($AG1814=1,SUMPRODUCT(--($AK$2:$AK$6001&lt;$AK1814))+1,"")</f>
        <v/>
      </c>
      <c r="AI1814">
        <f>IF($C1814="","",IF(OR($N1814=TRUE(),$N1814="TRUE"),1,0))</f>
        <v/>
      </c>
      <c r="AJ1814">
        <f>IF($C1814="","",IF($T1814="Yes",1,0))</f>
        <v/>
      </c>
      <c r="AK1814">
        <f>IF($AG1814=1,IFERROR(IF(VALUE($C1814)&lt;100000000,VALUE($C1814),1000000000),IFERROR(IF(VALUE(MID($C1814,2,20))&lt;100000000,VALUE(MID($C1814,2,20)),1000000000),1000000000))+ROW()/100000,"")</f>
        <v/>
      </c>
    </row>
    <row r="1815">
      <c r="D1815" s="11" t="n"/>
      <c r="K1815" s="7">
        <f>IF($C1815="","",J1815*W1815/100)</f>
        <v/>
      </c>
      <c r="Q1815" s="7" t="n"/>
      <c r="R1815" s="7" t="n"/>
      <c r="U1815">
        <f>IF($C1815="","",IF($AJ1815=1,0,IF($AI1815=1,Settings!$C$6,Settings!$C$7))*100)</f>
        <v/>
      </c>
      <c r="V1815" s="7">
        <f>IF($C1815="","",R1815*U1815/100)</f>
        <v/>
      </c>
      <c r="W1815" s="7">
        <f>IF($C1815="","",R1815-V1815)</f>
        <v/>
      </c>
      <c r="X1815" s="7">
        <f>IF($C1815="","",W1815-K1815)</f>
        <v/>
      </c>
      <c r="AB1815" s="7" t="n"/>
      <c r="AE1815" s="11" t="n"/>
      <c r="AG1815">
        <f>IF($C1815="","",IF(COUNTIF($C$2:$C1815,$C1815)=1,1,0))</f>
        <v/>
      </c>
      <c r="AH1815">
        <f>IF($AG1815=1,SUMPRODUCT(--($AK$2:$AK$6001&lt;$AK1815))+1,"")</f>
        <v/>
      </c>
      <c r="AI1815">
        <f>IF($C1815="","",IF(OR($N1815=TRUE(),$N1815="TRUE"),1,0))</f>
        <v/>
      </c>
      <c r="AJ1815">
        <f>IF($C1815="","",IF($T1815="Yes",1,0))</f>
        <v/>
      </c>
      <c r="AK1815">
        <f>IF($AG1815=1,IFERROR(IF(VALUE($C1815)&lt;100000000,VALUE($C1815),1000000000),IFERROR(IF(VALUE(MID($C1815,2,20))&lt;100000000,VALUE(MID($C1815,2,20)),1000000000),1000000000))+ROW()/100000,"")</f>
        <v/>
      </c>
    </row>
    <row r="1816">
      <c r="D1816" s="11" t="n"/>
      <c r="K1816" s="7">
        <f>IF($C1816="","",J1816*W1816/100)</f>
        <v/>
      </c>
      <c r="Q1816" s="7" t="n"/>
      <c r="R1816" s="7" t="n"/>
      <c r="U1816">
        <f>IF($C1816="","",IF($AJ1816=1,0,IF($AI1816=1,Settings!$C$6,Settings!$C$7))*100)</f>
        <v/>
      </c>
      <c r="V1816" s="7">
        <f>IF($C1816="","",R1816*U1816/100)</f>
        <v/>
      </c>
      <c r="W1816" s="7">
        <f>IF($C1816="","",R1816-V1816)</f>
        <v/>
      </c>
      <c r="X1816" s="7">
        <f>IF($C1816="","",W1816-K1816)</f>
        <v/>
      </c>
      <c r="AB1816" s="7" t="n"/>
      <c r="AE1816" s="11" t="n"/>
      <c r="AG1816">
        <f>IF($C1816="","",IF(COUNTIF($C$2:$C1816,$C1816)=1,1,0))</f>
        <v/>
      </c>
      <c r="AH1816">
        <f>IF($AG1816=1,SUMPRODUCT(--($AK$2:$AK$6001&lt;$AK1816))+1,"")</f>
        <v/>
      </c>
      <c r="AI1816">
        <f>IF($C1816="","",IF(OR($N1816=TRUE(),$N1816="TRUE"),1,0))</f>
        <v/>
      </c>
      <c r="AJ1816">
        <f>IF($C1816="","",IF($T1816="Yes",1,0))</f>
        <v/>
      </c>
      <c r="AK1816">
        <f>IF($AG1816=1,IFERROR(IF(VALUE($C1816)&lt;100000000,VALUE($C1816),1000000000),IFERROR(IF(VALUE(MID($C1816,2,20))&lt;100000000,VALUE(MID($C1816,2,20)),1000000000),1000000000))+ROW()/100000,"")</f>
        <v/>
      </c>
    </row>
    <row r="1817">
      <c r="D1817" s="11" t="n"/>
      <c r="K1817" s="7">
        <f>IF($C1817="","",J1817*W1817/100)</f>
        <v/>
      </c>
      <c r="Q1817" s="7" t="n"/>
      <c r="R1817" s="7" t="n"/>
      <c r="U1817">
        <f>IF($C1817="","",IF($AJ1817=1,0,IF($AI1817=1,Settings!$C$6,Settings!$C$7))*100)</f>
        <v/>
      </c>
      <c r="V1817" s="7">
        <f>IF($C1817="","",R1817*U1817/100)</f>
        <v/>
      </c>
      <c r="W1817" s="7">
        <f>IF($C1817="","",R1817-V1817)</f>
        <v/>
      </c>
      <c r="X1817" s="7">
        <f>IF($C1817="","",W1817-K1817)</f>
        <v/>
      </c>
      <c r="AB1817" s="7" t="n"/>
      <c r="AE1817" s="11" t="n"/>
      <c r="AG1817">
        <f>IF($C1817="","",IF(COUNTIF($C$2:$C1817,$C1817)=1,1,0))</f>
        <v/>
      </c>
      <c r="AH1817">
        <f>IF($AG1817=1,SUMPRODUCT(--($AK$2:$AK$6001&lt;$AK1817))+1,"")</f>
        <v/>
      </c>
      <c r="AI1817">
        <f>IF($C1817="","",IF(OR($N1817=TRUE(),$N1817="TRUE"),1,0))</f>
        <v/>
      </c>
      <c r="AJ1817">
        <f>IF($C1817="","",IF($T1817="Yes",1,0))</f>
        <v/>
      </c>
      <c r="AK1817">
        <f>IF($AG1817=1,IFERROR(IF(VALUE($C1817)&lt;100000000,VALUE($C1817),1000000000),IFERROR(IF(VALUE(MID($C1817,2,20))&lt;100000000,VALUE(MID($C1817,2,20)),1000000000),1000000000))+ROW()/100000,"")</f>
        <v/>
      </c>
    </row>
    <row r="1818">
      <c r="D1818" s="11" t="n"/>
      <c r="K1818" s="7">
        <f>IF($C1818="","",J1818*W1818/100)</f>
        <v/>
      </c>
      <c r="Q1818" s="7" t="n"/>
      <c r="R1818" s="7" t="n"/>
      <c r="U1818">
        <f>IF($C1818="","",IF($AJ1818=1,0,IF($AI1818=1,Settings!$C$6,Settings!$C$7))*100)</f>
        <v/>
      </c>
      <c r="V1818" s="7">
        <f>IF($C1818="","",R1818*U1818/100)</f>
        <v/>
      </c>
      <c r="W1818" s="7">
        <f>IF($C1818="","",R1818-V1818)</f>
        <v/>
      </c>
      <c r="X1818" s="7">
        <f>IF($C1818="","",W1818-K1818)</f>
        <v/>
      </c>
      <c r="AB1818" s="7" t="n"/>
      <c r="AE1818" s="11" t="n"/>
      <c r="AG1818">
        <f>IF($C1818="","",IF(COUNTIF($C$2:$C1818,$C1818)=1,1,0))</f>
        <v/>
      </c>
      <c r="AH1818">
        <f>IF($AG1818=1,SUMPRODUCT(--($AK$2:$AK$6001&lt;$AK1818))+1,"")</f>
        <v/>
      </c>
      <c r="AI1818">
        <f>IF($C1818="","",IF(OR($N1818=TRUE(),$N1818="TRUE"),1,0))</f>
        <v/>
      </c>
      <c r="AJ1818">
        <f>IF($C1818="","",IF($T1818="Yes",1,0))</f>
        <v/>
      </c>
      <c r="AK1818">
        <f>IF($AG1818=1,IFERROR(IF(VALUE($C1818)&lt;100000000,VALUE($C1818),1000000000),IFERROR(IF(VALUE(MID($C1818,2,20))&lt;100000000,VALUE(MID($C1818,2,20)),1000000000),1000000000))+ROW()/100000,"")</f>
        <v/>
      </c>
    </row>
    <row r="1819">
      <c r="D1819" s="11" t="n"/>
      <c r="K1819" s="7">
        <f>IF($C1819="","",J1819*W1819/100)</f>
        <v/>
      </c>
      <c r="Q1819" s="7" t="n"/>
      <c r="R1819" s="7" t="n"/>
      <c r="U1819">
        <f>IF($C1819="","",IF($AJ1819=1,0,IF($AI1819=1,Settings!$C$6,Settings!$C$7))*100)</f>
        <v/>
      </c>
      <c r="V1819" s="7">
        <f>IF($C1819="","",R1819*U1819/100)</f>
        <v/>
      </c>
      <c r="W1819" s="7">
        <f>IF($C1819="","",R1819-V1819)</f>
        <v/>
      </c>
      <c r="X1819" s="7">
        <f>IF($C1819="","",W1819-K1819)</f>
        <v/>
      </c>
      <c r="AB1819" s="7" t="n"/>
      <c r="AE1819" s="11" t="n"/>
      <c r="AG1819">
        <f>IF($C1819="","",IF(COUNTIF($C$2:$C1819,$C1819)=1,1,0))</f>
        <v/>
      </c>
      <c r="AH1819">
        <f>IF($AG1819=1,SUMPRODUCT(--($AK$2:$AK$6001&lt;$AK1819))+1,"")</f>
        <v/>
      </c>
      <c r="AI1819">
        <f>IF($C1819="","",IF(OR($N1819=TRUE(),$N1819="TRUE"),1,0))</f>
        <v/>
      </c>
      <c r="AJ1819">
        <f>IF($C1819="","",IF($T1819="Yes",1,0))</f>
        <v/>
      </c>
      <c r="AK1819">
        <f>IF($AG1819=1,IFERROR(IF(VALUE($C1819)&lt;100000000,VALUE($C1819),1000000000),IFERROR(IF(VALUE(MID($C1819,2,20))&lt;100000000,VALUE(MID($C1819,2,20)),1000000000),1000000000))+ROW()/100000,"")</f>
        <v/>
      </c>
    </row>
    <row r="1820">
      <c r="D1820" s="11" t="n"/>
      <c r="K1820" s="7">
        <f>IF($C1820="","",J1820*W1820/100)</f>
        <v/>
      </c>
      <c r="Q1820" s="7" t="n"/>
      <c r="R1820" s="7" t="n"/>
      <c r="U1820">
        <f>IF($C1820="","",IF($AJ1820=1,0,IF($AI1820=1,Settings!$C$6,Settings!$C$7))*100)</f>
        <v/>
      </c>
      <c r="V1820" s="7">
        <f>IF($C1820="","",R1820*U1820/100)</f>
        <v/>
      </c>
      <c r="W1820" s="7">
        <f>IF($C1820="","",R1820-V1820)</f>
        <v/>
      </c>
      <c r="X1820" s="7">
        <f>IF($C1820="","",W1820-K1820)</f>
        <v/>
      </c>
      <c r="AB1820" s="7" t="n"/>
      <c r="AE1820" s="11" t="n"/>
      <c r="AG1820">
        <f>IF($C1820="","",IF(COUNTIF($C$2:$C1820,$C1820)=1,1,0))</f>
        <v/>
      </c>
      <c r="AH1820">
        <f>IF($AG1820=1,SUMPRODUCT(--($AK$2:$AK$6001&lt;$AK1820))+1,"")</f>
        <v/>
      </c>
      <c r="AI1820">
        <f>IF($C1820="","",IF(OR($N1820=TRUE(),$N1820="TRUE"),1,0))</f>
        <v/>
      </c>
      <c r="AJ1820">
        <f>IF($C1820="","",IF($T1820="Yes",1,0))</f>
        <v/>
      </c>
      <c r="AK1820">
        <f>IF($AG1820=1,IFERROR(IF(VALUE($C1820)&lt;100000000,VALUE($C1820),1000000000),IFERROR(IF(VALUE(MID($C1820,2,20))&lt;100000000,VALUE(MID($C1820,2,20)),1000000000),1000000000))+ROW()/100000,"")</f>
        <v/>
      </c>
    </row>
    <row r="1821">
      <c r="D1821" s="11" t="n"/>
      <c r="K1821" s="7">
        <f>IF($C1821="","",J1821*W1821/100)</f>
        <v/>
      </c>
      <c r="Q1821" s="7" t="n"/>
      <c r="R1821" s="7" t="n"/>
      <c r="U1821">
        <f>IF($C1821="","",IF($AJ1821=1,0,IF($AI1821=1,Settings!$C$6,Settings!$C$7))*100)</f>
        <v/>
      </c>
      <c r="V1821" s="7">
        <f>IF($C1821="","",R1821*U1821/100)</f>
        <v/>
      </c>
      <c r="W1821" s="7">
        <f>IF($C1821="","",R1821-V1821)</f>
        <v/>
      </c>
      <c r="X1821" s="7">
        <f>IF($C1821="","",W1821-K1821)</f>
        <v/>
      </c>
      <c r="AB1821" s="7" t="n"/>
      <c r="AE1821" s="11" t="n"/>
      <c r="AG1821">
        <f>IF($C1821="","",IF(COUNTIF($C$2:$C1821,$C1821)=1,1,0))</f>
        <v/>
      </c>
      <c r="AH1821">
        <f>IF($AG1821=1,SUMPRODUCT(--($AK$2:$AK$6001&lt;$AK1821))+1,"")</f>
        <v/>
      </c>
      <c r="AI1821">
        <f>IF($C1821="","",IF(OR($N1821=TRUE(),$N1821="TRUE"),1,0))</f>
        <v/>
      </c>
      <c r="AJ1821">
        <f>IF($C1821="","",IF($T1821="Yes",1,0))</f>
        <v/>
      </c>
      <c r="AK1821">
        <f>IF($AG1821=1,IFERROR(IF(VALUE($C1821)&lt;100000000,VALUE($C1821),1000000000),IFERROR(IF(VALUE(MID($C1821,2,20))&lt;100000000,VALUE(MID($C1821,2,20)),1000000000),1000000000))+ROW()/100000,"")</f>
        <v/>
      </c>
    </row>
    <row r="1822">
      <c r="D1822" s="11" t="n"/>
      <c r="K1822" s="7">
        <f>IF($C1822="","",J1822*W1822/100)</f>
        <v/>
      </c>
      <c r="Q1822" s="7" t="n"/>
      <c r="R1822" s="7" t="n"/>
      <c r="U1822">
        <f>IF($C1822="","",IF($AJ1822=1,0,IF($AI1822=1,Settings!$C$6,Settings!$C$7))*100)</f>
        <v/>
      </c>
      <c r="V1822" s="7">
        <f>IF($C1822="","",R1822*U1822/100)</f>
        <v/>
      </c>
      <c r="W1822" s="7">
        <f>IF($C1822="","",R1822-V1822)</f>
        <v/>
      </c>
      <c r="X1822" s="7">
        <f>IF($C1822="","",W1822-K1822)</f>
        <v/>
      </c>
      <c r="AB1822" s="7" t="n"/>
      <c r="AE1822" s="11" t="n"/>
      <c r="AG1822">
        <f>IF($C1822="","",IF(COUNTIF($C$2:$C1822,$C1822)=1,1,0))</f>
        <v/>
      </c>
      <c r="AH1822">
        <f>IF($AG1822=1,SUMPRODUCT(--($AK$2:$AK$6001&lt;$AK1822))+1,"")</f>
        <v/>
      </c>
      <c r="AI1822">
        <f>IF($C1822="","",IF(OR($N1822=TRUE(),$N1822="TRUE"),1,0))</f>
        <v/>
      </c>
      <c r="AJ1822">
        <f>IF($C1822="","",IF($T1822="Yes",1,0))</f>
        <v/>
      </c>
      <c r="AK1822">
        <f>IF($AG1822=1,IFERROR(IF(VALUE($C1822)&lt;100000000,VALUE($C1822),1000000000),IFERROR(IF(VALUE(MID($C1822,2,20))&lt;100000000,VALUE(MID($C1822,2,20)),1000000000),1000000000))+ROW()/100000,"")</f>
        <v/>
      </c>
    </row>
    <row r="1823">
      <c r="D1823" s="11" t="n"/>
      <c r="K1823" s="7">
        <f>IF($C1823="","",J1823*W1823/100)</f>
        <v/>
      </c>
      <c r="Q1823" s="7" t="n"/>
      <c r="R1823" s="7" t="n"/>
      <c r="U1823">
        <f>IF($C1823="","",IF($AJ1823=1,0,IF($AI1823=1,Settings!$C$6,Settings!$C$7))*100)</f>
        <v/>
      </c>
      <c r="V1823" s="7">
        <f>IF($C1823="","",R1823*U1823/100)</f>
        <v/>
      </c>
      <c r="W1823" s="7">
        <f>IF($C1823="","",R1823-V1823)</f>
        <v/>
      </c>
      <c r="X1823" s="7">
        <f>IF($C1823="","",W1823-K1823)</f>
        <v/>
      </c>
      <c r="AB1823" s="7" t="n"/>
      <c r="AE1823" s="11" t="n"/>
      <c r="AG1823">
        <f>IF($C1823="","",IF(COUNTIF($C$2:$C1823,$C1823)=1,1,0))</f>
        <v/>
      </c>
      <c r="AH1823">
        <f>IF($AG1823=1,SUMPRODUCT(--($AK$2:$AK$6001&lt;$AK1823))+1,"")</f>
        <v/>
      </c>
      <c r="AI1823">
        <f>IF($C1823="","",IF(OR($N1823=TRUE(),$N1823="TRUE"),1,0))</f>
        <v/>
      </c>
      <c r="AJ1823">
        <f>IF($C1823="","",IF($T1823="Yes",1,0))</f>
        <v/>
      </c>
      <c r="AK1823">
        <f>IF($AG1823=1,IFERROR(IF(VALUE($C1823)&lt;100000000,VALUE($C1823),1000000000),IFERROR(IF(VALUE(MID($C1823,2,20))&lt;100000000,VALUE(MID($C1823,2,20)),1000000000),1000000000))+ROW()/100000,"")</f>
        <v/>
      </c>
    </row>
    <row r="1824">
      <c r="D1824" s="11" t="n"/>
      <c r="K1824" s="7">
        <f>IF($C1824="","",J1824*W1824/100)</f>
        <v/>
      </c>
      <c r="Q1824" s="7" t="n"/>
      <c r="R1824" s="7" t="n"/>
      <c r="U1824">
        <f>IF($C1824="","",IF($AJ1824=1,0,IF($AI1824=1,Settings!$C$6,Settings!$C$7))*100)</f>
        <v/>
      </c>
      <c r="V1824" s="7">
        <f>IF($C1824="","",R1824*U1824/100)</f>
        <v/>
      </c>
      <c r="W1824" s="7">
        <f>IF($C1824="","",R1824-V1824)</f>
        <v/>
      </c>
      <c r="X1824" s="7">
        <f>IF($C1824="","",W1824-K1824)</f>
        <v/>
      </c>
      <c r="AB1824" s="7" t="n"/>
      <c r="AE1824" s="11" t="n"/>
      <c r="AG1824">
        <f>IF($C1824="","",IF(COUNTIF($C$2:$C1824,$C1824)=1,1,0))</f>
        <v/>
      </c>
      <c r="AH1824">
        <f>IF($AG1824=1,SUMPRODUCT(--($AK$2:$AK$6001&lt;$AK1824))+1,"")</f>
        <v/>
      </c>
      <c r="AI1824">
        <f>IF($C1824="","",IF(OR($N1824=TRUE(),$N1824="TRUE"),1,0))</f>
        <v/>
      </c>
      <c r="AJ1824">
        <f>IF($C1824="","",IF($T1824="Yes",1,0))</f>
        <v/>
      </c>
      <c r="AK1824">
        <f>IF($AG1824=1,IFERROR(IF(VALUE($C1824)&lt;100000000,VALUE($C1824),1000000000),IFERROR(IF(VALUE(MID($C1824,2,20))&lt;100000000,VALUE(MID($C1824,2,20)),1000000000),1000000000))+ROW()/100000,"")</f>
        <v/>
      </c>
    </row>
    <row r="1825">
      <c r="D1825" s="11" t="n"/>
      <c r="K1825" s="7">
        <f>IF($C1825="","",J1825*W1825/100)</f>
        <v/>
      </c>
      <c r="Q1825" s="7" t="n"/>
      <c r="R1825" s="7" t="n"/>
      <c r="U1825">
        <f>IF($C1825="","",IF($AJ1825=1,0,IF($AI1825=1,Settings!$C$6,Settings!$C$7))*100)</f>
        <v/>
      </c>
      <c r="V1825" s="7">
        <f>IF($C1825="","",R1825*U1825/100)</f>
        <v/>
      </c>
      <c r="W1825" s="7">
        <f>IF($C1825="","",R1825-V1825)</f>
        <v/>
      </c>
      <c r="X1825" s="7">
        <f>IF($C1825="","",W1825-K1825)</f>
        <v/>
      </c>
      <c r="AB1825" s="7" t="n"/>
      <c r="AE1825" s="11" t="n"/>
      <c r="AG1825">
        <f>IF($C1825="","",IF(COUNTIF($C$2:$C1825,$C1825)=1,1,0))</f>
        <v/>
      </c>
      <c r="AH1825">
        <f>IF($AG1825=1,SUMPRODUCT(--($AK$2:$AK$6001&lt;$AK1825))+1,"")</f>
        <v/>
      </c>
      <c r="AI1825">
        <f>IF($C1825="","",IF(OR($N1825=TRUE(),$N1825="TRUE"),1,0))</f>
        <v/>
      </c>
      <c r="AJ1825">
        <f>IF($C1825="","",IF($T1825="Yes",1,0))</f>
        <v/>
      </c>
      <c r="AK1825">
        <f>IF($AG1825=1,IFERROR(IF(VALUE($C1825)&lt;100000000,VALUE($C1825),1000000000),IFERROR(IF(VALUE(MID($C1825,2,20))&lt;100000000,VALUE(MID($C1825,2,20)),1000000000),1000000000))+ROW()/100000,"")</f>
        <v/>
      </c>
    </row>
    <row r="1826">
      <c r="D1826" s="11" t="n"/>
      <c r="K1826" s="7">
        <f>IF($C1826="","",J1826*W1826/100)</f>
        <v/>
      </c>
      <c r="Q1826" s="7" t="n"/>
      <c r="R1826" s="7" t="n"/>
      <c r="U1826">
        <f>IF($C1826="","",IF($AJ1826=1,0,IF($AI1826=1,Settings!$C$6,Settings!$C$7))*100)</f>
        <v/>
      </c>
      <c r="V1826" s="7">
        <f>IF($C1826="","",R1826*U1826/100)</f>
        <v/>
      </c>
      <c r="W1826" s="7">
        <f>IF($C1826="","",R1826-V1826)</f>
        <v/>
      </c>
      <c r="X1826" s="7">
        <f>IF($C1826="","",W1826-K1826)</f>
        <v/>
      </c>
      <c r="AB1826" s="7" t="n"/>
      <c r="AE1826" s="11" t="n"/>
      <c r="AG1826">
        <f>IF($C1826="","",IF(COUNTIF($C$2:$C1826,$C1826)=1,1,0))</f>
        <v/>
      </c>
      <c r="AH1826">
        <f>IF($AG1826=1,SUMPRODUCT(--($AK$2:$AK$6001&lt;$AK1826))+1,"")</f>
        <v/>
      </c>
      <c r="AI1826">
        <f>IF($C1826="","",IF(OR($N1826=TRUE(),$N1826="TRUE"),1,0))</f>
        <v/>
      </c>
      <c r="AJ1826">
        <f>IF($C1826="","",IF($T1826="Yes",1,0))</f>
        <v/>
      </c>
      <c r="AK1826">
        <f>IF($AG1826=1,IFERROR(IF(VALUE($C1826)&lt;100000000,VALUE($C1826),1000000000),IFERROR(IF(VALUE(MID($C1826,2,20))&lt;100000000,VALUE(MID($C1826,2,20)),1000000000),1000000000))+ROW()/100000,"")</f>
        <v/>
      </c>
    </row>
    <row r="1827">
      <c r="D1827" s="11" t="n"/>
      <c r="K1827" s="7">
        <f>IF($C1827="","",J1827*W1827/100)</f>
        <v/>
      </c>
      <c r="Q1827" s="7" t="n"/>
      <c r="R1827" s="7" t="n"/>
      <c r="U1827">
        <f>IF($C1827="","",IF($AJ1827=1,0,IF($AI1827=1,Settings!$C$6,Settings!$C$7))*100)</f>
        <v/>
      </c>
      <c r="V1827" s="7">
        <f>IF($C1827="","",R1827*U1827/100)</f>
        <v/>
      </c>
      <c r="W1827" s="7">
        <f>IF($C1827="","",R1827-V1827)</f>
        <v/>
      </c>
      <c r="X1827" s="7">
        <f>IF($C1827="","",W1827-K1827)</f>
        <v/>
      </c>
      <c r="AB1827" s="7" t="n"/>
      <c r="AE1827" s="11" t="n"/>
      <c r="AG1827">
        <f>IF($C1827="","",IF(COUNTIF($C$2:$C1827,$C1827)=1,1,0))</f>
        <v/>
      </c>
      <c r="AH1827">
        <f>IF($AG1827=1,SUMPRODUCT(--($AK$2:$AK$6001&lt;$AK1827))+1,"")</f>
        <v/>
      </c>
      <c r="AI1827">
        <f>IF($C1827="","",IF(OR($N1827=TRUE(),$N1827="TRUE"),1,0))</f>
        <v/>
      </c>
      <c r="AJ1827">
        <f>IF($C1827="","",IF($T1827="Yes",1,0))</f>
        <v/>
      </c>
      <c r="AK1827">
        <f>IF($AG1827=1,IFERROR(IF(VALUE($C1827)&lt;100000000,VALUE($C1827),1000000000),IFERROR(IF(VALUE(MID($C1827,2,20))&lt;100000000,VALUE(MID($C1827,2,20)),1000000000),1000000000))+ROW()/100000,"")</f>
        <v/>
      </c>
    </row>
    <row r="1828">
      <c r="D1828" s="11" t="n"/>
      <c r="K1828" s="7">
        <f>IF($C1828="","",J1828*W1828/100)</f>
        <v/>
      </c>
      <c r="Q1828" s="7" t="n"/>
      <c r="R1828" s="7" t="n"/>
      <c r="U1828">
        <f>IF($C1828="","",IF($AJ1828=1,0,IF($AI1828=1,Settings!$C$6,Settings!$C$7))*100)</f>
        <v/>
      </c>
      <c r="V1828" s="7">
        <f>IF($C1828="","",R1828*U1828/100)</f>
        <v/>
      </c>
      <c r="W1828" s="7">
        <f>IF($C1828="","",R1828-V1828)</f>
        <v/>
      </c>
      <c r="X1828" s="7">
        <f>IF($C1828="","",W1828-K1828)</f>
        <v/>
      </c>
      <c r="AB1828" s="7" t="n"/>
      <c r="AE1828" s="11" t="n"/>
      <c r="AG1828">
        <f>IF($C1828="","",IF(COUNTIF($C$2:$C1828,$C1828)=1,1,0))</f>
        <v/>
      </c>
      <c r="AH1828">
        <f>IF($AG1828=1,SUMPRODUCT(--($AK$2:$AK$6001&lt;$AK1828))+1,"")</f>
        <v/>
      </c>
      <c r="AI1828">
        <f>IF($C1828="","",IF(OR($N1828=TRUE(),$N1828="TRUE"),1,0))</f>
        <v/>
      </c>
      <c r="AJ1828">
        <f>IF($C1828="","",IF($T1828="Yes",1,0))</f>
        <v/>
      </c>
      <c r="AK1828">
        <f>IF($AG1828=1,IFERROR(IF(VALUE($C1828)&lt;100000000,VALUE($C1828),1000000000),IFERROR(IF(VALUE(MID($C1828,2,20))&lt;100000000,VALUE(MID($C1828,2,20)),1000000000),1000000000))+ROW()/100000,"")</f>
        <v/>
      </c>
    </row>
    <row r="1829">
      <c r="D1829" s="11" t="n"/>
      <c r="K1829" s="7">
        <f>IF($C1829="","",J1829*W1829/100)</f>
        <v/>
      </c>
      <c r="Q1829" s="7" t="n"/>
      <c r="R1829" s="7" t="n"/>
      <c r="U1829">
        <f>IF($C1829="","",IF($AJ1829=1,0,IF($AI1829=1,Settings!$C$6,Settings!$C$7))*100)</f>
        <v/>
      </c>
      <c r="V1829" s="7">
        <f>IF($C1829="","",R1829*U1829/100)</f>
        <v/>
      </c>
      <c r="W1829" s="7">
        <f>IF($C1829="","",R1829-V1829)</f>
        <v/>
      </c>
      <c r="X1829" s="7">
        <f>IF($C1829="","",W1829-K1829)</f>
        <v/>
      </c>
      <c r="AB1829" s="7" t="n"/>
      <c r="AE1829" s="11" t="n"/>
      <c r="AG1829">
        <f>IF($C1829="","",IF(COUNTIF($C$2:$C1829,$C1829)=1,1,0))</f>
        <v/>
      </c>
      <c r="AH1829">
        <f>IF($AG1829=1,SUMPRODUCT(--($AK$2:$AK$6001&lt;$AK1829))+1,"")</f>
        <v/>
      </c>
      <c r="AI1829">
        <f>IF($C1829="","",IF(OR($N1829=TRUE(),$N1829="TRUE"),1,0))</f>
        <v/>
      </c>
      <c r="AJ1829">
        <f>IF($C1829="","",IF($T1829="Yes",1,0))</f>
        <v/>
      </c>
      <c r="AK1829">
        <f>IF($AG1829=1,IFERROR(IF(VALUE($C1829)&lt;100000000,VALUE($C1829),1000000000),IFERROR(IF(VALUE(MID($C1829,2,20))&lt;100000000,VALUE(MID($C1829,2,20)),1000000000),1000000000))+ROW()/100000,"")</f>
        <v/>
      </c>
    </row>
    <row r="1830">
      <c r="D1830" s="11" t="n"/>
      <c r="K1830" s="7">
        <f>IF($C1830="","",J1830*W1830/100)</f>
        <v/>
      </c>
      <c r="Q1830" s="7" t="n"/>
      <c r="R1830" s="7" t="n"/>
      <c r="U1830">
        <f>IF($C1830="","",IF($AJ1830=1,0,IF($AI1830=1,Settings!$C$6,Settings!$C$7))*100)</f>
        <v/>
      </c>
      <c r="V1830" s="7">
        <f>IF($C1830="","",R1830*U1830/100)</f>
        <v/>
      </c>
      <c r="W1830" s="7">
        <f>IF($C1830="","",R1830-V1830)</f>
        <v/>
      </c>
      <c r="X1830" s="7">
        <f>IF($C1830="","",W1830-K1830)</f>
        <v/>
      </c>
      <c r="AB1830" s="7" t="n"/>
      <c r="AE1830" s="11" t="n"/>
      <c r="AG1830">
        <f>IF($C1830="","",IF(COUNTIF($C$2:$C1830,$C1830)=1,1,0))</f>
        <v/>
      </c>
      <c r="AH1830">
        <f>IF($AG1830=1,SUMPRODUCT(--($AK$2:$AK$6001&lt;$AK1830))+1,"")</f>
        <v/>
      </c>
      <c r="AI1830">
        <f>IF($C1830="","",IF(OR($N1830=TRUE(),$N1830="TRUE"),1,0))</f>
        <v/>
      </c>
      <c r="AJ1830">
        <f>IF($C1830="","",IF($T1830="Yes",1,0))</f>
        <v/>
      </c>
      <c r="AK1830">
        <f>IF($AG1830=1,IFERROR(IF(VALUE($C1830)&lt;100000000,VALUE($C1830),1000000000),IFERROR(IF(VALUE(MID($C1830,2,20))&lt;100000000,VALUE(MID($C1830,2,20)),1000000000),1000000000))+ROW()/100000,"")</f>
        <v/>
      </c>
    </row>
    <row r="1831">
      <c r="D1831" s="11" t="n"/>
      <c r="K1831" s="7">
        <f>IF($C1831="","",J1831*W1831/100)</f>
        <v/>
      </c>
      <c r="Q1831" s="7" t="n"/>
      <c r="R1831" s="7" t="n"/>
      <c r="U1831">
        <f>IF($C1831="","",IF($AJ1831=1,0,IF($AI1831=1,Settings!$C$6,Settings!$C$7))*100)</f>
        <v/>
      </c>
      <c r="V1831" s="7">
        <f>IF($C1831="","",R1831*U1831/100)</f>
        <v/>
      </c>
      <c r="W1831" s="7">
        <f>IF($C1831="","",R1831-V1831)</f>
        <v/>
      </c>
      <c r="X1831" s="7">
        <f>IF($C1831="","",W1831-K1831)</f>
        <v/>
      </c>
      <c r="AB1831" s="7" t="n"/>
      <c r="AE1831" s="11" t="n"/>
      <c r="AG1831">
        <f>IF($C1831="","",IF(COUNTIF($C$2:$C1831,$C1831)=1,1,0))</f>
        <v/>
      </c>
      <c r="AH1831">
        <f>IF($AG1831=1,SUMPRODUCT(--($AK$2:$AK$6001&lt;$AK1831))+1,"")</f>
        <v/>
      </c>
      <c r="AI1831">
        <f>IF($C1831="","",IF(OR($N1831=TRUE(),$N1831="TRUE"),1,0))</f>
        <v/>
      </c>
      <c r="AJ1831">
        <f>IF($C1831="","",IF($T1831="Yes",1,0))</f>
        <v/>
      </c>
      <c r="AK1831">
        <f>IF($AG1831=1,IFERROR(IF(VALUE($C1831)&lt;100000000,VALUE($C1831),1000000000),IFERROR(IF(VALUE(MID($C1831,2,20))&lt;100000000,VALUE(MID($C1831,2,20)),1000000000),1000000000))+ROW()/100000,"")</f>
        <v/>
      </c>
    </row>
    <row r="1832">
      <c r="D1832" s="11" t="n"/>
      <c r="K1832" s="7">
        <f>IF($C1832="","",J1832*W1832/100)</f>
        <v/>
      </c>
      <c r="Q1832" s="7" t="n"/>
      <c r="R1832" s="7" t="n"/>
      <c r="U1832">
        <f>IF($C1832="","",IF($AJ1832=1,0,IF($AI1832=1,Settings!$C$6,Settings!$C$7))*100)</f>
        <v/>
      </c>
      <c r="V1832" s="7">
        <f>IF($C1832="","",R1832*U1832/100)</f>
        <v/>
      </c>
      <c r="W1832" s="7">
        <f>IF($C1832="","",R1832-V1832)</f>
        <v/>
      </c>
      <c r="X1832" s="7">
        <f>IF($C1832="","",W1832-K1832)</f>
        <v/>
      </c>
      <c r="AB1832" s="7" t="n"/>
      <c r="AE1832" s="11" t="n"/>
      <c r="AG1832">
        <f>IF($C1832="","",IF(COUNTIF($C$2:$C1832,$C1832)=1,1,0))</f>
        <v/>
      </c>
      <c r="AH1832">
        <f>IF($AG1832=1,SUMPRODUCT(--($AK$2:$AK$6001&lt;$AK1832))+1,"")</f>
        <v/>
      </c>
      <c r="AI1832">
        <f>IF($C1832="","",IF(OR($N1832=TRUE(),$N1832="TRUE"),1,0))</f>
        <v/>
      </c>
      <c r="AJ1832">
        <f>IF($C1832="","",IF($T1832="Yes",1,0))</f>
        <v/>
      </c>
      <c r="AK1832">
        <f>IF($AG1832=1,IFERROR(IF(VALUE($C1832)&lt;100000000,VALUE($C1832),1000000000),IFERROR(IF(VALUE(MID($C1832,2,20))&lt;100000000,VALUE(MID($C1832,2,20)),1000000000),1000000000))+ROW()/100000,"")</f>
        <v/>
      </c>
    </row>
    <row r="1833">
      <c r="D1833" s="11" t="n"/>
      <c r="K1833" s="7">
        <f>IF($C1833="","",J1833*W1833/100)</f>
        <v/>
      </c>
      <c r="Q1833" s="7" t="n"/>
      <c r="R1833" s="7" t="n"/>
      <c r="U1833">
        <f>IF($C1833="","",IF($AJ1833=1,0,IF($AI1833=1,Settings!$C$6,Settings!$C$7))*100)</f>
        <v/>
      </c>
      <c r="V1833" s="7">
        <f>IF($C1833="","",R1833*U1833/100)</f>
        <v/>
      </c>
      <c r="W1833" s="7">
        <f>IF($C1833="","",R1833-V1833)</f>
        <v/>
      </c>
      <c r="X1833" s="7">
        <f>IF($C1833="","",W1833-K1833)</f>
        <v/>
      </c>
      <c r="AB1833" s="7" t="n"/>
      <c r="AE1833" s="11" t="n"/>
      <c r="AG1833">
        <f>IF($C1833="","",IF(COUNTIF($C$2:$C1833,$C1833)=1,1,0))</f>
        <v/>
      </c>
      <c r="AH1833">
        <f>IF($AG1833=1,SUMPRODUCT(--($AK$2:$AK$6001&lt;$AK1833))+1,"")</f>
        <v/>
      </c>
      <c r="AI1833">
        <f>IF($C1833="","",IF(OR($N1833=TRUE(),$N1833="TRUE"),1,0))</f>
        <v/>
      </c>
      <c r="AJ1833">
        <f>IF($C1833="","",IF($T1833="Yes",1,0))</f>
        <v/>
      </c>
      <c r="AK1833">
        <f>IF($AG1833=1,IFERROR(IF(VALUE($C1833)&lt;100000000,VALUE($C1833),1000000000),IFERROR(IF(VALUE(MID($C1833,2,20))&lt;100000000,VALUE(MID($C1833,2,20)),1000000000),1000000000))+ROW()/100000,"")</f>
        <v/>
      </c>
    </row>
    <row r="1834">
      <c r="D1834" s="11" t="n"/>
      <c r="K1834" s="7">
        <f>IF($C1834="","",J1834*W1834/100)</f>
        <v/>
      </c>
      <c r="Q1834" s="7" t="n"/>
      <c r="R1834" s="7" t="n"/>
      <c r="U1834">
        <f>IF($C1834="","",IF($AJ1834=1,0,IF($AI1834=1,Settings!$C$6,Settings!$C$7))*100)</f>
        <v/>
      </c>
      <c r="V1834" s="7">
        <f>IF($C1834="","",R1834*U1834/100)</f>
        <v/>
      </c>
      <c r="W1834" s="7">
        <f>IF($C1834="","",R1834-V1834)</f>
        <v/>
      </c>
      <c r="X1834" s="7">
        <f>IF($C1834="","",W1834-K1834)</f>
        <v/>
      </c>
      <c r="AB1834" s="7" t="n"/>
      <c r="AE1834" s="11" t="n"/>
      <c r="AG1834">
        <f>IF($C1834="","",IF(COUNTIF($C$2:$C1834,$C1834)=1,1,0))</f>
        <v/>
      </c>
      <c r="AH1834">
        <f>IF($AG1834=1,SUMPRODUCT(--($AK$2:$AK$6001&lt;$AK1834))+1,"")</f>
        <v/>
      </c>
      <c r="AI1834">
        <f>IF($C1834="","",IF(OR($N1834=TRUE(),$N1834="TRUE"),1,0))</f>
        <v/>
      </c>
      <c r="AJ1834">
        <f>IF($C1834="","",IF($T1834="Yes",1,0))</f>
        <v/>
      </c>
      <c r="AK1834">
        <f>IF($AG1834=1,IFERROR(IF(VALUE($C1834)&lt;100000000,VALUE($C1834),1000000000),IFERROR(IF(VALUE(MID($C1834,2,20))&lt;100000000,VALUE(MID($C1834,2,20)),1000000000),1000000000))+ROW()/100000,"")</f>
        <v/>
      </c>
    </row>
    <row r="1835">
      <c r="D1835" s="11" t="n"/>
      <c r="K1835" s="7">
        <f>IF($C1835="","",J1835*W1835/100)</f>
        <v/>
      </c>
      <c r="Q1835" s="7" t="n"/>
      <c r="R1835" s="7" t="n"/>
      <c r="U1835">
        <f>IF($C1835="","",IF($AJ1835=1,0,IF($AI1835=1,Settings!$C$6,Settings!$C$7))*100)</f>
        <v/>
      </c>
      <c r="V1835" s="7">
        <f>IF($C1835="","",R1835*U1835/100)</f>
        <v/>
      </c>
      <c r="W1835" s="7">
        <f>IF($C1835="","",R1835-V1835)</f>
        <v/>
      </c>
      <c r="X1835" s="7">
        <f>IF($C1835="","",W1835-K1835)</f>
        <v/>
      </c>
      <c r="AB1835" s="7" t="n"/>
      <c r="AE1835" s="11" t="n"/>
      <c r="AG1835">
        <f>IF($C1835="","",IF(COUNTIF($C$2:$C1835,$C1835)=1,1,0))</f>
        <v/>
      </c>
      <c r="AH1835">
        <f>IF($AG1835=1,SUMPRODUCT(--($AK$2:$AK$6001&lt;$AK1835))+1,"")</f>
        <v/>
      </c>
      <c r="AI1835">
        <f>IF($C1835="","",IF(OR($N1835=TRUE(),$N1835="TRUE"),1,0))</f>
        <v/>
      </c>
      <c r="AJ1835">
        <f>IF($C1835="","",IF($T1835="Yes",1,0))</f>
        <v/>
      </c>
      <c r="AK1835">
        <f>IF($AG1835=1,IFERROR(IF(VALUE($C1835)&lt;100000000,VALUE($C1835),1000000000),IFERROR(IF(VALUE(MID($C1835,2,20))&lt;100000000,VALUE(MID($C1835,2,20)),1000000000),1000000000))+ROW()/100000,"")</f>
        <v/>
      </c>
    </row>
    <row r="1836">
      <c r="D1836" s="11" t="n"/>
      <c r="K1836" s="7">
        <f>IF($C1836="","",J1836*W1836/100)</f>
        <v/>
      </c>
      <c r="Q1836" s="7" t="n"/>
      <c r="R1836" s="7" t="n"/>
      <c r="U1836">
        <f>IF($C1836="","",IF($AJ1836=1,0,IF($AI1836=1,Settings!$C$6,Settings!$C$7))*100)</f>
        <v/>
      </c>
      <c r="V1836" s="7">
        <f>IF($C1836="","",R1836*U1836/100)</f>
        <v/>
      </c>
      <c r="W1836" s="7">
        <f>IF($C1836="","",R1836-V1836)</f>
        <v/>
      </c>
      <c r="X1836" s="7">
        <f>IF($C1836="","",W1836-K1836)</f>
        <v/>
      </c>
      <c r="AB1836" s="7" t="n"/>
      <c r="AE1836" s="11" t="n"/>
      <c r="AG1836">
        <f>IF($C1836="","",IF(COUNTIF($C$2:$C1836,$C1836)=1,1,0))</f>
        <v/>
      </c>
      <c r="AH1836">
        <f>IF($AG1836=1,SUMPRODUCT(--($AK$2:$AK$6001&lt;$AK1836))+1,"")</f>
        <v/>
      </c>
      <c r="AI1836">
        <f>IF($C1836="","",IF(OR($N1836=TRUE(),$N1836="TRUE"),1,0))</f>
        <v/>
      </c>
      <c r="AJ1836">
        <f>IF($C1836="","",IF($T1836="Yes",1,0))</f>
        <v/>
      </c>
      <c r="AK1836">
        <f>IF($AG1836=1,IFERROR(IF(VALUE($C1836)&lt;100000000,VALUE($C1836),1000000000),IFERROR(IF(VALUE(MID($C1836,2,20))&lt;100000000,VALUE(MID($C1836,2,20)),1000000000),1000000000))+ROW()/100000,"")</f>
        <v/>
      </c>
    </row>
    <row r="1837">
      <c r="D1837" s="11" t="n"/>
      <c r="K1837" s="7">
        <f>IF($C1837="","",J1837*W1837/100)</f>
        <v/>
      </c>
      <c r="Q1837" s="7" t="n"/>
      <c r="R1837" s="7" t="n"/>
      <c r="U1837">
        <f>IF($C1837="","",IF($AJ1837=1,0,IF($AI1837=1,Settings!$C$6,Settings!$C$7))*100)</f>
        <v/>
      </c>
      <c r="V1837" s="7">
        <f>IF($C1837="","",R1837*U1837/100)</f>
        <v/>
      </c>
      <c r="W1837" s="7">
        <f>IF($C1837="","",R1837-V1837)</f>
        <v/>
      </c>
      <c r="X1837" s="7">
        <f>IF($C1837="","",W1837-K1837)</f>
        <v/>
      </c>
      <c r="AB1837" s="7" t="n"/>
      <c r="AE1837" s="11" t="n"/>
      <c r="AG1837">
        <f>IF($C1837="","",IF(COUNTIF($C$2:$C1837,$C1837)=1,1,0))</f>
        <v/>
      </c>
      <c r="AH1837">
        <f>IF($AG1837=1,SUMPRODUCT(--($AK$2:$AK$6001&lt;$AK1837))+1,"")</f>
        <v/>
      </c>
      <c r="AI1837">
        <f>IF($C1837="","",IF(OR($N1837=TRUE(),$N1837="TRUE"),1,0))</f>
        <v/>
      </c>
      <c r="AJ1837">
        <f>IF($C1837="","",IF($T1837="Yes",1,0))</f>
        <v/>
      </c>
      <c r="AK1837">
        <f>IF($AG1837=1,IFERROR(IF(VALUE($C1837)&lt;100000000,VALUE($C1837),1000000000),IFERROR(IF(VALUE(MID($C1837,2,20))&lt;100000000,VALUE(MID($C1837,2,20)),1000000000),1000000000))+ROW()/100000,"")</f>
        <v/>
      </c>
    </row>
    <row r="1838">
      <c r="D1838" s="11" t="n"/>
      <c r="K1838" s="7">
        <f>IF($C1838="","",J1838*W1838/100)</f>
        <v/>
      </c>
      <c r="Q1838" s="7" t="n"/>
      <c r="R1838" s="7" t="n"/>
      <c r="U1838">
        <f>IF($C1838="","",IF($AJ1838=1,0,IF($AI1838=1,Settings!$C$6,Settings!$C$7))*100)</f>
        <v/>
      </c>
      <c r="V1838" s="7">
        <f>IF($C1838="","",R1838*U1838/100)</f>
        <v/>
      </c>
      <c r="W1838" s="7">
        <f>IF($C1838="","",R1838-V1838)</f>
        <v/>
      </c>
      <c r="X1838" s="7">
        <f>IF($C1838="","",W1838-K1838)</f>
        <v/>
      </c>
      <c r="AB1838" s="7" t="n"/>
      <c r="AE1838" s="11" t="n"/>
      <c r="AG1838">
        <f>IF($C1838="","",IF(COUNTIF($C$2:$C1838,$C1838)=1,1,0))</f>
        <v/>
      </c>
      <c r="AH1838">
        <f>IF($AG1838=1,SUMPRODUCT(--($AK$2:$AK$6001&lt;$AK1838))+1,"")</f>
        <v/>
      </c>
      <c r="AI1838">
        <f>IF($C1838="","",IF(OR($N1838=TRUE(),$N1838="TRUE"),1,0))</f>
        <v/>
      </c>
      <c r="AJ1838">
        <f>IF($C1838="","",IF($T1838="Yes",1,0))</f>
        <v/>
      </c>
      <c r="AK1838">
        <f>IF($AG1838=1,IFERROR(IF(VALUE($C1838)&lt;100000000,VALUE($C1838),1000000000),IFERROR(IF(VALUE(MID($C1838,2,20))&lt;100000000,VALUE(MID($C1838,2,20)),1000000000),1000000000))+ROW()/100000,"")</f>
        <v/>
      </c>
    </row>
    <row r="1839">
      <c r="D1839" s="11" t="n"/>
      <c r="K1839" s="7">
        <f>IF($C1839="","",J1839*W1839/100)</f>
        <v/>
      </c>
      <c r="Q1839" s="7" t="n"/>
      <c r="R1839" s="7" t="n"/>
      <c r="U1839">
        <f>IF($C1839="","",IF($AJ1839=1,0,IF($AI1839=1,Settings!$C$6,Settings!$C$7))*100)</f>
        <v/>
      </c>
      <c r="V1839" s="7">
        <f>IF($C1839="","",R1839*U1839/100)</f>
        <v/>
      </c>
      <c r="W1839" s="7">
        <f>IF($C1839="","",R1839-V1839)</f>
        <v/>
      </c>
      <c r="X1839" s="7">
        <f>IF($C1839="","",W1839-K1839)</f>
        <v/>
      </c>
      <c r="AB1839" s="7" t="n"/>
      <c r="AE1839" s="11" t="n"/>
      <c r="AG1839">
        <f>IF($C1839="","",IF(COUNTIF($C$2:$C1839,$C1839)=1,1,0))</f>
        <v/>
      </c>
      <c r="AH1839">
        <f>IF($AG1839=1,SUMPRODUCT(--($AK$2:$AK$6001&lt;$AK1839))+1,"")</f>
        <v/>
      </c>
      <c r="AI1839">
        <f>IF($C1839="","",IF(OR($N1839=TRUE(),$N1839="TRUE"),1,0))</f>
        <v/>
      </c>
      <c r="AJ1839">
        <f>IF($C1839="","",IF($T1839="Yes",1,0))</f>
        <v/>
      </c>
      <c r="AK1839">
        <f>IF($AG1839=1,IFERROR(IF(VALUE($C1839)&lt;100000000,VALUE($C1839),1000000000),IFERROR(IF(VALUE(MID($C1839,2,20))&lt;100000000,VALUE(MID($C1839,2,20)),1000000000),1000000000))+ROW()/100000,"")</f>
        <v/>
      </c>
    </row>
    <row r="1840">
      <c r="D1840" s="11" t="n"/>
      <c r="K1840" s="7">
        <f>IF($C1840="","",J1840*W1840/100)</f>
        <v/>
      </c>
      <c r="Q1840" s="7" t="n"/>
      <c r="R1840" s="7" t="n"/>
      <c r="U1840">
        <f>IF($C1840="","",IF($AJ1840=1,0,IF($AI1840=1,Settings!$C$6,Settings!$C$7))*100)</f>
        <v/>
      </c>
      <c r="V1840" s="7">
        <f>IF($C1840="","",R1840*U1840/100)</f>
        <v/>
      </c>
      <c r="W1840" s="7">
        <f>IF($C1840="","",R1840-V1840)</f>
        <v/>
      </c>
      <c r="X1840" s="7">
        <f>IF($C1840="","",W1840-K1840)</f>
        <v/>
      </c>
      <c r="AB1840" s="7" t="n"/>
      <c r="AE1840" s="11" t="n"/>
      <c r="AG1840">
        <f>IF($C1840="","",IF(COUNTIF($C$2:$C1840,$C1840)=1,1,0))</f>
        <v/>
      </c>
      <c r="AH1840">
        <f>IF($AG1840=1,SUMPRODUCT(--($AK$2:$AK$6001&lt;$AK1840))+1,"")</f>
        <v/>
      </c>
      <c r="AI1840">
        <f>IF($C1840="","",IF(OR($N1840=TRUE(),$N1840="TRUE"),1,0))</f>
        <v/>
      </c>
      <c r="AJ1840">
        <f>IF($C1840="","",IF($T1840="Yes",1,0))</f>
        <v/>
      </c>
      <c r="AK1840">
        <f>IF($AG1840=1,IFERROR(IF(VALUE($C1840)&lt;100000000,VALUE($C1840),1000000000),IFERROR(IF(VALUE(MID($C1840,2,20))&lt;100000000,VALUE(MID($C1840,2,20)),1000000000),1000000000))+ROW()/100000,"")</f>
        <v/>
      </c>
    </row>
    <row r="1841">
      <c r="D1841" s="11" t="n"/>
      <c r="K1841" s="7">
        <f>IF($C1841="","",J1841*W1841/100)</f>
        <v/>
      </c>
      <c r="Q1841" s="7" t="n"/>
      <c r="R1841" s="7" t="n"/>
      <c r="U1841">
        <f>IF($C1841="","",IF($AJ1841=1,0,IF($AI1841=1,Settings!$C$6,Settings!$C$7))*100)</f>
        <v/>
      </c>
      <c r="V1841" s="7">
        <f>IF($C1841="","",R1841*U1841/100)</f>
        <v/>
      </c>
      <c r="W1841" s="7">
        <f>IF($C1841="","",R1841-V1841)</f>
        <v/>
      </c>
      <c r="X1841" s="7">
        <f>IF($C1841="","",W1841-K1841)</f>
        <v/>
      </c>
      <c r="AB1841" s="7" t="n"/>
      <c r="AE1841" s="11" t="n"/>
      <c r="AG1841">
        <f>IF($C1841="","",IF(COUNTIF($C$2:$C1841,$C1841)=1,1,0))</f>
        <v/>
      </c>
      <c r="AH1841">
        <f>IF($AG1841=1,SUMPRODUCT(--($AK$2:$AK$6001&lt;$AK1841))+1,"")</f>
        <v/>
      </c>
      <c r="AI1841">
        <f>IF($C1841="","",IF(OR($N1841=TRUE(),$N1841="TRUE"),1,0))</f>
        <v/>
      </c>
      <c r="AJ1841">
        <f>IF($C1841="","",IF($T1841="Yes",1,0))</f>
        <v/>
      </c>
      <c r="AK1841">
        <f>IF($AG1841=1,IFERROR(IF(VALUE($C1841)&lt;100000000,VALUE($C1841),1000000000),IFERROR(IF(VALUE(MID($C1841,2,20))&lt;100000000,VALUE(MID($C1841,2,20)),1000000000),1000000000))+ROW()/100000,"")</f>
        <v/>
      </c>
    </row>
    <row r="1842">
      <c r="D1842" s="11" t="n"/>
      <c r="K1842" s="7">
        <f>IF($C1842="","",J1842*W1842/100)</f>
        <v/>
      </c>
      <c r="Q1842" s="7" t="n"/>
      <c r="R1842" s="7" t="n"/>
      <c r="U1842">
        <f>IF($C1842="","",IF($AJ1842=1,0,IF($AI1842=1,Settings!$C$6,Settings!$C$7))*100)</f>
        <v/>
      </c>
      <c r="V1842" s="7">
        <f>IF($C1842="","",R1842*U1842/100)</f>
        <v/>
      </c>
      <c r="W1842" s="7">
        <f>IF($C1842="","",R1842-V1842)</f>
        <v/>
      </c>
      <c r="X1842" s="7">
        <f>IF($C1842="","",W1842-K1842)</f>
        <v/>
      </c>
      <c r="AB1842" s="7" t="n"/>
      <c r="AE1842" s="11" t="n"/>
      <c r="AG1842">
        <f>IF($C1842="","",IF(COUNTIF($C$2:$C1842,$C1842)=1,1,0))</f>
        <v/>
      </c>
      <c r="AH1842">
        <f>IF($AG1842=1,SUMPRODUCT(--($AK$2:$AK$6001&lt;$AK1842))+1,"")</f>
        <v/>
      </c>
      <c r="AI1842">
        <f>IF($C1842="","",IF(OR($N1842=TRUE(),$N1842="TRUE"),1,0))</f>
        <v/>
      </c>
      <c r="AJ1842">
        <f>IF($C1842="","",IF($T1842="Yes",1,0))</f>
        <v/>
      </c>
      <c r="AK1842">
        <f>IF($AG1842=1,IFERROR(IF(VALUE($C1842)&lt;100000000,VALUE($C1842),1000000000),IFERROR(IF(VALUE(MID($C1842,2,20))&lt;100000000,VALUE(MID($C1842,2,20)),1000000000),1000000000))+ROW()/100000,"")</f>
        <v/>
      </c>
    </row>
    <row r="1843">
      <c r="D1843" s="11" t="n"/>
      <c r="K1843" s="7">
        <f>IF($C1843="","",J1843*W1843/100)</f>
        <v/>
      </c>
      <c r="Q1843" s="7" t="n"/>
      <c r="R1843" s="7" t="n"/>
      <c r="U1843">
        <f>IF($C1843="","",IF($AJ1843=1,0,IF($AI1843=1,Settings!$C$6,Settings!$C$7))*100)</f>
        <v/>
      </c>
      <c r="V1843" s="7">
        <f>IF($C1843="","",R1843*U1843/100)</f>
        <v/>
      </c>
      <c r="W1843" s="7">
        <f>IF($C1843="","",R1843-V1843)</f>
        <v/>
      </c>
      <c r="X1843" s="7">
        <f>IF($C1843="","",W1843-K1843)</f>
        <v/>
      </c>
      <c r="AB1843" s="7" t="n"/>
      <c r="AE1843" s="11" t="n"/>
      <c r="AG1843">
        <f>IF($C1843="","",IF(COUNTIF($C$2:$C1843,$C1843)=1,1,0))</f>
        <v/>
      </c>
      <c r="AH1843">
        <f>IF($AG1843=1,SUMPRODUCT(--($AK$2:$AK$6001&lt;$AK1843))+1,"")</f>
        <v/>
      </c>
      <c r="AI1843">
        <f>IF($C1843="","",IF(OR($N1843=TRUE(),$N1843="TRUE"),1,0))</f>
        <v/>
      </c>
      <c r="AJ1843">
        <f>IF($C1843="","",IF($T1843="Yes",1,0))</f>
        <v/>
      </c>
      <c r="AK1843">
        <f>IF($AG1843=1,IFERROR(IF(VALUE($C1843)&lt;100000000,VALUE($C1843),1000000000),IFERROR(IF(VALUE(MID($C1843,2,20))&lt;100000000,VALUE(MID($C1843,2,20)),1000000000),1000000000))+ROW()/100000,"")</f>
        <v/>
      </c>
    </row>
    <row r="1844">
      <c r="D1844" s="11" t="n"/>
      <c r="K1844" s="7">
        <f>IF($C1844="","",J1844*W1844/100)</f>
        <v/>
      </c>
      <c r="Q1844" s="7" t="n"/>
      <c r="R1844" s="7" t="n"/>
      <c r="U1844">
        <f>IF($C1844="","",IF($AJ1844=1,0,IF($AI1844=1,Settings!$C$6,Settings!$C$7))*100)</f>
        <v/>
      </c>
      <c r="V1844" s="7">
        <f>IF($C1844="","",R1844*U1844/100)</f>
        <v/>
      </c>
      <c r="W1844" s="7">
        <f>IF($C1844="","",R1844-V1844)</f>
        <v/>
      </c>
      <c r="X1844" s="7">
        <f>IF($C1844="","",W1844-K1844)</f>
        <v/>
      </c>
      <c r="AB1844" s="7" t="n"/>
      <c r="AE1844" s="11" t="n"/>
      <c r="AG1844">
        <f>IF($C1844="","",IF(COUNTIF($C$2:$C1844,$C1844)=1,1,0))</f>
        <v/>
      </c>
      <c r="AH1844">
        <f>IF($AG1844=1,SUMPRODUCT(--($AK$2:$AK$6001&lt;$AK1844))+1,"")</f>
        <v/>
      </c>
      <c r="AI1844">
        <f>IF($C1844="","",IF(OR($N1844=TRUE(),$N1844="TRUE"),1,0))</f>
        <v/>
      </c>
      <c r="AJ1844">
        <f>IF($C1844="","",IF($T1844="Yes",1,0))</f>
        <v/>
      </c>
      <c r="AK1844">
        <f>IF($AG1844=1,IFERROR(IF(VALUE($C1844)&lt;100000000,VALUE($C1844),1000000000),IFERROR(IF(VALUE(MID($C1844,2,20))&lt;100000000,VALUE(MID($C1844,2,20)),1000000000),1000000000))+ROW()/100000,"")</f>
        <v/>
      </c>
    </row>
    <row r="1845">
      <c r="D1845" s="11" t="n"/>
      <c r="K1845" s="7">
        <f>IF($C1845="","",J1845*W1845/100)</f>
        <v/>
      </c>
      <c r="Q1845" s="7" t="n"/>
      <c r="R1845" s="7" t="n"/>
      <c r="U1845">
        <f>IF($C1845="","",IF($AJ1845=1,0,IF($AI1845=1,Settings!$C$6,Settings!$C$7))*100)</f>
        <v/>
      </c>
      <c r="V1845" s="7">
        <f>IF($C1845="","",R1845*U1845/100)</f>
        <v/>
      </c>
      <c r="W1845" s="7">
        <f>IF($C1845="","",R1845-V1845)</f>
        <v/>
      </c>
      <c r="X1845" s="7">
        <f>IF($C1845="","",W1845-K1845)</f>
        <v/>
      </c>
      <c r="AB1845" s="7" t="n"/>
      <c r="AE1845" s="11" t="n"/>
      <c r="AG1845">
        <f>IF($C1845="","",IF(COUNTIF($C$2:$C1845,$C1845)=1,1,0))</f>
        <v/>
      </c>
      <c r="AH1845">
        <f>IF($AG1845=1,SUMPRODUCT(--($AK$2:$AK$6001&lt;$AK1845))+1,"")</f>
        <v/>
      </c>
      <c r="AI1845">
        <f>IF($C1845="","",IF(OR($N1845=TRUE(),$N1845="TRUE"),1,0))</f>
        <v/>
      </c>
      <c r="AJ1845">
        <f>IF($C1845="","",IF($T1845="Yes",1,0))</f>
        <v/>
      </c>
      <c r="AK1845">
        <f>IF($AG1845=1,IFERROR(IF(VALUE($C1845)&lt;100000000,VALUE($C1845),1000000000),IFERROR(IF(VALUE(MID($C1845,2,20))&lt;100000000,VALUE(MID($C1845,2,20)),1000000000),1000000000))+ROW()/100000,"")</f>
        <v/>
      </c>
    </row>
    <row r="1846">
      <c r="D1846" s="11" t="n"/>
      <c r="K1846" s="7">
        <f>IF($C1846="","",J1846*W1846/100)</f>
        <v/>
      </c>
      <c r="Q1846" s="7" t="n"/>
      <c r="R1846" s="7" t="n"/>
      <c r="U1846">
        <f>IF($C1846="","",IF($AJ1846=1,0,IF($AI1846=1,Settings!$C$6,Settings!$C$7))*100)</f>
        <v/>
      </c>
      <c r="V1846" s="7">
        <f>IF($C1846="","",R1846*U1846/100)</f>
        <v/>
      </c>
      <c r="W1846" s="7">
        <f>IF($C1846="","",R1846-V1846)</f>
        <v/>
      </c>
      <c r="X1846" s="7">
        <f>IF($C1846="","",W1846-K1846)</f>
        <v/>
      </c>
      <c r="AB1846" s="7" t="n"/>
      <c r="AE1846" s="11" t="n"/>
      <c r="AG1846">
        <f>IF($C1846="","",IF(COUNTIF($C$2:$C1846,$C1846)=1,1,0))</f>
        <v/>
      </c>
      <c r="AH1846">
        <f>IF($AG1846=1,SUMPRODUCT(--($AK$2:$AK$6001&lt;$AK1846))+1,"")</f>
        <v/>
      </c>
      <c r="AI1846">
        <f>IF($C1846="","",IF(OR($N1846=TRUE(),$N1846="TRUE"),1,0))</f>
        <v/>
      </c>
      <c r="AJ1846">
        <f>IF($C1846="","",IF($T1846="Yes",1,0))</f>
        <v/>
      </c>
      <c r="AK1846">
        <f>IF($AG1846=1,IFERROR(IF(VALUE($C1846)&lt;100000000,VALUE($C1846),1000000000),IFERROR(IF(VALUE(MID($C1846,2,20))&lt;100000000,VALUE(MID($C1846,2,20)),1000000000),1000000000))+ROW()/100000,"")</f>
        <v/>
      </c>
    </row>
    <row r="1847">
      <c r="D1847" s="11" t="n"/>
      <c r="K1847" s="7">
        <f>IF($C1847="","",J1847*W1847/100)</f>
        <v/>
      </c>
      <c r="Q1847" s="7" t="n"/>
      <c r="R1847" s="7" t="n"/>
      <c r="U1847">
        <f>IF($C1847="","",IF($AJ1847=1,0,IF($AI1847=1,Settings!$C$6,Settings!$C$7))*100)</f>
        <v/>
      </c>
      <c r="V1847" s="7">
        <f>IF($C1847="","",R1847*U1847/100)</f>
        <v/>
      </c>
      <c r="W1847" s="7">
        <f>IF($C1847="","",R1847-V1847)</f>
        <v/>
      </c>
      <c r="X1847" s="7">
        <f>IF($C1847="","",W1847-K1847)</f>
        <v/>
      </c>
      <c r="AB1847" s="7" t="n"/>
      <c r="AE1847" s="11" t="n"/>
      <c r="AG1847">
        <f>IF($C1847="","",IF(COUNTIF($C$2:$C1847,$C1847)=1,1,0))</f>
        <v/>
      </c>
      <c r="AH1847">
        <f>IF($AG1847=1,SUMPRODUCT(--($AK$2:$AK$6001&lt;$AK1847))+1,"")</f>
        <v/>
      </c>
      <c r="AI1847">
        <f>IF($C1847="","",IF(OR($N1847=TRUE(),$N1847="TRUE"),1,0))</f>
        <v/>
      </c>
      <c r="AJ1847">
        <f>IF($C1847="","",IF($T1847="Yes",1,0))</f>
        <v/>
      </c>
      <c r="AK1847">
        <f>IF($AG1847=1,IFERROR(IF(VALUE($C1847)&lt;100000000,VALUE($C1847),1000000000),IFERROR(IF(VALUE(MID($C1847,2,20))&lt;100000000,VALUE(MID($C1847,2,20)),1000000000),1000000000))+ROW()/100000,"")</f>
        <v/>
      </c>
    </row>
    <row r="1848">
      <c r="D1848" s="11" t="n"/>
      <c r="K1848" s="7">
        <f>IF($C1848="","",J1848*W1848/100)</f>
        <v/>
      </c>
      <c r="Q1848" s="7" t="n"/>
      <c r="R1848" s="7" t="n"/>
      <c r="U1848">
        <f>IF($C1848="","",IF($AJ1848=1,0,IF($AI1848=1,Settings!$C$6,Settings!$C$7))*100)</f>
        <v/>
      </c>
      <c r="V1848" s="7">
        <f>IF($C1848="","",R1848*U1848/100)</f>
        <v/>
      </c>
      <c r="W1848" s="7">
        <f>IF($C1848="","",R1848-V1848)</f>
        <v/>
      </c>
      <c r="X1848" s="7">
        <f>IF($C1848="","",W1848-K1848)</f>
        <v/>
      </c>
      <c r="AB1848" s="7" t="n"/>
      <c r="AE1848" s="11" t="n"/>
      <c r="AG1848">
        <f>IF($C1848="","",IF(COUNTIF($C$2:$C1848,$C1848)=1,1,0))</f>
        <v/>
      </c>
      <c r="AH1848">
        <f>IF($AG1848=1,SUMPRODUCT(--($AK$2:$AK$6001&lt;$AK1848))+1,"")</f>
        <v/>
      </c>
      <c r="AI1848">
        <f>IF($C1848="","",IF(OR($N1848=TRUE(),$N1848="TRUE"),1,0))</f>
        <v/>
      </c>
      <c r="AJ1848">
        <f>IF($C1848="","",IF($T1848="Yes",1,0))</f>
        <v/>
      </c>
      <c r="AK1848">
        <f>IF($AG1848=1,IFERROR(IF(VALUE($C1848)&lt;100000000,VALUE($C1848),1000000000),IFERROR(IF(VALUE(MID($C1848,2,20))&lt;100000000,VALUE(MID($C1848,2,20)),1000000000),1000000000))+ROW()/100000,"")</f>
        <v/>
      </c>
    </row>
    <row r="1849">
      <c r="D1849" s="11" t="n"/>
      <c r="K1849" s="7">
        <f>IF($C1849="","",J1849*W1849/100)</f>
        <v/>
      </c>
      <c r="Q1849" s="7" t="n"/>
      <c r="R1849" s="7" t="n"/>
      <c r="U1849">
        <f>IF($C1849="","",IF($AJ1849=1,0,IF($AI1849=1,Settings!$C$6,Settings!$C$7))*100)</f>
        <v/>
      </c>
      <c r="V1849" s="7">
        <f>IF($C1849="","",R1849*U1849/100)</f>
        <v/>
      </c>
      <c r="W1849" s="7">
        <f>IF($C1849="","",R1849-V1849)</f>
        <v/>
      </c>
      <c r="X1849" s="7">
        <f>IF($C1849="","",W1849-K1849)</f>
        <v/>
      </c>
      <c r="AB1849" s="7" t="n"/>
      <c r="AE1849" s="11" t="n"/>
      <c r="AG1849">
        <f>IF($C1849="","",IF(COUNTIF($C$2:$C1849,$C1849)=1,1,0))</f>
        <v/>
      </c>
      <c r="AH1849">
        <f>IF($AG1849=1,SUMPRODUCT(--($AK$2:$AK$6001&lt;$AK1849))+1,"")</f>
        <v/>
      </c>
      <c r="AI1849">
        <f>IF($C1849="","",IF(OR($N1849=TRUE(),$N1849="TRUE"),1,0))</f>
        <v/>
      </c>
      <c r="AJ1849">
        <f>IF($C1849="","",IF($T1849="Yes",1,0))</f>
        <v/>
      </c>
      <c r="AK1849">
        <f>IF($AG1849=1,IFERROR(IF(VALUE($C1849)&lt;100000000,VALUE($C1849),1000000000),IFERROR(IF(VALUE(MID($C1849,2,20))&lt;100000000,VALUE(MID($C1849,2,20)),1000000000),1000000000))+ROW()/100000,"")</f>
        <v/>
      </c>
    </row>
    <row r="1850">
      <c r="D1850" s="11" t="n"/>
      <c r="K1850" s="7">
        <f>IF($C1850="","",J1850*W1850/100)</f>
        <v/>
      </c>
      <c r="Q1850" s="7" t="n"/>
      <c r="R1850" s="7" t="n"/>
      <c r="U1850">
        <f>IF($C1850="","",IF($AJ1850=1,0,IF($AI1850=1,Settings!$C$6,Settings!$C$7))*100)</f>
        <v/>
      </c>
      <c r="V1850" s="7">
        <f>IF($C1850="","",R1850*U1850/100)</f>
        <v/>
      </c>
      <c r="W1850" s="7">
        <f>IF($C1850="","",R1850-V1850)</f>
        <v/>
      </c>
      <c r="X1850" s="7">
        <f>IF($C1850="","",W1850-K1850)</f>
        <v/>
      </c>
      <c r="AB1850" s="7" t="n"/>
      <c r="AE1850" s="11" t="n"/>
      <c r="AG1850">
        <f>IF($C1850="","",IF(COUNTIF($C$2:$C1850,$C1850)=1,1,0))</f>
        <v/>
      </c>
      <c r="AH1850">
        <f>IF($AG1850=1,SUMPRODUCT(--($AK$2:$AK$6001&lt;$AK1850))+1,"")</f>
        <v/>
      </c>
      <c r="AI1850">
        <f>IF($C1850="","",IF(OR($N1850=TRUE(),$N1850="TRUE"),1,0))</f>
        <v/>
      </c>
      <c r="AJ1850">
        <f>IF($C1850="","",IF($T1850="Yes",1,0))</f>
        <v/>
      </c>
      <c r="AK1850">
        <f>IF($AG1850=1,IFERROR(IF(VALUE($C1850)&lt;100000000,VALUE($C1850),1000000000),IFERROR(IF(VALUE(MID($C1850,2,20))&lt;100000000,VALUE(MID($C1850,2,20)),1000000000),1000000000))+ROW()/100000,"")</f>
        <v/>
      </c>
    </row>
    <row r="1851">
      <c r="D1851" s="11" t="n"/>
      <c r="K1851" s="7">
        <f>IF($C1851="","",J1851*W1851/100)</f>
        <v/>
      </c>
      <c r="Q1851" s="7" t="n"/>
      <c r="R1851" s="7" t="n"/>
      <c r="U1851">
        <f>IF($C1851="","",IF($AJ1851=1,0,IF($AI1851=1,Settings!$C$6,Settings!$C$7))*100)</f>
        <v/>
      </c>
      <c r="V1851" s="7">
        <f>IF($C1851="","",R1851*U1851/100)</f>
        <v/>
      </c>
      <c r="W1851" s="7">
        <f>IF($C1851="","",R1851-V1851)</f>
        <v/>
      </c>
      <c r="X1851" s="7">
        <f>IF($C1851="","",W1851-K1851)</f>
        <v/>
      </c>
      <c r="AB1851" s="7" t="n"/>
      <c r="AE1851" s="11" t="n"/>
      <c r="AG1851">
        <f>IF($C1851="","",IF(COUNTIF($C$2:$C1851,$C1851)=1,1,0))</f>
        <v/>
      </c>
      <c r="AH1851">
        <f>IF($AG1851=1,SUMPRODUCT(--($AK$2:$AK$6001&lt;$AK1851))+1,"")</f>
        <v/>
      </c>
      <c r="AI1851">
        <f>IF($C1851="","",IF(OR($N1851=TRUE(),$N1851="TRUE"),1,0))</f>
        <v/>
      </c>
      <c r="AJ1851">
        <f>IF($C1851="","",IF($T1851="Yes",1,0))</f>
        <v/>
      </c>
      <c r="AK1851">
        <f>IF($AG1851=1,IFERROR(IF(VALUE($C1851)&lt;100000000,VALUE($C1851),1000000000),IFERROR(IF(VALUE(MID($C1851,2,20))&lt;100000000,VALUE(MID($C1851,2,20)),1000000000),1000000000))+ROW()/100000,"")</f>
        <v/>
      </c>
    </row>
    <row r="1852">
      <c r="D1852" s="11" t="n"/>
      <c r="K1852" s="7">
        <f>IF($C1852="","",J1852*W1852/100)</f>
        <v/>
      </c>
      <c r="Q1852" s="7" t="n"/>
      <c r="R1852" s="7" t="n"/>
      <c r="U1852">
        <f>IF($C1852="","",IF($AJ1852=1,0,IF($AI1852=1,Settings!$C$6,Settings!$C$7))*100)</f>
        <v/>
      </c>
      <c r="V1852" s="7">
        <f>IF($C1852="","",R1852*U1852/100)</f>
        <v/>
      </c>
      <c r="W1852" s="7">
        <f>IF($C1852="","",R1852-V1852)</f>
        <v/>
      </c>
      <c r="X1852" s="7">
        <f>IF($C1852="","",W1852-K1852)</f>
        <v/>
      </c>
      <c r="AB1852" s="7" t="n"/>
      <c r="AE1852" s="11" t="n"/>
      <c r="AG1852">
        <f>IF($C1852="","",IF(COUNTIF($C$2:$C1852,$C1852)=1,1,0))</f>
        <v/>
      </c>
      <c r="AH1852">
        <f>IF($AG1852=1,SUMPRODUCT(--($AK$2:$AK$6001&lt;$AK1852))+1,"")</f>
        <v/>
      </c>
      <c r="AI1852">
        <f>IF($C1852="","",IF(OR($N1852=TRUE(),$N1852="TRUE"),1,0))</f>
        <v/>
      </c>
      <c r="AJ1852">
        <f>IF($C1852="","",IF($T1852="Yes",1,0))</f>
        <v/>
      </c>
      <c r="AK1852">
        <f>IF($AG1852=1,IFERROR(IF(VALUE($C1852)&lt;100000000,VALUE($C1852),1000000000),IFERROR(IF(VALUE(MID($C1852,2,20))&lt;100000000,VALUE(MID($C1852,2,20)),1000000000),1000000000))+ROW()/100000,"")</f>
        <v/>
      </c>
    </row>
    <row r="1853">
      <c r="D1853" s="11" t="n"/>
      <c r="K1853" s="7">
        <f>IF($C1853="","",J1853*W1853/100)</f>
        <v/>
      </c>
      <c r="Q1853" s="7" t="n"/>
      <c r="R1853" s="7" t="n"/>
      <c r="U1853">
        <f>IF($C1853="","",IF($AJ1853=1,0,IF($AI1853=1,Settings!$C$6,Settings!$C$7))*100)</f>
        <v/>
      </c>
      <c r="V1853" s="7">
        <f>IF($C1853="","",R1853*U1853/100)</f>
        <v/>
      </c>
      <c r="W1853" s="7">
        <f>IF($C1853="","",R1853-V1853)</f>
        <v/>
      </c>
      <c r="X1853" s="7">
        <f>IF($C1853="","",W1853-K1853)</f>
        <v/>
      </c>
      <c r="AB1853" s="7" t="n"/>
      <c r="AE1853" s="11" t="n"/>
      <c r="AG1853">
        <f>IF($C1853="","",IF(COUNTIF($C$2:$C1853,$C1853)=1,1,0))</f>
        <v/>
      </c>
      <c r="AH1853">
        <f>IF($AG1853=1,SUMPRODUCT(--($AK$2:$AK$6001&lt;$AK1853))+1,"")</f>
        <v/>
      </c>
      <c r="AI1853">
        <f>IF($C1853="","",IF(OR($N1853=TRUE(),$N1853="TRUE"),1,0))</f>
        <v/>
      </c>
      <c r="AJ1853">
        <f>IF($C1853="","",IF($T1853="Yes",1,0))</f>
        <v/>
      </c>
      <c r="AK1853">
        <f>IF($AG1853=1,IFERROR(IF(VALUE($C1853)&lt;100000000,VALUE($C1853),1000000000),IFERROR(IF(VALUE(MID($C1853,2,20))&lt;100000000,VALUE(MID($C1853,2,20)),1000000000),1000000000))+ROW()/100000,"")</f>
        <v/>
      </c>
    </row>
    <row r="1854">
      <c r="D1854" s="11" t="n"/>
      <c r="K1854" s="7">
        <f>IF($C1854="","",J1854*W1854/100)</f>
        <v/>
      </c>
      <c r="Q1854" s="7" t="n"/>
      <c r="R1854" s="7" t="n"/>
      <c r="U1854">
        <f>IF($C1854="","",IF($AJ1854=1,0,IF($AI1854=1,Settings!$C$6,Settings!$C$7))*100)</f>
        <v/>
      </c>
      <c r="V1854" s="7">
        <f>IF($C1854="","",R1854*U1854/100)</f>
        <v/>
      </c>
      <c r="W1854" s="7">
        <f>IF($C1854="","",R1854-V1854)</f>
        <v/>
      </c>
      <c r="X1854" s="7">
        <f>IF($C1854="","",W1854-K1854)</f>
        <v/>
      </c>
      <c r="AB1854" s="7" t="n"/>
      <c r="AE1854" s="11" t="n"/>
      <c r="AG1854">
        <f>IF($C1854="","",IF(COUNTIF($C$2:$C1854,$C1854)=1,1,0))</f>
        <v/>
      </c>
      <c r="AH1854">
        <f>IF($AG1854=1,SUMPRODUCT(--($AK$2:$AK$6001&lt;$AK1854))+1,"")</f>
        <v/>
      </c>
      <c r="AI1854">
        <f>IF($C1854="","",IF(OR($N1854=TRUE(),$N1854="TRUE"),1,0))</f>
        <v/>
      </c>
      <c r="AJ1854">
        <f>IF($C1854="","",IF($T1854="Yes",1,0))</f>
        <v/>
      </c>
      <c r="AK1854">
        <f>IF($AG1854=1,IFERROR(IF(VALUE($C1854)&lt;100000000,VALUE($C1854),1000000000),IFERROR(IF(VALUE(MID($C1854,2,20))&lt;100000000,VALUE(MID($C1854,2,20)),1000000000),1000000000))+ROW()/100000,"")</f>
        <v/>
      </c>
    </row>
    <row r="1855">
      <c r="D1855" s="11" t="n"/>
      <c r="K1855" s="7">
        <f>IF($C1855="","",J1855*W1855/100)</f>
        <v/>
      </c>
      <c r="Q1855" s="7" t="n"/>
      <c r="R1855" s="7" t="n"/>
      <c r="U1855">
        <f>IF($C1855="","",IF($AJ1855=1,0,IF($AI1855=1,Settings!$C$6,Settings!$C$7))*100)</f>
        <v/>
      </c>
      <c r="V1855" s="7">
        <f>IF($C1855="","",R1855*U1855/100)</f>
        <v/>
      </c>
      <c r="W1855" s="7">
        <f>IF($C1855="","",R1855-V1855)</f>
        <v/>
      </c>
      <c r="X1855" s="7">
        <f>IF($C1855="","",W1855-K1855)</f>
        <v/>
      </c>
      <c r="AB1855" s="7" t="n"/>
      <c r="AE1855" s="11" t="n"/>
      <c r="AG1855">
        <f>IF($C1855="","",IF(COUNTIF($C$2:$C1855,$C1855)=1,1,0))</f>
        <v/>
      </c>
      <c r="AH1855">
        <f>IF($AG1855=1,SUMPRODUCT(--($AK$2:$AK$6001&lt;$AK1855))+1,"")</f>
        <v/>
      </c>
      <c r="AI1855">
        <f>IF($C1855="","",IF(OR($N1855=TRUE(),$N1855="TRUE"),1,0))</f>
        <v/>
      </c>
      <c r="AJ1855">
        <f>IF($C1855="","",IF($T1855="Yes",1,0))</f>
        <v/>
      </c>
      <c r="AK1855">
        <f>IF($AG1855=1,IFERROR(IF(VALUE($C1855)&lt;100000000,VALUE($C1855),1000000000),IFERROR(IF(VALUE(MID($C1855,2,20))&lt;100000000,VALUE(MID($C1855,2,20)),1000000000),1000000000))+ROW()/100000,"")</f>
        <v/>
      </c>
    </row>
    <row r="1856">
      <c r="D1856" s="11" t="n"/>
      <c r="K1856" s="7">
        <f>IF($C1856="","",J1856*W1856/100)</f>
        <v/>
      </c>
      <c r="Q1856" s="7" t="n"/>
      <c r="R1856" s="7" t="n"/>
      <c r="U1856">
        <f>IF($C1856="","",IF($AJ1856=1,0,IF($AI1856=1,Settings!$C$6,Settings!$C$7))*100)</f>
        <v/>
      </c>
      <c r="V1856" s="7">
        <f>IF($C1856="","",R1856*U1856/100)</f>
        <v/>
      </c>
      <c r="W1856" s="7">
        <f>IF($C1856="","",R1856-V1856)</f>
        <v/>
      </c>
      <c r="X1856" s="7">
        <f>IF($C1856="","",W1856-K1856)</f>
        <v/>
      </c>
      <c r="AB1856" s="7" t="n"/>
      <c r="AE1856" s="11" t="n"/>
      <c r="AG1856">
        <f>IF($C1856="","",IF(COUNTIF($C$2:$C1856,$C1856)=1,1,0))</f>
        <v/>
      </c>
      <c r="AH1856">
        <f>IF($AG1856=1,SUMPRODUCT(--($AK$2:$AK$6001&lt;$AK1856))+1,"")</f>
        <v/>
      </c>
      <c r="AI1856">
        <f>IF($C1856="","",IF(OR($N1856=TRUE(),$N1856="TRUE"),1,0))</f>
        <v/>
      </c>
      <c r="AJ1856">
        <f>IF($C1856="","",IF($T1856="Yes",1,0))</f>
        <v/>
      </c>
      <c r="AK1856">
        <f>IF($AG1856=1,IFERROR(IF(VALUE($C1856)&lt;100000000,VALUE($C1856),1000000000),IFERROR(IF(VALUE(MID($C1856,2,20))&lt;100000000,VALUE(MID($C1856,2,20)),1000000000),1000000000))+ROW()/100000,"")</f>
        <v/>
      </c>
    </row>
    <row r="1857">
      <c r="D1857" s="11" t="n"/>
      <c r="K1857" s="7">
        <f>IF($C1857="","",J1857*W1857/100)</f>
        <v/>
      </c>
      <c r="Q1857" s="7" t="n"/>
      <c r="R1857" s="7" t="n"/>
      <c r="U1857">
        <f>IF($C1857="","",IF($AJ1857=1,0,IF($AI1857=1,Settings!$C$6,Settings!$C$7))*100)</f>
        <v/>
      </c>
      <c r="V1857" s="7">
        <f>IF($C1857="","",R1857*U1857/100)</f>
        <v/>
      </c>
      <c r="W1857" s="7">
        <f>IF($C1857="","",R1857-V1857)</f>
        <v/>
      </c>
      <c r="X1857" s="7">
        <f>IF($C1857="","",W1857-K1857)</f>
        <v/>
      </c>
      <c r="AB1857" s="7" t="n"/>
      <c r="AE1857" s="11" t="n"/>
      <c r="AG1857">
        <f>IF($C1857="","",IF(COUNTIF($C$2:$C1857,$C1857)=1,1,0))</f>
        <v/>
      </c>
      <c r="AH1857">
        <f>IF($AG1857=1,SUMPRODUCT(--($AK$2:$AK$6001&lt;$AK1857))+1,"")</f>
        <v/>
      </c>
      <c r="AI1857">
        <f>IF($C1857="","",IF(OR($N1857=TRUE(),$N1857="TRUE"),1,0))</f>
        <v/>
      </c>
      <c r="AJ1857">
        <f>IF($C1857="","",IF($T1857="Yes",1,0))</f>
        <v/>
      </c>
      <c r="AK1857">
        <f>IF($AG1857=1,IFERROR(IF(VALUE($C1857)&lt;100000000,VALUE($C1857),1000000000),IFERROR(IF(VALUE(MID($C1857,2,20))&lt;100000000,VALUE(MID($C1857,2,20)),1000000000),1000000000))+ROW()/100000,"")</f>
        <v/>
      </c>
    </row>
    <row r="1858">
      <c r="D1858" s="11" t="n"/>
      <c r="K1858" s="7">
        <f>IF($C1858="","",J1858*W1858/100)</f>
        <v/>
      </c>
      <c r="Q1858" s="7" t="n"/>
      <c r="R1858" s="7" t="n"/>
      <c r="U1858">
        <f>IF($C1858="","",IF($AJ1858=1,0,IF($AI1858=1,Settings!$C$6,Settings!$C$7))*100)</f>
        <v/>
      </c>
      <c r="V1858" s="7">
        <f>IF($C1858="","",R1858*U1858/100)</f>
        <v/>
      </c>
      <c r="W1858" s="7">
        <f>IF($C1858="","",R1858-V1858)</f>
        <v/>
      </c>
      <c r="X1858" s="7">
        <f>IF($C1858="","",W1858-K1858)</f>
        <v/>
      </c>
      <c r="AB1858" s="7" t="n"/>
      <c r="AE1858" s="11" t="n"/>
      <c r="AG1858">
        <f>IF($C1858="","",IF(COUNTIF($C$2:$C1858,$C1858)=1,1,0))</f>
        <v/>
      </c>
      <c r="AH1858">
        <f>IF($AG1858=1,SUMPRODUCT(--($AK$2:$AK$6001&lt;$AK1858))+1,"")</f>
        <v/>
      </c>
      <c r="AI1858">
        <f>IF($C1858="","",IF(OR($N1858=TRUE(),$N1858="TRUE"),1,0))</f>
        <v/>
      </c>
      <c r="AJ1858">
        <f>IF($C1858="","",IF($T1858="Yes",1,0))</f>
        <v/>
      </c>
      <c r="AK1858">
        <f>IF($AG1858=1,IFERROR(IF(VALUE($C1858)&lt;100000000,VALUE($C1858),1000000000),IFERROR(IF(VALUE(MID($C1858,2,20))&lt;100000000,VALUE(MID($C1858,2,20)),1000000000),1000000000))+ROW()/100000,"")</f>
        <v/>
      </c>
    </row>
    <row r="1859">
      <c r="D1859" s="11" t="n"/>
      <c r="K1859" s="7">
        <f>IF($C1859="","",J1859*W1859/100)</f>
        <v/>
      </c>
      <c r="Q1859" s="7" t="n"/>
      <c r="R1859" s="7" t="n"/>
      <c r="U1859">
        <f>IF($C1859="","",IF($AJ1859=1,0,IF($AI1859=1,Settings!$C$6,Settings!$C$7))*100)</f>
        <v/>
      </c>
      <c r="V1859" s="7">
        <f>IF($C1859="","",R1859*U1859/100)</f>
        <v/>
      </c>
      <c r="W1859" s="7">
        <f>IF($C1859="","",R1859-V1859)</f>
        <v/>
      </c>
      <c r="X1859" s="7">
        <f>IF($C1859="","",W1859-K1859)</f>
        <v/>
      </c>
      <c r="AB1859" s="7" t="n"/>
      <c r="AE1859" s="11" t="n"/>
      <c r="AG1859">
        <f>IF($C1859="","",IF(COUNTIF($C$2:$C1859,$C1859)=1,1,0))</f>
        <v/>
      </c>
      <c r="AH1859">
        <f>IF($AG1859=1,SUMPRODUCT(--($AK$2:$AK$6001&lt;$AK1859))+1,"")</f>
        <v/>
      </c>
      <c r="AI1859">
        <f>IF($C1859="","",IF(OR($N1859=TRUE(),$N1859="TRUE"),1,0))</f>
        <v/>
      </c>
      <c r="AJ1859">
        <f>IF($C1859="","",IF($T1859="Yes",1,0))</f>
        <v/>
      </c>
      <c r="AK1859">
        <f>IF($AG1859=1,IFERROR(IF(VALUE($C1859)&lt;100000000,VALUE($C1859),1000000000),IFERROR(IF(VALUE(MID($C1859,2,20))&lt;100000000,VALUE(MID($C1859,2,20)),1000000000),1000000000))+ROW()/100000,"")</f>
        <v/>
      </c>
    </row>
    <row r="1860">
      <c r="D1860" s="11" t="n"/>
      <c r="K1860" s="7">
        <f>IF($C1860="","",J1860*W1860/100)</f>
        <v/>
      </c>
      <c r="Q1860" s="7" t="n"/>
      <c r="R1860" s="7" t="n"/>
      <c r="U1860">
        <f>IF($C1860="","",IF($AJ1860=1,0,IF($AI1860=1,Settings!$C$6,Settings!$C$7))*100)</f>
        <v/>
      </c>
      <c r="V1860" s="7">
        <f>IF($C1860="","",R1860*U1860/100)</f>
        <v/>
      </c>
      <c r="W1860" s="7">
        <f>IF($C1860="","",R1860-V1860)</f>
        <v/>
      </c>
      <c r="X1860" s="7">
        <f>IF($C1860="","",W1860-K1860)</f>
        <v/>
      </c>
      <c r="AB1860" s="7" t="n"/>
      <c r="AE1860" s="11" t="n"/>
      <c r="AG1860">
        <f>IF($C1860="","",IF(COUNTIF($C$2:$C1860,$C1860)=1,1,0))</f>
        <v/>
      </c>
      <c r="AH1860">
        <f>IF($AG1860=1,SUMPRODUCT(--($AK$2:$AK$6001&lt;$AK1860))+1,"")</f>
        <v/>
      </c>
      <c r="AI1860">
        <f>IF($C1860="","",IF(OR($N1860=TRUE(),$N1860="TRUE"),1,0))</f>
        <v/>
      </c>
      <c r="AJ1860">
        <f>IF($C1860="","",IF($T1860="Yes",1,0))</f>
        <v/>
      </c>
      <c r="AK1860">
        <f>IF($AG1860=1,IFERROR(IF(VALUE($C1860)&lt;100000000,VALUE($C1860),1000000000),IFERROR(IF(VALUE(MID($C1860,2,20))&lt;100000000,VALUE(MID($C1860,2,20)),1000000000),1000000000))+ROW()/100000,"")</f>
        <v/>
      </c>
    </row>
    <row r="1861">
      <c r="D1861" s="11" t="n"/>
      <c r="K1861" s="7">
        <f>IF($C1861="","",J1861*W1861/100)</f>
        <v/>
      </c>
      <c r="Q1861" s="7" t="n"/>
      <c r="R1861" s="7" t="n"/>
      <c r="U1861">
        <f>IF($C1861="","",IF($AJ1861=1,0,IF($AI1861=1,Settings!$C$6,Settings!$C$7))*100)</f>
        <v/>
      </c>
      <c r="V1861" s="7">
        <f>IF($C1861="","",R1861*U1861/100)</f>
        <v/>
      </c>
      <c r="W1861" s="7">
        <f>IF($C1861="","",R1861-V1861)</f>
        <v/>
      </c>
      <c r="X1861" s="7">
        <f>IF($C1861="","",W1861-K1861)</f>
        <v/>
      </c>
      <c r="AB1861" s="7" t="n"/>
      <c r="AE1861" s="11" t="n"/>
      <c r="AG1861">
        <f>IF($C1861="","",IF(COUNTIF($C$2:$C1861,$C1861)=1,1,0))</f>
        <v/>
      </c>
      <c r="AH1861">
        <f>IF($AG1861=1,SUMPRODUCT(--($AK$2:$AK$6001&lt;$AK1861))+1,"")</f>
        <v/>
      </c>
      <c r="AI1861">
        <f>IF($C1861="","",IF(OR($N1861=TRUE(),$N1861="TRUE"),1,0))</f>
        <v/>
      </c>
      <c r="AJ1861">
        <f>IF($C1861="","",IF($T1861="Yes",1,0))</f>
        <v/>
      </c>
      <c r="AK1861">
        <f>IF($AG1861=1,IFERROR(IF(VALUE($C1861)&lt;100000000,VALUE($C1861),1000000000),IFERROR(IF(VALUE(MID($C1861,2,20))&lt;100000000,VALUE(MID($C1861,2,20)),1000000000),1000000000))+ROW()/100000,"")</f>
        <v/>
      </c>
    </row>
    <row r="1862">
      <c r="D1862" s="11" t="n"/>
      <c r="K1862" s="7">
        <f>IF($C1862="","",J1862*W1862/100)</f>
        <v/>
      </c>
      <c r="Q1862" s="7" t="n"/>
      <c r="R1862" s="7" t="n"/>
      <c r="U1862">
        <f>IF($C1862="","",IF($AJ1862=1,0,IF($AI1862=1,Settings!$C$6,Settings!$C$7))*100)</f>
        <v/>
      </c>
      <c r="V1862" s="7">
        <f>IF($C1862="","",R1862*U1862/100)</f>
        <v/>
      </c>
      <c r="W1862" s="7">
        <f>IF($C1862="","",R1862-V1862)</f>
        <v/>
      </c>
      <c r="X1862" s="7">
        <f>IF($C1862="","",W1862-K1862)</f>
        <v/>
      </c>
      <c r="AB1862" s="7" t="n"/>
      <c r="AE1862" s="11" t="n"/>
      <c r="AG1862">
        <f>IF($C1862="","",IF(COUNTIF($C$2:$C1862,$C1862)=1,1,0))</f>
        <v/>
      </c>
      <c r="AH1862">
        <f>IF($AG1862=1,SUMPRODUCT(--($AK$2:$AK$6001&lt;$AK1862))+1,"")</f>
        <v/>
      </c>
      <c r="AI1862">
        <f>IF($C1862="","",IF(OR($N1862=TRUE(),$N1862="TRUE"),1,0))</f>
        <v/>
      </c>
      <c r="AJ1862">
        <f>IF($C1862="","",IF($T1862="Yes",1,0))</f>
        <v/>
      </c>
      <c r="AK1862">
        <f>IF($AG1862=1,IFERROR(IF(VALUE($C1862)&lt;100000000,VALUE($C1862),1000000000),IFERROR(IF(VALUE(MID($C1862,2,20))&lt;100000000,VALUE(MID($C1862,2,20)),1000000000),1000000000))+ROW()/100000,"")</f>
        <v/>
      </c>
    </row>
    <row r="1863">
      <c r="D1863" s="11" t="n"/>
      <c r="K1863" s="7">
        <f>IF($C1863="","",J1863*W1863/100)</f>
        <v/>
      </c>
      <c r="Q1863" s="7" t="n"/>
      <c r="R1863" s="7" t="n"/>
      <c r="U1863">
        <f>IF($C1863="","",IF($AJ1863=1,0,IF($AI1863=1,Settings!$C$6,Settings!$C$7))*100)</f>
        <v/>
      </c>
      <c r="V1863" s="7">
        <f>IF($C1863="","",R1863*U1863/100)</f>
        <v/>
      </c>
      <c r="W1863" s="7">
        <f>IF($C1863="","",R1863-V1863)</f>
        <v/>
      </c>
      <c r="X1863" s="7">
        <f>IF($C1863="","",W1863-K1863)</f>
        <v/>
      </c>
      <c r="AB1863" s="7" t="n"/>
      <c r="AE1863" s="11" t="n"/>
      <c r="AG1863">
        <f>IF($C1863="","",IF(COUNTIF($C$2:$C1863,$C1863)=1,1,0))</f>
        <v/>
      </c>
      <c r="AH1863">
        <f>IF($AG1863=1,SUMPRODUCT(--($AK$2:$AK$6001&lt;$AK1863))+1,"")</f>
        <v/>
      </c>
      <c r="AI1863">
        <f>IF($C1863="","",IF(OR($N1863=TRUE(),$N1863="TRUE"),1,0))</f>
        <v/>
      </c>
      <c r="AJ1863">
        <f>IF($C1863="","",IF($T1863="Yes",1,0))</f>
        <v/>
      </c>
      <c r="AK1863">
        <f>IF($AG1863=1,IFERROR(IF(VALUE($C1863)&lt;100000000,VALUE($C1863),1000000000),IFERROR(IF(VALUE(MID($C1863,2,20))&lt;100000000,VALUE(MID($C1863,2,20)),1000000000),1000000000))+ROW()/100000,"")</f>
        <v/>
      </c>
    </row>
    <row r="1864">
      <c r="D1864" s="11" t="n"/>
      <c r="K1864" s="7">
        <f>IF($C1864="","",J1864*W1864/100)</f>
        <v/>
      </c>
      <c r="Q1864" s="7" t="n"/>
      <c r="R1864" s="7" t="n"/>
      <c r="U1864">
        <f>IF($C1864="","",IF($AJ1864=1,0,IF($AI1864=1,Settings!$C$6,Settings!$C$7))*100)</f>
        <v/>
      </c>
      <c r="V1864" s="7">
        <f>IF($C1864="","",R1864*U1864/100)</f>
        <v/>
      </c>
      <c r="W1864" s="7">
        <f>IF($C1864="","",R1864-V1864)</f>
        <v/>
      </c>
      <c r="X1864" s="7">
        <f>IF($C1864="","",W1864-K1864)</f>
        <v/>
      </c>
      <c r="AB1864" s="7" t="n"/>
      <c r="AE1864" s="11" t="n"/>
      <c r="AG1864">
        <f>IF($C1864="","",IF(COUNTIF($C$2:$C1864,$C1864)=1,1,0))</f>
        <v/>
      </c>
      <c r="AH1864">
        <f>IF($AG1864=1,SUMPRODUCT(--($AK$2:$AK$6001&lt;$AK1864))+1,"")</f>
        <v/>
      </c>
      <c r="AI1864">
        <f>IF($C1864="","",IF(OR($N1864=TRUE(),$N1864="TRUE"),1,0))</f>
        <v/>
      </c>
      <c r="AJ1864">
        <f>IF($C1864="","",IF($T1864="Yes",1,0))</f>
        <v/>
      </c>
      <c r="AK1864">
        <f>IF($AG1864=1,IFERROR(IF(VALUE($C1864)&lt;100000000,VALUE($C1864),1000000000),IFERROR(IF(VALUE(MID($C1864,2,20))&lt;100000000,VALUE(MID($C1864,2,20)),1000000000),1000000000))+ROW()/100000,"")</f>
        <v/>
      </c>
    </row>
    <row r="1865">
      <c r="D1865" s="11" t="n"/>
      <c r="K1865" s="7">
        <f>IF($C1865="","",J1865*W1865/100)</f>
        <v/>
      </c>
      <c r="Q1865" s="7" t="n"/>
      <c r="R1865" s="7" t="n"/>
      <c r="U1865">
        <f>IF($C1865="","",IF($AJ1865=1,0,IF($AI1865=1,Settings!$C$6,Settings!$C$7))*100)</f>
        <v/>
      </c>
      <c r="V1865" s="7">
        <f>IF($C1865="","",R1865*U1865/100)</f>
        <v/>
      </c>
      <c r="W1865" s="7">
        <f>IF($C1865="","",R1865-V1865)</f>
        <v/>
      </c>
      <c r="X1865" s="7">
        <f>IF($C1865="","",W1865-K1865)</f>
        <v/>
      </c>
      <c r="AB1865" s="7" t="n"/>
      <c r="AE1865" s="11" t="n"/>
      <c r="AG1865">
        <f>IF($C1865="","",IF(COUNTIF($C$2:$C1865,$C1865)=1,1,0))</f>
        <v/>
      </c>
      <c r="AH1865">
        <f>IF($AG1865=1,SUMPRODUCT(--($AK$2:$AK$6001&lt;$AK1865))+1,"")</f>
        <v/>
      </c>
      <c r="AI1865">
        <f>IF($C1865="","",IF(OR($N1865=TRUE(),$N1865="TRUE"),1,0))</f>
        <v/>
      </c>
      <c r="AJ1865">
        <f>IF($C1865="","",IF($T1865="Yes",1,0))</f>
        <v/>
      </c>
      <c r="AK1865">
        <f>IF($AG1865=1,IFERROR(IF(VALUE($C1865)&lt;100000000,VALUE($C1865),1000000000),IFERROR(IF(VALUE(MID($C1865,2,20))&lt;100000000,VALUE(MID($C1865,2,20)),1000000000),1000000000))+ROW()/100000,"")</f>
        <v/>
      </c>
    </row>
    <row r="1866">
      <c r="D1866" s="11" t="n"/>
      <c r="K1866" s="7">
        <f>IF($C1866="","",J1866*W1866/100)</f>
        <v/>
      </c>
      <c r="Q1866" s="7" t="n"/>
      <c r="R1866" s="7" t="n"/>
      <c r="U1866">
        <f>IF($C1866="","",IF($AJ1866=1,0,IF($AI1866=1,Settings!$C$6,Settings!$C$7))*100)</f>
        <v/>
      </c>
      <c r="V1866" s="7">
        <f>IF($C1866="","",R1866*U1866/100)</f>
        <v/>
      </c>
      <c r="W1866" s="7">
        <f>IF($C1866="","",R1866-V1866)</f>
        <v/>
      </c>
      <c r="X1866" s="7">
        <f>IF($C1866="","",W1866-K1866)</f>
        <v/>
      </c>
      <c r="AB1866" s="7" t="n"/>
      <c r="AE1866" s="11" t="n"/>
      <c r="AG1866">
        <f>IF($C1866="","",IF(COUNTIF($C$2:$C1866,$C1866)=1,1,0))</f>
        <v/>
      </c>
      <c r="AH1866">
        <f>IF($AG1866=1,SUMPRODUCT(--($AK$2:$AK$6001&lt;$AK1866))+1,"")</f>
        <v/>
      </c>
      <c r="AI1866">
        <f>IF($C1866="","",IF(OR($N1866=TRUE(),$N1866="TRUE"),1,0))</f>
        <v/>
      </c>
      <c r="AJ1866">
        <f>IF($C1866="","",IF($T1866="Yes",1,0))</f>
        <v/>
      </c>
      <c r="AK1866">
        <f>IF($AG1866=1,IFERROR(IF(VALUE($C1866)&lt;100000000,VALUE($C1866),1000000000),IFERROR(IF(VALUE(MID($C1866,2,20))&lt;100000000,VALUE(MID($C1866,2,20)),1000000000),1000000000))+ROW()/100000,"")</f>
        <v/>
      </c>
    </row>
    <row r="1867">
      <c r="D1867" s="11" t="n"/>
      <c r="K1867" s="7">
        <f>IF($C1867="","",J1867*W1867/100)</f>
        <v/>
      </c>
      <c r="Q1867" s="7" t="n"/>
      <c r="R1867" s="7" t="n"/>
      <c r="U1867">
        <f>IF($C1867="","",IF($AJ1867=1,0,IF($AI1867=1,Settings!$C$6,Settings!$C$7))*100)</f>
        <v/>
      </c>
      <c r="V1867" s="7">
        <f>IF($C1867="","",R1867*U1867/100)</f>
        <v/>
      </c>
      <c r="W1867" s="7">
        <f>IF($C1867="","",R1867-V1867)</f>
        <v/>
      </c>
      <c r="X1867" s="7">
        <f>IF($C1867="","",W1867-K1867)</f>
        <v/>
      </c>
      <c r="AB1867" s="7" t="n"/>
      <c r="AE1867" s="11" t="n"/>
      <c r="AG1867">
        <f>IF($C1867="","",IF(COUNTIF($C$2:$C1867,$C1867)=1,1,0))</f>
        <v/>
      </c>
      <c r="AH1867">
        <f>IF($AG1867=1,SUMPRODUCT(--($AK$2:$AK$6001&lt;$AK1867))+1,"")</f>
        <v/>
      </c>
      <c r="AI1867">
        <f>IF($C1867="","",IF(OR($N1867=TRUE(),$N1867="TRUE"),1,0))</f>
        <v/>
      </c>
      <c r="AJ1867">
        <f>IF($C1867="","",IF($T1867="Yes",1,0))</f>
        <v/>
      </c>
      <c r="AK1867">
        <f>IF($AG1867=1,IFERROR(IF(VALUE($C1867)&lt;100000000,VALUE($C1867),1000000000),IFERROR(IF(VALUE(MID($C1867,2,20))&lt;100000000,VALUE(MID($C1867,2,20)),1000000000),1000000000))+ROW()/100000,"")</f>
        <v/>
      </c>
    </row>
    <row r="1868">
      <c r="D1868" s="11" t="n"/>
      <c r="K1868" s="7">
        <f>IF($C1868="","",J1868*W1868/100)</f>
        <v/>
      </c>
      <c r="Q1868" s="7" t="n"/>
      <c r="R1868" s="7" t="n"/>
      <c r="U1868">
        <f>IF($C1868="","",IF($AJ1868=1,0,IF($AI1868=1,Settings!$C$6,Settings!$C$7))*100)</f>
        <v/>
      </c>
      <c r="V1868" s="7">
        <f>IF($C1868="","",R1868*U1868/100)</f>
        <v/>
      </c>
      <c r="W1868" s="7">
        <f>IF($C1868="","",R1868-V1868)</f>
        <v/>
      </c>
      <c r="X1868" s="7">
        <f>IF($C1868="","",W1868-K1868)</f>
        <v/>
      </c>
      <c r="AB1868" s="7" t="n"/>
      <c r="AE1868" s="11" t="n"/>
      <c r="AG1868">
        <f>IF($C1868="","",IF(COUNTIF($C$2:$C1868,$C1868)=1,1,0))</f>
        <v/>
      </c>
      <c r="AH1868">
        <f>IF($AG1868=1,SUMPRODUCT(--($AK$2:$AK$6001&lt;$AK1868))+1,"")</f>
        <v/>
      </c>
      <c r="AI1868">
        <f>IF($C1868="","",IF(OR($N1868=TRUE(),$N1868="TRUE"),1,0))</f>
        <v/>
      </c>
      <c r="AJ1868">
        <f>IF($C1868="","",IF($T1868="Yes",1,0))</f>
        <v/>
      </c>
      <c r="AK1868">
        <f>IF($AG1868=1,IFERROR(IF(VALUE($C1868)&lt;100000000,VALUE($C1868),1000000000),IFERROR(IF(VALUE(MID($C1868,2,20))&lt;100000000,VALUE(MID($C1868,2,20)),1000000000),1000000000))+ROW()/100000,"")</f>
        <v/>
      </c>
    </row>
    <row r="1869">
      <c r="D1869" s="11" t="n"/>
      <c r="K1869" s="7">
        <f>IF($C1869="","",J1869*W1869/100)</f>
        <v/>
      </c>
      <c r="Q1869" s="7" t="n"/>
      <c r="R1869" s="7" t="n"/>
      <c r="U1869">
        <f>IF($C1869="","",IF($AJ1869=1,0,IF($AI1869=1,Settings!$C$6,Settings!$C$7))*100)</f>
        <v/>
      </c>
      <c r="V1869" s="7">
        <f>IF($C1869="","",R1869*U1869/100)</f>
        <v/>
      </c>
      <c r="W1869" s="7">
        <f>IF($C1869="","",R1869-V1869)</f>
        <v/>
      </c>
      <c r="X1869" s="7">
        <f>IF($C1869="","",W1869-K1869)</f>
        <v/>
      </c>
      <c r="AB1869" s="7" t="n"/>
      <c r="AE1869" s="11" t="n"/>
      <c r="AG1869">
        <f>IF($C1869="","",IF(COUNTIF($C$2:$C1869,$C1869)=1,1,0))</f>
        <v/>
      </c>
      <c r="AH1869">
        <f>IF($AG1869=1,SUMPRODUCT(--($AK$2:$AK$6001&lt;$AK1869))+1,"")</f>
        <v/>
      </c>
      <c r="AI1869">
        <f>IF($C1869="","",IF(OR($N1869=TRUE(),$N1869="TRUE"),1,0))</f>
        <v/>
      </c>
      <c r="AJ1869">
        <f>IF($C1869="","",IF($T1869="Yes",1,0))</f>
        <v/>
      </c>
      <c r="AK1869">
        <f>IF($AG1869=1,IFERROR(IF(VALUE($C1869)&lt;100000000,VALUE($C1869),1000000000),IFERROR(IF(VALUE(MID($C1869,2,20))&lt;100000000,VALUE(MID($C1869,2,20)),1000000000),1000000000))+ROW()/100000,"")</f>
        <v/>
      </c>
    </row>
    <row r="1870">
      <c r="D1870" s="11" t="n"/>
      <c r="K1870" s="7">
        <f>IF($C1870="","",J1870*W1870/100)</f>
        <v/>
      </c>
      <c r="Q1870" s="7" t="n"/>
      <c r="R1870" s="7" t="n"/>
      <c r="U1870">
        <f>IF($C1870="","",IF($AJ1870=1,0,IF($AI1870=1,Settings!$C$6,Settings!$C$7))*100)</f>
        <v/>
      </c>
      <c r="V1870" s="7">
        <f>IF($C1870="","",R1870*U1870/100)</f>
        <v/>
      </c>
      <c r="W1870" s="7">
        <f>IF($C1870="","",R1870-V1870)</f>
        <v/>
      </c>
      <c r="X1870" s="7">
        <f>IF($C1870="","",W1870-K1870)</f>
        <v/>
      </c>
      <c r="AB1870" s="7" t="n"/>
      <c r="AE1870" s="11" t="n"/>
      <c r="AG1870">
        <f>IF($C1870="","",IF(COUNTIF($C$2:$C1870,$C1870)=1,1,0))</f>
        <v/>
      </c>
      <c r="AH1870">
        <f>IF($AG1870=1,SUMPRODUCT(--($AK$2:$AK$6001&lt;$AK1870))+1,"")</f>
        <v/>
      </c>
      <c r="AI1870">
        <f>IF($C1870="","",IF(OR($N1870=TRUE(),$N1870="TRUE"),1,0))</f>
        <v/>
      </c>
      <c r="AJ1870">
        <f>IF($C1870="","",IF($T1870="Yes",1,0))</f>
        <v/>
      </c>
      <c r="AK1870">
        <f>IF($AG1870=1,IFERROR(IF(VALUE($C1870)&lt;100000000,VALUE($C1870),1000000000),IFERROR(IF(VALUE(MID($C1870,2,20))&lt;100000000,VALUE(MID($C1870,2,20)),1000000000),1000000000))+ROW()/100000,"")</f>
        <v/>
      </c>
    </row>
    <row r="1871">
      <c r="D1871" s="11" t="n"/>
      <c r="K1871" s="7">
        <f>IF($C1871="","",J1871*W1871/100)</f>
        <v/>
      </c>
      <c r="Q1871" s="7" t="n"/>
      <c r="R1871" s="7" t="n"/>
      <c r="U1871">
        <f>IF($C1871="","",IF($AJ1871=1,0,IF($AI1871=1,Settings!$C$6,Settings!$C$7))*100)</f>
        <v/>
      </c>
      <c r="V1871" s="7">
        <f>IF($C1871="","",R1871*U1871/100)</f>
        <v/>
      </c>
      <c r="W1871" s="7">
        <f>IF($C1871="","",R1871-V1871)</f>
        <v/>
      </c>
      <c r="X1871" s="7">
        <f>IF($C1871="","",W1871-K1871)</f>
        <v/>
      </c>
      <c r="AB1871" s="7" t="n"/>
      <c r="AE1871" s="11" t="n"/>
      <c r="AG1871">
        <f>IF($C1871="","",IF(COUNTIF($C$2:$C1871,$C1871)=1,1,0))</f>
        <v/>
      </c>
      <c r="AH1871">
        <f>IF($AG1871=1,SUMPRODUCT(--($AK$2:$AK$6001&lt;$AK1871))+1,"")</f>
        <v/>
      </c>
      <c r="AI1871">
        <f>IF($C1871="","",IF(OR($N1871=TRUE(),$N1871="TRUE"),1,0))</f>
        <v/>
      </c>
      <c r="AJ1871">
        <f>IF($C1871="","",IF($T1871="Yes",1,0))</f>
        <v/>
      </c>
      <c r="AK1871">
        <f>IF($AG1871=1,IFERROR(IF(VALUE($C1871)&lt;100000000,VALUE($C1871),1000000000),IFERROR(IF(VALUE(MID($C1871,2,20))&lt;100000000,VALUE(MID($C1871,2,20)),1000000000),1000000000))+ROW()/100000,"")</f>
        <v/>
      </c>
    </row>
    <row r="1872">
      <c r="D1872" s="11" t="n"/>
      <c r="K1872" s="7">
        <f>IF($C1872="","",J1872*W1872/100)</f>
        <v/>
      </c>
      <c r="Q1872" s="7" t="n"/>
      <c r="R1872" s="7" t="n"/>
      <c r="U1872">
        <f>IF($C1872="","",IF($AJ1872=1,0,IF($AI1872=1,Settings!$C$6,Settings!$C$7))*100)</f>
        <v/>
      </c>
      <c r="V1872" s="7">
        <f>IF($C1872="","",R1872*U1872/100)</f>
        <v/>
      </c>
      <c r="W1872" s="7">
        <f>IF($C1872="","",R1872-V1872)</f>
        <v/>
      </c>
      <c r="X1872" s="7">
        <f>IF($C1872="","",W1872-K1872)</f>
        <v/>
      </c>
      <c r="AB1872" s="7" t="n"/>
      <c r="AE1872" s="11" t="n"/>
      <c r="AG1872">
        <f>IF($C1872="","",IF(COUNTIF($C$2:$C1872,$C1872)=1,1,0))</f>
        <v/>
      </c>
      <c r="AH1872">
        <f>IF($AG1872=1,SUMPRODUCT(--($AK$2:$AK$6001&lt;$AK1872))+1,"")</f>
        <v/>
      </c>
      <c r="AI1872">
        <f>IF($C1872="","",IF(OR($N1872=TRUE(),$N1872="TRUE"),1,0))</f>
        <v/>
      </c>
      <c r="AJ1872">
        <f>IF($C1872="","",IF($T1872="Yes",1,0))</f>
        <v/>
      </c>
      <c r="AK1872">
        <f>IF($AG1872=1,IFERROR(IF(VALUE($C1872)&lt;100000000,VALUE($C1872),1000000000),IFERROR(IF(VALUE(MID($C1872,2,20))&lt;100000000,VALUE(MID($C1872,2,20)),1000000000),1000000000))+ROW()/100000,"")</f>
        <v/>
      </c>
    </row>
    <row r="1873">
      <c r="D1873" s="11" t="n"/>
      <c r="K1873" s="7">
        <f>IF($C1873="","",J1873*W1873/100)</f>
        <v/>
      </c>
      <c r="Q1873" s="7" t="n"/>
      <c r="R1873" s="7" t="n"/>
      <c r="U1873">
        <f>IF($C1873="","",IF($AJ1873=1,0,IF($AI1873=1,Settings!$C$6,Settings!$C$7))*100)</f>
        <v/>
      </c>
      <c r="V1873" s="7">
        <f>IF($C1873="","",R1873*U1873/100)</f>
        <v/>
      </c>
      <c r="W1873" s="7">
        <f>IF($C1873="","",R1873-V1873)</f>
        <v/>
      </c>
      <c r="X1873" s="7">
        <f>IF($C1873="","",W1873-K1873)</f>
        <v/>
      </c>
      <c r="AB1873" s="7" t="n"/>
      <c r="AE1873" s="11" t="n"/>
      <c r="AG1873">
        <f>IF($C1873="","",IF(COUNTIF($C$2:$C1873,$C1873)=1,1,0))</f>
        <v/>
      </c>
      <c r="AH1873">
        <f>IF($AG1873=1,SUMPRODUCT(--($AK$2:$AK$6001&lt;$AK1873))+1,"")</f>
        <v/>
      </c>
      <c r="AI1873">
        <f>IF($C1873="","",IF(OR($N1873=TRUE(),$N1873="TRUE"),1,0))</f>
        <v/>
      </c>
      <c r="AJ1873">
        <f>IF($C1873="","",IF($T1873="Yes",1,0))</f>
        <v/>
      </c>
      <c r="AK1873">
        <f>IF($AG1873=1,IFERROR(IF(VALUE($C1873)&lt;100000000,VALUE($C1873),1000000000),IFERROR(IF(VALUE(MID($C1873,2,20))&lt;100000000,VALUE(MID($C1873,2,20)),1000000000),1000000000))+ROW()/100000,"")</f>
        <v/>
      </c>
    </row>
    <row r="1874">
      <c r="D1874" s="11" t="n"/>
      <c r="K1874" s="7">
        <f>IF($C1874="","",J1874*W1874/100)</f>
        <v/>
      </c>
      <c r="Q1874" s="7" t="n"/>
      <c r="R1874" s="7" t="n"/>
      <c r="U1874">
        <f>IF($C1874="","",IF($AJ1874=1,0,IF($AI1874=1,Settings!$C$6,Settings!$C$7))*100)</f>
        <v/>
      </c>
      <c r="V1874" s="7">
        <f>IF($C1874="","",R1874*U1874/100)</f>
        <v/>
      </c>
      <c r="W1874" s="7">
        <f>IF($C1874="","",R1874-V1874)</f>
        <v/>
      </c>
      <c r="X1874" s="7">
        <f>IF($C1874="","",W1874-K1874)</f>
        <v/>
      </c>
      <c r="AB1874" s="7" t="n"/>
      <c r="AE1874" s="11" t="n"/>
      <c r="AG1874">
        <f>IF($C1874="","",IF(COUNTIF($C$2:$C1874,$C1874)=1,1,0))</f>
        <v/>
      </c>
      <c r="AH1874">
        <f>IF($AG1874=1,SUMPRODUCT(--($AK$2:$AK$6001&lt;$AK1874))+1,"")</f>
        <v/>
      </c>
      <c r="AI1874">
        <f>IF($C1874="","",IF(OR($N1874=TRUE(),$N1874="TRUE"),1,0))</f>
        <v/>
      </c>
      <c r="AJ1874">
        <f>IF($C1874="","",IF($T1874="Yes",1,0))</f>
        <v/>
      </c>
      <c r="AK1874">
        <f>IF($AG1874=1,IFERROR(IF(VALUE($C1874)&lt;100000000,VALUE($C1874),1000000000),IFERROR(IF(VALUE(MID($C1874,2,20))&lt;100000000,VALUE(MID($C1874,2,20)),1000000000),1000000000))+ROW()/100000,"")</f>
        <v/>
      </c>
    </row>
    <row r="1875">
      <c r="D1875" s="11" t="n"/>
      <c r="K1875" s="7">
        <f>IF($C1875="","",J1875*W1875/100)</f>
        <v/>
      </c>
      <c r="Q1875" s="7" t="n"/>
      <c r="R1875" s="7" t="n"/>
      <c r="U1875">
        <f>IF($C1875="","",IF($AJ1875=1,0,IF($AI1875=1,Settings!$C$6,Settings!$C$7))*100)</f>
        <v/>
      </c>
      <c r="V1875" s="7">
        <f>IF($C1875="","",R1875*U1875/100)</f>
        <v/>
      </c>
      <c r="W1875" s="7">
        <f>IF($C1875="","",R1875-V1875)</f>
        <v/>
      </c>
      <c r="X1875" s="7">
        <f>IF($C1875="","",W1875-K1875)</f>
        <v/>
      </c>
      <c r="AB1875" s="7" t="n"/>
      <c r="AE1875" s="11" t="n"/>
      <c r="AG1875">
        <f>IF($C1875="","",IF(COUNTIF($C$2:$C1875,$C1875)=1,1,0))</f>
        <v/>
      </c>
      <c r="AH1875">
        <f>IF($AG1875=1,SUMPRODUCT(--($AK$2:$AK$6001&lt;$AK1875))+1,"")</f>
        <v/>
      </c>
      <c r="AI1875">
        <f>IF($C1875="","",IF(OR($N1875=TRUE(),$N1875="TRUE"),1,0))</f>
        <v/>
      </c>
      <c r="AJ1875">
        <f>IF($C1875="","",IF($T1875="Yes",1,0))</f>
        <v/>
      </c>
      <c r="AK1875">
        <f>IF($AG1875=1,IFERROR(IF(VALUE($C1875)&lt;100000000,VALUE($C1875),1000000000),IFERROR(IF(VALUE(MID($C1875,2,20))&lt;100000000,VALUE(MID($C1875,2,20)),1000000000),1000000000))+ROW()/100000,"")</f>
        <v/>
      </c>
    </row>
    <row r="1876">
      <c r="D1876" s="11" t="n"/>
      <c r="K1876" s="7">
        <f>IF($C1876="","",J1876*W1876/100)</f>
        <v/>
      </c>
      <c r="Q1876" s="7" t="n"/>
      <c r="R1876" s="7" t="n"/>
      <c r="U1876">
        <f>IF($C1876="","",IF($AJ1876=1,0,IF($AI1876=1,Settings!$C$6,Settings!$C$7))*100)</f>
        <v/>
      </c>
      <c r="V1876" s="7">
        <f>IF($C1876="","",R1876*U1876/100)</f>
        <v/>
      </c>
      <c r="W1876" s="7">
        <f>IF($C1876="","",R1876-V1876)</f>
        <v/>
      </c>
      <c r="X1876" s="7">
        <f>IF($C1876="","",W1876-K1876)</f>
        <v/>
      </c>
      <c r="AB1876" s="7" t="n"/>
      <c r="AE1876" s="11" t="n"/>
      <c r="AG1876">
        <f>IF($C1876="","",IF(COUNTIF($C$2:$C1876,$C1876)=1,1,0))</f>
        <v/>
      </c>
      <c r="AH1876">
        <f>IF($AG1876=1,SUMPRODUCT(--($AK$2:$AK$6001&lt;$AK1876))+1,"")</f>
        <v/>
      </c>
      <c r="AI1876">
        <f>IF($C1876="","",IF(OR($N1876=TRUE(),$N1876="TRUE"),1,0))</f>
        <v/>
      </c>
      <c r="AJ1876">
        <f>IF($C1876="","",IF($T1876="Yes",1,0))</f>
        <v/>
      </c>
      <c r="AK1876">
        <f>IF($AG1876=1,IFERROR(IF(VALUE($C1876)&lt;100000000,VALUE($C1876),1000000000),IFERROR(IF(VALUE(MID($C1876,2,20))&lt;100000000,VALUE(MID($C1876,2,20)),1000000000),1000000000))+ROW()/100000,"")</f>
        <v/>
      </c>
    </row>
    <row r="1877">
      <c r="D1877" s="11" t="n"/>
      <c r="K1877" s="7">
        <f>IF($C1877="","",J1877*W1877/100)</f>
        <v/>
      </c>
      <c r="Q1877" s="7" t="n"/>
      <c r="R1877" s="7" t="n"/>
      <c r="U1877">
        <f>IF($C1877="","",IF($AJ1877=1,0,IF($AI1877=1,Settings!$C$6,Settings!$C$7))*100)</f>
        <v/>
      </c>
      <c r="V1877" s="7">
        <f>IF($C1877="","",R1877*U1877/100)</f>
        <v/>
      </c>
      <c r="W1877" s="7">
        <f>IF($C1877="","",R1877-V1877)</f>
        <v/>
      </c>
      <c r="X1877" s="7">
        <f>IF($C1877="","",W1877-K1877)</f>
        <v/>
      </c>
      <c r="AB1877" s="7" t="n"/>
      <c r="AE1877" s="11" t="n"/>
      <c r="AG1877">
        <f>IF($C1877="","",IF(COUNTIF($C$2:$C1877,$C1877)=1,1,0))</f>
        <v/>
      </c>
      <c r="AH1877">
        <f>IF($AG1877=1,SUMPRODUCT(--($AK$2:$AK$6001&lt;$AK1877))+1,"")</f>
        <v/>
      </c>
      <c r="AI1877">
        <f>IF($C1877="","",IF(OR($N1877=TRUE(),$N1877="TRUE"),1,0))</f>
        <v/>
      </c>
      <c r="AJ1877">
        <f>IF($C1877="","",IF($T1877="Yes",1,0))</f>
        <v/>
      </c>
      <c r="AK1877">
        <f>IF($AG1877=1,IFERROR(IF(VALUE($C1877)&lt;100000000,VALUE($C1877),1000000000),IFERROR(IF(VALUE(MID($C1877,2,20))&lt;100000000,VALUE(MID($C1877,2,20)),1000000000),1000000000))+ROW()/100000,"")</f>
        <v/>
      </c>
    </row>
    <row r="1878">
      <c r="D1878" s="11" t="n"/>
      <c r="K1878" s="7">
        <f>IF($C1878="","",J1878*W1878/100)</f>
        <v/>
      </c>
      <c r="Q1878" s="7" t="n"/>
      <c r="R1878" s="7" t="n"/>
      <c r="U1878">
        <f>IF($C1878="","",IF($AJ1878=1,0,IF($AI1878=1,Settings!$C$6,Settings!$C$7))*100)</f>
        <v/>
      </c>
      <c r="V1878" s="7">
        <f>IF($C1878="","",R1878*U1878/100)</f>
        <v/>
      </c>
      <c r="W1878" s="7">
        <f>IF($C1878="","",R1878-V1878)</f>
        <v/>
      </c>
      <c r="X1878" s="7">
        <f>IF($C1878="","",W1878-K1878)</f>
        <v/>
      </c>
      <c r="AB1878" s="7" t="n"/>
      <c r="AE1878" s="11" t="n"/>
      <c r="AG1878">
        <f>IF($C1878="","",IF(COUNTIF($C$2:$C1878,$C1878)=1,1,0))</f>
        <v/>
      </c>
      <c r="AH1878">
        <f>IF($AG1878=1,SUMPRODUCT(--($AK$2:$AK$6001&lt;$AK1878))+1,"")</f>
        <v/>
      </c>
      <c r="AI1878">
        <f>IF($C1878="","",IF(OR($N1878=TRUE(),$N1878="TRUE"),1,0))</f>
        <v/>
      </c>
      <c r="AJ1878">
        <f>IF($C1878="","",IF($T1878="Yes",1,0))</f>
        <v/>
      </c>
      <c r="AK1878">
        <f>IF($AG1878=1,IFERROR(IF(VALUE($C1878)&lt;100000000,VALUE($C1878),1000000000),IFERROR(IF(VALUE(MID($C1878,2,20))&lt;100000000,VALUE(MID($C1878,2,20)),1000000000),1000000000))+ROW()/100000,"")</f>
        <v/>
      </c>
    </row>
    <row r="1879">
      <c r="D1879" s="11" t="n"/>
      <c r="K1879" s="7">
        <f>IF($C1879="","",J1879*W1879/100)</f>
        <v/>
      </c>
      <c r="Q1879" s="7" t="n"/>
      <c r="R1879" s="7" t="n"/>
      <c r="U1879">
        <f>IF($C1879="","",IF($AJ1879=1,0,IF($AI1879=1,Settings!$C$6,Settings!$C$7))*100)</f>
        <v/>
      </c>
      <c r="V1879" s="7">
        <f>IF($C1879="","",R1879*U1879/100)</f>
        <v/>
      </c>
      <c r="W1879" s="7">
        <f>IF($C1879="","",R1879-V1879)</f>
        <v/>
      </c>
      <c r="X1879" s="7">
        <f>IF($C1879="","",W1879-K1879)</f>
        <v/>
      </c>
      <c r="AB1879" s="7" t="n"/>
      <c r="AE1879" s="11" t="n"/>
      <c r="AG1879">
        <f>IF($C1879="","",IF(COUNTIF($C$2:$C1879,$C1879)=1,1,0))</f>
        <v/>
      </c>
      <c r="AH1879">
        <f>IF($AG1879=1,SUMPRODUCT(--($AK$2:$AK$6001&lt;$AK1879))+1,"")</f>
        <v/>
      </c>
      <c r="AI1879">
        <f>IF($C1879="","",IF(OR($N1879=TRUE(),$N1879="TRUE"),1,0))</f>
        <v/>
      </c>
      <c r="AJ1879">
        <f>IF($C1879="","",IF($T1879="Yes",1,0))</f>
        <v/>
      </c>
      <c r="AK1879">
        <f>IF($AG1879=1,IFERROR(IF(VALUE($C1879)&lt;100000000,VALUE($C1879),1000000000),IFERROR(IF(VALUE(MID($C1879,2,20))&lt;100000000,VALUE(MID($C1879,2,20)),1000000000),1000000000))+ROW()/100000,"")</f>
        <v/>
      </c>
    </row>
    <row r="1880">
      <c r="D1880" s="11" t="n"/>
      <c r="K1880" s="7">
        <f>IF($C1880="","",J1880*W1880/100)</f>
        <v/>
      </c>
      <c r="Q1880" s="7" t="n"/>
      <c r="R1880" s="7" t="n"/>
      <c r="U1880">
        <f>IF($C1880="","",IF($AJ1880=1,0,IF($AI1880=1,Settings!$C$6,Settings!$C$7))*100)</f>
        <v/>
      </c>
      <c r="V1880" s="7">
        <f>IF($C1880="","",R1880*U1880/100)</f>
        <v/>
      </c>
      <c r="W1880" s="7">
        <f>IF($C1880="","",R1880-V1880)</f>
        <v/>
      </c>
      <c r="X1880" s="7">
        <f>IF($C1880="","",W1880-K1880)</f>
        <v/>
      </c>
      <c r="AB1880" s="7" t="n"/>
      <c r="AE1880" s="11" t="n"/>
      <c r="AG1880">
        <f>IF($C1880="","",IF(COUNTIF($C$2:$C1880,$C1880)=1,1,0))</f>
        <v/>
      </c>
      <c r="AH1880">
        <f>IF($AG1880=1,SUMPRODUCT(--($AK$2:$AK$6001&lt;$AK1880))+1,"")</f>
        <v/>
      </c>
      <c r="AI1880">
        <f>IF($C1880="","",IF(OR($N1880=TRUE(),$N1880="TRUE"),1,0))</f>
        <v/>
      </c>
      <c r="AJ1880">
        <f>IF($C1880="","",IF($T1880="Yes",1,0))</f>
        <v/>
      </c>
      <c r="AK1880">
        <f>IF($AG1880=1,IFERROR(IF(VALUE($C1880)&lt;100000000,VALUE($C1880),1000000000),IFERROR(IF(VALUE(MID($C1880,2,20))&lt;100000000,VALUE(MID($C1880,2,20)),1000000000),1000000000))+ROW()/100000,"")</f>
        <v/>
      </c>
    </row>
    <row r="1881">
      <c r="D1881" s="11" t="n"/>
      <c r="K1881" s="7">
        <f>IF($C1881="","",J1881*W1881/100)</f>
        <v/>
      </c>
      <c r="Q1881" s="7" t="n"/>
      <c r="R1881" s="7" t="n"/>
      <c r="U1881">
        <f>IF($C1881="","",IF($AJ1881=1,0,IF($AI1881=1,Settings!$C$6,Settings!$C$7))*100)</f>
        <v/>
      </c>
      <c r="V1881" s="7">
        <f>IF($C1881="","",R1881*U1881/100)</f>
        <v/>
      </c>
      <c r="W1881" s="7">
        <f>IF($C1881="","",R1881-V1881)</f>
        <v/>
      </c>
      <c r="X1881" s="7">
        <f>IF($C1881="","",W1881-K1881)</f>
        <v/>
      </c>
      <c r="AB1881" s="7" t="n"/>
      <c r="AE1881" s="11" t="n"/>
      <c r="AG1881">
        <f>IF($C1881="","",IF(COUNTIF($C$2:$C1881,$C1881)=1,1,0))</f>
        <v/>
      </c>
      <c r="AH1881">
        <f>IF($AG1881=1,SUMPRODUCT(--($AK$2:$AK$6001&lt;$AK1881))+1,"")</f>
        <v/>
      </c>
      <c r="AI1881">
        <f>IF($C1881="","",IF(OR($N1881=TRUE(),$N1881="TRUE"),1,0))</f>
        <v/>
      </c>
      <c r="AJ1881">
        <f>IF($C1881="","",IF($T1881="Yes",1,0))</f>
        <v/>
      </c>
      <c r="AK1881">
        <f>IF($AG1881=1,IFERROR(IF(VALUE($C1881)&lt;100000000,VALUE($C1881),1000000000),IFERROR(IF(VALUE(MID($C1881,2,20))&lt;100000000,VALUE(MID($C1881,2,20)),1000000000),1000000000))+ROW()/100000,"")</f>
        <v/>
      </c>
    </row>
    <row r="1882">
      <c r="D1882" s="11" t="n"/>
      <c r="K1882" s="7">
        <f>IF($C1882="","",J1882*W1882/100)</f>
        <v/>
      </c>
      <c r="Q1882" s="7" t="n"/>
      <c r="R1882" s="7" t="n"/>
      <c r="U1882">
        <f>IF($C1882="","",IF($AJ1882=1,0,IF($AI1882=1,Settings!$C$6,Settings!$C$7))*100)</f>
        <v/>
      </c>
      <c r="V1882" s="7">
        <f>IF($C1882="","",R1882*U1882/100)</f>
        <v/>
      </c>
      <c r="W1882" s="7">
        <f>IF($C1882="","",R1882-V1882)</f>
        <v/>
      </c>
      <c r="X1882" s="7">
        <f>IF($C1882="","",W1882-K1882)</f>
        <v/>
      </c>
      <c r="AB1882" s="7" t="n"/>
      <c r="AE1882" s="11" t="n"/>
      <c r="AG1882">
        <f>IF($C1882="","",IF(COUNTIF($C$2:$C1882,$C1882)=1,1,0))</f>
        <v/>
      </c>
      <c r="AH1882">
        <f>IF($AG1882=1,SUMPRODUCT(--($AK$2:$AK$6001&lt;$AK1882))+1,"")</f>
        <v/>
      </c>
      <c r="AI1882">
        <f>IF($C1882="","",IF(OR($N1882=TRUE(),$N1882="TRUE"),1,0))</f>
        <v/>
      </c>
      <c r="AJ1882">
        <f>IF($C1882="","",IF($T1882="Yes",1,0))</f>
        <v/>
      </c>
      <c r="AK1882">
        <f>IF($AG1882=1,IFERROR(IF(VALUE($C1882)&lt;100000000,VALUE($C1882),1000000000),IFERROR(IF(VALUE(MID($C1882,2,20))&lt;100000000,VALUE(MID($C1882,2,20)),1000000000),1000000000))+ROW()/100000,"")</f>
        <v/>
      </c>
    </row>
    <row r="1883">
      <c r="D1883" s="11" t="n"/>
      <c r="K1883" s="7">
        <f>IF($C1883="","",J1883*W1883/100)</f>
        <v/>
      </c>
      <c r="Q1883" s="7" t="n"/>
      <c r="R1883" s="7" t="n"/>
      <c r="U1883">
        <f>IF($C1883="","",IF($AJ1883=1,0,IF($AI1883=1,Settings!$C$6,Settings!$C$7))*100)</f>
        <v/>
      </c>
      <c r="V1883" s="7">
        <f>IF($C1883="","",R1883*U1883/100)</f>
        <v/>
      </c>
      <c r="W1883" s="7">
        <f>IF($C1883="","",R1883-V1883)</f>
        <v/>
      </c>
      <c r="X1883" s="7">
        <f>IF($C1883="","",W1883-K1883)</f>
        <v/>
      </c>
      <c r="AB1883" s="7" t="n"/>
      <c r="AE1883" s="11" t="n"/>
      <c r="AG1883">
        <f>IF($C1883="","",IF(COUNTIF($C$2:$C1883,$C1883)=1,1,0))</f>
        <v/>
      </c>
      <c r="AH1883">
        <f>IF($AG1883=1,SUMPRODUCT(--($AK$2:$AK$6001&lt;$AK1883))+1,"")</f>
        <v/>
      </c>
      <c r="AI1883">
        <f>IF($C1883="","",IF(OR($N1883=TRUE(),$N1883="TRUE"),1,0))</f>
        <v/>
      </c>
      <c r="AJ1883">
        <f>IF($C1883="","",IF($T1883="Yes",1,0))</f>
        <v/>
      </c>
      <c r="AK1883">
        <f>IF($AG1883=1,IFERROR(IF(VALUE($C1883)&lt;100000000,VALUE($C1883),1000000000),IFERROR(IF(VALUE(MID($C1883,2,20))&lt;100000000,VALUE(MID($C1883,2,20)),1000000000),1000000000))+ROW()/100000,"")</f>
        <v/>
      </c>
    </row>
    <row r="1884">
      <c r="D1884" s="11" t="n"/>
      <c r="K1884" s="7">
        <f>IF($C1884="","",J1884*W1884/100)</f>
        <v/>
      </c>
      <c r="Q1884" s="7" t="n"/>
      <c r="R1884" s="7" t="n"/>
      <c r="U1884">
        <f>IF($C1884="","",IF($AJ1884=1,0,IF($AI1884=1,Settings!$C$6,Settings!$C$7))*100)</f>
        <v/>
      </c>
      <c r="V1884" s="7">
        <f>IF($C1884="","",R1884*U1884/100)</f>
        <v/>
      </c>
      <c r="W1884" s="7">
        <f>IF($C1884="","",R1884-V1884)</f>
        <v/>
      </c>
      <c r="X1884" s="7">
        <f>IF($C1884="","",W1884-K1884)</f>
        <v/>
      </c>
      <c r="AB1884" s="7" t="n"/>
      <c r="AE1884" s="11" t="n"/>
      <c r="AG1884">
        <f>IF($C1884="","",IF(COUNTIF($C$2:$C1884,$C1884)=1,1,0))</f>
        <v/>
      </c>
      <c r="AH1884">
        <f>IF($AG1884=1,SUMPRODUCT(--($AK$2:$AK$6001&lt;$AK1884))+1,"")</f>
        <v/>
      </c>
      <c r="AI1884">
        <f>IF($C1884="","",IF(OR($N1884=TRUE(),$N1884="TRUE"),1,0))</f>
        <v/>
      </c>
      <c r="AJ1884">
        <f>IF($C1884="","",IF($T1884="Yes",1,0))</f>
        <v/>
      </c>
      <c r="AK1884">
        <f>IF($AG1884=1,IFERROR(IF(VALUE($C1884)&lt;100000000,VALUE($C1884),1000000000),IFERROR(IF(VALUE(MID($C1884,2,20))&lt;100000000,VALUE(MID($C1884,2,20)),1000000000),1000000000))+ROW()/100000,"")</f>
        <v/>
      </c>
    </row>
    <row r="1885">
      <c r="D1885" s="11" t="n"/>
      <c r="K1885" s="7">
        <f>IF($C1885="","",J1885*W1885/100)</f>
        <v/>
      </c>
      <c r="Q1885" s="7" t="n"/>
      <c r="R1885" s="7" t="n"/>
      <c r="U1885">
        <f>IF($C1885="","",IF($AJ1885=1,0,IF($AI1885=1,Settings!$C$6,Settings!$C$7))*100)</f>
        <v/>
      </c>
      <c r="V1885" s="7">
        <f>IF($C1885="","",R1885*U1885/100)</f>
        <v/>
      </c>
      <c r="W1885" s="7">
        <f>IF($C1885="","",R1885-V1885)</f>
        <v/>
      </c>
      <c r="X1885" s="7">
        <f>IF($C1885="","",W1885-K1885)</f>
        <v/>
      </c>
      <c r="AB1885" s="7" t="n"/>
      <c r="AE1885" s="11" t="n"/>
      <c r="AG1885">
        <f>IF($C1885="","",IF(COUNTIF($C$2:$C1885,$C1885)=1,1,0))</f>
        <v/>
      </c>
      <c r="AH1885">
        <f>IF($AG1885=1,SUMPRODUCT(--($AK$2:$AK$6001&lt;$AK1885))+1,"")</f>
        <v/>
      </c>
      <c r="AI1885">
        <f>IF($C1885="","",IF(OR($N1885=TRUE(),$N1885="TRUE"),1,0))</f>
        <v/>
      </c>
      <c r="AJ1885">
        <f>IF($C1885="","",IF($T1885="Yes",1,0))</f>
        <v/>
      </c>
      <c r="AK1885">
        <f>IF($AG1885=1,IFERROR(IF(VALUE($C1885)&lt;100000000,VALUE($C1885),1000000000),IFERROR(IF(VALUE(MID($C1885,2,20))&lt;100000000,VALUE(MID($C1885,2,20)),1000000000),1000000000))+ROW()/100000,"")</f>
        <v/>
      </c>
    </row>
    <row r="1886">
      <c r="D1886" s="11" t="n"/>
      <c r="K1886" s="7">
        <f>IF($C1886="","",J1886*W1886/100)</f>
        <v/>
      </c>
      <c r="Q1886" s="7" t="n"/>
      <c r="R1886" s="7" t="n"/>
      <c r="U1886">
        <f>IF($C1886="","",IF($AJ1886=1,0,IF($AI1886=1,Settings!$C$6,Settings!$C$7))*100)</f>
        <v/>
      </c>
      <c r="V1886" s="7">
        <f>IF($C1886="","",R1886*U1886/100)</f>
        <v/>
      </c>
      <c r="W1886" s="7">
        <f>IF($C1886="","",R1886-V1886)</f>
        <v/>
      </c>
      <c r="X1886" s="7">
        <f>IF($C1886="","",W1886-K1886)</f>
        <v/>
      </c>
      <c r="AB1886" s="7" t="n"/>
      <c r="AE1886" s="11" t="n"/>
      <c r="AG1886">
        <f>IF($C1886="","",IF(COUNTIF($C$2:$C1886,$C1886)=1,1,0))</f>
        <v/>
      </c>
      <c r="AH1886">
        <f>IF($AG1886=1,SUMPRODUCT(--($AK$2:$AK$6001&lt;$AK1886))+1,"")</f>
        <v/>
      </c>
      <c r="AI1886">
        <f>IF($C1886="","",IF(OR($N1886=TRUE(),$N1886="TRUE"),1,0))</f>
        <v/>
      </c>
      <c r="AJ1886">
        <f>IF($C1886="","",IF($T1886="Yes",1,0))</f>
        <v/>
      </c>
      <c r="AK1886">
        <f>IF($AG1886=1,IFERROR(IF(VALUE($C1886)&lt;100000000,VALUE($C1886),1000000000),IFERROR(IF(VALUE(MID($C1886,2,20))&lt;100000000,VALUE(MID($C1886,2,20)),1000000000),1000000000))+ROW()/100000,"")</f>
        <v/>
      </c>
    </row>
    <row r="1887">
      <c r="D1887" s="11" t="n"/>
      <c r="K1887" s="7">
        <f>IF($C1887="","",J1887*W1887/100)</f>
        <v/>
      </c>
      <c r="Q1887" s="7" t="n"/>
      <c r="R1887" s="7" t="n"/>
      <c r="U1887">
        <f>IF($C1887="","",IF($AJ1887=1,0,IF($AI1887=1,Settings!$C$6,Settings!$C$7))*100)</f>
        <v/>
      </c>
      <c r="V1887" s="7">
        <f>IF($C1887="","",R1887*U1887/100)</f>
        <v/>
      </c>
      <c r="W1887" s="7">
        <f>IF($C1887="","",R1887-V1887)</f>
        <v/>
      </c>
      <c r="X1887" s="7">
        <f>IF($C1887="","",W1887-K1887)</f>
        <v/>
      </c>
      <c r="AB1887" s="7" t="n"/>
      <c r="AE1887" s="11" t="n"/>
      <c r="AG1887">
        <f>IF($C1887="","",IF(COUNTIF($C$2:$C1887,$C1887)=1,1,0))</f>
        <v/>
      </c>
      <c r="AH1887">
        <f>IF($AG1887=1,SUMPRODUCT(--($AK$2:$AK$6001&lt;$AK1887))+1,"")</f>
        <v/>
      </c>
      <c r="AI1887">
        <f>IF($C1887="","",IF(OR($N1887=TRUE(),$N1887="TRUE"),1,0))</f>
        <v/>
      </c>
      <c r="AJ1887">
        <f>IF($C1887="","",IF($T1887="Yes",1,0))</f>
        <v/>
      </c>
      <c r="AK1887">
        <f>IF($AG1887=1,IFERROR(IF(VALUE($C1887)&lt;100000000,VALUE($C1887),1000000000),IFERROR(IF(VALUE(MID($C1887,2,20))&lt;100000000,VALUE(MID($C1887,2,20)),1000000000),1000000000))+ROW()/100000,"")</f>
        <v/>
      </c>
    </row>
    <row r="1888">
      <c r="D1888" s="11" t="n"/>
      <c r="K1888" s="7">
        <f>IF($C1888="","",J1888*W1888/100)</f>
        <v/>
      </c>
      <c r="Q1888" s="7" t="n"/>
      <c r="R1888" s="7" t="n"/>
      <c r="U1888">
        <f>IF($C1888="","",IF($AJ1888=1,0,IF($AI1888=1,Settings!$C$6,Settings!$C$7))*100)</f>
        <v/>
      </c>
      <c r="V1888" s="7">
        <f>IF($C1888="","",R1888*U1888/100)</f>
        <v/>
      </c>
      <c r="W1888" s="7">
        <f>IF($C1888="","",R1888-V1888)</f>
        <v/>
      </c>
      <c r="X1888" s="7">
        <f>IF($C1888="","",W1888-K1888)</f>
        <v/>
      </c>
      <c r="AB1888" s="7" t="n"/>
      <c r="AE1888" s="11" t="n"/>
      <c r="AG1888">
        <f>IF($C1888="","",IF(COUNTIF($C$2:$C1888,$C1888)=1,1,0))</f>
        <v/>
      </c>
      <c r="AH1888">
        <f>IF($AG1888=1,SUMPRODUCT(--($AK$2:$AK$6001&lt;$AK1888))+1,"")</f>
        <v/>
      </c>
      <c r="AI1888">
        <f>IF($C1888="","",IF(OR($N1888=TRUE(),$N1888="TRUE"),1,0))</f>
        <v/>
      </c>
      <c r="AJ1888">
        <f>IF($C1888="","",IF($T1888="Yes",1,0))</f>
        <v/>
      </c>
      <c r="AK1888">
        <f>IF($AG1888=1,IFERROR(IF(VALUE($C1888)&lt;100000000,VALUE($C1888),1000000000),IFERROR(IF(VALUE(MID($C1888,2,20))&lt;100000000,VALUE(MID($C1888,2,20)),1000000000),1000000000))+ROW()/100000,"")</f>
        <v/>
      </c>
    </row>
    <row r="1889">
      <c r="D1889" s="11" t="n"/>
      <c r="K1889" s="7">
        <f>IF($C1889="","",J1889*W1889/100)</f>
        <v/>
      </c>
      <c r="Q1889" s="7" t="n"/>
      <c r="R1889" s="7" t="n"/>
      <c r="U1889">
        <f>IF($C1889="","",IF($AJ1889=1,0,IF($AI1889=1,Settings!$C$6,Settings!$C$7))*100)</f>
        <v/>
      </c>
      <c r="V1889" s="7">
        <f>IF($C1889="","",R1889*U1889/100)</f>
        <v/>
      </c>
      <c r="W1889" s="7">
        <f>IF($C1889="","",R1889-V1889)</f>
        <v/>
      </c>
      <c r="X1889" s="7">
        <f>IF($C1889="","",W1889-K1889)</f>
        <v/>
      </c>
      <c r="AB1889" s="7" t="n"/>
      <c r="AE1889" s="11" t="n"/>
      <c r="AG1889">
        <f>IF($C1889="","",IF(COUNTIF($C$2:$C1889,$C1889)=1,1,0))</f>
        <v/>
      </c>
      <c r="AH1889">
        <f>IF($AG1889=1,SUMPRODUCT(--($AK$2:$AK$6001&lt;$AK1889))+1,"")</f>
        <v/>
      </c>
      <c r="AI1889">
        <f>IF($C1889="","",IF(OR($N1889=TRUE(),$N1889="TRUE"),1,0))</f>
        <v/>
      </c>
      <c r="AJ1889">
        <f>IF($C1889="","",IF($T1889="Yes",1,0))</f>
        <v/>
      </c>
      <c r="AK1889">
        <f>IF($AG1889=1,IFERROR(IF(VALUE($C1889)&lt;100000000,VALUE($C1889),1000000000),IFERROR(IF(VALUE(MID($C1889,2,20))&lt;100000000,VALUE(MID($C1889,2,20)),1000000000),1000000000))+ROW()/100000,"")</f>
        <v/>
      </c>
    </row>
    <row r="1890">
      <c r="D1890" s="11" t="n"/>
      <c r="K1890" s="7">
        <f>IF($C1890="","",J1890*W1890/100)</f>
        <v/>
      </c>
      <c r="Q1890" s="7" t="n"/>
      <c r="R1890" s="7" t="n"/>
      <c r="U1890">
        <f>IF($C1890="","",IF($AJ1890=1,0,IF($AI1890=1,Settings!$C$6,Settings!$C$7))*100)</f>
        <v/>
      </c>
      <c r="V1890" s="7">
        <f>IF($C1890="","",R1890*U1890/100)</f>
        <v/>
      </c>
      <c r="W1890" s="7">
        <f>IF($C1890="","",R1890-V1890)</f>
        <v/>
      </c>
      <c r="X1890" s="7">
        <f>IF($C1890="","",W1890-K1890)</f>
        <v/>
      </c>
      <c r="AB1890" s="7" t="n"/>
      <c r="AE1890" s="11" t="n"/>
      <c r="AG1890">
        <f>IF($C1890="","",IF(COUNTIF($C$2:$C1890,$C1890)=1,1,0))</f>
        <v/>
      </c>
      <c r="AH1890">
        <f>IF($AG1890=1,SUMPRODUCT(--($AK$2:$AK$6001&lt;$AK1890))+1,"")</f>
        <v/>
      </c>
      <c r="AI1890">
        <f>IF($C1890="","",IF(OR($N1890=TRUE(),$N1890="TRUE"),1,0))</f>
        <v/>
      </c>
      <c r="AJ1890">
        <f>IF($C1890="","",IF($T1890="Yes",1,0))</f>
        <v/>
      </c>
      <c r="AK1890">
        <f>IF($AG1890=1,IFERROR(IF(VALUE($C1890)&lt;100000000,VALUE($C1890),1000000000),IFERROR(IF(VALUE(MID($C1890,2,20))&lt;100000000,VALUE(MID($C1890,2,20)),1000000000),1000000000))+ROW()/100000,"")</f>
        <v/>
      </c>
    </row>
    <row r="1891">
      <c r="D1891" s="11" t="n"/>
      <c r="K1891" s="7">
        <f>IF($C1891="","",J1891*W1891/100)</f>
        <v/>
      </c>
      <c r="Q1891" s="7" t="n"/>
      <c r="R1891" s="7" t="n"/>
      <c r="U1891">
        <f>IF($C1891="","",IF($AJ1891=1,0,IF($AI1891=1,Settings!$C$6,Settings!$C$7))*100)</f>
        <v/>
      </c>
      <c r="V1891" s="7">
        <f>IF($C1891="","",R1891*U1891/100)</f>
        <v/>
      </c>
      <c r="W1891" s="7">
        <f>IF($C1891="","",R1891-V1891)</f>
        <v/>
      </c>
      <c r="X1891" s="7">
        <f>IF($C1891="","",W1891-K1891)</f>
        <v/>
      </c>
      <c r="AB1891" s="7" t="n"/>
      <c r="AE1891" s="11" t="n"/>
      <c r="AG1891">
        <f>IF($C1891="","",IF(COUNTIF($C$2:$C1891,$C1891)=1,1,0))</f>
        <v/>
      </c>
      <c r="AH1891">
        <f>IF($AG1891=1,SUMPRODUCT(--($AK$2:$AK$6001&lt;$AK1891))+1,"")</f>
        <v/>
      </c>
      <c r="AI1891">
        <f>IF($C1891="","",IF(OR($N1891=TRUE(),$N1891="TRUE"),1,0))</f>
        <v/>
      </c>
      <c r="AJ1891">
        <f>IF($C1891="","",IF($T1891="Yes",1,0))</f>
        <v/>
      </c>
      <c r="AK1891">
        <f>IF($AG1891=1,IFERROR(IF(VALUE($C1891)&lt;100000000,VALUE($C1891),1000000000),IFERROR(IF(VALUE(MID($C1891,2,20))&lt;100000000,VALUE(MID($C1891,2,20)),1000000000),1000000000))+ROW()/100000,"")</f>
        <v/>
      </c>
    </row>
    <row r="1892">
      <c r="D1892" s="11" t="n"/>
      <c r="K1892" s="7">
        <f>IF($C1892="","",J1892*W1892/100)</f>
        <v/>
      </c>
      <c r="Q1892" s="7" t="n"/>
      <c r="R1892" s="7" t="n"/>
      <c r="U1892">
        <f>IF($C1892="","",IF($AJ1892=1,0,IF($AI1892=1,Settings!$C$6,Settings!$C$7))*100)</f>
        <v/>
      </c>
      <c r="V1892" s="7">
        <f>IF($C1892="","",R1892*U1892/100)</f>
        <v/>
      </c>
      <c r="W1892" s="7">
        <f>IF($C1892="","",R1892-V1892)</f>
        <v/>
      </c>
      <c r="X1892" s="7">
        <f>IF($C1892="","",W1892-K1892)</f>
        <v/>
      </c>
      <c r="AB1892" s="7" t="n"/>
      <c r="AE1892" s="11" t="n"/>
      <c r="AG1892">
        <f>IF($C1892="","",IF(COUNTIF($C$2:$C1892,$C1892)=1,1,0))</f>
        <v/>
      </c>
      <c r="AH1892">
        <f>IF($AG1892=1,SUMPRODUCT(--($AK$2:$AK$6001&lt;$AK1892))+1,"")</f>
        <v/>
      </c>
      <c r="AI1892">
        <f>IF($C1892="","",IF(OR($N1892=TRUE(),$N1892="TRUE"),1,0))</f>
        <v/>
      </c>
      <c r="AJ1892">
        <f>IF($C1892="","",IF($T1892="Yes",1,0))</f>
        <v/>
      </c>
      <c r="AK1892">
        <f>IF($AG1892=1,IFERROR(IF(VALUE($C1892)&lt;100000000,VALUE($C1892),1000000000),IFERROR(IF(VALUE(MID($C1892,2,20))&lt;100000000,VALUE(MID($C1892,2,20)),1000000000),1000000000))+ROW()/100000,"")</f>
        <v/>
      </c>
    </row>
    <row r="1893">
      <c r="D1893" s="11" t="n"/>
      <c r="K1893" s="7">
        <f>IF($C1893="","",J1893*W1893/100)</f>
        <v/>
      </c>
      <c r="Q1893" s="7" t="n"/>
      <c r="R1893" s="7" t="n"/>
      <c r="U1893">
        <f>IF($C1893="","",IF($AJ1893=1,0,IF($AI1893=1,Settings!$C$6,Settings!$C$7))*100)</f>
        <v/>
      </c>
      <c r="V1893" s="7">
        <f>IF($C1893="","",R1893*U1893/100)</f>
        <v/>
      </c>
      <c r="W1893" s="7">
        <f>IF($C1893="","",R1893-V1893)</f>
        <v/>
      </c>
      <c r="X1893" s="7">
        <f>IF($C1893="","",W1893-K1893)</f>
        <v/>
      </c>
      <c r="AB1893" s="7" t="n"/>
      <c r="AE1893" s="11" t="n"/>
      <c r="AG1893">
        <f>IF($C1893="","",IF(COUNTIF($C$2:$C1893,$C1893)=1,1,0))</f>
        <v/>
      </c>
      <c r="AH1893">
        <f>IF($AG1893=1,SUMPRODUCT(--($AK$2:$AK$6001&lt;$AK1893))+1,"")</f>
        <v/>
      </c>
      <c r="AI1893">
        <f>IF($C1893="","",IF(OR($N1893=TRUE(),$N1893="TRUE"),1,0))</f>
        <v/>
      </c>
      <c r="AJ1893">
        <f>IF($C1893="","",IF($T1893="Yes",1,0))</f>
        <v/>
      </c>
      <c r="AK1893">
        <f>IF($AG1893=1,IFERROR(IF(VALUE($C1893)&lt;100000000,VALUE($C1893),1000000000),IFERROR(IF(VALUE(MID($C1893,2,20))&lt;100000000,VALUE(MID($C1893,2,20)),1000000000),1000000000))+ROW()/100000,"")</f>
        <v/>
      </c>
    </row>
    <row r="1894">
      <c r="D1894" s="11" t="n"/>
      <c r="K1894" s="7">
        <f>IF($C1894="","",J1894*W1894/100)</f>
        <v/>
      </c>
      <c r="Q1894" s="7" t="n"/>
      <c r="R1894" s="7" t="n"/>
      <c r="U1894">
        <f>IF($C1894="","",IF($AJ1894=1,0,IF($AI1894=1,Settings!$C$6,Settings!$C$7))*100)</f>
        <v/>
      </c>
      <c r="V1894" s="7">
        <f>IF($C1894="","",R1894*U1894/100)</f>
        <v/>
      </c>
      <c r="W1894" s="7">
        <f>IF($C1894="","",R1894-V1894)</f>
        <v/>
      </c>
      <c r="X1894" s="7">
        <f>IF($C1894="","",W1894-K1894)</f>
        <v/>
      </c>
      <c r="AB1894" s="7" t="n"/>
      <c r="AE1894" s="11" t="n"/>
      <c r="AG1894">
        <f>IF($C1894="","",IF(COUNTIF($C$2:$C1894,$C1894)=1,1,0))</f>
        <v/>
      </c>
      <c r="AH1894">
        <f>IF($AG1894=1,SUMPRODUCT(--($AK$2:$AK$6001&lt;$AK1894))+1,"")</f>
        <v/>
      </c>
      <c r="AI1894">
        <f>IF($C1894="","",IF(OR($N1894=TRUE(),$N1894="TRUE"),1,0))</f>
        <v/>
      </c>
      <c r="AJ1894">
        <f>IF($C1894="","",IF($T1894="Yes",1,0))</f>
        <v/>
      </c>
      <c r="AK1894">
        <f>IF($AG1894=1,IFERROR(IF(VALUE($C1894)&lt;100000000,VALUE($C1894),1000000000),IFERROR(IF(VALUE(MID($C1894,2,20))&lt;100000000,VALUE(MID($C1894,2,20)),1000000000),1000000000))+ROW()/100000,"")</f>
        <v/>
      </c>
    </row>
    <row r="1895">
      <c r="D1895" s="11" t="n"/>
      <c r="K1895" s="7">
        <f>IF($C1895="","",J1895*W1895/100)</f>
        <v/>
      </c>
      <c r="Q1895" s="7" t="n"/>
      <c r="R1895" s="7" t="n"/>
      <c r="U1895">
        <f>IF($C1895="","",IF($AJ1895=1,0,IF($AI1895=1,Settings!$C$6,Settings!$C$7))*100)</f>
        <v/>
      </c>
      <c r="V1895" s="7">
        <f>IF($C1895="","",R1895*U1895/100)</f>
        <v/>
      </c>
      <c r="W1895" s="7">
        <f>IF($C1895="","",R1895-V1895)</f>
        <v/>
      </c>
      <c r="X1895" s="7">
        <f>IF($C1895="","",W1895-K1895)</f>
        <v/>
      </c>
      <c r="AB1895" s="7" t="n"/>
      <c r="AE1895" s="11" t="n"/>
      <c r="AG1895">
        <f>IF($C1895="","",IF(COUNTIF($C$2:$C1895,$C1895)=1,1,0))</f>
        <v/>
      </c>
      <c r="AH1895">
        <f>IF($AG1895=1,SUMPRODUCT(--($AK$2:$AK$6001&lt;$AK1895))+1,"")</f>
        <v/>
      </c>
      <c r="AI1895">
        <f>IF($C1895="","",IF(OR($N1895=TRUE(),$N1895="TRUE"),1,0))</f>
        <v/>
      </c>
      <c r="AJ1895">
        <f>IF($C1895="","",IF($T1895="Yes",1,0))</f>
        <v/>
      </c>
      <c r="AK1895">
        <f>IF($AG1895=1,IFERROR(IF(VALUE($C1895)&lt;100000000,VALUE($C1895),1000000000),IFERROR(IF(VALUE(MID($C1895,2,20))&lt;100000000,VALUE(MID($C1895,2,20)),1000000000),1000000000))+ROW()/100000,"")</f>
        <v/>
      </c>
    </row>
    <row r="1896">
      <c r="D1896" s="11" t="n"/>
      <c r="K1896" s="7">
        <f>IF($C1896="","",J1896*W1896/100)</f>
        <v/>
      </c>
      <c r="Q1896" s="7" t="n"/>
      <c r="R1896" s="7" t="n"/>
      <c r="U1896">
        <f>IF($C1896="","",IF($AJ1896=1,0,IF($AI1896=1,Settings!$C$6,Settings!$C$7))*100)</f>
        <v/>
      </c>
      <c r="V1896" s="7">
        <f>IF($C1896="","",R1896*U1896/100)</f>
        <v/>
      </c>
      <c r="W1896" s="7">
        <f>IF($C1896="","",R1896-V1896)</f>
        <v/>
      </c>
      <c r="X1896" s="7">
        <f>IF($C1896="","",W1896-K1896)</f>
        <v/>
      </c>
      <c r="AB1896" s="7" t="n"/>
      <c r="AE1896" s="11" t="n"/>
      <c r="AG1896">
        <f>IF($C1896="","",IF(COUNTIF($C$2:$C1896,$C1896)=1,1,0))</f>
        <v/>
      </c>
      <c r="AH1896">
        <f>IF($AG1896=1,SUMPRODUCT(--($AK$2:$AK$6001&lt;$AK1896))+1,"")</f>
        <v/>
      </c>
      <c r="AI1896">
        <f>IF($C1896="","",IF(OR($N1896=TRUE(),$N1896="TRUE"),1,0))</f>
        <v/>
      </c>
      <c r="AJ1896">
        <f>IF($C1896="","",IF($T1896="Yes",1,0))</f>
        <v/>
      </c>
      <c r="AK1896">
        <f>IF($AG1896=1,IFERROR(IF(VALUE($C1896)&lt;100000000,VALUE($C1896),1000000000),IFERROR(IF(VALUE(MID($C1896,2,20))&lt;100000000,VALUE(MID($C1896,2,20)),1000000000),1000000000))+ROW()/100000,"")</f>
        <v/>
      </c>
    </row>
    <row r="1897">
      <c r="D1897" s="11" t="n"/>
      <c r="K1897" s="7">
        <f>IF($C1897="","",J1897*W1897/100)</f>
        <v/>
      </c>
      <c r="Q1897" s="7" t="n"/>
      <c r="R1897" s="7" t="n"/>
      <c r="U1897">
        <f>IF($C1897="","",IF($AJ1897=1,0,IF($AI1897=1,Settings!$C$6,Settings!$C$7))*100)</f>
        <v/>
      </c>
      <c r="V1897" s="7">
        <f>IF($C1897="","",R1897*U1897/100)</f>
        <v/>
      </c>
      <c r="W1897" s="7">
        <f>IF($C1897="","",R1897-V1897)</f>
        <v/>
      </c>
      <c r="X1897" s="7">
        <f>IF($C1897="","",W1897-K1897)</f>
        <v/>
      </c>
      <c r="AB1897" s="7" t="n"/>
      <c r="AE1897" s="11" t="n"/>
      <c r="AG1897">
        <f>IF($C1897="","",IF(COUNTIF($C$2:$C1897,$C1897)=1,1,0))</f>
        <v/>
      </c>
      <c r="AH1897">
        <f>IF($AG1897=1,SUMPRODUCT(--($AK$2:$AK$6001&lt;$AK1897))+1,"")</f>
        <v/>
      </c>
      <c r="AI1897">
        <f>IF($C1897="","",IF(OR($N1897=TRUE(),$N1897="TRUE"),1,0))</f>
        <v/>
      </c>
      <c r="AJ1897">
        <f>IF($C1897="","",IF($T1897="Yes",1,0))</f>
        <v/>
      </c>
      <c r="AK1897">
        <f>IF($AG1897=1,IFERROR(IF(VALUE($C1897)&lt;100000000,VALUE($C1897),1000000000),IFERROR(IF(VALUE(MID($C1897,2,20))&lt;100000000,VALUE(MID($C1897,2,20)),1000000000),1000000000))+ROW()/100000,"")</f>
        <v/>
      </c>
    </row>
    <row r="1898">
      <c r="D1898" s="11" t="n"/>
      <c r="K1898" s="7">
        <f>IF($C1898="","",J1898*W1898/100)</f>
        <v/>
      </c>
      <c r="Q1898" s="7" t="n"/>
      <c r="R1898" s="7" t="n"/>
      <c r="U1898">
        <f>IF($C1898="","",IF($AJ1898=1,0,IF($AI1898=1,Settings!$C$6,Settings!$C$7))*100)</f>
        <v/>
      </c>
      <c r="V1898" s="7">
        <f>IF($C1898="","",R1898*U1898/100)</f>
        <v/>
      </c>
      <c r="W1898" s="7">
        <f>IF($C1898="","",R1898-V1898)</f>
        <v/>
      </c>
      <c r="X1898" s="7">
        <f>IF($C1898="","",W1898-K1898)</f>
        <v/>
      </c>
      <c r="AB1898" s="7" t="n"/>
      <c r="AE1898" s="11" t="n"/>
      <c r="AG1898">
        <f>IF($C1898="","",IF(COUNTIF($C$2:$C1898,$C1898)=1,1,0))</f>
        <v/>
      </c>
      <c r="AH1898">
        <f>IF($AG1898=1,SUMPRODUCT(--($AK$2:$AK$6001&lt;$AK1898))+1,"")</f>
        <v/>
      </c>
      <c r="AI1898">
        <f>IF($C1898="","",IF(OR($N1898=TRUE(),$N1898="TRUE"),1,0))</f>
        <v/>
      </c>
      <c r="AJ1898">
        <f>IF($C1898="","",IF($T1898="Yes",1,0))</f>
        <v/>
      </c>
      <c r="AK1898">
        <f>IF($AG1898=1,IFERROR(IF(VALUE($C1898)&lt;100000000,VALUE($C1898),1000000000),IFERROR(IF(VALUE(MID($C1898,2,20))&lt;100000000,VALUE(MID($C1898,2,20)),1000000000),1000000000))+ROW()/100000,"")</f>
        <v/>
      </c>
    </row>
    <row r="1899">
      <c r="D1899" s="11" t="n"/>
      <c r="K1899" s="7">
        <f>IF($C1899="","",J1899*W1899/100)</f>
        <v/>
      </c>
      <c r="Q1899" s="7" t="n"/>
      <c r="R1899" s="7" t="n"/>
      <c r="U1899">
        <f>IF($C1899="","",IF($AJ1899=1,0,IF($AI1899=1,Settings!$C$6,Settings!$C$7))*100)</f>
        <v/>
      </c>
      <c r="V1899" s="7">
        <f>IF($C1899="","",R1899*U1899/100)</f>
        <v/>
      </c>
      <c r="W1899" s="7">
        <f>IF($C1899="","",R1899-V1899)</f>
        <v/>
      </c>
      <c r="X1899" s="7">
        <f>IF($C1899="","",W1899-K1899)</f>
        <v/>
      </c>
      <c r="AB1899" s="7" t="n"/>
      <c r="AE1899" s="11" t="n"/>
      <c r="AG1899">
        <f>IF($C1899="","",IF(COUNTIF($C$2:$C1899,$C1899)=1,1,0))</f>
        <v/>
      </c>
      <c r="AH1899">
        <f>IF($AG1899=1,SUMPRODUCT(--($AK$2:$AK$6001&lt;$AK1899))+1,"")</f>
        <v/>
      </c>
      <c r="AI1899">
        <f>IF($C1899="","",IF(OR($N1899=TRUE(),$N1899="TRUE"),1,0))</f>
        <v/>
      </c>
      <c r="AJ1899">
        <f>IF($C1899="","",IF($T1899="Yes",1,0))</f>
        <v/>
      </c>
      <c r="AK1899">
        <f>IF($AG1899=1,IFERROR(IF(VALUE($C1899)&lt;100000000,VALUE($C1899),1000000000),IFERROR(IF(VALUE(MID($C1899,2,20))&lt;100000000,VALUE(MID($C1899,2,20)),1000000000),1000000000))+ROW()/100000,"")</f>
        <v/>
      </c>
    </row>
    <row r="1900">
      <c r="D1900" s="11" t="n"/>
      <c r="K1900" s="7">
        <f>IF($C1900="","",J1900*W1900/100)</f>
        <v/>
      </c>
      <c r="Q1900" s="7" t="n"/>
      <c r="R1900" s="7" t="n"/>
      <c r="U1900">
        <f>IF($C1900="","",IF($AJ1900=1,0,IF($AI1900=1,Settings!$C$6,Settings!$C$7))*100)</f>
        <v/>
      </c>
      <c r="V1900" s="7">
        <f>IF($C1900="","",R1900*U1900/100)</f>
        <v/>
      </c>
      <c r="W1900" s="7">
        <f>IF($C1900="","",R1900-V1900)</f>
        <v/>
      </c>
      <c r="X1900" s="7">
        <f>IF($C1900="","",W1900-K1900)</f>
        <v/>
      </c>
      <c r="AB1900" s="7" t="n"/>
      <c r="AE1900" s="11" t="n"/>
      <c r="AG1900">
        <f>IF($C1900="","",IF(COUNTIF($C$2:$C1900,$C1900)=1,1,0))</f>
        <v/>
      </c>
      <c r="AH1900">
        <f>IF($AG1900=1,SUMPRODUCT(--($AK$2:$AK$6001&lt;$AK1900))+1,"")</f>
        <v/>
      </c>
      <c r="AI1900">
        <f>IF($C1900="","",IF(OR($N1900=TRUE(),$N1900="TRUE"),1,0))</f>
        <v/>
      </c>
      <c r="AJ1900">
        <f>IF($C1900="","",IF($T1900="Yes",1,0))</f>
        <v/>
      </c>
      <c r="AK1900">
        <f>IF($AG1900=1,IFERROR(IF(VALUE($C1900)&lt;100000000,VALUE($C1900),1000000000),IFERROR(IF(VALUE(MID($C1900,2,20))&lt;100000000,VALUE(MID($C1900,2,20)),1000000000),1000000000))+ROW()/100000,"")</f>
        <v/>
      </c>
    </row>
    <row r="1901">
      <c r="D1901" s="11" t="n"/>
      <c r="K1901" s="7">
        <f>IF($C1901="","",J1901*W1901/100)</f>
        <v/>
      </c>
      <c r="Q1901" s="7" t="n"/>
      <c r="R1901" s="7" t="n"/>
      <c r="U1901">
        <f>IF($C1901="","",IF($AJ1901=1,0,IF($AI1901=1,Settings!$C$6,Settings!$C$7))*100)</f>
        <v/>
      </c>
      <c r="V1901" s="7">
        <f>IF($C1901="","",R1901*U1901/100)</f>
        <v/>
      </c>
      <c r="W1901" s="7">
        <f>IF($C1901="","",R1901-V1901)</f>
        <v/>
      </c>
      <c r="X1901" s="7">
        <f>IF($C1901="","",W1901-K1901)</f>
        <v/>
      </c>
      <c r="AB1901" s="7" t="n"/>
      <c r="AE1901" s="11" t="n"/>
      <c r="AG1901">
        <f>IF($C1901="","",IF(COUNTIF($C$2:$C1901,$C1901)=1,1,0))</f>
        <v/>
      </c>
      <c r="AH1901">
        <f>IF($AG1901=1,SUMPRODUCT(--($AK$2:$AK$6001&lt;$AK1901))+1,"")</f>
        <v/>
      </c>
      <c r="AI1901">
        <f>IF($C1901="","",IF(OR($N1901=TRUE(),$N1901="TRUE"),1,0))</f>
        <v/>
      </c>
      <c r="AJ1901">
        <f>IF($C1901="","",IF($T1901="Yes",1,0))</f>
        <v/>
      </c>
      <c r="AK1901">
        <f>IF($AG1901=1,IFERROR(IF(VALUE($C1901)&lt;100000000,VALUE($C1901),1000000000),IFERROR(IF(VALUE(MID($C1901,2,20))&lt;100000000,VALUE(MID($C1901,2,20)),1000000000),1000000000))+ROW()/100000,"")</f>
        <v/>
      </c>
    </row>
    <row r="1902">
      <c r="D1902" s="11" t="n"/>
      <c r="K1902" s="7">
        <f>IF($C1902="","",J1902*W1902/100)</f>
        <v/>
      </c>
      <c r="Q1902" s="7" t="n"/>
      <c r="R1902" s="7" t="n"/>
      <c r="U1902">
        <f>IF($C1902="","",IF($AJ1902=1,0,IF($AI1902=1,Settings!$C$6,Settings!$C$7))*100)</f>
        <v/>
      </c>
      <c r="V1902" s="7">
        <f>IF($C1902="","",R1902*U1902/100)</f>
        <v/>
      </c>
      <c r="W1902" s="7">
        <f>IF($C1902="","",R1902-V1902)</f>
        <v/>
      </c>
      <c r="X1902" s="7">
        <f>IF($C1902="","",W1902-K1902)</f>
        <v/>
      </c>
      <c r="AB1902" s="7" t="n"/>
      <c r="AE1902" s="11" t="n"/>
      <c r="AG1902">
        <f>IF($C1902="","",IF(COUNTIF($C$2:$C1902,$C1902)=1,1,0))</f>
        <v/>
      </c>
      <c r="AH1902">
        <f>IF($AG1902=1,SUMPRODUCT(--($AK$2:$AK$6001&lt;$AK1902))+1,"")</f>
        <v/>
      </c>
      <c r="AI1902">
        <f>IF($C1902="","",IF(OR($N1902=TRUE(),$N1902="TRUE"),1,0))</f>
        <v/>
      </c>
      <c r="AJ1902">
        <f>IF($C1902="","",IF($T1902="Yes",1,0))</f>
        <v/>
      </c>
      <c r="AK1902">
        <f>IF($AG1902=1,IFERROR(IF(VALUE($C1902)&lt;100000000,VALUE($C1902),1000000000),IFERROR(IF(VALUE(MID($C1902,2,20))&lt;100000000,VALUE(MID($C1902,2,20)),1000000000),1000000000))+ROW()/100000,"")</f>
        <v/>
      </c>
    </row>
    <row r="1903">
      <c r="D1903" s="11" t="n"/>
      <c r="K1903" s="7">
        <f>IF($C1903="","",J1903*W1903/100)</f>
        <v/>
      </c>
      <c r="Q1903" s="7" t="n"/>
      <c r="R1903" s="7" t="n"/>
      <c r="U1903">
        <f>IF($C1903="","",IF($AJ1903=1,0,IF($AI1903=1,Settings!$C$6,Settings!$C$7))*100)</f>
        <v/>
      </c>
      <c r="V1903" s="7">
        <f>IF($C1903="","",R1903*U1903/100)</f>
        <v/>
      </c>
      <c r="W1903" s="7">
        <f>IF($C1903="","",R1903-V1903)</f>
        <v/>
      </c>
      <c r="X1903" s="7">
        <f>IF($C1903="","",W1903-K1903)</f>
        <v/>
      </c>
      <c r="AB1903" s="7" t="n"/>
      <c r="AE1903" s="11" t="n"/>
      <c r="AG1903">
        <f>IF($C1903="","",IF(COUNTIF($C$2:$C1903,$C1903)=1,1,0))</f>
        <v/>
      </c>
      <c r="AH1903">
        <f>IF($AG1903=1,SUMPRODUCT(--($AK$2:$AK$6001&lt;$AK1903))+1,"")</f>
        <v/>
      </c>
      <c r="AI1903">
        <f>IF($C1903="","",IF(OR($N1903=TRUE(),$N1903="TRUE"),1,0))</f>
        <v/>
      </c>
      <c r="AJ1903">
        <f>IF($C1903="","",IF($T1903="Yes",1,0))</f>
        <v/>
      </c>
      <c r="AK1903">
        <f>IF($AG1903=1,IFERROR(IF(VALUE($C1903)&lt;100000000,VALUE($C1903),1000000000),IFERROR(IF(VALUE(MID($C1903,2,20))&lt;100000000,VALUE(MID($C1903,2,20)),1000000000),1000000000))+ROW()/100000,"")</f>
        <v/>
      </c>
    </row>
    <row r="1904">
      <c r="D1904" s="11" t="n"/>
      <c r="K1904" s="7">
        <f>IF($C1904="","",J1904*W1904/100)</f>
        <v/>
      </c>
      <c r="Q1904" s="7" t="n"/>
      <c r="R1904" s="7" t="n"/>
      <c r="U1904">
        <f>IF($C1904="","",IF($AJ1904=1,0,IF($AI1904=1,Settings!$C$6,Settings!$C$7))*100)</f>
        <v/>
      </c>
      <c r="V1904" s="7">
        <f>IF($C1904="","",R1904*U1904/100)</f>
        <v/>
      </c>
      <c r="W1904" s="7">
        <f>IF($C1904="","",R1904-V1904)</f>
        <v/>
      </c>
      <c r="X1904" s="7">
        <f>IF($C1904="","",W1904-K1904)</f>
        <v/>
      </c>
      <c r="AB1904" s="7" t="n"/>
      <c r="AE1904" s="11" t="n"/>
      <c r="AG1904">
        <f>IF($C1904="","",IF(COUNTIF($C$2:$C1904,$C1904)=1,1,0))</f>
        <v/>
      </c>
      <c r="AH1904">
        <f>IF($AG1904=1,SUMPRODUCT(--($AK$2:$AK$6001&lt;$AK1904))+1,"")</f>
        <v/>
      </c>
      <c r="AI1904">
        <f>IF($C1904="","",IF(OR($N1904=TRUE(),$N1904="TRUE"),1,0))</f>
        <v/>
      </c>
      <c r="AJ1904">
        <f>IF($C1904="","",IF($T1904="Yes",1,0))</f>
        <v/>
      </c>
      <c r="AK1904">
        <f>IF($AG1904=1,IFERROR(IF(VALUE($C1904)&lt;100000000,VALUE($C1904),1000000000),IFERROR(IF(VALUE(MID($C1904,2,20))&lt;100000000,VALUE(MID($C1904,2,20)),1000000000),1000000000))+ROW()/100000,"")</f>
        <v/>
      </c>
    </row>
    <row r="1905">
      <c r="D1905" s="11" t="n"/>
      <c r="K1905" s="7">
        <f>IF($C1905="","",J1905*W1905/100)</f>
        <v/>
      </c>
      <c r="Q1905" s="7" t="n"/>
      <c r="R1905" s="7" t="n"/>
      <c r="U1905">
        <f>IF($C1905="","",IF($AJ1905=1,0,IF($AI1905=1,Settings!$C$6,Settings!$C$7))*100)</f>
        <v/>
      </c>
      <c r="V1905" s="7">
        <f>IF($C1905="","",R1905*U1905/100)</f>
        <v/>
      </c>
      <c r="W1905" s="7">
        <f>IF($C1905="","",R1905-V1905)</f>
        <v/>
      </c>
      <c r="X1905" s="7">
        <f>IF($C1905="","",W1905-K1905)</f>
        <v/>
      </c>
      <c r="AB1905" s="7" t="n"/>
      <c r="AE1905" s="11" t="n"/>
      <c r="AG1905">
        <f>IF($C1905="","",IF(COUNTIF($C$2:$C1905,$C1905)=1,1,0))</f>
        <v/>
      </c>
      <c r="AH1905">
        <f>IF($AG1905=1,SUMPRODUCT(--($AK$2:$AK$6001&lt;$AK1905))+1,"")</f>
        <v/>
      </c>
      <c r="AI1905">
        <f>IF($C1905="","",IF(OR($N1905=TRUE(),$N1905="TRUE"),1,0))</f>
        <v/>
      </c>
      <c r="AJ1905">
        <f>IF($C1905="","",IF($T1905="Yes",1,0))</f>
        <v/>
      </c>
      <c r="AK1905">
        <f>IF($AG1905=1,IFERROR(IF(VALUE($C1905)&lt;100000000,VALUE($C1905),1000000000),IFERROR(IF(VALUE(MID($C1905,2,20))&lt;100000000,VALUE(MID($C1905,2,20)),1000000000),1000000000))+ROW()/100000,"")</f>
        <v/>
      </c>
    </row>
    <row r="1906">
      <c r="D1906" s="11" t="n"/>
      <c r="K1906" s="7">
        <f>IF($C1906="","",J1906*W1906/100)</f>
        <v/>
      </c>
      <c r="Q1906" s="7" t="n"/>
      <c r="R1906" s="7" t="n"/>
      <c r="U1906">
        <f>IF($C1906="","",IF($AJ1906=1,0,IF($AI1906=1,Settings!$C$6,Settings!$C$7))*100)</f>
        <v/>
      </c>
      <c r="V1906" s="7">
        <f>IF($C1906="","",R1906*U1906/100)</f>
        <v/>
      </c>
      <c r="W1906" s="7">
        <f>IF($C1906="","",R1906-V1906)</f>
        <v/>
      </c>
      <c r="X1906" s="7">
        <f>IF($C1906="","",W1906-K1906)</f>
        <v/>
      </c>
      <c r="AB1906" s="7" t="n"/>
      <c r="AE1906" s="11" t="n"/>
      <c r="AG1906">
        <f>IF($C1906="","",IF(COUNTIF($C$2:$C1906,$C1906)=1,1,0))</f>
        <v/>
      </c>
      <c r="AH1906">
        <f>IF($AG1906=1,SUMPRODUCT(--($AK$2:$AK$6001&lt;$AK1906))+1,"")</f>
        <v/>
      </c>
      <c r="AI1906">
        <f>IF($C1906="","",IF(OR($N1906=TRUE(),$N1906="TRUE"),1,0))</f>
        <v/>
      </c>
      <c r="AJ1906">
        <f>IF($C1906="","",IF($T1906="Yes",1,0))</f>
        <v/>
      </c>
      <c r="AK1906">
        <f>IF($AG1906=1,IFERROR(IF(VALUE($C1906)&lt;100000000,VALUE($C1906),1000000000),IFERROR(IF(VALUE(MID($C1906,2,20))&lt;100000000,VALUE(MID($C1906,2,20)),1000000000),1000000000))+ROW()/100000,"")</f>
        <v/>
      </c>
    </row>
    <row r="1907">
      <c r="D1907" s="11" t="n"/>
      <c r="K1907" s="7">
        <f>IF($C1907="","",J1907*W1907/100)</f>
        <v/>
      </c>
      <c r="Q1907" s="7" t="n"/>
      <c r="R1907" s="7" t="n"/>
      <c r="U1907">
        <f>IF($C1907="","",IF($AJ1907=1,0,IF($AI1907=1,Settings!$C$6,Settings!$C$7))*100)</f>
        <v/>
      </c>
      <c r="V1907" s="7">
        <f>IF($C1907="","",R1907*U1907/100)</f>
        <v/>
      </c>
      <c r="W1907" s="7">
        <f>IF($C1907="","",R1907-V1907)</f>
        <v/>
      </c>
      <c r="X1907" s="7">
        <f>IF($C1907="","",W1907-K1907)</f>
        <v/>
      </c>
      <c r="AB1907" s="7" t="n"/>
      <c r="AE1907" s="11" t="n"/>
      <c r="AG1907">
        <f>IF($C1907="","",IF(COUNTIF($C$2:$C1907,$C1907)=1,1,0))</f>
        <v/>
      </c>
      <c r="AH1907">
        <f>IF($AG1907=1,SUMPRODUCT(--($AK$2:$AK$6001&lt;$AK1907))+1,"")</f>
        <v/>
      </c>
      <c r="AI1907">
        <f>IF($C1907="","",IF(OR($N1907=TRUE(),$N1907="TRUE"),1,0))</f>
        <v/>
      </c>
      <c r="AJ1907">
        <f>IF($C1907="","",IF($T1907="Yes",1,0))</f>
        <v/>
      </c>
      <c r="AK1907">
        <f>IF($AG1907=1,IFERROR(IF(VALUE($C1907)&lt;100000000,VALUE($C1907),1000000000),IFERROR(IF(VALUE(MID($C1907,2,20))&lt;100000000,VALUE(MID($C1907,2,20)),1000000000),1000000000))+ROW()/100000,"")</f>
        <v/>
      </c>
    </row>
    <row r="1908">
      <c r="D1908" s="11" t="n"/>
      <c r="K1908" s="7">
        <f>IF($C1908="","",J1908*W1908/100)</f>
        <v/>
      </c>
      <c r="Q1908" s="7" t="n"/>
      <c r="R1908" s="7" t="n"/>
      <c r="U1908">
        <f>IF($C1908="","",IF($AJ1908=1,0,IF($AI1908=1,Settings!$C$6,Settings!$C$7))*100)</f>
        <v/>
      </c>
      <c r="V1908" s="7">
        <f>IF($C1908="","",R1908*U1908/100)</f>
        <v/>
      </c>
      <c r="W1908" s="7">
        <f>IF($C1908="","",R1908-V1908)</f>
        <v/>
      </c>
      <c r="X1908" s="7">
        <f>IF($C1908="","",W1908-K1908)</f>
        <v/>
      </c>
      <c r="AB1908" s="7" t="n"/>
      <c r="AE1908" s="11" t="n"/>
      <c r="AG1908">
        <f>IF($C1908="","",IF(COUNTIF($C$2:$C1908,$C1908)=1,1,0))</f>
        <v/>
      </c>
      <c r="AH1908">
        <f>IF($AG1908=1,SUMPRODUCT(--($AK$2:$AK$6001&lt;$AK1908))+1,"")</f>
        <v/>
      </c>
      <c r="AI1908">
        <f>IF($C1908="","",IF(OR($N1908=TRUE(),$N1908="TRUE"),1,0))</f>
        <v/>
      </c>
      <c r="AJ1908">
        <f>IF($C1908="","",IF($T1908="Yes",1,0))</f>
        <v/>
      </c>
      <c r="AK1908">
        <f>IF($AG1908=1,IFERROR(IF(VALUE($C1908)&lt;100000000,VALUE($C1908),1000000000),IFERROR(IF(VALUE(MID($C1908,2,20))&lt;100000000,VALUE(MID($C1908,2,20)),1000000000),1000000000))+ROW()/100000,"")</f>
        <v/>
      </c>
    </row>
    <row r="1909">
      <c r="D1909" s="11" t="n"/>
      <c r="K1909" s="7">
        <f>IF($C1909="","",J1909*W1909/100)</f>
        <v/>
      </c>
      <c r="Q1909" s="7" t="n"/>
      <c r="R1909" s="7" t="n"/>
      <c r="U1909">
        <f>IF($C1909="","",IF($AJ1909=1,0,IF($AI1909=1,Settings!$C$6,Settings!$C$7))*100)</f>
        <v/>
      </c>
      <c r="V1909" s="7">
        <f>IF($C1909="","",R1909*U1909/100)</f>
        <v/>
      </c>
      <c r="W1909" s="7">
        <f>IF($C1909="","",R1909-V1909)</f>
        <v/>
      </c>
      <c r="X1909" s="7">
        <f>IF($C1909="","",W1909-K1909)</f>
        <v/>
      </c>
      <c r="AB1909" s="7" t="n"/>
      <c r="AE1909" s="11" t="n"/>
      <c r="AG1909">
        <f>IF($C1909="","",IF(COUNTIF($C$2:$C1909,$C1909)=1,1,0))</f>
        <v/>
      </c>
      <c r="AH1909">
        <f>IF($AG1909=1,SUMPRODUCT(--($AK$2:$AK$6001&lt;$AK1909))+1,"")</f>
        <v/>
      </c>
      <c r="AI1909">
        <f>IF($C1909="","",IF(OR($N1909=TRUE(),$N1909="TRUE"),1,0))</f>
        <v/>
      </c>
      <c r="AJ1909">
        <f>IF($C1909="","",IF($T1909="Yes",1,0))</f>
        <v/>
      </c>
      <c r="AK1909">
        <f>IF($AG1909=1,IFERROR(IF(VALUE($C1909)&lt;100000000,VALUE($C1909),1000000000),IFERROR(IF(VALUE(MID($C1909,2,20))&lt;100000000,VALUE(MID($C1909,2,20)),1000000000),1000000000))+ROW()/100000,"")</f>
        <v/>
      </c>
    </row>
    <row r="1910">
      <c r="D1910" s="11" t="n"/>
      <c r="K1910" s="7">
        <f>IF($C1910="","",J1910*W1910/100)</f>
        <v/>
      </c>
      <c r="Q1910" s="7" t="n"/>
      <c r="R1910" s="7" t="n"/>
      <c r="U1910">
        <f>IF($C1910="","",IF($AJ1910=1,0,IF($AI1910=1,Settings!$C$6,Settings!$C$7))*100)</f>
        <v/>
      </c>
      <c r="V1910" s="7">
        <f>IF($C1910="","",R1910*U1910/100)</f>
        <v/>
      </c>
      <c r="W1910" s="7">
        <f>IF($C1910="","",R1910-V1910)</f>
        <v/>
      </c>
      <c r="X1910" s="7">
        <f>IF($C1910="","",W1910-K1910)</f>
        <v/>
      </c>
      <c r="AB1910" s="7" t="n"/>
      <c r="AE1910" s="11" t="n"/>
      <c r="AG1910">
        <f>IF($C1910="","",IF(COUNTIF($C$2:$C1910,$C1910)=1,1,0))</f>
        <v/>
      </c>
      <c r="AH1910">
        <f>IF($AG1910=1,SUMPRODUCT(--($AK$2:$AK$6001&lt;$AK1910))+1,"")</f>
        <v/>
      </c>
      <c r="AI1910">
        <f>IF($C1910="","",IF(OR($N1910=TRUE(),$N1910="TRUE"),1,0))</f>
        <v/>
      </c>
      <c r="AJ1910">
        <f>IF($C1910="","",IF($T1910="Yes",1,0))</f>
        <v/>
      </c>
      <c r="AK1910">
        <f>IF($AG1910=1,IFERROR(IF(VALUE($C1910)&lt;100000000,VALUE($C1910),1000000000),IFERROR(IF(VALUE(MID($C1910,2,20))&lt;100000000,VALUE(MID($C1910,2,20)),1000000000),1000000000))+ROW()/100000,"")</f>
        <v/>
      </c>
    </row>
    <row r="1911">
      <c r="D1911" s="11" t="n"/>
      <c r="K1911" s="7">
        <f>IF($C1911="","",J1911*W1911/100)</f>
        <v/>
      </c>
      <c r="Q1911" s="7" t="n"/>
      <c r="R1911" s="7" t="n"/>
      <c r="U1911">
        <f>IF($C1911="","",IF($AJ1911=1,0,IF($AI1911=1,Settings!$C$6,Settings!$C$7))*100)</f>
        <v/>
      </c>
      <c r="V1911" s="7">
        <f>IF($C1911="","",R1911*U1911/100)</f>
        <v/>
      </c>
      <c r="W1911" s="7">
        <f>IF($C1911="","",R1911-V1911)</f>
        <v/>
      </c>
      <c r="X1911" s="7">
        <f>IF($C1911="","",W1911-K1911)</f>
        <v/>
      </c>
      <c r="AB1911" s="7" t="n"/>
      <c r="AE1911" s="11" t="n"/>
      <c r="AG1911">
        <f>IF($C1911="","",IF(COUNTIF($C$2:$C1911,$C1911)=1,1,0))</f>
        <v/>
      </c>
      <c r="AH1911">
        <f>IF($AG1911=1,SUMPRODUCT(--($AK$2:$AK$6001&lt;$AK1911))+1,"")</f>
        <v/>
      </c>
      <c r="AI1911">
        <f>IF($C1911="","",IF(OR($N1911=TRUE(),$N1911="TRUE"),1,0))</f>
        <v/>
      </c>
      <c r="AJ1911">
        <f>IF($C1911="","",IF($T1911="Yes",1,0))</f>
        <v/>
      </c>
      <c r="AK1911">
        <f>IF($AG1911=1,IFERROR(IF(VALUE($C1911)&lt;100000000,VALUE($C1911),1000000000),IFERROR(IF(VALUE(MID($C1911,2,20))&lt;100000000,VALUE(MID($C1911,2,20)),1000000000),1000000000))+ROW()/100000,"")</f>
        <v/>
      </c>
    </row>
    <row r="1912">
      <c r="D1912" s="11" t="n"/>
      <c r="K1912" s="7">
        <f>IF($C1912="","",J1912*W1912/100)</f>
        <v/>
      </c>
      <c r="Q1912" s="7" t="n"/>
      <c r="R1912" s="7" t="n"/>
      <c r="U1912">
        <f>IF($C1912="","",IF($AJ1912=1,0,IF($AI1912=1,Settings!$C$6,Settings!$C$7))*100)</f>
        <v/>
      </c>
      <c r="V1912" s="7">
        <f>IF($C1912="","",R1912*U1912/100)</f>
        <v/>
      </c>
      <c r="W1912" s="7">
        <f>IF($C1912="","",R1912-V1912)</f>
        <v/>
      </c>
      <c r="X1912" s="7">
        <f>IF($C1912="","",W1912-K1912)</f>
        <v/>
      </c>
      <c r="AB1912" s="7" t="n"/>
      <c r="AE1912" s="11" t="n"/>
      <c r="AG1912">
        <f>IF($C1912="","",IF(COUNTIF($C$2:$C1912,$C1912)=1,1,0))</f>
        <v/>
      </c>
      <c r="AH1912">
        <f>IF($AG1912=1,SUMPRODUCT(--($AK$2:$AK$6001&lt;$AK1912))+1,"")</f>
        <v/>
      </c>
      <c r="AI1912">
        <f>IF($C1912="","",IF(OR($N1912=TRUE(),$N1912="TRUE"),1,0))</f>
        <v/>
      </c>
      <c r="AJ1912">
        <f>IF($C1912="","",IF($T1912="Yes",1,0))</f>
        <v/>
      </c>
      <c r="AK1912">
        <f>IF($AG1912=1,IFERROR(IF(VALUE($C1912)&lt;100000000,VALUE($C1912),1000000000),IFERROR(IF(VALUE(MID($C1912,2,20))&lt;100000000,VALUE(MID($C1912,2,20)),1000000000),1000000000))+ROW()/100000,"")</f>
        <v/>
      </c>
    </row>
    <row r="1913">
      <c r="D1913" s="11" t="n"/>
      <c r="K1913" s="7">
        <f>IF($C1913="","",J1913*W1913/100)</f>
        <v/>
      </c>
      <c r="Q1913" s="7" t="n"/>
      <c r="R1913" s="7" t="n"/>
      <c r="U1913">
        <f>IF($C1913="","",IF($AJ1913=1,0,IF($AI1913=1,Settings!$C$6,Settings!$C$7))*100)</f>
        <v/>
      </c>
      <c r="V1913" s="7">
        <f>IF($C1913="","",R1913*U1913/100)</f>
        <v/>
      </c>
      <c r="W1913" s="7">
        <f>IF($C1913="","",R1913-V1913)</f>
        <v/>
      </c>
      <c r="X1913" s="7">
        <f>IF($C1913="","",W1913-K1913)</f>
        <v/>
      </c>
      <c r="AB1913" s="7" t="n"/>
      <c r="AE1913" s="11" t="n"/>
      <c r="AG1913">
        <f>IF($C1913="","",IF(COUNTIF($C$2:$C1913,$C1913)=1,1,0))</f>
        <v/>
      </c>
      <c r="AH1913">
        <f>IF($AG1913=1,SUMPRODUCT(--($AK$2:$AK$6001&lt;$AK1913))+1,"")</f>
        <v/>
      </c>
      <c r="AI1913">
        <f>IF($C1913="","",IF(OR($N1913=TRUE(),$N1913="TRUE"),1,0))</f>
        <v/>
      </c>
      <c r="AJ1913">
        <f>IF($C1913="","",IF($T1913="Yes",1,0))</f>
        <v/>
      </c>
      <c r="AK1913">
        <f>IF($AG1913=1,IFERROR(IF(VALUE($C1913)&lt;100000000,VALUE($C1913),1000000000),IFERROR(IF(VALUE(MID($C1913,2,20))&lt;100000000,VALUE(MID($C1913,2,20)),1000000000),1000000000))+ROW()/100000,"")</f>
        <v/>
      </c>
    </row>
    <row r="1914">
      <c r="D1914" s="11" t="n"/>
      <c r="K1914" s="7">
        <f>IF($C1914="","",J1914*W1914/100)</f>
        <v/>
      </c>
      <c r="Q1914" s="7" t="n"/>
      <c r="R1914" s="7" t="n"/>
      <c r="U1914">
        <f>IF($C1914="","",IF($AJ1914=1,0,IF($AI1914=1,Settings!$C$6,Settings!$C$7))*100)</f>
        <v/>
      </c>
      <c r="V1914" s="7">
        <f>IF($C1914="","",R1914*U1914/100)</f>
        <v/>
      </c>
      <c r="W1914" s="7">
        <f>IF($C1914="","",R1914-V1914)</f>
        <v/>
      </c>
      <c r="X1914" s="7">
        <f>IF($C1914="","",W1914-K1914)</f>
        <v/>
      </c>
      <c r="AB1914" s="7" t="n"/>
      <c r="AE1914" s="11" t="n"/>
      <c r="AG1914">
        <f>IF($C1914="","",IF(COUNTIF($C$2:$C1914,$C1914)=1,1,0))</f>
        <v/>
      </c>
      <c r="AH1914">
        <f>IF($AG1914=1,SUMPRODUCT(--($AK$2:$AK$6001&lt;$AK1914))+1,"")</f>
        <v/>
      </c>
      <c r="AI1914">
        <f>IF($C1914="","",IF(OR($N1914=TRUE(),$N1914="TRUE"),1,0))</f>
        <v/>
      </c>
      <c r="AJ1914">
        <f>IF($C1914="","",IF($T1914="Yes",1,0))</f>
        <v/>
      </c>
      <c r="AK1914">
        <f>IF($AG1914=1,IFERROR(IF(VALUE($C1914)&lt;100000000,VALUE($C1914),1000000000),IFERROR(IF(VALUE(MID($C1914,2,20))&lt;100000000,VALUE(MID($C1914,2,20)),1000000000),1000000000))+ROW()/100000,"")</f>
        <v/>
      </c>
    </row>
    <row r="1915">
      <c r="D1915" s="11" t="n"/>
      <c r="K1915" s="7">
        <f>IF($C1915="","",J1915*W1915/100)</f>
        <v/>
      </c>
      <c r="Q1915" s="7" t="n"/>
      <c r="R1915" s="7" t="n"/>
      <c r="U1915">
        <f>IF($C1915="","",IF($AJ1915=1,0,IF($AI1915=1,Settings!$C$6,Settings!$C$7))*100)</f>
        <v/>
      </c>
      <c r="V1915" s="7">
        <f>IF($C1915="","",R1915*U1915/100)</f>
        <v/>
      </c>
      <c r="W1915" s="7">
        <f>IF($C1915="","",R1915-V1915)</f>
        <v/>
      </c>
      <c r="X1915" s="7">
        <f>IF($C1915="","",W1915-K1915)</f>
        <v/>
      </c>
      <c r="AB1915" s="7" t="n"/>
      <c r="AE1915" s="11" t="n"/>
      <c r="AG1915">
        <f>IF($C1915="","",IF(COUNTIF($C$2:$C1915,$C1915)=1,1,0))</f>
        <v/>
      </c>
      <c r="AH1915">
        <f>IF($AG1915=1,SUMPRODUCT(--($AK$2:$AK$6001&lt;$AK1915))+1,"")</f>
        <v/>
      </c>
      <c r="AI1915">
        <f>IF($C1915="","",IF(OR($N1915=TRUE(),$N1915="TRUE"),1,0))</f>
        <v/>
      </c>
      <c r="AJ1915">
        <f>IF($C1915="","",IF($T1915="Yes",1,0))</f>
        <v/>
      </c>
      <c r="AK1915">
        <f>IF($AG1915=1,IFERROR(IF(VALUE($C1915)&lt;100000000,VALUE($C1915),1000000000),IFERROR(IF(VALUE(MID($C1915,2,20))&lt;100000000,VALUE(MID($C1915,2,20)),1000000000),1000000000))+ROW()/100000,"")</f>
        <v/>
      </c>
    </row>
    <row r="1916">
      <c r="D1916" s="11" t="n"/>
      <c r="K1916" s="7">
        <f>IF($C1916="","",J1916*W1916/100)</f>
        <v/>
      </c>
      <c r="Q1916" s="7" t="n"/>
      <c r="R1916" s="7" t="n"/>
      <c r="U1916">
        <f>IF($C1916="","",IF($AJ1916=1,0,IF($AI1916=1,Settings!$C$6,Settings!$C$7))*100)</f>
        <v/>
      </c>
      <c r="V1916" s="7">
        <f>IF($C1916="","",R1916*U1916/100)</f>
        <v/>
      </c>
      <c r="W1916" s="7">
        <f>IF($C1916="","",R1916-V1916)</f>
        <v/>
      </c>
      <c r="X1916" s="7">
        <f>IF($C1916="","",W1916-K1916)</f>
        <v/>
      </c>
      <c r="AB1916" s="7" t="n"/>
      <c r="AE1916" s="11" t="n"/>
      <c r="AG1916">
        <f>IF($C1916="","",IF(COUNTIF($C$2:$C1916,$C1916)=1,1,0))</f>
        <v/>
      </c>
      <c r="AH1916">
        <f>IF($AG1916=1,SUMPRODUCT(--($AK$2:$AK$6001&lt;$AK1916))+1,"")</f>
        <v/>
      </c>
      <c r="AI1916">
        <f>IF($C1916="","",IF(OR($N1916=TRUE(),$N1916="TRUE"),1,0))</f>
        <v/>
      </c>
      <c r="AJ1916">
        <f>IF($C1916="","",IF($T1916="Yes",1,0))</f>
        <v/>
      </c>
      <c r="AK1916">
        <f>IF($AG1916=1,IFERROR(IF(VALUE($C1916)&lt;100000000,VALUE($C1916),1000000000),IFERROR(IF(VALUE(MID($C1916,2,20))&lt;100000000,VALUE(MID($C1916,2,20)),1000000000),1000000000))+ROW()/100000,"")</f>
        <v/>
      </c>
    </row>
    <row r="1917">
      <c r="D1917" s="11" t="n"/>
      <c r="K1917" s="7">
        <f>IF($C1917="","",J1917*W1917/100)</f>
        <v/>
      </c>
      <c r="Q1917" s="7" t="n"/>
      <c r="R1917" s="7" t="n"/>
      <c r="U1917">
        <f>IF($C1917="","",IF($AJ1917=1,0,IF($AI1917=1,Settings!$C$6,Settings!$C$7))*100)</f>
        <v/>
      </c>
      <c r="V1917" s="7">
        <f>IF($C1917="","",R1917*U1917/100)</f>
        <v/>
      </c>
      <c r="W1917" s="7">
        <f>IF($C1917="","",R1917-V1917)</f>
        <v/>
      </c>
      <c r="X1917" s="7">
        <f>IF($C1917="","",W1917-K1917)</f>
        <v/>
      </c>
      <c r="AB1917" s="7" t="n"/>
      <c r="AE1917" s="11" t="n"/>
      <c r="AG1917">
        <f>IF($C1917="","",IF(COUNTIF($C$2:$C1917,$C1917)=1,1,0))</f>
        <v/>
      </c>
      <c r="AH1917">
        <f>IF($AG1917=1,SUMPRODUCT(--($AK$2:$AK$6001&lt;$AK1917))+1,"")</f>
        <v/>
      </c>
      <c r="AI1917">
        <f>IF($C1917="","",IF(OR($N1917=TRUE(),$N1917="TRUE"),1,0))</f>
        <v/>
      </c>
      <c r="AJ1917">
        <f>IF($C1917="","",IF($T1917="Yes",1,0))</f>
        <v/>
      </c>
      <c r="AK1917">
        <f>IF($AG1917=1,IFERROR(IF(VALUE($C1917)&lt;100000000,VALUE($C1917),1000000000),IFERROR(IF(VALUE(MID($C1917,2,20))&lt;100000000,VALUE(MID($C1917,2,20)),1000000000),1000000000))+ROW()/100000,"")</f>
        <v/>
      </c>
    </row>
    <row r="1918">
      <c r="D1918" s="11" t="n"/>
      <c r="K1918" s="7">
        <f>IF($C1918="","",J1918*W1918/100)</f>
        <v/>
      </c>
      <c r="Q1918" s="7" t="n"/>
      <c r="R1918" s="7" t="n"/>
      <c r="U1918">
        <f>IF($C1918="","",IF($AJ1918=1,0,IF($AI1918=1,Settings!$C$6,Settings!$C$7))*100)</f>
        <v/>
      </c>
      <c r="V1918" s="7">
        <f>IF($C1918="","",R1918*U1918/100)</f>
        <v/>
      </c>
      <c r="W1918" s="7">
        <f>IF($C1918="","",R1918-V1918)</f>
        <v/>
      </c>
      <c r="X1918" s="7">
        <f>IF($C1918="","",W1918-K1918)</f>
        <v/>
      </c>
      <c r="AB1918" s="7" t="n"/>
      <c r="AE1918" s="11" t="n"/>
      <c r="AG1918">
        <f>IF($C1918="","",IF(COUNTIF($C$2:$C1918,$C1918)=1,1,0))</f>
        <v/>
      </c>
      <c r="AH1918">
        <f>IF($AG1918=1,SUMPRODUCT(--($AK$2:$AK$6001&lt;$AK1918))+1,"")</f>
        <v/>
      </c>
      <c r="AI1918">
        <f>IF($C1918="","",IF(OR($N1918=TRUE(),$N1918="TRUE"),1,0))</f>
        <v/>
      </c>
      <c r="AJ1918">
        <f>IF($C1918="","",IF($T1918="Yes",1,0))</f>
        <v/>
      </c>
      <c r="AK1918">
        <f>IF($AG1918=1,IFERROR(IF(VALUE($C1918)&lt;100000000,VALUE($C1918),1000000000),IFERROR(IF(VALUE(MID($C1918,2,20))&lt;100000000,VALUE(MID($C1918,2,20)),1000000000),1000000000))+ROW()/100000,"")</f>
        <v/>
      </c>
    </row>
    <row r="1919">
      <c r="D1919" s="11" t="n"/>
      <c r="K1919" s="7">
        <f>IF($C1919="","",J1919*W1919/100)</f>
        <v/>
      </c>
      <c r="Q1919" s="7" t="n"/>
      <c r="R1919" s="7" t="n"/>
      <c r="U1919">
        <f>IF($C1919="","",IF($AJ1919=1,0,IF($AI1919=1,Settings!$C$6,Settings!$C$7))*100)</f>
        <v/>
      </c>
      <c r="V1919" s="7">
        <f>IF($C1919="","",R1919*U1919/100)</f>
        <v/>
      </c>
      <c r="W1919" s="7">
        <f>IF($C1919="","",R1919-V1919)</f>
        <v/>
      </c>
      <c r="X1919" s="7">
        <f>IF($C1919="","",W1919-K1919)</f>
        <v/>
      </c>
      <c r="AB1919" s="7" t="n"/>
      <c r="AE1919" s="11" t="n"/>
      <c r="AG1919">
        <f>IF($C1919="","",IF(COUNTIF($C$2:$C1919,$C1919)=1,1,0))</f>
        <v/>
      </c>
      <c r="AH1919">
        <f>IF($AG1919=1,SUMPRODUCT(--($AK$2:$AK$6001&lt;$AK1919))+1,"")</f>
        <v/>
      </c>
      <c r="AI1919">
        <f>IF($C1919="","",IF(OR($N1919=TRUE(),$N1919="TRUE"),1,0))</f>
        <v/>
      </c>
      <c r="AJ1919">
        <f>IF($C1919="","",IF($T1919="Yes",1,0))</f>
        <v/>
      </c>
      <c r="AK1919">
        <f>IF($AG1919=1,IFERROR(IF(VALUE($C1919)&lt;100000000,VALUE($C1919),1000000000),IFERROR(IF(VALUE(MID($C1919,2,20))&lt;100000000,VALUE(MID($C1919,2,20)),1000000000),1000000000))+ROW()/100000,"")</f>
        <v/>
      </c>
    </row>
    <row r="1920">
      <c r="D1920" s="11" t="n"/>
      <c r="K1920" s="7">
        <f>IF($C1920="","",J1920*W1920/100)</f>
        <v/>
      </c>
      <c r="Q1920" s="7" t="n"/>
      <c r="R1920" s="7" t="n"/>
      <c r="U1920">
        <f>IF($C1920="","",IF($AJ1920=1,0,IF($AI1920=1,Settings!$C$6,Settings!$C$7))*100)</f>
        <v/>
      </c>
      <c r="V1920" s="7">
        <f>IF($C1920="","",R1920*U1920/100)</f>
        <v/>
      </c>
      <c r="W1920" s="7">
        <f>IF($C1920="","",R1920-V1920)</f>
        <v/>
      </c>
      <c r="X1920" s="7">
        <f>IF($C1920="","",W1920-K1920)</f>
        <v/>
      </c>
      <c r="AB1920" s="7" t="n"/>
      <c r="AE1920" s="11" t="n"/>
      <c r="AG1920">
        <f>IF($C1920="","",IF(COUNTIF($C$2:$C1920,$C1920)=1,1,0))</f>
        <v/>
      </c>
      <c r="AH1920">
        <f>IF($AG1920=1,SUMPRODUCT(--($AK$2:$AK$6001&lt;$AK1920))+1,"")</f>
        <v/>
      </c>
      <c r="AI1920">
        <f>IF($C1920="","",IF(OR($N1920=TRUE(),$N1920="TRUE"),1,0))</f>
        <v/>
      </c>
      <c r="AJ1920">
        <f>IF($C1920="","",IF($T1920="Yes",1,0))</f>
        <v/>
      </c>
      <c r="AK1920">
        <f>IF($AG1920=1,IFERROR(IF(VALUE($C1920)&lt;100000000,VALUE($C1920),1000000000),IFERROR(IF(VALUE(MID($C1920,2,20))&lt;100000000,VALUE(MID($C1920,2,20)),1000000000),1000000000))+ROW()/100000,"")</f>
        <v/>
      </c>
    </row>
    <row r="1921">
      <c r="D1921" s="11" t="n"/>
      <c r="K1921" s="7">
        <f>IF($C1921="","",J1921*W1921/100)</f>
        <v/>
      </c>
      <c r="Q1921" s="7" t="n"/>
      <c r="R1921" s="7" t="n"/>
      <c r="U1921">
        <f>IF($C1921="","",IF($AJ1921=1,0,IF($AI1921=1,Settings!$C$6,Settings!$C$7))*100)</f>
        <v/>
      </c>
      <c r="V1921" s="7">
        <f>IF($C1921="","",R1921*U1921/100)</f>
        <v/>
      </c>
      <c r="W1921" s="7">
        <f>IF($C1921="","",R1921-V1921)</f>
        <v/>
      </c>
      <c r="X1921" s="7">
        <f>IF($C1921="","",W1921-K1921)</f>
        <v/>
      </c>
      <c r="AB1921" s="7" t="n"/>
      <c r="AE1921" s="11" t="n"/>
      <c r="AG1921">
        <f>IF($C1921="","",IF(COUNTIF($C$2:$C1921,$C1921)=1,1,0))</f>
        <v/>
      </c>
      <c r="AH1921">
        <f>IF($AG1921=1,SUMPRODUCT(--($AK$2:$AK$6001&lt;$AK1921))+1,"")</f>
        <v/>
      </c>
      <c r="AI1921">
        <f>IF($C1921="","",IF(OR($N1921=TRUE(),$N1921="TRUE"),1,0))</f>
        <v/>
      </c>
      <c r="AJ1921">
        <f>IF($C1921="","",IF($T1921="Yes",1,0))</f>
        <v/>
      </c>
      <c r="AK1921">
        <f>IF($AG1921=1,IFERROR(IF(VALUE($C1921)&lt;100000000,VALUE($C1921),1000000000),IFERROR(IF(VALUE(MID($C1921,2,20))&lt;100000000,VALUE(MID($C1921,2,20)),1000000000),1000000000))+ROW()/100000,"")</f>
        <v/>
      </c>
    </row>
    <row r="1922">
      <c r="D1922" s="11" t="n"/>
      <c r="K1922" s="7">
        <f>IF($C1922="","",J1922*W1922/100)</f>
        <v/>
      </c>
      <c r="Q1922" s="7" t="n"/>
      <c r="R1922" s="7" t="n"/>
      <c r="U1922">
        <f>IF($C1922="","",IF($AJ1922=1,0,IF($AI1922=1,Settings!$C$6,Settings!$C$7))*100)</f>
        <v/>
      </c>
      <c r="V1922" s="7">
        <f>IF($C1922="","",R1922*U1922/100)</f>
        <v/>
      </c>
      <c r="W1922" s="7">
        <f>IF($C1922="","",R1922-V1922)</f>
        <v/>
      </c>
      <c r="X1922" s="7">
        <f>IF($C1922="","",W1922-K1922)</f>
        <v/>
      </c>
      <c r="AB1922" s="7" t="n"/>
      <c r="AE1922" s="11" t="n"/>
      <c r="AG1922">
        <f>IF($C1922="","",IF(COUNTIF($C$2:$C1922,$C1922)=1,1,0))</f>
        <v/>
      </c>
      <c r="AH1922">
        <f>IF($AG1922=1,SUMPRODUCT(--($AK$2:$AK$6001&lt;$AK1922))+1,"")</f>
        <v/>
      </c>
      <c r="AI1922">
        <f>IF($C1922="","",IF(OR($N1922=TRUE(),$N1922="TRUE"),1,0))</f>
        <v/>
      </c>
      <c r="AJ1922">
        <f>IF($C1922="","",IF($T1922="Yes",1,0))</f>
        <v/>
      </c>
      <c r="AK1922">
        <f>IF($AG1922=1,IFERROR(IF(VALUE($C1922)&lt;100000000,VALUE($C1922),1000000000),IFERROR(IF(VALUE(MID($C1922,2,20))&lt;100000000,VALUE(MID($C1922,2,20)),1000000000),1000000000))+ROW()/100000,"")</f>
        <v/>
      </c>
    </row>
    <row r="1923">
      <c r="D1923" s="11" t="n"/>
      <c r="K1923" s="7">
        <f>IF($C1923="","",J1923*W1923/100)</f>
        <v/>
      </c>
      <c r="Q1923" s="7" t="n"/>
      <c r="R1923" s="7" t="n"/>
      <c r="U1923">
        <f>IF($C1923="","",IF($AJ1923=1,0,IF($AI1923=1,Settings!$C$6,Settings!$C$7))*100)</f>
        <v/>
      </c>
      <c r="V1923" s="7">
        <f>IF($C1923="","",R1923*U1923/100)</f>
        <v/>
      </c>
      <c r="W1923" s="7">
        <f>IF($C1923="","",R1923-V1923)</f>
        <v/>
      </c>
      <c r="X1923" s="7">
        <f>IF($C1923="","",W1923-K1923)</f>
        <v/>
      </c>
      <c r="AB1923" s="7" t="n"/>
      <c r="AE1923" s="11" t="n"/>
      <c r="AG1923">
        <f>IF($C1923="","",IF(COUNTIF($C$2:$C1923,$C1923)=1,1,0))</f>
        <v/>
      </c>
      <c r="AH1923">
        <f>IF($AG1923=1,SUMPRODUCT(--($AK$2:$AK$6001&lt;$AK1923))+1,"")</f>
        <v/>
      </c>
      <c r="AI1923">
        <f>IF($C1923="","",IF(OR($N1923=TRUE(),$N1923="TRUE"),1,0))</f>
        <v/>
      </c>
      <c r="AJ1923">
        <f>IF($C1923="","",IF($T1923="Yes",1,0))</f>
        <v/>
      </c>
      <c r="AK1923">
        <f>IF($AG1923=1,IFERROR(IF(VALUE($C1923)&lt;100000000,VALUE($C1923),1000000000),IFERROR(IF(VALUE(MID($C1923,2,20))&lt;100000000,VALUE(MID($C1923,2,20)),1000000000),1000000000))+ROW()/100000,"")</f>
        <v/>
      </c>
    </row>
    <row r="1924">
      <c r="D1924" s="11" t="n"/>
      <c r="K1924" s="7">
        <f>IF($C1924="","",J1924*W1924/100)</f>
        <v/>
      </c>
      <c r="Q1924" s="7" t="n"/>
      <c r="R1924" s="7" t="n"/>
      <c r="U1924">
        <f>IF($C1924="","",IF($AJ1924=1,0,IF($AI1924=1,Settings!$C$6,Settings!$C$7))*100)</f>
        <v/>
      </c>
      <c r="V1924" s="7">
        <f>IF($C1924="","",R1924*U1924/100)</f>
        <v/>
      </c>
      <c r="W1924" s="7">
        <f>IF($C1924="","",R1924-V1924)</f>
        <v/>
      </c>
      <c r="X1924" s="7">
        <f>IF($C1924="","",W1924-K1924)</f>
        <v/>
      </c>
      <c r="AB1924" s="7" t="n"/>
      <c r="AE1924" s="11" t="n"/>
      <c r="AG1924">
        <f>IF($C1924="","",IF(COUNTIF($C$2:$C1924,$C1924)=1,1,0))</f>
        <v/>
      </c>
      <c r="AH1924">
        <f>IF($AG1924=1,SUMPRODUCT(--($AK$2:$AK$6001&lt;$AK1924))+1,"")</f>
        <v/>
      </c>
      <c r="AI1924">
        <f>IF($C1924="","",IF(OR($N1924=TRUE(),$N1924="TRUE"),1,0))</f>
        <v/>
      </c>
      <c r="AJ1924">
        <f>IF($C1924="","",IF($T1924="Yes",1,0))</f>
        <v/>
      </c>
      <c r="AK1924">
        <f>IF($AG1924=1,IFERROR(IF(VALUE($C1924)&lt;100000000,VALUE($C1924),1000000000),IFERROR(IF(VALUE(MID($C1924,2,20))&lt;100000000,VALUE(MID($C1924,2,20)),1000000000),1000000000))+ROW()/100000,"")</f>
        <v/>
      </c>
    </row>
    <row r="1925">
      <c r="D1925" s="11" t="n"/>
      <c r="K1925" s="7">
        <f>IF($C1925="","",J1925*W1925/100)</f>
        <v/>
      </c>
      <c r="Q1925" s="7" t="n"/>
      <c r="R1925" s="7" t="n"/>
      <c r="U1925">
        <f>IF($C1925="","",IF($AJ1925=1,0,IF($AI1925=1,Settings!$C$6,Settings!$C$7))*100)</f>
        <v/>
      </c>
      <c r="V1925" s="7">
        <f>IF($C1925="","",R1925*U1925/100)</f>
        <v/>
      </c>
      <c r="W1925" s="7">
        <f>IF($C1925="","",R1925-V1925)</f>
        <v/>
      </c>
      <c r="X1925" s="7">
        <f>IF($C1925="","",W1925-K1925)</f>
        <v/>
      </c>
      <c r="AB1925" s="7" t="n"/>
      <c r="AE1925" s="11" t="n"/>
      <c r="AG1925">
        <f>IF($C1925="","",IF(COUNTIF($C$2:$C1925,$C1925)=1,1,0))</f>
        <v/>
      </c>
      <c r="AH1925">
        <f>IF($AG1925=1,SUMPRODUCT(--($AK$2:$AK$6001&lt;$AK1925))+1,"")</f>
        <v/>
      </c>
      <c r="AI1925">
        <f>IF($C1925="","",IF(OR($N1925=TRUE(),$N1925="TRUE"),1,0))</f>
        <v/>
      </c>
      <c r="AJ1925">
        <f>IF($C1925="","",IF($T1925="Yes",1,0))</f>
        <v/>
      </c>
      <c r="AK1925">
        <f>IF($AG1925=1,IFERROR(IF(VALUE($C1925)&lt;100000000,VALUE($C1925),1000000000),IFERROR(IF(VALUE(MID($C1925,2,20))&lt;100000000,VALUE(MID($C1925,2,20)),1000000000),1000000000))+ROW()/100000,"")</f>
        <v/>
      </c>
    </row>
    <row r="1926">
      <c r="D1926" s="11" t="n"/>
      <c r="K1926" s="7">
        <f>IF($C1926="","",J1926*W1926/100)</f>
        <v/>
      </c>
      <c r="Q1926" s="7" t="n"/>
      <c r="R1926" s="7" t="n"/>
      <c r="U1926">
        <f>IF($C1926="","",IF($AJ1926=1,0,IF($AI1926=1,Settings!$C$6,Settings!$C$7))*100)</f>
        <v/>
      </c>
      <c r="V1926" s="7">
        <f>IF($C1926="","",R1926*U1926/100)</f>
        <v/>
      </c>
      <c r="W1926" s="7">
        <f>IF($C1926="","",R1926-V1926)</f>
        <v/>
      </c>
      <c r="X1926" s="7">
        <f>IF($C1926="","",W1926-K1926)</f>
        <v/>
      </c>
      <c r="AB1926" s="7" t="n"/>
      <c r="AE1926" s="11" t="n"/>
      <c r="AG1926">
        <f>IF($C1926="","",IF(COUNTIF($C$2:$C1926,$C1926)=1,1,0))</f>
        <v/>
      </c>
      <c r="AH1926">
        <f>IF($AG1926=1,SUMPRODUCT(--($AK$2:$AK$6001&lt;$AK1926))+1,"")</f>
        <v/>
      </c>
      <c r="AI1926">
        <f>IF($C1926="","",IF(OR($N1926=TRUE(),$N1926="TRUE"),1,0))</f>
        <v/>
      </c>
      <c r="AJ1926">
        <f>IF($C1926="","",IF($T1926="Yes",1,0))</f>
        <v/>
      </c>
      <c r="AK1926">
        <f>IF($AG1926=1,IFERROR(IF(VALUE($C1926)&lt;100000000,VALUE($C1926),1000000000),IFERROR(IF(VALUE(MID($C1926,2,20))&lt;100000000,VALUE(MID($C1926,2,20)),1000000000),1000000000))+ROW()/100000,"")</f>
        <v/>
      </c>
    </row>
    <row r="1927">
      <c r="D1927" s="11" t="n"/>
      <c r="K1927" s="7">
        <f>IF($C1927="","",J1927*W1927/100)</f>
        <v/>
      </c>
      <c r="Q1927" s="7" t="n"/>
      <c r="R1927" s="7" t="n"/>
      <c r="U1927">
        <f>IF($C1927="","",IF($AJ1927=1,0,IF($AI1927=1,Settings!$C$6,Settings!$C$7))*100)</f>
        <v/>
      </c>
      <c r="V1927" s="7">
        <f>IF($C1927="","",R1927*U1927/100)</f>
        <v/>
      </c>
      <c r="W1927" s="7">
        <f>IF($C1927="","",R1927-V1927)</f>
        <v/>
      </c>
      <c r="X1927" s="7">
        <f>IF($C1927="","",W1927-K1927)</f>
        <v/>
      </c>
      <c r="AB1927" s="7" t="n"/>
      <c r="AE1927" s="11" t="n"/>
      <c r="AG1927">
        <f>IF($C1927="","",IF(COUNTIF($C$2:$C1927,$C1927)=1,1,0))</f>
        <v/>
      </c>
      <c r="AH1927">
        <f>IF($AG1927=1,SUMPRODUCT(--($AK$2:$AK$6001&lt;$AK1927))+1,"")</f>
        <v/>
      </c>
      <c r="AI1927">
        <f>IF($C1927="","",IF(OR($N1927=TRUE(),$N1927="TRUE"),1,0))</f>
        <v/>
      </c>
      <c r="AJ1927">
        <f>IF($C1927="","",IF($T1927="Yes",1,0))</f>
        <v/>
      </c>
      <c r="AK1927">
        <f>IF($AG1927=1,IFERROR(IF(VALUE($C1927)&lt;100000000,VALUE($C1927),1000000000),IFERROR(IF(VALUE(MID($C1927,2,20))&lt;100000000,VALUE(MID($C1927,2,20)),1000000000),1000000000))+ROW()/100000,"")</f>
        <v/>
      </c>
    </row>
    <row r="1928">
      <c r="D1928" s="11" t="n"/>
      <c r="K1928" s="7">
        <f>IF($C1928="","",J1928*W1928/100)</f>
        <v/>
      </c>
      <c r="Q1928" s="7" t="n"/>
      <c r="R1928" s="7" t="n"/>
      <c r="U1928">
        <f>IF($C1928="","",IF($AJ1928=1,0,IF($AI1928=1,Settings!$C$6,Settings!$C$7))*100)</f>
        <v/>
      </c>
      <c r="V1928" s="7">
        <f>IF($C1928="","",R1928*U1928/100)</f>
        <v/>
      </c>
      <c r="W1928" s="7">
        <f>IF($C1928="","",R1928-V1928)</f>
        <v/>
      </c>
      <c r="X1928" s="7">
        <f>IF($C1928="","",W1928-K1928)</f>
        <v/>
      </c>
      <c r="AB1928" s="7" t="n"/>
      <c r="AE1928" s="11" t="n"/>
      <c r="AG1928">
        <f>IF($C1928="","",IF(COUNTIF($C$2:$C1928,$C1928)=1,1,0))</f>
        <v/>
      </c>
      <c r="AH1928">
        <f>IF($AG1928=1,SUMPRODUCT(--($AK$2:$AK$6001&lt;$AK1928))+1,"")</f>
        <v/>
      </c>
      <c r="AI1928">
        <f>IF($C1928="","",IF(OR($N1928=TRUE(),$N1928="TRUE"),1,0))</f>
        <v/>
      </c>
      <c r="AJ1928">
        <f>IF($C1928="","",IF($T1928="Yes",1,0))</f>
        <v/>
      </c>
      <c r="AK1928">
        <f>IF($AG1928=1,IFERROR(IF(VALUE($C1928)&lt;100000000,VALUE($C1928),1000000000),IFERROR(IF(VALUE(MID($C1928,2,20))&lt;100000000,VALUE(MID($C1928,2,20)),1000000000),1000000000))+ROW()/100000,"")</f>
        <v/>
      </c>
    </row>
    <row r="1929">
      <c r="D1929" s="11" t="n"/>
      <c r="K1929" s="7">
        <f>IF($C1929="","",J1929*W1929/100)</f>
        <v/>
      </c>
      <c r="Q1929" s="7" t="n"/>
      <c r="R1929" s="7" t="n"/>
      <c r="U1929">
        <f>IF($C1929="","",IF($AJ1929=1,0,IF($AI1929=1,Settings!$C$6,Settings!$C$7))*100)</f>
        <v/>
      </c>
      <c r="V1929" s="7">
        <f>IF($C1929="","",R1929*U1929/100)</f>
        <v/>
      </c>
      <c r="W1929" s="7">
        <f>IF($C1929="","",R1929-V1929)</f>
        <v/>
      </c>
      <c r="X1929" s="7">
        <f>IF($C1929="","",W1929-K1929)</f>
        <v/>
      </c>
      <c r="AB1929" s="7" t="n"/>
      <c r="AE1929" s="11" t="n"/>
      <c r="AG1929">
        <f>IF($C1929="","",IF(COUNTIF($C$2:$C1929,$C1929)=1,1,0))</f>
        <v/>
      </c>
      <c r="AH1929">
        <f>IF($AG1929=1,SUMPRODUCT(--($AK$2:$AK$6001&lt;$AK1929))+1,"")</f>
        <v/>
      </c>
      <c r="AI1929">
        <f>IF($C1929="","",IF(OR($N1929=TRUE(),$N1929="TRUE"),1,0))</f>
        <v/>
      </c>
      <c r="AJ1929">
        <f>IF($C1929="","",IF($T1929="Yes",1,0))</f>
        <v/>
      </c>
      <c r="AK1929">
        <f>IF($AG1929=1,IFERROR(IF(VALUE($C1929)&lt;100000000,VALUE($C1929),1000000000),IFERROR(IF(VALUE(MID($C1929,2,20))&lt;100000000,VALUE(MID($C1929,2,20)),1000000000),1000000000))+ROW()/100000,"")</f>
        <v/>
      </c>
    </row>
    <row r="1930">
      <c r="D1930" s="11" t="n"/>
      <c r="K1930" s="7">
        <f>IF($C1930="","",J1930*W1930/100)</f>
        <v/>
      </c>
      <c r="Q1930" s="7" t="n"/>
      <c r="R1930" s="7" t="n"/>
      <c r="U1930">
        <f>IF($C1930="","",IF($AJ1930=1,0,IF($AI1930=1,Settings!$C$6,Settings!$C$7))*100)</f>
        <v/>
      </c>
      <c r="V1930" s="7">
        <f>IF($C1930="","",R1930*U1930/100)</f>
        <v/>
      </c>
      <c r="W1930" s="7">
        <f>IF($C1930="","",R1930-V1930)</f>
        <v/>
      </c>
      <c r="X1930" s="7">
        <f>IF($C1930="","",W1930-K1930)</f>
        <v/>
      </c>
      <c r="AB1930" s="7" t="n"/>
      <c r="AE1930" s="11" t="n"/>
      <c r="AG1930">
        <f>IF($C1930="","",IF(COUNTIF($C$2:$C1930,$C1930)=1,1,0))</f>
        <v/>
      </c>
      <c r="AH1930">
        <f>IF($AG1930=1,SUMPRODUCT(--($AK$2:$AK$6001&lt;$AK1930))+1,"")</f>
        <v/>
      </c>
      <c r="AI1930">
        <f>IF($C1930="","",IF(OR($N1930=TRUE(),$N1930="TRUE"),1,0))</f>
        <v/>
      </c>
      <c r="AJ1930">
        <f>IF($C1930="","",IF($T1930="Yes",1,0))</f>
        <v/>
      </c>
      <c r="AK1930">
        <f>IF($AG1930=1,IFERROR(IF(VALUE($C1930)&lt;100000000,VALUE($C1930),1000000000),IFERROR(IF(VALUE(MID($C1930,2,20))&lt;100000000,VALUE(MID($C1930,2,20)),1000000000),1000000000))+ROW()/100000,"")</f>
        <v/>
      </c>
    </row>
    <row r="1931">
      <c r="D1931" s="11" t="n"/>
      <c r="K1931" s="7">
        <f>IF($C1931="","",J1931*W1931/100)</f>
        <v/>
      </c>
      <c r="Q1931" s="7" t="n"/>
      <c r="R1931" s="7" t="n"/>
      <c r="U1931">
        <f>IF($C1931="","",IF($AJ1931=1,0,IF($AI1931=1,Settings!$C$6,Settings!$C$7))*100)</f>
        <v/>
      </c>
      <c r="V1931" s="7">
        <f>IF($C1931="","",R1931*U1931/100)</f>
        <v/>
      </c>
      <c r="W1931" s="7">
        <f>IF($C1931="","",R1931-V1931)</f>
        <v/>
      </c>
      <c r="X1931" s="7">
        <f>IF($C1931="","",W1931-K1931)</f>
        <v/>
      </c>
      <c r="AB1931" s="7" t="n"/>
      <c r="AE1931" s="11" t="n"/>
      <c r="AG1931">
        <f>IF($C1931="","",IF(COUNTIF($C$2:$C1931,$C1931)=1,1,0))</f>
        <v/>
      </c>
      <c r="AH1931">
        <f>IF($AG1931=1,SUMPRODUCT(--($AK$2:$AK$6001&lt;$AK1931))+1,"")</f>
        <v/>
      </c>
      <c r="AI1931">
        <f>IF($C1931="","",IF(OR($N1931=TRUE(),$N1931="TRUE"),1,0))</f>
        <v/>
      </c>
      <c r="AJ1931">
        <f>IF($C1931="","",IF($T1931="Yes",1,0))</f>
        <v/>
      </c>
      <c r="AK1931">
        <f>IF($AG1931=1,IFERROR(IF(VALUE($C1931)&lt;100000000,VALUE($C1931),1000000000),IFERROR(IF(VALUE(MID($C1931,2,20))&lt;100000000,VALUE(MID($C1931,2,20)),1000000000),1000000000))+ROW()/100000,"")</f>
        <v/>
      </c>
    </row>
    <row r="1932">
      <c r="D1932" s="11" t="n"/>
      <c r="K1932" s="7">
        <f>IF($C1932="","",J1932*W1932/100)</f>
        <v/>
      </c>
      <c r="Q1932" s="7" t="n"/>
      <c r="R1932" s="7" t="n"/>
      <c r="U1932">
        <f>IF($C1932="","",IF($AJ1932=1,0,IF($AI1932=1,Settings!$C$6,Settings!$C$7))*100)</f>
        <v/>
      </c>
      <c r="V1932" s="7">
        <f>IF($C1932="","",R1932*U1932/100)</f>
        <v/>
      </c>
      <c r="W1932" s="7">
        <f>IF($C1932="","",R1932-V1932)</f>
        <v/>
      </c>
      <c r="X1932" s="7">
        <f>IF($C1932="","",W1932-K1932)</f>
        <v/>
      </c>
      <c r="AB1932" s="7" t="n"/>
      <c r="AE1932" s="11" t="n"/>
      <c r="AG1932">
        <f>IF($C1932="","",IF(COUNTIF($C$2:$C1932,$C1932)=1,1,0))</f>
        <v/>
      </c>
      <c r="AH1932">
        <f>IF($AG1932=1,SUMPRODUCT(--($AK$2:$AK$6001&lt;$AK1932))+1,"")</f>
        <v/>
      </c>
      <c r="AI1932">
        <f>IF($C1932="","",IF(OR($N1932=TRUE(),$N1932="TRUE"),1,0))</f>
        <v/>
      </c>
      <c r="AJ1932">
        <f>IF($C1932="","",IF($T1932="Yes",1,0))</f>
        <v/>
      </c>
      <c r="AK1932">
        <f>IF($AG1932=1,IFERROR(IF(VALUE($C1932)&lt;100000000,VALUE($C1932),1000000000),IFERROR(IF(VALUE(MID($C1932,2,20))&lt;100000000,VALUE(MID($C1932,2,20)),1000000000),1000000000))+ROW()/100000,"")</f>
        <v/>
      </c>
    </row>
    <row r="1933">
      <c r="D1933" s="11" t="n"/>
      <c r="K1933" s="7">
        <f>IF($C1933="","",J1933*W1933/100)</f>
        <v/>
      </c>
      <c r="Q1933" s="7" t="n"/>
      <c r="R1933" s="7" t="n"/>
      <c r="U1933">
        <f>IF($C1933="","",IF($AJ1933=1,0,IF($AI1933=1,Settings!$C$6,Settings!$C$7))*100)</f>
        <v/>
      </c>
      <c r="V1933" s="7">
        <f>IF($C1933="","",R1933*U1933/100)</f>
        <v/>
      </c>
      <c r="W1933" s="7">
        <f>IF($C1933="","",R1933-V1933)</f>
        <v/>
      </c>
      <c r="X1933" s="7">
        <f>IF($C1933="","",W1933-K1933)</f>
        <v/>
      </c>
      <c r="AB1933" s="7" t="n"/>
      <c r="AE1933" s="11" t="n"/>
      <c r="AG1933">
        <f>IF($C1933="","",IF(COUNTIF($C$2:$C1933,$C1933)=1,1,0))</f>
        <v/>
      </c>
      <c r="AH1933">
        <f>IF($AG1933=1,SUMPRODUCT(--($AK$2:$AK$6001&lt;$AK1933))+1,"")</f>
        <v/>
      </c>
      <c r="AI1933">
        <f>IF($C1933="","",IF(OR($N1933=TRUE(),$N1933="TRUE"),1,0))</f>
        <v/>
      </c>
      <c r="AJ1933">
        <f>IF($C1933="","",IF($T1933="Yes",1,0))</f>
        <v/>
      </c>
      <c r="AK1933">
        <f>IF($AG1933=1,IFERROR(IF(VALUE($C1933)&lt;100000000,VALUE($C1933),1000000000),IFERROR(IF(VALUE(MID($C1933,2,20))&lt;100000000,VALUE(MID($C1933,2,20)),1000000000),1000000000))+ROW()/100000,"")</f>
        <v/>
      </c>
    </row>
    <row r="1934">
      <c r="D1934" s="11" t="n"/>
      <c r="K1934" s="7">
        <f>IF($C1934="","",J1934*W1934/100)</f>
        <v/>
      </c>
      <c r="Q1934" s="7" t="n"/>
      <c r="R1934" s="7" t="n"/>
      <c r="U1934">
        <f>IF($C1934="","",IF($AJ1934=1,0,IF($AI1934=1,Settings!$C$6,Settings!$C$7))*100)</f>
        <v/>
      </c>
      <c r="V1934" s="7">
        <f>IF($C1934="","",R1934*U1934/100)</f>
        <v/>
      </c>
      <c r="W1934" s="7">
        <f>IF($C1934="","",R1934-V1934)</f>
        <v/>
      </c>
      <c r="X1934" s="7">
        <f>IF($C1934="","",W1934-K1934)</f>
        <v/>
      </c>
      <c r="AB1934" s="7" t="n"/>
      <c r="AE1934" s="11" t="n"/>
      <c r="AG1934">
        <f>IF($C1934="","",IF(COUNTIF($C$2:$C1934,$C1934)=1,1,0))</f>
        <v/>
      </c>
      <c r="AH1934">
        <f>IF($AG1934=1,SUMPRODUCT(--($AK$2:$AK$6001&lt;$AK1934))+1,"")</f>
        <v/>
      </c>
      <c r="AI1934">
        <f>IF($C1934="","",IF(OR($N1934=TRUE(),$N1934="TRUE"),1,0))</f>
        <v/>
      </c>
      <c r="AJ1934">
        <f>IF($C1934="","",IF($T1934="Yes",1,0))</f>
        <v/>
      </c>
      <c r="AK1934">
        <f>IF($AG1934=1,IFERROR(IF(VALUE($C1934)&lt;100000000,VALUE($C1934),1000000000),IFERROR(IF(VALUE(MID($C1934,2,20))&lt;100000000,VALUE(MID($C1934,2,20)),1000000000),1000000000))+ROW()/100000,"")</f>
        <v/>
      </c>
    </row>
    <row r="1935">
      <c r="D1935" s="11" t="n"/>
      <c r="K1935" s="7">
        <f>IF($C1935="","",J1935*W1935/100)</f>
        <v/>
      </c>
      <c r="Q1935" s="7" t="n"/>
      <c r="R1935" s="7" t="n"/>
      <c r="U1935">
        <f>IF($C1935="","",IF($AJ1935=1,0,IF($AI1935=1,Settings!$C$6,Settings!$C$7))*100)</f>
        <v/>
      </c>
      <c r="V1935" s="7">
        <f>IF($C1935="","",R1935*U1935/100)</f>
        <v/>
      </c>
      <c r="W1935" s="7">
        <f>IF($C1935="","",R1935-V1935)</f>
        <v/>
      </c>
      <c r="X1935" s="7">
        <f>IF($C1935="","",W1935-K1935)</f>
        <v/>
      </c>
      <c r="AB1935" s="7" t="n"/>
      <c r="AE1935" s="11" t="n"/>
      <c r="AG1935">
        <f>IF($C1935="","",IF(COUNTIF($C$2:$C1935,$C1935)=1,1,0))</f>
        <v/>
      </c>
      <c r="AH1935">
        <f>IF($AG1935=1,SUMPRODUCT(--($AK$2:$AK$6001&lt;$AK1935))+1,"")</f>
        <v/>
      </c>
      <c r="AI1935">
        <f>IF($C1935="","",IF(OR($N1935=TRUE(),$N1935="TRUE"),1,0))</f>
        <v/>
      </c>
      <c r="AJ1935">
        <f>IF($C1935="","",IF($T1935="Yes",1,0))</f>
        <v/>
      </c>
      <c r="AK1935">
        <f>IF($AG1935=1,IFERROR(IF(VALUE($C1935)&lt;100000000,VALUE($C1935),1000000000),IFERROR(IF(VALUE(MID($C1935,2,20))&lt;100000000,VALUE(MID($C1935,2,20)),1000000000),1000000000))+ROW()/100000,"")</f>
        <v/>
      </c>
    </row>
    <row r="1936">
      <c r="D1936" s="11" t="n"/>
      <c r="K1936" s="7">
        <f>IF($C1936="","",J1936*W1936/100)</f>
        <v/>
      </c>
      <c r="Q1936" s="7" t="n"/>
      <c r="R1936" s="7" t="n"/>
      <c r="U1936">
        <f>IF($C1936="","",IF($AJ1936=1,0,IF($AI1936=1,Settings!$C$6,Settings!$C$7))*100)</f>
        <v/>
      </c>
      <c r="V1936" s="7">
        <f>IF($C1936="","",R1936*U1936/100)</f>
        <v/>
      </c>
      <c r="W1936" s="7">
        <f>IF($C1936="","",R1936-V1936)</f>
        <v/>
      </c>
      <c r="X1936" s="7">
        <f>IF($C1936="","",W1936-K1936)</f>
        <v/>
      </c>
      <c r="AB1936" s="7" t="n"/>
      <c r="AE1936" s="11" t="n"/>
      <c r="AG1936">
        <f>IF($C1936="","",IF(COUNTIF($C$2:$C1936,$C1936)=1,1,0))</f>
        <v/>
      </c>
      <c r="AH1936">
        <f>IF($AG1936=1,SUMPRODUCT(--($AK$2:$AK$6001&lt;$AK1936))+1,"")</f>
        <v/>
      </c>
      <c r="AI1936">
        <f>IF($C1936="","",IF(OR($N1936=TRUE(),$N1936="TRUE"),1,0))</f>
        <v/>
      </c>
      <c r="AJ1936">
        <f>IF($C1936="","",IF($T1936="Yes",1,0))</f>
        <v/>
      </c>
      <c r="AK1936">
        <f>IF($AG1936=1,IFERROR(IF(VALUE($C1936)&lt;100000000,VALUE($C1936),1000000000),IFERROR(IF(VALUE(MID($C1936,2,20))&lt;100000000,VALUE(MID($C1936,2,20)),1000000000),1000000000))+ROW()/100000,"")</f>
        <v/>
      </c>
    </row>
    <row r="1937">
      <c r="D1937" s="11" t="n"/>
      <c r="K1937" s="7">
        <f>IF($C1937="","",J1937*W1937/100)</f>
        <v/>
      </c>
      <c r="Q1937" s="7" t="n"/>
      <c r="R1937" s="7" t="n"/>
      <c r="U1937">
        <f>IF($C1937="","",IF($AJ1937=1,0,IF($AI1937=1,Settings!$C$6,Settings!$C$7))*100)</f>
        <v/>
      </c>
      <c r="V1937" s="7">
        <f>IF($C1937="","",R1937*U1937/100)</f>
        <v/>
      </c>
      <c r="W1937" s="7">
        <f>IF($C1937="","",R1937-V1937)</f>
        <v/>
      </c>
      <c r="X1937" s="7">
        <f>IF($C1937="","",W1937-K1937)</f>
        <v/>
      </c>
      <c r="AB1937" s="7" t="n"/>
      <c r="AE1937" s="11" t="n"/>
      <c r="AG1937">
        <f>IF($C1937="","",IF(COUNTIF($C$2:$C1937,$C1937)=1,1,0))</f>
        <v/>
      </c>
      <c r="AH1937">
        <f>IF($AG1937=1,SUMPRODUCT(--($AK$2:$AK$6001&lt;$AK1937))+1,"")</f>
        <v/>
      </c>
      <c r="AI1937">
        <f>IF($C1937="","",IF(OR($N1937=TRUE(),$N1937="TRUE"),1,0))</f>
        <v/>
      </c>
      <c r="AJ1937">
        <f>IF($C1937="","",IF($T1937="Yes",1,0))</f>
        <v/>
      </c>
      <c r="AK1937">
        <f>IF($AG1937=1,IFERROR(IF(VALUE($C1937)&lt;100000000,VALUE($C1937),1000000000),IFERROR(IF(VALUE(MID($C1937,2,20))&lt;100000000,VALUE(MID($C1937,2,20)),1000000000),1000000000))+ROW()/100000,"")</f>
        <v/>
      </c>
    </row>
    <row r="1938">
      <c r="D1938" s="11" t="n"/>
      <c r="K1938" s="7">
        <f>IF($C1938="","",J1938*W1938/100)</f>
        <v/>
      </c>
      <c r="Q1938" s="7" t="n"/>
      <c r="R1938" s="7" t="n"/>
      <c r="U1938">
        <f>IF($C1938="","",IF($AJ1938=1,0,IF($AI1938=1,Settings!$C$6,Settings!$C$7))*100)</f>
        <v/>
      </c>
      <c r="V1938" s="7">
        <f>IF($C1938="","",R1938*U1938/100)</f>
        <v/>
      </c>
      <c r="W1938" s="7">
        <f>IF($C1938="","",R1938-V1938)</f>
        <v/>
      </c>
      <c r="X1938" s="7">
        <f>IF($C1938="","",W1938-K1938)</f>
        <v/>
      </c>
      <c r="AB1938" s="7" t="n"/>
      <c r="AE1938" s="11" t="n"/>
      <c r="AG1938">
        <f>IF($C1938="","",IF(COUNTIF($C$2:$C1938,$C1938)=1,1,0))</f>
        <v/>
      </c>
      <c r="AH1938">
        <f>IF($AG1938=1,SUMPRODUCT(--($AK$2:$AK$6001&lt;$AK1938))+1,"")</f>
        <v/>
      </c>
      <c r="AI1938">
        <f>IF($C1938="","",IF(OR($N1938=TRUE(),$N1938="TRUE"),1,0))</f>
        <v/>
      </c>
      <c r="AJ1938">
        <f>IF($C1938="","",IF($T1938="Yes",1,0))</f>
        <v/>
      </c>
      <c r="AK1938">
        <f>IF($AG1938=1,IFERROR(IF(VALUE($C1938)&lt;100000000,VALUE($C1938),1000000000),IFERROR(IF(VALUE(MID($C1938,2,20))&lt;100000000,VALUE(MID($C1938,2,20)),1000000000),1000000000))+ROW()/100000,"")</f>
        <v/>
      </c>
    </row>
    <row r="1939">
      <c r="D1939" s="11" t="n"/>
      <c r="K1939" s="7">
        <f>IF($C1939="","",J1939*W1939/100)</f>
        <v/>
      </c>
      <c r="Q1939" s="7" t="n"/>
      <c r="R1939" s="7" t="n"/>
      <c r="U1939">
        <f>IF($C1939="","",IF($AJ1939=1,0,IF($AI1939=1,Settings!$C$6,Settings!$C$7))*100)</f>
        <v/>
      </c>
      <c r="V1939" s="7">
        <f>IF($C1939="","",R1939*U1939/100)</f>
        <v/>
      </c>
      <c r="W1939" s="7">
        <f>IF($C1939="","",R1939-V1939)</f>
        <v/>
      </c>
      <c r="X1939" s="7">
        <f>IF($C1939="","",W1939-K1939)</f>
        <v/>
      </c>
      <c r="AB1939" s="7" t="n"/>
      <c r="AE1939" s="11" t="n"/>
      <c r="AG1939">
        <f>IF($C1939="","",IF(COUNTIF($C$2:$C1939,$C1939)=1,1,0))</f>
        <v/>
      </c>
      <c r="AH1939">
        <f>IF($AG1939=1,SUMPRODUCT(--($AK$2:$AK$6001&lt;$AK1939))+1,"")</f>
        <v/>
      </c>
      <c r="AI1939">
        <f>IF($C1939="","",IF(OR($N1939=TRUE(),$N1939="TRUE"),1,0))</f>
        <v/>
      </c>
      <c r="AJ1939">
        <f>IF($C1939="","",IF($T1939="Yes",1,0))</f>
        <v/>
      </c>
      <c r="AK1939">
        <f>IF($AG1939=1,IFERROR(IF(VALUE($C1939)&lt;100000000,VALUE($C1939),1000000000),IFERROR(IF(VALUE(MID($C1939,2,20))&lt;100000000,VALUE(MID($C1939,2,20)),1000000000),1000000000))+ROW()/100000,"")</f>
        <v/>
      </c>
    </row>
    <row r="1940">
      <c r="D1940" s="11" t="n"/>
      <c r="K1940" s="7">
        <f>IF($C1940="","",J1940*W1940/100)</f>
        <v/>
      </c>
      <c r="Q1940" s="7" t="n"/>
      <c r="R1940" s="7" t="n"/>
      <c r="U1940">
        <f>IF($C1940="","",IF($AJ1940=1,0,IF($AI1940=1,Settings!$C$6,Settings!$C$7))*100)</f>
        <v/>
      </c>
      <c r="V1940" s="7">
        <f>IF($C1940="","",R1940*U1940/100)</f>
        <v/>
      </c>
      <c r="W1940" s="7">
        <f>IF($C1940="","",R1940-V1940)</f>
        <v/>
      </c>
      <c r="X1940" s="7">
        <f>IF($C1940="","",W1940-K1940)</f>
        <v/>
      </c>
      <c r="AB1940" s="7" t="n"/>
      <c r="AE1940" s="11" t="n"/>
      <c r="AG1940">
        <f>IF($C1940="","",IF(COUNTIF($C$2:$C1940,$C1940)=1,1,0))</f>
        <v/>
      </c>
      <c r="AH1940">
        <f>IF($AG1940=1,SUMPRODUCT(--($AK$2:$AK$6001&lt;$AK1940))+1,"")</f>
        <v/>
      </c>
      <c r="AI1940">
        <f>IF($C1940="","",IF(OR($N1940=TRUE(),$N1940="TRUE"),1,0))</f>
        <v/>
      </c>
      <c r="AJ1940">
        <f>IF($C1940="","",IF($T1940="Yes",1,0))</f>
        <v/>
      </c>
      <c r="AK1940">
        <f>IF($AG1940=1,IFERROR(IF(VALUE($C1940)&lt;100000000,VALUE($C1940),1000000000),IFERROR(IF(VALUE(MID($C1940,2,20))&lt;100000000,VALUE(MID($C1940,2,20)),1000000000),1000000000))+ROW()/100000,"")</f>
        <v/>
      </c>
    </row>
    <row r="1941">
      <c r="D1941" s="11" t="n"/>
      <c r="K1941" s="7">
        <f>IF($C1941="","",J1941*W1941/100)</f>
        <v/>
      </c>
      <c r="Q1941" s="7" t="n"/>
      <c r="R1941" s="7" t="n"/>
      <c r="U1941">
        <f>IF($C1941="","",IF($AJ1941=1,0,IF($AI1941=1,Settings!$C$6,Settings!$C$7))*100)</f>
        <v/>
      </c>
      <c r="V1941" s="7">
        <f>IF($C1941="","",R1941*U1941/100)</f>
        <v/>
      </c>
      <c r="W1941" s="7">
        <f>IF($C1941="","",R1941-V1941)</f>
        <v/>
      </c>
      <c r="X1941" s="7">
        <f>IF($C1941="","",W1941-K1941)</f>
        <v/>
      </c>
      <c r="AB1941" s="7" t="n"/>
      <c r="AE1941" s="11" t="n"/>
      <c r="AG1941">
        <f>IF($C1941="","",IF(COUNTIF($C$2:$C1941,$C1941)=1,1,0))</f>
        <v/>
      </c>
      <c r="AH1941">
        <f>IF($AG1941=1,SUMPRODUCT(--($AK$2:$AK$6001&lt;$AK1941))+1,"")</f>
        <v/>
      </c>
      <c r="AI1941">
        <f>IF($C1941="","",IF(OR($N1941=TRUE(),$N1941="TRUE"),1,0))</f>
        <v/>
      </c>
      <c r="AJ1941">
        <f>IF($C1941="","",IF($T1941="Yes",1,0))</f>
        <v/>
      </c>
      <c r="AK1941">
        <f>IF($AG1941=1,IFERROR(IF(VALUE($C1941)&lt;100000000,VALUE($C1941),1000000000),IFERROR(IF(VALUE(MID($C1941,2,20))&lt;100000000,VALUE(MID($C1941,2,20)),1000000000),1000000000))+ROW()/100000,"")</f>
        <v/>
      </c>
    </row>
    <row r="1942">
      <c r="D1942" s="11" t="n"/>
      <c r="K1942" s="7">
        <f>IF($C1942="","",J1942*W1942/100)</f>
        <v/>
      </c>
      <c r="Q1942" s="7" t="n"/>
      <c r="R1942" s="7" t="n"/>
      <c r="U1942">
        <f>IF($C1942="","",IF($AJ1942=1,0,IF($AI1942=1,Settings!$C$6,Settings!$C$7))*100)</f>
        <v/>
      </c>
      <c r="V1942" s="7">
        <f>IF($C1942="","",R1942*U1942/100)</f>
        <v/>
      </c>
      <c r="W1942" s="7">
        <f>IF($C1942="","",R1942-V1942)</f>
        <v/>
      </c>
      <c r="X1942" s="7">
        <f>IF($C1942="","",W1942-K1942)</f>
        <v/>
      </c>
      <c r="AB1942" s="7" t="n"/>
      <c r="AE1942" s="11" t="n"/>
      <c r="AG1942">
        <f>IF($C1942="","",IF(COUNTIF($C$2:$C1942,$C1942)=1,1,0))</f>
        <v/>
      </c>
      <c r="AH1942">
        <f>IF($AG1942=1,SUMPRODUCT(--($AK$2:$AK$6001&lt;$AK1942))+1,"")</f>
        <v/>
      </c>
      <c r="AI1942">
        <f>IF($C1942="","",IF(OR($N1942=TRUE(),$N1942="TRUE"),1,0))</f>
        <v/>
      </c>
      <c r="AJ1942">
        <f>IF($C1942="","",IF($T1942="Yes",1,0))</f>
        <v/>
      </c>
      <c r="AK1942">
        <f>IF($AG1942=1,IFERROR(IF(VALUE($C1942)&lt;100000000,VALUE($C1942),1000000000),IFERROR(IF(VALUE(MID($C1942,2,20))&lt;100000000,VALUE(MID($C1942,2,20)),1000000000),1000000000))+ROW()/100000,"")</f>
        <v/>
      </c>
    </row>
    <row r="1943">
      <c r="D1943" s="11" t="n"/>
      <c r="K1943" s="7">
        <f>IF($C1943="","",J1943*W1943/100)</f>
        <v/>
      </c>
      <c r="Q1943" s="7" t="n"/>
      <c r="R1943" s="7" t="n"/>
      <c r="U1943">
        <f>IF($C1943="","",IF($AJ1943=1,0,IF($AI1943=1,Settings!$C$6,Settings!$C$7))*100)</f>
        <v/>
      </c>
      <c r="V1943" s="7">
        <f>IF($C1943="","",R1943*U1943/100)</f>
        <v/>
      </c>
      <c r="W1943" s="7">
        <f>IF($C1943="","",R1943-V1943)</f>
        <v/>
      </c>
      <c r="X1943" s="7">
        <f>IF($C1943="","",W1943-K1943)</f>
        <v/>
      </c>
      <c r="AB1943" s="7" t="n"/>
      <c r="AE1943" s="11" t="n"/>
      <c r="AG1943">
        <f>IF($C1943="","",IF(COUNTIF($C$2:$C1943,$C1943)=1,1,0))</f>
        <v/>
      </c>
      <c r="AH1943">
        <f>IF($AG1943=1,SUMPRODUCT(--($AK$2:$AK$6001&lt;$AK1943))+1,"")</f>
        <v/>
      </c>
      <c r="AI1943">
        <f>IF($C1943="","",IF(OR($N1943=TRUE(),$N1943="TRUE"),1,0))</f>
        <v/>
      </c>
      <c r="AJ1943">
        <f>IF($C1943="","",IF($T1943="Yes",1,0))</f>
        <v/>
      </c>
      <c r="AK1943">
        <f>IF($AG1943=1,IFERROR(IF(VALUE($C1943)&lt;100000000,VALUE($C1943),1000000000),IFERROR(IF(VALUE(MID($C1943,2,20))&lt;100000000,VALUE(MID($C1943,2,20)),1000000000),1000000000))+ROW()/100000,"")</f>
        <v/>
      </c>
    </row>
    <row r="1944">
      <c r="D1944" s="11" t="n"/>
      <c r="K1944" s="7">
        <f>IF($C1944="","",J1944*W1944/100)</f>
        <v/>
      </c>
      <c r="Q1944" s="7" t="n"/>
      <c r="R1944" s="7" t="n"/>
      <c r="U1944">
        <f>IF($C1944="","",IF($AJ1944=1,0,IF($AI1944=1,Settings!$C$6,Settings!$C$7))*100)</f>
        <v/>
      </c>
      <c r="V1944" s="7">
        <f>IF($C1944="","",R1944*U1944/100)</f>
        <v/>
      </c>
      <c r="W1944" s="7">
        <f>IF($C1944="","",R1944-V1944)</f>
        <v/>
      </c>
      <c r="X1944" s="7">
        <f>IF($C1944="","",W1944-K1944)</f>
        <v/>
      </c>
      <c r="AB1944" s="7" t="n"/>
      <c r="AE1944" s="11" t="n"/>
      <c r="AG1944">
        <f>IF($C1944="","",IF(COUNTIF($C$2:$C1944,$C1944)=1,1,0))</f>
        <v/>
      </c>
      <c r="AH1944">
        <f>IF($AG1944=1,SUMPRODUCT(--($AK$2:$AK$6001&lt;$AK1944))+1,"")</f>
        <v/>
      </c>
      <c r="AI1944">
        <f>IF($C1944="","",IF(OR($N1944=TRUE(),$N1944="TRUE"),1,0))</f>
        <v/>
      </c>
      <c r="AJ1944">
        <f>IF($C1944="","",IF($T1944="Yes",1,0))</f>
        <v/>
      </c>
      <c r="AK1944">
        <f>IF($AG1944=1,IFERROR(IF(VALUE($C1944)&lt;100000000,VALUE($C1944),1000000000),IFERROR(IF(VALUE(MID($C1944,2,20))&lt;100000000,VALUE(MID($C1944,2,20)),1000000000),1000000000))+ROW()/100000,"")</f>
        <v/>
      </c>
    </row>
    <row r="1945">
      <c r="D1945" s="11" t="n"/>
      <c r="K1945" s="7">
        <f>IF($C1945="","",J1945*W1945/100)</f>
        <v/>
      </c>
      <c r="Q1945" s="7" t="n"/>
      <c r="R1945" s="7" t="n"/>
      <c r="U1945">
        <f>IF($C1945="","",IF($AJ1945=1,0,IF($AI1945=1,Settings!$C$6,Settings!$C$7))*100)</f>
        <v/>
      </c>
      <c r="V1945" s="7">
        <f>IF($C1945="","",R1945*U1945/100)</f>
        <v/>
      </c>
      <c r="W1945" s="7">
        <f>IF($C1945="","",R1945-V1945)</f>
        <v/>
      </c>
      <c r="X1945" s="7">
        <f>IF($C1945="","",W1945-K1945)</f>
        <v/>
      </c>
      <c r="AB1945" s="7" t="n"/>
      <c r="AE1945" s="11" t="n"/>
      <c r="AG1945">
        <f>IF($C1945="","",IF(COUNTIF($C$2:$C1945,$C1945)=1,1,0))</f>
        <v/>
      </c>
      <c r="AH1945">
        <f>IF($AG1945=1,SUMPRODUCT(--($AK$2:$AK$6001&lt;$AK1945))+1,"")</f>
        <v/>
      </c>
      <c r="AI1945">
        <f>IF($C1945="","",IF(OR($N1945=TRUE(),$N1945="TRUE"),1,0))</f>
        <v/>
      </c>
      <c r="AJ1945">
        <f>IF($C1945="","",IF($T1945="Yes",1,0))</f>
        <v/>
      </c>
      <c r="AK1945">
        <f>IF($AG1945=1,IFERROR(IF(VALUE($C1945)&lt;100000000,VALUE($C1945),1000000000),IFERROR(IF(VALUE(MID($C1945,2,20))&lt;100000000,VALUE(MID($C1945,2,20)),1000000000),1000000000))+ROW()/100000,"")</f>
        <v/>
      </c>
    </row>
    <row r="1946">
      <c r="D1946" s="11" t="n"/>
      <c r="K1946" s="7">
        <f>IF($C1946="","",J1946*W1946/100)</f>
        <v/>
      </c>
      <c r="Q1946" s="7" t="n"/>
      <c r="R1946" s="7" t="n"/>
      <c r="U1946">
        <f>IF($C1946="","",IF($AJ1946=1,0,IF($AI1946=1,Settings!$C$6,Settings!$C$7))*100)</f>
        <v/>
      </c>
      <c r="V1946" s="7">
        <f>IF($C1946="","",R1946*U1946/100)</f>
        <v/>
      </c>
      <c r="W1946" s="7">
        <f>IF($C1946="","",R1946-V1946)</f>
        <v/>
      </c>
      <c r="X1946" s="7">
        <f>IF($C1946="","",W1946-K1946)</f>
        <v/>
      </c>
      <c r="AB1946" s="7" t="n"/>
      <c r="AE1946" s="11" t="n"/>
      <c r="AG1946">
        <f>IF($C1946="","",IF(COUNTIF($C$2:$C1946,$C1946)=1,1,0))</f>
        <v/>
      </c>
      <c r="AH1946">
        <f>IF($AG1946=1,SUMPRODUCT(--($AK$2:$AK$6001&lt;$AK1946))+1,"")</f>
        <v/>
      </c>
      <c r="AI1946">
        <f>IF($C1946="","",IF(OR($N1946=TRUE(),$N1946="TRUE"),1,0))</f>
        <v/>
      </c>
      <c r="AJ1946">
        <f>IF($C1946="","",IF($T1946="Yes",1,0))</f>
        <v/>
      </c>
      <c r="AK1946">
        <f>IF($AG1946=1,IFERROR(IF(VALUE($C1946)&lt;100000000,VALUE($C1946),1000000000),IFERROR(IF(VALUE(MID($C1946,2,20))&lt;100000000,VALUE(MID($C1946,2,20)),1000000000),1000000000))+ROW()/100000,"")</f>
        <v/>
      </c>
    </row>
    <row r="1947">
      <c r="D1947" s="11" t="n"/>
      <c r="K1947" s="7">
        <f>IF($C1947="","",J1947*W1947/100)</f>
        <v/>
      </c>
      <c r="Q1947" s="7" t="n"/>
      <c r="R1947" s="7" t="n"/>
      <c r="U1947">
        <f>IF($C1947="","",IF($AJ1947=1,0,IF($AI1947=1,Settings!$C$6,Settings!$C$7))*100)</f>
        <v/>
      </c>
      <c r="V1947" s="7">
        <f>IF($C1947="","",R1947*U1947/100)</f>
        <v/>
      </c>
      <c r="W1947" s="7">
        <f>IF($C1947="","",R1947-V1947)</f>
        <v/>
      </c>
      <c r="X1947" s="7">
        <f>IF($C1947="","",W1947-K1947)</f>
        <v/>
      </c>
      <c r="AB1947" s="7" t="n"/>
      <c r="AE1947" s="11" t="n"/>
      <c r="AG1947">
        <f>IF($C1947="","",IF(COUNTIF($C$2:$C1947,$C1947)=1,1,0))</f>
        <v/>
      </c>
      <c r="AH1947">
        <f>IF($AG1947=1,SUMPRODUCT(--($AK$2:$AK$6001&lt;$AK1947))+1,"")</f>
        <v/>
      </c>
      <c r="AI1947">
        <f>IF($C1947="","",IF(OR($N1947=TRUE(),$N1947="TRUE"),1,0))</f>
        <v/>
      </c>
      <c r="AJ1947">
        <f>IF($C1947="","",IF($T1947="Yes",1,0))</f>
        <v/>
      </c>
      <c r="AK1947">
        <f>IF($AG1947=1,IFERROR(IF(VALUE($C1947)&lt;100000000,VALUE($C1947),1000000000),IFERROR(IF(VALUE(MID($C1947,2,20))&lt;100000000,VALUE(MID($C1947,2,20)),1000000000),1000000000))+ROW()/100000,"")</f>
        <v/>
      </c>
    </row>
    <row r="1948">
      <c r="D1948" s="11" t="n"/>
      <c r="K1948" s="7">
        <f>IF($C1948="","",J1948*W1948/100)</f>
        <v/>
      </c>
      <c r="Q1948" s="7" t="n"/>
      <c r="R1948" s="7" t="n"/>
      <c r="U1948">
        <f>IF($C1948="","",IF($AJ1948=1,0,IF($AI1948=1,Settings!$C$6,Settings!$C$7))*100)</f>
        <v/>
      </c>
      <c r="V1948" s="7">
        <f>IF($C1948="","",R1948*U1948/100)</f>
        <v/>
      </c>
      <c r="W1948" s="7">
        <f>IF($C1948="","",R1948-V1948)</f>
        <v/>
      </c>
      <c r="X1948" s="7">
        <f>IF($C1948="","",W1948-K1948)</f>
        <v/>
      </c>
      <c r="AB1948" s="7" t="n"/>
      <c r="AE1948" s="11" t="n"/>
      <c r="AG1948">
        <f>IF($C1948="","",IF(COUNTIF($C$2:$C1948,$C1948)=1,1,0))</f>
        <v/>
      </c>
      <c r="AH1948">
        <f>IF($AG1948=1,SUMPRODUCT(--($AK$2:$AK$6001&lt;$AK1948))+1,"")</f>
        <v/>
      </c>
      <c r="AI1948">
        <f>IF($C1948="","",IF(OR($N1948=TRUE(),$N1948="TRUE"),1,0))</f>
        <v/>
      </c>
      <c r="AJ1948">
        <f>IF($C1948="","",IF($T1948="Yes",1,0))</f>
        <v/>
      </c>
      <c r="AK1948">
        <f>IF($AG1948=1,IFERROR(IF(VALUE($C1948)&lt;100000000,VALUE($C1948),1000000000),IFERROR(IF(VALUE(MID($C1948,2,20))&lt;100000000,VALUE(MID($C1948,2,20)),1000000000),1000000000))+ROW()/100000,"")</f>
        <v/>
      </c>
    </row>
    <row r="1949">
      <c r="D1949" s="11" t="n"/>
      <c r="K1949" s="7">
        <f>IF($C1949="","",J1949*W1949/100)</f>
        <v/>
      </c>
      <c r="Q1949" s="7" t="n"/>
      <c r="R1949" s="7" t="n"/>
      <c r="U1949">
        <f>IF($C1949="","",IF($AJ1949=1,0,IF($AI1949=1,Settings!$C$6,Settings!$C$7))*100)</f>
        <v/>
      </c>
      <c r="V1949" s="7">
        <f>IF($C1949="","",R1949*U1949/100)</f>
        <v/>
      </c>
      <c r="W1949" s="7">
        <f>IF($C1949="","",R1949-V1949)</f>
        <v/>
      </c>
      <c r="X1949" s="7">
        <f>IF($C1949="","",W1949-K1949)</f>
        <v/>
      </c>
      <c r="AB1949" s="7" t="n"/>
      <c r="AE1949" s="11" t="n"/>
      <c r="AG1949">
        <f>IF($C1949="","",IF(COUNTIF($C$2:$C1949,$C1949)=1,1,0))</f>
        <v/>
      </c>
      <c r="AH1949">
        <f>IF($AG1949=1,SUMPRODUCT(--($AK$2:$AK$6001&lt;$AK1949))+1,"")</f>
        <v/>
      </c>
      <c r="AI1949">
        <f>IF($C1949="","",IF(OR($N1949=TRUE(),$N1949="TRUE"),1,0))</f>
        <v/>
      </c>
      <c r="AJ1949">
        <f>IF($C1949="","",IF($T1949="Yes",1,0))</f>
        <v/>
      </c>
      <c r="AK1949">
        <f>IF($AG1949=1,IFERROR(IF(VALUE($C1949)&lt;100000000,VALUE($C1949),1000000000),IFERROR(IF(VALUE(MID($C1949,2,20))&lt;100000000,VALUE(MID($C1949,2,20)),1000000000),1000000000))+ROW()/100000,"")</f>
        <v/>
      </c>
    </row>
    <row r="1950">
      <c r="D1950" s="11" t="n"/>
      <c r="K1950" s="7">
        <f>IF($C1950="","",J1950*W1950/100)</f>
        <v/>
      </c>
      <c r="Q1950" s="7" t="n"/>
      <c r="R1950" s="7" t="n"/>
      <c r="U1950">
        <f>IF($C1950="","",IF($AJ1950=1,0,IF($AI1950=1,Settings!$C$6,Settings!$C$7))*100)</f>
        <v/>
      </c>
      <c r="V1950" s="7">
        <f>IF($C1950="","",R1950*U1950/100)</f>
        <v/>
      </c>
      <c r="W1950" s="7">
        <f>IF($C1950="","",R1950-V1950)</f>
        <v/>
      </c>
      <c r="X1950" s="7">
        <f>IF($C1950="","",W1950-K1950)</f>
        <v/>
      </c>
      <c r="AB1950" s="7" t="n"/>
      <c r="AE1950" s="11" t="n"/>
      <c r="AG1950">
        <f>IF($C1950="","",IF(COUNTIF($C$2:$C1950,$C1950)=1,1,0))</f>
        <v/>
      </c>
      <c r="AH1950">
        <f>IF($AG1950=1,SUMPRODUCT(--($AK$2:$AK$6001&lt;$AK1950))+1,"")</f>
        <v/>
      </c>
      <c r="AI1950">
        <f>IF($C1950="","",IF(OR($N1950=TRUE(),$N1950="TRUE"),1,0))</f>
        <v/>
      </c>
      <c r="AJ1950">
        <f>IF($C1950="","",IF($T1950="Yes",1,0))</f>
        <v/>
      </c>
      <c r="AK1950">
        <f>IF($AG1950=1,IFERROR(IF(VALUE($C1950)&lt;100000000,VALUE($C1950),1000000000),IFERROR(IF(VALUE(MID($C1950,2,20))&lt;100000000,VALUE(MID($C1950,2,20)),1000000000),1000000000))+ROW()/100000,"")</f>
        <v/>
      </c>
    </row>
    <row r="1951">
      <c r="D1951" s="11" t="n"/>
      <c r="K1951" s="7">
        <f>IF($C1951="","",J1951*W1951/100)</f>
        <v/>
      </c>
      <c r="Q1951" s="7" t="n"/>
      <c r="R1951" s="7" t="n"/>
      <c r="U1951">
        <f>IF($C1951="","",IF($AJ1951=1,0,IF($AI1951=1,Settings!$C$6,Settings!$C$7))*100)</f>
        <v/>
      </c>
      <c r="V1951" s="7">
        <f>IF($C1951="","",R1951*U1951/100)</f>
        <v/>
      </c>
      <c r="W1951" s="7">
        <f>IF($C1951="","",R1951-V1951)</f>
        <v/>
      </c>
      <c r="X1951" s="7">
        <f>IF($C1951="","",W1951-K1951)</f>
        <v/>
      </c>
      <c r="AB1951" s="7" t="n"/>
      <c r="AE1951" s="11" t="n"/>
      <c r="AG1951">
        <f>IF($C1951="","",IF(COUNTIF($C$2:$C1951,$C1951)=1,1,0))</f>
        <v/>
      </c>
      <c r="AH1951">
        <f>IF($AG1951=1,SUMPRODUCT(--($AK$2:$AK$6001&lt;$AK1951))+1,"")</f>
        <v/>
      </c>
      <c r="AI1951">
        <f>IF($C1951="","",IF(OR($N1951=TRUE(),$N1951="TRUE"),1,0))</f>
        <v/>
      </c>
      <c r="AJ1951">
        <f>IF($C1951="","",IF($T1951="Yes",1,0))</f>
        <v/>
      </c>
      <c r="AK1951">
        <f>IF($AG1951=1,IFERROR(IF(VALUE($C1951)&lt;100000000,VALUE($C1951),1000000000),IFERROR(IF(VALUE(MID($C1951,2,20))&lt;100000000,VALUE(MID($C1951,2,20)),1000000000),1000000000))+ROW()/100000,"")</f>
        <v/>
      </c>
    </row>
    <row r="1952">
      <c r="D1952" s="11" t="n"/>
      <c r="K1952" s="7">
        <f>IF($C1952="","",J1952*W1952/100)</f>
        <v/>
      </c>
      <c r="Q1952" s="7" t="n"/>
      <c r="R1952" s="7" t="n"/>
      <c r="U1952">
        <f>IF($C1952="","",IF($AJ1952=1,0,IF($AI1952=1,Settings!$C$6,Settings!$C$7))*100)</f>
        <v/>
      </c>
      <c r="V1952" s="7">
        <f>IF($C1952="","",R1952*U1952/100)</f>
        <v/>
      </c>
      <c r="W1952" s="7">
        <f>IF($C1952="","",R1952-V1952)</f>
        <v/>
      </c>
      <c r="X1952" s="7">
        <f>IF($C1952="","",W1952-K1952)</f>
        <v/>
      </c>
      <c r="AB1952" s="7" t="n"/>
      <c r="AE1952" s="11" t="n"/>
      <c r="AG1952">
        <f>IF($C1952="","",IF(COUNTIF($C$2:$C1952,$C1952)=1,1,0))</f>
        <v/>
      </c>
      <c r="AH1952">
        <f>IF($AG1952=1,SUMPRODUCT(--($AK$2:$AK$6001&lt;$AK1952))+1,"")</f>
        <v/>
      </c>
      <c r="AI1952">
        <f>IF($C1952="","",IF(OR($N1952=TRUE(),$N1952="TRUE"),1,0))</f>
        <v/>
      </c>
      <c r="AJ1952">
        <f>IF($C1952="","",IF($T1952="Yes",1,0))</f>
        <v/>
      </c>
      <c r="AK1952">
        <f>IF($AG1952=1,IFERROR(IF(VALUE($C1952)&lt;100000000,VALUE($C1952),1000000000),IFERROR(IF(VALUE(MID($C1952,2,20))&lt;100000000,VALUE(MID($C1952,2,20)),1000000000),1000000000))+ROW()/100000,"")</f>
        <v/>
      </c>
    </row>
    <row r="1953">
      <c r="D1953" s="11" t="n"/>
      <c r="K1953" s="7">
        <f>IF($C1953="","",J1953*W1953/100)</f>
        <v/>
      </c>
      <c r="Q1953" s="7" t="n"/>
      <c r="R1953" s="7" t="n"/>
      <c r="U1953">
        <f>IF($C1953="","",IF($AJ1953=1,0,IF($AI1953=1,Settings!$C$6,Settings!$C$7))*100)</f>
        <v/>
      </c>
      <c r="V1953" s="7">
        <f>IF($C1953="","",R1953*U1953/100)</f>
        <v/>
      </c>
      <c r="W1953" s="7">
        <f>IF($C1953="","",R1953-V1953)</f>
        <v/>
      </c>
      <c r="X1953" s="7">
        <f>IF($C1953="","",W1953-K1953)</f>
        <v/>
      </c>
      <c r="AB1953" s="7" t="n"/>
      <c r="AE1953" s="11" t="n"/>
      <c r="AG1953">
        <f>IF($C1953="","",IF(COUNTIF($C$2:$C1953,$C1953)=1,1,0))</f>
        <v/>
      </c>
      <c r="AH1953">
        <f>IF($AG1953=1,SUMPRODUCT(--($AK$2:$AK$6001&lt;$AK1953))+1,"")</f>
        <v/>
      </c>
      <c r="AI1953">
        <f>IF($C1953="","",IF(OR($N1953=TRUE(),$N1953="TRUE"),1,0))</f>
        <v/>
      </c>
      <c r="AJ1953">
        <f>IF($C1953="","",IF($T1953="Yes",1,0))</f>
        <v/>
      </c>
      <c r="AK1953">
        <f>IF($AG1953=1,IFERROR(IF(VALUE($C1953)&lt;100000000,VALUE($C1953),1000000000),IFERROR(IF(VALUE(MID($C1953,2,20))&lt;100000000,VALUE(MID($C1953,2,20)),1000000000),1000000000))+ROW()/100000,"")</f>
        <v/>
      </c>
    </row>
    <row r="1954">
      <c r="D1954" s="11" t="n"/>
      <c r="K1954" s="7">
        <f>IF($C1954="","",J1954*W1954/100)</f>
        <v/>
      </c>
      <c r="Q1954" s="7" t="n"/>
      <c r="R1954" s="7" t="n"/>
      <c r="U1954">
        <f>IF($C1954="","",IF($AJ1954=1,0,IF($AI1954=1,Settings!$C$6,Settings!$C$7))*100)</f>
        <v/>
      </c>
      <c r="V1954" s="7">
        <f>IF($C1954="","",R1954*U1954/100)</f>
        <v/>
      </c>
      <c r="W1954" s="7">
        <f>IF($C1954="","",R1954-V1954)</f>
        <v/>
      </c>
      <c r="X1954" s="7">
        <f>IF($C1954="","",W1954-K1954)</f>
        <v/>
      </c>
      <c r="AB1954" s="7" t="n"/>
      <c r="AE1954" s="11" t="n"/>
      <c r="AG1954">
        <f>IF($C1954="","",IF(COUNTIF($C$2:$C1954,$C1954)=1,1,0))</f>
        <v/>
      </c>
      <c r="AH1954">
        <f>IF($AG1954=1,SUMPRODUCT(--($AK$2:$AK$6001&lt;$AK1954))+1,"")</f>
        <v/>
      </c>
      <c r="AI1954">
        <f>IF($C1954="","",IF(OR($N1954=TRUE(),$N1954="TRUE"),1,0))</f>
        <v/>
      </c>
      <c r="AJ1954">
        <f>IF($C1954="","",IF($T1954="Yes",1,0))</f>
        <v/>
      </c>
      <c r="AK1954">
        <f>IF($AG1954=1,IFERROR(IF(VALUE($C1954)&lt;100000000,VALUE($C1954),1000000000),IFERROR(IF(VALUE(MID($C1954,2,20))&lt;100000000,VALUE(MID($C1954,2,20)),1000000000),1000000000))+ROW()/100000,"")</f>
        <v/>
      </c>
    </row>
    <row r="1955">
      <c r="D1955" s="11" t="n"/>
      <c r="K1955" s="7">
        <f>IF($C1955="","",J1955*W1955/100)</f>
        <v/>
      </c>
      <c r="Q1955" s="7" t="n"/>
      <c r="R1955" s="7" t="n"/>
      <c r="U1955">
        <f>IF($C1955="","",IF($AJ1955=1,0,IF($AI1955=1,Settings!$C$6,Settings!$C$7))*100)</f>
        <v/>
      </c>
      <c r="V1955" s="7">
        <f>IF($C1955="","",R1955*U1955/100)</f>
        <v/>
      </c>
      <c r="W1955" s="7">
        <f>IF($C1955="","",R1955-V1955)</f>
        <v/>
      </c>
      <c r="X1955" s="7">
        <f>IF($C1955="","",W1955-K1955)</f>
        <v/>
      </c>
      <c r="AB1955" s="7" t="n"/>
      <c r="AE1955" s="11" t="n"/>
      <c r="AG1955">
        <f>IF($C1955="","",IF(COUNTIF($C$2:$C1955,$C1955)=1,1,0))</f>
        <v/>
      </c>
      <c r="AH1955">
        <f>IF($AG1955=1,SUMPRODUCT(--($AK$2:$AK$6001&lt;$AK1955))+1,"")</f>
        <v/>
      </c>
      <c r="AI1955">
        <f>IF($C1955="","",IF(OR($N1955=TRUE(),$N1955="TRUE"),1,0))</f>
        <v/>
      </c>
      <c r="AJ1955">
        <f>IF($C1955="","",IF($T1955="Yes",1,0))</f>
        <v/>
      </c>
      <c r="AK1955">
        <f>IF($AG1955=1,IFERROR(IF(VALUE($C1955)&lt;100000000,VALUE($C1955),1000000000),IFERROR(IF(VALUE(MID($C1955,2,20))&lt;100000000,VALUE(MID($C1955,2,20)),1000000000),1000000000))+ROW()/100000,"")</f>
        <v/>
      </c>
    </row>
    <row r="1956">
      <c r="D1956" s="11" t="n"/>
      <c r="K1956" s="7">
        <f>IF($C1956="","",J1956*W1956/100)</f>
        <v/>
      </c>
      <c r="Q1956" s="7" t="n"/>
      <c r="R1956" s="7" t="n"/>
      <c r="U1956">
        <f>IF($C1956="","",IF($AJ1956=1,0,IF($AI1956=1,Settings!$C$6,Settings!$C$7))*100)</f>
        <v/>
      </c>
      <c r="V1956" s="7">
        <f>IF($C1956="","",R1956*U1956/100)</f>
        <v/>
      </c>
      <c r="W1956" s="7">
        <f>IF($C1956="","",R1956-V1956)</f>
        <v/>
      </c>
      <c r="X1956" s="7">
        <f>IF($C1956="","",W1956-K1956)</f>
        <v/>
      </c>
      <c r="AB1956" s="7" t="n"/>
      <c r="AE1956" s="11" t="n"/>
      <c r="AG1956">
        <f>IF($C1956="","",IF(COUNTIF($C$2:$C1956,$C1956)=1,1,0))</f>
        <v/>
      </c>
      <c r="AH1956">
        <f>IF($AG1956=1,SUMPRODUCT(--($AK$2:$AK$6001&lt;$AK1956))+1,"")</f>
        <v/>
      </c>
      <c r="AI1956">
        <f>IF($C1956="","",IF(OR($N1956=TRUE(),$N1956="TRUE"),1,0))</f>
        <v/>
      </c>
      <c r="AJ1956">
        <f>IF($C1956="","",IF($T1956="Yes",1,0))</f>
        <v/>
      </c>
      <c r="AK1956">
        <f>IF($AG1956=1,IFERROR(IF(VALUE($C1956)&lt;100000000,VALUE($C1956),1000000000),IFERROR(IF(VALUE(MID($C1956,2,20))&lt;100000000,VALUE(MID($C1956,2,20)),1000000000),1000000000))+ROW()/100000,"")</f>
        <v/>
      </c>
    </row>
    <row r="1957">
      <c r="D1957" s="11" t="n"/>
      <c r="K1957" s="7">
        <f>IF($C1957="","",J1957*W1957/100)</f>
        <v/>
      </c>
      <c r="Q1957" s="7" t="n"/>
      <c r="R1957" s="7" t="n"/>
      <c r="U1957">
        <f>IF($C1957="","",IF($AJ1957=1,0,IF($AI1957=1,Settings!$C$6,Settings!$C$7))*100)</f>
        <v/>
      </c>
      <c r="V1957" s="7">
        <f>IF($C1957="","",R1957*U1957/100)</f>
        <v/>
      </c>
      <c r="W1957" s="7">
        <f>IF($C1957="","",R1957-V1957)</f>
        <v/>
      </c>
      <c r="X1957" s="7">
        <f>IF($C1957="","",W1957-K1957)</f>
        <v/>
      </c>
      <c r="AB1957" s="7" t="n"/>
      <c r="AE1957" s="11" t="n"/>
      <c r="AG1957">
        <f>IF($C1957="","",IF(COUNTIF($C$2:$C1957,$C1957)=1,1,0))</f>
        <v/>
      </c>
      <c r="AH1957">
        <f>IF($AG1957=1,SUMPRODUCT(--($AK$2:$AK$6001&lt;$AK1957))+1,"")</f>
        <v/>
      </c>
      <c r="AI1957">
        <f>IF($C1957="","",IF(OR($N1957=TRUE(),$N1957="TRUE"),1,0))</f>
        <v/>
      </c>
      <c r="AJ1957">
        <f>IF($C1957="","",IF($T1957="Yes",1,0))</f>
        <v/>
      </c>
      <c r="AK1957">
        <f>IF($AG1957=1,IFERROR(IF(VALUE($C1957)&lt;100000000,VALUE($C1957),1000000000),IFERROR(IF(VALUE(MID($C1957,2,20))&lt;100000000,VALUE(MID($C1957,2,20)),1000000000),1000000000))+ROW()/100000,"")</f>
        <v/>
      </c>
    </row>
    <row r="1958">
      <c r="D1958" s="11" t="n"/>
      <c r="K1958" s="7">
        <f>IF($C1958="","",J1958*W1958/100)</f>
        <v/>
      </c>
      <c r="Q1958" s="7" t="n"/>
      <c r="R1958" s="7" t="n"/>
      <c r="U1958">
        <f>IF($C1958="","",IF($AJ1958=1,0,IF($AI1958=1,Settings!$C$6,Settings!$C$7))*100)</f>
        <v/>
      </c>
      <c r="V1958" s="7">
        <f>IF($C1958="","",R1958*U1958/100)</f>
        <v/>
      </c>
      <c r="W1958" s="7">
        <f>IF($C1958="","",R1958-V1958)</f>
        <v/>
      </c>
      <c r="X1958" s="7">
        <f>IF($C1958="","",W1958-K1958)</f>
        <v/>
      </c>
      <c r="AB1958" s="7" t="n"/>
      <c r="AE1958" s="11" t="n"/>
      <c r="AG1958">
        <f>IF($C1958="","",IF(COUNTIF($C$2:$C1958,$C1958)=1,1,0))</f>
        <v/>
      </c>
      <c r="AH1958">
        <f>IF($AG1958=1,SUMPRODUCT(--($AK$2:$AK$6001&lt;$AK1958))+1,"")</f>
        <v/>
      </c>
      <c r="AI1958">
        <f>IF($C1958="","",IF(OR($N1958=TRUE(),$N1958="TRUE"),1,0))</f>
        <v/>
      </c>
      <c r="AJ1958">
        <f>IF($C1958="","",IF($T1958="Yes",1,0))</f>
        <v/>
      </c>
      <c r="AK1958">
        <f>IF($AG1958=1,IFERROR(IF(VALUE($C1958)&lt;100000000,VALUE($C1958),1000000000),IFERROR(IF(VALUE(MID($C1958,2,20))&lt;100000000,VALUE(MID($C1958,2,20)),1000000000),1000000000))+ROW()/100000,"")</f>
        <v/>
      </c>
    </row>
    <row r="1959">
      <c r="D1959" s="11" t="n"/>
      <c r="K1959" s="7">
        <f>IF($C1959="","",J1959*W1959/100)</f>
        <v/>
      </c>
      <c r="Q1959" s="7" t="n"/>
      <c r="R1959" s="7" t="n"/>
      <c r="U1959">
        <f>IF($C1959="","",IF($AJ1959=1,0,IF($AI1959=1,Settings!$C$6,Settings!$C$7))*100)</f>
        <v/>
      </c>
      <c r="V1959" s="7">
        <f>IF($C1959="","",R1959*U1959/100)</f>
        <v/>
      </c>
      <c r="W1959" s="7">
        <f>IF($C1959="","",R1959-V1959)</f>
        <v/>
      </c>
      <c r="X1959" s="7">
        <f>IF($C1959="","",W1959-K1959)</f>
        <v/>
      </c>
      <c r="AB1959" s="7" t="n"/>
      <c r="AE1959" s="11" t="n"/>
      <c r="AG1959">
        <f>IF($C1959="","",IF(COUNTIF($C$2:$C1959,$C1959)=1,1,0))</f>
        <v/>
      </c>
      <c r="AH1959">
        <f>IF($AG1959=1,SUMPRODUCT(--($AK$2:$AK$6001&lt;$AK1959))+1,"")</f>
        <v/>
      </c>
      <c r="AI1959">
        <f>IF($C1959="","",IF(OR($N1959=TRUE(),$N1959="TRUE"),1,0))</f>
        <v/>
      </c>
      <c r="AJ1959">
        <f>IF($C1959="","",IF($T1959="Yes",1,0))</f>
        <v/>
      </c>
      <c r="AK1959">
        <f>IF($AG1959=1,IFERROR(IF(VALUE($C1959)&lt;100000000,VALUE($C1959),1000000000),IFERROR(IF(VALUE(MID($C1959,2,20))&lt;100000000,VALUE(MID($C1959,2,20)),1000000000),1000000000))+ROW()/100000,"")</f>
        <v/>
      </c>
    </row>
    <row r="1960">
      <c r="D1960" s="11" t="n"/>
      <c r="K1960" s="7">
        <f>IF($C1960="","",J1960*W1960/100)</f>
        <v/>
      </c>
      <c r="Q1960" s="7" t="n"/>
      <c r="R1960" s="7" t="n"/>
      <c r="U1960">
        <f>IF($C1960="","",IF($AJ1960=1,0,IF($AI1960=1,Settings!$C$6,Settings!$C$7))*100)</f>
        <v/>
      </c>
      <c r="V1960" s="7">
        <f>IF($C1960="","",R1960*U1960/100)</f>
        <v/>
      </c>
      <c r="W1960" s="7">
        <f>IF($C1960="","",R1960-V1960)</f>
        <v/>
      </c>
      <c r="X1960" s="7">
        <f>IF($C1960="","",W1960-K1960)</f>
        <v/>
      </c>
      <c r="AB1960" s="7" t="n"/>
      <c r="AE1960" s="11" t="n"/>
      <c r="AG1960">
        <f>IF($C1960="","",IF(COUNTIF($C$2:$C1960,$C1960)=1,1,0))</f>
        <v/>
      </c>
      <c r="AH1960">
        <f>IF($AG1960=1,SUMPRODUCT(--($AK$2:$AK$6001&lt;$AK1960))+1,"")</f>
        <v/>
      </c>
      <c r="AI1960">
        <f>IF($C1960="","",IF(OR($N1960=TRUE(),$N1960="TRUE"),1,0))</f>
        <v/>
      </c>
      <c r="AJ1960">
        <f>IF($C1960="","",IF($T1960="Yes",1,0))</f>
        <v/>
      </c>
      <c r="AK1960">
        <f>IF($AG1960=1,IFERROR(IF(VALUE($C1960)&lt;100000000,VALUE($C1960),1000000000),IFERROR(IF(VALUE(MID($C1960,2,20))&lt;100000000,VALUE(MID($C1960,2,20)),1000000000),1000000000))+ROW()/100000,"")</f>
        <v/>
      </c>
    </row>
    <row r="1961">
      <c r="D1961" s="11" t="n"/>
      <c r="K1961" s="7">
        <f>IF($C1961="","",J1961*W1961/100)</f>
        <v/>
      </c>
      <c r="Q1961" s="7" t="n"/>
      <c r="R1961" s="7" t="n"/>
      <c r="U1961">
        <f>IF($C1961="","",IF($AJ1961=1,0,IF($AI1961=1,Settings!$C$6,Settings!$C$7))*100)</f>
        <v/>
      </c>
      <c r="V1961" s="7">
        <f>IF($C1961="","",R1961*U1961/100)</f>
        <v/>
      </c>
      <c r="W1961" s="7">
        <f>IF($C1961="","",R1961-V1961)</f>
        <v/>
      </c>
      <c r="X1961" s="7">
        <f>IF($C1961="","",W1961-K1961)</f>
        <v/>
      </c>
      <c r="AB1961" s="7" t="n"/>
      <c r="AE1961" s="11" t="n"/>
      <c r="AG1961">
        <f>IF($C1961="","",IF(COUNTIF($C$2:$C1961,$C1961)=1,1,0))</f>
        <v/>
      </c>
      <c r="AH1961">
        <f>IF($AG1961=1,SUMPRODUCT(--($AK$2:$AK$6001&lt;$AK1961))+1,"")</f>
        <v/>
      </c>
      <c r="AI1961">
        <f>IF($C1961="","",IF(OR($N1961=TRUE(),$N1961="TRUE"),1,0))</f>
        <v/>
      </c>
      <c r="AJ1961">
        <f>IF($C1961="","",IF($T1961="Yes",1,0))</f>
        <v/>
      </c>
      <c r="AK1961">
        <f>IF($AG1961=1,IFERROR(IF(VALUE($C1961)&lt;100000000,VALUE($C1961),1000000000),IFERROR(IF(VALUE(MID($C1961,2,20))&lt;100000000,VALUE(MID($C1961,2,20)),1000000000),1000000000))+ROW()/100000,"")</f>
        <v/>
      </c>
    </row>
    <row r="1962">
      <c r="D1962" s="11" t="n"/>
      <c r="K1962" s="7">
        <f>IF($C1962="","",J1962*W1962/100)</f>
        <v/>
      </c>
      <c r="Q1962" s="7" t="n"/>
      <c r="R1962" s="7" t="n"/>
      <c r="U1962">
        <f>IF($C1962="","",IF($AJ1962=1,0,IF($AI1962=1,Settings!$C$6,Settings!$C$7))*100)</f>
        <v/>
      </c>
      <c r="V1962" s="7">
        <f>IF($C1962="","",R1962*U1962/100)</f>
        <v/>
      </c>
      <c r="W1962" s="7">
        <f>IF($C1962="","",R1962-V1962)</f>
        <v/>
      </c>
      <c r="X1962" s="7">
        <f>IF($C1962="","",W1962-K1962)</f>
        <v/>
      </c>
      <c r="AB1962" s="7" t="n"/>
      <c r="AE1962" s="11" t="n"/>
      <c r="AG1962">
        <f>IF($C1962="","",IF(COUNTIF($C$2:$C1962,$C1962)=1,1,0))</f>
        <v/>
      </c>
      <c r="AH1962">
        <f>IF($AG1962=1,SUMPRODUCT(--($AK$2:$AK$6001&lt;$AK1962))+1,"")</f>
        <v/>
      </c>
      <c r="AI1962">
        <f>IF($C1962="","",IF(OR($N1962=TRUE(),$N1962="TRUE"),1,0))</f>
        <v/>
      </c>
      <c r="AJ1962">
        <f>IF($C1962="","",IF($T1962="Yes",1,0))</f>
        <v/>
      </c>
      <c r="AK1962">
        <f>IF($AG1962=1,IFERROR(IF(VALUE($C1962)&lt;100000000,VALUE($C1962),1000000000),IFERROR(IF(VALUE(MID($C1962,2,20))&lt;100000000,VALUE(MID($C1962,2,20)),1000000000),1000000000))+ROW()/100000,"")</f>
        <v/>
      </c>
    </row>
    <row r="1963">
      <c r="D1963" s="11" t="n"/>
      <c r="K1963" s="7">
        <f>IF($C1963="","",J1963*W1963/100)</f>
        <v/>
      </c>
      <c r="Q1963" s="7" t="n"/>
      <c r="R1963" s="7" t="n"/>
      <c r="U1963">
        <f>IF($C1963="","",IF($AJ1963=1,0,IF($AI1963=1,Settings!$C$6,Settings!$C$7))*100)</f>
        <v/>
      </c>
      <c r="V1963" s="7">
        <f>IF($C1963="","",R1963*U1963/100)</f>
        <v/>
      </c>
      <c r="W1963" s="7">
        <f>IF($C1963="","",R1963-V1963)</f>
        <v/>
      </c>
      <c r="X1963" s="7">
        <f>IF($C1963="","",W1963-K1963)</f>
        <v/>
      </c>
      <c r="AB1963" s="7" t="n"/>
      <c r="AE1963" s="11" t="n"/>
      <c r="AG1963">
        <f>IF($C1963="","",IF(COUNTIF($C$2:$C1963,$C1963)=1,1,0))</f>
        <v/>
      </c>
      <c r="AH1963">
        <f>IF($AG1963=1,SUMPRODUCT(--($AK$2:$AK$6001&lt;$AK1963))+1,"")</f>
        <v/>
      </c>
      <c r="AI1963">
        <f>IF($C1963="","",IF(OR($N1963=TRUE(),$N1963="TRUE"),1,0))</f>
        <v/>
      </c>
      <c r="AJ1963">
        <f>IF($C1963="","",IF($T1963="Yes",1,0))</f>
        <v/>
      </c>
      <c r="AK1963">
        <f>IF($AG1963=1,IFERROR(IF(VALUE($C1963)&lt;100000000,VALUE($C1963),1000000000),IFERROR(IF(VALUE(MID($C1963,2,20))&lt;100000000,VALUE(MID($C1963,2,20)),1000000000),1000000000))+ROW()/100000,"")</f>
        <v/>
      </c>
    </row>
    <row r="1964">
      <c r="D1964" s="11" t="n"/>
      <c r="K1964" s="7">
        <f>IF($C1964="","",J1964*W1964/100)</f>
        <v/>
      </c>
      <c r="Q1964" s="7" t="n"/>
      <c r="R1964" s="7" t="n"/>
      <c r="U1964">
        <f>IF($C1964="","",IF($AJ1964=1,0,IF($AI1964=1,Settings!$C$6,Settings!$C$7))*100)</f>
        <v/>
      </c>
      <c r="V1964" s="7">
        <f>IF($C1964="","",R1964*U1964/100)</f>
        <v/>
      </c>
      <c r="W1964" s="7">
        <f>IF($C1964="","",R1964-V1964)</f>
        <v/>
      </c>
      <c r="X1964" s="7">
        <f>IF($C1964="","",W1964-K1964)</f>
        <v/>
      </c>
      <c r="AB1964" s="7" t="n"/>
      <c r="AE1964" s="11" t="n"/>
      <c r="AG1964">
        <f>IF($C1964="","",IF(COUNTIF($C$2:$C1964,$C1964)=1,1,0))</f>
        <v/>
      </c>
      <c r="AH1964">
        <f>IF($AG1964=1,SUMPRODUCT(--($AK$2:$AK$6001&lt;$AK1964))+1,"")</f>
        <v/>
      </c>
      <c r="AI1964">
        <f>IF($C1964="","",IF(OR($N1964=TRUE(),$N1964="TRUE"),1,0))</f>
        <v/>
      </c>
      <c r="AJ1964">
        <f>IF($C1964="","",IF($T1964="Yes",1,0))</f>
        <v/>
      </c>
      <c r="AK1964">
        <f>IF($AG1964=1,IFERROR(IF(VALUE($C1964)&lt;100000000,VALUE($C1964),1000000000),IFERROR(IF(VALUE(MID($C1964,2,20))&lt;100000000,VALUE(MID($C1964,2,20)),1000000000),1000000000))+ROW()/100000,"")</f>
        <v/>
      </c>
    </row>
    <row r="1965">
      <c r="D1965" s="11" t="n"/>
      <c r="K1965" s="7">
        <f>IF($C1965="","",J1965*W1965/100)</f>
        <v/>
      </c>
      <c r="Q1965" s="7" t="n"/>
      <c r="R1965" s="7" t="n"/>
      <c r="U1965">
        <f>IF($C1965="","",IF($AJ1965=1,0,IF($AI1965=1,Settings!$C$6,Settings!$C$7))*100)</f>
        <v/>
      </c>
      <c r="V1965" s="7">
        <f>IF($C1965="","",R1965*U1965/100)</f>
        <v/>
      </c>
      <c r="W1965" s="7">
        <f>IF($C1965="","",R1965-V1965)</f>
        <v/>
      </c>
      <c r="X1965" s="7">
        <f>IF($C1965="","",W1965-K1965)</f>
        <v/>
      </c>
      <c r="AB1965" s="7" t="n"/>
      <c r="AE1965" s="11" t="n"/>
      <c r="AG1965">
        <f>IF($C1965="","",IF(COUNTIF($C$2:$C1965,$C1965)=1,1,0))</f>
        <v/>
      </c>
      <c r="AH1965">
        <f>IF($AG1965=1,SUMPRODUCT(--($AK$2:$AK$6001&lt;$AK1965))+1,"")</f>
        <v/>
      </c>
      <c r="AI1965">
        <f>IF($C1965="","",IF(OR($N1965=TRUE(),$N1965="TRUE"),1,0))</f>
        <v/>
      </c>
      <c r="AJ1965">
        <f>IF($C1965="","",IF($T1965="Yes",1,0))</f>
        <v/>
      </c>
      <c r="AK1965">
        <f>IF($AG1965=1,IFERROR(IF(VALUE($C1965)&lt;100000000,VALUE($C1965),1000000000),IFERROR(IF(VALUE(MID($C1965,2,20))&lt;100000000,VALUE(MID($C1965,2,20)),1000000000),1000000000))+ROW()/100000,"")</f>
        <v/>
      </c>
    </row>
    <row r="1966">
      <c r="D1966" s="11" t="n"/>
      <c r="K1966" s="7">
        <f>IF($C1966="","",J1966*W1966/100)</f>
        <v/>
      </c>
      <c r="Q1966" s="7" t="n"/>
      <c r="R1966" s="7" t="n"/>
      <c r="U1966">
        <f>IF($C1966="","",IF($AJ1966=1,0,IF($AI1966=1,Settings!$C$6,Settings!$C$7))*100)</f>
        <v/>
      </c>
      <c r="V1966" s="7">
        <f>IF($C1966="","",R1966*U1966/100)</f>
        <v/>
      </c>
      <c r="W1966" s="7">
        <f>IF($C1966="","",R1966-V1966)</f>
        <v/>
      </c>
      <c r="X1966" s="7">
        <f>IF($C1966="","",W1966-K1966)</f>
        <v/>
      </c>
      <c r="AB1966" s="7" t="n"/>
      <c r="AE1966" s="11" t="n"/>
      <c r="AG1966">
        <f>IF($C1966="","",IF(COUNTIF($C$2:$C1966,$C1966)=1,1,0))</f>
        <v/>
      </c>
      <c r="AH1966">
        <f>IF($AG1966=1,SUMPRODUCT(--($AK$2:$AK$6001&lt;$AK1966))+1,"")</f>
        <v/>
      </c>
      <c r="AI1966">
        <f>IF($C1966="","",IF(OR($N1966=TRUE(),$N1966="TRUE"),1,0))</f>
        <v/>
      </c>
      <c r="AJ1966">
        <f>IF($C1966="","",IF($T1966="Yes",1,0))</f>
        <v/>
      </c>
      <c r="AK1966">
        <f>IF($AG1966=1,IFERROR(IF(VALUE($C1966)&lt;100000000,VALUE($C1966),1000000000),IFERROR(IF(VALUE(MID($C1966,2,20))&lt;100000000,VALUE(MID($C1966,2,20)),1000000000),1000000000))+ROW()/100000,"")</f>
        <v/>
      </c>
    </row>
    <row r="1967">
      <c r="D1967" s="11" t="n"/>
      <c r="K1967" s="7">
        <f>IF($C1967="","",J1967*W1967/100)</f>
        <v/>
      </c>
      <c r="Q1967" s="7" t="n"/>
      <c r="R1967" s="7" t="n"/>
      <c r="U1967">
        <f>IF($C1967="","",IF($AJ1967=1,0,IF($AI1967=1,Settings!$C$6,Settings!$C$7))*100)</f>
        <v/>
      </c>
      <c r="V1967" s="7">
        <f>IF($C1967="","",R1967*U1967/100)</f>
        <v/>
      </c>
      <c r="W1967" s="7">
        <f>IF($C1967="","",R1967-V1967)</f>
        <v/>
      </c>
      <c r="X1967" s="7">
        <f>IF($C1967="","",W1967-K1967)</f>
        <v/>
      </c>
      <c r="AB1967" s="7" t="n"/>
      <c r="AE1967" s="11" t="n"/>
      <c r="AG1967">
        <f>IF($C1967="","",IF(COUNTIF($C$2:$C1967,$C1967)=1,1,0))</f>
        <v/>
      </c>
      <c r="AH1967">
        <f>IF($AG1967=1,SUMPRODUCT(--($AK$2:$AK$6001&lt;$AK1967))+1,"")</f>
        <v/>
      </c>
      <c r="AI1967">
        <f>IF($C1967="","",IF(OR($N1967=TRUE(),$N1967="TRUE"),1,0))</f>
        <v/>
      </c>
      <c r="AJ1967">
        <f>IF($C1967="","",IF($T1967="Yes",1,0))</f>
        <v/>
      </c>
      <c r="AK1967">
        <f>IF($AG1967=1,IFERROR(IF(VALUE($C1967)&lt;100000000,VALUE($C1967),1000000000),IFERROR(IF(VALUE(MID($C1967,2,20))&lt;100000000,VALUE(MID($C1967,2,20)),1000000000),1000000000))+ROW()/100000,"")</f>
        <v/>
      </c>
    </row>
    <row r="1968">
      <c r="D1968" s="11" t="n"/>
      <c r="K1968" s="7">
        <f>IF($C1968="","",J1968*W1968/100)</f>
        <v/>
      </c>
      <c r="Q1968" s="7" t="n"/>
      <c r="R1968" s="7" t="n"/>
      <c r="U1968">
        <f>IF($C1968="","",IF($AJ1968=1,0,IF($AI1968=1,Settings!$C$6,Settings!$C$7))*100)</f>
        <v/>
      </c>
      <c r="V1968" s="7">
        <f>IF($C1968="","",R1968*U1968/100)</f>
        <v/>
      </c>
      <c r="W1968" s="7">
        <f>IF($C1968="","",R1968-V1968)</f>
        <v/>
      </c>
      <c r="X1968" s="7">
        <f>IF($C1968="","",W1968-K1968)</f>
        <v/>
      </c>
      <c r="AB1968" s="7" t="n"/>
      <c r="AE1968" s="11" t="n"/>
      <c r="AG1968">
        <f>IF($C1968="","",IF(COUNTIF($C$2:$C1968,$C1968)=1,1,0))</f>
        <v/>
      </c>
      <c r="AH1968">
        <f>IF($AG1968=1,SUMPRODUCT(--($AK$2:$AK$6001&lt;$AK1968))+1,"")</f>
        <v/>
      </c>
      <c r="AI1968">
        <f>IF($C1968="","",IF(OR($N1968=TRUE(),$N1968="TRUE"),1,0))</f>
        <v/>
      </c>
      <c r="AJ1968">
        <f>IF($C1968="","",IF($T1968="Yes",1,0))</f>
        <v/>
      </c>
      <c r="AK1968">
        <f>IF($AG1968=1,IFERROR(IF(VALUE($C1968)&lt;100000000,VALUE($C1968),1000000000),IFERROR(IF(VALUE(MID($C1968,2,20))&lt;100000000,VALUE(MID($C1968,2,20)),1000000000),1000000000))+ROW()/100000,"")</f>
        <v/>
      </c>
    </row>
    <row r="1969">
      <c r="D1969" s="11" t="n"/>
      <c r="K1969" s="7">
        <f>IF($C1969="","",J1969*W1969/100)</f>
        <v/>
      </c>
      <c r="Q1969" s="7" t="n"/>
      <c r="R1969" s="7" t="n"/>
      <c r="U1969">
        <f>IF($C1969="","",IF($AJ1969=1,0,IF($AI1969=1,Settings!$C$6,Settings!$C$7))*100)</f>
        <v/>
      </c>
      <c r="V1969" s="7">
        <f>IF($C1969="","",R1969*U1969/100)</f>
        <v/>
      </c>
      <c r="W1969" s="7">
        <f>IF($C1969="","",R1969-V1969)</f>
        <v/>
      </c>
      <c r="X1969" s="7">
        <f>IF($C1969="","",W1969-K1969)</f>
        <v/>
      </c>
      <c r="AB1969" s="7" t="n"/>
      <c r="AE1969" s="11" t="n"/>
      <c r="AG1969">
        <f>IF($C1969="","",IF(COUNTIF($C$2:$C1969,$C1969)=1,1,0))</f>
        <v/>
      </c>
      <c r="AH1969">
        <f>IF($AG1969=1,SUMPRODUCT(--($AK$2:$AK$6001&lt;$AK1969))+1,"")</f>
        <v/>
      </c>
      <c r="AI1969">
        <f>IF($C1969="","",IF(OR($N1969=TRUE(),$N1969="TRUE"),1,0))</f>
        <v/>
      </c>
      <c r="AJ1969">
        <f>IF($C1969="","",IF($T1969="Yes",1,0))</f>
        <v/>
      </c>
      <c r="AK1969">
        <f>IF($AG1969=1,IFERROR(IF(VALUE($C1969)&lt;100000000,VALUE($C1969),1000000000),IFERROR(IF(VALUE(MID($C1969,2,20))&lt;100000000,VALUE(MID($C1969,2,20)),1000000000),1000000000))+ROW()/100000,"")</f>
        <v/>
      </c>
    </row>
    <row r="1970">
      <c r="D1970" s="11" t="n"/>
      <c r="K1970" s="7">
        <f>IF($C1970="","",J1970*W1970/100)</f>
        <v/>
      </c>
      <c r="Q1970" s="7" t="n"/>
      <c r="R1970" s="7" t="n"/>
      <c r="U1970">
        <f>IF($C1970="","",IF($AJ1970=1,0,IF($AI1970=1,Settings!$C$6,Settings!$C$7))*100)</f>
        <v/>
      </c>
      <c r="V1970" s="7">
        <f>IF($C1970="","",R1970*U1970/100)</f>
        <v/>
      </c>
      <c r="W1970" s="7">
        <f>IF($C1970="","",R1970-V1970)</f>
        <v/>
      </c>
      <c r="X1970" s="7">
        <f>IF($C1970="","",W1970-K1970)</f>
        <v/>
      </c>
      <c r="AB1970" s="7" t="n"/>
      <c r="AE1970" s="11" t="n"/>
      <c r="AG1970">
        <f>IF($C1970="","",IF(COUNTIF($C$2:$C1970,$C1970)=1,1,0))</f>
        <v/>
      </c>
      <c r="AH1970">
        <f>IF($AG1970=1,SUMPRODUCT(--($AK$2:$AK$6001&lt;$AK1970))+1,"")</f>
        <v/>
      </c>
      <c r="AI1970">
        <f>IF($C1970="","",IF(OR($N1970=TRUE(),$N1970="TRUE"),1,0))</f>
        <v/>
      </c>
      <c r="AJ1970">
        <f>IF($C1970="","",IF($T1970="Yes",1,0))</f>
        <v/>
      </c>
      <c r="AK1970">
        <f>IF($AG1970=1,IFERROR(IF(VALUE($C1970)&lt;100000000,VALUE($C1970),1000000000),IFERROR(IF(VALUE(MID($C1970,2,20))&lt;100000000,VALUE(MID($C1970,2,20)),1000000000),1000000000))+ROW()/100000,"")</f>
        <v/>
      </c>
    </row>
    <row r="1971">
      <c r="D1971" s="11" t="n"/>
      <c r="K1971" s="7">
        <f>IF($C1971="","",J1971*W1971/100)</f>
        <v/>
      </c>
      <c r="Q1971" s="7" t="n"/>
      <c r="R1971" s="7" t="n"/>
      <c r="U1971">
        <f>IF($C1971="","",IF($AJ1971=1,0,IF($AI1971=1,Settings!$C$6,Settings!$C$7))*100)</f>
        <v/>
      </c>
      <c r="V1971" s="7">
        <f>IF($C1971="","",R1971*U1971/100)</f>
        <v/>
      </c>
      <c r="W1971" s="7">
        <f>IF($C1971="","",R1971-V1971)</f>
        <v/>
      </c>
      <c r="X1971" s="7">
        <f>IF($C1971="","",W1971-K1971)</f>
        <v/>
      </c>
      <c r="AB1971" s="7" t="n"/>
      <c r="AE1971" s="11" t="n"/>
      <c r="AG1971">
        <f>IF($C1971="","",IF(COUNTIF($C$2:$C1971,$C1971)=1,1,0))</f>
        <v/>
      </c>
      <c r="AH1971">
        <f>IF($AG1971=1,SUMPRODUCT(--($AK$2:$AK$6001&lt;$AK1971))+1,"")</f>
        <v/>
      </c>
      <c r="AI1971">
        <f>IF($C1971="","",IF(OR($N1971=TRUE(),$N1971="TRUE"),1,0))</f>
        <v/>
      </c>
      <c r="AJ1971">
        <f>IF($C1971="","",IF($T1971="Yes",1,0))</f>
        <v/>
      </c>
      <c r="AK1971">
        <f>IF($AG1971=1,IFERROR(IF(VALUE($C1971)&lt;100000000,VALUE($C1971),1000000000),IFERROR(IF(VALUE(MID($C1971,2,20))&lt;100000000,VALUE(MID($C1971,2,20)),1000000000),1000000000))+ROW()/100000,"")</f>
        <v/>
      </c>
    </row>
    <row r="1972">
      <c r="D1972" s="11" t="n"/>
      <c r="K1972" s="7">
        <f>IF($C1972="","",J1972*W1972/100)</f>
        <v/>
      </c>
      <c r="Q1972" s="7" t="n"/>
      <c r="R1972" s="7" t="n"/>
      <c r="U1972">
        <f>IF($C1972="","",IF($AJ1972=1,0,IF($AI1972=1,Settings!$C$6,Settings!$C$7))*100)</f>
        <v/>
      </c>
      <c r="V1972" s="7">
        <f>IF($C1972="","",R1972*U1972/100)</f>
        <v/>
      </c>
      <c r="W1972" s="7">
        <f>IF($C1972="","",R1972-V1972)</f>
        <v/>
      </c>
      <c r="X1972" s="7">
        <f>IF($C1972="","",W1972-K1972)</f>
        <v/>
      </c>
      <c r="AB1972" s="7" t="n"/>
      <c r="AE1972" s="11" t="n"/>
      <c r="AG1972">
        <f>IF($C1972="","",IF(COUNTIF($C$2:$C1972,$C1972)=1,1,0))</f>
        <v/>
      </c>
      <c r="AH1972">
        <f>IF($AG1972=1,SUMPRODUCT(--($AK$2:$AK$6001&lt;$AK1972))+1,"")</f>
        <v/>
      </c>
      <c r="AI1972">
        <f>IF($C1972="","",IF(OR($N1972=TRUE(),$N1972="TRUE"),1,0))</f>
        <v/>
      </c>
      <c r="AJ1972">
        <f>IF($C1972="","",IF($T1972="Yes",1,0))</f>
        <v/>
      </c>
      <c r="AK1972">
        <f>IF($AG1972=1,IFERROR(IF(VALUE($C1972)&lt;100000000,VALUE($C1972),1000000000),IFERROR(IF(VALUE(MID($C1972,2,20))&lt;100000000,VALUE(MID($C1972,2,20)),1000000000),1000000000))+ROW()/100000,"")</f>
        <v/>
      </c>
    </row>
    <row r="1973">
      <c r="D1973" s="11" t="n"/>
      <c r="K1973" s="7">
        <f>IF($C1973="","",J1973*W1973/100)</f>
        <v/>
      </c>
      <c r="Q1973" s="7" t="n"/>
      <c r="R1973" s="7" t="n"/>
      <c r="U1973">
        <f>IF($C1973="","",IF($AJ1973=1,0,IF($AI1973=1,Settings!$C$6,Settings!$C$7))*100)</f>
        <v/>
      </c>
      <c r="V1973" s="7">
        <f>IF($C1973="","",R1973*U1973/100)</f>
        <v/>
      </c>
      <c r="W1973" s="7">
        <f>IF($C1973="","",R1973-V1973)</f>
        <v/>
      </c>
      <c r="X1973" s="7">
        <f>IF($C1973="","",W1973-K1973)</f>
        <v/>
      </c>
      <c r="AB1973" s="7" t="n"/>
      <c r="AE1973" s="11" t="n"/>
      <c r="AG1973">
        <f>IF($C1973="","",IF(COUNTIF($C$2:$C1973,$C1973)=1,1,0))</f>
        <v/>
      </c>
      <c r="AH1973">
        <f>IF($AG1973=1,SUMPRODUCT(--($AK$2:$AK$6001&lt;$AK1973))+1,"")</f>
        <v/>
      </c>
      <c r="AI1973">
        <f>IF($C1973="","",IF(OR($N1973=TRUE(),$N1973="TRUE"),1,0))</f>
        <v/>
      </c>
      <c r="AJ1973">
        <f>IF($C1973="","",IF($T1973="Yes",1,0))</f>
        <v/>
      </c>
      <c r="AK1973">
        <f>IF($AG1973=1,IFERROR(IF(VALUE($C1973)&lt;100000000,VALUE($C1973),1000000000),IFERROR(IF(VALUE(MID($C1973,2,20))&lt;100000000,VALUE(MID($C1973,2,20)),1000000000),1000000000))+ROW()/100000,"")</f>
        <v/>
      </c>
    </row>
    <row r="1974">
      <c r="D1974" s="11" t="n"/>
      <c r="K1974" s="7">
        <f>IF($C1974="","",J1974*W1974/100)</f>
        <v/>
      </c>
      <c r="Q1974" s="7" t="n"/>
      <c r="R1974" s="7" t="n"/>
      <c r="U1974">
        <f>IF($C1974="","",IF($AJ1974=1,0,IF($AI1974=1,Settings!$C$6,Settings!$C$7))*100)</f>
        <v/>
      </c>
      <c r="V1974" s="7">
        <f>IF($C1974="","",R1974*U1974/100)</f>
        <v/>
      </c>
      <c r="W1974" s="7">
        <f>IF($C1974="","",R1974-V1974)</f>
        <v/>
      </c>
      <c r="X1974" s="7">
        <f>IF($C1974="","",W1974-K1974)</f>
        <v/>
      </c>
      <c r="AB1974" s="7" t="n"/>
      <c r="AE1974" s="11" t="n"/>
      <c r="AG1974">
        <f>IF($C1974="","",IF(COUNTIF($C$2:$C1974,$C1974)=1,1,0))</f>
        <v/>
      </c>
      <c r="AH1974">
        <f>IF($AG1974=1,SUMPRODUCT(--($AK$2:$AK$6001&lt;$AK1974))+1,"")</f>
        <v/>
      </c>
      <c r="AI1974">
        <f>IF($C1974="","",IF(OR($N1974=TRUE(),$N1974="TRUE"),1,0))</f>
        <v/>
      </c>
      <c r="AJ1974">
        <f>IF($C1974="","",IF($T1974="Yes",1,0))</f>
        <v/>
      </c>
      <c r="AK1974">
        <f>IF($AG1974=1,IFERROR(IF(VALUE($C1974)&lt;100000000,VALUE($C1974),1000000000),IFERROR(IF(VALUE(MID($C1974,2,20))&lt;100000000,VALUE(MID($C1974,2,20)),1000000000),1000000000))+ROW()/100000,"")</f>
        <v/>
      </c>
    </row>
    <row r="1975">
      <c r="D1975" s="11" t="n"/>
      <c r="K1975" s="7">
        <f>IF($C1975="","",J1975*W1975/100)</f>
        <v/>
      </c>
      <c r="Q1975" s="7" t="n"/>
      <c r="R1975" s="7" t="n"/>
      <c r="U1975">
        <f>IF($C1975="","",IF($AJ1975=1,0,IF($AI1975=1,Settings!$C$6,Settings!$C$7))*100)</f>
        <v/>
      </c>
      <c r="V1975" s="7">
        <f>IF($C1975="","",R1975*U1975/100)</f>
        <v/>
      </c>
      <c r="W1975" s="7">
        <f>IF($C1975="","",R1975-V1975)</f>
        <v/>
      </c>
      <c r="X1975" s="7">
        <f>IF($C1975="","",W1975-K1975)</f>
        <v/>
      </c>
      <c r="AB1975" s="7" t="n"/>
      <c r="AE1975" s="11" t="n"/>
      <c r="AG1975">
        <f>IF($C1975="","",IF(COUNTIF($C$2:$C1975,$C1975)=1,1,0))</f>
        <v/>
      </c>
      <c r="AH1975">
        <f>IF($AG1975=1,SUMPRODUCT(--($AK$2:$AK$6001&lt;$AK1975))+1,"")</f>
        <v/>
      </c>
      <c r="AI1975">
        <f>IF($C1975="","",IF(OR($N1975=TRUE(),$N1975="TRUE"),1,0))</f>
        <v/>
      </c>
      <c r="AJ1975">
        <f>IF($C1975="","",IF($T1975="Yes",1,0))</f>
        <v/>
      </c>
      <c r="AK1975">
        <f>IF($AG1975=1,IFERROR(IF(VALUE($C1975)&lt;100000000,VALUE($C1975),1000000000),IFERROR(IF(VALUE(MID($C1975,2,20))&lt;100000000,VALUE(MID($C1975,2,20)),1000000000),1000000000))+ROW()/100000,"")</f>
        <v/>
      </c>
    </row>
    <row r="1976">
      <c r="D1976" s="11" t="n"/>
      <c r="K1976" s="7">
        <f>IF($C1976="","",J1976*W1976/100)</f>
        <v/>
      </c>
      <c r="Q1976" s="7" t="n"/>
      <c r="R1976" s="7" t="n"/>
      <c r="U1976">
        <f>IF($C1976="","",IF($AJ1976=1,0,IF($AI1976=1,Settings!$C$6,Settings!$C$7))*100)</f>
        <v/>
      </c>
      <c r="V1976" s="7">
        <f>IF($C1976="","",R1976*U1976/100)</f>
        <v/>
      </c>
      <c r="W1976" s="7">
        <f>IF($C1976="","",R1976-V1976)</f>
        <v/>
      </c>
      <c r="X1976" s="7">
        <f>IF($C1976="","",W1976-K1976)</f>
        <v/>
      </c>
      <c r="AB1976" s="7" t="n"/>
      <c r="AE1976" s="11" t="n"/>
      <c r="AG1976">
        <f>IF($C1976="","",IF(COUNTIF($C$2:$C1976,$C1976)=1,1,0))</f>
        <v/>
      </c>
      <c r="AH1976">
        <f>IF($AG1976=1,SUMPRODUCT(--($AK$2:$AK$6001&lt;$AK1976))+1,"")</f>
        <v/>
      </c>
      <c r="AI1976">
        <f>IF($C1976="","",IF(OR($N1976=TRUE(),$N1976="TRUE"),1,0))</f>
        <v/>
      </c>
      <c r="AJ1976">
        <f>IF($C1976="","",IF($T1976="Yes",1,0))</f>
        <v/>
      </c>
      <c r="AK1976">
        <f>IF($AG1976=1,IFERROR(IF(VALUE($C1976)&lt;100000000,VALUE($C1976),1000000000),IFERROR(IF(VALUE(MID($C1976,2,20))&lt;100000000,VALUE(MID($C1976,2,20)),1000000000),1000000000))+ROW()/100000,"")</f>
        <v/>
      </c>
    </row>
    <row r="1977">
      <c r="D1977" s="11" t="n"/>
      <c r="K1977" s="7">
        <f>IF($C1977="","",J1977*W1977/100)</f>
        <v/>
      </c>
      <c r="Q1977" s="7" t="n"/>
      <c r="R1977" s="7" t="n"/>
      <c r="U1977">
        <f>IF($C1977="","",IF($AJ1977=1,0,IF($AI1977=1,Settings!$C$6,Settings!$C$7))*100)</f>
        <v/>
      </c>
      <c r="V1977" s="7">
        <f>IF($C1977="","",R1977*U1977/100)</f>
        <v/>
      </c>
      <c r="W1977" s="7">
        <f>IF($C1977="","",R1977-V1977)</f>
        <v/>
      </c>
      <c r="X1977" s="7">
        <f>IF($C1977="","",W1977-K1977)</f>
        <v/>
      </c>
      <c r="AB1977" s="7" t="n"/>
      <c r="AE1977" s="11" t="n"/>
      <c r="AG1977">
        <f>IF($C1977="","",IF(COUNTIF($C$2:$C1977,$C1977)=1,1,0))</f>
        <v/>
      </c>
      <c r="AH1977">
        <f>IF($AG1977=1,SUMPRODUCT(--($AK$2:$AK$6001&lt;$AK1977))+1,"")</f>
        <v/>
      </c>
      <c r="AI1977">
        <f>IF($C1977="","",IF(OR($N1977=TRUE(),$N1977="TRUE"),1,0))</f>
        <v/>
      </c>
      <c r="AJ1977">
        <f>IF($C1977="","",IF($T1977="Yes",1,0))</f>
        <v/>
      </c>
      <c r="AK1977">
        <f>IF($AG1977=1,IFERROR(IF(VALUE($C1977)&lt;100000000,VALUE($C1977),1000000000),IFERROR(IF(VALUE(MID($C1977,2,20))&lt;100000000,VALUE(MID($C1977,2,20)),1000000000),1000000000))+ROW()/100000,"")</f>
        <v/>
      </c>
    </row>
    <row r="1978">
      <c r="D1978" s="11" t="n"/>
      <c r="K1978" s="7">
        <f>IF($C1978="","",J1978*W1978/100)</f>
        <v/>
      </c>
      <c r="Q1978" s="7" t="n"/>
      <c r="R1978" s="7" t="n"/>
      <c r="U1978">
        <f>IF($C1978="","",IF($AJ1978=1,0,IF($AI1978=1,Settings!$C$6,Settings!$C$7))*100)</f>
        <v/>
      </c>
      <c r="V1978" s="7">
        <f>IF($C1978="","",R1978*U1978/100)</f>
        <v/>
      </c>
      <c r="W1978" s="7">
        <f>IF($C1978="","",R1978-V1978)</f>
        <v/>
      </c>
      <c r="X1978" s="7">
        <f>IF($C1978="","",W1978-K1978)</f>
        <v/>
      </c>
      <c r="AB1978" s="7" t="n"/>
      <c r="AE1978" s="11" t="n"/>
      <c r="AG1978">
        <f>IF($C1978="","",IF(COUNTIF($C$2:$C1978,$C1978)=1,1,0))</f>
        <v/>
      </c>
      <c r="AH1978">
        <f>IF($AG1978=1,SUMPRODUCT(--($AK$2:$AK$6001&lt;$AK1978))+1,"")</f>
        <v/>
      </c>
      <c r="AI1978">
        <f>IF($C1978="","",IF(OR($N1978=TRUE(),$N1978="TRUE"),1,0))</f>
        <v/>
      </c>
      <c r="AJ1978">
        <f>IF($C1978="","",IF($T1978="Yes",1,0))</f>
        <v/>
      </c>
      <c r="AK1978">
        <f>IF($AG1978=1,IFERROR(IF(VALUE($C1978)&lt;100000000,VALUE($C1978),1000000000),IFERROR(IF(VALUE(MID($C1978,2,20))&lt;100000000,VALUE(MID($C1978,2,20)),1000000000),1000000000))+ROW()/100000,"")</f>
        <v/>
      </c>
    </row>
    <row r="1979">
      <c r="D1979" s="11" t="n"/>
      <c r="K1979" s="7">
        <f>IF($C1979="","",J1979*W1979/100)</f>
        <v/>
      </c>
      <c r="Q1979" s="7" t="n"/>
      <c r="R1979" s="7" t="n"/>
      <c r="U1979">
        <f>IF($C1979="","",IF($AJ1979=1,0,IF($AI1979=1,Settings!$C$6,Settings!$C$7))*100)</f>
        <v/>
      </c>
      <c r="V1979" s="7">
        <f>IF($C1979="","",R1979*U1979/100)</f>
        <v/>
      </c>
      <c r="W1979" s="7">
        <f>IF($C1979="","",R1979-V1979)</f>
        <v/>
      </c>
      <c r="X1979" s="7">
        <f>IF($C1979="","",W1979-K1979)</f>
        <v/>
      </c>
      <c r="AB1979" s="7" t="n"/>
      <c r="AE1979" s="11" t="n"/>
      <c r="AG1979">
        <f>IF($C1979="","",IF(COUNTIF($C$2:$C1979,$C1979)=1,1,0))</f>
        <v/>
      </c>
      <c r="AH1979">
        <f>IF($AG1979=1,SUMPRODUCT(--($AK$2:$AK$6001&lt;$AK1979))+1,"")</f>
        <v/>
      </c>
      <c r="AI1979">
        <f>IF($C1979="","",IF(OR($N1979=TRUE(),$N1979="TRUE"),1,0))</f>
        <v/>
      </c>
      <c r="AJ1979">
        <f>IF($C1979="","",IF($T1979="Yes",1,0))</f>
        <v/>
      </c>
      <c r="AK1979">
        <f>IF($AG1979=1,IFERROR(IF(VALUE($C1979)&lt;100000000,VALUE($C1979),1000000000),IFERROR(IF(VALUE(MID($C1979,2,20))&lt;100000000,VALUE(MID($C1979,2,20)),1000000000),1000000000))+ROW()/100000,"")</f>
        <v/>
      </c>
    </row>
    <row r="1980">
      <c r="D1980" s="11" t="n"/>
      <c r="K1980" s="7">
        <f>IF($C1980="","",J1980*W1980/100)</f>
        <v/>
      </c>
      <c r="Q1980" s="7" t="n"/>
      <c r="R1980" s="7" t="n"/>
      <c r="U1980">
        <f>IF($C1980="","",IF($AJ1980=1,0,IF($AI1980=1,Settings!$C$6,Settings!$C$7))*100)</f>
        <v/>
      </c>
      <c r="V1980" s="7">
        <f>IF($C1980="","",R1980*U1980/100)</f>
        <v/>
      </c>
      <c r="W1980" s="7">
        <f>IF($C1980="","",R1980-V1980)</f>
        <v/>
      </c>
      <c r="X1980" s="7">
        <f>IF($C1980="","",W1980-K1980)</f>
        <v/>
      </c>
      <c r="AB1980" s="7" t="n"/>
      <c r="AE1980" s="11" t="n"/>
      <c r="AG1980">
        <f>IF($C1980="","",IF(COUNTIF($C$2:$C1980,$C1980)=1,1,0))</f>
        <v/>
      </c>
      <c r="AH1980">
        <f>IF($AG1980=1,SUMPRODUCT(--($AK$2:$AK$6001&lt;$AK1980))+1,"")</f>
        <v/>
      </c>
      <c r="AI1980">
        <f>IF($C1980="","",IF(OR($N1980=TRUE(),$N1980="TRUE"),1,0))</f>
        <v/>
      </c>
      <c r="AJ1980">
        <f>IF($C1980="","",IF($T1980="Yes",1,0))</f>
        <v/>
      </c>
      <c r="AK1980">
        <f>IF($AG1980=1,IFERROR(IF(VALUE($C1980)&lt;100000000,VALUE($C1980),1000000000),IFERROR(IF(VALUE(MID($C1980,2,20))&lt;100000000,VALUE(MID($C1980,2,20)),1000000000),1000000000))+ROW()/100000,"")</f>
        <v/>
      </c>
    </row>
    <row r="1981">
      <c r="D1981" s="11" t="n"/>
      <c r="K1981" s="7">
        <f>IF($C1981="","",J1981*W1981/100)</f>
        <v/>
      </c>
      <c r="Q1981" s="7" t="n"/>
      <c r="R1981" s="7" t="n"/>
      <c r="U1981">
        <f>IF($C1981="","",IF($AJ1981=1,0,IF($AI1981=1,Settings!$C$6,Settings!$C$7))*100)</f>
        <v/>
      </c>
      <c r="V1981" s="7">
        <f>IF($C1981="","",R1981*U1981/100)</f>
        <v/>
      </c>
      <c r="W1981" s="7">
        <f>IF($C1981="","",R1981-V1981)</f>
        <v/>
      </c>
      <c r="X1981" s="7">
        <f>IF($C1981="","",W1981-K1981)</f>
        <v/>
      </c>
      <c r="AB1981" s="7" t="n"/>
      <c r="AE1981" s="11" t="n"/>
      <c r="AG1981">
        <f>IF($C1981="","",IF(COUNTIF($C$2:$C1981,$C1981)=1,1,0))</f>
        <v/>
      </c>
      <c r="AH1981">
        <f>IF($AG1981=1,SUMPRODUCT(--($AK$2:$AK$6001&lt;$AK1981))+1,"")</f>
        <v/>
      </c>
      <c r="AI1981">
        <f>IF($C1981="","",IF(OR($N1981=TRUE(),$N1981="TRUE"),1,0))</f>
        <v/>
      </c>
      <c r="AJ1981">
        <f>IF($C1981="","",IF($T1981="Yes",1,0))</f>
        <v/>
      </c>
      <c r="AK1981">
        <f>IF($AG1981=1,IFERROR(IF(VALUE($C1981)&lt;100000000,VALUE($C1981),1000000000),IFERROR(IF(VALUE(MID($C1981,2,20))&lt;100000000,VALUE(MID($C1981,2,20)),1000000000),1000000000))+ROW()/100000,"")</f>
        <v/>
      </c>
    </row>
    <row r="1982">
      <c r="D1982" s="11" t="n"/>
      <c r="K1982" s="7">
        <f>IF($C1982="","",J1982*W1982/100)</f>
        <v/>
      </c>
      <c r="Q1982" s="7" t="n"/>
      <c r="R1982" s="7" t="n"/>
      <c r="U1982">
        <f>IF($C1982="","",IF($AJ1982=1,0,IF($AI1982=1,Settings!$C$6,Settings!$C$7))*100)</f>
        <v/>
      </c>
      <c r="V1982" s="7">
        <f>IF($C1982="","",R1982*U1982/100)</f>
        <v/>
      </c>
      <c r="W1982" s="7">
        <f>IF($C1982="","",R1982-V1982)</f>
        <v/>
      </c>
      <c r="X1982" s="7">
        <f>IF($C1982="","",W1982-K1982)</f>
        <v/>
      </c>
      <c r="AB1982" s="7" t="n"/>
      <c r="AE1982" s="11" t="n"/>
      <c r="AG1982">
        <f>IF($C1982="","",IF(COUNTIF($C$2:$C1982,$C1982)=1,1,0))</f>
        <v/>
      </c>
      <c r="AH1982">
        <f>IF($AG1982=1,SUMPRODUCT(--($AK$2:$AK$6001&lt;$AK1982))+1,"")</f>
        <v/>
      </c>
      <c r="AI1982">
        <f>IF($C1982="","",IF(OR($N1982=TRUE(),$N1982="TRUE"),1,0))</f>
        <v/>
      </c>
      <c r="AJ1982">
        <f>IF($C1982="","",IF($T1982="Yes",1,0))</f>
        <v/>
      </c>
      <c r="AK1982">
        <f>IF($AG1982=1,IFERROR(IF(VALUE($C1982)&lt;100000000,VALUE($C1982),1000000000),IFERROR(IF(VALUE(MID($C1982,2,20))&lt;100000000,VALUE(MID($C1982,2,20)),1000000000),1000000000))+ROW()/100000,"")</f>
        <v/>
      </c>
    </row>
    <row r="1983">
      <c r="D1983" s="11" t="n"/>
      <c r="K1983" s="7">
        <f>IF($C1983="","",J1983*W1983/100)</f>
        <v/>
      </c>
      <c r="Q1983" s="7" t="n"/>
      <c r="R1983" s="7" t="n"/>
      <c r="U1983">
        <f>IF($C1983="","",IF($AJ1983=1,0,IF($AI1983=1,Settings!$C$6,Settings!$C$7))*100)</f>
        <v/>
      </c>
      <c r="V1983" s="7">
        <f>IF($C1983="","",R1983*U1983/100)</f>
        <v/>
      </c>
      <c r="W1983" s="7">
        <f>IF($C1983="","",R1983-V1983)</f>
        <v/>
      </c>
      <c r="X1983" s="7">
        <f>IF($C1983="","",W1983-K1983)</f>
        <v/>
      </c>
      <c r="AB1983" s="7" t="n"/>
      <c r="AE1983" s="11" t="n"/>
      <c r="AG1983">
        <f>IF($C1983="","",IF(COUNTIF($C$2:$C1983,$C1983)=1,1,0))</f>
        <v/>
      </c>
      <c r="AH1983">
        <f>IF($AG1983=1,SUMPRODUCT(--($AK$2:$AK$6001&lt;$AK1983))+1,"")</f>
        <v/>
      </c>
      <c r="AI1983">
        <f>IF($C1983="","",IF(OR($N1983=TRUE(),$N1983="TRUE"),1,0))</f>
        <v/>
      </c>
      <c r="AJ1983">
        <f>IF($C1983="","",IF($T1983="Yes",1,0))</f>
        <v/>
      </c>
      <c r="AK1983">
        <f>IF($AG1983=1,IFERROR(IF(VALUE($C1983)&lt;100000000,VALUE($C1983),1000000000),IFERROR(IF(VALUE(MID($C1983,2,20))&lt;100000000,VALUE(MID($C1983,2,20)),1000000000),1000000000))+ROW()/100000,"")</f>
        <v/>
      </c>
    </row>
    <row r="1984">
      <c r="D1984" s="11" t="n"/>
      <c r="K1984" s="7">
        <f>IF($C1984="","",J1984*W1984/100)</f>
        <v/>
      </c>
      <c r="Q1984" s="7" t="n"/>
      <c r="R1984" s="7" t="n"/>
      <c r="U1984">
        <f>IF($C1984="","",IF($AJ1984=1,0,IF($AI1984=1,Settings!$C$6,Settings!$C$7))*100)</f>
        <v/>
      </c>
      <c r="V1984" s="7">
        <f>IF($C1984="","",R1984*U1984/100)</f>
        <v/>
      </c>
      <c r="W1984" s="7">
        <f>IF($C1984="","",R1984-V1984)</f>
        <v/>
      </c>
      <c r="X1984" s="7">
        <f>IF($C1984="","",W1984-K1984)</f>
        <v/>
      </c>
      <c r="AB1984" s="7" t="n"/>
      <c r="AE1984" s="11" t="n"/>
      <c r="AG1984">
        <f>IF($C1984="","",IF(COUNTIF($C$2:$C1984,$C1984)=1,1,0))</f>
        <v/>
      </c>
      <c r="AH1984">
        <f>IF($AG1984=1,SUMPRODUCT(--($AK$2:$AK$6001&lt;$AK1984))+1,"")</f>
        <v/>
      </c>
      <c r="AI1984">
        <f>IF($C1984="","",IF(OR($N1984=TRUE(),$N1984="TRUE"),1,0))</f>
        <v/>
      </c>
      <c r="AJ1984">
        <f>IF($C1984="","",IF($T1984="Yes",1,0))</f>
        <v/>
      </c>
      <c r="AK1984">
        <f>IF($AG1984=1,IFERROR(IF(VALUE($C1984)&lt;100000000,VALUE($C1984),1000000000),IFERROR(IF(VALUE(MID($C1984,2,20))&lt;100000000,VALUE(MID($C1984,2,20)),1000000000),1000000000))+ROW()/100000,"")</f>
        <v/>
      </c>
    </row>
    <row r="1985">
      <c r="D1985" s="11" t="n"/>
      <c r="K1985" s="7">
        <f>IF($C1985="","",J1985*W1985/100)</f>
        <v/>
      </c>
      <c r="Q1985" s="7" t="n"/>
      <c r="R1985" s="7" t="n"/>
      <c r="U1985">
        <f>IF($C1985="","",IF($AJ1985=1,0,IF($AI1985=1,Settings!$C$6,Settings!$C$7))*100)</f>
        <v/>
      </c>
      <c r="V1985" s="7">
        <f>IF($C1985="","",R1985*U1985/100)</f>
        <v/>
      </c>
      <c r="W1985" s="7">
        <f>IF($C1985="","",R1985-V1985)</f>
        <v/>
      </c>
      <c r="X1985" s="7">
        <f>IF($C1985="","",W1985-K1985)</f>
        <v/>
      </c>
      <c r="AB1985" s="7" t="n"/>
      <c r="AE1985" s="11" t="n"/>
      <c r="AG1985">
        <f>IF($C1985="","",IF(COUNTIF($C$2:$C1985,$C1985)=1,1,0))</f>
        <v/>
      </c>
      <c r="AH1985">
        <f>IF($AG1985=1,SUMPRODUCT(--($AK$2:$AK$6001&lt;$AK1985))+1,"")</f>
        <v/>
      </c>
      <c r="AI1985">
        <f>IF($C1985="","",IF(OR($N1985=TRUE(),$N1985="TRUE"),1,0))</f>
        <v/>
      </c>
      <c r="AJ1985">
        <f>IF($C1985="","",IF($T1985="Yes",1,0))</f>
        <v/>
      </c>
      <c r="AK1985">
        <f>IF($AG1985=1,IFERROR(IF(VALUE($C1985)&lt;100000000,VALUE($C1985),1000000000),IFERROR(IF(VALUE(MID($C1985,2,20))&lt;100000000,VALUE(MID($C1985,2,20)),1000000000),1000000000))+ROW()/100000,"")</f>
        <v/>
      </c>
    </row>
    <row r="1986">
      <c r="D1986" s="11" t="n"/>
      <c r="K1986" s="7">
        <f>IF($C1986="","",J1986*W1986/100)</f>
        <v/>
      </c>
      <c r="Q1986" s="7" t="n"/>
      <c r="R1986" s="7" t="n"/>
      <c r="U1986">
        <f>IF($C1986="","",IF($AJ1986=1,0,IF($AI1986=1,Settings!$C$6,Settings!$C$7))*100)</f>
        <v/>
      </c>
      <c r="V1986" s="7">
        <f>IF($C1986="","",R1986*U1986/100)</f>
        <v/>
      </c>
      <c r="W1986" s="7">
        <f>IF($C1986="","",R1986-V1986)</f>
        <v/>
      </c>
      <c r="X1986" s="7">
        <f>IF($C1986="","",W1986-K1986)</f>
        <v/>
      </c>
      <c r="AB1986" s="7" t="n"/>
      <c r="AE1986" s="11" t="n"/>
      <c r="AG1986">
        <f>IF($C1986="","",IF(COUNTIF($C$2:$C1986,$C1986)=1,1,0))</f>
        <v/>
      </c>
      <c r="AH1986">
        <f>IF($AG1986=1,SUMPRODUCT(--($AK$2:$AK$6001&lt;$AK1986))+1,"")</f>
        <v/>
      </c>
      <c r="AI1986">
        <f>IF($C1986="","",IF(OR($N1986=TRUE(),$N1986="TRUE"),1,0))</f>
        <v/>
      </c>
      <c r="AJ1986">
        <f>IF($C1986="","",IF($T1986="Yes",1,0))</f>
        <v/>
      </c>
      <c r="AK1986">
        <f>IF($AG1986=1,IFERROR(IF(VALUE($C1986)&lt;100000000,VALUE($C1986),1000000000),IFERROR(IF(VALUE(MID($C1986,2,20))&lt;100000000,VALUE(MID($C1986,2,20)),1000000000),1000000000))+ROW()/100000,"")</f>
        <v/>
      </c>
    </row>
    <row r="1987">
      <c r="D1987" s="11" t="n"/>
      <c r="K1987" s="7">
        <f>IF($C1987="","",J1987*W1987/100)</f>
        <v/>
      </c>
      <c r="Q1987" s="7" t="n"/>
      <c r="R1987" s="7" t="n"/>
      <c r="U1987">
        <f>IF($C1987="","",IF($AJ1987=1,0,IF($AI1987=1,Settings!$C$6,Settings!$C$7))*100)</f>
        <v/>
      </c>
      <c r="V1987" s="7">
        <f>IF($C1987="","",R1987*U1987/100)</f>
        <v/>
      </c>
      <c r="W1987" s="7">
        <f>IF($C1987="","",R1987-V1987)</f>
        <v/>
      </c>
      <c r="X1987" s="7">
        <f>IF($C1987="","",W1987-K1987)</f>
        <v/>
      </c>
      <c r="AB1987" s="7" t="n"/>
      <c r="AE1987" s="11" t="n"/>
      <c r="AG1987">
        <f>IF($C1987="","",IF(COUNTIF($C$2:$C1987,$C1987)=1,1,0))</f>
        <v/>
      </c>
      <c r="AH1987">
        <f>IF($AG1987=1,SUMPRODUCT(--($AK$2:$AK$6001&lt;$AK1987))+1,"")</f>
        <v/>
      </c>
      <c r="AI1987">
        <f>IF($C1987="","",IF(OR($N1987=TRUE(),$N1987="TRUE"),1,0))</f>
        <v/>
      </c>
      <c r="AJ1987">
        <f>IF($C1987="","",IF($T1987="Yes",1,0))</f>
        <v/>
      </c>
      <c r="AK1987">
        <f>IF($AG1987=1,IFERROR(IF(VALUE($C1987)&lt;100000000,VALUE($C1987),1000000000),IFERROR(IF(VALUE(MID($C1987,2,20))&lt;100000000,VALUE(MID($C1987,2,20)),1000000000),1000000000))+ROW()/100000,"")</f>
        <v/>
      </c>
    </row>
    <row r="1988">
      <c r="D1988" s="11" t="n"/>
      <c r="K1988" s="7">
        <f>IF($C1988="","",J1988*W1988/100)</f>
        <v/>
      </c>
      <c r="Q1988" s="7" t="n"/>
      <c r="R1988" s="7" t="n"/>
      <c r="U1988">
        <f>IF($C1988="","",IF($AJ1988=1,0,IF($AI1988=1,Settings!$C$6,Settings!$C$7))*100)</f>
        <v/>
      </c>
      <c r="V1988" s="7">
        <f>IF($C1988="","",R1988*U1988/100)</f>
        <v/>
      </c>
      <c r="W1988" s="7">
        <f>IF($C1988="","",R1988-V1988)</f>
        <v/>
      </c>
      <c r="X1988" s="7">
        <f>IF($C1988="","",W1988-K1988)</f>
        <v/>
      </c>
      <c r="AB1988" s="7" t="n"/>
      <c r="AE1988" s="11" t="n"/>
      <c r="AG1988">
        <f>IF($C1988="","",IF(COUNTIF($C$2:$C1988,$C1988)=1,1,0))</f>
        <v/>
      </c>
      <c r="AH1988">
        <f>IF($AG1988=1,SUMPRODUCT(--($AK$2:$AK$6001&lt;$AK1988))+1,"")</f>
        <v/>
      </c>
      <c r="AI1988">
        <f>IF($C1988="","",IF(OR($N1988=TRUE(),$N1988="TRUE"),1,0))</f>
        <v/>
      </c>
      <c r="AJ1988">
        <f>IF($C1988="","",IF($T1988="Yes",1,0))</f>
        <v/>
      </c>
      <c r="AK1988">
        <f>IF($AG1988=1,IFERROR(IF(VALUE($C1988)&lt;100000000,VALUE($C1988),1000000000),IFERROR(IF(VALUE(MID($C1988,2,20))&lt;100000000,VALUE(MID($C1988,2,20)),1000000000),1000000000))+ROW()/100000,"")</f>
        <v/>
      </c>
    </row>
    <row r="1989">
      <c r="D1989" s="11" t="n"/>
      <c r="K1989" s="7">
        <f>IF($C1989="","",J1989*W1989/100)</f>
        <v/>
      </c>
      <c r="Q1989" s="7" t="n"/>
      <c r="R1989" s="7" t="n"/>
      <c r="U1989">
        <f>IF($C1989="","",IF($AJ1989=1,0,IF($AI1989=1,Settings!$C$6,Settings!$C$7))*100)</f>
        <v/>
      </c>
      <c r="V1989" s="7">
        <f>IF($C1989="","",R1989*U1989/100)</f>
        <v/>
      </c>
      <c r="W1989" s="7">
        <f>IF($C1989="","",R1989-V1989)</f>
        <v/>
      </c>
      <c r="X1989" s="7">
        <f>IF($C1989="","",W1989-K1989)</f>
        <v/>
      </c>
      <c r="AB1989" s="7" t="n"/>
      <c r="AE1989" s="11" t="n"/>
      <c r="AG1989">
        <f>IF($C1989="","",IF(COUNTIF($C$2:$C1989,$C1989)=1,1,0))</f>
        <v/>
      </c>
      <c r="AH1989">
        <f>IF($AG1989=1,SUMPRODUCT(--($AK$2:$AK$6001&lt;$AK1989))+1,"")</f>
        <v/>
      </c>
      <c r="AI1989">
        <f>IF($C1989="","",IF(OR($N1989=TRUE(),$N1989="TRUE"),1,0))</f>
        <v/>
      </c>
      <c r="AJ1989">
        <f>IF($C1989="","",IF($T1989="Yes",1,0))</f>
        <v/>
      </c>
      <c r="AK1989">
        <f>IF($AG1989=1,IFERROR(IF(VALUE($C1989)&lt;100000000,VALUE($C1989),1000000000),IFERROR(IF(VALUE(MID($C1989,2,20))&lt;100000000,VALUE(MID($C1989,2,20)),1000000000),1000000000))+ROW()/100000,"")</f>
        <v/>
      </c>
    </row>
    <row r="1990">
      <c r="D1990" s="11" t="n"/>
      <c r="K1990" s="7">
        <f>IF($C1990="","",J1990*W1990/100)</f>
        <v/>
      </c>
      <c r="Q1990" s="7" t="n"/>
      <c r="R1990" s="7" t="n"/>
      <c r="U1990">
        <f>IF($C1990="","",IF($AJ1990=1,0,IF($AI1990=1,Settings!$C$6,Settings!$C$7))*100)</f>
        <v/>
      </c>
      <c r="V1990" s="7">
        <f>IF($C1990="","",R1990*U1990/100)</f>
        <v/>
      </c>
      <c r="W1990" s="7">
        <f>IF($C1990="","",R1990-V1990)</f>
        <v/>
      </c>
      <c r="X1990" s="7">
        <f>IF($C1990="","",W1990-K1990)</f>
        <v/>
      </c>
      <c r="AB1990" s="7" t="n"/>
      <c r="AE1990" s="11" t="n"/>
      <c r="AG1990">
        <f>IF($C1990="","",IF(COUNTIF($C$2:$C1990,$C1990)=1,1,0))</f>
        <v/>
      </c>
      <c r="AH1990">
        <f>IF($AG1990=1,SUMPRODUCT(--($AK$2:$AK$6001&lt;$AK1990))+1,"")</f>
        <v/>
      </c>
      <c r="AI1990">
        <f>IF($C1990="","",IF(OR($N1990=TRUE(),$N1990="TRUE"),1,0))</f>
        <v/>
      </c>
      <c r="AJ1990">
        <f>IF($C1990="","",IF($T1990="Yes",1,0))</f>
        <v/>
      </c>
      <c r="AK1990">
        <f>IF($AG1990=1,IFERROR(IF(VALUE($C1990)&lt;100000000,VALUE($C1990),1000000000),IFERROR(IF(VALUE(MID($C1990,2,20))&lt;100000000,VALUE(MID($C1990,2,20)),1000000000),1000000000))+ROW()/100000,"")</f>
        <v/>
      </c>
    </row>
    <row r="1991">
      <c r="D1991" s="11" t="n"/>
      <c r="K1991" s="7">
        <f>IF($C1991="","",J1991*W1991/100)</f>
        <v/>
      </c>
      <c r="Q1991" s="7" t="n"/>
      <c r="R1991" s="7" t="n"/>
      <c r="U1991">
        <f>IF($C1991="","",IF($AJ1991=1,0,IF($AI1991=1,Settings!$C$6,Settings!$C$7))*100)</f>
        <v/>
      </c>
      <c r="V1991" s="7">
        <f>IF($C1991="","",R1991*U1991/100)</f>
        <v/>
      </c>
      <c r="W1991" s="7">
        <f>IF($C1991="","",R1991-V1991)</f>
        <v/>
      </c>
      <c r="X1991" s="7">
        <f>IF($C1991="","",W1991-K1991)</f>
        <v/>
      </c>
      <c r="AB1991" s="7" t="n"/>
      <c r="AE1991" s="11" t="n"/>
      <c r="AG1991">
        <f>IF($C1991="","",IF(COUNTIF($C$2:$C1991,$C1991)=1,1,0))</f>
        <v/>
      </c>
      <c r="AH1991">
        <f>IF($AG1991=1,SUMPRODUCT(--($AK$2:$AK$6001&lt;$AK1991))+1,"")</f>
        <v/>
      </c>
      <c r="AI1991">
        <f>IF($C1991="","",IF(OR($N1991=TRUE(),$N1991="TRUE"),1,0))</f>
        <v/>
      </c>
      <c r="AJ1991">
        <f>IF($C1991="","",IF($T1991="Yes",1,0))</f>
        <v/>
      </c>
      <c r="AK1991">
        <f>IF($AG1991=1,IFERROR(IF(VALUE($C1991)&lt;100000000,VALUE($C1991),1000000000),IFERROR(IF(VALUE(MID($C1991,2,20))&lt;100000000,VALUE(MID($C1991,2,20)),1000000000),1000000000))+ROW()/100000,"")</f>
        <v/>
      </c>
    </row>
    <row r="1992">
      <c r="D1992" s="11" t="n"/>
      <c r="K1992" s="7">
        <f>IF($C1992="","",J1992*W1992/100)</f>
        <v/>
      </c>
      <c r="Q1992" s="7" t="n"/>
      <c r="R1992" s="7" t="n"/>
      <c r="U1992">
        <f>IF($C1992="","",IF($AJ1992=1,0,IF($AI1992=1,Settings!$C$6,Settings!$C$7))*100)</f>
        <v/>
      </c>
      <c r="V1992" s="7">
        <f>IF($C1992="","",R1992*U1992/100)</f>
        <v/>
      </c>
      <c r="W1992" s="7">
        <f>IF($C1992="","",R1992-V1992)</f>
        <v/>
      </c>
      <c r="X1992" s="7">
        <f>IF($C1992="","",W1992-K1992)</f>
        <v/>
      </c>
      <c r="AB1992" s="7" t="n"/>
      <c r="AE1992" s="11" t="n"/>
      <c r="AG1992">
        <f>IF($C1992="","",IF(COUNTIF($C$2:$C1992,$C1992)=1,1,0))</f>
        <v/>
      </c>
      <c r="AH1992">
        <f>IF($AG1992=1,SUMPRODUCT(--($AK$2:$AK$6001&lt;$AK1992))+1,"")</f>
        <v/>
      </c>
      <c r="AI1992">
        <f>IF($C1992="","",IF(OR($N1992=TRUE(),$N1992="TRUE"),1,0))</f>
        <v/>
      </c>
      <c r="AJ1992">
        <f>IF($C1992="","",IF($T1992="Yes",1,0))</f>
        <v/>
      </c>
      <c r="AK1992">
        <f>IF($AG1992=1,IFERROR(IF(VALUE($C1992)&lt;100000000,VALUE($C1992),1000000000),IFERROR(IF(VALUE(MID($C1992,2,20))&lt;100000000,VALUE(MID($C1992,2,20)),1000000000),1000000000))+ROW()/100000,"")</f>
        <v/>
      </c>
    </row>
    <row r="1993">
      <c r="D1993" s="11" t="n"/>
      <c r="K1993" s="7">
        <f>IF($C1993="","",J1993*W1993/100)</f>
        <v/>
      </c>
      <c r="Q1993" s="7" t="n"/>
      <c r="R1993" s="7" t="n"/>
      <c r="U1993">
        <f>IF($C1993="","",IF($AJ1993=1,0,IF($AI1993=1,Settings!$C$6,Settings!$C$7))*100)</f>
        <v/>
      </c>
      <c r="V1993" s="7">
        <f>IF($C1993="","",R1993*U1993/100)</f>
        <v/>
      </c>
      <c r="W1993" s="7">
        <f>IF($C1993="","",R1993-V1993)</f>
        <v/>
      </c>
      <c r="X1993" s="7">
        <f>IF($C1993="","",W1993-K1993)</f>
        <v/>
      </c>
      <c r="AB1993" s="7" t="n"/>
      <c r="AE1993" s="11" t="n"/>
      <c r="AG1993">
        <f>IF($C1993="","",IF(COUNTIF($C$2:$C1993,$C1993)=1,1,0))</f>
        <v/>
      </c>
      <c r="AH1993">
        <f>IF($AG1993=1,SUMPRODUCT(--($AK$2:$AK$6001&lt;$AK1993))+1,"")</f>
        <v/>
      </c>
      <c r="AI1993">
        <f>IF($C1993="","",IF(OR($N1993=TRUE(),$N1993="TRUE"),1,0))</f>
        <v/>
      </c>
      <c r="AJ1993">
        <f>IF($C1993="","",IF($T1993="Yes",1,0))</f>
        <v/>
      </c>
      <c r="AK1993">
        <f>IF($AG1993=1,IFERROR(IF(VALUE($C1993)&lt;100000000,VALUE($C1993),1000000000),IFERROR(IF(VALUE(MID($C1993,2,20))&lt;100000000,VALUE(MID($C1993,2,20)),1000000000),1000000000))+ROW()/100000,"")</f>
        <v/>
      </c>
    </row>
    <row r="1994">
      <c r="D1994" s="11" t="n"/>
      <c r="K1994" s="7">
        <f>IF($C1994="","",J1994*W1994/100)</f>
        <v/>
      </c>
      <c r="Q1994" s="7" t="n"/>
      <c r="R1994" s="7" t="n"/>
      <c r="U1994">
        <f>IF($C1994="","",IF($AJ1994=1,0,IF($AI1994=1,Settings!$C$6,Settings!$C$7))*100)</f>
        <v/>
      </c>
      <c r="V1994" s="7">
        <f>IF($C1994="","",R1994*U1994/100)</f>
        <v/>
      </c>
      <c r="W1994" s="7">
        <f>IF($C1994="","",R1994-V1994)</f>
        <v/>
      </c>
      <c r="X1994" s="7">
        <f>IF($C1994="","",W1994-K1994)</f>
        <v/>
      </c>
      <c r="AB1994" s="7" t="n"/>
      <c r="AE1994" s="11" t="n"/>
      <c r="AG1994">
        <f>IF($C1994="","",IF(COUNTIF($C$2:$C1994,$C1994)=1,1,0))</f>
        <v/>
      </c>
      <c r="AH1994">
        <f>IF($AG1994=1,SUMPRODUCT(--($AK$2:$AK$6001&lt;$AK1994))+1,"")</f>
        <v/>
      </c>
      <c r="AI1994">
        <f>IF($C1994="","",IF(OR($N1994=TRUE(),$N1994="TRUE"),1,0))</f>
        <v/>
      </c>
      <c r="AJ1994">
        <f>IF($C1994="","",IF($T1994="Yes",1,0))</f>
        <v/>
      </c>
      <c r="AK1994">
        <f>IF($AG1994=1,IFERROR(IF(VALUE($C1994)&lt;100000000,VALUE($C1994),1000000000),IFERROR(IF(VALUE(MID($C1994,2,20))&lt;100000000,VALUE(MID($C1994,2,20)),1000000000),1000000000))+ROW()/100000,"")</f>
        <v/>
      </c>
    </row>
    <row r="1995">
      <c r="D1995" s="11" t="n"/>
      <c r="K1995" s="7">
        <f>IF($C1995="","",J1995*W1995/100)</f>
        <v/>
      </c>
      <c r="Q1995" s="7" t="n"/>
      <c r="R1995" s="7" t="n"/>
      <c r="U1995">
        <f>IF($C1995="","",IF($AJ1995=1,0,IF($AI1995=1,Settings!$C$6,Settings!$C$7))*100)</f>
        <v/>
      </c>
      <c r="V1995" s="7">
        <f>IF($C1995="","",R1995*U1995/100)</f>
        <v/>
      </c>
      <c r="W1995" s="7">
        <f>IF($C1995="","",R1995-V1995)</f>
        <v/>
      </c>
      <c r="X1995" s="7">
        <f>IF($C1995="","",W1995-K1995)</f>
        <v/>
      </c>
      <c r="AB1995" s="7" t="n"/>
      <c r="AE1995" s="11" t="n"/>
      <c r="AG1995">
        <f>IF($C1995="","",IF(COUNTIF($C$2:$C1995,$C1995)=1,1,0))</f>
        <v/>
      </c>
      <c r="AH1995">
        <f>IF($AG1995=1,SUMPRODUCT(--($AK$2:$AK$6001&lt;$AK1995))+1,"")</f>
        <v/>
      </c>
      <c r="AI1995">
        <f>IF($C1995="","",IF(OR($N1995=TRUE(),$N1995="TRUE"),1,0))</f>
        <v/>
      </c>
      <c r="AJ1995">
        <f>IF($C1995="","",IF($T1995="Yes",1,0))</f>
        <v/>
      </c>
      <c r="AK1995">
        <f>IF($AG1995=1,IFERROR(IF(VALUE($C1995)&lt;100000000,VALUE($C1995),1000000000),IFERROR(IF(VALUE(MID($C1995,2,20))&lt;100000000,VALUE(MID($C1995,2,20)),1000000000),1000000000))+ROW()/100000,"")</f>
        <v/>
      </c>
    </row>
    <row r="1996">
      <c r="D1996" s="11" t="n"/>
      <c r="K1996" s="7">
        <f>IF($C1996="","",J1996*W1996/100)</f>
        <v/>
      </c>
      <c r="Q1996" s="7" t="n"/>
      <c r="R1996" s="7" t="n"/>
      <c r="U1996">
        <f>IF($C1996="","",IF($AJ1996=1,0,IF($AI1996=1,Settings!$C$6,Settings!$C$7))*100)</f>
        <v/>
      </c>
      <c r="V1996" s="7">
        <f>IF($C1996="","",R1996*U1996/100)</f>
        <v/>
      </c>
      <c r="W1996" s="7">
        <f>IF($C1996="","",R1996-V1996)</f>
        <v/>
      </c>
      <c r="X1996" s="7">
        <f>IF($C1996="","",W1996-K1996)</f>
        <v/>
      </c>
      <c r="AB1996" s="7" t="n"/>
      <c r="AE1996" s="11" t="n"/>
      <c r="AG1996">
        <f>IF($C1996="","",IF(COUNTIF($C$2:$C1996,$C1996)=1,1,0))</f>
        <v/>
      </c>
      <c r="AH1996">
        <f>IF($AG1996=1,SUMPRODUCT(--($AK$2:$AK$6001&lt;$AK1996))+1,"")</f>
        <v/>
      </c>
      <c r="AI1996">
        <f>IF($C1996="","",IF(OR($N1996=TRUE(),$N1996="TRUE"),1,0))</f>
        <v/>
      </c>
      <c r="AJ1996">
        <f>IF($C1996="","",IF($T1996="Yes",1,0))</f>
        <v/>
      </c>
      <c r="AK1996">
        <f>IF($AG1996=1,IFERROR(IF(VALUE($C1996)&lt;100000000,VALUE($C1996),1000000000),IFERROR(IF(VALUE(MID($C1996,2,20))&lt;100000000,VALUE(MID($C1996,2,20)),1000000000),1000000000))+ROW()/100000,"")</f>
        <v/>
      </c>
    </row>
    <row r="1997">
      <c r="D1997" s="11" t="n"/>
      <c r="K1997" s="7">
        <f>IF($C1997="","",J1997*W1997/100)</f>
        <v/>
      </c>
      <c r="Q1997" s="7" t="n"/>
      <c r="R1997" s="7" t="n"/>
      <c r="U1997">
        <f>IF($C1997="","",IF($AJ1997=1,0,IF($AI1997=1,Settings!$C$6,Settings!$C$7))*100)</f>
        <v/>
      </c>
      <c r="V1997" s="7">
        <f>IF($C1997="","",R1997*U1997/100)</f>
        <v/>
      </c>
      <c r="W1997" s="7">
        <f>IF($C1997="","",R1997-V1997)</f>
        <v/>
      </c>
      <c r="X1997" s="7">
        <f>IF($C1997="","",W1997-K1997)</f>
        <v/>
      </c>
      <c r="AB1997" s="7" t="n"/>
      <c r="AE1997" s="11" t="n"/>
      <c r="AG1997">
        <f>IF($C1997="","",IF(COUNTIF($C$2:$C1997,$C1997)=1,1,0))</f>
        <v/>
      </c>
      <c r="AH1997">
        <f>IF($AG1997=1,SUMPRODUCT(--($AK$2:$AK$6001&lt;$AK1997))+1,"")</f>
        <v/>
      </c>
      <c r="AI1997">
        <f>IF($C1997="","",IF(OR($N1997=TRUE(),$N1997="TRUE"),1,0))</f>
        <v/>
      </c>
      <c r="AJ1997">
        <f>IF($C1997="","",IF($T1997="Yes",1,0))</f>
        <v/>
      </c>
      <c r="AK1997">
        <f>IF($AG1997=1,IFERROR(IF(VALUE($C1997)&lt;100000000,VALUE($C1997),1000000000),IFERROR(IF(VALUE(MID($C1997,2,20))&lt;100000000,VALUE(MID($C1997,2,20)),1000000000),1000000000))+ROW()/100000,"")</f>
        <v/>
      </c>
    </row>
    <row r="1998">
      <c r="D1998" s="11" t="n"/>
      <c r="K1998" s="7">
        <f>IF($C1998="","",J1998*W1998/100)</f>
        <v/>
      </c>
      <c r="Q1998" s="7" t="n"/>
      <c r="R1998" s="7" t="n"/>
      <c r="U1998">
        <f>IF($C1998="","",IF($AJ1998=1,0,IF($AI1998=1,Settings!$C$6,Settings!$C$7))*100)</f>
        <v/>
      </c>
      <c r="V1998" s="7">
        <f>IF($C1998="","",R1998*U1998/100)</f>
        <v/>
      </c>
      <c r="W1998" s="7">
        <f>IF($C1998="","",R1998-V1998)</f>
        <v/>
      </c>
      <c r="X1998" s="7">
        <f>IF($C1998="","",W1998-K1998)</f>
        <v/>
      </c>
      <c r="AB1998" s="7" t="n"/>
      <c r="AE1998" s="11" t="n"/>
      <c r="AG1998">
        <f>IF($C1998="","",IF(COUNTIF($C$2:$C1998,$C1998)=1,1,0))</f>
        <v/>
      </c>
      <c r="AH1998">
        <f>IF($AG1998=1,SUMPRODUCT(--($AK$2:$AK$6001&lt;$AK1998))+1,"")</f>
        <v/>
      </c>
      <c r="AI1998">
        <f>IF($C1998="","",IF(OR($N1998=TRUE(),$N1998="TRUE"),1,0))</f>
        <v/>
      </c>
      <c r="AJ1998">
        <f>IF($C1998="","",IF($T1998="Yes",1,0))</f>
        <v/>
      </c>
      <c r="AK1998">
        <f>IF($AG1998=1,IFERROR(IF(VALUE($C1998)&lt;100000000,VALUE($C1998),1000000000),IFERROR(IF(VALUE(MID($C1998,2,20))&lt;100000000,VALUE(MID($C1998,2,20)),1000000000),1000000000))+ROW()/100000,"")</f>
        <v/>
      </c>
    </row>
    <row r="1999">
      <c r="D1999" s="11" t="n"/>
      <c r="K1999" s="7">
        <f>IF($C1999="","",J1999*W1999/100)</f>
        <v/>
      </c>
      <c r="Q1999" s="7" t="n"/>
      <c r="R1999" s="7" t="n"/>
      <c r="U1999">
        <f>IF($C1999="","",IF($AJ1999=1,0,IF($AI1999=1,Settings!$C$6,Settings!$C$7))*100)</f>
        <v/>
      </c>
      <c r="V1999" s="7">
        <f>IF($C1999="","",R1999*U1999/100)</f>
        <v/>
      </c>
      <c r="W1999" s="7">
        <f>IF($C1999="","",R1999-V1999)</f>
        <v/>
      </c>
      <c r="X1999" s="7">
        <f>IF($C1999="","",W1999-K1999)</f>
        <v/>
      </c>
      <c r="AB1999" s="7" t="n"/>
      <c r="AE1999" s="11" t="n"/>
      <c r="AG1999">
        <f>IF($C1999="","",IF(COUNTIF($C$2:$C1999,$C1999)=1,1,0))</f>
        <v/>
      </c>
      <c r="AH1999">
        <f>IF($AG1999=1,SUMPRODUCT(--($AK$2:$AK$6001&lt;$AK1999))+1,"")</f>
        <v/>
      </c>
      <c r="AI1999">
        <f>IF($C1999="","",IF(OR($N1999=TRUE(),$N1999="TRUE"),1,0))</f>
        <v/>
      </c>
      <c r="AJ1999">
        <f>IF($C1999="","",IF($T1999="Yes",1,0))</f>
        <v/>
      </c>
      <c r="AK1999">
        <f>IF($AG1999=1,IFERROR(IF(VALUE($C1999)&lt;100000000,VALUE($C1999),1000000000),IFERROR(IF(VALUE(MID($C1999,2,20))&lt;100000000,VALUE(MID($C1999,2,20)),1000000000),1000000000))+ROW()/100000,"")</f>
        <v/>
      </c>
    </row>
    <row r="2000">
      <c r="D2000" s="11" t="n"/>
      <c r="K2000" s="7">
        <f>IF($C2000="","",J2000*W2000/100)</f>
        <v/>
      </c>
      <c r="Q2000" s="7" t="n"/>
      <c r="R2000" s="7" t="n"/>
      <c r="U2000">
        <f>IF($C2000="","",IF($AJ2000=1,0,IF($AI2000=1,Settings!$C$6,Settings!$C$7))*100)</f>
        <v/>
      </c>
      <c r="V2000" s="7">
        <f>IF($C2000="","",R2000*U2000/100)</f>
        <v/>
      </c>
      <c r="W2000" s="7">
        <f>IF($C2000="","",R2000-V2000)</f>
        <v/>
      </c>
      <c r="X2000" s="7">
        <f>IF($C2000="","",W2000-K2000)</f>
        <v/>
      </c>
      <c r="AB2000" s="7" t="n"/>
      <c r="AE2000" s="11" t="n"/>
      <c r="AG2000">
        <f>IF($C2000="","",IF(COUNTIF($C$2:$C2000,$C2000)=1,1,0))</f>
        <v/>
      </c>
      <c r="AH2000">
        <f>IF($AG2000=1,SUMPRODUCT(--($AK$2:$AK$6001&lt;$AK2000))+1,"")</f>
        <v/>
      </c>
      <c r="AI2000">
        <f>IF($C2000="","",IF(OR($N2000=TRUE(),$N2000="TRUE"),1,0))</f>
        <v/>
      </c>
      <c r="AJ2000">
        <f>IF($C2000="","",IF($T2000="Yes",1,0))</f>
        <v/>
      </c>
      <c r="AK2000">
        <f>IF($AG2000=1,IFERROR(IF(VALUE($C2000)&lt;100000000,VALUE($C2000),1000000000),IFERROR(IF(VALUE(MID($C2000,2,20))&lt;100000000,VALUE(MID($C2000,2,20)),1000000000),1000000000))+ROW()/100000,"")</f>
        <v/>
      </c>
    </row>
    <row r="2001">
      <c r="D2001" s="11" t="n"/>
      <c r="K2001" s="7">
        <f>IF($C2001="","",J2001*W2001/100)</f>
        <v/>
      </c>
      <c r="Q2001" s="7" t="n"/>
      <c r="R2001" s="7" t="n"/>
      <c r="U2001">
        <f>IF($C2001="","",IF($AJ2001=1,0,IF($AI2001=1,Settings!$C$6,Settings!$C$7))*100)</f>
        <v/>
      </c>
      <c r="V2001" s="7">
        <f>IF($C2001="","",R2001*U2001/100)</f>
        <v/>
      </c>
      <c r="W2001" s="7">
        <f>IF($C2001="","",R2001-V2001)</f>
        <v/>
      </c>
      <c r="X2001" s="7">
        <f>IF($C2001="","",W2001-K2001)</f>
        <v/>
      </c>
      <c r="AB2001" s="7" t="n"/>
      <c r="AE2001" s="11" t="n"/>
      <c r="AG2001">
        <f>IF($C2001="","",IF(COUNTIF($C$2:$C2001,$C2001)=1,1,0))</f>
        <v/>
      </c>
      <c r="AH2001">
        <f>IF($AG2001=1,SUMPRODUCT(--($AK$2:$AK$6001&lt;$AK2001))+1,"")</f>
        <v/>
      </c>
      <c r="AI2001">
        <f>IF($C2001="","",IF(OR($N2001=TRUE(),$N2001="TRUE"),1,0))</f>
        <v/>
      </c>
      <c r="AJ2001">
        <f>IF($C2001="","",IF($T2001="Yes",1,0))</f>
        <v/>
      </c>
      <c r="AK2001">
        <f>IF($AG2001=1,IFERROR(IF(VALUE($C2001)&lt;100000000,VALUE($C2001),1000000000),IFERROR(IF(VALUE(MID($C2001,2,20))&lt;100000000,VALUE(MID($C2001,2,20)),1000000000),1000000000))+ROW()/100000,"")</f>
        <v/>
      </c>
    </row>
    <row r="2002">
      <c r="D2002" s="11" t="n"/>
      <c r="K2002" s="7">
        <f>IF($C2002="","",J2002*W2002/100)</f>
        <v/>
      </c>
      <c r="Q2002" s="7" t="n"/>
      <c r="R2002" s="7" t="n"/>
      <c r="U2002">
        <f>IF($C2002="","",IF($AJ2002=1,0,IF($AI2002=1,Settings!$C$6,Settings!$C$7))*100)</f>
        <v/>
      </c>
      <c r="V2002" s="7">
        <f>IF($C2002="","",R2002*U2002/100)</f>
        <v/>
      </c>
      <c r="W2002" s="7">
        <f>IF($C2002="","",R2002-V2002)</f>
        <v/>
      </c>
      <c r="X2002" s="7">
        <f>IF($C2002="","",W2002-K2002)</f>
        <v/>
      </c>
      <c r="AB2002" s="7" t="n"/>
      <c r="AE2002" s="11" t="n"/>
      <c r="AG2002">
        <f>IF($C2002="","",IF(COUNTIF($C$2:$C2002,$C2002)=1,1,0))</f>
        <v/>
      </c>
      <c r="AH2002">
        <f>IF($AG2002=1,SUMPRODUCT(--($AK$2:$AK$6001&lt;$AK2002))+1,"")</f>
        <v/>
      </c>
      <c r="AI2002">
        <f>IF($C2002="","",IF(OR($N2002=TRUE(),$N2002="TRUE"),1,0))</f>
        <v/>
      </c>
      <c r="AJ2002">
        <f>IF($C2002="","",IF($T2002="Yes",1,0))</f>
        <v/>
      </c>
      <c r="AK2002">
        <f>IF($AG2002=1,IFERROR(IF(VALUE($C2002)&lt;100000000,VALUE($C2002),1000000000),IFERROR(IF(VALUE(MID($C2002,2,20))&lt;100000000,VALUE(MID($C2002,2,20)),1000000000),1000000000))+ROW()/100000,"")</f>
        <v/>
      </c>
    </row>
    <row r="2003">
      <c r="D2003" s="11" t="n"/>
      <c r="K2003" s="7">
        <f>IF($C2003="","",J2003*W2003/100)</f>
        <v/>
      </c>
      <c r="Q2003" s="7" t="n"/>
      <c r="R2003" s="7" t="n"/>
      <c r="U2003">
        <f>IF($C2003="","",IF($AJ2003=1,0,IF($AI2003=1,Settings!$C$6,Settings!$C$7))*100)</f>
        <v/>
      </c>
      <c r="V2003" s="7">
        <f>IF($C2003="","",R2003*U2003/100)</f>
        <v/>
      </c>
      <c r="W2003" s="7">
        <f>IF($C2003="","",R2003-V2003)</f>
        <v/>
      </c>
      <c r="X2003" s="7">
        <f>IF($C2003="","",W2003-K2003)</f>
        <v/>
      </c>
      <c r="AB2003" s="7" t="n"/>
      <c r="AE2003" s="11" t="n"/>
      <c r="AG2003">
        <f>IF($C2003="","",IF(COUNTIF($C$2:$C2003,$C2003)=1,1,0))</f>
        <v/>
      </c>
      <c r="AH2003">
        <f>IF($AG2003=1,SUMPRODUCT(--($AK$2:$AK$6001&lt;$AK2003))+1,"")</f>
        <v/>
      </c>
      <c r="AI2003">
        <f>IF($C2003="","",IF(OR($N2003=TRUE(),$N2003="TRUE"),1,0))</f>
        <v/>
      </c>
      <c r="AJ2003">
        <f>IF($C2003="","",IF($T2003="Yes",1,0))</f>
        <v/>
      </c>
      <c r="AK2003">
        <f>IF($AG2003=1,IFERROR(IF(VALUE($C2003)&lt;100000000,VALUE($C2003),1000000000),IFERROR(IF(VALUE(MID($C2003,2,20))&lt;100000000,VALUE(MID($C2003,2,20)),1000000000),1000000000))+ROW()/100000,"")</f>
        <v/>
      </c>
    </row>
    <row r="2004">
      <c r="D2004" s="11" t="n"/>
      <c r="K2004" s="7">
        <f>IF($C2004="","",J2004*W2004/100)</f>
        <v/>
      </c>
      <c r="Q2004" s="7" t="n"/>
      <c r="R2004" s="7" t="n"/>
      <c r="U2004">
        <f>IF($C2004="","",IF($AJ2004=1,0,IF($AI2004=1,Settings!$C$6,Settings!$C$7))*100)</f>
        <v/>
      </c>
      <c r="V2004" s="7">
        <f>IF($C2004="","",R2004*U2004/100)</f>
        <v/>
      </c>
      <c r="W2004" s="7">
        <f>IF($C2004="","",R2004-V2004)</f>
        <v/>
      </c>
      <c r="X2004" s="7">
        <f>IF($C2004="","",W2004-K2004)</f>
        <v/>
      </c>
      <c r="AB2004" s="7" t="n"/>
      <c r="AE2004" s="11" t="n"/>
      <c r="AG2004">
        <f>IF($C2004="","",IF(COUNTIF($C$2:$C2004,$C2004)=1,1,0))</f>
        <v/>
      </c>
      <c r="AH2004">
        <f>IF($AG2004=1,SUMPRODUCT(--($AK$2:$AK$6001&lt;$AK2004))+1,"")</f>
        <v/>
      </c>
      <c r="AI2004">
        <f>IF($C2004="","",IF(OR($N2004=TRUE(),$N2004="TRUE"),1,0))</f>
        <v/>
      </c>
      <c r="AJ2004">
        <f>IF($C2004="","",IF($T2004="Yes",1,0))</f>
        <v/>
      </c>
      <c r="AK2004">
        <f>IF($AG2004=1,IFERROR(IF(VALUE($C2004)&lt;100000000,VALUE($C2004),1000000000),IFERROR(IF(VALUE(MID($C2004,2,20))&lt;100000000,VALUE(MID($C2004,2,20)),1000000000),1000000000))+ROW()/100000,"")</f>
        <v/>
      </c>
    </row>
    <row r="2005">
      <c r="D2005" s="11" t="n"/>
      <c r="K2005" s="7">
        <f>IF($C2005="","",J2005*W2005/100)</f>
        <v/>
      </c>
      <c r="Q2005" s="7" t="n"/>
      <c r="R2005" s="7" t="n"/>
      <c r="U2005">
        <f>IF($C2005="","",IF($AJ2005=1,0,IF($AI2005=1,Settings!$C$6,Settings!$C$7))*100)</f>
        <v/>
      </c>
      <c r="V2005" s="7">
        <f>IF($C2005="","",R2005*U2005/100)</f>
        <v/>
      </c>
      <c r="W2005" s="7">
        <f>IF($C2005="","",R2005-V2005)</f>
        <v/>
      </c>
      <c r="X2005" s="7">
        <f>IF($C2005="","",W2005-K2005)</f>
        <v/>
      </c>
      <c r="AB2005" s="7" t="n"/>
      <c r="AE2005" s="11" t="n"/>
      <c r="AG2005">
        <f>IF($C2005="","",IF(COUNTIF($C$2:$C2005,$C2005)=1,1,0))</f>
        <v/>
      </c>
      <c r="AH2005">
        <f>IF($AG2005=1,SUMPRODUCT(--($AK$2:$AK$6001&lt;$AK2005))+1,"")</f>
        <v/>
      </c>
      <c r="AI2005">
        <f>IF($C2005="","",IF(OR($N2005=TRUE(),$N2005="TRUE"),1,0))</f>
        <v/>
      </c>
      <c r="AJ2005">
        <f>IF($C2005="","",IF($T2005="Yes",1,0))</f>
        <v/>
      </c>
      <c r="AK2005">
        <f>IF($AG2005=1,IFERROR(IF(VALUE($C2005)&lt;100000000,VALUE($C2005),1000000000),IFERROR(IF(VALUE(MID($C2005,2,20))&lt;100000000,VALUE(MID($C2005,2,20)),1000000000),1000000000))+ROW()/100000,"")</f>
        <v/>
      </c>
    </row>
    <row r="2006">
      <c r="D2006" s="11" t="n"/>
      <c r="K2006" s="7">
        <f>IF($C2006="","",J2006*W2006/100)</f>
        <v/>
      </c>
      <c r="Q2006" s="7" t="n"/>
      <c r="R2006" s="7" t="n"/>
      <c r="U2006">
        <f>IF($C2006="","",IF($AJ2006=1,0,IF($AI2006=1,Settings!$C$6,Settings!$C$7))*100)</f>
        <v/>
      </c>
      <c r="V2006" s="7">
        <f>IF($C2006="","",R2006*U2006/100)</f>
        <v/>
      </c>
      <c r="W2006" s="7">
        <f>IF($C2006="","",R2006-V2006)</f>
        <v/>
      </c>
      <c r="X2006" s="7">
        <f>IF($C2006="","",W2006-K2006)</f>
        <v/>
      </c>
      <c r="AB2006" s="7" t="n"/>
      <c r="AE2006" s="11" t="n"/>
      <c r="AG2006">
        <f>IF($C2006="","",IF(COUNTIF($C$2:$C2006,$C2006)=1,1,0))</f>
        <v/>
      </c>
      <c r="AH2006">
        <f>IF($AG2006=1,SUMPRODUCT(--($AK$2:$AK$6001&lt;$AK2006))+1,"")</f>
        <v/>
      </c>
      <c r="AI2006">
        <f>IF($C2006="","",IF(OR($N2006=TRUE(),$N2006="TRUE"),1,0))</f>
        <v/>
      </c>
      <c r="AJ2006">
        <f>IF($C2006="","",IF($T2006="Yes",1,0))</f>
        <v/>
      </c>
      <c r="AK2006">
        <f>IF($AG2006=1,IFERROR(IF(VALUE($C2006)&lt;100000000,VALUE($C2006),1000000000),IFERROR(IF(VALUE(MID($C2006,2,20))&lt;100000000,VALUE(MID($C2006,2,20)),1000000000),1000000000))+ROW()/100000,"")</f>
        <v/>
      </c>
    </row>
    <row r="2007">
      <c r="D2007" s="11" t="n"/>
      <c r="K2007" s="7">
        <f>IF($C2007="","",J2007*W2007/100)</f>
        <v/>
      </c>
      <c r="Q2007" s="7" t="n"/>
      <c r="R2007" s="7" t="n"/>
      <c r="U2007">
        <f>IF($C2007="","",IF($AJ2007=1,0,IF($AI2007=1,Settings!$C$6,Settings!$C$7))*100)</f>
        <v/>
      </c>
      <c r="V2007" s="7">
        <f>IF($C2007="","",R2007*U2007/100)</f>
        <v/>
      </c>
      <c r="W2007" s="7">
        <f>IF($C2007="","",R2007-V2007)</f>
        <v/>
      </c>
      <c r="X2007" s="7">
        <f>IF($C2007="","",W2007-K2007)</f>
        <v/>
      </c>
      <c r="AB2007" s="7" t="n"/>
      <c r="AE2007" s="11" t="n"/>
      <c r="AG2007">
        <f>IF($C2007="","",IF(COUNTIF($C$2:$C2007,$C2007)=1,1,0))</f>
        <v/>
      </c>
      <c r="AH2007">
        <f>IF($AG2007=1,SUMPRODUCT(--($AK$2:$AK$6001&lt;$AK2007))+1,"")</f>
        <v/>
      </c>
      <c r="AI2007">
        <f>IF($C2007="","",IF(OR($N2007=TRUE(),$N2007="TRUE"),1,0))</f>
        <v/>
      </c>
      <c r="AJ2007">
        <f>IF($C2007="","",IF($T2007="Yes",1,0))</f>
        <v/>
      </c>
      <c r="AK2007">
        <f>IF($AG2007=1,IFERROR(IF(VALUE($C2007)&lt;100000000,VALUE($C2007),1000000000),IFERROR(IF(VALUE(MID($C2007,2,20))&lt;100000000,VALUE(MID($C2007,2,20)),1000000000),1000000000))+ROW()/100000,"")</f>
        <v/>
      </c>
    </row>
    <row r="2008">
      <c r="D2008" s="11" t="n"/>
      <c r="K2008" s="7">
        <f>IF($C2008="","",J2008*W2008/100)</f>
        <v/>
      </c>
      <c r="Q2008" s="7" t="n"/>
      <c r="R2008" s="7" t="n"/>
      <c r="U2008">
        <f>IF($C2008="","",IF($AJ2008=1,0,IF($AI2008=1,Settings!$C$6,Settings!$C$7))*100)</f>
        <v/>
      </c>
      <c r="V2008" s="7">
        <f>IF($C2008="","",R2008*U2008/100)</f>
        <v/>
      </c>
      <c r="W2008" s="7">
        <f>IF($C2008="","",R2008-V2008)</f>
        <v/>
      </c>
      <c r="X2008" s="7">
        <f>IF($C2008="","",W2008-K2008)</f>
        <v/>
      </c>
      <c r="AB2008" s="7" t="n"/>
      <c r="AE2008" s="11" t="n"/>
      <c r="AG2008">
        <f>IF($C2008="","",IF(COUNTIF($C$2:$C2008,$C2008)=1,1,0))</f>
        <v/>
      </c>
      <c r="AH2008">
        <f>IF($AG2008=1,SUMPRODUCT(--($AK$2:$AK$6001&lt;$AK2008))+1,"")</f>
        <v/>
      </c>
      <c r="AI2008">
        <f>IF($C2008="","",IF(OR($N2008=TRUE(),$N2008="TRUE"),1,0))</f>
        <v/>
      </c>
      <c r="AJ2008">
        <f>IF($C2008="","",IF($T2008="Yes",1,0))</f>
        <v/>
      </c>
      <c r="AK2008">
        <f>IF($AG2008=1,IFERROR(IF(VALUE($C2008)&lt;100000000,VALUE($C2008),1000000000),IFERROR(IF(VALUE(MID($C2008,2,20))&lt;100000000,VALUE(MID($C2008,2,20)),1000000000),1000000000))+ROW()/100000,"")</f>
        <v/>
      </c>
    </row>
    <row r="2009">
      <c r="D2009" s="11" t="n"/>
      <c r="K2009" s="7">
        <f>IF($C2009="","",J2009*W2009/100)</f>
        <v/>
      </c>
      <c r="Q2009" s="7" t="n"/>
      <c r="R2009" s="7" t="n"/>
      <c r="U2009">
        <f>IF($C2009="","",IF($AJ2009=1,0,IF($AI2009=1,Settings!$C$6,Settings!$C$7))*100)</f>
        <v/>
      </c>
      <c r="V2009" s="7">
        <f>IF($C2009="","",R2009*U2009/100)</f>
        <v/>
      </c>
      <c r="W2009" s="7">
        <f>IF($C2009="","",R2009-V2009)</f>
        <v/>
      </c>
      <c r="X2009" s="7">
        <f>IF($C2009="","",W2009-K2009)</f>
        <v/>
      </c>
      <c r="AB2009" s="7" t="n"/>
      <c r="AE2009" s="11" t="n"/>
      <c r="AG2009">
        <f>IF($C2009="","",IF(COUNTIF($C$2:$C2009,$C2009)=1,1,0))</f>
        <v/>
      </c>
      <c r="AH2009">
        <f>IF($AG2009=1,SUMPRODUCT(--($AK$2:$AK$6001&lt;$AK2009))+1,"")</f>
        <v/>
      </c>
      <c r="AI2009">
        <f>IF($C2009="","",IF(OR($N2009=TRUE(),$N2009="TRUE"),1,0))</f>
        <v/>
      </c>
      <c r="AJ2009">
        <f>IF($C2009="","",IF($T2009="Yes",1,0))</f>
        <v/>
      </c>
      <c r="AK2009">
        <f>IF($AG2009=1,IFERROR(IF(VALUE($C2009)&lt;100000000,VALUE($C2009),1000000000),IFERROR(IF(VALUE(MID($C2009,2,20))&lt;100000000,VALUE(MID($C2009,2,20)),1000000000),1000000000))+ROW()/100000,"")</f>
        <v/>
      </c>
    </row>
    <row r="2010">
      <c r="D2010" s="11" t="n"/>
      <c r="K2010" s="7">
        <f>IF($C2010="","",J2010*W2010/100)</f>
        <v/>
      </c>
      <c r="Q2010" s="7" t="n"/>
      <c r="R2010" s="7" t="n"/>
      <c r="U2010">
        <f>IF($C2010="","",IF($AJ2010=1,0,IF($AI2010=1,Settings!$C$6,Settings!$C$7))*100)</f>
        <v/>
      </c>
      <c r="V2010" s="7">
        <f>IF($C2010="","",R2010*U2010/100)</f>
        <v/>
      </c>
      <c r="W2010" s="7">
        <f>IF($C2010="","",R2010-V2010)</f>
        <v/>
      </c>
      <c r="X2010" s="7">
        <f>IF($C2010="","",W2010-K2010)</f>
        <v/>
      </c>
      <c r="AB2010" s="7" t="n"/>
      <c r="AE2010" s="11" t="n"/>
      <c r="AG2010">
        <f>IF($C2010="","",IF(COUNTIF($C$2:$C2010,$C2010)=1,1,0))</f>
        <v/>
      </c>
      <c r="AH2010">
        <f>IF($AG2010=1,SUMPRODUCT(--($AK$2:$AK$6001&lt;$AK2010))+1,"")</f>
        <v/>
      </c>
      <c r="AI2010">
        <f>IF($C2010="","",IF(OR($N2010=TRUE(),$N2010="TRUE"),1,0))</f>
        <v/>
      </c>
      <c r="AJ2010">
        <f>IF($C2010="","",IF($T2010="Yes",1,0))</f>
        <v/>
      </c>
      <c r="AK2010">
        <f>IF($AG2010=1,IFERROR(IF(VALUE($C2010)&lt;100000000,VALUE($C2010),1000000000),IFERROR(IF(VALUE(MID($C2010,2,20))&lt;100000000,VALUE(MID($C2010,2,20)),1000000000),1000000000))+ROW()/100000,"")</f>
        <v/>
      </c>
    </row>
    <row r="2011">
      <c r="D2011" s="11" t="n"/>
      <c r="K2011" s="7">
        <f>IF($C2011="","",J2011*W2011/100)</f>
        <v/>
      </c>
      <c r="Q2011" s="7" t="n"/>
      <c r="R2011" s="7" t="n"/>
      <c r="U2011">
        <f>IF($C2011="","",IF($AJ2011=1,0,IF($AI2011=1,Settings!$C$6,Settings!$C$7))*100)</f>
        <v/>
      </c>
      <c r="V2011" s="7">
        <f>IF($C2011="","",R2011*U2011/100)</f>
        <v/>
      </c>
      <c r="W2011" s="7">
        <f>IF($C2011="","",R2011-V2011)</f>
        <v/>
      </c>
      <c r="X2011" s="7">
        <f>IF($C2011="","",W2011-K2011)</f>
        <v/>
      </c>
      <c r="AB2011" s="7" t="n"/>
      <c r="AE2011" s="11" t="n"/>
      <c r="AG2011">
        <f>IF($C2011="","",IF(COUNTIF($C$2:$C2011,$C2011)=1,1,0))</f>
        <v/>
      </c>
      <c r="AH2011">
        <f>IF($AG2011=1,SUMPRODUCT(--($AK$2:$AK$6001&lt;$AK2011))+1,"")</f>
        <v/>
      </c>
      <c r="AI2011">
        <f>IF($C2011="","",IF(OR($N2011=TRUE(),$N2011="TRUE"),1,0))</f>
        <v/>
      </c>
      <c r="AJ2011">
        <f>IF($C2011="","",IF($T2011="Yes",1,0))</f>
        <v/>
      </c>
      <c r="AK2011">
        <f>IF($AG2011=1,IFERROR(IF(VALUE($C2011)&lt;100000000,VALUE($C2011),1000000000),IFERROR(IF(VALUE(MID($C2011,2,20))&lt;100000000,VALUE(MID($C2011,2,20)),1000000000),1000000000))+ROW()/100000,"")</f>
        <v/>
      </c>
    </row>
    <row r="2012">
      <c r="D2012" s="11" t="n"/>
      <c r="K2012" s="7">
        <f>IF($C2012="","",J2012*W2012/100)</f>
        <v/>
      </c>
      <c r="Q2012" s="7" t="n"/>
      <c r="R2012" s="7" t="n"/>
      <c r="U2012">
        <f>IF($C2012="","",IF($AJ2012=1,0,IF($AI2012=1,Settings!$C$6,Settings!$C$7))*100)</f>
        <v/>
      </c>
      <c r="V2012" s="7">
        <f>IF($C2012="","",R2012*U2012/100)</f>
        <v/>
      </c>
      <c r="W2012" s="7">
        <f>IF($C2012="","",R2012-V2012)</f>
        <v/>
      </c>
      <c r="X2012" s="7">
        <f>IF($C2012="","",W2012-K2012)</f>
        <v/>
      </c>
      <c r="AB2012" s="7" t="n"/>
      <c r="AE2012" s="11" t="n"/>
      <c r="AG2012">
        <f>IF($C2012="","",IF(COUNTIF($C$2:$C2012,$C2012)=1,1,0))</f>
        <v/>
      </c>
      <c r="AH2012">
        <f>IF($AG2012=1,SUMPRODUCT(--($AK$2:$AK$6001&lt;$AK2012))+1,"")</f>
        <v/>
      </c>
      <c r="AI2012">
        <f>IF($C2012="","",IF(OR($N2012=TRUE(),$N2012="TRUE"),1,0))</f>
        <v/>
      </c>
      <c r="AJ2012">
        <f>IF($C2012="","",IF($T2012="Yes",1,0))</f>
        <v/>
      </c>
      <c r="AK2012">
        <f>IF($AG2012=1,IFERROR(IF(VALUE($C2012)&lt;100000000,VALUE($C2012),1000000000),IFERROR(IF(VALUE(MID($C2012,2,20))&lt;100000000,VALUE(MID($C2012,2,20)),1000000000),1000000000))+ROW()/100000,"")</f>
        <v/>
      </c>
    </row>
    <row r="2013">
      <c r="D2013" s="11" t="n"/>
      <c r="K2013" s="7">
        <f>IF($C2013="","",J2013*W2013/100)</f>
        <v/>
      </c>
      <c r="Q2013" s="7" t="n"/>
      <c r="R2013" s="7" t="n"/>
      <c r="U2013">
        <f>IF($C2013="","",IF($AJ2013=1,0,IF($AI2013=1,Settings!$C$6,Settings!$C$7))*100)</f>
        <v/>
      </c>
      <c r="V2013" s="7">
        <f>IF($C2013="","",R2013*U2013/100)</f>
        <v/>
      </c>
      <c r="W2013" s="7">
        <f>IF($C2013="","",R2013-V2013)</f>
        <v/>
      </c>
      <c r="X2013" s="7">
        <f>IF($C2013="","",W2013-K2013)</f>
        <v/>
      </c>
      <c r="AB2013" s="7" t="n"/>
      <c r="AE2013" s="11" t="n"/>
      <c r="AG2013">
        <f>IF($C2013="","",IF(COUNTIF($C$2:$C2013,$C2013)=1,1,0))</f>
        <v/>
      </c>
      <c r="AH2013">
        <f>IF($AG2013=1,SUMPRODUCT(--($AK$2:$AK$6001&lt;$AK2013))+1,"")</f>
        <v/>
      </c>
      <c r="AI2013">
        <f>IF($C2013="","",IF(OR($N2013=TRUE(),$N2013="TRUE"),1,0))</f>
        <v/>
      </c>
      <c r="AJ2013">
        <f>IF($C2013="","",IF($T2013="Yes",1,0))</f>
        <v/>
      </c>
      <c r="AK2013">
        <f>IF($AG2013=1,IFERROR(IF(VALUE($C2013)&lt;100000000,VALUE($C2013),1000000000),IFERROR(IF(VALUE(MID($C2013,2,20))&lt;100000000,VALUE(MID($C2013,2,20)),1000000000),1000000000))+ROW()/100000,"")</f>
        <v/>
      </c>
    </row>
    <row r="2014">
      <c r="D2014" s="11" t="n"/>
      <c r="K2014" s="7">
        <f>IF($C2014="","",J2014*W2014/100)</f>
        <v/>
      </c>
      <c r="Q2014" s="7" t="n"/>
      <c r="R2014" s="7" t="n"/>
      <c r="U2014">
        <f>IF($C2014="","",IF($AJ2014=1,0,IF($AI2014=1,Settings!$C$6,Settings!$C$7))*100)</f>
        <v/>
      </c>
      <c r="V2014" s="7">
        <f>IF($C2014="","",R2014*U2014/100)</f>
        <v/>
      </c>
      <c r="W2014" s="7">
        <f>IF($C2014="","",R2014-V2014)</f>
        <v/>
      </c>
      <c r="X2014" s="7">
        <f>IF($C2014="","",W2014-K2014)</f>
        <v/>
      </c>
      <c r="AB2014" s="7" t="n"/>
      <c r="AE2014" s="11" t="n"/>
      <c r="AG2014">
        <f>IF($C2014="","",IF(COUNTIF($C$2:$C2014,$C2014)=1,1,0))</f>
        <v/>
      </c>
      <c r="AH2014">
        <f>IF($AG2014=1,SUMPRODUCT(--($AK$2:$AK$6001&lt;$AK2014))+1,"")</f>
        <v/>
      </c>
      <c r="AI2014">
        <f>IF($C2014="","",IF(OR($N2014=TRUE(),$N2014="TRUE"),1,0))</f>
        <v/>
      </c>
      <c r="AJ2014">
        <f>IF($C2014="","",IF($T2014="Yes",1,0))</f>
        <v/>
      </c>
      <c r="AK2014">
        <f>IF($AG2014=1,IFERROR(IF(VALUE($C2014)&lt;100000000,VALUE($C2014),1000000000),IFERROR(IF(VALUE(MID($C2014,2,20))&lt;100000000,VALUE(MID($C2014,2,20)),1000000000),1000000000))+ROW()/100000,"")</f>
        <v/>
      </c>
    </row>
    <row r="2015">
      <c r="D2015" s="11" t="n"/>
      <c r="K2015" s="7">
        <f>IF($C2015="","",J2015*W2015/100)</f>
        <v/>
      </c>
      <c r="Q2015" s="7" t="n"/>
      <c r="R2015" s="7" t="n"/>
      <c r="U2015">
        <f>IF($C2015="","",IF($AJ2015=1,0,IF($AI2015=1,Settings!$C$6,Settings!$C$7))*100)</f>
        <v/>
      </c>
      <c r="V2015" s="7">
        <f>IF($C2015="","",R2015*U2015/100)</f>
        <v/>
      </c>
      <c r="W2015" s="7">
        <f>IF($C2015="","",R2015-V2015)</f>
        <v/>
      </c>
      <c r="X2015" s="7">
        <f>IF($C2015="","",W2015-K2015)</f>
        <v/>
      </c>
      <c r="AB2015" s="7" t="n"/>
      <c r="AE2015" s="11" t="n"/>
      <c r="AG2015">
        <f>IF($C2015="","",IF(COUNTIF($C$2:$C2015,$C2015)=1,1,0))</f>
        <v/>
      </c>
      <c r="AH2015">
        <f>IF($AG2015=1,SUMPRODUCT(--($AK$2:$AK$6001&lt;$AK2015))+1,"")</f>
        <v/>
      </c>
      <c r="AI2015">
        <f>IF($C2015="","",IF(OR($N2015=TRUE(),$N2015="TRUE"),1,0))</f>
        <v/>
      </c>
      <c r="AJ2015">
        <f>IF($C2015="","",IF($T2015="Yes",1,0))</f>
        <v/>
      </c>
      <c r="AK2015">
        <f>IF($AG2015=1,IFERROR(IF(VALUE($C2015)&lt;100000000,VALUE($C2015),1000000000),IFERROR(IF(VALUE(MID($C2015,2,20))&lt;100000000,VALUE(MID($C2015,2,20)),1000000000),1000000000))+ROW()/100000,"")</f>
        <v/>
      </c>
    </row>
    <row r="2016">
      <c r="D2016" s="11" t="n"/>
      <c r="K2016" s="7">
        <f>IF($C2016="","",J2016*W2016/100)</f>
        <v/>
      </c>
      <c r="Q2016" s="7" t="n"/>
      <c r="R2016" s="7" t="n"/>
      <c r="U2016">
        <f>IF($C2016="","",IF($AJ2016=1,0,IF($AI2016=1,Settings!$C$6,Settings!$C$7))*100)</f>
        <v/>
      </c>
      <c r="V2016" s="7">
        <f>IF($C2016="","",R2016*U2016/100)</f>
        <v/>
      </c>
      <c r="W2016" s="7">
        <f>IF($C2016="","",R2016-V2016)</f>
        <v/>
      </c>
      <c r="X2016" s="7">
        <f>IF($C2016="","",W2016-K2016)</f>
        <v/>
      </c>
      <c r="AB2016" s="7" t="n"/>
      <c r="AE2016" s="11" t="n"/>
      <c r="AG2016">
        <f>IF($C2016="","",IF(COUNTIF($C$2:$C2016,$C2016)=1,1,0))</f>
        <v/>
      </c>
      <c r="AH2016">
        <f>IF($AG2016=1,SUMPRODUCT(--($AK$2:$AK$6001&lt;$AK2016))+1,"")</f>
        <v/>
      </c>
      <c r="AI2016">
        <f>IF($C2016="","",IF(OR($N2016=TRUE(),$N2016="TRUE"),1,0))</f>
        <v/>
      </c>
      <c r="AJ2016">
        <f>IF($C2016="","",IF($T2016="Yes",1,0))</f>
        <v/>
      </c>
      <c r="AK2016">
        <f>IF($AG2016=1,IFERROR(IF(VALUE($C2016)&lt;100000000,VALUE($C2016),1000000000),IFERROR(IF(VALUE(MID($C2016,2,20))&lt;100000000,VALUE(MID($C2016,2,20)),1000000000),1000000000))+ROW()/100000,"")</f>
        <v/>
      </c>
    </row>
    <row r="2017">
      <c r="D2017" s="11" t="n"/>
      <c r="K2017" s="7">
        <f>IF($C2017="","",J2017*W2017/100)</f>
        <v/>
      </c>
      <c r="Q2017" s="7" t="n"/>
      <c r="R2017" s="7" t="n"/>
      <c r="U2017">
        <f>IF($C2017="","",IF($AJ2017=1,0,IF($AI2017=1,Settings!$C$6,Settings!$C$7))*100)</f>
        <v/>
      </c>
      <c r="V2017" s="7">
        <f>IF($C2017="","",R2017*U2017/100)</f>
        <v/>
      </c>
      <c r="W2017" s="7">
        <f>IF($C2017="","",R2017-V2017)</f>
        <v/>
      </c>
      <c r="X2017" s="7">
        <f>IF($C2017="","",W2017-K2017)</f>
        <v/>
      </c>
      <c r="AB2017" s="7" t="n"/>
      <c r="AE2017" s="11" t="n"/>
      <c r="AG2017">
        <f>IF($C2017="","",IF(COUNTIF($C$2:$C2017,$C2017)=1,1,0))</f>
        <v/>
      </c>
      <c r="AH2017">
        <f>IF($AG2017=1,SUMPRODUCT(--($AK$2:$AK$6001&lt;$AK2017))+1,"")</f>
        <v/>
      </c>
      <c r="AI2017">
        <f>IF($C2017="","",IF(OR($N2017=TRUE(),$N2017="TRUE"),1,0))</f>
        <v/>
      </c>
      <c r="AJ2017">
        <f>IF($C2017="","",IF($T2017="Yes",1,0))</f>
        <v/>
      </c>
      <c r="AK2017">
        <f>IF($AG2017=1,IFERROR(IF(VALUE($C2017)&lt;100000000,VALUE($C2017),1000000000),IFERROR(IF(VALUE(MID($C2017,2,20))&lt;100000000,VALUE(MID($C2017,2,20)),1000000000),1000000000))+ROW()/100000,"")</f>
        <v/>
      </c>
    </row>
    <row r="2018">
      <c r="D2018" s="11" t="n"/>
      <c r="K2018" s="7">
        <f>IF($C2018="","",J2018*W2018/100)</f>
        <v/>
      </c>
      <c r="Q2018" s="7" t="n"/>
      <c r="R2018" s="7" t="n"/>
      <c r="U2018">
        <f>IF($C2018="","",IF($AJ2018=1,0,IF($AI2018=1,Settings!$C$6,Settings!$C$7))*100)</f>
        <v/>
      </c>
      <c r="V2018" s="7">
        <f>IF($C2018="","",R2018*U2018/100)</f>
        <v/>
      </c>
      <c r="W2018" s="7">
        <f>IF($C2018="","",R2018-V2018)</f>
        <v/>
      </c>
      <c r="X2018" s="7">
        <f>IF($C2018="","",W2018-K2018)</f>
        <v/>
      </c>
      <c r="AB2018" s="7" t="n"/>
      <c r="AE2018" s="11" t="n"/>
      <c r="AG2018">
        <f>IF($C2018="","",IF(COUNTIF($C$2:$C2018,$C2018)=1,1,0))</f>
        <v/>
      </c>
      <c r="AH2018">
        <f>IF($AG2018=1,SUMPRODUCT(--($AK$2:$AK$6001&lt;$AK2018))+1,"")</f>
        <v/>
      </c>
      <c r="AI2018">
        <f>IF($C2018="","",IF(OR($N2018=TRUE(),$N2018="TRUE"),1,0))</f>
        <v/>
      </c>
      <c r="AJ2018">
        <f>IF($C2018="","",IF($T2018="Yes",1,0))</f>
        <v/>
      </c>
      <c r="AK2018">
        <f>IF($AG2018=1,IFERROR(IF(VALUE($C2018)&lt;100000000,VALUE($C2018),1000000000),IFERROR(IF(VALUE(MID($C2018,2,20))&lt;100000000,VALUE(MID($C2018,2,20)),1000000000),1000000000))+ROW()/100000,"")</f>
        <v/>
      </c>
    </row>
    <row r="2019">
      <c r="D2019" s="11" t="n"/>
      <c r="K2019" s="7">
        <f>IF($C2019="","",J2019*W2019/100)</f>
        <v/>
      </c>
      <c r="Q2019" s="7" t="n"/>
      <c r="R2019" s="7" t="n"/>
      <c r="U2019">
        <f>IF($C2019="","",IF($AJ2019=1,0,IF($AI2019=1,Settings!$C$6,Settings!$C$7))*100)</f>
        <v/>
      </c>
      <c r="V2019" s="7">
        <f>IF($C2019="","",R2019*U2019/100)</f>
        <v/>
      </c>
      <c r="W2019" s="7">
        <f>IF($C2019="","",R2019-V2019)</f>
        <v/>
      </c>
      <c r="X2019" s="7">
        <f>IF($C2019="","",W2019-K2019)</f>
        <v/>
      </c>
      <c r="AB2019" s="7" t="n"/>
      <c r="AE2019" s="11" t="n"/>
      <c r="AG2019">
        <f>IF($C2019="","",IF(COUNTIF($C$2:$C2019,$C2019)=1,1,0))</f>
        <v/>
      </c>
      <c r="AH2019">
        <f>IF($AG2019=1,SUMPRODUCT(--($AK$2:$AK$6001&lt;$AK2019))+1,"")</f>
        <v/>
      </c>
      <c r="AI2019">
        <f>IF($C2019="","",IF(OR($N2019=TRUE(),$N2019="TRUE"),1,0))</f>
        <v/>
      </c>
      <c r="AJ2019">
        <f>IF($C2019="","",IF($T2019="Yes",1,0))</f>
        <v/>
      </c>
      <c r="AK2019">
        <f>IF($AG2019=1,IFERROR(IF(VALUE($C2019)&lt;100000000,VALUE($C2019),1000000000),IFERROR(IF(VALUE(MID($C2019,2,20))&lt;100000000,VALUE(MID($C2019,2,20)),1000000000),1000000000))+ROW()/100000,"")</f>
        <v/>
      </c>
    </row>
    <row r="2020">
      <c r="D2020" s="11" t="n"/>
      <c r="K2020" s="7">
        <f>IF($C2020="","",J2020*W2020/100)</f>
        <v/>
      </c>
      <c r="Q2020" s="7" t="n"/>
      <c r="R2020" s="7" t="n"/>
      <c r="U2020">
        <f>IF($C2020="","",IF($AJ2020=1,0,IF($AI2020=1,Settings!$C$6,Settings!$C$7))*100)</f>
        <v/>
      </c>
      <c r="V2020" s="7">
        <f>IF($C2020="","",R2020*U2020/100)</f>
        <v/>
      </c>
      <c r="W2020" s="7">
        <f>IF($C2020="","",R2020-V2020)</f>
        <v/>
      </c>
      <c r="X2020" s="7">
        <f>IF($C2020="","",W2020-K2020)</f>
        <v/>
      </c>
      <c r="AB2020" s="7" t="n"/>
      <c r="AE2020" s="11" t="n"/>
      <c r="AG2020">
        <f>IF($C2020="","",IF(COUNTIF($C$2:$C2020,$C2020)=1,1,0))</f>
        <v/>
      </c>
      <c r="AH2020">
        <f>IF($AG2020=1,SUMPRODUCT(--($AK$2:$AK$6001&lt;$AK2020))+1,"")</f>
        <v/>
      </c>
      <c r="AI2020">
        <f>IF($C2020="","",IF(OR($N2020=TRUE(),$N2020="TRUE"),1,0))</f>
        <v/>
      </c>
      <c r="AJ2020">
        <f>IF($C2020="","",IF($T2020="Yes",1,0))</f>
        <v/>
      </c>
      <c r="AK2020">
        <f>IF($AG2020=1,IFERROR(IF(VALUE($C2020)&lt;100000000,VALUE($C2020),1000000000),IFERROR(IF(VALUE(MID($C2020,2,20))&lt;100000000,VALUE(MID($C2020,2,20)),1000000000),1000000000))+ROW()/100000,"")</f>
        <v/>
      </c>
    </row>
    <row r="2021">
      <c r="D2021" s="11" t="n"/>
      <c r="K2021" s="7">
        <f>IF($C2021="","",J2021*W2021/100)</f>
        <v/>
      </c>
      <c r="Q2021" s="7" t="n"/>
      <c r="R2021" s="7" t="n"/>
      <c r="U2021">
        <f>IF($C2021="","",IF($AJ2021=1,0,IF($AI2021=1,Settings!$C$6,Settings!$C$7))*100)</f>
        <v/>
      </c>
      <c r="V2021" s="7">
        <f>IF($C2021="","",R2021*U2021/100)</f>
        <v/>
      </c>
      <c r="W2021" s="7">
        <f>IF($C2021="","",R2021-V2021)</f>
        <v/>
      </c>
      <c r="X2021" s="7">
        <f>IF($C2021="","",W2021-K2021)</f>
        <v/>
      </c>
      <c r="AB2021" s="7" t="n"/>
      <c r="AE2021" s="11" t="n"/>
      <c r="AG2021">
        <f>IF($C2021="","",IF(COUNTIF($C$2:$C2021,$C2021)=1,1,0))</f>
        <v/>
      </c>
      <c r="AH2021">
        <f>IF($AG2021=1,SUMPRODUCT(--($AK$2:$AK$6001&lt;$AK2021))+1,"")</f>
        <v/>
      </c>
      <c r="AI2021">
        <f>IF($C2021="","",IF(OR($N2021=TRUE(),$N2021="TRUE"),1,0))</f>
        <v/>
      </c>
      <c r="AJ2021">
        <f>IF($C2021="","",IF($T2021="Yes",1,0))</f>
        <v/>
      </c>
      <c r="AK2021">
        <f>IF($AG2021=1,IFERROR(IF(VALUE($C2021)&lt;100000000,VALUE($C2021),1000000000),IFERROR(IF(VALUE(MID($C2021,2,20))&lt;100000000,VALUE(MID($C2021,2,20)),1000000000),1000000000))+ROW()/100000,"")</f>
        <v/>
      </c>
    </row>
    <row r="2022">
      <c r="D2022" s="11" t="n"/>
      <c r="K2022" s="7">
        <f>IF($C2022="","",J2022*W2022/100)</f>
        <v/>
      </c>
      <c r="Q2022" s="7" t="n"/>
      <c r="R2022" s="7" t="n"/>
      <c r="U2022">
        <f>IF($C2022="","",IF($AJ2022=1,0,IF($AI2022=1,Settings!$C$6,Settings!$C$7))*100)</f>
        <v/>
      </c>
      <c r="V2022" s="7">
        <f>IF($C2022="","",R2022*U2022/100)</f>
        <v/>
      </c>
      <c r="W2022" s="7">
        <f>IF($C2022="","",R2022-V2022)</f>
        <v/>
      </c>
      <c r="X2022" s="7">
        <f>IF($C2022="","",W2022-K2022)</f>
        <v/>
      </c>
      <c r="AB2022" s="7" t="n"/>
      <c r="AE2022" s="11" t="n"/>
      <c r="AG2022">
        <f>IF($C2022="","",IF(COUNTIF($C$2:$C2022,$C2022)=1,1,0))</f>
        <v/>
      </c>
      <c r="AH2022">
        <f>IF($AG2022=1,SUMPRODUCT(--($AK$2:$AK$6001&lt;$AK2022))+1,"")</f>
        <v/>
      </c>
      <c r="AI2022">
        <f>IF($C2022="","",IF(OR($N2022=TRUE(),$N2022="TRUE"),1,0))</f>
        <v/>
      </c>
      <c r="AJ2022">
        <f>IF($C2022="","",IF($T2022="Yes",1,0))</f>
        <v/>
      </c>
      <c r="AK2022">
        <f>IF($AG2022=1,IFERROR(IF(VALUE($C2022)&lt;100000000,VALUE($C2022),1000000000),IFERROR(IF(VALUE(MID($C2022,2,20))&lt;100000000,VALUE(MID($C2022,2,20)),1000000000),1000000000))+ROW()/100000,"")</f>
        <v/>
      </c>
    </row>
    <row r="2023">
      <c r="D2023" s="11" t="n"/>
      <c r="K2023" s="7">
        <f>IF($C2023="","",J2023*W2023/100)</f>
        <v/>
      </c>
      <c r="Q2023" s="7" t="n"/>
      <c r="R2023" s="7" t="n"/>
      <c r="U2023">
        <f>IF($C2023="","",IF($AJ2023=1,0,IF($AI2023=1,Settings!$C$6,Settings!$C$7))*100)</f>
        <v/>
      </c>
      <c r="V2023" s="7">
        <f>IF($C2023="","",R2023*U2023/100)</f>
        <v/>
      </c>
      <c r="W2023" s="7">
        <f>IF($C2023="","",R2023-V2023)</f>
        <v/>
      </c>
      <c r="X2023" s="7">
        <f>IF($C2023="","",W2023-K2023)</f>
        <v/>
      </c>
      <c r="AB2023" s="7" t="n"/>
      <c r="AE2023" s="11" t="n"/>
      <c r="AG2023">
        <f>IF($C2023="","",IF(COUNTIF($C$2:$C2023,$C2023)=1,1,0))</f>
        <v/>
      </c>
      <c r="AH2023">
        <f>IF($AG2023=1,SUMPRODUCT(--($AK$2:$AK$6001&lt;$AK2023))+1,"")</f>
        <v/>
      </c>
      <c r="AI2023">
        <f>IF($C2023="","",IF(OR($N2023=TRUE(),$N2023="TRUE"),1,0))</f>
        <v/>
      </c>
      <c r="AJ2023">
        <f>IF($C2023="","",IF($T2023="Yes",1,0))</f>
        <v/>
      </c>
      <c r="AK2023">
        <f>IF($AG2023=1,IFERROR(IF(VALUE($C2023)&lt;100000000,VALUE($C2023),1000000000),IFERROR(IF(VALUE(MID($C2023,2,20))&lt;100000000,VALUE(MID($C2023,2,20)),1000000000),1000000000))+ROW()/100000,"")</f>
        <v/>
      </c>
    </row>
    <row r="2024">
      <c r="D2024" s="11" t="n"/>
      <c r="K2024" s="7">
        <f>IF($C2024="","",J2024*W2024/100)</f>
        <v/>
      </c>
      <c r="Q2024" s="7" t="n"/>
      <c r="R2024" s="7" t="n"/>
      <c r="U2024">
        <f>IF($C2024="","",IF($AJ2024=1,0,IF($AI2024=1,Settings!$C$6,Settings!$C$7))*100)</f>
        <v/>
      </c>
      <c r="V2024" s="7">
        <f>IF($C2024="","",R2024*U2024/100)</f>
        <v/>
      </c>
      <c r="W2024" s="7">
        <f>IF($C2024="","",R2024-V2024)</f>
        <v/>
      </c>
      <c r="X2024" s="7">
        <f>IF($C2024="","",W2024-K2024)</f>
        <v/>
      </c>
      <c r="AB2024" s="7" t="n"/>
      <c r="AE2024" s="11" t="n"/>
      <c r="AG2024">
        <f>IF($C2024="","",IF(COUNTIF($C$2:$C2024,$C2024)=1,1,0))</f>
        <v/>
      </c>
      <c r="AH2024">
        <f>IF($AG2024=1,SUMPRODUCT(--($AK$2:$AK$6001&lt;$AK2024))+1,"")</f>
        <v/>
      </c>
      <c r="AI2024">
        <f>IF($C2024="","",IF(OR($N2024=TRUE(),$N2024="TRUE"),1,0))</f>
        <v/>
      </c>
      <c r="AJ2024">
        <f>IF($C2024="","",IF($T2024="Yes",1,0))</f>
        <v/>
      </c>
      <c r="AK2024">
        <f>IF($AG2024=1,IFERROR(IF(VALUE($C2024)&lt;100000000,VALUE($C2024),1000000000),IFERROR(IF(VALUE(MID($C2024,2,20))&lt;100000000,VALUE(MID($C2024,2,20)),1000000000),1000000000))+ROW()/100000,"")</f>
        <v/>
      </c>
    </row>
    <row r="2025">
      <c r="D2025" s="11" t="n"/>
      <c r="K2025" s="7">
        <f>IF($C2025="","",J2025*W2025/100)</f>
        <v/>
      </c>
      <c r="Q2025" s="7" t="n"/>
      <c r="R2025" s="7" t="n"/>
      <c r="U2025">
        <f>IF($C2025="","",IF($AJ2025=1,0,IF($AI2025=1,Settings!$C$6,Settings!$C$7))*100)</f>
        <v/>
      </c>
      <c r="V2025" s="7">
        <f>IF($C2025="","",R2025*U2025/100)</f>
        <v/>
      </c>
      <c r="W2025" s="7">
        <f>IF($C2025="","",R2025-V2025)</f>
        <v/>
      </c>
      <c r="X2025" s="7">
        <f>IF($C2025="","",W2025-K2025)</f>
        <v/>
      </c>
      <c r="AB2025" s="7" t="n"/>
      <c r="AE2025" s="11" t="n"/>
      <c r="AG2025">
        <f>IF($C2025="","",IF(COUNTIF($C$2:$C2025,$C2025)=1,1,0))</f>
        <v/>
      </c>
      <c r="AH2025">
        <f>IF($AG2025=1,SUMPRODUCT(--($AK$2:$AK$6001&lt;$AK2025))+1,"")</f>
        <v/>
      </c>
      <c r="AI2025">
        <f>IF($C2025="","",IF(OR($N2025=TRUE(),$N2025="TRUE"),1,0))</f>
        <v/>
      </c>
      <c r="AJ2025">
        <f>IF($C2025="","",IF($T2025="Yes",1,0))</f>
        <v/>
      </c>
      <c r="AK2025">
        <f>IF($AG2025=1,IFERROR(IF(VALUE($C2025)&lt;100000000,VALUE($C2025),1000000000),IFERROR(IF(VALUE(MID($C2025,2,20))&lt;100000000,VALUE(MID($C2025,2,20)),1000000000),1000000000))+ROW()/100000,"")</f>
        <v/>
      </c>
    </row>
    <row r="2026">
      <c r="D2026" s="11" t="n"/>
      <c r="K2026" s="7">
        <f>IF($C2026="","",J2026*W2026/100)</f>
        <v/>
      </c>
      <c r="Q2026" s="7" t="n"/>
      <c r="R2026" s="7" t="n"/>
      <c r="U2026">
        <f>IF($C2026="","",IF($AJ2026=1,0,IF($AI2026=1,Settings!$C$6,Settings!$C$7))*100)</f>
        <v/>
      </c>
      <c r="V2026" s="7">
        <f>IF($C2026="","",R2026*U2026/100)</f>
        <v/>
      </c>
      <c r="W2026" s="7">
        <f>IF($C2026="","",R2026-V2026)</f>
        <v/>
      </c>
      <c r="X2026" s="7">
        <f>IF($C2026="","",W2026-K2026)</f>
        <v/>
      </c>
      <c r="AB2026" s="7" t="n"/>
      <c r="AE2026" s="11" t="n"/>
      <c r="AG2026">
        <f>IF($C2026="","",IF(COUNTIF($C$2:$C2026,$C2026)=1,1,0))</f>
        <v/>
      </c>
      <c r="AH2026">
        <f>IF($AG2026=1,SUMPRODUCT(--($AK$2:$AK$6001&lt;$AK2026))+1,"")</f>
        <v/>
      </c>
      <c r="AI2026">
        <f>IF($C2026="","",IF(OR($N2026=TRUE(),$N2026="TRUE"),1,0))</f>
        <v/>
      </c>
      <c r="AJ2026">
        <f>IF($C2026="","",IF($T2026="Yes",1,0))</f>
        <v/>
      </c>
      <c r="AK2026">
        <f>IF($AG2026=1,IFERROR(IF(VALUE($C2026)&lt;100000000,VALUE($C2026),1000000000),IFERROR(IF(VALUE(MID($C2026,2,20))&lt;100000000,VALUE(MID($C2026,2,20)),1000000000),1000000000))+ROW()/100000,"")</f>
        <v/>
      </c>
    </row>
    <row r="2027">
      <c r="D2027" s="11" t="n"/>
      <c r="K2027" s="7">
        <f>IF($C2027="","",J2027*W2027/100)</f>
        <v/>
      </c>
      <c r="Q2027" s="7" t="n"/>
      <c r="R2027" s="7" t="n"/>
      <c r="U2027">
        <f>IF($C2027="","",IF($AJ2027=1,0,IF($AI2027=1,Settings!$C$6,Settings!$C$7))*100)</f>
        <v/>
      </c>
      <c r="V2027" s="7">
        <f>IF($C2027="","",R2027*U2027/100)</f>
        <v/>
      </c>
      <c r="W2027" s="7">
        <f>IF($C2027="","",R2027-V2027)</f>
        <v/>
      </c>
      <c r="X2027" s="7">
        <f>IF($C2027="","",W2027-K2027)</f>
        <v/>
      </c>
      <c r="AB2027" s="7" t="n"/>
      <c r="AE2027" s="11" t="n"/>
      <c r="AG2027">
        <f>IF($C2027="","",IF(COUNTIF($C$2:$C2027,$C2027)=1,1,0))</f>
        <v/>
      </c>
      <c r="AH2027">
        <f>IF($AG2027=1,SUMPRODUCT(--($AK$2:$AK$6001&lt;$AK2027))+1,"")</f>
        <v/>
      </c>
      <c r="AI2027">
        <f>IF($C2027="","",IF(OR($N2027=TRUE(),$N2027="TRUE"),1,0))</f>
        <v/>
      </c>
      <c r="AJ2027">
        <f>IF($C2027="","",IF($T2027="Yes",1,0))</f>
        <v/>
      </c>
      <c r="AK2027">
        <f>IF($AG2027=1,IFERROR(IF(VALUE($C2027)&lt;100000000,VALUE($C2027),1000000000),IFERROR(IF(VALUE(MID($C2027,2,20))&lt;100000000,VALUE(MID($C2027,2,20)),1000000000),1000000000))+ROW()/100000,"")</f>
        <v/>
      </c>
    </row>
    <row r="2028">
      <c r="D2028" s="11" t="n"/>
      <c r="K2028" s="7">
        <f>IF($C2028="","",J2028*W2028/100)</f>
        <v/>
      </c>
      <c r="Q2028" s="7" t="n"/>
      <c r="R2028" s="7" t="n"/>
      <c r="U2028">
        <f>IF($C2028="","",IF($AJ2028=1,0,IF($AI2028=1,Settings!$C$6,Settings!$C$7))*100)</f>
        <v/>
      </c>
      <c r="V2028" s="7">
        <f>IF($C2028="","",R2028*U2028/100)</f>
        <v/>
      </c>
      <c r="W2028" s="7">
        <f>IF($C2028="","",R2028-V2028)</f>
        <v/>
      </c>
      <c r="X2028" s="7">
        <f>IF($C2028="","",W2028-K2028)</f>
        <v/>
      </c>
      <c r="AB2028" s="7" t="n"/>
      <c r="AE2028" s="11" t="n"/>
      <c r="AG2028">
        <f>IF($C2028="","",IF(COUNTIF($C$2:$C2028,$C2028)=1,1,0))</f>
        <v/>
      </c>
      <c r="AH2028">
        <f>IF($AG2028=1,SUMPRODUCT(--($AK$2:$AK$6001&lt;$AK2028))+1,"")</f>
        <v/>
      </c>
      <c r="AI2028">
        <f>IF($C2028="","",IF(OR($N2028=TRUE(),$N2028="TRUE"),1,0))</f>
        <v/>
      </c>
      <c r="AJ2028">
        <f>IF($C2028="","",IF($T2028="Yes",1,0))</f>
        <v/>
      </c>
      <c r="AK2028">
        <f>IF($AG2028=1,IFERROR(IF(VALUE($C2028)&lt;100000000,VALUE($C2028),1000000000),IFERROR(IF(VALUE(MID($C2028,2,20))&lt;100000000,VALUE(MID($C2028,2,20)),1000000000),1000000000))+ROW()/100000,"")</f>
        <v/>
      </c>
    </row>
    <row r="2029">
      <c r="D2029" s="11" t="n"/>
      <c r="K2029" s="7">
        <f>IF($C2029="","",J2029*W2029/100)</f>
        <v/>
      </c>
      <c r="Q2029" s="7" t="n"/>
      <c r="R2029" s="7" t="n"/>
      <c r="U2029">
        <f>IF($C2029="","",IF($AJ2029=1,0,IF($AI2029=1,Settings!$C$6,Settings!$C$7))*100)</f>
        <v/>
      </c>
      <c r="V2029" s="7">
        <f>IF($C2029="","",R2029*U2029/100)</f>
        <v/>
      </c>
      <c r="W2029" s="7">
        <f>IF($C2029="","",R2029-V2029)</f>
        <v/>
      </c>
      <c r="X2029" s="7">
        <f>IF($C2029="","",W2029-K2029)</f>
        <v/>
      </c>
      <c r="AB2029" s="7" t="n"/>
      <c r="AE2029" s="11" t="n"/>
      <c r="AG2029">
        <f>IF($C2029="","",IF(COUNTIF($C$2:$C2029,$C2029)=1,1,0))</f>
        <v/>
      </c>
      <c r="AH2029">
        <f>IF($AG2029=1,SUMPRODUCT(--($AK$2:$AK$6001&lt;$AK2029))+1,"")</f>
        <v/>
      </c>
      <c r="AI2029">
        <f>IF($C2029="","",IF(OR($N2029=TRUE(),$N2029="TRUE"),1,0))</f>
        <v/>
      </c>
      <c r="AJ2029">
        <f>IF($C2029="","",IF($T2029="Yes",1,0))</f>
        <v/>
      </c>
      <c r="AK2029">
        <f>IF($AG2029=1,IFERROR(IF(VALUE($C2029)&lt;100000000,VALUE($C2029),1000000000),IFERROR(IF(VALUE(MID($C2029,2,20))&lt;100000000,VALUE(MID($C2029,2,20)),1000000000),1000000000))+ROW()/100000,"")</f>
        <v/>
      </c>
    </row>
    <row r="2030">
      <c r="D2030" s="11" t="n"/>
      <c r="K2030" s="7">
        <f>IF($C2030="","",J2030*W2030/100)</f>
        <v/>
      </c>
      <c r="Q2030" s="7" t="n"/>
      <c r="R2030" s="7" t="n"/>
      <c r="U2030">
        <f>IF($C2030="","",IF($AJ2030=1,0,IF($AI2030=1,Settings!$C$6,Settings!$C$7))*100)</f>
        <v/>
      </c>
      <c r="V2030" s="7">
        <f>IF($C2030="","",R2030*U2030/100)</f>
        <v/>
      </c>
      <c r="W2030" s="7">
        <f>IF($C2030="","",R2030-V2030)</f>
        <v/>
      </c>
      <c r="X2030" s="7">
        <f>IF($C2030="","",W2030-K2030)</f>
        <v/>
      </c>
      <c r="AB2030" s="7" t="n"/>
      <c r="AE2030" s="11" t="n"/>
      <c r="AG2030">
        <f>IF($C2030="","",IF(COUNTIF($C$2:$C2030,$C2030)=1,1,0))</f>
        <v/>
      </c>
      <c r="AH2030">
        <f>IF($AG2030=1,SUMPRODUCT(--($AK$2:$AK$6001&lt;$AK2030))+1,"")</f>
        <v/>
      </c>
      <c r="AI2030">
        <f>IF($C2030="","",IF(OR($N2030=TRUE(),$N2030="TRUE"),1,0))</f>
        <v/>
      </c>
      <c r="AJ2030">
        <f>IF($C2030="","",IF($T2030="Yes",1,0))</f>
        <v/>
      </c>
      <c r="AK2030">
        <f>IF($AG2030=1,IFERROR(IF(VALUE($C2030)&lt;100000000,VALUE($C2030),1000000000),IFERROR(IF(VALUE(MID($C2030,2,20))&lt;100000000,VALUE(MID($C2030,2,20)),1000000000),1000000000))+ROW()/100000,"")</f>
        <v/>
      </c>
    </row>
    <row r="2031">
      <c r="D2031" s="11" t="n"/>
      <c r="K2031" s="7">
        <f>IF($C2031="","",J2031*W2031/100)</f>
        <v/>
      </c>
      <c r="Q2031" s="7" t="n"/>
      <c r="R2031" s="7" t="n"/>
      <c r="U2031">
        <f>IF($C2031="","",IF($AJ2031=1,0,IF($AI2031=1,Settings!$C$6,Settings!$C$7))*100)</f>
        <v/>
      </c>
      <c r="V2031" s="7">
        <f>IF($C2031="","",R2031*U2031/100)</f>
        <v/>
      </c>
      <c r="W2031" s="7">
        <f>IF($C2031="","",R2031-V2031)</f>
        <v/>
      </c>
      <c r="X2031" s="7">
        <f>IF($C2031="","",W2031-K2031)</f>
        <v/>
      </c>
      <c r="AB2031" s="7" t="n"/>
      <c r="AE2031" s="11" t="n"/>
      <c r="AG2031">
        <f>IF($C2031="","",IF(COUNTIF($C$2:$C2031,$C2031)=1,1,0))</f>
        <v/>
      </c>
      <c r="AH2031">
        <f>IF($AG2031=1,SUMPRODUCT(--($AK$2:$AK$6001&lt;$AK2031))+1,"")</f>
        <v/>
      </c>
      <c r="AI2031">
        <f>IF($C2031="","",IF(OR($N2031=TRUE(),$N2031="TRUE"),1,0))</f>
        <v/>
      </c>
      <c r="AJ2031">
        <f>IF($C2031="","",IF($T2031="Yes",1,0))</f>
        <v/>
      </c>
      <c r="AK2031">
        <f>IF($AG2031=1,IFERROR(IF(VALUE($C2031)&lt;100000000,VALUE($C2031),1000000000),IFERROR(IF(VALUE(MID($C2031,2,20))&lt;100000000,VALUE(MID($C2031,2,20)),1000000000),1000000000))+ROW()/100000,"")</f>
        <v/>
      </c>
    </row>
    <row r="2032">
      <c r="D2032" s="11" t="n"/>
      <c r="K2032" s="7">
        <f>IF($C2032="","",J2032*W2032/100)</f>
        <v/>
      </c>
      <c r="Q2032" s="7" t="n"/>
      <c r="R2032" s="7" t="n"/>
      <c r="U2032">
        <f>IF($C2032="","",IF($AJ2032=1,0,IF($AI2032=1,Settings!$C$6,Settings!$C$7))*100)</f>
        <v/>
      </c>
      <c r="V2032" s="7">
        <f>IF($C2032="","",R2032*U2032/100)</f>
        <v/>
      </c>
      <c r="W2032" s="7">
        <f>IF($C2032="","",R2032-V2032)</f>
        <v/>
      </c>
      <c r="X2032" s="7">
        <f>IF($C2032="","",W2032-K2032)</f>
        <v/>
      </c>
      <c r="AB2032" s="7" t="n"/>
      <c r="AE2032" s="11" t="n"/>
      <c r="AG2032">
        <f>IF($C2032="","",IF(COUNTIF($C$2:$C2032,$C2032)=1,1,0))</f>
        <v/>
      </c>
      <c r="AH2032">
        <f>IF($AG2032=1,SUMPRODUCT(--($AK$2:$AK$6001&lt;$AK2032))+1,"")</f>
        <v/>
      </c>
      <c r="AI2032">
        <f>IF($C2032="","",IF(OR($N2032=TRUE(),$N2032="TRUE"),1,0))</f>
        <v/>
      </c>
      <c r="AJ2032">
        <f>IF($C2032="","",IF($T2032="Yes",1,0))</f>
        <v/>
      </c>
      <c r="AK2032">
        <f>IF($AG2032=1,IFERROR(IF(VALUE($C2032)&lt;100000000,VALUE($C2032),1000000000),IFERROR(IF(VALUE(MID($C2032,2,20))&lt;100000000,VALUE(MID($C2032,2,20)),1000000000),1000000000))+ROW()/100000,"")</f>
        <v/>
      </c>
    </row>
    <row r="2033">
      <c r="D2033" s="11" t="n"/>
      <c r="K2033" s="7">
        <f>IF($C2033="","",J2033*W2033/100)</f>
        <v/>
      </c>
      <c r="Q2033" s="7" t="n"/>
      <c r="R2033" s="7" t="n"/>
      <c r="U2033">
        <f>IF($C2033="","",IF($AJ2033=1,0,IF($AI2033=1,Settings!$C$6,Settings!$C$7))*100)</f>
        <v/>
      </c>
      <c r="V2033" s="7">
        <f>IF($C2033="","",R2033*U2033/100)</f>
        <v/>
      </c>
      <c r="W2033" s="7">
        <f>IF($C2033="","",R2033-V2033)</f>
        <v/>
      </c>
      <c r="X2033" s="7">
        <f>IF($C2033="","",W2033-K2033)</f>
        <v/>
      </c>
      <c r="AB2033" s="7" t="n"/>
      <c r="AE2033" s="11" t="n"/>
      <c r="AG2033">
        <f>IF($C2033="","",IF(COUNTIF($C$2:$C2033,$C2033)=1,1,0))</f>
        <v/>
      </c>
      <c r="AH2033">
        <f>IF($AG2033=1,SUMPRODUCT(--($AK$2:$AK$6001&lt;$AK2033))+1,"")</f>
        <v/>
      </c>
      <c r="AI2033">
        <f>IF($C2033="","",IF(OR($N2033=TRUE(),$N2033="TRUE"),1,0))</f>
        <v/>
      </c>
      <c r="AJ2033">
        <f>IF($C2033="","",IF($T2033="Yes",1,0))</f>
        <v/>
      </c>
      <c r="AK2033">
        <f>IF($AG2033=1,IFERROR(IF(VALUE($C2033)&lt;100000000,VALUE($C2033),1000000000),IFERROR(IF(VALUE(MID($C2033,2,20))&lt;100000000,VALUE(MID($C2033,2,20)),1000000000),1000000000))+ROW()/100000,"")</f>
        <v/>
      </c>
    </row>
    <row r="2034">
      <c r="D2034" s="11" t="n"/>
      <c r="K2034" s="7">
        <f>IF($C2034="","",J2034*W2034/100)</f>
        <v/>
      </c>
      <c r="Q2034" s="7" t="n"/>
      <c r="R2034" s="7" t="n"/>
      <c r="U2034">
        <f>IF($C2034="","",IF($AJ2034=1,0,IF($AI2034=1,Settings!$C$6,Settings!$C$7))*100)</f>
        <v/>
      </c>
      <c r="V2034" s="7">
        <f>IF($C2034="","",R2034*U2034/100)</f>
        <v/>
      </c>
      <c r="W2034" s="7">
        <f>IF($C2034="","",R2034-V2034)</f>
        <v/>
      </c>
      <c r="X2034" s="7">
        <f>IF($C2034="","",W2034-K2034)</f>
        <v/>
      </c>
      <c r="AB2034" s="7" t="n"/>
      <c r="AE2034" s="11" t="n"/>
      <c r="AG2034">
        <f>IF($C2034="","",IF(COUNTIF($C$2:$C2034,$C2034)=1,1,0))</f>
        <v/>
      </c>
      <c r="AH2034">
        <f>IF($AG2034=1,SUMPRODUCT(--($AK$2:$AK$6001&lt;$AK2034))+1,"")</f>
        <v/>
      </c>
      <c r="AI2034">
        <f>IF($C2034="","",IF(OR($N2034=TRUE(),$N2034="TRUE"),1,0))</f>
        <v/>
      </c>
      <c r="AJ2034">
        <f>IF($C2034="","",IF($T2034="Yes",1,0))</f>
        <v/>
      </c>
      <c r="AK2034">
        <f>IF($AG2034=1,IFERROR(IF(VALUE($C2034)&lt;100000000,VALUE($C2034),1000000000),IFERROR(IF(VALUE(MID($C2034,2,20))&lt;100000000,VALUE(MID($C2034,2,20)),1000000000),1000000000))+ROW()/100000,"")</f>
        <v/>
      </c>
    </row>
    <row r="2035">
      <c r="D2035" s="11" t="n"/>
      <c r="K2035" s="7">
        <f>IF($C2035="","",J2035*W2035/100)</f>
        <v/>
      </c>
      <c r="Q2035" s="7" t="n"/>
      <c r="R2035" s="7" t="n"/>
      <c r="U2035">
        <f>IF($C2035="","",IF($AJ2035=1,0,IF($AI2035=1,Settings!$C$6,Settings!$C$7))*100)</f>
        <v/>
      </c>
      <c r="V2035" s="7">
        <f>IF($C2035="","",R2035*U2035/100)</f>
        <v/>
      </c>
      <c r="W2035" s="7">
        <f>IF($C2035="","",R2035-V2035)</f>
        <v/>
      </c>
      <c r="X2035" s="7">
        <f>IF($C2035="","",W2035-K2035)</f>
        <v/>
      </c>
      <c r="AB2035" s="7" t="n"/>
      <c r="AE2035" s="11" t="n"/>
      <c r="AG2035">
        <f>IF($C2035="","",IF(COUNTIF($C$2:$C2035,$C2035)=1,1,0))</f>
        <v/>
      </c>
      <c r="AH2035">
        <f>IF($AG2035=1,SUMPRODUCT(--($AK$2:$AK$6001&lt;$AK2035))+1,"")</f>
        <v/>
      </c>
      <c r="AI2035">
        <f>IF($C2035="","",IF(OR($N2035=TRUE(),$N2035="TRUE"),1,0))</f>
        <v/>
      </c>
      <c r="AJ2035">
        <f>IF($C2035="","",IF($T2035="Yes",1,0))</f>
        <v/>
      </c>
      <c r="AK2035">
        <f>IF($AG2035=1,IFERROR(IF(VALUE($C2035)&lt;100000000,VALUE($C2035),1000000000),IFERROR(IF(VALUE(MID($C2035,2,20))&lt;100000000,VALUE(MID($C2035,2,20)),1000000000),1000000000))+ROW()/100000,"")</f>
        <v/>
      </c>
    </row>
    <row r="2036">
      <c r="D2036" s="11" t="n"/>
      <c r="K2036" s="7">
        <f>IF($C2036="","",J2036*W2036/100)</f>
        <v/>
      </c>
      <c r="Q2036" s="7" t="n"/>
      <c r="R2036" s="7" t="n"/>
      <c r="U2036">
        <f>IF($C2036="","",IF($AJ2036=1,0,IF($AI2036=1,Settings!$C$6,Settings!$C$7))*100)</f>
        <v/>
      </c>
      <c r="V2036" s="7">
        <f>IF($C2036="","",R2036*U2036/100)</f>
        <v/>
      </c>
      <c r="W2036" s="7">
        <f>IF($C2036="","",R2036-V2036)</f>
        <v/>
      </c>
      <c r="X2036" s="7">
        <f>IF($C2036="","",W2036-K2036)</f>
        <v/>
      </c>
      <c r="AB2036" s="7" t="n"/>
      <c r="AE2036" s="11" t="n"/>
      <c r="AG2036">
        <f>IF($C2036="","",IF(COUNTIF($C$2:$C2036,$C2036)=1,1,0))</f>
        <v/>
      </c>
      <c r="AH2036">
        <f>IF($AG2036=1,SUMPRODUCT(--($AK$2:$AK$6001&lt;$AK2036))+1,"")</f>
        <v/>
      </c>
      <c r="AI2036">
        <f>IF($C2036="","",IF(OR($N2036=TRUE(),$N2036="TRUE"),1,0))</f>
        <v/>
      </c>
      <c r="AJ2036">
        <f>IF($C2036="","",IF($T2036="Yes",1,0))</f>
        <v/>
      </c>
      <c r="AK2036">
        <f>IF($AG2036=1,IFERROR(IF(VALUE($C2036)&lt;100000000,VALUE($C2036),1000000000),IFERROR(IF(VALUE(MID($C2036,2,20))&lt;100000000,VALUE(MID($C2036,2,20)),1000000000),1000000000))+ROW()/100000,"")</f>
        <v/>
      </c>
    </row>
    <row r="2037">
      <c r="D2037" s="11" t="n"/>
      <c r="K2037" s="7">
        <f>IF($C2037="","",J2037*W2037/100)</f>
        <v/>
      </c>
      <c r="Q2037" s="7" t="n"/>
      <c r="R2037" s="7" t="n"/>
      <c r="U2037">
        <f>IF($C2037="","",IF($AJ2037=1,0,IF($AI2037=1,Settings!$C$6,Settings!$C$7))*100)</f>
        <v/>
      </c>
      <c r="V2037" s="7">
        <f>IF($C2037="","",R2037*U2037/100)</f>
        <v/>
      </c>
      <c r="W2037" s="7">
        <f>IF($C2037="","",R2037-V2037)</f>
        <v/>
      </c>
      <c r="X2037" s="7">
        <f>IF($C2037="","",W2037-K2037)</f>
        <v/>
      </c>
      <c r="AB2037" s="7" t="n"/>
      <c r="AE2037" s="11" t="n"/>
      <c r="AG2037">
        <f>IF($C2037="","",IF(COUNTIF($C$2:$C2037,$C2037)=1,1,0))</f>
        <v/>
      </c>
      <c r="AH2037">
        <f>IF($AG2037=1,SUMPRODUCT(--($AK$2:$AK$6001&lt;$AK2037))+1,"")</f>
        <v/>
      </c>
      <c r="AI2037">
        <f>IF($C2037="","",IF(OR($N2037=TRUE(),$N2037="TRUE"),1,0))</f>
        <v/>
      </c>
      <c r="AJ2037">
        <f>IF($C2037="","",IF($T2037="Yes",1,0))</f>
        <v/>
      </c>
      <c r="AK2037">
        <f>IF($AG2037=1,IFERROR(IF(VALUE($C2037)&lt;100000000,VALUE($C2037),1000000000),IFERROR(IF(VALUE(MID($C2037,2,20))&lt;100000000,VALUE(MID($C2037,2,20)),1000000000),1000000000))+ROW()/100000,"")</f>
        <v/>
      </c>
    </row>
    <row r="2038">
      <c r="D2038" s="11" t="n"/>
      <c r="K2038" s="7">
        <f>IF($C2038="","",J2038*W2038/100)</f>
        <v/>
      </c>
      <c r="Q2038" s="7" t="n"/>
      <c r="R2038" s="7" t="n"/>
      <c r="U2038">
        <f>IF($C2038="","",IF($AJ2038=1,0,IF($AI2038=1,Settings!$C$6,Settings!$C$7))*100)</f>
        <v/>
      </c>
      <c r="V2038" s="7">
        <f>IF($C2038="","",R2038*U2038/100)</f>
        <v/>
      </c>
      <c r="W2038" s="7">
        <f>IF($C2038="","",R2038-V2038)</f>
        <v/>
      </c>
      <c r="X2038" s="7">
        <f>IF($C2038="","",W2038-K2038)</f>
        <v/>
      </c>
      <c r="AB2038" s="7" t="n"/>
      <c r="AE2038" s="11" t="n"/>
      <c r="AG2038">
        <f>IF($C2038="","",IF(COUNTIF($C$2:$C2038,$C2038)=1,1,0))</f>
        <v/>
      </c>
      <c r="AH2038">
        <f>IF($AG2038=1,SUMPRODUCT(--($AK$2:$AK$6001&lt;$AK2038))+1,"")</f>
        <v/>
      </c>
      <c r="AI2038">
        <f>IF($C2038="","",IF(OR($N2038=TRUE(),$N2038="TRUE"),1,0))</f>
        <v/>
      </c>
      <c r="AJ2038">
        <f>IF($C2038="","",IF($T2038="Yes",1,0))</f>
        <v/>
      </c>
      <c r="AK2038">
        <f>IF($AG2038=1,IFERROR(IF(VALUE($C2038)&lt;100000000,VALUE($C2038),1000000000),IFERROR(IF(VALUE(MID($C2038,2,20))&lt;100000000,VALUE(MID($C2038,2,20)),1000000000),1000000000))+ROW()/100000,"")</f>
        <v/>
      </c>
    </row>
    <row r="2039">
      <c r="D2039" s="11" t="n"/>
      <c r="K2039" s="7">
        <f>IF($C2039="","",J2039*W2039/100)</f>
        <v/>
      </c>
      <c r="Q2039" s="7" t="n"/>
      <c r="R2039" s="7" t="n"/>
      <c r="U2039">
        <f>IF($C2039="","",IF($AJ2039=1,0,IF($AI2039=1,Settings!$C$6,Settings!$C$7))*100)</f>
        <v/>
      </c>
      <c r="V2039" s="7">
        <f>IF($C2039="","",R2039*U2039/100)</f>
        <v/>
      </c>
      <c r="W2039" s="7">
        <f>IF($C2039="","",R2039-V2039)</f>
        <v/>
      </c>
      <c r="X2039" s="7">
        <f>IF($C2039="","",W2039-K2039)</f>
        <v/>
      </c>
      <c r="AB2039" s="7" t="n"/>
      <c r="AE2039" s="11" t="n"/>
      <c r="AG2039">
        <f>IF($C2039="","",IF(COUNTIF($C$2:$C2039,$C2039)=1,1,0))</f>
        <v/>
      </c>
      <c r="AH2039">
        <f>IF($AG2039=1,SUMPRODUCT(--($AK$2:$AK$6001&lt;$AK2039))+1,"")</f>
        <v/>
      </c>
      <c r="AI2039">
        <f>IF($C2039="","",IF(OR($N2039=TRUE(),$N2039="TRUE"),1,0))</f>
        <v/>
      </c>
      <c r="AJ2039">
        <f>IF($C2039="","",IF($T2039="Yes",1,0))</f>
        <v/>
      </c>
      <c r="AK2039">
        <f>IF($AG2039=1,IFERROR(IF(VALUE($C2039)&lt;100000000,VALUE($C2039),1000000000),IFERROR(IF(VALUE(MID($C2039,2,20))&lt;100000000,VALUE(MID($C2039,2,20)),1000000000),1000000000))+ROW()/100000,"")</f>
        <v/>
      </c>
    </row>
    <row r="2040">
      <c r="D2040" s="11" t="n"/>
      <c r="K2040" s="7">
        <f>IF($C2040="","",J2040*W2040/100)</f>
        <v/>
      </c>
      <c r="Q2040" s="7" t="n"/>
      <c r="R2040" s="7" t="n"/>
      <c r="U2040">
        <f>IF($C2040="","",IF($AJ2040=1,0,IF($AI2040=1,Settings!$C$6,Settings!$C$7))*100)</f>
        <v/>
      </c>
      <c r="V2040" s="7">
        <f>IF($C2040="","",R2040*U2040/100)</f>
        <v/>
      </c>
      <c r="W2040" s="7">
        <f>IF($C2040="","",R2040-V2040)</f>
        <v/>
      </c>
      <c r="X2040" s="7">
        <f>IF($C2040="","",W2040-K2040)</f>
        <v/>
      </c>
      <c r="AB2040" s="7" t="n"/>
      <c r="AE2040" s="11" t="n"/>
      <c r="AG2040">
        <f>IF($C2040="","",IF(COUNTIF($C$2:$C2040,$C2040)=1,1,0))</f>
        <v/>
      </c>
      <c r="AH2040">
        <f>IF($AG2040=1,SUMPRODUCT(--($AK$2:$AK$6001&lt;$AK2040))+1,"")</f>
        <v/>
      </c>
      <c r="AI2040">
        <f>IF($C2040="","",IF(OR($N2040=TRUE(),$N2040="TRUE"),1,0))</f>
        <v/>
      </c>
      <c r="AJ2040">
        <f>IF($C2040="","",IF($T2040="Yes",1,0))</f>
        <v/>
      </c>
      <c r="AK2040">
        <f>IF($AG2040=1,IFERROR(IF(VALUE($C2040)&lt;100000000,VALUE($C2040),1000000000),IFERROR(IF(VALUE(MID($C2040,2,20))&lt;100000000,VALUE(MID($C2040,2,20)),1000000000),1000000000))+ROW()/100000,"")</f>
        <v/>
      </c>
    </row>
    <row r="2041">
      <c r="D2041" s="11" t="n"/>
      <c r="K2041" s="7">
        <f>IF($C2041="","",J2041*W2041/100)</f>
        <v/>
      </c>
      <c r="Q2041" s="7" t="n"/>
      <c r="R2041" s="7" t="n"/>
      <c r="U2041">
        <f>IF($C2041="","",IF($AJ2041=1,0,IF($AI2041=1,Settings!$C$6,Settings!$C$7))*100)</f>
        <v/>
      </c>
      <c r="V2041" s="7">
        <f>IF($C2041="","",R2041*U2041/100)</f>
        <v/>
      </c>
      <c r="W2041" s="7">
        <f>IF($C2041="","",R2041-V2041)</f>
        <v/>
      </c>
      <c r="X2041" s="7">
        <f>IF($C2041="","",W2041-K2041)</f>
        <v/>
      </c>
      <c r="AB2041" s="7" t="n"/>
      <c r="AE2041" s="11" t="n"/>
      <c r="AG2041">
        <f>IF($C2041="","",IF(COUNTIF($C$2:$C2041,$C2041)=1,1,0))</f>
        <v/>
      </c>
      <c r="AH2041">
        <f>IF($AG2041=1,SUMPRODUCT(--($AK$2:$AK$6001&lt;$AK2041))+1,"")</f>
        <v/>
      </c>
      <c r="AI2041">
        <f>IF($C2041="","",IF(OR($N2041=TRUE(),$N2041="TRUE"),1,0))</f>
        <v/>
      </c>
      <c r="AJ2041">
        <f>IF($C2041="","",IF($T2041="Yes",1,0))</f>
        <v/>
      </c>
      <c r="AK2041">
        <f>IF($AG2041=1,IFERROR(IF(VALUE($C2041)&lt;100000000,VALUE($C2041),1000000000),IFERROR(IF(VALUE(MID($C2041,2,20))&lt;100000000,VALUE(MID($C2041,2,20)),1000000000),1000000000))+ROW()/100000,"")</f>
        <v/>
      </c>
    </row>
    <row r="2042">
      <c r="D2042" s="11" t="n"/>
      <c r="K2042" s="7">
        <f>IF($C2042="","",J2042*W2042/100)</f>
        <v/>
      </c>
      <c r="Q2042" s="7" t="n"/>
      <c r="R2042" s="7" t="n"/>
      <c r="U2042">
        <f>IF($C2042="","",IF($AJ2042=1,0,IF($AI2042=1,Settings!$C$6,Settings!$C$7))*100)</f>
        <v/>
      </c>
      <c r="V2042" s="7">
        <f>IF($C2042="","",R2042*U2042/100)</f>
        <v/>
      </c>
      <c r="W2042" s="7">
        <f>IF($C2042="","",R2042-V2042)</f>
        <v/>
      </c>
      <c r="X2042" s="7">
        <f>IF($C2042="","",W2042-K2042)</f>
        <v/>
      </c>
      <c r="AB2042" s="7" t="n"/>
      <c r="AE2042" s="11" t="n"/>
      <c r="AG2042">
        <f>IF($C2042="","",IF(COUNTIF($C$2:$C2042,$C2042)=1,1,0))</f>
        <v/>
      </c>
      <c r="AH2042">
        <f>IF($AG2042=1,SUMPRODUCT(--($AK$2:$AK$6001&lt;$AK2042))+1,"")</f>
        <v/>
      </c>
      <c r="AI2042">
        <f>IF($C2042="","",IF(OR($N2042=TRUE(),$N2042="TRUE"),1,0))</f>
        <v/>
      </c>
      <c r="AJ2042">
        <f>IF($C2042="","",IF($T2042="Yes",1,0))</f>
        <v/>
      </c>
      <c r="AK2042">
        <f>IF($AG2042=1,IFERROR(IF(VALUE($C2042)&lt;100000000,VALUE($C2042),1000000000),IFERROR(IF(VALUE(MID($C2042,2,20))&lt;100000000,VALUE(MID($C2042,2,20)),1000000000),1000000000))+ROW()/100000,"")</f>
        <v/>
      </c>
    </row>
    <row r="2043">
      <c r="D2043" s="11" t="n"/>
      <c r="K2043" s="7">
        <f>IF($C2043="","",J2043*W2043/100)</f>
        <v/>
      </c>
      <c r="Q2043" s="7" t="n"/>
      <c r="R2043" s="7" t="n"/>
      <c r="U2043">
        <f>IF($C2043="","",IF($AJ2043=1,0,IF($AI2043=1,Settings!$C$6,Settings!$C$7))*100)</f>
        <v/>
      </c>
      <c r="V2043" s="7">
        <f>IF($C2043="","",R2043*U2043/100)</f>
        <v/>
      </c>
      <c r="W2043" s="7">
        <f>IF($C2043="","",R2043-V2043)</f>
        <v/>
      </c>
      <c r="X2043" s="7">
        <f>IF($C2043="","",W2043-K2043)</f>
        <v/>
      </c>
      <c r="AB2043" s="7" t="n"/>
      <c r="AE2043" s="11" t="n"/>
      <c r="AG2043">
        <f>IF($C2043="","",IF(COUNTIF($C$2:$C2043,$C2043)=1,1,0))</f>
        <v/>
      </c>
      <c r="AH2043">
        <f>IF($AG2043=1,SUMPRODUCT(--($AK$2:$AK$6001&lt;$AK2043))+1,"")</f>
        <v/>
      </c>
      <c r="AI2043">
        <f>IF($C2043="","",IF(OR($N2043=TRUE(),$N2043="TRUE"),1,0))</f>
        <v/>
      </c>
      <c r="AJ2043">
        <f>IF($C2043="","",IF($T2043="Yes",1,0))</f>
        <v/>
      </c>
      <c r="AK2043">
        <f>IF($AG2043=1,IFERROR(IF(VALUE($C2043)&lt;100000000,VALUE($C2043),1000000000),IFERROR(IF(VALUE(MID($C2043,2,20))&lt;100000000,VALUE(MID($C2043,2,20)),1000000000),1000000000))+ROW()/100000,"")</f>
        <v/>
      </c>
    </row>
    <row r="2044">
      <c r="D2044" s="11" t="n"/>
      <c r="K2044" s="7">
        <f>IF($C2044="","",J2044*W2044/100)</f>
        <v/>
      </c>
      <c r="Q2044" s="7" t="n"/>
      <c r="R2044" s="7" t="n"/>
      <c r="U2044">
        <f>IF($C2044="","",IF($AJ2044=1,0,IF($AI2044=1,Settings!$C$6,Settings!$C$7))*100)</f>
        <v/>
      </c>
      <c r="V2044" s="7">
        <f>IF($C2044="","",R2044*U2044/100)</f>
        <v/>
      </c>
      <c r="W2044" s="7">
        <f>IF($C2044="","",R2044-V2044)</f>
        <v/>
      </c>
      <c r="X2044" s="7">
        <f>IF($C2044="","",W2044-K2044)</f>
        <v/>
      </c>
      <c r="AB2044" s="7" t="n"/>
      <c r="AE2044" s="11" t="n"/>
      <c r="AG2044">
        <f>IF($C2044="","",IF(COUNTIF($C$2:$C2044,$C2044)=1,1,0))</f>
        <v/>
      </c>
      <c r="AH2044">
        <f>IF($AG2044=1,SUMPRODUCT(--($AK$2:$AK$6001&lt;$AK2044))+1,"")</f>
        <v/>
      </c>
      <c r="AI2044">
        <f>IF($C2044="","",IF(OR($N2044=TRUE(),$N2044="TRUE"),1,0))</f>
        <v/>
      </c>
      <c r="AJ2044">
        <f>IF($C2044="","",IF($T2044="Yes",1,0))</f>
        <v/>
      </c>
      <c r="AK2044">
        <f>IF($AG2044=1,IFERROR(IF(VALUE($C2044)&lt;100000000,VALUE($C2044),1000000000),IFERROR(IF(VALUE(MID($C2044,2,20))&lt;100000000,VALUE(MID($C2044,2,20)),1000000000),1000000000))+ROW()/100000,"")</f>
        <v/>
      </c>
    </row>
    <row r="2045">
      <c r="D2045" s="11" t="n"/>
      <c r="K2045" s="7">
        <f>IF($C2045="","",J2045*W2045/100)</f>
        <v/>
      </c>
      <c r="Q2045" s="7" t="n"/>
      <c r="R2045" s="7" t="n"/>
      <c r="U2045">
        <f>IF($C2045="","",IF($AJ2045=1,0,IF($AI2045=1,Settings!$C$6,Settings!$C$7))*100)</f>
        <v/>
      </c>
      <c r="V2045" s="7">
        <f>IF($C2045="","",R2045*U2045/100)</f>
        <v/>
      </c>
      <c r="W2045" s="7">
        <f>IF($C2045="","",R2045-V2045)</f>
        <v/>
      </c>
      <c r="X2045" s="7">
        <f>IF($C2045="","",W2045-K2045)</f>
        <v/>
      </c>
      <c r="AB2045" s="7" t="n"/>
      <c r="AE2045" s="11" t="n"/>
      <c r="AG2045">
        <f>IF($C2045="","",IF(COUNTIF($C$2:$C2045,$C2045)=1,1,0))</f>
        <v/>
      </c>
      <c r="AH2045">
        <f>IF($AG2045=1,SUMPRODUCT(--($AK$2:$AK$6001&lt;$AK2045))+1,"")</f>
        <v/>
      </c>
      <c r="AI2045">
        <f>IF($C2045="","",IF(OR($N2045=TRUE(),$N2045="TRUE"),1,0))</f>
        <v/>
      </c>
      <c r="AJ2045">
        <f>IF($C2045="","",IF($T2045="Yes",1,0))</f>
        <v/>
      </c>
      <c r="AK2045">
        <f>IF($AG2045=1,IFERROR(IF(VALUE($C2045)&lt;100000000,VALUE($C2045),1000000000),IFERROR(IF(VALUE(MID($C2045,2,20))&lt;100000000,VALUE(MID($C2045,2,20)),1000000000),1000000000))+ROW()/100000,"")</f>
        <v/>
      </c>
    </row>
    <row r="2046">
      <c r="D2046" s="11" t="n"/>
      <c r="K2046" s="7">
        <f>IF($C2046="","",J2046*W2046/100)</f>
        <v/>
      </c>
      <c r="Q2046" s="7" t="n"/>
      <c r="R2046" s="7" t="n"/>
      <c r="U2046">
        <f>IF($C2046="","",IF($AJ2046=1,0,IF($AI2046=1,Settings!$C$6,Settings!$C$7))*100)</f>
        <v/>
      </c>
      <c r="V2046" s="7">
        <f>IF($C2046="","",R2046*U2046/100)</f>
        <v/>
      </c>
      <c r="W2046" s="7">
        <f>IF($C2046="","",R2046-V2046)</f>
        <v/>
      </c>
      <c r="X2046" s="7">
        <f>IF($C2046="","",W2046-K2046)</f>
        <v/>
      </c>
      <c r="AB2046" s="7" t="n"/>
      <c r="AE2046" s="11" t="n"/>
      <c r="AG2046">
        <f>IF($C2046="","",IF(COUNTIF($C$2:$C2046,$C2046)=1,1,0))</f>
        <v/>
      </c>
      <c r="AH2046">
        <f>IF($AG2046=1,SUMPRODUCT(--($AK$2:$AK$6001&lt;$AK2046))+1,"")</f>
        <v/>
      </c>
      <c r="AI2046">
        <f>IF($C2046="","",IF(OR($N2046=TRUE(),$N2046="TRUE"),1,0))</f>
        <v/>
      </c>
      <c r="AJ2046">
        <f>IF($C2046="","",IF($T2046="Yes",1,0))</f>
        <v/>
      </c>
      <c r="AK2046">
        <f>IF($AG2046=1,IFERROR(IF(VALUE($C2046)&lt;100000000,VALUE($C2046),1000000000),IFERROR(IF(VALUE(MID($C2046,2,20))&lt;100000000,VALUE(MID($C2046,2,20)),1000000000),1000000000))+ROW()/100000,"")</f>
        <v/>
      </c>
    </row>
    <row r="2047">
      <c r="D2047" s="11" t="n"/>
      <c r="K2047" s="7">
        <f>IF($C2047="","",J2047*W2047/100)</f>
        <v/>
      </c>
      <c r="Q2047" s="7" t="n"/>
      <c r="R2047" s="7" t="n"/>
      <c r="U2047">
        <f>IF($C2047="","",IF($AJ2047=1,0,IF($AI2047=1,Settings!$C$6,Settings!$C$7))*100)</f>
        <v/>
      </c>
      <c r="V2047" s="7">
        <f>IF($C2047="","",R2047*U2047/100)</f>
        <v/>
      </c>
      <c r="W2047" s="7">
        <f>IF($C2047="","",R2047-V2047)</f>
        <v/>
      </c>
      <c r="X2047" s="7">
        <f>IF($C2047="","",W2047-K2047)</f>
        <v/>
      </c>
      <c r="AB2047" s="7" t="n"/>
      <c r="AE2047" s="11" t="n"/>
      <c r="AG2047">
        <f>IF($C2047="","",IF(COUNTIF($C$2:$C2047,$C2047)=1,1,0))</f>
        <v/>
      </c>
      <c r="AH2047">
        <f>IF($AG2047=1,SUMPRODUCT(--($AK$2:$AK$6001&lt;$AK2047))+1,"")</f>
        <v/>
      </c>
      <c r="AI2047">
        <f>IF($C2047="","",IF(OR($N2047=TRUE(),$N2047="TRUE"),1,0))</f>
        <v/>
      </c>
      <c r="AJ2047">
        <f>IF($C2047="","",IF($T2047="Yes",1,0))</f>
        <v/>
      </c>
      <c r="AK2047">
        <f>IF($AG2047=1,IFERROR(IF(VALUE($C2047)&lt;100000000,VALUE($C2047),1000000000),IFERROR(IF(VALUE(MID($C2047,2,20))&lt;100000000,VALUE(MID($C2047,2,20)),1000000000),1000000000))+ROW()/100000,"")</f>
        <v/>
      </c>
    </row>
    <row r="2048">
      <c r="D2048" s="11" t="n"/>
      <c r="K2048" s="7">
        <f>IF($C2048="","",J2048*W2048/100)</f>
        <v/>
      </c>
      <c r="Q2048" s="7" t="n"/>
      <c r="R2048" s="7" t="n"/>
      <c r="U2048">
        <f>IF($C2048="","",IF($AJ2048=1,0,IF($AI2048=1,Settings!$C$6,Settings!$C$7))*100)</f>
        <v/>
      </c>
      <c r="V2048" s="7">
        <f>IF($C2048="","",R2048*U2048/100)</f>
        <v/>
      </c>
      <c r="W2048" s="7">
        <f>IF($C2048="","",R2048-V2048)</f>
        <v/>
      </c>
      <c r="X2048" s="7">
        <f>IF($C2048="","",W2048-K2048)</f>
        <v/>
      </c>
      <c r="AB2048" s="7" t="n"/>
      <c r="AE2048" s="11" t="n"/>
      <c r="AG2048">
        <f>IF($C2048="","",IF(COUNTIF($C$2:$C2048,$C2048)=1,1,0))</f>
        <v/>
      </c>
      <c r="AH2048">
        <f>IF($AG2048=1,SUMPRODUCT(--($AK$2:$AK$6001&lt;$AK2048))+1,"")</f>
        <v/>
      </c>
      <c r="AI2048">
        <f>IF($C2048="","",IF(OR($N2048=TRUE(),$N2048="TRUE"),1,0))</f>
        <v/>
      </c>
      <c r="AJ2048">
        <f>IF($C2048="","",IF($T2048="Yes",1,0))</f>
        <v/>
      </c>
      <c r="AK2048">
        <f>IF($AG2048=1,IFERROR(IF(VALUE($C2048)&lt;100000000,VALUE($C2048),1000000000),IFERROR(IF(VALUE(MID($C2048,2,20))&lt;100000000,VALUE(MID($C2048,2,20)),1000000000),1000000000))+ROW()/100000,"")</f>
        <v/>
      </c>
    </row>
    <row r="2049">
      <c r="D2049" s="11" t="n"/>
      <c r="K2049" s="7">
        <f>IF($C2049="","",J2049*W2049/100)</f>
        <v/>
      </c>
      <c r="Q2049" s="7" t="n"/>
      <c r="R2049" s="7" t="n"/>
      <c r="U2049">
        <f>IF($C2049="","",IF($AJ2049=1,0,IF($AI2049=1,Settings!$C$6,Settings!$C$7))*100)</f>
        <v/>
      </c>
      <c r="V2049" s="7">
        <f>IF($C2049="","",R2049*U2049/100)</f>
        <v/>
      </c>
      <c r="W2049" s="7">
        <f>IF($C2049="","",R2049-V2049)</f>
        <v/>
      </c>
      <c r="X2049" s="7">
        <f>IF($C2049="","",W2049-K2049)</f>
        <v/>
      </c>
      <c r="AB2049" s="7" t="n"/>
      <c r="AE2049" s="11" t="n"/>
      <c r="AG2049">
        <f>IF($C2049="","",IF(COUNTIF($C$2:$C2049,$C2049)=1,1,0))</f>
        <v/>
      </c>
      <c r="AH2049">
        <f>IF($AG2049=1,SUMPRODUCT(--($AK$2:$AK$6001&lt;$AK2049))+1,"")</f>
        <v/>
      </c>
      <c r="AI2049">
        <f>IF($C2049="","",IF(OR($N2049=TRUE(),$N2049="TRUE"),1,0))</f>
        <v/>
      </c>
      <c r="AJ2049">
        <f>IF($C2049="","",IF($T2049="Yes",1,0))</f>
        <v/>
      </c>
      <c r="AK2049">
        <f>IF($AG2049=1,IFERROR(IF(VALUE($C2049)&lt;100000000,VALUE($C2049),1000000000),IFERROR(IF(VALUE(MID($C2049,2,20))&lt;100000000,VALUE(MID($C2049,2,20)),1000000000),1000000000))+ROW()/100000,"")</f>
        <v/>
      </c>
    </row>
    <row r="2050">
      <c r="D2050" s="11" t="n"/>
      <c r="K2050" s="7">
        <f>IF($C2050="","",J2050*W2050/100)</f>
        <v/>
      </c>
      <c r="Q2050" s="7" t="n"/>
      <c r="R2050" s="7" t="n"/>
      <c r="U2050">
        <f>IF($C2050="","",IF($AJ2050=1,0,IF($AI2050=1,Settings!$C$6,Settings!$C$7))*100)</f>
        <v/>
      </c>
      <c r="V2050" s="7">
        <f>IF($C2050="","",R2050*U2050/100)</f>
        <v/>
      </c>
      <c r="W2050" s="7">
        <f>IF($C2050="","",R2050-V2050)</f>
        <v/>
      </c>
      <c r="X2050" s="7">
        <f>IF($C2050="","",W2050-K2050)</f>
        <v/>
      </c>
      <c r="AB2050" s="7" t="n"/>
      <c r="AE2050" s="11" t="n"/>
      <c r="AG2050">
        <f>IF($C2050="","",IF(COUNTIF($C$2:$C2050,$C2050)=1,1,0))</f>
        <v/>
      </c>
      <c r="AH2050">
        <f>IF($AG2050=1,SUMPRODUCT(--($AK$2:$AK$6001&lt;$AK2050))+1,"")</f>
        <v/>
      </c>
      <c r="AI2050">
        <f>IF($C2050="","",IF(OR($N2050=TRUE(),$N2050="TRUE"),1,0))</f>
        <v/>
      </c>
      <c r="AJ2050">
        <f>IF($C2050="","",IF($T2050="Yes",1,0))</f>
        <v/>
      </c>
      <c r="AK2050">
        <f>IF($AG2050=1,IFERROR(IF(VALUE($C2050)&lt;100000000,VALUE($C2050),1000000000),IFERROR(IF(VALUE(MID($C2050,2,20))&lt;100000000,VALUE(MID($C2050,2,20)),1000000000),1000000000))+ROW()/100000,"")</f>
        <v/>
      </c>
    </row>
    <row r="2051">
      <c r="D2051" s="11" t="n"/>
      <c r="K2051" s="7">
        <f>IF($C2051="","",J2051*W2051/100)</f>
        <v/>
      </c>
      <c r="Q2051" s="7" t="n"/>
      <c r="R2051" s="7" t="n"/>
      <c r="U2051">
        <f>IF($C2051="","",IF($AJ2051=1,0,IF($AI2051=1,Settings!$C$6,Settings!$C$7))*100)</f>
        <v/>
      </c>
      <c r="V2051" s="7">
        <f>IF($C2051="","",R2051*U2051/100)</f>
        <v/>
      </c>
      <c r="W2051" s="7">
        <f>IF($C2051="","",R2051-V2051)</f>
        <v/>
      </c>
      <c r="X2051" s="7">
        <f>IF($C2051="","",W2051-K2051)</f>
        <v/>
      </c>
      <c r="AB2051" s="7" t="n"/>
      <c r="AE2051" s="11" t="n"/>
      <c r="AG2051">
        <f>IF($C2051="","",IF(COUNTIF($C$2:$C2051,$C2051)=1,1,0))</f>
        <v/>
      </c>
      <c r="AH2051">
        <f>IF($AG2051=1,SUMPRODUCT(--($AK$2:$AK$6001&lt;$AK2051))+1,"")</f>
        <v/>
      </c>
      <c r="AI2051">
        <f>IF($C2051="","",IF(OR($N2051=TRUE(),$N2051="TRUE"),1,0))</f>
        <v/>
      </c>
      <c r="AJ2051">
        <f>IF($C2051="","",IF($T2051="Yes",1,0))</f>
        <v/>
      </c>
      <c r="AK2051">
        <f>IF($AG2051=1,IFERROR(IF(VALUE($C2051)&lt;100000000,VALUE($C2051),1000000000),IFERROR(IF(VALUE(MID($C2051,2,20))&lt;100000000,VALUE(MID($C2051,2,20)),1000000000),1000000000))+ROW()/100000,"")</f>
        <v/>
      </c>
    </row>
    <row r="2052">
      <c r="D2052" s="11" t="n"/>
      <c r="K2052" s="7">
        <f>IF($C2052="","",J2052*W2052/100)</f>
        <v/>
      </c>
      <c r="Q2052" s="7" t="n"/>
      <c r="R2052" s="7" t="n"/>
      <c r="U2052">
        <f>IF($C2052="","",IF($AJ2052=1,0,IF($AI2052=1,Settings!$C$6,Settings!$C$7))*100)</f>
        <v/>
      </c>
      <c r="V2052" s="7">
        <f>IF($C2052="","",R2052*U2052/100)</f>
        <v/>
      </c>
      <c r="W2052" s="7">
        <f>IF($C2052="","",R2052-V2052)</f>
        <v/>
      </c>
      <c r="X2052" s="7">
        <f>IF($C2052="","",W2052-K2052)</f>
        <v/>
      </c>
      <c r="AB2052" s="7" t="n"/>
      <c r="AE2052" s="11" t="n"/>
      <c r="AG2052">
        <f>IF($C2052="","",IF(COUNTIF($C$2:$C2052,$C2052)=1,1,0))</f>
        <v/>
      </c>
      <c r="AH2052">
        <f>IF($AG2052=1,SUMPRODUCT(--($AK$2:$AK$6001&lt;$AK2052))+1,"")</f>
        <v/>
      </c>
      <c r="AI2052">
        <f>IF($C2052="","",IF(OR($N2052=TRUE(),$N2052="TRUE"),1,0))</f>
        <v/>
      </c>
      <c r="AJ2052">
        <f>IF($C2052="","",IF($T2052="Yes",1,0))</f>
        <v/>
      </c>
      <c r="AK2052">
        <f>IF($AG2052=1,IFERROR(IF(VALUE($C2052)&lt;100000000,VALUE($C2052),1000000000),IFERROR(IF(VALUE(MID($C2052,2,20))&lt;100000000,VALUE(MID($C2052,2,20)),1000000000),1000000000))+ROW()/100000,"")</f>
        <v/>
      </c>
    </row>
    <row r="2053">
      <c r="D2053" s="11" t="n"/>
      <c r="K2053" s="7">
        <f>IF($C2053="","",J2053*W2053/100)</f>
        <v/>
      </c>
      <c r="Q2053" s="7" t="n"/>
      <c r="R2053" s="7" t="n"/>
      <c r="U2053">
        <f>IF($C2053="","",IF($AJ2053=1,0,IF($AI2053=1,Settings!$C$6,Settings!$C$7))*100)</f>
        <v/>
      </c>
      <c r="V2053" s="7">
        <f>IF($C2053="","",R2053*U2053/100)</f>
        <v/>
      </c>
      <c r="W2053" s="7">
        <f>IF($C2053="","",R2053-V2053)</f>
        <v/>
      </c>
      <c r="X2053" s="7">
        <f>IF($C2053="","",W2053-K2053)</f>
        <v/>
      </c>
      <c r="AB2053" s="7" t="n"/>
      <c r="AE2053" s="11" t="n"/>
      <c r="AG2053">
        <f>IF($C2053="","",IF(COUNTIF($C$2:$C2053,$C2053)=1,1,0))</f>
        <v/>
      </c>
      <c r="AH2053">
        <f>IF($AG2053=1,SUMPRODUCT(--($AK$2:$AK$6001&lt;$AK2053))+1,"")</f>
        <v/>
      </c>
      <c r="AI2053">
        <f>IF($C2053="","",IF(OR($N2053=TRUE(),$N2053="TRUE"),1,0))</f>
        <v/>
      </c>
      <c r="AJ2053">
        <f>IF($C2053="","",IF($T2053="Yes",1,0))</f>
        <v/>
      </c>
      <c r="AK2053">
        <f>IF($AG2053=1,IFERROR(IF(VALUE($C2053)&lt;100000000,VALUE($C2053),1000000000),IFERROR(IF(VALUE(MID($C2053,2,20))&lt;100000000,VALUE(MID($C2053,2,20)),1000000000),1000000000))+ROW()/100000,"")</f>
        <v/>
      </c>
    </row>
    <row r="2054">
      <c r="D2054" s="11" t="n"/>
      <c r="K2054" s="7">
        <f>IF($C2054="","",J2054*W2054/100)</f>
        <v/>
      </c>
      <c r="Q2054" s="7" t="n"/>
      <c r="R2054" s="7" t="n"/>
      <c r="U2054">
        <f>IF($C2054="","",IF($AJ2054=1,0,IF($AI2054=1,Settings!$C$6,Settings!$C$7))*100)</f>
        <v/>
      </c>
      <c r="V2054" s="7">
        <f>IF($C2054="","",R2054*U2054/100)</f>
        <v/>
      </c>
      <c r="W2054" s="7">
        <f>IF($C2054="","",R2054-V2054)</f>
        <v/>
      </c>
      <c r="X2054" s="7">
        <f>IF($C2054="","",W2054-K2054)</f>
        <v/>
      </c>
      <c r="AB2054" s="7" t="n"/>
      <c r="AE2054" s="11" t="n"/>
      <c r="AG2054">
        <f>IF($C2054="","",IF(COUNTIF($C$2:$C2054,$C2054)=1,1,0))</f>
        <v/>
      </c>
      <c r="AH2054">
        <f>IF($AG2054=1,SUMPRODUCT(--($AK$2:$AK$6001&lt;$AK2054))+1,"")</f>
        <v/>
      </c>
      <c r="AI2054">
        <f>IF($C2054="","",IF(OR($N2054=TRUE(),$N2054="TRUE"),1,0))</f>
        <v/>
      </c>
      <c r="AJ2054">
        <f>IF($C2054="","",IF($T2054="Yes",1,0))</f>
        <v/>
      </c>
      <c r="AK2054">
        <f>IF($AG2054=1,IFERROR(IF(VALUE($C2054)&lt;100000000,VALUE($C2054),1000000000),IFERROR(IF(VALUE(MID($C2054,2,20))&lt;100000000,VALUE(MID($C2054,2,20)),1000000000),1000000000))+ROW()/100000,"")</f>
        <v/>
      </c>
    </row>
    <row r="2055">
      <c r="D2055" s="11" t="n"/>
      <c r="K2055" s="7">
        <f>IF($C2055="","",J2055*W2055/100)</f>
        <v/>
      </c>
      <c r="Q2055" s="7" t="n"/>
      <c r="R2055" s="7" t="n"/>
      <c r="U2055">
        <f>IF($C2055="","",IF($AJ2055=1,0,IF($AI2055=1,Settings!$C$6,Settings!$C$7))*100)</f>
        <v/>
      </c>
      <c r="V2055" s="7">
        <f>IF($C2055="","",R2055*U2055/100)</f>
        <v/>
      </c>
      <c r="W2055" s="7">
        <f>IF($C2055="","",R2055-V2055)</f>
        <v/>
      </c>
      <c r="X2055" s="7">
        <f>IF($C2055="","",W2055-K2055)</f>
        <v/>
      </c>
      <c r="AB2055" s="7" t="n"/>
      <c r="AE2055" s="11" t="n"/>
      <c r="AG2055">
        <f>IF($C2055="","",IF(COUNTIF($C$2:$C2055,$C2055)=1,1,0))</f>
        <v/>
      </c>
      <c r="AH2055">
        <f>IF($AG2055=1,SUMPRODUCT(--($AK$2:$AK$6001&lt;$AK2055))+1,"")</f>
        <v/>
      </c>
      <c r="AI2055">
        <f>IF($C2055="","",IF(OR($N2055=TRUE(),$N2055="TRUE"),1,0))</f>
        <v/>
      </c>
      <c r="AJ2055">
        <f>IF($C2055="","",IF($T2055="Yes",1,0))</f>
        <v/>
      </c>
      <c r="AK2055">
        <f>IF($AG2055=1,IFERROR(IF(VALUE($C2055)&lt;100000000,VALUE($C2055),1000000000),IFERROR(IF(VALUE(MID($C2055,2,20))&lt;100000000,VALUE(MID($C2055,2,20)),1000000000),1000000000))+ROW()/100000,"")</f>
        <v/>
      </c>
    </row>
    <row r="2056">
      <c r="D2056" s="11" t="n"/>
      <c r="K2056" s="7">
        <f>IF($C2056="","",J2056*W2056/100)</f>
        <v/>
      </c>
      <c r="Q2056" s="7" t="n"/>
      <c r="R2056" s="7" t="n"/>
      <c r="U2056">
        <f>IF($C2056="","",IF($AJ2056=1,0,IF($AI2056=1,Settings!$C$6,Settings!$C$7))*100)</f>
        <v/>
      </c>
      <c r="V2056" s="7">
        <f>IF($C2056="","",R2056*U2056/100)</f>
        <v/>
      </c>
      <c r="W2056" s="7">
        <f>IF($C2056="","",R2056-V2056)</f>
        <v/>
      </c>
      <c r="X2056" s="7">
        <f>IF($C2056="","",W2056-K2056)</f>
        <v/>
      </c>
      <c r="AB2056" s="7" t="n"/>
      <c r="AE2056" s="11" t="n"/>
      <c r="AG2056">
        <f>IF($C2056="","",IF(COUNTIF($C$2:$C2056,$C2056)=1,1,0))</f>
        <v/>
      </c>
      <c r="AH2056">
        <f>IF($AG2056=1,SUMPRODUCT(--($AK$2:$AK$6001&lt;$AK2056))+1,"")</f>
        <v/>
      </c>
      <c r="AI2056">
        <f>IF($C2056="","",IF(OR($N2056=TRUE(),$N2056="TRUE"),1,0))</f>
        <v/>
      </c>
      <c r="AJ2056">
        <f>IF($C2056="","",IF($T2056="Yes",1,0))</f>
        <v/>
      </c>
      <c r="AK2056">
        <f>IF($AG2056=1,IFERROR(IF(VALUE($C2056)&lt;100000000,VALUE($C2056),1000000000),IFERROR(IF(VALUE(MID($C2056,2,20))&lt;100000000,VALUE(MID($C2056,2,20)),1000000000),1000000000))+ROW()/100000,"")</f>
        <v/>
      </c>
    </row>
    <row r="2057">
      <c r="D2057" s="11" t="n"/>
      <c r="K2057" s="7">
        <f>IF($C2057="","",J2057*W2057/100)</f>
        <v/>
      </c>
      <c r="Q2057" s="7" t="n"/>
      <c r="R2057" s="7" t="n"/>
      <c r="U2057">
        <f>IF($C2057="","",IF($AJ2057=1,0,IF($AI2057=1,Settings!$C$6,Settings!$C$7))*100)</f>
        <v/>
      </c>
      <c r="V2057" s="7">
        <f>IF($C2057="","",R2057*U2057/100)</f>
        <v/>
      </c>
      <c r="W2057" s="7">
        <f>IF($C2057="","",R2057-V2057)</f>
        <v/>
      </c>
      <c r="X2057" s="7">
        <f>IF($C2057="","",W2057-K2057)</f>
        <v/>
      </c>
      <c r="AB2057" s="7" t="n"/>
      <c r="AE2057" s="11" t="n"/>
      <c r="AG2057">
        <f>IF($C2057="","",IF(COUNTIF($C$2:$C2057,$C2057)=1,1,0))</f>
        <v/>
      </c>
      <c r="AH2057">
        <f>IF($AG2057=1,SUMPRODUCT(--($AK$2:$AK$6001&lt;$AK2057))+1,"")</f>
        <v/>
      </c>
      <c r="AI2057">
        <f>IF($C2057="","",IF(OR($N2057=TRUE(),$N2057="TRUE"),1,0))</f>
        <v/>
      </c>
      <c r="AJ2057">
        <f>IF($C2057="","",IF($T2057="Yes",1,0))</f>
        <v/>
      </c>
      <c r="AK2057">
        <f>IF($AG2057=1,IFERROR(IF(VALUE($C2057)&lt;100000000,VALUE($C2057),1000000000),IFERROR(IF(VALUE(MID($C2057,2,20))&lt;100000000,VALUE(MID($C2057,2,20)),1000000000),1000000000))+ROW()/100000,"")</f>
        <v/>
      </c>
    </row>
    <row r="2058">
      <c r="D2058" s="11" t="n"/>
      <c r="K2058" s="7">
        <f>IF($C2058="","",J2058*W2058/100)</f>
        <v/>
      </c>
      <c r="Q2058" s="7" t="n"/>
      <c r="R2058" s="7" t="n"/>
      <c r="U2058">
        <f>IF($C2058="","",IF($AJ2058=1,0,IF($AI2058=1,Settings!$C$6,Settings!$C$7))*100)</f>
        <v/>
      </c>
      <c r="V2058" s="7">
        <f>IF($C2058="","",R2058*U2058/100)</f>
        <v/>
      </c>
      <c r="W2058" s="7">
        <f>IF($C2058="","",R2058-V2058)</f>
        <v/>
      </c>
      <c r="X2058" s="7">
        <f>IF($C2058="","",W2058-K2058)</f>
        <v/>
      </c>
      <c r="AB2058" s="7" t="n"/>
      <c r="AE2058" s="11" t="n"/>
      <c r="AG2058">
        <f>IF($C2058="","",IF(COUNTIF($C$2:$C2058,$C2058)=1,1,0))</f>
        <v/>
      </c>
      <c r="AH2058">
        <f>IF($AG2058=1,SUMPRODUCT(--($AK$2:$AK$6001&lt;$AK2058))+1,"")</f>
        <v/>
      </c>
      <c r="AI2058">
        <f>IF($C2058="","",IF(OR($N2058=TRUE(),$N2058="TRUE"),1,0))</f>
        <v/>
      </c>
      <c r="AJ2058">
        <f>IF($C2058="","",IF($T2058="Yes",1,0))</f>
        <v/>
      </c>
      <c r="AK2058">
        <f>IF($AG2058=1,IFERROR(IF(VALUE($C2058)&lt;100000000,VALUE($C2058),1000000000),IFERROR(IF(VALUE(MID($C2058,2,20))&lt;100000000,VALUE(MID($C2058,2,20)),1000000000),1000000000))+ROW()/100000,"")</f>
        <v/>
      </c>
    </row>
    <row r="2059">
      <c r="D2059" s="11" t="n"/>
      <c r="K2059" s="7">
        <f>IF($C2059="","",J2059*W2059/100)</f>
        <v/>
      </c>
      <c r="Q2059" s="7" t="n"/>
      <c r="R2059" s="7" t="n"/>
      <c r="U2059">
        <f>IF($C2059="","",IF($AJ2059=1,0,IF($AI2059=1,Settings!$C$6,Settings!$C$7))*100)</f>
        <v/>
      </c>
      <c r="V2059" s="7">
        <f>IF($C2059="","",R2059*U2059/100)</f>
        <v/>
      </c>
      <c r="W2059" s="7">
        <f>IF($C2059="","",R2059-V2059)</f>
        <v/>
      </c>
      <c r="X2059" s="7">
        <f>IF($C2059="","",W2059-K2059)</f>
        <v/>
      </c>
      <c r="AB2059" s="7" t="n"/>
      <c r="AE2059" s="11" t="n"/>
      <c r="AG2059">
        <f>IF($C2059="","",IF(COUNTIF($C$2:$C2059,$C2059)=1,1,0))</f>
        <v/>
      </c>
      <c r="AH2059">
        <f>IF($AG2059=1,SUMPRODUCT(--($AK$2:$AK$6001&lt;$AK2059))+1,"")</f>
        <v/>
      </c>
      <c r="AI2059">
        <f>IF($C2059="","",IF(OR($N2059=TRUE(),$N2059="TRUE"),1,0))</f>
        <v/>
      </c>
      <c r="AJ2059">
        <f>IF($C2059="","",IF($T2059="Yes",1,0))</f>
        <v/>
      </c>
      <c r="AK2059">
        <f>IF($AG2059=1,IFERROR(IF(VALUE($C2059)&lt;100000000,VALUE($C2059),1000000000),IFERROR(IF(VALUE(MID($C2059,2,20))&lt;100000000,VALUE(MID($C2059,2,20)),1000000000),1000000000))+ROW()/100000,"")</f>
        <v/>
      </c>
    </row>
    <row r="2060">
      <c r="D2060" s="11" t="n"/>
      <c r="K2060" s="7">
        <f>IF($C2060="","",J2060*W2060/100)</f>
        <v/>
      </c>
      <c r="Q2060" s="7" t="n"/>
      <c r="R2060" s="7" t="n"/>
      <c r="U2060">
        <f>IF($C2060="","",IF($AJ2060=1,0,IF($AI2060=1,Settings!$C$6,Settings!$C$7))*100)</f>
        <v/>
      </c>
      <c r="V2060" s="7">
        <f>IF($C2060="","",R2060*U2060/100)</f>
        <v/>
      </c>
      <c r="W2060" s="7">
        <f>IF($C2060="","",R2060-V2060)</f>
        <v/>
      </c>
      <c r="X2060" s="7">
        <f>IF($C2060="","",W2060-K2060)</f>
        <v/>
      </c>
      <c r="AB2060" s="7" t="n"/>
      <c r="AE2060" s="11" t="n"/>
      <c r="AG2060">
        <f>IF($C2060="","",IF(COUNTIF($C$2:$C2060,$C2060)=1,1,0))</f>
        <v/>
      </c>
      <c r="AH2060">
        <f>IF($AG2060=1,SUMPRODUCT(--($AK$2:$AK$6001&lt;$AK2060))+1,"")</f>
        <v/>
      </c>
      <c r="AI2060">
        <f>IF($C2060="","",IF(OR($N2060=TRUE(),$N2060="TRUE"),1,0))</f>
        <v/>
      </c>
      <c r="AJ2060">
        <f>IF($C2060="","",IF($T2060="Yes",1,0))</f>
        <v/>
      </c>
      <c r="AK2060">
        <f>IF($AG2060=1,IFERROR(IF(VALUE($C2060)&lt;100000000,VALUE($C2060),1000000000),IFERROR(IF(VALUE(MID($C2060,2,20))&lt;100000000,VALUE(MID($C2060,2,20)),1000000000),1000000000))+ROW()/100000,"")</f>
        <v/>
      </c>
    </row>
    <row r="2061">
      <c r="D2061" s="11" t="n"/>
      <c r="K2061" s="7">
        <f>IF($C2061="","",J2061*W2061/100)</f>
        <v/>
      </c>
      <c r="Q2061" s="7" t="n"/>
      <c r="R2061" s="7" t="n"/>
      <c r="U2061">
        <f>IF($C2061="","",IF($AJ2061=1,0,IF($AI2061=1,Settings!$C$6,Settings!$C$7))*100)</f>
        <v/>
      </c>
      <c r="V2061" s="7">
        <f>IF($C2061="","",R2061*U2061/100)</f>
        <v/>
      </c>
      <c r="W2061" s="7">
        <f>IF($C2061="","",R2061-V2061)</f>
        <v/>
      </c>
      <c r="X2061" s="7">
        <f>IF($C2061="","",W2061-K2061)</f>
        <v/>
      </c>
      <c r="AB2061" s="7" t="n"/>
      <c r="AE2061" s="11" t="n"/>
      <c r="AG2061">
        <f>IF($C2061="","",IF(COUNTIF($C$2:$C2061,$C2061)=1,1,0))</f>
        <v/>
      </c>
      <c r="AH2061">
        <f>IF($AG2061=1,SUMPRODUCT(--($AK$2:$AK$6001&lt;$AK2061))+1,"")</f>
        <v/>
      </c>
      <c r="AI2061">
        <f>IF($C2061="","",IF(OR($N2061=TRUE(),$N2061="TRUE"),1,0))</f>
        <v/>
      </c>
      <c r="AJ2061">
        <f>IF($C2061="","",IF($T2061="Yes",1,0))</f>
        <v/>
      </c>
      <c r="AK2061">
        <f>IF($AG2061=1,IFERROR(IF(VALUE($C2061)&lt;100000000,VALUE($C2061),1000000000),IFERROR(IF(VALUE(MID($C2061,2,20))&lt;100000000,VALUE(MID($C2061,2,20)),1000000000),1000000000))+ROW()/100000,"")</f>
        <v/>
      </c>
    </row>
    <row r="2062">
      <c r="D2062" s="11" t="n"/>
      <c r="K2062" s="7">
        <f>IF($C2062="","",J2062*W2062/100)</f>
        <v/>
      </c>
      <c r="Q2062" s="7" t="n"/>
      <c r="R2062" s="7" t="n"/>
      <c r="U2062">
        <f>IF($C2062="","",IF($AJ2062=1,0,IF($AI2062=1,Settings!$C$6,Settings!$C$7))*100)</f>
        <v/>
      </c>
      <c r="V2062" s="7">
        <f>IF($C2062="","",R2062*U2062/100)</f>
        <v/>
      </c>
      <c r="W2062" s="7">
        <f>IF($C2062="","",R2062-V2062)</f>
        <v/>
      </c>
      <c r="X2062" s="7">
        <f>IF($C2062="","",W2062-K2062)</f>
        <v/>
      </c>
      <c r="AB2062" s="7" t="n"/>
      <c r="AE2062" s="11" t="n"/>
      <c r="AG2062">
        <f>IF($C2062="","",IF(COUNTIF($C$2:$C2062,$C2062)=1,1,0))</f>
        <v/>
      </c>
      <c r="AH2062">
        <f>IF($AG2062=1,SUMPRODUCT(--($AK$2:$AK$6001&lt;$AK2062))+1,"")</f>
        <v/>
      </c>
      <c r="AI2062">
        <f>IF($C2062="","",IF(OR($N2062=TRUE(),$N2062="TRUE"),1,0))</f>
        <v/>
      </c>
      <c r="AJ2062">
        <f>IF($C2062="","",IF($T2062="Yes",1,0))</f>
        <v/>
      </c>
      <c r="AK2062">
        <f>IF($AG2062=1,IFERROR(IF(VALUE($C2062)&lt;100000000,VALUE($C2062),1000000000),IFERROR(IF(VALUE(MID($C2062,2,20))&lt;100000000,VALUE(MID($C2062,2,20)),1000000000),1000000000))+ROW()/100000,"")</f>
        <v/>
      </c>
    </row>
    <row r="2063">
      <c r="D2063" s="11" t="n"/>
      <c r="K2063" s="7">
        <f>IF($C2063="","",J2063*W2063/100)</f>
        <v/>
      </c>
      <c r="Q2063" s="7" t="n"/>
      <c r="R2063" s="7" t="n"/>
      <c r="U2063">
        <f>IF($C2063="","",IF($AJ2063=1,0,IF($AI2063=1,Settings!$C$6,Settings!$C$7))*100)</f>
        <v/>
      </c>
      <c r="V2063" s="7">
        <f>IF($C2063="","",R2063*U2063/100)</f>
        <v/>
      </c>
      <c r="W2063" s="7">
        <f>IF($C2063="","",R2063-V2063)</f>
        <v/>
      </c>
      <c r="X2063" s="7">
        <f>IF($C2063="","",W2063-K2063)</f>
        <v/>
      </c>
      <c r="AB2063" s="7" t="n"/>
      <c r="AE2063" s="11" t="n"/>
      <c r="AG2063">
        <f>IF($C2063="","",IF(COUNTIF($C$2:$C2063,$C2063)=1,1,0))</f>
        <v/>
      </c>
      <c r="AH2063">
        <f>IF($AG2063=1,SUMPRODUCT(--($AK$2:$AK$6001&lt;$AK2063))+1,"")</f>
        <v/>
      </c>
      <c r="AI2063">
        <f>IF($C2063="","",IF(OR($N2063=TRUE(),$N2063="TRUE"),1,0))</f>
        <v/>
      </c>
      <c r="AJ2063">
        <f>IF($C2063="","",IF($T2063="Yes",1,0))</f>
        <v/>
      </c>
      <c r="AK2063">
        <f>IF($AG2063=1,IFERROR(IF(VALUE($C2063)&lt;100000000,VALUE($C2063),1000000000),IFERROR(IF(VALUE(MID($C2063,2,20))&lt;100000000,VALUE(MID($C2063,2,20)),1000000000),1000000000))+ROW()/100000,"")</f>
        <v/>
      </c>
    </row>
    <row r="2064">
      <c r="D2064" s="11" t="n"/>
      <c r="K2064" s="7">
        <f>IF($C2064="","",J2064*W2064/100)</f>
        <v/>
      </c>
      <c r="Q2064" s="7" t="n"/>
      <c r="R2064" s="7" t="n"/>
      <c r="U2064">
        <f>IF($C2064="","",IF($AJ2064=1,0,IF($AI2064=1,Settings!$C$6,Settings!$C$7))*100)</f>
        <v/>
      </c>
      <c r="V2064" s="7">
        <f>IF($C2064="","",R2064*U2064/100)</f>
        <v/>
      </c>
      <c r="W2064" s="7">
        <f>IF($C2064="","",R2064-V2064)</f>
        <v/>
      </c>
      <c r="X2064" s="7">
        <f>IF($C2064="","",W2064-K2064)</f>
        <v/>
      </c>
      <c r="AB2064" s="7" t="n"/>
      <c r="AE2064" s="11" t="n"/>
      <c r="AG2064">
        <f>IF($C2064="","",IF(COUNTIF($C$2:$C2064,$C2064)=1,1,0))</f>
        <v/>
      </c>
      <c r="AH2064">
        <f>IF($AG2064=1,SUMPRODUCT(--($AK$2:$AK$6001&lt;$AK2064))+1,"")</f>
        <v/>
      </c>
      <c r="AI2064">
        <f>IF($C2064="","",IF(OR($N2064=TRUE(),$N2064="TRUE"),1,0))</f>
        <v/>
      </c>
      <c r="AJ2064">
        <f>IF($C2064="","",IF($T2064="Yes",1,0))</f>
        <v/>
      </c>
      <c r="AK2064">
        <f>IF($AG2064=1,IFERROR(IF(VALUE($C2064)&lt;100000000,VALUE($C2064),1000000000),IFERROR(IF(VALUE(MID($C2064,2,20))&lt;100000000,VALUE(MID($C2064,2,20)),1000000000),1000000000))+ROW()/100000,"")</f>
        <v/>
      </c>
    </row>
    <row r="2065">
      <c r="D2065" s="11" t="n"/>
      <c r="K2065" s="7">
        <f>IF($C2065="","",J2065*W2065/100)</f>
        <v/>
      </c>
      <c r="Q2065" s="7" t="n"/>
      <c r="R2065" s="7" t="n"/>
      <c r="U2065">
        <f>IF($C2065="","",IF($AJ2065=1,0,IF($AI2065=1,Settings!$C$6,Settings!$C$7))*100)</f>
        <v/>
      </c>
      <c r="V2065" s="7">
        <f>IF($C2065="","",R2065*U2065/100)</f>
        <v/>
      </c>
      <c r="W2065" s="7">
        <f>IF($C2065="","",R2065-V2065)</f>
        <v/>
      </c>
      <c r="X2065" s="7">
        <f>IF($C2065="","",W2065-K2065)</f>
        <v/>
      </c>
      <c r="AB2065" s="7" t="n"/>
      <c r="AE2065" s="11" t="n"/>
      <c r="AG2065">
        <f>IF($C2065="","",IF(COUNTIF($C$2:$C2065,$C2065)=1,1,0))</f>
        <v/>
      </c>
      <c r="AH2065">
        <f>IF($AG2065=1,SUMPRODUCT(--($AK$2:$AK$6001&lt;$AK2065))+1,"")</f>
        <v/>
      </c>
      <c r="AI2065">
        <f>IF($C2065="","",IF(OR($N2065=TRUE(),$N2065="TRUE"),1,0))</f>
        <v/>
      </c>
      <c r="AJ2065">
        <f>IF($C2065="","",IF($T2065="Yes",1,0))</f>
        <v/>
      </c>
      <c r="AK2065">
        <f>IF($AG2065=1,IFERROR(IF(VALUE($C2065)&lt;100000000,VALUE($C2065),1000000000),IFERROR(IF(VALUE(MID($C2065,2,20))&lt;100000000,VALUE(MID($C2065,2,20)),1000000000),1000000000))+ROW()/100000,"")</f>
        <v/>
      </c>
    </row>
    <row r="2066">
      <c r="D2066" s="11" t="n"/>
      <c r="K2066" s="7">
        <f>IF($C2066="","",J2066*W2066/100)</f>
        <v/>
      </c>
      <c r="Q2066" s="7" t="n"/>
      <c r="R2066" s="7" t="n"/>
      <c r="U2066">
        <f>IF($C2066="","",IF($AJ2066=1,0,IF($AI2066=1,Settings!$C$6,Settings!$C$7))*100)</f>
        <v/>
      </c>
      <c r="V2066" s="7">
        <f>IF($C2066="","",R2066*U2066/100)</f>
        <v/>
      </c>
      <c r="W2066" s="7">
        <f>IF($C2066="","",R2066-V2066)</f>
        <v/>
      </c>
      <c r="X2066" s="7">
        <f>IF($C2066="","",W2066-K2066)</f>
        <v/>
      </c>
      <c r="AB2066" s="7" t="n"/>
      <c r="AE2066" s="11" t="n"/>
      <c r="AG2066">
        <f>IF($C2066="","",IF(COUNTIF($C$2:$C2066,$C2066)=1,1,0))</f>
        <v/>
      </c>
      <c r="AH2066">
        <f>IF($AG2066=1,SUMPRODUCT(--($AK$2:$AK$6001&lt;$AK2066))+1,"")</f>
        <v/>
      </c>
      <c r="AI2066">
        <f>IF($C2066="","",IF(OR($N2066=TRUE(),$N2066="TRUE"),1,0))</f>
        <v/>
      </c>
      <c r="AJ2066">
        <f>IF($C2066="","",IF($T2066="Yes",1,0))</f>
        <v/>
      </c>
      <c r="AK2066">
        <f>IF($AG2066=1,IFERROR(IF(VALUE($C2066)&lt;100000000,VALUE($C2066),1000000000),IFERROR(IF(VALUE(MID($C2066,2,20))&lt;100000000,VALUE(MID($C2066,2,20)),1000000000),1000000000))+ROW()/100000,"")</f>
        <v/>
      </c>
    </row>
    <row r="2067">
      <c r="D2067" s="11" t="n"/>
      <c r="K2067" s="7">
        <f>IF($C2067="","",J2067*W2067/100)</f>
        <v/>
      </c>
      <c r="Q2067" s="7" t="n"/>
      <c r="R2067" s="7" t="n"/>
      <c r="U2067">
        <f>IF($C2067="","",IF($AJ2067=1,0,IF($AI2067=1,Settings!$C$6,Settings!$C$7))*100)</f>
        <v/>
      </c>
      <c r="V2067" s="7">
        <f>IF($C2067="","",R2067*U2067/100)</f>
        <v/>
      </c>
      <c r="W2067" s="7">
        <f>IF($C2067="","",R2067-V2067)</f>
        <v/>
      </c>
      <c r="X2067" s="7">
        <f>IF($C2067="","",W2067-K2067)</f>
        <v/>
      </c>
      <c r="AB2067" s="7" t="n"/>
      <c r="AE2067" s="11" t="n"/>
      <c r="AG2067">
        <f>IF($C2067="","",IF(COUNTIF($C$2:$C2067,$C2067)=1,1,0))</f>
        <v/>
      </c>
      <c r="AH2067">
        <f>IF($AG2067=1,SUMPRODUCT(--($AK$2:$AK$6001&lt;$AK2067))+1,"")</f>
        <v/>
      </c>
      <c r="AI2067">
        <f>IF($C2067="","",IF(OR($N2067=TRUE(),$N2067="TRUE"),1,0))</f>
        <v/>
      </c>
      <c r="AJ2067">
        <f>IF($C2067="","",IF($T2067="Yes",1,0))</f>
        <v/>
      </c>
      <c r="AK2067">
        <f>IF($AG2067=1,IFERROR(IF(VALUE($C2067)&lt;100000000,VALUE($C2067),1000000000),IFERROR(IF(VALUE(MID($C2067,2,20))&lt;100000000,VALUE(MID($C2067,2,20)),1000000000),1000000000))+ROW()/100000,"")</f>
        <v/>
      </c>
    </row>
    <row r="2068">
      <c r="D2068" s="11" t="n"/>
      <c r="K2068" s="7">
        <f>IF($C2068="","",J2068*W2068/100)</f>
        <v/>
      </c>
      <c r="Q2068" s="7" t="n"/>
      <c r="R2068" s="7" t="n"/>
      <c r="U2068">
        <f>IF($C2068="","",IF($AJ2068=1,0,IF($AI2068=1,Settings!$C$6,Settings!$C$7))*100)</f>
        <v/>
      </c>
      <c r="V2068" s="7">
        <f>IF($C2068="","",R2068*U2068/100)</f>
        <v/>
      </c>
      <c r="W2068" s="7">
        <f>IF($C2068="","",R2068-V2068)</f>
        <v/>
      </c>
      <c r="X2068" s="7">
        <f>IF($C2068="","",W2068-K2068)</f>
        <v/>
      </c>
      <c r="AB2068" s="7" t="n"/>
      <c r="AE2068" s="11" t="n"/>
      <c r="AG2068">
        <f>IF($C2068="","",IF(COUNTIF($C$2:$C2068,$C2068)=1,1,0))</f>
        <v/>
      </c>
      <c r="AH2068">
        <f>IF($AG2068=1,SUMPRODUCT(--($AK$2:$AK$6001&lt;$AK2068))+1,"")</f>
        <v/>
      </c>
      <c r="AI2068">
        <f>IF($C2068="","",IF(OR($N2068=TRUE(),$N2068="TRUE"),1,0))</f>
        <v/>
      </c>
      <c r="AJ2068">
        <f>IF($C2068="","",IF($T2068="Yes",1,0))</f>
        <v/>
      </c>
      <c r="AK2068">
        <f>IF($AG2068=1,IFERROR(IF(VALUE($C2068)&lt;100000000,VALUE($C2068),1000000000),IFERROR(IF(VALUE(MID($C2068,2,20))&lt;100000000,VALUE(MID($C2068,2,20)),1000000000),1000000000))+ROW()/100000,"")</f>
        <v/>
      </c>
    </row>
    <row r="2069">
      <c r="D2069" s="11" t="n"/>
      <c r="K2069" s="7">
        <f>IF($C2069="","",J2069*W2069/100)</f>
        <v/>
      </c>
      <c r="Q2069" s="7" t="n"/>
      <c r="R2069" s="7" t="n"/>
      <c r="U2069">
        <f>IF($C2069="","",IF($AJ2069=1,0,IF($AI2069=1,Settings!$C$6,Settings!$C$7))*100)</f>
        <v/>
      </c>
      <c r="V2069" s="7">
        <f>IF($C2069="","",R2069*U2069/100)</f>
        <v/>
      </c>
      <c r="W2069" s="7">
        <f>IF($C2069="","",R2069-V2069)</f>
        <v/>
      </c>
      <c r="X2069" s="7">
        <f>IF($C2069="","",W2069-K2069)</f>
        <v/>
      </c>
      <c r="AB2069" s="7" t="n"/>
      <c r="AE2069" s="11" t="n"/>
      <c r="AG2069">
        <f>IF($C2069="","",IF(COUNTIF($C$2:$C2069,$C2069)=1,1,0))</f>
        <v/>
      </c>
      <c r="AH2069">
        <f>IF($AG2069=1,SUMPRODUCT(--($AK$2:$AK$6001&lt;$AK2069))+1,"")</f>
        <v/>
      </c>
      <c r="AI2069">
        <f>IF($C2069="","",IF(OR($N2069=TRUE(),$N2069="TRUE"),1,0))</f>
        <v/>
      </c>
      <c r="AJ2069">
        <f>IF($C2069="","",IF($T2069="Yes",1,0))</f>
        <v/>
      </c>
      <c r="AK2069">
        <f>IF($AG2069=1,IFERROR(IF(VALUE($C2069)&lt;100000000,VALUE($C2069),1000000000),IFERROR(IF(VALUE(MID($C2069,2,20))&lt;100000000,VALUE(MID($C2069,2,20)),1000000000),1000000000))+ROW()/100000,"")</f>
        <v/>
      </c>
    </row>
    <row r="2070">
      <c r="D2070" s="11" t="n"/>
      <c r="K2070" s="7">
        <f>IF($C2070="","",J2070*W2070/100)</f>
        <v/>
      </c>
      <c r="Q2070" s="7" t="n"/>
      <c r="R2070" s="7" t="n"/>
      <c r="U2070">
        <f>IF($C2070="","",IF($AJ2070=1,0,IF($AI2070=1,Settings!$C$6,Settings!$C$7))*100)</f>
        <v/>
      </c>
      <c r="V2070" s="7">
        <f>IF($C2070="","",R2070*U2070/100)</f>
        <v/>
      </c>
      <c r="W2070" s="7">
        <f>IF($C2070="","",R2070-V2070)</f>
        <v/>
      </c>
      <c r="X2070" s="7">
        <f>IF($C2070="","",W2070-K2070)</f>
        <v/>
      </c>
      <c r="AB2070" s="7" t="n"/>
      <c r="AE2070" s="11" t="n"/>
      <c r="AG2070">
        <f>IF($C2070="","",IF(COUNTIF($C$2:$C2070,$C2070)=1,1,0))</f>
        <v/>
      </c>
      <c r="AH2070">
        <f>IF($AG2070=1,SUMPRODUCT(--($AK$2:$AK$6001&lt;$AK2070))+1,"")</f>
        <v/>
      </c>
      <c r="AI2070">
        <f>IF($C2070="","",IF(OR($N2070=TRUE(),$N2070="TRUE"),1,0))</f>
        <v/>
      </c>
      <c r="AJ2070">
        <f>IF($C2070="","",IF($T2070="Yes",1,0))</f>
        <v/>
      </c>
      <c r="AK2070">
        <f>IF($AG2070=1,IFERROR(IF(VALUE($C2070)&lt;100000000,VALUE($C2070),1000000000),IFERROR(IF(VALUE(MID($C2070,2,20))&lt;100000000,VALUE(MID($C2070,2,20)),1000000000),1000000000))+ROW()/100000,"")</f>
        <v/>
      </c>
    </row>
    <row r="2071">
      <c r="D2071" s="11" t="n"/>
      <c r="K2071" s="7">
        <f>IF($C2071="","",J2071*W2071/100)</f>
        <v/>
      </c>
      <c r="Q2071" s="7" t="n"/>
      <c r="R2071" s="7" t="n"/>
      <c r="U2071">
        <f>IF($C2071="","",IF($AJ2071=1,0,IF($AI2071=1,Settings!$C$6,Settings!$C$7))*100)</f>
        <v/>
      </c>
      <c r="V2071" s="7">
        <f>IF($C2071="","",R2071*U2071/100)</f>
        <v/>
      </c>
      <c r="W2071" s="7">
        <f>IF($C2071="","",R2071-V2071)</f>
        <v/>
      </c>
      <c r="X2071" s="7">
        <f>IF($C2071="","",W2071-K2071)</f>
        <v/>
      </c>
      <c r="AB2071" s="7" t="n"/>
      <c r="AE2071" s="11" t="n"/>
      <c r="AG2071">
        <f>IF($C2071="","",IF(COUNTIF($C$2:$C2071,$C2071)=1,1,0))</f>
        <v/>
      </c>
      <c r="AH2071">
        <f>IF($AG2071=1,SUMPRODUCT(--($AK$2:$AK$6001&lt;$AK2071))+1,"")</f>
        <v/>
      </c>
      <c r="AI2071">
        <f>IF($C2071="","",IF(OR($N2071=TRUE(),$N2071="TRUE"),1,0))</f>
        <v/>
      </c>
      <c r="AJ2071">
        <f>IF($C2071="","",IF($T2071="Yes",1,0))</f>
        <v/>
      </c>
      <c r="AK2071">
        <f>IF($AG2071=1,IFERROR(IF(VALUE($C2071)&lt;100000000,VALUE($C2071),1000000000),IFERROR(IF(VALUE(MID($C2071,2,20))&lt;100000000,VALUE(MID($C2071,2,20)),1000000000),1000000000))+ROW()/100000,"")</f>
        <v/>
      </c>
    </row>
    <row r="2072">
      <c r="D2072" s="11" t="n"/>
      <c r="K2072" s="7">
        <f>IF($C2072="","",J2072*W2072/100)</f>
        <v/>
      </c>
      <c r="Q2072" s="7" t="n"/>
      <c r="R2072" s="7" t="n"/>
      <c r="U2072">
        <f>IF($C2072="","",IF($AJ2072=1,0,IF($AI2072=1,Settings!$C$6,Settings!$C$7))*100)</f>
        <v/>
      </c>
      <c r="V2072" s="7">
        <f>IF($C2072="","",R2072*U2072/100)</f>
        <v/>
      </c>
      <c r="W2072" s="7">
        <f>IF($C2072="","",R2072-V2072)</f>
        <v/>
      </c>
      <c r="X2072" s="7">
        <f>IF($C2072="","",W2072-K2072)</f>
        <v/>
      </c>
      <c r="AB2072" s="7" t="n"/>
      <c r="AE2072" s="11" t="n"/>
      <c r="AG2072">
        <f>IF($C2072="","",IF(COUNTIF($C$2:$C2072,$C2072)=1,1,0))</f>
        <v/>
      </c>
      <c r="AH2072">
        <f>IF($AG2072=1,SUMPRODUCT(--($AK$2:$AK$6001&lt;$AK2072))+1,"")</f>
        <v/>
      </c>
      <c r="AI2072">
        <f>IF($C2072="","",IF(OR($N2072=TRUE(),$N2072="TRUE"),1,0))</f>
        <v/>
      </c>
      <c r="AJ2072">
        <f>IF($C2072="","",IF($T2072="Yes",1,0))</f>
        <v/>
      </c>
      <c r="AK2072">
        <f>IF($AG2072=1,IFERROR(IF(VALUE($C2072)&lt;100000000,VALUE($C2072),1000000000),IFERROR(IF(VALUE(MID($C2072,2,20))&lt;100000000,VALUE(MID($C2072,2,20)),1000000000),1000000000))+ROW()/100000,"")</f>
        <v/>
      </c>
    </row>
    <row r="2073">
      <c r="D2073" s="11" t="n"/>
      <c r="K2073" s="7">
        <f>IF($C2073="","",J2073*W2073/100)</f>
        <v/>
      </c>
      <c r="Q2073" s="7" t="n"/>
      <c r="R2073" s="7" t="n"/>
      <c r="U2073">
        <f>IF($C2073="","",IF($AJ2073=1,0,IF($AI2073=1,Settings!$C$6,Settings!$C$7))*100)</f>
        <v/>
      </c>
      <c r="V2073" s="7">
        <f>IF($C2073="","",R2073*U2073/100)</f>
        <v/>
      </c>
      <c r="W2073" s="7">
        <f>IF($C2073="","",R2073-V2073)</f>
        <v/>
      </c>
      <c r="X2073" s="7">
        <f>IF($C2073="","",W2073-K2073)</f>
        <v/>
      </c>
      <c r="AB2073" s="7" t="n"/>
      <c r="AE2073" s="11" t="n"/>
      <c r="AG2073">
        <f>IF($C2073="","",IF(COUNTIF($C$2:$C2073,$C2073)=1,1,0))</f>
        <v/>
      </c>
      <c r="AH2073">
        <f>IF($AG2073=1,SUMPRODUCT(--($AK$2:$AK$6001&lt;$AK2073))+1,"")</f>
        <v/>
      </c>
      <c r="AI2073">
        <f>IF($C2073="","",IF(OR($N2073=TRUE(),$N2073="TRUE"),1,0))</f>
        <v/>
      </c>
      <c r="AJ2073">
        <f>IF($C2073="","",IF($T2073="Yes",1,0))</f>
        <v/>
      </c>
      <c r="AK2073">
        <f>IF($AG2073=1,IFERROR(IF(VALUE($C2073)&lt;100000000,VALUE($C2073),1000000000),IFERROR(IF(VALUE(MID($C2073,2,20))&lt;100000000,VALUE(MID($C2073,2,20)),1000000000),1000000000))+ROW()/100000,"")</f>
        <v/>
      </c>
    </row>
    <row r="2074">
      <c r="D2074" s="11" t="n"/>
      <c r="K2074" s="7">
        <f>IF($C2074="","",J2074*W2074/100)</f>
        <v/>
      </c>
      <c r="Q2074" s="7" t="n"/>
      <c r="R2074" s="7" t="n"/>
      <c r="U2074">
        <f>IF($C2074="","",IF($AJ2074=1,0,IF($AI2074=1,Settings!$C$6,Settings!$C$7))*100)</f>
        <v/>
      </c>
      <c r="V2074" s="7">
        <f>IF($C2074="","",R2074*U2074/100)</f>
        <v/>
      </c>
      <c r="W2074" s="7">
        <f>IF($C2074="","",R2074-V2074)</f>
        <v/>
      </c>
      <c r="X2074" s="7">
        <f>IF($C2074="","",W2074-K2074)</f>
        <v/>
      </c>
      <c r="AB2074" s="7" t="n"/>
      <c r="AE2074" s="11" t="n"/>
      <c r="AG2074">
        <f>IF($C2074="","",IF(COUNTIF($C$2:$C2074,$C2074)=1,1,0))</f>
        <v/>
      </c>
      <c r="AH2074">
        <f>IF($AG2074=1,SUMPRODUCT(--($AK$2:$AK$6001&lt;$AK2074))+1,"")</f>
        <v/>
      </c>
      <c r="AI2074">
        <f>IF($C2074="","",IF(OR($N2074=TRUE(),$N2074="TRUE"),1,0))</f>
        <v/>
      </c>
      <c r="AJ2074">
        <f>IF($C2074="","",IF($T2074="Yes",1,0))</f>
        <v/>
      </c>
      <c r="AK2074">
        <f>IF($AG2074=1,IFERROR(IF(VALUE($C2074)&lt;100000000,VALUE($C2074),1000000000),IFERROR(IF(VALUE(MID($C2074,2,20))&lt;100000000,VALUE(MID($C2074,2,20)),1000000000),1000000000))+ROW()/100000,"")</f>
        <v/>
      </c>
    </row>
    <row r="2075">
      <c r="D2075" s="11" t="n"/>
      <c r="K2075" s="7">
        <f>IF($C2075="","",J2075*W2075/100)</f>
        <v/>
      </c>
      <c r="Q2075" s="7" t="n"/>
      <c r="R2075" s="7" t="n"/>
      <c r="U2075">
        <f>IF($C2075="","",IF($AJ2075=1,0,IF($AI2075=1,Settings!$C$6,Settings!$C$7))*100)</f>
        <v/>
      </c>
      <c r="V2075" s="7">
        <f>IF($C2075="","",R2075*U2075/100)</f>
        <v/>
      </c>
      <c r="W2075" s="7">
        <f>IF($C2075="","",R2075-V2075)</f>
        <v/>
      </c>
      <c r="X2075" s="7">
        <f>IF($C2075="","",W2075-K2075)</f>
        <v/>
      </c>
      <c r="AB2075" s="7" t="n"/>
      <c r="AE2075" s="11" t="n"/>
      <c r="AG2075">
        <f>IF($C2075="","",IF(COUNTIF($C$2:$C2075,$C2075)=1,1,0))</f>
        <v/>
      </c>
      <c r="AH2075">
        <f>IF($AG2075=1,SUMPRODUCT(--($AK$2:$AK$6001&lt;$AK2075))+1,"")</f>
        <v/>
      </c>
      <c r="AI2075">
        <f>IF($C2075="","",IF(OR($N2075=TRUE(),$N2075="TRUE"),1,0))</f>
        <v/>
      </c>
      <c r="AJ2075">
        <f>IF($C2075="","",IF($T2075="Yes",1,0))</f>
        <v/>
      </c>
      <c r="AK2075">
        <f>IF($AG2075=1,IFERROR(IF(VALUE($C2075)&lt;100000000,VALUE($C2075),1000000000),IFERROR(IF(VALUE(MID($C2075,2,20))&lt;100000000,VALUE(MID($C2075,2,20)),1000000000),1000000000))+ROW()/100000,"")</f>
        <v/>
      </c>
    </row>
    <row r="2076">
      <c r="D2076" s="11" t="n"/>
      <c r="K2076" s="7">
        <f>IF($C2076="","",J2076*W2076/100)</f>
        <v/>
      </c>
      <c r="Q2076" s="7" t="n"/>
      <c r="R2076" s="7" t="n"/>
      <c r="U2076">
        <f>IF($C2076="","",IF($AJ2076=1,0,IF($AI2076=1,Settings!$C$6,Settings!$C$7))*100)</f>
        <v/>
      </c>
      <c r="V2076" s="7">
        <f>IF($C2076="","",R2076*U2076/100)</f>
        <v/>
      </c>
      <c r="W2076" s="7">
        <f>IF($C2076="","",R2076-V2076)</f>
        <v/>
      </c>
      <c r="X2076" s="7">
        <f>IF($C2076="","",W2076-K2076)</f>
        <v/>
      </c>
      <c r="AB2076" s="7" t="n"/>
      <c r="AE2076" s="11" t="n"/>
      <c r="AG2076">
        <f>IF($C2076="","",IF(COUNTIF($C$2:$C2076,$C2076)=1,1,0))</f>
        <v/>
      </c>
      <c r="AH2076">
        <f>IF($AG2076=1,SUMPRODUCT(--($AK$2:$AK$6001&lt;$AK2076))+1,"")</f>
        <v/>
      </c>
      <c r="AI2076">
        <f>IF($C2076="","",IF(OR($N2076=TRUE(),$N2076="TRUE"),1,0))</f>
        <v/>
      </c>
      <c r="AJ2076">
        <f>IF($C2076="","",IF($T2076="Yes",1,0))</f>
        <v/>
      </c>
      <c r="AK2076">
        <f>IF($AG2076=1,IFERROR(IF(VALUE($C2076)&lt;100000000,VALUE($C2076),1000000000),IFERROR(IF(VALUE(MID($C2076,2,20))&lt;100000000,VALUE(MID($C2076,2,20)),1000000000),1000000000))+ROW()/100000,"")</f>
        <v/>
      </c>
    </row>
    <row r="2077">
      <c r="D2077" s="11" t="n"/>
      <c r="K2077" s="7">
        <f>IF($C2077="","",J2077*W2077/100)</f>
        <v/>
      </c>
      <c r="Q2077" s="7" t="n"/>
      <c r="R2077" s="7" t="n"/>
      <c r="U2077">
        <f>IF($C2077="","",IF($AJ2077=1,0,IF($AI2077=1,Settings!$C$6,Settings!$C$7))*100)</f>
        <v/>
      </c>
      <c r="V2077" s="7">
        <f>IF($C2077="","",R2077*U2077/100)</f>
        <v/>
      </c>
      <c r="W2077" s="7">
        <f>IF($C2077="","",R2077-V2077)</f>
        <v/>
      </c>
      <c r="X2077" s="7">
        <f>IF($C2077="","",W2077-K2077)</f>
        <v/>
      </c>
      <c r="AB2077" s="7" t="n"/>
      <c r="AE2077" s="11" t="n"/>
      <c r="AG2077">
        <f>IF($C2077="","",IF(COUNTIF($C$2:$C2077,$C2077)=1,1,0))</f>
        <v/>
      </c>
      <c r="AH2077">
        <f>IF($AG2077=1,SUMPRODUCT(--($AK$2:$AK$6001&lt;$AK2077))+1,"")</f>
        <v/>
      </c>
      <c r="AI2077">
        <f>IF($C2077="","",IF(OR($N2077=TRUE(),$N2077="TRUE"),1,0))</f>
        <v/>
      </c>
      <c r="AJ2077">
        <f>IF($C2077="","",IF($T2077="Yes",1,0))</f>
        <v/>
      </c>
      <c r="AK2077">
        <f>IF($AG2077=1,IFERROR(IF(VALUE($C2077)&lt;100000000,VALUE($C2077),1000000000),IFERROR(IF(VALUE(MID($C2077,2,20))&lt;100000000,VALUE(MID($C2077,2,20)),1000000000),1000000000))+ROW()/100000,"")</f>
        <v/>
      </c>
    </row>
    <row r="2078">
      <c r="D2078" s="11" t="n"/>
      <c r="K2078" s="7">
        <f>IF($C2078="","",J2078*W2078/100)</f>
        <v/>
      </c>
      <c r="Q2078" s="7" t="n"/>
      <c r="R2078" s="7" t="n"/>
      <c r="U2078">
        <f>IF($C2078="","",IF($AJ2078=1,0,IF($AI2078=1,Settings!$C$6,Settings!$C$7))*100)</f>
        <v/>
      </c>
      <c r="V2078" s="7">
        <f>IF($C2078="","",R2078*U2078/100)</f>
        <v/>
      </c>
      <c r="W2078" s="7">
        <f>IF($C2078="","",R2078-V2078)</f>
        <v/>
      </c>
      <c r="X2078" s="7">
        <f>IF($C2078="","",W2078-K2078)</f>
        <v/>
      </c>
      <c r="AB2078" s="7" t="n"/>
      <c r="AE2078" s="11" t="n"/>
      <c r="AG2078">
        <f>IF($C2078="","",IF(COUNTIF($C$2:$C2078,$C2078)=1,1,0))</f>
        <v/>
      </c>
      <c r="AH2078">
        <f>IF($AG2078=1,SUMPRODUCT(--($AK$2:$AK$6001&lt;$AK2078))+1,"")</f>
        <v/>
      </c>
      <c r="AI2078">
        <f>IF($C2078="","",IF(OR($N2078=TRUE(),$N2078="TRUE"),1,0))</f>
        <v/>
      </c>
      <c r="AJ2078">
        <f>IF($C2078="","",IF($T2078="Yes",1,0))</f>
        <v/>
      </c>
      <c r="AK2078">
        <f>IF($AG2078=1,IFERROR(IF(VALUE($C2078)&lt;100000000,VALUE($C2078),1000000000),IFERROR(IF(VALUE(MID($C2078,2,20))&lt;100000000,VALUE(MID($C2078,2,20)),1000000000),1000000000))+ROW()/100000,"")</f>
        <v/>
      </c>
    </row>
    <row r="2079">
      <c r="D2079" s="11" t="n"/>
      <c r="K2079" s="7">
        <f>IF($C2079="","",J2079*W2079/100)</f>
        <v/>
      </c>
      <c r="Q2079" s="7" t="n"/>
      <c r="R2079" s="7" t="n"/>
      <c r="U2079">
        <f>IF($C2079="","",IF($AJ2079=1,0,IF($AI2079=1,Settings!$C$6,Settings!$C$7))*100)</f>
        <v/>
      </c>
      <c r="V2079" s="7">
        <f>IF($C2079="","",R2079*U2079/100)</f>
        <v/>
      </c>
      <c r="W2079" s="7">
        <f>IF($C2079="","",R2079-V2079)</f>
        <v/>
      </c>
      <c r="X2079" s="7">
        <f>IF($C2079="","",W2079-K2079)</f>
        <v/>
      </c>
      <c r="AB2079" s="7" t="n"/>
      <c r="AE2079" s="11" t="n"/>
      <c r="AG2079">
        <f>IF($C2079="","",IF(COUNTIF($C$2:$C2079,$C2079)=1,1,0))</f>
        <v/>
      </c>
      <c r="AH2079">
        <f>IF($AG2079=1,SUMPRODUCT(--($AK$2:$AK$6001&lt;$AK2079))+1,"")</f>
        <v/>
      </c>
      <c r="AI2079">
        <f>IF($C2079="","",IF(OR($N2079=TRUE(),$N2079="TRUE"),1,0))</f>
        <v/>
      </c>
      <c r="AJ2079">
        <f>IF($C2079="","",IF($T2079="Yes",1,0))</f>
        <v/>
      </c>
      <c r="AK2079">
        <f>IF($AG2079=1,IFERROR(IF(VALUE($C2079)&lt;100000000,VALUE($C2079),1000000000),IFERROR(IF(VALUE(MID($C2079,2,20))&lt;100000000,VALUE(MID($C2079,2,20)),1000000000),1000000000))+ROW()/100000,"")</f>
        <v/>
      </c>
    </row>
    <row r="2080">
      <c r="D2080" s="11" t="n"/>
      <c r="K2080" s="7">
        <f>IF($C2080="","",J2080*W2080/100)</f>
        <v/>
      </c>
      <c r="Q2080" s="7" t="n"/>
      <c r="R2080" s="7" t="n"/>
      <c r="U2080">
        <f>IF($C2080="","",IF($AJ2080=1,0,IF($AI2080=1,Settings!$C$6,Settings!$C$7))*100)</f>
        <v/>
      </c>
      <c r="V2080" s="7">
        <f>IF($C2080="","",R2080*U2080/100)</f>
        <v/>
      </c>
      <c r="W2080" s="7">
        <f>IF($C2080="","",R2080-V2080)</f>
        <v/>
      </c>
      <c r="X2080" s="7">
        <f>IF($C2080="","",W2080-K2080)</f>
        <v/>
      </c>
      <c r="AB2080" s="7" t="n"/>
      <c r="AE2080" s="11" t="n"/>
      <c r="AG2080">
        <f>IF($C2080="","",IF(COUNTIF($C$2:$C2080,$C2080)=1,1,0))</f>
        <v/>
      </c>
      <c r="AH2080">
        <f>IF($AG2080=1,SUMPRODUCT(--($AK$2:$AK$6001&lt;$AK2080))+1,"")</f>
        <v/>
      </c>
      <c r="AI2080">
        <f>IF($C2080="","",IF(OR($N2080=TRUE(),$N2080="TRUE"),1,0))</f>
        <v/>
      </c>
      <c r="AJ2080">
        <f>IF($C2080="","",IF($T2080="Yes",1,0))</f>
        <v/>
      </c>
      <c r="AK2080">
        <f>IF($AG2080=1,IFERROR(IF(VALUE($C2080)&lt;100000000,VALUE($C2080),1000000000),IFERROR(IF(VALUE(MID($C2080,2,20))&lt;100000000,VALUE(MID($C2080,2,20)),1000000000),1000000000))+ROW()/100000,"")</f>
        <v/>
      </c>
    </row>
    <row r="2081">
      <c r="D2081" s="11" t="n"/>
      <c r="K2081" s="7">
        <f>IF($C2081="","",J2081*W2081/100)</f>
        <v/>
      </c>
      <c r="Q2081" s="7" t="n"/>
      <c r="R2081" s="7" t="n"/>
      <c r="U2081">
        <f>IF($C2081="","",IF($AJ2081=1,0,IF($AI2081=1,Settings!$C$6,Settings!$C$7))*100)</f>
        <v/>
      </c>
      <c r="V2081" s="7">
        <f>IF($C2081="","",R2081*U2081/100)</f>
        <v/>
      </c>
      <c r="W2081" s="7">
        <f>IF($C2081="","",R2081-V2081)</f>
        <v/>
      </c>
      <c r="X2081" s="7">
        <f>IF($C2081="","",W2081-K2081)</f>
        <v/>
      </c>
      <c r="AB2081" s="7" t="n"/>
      <c r="AE2081" s="11" t="n"/>
      <c r="AG2081">
        <f>IF($C2081="","",IF(COUNTIF($C$2:$C2081,$C2081)=1,1,0))</f>
        <v/>
      </c>
      <c r="AH2081">
        <f>IF($AG2081=1,SUMPRODUCT(--($AK$2:$AK$6001&lt;$AK2081))+1,"")</f>
        <v/>
      </c>
      <c r="AI2081">
        <f>IF($C2081="","",IF(OR($N2081=TRUE(),$N2081="TRUE"),1,0))</f>
        <v/>
      </c>
      <c r="AJ2081">
        <f>IF($C2081="","",IF($T2081="Yes",1,0))</f>
        <v/>
      </c>
      <c r="AK2081">
        <f>IF($AG2081=1,IFERROR(IF(VALUE($C2081)&lt;100000000,VALUE($C2081),1000000000),IFERROR(IF(VALUE(MID($C2081,2,20))&lt;100000000,VALUE(MID($C2081,2,20)),1000000000),1000000000))+ROW()/100000,"")</f>
        <v/>
      </c>
    </row>
    <row r="2082">
      <c r="D2082" s="11" t="n"/>
      <c r="K2082" s="7">
        <f>IF($C2082="","",J2082*W2082/100)</f>
        <v/>
      </c>
      <c r="Q2082" s="7" t="n"/>
      <c r="R2082" s="7" t="n"/>
      <c r="U2082">
        <f>IF($C2082="","",IF($AJ2082=1,0,IF($AI2082=1,Settings!$C$6,Settings!$C$7))*100)</f>
        <v/>
      </c>
      <c r="V2082" s="7">
        <f>IF($C2082="","",R2082*U2082/100)</f>
        <v/>
      </c>
      <c r="W2082" s="7">
        <f>IF($C2082="","",R2082-V2082)</f>
        <v/>
      </c>
      <c r="X2082" s="7">
        <f>IF($C2082="","",W2082-K2082)</f>
        <v/>
      </c>
      <c r="AB2082" s="7" t="n"/>
      <c r="AE2082" s="11" t="n"/>
      <c r="AG2082">
        <f>IF($C2082="","",IF(COUNTIF($C$2:$C2082,$C2082)=1,1,0))</f>
        <v/>
      </c>
      <c r="AH2082">
        <f>IF($AG2082=1,SUMPRODUCT(--($AK$2:$AK$6001&lt;$AK2082))+1,"")</f>
        <v/>
      </c>
      <c r="AI2082">
        <f>IF($C2082="","",IF(OR($N2082=TRUE(),$N2082="TRUE"),1,0))</f>
        <v/>
      </c>
      <c r="AJ2082">
        <f>IF($C2082="","",IF($T2082="Yes",1,0))</f>
        <v/>
      </c>
      <c r="AK2082">
        <f>IF($AG2082=1,IFERROR(IF(VALUE($C2082)&lt;100000000,VALUE($C2082),1000000000),IFERROR(IF(VALUE(MID($C2082,2,20))&lt;100000000,VALUE(MID($C2082,2,20)),1000000000),1000000000))+ROW()/100000,"")</f>
        <v/>
      </c>
    </row>
    <row r="2083">
      <c r="D2083" s="11" t="n"/>
      <c r="K2083" s="7">
        <f>IF($C2083="","",J2083*W2083/100)</f>
        <v/>
      </c>
      <c r="Q2083" s="7" t="n"/>
      <c r="R2083" s="7" t="n"/>
      <c r="U2083">
        <f>IF($C2083="","",IF($AJ2083=1,0,IF($AI2083=1,Settings!$C$6,Settings!$C$7))*100)</f>
        <v/>
      </c>
      <c r="V2083" s="7">
        <f>IF($C2083="","",R2083*U2083/100)</f>
        <v/>
      </c>
      <c r="W2083" s="7">
        <f>IF($C2083="","",R2083-V2083)</f>
        <v/>
      </c>
      <c r="X2083" s="7">
        <f>IF($C2083="","",W2083-K2083)</f>
        <v/>
      </c>
      <c r="AB2083" s="7" t="n"/>
      <c r="AE2083" s="11" t="n"/>
      <c r="AG2083">
        <f>IF($C2083="","",IF(COUNTIF($C$2:$C2083,$C2083)=1,1,0))</f>
        <v/>
      </c>
      <c r="AH2083">
        <f>IF($AG2083=1,SUMPRODUCT(--($AK$2:$AK$6001&lt;$AK2083))+1,"")</f>
        <v/>
      </c>
      <c r="AI2083">
        <f>IF($C2083="","",IF(OR($N2083=TRUE(),$N2083="TRUE"),1,0))</f>
        <v/>
      </c>
      <c r="AJ2083">
        <f>IF($C2083="","",IF($T2083="Yes",1,0))</f>
        <v/>
      </c>
      <c r="AK2083">
        <f>IF($AG2083=1,IFERROR(IF(VALUE($C2083)&lt;100000000,VALUE($C2083),1000000000),IFERROR(IF(VALUE(MID($C2083,2,20))&lt;100000000,VALUE(MID($C2083,2,20)),1000000000),1000000000))+ROW()/100000,"")</f>
        <v/>
      </c>
    </row>
    <row r="2084">
      <c r="D2084" s="11" t="n"/>
      <c r="K2084" s="7">
        <f>IF($C2084="","",J2084*W2084/100)</f>
        <v/>
      </c>
      <c r="Q2084" s="7" t="n"/>
      <c r="R2084" s="7" t="n"/>
      <c r="U2084">
        <f>IF($C2084="","",IF($AJ2084=1,0,IF($AI2084=1,Settings!$C$6,Settings!$C$7))*100)</f>
        <v/>
      </c>
      <c r="V2084" s="7">
        <f>IF($C2084="","",R2084*U2084/100)</f>
        <v/>
      </c>
      <c r="W2084" s="7">
        <f>IF($C2084="","",R2084-V2084)</f>
        <v/>
      </c>
      <c r="X2084" s="7">
        <f>IF($C2084="","",W2084-K2084)</f>
        <v/>
      </c>
      <c r="AB2084" s="7" t="n"/>
      <c r="AE2084" s="11" t="n"/>
      <c r="AG2084">
        <f>IF($C2084="","",IF(COUNTIF($C$2:$C2084,$C2084)=1,1,0))</f>
        <v/>
      </c>
      <c r="AH2084">
        <f>IF($AG2084=1,SUMPRODUCT(--($AK$2:$AK$6001&lt;$AK2084))+1,"")</f>
        <v/>
      </c>
      <c r="AI2084">
        <f>IF($C2084="","",IF(OR($N2084=TRUE(),$N2084="TRUE"),1,0))</f>
        <v/>
      </c>
      <c r="AJ2084">
        <f>IF($C2084="","",IF($T2084="Yes",1,0))</f>
        <v/>
      </c>
      <c r="AK2084">
        <f>IF($AG2084=1,IFERROR(IF(VALUE($C2084)&lt;100000000,VALUE($C2084),1000000000),IFERROR(IF(VALUE(MID($C2084,2,20))&lt;100000000,VALUE(MID($C2084,2,20)),1000000000),1000000000))+ROW()/100000,"")</f>
        <v/>
      </c>
    </row>
    <row r="2085">
      <c r="D2085" s="11" t="n"/>
      <c r="K2085" s="7">
        <f>IF($C2085="","",J2085*W2085/100)</f>
        <v/>
      </c>
      <c r="Q2085" s="7" t="n"/>
      <c r="R2085" s="7" t="n"/>
      <c r="U2085">
        <f>IF($C2085="","",IF($AJ2085=1,0,IF($AI2085=1,Settings!$C$6,Settings!$C$7))*100)</f>
        <v/>
      </c>
      <c r="V2085" s="7">
        <f>IF($C2085="","",R2085*U2085/100)</f>
        <v/>
      </c>
      <c r="W2085" s="7">
        <f>IF($C2085="","",R2085-V2085)</f>
        <v/>
      </c>
      <c r="X2085" s="7">
        <f>IF($C2085="","",W2085-K2085)</f>
        <v/>
      </c>
      <c r="AB2085" s="7" t="n"/>
      <c r="AE2085" s="11" t="n"/>
      <c r="AG2085">
        <f>IF($C2085="","",IF(COUNTIF($C$2:$C2085,$C2085)=1,1,0))</f>
        <v/>
      </c>
      <c r="AH2085">
        <f>IF($AG2085=1,SUMPRODUCT(--($AK$2:$AK$6001&lt;$AK2085))+1,"")</f>
        <v/>
      </c>
      <c r="AI2085">
        <f>IF($C2085="","",IF(OR($N2085=TRUE(),$N2085="TRUE"),1,0))</f>
        <v/>
      </c>
      <c r="AJ2085">
        <f>IF($C2085="","",IF($T2085="Yes",1,0))</f>
        <v/>
      </c>
      <c r="AK2085">
        <f>IF($AG2085=1,IFERROR(IF(VALUE($C2085)&lt;100000000,VALUE($C2085),1000000000),IFERROR(IF(VALUE(MID($C2085,2,20))&lt;100000000,VALUE(MID($C2085,2,20)),1000000000),1000000000))+ROW()/100000,"")</f>
        <v/>
      </c>
    </row>
    <row r="2086">
      <c r="D2086" s="11" t="n"/>
      <c r="K2086" s="7">
        <f>IF($C2086="","",J2086*W2086/100)</f>
        <v/>
      </c>
      <c r="Q2086" s="7" t="n"/>
      <c r="R2086" s="7" t="n"/>
      <c r="U2086">
        <f>IF($C2086="","",IF($AJ2086=1,0,IF($AI2086=1,Settings!$C$6,Settings!$C$7))*100)</f>
        <v/>
      </c>
      <c r="V2086" s="7">
        <f>IF($C2086="","",R2086*U2086/100)</f>
        <v/>
      </c>
      <c r="W2086" s="7">
        <f>IF($C2086="","",R2086-V2086)</f>
        <v/>
      </c>
      <c r="X2086" s="7">
        <f>IF($C2086="","",W2086-K2086)</f>
        <v/>
      </c>
      <c r="AB2086" s="7" t="n"/>
      <c r="AE2086" s="11" t="n"/>
      <c r="AG2086">
        <f>IF($C2086="","",IF(COUNTIF($C$2:$C2086,$C2086)=1,1,0))</f>
        <v/>
      </c>
      <c r="AH2086">
        <f>IF($AG2086=1,SUMPRODUCT(--($AK$2:$AK$6001&lt;$AK2086))+1,"")</f>
        <v/>
      </c>
      <c r="AI2086">
        <f>IF($C2086="","",IF(OR($N2086=TRUE(),$N2086="TRUE"),1,0))</f>
        <v/>
      </c>
      <c r="AJ2086">
        <f>IF($C2086="","",IF($T2086="Yes",1,0))</f>
        <v/>
      </c>
      <c r="AK2086">
        <f>IF($AG2086=1,IFERROR(IF(VALUE($C2086)&lt;100000000,VALUE($C2086),1000000000),IFERROR(IF(VALUE(MID($C2086,2,20))&lt;100000000,VALUE(MID($C2086,2,20)),1000000000),1000000000))+ROW()/100000,"")</f>
        <v/>
      </c>
    </row>
    <row r="2087">
      <c r="D2087" s="11" t="n"/>
      <c r="K2087" s="7">
        <f>IF($C2087="","",J2087*W2087/100)</f>
        <v/>
      </c>
      <c r="Q2087" s="7" t="n"/>
      <c r="R2087" s="7" t="n"/>
      <c r="U2087">
        <f>IF($C2087="","",IF($AJ2087=1,0,IF($AI2087=1,Settings!$C$6,Settings!$C$7))*100)</f>
        <v/>
      </c>
      <c r="V2087" s="7">
        <f>IF($C2087="","",R2087*U2087/100)</f>
        <v/>
      </c>
      <c r="W2087" s="7">
        <f>IF($C2087="","",R2087-V2087)</f>
        <v/>
      </c>
      <c r="X2087" s="7">
        <f>IF($C2087="","",W2087-K2087)</f>
        <v/>
      </c>
      <c r="AB2087" s="7" t="n"/>
      <c r="AE2087" s="11" t="n"/>
      <c r="AG2087">
        <f>IF($C2087="","",IF(COUNTIF($C$2:$C2087,$C2087)=1,1,0))</f>
        <v/>
      </c>
      <c r="AH2087">
        <f>IF($AG2087=1,SUMPRODUCT(--($AK$2:$AK$6001&lt;$AK2087))+1,"")</f>
        <v/>
      </c>
      <c r="AI2087">
        <f>IF($C2087="","",IF(OR($N2087=TRUE(),$N2087="TRUE"),1,0))</f>
        <v/>
      </c>
      <c r="AJ2087">
        <f>IF($C2087="","",IF($T2087="Yes",1,0))</f>
        <v/>
      </c>
      <c r="AK2087">
        <f>IF($AG2087=1,IFERROR(IF(VALUE($C2087)&lt;100000000,VALUE($C2087),1000000000),IFERROR(IF(VALUE(MID($C2087,2,20))&lt;100000000,VALUE(MID($C2087,2,20)),1000000000),1000000000))+ROW()/100000,"")</f>
        <v/>
      </c>
    </row>
    <row r="2088">
      <c r="D2088" s="11" t="n"/>
      <c r="K2088" s="7">
        <f>IF($C2088="","",J2088*W2088/100)</f>
        <v/>
      </c>
      <c r="Q2088" s="7" t="n"/>
      <c r="R2088" s="7" t="n"/>
      <c r="U2088">
        <f>IF($C2088="","",IF($AJ2088=1,0,IF($AI2088=1,Settings!$C$6,Settings!$C$7))*100)</f>
        <v/>
      </c>
      <c r="V2088" s="7">
        <f>IF($C2088="","",R2088*U2088/100)</f>
        <v/>
      </c>
      <c r="W2088" s="7">
        <f>IF($C2088="","",R2088-V2088)</f>
        <v/>
      </c>
      <c r="X2088" s="7">
        <f>IF($C2088="","",W2088-K2088)</f>
        <v/>
      </c>
      <c r="AB2088" s="7" t="n"/>
      <c r="AE2088" s="11" t="n"/>
      <c r="AG2088">
        <f>IF($C2088="","",IF(COUNTIF($C$2:$C2088,$C2088)=1,1,0))</f>
        <v/>
      </c>
      <c r="AH2088">
        <f>IF($AG2088=1,SUMPRODUCT(--($AK$2:$AK$6001&lt;$AK2088))+1,"")</f>
        <v/>
      </c>
      <c r="AI2088">
        <f>IF($C2088="","",IF(OR($N2088=TRUE(),$N2088="TRUE"),1,0))</f>
        <v/>
      </c>
      <c r="AJ2088">
        <f>IF($C2088="","",IF($T2088="Yes",1,0))</f>
        <v/>
      </c>
      <c r="AK2088">
        <f>IF($AG2088=1,IFERROR(IF(VALUE($C2088)&lt;100000000,VALUE($C2088),1000000000),IFERROR(IF(VALUE(MID($C2088,2,20))&lt;100000000,VALUE(MID($C2088,2,20)),1000000000),1000000000))+ROW()/100000,"")</f>
        <v/>
      </c>
    </row>
    <row r="2089">
      <c r="D2089" s="11" t="n"/>
      <c r="K2089" s="7">
        <f>IF($C2089="","",J2089*W2089/100)</f>
        <v/>
      </c>
      <c r="Q2089" s="7" t="n"/>
      <c r="R2089" s="7" t="n"/>
      <c r="U2089">
        <f>IF($C2089="","",IF($AJ2089=1,0,IF($AI2089=1,Settings!$C$6,Settings!$C$7))*100)</f>
        <v/>
      </c>
      <c r="V2089" s="7">
        <f>IF($C2089="","",R2089*U2089/100)</f>
        <v/>
      </c>
      <c r="W2089" s="7">
        <f>IF($C2089="","",R2089-V2089)</f>
        <v/>
      </c>
      <c r="X2089" s="7">
        <f>IF($C2089="","",W2089-K2089)</f>
        <v/>
      </c>
      <c r="AB2089" s="7" t="n"/>
      <c r="AE2089" s="11" t="n"/>
      <c r="AG2089">
        <f>IF($C2089="","",IF(COUNTIF($C$2:$C2089,$C2089)=1,1,0))</f>
        <v/>
      </c>
      <c r="AH2089">
        <f>IF($AG2089=1,SUMPRODUCT(--($AK$2:$AK$6001&lt;$AK2089))+1,"")</f>
        <v/>
      </c>
      <c r="AI2089">
        <f>IF($C2089="","",IF(OR($N2089=TRUE(),$N2089="TRUE"),1,0))</f>
        <v/>
      </c>
      <c r="AJ2089">
        <f>IF($C2089="","",IF($T2089="Yes",1,0))</f>
        <v/>
      </c>
      <c r="AK2089">
        <f>IF($AG2089=1,IFERROR(IF(VALUE($C2089)&lt;100000000,VALUE($C2089),1000000000),IFERROR(IF(VALUE(MID($C2089,2,20))&lt;100000000,VALUE(MID($C2089,2,20)),1000000000),1000000000))+ROW()/100000,"")</f>
        <v/>
      </c>
    </row>
    <row r="2090">
      <c r="D2090" s="11" t="n"/>
      <c r="K2090" s="7">
        <f>IF($C2090="","",J2090*W2090/100)</f>
        <v/>
      </c>
      <c r="Q2090" s="7" t="n"/>
      <c r="R2090" s="7" t="n"/>
      <c r="U2090">
        <f>IF($C2090="","",IF($AJ2090=1,0,IF($AI2090=1,Settings!$C$6,Settings!$C$7))*100)</f>
        <v/>
      </c>
      <c r="V2090" s="7">
        <f>IF($C2090="","",R2090*U2090/100)</f>
        <v/>
      </c>
      <c r="W2090" s="7">
        <f>IF($C2090="","",R2090-V2090)</f>
        <v/>
      </c>
      <c r="X2090" s="7">
        <f>IF($C2090="","",W2090-K2090)</f>
        <v/>
      </c>
      <c r="AB2090" s="7" t="n"/>
      <c r="AE2090" s="11" t="n"/>
      <c r="AG2090">
        <f>IF($C2090="","",IF(COUNTIF($C$2:$C2090,$C2090)=1,1,0))</f>
        <v/>
      </c>
      <c r="AH2090">
        <f>IF($AG2090=1,SUMPRODUCT(--($AK$2:$AK$6001&lt;$AK2090))+1,"")</f>
        <v/>
      </c>
      <c r="AI2090">
        <f>IF($C2090="","",IF(OR($N2090=TRUE(),$N2090="TRUE"),1,0))</f>
        <v/>
      </c>
      <c r="AJ2090">
        <f>IF($C2090="","",IF($T2090="Yes",1,0))</f>
        <v/>
      </c>
      <c r="AK2090">
        <f>IF($AG2090=1,IFERROR(IF(VALUE($C2090)&lt;100000000,VALUE($C2090),1000000000),IFERROR(IF(VALUE(MID($C2090,2,20))&lt;100000000,VALUE(MID($C2090,2,20)),1000000000),1000000000))+ROW()/100000,"")</f>
        <v/>
      </c>
    </row>
    <row r="2091">
      <c r="D2091" s="11" t="n"/>
      <c r="K2091" s="7">
        <f>IF($C2091="","",J2091*W2091/100)</f>
        <v/>
      </c>
      <c r="Q2091" s="7" t="n"/>
      <c r="R2091" s="7" t="n"/>
      <c r="U2091">
        <f>IF($C2091="","",IF($AJ2091=1,0,IF($AI2091=1,Settings!$C$6,Settings!$C$7))*100)</f>
        <v/>
      </c>
      <c r="V2091" s="7">
        <f>IF($C2091="","",R2091*U2091/100)</f>
        <v/>
      </c>
      <c r="W2091" s="7">
        <f>IF($C2091="","",R2091-V2091)</f>
        <v/>
      </c>
      <c r="X2091" s="7">
        <f>IF($C2091="","",W2091-K2091)</f>
        <v/>
      </c>
      <c r="AB2091" s="7" t="n"/>
      <c r="AE2091" s="11" t="n"/>
      <c r="AG2091">
        <f>IF($C2091="","",IF(COUNTIF($C$2:$C2091,$C2091)=1,1,0))</f>
        <v/>
      </c>
      <c r="AH2091">
        <f>IF($AG2091=1,SUMPRODUCT(--($AK$2:$AK$6001&lt;$AK2091))+1,"")</f>
        <v/>
      </c>
      <c r="AI2091">
        <f>IF($C2091="","",IF(OR($N2091=TRUE(),$N2091="TRUE"),1,0))</f>
        <v/>
      </c>
      <c r="AJ2091">
        <f>IF($C2091="","",IF($T2091="Yes",1,0))</f>
        <v/>
      </c>
      <c r="AK2091">
        <f>IF($AG2091=1,IFERROR(IF(VALUE($C2091)&lt;100000000,VALUE($C2091),1000000000),IFERROR(IF(VALUE(MID($C2091,2,20))&lt;100000000,VALUE(MID($C2091,2,20)),1000000000),1000000000))+ROW()/100000,"")</f>
        <v/>
      </c>
    </row>
    <row r="2092">
      <c r="D2092" s="11" t="n"/>
      <c r="K2092" s="7">
        <f>IF($C2092="","",J2092*W2092/100)</f>
        <v/>
      </c>
      <c r="Q2092" s="7" t="n"/>
      <c r="R2092" s="7" t="n"/>
      <c r="U2092">
        <f>IF($C2092="","",IF($AJ2092=1,0,IF($AI2092=1,Settings!$C$6,Settings!$C$7))*100)</f>
        <v/>
      </c>
      <c r="V2092" s="7">
        <f>IF($C2092="","",R2092*U2092/100)</f>
        <v/>
      </c>
      <c r="W2092" s="7">
        <f>IF($C2092="","",R2092-V2092)</f>
        <v/>
      </c>
      <c r="X2092" s="7">
        <f>IF($C2092="","",W2092-K2092)</f>
        <v/>
      </c>
      <c r="AB2092" s="7" t="n"/>
      <c r="AE2092" s="11" t="n"/>
      <c r="AG2092">
        <f>IF($C2092="","",IF(COUNTIF($C$2:$C2092,$C2092)=1,1,0))</f>
        <v/>
      </c>
      <c r="AH2092">
        <f>IF($AG2092=1,SUMPRODUCT(--($AK$2:$AK$6001&lt;$AK2092))+1,"")</f>
        <v/>
      </c>
      <c r="AI2092">
        <f>IF($C2092="","",IF(OR($N2092=TRUE(),$N2092="TRUE"),1,0))</f>
        <v/>
      </c>
      <c r="AJ2092">
        <f>IF($C2092="","",IF($T2092="Yes",1,0))</f>
        <v/>
      </c>
      <c r="AK2092">
        <f>IF($AG2092=1,IFERROR(IF(VALUE($C2092)&lt;100000000,VALUE($C2092),1000000000),IFERROR(IF(VALUE(MID($C2092,2,20))&lt;100000000,VALUE(MID($C2092,2,20)),1000000000),1000000000))+ROW()/100000,"")</f>
        <v/>
      </c>
    </row>
    <row r="2093">
      <c r="D2093" s="11" t="n"/>
      <c r="K2093" s="7">
        <f>IF($C2093="","",J2093*W2093/100)</f>
        <v/>
      </c>
      <c r="Q2093" s="7" t="n"/>
      <c r="R2093" s="7" t="n"/>
      <c r="U2093">
        <f>IF($C2093="","",IF($AJ2093=1,0,IF($AI2093=1,Settings!$C$6,Settings!$C$7))*100)</f>
        <v/>
      </c>
      <c r="V2093" s="7">
        <f>IF($C2093="","",R2093*U2093/100)</f>
        <v/>
      </c>
      <c r="W2093" s="7">
        <f>IF($C2093="","",R2093-V2093)</f>
        <v/>
      </c>
      <c r="X2093" s="7">
        <f>IF($C2093="","",W2093-K2093)</f>
        <v/>
      </c>
      <c r="AB2093" s="7" t="n"/>
      <c r="AE2093" s="11" t="n"/>
      <c r="AG2093">
        <f>IF($C2093="","",IF(COUNTIF($C$2:$C2093,$C2093)=1,1,0))</f>
        <v/>
      </c>
      <c r="AH2093">
        <f>IF($AG2093=1,SUMPRODUCT(--($AK$2:$AK$6001&lt;$AK2093))+1,"")</f>
        <v/>
      </c>
      <c r="AI2093">
        <f>IF($C2093="","",IF(OR($N2093=TRUE(),$N2093="TRUE"),1,0))</f>
        <v/>
      </c>
      <c r="AJ2093">
        <f>IF($C2093="","",IF($T2093="Yes",1,0))</f>
        <v/>
      </c>
      <c r="AK2093">
        <f>IF($AG2093=1,IFERROR(IF(VALUE($C2093)&lt;100000000,VALUE($C2093),1000000000),IFERROR(IF(VALUE(MID($C2093,2,20))&lt;100000000,VALUE(MID($C2093,2,20)),1000000000),1000000000))+ROW()/100000,"")</f>
        <v/>
      </c>
    </row>
    <row r="2094">
      <c r="D2094" s="11" t="n"/>
      <c r="K2094" s="7">
        <f>IF($C2094="","",J2094*W2094/100)</f>
        <v/>
      </c>
      <c r="Q2094" s="7" t="n"/>
      <c r="R2094" s="7" t="n"/>
      <c r="U2094">
        <f>IF($C2094="","",IF($AJ2094=1,0,IF($AI2094=1,Settings!$C$6,Settings!$C$7))*100)</f>
        <v/>
      </c>
      <c r="V2094" s="7">
        <f>IF($C2094="","",R2094*U2094/100)</f>
        <v/>
      </c>
      <c r="W2094" s="7">
        <f>IF($C2094="","",R2094-V2094)</f>
        <v/>
      </c>
      <c r="X2094" s="7">
        <f>IF($C2094="","",W2094-K2094)</f>
        <v/>
      </c>
      <c r="AB2094" s="7" t="n"/>
      <c r="AE2094" s="11" t="n"/>
      <c r="AG2094">
        <f>IF($C2094="","",IF(COUNTIF($C$2:$C2094,$C2094)=1,1,0))</f>
        <v/>
      </c>
      <c r="AH2094">
        <f>IF($AG2094=1,SUMPRODUCT(--($AK$2:$AK$6001&lt;$AK2094))+1,"")</f>
        <v/>
      </c>
      <c r="AI2094">
        <f>IF($C2094="","",IF(OR($N2094=TRUE(),$N2094="TRUE"),1,0))</f>
        <v/>
      </c>
      <c r="AJ2094">
        <f>IF($C2094="","",IF($T2094="Yes",1,0))</f>
        <v/>
      </c>
      <c r="AK2094">
        <f>IF($AG2094=1,IFERROR(IF(VALUE($C2094)&lt;100000000,VALUE($C2094),1000000000),IFERROR(IF(VALUE(MID($C2094,2,20))&lt;100000000,VALUE(MID($C2094,2,20)),1000000000),1000000000))+ROW()/100000,"")</f>
        <v/>
      </c>
    </row>
    <row r="2095">
      <c r="D2095" s="11" t="n"/>
      <c r="K2095" s="7">
        <f>IF($C2095="","",J2095*W2095/100)</f>
        <v/>
      </c>
      <c r="Q2095" s="7" t="n"/>
      <c r="R2095" s="7" t="n"/>
      <c r="U2095">
        <f>IF($C2095="","",IF($AJ2095=1,0,IF($AI2095=1,Settings!$C$6,Settings!$C$7))*100)</f>
        <v/>
      </c>
      <c r="V2095" s="7">
        <f>IF($C2095="","",R2095*U2095/100)</f>
        <v/>
      </c>
      <c r="W2095" s="7">
        <f>IF($C2095="","",R2095-V2095)</f>
        <v/>
      </c>
      <c r="X2095" s="7">
        <f>IF($C2095="","",W2095-K2095)</f>
        <v/>
      </c>
      <c r="AB2095" s="7" t="n"/>
      <c r="AE2095" s="11" t="n"/>
      <c r="AG2095">
        <f>IF($C2095="","",IF(COUNTIF($C$2:$C2095,$C2095)=1,1,0))</f>
        <v/>
      </c>
      <c r="AH2095">
        <f>IF($AG2095=1,SUMPRODUCT(--($AK$2:$AK$6001&lt;$AK2095))+1,"")</f>
        <v/>
      </c>
      <c r="AI2095">
        <f>IF($C2095="","",IF(OR($N2095=TRUE(),$N2095="TRUE"),1,0))</f>
        <v/>
      </c>
      <c r="AJ2095">
        <f>IF($C2095="","",IF($T2095="Yes",1,0))</f>
        <v/>
      </c>
      <c r="AK2095">
        <f>IF($AG2095=1,IFERROR(IF(VALUE($C2095)&lt;100000000,VALUE($C2095),1000000000),IFERROR(IF(VALUE(MID($C2095,2,20))&lt;100000000,VALUE(MID($C2095,2,20)),1000000000),1000000000))+ROW()/100000,"")</f>
        <v/>
      </c>
    </row>
    <row r="2096">
      <c r="D2096" s="11" t="n"/>
      <c r="K2096" s="7">
        <f>IF($C2096="","",J2096*W2096/100)</f>
        <v/>
      </c>
      <c r="Q2096" s="7" t="n"/>
      <c r="R2096" s="7" t="n"/>
      <c r="U2096">
        <f>IF($C2096="","",IF($AJ2096=1,0,IF($AI2096=1,Settings!$C$6,Settings!$C$7))*100)</f>
        <v/>
      </c>
      <c r="V2096" s="7">
        <f>IF($C2096="","",R2096*U2096/100)</f>
        <v/>
      </c>
      <c r="W2096" s="7">
        <f>IF($C2096="","",R2096-V2096)</f>
        <v/>
      </c>
      <c r="X2096" s="7">
        <f>IF($C2096="","",W2096-K2096)</f>
        <v/>
      </c>
      <c r="AB2096" s="7" t="n"/>
      <c r="AE2096" s="11" t="n"/>
      <c r="AG2096">
        <f>IF($C2096="","",IF(COUNTIF($C$2:$C2096,$C2096)=1,1,0))</f>
        <v/>
      </c>
      <c r="AH2096">
        <f>IF($AG2096=1,SUMPRODUCT(--($AK$2:$AK$6001&lt;$AK2096))+1,"")</f>
        <v/>
      </c>
      <c r="AI2096">
        <f>IF($C2096="","",IF(OR($N2096=TRUE(),$N2096="TRUE"),1,0))</f>
        <v/>
      </c>
      <c r="AJ2096">
        <f>IF($C2096="","",IF($T2096="Yes",1,0))</f>
        <v/>
      </c>
      <c r="AK2096">
        <f>IF($AG2096=1,IFERROR(IF(VALUE($C2096)&lt;100000000,VALUE($C2096),1000000000),IFERROR(IF(VALUE(MID($C2096,2,20))&lt;100000000,VALUE(MID($C2096,2,20)),1000000000),1000000000))+ROW()/100000,"")</f>
        <v/>
      </c>
    </row>
    <row r="2097">
      <c r="D2097" s="11" t="n"/>
      <c r="K2097" s="7">
        <f>IF($C2097="","",J2097*W2097/100)</f>
        <v/>
      </c>
      <c r="Q2097" s="7" t="n"/>
      <c r="R2097" s="7" t="n"/>
      <c r="U2097">
        <f>IF($C2097="","",IF($AJ2097=1,0,IF($AI2097=1,Settings!$C$6,Settings!$C$7))*100)</f>
        <v/>
      </c>
      <c r="V2097" s="7">
        <f>IF($C2097="","",R2097*U2097/100)</f>
        <v/>
      </c>
      <c r="W2097" s="7">
        <f>IF($C2097="","",R2097-V2097)</f>
        <v/>
      </c>
      <c r="X2097" s="7">
        <f>IF($C2097="","",W2097-K2097)</f>
        <v/>
      </c>
      <c r="AB2097" s="7" t="n"/>
      <c r="AE2097" s="11" t="n"/>
      <c r="AG2097">
        <f>IF($C2097="","",IF(COUNTIF($C$2:$C2097,$C2097)=1,1,0))</f>
        <v/>
      </c>
      <c r="AH2097">
        <f>IF($AG2097=1,SUMPRODUCT(--($AK$2:$AK$6001&lt;$AK2097))+1,"")</f>
        <v/>
      </c>
      <c r="AI2097">
        <f>IF($C2097="","",IF(OR($N2097=TRUE(),$N2097="TRUE"),1,0))</f>
        <v/>
      </c>
      <c r="AJ2097">
        <f>IF($C2097="","",IF($T2097="Yes",1,0))</f>
        <v/>
      </c>
      <c r="AK2097">
        <f>IF($AG2097=1,IFERROR(IF(VALUE($C2097)&lt;100000000,VALUE($C2097),1000000000),IFERROR(IF(VALUE(MID($C2097,2,20))&lt;100000000,VALUE(MID($C2097,2,20)),1000000000),1000000000))+ROW()/100000,"")</f>
        <v/>
      </c>
    </row>
    <row r="2098">
      <c r="D2098" s="11" t="n"/>
      <c r="K2098" s="7">
        <f>IF($C2098="","",J2098*W2098/100)</f>
        <v/>
      </c>
      <c r="Q2098" s="7" t="n"/>
      <c r="R2098" s="7" t="n"/>
      <c r="U2098">
        <f>IF($C2098="","",IF($AJ2098=1,0,IF($AI2098=1,Settings!$C$6,Settings!$C$7))*100)</f>
        <v/>
      </c>
      <c r="V2098" s="7">
        <f>IF($C2098="","",R2098*U2098/100)</f>
        <v/>
      </c>
      <c r="W2098" s="7">
        <f>IF($C2098="","",R2098-V2098)</f>
        <v/>
      </c>
      <c r="X2098" s="7">
        <f>IF($C2098="","",W2098-K2098)</f>
        <v/>
      </c>
      <c r="AB2098" s="7" t="n"/>
      <c r="AE2098" s="11" t="n"/>
      <c r="AG2098">
        <f>IF($C2098="","",IF(COUNTIF($C$2:$C2098,$C2098)=1,1,0))</f>
        <v/>
      </c>
      <c r="AH2098">
        <f>IF($AG2098=1,SUMPRODUCT(--($AK$2:$AK$6001&lt;$AK2098))+1,"")</f>
        <v/>
      </c>
      <c r="AI2098">
        <f>IF($C2098="","",IF(OR($N2098=TRUE(),$N2098="TRUE"),1,0))</f>
        <v/>
      </c>
      <c r="AJ2098">
        <f>IF($C2098="","",IF($T2098="Yes",1,0))</f>
        <v/>
      </c>
      <c r="AK2098">
        <f>IF($AG2098=1,IFERROR(IF(VALUE($C2098)&lt;100000000,VALUE($C2098),1000000000),IFERROR(IF(VALUE(MID($C2098,2,20))&lt;100000000,VALUE(MID($C2098,2,20)),1000000000),1000000000))+ROW()/100000,"")</f>
        <v/>
      </c>
    </row>
    <row r="2099">
      <c r="D2099" s="11" t="n"/>
      <c r="K2099" s="7">
        <f>IF($C2099="","",J2099*W2099/100)</f>
        <v/>
      </c>
      <c r="Q2099" s="7" t="n"/>
      <c r="R2099" s="7" t="n"/>
      <c r="U2099">
        <f>IF($C2099="","",IF($AJ2099=1,0,IF($AI2099=1,Settings!$C$6,Settings!$C$7))*100)</f>
        <v/>
      </c>
      <c r="V2099" s="7">
        <f>IF($C2099="","",R2099*U2099/100)</f>
        <v/>
      </c>
      <c r="W2099" s="7">
        <f>IF($C2099="","",R2099-V2099)</f>
        <v/>
      </c>
      <c r="X2099" s="7">
        <f>IF($C2099="","",W2099-K2099)</f>
        <v/>
      </c>
      <c r="AB2099" s="7" t="n"/>
      <c r="AE2099" s="11" t="n"/>
      <c r="AG2099">
        <f>IF($C2099="","",IF(COUNTIF($C$2:$C2099,$C2099)=1,1,0))</f>
        <v/>
      </c>
      <c r="AH2099">
        <f>IF($AG2099=1,SUMPRODUCT(--($AK$2:$AK$6001&lt;$AK2099))+1,"")</f>
        <v/>
      </c>
      <c r="AI2099">
        <f>IF($C2099="","",IF(OR($N2099=TRUE(),$N2099="TRUE"),1,0))</f>
        <v/>
      </c>
      <c r="AJ2099">
        <f>IF($C2099="","",IF($T2099="Yes",1,0))</f>
        <v/>
      </c>
      <c r="AK2099">
        <f>IF($AG2099=1,IFERROR(IF(VALUE($C2099)&lt;100000000,VALUE($C2099),1000000000),IFERROR(IF(VALUE(MID($C2099,2,20))&lt;100000000,VALUE(MID($C2099,2,20)),1000000000),1000000000))+ROW()/100000,"")</f>
        <v/>
      </c>
    </row>
    <row r="2100">
      <c r="D2100" s="11" t="n"/>
      <c r="K2100" s="7">
        <f>IF($C2100="","",J2100*W2100/100)</f>
        <v/>
      </c>
      <c r="Q2100" s="7" t="n"/>
      <c r="R2100" s="7" t="n"/>
      <c r="U2100">
        <f>IF($C2100="","",IF($AJ2100=1,0,IF($AI2100=1,Settings!$C$6,Settings!$C$7))*100)</f>
        <v/>
      </c>
      <c r="V2100" s="7">
        <f>IF($C2100="","",R2100*U2100/100)</f>
        <v/>
      </c>
      <c r="W2100" s="7">
        <f>IF($C2100="","",R2100-V2100)</f>
        <v/>
      </c>
      <c r="X2100" s="7">
        <f>IF($C2100="","",W2100-K2100)</f>
        <v/>
      </c>
      <c r="AB2100" s="7" t="n"/>
      <c r="AE2100" s="11" t="n"/>
      <c r="AG2100">
        <f>IF($C2100="","",IF(COUNTIF($C$2:$C2100,$C2100)=1,1,0))</f>
        <v/>
      </c>
      <c r="AH2100">
        <f>IF($AG2100=1,SUMPRODUCT(--($AK$2:$AK$6001&lt;$AK2100))+1,"")</f>
        <v/>
      </c>
      <c r="AI2100">
        <f>IF($C2100="","",IF(OR($N2100=TRUE(),$N2100="TRUE"),1,0))</f>
        <v/>
      </c>
      <c r="AJ2100">
        <f>IF($C2100="","",IF($T2100="Yes",1,0))</f>
        <v/>
      </c>
      <c r="AK2100">
        <f>IF($AG2100=1,IFERROR(IF(VALUE($C2100)&lt;100000000,VALUE($C2100),1000000000),IFERROR(IF(VALUE(MID($C2100,2,20))&lt;100000000,VALUE(MID($C2100,2,20)),1000000000),1000000000))+ROW()/100000,"")</f>
        <v/>
      </c>
    </row>
    <row r="2101">
      <c r="D2101" s="11" t="n"/>
      <c r="K2101" s="7">
        <f>IF($C2101="","",J2101*W2101/100)</f>
        <v/>
      </c>
      <c r="Q2101" s="7" t="n"/>
      <c r="R2101" s="7" t="n"/>
      <c r="U2101">
        <f>IF($C2101="","",IF($AJ2101=1,0,IF($AI2101=1,Settings!$C$6,Settings!$C$7))*100)</f>
        <v/>
      </c>
      <c r="V2101" s="7">
        <f>IF($C2101="","",R2101*U2101/100)</f>
        <v/>
      </c>
      <c r="W2101" s="7">
        <f>IF($C2101="","",R2101-V2101)</f>
        <v/>
      </c>
      <c r="X2101" s="7">
        <f>IF($C2101="","",W2101-K2101)</f>
        <v/>
      </c>
      <c r="AB2101" s="7" t="n"/>
      <c r="AE2101" s="11" t="n"/>
      <c r="AG2101">
        <f>IF($C2101="","",IF(COUNTIF($C$2:$C2101,$C2101)=1,1,0))</f>
        <v/>
      </c>
      <c r="AH2101">
        <f>IF($AG2101=1,SUMPRODUCT(--($AK$2:$AK$6001&lt;$AK2101))+1,"")</f>
        <v/>
      </c>
      <c r="AI2101">
        <f>IF($C2101="","",IF(OR($N2101=TRUE(),$N2101="TRUE"),1,0))</f>
        <v/>
      </c>
      <c r="AJ2101">
        <f>IF($C2101="","",IF($T2101="Yes",1,0))</f>
        <v/>
      </c>
      <c r="AK2101">
        <f>IF($AG2101=1,IFERROR(IF(VALUE($C2101)&lt;100000000,VALUE($C2101),1000000000),IFERROR(IF(VALUE(MID($C2101,2,20))&lt;100000000,VALUE(MID($C2101,2,20)),1000000000),1000000000))+ROW()/100000,"")</f>
        <v/>
      </c>
    </row>
    <row r="2102">
      <c r="D2102" s="11" t="n"/>
      <c r="K2102" s="7">
        <f>IF($C2102="","",J2102*W2102/100)</f>
        <v/>
      </c>
      <c r="Q2102" s="7" t="n"/>
      <c r="R2102" s="7" t="n"/>
      <c r="U2102">
        <f>IF($C2102="","",IF($AJ2102=1,0,IF($AI2102=1,Settings!$C$6,Settings!$C$7))*100)</f>
        <v/>
      </c>
      <c r="V2102" s="7">
        <f>IF($C2102="","",R2102*U2102/100)</f>
        <v/>
      </c>
      <c r="W2102" s="7">
        <f>IF($C2102="","",R2102-V2102)</f>
        <v/>
      </c>
      <c r="X2102" s="7">
        <f>IF($C2102="","",W2102-K2102)</f>
        <v/>
      </c>
      <c r="AB2102" s="7" t="n"/>
      <c r="AE2102" s="11" t="n"/>
      <c r="AG2102">
        <f>IF($C2102="","",IF(COUNTIF($C$2:$C2102,$C2102)=1,1,0))</f>
        <v/>
      </c>
      <c r="AH2102">
        <f>IF($AG2102=1,SUMPRODUCT(--($AK$2:$AK$6001&lt;$AK2102))+1,"")</f>
        <v/>
      </c>
      <c r="AI2102">
        <f>IF($C2102="","",IF(OR($N2102=TRUE(),$N2102="TRUE"),1,0))</f>
        <v/>
      </c>
      <c r="AJ2102">
        <f>IF($C2102="","",IF($T2102="Yes",1,0))</f>
        <v/>
      </c>
      <c r="AK2102">
        <f>IF($AG2102=1,IFERROR(IF(VALUE($C2102)&lt;100000000,VALUE($C2102),1000000000),IFERROR(IF(VALUE(MID($C2102,2,20))&lt;100000000,VALUE(MID($C2102,2,20)),1000000000),1000000000))+ROW()/100000,"")</f>
        <v/>
      </c>
    </row>
    <row r="2103">
      <c r="D2103" s="11" t="n"/>
      <c r="K2103" s="7">
        <f>IF($C2103="","",J2103*W2103/100)</f>
        <v/>
      </c>
      <c r="Q2103" s="7" t="n"/>
      <c r="R2103" s="7" t="n"/>
      <c r="U2103">
        <f>IF($C2103="","",IF($AJ2103=1,0,IF($AI2103=1,Settings!$C$6,Settings!$C$7))*100)</f>
        <v/>
      </c>
      <c r="V2103" s="7">
        <f>IF($C2103="","",R2103*U2103/100)</f>
        <v/>
      </c>
      <c r="W2103" s="7">
        <f>IF($C2103="","",R2103-V2103)</f>
        <v/>
      </c>
      <c r="X2103" s="7">
        <f>IF($C2103="","",W2103-K2103)</f>
        <v/>
      </c>
      <c r="AB2103" s="7" t="n"/>
      <c r="AE2103" s="11" t="n"/>
      <c r="AG2103">
        <f>IF($C2103="","",IF(COUNTIF($C$2:$C2103,$C2103)=1,1,0))</f>
        <v/>
      </c>
      <c r="AH2103">
        <f>IF($AG2103=1,SUMPRODUCT(--($AK$2:$AK$6001&lt;$AK2103))+1,"")</f>
        <v/>
      </c>
      <c r="AI2103">
        <f>IF($C2103="","",IF(OR($N2103=TRUE(),$N2103="TRUE"),1,0))</f>
        <v/>
      </c>
      <c r="AJ2103">
        <f>IF($C2103="","",IF($T2103="Yes",1,0))</f>
        <v/>
      </c>
      <c r="AK2103">
        <f>IF($AG2103=1,IFERROR(IF(VALUE($C2103)&lt;100000000,VALUE($C2103),1000000000),IFERROR(IF(VALUE(MID($C2103,2,20))&lt;100000000,VALUE(MID($C2103,2,20)),1000000000),1000000000))+ROW()/100000,"")</f>
        <v/>
      </c>
    </row>
    <row r="2104">
      <c r="D2104" s="11" t="n"/>
      <c r="K2104" s="7">
        <f>IF($C2104="","",J2104*W2104/100)</f>
        <v/>
      </c>
      <c r="Q2104" s="7" t="n"/>
      <c r="R2104" s="7" t="n"/>
      <c r="U2104">
        <f>IF($C2104="","",IF($AJ2104=1,0,IF($AI2104=1,Settings!$C$6,Settings!$C$7))*100)</f>
        <v/>
      </c>
      <c r="V2104" s="7">
        <f>IF($C2104="","",R2104*U2104/100)</f>
        <v/>
      </c>
      <c r="W2104" s="7">
        <f>IF($C2104="","",R2104-V2104)</f>
        <v/>
      </c>
      <c r="X2104" s="7">
        <f>IF($C2104="","",W2104-K2104)</f>
        <v/>
      </c>
      <c r="AB2104" s="7" t="n"/>
      <c r="AE2104" s="11" t="n"/>
      <c r="AG2104">
        <f>IF($C2104="","",IF(COUNTIF($C$2:$C2104,$C2104)=1,1,0))</f>
        <v/>
      </c>
      <c r="AH2104">
        <f>IF($AG2104=1,SUMPRODUCT(--($AK$2:$AK$6001&lt;$AK2104))+1,"")</f>
        <v/>
      </c>
      <c r="AI2104">
        <f>IF($C2104="","",IF(OR($N2104=TRUE(),$N2104="TRUE"),1,0))</f>
        <v/>
      </c>
      <c r="AJ2104">
        <f>IF($C2104="","",IF($T2104="Yes",1,0))</f>
        <v/>
      </c>
      <c r="AK2104">
        <f>IF($AG2104=1,IFERROR(IF(VALUE($C2104)&lt;100000000,VALUE($C2104),1000000000),IFERROR(IF(VALUE(MID($C2104,2,20))&lt;100000000,VALUE(MID($C2104,2,20)),1000000000),1000000000))+ROW()/100000,"")</f>
        <v/>
      </c>
    </row>
    <row r="2105">
      <c r="D2105" s="11" t="n"/>
      <c r="K2105" s="7">
        <f>IF($C2105="","",J2105*W2105/100)</f>
        <v/>
      </c>
      <c r="Q2105" s="7" t="n"/>
      <c r="R2105" s="7" t="n"/>
      <c r="U2105">
        <f>IF($C2105="","",IF($AJ2105=1,0,IF($AI2105=1,Settings!$C$6,Settings!$C$7))*100)</f>
        <v/>
      </c>
      <c r="V2105" s="7">
        <f>IF($C2105="","",R2105*U2105/100)</f>
        <v/>
      </c>
      <c r="W2105" s="7">
        <f>IF($C2105="","",R2105-V2105)</f>
        <v/>
      </c>
      <c r="X2105" s="7">
        <f>IF($C2105="","",W2105-K2105)</f>
        <v/>
      </c>
      <c r="AB2105" s="7" t="n"/>
      <c r="AE2105" s="11" t="n"/>
      <c r="AG2105">
        <f>IF($C2105="","",IF(COUNTIF($C$2:$C2105,$C2105)=1,1,0))</f>
        <v/>
      </c>
      <c r="AH2105">
        <f>IF($AG2105=1,SUMPRODUCT(--($AK$2:$AK$6001&lt;$AK2105))+1,"")</f>
        <v/>
      </c>
      <c r="AI2105">
        <f>IF($C2105="","",IF(OR($N2105=TRUE(),$N2105="TRUE"),1,0))</f>
        <v/>
      </c>
      <c r="AJ2105">
        <f>IF($C2105="","",IF($T2105="Yes",1,0))</f>
        <v/>
      </c>
      <c r="AK2105">
        <f>IF($AG2105=1,IFERROR(IF(VALUE($C2105)&lt;100000000,VALUE($C2105),1000000000),IFERROR(IF(VALUE(MID($C2105,2,20))&lt;100000000,VALUE(MID($C2105,2,20)),1000000000),1000000000))+ROW()/100000,"")</f>
        <v/>
      </c>
    </row>
    <row r="2106">
      <c r="D2106" s="11" t="n"/>
      <c r="K2106" s="7">
        <f>IF($C2106="","",J2106*W2106/100)</f>
        <v/>
      </c>
      <c r="Q2106" s="7" t="n"/>
      <c r="R2106" s="7" t="n"/>
      <c r="U2106">
        <f>IF($C2106="","",IF($AJ2106=1,0,IF($AI2106=1,Settings!$C$6,Settings!$C$7))*100)</f>
        <v/>
      </c>
      <c r="V2106" s="7">
        <f>IF($C2106="","",R2106*U2106/100)</f>
        <v/>
      </c>
      <c r="W2106" s="7">
        <f>IF($C2106="","",R2106-V2106)</f>
        <v/>
      </c>
      <c r="X2106" s="7">
        <f>IF($C2106="","",W2106-K2106)</f>
        <v/>
      </c>
      <c r="AB2106" s="7" t="n"/>
      <c r="AE2106" s="11" t="n"/>
      <c r="AG2106">
        <f>IF($C2106="","",IF(COUNTIF($C$2:$C2106,$C2106)=1,1,0))</f>
        <v/>
      </c>
      <c r="AH2106">
        <f>IF($AG2106=1,SUMPRODUCT(--($AK$2:$AK$6001&lt;$AK2106))+1,"")</f>
        <v/>
      </c>
      <c r="AI2106">
        <f>IF($C2106="","",IF(OR($N2106=TRUE(),$N2106="TRUE"),1,0))</f>
        <v/>
      </c>
      <c r="AJ2106">
        <f>IF($C2106="","",IF($T2106="Yes",1,0))</f>
        <v/>
      </c>
      <c r="AK2106">
        <f>IF($AG2106=1,IFERROR(IF(VALUE($C2106)&lt;100000000,VALUE($C2106),1000000000),IFERROR(IF(VALUE(MID($C2106,2,20))&lt;100000000,VALUE(MID($C2106,2,20)),1000000000),1000000000))+ROW()/100000,"")</f>
        <v/>
      </c>
    </row>
    <row r="2107">
      <c r="D2107" s="11" t="n"/>
      <c r="K2107" s="7">
        <f>IF($C2107="","",J2107*W2107/100)</f>
        <v/>
      </c>
      <c r="Q2107" s="7" t="n"/>
      <c r="R2107" s="7" t="n"/>
      <c r="U2107">
        <f>IF($C2107="","",IF($AJ2107=1,0,IF($AI2107=1,Settings!$C$6,Settings!$C$7))*100)</f>
        <v/>
      </c>
      <c r="V2107" s="7">
        <f>IF($C2107="","",R2107*U2107/100)</f>
        <v/>
      </c>
      <c r="W2107" s="7">
        <f>IF($C2107="","",R2107-V2107)</f>
        <v/>
      </c>
      <c r="X2107" s="7">
        <f>IF($C2107="","",W2107-K2107)</f>
        <v/>
      </c>
      <c r="AB2107" s="7" t="n"/>
      <c r="AE2107" s="11" t="n"/>
      <c r="AG2107">
        <f>IF($C2107="","",IF(COUNTIF($C$2:$C2107,$C2107)=1,1,0))</f>
        <v/>
      </c>
      <c r="AH2107">
        <f>IF($AG2107=1,SUMPRODUCT(--($AK$2:$AK$6001&lt;$AK2107))+1,"")</f>
        <v/>
      </c>
      <c r="AI2107">
        <f>IF($C2107="","",IF(OR($N2107=TRUE(),$N2107="TRUE"),1,0))</f>
        <v/>
      </c>
      <c r="AJ2107">
        <f>IF($C2107="","",IF($T2107="Yes",1,0))</f>
        <v/>
      </c>
      <c r="AK2107">
        <f>IF($AG2107=1,IFERROR(IF(VALUE($C2107)&lt;100000000,VALUE($C2107),1000000000),IFERROR(IF(VALUE(MID($C2107,2,20))&lt;100000000,VALUE(MID($C2107,2,20)),1000000000),1000000000))+ROW()/100000,"")</f>
        <v/>
      </c>
    </row>
    <row r="2108">
      <c r="D2108" s="11" t="n"/>
      <c r="K2108" s="7">
        <f>IF($C2108="","",J2108*W2108/100)</f>
        <v/>
      </c>
      <c r="Q2108" s="7" t="n"/>
      <c r="R2108" s="7" t="n"/>
      <c r="U2108">
        <f>IF($C2108="","",IF($AJ2108=1,0,IF($AI2108=1,Settings!$C$6,Settings!$C$7))*100)</f>
        <v/>
      </c>
      <c r="V2108" s="7">
        <f>IF($C2108="","",R2108*U2108/100)</f>
        <v/>
      </c>
      <c r="W2108" s="7">
        <f>IF($C2108="","",R2108-V2108)</f>
        <v/>
      </c>
      <c r="X2108" s="7">
        <f>IF($C2108="","",W2108-K2108)</f>
        <v/>
      </c>
      <c r="AB2108" s="7" t="n"/>
      <c r="AE2108" s="11" t="n"/>
      <c r="AG2108">
        <f>IF($C2108="","",IF(COUNTIF($C$2:$C2108,$C2108)=1,1,0))</f>
        <v/>
      </c>
      <c r="AH2108">
        <f>IF($AG2108=1,SUMPRODUCT(--($AK$2:$AK$6001&lt;$AK2108))+1,"")</f>
        <v/>
      </c>
      <c r="AI2108">
        <f>IF($C2108="","",IF(OR($N2108=TRUE(),$N2108="TRUE"),1,0))</f>
        <v/>
      </c>
      <c r="AJ2108">
        <f>IF($C2108="","",IF($T2108="Yes",1,0))</f>
        <v/>
      </c>
      <c r="AK2108">
        <f>IF($AG2108=1,IFERROR(IF(VALUE($C2108)&lt;100000000,VALUE($C2108),1000000000),IFERROR(IF(VALUE(MID($C2108,2,20))&lt;100000000,VALUE(MID($C2108,2,20)),1000000000),1000000000))+ROW()/100000,"")</f>
        <v/>
      </c>
    </row>
    <row r="2109">
      <c r="D2109" s="11" t="n"/>
      <c r="K2109" s="7">
        <f>IF($C2109="","",J2109*W2109/100)</f>
        <v/>
      </c>
      <c r="Q2109" s="7" t="n"/>
      <c r="R2109" s="7" t="n"/>
      <c r="U2109">
        <f>IF($C2109="","",IF($AJ2109=1,0,IF($AI2109=1,Settings!$C$6,Settings!$C$7))*100)</f>
        <v/>
      </c>
      <c r="V2109" s="7">
        <f>IF($C2109="","",R2109*U2109/100)</f>
        <v/>
      </c>
      <c r="W2109" s="7">
        <f>IF($C2109="","",R2109-V2109)</f>
        <v/>
      </c>
      <c r="X2109" s="7">
        <f>IF($C2109="","",W2109-K2109)</f>
        <v/>
      </c>
      <c r="AB2109" s="7" t="n"/>
      <c r="AE2109" s="11" t="n"/>
      <c r="AG2109">
        <f>IF($C2109="","",IF(COUNTIF($C$2:$C2109,$C2109)=1,1,0))</f>
        <v/>
      </c>
      <c r="AH2109">
        <f>IF($AG2109=1,SUMPRODUCT(--($AK$2:$AK$6001&lt;$AK2109))+1,"")</f>
        <v/>
      </c>
      <c r="AI2109">
        <f>IF($C2109="","",IF(OR($N2109=TRUE(),$N2109="TRUE"),1,0))</f>
        <v/>
      </c>
      <c r="AJ2109">
        <f>IF($C2109="","",IF($T2109="Yes",1,0))</f>
        <v/>
      </c>
      <c r="AK2109">
        <f>IF($AG2109=1,IFERROR(IF(VALUE($C2109)&lt;100000000,VALUE($C2109),1000000000),IFERROR(IF(VALUE(MID($C2109,2,20))&lt;100000000,VALUE(MID($C2109,2,20)),1000000000),1000000000))+ROW()/100000,"")</f>
        <v/>
      </c>
    </row>
    <row r="2110">
      <c r="D2110" s="11" t="n"/>
      <c r="K2110" s="7">
        <f>IF($C2110="","",J2110*W2110/100)</f>
        <v/>
      </c>
      <c r="Q2110" s="7" t="n"/>
      <c r="R2110" s="7" t="n"/>
      <c r="U2110">
        <f>IF($C2110="","",IF($AJ2110=1,0,IF($AI2110=1,Settings!$C$6,Settings!$C$7))*100)</f>
        <v/>
      </c>
      <c r="V2110" s="7">
        <f>IF($C2110="","",R2110*U2110/100)</f>
        <v/>
      </c>
      <c r="W2110" s="7">
        <f>IF($C2110="","",R2110-V2110)</f>
        <v/>
      </c>
      <c r="X2110" s="7">
        <f>IF($C2110="","",W2110-K2110)</f>
        <v/>
      </c>
      <c r="AB2110" s="7" t="n"/>
      <c r="AE2110" s="11" t="n"/>
      <c r="AG2110">
        <f>IF($C2110="","",IF(COUNTIF($C$2:$C2110,$C2110)=1,1,0))</f>
        <v/>
      </c>
      <c r="AH2110">
        <f>IF($AG2110=1,SUMPRODUCT(--($AK$2:$AK$6001&lt;$AK2110))+1,"")</f>
        <v/>
      </c>
      <c r="AI2110">
        <f>IF($C2110="","",IF(OR($N2110=TRUE(),$N2110="TRUE"),1,0))</f>
        <v/>
      </c>
      <c r="AJ2110">
        <f>IF($C2110="","",IF($T2110="Yes",1,0))</f>
        <v/>
      </c>
      <c r="AK2110">
        <f>IF($AG2110=1,IFERROR(IF(VALUE($C2110)&lt;100000000,VALUE($C2110),1000000000),IFERROR(IF(VALUE(MID($C2110,2,20))&lt;100000000,VALUE(MID($C2110,2,20)),1000000000),1000000000))+ROW()/100000,"")</f>
        <v/>
      </c>
    </row>
    <row r="2111">
      <c r="D2111" s="11" t="n"/>
      <c r="K2111" s="7">
        <f>IF($C2111="","",J2111*W2111/100)</f>
        <v/>
      </c>
      <c r="Q2111" s="7" t="n"/>
      <c r="R2111" s="7" t="n"/>
      <c r="U2111">
        <f>IF($C2111="","",IF($AJ2111=1,0,IF($AI2111=1,Settings!$C$6,Settings!$C$7))*100)</f>
        <v/>
      </c>
      <c r="V2111" s="7">
        <f>IF($C2111="","",R2111*U2111/100)</f>
        <v/>
      </c>
      <c r="W2111" s="7">
        <f>IF($C2111="","",R2111-V2111)</f>
        <v/>
      </c>
      <c r="X2111" s="7">
        <f>IF($C2111="","",W2111-K2111)</f>
        <v/>
      </c>
      <c r="AB2111" s="7" t="n"/>
      <c r="AE2111" s="11" t="n"/>
      <c r="AG2111">
        <f>IF($C2111="","",IF(COUNTIF($C$2:$C2111,$C2111)=1,1,0))</f>
        <v/>
      </c>
      <c r="AH2111">
        <f>IF($AG2111=1,SUMPRODUCT(--($AK$2:$AK$6001&lt;$AK2111))+1,"")</f>
        <v/>
      </c>
      <c r="AI2111">
        <f>IF($C2111="","",IF(OR($N2111=TRUE(),$N2111="TRUE"),1,0))</f>
        <v/>
      </c>
      <c r="AJ2111">
        <f>IF($C2111="","",IF($T2111="Yes",1,0))</f>
        <v/>
      </c>
      <c r="AK2111">
        <f>IF($AG2111=1,IFERROR(IF(VALUE($C2111)&lt;100000000,VALUE($C2111),1000000000),IFERROR(IF(VALUE(MID($C2111,2,20))&lt;100000000,VALUE(MID($C2111,2,20)),1000000000),1000000000))+ROW()/100000,"")</f>
        <v/>
      </c>
    </row>
    <row r="2112">
      <c r="D2112" s="11" t="n"/>
      <c r="K2112" s="7">
        <f>IF($C2112="","",J2112*W2112/100)</f>
        <v/>
      </c>
      <c r="Q2112" s="7" t="n"/>
      <c r="R2112" s="7" t="n"/>
      <c r="U2112">
        <f>IF($C2112="","",IF($AJ2112=1,0,IF($AI2112=1,Settings!$C$6,Settings!$C$7))*100)</f>
        <v/>
      </c>
      <c r="V2112" s="7">
        <f>IF($C2112="","",R2112*U2112/100)</f>
        <v/>
      </c>
      <c r="W2112" s="7">
        <f>IF($C2112="","",R2112-V2112)</f>
        <v/>
      </c>
      <c r="X2112" s="7">
        <f>IF($C2112="","",W2112-K2112)</f>
        <v/>
      </c>
      <c r="AB2112" s="7" t="n"/>
      <c r="AE2112" s="11" t="n"/>
      <c r="AG2112">
        <f>IF($C2112="","",IF(COUNTIF($C$2:$C2112,$C2112)=1,1,0))</f>
        <v/>
      </c>
      <c r="AH2112">
        <f>IF($AG2112=1,SUMPRODUCT(--($AK$2:$AK$6001&lt;$AK2112))+1,"")</f>
        <v/>
      </c>
      <c r="AI2112">
        <f>IF($C2112="","",IF(OR($N2112=TRUE(),$N2112="TRUE"),1,0))</f>
        <v/>
      </c>
      <c r="AJ2112">
        <f>IF($C2112="","",IF($T2112="Yes",1,0))</f>
        <v/>
      </c>
      <c r="AK2112">
        <f>IF($AG2112=1,IFERROR(IF(VALUE($C2112)&lt;100000000,VALUE($C2112),1000000000),IFERROR(IF(VALUE(MID($C2112,2,20))&lt;100000000,VALUE(MID($C2112,2,20)),1000000000),1000000000))+ROW()/100000,"")</f>
        <v/>
      </c>
    </row>
    <row r="2113">
      <c r="D2113" s="11" t="n"/>
      <c r="K2113" s="7">
        <f>IF($C2113="","",J2113*W2113/100)</f>
        <v/>
      </c>
      <c r="Q2113" s="7" t="n"/>
      <c r="R2113" s="7" t="n"/>
      <c r="U2113">
        <f>IF($C2113="","",IF($AJ2113=1,0,IF($AI2113=1,Settings!$C$6,Settings!$C$7))*100)</f>
        <v/>
      </c>
      <c r="V2113" s="7">
        <f>IF($C2113="","",R2113*U2113/100)</f>
        <v/>
      </c>
      <c r="W2113" s="7">
        <f>IF($C2113="","",R2113-V2113)</f>
        <v/>
      </c>
      <c r="X2113" s="7">
        <f>IF($C2113="","",W2113-K2113)</f>
        <v/>
      </c>
      <c r="AB2113" s="7" t="n"/>
      <c r="AE2113" s="11" t="n"/>
      <c r="AG2113">
        <f>IF($C2113="","",IF(COUNTIF($C$2:$C2113,$C2113)=1,1,0))</f>
        <v/>
      </c>
      <c r="AH2113">
        <f>IF($AG2113=1,SUMPRODUCT(--($AK$2:$AK$6001&lt;$AK2113))+1,"")</f>
        <v/>
      </c>
      <c r="AI2113">
        <f>IF($C2113="","",IF(OR($N2113=TRUE(),$N2113="TRUE"),1,0))</f>
        <v/>
      </c>
      <c r="AJ2113">
        <f>IF($C2113="","",IF($T2113="Yes",1,0))</f>
        <v/>
      </c>
      <c r="AK2113">
        <f>IF($AG2113=1,IFERROR(IF(VALUE($C2113)&lt;100000000,VALUE($C2113),1000000000),IFERROR(IF(VALUE(MID($C2113,2,20))&lt;100000000,VALUE(MID($C2113,2,20)),1000000000),1000000000))+ROW()/100000,"")</f>
        <v/>
      </c>
    </row>
    <row r="2114">
      <c r="D2114" s="11" t="n"/>
      <c r="K2114" s="7">
        <f>IF($C2114="","",J2114*W2114/100)</f>
        <v/>
      </c>
      <c r="Q2114" s="7" t="n"/>
      <c r="R2114" s="7" t="n"/>
      <c r="U2114">
        <f>IF($C2114="","",IF($AJ2114=1,0,IF($AI2114=1,Settings!$C$6,Settings!$C$7))*100)</f>
        <v/>
      </c>
      <c r="V2114" s="7">
        <f>IF($C2114="","",R2114*U2114/100)</f>
        <v/>
      </c>
      <c r="W2114" s="7">
        <f>IF($C2114="","",R2114-V2114)</f>
        <v/>
      </c>
      <c r="X2114" s="7">
        <f>IF($C2114="","",W2114-K2114)</f>
        <v/>
      </c>
      <c r="AB2114" s="7" t="n"/>
      <c r="AE2114" s="11" t="n"/>
      <c r="AG2114">
        <f>IF($C2114="","",IF(COUNTIF($C$2:$C2114,$C2114)=1,1,0))</f>
        <v/>
      </c>
      <c r="AH2114">
        <f>IF($AG2114=1,SUMPRODUCT(--($AK$2:$AK$6001&lt;$AK2114))+1,"")</f>
        <v/>
      </c>
      <c r="AI2114">
        <f>IF($C2114="","",IF(OR($N2114=TRUE(),$N2114="TRUE"),1,0))</f>
        <v/>
      </c>
      <c r="AJ2114">
        <f>IF($C2114="","",IF($T2114="Yes",1,0))</f>
        <v/>
      </c>
      <c r="AK2114">
        <f>IF($AG2114=1,IFERROR(IF(VALUE($C2114)&lt;100000000,VALUE($C2114),1000000000),IFERROR(IF(VALUE(MID($C2114,2,20))&lt;100000000,VALUE(MID($C2114,2,20)),1000000000),1000000000))+ROW()/100000,"")</f>
        <v/>
      </c>
    </row>
    <row r="2115">
      <c r="D2115" s="11" t="n"/>
      <c r="K2115" s="7">
        <f>IF($C2115="","",J2115*W2115/100)</f>
        <v/>
      </c>
      <c r="Q2115" s="7" t="n"/>
      <c r="R2115" s="7" t="n"/>
      <c r="U2115">
        <f>IF($C2115="","",IF($AJ2115=1,0,IF($AI2115=1,Settings!$C$6,Settings!$C$7))*100)</f>
        <v/>
      </c>
      <c r="V2115" s="7">
        <f>IF($C2115="","",R2115*U2115/100)</f>
        <v/>
      </c>
      <c r="W2115" s="7">
        <f>IF($C2115="","",R2115-V2115)</f>
        <v/>
      </c>
      <c r="X2115" s="7">
        <f>IF($C2115="","",W2115-K2115)</f>
        <v/>
      </c>
      <c r="AB2115" s="7" t="n"/>
      <c r="AE2115" s="11" t="n"/>
      <c r="AG2115">
        <f>IF($C2115="","",IF(COUNTIF($C$2:$C2115,$C2115)=1,1,0))</f>
        <v/>
      </c>
      <c r="AH2115">
        <f>IF($AG2115=1,SUMPRODUCT(--($AK$2:$AK$6001&lt;$AK2115))+1,"")</f>
        <v/>
      </c>
      <c r="AI2115">
        <f>IF($C2115="","",IF(OR($N2115=TRUE(),$N2115="TRUE"),1,0))</f>
        <v/>
      </c>
      <c r="AJ2115">
        <f>IF($C2115="","",IF($T2115="Yes",1,0))</f>
        <v/>
      </c>
      <c r="AK2115">
        <f>IF($AG2115=1,IFERROR(IF(VALUE($C2115)&lt;100000000,VALUE($C2115),1000000000),IFERROR(IF(VALUE(MID($C2115,2,20))&lt;100000000,VALUE(MID($C2115,2,20)),1000000000),1000000000))+ROW()/100000,"")</f>
        <v/>
      </c>
    </row>
    <row r="2116">
      <c r="D2116" s="11" t="n"/>
      <c r="K2116" s="7">
        <f>IF($C2116="","",J2116*W2116/100)</f>
        <v/>
      </c>
      <c r="Q2116" s="7" t="n"/>
      <c r="R2116" s="7" t="n"/>
      <c r="U2116">
        <f>IF($C2116="","",IF($AJ2116=1,0,IF($AI2116=1,Settings!$C$6,Settings!$C$7))*100)</f>
        <v/>
      </c>
      <c r="V2116" s="7">
        <f>IF($C2116="","",R2116*U2116/100)</f>
        <v/>
      </c>
      <c r="W2116" s="7">
        <f>IF($C2116="","",R2116-V2116)</f>
        <v/>
      </c>
      <c r="X2116" s="7">
        <f>IF($C2116="","",W2116-K2116)</f>
        <v/>
      </c>
      <c r="AB2116" s="7" t="n"/>
      <c r="AE2116" s="11" t="n"/>
      <c r="AG2116">
        <f>IF($C2116="","",IF(COUNTIF($C$2:$C2116,$C2116)=1,1,0))</f>
        <v/>
      </c>
      <c r="AH2116">
        <f>IF($AG2116=1,SUMPRODUCT(--($AK$2:$AK$6001&lt;$AK2116))+1,"")</f>
        <v/>
      </c>
      <c r="AI2116">
        <f>IF($C2116="","",IF(OR($N2116=TRUE(),$N2116="TRUE"),1,0))</f>
        <v/>
      </c>
      <c r="AJ2116">
        <f>IF($C2116="","",IF($T2116="Yes",1,0))</f>
        <v/>
      </c>
      <c r="AK2116">
        <f>IF($AG2116=1,IFERROR(IF(VALUE($C2116)&lt;100000000,VALUE($C2116),1000000000),IFERROR(IF(VALUE(MID($C2116,2,20))&lt;100000000,VALUE(MID($C2116,2,20)),1000000000),1000000000))+ROW()/100000,"")</f>
        <v/>
      </c>
    </row>
    <row r="2117">
      <c r="D2117" s="11" t="n"/>
      <c r="K2117" s="7">
        <f>IF($C2117="","",J2117*W2117/100)</f>
        <v/>
      </c>
      <c r="Q2117" s="7" t="n"/>
      <c r="R2117" s="7" t="n"/>
      <c r="U2117">
        <f>IF($C2117="","",IF($AJ2117=1,0,IF($AI2117=1,Settings!$C$6,Settings!$C$7))*100)</f>
        <v/>
      </c>
      <c r="V2117" s="7">
        <f>IF($C2117="","",R2117*U2117/100)</f>
        <v/>
      </c>
      <c r="W2117" s="7">
        <f>IF($C2117="","",R2117-V2117)</f>
        <v/>
      </c>
      <c r="X2117" s="7">
        <f>IF($C2117="","",W2117-K2117)</f>
        <v/>
      </c>
      <c r="AB2117" s="7" t="n"/>
      <c r="AE2117" s="11" t="n"/>
      <c r="AG2117">
        <f>IF($C2117="","",IF(COUNTIF($C$2:$C2117,$C2117)=1,1,0))</f>
        <v/>
      </c>
      <c r="AH2117">
        <f>IF($AG2117=1,SUMPRODUCT(--($AK$2:$AK$6001&lt;$AK2117))+1,"")</f>
        <v/>
      </c>
      <c r="AI2117">
        <f>IF($C2117="","",IF(OR($N2117=TRUE(),$N2117="TRUE"),1,0))</f>
        <v/>
      </c>
      <c r="AJ2117">
        <f>IF($C2117="","",IF($T2117="Yes",1,0))</f>
        <v/>
      </c>
      <c r="AK2117">
        <f>IF($AG2117=1,IFERROR(IF(VALUE($C2117)&lt;100000000,VALUE($C2117),1000000000),IFERROR(IF(VALUE(MID($C2117,2,20))&lt;100000000,VALUE(MID($C2117,2,20)),1000000000),1000000000))+ROW()/100000,"")</f>
        <v/>
      </c>
    </row>
    <row r="2118">
      <c r="D2118" s="11" t="n"/>
      <c r="K2118" s="7">
        <f>IF($C2118="","",J2118*W2118/100)</f>
        <v/>
      </c>
      <c r="Q2118" s="7" t="n"/>
      <c r="R2118" s="7" t="n"/>
      <c r="U2118">
        <f>IF($C2118="","",IF($AJ2118=1,0,IF($AI2118=1,Settings!$C$6,Settings!$C$7))*100)</f>
        <v/>
      </c>
      <c r="V2118" s="7">
        <f>IF($C2118="","",R2118*U2118/100)</f>
        <v/>
      </c>
      <c r="W2118" s="7">
        <f>IF($C2118="","",R2118-V2118)</f>
        <v/>
      </c>
      <c r="X2118" s="7">
        <f>IF($C2118="","",W2118-K2118)</f>
        <v/>
      </c>
      <c r="AB2118" s="7" t="n"/>
      <c r="AE2118" s="11" t="n"/>
      <c r="AG2118">
        <f>IF($C2118="","",IF(COUNTIF($C$2:$C2118,$C2118)=1,1,0))</f>
        <v/>
      </c>
      <c r="AH2118">
        <f>IF($AG2118=1,SUMPRODUCT(--($AK$2:$AK$6001&lt;$AK2118))+1,"")</f>
        <v/>
      </c>
      <c r="AI2118">
        <f>IF($C2118="","",IF(OR($N2118=TRUE(),$N2118="TRUE"),1,0))</f>
        <v/>
      </c>
      <c r="AJ2118">
        <f>IF($C2118="","",IF($T2118="Yes",1,0))</f>
        <v/>
      </c>
      <c r="AK2118">
        <f>IF($AG2118=1,IFERROR(IF(VALUE($C2118)&lt;100000000,VALUE($C2118),1000000000),IFERROR(IF(VALUE(MID($C2118,2,20))&lt;100000000,VALUE(MID($C2118,2,20)),1000000000),1000000000))+ROW()/100000,"")</f>
        <v/>
      </c>
    </row>
    <row r="2119">
      <c r="D2119" s="11" t="n"/>
      <c r="K2119" s="7">
        <f>IF($C2119="","",J2119*W2119/100)</f>
        <v/>
      </c>
      <c r="Q2119" s="7" t="n"/>
      <c r="R2119" s="7" t="n"/>
      <c r="U2119">
        <f>IF($C2119="","",IF($AJ2119=1,0,IF($AI2119=1,Settings!$C$6,Settings!$C$7))*100)</f>
        <v/>
      </c>
      <c r="V2119" s="7">
        <f>IF($C2119="","",R2119*U2119/100)</f>
        <v/>
      </c>
      <c r="W2119" s="7">
        <f>IF($C2119="","",R2119-V2119)</f>
        <v/>
      </c>
      <c r="X2119" s="7">
        <f>IF($C2119="","",W2119-K2119)</f>
        <v/>
      </c>
      <c r="AB2119" s="7" t="n"/>
      <c r="AE2119" s="11" t="n"/>
      <c r="AG2119">
        <f>IF($C2119="","",IF(COUNTIF($C$2:$C2119,$C2119)=1,1,0))</f>
        <v/>
      </c>
      <c r="AH2119">
        <f>IF($AG2119=1,SUMPRODUCT(--($AK$2:$AK$6001&lt;$AK2119))+1,"")</f>
        <v/>
      </c>
      <c r="AI2119">
        <f>IF($C2119="","",IF(OR($N2119=TRUE(),$N2119="TRUE"),1,0))</f>
        <v/>
      </c>
      <c r="AJ2119">
        <f>IF($C2119="","",IF($T2119="Yes",1,0))</f>
        <v/>
      </c>
      <c r="AK2119">
        <f>IF($AG2119=1,IFERROR(IF(VALUE($C2119)&lt;100000000,VALUE($C2119),1000000000),IFERROR(IF(VALUE(MID($C2119,2,20))&lt;100000000,VALUE(MID($C2119,2,20)),1000000000),1000000000))+ROW()/100000,"")</f>
        <v/>
      </c>
    </row>
    <row r="2120">
      <c r="D2120" s="11" t="n"/>
      <c r="K2120" s="7">
        <f>IF($C2120="","",J2120*W2120/100)</f>
        <v/>
      </c>
      <c r="Q2120" s="7" t="n"/>
      <c r="R2120" s="7" t="n"/>
      <c r="U2120">
        <f>IF($C2120="","",IF($AJ2120=1,0,IF($AI2120=1,Settings!$C$6,Settings!$C$7))*100)</f>
        <v/>
      </c>
      <c r="V2120" s="7">
        <f>IF($C2120="","",R2120*U2120/100)</f>
        <v/>
      </c>
      <c r="W2120" s="7">
        <f>IF($C2120="","",R2120-V2120)</f>
        <v/>
      </c>
      <c r="X2120" s="7">
        <f>IF($C2120="","",W2120-K2120)</f>
        <v/>
      </c>
      <c r="AB2120" s="7" t="n"/>
      <c r="AE2120" s="11" t="n"/>
      <c r="AG2120">
        <f>IF($C2120="","",IF(COUNTIF($C$2:$C2120,$C2120)=1,1,0))</f>
        <v/>
      </c>
      <c r="AH2120">
        <f>IF($AG2120=1,SUMPRODUCT(--($AK$2:$AK$6001&lt;$AK2120))+1,"")</f>
        <v/>
      </c>
      <c r="AI2120">
        <f>IF($C2120="","",IF(OR($N2120=TRUE(),$N2120="TRUE"),1,0))</f>
        <v/>
      </c>
      <c r="AJ2120">
        <f>IF($C2120="","",IF($T2120="Yes",1,0))</f>
        <v/>
      </c>
      <c r="AK2120">
        <f>IF($AG2120=1,IFERROR(IF(VALUE($C2120)&lt;100000000,VALUE($C2120),1000000000),IFERROR(IF(VALUE(MID($C2120,2,20))&lt;100000000,VALUE(MID($C2120,2,20)),1000000000),1000000000))+ROW()/100000,"")</f>
        <v/>
      </c>
    </row>
    <row r="2121">
      <c r="D2121" s="11" t="n"/>
      <c r="K2121" s="7">
        <f>IF($C2121="","",J2121*W2121/100)</f>
        <v/>
      </c>
      <c r="Q2121" s="7" t="n"/>
      <c r="R2121" s="7" t="n"/>
      <c r="U2121">
        <f>IF($C2121="","",IF($AJ2121=1,0,IF($AI2121=1,Settings!$C$6,Settings!$C$7))*100)</f>
        <v/>
      </c>
      <c r="V2121" s="7">
        <f>IF($C2121="","",R2121*U2121/100)</f>
        <v/>
      </c>
      <c r="W2121" s="7">
        <f>IF($C2121="","",R2121-V2121)</f>
        <v/>
      </c>
      <c r="X2121" s="7">
        <f>IF($C2121="","",W2121-K2121)</f>
        <v/>
      </c>
      <c r="AB2121" s="7" t="n"/>
      <c r="AE2121" s="11" t="n"/>
      <c r="AG2121">
        <f>IF($C2121="","",IF(COUNTIF($C$2:$C2121,$C2121)=1,1,0))</f>
        <v/>
      </c>
      <c r="AH2121">
        <f>IF($AG2121=1,SUMPRODUCT(--($AK$2:$AK$6001&lt;$AK2121))+1,"")</f>
        <v/>
      </c>
      <c r="AI2121">
        <f>IF($C2121="","",IF(OR($N2121=TRUE(),$N2121="TRUE"),1,0))</f>
        <v/>
      </c>
      <c r="AJ2121">
        <f>IF($C2121="","",IF($T2121="Yes",1,0))</f>
        <v/>
      </c>
      <c r="AK2121">
        <f>IF($AG2121=1,IFERROR(IF(VALUE($C2121)&lt;100000000,VALUE($C2121),1000000000),IFERROR(IF(VALUE(MID($C2121,2,20))&lt;100000000,VALUE(MID($C2121,2,20)),1000000000),1000000000))+ROW()/100000,"")</f>
        <v/>
      </c>
    </row>
    <row r="2122">
      <c r="D2122" s="11" t="n"/>
      <c r="K2122" s="7">
        <f>IF($C2122="","",J2122*W2122/100)</f>
        <v/>
      </c>
      <c r="Q2122" s="7" t="n"/>
      <c r="R2122" s="7" t="n"/>
      <c r="U2122">
        <f>IF($C2122="","",IF($AJ2122=1,0,IF($AI2122=1,Settings!$C$6,Settings!$C$7))*100)</f>
        <v/>
      </c>
      <c r="V2122" s="7">
        <f>IF($C2122="","",R2122*U2122/100)</f>
        <v/>
      </c>
      <c r="W2122" s="7">
        <f>IF($C2122="","",R2122-V2122)</f>
        <v/>
      </c>
      <c r="X2122" s="7">
        <f>IF($C2122="","",W2122-K2122)</f>
        <v/>
      </c>
      <c r="AB2122" s="7" t="n"/>
      <c r="AE2122" s="11" t="n"/>
      <c r="AG2122">
        <f>IF($C2122="","",IF(COUNTIF($C$2:$C2122,$C2122)=1,1,0))</f>
        <v/>
      </c>
      <c r="AH2122">
        <f>IF($AG2122=1,SUMPRODUCT(--($AK$2:$AK$6001&lt;$AK2122))+1,"")</f>
        <v/>
      </c>
      <c r="AI2122">
        <f>IF($C2122="","",IF(OR($N2122=TRUE(),$N2122="TRUE"),1,0))</f>
        <v/>
      </c>
      <c r="AJ2122">
        <f>IF($C2122="","",IF($T2122="Yes",1,0))</f>
        <v/>
      </c>
      <c r="AK2122">
        <f>IF($AG2122=1,IFERROR(IF(VALUE($C2122)&lt;100000000,VALUE($C2122),1000000000),IFERROR(IF(VALUE(MID($C2122,2,20))&lt;100000000,VALUE(MID($C2122,2,20)),1000000000),1000000000))+ROW()/100000,"")</f>
        <v/>
      </c>
    </row>
    <row r="2123">
      <c r="D2123" s="11" t="n"/>
      <c r="K2123" s="7">
        <f>IF($C2123="","",J2123*W2123/100)</f>
        <v/>
      </c>
      <c r="Q2123" s="7" t="n"/>
      <c r="R2123" s="7" t="n"/>
      <c r="U2123">
        <f>IF($C2123="","",IF($AJ2123=1,0,IF($AI2123=1,Settings!$C$6,Settings!$C$7))*100)</f>
        <v/>
      </c>
      <c r="V2123" s="7">
        <f>IF($C2123="","",R2123*U2123/100)</f>
        <v/>
      </c>
      <c r="W2123" s="7">
        <f>IF($C2123="","",R2123-V2123)</f>
        <v/>
      </c>
      <c r="X2123" s="7">
        <f>IF($C2123="","",W2123-K2123)</f>
        <v/>
      </c>
      <c r="AB2123" s="7" t="n"/>
      <c r="AE2123" s="11" t="n"/>
      <c r="AG2123">
        <f>IF($C2123="","",IF(COUNTIF($C$2:$C2123,$C2123)=1,1,0))</f>
        <v/>
      </c>
      <c r="AH2123">
        <f>IF($AG2123=1,SUMPRODUCT(--($AK$2:$AK$6001&lt;$AK2123))+1,"")</f>
        <v/>
      </c>
      <c r="AI2123">
        <f>IF($C2123="","",IF(OR($N2123=TRUE(),$N2123="TRUE"),1,0))</f>
        <v/>
      </c>
      <c r="AJ2123">
        <f>IF($C2123="","",IF($T2123="Yes",1,0))</f>
        <v/>
      </c>
      <c r="AK2123">
        <f>IF($AG2123=1,IFERROR(IF(VALUE($C2123)&lt;100000000,VALUE($C2123),1000000000),IFERROR(IF(VALUE(MID($C2123,2,20))&lt;100000000,VALUE(MID($C2123,2,20)),1000000000),1000000000))+ROW()/100000,"")</f>
        <v/>
      </c>
    </row>
    <row r="2124">
      <c r="D2124" s="11" t="n"/>
      <c r="K2124" s="7">
        <f>IF($C2124="","",J2124*W2124/100)</f>
        <v/>
      </c>
      <c r="Q2124" s="7" t="n"/>
      <c r="R2124" s="7" t="n"/>
      <c r="U2124">
        <f>IF($C2124="","",IF($AJ2124=1,0,IF($AI2124=1,Settings!$C$6,Settings!$C$7))*100)</f>
        <v/>
      </c>
      <c r="V2124" s="7">
        <f>IF($C2124="","",R2124*U2124/100)</f>
        <v/>
      </c>
      <c r="W2124" s="7">
        <f>IF($C2124="","",R2124-V2124)</f>
        <v/>
      </c>
      <c r="X2124" s="7">
        <f>IF($C2124="","",W2124-K2124)</f>
        <v/>
      </c>
      <c r="AB2124" s="7" t="n"/>
      <c r="AE2124" s="11" t="n"/>
      <c r="AG2124">
        <f>IF($C2124="","",IF(COUNTIF($C$2:$C2124,$C2124)=1,1,0))</f>
        <v/>
      </c>
      <c r="AH2124">
        <f>IF($AG2124=1,SUMPRODUCT(--($AK$2:$AK$6001&lt;$AK2124))+1,"")</f>
        <v/>
      </c>
      <c r="AI2124">
        <f>IF($C2124="","",IF(OR($N2124=TRUE(),$N2124="TRUE"),1,0))</f>
        <v/>
      </c>
      <c r="AJ2124">
        <f>IF($C2124="","",IF($T2124="Yes",1,0))</f>
        <v/>
      </c>
      <c r="AK2124">
        <f>IF($AG2124=1,IFERROR(IF(VALUE($C2124)&lt;100000000,VALUE($C2124),1000000000),IFERROR(IF(VALUE(MID($C2124,2,20))&lt;100000000,VALUE(MID($C2124,2,20)),1000000000),1000000000))+ROW()/100000,"")</f>
        <v/>
      </c>
    </row>
    <row r="2125">
      <c r="D2125" s="11" t="n"/>
      <c r="K2125" s="7">
        <f>IF($C2125="","",J2125*W2125/100)</f>
        <v/>
      </c>
      <c r="Q2125" s="7" t="n"/>
      <c r="R2125" s="7" t="n"/>
      <c r="U2125">
        <f>IF($C2125="","",IF($AJ2125=1,0,IF($AI2125=1,Settings!$C$6,Settings!$C$7))*100)</f>
        <v/>
      </c>
      <c r="V2125" s="7">
        <f>IF($C2125="","",R2125*U2125/100)</f>
        <v/>
      </c>
      <c r="W2125" s="7">
        <f>IF($C2125="","",R2125-V2125)</f>
        <v/>
      </c>
      <c r="X2125" s="7">
        <f>IF($C2125="","",W2125-K2125)</f>
        <v/>
      </c>
      <c r="AB2125" s="7" t="n"/>
      <c r="AE2125" s="11" t="n"/>
      <c r="AG2125">
        <f>IF($C2125="","",IF(COUNTIF($C$2:$C2125,$C2125)=1,1,0))</f>
        <v/>
      </c>
      <c r="AH2125">
        <f>IF($AG2125=1,SUMPRODUCT(--($AK$2:$AK$6001&lt;$AK2125))+1,"")</f>
        <v/>
      </c>
      <c r="AI2125">
        <f>IF($C2125="","",IF(OR($N2125=TRUE(),$N2125="TRUE"),1,0))</f>
        <v/>
      </c>
      <c r="AJ2125">
        <f>IF($C2125="","",IF($T2125="Yes",1,0))</f>
        <v/>
      </c>
      <c r="AK2125">
        <f>IF($AG2125=1,IFERROR(IF(VALUE($C2125)&lt;100000000,VALUE($C2125),1000000000),IFERROR(IF(VALUE(MID($C2125,2,20))&lt;100000000,VALUE(MID($C2125,2,20)),1000000000),1000000000))+ROW()/100000,"")</f>
        <v/>
      </c>
    </row>
    <row r="2126">
      <c r="D2126" s="11" t="n"/>
      <c r="K2126" s="7">
        <f>IF($C2126="","",J2126*W2126/100)</f>
        <v/>
      </c>
      <c r="Q2126" s="7" t="n"/>
      <c r="R2126" s="7" t="n"/>
      <c r="U2126">
        <f>IF($C2126="","",IF($AJ2126=1,0,IF($AI2126=1,Settings!$C$6,Settings!$C$7))*100)</f>
        <v/>
      </c>
      <c r="V2126" s="7">
        <f>IF($C2126="","",R2126*U2126/100)</f>
        <v/>
      </c>
      <c r="W2126" s="7">
        <f>IF($C2126="","",R2126-V2126)</f>
        <v/>
      </c>
      <c r="X2126" s="7">
        <f>IF($C2126="","",W2126-K2126)</f>
        <v/>
      </c>
      <c r="AB2126" s="7" t="n"/>
      <c r="AE2126" s="11" t="n"/>
      <c r="AG2126">
        <f>IF($C2126="","",IF(COUNTIF($C$2:$C2126,$C2126)=1,1,0))</f>
        <v/>
      </c>
      <c r="AH2126">
        <f>IF($AG2126=1,SUMPRODUCT(--($AK$2:$AK$6001&lt;$AK2126))+1,"")</f>
        <v/>
      </c>
      <c r="AI2126">
        <f>IF($C2126="","",IF(OR($N2126=TRUE(),$N2126="TRUE"),1,0))</f>
        <v/>
      </c>
      <c r="AJ2126">
        <f>IF($C2126="","",IF($T2126="Yes",1,0))</f>
        <v/>
      </c>
      <c r="AK2126">
        <f>IF($AG2126=1,IFERROR(IF(VALUE($C2126)&lt;100000000,VALUE($C2126),1000000000),IFERROR(IF(VALUE(MID($C2126,2,20))&lt;100000000,VALUE(MID($C2126,2,20)),1000000000),1000000000))+ROW()/100000,"")</f>
        <v/>
      </c>
    </row>
    <row r="2127">
      <c r="D2127" s="11" t="n"/>
      <c r="K2127" s="7">
        <f>IF($C2127="","",J2127*W2127/100)</f>
        <v/>
      </c>
      <c r="Q2127" s="7" t="n"/>
      <c r="R2127" s="7" t="n"/>
      <c r="U2127">
        <f>IF($C2127="","",IF($AJ2127=1,0,IF($AI2127=1,Settings!$C$6,Settings!$C$7))*100)</f>
        <v/>
      </c>
      <c r="V2127" s="7">
        <f>IF($C2127="","",R2127*U2127/100)</f>
        <v/>
      </c>
      <c r="W2127" s="7">
        <f>IF($C2127="","",R2127-V2127)</f>
        <v/>
      </c>
      <c r="X2127" s="7">
        <f>IF($C2127="","",W2127-K2127)</f>
        <v/>
      </c>
      <c r="AB2127" s="7" t="n"/>
      <c r="AE2127" s="11" t="n"/>
      <c r="AG2127">
        <f>IF($C2127="","",IF(COUNTIF($C$2:$C2127,$C2127)=1,1,0))</f>
        <v/>
      </c>
      <c r="AH2127">
        <f>IF($AG2127=1,SUMPRODUCT(--($AK$2:$AK$6001&lt;$AK2127))+1,"")</f>
        <v/>
      </c>
      <c r="AI2127">
        <f>IF($C2127="","",IF(OR($N2127=TRUE(),$N2127="TRUE"),1,0))</f>
        <v/>
      </c>
      <c r="AJ2127">
        <f>IF($C2127="","",IF($T2127="Yes",1,0))</f>
        <v/>
      </c>
      <c r="AK2127">
        <f>IF($AG2127=1,IFERROR(IF(VALUE($C2127)&lt;100000000,VALUE($C2127),1000000000),IFERROR(IF(VALUE(MID($C2127,2,20))&lt;100000000,VALUE(MID($C2127,2,20)),1000000000),1000000000))+ROW()/100000,"")</f>
        <v/>
      </c>
    </row>
    <row r="2128">
      <c r="D2128" s="11" t="n"/>
      <c r="K2128" s="7">
        <f>IF($C2128="","",J2128*W2128/100)</f>
        <v/>
      </c>
      <c r="Q2128" s="7" t="n"/>
      <c r="R2128" s="7" t="n"/>
      <c r="U2128">
        <f>IF($C2128="","",IF($AJ2128=1,0,IF($AI2128=1,Settings!$C$6,Settings!$C$7))*100)</f>
        <v/>
      </c>
      <c r="V2128" s="7">
        <f>IF($C2128="","",R2128*U2128/100)</f>
        <v/>
      </c>
      <c r="W2128" s="7">
        <f>IF($C2128="","",R2128-V2128)</f>
        <v/>
      </c>
      <c r="X2128" s="7">
        <f>IF($C2128="","",W2128-K2128)</f>
        <v/>
      </c>
      <c r="AB2128" s="7" t="n"/>
      <c r="AE2128" s="11" t="n"/>
      <c r="AG2128">
        <f>IF($C2128="","",IF(COUNTIF($C$2:$C2128,$C2128)=1,1,0))</f>
        <v/>
      </c>
      <c r="AH2128">
        <f>IF($AG2128=1,SUMPRODUCT(--($AK$2:$AK$6001&lt;$AK2128))+1,"")</f>
        <v/>
      </c>
      <c r="AI2128">
        <f>IF($C2128="","",IF(OR($N2128=TRUE(),$N2128="TRUE"),1,0))</f>
        <v/>
      </c>
      <c r="AJ2128">
        <f>IF($C2128="","",IF($T2128="Yes",1,0))</f>
        <v/>
      </c>
      <c r="AK2128">
        <f>IF($AG2128=1,IFERROR(IF(VALUE($C2128)&lt;100000000,VALUE($C2128),1000000000),IFERROR(IF(VALUE(MID($C2128,2,20))&lt;100000000,VALUE(MID($C2128,2,20)),1000000000),1000000000))+ROW()/100000,"")</f>
        <v/>
      </c>
    </row>
    <row r="2129">
      <c r="D2129" s="11" t="n"/>
      <c r="K2129" s="7">
        <f>IF($C2129="","",J2129*W2129/100)</f>
        <v/>
      </c>
      <c r="Q2129" s="7" t="n"/>
      <c r="R2129" s="7" t="n"/>
      <c r="U2129">
        <f>IF($C2129="","",IF($AJ2129=1,0,IF($AI2129=1,Settings!$C$6,Settings!$C$7))*100)</f>
        <v/>
      </c>
      <c r="V2129" s="7">
        <f>IF($C2129="","",R2129*U2129/100)</f>
        <v/>
      </c>
      <c r="W2129" s="7">
        <f>IF($C2129="","",R2129-V2129)</f>
        <v/>
      </c>
      <c r="X2129" s="7">
        <f>IF($C2129="","",W2129-K2129)</f>
        <v/>
      </c>
      <c r="AB2129" s="7" t="n"/>
      <c r="AE2129" s="11" t="n"/>
      <c r="AG2129">
        <f>IF($C2129="","",IF(COUNTIF($C$2:$C2129,$C2129)=1,1,0))</f>
        <v/>
      </c>
      <c r="AH2129">
        <f>IF($AG2129=1,SUMPRODUCT(--($AK$2:$AK$6001&lt;$AK2129))+1,"")</f>
        <v/>
      </c>
      <c r="AI2129">
        <f>IF($C2129="","",IF(OR($N2129=TRUE(),$N2129="TRUE"),1,0))</f>
        <v/>
      </c>
      <c r="AJ2129">
        <f>IF($C2129="","",IF($T2129="Yes",1,0))</f>
        <v/>
      </c>
      <c r="AK2129">
        <f>IF($AG2129=1,IFERROR(IF(VALUE($C2129)&lt;100000000,VALUE($C2129),1000000000),IFERROR(IF(VALUE(MID($C2129,2,20))&lt;100000000,VALUE(MID($C2129,2,20)),1000000000),1000000000))+ROW()/100000,"")</f>
        <v/>
      </c>
    </row>
    <row r="2130">
      <c r="D2130" s="11" t="n"/>
      <c r="K2130" s="7">
        <f>IF($C2130="","",J2130*W2130/100)</f>
        <v/>
      </c>
      <c r="Q2130" s="7" t="n"/>
      <c r="R2130" s="7" t="n"/>
      <c r="U2130">
        <f>IF($C2130="","",IF($AJ2130=1,0,IF($AI2130=1,Settings!$C$6,Settings!$C$7))*100)</f>
        <v/>
      </c>
      <c r="V2130" s="7">
        <f>IF($C2130="","",R2130*U2130/100)</f>
        <v/>
      </c>
      <c r="W2130" s="7">
        <f>IF($C2130="","",R2130-V2130)</f>
        <v/>
      </c>
      <c r="X2130" s="7">
        <f>IF($C2130="","",W2130-K2130)</f>
        <v/>
      </c>
      <c r="AB2130" s="7" t="n"/>
      <c r="AE2130" s="11" t="n"/>
      <c r="AG2130">
        <f>IF($C2130="","",IF(COUNTIF($C$2:$C2130,$C2130)=1,1,0))</f>
        <v/>
      </c>
      <c r="AH2130">
        <f>IF($AG2130=1,SUMPRODUCT(--($AK$2:$AK$6001&lt;$AK2130))+1,"")</f>
        <v/>
      </c>
      <c r="AI2130">
        <f>IF($C2130="","",IF(OR($N2130=TRUE(),$N2130="TRUE"),1,0))</f>
        <v/>
      </c>
      <c r="AJ2130">
        <f>IF($C2130="","",IF($T2130="Yes",1,0))</f>
        <v/>
      </c>
      <c r="AK2130">
        <f>IF($AG2130=1,IFERROR(IF(VALUE($C2130)&lt;100000000,VALUE($C2130),1000000000),IFERROR(IF(VALUE(MID($C2130,2,20))&lt;100000000,VALUE(MID($C2130,2,20)),1000000000),1000000000))+ROW()/100000,"")</f>
        <v/>
      </c>
    </row>
    <row r="2131">
      <c r="D2131" s="11" t="n"/>
      <c r="K2131" s="7">
        <f>IF($C2131="","",J2131*W2131/100)</f>
        <v/>
      </c>
      <c r="Q2131" s="7" t="n"/>
      <c r="R2131" s="7" t="n"/>
      <c r="U2131">
        <f>IF($C2131="","",IF($AJ2131=1,0,IF($AI2131=1,Settings!$C$6,Settings!$C$7))*100)</f>
        <v/>
      </c>
      <c r="V2131" s="7">
        <f>IF($C2131="","",R2131*U2131/100)</f>
        <v/>
      </c>
      <c r="W2131" s="7">
        <f>IF($C2131="","",R2131-V2131)</f>
        <v/>
      </c>
      <c r="X2131" s="7">
        <f>IF($C2131="","",W2131-K2131)</f>
        <v/>
      </c>
      <c r="AB2131" s="7" t="n"/>
      <c r="AE2131" s="11" t="n"/>
      <c r="AG2131">
        <f>IF($C2131="","",IF(COUNTIF($C$2:$C2131,$C2131)=1,1,0))</f>
        <v/>
      </c>
      <c r="AH2131">
        <f>IF($AG2131=1,SUMPRODUCT(--($AK$2:$AK$6001&lt;$AK2131))+1,"")</f>
        <v/>
      </c>
      <c r="AI2131">
        <f>IF($C2131="","",IF(OR($N2131=TRUE(),$N2131="TRUE"),1,0))</f>
        <v/>
      </c>
      <c r="AJ2131">
        <f>IF($C2131="","",IF($T2131="Yes",1,0))</f>
        <v/>
      </c>
      <c r="AK2131">
        <f>IF($AG2131=1,IFERROR(IF(VALUE($C2131)&lt;100000000,VALUE($C2131),1000000000),IFERROR(IF(VALUE(MID($C2131,2,20))&lt;100000000,VALUE(MID($C2131,2,20)),1000000000),1000000000))+ROW()/100000,"")</f>
        <v/>
      </c>
    </row>
    <row r="2132">
      <c r="D2132" s="11" t="n"/>
      <c r="K2132" s="7">
        <f>IF($C2132="","",J2132*W2132/100)</f>
        <v/>
      </c>
      <c r="Q2132" s="7" t="n"/>
      <c r="R2132" s="7" t="n"/>
      <c r="U2132">
        <f>IF($C2132="","",IF($AJ2132=1,0,IF($AI2132=1,Settings!$C$6,Settings!$C$7))*100)</f>
        <v/>
      </c>
      <c r="V2132" s="7">
        <f>IF($C2132="","",R2132*U2132/100)</f>
        <v/>
      </c>
      <c r="W2132" s="7">
        <f>IF($C2132="","",R2132-V2132)</f>
        <v/>
      </c>
      <c r="X2132" s="7">
        <f>IF($C2132="","",W2132-K2132)</f>
        <v/>
      </c>
      <c r="AB2132" s="7" t="n"/>
      <c r="AE2132" s="11" t="n"/>
      <c r="AG2132">
        <f>IF($C2132="","",IF(COUNTIF($C$2:$C2132,$C2132)=1,1,0))</f>
        <v/>
      </c>
      <c r="AH2132">
        <f>IF($AG2132=1,SUMPRODUCT(--($AK$2:$AK$6001&lt;$AK2132))+1,"")</f>
        <v/>
      </c>
      <c r="AI2132">
        <f>IF($C2132="","",IF(OR($N2132=TRUE(),$N2132="TRUE"),1,0))</f>
        <v/>
      </c>
      <c r="AJ2132">
        <f>IF($C2132="","",IF($T2132="Yes",1,0))</f>
        <v/>
      </c>
      <c r="AK2132">
        <f>IF($AG2132=1,IFERROR(IF(VALUE($C2132)&lt;100000000,VALUE($C2132),1000000000),IFERROR(IF(VALUE(MID($C2132,2,20))&lt;100000000,VALUE(MID($C2132,2,20)),1000000000),1000000000))+ROW()/100000,"")</f>
        <v/>
      </c>
    </row>
    <row r="2133">
      <c r="D2133" s="11" t="n"/>
      <c r="K2133" s="7">
        <f>IF($C2133="","",J2133*W2133/100)</f>
        <v/>
      </c>
      <c r="Q2133" s="7" t="n"/>
      <c r="R2133" s="7" t="n"/>
      <c r="U2133">
        <f>IF($C2133="","",IF($AJ2133=1,0,IF($AI2133=1,Settings!$C$6,Settings!$C$7))*100)</f>
        <v/>
      </c>
      <c r="V2133" s="7">
        <f>IF($C2133="","",R2133*U2133/100)</f>
        <v/>
      </c>
      <c r="W2133" s="7">
        <f>IF($C2133="","",R2133-V2133)</f>
        <v/>
      </c>
      <c r="X2133" s="7">
        <f>IF($C2133="","",W2133-K2133)</f>
        <v/>
      </c>
      <c r="AB2133" s="7" t="n"/>
      <c r="AE2133" s="11" t="n"/>
      <c r="AG2133">
        <f>IF($C2133="","",IF(COUNTIF($C$2:$C2133,$C2133)=1,1,0))</f>
        <v/>
      </c>
      <c r="AH2133">
        <f>IF($AG2133=1,SUMPRODUCT(--($AK$2:$AK$6001&lt;$AK2133))+1,"")</f>
        <v/>
      </c>
      <c r="AI2133">
        <f>IF($C2133="","",IF(OR($N2133=TRUE(),$N2133="TRUE"),1,0))</f>
        <v/>
      </c>
      <c r="AJ2133">
        <f>IF($C2133="","",IF($T2133="Yes",1,0))</f>
        <v/>
      </c>
      <c r="AK2133">
        <f>IF($AG2133=1,IFERROR(IF(VALUE($C2133)&lt;100000000,VALUE($C2133),1000000000),IFERROR(IF(VALUE(MID($C2133,2,20))&lt;100000000,VALUE(MID($C2133,2,20)),1000000000),1000000000))+ROW()/100000,"")</f>
        <v/>
      </c>
    </row>
    <row r="2134">
      <c r="D2134" s="11" t="n"/>
      <c r="K2134" s="7">
        <f>IF($C2134="","",J2134*W2134/100)</f>
        <v/>
      </c>
      <c r="Q2134" s="7" t="n"/>
      <c r="R2134" s="7" t="n"/>
      <c r="U2134">
        <f>IF($C2134="","",IF($AJ2134=1,0,IF($AI2134=1,Settings!$C$6,Settings!$C$7))*100)</f>
        <v/>
      </c>
      <c r="V2134" s="7">
        <f>IF($C2134="","",R2134*U2134/100)</f>
        <v/>
      </c>
      <c r="W2134" s="7">
        <f>IF($C2134="","",R2134-V2134)</f>
        <v/>
      </c>
      <c r="X2134" s="7">
        <f>IF($C2134="","",W2134-K2134)</f>
        <v/>
      </c>
      <c r="AB2134" s="7" t="n"/>
      <c r="AE2134" s="11" t="n"/>
      <c r="AG2134">
        <f>IF($C2134="","",IF(COUNTIF($C$2:$C2134,$C2134)=1,1,0))</f>
        <v/>
      </c>
      <c r="AH2134">
        <f>IF($AG2134=1,SUMPRODUCT(--($AK$2:$AK$6001&lt;$AK2134))+1,"")</f>
        <v/>
      </c>
      <c r="AI2134">
        <f>IF($C2134="","",IF(OR($N2134=TRUE(),$N2134="TRUE"),1,0))</f>
        <v/>
      </c>
      <c r="AJ2134">
        <f>IF($C2134="","",IF($T2134="Yes",1,0))</f>
        <v/>
      </c>
      <c r="AK2134">
        <f>IF($AG2134=1,IFERROR(IF(VALUE($C2134)&lt;100000000,VALUE($C2134),1000000000),IFERROR(IF(VALUE(MID($C2134,2,20))&lt;100000000,VALUE(MID($C2134,2,20)),1000000000),1000000000))+ROW()/100000,"")</f>
        <v/>
      </c>
    </row>
    <row r="2135">
      <c r="D2135" s="11" t="n"/>
      <c r="K2135" s="7">
        <f>IF($C2135="","",J2135*W2135/100)</f>
        <v/>
      </c>
      <c r="Q2135" s="7" t="n"/>
      <c r="R2135" s="7" t="n"/>
      <c r="U2135">
        <f>IF($C2135="","",IF($AJ2135=1,0,IF($AI2135=1,Settings!$C$6,Settings!$C$7))*100)</f>
        <v/>
      </c>
      <c r="V2135" s="7">
        <f>IF($C2135="","",R2135*U2135/100)</f>
        <v/>
      </c>
      <c r="W2135" s="7">
        <f>IF($C2135="","",R2135-V2135)</f>
        <v/>
      </c>
      <c r="X2135" s="7">
        <f>IF($C2135="","",W2135-K2135)</f>
        <v/>
      </c>
      <c r="AB2135" s="7" t="n"/>
      <c r="AE2135" s="11" t="n"/>
      <c r="AG2135">
        <f>IF($C2135="","",IF(COUNTIF($C$2:$C2135,$C2135)=1,1,0))</f>
        <v/>
      </c>
      <c r="AH2135">
        <f>IF($AG2135=1,SUMPRODUCT(--($AK$2:$AK$6001&lt;$AK2135))+1,"")</f>
        <v/>
      </c>
      <c r="AI2135">
        <f>IF($C2135="","",IF(OR($N2135=TRUE(),$N2135="TRUE"),1,0))</f>
        <v/>
      </c>
      <c r="AJ2135">
        <f>IF($C2135="","",IF($T2135="Yes",1,0))</f>
        <v/>
      </c>
      <c r="AK2135">
        <f>IF($AG2135=1,IFERROR(IF(VALUE($C2135)&lt;100000000,VALUE($C2135),1000000000),IFERROR(IF(VALUE(MID($C2135,2,20))&lt;100000000,VALUE(MID($C2135,2,20)),1000000000),1000000000))+ROW()/100000,"")</f>
        <v/>
      </c>
    </row>
    <row r="2136">
      <c r="D2136" s="11" t="n"/>
      <c r="K2136" s="7">
        <f>IF($C2136="","",J2136*W2136/100)</f>
        <v/>
      </c>
      <c r="Q2136" s="7" t="n"/>
      <c r="R2136" s="7" t="n"/>
      <c r="U2136">
        <f>IF($C2136="","",IF($AJ2136=1,0,IF($AI2136=1,Settings!$C$6,Settings!$C$7))*100)</f>
        <v/>
      </c>
      <c r="V2136" s="7">
        <f>IF($C2136="","",R2136*U2136/100)</f>
        <v/>
      </c>
      <c r="W2136" s="7">
        <f>IF($C2136="","",R2136-V2136)</f>
        <v/>
      </c>
      <c r="X2136" s="7">
        <f>IF($C2136="","",W2136-K2136)</f>
        <v/>
      </c>
      <c r="AB2136" s="7" t="n"/>
      <c r="AE2136" s="11" t="n"/>
      <c r="AG2136">
        <f>IF($C2136="","",IF(COUNTIF($C$2:$C2136,$C2136)=1,1,0))</f>
        <v/>
      </c>
      <c r="AH2136">
        <f>IF($AG2136=1,SUMPRODUCT(--($AK$2:$AK$6001&lt;$AK2136))+1,"")</f>
        <v/>
      </c>
      <c r="AI2136">
        <f>IF($C2136="","",IF(OR($N2136=TRUE(),$N2136="TRUE"),1,0))</f>
        <v/>
      </c>
      <c r="AJ2136">
        <f>IF($C2136="","",IF($T2136="Yes",1,0))</f>
        <v/>
      </c>
      <c r="AK2136">
        <f>IF($AG2136=1,IFERROR(IF(VALUE($C2136)&lt;100000000,VALUE($C2136),1000000000),IFERROR(IF(VALUE(MID($C2136,2,20))&lt;100000000,VALUE(MID($C2136,2,20)),1000000000),1000000000))+ROW()/100000,"")</f>
        <v/>
      </c>
    </row>
    <row r="2137">
      <c r="D2137" s="11" t="n"/>
      <c r="K2137" s="7">
        <f>IF($C2137="","",J2137*W2137/100)</f>
        <v/>
      </c>
      <c r="Q2137" s="7" t="n"/>
      <c r="R2137" s="7" t="n"/>
      <c r="U2137">
        <f>IF($C2137="","",IF($AJ2137=1,0,IF($AI2137=1,Settings!$C$6,Settings!$C$7))*100)</f>
        <v/>
      </c>
      <c r="V2137" s="7">
        <f>IF($C2137="","",R2137*U2137/100)</f>
        <v/>
      </c>
      <c r="W2137" s="7">
        <f>IF($C2137="","",R2137-V2137)</f>
        <v/>
      </c>
      <c r="X2137" s="7">
        <f>IF($C2137="","",W2137-K2137)</f>
        <v/>
      </c>
      <c r="AB2137" s="7" t="n"/>
      <c r="AE2137" s="11" t="n"/>
      <c r="AG2137">
        <f>IF($C2137="","",IF(COUNTIF($C$2:$C2137,$C2137)=1,1,0))</f>
        <v/>
      </c>
      <c r="AH2137">
        <f>IF($AG2137=1,SUMPRODUCT(--($AK$2:$AK$6001&lt;$AK2137))+1,"")</f>
        <v/>
      </c>
      <c r="AI2137">
        <f>IF($C2137="","",IF(OR($N2137=TRUE(),$N2137="TRUE"),1,0))</f>
        <v/>
      </c>
      <c r="AJ2137">
        <f>IF($C2137="","",IF($T2137="Yes",1,0))</f>
        <v/>
      </c>
      <c r="AK2137">
        <f>IF($AG2137=1,IFERROR(IF(VALUE($C2137)&lt;100000000,VALUE($C2137),1000000000),IFERROR(IF(VALUE(MID($C2137,2,20))&lt;100000000,VALUE(MID($C2137,2,20)),1000000000),1000000000))+ROW()/100000,"")</f>
        <v/>
      </c>
    </row>
    <row r="2138">
      <c r="D2138" s="11" t="n"/>
      <c r="K2138" s="7">
        <f>IF($C2138="","",J2138*W2138/100)</f>
        <v/>
      </c>
      <c r="Q2138" s="7" t="n"/>
      <c r="R2138" s="7" t="n"/>
      <c r="U2138">
        <f>IF($C2138="","",IF($AJ2138=1,0,IF($AI2138=1,Settings!$C$6,Settings!$C$7))*100)</f>
        <v/>
      </c>
      <c r="V2138" s="7">
        <f>IF($C2138="","",R2138*U2138/100)</f>
        <v/>
      </c>
      <c r="W2138" s="7">
        <f>IF($C2138="","",R2138-V2138)</f>
        <v/>
      </c>
      <c r="X2138" s="7">
        <f>IF($C2138="","",W2138-K2138)</f>
        <v/>
      </c>
      <c r="AB2138" s="7" t="n"/>
      <c r="AE2138" s="11" t="n"/>
      <c r="AG2138">
        <f>IF($C2138="","",IF(COUNTIF($C$2:$C2138,$C2138)=1,1,0))</f>
        <v/>
      </c>
      <c r="AH2138">
        <f>IF($AG2138=1,SUMPRODUCT(--($AK$2:$AK$6001&lt;$AK2138))+1,"")</f>
        <v/>
      </c>
      <c r="AI2138">
        <f>IF($C2138="","",IF(OR($N2138=TRUE(),$N2138="TRUE"),1,0))</f>
        <v/>
      </c>
      <c r="AJ2138">
        <f>IF($C2138="","",IF($T2138="Yes",1,0))</f>
        <v/>
      </c>
      <c r="AK2138">
        <f>IF($AG2138=1,IFERROR(IF(VALUE($C2138)&lt;100000000,VALUE($C2138),1000000000),IFERROR(IF(VALUE(MID($C2138,2,20))&lt;100000000,VALUE(MID($C2138,2,20)),1000000000),1000000000))+ROW()/100000,"")</f>
        <v/>
      </c>
    </row>
    <row r="2139">
      <c r="D2139" s="11" t="n"/>
      <c r="K2139" s="7">
        <f>IF($C2139="","",J2139*W2139/100)</f>
        <v/>
      </c>
      <c r="Q2139" s="7" t="n"/>
      <c r="R2139" s="7" t="n"/>
      <c r="U2139">
        <f>IF($C2139="","",IF($AJ2139=1,0,IF($AI2139=1,Settings!$C$6,Settings!$C$7))*100)</f>
        <v/>
      </c>
      <c r="V2139" s="7">
        <f>IF($C2139="","",R2139*U2139/100)</f>
        <v/>
      </c>
      <c r="W2139" s="7">
        <f>IF($C2139="","",R2139-V2139)</f>
        <v/>
      </c>
      <c r="X2139" s="7">
        <f>IF($C2139="","",W2139-K2139)</f>
        <v/>
      </c>
      <c r="AB2139" s="7" t="n"/>
      <c r="AE2139" s="11" t="n"/>
      <c r="AG2139">
        <f>IF($C2139="","",IF(COUNTIF($C$2:$C2139,$C2139)=1,1,0))</f>
        <v/>
      </c>
      <c r="AH2139">
        <f>IF($AG2139=1,SUMPRODUCT(--($AK$2:$AK$6001&lt;$AK2139))+1,"")</f>
        <v/>
      </c>
      <c r="AI2139">
        <f>IF($C2139="","",IF(OR($N2139=TRUE(),$N2139="TRUE"),1,0))</f>
        <v/>
      </c>
      <c r="AJ2139">
        <f>IF($C2139="","",IF($T2139="Yes",1,0))</f>
        <v/>
      </c>
      <c r="AK2139">
        <f>IF($AG2139=1,IFERROR(IF(VALUE($C2139)&lt;100000000,VALUE($C2139),1000000000),IFERROR(IF(VALUE(MID($C2139,2,20))&lt;100000000,VALUE(MID($C2139,2,20)),1000000000),1000000000))+ROW()/100000,"")</f>
        <v/>
      </c>
    </row>
    <row r="2140">
      <c r="D2140" s="11" t="n"/>
      <c r="K2140" s="7">
        <f>IF($C2140="","",J2140*W2140/100)</f>
        <v/>
      </c>
      <c r="Q2140" s="7" t="n"/>
      <c r="R2140" s="7" t="n"/>
      <c r="U2140">
        <f>IF($C2140="","",IF($AJ2140=1,0,IF($AI2140=1,Settings!$C$6,Settings!$C$7))*100)</f>
        <v/>
      </c>
      <c r="V2140" s="7">
        <f>IF($C2140="","",R2140*U2140/100)</f>
        <v/>
      </c>
      <c r="W2140" s="7">
        <f>IF($C2140="","",R2140-V2140)</f>
        <v/>
      </c>
      <c r="X2140" s="7">
        <f>IF($C2140="","",W2140-K2140)</f>
        <v/>
      </c>
      <c r="AB2140" s="7" t="n"/>
      <c r="AE2140" s="11" t="n"/>
      <c r="AG2140">
        <f>IF($C2140="","",IF(COUNTIF($C$2:$C2140,$C2140)=1,1,0))</f>
        <v/>
      </c>
      <c r="AH2140">
        <f>IF($AG2140=1,SUMPRODUCT(--($AK$2:$AK$6001&lt;$AK2140))+1,"")</f>
        <v/>
      </c>
      <c r="AI2140">
        <f>IF($C2140="","",IF(OR($N2140=TRUE(),$N2140="TRUE"),1,0))</f>
        <v/>
      </c>
      <c r="AJ2140">
        <f>IF($C2140="","",IF($T2140="Yes",1,0))</f>
        <v/>
      </c>
      <c r="AK2140">
        <f>IF($AG2140=1,IFERROR(IF(VALUE($C2140)&lt;100000000,VALUE($C2140),1000000000),IFERROR(IF(VALUE(MID($C2140,2,20))&lt;100000000,VALUE(MID($C2140,2,20)),1000000000),1000000000))+ROW()/100000,"")</f>
        <v/>
      </c>
    </row>
    <row r="2141">
      <c r="D2141" s="11" t="n"/>
      <c r="K2141" s="7">
        <f>IF($C2141="","",J2141*W2141/100)</f>
        <v/>
      </c>
      <c r="Q2141" s="7" t="n"/>
      <c r="R2141" s="7" t="n"/>
      <c r="U2141">
        <f>IF($C2141="","",IF($AJ2141=1,0,IF($AI2141=1,Settings!$C$6,Settings!$C$7))*100)</f>
        <v/>
      </c>
      <c r="V2141" s="7">
        <f>IF($C2141="","",R2141*U2141/100)</f>
        <v/>
      </c>
      <c r="W2141" s="7">
        <f>IF($C2141="","",R2141-V2141)</f>
        <v/>
      </c>
      <c r="X2141" s="7">
        <f>IF($C2141="","",W2141-K2141)</f>
        <v/>
      </c>
      <c r="AB2141" s="7" t="n"/>
      <c r="AE2141" s="11" t="n"/>
      <c r="AG2141">
        <f>IF($C2141="","",IF(COUNTIF($C$2:$C2141,$C2141)=1,1,0))</f>
        <v/>
      </c>
      <c r="AH2141">
        <f>IF($AG2141=1,SUMPRODUCT(--($AK$2:$AK$6001&lt;$AK2141))+1,"")</f>
        <v/>
      </c>
      <c r="AI2141">
        <f>IF($C2141="","",IF(OR($N2141=TRUE(),$N2141="TRUE"),1,0))</f>
        <v/>
      </c>
      <c r="AJ2141">
        <f>IF($C2141="","",IF($T2141="Yes",1,0))</f>
        <v/>
      </c>
      <c r="AK2141">
        <f>IF($AG2141=1,IFERROR(IF(VALUE($C2141)&lt;100000000,VALUE($C2141),1000000000),IFERROR(IF(VALUE(MID($C2141,2,20))&lt;100000000,VALUE(MID($C2141,2,20)),1000000000),1000000000))+ROW()/100000,"")</f>
        <v/>
      </c>
    </row>
    <row r="2142">
      <c r="D2142" s="11" t="n"/>
      <c r="K2142" s="7">
        <f>IF($C2142="","",J2142*W2142/100)</f>
        <v/>
      </c>
      <c r="Q2142" s="7" t="n"/>
      <c r="R2142" s="7" t="n"/>
      <c r="U2142">
        <f>IF($C2142="","",IF($AJ2142=1,0,IF($AI2142=1,Settings!$C$6,Settings!$C$7))*100)</f>
        <v/>
      </c>
      <c r="V2142" s="7">
        <f>IF($C2142="","",R2142*U2142/100)</f>
        <v/>
      </c>
      <c r="W2142" s="7">
        <f>IF($C2142="","",R2142-V2142)</f>
        <v/>
      </c>
      <c r="X2142" s="7">
        <f>IF($C2142="","",W2142-K2142)</f>
        <v/>
      </c>
      <c r="AB2142" s="7" t="n"/>
      <c r="AE2142" s="11" t="n"/>
      <c r="AG2142">
        <f>IF($C2142="","",IF(COUNTIF($C$2:$C2142,$C2142)=1,1,0))</f>
        <v/>
      </c>
      <c r="AH2142">
        <f>IF($AG2142=1,SUMPRODUCT(--($AK$2:$AK$6001&lt;$AK2142))+1,"")</f>
        <v/>
      </c>
      <c r="AI2142">
        <f>IF($C2142="","",IF(OR($N2142=TRUE(),$N2142="TRUE"),1,0))</f>
        <v/>
      </c>
      <c r="AJ2142">
        <f>IF($C2142="","",IF($T2142="Yes",1,0))</f>
        <v/>
      </c>
      <c r="AK2142">
        <f>IF($AG2142=1,IFERROR(IF(VALUE($C2142)&lt;100000000,VALUE($C2142),1000000000),IFERROR(IF(VALUE(MID($C2142,2,20))&lt;100000000,VALUE(MID($C2142,2,20)),1000000000),1000000000))+ROW()/100000,"")</f>
        <v/>
      </c>
    </row>
    <row r="2143">
      <c r="D2143" s="11" t="n"/>
      <c r="K2143" s="7">
        <f>IF($C2143="","",J2143*W2143/100)</f>
        <v/>
      </c>
      <c r="Q2143" s="7" t="n"/>
      <c r="R2143" s="7" t="n"/>
      <c r="U2143">
        <f>IF($C2143="","",IF($AJ2143=1,0,IF($AI2143=1,Settings!$C$6,Settings!$C$7))*100)</f>
        <v/>
      </c>
      <c r="V2143" s="7">
        <f>IF($C2143="","",R2143*U2143/100)</f>
        <v/>
      </c>
      <c r="W2143" s="7">
        <f>IF($C2143="","",R2143-V2143)</f>
        <v/>
      </c>
      <c r="X2143" s="7">
        <f>IF($C2143="","",W2143-K2143)</f>
        <v/>
      </c>
      <c r="AB2143" s="7" t="n"/>
      <c r="AE2143" s="11" t="n"/>
      <c r="AG2143">
        <f>IF($C2143="","",IF(COUNTIF($C$2:$C2143,$C2143)=1,1,0))</f>
        <v/>
      </c>
      <c r="AH2143">
        <f>IF($AG2143=1,SUMPRODUCT(--($AK$2:$AK$6001&lt;$AK2143))+1,"")</f>
        <v/>
      </c>
      <c r="AI2143">
        <f>IF($C2143="","",IF(OR($N2143=TRUE(),$N2143="TRUE"),1,0))</f>
        <v/>
      </c>
      <c r="AJ2143">
        <f>IF($C2143="","",IF($T2143="Yes",1,0))</f>
        <v/>
      </c>
      <c r="AK2143">
        <f>IF($AG2143=1,IFERROR(IF(VALUE($C2143)&lt;100000000,VALUE($C2143),1000000000),IFERROR(IF(VALUE(MID($C2143,2,20))&lt;100000000,VALUE(MID($C2143,2,20)),1000000000),1000000000))+ROW()/100000,"")</f>
        <v/>
      </c>
    </row>
    <row r="2144">
      <c r="D2144" s="11" t="n"/>
      <c r="K2144" s="7">
        <f>IF($C2144="","",J2144*W2144/100)</f>
        <v/>
      </c>
      <c r="Q2144" s="7" t="n"/>
      <c r="R2144" s="7" t="n"/>
      <c r="U2144">
        <f>IF($C2144="","",IF($AJ2144=1,0,IF($AI2144=1,Settings!$C$6,Settings!$C$7))*100)</f>
        <v/>
      </c>
      <c r="V2144" s="7">
        <f>IF($C2144="","",R2144*U2144/100)</f>
        <v/>
      </c>
      <c r="W2144" s="7">
        <f>IF($C2144="","",R2144-V2144)</f>
        <v/>
      </c>
      <c r="X2144" s="7">
        <f>IF($C2144="","",W2144-K2144)</f>
        <v/>
      </c>
      <c r="AB2144" s="7" t="n"/>
      <c r="AE2144" s="11" t="n"/>
      <c r="AG2144">
        <f>IF($C2144="","",IF(COUNTIF($C$2:$C2144,$C2144)=1,1,0))</f>
        <v/>
      </c>
      <c r="AH2144">
        <f>IF($AG2144=1,SUMPRODUCT(--($AK$2:$AK$6001&lt;$AK2144))+1,"")</f>
        <v/>
      </c>
      <c r="AI2144">
        <f>IF($C2144="","",IF(OR($N2144=TRUE(),$N2144="TRUE"),1,0))</f>
        <v/>
      </c>
      <c r="AJ2144">
        <f>IF($C2144="","",IF($T2144="Yes",1,0))</f>
        <v/>
      </c>
      <c r="AK2144">
        <f>IF($AG2144=1,IFERROR(IF(VALUE($C2144)&lt;100000000,VALUE($C2144),1000000000),IFERROR(IF(VALUE(MID($C2144,2,20))&lt;100000000,VALUE(MID($C2144,2,20)),1000000000),1000000000))+ROW()/100000,"")</f>
        <v/>
      </c>
    </row>
    <row r="2145">
      <c r="D2145" s="11" t="n"/>
      <c r="K2145" s="7">
        <f>IF($C2145="","",J2145*W2145/100)</f>
        <v/>
      </c>
      <c r="Q2145" s="7" t="n"/>
      <c r="R2145" s="7" t="n"/>
      <c r="U2145">
        <f>IF($C2145="","",IF($AJ2145=1,0,IF($AI2145=1,Settings!$C$6,Settings!$C$7))*100)</f>
        <v/>
      </c>
      <c r="V2145" s="7">
        <f>IF($C2145="","",R2145*U2145/100)</f>
        <v/>
      </c>
      <c r="W2145" s="7">
        <f>IF($C2145="","",R2145-V2145)</f>
        <v/>
      </c>
      <c r="X2145" s="7">
        <f>IF($C2145="","",W2145-K2145)</f>
        <v/>
      </c>
      <c r="AB2145" s="7" t="n"/>
      <c r="AE2145" s="11" t="n"/>
      <c r="AG2145">
        <f>IF($C2145="","",IF(COUNTIF($C$2:$C2145,$C2145)=1,1,0))</f>
        <v/>
      </c>
      <c r="AH2145">
        <f>IF($AG2145=1,SUMPRODUCT(--($AK$2:$AK$6001&lt;$AK2145))+1,"")</f>
        <v/>
      </c>
      <c r="AI2145">
        <f>IF($C2145="","",IF(OR($N2145=TRUE(),$N2145="TRUE"),1,0))</f>
        <v/>
      </c>
      <c r="AJ2145">
        <f>IF($C2145="","",IF($T2145="Yes",1,0))</f>
        <v/>
      </c>
      <c r="AK2145">
        <f>IF($AG2145=1,IFERROR(IF(VALUE($C2145)&lt;100000000,VALUE($C2145),1000000000),IFERROR(IF(VALUE(MID($C2145,2,20))&lt;100000000,VALUE(MID($C2145,2,20)),1000000000),1000000000))+ROW()/100000,"")</f>
        <v/>
      </c>
    </row>
    <row r="2146">
      <c r="D2146" s="11" t="n"/>
      <c r="K2146" s="7">
        <f>IF($C2146="","",J2146*W2146/100)</f>
        <v/>
      </c>
      <c r="Q2146" s="7" t="n"/>
      <c r="R2146" s="7" t="n"/>
      <c r="U2146">
        <f>IF($C2146="","",IF($AJ2146=1,0,IF($AI2146=1,Settings!$C$6,Settings!$C$7))*100)</f>
        <v/>
      </c>
      <c r="V2146" s="7">
        <f>IF($C2146="","",R2146*U2146/100)</f>
        <v/>
      </c>
      <c r="W2146" s="7">
        <f>IF($C2146="","",R2146-V2146)</f>
        <v/>
      </c>
      <c r="X2146" s="7">
        <f>IF($C2146="","",W2146-K2146)</f>
        <v/>
      </c>
      <c r="AB2146" s="7" t="n"/>
      <c r="AE2146" s="11" t="n"/>
      <c r="AG2146">
        <f>IF($C2146="","",IF(COUNTIF($C$2:$C2146,$C2146)=1,1,0))</f>
        <v/>
      </c>
      <c r="AH2146">
        <f>IF($AG2146=1,SUMPRODUCT(--($AK$2:$AK$6001&lt;$AK2146))+1,"")</f>
        <v/>
      </c>
      <c r="AI2146">
        <f>IF($C2146="","",IF(OR($N2146=TRUE(),$N2146="TRUE"),1,0))</f>
        <v/>
      </c>
      <c r="AJ2146">
        <f>IF($C2146="","",IF($T2146="Yes",1,0))</f>
        <v/>
      </c>
      <c r="AK2146">
        <f>IF($AG2146=1,IFERROR(IF(VALUE($C2146)&lt;100000000,VALUE($C2146),1000000000),IFERROR(IF(VALUE(MID($C2146,2,20))&lt;100000000,VALUE(MID($C2146,2,20)),1000000000),1000000000))+ROW()/100000,"")</f>
        <v/>
      </c>
    </row>
    <row r="2147">
      <c r="D2147" s="11" t="n"/>
      <c r="K2147" s="7">
        <f>IF($C2147="","",J2147*W2147/100)</f>
        <v/>
      </c>
      <c r="Q2147" s="7" t="n"/>
      <c r="R2147" s="7" t="n"/>
      <c r="U2147">
        <f>IF($C2147="","",IF($AJ2147=1,0,IF($AI2147=1,Settings!$C$6,Settings!$C$7))*100)</f>
        <v/>
      </c>
      <c r="V2147" s="7">
        <f>IF($C2147="","",R2147*U2147/100)</f>
        <v/>
      </c>
      <c r="W2147" s="7">
        <f>IF($C2147="","",R2147-V2147)</f>
        <v/>
      </c>
      <c r="X2147" s="7">
        <f>IF($C2147="","",W2147-K2147)</f>
        <v/>
      </c>
      <c r="AB2147" s="7" t="n"/>
      <c r="AE2147" s="11" t="n"/>
      <c r="AG2147">
        <f>IF($C2147="","",IF(COUNTIF($C$2:$C2147,$C2147)=1,1,0))</f>
        <v/>
      </c>
      <c r="AH2147">
        <f>IF($AG2147=1,SUMPRODUCT(--($AK$2:$AK$6001&lt;$AK2147))+1,"")</f>
        <v/>
      </c>
      <c r="AI2147">
        <f>IF($C2147="","",IF(OR($N2147=TRUE(),$N2147="TRUE"),1,0))</f>
        <v/>
      </c>
      <c r="AJ2147">
        <f>IF($C2147="","",IF($T2147="Yes",1,0))</f>
        <v/>
      </c>
      <c r="AK2147">
        <f>IF($AG2147=1,IFERROR(IF(VALUE($C2147)&lt;100000000,VALUE($C2147),1000000000),IFERROR(IF(VALUE(MID($C2147,2,20))&lt;100000000,VALUE(MID($C2147,2,20)),1000000000),1000000000))+ROW()/100000,"")</f>
        <v/>
      </c>
    </row>
    <row r="2148">
      <c r="D2148" s="11" t="n"/>
      <c r="K2148" s="7">
        <f>IF($C2148="","",J2148*W2148/100)</f>
        <v/>
      </c>
      <c r="Q2148" s="7" t="n"/>
      <c r="R2148" s="7" t="n"/>
      <c r="U2148">
        <f>IF($C2148="","",IF($AJ2148=1,0,IF($AI2148=1,Settings!$C$6,Settings!$C$7))*100)</f>
        <v/>
      </c>
      <c r="V2148" s="7">
        <f>IF($C2148="","",R2148*U2148/100)</f>
        <v/>
      </c>
      <c r="W2148" s="7">
        <f>IF($C2148="","",R2148-V2148)</f>
        <v/>
      </c>
      <c r="X2148" s="7">
        <f>IF($C2148="","",W2148-K2148)</f>
        <v/>
      </c>
      <c r="AB2148" s="7" t="n"/>
      <c r="AE2148" s="11" t="n"/>
      <c r="AG2148">
        <f>IF($C2148="","",IF(COUNTIF($C$2:$C2148,$C2148)=1,1,0))</f>
        <v/>
      </c>
      <c r="AH2148">
        <f>IF($AG2148=1,SUMPRODUCT(--($AK$2:$AK$6001&lt;$AK2148))+1,"")</f>
        <v/>
      </c>
      <c r="AI2148">
        <f>IF($C2148="","",IF(OR($N2148=TRUE(),$N2148="TRUE"),1,0))</f>
        <v/>
      </c>
      <c r="AJ2148">
        <f>IF($C2148="","",IF($T2148="Yes",1,0))</f>
        <v/>
      </c>
      <c r="AK2148">
        <f>IF($AG2148=1,IFERROR(IF(VALUE($C2148)&lt;100000000,VALUE($C2148),1000000000),IFERROR(IF(VALUE(MID($C2148,2,20))&lt;100000000,VALUE(MID($C2148,2,20)),1000000000),1000000000))+ROW()/100000,"")</f>
        <v/>
      </c>
    </row>
    <row r="2149">
      <c r="D2149" s="11" t="n"/>
      <c r="K2149" s="7">
        <f>IF($C2149="","",J2149*W2149/100)</f>
        <v/>
      </c>
      <c r="Q2149" s="7" t="n"/>
      <c r="R2149" s="7" t="n"/>
      <c r="U2149">
        <f>IF($C2149="","",IF($AJ2149=1,0,IF($AI2149=1,Settings!$C$6,Settings!$C$7))*100)</f>
        <v/>
      </c>
      <c r="V2149" s="7">
        <f>IF($C2149="","",R2149*U2149/100)</f>
        <v/>
      </c>
      <c r="W2149" s="7">
        <f>IF($C2149="","",R2149-V2149)</f>
        <v/>
      </c>
      <c r="X2149" s="7">
        <f>IF($C2149="","",W2149-K2149)</f>
        <v/>
      </c>
      <c r="AB2149" s="7" t="n"/>
      <c r="AE2149" s="11" t="n"/>
      <c r="AG2149">
        <f>IF($C2149="","",IF(COUNTIF($C$2:$C2149,$C2149)=1,1,0))</f>
        <v/>
      </c>
      <c r="AH2149">
        <f>IF($AG2149=1,SUMPRODUCT(--($AK$2:$AK$6001&lt;$AK2149))+1,"")</f>
        <v/>
      </c>
      <c r="AI2149">
        <f>IF($C2149="","",IF(OR($N2149=TRUE(),$N2149="TRUE"),1,0))</f>
        <v/>
      </c>
      <c r="AJ2149">
        <f>IF($C2149="","",IF($T2149="Yes",1,0))</f>
        <v/>
      </c>
      <c r="AK2149">
        <f>IF($AG2149=1,IFERROR(IF(VALUE($C2149)&lt;100000000,VALUE($C2149),1000000000),IFERROR(IF(VALUE(MID($C2149,2,20))&lt;100000000,VALUE(MID($C2149,2,20)),1000000000),1000000000))+ROW()/100000,"")</f>
        <v/>
      </c>
    </row>
    <row r="2150">
      <c r="D2150" s="11" t="n"/>
      <c r="K2150" s="7">
        <f>IF($C2150="","",J2150*W2150/100)</f>
        <v/>
      </c>
      <c r="Q2150" s="7" t="n"/>
      <c r="R2150" s="7" t="n"/>
      <c r="U2150">
        <f>IF($C2150="","",IF($AJ2150=1,0,IF($AI2150=1,Settings!$C$6,Settings!$C$7))*100)</f>
        <v/>
      </c>
      <c r="V2150" s="7">
        <f>IF($C2150="","",R2150*U2150/100)</f>
        <v/>
      </c>
      <c r="W2150" s="7">
        <f>IF($C2150="","",R2150-V2150)</f>
        <v/>
      </c>
      <c r="X2150" s="7">
        <f>IF($C2150="","",W2150-K2150)</f>
        <v/>
      </c>
      <c r="AB2150" s="7" t="n"/>
      <c r="AE2150" s="11" t="n"/>
      <c r="AG2150">
        <f>IF($C2150="","",IF(COUNTIF($C$2:$C2150,$C2150)=1,1,0))</f>
        <v/>
      </c>
      <c r="AH2150">
        <f>IF($AG2150=1,SUMPRODUCT(--($AK$2:$AK$6001&lt;$AK2150))+1,"")</f>
        <v/>
      </c>
      <c r="AI2150">
        <f>IF($C2150="","",IF(OR($N2150=TRUE(),$N2150="TRUE"),1,0))</f>
        <v/>
      </c>
      <c r="AJ2150">
        <f>IF($C2150="","",IF($T2150="Yes",1,0))</f>
        <v/>
      </c>
      <c r="AK2150">
        <f>IF($AG2150=1,IFERROR(IF(VALUE($C2150)&lt;100000000,VALUE($C2150),1000000000),IFERROR(IF(VALUE(MID($C2150,2,20))&lt;100000000,VALUE(MID($C2150,2,20)),1000000000),1000000000))+ROW()/100000,"")</f>
        <v/>
      </c>
    </row>
    <row r="2151">
      <c r="D2151" s="11" t="n"/>
      <c r="K2151" s="7">
        <f>IF($C2151="","",J2151*W2151/100)</f>
        <v/>
      </c>
      <c r="Q2151" s="7" t="n"/>
      <c r="R2151" s="7" t="n"/>
      <c r="U2151">
        <f>IF($C2151="","",IF($AJ2151=1,0,IF($AI2151=1,Settings!$C$6,Settings!$C$7))*100)</f>
        <v/>
      </c>
      <c r="V2151" s="7">
        <f>IF($C2151="","",R2151*U2151/100)</f>
        <v/>
      </c>
      <c r="W2151" s="7">
        <f>IF($C2151="","",R2151-V2151)</f>
        <v/>
      </c>
      <c r="X2151" s="7">
        <f>IF($C2151="","",W2151-K2151)</f>
        <v/>
      </c>
      <c r="AB2151" s="7" t="n"/>
      <c r="AE2151" s="11" t="n"/>
      <c r="AG2151">
        <f>IF($C2151="","",IF(COUNTIF($C$2:$C2151,$C2151)=1,1,0))</f>
        <v/>
      </c>
      <c r="AH2151">
        <f>IF($AG2151=1,SUMPRODUCT(--($AK$2:$AK$6001&lt;$AK2151))+1,"")</f>
        <v/>
      </c>
      <c r="AI2151">
        <f>IF($C2151="","",IF(OR($N2151=TRUE(),$N2151="TRUE"),1,0))</f>
        <v/>
      </c>
      <c r="AJ2151">
        <f>IF($C2151="","",IF($T2151="Yes",1,0))</f>
        <v/>
      </c>
      <c r="AK2151">
        <f>IF($AG2151=1,IFERROR(IF(VALUE($C2151)&lt;100000000,VALUE($C2151),1000000000),IFERROR(IF(VALUE(MID($C2151,2,20))&lt;100000000,VALUE(MID($C2151,2,20)),1000000000),1000000000))+ROW()/100000,"")</f>
        <v/>
      </c>
    </row>
    <row r="2152">
      <c r="D2152" s="11" t="n"/>
      <c r="K2152" s="7">
        <f>IF($C2152="","",J2152*W2152/100)</f>
        <v/>
      </c>
      <c r="Q2152" s="7" t="n"/>
      <c r="R2152" s="7" t="n"/>
      <c r="U2152">
        <f>IF($C2152="","",IF($AJ2152=1,0,IF($AI2152=1,Settings!$C$6,Settings!$C$7))*100)</f>
        <v/>
      </c>
      <c r="V2152" s="7">
        <f>IF($C2152="","",R2152*U2152/100)</f>
        <v/>
      </c>
      <c r="W2152" s="7">
        <f>IF($C2152="","",R2152-V2152)</f>
        <v/>
      </c>
      <c r="X2152" s="7">
        <f>IF($C2152="","",W2152-K2152)</f>
        <v/>
      </c>
      <c r="AB2152" s="7" t="n"/>
      <c r="AE2152" s="11" t="n"/>
      <c r="AG2152">
        <f>IF($C2152="","",IF(COUNTIF($C$2:$C2152,$C2152)=1,1,0))</f>
        <v/>
      </c>
      <c r="AH2152">
        <f>IF($AG2152=1,SUMPRODUCT(--($AK$2:$AK$6001&lt;$AK2152))+1,"")</f>
        <v/>
      </c>
      <c r="AI2152">
        <f>IF($C2152="","",IF(OR($N2152=TRUE(),$N2152="TRUE"),1,0))</f>
        <v/>
      </c>
      <c r="AJ2152">
        <f>IF($C2152="","",IF($T2152="Yes",1,0))</f>
        <v/>
      </c>
      <c r="AK2152">
        <f>IF($AG2152=1,IFERROR(IF(VALUE($C2152)&lt;100000000,VALUE($C2152),1000000000),IFERROR(IF(VALUE(MID($C2152,2,20))&lt;100000000,VALUE(MID($C2152,2,20)),1000000000),1000000000))+ROW()/100000,"")</f>
        <v/>
      </c>
    </row>
    <row r="2153">
      <c r="D2153" s="11" t="n"/>
      <c r="K2153" s="7">
        <f>IF($C2153="","",J2153*W2153/100)</f>
        <v/>
      </c>
      <c r="Q2153" s="7" t="n"/>
      <c r="R2153" s="7" t="n"/>
      <c r="U2153">
        <f>IF($C2153="","",IF($AJ2153=1,0,IF($AI2153=1,Settings!$C$6,Settings!$C$7))*100)</f>
        <v/>
      </c>
      <c r="V2153" s="7">
        <f>IF($C2153="","",R2153*U2153/100)</f>
        <v/>
      </c>
      <c r="W2153" s="7">
        <f>IF($C2153="","",R2153-V2153)</f>
        <v/>
      </c>
      <c r="X2153" s="7">
        <f>IF($C2153="","",W2153-K2153)</f>
        <v/>
      </c>
      <c r="AB2153" s="7" t="n"/>
      <c r="AE2153" s="11" t="n"/>
      <c r="AG2153">
        <f>IF($C2153="","",IF(COUNTIF($C$2:$C2153,$C2153)=1,1,0))</f>
        <v/>
      </c>
      <c r="AH2153">
        <f>IF($AG2153=1,SUMPRODUCT(--($AK$2:$AK$6001&lt;$AK2153))+1,"")</f>
        <v/>
      </c>
      <c r="AI2153">
        <f>IF($C2153="","",IF(OR($N2153=TRUE(),$N2153="TRUE"),1,0))</f>
        <v/>
      </c>
      <c r="AJ2153">
        <f>IF($C2153="","",IF($T2153="Yes",1,0))</f>
        <v/>
      </c>
      <c r="AK2153">
        <f>IF($AG2153=1,IFERROR(IF(VALUE($C2153)&lt;100000000,VALUE($C2153),1000000000),IFERROR(IF(VALUE(MID($C2153,2,20))&lt;100000000,VALUE(MID($C2153,2,20)),1000000000),1000000000))+ROW()/100000,"")</f>
        <v/>
      </c>
    </row>
    <row r="2154">
      <c r="D2154" s="11" t="n"/>
      <c r="K2154" s="7">
        <f>IF($C2154="","",J2154*W2154/100)</f>
        <v/>
      </c>
      <c r="Q2154" s="7" t="n"/>
      <c r="R2154" s="7" t="n"/>
      <c r="U2154">
        <f>IF($C2154="","",IF($AJ2154=1,0,IF($AI2154=1,Settings!$C$6,Settings!$C$7))*100)</f>
        <v/>
      </c>
      <c r="V2154" s="7">
        <f>IF($C2154="","",R2154*U2154/100)</f>
        <v/>
      </c>
      <c r="W2154" s="7">
        <f>IF($C2154="","",R2154-V2154)</f>
        <v/>
      </c>
      <c r="X2154" s="7">
        <f>IF($C2154="","",W2154-K2154)</f>
        <v/>
      </c>
      <c r="AB2154" s="7" t="n"/>
      <c r="AE2154" s="11" t="n"/>
      <c r="AG2154">
        <f>IF($C2154="","",IF(COUNTIF($C$2:$C2154,$C2154)=1,1,0))</f>
        <v/>
      </c>
      <c r="AH2154">
        <f>IF($AG2154=1,SUMPRODUCT(--($AK$2:$AK$6001&lt;$AK2154))+1,"")</f>
        <v/>
      </c>
      <c r="AI2154">
        <f>IF($C2154="","",IF(OR($N2154=TRUE(),$N2154="TRUE"),1,0))</f>
        <v/>
      </c>
      <c r="AJ2154">
        <f>IF($C2154="","",IF($T2154="Yes",1,0))</f>
        <v/>
      </c>
      <c r="AK2154">
        <f>IF($AG2154=1,IFERROR(IF(VALUE($C2154)&lt;100000000,VALUE($C2154),1000000000),IFERROR(IF(VALUE(MID($C2154,2,20))&lt;100000000,VALUE(MID($C2154,2,20)),1000000000),1000000000))+ROW()/100000,"")</f>
        <v/>
      </c>
    </row>
    <row r="2155">
      <c r="D2155" s="11" t="n"/>
      <c r="K2155" s="7">
        <f>IF($C2155="","",J2155*W2155/100)</f>
        <v/>
      </c>
      <c r="Q2155" s="7" t="n"/>
      <c r="R2155" s="7" t="n"/>
      <c r="U2155">
        <f>IF($C2155="","",IF($AJ2155=1,0,IF($AI2155=1,Settings!$C$6,Settings!$C$7))*100)</f>
        <v/>
      </c>
      <c r="V2155" s="7">
        <f>IF($C2155="","",R2155*U2155/100)</f>
        <v/>
      </c>
      <c r="W2155" s="7">
        <f>IF($C2155="","",R2155-V2155)</f>
        <v/>
      </c>
      <c r="X2155" s="7">
        <f>IF($C2155="","",W2155-K2155)</f>
        <v/>
      </c>
      <c r="AB2155" s="7" t="n"/>
      <c r="AE2155" s="11" t="n"/>
      <c r="AG2155">
        <f>IF($C2155="","",IF(COUNTIF($C$2:$C2155,$C2155)=1,1,0))</f>
        <v/>
      </c>
      <c r="AH2155">
        <f>IF($AG2155=1,SUMPRODUCT(--($AK$2:$AK$6001&lt;$AK2155))+1,"")</f>
        <v/>
      </c>
      <c r="AI2155">
        <f>IF($C2155="","",IF(OR($N2155=TRUE(),$N2155="TRUE"),1,0))</f>
        <v/>
      </c>
      <c r="AJ2155">
        <f>IF($C2155="","",IF($T2155="Yes",1,0))</f>
        <v/>
      </c>
      <c r="AK2155">
        <f>IF($AG2155=1,IFERROR(IF(VALUE($C2155)&lt;100000000,VALUE($C2155),1000000000),IFERROR(IF(VALUE(MID($C2155,2,20))&lt;100000000,VALUE(MID($C2155,2,20)),1000000000),1000000000))+ROW()/100000,"")</f>
        <v/>
      </c>
    </row>
    <row r="2156">
      <c r="D2156" s="11" t="n"/>
      <c r="K2156" s="7">
        <f>IF($C2156="","",J2156*W2156/100)</f>
        <v/>
      </c>
      <c r="Q2156" s="7" t="n"/>
      <c r="R2156" s="7" t="n"/>
      <c r="U2156">
        <f>IF($C2156="","",IF($AJ2156=1,0,IF($AI2156=1,Settings!$C$6,Settings!$C$7))*100)</f>
        <v/>
      </c>
      <c r="V2156" s="7">
        <f>IF($C2156="","",R2156*U2156/100)</f>
        <v/>
      </c>
      <c r="W2156" s="7">
        <f>IF($C2156="","",R2156-V2156)</f>
        <v/>
      </c>
      <c r="X2156" s="7">
        <f>IF($C2156="","",W2156-K2156)</f>
        <v/>
      </c>
      <c r="AB2156" s="7" t="n"/>
      <c r="AE2156" s="11" t="n"/>
      <c r="AG2156">
        <f>IF($C2156="","",IF(COUNTIF($C$2:$C2156,$C2156)=1,1,0))</f>
        <v/>
      </c>
      <c r="AH2156">
        <f>IF($AG2156=1,SUMPRODUCT(--($AK$2:$AK$6001&lt;$AK2156))+1,"")</f>
        <v/>
      </c>
      <c r="AI2156">
        <f>IF($C2156="","",IF(OR($N2156=TRUE(),$N2156="TRUE"),1,0))</f>
        <v/>
      </c>
      <c r="AJ2156">
        <f>IF($C2156="","",IF($T2156="Yes",1,0))</f>
        <v/>
      </c>
      <c r="AK2156">
        <f>IF($AG2156=1,IFERROR(IF(VALUE($C2156)&lt;100000000,VALUE($C2156),1000000000),IFERROR(IF(VALUE(MID($C2156,2,20))&lt;100000000,VALUE(MID($C2156,2,20)),1000000000),1000000000))+ROW()/100000,"")</f>
        <v/>
      </c>
    </row>
    <row r="2157">
      <c r="D2157" s="11" t="n"/>
      <c r="K2157" s="7">
        <f>IF($C2157="","",J2157*W2157/100)</f>
        <v/>
      </c>
      <c r="Q2157" s="7" t="n"/>
      <c r="R2157" s="7" t="n"/>
      <c r="U2157">
        <f>IF($C2157="","",IF($AJ2157=1,0,IF($AI2157=1,Settings!$C$6,Settings!$C$7))*100)</f>
        <v/>
      </c>
      <c r="V2157" s="7">
        <f>IF($C2157="","",R2157*U2157/100)</f>
        <v/>
      </c>
      <c r="W2157" s="7">
        <f>IF($C2157="","",R2157-V2157)</f>
        <v/>
      </c>
      <c r="X2157" s="7">
        <f>IF($C2157="","",W2157-K2157)</f>
        <v/>
      </c>
      <c r="AB2157" s="7" t="n"/>
      <c r="AE2157" s="11" t="n"/>
      <c r="AG2157">
        <f>IF($C2157="","",IF(COUNTIF($C$2:$C2157,$C2157)=1,1,0))</f>
        <v/>
      </c>
      <c r="AH2157">
        <f>IF($AG2157=1,SUMPRODUCT(--($AK$2:$AK$6001&lt;$AK2157))+1,"")</f>
        <v/>
      </c>
      <c r="AI2157">
        <f>IF($C2157="","",IF(OR($N2157=TRUE(),$N2157="TRUE"),1,0))</f>
        <v/>
      </c>
      <c r="AJ2157">
        <f>IF($C2157="","",IF($T2157="Yes",1,0))</f>
        <v/>
      </c>
      <c r="AK2157">
        <f>IF($AG2157=1,IFERROR(IF(VALUE($C2157)&lt;100000000,VALUE($C2157),1000000000),IFERROR(IF(VALUE(MID($C2157,2,20))&lt;100000000,VALUE(MID($C2157,2,20)),1000000000),1000000000))+ROW()/100000,"")</f>
        <v/>
      </c>
    </row>
    <row r="2158">
      <c r="D2158" s="11" t="n"/>
      <c r="K2158" s="7">
        <f>IF($C2158="","",J2158*W2158/100)</f>
        <v/>
      </c>
      <c r="Q2158" s="7" t="n"/>
      <c r="R2158" s="7" t="n"/>
      <c r="U2158">
        <f>IF($C2158="","",IF($AJ2158=1,0,IF($AI2158=1,Settings!$C$6,Settings!$C$7))*100)</f>
        <v/>
      </c>
      <c r="V2158" s="7">
        <f>IF($C2158="","",R2158*U2158/100)</f>
        <v/>
      </c>
      <c r="W2158" s="7">
        <f>IF($C2158="","",R2158-V2158)</f>
        <v/>
      </c>
      <c r="X2158" s="7">
        <f>IF($C2158="","",W2158-K2158)</f>
        <v/>
      </c>
      <c r="AB2158" s="7" t="n"/>
      <c r="AE2158" s="11" t="n"/>
      <c r="AG2158">
        <f>IF($C2158="","",IF(COUNTIF($C$2:$C2158,$C2158)=1,1,0))</f>
        <v/>
      </c>
      <c r="AH2158">
        <f>IF($AG2158=1,SUMPRODUCT(--($AK$2:$AK$6001&lt;$AK2158))+1,"")</f>
        <v/>
      </c>
      <c r="AI2158">
        <f>IF($C2158="","",IF(OR($N2158=TRUE(),$N2158="TRUE"),1,0))</f>
        <v/>
      </c>
      <c r="AJ2158">
        <f>IF($C2158="","",IF($T2158="Yes",1,0))</f>
        <v/>
      </c>
      <c r="AK2158">
        <f>IF($AG2158=1,IFERROR(IF(VALUE($C2158)&lt;100000000,VALUE($C2158),1000000000),IFERROR(IF(VALUE(MID($C2158,2,20))&lt;100000000,VALUE(MID($C2158,2,20)),1000000000),1000000000))+ROW()/100000,"")</f>
        <v/>
      </c>
    </row>
    <row r="2159">
      <c r="D2159" s="11" t="n"/>
      <c r="K2159" s="7">
        <f>IF($C2159="","",J2159*W2159/100)</f>
        <v/>
      </c>
      <c r="Q2159" s="7" t="n"/>
      <c r="R2159" s="7" t="n"/>
      <c r="U2159">
        <f>IF($C2159="","",IF($AJ2159=1,0,IF($AI2159=1,Settings!$C$6,Settings!$C$7))*100)</f>
        <v/>
      </c>
      <c r="V2159" s="7">
        <f>IF($C2159="","",R2159*U2159/100)</f>
        <v/>
      </c>
      <c r="W2159" s="7">
        <f>IF($C2159="","",R2159-V2159)</f>
        <v/>
      </c>
      <c r="X2159" s="7">
        <f>IF($C2159="","",W2159-K2159)</f>
        <v/>
      </c>
      <c r="AB2159" s="7" t="n"/>
      <c r="AE2159" s="11" t="n"/>
      <c r="AG2159">
        <f>IF($C2159="","",IF(COUNTIF($C$2:$C2159,$C2159)=1,1,0))</f>
        <v/>
      </c>
      <c r="AH2159">
        <f>IF($AG2159=1,SUMPRODUCT(--($AK$2:$AK$6001&lt;$AK2159))+1,"")</f>
        <v/>
      </c>
      <c r="AI2159">
        <f>IF($C2159="","",IF(OR($N2159=TRUE(),$N2159="TRUE"),1,0))</f>
        <v/>
      </c>
      <c r="AJ2159">
        <f>IF($C2159="","",IF($T2159="Yes",1,0))</f>
        <v/>
      </c>
      <c r="AK2159">
        <f>IF($AG2159=1,IFERROR(IF(VALUE($C2159)&lt;100000000,VALUE($C2159),1000000000),IFERROR(IF(VALUE(MID($C2159,2,20))&lt;100000000,VALUE(MID($C2159,2,20)),1000000000),1000000000))+ROW()/100000,"")</f>
        <v/>
      </c>
    </row>
    <row r="2160">
      <c r="D2160" s="11" t="n"/>
      <c r="K2160" s="7">
        <f>IF($C2160="","",J2160*W2160/100)</f>
        <v/>
      </c>
      <c r="Q2160" s="7" t="n"/>
      <c r="R2160" s="7" t="n"/>
      <c r="U2160">
        <f>IF($C2160="","",IF($AJ2160=1,0,IF($AI2160=1,Settings!$C$6,Settings!$C$7))*100)</f>
        <v/>
      </c>
      <c r="V2160" s="7">
        <f>IF($C2160="","",R2160*U2160/100)</f>
        <v/>
      </c>
      <c r="W2160" s="7">
        <f>IF($C2160="","",R2160-V2160)</f>
        <v/>
      </c>
      <c r="X2160" s="7">
        <f>IF($C2160="","",W2160-K2160)</f>
        <v/>
      </c>
      <c r="AB2160" s="7" t="n"/>
      <c r="AE2160" s="11" t="n"/>
      <c r="AG2160">
        <f>IF($C2160="","",IF(COUNTIF($C$2:$C2160,$C2160)=1,1,0))</f>
        <v/>
      </c>
      <c r="AH2160">
        <f>IF($AG2160=1,SUMPRODUCT(--($AK$2:$AK$6001&lt;$AK2160))+1,"")</f>
        <v/>
      </c>
      <c r="AI2160">
        <f>IF($C2160="","",IF(OR($N2160=TRUE(),$N2160="TRUE"),1,0))</f>
        <v/>
      </c>
      <c r="AJ2160">
        <f>IF($C2160="","",IF($T2160="Yes",1,0))</f>
        <v/>
      </c>
      <c r="AK2160">
        <f>IF($AG2160=1,IFERROR(IF(VALUE($C2160)&lt;100000000,VALUE($C2160),1000000000),IFERROR(IF(VALUE(MID($C2160,2,20))&lt;100000000,VALUE(MID($C2160,2,20)),1000000000),1000000000))+ROW()/100000,"")</f>
        <v/>
      </c>
    </row>
    <row r="2161">
      <c r="D2161" s="11" t="n"/>
      <c r="K2161" s="7">
        <f>IF($C2161="","",J2161*W2161/100)</f>
        <v/>
      </c>
      <c r="Q2161" s="7" t="n"/>
      <c r="R2161" s="7" t="n"/>
      <c r="U2161">
        <f>IF($C2161="","",IF($AJ2161=1,0,IF($AI2161=1,Settings!$C$6,Settings!$C$7))*100)</f>
        <v/>
      </c>
      <c r="V2161" s="7">
        <f>IF($C2161="","",R2161*U2161/100)</f>
        <v/>
      </c>
      <c r="W2161" s="7">
        <f>IF($C2161="","",R2161-V2161)</f>
        <v/>
      </c>
      <c r="X2161" s="7">
        <f>IF($C2161="","",W2161-K2161)</f>
        <v/>
      </c>
      <c r="AB2161" s="7" t="n"/>
      <c r="AE2161" s="11" t="n"/>
      <c r="AG2161">
        <f>IF($C2161="","",IF(COUNTIF($C$2:$C2161,$C2161)=1,1,0))</f>
        <v/>
      </c>
      <c r="AH2161">
        <f>IF($AG2161=1,SUMPRODUCT(--($AK$2:$AK$6001&lt;$AK2161))+1,"")</f>
        <v/>
      </c>
      <c r="AI2161">
        <f>IF($C2161="","",IF(OR($N2161=TRUE(),$N2161="TRUE"),1,0))</f>
        <v/>
      </c>
      <c r="AJ2161">
        <f>IF($C2161="","",IF($T2161="Yes",1,0))</f>
        <v/>
      </c>
      <c r="AK2161">
        <f>IF($AG2161=1,IFERROR(IF(VALUE($C2161)&lt;100000000,VALUE($C2161),1000000000),IFERROR(IF(VALUE(MID($C2161,2,20))&lt;100000000,VALUE(MID($C2161,2,20)),1000000000),1000000000))+ROW()/100000,"")</f>
        <v/>
      </c>
    </row>
    <row r="2162">
      <c r="D2162" s="11" t="n"/>
      <c r="K2162" s="7">
        <f>IF($C2162="","",J2162*W2162/100)</f>
        <v/>
      </c>
      <c r="Q2162" s="7" t="n"/>
      <c r="R2162" s="7" t="n"/>
      <c r="U2162">
        <f>IF($C2162="","",IF($AJ2162=1,0,IF($AI2162=1,Settings!$C$6,Settings!$C$7))*100)</f>
        <v/>
      </c>
      <c r="V2162" s="7">
        <f>IF($C2162="","",R2162*U2162/100)</f>
        <v/>
      </c>
      <c r="W2162" s="7">
        <f>IF($C2162="","",R2162-V2162)</f>
        <v/>
      </c>
      <c r="X2162" s="7">
        <f>IF($C2162="","",W2162-K2162)</f>
        <v/>
      </c>
      <c r="AB2162" s="7" t="n"/>
      <c r="AE2162" s="11" t="n"/>
      <c r="AG2162">
        <f>IF($C2162="","",IF(COUNTIF($C$2:$C2162,$C2162)=1,1,0))</f>
        <v/>
      </c>
      <c r="AH2162">
        <f>IF($AG2162=1,SUMPRODUCT(--($AK$2:$AK$6001&lt;$AK2162))+1,"")</f>
        <v/>
      </c>
      <c r="AI2162">
        <f>IF($C2162="","",IF(OR($N2162=TRUE(),$N2162="TRUE"),1,0))</f>
        <v/>
      </c>
      <c r="AJ2162">
        <f>IF($C2162="","",IF($T2162="Yes",1,0))</f>
        <v/>
      </c>
      <c r="AK2162">
        <f>IF($AG2162=1,IFERROR(IF(VALUE($C2162)&lt;100000000,VALUE($C2162),1000000000),IFERROR(IF(VALUE(MID($C2162,2,20))&lt;100000000,VALUE(MID($C2162,2,20)),1000000000),1000000000))+ROW()/100000,"")</f>
        <v/>
      </c>
    </row>
    <row r="2163">
      <c r="D2163" s="11" t="n"/>
      <c r="K2163" s="7">
        <f>IF($C2163="","",J2163*W2163/100)</f>
        <v/>
      </c>
      <c r="Q2163" s="7" t="n"/>
      <c r="R2163" s="7" t="n"/>
      <c r="U2163">
        <f>IF($C2163="","",IF($AJ2163=1,0,IF($AI2163=1,Settings!$C$6,Settings!$C$7))*100)</f>
        <v/>
      </c>
      <c r="V2163" s="7">
        <f>IF($C2163="","",R2163*U2163/100)</f>
        <v/>
      </c>
      <c r="W2163" s="7">
        <f>IF($C2163="","",R2163-V2163)</f>
        <v/>
      </c>
      <c r="X2163" s="7">
        <f>IF($C2163="","",W2163-K2163)</f>
        <v/>
      </c>
      <c r="AB2163" s="7" t="n"/>
      <c r="AE2163" s="11" t="n"/>
      <c r="AG2163">
        <f>IF($C2163="","",IF(COUNTIF($C$2:$C2163,$C2163)=1,1,0))</f>
        <v/>
      </c>
      <c r="AH2163">
        <f>IF($AG2163=1,SUMPRODUCT(--($AK$2:$AK$6001&lt;$AK2163))+1,"")</f>
        <v/>
      </c>
      <c r="AI2163">
        <f>IF($C2163="","",IF(OR($N2163=TRUE(),$N2163="TRUE"),1,0))</f>
        <v/>
      </c>
      <c r="AJ2163">
        <f>IF($C2163="","",IF($T2163="Yes",1,0))</f>
        <v/>
      </c>
      <c r="AK2163">
        <f>IF($AG2163=1,IFERROR(IF(VALUE($C2163)&lt;100000000,VALUE($C2163),1000000000),IFERROR(IF(VALUE(MID($C2163,2,20))&lt;100000000,VALUE(MID($C2163,2,20)),1000000000),1000000000))+ROW()/100000,"")</f>
        <v/>
      </c>
    </row>
    <row r="2164">
      <c r="D2164" s="11" t="n"/>
      <c r="K2164" s="7">
        <f>IF($C2164="","",J2164*W2164/100)</f>
        <v/>
      </c>
      <c r="Q2164" s="7" t="n"/>
      <c r="R2164" s="7" t="n"/>
      <c r="U2164">
        <f>IF($C2164="","",IF($AJ2164=1,0,IF($AI2164=1,Settings!$C$6,Settings!$C$7))*100)</f>
        <v/>
      </c>
      <c r="V2164" s="7">
        <f>IF($C2164="","",R2164*U2164/100)</f>
        <v/>
      </c>
      <c r="W2164" s="7">
        <f>IF($C2164="","",R2164-V2164)</f>
        <v/>
      </c>
      <c r="X2164" s="7">
        <f>IF($C2164="","",W2164-K2164)</f>
        <v/>
      </c>
      <c r="AB2164" s="7" t="n"/>
      <c r="AE2164" s="11" t="n"/>
      <c r="AG2164">
        <f>IF($C2164="","",IF(COUNTIF($C$2:$C2164,$C2164)=1,1,0))</f>
        <v/>
      </c>
      <c r="AH2164">
        <f>IF($AG2164=1,SUMPRODUCT(--($AK$2:$AK$6001&lt;$AK2164))+1,"")</f>
        <v/>
      </c>
      <c r="AI2164">
        <f>IF($C2164="","",IF(OR($N2164=TRUE(),$N2164="TRUE"),1,0))</f>
        <v/>
      </c>
      <c r="AJ2164">
        <f>IF($C2164="","",IF($T2164="Yes",1,0))</f>
        <v/>
      </c>
      <c r="AK2164">
        <f>IF($AG2164=1,IFERROR(IF(VALUE($C2164)&lt;100000000,VALUE($C2164),1000000000),IFERROR(IF(VALUE(MID($C2164,2,20))&lt;100000000,VALUE(MID($C2164,2,20)),1000000000),1000000000))+ROW()/100000,"")</f>
        <v/>
      </c>
    </row>
    <row r="2165">
      <c r="D2165" s="11" t="n"/>
      <c r="K2165" s="7">
        <f>IF($C2165="","",J2165*W2165/100)</f>
        <v/>
      </c>
      <c r="Q2165" s="7" t="n"/>
      <c r="R2165" s="7" t="n"/>
      <c r="U2165">
        <f>IF($C2165="","",IF($AJ2165=1,0,IF($AI2165=1,Settings!$C$6,Settings!$C$7))*100)</f>
        <v/>
      </c>
      <c r="V2165" s="7">
        <f>IF($C2165="","",R2165*U2165/100)</f>
        <v/>
      </c>
      <c r="W2165" s="7">
        <f>IF($C2165="","",R2165-V2165)</f>
        <v/>
      </c>
      <c r="X2165" s="7">
        <f>IF($C2165="","",W2165-K2165)</f>
        <v/>
      </c>
      <c r="AB2165" s="7" t="n"/>
      <c r="AE2165" s="11" t="n"/>
      <c r="AG2165">
        <f>IF($C2165="","",IF(COUNTIF($C$2:$C2165,$C2165)=1,1,0))</f>
        <v/>
      </c>
      <c r="AH2165">
        <f>IF($AG2165=1,SUMPRODUCT(--($AK$2:$AK$6001&lt;$AK2165))+1,"")</f>
        <v/>
      </c>
      <c r="AI2165">
        <f>IF($C2165="","",IF(OR($N2165=TRUE(),$N2165="TRUE"),1,0))</f>
        <v/>
      </c>
      <c r="AJ2165">
        <f>IF($C2165="","",IF($T2165="Yes",1,0))</f>
        <v/>
      </c>
      <c r="AK2165">
        <f>IF($AG2165=1,IFERROR(IF(VALUE($C2165)&lt;100000000,VALUE($C2165),1000000000),IFERROR(IF(VALUE(MID($C2165,2,20))&lt;100000000,VALUE(MID($C2165,2,20)),1000000000),1000000000))+ROW()/100000,"")</f>
        <v/>
      </c>
    </row>
    <row r="2166">
      <c r="D2166" s="11" t="n"/>
      <c r="K2166" s="7">
        <f>IF($C2166="","",J2166*W2166/100)</f>
        <v/>
      </c>
      <c r="Q2166" s="7" t="n"/>
      <c r="R2166" s="7" t="n"/>
      <c r="U2166">
        <f>IF($C2166="","",IF($AJ2166=1,0,IF($AI2166=1,Settings!$C$6,Settings!$C$7))*100)</f>
        <v/>
      </c>
      <c r="V2166" s="7">
        <f>IF($C2166="","",R2166*U2166/100)</f>
        <v/>
      </c>
      <c r="W2166" s="7">
        <f>IF($C2166="","",R2166-V2166)</f>
        <v/>
      </c>
      <c r="X2166" s="7">
        <f>IF($C2166="","",W2166-K2166)</f>
        <v/>
      </c>
      <c r="AB2166" s="7" t="n"/>
      <c r="AE2166" s="11" t="n"/>
      <c r="AG2166">
        <f>IF($C2166="","",IF(COUNTIF($C$2:$C2166,$C2166)=1,1,0))</f>
        <v/>
      </c>
      <c r="AH2166">
        <f>IF($AG2166=1,SUMPRODUCT(--($AK$2:$AK$6001&lt;$AK2166))+1,"")</f>
        <v/>
      </c>
      <c r="AI2166">
        <f>IF($C2166="","",IF(OR($N2166=TRUE(),$N2166="TRUE"),1,0))</f>
        <v/>
      </c>
      <c r="AJ2166">
        <f>IF($C2166="","",IF($T2166="Yes",1,0))</f>
        <v/>
      </c>
      <c r="AK2166">
        <f>IF($AG2166=1,IFERROR(IF(VALUE($C2166)&lt;100000000,VALUE($C2166),1000000000),IFERROR(IF(VALUE(MID($C2166,2,20))&lt;100000000,VALUE(MID($C2166,2,20)),1000000000),1000000000))+ROW()/100000,"")</f>
        <v/>
      </c>
    </row>
    <row r="2167">
      <c r="D2167" s="11" t="n"/>
      <c r="K2167" s="7">
        <f>IF($C2167="","",J2167*W2167/100)</f>
        <v/>
      </c>
      <c r="Q2167" s="7" t="n"/>
      <c r="R2167" s="7" t="n"/>
      <c r="U2167">
        <f>IF($C2167="","",IF($AJ2167=1,0,IF($AI2167=1,Settings!$C$6,Settings!$C$7))*100)</f>
        <v/>
      </c>
      <c r="V2167" s="7">
        <f>IF($C2167="","",R2167*U2167/100)</f>
        <v/>
      </c>
      <c r="W2167" s="7">
        <f>IF($C2167="","",R2167-V2167)</f>
        <v/>
      </c>
      <c r="X2167" s="7">
        <f>IF($C2167="","",W2167-K2167)</f>
        <v/>
      </c>
      <c r="AB2167" s="7" t="n"/>
      <c r="AE2167" s="11" t="n"/>
      <c r="AG2167">
        <f>IF($C2167="","",IF(COUNTIF($C$2:$C2167,$C2167)=1,1,0))</f>
        <v/>
      </c>
      <c r="AH2167">
        <f>IF($AG2167=1,SUMPRODUCT(--($AK$2:$AK$6001&lt;$AK2167))+1,"")</f>
        <v/>
      </c>
      <c r="AI2167">
        <f>IF($C2167="","",IF(OR($N2167=TRUE(),$N2167="TRUE"),1,0))</f>
        <v/>
      </c>
      <c r="AJ2167">
        <f>IF($C2167="","",IF($T2167="Yes",1,0))</f>
        <v/>
      </c>
      <c r="AK2167">
        <f>IF($AG2167=1,IFERROR(IF(VALUE($C2167)&lt;100000000,VALUE($C2167),1000000000),IFERROR(IF(VALUE(MID($C2167,2,20))&lt;100000000,VALUE(MID($C2167,2,20)),1000000000),1000000000))+ROW()/100000,"")</f>
        <v/>
      </c>
    </row>
    <row r="2168">
      <c r="D2168" s="11" t="n"/>
      <c r="K2168" s="7">
        <f>IF($C2168="","",J2168*W2168/100)</f>
        <v/>
      </c>
      <c r="Q2168" s="7" t="n"/>
      <c r="R2168" s="7" t="n"/>
      <c r="U2168">
        <f>IF($C2168="","",IF($AJ2168=1,0,IF($AI2168=1,Settings!$C$6,Settings!$C$7))*100)</f>
        <v/>
      </c>
      <c r="V2168" s="7">
        <f>IF($C2168="","",R2168*U2168/100)</f>
        <v/>
      </c>
      <c r="W2168" s="7">
        <f>IF($C2168="","",R2168-V2168)</f>
        <v/>
      </c>
      <c r="X2168" s="7">
        <f>IF($C2168="","",W2168-K2168)</f>
        <v/>
      </c>
      <c r="AB2168" s="7" t="n"/>
      <c r="AE2168" s="11" t="n"/>
      <c r="AG2168">
        <f>IF($C2168="","",IF(COUNTIF($C$2:$C2168,$C2168)=1,1,0))</f>
        <v/>
      </c>
      <c r="AH2168">
        <f>IF($AG2168=1,SUMPRODUCT(--($AK$2:$AK$6001&lt;$AK2168))+1,"")</f>
        <v/>
      </c>
      <c r="AI2168">
        <f>IF($C2168="","",IF(OR($N2168=TRUE(),$N2168="TRUE"),1,0))</f>
        <v/>
      </c>
      <c r="AJ2168">
        <f>IF($C2168="","",IF($T2168="Yes",1,0))</f>
        <v/>
      </c>
      <c r="AK2168">
        <f>IF($AG2168=1,IFERROR(IF(VALUE($C2168)&lt;100000000,VALUE($C2168),1000000000),IFERROR(IF(VALUE(MID($C2168,2,20))&lt;100000000,VALUE(MID($C2168,2,20)),1000000000),1000000000))+ROW()/100000,"")</f>
        <v/>
      </c>
    </row>
    <row r="2169">
      <c r="D2169" s="11" t="n"/>
      <c r="K2169" s="7">
        <f>IF($C2169="","",J2169*W2169/100)</f>
        <v/>
      </c>
      <c r="Q2169" s="7" t="n"/>
      <c r="R2169" s="7" t="n"/>
      <c r="U2169">
        <f>IF($C2169="","",IF($AJ2169=1,0,IF($AI2169=1,Settings!$C$6,Settings!$C$7))*100)</f>
        <v/>
      </c>
      <c r="V2169" s="7">
        <f>IF($C2169="","",R2169*U2169/100)</f>
        <v/>
      </c>
      <c r="W2169" s="7">
        <f>IF($C2169="","",R2169-V2169)</f>
        <v/>
      </c>
      <c r="X2169" s="7">
        <f>IF($C2169="","",W2169-K2169)</f>
        <v/>
      </c>
      <c r="AB2169" s="7" t="n"/>
      <c r="AE2169" s="11" t="n"/>
      <c r="AG2169">
        <f>IF($C2169="","",IF(COUNTIF($C$2:$C2169,$C2169)=1,1,0))</f>
        <v/>
      </c>
      <c r="AH2169">
        <f>IF($AG2169=1,SUMPRODUCT(--($AK$2:$AK$6001&lt;$AK2169))+1,"")</f>
        <v/>
      </c>
      <c r="AI2169">
        <f>IF($C2169="","",IF(OR($N2169=TRUE(),$N2169="TRUE"),1,0))</f>
        <v/>
      </c>
      <c r="AJ2169">
        <f>IF($C2169="","",IF($T2169="Yes",1,0))</f>
        <v/>
      </c>
      <c r="AK2169">
        <f>IF($AG2169=1,IFERROR(IF(VALUE($C2169)&lt;100000000,VALUE($C2169),1000000000),IFERROR(IF(VALUE(MID($C2169,2,20))&lt;100000000,VALUE(MID($C2169,2,20)),1000000000),1000000000))+ROW()/100000,"")</f>
        <v/>
      </c>
    </row>
    <row r="2170">
      <c r="D2170" s="11" t="n"/>
      <c r="K2170" s="7">
        <f>IF($C2170="","",J2170*W2170/100)</f>
        <v/>
      </c>
      <c r="Q2170" s="7" t="n"/>
      <c r="R2170" s="7" t="n"/>
      <c r="U2170">
        <f>IF($C2170="","",IF($AJ2170=1,0,IF($AI2170=1,Settings!$C$6,Settings!$C$7))*100)</f>
        <v/>
      </c>
      <c r="V2170" s="7">
        <f>IF($C2170="","",R2170*U2170/100)</f>
        <v/>
      </c>
      <c r="W2170" s="7">
        <f>IF($C2170="","",R2170-V2170)</f>
        <v/>
      </c>
      <c r="X2170" s="7">
        <f>IF($C2170="","",W2170-K2170)</f>
        <v/>
      </c>
      <c r="AB2170" s="7" t="n"/>
      <c r="AE2170" s="11" t="n"/>
      <c r="AG2170">
        <f>IF($C2170="","",IF(COUNTIF($C$2:$C2170,$C2170)=1,1,0))</f>
        <v/>
      </c>
      <c r="AH2170">
        <f>IF($AG2170=1,SUMPRODUCT(--($AK$2:$AK$6001&lt;$AK2170))+1,"")</f>
        <v/>
      </c>
      <c r="AI2170">
        <f>IF($C2170="","",IF(OR($N2170=TRUE(),$N2170="TRUE"),1,0))</f>
        <v/>
      </c>
      <c r="AJ2170">
        <f>IF($C2170="","",IF($T2170="Yes",1,0))</f>
        <v/>
      </c>
      <c r="AK2170">
        <f>IF($AG2170=1,IFERROR(IF(VALUE($C2170)&lt;100000000,VALUE($C2170),1000000000),IFERROR(IF(VALUE(MID($C2170,2,20))&lt;100000000,VALUE(MID($C2170,2,20)),1000000000),1000000000))+ROW()/100000,"")</f>
        <v/>
      </c>
    </row>
    <row r="2171">
      <c r="D2171" s="11" t="n"/>
      <c r="K2171" s="7">
        <f>IF($C2171="","",J2171*W2171/100)</f>
        <v/>
      </c>
      <c r="Q2171" s="7" t="n"/>
      <c r="R2171" s="7" t="n"/>
      <c r="U2171">
        <f>IF($C2171="","",IF($AJ2171=1,0,IF($AI2171=1,Settings!$C$6,Settings!$C$7))*100)</f>
        <v/>
      </c>
      <c r="V2171" s="7">
        <f>IF($C2171="","",R2171*U2171/100)</f>
        <v/>
      </c>
      <c r="W2171" s="7">
        <f>IF($C2171="","",R2171-V2171)</f>
        <v/>
      </c>
      <c r="X2171" s="7">
        <f>IF($C2171="","",W2171-K2171)</f>
        <v/>
      </c>
      <c r="AB2171" s="7" t="n"/>
      <c r="AE2171" s="11" t="n"/>
      <c r="AG2171">
        <f>IF($C2171="","",IF(COUNTIF($C$2:$C2171,$C2171)=1,1,0))</f>
        <v/>
      </c>
      <c r="AH2171">
        <f>IF($AG2171=1,SUMPRODUCT(--($AK$2:$AK$6001&lt;$AK2171))+1,"")</f>
        <v/>
      </c>
      <c r="AI2171">
        <f>IF($C2171="","",IF(OR($N2171=TRUE(),$N2171="TRUE"),1,0))</f>
        <v/>
      </c>
      <c r="AJ2171">
        <f>IF($C2171="","",IF($T2171="Yes",1,0))</f>
        <v/>
      </c>
      <c r="AK2171">
        <f>IF($AG2171=1,IFERROR(IF(VALUE($C2171)&lt;100000000,VALUE($C2171),1000000000),IFERROR(IF(VALUE(MID($C2171,2,20))&lt;100000000,VALUE(MID($C2171,2,20)),1000000000),1000000000))+ROW()/100000,"")</f>
        <v/>
      </c>
    </row>
    <row r="2172">
      <c r="D2172" s="11" t="n"/>
      <c r="K2172" s="7">
        <f>IF($C2172="","",J2172*W2172/100)</f>
        <v/>
      </c>
      <c r="Q2172" s="7" t="n"/>
      <c r="R2172" s="7" t="n"/>
      <c r="U2172">
        <f>IF($C2172="","",IF($AJ2172=1,0,IF($AI2172=1,Settings!$C$6,Settings!$C$7))*100)</f>
        <v/>
      </c>
      <c r="V2172" s="7">
        <f>IF($C2172="","",R2172*U2172/100)</f>
        <v/>
      </c>
      <c r="W2172" s="7">
        <f>IF($C2172="","",R2172-V2172)</f>
        <v/>
      </c>
      <c r="X2172" s="7">
        <f>IF($C2172="","",W2172-K2172)</f>
        <v/>
      </c>
      <c r="AB2172" s="7" t="n"/>
      <c r="AE2172" s="11" t="n"/>
      <c r="AG2172">
        <f>IF($C2172="","",IF(COUNTIF($C$2:$C2172,$C2172)=1,1,0))</f>
        <v/>
      </c>
      <c r="AH2172">
        <f>IF($AG2172=1,SUMPRODUCT(--($AK$2:$AK$6001&lt;$AK2172))+1,"")</f>
        <v/>
      </c>
      <c r="AI2172">
        <f>IF($C2172="","",IF(OR($N2172=TRUE(),$N2172="TRUE"),1,0))</f>
        <v/>
      </c>
      <c r="AJ2172">
        <f>IF($C2172="","",IF($T2172="Yes",1,0))</f>
        <v/>
      </c>
      <c r="AK2172">
        <f>IF($AG2172=1,IFERROR(IF(VALUE($C2172)&lt;100000000,VALUE($C2172),1000000000),IFERROR(IF(VALUE(MID($C2172,2,20))&lt;100000000,VALUE(MID($C2172,2,20)),1000000000),1000000000))+ROW()/100000,"")</f>
        <v/>
      </c>
    </row>
    <row r="2173">
      <c r="D2173" s="11" t="n"/>
      <c r="K2173" s="7">
        <f>IF($C2173="","",J2173*W2173/100)</f>
        <v/>
      </c>
      <c r="Q2173" s="7" t="n"/>
      <c r="R2173" s="7" t="n"/>
      <c r="U2173">
        <f>IF($C2173="","",IF($AJ2173=1,0,IF($AI2173=1,Settings!$C$6,Settings!$C$7))*100)</f>
        <v/>
      </c>
      <c r="V2173" s="7">
        <f>IF($C2173="","",R2173*U2173/100)</f>
        <v/>
      </c>
      <c r="W2173" s="7">
        <f>IF($C2173="","",R2173-V2173)</f>
        <v/>
      </c>
      <c r="X2173" s="7">
        <f>IF($C2173="","",W2173-K2173)</f>
        <v/>
      </c>
      <c r="AB2173" s="7" t="n"/>
      <c r="AE2173" s="11" t="n"/>
      <c r="AG2173">
        <f>IF($C2173="","",IF(COUNTIF($C$2:$C2173,$C2173)=1,1,0))</f>
        <v/>
      </c>
      <c r="AH2173">
        <f>IF($AG2173=1,SUMPRODUCT(--($AK$2:$AK$6001&lt;$AK2173))+1,"")</f>
        <v/>
      </c>
      <c r="AI2173">
        <f>IF($C2173="","",IF(OR($N2173=TRUE(),$N2173="TRUE"),1,0))</f>
        <v/>
      </c>
      <c r="AJ2173">
        <f>IF($C2173="","",IF($T2173="Yes",1,0))</f>
        <v/>
      </c>
      <c r="AK2173">
        <f>IF($AG2173=1,IFERROR(IF(VALUE($C2173)&lt;100000000,VALUE($C2173),1000000000),IFERROR(IF(VALUE(MID($C2173,2,20))&lt;100000000,VALUE(MID($C2173,2,20)),1000000000),1000000000))+ROW()/100000,"")</f>
        <v/>
      </c>
    </row>
    <row r="2174">
      <c r="D2174" s="11" t="n"/>
      <c r="K2174" s="7">
        <f>IF($C2174="","",J2174*W2174/100)</f>
        <v/>
      </c>
      <c r="Q2174" s="7" t="n"/>
      <c r="R2174" s="7" t="n"/>
      <c r="U2174">
        <f>IF($C2174="","",IF($AJ2174=1,0,IF($AI2174=1,Settings!$C$6,Settings!$C$7))*100)</f>
        <v/>
      </c>
      <c r="V2174" s="7">
        <f>IF($C2174="","",R2174*U2174/100)</f>
        <v/>
      </c>
      <c r="W2174" s="7">
        <f>IF($C2174="","",R2174-V2174)</f>
        <v/>
      </c>
      <c r="X2174" s="7">
        <f>IF($C2174="","",W2174-K2174)</f>
        <v/>
      </c>
      <c r="AB2174" s="7" t="n"/>
      <c r="AE2174" s="11" t="n"/>
      <c r="AG2174">
        <f>IF($C2174="","",IF(COUNTIF($C$2:$C2174,$C2174)=1,1,0))</f>
        <v/>
      </c>
      <c r="AH2174">
        <f>IF($AG2174=1,SUMPRODUCT(--($AK$2:$AK$6001&lt;$AK2174))+1,"")</f>
        <v/>
      </c>
      <c r="AI2174">
        <f>IF($C2174="","",IF(OR($N2174=TRUE(),$N2174="TRUE"),1,0))</f>
        <v/>
      </c>
      <c r="AJ2174">
        <f>IF($C2174="","",IF($T2174="Yes",1,0))</f>
        <v/>
      </c>
      <c r="AK2174">
        <f>IF($AG2174=1,IFERROR(IF(VALUE($C2174)&lt;100000000,VALUE($C2174),1000000000),IFERROR(IF(VALUE(MID($C2174,2,20))&lt;100000000,VALUE(MID($C2174,2,20)),1000000000),1000000000))+ROW()/100000,"")</f>
        <v/>
      </c>
    </row>
    <row r="2175">
      <c r="D2175" s="11" t="n"/>
      <c r="K2175" s="7">
        <f>IF($C2175="","",J2175*W2175/100)</f>
        <v/>
      </c>
      <c r="Q2175" s="7" t="n"/>
      <c r="R2175" s="7" t="n"/>
      <c r="U2175">
        <f>IF($C2175="","",IF($AJ2175=1,0,IF($AI2175=1,Settings!$C$6,Settings!$C$7))*100)</f>
        <v/>
      </c>
      <c r="V2175" s="7">
        <f>IF($C2175="","",R2175*U2175/100)</f>
        <v/>
      </c>
      <c r="W2175" s="7">
        <f>IF($C2175="","",R2175-V2175)</f>
        <v/>
      </c>
      <c r="X2175" s="7">
        <f>IF($C2175="","",W2175-K2175)</f>
        <v/>
      </c>
      <c r="AB2175" s="7" t="n"/>
      <c r="AE2175" s="11" t="n"/>
      <c r="AG2175">
        <f>IF($C2175="","",IF(COUNTIF($C$2:$C2175,$C2175)=1,1,0))</f>
        <v/>
      </c>
      <c r="AH2175">
        <f>IF($AG2175=1,SUMPRODUCT(--($AK$2:$AK$6001&lt;$AK2175))+1,"")</f>
        <v/>
      </c>
      <c r="AI2175">
        <f>IF($C2175="","",IF(OR($N2175=TRUE(),$N2175="TRUE"),1,0))</f>
        <v/>
      </c>
      <c r="AJ2175">
        <f>IF($C2175="","",IF($T2175="Yes",1,0))</f>
        <v/>
      </c>
      <c r="AK2175">
        <f>IF($AG2175=1,IFERROR(IF(VALUE($C2175)&lt;100000000,VALUE($C2175),1000000000),IFERROR(IF(VALUE(MID($C2175,2,20))&lt;100000000,VALUE(MID($C2175,2,20)),1000000000),1000000000))+ROW()/100000,"")</f>
        <v/>
      </c>
    </row>
    <row r="2176">
      <c r="D2176" s="11" t="n"/>
      <c r="K2176" s="7">
        <f>IF($C2176="","",J2176*W2176/100)</f>
        <v/>
      </c>
      <c r="Q2176" s="7" t="n"/>
      <c r="R2176" s="7" t="n"/>
      <c r="U2176">
        <f>IF($C2176="","",IF($AJ2176=1,0,IF($AI2176=1,Settings!$C$6,Settings!$C$7))*100)</f>
        <v/>
      </c>
      <c r="V2176" s="7">
        <f>IF($C2176="","",R2176*U2176/100)</f>
        <v/>
      </c>
      <c r="W2176" s="7">
        <f>IF($C2176="","",R2176-V2176)</f>
        <v/>
      </c>
      <c r="X2176" s="7">
        <f>IF($C2176="","",W2176-K2176)</f>
        <v/>
      </c>
      <c r="AB2176" s="7" t="n"/>
      <c r="AE2176" s="11" t="n"/>
      <c r="AG2176">
        <f>IF($C2176="","",IF(COUNTIF($C$2:$C2176,$C2176)=1,1,0))</f>
        <v/>
      </c>
      <c r="AH2176">
        <f>IF($AG2176=1,SUMPRODUCT(--($AK$2:$AK$6001&lt;$AK2176))+1,"")</f>
        <v/>
      </c>
      <c r="AI2176">
        <f>IF($C2176="","",IF(OR($N2176=TRUE(),$N2176="TRUE"),1,0))</f>
        <v/>
      </c>
      <c r="AJ2176">
        <f>IF($C2176="","",IF($T2176="Yes",1,0))</f>
        <v/>
      </c>
      <c r="AK2176">
        <f>IF($AG2176=1,IFERROR(IF(VALUE($C2176)&lt;100000000,VALUE($C2176),1000000000),IFERROR(IF(VALUE(MID($C2176,2,20))&lt;100000000,VALUE(MID($C2176,2,20)),1000000000),1000000000))+ROW()/100000,"")</f>
        <v/>
      </c>
    </row>
    <row r="2177">
      <c r="D2177" s="11" t="n"/>
      <c r="K2177" s="7">
        <f>IF($C2177="","",J2177*W2177/100)</f>
        <v/>
      </c>
      <c r="Q2177" s="7" t="n"/>
      <c r="R2177" s="7" t="n"/>
      <c r="U2177">
        <f>IF($C2177="","",IF($AJ2177=1,0,IF($AI2177=1,Settings!$C$6,Settings!$C$7))*100)</f>
        <v/>
      </c>
      <c r="V2177" s="7">
        <f>IF($C2177="","",R2177*U2177/100)</f>
        <v/>
      </c>
      <c r="W2177" s="7">
        <f>IF($C2177="","",R2177-V2177)</f>
        <v/>
      </c>
      <c r="X2177" s="7">
        <f>IF($C2177="","",W2177-K2177)</f>
        <v/>
      </c>
      <c r="AB2177" s="7" t="n"/>
      <c r="AE2177" s="11" t="n"/>
      <c r="AG2177">
        <f>IF($C2177="","",IF(COUNTIF($C$2:$C2177,$C2177)=1,1,0))</f>
        <v/>
      </c>
      <c r="AH2177">
        <f>IF($AG2177=1,SUMPRODUCT(--($AK$2:$AK$6001&lt;$AK2177))+1,"")</f>
        <v/>
      </c>
      <c r="AI2177">
        <f>IF($C2177="","",IF(OR($N2177=TRUE(),$N2177="TRUE"),1,0))</f>
        <v/>
      </c>
      <c r="AJ2177">
        <f>IF($C2177="","",IF($T2177="Yes",1,0))</f>
        <v/>
      </c>
      <c r="AK2177">
        <f>IF($AG2177=1,IFERROR(IF(VALUE($C2177)&lt;100000000,VALUE($C2177),1000000000),IFERROR(IF(VALUE(MID($C2177,2,20))&lt;100000000,VALUE(MID($C2177,2,20)),1000000000),1000000000))+ROW()/100000,"")</f>
        <v/>
      </c>
    </row>
    <row r="2178">
      <c r="D2178" s="11" t="n"/>
      <c r="K2178" s="7">
        <f>IF($C2178="","",J2178*W2178/100)</f>
        <v/>
      </c>
      <c r="Q2178" s="7" t="n"/>
      <c r="R2178" s="7" t="n"/>
      <c r="U2178">
        <f>IF($C2178="","",IF($AJ2178=1,0,IF($AI2178=1,Settings!$C$6,Settings!$C$7))*100)</f>
        <v/>
      </c>
      <c r="V2178" s="7">
        <f>IF($C2178="","",R2178*U2178/100)</f>
        <v/>
      </c>
      <c r="W2178" s="7">
        <f>IF($C2178="","",R2178-V2178)</f>
        <v/>
      </c>
      <c r="X2178" s="7">
        <f>IF($C2178="","",W2178-K2178)</f>
        <v/>
      </c>
      <c r="AB2178" s="7" t="n"/>
      <c r="AE2178" s="11" t="n"/>
      <c r="AG2178">
        <f>IF($C2178="","",IF(COUNTIF($C$2:$C2178,$C2178)=1,1,0))</f>
        <v/>
      </c>
      <c r="AH2178">
        <f>IF($AG2178=1,SUMPRODUCT(--($AK$2:$AK$6001&lt;$AK2178))+1,"")</f>
        <v/>
      </c>
      <c r="AI2178">
        <f>IF($C2178="","",IF(OR($N2178=TRUE(),$N2178="TRUE"),1,0))</f>
        <v/>
      </c>
      <c r="AJ2178">
        <f>IF($C2178="","",IF($T2178="Yes",1,0))</f>
        <v/>
      </c>
      <c r="AK2178">
        <f>IF($AG2178=1,IFERROR(IF(VALUE($C2178)&lt;100000000,VALUE($C2178),1000000000),IFERROR(IF(VALUE(MID($C2178,2,20))&lt;100000000,VALUE(MID($C2178,2,20)),1000000000),1000000000))+ROW()/100000,"")</f>
        <v/>
      </c>
    </row>
    <row r="2179">
      <c r="D2179" s="11" t="n"/>
      <c r="K2179" s="7">
        <f>IF($C2179="","",J2179*W2179/100)</f>
        <v/>
      </c>
      <c r="Q2179" s="7" t="n"/>
      <c r="R2179" s="7" t="n"/>
      <c r="U2179">
        <f>IF($C2179="","",IF($AJ2179=1,0,IF($AI2179=1,Settings!$C$6,Settings!$C$7))*100)</f>
        <v/>
      </c>
      <c r="V2179" s="7">
        <f>IF($C2179="","",R2179*U2179/100)</f>
        <v/>
      </c>
      <c r="W2179" s="7">
        <f>IF($C2179="","",R2179-V2179)</f>
        <v/>
      </c>
      <c r="X2179" s="7">
        <f>IF($C2179="","",W2179-K2179)</f>
        <v/>
      </c>
      <c r="AB2179" s="7" t="n"/>
      <c r="AE2179" s="11" t="n"/>
      <c r="AG2179">
        <f>IF($C2179="","",IF(COUNTIF($C$2:$C2179,$C2179)=1,1,0))</f>
        <v/>
      </c>
      <c r="AH2179">
        <f>IF($AG2179=1,SUMPRODUCT(--($AK$2:$AK$6001&lt;$AK2179))+1,"")</f>
        <v/>
      </c>
      <c r="AI2179">
        <f>IF($C2179="","",IF(OR($N2179=TRUE(),$N2179="TRUE"),1,0))</f>
        <v/>
      </c>
      <c r="AJ2179">
        <f>IF($C2179="","",IF($T2179="Yes",1,0))</f>
        <v/>
      </c>
      <c r="AK2179">
        <f>IF($AG2179=1,IFERROR(IF(VALUE($C2179)&lt;100000000,VALUE($C2179),1000000000),IFERROR(IF(VALUE(MID($C2179,2,20))&lt;100000000,VALUE(MID($C2179,2,20)),1000000000),1000000000))+ROW()/100000,"")</f>
        <v/>
      </c>
    </row>
    <row r="2180">
      <c r="D2180" s="11" t="n"/>
      <c r="K2180" s="7">
        <f>IF($C2180="","",J2180*W2180/100)</f>
        <v/>
      </c>
      <c r="Q2180" s="7" t="n"/>
      <c r="R2180" s="7" t="n"/>
      <c r="U2180">
        <f>IF($C2180="","",IF($AJ2180=1,0,IF($AI2180=1,Settings!$C$6,Settings!$C$7))*100)</f>
        <v/>
      </c>
      <c r="V2180" s="7">
        <f>IF($C2180="","",R2180*U2180/100)</f>
        <v/>
      </c>
      <c r="W2180" s="7">
        <f>IF($C2180="","",R2180-V2180)</f>
        <v/>
      </c>
      <c r="X2180" s="7">
        <f>IF($C2180="","",W2180-K2180)</f>
        <v/>
      </c>
      <c r="AB2180" s="7" t="n"/>
      <c r="AE2180" s="11" t="n"/>
      <c r="AG2180">
        <f>IF($C2180="","",IF(COUNTIF($C$2:$C2180,$C2180)=1,1,0))</f>
        <v/>
      </c>
      <c r="AH2180">
        <f>IF($AG2180=1,SUMPRODUCT(--($AK$2:$AK$6001&lt;$AK2180))+1,"")</f>
        <v/>
      </c>
      <c r="AI2180">
        <f>IF($C2180="","",IF(OR($N2180=TRUE(),$N2180="TRUE"),1,0))</f>
        <v/>
      </c>
      <c r="AJ2180">
        <f>IF($C2180="","",IF($T2180="Yes",1,0))</f>
        <v/>
      </c>
      <c r="AK2180">
        <f>IF($AG2180=1,IFERROR(IF(VALUE($C2180)&lt;100000000,VALUE($C2180),1000000000),IFERROR(IF(VALUE(MID($C2180,2,20))&lt;100000000,VALUE(MID($C2180,2,20)),1000000000),1000000000))+ROW()/100000,"")</f>
        <v/>
      </c>
    </row>
    <row r="2181">
      <c r="D2181" s="11" t="n"/>
      <c r="K2181" s="7">
        <f>IF($C2181="","",J2181*W2181/100)</f>
        <v/>
      </c>
      <c r="Q2181" s="7" t="n"/>
      <c r="R2181" s="7" t="n"/>
      <c r="U2181">
        <f>IF($C2181="","",IF($AJ2181=1,0,IF($AI2181=1,Settings!$C$6,Settings!$C$7))*100)</f>
        <v/>
      </c>
      <c r="V2181" s="7">
        <f>IF($C2181="","",R2181*U2181/100)</f>
        <v/>
      </c>
      <c r="W2181" s="7">
        <f>IF($C2181="","",R2181-V2181)</f>
        <v/>
      </c>
      <c r="X2181" s="7">
        <f>IF($C2181="","",W2181-K2181)</f>
        <v/>
      </c>
      <c r="AB2181" s="7" t="n"/>
      <c r="AE2181" s="11" t="n"/>
      <c r="AG2181">
        <f>IF($C2181="","",IF(COUNTIF($C$2:$C2181,$C2181)=1,1,0))</f>
        <v/>
      </c>
      <c r="AH2181">
        <f>IF($AG2181=1,SUMPRODUCT(--($AK$2:$AK$6001&lt;$AK2181))+1,"")</f>
        <v/>
      </c>
      <c r="AI2181">
        <f>IF($C2181="","",IF(OR($N2181=TRUE(),$N2181="TRUE"),1,0))</f>
        <v/>
      </c>
      <c r="AJ2181">
        <f>IF($C2181="","",IF($T2181="Yes",1,0))</f>
        <v/>
      </c>
      <c r="AK2181">
        <f>IF($AG2181=1,IFERROR(IF(VALUE($C2181)&lt;100000000,VALUE($C2181),1000000000),IFERROR(IF(VALUE(MID($C2181,2,20))&lt;100000000,VALUE(MID($C2181,2,20)),1000000000),1000000000))+ROW()/100000,"")</f>
        <v/>
      </c>
    </row>
    <row r="2182">
      <c r="D2182" s="11" t="n"/>
      <c r="K2182" s="7">
        <f>IF($C2182="","",J2182*W2182/100)</f>
        <v/>
      </c>
      <c r="Q2182" s="7" t="n"/>
      <c r="R2182" s="7" t="n"/>
      <c r="U2182">
        <f>IF($C2182="","",IF($AJ2182=1,0,IF($AI2182=1,Settings!$C$6,Settings!$C$7))*100)</f>
        <v/>
      </c>
      <c r="V2182" s="7">
        <f>IF($C2182="","",R2182*U2182/100)</f>
        <v/>
      </c>
      <c r="W2182" s="7">
        <f>IF($C2182="","",R2182-V2182)</f>
        <v/>
      </c>
      <c r="X2182" s="7">
        <f>IF($C2182="","",W2182-K2182)</f>
        <v/>
      </c>
      <c r="AB2182" s="7" t="n"/>
      <c r="AE2182" s="11" t="n"/>
      <c r="AG2182">
        <f>IF($C2182="","",IF(COUNTIF($C$2:$C2182,$C2182)=1,1,0))</f>
        <v/>
      </c>
      <c r="AH2182">
        <f>IF($AG2182=1,SUMPRODUCT(--($AK$2:$AK$6001&lt;$AK2182))+1,"")</f>
        <v/>
      </c>
      <c r="AI2182">
        <f>IF($C2182="","",IF(OR($N2182=TRUE(),$N2182="TRUE"),1,0))</f>
        <v/>
      </c>
      <c r="AJ2182">
        <f>IF($C2182="","",IF($T2182="Yes",1,0))</f>
        <v/>
      </c>
      <c r="AK2182">
        <f>IF($AG2182=1,IFERROR(IF(VALUE($C2182)&lt;100000000,VALUE($C2182),1000000000),IFERROR(IF(VALUE(MID($C2182,2,20))&lt;100000000,VALUE(MID($C2182,2,20)),1000000000),1000000000))+ROW()/100000,"")</f>
        <v/>
      </c>
    </row>
    <row r="2183">
      <c r="D2183" s="11" t="n"/>
      <c r="K2183" s="7">
        <f>IF($C2183="","",J2183*W2183/100)</f>
        <v/>
      </c>
      <c r="Q2183" s="7" t="n"/>
      <c r="R2183" s="7" t="n"/>
      <c r="U2183">
        <f>IF($C2183="","",IF($AJ2183=1,0,IF($AI2183=1,Settings!$C$6,Settings!$C$7))*100)</f>
        <v/>
      </c>
      <c r="V2183" s="7">
        <f>IF($C2183="","",R2183*U2183/100)</f>
        <v/>
      </c>
      <c r="W2183" s="7">
        <f>IF($C2183="","",R2183-V2183)</f>
        <v/>
      </c>
      <c r="X2183" s="7">
        <f>IF($C2183="","",W2183-K2183)</f>
        <v/>
      </c>
      <c r="AB2183" s="7" t="n"/>
      <c r="AE2183" s="11" t="n"/>
      <c r="AG2183">
        <f>IF($C2183="","",IF(COUNTIF($C$2:$C2183,$C2183)=1,1,0))</f>
        <v/>
      </c>
      <c r="AH2183">
        <f>IF($AG2183=1,SUMPRODUCT(--($AK$2:$AK$6001&lt;$AK2183))+1,"")</f>
        <v/>
      </c>
      <c r="AI2183">
        <f>IF($C2183="","",IF(OR($N2183=TRUE(),$N2183="TRUE"),1,0))</f>
        <v/>
      </c>
      <c r="AJ2183">
        <f>IF($C2183="","",IF($T2183="Yes",1,0))</f>
        <v/>
      </c>
      <c r="AK2183">
        <f>IF($AG2183=1,IFERROR(IF(VALUE($C2183)&lt;100000000,VALUE($C2183),1000000000),IFERROR(IF(VALUE(MID($C2183,2,20))&lt;100000000,VALUE(MID($C2183,2,20)),1000000000),1000000000))+ROW()/100000,"")</f>
        <v/>
      </c>
    </row>
    <row r="2184">
      <c r="D2184" s="11" t="n"/>
      <c r="K2184" s="7">
        <f>IF($C2184="","",J2184*W2184/100)</f>
        <v/>
      </c>
      <c r="Q2184" s="7" t="n"/>
      <c r="R2184" s="7" t="n"/>
      <c r="U2184">
        <f>IF($C2184="","",IF($AJ2184=1,0,IF($AI2184=1,Settings!$C$6,Settings!$C$7))*100)</f>
        <v/>
      </c>
      <c r="V2184" s="7">
        <f>IF($C2184="","",R2184*U2184/100)</f>
        <v/>
      </c>
      <c r="W2184" s="7">
        <f>IF($C2184="","",R2184-V2184)</f>
        <v/>
      </c>
      <c r="X2184" s="7">
        <f>IF($C2184="","",W2184-K2184)</f>
        <v/>
      </c>
      <c r="AB2184" s="7" t="n"/>
      <c r="AE2184" s="11" t="n"/>
      <c r="AG2184">
        <f>IF($C2184="","",IF(COUNTIF($C$2:$C2184,$C2184)=1,1,0))</f>
        <v/>
      </c>
      <c r="AH2184">
        <f>IF($AG2184=1,SUMPRODUCT(--($AK$2:$AK$6001&lt;$AK2184))+1,"")</f>
        <v/>
      </c>
      <c r="AI2184">
        <f>IF($C2184="","",IF(OR($N2184=TRUE(),$N2184="TRUE"),1,0))</f>
        <v/>
      </c>
      <c r="AJ2184">
        <f>IF($C2184="","",IF($T2184="Yes",1,0))</f>
        <v/>
      </c>
      <c r="AK2184">
        <f>IF($AG2184=1,IFERROR(IF(VALUE($C2184)&lt;100000000,VALUE($C2184),1000000000),IFERROR(IF(VALUE(MID($C2184,2,20))&lt;100000000,VALUE(MID($C2184,2,20)),1000000000),1000000000))+ROW()/100000,"")</f>
        <v/>
      </c>
    </row>
    <row r="2185">
      <c r="D2185" s="11" t="n"/>
      <c r="K2185" s="7">
        <f>IF($C2185="","",J2185*W2185/100)</f>
        <v/>
      </c>
      <c r="Q2185" s="7" t="n"/>
      <c r="R2185" s="7" t="n"/>
      <c r="U2185">
        <f>IF($C2185="","",IF($AJ2185=1,0,IF($AI2185=1,Settings!$C$6,Settings!$C$7))*100)</f>
        <v/>
      </c>
      <c r="V2185" s="7">
        <f>IF($C2185="","",R2185*U2185/100)</f>
        <v/>
      </c>
      <c r="W2185" s="7">
        <f>IF($C2185="","",R2185-V2185)</f>
        <v/>
      </c>
      <c r="X2185" s="7">
        <f>IF($C2185="","",W2185-K2185)</f>
        <v/>
      </c>
      <c r="AB2185" s="7" t="n"/>
      <c r="AE2185" s="11" t="n"/>
      <c r="AG2185">
        <f>IF($C2185="","",IF(COUNTIF($C$2:$C2185,$C2185)=1,1,0))</f>
        <v/>
      </c>
      <c r="AH2185">
        <f>IF($AG2185=1,SUMPRODUCT(--($AK$2:$AK$6001&lt;$AK2185))+1,"")</f>
        <v/>
      </c>
      <c r="AI2185">
        <f>IF($C2185="","",IF(OR($N2185=TRUE(),$N2185="TRUE"),1,0))</f>
        <v/>
      </c>
      <c r="AJ2185">
        <f>IF($C2185="","",IF($T2185="Yes",1,0))</f>
        <v/>
      </c>
      <c r="AK2185">
        <f>IF($AG2185=1,IFERROR(IF(VALUE($C2185)&lt;100000000,VALUE($C2185),1000000000),IFERROR(IF(VALUE(MID($C2185,2,20))&lt;100000000,VALUE(MID($C2185,2,20)),1000000000),1000000000))+ROW()/100000,"")</f>
        <v/>
      </c>
    </row>
    <row r="2186">
      <c r="D2186" s="11" t="n"/>
      <c r="K2186" s="7">
        <f>IF($C2186="","",J2186*W2186/100)</f>
        <v/>
      </c>
      <c r="Q2186" s="7" t="n"/>
      <c r="R2186" s="7" t="n"/>
      <c r="U2186">
        <f>IF($C2186="","",IF($AJ2186=1,0,IF($AI2186=1,Settings!$C$6,Settings!$C$7))*100)</f>
        <v/>
      </c>
      <c r="V2186" s="7">
        <f>IF($C2186="","",R2186*U2186/100)</f>
        <v/>
      </c>
      <c r="W2186" s="7">
        <f>IF($C2186="","",R2186-V2186)</f>
        <v/>
      </c>
      <c r="X2186" s="7">
        <f>IF($C2186="","",W2186-K2186)</f>
        <v/>
      </c>
      <c r="AB2186" s="7" t="n"/>
      <c r="AE2186" s="11" t="n"/>
      <c r="AG2186">
        <f>IF($C2186="","",IF(COUNTIF($C$2:$C2186,$C2186)=1,1,0))</f>
        <v/>
      </c>
      <c r="AH2186">
        <f>IF($AG2186=1,SUMPRODUCT(--($AK$2:$AK$6001&lt;$AK2186))+1,"")</f>
        <v/>
      </c>
      <c r="AI2186">
        <f>IF($C2186="","",IF(OR($N2186=TRUE(),$N2186="TRUE"),1,0))</f>
        <v/>
      </c>
      <c r="AJ2186">
        <f>IF($C2186="","",IF($T2186="Yes",1,0))</f>
        <v/>
      </c>
      <c r="AK2186">
        <f>IF($AG2186=1,IFERROR(IF(VALUE($C2186)&lt;100000000,VALUE($C2186),1000000000),IFERROR(IF(VALUE(MID($C2186,2,20))&lt;100000000,VALUE(MID($C2186,2,20)),1000000000),1000000000))+ROW()/100000,"")</f>
        <v/>
      </c>
    </row>
    <row r="2187">
      <c r="D2187" s="11" t="n"/>
      <c r="K2187" s="7">
        <f>IF($C2187="","",J2187*W2187/100)</f>
        <v/>
      </c>
      <c r="Q2187" s="7" t="n"/>
      <c r="R2187" s="7" t="n"/>
      <c r="U2187">
        <f>IF($C2187="","",IF($AJ2187=1,0,IF($AI2187=1,Settings!$C$6,Settings!$C$7))*100)</f>
        <v/>
      </c>
      <c r="V2187" s="7">
        <f>IF($C2187="","",R2187*U2187/100)</f>
        <v/>
      </c>
      <c r="W2187" s="7">
        <f>IF($C2187="","",R2187-V2187)</f>
        <v/>
      </c>
      <c r="X2187" s="7">
        <f>IF($C2187="","",W2187-K2187)</f>
        <v/>
      </c>
      <c r="AB2187" s="7" t="n"/>
      <c r="AE2187" s="11" t="n"/>
      <c r="AG2187">
        <f>IF($C2187="","",IF(COUNTIF($C$2:$C2187,$C2187)=1,1,0))</f>
        <v/>
      </c>
      <c r="AH2187">
        <f>IF($AG2187=1,SUMPRODUCT(--($AK$2:$AK$6001&lt;$AK2187))+1,"")</f>
        <v/>
      </c>
      <c r="AI2187">
        <f>IF($C2187="","",IF(OR($N2187=TRUE(),$N2187="TRUE"),1,0))</f>
        <v/>
      </c>
      <c r="AJ2187">
        <f>IF($C2187="","",IF($T2187="Yes",1,0))</f>
        <v/>
      </c>
      <c r="AK2187">
        <f>IF($AG2187=1,IFERROR(IF(VALUE($C2187)&lt;100000000,VALUE($C2187),1000000000),IFERROR(IF(VALUE(MID($C2187,2,20))&lt;100000000,VALUE(MID($C2187,2,20)),1000000000),1000000000))+ROW()/100000,"")</f>
        <v/>
      </c>
    </row>
    <row r="2188">
      <c r="D2188" s="11" t="n"/>
      <c r="K2188" s="7">
        <f>IF($C2188="","",J2188*W2188/100)</f>
        <v/>
      </c>
      <c r="Q2188" s="7" t="n"/>
      <c r="R2188" s="7" t="n"/>
      <c r="U2188">
        <f>IF($C2188="","",IF($AJ2188=1,0,IF($AI2188=1,Settings!$C$6,Settings!$C$7))*100)</f>
        <v/>
      </c>
      <c r="V2188" s="7">
        <f>IF($C2188="","",R2188*U2188/100)</f>
        <v/>
      </c>
      <c r="W2188" s="7">
        <f>IF($C2188="","",R2188-V2188)</f>
        <v/>
      </c>
      <c r="X2188" s="7">
        <f>IF($C2188="","",W2188-K2188)</f>
        <v/>
      </c>
      <c r="AB2188" s="7" t="n"/>
      <c r="AE2188" s="11" t="n"/>
      <c r="AG2188">
        <f>IF($C2188="","",IF(COUNTIF($C$2:$C2188,$C2188)=1,1,0))</f>
        <v/>
      </c>
      <c r="AH2188">
        <f>IF($AG2188=1,SUMPRODUCT(--($AK$2:$AK$6001&lt;$AK2188))+1,"")</f>
        <v/>
      </c>
      <c r="AI2188">
        <f>IF($C2188="","",IF(OR($N2188=TRUE(),$N2188="TRUE"),1,0))</f>
        <v/>
      </c>
      <c r="AJ2188">
        <f>IF($C2188="","",IF($T2188="Yes",1,0))</f>
        <v/>
      </c>
      <c r="AK2188">
        <f>IF($AG2188=1,IFERROR(IF(VALUE($C2188)&lt;100000000,VALUE($C2188),1000000000),IFERROR(IF(VALUE(MID($C2188,2,20))&lt;100000000,VALUE(MID($C2188,2,20)),1000000000),1000000000))+ROW()/100000,"")</f>
        <v/>
      </c>
    </row>
    <row r="2189">
      <c r="D2189" s="11" t="n"/>
      <c r="K2189" s="7">
        <f>IF($C2189="","",J2189*W2189/100)</f>
        <v/>
      </c>
      <c r="Q2189" s="7" t="n"/>
      <c r="R2189" s="7" t="n"/>
      <c r="U2189">
        <f>IF($C2189="","",IF($AJ2189=1,0,IF($AI2189=1,Settings!$C$6,Settings!$C$7))*100)</f>
        <v/>
      </c>
      <c r="V2189" s="7">
        <f>IF($C2189="","",R2189*U2189/100)</f>
        <v/>
      </c>
      <c r="W2189" s="7">
        <f>IF($C2189="","",R2189-V2189)</f>
        <v/>
      </c>
      <c r="X2189" s="7">
        <f>IF($C2189="","",W2189-K2189)</f>
        <v/>
      </c>
      <c r="AB2189" s="7" t="n"/>
      <c r="AE2189" s="11" t="n"/>
      <c r="AG2189">
        <f>IF($C2189="","",IF(COUNTIF($C$2:$C2189,$C2189)=1,1,0))</f>
        <v/>
      </c>
      <c r="AH2189">
        <f>IF($AG2189=1,SUMPRODUCT(--($AK$2:$AK$6001&lt;$AK2189))+1,"")</f>
        <v/>
      </c>
      <c r="AI2189">
        <f>IF($C2189="","",IF(OR($N2189=TRUE(),$N2189="TRUE"),1,0))</f>
        <v/>
      </c>
      <c r="AJ2189">
        <f>IF($C2189="","",IF($T2189="Yes",1,0))</f>
        <v/>
      </c>
      <c r="AK2189">
        <f>IF($AG2189=1,IFERROR(IF(VALUE($C2189)&lt;100000000,VALUE($C2189),1000000000),IFERROR(IF(VALUE(MID($C2189,2,20))&lt;100000000,VALUE(MID($C2189,2,20)),1000000000),1000000000))+ROW()/100000,"")</f>
        <v/>
      </c>
    </row>
    <row r="2190">
      <c r="D2190" s="11" t="n"/>
      <c r="K2190" s="7">
        <f>IF($C2190="","",J2190*W2190/100)</f>
        <v/>
      </c>
      <c r="Q2190" s="7" t="n"/>
      <c r="R2190" s="7" t="n"/>
      <c r="U2190">
        <f>IF($C2190="","",IF($AJ2190=1,0,IF($AI2190=1,Settings!$C$6,Settings!$C$7))*100)</f>
        <v/>
      </c>
      <c r="V2190" s="7">
        <f>IF($C2190="","",R2190*U2190/100)</f>
        <v/>
      </c>
      <c r="W2190" s="7">
        <f>IF($C2190="","",R2190-V2190)</f>
        <v/>
      </c>
      <c r="X2190" s="7">
        <f>IF($C2190="","",W2190-K2190)</f>
        <v/>
      </c>
      <c r="AB2190" s="7" t="n"/>
      <c r="AE2190" s="11" t="n"/>
      <c r="AG2190">
        <f>IF($C2190="","",IF(COUNTIF($C$2:$C2190,$C2190)=1,1,0))</f>
        <v/>
      </c>
      <c r="AH2190">
        <f>IF($AG2190=1,SUMPRODUCT(--($AK$2:$AK$6001&lt;$AK2190))+1,"")</f>
        <v/>
      </c>
      <c r="AI2190">
        <f>IF($C2190="","",IF(OR($N2190=TRUE(),$N2190="TRUE"),1,0))</f>
        <v/>
      </c>
      <c r="AJ2190">
        <f>IF($C2190="","",IF($T2190="Yes",1,0))</f>
        <v/>
      </c>
      <c r="AK2190">
        <f>IF($AG2190=1,IFERROR(IF(VALUE($C2190)&lt;100000000,VALUE($C2190),1000000000),IFERROR(IF(VALUE(MID($C2190,2,20))&lt;100000000,VALUE(MID($C2190,2,20)),1000000000),1000000000))+ROW()/100000,"")</f>
        <v/>
      </c>
    </row>
    <row r="2191">
      <c r="D2191" s="11" t="n"/>
      <c r="K2191" s="7">
        <f>IF($C2191="","",J2191*W2191/100)</f>
        <v/>
      </c>
      <c r="Q2191" s="7" t="n"/>
      <c r="R2191" s="7" t="n"/>
      <c r="U2191">
        <f>IF($C2191="","",IF($AJ2191=1,0,IF($AI2191=1,Settings!$C$6,Settings!$C$7))*100)</f>
        <v/>
      </c>
      <c r="V2191" s="7">
        <f>IF($C2191="","",R2191*U2191/100)</f>
        <v/>
      </c>
      <c r="W2191" s="7">
        <f>IF($C2191="","",R2191-V2191)</f>
        <v/>
      </c>
      <c r="X2191" s="7">
        <f>IF($C2191="","",W2191-K2191)</f>
        <v/>
      </c>
      <c r="AB2191" s="7" t="n"/>
      <c r="AE2191" s="11" t="n"/>
      <c r="AG2191">
        <f>IF($C2191="","",IF(COUNTIF($C$2:$C2191,$C2191)=1,1,0))</f>
        <v/>
      </c>
      <c r="AH2191">
        <f>IF($AG2191=1,SUMPRODUCT(--($AK$2:$AK$6001&lt;$AK2191))+1,"")</f>
        <v/>
      </c>
      <c r="AI2191">
        <f>IF($C2191="","",IF(OR($N2191=TRUE(),$N2191="TRUE"),1,0))</f>
        <v/>
      </c>
      <c r="AJ2191">
        <f>IF($C2191="","",IF($T2191="Yes",1,0))</f>
        <v/>
      </c>
      <c r="AK2191">
        <f>IF($AG2191=1,IFERROR(IF(VALUE($C2191)&lt;100000000,VALUE($C2191),1000000000),IFERROR(IF(VALUE(MID($C2191,2,20))&lt;100000000,VALUE(MID($C2191,2,20)),1000000000),1000000000))+ROW()/100000,"")</f>
        <v/>
      </c>
    </row>
    <row r="2192">
      <c r="D2192" s="11" t="n"/>
      <c r="K2192" s="7">
        <f>IF($C2192="","",J2192*W2192/100)</f>
        <v/>
      </c>
      <c r="Q2192" s="7" t="n"/>
      <c r="R2192" s="7" t="n"/>
      <c r="U2192">
        <f>IF($C2192="","",IF($AJ2192=1,0,IF($AI2192=1,Settings!$C$6,Settings!$C$7))*100)</f>
        <v/>
      </c>
      <c r="V2192" s="7">
        <f>IF($C2192="","",R2192*U2192/100)</f>
        <v/>
      </c>
      <c r="W2192" s="7">
        <f>IF($C2192="","",R2192-V2192)</f>
        <v/>
      </c>
      <c r="X2192" s="7">
        <f>IF($C2192="","",W2192-K2192)</f>
        <v/>
      </c>
      <c r="AB2192" s="7" t="n"/>
      <c r="AE2192" s="11" t="n"/>
      <c r="AG2192">
        <f>IF($C2192="","",IF(COUNTIF($C$2:$C2192,$C2192)=1,1,0))</f>
        <v/>
      </c>
      <c r="AH2192">
        <f>IF($AG2192=1,SUMPRODUCT(--($AK$2:$AK$6001&lt;$AK2192))+1,"")</f>
        <v/>
      </c>
      <c r="AI2192">
        <f>IF($C2192="","",IF(OR($N2192=TRUE(),$N2192="TRUE"),1,0))</f>
        <v/>
      </c>
      <c r="AJ2192">
        <f>IF($C2192="","",IF($T2192="Yes",1,0))</f>
        <v/>
      </c>
      <c r="AK2192">
        <f>IF($AG2192=1,IFERROR(IF(VALUE($C2192)&lt;100000000,VALUE($C2192),1000000000),IFERROR(IF(VALUE(MID($C2192,2,20))&lt;100000000,VALUE(MID($C2192,2,20)),1000000000),1000000000))+ROW()/100000,"")</f>
        <v/>
      </c>
    </row>
    <row r="2193">
      <c r="D2193" s="11" t="n"/>
      <c r="K2193" s="7">
        <f>IF($C2193="","",J2193*W2193/100)</f>
        <v/>
      </c>
      <c r="Q2193" s="7" t="n"/>
      <c r="R2193" s="7" t="n"/>
      <c r="U2193">
        <f>IF($C2193="","",IF($AJ2193=1,0,IF($AI2193=1,Settings!$C$6,Settings!$C$7))*100)</f>
        <v/>
      </c>
      <c r="V2193" s="7">
        <f>IF($C2193="","",R2193*U2193/100)</f>
        <v/>
      </c>
      <c r="W2193" s="7">
        <f>IF($C2193="","",R2193-V2193)</f>
        <v/>
      </c>
      <c r="X2193" s="7">
        <f>IF($C2193="","",W2193-K2193)</f>
        <v/>
      </c>
      <c r="AB2193" s="7" t="n"/>
      <c r="AE2193" s="11" t="n"/>
      <c r="AG2193">
        <f>IF($C2193="","",IF(COUNTIF($C$2:$C2193,$C2193)=1,1,0))</f>
        <v/>
      </c>
      <c r="AH2193">
        <f>IF($AG2193=1,SUMPRODUCT(--($AK$2:$AK$6001&lt;$AK2193))+1,"")</f>
        <v/>
      </c>
      <c r="AI2193">
        <f>IF($C2193="","",IF(OR($N2193=TRUE(),$N2193="TRUE"),1,0))</f>
        <v/>
      </c>
      <c r="AJ2193">
        <f>IF($C2193="","",IF($T2193="Yes",1,0))</f>
        <v/>
      </c>
      <c r="AK2193">
        <f>IF($AG2193=1,IFERROR(IF(VALUE($C2193)&lt;100000000,VALUE($C2193),1000000000),IFERROR(IF(VALUE(MID($C2193,2,20))&lt;100000000,VALUE(MID($C2193,2,20)),1000000000),1000000000))+ROW()/100000,"")</f>
        <v/>
      </c>
    </row>
    <row r="2194">
      <c r="D2194" s="11" t="n"/>
      <c r="K2194" s="7">
        <f>IF($C2194="","",J2194*W2194/100)</f>
        <v/>
      </c>
      <c r="Q2194" s="7" t="n"/>
      <c r="R2194" s="7" t="n"/>
      <c r="U2194">
        <f>IF($C2194="","",IF($AJ2194=1,0,IF($AI2194=1,Settings!$C$6,Settings!$C$7))*100)</f>
        <v/>
      </c>
      <c r="V2194" s="7">
        <f>IF($C2194="","",R2194*U2194/100)</f>
        <v/>
      </c>
      <c r="W2194" s="7">
        <f>IF($C2194="","",R2194-V2194)</f>
        <v/>
      </c>
      <c r="X2194" s="7">
        <f>IF($C2194="","",W2194-K2194)</f>
        <v/>
      </c>
      <c r="AB2194" s="7" t="n"/>
      <c r="AE2194" s="11" t="n"/>
      <c r="AG2194">
        <f>IF($C2194="","",IF(COUNTIF($C$2:$C2194,$C2194)=1,1,0))</f>
        <v/>
      </c>
      <c r="AH2194">
        <f>IF($AG2194=1,SUMPRODUCT(--($AK$2:$AK$6001&lt;$AK2194))+1,"")</f>
        <v/>
      </c>
      <c r="AI2194">
        <f>IF($C2194="","",IF(OR($N2194=TRUE(),$N2194="TRUE"),1,0))</f>
        <v/>
      </c>
      <c r="AJ2194">
        <f>IF($C2194="","",IF($T2194="Yes",1,0))</f>
        <v/>
      </c>
      <c r="AK2194">
        <f>IF($AG2194=1,IFERROR(IF(VALUE($C2194)&lt;100000000,VALUE($C2194),1000000000),IFERROR(IF(VALUE(MID($C2194,2,20))&lt;100000000,VALUE(MID($C2194,2,20)),1000000000),1000000000))+ROW()/100000,"")</f>
        <v/>
      </c>
    </row>
    <row r="2195">
      <c r="D2195" s="11" t="n"/>
      <c r="K2195" s="7">
        <f>IF($C2195="","",J2195*W2195/100)</f>
        <v/>
      </c>
      <c r="Q2195" s="7" t="n"/>
      <c r="R2195" s="7" t="n"/>
      <c r="U2195">
        <f>IF($C2195="","",IF($AJ2195=1,0,IF($AI2195=1,Settings!$C$6,Settings!$C$7))*100)</f>
        <v/>
      </c>
      <c r="V2195" s="7">
        <f>IF($C2195="","",R2195*U2195/100)</f>
        <v/>
      </c>
      <c r="W2195" s="7">
        <f>IF($C2195="","",R2195-V2195)</f>
        <v/>
      </c>
      <c r="X2195" s="7">
        <f>IF($C2195="","",W2195-K2195)</f>
        <v/>
      </c>
      <c r="AB2195" s="7" t="n"/>
      <c r="AE2195" s="11" t="n"/>
      <c r="AG2195">
        <f>IF($C2195="","",IF(COUNTIF($C$2:$C2195,$C2195)=1,1,0))</f>
        <v/>
      </c>
      <c r="AH2195">
        <f>IF($AG2195=1,SUMPRODUCT(--($AK$2:$AK$6001&lt;$AK2195))+1,"")</f>
        <v/>
      </c>
      <c r="AI2195">
        <f>IF($C2195="","",IF(OR($N2195=TRUE(),$N2195="TRUE"),1,0))</f>
        <v/>
      </c>
      <c r="AJ2195">
        <f>IF($C2195="","",IF($T2195="Yes",1,0))</f>
        <v/>
      </c>
      <c r="AK2195">
        <f>IF($AG2195=1,IFERROR(IF(VALUE($C2195)&lt;100000000,VALUE($C2195),1000000000),IFERROR(IF(VALUE(MID($C2195,2,20))&lt;100000000,VALUE(MID($C2195,2,20)),1000000000),1000000000))+ROW()/100000,"")</f>
        <v/>
      </c>
    </row>
    <row r="2196">
      <c r="D2196" s="11" t="n"/>
      <c r="K2196" s="7">
        <f>IF($C2196="","",J2196*W2196/100)</f>
        <v/>
      </c>
      <c r="Q2196" s="7" t="n"/>
      <c r="R2196" s="7" t="n"/>
      <c r="U2196">
        <f>IF($C2196="","",IF($AJ2196=1,0,IF($AI2196=1,Settings!$C$6,Settings!$C$7))*100)</f>
        <v/>
      </c>
      <c r="V2196" s="7">
        <f>IF($C2196="","",R2196*U2196/100)</f>
        <v/>
      </c>
      <c r="W2196" s="7">
        <f>IF($C2196="","",R2196-V2196)</f>
        <v/>
      </c>
      <c r="X2196" s="7">
        <f>IF($C2196="","",W2196-K2196)</f>
        <v/>
      </c>
      <c r="AB2196" s="7" t="n"/>
      <c r="AE2196" s="11" t="n"/>
      <c r="AG2196">
        <f>IF($C2196="","",IF(COUNTIF($C$2:$C2196,$C2196)=1,1,0))</f>
        <v/>
      </c>
      <c r="AH2196">
        <f>IF($AG2196=1,SUMPRODUCT(--($AK$2:$AK$6001&lt;$AK2196))+1,"")</f>
        <v/>
      </c>
      <c r="AI2196">
        <f>IF($C2196="","",IF(OR($N2196=TRUE(),$N2196="TRUE"),1,0))</f>
        <v/>
      </c>
      <c r="AJ2196">
        <f>IF($C2196="","",IF($T2196="Yes",1,0))</f>
        <v/>
      </c>
      <c r="AK2196">
        <f>IF($AG2196=1,IFERROR(IF(VALUE($C2196)&lt;100000000,VALUE($C2196),1000000000),IFERROR(IF(VALUE(MID($C2196,2,20))&lt;100000000,VALUE(MID($C2196,2,20)),1000000000),1000000000))+ROW()/100000,"")</f>
        <v/>
      </c>
    </row>
    <row r="2197">
      <c r="D2197" s="11" t="n"/>
      <c r="K2197" s="7">
        <f>IF($C2197="","",J2197*W2197/100)</f>
        <v/>
      </c>
      <c r="Q2197" s="7" t="n"/>
      <c r="R2197" s="7" t="n"/>
      <c r="U2197">
        <f>IF($C2197="","",IF($AJ2197=1,0,IF($AI2197=1,Settings!$C$6,Settings!$C$7))*100)</f>
        <v/>
      </c>
      <c r="V2197" s="7">
        <f>IF($C2197="","",R2197*U2197/100)</f>
        <v/>
      </c>
      <c r="W2197" s="7">
        <f>IF($C2197="","",R2197-V2197)</f>
        <v/>
      </c>
      <c r="X2197" s="7">
        <f>IF($C2197="","",W2197-K2197)</f>
        <v/>
      </c>
      <c r="AB2197" s="7" t="n"/>
      <c r="AE2197" s="11" t="n"/>
      <c r="AG2197">
        <f>IF($C2197="","",IF(COUNTIF($C$2:$C2197,$C2197)=1,1,0))</f>
        <v/>
      </c>
      <c r="AH2197">
        <f>IF($AG2197=1,SUMPRODUCT(--($AK$2:$AK$6001&lt;$AK2197))+1,"")</f>
        <v/>
      </c>
      <c r="AI2197">
        <f>IF($C2197="","",IF(OR($N2197=TRUE(),$N2197="TRUE"),1,0))</f>
        <v/>
      </c>
      <c r="AJ2197">
        <f>IF($C2197="","",IF($T2197="Yes",1,0))</f>
        <v/>
      </c>
      <c r="AK2197">
        <f>IF($AG2197=1,IFERROR(IF(VALUE($C2197)&lt;100000000,VALUE($C2197),1000000000),IFERROR(IF(VALUE(MID($C2197,2,20))&lt;100000000,VALUE(MID($C2197,2,20)),1000000000),1000000000))+ROW()/100000,"")</f>
        <v/>
      </c>
    </row>
    <row r="2198">
      <c r="D2198" s="11" t="n"/>
      <c r="K2198" s="7">
        <f>IF($C2198="","",J2198*W2198/100)</f>
        <v/>
      </c>
      <c r="Q2198" s="7" t="n"/>
      <c r="R2198" s="7" t="n"/>
      <c r="U2198">
        <f>IF($C2198="","",IF($AJ2198=1,0,IF($AI2198=1,Settings!$C$6,Settings!$C$7))*100)</f>
        <v/>
      </c>
      <c r="V2198" s="7">
        <f>IF($C2198="","",R2198*U2198/100)</f>
        <v/>
      </c>
      <c r="W2198" s="7">
        <f>IF($C2198="","",R2198-V2198)</f>
        <v/>
      </c>
      <c r="X2198" s="7">
        <f>IF($C2198="","",W2198-K2198)</f>
        <v/>
      </c>
      <c r="AB2198" s="7" t="n"/>
      <c r="AE2198" s="11" t="n"/>
      <c r="AG2198">
        <f>IF($C2198="","",IF(COUNTIF($C$2:$C2198,$C2198)=1,1,0))</f>
        <v/>
      </c>
      <c r="AH2198">
        <f>IF($AG2198=1,SUMPRODUCT(--($AK$2:$AK$6001&lt;$AK2198))+1,"")</f>
        <v/>
      </c>
      <c r="AI2198">
        <f>IF($C2198="","",IF(OR($N2198=TRUE(),$N2198="TRUE"),1,0))</f>
        <v/>
      </c>
      <c r="AJ2198">
        <f>IF($C2198="","",IF($T2198="Yes",1,0))</f>
        <v/>
      </c>
      <c r="AK2198">
        <f>IF($AG2198=1,IFERROR(IF(VALUE($C2198)&lt;100000000,VALUE($C2198),1000000000),IFERROR(IF(VALUE(MID($C2198,2,20))&lt;100000000,VALUE(MID($C2198,2,20)),1000000000),1000000000))+ROW()/100000,"")</f>
        <v/>
      </c>
    </row>
    <row r="2199">
      <c r="D2199" s="11" t="n"/>
      <c r="K2199" s="7">
        <f>IF($C2199="","",J2199*W2199/100)</f>
        <v/>
      </c>
      <c r="Q2199" s="7" t="n"/>
      <c r="R2199" s="7" t="n"/>
      <c r="U2199">
        <f>IF($C2199="","",IF($AJ2199=1,0,IF($AI2199=1,Settings!$C$6,Settings!$C$7))*100)</f>
        <v/>
      </c>
      <c r="V2199" s="7">
        <f>IF($C2199="","",R2199*U2199/100)</f>
        <v/>
      </c>
      <c r="W2199" s="7">
        <f>IF($C2199="","",R2199-V2199)</f>
        <v/>
      </c>
      <c r="X2199" s="7">
        <f>IF($C2199="","",W2199-K2199)</f>
        <v/>
      </c>
      <c r="AB2199" s="7" t="n"/>
      <c r="AE2199" s="11" t="n"/>
      <c r="AG2199">
        <f>IF($C2199="","",IF(COUNTIF($C$2:$C2199,$C2199)=1,1,0))</f>
        <v/>
      </c>
      <c r="AH2199">
        <f>IF($AG2199=1,SUMPRODUCT(--($AK$2:$AK$6001&lt;$AK2199))+1,"")</f>
        <v/>
      </c>
      <c r="AI2199">
        <f>IF($C2199="","",IF(OR($N2199=TRUE(),$N2199="TRUE"),1,0))</f>
        <v/>
      </c>
      <c r="AJ2199">
        <f>IF($C2199="","",IF($T2199="Yes",1,0))</f>
        <v/>
      </c>
      <c r="AK2199">
        <f>IF($AG2199=1,IFERROR(IF(VALUE($C2199)&lt;100000000,VALUE($C2199),1000000000),IFERROR(IF(VALUE(MID($C2199,2,20))&lt;100000000,VALUE(MID($C2199,2,20)),1000000000),1000000000))+ROW()/100000,"")</f>
        <v/>
      </c>
    </row>
    <row r="2200">
      <c r="D2200" s="11" t="n"/>
      <c r="K2200" s="7">
        <f>IF($C2200="","",J2200*W2200/100)</f>
        <v/>
      </c>
      <c r="Q2200" s="7" t="n"/>
      <c r="R2200" s="7" t="n"/>
      <c r="U2200">
        <f>IF($C2200="","",IF($AJ2200=1,0,IF($AI2200=1,Settings!$C$6,Settings!$C$7))*100)</f>
        <v/>
      </c>
      <c r="V2200" s="7">
        <f>IF($C2200="","",R2200*U2200/100)</f>
        <v/>
      </c>
      <c r="W2200" s="7">
        <f>IF($C2200="","",R2200-V2200)</f>
        <v/>
      </c>
      <c r="X2200" s="7">
        <f>IF($C2200="","",W2200-K2200)</f>
        <v/>
      </c>
      <c r="AB2200" s="7" t="n"/>
      <c r="AE2200" s="11" t="n"/>
      <c r="AG2200">
        <f>IF($C2200="","",IF(COUNTIF($C$2:$C2200,$C2200)=1,1,0))</f>
        <v/>
      </c>
      <c r="AH2200">
        <f>IF($AG2200=1,SUMPRODUCT(--($AK$2:$AK$6001&lt;$AK2200))+1,"")</f>
        <v/>
      </c>
      <c r="AI2200">
        <f>IF($C2200="","",IF(OR($N2200=TRUE(),$N2200="TRUE"),1,0))</f>
        <v/>
      </c>
      <c r="AJ2200">
        <f>IF($C2200="","",IF($T2200="Yes",1,0))</f>
        <v/>
      </c>
      <c r="AK2200">
        <f>IF($AG2200=1,IFERROR(IF(VALUE($C2200)&lt;100000000,VALUE($C2200),1000000000),IFERROR(IF(VALUE(MID($C2200,2,20))&lt;100000000,VALUE(MID($C2200,2,20)),1000000000),1000000000))+ROW()/100000,"")</f>
        <v/>
      </c>
    </row>
    <row r="2201">
      <c r="D2201" s="11" t="n"/>
      <c r="K2201" s="7">
        <f>IF($C2201="","",J2201*W2201/100)</f>
        <v/>
      </c>
      <c r="Q2201" s="7" t="n"/>
      <c r="R2201" s="7" t="n"/>
      <c r="U2201">
        <f>IF($C2201="","",IF($AJ2201=1,0,IF($AI2201=1,Settings!$C$6,Settings!$C$7))*100)</f>
        <v/>
      </c>
      <c r="V2201" s="7">
        <f>IF($C2201="","",R2201*U2201/100)</f>
        <v/>
      </c>
      <c r="W2201" s="7">
        <f>IF($C2201="","",R2201-V2201)</f>
        <v/>
      </c>
      <c r="X2201" s="7">
        <f>IF($C2201="","",W2201-K2201)</f>
        <v/>
      </c>
      <c r="AB2201" s="7" t="n"/>
      <c r="AE2201" s="11" t="n"/>
      <c r="AG2201">
        <f>IF($C2201="","",IF(COUNTIF($C$2:$C2201,$C2201)=1,1,0))</f>
        <v/>
      </c>
      <c r="AH2201">
        <f>IF($AG2201=1,SUMPRODUCT(--($AK$2:$AK$6001&lt;$AK2201))+1,"")</f>
        <v/>
      </c>
      <c r="AI2201">
        <f>IF($C2201="","",IF(OR($N2201=TRUE(),$N2201="TRUE"),1,0))</f>
        <v/>
      </c>
      <c r="AJ2201">
        <f>IF($C2201="","",IF($T2201="Yes",1,0))</f>
        <v/>
      </c>
      <c r="AK2201">
        <f>IF($AG2201=1,IFERROR(IF(VALUE($C2201)&lt;100000000,VALUE($C2201),1000000000),IFERROR(IF(VALUE(MID($C2201,2,20))&lt;100000000,VALUE(MID($C2201,2,20)),1000000000),1000000000))+ROW()/100000,"")</f>
        <v/>
      </c>
    </row>
    <row r="2202">
      <c r="D2202" s="11" t="n"/>
      <c r="K2202" s="7">
        <f>IF($C2202="","",J2202*W2202/100)</f>
        <v/>
      </c>
      <c r="Q2202" s="7" t="n"/>
      <c r="R2202" s="7" t="n"/>
      <c r="U2202">
        <f>IF($C2202="","",IF($AJ2202=1,0,IF($AI2202=1,Settings!$C$6,Settings!$C$7))*100)</f>
        <v/>
      </c>
      <c r="V2202" s="7">
        <f>IF($C2202="","",R2202*U2202/100)</f>
        <v/>
      </c>
      <c r="W2202" s="7">
        <f>IF($C2202="","",R2202-V2202)</f>
        <v/>
      </c>
      <c r="X2202" s="7">
        <f>IF($C2202="","",W2202-K2202)</f>
        <v/>
      </c>
      <c r="AB2202" s="7" t="n"/>
      <c r="AE2202" s="11" t="n"/>
      <c r="AG2202">
        <f>IF($C2202="","",IF(COUNTIF($C$2:$C2202,$C2202)=1,1,0))</f>
        <v/>
      </c>
      <c r="AH2202">
        <f>IF($AG2202=1,SUMPRODUCT(--($AK$2:$AK$6001&lt;$AK2202))+1,"")</f>
        <v/>
      </c>
      <c r="AI2202">
        <f>IF($C2202="","",IF(OR($N2202=TRUE(),$N2202="TRUE"),1,0))</f>
        <v/>
      </c>
      <c r="AJ2202">
        <f>IF($C2202="","",IF($T2202="Yes",1,0))</f>
        <v/>
      </c>
      <c r="AK2202">
        <f>IF($AG2202=1,IFERROR(IF(VALUE($C2202)&lt;100000000,VALUE($C2202),1000000000),IFERROR(IF(VALUE(MID($C2202,2,20))&lt;100000000,VALUE(MID($C2202,2,20)),1000000000),1000000000))+ROW()/100000,"")</f>
        <v/>
      </c>
    </row>
    <row r="2203">
      <c r="D2203" s="11" t="n"/>
      <c r="K2203" s="7">
        <f>IF($C2203="","",J2203*W2203/100)</f>
        <v/>
      </c>
      <c r="Q2203" s="7" t="n"/>
      <c r="R2203" s="7" t="n"/>
      <c r="U2203">
        <f>IF($C2203="","",IF($AJ2203=1,0,IF($AI2203=1,Settings!$C$6,Settings!$C$7))*100)</f>
        <v/>
      </c>
      <c r="V2203" s="7">
        <f>IF($C2203="","",R2203*U2203/100)</f>
        <v/>
      </c>
      <c r="W2203" s="7">
        <f>IF($C2203="","",R2203-V2203)</f>
        <v/>
      </c>
      <c r="X2203" s="7">
        <f>IF($C2203="","",W2203-K2203)</f>
        <v/>
      </c>
      <c r="AB2203" s="7" t="n"/>
      <c r="AE2203" s="11" t="n"/>
      <c r="AG2203">
        <f>IF($C2203="","",IF(COUNTIF($C$2:$C2203,$C2203)=1,1,0))</f>
        <v/>
      </c>
      <c r="AH2203">
        <f>IF($AG2203=1,SUMPRODUCT(--($AK$2:$AK$6001&lt;$AK2203))+1,"")</f>
        <v/>
      </c>
      <c r="AI2203">
        <f>IF($C2203="","",IF(OR($N2203=TRUE(),$N2203="TRUE"),1,0))</f>
        <v/>
      </c>
      <c r="AJ2203">
        <f>IF($C2203="","",IF($T2203="Yes",1,0))</f>
        <v/>
      </c>
      <c r="AK2203">
        <f>IF($AG2203=1,IFERROR(IF(VALUE($C2203)&lt;100000000,VALUE($C2203),1000000000),IFERROR(IF(VALUE(MID($C2203,2,20))&lt;100000000,VALUE(MID($C2203,2,20)),1000000000),1000000000))+ROW()/100000,"")</f>
        <v/>
      </c>
    </row>
    <row r="2204">
      <c r="D2204" s="11" t="n"/>
      <c r="K2204" s="7">
        <f>IF($C2204="","",J2204*W2204/100)</f>
        <v/>
      </c>
      <c r="Q2204" s="7" t="n"/>
      <c r="R2204" s="7" t="n"/>
      <c r="U2204">
        <f>IF($C2204="","",IF($AJ2204=1,0,IF($AI2204=1,Settings!$C$6,Settings!$C$7))*100)</f>
        <v/>
      </c>
      <c r="V2204" s="7">
        <f>IF($C2204="","",R2204*U2204/100)</f>
        <v/>
      </c>
      <c r="W2204" s="7">
        <f>IF($C2204="","",R2204-V2204)</f>
        <v/>
      </c>
      <c r="X2204" s="7">
        <f>IF($C2204="","",W2204-K2204)</f>
        <v/>
      </c>
      <c r="AB2204" s="7" t="n"/>
      <c r="AE2204" s="11" t="n"/>
      <c r="AG2204">
        <f>IF($C2204="","",IF(COUNTIF($C$2:$C2204,$C2204)=1,1,0))</f>
        <v/>
      </c>
      <c r="AH2204">
        <f>IF($AG2204=1,SUMPRODUCT(--($AK$2:$AK$6001&lt;$AK2204))+1,"")</f>
        <v/>
      </c>
      <c r="AI2204">
        <f>IF($C2204="","",IF(OR($N2204=TRUE(),$N2204="TRUE"),1,0))</f>
        <v/>
      </c>
      <c r="AJ2204">
        <f>IF($C2204="","",IF($T2204="Yes",1,0))</f>
        <v/>
      </c>
      <c r="AK2204">
        <f>IF($AG2204=1,IFERROR(IF(VALUE($C2204)&lt;100000000,VALUE($C2204),1000000000),IFERROR(IF(VALUE(MID($C2204,2,20))&lt;100000000,VALUE(MID($C2204,2,20)),1000000000),1000000000))+ROW()/100000,"")</f>
        <v/>
      </c>
    </row>
    <row r="2205">
      <c r="D2205" s="11" t="n"/>
      <c r="K2205" s="7">
        <f>IF($C2205="","",J2205*W2205/100)</f>
        <v/>
      </c>
      <c r="Q2205" s="7" t="n"/>
      <c r="R2205" s="7" t="n"/>
      <c r="U2205">
        <f>IF($C2205="","",IF($AJ2205=1,0,IF($AI2205=1,Settings!$C$6,Settings!$C$7))*100)</f>
        <v/>
      </c>
      <c r="V2205" s="7">
        <f>IF($C2205="","",R2205*U2205/100)</f>
        <v/>
      </c>
      <c r="W2205" s="7">
        <f>IF($C2205="","",R2205-V2205)</f>
        <v/>
      </c>
      <c r="X2205" s="7">
        <f>IF($C2205="","",W2205-K2205)</f>
        <v/>
      </c>
      <c r="AB2205" s="7" t="n"/>
      <c r="AE2205" s="11" t="n"/>
      <c r="AG2205">
        <f>IF($C2205="","",IF(COUNTIF($C$2:$C2205,$C2205)=1,1,0))</f>
        <v/>
      </c>
      <c r="AH2205">
        <f>IF($AG2205=1,SUMPRODUCT(--($AK$2:$AK$6001&lt;$AK2205))+1,"")</f>
        <v/>
      </c>
      <c r="AI2205">
        <f>IF($C2205="","",IF(OR($N2205=TRUE(),$N2205="TRUE"),1,0))</f>
        <v/>
      </c>
      <c r="AJ2205">
        <f>IF($C2205="","",IF($T2205="Yes",1,0))</f>
        <v/>
      </c>
      <c r="AK2205">
        <f>IF($AG2205=1,IFERROR(IF(VALUE($C2205)&lt;100000000,VALUE($C2205),1000000000),IFERROR(IF(VALUE(MID($C2205,2,20))&lt;100000000,VALUE(MID($C2205,2,20)),1000000000),1000000000))+ROW()/100000,"")</f>
        <v/>
      </c>
    </row>
    <row r="2206">
      <c r="D2206" s="11" t="n"/>
      <c r="K2206" s="7">
        <f>IF($C2206="","",J2206*W2206/100)</f>
        <v/>
      </c>
      <c r="Q2206" s="7" t="n"/>
      <c r="R2206" s="7" t="n"/>
      <c r="U2206">
        <f>IF($C2206="","",IF($AJ2206=1,0,IF($AI2206=1,Settings!$C$6,Settings!$C$7))*100)</f>
        <v/>
      </c>
      <c r="V2206" s="7">
        <f>IF($C2206="","",R2206*U2206/100)</f>
        <v/>
      </c>
      <c r="W2206" s="7">
        <f>IF($C2206="","",R2206-V2206)</f>
        <v/>
      </c>
      <c r="X2206" s="7">
        <f>IF($C2206="","",W2206-K2206)</f>
        <v/>
      </c>
      <c r="AB2206" s="7" t="n"/>
      <c r="AE2206" s="11" t="n"/>
      <c r="AG2206">
        <f>IF($C2206="","",IF(COUNTIF($C$2:$C2206,$C2206)=1,1,0))</f>
        <v/>
      </c>
      <c r="AH2206">
        <f>IF($AG2206=1,SUMPRODUCT(--($AK$2:$AK$6001&lt;$AK2206))+1,"")</f>
        <v/>
      </c>
      <c r="AI2206">
        <f>IF($C2206="","",IF(OR($N2206=TRUE(),$N2206="TRUE"),1,0))</f>
        <v/>
      </c>
      <c r="AJ2206">
        <f>IF($C2206="","",IF($T2206="Yes",1,0))</f>
        <v/>
      </c>
      <c r="AK2206">
        <f>IF($AG2206=1,IFERROR(IF(VALUE($C2206)&lt;100000000,VALUE($C2206),1000000000),IFERROR(IF(VALUE(MID($C2206,2,20))&lt;100000000,VALUE(MID($C2206,2,20)),1000000000),1000000000))+ROW()/100000,"")</f>
        <v/>
      </c>
    </row>
    <row r="2207">
      <c r="D2207" s="11" t="n"/>
      <c r="K2207" s="7">
        <f>IF($C2207="","",J2207*W2207/100)</f>
        <v/>
      </c>
      <c r="Q2207" s="7" t="n"/>
      <c r="R2207" s="7" t="n"/>
      <c r="U2207">
        <f>IF($C2207="","",IF($AJ2207=1,0,IF($AI2207=1,Settings!$C$6,Settings!$C$7))*100)</f>
        <v/>
      </c>
      <c r="V2207" s="7">
        <f>IF($C2207="","",R2207*U2207/100)</f>
        <v/>
      </c>
      <c r="W2207" s="7">
        <f>IF($C2207="","",R2207-V2207)</f>
        <v/>
      </c>
      <c r="X2207" s="7">
        <f>IF($C2207="","",W2207-K2207)</f>
        <v/>
      </c>
      <c r="AB2207" s="7" t="n"/>
      <c r="AE2207" s="11" t="n"/>
      <c r="AG2207">
        <f>IF($C2207="","",IF(COUNTIF($C$2:$C2207,$C2207)=1,1,0))</f>
        <v/>
      </c>
      <c r="AH2207">
        <f>IF($AG2207=1,SUMPRODUCT(--($AK$2:$AK$6001&lt;$AK2207))+1,"")</f>
        <v/>
      </c>
      <c r="AI2207">
        <f>IF($C2207="","",IF(OR($N2207=TRUE(),$N2207="TRUE"),1,0))</f>
        <v/>
      </c>
      <c r="AJ2207">
        <f>IF($C2207="","",IF($T2207="Yes",1,0))</f>
        <v/>
      </c>
      <c r="AK2207">
        <f>IF($AG2207=1,IFERROR(IF(VALUE($C2207)&lt;100000000,VALUE($C2207),1000000000),IFERROR(IF(VALUE(MID($C2207,2,20))&lt;100000000,VALUE(MID($C2207,2,20)),1000000000),1000000000))+ROW()/100000,"")</f>
        <v/>
      </c>
    </row>
    <row r="2208">
      <c r="D2208" s="11" t="n"/>
      <c r="K2208" s="7">
        <f>IF($C2208="","",J2208*W2208/100)</f>
        <v/>
      </c>
      <c r="Q2208" s="7" t="n"/>
      <c r="R2208" s="7" t="n"/>
      <c r="U2208">
        <f>IF($C2208="","",IF($AJ2208=1,0,IF($AI2208=1,Settings!$C$6,Settings!$C$7))*100)</f>
        <v/>
      </c>
      <c r="V2208" s="7">
        <f>IF($C2208="","",R2208*U2208/100)</f>
        <v/>
      </c>
      <c r="W2208" s="7">
        <f>IF($C2208="","",R2208-V2208)</f>
        <v/>
      </c>
      <c r="X2208" s="7">
        <f>IF($C2208="","",W2208-K2208)</f>
        <v/>
      </c>
      <c r="AB2208" s="7" t="n"/>
      <c r="AE2208" s="11" t="n"/>
      <c r="AG2208">
        <f>IF($C2208="","",IF(COUNTIF($C$2:$C2208,$C2208)=1,1,0))</f>
        <v/>
      </c>
      <c r="AH2208">
        <f>IF($AG2208=1,SUMPRODUCT(--($AK$2:$AK$6001&lt;$AK2208))+1,"")</f>
        <v/>
      </c>
      <c r="AI2208">
        <f>IF($C2208="","",IF(OR($N2208=TRUE(),$N2208="TRUE"),1,0))</f>
        <v/>
      </c>
      <c r="AJ2208">
        <f>IF($C2208="","",IF($T2208="Yes",1,0))</f>
        <v/>
      </c>
      <c r="AK2208">
        <f>IF($AG2208=1,IFERROR(IF(VALUE($C2208)&lt;100000000,VALUE($C2208),1000000000),IFERROR(IF(VALUE(MID($C2208,2,20))&lt;100000000,VALUE(MID($C2208,2,20)),1000000000),1000000000))+ROW()/100000,"")</f>
        <v/>
      </c>
    </row>
    <row r="2209">
      <c r="D2209" s="11" t="n"/>
      <c r="K2209" s="7">
        <f>IF($C2209="","",J2209*W2209/100)</f>
        <v/>
      </c>
      <c r="Q2209" s="7" t="n"/>
      <c r="R2209" s="7" t="n"/>
      <c r="U2209">
        <f>IF($C2209="","",IF($AJ2209=1,0,IF($AI2209=1,Settings!$C$6,Settings!$C$7))*100)</f>
        <v/>
      </c>
      <c r="V2209" s="7">
        <f>IF($C2209="","",R2209*U2209/100)</f>
        <v/>
      </c>
      <c r="W2209" s="7">
        <f>IF($C2209="","",R2209-V2209)</f>
        <v/>
      </c>
      <c r="X2209" s="7">
        <f>IF($C2209="","",W2209-K2209)</f>
        <v/>
      </c>
      <c r="AB2209" s="7" t="n"/>
      <c r="AE2209" s="11" t="n"/>
      <c r="AG2209">
        <f>IF($C2209="","",IF(COUNTIF($C$2:$C2209,$C2209)=1,1,0))</f>
        <v/>
      </c>
      <c r="AH2209">
        <f>IF($AG2209=1,SUMPRODUCT(--($AK$2:$AK$6001&lt;$AK2209))+1,"")</f>
        <v/>
      </c>
      <c r="AI2209">
        <f>IF($C2209="","",IF(OR($N2209=TRUE(),$N2209="TRUE"),1,0))</f>
        <v/>
      </c>
      <c r="AJ2209">
        <f>IF($C2209="","",IF($T2209="Yes",1,0))</f>
        <v/>
      </c>
      <c r="AK2209">
        <f>IF($AG2209=1,IFERROR(IF(VALUE($C2209)&lt;100000000,VALUE($C2209),1000000000),IFERROR(IF(VALUE(MID($C2209,2,20))&lt;100000000,VALUE(MID($C2209,2,20)),1000000000),1000000000))+ROW()/100000,"")</f>
        <v/>
      </c>
    </row>
    <row r="2210">
      <c r="D2210" s="11" t="n"/>
      <c r="K2210" s="7">
        <f>IF($C2210="","",J2210*W2210/100)</f>
        <v/>
      </c>
      <c r="Q2210" s="7" t="n"/>
      <c r="R2210" s="7" t="n"/>
      <c r="U2210">
        <f>IF($C2210="","",IF($AJ2210=1,0,IF($AI2210=1,Settings!$C$6,Settings!$C$7))*100)</f>
        <v/>
      </c>
      <c r="V2210" s="7">
        <f>IF($C2210="","",R2210*U2210/100)</f>
        <v/>
      </c>
      <c r="W2210" s="7">
        <f>IF($C2210="","",R2210-V2210)</f>
        <v/>
      </c>
      <c r="X2210" s="7">
        <f>IF($C2210="","",W2210-K2210)</f>
        <v/>
      </c>
      <c r="AB2210" s="7" t="n"/>
      <c r="AE2210" s="11" t="n"/>
      <c r="AG2210">
        <f>IF($C2210="","",IF(COUNTIF($C$2:$C2210,$C2210)=1,1,0))</f>
        <v/>
      </c>
      <c r="AH2210">
        <f>IF($AG2210=1,SUMPRODUCT(--($AK$2:$AK$6001&lt;$AK2210))+1,"")</f>
        <v/>
      </c>
      <c r="AI2210">
        <f>IF($C2210="","",IF(OR($N2210=TRUE(),$N2210="TRUE"),1,0))</f>
        <v/>
      </c>
      <c r="AJ2210">
        <f>IF($C2210="","",IF($T2210="Yes",1,0))</f>
        <v/>
      </c>
      <c r="AK2210">
        <f>IF($AG2210=1,IFERROR(IF(VALUE($C2210)&lt;100000000,VALUE($C2210),1000000000),IFERROR(IF(VALUE(MID($C2210,2,20))&lt;100000000,VALUE(MID($C2210,2,20)),1000000000),1000000000))+ROW()/100000,"")</f>
        <v/>
      </c>
    </row>
    <row r="2211">
      <c r="D2211" s="11" t="n"/>
      <c r="K2211" s="7">
        <f>IF($C2211="","",J2211*W2211/100)</f>
        <v/>
      </c>
      <c r="Q2211" s="7" t="n"/>
      <c r="R2211" s="7" t="n"/>
      <c r="U2211">
        <f>IF($C2211="","",IF($AJ2211=1,0,IF($AI2211=1,Settings!$C$6,Settings!$C$7))*100)</f>
        <v/>
      </c>
      <c r="V2211" s="7">
        <f>IF($C2211="","",R2211*U2211/100)</f>
        <v/>
      </c>
      <c r="W2211" s="7">
        <f>IF($C2211="","",R2211-V2211)</f>
        <v/>
      </c>
      <c r="X2211" s="7">
        <f>IF($C2211="","",W2211-K2211)</f>
        <v/>
      </c>
      <c r="AB2211" s="7" t="n"/>
      <c r="AE2211" s="11" t="n"/>
      <c r="AG2211">
        <f>IF($C2211="","",IF(COUNTIF($C$2:$C2211,$C2211)=1,1,0))</f>
        <v/>
      </c>
      <c r="AH2211">
        <f>IF($AG2211=1,SUMPRODUCT(--($AK$2:$AK$6001&lt;$AK2211))+1,"")</f>
        <v/>
      </c>
      <c r="AI2211">
        <f>IF($C2211="","",IF(OR($N2211=TRUE(),$N2211="TRUE"),1,0))</f>
        <v/>
      </c>
      <c r="AJ2211">
        <f>IF($C2211="","",IF($T2211="Yes",1,0))</f>
        <v/>
      </c>
      <c r="AK2211">
        <f>IF($AG2211=1,IFERROR(IF(VALUE($C2211)&lt;100000000,VALUE($C2211),1000000000),IFERROR(IF(VALUE(MID($C2211,2,20))&lt;100000000,VALUE(MID($C2211,2,20)),1000000000),1000000000))+ROW()/100000,"")</f>
        <v/>
      </c>
    </row>
    <row r="2212">
      <c r="D2212" s="11" t="n"/>
      <c r="K2212" s="7">
        <f>IF($C2212="","",J2212*W2212/100)</f>
        <v/>
      </c>
      <c r="Q2212" s="7" t="n"/>
      <c r="R2212" s="7" t="n"/>
      <c r="U2212">
        <f>IF($C2212="","",IF($AJ2212=1,0,IF($AI2212=1,Settings!$C$6,Settings!$C$7))*100)</f>
        <v/>
      </c>
      <c r="V2212" s="7">
        <f>IF($C2212="","",R2212*U2212/100)</f>
        <v/>
      </c>
      <c r="W2212" s="7">
        <f>IF($C2212="","",R2212-V2212)</f>
        <v/>
      </c>
      <c r="X2212" s="7">
        <f>IF($C2212="","",W2212-K2212)</f>
        <v/>
      </c>
      <c r="AB2212" s="7" t="n"/>
      <c r="AE2212" s="11" t="n"/>
      <c r="AG2212">
        <f>IF($C2212="","",IF(COUNTIF($C$2:$C2212,$C2212)=1,1,0))</f>
        <v/>
      </c>
      <c r="AH2212">
        <f>IF($AG2212=1,SUMPRODUCT(--($AK$2:$AK$6001&lt;$AK2212))+1,"")</f>
        <v/>
      </c>
      <c r="AI2212">
        <f>IF($C2212="","",IF(OR($N2212=TRUE(),$N2212="TRUE"),1,0))</f>
        <v/>
      </c>
      <c r="AJ2212">
        <f>IF($C2212="","",IF($T2212="Yes",1,0))</f>
        <v/>
      </c>
      <c r="AK2212">
        <f>IF($AG2212=1,IFERROR(IF(VALUE($C2212)&lt;100000000,VALUE($C2212),1000000000),IFERROR(IF(VALUE(MID($C2212,2,20))&lt;100000000,VALUE(MID($C2212,2,20)),1000000000),1000000000))+ROW()/100000,"")</f>
        <v/>
      </c>
    </row>
    <row r="2213">
      <c r="D2213" s="11" t="n"/>
      <c r="K2213" s="7">
        <f>IF($C2213="","",J2213*W2213/100)</f>
        <v/>
      </c>
      <c r="Q2213" s="7" t="n"/>
      <c r="R2213" s="7" t="n"/>
      <c r="U2213">
        <f>IF($C2213="","",IF($AJ2213=1,0,IF($AI2213=1,Settings!$C$6,Settings!$C$7))*100)</f>
        <v/>
      </c>
      <c r="V2213" s="7">
        <f>IF($C2213="","",R2213*U2213/100)</f>
        <v/>
      </c>
      <c r="W2213" s="7">
        <f>IF($C2213="","",R2213-V2213)</f>
        <v/>
      </c>
      <c r="X2213" s="7">
        <f>IF($C2213="","",W2213-K2213)</f>
        <v/>
      </c>
      <c r="AB2213" s="7" t="n"/>
      <c r="AE2213" s="11" t="n"/>
      <c r="AG2213">
        <f>IF($C2213="","",IF(COUNTIF($C$2:$C2213,$C2213)=1,1,0))</f>
        <v/>
      </c>
      <c r="AH2213">
        <f>IF($AG2213=1,SUMPRODUCT(--($AK$2:$AK$6001&lt;$AK2213))+1,"")</f>
        <v/>
      </c>
      <c r="AI2213">
        <f>IF($C2213="","",IF(OR($N2213=TRUE(),$N2213="TRUE"),1,0))</f>
        <v/>
      </c>
      <c r="AJ2213">
        <f>IF($C2213="","",IF($T2213="Yes",1,0))</f>
        <v/>
      </c>
      <c r="AK2213">
        <f>IF($AG2213=1,IFERROR(IF(VALUE($C2213)&lt;100000000,VALUE($C2213),1000000000),IFERROR(IF(VALUE(MID($C2213,2,20))&lt;100000000,VALUE(MID($C2213,2,20)),1000000000),1000000000))+ROW()/100000,"")</f>
        <v/>
      </c>
    </row>
    <row r="2214">
      <c r="D2214" s="11" t="n"/>
      <c r="K2214" s="7">
        <f>IF($C2214="","",J2214*W2214/100)</f>
        <v/>
      </c>
      <c r="Q2214" s="7" t="n"/>
      <c r="R2214" s="7" t="n"/>
      <c r="U2214">
        <f>IF($C2214="","",IF($AJ2214=1,0,IF($AI2214=1,Settings!$C$6,Settings!$C$7))*100)</f>
        <v/>
      </c>
      <c r="V2214" s="7">
        <f>IF($C2214="","",R2214*U2214/100)</f>
        <v/>
      </c>
      <c r="W2214" s="7">
        <f>IF($C2214="","",R2214-V2214)</f>
        <v/>
      </c>
      <c r="X2214" s="7">
        <f>IF($C2214="","",W2214-K2214)</f>
        <v/>
      </c>
      <c r="AB2214" s="7" t="n"/>
      <c r="AE2214" s="11" t="n"/>
      <c r="AG2214">
        <f>IF($C2214="","",IF(COUNTIF($C$2:$C2214,$C2214)=1,1,0))</f>
        <v/>
      </c>
      <c r="AH2214">
        <f>IF($AG2214=1,SUMPRODUCT(--($AK$2:$AK$6001&lt;$AK2214))+1,"")</f>
        <v/>
      </c>
      <c r="AI2214">
        <f>IF($C2214="","",IF(OR($N2214=TRUE(),$N2214="TRUE"),1,0))</f>
        <v/>
      </c>
      <c r="AJ2214">
        <f>IF($C2214="","",IF($T2214="Yes",1,0))</f>
        <v/>
      </c>
      <c r="AK2214">
        <f>IF($AG2214=1,IFERROR(IF(VALUE($C2214)&lt;100000000,VALUE($C2214),1000000000),IFERROR(IF(VALUE(MID($C2214,2,20))&lt;100000000,VALUE(MID($C2214,2,20)),1000000000),1000000000))+ROW()/100000,"")</f>
        <v/>
      </c>
    </row>
    <row r="2215">
      <c r="D2215" s="11" t="n"/>
      <c r="K2215" s="7">
        <f>IF($C2215="","",J2215*W2215/100)</f>
        <v/>
      </c>
      <c r="Q2215" s="7" t="n"/>
      <c r="R2215" s="7" t="n"/>
      <c r="U2215">
        <f>IF($C2215="","",IF($AJ2215=1,0,IF($AI2215=1,Settings!$C$6,Settings!$C$7))*100)</f>
        <v/>
      </c>
      <c r="V2215" s="7">
        <f>IF($C2215="","",R2215*U2215/100)</f>
        <v/>
      </c>
      <c r="W2215" s="7">
        <f>IF($C2215="","",R2215-V2215)</f>
        <v/>
      </c>
      <c r="X2215" s="7">
        <f>IF($C2215="","",W2215-K2215)</f>
        <v/>
      </c>
      <c r="AB2215" s="7" t="n"/>
      <c r="AE2215" s="11" t="n"/>
      <c r="AG2215">
        <f>IF($C2215="","",IF(COUNTIF($C$2:$C2215,$C2215)=1,1,0))</f>
        <v/>
      </c>
      <c r="AH2215">
        <f>IF($AG2215=1,SUMPRODUCT(--($AK$2:$AK$6001&lt;$AK2215))+1,"")</f>
        <v/>
      </c>
      <c r="AI2215">
        <f>IF($C2215="","",IF(OR($N2215=TRUE(),$N2215="TRUE"),1,0))</f>
        <v/>
      </c>
      <c r="AJ2215">
        <f>IF($C2215="","",IF($T2215="Yes",1,0))</f>
        <v/>
      </c>
      <c r="AK2215">
        <f>IF($AG2215=1,IFERROR(IF(VALUE($C2215)&lt;100000000,VALUE($C2215),1000000000),IFERROR(IF(VALUE(MID($C2215,2,20))&lt;100000000,VALUE(MID($C2215,2,20)),1000000000),1000000000))+ROW()/100000,"")</f>
        <v/>
      </c>
    </row>
    <row r="2216">
      <c r="D2216" s="11" t="n"/>
      <c r="K2216" s="7">
        <f>IF($C2216="","",J2216*W2216/100)</f>
        <v/>
      </c>
      <c r="Q2216" s="7" t="n"/>
      <c r="R2216" s="7" t="n"/>
      <c r="U2216">
        <f>IF($C2216="","",IF($AJ2216=1,0,IF($AI2216=1,Settings!$C$6,Settings!$C$7))*100)</f>
        <v/>
      </c>
      <c r="V2216" s="7">
        <f>IF($C2216="","",R2216*U2216/100)</f>
        <v/>
      </c>
      <c r="W2216" s="7">
        <f>IF($C2216="","",R2216-V2216)</f>
        <v/>
      </c>
      <c r="X2216" s="7">
        <f>IF($C2216="","",W2216-K2216)</f>
        <v/>
      </c>
      <c r="AB2216" s="7" t="n"/>
      <c r="AE2216" s="11" t="n"/>
      <c r="AG2216">
        <f>IF($C2216="","",IF(COUNTIF($C$2:$C2216,$C2216)=1,1,0))</f>
        <v/>
      </c>
      <c r="AH2216">
        <f>IF($AG2216=1,SUMPRODUCT(--($AK$2:$AK$6001&lt;$AK2216))+1,"")</f>
        <v/>
      </c>
      <c r="AI2216">
        <f>IF($C2216="","",IF(OR($N2216=TRUE(),$N2216="TRUE"),1,0))</f>
        <v/>
      </c>
      <c r="AJ2216">
        <f>IF($C2216="","",IF($T2216="Yes",1,0))</f>
        <v/>
      </c>
      <c r="AK2216">
        <f>IF($AG2216=1,IFERROR(IF(VALUE($C2216)&lt;100000000,VALUE($C2216),1000000000),IFERROR(IF(VALUE(MID($C2216,2,20))&lt;100000000,VALUE(MID($C2216,2,20)),1000000000),1000000000))+ROW()/100000,"")</f>
        <v/>
      </c>
    </row>
    <row r="2217">
      <c r="D2217" s="11" t="n"/>
      <c r="K2217" s="7">
        <f>IF($C2217="","",J2217*W2217/100)</f>
        <v/>
      </c>
      <c r="Q2217" s="7" t="n"/>
      <c r="R2217" s="7" t="n"/>
      <c r="U2217">
        <f>IF($C2217="","",IF($AJ2217=1,0,IF($AI2217=1,Settings!$C$6,Settings!$C$7))*100)</f>
        <v/>
      </c>
      <c r="V2217" s="7">
        <f>IF($C2217="","",R2217*U2217/100)</f>
        <v/>
      </c>
      <c r="W2217" s="7">
        <f>IF($C2217="","",R2217-V2217)</f>
        <v/>
      </c>
      <c r="X2217" s="7">
        <f>IF($C2217="","",W2217-K2217)</f>
        <v/>
      </c>
      <c r="AB2217" s="7" t="n"/>
      <c r="AE2217" s="11" t="n"/>
      <c r="AG2217">
        <f>IF($C2217="","",IF(COUNTIF($C$2:$C2217,$C2217)=1,1,0))</f>
        <v/>
      </c>
      <c r="AH2217">
        <f>IF($AG2217=1,SUMPRODUCT(--($AK$2:$AK$6001&lt;$AK2217))+1,"")</f>
        <v/>
      </c>
      <c r="AI2217">
        <f>IF($C2217="","",IF(OR($N2217=TRUE(),$N2217="TRUE"),1,0))</f>
        <v/>
      </c>
      <c r="AJ2217">
        <f>IF($C2217="","",IF($T2217="Yes",1,0))</f>
        <v/>
      </c>
      <c r="AK2217">
        <f>IF($AG2217=1,IFERROR(IF(VALUE($C2217)&lt;100000000,VALUE($C2217),1000000000),IFERROR(IF(VALUE(MID($C2217,2,20))&lt;100000000,VALUE(MID($C2217,2,20)),1000000000),1000000000))+ROW()/100000,"")</f>
        <v/>
      </c>
    </row>
    <row r="2218">
      <c r="D2218" s="11" t="n"/>
      <c r="K2218" s="7">
        <f>IF($C2218="","",J2218*W2218/100)</f>
        <v/>
      </c>
      <c r="Q2218" s="7" t="n"/>
      <c r="R2218" s="7" t="n"/>
      <c r="U2218">
        <f>IF($C2218="","",IF($AJ2218=1,0,IF($AI2218=1,Settings!$C$6,Settings!$C$7))*100)</f>
        <v/>
      </c>
      <c r="V2218" s="7">
        <f>IF($C2218="","",R2218*U2218/100)</f>
        <v/>
      </c>
      <c r="W2218" s="7">
        <f>IF($C2218="","",R2218-V2218)</f>
        <v/>
      </c>
      <c r="X2218" s="7">
        <f>IF($C2218="","",W2218-K2218)</f>
        <v/>
      </c>
      <c r="AB2218" s="7" t="n"/>
      <c r="AE2218" s="11" t="n"/>
      <c r="AG2218">
        <f>IF($C2218="","",IF(COUNTIF($C$2:$C2218,$C2218)=1,1,0))</f>
        <v/>
      </c>
      <c r="AH2218">
        <f>IF($AG2218=1,SUMPRODUCT(--($AK$2:$AK$6001&lt;$AK2218))+1,"")</f>
        <v/>
      </c>
      <c r="AI2218">
        <f>IF($C2218="","",IF(OR($N2218=TRUE(),$N2218="TRUE"),1,0))</f>
        <v/>
      </c>
      <c r="AJ2218">
        <f>IF($C2218="","",IF($T2218="Yes",1,0))</f>
        <v/>
      </c>
      <c r="AK2218">
        <f>IF($AG2218=1,IFERROR(IF(VALUE($C2218)&lt;100000000,VALUE($C2218),1000000000),IFERROR(IF(VALUE(MID($C2218,2,20))&lt;100000000,VALUE(MID($C2218,2,20)),1000000000),1000000000))+ROW()/100000,"")</f>
        <v/>
      </c>
    </row>
    <row r="2219">
      <c r="D2219" s="11" t="n"/>
      <c r="K2219" s="7">
        <f>IF($C2219="","",J2219*W2219/100)</f>
        <v/>
      </c>
      <c r="Q2219" s="7" t="n"/>
      <c r="R2219" s="7" t="n"/>
      <c r="U2219">
        <f>IF($C2219="","",IF($AJ2219=1,0,IF($AI2219=1,Settings!$C$6,Settings!$C$7))*100)</f>
        <v/>
      </c>
      <c r="V2219" s="7">
        <f>IF($C2219="","",R2219*U2219/100)</f>
        <v/>
      </c>
      <c r="W2219" s="7">
        <f>IF($C2219="","",R2219-V2219)</f>
        <v/>
      </c>
      <c r="X2219" s="7">
        <f>IF($C2219="","",W2219-K2219)</f>
        <v/>
      </c>
      <c r="AB2219" s="7" t="n"/>
      <c r="AE2219" s="11" t="n"/>
      <c r="AG2219">
        <f>IF($C2219="","",IF(COUNTIF($C$2:$C2219,$C2219)=1,1,0))</f>
        <v/>
      </c>
      <c r="AH2219">
        <f>IF($AG2219=1,SUMPRODUCT(--($AK$2:$AK$6001&lt;$AK2219))+1,"")</f>
        <v/>
      </c>
      <c r="AI2219">
        <f>IF($C2219="","",IF(OR($N2219=TRUE(),$N2219="TRUE"),1,0))</f>
        <v/>
      </c>
      <c r="AJ2219">
        <f>IF($C2219="","",IF($T2219="Yes",1,0))</f>
        <v/>
      </c>
      <c r="AK2219">
        <f>IF($AG2219=1,IFERROR(IF(VALUE($C2219)&lt;100000000,VALUE($C2219),1000000000),IFERROR(IF(VALUE(MID($C2219,2,20))&lt;100000000,VALUE(MID($C2219,2,20)),1000000000),1000000000))+ROW()/100000,"")</f>
        <v/>
      </c>
    </row>
    <row r="2220">
      <c r="D2220" s="11" t="n"/>
      <c r="K2220" s="7">
        <f>IF($C2220="","",J2220*W2220/100)</f>
        <v/>
      </c>
      <c r="Q2220" s="7" t="n"/>
      <c r="R2220" s="7" t="n"/>
      <c r="U2220">
        <f>IF($C2220="","",IF($AJ2220=1,0,IF($AI2220=1,Settings!$C$6,Settings!$C$7))*100)</f>
        <v/>
      </c>
      <c r="V2220" s="7">
        <f>IF($C2220="","",R2220*U2220/100)</f>
        <v/>
      </c>
      <c r="W2220" s="7">
        <f>IF($C2220="","",R2220-V2220)</f>
        <v/>
      </c>
      <c r="X2220" s="7">
        <f>IF($C2220="","",W2220-K2220)</f>
        <v/>
      </c>
      <c r="AB2220" s="7" t="n"/>
      <c r="AE2220" s="11" t="n"/>
      <c r="AG2220">
        <f>IF($C2220="","",IF(COUNTIF($C$2:$C2220,$C2220)=1,1,0))</f>
        <v/>
      </c>
      <c r="AH2220">
        <f>IF($AG2220=1,SUMPRODUCT(--($AK$2:$AK$6001&lt;$AK2220))+1,"")</f>
        <v/>
      </c>
      <c r="AI2220">
        <f>IF($C2220="","",IF(OR($N2220=TRUE(),$N2220="TRUE"),1,0))</f>
        <v/>
      </c>
      <c r="AJ2220">
        <f>IF($C2220="","",IF($T2220="Yes",1,0))</f>
        <v/>
      </c>
      <c r="AK2220">
        <f>IF($AG2220=1,IFERROR(IF(VALUE($C2220)&lt;100000000,VALUE($C2220),1000000000),IFERROR(IF(VALUE(MID($C2220,2,20))&lt;100000000,VALUE(MID($C2220,2,20)),1000000000),1000000000))+ROW()/100000,"")</f>
        <v/>
      </c>
    </row>
    <row r="2221">
      <c r="D2221" s="11" t="n"/>
      <c r="K2221" s="7">
        <f>IF($C2221="","",J2221*W2221/100)</f>
        <v/>
      </c>
      <c r="Q2221" s="7" t="n"/>
      <c r="R2221" s="7" t="n"/>
      <c r="U2221">
        <f>IF($C2221="","",IF($AJ2221=1,0,IF($AI2221=1,Settings!$C$6,Settings!$C$7))*100)</f>
        <v/>
      </c>
      <c r="V2221" s="7">
        <f>IF($C2221="","",R2221*U2221/100)</f>
        <v/>
      </c>
      <c r="W2221" s="7">
        <f>IF($C2221="","",R2221-V2221)</f>
        <v/>
      </c>
      <c r="X2221" s="7">
        <f>IF($C2221="","",W2221-K2221)</f>
        <v/>
      </c>
      <c r="AB2221" s="7" t="n"/>
      <c r="AE2221" s="11" t="n"/>
      <c r="AG2221">
        <f>IF($C2221="","",IF(COUNTIF($C$2:$C2221,$C2221)=1,1,0))</f>
        <v/>
      </c>
      <c r="AH2221">
        <f>IF($AG2221=1,SUMPRODUCT(--($AK$2:$AK$6001&lt;$AK2221))+1,"")</f>
        <v/>
      </c>
      <c r="AI2221">
        <f>IF($C2221="","",IF(OR($N2221=TRUE(),$N2221="TRUE"),1,0))</f>
        <v/>
      </c>
      <c r="AJ2221">
        <f>IF($C2221="","",IF($T2221="Yes",1,0))</f>
        <v/>
      </c>
      <c r="AK2221">
        <f>IF($AG2221=1,IFERROR(IF(VALUE($C2221)&lt;100000000,VALUE($C2221),1000000000),IFERROR(IF(VALUE(MID($C2221,2,20))&lt;100000000,VALUE(MID($C2221,2,20)),1000000000),1000000000))+ROW()/100000,"")</f>
        <v/>
      </c>
    </row>
    <row r="2222">
      <c r="D2222" s="11" t="n"/>
      <c r="K2222" s="7">
        <f>IF($C2222="","",J2222*W2222/100)</f>
        <v/>
      </c>
      <c r="Q2222" s="7" t="n"/>
      <c r="R2222" s="7" t="n"/>
      <c r="U2222">
        <f>IF($C2222="","",IF($AJ2222=1,0,IF($AI2222=1,Settings!$C$6,Settings!$C$7))*100)</f>
        <v/>
      </c>
      <c r="V2222" s="7">
        <f>IF($C2222="","",R2222*U2222/100)</f>
        <v/>
      </c>
      <c r="W2222" s="7">
        <f>IF($C2222="","",R2222-V2222)</f>
        <v/>
      </c>
      <c r="X2222" s="7">
        <f>IF($C2222="","",W2222-K2222)</f>
        <v/>
      </c>
      <c r="AB2222" s="7" t="n"/>
      <c r="AE2222" s="11" t="n"/>
      <c r="AG2222">
        <f>IF($C2222="","",IF(COUNTIF($C$2:$C2222,$C2222)=1,1,0))</f>
        <v/>
      </c>
      <c r="AH2222">
        <f>IF($AG2222=1,SUMPRODUCT(--($AK$2:$AK$6001&lt;$AK2222))+1,"")</f>
        <v/>
      </c>
      <c r="AI2222">
        <f>IF($C2222="","",IF(OR($N2222=TRUE(),$N2222="TRUE"),1,0))</f>
        <v/>
      </c>
      <c r="AJ2222">
        <f>IF($C2222="","",IF($T2222="Yes",1,0))</f>
        <v/>
      </c>
      <c r="AK2222">
        <f>IF($AG2222=1,IFERROR(IF(VALUE($C2222)&lt;100000000,VALUE($C2222),1000000000),IFERROR(IF(VALUE(MID($C2222,2,20))&lt;100000000,VALUE(MID($C2222,2,20)),1000000000),1000000000))+ROW()/100000,"")</f>
        <v/>
      </c>
    </row>
    <row r="2223">
      <c r="D2223" s="11" t="n"/>
      <c r="K2223" s="7">
        <f>IF($C2223="","",J2223*W2223/100)</f>
        <v/>
      </c>
      <c r="Q2223" s="7" t="n"/>
      <c r="R2223" s="7" t="n"/>
      <c r="U2223">
        <f>IF($C2223="","",IF($AJ2223=1,0,IF($AI2223=1,Settings!$C$6,Settings!$C$7))*100)</f>
        <v/>
      </c>
      <c r="V2223" s="7">
        <f>IF($C2223="","",R2223*U2223/100)</f>
        <v/>
      </c>
      <c r="W2223" s="7">
        <f>IF($C2223="","",R2223-V2223)</f>
        <v/>
      </c>
      <c r="X2223" s="7">
        <f>IF($C2223="","",W2223-K2223)</f>
        <v/>
      </c>
      <c r="AB2223" s="7" t="n"/>
      <c r="AE2223" s="11" t="n"/>
      <c r="AG2223">
        <f>IF($C2223="","",IF(COUNTIF($C$2:$C2223,$C2223)=1,1,0))</f>
        <v/>
      </c>
      <c r="AH2223">
        <f>IF($AG2223=1,SUMPRODUCT(--($AK$2:$AK$6001&lt;$AK2223))+1,"")</f>
        <v/>
      </c>
      <c r="AI2223">
        <f>IF($C2223="","",IF(OR($N2223=TRUE(),$N2223="TRUE"),1,0))</f>
        <v/>
      </c>
      <c r="AJ2223">
        <f>IF($C2223="","",IF($T2223="Yes",1,0))</f>
        <v/>
      </c>
      <c r="AK2223">
        <f>IF($AG2223=1,IFERROR(IF(VALUE($C2223)&lt;100000000,VALUE($C2223),1000000000),IFERROR(IF(VALUE(MID($C2223,2,20))&lt;100000000,VALUE(MID($C2223,2,20)),1000000000),1000000000))+ROW()/100000,"")</f>
        <v/>
      </c>
    </row>
    <row r="2224">
      <c r="D2224" s="11" t="n"/>
      <c r="K2224" s="7">
        <f>IF($C2224="","",J2224*W2224/100)</f>
        <v/>
      </c>
      <c r="Q2224" s="7" t="n"/>
      <c r="R2224" s="7" t="n"/>
      <c r="U2224">
        <f>IF($C2224="","",IF($AJ2224=1,0,IF($AI2224=1,Settings!$C$6,Settings!$C$7))*100)</f>
        <v/>
      </c>
      <c r="V2224" s="7">
        <f>IF($C2224="","",R2224*U2224/100)</f>
        <v/>
      </c>
      <c r="W2224" s="7">
        <f>IF($C2224="","",R2224-V2224)</f>
        <v/>
      </c>
      <c r="X2224" s="7">
        <f>IF($C2224="","",W2224-K2224)</f>
        <v/>
      </c>
      <c r="AB2224" s="7" t="n"/>
      <c r="AE2224" s="11" t="n"/>
      <c r="AG2224">
        <f>IF($C2224="","",IF(COUNTIF($C$2:$C2224,$C2224)=1,1,0))</f>
        <v/>
      </c>
      <c r="AH2224">
        <f>IF($AG2224=1,SUMPRODUCT(--($AK$2:$AK$6001&lt;$AK2224))+1,"")</f>
        <v/>
      </c>
      <c r="AI2224">
        <f>IF($C2224="","",IF(OR($N2224=TRUE(),$N2224="TRUE"),1,0))</f>
        <v/>
      </c>
      <c r="AJ2224">
        <f>IF($C2224="","",IF($T2224="Yes",1,0))</f>
        <v/>
      </c>
      <c r="AK2224">
        <f>IF($AG2224=1,IFERROR(IF(VALUE($C2224)&lt;100000000,VALUE($C2224),1000000000),IFERROR(IF(VALUE(MID($C2224,2,20))&lt;100000000,VALUE(MID($C2224,2,20)),1000000000),1000000000))+ROW()/100000,"")</f>
        <v/>
      </c>
    </row>
    <row r="2225">
      <c r="D2225" s="11" t="n"/>
      <c r="K2225" s="7">
        <f>IF($C2225="","",J2225*W2225/100)</f>
        <v/>
      </c>
      <c r="Q2225" s="7" t="n"/>
      <c r="R2225" s="7" t="n"/>
      <c r="U2225">
        <f>IF($C2225="","",IF($AJ2225=1,0,IF($AI2225=1,Settings!$C$6,Settings!$C$7))*100)</f>
        <v/>
      </c>
      <c r="V2225" s="7">
        <f>IF($C2225="","",R2225*U2225/100)</f>
        <v/>
      </c>
      <c r="W2225" s="7">
        <f>IF($C2225="","",R2225-V2225)</f>
        <v/>
      </c>
      <c r="X2225" s="7">
        <f>IF($C2225="","",W2225-K2225)</f>
        <v/>
      </c>
      <c r="AB2225" s="7" t="n"/>
      <c r="AE2225" s="11" t="n"/>
      <c r="AG2225">
        <f>IF($C2225="","",IF(COUNTIF($C$2:$C2225,$C2225)=1,1,0))</f>
        <v/>
      </c>
      <c r="AH2225">
        <f>IF($AG2225=1,SUMPRODUCT(--($AK$2:$AK$6001&lt;$AK2225))+1,"")</f>
        <v/>
      </c>
      <c r="AI2225">
        <f>IF($C2225="","",IF(OR($N2225=TRUE(),$N2225="TRUE"),1,0))</f>
        <v/>
      </c>
      <c r="AJ2225">
        <f>IF($C2225="","",IF($T2225="Yes",1,0))</f>
        <v/>
      </c>
      <c r="AK2225">
        <f>IF($AG2225=1,IFERROR(IF(VALUE($C2225)&lt;100000000,VALUE($C2225),1000000000),IFERROR(IF(VALUE(MID($C2225,2,20))&lt;100000000,VALUE(MID($C2225,2,20)),1000000000),1000000000))+ROW()/100000,"")</f>
        <v/>
      </c>
    </row>
    <row r="2226">
      <c r="D2226" s="11" t="n"/>
      <c r="K2226" s="7">
        <f>IF($C2226="","",J2226*W2226/100)</f>
        <v/>
      </c>
      <c r="Q2226" s="7" t="n"/>
      <c r="R2226" s="7" t="n"/>
      <c r="U2226">
        <f>IF($C2226="","",IF($AJ2226=1,0,IF($AI2226=1,Settings!$C$6,Settings!$C$7))*100)</f>
        <v/>
      </c>
      <c r="V2226" s="7">
        <f>IF($C2226="","",R2226*U2226/100)</f>
        <v/>
      </c>
      <c r="W2226" s="7">
        <f>IF($C2226="","",R2226-V2226)</f>
        <v/>
      </c>
      <c r="X2226" s="7">
        <f>IF($C2226="","",W2226-K2226)</f>
        <v/>
      </c>
      <c r="AB2226" s="7" t="n"/>
      <c r="AE2226" s="11" t="n"/>
      <c r="AG2226">
        <f>IF($C2226="","",IF(COUNTIF($C$2:$C2226,$C2226)=1,1,0))</f>
        <v/>
      </c>
      <c r="AH2226">
        <f>IF($AG2226=1,SUMPRODUCT(--($AK$2:$AK$6001&lt;$AK2226))+1,"")</f>
        <v/>
      </c>
      <c r="AI2226">
        <f>IF($C2226="","",IF(OR($N2226=TRUE(),$N2226="TRUE"),1,0))</f>
        <v/>
      </c>
      <c r="AJ2226">
        <f>IF($C2226="","",IF($T2226="Yes",1,0))</f>
        <v/>
      </c>
      <c r="AK2226">
        <f>IF($AG2226=1,IFERROR(IF(VALUE($C2226)&lt;100000000,VALUE($C2226),1000000000),IFERROR(IF(VALUE(MID($C2226,2,20))&lt;100000000,VALUE(MID($C2226,2,20)),1000000000),1000000000))+ROW()/100000,"")</f>
        <v/>
      </c>
    </row>
    <row r="2227">
      <c r="D2227" s="11" t="n"/>
      <c r="K2227" s="7">
        <f>IF($C2227="","",J2227*W2227/100)</f>
        <v/>
      </c>
      <c r="Q2227" s="7" t="n"/>
      <c r="R2227" s="7" t="n"/>
      <c r="U2227">
        <f>IF($C2227="","",IF($AJ2227=1,0,IF($AI2227=1,Settings!$C$6,Settings!$C$7))*100)</f>
        <v/>
      </c>
      <c r="V2227" s="7">
        <f>IF($C2227="","",R2227*U2227/100)</f>
        <v/>
      </c>
      <c r="W2227" s="7">
        <f>IF($C2227="","",R2227-V2227)</f>
        <v/>
      </c>
      <c r="X2227" s="7">
        <f>IF($C2227="","",W2227-K2227)</f>
        <v/>
      </c>
      <c r="AB2227" s="7" t="n"/>
      <c r="AE2227" s="11" t="n"/>
      <c r="AG2227">
        <f>IF($C2227="","",IF(COUNTIF($C$2:$C2227,$C2227)=1,1,0))</f>
        <v/>
      </c>
      <c r="AH2227">
        <f>IF($AG2227=1,SUMPRODUCT(--($AK$2:$AK$6001&lt;$AK2227))+1,"")</f>
        <v/>
      </c>
      <c r="AI2227">
        <f>IF($C2227="","",IF(OR($N2227=TRUE(),$N2227="TRUE"),1,0))</f>
        <v/>
      </c>
      <c r="AJ2227">
        <f>IF($C2227="","",IF($T2227="Yes",1,0))</f>
        <v/>
      </c>
      <c r="AK2227">
        <f>IF($AG2227=1,IFERROR(IF(VALUE($C2227)&lt;100000000,VALUE($C2227),1000000000),IFERROR(IF(VALUE(MID($C2227,2,20))&lt;100000000,VALUE(MID($C2227,2,20)),1000000000),1000000000))+ROW()/100000,"")</f>
        <v/>
      </c>
    </row>
    <row r="2228">
      <c r="D2228" s="11" t="n"/>
      <c r="K2228" s="7">
        <f>IF($C2228="","",J2228*W2228/100)</f>
        <v/>
      </c>
      <c r="Q2228" s="7" t="n"/>
      <c r="R2228" s="7" t="n"/>
      <c r="U2228">
        <f>IF($C2228="","",IF($AJ2228=1,0,IF($AI2228=1,Settings!$C$6,Settings!$C$7))*100)</f>
        <v/>
      </c>
      <c r="V2228" s="7">
        <f>IF($C2228="","",R2228*U2228/100)</f>
        <v/>
      </c>
      <c r="W2228" s="7">
        <f>IF($C2228="","",R2228-V2228)</f>
        <v/>
      </c>
      <c r="X2228" s="7">
        <f>IF($C2228="","",W2228-K2228)</f>
        <v/>
      </c>
      <c r="AB2228" s="7" t="n"/>
      <c r="AE2228" s="11" t="n"/>
      <c r="AG2228">
        <f>IF($C2228="","",IF(COUNTIF($C$2:$C2228,$C2228)=1,1,0))</f>
        <v/>
      </c>
      <c r="AH2228">
        <f>IF($AG2228=1,SUMPRODUCT(--($AK$2:$AK$6001&lt;$AK2228))+1,"")</f>
        <v/>
      </c>
      <c r="AI2228">
        <f>IF($C2228="","",IF(OR($N2228=TRUE(),$N2228="TRUE"),1,0))</f>
        <v/>
      </c>
      <c r="AJ2228">
        <f>IF($C2228="","",IF($T2228="Yes",1,0))</f>
        <v/>
      </c>
      <c r="AK2228">
        <f>IF($AG2228=1,IFERROR(IF(VALUE($C2228)&lt;100000000,VALUE($C2228),1000000000),IFERROR(IF(VALUE(MID($C2228,2,20))&lt;100000000,VALUE(MID($C2228,2,20)),1000000000),1000000000))+ROW()/100000,"")</f>
        <v/>
      </c>
    </row>
    <row r="2229">
      <c r="D2229" s="11" t="n"/>
      <c r="K2229" s="7">
        <f>IF($C2229="","",J2229*W2229/100)</f>
        <v/>
      </c>
      <c r="Q2229" s="7" t="n"/>
      <c r="R2229" s="7" t="n"/>
      <c r="U2229">
        <f>IF($C2229="","",IF($AJ2229=1,0,IF($AI2229=1,Settings!$C$6,Settings!$C$7))*100)</f>
        <v/>
      </c>
      <c r="V2229" s="7">
        <f>IF($C2229="","",R2229*U2229/100)</f>
        <v/>
      </c>
      <c r="W2229" s="7">
        <f>IF($C2229="","",R2229-V2229)</f>
        <v/>
      </c>
      <c r="X2229" s="7">
        <f>IF($C2229="","",W2229-K2229)</f>
        <v/>
      </c>
      <c r="AB2229" s="7" t="n"/>
      <c r="AE2229" s="11" t="n"/>
      <c r="AG2229">
        <f>IF($C2229="","",IF(COUNTIF($C$2:$C2229,$C2229)=1,1,0))</f>
        <v/>
      </c>
      <c r="AH2229">
        <f>IF($AG2229=1,SUMPRODUCT(--($AK$2:$AK$6001&lt;$AK2229))+1,"")</f>
        <v/>
      </c>
      <c r="AI2229">
        <f>IF($C2229="","",IF(OR($N2229=TRUE(),$N2229="TRUE"),1,0))</f>
        <v/>
      </c>
      <c r="AJ2229">
        <f>IF($C2229="","",IF($T2229="Yes",1,0))</f>
        <v/>
      </c>
      <c r="AK2229">
        <f>IF($AG2229=1,IFERROR(IF(VALUE($C2229)&lt;100000000,VALUE($C2229),1000000000),IFERROR(IF(VALUE(MID($C2229,2,20))&lt;100000000,VALUE(MID($C2229,2,20)),1000000000),1000000000))+ROW()/100000,"")</f>
        <v/>
      </c>
    </row>
    <row r="2230">
      <c r="D2230" s="11" t="n"/>
      <c r="K2230" s="7">
        <f>IF($C2230="","",J2230*W2230/100)</f>
        <v/>
      </c>
      <c r="Q2230" s="7" t="n"/>
      <c r="R2230" s="7" t="n"/>
      <c r="U2230">
        <f>IF($C2230="","",IF($AJ2230=1,0,IF($AI2230=1,Settings!$C$6,Settings!$C$7))*100)</f>
        <v/>
      </c>
      <c r="V2230" s="7">
        <f>IF($C2230="","",R2230*U2230/100)</f>
        <v/>
      </c>
      <c r="W2230" s="7">
        <f>IF($C2230="","",R2230-V2230)</f>
        <v/>
      </c>
      <c r="X2230" s="7">
        <f>IF($C2230="","",W2230-K2230)</f>
        <v/>
      </c>
      <c r="AB2230" s="7" t="n"/>
      <c r="AE2230" s="11" t="n"/>
      <c r="AG2230">
        <f>IF($C2230="","",IF(COUNTIF($C$2:$C2230,$C2230)=1,1,0))</f>
        <v/>
      </c>
      <c r="AH2230">
        <f>IF($AG2230=1,SUMPRODUCT(--($AK$2:$AK$6001&lt;$AK2230))+1,"")</f>
        <v/>
      </c>
      <c r="AI2230">
        <f>IF($C2230="","",IF(OR($N2230=TRUE(),$N2230="TRUE"),1,0))</f>
        <v/>
      </c>
      <c r="AJ2230">
        <f>IF($C2230="","",IF($T2230="Yes",1,0))</f>
        <v/>
      </c>
      <c r="AK2230">
        <f>IF($AG2230=1,IFERROR(IF(VALUE($C2230)&lt;100000000,VALUE($C2230),1000000000),IFERROR(IF(VALUE(MID($C2230,2,20))&lt;100000000,VALUE(MID($C2230,2,20)),1000000000),1000000000))+ROW()/100000,"")</f>
        <v/>
      </c>
    </row>
    <row r="2231">
      <c r="D2231" s="11" t="n"/>
      <c r="K2231" s="7">
        <f>IF($C2231="","",J2231*W2231/100)</f>
        <v/>
      </c>
      <c r="Q2231" s="7" t="n"/>
      <c r="R2231" s="7" t="n"/>
      <c r="U2231">
        <f>IF($C2231="","",IF($AJ2231=1,0,IF($AI2231=1,Settings!$C$6,Settings!$C$7))*100)</f>
        <v/>
      </c>
      <c r="V2231" s="7">
        <f>IF($C2231="","",R2231*U2231/100)</f>
        <v/>
      </c>
      <c r="W2231" s="7">
        <f>IF($C2231="","",R2231-V2231)</f>
        <v/>
      </c>
      <c r="X2231" s="7">
        <f>IF($C2231="","",W2231-K2231)</f>
        <v/>
      </c>
      <c r="AB2231" s="7" t="n"/>
      <c r="AE2231" s="11" t="n"/>
      <c r="AG2231">
        <f>IF($C2231="","",IF(COUNTIF($C$2:$C2231,$C2231)=1,1,0))</f>
        <v/>
      </c>
      <c r="AH2231">
        <f>IF($AG2231=1,SUMPRODUCT(--($AK$2:$AK$6001&lt;$AK2231))+1,"")</f>
        <v/>
      </c>
      <c r="AI2231">
        <f>IF($C2231="","",IF(OR($N2231=TRUE(),$N2231="TRUE"),1,0))</f>
        <v/>
      </c>
      <c r="AJ2231">
        <f>IF($C2231="","",IF($T2231="Yes",1,0))</f>
        <v/>
      </c>
      <c r="AK2231">
        <f>IF($AG2231=1,IFERROR(IF(VALUE($C2231)&lt;100000000,VALUE($C2231),1000000000),IFERROR(IF(VALUE(MID($C2231,2,20))&lt;100000000,VALUE(MID($C2231,2,20)),1000000000),1000000000))+ROW()/100000,"")</f>
        <v/>
      </c>
    </row>
    <row r="2232">
      <c r="D2232" s="11" t="n"/>
      <c r="K2232" s="7">
        <f>IF($C2232="","",J2232*W2232/100)</f>
        <v/>
      </c>
      <c r="Q2232" s="7" t="n"/>
      <c r="R2232" s="7" t="n"/>
      <c r="U2232">
        <f>IF($C2232="","",IF($AJ2232=1,0,IF($AI2232=1,Settings!$C$6,Settings!$C$7))*100)</f>
        <v/>
      </c>
      <c r="V2232" s="7">
        <f>IF($C2232="","",R2232*U2232/100)</f>
        <v/>
      </c>
      <c r="W2232" s="7">
        <f>IF($C2232="","",R2232-V2232)</f>
        <v/>
      </c>
      <c r="X2232" s="7">
        <f>IF($C2232="","",W2232-K2232)</f>
        <v/>
      </c>
      <c r="AB2232" s="7" t="n"/>
      <c r="AE2232" s="11" t="n"/>
      <c r="AG2232">
        <f>IF($C2232="","",IF(COUNTIF($C$2:$C2232,$C2232)=1,1,0))</f>
        <v/>
      </c>
      <c r="AH2232">
        <f>IF($AG2232=1,SUMPRODUCT(--($AK$2:$AK$6001&lt;$AK2232))+1,"")</f>
        <v/>
      </c>
      <c r="AI2232">
        <f>IF($C2232="","",IF(OR($N2232=TRUE(),$N2232="TRUE"),1,0))</f>
        <v/>
      </c>
      <c r="AJ2232">
        <f>IF($C2232="","",IF($T2232="Yes",1,0))</f>
        <v/>
      </c>
      <c r="AK2232">
        <f>IF($AG2232=1,IFERROR(IF(VALUE($C2232)&lt;100000000,VALUE($C2232),1000000000),IFERROR(IF(VALUE(MID($C2232,2,20))&lt;100000000,VALUE(MID($C2232,2,20)),1000000000),1000000000))+ROW()/100000,"")</f>
        <v/>
      </c>
    </row>
    <row r="2233">
      <c r="D2233" s="11" t="n"/>
      <c r="K2233" s="7">
        <f>IF($C2233="","",J2233*W2233/100)</f>
        <v/>
      </c>
      <c r="Q2233" s="7" t="n"/>
      <c r="R2233" s="7" t="n"/>
      <c r="U2233">
        <f>IF($C2233="","",IF($AJ2233=1,0,IF($AI2233=1,Settings!$C$6,Settings!$C$7))*100)</f>
        <v/>
      </c>
      <c r="V2233" s="7">
        <f>IF($C2233="","",R2233*U2233/100)</f>
        <v/>
      </c>
      <c r="W2233" s="7">
        <f>IF($C2233="","",R2233-V2233)</f>
        <v/>
      </c>
      <c r="X2233" s="7">
        <f>IF($C2233="","",W2233-K2233)</f>
        <v/>
      </c>
      <c r="AB2233" s="7" t="n"/>
      <c r="AE2233" s="11" t="n"/>
      <c r="AG2233">
        <f>IF($C2233="","",IF(COUNTIF($C$2:$C2233,$C2233)=1,1,0))</f>
        <v/>
      </c>
      <c r="AH2233">
        <f>IF($AG2233=1,SUMPRODUCT(--($AK$2:$AK$6001&lt;$AK2233))+1,"")</f>
        <v/>
      </c>
      <c r="AI2233">
        <f>IF($C2233="","",IF(OR($N2233=TRUE(),$N2233="TRUE"),1,0))</f>
        <v/>
      </c>
      <c r="AJ2233">
        <f>IF($C2233="","",IF($T2233="Yes",1,0))</f>
        <v/>
      </c>
      <c r="AK2233">
        <f>IF($AG2233=1,IFERROR(IF(VALUE($C2233)&lt;100000000,VALUE($C2233),1000000000),IFERROR(IF(VALUE(MID($C2233,2,20))&lt;100000000,VALUE(MID($C2233,2,20)),1000000000),1000000000))+ROW()/100000,"")</f>
        <v/>
      </c>
    </row>
    <row r="2234">
      <c r="D2234" s="11" t="n"/>
      <c r="K2234" s="7">
        <f>IF($C2234="","",J2234*W2234/100)</f>
        <v/>
      </c>
      <c r="Q2234" s="7" t="n"/>
      <c r="R2234" s="7" t="n"/>
      <c r="U2234">
        <f>IF($C2234="","",IF($AJ2234=1,0,IF($AI2234=1,Settings!$C$6,Settings!$C$7))*100)</f>
        <v/>
      </c>
      <c r="V2234" s="7">
        <f>IF($C2234="","",R2234*U2234/100)</f>
        <v/>
      </c>
      <c r="W2234" s="7">
        <f>IF($C2234="","",R2234-V2234)</f>
        <v/>
      </c>
      <c r="X2234" s="7">
        <f>IF($C2234="","",W2234-K2234)</f>
        <v/>
      </c>
      <c r="AB2234" s="7" t="n"/>
      <c r="AE2234" s="11" t="n"/>
      <c r="AG2234">
        <f>IF($C2234="","",IF(COUNTIF($C$2:$C2234,$C2234)=1,1,0))</f>
        <v/>
      </c>
      <c r="AH2234">
        <f>IF($AG2234=1,SUMPRODUCT(--($AK$2:$AK$6001&lt;$AK2234))+1,"")</f>
        <v/>
      </c>
      <c r="AI2234">
        <f>IF($C2234="","",IF(OR($N2234=TRUE(),$N2234="TRUE"),1,0))</f>
        <v/>
      </c>
      <c r="AJ2234">
        <f>IF($C2234="","",IF($T2234="Yes",1,0))</f>
        <v/>
      </c>
      <c r="AK2234">
        <f>IF($AG2234=1,IFERROR(IF(VALUE($C2234)&lt;100000000,VALUE($C2234),1000000000),IFERROR(IF(VALUE(MID($C2234,2,20))&lt;100000000,VALUE(MID($C2234,2,20)),1000000000),1000000000))+ROW()/100000,"")</f>
        <v/>
      </c>
    </row>
    <row r="2235">
      <c r="D2235" s="11" t="n"/>
      <c r="K2235" s="7">
        <f>IF($C2235="","",J2235*W2235/100)</f>
        <v/>
      </c>
      <c r="Q2235" s="7" t="n"/>
      <c r="R2235" s="7" t="n"/>
      <c r="U2235">
        <f>IF($C2235="","",IF($AJ2235=1,0,IF($AI2235=1,Settings!$C$6,Settings!$C$7))*100)</f>
        <v/>
      </c>
      <c r="V2235" s="7">
        <f>IF($C2235="","",R2235*U2235/100)</f>
        <v/>
      </c>
      <c r="W2235" s="7">
        <f>IF($C2235="","",R2235-V2235)</f>
        <v/>
      </c>
      <c r="X2235" s="7">
        <f>IF($C2235="","",W2235-K2235)</f>
        <v/>
      </c>
      <c r="AB2235" s="7" t="n"/>
      <c r="AE2235" s="11" t="n"/>
      <c r="AG2235">
        <f>IF($C2235="","",IF(COUNTIF($C$2:$C2235,$C2235)=1,1,0))</f>
        <v/>
      </c>
      <c r="AH2235">
        <f>IF($AG2235=1,SUMPRODUCT(--($AK$2:$AK$6001&lt;$AK2235))+1,"")</f>
        <v/>
      </c>
      <c r="AI2235">
        <f>IF($C2235="","",IF(OR($N2235=TRUE(),$N2235="TRUE"),1,0))</f>
        <v/>
      </c>
      <c r="AJ2235">
        <f>IF($C2235="","",IF($T2235="Yes",1,0))</f>
        <v/>
      </c>
      <c r="AK2235">
        <f>IF($AG2235=1,IFERROR(IF(VALUE($C2235)&lt;100000000,VALUE($C2235),1000000000),IFERROR(IF(VALUE(MID($C2235,2,20))&lt;100000000,VALUE(MID($C2235,2,20)),1000000000),1000000000))+ROW()/100000,"")</f>
        <v/>
      </c>
    </row>
    <row r="2236">
      <c r="D2236" s="11" t="n"/>
      <c r="K2236" s="7">
        <f>IF($C2236="","",J2236*W2236/100)</f>
        <v/>
      </c>
      <c r="Q2236" s="7" t="n"/>
      <c r="R2236" s="7" t="n"/>
      <c r="U2236">
        <f>IF($C2236="","",IF($AJ2236=1,0,IF($AI2236=1,Settings!$C$6,Settings!$C$7))*100)</f>
        <v/>
      </c>
      <c r="V2236" s="7">
        <f>IF($C2236="","",R2236*U2236/100)</f>
        <v/>
      </c>
      <c r="W2236" s="7">
        <f>IF($C2236="","",R2236-V2236)</f>
        <v/>
      </c>
      <c r="X2236" s="7">
        <f>IF($C2236="","",W2236-K2236)</f>
        <v/>
      </c>
      <c r="AB2236" s="7" t="n"/>
      <c r="AE2236" s="11" t="n"/>
      <c r="AG2236">
        <f>IF($C2236="","",IF(COUNTIF($C$2:$C2236,$C2236)=1,1,0))</f>
        <v/>
      </c>
      <c r="AH2236">
        <f>IF($AG2236=1,SUMPRODUCT(--($AK$2:$AK$6001&lt;$AK2236))+1,"")</f>
        <v/>
      </c>
      <c r="AI2236">
        <f>IF($C2236="","",IF(OR($N2236=TRUE(),$N2236="TRUE"),1,0))</f>
        <v/>
      </c>
      <c r="AJ2236">
        <f>IF($C2236="","",IF($T2236="Yes",1,0))</f>
        <v/>
      </c>
      <c r="AK2236">
        <f>IF($AG2236=1,IFERROR(IF(VALUE($C2236)&lt;100000000,VALUE($C2236),1000000000),IFERROR(IF(VALUE(MID($C2236,2,20))&lt;100000000,VALUE(MID($C2236,2,20)),1000000000),1000000000))+ROW()/100000,"")</f>
        <v/>
      </c>
    </row>
    <row r="2237">
      <c r="D2237" s="11" t="n"/>
      <c r="K2237" s="7">
        <f>IF($C2237="","",J2237*W2237/100)</f>
        <v/>
      </c>
      <c r="Q2237" s="7" t="n"/>
      <c r="R2237" s="7" t="n"/>
      <c r="U2237">
        <f>IF($C2237="","",IF($AJ2237=1,0,IF($AI2237=1,Settings!$C$6,Settings!$C$7))*100)</f>
        <v/>
      </c>
      <c r="V2237" s="7">
        <f>IF($C2237="","",R2237*U2237/100)</f>
        <v/>
      </c>
      <c r="W2237" s="7">
        <f>IF($C2237="","",R2237-V2237)</f>
        <v/>
      </c>
      <c r="X2237" s="7">
        <f>IF($C2237="","",W2237-K2237)</f>
        <v/>
      </c>
      <c r="AB2237" s="7" t="n"/>
      <c r="AE2237" s="11" t="n"/>
      <c r="AG2237">
        <f>IF($C2237="","",IF(COUNTIF($C$2:$C2237,$C2237)=1,1,0))</f>
        <v/>
      </c>
      <c r="AH2237">
        <f>IF($AG2237=1,SUMPRODUCT(--($AK$2:$AK$6001&lt;$AK2237))+1,"")</f>
        <v/>
      </c>
      <c r="AI2237">
        <f>IF($C2237="","",IF(OR($N2237=TRUE(),$N2237="TRUE"),1,0))</f>
        <v/>
      </c>
      <c r="AJ2237">
        <f>IF($C2237="","",IF($T2237="Yes",1,0))</f>
        <v/>
      </c>
      <c r="AK2237">
        <f>IF($AG2237=1,IFERROR(IF(VALUE($C2237)&lt;100000000,VALUE($C2237),1000000000),IFERROR(IF(VALUE(MID($C2237,2,20))&lt;100000000,VALUE(MID($C2237,2,20)),1000000000),1000000000))+ROW()/100000,"")</f>
        <v/>
      </c>
    </row>
    <row r="2238">
      <c r="D2238" s="11" t="n"/>
      <c r="K2238" s="7">
        <f>IF($C2238="","",J2238*W2238/100)</f>
        <v/>
      </c>
      <c r="Q2238" s="7" t="n"/>
      <c r="R2238" s="7" t="n"/>
      <c r="U2238">
        <f>IF($C2238="","",IF($AJ2238=1,0,IF($AI2238=1,Settings!$C$6,Settings!$C$7))*100)</f>
        <v/>
      </c>
      <c r="V2238" s="7">
        <f>IF($C2238="","",R2238*U2238/100)</f>
        <v/>
      </c>
      <c r="W2238" s="7">
        <f>IF($C2238="","",R2238-V2238)</f>
        <v/>
      </c>
      <c r="X2238" s="7">
        <f>IF($C2238="","",W2238-K2238)</f>
        <v/>
      </c>
      <c r="AB2238" s="7" t="n"/>
      <c r="AE2238" s="11" t="n"/>
      <c r="AG2238">
        <f>IF($C2238="","",IF(COUNTIF($C$2:$C2238,$C2238)=1,1,0))</f>
        <v/>
      </c>
      <c r="AH2238">
        <f>IF($AG2238=1,SUMPRODUCT(--($AK$2:$AK$6001&lt;$AK2238))+1,"")</f>
        <v/>
      </c>
      <c r="AI2238">
        <f>IF($C2238="","",IF(OR($N2238=TRUE(),$N2238="TRUE"),1,0))</f>
        <v/>
      </c>
      <c r="AJ2238">
        <f>IF($C2238="","",IF($T2238="Yes",1,0))</f>
        <v/>
      </c>
      <c r="AK2238">
        <f>IF($AG2238=1,IFERROR(IF(VALUE($C2238)&lt;100000000,VALUE($C2238),1000000000),IFERROR(IF(VALUE(MID($C2238,2,20))&lt;100000000,VALUE(MID($C2238,2,20)),1000000000),1000000000))+ROW()/100000,"")</f>
        <v/>
      </c>
    </row>
    <row r="2239">
      <c r="D2239" s="11" t="n"/>
      <c r="K2239" s="7">
        <f>IF($C2239="","",J2239*W2239/100)</f>
        <v/>
      </c>
      <c r="Q2239" s="7" t="n"/>
      <c r="R2239" s="7" t="n"/>
      <c r="U2239">
        <f>IF($C2239="","",IF($AJ2239=1,0,IF($AI2239=1,Settings!$C$6,Settings!$C$7))*100)</f>
        <v/>
      </c>
      <c r="V2239" s="7">
        <f>IF($C2239="","",R2239*U2239/100)</f>
        <v/>
      </c>
      <c r="W2239" s="7">
        <f>IF($C2239="","",R2239-V2239)</f>
        <v/>
      </c>
      <c r="X2239" s="7">
        <f>IF($C2239="","",W2239-K2239)</f>
        <v/>
      </c>
      <c r="AB2239" s="7" t="n"/>
      <c r="AE2239" s="11" t="n"/>
      <c r="AG2239">
        <f>IF($C2239="","",IF(COUNTIF($C$2:$C2239,$C2239)=1,1,0))</f>
        <v/>
      </c>
      <c r="AH2239">
        <f>IF($AG2239=1,SUMPRODUCT(--($AK$2:$AK$6001&lt;$AK2239))+1,"")</f>
        <v/>
      </c>
      <c r="AI2239">
        <f>IF($C2239="","",IF(OR($N2239=TRUE(),$N2239="TRUE"),1,0))</f>
        <v/>
      </c>
      <c r="AJ2239">
        <f>IF($C2239="","",IF($T2239="Yes",1,0))</f>
        <v/>
      </c>
      <c r="AK2239">
        <f>IF($AG2239=1,IFERROR(IF(VALUE($C2239)&lt;100000000,VALUE($C2239),1000000000),IFERROR(IF(VALUE(MID($C2239,2,20))&lt;100000000,VALUE(MID($C2239,2,20)),1000000000),1000000000))+ROW()/100000,"")</f>
        <v/>
      </c>
    </row>
    <row r="2240">
      <c r="D2240" s="11" t="n"/>
      <c r="K2240" s="7">
        <f>IF($C2240="","",J2240*W2240/100)</f>
        <v/>
      </c>
      <c r="Q2240" s="7" t="n"/>
      <c r="R2240" s="7" t="n"/>
      <c r="U2240">
        <f>IF($C2240="","",IF($AJ2240=1,0,IF($AI2240=1,Settings!$C$6,Settings!$C$7))*100)</f>
        <v/>
      </c>
      <c r="V2240" s="7">
        <f>IF($C2240="","",R2240*U2240/100)</f>
        <v/>
      </c>
      <c r="W2240" s="7">
        <f>IF($C2240="","",R2240-V2240)</f>
        <v/>
      </c>
      <c r="X2240" s="7">
        <f>IF($C2240="","",W2240-K2240)</f>
        <v/>
      </c>
      <c r="AB2240" s="7" t="n"/>
      <c r="AE2240" s="11" t="n"/>
      <c r="AG2240">
        <f>IF($C2240="","",IF(COUNTIF($C$2:$C2240,$C2240)=1,1,0))</f>
        <v/>
      </c>
      <c r="AH2240">
        <f>IF($AG2240=1,SUMPRODUCT(--($AK$2:$AK$6001&lt;$AK2240))+1,"")</f>
        <v/>
      </c>
      <c r="AI2240">
        <f>IF($C2240="","",IF(OR($N2240=TRUE(),$N2240="TRUE"),1,0))</f>
        <v/>
      </c>
      <c r="AJ2240">
        <f>IF($C2240="","",IF($T2240="Yes",1,0))</f>
        <v/>
      </c>
      <c r="AK2240">
        <f>IF($AG2240=1,IFERROR(IF(VALUE($C2240)&lt;100000000,VALUE($C2240),1000000000),IFERROR(IF(VALUE(MID($C2240,2,20))&lt;100000000,VALUE(MID($C2240,2,20)),1000000000),1000000000))+ROW()/100000,"")</f>
        <v/>
      </c>
    </row>
    <row r="2241">
      <c r="D2241" s="11" t="n"/>
      <c r="K2241" s="7">
        <f>IF($C2241="","",J2241*W2241/100)</f>
        <v/>
      </c>
      <c r="Q2241" s="7" t="n"/>
      <c r="R2241" s="7" t="n"/>
      <c r="U2241">
        <f>IF($C2241="","",IF($AJ2241=1,0,IF($AI2241=1,Settings!$C$6,Settings!$C$7))*100)</f>
        <v/>
      </c>
      <c r="V2241" s="7">
        <f>IF($C2241="","",R2241*U2241/100)</f>
        <v/>
      </c>
      <c r="W2241" s="7">
        <f>IF($C2241="","",R2241-V2241)</f>
        <v/>
      </c>
      <c r="X2241" s="7">
        <f>IF($C2241="","",W2241-K2241)</f>
        <v/>
      </c>
      <c r="AB2241" s="7" t="n"/>
      <c r="AE2241" s="11" t="n"/>
      <c r="AG2241">
        <f>IF($C2241="","",IF(COUNTIF($C$2:$C2241,$C2241)=1,1,0))</f>
        <v/>
      </c>
      <c r="AH2241">
        <f>IF($AG2241=1,SUMPRODUCT(--($AK$2:$AK$6001&lt;$AK2241))+1,"")</f>
        <v/>
      </c>
      <c r="AI2241">
        <f>IF($C2241="","",IF(OR($N2241=TRUE(),$N2241="TRUE"),1,0))</f>
        <v/>
      </c>
      <c r="AJ2241">
        <f>IF($C2241="","",IF($T2241="Yes",1,0))</f>
        <v/>
      </c>
      <c r="AK2241">
        <f>IF($AG2241=1,IFERROR(IF(VALUE($C2241)&lt;100000000,VALUE($C2241),1000000000),IFERROR(IF(VALUE(MID($C2241,2,20))&lt;100000000,VALUE(MID($C2241,2,20)),1000000000),1000000000))+ROW()/100000,"")</f>
        <v/>
      </c>
    </row>
    <row r="2242">
      <c r="D2242" s="11" t="n"/>
      <c r="K2242" s="7">
        <f>IF($C2242="","",J2242*W2242/100)</f>
        <v/>
      </c>
      <c r="Q2242" s="7" t="n"/>
      <c r="R2242" s="7" t="n"/>
      <c r="U2242">
        <f>IF($C2242="","",IF($AJ2242=1,0,IF($AI2242=1,Settings!$C$6,Settings!$C$7))*100)</f>
        <v/>
      </c>
      <c r="V2242" s="7">
        <f>IF($C2242="","",R2242*U2242/100)</f>
        <v/>
      </c>
      <c r="W2242" s="7">
        <f>IF($C2242="","",R2242-V2242)</f>
        <v/>
      </c>
      <c r="X2242" s="7">
        <f>IF($C2242="","",W2242-K2242)</f>
        <v/>
      </c>
      <c r="AB2242" s="7" t="n"/>
      <c r="AE2242" s="11" t="n"/>
      <c r="AG2242">
        <f>IF($C2242="","",IF(COUNTIF($C$2:$C2242,$C2242)=1,1,0))</f>
        <v/>
      </c>
      <c r="AH2242">
        <f>IF($AG2242=1,SUMPRODUCT(--($AK$2:$AK$6001&lt;$AK2242))+1,"")</f>
        <v/>
      </c>
      <c r="AI2242">
        <f>IF($C2242="","",IF(OR($N2242=TRUE(),$N2242="TRUE"),1,0))</f>
        <v/>
      </c>
      <c r="AJ2242">
        <f>IF($C2242="","",IF($T2242="Yes",1,0))</f>
        <v/>
      </c>
      <c r="AK2242">
        <f>IF($AG2242=1,IFERROR(IF(VALUE($C2242)&lt;100000000,VALUE($C2242),1000000000),IFERROR(IF(VALUE(MID($C2242,2,20))&lt;100000000,VALUE(MID($C2242,2,20)),1000000000),1000000000))+ROW()/100000,"")</f>
        <v/>
      </c>
    </row>
    <row r="2243">
      <c r="D2243" s="11" t="n"/>
      <c r="K2243" s="7">
        <f>IF($C2243="","",J2243*W2243/100)</f>
        <v/>
      </c>
      <c r="Q2243" s="7" t="n"/>
      <c r="R2243" s="7" t="n"/>
      <c r="U2243">
        <f>IF($C2243="","",IF($AJ2243=1,0,IF($AI2243=1,Settings!$C$6,Settings!$C$7))*100)</f>
        <v/>
      </c>
      <c r="V2243" s="7">
        <f>IF($C2243="","",R2243*U2243/100)</f>
        <v/>
      </c>
      <c r="W2243" s="7">
        <f>IF($C2243="","",R2243-V2243)</f>
        <v/>
      </c>
      <c r="X2243" s="7">
        <f>IF($C2243="","",W2243-K2243)</f>
        <v/>
      </c>
      <c r="AB2243" s="7" t="n"/>
      <c r="AE2243" s="11" t="n"/>
      <c r="AG2243">
        <f>IF($C2243="","",IF(COUNTIF($C$2:$C2243,$C2243)=1,1,0))</f>
        <v/>
      </c>
      <c r="AH2243">
        <f>IF($AG2243=1,SUMPRODUCT(--($AK$2:$AK$6001&lt;$AK2243))+1,"")</f>
        <v/>
      </c>
      <c r="AI2243">
        <f>IF($C2243="","",IF(OR($N2243=TRUE(),$N2243="TRUE"),1,0))</f>
        <v/>
      </c>
      <c r="AJ2243">
        <f>IF($C2243="","",IF($T2243="Yes",1,0))</f>
        <v/>
      </c>
      <c r="AK2243">
        <f>IF($AG2243=1,IFERROR(IF(VALUE($C2243)&lt;100000000,VALUE($C2243),1000000000),IFERROR(IF(VALUE(MID($C2243,2,20))&lt;100000000,VALUE(MID($C2243,2,20)),1000000000),1000000000))+ROW()/100000,"")</f>
        <v/>
      </c>
    </row>
    <row r="2244">
      <c r="D2244" s="11" t="n"/>
      <c r="K2244" s="7">
        <f>IF($C2244="","",J2244*W2244/100)</f>
        <v/>
      </c>
      <c r="Q2244" s="7" t="n"/>
      <c r="R2244" s="7" t="n"/>
      <c r="U2244">
        <f>IF($C2244="","",IF($AJ2244=1,0,IF($AI2244=1,Settings!$C$6,Settings!$C$7))*100)</f>
        <v/>
      </c>
      <c r="V2244" s="7">
        <f>IF($C2244="","",R2244*U2244/100)</f>
        <v/>
      </c>
      <c r="W2244" s="7">
        <f>IF($C2244="","",R2244-V2244)</f>
        <v/>
      </c>
      <c r="X2244" s="7">
        <f>IF($C2244="","",W2244-K2244)</f>
        <v/>
      </c>
      <c r="AB2244" s="7" t="n"/>
      <c r="AE2244" s="11" t="n"/>
      <c r="AG2244">
        <f>IF($C2244="","",IF(COUNTIF($C$2:$C2244,$C2244)=1,1,0))</f>
        <v/>
      </c>
      <c r="AH2244">
        <f>IF($AG2244=1,SUMPRODUCT(--($AK$2:$AK$6001&lt;$AK2244))+1,"")</f>
        <v/>
      </c>
      <c r="AI2244">
        <f>IF($C2244="","",IF(OR($N2244=TRUE(),$N2244="TRUE"),1,0))</f>
        <v/>
      </c>
      <c r="AJ2244">
        <f>IF($C2244="","",IF($T2244="Yes",1,0))</f>
        <v/>
      </c>
      <c r="AK2244">
        <f>IF($AG2244=1,IFERROR(IF(VALUE($C2244)&lt;100000000,VALUE($C2244),1000000000),IFERROR(IF(VALUE(MID($C2244,2,20))&lt;100000000,VALUE(MID($C2244,2,20)),1000000000),1000000000))+ROW()/100000,"")</f>
        <v/>
      </c>
    </row>
    <row r="2245">
      <c r="D2245" s="11" t="n"/>
      <c r="K2245" s="7">
        <f>IF($C2245="","",J2245*W2245/100)</f>
        <v/>
      </c>
      <c r="Q2245" s="7" t="n"/>
      <c r="R2245" s="7" t="n"/>
      <c r="U2245">
        <f>IF($C2245="","",IF($AJ2245=1,0,IF($AI2245=1,Settings!$C$6,Settings!$C$7))*100)</f>
        <v/>
      </c>
      <c r="V2245" s="7">
        <f>IF($C2245="","",R2245*U2245/100)</f>
        <v/>
      </c>
      <c r="W2245" s="7">
        <f>IF($C2245="","",R2245-V2245)</f>
        <v/>
      </c>
      <c r="X2245" s="7">
        <f>IF($C2245="","",W2245-K2245)</f>
        <v/>
      </c>
      <c r="AB2245" s="7" t="n"/>
      <c r="AE2245" s="11" t="n"/>
      <c r="AG2245">
        <f>IF($C2245="","",IF(COUNTIF($C$2:$C2245,$C2245)=1,1,0))</f>
        <v/>
      </c>
      <c r="AH2245">
        <f>IF($AG2245=1,SUMPRODUCT(--($AK$2:$AK$6001&lt;$AK2245))+1,"")</f>
        <v/>
      </c>
      <c r="AI2245">
        <f>IF($C2245="","",IF(OR($N2245=TRUE(),$N2245="TRUE"),1,0))</f>
        <v/>
      </c>
      <c r="AJ2245">
        <f>IF($C2245="","",IF($T2245="Yes",1,0))</f>
        <v/>
      </c>
      <c r="AK2245">
        <f>IF($AG2245=1,IFERROR(IF(VALUE($C2245)&lt;100000000,VALUE($C2245),1000000000),IFERROR(IF(VALUE(MID($C2245,2,20))&lt;100000000,VALUE(MID($C2245,2,20)),1000000000),1000000000))+ROW()/100000,"")</f>
        <v/>
      </c>
    </row>
    <row r="2246">
      <c r="D2246" s="11" t="n"/>
      <c r="K2246" s="7">
        <f>IF($C2246="","",J2246*W2246/100)</f>
        <v/>
      </c>
      <c r="Q2246" s="7" t="n"/>
      <c r="R2246" s="7" t="n"/>
      <c r="U2246">
        <f>IF($C2246="","",IF($AJ2246=1,0,IF($AI2246=1,Settings!$C$6,Settings!$C$7))*100)</f>
        <v/>
      </c>
      <c r="V2246" s="7">
        <f>IF($C2246="","",R2246*U2246/100)</f>
        <v/>
      </c>
      <c r="W2246" s="7">
        <f>IF($C2246="","",R2246-V2246)</f>
        <v/>
      </c>
      <c r="X2246" s="7">
        <f>IF($C2246="","",W2246-K2246)</f>
        <v/>
      </c>
      <c r="AB2246" s="7" t="n"/>
      <c r="AE2246" s="11" t="n"/>
      <c r="AG2246">
        <f>IF($C2246="","",IF(COUNTIF($C$2:$C2246,$C2246)=1,1,0))</f>
        <v/>
      </c>
      <c r="AH2246">
        <f>IF($AG2246=1,SUMPRODUCT(--($AK$2:$AK$6001&lt;$AK2246))+1,"")</f>
        <v/>
      </c>
      <c r="AI2246">
        <f>IF($C2246="","",IF(OR($N2246=TRUE(),$N2246="TRUE"),1,0))</f>
        <v/>
      </c>
      <c r="AJ2246">
        <f>IF($C2246="","",IF($T2246="Yes",1,0))</f>
        <v/>
      </c>
      <c r="AK2246">
        <f>IF($AG2246=1,IFERROR(IF(VALUE($C2246)&lt;100000000,VALUE($C2246),1000000000),IFERROR(IF(VALUE(MID($C2246,2,20))&lt;100000000,VALUE(MID($C2246,2,20)),1000000000),1000000000))+ROW()/100000,"")</f>
        <v/>
      </c>
    </row>
    <row r="2247">
      <c r="D2247" s="11" t="n"/>
      <c r="K2247" s="7">
        <f>IF($C2247="","",J2247*W2247/100)</f>
        <v/>
      </c>
      <c r="Q2247" s="7" t="n"/>
      <c r="R2247" s="7" t="n"/>
      <c r="U2247">
        <f>IF($C2247="","",IF($AJ2247=1,0,IF($AI2247=1,Settings!$C$6,Settings!$C$7))*100)</f>
        <v/>
      </c>
      <c r="V2247" s="7">
        <f>IF($C2247="","",R2247*U2247/100)</f>
        <v/>
      </c>
      <c r="W2247" s="7">
        <f>IF($C2247="","",R2247-V2247)</f>
        <v/>
      </c>
      <c r="X2247" s="7">
        <f>IF($C2247="","",W2247-K2247)</f>
        <v/>
      </c>
      <c r="AB2247" s="7" t="n"/>
      <c r="AE2247" s="11" t="n"/>
      <c r="AG2247">
        <f>IF($C2247="","",IF(COUNTIF($C$2:$C2247,$C2247)=1,1,0))</f>
        <v/>
      </c>
      <c r="AH2247">
        <f>IF($AG2247=1,SUMPRODUCT(--($AK$2:$AK$6001&lt;$AK2247))+1,"")</f>
        <v/>
      </c>
      <c r="AI2247">
        <f>IF($C2247="","",IF(OR($N2247=TRUE(),$N2247="TRUE"),1,0))</f>
        <v/>
      </c>
      <c r="AJ2247">
        <f>IF($C2247="","",IF($T2247="Yes",1,0))</f>
        <v/>
      </c>
      <c r="AK2247">
        <f>IF($AG2247=1,IFERROR(IF(VALUE($C2247)&lt;100000000,VALUE($C2247),1000000000),IFERROR(IF(VALUE(MID($C2247,2,20))&lt;100000000,VALUE(MID($C2247,2,20)),1000000000),1000000000))+ROW()/100000,"")</f>
        <v/>
      </c>
    </row>
    <row r="2248">
      <c r="D2248" s="11" t="n"/>
      <c r="K2248" s="7">
        <f>IF($C2248="","",J2248*W2248/100)</f>
        <v/>
      </c>
      <c r="Q2248" s="7" t="n"/>
      <c r="R2248" s="7" t="n"/>
      <c r="U2248">
        <f>IF($C2248="","",IF($AJ2248=1,0,IF($AI2248=1,Settings!$C$6,Settings!$C$7))*100)</f>
        <v/>
      </c>
      <c r="V2248" s="7">
        <f>IF($C2248="","",R2248*U2248/100)</f>
        <v/>
      </c>
      <c r="W2248" s="7">
        <f>IF($C2248="","",R2248-V2248)</f>
        <v/>
      </c>
      <c r="X2248" s="7">
        <f>IF($C2248="","",W2248-K2248)</f>
        <v/>
      </c>
      <c r="AB2248" s="7" t="n"/>
      <c r="AE2248" s="11" t="n"/>
      <c r="AG2248">
        <f>IF($C2248="","",IF(COUNTIF($C$2:$C2248,$C2248)=1,1,0))</f>
        <v/>
      </c>
      <c r="AH2248">
        <f>IF($AG2248=1,SUMPRODUCT(--($AK$2:$AK$6001&lt;$AK2248))+1,"")</f>
        <v/>
      </c>
      <c r="AI2248">
        <f>IF($C2248="","",IF(OR($N2248=TRUE(),$N2248="TRUE"),1,0))</f>
        <v/>
      </c>
      <c r="AJ2248">
        <f>IF($C2248="","",IF($T2248="Yes",1,0))</f>
        <v/>
      </c>
      <c r="AK2248">
        <f>IF($AG2248=1,IFERROR(IF(VALUE($C2248)&lt;100000000,VALUE($C2248),1000000000),IFERROR(IF(VALUE(MID($C2248,2,20))&lt;100000000,VALUE(MID($C2248,2,20)),1000000000),1000000000))+ROW()/100000,"")</f>
        <v/>
      </c>
    </row>
    <row r="2249">
      <c r="D2249" s="11" t="n"/>
      <c r="K2249" s="7">
        <f>IF($C2249="","",J2249*W2249/100)</f>
        <v/>
      </c>
      <c r="Q2249" s="7" t="n"/>
      <c r="R2249" s="7" t="n"/>
      <c r="U2249">
        <f>IF($C2249="","",IF($AJ2249=1,0,IF($AI2249=1,Settings!$C$6,Settings!$C$7))*100)</f>
        <v/>
      </c>
      <c r="V2249" s="7">
        <f>IF($C2249="","",R2249*U2249/100)</f>
        <v/>
      </c>
      <c r="W2249" s="7">
        <f>IF($C2249="","",R2249-V2249)</f>
        <v/>
      </c>
      <c r="X2249" s="7">
        <f>IF($C2249="","",W2249-K2249)</f>
        <v/>
      </c>
      <c r="AB2249" s="7" t="n"/>
      <c r="AE2249" s="11" t="n"/>
      <c r="AG2249">
        <f>IF($C2249="","",IF(COUNTIF($C$2:$C2249,$C2249)=1,1,0))</f>
        <v/>
      </c>
      <c r="AH2249">
        <f>IF($AG2249=1,SUMPRODUCT(--($AK$2:$AK$6001&lt;$AK2249))+1,"")</f>
        <v/>
      </c>
      <c r="AI2249">
        <f>IF($C2249="","",IF(OR($N2249=TRUE(),$N2249="TRUE"),1,0))</f>
        <v/>
      </c>
      <c r="AJ2249">
        <f>IF($C2249="","",IF($T2249="Yes",1,0))</f>
        <v/>
      </c>
      <c r="AK2249">
        <f>IF($AG2249=1,IFERROR(IF(VALUE($C2249)&lt;100000000,VALUE($C2249),1000000000),IFERROR(IF(VALUE(MID($C2249,2,20))&lt;100000000,VALUE(MID($C2249,2,20)),1000000000),1000000000))+ROW()/100000,"")</f>
        <v/>
      </c>
    </row>
    <row r="2250">
      <c r="D2250" s="11" t="n"/>
      <c r="K2250" s="7">
        <f>IF($C2250="","",J2250*W2250/100)</f>
        <v/>
      </c>
      <c r="Q2250" s="7" t="n"/>
      <c r="R2250" s="7" t="n"/>
      <c r="U2250">
        <f>IF($C2250="","",IF($AJ2250=1,0,IF($AI2250=1,Settings!$C$6,Settings!$C$7))*100)</f>
        <v/>
      </c>
      <c r="V2250" s="7">
        <f>IF($C2250="","",R2250*U2250/100)</f>
        <v/>
      </c>
      <c r="W2250" s="7">
        <f>IF($C2250="","",R2250-V2250)</f>
        <v/>
      </c>
      <c r="X2250" s="7">
        <f>IF($C2250="","",W2250-K2250)</f>
        <v/>
      </c>
      <c r="AB2250" s="7" t="n"/>
      <c r="AE2250" s="11" t="n"/>
      <c r="AG2250">
        <f>IF($C2250="","",IF(COUNTIF($C$2:$C2250,$C2250)=1,1,0))</f>
        <v/>
      </c>
      <c r="AH2250">
        <f>IF($AG2250=1,SUMPRODUCT(--($AK$2:$AK$6001&lt;$AK2250))+1,"")</f>
        <v/>
      </c>
      <c r="AI2250">
        <f>IF($C2250="","",IF(OR($N2250=TRUE(),$N2250="TRUE"),1,0))</f>
        <v/>
      </c>
      <c r="AJ2250">
        <f>IF($C2250="","",IF($T2250="Yes",1,0))</f>
        <v/>
      </c>
      <c r="AK2250">
        <f>IF($AG2250=1,IFERROR(IF(VALUE($C2250)&lt;100000000,VALUE($C2250),1000000000),IFERROR(IF(VALUE(MID($C2250,2,20))&lt;100000000,VALUE(MID($C2250,2,20)),1000000000),1000000000))+ROW()/100000,"")</f>
        <v/>
      </c>
    </row>
    <row r="2251">
      <c r="D2251" s="11" t="n"/>
      <c r="K2251" s="7">
        <f>IF($C2251="","",J2251*W2251/100)</f>
        <v/>
      </c>
      <c r="Q2251" s="7" t="n"/>
      <c r="R2251" s="7" t="n"/>
      <c r="U2251">
        <f>IF($C2251="","",IF($AJ2251=1,0,IF($AI2251=1,Settings!$C$6,Settings!$C$7))*100)</f>
        <v/>
      </c>
      <c r="V2251" s="7">
        <f>IF($C2251="","",R2251*U2251/100)</f>
        <v/>
      </c>
      <c r="W2251" s="7">
        <f>IF($C2251="","",R2251-V2251)</f>
        <v/>
      </c>
      <c r="X2251" s="7">
        <f>IF($C2251="","",W2251-K2251)</f>
        <v/>
      </c>
      <c r="AB2251" s="7" t="n"/>
      <c r="AE2251" s="11" t="n"/>
      <c r="AG2251">
        <f>IF($C2251="","",IF(COUNTIF($C$2:$C2251,$C2251)=1,1,0))</f>
        <v/>
      </c>
      <c r="AH2251">
        <f>IF($AG2251=1,SUMPRODUCT(--($AK$2:$AK$6001&lt;$AK2251))+1,"")</f>
        <v/>
      </c>
      <c r="AI2251">
        <f>IF($C2251="","",IF(OR($N2251=TRUE(),$N2251="TRUE"),1,0))</f>
        <v/>
      </c>
      <c r="AJ2251">
        <f>IF($C2251="","",IF($T2251="Yes",1,0))</f>
        <v/>
      </c>
      <c r="AK2251">
        <f>IF($AG2251=1,IFERROR(IF(VALUE($C2251)&lt;100000000,VALUE($C2251),1000000000),IFERROR(IF(VALUE(MID($C2251,2,20))&lt;100000000,VALUE(MID($C2251,2,20)),1000000000),1000000000))+ROW()/100000,"")</f>
        <v/>
      </c>
    </row>
    <row r="2252">
      <c r="D2252" s="11" t="n"/>
      <c r="K2252" s="7">
        <f>IF($C2252="","",J2252*W2252/100)</f>
        <v/>
      </c>
      <c r="Q2252" s="7" t="n"/>
      <c r="R2252" s="7" t="n"/>
      <c r="U2252">
        <f>IF($C2252="","",IF($AJ2252=1,0,IF($AI2252=1,Settings!$C$6,Settings!$C$7))*100)</f>
        <v/>
      </c>
      <c r="V2252" s="7">
        <f>IF($C2252="","",R2252*U2252/100)</f>
        <v/>
      </c>
      <c r="W2252" s="7">
        <f>IF($C2252="","",R2252-V2252)</f>
        <v/>
      </c>
      <c r="X2252" s="7">
        <f>IF($C2252="","",W2252-K2252)</f>
        <v/>
      </c>
      <c r="AB2252" s="7" t="n"/>
      <c r="AE2252" s="11" t="n"/>
      <c r="AG2252">
        <f>IF($C2252="","",IF(COUNTIF($C$2:$C2252,$C2252)=1,1,0))</f>
        <v/>
      </c>
      <c r="AH2252">
        <f>IF($AG2252=1,SUMPRODUCT(--($AK$2:$AK$6001&lt;$AK2252))+1,"")</f>
        <v/>
      </c>
      <c r="AI2252">
        <f>IF($C2252="","",IF(OR($N2252=TRUE(),$N2252="TRUE"),1,0))</f>
        <v/>
      </c>
      <c r="AJ2252">
        <f>IF($C2252="","",IF($T2252="Yes",1,0))</f>
        <v/>
      </c>
      <c r="AK2252">
        <f>IF($AG2252=1,IFERROR(IF(VALUE($C2252)&lt;100000000,VALUE($C2252),1000000000),IFERROR(IF(VALUE(MID($C2252,2,20))&lt;100000000,VALUE(MID($C2252,2,20)),1000000000),1000000000))+ROW()/100000,"")</f>
        <v/>
      </c>
    </row>
    <row r="2253">
      <c r="D2253" s="11" t="n"/>
      <c r="K2253" s="7">
        <f>IF($C2253="","",J2253*W2253/100)</f>
        <v/>
      </c>
      <c r="Q2253" s="7" t="n"/>
      <c r="R2253" s="7" t="n"/>
      <c r="U2253">
        <f>IF($C2253="","",IF($AJ2253=1,0,IF($AI2253=1,Settings!$C$6,Settings!$C$7))*100)</f>
        <v/>
      </c>
      <c r="V2253" s="7">
        <f>IF($C2253="","",R2253*U2253/100)</f>
        <v/>
      </c>
      <c r="W2253" s="7">
        <f>IF($C2253="","",R2253-V2253)</f>
        <v/>
      </c>
      <c r="X2253" s="7">
        <f>IF($C2253="","",W2253-K2253)</f>
        <v/>
      </c>
      <c r="AB2253" s="7" t="n"/>
      <c r="AE2253" s="11" t="n"/>
      <c r="AG2253">
        <f>IF($C2253="","",IF(COUNTIF($C$2:$C2253,$C2253)=1,1,0))</f>
        <v/>
      </c>
      <c r="AH2253">
        <f>IF($AG2253=1,SUMPRODUCT(--($AK$2:$AK$6001&lt;$AK2253))+1,"")</f>
        <v/>
      </c>
      <c r="AI2253">
        <f>IF($C2253="","",IF(OR($N2253=TRUE(),$N2253="TRUE"),1,0))</f>
        <v/>
      </c>
      <c r="AJ2253">
        <f>IF($C2253="","",IF($T2253="Yes",1,0))</f>
        <v/>
      </c>
      <c r="AK2253">
        <f>IF($AG2253=1,IFERROR(IF(VALUE($C2253)&lt;100000000,VALUE($C2253),1000000000),IFERROR(IF(VALUE(MID($C2253,2,20))&lt;100000000,VALUE(MID($C2253,2,20)),1000000000),1000000000))+ROW()/100000,"")</f>
        <v/>
      </c>
    </row>
    <row r="2254">
      <c r="D2254" s="11" t="n"/>
      <c r="K2254" s="7">
        <f>IF($C2254="","",J2254*W2254/100)</f>
        <v/>
      </c>
      <c r="Q2254" s="7" t="n"/>
      <c r="R2254" s="7" t="n"/>
      <c r="U2254">
        <f>IF($C2254="","",IF($AJ2254=1,0,IF($AI2254=1,Settings!$C$6,Settings!$C$7))*100)</f>
        <v/>
      </c>
      <c r="V2254" s="7">
        <f>IF($C2254="","",R2254*U2254/100)</f>
        <v/>
      </c>
      <c r="W2254" s="7">
        <f>IF($C2254="","",R2254-V2254)</f>
        <v/>
      </c>
      <c r="X2254" s="7">
        <f>IF($C2254="","",W2254-K2254)</f>
        <v/>
      </c>
      <c r="AB2254" s="7" t="n"/>
      <c r="AE2254" s="11" t="n"/>
      <c r="AG2254">
        <f>IF($C2254="","",IF(COUNTIF($C$2:$C2254,$C2254)=1,1,0))</f>
        <v/>
      </c>
      <c r="AH2254">
        <f>IF($AG2254=1,SUMPRODUCT(--($AK$2:$AK$6001&lt;$AK2254))+1,"")</f>
        <v/>
      </c>
      <c r="AI2254">
        <f>IF($C2254="","",IF(OR($N2254=TRUE(),$N2254="TRUE"),1,0))</f>
        <v/>
      </c>
      <c r="AJ2254">
        <f>IF($C2254="","",IF($T2254="Yes",1,0))</f>
        <v/>
      </c>
      <c r="AK2254">
        <f>IF($AG2254=1,IFERROR(IF(VALUE($C2254)&lt;100000000,VALUE($C2254),1000000000),IFERROR(IF(VALUE(MID($C2254,2,20))&lt;100000000,VALUE(MID($C2254,2,20)),1000000000),1000000000))+ROW()/100000,"")</f>
        <v/>
      </c>
    </row>
    <row r="2255">
      <c r="D2255" s="11" t="n"/>
      <c r="K2255" s="7">
        <f>IF($C2255="","",J2255*W2255/100)</f>
        <v/>
      </c>
      <c r="Q2255" s="7" t="n"/>
      <c r="R2255" s="7" t="n"/>
      <c r="U2255">
        <f>IF($C2255="","",IF($AJ2255=1,0,IF($AI2255=1,Settings!$C$6,Settings!$C$7))*100)</f>
        <v/>
      </c>
      <c r="V2255" s="7">
        <f>IF($C2255="","",R2255*U2255/100)</f>
        <v/>
      </c>
      <c r="W2255" s="7">
        <f>IF($C2255="","",R2255-V2255)</f>
        <v/>
      </c>
      <c r="X2255" s="7">
        <f>IF($C2255="","",W2255-K2255)</f>
        <v/>
      </c>
      <c r="AB2255" s="7" t="n"/>
      <c r="AE2255" s="11" t="n"/>
      <c r="AG2255">
        <f>IF($C2255="","",IF(COUNTIF($C$2:$C2255,$C2255)=1,1,0))</f>
        <v/>
      </c>
      <c r="AH2255">
        <f>IF($AG2255=1,SUMPRODUCT(--($AK$2:$AK$6001&lt;$AK2255))+1,"")</f>
        <v/>
      </c>
      <c r="AI2255">
        <f>IF($C2255="","",IF(OR($N2255=TRUE(),$N2255="TRUE"),1,0))</f>
        <v/>
      </c>
      <c r="AJ2255">
        <f>IF($C2255="","",IF($T2255="Yes",1,0))</f>
        <v/>
      </c>
      <c r="AK2255">
        <f>IF($AG2255=1,IFERROR(IF(VALUE($C2255)&lt;100000000,VALUE($C2255),1000000000),IFERROR(IF(VALUE(MID($C2255,2,20))&lt;100000000,VALUE(MID($C2255,2,20)),1000000000),1000000000))+ROW()/100000,"")</f>
        <v/>
      </c>
    </row>
    <row r="2256">
      <c r="D2256" s="11" t="n"/>
      <c r="K2256" s="7">
        <f>IF($C2256="","",J2256*W2256/100)</f>
        <v/>
      </c>
      <c r="Q2256" s="7" t="n"/>
      <c r="R2256" s="7" t="n"/>
      <c r="U2256">
        <f>IF($C2256="","",IF($AJ2256=1,0,IF($AI2256=1,Settings!$C$6,Settings!$C$7))*100)</f>
        <v/>
      </c>
      <c r="V2256" s="7">
        <f>IF($C2256="","",R2256*U2256/100)</f>
        <v/>
      </c>
      <c r="W2256" s="7">
        <f>IF($C2256="","",R2256-V2256)</f>
        <v/>
      </c>
      <c r="X2256" s="7">
        <f>IF($C2256="","",W2256-K2256)</f>
        <v/>
      </c>
      <c r="AB2256" s="7" t="n"/>
      <c r="AE2256" s="11" t="n"/>
      <c r="AG2256">
        <f>IF($C2256="","",IF(COUNTIF($C$2:$C2256,$C2256)=1,1,0))</f>
        <v/>
      </c>
      <c r="AH2256">
        <f>IF($AG2256=1,SUMPRODUCT(--($AK$2:$AK$6001&lt;$AK2256))+1,"")</f>
        <v/>
      </c>
      <c r="AI2256">
        <f>IF($C2256="","",IF(OR($N2256=TRUE(),$N2256="TRUE"),1,0))</f>
        <v/>
      </c>
      <c r="AJ2256">
        <f>IF($C2256="","",IF($T2256="Yes",1,0))</f>
        <v/>
      </c>
      <c r="AK2256">
        <f>IF($AG2256=1,IFERROR(IF(VALUE($C2256)&lt;100000000,VALUE($C2256),1000000000),IFERROR(IF(VALUE(MID($C2256,2,20))&lt;100000000,VALUE(MID($C2256,2,20)),1000000000),1000000000))+ROW()/100000,"")</f>
        <v/>
      </c>
    </row>
    <row r="2257">
      <c r="D2257" s="11" t="n"/>
      <c r="K2257" s="7">
        <f>IF($C2257="","",J2257*W2257/100)</f>
        <v/>
      </c>
      <c r="Q2257" s="7" t="n"/>
      <c r="R2257" s="7" t="n"/>
      <c r="U2257">
        <f>IF($C2257="","",IF($AJ2257=1,0,IF($AI2257=1,Settings!$C$6,Settings!$C$7))*100)</f>
        <v/>
      </c>
      <c r="V2257" s="7">
        <f>IF($C2257="","",R2257*U2257/100)</f>
        <v/>
      </c>
      <c r="W2257" s="7">
        <f>IF($C2257="","",R2257-V2257)</f>
        <v/>
      </c>
      <c r="X2257" s="7">
        <f>IF($C2257="","",W2257-K2257)</f>
        <v/>
      </c>
      <c r="AB2257" s="7" t="n"/>
      <c r="AE2257" s="11" t="n"/>
      <c r="AG2257">
        <f>IF($C2257="","",IF(COUNTIF($C$2:$C2257,$C2257)=1,1,0))</f>
        <v/>
      </c>
      <c r="AH2257">
        <f>IF($AG2257=1,SUMPRODUCT(--($AK$2:$AK$6001&lt;$AK2257))+1,"")</f>
        <v/>
      </c>
      <c r="AI2257">
        <f>IF($C2257="","",IF(OR($N2257=TRUE(),$N2257="TRUE"),1,0))</f>
        <v/>
      </c>
      <c r="AJ2257">
        <f>IF($C2257="","",IF($T2257="Yes",1,0))</f>
        <v/>
      </c>
      <c r="AK2257">
        <f>IF($AG2257=1,IFERROR(IF(VALUE($C2257)&lt;100000000,VALUE($C2257),1000000000),IFERROR(IF(VALUE(MID($C2257,2,20))&lt;100000000,VALUE(MID($C2257,2,20)),1000000000),1000000000))+ROW()/100000,"")</f>
        <v/>
      </c>
    </row>
    <row r="2258">
      <c r="D2258" s="11" t="n"/>
      <c r="K2258" s="7">
        <f>IF($C2258="","",J2258*W2258/100)</f>
        <v/>
      </c>
      <c r="Q2258" s="7" t="n"/>
      <c r="R2258" s="7" t="n"/>
      <c r="U2258">
        <f>IF($C2258="","",IF($AJ2258=1,0,IF($AI2258=1,Settings!$C$6,Settings!$C$7))*100)</f>
        <v/>
      </c>
      <c r="V2258" s="7">
        <f>IF($C2258="","",R2258*U2258/100)</f>
        <v/>
      </c>
      <c r="W2258" s="7">
        <f>IF($C2258="","",R2258-V2258)</f>
        <v/>
      </c>
      <c r="X2258" s="7">
        <f>IF($C2258="","",W2258-K2258)</f>
        <v/>
      </c>
      <c r="AB2258" s="7" t="n"/>
      <c r="AE2258" s="11" t="n"/>
      <c r="AG2258">
        <f>IF($C2258="","",IF(COUNTIF($C$2:$C2258,$C2258)=1,1,0))</f>
        <v/>
      </c>
      <c r="AH2258">
        <f>IF($AG2258=1,SUMPRODUCT(--($AK$2:$AK$6001&lt;$AK2258))+1,"")</f>
        <v/>
      </c>
      <c r="AI2258">
        <f>IF($C2258="","",IF(OR($N2258=TRUE(),$N2258="TRUE"),1,0))</f>
        <v/>
      </c>
      <c r="AJ2258">
        <f>IF($C2258="","",IF($T2258="Yes",1,0))</f>
        <v/>
      </c>
      <c r="AK2258">
        <f>IF($AG2258=1,IFERROR(IF(VALUE($C2258)&lt;100000000,VALUE($C2258),1000000000),IFERROR(IF(VALUE(MID($C2258,2,20))&lt;100000000,VALUE(MID($C2258,2,20)),1000000000),1000000000))+ROW()/100000,"")</f>
        <v/>
      </c>
    </row>
    <row r="2259">
      <c r="D2259" s="11" t="n"/>
      <c r="K2259" s="7">
        <f>IF($C2259="","",J2259*W2259/100)</f>
        <v/>
      </c>
      <c r="Q2259" s="7" t="n"/>
      <c r="R2259" s="7" t="n"/>
      <c r="U2259">
        <f>IF($C2259="","",IF($AJ2259=1,0,IF($AI2259=1,Settings!$C$6,Settings!$C$7))*100)</f>
        <v/>
      </c>
      <c r="V2259" s="7">
        <f>IF($C2259="","",R2259*U2259/100)</f>
        <v/>
      </c>
      <c r="W2259" s="7">
        <f>IF($C2259="","",R2259-V2259)</f>
        <v/>
      </c>
      <c r="X2259" s="7">
        <f>IF($C2259="","",W2259-K2259)</f>
        <v/>
      </c>
      <c r="AB2259" s="7" t="n"/>
      <c r="AE2259" s="11" t="n"/>
      <c r="AG2259">
        <f>IF($C2259="","",IF(COUNTIF($C$2:$C2259,$C2259)=1,1,0))</f>
        <v/>
      </c>
      <c r="AH2259">
        <f>IF($AG2259=1,SUMPRODUCT(--($AK$2:$AK$6001&lt;$AK2259))+1,"")</f>
        <v/>
      </c>
      <c r="AI2259">
        <f>IF($C2259="","",IF(OR($N2259=TRUE(),$N2259="TRUE"),1,0))</f>
        <v/>
      </c>
      <c r="AJ2259">
        <f>IF($C2259="","",IF($T2259="Yes",1,0))</f>
        <v/>
      </c>
      <c r="AK2259">
        <f>IF($AG2259=1,IFERROR(IF(VALUE($C2259)&lt;100000000,VALUE($C2259),1000000000),IFERROR(IF(VALUE(MID($C2259,2,20))&lt;100000000,VALUE(MID($C2259,2,20)),1000000000),1000000000))+ROW()/100000,"")</f>
        <v/>
      </c>
    </row>
    <row r="2260">
      <c r="D2260" s="11" t="n"/>
      <c r="K2260" s="7">
        <f>IF($C2260="","",J2260*W2260/100)</f>
        <v/>
      </c>
      <c r="Q2260" s="7" t="n"/>
      <c r="R2260" s="7" t="n"/>
      <c r="U2260">
        <f>IF($C2260="","",IF($AJ2260=1,0,IF($AI2260=1,Settings!$C$6,Settings!$C$7))*100)</f>
        <v/>
      </c>
      <c r="V2260" s="7">
        <f>IF($C2260="","",R2260*U2260/100)</f>
        <v/>
      </c>
      <c r="W2260" s="7">
        <f>IF($C2260="","",R2260-V2260)</f>
        <v/>
      </c>
      <c r="X2260" s="7">
        <f>IF($C2260="","",W2260-K2260)</f>
        <v/>
      </c>
      <c r="AB2260" s="7" t="n"/>
      <c r="AE2260" s="11" t="n"/>
      <c r="AG2260">
        <f>IF($C2260="","",IF(COUNTIF($C$2:$C2260,$C2260)=1,1,0))</f>
        <v/>
      </c>
      <c r="AH2260">
        <f>IF($AG2260=1,SUMPRODUCT(--($AK$2:$AK$6001&lt;$AK2260))+1,"")</f>
        <v/>
      </c>
      <c r="AI2260">
        <f>IF($C2260="","",IF(OR($N2260=TRUE(),$N2260="TRUE"),1,0))</f>
        <v/>
      </c>
      <c r="AJ2260">
        <f>IF($C2260="","",IF($T2260="Yes",1,0))</f>
        <v/>
      </c>
      <c r="AK2260">
        <f>IF($AG2260=1,IFERROR(IF(VALUE($C2260)&lt;100000000,VALUE($C2260),1000000000),IFERROR(IF(VALUE(MID($C2260,2,20))&lt;100000000,VALUE(MID($C2260,2,20)),1000000000),1000000000))+ROW()/100000,"")</f>
        <v/>
      </c>
    </row>
    <row r="2261">
      <c r="D2261" s="11" t="n"/>
      <c r="K2261" s="7">
        <f>IF($C2261="","",J2261*W2261/100)</f>
        <v/>
      </c>
      <c r="Q2261" s="7" t="n"/>
      <c r="R2261" s="7" t="n"/>
      <c r="U2261">
        <f>IF($C2261="","",IF($AJ2261=1,0,IF($AI2261=1,Settings!$C$6,Settings!$C$7))*100)</f>
        <v/>
      </c>
      <c r="V2261" s="7">
        <f>IF($C2261="","",R2261*U2261/100)</f>
        <v/>
      </c>
      <c r="W2261" s="7">
        <f>IF($C2261="","",R2261-V2261)</f>
        <v/>
      </c>
      <c r="X2261" s="7">
        <f>IF($C2261="","",W2261-K2261)</f>
        <v/>
      </c>
      <c r="AB2261" s="7" t="n"/>
      <c r="AE2261" s="11" t="n"/>
      <c r="AG2261">
        <f>IF($C2261="","",IF(COUNTIF($C$2:$C2261,$C2261)=1,1,0))</f>
        <v/>
      </c>
      <c r="AH2261">
        <f>IF($AG2261=1,SUMPRODUCT(--($AK$2:$AK$6001&lt;$AK2261))+1,"")</f>
        <v/>
      </c>
      <c r="AI2261">
        <f>IF($C2261="","",IF(OR($N2261=TRUE(),$N2261="TRUE"),1,0))</f>
        <v/>
      </c>
      <c r="AJ2261">
        <f>IF($C2261="","",IF($T2261="Yes",1,0))</f>
        <v/>
      </c>
      <c r="AK2261">
        <f>IF($AG2261=1,IFERROR(IF(VALUE($C2261)&lt;100000000,VALUE($C2261),1000000000),IFERROR(IF(VALUE(MID($C2261,2,20))&lt;100000000,VALUE(MID($C2261,2,20)),1000000000),1000000000))+ROW()/100000,"")</f>
        <v/>
      </c>
    </row>
    <row r="2262">
      <c r="D2262" s="11" t="n"/>
      <c r="K2262" s="7">
        <f>IF($C2262="","",J2262*W2262/100)</f>
        <v/>
      </c>
      <c r="Q2262" s="7" t="n"/>
      <c r="R2262" s="7" t="n"/>
      <c r="U2262">
        <f>IF($C2262="","",IF($AJ2262=1,0,IF($AI2262=1,Settings!$C$6,Settings!$C$7))*100)</f>
        <v/>
      </c>
      <c r="V2262" s="7">
        <f>IF($C2262="","",R2262*U2262/100)</f>
        <v/>
      </c>
      <c r="W2262" s="7">
        <f>IF($C2262="","",R2262-V2262)</f>
        <v/>
      </c>
      <c r="X2262" s="7">
        <f>IF($C2262="","",W2262-K2262)</f>
        <v/>
      </c>
      <c r="AB2262" s="7" t="n"/>
      <c r="AE2262" s="11" t="n"/>
      <c r="AG2262">
        <f>IF($C2262="","",IF(COUNTIF($C$2:$C2262,$C2262)=1,1,0))</f>
        <v/>
      </c>
      <c r="AH2262">
        <f>IF($AG2262=1,SUMPRODUCT(--($AK$2:$AK$6001&lt;$AK2262))+1,"")</f>
        <v/>
      </c>
      <c r="AI2262">
        <f>IF($C2262="","",IF(OR($N2262=TRUE(),$N2262="TRUE"),1,0))</f>
        <v/>
      </c>
      <c r="AJ2262">
        <f>IF($C2262="","",IF($T2262="Yes",1,0))</f>
        <v/>
      </c>
      <c r="AK2262">
        <f>IF($AG2262=1,IFERROR(IF(VALUE($C2262)&lt;100000000,VALUE($C2262),1000000000),IFERROR(IF(VALUE(MID($C2262,2,20))&lt;100000000,VALUE(MID($C2262,2,20)),1000000000),1000000000))+ROW()/100000,"")</f>
        <v/>
      </c>
    </row>
    <row r="2263">
      <c r="D2263" s="11" t="n"/>
      <c r="K2263" s="7">
        <f>IF($C2263="","",J2263*W2263/100)</f>
        <v/>
      </c>
      <c r="Q2263" s="7" t="n"/>
      <c r="R2263" s="7" t="n"/>
      <c r="U2263">
        <f>IF($C2263="","",IF($AJ2263=1,0,IF($AI2263=1,Settings!$C$6,Settings!$C$7))*100)</f>
        <v/>
      </c>
      <c r="V2263" s="7">
        <f>IF($C2263="","",R2263*U2263/100)</f>
        <v/>
      </c>
      <c r="W2263" s="7">
        <f>IF($C2263="","",R2263-V2263)</f>
        <v/>
      </c>
      <c r="X2263" s="7">
        <f>IF($C2263="","",W2263-K2263)</f>
        <v/>
      </c>
      <c r="AB2263" s="7" t="n"/>
      <c r="AE2263" s="11" t="n"/>
      <c r="AG2263">
        <f>IF($C2263="","",IF(COUNTIF($C$2:$C2263,$C2263)=1,1,0))</f>
        <v/>
      </c>
      <c r="AH2263">
        <f>IF($AG2263=1,SUMPRODUCT(--($AK$2:$AK$6001&lt;$AK2263))+1,"")</f>
        <v/>
      </c>
      <c r="AI2263">
        <f>IF($C2263="","",IF(OR($N2263=TRUE(),$N2263="TRUE"),1,0))</f>
        <v/>
      </c>
      <c r="AJ2263">
        <f>IF($C2263="","",IF($T2263="Yes",1,0))</f>
        <v/>
      </c>
      <c r="AK2263">
        <f>IF($AG2263=1,IFERROR(IF(VALUE($C2263)&lt;100000000,VALUE($C2263),1000000000),IFERROR(IF(VALUE(MID($C2263,2,20))&lt;100000000,VALUE(MID($C2263,2,20)),1000000000),1000000000))+ROW()/100000,"")</f>
        <v/>
      </c>
    </row>
    <row r="2264">
      <c r="D2264" s="11" t="n"/>
      <c r="K2264" s="7">
        <f>IF($C2264="","",J2264*W2264/100)</f>
        <v/>
      </c>
      <c r="Q2264" s="7" t="n"/>
      <c r="R2264" s="7" t="n"/>
      <c r="U2264">
        <f>IF($C2264="","",IF($AJ2264=1,0,IF($AI2264=1,Settings!$C$6,Settings!$C$7))*100)</f>
        <v/>
      </c>
      <c r="V2264" s="7">
        <f>IF($C2264="","",R2264*U2264/100)</f>
        <v/>
      </c>
      <c r="W2264" s="7">
        <f>IF($C2264="","",R2264-V2264)</f>
        <v/>
      </c>
      <c r="X2264" s="7">
        <f>IF($C2264="","",W2264-K2264)</f>
        <v/>
      </c>
      <c r="AB2264" s="7" t="n"/>
      <c r="AE2264" s="11" t="n"/>
      <c r="AG2264">
        <f>IF($C2264="","",IF(COUNTIF($C$2:$C2264,$C2264)=1,1,0))</f>
        <v/>
      </c>
      <c r="AH2264">
        <f>IF($AG2264=1,SUMPRODUCT(--($AK$2:$AK$6001&lt;$AK2264))+1,"")</f>
        <v/>
      </c>
      <c r="AI2264">
        <f>IF($C2264="","",IF(OR($N2264=TRUE(),$N2264="TRUE"),1,0))</f>
        <v/>
      </c>
      <c r="AJ2264">
        <f>IF($C2264="","",IF($T2264="Yes",1,0))</f>
        <v/>
      </c>
      <c r="AK2264">
        <f>IF($AG2264=1,IFERROR(IF(VALUE($C2264)&lt;100000000,VALUE($C2264),1000000000),IFERROR(IF(VALUE(MID($C2264,2,20))&lt;100000000,VALUE(MID($C2264,2,20)),1000000000),1000000000))+ROW()/100000,"")</f>
        <v/>
      </c>
    </row>
    <row r="2265">
      <c r="D2265" s="11" t="n"/>
      <c r="K2265" s="7">
        <f>IF($C2265="","",J2265*W2265/100)</f>
        <v/>
      </c>
      <c r="Q2265" s="7" t="n"/>
      <c r="R2265" s="7" t="n"/>
      <c r="U2265">
        <f>IF($C2265="","",IF($AJ2265=1,0,IF($AI2265=1,Settings!$C$6,Settings!$C$7))*100)</f>
        <v/>
      </c>
      <c r="V2265" s="7">
        <f>IF($C2265="","",R2265*U2265/100)</f>
        <v/>
      </c>
      <c r="W2265" s="7">
        <f>IF($C2265="","",R2265-V2265)</f>
        <v/>
      </c>
      <c r="X2265" s="7">
        <f>IF($C2265="","",W2265-K2265)</f>
        <v/>
      </c>
      <c r="AB2265" s="7" t="n"/>
      <c r="AE2265" s="11" t="n"/>
      <c r="AG2265">
        <f>IF($C2265="","",IF(COUNTIF($C$2:$C2265,$C2265)=1,1,0))</f>
        <v/>
      </c>
      <c r="AH2265">
        <f>IF($AG2265=1,SUMPRODUCT(--($AK$2:$AK$6001&lt;$AK2265))+1,"")</f>
        <v/>
      </c>
      <c r="AI2265">
        <f>IF($C2265="","",IF(OR($N2265=TRUE(),$N2265="TRUE"),1,0))</f>
        <v/>
      </c>
      <c r="AJ2265">
        <f>IF($C2265="","",IF($T2265="Yes",1,0))</f>
        <v/>
      </c>
      <c r="AK2265">
        <f>IF($AG2265=1,IFERROR(IF(VALUE($C2265)&lt;100000000,VALUE($C2265),1000000000),IFERROR(IF(VALUE(MID($C2265,2,20))&lt;100000000,VALUE(MID($C2265,2,20)),1000000000),1000000000))+ROW()/100000,"")</f>
        <v/>
      </c>
    </row>
    <row r="2266">
      <c r="D2266" s="11" t="n"/>
      <c r="K2266" s="7">
        <f>IF($C2266="","",J2266*W2266/100)</f>
        <v/>
      </c>
      <c r="Q2266" s="7" t="n"/>
      <c r="R2266" s="7" t="n"/>
      <c r="U2266">
        <f>IF($C2266="","",IF($AJ2266=1,0,IF($AI2266=1,Settings!$C$6,Settings!$C$7))*100)</f>
        <v/>
      </c>
      <c r="V2266" s="7">
        <f>IF($C2266="","",R2266*U2266/100)</f>
        <v/>
      </c>
      <c r="W2266" s="7">
        <f>IF($C2266="","",R2266-V2266)</f>
        <v/>
      </c>
      <c r="X2266" s="7">
        <f>IF($C2266="","",W2266-K2266)</f>
        <v/>
      </c>
      <c r="AB2266" s="7" t="n"/>
      <c r="AE2266" s="11" t="n"/>
      <c r="AG2266">
        <f>IF($C2266="","",IF(COUNTIF($C$2:$C2266,$C2266)=1,1,0))</f>
        <v/>
      </c>
      <c r="AH2266">
        <f>IF($AG2266=1,SUMPRODUCT(--($AK$2:$AK$6001&lt;$AK2266))+1,"")</f>
        <v/>
      </c>
      <c r="AI2266">
        <f>IF($C2266="","",IF(OR($N2266=TRUE(),$N2266="TRUE"),1,0))</f>
        <v/>
      </c>
      <c r="AJ2266">
        <f>IF($C2266="","",IF($T2266="Yes",1,0))</f>
        <v/>
      </c>
      <c r="AK2266">
        <f>IF($AG2266=1,IFERROR(IF(VALUE($C2266)&lt;100000000,VALUE($C2266),1000000000),IFERROR(IF(VALUE(MID($C2266,2,20))&lt;100000000,VALUE(MID($C2266,2,20)),1000000000),1000000000))+ROW()/100000,"")</f>
        <v/>
      </c>
    </row>
    <row r="2267">
      <c r="D2267" s="11" t="n"/>
      <c r="K2267" s="7">
        <f>IF($C2267="","",J2267*W2267/100)</f>
        <v/>
      </c>
      <c r="Q2267" s="7" t="n"/>
      <c r="R2267" s="7" t="n"/>
      <c r="U2267">
        <f>IF($C2267="","",IF($AJ2267=1,0,IF($AI2267=1,Settings!$C$6,Settings!$C$7))*100)</f>
        <v/>
      </c>
      <c r="V2267" s="7">
        <f>IF($C2267="","",R2267*U2267/100)</f>
        <v/>
      </c>
      <c r="W2267" s="7">
        <f>IF($C2267="","",R2267-V2267)</f>
        <v/>
      </c>
      <c r="X2267" s="7">
        <f>IF($C2267="","",W2267-K2267)</f>
        <v/>
      </c>
      <c r="AB2267" s="7" t="n"/>
      <c r="AE2267" s="11" t="n"/>
      <c r="AG2267">
        <f>IF($C2267="","",IF(COUNTIF($C$2:$C2267,$C2267)=1,1,0))</f>
        <v/>
      </c>
      <c r="AH2267">
        <f>IF($AG2267=1,SUMPRODUCT(--($AK$2:$AK$6001&lt;$AK2267))+1,"")</f>
        <v/>
      </c>
      <c r="AI2267">
        <f>IF($C2267="","",IF(OR($N2267=TRUE(),$N2267="TRUE"),1,0))</f>
        <v/>
      </c>
      <c r="AJ2267">
        <f>IF($C2267="","",IF($T2267="Yes",1,0))</f>
        <v/>
      </c>
      <c r="AK2267">
        <f>IF($AG2267=1,IFERROR(IF(VALUE($C2267)&lt;100000000,VALUE($C2267),1000000000),IFERROR(IF(VALUE(MID($C2267,2,20))&lt;100000000,VALUE(MID($C2267,2,20)),1000000000),1000000000))+ROW()/100000,"")</f>
        <v/>
      </c>
    </row>
    <row r="2268">
      <c r="D2268" s="11" t="n"/>
      <c r="K2268" s="7">
        <f>IF($C2268="","",J2268*W2268/100)</f>
        <v/>
      </c>
      <c r="Q2268" s="7" t="n"/>
      <c r="R2268" s="7" t="n"/>
      <c r="U2268">
        <f>IF($C2268="","",IF($AJ2268=1,0,IF($AI2268=1,Settings!$C$6,Settings!$C$7))*100)</f>
        <v/>
      </c>
      <c r="V2268" s="7">
        <f>IF($C2268="","",R2268*U2268/100)</f>
        <v/>
      </c>
      <c r="W2268" s="7">
        <f>IF($C2268="","",R2268-V2268)</f>
        <v/>
      </c>
      <c r="X2268" s="7">
        <f>IF($C2268="","",W2268-K2268)</f>
        <v/>
      </c>
      <c r="AB2268" s="7" t="n"/>
      <c r="AE2268" s="11" t="n"/>
      <c r="AG2268">
        <f>IF($C2268="","",IF(COUNTIF($C$2:$C2268,$C2268)=1,1,0))</f>
        <v/>
      </c>
      <c r="AH2268">
        <f>IF($AG2268=1,SUMPRODUCT(--($AK$2:$AK$6001&lt;$AK2268))+1,"")</f>
        <v/>
      </c>
      <c r="AI2268">
        <f>IF($C2268="","",IF(OR($N2268=TRUE(),$N2268="TRUE"),1,0))</f>
        <v/>
      </c>
      <c r="AJ2268">
        <f>IF($C2268="","",IF($T2268="Yes",1,0))</f>
        <v/>
      </c>
      <c r="AK2268">
        <f>IF($AG2268=1,IFERROR(IF(VALUE($C2268)&lt;100000000,VALUE($C2268),1000000000),IFERROR(IF(VALUE(MID($C2268,2,20))&lt;100000000,VALUE(MID($C2268,2,20)),1000000000),1000000000))+ROW()/100000,"")</f>
        <v/>
      </c>
    </row>
    <row r="2269">
      <c r="D2269" s="11" t="n"/>
      <c r="K2269" s="7">
        <f>IF($C2269="","",J2269*W2269/100)</f>
        <v/>
      </c>
      <c r="Q2269" s="7" t="n"/>
      <c r="R2269" s="7" t="n"/>
      <c r="U2269">
        <f>IF($C2269="","",IF($AJ2269=1,0,IF($AI2269=1,Settings!$C$6,Settings!$C$7))*100)</f>
        <v/>
      </c>
      <c r="V2269" s="7">
        <f>IF($C2269="","",R2269*U2269/100)</f>
        <v/>
      </c>
      <c r="W2269" s="7">
        <f>IF($C2269="","",R2269-V2269)</f>
        <v/>
      </c>
      <c r="X2269" s="7">
        <f>IF($C2269="","",W2269-K2269)</f>
        <v/>
      </c>
      <c r="AB2269" s="7" t="n"/>
      <c r="AE2269" s="11" t="n"/>
      <c r="AG2269">
        <f>IF($C2269="","",IF(COUNTIF($C$2:$C2269,$C2269)=1,1,0))</f>
        <v/>
      </c>
      <c r="AH2269">
        <f>IF($AG2269=1,SUMPRODUCT(--($AK$2:$AK$6001&lt;$AK2269))+1,"")</f>
        <v/>
      </c>
      <c r="AI2269">
        <f>IF($C2269="","",IF(OR($N2269=TRUE(),$N2269="TRUE"),1,0))</f>
        <v/>
      </c>
      <c r="AJ2269">
        <f>IF($C2269="","",IF($T2269="Yes",1,0))</f>
        <v/>
      </c>
      <c r="AK2269">
        <f>IF($AG2269=1,IFERROR(IF(VALUE($C2269)&lt;100000000,VALUE($C2269),1000000000),IFERROR(IF(VALUE(MID($C2269,2,20))&lt;100000000,VALUE(MID($C2269,2,20)),1000000000),1000000000))+ROW()/100000,"")</f>
        <v/>
      </c>
    </row>
    <row r="2270">
      <c r="D2270" s="11" t="n"/>
      <c r="K2270" s="7">
        <f>IF($C2270="","",J2270*W2270/100)</f>
        <v/>
      </c>
      <c r="Q2270" s="7" t="n"/>
      <c r="R2270" s="7" t="n"/>
      <c r="U2270">
        <f>IF($C2270="","",IF($AJ2270=1,0,IF($AI2270=1,Settings!$C$6,Settings!$C$7))*100)</f>
        <v/>
      </c>
      <c r="V2270" s="7">
        <f>IF($C2270="","",R2270*U2270/100)</f>
        <v/>
      </c>
      <c r="W2270" s="7">
        <f>IF($C2270="","",R2270-V2270)</f>
        <v/>
      </c>
      <c r="X2270" s="7">
        <f>IF($C2270="","",W2270-K2270)</f>
        <v/>
      </c>
      <c r="AB2270" s="7" t="n"/>
      <c r="AE2270" s="11" t="n"/>
      <c r="AG2270">
        <f>IF($C2270="","",IF(COUNTIF($C$2:$C2270,$C2270)=1,1,0))</f>
        <v/>
      </c>
      <c r="AH2270">
        <f>IF($AG2270=1,SUMPRODUCT(--($AK$2:$AK$6001&lt;$AK2270))+1,"")</f>
        <v/>
      </c>
      <c r="AI2270">
        <f>IF($C2270="","",IF(OR($N2270=TRUE(),$N2270="TRUE"),1,0))</f>
        <v/>
      </c>
      <c r="AJ2270">
        <f>IF($C2270="","",IF($T2270="Yes",1,0))</f>
        <v/>
      </c>
      <c r="AK2270">
        <f>IF($AG2270=1,IFERROR(IF(VALUE($C2270)&lt;100000000,VALUE($C2270),1000000000),IFERROR(IF(VALUE(MID($C2270,2,20))&lt;100000000,VALUE(MID($C2270,2,20)),1000000000),1000000000))+ROW()/100000,"")</f>
        <v/>
      </c>
    </row>
    <row r="2271">
      <c r="D2271" s="11" t="n"/>
      <c r="K2271" s="7">
        <f>IF($C2271="","",J2271*W2271/100)</f>
        <v/>
      </c>
      <c r="Q2271" s="7" t="n"/>
      <c r="R2271" s="7" t="n"/>
      <c r="U2271">
        <f>IF($C2271="","",IF($AJ2271=1,0,IF($AI2271=1,Settings!$C$6,Settings!$C$7))*100)</f>
        <v/>
      </c>
      <c r="V2271" s="7">
        <f>IF($C2271="","",R2271*U2271/100)</f>
        <v/>
      </c>
      <c r="W2271" s="7">
        <f>IF($C2271="","",R2271-V2271)</f>
        <v/>
      </c>
      <c r="X2271" s="7">
        <f>IF($C2271="","",W2271-K2271)</f>
        <v/>
      </c>
      <c r="AB2271" s="7" t="n"/>
      <c r="AE2271" s="11" t="n"/>
      <c r="AG2271">
        <f>IF($C2271="","",IF(COUNTIF($C$2:$C2271,$C2271)=1,1,0))</f>
        <v/>
      </c>
      <c r="AH2271">
        <f>IF($AG2271=1,SUMPRODUCT(--($AK$2:$AK$6001&lt;$AK2271))+1,"")</f>
        <v/>
      </c>
      <c r="AI2271">
        <f>IF($C2271="","",IF(OR($N2271=TRUE(),$N2271="TRUE"),1,0))</f>
        <v/>
      </c>
      <c r="AJ2271">
        <f>IF($C2271="","",IF($T2271="Yes",1,0))</f>
        <v/>
      </c>
      <c r="AK2271">
        <f>IF($AG2271=1,IFERROR(IF(VALUE($C2271)&lt;100000000,VALUE($C2271),1000000000),IFERROR(IF(VALUE(MID($C2271,2,20))&lt;100000000,VALUE(MID($C2271,2,20)),1000000000),1000000000))+ROW()/100000,"")</f>
        <v/>
      </c>
    </row>
    <row r="2272">
      <c r="D2272" s="11" t="n"/>
      <c r="K2272" s="7">
        <f>IF($C2272="","",J2272*W2272/100)</f>
        <v/>
      </c>
      <c r="Q2272" s="7" t="n"/>
      <c r="R2272" s="7" t="n"/>
      <c r="U2272">
        <f>IF($C2272="","",IF($AJ2272=1,0,IF($AI2272=1,Settings!$C$6,Settings!$C$7))*100)</f>
        <v/>
      </c>
      <c r="V2272" s="7">
        <f>IF($C2272="","",R2272*U2272/100)</f>
        <v/>
      </c>
      <c r="W2272" s="7">
        <f>IF($C2272="","",R2272-V2272)</f>
        <v/>
      </c>
      <c r="X2272" s="7">
        <f>IF($C2272="","",W2272-K2272)</f>
        <v/>
      </c>
      <c r="AB2272" s="7" t="n"/>
      <c r="AE2272" s="11" t="n"/>
      <c r="AG2272">
        <f>IF($C2272="","",IF(COUNTIF($C$2:$C2272,$C2272)=1,1,0))</f>
        <v/>
      </c>
      <c r="AH2272">
        <f>IF($AG2272=1,SUMPRODUCT(--($AK$2:$AK$6001&lt;$AK2272))+1,"")</f>
        <v/>
      </c>
      <c r="AI2272">
        <f>IF($C2272="","",IF(OR($N2272=TRUE(),$N2272="TRUE"),1,0))</f>
        <v/>
      </c>
      <c r="AJ2272">
        <f>IF($C2272="","",IF($T2272="Yes",1,0))</f>
        <v/>
      </c>
      <c r="AK2272">
        <f>IF($AG2272=1,IFERROR(IF(VALUE($C2272)&lt;100000000,VALUE($C2272),1000000000),IFERROR(IF(VALUE(MID($C2272,2,20))&lt;100000000,VALUE(MID($C2272,2,20)),1000000000),1000000000))+ROW()/100000,"")</f>
        <v/>
      </c>
    </row>
    <row r="2273">
      <c r="D2273" s="11" t="n"/>
      <c r="K2273" s="7">
        <f>IF($C2273="","",J2273*W2273/100)</f>
        <v/>
      </c>
      <c r="Q2273" s="7" t="n"/>
      <c r="R2273" s="7" t="n"/>
      <c r="U2273">
        <f>IF($C2273="","",IF($AJ2273=1,0,IF($AI2273=1,Settings!$C$6,Settings!$C$7))*100)</f>
        <v/>
      </c>
      <c r="V2273" s="7">
        <f>IF($C2273="","",R2273*U2273/100)</f>
        <v/>
      </c>
      <c r="W2273" s="7">
        <f>IF($C2273="","",R2273-V2273)</f>
        <v/>
      </c>
      <c r="X2273" s="7">
        <f>IF($C2273="","",W2273-K2273)</f>
        <v/>
      </c>
      <c r="AB2273" s="7" t="n"/>
      <c r="AE2273" s="11" t="n"/>
      <c r="AG2273">
        <f>IF($C2273="","",IF(COUNTIF($C$2:$C2273,$C2273)=1,1,0))</f>
        <v/>
      </c>
      <c r="AH2273">
        <f>IF($AG2273=1,SUMPRODUCT(--($AK$2:$AK$6001&lt;$AK2273))+1,"")</f>
        <v/>
      </c>
      <c r="AI2273">
        <f>IF($C2273="","",IF(OR($N2273=TRUE(),$N2273="TRUE"),1,0))</f>
        <v/>
      </c>
      <c r="AJ2273">
        <f>IF($C2273="","",IF($T2273="Yes",1,0))</f>
        <v/>
      </c>
      <c r="AK2273">
        <f>IF($AG2273=1,IFERROR(IF(VALUE($C2273)&lt;100000000,VALUE($C2273),1000000000),IFERROR(IF(VALUE(MID($C2273,2,20))&lt;100000000,VALUE(MID($C2273,2,20)),1000000000),1000000000))+ROW()/100000,"")</f>
        <v/>
      </c>
    </row>
    <row r="2274">
      <c r="D2274" s="11" t="n"/>
      <c r="K2274" s="7">
        <f>IF($C2274="","",J2274*W2274/100)</f>
        <v/>
      </c>
      <c r="Q2274" s="7" t="n"/>
      <c r="R2274" s="7" t="n"/>
      <c r="U2274">
        <f>IF($C2274="","",IF($AJ2274=1,0,IF($AI2274=1,Settings!$C$6,Settings!$C$7))*100)</f>
        <v/>
      </c>
      <c r="V2274" s="7">
        <f>IF($C2274="","",R2274*U2274/100)</f>
        <v/>
      </c>
      <c r="W2274" s="7">
        <f>IF($C2274="","",R2274-V2274)</f>
        <v/>
      </c>
      <c r="X2274" s="7">
        <f>IF($C2274="","",W2274-K2274)</f>
        <v/>
      </c>
      <c r="AB2274" s="7" t="n"/>
      <c r="AE2274" s="11" t="n"/>
      <c r="AG2274">
        <f>IF($C2274="","",IF(COUNTIF($C$2:$C2274,$C2274)=1,1,0))</f>
        <v/>
      </c>
      <c r="AH2274">
        <f>IF($AG2274=1,SUMPRODUCT(--($AK$2:$AK$6001&lt;$AK2274))+1,"")</f>
        <v/>
      </c>
      <c r="AI2274">
        <f>IF($C2274="","",IF(OR($N2274=TRUE(),$N2274="TRUE"),1,0))</f>
        <v/>
      </c>
      <c r="AJ2274">
        <f>IF($C2274="","",IF($T2274="Yes",1,0))</f>
        <v/>
      </c>
      <c r="AK2274">
        <f>IF($AG2274=1,IFERROR(IF(VALUE($C2274)&lt;100000000,VALUE($C2274),1000000000),IFERROR(IF(VALUE(MID($C2274,2,20))&lt;100000000,VALUE(MID($C2274,2,20)),1000000000),1000000000))+ROW()/100000,"")</f>
        <v/>
      </c>
    </row>
    <row r="2275">
      <c r="D2275" s="11" t="n"/>
      <c r="K2275" s="7">
        <f>IF($C2275="","",J2275*W2275/100)</f>
        <v/>
      </c>
      <c r="Q2275" s="7" t="n"/>
      <c r="R2275" s="7" t="n"/>
      <c r="U2275">
        <f>IF($C2275="","",IF($AJ2275=1,0,IF($AI2275=1,Settings!$C$6,Settings!$C$7))*100)</f>
        <v/>
      </c>
      <c r="V2275" s="7">
        <f>IF($C2275="","",R2275*U2275/100)</f>
        <v/>
      </c>
      <c r="W2275" s="7">
        <f>IF($C2275="","",R2275-V2275)</f>
        <v/>
      </c>
      <c r="X2275" s="7">
        <f>IF($C2275="","",W2275-K2275)</f>
        <v/>
      </c>
      <c r="AB2275" s="7" t="n"/>
      <c r="AE2275" s="11" t="n"/>
      <c r="AG2275">
        <f>IF($C2275="","",IF(COUNTIF($C$2:$C2275,$C2275)=1,1,0))</f>
        <v/>
      </c>
      <c r="AH2275">
        <f>IF($AG2275=1,SUMPRODUCT(--($AK$2:$AK$6001&lt;$AK2275))+1,"")</f>
        <v/>
      </c>
      <c r="AI2275">
        <f>IF($C2275="","",IF(OR($N2275=TRUE(),$N2275="TRUE"),1,0))</f>
        <v/>
      </c>
      <c r="AJ2275">
        <f>IF($C2275="","",IF($T2275="Yes",1,0))</f>
        <v/>
      </c>
      <c r="AK2275">
        <f>IF($AG2275=1,IFERROR(IF(VALUE($C2275)&lt;100000000,VALUE($C2275),1000000000),IFERROR(IF(VALUE(MID($C2275,2,20))&lt;100000000,VALUE(MID($C2275,2,20)),1000000000),1000000000))+ROW()/100000,"")</f>
        <v/>
      </c>
    </row>
    <row r="2276">
      <c r="D2276" s="11" t="n"/>
      <c r="K2276" s="7">
        <f>IF($C2276="","",J2276*W2276/100)</f>
        <v/>
      </c>
      <c r="Q2276" s="7" t="n"/>
      <c r="R2276" s="7" t="n"/>
      <c r="U2276">
        <f>IF($C2276="","",IF($AJ2276=1,0,IF($AI2276=1,Settings!$C$6,Settings!$C$7))*100)</f>
        <v/>
      </c>
      <c r="V2276" s="7">
        <f>IF($C2276="","",R2276*U2276/100)</f>
        <v/>
      </c>
      <c r="W2276" s="7">
        <f>IF($C2276="","",R2276-V2276)</f>
        <v/>
      </c>
      <c r="X2276" s="7">
        <f>IF($C2276="","",W2276-K2276)</f>
        <v/>
      </c>
      <c r="AB2276" s="7" t="n"/>
      <c r="AE2276" s="11" t="n"/>
      <c r="AG2276">
        <f>IF($C2276="","",IF(COUNTIF($C$2:$C2276,$C2276)=1,1,0))</f>
        <v/>
      </c>
      <c r="AH2276">
        <f>IF($AG2276=1,SUMPRODUCT(--($AK$2:$AK$6001&lt;$AK2276))+1,"")</f>
        <v/>
      </c>
      <c r="AI2276">
        <f>IF($C2276="","",IF(OR($N2276=TRUE(),$N2276="TRUE"),1,0))</f>
        <v/>
      </c>
      <c r="AJ2276">
        <f>IF($C2276="","",IF($T2276="Yes",1,0))</f>
        <v/>
      </c>
      <c r="AK2276">
        <f>IF($AG2276=1,IFERROR(IF(VALUE($C2276)&lt;100000000,VALUE($C2276),1000000000),IFERROR(IF(VALUE(MID($C2276,2,20))&lt;100000000,VALUE(MID($C2276,2,20)),1000000000),1000000000))+ROW()/100000,"")</f>
        <v/>
      </c>
    </row>
    <row r="2277">
      <c r="D2277" s="11" t="n"/>
      <c r="K2277" s="7">
        <f>IF($C2277="","",J2277*W2277/100)</f>
        <v/>
      </c>
      <c r="Q2277" s="7" t="n"/>
      <c r="R2277" s="7" t="n"/>
      <c r="U2277">
        <f>IF($C2277="","",IF($AJ2277=1,0,IF($AI2277=1,Settings!$C$6,Settings!$C$7))*100)</f>
        <v/>
      </c>
      <c r="V2277" s="7">
        <f>IF($C2277="","",R2277*U2277/100)</f>
        <v/>
      </c>
      <c r="W2277" s="7">
        <f>IF($C2277="","",R2277-V2277)</f>
        <v/>
      </c>
      <c r="X2277" s="7">
        <f>IF($C2277="","",W2277-K2277)</f>
        <v/>
      </c>
      <c r="AB2277" s="7" t="n"/>
      <c r="AE2277" s="11" t="n"/>
      <c r="AG2277">
        <f>IF($C2277="","",IF(COUNTIF($C$2:$C2277,$C2277)=1,1,0))</f>
        <v/>
      </c>
      <c r="AH2277">
        <f>IF($AG2277=1,SUMPRODUCT(--($AK$2:$AK$6001&lt;$AK2277))+1,"")</f>
        <v/>
      </c>
      <c r="AI2277">
        <f>IF($C2277="","",IF(OR($N2277=TRUE(),$N2277="TRUE"),1,0))</f>
        <v/>
      </c>
      <c r="AJ2277">
        <f>IF($C2277="","",IF($T2277="Yes",1,0))</f>
        <v/>
      </c>
      <c r="AK2277">
        <f>IF($AG2277=1,IFERROR(IF(VALUE($C2277)&lt;100000000,VALUE($C2277),1000000000),IFERROR(IF(VALUE(MID($C2277,2,20))&lt;100000000,VALUE(MID($C2277,2,20)),1000000000),1000000000))+ROW()/100000,"")</f>
        <v/>
      </c>
    </row>
    <row r="2278">
      <c r="D2278" s="11" t="n"/>
      <c r="K2278" s="7">
        <f>IF($C2278="","",J2278*W2278/100)</f>
        <v/>
      </c>
      <c r="Q2278" s="7" t="n"/>
      <c r="R2278" s="7" t="n"/>
      <c r="U2278">
        <f>IF($C2278="","",IF($AJ2278=1,0,IF($AI2278=1,Settings!$C$6,Settings!$C$7))*100)</f>
        <v/>
      </c>
      <c r="V2278" s="7">
        <f>IF($C2278="","",R2278*U2278/100)</f>
        <v/>
      </c>
      <c r="W2278" s="7">
        <f>IF($C2278="","",R2278-V2278)</f>
        <v/>
      </c>
      <c r="X2278" s="7">
        <f>IF($C2278="","",W2278-K2278)</f>
        <v/>
      </c>
      <c r="AB2278" s="7" t="n"/>
      <c r="AE2278" s="11" t="n"/>
      <c r="AG2278">
        <f>IF($C2278="","",IF(COUNTIF($C$2:$C2278,$C2278)=1,1,0))</f>
        <v/>
      </c>
      <c r="AH2278">
        <f>IF($AG2278=1,SUMPRODUCT(--($AK$2:$AK$6001&lt;$AK2278))+1,"")</f>
        <v/>
      </c>
      <c r="AI2278">
        <f>IF($C2278="","",IF(OR($N2278=TRUE(),$N2278="TRUE"),1,0))</f>
        <v/>
      </c>
      <c r="AJ2278">
        <f>IF($C2278="","",IF($T2278="Yes",1,0))</f>
        <v/>
      </c>
      <c r="AK2278">
        <f>IF($AG2278=1,IFERROR(IF(VALUE($C2278)&lt;100000000,VALUE($C2278),1000000000),IFERROR(IF(VALUE(MID($C2278,2,20))&lt;100000000,VALUE(MID($C2278,2,20)),1000000000),1000000000))+ROW()/100000,"")</f>
        <v/>
      </c>
    </row>
    <row r="2279">
      <c r="D2279" s="11" t="n"/>
      <c r="K2279" s="7">
        <f>IF($C2279="","",J2279*W2279/100)</f>
        <v/>
      </c>
      <c r="Q2279" s="7" t="n"/>
      <c r="R2279" s="7" t="n"/>
      <c r="U2279">
        <f>IF($C2279="","",IF($AJ2279=1,0,IF($AI2279=1,Settings!$C$6,Settings!$C$7))*100)</f>
        <v/>
      </c>
      <c r="V2279" s="7">
        <f>IF($C2279="","",R2279*U2279/100)</f>
        <v/>
      </c>
      <c r="W2279" s="7">
        <f>IF($C2279="","",R2279-V2279)</f>
        <v/>
      </c>
      <c r="X2279" s="7">
        <f>IF($C2279="","",W2279-K2279)</f>
        <v/>
      </c>
      <c r="AB2279" s="7" t="n"/>
      <c r="AE2279" s="11" t="n"/>
      <c r="AG2279">
        <f>IF($C2279="","",IF(COUNTIF($C$2:$C2279,$C2279)=1,1,0))</f>
        <v/>
      </c>
      <c r="AH2279">
        <f>IF($AG2279=1,SUMPRODUCT(--($AK$2:$AK$6001&lt;$AK2279))+1,"")</f>
        <v/>
      </c>
      <c r="AI2279">
        <f>IF($C2279="","",IF(OR($N2279=TRUE(),$N2279="TRUE"),1,0))</f>
        <v/>
      </c>
      <c r="AJ2279">
        <f>IF($C2279="","",IF($T2279="Yes",1,0))</f>
        <v/>
      </c>
      <c r="AK2279">
        <f>IF($AG2279=1,IFERROR(IF(VALUE($C2279)&lt;100000000,VALUE($C2279),1000000000),IFERROR(IF(VALUE(MID($C2279,2,20))&lt;100000000,VALUE(MID($C2279,2,20)),1000000000),1000000000))+ROW()/100000,"")</f>
        <v/>
      </c>
    </row>
    <row r="2280">
      <c r="D2280" s="11" t="n"/>
      <c r="K2280" s="7">
        <f>IF($C2280="","",J2280*W2280/100)</f>
        <v/>
      </c>
      <c r="Q2280" s="7" t="n"/>
      <c r="R2280" s="7" t="n"/>
      <c r="U2280">
        <f>IF($C2280="","",IF($AJ2280=1,0,IF($AI2280=1,Settings!$C$6,Settings!$C$7))*100)</f>
        <v/>
      </c>
      <c r="V2280" s="7">
        <f>IF($C2280="","",R2280*U2280/100)</f>
        <v/>
      </c>
      <c r="W2280" s="7">
        <f>IF($C2280="","",R2280-V2280)</f>
        <v/>
      </c>
      <c r="X2280" s="7">
        <f>IF($C2280="","",W2280-K2280)</f>
        <v/>
      </c>
      <c r="AB2280" s="7" t="n"/>
      <c r="AE2280" s="11" t="n"/>
      <c r="AG2280">
        <f>IF($C2280="","",IF(COUNTIF($C$2:$C2280,$C2280)=1,1,0))</f>
        <v/>
      </c>
      <c r="AH2280">
        <f>IF($AG2280=1,SUMPRODUCT(--($AK$2:$AK$6001&lt;$AK2280))+1,"")</f>
        <v/>
      </c>
      <c r="AI2280">
        <f>IF($C2280="","",IF(OR($N2280=TRUE(),$N2280="TRUE"),1,0))</f>
        <v/>
      </c>
      <c r="AJ2280">
        <f>IF($C2280="","",IF($T2280="Yes",1,0))</f>
        <v/>
      </c>
      <c r="AK2280">
        <f>IF($AG2280=1,IFERROR(IF(VALUE($C2280)&lt;100000000,VALUE($C2280),1000000000),IFERROR(IF(VALUE(MID($C2280,2,20))&lt;100000000,VALUE(MID($C2280,2,20)),1000000000),1000000000))+ROW()/100000,"")</f>
        <v/>
      </c>
    </row>
    <row r="2281">
      <c r="D2281" s="11" t="n"/>
      <c r="K2281" s="7">
        <f>IF($C2281="","",J2281*W2281/100)</f>
        <v/>
      </c>
      <c r="Q2281" s="7" t="n"/>
      <c r="R2281" s="7" t="n"/>
      <c r="U2281">
        <f>IF($C2281="","",IF($AJ2281=1,0,IF($AI2281=1,Settings!$C$6,Settings!$C$7))*100)</f>
        <v/>
      </c>
      <c r="V2281" s="7">
        <f>IF($C2281="","",R2281*U2281/100)</f>
        <v/>
      </c>
      <c r="W2281" s="7">
        <f>IF($C2281="","",R2281-V2281)</f>
        <v/>
      </c>
      <c r="X2281" s="7">
        <f>IF($C2281="","",W2281-K2281)</f>
        <v/>
      </c>
      <c r="AB2281" s="7" t="n"/>
      <c r="AE2281" s="11" t="n"/>
      <c r="AG2281">
        <f>IF($C2281="","",IF(COUNTIF($C$2:$C2281,$C2281)=1,1,0))</f>
        <v/>
      </c>
      <c r="AH2281">
        <f>IF($AG2281=1,SUMPRODUCT(--($AK$2:$AK$6001&lt;$AK2281))+1,"")</f>
        <v/>
      </c>
      <c r="AI2281">
        <f>IF($C2281="","",IF(OR($N2281=TRUE(),$N2281="TRUE"),1,0))</f>
        <v/>
      </c>
      <c r="AJ2281">
        <f>IF($C2281="","",IF($T2281="Yes",1,0))</f>
        <v/>
      </c>
      <c r="AK2281">
        <f>IF($AG2281=1,IFERROR(IF(VALUE($C2281)&lt;100000000,VALUE($C2281),1000000000),IFERROR(IF(VALUE(MID($C2281,2,20))&lt;100000000,VALUE(MID($C2281,2,20)),1000000000),1000000000))+ROW()/100000,"")</f>
        <v/>
      </c>
    </row>
    <row r="2282">
      <c r="D2282" s="11" t="n"/>
      <c r="K2282" s="7">
        <f>IF($C2282="","",J2282*W2282/100)</f>
        <v/>
      </c>
      <c r="Q2282" s="7" t="n"/>
      <c r="R2282" s="7" t="n"/>
      <c r="U2282">
        <f>IF($C2282="","",IF($AJ2282=1,0,IF($AI2282=1,Settings!$C$6,Settings!$C$7))*100)</f>
        <v/>
      </c>
      <c r="V2282" s="7">
        <f>IF($C2282="","",R2282*U2282/100)</f>
        <v/>
      </c>
      <c r="W2282" s="7">
        <f>IF($C2282="","",R2282-V2282)</f>
        <v/>
      </c>
      <c r="X2282" s="7">
        <f>IF($C2282="","",W2282-K2282)</f>
        <v/>
      </c>
      <c r="AB2282" s="7" t="n"/>
      <c r="AE2282" s="11" t="n"/>
      <c r="AG2282">
        <f>IF($C2282="","",IF(COUNTIF($C$2:$C2282,$C2282)=1,1,0))</f>
        <v/>
      </c>
      <c r="AH2282">
        <f>IF($AG2282=1,SUMPRODUCT(--($AK$2:$AK$6001&lt;$AK2282))+1,"")</f>
        <v/>
      </c>
      <c r="AI2282">
        <f>IF($C2282="","",IF(OR($N2282=TRUE(),$N2282="TRUE"),1,0))</f>
        <v/>
      </c>
      <c r="AJ2282">
        <f>IF($C2282="","",IF($T2282="Yes",1,0))</f>
        <v/>
      </c>
      <c r="AK2282">
        <f>IF($AG2282=1,IFERROR(IF(VALUE($C2282)&lt;100000000,VALUE($C2282),1000000000),IFERROR(IF(VALUE(MID($C2282,2,20))&lt;100000000,VALUE(MID($C2282,2,20)),1000000000),1000000000))+ROW()/100000,"")</f>
        <v/>
      </c>
    </row>
    <row r="2283">
      <c r="D2283" s="11" t="n"/>
      <c r="K2283" s="7">
        <f>IF($C2283="","",J2283*W2283/100)</f>
        <v/>
      </c>
      <c r="Q2283" s="7" t="n"/>
      <c r="R2283" s="7" t="n"/>
      <c r="U2283">
        <f>IF($C2283="","",IF($AJ2283=1,0,IF($AI2283=1,Settings!$C$6,Settings!$C$7))*100)</f>
        <v/>
      </c>
      <c r="V2283" s="7">
        <f>IF($C2283="","",R2283*U2283/100)</f>
        <v/>
      </c>
      <c r="W2283" s="7">
        <f>IF($C2283="","",R2283-V2283)</f>
        <v/>
      </c>
      <c r="X2283" s="7">
        <f>IF($C2283="","",W2283-K2283)</f>
        <v/>
      </c>
      <c r="AB2283" s="7" t="n"/>
      <c r="AE2283" s="11" t="n"/>
      <c r="AG2283">
        <f>IF($C2283="","",IF(COUNTIF($C$2:$C2283,$C2283)=1,1,0))</f>
        <v/>
      </c>
      <c r="AH2283">
        <f>IF($AG2283=1,SUMPRODUCT(--($AK$2:$AK$6001&lt;$AK2283))+1,"")</f>
        <v/>
      </c>
      <c r="AI2283">
        <f>IF($C2283="","",IF(OR($N2283=TRUE(),$N2283="TRUE"),1,0))</f>
        <v/>
      </c>
      <c r="AJ2283">
        <f>IF($C2283="","",IF($T2283="Yes",1,0))</f>
        <v/>
      </c>
      <c r="AK2283">
        <f>IF($AG2283=1,IFERROR(IF(VALUE($C2283)&lt;100000000,VALUE($C2283),1000000000),IFERROR(IF(VALUE(MID($C2283,2,20))&lt;100000000,VALUE(MID($C2283,2,20)),1000000000),1000000000))+ROW()/100000,"")</f>
        <v/>
      </c>
    </row>
    <row r="2284">
      <c r="D2284" s="11" t="n"/>
      <c r="K2284" s="7">
        <f>IF($C2284="","",J2284*W2284/100)</f>
        <v/>
      </c>
      <c r="Q2284" s="7" t="n"/>
      <c r="R2284" s="7" t="n"/>
      <c r="U2284">
        <f>IF($C2284="","",IF($AJ2284=1,0,IF($AI2284=1,Settings!$C$6,Settings!$C$7))*100)</f>
        <v/>
      </c>
      <c r="V2284" s="7">
        <f>IF($C2284="","",R2284*U2284/100)</f>
        <v/>
      </c>
      <c r="W2284" s="7">
        <f>IF($C2284="","",R2284-V2284)</f>
        <v/>
      </c>
      <c r="X2284" s="7">
        <f>IF($C2284="","",W2284-K2284)</f>
        <v/>
      </c>
      <c r="AB2284" s="7" t="n"/>
      <c r="AE2284" s="11" t="n"/>
      <c r="AG2284">
        <f>IF($C2284="","",IF(COUNTIF($C$2:$C2284,$C2284)=1,1,0))</f>
        <v/>
      </c>
      <c r="AH2284">
        <f>IF($AG2284=1,SUMPRODUCT(--($AK$2:$AK$6001&lt;$AK2284))+1,"")</f>
        <v/>
      </c>
      <c r="AI2284">
        <f>IF($C2284="","",IF(OR($N2284=TRUE(),$N2284="TRUE"),1,0))</f>
        <v/>
      </c>
      <c r="AJ2284">
        <f>IF($C2284="","",IF($T2284="Yes",1,0))</f>
        <v/>
      </c>
      <c r="AK2284">
        <f>IF($AG2284=1,IFERROR(IF(VALUE($C2284)&lt;100000000,VALUE($C2284),1000000000),IFERROR(IF(VALUE(MID($C2284,2,20))&lt;100000000,VALUE(MID($C2284,2,20)),1000000000),1000000000))+ROW()/100000,"")</f>
        <v/>
      </c>
    </row>
    <row r="2285">
      <c r="D2285" s="11" t="n"/>
      <c r="K2285" s="7">
        <f>IF($C2285="","",J2285*W2285/100)</f>
        <v/>
      </c>
      <c r="Q2285" s="7" t="n"/>
      <c r="R2285" s="7" t="n"/>
      <c r="U2285">
        <f>IF($C2285="","",IF($AJ2285=1,0,IF($AI2285=1,Settings!$C$6,Settings!$C$7))*100)</f>
        <v/>
      </c>
      <c r="V2285" s="7">
        <f>IF($C2285="","",R2285*U2285/100)</f>
        <v/>
      </c>
      <c r="W2285" s="7">
        <f>IF($C2285="","",R2285-V2285)</f>
        <v/>
      </c>
      <c r="X2285" s="7">
        <f>IF($C2285="","",W2285-K2285)</f>
        <v/>
      </c>
      <c r="AB2285" s="7" t="n"/>
      <c r="AE2285" s="11" t="n"/>
      <c r="AG2285">
        <f>IF($C2285="","",IF(COUNTIF($C$2:$C2285,$C2285)=1,1,0))</f>
        <v/>
      </c>
      <c r="AH2285">
        <f>IF($AG2285=1,SUMPRODUCT(--($AK$2:$AK$6001&lt;$AK2285))+1,"")</f>
        <v/>
      </c>
      <c r="AI2285">
        <f>IF($C2285="","",IF(OR($N2285=TRUE(),$N2285="TRUE"),1,0))</f>
        <v/>
      </c>
      <c r="AJ2285">
        <f>IF($C2285="","",IF($T2285="Yes",1,0))</f>
        <v/>
      </c>
      <c r="AK2285">
        <f>IF($AG2285=1,IFERROR(IF(VALUE($C2285)&lt;100000000,VALUE($C2285),1000000000),IFERROR(IF(VALUE(MID($C2285,2,20))&lt;100000000,VALUE(MID($C2285,2,20)),1000000000),1000000000))+ROW()/100000,"")</f>
        <v/>
      </c>
    </row>
    <row r="2286">
      <c r="D2286" s="11" t="n"/>
      <c r="K2286" s="7">
        <f>IF($C2286="","",J2286*W2286/100)</f>
        <v/>
      </c>
      <c r="Q2286" s="7" t="n"/>
      <c r="R2286" s="7" t="n"/>
      <c r="U2286">
        <f>IF($C2286="","",IF($AJ2286=1,0,IF($AI2286=1,Settings!$C$6,Settings!$C$7))*100)</f>
        <v/>
      </c>
      <c r="V2286" s="7">
        <f>IF($C2286="","",R2286*U2286/100)</f>
        <v/>
      </c>
      <c r="W2286" s="7">
        <f>IF($C2286="","",R2286-V2286)</f>
        <v/>
      </c>
      <c r="X2286" s="7">
        <f>IF($C2286="","",W2286-K2286)</f>
        <v/>
      </c>
      <c r="AB2286" s="7" t="n"/>
      <c r="AE2286" s="11" t="n"/>
      <c r="AG2286">
        <f>IF($C2286="","",IF(COUNTIF($C$2:$C2286,$C2286)=1,1,0))</f>
        <v/>
      </c>
      <c r="AH2286">
        <f>IF($AG2286=1,SUMPRODUCT(--($AK$2:$AK$6001&lt;$AK2286))+1,"")</f>
        <v/>
      </c>
      <c r="AI2286">
        <f>IF($C2286="","",IF(OR($N2286=TRUE(),$N2286="TRUE"),1,0))</f>
        <v/>
      </c>
      <c r="AJ2286">
        <f>IF($C2286="","",IF($T2286="Yes",1,0))</f>
        <v/>
      </c>
      <c r="AK2286">
        <f>IF($AG2286=1,IFERROR(IF(VALUE($C2286)&lt;100000000,VALUE($C2286),1000000000),IFERROR(IF(VALUE(MID($C2286,2,20))&lt;100000000,VALUE(MID($C2286,2,20)),1000000000),1000000000))+ROW()/100000,"")</f>
        <v/>
      </c>
    </row>
    <row r="2287">
      <c r="D2287" s="11" t="n"/>
      <c r="K2287" s="7">
        <f>IF($C2287="","",J2287*W2287/100)</f>
        <v/>
      </c>
      <c r="Q2287" s="7" t="n"/>
      <c r="R2287" s="7" t="n"/>
      <c r="U2287">
        <f>IF($C2287="","",IF($AJ2287=1,0,IF($AI2287=1,Settings!$C$6,Settings!$C$7))*100)</f>
        <v/>
      </c>
      <c r="V2287" s="7">
        <f>IF($C2287="","",R2287*U2287/100)</f>
        <v/>
      </c>
      <c r="W2287" s="7">
        <f>IF($C2287="","",R2287-V2287)</f>
        <v/>
      </c>
      <c r="X2287" s="7">
        <f>IF($C2287="","",W2287-K2287)</f>
        <v/>
      </c>
      <c r="AB2287" s="7" t="n"/>
      <c r="AE2287" s="11" t="n"/>
      <c r="AG2287">
        <f>IF($C2287="","",IF(COUNTIF($C$2:$C2287,$C2287)=1,1,0))</f>
        <v/>
      </c>
      <c r="AH2287">
        <f>IF($AG2287=1,SUMPRODUCT(--($AK$2:$AK$6001&lt;$AK2287))+1,"")</f>
        <v/>
      </c>
      <c r="AI2287">
        <f>IF($C2287="","",IF(OR($N2287=TRUE(),$N2287="TRUE"),1,0))</f>
        <v/>
      </c>
      <c r="AJ2287">
        <f>IF($C2287="","",IF($T2287="Yes",1,0))</f>
        <v/>
      </c>
      <c r="AK2287">
        <f>IF($AG2287=1,IFERROR(IF(VALUE($C2287)&lt;100000000,VALUE($C2287),1000000000),IFERROR(IF(VALUE(MID($C2287,2,20))&lt;100000000,VALUE(MID($C2287,2,20)),1000000000),1000000000))+ROW()/100000,"")</f>
        <v/>
      </c>
    </row>
    <row r="2288">
      <c r="D2288" s="11" t="n"/>
      <c r="K2288" s="7">
        <f>IF($C2288="","",J2288*W2288/100)</f>
        <v/>
      </c>
      <c r="Q2288" s="7" t="n"/>
      <c r="R2288" s="7" t="n"/>
      <c r="U2288">
        <f>IF($C2288="","",IF($AJ2288=1,0,IF($AI2288=1,Settings!$C$6,Settings!$C$7))*100)</f>
        <v/>
      </c>
      <c r="V2288" s="7">
        <f>IF($C2288="","",R2288*U2288/100)</f>
        <v/>
      </c>
      <c r="W2288" s="7">
        <f>IF($C2288="","",R2288-V2288)</f>
        <v/>
      </c>
      <c r="X2288" s="7">
        <f>IF($C2288="","",W2288-K2288)</f>
        <v/>
      </c>
      <c r="AB2288" s="7" t="n"/>
      <c r="AE2288" s="11" t="n"/>
      <c r="AG2288">
        <f>IF($C2288="","",IF(COUNTIF($C$2:$C2288,$C2288)=1,1,0))</f>
        <v/>
      </c>
      <c r="AH2288">
        <f>IF($AG2288=1,SUMPRODUCT(--($AK$2:$AK$6001&lt;$AK2288))+1,"")</f>
        <v/>
      </c>
      <c r="AI2288">
        <f>IF($C2288="","",IF(OR($N2288=TRUE(),$N2288="TRUE"),1,0))</f>
        <v/>
      </c>
      <c r="AJ2288">
        <f>IF($C2288="","",IF($T2288="Yes",1,0))</f>
        <v/>
      </c>
      <c r="AK2288">
        <f>IF($AG2288=1,IFERROR(IF(VALUE($C2288)&lt;100000000,VALUE($C2288),1000000000),IFERROR(IF(VALUE(MID($C2288,2,20))&lt;100000000,VALUE(MID($C2288,2,20)),1000000000),1000000000))+ROW()/100000,"")</f>
        <v/>
      </c>
    </row>
    <row r="2289">
      <c r="D2289" s="11" t="n"/>
      <c r="K2289" s="7">
        <f>IF($C2289="","",J2289*W2289/100)</f>
        <v/>
      </c>
      <c r="Q2289" s="7" t="n"/>
      <c r="R2289" s="7" t="n"/>
      <c r="U2289">
        <f>IF($C2289="","",IF($AJ2289=1,0,IF($AI2289=1,Settings!$C$6,Settings!$C$7))*100)</f>
        <v/>
      </c>
      <c r="V2289" s="7">
        <f>IF($C2289="","",R2289*U2289/100)</f>
        <v/>
      </c>
      <c r="W2289" s="7">
        <f>IF($C2289="","",R2289-V2289)</f>
        <v/>
      </c>
      <c r="X2289" s="7">
        <f>IF($C2289="","",W2289-K2289)</f>
        <v/>
      </c>
      <c r="AB2289" s="7" t="n"/>
      <c r="AE2289" s="11" t="n"/>
      <c r="AG2289">
        <f>IF($C2289="","",IF(COUNTIF($C$2:$C2289,$C2289)=1,1,0))</f>
        <v/>
      </c>
      <c r="AH2289">
        <f>IF($AG2289=1,SUMPRODUCT(--($AK$2:$AK$6001&lt;$AK2289))+1,"")</f>
        <v/>
      </c>
      <c r="AI2289">
        <f>IF($C2289="","",IF(OR($N2289=TRUE(),$N2289="TRUE"),1,0))</f>
        <v/>
      </c>
      <c r="AJ2289">
        <f>IF($C2289="","",IF($T2289="Yes",1,0))</f>
        <v/>
      </c>
      <c r="AK2289">
        <f>IF($AG2289=1,IFERROR(IF(VALUE($C2289)&lt;100000000,VALUE($C2289),1000000000),IFERROR(IF(VALUE(MID($C2289,2,20))&lt;100000000,VALUE(MID($C2289,2,20)),1000000000),1000000000))+ROW()/100000,"")</f>
        <v/>
      </c>
    </row>
    <row r="2290">
      <c r="D2290" s="11" t="n"/>
      <c r="K2290" s="7">
        <f>IF($C2290="","",J2290*W2290/100)</f>
        <v/>
      </c>
      <c r="Q2290" s="7" t="n"/>
      <c r="R2290" s="7" t="n"/>
      <c r="U2290">
        <f>IF($C2290="","",IF($AJ2290=1,0,IF($AI2290=1,Settings!$C$6,Settings!$C$7))*100)</f>
        <v/>
      </c>
      <c r="V2290" s="7">
        <f>IF($C2290="","",R2290*U2290/100)</f>
        <v/>
      </c>
      <c r="W2290" s="7">
        <f>IF($C2290="","",R2290-V2290)</f>
        <v/>
      </c>
      <c r="X2290" s="7">
        <f>IF($C2290="","",W2290-K2290)</f>
        <v/>
      </c>
      <c r="AB2290" s="7" t="n"/>
      <c r="AE2290" s="11" t="n"/>
      <c r="AG2290">
        <f>IF($C2290="","",IF(COUNTIF($C$2:$C2290,$C2290)=1,1,0))</f>
        <v/>
      </c>
      <c r="AH2290">
        <f>IF($AG2290=1,SUMPRODUCT(--($AK$2:$AK$6001&lt;$AK2290))+1,"")</f>
        <v/>
      </c>
      <c r="AI2290">
        <f>IF($C2290="","",IF(OR($N2290=TRUE(),$N2290="TRUE"),1,0))</f>
        <v/>
      </c>
      <c r="AJ2290">
        <f>IF($C2290="","",IF($T2290="Yes",1,0))</f>
        <v/>
      </c>
      <c r="AK2290">
        <f>IF($AG2290=1,IFERROR(IF(VALUE($C2290)&lt;100000000,VALUE($C2290),1000000000),IFERROR(IF(VALUE(MID($C2290,2,20))&lt;100000000,VALUE(MID($C2290,2,20)),1000000000),1000000000))+ROW()/100000,"")</f>
        <v/>
      </c>
    </row>
    <row r="2291">
      <c r="D2291" s="11" t="n"/>
      <c r="K2291" s="7">
        <f>IF($C2291="","",J2291*W2291/100)</f>
        <v/>
      </c>
      <c r="Q2291" s="7" t="n"/>
      <c r="R2291" s="7" t="n"/>
      <c r="U2291">
        <f>IF($C2291="","",IF($AJ2291=1,0,IF($AI2291=1,Settings!$C$6,Settings!$C$7))*100)</f>
        <v/>
      </c>
      <c r="V2291" s="7">
        <f>IF($C2291="","",R2291*U2291/100)</f>
        <v/>
      </c>
      <c r="W2291" s="7">
        <f>IF($C2291="","",R2291-V2291)</f>
        <v/>
      </c>
      <c r="X2291" s="7">
        <f>IF($C2291="","",W2291-K2291)</f>
        <v/>
      </c>
      <c r="AB2291" s="7" t="n"/>
      <c r="AE2291" s="11" t="n"/>
      <c r="AG2291">
        <f>IF($C2291="","",IF(COUNTIF($C$2:$C2291,$C2291)=1,1,0))</f>
        <v/>
      </c>
      <c r="AH2291">
        <f>IF($AG2291=1,SUMPRODUCT(--($AK$2:$AK$6001&lt;$AK2291))+1,"")</f>
        <v/>
      </c>
      <c r="AI2291">
        <f>IF($C2291="","",IF(OR($N2291=TRUE(),$N2291="TRUE"),1,0))</f>
        <v/>
      </c>
      <c r="AJ2291">
        <f>IF($C2291="","",IF($T2291="Yes",1,0))</f>
        <v/>
      </c>
      <c r="AK2291">
        <f>IF($AG2291=1,IFERROR(IF(VALUE($C2291)&lt;100000000,VALUE($C2291),1000000000),IFERROR(IF(VALUE(MID($C2291,2,20))&lt;100000000,VALUE(MID($C2291,2,20)),1000000000),1000000000))+ROW()/100000,"")</f>
        <v/>
      </c>
    </row>
    <row r="2292">
      <c r="D2292" s="11" t="n"/>
      <c r="K2292" s="7">
        <f>IF($C2292="","",J2292*W2292/100)</f>
        <v/>
      </c>
      <c r="Q2292" s="7" t="n"/>
      <c r="R2292" s="7" t="n"/>
      <c r="U2292">
        <f>IF($C2292="","",IF($AJ2292=1,0,IF($AI2292=1,Settings!$C$6,Settings!$C$7))*100)</f>
        <v/>
      </c>
      <c r="V2292" s="7">
        <f>IF($C2292="","",R2292*U2292/100)</f>
        <v/>
      </c>
      <c r="W2292" s="7">
        <f>IF($C2292="","",R2292-V2292)</f>
        <v/>
      </c>
      <c r="X2292" s="7">
        <f>IF($C2292="","",W2292-K2292)</f>
        <v/>
      </c>
      <c r="AB2292" s="7" t="n"/>
      <c r="AE2292" s="11" t="n"/>
      <c r="AG2292">
        <f>IF($C2292="","",IF(COUNTIF($C$2:$C2292,$C2292)=1,1,0))</f>
        <v/>
      </c>
      <c r="AH2292">
        <f>IF($AG2292=1,SUMPRODUCT(--($AK$2:$AK$6001&lt;$AK2292))+1,"")</f>
        <v/>
      </c>
      <c r="AI2292">
        <f>IF($C2292="","",IF(OR($N2292=TRUE(),$N2292="TRUE"),1,0))</f>
        <v/>
      </c>
      <c r="AJ2292">
        <f>IF($C2292="","",IF($T2292="Yes",1,0))</f>
        <v/>
      </c>
      <c r="AK2292">
        <f>IF($AG2292=1,IFERROR(IF(VALUE($C2292)&lt;100000000,VALUE($C2292),1000000000),IFERROR(IF(VALUE(MID($C2292,2,20))&lt;100000000,VALUE(MID($C2292,2,20)),1000000000),1000000000))+ROW()/100000,"")</f>
        <v/>
      </c>
    </row>
    <row r="2293">
      <c r="D2293" s="11" t="n"/>
      <c r="K2293" s="7">
        <f>IF($C2293="","",J2293*W2293/100)</f>
        <v/>
      </c>
      <c r="Q2293" s="7" t="n"/>
      <c r="R2293" s="7" t="n"/>
      <c r="U2293">
        <f>IF($C2293="","",IF($AJ2293=1,0,IF($AI2293=1,Settings!$C$6,Settings!$C$7))*100)</f>
        <v/>
      </c>
      <c r="V2293" s="7">
        <f>IF($C2293="","",R2293*U2293/100)</f>
        <v/>
      </c>
      <c r="W2293" s="7">
        <f>IF($C2293="","",R2293-V2293)</f>
        <v/>
      </c>
      <c r="X2293" s="7">
        <f>IF($C2293="","",W2293-K2293)</f>
        <v/>
      </c>
      <c r="AB2293" s="7" t="n"/>
      <c r="AE2293" s="11" t="n"/>
      <c r="AG2293">
        <f>IF($C2293="","",IF(COUNTIF($C$2:$C2293,$C2293)=1,1,0))</f>
        <v/>
      </c>
      <c r="AH2293">
        <f>IF($AG2293=1,SUMPRODUCT(--($AK$2:$AK$6001&lt;$AK2293))+1,"")</f>
        <v/>
      </c>
      <c r="AI2293">
        <f>IF($C2293="","",IF(OR($N2293=TRUE(),$N2293="TRUE"),1,0))</f>
        <v/>
      </c>
      <c r="AJ2293">
        <f>IF($C2293="","",IF($T2293="Yes",1,0))</f>
        <v/>
      </c>
      <c r="AK2293">
        <f>IF($AG2293=1,IFERROR(IF(VALUE($C2293)&lt;100000000,VALUE($C2293),1000000000),IFERROR(IF(VALUE(MID($C2293,2,20))&lt;100000000,VALUE(MID($C2293,2,20)),1000000000),1000000000))+ROW()/100000,"")</f>
        <v/>
      </c>
    </row>
    <row r="2294">
      <c r="D2294" s="11" t="n"/>
      <c r="K2294" s="7">
        <f>IF($C2294="","",J2294*W2294/100)</f>
        <v/>
      </c>
      <c r="Q2294" s="7" t="n"/>
      <c r="R2294" s="7" t="n"/>
      <c r="U2294">
        <f>IF($C2294="","",IF($AJ2294=1,0,IF($AI2294=1,Settings!$C$6,Settings!$C$7))*100)</f>
        <v/>
      </c>
      <c r="V2294" s="7">
        <f>IF($C2294="","",R2294*U2294/100)</f>
        <v/>
      </c>
      <c r="W2294" s="7">
        <f>IF($C2294="","",R2294-V2294)</f>
        <v/>
      </c>
      <c r="X2294" s="7">
        <f>IF($C2294="","",W2294-K2294)</f>
        <v/>
      </c>
      <c r="AB2294" s="7" t="n"/>
      <c r="AE2294" s="11" t="n"/>
      <c r="AG2294">
        <f>IF($C2294="","",IF(COUNTIF($C$2:$C2294,$C2294)=1,1,0))</f>
        <v/>
      </c>
      <c r="AH2294">
        <f>IF($AG2294=1,SUMPRODUCT(--($AK$2:$AK$6001&lt;$AK2294))+1,"")</f>
        <v/>
      </c>
      <c r="AI2294">
        <f>IF($C2294="","",IF(OR($N2294=TRUE(),$N2294="TRUE"),1,0))</f>
        <v/>
      </c>
      <c r="AJ2294">
        <f>IF($C2294="","",IF($T2294="Yes",1,0))</f>
        <v/>
      </c>
      <c r="AK2294">
        <f>IF($AG2294=1,IFERROR(IF(VALUE($C2294)&lt;100000000,VALUE($C2294),1000000000),IFERROR(IF(VALUE(MID($C2294,2,20))&lt;100000000,VALUE(MID($C2294,2,20)),1000000000),1000000000))+ROW()/100000,"")</f>
        <v/>
      </c>
    </row>
    <row r="2295">
      <c r="D2295" s="11" t="n"/>
      <c r="K2295" s="7">
        <f>IF($C2295="","",J2295*W2295/100)</f>
        <v/>
      </c>
      <c r="Q2295" s="7" t="n"/>
      <c r="R2295" s="7" t="n"/>
      <c r="U2295">
        <f>IF($C2295="","",IF($AJ2295=1,0,IF($AI2295=1,Settings!$C$6,Settings!$C$7))*100)</f>
        <v/>
      </c>
      <c r="V2295" s="7">
        <f>IF($C2295="","",R2295*U2295/100)</f>
        <v/>
      </c>
      <c r="W2295" s="7">
        <f>IF($C2295="","",R2295-V2295)</f>
        <v/>
      </c>
      <c r="X2295" s="7">
        <f>IF($C2295="","",W2295-K2295)</f>
        <v/>
      </c>
      <c r="AB2295" s="7" t="n"/>
      <c r="AE2295" s="11" t="n"/>
      <c r="AG2295">
        <f>IF($C2295="","",IF(COUNTIF($C$2:$C2295,$C2295)=1,1,0))</f>
        <v/>
      </c>
      <c r="AH2295">
        <f>IF($AG2295=1,SUMPRODUCT(--($AK$2:$AK$6001&lt;$AK2295))+1,"")</f>
        <v/>
      </c>
      <c r="AI2295">
        <f>IF($C2295="","",IF(OR($N2295=TRUE(),$N2295="TRUE"),1,0))</f>
        <v/>
      </c>
      <c r="AJ2295">
        <f>IF($C2295="","",IF($T2295="Yes",1,0))</f>
        <v/>
      </c>
      <c r="AK2295">
        <f>IF($AG2295=1,IFERROR(IF(VALUE($C2295)&lt;100000000,VALUE($C2295),1000000000),IFERROR(IF(VALUE(MID($C2295,2,20))&lt;100000000,VALUE(MID($C2295,2,20)),1000000000),1000000000))+ROW()/100000,"")</f>
        <v/>
      </c>
    </row>
    <row r="2296">
      <c r="D2296" s="11" t="n"/>
      <c r="K2296" s="7">
        <f>IF($C2296="","",J2296*W2296/100)</f>
        <v/>
      </c>
      <c r="Q2296" s="7" t="n"/>
      <c r="R2296" s="7" t="n"/>
      <c r="U2296">
        <f>IF($C2296="","",IF($AJ2296=1,0,IF($AI2296=1,Settings!$C$6,Settings!$C$7))*100)</f>
        <v/>
      </c>
      <c r="V2296" s="7">
        <f>IF($C2296="","",R2296*U2296/100)</f>
        <v/>
      </c>
      <c r="W2296" s="7">
        <f>IF($C2296="","",R2296-V2296)</f>
        <v/>
      </c>
      <c r="X2296" s="7">
        <f>IF($C2296="","",W2296-K2296)</f>
        <v/>
      </c>
      <c r="AB2296" s="7" t="n"/>
      <c r="AE2296" s="11" t="n"/>
      <c r="AG2296">
        <f>IF($C2296="","",IF(COUNTIF($C$2:$C2296,$C2296)=1,1,0))</f>
        <v/>
      </c>
      <c r="AH2296">
        <f>IF($AG2296=1,SUMPRODUCT(--($AK$2:$AK$6001&lt;$AK2296))+1,"")</f>
        <v/>
      </c>
      <c r="AI2296">
        <f>IF($C2296="","",IF(OR($N2296=TRUE(),$N2296="TRUE"),1,0))</f>
        <v/>
      </c>
      <c r="AJ2296">
        <f>IF($C2296="","",IF($T2296="Yes",1,0))</f>
        <v/>
      </c>
      <c r="AK2296">
        <f>IF($AG2296=1,IFERROR(IF(VALUE($C2296)&lt;100000000,VALUE($C2296),1000000000),IFERROR(IF(VALUE(MID($C2296,2,20))&lt;100000000,VALUE(MID($C2296,2,20)),1000000000),1000000000))+ROW()/100000,"")</f>
        <v/>
      </c>
    </row>
    <row r="2297">
      <c r="D2297" s="11" t="n"/>
      <c r="K2297" s="7">
        <f>IF($C2297="","",J2297*W2297/100)</f>
        <v/>
      </c>
      <c r="Q2297" s="7" t="n"/>
      <c r="R2297" s="7" t="n"/>
      <c r="U2297">
        <f>IF($C2297="","",IF($AJ2297=1,0,IF($AI2297=1,Settings!$C$6,Settings!$C$7))*100)</f>
        <v/>
      </c>
      <c r="V2297" s="7">
        <f>IF($C2297="","",R2297*U2297/100)</f>
        <v/>
      </c>
      <c r="W2297" s="7">
        <f>IF($C2297="","",R2297-V2297)</f>
        <v/>
      </c>
      <c r="X2297" s="7">
        <f>IF($C2297="","",W2297-K2297)</f>
        <v/>
      </c>
      <c r="AB2297" s="7" t="n"/>
      <c r="AE2297" s="11" t="n"/>
      <c r="AG2297">
        <f>IF($C2297="","",IF(COUNTIF($C$2:$C2297,$C2297)=1,1,0))</f>
        <v/>
      </c>
      <c r="AH2297">
        <f>IF($AG2297=1,SUMPRODUCT(--($AK$2:$AK$6001&lt;$AK2297))+1,"")</f>
        <v/>
      </c>
      <c r="AI2297">
        <f>IF($C2297="","",IF(OR($N2297=TRUE(),$N2297="TRUE"),1,0))</f>
        <v/>
      </c>
      <c r="AJ2297">
        <f>IF($C2297="","",IF($T2297="Yes",1,0))</f>
        <v/>
      </c>
      <c r="AK2297">
        <f>IF($AG2297=1,IFERROR(IF(VALUE($C2297)&lt;100000000,VALUE($C2297),1000000000),IFERROR(IF(VALUE(MID($C2297,2,20))&lt;100000000,VALUE(MID($C2297,2,20)),1000000000),1000000000))+ROW()/100000,"")</f>
        <v/>
      </c>
    </row>
    <row r="2298">
      <c r="D2298" s="11" t="n"/>
      <c r="K2298" s="7">
        <f>IF($C2298="","",J2298*W2298/100)</f>
        <v/>
      </c>
      <c r="Q2298" s="7" t="n"/>
      <c r="R2298" s="7" t="n"/>
      <c r="U2298">
        <f>IF($C2298="","",IF($AJ2298=1,0,IF($AI2298=1,Settings!$C$6,Settings!$C$7))*100)</f>
        <v/>
      </c>
      <c r="V2298" s="7">
        <f>IF($C2298="","",R2298*U2298/100)</f>
        <v/>
      </c>
      <c r="W2298" s="7">
        <f>IF($C2298="","",R2298-V2298)</f>
        <v/>
      </c>
      <c r="X2298" s="7">
        <f>IF($C2298="","",W2298-K2298)</f>
        <v/>
      </c>
      <c r="AB2298" s="7" t="n"/>
      <c r="AE2298" s="11" t="n"/>
      <c r="AG2298">
        <f>IF($C2298="","",IF(COUNTIF($C$2:$C2298,$C2298)=1,1,0))</f>
        <v/>
      </c>
      <c r="AH2298">
        <f>IF($AG2298=1,SUMPRODUCT(--($AK$2:$AK$6001&lt;$AK2298))+1,"")</f>
        <v/>
      </c>
      <c r="AI2298">
        <f>IF($C2298="","",IF(OR($N2298=TRUE(),$N2298="TRUE"),1,0))</f>
        <v/>
      </c>
      <c r="AJ2298">
        <f>IF($C2298="","",IF($T2298="Yes",1,0))</f>
        <v/>
      </c>
      <c r="AK2298">
        <f>IF($AG2298=1,IFERROR(IF(VALUE($C2298)&lt;100000000,VALUE($C2298),1000000000),IFERROR(IF(VALUE(MID($C2298,2,20))&lt;100000000,VALUE(MID($C2298,2,20)),1000000000),1000000000))+ROW()/100000,"")</f>
        <v/>
      </c>
    </row>
    <row r="2299">
      <c r="D2299" s="11" t="n"/>
      <c r="K2299" s="7">
        <f>IF($C2299="","",J2299*W2299/100)</f>
        <v/>
      </c>
      <c r="Q2299" s="7" t="n"/>
      <c r="R2299" s="7" t="n"/>
      <c r="U2299">
        <f>IF($C2299="","",IF($AJ2299=1,0,IF($AI2299=1,Settings!$C$6,Settings!$C$7))*100)</f>
        <v/>
      </c>
      <c r="V2299" s="7">
        <f>IF($C2299="","",R2299*U2299/100)</f>
        <v/>
      </c>
      <c r="W2299" s="7">
        <f>IF($C2299="","",R2299-V2299)</f>
        <v/>
      </c>
      <c r="X2299" s="7">
        <f>IF($C2299="","",W2299-K2299)</f>
        <v/>
      </c>
      <c r="AB2299" s="7" t="n"/>
      <c r="AE2299" s="11" t="n"/>
      <c r="AG2299">
        <f>IF($C2299="","",IF(COUNTIF($C$2:$C2299,$C2299)=1,1,0))</f>
        <v/>
      </c>
      <c r="AH2299">
        <f>IF($AG2299=1,SUMPRODUCT(--($AK$2:$AK$6001&lt;$AK2299))+1,"")</f>
        <v/>
      </c>
      <c r="AI2299">
        <f>IF($C2299="","",IF(OR($N2299=TRUE(),$N2299="TRUE"),1,0))</f>
        <v/>
      </c>
      <c r="AJ2299">
        <f>IF($C2299="","",IF($T2299="Yes",1,0))</f>
        <v/>
      </c>
      <c r="AK2299">
        <f>IF($AG2299=1,IFERROR(IF(VALUE($C2299)&lt;100000000,VALUE($C2299),1000000000),IFERROR(IF(VALUE(MID($C2299,2,20))&lt;100000000,VALUE(MID($C2299,2,20)),1000000000),1000000000))+ROW()/100000,"")</f>
        <v/>
      </c>
    </row>
    <row r="2300">
      <c r="D2300" s="11" t="n"/>
      <c r="K2300" s="7">
        <f>IF($C2300="","",J2300*W2300/100)</f>
        <v/>
      </c>
      <c r="Q2300" s="7" t="n"/>
      <c r="R2300" s="7" t="n"/>
      <c r="U2300">
        <f>IF($C2300="","",IF($AJ2300=1,0,IF($AI2300=1,Settings!$C$6,Settings!$C$7))*100)</f>
        <v/>
      </c>
      <c r="V2300" s="7">
        <f>IF($C2300="","",R2300*U2300/100)</f>
        <v/>
      </c>
      <c r="W2300" s="7">
        <f>IF($C2300="","",R2300-V2300)</f>
        <v/>
      </c>
      <c r="X2300" s="7">
        <f>IF($C2300="","",W2300-K2300)</f>
        <v/>
      </c>
      <c r="AB2300" s="7" t="n"/>
      <c r="AE2300" s="11" t="n"/>
      <c r="AG2300">
        <f>IF($C2300="","",IF(COUNTIF($C$2:$C2300,$C2300)=1,1,0))</f>
        <v/>
      </c>
      <c r="AH2300">
        <f>IF($AG2300=1,SUMPRODUCT(--($AK$2:$AK$6001&lt;$AK2300))+1,"")</f>
        <v/>
      </c>
      <c r="AI2300">
        <f>IF($C2300="","",IF(OR($N2300=TRUE(),$N2300="TRUE"),1,0))</f>
        <v/>
      </c>
      <c r="AJ2300">
        <f>IF($C2300="","",IF($T2300="Yes",1,0))</f>
        <v/>
      </c>
      <c r="AK2300">
        <f>IF($AG2300=1,IFERROR(IF(VALUE($C2300)&lt;100000000,VALUE($C2300),1000000000),IFERROR(IF(VALUE(MID($C2300,2,20))&lt;100000000,VALUE(MID($C2300,2,20)),1000000000),1000000000))+ROW()/100000,"")</f>
        <v/>
      </c>
    </row>
    <row r="2301">
      <c r="D2301" s="11" t="n"/>
      <c r="K2301" s="7">
        <f>IF($C2301="","",J2301*W2301/100)</f>
        <v/>
      </c>
      <c r="Q2301" s="7" t="n"/>
      <c r="R2301" s="7" t="n"/>
      <c r="U2301">
        <f>IF($C2301="","",IF($AJ2301=1,0,IF($AI2301=1,Settings!$C$6,Settings!$C$7))*100)</f>
        <v/>
      </c>
      <c r="V2301" s="7">
        <f>IF($C2301="","",R2301*U2301/100)</f>
        <v/>
      </c>
      <c r="W2301" s="7">
        <f>IF($C2301="","",R2301-V2301)</f>
        <v/>
      </c>
      <c r="X2301" s="7">
        <f>IF($C2301="","",W2301-K2301)</f>
        <v/>
      </c>
      <c r="AB2301" s="7" t="n"/>
      <c r="AE2301" s="11" t="n"/>
      <c r="AG2301">
        <f>IF($C2301="","",IF(COUNTIF($C$2:$C2301,$C2301)=1,1,0))</f>
        <v/>
      </c>
      <c r="AH2301">
        <f>IF($AG2301=1,SUMPRODUCT(--($AK$2:$AK$6001&lt;$AK2301))+1,"")</f>
        <v/>
      </c>
      <c r="AI2301">
        <f>IF($C2301="","",IF(OR($N2301=TRUE(),$N2301="TRUE"),1,0))</f>
        <v/>
      </c>
      <c r="AJ2301">
        <f>IF($C2301="","",IF($T2301="Yes",1,0))</f>
        <v/>
      </c>
      <c r="AK2301">
        <f>IF($AG2301=1,IFERROR(IF(VALUE($C2301)&lt;100000000,VALUE($C2301),1000000000),IFERROR(IF(VALUE(MID($C2301,2,20))&lt;100000000,VALUE(MID($C2301,2,20)),1000000000),1000000000))+ROW()/100000,"")</f>
        <v/>
      </c>
    </row>
    <row r="2302">
      <c r="D2302" s="11" t="n"/>
      <c r="K2302" s="7">
        <f>IF($C2302="","",J2302*W2302/100)</f>
        <v/>
      </c>
      <c r="Q2302" s="7" t="n"/>
      <c r="R2302" s="7" t="n"/>
      <c r="U2302">
        <f>IF($C2302="","",IF($AJ2302=1,0,IF($AI2302=1,Settings!$C$6,Settings!$C$7))*100)</f>
        <v/>
      </c>
      <c r="V2302" s="7">
        <f>IF($C2302="","",R2302*U2302/100)</f>
        <v/>
      </c>
      <c r="W2302" s="7">
        <f>IF($C2302="","",R2302-V2302)</f>
        <v/>
      </c>
      <c r="X2302" s="7">
        <f>IF($C2302="","",W2302-K2302)</f>
        <v/>
      </c>
      <c r="AB2302" s="7" t="n"/>
      <c r="AE2302" s="11" t="n"/>
      <c r="AG2302">
        <f>IF($C2302="","",IF(COUNTIF($C$2:$C2302,$C2302)=1,1,0))</f>
        <v/>
      </c>
      <c r="AH2302">
        <f>IF($AG2302=1,SUMPRODUCT(--($AK$2:$AK$6001&lt;$AK2302))+1,"")</f>
        <v/>
      </c>
      <c r="AI2302">
        <f>IF($C2302="","",IF(OR($N2302=TRUE(),$N2302="TRUE"),1,0))</f>
        <v/>
      </c>
      <c r="AJ2302">
        <f>IF($C2302="","",IF($T2302="Yes",1,0))</f>
        <v/>
      </c>
      <c r="AK2302">
        <f>IF($AG2302=1,IFERROR(IF(VALUE($C2302)&lt;100000000,VALUE($C2302),1000000000),IFERROR(IF(VALUE(MID($C2302,2,20))&lt;100000000,VALUE(MID($C2302,2,20)),1000000000),1000000000))+ROW()/100000,"")</f>
        <v/>
      </c>
    </row>
    <row r="2303">
      <c r="D2303" s="11" t="n"/>
      <c r="K2303" s="7">
        <f>IF($C2303="","",J2303*W2303/100)</f>
        <v/>
      </c>
      <c r="Q2303" s="7" t="n"/>
      <c r="R2303" s="7" t="n"/>
      <c r="U2303">
        <f>IF($C2303="","",IF($AJ2303=1,0,IF($AI2303=1,Settings!$C$6,Settings!$C$7))*100)</f>
        <v/>
      </c>
      <c r="V2303" s="7">
        <f>IF($C2303="","",R2303*U2303/100)</f>
        <v/>
      </c>
      <c r="W2303" s="7">
        <f>IF($C2303="","",R2303-V2303)</f>
        <v/>
      </c>
      <c r="X2303" s="7">
        <f>IF($C2303="","",W2303-K2303)</f>
        <v/>
      </c>
      <c r="AB2303" s="7" t="n"/>
      <c r="AE2303" s="11" t="n"/>
      <c r="AG2303">
        <f>IF($C2303="","",IF(COUNTIF($C$2:$C2303,$C2303)=1,1,0))</f>
        <v/>
      </c>
      <c r="AH2303">
        <f>IF($AG2303=1,SUMPRODUCT(--($AK$2:$AK$6001&lt;$AK2303))+1,"")</f>
        <v/>
      </c>
      <c r="AI2303">
        <f>IF($C2303="","",IF(OR($N2303=TRUE(),$N2303="TRUE"),1,0))</f>
        <v/>
      </c>
      <c r="AJ2303">
        <f>IF($C2303="","",IF($T2303="Yes",1,0))</f>
        <v/>
      </c>
      <c r="AK2303">
        <f>IF($AG2303=1,IFERROR(IF(VALUE($C2303)&lt;100000000,VALUE($C2303),1000000000),IFERROR(IF(VALUE(MID($C2303,2,20))&lt;100000000,VALUE(MID($C2303,2,20)),1000000000),1000000000))+ROW()/100000,"")</f>
        <v/>
      </c>
    </row>
    <row r="2304">
      <c r="D2304" s="11" t="n"/>
      <c r="K2304" s="7">
        <f>IF($C2304="","",J2304*W2304/100)</f>
        <v/>
      </c>
      <c r="Q2304" s="7" t="n"/>
      <c r="R2304" s="7" t="n"/>
      <c r="U2304">
        <f>IF($C2304="","",IF($AJ2304=1,0,IF($AI2304=1,Settings!$C$6,Settings!$C$7))*100)</f>
        <v/>
      </c>
      <c r="V2304" s="7">
        <f>IF($C2304="","",R2304*U2304/100)</f>
        <v/>
      </c>
      <c r="W2304" s="7">
        <f>IF($C2304="","",R2304-V2304)</f>
        <v/>
      </c>
      <c r="X2304" s="7">
        <f>IF($C2304="","",W2304-K2304)</f>
        <v/>
      </c>
      <c r="AB2304" s="7" t="n"/>
      <c r="AE2304" s="11" t="n"/>
      <c r="AG2304">
        <f>IF($C2304="","",IF(COUNTIF($C$2:$C2304,$C2304)=1,1,0))</f>
        <v/>
      </c>
      <c r="AH2304">
        <f>IF($AG2304=1,SUMPRODUCT(--($AK$2:$AK$6001&lt;$AK2304))+1,"")</f>
        <v/>
      </c>
      <c r="AI2304">
        <f>IF($C2304="","",IF(OR($N2304=TRUE(),$N2304="TRUE"),1,0))</f>
        <v/>
      </c>
      <c r="AJ2304">
        <f>IF($C2304="","",IF($T2304="Yes",1,0))</f>
        <v/>
      </c>
      <c r="AK2304">
        <f>IF($AG2304=1,IFERROR(IF(VALUE($C2304)&lt;100000000,VALUE($C2304),1000000000),IFERROR(IF(VALUE(MID($C2304,2,20))&lt;100000000,VALUE(MID($C2304,2,20)),1000000000),1000000000))+ROW()/100000,"")</f>
        <v/>
      </c>
    </row>
    <row r="2305">
      <c r="D2305" s="11" t="n"/>
      <c r="K2305" s="7">
        <f>IF($C2305="","",J2305*W2305/100)</f>
        <v/>
      </c>
      <c r="Q2305" s="7" t="n"/>
      <c r="R2305" s="7" t="n"/>
      <c r="U2305">
        <f>IF($C2305="","",IF($AJ2305=1,0,IF($AI2305=1,Settings!$C$6,Settings!$C$7))*100)</f>
        <v/>
      </c>
      <c r="V2305" s="7">
        <f>IF($C2305="","",R2305*U2305/100)</f>
        <v/>
      </c>
      <c r="W2305" s="7">
        <f>IF($C2305="","",R2305-V2305)</f>
        <v/>
      </c>
      <c r="X2305" s="7">
        <f>IF($C2305="","",W2305-K2305)</f>
        <v/>
      </c>
      <c r="AB2305" s="7" t="n"/>
      <c r="AE2305" s="11" t="n"/>
      <c r="AG2305">
        <f>IF($C2305="","",IF(COUNTIF($C$2:$C2305,$C2305)=1,1,0))</f>
        <v/>
      </c>
      <c r="AH2305">
        <f>IF($AG2305=1,SUMPRODUCT(--($AK$2:$AK$6001&lt;$AK2305))+1,"")</f>
        <v/>
      </c>
      <c r="AI2305">
        <f>IF($C2305="","",IF(OR($N2305=TRUE(),$N2305="TRUE"),1,0))</f>
        <v/>
      </c>
      <c r="AJ2305">
        <f>IF($C2305="","",IF($T2305="Yes",1,0))</f>
        <v/>
      </c>
      <c r="AK2305">
        <f>IF($AG2305=1,IFERROR(IF(VALUE($C2305)&lt;100000000,VALUE($C2305),1000000000),IFERROR(IF(VALUE(MID($C2305,2,20))&lt;100000000,VALUE(MID($C2305,2,20)),1000000000),1000000000))+ROW()/100000,"")</f>
        <v/>
      </c>
    </row>
    <row r="2306">
      <c r="D2306" s="11" t="n"/>
      <c r="K2306" s="7">
        <f>IF($C2306="","",J2306*W2306/100)</f>
        <v/>
      </c>
      <c r="Q2306" s="7" t="n"/>
      <c r="R2306" s="7" t="n"/>
      <c r="U2306">
        <f>IF($C2306="","",IF($AJ2306=1,0,IF($AI2306=1,Settings!$C$6,Settings!$C$7))*100)</f>
        <v/>
      </c>
      <c r="V2306" s="7">
        <f>IF($C2306="","",R2306*U2306/100)</f>
        <v/>
      </c>
      <c r="W2306" s="7">
        <f>IF($C2306="","",R2306-V2306)</f>
        <v/>
      </c>
      <c r="X2306" s="7">
        <f>IF($C2306="","",W2306-K2306)</f>
        <v/>
      </c>
      <c r="AB2306" s="7" t="n"/>
      <c r="AE2306" s="11" t="n"/>
      <c r="AG2306">
        <f>IF($C2306="","",IF(COUNTIF($C$2:$C2306,$C2306)=1,1,0))</f>
        <v/>
      </c>
      <c r="AH2306">
        <f>IF($AG2306=1,SUMPRODUCT(--($AK$2:$AK$6001&lt;$AK2306))+1,"")</f>
        <v/>
      </c>
      <c r="AI2306">
        <f>IF($C2306="","",IF(OR($N2306=TRUE(),$N2306="TRUE"),1,0))</f>
        <v/>
      </c>
      <c r="AJ2306">
        <f>IF($C2306="","",IF($T2306="Yes",1,0))</f>
        <v/>
      </c>
      <c r="AK2306">
        <f>IF($AG2306=1,IFERROR(IF(VALUE($C2306)&lt;100000000,VALUE($C2306),1000000000),IFERROR(IF(VALUE(MID($C2306,2,20))&lt;100000000,VALUE(MID($C2306,2,20)),1000000000),1000000000))+ROW()/100000,"")</f>
        <v/>
      </c>
    </row>
    <row r="2307">
      <c r="D2307" s="11" t="n"/>
      <c r="K2307" s="7">
        <f>IF($C2307="","",J2307*W2307/100)</f>
        <v/>
      </c>
      <c r="Q2307" s="7" t="n"/>
      <c r="R2307" s="7" t="n"/>
      <c r="U2307">
        <f>IF($C2307="","",IF($AJ2307=1,0,IF($AI2307=1,Settings!$C$6,Settings!$C$7))*100)</f>
        <v/>
      </c>
      <c r="V2307" s="7">
        <f>IF($C2307="","",R2307*U2307/100)</f>
        <v/>
      </c>
      <c r="W2307" s="7">
        <f>IF($C2307="","",R2307-V2307)</f>
        <v/>
      </c>
      <c r="X2307" s="7">
        <f>IF($C2307="","",W2307-K2307)</f>
        <v/>
      </c>
      <c r="AB2307" s="7" t="n"/>
      <c r="AE2307" s="11" t="n"/>
      <c r="AG2307">
        <f>IF($C2307="","",IF(COUNTIF($C$2:$C2307,$C2307)=1,1,0))</f>
        <v/>
      </c>
      <c r="AH2307">
        <f>IF($AG2307=1,SUMPRODUCT(--($AK$2:$AK$6001&lt;$AK2307))+1,"")</f>
        <v/>
      </c>
      <c r="AI2307">
        <f>IF($C2307="","",IF(OR($N2307=TRUE(),$N2307="TRUE"),1,0))</f>
        <v/>
      </c>
      <c r="AJ2307">
        <f>IF($C2307="","",IF($T2307="Yes",1,0))</f>
        <v/>
      </c>
      <c r="AK2307">
        <f>IF($AG2307=1,IFERROR(IF(VALUE($C2307)&lt;100000000,VALUE($C2307),1000000000),IFERROR(IF(VALUE(MID($C2307,2,20))&lt;100000000,VALUE(MID($C2307,2,20)),1000000000),1000000000))+ROW()/100000,"")</f>
        <v/>
      </c>
    </row>
    <row r="2308">
      <c r="D2308" s="11" t="n"/>
      <c r="K2308" s="7">
        <f>IF($C2308="","",J2308*W2308/100)</f>
        <v/>
      </c>
      <c r="Q2308" s="7" t="n"/>
      <c r="R2308" s="7" t="n"/>
      <c r="U2308">
        <f>IF($C2308="","",IF($AJ2308=1,0,IF($AI2308=1,Settings!$C$6,Settings!$C$7))*100)</f>
        <v/>
      </c>
      <c r="V2308" s="7">
        <f>IF($C2308="","",R2308*U2308/100)</f>
        <v/>
      </c>
      <c r="W2308" s="7">
        <f>IF($C2308="","",R2308-V2308)</f>
        <v/>
      </c>
      <c r="X2308" s="7">
        <f>IF($C2308="","",W2308-K2308)</f>
        <v/>
      </c>
      <c r="AB2308" s="7" t="n"/>
      <c r="AE2308" s="11" t="n"/>
      <c r="AG2308">
        <f>IF($C2308="","",IF(COUNTIF($C$2:$C2308,$C2308)=1,1,0))</f>
        <v/>
      </c>
      <c r="AH2308">
        <f>IF($AG2308=1,SUMPRODUCT(--($AK$2:$AK$6001&lt;$AK2308))+1,"")</f>
        <v/>
      </c>
      <c r="AI2308">
        <f>IF($C2308="","",IF(OR($N2308=TRUE(),$N2308="TRUE"),1,0))</f>
        <v/>
      </c>
      <c r="AJ2308">
        <f>IF($C2308="","",IF($T2308="Yes",1,0))</f>
        <v/>
      </c>
      <c r="AK2308">
        <f>IF($AG2308=1,IFERROR(IF(VALUE($C2308)&lt;100000000,VALUE($C2308),1000000000),IFERROR(IF(VALUE(MID($C2308,2,20))&lt;100000000,VALUE(MID($C2308,2,20)),1000000000),1000000000))+ROW()/100000,"")</f>
        <v/>
      </c>
    </row>
    <row r="2309">
      <c r="D2309" s="11" t="n"/>
      <c r="K2309" s="7">
        <f>IF($C2309="","",J2309*W2309/100)</f>
        <v/>
      </c>
      <c r="Q2309" s="7" t="n"/>
      <c r="R2309" s="7" t="n"/>
      <c r="U2309">
        <f>IF($C2309="","",IF($AJ2309=1,0,IF($AI2309=1,Settings!$C$6,Settings!$C$7))*100)</f>
        <v/>
      </c>
      <c r="V2309" s="7">
        <f>IF($C2309="","",R2309*U2309/100)</f>
        <v/>
      </c>
      <c r="W2309" s="7">
        <f>IF($C2309="","",R2309-V2309)</f>
        <v/>
      </c>
      <c r="X2309" s="7">
        <f>IF($C2309="","",W2309-K2309)</f>
        <v/>
      </c>
      <c r="AB2309" s="7" t="n"/>
      <c r="AE2309" s="11" t="n"/>
      <c r="AG2309">
        <f>IF($C2309="","",IF(COUNTIF($C$2:$C2309,$C2309)=1,1,0))</f>
        <v/>
      </c>
      <c r="AH2309">
        <f>IF($AG2309=1,SUMPRODUCT(--($AK$2:$AK$6001&lt;$AK2309))+1,"")</f>
        <v/>
      </c>
      <c r="AI2309">
        <f>IF($C2309="","",IF(OR($N2309=TRUE(),$N2309="TRUE"),1,0))</f>
        <v/>
      </c>
      <c r="AJ2309">
        <f>IF($C2309="","",IF($T2309="Yes",1,0))</f>
        <v/>
      </c>
      <c r="AK2309">
        <f>IF($AG2309=1,IFERROR(IF(VALUE($C2309)&lt;100000000,VALUE($C2309),1000000000),IFERROR(IF(VALUE(MID($C2309,2,20))&lt;100000000,VALUE(MID($C2309,2,20)),1000000000),1000000000))+ROW()/100000,"")</f>
        <v/>
      </c>
    </row>
    <row r="2310">
      <c r="D2310" s="11" t="n"/>
      <c r="K2310" s="7">
        <f>IF($C2310="","",J2310*W2310/100)</f>
        <v/>
      </c>
      <c r="Q2310" s="7" t="n"/>
      <c r="R2310" s="7" t="n"/>
      <c r="U2310">
        <f>IF($C2310="","",IF($AJ2310=1,0,IF($AI2310=1,Settings!$C$6,Settings!$C$7))*100)</f>
        <v/>
      </c>
      <c r="V2310" s="7">
        <f>IF($C2310="","",R2310*U2310/100)</f>
        <v/>
      </c>
      <c r="W2310" s="7">
        <f>IF($C2310="","",R2310-V2310)</f>
        <v/>
      </c>
      <c r="X2310" s="7">
        <f>IF($C2310="","",W2310-K2310)</f>
        <v/>
      </c>
      <c r="AB2310" s="7" t="n"/>
      <c r="AE2310" s="11" t="n"/>
      <c r="AG2310">
        <f>IF($C2310="","",IF(COUNTIF($C$2:$C2310,$C2310)=1,1,0))</f>
        <v/>
      </c>
      <c r="AH2310">
        <f>IF($AG2310=1,SUMPRODUCT(--($AK$2:$AK$6001&lt;$AK2310))+1,"")</f>
        <v/>
      </c>
      <c r="AI2310">
        <f>IF($C2310="","",IF(OR($N2310=TRUE(),$N2310="TRUE"),1,0))</f>
        <v/>
      </c>
      <c r="AJ2310">
        <f>IF($C2310="","",IF($T2310="Yes",1,0))</f>
        <v/>
      </c>
      <c r="AK2310">
        <f>IF($AG2310=1,IFERROR(IF(VALUE($C2310)&lt;100000000,VALUE($C2310),1000000000),IFERROR(IF(VALUE(MID($C2310,2,20))&lt;100000000,VALUE(MID($C2310,2,20)),1000000000),1000000000))+ROW()/100000,"")</f>
        <v/>
      </c>
    </row>
    <row r="2311">
      <c r="D2311" s="11" t="n"/>
      <c r="K2311" s="7">
        <f>IF($C2311="","",J2311*W2311/100)</f>
        <v/>
      </c>
      <c r="Q2311" s="7" t="n"/>
      <c r="R2311" s="7" t="n"/>
      <c r="U2311">
        <f>IF($C2311="","",IF($AJ2311=1,0,IF($AI2311=1,Settings!$C$6,Settings!$C$7))*100)</f>
        <v/>
      </c>
      <c r="V2311" s="7">
        <f>IF($C2311="","",R2311*U2311/100)</f>
        <v/>
      </c>
      <c r="W2311" s="7">
        <f>IF($C2311="","",R2311-V2311)</f>
        <v/>
      </c>
      <c r="X2311" s="7">
        <f>IF($C2311="","",W2311-K2311)</f>
        <v/>
      </c>
      <c r="AB2311" s="7" t="n"/>
      <c r="AE2311" s="11" t="n"/>
      <c r="AG2311">
        <f>IF($C2311="","",IF(COUNTIF($C$2:$C2311,$C2311)=1,1,0))</f>
        <v/>
      </c>
      <c r="AH2311">
        <f>IF($AG2311=1,SUMPRODUCT(--($AK$2:$AK$6001&lt;$AK2311))+1,"")</f>
        <v/>
      </c>
      <c r="AI2311">
        <f>IF($C2311="","",IF(OR($N2311=TRUE(),$N2311="TRUE"),1,0))</f>
        <v/>
      </c>
      <c r="AJ2311">
        <f>IF($C2311="","",IF($T2311="Yes",1,0))</f>
        <v/>
      </c>
      <c r="AK2311">
        <f>IF($AG2311=1,IFERROR(IF(VALUE($C2311)&lt;100000000,VALUE($C2311),1000000000),IFERROR(IF(VALUE(MID($C2311,2,20))&lt;100000000,VALUE(MID($C2311,2,20)),1000000000),1000000000))+ROW()/100000,"")</f>
        <v/>
      </c>
    </row>
    <row r="2312">
      <c r="D2312" s="11" t="n"/>
      <c r="K2312" s="7">
        <f>IF($C2312="","",J2312*W2312/100)</f>
        <v/>
      </c>
      <c r="Q2312" s="7" t="n"/>
      <c r="R2312" s="7" t="n"/>
      <c r="U2312">
        <f>IF($C2312="","",IF($AJ2312=1,0,IF($AI2312=1,Settings!$C$6,Settings!$C$7))*100)</f>
        <v/>
      </c>
      <c r="V2312" s="7">
        <f>IF($C2312="","",R2312*U2312/100)</f>
        <v/>
      </c>
      <c r="W2312" s="7">
        <f>IF($C2312="","",R2312-V2312)</f>
        <v/>
      </c>
      <c r="X2312" s="7">
        <f>IF($C2312="","",W2312-K2312)</f>
        <v/>
      </c>
      <c r="AB2312" s="7" t="n"/>
      <c r="AE2312" s="11" t="n"/>
      <c r="AG2312">
        <f>IF($C2312="","",IF(COUNTIF($C$2:$C2312,$C2312)=1,1,0))</f>
        <v/>
      </c>
      <c r="AH2312">
        <f>IF($AG2312=1,SUMPRODUCT(--($AK$2:$AK$6001&lt;$AK2312))+1,"")</f>
        <v/>
      </c>
      <c r="AI2312">
        <f>IF($C2312="","",IF(OR($N2312=TRUE(),$N2312="TRUE"),1,0))</f>
        <v/>
      </c>
      <c r="AJ2312">
        <f>IF($C2312="","",IF($T2312="Yes",1,0))</f>
        <v/>
      </c>
      <c r="AK2312">
        <f>IF($AG2312=1,IFERROR(IF(VALUE($C2312)&lt;100000000,VALUE($C2312),1000000000),IFERROR(IF(VALUE(MID($C2312,2,20))&lt;100000000,VALUE(MID($C2312,2,20)),1000000000),1000000000))+ROW()/100000,"")</f>
        <v/>
      </c>
    </row>
    <row r="2313">
      <c r="D2313" s="11" t="n"/>
      <c r="K2313" s="7">
        <f>IF($C2313="","",J2313*W2313/100)</f>
        <v/>
      </c>
      <c r="Q2313" s="7" t="n"/>
      <c r="R2313" s="7" t="n"/>
      <c r="U2313">
        <f>IF($C2313="","",IF($AJ2313=1,0,IF($AI2313=1,Settings!$C$6,Settings!$C$7))*100)</f>
        <v/>
      </c>
      <c r="V2313" s="7">
        <f>IF($C2313="","",R2313*U2313/100)</f>
        <v/>
      </c>
      <c r="W2313" s="7">
        <f>IF($C2313="","",R2313-V2313)</f>
        <v/>
      </c>
      <c r="X2313" s="7">
        <f>IF($C2313="","",W2313-K2313)</f>
        <v/>
      </c>
      <c r="AB2313" s="7" t="n"/>
      <c r="AE2313" s="11" t="n"/>
      <c r="AG2313">
        <f>IF($C2313="","",IF(COUNTIF($C$2:$C2313,$C2313)=1,1,0))</f>
        <v/>
      </c>
      <c r="AH2313">
        <f>IF($AG2313=1,SUMPRODUCT(--($AK$2:$AK$6001&lt;$AK2313))+1,"")</f>
        <v/>
      </c>
      <c r="AI2313">
        <f>IF($C2313="","",IF(OR($N2313=TRUE(),$N2313="TRUE"),1,0))</f>
        <v/>
      </c>
      <c r="AJ2313">
        <f>IF($C2313="","",IF($T2313="Yes",1,0))</f>
        <v/>
      </c>
      <c r="AK2313">
        <f>IF($AG2313=1,IFERROR(IF(VALUE($C2313)&lt;100000000,VALUE($C2313),1000000000),IFERROR(IF(VALUE(MID($C2313,2,20))&lt;100000000,VALUE(MID($C2313,2,20)),1000000000),1000000000))+ROW()/100000,"")</f>
        <v/>
      </c>
    </row>
    <row r="2314">
      <c r="D2314" s="11" t="n"/>
      <c r="K2314" s="7">
        <f>IF($C2314="","",J2314*W2314/100)</f>
        <v/>
      </c>
      <c r="Q2314" s="7" t="n"/>
      <c r="R2314" s="7" t="n"/>
      <c r="U2314">
        <f>IF($C2314="","",IF($AJ2314=1,0,IF($AI2314=1,Settings!$C$6,Settings!$C$7))*100)</f>
        <v/>
      </c>
      <c r="V2314" s="7">
        <f>IF($C2314="","",R2314*U2314/100)</f>
        <v/>
      </c>
      <c r="W2314" s="7">
        <f>IF($C2314="","",R2314-V2314)</f>
        <v/>
      </c>
      <c r="X2314" s="7">
        <f>IF($C2314="","",W2314-K2314)</f>
        <v/>
      </c>
      <c r="AB2314" s="7" t="n"/>
      <c r="AE2314" s="11" t="n"/>
      <c r="AG2314">
        <f>IF($C2314="","",IF(COUNTIF($C$2:$C2314,$C2314)=1,1,0))</f>
        <v/>
      </c>
      <c r="AH2314">
        <f>IF($AG2314=1,SUMPRODUCT(--($AK$2:$AK$6001&lt;$AK2314))+1,"")</f>
        <v/>
      </c>
      <c r="AI2314">
        <f>IF($C2314="","",IF(OR($N2314=TRUE(),$N2314="TRUE"),1,0))</f>
        <v/>
      </c>
      <c r="AJ2314">
        <f>IF($C2314="","",IF($T2314="Yes",1,0))</f>
        <v/>
      </c>
      <c r="AK2314">
        <f>IF($AG2314=1,IFERROR(IF(VALUE($C2314)&lt;100000000,VALUE($C2314),1000000000),IFERROR(IF(VALUE(MID($C2314,2,20))&lt;100000000,VALUE(MID($C2314,2,20)),1000000000),1000000000))+ROW()/100000,"")</f>
        <v/>
      </c>
    </row>
    <row r="2315">
      <c r="D2315" s="11" t="n"/>
      <c r="K2315" s="7">
        <f>IF($C2315="","",J2315*W2315/100)</f>
        <v/>
      </c>
      <c r="Q2315" s="7" t="n"/>
      <c r="R2315" s="7" t="n"/>
      <c r="U2315">
        <f>IF($C2315="","",IF($AJ2315=1,0,IF($AI2315=1,Settings!$C$6,Settings!$C$7))*100)</f>
        <v/>
      </c>
      <c r="V2315" s="7">
        <f>IF($C2315="","",R2315*U2315/100)</f>
        <v/>
      </c>
      <c r="W2315" s="7">
        <f>IF($C2315="","",R2315-V2315)</f>
        <v/>
      </c>
      <c r="X2315" s="7">
        <f>IF($C2315="","",W2315-K2315)</f>
        <v/>
      </c>
      <c r="AB2315" s="7" t="n"/>
      <c r="AE2315" s="11" t="n"/>
      <c r="AG2315">
        <f>IF($C2315="","",IF(COUNTIF($C$2:$C2315,$C2315)=1,1,0))</f>
        <v/>
      </c>
      <c r="AH2315">
        <f>IF($AG2315=1,SUMPRODUCT(--($AK$2:$AK$6001&lt;$AK2315))+1,"")</f>
        <v/>
      </c>
      <c r="AI2315">
        <f>IF($C2315="","",IF(OR($N2315=TRUE(),$N2315="TRUE"),1,0))</f>
        <v/>
      </c>
      <c r="AJ2315">
        <f>IF($C2315="","",IF($T2315="Yes",1,0))</f>
        <v/>
      </c>
      <c r="AK2315">
        <f>IF($AG2315=1,IFERROR(IF(VALUE($C2315)&lt;100000000,VALUE($C2315),1000000000),IFERROR(IF(VALUE(MID($C2315,2,20))&lt;100000000,VALUE(MID($C2315,2,20)),1000000000),1000000000))+ROW()/100000,"")</f>
        <v/>
      </c>
    </row>
    <row r="2316">
      <c r="D2316" s="11" t="n"/>
      <c r="K2316" s="7">
        <f>IF($C2316="","",J2316*W2316/100)</f>
        <v/>
      </c>
      <c r="Q2316" s="7" t="n"/>
      <c r="R2316" s="7" t="n"/>
      <c r="U2316">
        <f>IF($C2316="","",IF($AJ2316=1,0,IF($AI2316=1,Settings!$C$6,Settings!$C$7))*100)</f>
        <v/>
      </c>
      <c r="V2316" s="7">
        <f>IF($C2316="","",R2316*U2316/100)</f>
        <v/>
      </c>
      <c r="W2316" s="7">
        <f>IF($C2316="","",R2316-V2316)</f>
        <v/>
      </c>
      <c r="X2316" s="7">
        <f>IF($C2316="","",W2316-K2316)</f>
        <v/>
      </c>
      <c r="AB2316" s="7" t="n"/>
      <c r="AE2316" s="11" t="n"/>
      <c r="AG2316">
        <f>IF($C2316="","",IF(COUNTIF($C$2:$C2316,$C2316)=1,1,0))</f>
        <v/>
      </c>
      <c r="AH2316">
        <f>IF($AG2316=1,SUMPRODUCT(--($AK$2:$AK$6001&lt;$AK2316))+1,"")</f>
        <v/>
      </c>
      <c r="AI2316">
        <f>IF($C2316="","",IF(OR($N2316=TRUE(),$N2316="TRUE"),1,0))</f>
        <v/>
      </c>
      <c r="AJ2316">
        <f>IF($C2316="","",IF($T2316="Yes",1,0))</f>
        <v/>
      </c>
      <c r="AK2316">
        <f>IF($AG2316=1,IFERROR(IF(VALUE($C2316)&lt;100000000,VALUE($C2316),1000000000),IFERROR(IF(VALUE(MID($C2316,2,20))&lt;100000000,VALUE(MID($C2316,2,20)),1000000000),1000000000))+ROW()/100000,"")</f>
        <v/>
      </c>
    </row>
    <row r="2317">
      <c r="D2317" s="11" t="n"/>
      <c r="K2317" s="7">
        <f>IF($C2317="","",J2317*W2317/100)</f>
        <v/>
      </c>
      <c r="Q2317" s="7" t="n"/>
      <c r="R2317" s="7" t="n"/>
      <c r="U2317">
        <f>IF($C2317="","",IF($AJ2317=1,0,IF($AI2317=1,Settings!$C$6,Settings!$C$7))*100)</f>
        <v/>
      </c>
      <c r="V2317" s="7">
        <f>IF($C2317="","",R2317*U2317/100)</f>
        <v/>
      </c>
      <c r="W2317" s="7">
        <f>IF($C2317="","",R2317-V2317)</f>
        <v/>
      </c>
      <c r="X2317" s="7">
        <f>IF($C2317="","",W2317-K2317)</f>
        <v/>
      </c>
      <c r="AB2317" s="7" t="n"/>
      <c r="AE2317" s="11" t="n"/>
      <c r="AG2317">
        <f>IF($C2317="","",IF(COUNTIF($C$2:$C2317,$C2317)=1,1,0))</f>
        <v/>
      </c>
      <c r="AH2317">
        <f>IF($AG2317=1,SUMPRODUCT(--($AK$2:$AK$6001&lt;$AK2317))+1,"")</f>
        <v/>
      </c>
      <c r="AI2317">
        <f>IF($C2317="","",IF(OR($N2317=TRUE(),$N2317="TRUE"),1,0))</f>
        <v/>
      </c>
      <c r="AJ2317">
        <f>IF($C2317="","",IF($T2317="Yes",1,0))</f>
        <v/>
      </c>
      <c r="AK2317">
        <f>IF($AG2317=1,IFERROR(IF(VALUE($C2317)&lt;100000000,VALUE($C2317),1000000000),IFERROR(IF(VALUE(MID($C2317,2,20))&lt;100000000,VALUE(MID($C2317,2,20)),1000000000),1000000000))+ROW()/100000,"")</f>
        <v/>
      </c>
    </row>
    <row r="2318">
      <c r="D2318" s="11" t="n"/>
      <c r="K2318" s="7">
        <f>IF($C2318="","",J2318*W2318/100)</f>
        <v/>
      </c>
      <c r="Q2318" s="7" t="n"/>
      <c r="R2318" s="7" t="n"/>
      <c r="U2318">
        <f>IF($C2318="","",IF($AJ2318=1,0,IF($AI2318=1,Settings!$C$6,Settings!$C$7))*100)</f>
        <v/>
      </c>
      <c r="V2318" s="7">
        <f>IF($C2318="","",R2318*U2318/100)</f>
        <v/>
      </c>
      <c r="W2318" s="7">
        <f>IF($C2318="","",R2318-V2318)</f>
        <v/>
      </c>
      <c r="X2318" s="7">
        <f>IF($C2318="","",W2318-K2318)</f>
        <v/>
      </c>
      <c r="AB2318" s="7" t="n"/>
      <c r="AE2318" s="11" t="n"/>
      <c r="AG2318">
        <f>IF($C2318="","",IF(COUNTIF($C$2:$C2318,$C2318)=1,1,0))</f>
        <v/>
      </c>
      <c r="AH2318">
        <f>IF($AG2318=1,SUMPRODUCT(--($AK$2:$AK$6001&lt;$AK2318))+1,"")</f>
        <v/>
      </c>
      <c r="AI2318">
        <f>IF($C2318="","",IF(OR($N2318=TRUE(),$N2318="TRUE"),1,0))</f>
        <v/>
      </c>
      <c r="AJ2318">
        <f>IF($C2318="","",IF($T2318="Yes",1,0))</f>
        <v/>
      </c>
      <c r="AK2318">
        <f>IF($AG2318=1,IFERROR(IF(VALUE($C2318)&lt;100000000,VALUE($C2318),1000000000),IFERROR(IF(VALUE(MID($C2318,2,20))&lt;100000000,VALUE(MID($C2318,2,20)),1000000000),1000000000))+ROW()/100000,"")</f>
        <v/>
      </c>
    </row>
    <row r="2319">
      <c r="D2319" s="11" t="n"/>
      <c r="K2319" s="7">
        <f>IF($C2319="","",J2319*W2319/100)</f>
        <v/>
      </c>
      <c r="Q2319" s="7" t="n"/>
      <c r="R2319" s="7" t="n"/>
      <c r="U2319">
        <f>IF($C2319="","",IF($AJ2319=1,0,IF($AI2319=1,Settings!$C$6,Settings!$C$7))*100)</f>
        <v/>
      </c>
      <c r="V2319" s="7">
        <f>IF($C2319="","",R2319*U2319/100)</f>
        <v/>
      </c>
      <c r="W2319" s="7">
        <f>IF($C2319="","",R2319-V2319)</f>
        <v/>
      </c>
      <c r="X2319" s="7">
        <f>IF($C2319="","",W2319-K2319)</f>
        <v/>
      </c>
      <c r="AB2319" s="7" t="n"/>
      <c r="AE2319" s="11" t="n"/>
      <c r="AG2319">
        <f>IF($C2319="","",IF(COUNTIF($C$2:$C2319,$C2319)=1,1,0))</f>
        <v/>
      </c>
      <c r="AH2319">
        <f>IF($AG2319=1,SUMPRODUCT(--($AK$2:$AK$6001&lt;$AK2319))+1,"")</f>
        <v/>
      </c>
      <c r="AI2319">
        <f>IF($C2319="","",IF(OR($N2319=TRUE(),$N2319="TRUE"),1,0))</f>
        <v/>
      </c>
      <c r="AJ2319">
        <f>IF($C2319="","",IF($T2319="Yes",1,0))</f>
        <v/>
      </c>
      <c r="AK2319">
        <f>IF($AG2319=1,IFERROR(IF(VALUE($C2319)&lt;100000000,VALUE($C2319),1000000000),IFERROR(IF(VALUE(MID($C2319,2,20))&lt;100000000,VALUE(MID($C2319,2,20)),1000000000),1000000000))+ROW()/100000,"")</f>
        <v/>
      </c>
    </row>
    <row r="2320">
      <c r="D2320" s="11" t="n"/>
      <c r="K2320" s="7">
        <f>IF($C2320="","",J2320*W2320/100)</f>
        <v/>
      </c>
      <c r="Q2320" s="7" t="n"/>
      <c r="R2320" s="7" t="n"/>
      <c r="U2320">
        <f>IF($C2320="","",IF($AJ2320=1,0,IF($AI2320=1,Settings!$C$6,Settings!$C$7))*100)</f>
        <v/>
      </c>
      <c r="V2320" s="7">
        <f>IF($C2320="","",R2320*U2320/100)</f>
        <v/>
      </c>
      <c r="W2320" s="7">
        <f>IF($C2320="","",R2320-V2320)</f>
        <v/>
      </c>
      <c r="X2320" s="7">
        <f>IF($C2320="","",W2320-K2320)</f>
        <v/>
      </c>
      <c r="AB2320" s="7" t="n"/>
      <c r="AE2320" s="11" t="n"/>
      <c r="AG2320">
        <f>IF($C2320="","",IF(COUNTIF($C$2:$C2320,$C2320)=1,1,0))</f>
        <v/>
      </c>
      <c r="AH2320">
        <f>IF($AG2320=1,SUMPRODUCT(--($AK$2:$AK$6001&lt;$AK2320))+1,"")</f>
        <v/>
      </c>
      <c r="AI2320">
        <f>IF($C2320="","",IF(OR($N2320=TRUE(),$N2320="TRUE"),1,0))</f>
        <v/>
      </c>
      <c r="AJ2320">
        <f>IF($C2320="","",IF($T2320="Yes",1,0))</f>
        <v/>
      </c>
      <c r="AK2320">
        <f>IF($AG2320=1,IFERROR(IF(VALUE($C2320)&lt;100000000,VALUE($C2320),1000000000),IFERROR(IF(VALUE(MID($C2320,2,20))&lt;100000000,VALUE(MID($C2320,2,20)),1000000000),1000000000))+ROW()/100000,"")</f>
        <v/>
      </c>
    </row>
    <row r="2321">
      <c r="D2321" s="11" t="n"/>
      <c r="K2321" s="7">
        <f>IF($C2321="","",J2321*W2321/100)</f>
        <v/>
      </c>
      <c r="Q2321" s="7" t="n"/>
      <c r="R2321" s="7" t="n"/>
      <c r="U2321">
        <f>IF($C2321="","",IF($AJ2321=1,0,IF($AI2321=1,Settings!$C$6,Settings!$C$7))*100)</f>
        <v/>
      </c>
      <c r="V2321" s="7">
        <f>IF($C2321="","",R2321*U2321/100)</f>
        <v/>
      </c>
      <c r="W2321" s="7">
        <f>IF($C2321="","",R2321-V2321)</f>
        <v/>
      </c>
      <c r="X2321" s="7">
        <f>IF($C2321="","",W2321-K2321)</f>
        <v/>
      </c>
      <c r="AB2321" s="7" t="n"/>
      <c r="AE2321" s="11" t="n"/>
      <c r="AG2321">
        <f>IF($C2321="","",IF(COUNTIF($C$2:$C2321,$C2321)=1,1,0))</f>
        <v/>
      </c>
      <c r="AH2321">
        <f>IF($AG2321=1,SUMPRODUCT(--($AK$2:$AK$6001&lt;$AK2321))+1,"")</f>
        <v/>
      </c>
      <c r="AI2321">
        <f>IF($C2321="","",IF(OR($N2321=TRUE(),$N2321="TRUE"),1,0))</f>
        <v/>
      </c>
      <c r="AJ2321">
        <f>IF($C2321="","",IF($T2321="Yes",1,0))</f>
        <v/>
      </c>
      <c r="AK2321">
        <f>IF($AG2321=1,IFERROR(IF(VALUE($C2321)&lt;100000000,VALUE($C2321),1000000000),IFERROR(IF(VALUE(MID($C2321,2,20))&lt;100000000,VALUE(MID($C2321,2,20)),1000000000),1000000000))+ROW()/100000,"")</f>
        <v/>
      </c>
    </row>
    <row r="2322">
      <c r="D2322" s="11" t="n"/>
      <c r="K2322" s="7">
        <f>IF($C2322="","",J2322*W2322/100)</f>
        <v/>
      </c>
      <c r="Q2322" s="7" t="n"/>
      <c r="R2322" s="7" t="n"/>
      <c r="U2322">
        <f>IF($C2322="","",IF($AJ2322=1,0,IF($AI2322=1,Settings!$C$6,Settings!$C$7))*100)</f>
        <v/>
      </c>
      <c r="V2322" s="7">
        <f>IF($C2322="","",R2322*U2322/100)</f>
        <v/>
      </c>
      <c r="W2322" s="7">
        <f>IF($C2322="","",R2322-V2322)</f>
        <v/>
      </c>
      <c r="X2322" s="7">
        <f>IF($C2322="","",W2322-K2322)</f>
        <v/>
      </c>
      <c r="AB2322" s="7" t="n"/>
      <c r="AE2322" s="11" t="n"/>
      <c r="AG2322">
        <f>IF($C2322="","",IF(COUNTIF($C$2:$C2322,$C2322)=1,1,0))</f>
        <v/>
      </c>
      <c r="AH2322">
        <f>IF($AG2322=1,SUMPRODUCT(--($AK$2:$AK$6001&lt;$AK2322))+1,"")</f>
        <v/>
      </c>
      <c r="AI2322">
        <f>IF($C2322="","",IF(OR($N2322=TRUE(),$N2322="TRUE"),1,0))</f>
        <v/>
      </c>
      <c r="AJ2322">
        <f>IF($C2322="","",IF($T2322="Yes",1,0))</f>
        <v/>
      </c>
      <c r="AK2322">
        <f>IF($AG2322=1,IFERROR(IF(VALUE($C2322)&lt;100000000,VALUE($C2322),1000000000),IFERROR(IF(VALUE(MID($C2322,2,20))&lt;100000000,VALUE(MID($C2322,2,20)),1000000000),1000000000))+ROW()/100000,"")</f>
        <v/>
      </c>
    </row>
    <row r="2323">
      <c r="D2323" s="11" t="n"/>
      <c r="K2323" s="7">
        <f>IF($C2323="","",J2323*W2323/100)</f>
        <v/>
      </c>
      <c r="Q2323" s="7" t="n"/>
      <c r="R2323" s="7" t="n"/>
      <c r="U2323">
        <f>IF($C2323="","",IF($AJ2323=1,0,IF($AI2323=1,Settings!$C$6,Settings!$C$7))*100)</f>
        <v/>
      </c>
      <c r="V2323" s="7">
        <f>IF($C2323="","",R2323*U2323/100)</f>
        <v/>
      </c>
      <c r="W2323" s="7">
        <f>IF($C2323="","",R2323-V2323)</f>
        <v/>
      </c>
      <c r="X2323" s="7">
        <f>IF($C2323="","",W2323-K2323)</f>
        <v/>
      </c>
      <c r="AB2323" s="7" t="n"/>
      <c r="AE2323" s="11" t="n"/>
      <c r="AG2323">
        <f>IF($C2323="","",IF(COUNTIF($C$2:$C2323,$C2323)=1,1,0))</f>
        <v/>
      </c>
      <c r="AH2323">
        <f>IF($AG2323=1,SUMPRODUCT(--($AK$2:$AK$6001&lt;$AK2323))+1,"")</f>
        <v/>
      </c>
      <c r="AI2323">
        <f>IF($C2323="","",IF(OR($N2323=TRUE(),$N2323="TRUE"),1,0))</f>
        <v/>
      </c>
      <c r="AJ2323">
        <f>IF($C2323="","",IF($T2323="Yes",1,0))</f>
        <v/>
      </c>
      <c r="AK2323">
        <f>IF($AG2323=1,IFERROR(IF(VALUE($C2323)&lt;100000000,VALUE($C2323),1000000000),IFERROR(IF(VALUE(MID($C2323,2,20))&lt;100000000,VALUE(MID($C2323,2,20)),1000000000),1000000000))+ROW()/100000,"")</f>
        <v/>
      </c>
    </row>
    <row r="2324">
      <c r="D2324" s="11" t="n"/>
      <c r="K2324" s="7">
        <f>IF($C2324="","",J2324*W2324/100)</f>
        <v/>
      </c>
      <c r="Q2324" s="7" t="n"/>
      <c r="R2324" s="7" t="n"/>
      <c r="U2324">
        <f>IF($C2324="","",IF($AJ2324=1,0,IF($AI2324=1,Settings!$C$6,Settings!$C$7))*100)</f>
        <v/>
      </c>
      <c r="V2324" s="7">
        <f>IF($C2324="","",R2324*U2324/100)</f>
        <v/>
      </c>
      <c r="W2324" s="7">
        <f>IF($C2324="","",R2324-V2324)</f>
        <v/>
      </c>
      <c r="X2324" s="7">
        <f>IF($C2324="","",W2324-K2324)</f>
        <v/>
      </c>
      <c r="AB2324" s="7" t="n"/>
      <c r="AE2324" s="11" t="n"/>
      <c r="AG2324">
        <f>IF($C2324="","",IF(COUNTIF($C$2:$C2324,$C2324)=1,1,0))</f>
        <v/>
      </c>
      <c r="AH2324">
        <f>IF($AG2324=1,SUMPRODUCT(--($AK$2:$AK$6001&lt;$AK2324))+1,"")</f>
        <v/>
      </c>
      <c r="AI2324">
        <f>IF($C2324="","",IF(OR($N2324=TRUE(),$N2324="TRUE"),1,0))</f>
        <v/>
      </c>
      <c r="AJ2324">
        <f>IF($C2324="","",IF($T2324="Yes",1,0))</f>
        <v/>
      </c>
      <c r="AK2324">
        <f>IF($AG2324=1,IFERROR(IF(VALUE($C2324)&lt;100000000,VALUE($C2324),1000000000),IFERROR(IF(VALUE(MID($C2324,2,20))&lt;100000000,VALUE(MID($C2324,2,20)),1000000000),1000000000))+ROW()/100000,"")</f>
        <v/>
      </c>
    </row>
    <row r="2325">
      <c r="D2325" s="11" t="n"/>
      <c r="K2325" s="7">
        <f>IF($C2325="","",J2325*W2325/100)</f>
        <v/>
      </c>
      <c r="Q2325" s="7" t="n"/>
      <c r="R2325" s="7" t="n"/>
      <c r="U2325">
        <f>IF($C2325="","",IF($AJ2325=1,0,IF($AI2325=1,Settings!$C$6,Settings!$C$7))*100)</f>
        <v/>
      </c>
      <c r="V2325" s="7">
        <f>IF($C2325="","",R2325*U2325/100)</f>
        <v/>
      </c>
      <c r="W2325" s="7">
        <f>IF($C2325="","",R2325-V2325)</f>
        <v/>
      </c>
      <c r="X2325" s="7">
        <f>IF($C2325="","",W2325-K2325)</f>
        <v/>
      </c>
      <c r="AB2325" s="7" t="n"/>
      <c r="AE2325" s="11" t="n"/>
      <c r="AG2325">
        <f>IF($C2325="","",IF(COUNTIF($C$2:$C2325,$C2325)=1,1,0))</f>
        <v/>
      </c>
      <c r="AH2325">
        <f>IF($AG2325=1,SUMPRODUCT(--($AK$2:$AK$6001&lt;$AK2325))+1,"")</f>
        <v/>
      </c>
      <c r="AI2325">
        <f>IF($C2325="","",IF(OR($N2325=TRUE(),$N2325="TRUE"),1,0))</f>
        <v/>
      </c>
      <c r="AJ2325">
        <f>IF($C2325="","",IF($T2325="Yes",1,0))</f>
        <v/>
      </c>
      <c r="AK2325">
        <f>IF($AG2325=1,IFERROR(IF(VALUE($C2325)&lt;100000000,VALUE($C2325),1000000000),IFERROR(IF(VALUE(MID($C2325,2,20))&lt;100000000,VALUE(MID($C2325,2,20)),1000000000),1000000000))+ROW()/100000,"")</f>
        <v/>
      </c>
    </row>
    <row r="2326">
      <c r="D2326" s="11" t="n"/>
      <c r="K2326" s="7">
        <f>IF($C2326="","",J2326*W2326/100)</f>
        <v/>
      </c>
      <c r="Q2326" s="7" t="n"/>
      <c r="R2326" s="7" t="n"/>
      <c r="U2326">
        <f>IF($C2326="","",IF($AJ2326=1,0,IF($AI2326=1,Settings!$C$6,Settings!$C$7))*100)</f>
        <v/>
      </c>
      <c r="V2326" s="7">
        <f>IF($C2326="","",R2326*U2326/100)</f>
        <v/>
      </c>
      <c r="W2326" s="7">
        <f>IF($C2326="","",R2326-V2326)</f>
        <v/>
      </c>
      <c r="X2326" s="7">
        <f>IF($C2326="","",W2326-K2326)</f>
        <v/>
      </c>
      <c r="AB2326" s="7" t="n"/>
      <c r="AE2326" s="11" t="n"/>
      <c r="AG2326">
        <f>IF($C2326="","",IF(COUNTIF($C$2:$C2326,$C2326)=1,1,0))</f>
        <v/>
      </c>
      <c r="AH2326">
        <f>IF($AG2326=1,SUMPRODUCT(--($AK$2:$AK$6001&lt;$AK2326))+1,"")</f>
        <v/>
      </c>
      <c r="AI2326">
        <f>IF($C2326="","",IF(OR($N2326=TRUE(),$N2326="TRUE"),1,0))</f>
        <v/>
      </c>
      <c r="AJ2326">
        <f>IF($C2326="","",IF($T2326="Yes",1,0))</f>
        <v/>
      </c>
      <c r="AK2326">
        <f>IF($AG2326=1,IFERROR(IF(VALUE($C2326)&lt;100000000,VALUE($C2326),1000000000),IFERROR(IF(VALUE(MID($C2326,2,20))&lt;100000000,VALUE(MID($C2326,2,20)),1000000000),1000000000))+ROW()/100000,"")</f>
        <v/>
      </c>
    </row>
    <row r="2327">
      <c r="D2327" s="11" t="n"/>
      <c r="K2327" s="7">
        <f>IF($C2327="","",J2327*W2327/100)</f>
        <v/>
      </c>
      <c r="Q2327" s="7" t="n"/>
      <c r="R2327" s="7" t="n"/>
      <c r="U2327">
        <f>IF($C2327="","",IF($AJ2327=1,0,IF($AI2327=1,Settings!$C$6,Settings!$C$7))*100)</f>
        <v/>
      </c>
      <c r="V2327" s="7">
        <f>IF($C2327="","",R2327*U2327/100)</f>
        <v/>
      </c>
      <c r="W2327" s="7">
        <f>IF($C2327="","",R2327-V2327)</f>
        <v/>
      </c>
      <c r="X2327" s="7">
        <f>IF($C2327="","",W2327-K2327)</f>
        <v/>
      </c>
      <c r="AB2327" s="7" t="n"/>
      <c r="AE2327" s="11" t="n"/>
      <c r="AG2327">
        <f>IF($C2327="","",IF(COUNTIF($C$2:$C2327,$C2327)=1,1,0))</f>
        <v/>
      </c>
      <c r="AH2327">
        <f>IF($AG2327=1,SUMPRODUCT(--($AK$2:$AK$6001&lt;$AK2327))+1,"")</f>
        <v/>
      </c>
      <c r="AI2327">
        <f>IF($C2327="","",IF(OR($N2327=TRUE(),$N2327="TRUE"),1,0))</f>
        <v/>
      </c>
      <c r="AJ2327">
        <f>IF($C2327="","",IF($T2327="Yes",1,0))</f>
        <v/>
      </c>
      <c r="AK2327">
        <f>IF($AG2327=1,IFERROR(IF(VALUE($C2327)&lt;100000000,VALUE($C2327),1000000000),IFERROR(IF(VALUE(MID($C2327,2,20))&lt;100000000,VALUE(MID($C2327,2,20)),1000000000),1000000000))+ROW()/100000,"")</f>
        <v/>
      </c>
    </row>
    <row r="2328">
      <c r="D2328" s="11" t="n"/>
      <c r="K2328" s="7">
        <f>IF($C2328="","",J2328*W2328/100)</f>
        <v/>
      </c>
      <c r="Q2328" s="7" t="n"/>
      <c r="R2328" s="7" t="n"/>
      <c r="U2328">
        <f>IF($C2328="","",IF($AJ2328=1,0,IF($AI2328=1,Settings!$C$6,Settings!$C$7))*100)</f>
        <v/>
      </c>
      <c r="V2328" s="7">
        <f>IF($C2328="","",R2328*U2328/100)</f>
        <v/>
      </c>
      <c r="W2328" s="7">
        <f>IF($C2328="","",R2328-V2328)</f>
        <v/>
      </c>
      <c r="X2328" s="7">
        <f>IF($C2328="","",W2328-K2328)</f>
        <v/>
      </c>
      <c r="AB2328" s="7" t="n"/>
      <c r="AE2328" s="11" t="n"/>
      <c r="AG2328">
        <f>IF($C2328="","",IF(COUNTIF($C$2:$C2328,$C2328)=1,1,0))</f>
        <v/>
      </c>
      <c r="AH2328">
        <f>IF($AG2328=1,SUMPRODUCT(--($AK$2:$AK$6001&lt;$AK2328))+1,"")</f>
        <v/>
      </c>
      <c r="AI2328">
        <f>IF($C2328="","",IF(OR($N2328=TRUE(),$N2328="TRUE"),1,0))</f>
        <v/>
      </c>
      <c r="AJ2328">
        <f>IF($C2328="","",IF($T2328="Yes",1,0))</f>
        <v/>
      </c>
      <c r="AK2328">
        <f>IF($AG2328=1,IFERROR(IF(VALUE($C2328)&lt;100000000,VALUE($C2328),1000000000),IFERROR(IF(VALUE(MID($C2328,2,20))&lt;100000000,VALUE(MID($C2328,2,20)),1000000000),1000000000))+ROW()/100000,"")</f>
        <v/>
      </c>
    </row>
    <row r="2329">
      <c r="D2329" s="11" t="n"/>
      <c r="K2329" s="7">
        <f>IF($C2329="","",J2329*W2329/100)</f>
        <v/>
      </c>
      <c r="Q2329" s="7" t="n"/>
      <c r="R2329" s="7" t="n"/>
      <c r="U2329">
        <f>IF($C2329="","",IF($AJ2329=1,0,IF($AI2329=1,Settings!$C$6,Settings!$C$7))*100)</f>
        <v/>
      </c>
      <c r="V2329" s="7">
        <f>IF($C2329="","",R2329*U2329/100)</f>
        <v/>
      </c>
      <c r="W2329" s="7">
        <f>IF($C2329="","",R2329-V2329)</f>
        <v/>
      </c>
      <c r="X2329" s="7">
        <f>IF($C2329="","",W2329-K2329)</f>
        <v/>
      </c>
      <c r="AB2329" s="7" t="n"/>
      <c r="AE2329" s="11" t="n"/>
      <c r="AG2329">
        <f>IF($C2329="","",IF(COUNTIF($C$2:$C2329,$C2329)=1,1,0))</f>
        <v/>
      </c>
      <c r="AH2329">
        <f>IF($AG2329=1,SUMPRODUCT(--($AK$2:$AK$6001&lt;$AK2329))+1,"")</f>
        <v/>
      </c>
      <c r="AI2329">
        <f>IF($C2329="","",IF(OR($N2329=TRUE(),$N2329="TRUE"),1,0))</f>
        <v/>
      </c>
      <c r="AJ2329">
        <f>IF($C2329="","",IF($T2329="Yes",1,0))</f>
        <v/>
      </c>
      <c r="AK2329">
        <f>IF($AG2329=1,IFERROR(IF(VALUE($C2329)&lt;100000000,VALUE($C2329),1000000000),IFERROR(IF(VALUE(MID($C2329,2,20))&lt;100000000,VALUE(MID($C2329,2,20)),1000000000),1000000000))+ROW()/100000,"")</f>
        <v/>
      </c>
    </row>
    <row r="2330">
      <c r="D2330" s="11" t="n"/>
      <c r="K2330" s="7">
        <f>IF($C2330="","",J2330*W2330/100)</f>
        <v/>
      </c>
      <c r="Q2330" s="7" t="n"/>
      <c r="R2330" s="7" t="n"/>
      <c r="U2330">
        <f>IF($C2330="","",IF($AJ2330=1,0,IF($AI2330=1,Settings!$C$6,Settings!$C$7))*100)</f>
        <v/>
      </c>
      <c r="V2330" s="7">
        <f>IF($C2330="","",R2330*U2330/100)</f>
        <v/>
      </c>
      <c r="W2330" s="7">
        <f>IF($C2330="","",R2330-V2330)</f>
        <v/>
      </c>
      <c r="X2330" s="7">
        <f>IF($C2330="","",W2330-K2330)</f>
        <v/>
      </c>
      <c r="AB2330" s="7" t="n"/>
      <c r="AE2330" s="11" t="n"/>
      <c r="AG2330">
        <f>IF($C2330="","",IF(COUNTIF($C$2:$C2330,$C2330)=1,1,0))</f>
        <v/>
      </c>
      <c r="AH2330">
        <f>IF($AG2330=1,SUMPRODUCT(--($AK$2:$AK$6001&lt;$AK2330))+1,"")</f>
        <v/>
      </c>
      <c r="AI2330">
        <f>IF($C2330="","",IF(OR($N2330=TRUE(),$N2330="TRUE"),1,0))</f>
        <v/>
      </c>
      <c r="AJ2330">
        <f>IF($C2330="","",IF($T2330="Yes",1,0))</f>
        <v/>
      </c>
      <c r="AK2330">
        <f>IF($AG2330=1,IFERROR(IF(VALUE($C2330)&lt;100000000,VALUE($C2330),1000000000),IFERROR(IF(VALUE(MID($C2330,2,20))&lt;100000000,VALUE(MID($C2330,2,20)),1000000000),1000000000))+ROW()/100000,"")</f>
        <v/>
      </c>
    </row>
    <row r="2331">
      <c r="D2331" s="11" t="n"/>
      <c r="K2331" s="7">
        <f>IF($C2331="","",J2331*W2331/100)</f>
        <v/>
      </c>
      <c r="Q2331" s="7" t="n"/>
      <c r="R2331" s="7" t="n"/>
      <c r="U2331">
        <f>IF($C2331="","",IF($AJ2331=1,0,IF($AI2331=1,Settings!$C$6,Settings!$C$7))*100)</f>
        <v/>
      </c>
      <c r="V2331" s="7">
        <f>IF($C2331="","",R2331*U2331/100)</f>
        <v/>
      </c>
      <c r="W2331" s="7">
        <f>IF($C2331="","",R2331-V2331)</f>
        <v/>
      </c>
      <c r="X2331" s="7">
        <f>IF($C2331="","",W2331-K2331)</f>
        <v/>
      </c>
      <c r="AB2331" s="7" t="n"/>
      <c r="AE2331" s="11" t="n"/>
      <c r="AG2331">
        <f>IF($C2331="","",IF(COUNTIF($C$2:$C2331,$C2331)=1,1,0))</f>
        <v/>
      </c>
      <c r="AH2331">
        <f>IF($AG2331=1,SUMPRODUCT(--($AK$2:$AK$6001&lt;$AK2331))+1,"")</f>
        <v/>
      </c>
      <c r="AI2331">
        <f>IF($C2331="","",IF(OR($N2331=TRUE(),$N2331="TRUE"),1,0))</f>
        <v/>
      </c>
      <c r="AJ2331">
        <f>IF($C2331="","",IF($T2331="Yes",1,0))</f>
        <v/>
      </c>
      <c r="AK2331">
        <f>IF($AG2331=1,IFERROR(IF(VALUE($C2331)&lt;100000000,VALUE($C2331),1000000000),IFERROR(IF(VALUE(MID($C2331,2,20))&lt;100000000,VALUE(MID($C2331,2,20)),1000000000),1000000000))+ROW()/100000,"")</f>
        <v/>
      </c>
    </row>
    <row r="2332">
      <c r="D2332" s="11" t="n"/>
      <c r="K2332" s="7">
        <f>IF($C2332="","",J2332*W2332/100)</f>
        <v/>
      </c>
      <c r="Q2332" s="7" t="n"/>
      <c r="R2332" s="7" t="n"/>
      <c r="U2332">
        <f>IF($C2332="","",IF($AJ2332=1,0,IF($AI2332=1,Settings!$C$6,Settings!$C$7))*100)</f>
        <v/>
      </c>
      <c r="V2332" s="7">
        <f>IF($C2332="","",R2332*U2332/100)</f>
        <v/>
      </c>
      <c r="W2332" s="7">
        <f>IF($C2332="","",R2332-V2332)</f>
        <v/>
      </c>
      <c r="X2332" s="7">
        <f>IF($C2332="","",W2332-K2332)</f>
        <v/>
      </c>
      <c r="AB2332" s="7" t="n"/>
      <c r="AE2332" s="11" t="n"/>
      <c r="AG2332">
        <f>IF($C2332="","",IF(COUNTIF($C$2:$C2332,$C2332)=1,1,0))</f>
        <v/>
      </c>
      <c r="AH2332">
        <f>IF($AG2332=1,SUMPRODUCT(--($AK$2:$AK$6001&lt;$AK2332))+1,"")</f>
        <v/>
      </c>
      <c r="AI2332">
        <f>IF($C2332="","",IF(OR($N2332=TRUE(),$N2332="TRUE"),1,0))</f>
        <v/>
      </c>
      <c r="AJ2332">
        <f>IF($C2332="","",IF($T2332="Yes",1,0))</f>
        <v/>
      </c>
      <c r="AK2332">
        <f>IF($AG2332=1,IFERROR(IF(VALUE($C2332)&lt;100000000,VALUE($C2332),1000000000),IFERROR(IF(VALUE(MID($C2332,2,20))&lt;100000000,VALUE(MID($C2332,2,20)),1000000000),1000000000))+ROW()/100000,"")</f>
        <v/>
      </c>
    </row>
    <row r="2333">
      <c r="D2333" s="11" t="n"/>
      <c r="K2333" s="7">
        <f>IF($C2333="","",J2333*W2333/100)</f>
        <v/>
      </c>
      <c r="Q2333" s="7" t="n"/>
      <c r="R2333" s="7" t="n"/>
      <c r="U2333">
        <f>IF($C2333="","",IF($AJ2333=1,0,IF($AI2333=1,Settings!$C$6,Settings!$C$7))*100)</f>
        <v/>
      </c>
      <c r="V2333" s="7">
        <f>IF($C2333="","",R2333*U2333/100)</f>
        <v/>
      </c>
      <c r="W2333" s="7">
        <f>IF($C2333="","",R2333-V2333)</f>
        <v/>
      </c>
      <c r="X2333" s="7">
        <f>IF($C2333="","",W2333-K2333)</f>
        <v/>
      </c>
      <c r="AB2333" s="7" t="n"/>
      <c r="AE2333" s="11" t="n"/>
      <c r="AG2333">
        <f>IF($C2333="","",IF(COUNTIF($C$2:$C2333,$C2333)=1,1,0))</f>
        <v/>
      </c>
      <c r="AH2333">
        <f>IF($AG2333=1,SUMPRODUCT(--($AK$2:$AK$6001&lt;$AK2333))+1,"")</f>
        <v/>
      </c>
      <c r="AI2333">
        <f>IF($C2333="","",IF(OR($N2333=TRUE(),$N2333="TRUE"),1,0))</f>
        <v/>
      </c>
      <c r="AJ2333">
        <f>IF($C2333="","",IF($T2333="Yes",1,0))</f>
        <v/>
      </c>
      <c r="AK2333">
        <f>IF($AG2333=1,IFERROR(IF(VALUE($C2333)&lt;100000000,VALUE($C2333),1000000000),IFERROR(IF(VALUE(MID($C2333,2,20))&lt;100000000,VALUE(MID($C2333,2,20)),1000000000),1000000000))+ROW()/100000,"")</f>
        <v/>
      </c>
    </row>
    <row r="2334">
      <c r="D2334" s="11" t="n"/>
      <c r="K2334" s="7">
        <f>IF($C2334="","",J2334*W2334/100)</f>
        <v/>
      </c>
      <c r="Q2334" s="7" t="n"/>
      <c r="R2334" s="7" t="n"/>
      <c r="U2334">
        <f>IF($C2334="","",IF($AJ2334=1,0,IF($AI2334=1,Settings!$C$6,Settings!$C$7))*100)</f>
        <v/>
      </c>
      <c r="V2334" s="7">
        <f>IF($C2334="","",R2334*U2334/100)</f>
        <v/>
      </c>
      <c r="W2334" s="7">
        <f>IF($C2334="","",R2334-V2334)</f>
        <v/>
      </c>
      <c r="X2334" s="7">
        <f>IF($C2334="","",W2334-K2334)</f>
        <v/>
      </c>
      <c r="AB2334" s="7" t="n"/>
      <c r="AE2334" s="11" t="n"/>
      <c r="AG2334">
        <f>IF($C2334="","",IF(COUNTIF($C$2:$C2334,$C2334)=1,1,0))</f>
        <v/>
      </c>
      <c r="AH2334">
        <f>IF($AG2334=1,SUMPRODUCT(--($AK$2:$AK$6001&lt;$AK2334))+1,"")</f>
        <v/>
      </c>
      <c r="AI2334">
        <f>IF($C2334="","",IF(OR($N2334=TRUE(),$N2334="TRUE"),1,0))</f>
        <v/>
      </c>
      <c r="AJ2334">
        <f>IF($C2334="","",IF($T2334="Yes",1,0))</f>
        <v/>
      </c>
      <c r="AK2334">
        <f>IF($AG2334=1,IFERROR(IF(VALUE($C2334)&lt;100000000,VALUE($C2334),1000000000),IFERROR(IF(VALUE(MID($C2334,2,20))&lt;100000000,VALUE(MID($C2334,2,20)),1000000000),1000000000))+ROW()/100000,"")</f>
        <v/>
      </c>
    </row>
    <row r="2335">
      <c r="D2335" s="11" t="n"/>
      <c r="K2335" s="7">
        <f>IF($C2335="","",J2335*W2335/100)</f>
        <v/>
      </c>
      <c r="Q2335" s="7" t="n"/>
      <c r="R2335" s="7" t="n"/>
      <c r="U2335">
        <f>IF($C2335="","",IF($AJ2335=1,0,IF($AI2335=1,Settings!$C$6,Settings!$C$7))*100)</f>
        <v/>
      </c>
      <c r="V2335" s="7">
        <f>IF($C2335="","",R2335*U2335/100)</f>
        <v/>
      </c>
      <c r="W2335" s="7">
        <f>IF($C2335="","",R2335-V2335)</f>
        <v/>
      </c>
      <c r="X2335" s="7">
        <f>IF($C2335="","",W2335-K2335)</f>
        <v/>
      </c>
      <c r="AB2335" s="7" t="n"/>
      <c r="AE2335" s="11" t="n"/>
      <c r="AG2335">
        <f>IF($C2335="","",IF(COUNTIF($C$2:$C2335,$C2335)=1,1,0))</f>
        <v/>
      </c>
      <c r="AH2335">
        <f>IF($AG2335=1,SUMPRODUCT(--($AK$2:$AK$6001&lt;$AK2335))+1,"")</f>
        <v/>
      </c>
      <c r="AI2335">
        <f>IF($C2335="","",IF(OR($N2335=TRUE(),$N2335="TRUE"),1,0))</f>
        <v/>
      </c>
      <c r="AJ2335">
        <f>IF($C2335="","",IF($T2335="Yes",1,0))</f>
        <v/>
      </c>
      <c r="AK2335">
        <f>IF($AG2335=1,IFERROR(IF(VALUE($C2335)&lt;100000000,VALUE($C2335),1000000000),IFERROR(IF(VALUE(MID($C2335,2,20))&lt;100000000,VALUE(MID($C2335,2,20)),1000000000),1000000000))+ROW()/100000,"")</f>
        <v/>
      </c>
    </row>
    <row r="2336">
      <c r="D2336" s="11" t="n"/>
      <c r="K2336" s="7">
        <f>IF($C2336="","",J2336*W2336/100)</f>
        <v/>
      </c>
      <c r="Q2336" s="7" t="n"/>
      <c r="R2336" s="7" t="n"/>
      <c r="U2336">
        <f>IF($C2336="","",IF($AJ2336=1,0,IF($AI2336=1,Settings!$C$6,Settings!$C$7))*100)</f>
        <v/>
      </c>
      <c r="V2336" s="7">
        <f>IF($C2336="","",R2336*U2336/100)</f>
        <v/>
      </c>
      <c r="W2336" s="7">
        <f>IF($C2336="","",R2336-V2336)</f>
        <v/>
      </c>
      <c r="X2336" s="7">
        <f>IF($C2336="","",W2336-K2336)</f>
        <v/>
      </c>
      <c r="AB2336" s="7" t="n"/>
      <c r="AE2336" s="11" t="n"/>
      <c r="AG2336">
        <f>IF($C2336="","",IF(COUNTIF($C$2:$C2336,$C2336)=1,1,0))</f>
        <v/>
      </c>
      <c r="AH2336">
        <f>IF($AG2336=1,SUMPRODUCT(--($AK$2:$AK$6001&lt;$AK2336))+1,"")</f>
        <v/>
      </c>
      <c r="AI2336">
        <f>IF($C2336="","",IF(OR($N2336=TRUE(),$N2336="TRUE"),1,0))</f>
        <v/>
      </c>
      <c r="AJ2336">
        <f>IF($C2336="","",IF($T2336="Yes",1,0))</f>
        <v/>
      </c>
      <c r="AK2336">
        <f>IF($AG2336=1,IFERROR(IF(VALUE($C2336)&lt;100000000,VALUE($C2336),1000000000),IFERROR(IF(VALUE(MID($C2336,2,20))&lt;100000000,VALUE(MID($C2336,2,20)),1000000000),1000000000))+ROW()/100000,"")</f>
        <v/>
      </c>
    </row>
    <row r="2337">
      <c r="D2337" s="11" t="n"/>
      <c r="K2337" s="7">
        <f>IF($C2337="","",J2337*W2337/100)</f>
        <v/>
      </c>
      <c r="Q2337" s="7" t="n"/>
      <c r="R2337" s="7" t="n"/>
      <c r="U2337">
        <f>IF($C2337="","",IF($AJ2337=1,0,IF($AI2337=1,Settings!$C$6,Settings!$C$7))*100)</f>
        <v/>
      </c>
      <c r="V2337" s="7">
        <f>IF($C2337="","",R2337*U2337/100)</f>
        <v/>
      </c>
      <c r="W2337" s="7">
        <f>IF($C2337="","",R2337-V2337)</f>
        <v/>
      </c>
      <c r="X2337" s="7">
        <f>IF($C2337="","",W2337-K2337)</f>
        <v/>
      </c>
      <c r="AB2337" s="7" t="n"/>
      <c r="AE2337" s="11" t="n"/>
      <c r="AG2337">
        <f>IF($C2337="","",IF(COUNTIF($C$2:$C2337,$C2337)=1,1,0))</f>
        <v/>
      </c>
      <c r="AH2337">
        <f>IF($AG2337=1,SUMPRODUCT(--($AK$2:$AK$6001&lt;$AK2337))+1,"")</f>
        <v/>
      </c>
      <c r="AI2337">
        <f>IF($C2337="","",IF(OR($N2337=TRUE(),$N2337="TRUE"),1,0))</f>
        <v/>
      </c>
      <c r="AJ2337">
        <f>IF($C2337="","",IF($T2337="Yes",1,0))</f>
        <v/>
      </c>
      <c r="AK2337">
        <f>IF($AG2337=1,IFERROR(IF(VALUE($C2337)&lt;100000000,VALUE($C2337),1000000000),IFERROR(IF(VALUE(MID($C2337,2,20))&lt;100000000,VALUE(MID($C2337,2,20)),1000000000),1000000000))+ROW()/100000,"")</f>
        <v/>
      </c>
    </row>
    <row r="2338">
      <c r="D2338" s="11" t="n"/>
      <c r="K2338" s="7">
        <f>IF($C2338="","",J2338*W2338/100)</f>
        <v/>
      </c>
      <c r="Q2338" s="7" t="n"/>
      <c r="R2338" s="7" t="n"/>
      <c r="U2338">
        <f>IF($C2338="","",IF($AJ2338=1,0,IF($AI2338=1,Settings!$C$6,Settings!$C$7))*100)</f>
        <v/>
      </c>
      <c r="V2338" s="7">
        <f>IF($C2338="","",R2338*U2338/100)</f>
        <v/>
      </c>
      <c r="W2338" s="7">
        <f>IF($C2338="","",R2338-V2338)</f>
        <v/>
      </c>
      <c r="X2338" s="7">
        <f>IF($C2338="","",W2338-K2338)</f>
        <v/>
      </c>
      <c r="AB2338" s="7" t="n"/>
      <c r="AE2338" s="11" t="n"/>
      <c r="AG2338">
        <f>IF($C2338="","",IF(COUNTIF($C$2:$C2338,$C2338)=1,1,0))</f>
        <v/>
      </c>
      <c r="AH2338">
        <f>IF($AG2338=1,SUMPRODUCT(--($AK$2:$AK$6001&lt;$AK2338))+1,"")</f>
        <v/>
      </c>
      <c r="AI2338">
        <f>IF($C2338="","",IF(OR($N2338=TRUE(),$N2338="TRUE"),1,0))</f>
        <v/>
      </c>
      <c r="AJ2338">
        <f>IF($C2338="","",IF($T2338="Yes",1,0))</f>
        <v/>
      </c>
      <c r="AK2338">
        <f>IF($AG2338=1,IFERROR(IF(VALUE($C2338)&lt;100000000,VALUE($C2338),1000000000),IFERROR(IF(VALUE(MID($C2338,2,20))&lt;100000000,VALUE(MID($C2338,2,20)),1000000000),1000000000))+ROW()/100000,"")</f>
        <v/>
      </c>
    </row>
    <row r="2339">
      <c r="D2339" s="11" t="n"/>
      <c r="K2339" s="7">
        <f>IF($C2339="","",J2339*W2339/100)</f>
        <v/>
      </c>
      <c r="Q2339" s="7" t="n"/>
      <c r="R2339" s="7" t="n"/>
      <c r="U2339">
        <f>IF($C2339="","",IF($AJ2339=1,0,IF($AI2339=1,Settings!$C$6,Settings!$C$7))*100)</f>
        <v/>
      </c>
      <c r="V2339" s="7">
        <f>IF($C2339="","",R2339*U2339/100)</f>
        <v/>
      </c>
      <c r="W2339" s="7">
        <f>IF($C2339="","",R2339-V2339)</f>
        <v/>
      </c>
      <c r="X2339" s="7">
        <f>IF($C2339="","",W2339-K2339)</f>
        <v/>
      </c>
      <c r="AB2339" s="7" t="n"/>
      <c r="AE2339" s="11" t="n"/>
      <c r="AG2339">
        <f>IF($C2339="","",IF(COUNTIF($C$2:$C2339,$C2339)=1,1,0))</f>
        <v/>
      </c>
      <c r="AH2339">
        <f>IF($AG2339=1,SUMPRODUCT(--($AK$2:$AK$6001&lt;$AK2339))+1,"")</f>
        <v/>
      </c>
      <c r="AI2339">
        <f>IF($C2339="","",IF(OR($N2339=TRUE(),$N2339="TRUE"),1,0))</f>
        <v/>
      </c>
      <c r="AJ2339">
        <f>IF($C2339="","",IF($T2339="Yes",1,0))</f>
        <v/>
      </c>
      <c r="AK2339">
        <f>IF($AG2339=1,IFERROR(IF(VALUE($C2339)&lt;100000000,VALUE($C2339),1000000000),IFERROR(IF(VALUE(MID($C2339,2,20))&lt;100000000,VALUE(MID($C2339,2,20)),1000000000),1000000000))+ROW()/100000,"")</f>
        <v/>
      </c>
    </row>
    <row r="2340">
      <c r="D2340" s="11" t="n"/>
      <c r="K2340" s="7">
        <f>IF($C2340="","",J2340*W2340/100)</f>
        <v/>
      </c>
      <c r="Q2340" s="7" t="n"/>
      <c r="R2340" s="7" t="n"/>
      <c r="U2340">
        <f>IF($C2340="","",IF($AJ2340=1,0,IF($AI2340=1,Settings!$C$6,Settings!$C$7))*100)</f>
        <v/>
      </c>
      <c r="V2340" s="7">
        <f>IF($C2340="","",R2340*U2340/100)</f>
        <v/>
      </c>
      <c r="W2340" s="7">
        <f>IF($C2340="","",R2340-V2340)</f>
        <v/>
      </c>
      <c r="X2340" s="7">
        <f>IF($C2340="","",W2340-K2340)</f>
        <v/>
      </c>
      <c r="AB2340" s="7" t="n"/>
      <c r="AE2340" s="11" t="n"/>
      <c r="AG2340">
        <f>IF($C2340="","",IF(COUNTIF($C$2:$C2340,$C2340)=1,1,0))</f>
        <v/>
      </c>
      <c r="AH2340">
        <f>IF($AG2340=1,SUMPRODUCT(--($AK$2:$AK$6001&lt;$AK2340))+1,"")</f>
        <v/>
      </c>
      <c r="AI2340">
        <f>IF($C2340="","",IF(OR($N2340=TRUE(),$N2340="TRUE"),1,0))</f>
        <v/>
      </c>
      <c r="AJ2340">
        <f>IF($C2340="","",IF($T2340="Yes",1,0))</f>
        <v/>
      </c>
      <c r="AK2340">
        <f>IF($AG2340=1,IFERROR(IF(VALUE($C2340)&lt;100000000,VALUE($C2340),1000000000),IFERROR(IF(VALUE(MID($C2340,2,20))&lt;100000000,VALUE(MID($C2340,2,20)),1000000000),1000000000))+ROW()/100000,"")</f>
        <v/>
      </c>
    </row>
    <row r="2341">
      <c r="D2341" s="11" t="n"/>
      <c r="K2341" s="7">
        <f>IF($C2341="","",J2341*W2341/100)</f>
        <v/>
      </c>
      <c r="Q2341" s="7" t="n"/>
      <c r="R2341" s="7" t="n"/>
      <c r="U2341">
        <f>IF($C2341="","",IF($AJ2341=1,0,IF($AI2341=1,Settings!$C$6,Settings!$C$7))*100)</f>
        <v/>
      </c>
      <c r="V2341" s="7">
        <f>IF($C2341="","",R2341*U2341/100)</f>
        <v/>
      </c>
      <c r="W2341" s="7">
        <f>IF($C2341="","",R2341-V2341)</f>
        <v/>
      </c>
      <c r="X2341" s="7">
        <f>IF($C2341="","",W2341-K2341)</f>
        <v/>
      </c>
      <c r="AB2341" s="7" t="n"/>
      <c r="AE2341" s="11" t="n"/>
      <c r="AG2341">
        <f>IF($C2341="","",IF(COUNTIF($C$2:$C2341,$C2341)=1,1,0))</f>
        <v/>
      </c>
      <c r="AH2341">
        <f>IF($AG2341=1,SUMPRODUCT(--($AK$2:$AK$6001&lt;$AK2341))+1,"")</f>
        <v/>
      </c>
      <c r="AI2341">
        <f>IF($C2341="","",IF(OR($N2341=TRUE(),$N2341="TRUE"),1,0))</f>
        <v/>
      </c>
      <c r="AJ2341">
        <f>IF($C2341="","",IF($T2341="Yes",1,0))</f>
        <v/>
      </c>
      <c r="AK2341">
        <f>IF($AG2341=1,IFERROR(IF(VALUE($C2341)&lt;100000000,VALUE($C2341),1000000000),IFERROR(IF(VALUE(MID($C2341,2,20))&lt;100000000,VALUE(MID($C2341,2,20)),1000000000),1000000000))+ROW()/100000,"")</f>
        <v/>
      </c>
    </row>
    <row r="2342">
      <c r="D2342" s="11" t="n"/>
      <c r="K2342" s="7">
        <f>IF($C2342="","",J2342*W2342/100)</f>
        <v/>
      </c>
      <c r="Q2342" s="7" t="n"/>
      <c r="R2342" s="7" t="n"/>
      <c r="U2342">
        <f>IF($C2342="","",IF($AJ2342=1,0,IF($AI2342=1,Settings!$C$6,Settings!$C$7))*100)</f>
        <v/>
      </c>
      <c r="V2342" s="7">
        <f>IF($C2342="","",R2342*U2342/100)</f>
        <v/>
      </c>
      <c r="W2342" s="7">
        <f>IF($C2342="","",R2342-V2342)</f>
        <v/>
      </c>
      <c r="X2342" s="7">
        <f>IF($C2342="","",W2342-K2342)</f>
        <v/>
      </c>
      <c r="AB2342" s="7" t="n"/>
      <c r="AE2342" s="11" t="n"/>
      <c r="AG2342">
        <f>IF($C2342="","",IF(COUNTIF($C$2:$C2342,$C2342)=1,1,0))</f>
        <v/>
      </c>
      <c r="AH2342">
        <f>IF($AG2342=1,SUMPRODUCT(--($AK$2:$AK$6001&lt;$AK2342))+1,"")</f>
        <v/>
      </c>
      <c r="AI2342">
        <f>IF($C2342="","",IF(OR($N2342=TRUE(),$N2342="TRUE"),1,0))</f>
        <v/>
      </c>
      <c r="AJ2342">
        <f>IF($C2342="","",IF($T2342="Yes",1,0))</f>
        <v/>
      </c>
      <c r="AK2342">
        <f>IF($AG2342=1,IFERROR(IF(VALUE($C2342)&lt;100000000,VALUE($C2342),1000000000),IFERROR(IF(VALUE(MID($C2342,2,20))&lt;100000000,VALUE(MID($C2342,2,20)),1000000000),1000000000))+ROW()/100000,"")</f>
        <v/>
      </c>
    </row>
    <row r="2343">
      <c r="D2343" s="11" t="n"/>
      <c r="K2343" s="7">
        <f>IF($C2343="","",J2343*W2343/100)</f>
        <v/>
      </c>
      <c r="Q2343" s="7" t="n"/>
      <c r="R2343" s="7" t="n"/>
      <c r="U2343">
        <f>IF($C2343="","",IF($AJ2343=1,0,IF($AI2343=1,Settings!$C$6,Settings!$C$7))*100)</f>
        <v/>
      </c>
      <c r="V2343" s="7">
        <f>IF($C2343="","",R2343*U2343/100)</f>
        <v/>
      </c>
      <c r="W2343" s="7">
        <f>IF($C2343="","",R2343-V2343)</f>
        <v/>
      </c>
      <c r="X2343" s="7">
        <f>IF($C2343="","",W2343-K2343)</f>
        <v/>
      </c>
      <c r="AB2343" s="7" t="n"/>
      <c r="AE2343" s="11" t="n"/>
      <c r="AG2343">
        <f>IF($C2343="","",IF(COUNTIF($C$2:$C2343,$C2343)=1,1,0))</f>
        <v/>
      </c>
      <c r="AH2343">
        <f>IF($AG2343=1,SUMPRODUCT(--($AK$2:$AK$6001&lt;$AK2343))+1,"")</f>
        <v/>
      </c>
      <c r="AI2343">
        <f>IF($C2343="","",IF(OR($N2343=TRUE(),$N2343="TRUE"),1,0))</f>
        <v/>
      </c>
      <c r="AJ2343">
        <f>IF($C2343="","",IF($T2343="Yes",1,0))</f>
        <v/>
      </c>
      <c r="AK2343">
        <f>IF($AG2343=1,IFERROR(IF(VALUE($C2343)&lt;100000000,VALUE($C2343),1000000000),IFERROR(IF(VALUE(MID($C2343,2,20))&lt;100000000,VALUE(MID($C2343,2,20)),1000000000),1000000000))+ROW()/100000,"")</f>
        <v/>
      </c>
    </row>
    <row r="2344">
      <c r="D2344" s="11" t="n"/>
      <c r="K2344" s="7">
        <f>IF($C2344="","",J2344*W2344/100)</f>
        <v/>
      </c>
      <c r="Q2344" s="7" t="n"/>
      <c r="R2344" s="7" t="n"/>
      <c r="U2344">
        <f>IF($C2344="","",IF($AJ2344=1,0,IF($AI2344=1,Settings!$C$6,Settings!$C$7))*100)</f>
        <v/>
      </c>
      <c r="V2344" s="7">
        <f>IF($C2344="","",R2344*U2344/100)</f>
        <v/>
      </c>
      <c r="W2344" s="7">
        <f>IF($C2344="","",R2344-V2344)</f>
        <v/>
      </c>
      <c r="X2344" s="7">
        <f>IF($C2344="","",W2344-K2344)</f>
        <v/>
      </c>
      <c r="AB2344" s="7" t="n"/>
      <c r="AE2344" s="11" t="n"/>
      <c r="AG2344">
        <f>IF($C2344="","",IF(COUNTIF($C$2:$C2344,$C2344)=1,1,0))</f>
        <v/>
      </c>
      <c r="AH2344">
        <f>IF($AG2344=1,SUMPRODUCT(--($AK$2:$AK$6001&lt;$AK2344))+1,"")</f>
        <v/>
      </c>
      <c r="AI2344">
        <f>IF($C2344="","",IF(OR($N2344=TRUE(),$N2344="TRUE"),1,0))</f>
        <v/>
      </c>
      <c r="AJ2344">
        <f>IF($C2344="","",IF($T2344="Yes",1,0))</f>
        <v/>
      </c>
      <c r="AK2344">
        <f>IF($AG2344=1,IFERROR(IF(VALUE($C2344)&lt;100000000,VALUE($C2344),1000000000),IFERROR(IF(VALUE(MID($C2344,2,20))&lt;100000000,VALUE(MID($C2344,2,20)),1000000000),1000000000))+ROW()/100000,"")</f>
        <v/>
      </c>
    </row>
    <row r="2345">
      <c r="D2345" s="11" t="n"/>
      <c r="K2345" s="7">
        <f>IF($C2345="","",J2345*W2345/100)</f>
        <v/>
      </c>
      <c r="Q2345" s="7" t="n"/>
      <c r="R2345" s="7" t="n"/>
      <c r="U2345">
        <f>IF($C2345="","",IF($AJ2345=1,0,IF($AI2345=1,Settings!$C$6,Settings!$C$7))*100)</f>
        <v/>
      </c>
      <c r="V2345" s="7">
        <f>IF($C2345="","",R2345*U2345/100)</f>
        <v/>
      </c>
      <c r="W2345" s="7">
        <f>IF($C2345="","",R2345-V2345)</f>
        <v/>
      </c>
      <c r="X2345" s="7">
        <f>IF($C2345="","",W2345-K2345)</f>
        <v/>
      </c>
      <c r="AB2345" s="7" t="n"/>
      <c r="AE2345" s="11" t="n"/>
      <c r="AG2345">
        <f>IF($C2345="","",IF(COUNTIF($C$2:$C2345,$C2345)=1,1,0))</f>
        <v/>
      </c>
      <c r="AH2345">
        <f>IF($AG2345=1,SUMPRODUCT(--($AK$2:$AK$6001&lt;$AK2345))+1,"")</f>
        <v/>
      </c>
      <c r="AI2345">
        <f>IF($C2345="","",IF(OR($N2345=TRUE(),$N2345="TRUE"),1,0))</f>
        <v/>
      </c>
      <c r="AJ2345">
        <f>IF($C2345="","",IF($T2345="Yes",1,0))</f>
        <v/>
      </c>
      <c r="AK2345">
        <f>IF($AG2345=1,IFERROR(IF(VALUE($C2345)&lt;100000000,VALUE($C2345),1000000000),IFERROR(IF(VALUE(MID($C2345,2,20))&lt;100000000,VALUE(MID($C2345,2,20)),1000000000),1000000000))+ROW()/100000,"")</f>
        <v/>
      </c>
    </row>
    <row r="2346">
      <c r="D2346" s="11" t="n"/>
      <c r="K2346" s="7">
        <f>IF($C2346="","",J2346*W2346/100)</f>
        <v/>
      </c>
      <c r="Q2346" s="7" t="n"/>
      <c r="R2346" s="7" t="n"/>
      <c r="U2346">
        <f>IF($C2346="","",IF($AJ2346=1,0,IF($AI2346=1,Settings!$C$6,Settings!$C$7))*100)</f>
        <v/>
      </c>
      <c r="V2346" s="7">
        <f>IF($C2346="","",R2346*U2346/100)</f>
        <v/>
      </c>
      <c r="W2346" s="7">
        <f>IF($C2346="","",R2346-V2346)</f>
        <v/>
      </c>
      <c r="X2346" s="7">
        <f>IF($C2346="","",W2346-K2346)</f>
        <v/>
      </c>
      <c r="AB2346" s="7" t="n"/>
      <c r="AE2346" s="11" t="n"/>
      <c r="AG2346">
        <f>IF($C2346="","",IF(COUNTIF($C$2:$C2346,$C2346)=1,1,0))</f>
        <v/>
      </c>
      <c r="AH2346">
        <f>IF($AG2346=1,SUMPRODUCT(--($AK$2:$AK$6001&lt;$AK2346))+1,"")</f>
        <v/>
      </c>
      <c r="AI2346">
        <f>IF($C2346="","",IF(OR($N2346=TRUE(),$N2346="TRUE"),1,0))</f>
        <v/>
      </c>
      <c r="AJ2346">
        <f>IF($C2346="","",IF($T2346="Yes",1,0))</f>
        <v/>
      </c>
      <c r="AK2346">
        <f>IF($AG2346=1,IFERROR(IF(VALUE($C2346)&lt;100000000,VALUE($C2346),1000000000),IFERROR(IF(VALUE(MID($C2346,2,20))&lt;100000000,VALUE(MID($C2346,2,20)),1000000000),1000000000))+ROW()/100000,"")</f>
        <v/>
      </c>
    </row>
    <row r="2347">
      <c r="D2347" s="11" t="n"/>
      <c r="K2347" s="7">
        <f>IF($C2347="","",J2347*W2347/100)</f>
        <v/>
      </c>
      <c r="Q2347" s="7" t="n"/>
      <c r="R2347" s="7" t="n"/>
      <c r="U2347">
        <f>IF($C2347="","",IF($AJ2347=1,0,IF($AI2347=1,Settings!$C$6,Settings!$C$7))*100)</f>
        <v/>
      </c>
      <c r="V2347" s="7">
        <f>IF($C2347="","",R2347*U2347/100)</f>
        <v/>
      </c>
      <c r="W2347" s="7">
        <f>IF($C2347="","",R2347-V2347)</f>
        <v/>
      </c>
      <c r="X2347" s="7">
        <f>IF($C2347="","",W2347-K2347)</f>
        <v/>
      </c>
      <c r="AB2347" s="7" t="n"/>
      <c r="AE2347" s="11" t="n"/>
      <c r="AG2347">
        <f>IF($C2347="","",IF(COUNTIF($C$2:$C2347,$C2347)=1,1,0))</f>
        <v/>
      </c>
      <c r="AH2347">
        <f>IF($AG2347=1,SUMPRODUCT(--($AK$2:$AK$6001&lt;$AK2347))+1,"")</f>
        <v/>
      </c>
      <c r="AI2347">
        <f>IF($C2347="","",IF(OR($N2347=TRUE(),$N2347="TRUE"),1,0))</f>
        <v/>
      </c>
      <c r="AJ2347">
        <f>IF($C2347="","",IF($T2347="Yes",1,0))</f>
        <v/>
      </c>
      <c r="AK2347">
        <f>IF($AG2347=1,IFERROR(IF(VALUE($C2347)&lt;100000000,VALUE($C2347),1000000000),IFERROR(IF(VALUE(MID($C2347,2,20))&lt;100000000,VALUE(MID($C2347,2,20)),1000000000),1000000000))+ROW()/100000,"")</f>
        <v/>
      </c>
    </row>
    <row r="2348">
      <c r="D2348" s="11" t="n"/>
      <c r="K2348" s="7">
        <f>IF($C2348="","",J2348*W2348/100)</f>
        <v/>
      </c>
      <c r="Q2348" s="7" t="n"/>
      <c r="R2348" s="7" t="n"/>
      <c r="U2348">
        <f>IF($C2348="","",IF($AJ2348=1,0,IF($AI2348=1,Settings!$C$6,Settings!$C$7))*100)</f>
        <v/>
      </c>
      <c r="V2348" s="7">
        <f>IF($C2348="","",R2348*U2348/100)</f>
        <v/>
      </c>
      <c r="W2348" s="7">
        <f>IF($C2348="","",R2348-V2348)</f>
        <v/>
      </c>
      <c r="X2348" s="7">
        <f>IF($C2348="","",W2348-K2348)</f>
        <v/>
      </c>
      <c r="AB2348" s="7" t="n"/>
      <c r="AE2348" s="11" t="n"/>
      <c r="AG2348">
        <f>IF($C2348="","",IF(COUNTIF($C$2:$C2348,$C2348)=1,1,0))</f>
        <v/>
      </c>
      <c r="AH2348">
        <f>IF($AG2348=1,SUMPRODUCT(--($AK$2:$AK$6001&lt;$AK2348))+1,"")</f>
        <v/>
      </c>
      <c r="AI2348">
        <f>IF($C2348="","",IF(OR($N2348=TRUE(),$N2348="TRUE"),1,0))</f>
        <v/>
      </c>
      <c r="AJ2348">
        <f>IF($C2348="","",IF($T2348="Yes",1,0))</f>
        <v/>
      </c>
      <c r="AK2348">
        <f>IF($AG2348=1,IFERROR(IF(VALUE($C2348)&lt;100000000,VALUE($C2348),1000000000),IFERROR(IF(VALUE(MID($C2348,2,20))&lt;100000000,VALUE(MID($C2348,2,20)),1000000000),1000000000))+ROW()/100000,"")</f>
        <v/>
      </c>
    </row>
    <row r="2349">
      <c r="D2349" s="11" t="n"/>
      <c r="K2349" s="7">
        <f>IF($C2349="","",J2349*W2349/100)</f>
        <v/>
      </c>
      <c r="Q2349" s="7" t="n"/>
      <c r="R2349" s="7" t="n"/>
      <c r="U2349">
        <f>IF($C2349="","",IF($AJ2349=1,0,IF($AI2349=1,Settings!$C$6,Settings!$C$7))*100)</f>
        <v/>
      </c>
      <c r="V2349" s="7">
        <f>IF($C2349="","",R2349*U2349/100)</f>
        <v/>
      </c>
      <c r="W2349" s="7">
        <f>IF($C2349="","",R2349-V2349)</f>
        <v/>
      </c>
      <c r="X2349" s="7">
        <f>IF($C2349="","",W2349-K2349)</f>
        <v/>
      </c>
      <c r="AB2349" s="7" t="n"/>
      <c r="AE2349" s="11" t="n"/>
      <c r="AG2349">
        <f>IF($C2349="","",IF(COUNTIF($C$2:$C2349,$C2349)=1,1,0))</f>
        <v/>
      </c>
      <c r="AH2349">
        <f>IF($AG2349=1,SUMPRODUCT(--($AK$2:$AK$6001&lt;$AK2349))+1,"")</f>
        <v/>
      </c>
      <c r="AI2349">
        <f>IF($C2349="","",IF(OR($N2349=TRUE(),$N2349="TRUE"),1,0))</f>
        <v/>
      </c>
      <c r="AJ2349">
        <f>IF($C2349="","",IF($T2349="Yes",1,0))</f>
        <v/>
      </c>
      <c r="AK2349">
        <f>IF($AG2349=1,IFERROR(IF(VALUE($C2349)&lt;100000000,VALUE($C2349),1000000000),IFERROR(IF(VALUE(MID($C2349,2,20))&lt;100000000,VALUE(MID($C2349,2,20)),1000000000),1000000000))+ROW()/100000,"")</f>
        <v/>
      </c>
    </row>
    <row r="2350">
      <c r="D2350" s="11" t="n"/>
      <c r="K2350" s="7">
        <f>IF($C2350="","",J2350*W2350/100)</f>
        <v/>
      </c>
      <c r="Q2350" s="7" t="n"/>
      <c r="R2350" s="7" t="n"/>
      <c r="U2350">
        <f>IF($C2350="","",IF($AJ2350=1,0,IF($AI2350=1,Settings!$C$6,Settings!$C$7))*100)</f>
        <v/>
      </c>
      <c r="V2350" s="7">
        <f>IF($C2350="","",R2350*U2350/100)</f>
        <v/>
      </c>
      <c r="W2350" s="7">
        <f>IF($C2350="","",R2350-V2350)</f>
        <v/>
      </c>
      <c r="X2350" s="7">
        <f>IF($C2350="","",W2350-K2350)</f>
        <v/>
      </c>
      <c r="AB2350" s="7" t="n"/>
      <c r="AE2350" s="11" t="n"/>
      <c r="AG2350">
        <f>IF($C2350="","",IF(COUNTIF($C$2:$C2350,$C2350)=1,1,0))</f>
        <v/>
      </c>
      <c r="AH2350">
        <f>IF($AG2350=1,SUMPRODUCT(--($AK$2:$AK$6001&lt;$AK2350))+1,"")</f>
        <v/>
      </c>
      <c r="AI2350">
        <f>IF($C2350="","",IF(OR($N2350=TRUE(),$N2350="TRUE"),1,0))</f>
        <v/>
      </c>
      <c r="AJ2350">
        <f>IF($C2350="","",IF($T2350="Yes",1,0))</f>
        <v/>
      </c>
      <c r="AK2350">
        <f>IF($AG2350=1,IFERROR(IF(VALUE($C2350)&lt;100000000,VALUE($C2350),1000000000),IFERROR(IF(VALUE(MID($C2350,2,20))&lt;100000000,VALUE(MID($C2350,2,20)),1000000000),1000000000))+ROW()/100000,"")</f>
        <v/>
      </c>
    </row>
    <row r="2351">
      <c r="D2351" s="11" t="n"/>
      <c r="K2351" s="7">
        <f>IF($C2351="","",J2351*W2351/100)</f>
        <v/>
      </c>
      <c r="Q2351" s="7" t="n"/>
      <c r="R2351" s="7" t="n"/>
      <c r="U2351">
        <f>IF($C2351="","",IF($AJ2351=1,0,IF($AI2351=1,Settings!$C$6,Settings!$C$7))*100)</f>
        <v/>
      </c>
      <c r="V2351" s="7">
        <f>IF($C2351="","",R2351*U2351/100)</f>
        <v/>
      </c>
      <c r="W2351" s="7">
        <f>IF($C2351="","",R2351-V2351)</f>
        <v/>
      </c>
      <c r="X2351" s="7">
        <f>IF($C2351="","",W2351-K2351)</f>
        <v/>
      </c>
      <c r="AB2351" s="7" t="n"/>
      <c r="AE2351" s="11" t="n"/>
      <c r="AG2351">
        <f>IF($C2351="","",IF(COUNTIF($C$2:$C2351,$C2351)=1,1,0))</f>
        <v/>
      </c>
      <c r="AH2351">
        <f>IF($AG2351=1,SUMPRODUCT(--($AK$2:$AK$6001&lt;$AK2351))+1,"")</f>
        <v/>
      </c>
      <c r="AI2351">
        <f>IF($C2351="","",IF(OR($N2351=TRUE(),$N2351="TRUE"),1,0))</f>
        <v/>
      </c>
      <c r="AJ2351">
        <f>IF($C2351="","",IF($T2351="Yes",1,0))</f>
        <v/>
      </c>
      <c r="AK2351">
        <f>IF($AG2351=1,IFERROR(IF(VALUE($C2351)&lt;100000000,VALUE($C2351),1000000000),IFERROR(IF(VALUE(MID($C2351,2,20))&lt;100000000,VALUE(MID($C2351,2,20)),1000000000),1000000000))+ROW()/100000,"")</f>
        <v/>
      </c>
    </row>
    <row r="2352">
      <c r="D2352" s="11" t="n"/>
      <c r="K2352" s="7">
        <f>IF($C2352="","",J2352*W2352/100)</f>
        <v/>
      </c>
      <c r="Q2352" s="7" t="n"/>
      <c r="R2352" s="7" t="n"/>
      <c r="U2352">
        <f>IF($C2352="","",IF($AJ2352=1,0,IF($AI2352=1,Settings!$C$6,Settings!$C$7))*100)</f>
        <v/>
      </c>
      <c r="V2352" s="7">
        <f>IF($C2352="","",R2352*U2352/100)</f>
        <v/>
      </c>
      <c r="W2352" s="7">
        <f>IF($C2352="","",R2352-V2352)</f>
        <v/>
      </c>
      <c r="X2352" s="7">
        <f>IF($C2352="","",W2352-K2352)</f>
        <v/>
      </c>
      <c r="AB2352" s="7" t="n"/>
      <c r="AE2352" s="11" t="n"/>
      <c r="AG2352">
        <f>IF($C2352="","",IF(COUNTIF($C$2:$C2352,$C2352)=1,1,0))</f>
        <v/>
      </c>
      <c r="AH2352">
        <f>IF($AG2352=1,SUMPRODUCT(--($AK$2:$AK$6001&lt;$AK2352))+1,"")</f>
        <v/>
      </c>
      <c r="AI2352">
        <f>IF($C2352="","",IF(OR($N2352=TRUE(),$N2352="TRUE"),1,0))</f>
        <v/>
      </c>
      <c r="AJ2352">
        <f>IF($C2352="","",IF($T2352="Yes",1,0))</f>
        <v/>
      </c>
      <c r="AK2352">
        <f>IF($AG2352=1,IFERROR(IF(VALUE($C2352)&lt;100000000,VALUE($C2352),1000000000),IFERROR(IF(VALUE(MID($C2352,2,20))&lt;100000000,VALUE(MID($C2352,2,20)),1000000000),1000000000))+ROW()/100000,"")</f>
        <v/>
      </c>
    </row>
    <row r="2353">
      <c r="D2353" s="11" t="n"/>
      <c r="K2353" s="7">
        <f>IF($C2353="","",J2353*W2353/100)</f>
        <v/>
      </c>
      <c r="Q2353" s="7" t="n"/>
      <c r="R2353" s="7" t="n"/>
      <c r="U2353">
        <f>IF($C2353="","",IF($AJ2353=1,0,IF($AI2353=1,Settings!$C$6,Settings!$C$7))*100)</f>
        <v/>
      </c>
      <c r="V2353" s="7">
        <f>IF($C2353="","",R2353*U2353/100)</f>
        <v/>
      </c>
      <c r="W2353" s="7">
        <f>IF($C2353="","",R2353-V2353)</f>
        <v/>
      </c>
      <c r="X2353" s="7">
        <f>IF($C2353="","",W2353-K2353)</f>
        <v/>
      </c>
      <c r="AB2353" s="7" t="n"/>
      <c r="AE2353" s="11" t="n"/>
      <c r="AG2353">
        <f>IF($C2353="","",IF(COUNTIF($C$2:$C2353,$C2353)=1,1,0))</f>
        <v/>
      </c>
      <c r="AH2353">
        <f>IF($AG2353=1,SUMPRODUCT(--($AK$2:$AK$6001&lt;$AK2353))+1,"")</f>
        <v/>
      </c>
      <c r="AI2353">
        <f>IF($C2353="","",IF(OR($N2353=TRUE(),$N2353="TRUE"),1,0))</f>
        <v/>
      </c>
      <c r="AJ2353">
        <f>IF($C2353="","",IF($T2353="Yes",1,0))</f>
        <v/>
      </c>
      <c r="AK2353">
        <f>IF($AG2353=1,IFERROR(IF(VALUE($C2353)&lt;100000000,VALUE($C2353),1000000000),IFERROR(IF(VALUE(MID($C2353,2,20))&lt;100000000,VALUE(MID($C2353,2,20)),1000000000),1000000000))+ROW()/100000,"")</f>
        <v/>
      </c>
    </row>
    <row r="2354">
      <c r="D2354" s="11" t="n"/>
      <c r="K2354" s="7">
        <f>IF($C2354="","",J2354*W2354/100)</f>
        <v/>
      </c>
      <c r="Q2354" s="7" t="n"/>
      <c r="R2354" s="7" t="n"/>
      <c r="U2354">
        <f>IF($C2354="","",IF($AJ2354=1,0,IF($AI2354=1,Settings!$C$6,Settings!$C$7))*100)</f>
        <v/>
      </c>
      <c r="V2354" s="7">
        <f>IF($C2354="","",R2354*U2354/100)</f>
        <v/>
      </c>
      <c r="W2354" s="7">
        <f>IF($C2354="","",R2354-V2354)</f>
        <v/>
      </c>
      <c r="X2354" s="7">
        <f>IF($C2354="","",W2354-K2354)</f>
        <v/>
      </c>
      <c r="AB2354" s="7" t="n"/>
      <c r="AE2354" s="11" t="n"/>
      <c r="AG2354">
        <f>IF($C2354="","",IF(COUNTIF($C$2:$C2354,$C2354)=1,1,0))</f>
        <v/>
      </c>
      <c r="AH2354">
        <f>IF($AG2354=1,SUMPRODUCT(--($AK$2:$AK$6001&lt;$AK2354))+1,"")</f>
        <v/>
      </c>
      <c r="AI2354">
        <f>IF($C2354="","",IF(OR($N2354=TRUE(),$N2354="TRUE"),1,0))</f>
        <v/>
      </c>
      <c r="AJ2354">
        <f>IF($C2354="","",IF($T2354="Yes",1,0))</f>
        <v/>
      </c>
      <c r="AK2354">
        <f>IF($AG2354=1,IFERROR(IF(VALUE($C2354)&lt;100000000,VALUE($C2354),1000000000),IFERROR(IF(VALUE(MID($C2354,2,20))&lt;100000000,VALUE(MID($C2354,2,20)),1000000000),1000000000))+ROW()/100000,"")</f>
        <v/>
      </c>
    </row>
    <row r="2355">
      <c r="D2355" s="11" t="n"/>
      <c r="K2355" s="7">
        <f>IF($C2355="","",J2355*W2355/100)</f>
        <v/>
      </c>
      <c r="Q2355" s="7" t="n"/>
      <c r="R2355" s="7" t="n"/>
      <c r="U2355">
        <f>IF($C2355="","",IF($AJ2355=1,0,IF($AI2355=1,Settings!$C$6,Settings!$C$7))*100)</f>
        <v/>
      </c>
      <c r="V2355" s="7">
        <f>IF($C2355="","",R2355*U2355/100)</f>
        <v/>
      </c>
      <c r="W2355" s="7">
        <f>IF($C2355="","",R2355-V2355)</f>
        <v/>
      </c>
      <c r="X2355" s="7">
        <f>IF($C2355="","",W2355-K2355)</f>
        <v/>
      </c>
      <c r="AB2355" s="7" t="n"/>
      <c r="AE2355" s="11" t="n"/>
      <c r="AG2355">
        <f>IF($C2355="","",IF(COUNTIF($C$2:$C2355,$C2355)=1,1,0))</f>
        <v/>
      </c>
      <c r="AH2355">
        <f>IF($AG2355=1,SUMPRODUCT(--($AK$2:$AK$6001&lt;$AK2355))+1,"")</f>
        <v/>
      </c>
      <c r="AI2355">
        <f>IF($C2355="","",IF(OR($N2355=TRUE(),$N2355="TRUE"),1,0))</f>
        <v/>
      </c>
      <c r="AJ2355">
        <f>IF($C2355="","",IF($T2355="Yes",1,0))</f>
        <v/>
      </c>
      <c r="AK2355">
        <f>IF($AG2355=1,IFERROR(IF(VALUE($C2355)&lt;100000000,VALUE($C2355),1000000000),IFERROR(IF(VALUE(MID($C2355,2,20))&lt;100000000,VALUE(MID($C2355,2,20)),1000000000),1000000000))+ROW()/100000,"")</f>
        <v/>
      </c>
    </row>
    <row r="2356">
      <c r="D2356" s="11" t="n"/>
      <c r="K2356" s="7">
        <f>IF($C2356="","",J2356*W2356/100)</f>
        <v/>
      </c>
      <c r="Q2356" s="7" t="n"/>
      <c r="R2356" s="7" t="n"/>
      <c r="U2356">
        <f>IF($C2356="","",IF($AJ2356=1,0,IF($AI2356=1,Settings!$C$6,Settings!$C$7))*100)</f>
        <v/>
      </c>
      <c r="V2356" s="7">
        <f>IF($C2356="","",R2356*U2356/100)</f>
        <v/>
      </c>
      <c r="W2356" s="7">
        <f>IF($C2356="","",R2356-V2356)</f>
        <v/>
      </c>
      <c r="X2356" s="7">
        <f>IF($C2356="","",W2356-K2356)</f>
        <v/>
      </c>
      <c r="AB2356" s="7" t="n"/>
      <c r="AE2356" s="11" t="n"/>
      <c r="AG2356">
        <f>IF($C2356="","",IF(COUNTIF($C$2:$C2356,$C2356)=1,1,0))</f>
        <v/>
      </c>
      <c r="AH2356">
        <f>IF($AG2356=1,SUMPRODUCT(--($AK$2:$AK$6001&lt;$AK2356))+1,"")</f>
        <v/>
      </c>
      <c r="AI2356">
        <f>IF($C2356="","",IF(OR($N2356=TRUE(),$N2356="TRUE"),1,0))</f>
        <v/>
      </c>
      <c r="AJ2356">
        <f>IF($C2356="","",IF($T2356="Yes",1,0))</f>
        <v/>
      </c>
      <c r="AK2356">
        <f>IF($AG2356=1,IFERROR(IF(VALUE($C2356)&lt;100000000,VALUE($C2356),1000000000),IFERROR(IF(VALUE(MID($C2356,2,20))&lt;100000000,VALUE(MID($C2356,2,20)),1000000000),1000000000))+ROW()/100000,"")</f>
        <v/>
      </c>
    </row>
    <row r="2357">
      <c r="D2357" s="11" t="n"/>
      <c r="K2357" s="7">
        <f>IF($C2357="","",J2357*W2357/100)</f>
        <v/>
      </c>
      <c r="Q2357" s="7" t="n"/>
      <c r="R2357" s="7" t="n"/>
      <c r="U2357">
        <f>IF($C2357="","",IF($AJ2357=1,0,IF($AI2357=1,Settings!$C$6,Settings!$C$7))*100)</f>
        <v/>
      </c>
      <c r="V2357" s="7">
        <f>IF($C2357="","",R2357*U2357/100)</f>
        <v/>
      </c>
      <c r="W2357" s="7">
        <f>IF($C2357="","",R2357-V2357)</f>
        <v/>
      </c>
      <c r="X2357" s="7">
        <f>IF($C2357="","",W2357-K2357)</f>
        <v/>
      </c>
      <c r="AB2357" s="7" t="n"/>
      <c r="AE2357" s="11" t="n"/>
      <c r="AG2357">
        <f>IF($C2357="","",IF(COUNTIF($C$2:$C2357,$C2357)=1,1,0))</f>
        <v/>
      </c>
      <c r="AH2357">
        <f>IF($AG2357=1,SUMPRODUCT(--($AK$2:$AK$6001&lt;$AK2357))+1,"")</f>
        <v/>
      </c>
      <c r="AI2357">
        <f>IF($C2357="","",IF(OR($N2357=TRUE(),$N2357="TRUE"),1,0))</f>
        <v/>
      </c>
      <c r="AJ2357">
        <f>IF($C2357="","",IF($T2357="Yes",1,0))</f>
        <v/>
      </c>
      <c r="AK2357">
        <f>IF($AG2357=1,IFERROR(IF(VALUE($C2357)&lt;100000000,VALUE($C2357),1000000000),IFERROR(IF(VALUE(MID($C2357,2,20))&lt;100000000,VALUE(MID($C2357,2,20)),1000000000),1000000000))+ROW()/100000,"")</f>
        <v/>
      </c>
    </row>
    <row r="2358">
      <c r="D2358" s="11" t="n"/>
      <c r="K2358" s="7">
        <f>IF($C2358="","",J2358*W2358/100)</f>
        <v/>
      </c>
      <c r="Q2358" s="7" t="n"/>
      <c r="R2358" s="7" t="n"/>
      <c r="U2358">
        <f>IF($C2358="","",IF($AJ2358=1,0,IF($AI2358=1,Settings!$C$6,Settings!$C$7))*100)</f>
        <v/>
      </c>
      <c r="V2358" s="7">
        <f>IF($C2358="","",R2358*U2358/100)</f>
        <v/>
      </c>
      <c r="W2358" s="7">
        <f>IF($C2358="","",R2358-V2358)</f>
        <v/>
      </c>
      <c r="X2358" s="7">
        <f>IF($C2358="","",W2358-K2358)</f>
        <v/>
      </c>
      <c r="AB2358" s="7" t="n"/>
      <c r="AE2358" s="11" t="n"/>
      <c r="AG2358">
        <f>IF($C2358="","",IF(COUNTIF($C$2:$C2358,$C2358)=1,1,0))</f>
        <v/>
      </c>
      <c r="AH2358">
        <f>IF($AG2358=1,SUMPRODUCT(--($AK$2:$AK$6001&lt;$AK2358))+1,"")</f>
        <v/>
      </c>
      <c r="AI2358">
        <f>IF($C2358="","",IF(OR($N2358=TRUE(),$N2358="TRUE"),1,0))</f>
        <v/>
      </c>
      <c r="AJ2358">
        <f>IF($C2358="","",IF($T2358="Yes",1,0))</f>
        <v/>
      </c>
      <c r="AK2358">
        <f>IF($AG2358=1,IFERROR(IF(VALUE($C2358)&lt;100000000,VALUE($C2358),1000000000),IFERROR(IF(VALUE(MID($C2358,2,20))&lt;100000000,VALUE(MID($C2358,2,20)),1000000000),1000000000))+ROW()/100000,"")</f>
        <v/>
      </c>
    </row>
    <row r="2359">
      <c r="D2359" s="11" t="n"/>
      <c r="K2359" s="7">
        <f>IF($C2359="","",J2359*W2359/100)</f>
        <v/>
      </c>
      <c r="Q2359" s="7" t="n"/>
      <c r="R2359" s="7" t="n"/>
      <c r="U2359">
        <f>IF($C2359="","",IF($AJ2359=1,0,IF($AI2359=1,Settings!$C$6,Settings!$C$7))*100)</f>
        <v/>
      </c>
      <c r="V2359" s="7">
        <f>IF($C2359="","",R2359*U2359/100)</f>
        <v/>
      </c>
      <c r="W2359" s="7">
        <f>IF($C2359="","",R2359-V2359)</f>
        <v/>
      </c>
      <c r="X2359" s="7">
        <f>IF($C2359="","",W2359-K2359)</f>
        <v/>
      </c>
      <c r="AB2359" s="7" t="n"/>
      <c r="AE2359" s="11" t="n"/>
      <c r="AG2359">
        <f>IF($C2359="","",IF(COUNTIF($C$2:$C2359,$C2359)=1,1,0))</f>
        <v/>
      </c>
      <c r="AH2359">
        <f>IF($AG2359=1,SUMPRODUCT(--($AK$2:$AK$6001&lt;$AK2359))+1,"")</f>
        <v/>
      </c>
      <c r="AI2359">
        <f>IF($C2359="","",IF(OR($N2359=TRUE(),$N2359="TRUE"),1,0))</f>
        <v/>
      </c>
      <c r="AJ2359">
        <f>IF($C2359="","",IF($T2359="Yes",1,0))</f>
        <v/>
      </c>
      <c r="AK2359">
        <f>IF($AG2359=1,IFERROR(IF(VALUE($C2359)&lt;100000000,VALUE($C2359),1000000000),IFERROR(IF(VALUE(MID($C2359,2,20))&lt;100000000,VALUE(MID($C2359,2,20)),1000000000),1000000000))+ROW()/100000,"")</f>
        <v/>
      </c>
    </row>
    <row r="2360">
      <c r="D2360" s="11" t="n"/>
      <c r="K2360" s="7">
        <f>IF($C2360="","",J2360*W2360/100)</f>
        <v/>
      </c>
      <c r="Q2360" s="7" t="n"/>
      <c r="R2360" s="7" t="n"/>
      <c r="U2360">
        <f>IF($C2360="","",IF($AJ2360=1,0,IF($AI2360=1,Settings!$C$6,Settings!$C$7))*100)</f>
        <v/>
      </c>
      <c r="V2360" s="7">
        <f>IF($C2360="","",R2360*U2360/100)</f>
        <v/>
      </c>
      <c r="W2360" s="7">
        <f>IF($C2360="","",R2360-V2360)</f>
        <v/>
      </c>
      <c r="X2360" s="7">
        <f>IF($C2360="","",W2360-K2360)</f>
        <v/>
      </c>
      <c r="AB2360" s="7" t="n"/>
      <c r="AE2360" s="11" t="n"/>
      <c r="AG2360">
        <f>IF($C2360="","",IF(COUNTIF($C$2:$C2360,$C2360)=1,1,0))</f>
        <v/>
      </c>
      <c r="AH2360">
        <f>IF($AG2360=1,SUMPRODUCT(--($AK$2:$AK$6001&lt;$AK2360))+1,"")</f>
        <v/>
      </c>
      <c r="AI2360">
        <f>IF($C2360="","",IF(OR($N2360=TRUE(),$N2360="TRUE"),1,0))</f>
        <v/>
      </c>
      <c r="AJ2360">
        <f>IF($C2360="","",IF($T2360="Yes",1,0))</f>
        <v/>
      </c>
      <c r="AK2360">
        <f>IF($AG2360=1,IFERROR(IF(VALUE($C2360)&lt;100000000,VALUE($C2360),1000000000),IFERROR(IF(VALUE(MID($C2360,2,20))&lt;100000000,VALUE(MID($C2360,2,20)),1000000000),1000000000))+ROW()/100000,"")</f>
        <v/>
      </c>
    </row>
    <row r="2361">
      <c r="D2361" s="11" t="n"/>
      <c r="K2361" s="7">
        <f>IF($C2361="","",J2361*W2361/100)</f>
        <v/>
      </c>
      <c r="Q2361" s="7" t="n"/>
      <c r="R2361" s="7" t="n"/>
      <c r="U2361">
        <f>IF($C2361="","",IF($AJ2361=1,0,IF($AI2361=1,Settings!$C$6,Settings!$C$7))*100)</f>
        <v/>
      </c>
      <c r="V2361" s="7">
        <f>IF($C2361="","",R2361*U2361/100)</f>
        <v/>
      </c>
      <c r="W2361" s="7">
        <f>IF($C2361="","",R2361-V2361)</f>
        <v/>
      </c>
      <c r="X2361" s="7">
        <f>IF($C2361="","",W2361-K2361)</f>
        <v/>
      </c>
      <c r="AB2361" s="7" t="n"/>
      <c r="AE2361" s="11" t="n"/>
      <c r="AG2361">
        <f>IF($C2361="","",IF(COUNTIF($C$2:$C2361,$C2361)=1,1,0))</f>
        <v/>
      </c>
      <c r="AH2361">
        <f>IF($AG2361=1,SUMPRODUCT(--($AK$2:$AK$6001&lt;$AK2361))+1,"")</f>
        <v/>
      </c>
      <c r="AI2361">
        <f>IF($C2361="","",IF(OR($N2361=TRUE(),$N2361="TRUE"),1,0))</f>
        <v/>
      </c>
      <c r="AJ2361">
        <f>IF($C2361="","",IF($T2361="Yes",1,0))</f>
        <v/>
      </c>
      <c r="AK2361">
        <f>IF($AG2361=1,IFERROR(IF(VALUE($C2361)&lt;100000000,VALUE($C2361),1000000000),IFERROR(IF(VALUE(MID($C2361,2,20))&lt;100000000,VALUE(MID($C2361,2,20)),1000000000),1000000000))+ROW()/100000,"")</f>
        <v/>
      </c>
    </row>
    <row r="2362">
      <c r="D2362" s="11" t="n"/>
      <c r="K2362" s="7">
        <f>IF($C2362="","",J2362*W2362/100)</f>
        <v/>
      </c>
      <c r="Q2362" s="7" t="n"/>
      <c r="R2362" s="7" t="n"/>
      <c r="U2362">
        <f>IF($C2362="","",IF($AJ2362=1,0,IF($AI2362=1,Settings!$C$6,Settings!$C$7))*100)</f>
        <v/>
      </c>
      <c r="V2362" s="7">
        <f>IF($C2362="","",R2362*U2362/100)</f>
        <v/>
      </c>
      <c r="W2362" s="7">
        <f>IF($C2362="","",R2362-V2362)</f>
        <v/>
      </c>
      <c r="X2362" s="7">
        <f>IF($C2362="","",W2362-K2362)</f>
        <v/>
      </c>
      <c r="AB2362" s="7" t="n"/>
      <c r="AE2362" s="11" t="n"/>
      <c r="AG2362">
        <f>IF($C2362="","",IF(COUNTIF($C$2:$C2362,$C2362)=1,1,0))</f>
        <v/>
      </c>
      <c r="AH2362">
        <f>IF($AG2362=1,SUMPRODUCT(--($AK$2:$AK$6001&lt;$AK2362))+1,"")</f>
        <v/>
      </c>
      <c r="AI2362">
        <f>IF($C2362="","",IF(OR($N2362=TRUE(),$N2362="TRUE"),1,0))</f>
        <v/>
      </c>
      <c r="AJ2362">
        <f>IF($C2362="","",IF($T2362="Yes",1,0))</f>
        <v/>
      </c>
      <c r="AK2362">
        <f>IF($AG2362=1,IFERROR(IF(VALUE($C2362)&lt;100000000,VALUE($C2362),1000000000),IFERROR(IF(VALUE(MID($C2362,2,20))&lt;100000000,VALUE(MID($C2362,2,20)),1000000000),1000000000))+ROW()/100000,"")</f>
        <v/>
      </c>
    </row>
    <row r="2363">
      <c r="D2363" s="11" t="n"/>
      <c r="K2363" s="7">
        <f>IF($C2363="","",J2363*W2363/100)</f>
        <v/>
      </c>
      <c r="Q2363" s="7" t="n"/>
      <c r="R2363" s="7" t="n"/>
      <c r="U2363">
        <f>IF($C2363="","",IF($AJ2363=1,0,IF($AI2363=1,Settings!$C$6,Settings!$C$7))*100)</f>
        <v/>
      </c>
      <c r="V2363" s="7">
        <f>IF($C2363="","",R2363*U2363/100)</f>
        <v/>
      </c>
      <c r="W2363" s="7">
        <f>IF($C2363="","",R2363-V2363)</f>
        <v/>
      </c>
      <c r="X2363" s="7">
        <f>IF($C2363="","",W2363-K2363)</f>
        <v/>
      </c>
      <c r="AB2363" s="7" t="n"/>
      <c r="AE2363" s="11" t="n"/>
      <c r="AG2363">
        <f>IF($C2363="","",IF(COUNTIF($C$2:$C2363,$C2363)=1,1,0))</f>
        <v/>
      </c>
      <c r="AH2363">
        <f>IF($AG2363=1,SUMPRODUCT(--($AK$2:$AK$6001&lt;$AK2363))+1,"")</f>
        <v/>
      </c>
      <c r="AI2363">
        <f>IF($C2363="","",IF(OR($N2363=TRUE(),$N2363="TRUE"),1,0))</f>
        <v/>
      </c>
      <c r="AJ2363">
        <f>IF($C2363="","",IF($T2363="Yes",1,0))</f>
        <v/>
      </c>
      <c r="AK2363">
        <f>IF($AG2363=1,IFERROR(IF(VALUE($C2363)&lt;100000000,VALUE($C2363),1000000000),IFERROR(IF(VALUE(MID($C2363,2,20))&lt;100000000,VALUE(MID($C2363,2,20)),1000000000),1000000000))+ROW()/100000,"")</f>
        <v/>
      </c>
    </row>
    <row r="2364">
      <c r="D2364" s="11" t="n"/>
      <c r="K2364" s="7">
        <f>IF($C2364="","",J2364*W2364/100)</f>
        <v/>
      </c>
      <c r="Q2364" s="7" t="n"/>
      <c r="R2364" s="7" t="n"/>
      <c r="U2364">
        <f>IF($C2364="","",IF($AJ2364=1,0,IF($AI2364=1,Settings!$C$6,Settings!$C$7))*100)</f>
        <v/>
      </c>
      <c r="V2364" s="7">
        <f>IF($C2364="","",R2364*U2364/100)</f>
        <v/>
      </c>
      <c r="W2364" s="7">
        <f>IF($C2364="","",R2364-V2364)</f>
        <v/>
      </c>
      <c r="X2364" s="7">
        <f>IF($C2364="","",W2364-K2364)</f>
        <v/>
      </c>
      <c r="AB2364" s="7" t="n"/>
      <c r="AE2364" s="11" t="n"/>
      <c r="AG2364">
        <f>IF($C2364="","",IF(COUNTIF($C$2:$C2364,$C2364)=1,1,0))</f>
        <v/>
      </c>
      <c r="AH2364">
        <f>IF($AG2364=1,SUMPRODUCT(--($AK$2:$AK$6001&lt;$AK2364))+1,"")</f>
        <v/>
      </c>
      <c r="AI2364">
        <f>IF($C2364="","",IF(OR($N2364=TRUE(),$N2364="TRUE"),1,0))</f>
        <v/>
      </c>
      <c r="AJ2364">
        <f>IF($C2364="","",IF($T2364="Yes",1,0))</f>
        <v/>
      </c>
      <c r="AK2364">
        <f>IF($AG2364=1,IFERROR(IF(VALUE($C2364)&lt;100000000,VALUE($C2364),1000000000),IFERROR(IF(VALUE(MID($C2364,2,20))&lt;100000000,VALUE(MID($C2364,2,20)),1000000000),1000000000))+ROW()/100000,"")</f>
        <v/>
      </c>
    </row>
    <row r="2365">
      <c r="D2365" s="11" t="n"/>
      <c r="K2365" s="7">
        <f>IF($C2365="","",J2365*W2365/100)</f>
        <v/>
      </c>
      <c r="Q2365" s="7" t="n"/>
      <c r="R2365" s="7" t="n"/>
      <c r="U2365">
        <f>IF($C2365="","",IF($AJ2365=1,0,IF($AI2365=1,Settings!$C$6,Settings!$C$7))*100)</f>
        <v/>
      </c>
      <c r="V2365" s="7">
        <f>IF($C2365="","",R2365*U2365/100)</f>
        <v/>
      </c>
      <c r="W2365" s="7">
        <f>IF($C2365="","",R2365-V2365)</f>
        <v/>
      </c>
      <c r="X2365" s="7">
        <f>IF($C2365="","",W2365-K2365)</f>
        <v/>
      </c>
      <c r="AB2365" s="7" t="n"/>
      <c r="AE2365" s="11" t="n"/>
      <c r="AG2365">
        <f>IF($C2365="","",IF(COUNTIF($C$2:$C2365,$C2365)=1,1,0))</f>
        <v/>
      </c>
      <c r="AH2365">
        <f>IF($AG2365=1,SUMPRODUCT(--($AK$2:$AK$6001&lt;$AK2365))+1,"")</f>
        <v/>
      </c>
      <c r="AI2365">
        <f>IF($C2365="","",IF(OR($N2365=TRUE(),$N2365="TRUE"),1,0))</f>
        <v/>
      </c>
      <c r="AJ2365">
        <f>IF($C2365="","",IF($T2365="Yes",1,0))</f>
        <v/>
      </c>
      <c r="AK2365">
        <f>IF($AG2365=1,IFERROR(IF(VALUE($C2365)&lt;100000000,VALUE($C2365),1000000000),IFERROR(IF(VALUE(MID($C2365,2,20))&lt;100000000,VALUE(MID($C2365,2,20)),1000000000),1000000000))+ROW()/100000,"")</f>
        <v/>
      </c>
    </row>
    <row r="2366">
      <c r="D2366" s="11" t="n"/>
      <c r="K2366" s="7">
        <f>IF($C2366="","",J2366*W2366/100)</f>
        <v/>
      </c>
      <c r="Q2366" s="7" t="n"/>
      <c r="R2366" s="7" t="n"/>
      <c r="U2366">
        <f>IF($C2366="","",IF($AJ2366=1,0,IF($AI2366=1,Settings!$C$6,Settings!$C$7))*100)</f>
        <v/>
      </c>
      <c r="V2366" s="7">
        <f>IF($C2366="","",R2366*U2366/100)</f>
        <v/>
      </c>
      <c r="W2366" s="7">
        <f>IF($C2366="","",R2366-V2366)</f>
        <v/>
      </c>
      <c r="X2366" s="7">
        <f>IF($C2366="","",W2366-K2366)</f>
        <v/>
      </c>
      <c r="AB2366" s="7" t="n"/>
      <c r="AE2366" s="11" t="n"/>
      <c r="AG2366">
        <f>IF($C2366="","",IF(COUNTIF($C$2:$C2366,$C2366)=1,1,0))</f>
        <v/>
      </c>
      <c r="AH2366">
        <f>IF($AG2366=1,SUMPRODUCT(--($AK$2:$AK$6001&lt;$AK2366))+1,"")</f>
        <v/>
      </c>
      <c r="AI2366">
        <f>IF($C2366="","",IF(OR($N2366=TRUE(),$N2366="TRUE"),1,0))</f>
        <v/>
      </c>
      <c r="AJ2366">
        <f>IF($C2366="","",IF($T2366="Yes",1,0))</f>
        <v/>
      </c>
      <c r="AK2366">
        <f>IF($AG2366=1,IFERROR(IF(VALUE($C2366)&lt;100000000,VALUE($C2366),1000000000),IFERROR(IF(VALUE(MID($C2366,2,20))&lt;100000000,VALUE(MID($C2366,2,20)),1000000000),1000000000))+ROW()/100000,"")</f>
        <v/>
      </c>
    </row>
    <row r="2367">
      <c r="D2367" s="11" t="n"/>
      <c r="K2367" s="7">
        <f>IF($C2367="","",J2367*W2367/100)</f>
        <v/>
      </c>
      <c r="Q2367" s="7" t="n"/>
      <c r="R2367" s="7" t="n"/>
      <c r="U2367">
        <f>IF($C2367="","",IF($AJ2367=1,0,IF($AI2367=1,Settings!$C$6,Settings!$C$7))*100)</f>
        <v/>
      </c>
      <c r="V2367" s="7">
        <f>IF($C2367="","",R2367*U2367/100)</f>
        <v/>
      </c>
      <c r="W2367" s="7">
        <f>IF($C2367="","",R2367-V2367)</f>
        <v/>
      </c>
      <c r="X2367" s="7">
        <f>IF($C2367="","",W2367-K2367)</f>
        <v/>
      </c>
      <c r="AB2367" s="7" t="n"/>
      <c r="AE2367" s="11" t="n"/>
      <c r="AG2367">
        <f>IF($C2367="","",IF(COUNTIF($C$2:$C2367,$C2367)=1,1,0))</f>
        <v/>
      </c>
      <c r="AH2367">
        <f>IF($AG2367=1,SUMPRODUCT(--($AK$2:$AK$6001&lt;$AK2367))+1,"")</f>
        <v/>
      </c>
      <c r="AI2367">
        <f>IF($C2367="","",IF(OR($N2367=TRUE(),$N2367="TRUE"),1,0))</f>
        <v/>
      </c>
      <c r="AJ2367">
        <f>IF($C2367="","",IF($T2367="Yes",1,0))</f>
        <v/>
      </c>
      <c r="AK2367">
        <f>IF($AG2367=1,IFERROR(IF(VALUE($C2367)&lt;100000000,VALUE($C2367),1000000000),IFERROR(IF(VALUE(MID($C2367,2,20))&lt;100000000,VALUE(MID($C2367,2,20)),1000000000),1000000000))+ROW()/100000,"")</f>
        <v/>
      </c>
    </row>
    <row r="2368">
      <c r="D2368" s="11" t="n"/>
      <c r="K2368" s="7">
        <f>IF($C2368="","",J2368*W2368/100)</f>
        <v/>
      </c>
      <c r="Q2368" s="7" t="n"/>
      <c r="R2368" s="7" t="n"/>
      <c r="U2368">
        <f>IF($C2368="","",IF($AJ2368=1,0,IF($AI2368=1,Settings!$C$6,Settings!$C$7))*100)</f>
        <v/>
      </c>
      <c r="V2368" s="7">
        <f>IF($C2368="","",R2368*U2368/100)</f>
        <v/>
      </c>
      <c r="W2368" s="7">
        <f>IF($C2368="","",R2368-V2368)</f>
        <v/>
      </c>
      <c r="X2368" s="7">
        <f>IF($C2368="","",W2368-K2368)</f>
        <v/>
      </c>
      <c r="AB2368" s="7" t="n"/>
      <c r="AE2368" s="11" t="n"/>
      <c r="AG2368">
        <f>IF($C2368="","",IF(COUNTIF($C$2:$C2368,$C2368)=1,1,0))</f>
        <v/>
      </c>
      <c r="AH2368">
        <f>IF($AG2368=1,SUMPRODUCT(--($AK$2:$AK$6001&lt;$AK2368))+1,"")</f>
        <v/>
      </c>
      <c r="AI2368">
        <f>IF($C2368="","",IF(OR($N2368=TRUE(),$N2368="TRUE"),1,0))</f>
        <v/>
      </c>
      <c r="AJ2368">
        <f>IF($C2368="","",IF($T2368="Yes",1,0))</f>
        <v/>
      </c>
      <c r="AK2368">
        <f>IF($AG2368=1,IFERROR(IF(VALUE($C2368)&lt;100000000,VALUE($C2368),1000000000),IFERROR(IF(VALUE(MID($C2368,2,20))&lt;100000000,VALUE(MID($C2368,2,20)),1000000000),1000000000))+ROW()/100000,"")</f>
        <v/>
      </c>
    </row>
    <row r="2369">
      <c r="D2369" s="11" t="n"/>
      <c r="K2369" s="7">
        <f>IF($C2369="","",J2369*W2369/100)</f>
        <v/>
      </c>
      <c r="Q2369" s="7" t="n"/>
      <c r="R2369" s="7" t="n"/>
      <c r="U2369">
        <f>IF($C2369="","",IF($AJ2369=1,0,IF($AI2369=1,Settings!$C$6,Settings!$C$7))*100)</f>
        <v/>
      </c>
      <c r="V2369" s="7">
        <f>IF($C2369="","",R2369*U2369/100)</f>
        <v/>
      </c>
      <c r="W2369" s="7">
        <f>IF($C2369="","",R2369-V2369)</f>
        <v/>
      </c>
      <c r="X2369" s="7">
        <f>IF($C2369="","",W2369-K2369)</f>
        <v/>
      </c>
      <c r="AB2369" s="7" t="n"/>
      <c r="AE2369" s="11" t="n"/>
      <c r="AG2369">
        <f>IF($C2369="","",IF(COUNTIF($C$2:$C2369,$C2369)=1,1,0))</f>
        <v/>
      </c>
      <c r="AH2369">
        <f>IF($AG2369=1,SUMPRODUCT(--($AK$2:$AK$6001&lt;$AK2369))+1,"")</f>
        <v/>
      </c>
      <c r="AI2369">
        <f>IF($C2369="","",IF(OR($N2369=TRUE(),$N2369="TRUE"),1,0))</f>
        <v/>
      </c>
      <c r="AJ2369">
        <f>IF($C2369="","",IF($T2369="Yes",1,0))</f>
        <v/>
      </c>
      <c r="AK2369">
        <f>IF($AG2369=1,IFERROR(IF(VALUE($C2369)&lt;100000000,VALUE($C2369),1000000000),IFERROR(IF(VALUE(MID($C2369,2,20))&lt;100000000,VALUE(MID($C2369,2,20)),1000000000),1000000000))+ROW()/100000,"")</f>
        <v/>
      </c>
    </row>
    <row r="2370">
      <c r="D2370" s="11" t="n"/>
      <c r="K2370" s="7">
        <f>IF($C2370="","",J2370*W2370/100)</f>
        <v/>
      </c>
      <c r="Q2370" s="7" t="n"/>
      <c r="R2370" s="7" t="n"/>
      <c r="U2370">
        <f>IF($C2370="","",IF($AJ2370=1,0,IF($AI2370=1,Settings!$C$6,Settings!$C$7))*100)</f>
        <v/>
      </c>
      <c r="V2370" s="7">
        <f>IF($C2370="","",R2370*U2370/100)</f>
        <v/>
      </c>
      <c r="W2370" s="7">
        <f>IF($C2370="","",R2370-V2370)</f>
        <v/>
      </c>
      <c r="X2370" s="7">
        <f>IF($C2370="","",W2370-K2370)</f>
        <v/>
      </c>
      <c r="AB2370" s="7" t="n"/>
      <c r="AE2370" s="11" t="n"/>
      <c r="AG2370">
        <f>IF($C2370="","",IF(COUNTIF($C$2:$C2370,$C2370)=1,1,0))</f>
        <v/>
      </c>
      <c r="AH2370">
        <f>IF($AG2370=1,SUMPRODUCT(--($AK$2:$AK$6001&lt;$AK2370))+1,"")</f>
        <v/>
      </c>
      <c r="AI2370">
        <f>IF($C2370="","",IF(OR($N2370=TRUE(),$N2370="TRUE"),1,0))</f>
        <v/>
      </c>
      <c r="AJ2370">
        <f>IF($C2370="","",IF($T2370="Yes",1,0))</f>
        <v/>
      </c>
      <c r="AK2370">
        <f>IF($AG2370=1,IFERROR(IF(VALUE($C2370)&lt;100000000,VALUE($C2370),1000000000),IFERROR(IF(VALUE(MID($C2370,2,20))&lt;100000000,VALUE(MID($C2370,2,20)),1000000000),1000000000))+ROW()/100000,"")</f>
        <v/>
      </c>
    </row>
    <row r="2371">
      <c r="D2371" s="11" t="n"/>
      <c r="K2371" s="7">
        <f>IF($C2371="","",J2371*W2371/100)</f>
        <v/>
      </c>
      <c r="Q2371" s="7" t="n"/>
      <c r="R2371" s="7" t="n"/>
      <c r="U2371">
        <f>IF($C2371="","",IF($AJ2371=1,0,IF($AI2371=1,Settings!$C$6,Settings!$C$7))*100)</f>
        <v/>
      </c>
      <c r="V2371" s="7">
        <f>IF($C2371="","",R2371*U2371/100)</f>
        <v/>
      </c>
      <c r="W2371" s="7">
        <f>IF($C2371="","",R2371-V2371)</f>
        <v/>
      </c>
      <c r="X2371" s="7">
        <f>IF($C2371="","",W2371-K2371)</f>
        <v/>
      </c>
      <c r="AB2371" s="7" t="n"/>
      <c r="AE2371" s="11" t="n"/>
      <c r="AG2371">
        <f>IF($C2371="","",IF(COUNTIF($C$2:$C2371,$C2371)=1,1,0))</f>
        <v/>
      </c>
      <c r="AH2371">
        <f>IF($AG2371=1,SUMPRODUCT(--($AK$2:$AK$6001&lt;$AK2371))+1,"")</f>
        <v/>
      </c>
      <c r="AI2371">
        <f>IF($C2371="","",IF(OR($N2371=TRUE(),$N2371="TRUE"),1,0))</f>
        <v/>
      </c>
      <c r="AJ2371">
        <f>IF($C2371="","",IF($T2371="Yes",1,0))</f>
        <v/>
      </c>
      <c r="AK2371">
        <f>IF($AG2371=1,IFERROR(IF(VALUE($C2371)&lt;100000000,VALUE($C2371),1000000000),IFERROR(IF(VALUE(MID($C2371,2,20))&lt;100000000,VALUE(MID($C2371,2,20)),1000000000),1000000000))+ROW()/100000,"")</f>
        <v/>
      </c>
    </row>
    <row r="2372">
      <c r="D2372" s="11" t="n"/>
      <c r="K2372" s="7">
        <f>IF($C2372="","",J2372*W2372/100)</f>
        <v/>
      </c>
      <c r="Q2372" s="7" t="n"/>
      <c r="R2372" s="7" t="n"/>
      <c r="U2372">
        <f>IF($C2372="","",IF($AJ2372=1,0,IF($AI2372=1,Settings!$C$6,Settings!$C$7))*100)</f>
        <v/>
      </c>
      <c r="V2372" s="7">
        <f>IF($C2372="","",R2372*U2372/100)</f>
        <v/>
      </c>
      <c r="W2372" s="7">
        <f>IF($C2372="","",R2372-V2372)</f>
        <v/>
      </c>
      <c r="X2372" s="7">
        <f>IF($C2372="","",W2372-K2372)</f>
        <v/>
      </c>
      <c r="AB2372" s="7" t="n"/>
      <c r="AE2372" s="11" t="n"/>
      <c r="AG2372">
        <f>IF($C2372="","",IF(COUNTIF($C$2:$C2372,$C2372)=1,1,0))</f>
        <v/>
      </c>
      <c r="AH2372">
        <f>IF($AG2372=1,SUMPRODUCT(--($AK$2:$AK$6001&lt;$AK2372))+1,"")</f>
        <v/>
      </c>
      <c r="AI2372">
        <f>IF($C2372="","",IF(OR($N2372=TRUE(),$N2372="TRUE"),1,0))</f>
        <v/>
      </c>
      <c r="AJ2372">
        <f>IF($C2372="","",IF($T2372="Yes",1,0))</f>
        <v/>
      </c>
      <c r="AK2372">
        <f>IF($AG2372=1,IFERROR(IF(VALUE($C2372)&lt;100000000,VALUE($C2372),1000000000),IFERROR(IF(VALUE(MID($C2372,2,20))&lt;100000000,VALUE(MID($C2372,2,20)),1000000000),1000000000))+ROW()/100000,"")</f>
        <v/>
      </c>
    </row>
    <row r="2373">
      <c r="D2373" s="11" t="n"/>
      <c r="K2373" s="7">
        <f>IF($C2373="","",J2373*W2373/100)</f>
        <v/>
      </c>
      <c r="Q2373" s="7" t="n"/>
      <c r="R2373" s="7" t="n"/>
      <c r="U2373">
        <f>IF($C2373="","",IF($AJ2373=1,0,IF($AI2373=1,Settings!$C$6,Settings!$C$7))*100)</f>
        <v/>
      </c>
      <c r="V2373" s="7">
        <f>IF($C2373="","",R2373*U2373/100)</f>
        <v/>
      </c>
      <c r="W2373" s="7">
        <f>IF($C2373="","",R2373-V2373)</f>
        <v/>
      </c>
      <c r="X2373" s="7">
        <f>IF($C2373="","",W2373-K2373)</f>
        <v/>
      </c>
      <c r="AB2373" s="7" t="n"/>
      <c r="AE2373" s="11" t="n"/>
      <c r="AG2373">
        <f>IF($C2373="","",IF(COUNTIF($C$2:$C2373,$C2373)=1,1,0))</f>
        <v/>
      </c>
      <c r="AH2373">
        <f>IF($AG2373=1,SUMPRODUCT(--($AK$2:$AK$6001&lt;$AK2373))+1,"")</f>
        <v/>
      </c>
      <c r="AI2373">
        <f>IF($C2373="","",IF(OR($N2373=TRUE(),$N2373="TRUE"),1,0))</f>
        <v/>
      </c>
      <c r="AJ2373">
        <f>IF($C2373="","",IF($T2373="Yes",1,0))</f>
        <v/>
      </c>
      <c r="AK2373">
        <f>IF($AG2373=1,IFERROR(IF(VALUE($C2373)&lt;100000000,VALUE($C2373),1000000000),IFERROR(IF(VALUE(MID($C2373,2,20))&lt;100000000,VALUE(MID($C2373,2,20)),1000000000),1000000000))+ROW()/100000,"")</f>
        <v/>
      </c>
    </row>
    <row r="2374">
      <c r="D2374" s="11" t="n"/>
      <c r="K2374" s="7">
        <f>IF($C2374="","",J2374*W2374/100)</f>
        <v/>
      </c>
      <c r="Q2374" s="7" t="n"/>
      <c r="R2374" s="7" t="n"/>
      <c r="U2374">
        <f>IF($C2374="","",IF($AJ2374=1,0,IF($AI2374=1,Settings!$C$6,Settings!$C$7))*100)</f>
        <v/>
      </c>
      <c r="V2374" s="7">
        <f>IF($C2374="","",R2374*U2374/100)</f>
        <v/>
      </c>
      <c r="W2374" s="7">
        <f>IF($C2374="","",R2374-V2374)</f>
        <v/>
      </c>
      <c r="X2374" s="7">
        <f>IF($C2374="","",W2374-K2374)</f>
        <v/>
      </c>
      <c r="AB2374" s="7" t="n"/>
      <c r="AE2374" s="11" t="n"/>
      <c r="AG2374">
        <f>IF($C2374="","",IF(COUNTIF($C$2:$C2374,$C2374)=1,1,0))</f>
        <v/>
      </c>
      <c r="AH2374">
        <f>IF($AG2374=1,SUMPRODUCT(--($AK$2:$AK$6001&lt;$AK2374))+1,"")</f>
        <v/>
      </c>
      <c r="AI2374">
        <f>IF($C2374="","",IF(OR($N2374=TRUE(),$N2374="TRUE"),1,0))</f>
        <v/>
      </c>
      <c r="AJ2374">
        <f>IF($C2374="","",IF($T2374="Yes",1,0))</f>
        <v/>
      </c>
      <c r="AK2374">
        <f>IF($AG2374=1,IFERROR(IF(VALUE($C2374)&lt;100000000,VALUE($C2374),1000000000),IFERROR(IF(VALUE(MID($C2374,2,20))&lt;100000000,VALUE(MID($C2374,2,20)),1000000000),1000000000))+ROW()/100000,"")</f>
        <v/>
      </c>
    </row>
    <row r="2375">
      <c r="D2375" s="11" t="n"/>
      <c r="K2375" s="7">
        <f>IF($C2375="","",J2375*W2375/100)</f>
        <v/>
      </c>
      <c r="Q2375" s="7" t="n"/>
      <c r="R2375" s="7" t="n"/>
      <c r="U2375">
        <f>IF($C2375="","",IF($AJ2375=1,0,IF($AI2375=1,Settings!$C$6,Settings!$C$7))*100)</f>
        <v/>
      </c>
      <c r="V2375" s="7">
        <f>IF($C2375="","",R2375*U2375/100)</f>
        <v/>
      </c>
      <c r="W2375" s="7">
        <f>IF($C2375="","",R2375-V2375)</f>
        <v/>
      </c>
      <c r="X2375" s="7">
        <f>IF($C2375="","",W2375-K2375)</f>
        <v/>
      </c>
      <c r="AB2375" s="7" t="n"/>
      <c r="AE2375" s="11" t="n"/>
      <c r="AG2375">
        <f>IF($C2375="","",IF(COUNTIF($C$2:$C2375,$C2375)=1,1,0))</f>
        <v/>
      </c>
      <c r="AH2375">
        <f>IF($AG2375=1,SUMPRODUCT(--($AK$2:$AK$6001&lt;$AK2375))+1,"")</f>
        <v/>
      </c>
      <c r="AI2375">
        <f>IF($C2375="","",IF(OR($N2375=TRUE(),$N2375="TRUE"),1,0))</f>
        <v/>
      </c>
      <c r="AJ2375">
        <f>IF($C2375="","",IF($T2375="Yes",1,0))</f>
        <v/>
      </c>
      <c r="AK2375">
        <f>IF($AG2375=1,IFERROR(IF(VALUE($C2375)&lt;100000000,VALUE($C2375),1000000000),IFERROR(IF(VALUE(MID($C2375,2,20))&lt;100000000,VALUE(MID($C2375,2,20)),1000000000),1000000000))+ROW()/100000,"")</f>
        <v/>
      </c>
    </row>
    <row r="2376">
      <c r="D2376" s="11" t="n"/>
      <c r="K2376" s="7">
        <f>IF($C2376="","",J2376*W2376/100)</f>
        <v/>
      </c>
      <c r="Q2376" s="7" t="n"/>
      <c r="R2376" s="7" t="n"/>
      <c r="U2376">
        <f>IF($C2376="","",IF($AJ2376=1,0,IF($AI2376=1,Settings!$C$6,Settings!$C$7))*100)</f>
        <v/>
      </c>
      <c r="V2376" s="7">
        <f>IF($C2376="","",R2376*U2376/100)</f>
        <v/>
      </c>
      <c r="W2376" s="7">
        <f>IF($C2376="","",R2376-V2376)</f>
        <v/>
      </c>
      <c r="X2376" s="7">
        <f>IF($C2376="","",W2376-K2376)</f>
        <v/>
      </c>
      <c r="AB2376" s="7" t="n"/>
      <c r="AE2376" s="11" t="n"/>
      <c r="AG2376">
        <f>IF($C2376="","",IF(COUNTIF($C$2:$C2376,$C2376)=1,1,0))</f>
        <v/>
      </c>
      <c r="AH2376">
        <f>IF($AG2376=1,SUMPRODUCT(--($AK$2:$AK$6001&lt;$AK2376))+1,"")</f>
        <v/>
      </c>
      <c r="AI2376">
        <f>IF($C2376="","",IF(OR($N2376=TRUE(),$N2376="TRUE"),1,0))</f>
        <v/>
      </c>
      <c r="AJ2376">
        <f>IF($C2376="","",IF($T2376="Yes",1,0))</f>
        <v/>
      </c>
      <c r="AK2376">
        <f>IF($AG2376=1,IFERROR(IF(VALUE($C2376)&lt;100000000,VALUE($C2376),1000000000),IFERROR(IF(VALUE(MID($C2376,2,20))&lt;100000000,VALUE(MID($C2376,2,20)),1000000000),1000000000))+ROW()/100000,"")</f>
        <v/>
      </c>
    </row>
    <row r="2377">
      <c r="D2377" s="11" t="n"/>
      <c r="K2377" s="7">
        <f>IF($C2377="","",J2377*W2377/100)</f>
        <v/>
      </c>
      <c r="Q2377" s="7" t="n"/>
      <c r="R2377" s="7" t="n"/>
      <c r="U2377">
        <f>IF($C2377="","",IF($AJ2377=1,0,IF($AI2377=1,Settings!$C$6,Settings!$C$7))*100)</f>
        <v/>
      </c>
      <c r="V2377" s="7">
        <f>IF($C2377="","",R2377*U2377/100)</f>
        <v/>
      </c>
      <c r="W2377" s="7">
        <f>IF($C2377="","",R2377-V2377)</f>
        <v/>
      </c>
      <c r="X2377" s="7">
        <f>IF($C2377="","",W2377-K2377)</f>
        <v/>
      </c>
      <c r="AB2377" s="7" t="n"/>
      <c r="AE2377" s="11" t="n"/>
      <c r="AG2377">
        <f>IF($C2377="","",IF(COUNTIF($C$2:$C2377,$C2377)=1,1,0))</f>
        <v/>
      </c>
      <c r="AH2377">
        <f>IF($AG2377=1,SUMPRODUCT(--($AK$2:$AK$6001&lt;$AK2377))+1,"")</f>
        <v/>
      </c>
      <c r="AI2377">
        <f>IF($C2377="","",IF(OR($N2377=TRUE(),$N2377="TRUE"),1,0))</f>
        <v/>
      </c>
      <c r="AJ2377">
        <f>IF($C2377="","",IF($T2377="Yes",1,0))</f>
        <v/>
      </c>
      <c r="AK2377">
        <f>IF($AG2377=1,IFERROR(IF(VALUE($C2377)&lt;100000000,VALUE($C2377),1000000000),IFERROR(IF(VALUE(MID($C2377,2,20))&lt;100000000,VALUE(MID($C2377,2,20)),1000000000),1000000000))+ROW()/100000,"")</f>
        <v/>
      </c>
    </row>
    <row r="2378">
      <c r="D2378" s="11" t="n"/>
      <c r="K2378" s="7">
        <f>IF($C2378="","",J2378*W2378/100)</f>
        <v/>
      </c>
      <c r="Q2378" s="7" t="n"/>
      <c r="R2378" s="7" t="n"/>
      <c r="U2378">
        <f>IF($C2378="","",IF($AJ2378=1,0,IF($AI2378=1,Settings!$C$6,Settings!$C$7))*100)</f>
        <v/>
      </c>
      <c r="V2378" s="7">
        <f>IF($C2378="","",R2378*U2378/100)</f>
        <v/>
      </c>
      <c r="W2378" s="7">
        <f>IF($C2378="","",R2378-V2378)</f>
        <v/>
      </c>
      <c r="X2378" s="7">
        <f>IF($C2378="","",W2378-K2378)</f>
        <v/>
      </c>
      <c r="AB2378" s="7" t="n"/>
      <c r="AE2378" s="11" t="n"/>
      <c r="AG2378">
        <f>IF($C2378="","",IF(COUNTIF($C$2:$C2378,$C2378)=1,1,0))</f>
        <v/>
      </c>
      <c r="AH2378">
        <f>IF($AG2378=1,SUMPRODUCT(--($AK$2:$AK$6001&lt;$AK2378))+1,"")</f>
        <v/>
      </c>
      <c r="AI2378">
        <f>IF($C2378="","",IF(OR($N2378=TRUE(),$N2378="TRUE"),1,0))</f>
        <v/>
      </c>
      <c r="AJ2378">
        <f>IF($C2378="","",IF($T2378="Yes",1,0))</f>
        <v/>
      </c>
      <c r="AK2378">
        <f>IF($AG2378=1,IFERROR(IF(VALUE($C2378)&lt;100000000,VALUE($C2378),1000000000),IFERROR(IF(VALUE(MID($C2378,2,20))&lt;100000000,VALUE(MID($C2378,2,20)),1000000000),1000000000))+ROW()/100000,"")</f>
        <v/>
      </c>
    </row>
    <row r="2379">
      <c r="D2379" s="11" t="n"/>
      <c r="K2379" s="7">
        <f>IF($C2379="","",J2379*W2379/100)</f>
        <v/>
      </c>
      <c r="Q2379" s="7" t="n"/>
      <c r="R2379" s="7" t="n"/>
      <c r="U2379">
        <f>IF($C2379="","",IF($AJ2379=1,0,IF($AI2379=1,Settings!$C$6,Settings!$C$7))*100)</f>
        <v/>
      </c>
      <c r="V2379" s="7">
        <f>IF($C2379="","",R2379*U2379/100)</f>
        <v/>
      </c>
      <c r="W2379" s="7">
        <f>IF($C2379="","",R2379-V2379)</f>
        <v/>
      </c>
      <c r="X2379" s="7">
        <f>IF($C2379="","",W2379-K2379)</f>
        <v/>
      </c>
      <c r="AB2379" s="7" t="n"/>
      <c r="AE2379" s="11" t="n"/>
      <c r="AG2379">
        <f>IF($C2379="","",IF(COUNTIF($C$2:$C2379,$C2379)=1,1,0))</f>
        <v/>
      </c>
      <c r="AH2379">
        <f>IF($AG2379=1,SUMPRODUCT(--($AK$2:$AK$6001&lt;$AK2379))+1,"")</f>
        <v/>
      </c>
      <c r="AI2379">
        <f>IF($C2379="","",IF(OR($N2379=TRUE(),$N2379="TRUE"),1,0))</f>
        <v/>
      </c>
      <c r="AJ2379">
        <f>IF($C2379="","",IF($T2379="Yes",1,0))</f>
        <v/>
      </c>
      <c r="AK2379">
        <f>IF($AG2379=1,IFERROR(IF(VALUE($C2379)&lt;100000000,VALUE($C2379),1000000000),IFERROR(IF(VALUE(MID($C2379,2,20))&lt;100000000,VALUE(MID($C2379,2,20)),1000000000),1000000000))+ROW()/100000,"")</f>
        <v/>
      </c>
    </row>
    <row r="2380">
      <c r="D2380" s="11" t="n"/>
      <c r="K2380" s="7">
        <f>IF($C2380="","",J2380*W2380/100)</f>
        <v/>
      </c>
      <c r="Q2380" s="7" t="n"/>
      <c r="R2380" s="7" t="n"/>
      <c r="U2380">
        <f>IF($C2380="","",IF($AJ2380=1,0,IF($AI2380=1,Settings!$C$6,Settings!$C$7))*100)</f>
        <v/>
      </c>
      <c r="V2380" s="7">
        <f>IF($C2380="","",R2380*U2380/100)</f>
        <v/>
      </c>
      <c r="W2380" s="7">
        <f>IF($C2380="","",R2380-V2380)</f>
        <v/>
      </c>
      <c r="X2380" s="7">
        <f>IF($C2380="","",W2380-K2380)</f>
        <v/>
      </c>
      <c r="AB2380" s="7" t="n"/>
      <c r="AE2380" s="11" t="n"/>
      <c r="AG2380">
        <f>IF($C2380="","",IF(COUNTIF($C$2:$C2380,$C2380)=1,1,0))</f>
        <v/>
      </c>
      <c r="AH2380">
        <f>IF($AG2380=1,SUMPRODUCT(--($AK$2:$AK$6001&lt;$AK2380))+1,"")</f>
        <v/>
      </c>
      <c r="AI2380">
        <f>IF($C2380="","",IF(OR($N2380=TRUE(),$N2380="TRUE"),1,0))</f>
        <v/>
      </c>
      <c r="AJ2380">
        <f>IF($C2380="","",IF($T2380="Yes",1,0))</f>
        <v/>
      </c>
      <c r="AK2380">
        <f>IF($AG2380=1,IFERROR(IF(VALUE($C2380)&lt;100000000,VALUE($C2380),1000000000),IFERROR(IF(VALUE(MID($C2380,2,20))&lt;100000000,VALUE(MID($C2380,2,20)),1000000000),1000000000))+ROW()/100000,"")</f>
        <v/>
      </c>
    </row>
    <row r="2381">
      <c r="D2381" s="11" t="n"/>
      <c r="K2381" s="7">
        <f>IF($C2381="","",J2381*W2381/100)</f>
        <v/>
      </c>
      <c r="Q2381" s="7" t="n"/>
      <c r="R2381" s="7" t="n"/>
      <c r="U2381">
        <f>IF($C2381="","",IF($AJ2381=1,0,IF($AI2381=1,Settings!$C$6,Settings!$C$7))*100)</f>
        <v/>
      </c>
      <c r="V2381" s="7">
        <f>IF($C2381="","",R2381*U2381/100)</f>
        <v/>
      </c>
      <c r="W2381" s="7">
        <f>IF($C2381="","",R2381-V2381)</f>
        <v/>
      </c>
      <c r="X2381" s="7">
        <f>IF($C2381="","",W2381-K2381)</f>
        <v/>
      </c>
      <c r="AB2381" s="7" t="n"/>
      <c r="AE2381" s="11" t="n"/>
      <c r="AG2381">
        <f>IF($C2381="","",IF(COUNTIF($C$2:$C2381,$C2381)=1,1,0))</f>
        <v/>
      </c>
      <c r="AH2381">
        <f>IF($AG2381=1,SUMPRODUCT(--($AK$2:$AK$6001&lt;$AK2381))+1,"")</f>
        <v/>
      </c>
      <c r="AI2381">
        <f>IF($C2381="","",IF(OR($N2381=TRUE(),$N2381="TRUE"),1,0))</f>
        <v/>
      </c>
      <c r="AJ2381">
        <f>IF($C2381="","",IF($T2381="Yes",1,0))</f>
        <v/>
      </c>
      <c r="AK2381">
        <f>IF($AG2381=1,IFERROR(IF(VALUE($C2381)&lt;100000000,VALUE($C2381),1000000000),IFERROR(IF(VALUE(MID($C2381,2,20))&lt;100000000,VALUE(MID($C2381,2,20)),1000000000),1000000000))+ROW()/100000,"")</f>
        <v/>
      </c>
    </row>
    <row r="2382">
      <c r="D2382" s="11" t="n"/>
      <c r="K2382" s="7">
        <f>IF($C2382="","",J2382*W2382/100)</f>
        <v/>
      </c>
      <c r="Q2382" s="7" t="n"/>
      <c r="R2382" s="7" t="n"/>
      <c r="U2382">
        <f>IF($C2382="","",IF($AJ2382=1,0,IF($AI2382=1,Settings!$C$6,Settings!$C$7))*100)</f>
        <v/>
      </c>
      <c r="V2382" s="7">
        <f>IF($C2382="","",R2382*U2382/100)</f>
        <v/>
      </c>
      <c r="W2382" s="7">
        <f>IF($C2382="","",R2382-V2382)</f>
        <v/>
      </c>
      <c r="X2382" s="7">
        <f>IF($C2382="","",W2382-K2382)</f>
        <v/>
      </c>
      <c r="AB2382" s="7" t="n"/>
      <c r="AE2382" s="11" t="n"/>
      <c r="AG2382">
        <f>IF($C2382="","",IF(COUNTIF($C$2:$C2382,$C2382)=1,1,0))</f>
        <v/>
      </c>
      <c r="AH2382">
        <f>IF($AG2382=1,SUMPRODUCT(--($AK$2:$AK$6001&lt;$AK2382))+1,"")</f>
        <v/>
      </c>
      <c r="AI2382">
        <f>IF($C2382="","",IF(OR($N2382=TRUE(),$N2382="TRUE"),1,0))</f>
        <v/>
      </c>
      <c r="AJ2382">
        <f>IF($C2382="","",IF($T2382="Yes",1,0))</f>
        <v/>
      </c>
      <c r="AK2382">
        <f>IF($AG2382=1,IFERROR(IF(VALUE($C2382)&lt;100000000,VALUE($C2382),1000000000),IFERROR(IF(VALUE(MID($C2382,2,20))&lt;100000000,VALUE(MID($C2382,2,20)),1000000000),1000000000))+ROW()/100000,"")</f>
        <v/>
      </c>
    </row>
    <row r="2383">
      <c r="D2383" s="11" t="n"/>
      <c r="K2383" s="7">
        <f>IF($C2383="","",J2383*W2383/100)</f>
        <v/>
      </c>
      <c r="Q2383" s="7" t="n"/>
      <c r="R2383" s="7" t="n"/>
      <c r="U2383">
        <f>IF($C2383="","",IF($AJ2383=1,0,IF($AI2383=1,Settings!$C$6,Settings!$C$7))*100)</f>
        <v/>
      </c>
      <c r="V2383" s="7">
        <f>IF($C2383="","",R2383*U2383/100)</f>
        <v/>
      </c>
      <c r="W2383" s="7">
        <f>IF($C2383="","",R2383-V2383)</f>
        <v/>
      </c>
      <c r="X2383" s="7">
        <f>IF($C2383="","",W2383-K2383)</f>
        <v/>
      </c>
      <c r="AB2383" s="7" t="n"/>
      <c r="AE2383" s="11" t="n"/>
      <c r="AG2383">
        <f>IF($C2383="","",IF(COUNTIF($C$2:$C2383,$C2383)=1,1,0))</f>
        <v/>
      </c>
      <c r="AH2383">
        <f>IF($AG2383=1,SUMPRODUCT(--($AK$2:$AK$6001&lt;$AK2383))+1,"")</f>
        <v/>
      </c>
      <c r="AI2383">
        <f>IF($C2383="","",IF(OR($N2383=TRUE(),$N2383="TRUE"),1,0))</f>
        <v/>
      </c>
      <c r="AJ2383">
        <f>IF($C2383="","",IF($T2383="Yes",1,0))</f>
        <v/>
      </c>
      <c r="AK2383">
        <f>IF($AG2383=1,IFERROR(IF(VALUE($C2383)&lt;100000000,VALUE($C2383),1000000000),IFERROR(IF(VALUE(MID($C2383,2,20))&lt;100000000,VALUE(MID($C2383,2,20)),1000000000),1000000000))+ROW()/100000,"")</f>
        <v/>
      </c>
    </row>
    <row r="2384">
      <c r="D2384" s="11" t="n"/>
      <c r="K2384" s="7">
        <f>IF($C2384="","",J2384*W2384/100)</f>
        <v/>
      </c>
      <c r="Q2384" s="7" t="n"/>
      <c r="R2384" s="7" t="n"/>
      <c r="U2384">
        <f>IF($C2384="","",IF($AJ2384=1,0,IF($AI2384=1,Settings!$C$6,Settings!$C$7))*100)</f>
        <v/>
      </c>
      <c r="V2384" s="7">
        <f>IF($C2384="","",R2384*U2384/100)</f>
        <v/>
      </c>
      <c r="W2384" s="7">
        <f>IF($C2384="","",R2384-V2384)</f>
        <v/>
      </c>
      <c r="X2384" s="7">
        <f>IF($C2384="","",W2384-K2384)</f>
        <v/>
      </c>
      <c r="AB2384" s="7" t="n"/>
      <c r="AE2384" s="11" t="n"/>
      <c r="AG2384">
        <f>IF($C2384="","",IF(COUNTIF($C$2:$C2384,$C2384)=1,1,0))</f>
        <v/>
      </c>
      <c r="AH2384">
        <f>IF($AG2384=1,SUMPRODUCT(--($AK$2:$AK$6001&lt;$AK2384))+1,"")</f>
        <v/>
      </c>
      <c r="AI2384">
        <f>IF($C2384="","",IF(OR($N2384=TRUE(),$N2384="TRUE"),1,0))</f>
        <v/>
      </c>
      <c r="AJ2384">
        <f>IF($C2384="","",IF($T2384="Yes",1,0))</f>
        <v/>
      </c>
      <c r="AK2384">
        <f>IF($AG2384=1,IFERROR(IF(VALUE($C2384)&lt;100000000,VALUE($C2384),1000000000),IFERROR(IF(VALUE(MID($C2384,2,20))&lt;100000000,VALUE(MID($C2384,2,20)),1000000000),1000000000))+ROW()/100000,"")</f>
        <v/>
      </c>
    </row>
    <row r="2385">
      <c r="D2385" s="11" t="n"/>
      <c r="K2385" s="7">
        <f>IF($C2385="","",J2385*W2385/100)</f>
        <v/>
      </c>
      <c r="Q2385" s="7" t="n"/>
      <c r="R2385" s="7" t="n"/>
      <c r="U2385">
        <f>IF($C2385="","",IF($AJ2385=1,0,IF($AI2385=1,Settings!$C$6,Settings!$C$7))*100)</f>
        <v/>
      </c>
      <c r="V2385" s="7">
        <f>IF($C2385="","",R2385*U2385/100)</f>
        <v/>
      </c>
      <c r="W2385" s="7">
        <f>IF($C2385="","",R2385-V2385)</f>
        <v/>
      </c>
      <c r="X2385" s="7">
        <f>IF($C2385="","",W2385-K2385)</f>
        <v/>
      </c>
      <c r="AB2385" s="7" t="n"/>
      <c r="AE2385" s="11" t="n"/>
      <c r="AG2385">
        <f>IF($C2385="","",IF(COUNTIF($C$2:$C2385,$C2385)=1,1,0))</f>
        <v/>
      </c>
      <c r="AH2385">
        <f>IF($AG2385=1,SUMPRODUCT(--($AK$2:$AK$6001&lt;$AK2385))+1,"")</f>
        <v/>
      </c>
      <c r="AI2385">
        <f>IF($C2385="","",IF(OR($N2385=TRUE(),$N2385="TRUE"),1,0))</f>
        <v/>
      </c>
      <c r="AJ2385">
        <f>IF($C2385="","",IF($T2385="Yes",1,0))</f>
        <v/>
      </c>
      <c r="AK2385">
        <f>IF($AG2385=1,IFERROR(IF(VALUE($C2385)&lt;100000000,VALUE($C2385),1000000000),IFERROR(IF(VALUE(MID($C2385,2,20))&lt;100000000,VALUE(MID($C2385,2,20)),1000000000),1000000000))+ROW()/100000,"")</f>
        <v/>
      </c>
    </row>
    <row r="2386">
      <c r="D2386" s="11" t="n"/>
      <c r="K2386" s="7">
        <f>IF($C2386="","",J2386*W2386/100)</f>
        <v/>
      </c>
      <c r="Q2386" s="7" t="n"/>
      <c r="R2386" s="7" t="n"/>
      <c r="U2386">
        <f>IF($C2386="","",IF($AJ2386=1,0,IF($AI2386=1,Settings!$C$6,Settings!$C$7))*100)</f>
        <v/>
      </c>
      <c r="V2386" s="7">
        <f>IF($C2386="","",R2386*U2386/100)</f>
        <v/>
      </c>
      <c r="W2386" s="7">
        <f>IF($C2386="","",R2386-V2386)</f>
        <v/>
      </c>
      <c r="X2386" s="7">
        <f>IF($C2386="","",W2386-K2386)</f>
        <v/>
      </c>
      <c r="AB2386" s="7" t="n"/>
      <c r="AE2386" s="11" t="n"/>
      <c r="AG2386">
        <f>IF($C2386="","",IF(COUNTIF($C$2:$C2386,$C2386)=1,1,0))</f>
        <v/>
      </c>
      <c r="AH2386">
        <f>IF($AG2386=1,SUMPRODUCT(--($AK$2:$AK$6001&lt;$AK2386))+1,"")</f>
        <v/>
      </c>
      <c r="AI2386">
        <f>IF($C2386="","",IF(OR($N2386=TRUE(),$N2386="TRUE"),1,0))</f>
        <v/>
      </c>
      <c r="AJ2386">
        <f>IF($C2386="","",IF($T2386="Yes",1,0))</f>
        <v/>
      </c>
      <c r="AK2386">
        <f>IF($AG2386=1,IFERROR(IF(VALUE($C2386)&lt;100000000,VALUE($C2386),1000000000),IFERROR(IF(VALUE(MID($C2386,2,20))&lt;100000000,VALUE(MID($C2386,2,20)),1000000000),1000000000))+ROW()/100000,"")</f>
        <v/>
      </c>
    </row>
    <row r="2387">
      <c r="D2387" s="11" t="n"/>
      <c r="K2387" s="7">
        <f>IF($C2387="","",J2387*W2387/100)</f>
        <v/>
      </c>
      <c r="Q2387" s="7" t="n"/>
      <c r="R2387" s="7" t="n"/>
      <c r="U2387">
        <f>IF($C2387="","",IF($AJ2387=1,0,IF($AI2387=1,Settings!$C$6,Settings!$C$7))*100)</f>
        <v/>
      </c>
      <c r="V2387" s="7">
        <f>IF($C2387="","",R2387*U2387/100)</f>
        <v/>
      </c>
      <c r="W2387" s="7">
        <f>IF($C2387="","",R2387-V2387)</f>
        <v/>
      </c>
      <c r="X2387" s="7">
        <f>IF($C2387="","",W2387-K2387)</f>
        <v/>
      </c>
      <c r="AB2387" s="7" t="n"/>
      <c r="AE2387" s="11" t="n"/>
      <c r="AG2387">
        <f>IF($C2387="","",IF(COUNTIF($C$2:$C2387,$C2387)=1,1,0))</f>
        <v/>
      </c>
      <c r="AH2387">
        <f>IF($AG2387=1,SUMPRODUCT(--($AK$2:$AK$6001&lt;$AK2387))+1,"")</f>
        <v/>
      </c>
      <c r="AI2387">
        <f>IF($C2387="","",IF(OR($N2387=TRUE(),$N2387="TRUE"),1,0))</f>
        <v/>
      </c>
      <c r="AJ2387">
        <f>IF($C2387="","",IF($T2387="Yes",1,0))</f>
        <v/>
      </c>
      <c r="AK2387">
        <f>IF($AG2387=1,IFERROR(IF(VALUE($C2387)&lt;100000000,VALUE($C2387),1000000000),IFERROR(IF(VALUE(MID($C2387,2,20))&lt;100000000,VALUE(MID($C2387,2,20)),1000000000),1000000000))+ROW()/100000,"")</f>
        <v/>
      </c>
    </row>
    <row r="2388">
      <c r="D2388" s="11" t="n"/>
      <c r="K2388" s="7">
        <f>IF($C2388="","",J2388*W2388/100)</f>
        <v/>
      </c>
      <c r="Q2388" s="7" t="n"/>
      <c r="R2388" s="7" t="n"/>
      <c r="U2388">
        <f>IF($C2388="","",IF($AJ2388=1,0,IF($AI2388=1,Settings!$C$6,Settings!$C$7))*100)</f>
        <v/>
      </c>
      <c r="V2388" s="7">
        <f>IF($C2388="","",R2388*U2388/100)</f>
        <v/>
      </c>
      <c r="W2388" s="7">
        <f>IF($C2388="","",R2388-V2388)</f>
        <v/>
      </c>
      <c r="X2388" s="7">
        <f>IF($C2388="","",W2388-K2388)</f>
        <v/>
      </c>
      <c r="AB2388" s="7" t="n"/>
      <c r="AE2388" s="11" t="n"/>
      <c r="AG2388">
        <f>IF($C2388="","",IF(COUNTIF($C$2:$C2388,$C2388)=1,1,0))</f>
        <v/>
      </c>
      <c r="AH2388">
        <f>IF($AG2388=1,SUMPRODUCT(--($AK$2:$AK$6001&lt;$AK2388))+1,"")</f>
        <v/>
      </c>
      <c r="AI2388">
        <f>IF($C2388="","",IF(OR($N2388=TRUE(),$N2388="TRUE"),1,0))</f>
        <v/>
      </c>
      <c r="AJ2388">
        <f>IF($C2388="","",IF($T2388="Yes",1,0))</f>
        <v/>
      </c>
      <c r="AK2388">
        <f>IF($AG2388=1,IFERROR(IF(VALUE($C2388)&lt;100000000,VALUE($C2388),1000000000),IFERROR(IF(VALUE(MID($C2388,2,20))&lt;100000000,VALUE(MID($C2388,2,20)),1000000000),1000000000))+ROW()/100000,"")</f>
        <v/>
      </c>
    </row>
    <row r="2389">
      <c r="D2389" s="11" t="n"/>
      <c r="K2389" s="7">
        <f>IF($C2389="","",J2389*W2389/100)</f>
        <v/>
      </c>
      <c r="Q2389" s="7" t="n"/>
      <c r="R2389" s="7" t="n"/>
      <c r="U2389">
        <f>IF($C2389="","",IF($AJ2389=1,0,IF($AI2389=1,Settings!$C$6,Settings!$C$7))*100)</f>
        <v/>
      </c>
      <c r="V2389" s="7">
        <f>IF($C2389="","",R2389*U2389/100)</f>
        <v/>
      </c>
      <c r="W2389" s="7">
        <f>IF($C2389="","",R2389-V2389)</f>
        <v/>
      </c>
      <c r="X2389" s="7">
        <f>IF($C2389="","",W2389-K2389)</f>
        <v/>
      </c>
      <c r="AB2389" s="7" t="n"/>
      <c r="AE2389" s="11" t="n"/>
      <c r="AG2389">
        <f>IF($C2389="","",IF(COUNTIF($C$2:$C2389,$C2389)=1,1,0))</f>
        <v/>
      </c>
      <c r="AH2389">
        <f>IF($AG2389=1,SUMPRODUCT(--($AK$2:$AK$6001&lt;$AK2389))+1,"")</f>
        <v/>
      </c>
      <c r="AI2389">
        <f>IF($C2389="","",IF(OR($N2389=TRUE(),$N2389="TRUE"),1,0))</f>
        <v/>
      </c>
      <c r="AJ2389">
        <f>IF($C2389="","",IF($T2389="Yes",1,0))</f>
        <v/>
      </c>
      <c r="AK2389">
        <f>IF($AG2389=1,IFERROR(IF(VALUE($C2389)&lt;100000000,VALUE($C2389),1000000000),IFERROR(IF(VALUE(MID($C2389,2,20))&lt;100000000,VALUE(MID($C2389,2,20)),1000000000),1000000000))+ROW()/100000,"")</f>
        <v/>
      </c>
    </row>
    <row r="2390">
      <c r="D2390" s="11" t="n"/>
      <c r="K2390" s="7">
        <f>IF($C2390="","",J2390*W2390/100)</f>
        <v/>
      </c>
      <c r="Q2390" s="7" t="n"/>
      <c r="R2390" s="7" t="n"/>
      <c r="U2390">
        <f>IF($C2390="","",IF($AJ2390=1,0,IF($AI2390=1,Settings!$C$6,Settings!$C$7))*100)</f>
        <v/>
      </c>
      <c r="V2390" s="7">
        <f>IF($C2390="","",R2390*U2390/100)</f>
        <v/>
      </c>
      <c r="W2390" s="7">
        <f>IF($C2390="","",R2390-V2390)</f>
        <v/>
      </c>
      <c r="X2390" s="7">
        <f>IF($C2390="","",W2390-K2390)</f>
        <v/>
      </c>
      <c r="AB2390" s="7" t="n"/>
      <c r="AE2390" s="11" t="n"/>
      <c r="AG2390">
        <f>IF($C2390="","",IF(COUNTIF($C$2:$C2390,$C2390)=1,1,0))</f>
        <v/>
      </c>
      <c r="AH2390">
        <f>IF($AG2390=1,SUMPRODUCT(--($AK$2:$AK$6001&lt;$AK2390))+1,"")</f>
        <v/>
      </c>
      <c r="AI2390">
        <f>IF($C2390="","",IF(OR($N2390=TRUE(),$N2390="TRUE"),1,0))</f>
        <v/>
      </c>
      <c r="AJ2390">
        <f>IF($C2390="","",IF($T2390="Yes",1,0))</f>
        <v/>
      </c>
      <c r="AK2390">
        <f>IF($AG2390=1,IFERROR(IF(VALUE($C2390)&lt;100000000,VALUE($C2390),1000000000),IFERROR(IF(VALUE(MID($C2390,2,20))&lt;100000000,VALUE(MID($C2390,2,20)),1000000000),1000000000))+ROW()/100000,"")</f>
        <v/>
      </c>
    </row>
    <row r="2391">
      <c r="D2391" s="11" t="n"/>
      <c r="K2391" s="7">
        <f>IF($C2391="","",J2391*W2391/100)</f>
        <v/>
      </c>
      <c r="Q2391" s="7" t="n"/>
      <c r="R2391" s="7" t="n"/>
      <c r="U2391">
        <f>IF($C2391="","",IF($AJ2391=1,0,IF($AI2391=1,Settings!$C$6,Settings!$C$7))*100)</f>
        <v/>
      </c>
      <c r="V2391" s="7">
        <f>IF($C2391="","",R2391*U2391/100)</f>
        <v/>
      </c>
      <c r="W2391" s="7">
        <f>IF($C2391="","",R2391-V2391)</f>
        <v/>
      </c>
      <c r="X2391" s="7">
        <f>IF($C2391="","",W2391-K2391)</f>
        <v/>
      </c>
      <c r="AB2391" s="7" t="n"/>
      <c r="AE2391" s="11" t="n"/>
      <c r="AG2391">
        <f>IF($C2391="","",IF(COUNTIF($C$2:$C2391,$C2391)=1,1,0))</f>
        <v/>
      </c>
      <c r="AH2391">
        <f>IF($AG2391=1,SUMPRODUCT(--($AK$2:$AK$6001&lt;$AK2391))+1,"")</f>
        <v/>
      </c>
      <c r="AI2391">
        <f>IF($C2391="","",IF(OR($N2391=TRUE(),$N2391="TRUE"),1,0))</f>
        <v/>
      </c>
      <c r="AJ2391">
        <f>IF($C2391="","",IF($T2391="Yes",1,0))</f>
        <v/>
      </c>
      <c r="AK2391">
        <f>IF($AG2391=1,IFERROR(IF(VALUE($C2391)&lt;100000000,VALUE($C2391),1000000000),IFERROR(IF(VALUE(MID($C2391,2,20))&lt;100000000,VALUE(MID($C2391,2,20)),1000000000),1000000000))+ROW()/100000,"")</f>
        <v/>
      </c>
    </row>
    <row r="2392">
      <c r="D2392" s="11" t="n"/>
      <c r="K2392" s="7">
        <f>IF($C2392="","",J2392*W2392/100)</f>
        <v/>
      </c>
      <c r="Q2392" s="7" t="n"/>
      <c r="R2392" s="7" t="n"/>
      <c r="U2392">
        <f>IF($C2392="","",IF($AJ2392=1,0,IF($AI2392=1,Settings!$C$6,Settings!$C$7))*100)</f>
        <v/>
      </c>
      <c r="V2392" s="7">
        <f>IF($C2392="","",R2392*U2392/100)</f>
        <v/>
      </c>
      <c r="W2392" s="7">
        <f>IF($C2392="","",R2392-V2392)</f>
        <v/>
      </c>
      <c r="X2392" s="7">
        <f>IF($C2392="","",W2392-K2392)</f>
        <v/>
      </c>
      <c r="AB2392" s="7" t="n"/>
      <c r="AE2392" s="11" t="n"/>
      <c r="AG2392">
        <f>IF($C2392="","",IF(COUNTIF($C$2:$C2392,$C2392)=1,1,0))</f>
        <v/>
      </c>
      <c r="AH2392">
        <f>IF($AG2392=1,SUMPRODUCT(--($AK$2:$AK$6001&lt;$AK2392))+1,"")</f>
        <v/>
      </c>
      <c r="AI2392">
        <f>IF($C2392="","",IF(OR($N2392=TRUE(),$N2392="TRUE"),1,0))</f>
        <v/>
      </c>
      <c r="AJ2392">
        <f>IF($C2392="","",IF($T2392="Yes",1,0))</f>
        <v/>
      </c>
      <c r="AK2392">
        <f>IF($AG2392=1,IFERROR(IF(VALUE($C2392)&lt;100000000,VALUE($C2392),1000000000),IFERROR(IF(VALUE(MID($C2392,2,20))&lt;100000000,VALUE(MID($C2392,2,20)),1000000000),1000000000))+ROW()/100000,"")</f>
        <v/>
      </c>
    </row>
    <row r="2393">
      <c r="D2393" s="11" t="n"/>
      <c r="K2393" s="7">
        <f>IF($C2393="","",J2393*W2393/100)</f>
        <v/>
      </c>
      <c r="Q2393" s="7" t="n"/>
      <c r="R2393" s="7" t="n"/>
      <c r="U2393">
        <f>IF($C2393="","",IF($AJ2393=1,0,IF($AI2393=1,Settings!$C$6,Settings!$C$7))*100)</f>
        <v/>
      </c>
      <c r="V2393" s="7">
        <f>IF($C2393="","",R2393*U2393/100)</f>
        <v/>
      </c>
      <c r="W2393" s="7">
        <f>IF($C2393="","",R2393-V2393)</f>
        <v/>
      </c>
      <c r="X2393" s="7">
        <f>IF($C2393="","",W2393-K2393)</f>
        <v/>
      </c>
      <c r="AB2393" s="7" t="n"/>
      <c r="AE2393" s="11" t="n"/>
      <c r="AG2393">
        <f>IF($C2393="","",IF(COUNTIF($C$2:$C2393,$C2393)=1,1,0))</f>
        <v/>
      </c>
      <c r="AH2393">
        <f>IF($AG2393=1,SUMPRODUCT(--($AK$2:$AK$6001&lt;$AK2393))+1,"")</f>
        <v/>
      </c>
      <c r="AI2393">
        <f>IF($C2393="","",IF(OR($N2393=TRUE(),$N2393="TRUE"),1,0))</f>
        <v/>
      </c>
      <c r="AJ2393">
        <f>IF($C2393="","",IF($T2393="Yes",1,0))</f>
        <v/>
      </c>
      <c r="AK2393">
        <f>IF($AG2393=1,IFERROR(IF(VALUE($C2393)&lt;100000000,VALUE($C2393),1000000000),IFERROR(IF(VALUE(MID($C2393,2,20))&lt;100000000,VALUE(MID($C2393,2,20)),1000000000),1000000000))+ROW()/100000,"")</f>
        <v/>
      </c>
    </row>
    <row r="2394">
      <c r="D2394" s="11" t="n"/>
      <c r="K2394" s="7">
        <f>IF($C2394="","",J2394*W2394/100)</f>
        <v/>
      </c>
      <c r="Q2394" s="7" t="n"/>
      <c r="R2394" s="7" t="n"/>
      <c r="U2394">
        <f>IF($C2394="","",IF($AJ2394=1,0,IF($AI2394=1,Settings!$C$6,Settings!$C$7))*100)</f>
        <v/>
      </c>
      <c r="V2394" s="7">
        <f>IF($C2394="","",R2394*U2394/100)</f>
        <v/>
      </c>
      <c r="W2394" s="7">
        <f>IF($C2394="","",R2394-V2394)</f>
        <v/>
      </c>
      <c r="X2394" s="7">
        <f>IF($C2394="","",W2394-K2394)</f>
        <v/>
      </c>
      <c r="AB2394" s="7" t="n"/>
      <c r="AE2394" s="11" t="n"/>
      <c r="AG2394">
        <f>IF($C2394="","",IF(COUNTIF($C$2:$C2394,$C2394)=1,1,0))</f>
        <v/>
      </c>
      <c r="AH2394">
        <f>IF($AG2394=1,SUMPRODUCT(--($AK$2:$AK$6001&lt;$AK2394))+1,"")</f>
        <v/>
      </c>
      <c r="AI2394">
        <f>IF($C2394="","",IF(OR($N2394=TRUE(),$N2394="TRUE"),1,0))</f>
        <v/>
      </c>
      <c r="AJ2394">
        <f>IF($C2394="","",IF($T2394="Yes",1,0))</f>
        <v/>
      </c>
      <c r="AK2394">
        <f>IF($AG2394=1,IFERROR(IF(VALUE($C2394)&lt;100000000,VALUE($C2394),1000000000),IFERROR(IF(VALUE(MID($C2394,2,20))&lt;100000000,VALUE(MID($C2394,2,20)),1000000000),1000000000))+ROW()/100000,"")</f>
        <v/>
      </c>
    </row>
    <row r="2395">
      <c r="D2395" s="11" t="n"/>
      <c r="K2395" s="7">
        <f>IF($C2395="","",J2395*W2395/100)</f>
        <v/>
      </c>
      <c r="Q2395" s="7" t="n"/>
      <c r="R2395" s="7" t="n"/>
      <c r="U2395">
        <f>IF($C2395="","",IF($AJ2395=1,0,IF($AI2395=1,Settings!$C$6,Settings!$C$7))*100)</f>
        <v/>
      </c>
      <c r="V2395" s="7">
        <f>IF($C2395="","",R2395*U2395/100)</f>
        <v/>
      </c>
      <c r="W2395" s="7">
        <f>IF($C2395="","",R2395-V2395)</f>
        <v/>
      </c>
      <c r="X2395" s="7">
        <f>IF($C2395="","",W2395-K2395)</f>
        <v/>
      </c>
      <c r="AB2395" s="7" t="n"/>
      <c r="AE2395" s="11" t="n"/>
      <c r="AG2395">
        <f>IF($C2395="","",IF(COUNTIF($C$2:$C2395,$C2395)=1,1,0))</f>
        <v/>
      </c>
      <c r="AH2395">
        <f>IF($AG2395=1,SUMPRODUCT(--($AK$2:$AK$6001&lt;$AK2395))+1,"")</f>
        <v/>
      </c>
      <c r="AI2395">
        <f>IF($C2395="","",IF(OR($N2395=TRUE(),$N2395="TRUE"),1,0))</f>
        <v/>
      </c>
      <c r="AJ2395">
        <f>IF($C2395="","",IF($T2395="Yes",1,0))</f>
        <v/>
      </c>
      <c r="AK2395">
        <f>IF($AG2395=1,IFERROR(IF(VALUE($C2395)&lt;100000000,VALUE($C2395),1000000000),IFERROR(IF(VALUE(MID($C2395,2,20))&lt;100000000,VALUE(MID($C2395,2,20)),1000000000),1000000000))+ROW()/100000,"")</f>
        <v/>
      </c>
    </row>
    <row r="2396">
      <c r="D2396" s="11" t="n"/>
      <c r="K2396" s="7">
        <f>IF($C2396="","",J2396*W2396/100)</f>
        <v/>
      </c>
      <c r="Q2396" s="7" t="n"/>
      <c r="R2396" s="7" t="n"/>
      <c r="U2396">
        <f>IF($C2396="","",IF($AJ2396=1,0,IF($AI2396=1,Settings!$C$6,Settings!$C$7))*100)</f>
        <v/>
      </c>
      <c r="V2396" s="7">
        <f>IF($C2396="","",R2396*U2396/100)</f>
        <v/>
      </c>
      <c r="W2396" s="7">
        <f>IF($C2396="","",R2396-V2396)</f>
        <v/>
      </c>
      <c r="X2396" s="7">
        <f>IF($C2396="","",W2396-K2396)</f>
        <v/>
      </c>
      <c r="AB2396" s="7" t="n"/>
      <c r="AE2396" s="11" t="n"/>
      <c r="AG2396">
        <f>IF($C2396="","",IF(COUNTIF($C$2:$C2396,$C2396)=1,1,0))</f>
        <v/>
      </c>
      <c r="AH2396">
        <f>IF($AG2396=1,SUMPRODUCT(--($AK$2:$AK$6001&lt;$AK2396))+1,"")</f>
        <v/>
      </c>
      <c r="AI2396">
        <f>IF($C2396="","",IF(OR($N2396=TRUE(),$N2396="TRUE"),1,0))</f>
        <v/>
      </c>
      <c r="AJ2396">
        <f>IF($C2396="","",IF($T2396="Yes",1,0))</f>
        <v/>
      </c>
      <c r="AK2396">
        <f>IF($AG2396=1,IFERROR(IF(VALUE($C2396)&lt;100000000,VALUE($C2396),1000000000),IFERROR(IF(VALUE(MID($C2396,2,20))&lt;100000000,VALUE(MID($C2396,2,20)),1000000000),1000000000))+ROW()/100000,"")</f>
        <v/>
      </c>
    </row>
    <row r="2397">
      <c r="D2397" s="11" t="n"/>
      <c r="K2397" s="7">
        <f>IF($C2397="","",J2397*W2397/100)</f>
        <v/>
      </c>
      <c r="Q2397" s="7" t="n"/>
      <c r="R2397" s="7" t="n"/>
      <c r="U2397">
        <f>IF($C2397="","",IF($AJ2397=1,0,IF($AI2397=1,Settings!$C$6,Settings!$C$7))*100)</f>
        <v/>
      </c>
      <c r="V2397" s="7">
        <f>IF($C2397="","",R2397*U2397/100)</f>
        <v/>
      </c>
      <c r="W2397" s="7">
        <f>IF($C2397="","",R2397-V2397)</f>
        <v/>
      </c>
      <c r="X2397" s="7">
        <f>IF($C2397="","",W2397-K2397)</f>
        <v/>
      </c>
      <c r="AB2397" s="7" t="n"/>
      <c r="AE2397" s="11" t="n"/>
      <c r="AG2397">
        <f>IF($C2397="","",IF(COUNTIF($C$2:$C2397,$C2397)=1,1,0))</f>
        <v/>
      </c>
      <c r="AH2397">
        <f>IF($AG2397=1,SUMPRODUCT(--($AK$2:$AK$6001&lt;$AK2397))+1,"")</f>
        <v/>
      </c>
      <c r="AI2397">
        <f>IF($C2397="","",IF(OR($N2397=TRUE(),$N2397="TRUE"),1,0))</f>
        <v/>
      </c>
      <c r="AJ2397">
        <f>IF($C2397="","",IF($T2397="Yes",1,0))</f>
        <v/>
      </c>
      <c r="AK2397">
        <f>IF($AG2397=1,IFERROR(IF(VALUE($C2397)&lt;100000000,VALUE($C2397),1000000000),IFERROR(IF(VALUE(MID($C2397,2,20))&lt;100000000,VALUE(MID($C2397,2,20)),1000000000),1000000000))+ROW()/100000,"")</f>
        <v/>
      </c>
    </row>
    <row r="2398">
      <c r="D2398" s="11" t="n"/>
      <c r="K2398" s="7">
        <f>IF($C2398="","",J2398*W2398/100)</f>
        <v/>
      </c>
      <c r="Q2398" s="7" t="n"/>
      <c r="R2398" s="7" t="n"/>
      <c r="U2398">
        <f>IF($C2398="","",IF($AJ2398=1,0,IF($AI2398=1,Settings!$C$6,Settings!$C$7))*100)</f>
        <v/>
      </c>
      <c r="V2398" s="7">
        <f>IF($C2398="","",R2398*U2398/100)</f>
        <v/>
      </c>
      <c r="W2398" s="7">
        <f>IF($C2398="","",R2398-V2398)</f>
        <v/>
      </c>
      <c r="X2398" s="7">
        <f>IF($C2398="","",W2398-K2398)</f>
        <v/>
      </c>
      <c r="AB2398" s="7" t="n"/>
      <c r="AE2398" s="11" t="n"/>
      <c r="AG2398">
        <f>IF($C2398="","",IF(COUNTIF($C$2:$C2398,$C2398)=1,1,0))</f>
        <v/>
      </c>
      <c r="AH2398">
        <f>IF($AG2398=1,SUMPRODUCT(--($AK$2:$AK$6001&lt;$AK2398))+1,"")</f>
        <v/>
      </c>
      <c r="AI2398">
        <f>IF($C2398="","",IF(OR($N2398=TRUE(),$N2398="TRUE"),1,0))</f>
        <v/>
      </c>
      <c r="AJ2398">
        <f>IF($C2398="","",IF($T2398="Yes",1,0))</f>
        <v/>
      </c>
      <c r="AK2398">
        <f>IF($AG2398=1,IFERROR(IF(VALUE($C2398)&lt;100000000,VALUE($C2398),1000000000),IFERROR(IF(VALUE(MID($C2398,2,20))&lt;100000000,VALUE(MID($C2398,2,20)),1000000000),1000000000))+ROW()/100000,"")</f>
        <v/>
      </c>
    </row>
    <row r="2399">
      <c r="D2399" s="11" t="n"/>
      <c r="K2399" s="7">
        <f>IF($C2399="","",J2399*W2399/100)</f>
        <v/>
      </c>
      <c r="Q2399" s="7" t="n"/>
      <c r="R2399" s="7" t="n"/>
      <c r="U2399">
        <f>IF($C2399="","",IF($AJ2399=1,0,IF($AI2399=1,Settings!$C$6,Settings!$C$7))*100)</f>
        <v/>
      </c>
      <c r="V2399" s="7">
        <f>IF($C2399="","",R2399*U2399/100)</f>
        <v/>
      </c>
      <c r="W2399" s="7">
        <f>IF($C2399="","",R2399-V2399)</f>
        <v/>
      </c>
      <c r="X2399" s="7">
        <f>IF($C2399="","",W2399-K2399)</f>
        <v/>
      </c>
      <c r="AB2399" s="7" t="n"/>
      <c r="AE2399" s="11" t="n"/>
      <c r="AG2399">
        <f>IF($C2399="","",IF(COUNTIF($C$2:$C2399,$C2399)=1,1,0))</f>
        <v/>
      </c>
      <c r="AH2399">
        <f>IF($AG2399=1,SUMPRODUCT(--($AK$2:$AK$6001&lt;$AK2399))+1,"")</f>
        <v/>
      </c>
      <c r="AI2399">
        <f>IF($C2399="","",IF(OR($N2399=TRUE(),$N2399="TRUE"),1,0))</f>
        <v/>
      </c>
      <c r="AJ2399">
        <f>IF($C2399="","",IF($T2399="Yes",1,0))</f>
        <v/>
      </c>
      <c r="AK2399">
        <f>IF($AG2399=1,IFERROR(IF(VALUE($C2399)&lt;100000000,VALUE($C2399),1000000000),IFERROR(IF(VALUE(MID($C2399,2,20))&lt;100000000,VALUE(MID($C2399,2,20)),1000000000),1000000000))+ROW()/100000,"")</f>
        <v/>
      </c>
    </row>
    <row r="2400">
      <c r="D2400" s="11" t="n"/>
      <c r="K2400" s="7">
        <f>IF($C2400="","",J2400*W2400/100)</f>
        <v/>
      </c>
      <c r="Q2400" s="7" t="n"/>
      <c r="R2400" s="7" t="n"/>
      <c r="U2400">
        <f>IF($C2400="","",IF($AJ2400=1,0,IF($AI2400=1,Settings!$C$6,Settings!$C$7))*100)</f>
        <v/>
      </c>
      <c r="V2400" s="7">
        <f>IF($C2400="","",R2400*U2400/100)</f>
        <v/>
      </c>
      <c r="W2400" s="7">
        <f>IF($C2400="","",R2400-V2400)</f>
        <v/>
      </c>
      <c r="X2400" s="7">
        <f>IF($C2400="","",W2400-K2400)</f>
        <v/>
      </c>
      <c r="AB2400" s="7" t="n"/>
      <c r="AE2400" s="11" t="n"/>
      <c r="AG2400">
        <f>IF($C2400="","",IF(COUNTIF($C$2:$C2400,$C2400)=1,1,0))</f>
        <v/>
      </c>
      <c r="AH2400">
        <f>IF($AG2400=1,SUMPRODUCT(--($AK$2:$AK$6001&lt;$AK2400))+1,"")</f>
        <v/>
      </c>
      <c r="AI2400">
        <f>IF($C2400="","",IF(OR($N2400=TRUE(),$N2400="TRUE"),1,0))</f>
        <v/>
      </c>
      <c r="AJ2400">
        <f>IF($C2400="","",IF($T2400="Yes",1,0))</f>
        <v/>
      </c>
      <c r="AK2400">
        <f>IF($AG2400=1,IFERROR(IF(VALUE($C2400)&lt;100000000,VALUE($C2400),1000000000),IFERROR(IF(VALUE(MID($C2400,2,20))&lt;100000000,VALUE(MID($C2400,2,20)),1000000000),1000000000))+ROW()/100000,"")</f>
        <v/>
      </c>
    </row>
    <row r="2401">
      <c r="D2401" s="11" t="n"/>
      <c r="K2401" s="7">
        <f>IF($C2401="","",J2401*W2401/100)</f>
        <v/>
      </c>
      <c r="Q2401" s="7" t="n"/>
      <c r="R2401" s="7" t="n"/>
      <c r="U2401">
        <f>IF($C2401="","",IF($AJ2401=1,0,IF($AI2401=1,Settings!$C$6,Settings!$C$7))*100)</f>
        <v/>
      </c>
      <c r="V2401" s="7">
        <f>IF($C2401="","",R2401*U2401/100)</f>
        <v/>
      </c>
      <c r="W2401" s="7">
        <f>IF($C2401="","",R2401-V2401)</f>
        <v/>
      </c>
      <c r="X2401" s="7">
        <f>IF($C2401="","",W2401-K2401)</f>
        <v/>
      </c>
      <c r="AB2401" s="7" t="n"/>
      <c r="AE2401" s="11" t="n"/>
      <c r="AG2401">
        <f>IF($C2401="","",IF(COUNTIF($C$2:$C2401,$C2401)=1,1,0))</f>
        <v/>
      </c>
      <c r="AH2401">
        <f>IF($AG2401=1,SUMPRODUCT(--($AK$2:$AK$6001&lt;$AK2401))+1,"")</f>
        <v/>
      </c>
      <c r="AI2401">
        <f>IF($C2401="","",IF(OR($N2401=TRUE(),$N2401="TRUE"),1,0))</f>
        <v/>
      </c>
      <c r="AJ2401">
        <f>IF($C2401="","",IF($T2401="Yes",1,0))</f>
        <v/>
      </c>
      <c r="AK2401">
        <f>IF($AG2401=1,IFERROR(IF(VALUE($C2401)&lt;100000000,VALUE($C2401),1000000000),IFERROR(IF(VALUE(MID($C2401,2,20))&lt;100000000,VALUE(MID($C2401,2,20)),1000000000),1000000000))+ROW()/100000,"")</f>
        <v/>
      </c>
    </row>
    <row r="2402">
      <c r="D2402" s="11" t="n"/>
      <c r="K2402" s="7">
        <f>IF($C2402="","",J2402*W2402/100)</f>
        <v/>
      </c>
      <c r="Q2402" s="7" t="n"/>
      <c r="R2402" s="7" t="n"/>
      <c r="U2402">
        <f>IF($C2402="","",IF($AJ2402=1,0,IF($AI2402=1,Settings!$C$6,Settings!$C$7))*100)</f>
        <v/>
      </c>
      <c r="V2402" s="7">
        <f>IF($C2402="","",R2402*U2402/100)</f>
        <v/>
      </c>
      <c r="W2402" s="7">
        <f>IF($C2402="","",R2402-V2402)</f>
        <v/>
      </c>
      <c r="X2402" s="7">
        <f>IF($C2402="","",W2402-K2402)</f>
        <v/>
      </c>
      <c r="AB2402" s="7" t="n"/>
      <c r="AE2402" s="11" t="n"/>
      <c r="AG2402">
        <f>IF($C2402="","",IF(COUNTIF($C$2:$C2402,$C2402)=1,1,0))</f>
        <v/>
      </c>
      <c r="AH2402">
        <f>IF($AG2402=1,SUMPRODUCT(--($AK$2:$AK$6001&lt;$AK2402))+1,"")</f>
        <v/>
      </c>
      <c r="AI2402">
        <f>IF($C2402="","",IF(OR($N2402=TRUE(),$N2402="TRUE"),1,0))</f>
        <v/>
      </c>
      <c r="AJ2402">
        <f>IF($C2402="","",IF($T2402="Yes",1,0))</f>
        <v/>
      </c>
      <c r="AK2402">
        <f>IF($AG2402=1,IFERROR(IF(VALUE($C2402)&lt;100000000,VALUE($C2402),1000000000),IFERROR(IF(VALUE(MID($C2402,2,20))&lt;100000000,VALUE(MID($C2402,2,20)),1000000000),1000000000))+ROW()/100000,"")</f>
        <v/>
      </c>
    </row>
    <row r="2403">
      <c r="D2403" s="11" t="n"/>
      <c r="K2403" s="7">
        <f>IF($C2403="","",J2403*W2403/100)</f>
        <v/>
      </c>
      <c r="Q2403" s="7" t="n"/>
      <c r="R2403" s="7" t="n"/>
      <c r="U2403">
        <f>IF($C2403="","",IF($AJ2403=1,0,IF($AI2403=1,Settings!$C$6,Settings!$C$7))*100)</f>
        <v/>
      </c>
      <c r="V2403" s="7">
        <f>IF($C2403="","",R2403*U2403/100)</f>
        <v/>
      </c>
      <c r="W2403" s="7">
        <f>IF($C2403="","",R2403-V2403)</f>
        <v/>
      </c>
      <c r="X2403" s="7">
        <f>IF($C2403="","",W2403-K2403)</f>
        <v/>
      </c>
      <c r="AB2403" s="7" t="n"/>
      <c r="AE2403" s="11" t="n"/>
      <c r="AG2403">
        <f>IF($C2403="","",IF(COUNTIF($C$2:$C2403,$C2403)=1,1,0))</f>
        <v/>
      </c>
      <c r="AH2403">
        <f>IF($AG2403=1,SUMPRODUCT(--($AK$2:$AK$6001&lt;$AK2403))+1,"")</f>
        <v/>
      </c>
      <c r="AI2403">
        <f>IF($C2403="","",IF(OR($N2403=TRUE(),$N2403="TRUE"),1,0))</f>
        <v/>
      </c>
      <c r="AJ2403">
        <f>IF($C2403="","",IF($T2403="Yes",1,0))</f>
        <v/>
      </c>
      <c r="AK2403">
        <f>IF($AG2403=1,IFERROR(IF(VALUE($C2403)&lt;100000000,VALUE($C2403),1000000000),IFERROR(IF(VALUE(MID($C2403,2,20))&lt;100000000,VALUE(MID($C2403,2,20)),1000000000),1000000000))+ROW()/100000,"")</f>
        <v/>
      </c>
    </row>
    <row r="2404">
      <c r="D2404" s="11" t="n"/>
      <c r="K2404" s="7">
        <f>IF($C2404="","",J2404*W2404/100)</f>
        <v/>
      </c>
      <c r="Q2404" s="7" t="n"/>
      <c r="R2404" s="7" t="n"/>
      <c r="U2404">
        <f>IF($C2404="","",IF($AJ2404=1,0,IF($AI2404=1,Settings!$C$6,Settings!$C$7))*100)</f>
        <v/>
      </c>
      <c r="V2404" s="7">
        <f>IF($C2404="","",R2404*U2404/100)</f>
        <v/>
      </c>
      <c r="W2404" s="7">
        <f>IF($C2404="","",R2404-V2404)</f>
        <v/>
      </c>
      <c r="X2404" s="7">
        <f>IF($C2404="","",W2404-K2404)</f>
        <v/>
      </c>
      <c r="AB2404" s="7" t="n"/>
      <c r="AE2404" s="11" t="n"/>
      <c r="AG2404">
        <f>IF($C2404="","",IF(COUNTIF($C$2:$C2404,$C2404)=1,1,0))</f>
        <v/>
      </c>
      <c r="AH2404">
        <f>IF($AG2404=1,SUMPRODUCT(--($AK$2:$AK$6001&lt;$AK2404))+1,"")</f>
        <v/>
      </c>
      <c r="AI2404">
        <f>IF($C2404="","",IF(OR($N2404=TRUE(),$N2404="TRUE"),1,0))</f>
        <v/>
      </c>
      <c r="AJ2404">
        <f>IF($C2404="","",IF($T2404="Yes",1,0))</f>
        <v/>
      </c>
      <c r="AK2404">
        <f>IF($AG2404=1,IFERROR(IF(VALUE($C2404)&lt;100000000,VALUE($C2404),1000000000),IFERROR(IF(VALUE(MID($C2404,2,20))&lt;100000000,VALUE(MID($C2404,2,20)),1000000000),1000000000))+ROW()/100000,"")</f>
        <v/>
      </c>
    </row>
    <row r="2405">
      <c r="D2405" s="11" t="n"/>
      <c r="K2405" s="7">
        <f>IF($C2405="","",J2405*W2405/100)</f>
        <v/>
      </c>
      <c r="Q2405" s="7" t="n"/>
      <c r="R2405" s="7" t="n"/>
      <c r="U2405">
        <f>IF($C2405="","",IF($AJ2405=1,0,IF($AI2405=1,Settings!$C$6,Settings!$C$7))*100)</f>
        <v/>
      </c>
      <c r="V2405" s="7">
        <f>IF($C2405="","",R2405*U2405/100)</f>
        <v/>
      </c>
      <c r="W2405" s="7">
        <f>IF($C2405="","",R2405-V2405)</f>
        <v/>
      </c>
      <c r="X2405" s="7">
        <f>IF($C2405="","",W2405-K2405)</f>
        <v/>
      </c>
      <c r="AB2405" s="7" t="n"/>
      <c r="AE2405" s="11" t="n"/>
      <c r="AG2405">
        <f>IF($C2405="","",IF(COUNTIF($C$2:$C2405,$C2405)=1,1,0))</f>
        <v/>
      </c>
      <c r="AH2405">
        <f>IF($AG2405=1,SUMPRODUCT(--($AK$2:$AK$6001&lt;$AK2405))+1,"")</f>
        <v/>
      </c>
      <c r="AI2405">
        <f>IF($C2405="","",IF(OR($N2405=TRUE(),$N2405="TRUE"),1,0))</f>
        <v/>
      </c>
      <c r="AJ2405">
        <f>IF($C2405="","",IF($T2405="Yes",1,0))</f>
        <v/>
      </c>
      <c r="AK2405">
        <f>IF($AG2405=1,IFERROR(IF(VALUE($C2405)&lt;100000000,VALUE($C2405),1000000000),IFERROR(IF(VALUE(MID($C2405,2,20))&lt;100000000,VALUE(MID($C2405,2,20)),1000000000),1000000000))+ROW()/100000,"")</f>
        <v/>
      </c>
    </row>
    <row r="2406">
      <c r="D2406" s="11" t="n"/>
      <c r="K2406" s="7">
        <f>IF($C2406="","",J2406*W2406/100)</f>
        <v/>
      </c>
      <c r="Q2406" s="7" t="n"/>
      <c r="R2406" s="7" t="n"/>
      <c r="U2406">
        <f>IF($C2406="","",IF($AJ2406=1,0,IF($AI2406=1,Settings!$C$6,Settings!$C$7))*100)</f>
        <v/>
      </c>
      <c r="V2406" s="7">
        <f>IF($C2406="","",R2406*U2406/100)</f>
        <v/>
      </c>
      <c r="W2406" s="7">
        <f>IF($C2406="","",R2406-V2406)</f>
        <v/>
      </c>
      <c r="X2406" s="7">
        <f>IF($C2406="","",W2406-K2406)</f>
        <v/>
      </c>
      <c r="AB2406" s="7" t="n"/>
      <c r="AE2406" s="11" t="n"/>
      <c r="AG2406">
        <f>IF($C2406="","",IF(COUNTIF($C$2:$C2406,$C2406)=1,1,0))</f>
        <v/>
      </c>
      <c r="AH2406">
        <f>IF($AG2406=1,SUMPRODUCT(--($AK$2:$AK$6001&lt;$AK2406))+1,"")</f>
        <v/>
      </c>
      <c r="AI2406">
        <f>IF($C2406="","",IF(OR($N2406=TRUE(),$N2406="TRUE"),1,0))</f>
        <v/>
      </c>
      <c r="AJ2406">
        <f>IF($C2406="","",IF($T2406="Yes",1,0))</f>
        <v/>
      </c>
      <c r="AK2406">
        <f>IF($AG2406=1,IFERROR(IF(VALUE($C2406)&lt;100000000,VALUE($C2406),1000000000),IFERROR(IF(VALUE(MID($C2406,2,20))&lt;100000000,VALUE(MID($C2406,2,20)),1000000000),1000000000))+ROW()/100000,"")</f>
        <v/>
      </c>
    </row>
    <row r="2407">
      <c r="D2407" s="11" t="n"/>
      <c r="K2407" s="7">
        <f>IF($C2407="","",J2407*W2407/100)</f>
        <v/>
      </c>
      <c r="Q2407" s="7" t="n"/>
      <c r="R2407" s="7" t="n"/>
      <c r="U2407">
        <f>IF($C2407="","",IF($AJ2407=1,0,IF($AI2407=1,Settings!$C$6,Settings!$C$7))*100)</f>
        <v/>
      </c>
      <c r="V2407" s="7">
        <f>IF($C2407="","",R2407*U2407/100)</f>
        <v/>
      </c>
      <c r="W2407" s="7">
        <f>IF($C2407="","",R2407-V2407)</f>
        <v/>
      </c>
      <c r="X2407" s="7">
        <f>IF($C2407="","",W2407-K2407)</f>
        <v/>
      </c>
      <c r="AB2407" s="7" t="n"/>
      <c r="AE2407" s="11" t="n"/>
      <c r="AG2407">
        <f>IF($C2407="","",IF(COUNTIF($C$2:$C2407,$C2407)=1,1,0))</f>
        <v/>
      </c>
      <c r="AH2407">
        <f>IF($AG2407=1,SUMPRODUCT(--($AK$2:$AK$6001&lt;$AK2407))+1,"")</f>
        <v/>
      </c>
      <c r="AI2407">
        <f>IF($C2407="","",IF(OR($N2407=TRUE(),$N2407="TRUE"),1,0))</f>
        <v/>
      </c>
      <c r="AJ2407">
        <f>IF($C2407="","",IF($T2407="Yes",1,0))</f>
        <v/>
      </c>
      <c r="AK2407">
        <f>IF($AG2407=1,IFERROR(IF(VALUE($C2407)&lt;100000000,VALUE($C2407),1000000000),IFERROR(IF(VALUE(MID($C2407,2,20))&lt;100000000,VALUE(MID($C2407,2,20)),1000000000),1000000000))+ROW()/100000,"")</f>
        <v/>
      </c>
    </row>
    <row r="2408">
      <c r="D2408" s="11" t="n"/>
      <c r="K2408" s="7">
        <f>IF($C2408="","",J2408*W2408/100)</f>
        <v/>
      </c>
      <c r="Q2408" s="7" t="n"/>
      <c r="R2408" s="7" t="n"/>
      <c r="U2408">
        <f>IF($C2408="","",IF($AJ2408=1,0,IF($AI2408=1,Settings!$C$6,Settings!$C$7))*100)</f>
        <v/>
      </c>
      <c r="V2408" s="7">
        <f>IF($C2408="","",R2408*U2408/100)</f>
        <v/>
      </c>
      <c r="W2408" s="7">
        <f>IF($C2408="","",R2408-V2408)</f>
        <v/>
      </c>
      <c r="X2408" s="7">
        <f>IF($C2408="","",W2408-K2408)</f>
        <v/>
      </c>
      <c r="AB2408" s="7" t="n"/>
      <c r="AE2408" s="11" t="n"/>
      <c r="AG2408">
        <f>IF($C2408="","",IF(COUNTIF($C$2:$C2408,$C2408)=1,1,0))</f>
        <v/>
      </c>
      <c r="AH2408">
        <f>IF($AG2408=1,SUMPRODUCT(--($AK$2:$AK$6001&lt;$AK2408))+1,"")</f>
        <v/>
      </c>
      <c r="AI2408">
        <f>IF($C2408="","",IF(OR($N2408=TRUE(),$N2408="TRUE"),1,0))</f>
        <v/>
      </c>
      <c r="AJ2408">
        <f>IF($C2408="","",IF($T2408="Yes",1,0))</f>
        <v/>
      </c>
      <c r="AK2408">
        <f>IF($AG2408=1,IFERROR(IF(VALUE($C2408)&lt;100000000,VALUE($C2408),1000000000),IFERROR(IF(VALUE(MID($C2408,2,20))&lt;100000000,VALUE(MID($C2408,2,20)),1000000000),1000000000))+ROW()/100000,"")</f>
        <v/>
      </c>
    </row>
    <row r="2409">
      <c r="D2409" s="11" t="n"/>
      <c r="K2409" s="7">
        <f>IF($C2409="","",J2409*W2409/100)</f>
        <v/>
      </c>
      <c r="Q2409" s="7" t="n"/>
      <c r="R2409" s="7" t="n"/>
      <c r="U2409">
        <f>IF($C2409="","",IF($AJ2409=1,0,IF($AI2409=1,Settings!$C$6,Settings!$C$7))*100)</f>
        <v/>
      </c>
      <c r="V2409" s="7">
        <f>IF($C2409="","",R2409*U2409/100)</f>
        <v/>
      </c>
      <c r="W2409" s="7">
        <f>IF($C2409="","",R2409-V2409)</f>
        <v/>
      </c>
      <c r="X2409" s="7">
        <f>IF($C2409="","",W2409-K2409)</f>
        <v/>
      </c>
      <c r="AB2409" s="7" t="n"/>
      <c r="AE2409" s="11" t="n"/>
      <c r="AG2409">
        <f>IF($C2409="","",IF(COUNTIF($C$2:$C2409,$C2409)=1,1,0))</f>
        <v/>
      </c>
      <c r="AH2409">
        <f>IF($AG2409=1,SUMPRODUCT(--($AK$2:$AK$6001&lt;$AK2409))+1,"")</f>
        <v/>
      </c>
      <c r="AI2409">
        <f>IF($C2409="","",IF(OR($N2409=TRUE(),$N2409="TRUE"),1,0))</f>
        <v/>
      </c>
      <c r="AJ2409">
        <f>IF($C2409="","",IF($T2409="Yes",1,0))</f>
        <v/>
      </c>
      <c r="AK2409">
        <f>IF($AG2409=1,IFERROR(IF(VALUE($C2409)&lt;100000000,VALUE($C2409),1000000000),IFERROR(IF(VALUE(MID($C2409,2,20))&lt;100000000,VALUE(MID($C2409,2,20)),1000000000),1000000000))+ROW()/100000,"")</f>
        <v/>
      </c>
    </row>
    <row r="2410">
      <c r="D2410" s="11" t="n"/>
      <c r="K2410" s="7">
        <f>IF($C2410="","",J2410*W2410/100)</f>
        <v/>
      </c>
      <c r="Q2410" s="7" t="n"/>
      <c r="R2410" s="7" t="n"/>
      <c r="U2410">
        <f>IF($C2410="","",IF($AJ2410=1,0,IF($AI2410=1,Settings!$C$6,Settings!$C$7))*100)</f>
        <v/>
      </c>
      <c r="V2410" s="7">
        <f>IF($C2410="","",R2410*U2410/100)</f>
        <v/>
      </c>
      <c r="W2410" s="7">
        <f>IF($C2410="","",R2410-V2410)</f>
        <v/>
      </c>
      <c r="X2410" s="7">
        <f>IF($C2410="","",W2410-K2410)</f>
        <v/>
      </c>
      <c r="AB2410" s="7" t="n"/>
      <c r="AE2410" s="11" t="n"/>
      <c r="AG2410">
        <f>IF($C2410="","",IF(COUNTIF($C$2:$C2410,$C2410)=1,1,0))</f>
        <v/>
      </c>
      <c r="AH2410">
        <f>IF($AG2410=1,SUMPRODUCT(--($AK$2:$AK$6001&lt;$AK2410))+1,"")</f>
        <v/>
      </c>
      <c r="AI2410">
        <f>IF($C2410="","",IF(OR($N2410=TRUE(),$N2410="TRUE"),1,0))</f>
        <v/>
      </c>
      <c r="AJ2410">
        <f>IF($C2410="","",IF($T2410="Yes",1,0))</f>
        <v/>
      </c>
      <c r="AK2410">
        <f>IF($AG2410=1,IFERROR(IF(VALUE($C2410)&lt;100000000,VALUE($C2410),1000000000),IFERROR(IF(VALUE(MID($C2410,2,20))&lt;100000000,VALUE(MID($C2410,2,20)),1000000000),1000000000))+ROW()/100000,"")</f>
        <v/>
      </c>
    </row>
    <row r="2411">
      <c r="D2411" s="11" t="n"/>
      <c r="K2411" s="7">
        <f>IF($C2411="","",J2411*W2411/100)</f>
        <v/>
      </c>
      <c r="Q2411" s="7" t="n"/>
      <c r="R2411" s="7" t="n"/>
      <c r="U2411">
        <f>IF($C2411="","",IF($AJ2411=1,0,IF($AI2411=1,Settings!$C$6,Settings!$C$7))*100)</f>
        <v/>
      </c>
      <c r="V2411" s="7">
        <f>IF($C2411="","",R2411*U2411/100)</f>
        <v/>
      </c>
      <c r="W2411" s="7">
        <f>IF($C2411="","",R2411-V2411)</f>
        <v/>
      </c>
      <c r="X2411" s="7">
        <f>IF($C2411="","",W2411-K2411)</f>
        <v/>
      </c>
      <c r="AB2411" s="7" t="n"/>
      <c r="AE2411" s="11" t="n"/>
      <c r="AG2411">
        <f>IF($C2411="","",IF(COUNTIF($C$2:$C2411,$C2411)=1,1,0))</f>
        <v/>
      </c>
      <c r="AH2411">
        <f>IF($AG2411=1,SUMPRODUCT(--($AK$2:$AK$6001&lt;$AK2411))+1,"")</f>
        <v/>
      </c>
      <c r="AI2411">
        <f>IF($C2411="","",IF(OR($N2411=TRUE(),$N2411="TRUE"),1,0))</f>
        <v/>
      </c>
      <c r="AJ2411">
        <f>IF($C2411="","",IF($T2411="Yes",1,0))</f>
        <v/>
      </c>
      <c r="AK2411">
        <f>IF($AG2411=1,IFERROR(IF(VALUE($C2411)&lt;100000000,VALUE($C2411),1000000000),IFERROR(IF(VALUE(MID($C2411,2,20))&lt;100000000,VALUE(MID($C2411,2,20)),1000000000),1000000000))+ROW()/100000,"")</f>
        <v/>
      </c>
    </row>
    <row r="2412">
      <c r="D2412" s="11" t="n"/>
      <c r="K2412" s="7">
        <f>IF($C2412="","",J2412*W2412/100)</f>
        <v/>
      </c>
      <c r="Q2412" s="7" t="n"/>
      <c r="R2412" s="7" t="n"/>
      <c r="U2412">
        <f>IF($C2412="","",IF($AJ2412=1,0,IF($AI2412=1,Settings!$C$6,Settings!$C$7))*100)</f>
        <v/>
      </c>
      <c r="V2412" s="7">
        <f>IF($C2412="","",R2412*U2412/100)</f>
        <v/>
      </c>
      <c r="W2412" s="7">
        <f>IF($C2412="","",R2412-V2412)</f>
        <v/>
      </c>
      <c r="X2412" s="7">
        <f>IF($C2412="","",W2412-K2412)</f>
        <v/>
      </c>
      <c r="AB2412" s="7" t="n"/>
      <c r="AE2412" s="11" t="n"/>
      <c r="AG2412">
        <f>IF($C2412="","",IF(COUNTIF($C$2:$C2412,$C2412)=1,1,0))</f>
        <v/>
      </c>
      <c r="AH2412">
        <f>IF($AG2412=1,SUMPRODUCT(--($AK$2:$AK$6001&lt;$AK2412))+1,"")</f>
        <v/>
      </c>
      <c r="AI2412">
        <f>IF($C2412="","",IF(OR($N2412=TRUE(),$N2412="TRUE"),1,0))</f>
        <v/>
      </c>
      <c r="AJ2412">
        <f>IF($C2412="","",IF($T2412="Yes",1,0))</f>
        <v/>
      </c>
      <c r="AK2412">
        <f>IF($AG2412=1,IFERROR(IF(VALUE($C2412)&lt;100000000,VALUE($C2412),1000000000),IFERROR(IF(VALUE(MID($C2412,2,20))&lt;100000000,VALUE(MID($C2412,2,20)),1000000000),1000000000))+ROW()/100000,"")</f>
        <v/>
      </c>
    </row>
    <row r="2413">
      <c r="D2413" s="11" t="n"/>
      <c r="K2413" s="7">
        <f>IF($C2413="","",J2413*W2413/100)</f>
        <v/>
      </c>
      <c r="Q2413" s="7" t="n"/>
      <c r="R2413" s="7" t="n"/>
      <c r="U2413">
        <f>IF($C2413="","",IF($AJ2413=1,0,IF($AI2413=1,Settings!$C$6,Settings!$C$7))*100)</f>
        <v/>
      </c>
      <c r="V2413" s="7">
        <f>IF($C2413="","",R2413*U2413/100)</f>
        <v/>
      </c>
      <c r="W2413" s="7">
        <f>IF($C2413="","",R2413-V2413)</f>
        <v/>
      </c>
      <c r="X2413" s="7">
        <f>IF($C2413="","",W2413-K2413)</f>
        <v/>
      </c>
      <c r="AB2413" s="7" t="n"/>
      <c r="AE2413" s="11" t="n"/>
      <c r="AG2413">
        <f>IF($C2413="","",IF(COUNTIF($C$2:$C2413,$C2413)=1,1,0))</f>
        <v/>
      </c>
      <c r="AH2413">
        <f>IF($AG2413=1,SUMPRODUCT(--($AK$2:$AK$6001&lt;$AK2413))+1,"")</f>
        <v/>
      </c>
      <c r="AI2413">
        <f>IF($C2413="","",IF(OR($N2413=TRUE(),$N2413="TRUE"),1,0))</f>
        <v/>
      </c>
      <c r="AJ2413">
        <f>IF($C2413="","",IF($T2413="Yes",1,0))</f>
        <v/>
      </c>
      <c r="AK2413">
        <f>IF($AG2413=1,IFERROR(IF(VALUE($C2413)&lt;100000000,VALUE($C2413),1000000000),IFERROR(IF(VALUE(MID($C2413,2,20))&lt;100000000,VALUE(MID($C2413,2,20)),1000000000),1000000000))+ROW()/100000,"")</f>
        <v/>
      </c>
    </row>
    <row r="2414">
      <c r="D2414" s="11" t="n"/>
      <c r="K2414" s="7">
        <f>IF($C2414="","",J2414*W2414/100)</f>
        <v/>
      </c>
      <c r="Q2414" s="7" t="n"/>
      <c r="R2414" s="7" t="n"/>
      <c r="U2414">
        <f>IF($C2414="","",IF($AJ2414=1,0,IF($AI2414=1,Settings!$C$6,Settings!$C$7))*100)</f>
        <v/>
      </c>
      <c r="V2414" s="7">
        <f>IF($C2414="","",R2414*U2414/100)</f>
        <v/>
      </c>
      <c r="W2414" s="7">
        <f>IF($C2414="","",R2414-V2414)</f>
        <v/>
      </c>
      <c r="X2414" s="7">
        <f>IF($C2414="","",W2414-K2414)</f>
        <v/>
      </c>
      <c r="AB2414" s="7" t="n"/>
      <c r="AE2414" s="11" t="n"/>
      <c r="AG2414">
        <f>IF($C2414="","",IF(COUNTIF($C$2:$C2414,$C2414)=1,1,0))</f>
        <v/>
      </c>
      <c r="AH2414">
        <f>IF($AG2414=1,SUMPRODUCT(--($AK$2:$AK$6001&lt;$AK2414))+1,"")</f>
        <v/>
      </c>
      <c r="AI2414">
        <f>IF($C2414="","",IF(OR($N2414=TRUE(),$N2414="TRUE"),1,0))</f>
        <v/>
      </c>
      <c r="AJ2414">
        <f>IF($C2414="","",IF($T2414="Yes",1,0))</f>
        <v/>
      </c>
      <c r="AK2414">
        <f>IF($AG2414=1,IFERROR(IF(VALUE($C2414)&lt;100000000,VALUE($C2414),1000000000),IFERROR(IF(VALUE(MID($C2414,2,20))&lt;100000000,VALUE(MID($C2414,2,20)),1000000000),1000000000))+ROW()/100000,"")</f>
        <v/>
      </c>
    </row>
    <row r="2415">
      <c r="D2415" s="11" t="n"/>
      <c r="K2415" s="7">
        <f>IF($C2415="","",J2415*W2415/100)</f>
        <v/>
      </c>
      <c r="Q2415" s="7" t="n"/>
      <c r="R2415" s="7" t="n"/>
      <c r="U2415">
        <f>IF($C2415="","",IF($AJ2415=1,0,IF($AI2415=1,Settings!$C$6,Settings!$C$7))*100)</f>
        <v/>
      </c>
      <c r="V2415" s="7">
        <f>IF($C2415="","",R2415*U2415/100)</f>
        <v/>
      </c>
      <c r="W2415" s="7">
        <f>IF($C2415="","",R2415-V2415)</f>
        <v/>
      </c>
      <c r="X2415" s="7">
        <f>IF($C2415="","",W2415-K2415)</f>
        <v/>
      </c>
      <c r="AB2415" s="7" t="n"/>
      <c r="AE2415" s="11" t="n"/>
      <c r="AG2415">
        <f>IF($C2415="","",IF(COUNTIF($C$2:$C2415,$C2415)=1,1,0))</f>
        <v/>
      </c>
      <c r="AH2415">
        <f>IF($AG2415=1,SUMPRODUCT(--($AK$2:$AK$6001&lt;$AK2415))+1,"")</f>
        <v/>
      </c>
      <c r="AI2415">
        <f>IF($C2415="","",IF(OR($N2415=TRUE(),$N2415="TRUE"),1,0))</f>
        <v/>
      </c>
      <c r="AJ2415">
        <f>IF($C2415="","",IF($T2415="Yes",1,0))</f>
        <v/>
      </c>
      <c r="AK2415">
        <f>IF($AG2415=1,IFERROR(IF(VALUE($C2415)&lt;100000000,VALUE($C2415),1000000000),IFERROR(IF(VALUE(MID($C2415,2,20))&lt;100000000,VALUE(MID($C2415,2,20)),1000000000),1000000000))+ROW()/100000,"")</f>
        <v/>
      </c>
    </row>
    <row r="2416">
      <c r="D2416" s="11" t="n"/>
      <c r="K2416" s="7">
        <f>IF($C2416="","",J2416*W2416/100)</f>
        <v/>
      </c>
      <c r="Q2416" s="7" t="n"/>
      <c r="R2416" s="7" t="n"/>
      <c r="U2416">
        <f>IF($C2416="","",IF($AJ2416=1,0,IF($AI2416=1,Settings!$C$6,Settings!$C$7))*100)</f>
        <v/>
      </c>
      <c r="V2416" s="7">
        <f>IF($C2416="","",R2416*U2416/100)</f>
        <v/>
      </c>
      <c r="W2416" s="7">
        <f>IF($C2416="","",R2416-V2416)</f>
        <v/>
      </c>
      <c r="X2416" s="7">
        <f>IF($C2416="","",W2416-K2416)</f>
        <v/>
      </c>
      <c r="AB2416" s="7" t="n"/>
      <c r="AE2416" s="11" t="n"/>
      <c r="AG2416">
        <f>IF($C2416="","",IF(COUNTIF($C$2:$C2416,$C2416)=1,1,0))</f>
        <v/>
      </c>
      <c r="AH2416">
        <f>IF($AG2416=1,SUMPRODUCT(--($AK$2:$AK$6001&lt;$AK2416))+1,"")</f>
        <v/>
      </c>
      <c r="AI2416">
        <f>IF($C2416="","",IF(OR($N2416=TRUE(),$N2416="TRUE"),1,0))</f>
        <v/>
      </c>
      <c r="AJ2416">
        <f>IF($C2416="","",IF($T2416="Yes",1,0))</f>
        <v/>
      </c>
      <c r="AK2416">
        <f>IF($AG2416=1,IFERROR(IF(VALUE($C2416)&lt;100000000,VALUE($C2416),1000000000),IFERROR(IF(VALUE(MID($C2416,2,20))&lt;100000000,VALUE(MID($C2416,2,20)),1000000000),1000000000))+ROW()/100000,"")</f>
        <v/>
      </c>
    </row>
    <row r="2417">
      <c r="D2417" s="11" t="n"/>
      <c r="K2417" s="7">
        <f>IF($C2417="","",J2417*W2417/100)</f>
        <v/>
      </c>
      <c r="Q2417" s="7" t="n"/>
      <c r="R2417" s="7" t="n"/>
      <c r="U2417">
        <f>IF($C2417="","",IF($AJ2417=1,0,IF($AI2417=1,Settings!$C$6,Settings!$C$7))*100)</f>
        <v/>
      </c>
      <c r="V2417" s="7">
        <f>IF($C2417="","",R2417*U2417/100)</f>
        <v/>
      </c>
      <c r="W2417" s="7">
        <f>IF($C2417="","",R2417-V2417)</f>
        <v/>
      </c>
      <c r="X2417" s="7">
        <f>IF($C2417="","",W2417-K2417)</f>
        <v/>
      </c>
      <c r="AB2417" s="7" t="n"/>
      <c r="AE2417" s="11" t="n"/>
      <c r="AG2417">
        <f>IF($C2417="","",IF(COUNTIF($C$2:$C2417,$C2417)=1,1,0))</f>
        <v/>
      </c>
      <c r="AH2417">
        <f>IF($AG2417=1,SUMPRODUCT(--($AK$2:$AK$6001&lt;$AK2417))+1,"")</f>
        <v/>
      </c>
      <c r="AI2417">
        <f>IF($C2417="","",IF(OR($N2417=TRUE(),$N2417="TRUE"),1,0))</f>
        <v/>
      </c>
      <c r="AJ2417">
        <f>IF($C2417="","",IF($T2417="Yes",1,0))</f>
        <v/>
      </c>
      <c r="AK2417">
        <f>IF($AG2417=1,IFERROR(IF(VALUE($C2417)&lt;100000000,VALUE($C2417),1000000000),IFERROR(IF(VALUE(MID($C2417,2,20))&lt;100000000,VALUE(MID($C2417,2,20)),1000000000),1000000000))+ROW()/100000,"")</f>
        <v/>
      </c>
    </row>
    <row r="2418">
      <c r="D2418" s="11" t="n"/>
      <c r="K2418" s="7">
        <f>IF($C2418="","",J2418*W2418/100)</f>
        <v/>
      </c>
      <c r="Q2418" s="7" t="n"/>
      <c r="R2418" s="7" t="n"/>
      <c r="U2418">
        <f>IF($C2418="","",IF($AJ2418=1,0,IF($AI2418=1,Settings!$C$6,Settings!$C$7))*100)</f>
        <v/>
      </c>
      <c r="V2418" s="7">
        <f>IF($C2418="","",R2418*U2418/100)</f>
        <v/>
      </c>
      <c r="W2418" s="7">
        <f>IF($C2418="","",R2418-V2418)</f>
        <v/>
      </c>
      <c r="X2418" s="7">
        <f>IF($C2418="","",W2418-K2418)</f>
        <v/>
      </c>
      <c r="AB2418" s="7" t="n"/>
      <c r="AE2418" s="11" t="n"/>
      <c r="AG2418">
        <f>IF($C2418="","",IF(COUNTIF($C$2:$C2418,$C2418)=1,1,0))</f>
        <v/>
      </c>
      <c r="AH2418">
        <f>IF($AG2418=1,SUMPRODUCT(--($AK$2:$AK$6001&lt;$AK2418))+1,"")</f>
        <v/>
      </c>
      <c r="AI2418">
        <f>IF($C2418="","",IF(OR($N2418=TRUE(),$N2418="TRUE"),1,0))</f>
        <v/>
      </c>
      <c r="AJ2418">
        <f>IF($C2418="","",IF($T2418="Yes",1,0))</f>
        <v/>
      </c>
      <c r="AK2418">
        <f>IF($AG2418=1,IFERROR(IF(VALUE($C2418)&lt;100000000,VALUE($C2418),1000000000),IFERROR(IF(VALUE(MID($C2418,2,20))&lt;100000000,VALUE(MID($C2418,2,20)),1000000000),1000000000))+ROW()/100000,"")</f>
        <v/>
      </c>
    </row>
    <row r="2419">
      <c r="D2419" s="11" t="n"/>
      <c r="K2419" s="7">
        <f>IF($C2419="","",J2419*W2419/100)</f>
        <v/>
      </c>
      <c r="Q2419" s="7" t="n"/>
      <c r="R2419" s="7" t="n"/>
      <c r="U2419">
        <f>IF($C2419="","",IF($AJ2419=1,0,IF($AI2419=1,Settings!$C$6,Settings!$C$7))*100)</f>
        <v/>
      </c>
      <c r="V2419" s="7">
        <f>IF($C2419="","",R2419*U2419/100)</f>
        <v/>
      </c>
      <c r="W2419" s="7">
        <f>IF($C2419="","",R2419-V2419)</f>
        <v/>
      </c>
      <c r="X2419" s="7">
        <f>IF($C2419="","",W2419-K2419)</f>
        <v/>
      </c>
      <c r="AB2419" s="7" t="n"/>
      <c r="AE2419" s="11" t="n"/>
      <c r="AG2419">
        <f>IF($C2419="","",IF(COUNTIF($C$2:$C2419,$C2419)=1,1,0))</f>
        <v/>
      </c>
      <c r="AH2419">
        <f>IF($AG2419=1,SUMPRODUCT(--($AK$2:$AK$6001&lt;$AK2419))+1,"")</f>
        <v/>
      </c>
      <c r="AI2419">
        <f>IF($C2419="","",IF(OR($N2419=TRUE(),$N2419="TRUE"),1,0))</f>
        <v/>
      </c>
      <c r="AJ2419">
        <f>IF($C2419="","",IF($T2419="Yes",1,0))</f>
        <v/>
      </c>
      <c r="AK2419">
        <f>IF($AG2419=1,IFERROR(IF(VALUE($C2419)&lt;100000000,VALUE($C2419),1000000000),IFERROR(IF(VALUE(MID($C2419,2,20))&lt;100000000,VALUE(MID($C2419,2,20)),1000000000),1000000000))+ROW()/100000,"")</f>
        <v/>
      </c>
    </row>
    <row r="2420">
      <c r="D2420" s="11" t="n"/>
      <c r="K2420" s="7">
        <f>IF($C2420="","",J2420*W2420/100)</f>
        <v/>
      </c>
      <c r="Q2420" s="7" t="n"/>
      <c r="R2420" s="7" t="n"/>
      <c r="U2420">
        <f>IF($C2420="","",IF($AJ2420=1,0,IF($AI2420=1,Settings!$C$6,Settings!$C$7))*100)</f>
        <v/>
      </c>
      <c r="V2420" s="7">
        <f>IF($C2420="","",R2420*U2420/100)</f>
        <v/>
      </c>
      <c r="W2420" s="7">
        <f>IF($C2420="","",R2420-V2420)</f>
        <v/>
      </c>
      <c r="X2420" s="7">
        <f>IF($C2420="","",W2420-K2420)</f>
        <v/>
      </c>
      <c r="AB2420" s="7" t="n"/>
      <c r="AE2420" s="11" t="n"/>
      <c r="AG2420">
        <f>IF($C2420="","",IF(COUNTIF($C$2:$C2420,$C2420)=1,1,0))</f>
        <v/>
      </c>
      <c r="AH2420">
        <f>IF($AG2420=1,SUMPRODUCT(--($AK$2:$AK$6001&lt;$AK2420))+1,"")</f>
        <v/>
      </c>
      <c r="AI2420">
        <f>IF($C2420="","",IF(OR($N2420=TRUE(),$N2420="TRUE"),1,0))</f>
        <v/>
      </c>
      <c r="AJ2420">
        <f>IF($C2420="","",IF($T2420="Yes",1,0))</f>
        <v/>
      </c>
      <c r="AK2420">
        <f>IF($AG2420=1,IFERROR(IF(VALUE($C2420)&lt;100000000,VALUE($C2420),1000000000),IFERROR(IF(VALUE(MID($C2420,2,20))&lt;100000000,VALUE(MID($C2420,2,20)),1000000000),1000000000))+ROW()/100000,"")</f>
        <v/>
      </c>
    </row>
    <row r="2421">
      <c r="D2421" s="11" t="n"/>
      <c r="K2421" s="7">
        <f>IF($C2421="","",J2421*W2421/100)</f>
        <v/>
      </c>
      <c r="Q2421" s="7" t="n"/>
      <c r="R2421" s="7" t="n"/>
      <c r="U2421">
        <f>IF($C2421="","",IF($AJ2421=1,0,IF($AI2421=1,Settings!$C$6,Settings!$C$7))*100)</f>
        <v/>
      </c>
      <c r="V2421" s="7">
        <f>IF($C2421="","",R2421*U2421/100)</f>
        <v/>
      </c>
      <c r="W2421" s="7">
        <f>IF($C2421="","",R2421-V2421)</f>
        <v/>
      </c>
      <c r="X2421" s="7">
        <f>IF($C2421="","",W2421-K2421)</f>
        <v/>
      </c>
      <c r="AB2421" s="7" t="n"/>
      <c r="AE2421" s="11" t="n"/>
      <c r="AG2421">
        <f>IF($C2421="","",IF(COUNTIF($C$2:$C2421,$C2421)=1,1,0))</f>
        <v/>
      </c>
      <c r="AH2421">
        <f>IF($AG2421=1,SUMPRODUCT(--($AK$2:$AK$6001&lt;$AK2421))+1,"")</f>
        <v/>
      </c>
      <c r="AI2421">
        <f>IF($C2421="","",IF(OR($N2421=TRUE(),$N2421="TRUE"),1,0))</f>
        <v/>
      </c>
      <c r="AJ2421">
        <f>IF($C2421="","",IF($T2421="Yes",1,0))</f>
        <v/>
      </c>
      <c r="AK2421">
        <f>IF($AG2421=1,IFERROR(IF(VALUE($C2421)&lt;100000000,VALUE($C2421),1000000000),IFERROR(IF(VALUE(MID($C2421,2,20))&lt;100000000,VALUE(MID($C2421,2,20)),1000000000),1000000000))+ROW()/100000,"")</f>
        <v/>
      </c>
    </row>
    <row r="2422">
      <c r="D2422" s="11" t="n"/>
      <c r="K2422" s="7">
        <f>IF($C2422="","",J2422*W2422/100)</f>
        <v/>
      </c>
      <c r="Q2422" s="7" t="n"/>
      <c r="R2422" s="7" t="n"/>
      <c r="U2422">
        <f>IF($C2422="","",IF($AJ2422=1,0,IF($AI2422=1,Settings!$C$6,Settings!$C$7))*100)</f>
        <v/>
      </c>
      <c r="V2422" s="7">
        <f>IF($C2422="","",R2422*U2422/100)</f>
        <v/>
      </c>
      <c r="W2422" s="7">
        <f>IF($C2422="","",R2422-V2422)</f>
        <v/>
      </c>
      <c r="X2422" s="7">
        <f>IF($C2422="","",W2422-K2422)</f>
        <v/>
      </c>
      <c r="AB2422" s="7" t="n"/>
      <c r="AE2422" s="11" t="n"/>
      <c r="AG2422">
        <f>IF($C2422="","",IF(COUNTIF($C$2:$C2422,$C2422)=1,1,0))</f>
        <v/>
      </c>
      <c r="AH2422">
        <f>IF($AG2422=1,SUMPRODUCT(--($AK$2:$AK$6001&lt;$AK2422))+1,"")</f>
        <v/>
      </c>
      <c r="AI2422">
        <f>IF($C2422="","",IF(OR($N2422=TRUE(),$N2422="TRUE"),1,0))</f>
        <v/>
      </c>
      <c r="AJ2422">
        <f>IF($C2422="","",IF($T2422="Yes",1,0))</f>
        <v/>
      </c>
      <c r="AK2422">
        <f>IF($AG2422=1,IFERROR(IF(VALUE($C2422)&lt;100000000,VALUE($C2422),1000000000),IFERROR(IF(VALUE(MID($C2422,2,20))&lt;100000000,VALUE(MID($C2422,2,20)),1000000000),1000000000))+ROW()/100000,"")</f>
        <v/>
      </c>
    </row>
    <row r="2423">
      <c r="D2423" s="11" t="n"/>
      <c r="K2423" s="7">
        <f>IF($C2423="","",J2423*W2423/100)</f>
        <v/>
      </c>
      <c r="Q2423" s="7" t="n"/>
      <c r="R2423" s="7" t="n"/>
      <c r="U2423">
        <f>IF($C2423="","",IF($AJ2423=1,0,IF($AI2423=1,Settings!$C$6,Settings!$C$7))*100)</f>
        <v/>
      </c>
      <c r="V2423" s="7">
        <f>IF($C2423="","",R2423*U2423/100)</f>
        <v/>
      </c>
      <c r="W2423" s="7">
        <f>IF($C2423="","",R2423-V2423)</f>
        <v/>
      </c>
      <c r="X2423" s="7">
        <f>IF($C2423="","",W2423-K2423)</f>
        <v/>
      </c>
      <c r="AB2423" s="7" t="n"/>
      <c r="AE2423" s="11" t="n"/>
      <c r="AG2423">
        <f>IF($C2423="","",IF(COUNTIF($C$2:$C2423,$C2423)=1,1,0))</f>
        <v/>
      </c>
      <c r="AH2423">
        <f>IF($AG2423=1,SUMPRODUCT(--($AK$2:$AK$6001&lt;$AK2423))+1,"")</f>
        <v/>
      </c>
      <c r="AI2423">
        <f>IF($C2423="","",IF(OR($N2423=TRUE(),$N2423="TRUE"),1,0))</f>
        <v/>
      </c>
      <c r="AJ2423">
        <f>IF($C2423="","",IF($T2423="Yes",1,0))</f>
        <v/>
      </c>
      <c r="AK2423">
        <f>IF($AG2423=1,IFERROR(IF(VALUE($C2423)&lt;100000000,VALUE($C2423),1000000000),IFERROR(IF(VALUE(MID($C2423,2,20))&lt;100000000,VALUE(MID($C2423,2,20)),1000000000),1000000000))+ROW()/100000,"")</f>
        <v/>
      </c>
    </row>
    <row r="2424">
      <c r="D2424" s="11" t="n"/>
      <c r="K2424" s="7">
        <f>IF($C2424="","",J2424*W2424/100)</f>
        <v/>
      </c>
      <c r="Q2424" s="7" t="n"/>
      <c r="R2424" s="7" t="n"/>
      <c r="U2424">
        <f>IF($C2424="","",IF($AJ2424=1,0,IF($AI2424=1,Settings!$C$6,Settings!$C$7))*100)</f>
        <v/>
      </c>
      <c r="V2424" s="7">
        <f>IF($C2424="","",R2424*U2424/100)</f>
        <v/>
      </c>
      <c r="W2424" s="7">
        <f>IF($C2424="","",R2424-V2424)</f>
        <v/>
      </c>
      <c r="X2424" s="7">
        <f>IF($C2424="","",W2424-K2424)</f>
        <v/>
      </c>
      <c r="AB2424" s="7" t="n"/>
      <c r="AE2424" s="11" t="n"/>
      <c r="AG2424">
        <f>IF($C2424="","",IF(COUNTIF($C$2:$C2424,$C2424)=1,1,0))</f>
        <v/>
      </c>
      <c r="AH2424">
        <f>IF($AG2424=1,SUMPRODUCT(--($AK$2:$AK$6001&lt;$AK2424))+1,"")</f>
        <v/>
      </c>
      <c r="AI2424">
        <f>IF($C2424="","",IF(OR($N2424=TRUE(),$N2424="TRUE"),1,0))</f>
        <v/>
      </c>
      <c r="AJ2424">
        <f>IF($C2424="","",IF($T2424="Yes",1,0))</f>
        <v/>
      </c>
      <c r="AK2424">
        <f>IF($AG2424=1,IFERROR(IF(VALUE($C2424)&lt;100000000,VALUE($C2424),1000000000),IFERROR(IF(VALUE(MID($C2424,2,20))&lt;100000000,VALUE(MID($C2424,2,20)),1000000000),1000000000))+ROW()/100000,"")</f>
        <v/>
      </c>
    </row>
    <row r="2425">
      <c r="D2425" s="11" t="n"/>
      <c r="K2425" s="7">
        <f>IF($C2425="","",J2425*W2425/100)</f>
        <v/>
      </c>
      <c r="Q2425" s="7" t="n"/>
      <c r="R2425" s="7" t="n"/>
      <c r="U2425">
        <f>IF($C2425="","",IF($AJ2425=1,0,IF($AI2425=1,Settings!$C$6,Settings!$C$7))*100)</f>
        <v/>
      </c>
      <c r="V2425" s="7">
        <f>IF($C2425="","",R2425*U2425/100)</f>
        <v/>
      </c>
      <c r="W2425" s="7">
        <f>IF($C2425="","",R2425-V2425)</f>
        <v/>
      </c>
      <c r="X2425" s="7">
        <f>IF($C2425="","",W2425-K2425)</f>
        <v/>
      </c>
      <c r="AB2425" s="7" t="n"/>
      <c r="AE2425" s="11" t="n"/>
      <c r="AG2425">
        <f>IF($C2425="","",IF(COUNTIF($C$2:$C2425,$C2425)=1,1,0))</f>
        <v/>
      </c>
      <c r="AH2425">
        <f>IF($AG2425=1,SUMPRODUCT(--($AK$2:$AK$6001&lt;$AK2425))+1,"")</f>
        <v/>
      </c>
      <c r="AI2425">
        <f>IF($C2425="","",IF(OR($N2425=TRUE(),$N2425="TRUE"),1,0))</f>
        <v/>
      </c>
      <c r="AJ2425">
        <f>IF($C2425="","",IF($T2425="Yes",1,0))</f>
        <v/>
      </c>
      <c r="AK2425">
        <f>IF($AG2425=1,IFERROR(IF(VALUE($C2425)&lt;100000000,VALUE($C2425),1000000000),IFERROR(IF(VALUE(MID($C2425,2,20))&lt;100000000,VALUE(MID($C2425,2,20)),1000000000),1000000000))+ROW()/100000,"")</f>
        <v/>
      </c>
    </row>
    <row r="2426">
      <c r="D2426" s="11" t="n"/>
      <c r="K2426" s="7">
        <f>IF($C2426="","",J2426*W2426/100)</f>
        <v/>
      </c>
      <c r="Q2426" s="7" t="n"/>
      <c r="R2426" s="7" t="n"/>
      <c r="U2426">
        <f>IF($C2426="","",IF($AJ2426=1,0,IF($AI2426=1,Settings!$C$6,Settings!$C$7))*100)</f>
        <v/>
      </c>
      <c r="V2426" s="7">
        <f>IF($C2426="","",R2426*U2426/100)</f>
        <v/>
      </c>
      <c r="W2426" s="7">
        <f>IF($C2426="","",R2426-V2426)</f>
        <v/>
      </c>
      <c r="X2426" s="7">
        <f>IF($C2426="","",W2426-K2426)</f>
        <v/>
      </c>
      <c r="AB2426" s="7" t="n"/>
      <c r="AE2426" s="11" t="n"/>
      <c r="AG2426">
        <f>IF($C2426="","",IF(COUNTIF($C$2:$C2426,$C2426)=1,1,0))</f>
        <v/>
      </c>
      <c r="AH2426">
        <f>IF($AG2426=1,SUMPRODUCT(--($AK$2:$AK$6001&lt;$AK2426))+1,"")</f>
        <v/>
      </c>
      <c r="AI2426">
        <f>IF($C2426="","",IF(OR($N2426=TRUE(),$N2426="TRUE"),1,0))</f>
        <v/>
      </c>
      <c r="AJ2426">
        <f>IF($C2426="","",IF($T2426="Yes",1,0))</f>
        <v/>
      </c>
      <c r="AK2426">
        <f>IF($AG2426=1,IFERROR(IF(VALUE($C2426)&lt;100000000,VALUE($C2426),1000000000),IFERROR(IF(VALUE(MID($C2426,2,20))&lt;100000000,VALUE(MID($C2426,2,20)),1000000000),1000000000))+ROW()/100000,"")</f>
        <v/>
      </c>
    </row>
    <row r="2427">
      <c r="D2427" s="11" t="n"/>
      <c r="K2427" s="7">
        <f>IF($C2427="","",J2427*W2427/100)</f>
        <v/>
      </c>
      <c r="Q2427" s="7" t="n"/>
      <c r="R2427" s="7" t="n"/>
      <c r="U2427">
        <f>IF($C2427="","",IF($AJ2427=1,0,IF($AI2427=1,Settings!$C$6,Settings!$C$7))*100)</f>
        <v/>
      </c>
      <c r="V2427" s="7">
        <f>IF($C2427="","",R2427*U2427/100)</f>
        <v/>
      </c>
      <c r="W2427" s="7">
        <f>IF($C2427="","",R2427-V2427)</f>
        <v/>
      </c>
      <c r="X2427" s="7">
        <f>IF($C2427="","",W2427-K2427)</f>
        <v/>
      </c>
      <c r="AB2427" s="7" t="n"/>
      <c r="AE2427" s="11" t="n"/>
      <c r="AG2427">
        <f>IF($C2427="","",IF(COUNTIF($C$2:$C2427,$C2427)=1,1,0))</f>
        <v/>
      </c>
      <c r="AH2427">
        <f>IF($AG2427=1,SUMPRODUCT(--($AK$2:$AK$6001&lt;$AK2427))+1,"")</f>
        <v/>
      </c>
      <c r="AI2427">
        <f>IF($C2427="","",IF(OR($N2427=TRUE(),$N2427="TRUE"),1,0))</f>
        <v/>
      </c>
      <c r="AJ2427">
        <f>IF($C2427="","",IF($T2427="Yes",1,0))</f>
        <v/>
      </c>
      <c r="AK2427">
        <f>IF($AG2427=1,IFERROR(IF(VALUE($C2427)&lt;100000000,VALUE($C2427),1000000000),IFERROR(IF(VALUE(MID($C2427,2,20))&lt;100000000,VALUE(MID($C2427,2,20)),1000000000),1000000000))+ROW()/100000,"")</f>
        <v/>
      </c>
    </row>
    <row r="2428">
      <c r="D2428" s="11" t="n"/>
      <c r="K2428" s="7">
        <f>IF($C2428="","",J2428*W2428/100)</f>
        <v/>
      </c>
      <c r="Q2428" s="7" t="n"/>
      <c r="R2428" s="7" t="n"/>
      <c r="U2428">
        <f>IF($C2428="","",IF($AJ2428=1,0,IF($AI2428=1,Settings!$C$6,Settings!$C$7))*100)</f>
        <v/>
      </c>
      <c r="V2428" s="7">
        <f>IF($C2428="","",R2428*U2428/100)</f>
        <v/>
      </c>
      <c r="W2428" s="7">
        <f>IF($C2428="","",R2428-V2428)</f>
        <v/>
      </c>
      <c r="X2428" s="7">
        <f>IF($C2428="","",W2428-K2428)</f>
        <v/>
      </c>
      <c r="AB2428" s="7" t="n"/>
      <c r="AE2428" s="11" t="n"/>
      <c r="AG2428">
        <f>IF($C2428="","",IF(COUNTIF($C$2:$C2428,$C2428)=1,1,0))</f>
        <v/>
      </c>
      <c r="AH2428">
        <f>IF($AG2428=1,SUMPRODUCT(--($AK$2:$AK$6001&lt;$AK2428))+1,"")</f>
        <v/>
      </c>
      <c r="AI2428">
        <f>IF($C2428="","",IF(OR($N2428=TRUE(),$N2428="TRUE"),1,0))</f>
        <v/>
      </c>
      <c r="AJ2428">
        <f>IF($C2428="","",IF($T2428="Yes",1,0))</f>
        <v/>
      </c>
      <c r="AK2428">
        <f>IF($AG2428=1,IFERROR(IF(VALUE($C2428)&lt;100000000,VALUE($C2428),1000000000),IFERROR(IF(VALUE(MID($C2428,2,20))&lt;100000000,VALUE(MID($C2428,2,20)),1000000000),1000000000))+ROW()/100000,"")</f>
        <v/>
      </c>
    </row>
    <row r="2429">
      <c r="D2429" s="11" t="n"/>
      <c r="K2429" s="7">
        <f>IF($C2429="","",J2429*W2429/100)</f>
        <v/>
      </c>
      <c r="Q2429" s="7" t="n"/>
      <c r="R2429" s="7" t="n"/>
      <c r="U2429">
        <f>IF($C2429="","",IF($AJ2429=1,0,IF($AI2429=1,Settings!$C$6,Settings!$C$7))*100)</f>
        <v/>
      </c>
      <c r="V2429" s="7">
        <f>IF($C2429="","",R2429*U2429/100)</f>
        <v/>
      </c>
      <c r="W2429" s="7">
        <f>IF($C2429="","",R2429-V2429)</f>
        <v/>
      </c>
      <c r="X2429" s="7">
        <f>IF($C2429="","",W2429-K2429)</f>
        <v/>
      </c>
      <c r="AB2429" s="7" t="n"/>
      <c r="AE2429" s="11" t="n"/>
      <c r="AG2429">
        <f>IF($C2429="","",IF(COUNTIF($C$2:$C2429,$C2429)=1,1,0))</f>
        <v/>
      </c>
      <c r="AH2429">
        <f>IF($AG2429=1,SUMPRODUCT(--($AK$2:$AK$6001&lt;$AK2429))+1,"")</f>
        <v/>
      </c>
      <c r="AI2429">
        <f>IF($C2429="","",IF(OR($N2429=TRUE(),$N2429="TRUE"),1,0))</f>
        <v/>
      </c>
      <c r="AJ2429">
        <f>IF($C2429="","",IF($T2429="Yes",1,0))</f>
        <v/>
      </c>
      <c r="AK2429">
        <f>IF($AG2429=1,IFERROR(IF(VALUE($C2429)&lt;100000000,VALUE($C2429),1000000000),IFERROR(IF(VALUE(MID($C2429,2,20))&lt;100000000,VALUE(MID($C2429,2,20)),1000000000),1000000000))+ROW()/100000,"")</f>
        <v/>
      </c>
    </row>
    <row r="2430">
      <c r="D2430" s="11" t="n"/>
      <c r="K2430" s="7">
        <f>IF($C2430="","",J2430*W2430/100)</f>
        <v/>
      </c>
      <c r="Q2430" s="7" t="n"/>
      <c r="R2430" s="7" t="n"/>
      <c r="U2430">
        <f>IF($C2430="","",IF($AJ2430=1,0,IF($AI2430=1,Settings!$C$6,Settings!$C$7))*100)</f>
        <v/>
      </c>
      <c r="V2430" s="7">
        <f>IF($C2430="","",R2430*U2430/100)</f>
        <v/>
      </c>
      <c r="W2430" s="7">
        <f>IF($C2430="","",R2430-V2430)</f>
        <v/>
      </c>
      <c r="X2430" s="7">
        <f>IF($C2430="","",W2430-K2430)</f>
        <v/>
      </c>
      <c r="AB2430" s="7" t="n"/>
      <c r="AE2430" s="11" t="n"/>
      <c r="AG2430">
        <f>IF($C2430="","",IF(COUNTIF($C$2:$C2430,$C2430)=1,1,0))</f>
        <v/>
      </c>
      <c r="AH2430">
        <f>IF($AG2430=1,SUMPRODUCT(--($AK$2:$AK$6001&lt;$AK2430))+1,"")</f>
        <v/>
      </c>
      <c r="AI2430">
        <f>IF($C2430="","",IF(OR($N2430=TRUE(),$N2430="TRUE"),1,0))</f>
        <v/>
      </c>
      <c r="AJ2430">
        <f>IF($C2430="","",IF($T2430="Yes",1,0))</f>
        <v/>
      </c>
      <c r="AK2430">
        <f>IF($AG2430=1,IFERROR(IF(VALUE($C2430)&lt;100000000,VALUE($C2430),1000000000),IFERROR(IF(VALUE(MID($C2430,2,20))&lt;100000000,VALUE(MID($C2430,2,20)),1000000000),1000000000))+ROW()/100000,"")</f>
        <v/>
      </c>
    </row>
    <row r="2431">
      <c r="D2431" s="11" t="n"/>
      <c r="K2431" s="7">
        <f>IF($C2431="","",J2431*W2431/100)</f>
        <v/>
      </c>
      <c r="Q2431" s="7" t="n"/>
      <c r="R2431" s="7" t="n"/>
      <c r="U2431">
        <f>IF($C2431="","",IF($AJ2431=1,0,IF($AI2431=1,Settings!$C$6,Settings!$C$7))*100)</f>
        <v/>
      </c>
      <c r="V2431" s="7">
        <f>IF($C2431="","",R2431*U2431/100)</f>
        <v/>
      </c>
      <c r="W2431" s="7">
        <f>IF($C2431="","",R2431-V2431)</f>
        <v/>
      </c>
      <c r="X2431" s="7">
        <f>IF($C2431="","",W2431-K2431)</f>
        <v/>
      </c>
      <c r="AB2431" s="7" t="n"/>
      <c r="AE2431" s="11" t="n"/>
      <c r="AG2431">
        <f>IF($C2431="","",IF(COUNTIF($C$2:$C2431,$C2431)=1,1,0))</f>
        <v/>
      </c>
      <c r="AH2431">
        <f>IF($AG2431=1,SUMPRODUCT(--($AK$2:$AK$6001&lt;$AK2431))+1,"")</f>
        <v/>
      </c>
      <c r="AI2431">
        <f>IF($C2431="","",IF(OR($N2431=TRUE(),$N2431="TRUE"),1,0))</f>
        <v/>
      </c>
      <c r="AJ2431">
        <f>IF($C2431="","",IF($T2431="Yes",1,0))</f>
        <v/>
      </c>
      <c r="AK2431">
        <f>IF($AG2431=1,IFERROR(IF(VALUE($C2431)&lt;100000000,VALUE($C2431),1000000000),IFERROR(IF(VALUE(MID($C2431,2,20))&lt;100000000,VALUE(MID($C2431,2,20)),1000000000),1000000000))+ROW()/100000,"")</f>
        <v/>
      </c>
    </row>
    <row r="2432">
      <c r="D2432" s="11" t="n"/>
      <c r="K2432" s="7">
        <f>IF($C2432="","",J2432*W2432/100)</f>
        <v/>
      </c>
      <c r="Q2432" s="7" t="n"/>
      <c r="R2432" s="7" t="n"/>
      <c r="U2432">
        <f>IF($C2432="","",IF($AJ2432=1,0,IF($AI2432=1,Settings!$C$6,Settings!$C$7))*100)</f>
        <v/>
      </c>
      <c r="V2432" s="7">
        <f>IF($C2432="","",R2432*U2432/100)</f>
        <v/>
      </c>
      <c r="W2432" s="7">
        <f>IF($C2432="","",R2432-V2432)</f>
        <v/>
      </c>
      <c r="X2432" s="7">
        <f>IF($C2432="","",W2432-K2432)</f>
        <v/>
      </c>
      <c r="AB2432" s="7" t="n"/>
      <c r="AE2432" s="11" t="n"/>
      <c r="AG2432">
        <f>IF($C2432="","",IF(COUNTIF($C$2:$C2432,$C2432)=1,1,0))</f>
        <v/>
      </c>
      <c r="AH2432">
        <f>IF($AG2432=1,SUMPRODUCT(--($AK$2:$AK$6001&lt;$AK2432))+1,"")</f>
        <v/>
      </c>
      <c r="AI2432">
        <f>IF($C2432="","",IF(OR($N2432=TRUE(),$N2432="TRUE"),1,0))</f>
        <v/>
      </c>
      <c r="AJ2432">
        <f>IF($C2432="","",IF($T2432="Yes",1,0))</f>
        <v/>
      </c>
      <c r="AK2432">
        <f>IF($AG2432=1,IFERROR(IF(VALUE($C2432)&lt;100000000,VALUE($C2432),1000000000),IFERROR(IF(VALUE(MID($C2432,2,20))&lt;100000000,VALUE(MID($C2432,2,20)),1000000000),1000000000))+ROW()/100000,"")</f>
        <v/>
      </c>
    </row>
    <row r="2433">
      <c r="D2433" s="11" t="n"/>
      <c r="K2433" s="7">
        <f>IF($C2433="","",J2433*W2433/100)</f>
        <v/>
      </c>
      <c r="Q2433" s="7" t="n"/>
      <c r="R2433" s="7" t="n"/>
      <c r="U2433">
        <f>IF($C2433="","",IF($AJ2433=1,0,IF($AI2433=1,Settings!$C$6,Settings!$C$7))*100)</f>
        <v/>
      </c>
      <c r="V2433" s="7">
        <f>IF($C2433="","",R2433*U2433/100)</f>
        <v/>
      </c>
      <c r="W2433" s="7">
        <f>IF($C2433="","",R2433-V2433)</f>
        <v/>
      </c>
      <c r="X2433" s="7">
        <f>IF($C2433="","",W2433-K2433)</f>
        <v/>
      </c>
      <c r="AB2433" s="7" t="n"/>
      <c r="AE2433" s="11" t="n"/>
      <c r="AG2433">
        <f>IF($C2433="","",IF(COUNTIF($C$2:$C2433,$C2433)=1,1,0))</f>
        <v/>
      </c>
      <c r="AH2433">
        <f>IF($AG2433=1,SUMPRODUCT(--($AK$2:$AK$6001&lt;$AK2433))+1,"")</f>
        <v/>
      </c>
      <c r="AI2433">
        <f>IF($C2433="","",IF(OR($N2433=TRUE(),$N2433="TRUE"),1,0))</f>
        <v/>
      </c>
      <c r="AJ2433">
        <f>IF($C2433="","",IF($T2433="Yes",1,0))</f>
        <v/>
      </c>
      <c r="AK2433">
        <f>IF($AG2433=1,IFERROR(IF(VALUE($C2433)&lt;100000000,VALUE($C2433),1000000000),IFERROR(IF(VALUE(MID($C2433,2,20))&lt;100000000,VALUE(MID($C2433,2,20)),1000000000),1000000000))+ROW()/100000,"")</f>
        <v/>
      </c>
    </row>
    <row r="2434">
      <c r="D2434" s="11" t="n"/>
      <c r="K2434" s="7">
        <f>IF($C2434="","",J2434*W2434/100)</f>
        <v/>
      </c>
      <c r="Q2434" s="7" t="n"/>
      <c r="R2434" s="7" t="n"/>
      <c r="U2434">
        <f>IF($C2434="","",IF($AJ2434=1,0,IF($AI2434=1,Settings!$C$6,Settings!$C$7))*100)</f>
        <v/>
      </c>
      <c r="V2434" s="7">
        <f>IF($C2434="","",R2434*U2434/100)</f>
        <v/>
      </c>
      <c r="W2434" s="7">
        <f>IF($C2434="","",R2434-V2434)</f>
        <v/>
      </c>
      <c r="X2434" s="7">
        <f>IF($C2434="","",W2434-K2434)</f>
        <v/>
      </c>
      <c r="AB2434" s="7" t="n"/>
      <c r="AE2434" s="11" t="n"/>
      <c r="AG2434">
        <f>IF($C2434="","",IF(COUNTIF($C$2:$C2434,$C2434)=1,1,0))</f>
        <v/>
      </c>
      <c r="AH2434">
        <f>IF($AG2434=1,SUMPRODUCT(--($AK$2:$AK$6001&lt;$AK2434))+1,"")</f>
        <v/>
      </c>
      <c r="AI2434">
        <f>IF($C2434="","",IF(OR($N2434=TRUE(),$N2434="TRUE"),1,0))</f>
        <v/>
      </c>
      <c r="AJ2434">
        <f>IF($C2434="","",IF($T2434="Yes",1,0))</f>
        <v/>
      </c>
      <c r="AK2434">
        <f>IF($AG2434=1,IFERROR(IF(VALUE($C2434)&lt;100000000,VALUE($C2434),1000000000),IFERROR(IF(VALUE(MID($C2434,2,20))&lt;100000000,VALUE(MID($C2434,2,20)),1000000000),1000000000))+ROW()/100000,"")</f>
        <v/>
      </c>
    </row>
    <row r="2435">
      <c r="D2435" s="11" t="n"/>
      <c r="K2435" s="7">
        <f>IF($C2435="","",J2435*W2435/100)</f>
        <v/>
      </c>
      <c r="Q2435" s="7" t="n"/>
      <c r="R2435" s="7" t="n"/>
      <c r="U2435">
        <f>IF($C2435="","",IF($AJ2435=1,0,IF($AI2435=1,Settings!$C$6,Settings!$C$7))*100)</f>
        <v/>
      </c>
      <c r="V2435" s="7">
        <f>IF($C2435="","",R2435*U2435/100)</f>
        <v/>
      </c>
      <c r="W2435" s="7">
        <f>IF($C2435="","",R2435-V2435)</f>
        <v/>
      </c>
      <c r="X2435" s="7">
        <f>IF($C2435="","",W2435-K2435)</f>
        <v/>
      </c>
      <c r="AB2435" s="7" t="n"/>
      <c r="AE2435" s="11" t="n"/>
      <c r="AG2435">
        <f>IF($C2435="","",IF(COUNTIF($C$2:$C2435,$C2435)=1,1,0))</f>
        <v/>
      </c>
      <c r="AH2435">
        <f>IF($AG2435=1,SUMPRODUCT(--($AK$2:$AK$6001&lt;$AK2435))+1,"")</f>
        <v/>
      </c>
      <c r="AI2435">
        <f>IF($C2435="","",IF(OR($N2435=TRUE(),$N2435="TRUE"),1,0))</f>
        <v/>
      </c>
      <c r="AJ2435">
        <f>IF($C2435="","",IF($T2435="Yes",1,0))</f>
        <v/>
      </c>
      <c r="AK2435">
        <f>IF($AG2435=1,IFERROR(IF(VALUE($C2435)&lt;100000000,VALUE($C2435),1000000000),IFERROR(IF(VALUE(MID($C2435,2,20))&lt;100000000,VALUE(MID($C2435,2,20)),1000000000),1000000000))+ROW()/100000,"")</f>
        <v/>
      </c>
    </row>
    <row r="2436">
      <c r="D2436" s="11" t="n"/>
      <c r="K2436" s="7">
        <f>IF($C2436="","",J2436*W2436/100)</f>
        <v/>
      </c>
      <c r="Q2436" s="7" t="n"/>
      <c r="R2436" s="7" t="n"/>
      <c r="U2436">
        <f>IF($C2436="","",IF($AJ2436=1,0,IF($AI2436=1,Settings!$C$6,Settings!$C$7))*100)</f>
        <v/>
      </c>
      <c r="V2436" s="7">
        <f>IF($C2436="","",R2436*U2436/100)</f>
        <v/>
      </c>
      <c r="W2436" s="7">
        <f>IF($C2436="","",R2436-V2436)</f>
        <v/>
      </c>
      <c r="X2436" s="7">
        <f>IF($C2436="","",W2436-K2436)</f>
        <v/>
      </c>
      <c r="AB2436" s="7" t="n"/>
      <c r="AE2436" s="11" t="n"/>
      <c r="AG2436">
        <f>IF($C2436="","",IF(COUNTIF($C$2:$C2436,$C2436)=1,1,0))</f>
        <v/>
      </c>
      <c r="AH2436">
        <f>IF($AG2436=1,SUMPRODUCT(--($AK$2:$AK$6001&lt;$AK2436))+1,"")</f>
        <v/>
      </c>
      <c r="AI2436">
        <f>IF($C2436="","",IF(OR($N2436=TRUE(),$N2436="TRUE"),1,0))</f>
        <v/>
      </c>
      <c r="AJ2436">
        <f>IF($C2436="","",IF($T2436="Yes",1,0))</f>
        <v/>
      </c>
      <c r="AK2436">
        <f>IF($AG2436=1,IFERROR(IF(VALUE($C2436)&lt;100000000,VALUE($C2436),1000000000),IFERROR(IF(VALUE(MID($C2436,2,20))&lt;100000000,VALUE(MID($C2436,2,20)),1000000000),1000000000))+ROW()/100000,"")</f>
        <v/>
      </c>
    </row>
    <row r="2437">
      <c r="D2437" s="11" t="n"/>
      <c r="K2437" s="7">
        <f>IF($C2437="","",J2437*W2437/100)</f>
        <v/>
      </c>
      <c r="Q2437" s="7" t="n"/>
      <c r="R2437" s="7" t="n"/>
      <c r="U2437">
        <f>IF($C2437="","",IF($AJ2437=1,0,IF($AI2437=1,Settings!$C$6,Settings!$C$7))*100)</f>
        <v/>
      </c>
      <c r="V2437" s="7">
        <f>IF($C2437="","",R2437*U2437/100)</f>
        <v/>
      </c>
      <c r="W2437" s="7">
        <f>IF($C2437="","",R2437-V2437)</f>
        <v/>
      </c>
      <c r="X2437" s="7">
        <f>IF($C2437="","",W2437-K2437)</f>
        <v/>
      </c>
      <c r="AB2437" s="7" t="n"/>
      <c r="AE2437" s="11" t="n"/>
      <c r="AG2437">
        <f>IF($C2437="","",IF(COUNTIF($C$2:$C2437,$C2437)=1,1,0))</f>
        <v/>
      </c>
      <c r="AH2437">
        <f>IF($AG2437=1,SUMPRODUCT(--($AK$2:$AK$6001&lt;$AK2437))+1,"")</f>
        <v/>
      </c>
      <c r="AI2437">
        <f>IF($C2437="","",IF(OR($N2437=TRUE(),$N2437="TRUE"),1,0))</f>
        <v/>
      </c>
      <c r="AJ2437">
        <f>IF($C2437="","",IF($T2437="Yes",1,0))</f>
        <v/>
      </c>
      <c r="AK2437">
        <f>IF($AG2437=1,IFERROR(IF(VALUE($C2437)&lt;100000000,VALUE($C2437),1000000000),IFERROR(IF(VALUE(MID($C2437,2,20))&lt;100000000,VALUE(MID($C2437,2,20)),1000000000),1000000000))+ROW()/100000,"")</f>
        <v/>
      </c>
    </row>
    <row r="2438">
      <c r="D2438" s="11" t="n"/>
      <c r="K2438" s="7">
        <f>IF($C2438="","",J2438*W2438/100)</f>
        <v/>
      </c>
      <c r="Q2438" s="7" t="n"/>
      <c r="R2438" s="7" t="n"/>
      <c r="U2438">
        <f>IF($C2438="","",IF($AJ2438=1,0,IF($AI2438=1,Settings!$C$6,Settings!$C$7))*100)</f>
        <v/>
      </c>
      <c r="V2438" s="7">
        <f>IF($C2438="","",R2438*U2438/100)</f>
        <v/>
      </c>
      <c r="W2438" s="7">
        <f>IF($C2438="","",R2438-V2438)</f>
        <v/>
      </c>
      <c r="X2438" s="7">
        <f>IF($C2438="","",W2438-K2438)</f>
        <v/>
      </c>
      <c r="AB2438" s="7" t="n"/>
      <c r="AE2438" s="11" t="n"/>
      <c r="AG2438">
        <f>IF($C2438="","",IF(COUNTIF($C$2:$C2438,$C2438)=1,1,0))</f>
        <v/>
      </c>
      <c r="AH2438">
        <f>IF($AG2438=1,SUMPRODUCT(--($AK$2:$AK$6001&lt;$AK2438))+1,"")</f>
        <v/>
      </c>
      <c r="AI2438">
        <f>IF($C2438="","",IF(OR($N2438=TRUE(),$N2438="TRUE"),1,0))</f>
        <v/>
      </c>
      <c r="AJ2438">
        <f>IF($C2438="","",IF($T2438="Yes",1,0))</f>
        <v/>
      </c>
      <c r="AK2438">
        <f>IF($AG2438=1,IFERROR(IF(VALUE($C2438)&lt;100000000,VALUE($C2438),1000000000),IFERROR(IF(VALUE(MID($C2438,2,20))&lt;100000000,VALUE(MID($C2438,2,20)),1000000000),1000000000))+ROW()/100000,"")</f>
        <v/>
      </c>
    </row>
    <row r="2439">
      <c r="D2439" s="11" t="n"/>
      <c r="K2439" s="7">
        <f>IF($C2439="","",J2439*W2439/100)</f>
        <v/>
      </c>
      <c r="Q2439" s="7" t="n"/>
      <c r="R2439" s="7" t="n"/>
      <c r="U2439">
        <f>IF($C2439="","",IF($AJ2439=1,0,IF($AI2439=1,Settings!$C$6,Settings!$C$7))*100)</f>
        <v/>
      </c>
      <c r="V2439" s="7">
        <f>IF($C2439="","",R2439*U2439/100)</f>
        <v/>
      </c>
      <c r="W2439" s="7">
        <f>IF($C2439="","",R2439-V2439)</f>
        <v/>
      </c>
      <c r="X2439" s="7">
        <f>IF($C2439="","",W2439-K2439)</f>
        <v/>
      </c>
      <c r="AB2439" s="7" t="n"/>
      <c r="AE2439" s="11" t="n"/>
      <c r="AG2439">
        <f>IF($C2439="","",IF(COUNTIF($C$2:$C2439,$C2439)=1,1,0))</f>
        <v/>
      </c>
      <c r="AH2439">
        <f>IF($AG2439=1,SUMPRODUCT(--($AK$2:$AK$6001&lt;$AK2439))+1,"")</f>
        <v/>
      </c>
      <c r="AI2439">
        <f>IF($C2439="","",IF(OR($N2439=TRUE(),$N2439="TRUE"),1,0))</f>
        <v/>
      </c>
      <c r="AJ2439">
        <f>IF($C2439="","",IF($T2439="Yes",1,0))</f>
        <v/>
      </c>
      <c r="AK2439">
        <f>IF($AG2439=1,IFERROR(IF(VALUE($C2439)&lt;100000000,VALUE($C2439),1000000000),IFERROR(IF(VALUE(MID($C2439,2,20))&lt;100000000,VALUE(MID($C2439,2,20)),1000000000),1000000000))+ROW()/100000,"")</f>
        <v/>
      </c>
    </row>
    <row r="2440">
      <c r="D2440" s="11" t="n"/>
      <c r="K2440" s="7">
        <f>IF($C2440="","",J2440*W2440/100)</f>
        <v/>
      </c>
      <c r="Q2440" s="7" t="n"/>
      <c r="R2440" s="7" t="n"/>
      <c r="U2440">
        <f>IF($C2440="","",IF($AJ2440=1,0,IF($AI2440=1,Settings!$C$6,Settings!$C$7))*100)</f>
        <v/>
      </c>
      <c r="V2440" s="7">
        <f>IF($C2440="","",R2440*U2440/100)</f>
        <v/>
      </c>
      <c r="W2440" s="7">
        <f>IF($C2440="","",R2440-V2440)</f>
        <v/>
      </c>
      <c r="X2440" s="7">
        <f>IF($C2440="","",W2440-K2440)</f>
        <v/>
      </c>
      <c r="AB2440" s="7" t="n"/>
      <c r="AE2440" s="11" t="n"/>
      <c r="AG2440">
        <f>IF($C2440="","",IF(COUNTIF($C$2:$C2440,$C2440)=1,1,0))</f>
        <v/>
      </c>
      <c r="AH2440">
        <f>IF($AG2440=1,SUMPRODUCT(--($AK$2:$AK$6001&lt;$AK2440))+1,"")</f>
        <v/>
      </c>
      <c r="AI2440">
        <f>IF($C2440="","",IF(OR($N2440=TRUE(),$N2440="TRUE"),1,0))</f>
        <v/>
      </c>
      <c r="AJ2440">
        <f>IF($C2440="","",IF($T2440="Yes",1,0))</f>
        <v/>
      </c>
      <c r="AK2440">
        <f>IF($AG2440=1,IFERROR(IF(VALUE($C2440)&lt;100000000,VALUE($C2440),1000000000),IFERROR(IF(VALUE(MID($C2440,2,20))&lt;100000000,VALUE(MID($C2440,2,20)),1000000000),1000000000))+ROW()/100000,"")</f>
        <v/>
      </c>
    </row>
    <row r="2441">
      <c r="D2441" s="11" t="n"/>
      <c r="K2441" s="7">
        <f>IF($C2441="","",J2441*W2441/100)</f>
        <v/>
      </c>
      <c r="Q2441" s="7" t="n"/>
      <c r="R2441" s="7" t="n"/>
      <c r="U2441">
        <f>IF($C2441="","",IF($AJ2441=1,0,IF($AI2441=1,Settings!$C$6,Settings!$C$7))*100)</f>
        <v/>
      </c>
      <c r="V2441" s="7">
        <f>IF($C2441="","",R2441*U2441/100)</f>
        <v/>
      </c>
      <c r="W2441" s="7">
        <f>IF($C2441="","",R2441-V2441)</f>
        <v/>
      </c>
      <c r="X2441" s="7">
        <f>IF($C2441="","",W2441-K2441)</f>
        <v/>
      </c>
      <c r="AB2441" s="7" t="n"/>
      <c r="AE2441" s="11" t="n"/>
      <c r="AG2441">
        <f>IF($C2441="","",IF(COUNTIF($C$2:$C2441,$C2441)=1,1,0))</f>
        <v/>
      </c>
      <c r="AH2441">
        <f>IF($AG2441=1,SUMPRODUCT(--($AK$2:$AK$6001&lt;$AK2441))+1,"")</f>
        <v/>
      </c>
      <c r="AI2441">
        <f>IF($C2441="","",IF(OR($N2441=TRUE(),$N2441="TRUE"),1,0))</f>
        <v/>
      </c>
      <c r="AJ2441">
        <f>IF($C2441="","",IF($T2441="Yes",1,0))</f>
        <v/>
      </c>
      <c r="AK2441">
        <f>IF($AG2441=1,IFERROR(IF(VALUE($C2441)&lt;100000000,VALUE($C2441),1000000000),IFERROR(IF(VALUE(MID($C2441,2,20))&lt;100000000,VALUE(MID($C2441,2,20)),1000000000),1000000000))+ROW()/100000,"")</f>
        <v/>
      </c>
    </row>
    <row r="2442">
      <c r="D2442" s="11" t="n"/>
      <c r="K2442" s="7">
        <f>IF($C2442="","",J2442*W2442/100)</f>
        <v/>
      </c>
      <c r="Q2442" s="7" t="n"/>
      <c r="R2442" s="7" t="n"/>
      <c r="U2442">
        <f>IF($C2442="","",IF($AJ2442=1,0,IF($AI2442=1,Settings!$C$6,Settings!$C$7))*100)</f>
        <v/>
      </c>
      <c r="V2442" s="7">
        <f>IF($C2442="","",R2442*U2442/100)</f>
        <v/>
      </c>
      <c r="W2442" s="7">
        <f>IF($C2442="","",R2442-V2442)</f>
        <v/>
      </c>
      <c r="X2442" s="7">
        <f>IF($C2442="","",W2442-K2442)</f>
        <v/>
      </c>
      <c r="AB2442" s="7" t="n"/>
      <c r="AE2442" s="11" t="n"/>
      <c r="AG2442">
        <f>IF($C2442="","",IF(COUNTIF($C$2:$C2442,$C2442)=1,1,0))</f>
        <v/>
      </c>
      <c r="AH2442">
        <f>IF($AG2442=1,SUMPRODUCT(--($AK$2:$AK$6001&lt;$AK2442))+1,"")</f>
        <v/>
      </c>
      <c r="AI2442">
        <f>IF($C2442="","",IF(OR($N2442=TRUE(),$N2442="TRUE"),1,0))</f>
        <v/>
      </c>
      <c r="AJ2442">
        <f>IF($C2442="","",IF($T2442="Yes",1,0))</f>
        <v/>
      </c>
      <c r="AK2442">
        <f>IF($AG2442=1,IFERROR(IF(VALUE($C2442)&lt;100000000,VALUE($C2442),1000000000),IFERROR(IF(VALUE(MID($C2442,2,20))&lt;100000000,VALUE(MID($C2442,2,20)),1000000000),1000000000))+ROW()/100000,"")</f>
        <v/>
      </c>
    </row>
    <row r="2443">
      <c r="D2443" s="11" t="n"/>
      <c r="K2443" s="7">
        <f>IF($C2443="","",J2443*W2443/100)</f>
        <v/>
      </c>
      <c r="Q2443" s="7" t="n"/>
      <c r="R2443" s="7" t="n"/>
      <c r="U2443">
        <f>IF($C2443="","",IF($AJ2443=1,0,IF($AI2443=1,Settings!$C$6,Settings!$C$7))*100)</f>
        <v/>
      </c>
      <c r="V2443" s="7">
        <f>IF($C2443="","",R2443*U2443/100)</f>
        <v/>
      </c>
      <c r="W2443" s="7">
        <f>IF($C2443="","",R2443-V2443)</f>
        <v/>
      </c>
      <c r="X2443" s="7">
        <f>IF($C2443="","",W2443-K2443)</f>
        <v/>
      </c>
      <c r="AB2443" s="7" t="n"/>
      <c r="AE2443" s="11" t="n"/>
      <c r="AG2443">
        <f>IF($C2443="","",IF(COUNTIF($C$2:$C2443,$C2443)=1,1,0))</f>
        <v/>
      </c>
      <c r="AH2443">
        <f>IF($AG2443=1,SUMPRODUCT(--($AK$2:$AK$6001&lt;$AK2443))+1,"")</f>
        <v/>
      </c>
      <c r="AI2443">
        <f>IF($C2443="","",IF(OR($N2443=TRUE(),$N2443="TRUE"),1,0))</f>
        <v/>
      </c>
      <c r="AJ2443">
        <f>IF($C2443="","",IF($T2443="Yes",1,0))</f>
        <v/>
      </c>
      <c r="AK2443">
        <f>IF($AG2443=1,IFERROR(IF(VALUE($C2443)&lt;100000000,VALUE($C2443),1000000000),IFERROR(IF(VALUE(MID($C2443,2,20))&lt;100000000,VALUE(MID($C2443,2,20)),1000000000),1000000000))+ROW()/100000,"")</f>
        <v/>
      </c>
    </row>
    <row r="2444">
      <c r="D2444" s="11" t="n"/>
      <c r="K2444" s="7">
        <f>IF($C2444="","",J2444*W2444/100)</f>
        <v/>
      </c>
      <c r="Q2444" s="7" t="n"/>
      <c r="R2444" s="7" t="n"/>
      <c r="U2444">
        <f>IF($C2444="","",IF($AJ2444=1,0,IF($AI2444=1,Settings!$C$6,Settings!$C$7))*100)</f>
        <v/>
      </c>
      <c r="V2444" s="7">
        <f>IF($C2444="","",R2444*U2444/100)</f>
        <v/>
      </c>
      <c r="W2444" s="7">
        <f>IF($C2444="","",R2444-V2444)</f>
        <v/>
      </c>
      <c r="X2444" s="7">
        <f>IF($C2444="","",W2444-K2444)</f>
        <v/>
      </c>
      <c r="AB2444" s="7" t="n"/>
      <c r="AE2444" s="11" t="n"/>
      <c r="AG2444">
        <f>IF($C2444="","",IF(COUNTIF($C$2:$C2444,$C2444)=1,1,0))</f>
        <v/>
      </c>
      <c r="AH2444">
        <f>IF($AG2444=1,SUMPRODUCT(--($AK$2:$AK$6001&lt;$AK2444))+1,"")</f>
        <v/>
      </c>
      <c r="AI2444">
        <f>IF($C2444="","",IF(OR($N2444=TRUE(),$N2444="TRUE"),1,0))</f>
        <v/>
      </c>
      <c r="AJ2444">
        <f>IF($C2444="","",IF($T2444="Yes",1,0))</f>
        <v/>
      </c>
      <c r="AK2444">
        <f>IF($AG2444=1,IFERROR(IF(VALUE($C2444)&lt;100000000,VALUE($C2444),1000000000),IFERROR(IF(VALUE(MID($C2444,2,20))&lt;100000000,VALUE(MID($C2444,2,20)),1000000000),1000000000))+ROW()/100000,"")</f>
        <v/>
      </c>
    </row>
    <row r="2445">
      <c r="D2445" s="11" t="n"/>
      <c r="K2445" s="7">
        <f>IF($C2445="","",J2445*W2445/100)</f>
        <v/>
      </c>
      <c r="Q2445" s="7" t="n"/>
      <c r="R2445" s="7" t="n"/>
      <c r="U2445">
        <f>IF($C2445="","",IF($AJ2445=1,0,IF($AI2445=1,Settings!$C$6,Settings!$C$7))*100)</f>
        <v/>
      </c>
      <c r="V2445" s="7">
        <f>IF($C2445="","",R2445*U2445/100)</f>
        <v/>
      </c>
      <c r="W2445" s="7">
        <f>IF($C2445="","",R2445-V2445)</f>
        <v/>
      </c>
      <c r="X2445" s="7">
        <f>IF($C2445="","",W2445-K2445)</f>
        <v/>
      </c>
      <c r="AB2445" s="7" t="n"/>
      <c r="AE2445" s="11" t="n"/>
      <c r="AG2445">
        <f>IF($C2445="","",IF(COUNTIF($C$2:$C2445,$C2445)=1,1,0))</f>
        <v/>
      </c>
      <c r="AH2445">
        <f>IF($AG2445=1,SUMPRODUCT(--($AK$2:$AK$6001&lt;$AK2445))+1,"")</f>
        <v/>
      </c>
      <c r="AI2445">
        <f>IF($C2445="","",IF(OR($N2445=TRUE(),$N2445="TRUE"),1,0))</f>
        <v/>
      </c>
      <c r="AJ2445">
        <f>IF($C2445="","",IF($T2445="Yes",1,0))</f>
        <v/>
      </c>
      <c r="AK2445">
        <f>IF($AG2445=1,IFERROR(IF(VALUE($C2445)&lt;100000000,VALUE($C2445),1000000000),IFERROR(IF(VALUE(MID($C2445,2,20))&lt;100000000,VALUE(MID($C2445,2,20)),1000000000),1000000000))+ROW()/100000,"")</f>
        <v/>
      </c>
    </row>
    <row r="2446">
      <c r="D2446" s="11" t="n"/>
      <c r="K2446" s="7">
        <f>IF($C2446="","",J2446*W2446/100)</f>
        <v/>
      </c>
      <c r="Q2446" s="7" t="n"/>
      <c r="R2446" s="7" t="n"/>
      <c r="U2446">
        <f>IF($C2446="","",IF($AJ2446=1,0,IF($AI2446=1,Settings!$C$6,Settings!$C$7))*100)</f>
        <v/>
      </c>
      <c r="V2446" s="7">
        <f>IF($C2446="","",R2446*U2446/100)</f>
        <v/>
      </c>
      <c r="W2446" s="7">
        <f>IF($C2446="","",R2446-V2446)</f>
        <v/>
      </c>
      <c r="X2446" s="7">
        <f>IF($C2446="","",W2446-K2446)</f>
        <v/>
      </c>
      <c r="AB2446" s="7" t="n"/>
      <c r="AE2446" s="11" t="n"/>
      <c r="AG2446">
        <f>IF($C2446="","",IF(COUNTIF($C$2:$C2446,$C2446)=1,1,0))</f>
        <v/>
      </c>
      <c r="AH2446">
        <f>IF($AG2446=1,SUMPRODUCT(--($AK$2:$AK$6001&lt;$AK2446))+1,"")</f>
        <v/>
      </c>
      <c r="AI2446">
        <f>IF($C2446="","",IF(OR($N2446=TRUE(),$N2446="TRUE"),1,0))</f>
        <v/>
      </c>
      <c r="AJ2446">
        <f>IF($C2446="","",IF($T2446="Yes",1,0))</f>
        <v/>
      </c>
      <c r="AK2446">
        <f>IF($AG2446=1,IFERROR(IF(VALUE($C2446)&lt;100000000,VALUE($C2446),1000000000),IFERROR(IF(VALUE(MID($C2446,2,20))&lt;100000000,VALUE(MID($C2446,2,20)),1000000000),1000000000))+ROW()/100000,"")</f>
        <v/>
      </c>
    </row>
    <row r="2447">
      <c r="D2447" s="11" t="n"/>
      <c r="K2447" s="7">
        <f>IF($C2447="","",J2447*W2447/100)</f>
        <v/>
      </c>
      <c r="Q2447" s="7" t="n"/>
      <c r="R2447" s="7" t="n"/>
      <c r="U2447">
        <f>IF($C2447="","",IF($AJ2447=1,0,IF($AI2447=1,Settings!$C$6,Settings!$C$7))*100)</f>
        <v/>
      </c>
      <c r="V2447" s="7">
        <f>IF($C2447="","",R2447*U2447/100)</f>
        <v/>
      </c>
      <c r="W2447" s="7">
        <f>IF($C2447="","",R2447-V2447)</f>
        <v/>
      </c>
      <c r="X2447" s="7">
        <f>IF($C2447="","",W2447-K2447)</f>
        <v/>
      </c>
      <c r="AB2447" s="7" t="n"/>
      <c r="AE2447" s="11" t="n"/>
      <c r="AG2447">
        <f>IF($C2447="","",IF(COUNTIF($C$2:$C2447,$C2447)=1,1,0))</f>
        <v/>
      </c>
      <c r="AH2447">
        <f>IF($AG2447=1,SUMPRODUCT(--($AK$2:$AK$6001&lt;$AK2447))+1,"")</f>
        <v/>
      </c>
      <c r="AI2447">
        <f>IF($C2447="","",IF(OR($N2447=TRUE(),$N2447="TRUE"),1,0))</f>
        <v/>
      </c>
      <c r="AJ2447">
        <f>IF($C2447="","",IF($T2447="Yes",1,0))</f>
        <v/>
      </c>
      <c r="AK2447">
        <f>IF($AG2447=1,IFERROR(IF(VALUE($C2447)&lt;100000000,VALUE($C2447),1000000000),IFERROR(IF(VALUE(MID($C2447,2,20))&lt;100000000,VALUE(MID($C2447,2,20)),1000000000),1000000000))+ROW()/100000,"")</f>
        <v/>
      </c>
    </row>
    <row r="2448">
      <c r="D2448" s="11" t="n"/>
      <c r="K2448" s="7">
        <f>IF($C2448="","",J2448*W2448/100)</f>
        <v/>
      </c>
      <c r="Q2448" s="7" t="n"/>
      <c r="R2448" s="7" t="n"/>
      <c r="U2448">
        <f>IF($C2448="","",IF($AJ2448=1,0,IF($AI2448=1,Settings!$C$6,Settings!$C$7))*100)</f>
        <v/>
      </c>
      <c r="V2448" s="7">
        <f>IF($C2448="","",R2448*U2448/100)</f>
        <v/>
      </c>
      <c r="W2448" s="7">
        <f>IF($C2448="","",R2448-V2448)</f>
        <v/>
      </c>
      <c r="X2448" s="7">
        <f>IF($C2448="","",W2448-K2448)</f>
        <v/>
      </c>
      <c r="AB2448" s="7" t="n"/>
      <c r="AE2448" s="11" t="n"/>
      <c r="AG2448">
        <f>IF($C2448="","",IF(COUNTIF($C$2:$C2448,$C2448)=1,1,0))</f>
        <v/>
      </c>
      <c r="AH2448">
        <f>IF($AG2448=1,SUMPRODUCT(--($AK$2:$AK$6001&lt;$AK2448))+1,"")</f>
        <v/>
      </c>
      <c r="AI2448">
        <f>IF($C2448="","",IF(OR($N2448=TRUE(),$N2448="TRUE"),1,0))</f>
        <v/>
      </c>
      <c r="AJ2448">
        <f>IF($C2448="","",IF($T2448="Yes",1,0))</f>
        <v/>
      </c>
      <c r="AK2448">
        <f>IF($AG2448=1,IFERROR(IF(VALUE($C2448)&lt;100000000,VALUE($C2448),1000000000),IFERROR(IF(VALUE(MID($C2448,2,20))&lt;100000000,VALUE(MID($C2448,2,20)),1000000000),1000000000))+ROW()/100000,"")</f>
        <v/>
      </c>
    </row>
    <row r="2449">
      <c r="D2449" s="11" t="n"/>
      <c r="K2449" s="7">
        <f>IF($C2449="","",J2449*W2449/100)</f>
        <v/>
      </c>
      <c r="Q2449" s="7" t="n"/>
      <c r="R2449" s="7" t="n"/>
      <c r="U2449">
        <f>IF($C2449="","",IF($AJ2449=1,0,IF($AI2449=1,Settings!$C$6,Settings!$C$7))*100)</f>
        <v/>
      </c>
      <c r="V2449" s="7">
        <f>IF($C2449="","",R2449*U2449/100)</f>
        <v/>
      </c>
      <c r="W2449" s="7">
        <f>IF($C2449="","",R2449-V2449)</f>
        <v/>
      </c>
      <c r="X2449" s="7">
        <f>IF($C2449="","",W2449-K2449)</f>
        <v/>
      </c>
      <c r="AB2449" s="7" t="n"/>
      <c r="AE2449" s="11" t="n"/>
      <c r="AG2449">
        <f>IF($C2449="","",IF(COUNTIF($C$2:$C2449,$C2449)=1,1,0))</f>
        <v/>
      </c>
      <c r="AH2449">
        <f>IF($AG2449=1,SUMPRODUCT(--($AK$2:$AK$6001&lt;$AK2449))+1,"")</f>
        <v/>
      </c>
      <c r="AI2449">
        <f>IF($C2449="","",IF(OR($N2449=TRUE(),$N2449="TRUE"),1,0))</f>
        <v/>
      </c>
      <c r="AJ2449">
        <f>IF($C2449="","",IF($T2449="Yes",1,0))</f>
        <v/>
      </c>
      <c r="AK2449">
        <f>IF($AG2449=1,IFERROR(IF(VALUE($C2449)&lt;100000000,VALUE($C2449),1000000000),IFERROR(IF(VALUE(MID($C2449,2,20))&lt;100000000,VALUE(MID($C2449,2,20)),1000000000),1000000000))+ROW()/100000,"")</f>
        <v/>
      </c>
    </row>
    <row r="2450">
      <c r="D2450" s="11" t="n"/>
      <c r="K2450" s="7">
        <f>IF($C2450="","",J2450*W2450/100)</f>
        <v/>
      </c>
      <c r="Q2450" s="7" t="n"/>
      <c r="R2450" s="7" t="n"/>
      <c r="U2450">
        <f>IF($C2450="","",IF($AJ2450=1,0,IF($AI2450=1,Settings!$C$6,Settings!$C$7))*100)</f>
        <v/>
      </c>
      <c r="V2450" s="7">
        <f>IF($C2450="","",R2450*U2450/100)</f>
        <v/>
      </c>
      <c r="W2450" s="7">
        <f>IF($C2450="","",R2450-V2450)</f>
        <v/>
      </c>
      <c r="X2450" s="7">
        <f>IF($C2450="","",W2450-K2450)</f>
        <v/>
      </c>
      <c r="AB2450" s="7" t="n"/>
      <c r="AE2450" s="11" t="n"/>
      <c r="AG2450">
        <f>IF($C2450="","",IF(COUNTIF($C$2:$C2450,$C2450)=1,1,0))</f>
        <v/>
      </c>
      <c r="AH2450">
        <f>IF($AG2450=1,SUMPRODUCT(--($AK$2:$AK$6001&lt;$AK2450))+1,"")</f>
        <v/>
      </c>
      <c r="AI2450">
        <f>IF($C2450="","",IF(OR($N2450=TRUE(),$N2450="TRUE"),1,0))</f>
        <v/>
      </c>
      <c r="AJ2450">
        <f>IF($C2450="","",IF($T2450="Yes",1,0))</f>
        <v/>
      </c>
      <c r="AK2450">
        <f>IF($AG2450=1,IFERROR(IF(VALUE($C2450)&lt;100000000,VALUE($C2450),1000000000),IFERROR(IF(VALUE(MID($C2450,2,20))&lt;100000000,VALUE(MID($C2450,2,20)),1000000000),1000000000))+ROW()/100000,"")</f>
        <v/>
      </c>
    </row>
    <row r="2451">
      <c r="D2451" s="11" t="n"/>
      <c r="K2451" s="7">
        <f>IF($C2451="","",J2451*W2451/100)</f>
        <v/>
      </c>
      <c r="Q2451" s="7" t="n"/>
      <c r="R2451" s="7" t="n"/>
      <c r="U2451">
        <f>IF($C2451="","",IF($AJ2451=1,0,IF($AI2451=1,Settings!$C$6,Settings!$C$7))*100)</f>
        <v/>
      </c>
      <c r="V2451" s="7">
        <f>IF($C2451="","",R2451*U2451/100)</f>
        <v/>
      </c>
      <c r="W2451" s="7">
        <f>IF($C2451="","",R2451-V2451)</f>
        <v/>
      </c>
      <c r="X2451" s="7">
        <f>IF($C2451="","",W2451-K2451)</f>
        <v/>
      </c>
      <c r="AB2451" s="7" t="n"/>
      <c r="AE2451" s="11" t="n"/>
      <c r="AG2451">
        <f>IF($C2451="","",IF(COUNTIF($C$2:$C2451,$C2451)=1,1,0))</f>
        <v/>
      </c>
      <c r="AH2451">
        <f>IF($AG2451=1,SUMPRODUCT(--($AK$2:$AK$6001&lt;$AK2451))+1,"")</f>
        <v/>
      </c>
      <c r="AI2451">
        <f>IF($C2451="","",IF(OR($N2451=TRUE(),$N2451="TRUE"),1,0))</f>
        <v/>
      </c>
      <c r="AJ2451">
        <f>IF($C2451="","",IF($T2451="Yes",1,0))</f>
        <v/>
      </c>
      <c r="AK2451">
        <f>IF($AG2451=1,IFERROR(IF(VALUE($C2451)&lt;100000000,VALUE($C2451),1000000000),IFERROR(IF(VALUE(MID($C2451,2,20))&lt;100000000,VALUE(MID($C2451,2,20)),1000000000),1000000000))+ROW()/100000,"")</f>
        <v/>
      </c>
    </row>
    <row r="2452">
      <c r="D2452" s="11" t="n"/>
      <c r="K2452" s="7">
        <f>IF($C2452="","",J2452*W2452/100)</f>
        <v/>
      </c>
      <c r="Q2452" s="7" t="n"/>
      <c r="R2452" s="7" t="n"/>
      <c r="U2452">
        <f>IF($C2452="","",IF($AJ2452=1,0,IF($AI2452=1,Settings!$C$6,Settings!$C$7))*100)</f>
        <v/>
      </c>
      <c r="V2452" s="7">
        <f>IF($C2452="","",R2452*U2452/100)</f>
        <v/>
      </c>
      <c r="W2452" s="7">
        <f>IF($C2452="","",R2452-V2452)</f>
        <v/>
      </c>
      <c r="X2452" s="7">
        <f>IF($C2452="","",W2452-K2452)</f>
        <v/>
      </c>
      <c r="AB2452" s="7" t="n"/>
      <c r="AE2452" s="11" t="n"/>
      <c r="AG2452">
        <f>IF($C2452="","",IF(COUNTIF($C$2:$C2452,$C2452)=1,1,0))</f>
        <v/>
      </c>
      <c r="AH2452">
        <f>IF($AG2452=1,SUMPRODUCT(--($AK$2:$AK$6001&lt;$AK2452))+1,"")</f>
        <v/>
      </c>
      <c r="AI2452">
        <f>IF($C2452="","",IF(OR($N2452=TRUE(),$N2452="TRUE"),1,0))</f>
        <v/>
      </c>
      <c r="AJ2452">
        <f>IF($C2452="","",IF($T2452="Yes",1,0))</f>
        <v/>
      </c>
      <c r="AK2452">
        <f>IF($AG2452=1,IFERROR(IF(VALUE($C2452)&lt;100000000,VALUE($C2452),1000000000),IFERROR(IF(VALUE(MID($C2452,2,20))&lt;100000000,VALUE(MID($C2452,2,20)),1000000000),1000000000))+ROW()/100000,"")</f>
        <v/>
      </c>
    </row>
    <row r="2453">
      <c r="D2453" s="11" t="n"/>
      <c r="K2453" s="7">
        <f>IF($C2453="","",J2453*W2453/100)</f>
        <v/>
      </c>
      <c r="Q2453" s="7" t="n"/>
      <c r="R2453" s="7" t="n"/>
      <c r="U2453">
        <f>IF($C2453="","",IF($AJ2453=1,0,IF($AI2453=1,Settings!$C$6,Settings!$C$7))*100)</f>
        <v/>
      </c>
      <c r="V2453" s="7">
        <f>IF($C2453="","",R2453*U2453/100)</f>
        <v/>
      </c>
      <c r="W2453" s="7">
        <f>IF($C2453="","",R2453-V2453)</f>
        <v/>
      </c>
      <c r="X2453" s="7">
        <f>IF($C2453="","",W2453-K2453)</f>
        <v/>
      </c>
      <c r="AB2453" s="7" t="n"/>
      <c r="AE2453" s="11" t="n"/>
      <c r="AG2453">
        <f>IF($C2453="","",IF(COUNTIF($C$2:$C2453,$C2453)=1,1,0))</f>
        <v/>
      </c>
      <c r="AH2453">
        <f>IF($AG2453=1,SUMPRODUCT(--($AK$2:$AK$6001&lt;$AK2453))+1,"")</f>
        <v/>
      </c>
      <c r="AI2453">
        <f>IF($C2453="","",IF(OR($N2453=TRUE(),$N2453="TRUE"),1,0))</f>
        <v/>
      </c>
      <c r="AJ2453">
        <f>IF($C2453="","",IF($T2453="Yes",1,0))</f>
        <v/>
      </c>
      <c r="AK2453">
        <f>IF($AG2453=1,IFERROR(IF(VALUE($C2453)&lt;100000000,VALUE($C2453),1000000000),IFERROR(IF(VALUE(MID($C2453,2,20))&lt;100000000,VALUE(MID($C2453,2,20)),1000000000),1000000000))+ROW()/100000,"")</f>
        <v/>
      </c>
    </row>
    <row r="2454">
      <c r="D2454" s="11" t="n"/>
      <c r="K2454" s="7">
        <f>IF($C2454="","",J2454*W2454/100)</f>
        <v/>
      </c>
      <c r="Q2454" s="7" t="n"/>
      <c r="R2454" s="7" t="n"/>
      <c r="U2454">
        <f>IF($C2454="","",IF($AJ2454=1,0,IF($AI2454=1,Settings!$C$6,Settings!$C$7))*100)</f>
        <v/>
      </c>
      <c r="V2454" s="7">
        <f>IF($C2454="","",R2454*U2454/100)</f>
        <v/>
      </c>
      <c r="W2454" s="7">
        <f>IF($C2454="","",R2454-V2454)</f>
        <v/>
      </c>
      <c r="X2454" s="7">
        <f>IF($C2454="","",W2454-K2454)</f>
        <v/>
      </c>
      <c r="AB2454" s="7" t="n"/>
      <c r="AE2454" s="11" t="n"/>
      <c r="AG2454">
        <f>IF($C2454="","",IF(COUNTIF($C$2:$C2454,$C2454)=1,1,0))</f>
        <v/>
      </c>
      <c r="AH2454">
        <f>IF($AG2454=1,SUMPRODUCT(--($AK$2:$AK$6001&lt;$AK2454))+1,"")</f>
        <v/>
      </c>
      <c r="AI2454">
        <f>IF($C2454="","",IF(OR($N2454=TRUE(),$N2454="TRUE"),1,0))</f>
        <v/>
      </c>
      <c r="AJ2454">
        <f>IF($C2454="","",IF($T2454="Yes",1,0))</f>
        <v/>
      </c>
      <c r="AK2454">
        <f>IF($AG2454=1,IFERROR(IF(VALUE($C2454)&lt;100000000,VALUE($C2454),1000000000),IFERROR(IF(VALUE(MID($C2454,2,20))&lt;100000000,VALUE(MID($C2454,2,20)),1000000000),1000000000))+ROW()/100000,"")</f>
        <v/>
      </c>
    </row>
    <row r="2455">
      <c r="D2455" s="11" t="n"/>
      <c r="K2455" s="7">
        <f>IF($C2455="","",J2455*W2455/100)</f>
        <v/>
      </c>
      <c r="Q2455" s="7" t="n"/>
      <c r="R2455" s="7" t="n"/>
      <c r="U2455">
        <f>IF($C2455="","",IF($AJ2455=1,0,IF($AI2455=1,Settings!$C$6,Settings!$C$7))*100)</f>
        <v/>
      </c>
      <c r="V2455" s="7">
        <f>IF($C2455="","",R2455*U2455/100)</f>
        <v/>
      </c>
      <c r="W2455" s="7">
        <f>IF($C2455="","",R2455-V2455)</f>
        <v/>
      </c>
      <c r="X2455" s="7">
        <f>IF($C2455="","",W2455-K2455)</f>
        <v/>
      </c>
      <c r="AB2455" s="7" t="n"/>
      <c r="AE2455" s="11" t="n"/>
      <c r="AG2455">
        <f>IF($C2455="","",IF(COUNTIF($C$2:$C2455,$C2455)=1,1,0))</f>
        <v/>
      </c>
      <c r="AH2455">
        <f>IF($AG2455=1,SUMPRODUCT(--($AK$2:$AK$6001&lt;$AK2455))+1,"")</f>
        <v/>
      </c>
      <c r="AI2455">
        <f>IF($C2455="","",IF(OR($N2455=TRUE(),$N2455="TRUE"),1,0))</f>
        <v/>
      </c>
      <c r="AJ2455">
        <f>IF($C2455="","",IF($T2455="Yes",1,0))</f>
        <v/>
      </c>
      <c r="AK2455">
        <f>IF($AG2455=1,IFERROR(IF(VALUE($C2455)&lt;100000000,VALUE($C2455),1000000000),IFERROR(IF(VALUE(MID($C2455,2,20))&lt;100000000,VALUE(MID($C2455,2,20)),1000000000),1000000000))+ROW()/100000,"")</f>
        <v/>
      </c>
    </row>
    <row r="2456">
      <c r="D2456" s="11" t="n"/>
      <c r="K2456" s="7">
        <f>IF($C2456="","",J2456*W2456/100)</f>
        <v/>
      </c>
      <c r="Q2456" s="7" t="n"/>
      <c r="R2456" s="7" t="n"/>
      <c r="U2456">
        <f>IF($C2456="","",IF($AJ2456=1,0,IF($AI2456=1,Settings!$C$6,Settings!$C$7))*100)</f>
        <v/>
      </c>
      <c r="V2456" s="7">
        <f>IF($C2456="","",R2456*U2456/100)</f>
        <v/>
      </c>
      <c r="W2456" s="7">
        <f>IF($C2456="","",R2456-V2456)</f>
        <v/>
      </c>
      <c r="X2456" s="7">
        <f>IF($C2456="","",W2456-K2456)</f>
        <v/>
      </c>
      <c r="AB2456" s="7" t="n"/>
      <c r="AE2456" s="11" t="n"/>
      <c r="AG2456">
        <f>IF($C2456="","",IF(COUNTIF($C$2:$C2456,$C2456)=1,1,0))</f>
        <v/>
      </c>
      <c r="AH2456">
        <f>IF($AG2456=1,SUMPRODUCT(--($AK$2:$AK$6001&lt;$AK2456))+1,"")</f>
        <v/>
      </c>
      <c r="AI2456">
        <f>IF($C2456="","",IF(OR($N2456=TRUE(),$N2456="TRUE"),1,0))</f>
        <v/>
      </c>
      <c r="AJ2456">
        <f>IF($C2456="","",IF($T2456="Yes",1,0))</f>
        <v/>
      </c>
      <c r="AK2456">
        <f>IF($AG2456=1,IFERROR(IF(VALUE($C2456)&lt;100000000,VALUE($C2456),1000000000),IFERROR(IF(VALUE(MID($C2456,2,20))&lt;100000000,VALUE(MID($C2456,2,20)),1000000000),1000000000))+ROW()/100000,"")</f>
        <v/>
      </c>
    </row>
    <row r="2457">
      <c r="D2457" s="11" t="n"/>
      <c r="K2457" s="7">
        <f>IF($C2457="","",J2457*W2457/100)</f>
        <v/>
      </c>
      <c r="Q2457" s="7" t="n"/>
      <c r="R2457" s="7" t="n"/>
      <c r="U2457">
        <f>IF($C2457="","",IF($AJ2457=1,0,IF($AI2457=1,Settings!$C$6,Settings!$C$7))*100)</f>
        <v/>
      </c>
      <c r="V2457" s="7">
        <f>IF($C2457="","",R2457*U2457/100)</f>
        <v/>
      </c>
      <c r="W2457" s="7">
        <f>IF($C2457="","",R2457-V2457)</f>
        <v/>
      </c>
      <c r="X2457" s="7">
        <f>IF($C2457="","",W2457-K2457)</f>
        <v/>
      </c>
      <c r="AB2457" s="7" t="n"/>
      <c r="AE2457" s="11" t="n"/>
      <c r="AG2457">
        <f>IF($C2457="","",IF(COUNTIF($C$2:$C2457,$C2457)=1,1,0))</f>
        <v/>
      </c>
      <c r="AH2457">
        <f>IF($AG2457=1,SUMPRODUCT(--($AK$2:$AK$6001&lt;$AK2457))+1,"")</f>
        <v/>
      </c>
      <c r="AI2457">
        <f>IF($C2457="","",IF(OR($N2457=TRUE(),$N2457="TRUE"),1,0))</f>
        <v/>
      </c>
      <c r="AJ2457">
        <f>IF($C2457="","",IF($T2457="Yes",1,0))</f>
        <v/>
      </c>
      <c r="AK2457">
        <f>IF($AG2457=1,IFERROR(IF(VALUE($C2457)&lt;100000000,VALUE($C2457),1000000000),IFERROR(IF(VALUE(MID($C2457,2,20))&lt;100000000,VALUE(MID($C2457,2,20)),1000000000),1000000000))+ROW()/100000,"")</f>
        <v/>
      </c>
    </row>
    <row r="2458">
      <c r="D2458" s="11" t="n"/>
      <c r="K2458" s="7">
        <f>IF($C2458="","",J2458*W2458/100)</f>
        <v/>
      </c>
      <c r="Q2458" s="7" t="n"/>
      <c r="R2458" s="7" t="n"/>
      <c r="U2458">
        <f>IF($C2458="","",IF($AJ2458=1,0,IF($AI2458=1,Settings!$C$6,Settings!$C$7))*100)</f>
        <v/>
      </c>
      <c r="V2458" s="7">
        <f>IF($C2458="","",R2458*U2458/100)</f>
        <v/>
      </c>
      <c r="W2458" s="7">
        <f>IF($C2458="","",R2458-V2458)</f>
        <v/>
      </c>
      <c r="X2458" s="7">
        <f>IF($C2458="","",W2458-K2458)</f>
        <v/>
      </c>
      <c r="AB2458" s="7" t="n"/>
      <c r="AE2458" s="11" t="n"/>
      <c r="AG2458">
        <f>IF($C2458="","",IF(COUNTIF($C$2:$C2458,$C2458)=1,1,0))</f>
        <v/>
      </c>
      <c r="AH2458">
        <f>IF($AG2458=1,SUMPRODUCT(--($AK$2:$AK$6001&lt;$AK2458))+1,"")</f>
        <v/>
      </c>
      <c r="AI2458">
        <f>IF($C2458="","",IF(OR($N2458=TRUE(),$N2458="TRUE"),1,0))</f>
        <v/>
      </c>
      <c r="AJ2458">
        <f>IF($C2458="","",IF($T2458="Yes",1,0))</f>
        <v/>
      </c>
      <c r="AK2458">
        <f>IF($AG2458=1,IFERROR(IF(VALUE($C2458)&lt;100000000,VALUE($C2458),1000000000),IFERROR(IF(VALUE(MID($C2458,2,20))&lt;100000000,VALUE(MID($C2458,2,20)),1000000000),1000000000))+ROW()/100000,"")</f>
        <v/>
      </c>
    </row>
    <row r="2459">
      <c r="D2459" s="11" t="n"/>
      <c r="K2459" s="7">
        <f>IF($C2459="","",J2459*W2459/100)</f>
        <v/>
      </c>
      <c r="Q2459" s="7" t="n"/>
      <c r="R2459" s="7" t="n"/>
      <c r="U2459">
        <f>IF($C2459="","",IF($AJ2459=1,0,IF($AI2459=1,Settings!$C$6,Settings!$C$7))*100)</f>
        <v/>
      </c>
      <c r="V2459" s="7">
        <f>IF($C2459="","",R2459*U2459/100)</f>
        <v/>
      </c>
      <c r="W2459" s="7">
        <f>IF($C2459="","",R2459-V2459)</f>
        <v/>
      </c>
      <c r="X2459" s="7">
        <f>IF($C2459="","",W2459-K2459)</f>
        <v/>
      </c>
      <c r="AB2459" s="7" t="n"/>
      <c r="AE2459" s="11" t="n"/>
      <c r="AG2459">
        <f>IF($C2459="","",IF(COUNTIF($C$2:$C2459,$C2459)=1,1,0))</f>
        <v/>
      </c>
      <c r="AH2459">
        <f>IF($AG2459=1,SUMPRODUCT(--($AK$2:$AK$6001&lt;$AK2459))+1,"")</f>
        <v/>
      </c>
      <c r="AI2459">
        <f>IF($C2459="","",IF(OR($N2459=TRUE(),$N2459="TRUE"),1,0))</f>
        <v/>
      </c>
      <c r="AJ2459">
        <f>IF($C2459="","",IF($T2459="Yes",1,0))</f>
        <v/>
      </c>
      <c r="AK2459">
        <f>IF($AG2459=1,IFERROR(IF(VALUE($C2459)&lt;100000000,VALUE($C2459),1000000000),IFERROR(IF(VALUE(MID($C2459,2,20))&lt;100000000,VALUE(MID($C2459,2,20)),1000000000),1000000000))+ROW()/100000,"")</f>
        <v/>
      </c>
    </row>
    <row r="2460">
      <c r="D2460" s="11" t="n"/>
      <c r="K2460" s="7">
        <f>IF($C2460="","",J2460*W2460/100)</f>
        <v/>
      </c>
      <c r="Q2460" s="7" t="n"/>
      <c r="R2460" s="7" t="n"/>
      <c r="U2460">
        <f>IF($C2460="","",IF($AJ2460=1,0,IF($AI2460=1,Settings!$C$6,Settings!$C$7))*100)</f>
        <v/>
      </c>
      <c r="V2460" s="7">
        <f>IF($C2460="","",R2460*U2460/100)</f>
        <v/>
      </c>
      <c r="W2460" s="7">
        <f>IF($C2460="","",R2460-V2460)</f>
        <v/>
      </c>
      <c r="X2460" s="7">
        <f>IF($C2460="","",W2460-K2460)</f>
        <v/>
      </c>
      <c r="AB2460" s="7" t="n"/>
      <c r="AE2460" s="11" t="n"/>
      <c r="AG2460">
        <f>IF($C2460="","",IF(COUNTIF($C$2:$C2460,$C2460)=1,1,0))</f>
        <v/>
      </c>
      <c r="AH2460">
        <f>IF($AG2460=1,SUMPRODUCT(--($AK$2:$AK$6001&lt;$AK2460))+1,"")</f>
        <v/>
      </c>
      <c r="AI2460">
        <f>IF($C2460="","",IF(OR($N2460=TRUE(),$N2460="TRUE"),1,0))</f>
        <v/>
      </c>
      <c r="AJ2460">
        <f>IF($C2460="","",IF($T2460="Yes",1,0))</f>
        <v/>
      </c>
      <c r="AK2460">
        <f>IF($AG2460=1,IFERROR(IF(VALUE($C2460)&lt;100000000,VALUE($C2460),1000000000),IFERROR(IF(VALUE(MID($C2460,2,20))&lt;100000000,VALUE(MID($C2460,2,20)),1000000000),1000000000))+ROW()/100000,"")</f>
        <v/>
      </c>
    </row>
    <row r="2461">
      <c r="D2461" s="11" t="n"/>
      <c r="K2461" s="7">
        <f>IF($C2461="","",J2461*W2461/100)</f>
        <v/>
      </c>
      <c r="Q2461" s="7" t="n"/>
      <c r="R2461" s="7" t="n"/>
      <c r="U2461">
        <f>IF($C2461="","",IF($AJ2461=1,0,IF($AI2461=1,Settings!$C$6,Settings!$C$7))*100)</f>
        <v/>
      </c>
      <c r="V2461" s="7">
        <f>IF($C2461="","",R2461*U2461/100)</f>
        <v/>
      </c>
      <c r="W2461" s="7">
        <f>IF($C2461="","",R2461-V2461)</f>
        <v/>
      </c>
      <c r="X2461" s="7">
        <f>IF($C2461="","",W2461-K2461)</f>
        <v/>
      </c>
      <c r="AB2461" s="7" t="n"/>
      <c r="AE2461" s="11" t="n"/>
      <c r="AG2461">
        <f>IF($C2461="","",IF(COUNTIF($C$2:$C2461,$C2461)=1,1,0))</f>
        <v/>
      </c>
      <c r="AH2461">
        <f>IF($AG2461=1,SUMPRODUCT(--($AK$2:$AK$6001&lt;$AK2461))+1,"")</f>
        <v/>
      </c>
      <c r="AI2461">
        <f>IF($C2461="","",IF(OR($N2461=TRUE(),$N2461="TRUE"),1,0))</f>
        <v/>
      </c>
      <c r="AJ2461">
        <f>IF($C2461="","",IF($T2461="Yes",1,0))</f>
        <v/>
      </c>
      <c r="AK2461">
        <f>IF($AG2461=1,IFERROR(IF(VALUE($C2461)&lt;100000000,VALUE($C2461),1000000000),IFERROR(IF(VALUE(MID($C2461,2,20))&lt;100000000,VALUE(MID($C2461,2,20)),1000000000),1000000000))+ROW()/100000,"")</f>
        <v/>
      </c>
    </row>
    <row r="2462">
      <c r="D2462" s="11" t="n"/>
      <c r="K2462" s="7">
        <f>IF($C2462="","",J2462*W2462/100)</f>
        <v/>
      </c>
      <c r="Q2462" s="7" t="n"/>
      <c r="R2462" s="7" t="n"/>
      <c r="U2462">
        <f>IF($C2462="","",IF($AJ2462=1,0,IF($AI2462=1,Settings!$C$6,Settings!$C$7))*100)</f>
        <v/>
      </c>
      <c r="V2462" s="7">
        <f>IF($C2462="","",R2462*U2462/100)</f>
        <v/>
      </c>
      <c r="W2462" s="7">
        <f>IF($C2462="","",R2462-V2462)</f>
        <v/>
      </c>
      <c r="X2462" s="7">
        <f>IF($C2462="","",W2462-K2462)</f>
        <v/>
      </c>
      <c r="AB2462" s="7" t="n"/>
      <c r="AE2462" s="11" t="n"/>
      <c r="AG2462">
        <f>IF($C2462="","",IF(COUNTIF($C$2:$C2462,$C2462)=1,1,0))</f>
        <v/>
      </c>
      <c r="AH2462">
        <f>IF($AG2462=1,SUMPRODUCT(--($AK$2:$AK$6001&lt;$AK2462))+1,"")</f>
        <v/>
      </c>
      <c r="AI2462">
        <f>IF($C2462="","",IF(OR($N2462=TRUE(),$N2462="TRUE"),1,0))</f>
        <v/>
      </c>
      <c r="AJ2462">
        <f>IF($C2462="","",IF($T2462="Yes",1,0))</f>
        <v/>
      </c>
      <c r="AK2462">
        <f>IF($AG2462=1,IFERROR(IF(VALUE($C2462)&lt;100000000,VALUE($C2462),1000000000),IFERROR(IF(VALUE(MID($C2462,2,20))&lt;100000000,VALUE(MID($C2462,2,20)),1000000000),1000000000))+ROW()/100000,"")</f>
        <v/>
      </c>
    </row>
    <row r="2463">
      <c r="D2463" s="11" t="n"/>
      <c r="K2463" s="7">
        <f>IF($C2463="","",J2463*W2463/100)</f>
        <v/>
      </c>
      <c r="Q2463" s="7" t="n"/>
      <c r="R2463" s="7" t="n"/>
      <c r="U2463">
        <f>IF($C2463="","",IF($AJ2463=1,0,IF($AI2463=1,Settings!$C$6,Settings!$C$7))*100)</f>
        <v/>
      </c>
      <c r="V2463" s="7">
        <f>IF($C2463="","",R2463*U2463/100)</f>
        <v/>
      </c>
      <c r="W2463" s="7">
        <f>IF($C2463="","",R2463-V2463)</f>
        <v/>
      </c>
      <c r="X2463" s="7">
        <f>IF($C2463="","",W2463-K2463)</f>
        <v/>
      </c>
      <c r="AB2463" s="7" t="n"/>
      <c r="AE2463" s="11" t="n"/>
      <c r="AG2463">
        <f>IF($C2463="","",IF(COUNTIF($C$2:$C2463,$C2463)=1,1,0))</f>
        <v/>
      </c>
      <c r="AH2463">
        <f>IF($AG2463=1,SUMPRODUCT(--($AK$2:$AK$6001&lt;$AK2463))+1,"")</f>
        <v/>
      </c>
      <c r="AI2463">
        <f>IF($C2463="","",IF(OR($N2463=TRUE(),$N2463="TRUE"),1,0))</f>
        <v/>
      </c>
      <c r="AJ2463">
        <f>IF($C2463="","",IF($T2463="Yes",1,0))</f>
        <v/>
      </c>
      <c r="AK2463">
        <f>IF($AG2463=1,IFERROR(IF(VALUE($C2463)&lt;100000000,VALUE($C2463),1000000000),IFERROR(IF(VALUE(MID($C2463,2,20))&lt;100000000,VALUE(MID($C2463,2,20)),1000000000),1000000000))+ROW()/100000,"")</f>
        <v/>
      </c>
    </row>
    <row r="2464">
      <c r="D2464" s="11" t="n"/>
      <c r="K2464" s="7">
        <f>IF($C2464="","",J2464*W2464/100)</f>
        <v/>
      </c>
      <c r="Q2464" s="7" t="n"/>
      <c r="R2464" s="7" t="n"/>
      <c r="U2464">
        <f>IF($C2464="","",IF($AJ2464=1,0,IF($AI2464=1,Settings!$C$6,Settings!$C$7))*100)</f>
        <v/>
      </c>
      <c r="V2464" s="7">
        <f>IF($C2464="","",R2464*U2464/100)</f>
        <v/>
      </c>
      <c r="W2464" s="7">
        <f>IF($C2464="","",R2464-V2464)</f>
        <v/>
      </c>
      <c r="X2464" s="7">
        <f>IF($C2464="","",W2464-K2464)</f>
        <v/>
      </c>
      <c r="AB2464" s="7" t="n"/>
      <c r="AE2464" s="11" t="n"/>
      <c r="AG2464">
        <f>IF($C2464="","",IF(COUNTIF($C$2:$C2464,$C2464)=1,1,0))</f>
        <v/>
      </c>
      <c r="AH2464">
        <f>IF($AG2464=1,SUMPRODUCT(--($AK$2:$AK$6001&lt;$AK2464))+1,"")</f>
        <v/>
      </c>
      <c r="AI2464">
        <f>IF($C2464="","",IF(OR($N2464=TRUE(),$N2464="TRUE"),1,0))</f>
        <v/>
      </c>
      <c r="AJ2464">
        <f>IF($C2464="","",IF($T2464="Yes",1,0))</f>
        <v/>
      </c>
      <c r="AK2464">
        <f>IF($AG2464=1,IFERROR(IF(VALUE($C2464)&lt;100000000,VALUE($C2464),1000000000),IFERROR(IF(VALUE(MID($C2464,2,20))&lt;100000000,VALUE(MID($C2464,2,20)),1000000000),1000000000))+ROW()/100000,"")</f>
        <v/>
      </c>
    </row>
    <row r="2465">
      <c r="D2465" s="11" t="n"/>
      <c r="K2465" s="7">
        <f>IF($C2465="","",J2465*W2465/100)</f>
        <v/>
      </c>
      <c r="Q2465" s="7" t="n"/>
      <c r="R2465" s="7" t="n"/>
      <c r="U2465">
        <f>IF($C2465="","",IF($AJ2465=1,0,IF($AI2465=1,Settings!$C$6,Settings!$C$7))*100)</f>
        <v/>
      </c>
      <c r="V2465" s="7">
        <f>IF($C2465="","",R2465*U2465/100)</f>
        <v/>
      </c>
      <c r="W2465" s="7">
        <f>IF($C2465="","",R2465-V2465)</f>
        <v/>
      </c>
      <c r="X2465" s="7">
        <f>IF($C2465="","",W2465-K2465)</f>
        <v/>
      </c>
      <c r="AB2465" s="7" t="n"/>
      <c r="AE2465" s="11" t="n"/>
      <c r="AG2465">
        <f>IF($C2465="","",IF(COUNTIF($C$2:$C2465,$C2465)=1,1,0))</f>
        <v/>
      </c>
      <c r="AH2465">
        <f>IF($AG2465=1,SUMPRODUCT(--($AK$2:$AK$6001&lt;$AK2465))+1,"")</f>
        <v/>
      </c>
      <c r="AI2465">
        <f>IF($C2465="","",IF(OR($N2465=TRUE(),$N2465="TRUE"),1,0))</f>
        <v/>
      </c>
      <c r="AJ2465">
        <f>IF($C2465="","",IF($T2465="Yes",1,0))</f>
        <v/>
      </c>
      <c r="AK2465">
        <f>IF($AG2465=1,IFERROR(IF(VALUE($C2465)&lt;100000000,VALUE($C2465),1000000000),IFERROR(IF(VALUE(MID($C2465,2,20))&lt;100000000,VALUE(MID($C2465,2,20)),1000000000),1000000000))+ROW()/100000,"")</f>
        <v/>
      </c>
    </row>
    <row r="2466">
      <c r="D2466" s="11" t="n"/>
      <c r="K2466" s="7">
        <f>IF($C2466="","",J2466*W2466/100)</f>
        <v/>
      </c>
      <c r="Q2466" s="7" t="n"/>
      <c r="R2466" s="7" t="n"/>
      <c r="U2466">
        <f>IF($C2466="","",IF($AJ2466=1,0,IF($AI2466=1,Settings!$C$6,Settings!$C$7))*100)</f>
        <v/>
      </c>
      <c r="V2466" s="7">
        <f>IF($C2466="","",R2466*U2466/100)</f>
        <v/>
      </c>
      <c r="W2466" s="7">
        <f>IF($C2466="","",R2466-V2466)</f>
        <v/>
      </c>
      <c r="X2466" s="7">
        <f>IF($C2466="","",W2466-K2466)</f>
        <v/>
      </c>
      <c r="AB2466" s="7" t="n"/>
      <c r="AE2466" s="11" t="n"/>
      <c r="AG2466">
        <f>IF($C2466="","",IF(COUNTIF($C$2:$C2466,$C2466)=1,1,0))</f>
        <v/>
      </c>
      <c r="AH2466">
        <f>IF($AG2466=1,SUMPRODUCT(--($AK$2:$AK$6001&lt;$AK2466))+1,"")</f>
        <v/>
      </c>
      <c r="AI2466">
        <f>IF($C2466="","",IF(OR($N2466=TRUE(),$N2466="TRUE"),1,0))</f>
        <v/>
      </c>
      <c r="AJ2466">
        <f>IF($C2466="","",IF($T2466="Yes",1,0))</f>
        <v/>
      </c>
      <c r="AK2466">
        <f>IF($AG2466=1,IFERROR(IF(VALUE($C2466)&lt;100000000,VALUE($C2466),1000000000),IFERROR(IF(VALUE(MID($C2466,2,20))&lt;100000000,VALUE(MID($C2466,2,20)),1000000000),1000000000))+ROW()/100000,"")</f>
        <v/>
      </c>
    </row>
    <row r="2467">
      <c r="D2467" s="11" t="n"/>
      <c r="K2467" s="7">
        <f>IF($C2467="","",J2467*W2467/100)</f>
        <v/>
      </c>
      <c r="Q2467" s="7" t="n"/>
      <c r="R2467" s="7" t="n"/>
      <c r="U2467">
        <f>IF($C2467="","",IF($AJ2467=1,0,IF($AI2467=1,Settings!$C$6,Settings!$C$7))*100)</f>
        <v/>
      </c>
      <c r="V2467" s="7">
        <f>IF($C2467="","",R2467*U2467/100)</f>
        <v/>
      </c>
      <c r="W2467" s="7">
        <f>IF($C2467="","",R2467-V2467)</f>
        <v/>
      </c>
      <c r="X2467" s="7">
        <f>IF($C2467="","",W2467-K2467)</f>
        <v/>
      </c>
      <c r="AB2467" s="7" t="n"/>
      <c r="AE2467" s="11" t="n"/>
      <c r="AG2467">
        <f>IF($C2467="","",IF(COUNTIF($C$2:$C2467,$C2467)=1,1,0))</f>
        <v/>
      </c>
      <c r="AH2467">
        <f>IF($AG2467=1,SUMPRODUCT(--($AK$2:$AK$6001&lt;$AK2467))+1,"")</f>
        <v/>
      </c>
      <c r="AI2467">
        <f>IF($C2467="","",IF(OR($N2467=TRUE(),$N2467="TRUE"),1,0))</f>
        <v/>
      </c>
      <c r="AJ2467">
        <f>IF($C2467="","",IF($T2467="Yes",1,0))</f>
        <v/>
      </c>
      <c r="AK2467">
        <f>IF($AG2467=1,IFERROR(IF(VALUE($C2467)&lt;100000000,VALUE($C2467),1000000000),IFERROR(IF(VALUE(MID($C2467,2,20))&lt;100000000,VALUE(MID($C2467,2,20)),1000000000),1000000000))+ROW()/100000,"")</f>
        <v/>
      </c>
    </row>
    <row r="2468">
      <c r="D2468" s="11" t="n"/>
      <c r="K2468" s="7">
        <f>IF($C2468="","",J2468*W2468/100)</f>
        <v/>
      </c>
      <c r="Q2468" s="7" t="n"/>
      <c r="R2468" s="7" t="n"/>
      <c r="U2468">
        <f>IF($C2468="","",IF($AJ2468=1,0,IF($AI2468=1,Settings!$C$6,Settings!$C$7))*100)</f>
        <v/>
      </c>
      <c r="V2468" s="7">
        <f>IF($C2468="","",R2468*U2468/100)</f>
        <v/>
      </c>
      <c r="W2468" s="7">
        <f>IF($C2468="","",R2468-V2468)</f>
        <v/>
      </c>
      <c r="X2468" s="7">
        <f>IF($C2468="","",W2468-K2468)</f>
        <v/>
      </c>
      <c r="AB2468" s="7" t="n"/>
      <c r="AE2468" s="11" t="n"/>
      <c r="AG2468">
        <f>IF($C2468="","",IF(COUNTIF($C$2:$C2468,$C2468)=1,1,0))</f>
        <v/>
      </c>
      <c r="AH2468">
        <f>IF($AG2468=1,SUMPRODUCT(--($AK$2:$AK$6001&lt;$AK2468))+1,"")</f>
        <v/>
      </c>
      <c r="AI2468">
        <f>IF($C2468="","",IF(OR($N2468=TRUE(),$N2468="TRUE"),1,0))</f>
        <v/>
      </c>
      <c r="AJ2468">
        <f>IF($C2468="","",IF($T2468="Yes",1,0))</f>
        <v/>
      </c>
      <c r="AK2468">
        <f>IF($AG2468=1,IFERROR(IF(VALUE($C2468)&lt;100000000,VALUE($C2468),1000000000),IFERROR(IF(VALUE(MID($C2468,2,20))&lt;100000000,VALUE(MID($C2468,2,20)),1000000000),1000000000))+ROW()/100000,"")</f>
        <v/>
      </c>
    </row>
    <row r="2469">
      <c r="D2469" s="11" t="n"/>
      <c r="K2469" s="7">
        <f>IF($C2469="","",J2469*W2469/100)</f>
        <v/>
      </c>
      <c r="Q2469" s="7" t="n"/>
      <c r="R2469" s="7" t="n"/>
      <c r="U2469">
        <f>IF($C2469="","",IF($AJ2469=1,0,IF($AI2469=1,Settings!$C$6,Settings!$C$7))*100)</f>
        <v/>
      </c>
      <c r="V2469" s="7">
        <f>IF($C2469="","",R2469*U2469/100)</f>
        <v/>
      </c>
      <c r="W2469" s="7">
        <f>IF($C2469="","",R2469-V2469)</f>
        <v/>
      </c>
      <c r="X2469" s="7">
        <f>IF($C2469="","",W2469-K2469)</f>
        <v/>
      </c>
      <c r="AB2469" s="7" t="n"/>
      <c r="AE2469" s="11" t="n"/>
      <c r="AG2469">
        <f>IF($C2469="","",IF(COUNTIF($C$2:$C2469,$C2469)=1,1,0))</f>
        <v/>
      </c>
      <c r="AH2469">
        <f>IF($AG2469=1,SUMPRODUCT(--($AK$2:$AK$6001&lt;$AK2469))+1,"")</f>
        <v/>
      </c>
      <c r="AI2469">
        <f>IF($C2469="","",IF(OR($N2469=TRUE(),$N2469="TRUE"),1,0))</f>
        <v/>
      </c>
      <c r="AJ2469">
        <f>IF($C2469="","",IF($T2469="Yes",1,0))</f>
        <v/>
      </c>
      <c r="AK2469">
        <f>IF($AG2469=1,IFERROR(IF(VALUE($C2469)&lt;100000000,VALUE($C2469),1000000000),IFERROR(IF(VALUE(MID($C2469,2,20))&lt;100000000,VALUE(MID($C2469,2,20)),1000000000),1000000000))+ROW()/100000,"")</f>
        <v/>
      </c>
    </row>
    <row r="2470">
      <c r="D2470" s="11" t="n"/>
      <c r="K2470" s="7">
        <f>IF($C2470="","",J2470*W2470/100)</f>
        <v/>
      </c>
      <c r="Q2470" s="7" t="n"/>
      <c r="R2470" s="7" t="n"/>
      <c r="U2470">
        <f>IF($C2470="","",IF($AJ2470=1,0,IF($AI2470=1,Settings!$C$6,Settings!$C$7))*100)</f>
        <v/>
      </c>
      <c r="V2470" s="7">
        <f>IF($C2470="","",R2470*U2470/100)</f>
        <v/>
      </c>
      <c r="W2470" s="7">
        <f>IF($C2470="","",R2470-V2470)</f>
        <v/>
      </c>
      <c r="X2470" s="7">
        <f>IF($C2470="","",W2470-K2470)</f>
        <v/>
      </c>
      <c r="AB2470" s="7" t="n"/>
      <c r="AE2470" s="11" t="n"/>
      <c r="AG2470">
        <f>IF($C2470="","",IF(COUNTIF($C$2:$C2470,$C2470)=1,1,0))</f>
        <v/>
      </c>
      <c r="AH2470">
        <f>IF($AG2470=1,SUMPRODUCT(--($AK$2:$AK$6001&lt;$AK2470))+1,"")</f>
        <v/>
      </c>
      <c r="AI2470">
        <f>IF($C2470="","",IF(OR($N2470=TRUE(),$N2470="TRUE"),1,0))</f>
        <v/>
      </c>
      <c r="AJ2470">
        <f>IF($C2470="","",IF($T2470="Yes",1,0))</f>
        <v/>
      </c>
      <c r="AK2470">
        <f>IF($AG2470=1,IFERROR(IF(VALUE($C2470)&lt;100000000,VALUE($C2470),1000000000),IFERROR(IF(VALUE(MID($C2470,2,20))&lt;100000000,VALUE(MID($C2470,2,20)),1000000000),1000000000))+ROW()/100000,"")</f>
        <v/>
      </c>
    </row>
    <row r="2471">
      <c r="D2471" s="11" t="n"/>
      <c r="K2471" s="7">
        <f>IF($C2471="","",J2471*W2471/100)</f>
        <v/>
      </c>
      <c r="Q2471" s="7" t="n"/>
      <c r="R2471" s="7" t="n"/>
      <c r="U2471">
        <f>IF($C2471="","",IF($AJ2471=1,0,IF($AI2471=1,Settings!$C$6,Settings!$C$7))*100)</f>
        <v/>
      </c>
      <c r="V2471" s="7">
        <f>IF($C2471="","",R2471*U2471/100)</f>
        <v/>
      </c>
      <c r="W2471" s="7">
        <f>IF($C2471="","",R2471-V2471)</f>
        <v/>
      </c>
      <c r="X2471" s="7">
        <f>IF($C2471="","",W2471-K2471)</f>
        <v/>
      </c>
      <c r="AB2471" s="7" t="n"/>
      <c r="AE2471" s="11" t="n"/>
      <c r="AG2471">
        <f>IF($C2471="","",IF(COUNTIF($C$2:$C2471,$C2471)=1,1,0))</f>
        <v/>
      </c>
      <c r="AH2471">
        <f>IF($AG2471=1,SUMPRODUCT(--($AK$2:$AK$6001&lt;$AK2471))+1,"")</f>
        <v/>
      </c>
      <c r="AI2471">
        <f>IF($C2471="","",IF(OR($N2471=TRUE(),$N2471="TRUE"),1,0))</f>
        <v/>
      </c>
      <c r="AJ2471">
        <f>IF($C2471="","",IF($T2471="Yes",1,0))</f>
        <v/>
      </c>
      <c r="AK2471">
        <f>IF($AG2471=1,IFERROR(IF(VALUE($C2471)&lt;100000000,VALUE($C2471),1000000000),IFERROR(IF(VALUE(MID($C2471,2,20))&lt;100000000,VALUE(MID($C2471,2,20)),1000000000),1000000000))+ROW()/100000,"")</f>
        <v/>
      </c>
    </row>
    <row r="2472">
      <c r="D2472" s="11" t="n"/>
      <c r="K2472" s="7">
        <f>IF($C2472="","",J2472*W2472/100)</f>
        <v/>
      </c>
      <c r="Q2472" s="7" t="n"/>
      <c r="R2472" s="7" t="n"/>
      <c r="U2472">
        <f>IF($C2472="","",IF($AJ2472=1,0,IF($AI2472=1,Settings!$C$6,Settings!$C$7))*100)</f>
        <v/>
      </c>
      <c r="V2472" s="7">
        <f>IF($C2472="","",R2472*U2472/100)</f>
        <v/>
      </c>
      <c r="W2472" s="7">
        <f>IF($C2472="","",R2472-V2472)</f>
        <v/>
      </c>
      <c r="X2472" s="7">
        <f>IF($C2472="","",W2472-K2472)</f>
        <v/>
      </c>
      <c r="AB2472" s="7" t="n"/>
      <c r="AE2472" s="11" t="n"/>
      <c r="AG2472">
        <f>IF($C2472="","",IF(COUNTIF($C$2:$C2472,$C2472)=1,1,0))</f>
        <v/>
      </c>
      <c r="AH2472">
        <f>IF($AG2472=1,SUMPRODUCT(--($AK$2:$AK$6001&lt;$AK2472))+1,"")</f>
        <v/>
      </c>
      <c r="AI2472">
        <f>IF($C2472="","",IF(OR($N2472=TRUE(),$N2472="TRUE"),1,0))</f>
        <v/>
      </c>
      <c r="AJ2472">
        <f>IF($C2472="","",IF($T2472="Yes",1,0))</f>
        <v/>
      </c>
      <c r="AK2472">
        <f>IF($AG2472=1,IFERROR(IF(VALUE($C2472)&lt;100000000,VALUE($C2472),1000000000),IFERROR(IF(VALUE(MID($C2472,2,20))&lt;100000000,VALUE(MID($C2472,2,20)),1000000000),1000000000))+ROW()/100000,"")</f>
        <v/>
      </c>
    </row>
    <row r="2473">
      <c r="D2473" s="11" t="n"/>
      <c r="K2473" s="7">
        <f>IF($C2473="","",J2473*W2473/100)</f>
        <v/>
      </c>
      <c r="Q2473" s="7" t="n"/>
      <c r="R2473" s="7" t="n"/>
      <c r="U2473">
        <f>IF($C2473="","",IF($AJ2473=1,0,IF($AI2473=1,Settings!$C$6,Settings!$C$7))*100)</f>
        <v/>
      </c>
      <c r="V2473" s="7">
        <f>IF($C2473="","",R2473*U2473/100)</f>
        <v/>
      </c>
      <c r="W2473" s="7">
        <f>IF($C2473="","",R2473-V2473)</f>
        <v/>
      </c>
      <c r="X2473" s="7">
        <f>IF($C2473="","",W2473-K2473)</f>
        <v/>
      </c>
      <c r="AB2473" s="7" t="n"/>
      <c r="AE2473" s="11" t="n"/>
      <c r="AG2473">
        <f>IF($C2473="","",IF(COUNTIF($C$2:$C2473,$C2473)=1,1,0))</f>
        <v/>
      </c>
      <c r="AH2473">
        <f>IF($AG2473=1,SUMPRODUCT(--($AK$2:$AK$6001&lt;$AK2473))+1,"")</f>
        <v/>
      </c>
      <c r="AI2473">
        <f>IF($C2473="","",IF(OR($N2473=TRUE(),$N2473="TRUE"),1,0))</f>
        <v/>
      </c>
      <c r="AJ2473">
        <f>IF($C2473="","",IF($T2473="Yes",1,0))</f>
        <v/>
      </c>
      <c r="AK2473">
        <f>IF($AG2473=1,IFERROR(IF(VALUE($C2473)&lt;100000000,VALUE($C2473),1000000000),IFERROR(IF(VALUE(MID($C2473,2,20))&lt;100000000,VALUE(MID($C2473,2,20)),1000000000),1000000000))+ROW()/100000,"")</f>
        <v/>
      </c>
    </row>
    <row r="2474">
      <c r="D2474" s="11" t="n"/>
      <c r="K2474" s="7">
        <f>IF($C2474="","",J2474*W2474/100)</f>
        <v/>
      </c>
      <c r="Q2474" s="7" t="n"/>
      <c r="R2474" s="7" t="n"/>
      <c r="U2474">
        <f>IF($C2474="","",IF($AJ2474=1,0,IF($AI2474=1,Settings!$C$6,Settings!$C$7))*100)</f>
        <v/>
      </c>
      <c r="V2474" s="7">
        <f>IF($C2474="","",R2474*U2474/100)</f>
        <v/>
      </c>
      <c r="W2474" s="7">
        <f>IF($C2474="","",R2474-V2474)</f>
        <v/>
      </c>
      <c r="X2474" s="7">
        <f>IF($C2474="","",W2474-K2474)</f>
        <v/>
      </c>
      <c r="AB2474" s="7" t="n"/>
      <c r="AE2474" s="11" t="n"/>
      <c r="AG2474">
        <f>IF($C2474="","",IF(COUNTIF($C$2:$C2474,$C2474)=1,1,0))</f>
        <v/>
      </c>
      <c r="AH2474">
        <f>IF($AG2474=1,SUMPRODUCT(--($AK$2:$AK$6001&lt;$AK2474))+1,"")</f>
        <v/>
      </c>
      <c r="AI2474">
        <f>IF($C2474="","",IF(OR($N2474=TRUE(),$N2474="TRUE"),1,0))</f>
        <v/>
      </c>
      <c r="AJ2474">
        <f>IF($C2474="","",IF($T2474="Yes",1,0))</f>
        <v/>
      </c>
      <c r="AK2474">
        <f>IF($AG2474=1,IFERROR(IF(VALUE($C2474)&lt;100000000,VALUE($C2474),1000000000),IFERROR(IF(VALUE(MID($C2474,2,20))&lt;100000000,VALUE(MID($C2474,2,20)),1000000000),1000000000))+ROW()/100000,"")</f>
        <v/>
      </c>
    </row>
    <row r="2475">
      <c r="D2475" s="11" t="n"/>
      <c r="K2475" s="7">
        <f>IF($C2475="","",J2475*W2475/100)</f>
        <v/>
      </c>
      <c r="Q2475" s="7" t="n"/>
      <c r="R2475" s="7" t="n"/>
      <c r="U2475">
        <f>IF($C2475="","",IF($AJ2475=1,0,IF($AI2475=1,Settings!$C$6,Settings!$C$7))*100)</f>
        <v/>
      </c>
      <c r="V2475" s="7">
        <f>IF($C2475="","",R2475*U2475/100)</f>
        <v/>
      </c>
      <c r="W2475" s="7">
        <f>IF($C2475="","",R2475-V2475)</f>
        <v/>
      </c>
      <c r="X2475" s="7">
        <f>IF($C2475="","",W2475-K2475)</f>
        <v/>
      </c>
      <c r="AB2475" s="7" t="n"/>
      <c r="AE2475" s="11" t="n"/>
      <c r="AG2475">
        <f>IF($C2475="","",IF(COUNTIF($C$2:$C2475,$C2475)=1,1,0))</f>
        <v/>
      </c>
      <c r="AH2475">
        <f>IF($AG2475=1,SUMPRODUCT(--($AK$2:$AK$6001&lt;$AK2475))+1,"")</f>
        <v/>
      </c>
      <c r="AI2475">
        <f>IF($C2475="","",IF(OR($N2475=TRUE(),$N2475="TRUE"),1,0))</f>
        <v/>
      </c>
      <c r="AJ2475">
        <f>IF($C2475="","",IF($T2475="Yes",1,0))</f>
        <v/>
      </c>
      <c r="AK2475">
        <f>IF($AG2475=1,IFERROR(IF(VALUE($C2475)&lt;100000000,VALUE($C2475),1000000000),IFERROR(IF(VALUE(MID($C2475,2,20))&lt;100000000,VALUE(MID($C2475,2,20)),1000000000),1000000000))+ROW()/100000,"")</f>
        <v/>
      </c>
    </row>
    <row r="2476">
      <c r="D2476" s="11" t="n"/>
      <c r="K2476" s="7">
        <f>IF($C2476="","",J2476*W2476/100)</f>
        <v/>
      </c>
      <c r="Q2476" s="7" t="n"/>
      <c r="R2476" s="7" t="n"/>
      <c r="U2476">
        <f>IF($C2476="","",IF($AJ2476=1,0,IF($AI2476=1,Settings!$C$6,Settings!$C$7))*100)</f>
        <v/>
      </c>
      <c r="V2476" s="7">
        <f>IF($C2476="","",R2476*U2476/100)</f>
        <v/>
      </c>
      <c r="W2476" s="7">
        <f>IF($C2476="","",R2476-V2476)</f>
        <v/>
      </c>
      <c r="X2476" s="7">
        <f>IF($C2476="","",W2476-K2476)</f>
        <v/>
      </c>
      <c r="AB2476" s="7" t="n"/>
      <c r="AE2476" s="11" t="n"/>
      <c r="AG2476">
        <f>IF($C2476="","",IF(COUNTIF($C$2:$C2476,$C2476)=1,1,0))</f>
        <v/>
      </c>
      <c r="AH2476">
        <f>IF($AG2476=1,SUMPRODUCT(--($AK$2:$AK$6001&lt;$AK2476))+1,"")</f>
        <v/>
      </c>
      <c r="AI2476">
        <f>IF($C2476="","",IF(OR($N2476=TRUE(),$N2476="TRUE"),1,0))</f>
        <v/>
      </c>
      <c r="AJ2476">
        <f>IF($C2476="","",IF($T2476="Yes",1,0))</f>
        <v/>
      </c>
      <c r="AK2476">
        <f>IF($AG2476=1,IFERROR(IF(VALUE($C2476)&lt;100000000,VALUE($C2476),1000000000),IFERROR(IF(VALUE(MID($C2476,2,20))&lt;100000000,VALUE(MID($C2476,2,20)),1000000000),1000000000))+ROW()/100000,"")</f>
        <v/>
      </c>
    </row>
    <row r="2477">
      <c r="D2477" s="11" t="n"/>
      <c r="K2477" s="7">
        <f>IF($C2477="","",J2477*W2477/100)</f>
        <v/>
      </c>
      <c r="Q2477" s="7" t="n"/>
      <c r="R2477" s="7" t="n"/>
      <c r="U2477">
        <f>IF($C2477="","",IF($AJ2477=1,0,IF($AI2477=1,Settings!$C$6,Settings!$C$7))*100)</f>
        <v/>
      </c>
      <c r="V2477" s="7">
        <f>IF($C2477="","",R2477*U2477/100)</f>
        <v/>
      </c>
      <c r="W2477" s="7">
        <f>IF($C2477="","",R2477-V2477)</f>
        <v/>
      </c>
      <c r="X2477" s="7">
        <f>IF($C2477="","",W2477-K2477)</f>
        <v/>
      </c>
      <c r="AB2477" s="7" t="n"/>
      <c r="AE2477" s="11" t="n"/>
      <c r="AG2477">
        <f>IF($C2477="","",IF(COUNTIF($C$2:$C2477,$C2477)=1,1,0))</f>
        <v/>
      </c>
      <c r="AH2477">
        <f>IF($AG2477=1,SUMPRODUCT(--($AK$2:$AK$6001&lt;$AK2477))+1,"")</f>
        <v/>
      </c>
      <c r="AI2477">
        <f>IF($C2477="","",IF(OR($N2477=TRUE(),$N2477="TRUE"),1,0))</f>
        <v/>
      </c>
      <c r="AJ2477">
        <f>IF($C2477="","",IF($T2477="Yes",1,0))</f>
        <v/>
      </c>
      <c r="AK2477">
        <f>IF($AG2477=1,IFERROR(IF(VALUE($C2477)&lt;100000000,VALUE($C2477),1000000000),IFERROR(IF(VALUE(MID($C2477,2,20))&lt;100000000,VALUE(MID($C2477,2,20)),1000000000),1000000000))+ROW()/100000,"")</f>
        <v/>
      </c>
    </row>
    <row r="2478">
      <c r="D2478" s="11" t="n"/>
      <c r="K2478" s="7">
        <f>IF($C2478="","",J2478*W2478/100)</f>
        <v/>
      </c>
      <c r="Q2478" s="7" t="n"/>
      <c r="R2478" s="7" t="n"/>
      <c r="U2478">
        <f>IF($C2478="","",IF($AJ2478=1,0,IF($AI2478=1,Settings!$C$6,Settings!$C$7))*100)</f>
        <v/>
      </c>
      <c r="V2478" s="7">
        <f>IF($C2478="","",R2478*U2478/100)</f>
        <v/>
      </c>
      <c r="W2478" s="7">
        <f>IF($C2478="","",R2478-V2478)</f>
        <v/>
      </c>
      <c r="X2478" s="7">
        <f>IF($C2478="","",W2478-K2478)</f>
        <v/>
      </c>
      <c r="AB2478" s="7" t="n"/>
      <c r="AE2478" s="11" t="n"/>
      <c r="AG2478">
        <f>IF($C2478="","",IF(COUNTIF($C$2:$C2478,$C2478)=1,1,0))</f>
        <v/>
      </c>
      <c r="AH2478">
        <f>IF($AG2478=1,SUMPRODUCT(--($AK$2:$AK$6001&lt;$AK2478))+1,"")</f>
        <v/>
      </c>
      <c r="AI2478">
        <f>IF($C2478="","",IF(OR($N2478=TRUE(),$N2478="TRUE"),1,0))</f>
        <v/>
      </c>
      <c r="AJ2478">
        <f>IF($C2478="","",IF($T2478="Yes",1,0))</f>
        <v/>
      </c>
      <c r="AK2478">
        <f>IF($AG2478=1,IFERROR(IF(VALUE($C2478)&lt;100000000,VALUE($C2478),1000000000),IFERROR(IF(VALUE(MID($C2478,2,20))&lt;100000000,VALUE(MID($C2478,2,20)),1000000000),1000000000))+ROW()/100000,"")</f>
        <v/>
      </c>
    </row>
    <row r="2479">
      <c r="D2479" s="11" t="n"/>
      <c r="K2479" s="7">
        <f>IF($C2479="","",J2479*W2479/100)</f>
        <v/>
      </c>
      <c r="Q2479" s="7" t="n"/>
      <c r="R2479" s="7" t="n"/>
      <c r="U2479">
        <f>IF($C2479="","",IF($AJ2479=1,0,IF($AI2479=1,Settings!$C$6,Settings!$C$7))*100)</f>
        <v/>
      </c>
      <c r="V2479" s="7">
        <f>IF($C2479="","",R2479*U2479/100)</f>
        <v/>
      </c>
      <c r="W2479" s="7">
        <f>IF($C2479="","",R2479-V2479)</f>
        <v/>
      </c>
      <c r="X2479" s="7">
        <f>IF($C2479="","",W2479-K2479)</f>
        <v/>
      </c>
      <c r="AB2479" s="7" t="n"/>
      <c r="AE2479" s="11" t="n"/>
      <c r="AG2479">
        <f>IF($C2479="","",IF(COUNTIF($C$2:$C2479,$C2479)=1,1,0))</f>
        <v/>
      </c>
      <c r="AH2479">
        <f>IF($AG2479=1,SUMPRODUCT(--($AK$2:$AK$6001&lt;$AK2479))+1,"")</f>
        <v/>
      </c>
      <c r="AI2479">
        <f>IF($C2479="","",IF(OR($N2479=TRUE(),$N2479="TRUE"),1,0))</f>
        <v/>
      </c>
      <c r="AJ2479">
        <f>IF($C2479="","",IF($T2479="Yes",1,0))</f>
        <v/>
      </c>
      <c r="AK2479">
        <f>IF($AG2479=1,IFERROR(IF(VALUE($C2479)&lt;100000000,VALUE($C2479),1000000000),IFERROR(IF(VALUE(MID($C2479,2,20))&lt;100000000,VALUE(MID($C2479,2,20)),1000000000),1000000000))+ROW()/100000,"")</f>
        <v/>
      </c>
    </row>
    <row r="2480">
      <c r="D2480" s="11" t="n"/>
      <c r="K2480" s="7">
        <f>IF($C2480="","",J2480*W2480/100)</f>
        <v/>
      </c>
      <c r="Q2480" s="7" t="n"/>
      <c r="R2480" s="7" t="n"/>
      <c r="U2480">
        <f>IF($C2480="","",IF($AJ2480=1,0,IF($AI2480=1,Settings!$C$6,Settings!$C$7))*100)</f>
        <v/>
      </c>
      <c r="V2480" s="7">
        <f>IF($C2480="","",R2480*U2480/100)</f>
        <v/>
      </c>
      <c r="W2480" s="7">
        <f>IF($C2480="","",R2480-V2480)</f>
        <v/>
      </c>
      <c r="X2480" s="7">
        <f>IF($C2480="","",W2480-K2480)</f>
        <v/>
      </c>
      <c r="AB2480" s="7" t="n"/>
      <c r="AE2480" s="11" t="n"/>
      <c r="AG2480">
        <f>IF($C2480="","",IF(COUNTIF($C$2:$C2480,$C2480)=1,1,0))</f>
        <v/>
      </c>
      <c r="AH2480">
        <f>IF($AG2480=1,SUMPRODUCT(--($AK$2:$AK$6001&lt;$AK2480))+1,"")</f>
        <v/>
      </c>
      <c r="AI2480">
        <f>IF($C2480="","",IF(OR($N2480=TRUE(),$N2480="TRUE"),1,0))</f>
        <v/>
      </c>
      <c r="AJ2480">
        <f>IF($C2480="","",IF($T2480="Yes",1,0))</f>
        <v/>
      </c>
      <c r="AK2480">
        <f>IF($AG2480=1,IFERROR(IF(VALUE($C2480)&lt;100000000,VALUE($C2480),1000000000),IFERROR(IF(VALUE(MID($C2480,2,20))&lt;100000000,VALUE(MID($C2480,2,20)),1000000000),1000000000))+ROW()/100000,"")</f>
        <v/>
      </c>
    </row>
    <row r="2481">
      <c r="D2481" s="11" t="n"/>
      <c r="K2481" s="7">
        <f>IF($C2481="","",J2481*W2481/100)</f>
        <v/>
      </c>
      <c r="Q2481" s="7" t="n"/>
      <c r="R2481" s="7" t="n"/>
      <c r="U2481">
        <f>IF($C2481="","",IF($AJ2481=1,0,IF($AI2481=1,Settings!$C$6,Settings!$C$7))*100)</f>
        <v/>
      </c>
      <c r="V2481" s="7">
        <f>IF($C2481="","",R2481*U2481/100)</f>
        <v/>
      </c>
      <c r="W2481" s="7">
        <f>IF($C2481="","",R2481-V2481)</f>
        <v/>
      </c>
      <c r="X2481" s="7">
        <f>IF($C2481="","",W2481-K2481)</f>
        <v/>
      </c>
      <c r="AB2481" s="7" t="n"/>
      <c r="AE2481" s="11" t="n"/>
      <c r="AG2481">
        <f>IF($C2481="","",IF(COUNTIF($C$2:$C2481,$C2481)=1,1,0))</f>
        <v/>
      </c>
      <c r="AH2481">
        <f>IF($AG2481=1,SUMPRODUCT(--($AK$2:$AK$6001&lt;$AK2481))+1,"")</f>
        <v/>
      </c>
      <c r="AI2481">
        <f>IF($C2481="","",IF(OR($N2481=TRUE(),$N2481="TRUE"),1,0))</f>
        <v/>
      </c>
      <c r="AJ2481">
        <f>IF($C2481="","",IF($T2481="Yes",1,0))</f>
        <v/>
      </c>
      <c r="AK2481">
        <f>IF($AG2481=1,IFERROR(IF(VALUE($C2481)&lt;100000000,VALUE($C2481),1000000000),IFERROR(IF(VALUE(MID($C2481,2,20))&lt;100000000,VALUE(MID($C2481,2,20)),1000000000),1000000000))+ROW()/100000,"")</f>
        <v/>
      </c>
    </row>
    <row r="2482">
      <c r="D2482" s="11" t="n"/>
      <c r="K2482" s="7">
        <f>IF($C2482="","",J2482*W2482/100)</f>
        <v/>
      </c>
      <c r="Q2482" s="7" t="n"/>
      <c r="R2482" s="7" t="n"/>
      <c r="U2482">
        <f>IF($C2482="","",IF($AJ2482=1,0,IF($AI2482=1,Settings!$C$6,Settings!$C$7))*100)</f>
        <v/>
      </c>
      <c r="V2482" s="7">
        <f>IF($C2482="","",R2482*U2482/100)</f>
        <v/>
      </c>
      <c r="W2482" s="7">
        <f>IF($C2482="","",R2482-V2482)</f>
        <v/>
      </c>
      <c r="X2482" s="7">
        <f>IF($C2482="","",W2482-K2482)</f>
        <v/>
      </c>
      <c r="AB2482" s="7" t="n"/>
      <c r="AE2482" s="11" t="n"/>
      <c r="AG2482">
        <f>IF($C2482="","",IF(COUNTIF($C$2:$C2482,$C2482)=1,1,0))</f>
        <v/>
      </c>
      <c r="AH2482">
        <f>IF($AG2482=1,SUMPRODUCT(--($AK$2:$AK$6001&lt;$AK2482))+1,"")</f>
        <v/>
      </c>
      <c r="AI2482">
        <f>IF($C2482="","",IF(OR($N2482=TRUE(),$N2482="TRUE"),1,0))</f>
        <v/>
      </c>
      <c r="AJ2482">
        <f>IF($C2482="","",IF($T2482="Yes",1,0))</f>
        <v/>
      </c>
      <c r="AK2482">
        <f>IF($AG2482=1,IFERROR(IF(VALUE($C2482)&lt;100000000,VALUE($C2482),1000000000),IFERROR(IF(VALUE(MID($C2482,2,20))&lt;100000000,VALUE(MID($C2482,2,20)),1000000000),1000000000))+ROW()/100000,"")</f>
        <v/>
      </c>
    </row>
    <row r="2483">
      <c r="D2483" s="11" t="n"/>
      <c r="K2483" s="7">
        <f>IF($C2483="","",J2483*W2483/100)</f>
        <v/>
      </c>
      <c r="Q2483" s="7" t="n"/>
      <c r="R2483" s="7" t="n"/>
      <c r="U2483">
        <f>IF($C2483="","",IF($AJ2483=1,0,IF($AI2483=1,Settings!$C$6,Settings!$C$7))*100)</f>
        <v/>
      </c>
      <c r="V2483" s="7">
        <f>IF($C2483="","",R2483*U2483/100)</f>
        <v/>
      </c>
      <c r="W2483" s="7">
        <f>IF($C2483="","",R2483-V2483)</f>
        <v/>
      </c>
      <c r="X2483" s="7">
        <f>IF($C2483="","",W2483-K2483)</f>
        <v/>
      </c>
      <c r="AB2483" s="7" t="n"/>
      <c r="AE2483" s="11" t="n"/>
      <c r="AG2483">
        <f>IF($C2483="","",IF(COUNTIF($C$2:$C2483,$C2483)=1,1,0))</f>
        <v/>
      </c>
      <c r="AH2483">
        <f>IF($AG2483=1,SUMPRODUCT(--($AK$2:$AK$6001&lt;$AK2483))+1,"")</f>
        <v/>
      </c>
      <c r="AI2483">
        <f>IF($C2483="","",IF(OR($N2483=TRUE(),$N2483="TRUE"),1,0))</f>
        <v/>
      </c>
      <c r="AJ2483">
        <f>IF($C2483="","",IF($T2483="Yes",1,0))</f>
        <v/>
      </c>
      <c r="AK2483">
        <f>IF($AG2483=1,IFERROR(IF(VALUE($C2483)&lt;100000000,VALUE($C2483),1000000000),IFERROR(IF(VALUE(MID($C2483,2,20))&lt;100000000,VALUE(MID($C2483,2,20)),1000000000),1000000000))+ROW()/100000,"")</f>
        <v/>
      </c>
    </row>
    <row r="2484">
      <c r="D2484" s="11" t="n"/>
      <c r="K2484" s="7">
        <f>IF($C2484="","",J2484*W2484/100)</f>
        <v/>
      </c>
      <c r="Q2484" s="7" t="n"/>
      <c r="R2484" s="7" t="n"/>
      <c r="U2484">
        <f>IF($C2484="","",IF($AJ2484=1,0,IF($AI2484=1,Settings!$C$6,Settings!$C$7))*100)</f>
        <v/>
      </c>
      <c r="V2484" s="7">
        <f>IF($C2484="","",R2484*U2484/100)</f>
        <v/>
      </c>
      <c r="W2484" s="7">
        <f>IF($C2484="","",R2484-V2484)</f>
        <v/>
      </c>
      <c r="X2484" s="7">
        <f>IF($C2484="","",W2484-K2484)</f>
        <v/>
      </c>
      <c r="AB2484" s="7" t="n"/>
      <c r="AE2484" s="11" t="n"/>
      <c r="AG2484">
        <f>IF($C2484="","",IF(COUNTIF($C$2:$C2484,$C2484)=1,1,0))</f>
        <v/>
      </c>
      <c r="AH2484">
        <f>IF($AG2484=1,SUMPRODUCT(--($AK$2:$AK$6001&lt;$AK2484))+1,"")</f>
        <v/>
      </c>
      <c r="AI2484">
        <f>IF($C2484="","",IF(OR($N2484=TRUE(),$N2484="TRUE"),1,0))</f>
        <v/>
      </c>
      <c r="AJ2484">
        <f>IF($C2484="","",IF($T2484="Yes",1,0))</f>
        <v/>
      </c>
      <c r="AK2484">
        <f>IF($AG2484=1,IFERROR(IF(VALUE($C2484)&lt;100000000,VALUE($C2484),1000000000),IFERROR(IF(VALUE(MID($C2484,2,20))&lt;100000000,VALUE(MID($C2484,2,20)),1000000000),1000000000))+ROW()/100000,"")</f>
        <v/>
      </c>
    </row>
    <row r="2485">
      <c r="D2485" s="11" t="n"/>
      <c r="K2485" s="7">
        <f>IF($C2485="","",J2485*W2485/100)</f>
        <v/>
      </c>
      <c r="Q2485" s="7" t="n"/>
      <c r="R2485" s="7" t="n"/>
      <c r="U2485">
        <f>IF($C2485="","",IF($AJ2485=1,0,IF($AI2485=1,Settings!$C$6,Settings!$C$7))*100)</f>
        <v/>
      </c>
      <c r="V2485" s="7">
        <f>IF($C2485="","",R2485*U2485/100)</f>
        <v/>
      </c>
      <c r="W2485" s="7">
        <f>IF($C2485="","",R2485-V2485)</f>
        <v/>
      </c>
      <c r="X2485" s="7">
        <f>IF($C2485="","",W2485-K2485)</f>
        <v/>
      </c>
      <c r="AB2485" s="7" t="n"/>
      <c r="AE2485" s="11" t="n"/>
      <c r="AG2485">
        <f>IF($C2485="","",IF(COUNTIF($C$2:$C2485,$C2485)=1,1,0))</f>
        <v/>
      </c>
      <c r="AH2485">
        <f>IF($AG2485=1,SUMPRODUCT(--($AK$2:$AK$6001&lt;$AK2485))+1,"")</f>
        <v/>
      </c>
      <c r="AI2485">
        <f>IF($C2485="","",IF(OR($N2485=TRUE(),$N2485="TRUE"),1,0))</f>
        <v/>
      </c>
      <c r="AJ2485">
        <f>IF($C2485="","",IF($T2485="Yes",1,0))</f>
        <v/>
      </c>
      <c r="AK2485">
        <f>IF($AG2485=1,IFERROR(IF(VALUE($C2485)&lt;100000000,VALUE($C2485),1000000000),IFERROR(IF(VALUE(MID($C2485,2,20))&lt;100000000,VALUE(MID($C2485,2,20)),1000000000),1000000000))+ROW()/100000,"")</f>
        <v/>
      </c>
    </row>
    <row r="2486">
      <c r="D2486" s="11" t="n"/>
      <c r="K2486" s="7">
        <f>IF($C2486="","",J2486*W2486/100)</f>
        <v/>
      </c>
      <c r="Q2486" s="7" t="n"/>
      <c r="R2486" s="7" t="n"/>
      <c r="U2486">
        <f>IF($C2486="","",IF($AJ2486=1,0,IF($AI2486=1,Settings!$C$6,Settings!$C$7))*100)</f>
        <v/>
      </c>
      <c r="V2486" s="7">
        <f>IF($C2486="","",R2486*U2486/100)</f>
        <v/>
      </c>
      <c r="W2486" s="7">
        <f>IF($C2486="","",R2486-V2486)</f>
        <v/>
      </c>
      <c r="X2486" s="7">
        <f>IF($C2486="","",W2486-K2486)</f>
        <v/>
      </c>
      <c r="AB2486" s="7" t="n"/>
      <c r="AE2486" s="11" t="n"/>
      <c r="AG2486">
        <f>IF($C2486="","",IF(COUNTIF($C$2:$C2486,$C2486)=1,1,0))</f>
        <v/>
      </c>
      <c r="AH2486">
        <f>IF($AG2486=1,SUMPRODUCT(--($AK$2:$AK$6001&lt;$AK2486))+1,"")</f>
        <v/>
      </c>
      <c r="AI2486">
        <f>IF($C2486="","",IF(OR($N2486=TRUE(),$N2486="TRUE"),1,0))</f>
        <v/>
      </c>
      <c r="AJ2486">
        <f>IF($C2486="","",IF($T2486="Yes",1,0))</f>
        <v/>
      </c>
      <c r="AK2486">
        <f>IF($AG2486=1,IFERROR(IF(VALUE($C2486)&lt;100000000,VALUE($C2486),1000000000),IFERROR(IF(VALUE(MID($C2486,2,20))&lt;100000000,VALUE(MID($C2486,2,20)),1000000000),1000000000))+ROW()/100000,"")</f>
        <v/>
      </c>
    </row>
    <row r="2487">
      <c r="D2487" s="11" t="n"/>
      <c r="K2487" s="7">
        <f>IF($C2487="","",J2487*W2487/100)</f>
        <v/>
      </c>
      <c r="Q2487" s="7" t="n"/>
      <c r="R2487" s="7" t="n"/>
      <c r="U2487">
        <f>IF($C2487="","",IF($AJ2487=1,0,IF($AI2487=1,Settings!$C$6,Settings!$C$7))*100)</f>
        <v/>
      </c>
      <c r="V2487" s="7">
        <f>IF($C2487="","",R2487*U2487/100)</f>
        <v/>
      </c>
      <c r="W2487" s="7">
        <f>IF($C2487="","",R2487-V2487)</f>
        <v/>
      </c>
      <c r="X2487" s="7">
        <f>IF($C2487="","",W2487-K2487)</f>
        <v/>
      </c>
      <c r="AB2487" s="7" t="n"/>
      <c r="AE2487" s="11" t="n"/>
      <c r="AG2487">
        <f>IF($C2487="","",IF(COUNTIF($C$2:$C2487,$C2487)=1,1,0))</f>
        <v/>
      </c>
      <c r="AH2487">
        <f>IF($AG2487=1,SUMPRODUCT(--($AK$2:$AK$6001&lt;$AK2487))+1,"")</f>
        <v/>
      </c>
      <c r="AI2487">
        <f>IF($C2487="","",IF(OR($N2487=TRUE(),$N2487="TRUE"),1,0))</f>
        <v/>
      </c>
      <c r="AJ2487">
        <f>IF($C2487="","",IF($T2487="Yes",1,0))</f>
        <v/>
      </c>
      <c r="AK2487">
        <f>IF($AG2487=1,IFERROR(IF(VALUE($C2487)&lt;100000000,VALUE($C2487),1000000000),IFERROR(IF(VALUE(MID($C2487,2,20))&lt;100000000,VALUE(MID($C2487,2,20)),1000000000),1000000000))+ROW()/100000,"")</f>
        <v/>
      </c>
    </row>
    <row r="2488">
      <c r="D2488" s="11" t="n"/>
      <c r="K2488" s="7">
        <f>IF($C2488="","",J2488*W2488/100)</f>
        <v/>
      </c>
      <c r="Q2488" s="7" t="n"/>
      <c r="R2488" s="7" t="n"/>
      <c r="U2488">
        <f>IF($C2488="","",IF($AJ2488=1,0,IF($AI2488=1,Settings!$C$6,Settings!$C$7))*100)</f>
        <v/>
      </c>
      <c r="V2488" s="7">
        <f>IF($C2488="","",R2488*U2488/100)</f>
        <v/>
      </c>
      <c r="W2488" s="7">
        <f>IF($C2488="","",R2488-V2488)</f>
        <v/>
      </c>
      <c r="X2488" s="7">
        <f>IF($C2488="","",W2488-K2488)</f>
        <v/>
      </c>
      <c r="AB2488" s="7" t="n"/>
      <c r="AE2488" s="11" t="n"/>
      <c r="AG2488">
        <f>IF($C2488="","",IF(COUNTIF($C$2:$C2488,$C2488)=1,1,0))</f>
        <v/>
      </c>
      <c r="AH2488">
        <f>IF($AG2488=1,SUMPRODUCT(--($AK$2:$AK$6001&lt;$AK2488))+1,"")</f>
        <v/>
      </c>
      <c r="AI2488">
        <f>IF($C2488="","",IF(OR($N2488=TRUE(),$N2488="TRUE"),1,0))</f>
        <v/>
      </c>
      <c r="AJ2488">
        <f>IF($C2488="","",IF($T2488="Yes",1,0))</f>
        <v/>
      </c>
      <c r="AK2488">
        <f>IF($AG2488=1,IFERROR(IF(VALUE($C2488)&lt;100000000,VALUE($C2488),1000000000),IFERROR(IF(VALUE(MID($C2488,2,20))&lt;100000000,VALUE(MID($C2488,2,20)),1000000000),1000000000))+ROW()/100000,"")</f>
        <v/>
      </c>
    </row>
    <row r="2489">
      <c r="D2489" s="11" t="n"/>
      <c r="K2489" s="7">
        <f>IF($C2489="","",J2489*W2489/100)</f>
        <v/>
      </c>
      <c r="Q2489" s="7" t="n"/>
      <c r="R2489" s="7" t="n"/>
      <c r="U2489">
        <f>IF($C2489="","",IF($AJ2489=1,0,IF($AI2489=1,Settings!$C$6,Settings!$C$7))*100)</f>
        <v/>
      </c>
      <c r="V2489" s="7">
        <f>IF($C2489="","",R2489*U2489/100)</f>
        <v/>
      </c>
      <c r="W2489" s="7">
        <f>IF($C2489="","",R2489-V2489)</f>
        <v/>
      </c>
      <c r="X2489" s="7">
        <f>IF($C2489="","",W2489-K2489)</f>
        <v/>
      </c>
      <c r="AB2489" s="7" t="n"/>
      <c r="AE2489" s="11" t="n"/>
      <c r="AG2489">
        <f>IF($C2489="","",IF(COUNTIF($C$2:$C2489,$C2489)=1,1,0))</f>
        <v/>
      </c>
      <c r="AH2489">
        <f>IF($AG2489=1,SUMPRODUCT(--($AK$2:$AK$6001&lt;$AK2489))+1,"")</f>
        <v/>
      </c>
      <c r="AI2489">
        <f>IF($C2489="","",IF(OR($N2489=TRUE(),$N2489="TRUE"),1,0))</f>
        <v/>
      </c>
      <c r="AJ2489">
        <f>IF($C2489="","",IF($T2489="Yes",1,0))</f>
        <v/>
      </c>
      <c r="AK2489">
        <f>IF($AG2489=1,IFERROR(IF(VALUE($C2489)&lt;100000000,VALUE($C2489),1000000000),IFERROR(IF(VALUE(MID($C2489,2,20))&lt;100000000,VALUE(MID($C2489,2,20)),1000000000),1000000000))+ROW()/100000,"")</f>
        <v/>
      </c>
    </row>
    <row r="2490">
      <c r="D2490" s="11" t="n"/>
      <c r="K2490" s="7">
        <f>IF($C2490="","",J2490*W2490/100)</f>
        <v/>
      </c>
      <c r="Q2490" s="7" t="n"/>
      <c r="R2490" s="7" t="n"/>
      <c r="U2490">
        <f>IF($C2490="","",IF($AJ2490=1,0,IF($AI2490=1,Settings!$C$6,Settings!$C$7))*100)</f>
        <v/>
      </c>
      <c r="V2490" s="7">
        <f>IF($C2490="","",R2490*U2490/100)</f>
        <v/>
      </c>
      <c r="W2490" s="7">
        <f>IF($C2490="","",R2490-V2490)</f>
        <v/>
      </c>
      <c r="X2490" s="7">
        <f>IF($C2490="","",W2490-K2490)</f>
        <v/>
      </c>
      <c r="AB2490" s="7" t="n"/>
      <c r="AE2490" s="11" t="n"/>
      <c r="AG2490">
        <f>IF($C2490="","",IF(COUNTIF($C$2:$C2490,$C2490)=1,1,0))</f>
        <v/>
      </c>
      <c r="AH2490">
        <f>IF($AG2490=1,SUMPRODUCT(--($AK$2:$AK$6001&lt;$AK2490))+1,"")</f>
        <v/>
      </c>
      <c r="AI2490">
        <f>IF($C2490="","",IF(OR($N2490=TRUE(),$N2490="TRUE"),1,0))</f>
        <v/>
      </c>
      <c r="AJ2490">
        <f>IF($C2490="","",IF($T2490="Yes",1,0))</f>
        <v/>
      </c>
      <c r="AK2490">
        <f>IF($AG2490=1,IFERROR(IF(VALUE($C2490)&lt;100000000,VALUE($C2490),1000000000),IFERROR(IF(VALUE(MID($C2490,2,20))&lt;100000000,VALUE(MID($C2490,2,20)),1000000000),1000000000))+ROW()/100000,"")</f>
        <v/>
      </c>
    </row>
    <row r="2491">
      <c r="D2491" s="11" t="n"/>
      <c r="K2491" s="7">
        <f>IF($C2491="","",J2491*W2491/100)</f>
        <v/>
      </c>
      <c r="Q2491" s="7" t="n"/>
      <c r="R2491" s="7" t="n"/>
      <c r="U2491">
        <f>IF($C2491="","",IF($AJ2491=1,0,IF($AI2491=1,Settings!$C$6,Settings!$C$7))*100)</f>
        <v/>
      </c>
      <c r="V2491" s="7">
        <f>IF($C2491="","",R2491*U2491/100)</f>
        <v/>
      </c>
      <c r="W2491" s="7">
        <f>IF($C2491="","",R2491-V2491)</f>
        <v/>
      </c>
      <c r="X2491" s="7">
        <f>IF($C2491="","",W2491-K2491)</f>
        <v/>
      </c>
      <c r="AB2491" s="7" t="n"/>
      <c r="AE2491" s="11" t="n"/>
      <c r="AG2491">
        <f>IF($C2491="","",IF(COUNTIF($C$2:$C2491,$C2491)=1,1,0))</f>
        <v/>
      </c>
      <c r="AH2491">
        <f>IF($AG2491=1,SUMPRODUCT(--($AK$2:$AK$6001&lt;$AK2491))+1,"")</f>
        <v/>
      </c>
      <c r="AI2491">
        <f>IF($C2491="","",IF(OR($N2491=TRUE(),$N2491="TRUE"),1,0))</f>
        <v/>
      </c>
      <c r="AJ2491">
        <f>IF($C2491="","",IF($T2491="Yes",1,0))</f>
        <v/>
      </c>
      <c r="AK2491">
        <f>IF($AG2491=1,IFERROR(IF(VALUE($C2491)&lt;100000000,VALUE($C2491),1000000000),IFERROR(IF(VALUE(MID($C2491,2,20))&lt;100000000,VALUE(MID($C2491,2,20)),1000000000),1000000000))+ROW()/100000,"")</f>
        <v/>
      </c>
    </row>
    <row r="2492">
      <c r="D2492" s="11" t="n"/>
      <c r="K2492" s="7">
        <f>IF($C2492="","",J2492*W2492/100)</f>
        <v/>
      </c>
      <c r="Q2492" s="7" t="n"/>
      <c r="R2492" s="7" t="n"/>
      <c r="U2492">
        <f>IF($C2492="","",IF($AJ2492=1,0,IF($AI2492=1,Settings!$C$6,Settings!$C$7))*100)</f>
        <v/>
      </c>
      <c r="V2492" s="7">
        <f>IF($C2492="","",R2492*U2492/100)</f>
        <v/>
      </c>
      <c r="W2492" s="7">
        <f>IF($C2492="","",R2492-V2492)</f>
        <v/>
      </c>
      <c r="X2492" s="7">
        <f>IF($C2492="","",W2492-K2492)</f>
        <v/>
      </c>
      <c r="AB2492" s="7" t="n"/>
      <c r="AE2492" s="11" t="n"/>
      <c r="AG2492">
        <f>IF($C2492="","",IF(COUNTIF($C$2:$C2492,$C2492)=1,1,0))</f>
        <v/>
      </c>
      <c r="AH2492">
        <f>IF($AG2492=1,SUMPRODUCT(--($AK$2:$AK$6001&lt;$AK2492))+1,"")</f>
        <v/>
      </c>
      <c r="AI2492">
        <f>IF($C2492="","",IF(OR($N2492=TRUE(),$N2492="TRUE"),1,0))</f>
        <v/>
      </c>
      <c r="AJ2492">
        <f>IF($C2492="","",IF($T2492="Yes",1,0))</f>
        <v/>
      </c>
      <c r="AK2492">
        <f>IF($AG2492=1,IFERROR(IF(VALUE($C2492)&lt;100000000,VALUE($C2492),1000000000),IFERROR(IF(VALUE(MID($C2492,2,20))&lt;100000000,VALUE(MID($C2492,2,20)),1000000000),1000000000))+ROW()/100000,"")</f>
        <v/>
      </c>
    </row>
    <row r="2493">
      <c r="D2493" s="11" t="n"/>
      <c r="K2493" s="7">
        <f>IF($C2493="","",J2493*W2493/100)</f>
        <v/>
      </c>
      <c r="Q2493" s="7" t="n"/>
      <c r="R2493" s="7" t="n"/>
      <c r="U2493">
        <f>IF($C2493="","",IF($AJ2493=1,0,IF($AI2493=1,Settings!$C$6,Settings!$C$7))*100)</f>
        <v/>
      </c>
      <c r="V2493" s="7">
        <f>IF($C2493="","",R2493*U2493/100)</f>
        <v/>
      </c>
      <c r="W2493" s="7">
        <f>IF($C2493="","",R2493-V2493)</f>
        <v/>
      </c>
      <c r="X2493" s="7">
        <f>IF($C2493="","",W2493-K2493)</f>
        <v/>
      </c>
      <c r="AB2493" s="7" t="n"/>
      <c r="AE2493" s="11" t="n"/>
      <c r="AG2493">
        <f>IF($C2493="","",IF(COUNTIF($C$2:$C2493,$C2493)=1,1,0))</f>
        <v/>
      </c>
      <c r="AH2493">
        <f>IF($AG2493=1,SUMPRODUCT(--($AK$2:$AK$6001&lt;$AK2493))+1,"")</f>
        <v/>
      </c>
      <c r="AI2493">
        <f>IF($C2493="","",IF(OR($N2493=TRUE(),$N2493="TRUE"),1,0))</f>
        <v/>
      </c>
      <c r="AJ2493">
        <f>IF($C2493="","",IF($T2493="Yes",1,0))</f>
        <v/>
      </c>
      <c r="AK2493">
        <f>IF($AG2493=1,IFERROR(IF(VALUE($C2493)&lt;100000000,VALUE($C2493),1000000000),IFERROR(IF(VALUE(MID($C2493,2,20))&lt;100000000,VALUE(MID($C2493,2,20)),1000000000),1000000000))+ROW()/100000,"")</f>
        <v/>
      </c>
    </row>
    <row r="2494">
      <c r="D2494" s="11" t="n"/>
      <c r="K2494" s="7">
        <f>IF($C2494="","",J2494*W2494/100)</f>
        <v/>
      </c>
      <c r="Q2494" s="7" t="n"/>
      <c r="R2494" s="7" t="n"/>
      <c r="U2494">
        <f>IF($C2494="","",IF($AJ2494=1,0,IF($AI2494=1,Settings!$C$6,Settings!$C$7))*100)</f>
        <v/>
      </c>
      <c r="V2494" s="7">
        <f>IF($C2494="","",R2494*U2494/100)</f>
        <v/>
      </c>
      <c r="W2494" s="7">
        <f>IF($C2494="","",R2494-V2494)</f>
        <v/>
      </c>
      <c r="X2494" s="7">
        <f>IF($C2494="","",W2494-K2494)</f>
        <v/>
      </c>
      <c r="AB2494" s="7" t="n"/>
      <c r="AE2494" s="11" t="n"/>
      <c r="AG2494">
        <f>IF($C2494="","",IF(COUNTIF($C$2:$C2494,$C2494)=1,1,0))</f>
        <v/>
      </c>
      <c r="AH2494">
        <f>IF($AG2494=1,SUMPRODUCT(--($AK$2:$AK$6001&lt;$AK2494))+1,"")</f>
        <v/>
      </c>
      <c r="AI2494">
        <f>IF($C2494="","",IF(OR($N2494=TRUE(),$N2494="TRUE"),1,0))</f>
        <v/>
      </c>
      <c r="AJ2494">
        <f>IF($C2494="","",IF($T2494="Yes",1,0))</f>
        <v/>
      </c>
      <c r="AK2494">
        <f>IF($AG2494=1,IFERROR(IF(VALUE($C2494)&lt;100000000,VALUE($C2494),1000000000),IFERROR(IF(VALUE(MID($C2494,2,20))&lt;100000000,VALUE(MID($C2494,2,20)),1000000000),1000000000))+ROW()/100000,"")</f>
        <v/>
      </c>
    </row>
    <row r="2495">
      <c r="D2495" s="11" t="n"/>
      <c r="K2495" s="7">
        <f>IF($C2495="","",J2495*W2495/100)</f>
        <v/>
      </c>
      <c r="Q2495" s="7" t="n"/>
      <c r="R2495" s="7" t="n"/>
      <c r="U2495">
        <f>IF($C2495="","",IF($AJ2495=1,0,IF($AI2495=1,Settings!$C$6,Settings!$C$7))*100)</f>
        <v/>
      </c>
      <c r="V2495" s="7">
        <f>IF($C2495="","",R2495*U2495/100)</f>
        <v/>
      </c>
      <c r="W2495" s="7">
        <f>IF($C2495="","",R2495-V2495)</f>
        <v/>
      </c>
      <c r="X2495" s="7">
        <f>IF($C2495="","",W2495-K2495)</f>
        <v/>
      </c>
      <c r="AB2495" s="7" t="n"/>
      <c r="AE2495" s="11" t="n"/>
      <c r="AG2495">
        <f>IF($C2495="","",IF(COUNTIF($C$2:$C2495,$C2495)=1,1,0))</f>
        <v/>
      </c>
      <c r="AH2495">
        <f>IF($AG2495=1,SUMPRODUCT(--($AK$2:$AK$6001&lt;$AK2495))+1,"")</f>
        <v/>
      </c>
      <c r="AI2495">
        <f>IF($C2495="","",IF(OR($N2495=TRUE(),$N2495="TRUE"),1,0))</f>
        <v/>
      </c>
      <c r="AJ2495">
        <f>IF($C2495="","",IF($T2495="Yes",1,0))</f>
        <v/>
      </c>
      <c r="AK2495">
        <f>IF($AG2495=1,IFERROR(IF(VALUE($C2495)&lt;100000000,VALUE($C2495),1000000000),IFERROR(IF(VALUE(MID($C2495,2,20))&lt;100000000,VALUE(MID($C2495,2,20)),1000000000),1000000000))+ROW()/100000,"")</f>
        <v/>
      </c>
    </row>
    <row r="2496">
      <c r="D2496" s="11" t="n"/>
      <c r="K2496" s="7">
        <f>IF($C2496="","",J2496*W2496/100)</f>
        <v/>
      </c>
      <c r="Q2496" s="7" t="n"/>
      <c r="R2496" s="7" t="n"/>
      <c r="U2496">
        <f>IF($C2496="","",IF($AJ2496=1,0,IF($AI2496=1,Settings!$C$6,Settings!$C$7))*100)</f>
        <v/>
      </c>
      <c r="V2496" s="7">
        <f>IF($C2496="","",R2496*U2496/100)</f>
        <v/>
      </c>
      <c r="W2496" s="7">
        <f>IF($C2496="","",R2496-V2496)</f>
        <v/>
      </c>
      <c r="X2496" s="7">
        <f>IF($C2496="","",W2496-K2496)</f>
        <v/>
      </c>
      <c r="AB2496" s="7" t="n"/>
      <c r="AE2496" s="11" t="n"/>
      <c r="AG2496">
        <f>IF($C2496="","",IF(COUNTIF($C$2:$C2496,$C2496)=1,1,0))</f>
        <v/>
      </c>
      <c r="AH2496">
        <f>IF($AG2496=1,SUMPRODUCT(--($AK$2:$AK$6001&lt;$AK2496))+1,"")</f>
        <v/>
      </c>
      <c r="AI2496">
        <f>IF($C2496="","",IF(OR($N2496=TRUE(),$N2496="TRUE"),1,0))</f>
        <v/>
      </c>
      <c r="AJ2496">
        <f>IF($C2496="","",IF($T2496="Yes",1,0))</f>
        <v/>
      </c>
      <c r="AK2496">
        <f>IF($AG2496=1,IFERROR(IF(VALUE($C2496)&lt;100000000,VALUE($C2496),1000000000),IFERROR(IF(VALUE(MID($C2496,2,20))&lt;100000000,VALUE(MID($C2496,2,20)),1000000000),1000000000))+ROW()/100000,"")</f>
        <v/>
      </c>
    </row>
    <row r="2497">
      <c r="D2497" s="11" t="n"/>
      <c r="K2497" s="7">
        <f>IF($C2497="","",J2497*W2497/100)</f>
        <v/>
      </c>
      <c r="Q2497" s="7" t="n"/>
      <c r="R2497" s="7" t="n"/>
      <c r="U2497">
        <f>IF($C2497="","",IF($AJ2497=1,0,IF($AI2497=1,Settings!$C$6,Settings!$C$7))*100)</f>
        <v/>
      </c>
      <c r="V2497" s="7">
        <f>IF($C2497="","",R2497*U2497/100)</f>
        <v/>
      </c>
      <c r="W2497" s="7">
        <f>IF($C2497="","",R2497-V2497)</f>
        <v/>
      </c>
      <c r="X2497" s="7">
        <f>IF($C2497="","",W2497-K2497)</f>
        <v/>
      </c>
      <c r="AB2497" s="7" t="n"/>
      <c r="AE2497" s="11" t="n"/>
      <c r="AG2497">
        <f>IF($C2497="","",IF(COUNTIF($C$2:$C2497,$C2497)=1,1,0))</f>
        <v/>
      </c>
      <c r="AH2497">
        <f>IF($AG2497=1,SUMPRODUCT(--($AK$2:$AK$6001&lt;$AK2497))+1,"")</f>
        <v/>
      </c>
      <c r="AI2497">
        <f>IF($C2497="","",IF(OR($N2497=TRUE(),$N2497="TRUE"),1,0))</f>
        <v/>
      </c>
      <c r="AJ2497">
        <f>IF($C2497="","",IF($T2497="Yes",1,0))</f>
        <v/>
      </c>
      <c r="AK2497">
        <f>IF($AG2497=1,IFERROR(IF(VALUE($C2497)&lt;100000000,VALUE($C2497),1000000000),IFERROR(IF(VALUE(MID($C2497,2,20))&lt;100000000,VALUE(MID($C2497,2,20)),1000000000),1000000000))+ROW()/100000,"")</f>
        <v/>
      </c>
    </row>
    <row r="2498">
      <c r="D2498" s="11" t="n"/>
      <c r="K2498" s="7">
        <f>IF($C2498="","",J2498*W2498/100)</f>
        <v/>
      </c>
      <c r="Q2498" s="7" t="n"/>
      <c r="R2498" s="7" t="n"/>
      <c r="U2498">
        <f>IF($C2498="","",IF($AJ2498=1,0,IF($AI2498=1,Settings!$C$6,Settings!$C$7))*100)</f>
        <v/>
      </c>
      <c r="V2498" s="7">
        <f>IF($C2498="","",R2498*U2498/100)</f>
        <v/>
      </c>
      <c r="W2498" s="7">
        <f>IF($C2498="","",R2498-V2498)</f>
        <v/>
      </c>
      <c r="X2498" s="7">
        <f>IF($C2498="","",W2498-K2498)</f>
        <v/>
      </c>
      <c r="AB2498" s="7" t="n"/>
      <c r="AE2498" s="11" t="n"/>
      <c r="AG2498">
        <f>IF($C2498="","",IF(COUNTIF($C$2:$C2498,$C2498)=1,1,0))</f>
        <v/>
      </c>
      <c r="AH2498">
        <f>IF($AG2498=1,SUMPRODUCT(--($AK$2:$AK$6001&lt;$AK2498))+1,"")</f>
        <v/>
      </c>
      <c r="AI2498">
        <f>IF($C2498="","",IF(OR($N2498=TRUE(),$N2498="TRUE"),1,0))</f>
        <v/>
      </c>
      <c r="AJ2498">
        <f>IF($C2498="","",IF($T2498="Yes",1,0))</f>
        <v/>
      </c>
      <c r="AK2498">
        <f>IF($AG2498=1,IFERROR(IF(VALUE($C2498)&lt;100000000,VALUE($C2498),1000000000),IFERROR(IF(VALUE(MID($C2498,2,20))&lt;100000000,VALUE(MID($C2498,2,20)),1000000000),1000000000))+ROW()/100000,"")</f>
        <v/>
      </c>
    </row>
    <row r="2499">
      <c r="D2499" s="11" t="n"/>
      <c r="K2499" s="7">
        <f>IF($C2499="","",J2499*W2499/100)</f>
        <v/>
      </c>
      <c r="Q2499" s="7" t="n"/>
      <c r="R2499" s="7" t="n"/>
      <c r="U2499">
        <f>IF($C2499="","",IF($AJ2499=1,0,IF($AI2499=1,Settings!$C$6,Settings!$C$7))*100)</f>
        <v/>
      </c>
      <c r="V2499" s="7">
        <f>IF($C2499="","",R2499*U2499/100)</f>
        <v/>
      </c>
      <c r="W2499" s="7">
        <f>IF($C2499="","",R2499-V2499)</f>
        <v/>
      </c>
      <c r="X2499" s="7">
        <f>IF($C2499="","",W2499-K2499)</f>
        <v/>
      </c>
      <c r="AB2499" s="7" t="n"/>
      <c r="AE2499" s="11" t="n"/>
      <c r="AG2499">
        <f>IF($C2499="","",IF(COUNTIF($C$2:$C2499,$C2499)=1,1,0))</f>
        <v/>
      </c>
      <c r="AH2499">
        <f>IF($AG2499=1,SUMPRODUCT(--($AK$2:$AK$6001&lt;$AK2499))+1,"")</f>
        <v/>
      </c>
      <c r="AI2499">
        <f>IF($C2499="","",IF(OR($N2499=TRUE(),$N2499="TRUE"),1,0))</f>
        <v/>
      </c>
      <c r="AJ2499">
        <f>IF($C2499="","",IF($T2499="Yes",1,0))</f>
        <v/>
      </c>
      <c r="AK2499">
        <f>IF($AG2499=1,IFERROR(IF(VALUE($C2499)&lt;100000000,VALUE($C2499),1000000000),IFERROR(IF(VALUE(MID($C2499,2,20))&lt;100000000,VALUE(MID($C2499,2,20)),1000000000),1000000000))+ROW()/100000,"")</f>
        <v/>
      </c>
    </row>
    <row r="2500">
      <c r="D2500" s="11" t="n"/>
      <c r="K2500" s="7">
        <f>IF($C2500="","",J2500*W2500/100)</f>
        <v/>
      </c>
      <c r="Q2500" s="7" t="n"/>
      <c r="R2500" s="7" t="n"/>
      <c r="U2500">
        <f>IF($C2500="","",IF($AJ2500=1,0,IF($AI2500=1,Settings!$C$6,Settings!$C$7))*100)</f>
        <v/>
      </c>
      <c r="V2500" s="7">
        <f>IF($C2500="","",R2500*U2500/100)</f>
        <v/>
      </c>
      <c r="W2500" s="7">
        <f>IF($C2500="","",R2500-V2500)</f>
        <v/>
      </c>
      <c r="X2500" s="7">
        <f>IF($C2500="","",W2500-K2500)</f>
        <v/>
      </c>
      <c r="AB2500" s="7" t="n"/>
      <c r="AE2500" s="11" t="n"/>
      <c r="AG2500">
        <f>IF($C2500="","",IF(COUNTIF($C$2:$C2500,$C2500)=1,1,0))</f>
        <v/>
      </c>
      <c r="AH2500">
        <f>IF($AG2500=1,SUMPRODUCT(--($AK$2:$AK$6001&lt;$AK2500))+1,"")</f>
        <v/>
      </c>
      <c r="AI2500">
        <f>IF($C2500="","",IF(OR($N2500=TRUE(),$N2500="TRUE"),1,0))</f>
        <v/>
      </c>
      <c r="AJ2500">
        <f>IF($C2500="","",IF($T2500="Yes",1,0))</f>
        <v/>
      </c>
      <c r="AK2500">
        <f>IF($AG2500=1,IFERROR(IF(VALUE($C2500)&lt;100000000,VALUE($C2500),1000000000),IFERROR(IF(VALUE(MID($C2500,2,20))&lt;100000000,VALUE(MID($C2500,2,20)),1000000000),1000000000))+ROW()/100000,"")</f>
        <v/>
      </c>
    </row>
    <row r="2501">
      <c r="D2501" s="11" t="n"/>
      <c r="K2501" s="7">
        <f>IF($C2501="","",J2501*W2501/100)</f>
        <v/>
      </c>
      <c r="Q2501" s="7" t="n"/>
      <c r="R2501" s="7" t="n"/>
      <c r="U2501">
        <f>IF($C2501="","",IF($AJ2501=1,0,IF($AI2501=1,Settings!$C$6,Settings!$C$7))*100)</f>
        <v/>
      </c>
      <c r="V2501" s="7">
        <f>IF($C2501="","",R2501*U2501/100)</f>
        <v/>
      </c>
      <c r="W2501" s="7">
        <f>IF($C2501="","",R2501-V2501)</f>
        <v/>
      </c>
      <c r="X2501" s="7">
        <f>IF($C2501="","",W2501-K2501)</f>
        <v/>
      </c>
      <c r="AB2501" s="7" t="n"/>
      <c r="AE2501" s="11" t="n"/>
      <c r="AG2501">
        <f>IF($C2501="","",IF(COUNTIF($C$2:$C2501,$C2501)=1,1,0))</f>
        <v/>
      </c>
      <c r="AH2501">
        <f>IF($AG2501=1,SUMPRODUCT(--($AK$2:$AK$6001&lt;$AK2501))+1,"")</f>
        <v/>
      </c>
      <c r="AI2501">
        <f>IF($C2501="","",IF(OR($N2501=TRUE(),$N2501="TRUE"),1,0))</f>
        <v/>
      </c>
      <c r="AJ2501">
        <f>IF($C2501="","",IF($T2501="Yes",1,0))</f>
        <v/>
      </c>
      <c r="AK2501">
        <f>IF($AG2501=1,IFERROR(IF(VALUE($C2501)&lt;100000000,VALUE($C2501),1000000000),IFERROR(IF(VALUE(MID($C2501,2,20))&lt;100000000,VALUE(MID($C2501,2,20)),1000000000),1000000000))+ROW()/100000,"")</f>
        <v/>
      </c>
    </row>
    <row r="2502">
      <c r="D2502" s="11" t="n"/>
      <c r="K2502" s="7">
        <f>IF($C2502="","",J2502*W2502/100)</f>
        <v/>
      </c>
      <c r="Q2502" s="7" t="n"/>
      <c r="R2502" s="7" t="n"/>
      <c r="U2502">
        <f>IF($C2502="","",IF($AJ2502=1,0,IF($AI2502=1,Settings!$C$6,Settings!$C$7))*100)</f>
        <v/>
      </c>
      <c r="V2502" s="7">
        <f>IF($C2502="","",R2502*U2502/100)</f>
        <v/>
      </c>
      <c r="W2502" s="7">
        <f>IF($C2502="","",R2502-V2502)</f>
        <v/>
      </c>
      <c r="X2502" s="7">
        <f>IF($C2502="","",W2502-K2502)</f>
        <v/>
      </c>
      <c r="AB2502" s="7" t="n"/>
      <c r="AE2502" s="11" t="n"/>
      <c r="AG2502">
        <f>IF($C2502="","",IF(COUNTIF($C$2:$C2502,$C2502)=1,1,0))</f>
        <v/>
      </c>
      <c r="AH2502">
        <f>IF($AG2502=1,SUMPRODUCT(--($AK$2:$AK$6001&lt;$AK2502))+1,"")</f>
        <v/>
      </c>
      <c r="AI2502">
        <f>IF($C2502="","",IF(OR($N2502=TRUE(),$N2502="TRUE"),1,0))</f>
        <v/>
      </c>
      <c r="AJ2502">
        <f>IF($C2502="","",IF($T2502="Yes",1,0))</f>
        <v/>
      </c>
      <c r="AK2502">
        <f>IF($AG2502=1,IFERROR(IF(VALUE($C2502)&lt;100000000,VALUE($C2502),1000000000),IFERROR(IF(VALUE(MID($C2502,2,20))&lt;100000000,VALUE(MID($C2502,2,20)),1000000000),1000000000))+ROW()/100000,"")</f>
        <v/>
      </c>
    </row>
    <row r="2503">
      <c r="D2503" s="11" t="n"/>
      <c r="K2503" s="7">
        <f>IF($C2503="","",J2503*W2503/100)</f>
        <v/>
      </c>
      <c r="Q2503" s="7" t="n"/>
      <c r="R2503" s="7" t="n"/>
      <c r="U2503">
        <f>IF($C2503="","",IF($AJ2503=1,0,IF($AI2503=1,Settings!$C$6,Settings!$C$7))*100)</f>
        <v/>
      </c>
      <c r="V2503" s="7">
        <f>IF($C2503="","",R2503*U2503/100)</f>
        <v/>
      </c>
      <c r="W2503" s="7">
        <f>IF($C2503="","",R2503-V2503)</f>
        <v/>
      </c>
      <c r="X2503" s="7">
        <f>IF($C2503="","",W2503-K2503)</f>
        <v/>
      </c>
      <c r="AB2503" s="7" t="n"/>
      <c r="AE2503" s="11" t="n"/>
      <c r="AG2503">
        <f>IF($C2503="","",IF(COUNTIF($C$2:$C2503,$C2503)=1,1,0))</f>
        <v/>
      </c>
      <c r="AH2503">
        <f>IF($AG2503=1,SUMPRODUCT(--($AK$2:$AK$6001&lt;$AK2503))+1,"")</f>
        <v/>
      </c>
      <c r="AI2503">
        <f>IF($C2503="","",IF(OR($N2503=TRUE(),$N2503="TRUE"),1,0))</f>
        <v/>
      </c>
      <c r="AJ2503">
        <f>IF($C2503="","",IF($T2503="Yes",1,0))</f>
        <v/>
      </c>
      <c r="AK2503">
        <f>IF($AG2503=1,IFERROR(IF(VALUE($C2503)&lt;100000000,VALUE($C2503),1000000000),IFERROR(IF(VALUE(MID($C2503,2,20))&lt;100000000,VALUE(MID($C2503,2,20)),1000000000),1000000000))+ROW()/100000,"")</f>
        <v/>
      </c>
    </row>
    <row r="2504">
      <c r="D2504" s="11" t="n"/>
      <c r="K2504" s="7">
        <f>IF($C2504="","",J2504*W2504/100)</f>
        <v/>
      </c>
      <c r="Q2504" s="7" t="n"/>
      <c r="R2504" s="7" t="n"/>
      <c r="U2504">
        <f>IF($C2504="","",IF($AJ2504=1,0,IF($AI2504=1,Settings!$C$6,Settings!$C$7))*100)</f>
        <v/>
      </c>
      <c r="V2504" s="7">
        <f>IF($C2504="","",R2504*U2504/100)</f>
        <v/>
      </c>
      <c r="W2504" s="7">
        <f>IF($C2504="","",R2504-V2504)</f>
        <v/>
      </c>
      <c r="X2504" s="7">
        <f>IF($C2504="","",W2504-K2504)</f>
        <v/>
      </c>
      <c r="AB2504" s="7" t="n"/>
      <c r="AE2504" s="11" t="n"/>
      <c r="AG2504">
        <f>IF($C2504="","",IF(COUNTIF($C$2:$C2504,$C2504)=1,1,0))</f>
        <v/>
      </c>
      <c r="AH2504">
        <f>IF($AG2504=1,SUMPRODUCT(--($AK$2:$AK$6001&lt;$AK2504))+1,"")</f>
        <v/>
      </c>
      <c r="AI2504">
        <f>IF($C2504="","",IF(OR($N2504=TRUE(),$N2504="TRUE"),1,0))</f>
        <v/>
      </c>
      <c r="AJ2504">
        <f>IF($C2504="","",IF($T2504="Yes",1,0))</f>
        <v/>
      </c>
      <c r="AK2504">
        <f>IF($AG2504=1,IFERROR(IF(VALUE($C2504)&lt;100000000,VALUE($C2504),1000000000),IFERROR(IF(VALUE(MID($C2504,2,20))&lt;100000000,VALUE(MID($C2504,2,20)),1000000000),1000000000))+ROW()/100000,"")</f>
        <v/>
      </c>
    </row>
    <row r="2505">
      <c r="D2505" s="11" t="n"/>
      <c r="K2505" s="7">
        <f>IF($C2505="","",J2505*W2505/100)</f>
        <v/>
      </c>
      <c r="Q2505" s="7" t="n"/>
      <c r="R2505" s="7" t="n"/>
      <c r="U2505">
        <f>IF($C2505="","",IF($AJ2505=1,0,IF($AI2505=1,Settings!$C$6,Settings!$C$7))*100)</f>
        <v/>
      </c>
      <c r="V2505" s="7">
        <f>IF($C2505="","",R2505*U2505/100)</f>
        <v/>
      </c>
      <c r="W2505" s="7">
        <f>IF($C2505="","",R2505-V2505)</f>
        <v/>
      </c>
      <c r="X2505" s="7">
        <f>IF($C2505="","",W2505-K2505)</f>
        <v/>
      </c>
      <c r="AB2505" s="7" t="n"/>
      <c r="AE2505" s="11" t="n"/>
      <c r="AG2505">
        <f>IF($C2505="","",IF(COUNTIF($C$2:$C2505,$C2505)=1,1,0))</f>
        <v/>
      </c>
      <c r="AH2505">
        <f>IF($AG2505=1,SUMPRODUCT(--($AK$2:$AK$6001&lt;$AK2505))+1,"")</f>
        <v/>
      </c>
      <c r="AI2505">
        <f>IF($C2505="","",IF(OR($N2505=TRUE(),$N2505="TRUE"),1,0))</f>
        <v/>
      </c>
      <c r="AJ2505">
        <f>IF($C2505="","",IF($T2505="Yes",1,0))</f>
        <v/>
      </c>
      <c r="AK2505">
        <f>IF($AG2505=1,IFERROR(IF(VALUE($C2505)&lt;100000000,VALUE($C2505),1000000000),IFERROR(IF(VALUE(MID($C2505,2,20))&lt;100000000,VALUE(MID($C2505,2,20)),1000000000),1000000000))+ROW()/100000,"")</f>
        <v/>
      </c>
    </row>
    <row r="2506">
      <c r="D2506" s="11" t="n"/>
      <c r="K2506" s="7">
        <f>IF($C2506="","",J2506*W2506/100)</f>
        <v/>
      </c>
      <c r="Q2506" s="7" t="n"/>
      <c r="R2506" s="7" t="n"/>
      <c r="U2506">
        <f>IF($C2506="","",IF($AJ2506=1,0,IF($AI2506=1,Settings!$C$6,Settings!$C$7))*100)</f>
        <v/>
      </c>
      <c r="V2506" s="7">
        <f>IF($C2506="","",R2506*U2506/100)</f>
        <v/>
      </c>
      <c r="W2506" s="7">
        <f>IF($C2506="","",R2506-V2506)</f>
        <v/>
      </c>
      <c r="X2506" s="7">
        <f>IF($C2506="","",W2506-K2506)</f>
        <v/>
      </c>
      <c r="AB2506" s="7" t="n"/>
      <c r="AE2506" s="11" t="n"/>
      <c r="AG2506">
        <f>IF($C2506="","",IF(COUNTIF($C$2:$C2506,$C2506)=1,1,0))</f>
        <v/>
      </c>
      <c r="AH2506">
        <f>IF($AG2506=1,SUMPRODUCT(--($AK$2:$AK$6001&lt;$AK2506))+1,"")</f>
        <v/>
      </c>
      <c r="AI2506">
        <f>IF($C2506="","",IF(OR($N2506=TRUE(),$N2506="TRUE"),1,0))</f>
        <v/>
      </c>
      <c r="AJ2506">
        <f>IF($C2506="","",IF($T2506="Yes",1,0))</f>
        <v/>
      </c>
      <c r="AK2506">
        <f>IF($AG2506=1,IFERROR(IF(VALUE($C2506)&lt;100000000,VALUE($C2506),1000000000),IFERROR(IF(VALUE(MID($C2506,2,20))&lt;100000000,VALUE(MID($C2506,2,20)),1000000000),1000000000))+ROW()/100000,"")</f>
        <v/>
      </c>
    </row>
    <row r="2507">
      <c r="D2507" s="11" t="n"/>
      <c r="K2507" s="7">
        <f>IF($C2507="","",J2507*W2507/100)</f>
        <v/>
      </c>
      <c r="Q2507" s="7" t="n"/>
      <c r="R2507" s="7" t="n"/>
      <c r="U2507">
        <f>IF($C2507="","",IF($AJ2507=1,0,IF($AI2507=1,Settings!$C$6,Settings!$C$7))*100)</f>
        <v/>
      </c>
      <c r="V2507" s="7">
        <f>IF($C2507="","",R2507*U2507/100)</f>
        <v/>
      </c>
      <c r="W2507" s="7">
        <f>IF($C2507="","",R2507-V2507)</f>
        <v/>
      </c>
      <c r="X2507" s="7">
        <f>IF($C2507="","",W2507-K2507)</f>
        <v/>
      </c>
      <c r="AB2507" s="7" t="n"/>
      <c r="AE2507" s="11" t="n"/>
      <c r="AG2507">
        <f>IF($C2507="","",IF(COUNTIF($C$2:$C2507,$C2507)=1,1,0))</f>
        <v/>
      </c>
      <c r="AH2507">
        <f>IF($AG2507=1,SUMPRODUCT(--($AK$2:$AK$6001&lt;$AK2507))+1,"")</f>
        <v/>
      </c>
      <c r="AI2507">
        <f>IF($C2507="","",IF(OR($N2507=TRUE(),$N2507="TRUE"),1,0))</f>
        <v/>
      </c>
      <c r="AJ2507">
        <f>IF($C2507="","",IF($T2507="Yes",1,0))</f>
        <v/>
      </c>
      <c r="AK2507">
        <f>IF($AG2507=1,IFERROR(IF(VALUE($C2507)&lt;100000000,VALUE($C2507),1000000000),IFERROR(IF(VALUE(MID($C2507,2,20))&lt;100000000,VALUE(MID($C2507,2,20)),1000000000),1000000000))+ROW()/100000,"")</f>
        <v/>
      </c>
    </row>
    <row r="2508">
      <c r="D2508" s="11" t="n"/>
      <c r="K2508" s="7">
        <f>IF($C2508="","",J2508*W2508/100)</f>
        <v/>
      </c>
      <c r="Q2508" s="7" t="n"/>
      <c r="R2508" s="7" t="n"/>
      <c r="U2508">
        <f>IF($C2508="","",IF($AJ2508=1,0,IF($AI2508=1,Settings!$C$6,Settings!$C$7))*100)</f>
        <v/>
      </c>
      <c r="V2508" s="7">
        <f>IF($C2508="","",R2508*U2508/100)</f>
        <v/>
      </c>
      <c r="W2508" s="7">
        <f>IF($C2508="","",R2508-V2508)</f>
        <v/>
      </c>
      <c r="X2508" s="7">
        <f>IF($C2508="","",W2508-K2508)</f>
        <v/>
      </c>
      <c r="AB2508" s="7" t="n"/>
      <c r="AE2508" s="11" t="n"/>
      <c r="AG2508">
        <f>IF($C2508="","",IF(COUNTIF($C$2:$C2508,$C2508)=1,1,0))</f>
        <v/>
      </c>
      <c r="AH2508">
        <f>IF($AG2508=1,SUMPRODUCT(--($AK$2:$AK$6001&lt;$AK2508))+1,"")</f>
        <v/>
      </c>
      <c r="AI2508">
        <f>IF($C2508="","",IF(OR($N2508=TRUE(),$N2508="TRUE"),1,0))</f>
        <v/>
      </c>
      <c r="AJ2508">
        <f>IF($C2508="","",IF($T2508="Yes",1,0))</f>
        <v/>
      </c>
      <c r="AK2508">
        <f>IF($AG2508=1,IFERROR(IF(VALUE($C2508)&lt;100000000,VALUE($C2508),1000000000),IFERROR(IF(VALUE(MID($C2508,2,20))&lt;100000000,VALUE(MID($C2508,2,20)),1000000000),1000000000))+ROW()/100000,"")</f>
        <v/>
      </c>
    </row>
    <row r="2509">
      <c r="D2509" s="11" t="n"/>
      <c r="K2509" s="7">
        <f>IF($C2509="","",J2509*W2509/100)</f>
        <v/>
      </c>
      <c r="Q2509" s="7" t="n"/>
      <c r="R2509" s="7" t="n"/>
      <c r="U2509">
        <f>IF($C2509="","",IF($AJ2509=1,0,IF($AI2509=1,Settings!$C$6,Settings!$C$7))*100)</f>
        <v/>
      </c>
      <c r="V2509" s="7">
        <f>IF($C2509="","",R2509*U2509/100)</f>
        <v/>
      </c>
      <c r="W2509" s="7">
        <f>IF($C2509="","",R2509-V2509)</f>
        <v/>
      </c>
      <c r="X2509" s="7">
        <f>IF($C2509="","",W2509-K2509)</f>
        <v/>
      </c>
      <c r="AB2509" s="7" t="n"/>
      <c r="AE2509" s="11" t="n"/>
      <c r="AG2509">
        <f>IF($C2509="","",IF(COUNTIF($C$2:$C2509,$C2509)=1,1,0))</f>
        <v/>
      </c>
      <c r="AH2509">
        <f>IF($AG2509=1,SUMPRODUCT(--($AK$2:$AK$6001&lt;$AK2509))+1,"")</f>
        <v/>
      </c>
      <c r="AI2509">
        <f>IF($C2509="","",IF(OR($N2509=TRUE(),$N2509="TRUE"),1,0))</f>
        <v/>
      </c>
      <c r="AJ2509">
        <f>IF($C2509="","",IF($T2509="Yes",1,0))</f>
        <v/>
      </c>
      <c r="AK2509">
        <f>IF($AG2509=1,IFERROR(IF(VALUE($C2509)&lt;100000000,VALUE($C2509),1000000000),IFERROR(IF(VALUE(MID($C2509,2,20))&lt;100000000,VALUE(MID($C2509,2,20)),1000000000),1000000000))+ROW()/100000,"")</f>
        <v/>
      </c>
    </row>
    <row r="2510">
      <c r="D2510" s="11" t="n"/>
      <c r="K2510" s="7">
        <f>IF($C2510="","",J2510*W2510/100)</f>
        <v/>
      </c>
      <c r="Q2510" s="7" t="n"/>
      <c r="R2510" s="7" t="n"/>
      <c r="U2510">
        <f>IF($C2510="","",IF($AJ2510=1,0,IF($AI2510=1,Settings!$C$6,Settings!$C$7))*100)</f>
        <v/>
      </c>
      <c r="V2510" s="7">
        <f>IF($C2510="","",R2510*U2510/100)</f>
        <v/>
      </c>
      <c r="W2510" s="7">
        <f>IF($C2510="","",R2510-V2510)</f>
        <v/>
      </c>
      <c r="X2510" s="7">
        <f>IF($C2510="","",W2510-K2510)</f>
        <v/>
      </c>
      <c r="AB2510" s="7" t="n"/>
      <c r="AE2510" s="11" t="n"/>
      <c r="AG2510">
        <f>IF($C2510="","",IF(COUNTIF($C$2:$C2510,$C2510)=1,1,0))</f>
        <v/>
      </c>
      <c r="AH2510">
        <f>IF($AG2510=1,SUMPRODUCT(--($AK$2:$AK$6001&lt;$AK2510))+1,"")</f>
        <v/>
      </c>
      <c r="AI2510">
        <f>IF($C2510="","",IF(OR($N2510=TRUE(),$N2510="TRUE"),1,0))</f>
        <v/>
      </c>
      <c r="AJ2510">
        <f>IF($C2510="","",IF($T2510="Yes",1,0))</f>
        <v/>
      </c>
      <c r="AK2510">
        <f>IF($AG2510=1,IFERROR(IF(VALUE($C2510)&lt;100000000,VALUE($C2510),1000000000),IFERROR(IF(VALUE(MID($C2510,2,20))&lt;100000000,VALUE(MID($C2510,2,20)),1000000000),1000000000))+ROW()/100000,"")</f>
        <v/>
      </c>
    </row>
    <row r="2511">
      <c r="D2511" s="11" t="n"/>
      <c r="K2511" s="7">
        <f>IF($C2511="","",J2511*W2511/100)</f>
        <v/>
      </c>
      <c r="Q2511" s="7" t="n"/>
      <c r="R2511" s="7" t="n"/>
      <c r="U2511">
        <f>IF($C2511="","",IF($AJ2511=1,0,IF($AI2511=1,Settings!$C$6,Settings!$C$7))*100)</f>
        <v/>
      </c>
      <c r="V2511" s="7">
        <f>IF($C2511="","",R2511*U2511/100)</f>
        <v/>
      </c>
      <c r="W2511" s="7">
        <f>IF($C2511="","",R2511-V2511)</f>
        <v/>
      </c>
      <c r="X2511" s="7">
        <f>IF($C2511="","",W2511-K2511)</f>
        <v/>
      </c>
      <c r="AB2511" s="7" t="n"/>
      <c r="AE2511" s="11" t="n"/>
      <c r="AG2511">
        <f>IF($C2511="","",IF(COUNTIF($C$2:$C2511,$C2511)=1,1,0))</f>
        <v/>
      </c>
      <c r="AH2511">
        <f>IF($AG2511=1,SUMPRODUCT(--($AK$2:$AK$6001&lt;$AK2511))+1,"")</f>
        <v/>
      </c>
      <c r="AI2511">
        <f>IF($C2511="","",IF(OR($N2511=TRUE(),$N2511="TRUE"),1,0))</f>
        <v/>
      </c>
      <c r="AJ2511">
        <f>IF($C2511="","",IF($T2511="Yes",1,0))</f>
        <v/>
      </c>
      <c r="AK2511">
        <f>IF($AG2511=1,IFERROR(IF(VALUE($C2511)&lt;100000000,VALUE($C2511),1000000000),IFERROR(IF(VALUE(MID($C2511,2,20))&lt;100000000,VALUE(MID($C2511,2,20)),1000000000),1000000000))+ROW()/100000,"")</f>
        <v/>
      </c>
    </row>
    <row r="2512">
      <c r="D2512" s="11" t="n"/>
      <c r="K2512" s="7">
        <f>IF($C2512="","",J2512*W2512/100)</f>
        <v/>
      </c>
      <c r="Q2512" s="7" t="n"/>
      <c r="R2512" s="7" t="n"/>
      <c r="U2512">
        <f>IF($C2512="","",IF($AJ2512=1,0,IF($AI2512=1,Settings!$C$6,Settings!$C$7))*100)</f>
        <v/>
      </c>
      <c r="V2512" s="7">
        <f>IF($C2512="","",R2512*U2512/100)</f>
        <v/>
      </c>
      <c r="W2512" s="7">
        <f>IF($C2512="","",R2512-V2512)</f>
        <v/>
      </c>
      <c r="X2512" s="7">
        <f>IF($C2512="","",W2512-K2512)</f>
        <v/>
      </c>
      <c r="AB2512" s="7" t="n"/>
      <c r="AE2512" s="11" t="n"/>
      <c r="AG2512">
        <f>IF($C2512="","",IF(COUNTIF($C$2:$C2512,$C2512)=1,1,0))</f>
        <v/>
      </c>
      <c r="AH2512">
        <f>IF($AG2512=1,SUMPRODUCT(--($AK$2:$AK$6001&lt;$AK2512))+1,"")</f>
        <v/>
      </c>
      <c r="AI2512">
        <f>IF($C2512="","",IF(OR($N2512=TRUE(),$N2512="TRUE"),1,0))</f>
        <v/>
      </c>
      <c r="AJ2512">
        <f>IF($C2512="","",IF($T2512="Yes",1,0))</f>
        <v/>
      </c>
      <c r="AK2512">
        <f>IF($AG2512=1,IFERROR(IF(VALUE($C2512)&lt;100000000,VALUE($C2512),1000000000),IFERROR(IF(VALUE(MID($C2512,2,20))&lt;100000000,VALUE(MID($C2512,2,20)),1000000000),1000000000))+ROW()/100000,"")</f>
        <v/>
      </c>
    </row>
    <row r="2513">
      <c r="D2513" s="11" t="n"/>
      <c r="K2513" s="7">
        <f>IF($C2513="","",J2513*W2513/100)</f>
        <v/>
      </c>
      <c r="Q2513" s="7" t="n"/>
      <c r="R2513" s="7" t="n"/>
      <c r="U2513">
        <f>IF($C2513="","",IF($AJ2513=1,0,IF($AI2513=1,Settings!$C$6,Settings!$C$7))*100)</f>
        <v/>
      </c>
      <c r="V2513" s="7">
        <f>IF($C2513="","",R2513*U2513/100)</f>
        <v/>
      </c>
      <c r="W2513" s="7">
        <f>IF($C2513="","",R2513-V2513)</f>
        <v/>
      </c>
      <c r="X2513" s="7">
        <f>IF($C2513="","",W2513-K2513)</f>
        <v/>
      </c>
      <c r="AB2513" s="7" t="n"/>
      <c r="AE2513" s="11" t="n"/>
      <c r="AG2513">
        <f>IF($C2513="","",IF(COUNTIF($C$2:$C2513,$C2513)=1,1,0))</f>
        <v/>
      </c>
      <c r="AH2513">
        <f>IF($AG2513=1,SUMPRODUCT(--($AK$2:$AK$6001&lt;$AK2513))+1,"")</f>
        <v/>
      </c>
      <c r="AI2513">
        <f>IF($C2513="","",IF(OR($N2513=TRUE(),$N2513="TRUE"),1,0))</f>
        <v/>
      </c>
      <c r="AJ2513">
        <f>IF($C2513="","",IF($T2513="Yes",1,0))</f>
        <v/>
      </c>
      <c r="AK2513">
        <f>IF($AG2513=1,IFERROR(IF(VALUE($C2513)&lt;100000000,VALUE($C2513),1000000000),IFERROR(IF(VALUE(MID($C2513,2,20))&lt;100000000,VALUE(MID($C2513,2,20)),1000000000),1000000000))+ROW()/100000,"")</f>
        <v/>
      </c>
    </row>
    <row r="2514">
      <c r="D2514" s="11" t="n"/>
      <c r="K2514" s="7">
        <f>IF($C2514="","",J2514*W2514/100)</f>
        <v/>
      </c>
      <c r="Q2514" s="7" t="n"/>
      <c r="R2514" s="7" t="n"/>
      <c r="U2514">
        <f>IF($C2514="","",IF($AJ2514=1,0,IF($AI2514=1,Settings!$C$6,Settings!$C$7))*100)</f>
        <v/>
      </c>
      <c r="V2514" s="7">
        <f>IF($C2514="","",R2514*U2514/100)</f>
        <v/>
      </c>
      <c r="W2514" s="7">
        <f>IF($C2514="","",R2514-V2514)</f>
        <v/>
      </c>
      <c r="X2514" s="7">
        <f>IF($C2514="","",W2514-K2514)</f>
        <v/>
      </c>
      <c r="AB2514" s="7" t="n"/>
      <c r="AE2514" s="11" t="n"/>
      <c r="AG2514">
        <f>IF($C2514="","",IF(COUNTIF($C$2:$C2514,$C2514)=1,1,0))</f>
        <v/>
      </c>
      <c r="AH2514">
        <f>IF($AG2514=1,SUMPRODUCT(--($AK$2:$AK$6001&lt;$AK2514))+1,"")</f>
        <v/>
      </c>
      <c r="AI2514">
        <f>IF($C2514="","",IF(OR($N2514=TRUE(),$N2514="TRUE"),1,0))</f>
        <v/>
      </c>
      <c r="AJ2514">
        <f>IF($C2514="","",IF($T2514="Yes",1,0))</f>
        <v/>
      </c>
      <c r="AK2514">
        <f>IF($AG2514=1,IFERROR(IF(VALUE($C2514)&lt;100000000,VALUE($C2514),1000000000),IFERROR(IF(VALUE(MID($C2514,2,20))&lt;100000000,VALUE(MID($C2514,2,20)),1000000000),1000000000))+ROW()/100000,"")</f>
        <v/>
      </c>
    </row>
    <row r="2515">
      <c r="D2515" s="11" t="n"/>
      <c r="K2515" s="7">
        <f>IF($C2515="","",J2515*W2515/100)</f>
        <v/>
      </c>
      <c r="Q2515" s="7" t="n"/>
      <c r="R2515" s="7" t="n"/>
      <c r="U2515">
        <f>IF($C2515="","",IF($AJ2515=1,0,IF($AI2515=1,Settings!$C$6,Settings!$C$7))*100)</f>
        <v/>
      </c>
      <c r="V2515" s="7">
        <f>IF($C2515="","",R2515*U2515/100)</f>
        <v/>
      </c>
      <c r="W2515" s="7">
        <f>IF($C2515="","",R2515-V2515)</f>
        <v/>
      </c>
      <c r="X2515" s="7">
        <f>IF($C2515="","",W2515-K2515)</f>
        <v/>
      </c>
      <c r="AB2515" s="7" t="n"/>
      <c r="AE2515" s="11" t="n"/>
      <c r="AG2515">
        <f>IF($C2515="","",IF(COUNTIF($C$2:$C2515,$C2515)=1,1,0))</f>
        <v/>
      </c>
      <c r="AH2515">
        <f>IF($AG2515=1,SUMPRODUCT(--($AK$2:$AK$6001&lt;$AK2515))+1,"")</f>
        <v/>
      </c>
      <c r="AI2515">
        <f>IF($C2515="","",IF(OR($N2515=TRUE(),$N2515="TRUE"),1,0))</f>
        <v/>
      </c>
      <c r="AJ2515">
        <f>IF($C2515="","",IF($T2515="Yes",1,0))</f>
        <v/>
      </c>
      <c r="AK2515">
        <f>IF($AG2515=1,IFERROR(IF(VALUE($C2515)&lt;100000000,VALUE($C2515),1000000000),IFERROR(IF(VALUE(MID($C2515,2,20))&lt;100000000,VALUE(MID($C2515,2,20)),1000000000),1000000000))+ROW()/100000,"")</f>
        <v/>
      </c>
    </row>
    <row r="2516">
      <c r="D2516" s="11" t="n"/>
      <c r="K2516" s="7">
        <f>IF($C2516="","",J2516*W2516/100)</f>
        <v/>
      </c>
      <c r="Q2516" s="7" t="n"/>
      <c r="R2516" s="7" t="n"/>
      <c r="U2516">
        <f>IF($C2516="","",IF($AJ2516=1,0,IF($AI2516=1,Settings!$C$6,Settings!$C$7))*100)</f>
        <v/>
      </c>
      <c r="V2516" s="7">
        <f>IF($C2516="","",R2516*U2516/100)</f>
        <v/>
      </c>
      <c r="W2516" s="7">
        <f>IF($C2516="","",R2516-V2516)</f>
        <v/>
      </c>
      <c r="X2516" s="7">
        <f>IF($C2516="","",W2516-K2516)</f>
        <v/>
      </c>
      <c r="AB2516" s="7" t="n"/>
      <c r="AE2516" s="11" t="n"/>
      <c r="AG2516">
        <f>IF($C2516="","",IF(COUNTIF($C$2:$C2516,$C2516)=1,1,0))</f>
        <v/>
      </c>
      <c r="AH2516">
        <f>IF($AG2516=1,SUMPRODUCT(--($AK$2:$AK$6001&lt;$AK2516))+1,"")</f>
        <v/>
      </c>
      <c r="AI2516">
        <f>IF($C2516="","",IF(OR($N2516=TRUE(),$N2516="TRUE"),1,0))</f>
        <v/>
      </c>
      <c r="AJ2516">
        <f>IF($C2516="","",IF($T2516="Yes",1,0))</f>
        <v/>
      </c>
      <c r="AK2516">
        <f>IF($AG2516=1,IFERROR(IF(VALUE($C2516)&lt;100000000,VALUE($C2516),1000000000),IFERROR(IF(VALUE(MID($C2516,2,20))&lt;100000000,VALUE(MID($C2516,2,20)),1000000000),1000000000))+ROW()/100000,"")</f>
        <v/>
      </c>
    </row>
    <row r="2517">
      <c r="D2517" s="11" t="n"/>
      <c r="K2517" s="7">
        <f>IF($C2517="","",J2517*W2517/100)</f>
        <v/>
      </c>
      <c r="Q2517" s="7" t="n"/>
      <c r="R2517" s="7" t="n"/>
      <c r="U2517">
        <f>IF($C2517="","",IF($AJ2517=1,0,IF($AI2517=1,Settings!$C$6,Settings!$C$7))*100)</f>
        <v/>
      </c>
      <c r="V2517" s="7">
        <f>IF($C2517="","",R2517*U2517/100)</f>
        <v/>
      </c>
      <c r="W2517" s="7">
        <f>IF($C2517="","",R2517-V2517)</f>
        <v/>
      </c>
      <c r="X2517" s="7">
        <f>IF($C2517="","",W2517-K2517)</f>
        <v/>
      </c>
      <c r="AB2517" s="7" t="n"/>
      <c r="AE2517" s="11" t="n"/>
      <c r="AG2517">
        <f>IF($C2517="","",IF(COUNTIF($C$2:$C2517,$C2517)=1,1,0))</f>
        <v/>
      </c>
      <c r="AH2517">
        <f>IF($AG2517=1,SUMPRODUCT(--($AK$2:$AK$6001&lt;$AK2517))+1,"")</f>
        <v/>
      </c>
      <c r="AI2517">
        <f>IF($C2517="","",IF(OR($N2517=TRUE(),$N2517="TRUE"),1,0))</f>
        <v/>
      </c>
      <c r="AJ2517">
        <f>IF($C2517="","",IF($T2517="Yes",1,0))</f>
        <v/>
      </c>
      <c r="AK2517">
        <f>IF($AG2517=1,IFERROR(IF(VALUE($C2517)&lt;100000000,VALUE($C2517),1000000000),IFERROR(IF(VALUE(MID($C2517,2,20))&lt;100000000,VALUE(MID($C2517,2,20)),1000000000),1000000000))+ROW()/100000,"")</f>
        <v/>
      </c>
    </row>
    <row r="2518">
      <c r="D2518" s="11" t="n"/>
      <c r="K2518" s="7">
        <f>IF($C2518="","",J2518*W2518/100)</f>
        <v/>
      </c>
      <c r="Q2518" s="7" t="n"/>
      <c r="R2518" s="7" t="n"/>
      <c r="U2518">
        <f>IF($C2518="","",IF($AJ2518=1,0,IF($AI2518=1,Settings!$C$6,Settings!$C$7))*100)</f>
        <v/>
      </c>
      <c r="V2518" s="7">
        <f>IF($C2518="","",R2518*U2518/100)</f>
        <v/>
      </c>
      <c r="W2518" s="7">
        <f>IF($C2518="","",R2518-V2518)</f>
        <v/>
      </c>
      <c r="X2518" s="7">
        <f>IF($C2518="","",W2518-K2518)</f>
        <v/>
      </c>
      <c r="AB2518" s="7" t="n"/>
      <c r="AE2518" s="11" t="n"/>
      <c r="AG2518">
        <f>IF($C2518="","",IF(COUNTIF($C$2:$C2518,$C2518)=1,1,0))</f>
        <v/>
      </c>
      <c r="AH2518">
        <f>IF($AG2518=1,SUMPRODUCT(--($AK$2:$AK$6001&lt;$AK2518))+1,"")</f>
        <v/>
      </c>
      <c r="AI2518">
        <f>IF($C2518="","",IF(OR($N2518=TRUE(),$N2518="TRUE"),1,0))</f>
        <v/>
      </c>
      <c r="AJ2518">
        <f>IF($C2518="","",IF($T2518="Yes",1,0))</f>
        <v/>
      </c>
      <c r="AK2518">
        <f>IF($AG2518=1,IFERROR(IF(VALUE($C2518)&lt;100000000,VALUE($C2518),1000000000),IFERROR(IF(VALUE(MID($C2518,2,20))&lt;100000000,VALUE(MID($C2518,2,20)),1000000000),1000000000))+ROW()/100000,"")</f>
        <v/>
      </c>
    </row>
    <row r="2519">
      <c r="D2519" s="11" t="n"/>
      <c r="K2519" s="7">
        <f>IF($C2519="","",J2519*W2519/100)</f>
        <v/>
      </c>
      <c r="Q2519" s="7" t="n"/>
      <c r="R2519" s="7" t="n"/>
      <c r="U2519">
        <f>IF($C2519="","",IF($AJ2519=1,0,IF($AI2519=1,Settings!$C$6,Settings!$C$7))*100)</f>
        <v/>
      </c>
      <c r="V2519" s="7">
        <f>IF($C2519="","",R2519*U2519/100)</f>
        <v/>
      </c>
      <c r="W2519" s="7">
        <f>IF($C2519="","",R2519-V2519)</f>
        <v/>
      </c>
      <c r="X2519" s="7">
        <f>IF($C2519="","",W2519-K2519)</f>
        <v/>
      </c>
      <c r="AB2519" s="7" t="n"/>
      <c r="AE2519" s="11" t="n"/>
      <c r="AG2519">
        <f>IF($C2519="","",IF(COUNTIF($C$2:$C2519,$C2519)=1,1,0))</f>
        <v/>
      </c>
      <c r="AH2519">
        <f>IF($AG2519=1,SUMPRODUCT(--($AK$2:$AK$6001&lt;$AK2519))+1,"")</f>
        <v/>
      </c>
      <c r="AI2519">
        <f>IF($C2519="","",IF(OR($N2519=TRUE(),$N2519="TRUE"),1,0))</f>
        <v/>
      </c>
      <c r="AJ2519">
        <f>IF($C2519="","",IF($T2519="Yes",1,0))</f>
        <v/>
      </c>
      <c r="AK2519">
        <f>IF($AG2519=1,IFERROR(IF(VALUE($C2519)&lt;100000000,VALUE($C2519),1000000000),IFERROR(IF(VALUE(MID($C2519,2,20))&lt;100000000,VALUE(MID($C2519,2,20)),1000000000),1000000000))+ROW()/100000,"")</f>
        <v/>
      </c>
    </row>
    <row r="2520">
      <c r="D2520" s="11" t="n"/>
      <c r="K2520" s="7">
        <f>IF($C2520="","",J2520*W2520/100)</f>
        <v/>
      </c>
      <c r="Q2520" s="7" t="n"/>
      <c r="R2520" s="7" t="n"/>
      <c r="U2520">
        <f>IF($C2520="","",IF($AJ2520=1,0,IF($AI2520=1,Settings!$C$6,Settings!$C$7))*100)</f>
        <v/>
      </c>
      <c r="V2520" s="7">
        <f>IF($C2520="","",R2520*U2520/100)</f>
        <v/>
      </c>
      <c r="W2520" s="7">
        <f>IF($C2520="","",R2520-V2520)</f>
        <v/>
      </c>
      <c r="X2520" s="7">
        <f>IF($C2520="","",W2520-K2520)</f>
        <v/>
      </c>
      <c r="AB2520" s="7" t="n"/>
      <c r="AE2520" s="11" t="n"/>
      <c r="AG2520">
        <f>IF($C2520="","",IF(COUNTIF($C$2:$C2520,$C2520)=1,1,0))</f>
        <v/>
      </c>
      <c r="AH2520">
        <f>IF($AG2520=1,SUMPRODUCT(--($AK$2:$AK$6001&lt;$AK2520))+1,"")</f>
        <v/>
      </c>
      <c r="AI2520">
        <f>IF($C2520="","",IF(OR($N2520=TRUE(),$N2520="TRUE"),1,0))</f>
        <v/>
      </c>
      <c r="AJ2520">
        <f>IF($C2520="","",IF($T2520="Yes",1,0))</f>
        <v/>
      </c>
      <c r="AK2520">
        <f>IF($AG2520=1,IFERROR(IF(VALUE($C2520)&lt;100000000,VALUE($C2520),1000000000),IFERROR(IF(VALUE(MID($C2520,2,20))&lt;100000000,VALUE(MID($C2520,2,20)),1000000000),1000000000))+ROW()/100000,"")</f>
        <v/>
      </c>
    </row>
    <row r="2521">
      <c r="D2521" s="11" t="n"/>
      <c r="K2521" s="7">
        <f>IF($C2521="","",J2521*W2521/100)</f>
        <v/>
      </c>
      <c r="Q2521" s="7" t="n"/>
      <c r="R2521" s="7" t="n"/>
      <c r="U2521">
        <f>IF($C2521="","",IF($AJ2521=1,0,IF($AI2521=1,Settings!$C$6,Settings!$C$7))*100)</f>
        <v/>
      </c>
      <c r="V2521" s="7">
        <f>IF($C2521="","",R2521*U2521/100)</f>
        <v/>
      </c>
      <c r="W2521" s="7">
        <f>IF($C2521="","",R2521-V2521)</f>
        <v/>
      </c>
      <c r="X2521" s="7">
        <f>IF($C2521="","",W2521-K2521)</f>
        <v/>
      </c>
      <c r="AB2521" s="7" t="n"/>
      <c r="AE2521" s="11" t="n"/>
      <c r="AG2521">
        <f>IF($C2521="","",IF(COUNTIF($C$2:$C2521,$C2521)=1,1,0))</f>
        <v/>
      </c>
      <c r="AH2521">
        <f>IF($AG2521=1,SUMPRODUCT(--($AK$2:$AK$6001&lt;$AK2521))+1,"")</f>
        <v/>
      </c>
      <c r="AI2521">
        <f>IF($C2521="","",IF(OR($N2521=TRUE(),$N2521="TRUE"),1,0))</f>
        <v/>
      </c>
      <c r="AJ2521">
        <f>IF($C2521="","",IF($T2521="Yes",1,0))</f>
        <v/>
      </c>
      <c r="AK2521">
        <f>IF($AG2521=1,IFERROR(IF(VALUE($C2521)&lt;100000000,VALUE($C2521),1000000000),IFERROR(IF(VALUE(MID($C2521,2,20))&lt;100000000,VALUE(MID($C2521,2,20)),1000000000),1000000000))+ROW()/100000,"")</f>
        <v/>
      </c>
    </row>
    <row r="2522">
      <c r="D2522" s="11" t="n"/>
      <c r="K2522" s="7">
        <f>IF($C2522="","",J2522*W2522/100)</f>
        <v/>
      </c>
      <c r="Q2522" s="7" t="n"/>
      <c r="R2522" s="7" t="n"/>
      <c r="U2522">
        <f>IF($C2522="","",IF($AJ2522=1,0,IF($AI2522=1,Settings!$C$6,Settings!$C$7))*100)</f>
        <v/>
      </c>
      <c r="V2522" s="7">
        <f>IF($C2522="","",R2522*U2522/100)</f>
        <v/>
      </c>
      <c r="W2522" s="7">
        <f>IF($C2522="","",R2522-V2522)</f>
        <v/>
      </c>
      <c r="X2522" s="7">
        <f>IF($C2522="","",W2522-K2522)</f>
        <v/>
      </c>
      <c r="AB2522" s="7" t="n"/>
      <c r="AE2522" s="11" t="n"/>
      <c r="AG2522">
        <f>IF($C2522="","",IF(COUNTIF($C$2:$C2522,$C2522)=1,1,0))</f>
        <v/>
      </c>
      <c r="AH2522">
        <f>IF($AG2522=1,SUMPRODUCT(--($AK$2:$AK$6001&lt;$AK2522))+1,"")</f>
        <v/>
      </c>
      <c r="AI2522">
        <f>IF($C2522="","",IF(OR($N2522=TRUE(),$N2522="TRUE"),1,0))</f>
        <v/>
      </c>
      <c r="AJ2522">
        <f>IF($C2522="","",IF($T2522="Yes",1,0))</f>
        <v/>
      </c>
      <c r="AK2522">
        <f>IF($AG2522=1,IFERROR(IF(VALUE($C2522)&lt;100000000,VALUE($C2522),1000000000),IFERROR(IF(VALUE(MID($C2522,2,20))&lt;100000000,VALUE(MID($C2522,2,20)),1000000000),1000000000))+ROW()/100000,"")</f>
        <v/>
      </c>
    </row>
    <row r="2523">
      <c r="D2523" s="11" t="n"/>
      <c r="K2523" s="7">
        <f>IF($C2523="","",J2523*W2523/100)</f>
        <v/>
      </c>
      <c r="Q2523" s="7" t="n"/>
      <c r="R2523" s="7" t="n"/>
      <c r="U2523">
        <f>IF($C2523="","",IF($AJ2523=1,0,IF($AI2523=1,Settings!$C$6,Settings!$C$7))*100)</f>
        <v/>
      </c>
      <c r="V2523" s="7">
        <f>IF($C2523="","",R2523*U2523/100)</f>
        <v/>
      </c>
      <c r="W2523" s="7">
        <f>IF($C2523="","",R2523-V2523)</f>
        <v/>
      </c>
      <c r="X2523" s="7">
        <f>IF($C2523="","",W2523-K2523)</f>
        <v/>
      </c>
      <c r="AB2523" s="7" t="n"/>
      <c r="AE2523" s="11" t="n"/>
      <c r="AG2523">
        <f>IF($C2523="","",IF(COUNTIF($C$2:$C2523,$C2523)=1,1,0))</f>
        <v/>
      </c>
      <c r="AH2523">
        <f>IF($AG2523=1,SUMPRODUCT(--($AK$2:$AK$6001&lt;$AK2523))+1,"")</f>
        <v/>
      </c>
      <c r="AI2523">
        <f>IF($C2523="","",IF(OR($N2523=TRUE(),$N2523="TRUE"),1,0))</f>
        <v/>
      </c>
      <c r="AJ2523">
        <f>IF($C2523="","",IF($T2523="Yes",1,0))</f>
        <v/>
      </c>
      <c r="AK2523">
        <f>IF($AG2523=1,IFERROR(IF(VALUE($C2523)&lt;100000000,VALUE($C2523),1000000000),IFERROR(IF(VALUE(MID($C2523,2,20))&lt;100000000,VALUE(MID($C2523,2,20)),1000000000),1000000000))+ROW()/100000,"")</f>
        <v/>
      </c>
    </row>
    <row r="2524">
      <c r="D2524" s="11" t="n"/>
      <c r="K2524" s="7">
        <f>IF($C2524="","",J2524*W2524/100)</f>
        <v/>
      </c>
      <c r="Q2524" s="7" t="n"/>
      <c r="R2524" s="7" t="n"/>
      <c r="U2524">
        <f>IF($C2524="","",IF($AJ2524=1,0,IF($AI2524=1,Settings!$C$6,Settings!$C$7))*100)</f>
        <v/>
      </c>
      <c r="V2524" s="7">
        <f>IF($C2524="","",R2524*U2524/100)</f>
        <v/>
      </c>
      <c r="W2524" s="7">
        <f>IF($C2524="","",R2524-V2524)</f>
        <v/>
      </c>
      <c r="X2524" s="7">
        <f>IF($C2524="","",W2524-K2524)</f>
        <v/>
      </c>
      <c r="AB2524" s="7" t="n"/>
      <c r="AE2524" s="11" t="n"/>
      <c r="AG2524">
        <f>IF($C2524="","",IF(COUNTIF($C$2:$C2524,$C2524)=1,1,0))</f>
        <v/>
      </c>
      <c r="AH2524">
        <f>IF($AG2524=1,SUMPRODUCT(--($AK$2:$AK$6001&lt;$AK2524))+1,"")</f>
        <v/>
      </c>
      <c r="AI2524">
        <f>IF($C2524="","",IF(OR($N2524=TRUE(),$N2524="TRUE"),1,0))</f>
        <v/>
      </c>
      <c r="AJ2524">
        <f>IF($C2524="","",IF($T2524="Yes",1,0))</f>
        <v/>
      </c>
      <c r="AK2524">
        <f>IF($AG2524=1,IFERROR(IF(VALUE($C2524)&lt;100000000,VALUE($C2524),1000000000),IFERROR(IF(VALUE(MID($C2524,2,20))&lt;100000000,VALUE(MID($C2524,2,20)),1000000000),1000000000))+ROW()/100000,"")</f>
        <v/>
      </c>
    </row>
    <row r="2525">
      <c r="D2525" s="11" t="n"/>
      <c r="K2525" s="7">
        <f>IF($C2525="","",J2525*W2525/100)</f>
        <v/>
      </c>
      <c r="Q2525" s="7" t="n"/>
      <c r="R2525" s="7" t="n"/>
      <c r="U2525">
        <f>IF($C2525="","",IF($AJ2525=1,0,IF($AI2525=1,Settings!$C$6,Settings!$C$7))*100)</f>
        <v/>
      </c>
      <c r="V2525" s="7">
        <f>IF($C2525="","",R2525*U2525/100)</f>
        <v/>
      </c>
      <c r="W2525" s="7">
        <f>IF($C2525="","",R2525-V2525)</f>
        <v/>
      </c>
      <c r="X2525" s="7">
        <f>IF($C2525="","",W2525-K2525)</f>
        <v/>
      </c>
      <c r="AB2525" s="7" t="n"/>
      <c r="AE2525" s="11" t="n"/>
      <c r="AG2525">
        <f>IF($C2525="","",IF(COUNTIF($C$2:$C2525,$C2525)=1,1,0))</f>
        <v/>
      </c>
      <c r="AH2525">
        <f>IF($AG2525=1,SUMPRODUCT(--($AK$2:$AK$6001&lt;$AK2525))+1,"")</f>
        <v/>
      </c>
      <c r="AI2525">
        <f>IF($C2525="","",IF(OR($N2525=TRUE(),$N2525="TRUE"),1,0))</f>
        <v/>
      </c>
      <c r="AJ2525">
        <f>IF($C2525="","",IF($T2525="Yes",1,0))</f>
        <v/>
      </c>
      <c r="AK2525">
        <f>IF($AG2525=1,IFERROR(IF(VALUE($C2525)&lt;100000000,VALUE($C2525),1000000000),IFERROR(IF(VALUE(MID($C2525,2,20))&lt;100000000,VALUE(MID($C2525,2,20)),1000000000),1000000000))+ROW()/100000,"")</f>
        <v/>
      </c>
    </row>
    <row r="2526">
      <c r="D2526" s="11" t="n"/>
      <c r="K2526" s="7">
        <f>IF($C2526="","",J2526*W2526/100)</f>
        <v/>
      </c>
      <c r="Q2526" s="7" t="n"/>
      <c r="R2526" s="7" t="n"/>
      <c r="U2526">
        <f>IF($C2526="","",IF($AJ2526=1,0,IF($AI2526=1,Settings!$C$6,Settings!$C$7))*100)</f>
        <v/>
      </c>
      <c r="V2526" s="7">
        <f>IF($C2526="","",R2526*U2526/100)</f>
        <v/>
      </c>
      <c r="W2526" s="7">
        <f>IF($C2526="","",R2526-V2526)</f>
        <v/>
      </c>
      <c r="X2526" s="7">
        <f>IF($C2526="","",W2526-K2526)</f>
        <v/>
      </c>
      <c r="AB2526" s="7" t="n"/>
      <c r="AE2526" s="11" t="n"/>
      <c r="AG2526">
        <f>IF($C2526="","",IF(COUNTIF($C$2:$C2526,$C2526)=1,1,0))</f>
        <v/>
      </c>
      <c r="AH2526">
        <f>IF($AG2526=1,SUMPRODUCT(--($AK$2:$AK$6001&lt;$AK2526))+1,"")</f>
        <v/>
      </c>
      <c r="AI2526">
        <f>IF($C2526="","",IF(OR($N2526=TRUE(),$N2526="TRUE"),1,0))</f>
        <v/>
      </c>
      <c r="AJ2526">
        <f>IF($C2526="","",IF($T2526="Yes",1,0))</f>
        <v/>
      </c>
      <c r="AK2526">
        <f>IF($AG2526=1,IFERROR(IF(VALUE($C2526)&lt;100000000,VALUE($C2526),1000000000),IFERROR(IF(VALUE(MID($C2526,2,20))&lt;100000000,VALUE(MID($C2526,2,20)),1000000000),1000000000))+ROW()/100000,"")</f>
        <v/>
      </c>
    </row>
    <row r="2527">
      <c r="D2527" s="11" t="n"/>
      <c r="K2527" s="7">
        <f>IF($C2527="","",J2527*W2527/100)</f>
        <v/>
      </c>
      <c r="Q2527" s="7" t="n"/>
      <c r="R2527" s="7" t="n"/>
      <c r="U2527">
        <f>IF($C2527="","",IF($AJ2527=1,0,IF($AI2527=1,Settings!$C$6,Settings!$C$7))*100)</f>
        <v/>
      </c>
      <c r="V2527" s="7">
        <f>IF($C2527="","",R2527*U2527/100)</f>
        <v/>
      </c>
      <c r="W2527" s="7">
        <f>IF($C2527="","",R2527-V2527)</f>
        <v/>
      </c>
      <c r="X2527" s="7">
        <f>IF($C2527="","",W2527-K2527)</f>
        <v/>
      </c>
      <c r="AB2527" s="7" t="n"/>
      <c r="AE2527" s="11" t="n"/>
      <c r="AG2527">
        <f>IF($C2527="","",IF(COUNTIF($C$2:$C2527,$C2527)=1,1,0))</f>
        <v/>
      </c>
      <c r="AH2527">
        <f>IF($AG2527=1,SUMPRODUCT(--($AK$2:$AK$6001&lt;$AK2527))+1,"")</f>
        <v/>
      </c>
      <c r="AI2527">
        <f>IF($C2527="","",IF(OR($N2527=TRUE(),$N2527="TRUE"),1,0))</f>
        <v/>
      </c>
      <c r="AJ2527">
        <f>IF($C2527="","",IF($T2527="Yes",1,0))</f>
        <v/>
      </c>
      <c r="AK2527">
        <f>IF($AG2527=1,IFERROR(IF(VALUE($C2527)&lt;100000000,VALUE($C2527),1000000000),IFERROR(IF(VALUE(MID($C2527,2,20))&lt;100000000,VALUE(MID($C2527,2,20)),1000000000),1000000000))+ROW()/100000,"")</f>
        <v/>
      </c>
    </row>
    <row r="2528">
      <c r="D2528" s="11" t="n"/>
      <c r="K2528" s="7">
        <f>IF($C2528="","",J2528*W2528/100)</f>
        <v/>
      </c>
      <c r="Q2528" s="7" t="n"/>
      <c r="R2528" s="7" t="n"/>
      <c r="U2528">
        <f>IF($C2528="","",IF($AJ2528=1,0,IF($AI2528=1,Settings!$C$6,Settings!$C$7))*100)</f>
        <v/>
      </c>
      <c r="V2528" s="7">
        <f>IF($C2528="","",R2528*U2528/100)</f>
        <v/>
      </c>
      <c r="W2528" s="7">
        <f>IF($C2528="","",R2528-V2528)</f>
        <v/>
      </c>
      <c r="X2528" s="7">
        <f>IF($C2528="","",W2528-K2528)</f>
        <v/>
      </c>
      <c r="AB2528" s="7" t="n"/>
      <c r="AE2528" s="11" t="n"/>
      <c r="AG2528">
        <f>IF($C2528="","",IF(COUNTIF($C$2:$C2528,$C2528)=1,1,0))</f>
        <v/>
      </c>
      <c r="AH2528">
        <f>IF($AG2528=1,SUMPRODUCT(--($AK$2:$AK$6001&lt;$AK2528))+1,"")</f>
        <v/>
      </c>
      <c r="AI2528">
        <f>IF($C2528="","",IF(OR($N2528=TRUE(),$N2528="TRUE"),1,0))</f>
        <v/>
      </c>
      <c r="AJ2528">
        <f>IF($C2528="","",IF($T2528="Yes",1,0))</f>
        <v/>
      </c>
      <c r="AK2528">
        <f>IF($AG2528=1,IFERROR(IF(VALUE($C2528)&lt;100000000,VALUE($C2528),1000000000),IFERROR(IF(VALUE(MID($C2528,2,20))&lt;100000000,VALUE(MID($C2528,2,20)),1000000000),1000000000))+ROW()/100000,"")</f>
        <v/>
      </c>
    </row>
    <row r="2529">
      <c r="D2529" s="11" t="n"/>
      <c r="K2529" s="7">
        <f>IF($C2529="","",J2529*W2529/100)</f>
        <v/>
      </c>
      <c r="Q2529" s="7" t="n"/>
      <c r="R2529" s="7" t="n"/>
      <c r="U2529">
        <f>IF($C2529="","",IF($AJ2529=1,0,IF($AI2529=1,Settings!$C$6,Settings!$C$7))*100)</f>
        <v/>
      </c>
      <c r="V2529" s="7">
        <f>IF($C2529="","",R2529*U2529/100)</f>
        <v/>
      </c>
      <c r="W2529" s="7">
        <f>IF($C2529="","",R2529-V2529)</f>
        <v/>
      </c>
      <c r="X2529" s="7">
        <f>IF($C2529="","",W2529-K2529)</f>
        <v/>
      </c>
      <c r="AB2529" s="7" t="n"/>
      <c r="AE2529" s="11" t="n"/>
      <c r="AG2529">
        <f>IF($C2529="","",IF(COUNTIF($C$2:$C2529,$C2529)=1,1,0))</f>
        <v/>
      </c>
      <c r="AH2529">
        <f>IF($AG2529=1,SUMPRODUCT(--($AK$2:$AK$6001&lt;$AK2529))+1,"")</f>
        <v/>
      </c>
      <c r="AI2529">
        <f>IF($C2529="","",IF(OR($N2529=TRUE(),$N2529="TRUE"),1,0))</f>
        <v/>
      </c>
      <c r="AJ2529">
        <f>IF($C2529="","",IF($T2529="Yes",1,0))</f>
        <v/>
      </c>
      <c r="AK2529">
        <f>IF($AG2529=1,IFERROR(IF(VALUE($C2529)&lt;100000000,VALUE($C2529),1000000000),IFERROR(IF(VALUE(MID($C2529,2,20))&lt;100000000,VALUE(MID($C2529,2,20)),1000000000),1000000000))+ROW()/100000,"")</f>
        <v/>
      </c>
    </row>
    <row r="2530">
      <c r="D2530" s="11" t="n"/>
      <c r="K2530" s="7">
        <f>IF($C2530="","",J2530*W2530/100)</f>
        <v/>
      </c>
      <c r="Q2530" s="7" t="n"/>
      <c r="R2530" s="7" t="n"/>
      <c r="U2530">
        <f>IF($C2530="","",IF($AJ2530=1,0,IF($AI2530=1,Settings!$C$6,Settings!$C$7))*100)</f>
        <v/>
      </c>
      <c r="V2530" s="7">
        <f>IF($C2530="","",R2530*U2530/100)</f>
        <v/>
      </c>
      <c r="W2530" s="7">
        <f>IF($C2530="","",R2530-V2530)</f>
        <v/>
      </c>
      <c r="X2530" s="7">
        <f>IF($C2530="","",W2530-K2530)</f>
        <v/>
      </c>
      <c r="AB2530" s="7" t="n"/>
      <c r="AE2530" s="11" t="n"/>
      <c r="AG2530">
        <f>IF($C2530="","",IF(COUNTIF($C$2:$C2530,$C2530)=1,1,0))</f>
        <v/>
      </c>
      <c r="AH2530">
        <f>IF($AG2530=1,SUMPRODUCT(--($AK$2:$AK$6001&lt;$AK2530))+1,"")</f>
        <v/>
      </c>
      <c r="AI2530">
        <f>IF($C2530="","",IF(OR($N2530=TRUE(),$N2530="TRUE"),1,0))</f>
        <v/>
      </c>
      <c r="AJ2530">
        <f>IF($C2530="","",IF($T2530="Yes",1,0))</f>
        <v/>
      </c>
      <c r="AK2530">
        <f>IF($AG2530=1,IFERROR(IF(VALUE($C2530)&lt;100000000,VALUE($C2530),1000000000),IFERROR(IF(VALUE(MID($C2530,2,20))&lt;100000000,VALUE(MID($C2530,2,20)),1000000000),1000000000))+ROW()/100000,"")</f>
        <v/>
      </c>
    </row>
    <row r="2531">
      <c r="D2531" s="11" t="n"/>
      <c r="K2531" s="7">
        <f>IF($C2531="","",J2531*W2531/100)</f>
        <v/>
      </c>
      <c r="Q2531" s="7" t="n"/>
      <c r="R2531" s="7" t="n"/>
      <c r="U2531">
        <f>IF($C2531="","",IF($AJ2531=1,0,IF($AI2531=1,Settings!$C$6,Settings!$C$7))*100)</f>
        <v/>
      </c>
      <c r="V2531" s="7">
        <f>IF($C2531="","",R2531*U2531/100)</f>
        <v/>
      </c>
      <c r="W2531" s="7">
        <f>IF($C2531="","",R2531-V2531)</f>
        <v/>
      </c>
      <c r="X2531" s="7">
        <f>IF($C2531="","",W2531-K2531)</f>
        <v/>
      </c>
      <c r="AB2531" s="7" t="n"/>
      <c r="AE2531" s="11" t="n"/>
      <c r="AG2531">
        <f>IF($C2531="","",IF(COUNTIF($C$2:$C2531,$C2531)=1,1,0))</f>
        <v/>
      </c>
      <c r="AH2531">
        <f>IF($AG2531=1,SUMPRODUCT(--($AK$2:$AK$6001&lt;$AK2531))+1,"")</f>
        <v/>
      </c>
      <c r="AI2531">
        <f>IF($C2531="","",IF(OR($N2531=TRUE(),$N2531="TRUE"),1,0))</f>
        <v/>
      </c>
      <c r="AJ2531">
        <f>IF($C2531="","",IF($T2531="Yes",1,0))</f>
        <v/>
      </c>
      <c r="AK2531">
        <f>IF($AG2531=1,IFERROR(IF(VALUE($C2531)&lt;100000000,VALUE($C2531),1000000000),IFERROR(IF(VALUE(MID($C2531,2,20))&lt;100000000,VALUE(MID($C2531,2,20)),1000000000),1000000000))+ROW()/100000,"")</f>
        <v/>
      </c>
    </row>
    <row r="2532">
      <c r="D2532" s="11" t="n"/>
      <c r="K2532" s="7">
        <f>IF($C2532="","",J2532*W2532/100)</f>
        <v/>
      </c>
      <c r="Q2532" s="7" t="n"/>
      <c r="R2532" s="7" t="n"/>
      <c r="U2532">
        <f>IF($C2532="","",IF($AJ2532=1,0,IF($AI2532=1,Settings!$C$6,Settings!$C$7))*100)</f>
        <v/>
      </c>
      <c r="V2532" s="7">
        <f>IF($C2532="","",R2532*U2532/100)</f>
        <v/>
      </c>
      <c r="W2532" s="7">
        <f>IF($C2532="","",R2532-V2532)</f>
        <v/>
      </c>
      <c r="X2532" s="7">
        <f>IF($C2532="","",W2532-K2532)</f>
        <v/>
      </c>
      <c r="AB2532" s="7" t="n"/>
      <c r="AE2532" s="11" t="n"/>
      <c r="AG2532">
        <f>IF($C2532="","",IF(COUNTIF($C$2:$C2532,$C2532)=1,1,0))</f>
        <v/>
      </c>
      <c r="AH2532">
        <f>IF($AG2532=1,SUMPRODUCT(--($AK$2:$AK$6001&lt;$AK2532))+1,"")</f>
        <v/>
      </c>
      <c r="AI2532">
        <f>IF($C2532="","",IF(OR($N2532=TRUE(),$N2532="TRUE"),1,0))</f>
        <v/>
      </c>
      <c r="AJ2532">
        <f>IF($C2532="","",IF($T2532="Yes",1,0))</f>
        <v/>
      </c>
      <c r="AK2532">
        <f>IF($AG2532=1,IFERROR(IF(VALUE($C2532)&lt;100000000,VALUE($C2532),1000000000),IFERROR(IF(VALUE(MID($C2532,2,20))&lt;100000000,VALUE(MID($C2532,2,20)),1000000000),1000000000))+ROW()/100000,"")</f>
        <v/>
      </c>
    </row>
    <row r="2533">
      <c r="D2533" s="11" t="n"/>
      <c r="K2533" s="7">
        <f>IF($C2533="","",J2533*W2533/100)</f>
        <v/>
      </c>
      <c r="Q2533" s="7" t="n"/>
      <c r="R2533" s="7" t="n"/>
      <c r="U2533">
        <f>IF($C2533="","",IF($AJ2533=1,0,IF($AI2533=1,Settings!$C$6,Settings!$C$7))*100)</f>
        <v/>
      </c>
      <c r="V2533" s="7">
        <f>IF($C2533="","",R2533*U2533/100)</f>
        <v/>
      </c>
      <c r="W2533" s="7">
        <f>IF($C2533="","",R2533-V2533)</f>
        <v/>
      </c>
      <c r="X2533" s="7">
        <f>IF($C2533="","",W2533-K2533)</f>
        <v/>
      </c>
      <c r="AB2533" s="7" t="n"/>
      <c r="AE2533" s="11" t="n"/>
      <c r="AG2533">
        <f>IF($C2533="","",IF(COUNTIF($C$2:$C2533,$C2533)=1,1,0))</f>
        <v/>
      </c>
      <c r="AH2533">
        <f>IF($AG2533=1,SUMPRODUCT(--($AK$2:$AK$6001&lt;$AK2533))+1,"")</f>
        <v/>
      </c>
      <c r="AI2533">
        <f>IF($C2533="","",IF(OR($N2533=TRUE(),$N2533="TRUE"),1,0))</f>
        <v/>
      </c>
      <c r="AJ2533">
        <f>IF($C2533="","",IF($T2533="Yes",1,0))</f>
        <v/>
      </c>
      <c r="AK2533">
        <f>IF($AG2533=1,IFERROR(IF(VALUE($C2533)&lt;100000000,VALUE($C2533),1000000000),IFERROR(IF(VALUE(MID($C2533,2,20))&lt;100000000,VALUE(MID($C2533,2,20)),1000000000),1000000000))+ROW()/100000,"")</f>
        <v/>
      </c>
    </row>
    <row r="2534">
      <c r="D2534" s="11" t="n"/>
      <c r="K2534" s="7">
        <f>IF($C2534="","",J2534*W2534/100)</f>
        <v/>
      </c>
      <c r="Q2534" s="7" t="n"/>
      <c r="R2534" s="7" t="n"/>
      <c r="U2534">
        <f>IF($C2534="","",IF($AJ2534=1,0,IF($AI2534=1,Settings!$C$6,Settings!$C$7))*100)</f>
        <v/>
      </c>
      <c r="V2534" s="7">
        <f>IF($C2534="","",R2534*U2534/100)</f>
        <v/>
      </c>
      <c r="W2534" s="7">
        <f>IF($C2534="","",R2534-V2534)</f>
        <v/>
      </c>
      <c r="X2534" s="7">
        <f>IF($C2534="","",W2534-K2534)</f>
        <v/>
      </c>
      <c r="AB2534" s="7" t="n"/>
      <c r="AE2534" s="11" t="n"/>
      <c r="AG2534">
        <f>IF($C2534="","",IF(COUNTIF($C$2:$C2534,$C2534)=1,1,0))</f>
        <v/>
      </c>
      <c r="AH2534">
        <f>IF($AG2534=1,SUMPRODUCT(--($AK$2:$AK$6001&lt;$AK2534))+1,"")</f>
        <v/>
      </c>
      <c r="AI2534">
        <f>IF($C2534="","",IF(OR($N2534=TRUE(),$N2534="TRUE"),1,0))</f>
        <v/>
      </c>
      <c r="AJ2534">
        <f>IF($C2534="","",IF($T2534="Yes",1,0))</f>
        <v/>
      </c>
      <c r="AK2534">
        <f>IF($AG2534=1,IFERROR(IF(VALUE($C2534)&lt;100000000,VALUE($C2534),1000000000),IFERROR(IF(VALUE(MID($C2534,2,20))&lt;100000000,VALUE(MID($C2534,2,20)),1000000000),1000000000))+ROW()/100000,"")</f>
        <v/>
      </c>
    </row>
    <row r="2535">
      <c r="D2535" s="11" t="n"/>
      <c r="K2535" s="7">
        <f>IF($C2535="","",J2535*W2535/100)</f>
        <v/>
      </c>
      <c r="Q2535" s="7" t="n"/>
      <c r="R2535" s="7" t="n"/>
      <c r="U2535">
        <f>IF($C2535="","",IF($AJ2535=1,0,IF($AI2535=1,Settings!$C$6,Settings!$C$7))*100)</f>
        <v/>
      </c>
      <c r="V2535" s="7">
        <f>IF($C2535="","",R2535*U2535/100)</f>
        <v/>
      </c>
      <c r="W2535" s="7">
        <f>IF($C2535="","",R2535-V2535)</f>
        <v/>
      </c>
      <c r="X2535" s="7">
        <f>IF($C2535="","",W2535-K2535)</f>
        <v/>
      </c>
      <c r="AB2535" s="7" t="n"/>
      <c r="AE2535" s="11" t="n"/>
      <c r="AG2535">
        <f>IF($C2535="","",IF(COUNTIF($C$2:$C2535,$C2535)=1,1,0))</f>
        <v/>
      </c>
      <c r="AH2535">
        <f>IF($AG2535=1,SUMPRODUCT(--($AK$2:$AK$6001&lt;$AK2535))+1,"")</f>
        <v/>
      </c>
      <c r="AI2535">
        <f>IF($C2535="","",IF(OR($N2535=TRUE(),$N2535="TRUE"),1,0))</f>
        <v/>
      </c>
      <c r="AJ2535">
        <f>IF($C2535="","",IF($T2535="Yes",1,0))</f>
        <v/>
      </c>
      <c r="AK2535">
        <f>IF($AG2535=1,IFERROR(IF(VALUE($C2535)&lt;100000000,VALUE($C2535),1000000000),IFERROR(IF(VALUE(MID($C2535,2,20))&lt;100000000,VALUE(MID($C2535,2,20)),1000000000),1000000000))+ROW()/100000,"")</f>
        <v/>
      </c>
    </row>
    <row r="2536">
      <c r="D2536" s="11" t="n"/>
      <c r="K2536" s="7">
        <f>IF($C2536="","",J2536*W2536/100)</f>
        <v/>
      </c>
      <c r="Q2536" s="7" t="n"/>
      <c r="R2536" s="7" t="n"/>
      <c r="U2536">
        <f>IF($C2536="","",IF($AJ2536=1,0,IF($AI2536=1,Settings!$C$6,Settings!$C$7))*100)</f>
        <v/>
      </c>
      <c r="V2536" s="7">
        <f>IF($C2536="","",R2536*U2536/100)</f>
        <v/>
      </c>
      <c r="W2536" s="7">
        <f>IF($C2536="","",R2536-V2536)</f>
        <v/>
      </c>
      <c r="X2536" s="7">
        <f>IF($C2536="","",W2536-K2536)</f>
        <v/>
      </c>
      <c r="AB2536" s="7" t="n"/>
      <c r="AE2536" s="11" t="n"/>
      <c r="AG2536">
        <f>IF($C2536="","",IF(COUNTIF($C$2:$C2536,$C2536)=1,1,0))</f>
        <v/>
      </c>
      <c r="AH2536">
        <f>IF($AG2536=1,SUMPRODUCT(--($AK$2:$AK$6001&lt;$AK2536))+1,"")</f>
        <v/>
      </c>
      <c r="AI2536">
        <f>IF($C2536="","",IF(OR($N2536=TRUE(),$N2536="TRUE"),1,0))</f>
        <v/>
      </c>
      <c r="AJ2536">
        <f>IF($C2536="","",IF($T2536="Yes",1,0))</f>
        <v/>
      </c>
      <c r="AK2536">
        <f>IF($AG2536=1,IFERROR(IF(VALUE($C2536)&lt;100000000,VALUE($C2536),1000000000),IFERROR(IF(VALUE(MID($C2536,2,20))&lt;100000000,VALUE(MID($C2536,2,20)),1000000000),1000000000))+ROW()/100000,"")</f>
        <v/>
      </c>
    </row>
    <row r="2537">
      <c r="D2537" s="11" t="n"/>
      <c r="K2537" s="7">
        <f>IF($C2537="","",J2537*W2537/100)</f>
        <v/>
      </c>
      <c r="Q2537" s="7" t="n"/>
      <c r="R2537" s="7" t="n"/>
      <c r="U2537">
        <f>IF($C2537="","",IF($AJ2537=1,0,IF($AI2537=1,Settings!$C$6,Settings!$C$7))*100)</f>
        <v/>
      </c>
      <c r="V2537" s="7">
        <f>IF($C2537="","",R2537*U2537/100)</f>
        <v/>
      </c>
      <c r="W2537" s="7">
        <f>IF($C2537="","",R2537-V2537)</f>
        <v/>
      </c>
      <c r="X2537" s="7">
        <f>IF($C2537="","",W2537-K2537)</f>
        <v/>
      </c>
      <c r="AB2537" s="7" t="n"/>
      <c r="AE2537" s="11" t="n"/>
      <c r="AG2537">
        <f>IF($C2537="","",IF(COUNTIF($C$2:$C2537,$C2537)=1,1,0))</f>
        <v/>
      </c>
      <c r="AH2537">
        <f>IF($AG2537=1,SUMPRODUCT(--($AK$2:$AK$6001&lt;$AK2537))+1,"")</f>
        <v/>
      </c>
      <c r="AI2537">
        <f>IF($C2537="","",IF(OR($N2537=TRUE(),$N2537="TRUE"),1,0))</f>
        <v/>
      </c>
      <c r="AJ2537">
        <f>IF($C2537="","",IF($T2537="Yes",1,0))</f>
        <v/>
      </c>
      <c r="AK2537">
        <f>IF($AG2537=1,IFERROR(IF(VALUE($C2537)&lt;100000000,VALUE($C2537),1000000000),IFERROR(IF(VALUE(MID($C2537,2,20))&lt;100000000,VALUE(MID($C2537,2,20)),1000000000),1000000000))+ROW()/100000,"")</f>
        <v/>
      </c>
    </row>
    <row r="2538">
      <c r="D2538" s="11" t="n"/>
      <c r="K2538" s="7">
        <f>IF($C2538="","",J2538*W2538/100)</f>
        <v/>
      </c>
      <c r="Q2538" s="7" t="n"/>
      <c r="R2538" s="7" t="n"/>
      <c r="U2538">
        <f>IF($C2538="","",IF($AJ2538=1,0,IF($AI2538=1,Settings!$C$6,Settings!$C$7))*100)</f>
        <v/>
      </c>
      <c r="V2538" s="7">
        <f>IF($C2538="","",R2538*U2538/100)</f>
        <v/>
      </c>
      <c r="W2538" s="7">
        <f>IF($C2538="","",R2538-V2538)</f>
        <v/>
      </c>
      <c r="X2538" s="7">
        <f>IF($C2538="","",W2538-K2538)</f>
        <v/>
      </c>
      <c r="AB2538" s="7" t="n"/>
      <c r="AE2538" s="11" t="n"/>
      <c r="AG2538">
        <f>IF($C2538="","",IF(COUNTIF($C$2:$C2538,$C2538)=1,1,0))</f>
        <v/>
      </c>
      <c r="AH2538">
        <f>IF($AG2538=1,SUMPRODUCT(--($AK$2:$AK$6001&lt;$AK2538))+1,"")</f>
        <v/>
      </c>
      <c r="AI2538">
        <f>IF($C2538="","",IF(OR($N2538=TRUE(),$N2538="TRUE"),1,0))</f>
        <v/>
      </c>
      <c r="AJ2538">
        <f>IF($C2538="","",IF($T2538="Yes",1,0))</f>
        <v/>
      </c>
      <c r="AK2538">
        <f>IF($AG2538=1,IFERROR(IF(VALUE($C2538)&lt;100000000,VALUE($C2538),1000000000),IFERROR(IF(VALUE(MID($C2538,2,20))&lt;100000000,VALUE(MID($C2538,2,20)),1000000000),1000000000))+ROW()/100000,"")</f>
        <v/>
      </c>
    </row>
    <row r="2539">
      <c r="D2539" s="11" t="n"/>
      <c r="K2539" s="7">
        <f>IF($C2539="","",J2539*W2539/100)</f>
        <v/>
      </c>
      <c r="Q2539" s="7" t="n"/>
      <c r="R2539" s="7" t="n"/>
      <c r="U2539">
        <f>IF($C2539="","",IF($AJ2539=1,0,IF($AI2539=1,Settings!$C$6,Settings!$C$7))*100)</f>
        <v/>
      </c>
      <c r="V2539" s="7">
        <f>IF($C2539="","",R2539*U2539/100)</f>
        <v/>
      </c>
      <c r="W2539" s="7">
        <f>IF($C2539="","",R2539-V2539)</f>
        <v/>
      </c>
      <c r="X2539" s="7">
        <f>IF($C2539="","",W2539-K2539)</f>
        <v/>
      </c>
      <c r="AB2539" s="7" t="n"/>
      <c r="AE2539" s="11" t="n"/>
      <c r="AG2539">
        <f>IF($C2539="","",IF(COUNTIF($C$2:$C2539,$C2539)=1,1,0))</f>
        <v/>
      </c>
      <c r="AH2539">
        <f>IF($AG2539=1,SUMPRODUCT(--($AK$2:$AK$6001&lt;$AK2539))+1,"")</f>
        <v/>
      </c>
      <c r="AI2539">
        <f>IF($C2539="","",IF(OR($N2539=TRUE(),$N2539="TRUE"),1,0))</f>
        <v/>
      </c>
      <c r="AJ2539">
        <f>IF($C2539="","",IF($T2539="Yes",1,0))</f>
        <v/>
      </c>
      <c r="AK2539">
        <f>IF($AG2539=1,IFERROR(IF(VALUE($C2539)&lt;100000000,VALUE($C2539),1000000000),IFERROR(IF(VALUE(MID($C2539,2,20))&lt;100000000,VALUE(MID($C2539,2,20)),1000000000),1000000000))+ROW()/100000,"")</f>
        <v/>
      </c>
    </row>
    <row r="2540">
      <c r="D2540" s="11" t="n"/>
      <c r="K2540" s="7">
        <f>IF($C2540="","",J2540*W2540/100)</f>
        <v/>
      </c>
      <c r="Q2540" s="7" t="n"/>
      <c r="R2540" s="7" t="n"/>
      <c r="U2540">
        <f>IF($C2540="","",IF($AJ2540=1,0,IF($AI2540=1,Settings!$C$6,Settings!$C$7))*100)</f>
        <v/>
      </c>
      <c r="V2540" s="7">
        <f>IF($C2540="","",R2540*U2540/100)</f>
        <v/>
      </c>
      <c r="W2540" s="7">
        <f>IF($C2540="","",R2540-V2540)</f>
        <v/>
      </c>
      <c r="X2540" s="7">
        <f>IF($C2540="","",W2540-K2540)</f>
        <v/>
      </c>
      <c r="AB2540" s="7" t="n"/>
      <c r="AE2540" s="11" t="n"/>
      <c r="AG2540">
        <f>IF($C2540="","",IF(COUNTIF($C$2:$C2540,$C2540)=1,1,0))</f>
        <v/>
      </c>
      <c r="AH2540">
        <f>IF($AG2540=1,SUMPRODUCT(--($AK$2:$AK$6001&lt;$AK2540))+1,"")</f>
        <v/>
      </c>
      <c r="AI2540">
        <f>IF($C2540="","",IF(OR($N2540=TRUE(),$N2540="TRUE"),1,0))</f>
        <v/>
      </c>
      <c r="AJ2540">
        <f>IF($C2540="","",IF($T2540="Yes",1,0))</f>
        <v/>
      </c>
      <c r="AK2540">
        <f>IF($AG2540=1,IFERROR(IF(VALUE($C2540)&lt;100000000,VALUE($C2540),1000000000),IFERROR(IF(VALUE(MID($C2540,2,20))&lt;100000000,VALUE(MID($C2540,2,20)),1000000000),1000000000))+ROW()/100000,"")</f>
        <v/>
      </c>
    </row>
    <row r="2541">
      <c r="D2541" s="11" t="n"/>
      <c r="K2541" s="7">
        <f>IF($C2541="","",J2541*W2541/100)</f>
        <v/>
      </c>
      <c r="Q2541" s="7" t="n"/>
      <c r="R2541" s="7" t="n"/>
      <c r="U2541">
        <f>IF($C2541="","",IF($AJ2541=1,0,IF($AI2541=1,Settings!$C$6,Settings!$C$7))*100)</f>
        <v/>
      </c>
      <c r="V2541" s="7">
        <f>IF($C2541="","",R2541*U2541/100)</f>
        <v/>
      </c>
      <c r="W2541" s="7">
        <f>IF($C2541="","",R2541-V2541)</f>
        <v/>
      </c>
      <c r="X2541" s="7">
        <f>IF($C2541="","",W2541-K2541)</f>
        <v/>
      </c>
      <c r="AB2541" s="7" t="n"/>
      <c r="AE2541" s="11" t="n"/>
      <c r="AG2541">
        <f>IF($C2541="","",IF(COUNTIF($C$2:$C2541,$C2541)=1,1,0))</f>
        <v/>
      </c>
      <c r="AH2541">
        <f>IF($AG2541=1,SUMPRODUCT(--($AK$2:$AK$6001&lt;$AK2541))+1,"")</f>
        <v/>
      </c>
      <c r="AI2541">
        <f>IF($C2541="","",IF(OR($N2541=TRUE(),$N2541="TRUE"),1,0))</f>
        <v/>
      </c>
      <c r="AJ2541">
        <f>IF($C2541="","",IF($T2541="Yes",1,0))</f>
        <v/>
      </c>
      <c r="AK2541">
        <f>IF($AG2541=1,IFERROR(IF(VALUE($C2541)&lt;100000000,VALUE($C2541),1000000000),IFERROR(IF(VALUE(MID($C2541,2,20))&lt;100000000,VALUE(MID($C2541,2,20)),1000000000),1000000000))+ROW()/100000,"")</f>
        <v/>
      </c>
    </row>
    <row r="2542">
      <c r="D2542" s="11" t="n"/>
      <c r="K2542" s="7">
        <f>IF($C2542="","",J2542*W2542/100)</f>
        <v/>
      </c>
      <c r="Q2542" s="7" t="n"/>
      <c r="R2542" s="7" t="n"/>
      <c r="U2542">
        <f>IF($C2542="","",IF($AJ2542=1,0,IF($AI2542=1,Settings!$C$6,Settings!$C$7))*100)</f>
        <v/>
      </c>
      <c r="V2542" s="7">
        <f>IF($C2542="","",R2542*U2542/100)</f>
        <v/>
      </c>
      <c r="W2542" s="7">
        <f>IF($C2542="","",R2542-V2542)</f>
        <v/>
      </c>
      <c r="X2542" s="7">
        <f>IF($C2542="","",W2542-K2542)</f>
        <v/>
      </c>
      <c r="AB2542" s="7" t="n"/>
      <c r="AE2542" s="11" t="n"/>
      <c r="AG2542">
        <f>IF($C2542="","",IF(COUNTIF($C$2:$C2542,$C2542)=1,1,0))</f>
        <v/>
      </c>
      <c r="AH2542">
        <f>IF($AG2542=1,SUMPRODUCT(--($AK$2:$AK$6001&lt;$AK2542))+1,"")</f>
        <v/>
      </c>
      <c r="AI2542">
        <f>IF($C2542="","",IF(OR($N2542=TRUE(),$N2542="TRUE"),1,0))</f>
        <v/>
      </c>
      <c r="AJ2542">
        <f>IF($C2542="","",IF($T2542="Yes",1,0))</f>
        <v/>
      </c>
      <c r="AK2542">
        <f>IF($AG2542=1,IFERROR(IF(VALUE($C2542)&lt;100000000,VALUE($C2542),1000000000),IFERROR(IF(VALUE(MID($C2542,2,20))&lt;100000000,VALUE(MID($C2542,2,20)),1000000000),1000000000))+ROW()/100000,"")</f>
        <v/>
      </c>
    </row>
    <row r="2543">
      <c r="D2543" s="11" t="n"/>
      <c r="K2543" s="7">
        <f>IF($C2543="","",J2543*W2543/100)</f>
        <v/>
      </c>
      <c r="Q2543" s="7" t="n"/>
      <c r="R2543" s="7" t="n"/>
      <c r="U2543">
        <f>IF($C2543="","",IF($AJ2543=1,0,IF($AI2543=1,Settings!$C$6,Settings!$C$7))*100)</f>
        <v/>
      </c>
      <c r="V2543" s="7">
        <f>IF($C2543="","",R2543*U2543/100)</f>
        <v/>
      </c>
      <c r="W2543" s="7">
        <f>IF($C2543="","",R2543-V2543)</f>
        <v/>
      </c>
      <c r="X2543" s="7">
        <f>IF($C2543="","",W2543-K2543)</f>
        <v/>
      </c>
      <c r="AB2543" s="7" t="n"/>
      <c r="AE2543" s="11" t="n"/>
      <c r="AG2543">
        <f>IF($C2543="","",IF(COUNTIF($C$2:$C2543,$C2543)=1,1,0))</f>
        <v/>
      </c>
      <c r="AH2543">
        <f>IF($AG2543=1,SUMPRODUCT(--($AK$2:$AK$6001&lt;$AK2543))+1,"")</f>
        <v/>
      </c>
      <c r="AI2543">
        <f>IF($C2543="","",IF(OR($N2543=TRUE(),$N2543="TRUE"),1,0))</f>
        <v/>
      </c>
      <c r="AJ2543">
        <f>IF($C2543="","",IF($T2543="Yes",1,0))</f>
        <v/>
      </c>
      <c r="AK2543">
        <f>IF($AG2543=1,IFERROR(IF(VALUE($C2543)&lt;100000000,VALUE($C2543),1000000000),IFERROR(IF(VALUE(MID($C2543,2,20))&lt;100000000,VALUE(MID($C2543,2,20)),1000000000),1000000000))+ROW()/100000,"")</f>
        <v/>
      </c>
    </row>
    <row r="2544">
      <c r="D2544" s="11" t="n"/>
      <c r="K2544" s="7">
        <f>IF($C2544="","",J2544*W2544/100)</f>
        <v/>
      </c>
      <c r="Q2544" s="7" t="n"/>
      <c r="R2544" s="7" t="n"/>
      <c r="U2544">
        <f>IF($C2544="","",IF($AJ2544=1,0,IF($AI2544=1,Settings!$C$6,Settings!$C$7))*100)</f>
        <v/>
      </c>
      <c r="V2544" s="7">
        <f>IF($C2544="","",R2544*U2544/100)</f>
        <v/>
      </c>
      <c r="W2544" s="7">
        <f>IF($C2544="","",R2544-V2544)</f>
        <v/>
      </c>
      <c r="X2544" s="7">
        <f>IF($C2544="","",W2544-K2544)</f>
        <v/>
      </c>
      <c r="AB2544" s="7" t="n"/>
      <c r="AE2544" s="11" t="n"/>
      <c r="AG2544">
        <f>IF($C2544="","",IF(COUNTIF($C$2:$C2544,$C2544)=1,1,0))</f>
        <v/>
      </c>
      <c r="AH2544">
        <f>IF($AG2544=1,SUMPRODUCT(--($AK$2:$AK$6001&lt;$AK2544))+1,"")</f>
        <v/>
      </c>
      <c r="AI2544">
        <f>IF($C2544="","",IF(OR($N2544=TRUE(),$N2544="TRUE"),1,0))</f>
        <v/>
      </c>
      <c r="AJ2544">
        <f>IF($C2544="","",IF($T2544="Yes",1,0))</f>
        <v/>
      </c>
      <c r="AK2544">
        <f>IF($AG2544=1,IFERROR(IF(VALUE($C2544)&lt;100000000,VALUE($C2544),1000000000),IFERROR(IF(VALUE(MID($C2544,2,20))&lt;100000000,VALUE(MID($C2544,2,20)),1000000000),1000000000))+ROW()/100000,"")</f>
        <v/>
      </c>
    </row>
    <row r="2545">
      <c r="D2545" s="11" t="n"/>
      <c r="K2545" s="7">
        <f>IF($C2545="","",J2545*W2545/100)</f>
        <v/>
      </c>
      <c r="Q2545" s="7" t="n"/>
      <c r="R2545" s="7" t="n"/>
      <c r="U2545">
        <f>IF($C2545="","",IF($AJ2545=1,0,IF($AI2545=1,Settings!$C$6,Settings!$C$7))*100)</f>
        <v/>
      </c>
      <c r="V2545" s="7">
        <f>IF($C2545="","",R2545*U2545/100)</f>
        <v/>
      </c>
      <c r="W2545" s="7">
        <f>IF($C2545="","",R2545-V2545)</f>
        <v/>
      </c>
      <c r="X2545" s="7">
        <f>IF($C2545="","",W2545-K2545)</f>
        <v/>
      </c>
      <c r="AB2545" s="7" t="n"/>
      <c r="AE2545" s="11" t="n"/>
      <c r="AG2545">
        <f>IF($C2545="","",IF(COUNTIF($C$2:$C2545,$C2545)=1,1,0))</f>
        <v/>
      </c>
      <c r="AH2545">
        <f>IF($AG2545=1,SUMPRODUCT(--($AK$2:$AK$6001&lt;$AK2545))+1,"")</f>
        <v/>
      </c>
      <c r="AI2545">
        <f>IF($C2545="","",IF(OR($N2545=TRUE(),$N2545="TRUE"),1,0))</f>
        <v/>
      </c>
      <c r="AJ2545">
        <f>IF($C2545="","",IF($T2545="Yes",1,0))</f>
        <v/>
      </c>
      <c r="AK2545">
        <f>IF($AG2545=1,IFERROR(IF(VALUE($C2545)&lt;100000000,VALUE($C2545),1000000000),IFERROR(IF(VALUE(MID($C2545,2,20))&lt;100000000,VALUE(MID($C2545,2,20)),1000000000),1000000000))+ROW()/100000,"")</f>
        <v/>
      </c>
    </row>
    <row r="2546">
      <c r="D2546" s="11" t="n"/>
      <c r="K2546" s="7">
        <f>IF($C2546="","",J2546*W2546/100)</f>
        <v/>
      </c>
      <c r="Q2546" s="7" t="n"/>
      <c r="R2546" s="7" t="n"/>
      <c r="U2546">
        <f>IF($C2546="","",IF($AJ2546=1,0,IF($AI2546=1,Settings!$C$6,Settings!$C$7))*100)</f>
        <v/>
      </c>
      <c r="V2546" s="7">
        <f>IF($C2546="","",R2546*U2546/100)</f>
        <v/>
      </c>
      <c r="W2546" s="7">
        <f>IF($C2546="","",R2546-V2546)</f>
        <v/>
      </c>
      <c r="X2546" s="7">
        <f>IF($C2546="","",W2546-K2546)</f>
        <v/>
      </c>
      <c r="AB2546" s="7" t="n"/>
      <c r="AE2546" s="11" t="n"/>
      <c r="AG2546">
        <f>IF($C2546="","",IF(COUNTIF($C$2:$C2546,$C2546)=1,1,0))</f>
        <v/>
      </c>
      <c r="AH2546">
        <f>IF($AG2546=1,SUMPRODUCT(--($AK$2:$AK$6001&lt;$AK2546))+1,"")</f>
        <v/>
      </c>
      <c r="AI2546">
        <f>IF($C2546="","",IF(OR($N2546=TRUE(),$N2546="TRUE"),1,0))</f>
        <v/>
      </c>
      <c r="AJ2546">
        <f>IF($C2546="","",IF($T2546="Yes",1,0))</f>
        <v/>
      </c>
      <c r="AK2546">
        <f>IF($AG2546=1,IFERROR(IF(VALUE($C2546)&lt;100000000,VALUE($C2546),1000000000),IFERROR(IF(VALUE(MID($C2546,2,20))&lt;100000000,VALUE(MID($C2546,2,20)),1000000000),1000000000))+ROW()/100000,"")</f>
        <v/>
      </c>
    </row>
    <row r="2547">
      <c r="D2547" s="11" t="n"/>
      <c r="K2547" s="7">
        <f>IF($C2547="","",J2547*W2547/100)</f>
        <v/>
      </c>
      <c r="Q2547" s="7" t="n"/>
      <c r="R2547" s="7" t="n"/>
      <c r="U2547">
        <f>IF($C2547="","",IF($AJ2547=1,0,IF($AI2547=1,Settings!$C$6,Settings!$C$7))*100)</f>
        <v/>
      </c>
      <c r="V2547" s="7">
        <f>IF($C2547="","",R2547*U2547/100)</f>
        <v/>
      </c>
      <c r="W2547" s="7">
        <f>IF($C2547="","",R2547-V2547)</f>
        <v/>
      </c>
      <c r="X2547" s="7">
        <f>IF($C2547="","",W2547-K2547)</f>
        <v/>
      </c>
      <c r="AB2547" s="7" t="n"/>
      <c r="AE2547" s="11" t="n"/>
      <c r="AG2547">
        <f>IF($C2547="","",IF(COUNTIF($C$2:$C2547,$C2547)=1,1,0))</f>
        <v/>
      </c>
      <c r="AH2547">
        <f>IF($AG2547=1,SUMPRODUCT(--($AK$2:$AK$6001&lt;$AK2547))+1,"")</f>
        <v/>
      </c>
      <c r="AI2547">
        <f>IF($C2547="","",IF(OR($N2547=TRUE(),$N2547="TRUE"),1,0))</f>
        <v/>
      </c>
      <c r="AJ2547">
        <f>IF($C2547="","",IF($T2547="Yes",1,0))</f>
        <v/>
      </c>
      <c r="AK2547">
        <f>IF($AG2547=1,IFERROR(IF(VALUE($C2547)&lt;100000000,VALUE($C2547),1000000000),IFERROR(IF(VALUE(MID($C2547,2,20))&lt;100000000,VALUE(MID($C2547,2,20)),1000000000),1000000000))+ROW()/100000,"")</f>
        <v/>
      </c>
    </row>
    <row r="2548">
      <c r="D2548" s="11" t="n"/>
      <c r="K2548" s="7">
        <f>IF($C2548="","",J2548*W2548/100)</f>
        <v/>
      </c>
      <c r="Q2548" s="7" t="n"/>
      <c r="R2548" s="7" t="n"/>
      <c r="U2548">
        <f>IF($C2548="","",IF($AJ2548=1,0,IF($AI2548=1,Settings!$C$6,Settings!$C$7))*100)</f>
        <v/>
      </c>
      <c r="V2548" s="7">
        <f>IF($C2548="","",R2548*U2548/100)</f>
        <v/>
      </c>
      <c r="W2548" s="7">
        <f>IF($C2548="","",R2548-V2548)</f>
        <v/>
      </c>
      <c r="X2548" s="7">
        <f>IF($C2548="","",W2548-K2548)</f>
        <v/>
      </c>
      <c r="AB2548" s="7" t="n"/>
      <c r="AE2548" s="11" t="n"/>
      <c r="AG2548">
        <f>IF($C2548="","",IF(COUNTIF($C$2:$C2548,$C2548)=1,1,0))</f>
        <v/>
      </c>
      <c r="AH2548">
        <f>IF($AG2548=1,SUMPRODUCT(--($AK$2:$AK$6001&lt;$AK2548))+1,"")</f>
        <v/>
      </c>
      <c r="AI2548">
        <f>IF($C2548="","",IF(OR($N2548=TRUE(),$N2548="TRUE"),1,0))</f>
        <v/>
      </c>
      <c r="AJ2548">
        <f>IF($C2548="","",IF($T2548="Yes",1,0))</f>
        <v/>
      </c>
      <c r="AK2548">
        <f>IF($AG2548=1,IFERROR(IF(VALUE($C2548)&lt;100000000,VALUE($C2548),1000000000),IFERROR(IF(VALUE(MID($C2548,2,20))&lt;100000000,VALUE(MID($C2548,2,20)),1000000000),1000000000))+ROW()/100000,"")</f>
        <v/>
      </c>
    </row>
    <row r="2549">
      <c r="D2549" s="11" t="n"/>
      <c r="K2549" s="7">
        <f>IF($C2549="","",J2549*W2549/100)</f>
        <v/>
      </c>
      <c r="Q2549" s="7" t="n"/>
      <c r="R2549" s="7" t="n"/>
      <c r="U2549">
        <f>IF($C2549="","",IF($AJ2549=1,0,IF($AI2549=1,Settings!$C$6,Settings!$C$7))*100)</f>
        <v/>
      </c>
      <c r="V2549" s="7">
        <f>IF($C2549="","",R2549*U2549/100)</f>
        <v/>
      </c>
      <c r="W2549" s="7">
        <f>IF($C2549="","",R2549-V2549)</f>
        <v/>
      </c>
      <c r="X2549" s="7">
        <f>IF($C2549="","",W2549-K2549)</f>
        <v/>
      </c>
      <c r="AB2549" s="7" t="n"/>
      <c r="AE2549" s="11" t="n"/>
      <c r="AG2549">
        <f>IF($C2549="","",IF(COUNTIF($C$2:$C2549,$C2549)=1,1,0))</f>
        <v/>
      </c>
      <c r="AH2549">
        <f>IF($AG2549=1,SUMPRODUCT(--($AK$2:$AK$6001&lt;$AK2549))+1,"")</f>
        <v/>
      </c>
      <c r="AI2549">
        <f>IF($C2549="","",IF(OR($N2549=TRUE(),$N2549="TRUE"),1,0))</f>
        <v/>
      </c>
      <c r="AJ2549">
        <f>IF($C2549="","",IF($T2549="Yes",1,0))</f>
        <v/>
      </c>
      <c r="AK2549">
        <f>IF($AG2549=1,IFERROR(IF(VALUE($C2549)&lt;100000000,VALUE($C2549),1000000000),IFERROR(IF(VALUE(MID($C2549,2,20))&lt;100000000,VALUE(MID($C2549,2,20)),1000000000),1000000000))+ROW()/100000,"")</f>
        <v/>
      </c>
    </row>
    <row r="2550">
      <c r="D2550" s="11" t="n"/>
      <c r="K2550" s="7">
        <f>IF($C2550="","",J2550*W2550/100)</f>
        <v/>
      </c>
      <c r="Q2550" s="7" t="n"/>
      <c r="R2550" s="7" t="n"/>
      <c r="U2550">
        <f>IF($C2550="","",IF($AJ2550=1,0,IF($AI2550=1,Settings!$C$6,Settings!$C$7))*100)</f>
        <v/>
      </c>
      <c r="V2550" s="7">
        <f>IF($C2550="","",R2550*U2550/100)</f>
        <v/>
      </c>
      <c r="W2550" s="7">
        <f>IF($C2550="","",R2550-V2550)</f>
        <v/>
      </c>
      <c r="X2550" s="7">
        <f>IF($C2550="","",W2550-K2550)</f>
        <v/>
      </c>
      <c r="AB2550" s="7" t="n"/>
      <c r="AE2550" s="11" t="n"/>
      <c r="AG2550">
        <f>IF($C2550="","",IF(COUNTIF($C$2:$C2550,$C2550)=1,1,0))</f>
        <v/>
      </c>
      <c r="AH2550">
        <f>IF($AG2550=1,SUMPRODUCT(--($AK$2:$AK$6001&lt;$AK2550))+1,"")</f>
        <v/>
      </c>
      <c r="AI2550">
        <f>IF($C2550="","",IF(OR($N2550=TRUE(),$N2550="TRUE"),1,0))</f>
        <v/>
      </c>
      <c r="AJ2550">
        <f>IF($C2550="","",IF($T2550="Yes",1,0))</f>
        <v/>
      </c>
      <c r="AK2550">
        <f>IF($AG2550=1,IFERROR(IF(VALUE($C2550)&lt;100000000,VALUE($C2550),1000000000),IFERROR(IF(VALUE(MID($C2550,2,20))&lt;100000000,VALUE(MID($C2550,2,20)),1000000000),1000000000))+ROW()/100000,"")</f>
        <v/>
      </c>
    </row>
    <row r="2551">
      <c r="D2551" s="11" t="n"/>
      <c r="K2551" s="7">
        <f>IF($C2551="","",J2551*W2551/100)</f>
        <v/>
      </c>
      <c r="Q2551" s="7" t="n"/>
      <c r="R2551" s="7" t="n"/>
      <c r="U2551">
        <f>IF($C2551="","",IF($AJ2551=1,0,IF($AI2551=1,Settings!$C$6,Settings!$C$7))*100)</f>
        <v/>
      </c>
      <c r="V2551" s="7">
        <f>IF($C2551="","",R2551*U2551/100)</f>
        <v/>
      </c>
      <c r="W2551" s="7">
        <f>IF($C2551="","",R2551-V2551)</f>
        <v/>
      </c>
      <c r="X2551" s="7">
        <f>IF($C2551="","",W2551-K2551)</f>
        <v/>
      </c>
      <c r="AB2551" s="7" t="n"/>
      <c r="AE2551" s="11" t="n"/>
      <c r="AG2551">
        <f>IF($C2551="","",IF(COUNTIF($C$2:$C2551,$C2551)=1,1,0))</f>
        <v/>
      </c>
      <c r="AH2551">
        <f>IF($AG2551=1,SUMPRODUCT(--($AK$2:$AK$6001&lt;$AK2551))+1,"")</f>
        <v/>
      </c>
      <c r="AI2551">
        <f>IF($C2551="","",IF(OR($N2551=TRUE(),$N2551="TRUE"),1,0))</f>
        <v/>
      </c>
      <c r="AJ2551">
        <f>IF($C2551="","",IF($T2551="Yes",1,0))</f>
        <v/>
      </c>
      <c r="AK2551">
        <f>IF($AG2551=1,IFERROR(IF(VALUE($C2551)&lt;100000000,VALUE($C2551),1000000000),IFERROR(IF(VALUE(MID($C2551,2,20))&lt;100000000,VALUE(MID($C2551,2,20)),1000000000),1000000000))+ROW()/100000,"")</f>
        <v/>
      </c>
    </row>
    <row r="2552">
      <c r="D2552" s="11" t="n"/>
      <c r="K2552" s="7">
        <f>IF($C2552="","",J2552*W2552/100)</f>
        <v/>
      </c>
      <c r="Q2552" s="7" t="n"/>
      <c r="R2552" s="7" t="n"/>
      <c r="U2552">
        <f>IF($C2552="","",IF($AJ2552=1,0,IF($AI2552=1,Settings!$C$6,Settings!$C$7))*100)</f>
        <v/>
      </c>
      <c r="V2552" s="7">
        <f>IF($C2552="","",R2552*U2552/100)</f>
        <v/>
      </c>
      <c r="W2552" s="7">
        <f>IF($C2552="","",R2552-V2552)</f>
        <v/>
      </c>
      <c r="X2552" s="7">
        <f>IF($C2552="","",W2552-K2552)</f>
        <v/>
      </c>
      <c r="AB2552" s="7" t="n"/>
      <c r="AE2552" s="11" t="n"/>
      <c r="AG2552">
        <f>IF($C2552="","",IF(COUNTIF($C$2:$C2552,$C2552)=1,1,0))</f>
        <v/>
      </c>
      <c r="AH2552">
        <f>IF($AG2552=1,SUMPRODUCT(--($AK$2:$AK$6001&lt;$AK2552))+1,"")</f>
        <v/>
      </c>
      <c r="AI2552">
        <f>IF($C2552="","",IF(OR($N2552=TRUE(),$N2552="TRUE"),1,0))</f>
        <v/>
      </c>
      <c r="AJ2552">
        <f>IF($C2552="","",IF($T2552="Yes",1,0))</f>
        <v/>
      </c>
      <c r="AK2552">
        <f>IF($AG2552=1,IFERROR(IF(VALUE($C2552)&lt;100000000,VALUE($C2552),1000000000),IFERROR(IF(VALUE(MID($C2552,2,20))&lt;100000000,VALUE(MID($C2552,2,20)),1000000000),1000000000))+ROW()/100000,"")</f>
        <v/>
      </c>
    </row>
    <row r="2553">
      <c r="D2553" s="11" t="n"/>
      <c r="K2553" s="7">
        <f>IF($C2553="","",J2553*W2553/100)</f>
        <v/>
      </c>
      <c r="Q2553" s="7" t="n"/>
      <c r="R2553" s="7" t="n"/>
      <c r="U2553">
        <f>IF($C2553="","",IF($AJ2553=1,0,IF($AI2553=1,Settings!$C$6,Settings!$C$7))*100)</f>
        <v/>
      </c>
      <c r="V2553" s="7">
        <f>IF($C2553="","",R2553*U2553/100)</f>
        <v/>
      </c>
      <c r="W2553" s="7">
        <f>IF($C2553="","",R2553-V2553)</f>
        <v/>
      </c>
      <c r="X2553" s="7">
        <f>IF($C2553="","",W2553-K2553)</f>
        <v/>
      </c>
      <c r="AB2553" s="7" t="n"/>
      <c r="AE2553" s="11" t="n"/>
      <c r="AG2553">
        <f>IF($C2553="","",IF(COUNTIF($C$2:$C2553,$C2553)=1,1,0))</f>
        <v/>
      </c>
      <c r="AH2553">
        <f>IF($AG2553=1,SUMPRODUCT(--($AK$2:$AK$6001&lt;$AK2553))+1,"")</f>
        <v/>
      </c>
      <c r="AI2553">
        <f>IF($C2553="","",IF(OR($N2553=TRUE(),$N2553="TRUE"),1,0))</f>
        <v/>
      </c>
      <c r="AJ2553">
        <f>IF($C2553="","",IF($T2553="Yes",1,0))</f>
        <v/>
      </c>
      <c r="AK2553">
        <f>IF($AG2553=1,IFERROR(IF(VALUE($C2553)&lt;100000000,VALUE($C2553),1000000000),IFERROR(IF(VALUE(MID($C2553,2,20))&lt;100000000,VALUE(MID($C2553,2,20)),1000000000),1000000000))+ROW()/100000,"")</f>
        <v/>
      </c>
    </row>
    <row r="2554">
      <c r="D2554" s="11" t="n"/>
      <c r="K2554" s="7">
        <f>IF($C2554="","",J2554*W2554/100)</f>
        <v/>
      </c>
      <c r="Q2554" s="7" t="n"/>
      <c r="R2554" s="7" t="n"/>
      <c r="U2554">
        <f>IF($C2554="","",IF($AJ2554=1,0,IF($AI2554=1,Settings!$C$6,Settings!$C$7))*100)</f>
        <v/>
      </c>
      <c r="V2554" s="7">
        <f>IF($C2554="","",R2554*U2554/100)</f>
        <v/>
      </c>
      <c r="W2554" s="7">
        <f>IF($C2554="","",R2554-V2554)</f>
        <v/>
      </c>
      <c r="X2554" s="7">
        <f>IF($C2554="","",W2554-K2554)</f>
        <v/>
      </c>
      <c r="AB2554" s="7" t="n"/>
      <c r="AE2554" s="11" t="n"/>
      <c r="AG2554">
        <f>IF($C2554="","",IF(COUNTIF($C$2:$C2554,$C2554)=1,1,0))</f>
        <v/>
      </c>
      <c r="AH2554">
        <f>IF($AG2554=1,SUMPRODUCT(--($AK$2:$AK$6001&lt;$AK2554))+1,"")</f>
        <v/>
      </c>
      <c r="AI2554">
        <f>IF($C2554="","",IF(OR($N2554=TRUE(),$N2554="TRUE"),1,0))</f>
        <v/>
      </c>
      <c r="AJ2554">
        <f>IF($C2554="","",IF($T2554="Yes",1,0))</f>
        <v/>
      </c>
      <c r="AK2554">
        <f>IF($AG2554=1,IFERROR(IF(VALUE($C2554)&lt;100000000,VALUE($C2554),1000000000),IFERROR(IF(VALUE(MID($C2554,2,20))&lt;100000000,VALUE(MID($C2554,2,20)),1000000000),1000000000))+ROW()/100000,"")</f>
        <v/>
      </c>
    </row>
    <row r="2555">
      <c r="D2555" s="11" t="n"/>
      <c r="K2555" s="7">
        <f>IF($C2555="","",J2555*W2555/100)</f>
        <v/>
      </c>
      <c r="Q2555" s="7" t="n"/>
      <c r="R2555" s="7" t="n"/>
      <c r="U2555">
        <f>IF($C2555="","",IF($AJ2555=1,0,IF($AI2555=1,Settings!$C$6,Settings!$C$7))*100)</f>
        <v/>
      </c>
      <c r="V2555" s="7">
        <f>IF($C2555="","",R2555*U2555/100)</f>
        <v/>
      </c>
      <c r="W2555" s="7">
        <f>IF($C2555="","",R2555-V2555)</f>
        <v/>
      </c>
      <c r="X2555" s="7">
        <f>IF($C2555="","",W2555-K2555)</f>
        <v/>
      </c>
      <c r="AB2555" s="7" t="n"/>
      <c r="AE2555" s="11" t="n"/>
      <c r="AG2555">
        <f>IF($C2555="","",IF(COUNTIF($C$2:$C2555,$C2555)=1,1,0))</f>
        <v/>
      </c>
      <c r="AH2555">
        <f>IF($AG2555=1,SUMPRODUCT(--($AK$2:$AK$6001&lt;$AK2555))+1,"")</f>
        <v/>
      </c>
      <c r="AI2555">
        <f>IF($C2555="","",IF(OR($N2555=TRUE(),$N2555="TRUE"),1,0))</f>
        <v/>
      </c>
      <c r="AJ2555">
        <f>IF($C2555="","",IF($T2555="Yes",1,0))</f>
        <v/>
      </c>
      <c r="AK2555">
        <f>IF($AG2555=1,IFERROR(IF(VALUE($C2555)&lt;100000000,VALUE($C2555),1000000000),IFERROR(IF(VALUE(MID($C2555,2,20))&lt;100000000,VALUE(MID($C2555,2,20)),1000000000),1000000000))+ROW()/100000,"")</f>
        <v/>
      </c>
    </row>
    <row r="2556">
      <c r="D2556" s="11" t="n"/>
      <c r="K2556" s="7">
        <f>IF($C2556="","",J2556*W2556/100)</f>
        <v/>
      </c>
      <c r="Q2556" s="7" t="n"/>
      <c r="R2556" s="7" t="n"/>
      <c r="U2556">
        <f>IF($C2556="","",IF($AJ2556=1,0,IF($AI2556=1,Settings!$C$6,Settings!$C$7))*100)</f>
        <v/>
      </c>
      <c r="V2556" s="7">
        <f>IF($C2556="","",R2556*U2556/100)</f>
        <v/>
      </c>
      <c r="W2556" s="7">
        <f>IF($C2556="","",R2556-V2556)</f>
        <v/>
      </c>
      <c r="X2556" s="7">
        <f>IF($C2556="","",W2556-K2556)</f>
        <v/>
      </c>
      <c r="AB2556" s="7" t="n"/>
      <c r="AE2556" s="11" t="n"/>
      <c r="AG2556">
        <f>IF($C2556="","",IF(COUNTIF($C$2:$C2556,$C2556)=1,1,0))</f>
        <v/>
      </c>
      <c r="AH2556">
        <f>IF($AG2556=1,SUMPRODUCT(--($AK$2:$AK$6001&lt;$AK2556))+1,"")</f>
        <v/>
      </c>
      <c r="AI2556">
        <f>IF($C2556="","",IF(OR($N2556=TRUE(),$N2556="TRUE"),1,0))</f>
        <v/>
      </c>
      <c r="AJ2556">
        <f>IF($C2556="","",IF($T2556="Yes",1,0))</f>
        <v/>
      </c>
      <c r="AK2556">
        <f>IF($AG2556=1,IFERROR(IF(VALUE($C2556)&lt;100000000,VALUE($C2556),1000000000),IFERROR(IF(VALUE(MID($C2556,2,20))&lt;100000000,VALUE(MID($C2556,2,20)),1000000000),1000000000))+ROW()/100000,"")</f>
        <v/>
      </c>
    </row>
    <row r="2557">
      <c r="D2557" s="11" t="n"/>
      <c r="K2557" s="7">
        <f>IF($C2557="","",J2557*W2557/100)</f>
        <v/>
      </c>
      <c r="Q2557" s="7" t="n"/>
      <c r="R2557" s="7" t="n"/>
      <c r="U2557">
        <f>IF($C2557="","",IF($AJ2557=1,0,IF($AI2557=1,Settings!$C$6,Settings!$C$7))*100)</f>
        <v/>
      </c>
      <c r="V2557" s="7">
        <f>IF($C2557="","",R2557*U2557/100)</f>
        <v/>
      </c>
      <c r="W2557" s="7">
        <f>IF($C2557="","",R2557-V2557)</f>
        <v/>
      </c>
      <c r="X2557" s="7">
        <f>IF($C2557="","",W2557-K2557)</f>
        <v/>
      </c>
      <c r="AB2557" s="7" t="n"/>
      <c r="AE2557" s="11" t="n"/>
      <c r="AG2557">
        <f>IF($C2557="","",IF(COUNTIF($C$2:$C2557,$C2557)=1,1,0))</f>
        <v/>
      </c>
      <c r="AH2557">
        <f>IF($AG2557=1,SUMPRODUCT(--($AK$2:$AK$6001&lt;$AK2557))+1,"")</f>
        <v/>
      </c>
      <c r="AI2557">
        <f>IF($C2557="","",IF(OR($N2557=TRUE(),$N2557="TRUE"),1,0))</f>
        <v/>
      </c>
      <c r="AJ2557">
        <f>IF($C2557="","",IF($T2557="Yes",1,0))</f>
        <v/>
      </c>
      <c r="AK2557">
        <f>IF($AG2557=1,IFERROR(IF(VALUE($C2557)&lt;100000000,VALUE($C2557),1000000000),IFERROR(IF(VALUE(MID($C2557,2,20))&lt;100000000,VALUE(MID($C2557,2,20)),1000000000),1000000000))+ROW()/100000,"")</f>
        <v/>
      </c>
    </row>
    <row r="2558">
      <c r="D2558" s="11" t="n"/>
      <c r="K2558" s="7">
        <f>IF($C2558="","",J2558*W2558/100)</f>
        <v/>
      </c>
      <c r="Q2558" s="7" t="n"/>
      <c r="R2558" s="7" t="n"/>
      <c r="U2558">
        <f>IF($C2558="","",IF($AJ2558=1,0,IF($AI2558=1,Settings!$C$6,Settings!$C$7))*100)</f>
        <v/>
      </c>
      <c r="V2558" s="7">
        <f>IF($C2558="","",R2558*U2558/100)</f>
        <v/>
      </c>
      <c r="W2558" s="7">
        <f>IF($C2558="","",R2558-V2558)</f>
        <v/>
      </c>
      <c r="X2558" s="7">
        <f>IF($C2558="","",W2558-K2558)</f>
        <v/>
      </c>
      <c r="AB2558" s="7" t="n"/>
      <c r="AE2558" s="11" t="n"/>
      <c r="AG2558">
        <f>IF($C2558="","",IF(COUNTIF($C$2:$C2558,$C2558)=1,1,0))</f>
        <v/>
      </c>
      <c r="AH2558">
        <f>IF($AG2558=1,SUMPRODUCT(--($AK$2:$AK$6001&lt;$AK2558))+1,"")</f>
        <v/>
      </c>
      <c r="AI2558">
        <f>IF($C2558="","",IF(OR($N2558=TRUE(),$N2558="TRUE"),1,0))</f>
        <v/>
      </c>
      <c r="AJ2558">
        <f>IF($C2558="","",IF($T2558="Yes",1,0))</f>
        <v/>
      </c>
      <c r="AK2558">
        <f>IF($AG2558=1,IFERROR(IF(VALUE($C2558)&lt;100000000,VALUE($C2558),1000000000),IFERROR(IF(VALUE(MID($C2558,2,20))&lt;100000000,VALUE(MID($C2558,2,20)),1000000000),1000000000))+ROW()/100000,"")</f>
        <v/>
      </c>
    </row>
    <row r="2559">
      <c r="D2559" s="11" t="n"/>
      <c r="K2559" s="7">
        <f>IF($C2559="","",J2559*W2559/100)</f>
        <v/>
      </c>
      <c r="Q2559" s="7" t="n"/>
      <c r="R2559" s="7" t="n"/>
      <c r="U2559">
        <f>IF($C2559="","",IF($AJ2559=1,0,IF($AI2559=1,Settings!$C$6,Settings!$C$7))*100)</f>
        <v/>
      </c>
      <c r="V2559" s="7">
        <f>IF($C2559="","",R2559*U2559/100)</f>
        <v/>
      </c>
      <c r="W2559" s="7">
        <f>IF($C2559="","",R2559-V2559)</f>
        <v/>
      </c>
      <c r="X2559" s="7">
        <f>IF($C2559="","",W2559-K2559)</f>
        <v/>
      </c>
      <c r="AB2559" s="7" t="n"/>
      <c r="AE2559" s="11" t="n"/>
      <c r="AG2559">
        <f>IF($C2559="","",IF(COUNTIF($C$2:$C2559,$C2559)=1,1,0))</f>
        <v/>
      </c>
      <c r="AH2559">
        <f>IF($AG2559=1,SUMPRODUCT(--($AK$2:$AK$6001&lt;$AK2559))+1,"")</f>
        <v/>
      </c>
      <c r="AI2559">
        <f>IF($C2559="","",IF(OR($N2559=TRUE(),$N2559="TRUE"),1,0))</f>
        <v/>
      </c>
      <c r="AJ2559">
        <f>IF($C2559="","",IF($T2559="Yes",1,0))</f>
        <v/>
      </c>
      <c r="AK2559">
        <f>IF($AG2559=1,IFERROR(IF(VALUE($C2559)&lt;100000000,VALUE($C2559),1000000000),IFERROR(IF(VALUE(MID($C2559,2,20))&lt;100000000,VALUE(MID($C2559,2,20)),1000000000),1000000000))+ROW()/100000,"")</f>
        <v/>
      </c>
    </row>
    <row r="2560">
      <c r="D2560" s="11" t="n"/>
      <c r="K2560" s="7">
        <f>IF($C2560="","",J2560*W2560/100)</f>
        <v/>
      </c>
      <c r="Q2560" s="7" t="n"/>
      <c r="R2560" s="7" t="n"/>
      <c r="U2560">
        <f>IF($C2560="","",IF($AJ2560=1,0,IF($AI2560=1,Settings!$C$6,Settings!$C$7))*100)</f>
        <v/>
      </c>
      <c r="V2560" s="7">
        <f>IF($C2560="","",R2560*U2560/100)</f>
        <v/>
      </c>
      <c r="W2560" s="7">
        <f>IF($C2560="","",R2560-V2560)</f>
        <v/>
      </c>
      <c r="X2560" s="7">
        <f>IF($C2560="","",W2560-K2560)</f>
        <v/>
      </c>
      <c r="AB2560" s="7" t="n"/>
      <c r="AE2560" s="11" t="n"/>
      <c r="AG2560">
        <f>IF($C2560="","",IF(COUNTIF($C$2:$C2560,$C2560)=1,1,0))</f>
        <v/>
      </c>
      <c r="AH2560">
        <f>IF($AG2560=1,SUMPRODUCT(--($AK$2:$AK$6001&lt;$AK2560))+1,"")</f>
        <v/>
      </c>
      <c r="AI2560">
        <f>IF($C2560="","",IF(OR($N2560=TRUE(),$N2560="TRUE"),1,0))</f>
        <v/>
      </c>
      <c r="AJ2560">
        <f>IF($C2560="","",IF($T2560="Yes",1,0))</f>
        <v/>
      </c>
      <c r="AK2560">
        <f>IF($AG2560=1,IFERROR(IF(VALUE($C2560)&lt;100000000,VALUE($C2560),1000000000),IFERROR(IF(VALUE(MID($C2560,2,20))&lt;100000000,VALUE(MID($C2560,2,20)),1000000000),1000000000))+ROW()/100000,"")</f>
        <v/>
      </c>
    </row>
    <row r="2561">
      <c r="D2561" s="11" t="n"/>
      <c r="K2561" s="7">
        <f>IF($C2561="","",J2561*W2561/100)</f>
        <v/>
      </c>
      <c r="Q2561" s="7" t="n"/>
      <c r="R2561" s="7" t="n"/>
      <c r="U2561">
        <f>IF($C2561="","",IF($AJ2561=1,0,IF($AI2561=1,Settings!$C$6,Settings!$C$7))*100)</f>
        <v/>
      </c>
      <c r="V2561" s="7">
        <f>IF($C2561="","",R2561*U2561/100)</f>
        <v/>
      </c>
      <c r="W2561" s="7">
        <f>IF($C2561="","",R2561-V2561)</f>
        <v/>
      </c>
      <c r="X2561" s="7">
        <f>IF($C2561="","",W2561-K2561)</f>
        <v/>
      </c>
      <c r="AB2561" s="7" t="n"/>
      <c r="AE2561" s="11" t="n"/>
      <c r="AG2561">
        <f>IF($C2561="","",IF(COUNTIF($C$2:$C2561,$C2561)=1,1,0))</f>
        <v/>
      </c>
      <c r="AH2561">
        <f>IF($AG2561=1,SUMPRODUCT(--($AK$2:$AK$6001&lt;$AK2561))+1,"")</f>
        <v/>
      </c>
      <c r="AI2561">
        <f>IF($C2561="","",IF(OR($N2561=TRUE(),$N2561="TRUE"),1,0))</f>
        <v/>
      </c>
      <c r="AJ2561">
        <f>IF($C2561="","",IF($T2561="Yes",1,0))</f>
        <v/>
      </c>
      <c r="AK2561">
        <f>IF($AG2561=1,IFERROR(IF(VALUE($C2561)&lt;100000000,VALUE($C2561),1000000000),IFERROR(IF(VALUE(MID($C2561,2,20))&lt;100000000,VALUE(MID($C2561,2,20)),1000000000),1000000000))+ROW()/100000,"")</f>
        <v/>
      </c>
    </row>
    <row r="2562">
      <c r="D2562" s="11" t="n"/>
      <c r="K2562" s="7">
        <f>IF($C2562="","",J2562*W2562/100)</f>
        <v/>
      </c>
      <c r="Q2562" s="7" t="n"/>
      <c r="R2562" s="7" t="n"/>
      <c r="U2562">
        <f>IF($C2562="","",IF($AJ2562=1,0,IF($AI2562=1,Settings!$C$6,Settings!$C$7))*100)</f>
        <v/>
      </c>
      <c r="V2562" s="7">
        <f>IF($C2562="","",R2562*U2562/100)</f>
        <v/>
      </c>
      <c r="W2562" s="7">
        <f>IF($C2562="","",R2562-V2562)</f>
        <v/>
      </c>
      <c r="X2562" s="7">
        <f>IF($C2562="","",W2562-K2562)</f>
        <v/>
      </c>
      <c r="AB2562" s="7" t="n"/>
      <c r="AE2562" s="11" t="n"/>
      <c r="AG2562">
        <f>IF($C2562="","",IF(COUNTIF($C$2:$C2562,$C2562)=1,1,0))</f>
        <v/>
      </c>
      <c r="AH2562">
        <f>IF($AG2562=1,SUMPRODUCT(--($AK$2:$AK$6001&lt;$AK2562))+1,"")</f>
        <v/>
      </c>
      <c r="AI2562">
        <f>IF($C2562="","",IF(OR($N2562=TRUE(),$N2562="TRUE"),1,0))</f>
        <v/>
      </c>
      <c r="AJ2562">
        <f>IF($C2562="","",IF($T2562="Yes",1,0))</f>
        <v/>
      </c>
      <c r="AK2562">
        <f>IF($AG2562=1,IFERROR(IF(VALUE($C2562)&lt;100000000,VALUE($C2562),1000000000),IFERROR(IF(VALUE(MID($C2562,2,20))&lt;100000000,VALUE(MID($C2562,2,20)),1000000000),1000000000))+ROW()/100000,"")</f>
        <v/>
      </c>
    </row>
    <row r="2563">
      <c r="D2563" s="11" t="n"/>
      <c r="K2563" s="7">
        <f>IF($C2563="","",J2563*W2563/100)</f>
        <v/>
      </c>
      <c r="Q2563" s="7" t="n"/>
      <c r="R2563" s="7" t="n"/>
      <c r="U2563">
        <f>IF($C2563="","",IF($AJ2563=1,0,IF($AI2563=1,Settings!$C$6,Settings!$C$7))*100)</f>
        <v/>
      </c>
      <c r="V2563" s="7">
        <f>IF($C2563="","",R2563*U2563/100)</f>
        <v/>
      </c>
      <c r="W2563" s="7">
        <f>IF($C2563="","",R2563-V2563)</f>
        <v/>
      </c>
      <c r="X2563" s="7">
        <f>IF($C2563="","",W2563-K2563)</f>
        <v/>
      </c>
      <c r="AB2563" s="7" t="n"/>
      <c r="AE2563" s="11" t="n"/>
      <c r="AG2563">
        <f>IF($C2563="","",IF(COUNTIF($C$2:$C2563,$C2563)=1,1,0))</f>
        <v/>
      </c>
      <c r="AH2563">
        <f>IF($AG2563=1,SUMPRODUCT(--($AK$2:$AK$6001&lt;$AK2563))+1,"")</f>
        <v/>
      </c>
      <c r="AI2563">
        <f>IF($C2563="","",IF(OR($N2563=TRUE(),$N2563="TRUE"),1,0))</f>
        <v/>
      </c>
      <c r="AJ2563">
        <f>IF($C2563="","",IF($T2563="Yes",1,0))</f>
        <v/>
      </c>
      <c r="AK2563">
        <f>IF($AG2563=1,IFERROR(IF(VALUE($C2563)&lt;100000000,VALUE($C2563),1000000000),IFERROR(IF(VALUE(MID($C2563,2,20))&lt;100000000,VALUE(MID($C2563,2,20)),1000000000),1000000000))+ROW()/100000,"")</f>
        <v/>
      </c>
    </row>
    <row r="2564">
      <c r="D2564" s="11" t="n"/>
      <c r="K2564" s="7">
        <f>IF($C2564="","",J2564*W2564/100)</f>
        <v/>
      </c>
      <c r="Q2564" s="7" t="n"/>
      <c r="R2564" s="7" t="n"/>
      <c r="U2564">
        <f>IF($C2564="","",IF($AJ2564=1,0,IF($AI2564=1,Settings!$C$6,Settings!$C$7))*100)</f>
        <v/>
      </c>
      <c r="V2564" s="7">
        <f>IF($C2564="","",R2564*U2564/100)</f>
        <v/>
      </c>
      <c r="W2564" s="7">
        <f>IF($C2564="","",R2564-V2564)</f>
        <v/>
      </c>
      <c r="X2564" s="7">
        <f>IF($C2564="","",W2564-K2564)</f>
        <v/>
      </c>
      <c r="AB2564" s="7" t="n"/>
      <c r="AE2564" s="11" t="n"/>
      <c r="AG2564">
        <f>IF($C2564="","",IF(COUNTIF($C$2:$C2564,$C2564)=1,1,0))</f>
        <v/>
      </c>
      <c r="AH2564">
        <f>IF($AG2564=1,SUMPRODUCT(--($AK$2:$AK$6001&lt;$AK2564))+1,"")</f>
        <v/>
      </c>
      <c r="AI2564">
        <f>IF($C2564="","",IF(OR($N2564=TRUE(),$N2564="TRUE"),1,0))</f>
        <v/>
      </c>
      <c r="AJ2564">
        <f>IF($C2564="","",IF($T2564="Yes",1,0))</f>
        <v/>
      </c>
      <c r="AK2564">
        <f>IF($AG2564=1,IFERROR(IF(VALUE($C2564)&lt;100000000,VALUE($C2564),1000000000),IFERROR(IF(VALUE(MID($C2564,2,20))&lt;100000000,VALUE(MID($C2564,2,20)),1000000000),1000000000))+ROW()/100000,"")</f>
        <v/>
      </c>
    </row>
    <row r="2565">
      <c r="D2565" s="11" t="n"/>
      <c r="K2565" s="7">
        <f>IF($C2565="","",J2565*W2565/100)</f>
        <v/>
      </c>
      <c r="Q2565" s="7" t="n"/>
      <c r="R2565" s="7" t="n"/>
      <c r="U2565">
        <f>IF($C2565="","",IF($AJ2565=1,0,IF($AI2565=1,Settings!$C$6,Settings!$C$7))*100)</f>
        <v/>
      </c>
      <c r="V2565" s="7">
        <f>IF($C2565="","",R2565*U2565/100)</f>
        <v/>
      </c>
      <c r="W2565" s="7">
        <f>IF($C2565="","",R2565-V2565)</f>
        <v/>
      </c>
      <c r="X2565" s="7">
        <f>IF($C2565="","",W2565-K2565)</f>
        <v/>
      </c>
      <c r="AB2565" s="7" t="n"/>
      <c r="AE2565" s="11" t="n"/>
      <c r="AG2565">
        <f>IF($C2565="","",IF(COUNTIF($C$2:$C2565,$C2565)=1,1,0))</f>
        <v/>
      </c>
      <c r="AH2565">
        <f>IF($AG2565=1,SUMPRODUCT(--($AK$2:$AK$6001&lt;$AK2565))+1,"")</f>
        <v/>
      </c>
      <c r="AI2565">
        <f>IF($C2565="","",IF(OR($N2565=TRUE(),$N2565="TRUE"),1,0))</f>
        <v/>
      </c>
      <c r="AJ2565">
        <f>IF($C2565="","",IF($T2565="Yes",1,0))</f>
        <v/>
      </c>
      <c r="AK2565">
        <f>IF($AG2565=1,IFERROR(IF(VALUE($C2565)&lt;100000000,VALUE($C2565),1000000000),IFERROR(IF(VALUE(MID($C2565,2,20))&lt;100000000,VALUE(MID($C2565,2,20)),1000000000),1000000000))+ROW()/100000,"")</f>
        <v/>
      </c>
    </row>
    <row r="2566">
      <c r="D2566" s="11" t="n"/>
      <c r="K2566" s="7">
        <f>IF($C2566="","",J2566*W2566/100)</f>
        <v/>
      </c>
      <c r="Q2566" s="7" t="n"/>
      <c r="R2566" s="7" t="n"/>
      <c r="U2566">
        <f>IF($C2566="","",IF($AJ2566=1,0,IF($AI2566=1,Settings!$C$6,Settings!$C$7))*100)</f>
        <v/>
      </c>
      <c r="V2566" s="7">
        <f>IF($C2566="","",R2566*U2566/100)</f>
        <v/>
      </c>
      <c r="W2566" s="7">
        <f>IF($C2566="","",R2566-V2566)</f>
        <v/>
      </c>
      <c r="X2566" s="7">
        <f>IF($C2566="","",W2566-K2566)</f>
        <v/>
      </c>
      <c r="AB2566" s="7" t="n"/>
      <c r="AE2566" s="11" t="n"/>
      <c r="AG2566">
        <f>IF($C2566="","",IF(COUNTIF($C$2:$C2566,$C2566)=1,1,0))</f>
        <v/>
      </c>
      <c r="AH2566">
        <f>IF($AG2566=1,SUMPRODUCT(--($AK$2:$AK$6001&lt;$AK2566))+1,"")</f>
        <v/>
      </c>
      <c r="AI2566">
        <f>IF($C2566="","",IF(OR($N2566=TRUE(),$N2566="TRUE"),1,0))</f>
        <v/>
      </c>
      <c r="AJ2566">
        <f>IF($C2566="","",IF($T2566="Yes",1,0))</f>
        <v/>
      </c>
      <c r="AK2566">
        <f>IF($AG2566=1,IFERROR(IF(VALUE($C2566)&lt;100000000,VALUE($C2566),1000000000),IFERROR(IF(VALUE(MID($C2566,2,20))&lt;100000000,VALUE(MID($C2566,2,20)),1000000000),1000000000))+ROW()/100000,"")</f>
        <v/>
      </c>
    </row>
    <row r="2567">
      <c r="D2567" s="11" t="n"/>
      <c r="K2567" s="7">
        <f>IF($C2567="","",J2567*W2567/100)</f>
        <v/>
      </c>
      <c r="Q2567" s="7" t="n"/>
      <c r="R2567" s="7" t="n"/>
      <c r="U2567">
        <f>IF($C2567="","",IF($AJ2567=1,0,IF($AI2567=1,Settings!$C$6,Settings!$C$7))*100)</f>
        <v/>
      </c>
      <c r="V2567" s="7">
        <f>IF($C2567="","",R2567*U2567/100)</f>
        <v/>
      </c>
      <c r="W2567" s="7">
        <f>IF($C2567="","",R2567-V2567)</f>
        <v/>
      </c>
      <c r="X2567" s="7">
        <f>IF($C2567="","",W2567-K2567)</f>
        <v/>
      </c>
      <c r="AB2567" s="7" t="n"/>
      <c r="AE2567" s="11" t="n"/>
      <c r="AG2567">
        <f>IF($C2567="","",IF(COUNTIF($C$2:$C2567,$C2567)=1,1,0))</f>
        <v/>
      </c>
      <c r="AH2567">
        <f>IF($AG2567=1,SUMPRODUCT(--($AK$2:$AK$6001&lt;$AK2567))+1,"")</f>
        <v/>
      </c>
      <c r="AI2567">
        <f>IF($C2567="","",IF(OR($N2567=TRUE(),$N2567="TRUE"),1,0))</f>
        <v/>
      </c>
      <c r="AJ2567">
        <f>IF($C2567="","",IF($T2567="Yes",1,0))</f>
        <v/>
      </c>
      <c r="AK2567">
        <f>IF($AG2567=1,IFERROR(IF(VALUE($C2567)&lt;100000000,VALUE($C2567),1000000000),IFERROR(IF(VALUE(MID($C2567,2,20))&lt;100000000,VALUE(MID($C2567,2,20)),1000000000),1000000000))+ROW()/100000,"")</f>
        <v/>
      </c>
    </row>
    <row r="2568">
      <c r="D2568" s="11" t="n"/>
      <c r="K2568" s="7">
        <f>IF($C2568="","",J2568*W2568/100)</f>
        <v/>
      </c>
      <c r="Q2568" s="7" t="n"/>
      <c r="R2568" s="7" t="n"/>
      <c r="U2568">
        <f>IF($C2568="","",IF($AJ2568=1,0,IF($AI2568=1,Settings!$C$6,Settings!$C$7))*100)</f>
        <v/>
      </c>
      <c r="V2568" s="7">
        <f>IF($C2568="","",R2568*U2568/100)</f>
        <v/>
      </c>
      <c r="W2568" s="7">
        <f>IF($C2568="","",R2568-V2568)</f>
        <v/>
      </c>
      <c r="X2568" s="7">
        <f>IF($C2568="","",W2568-K2568)</f>
        <v/>
      </c>
      <c r="AB2568" s="7" t="n"/>
      <c r="AE2568" s="11" t="n"/>
      <c r="AG2568">
        <f>IF($C2568="","",IF(COUNTIF($C$2:$C2568,$C2568)=1,1,0))</f>
        <v/>
      </c>
      <c r="AH2568">
        <f>IF($AG2568=1,SUMPRODUCT(--($AK$2:$AK$6001&lt;$AK2568))+1,"")</f>
        <v/>
      </c>
      <c r="AI2568">
        <f>IF($C2568="","",IF(OR($N2568=TRUE(),$N2568="TRUE"),1,0))</f>
        <v/>
      </c>
      <c r="AJ2568">
        <f>IF($C2568="","",IF($T2568="Yes",1,0))</f>
        <v/>
      </c>
      <c r="AK2568">
        <f>IF($AG2568=1,IFERROR(IF(VALUE($C2568)&lt;100000000,VALUE($C2568),1000000000),IFERROR(IF(VALUE(MID($C2568,2,20))&lt;100000000,VALUE(MID($C2568,2,20)),1000000000),1000000000))+ROW()/100000,"")</f>
        <v/>
      </c>
    </row>
    <row r="2569">
      <c r="D2569" s="11" t="n"/>
      <c r="K2569" s="7">
        <f>IF($C2569="","",J2569*W2569/100)</f>
        <v/>
      </c>
      <c r="Q2569" s="7" t="n"/>
      <c r="R2569" s="7" t="n"/>
      <c r="U2569">
        <f>IF($C2569="","",IF($AJ2569=1,0,IF($AI2569=1,Settings!$C$6,Settings!$C$7))*100)</f>
        <v/>
      </c>
      <c r="V2569" s="7">
        <f>IF($C2569="","",R2569*U2569/100)</f>
        <v/>
      </c>
      <c r="W2569" s="7">
        <f>IF($C2569="","",R2569-V2569)</f>
        <v/>
      </c>
      <c r="X2569" s="7">
        <f>IF($C2569="","",W2569-K2569)</f>
        <v/>
      </c>
      <c r="AB2569" s="7" t="n"/>
      <c r="AE2569" s="11" t="n"/>
      <c r="AG2569">
        <f>IF($C2569="","",IF(COUNTIF($C$2:$C2569,$C2569)=1,1,0))</f>
        <v/>
      </c>
      <c r="AH2569">
        <f>IF($AG2569=1,SUMPRODUCT(--($AK$2:$AK$6001&lt;$AK2569))+1,"")</f>
        <v/>
      </c>
      <c r="AI2569">
        <f>IF($C2569="","",IF(OR($N2569=TRUE(),$N2569="TRUE"),1,0))</f>
        <v/>
      </c>
      <c r="AJ2569">
        <f>IF($C2569="","",IF($T2569="Yes",1,0))</f>
        <v/>
      </c>
      <c r="AK2569">
        <f>IF($AG2569=1,IFERROR(IF(VALUE($C2569)&lt;100000000,VALUE($C2569),1000000000),IFERROR(IF(VALUE(MID($C2569,2,20))&lt;100000000,VALUE(MID($C2569,2,20)),1000000000),1000000000))+ROW()/100000,"")</f>
        <v/>
      </c>
    </row>
    <row r="2570">
      <c r="D2570" s="11" t="n"/>
      <c r="K2570" s="7">
        <f>IF($C2570="","",J2570*W2570/100)</f>
        <v/>
      </c>
      <c r="Q2570" s="7" t="n"/>
      <c r="R2570" s="7" t="n"/>
      <c r="U2570">
        <f>IF($C2570="","",IF($AJ2570=1,0,IF($AI2570=1,Settings!$C$6,Settings!$C$7))*100)</f>
        <v/>
      </c>
      <c r="V2570" s="7">
        <f>IF($C2570="","",R2570*U2570/100)</f>
        <v/>
      </c>
      <c r="W2570" s="7">
        <f>IF($C2570="","",R2570-V2570)</f>
        <v/>
      </c>
      <c r="X2570" s="7">
        <f>IF($C2570="","",W2570-K2570)</f>
        <v/>
      </c>
      <c r="AB2570" s="7" t="n"/>
      <c r="AE2570" s="11" t="n"/>
      <c r="AG2570">
        <f>IF($C2570="","",IF(COUNTIF($C$2:$C2570,$C2570)=1,1,0))</f>
        <v/>
      </c>
      <c r="AH2570">
        <f>IF($AG2570=1,SUMPRODUCT(--($AK$2:$AK$6001&lt;$AK2570))+1,"")</f>
        <v/>
      </c>
      <c r="AI2570">
        <f>IF($C2570="","",IF(OR($N2570=TRUE(),$N2570="TRUE"),1,0))</f>
        <v/>
      </c>
      <c r="AJ2570">
        <f>IF($C2570="","",IF($T2570="Yes",1,0))</f>
        <v/>
      </c>
      <c r="AK2570">
        <f>IF($AG2570=1,IFERROR(IF(VALUE($C2570)&lt;100000000,VALUE($C2570),1000000000),IFERROR(IF(VALUE(MID($C2570,2,20))&lt;100000000,VALUE(MID($C2570,2,20)),1000000000),1000000000))+ROW()/100000,"")</f>
        <v/>
      </c>
    </row>
    <row r="2571">
      <c r="D2571" s="11" t="n"/>
      <c r="K2571" s="7">
        <f>IF($C2571="","",J2571*W2571/100)</f>
        <v/>
      </c>
      <c r="Q2571" s="7" t="n"/>
      <c r="R2571" s="7" t="n"/>
      <c r="U2571">
        <f>IF($C2571="","",IF($AJ2571=1,0,IF($AI2571=1,Settings!$C$6,Settings!$C$7))*100)</f>
        <v/>
      </c>
      <c r="V2571" s="7">
        <f>IF($C2571="","",R2571*U2571/100)</f>
        <v/>
      </c>
      <c r="W2571" s="7">
        <f>IF($C2571="","",R2571-V2571)</f>
        <v/>
      </c>
      <c r="X2571" s="7">
        <f>IF($C2571="","",W2571-K2571)</f>
        <v/>
      </c>
      <c r="AB2571" s="7" t="n"/>
      <c r="AE2571" s="11" t="n"/>
      <c r="AG2571">
        <f>IF($C2571="","",IF(COUNTIF($C$2:$C2571,$C2571)=1,1,0))</f>
        <v/>
      </c>
      <c r="AH2571">
        <f>IF($AG2571=1,SUMPRODUCT(--($AK$2:$AK$6001&lt;$AK2571))+1,"")</f>
        <v/>
      </c>
      <c r="AI2571">
        <f>IF($C2571="","",IF(OR($N2571=TRUE(),$N2571="TRUE"),1,0))</f>
        <v/>
      </c>
      <c r="AJ2571">
        <f>IF($C2571="","",IF($T2571="Yes",1,0))</f>
        <v/>
      </c>
      <c r="AK2571">
        <f>IF($AG2571=1,IFERROR(IF(VALUE($C2571)&lt;100000000,VALUE($C2571),1000000000),IFERROR(IF(VALUE(MID($C2571,2,20))&lt;100000000,VALUE(MID($C2571,2,20)),1000000000),1000000000))+ROW()/100000,"")</f>
        <v/>
      </c>
    </row>
    <row r="2572">
      <c r="D2572" s="11" t="n"/>
      <c r="K2572" s="7">
        <f>IF($C2572="","",J2572*W2572/100)</f>
        <v/>
      </c>
      <c r="Q2572" s="7" t="n"/>
      <c r="R2572" s="7" t="n"/>
      <c r="U2572">
        <f>IF($C2572="","",IF($AJ2572=1,0,IF($AI2572=1,Settings!$C$6,Settings!$C$7))*100)</f>
        <v/>
      </c>
      <c r="V2572" s="7">
        <f>IF($C2572="","",R2572*U2572/100)</f>
        <v/>
      </c>
      <c r="W2572" s="7">
        <f>IF($C2572="","",R2572-V2572)</f>
        <v/>
      </c>
      <c r="X2572" s="7">
        <f>IF($C2572="","",W2572-K2572)</f>
        <v/>
      </c>
      <c r="AB2572" s="7" t="n"/>
      <c r="AE2572" s="11" t="n"/>
      <c r="AG2572">
        <f>IF($C2572="","",IF(COUNTIF($C$2:$C2572,$C2572)=1,1,0))</f>
        <v/>
      </c>
      <c r="AH2572">
        <f>IF($AG2572=1,SUMPRODUCT(--($AK$2:$AK$6001&lt;$AK2572))+1,"")</f>
        <v/>
      </c>
      <c r="AI2572">
        <f>IF($C2572="","",IF(OR($N2572=TRUE(),$N2572="TRUE"),1,0))</f>
        <v/>
      </c>
      <c r="AJ2572">
        <f>IF($C2572="","",IF($T2572="Yes",1,0))</f>
        <v/>
      </c>
      <c r="AK2572">
        <f>IF($AG2572=1,IFERROR(IF(VALUE($C2572)&lt;100000000,VALUE($C2572),1000000000),IFERROR(IF(VALUE(MID($C2572,2,20))&lt;100000000,VALUE(MID($C2572,2,20)),1000000000),1000000000))+ROW()/100000,"")</f>
        <v/>
      </c>
    </row>
    <row r="2573">
      <c r="D2573" s="11" t="n"/>
      <c r="K2573" s="7">
        <f>IF($C2573="","",J2573*W2573/100)</f>
        <v/>
      </c>
      <c r="Q2573" s="7" t="n"/>
      <c r="R2573" s="7" t="n"/>
      <c r="U2573">
        <f>IF($C2573="","",IF($AJ2573=1,0,IF($AI2573=1,Settings!$C$6,Settings!$C$7))*100)</f>
        <v/>
      </c>
      <c r="V2573" s="7">
        <f>IF($C2573="","",R2573*U2573/100)</f>
        <v/>
      </c>
      <c r="W2573" s="7">
        <f>IF($C2573="","",R2573-V2573)</f>
        <v/>
      </c>
      <c r="X2573" s="7">
        <f>IF($C2573="","",W2573-K2573)</f>
        <v/>
      </c>
      <c r="AB2573" s="7" t="n"/>
      <c r="AE2573" s="11" t="n"/>
      <c r="AG2573">
        <f>IF($C2573="","",IF(COUNTIF($C$2:$C2573,$C2573)=1,1,0))</f>
        <v/>
      </c>
      <c r="AH2573">
        <f>IF($AG2573=1,SUMPRODUCT(--($AK$2:$AK$6001&lt;$AK2573))+1,"")</f>
        <v/>
      </c>
      <c r="AI2573">
        <f>IF($C2573="","",IF(OR($N2573=TRUE(),$N2573="TRUE"),1,0))</f>
        <v/>
      </c>
      <c r="AJ2573">
        <f>IF($C2573="","",IF($T2573="Yes",1,0))</f>
        <v/>
      </c>
      <c r="AK2573">
        <f>IF($AG2573=1,IFERROR(IF(VALUE($C2573)&lt;100000000,VALUE($C2573),1000000000),IFERROR(IF(VALUE(MID($C2573,2,20))&lt;100000000,VALUE(MID($C2573,2,20)),1000000000),1000000000))+ROW()/100000,"")</f>
        <v/>
      </c>
    </row>
    <row r="2574">
      <c r="D2574" s="11" t="n"/>
      <c r="K2574" s="7">
        <f>IF($C2574="","",J2574*W2574/100)</f>
        <v/>
      </c>
      <c r="Q2574" s="7" t="n"/>
      <c r="R2574" s="7" t="n"/>
      <c r="U2574">
        <f>IF($C2574="","",IF($AJ2574=1,0,IF($AI2574=1,Settings!$C$6,Settings!$C$7))*100)</f>
        <v/>
      </c>
      <c r="V2574" s="7">
        <f>IF($C2574="","",R2574*U2574/100)</f>
        <v/>
      </c>
      <c r="W2574" s="7">
        <f>IF($C2574="","",R2574-V2574)</f>
        <v/>
      </c>
      <c r="X2574" s="7">
        <f>IF($C2574="","",W2574-K2574)</f>
        <v/>
      </c>
      <c r="AB2574" s="7" t="n"/>
      <c r="AE2574" s="11" t="n"/>
      <c r="AG2574">
        <f>IF($C2574="","",IF(COUNTIF($C$2:$C2574,$C2574)=1,1,0))</f>
        <v/>
      </c>
      <c r="AH2574">
        <f>IF($AG2574=1,SUMPRODUCT(--($AK$2:$AK$6001&lt;$AK2574))+1,"")</f>
        <v/>
      </c>
      <c r="AI2574">
        <f>IF($C2574="","",IF(OR($N2574=TRUE(),$N2574="TRUE"),1,0))</f>
        <v/>
      </c>
      <c r="AJ2574">
        <f>IF($C2574="","",IF($T2574="Yes",1,0))</f>
        <v/>
      </c>
      <c r="AK2574">
        <f>IF($AG2574=1,IFERROR(IF(VALUE($C2574)&lt;100000000,VALUE($C2574),1000000000),IFERROR(IF(VALUE(MID($C2574,2,20))&lt;100000000,VALUE(MID($C2574,2,20)),1000000000),1000000000))+ROW()/100000,"")</f>
        <v/>
      </c>
    </row>
    <row r="2575">
      <c r="D2575" s="11" t="n"/>
      <c r="K2575" s="7">
        <f>IF($C2575="","",J2575*W2575/100)</f>
        <v/>
      </c>
      <c r="Q2575" s="7" t="n"/>
      <c r="R2575" s="7" t="n"/>
      <c r="U2575">
        <f>IF($C2575="","",IF($AJ2575=1,0,IF($AI2575=1,Settings!$C$6,Settings!$C$7))*100)</f>
        <v/>
      </c>
      <c r="V2575" s="7">
        <f>IF($C2575="","",R2575*U2575/100)</f>
        <v/>
      </c>
      <c r="W2575" s="7">
        <f>IF($C2575="","",R2575-V2575)</f>
        <v/>
      </c>
      <c r="X2575" s="7">
        <f>IF($C2575="","",W2575-K2575)</f>
        <v/>
      </c>
      <c r="AB2575" s="7" t="n"/>
      <c r="AE2575" s="11" t="n"/>
      <c r="AG2575">
        <f>IF($C2575="","",IF(COUNTIF($C$2:$C2575,$C2575)=1,1,0))</f>
        <v/>
      </c>
      <c r="AH2575">
        <f>IF($AG2575=1,SUMPRODUCT(--($AK$2:$AK$6001&lt;$AK2575))+1,"")</f>
        <v/>
      </c>
      <c r="AI2575">
        <f>IF($C2575="","",IF(OR($N2575=TRUE(),$N2575="TRUE"),1,0))</f>
        <v/>
      </c>
      <c r="AJ2575">
        <f>IF($C2575="","",IF($T2575="Yes",1,0))</f>
        <v/>
      </c>
      <c r="AK2575">
        <f>IF($AG2575=1,IFERROR(IF(VALUE($C2575)&lt;100000000,VALUE($C2575),1000000000),IFERROR(IF(VALUE(MID($C2575,2,20))&lt;100000000,VALUE(MID($C2575,2,20)),1000000000),1000000000))+ROW()/100000,"")</f>
        <v/>
      </c>
    </row>
    <row r="2576">
      <c r="D2576" s="11" t="n"/>
      <c r="K2576" s="7">
        <f>IF($C2576="","",J2576*W2576/100)</f>
        <v/>
      </c>
      <c r="Q2576" s="7" t="n"/>
      <c r="R2576" s="7" t="n"/>
      <c r="U2576">
        <f>IF($C2576="","",IF($AJ2576=1,0,IF($AI2576=1,Settings!$C$6,Settings!$C$7))*100)</f>
        <v/>
      </c>
      <c r="V2576" s="7">
        <f>IF($C2576="","",R2576*U2576/100)</f>
        <v/>
      </c>
      <c r="W2576" s="7">
        <f>IF($C2576="","",R2576-V2576)</f>
        <v/>
      </c>
      <c r="X2576" s="7">
        <f>IF($C2576="","",W2576-K2576)</f>
        <v/>
      </c>
      <c r="AB2576" s="7" t="n"/>
      <c r="AE2576" s="11" t="n"/>
      <c r="AG2576">
        <f>IF($C2576="","",IF(COUNTIF($C$2:$C2576,$C2576)=1,1,0))</f>
        <v/>
      </c>
      <c r="AH2576">
        <f>IF($AG2576=1,SUMPRODUCT(--($AK$2:$AK$6001&lt;$AK2576))+1,"")</f>
        <v/>
      </c>
      <c r="AI2576">
        <f>IF($C2576="","",IF(OR($N2576=TRUE(),$N2576="TRUE"),1,0))</f>
        <v/>
      </c>
      <c r="AJ2576">
        <f>IF($C2576="","",IF($T2576="Yes",1,0))</f>
        <v/>
      </c>
      <c r="AK2576">
        <f>IF($AG2576=1,IFERROR(IF(VALUE($C2576)&lt;100000000,VALUE($C2576),1000000000),IFERROR(IF(VALUE(MID($C2576,2,20))&lt;100000000,VALUE(MID($C2576,2,20)),1000000000),1000000000))+ROW()/100000,"")</f>
        <v/>
      </c>
    </row>
    <row r="2577">
      <c r="D2577" s="11" t="n"/>
      <c r="K2577" s="7">
        <f>IF($C2577="","",J2577*W2577/100)</f>
        <v/>
      </c>
      <c r="Q2577" s="7" t="n"/>
      <c r="R2577" s="7" t="n"/>
      <c r="U2577">
        <f>IF($C2577="","",IF($AJ2577=1,0,IF($AI2577=1,Settings!$C$6,Settings!$C$7))*100)</f>
        <v/>
      </c>
      <c r="V2577" s="7">
        <f>IF($C2577="","",R2577*U2577/100)</f>
        <v/>
      </c>
      <c r="W2577" s="7">
        <f>IF($C2577="","",R2577-V2577)</f>
        <v/>
      </c>
      <c r="X2577" s="7">
        <f>IF($C2577="","",W2577-K2577)</f>
        <v/>
      </c>
      <c r="AB2577" s="7" t="n"/>
      <c r="AE2577" s="11" t="n"/>
      <c r="AG2577">
        <f>IF($C2577="","",IF(COUNTIF($C$2:$C2577,$C2577)=1,1,0))</f>
        <v/>
      </c>
      <c r="AH2577">
        <f>IF($AG2577=1,SUMPRODUCT(--($AK$2:$AK$6001&lt;$AK2577))+1,"")</f>
        <v/>
      </c>
      <c r="AI2577">
        <f>IF($C2577="","",IF(OR($N2577=TRUE(),$N2577="TRUE"),1,0))</f>
        <v/>
      </c>
      <c r="AJ2577">
        <f>IF($C2577="","",IF($T2577="Yes",1,0))</f>
        <v/>
      </c>
      <c r="AK2577">
        <f>IF($AG2577=1,IFERROR(IF(VALUE($C2577)&lt;100000000,VALUE($C2577),1000000000),IFERROR(IF(VALUE(MID($C2577,2,20))&lt;100000000,VALUE(MID($C2577,2,20)),1000000000),1000000000))+ROW()/100000,"")</f>
        <v/>
      </c>
    </row>
    <row r="2578">
      <c r="D2578" s="11" t="n"/>
      <c r="K2578" s="7">
        <f>IF($C2578="","",J2578*W2578/100)</f>
        <v/>
      </c>
      <c r="Q2578" s="7" t="n"/>
      <c r="R2578" s="7" t="n"/>
      <c r="U2578">
        <f>IF($C2578="","",IF($AJ2578=1,0,IF($AI2578=1,Settings!$C$6,Settings!$C$7))*100)</f>
        <v/>
      </c>
      <c r="V2578" s="7">
        <f>IF($C2578="","",R2578*U2578/100)</f>
        <v/>
      </c>
      <c r="W2578" s="7">
        <f>IF($C2578="","",R2578-V2578)</f>
        <v/>
      </c>
      <c r="X2578" s="7">
        <f>IF($C2578="","",W2578-K2578)</f>
        <v/>
      </c>
      <c r="AB2578" s="7" t="n"/>
      <c r="AE2578" s="11" t="n"/>
      <c r="AG2578">
        <f>IF($C2578="","",IF(COUNTIF($C$2:$C2578,$C2578)=1,1,0))</f>
        <v/>
      </c>
      <c r="AH2578">
        <f>IF($AG2578=1,SUMPRODUCT(--($AK$2:$AK$6001&lt;$AK2578))+1,"")</f>
        <v/>
      </c>
      <c r="AI2578">
        <f>IF($C2578="","",IF(OR($N2578=TRUE(),$N2578="TRUE"),1,0))</f>
        <v/>
      </c>
      <c r="AJ2578">
        <f>IF($C2578="","",IF($T2578="Yes",1,0))</f>
        <v/>
      </c>
      <c r="AK2578">
        <f>IF($AG2578=1,IFERROR(IF(VALUE($C2578)&lt;100000000,VALUE($C2578),1000000000),IFERROR(IF(VALUE(MID($C2578,2,20))&lt;100000000,VALUE(MID($C2578,2,20)),1000000000),1000000000))+ROW()/100000,"")</f>
        <v/>
      </c>
    </row>
    <row r="2579">
      <c r="D2579" s="11" t="n"/>
      <c r="K2579" s="7">
        <f>IF($C2579="","",J2579*W2579/100)</f>
        <v/>
      </c>
      <c r="Q2579" s="7" t="n"/>
      <c r="R2579" s="7" t="n"/>
      <c r="U2579">
        <f>IF($C2579="","",IF($AJ2579=1,0,IF($AI2579=1,Settings!$C$6,Settings!$C$7))*100)</f>
        <v/>
      </c>
      <c r="V2579" s="7">
        <f>IF($C2579="","",R2579*U2579/100)</f>
        <v/>
      </c>
      <c r="W2579" s="7">
        <f>IF($C2579="","",R2579-V2579)</f>
        <v/>
      </c>
      <c r="X2579" s="7">
        <f>IF($C2579="","",W2579-K2579)</f>
        <v/>
      </c>
      <c r="AB2579" s="7" t="n"/>
      <c r="AE2579" s="11" t="n"/>
      <c r="AG2579">
        <f>IF($C2579="","",IF(COUNTIF($C$2:$C2579,$C2579)=1,1,0))</f>
        <v/>
      </c>
      <c r="AH2579">
        <f>IF($AG2579=1,SUMPRODUCT(--($AK$2:$AK$6001&lt;$AK2579))+1,"")</f>
        <v/>
      </c>
      <c r="AI2579">
        <f>IF($C2579="","",IF(OR($N2579=TRUE(),$N2579="TRUE"),1,0))</f>
        <v/>
      </c>
      <c r="AJ2579">
        <f>IF($C2579="","",IF($T2579="Yes",1,0))</f>
        <v/>
      </c>
      <c r="AK2579">
        <f>IF($AG2579=1,IFERROR(IF(VALUE($C2579)&lt;100000000,VALUE($C2579),1000000000),IFERROR(IF(VALUE(MID($C2579,2,20))&lt;100000000,VALUE(MID($C2579,2,20)),1000000000),1000000000))+ROW()/100000,"")</f>
        <v/>
      </c>
    </row>
    <row r="2580">
      <c r="D2580" s="11" t="n"/>
      <c r="K2580" s="7">
        <f>IF($C2580="","",J2580*W2580/100)</f>
        <v/>
      </c>
      <c r="Q2580" s="7" t="n"/>
      <c r="R2580" s="7" t="n"/>
      <c r="U2580">
        <f>IF($C2580="","",IF($AJ2580=1,0,IF($AI2580=1,Settings!$C$6,Settings!$C$7))*100)</f>
        <v/>
      </c>
      <c r="V2580" s="7">
        <f>IF($C2580="","",R2580*U2580/100)</f>
        <v/>
      </c>
      <c r="W2580" s="7">
        <f>IF($C2580="","",R2580-V2580)</f>
        <v/>
      </c>
      <c r="X2580" s="7">
        <f>IF($C2580="","",W2580-K2580)</f>
        <v/>
      </c>
      <c r="AB2580" s="7" t="n"/>
      <c r="AE2580" s="11" t="n"/>
      <c r="AG2580">
        <f>IF($C2580="","",IF(COUNTIF($C$2:$C2580,$C2580)=1,1,0))</f>
        <v/>
      </c>
      <c r="AH2580">
        <f>IF($AG2580=1,SUMPRODUCT(--($AK$2:$AK$6001&lt;$AK2580))+1,"")</f>
        <v/>
      </c>
      <c r="AI2580">
        <f>IF($C2580="","",IF(OR($N2580=TRUE(),$N2580="TRUE"),1,0))</f>
        <v/>
      </c>
      <c r="AJ2580">
        <f>IF($C2580="","",IF($T2580="Yes",1,0))</f>
        <v/>
      </c>
      <c r="AK2580">
        <f>IF($AG2580=1,IFERROR(IF(VALUE($C2580)&lt;100000000,VALUE($C2580),1000000000),IFERROR(IF(VALUE(MID($C2580,2,20))&lt;100000000,VALUE(MID($C2580,2,20)),1000000000),1000000000))+ROW()/100000,"")</f>
        <v/>
      </c>
    </row>
    <row r="2581">
      <c r="D2581" s="11" t="n"/>
      <c r="K2581" s="7">
        <f>IF($C2581="","",J2581*W2581/100)</f>
        <v/>
      </c>
      <c r="Q2581" s="7" t="n"/>
      <c r="R2581" s="7" t="n"/>
      <c r="U2581">
        <f>IF($C2581="","",IF($AJ2581=1,0,IF($AI2581=1,Settings!$C$6,Settings!$C$7))*100)</f>
        <v/>
      </c>
      <c r="V2581" s="7">
        <f>IF($C2581="","",R2581*U2581/100)</f>
        <v/>
      </c>
      <c r="W2581" s="7">
        <f>IF($C2581="","",R2581-V2581)</f>
        <v/>
      </c>
      <c r="X2581" s="7">
        <f>IF($C2581="","",W2581-K2581)</f>
        <v/>
      </c>
      <c r="AB2581" s="7" t="n"/>
      <c r="AE2581" s="11" t="n"/>
      <c r="AG2581">
        <f>IF($C2581="","",IF(COUNTIF($C$2:$C2581,$C2581)=1,1,0))</f>
        <v/>
      </c>
      <c r="AH2581">
        <f>IF($AG2581=1,SUMPRODUCT(--($AK$2:$AK$6001&lt;$AK2581))+1,"")</f>
        <v/>
      </c>
      <c r="AI2581">
        <f>IF($C2581="","",IF(OR($N2581=TRUE(),$N2581="TRUE"),1,0))</f>
        <v/>
      </c>
      <c r="AJ2581">
        <f>IF($C2581="","",IF($T2581="Yes",1,0))</f>
        <v/>
      </c>
      <c r="AK2581">
        <f>IF($AG2581=1,IFERROR(IF(VALUE($C2581)&lt;100000000,VALUE($C2581),1000000000),IFERROR(IF(VALUE(MID($C2581,2,20))&lt;100000000,VALUE(MID($C2581,2,20)),1000000000),1000000000))+ROW()/100000,"")</f>
        <v/>
      </c>
    </row>
    <row r="2582">
      <c r="D2582" s="11" t="n"/>
      <c r="K2582" s="7">
        <f>IF($C2582="","",J2582*W2582/100)</f>
        <v/>
      </c>
      <c r="Q2582" s="7" t="n"/>
      <c r="R2582" s="7" t="n"/>
      <c r="U2582">
        <f>IF($C2582="","",IF($AJ2582=1,0,IF($AI2582=1,Settings!$C$6,Settings!$C$7))*100)</f>
        <v/>
      </c>
      <c r="V2582" s="7">
        <f>IF($C2582="","",R2582*U2582/100)</f>
        <v/>
      </c>
      <c r="W2582" s="7">
        <f>IF($C2582="","",R2582-V2582)</f>
        <v/>
      </c>
      <c r="X2582" s="7">
        <f>IF($C2582="","",W2582-K2582)</f>
        <v/>
      </c>
      <c r="AB2582" s="7" t="n"/>
      <c r="AE2582" s="11" t="n"/>
      <c r="AG2582">
        <f>IF($C2582="","",IF(COUNTIF($C$2:$C2582,$C2582)=1,1,0))</f>
        <v/>
      </c>
      <c r="AH2582">
        <f>IF($AG2582=1,SUMPRODUCT(--($AK$2:$AK$6001&lt;$AK2582))+1,"")</f>
        <v/>
      </c>
      <c r="AI2582">
        <f>IF($C2582="","",IF(OR($N2582=TRUE(),$N2582="TRUE"),1,0))</f>
        <v/>
      </c>
      <c r="AJ2582">
        <f>IF($C2582="","",IF($T2582="Yes",1,0))</f>
        <v/>
      </c>
      <c r="AK2582">
        <f>IF($AG2582=1,IFERROR(IF(VALUE($C2582)&lt;100000000,VALUE($C2582),1000000000),IFERROR(IF(VALUE(MID($C2582,2,20))&lt;100000000,VALUE(MID($C2582,2,20)),1000000000),1000000000))+ROW()/100000,"")</f>
        <v/>
      </c>
    </row>
    <row r="2583">
      <c r="D2583" s="11" t="n"/>
      <c r="K2583" s="7">
        <f>IF($C2583="","",J2583*W2583/100)</f>
        <v/>
      </c>
      <c r="Q2583" s="7" t="n"/>
      <c r="R2583" s="7" t="n"/>
      <c r="U2583">
        <f>IF($C2583="","",IF($AJ2583=1,0,IF($AI2583=1,Settings!$C$6,Settings!$C$7))*100)</f>
        <v/>
      </c>
      <c r="V2583" s="7">
        <f>IF($C2583="","",R2583*U2583/100)</f>
        <v/>
      </c>
      <c r="W2583" s="7">
        <f>IF($C2583="","",R2583-V2583)</f>
        <v/>
      </c>
      <c r="X2583" s="7">
        <f>IF($C2583="","",W2583-K2583)</f>
        <v/>
      </c>
      <c r="AB2583" s="7" t="n"/>
      <c r="AE2583" s="11" t="n"/>
      <c r="AG2583">
        <f>IF($C2583="","",IF(COUNTIF($C$2:$C2583,$C2583)=1,1,0))</f>
        <v/>
      </c>
      <c r="AH2583">
        <f>IF($AG2583=1,SUMPRODUCT(--($AK$2:$AK$6001&lt;$AK2583))+1,"")</f>
        <v/>
      </c>
      <c r="AI2583">
        <f>IF($C2583="","",IF(OR($N2583=TRUE(),$N2583="TRUE"),1,0))</f>
        <v/>
      </c>
      <c r="AJ2583">
        <f>IF($C2583="","",IF($T2583="Yes",1,0))</f>
        <v/>
      </c>
      <c r="AK2583">
        <f>IF($AG2583=1,IFERROR(IF(VALUE($C2583)&lt;100000000,VALUE($C2583),1000000000),IFERROR(IF(VALUE(MID($C2583,2,20))&lt;100000000,VALUE(MID($C2583,2,20)),1000000000),1000000000))+ROW()/100000,"")</f>
        <v/>
      </c>
    </row>
    <row r="2584">
      <c r="D2584" s="11" t="n"/>
      <c r="K2584" s="7">
        <f>IF($C2584="","",J2584*W2584/100)</f>
        <v/>
      </c>
      <c r="Q2584" s="7" t="n"/>
      <c r="R2584" s="7" t="n"/>
      <c r="U2584">
        <f>IF($C2584="","",IF($AJ2584=1,0,IF($AI2584=1,Settings!$C$6,Settings!$C$7))*100)</f>
        <v/>
      </c>
      <c r="V2584" s="7">
        <f>IF($C2584="","",R2584*U2584/100)</f>
        <v/>
      </c>
      <c r="W2584" s="7">
        <f>IF($C2584="","",R2584-V2584)</f>
        <v/>
      </c>
      <c r="X2584" s="7">
        <f>IF($C2584="","",W2584-K2584)</f>
        <v/>
      </c>
      <c r="AB2584" s="7" t="n"/>
      <c r="AE2584" s="11" t="n"/>
      <c r="AG2584">
        <f>IF($C2584="","",IF(COUNTIF($C$2:$C2584,$C2584)=1,1,0))</f>
        <v/>
      </c>
      <c r="AH2584">
        <f>IF($AG2584=1,SUMPRODUCT(--($AK$2:$AK$6001&lt;$AK2584))+1,"")</f>
        <v/>
      </c>
      <c r="AI2584">
        <f>IF($C2584="","",IF(OR($N2584=TRUE(),$N2584="TRUE"),1,0))</f>
        <v/>
      </c>
      <c r="AJ2584">
        <f>IF($C2584="","",IF($T2584="Yes",1,0))</f>
        <v/>
      </c>
      <c r="AK2584">
        <f>IF($AG2584=1,IFERROR(IF(VALUE($C2584)&lt;100000000,VALUE($C2584),1000000000),IFERROR(IF(VALUE(MID($C2584,2,20))&lt;100000000,VALUE(MID($C2584,2,20)),1000000000),1000000000))+ROW()/100000,"")</f>
        <v/>
      </c>
    </row>
    <row r="2585">
      <c r="D2585" s="11" t="n"/>
      <c r="K2585" s="7">
        <f>IF($C2585="","",J2585*W2585/100)</f>
        <v/>
      </c>
      <c r="Q2585" s="7" t="n"/>
      <c r="R2585" s="7" t="n"/>
      <c r="U2585">
        <f>IF($C2585="","",IF($AJ2585=1,0,IF($AI2585=1,Settings!$C$6,Settings!$C$7))*100)</f>
        <v/>
      </c>
      <c r="V2585" s="7">
        <f>IF($C2585="","",R2585*U2585/100)</f>
        <v/>
      </c>
      <c r="W2585" s="7">
        <f>IF($C2585="","",R2585-V2585)</f>
        <v/>
      </c>
      <c r="X2585" s="7">
        <f>IF($C2585="","",W2585-K2585)</f>
        <v/>
      </c>
      <c r="AB2585" s="7" t="n"/>
      <c r="AE2585" s="11" t="n"/>
      <c r="AG2585">
        <f>IF($C2585="","",IF(COUNTIF($C$2:$C2585,$C2585)=1,1,0))</f>
        <v/>
      </c>
      <c r="AH2585">
        <f>IF($AG2585=1,SUMPRODUCT(--($AK$2:$AK$6001&lt;$AK2585))+1,"")</f>
        <v/>
      </c>
      <c r="AI2585">
        <f>IF($C2585="","",IF(OR($N2585=TRUE(),$N2585="TRUE"),1,0))</f>
        <v/>
      </c>
      <c r="AJ2585">
        <f>IF($C2585="","",IF($T2585="Yes",1,0))</f>
        <v/>
      </c>
      <c r="AK2585">
        <f>IF($AG2585=1,IFERROR(IF(VALUE($C2585)&lt;100000000,VALUE($C2585),1000000000),IFERROR(IF(VALUE(MID($C2585,2,20))&lt;100000000,VALUE(MID($C2585,2,20)),1000000000),1000000000))+ROW()/100000,"")</f>
        <v/>
      </c>
    </row>
    <row r="2586">
      <c r="D2586" s="11" t="n"/>
      <c r="K2586" s="7">
        <f>IF($C2586="","",J2586*W2586/100)</f>
        <v/>
      </c>
      <c r="Q2586" s="7" t="n"/>
      <c r="R2586" s="7" t="n"/>
      <c r="U2586">
        <f>IF($C2586="","",IF($AJ2586=1,0,IF($AI2586=1,Settings!$C$6,Settings!$C$7))*100)</f>
        <v/>
      </c>
      <c r="V2586" s="7">
        <f>IF($C2586="","",R2586*U2586/100)</f>
        <v/>
      </c>
      <c r="W2586" s="7">
        <f>IF($C2586="","",R2586-V2586)</f>
        <v/>
      </c>
      <c r="X2586" s="7">
        <f>IF($C2586="","",W2586-K2586)</f>
        <v/>
      </c>
      <c r="AB2586" s="7" t="n"/>
      <c r="AE2586" s="11" t="n"/>
      <c r="AG2586">
        <f>IF($C2586="","",IF(COUNTIF($C$2:$C2586,$C2586)=1,1,0))</f>
        <v/>
      </c>
      <c r="AH2586">
        <f>IF($AG2586=1,SUMPRODUCT(--($AK$2:$AK$6001&lt;$AK2586))+1,"")</f>
        <v/>
      </c>
      <c r="AI2586">
        <f>IF($C2586="","",IF(OR($N2586=TRUE(),$N2586="TRUE"),1,0))</f>
        <v/>
      </c>
      <c r="AJ2586">
        <f>IF($C2586="","",IF($T2586="Yes",1,0))</f>
        <v/>
      </c>
      <c r="AK2586">
        <f>IF($AG2586=1,IFERROR(IF(VALUE($C2586)&lt;100000000,VALUE($C2586),1000000000),IFERROR(IF(VALUE(MID($C2586,2,20))&lt;100000000,VALUE(MID($C2586,2,20)),1000000000),1000000000))+ROW()/100000,"")</f>
        <v/>
      </c>
    </row>
    <row r="2587">
      <c r="D2587" s="11" t="n"/>
      <c r="K2587" s="7">
        <f>IF($C2587="","",J2587*W2587/100)</f>
        <v/>
      </c>
      <c r="Q2587" s="7" t="n"/>
      <c r="R2587" s="7" t="n"/>
      <c r="U2587">
        <f>IF($C2587="","",IF($AJ2587=1,0,IF($AI2587=1,Settings!$C$6,Settings!$C$7))*100)</f>
        <v/>
      </c>
      <c r="V2587" s="7">
        <f>IF($C2587="","",R2587*U2587/100)</f>
        <v/>
      </c>
      <c r="W2587" s="7">
        <f>IF($C2587="","",R2587-V2587)</f>
        <v/>
      </c>
      <c r="X2587" s="7">
        <f>IF($C2587="","",W2587-K2587)</f>
        <v/>
      </c>
      <c r="AB2587" s="7" t="n"/>
      <c r="AE2587" s="11" t="n"/>
      <c r="AG2587">
        <f>IF($C2587="","",IF(COUNTIF($C$2:$C2587,$C2587)=1,1,0))</f>
        <v/>
      </c>
      <c r="AH2587">
        <f>IF($AG2587=1,SUMPRODUCT(--($AK$2:$AK$6001&lt;$AK2587))+1,"")</f>
        <v/>
      </c>
      <c r="AI2587">
        <f>IF($C2587="","",IF(OR($N2587=TRUE(),$N2587="TRUE"),1,0))</f>
        <v/>
      </c>
      <c r="AJ2587">
        <f>IF($C2587="","",IF($T2587="Yes",1,0))</f>
        <v/>
      </c>
      <c r="AK2587">
        <f>IF($AG2587=1,IFERROR(IF(VALUE($C2587)&lt;100000000,VALUE($C2587),1000000000),IFERROR(IF(VALUE(MID($C2587,2,20))&lt;100000000,VALUE(MID($C2587,2,20)),1000000000),1000000000))+ROW()/100000,"")</f>
        <v/>
      </c>
    </row>
    <row r="2588">
      <c r="D2588" s="11" t="n"/>
      <c r="K2588" s="7">
        <f>IF($C2588="","",J2588*W2588/100)</f>
        <v/>
      </c>
      <c r="Q2588" s="7" t="n"/>
      <c r="R2588" s="7" t="n"/>
      <c r="U2588">
        <f>IF($C2588="","",IF($AJ2588=1,0,IF($AI2588=1,Settings!$C$6,Settings!$C$7))*100)</f>
        <v/>
      </c>
      <c r="V2588" s="7">
        <f>IF($C2588="","",R2588*U2588/100)</f>
        <v/>
      </c>
      <c r="W2588" s="7">
        <f>IF($C2588="","",R2588-V2588)</f>
        <v/>
      </c>
      <c r="X2588" s="7">
        <f>IF($C2588="","",W2588-K2588)</f>
        <v/>
      </c>
      <c r="AB2588" s="7" t="n"/>
      <c r="AE2588" s="11" t="n"/>
      <c r="AG2588">
        <f>IF($C2588="","",IF(COUNTIF($C$2:$C2588,$C2588)=1,1,0))</f>
        <v/>
      </c>
      <c r="AH2588">
        <f>IF($AG2588=1,SUMPRODUCT(--($AK$2:$AK$6001&lt;$AK2588))+1,"")</f>
        <v/>
      </c>
      <c r="AI2588">
        <f>IF($C2588="","",IF(OR($N2588=TRUE(),$N2588="TRUE"),1,0))</f>
        <v/>
      </c>
      <c r="AJ2588">
        <f>IF($C2588="","",IF($T2588="Yes",1,0))</f>
        <v/>
      </c>
      <c r="AK2588">
        <f>IF($AG2588=1,IFERROR(IF(VALUE($C2588)&lt;100000000,VALUE($C2588),1000000000),IFERROR(IF(VALUE(MID($C2588,2,20))&lt;100000000,VALUE(MID($C2588,2,20)),1000000000),1000000000))+ROW()/100000,"")</f>
        <v/>
      </c>
    </row>
    <row r="2589">
      <c r="D2589" s="11" t="n"/>
      <c r="K2589" s="7">
        <f>IF($C2589="","",J2589*W2589/100)</f>
        <v/>
      </c>
      <c r="Q2589" s="7" t="n"/>
      <c r="R2589" s="7" t="n"/>
      <c r="U2589">
        <f>IF($C2589="","",IF($AJ2589=1,0,IF($AI2589=1,Settings!$C$6,Settings!$C$7))*100)</f>
        <v/>
      </c>
      <c r="V2589" s="7">
        <f>IF($C2589="","",R2589*U2589/100)</f>
        <v/>
      </c>
      <c r="W2589" s="7">
        <f>IF($C2589="","",R2589-V2589)</f>
        <v/>
      </c>
      <c r="X2589" s="7">
        <f>IF($C2589="","",W2589-K2589)</f>
        <v/>
      </c>
      <c r="AB2589" s="7" t="n"/>
      <c r="AE2589" s="11" t="n"/>
      <c r="AG2589">
        <f>IF($C2589="","",IF(COUNTIF($C$2:$C2589,$C2589)=1,1,0))</f>
        <v/>
      </c>
      <c r="AH2589">
        <f>IF($AG2589=1,SUMPRODUCT(--($AK$2:$AK$6001&lt;$AK2589))+1,"")</f>
        <v/>
      </c>
      <c r="AI2589">
        <f>IF($C2589="","",IF(OR($N2589=TRUE(),$N2589="TRUE"),1,0))</f>
        <v/>
      </c>
      <c r="AJ2589">
        <f>IF($C2589="","",IF($T2589="Yes",1,0))</f>
        <v/>
      </c>
      <c r="AK2589">
        <f>IF($AG2589=1,IFERROR(IF(VALUE($C2589)&lt;100000000,VALUE($C2589),1000000000),IFERROR(IF(VALUE(MID($C2589,2,20))&lt;100000000,VALUE(MID($C2589,2,20)),1000000000),1000000000))+ROW()/100000,"")</f>
        <v/>
      </c>
    </row>
    <row r="2590">
      <c r="D2590" s="11" t="n"/>
      <c r="K2590" s="7">
        <f>IF($C2590="","",J2590*W2590/100)</f>
        <v/>
      </c>
      <c r="Q2590" s="7" t="n"/>
      <c r="R2590" s="7" t="n"/>
      <c r="U2590">
        <f>IF($C2590="","",IF($AJ2590=1,0,IF($AI2590=1,Settings!$C$6,Settings!$C$7))*100)</f>
        <v/>
      </c>
      <c r="V2590" s="7">
        <f>IF($C2590="","",R2590*U2590/100)</f>
        <v/>
      </c>
      <c r="W2590" s="7">
        <f>IF($C2590="","",R2590-V2590)</f>
        <v/>
      </c>
      <c r="X2590" s="7">
        <f>IF($C2590="","",W2590-K2590)</f>
        <v/>
      </c>
      <c r="AB2590" s="7" t="n"/>
      <c r="AE2590" s="11" t="n"/>
      <c r="AG2590">
        <f>IF($C2590="","",IF(COUNTIF($C$2:$C2590,$C2590)=1,1,0))</f>
        <v/>
      </c>
      <c r="AH2590">
        <f>IF($AG2590=1,SUMPRODUCT(--($AK$2:$AK$6001&lt;$AK2590))+1,"")</f>
        <v/>
      </c>
      <c r="AI2590">
        <f>IF($C2590="","",IF(OR($N2590=TRUE(),$N2590="TRUE"),1,0))</f>
        <v/>
      </c>
      <c r="AJ2590">
        <f>IF($C2590="","",IF($T2590="Yes",1,0))</f>
        <v/>
      </c>
      <c r="AK2590">
        <f>IF($AG2590=1,IFERROR(IF(VALUE($C2590)&lt;100000000,VALUE($C2590),1000000000),IFERROR(IF(VALUE(MID($C2590,2,20))&lt;100000000,VALUE(MID($C2590,2,20)),1000000000),1000000000))+ROW()/100000,"")</f>
        <v/>
      </c>
    </row>
    <row r="2591">
      <c r="D2591" s="11" t="n"/>
      <c r="K2591" s="7">
        <f>IF($C2591="","",J2591*W2591/100)</f>
        <v/>
      </c>
      <c r="Q2591" s="7" t="n"/>
      <c r="R2591" s="7" t="n"/>
      <c r="U2591">
        <f>IF($C2591="","",IF($AJ2591=1,0,IF($AI2591=1,Settings!$C$6,Settings!$C$7))*100)</f>
        <v/>
      </c>
      <c r="V2591" s="7">
        <f>IF($C2591="","",R2591*U2591/100)</f>
        <v/>
      </c>
      <c r="W2591" s="7">
        <f>IF($C2591="","",R2591-V2591)</f>
        <v/>
      </c>
      <c r="X2591" s="7">
        <f>IF($C2591="","",W2591-K2591)</f>
        <v/>
      </c>
      <c r="AB2591" s="7" t="n"/>
      <c r="AE2591" s="11" t="n"/>
      <c r="AG2591">
        <f>IF($C2591="","",IF(COUNTIF($C$2:$C2591,$C2591)=1,1,0))</f>
        <v/>
      </c>
      <c r="AH2591">
        <f>IF($AG2591=1,SUMPRODUCT(--($AK$2:$AK$6001&lt;$AK2591))+1,"")</f>
        <v/>
      </c>
      <c r="AI2591">
        <f>IF($C2591="","",IF(OR($N2591=TRUE(),$N2591="TRUE"),1,0))</f>
        <v/>
      </c>
      <c r="AJ2591">
        <f>IF($C2591="","",IF($T2591="Yes",1,0))</f>
        <v/>
      </c>
      <c r="AK2591">
        <f>IF($AG2591=1,IFERROR(IF(VALUE($C2591)&lt;100000000,VALUE($C2591),1000000000),IFERROR(IF(VALUE(MID($C2591,2,20))&lt;100000000,VALUE(MID($C2591,2,20)),1000000000),1000000000))+ROW()/100000,"")</f>
        <v/>
      </c>
    </row>
    <row r="2592">
      <c r="D2592" s="11" t="n"/>
      <c r="K2592" s="7">
        <f>IF($C2592="","",J2592*W2592/100)</f>
        <v/>
      </c>
      <c r="Q2592" s="7" t="n"/>
      <c r="R2592" s="7" t="n"/>
      <c r="U2592">
        <f>IF($C2592="","",IF($AJ2592=1,0,IF($AI2592=1,Settings!$C$6,Settings!$C$7))*100)</f>
        <v/>
      </c>
      <c r="V2592" s="7">
        <f>IF($C2592="","",R2592*U2592/100)</f>
        <v/>
      </c>
      <c r="W2592" s="7">
        <f>IF($C2592="","",R2592-V2592)</f>
        <v/>
      </c>
      <c r="X2592" s="7">
        <f>IF($C2592="","",W2592-K2592)</f>
        <v/>
      </c>
      <c r="AB2592" s="7" t="n"/>
      <c r="AE2592" s="11" t="n"/>
      <c r="AG2592">
        <f>IF($C2592="","",IF(COUNTIF($C$2:$C2592,$C2592)=1,1,0))</f>
        <v/>
      </c>
      <c r="AH2592">
        <f>IF($AG2592=1,SUMPRODUCT(--($AK$2:$AK$6001&lt;$AK2592))+1,"")</f>
        <v/>
      </c>
      <c r="AI2592">
        <f>IF($C2592="","",IF(OR($N2592=TRUE(),$N2592="TRUE"),1,0))</f>
        <v/>
      </c>
      <c r="AJ2592">
        <f>IF($C2592="","",IF($T2592="Yes",1,0))</f>
        <v/>
      </c>
      <c r="AK2592">
        <f>IF($AG2592=1,IFERROR(IF(VALUE($C2592)&lt;100000000,VALUE($C2592),1000000000),IFERROR(IF(VALUE(MID($C2592,2,20))&lt;100000000,VALUE(MID($C2592,2,20)),1000000000),1000000000))+ROW()/100000,"")</f>
        <v/>
      </c>
    </row>
    <row r="2593">
      <c r="D2593" s="11" t="n"/>
      <c r="K2593" s="7">
        <f>IF($C2593="","",J2593*W2593/100)</f>
        <v/>
      </c>
      <c r="Q2593" s="7" t="n"/>
      <c r="R2593" s="7" t="n"/>
      <c r="U2593">
        <f>IF($C2593="","",IF($AJ2593=1,0,IF($AI2593=1,Settings!$C$6,Settings!$C$7))*100)</f>
        <v/>
      </c>
      <c r="V2593" s="7">
        <f>IF($C2593="","",R2593*U2593/100)</f>
        <v/>
      </c>
      <c r="W2593" s="7">
        <f>IF($C2593="","",R2593-V2593)</f>
        <v/>
      </c>
      <c r="X2593" s="7">
        <f>IF($C2593="","",W2593-K2593)</f>
        <v/>
      </c>
      <c r="AB2593" s="7" t="n"/>
      <c r="AE2593" s="11" t="n"/>
      <c r="AG2593">
        <f>IF($C2593="","",IF(COUNTIF($C$2:$C2593,$C2593)=1,1,0))</f>
        <v/>
      </c>
      <c r="AH2593">
        <f>IF($AG2593=1,SUMPRODUCT(--($AK$2:$AK$6001&lt;$AK2593))+1,"")</f>
        <v/>
      </c>
      <c r="AI2593">
        <f>IF($C2593="","",IF(OR($N2593=TRUE(),$N2593="TRUE"),1,0))</f>
        <v/>
      </c>
      <c r="AJ2593">
        <f>IF($C2593="","",IF($T2593="Yes",1,0))</f>
        <v/>
      </c>
      <c r="AK2593">
        <f>IF($AG2593=1,IFERROR(IF(VALUE($C2593)&lt;100000000,VALUE($C2593),1000000000),IFERROR(IF(VALUE(MID($C2593,2,20))&lt;100000000,VALUE(MID($C2593,2,20)),1000000000),1000000000))+ROW()/100000,"")</f>
        <v/>
      </c>
    </row>
    <row r="2594">
      <c r="D2594" s="11" t="n"/>
      <c r="K2594" s="7">
        <f>IF($C2594="","",J2594*W2594/100)</f>
        <v/>
      </c>
      <c r="Q2594" s="7" t="n"/>
      <c r="R2594" s="7" t="n"/>
      <c r="U2594">
        <f>IF($C2594="","",IF($AJ2594=1,0,IF($AI2594=1,Settings!$C$6,Settings!$C$7))*100)</f>
        <v/>
      </c>
      <c r="V2594" s="7">
        <f>IF($C2594="","",R2594*U2594/100)</f>
        <v/>
      </c>
      <c r="W2594" s="7">
        <f>IF($C2594="","",R2594-V2594)</f>
        <v/>
      </c>
      <c r="X2594" s="7">
        <f>IF($C2594="","",W2594-K2594)</f>
        <v/>
      </c>
      <c r="AB2594" s="7" t="n"/>
      <c r="AE2594" s="11" t="n"/>
      <c r="AG2594">
        <f>IF($C2594="","",IF(COUNTIF($C$2:$C2594,$C2594)=1,1,0))</f>
        <v/>
      </c>
      <c r="AH2594">
        <f>IF($AG2594=1,SUMPRODUCT(--($AK$2:$AK$6001&lt;$AK2594))+1,"")</f>
        <v/>
      </c>
      <c r="AI2594">
        <f>IF($C2594="","",IF(OR($N2594=TRUE(),$N2594="TRUE"),1,0))</f>
        <v/>
      </c>
      <c r="AJ2594">
        <f>IF($C2594="","",IF($T2594="Yes",1,0))</f>
        <v/>
      </c>
      <c r="AK2594">
        <f>IF($AG2594=1,IFERROR(IF(VALUE($C2594)&lt;100000000,VALUE($C2594),1000000000),IFERROR(IF(VALUE(MID($C2594,2,20))&lt;100000000,VALUE(MID($C2594,2,20)),1000000000),1000000000))+ROW()/100000,"")</f>
        <v/>
      </c>
    </row>
    <row r="2595">
      <c r="D2595" s="11" t="n"/>
      <c r="K2595" s="7">
        <f>IF($C2595="","",J2595*W2595/100)</f>
        <v/>
      </c>
      <c r="Q2595" s="7" t="n"/>
      <c r="R2595" s="7" t="n"/>
      <c r="U2595">
        <f>IF($C2595="","",IF($AJ2595=1,0,IF($AI2595=1,Settings!$C$6,Settings!$C$7))*100)</f>
        <v/>
      </c>
      <c r="V2595" s="7">
        <f>IF($C2595="","",R2595*U2595/100)</f>
        <v/>
      </c>
      <c r="W2595" s="7">
        <f>IF($C2595="","",R2595-V2595)</f>
        <v/>
      </c>
      <c r="X2595" s="7">
        <f>IF($C2595="","",W2595-K2595)</f>
        <v/>
      </c>
      <c r="AB2595" s="7" t="n"/>
      <c r="AE2595" s="11" t="n"/>
      <c r="AG2595">
        <f>IF($C2595="","",IF(COUNTIF($C$2:$C2595,$C2595)=1,1,0))</f>
        <v/>
      </c>
      <c r="AH2595">
        <f>IF($AG2595=1,SUMPRODUCT(--($AK$2:$AK$6001&lt;$AK2595))+1,"")</f>
        <v/>
      </c>
      <c r="AI2595">
        <f>IF($C2595="","",IF(OR($N2595=TRUE(),$N2595="TRUE"),1,0))</f>
        <v/>
      </c>
      <c r="AJ2595">
        <f>IF($C2595="","",IF($T2595="Yes",1,0))</f>
        <v/>
      </c>
      <c r="AK2595">
        <f>IF($AG2595=1,IFERROR(IF(VALUE($C2595)&lt;100000000,VALUE($C2595),1000000000),IFERROR(IF(VALUE(MID($C2595,2,20))&lt;100000000,VALUE(MID($C2595,2,20)),1000000000),1000000000))+ROW()/100000,"")</f>
        <v/>
      </c>
    </row>
    <row r="2596">
      <c r="D2596" s="11" t="n"/>
      <c r="K2596" s="7">
        <f>IF($C2596="","",J2596*W2596/100)</f>
        <v/>
      </c>
      <c r="Q2596" s="7" t="n"/>
      <c r="R2596" s="7" t="n"/>
      <c r="U2596">
        <f>IF($C2596="","",IF($AJ2596=1,0,IF($AI2596=1,Settings!$C$6,Settings!$C$7))*100)</f>
        <v/>
      </c>
      <c r="V2596" s="7">
        <f>IF($C2596="","",R2596*U2596/100)</f>
        <v/>
      </c>
      <c r="W2596" s="7">
        <f>IF($C2596="","",R2596-V2596)</f>
        <v/>
      </c>
      <c r="X2596" s="7">
        <f>IF($C2596="","",W2596-K2596)</f>
        <v/>
      </c>
      <c r="AB2596" s="7" t="n"/>
      <c r="AE2596" s="11" t="n"/>
      <c r="AG2596">
        <f>IF($C2596="","",IF(COUNTIF($C$2:$C2596,$C2596)=1,1,0))</f>
        <v/>
      </c>
      <c r="AH2596">
        <f>IF($AG2596=1,SUMPRODUCT(--($AK$2:$AK$6001&lt;$AK2596))+1,"")</f>
        <v/>
      </c>
      <c r="AI2596">
        <f>IF($C2596="","",IF(OR($N2596=TRUE(),$N2596="TRUE"),1,0))</f>
        <v/>
      </c>
      <c r="AJ2596">
        <f>IF($C2596="","",IF($T2596="Yes",1,0))</f>
        <v/>
      </c>
      <c r="AK2596">
        <f>IF($AG2596=1,IFERROR(IF(VALUE($C2596)&lt;100000000,VALUE($C2596),1000000000),IFERROR(IF(VALUE(MID($C2596,2,20))&lt;100000000,VALUE(MID($C2596,2,20)),1000000000),1000000000))+ROW()/100000,"")</f>
        <v/>
      </c>
    </row>
    <row r="2597">
      <c r="D2597" s="11" t="n"/>
      <c r="K2597" s="7">
        <f>IF($C2597="","",J2597*W2597/100)</f>
        <v/>
      </c>
      <c r="Q2597" s="7" t="n"/>
      <c r="R2597" s="7" t="n"/>
      <c r="U2597">
        <f>IF($C2597="","",IF($AJ2597=1,0,IF($AI2597=1,Settings!$C$6,Settings!$C$7))*100)</f>
        <v/>
      </c>
      <c r="V2597" s="7">
        <f>IF($C2597="","",R2597*U2597/100)</f>
        <v/>
      </c>
      <c r="W2597" s="7">
        <f>IF($C2597="","",R2597-V2597)</f>
        <v/>
      </c>
      <c r="X2597" s="7">
        <f>IF($C2597="","",W2597-K2597)</f>
        <v/>
      </c>
      <c r="AB2597" s="7" t="n"/>
      <c r="AE2597" s="11" t="n"/>
      <c r="AG2597">
        <f>IF($C2597="","",IF(COUNTIF($C$2:$C2597,$C2597)=1,1,0))</f>
        <v/>
      </c>
      <c r="AH2597">
        <f>IF($AG2597=1,SUMPRODUCT(--($AK$2:$AK$6001&lt;$AK2597))+1,"")</f>
        <v/>
      </c>
      <c r="AI2597">
        <f>IF($C2597="","",IF(OR($N2597=TRUE(),$N2597="TRUE"),1,0))</f>
        <v/>
      </c>
      <c r="AJ2597">
        <f>IF($C2597="","",IF($T2597="Yes",1,0))</f>
        <v/>
      </c>
      <c r="AK2597">
        <f>IF($AG2597=1,IFERROR(IF(VALUE($C2597)&lt;100000000,VALUE($C2597),1000000000),IFERROR(IF(VALUE(MID($C2597,2,20))&lt;100000000,VALUE(MID($C2597,2,20)),1000000000),1000000000))+ROW()/100000,"")</f>
        <v/>
      </c>
    </row>
    <row r="2598">
      <c r="D2598" s="11" t="n"/>
      <c r="K2598" s="7">
        <f>IF($C2598="","",J2598*W2598/100)</f>
        <v/>
      </c>
      <c r="Q2598" s="7" t="n"/>
      <c r="R2598" s="7" t="n"/>
      <c r="U2598">
        <f>IF($C2598="","",IF($AJ2598=1,0,IF($AI2598=1,Settings!$C$6,Settings!$C$7))*100)</f>
        <v/>
      </c>
      <c r="V2598" s="7">
        <f>IF($C2598="","",R2598*U2598/100)</f>
        <v/>
      </c>
      <c r="W2598" s="7">
        <f>IF($C2598="","",R2598-V2598)</f>
        <v/>
      </c>
      <c r="X2598" s="7">
        <f>IF($C2598="","",W2598-K2598)</f>
        <v/>
      </c>
      <c r="AB2598" s="7" t="n"/>
      <c r="AE2598" s="11" t="n"/>
      <c r="AG2598">
        <f>IF($C2598="","",IF(COUNTIF($C$2:$C2598,$C2598)=1,1,0))</f>
        <v/>
      </c>
      <c r="AH2598">
        <f>IF($AG2598=1,SUMPRODUCT(--($AK$2:$AK$6001&lt;$AK2598))+1,"")</f>
        <v/>
      </c>
      <c r="AI2598">
        <f>IF($C2598="","",IF(OR($N2598=TRUE(),$N2598="TRUE"),1,0))</f>
        <v/>
      </c>
      <c r="AJ2598">
        <f>IF($C2598="","",IF($T2598="Yes",1,0))</f>
        <v/>
      </c>
      <c r="AK2598">
        <f>IF($AG2598=1,IFERROR(IF(VALUE($C2598)&lt;100000000,VALUE($C2598),1000000000),IFERROR(IF(VALUE(MID($C2598,2,20))&lt;100000000,VALUE(MID($C2598,2,20)),1000000000),1000000000))+ROW()/100000,"")</f>
        <v/>
      </c>
    </row>
    <row r="2599">
      <c r="D2599" s="11" t="n"/>
      <c r="K2599" s="7">
        <f>IF($C2599="","",J2599*W2599/100)</f>
        <v/>
      </c>
      <c r="Q2599" s="7" t="n"/>
      <c r="R2599" s="7" t="n"/>
      <c r="U2599">
        <f>IF($C2599="","",IF($AJ2599=1,0,IF($AI2599=1,Settings!$C$6,Settings!$C$7))*100)</f>
        <v/>
      </c>
      <c r="V2599" s="7">
        <f>IF($C2599="","",R2599*U2599/100)</f>
        <v/>
      </c>
      <c r="W2599" s="7">
        <f>IF($C2599="","",R2599-V2599)</f>
        <v/>
      </c>
      <c r="X2599" s="7">
        <f>IF($C2599="","",W2599-K2599)</f>
        <v/>
      </c>
      <c r="AB2599" s="7" t="n"/>
      <c r="AE2599" s="11" t="n"/>
      <c r="AG2599">
        <f>IF($C2599="","",IF(COUNTIF($C$2:$C2599,$C2599)=1,1,0))</f>
        <v/>
      </c>
      <c r="AH2599">
        <f>IF($AG2599=1,SUMPRODUCT(--($AK$2:$AK$6001&lt;$AK2599))+1,"")</f>
        <v/>
      </c>
      <c r="AI2599">
        <f>IF($C2599="","",IF(OR($N2599=TRUE(),$N2599="TRUE"),1,0))</f>
        <v/>
      </c>
      <c r="AJ2599">
        <f>IF($C2599="","",IF($T2599="Yes",1,0))</f>
        <v/>
      </c>
      <c r="AK2599">
        <f>IF($AG2599=1,IFERROR(IF(VALUE($C2599)&lt;100000000,VALUE($C2599),1000000000),IFERROR(IF(VALUE(MID($C2599,2,20))&lt;100000000,VALUE(MID($C2599,2,20)),1000000000),1000000000))+ROW()/100000,"")</f>
        <v/>
      </c>
    </row>
    <row r="2600">
      <c r="D2600" s="11" t="n"/>
      <c r="K2600" s="7">
        <f>IF($C2600="","",J2600*W2600/100)</f>
        <v/>
      </c>
      <c r="Q2600" s="7" t="n"/>
      <c r="R2600" s="7" t="n"/>
      <c r="U2600">
        <f>IF($C2600="","",IF($AJ2600=1,0,IF($AI2600=1,Settings!$C$6,Settings!$C$7))*100)</f>
        <v/>
      </c>
      <c r="V2600" s="7">
        <f>IF($C2600="","",R2600*U2600/100)</f>
        <v/>
      </c>
      <c r="W2600" s="7">
        <f>IF($C2600="","",R2600-V2600)</f>
        <v/>
      </c>
      <c r="X2600" s="7">
        <f>IF($C2600="","",W2600-K2600)</f>
        <v/>
      </c>
      <c r="AB2600" s="7" t="n"/>
      <c r="AE2600" s="11" t="n"/>
      <c r="AG2600">
        <f>IF($C2600="","",IF(COUNTIF($C$2:$C2600,$C2600)=1,1,0))</f>
        <v/>
      </c>
      <c r="AH2600">
        <f>IF($AG2600=1,SUMPRODUCT(--($AK$2:$AK$6001&lt;$AK2600))+1,"")</f>
        <v/>
      </c>
      <c r="AI2600">
        <f>IF($C2600="","",IF(OR($N2600=TRUE(),$N2600="TRUE"),1,0))</f>
        <v/>
      </c>
      <c r="AJ2600">
        <f>IF($C2600="","",IF($T2600="Yes",1,0))</f>
        <v/>
      </c>
      <c r="AK2600">
        <f>IF($AG2600=1,IFERROR(IF(VALUE($C2600)&lt;100000000,VALUE($C2600),1000000000),IFERROR(IF(VALUE(MID($C2600,2,20))&lt;100000000,VALUE(MID($C2600,2,20)),1000000000),1000000000))+ROW()/100000,"")</f>
        <v/>
      </c>
    </row>
    <row r="2601">
      <c r="D2601" s="11" t="n"/>
      <c r="K2601" s="7">
        <f>IF($C2601="","",J2601*W2601/100)</f>
        <v/>
      </c>
      <c r="Q2601" s="7" t="n"/>
      <c r="R2601" s="7" t="n"/>
      <c r="U2601">
        <f>IF($C2601="","",IF($AJ2601=1,0,IF($AI2601=1,Settings!$C$6,Settings!$C$7))*100)</f>
        <v/>
      </c>
      <c r="V2601" s="7">
        <f>IF($C2601="","",R2601*U2601/100)</f>
        <v/>
      </c>
      <c r="W2601" s="7">
        <f>IF($C2601="","",R2601-V2601)</f>
        <v/>
      </c>
      <c r="X2601" s="7">
        <f>IF($C2601="","",W2601-K2601)</f>
        <v/>
      </c>
      <c r="AB2601" s="7" t="n"/>
      <c r="AE2601" s="11" t="n"/>
      <c r="AG2601">
        <f>IF($C2601="","",IF(COUNTIF($C$2:$C2601,$C2601)=1,1,0))</f>
        <v/>
      </c>
      <c r="AH2601">
        <f>IF($AG2601=1,SUMPRODUCT(--($AK$2:$AK$6001&lt;$AK2601))+1,"")</f>
        <v/>
      </c>
      <c r="AI2601">
        <f>IF($C2601="","",IF(OR($N2601=TRUE(),$N2601="TRUE"),1,0))</f>
        <v/>
      </c>
      <c r="AJ2601">
        <f>IF($C2601="","",IF($T2601="Yes",1,0))</f>
        <v/>
      </c>
      <c r="AK2601">
        <f>IF($AG2601=1,IFERROR(IF(VALUE($C2601)&lt;100000000,VALUE($C2601),1000000000),IFERROR(IF(VALUE(MID($C2601,2,20))&lt;100000000,VALUE(MID($C2601,2,20)),1000000000),1000000000))+ROW()/100000,"")</f>
        <v/>
      </c>
    </row>
    <row r="2602">
      <c r="D2602" s="11" t="n"/>
      <c r="K2602" s="7">
        <f>IF($C2602="","",J2602*W2602/100)</f>
        <v/>
      </c>
      <c r="Q2602" s="7" t="n"/>
      <c r="R2602" s="7" t="n"/>
      <c r="U2602">
        <f>IF($C2602="","",IF($AJ2602=1,0,IF($AI2602=1,Settings!$C$6,Settings!$C$7))*100)</f>
        <v/>
      </c>
      <c r="V2602" s="7">
        <f>IF($C2602="","",R2602*U2602/100)</f>
        <v/>
      </c>
      <c r="W2602" s="7">
        <f>IF($C2602="","",R2602-V2602)</f>
        <v/>
      </c>
      <c r="X2602" s="7">
        <f>IF($C2602="","",W2602-K2602)</f>
        <v/>
      </c>
      <c r="AB2602" s="7" t="n"/>
      <c r="AE2602" s="11" t="n"/>
      <c r="AG2602">
        <f>IF($C2602="","",IF(COUNTIF($C$2:$C2602,$C2602)=1,1,0))</f>
        <v/>
      </c>
      <c r="AH2602">
        <f>IF($AG2602=1,SUMPRODUCT(--($AK$2:$AK$6001&lt;$AK2602))+1,"")</f>
        <v/>
      </c>
      <c r="AI2602">
        <f>IF($C2602="","",IF(OR($N2602=TRUE(),$N2602="TRUE"),1,0))</f>
        <v/>
      </c>
      <c r="AJ2602">
        <f>IF($C2602="","",IF($T2602="Yes",1,0))</f>
        <v/>
      </c>
      <c r="AK2602">
        <f>IF($AG2602=1,IFERROR(IF(VALUE($C2602)&lt;100000000,VALUE($C2602),1000000000),IFERROR(IF(VALUE(MID($C2602,2,20))&lt;100000000,VALUE(MID($C2602,2,20)),1000000000),1000000000))+ROW()/100000,"")</f>
        <v/>
      </c>
    </row>
    <row r="2603">
      <c r="D2603" s="11" t="n"/>
      <c r="K2603" s="7">
        <f>IF($C2603="","",J2603*W2603/100)</f>
        <v/>
      </c>
      <c r="Q2603" s="7" t="n"/>
      <c r="R2603" s="7" t="n"/>
      <c r="U2603">
        <f>IF($C2603="","",IF($AJ2603=1,0,IF($AI2603=1,Settings!$C$6,Settings!$C$7))*100)</f>
        <v/>
      </c>
      <c r="V2603" s="7">
        <f>IF($C2603="","",R2603*U2603/100)</f>
        <v/>
      </c>
      <c r="W2603" s="7">
        <f>IF($C2603="","",R2603-V2603)</f>
        <v/>
      </c>
      <c r="X2603" s="7">
        <f>IF($C2603="","",W2603-K2603)</f>
        <v/>
      </c>
      <c r="AB2603" s="7" t="n"/>
      <c r="AE2603" s="11" t="n"/>
      <c r="AG2603">
        <f>IF($C2603="","",IF(COUNTIF($C$2:$C2603,$C2603)=1,1,0))</f>
        <v/>
      </c>
      <c r="AH2603">
        <f>IF($AG2603=1,SUMPRODUCT(--($AK$2:$AK$6001&lt;$AK2603))+1,"")</f>
        <v/>
      </c>
      <c r="AI2603">
        <f>IF($C2603="","",IF(OR($N2603=TRUE(),$N2603="TRUE"),1,0))</f>
        <v/>
      </c>
      <c r="AJ2603">
        <f>IF($C2603="","",IF($T2603="Yes",1,0))</f>
        <v/>
      </c>
      <c r="AK2603">
        <f>IF($AG2603=1,IFERROR(IF(VALUE($C2603)&lt;100000000,VALUE($C2603),1000000000),IFERROR(IF(VALUE(MID($C2603,2,20))&lt;100000000,VALUE(MID($C2603,2,20)),1000000000),1000000000))+ROW()/100000,"")</f>
        <v/>
      </c>
    </row>
    <row r="2604">
      <c r="D2604" s="11" t="n"/>
      <c r="K2604" s="7">
        <f>IF($C2604="","",J2604*W2604/100)</f>
        <v/>
      </c>
      <c r="Q2604" s="7" t="n"/>
      <c r="R2604" s="7" t="n"/>
      <c r="U2604">
        <f>IF($C2604="","",IF($AJ2604=1,0,IF($AI2604=1,Settings!$C$6,Settings!$C$7))*100)</f>
        <v/>
      </c>
      <c r="V2604" s="7">
        <f>IF($C2604="","",R2604*U2604/100)</f>
        <v/>
      </c>
      <c r="W2604" s="7">
        <f>IF($C2604="","",R2604-V2604)</f>
        <v/>
      </c>
      <c r="X2604" s="7">
        <f>IF($C2604="","",W2604-K2604)</f>
        <v/>
      </c>
      <c r="AB2604" s="7" t="n"/>
      <c r="AE2604" s="11" t="n"/>
      <c r="AG2604">
        <f>IF($C2604="","",IF(COUNTIF($C$2:$C2604,$C2604)=1,1,0))</f>
        <v/>
      </c>
      <c r="AH2604">
        <f>IF($AG2604=1,SUMPRODUCT(--($AK$2:$AK$6001&lt;$AK2604))+1,"")</f>
        <v/>
      </c>
      <c r="AI2604">
        <f>IF($C2604="","",IF(OR($N2604=TRUE(),$N2604="TRUE"),1,0))</f>
        <v/>
      </c>
      <c r="AJ2604">
        <f>IF($C2604="","",IF($T2604="Yes",1,0))</f>
        <v/>
      </c>
      <c r="AK2604">
        <f>IF($AG2604=1,IFERROR(IF(VALUE($C2604)&lt;100000000,VALUE($C2604),1000000000),IFERROR(IF(VALUE(MID($C2604,2,20))&lt;100000000,VALUE(MID($C2604,2,20)),1000000000),1000000000))+ROW()/100000,"")</f>
        <v/>
      </c>
    </row>
    <row r="2605">
      <c r="D2605" s="11" t="n"/>
      <c r="K2605" s="7">
        <f>IF($C2605="","",J2605*W2605/100)</f>
        <v/>
      </c>
      <c r="Q2605" s="7" t="n"/>
      <c r="R2605" s="7" t="n"/>
      <c r="U2605">
        <f>IF($C2605="","",IF($AJ2605=1,0,IF($AI2605=1,Settings!$C$6,Settings!$C$7))*100)</f>
        <v/>
      </c>
      <c r="V2605" s="7">
        <f>IF($C2605="","",R2605*U2605/100)</f>
        <v/>
      </c>
      <c r="W2605" s="7">
        <f>IF($C2605="","",R2605-V2605)</f>
        <v/>
      </c>
      <c r="X2605" s="7">
        <f>IF($C2605="","",W2605-K2605)</f>
        <v/>
      </c>
      <c r="AB2605" s="7" t="n"/>
      <c r="AE2605" s="11" t="n"/>
      <c r="AG2605">
        <f>IF($C2605="","",IF(COUNTIF($C$2:$C2605,$C2605)=1,1,0))</f>
        <v/>
      </c>
      <c r="AH2605">
        <f>IF($AG2605=1,SUMPRODUCT(--($AK$2:$AK$6001&lt;$AK2605))+1,"")</f>
        <v/>
      </c>
      <c r="AI2605">
        <f>IF($C2605="","",IF(OR($N2605=TRUE(),$N2605="TRUE"),1,0))</f>
        <v/>
      </c>
      <c r="AJ2605">
        <f>IF($C2605="","",IF($T2605="Yes",1,0))</f>
        <v/>
      </c>
      <c r="AK2605">
        <f>IF($AG2605=1,IFERROR(IF(VALUE($C2605)&lt;100000000,VALUE($C2605),1000000000),IFERROR(IF(VALUE(MID($C2605,2,20))&lt;100000000,VALUE(MID($C2605,2,20)),1000000000),1000000000))+ROW()/100000,"")</f>
        <v/>
      </c>
    </row>
    <row r="2606">
      <c r="D2606" s="11" t="n"/>
      <c r="K2606" s="7">
        <f>IF($C2606="","",J2606*W2606/100)</f>
        <v/>
      </c>
      <c r="Q2606" s="7" t="n"/>
      <c r="R2606" s="7" t="n"/>
      <c r="U2606">
        <f>IF($C2606="","",IF($AJ2606=1,0,IF($AI2606=1,Settings!$C$6,Settings!$C$7))*100)</f>
        <v/>
      </c>
      <c r="V2606" s="7">
        <f>IF($C2606="","",R2606*U2606/100)</f>
        <v/>
      </c>
      <c r="W2606" s="7">
        <f>IF($C2606="","",R2606-V2606)</f>
        <v/>
      </c>
      <c r="X2606" s="7">
        <f>IF($C2606="","",W2606-K2606)</f>
        <v/>
      </c>
      <c r="AB2606" s="7" t="n"/>
      <c r="AE2606" s="11" t="n"/>
      <c r="AG2606">
        <f>IF($C2606="","",IF(COUNTIF($C$2:$C2606,$C2606)=1,1,0))</f>
        <v/>
      </c>
      <c r="AH2606">
        <f>IF($AG2606=1,SUMPRODUCT(--($AK$2:$AK$6001&lt;$AK2606))+1,"")</f>
        <v/>
      </c>
      <c r="AI2606">
        <f>IF($C2606="","",IF(OR($N2606=TRUE(),$N2606="TRUE"),1,0))</f>
        <v/>
      </c>
      <c r="AJ2606">
        <f>IF($C2606="","",IF($T2606="Yes",1,0))</f>
        <v/>
      </c>
      <c r="AK2606">
        <f>IF($AG2606=1,IFERROR(IF(VALUE($C2606)&lt;100000000,VALUE($C2606),1000000000),IFERROR(IF(VALUE(MID($C2606,2,20))&lt;100000000,VALUE(MID($C2606,2,20)),1000000000),1000000000))+ROW()/100000,"")</f>
        <v/>
      </c>
    </row>
    <row r="2607">
      <c r="D2607" s="11" t="n"/>
      <c r="K2607" s="7">
        <f>IF($C2607="","",J2607*W2607/100)</f>
        <v/>
      </c>
      <c r="Q2607" s="7" t="n"/>
      <c r="R2607" s="7" t="n"/>
      <c r="U2607">
        <f>IF($C2607="","",IF($AJ2607=1,0,IF($AI2607=1,Settings!$C$6,Settings!$C$7))*100)</f>
        <v/>
      </c>
      <c r="V2607" s="7">
        <f>IF($C2607="","",R2607*U2607/100)</f>
        <v/>
      </c>
      <c r="W2607" s="7">
        <f>IF($C2607="","",R2607-V2607)</f>
        <v/>
      </c>
      <c r="X2607" s="7">
        <f>IF($C2607="","",W2607-K2607)</f>
        <v/>
      </c>
      <c r="AB2607" s="7" t="n"/>
      <c r="AE2607" s="11" t="n"/>
      <c r="AG2607">
        <f>IF($C2607="","",IF(COUNTIF($C$2:$C2607,$C2607)=1,1,0))</f>
        <v/>
      </c>
      <c r="AH2607">
        <f>IF($AG2607=1,SUMPRODUCT(--($AK$2:$AK$6001&lt;$AK2607))+1,"")</f>
        <v/>
      </c>
      <c r="AI2607">
        <f>IF($C2607="","",IF(OR($N2607=TRUE(),$N2607="TRUE"),1,0))</f>
        <v/>
      </c>
      <c r="AJ2607">
        <f>IF($C2607="","",IF($T2607="Yes",1,0))</f>
        <v/>
      </c>
      <c r="AK2607">
        <f>IF($AG2607=1,IFERROR(IF(VALUE($C2607)&lt;100000000,VALUE($C2607),1000000000),IFERROR(IF(VALUE(MID($C2607,2,20))&lt;100000000,VALUE(MID($C2607,2,20)),1000000000),1000000000))+ROW()/100000,"")</f>
        <v/>
      </c>
    </row>
    <row r="2608">
      <c r="D2608" s="11" t="n"/>
      <c r="K2608" s="7">
        <f>IF($C2608="","",J2608*W2608/100)</f>
        <v/>
      </c>
      <c r="Q2608" s="7" t="n"/>
      <c r="R2608" s="7" t="n"/>
      <c r="U2608">
        <f>IF($C2608="","",IF($AJ2608=1,0,IF($AI2608=1,Settings!$C$6,Settings!$C$7))*100)</f>
        <v/>
      </c>
      <c r="V2608" s="7">
        <f>IF($C2608="","",R2608*U2608/100)</f>
        <v/>
      </c>
      <c r="W2608" s="7">
        <f>IF($C2608="","",R2608-V2608)</f>
        <v/>
      </c>
      <c r="X2608" s="7">
        <f>IF($C2608="","",W2608-K2608)</f>
        <v/>
      </c>
      <c r="AB2608" s="7" t="n"/>
      <c r="AE2608" s="11" t="n"/>
      <c r="AG2608">
        <f>IF($C2608="","",IF(COUNTIF($C$2:$C2608,$C2608)=1,1,0))</f>
        <v/>
      </c>
      <c r="AH2608">
        <f>IF($AG2608=1,SUMPRODUCT(--($AK$2:$AK$6001&lt;$AK2608))+1,"")</f>
        <v/>
      </c>
      <c r="AI2608">
        <f>IF($C2608="","",IF(OR($N2608=TRUE(),$N2608="TRUE"),1,0))</f>
        <v/>
      </c>
      <c r="AJ2608">
        <f>IF($C2608="","",IF($T2608="Yes",1,0))</f>
        <v/>
      </c>
      <c r="AK2608">
        <f>IF($AG2608=1,IFERROR(IF(VALUE($C2608)&lt;100000000,VALUE($C2608),1000000000),IFERROR(IF(VALUE(MID($C2608,2,20))&lt;100000000,VALUE(MID($C2608,2,20)),1000000000),1000000000))+ROW()/100000,"")</f>
        <v/>
      </c>
    </row>
    <row r="2609">
      <c r="D2609" s="11" t="n"/>
      <c r="K2609" s="7">
        <f>IF($C2609="","",J2609*W2609/100)</f>
        <v/>
      </c>
      <c r="Q2609" s="7" t="n"/>
      <c r="R2609" s="7" t="n"/>
      <c r="U2609">
        <f>IF($C2609="","",IF($AJ2609=1,0,IF($AI2609=1,Settings!$C$6,Settings!$C$7))*100)</f>
        <v/>
      </c>
      <c r="V2609" s="7">
        <f>IF($C2609="","",R2609*U2609/100)</f>
        <v/>
      </c>
      <c r="W2609" s="7">
        <f>IF($C2609="","",R2609-V2609)</f>
        <v/>
      </c>
      <c r="X2609" s="7">
        <f>IF($C2609="","",W2609-K2609)</f>
        <v/>
      </c>
      <c r="AB2609" s="7" t="n"/>
      <c r="AE2609" s="11" t="n"/>
      <c r="AG2609">
        <f>IF($C2609="","",IF(COUNTIF($C$2:$C2609,$C2609)=1,1,0))</f>
        <v/>
      </c>
      <c r="AH2609">
        <f>IF($AG2609=1,SUMPRODUCT(--($AK$2:$AK$6001&lt;$AK2609))+1,"")</f>
        <v/>
      </c>
      <c r="AI2609">
        <f>IF($C2609="","",IF(OR($N2609=TRUE(),$N2609="TRUE"),1,0))</f>
        <v/>
      </c>
      <c r="AJ2609">
        <f>IF($C2609="","",IF($T2609="Yes",1,0))</f>
        <v/>
      </c>
      <c r="AK2609">
        <f>IF($AG2609=1,IFERROR(IF(VALUE($C2609)&lt;100000000,VALUE($C2609),1000000000),IFERROR(IF(VALUE(MID($C2609,2,20))&lt;100000000,VALUE(MID($C2609,2,20)),1000000000),1000000000))+ROW()/100000,"")</f>
        <v/>
      </c>
    </row>
    <row r="2610">
      <c r="D2610" s="11" t="n"/>
      <c r="K2610" s="7">
        <f>IF($C2610="","",J2610*W2610/100)</f>
        <v/>
      </c>
      <c r="Q2610" s="7" t="n"/>
      <c r="R2610" s="7" t="n"/>
      <c r="U2610">
        <f>IF($C2610="","",IF($AJ2610=1,0,IF($AI2610=1,Settings!$C$6,Settings!$C$7))*100)</f>
        <v/>
      </c>
      <c r="V2610" s="7">
        <f>IF($C2610="","",R2610*U2610/100)</f>
        <v/>
      </c>
      <c r="W2610" s="7">
        <f>IF($C2610="","",R2610-V2610)</f>
        <v/>
      </c>
      <c r="X2610" s="7">
        <f>IF($C2610="","",W2610-K2610)</f>
        <v/>
      </c>
      <c r="AB2610" s="7" t="n"/>
      <c r="AE2610" s="11" t="n"/>
      <c r="AG2610">
        <f>IF($C2610="","",IF(COUNTIF($C$2:$C2610,$C2610)=1,1,0))</f>
        <v/>
      </c>
      <c r="AH2610">
        <f>IF($AG2610=1,SUMPRODUCT(--($AK$2:$AK$6001&lt;$AK2610))+1,"")</f>
        <v/>
      </c>
      <c r="AI2610">
        <f>IF($C2610="","",IF(OR($N2610=TRUE(),$N2610="TRUE"),1,0))</f>
        <v/>
      </c>
      <c r="AJ2610">
        <f>IF($C2610="","",IF($T2610="Yes",1,0))</f>
        <v/>
      </c>
      <c r="AK2610">
        <f>IF($AG2610=1,IFERROR(IF(VALUE($C2610)&lt;100000000,VALUE($C2610),1000000000),IFERROR(IF(VALUE(MID($C2610,2,20))&lt;100000000,VALUE(MID($C2610,2,20)),1000000000),1000000000))+ROW()/100000,"")</f>
        <v/>
      </c>
    </row>
    <row r="2611">
      <c r="D2611" s="11" t="n"/>
      <c r="K2611" s="7">
        <f>IF($C2611="","",J2611*W2611/100)</f>
        <v/>
      </c>
      <c r="Q2611" s="7" t="n"/>
      <c r="R2611" s="7" t="n"/>
      <c r="U2611">
        <f>IF($C2611="","",IF($AJ2611=1,0,IF($AI2611=1,Settings!$C$6,Settings!$C$7))*100)</f>
        <v/>
      </c>
      <c r="V2611" s="7">
        <f>IF($C2611="","",R2611*U2611/100)</f>
        <v/>
      </c>
      <c r="W2611" s="7">
        <f>IF($C2611="","",R2611-V2611)</f>
        <v/>
      </c>
      <c r="X2611" s="7">
        <f>IF($C2611="","",W2611-K2611)</f>
        <v/>
      </c>
      <c r="AB2611" s="7" t="n"/>
      <c r="AE2611" s="11" t="n"/>
      <c r="AG2611">
        <f>IF($C2611="","",IF(COUNTIF($C$2:$C2611,$C2611)=1,1,0))</f>
        <v/>
      </c>
      <c r="AH2611">
        <f>IF($AG2611=1,SUMPRODUCT(--($AK$2:$AK$6001&lt;$AK2611))+1,"")</f>
        <v/>
      </c>
      <c r="AI2611">
        <f>IF($C2611="","",IF(OR($N2611=TRUE(),$N2611="TRUE"),1,0))</f>
        <v/>
      </c>
      <c r="AJ2611">
        <f>IF($C2611="","",IF($T2611="Yes",1,0))</f>
        <v/>
      </c>
      <c r="AK2611">
        <f>IF($AG2611=1,IFERROR(IF(VALUE($C2611)&lt;100000000,VALUE($C2611),1000000000),IFERROR(IF(VALUE(MID($C2611,2,20))&lt;100000000,VALUE(MID($C2611,2,20)),1000000000),1000000000))+ROW()/100000,"")</f>
        <v/>
      </c>
    </row>
    <row r="2612">
      <c r="D2612" s="11" t="n"/>
      <c r="K2612" s="7">
        <f>IF($C2612="","",J2612*W2612/100)</f>
        <v/>
      </c>
      <c r="Q2612" s="7" t="n"/>
      <c r="R2612" s="7" t="n"/>
      <c r="U2612">
        <f>IF($C2612="","",IF($AJ2612=1,0,IF($AI2612=1,Settings!$C$6,Settings!$C$7))*100)</f>
        <v/>
      </c>
      <c r="V2612" s="7">
        <f>IF($C2612="","",R2612*U2612/100)</f>
        <v/>
      </c>
      <c r="W2612" s="7">
        <f>IF($C2612="","",R2612-V2612)</f>
        <v/>
      </c>
      <c r="X2612" s="7">
        <f>IF($C2612="","",W2612-K2612)</f>
        <v/>
      </c>
      <c r="AB2612" s="7" t="n"/>
      <c r="AE2612" s="11" t="n"/>
      <c r="AG2612">
        <f>IF($C2612="","",IF(COUNTIF($C$2:$C2612,$C2612)=1,1,0))</f>
        <v/>
      </c>
      <c r="AH2612">
        <f>IF($AG2612=1,SUMPRODUCT(--($AK$2:$AK$6001&lt;$AK2612))+1,"")</f>
        <v/>
      </c>
      <c r="AI2612">
        <f>IF($C2612="","",IF(OR($N2612=TRUE(),$N2612="TRUE"),1,0))</f>
        <v/>
      </c>
      <c r="AJ2612">
        <f>IF($C2612="","",IF($T2612="Yes",1,0))</f>
        <v/>
      </c>
      <c r="AK2612">
        <f>IF($AG2612=1,IFERROR(IF(VALUE($C2612)&lt;100000000,VALUE($C2612),1000000000),IFERROR(IF(VALUE(MID($C2612,2,20))&lt;100000000,VALUE(MID($C2612,2,20)),1000000000),1000000000))+ROW()/100000,"")</f>
        <v/>
      </c>
    </row>
    <row r="2613">
      <c r="D2613" s="11" t="n"/>
      <c r="K2613" s="7">
        <f>IF($C2613="","",J2613*W2613/100)</f>
        <v/>
      </c>
      <c r="Q2613" s="7" t="n"/>
      <c r="R2613" s="7" t="n"/>
      <c r="U2613">
        <f>IF($C2613="","",IF($AJ2613=1,0,IF($AI2613=1,Settings!$C$6,Settings!$C$7))*100)</f>
        <v/>
      </c>
      <c r="V2613" s="7">
        <f>IF($C2613="","",R2613*U2613/100)</f>
        <v/>
      </c>
      <c r="W2613" s="7">
        <f>IF($C2613="","",R2613-V2613)</f>
        <v/>
      </c>
      <c r="X2613" s="7">
        <f>IF($C2613="","",W2613-K2613)</f>
        <v/>
      </c>
      <c r="AB2613" s="7" t="n"/>
      <c r="AE2613" s="11" t="n"/>
      <c r="AG2613">
        <f>IF($C2613="","",IF(COUNTIF($C$2:$C2613,$C2613)=1,1,0))</f>
        <v/>
      </c>
      <c r="AH2613">
        <f>IF($AG2613=1,SUMPRODUCT(--($AK$2:$AK$6001&lt;$AK2613))+1,"")</f>
        <v/>
      </c>
      <c r="AI2613">
        <f>IF($C2613="","",IF(OR($N2613=TRUE(),$N2613="TRUE"),1,0))</f>
        <v/>
      </c>
      <c r="AJ2613">
        <f>IF($C2613="","",IF($T2613="Yes",1,0))</f>
        <v/>
      </c>
      <c r="AK2613">
        <f>IF($AG2613=1,IFERROR(IF(VALUE($C2613)&lt;100000000,VALUE($C2613),1000000000),IFERROR(IF(VALUE(MID($C2613,2,20))&lt;100000000,VALUE(MID($C2613,2,20)),1000000000),1000000000))+ROW()/100000,"")</f>
        <v/>
      </c>
    </row>
    <row r="2614">
      <c r="D2614" s="11" t="n"/>
      <c r="K2614" s="7">
        <f>IF($C2614="","",J2614*W2614/100)</f>
        <v/>
      </c>
      <c r="Q2614" s="7" t="n"/>
      <c r="R2614" s="7" t="n"/>
      <c r="U2614">
        <f>IF($C2614="","",IF($AJ2614=1,0,IF($AI2614=1,Settings!$C$6,Settings!$C$7))*100)</f>
        <v/>
      </c>
      <c r="V2614" s="7">
        <f>IF($C2614="","",R2614*U2614/100)</f>
        <v/>
      </c>
      <c r="W2614" s="7">
        <f>IF($C2614="","",R2614-V2614)</f>
        <v/>
      </c>
      <c r="X2614" s="7">
        <f>IF($C2614="","",W2614-K2614)</f>
        <v/>
      </c>
      <c r="AB2614" s="7" t="n"/>
      <c r="AE2614" s="11" t="n"/>
      <c r="AG2614">
        <f>IF($C2614="","",IF(COUNTIF($C$2:$C2614,$C2614)=1,1,0))</f>
        <v/>
      </c>
      <c r="AH2614">
        <f>IF($AG2614=1,SUMPRODUCT(--($AK$2:$AK$6001&lt;$AK2614))+1,"")</f>
        <v/>
      </c>
      <c r="AI2614">
        <f>IF($C2614="","",IF(OR($N2614=TRUE(),$N2614="TRUE"),1,0))</f>
        <v/>
      </c>
      <c r="AJ2614">
        <f>IF($C2614="","",IF($T2614="Yes",1,0))</f>
        <v/>
      </c>
      <c r="AK2614">
        <f>IF($AG2614=1,IFERROR(IF(VALUE($C2614)&lt;100000000,VALUE($C2614),1000000000),IFERROR(IF(VALUE(MID($C2614,2,20))&lt;100000000,VALUE(MID($C2614,2,20)),1000000000),1000000000))+ROW()/100000,"")</f>
        <v/>
      </c>
    </row>
    <row r="2615">
      <c r="D2615" s="11" t="n"/>
      <c r="K2615" s="7">
        <f>IF($C2615="","",J2615*W2615/100)</f>
        <v/>
      </c>
      <c r="Q2615" s="7" t="n"/>
      <c r="R2615" s="7" t="n"/>
      <c r="U2615">
        <f>IF($C2615="","",IF($AJ2615=1,0,IF($AI2615=1,Settings!$C$6,Settings!$C$7))*100)</f>
        <v/>
      </c>
      <c r="V2615" s="7">
        <f>IF($C2615="","",R2615*U2615/100)</f>
        <v/>
      </c>
      <c r="W2615" s="7">
        <f>IF($C2615="","",R2615-V2615)</f>
        <v/>
      </c>
      <c r="X2615" s="7">
        <f>IF($C2615="","",W2615-K2615)</f>
        <v/>
      </c>
      <c r="AB2615" s="7" t="n"/>
      <c r="AE2615" s="11" t="n"/>
      <c r="AG2615">
        <f>IF($C2615="","",IF(COUNTIF($C$2:$C2615,$C2615)=1,1,0))</f>
        <v/>
      </c>
      <c r="AH2615">
        <f>IF($AG2615=1,SUMPRODUCT(--($AK$2:$AK$6001&lt;$AK2615))+1,"")</f>
        <v/>
      </c>
      <c r="AI2615">
        <f>IF($C2615="","",IF(OR($N2615=TRUE(),$N2615="TRUE"),1,0))</f>
        <v/>
      </c>
      <c r="AJ2615">
        <f>IF($C2615="","",IF($T2615="Yes",1,0))</f>
        <v/>
      </c>
      <c r="AK2615">
        <f>IF($AG2615=1,IFERROR(IF(VALUE($C2615)&lt;100000000,VALUE($C2615),1000000000),IFERROR(IF(VALUE(MID($C2615,2,20))&lt;100000000,VALUE(MID($C2615,2,20)),1000000000),1000000000))+ROW()/100000,"")</f>
        <v/>
      </c>
    </row>
    <row r="2616">
      <c r="D2616" s="11" t="n"/>
      <c r="K2616" s="7">
        <f>IF($C2616="","",J2616*W2616/100)</f>
        <v/>
      </c>
      <c r="Q2616" s="7" t="n"/>
      <c r="R2616" s="7" t="n"/>
      <c r="U2616">
        <f>IF($C2616="","",IF($AJ2616=1,0,IF($AI2616=1,Settings!$C$6,Settings!$C$7))*100)</f>
        <v/>
      </c>
      <c r="V2616" s="7">
        <f>IF($C2616="","",R2616*U2616/100)</f>
        <v/>
      </c>
      <c r="W2616" s="7">
        <f>IF($C2616="","",R2616-V2616)</f>
        <v/>
      </c>
      <c r="X2616" s="7">
        <f>IF($C2616="","",W2616-K2616)</f>
        <v/>
      </c>
      <c r="AB2616" s="7" t="n"/>
      <c r="AE2616" s="11" t="n"/>
      <c r="AG2616">
        <f>IF($C2616="","",IF(COUNTIF($C$2:$C2616,$C2616)=1,1,0))</f>
        <v/>
      </c>
      <c r="AH2616">
        <f>IF($AG2616=1,SUMPRODUCT(--($AK$2:$AK$6001&lt;$AK2616))+1,"")</f>
        <v/>
      </c>
      <c r="AI2616">
        <f>IF($C2616="","",IF(OR($N2616=TRUE(),$N2616="TRUE"),1,0))</f>
        <v/>
      </c>
      <c r="AJ2616">
        <f>IF($C2616="","",IF($T2616="Yes",1,0))</f>
        <v/>
      </c>
      <c r="AK2616">
        <f>IF($AG2616=1,IFERROR(IF(VALUE($C2616)&lt;100000000,VALUE($C2616),1000000000),IFERROR(IF(VALUE(MID($C2616,2,20))&lt;100000000,VALUE(MID($C2616,2,20)),1000000000),1000000000))+ROW()/100000,"")</f>
        <v/>
      </c>
    </row>
    <row r="2617">
      <c r="D2617" s="11" t="n"/>
      <c r="K2617" s="7">
        <f>IF($C2617="","",J2617*W2617/100)</f>
        <v/>
      </c>
      <c r="Q2617" s="7" t="n"/>
      <c r="R2617" s="7" t="n"/>
      <c r="U2617">
        <f>IF($C2617="","",IF($AJ2617=1,0,IF($AI2617=1,Settings!$C$6,Settings!$C$7))*100)</f>
        <v/>
      </c>
      <c r="V2617" s="7">
        <f>IF($C2617="","",R2617*U2617/100)</f>
        <v/>
      </c>
      <c r="W2617" s="7">
        <f>IF($C2617="","",R2617-V2617)</f>
        <v/>
      </c>
      <c r="X2617" s="7">
        <f>IF($C2617="","",W2617-K2617)</f>
        <v/>
      </c>
      <c r="AB2617" s="7" t="n"/>
      <c r="AE2617" s="11" t="n"/>
      <c r="AG2617">
        <f>IF($C2617="","",IF(COUNTIF($C$2:$C2617,$C2617)=1,1,0))</f>
        <v/>
      </c>
      <c r="AH2617">
        <f>IF($AG2617=1,SUMPRODUCT(--($AK$2:$AK$6001&lt;$AK2617))+1,"")</f>
        <v/>
      </c>
      <c r="AI2617">
        <f>IF($C2617="","",IF(OR($N2617=TRUE(),$N2617="TRUE"),1,0))</f>
        <v/>
      </c>
      <c r="AJ2617">
        <f>IF($C2617="","",IF($T2617="Yes",1,0))</f>
        <v/>
      </c>
      <c r="AK2617">
        <f>IF($AG2617=1,IFERROR(IF(VALUE($C2617)&lt;100000000,VALUE($C2617),1000000000),IFERROR(IF(VALUE(MID($C2617,2,20))&lt;100000000,VALUE(MID($C2617,2,20)),1000000000),1000000000))+ROW()/100000,"")</f>
        <v/>
      </c>
    </row>
    <row r="2618">
      <c r="D2618" s="11" t="n"/>
      <c r="K2618" s="7">
        <f>IF($C2618="","",J2618*W2618/100)</f>
        <v/>
      </c>
      <c r="Q2618" s="7" t="n"/>
      <c r="R2618" s="7" t="n"/>
      <c r="U2618">
        <f>IF($C2618="","",IF($AJ2618=1,0,IF($AI2618=1,Settings!$C$6,Settings!$C$7))*100)</f>
        <v/>
      </c>
      <c r="V2618" s="7">
        <f>IF($C2618="","",R2618*U2618/100)</f>
        <v/>
      </c>
      <c r="W2618" s="7">
        <f>IF($C2618="","",R2618-V2618)</f>
        <v/>
      </c>
      <c r="X2618" s="7">
        <f>IF($C2618="","",W2618-K2618)</f>
        <v/>
      </c>
      <c r="AB2618" s="7" t="n"/>
      <c r="AE2618" s="11" t="n"/>
      <c r="AG2618">
        <f>IF($C2618="","",IF(COUNTIF($C$2:$C2618,$C2618)=1,1,0))</f>
        <v/>
      </c>
      <c r="AH2618">
        <f>IF($AG2618=1,SUMPRODUCT(--($AK$2:$AK$6001&lt;$AK2618))+1,"")</f>
        <v/>
      </c>
      <c r="AI2618">
        <f>IF($C2618="","",IF(OR($N2618=TRUE(),$N2618="TRUE"),1,0))</f>
        <v/>
      </c>
      <c r="AJ2618">
        <f>IF($C2618="","",IF($T2618="Yes",1,0))</f>
        <v/>
      </c>
      <c r="AK2618">
        <f>IF($AG2618=1,IFERROR(IF(VALUE($C2618)&lt;100000000,VALUE($C2618),1000000000),IFERROR(IF(VALUE(MID($C2618,2,20))&lt;100000000,VALUE(MID($C2618,2,20)),1000000000),1000000000))+ROW()/100000,"")</f>
        <v/>
      </c>
    </row>
    <row r="2619">
      <c r="D2619" s="11" t="n"/>
      <c r="K2619" s="7">
        <f>IF($C2619="","",J2619*W2619/100)</f>
        <v/>
      </c>
      <c r="Q2619" s="7" t="n"/>
      <c r="R2619" s="7" t="n"/>
      <c r="U2619">
        <f>IF($C2619="","",IF($AJ2619=1,0,IF($AI2619=1,Settings!$C$6,Settings!$C$7))*100)</f>
        <v/>
      </c>
      <c r="V2619" s="7">
        <f>IF($C2619="","",R2619*U2619/100)</f>
        <v/>
      </c>
      <c r="W2619" s="7">
        <f>IF($C2619="","",R2619-V2619)</f>
        <v/>
      </c>
      <c r="X2619" s="7">
        <f>IF($C2619="","",W2619-K2619)</f>
        <v/>
      </c>
      <c r="AB2619" s="7" t="n"/>
      <c r="AE2619" s="11" t="n"/>
      <c r="AG2619">
        <f>IF($C2619="","",IF(COUNTIF($C$2:$C2619,$C2619)=1,1,0))</f>
        <v/>
      </c>
      <c r="AH2619">
        <f>IF($AG2619=1,SUMPRODUCT(--($AK$2:$AK$6001&lt;$AK2619))+1,"")</f>
        <v/>
      </c>
      <c r="AI2619">
        <f>IF($C2619="","",IF(OR($N2619=TRUE(),$N2619="TRUE"),1,0))</f>
        <v/>
      </c>
      <c r="AJ2619">
        <f>IF($C2619="","",IF($T2619="Yes",1,0))</f>
        <v/>
      </c>
      <c r="AK2619">
        <f>IF($AG2619=1,IFERROR(IF(VALUE($C2619)&lt;100000000,VALUE($C2619),1000000000),IFERROR(IF(VALUE(MID($C2619,2,20))&lt;100000000,VALUE(MID($C2619,2,20)),1000000000),1000000000))+ROW()/100000,"")</f>
        <v/>
      </c>
    </row>
    <row r="2620">
      <c r="D2620" s="11" t="n"/>
      <c r="K2620" s="7">
        <f>IF($C2620="","",J2620*W2620/100)</f>
        <v/>
      </c>
      <c r="Q2620" s="7" t="n"/>
      <c r="R2620" s="7" t="n"/>
      <c r="U2620">
        <f>IF($C2620="","",IF($AJ2620=1,0,IF($AI2620=1,Settings!$C$6,Settings!$C$7))*100)</f>
        <v/>
      </c>
      <c r="V2620" s="7">
        <f>IF($C2620="","",R2620*U2620/100)</f>
        <v/>
      </c>
      <c r="W2620" s="7">
        <f>IF($C2620="","",R2620-V2620)</f>
        <v/>
      </c>
      <c r="X2620" s="7">
        <f>IF($C2620="","",W2620-K2620)</f>
        <v/>
      </c>
      <c r="AB2620" s="7" t="n"/>
      <c r="AE2620" s="11" t="n"/>
      <c r="AG2620">
        <f>IF($C2620="","",IF(COUNTIF($C$2:$C2620,$C2620)=1,1,0))</f>
        <v/>
      </c>
      <c r="AH2620">
        <f>IF($AG2620=1,SUMPRODUCT(--($AK$2:$AK$6001&lt;$AK2620))+1,"")</f>
        <v/>
      </c>
      <c r="AI2620">
        <f>IF($C2620="","",IF(OR($N2620=TRUE(),$N2620="TRUE"),1,0))</f>
        <v/>
      </c>
      <c r="AJ2620">
        <f>IF($C2620="","",IF($T2620="Yes",1,0))</f>
        <v/>
      </c>
      <c r="AK2620">
        <f>IF($AG2620=1,IFERROR(IF(VALUE($C2620)&lt;100000000,VALUE($C2620),1000000000),IFERROR(IF(VALUE(MID($C2620,2,20))&lt;100000000,VALUE(MID($C2620,2,20)),1000000000),1000000000))+ROW()/100000,"")</f>
        <v/>
      </c>
    </row>
    <row r="2621">
      <c r="D2621" s="11" t="n"/>
      <c r="K2621" s="7">
        <f>IF($C2621="","",J2621*W2621/100)</f>
        <v/>
      </c>
      <c r="Q2621" s="7" t="n"/>
      <c r="R2621" s="7" t="n"/>
      <c r="U2621">
        <f>IF($C2621="","",IF($AJ2621=1,0,IF($AI2621=1,Settings!$C$6,Settings!$C$7))*100)</f>
        <v/>
      </c>
      <c r="V2621" s="7">
        <f>IF($C2621="","",R2621*U2621/100)</f>
        <v/>
      </c>
      <c r="W2621" s="7">
        <f>IF($C2621="","",R2621-V2621)</f>
        <v/>
      </c>
      <c r="X2621" s="7">
        <f>IF($C2621="","",W2621-K2621)</f>
        <v/>
      </c>
      <c r="AB2621" s="7" t="n"/>
      <c r="AE2621" s="11" t="n"/>
      <c r="AG2621">
        <f>IF($C2621="","",IF(COUNTIF($C$2:$C2621,$C2621)=1,1,0))</f>
        <v/>
      </c>
      <c r="AH2621">
        <f>IF($AG2621=1,SUMPRODUCT(--($AK$2:$AK$6001&lt;$AK2621))+1,"")</f>
        <v/>
      </c>
      <c r="AI2621">
        <f>IF($C2621="","",IF(OR($N2621=TRUE(),$N2621="TRUE"),1,0))</f>
        <v/>
      </c>
      <c r="AJ2621">
        <f>IF($C2621="","",IF($T2621="Yes",1,0))</f>
        <v/>
      </c>
      <c r="AK2621">
        <f>IF($AG2621=1,IFERROR(IF(VALUE($C2621)&lt;100000000,VALUE($C2621),1000000000),IFERROR(IF(VALUE(MID($C2621,2,20))&lt;100000000,VALUE(MID($C2621,2,20)),1000000000),1000000000))+ROW()/100000,"")</f>
        <v/>
      </c>
    </row>
    <row r="2622">
      <c r="D2622" s="11" t="n"/>
      <c r="K2622" s="7">
        <f>IF($C2622="","",J2622*W2622/100)</f>
        <v/>
      </c>
      <c r="Q2622" s="7" t="n"/>
      <c r="R2622" s="7" t="n"/>
      <c r="U2622">
        <f>IF($C2622="","",IF($AJ2622=1,0,IF($AI2622=1,Settings!$C$6,Settings!$C$7))*100)</f>
        <v/>
      </c>
      <c r="V2622" s="7">
        <f>IF($C2622="","",R2622*U2622/100)</f>
        <v/>
      </c>
      <c r="W2622" s="7">
        <f>IF($C2622="","",R2622-V2622)</f>
        <v/>
      </c>
      <c r="X2622" s="7">
        <f>IF($C2622="","",W2622-K2622)</f>
        <v/>
      </c>
      <c r="AB2622" s="7" t="n"/>
      <c r="AE2622" s="11" t="n"/>
      <c r="AG2622">
        <f>IF($C2622="","",IF(COUNTIF($C$2:$C2622,$C2622)=1,1,0))</f>
        <v/>
      </c>
      <c r="AH2622">
        <f>IF($AG2622=1,SUMPRODUCT(--($AK$2:$AK$6001&lt;$AK2622))+1,"")</f>
        <v/>
      </c>
      <c r="AI2622">
        <f>IF($C2622="","",IF(OR($N2622=TRUE(),$N2622="TRUE"),1,0))</f>
        <v/>
      </c>
      <c r="AJ2622">
        <f>IF($C2622="","",IF($T2622="Yes",1,0))</f>
        <v/>
      </c>
      <c r="AK2622">
        <f>IF($AG2622=1,IFERROR(IF(VALUE($C2622)&lt;100000000,VALUE($C2622),1000000000),IFERROR(IF(VALUE(MID($C2622,2,20))&lt;100000000,VALUE(MID($C2622,2,20)),1000000000),1000000000))+ROW()/100000,"")</f>
        <v/>
      </c>
    </row>
    <row r="2623">
      <c r="D2623" s="11" t="n"/>
      <c r="K2623" s="7">
        <f>IF($C2623="","",J2623*W2623/100)</f>
        <v/>
      </c>
      <c r="Q2623" s="7" t="n"/>
      <c r="R2623" s="7" t="n"/>
      <c r="U2623">
        <f>IF($C2623="","",IF($AJ2623=1,0,IF($AI2623=1,Settings!$C$6,Settings!$C$7))*100)</f>
        <v/>
      </c>
      <c r="V2623" s="7">
        <f>IF($C2623="","",R2623*U2623/100)</f>
        <v/>
      </c>
      <c r="W2623" s="7">
        <f>IF($C2623="","",R2623-V2623)</f>
        <v/>
      </c>
      <c r="X2623" s="7">
        <f>IF($C2623="","",W2623-K2623)</f>
        <v/>
      </c>
      <c r="AB2623" s="7" t="n"/>
      <c r="AE2623" s="11" t="n"/>
      <c r="AG2623">
        <f>IF($C2623="","",IF(COUNTIF($C$2:$C2623,$C2623)=1,1,0))</f>
        <v/>
      </c>
      <c r="AH2623">
        <f>IF($AG2623=1,SUMPRODUCT(--($AK$2:$AK$6001&lt;$AK2623))+1,"")</f>
        <v/>
      </c>
      <c r="AI2623">
        <f>IF($C2623="","",IF(OR($N2623=TRUE(),$N2623="TRUE"),1,0))</f>
        <v/>
      </c>
      <c r="AJ2623">
        <f>IF($C2623="","",IF($T2623="Yes",1,0))</f>
        <v/>
      </c>
      <c r="AK2623">
        <f>IF($AG2623=1,IFERROR(IF(VALUE($C2623)&lt;100000000,VALUE($C2623),1000000000),IFERROR(IF(VALUE(MID($C2623,2,20))&lt;100000000,VALUE(MID($C2623,2,20)),1000000000),1000000000))+ROW()/100000,"")</f>
        <v/>
      </c>
    </row>
    <row r="2624">
      <c r="D2624" s="11" t="n"/>
      <c r="K2624" s="7">
        <f>IF($C2624="","",J2624*W2624/100)</f>
        <v/>
      </c>
      <c r="Q2624" s="7" t="n"/>
      <c r="R2624" s="7" t="n"/>
      <c r="U2624">
        <f>IF($C2624="","",IF($AJ2624=1,0,IF($AI2624=1,Settings!$C$6,Settings!$C$7))*100)</f>
        <v/>
      </c>
      <c r="V2624" s="7">
        <f>IF($C2624="","",R2624*U2624/100)</f>
        <v/>
      </c>
      <c r="W2624" s="7">
        <f>IF($C2624="","",R2624-V2624)</f>
        <v/>
      </c>
      <c r="X2624" s="7">
        <f>IF($C2624="","",W2624-K2624)</f>
        <v/>
      </c>
      <c r="AB2624" s="7" t="n"/>
      <c r="AE2624" s="11" t="n"/>
      <c r="AG2624">
        <f>IF($C2624="","",IF(COUNTIF($C$2:$C2624,$C2624)=1,1,0))</f>
        <v/>
      </c>
      <c r="AH2624">
        <f>IF($AG2624=1,SUMPRODUCT(--($AK$2:$AK$6001&lt;$AK2624))+1,"")</f>
        <v/>
      </c>
      <c r="AI2624">
        <f>IF($C2624="","",IF(OR($N2624=TRUE(),$N2624="TRUE"),1,0))</f>
        <v/>
      </c>
      <c r="AJ2624">
        <f>IF($C2624="","",IF($T2624="Yes",1,0))</f>
        <v/>
      </c>
      <c r="AK2624">
        <f>IF($AG2624=1,IFERROR(IF(VALUE($C2624)&lt;100000000,VALUE($C2624),1000000000),IFERROR(IF(VALUE(MID($C2624,2,20))&lt;100000000,VALUE(MID($C2624,2,20)),1000000000),1000000000))+ROW()/100000,"")</f>
        <v/>
      </c>
    </row>
    <row r="2625">
      <c r="D2625" s="11" t="n"/>
      <c r="K2625" s="7">
        <f>IF($C2625="","",J2625*W2625/100)</f>
        <v/>
      </c>
      <c r="Q2625" s="7" t="n"/>
      <c r="R2625" s="7" t="n"/>
      <c r="U2625">
        <f>IF($C2625="","",IF($AJ2625=1,0,IF($AI2625=1,Settings!$C$6,Settings!$C$7))*100)</f>
        <v/>
      </c>
      <c r="V2625" s="7">
        <f>IF($C2625="","",R2625*U2625/100)</f>
        <v/>
      </c>
      <c r="W2625" s="7">
        <f>IF($C2625="","",R2625-V2625)</f>
        <v/>
      </c>
      <c r="X2625" s="7">
        <f>IF($C2625="","",W2625-K2625)</f>
        <v/>
      </c>
      <c r="AB2625" s="7" t="n"/>
      <c r="AE2625" s="11" t="n"/>
      <c r="AG2625">
        <f>IF($C2625="","",IF(COUNTIF($C$2:$C2625,$C2625)=1,1,0))</f>
        <v/>
      </c>
      <c r="AH2625">
        <f>IF($AG2625=1,SUMPRODUCT(--($AK$2:$AK$6001&lt;$AK2625))+1,"")</f>
        <v/>
      </c>
      <c r="AI2625">
        <f>IF($C2625="","",IF(OR($N2625=TRUE(),$N2625="TRUE"),1,0))</f>
        <v/>
      </c>
      <c r="AJ2625">
        <f>IF($C2625="","",IF($T2625="Yes",1,0))</f>
        <v/>
      </c>
      <c r="AK2625">
        <f>IF($AG2625=1,IFERROR(IF(VALUE($C2625)&lt;100000000,VALUE($C2625),1000000000),IFERROR(IF(VALUE(MID($C2625,2,20))&lt;100000000,VALUE(MID($C2625,2,20)),1000000000),1000000000))+ROW()/100000,"")</f>
        <v/>
      </c>
    </row>
    <row r="2626">
      <c r="D2626" s="11" t="n"/>
      <c r="K2626" s="7">
        <f>IF($C2626="","",J2626*W2626/100)</f>
        <v/>
      </c>
      <c r="Q2626" s="7" t="n"/>
      <c r="R2626" s="7" t="n"/>
      <c r="U2626">
        <f>IF($C2626="","",IF($AJ2626=1,0,IF($AI2626=1,Settings!$C$6,Settings!$C$7))*100)</f>
        <v/>
      </c>
      <c r="V2626" s="7">
        <f>IF($C2626="","",R2626*U2626/100)</f>
        <v/>
      </c>
      <c r="W2626" s="7">
        <f>IF($C2626="","",R2626-V2626)</f>
        <v/>
      </c>
      <c r="X2626" s="7">
        <f>IF($C2626="","",W2626-K2626)</f>
        <v/>
      </c>
      <c r="AB2626" s="7" t="n"/>
      <c r="AE2626" s="11" t="n"/>
      <c r="AG2626">
        <f>IF($C2626="","",IF(COUNTIF($C$2:$C2626,$C2626)=1,1,0))</f>
        <v/>
      </c>
      <c r="AH2626">
        <f>IF($AG2626=1,SUMPRODUCT(--($AK$2:$AK$6001&lt;$AK2626))+1,"")</f>
        <v/>
      </c>
      <c r="AI2626">
        <f>IF($C2626="","",IF(OR($N2626=TRUE(),$N2626="TRUE"),1,0))</f>
        <v/>
      </c>
      <c r="AJ2626">
        <f>IF($C2626="","",IF($T2626="Yes",1,0))</f>
        <v/>
      </c>
      <c r="AK2626">
        <f>IF($AG2626=1,IFERROR(IF(VALUE($C2626)&lt;100000000,VALUE($C2626),1000000000),IFERROR(IF(VALUE(MID($C2626,2,20))&lt;100000000,VALUE(MID($C2626,2,20)),1000000000),1000000000))+ROW()/100000,"")</f>
        <v/>
      </c>
    </row>
    <row r="2627">
      <c r="D2627" s="11" t="n"/>
      <c r="K2627" s="7">
        <f>IF($C2627="","",J2627*W2627/100)</f>
        <v/>
      </c>
      <c r="Q2627" s="7" t="n"/>
      <c r="R2627" s="7" t="n"/>
      <c r="U2627">
        <f>IF($C2627="","",IF($AJ2627=1,0,IF($AI2627=1,Settings!$C$6,Settings!$C$7))*100)</f>
        <v/>
      </c>
      <c r="V2627" s="7">
        <f>IF($C2627="","",R2627*U2627/100)</f>
        <v/>
      </c>
      <c r="W2627" s="7">
        <f>IF($C2627="","",R2627-V2627)</f>
        <v/>
      </c>
      <c r="X2627" s="7">
        <f>IF($C2627="","",W2627-K2627)</f>
        <v/>
      </c>
      <c r="AB2627" s="7" t="n"/>
      <c r="AE2627" s="11" t="n"/>
      <c r="AG2627">
        <f>IF($C2627="","",IF(COUNTIF($C$2:$C2627,$C2627)=1,1,0))</f>
        <v/>
      </c>
      <c r="AH2627">
        <f>IF($AG2627=1,SUMPRODUCT(--($AK$2:$AK$6001&lt;$AK2627))+1,"")</f>
        <v/>
      </c>
      <c r="AI2627">
        <f>IF($C2627="","",IF(OR($N2627=TRUE(),$N2627="TRUE"),1,0))</f>
        <v/>
      </c>
      <c r="AJ2627">
        <f>IF($C2627="","",IF($T2627="Yes",1,0))</f>
        <v/>
      </c>
      <c r="AK2627">
        <f>IF($AG2627=1,IFERROR(IF(VALUE($C2627)&lt;100000000,VALUE($C2627),1000000000),IFERROR(IF(VALUE(MID($C2627,2,20))&lt;100000000,VALUE(MID($C2627,2,20)),1000000000),1000000000))+ROW()/100000,"")</f>
        <v/>
      </c>
    </row>
    <row r="2628">
      <c r="D2628" s="11" t="n"/>
      <c r="K2628" s="7">
        <f>IF($C2628="","",J2628*W2628/100)</f>
        <v/>
      </c>
      <c r="Q2628" s="7" t="n"/>
      <c r="R2628" s="7" t="n"/>
      <c r="U2628">
        <f>IF($C2628="","",IF($AJ2628=1,0,IF($AI2628=1,Settings!$C$6,Settings!$C$7))*100)</f>
        <v/>
      </c>
      <c r="V2628" s="7">
        <f>IF($C2628="","",R2628*U2628/100)</f>
        <v/>
      </c>
      <c r="W2628" s="7">
        <f>IF($C2628="","",R2628-V2628)</f>
        <v/>
      </c>
      <c r="X2628" s="7">
        <f>IF($C2628="","",W2628-K2628)</f>
        <v/>
      </c>
      <c r="AB2628" s="7" t="n"/>
      <c r="AE2628" s="11" t="n"/>
      <c r="AG2628">
        <f>IF($C2628="","",IF(COUNTIF($C$2:$C2628,$C2628)=1,1,0))</f>
        <v/>
      </c>
      <c r="AH2628">
        <f>IF($AG2628=1,SUMPRODUCT(--($AK$2:$AK$6001&lt;$AK2628))+1,"")</f>
        <v/>
      </c>
      <c r="AI2628">
        <f>IF($C2628="","",IF(OR($N2628=TRUE(),$N2628="TRUE"),1,0))</f>
        <v/>
      </c>
      <c r="AJ2628">
        <f>IF($C2628="","",IF($T2628="Yes",1,0))</f>
        <v/>
      </c>
      <c r="AK2628">
        <f>IF($AG2628=1,IFERROR(IF(VALUE($C2628)&lt;100000000,VALUE($C2628),1000000000),IFERROR(IF(VALUE(MID($C2628,2,20))&lt;100000000,VALUE(MID($C2628,2,20)),1000000000),1000000000))+ROW()/100000,"")</f>
        <v/>
      </c>
    </row>
    <row r="2629">
      <c r="D2629" s="11" t="n"/>
      <c r="K2629" s="7">
        <f>IF($C2629="","",J2629*W2629/100)</f>
        <v/>
      </c>
      <c r="Q2629" s="7" t="n"/>
      <c r="R2629" s="7" t="n"/>
      <c r="U2629">
        <f>IF($C2629="","",IF($AJ2629=1,0,IF($AI2629=1,Settings!$C$6,Settings!$C$7))*100)</f>
        <v/>
      </c>
      <c r="V2629" s="7">
        <f>IF($C2629="","",R2629*U2629/100)</f>
        <v/>
      </c>
      <c r="W2629" s="7">
        <f>IF($C2629="","",R2629-V2629)</f>
        <v/>
      </c>
      <c r="X2629" s="7">
        <f>IF($C2629="","",W2629-K2629)</f>
        <v/>
      </c>
      <c r="AB2629" s="7" t="n"/>
      <c r="AE2629" s="11" t="n"/>
      <c r="AG2629">
        <f>IF($C2629="","",IF(COUNTIF($C$2:$C2629,$C2629)=1,1,0))</f>
        <v/>
      </c>
      <c r="AH2629">
        <f>IF($AG2629=1,SUMPRODUCT(--($AK$2:$AK$6001&lt;$AK2629))+1,"")</f>
        <v/>
      </c>
      <c r="AI2629">
        <f>IF($C2629="","",IF(OR($N2629=TRUE(),$N2629="TRUE"),1,0))</f>
        <v/>
      </c>
      <c r="AJ2629">
        <f>IF($C2629="","",IF($T2629="Yes",1,0))</f>
        <v/>
      </c>
      <c r="AK2629">
        <f>IF($AG2629=1,IFERROR(IF(VALUE($C2629)&lt;100000000,VALUE($C2629),1000000000),IFERROR(IF(VALUE(MID($C2629,2,20))&lt;100000000,VALUE(MID($C2629,2,20)),1000000000),1000000000))+ROW()/100000,"")</f>
        <v/>
      </c>
    </row>
    <row r="2630">
      <c r="D2630" s="11" t="n"/>
      <c r="K2630" s="7">
        <f>IF($C2630="","",J2630*W2630/100)</f>
        <v/>
      </c>
      <c r="Q2630" s="7" t="n"/>
      <c r="R2630" s="7" t="n"/>
      <c r="U2630">
        <f>IF($C2630="","",IF($AJ2630=1,0,IF($AI2630=1,Settings!$C$6,Settings!$C$7))*100)</f>
        <v/>
      </c>
      <c r="V2630" s="7">
        <f>IF($C2630="","",R2630*U2630/100)</f>
        <v/>
      </c>
      <c r="W2630" s="7">
        <f>IF($C2630="","",R2630-V2630)</f>
        <v/>
      </c>
      <c r="X2630" s="7">
        <f>IF($C2630="","",W2630-K2630)</f>
        <v/>
      </c>
      <c r="AB2630" s="7" t="n"/>
      <c r="AE2630" s="11" t="n"/>
      <c r="AG2630">
        <f>IF($C2630="","",IF(COUNTIF($C$2:$C2630,$C2630)=1,1,0))</f>
        <v/>
      </c>
      <c r="AH2630">
        <f>IF($AG2630=1,SUMPRODUCT(--($AK$2:$AK$6001&lt;$AK2630))+1,"")</f>
        <v/>
      </c>
      <c r="AI2630">
        <f>IF($C2630="","",IF(OR($N2630=TRUE(),$N2630="TRUE"),1,0))</f>
        <v/>
      </c>
      <c r="AJ2630">
        <f>IF($C2630="","",IF($T2630="Yes",1,0))</f>
        <v/>
      </c>
      <c r="AK2630">
        <f>IF($AG2630=1,IFERROR(IF(VALUE($C2630)&lt;100000000,VALUE($C2630),1000000000),IFERROR(IF(VALUE(MID($C2630,2,20))&lt;100000000,VALUE(MID($C2630,2,20)),1000000000),1000000000))+ROW()/100000,"")</f>
        <v/>
      </c>
    </row>
    <row r="2631">
      <c r="D2631" s="11" t="n"/>
      <c r="K2631" s="7">
        <f>IF($C2631="","",J2631*W2631/100)</f>
        <v/>
      </c>
      <c r="Q2631" s="7" t="n"/>
      <c r="R2631" s="7" t="n"/>
      <c r="U2631">
        <f>IF($C2631="","",IF($AJ2631=1,0,IF($AI2631=1,Settings!$C$6,Settings!$C$7))*100)</f>
        <v/>
      </c>
      <c r="V2631" s="7">
        <f>IF($C2631="","",R2631*U2631/100)</f>
        <v/>
      </c>
      <c r="W2631" s="7">
        <f>IF($C2631="","",R2631-V2631)</f>
        <v/>
      </c>
      <c r="X2631" s="7">
        <f>IF($C2631="","",W2631-K2631)</f>
        <v/>
      </c>
      <c r="AB2631" s="7" t="n"/>
      <c r="AE2631" s="11" t="n"/>
      <c r="AG2631">
        <f>IF($C2631="","",IF(COUNTIF($C$2:$C2631,$C2631)=1,1,0))</f>
        <v/>
      </c>
      <c r="AH2631">
        <f>IF($AG2631=1,SUMPRODUCT(--($AK$2:$AK$6001&lt;$AK2631))+1,"")</f>
        <v/>
      </c>
      <c r="AI2631">
        <f>IF($C2631="","",IF(OR($N2631=TRUE(),$N2631="TRUE"),1,0))</f>
        <v/>
      </c>
      <c r="AJ2631">
        <f>IF($C2631="","",IF($T2631="Yes",1,0))</f>
        <v/>
      </c>
      <c r="AK2631">
        <f>IF($AG2631=1,IFERROR(IF(VALUE($C2631)&lt;100000000,VALUE($C2631),1000000000),IFERROR(IF(VALUE(MID($C2631,2,20))&lt;100000000,VALUE(MID($C2631,2,20)),1000000000),1000000000))+ROW()/100000,"")</f>
        <v/>
      </c>
    </row>
    <row r="2632">
      <c r="D2632" s="11" t="n"/>
      <c r="K2632" s="7">
        <f>IF($C2632="","",J2632*W2632/100)</f>
        <v/>
      </c>
      <c r="Q2632" s="7" t="n"/>
      <c r="R2632" s="7" t="n"/>
      <c r="U2632">
        <f>IF($C2632="","",IF($AJ2632=1,0,IF($AI2632=1,Settings!$C$6,Settings!$C$7))*100)</f>
        <v/>
      </c>
      <c r="V2632" s="7">
        <f>IF($C2632="","",R2632*U2632/100)</f>
        <v/>
      </c>
      <c r="W2632" s="7">
        <f>IF($C2632="","",R2632-V2632)</f>
        <v/>
      </c>
      <c r="X2632" s="7">
        <f>IF($C2632="","",W2632-K2632)</f>
        <v/>
      </c>
      <c r="AB2632" s="7" t="n"/>
      <c r="AE2632" s="11" t="n"/>
      <c r="AG2632">
        <f>IF($C2632="","",IF(COUNTIF($C$2:$C2632,$C2632)=1,1,0))</f>
        <v/>
      </c>
      <c r="AH2632">
        <f>IF($AG2632=1,SUMPRODUCT(--($AK$2:$AK$6001&lt;$AK2632))+1,"")</f>
        <v/>
      </c>
      <c r="AI2632">
        <f>IF($C2632="","",IF(OR($N2632=TRUE(),$N2632="TRUE"),1,0))</f>
        <v/>
      </c>
      <c r="AJ2632">
        <f>IF($C2632="","",IF($T2632="Yes",1,0))</f>
        <v/>
      </c>
      <c r="AK2632">
        <f>IF($AG2632=1,IFERROR(IF(VALUE($C2632)&lt;100000000,VALUE($C2632),1000000000),IFERROR(IF(VALUE(MID($C2632,2,20))&lt;100000000,VALUE(MID($C2632,2,20)),1000000000),1000000000))+ROW()/100000,"")</f>
        <v/>
      </c>
    </row>
    <row r="2633">
      <c r="D2633" s="11" t="n"/>
      <c r="K2633" s="7">
        <f>IF($C2633="","",J2633*W2633/100)</f>
        <v/>
      </c>
      <c r="Q2633" s="7" t="n"/>
      <c r="R2633" s="7" t="n"/>
      <c r="U2633">
        <f>IF($C2633="","",IF($AJ2633=1,0,IF($AI2633=1,Settings!$C$6,Settings!$C$7))*100)</f>
        <v/>
      </c>
      <c r="V2633" s="7">
        <f>IF($C2633="","",R2633*U2633/100)</f>
        <v/>
      </c>
      <c r="W2633" s="7">
        <f>IF($C2633="","",R2633-V2633)</f>
        <v/>
      </c>
      <c r="X2633" s="7">
        <f>IF($C2633="","",W2633-K2633)</f>
        <v/>
      </c>
      <c r="AB2633" s="7" t="n"/>
      <c r="AE2633" s="11" t="n"/>
      <c r="AG2633">
        <f>IF($C2633="","",IF(COUNTIF($C$2:$C2633,$C2633)=1,1,0))</f>
        <v/>
      </c>
      <c r="AH2633">
        <f>IF($AG2633=1,SUMPRODUCT(--($AK$2:$AK$6001&lt;$AK2633))+1,"")</f>
        <v/>
      </c>
      <c r="AI2633">
        <f>IF($C2633="","",IF(OR($N2633=TRUE(),$N2633="TRUE"),1,0))</f>
        <v/>
      </c>
      <c r="AJ2633">
        <f>IF($C2633="","",IF($T2633="Yes",1,0))</f>
        <v/>
      </c>
      <c r="AK2633">
        <f>IF($AG2633=1,IFERROR(IF(VALUE($C2633)&lt;100000000,VALUE($C2633),1000000000),IFERROR(IF(VALUE(MID($C2633,2,20))&lt;100000000,VALUE(MID($C2633,2,20)),1000000000),1000000000))+ROW()/100000,"")</f>
        <v/>
      </c>
    </row>
    <row r="2634">
      <c r="D2634" s="11" t="n"/>
      <c r="K2634" s="7">
        <f>IF($C2634="","",J2634*W2634/100)</f>
        <v/>
      </c>
      <c r="Q2634" s="7" t="n"/>
      <c r="R2634" s="7" t="n"/>
      <c r="U2634">
        <f>IF($C2634="","",IF($AJ2634=1,0,IF($AI2634=1,Settings!$C$6,Settings!$C$7))*100)</f>
        <v/>
      </c>
      <c r="V2634" s="7">
        <f>IF($C2634="","",R2634*U2634/100)</f>
        <v/>
      </c>
      <c r="W2634" s="7">
        <f>IF($C2634="","",R2634-V2634)</f>
        <v/>
      </c>
      <c r="X2634" s="7">
        <f>IF($C2634="","",W2634-K2634)</f>
        <v/>
      </c>
      <c r="AB2634" s="7" t="n"/>
      <c r="AE2634" s="11" t="n"/>
      <c r="AG2634">
        <f>IF($C2634="","",IF(COUNTIF($C$2:$C2634,$C2634)=1,1,0))</f>
        <v/>
      </c>
      <c r="AH2634">
        <f>IF($AG2634=1,SUMPRODUCT(--($AK$2:$AK$6001&lt;$AK2634))+1,"")</f>
        <v/>
      </c>
      <c r="AI2634">
        <f>IF($C2634="","",IF(OR($N2634=TRUE(),$N2634="TRUE"),1,0))</f>
        <v/>
      </c>
      <c r="AJ2634">
        <f>IF($C2634="","",IF($T2634="Yes",1,0))</f>
        <v/>
      </c>
      <c r="AK2634">
        <f>IF($AG2634=1,IFERROR(IF(VALUE($C2634)&lt;100000000,VALUE($C2634),1000000000),IFERROR(IF(VALUE(MID($C2634,2,20))&lt;100000000,VALUE(MID($C2634,2,20)),1000000000),1000000000))+ROW()/100000,"")</f>
        <v/>
      </c>
    </row>
    <row r="2635">
      <c r="D2635" s="11" t="n"/>
      <c r="K2635" s="7">
        <f>IF($C2635="","",J2635*W2635/100)</f>
        <v/>
      </c>
      <c r="Q2635" s="7" t="n"/>
      <c r="R2635" s="7" t="n"/>
      <c r="U2635">
        <f>IF($C2635="","",IF($AJ2635=1,0,IF($AI2635=1,Settings!$C$6,Settings!$C$7))*100)</f>
        <v/>
      </c>
      <c r="V2635" s="7">
        <f>IF($C2635="","",R2635*U2635/100)</f>
        <v/>
      </c>
      <c r="W2635" s="7">
        <f>IF($C2635="","",R2635-V2635)</f>
        <v/>
      </c>
      <c r="X2635" s="7">
        <f>IF($C2635="","",W2635-K2635)</f>
        <v/>
      </c>
      <c r="AB2635" s="7" t="n"/>
      <c r="AE2635" s="11" t="n"/>
      <c r="AG2635">
        <f>IF($C2635="","",IF(COUNTIF($C$2:$C2635,$C2635)=1,1,0))</f>
        <v/>
      </c>
      <c r="AH2635">
        <f>IF($AG2635=1,SUMPRODUCT(--($AK$2:$AK$6001&lt;$AK2635))+1,"")</f>
        <v/>
      </c>
      <c r="AI2635">
        <f>IF($C2635="","",IF(OR($N2635=TRUE(),$N2635="TRUE"),1,0))</f>
        <v/>
      </c>
      <c r="AJ2635">
        <f>IF($C2635="","",IF($T2635="Yes",1,0))</f>
        <v/>
      </c>
      <c r="AK2635">
        <f>IF($AG2635=1,IFERROR(IF(VALUE($C2635)&lt;100000000,VALUE($C2635),1000000000),IFERROR(IF(VALUE(MID($C2635,2,20))&lt;100000000,VALUE(MID($C2635,2,20)),1000000000),1000000000))+ROW()/100000,"")</f>
        <v/>
      </c>
    </row>
    <row r="2636">
      <c r="D2636" s="11" t="n"/>
      <c r="K2636" s="7">
        <f>IF($C2636="","",J2636*W2636/100)</f>
        <v/>
      </c>
      <c r="Q2636" s="7" t="n"/>
      <c r="R2636" s="7" t="n"/>
      <c r="U2636">
        <f>IF($C2636="","",IF($AJ2636=1,0,IF($AI2636=1,Settings!$C$6,Settings!$C$7))*100)</f>
        <v/>
      </c>
      <c r="V2636" s="7">
        <f>IF($C2636="","",R2636*U2636/100)</f>
        <v/>
      </c>
      <c r="W2636" s="7">
        <f>IF($C2636="","",R2636-V2636)</f>
        <v/>
      </c>
      <c r="X2636" s="7">
        <f>IF($C2636="","",W2636-K2636)</f>
        <v/>
      </c>
      <c r="AB2636" s="7" t="n"/>
      <c r="AE2636" s="11" t="n"/>
      <c r="AG2636">
        <f>IF($C2636="","",IF(COUNTIF($C$2:$C2636,$C2636)=1,1,0))</f>
        <v/>
      </c>
      <c r="AH2636">
        <f>IF($AG2636=1,SUMPRODUCT(--($AK$2:$AK$6001&lt;$AK2636))+1,"")</f>
        <v/>
      </c>
      <c r="AI2636">
        <f>IF($C2636="","",IF(OR($N2636=TRUE(),$N2636="TRUE"),1,0))</f>
        <v/>
      </c>
      <c r="AJ2636">
        <f>IF($C2636="","",IF($T2636="Yes",1,0))</f>
        <v/>
      </c>
      <c r="AK2636">
        <f>IF($AG2636=1,IFERROR(IF(VALUE($C2636)&lt;100000000,VALUE($C2636),1000000000),IFERROR(IF(VALUE(MID($C2636,2,20))&lt;100000000,VALUE(MID($C2636,2,20)),1000000000),1000000000))+ROW()/100000,"")</f>
        <v/>
      </c>
    </row>
    <row r="2637">
      <c r="D2637" s="11" t="n"/>
      <c r="K2637" s="7">
        <f>IF($C2637="","",J2637*W2637/100)</f>
        <v/>
      </c>
      <c r="Q2637" s="7" t="n"/>
      <c r="R2637" s="7" t="n"/>
      <c r="U2637">
        <f>IF($C2637="","",IF($AJ2637=1,0,IF($AI2637=1,Settings!$C$6,Settings!$C$7))*100)</f>
        <v/>
      </c>
      <c r="V2637" s="7">
        <f>IF($C2637="","",R2637*U2637/100)</f>
        <v/>
      </c>
      <c r="W2637" s="7">
        <f>IF($C2637="","",R2637-V2637)</f>
        <v/>
      </c>
      <c r="X2637" s="7">
        <f>IF($C2637="","",W2637-K2637)</f>
        <v/>
      </c>
      <c r="AB2637" s="7" t="n"/>
      <c r="AE2637" s="11" t="n"/>
      <c r="AG2637">
        <f>IF($C2637="","",IF(COUNTIF($C$2:$C2637,$C2637)=1,1,0))</f>
        <v/>
      </c>
      <c r="AH2637">
        <f>IF($AG2637=1,SUMPRODUCT(--($AK$2:$AK$6001&lt;$AK2637))+1,"")</f>
        <v/>
      </c>
      <c r="AI2637">
        <f>IF($C2637="","",IF(OR($N2637=TRUE(),$N2637="TRUE"),1,0))</f>
        <v/>
      </c>
      <c r="AJ2637">
        <f>IF($C2637="","",IF($T2637="Yes",1,0))</f>
        <v/>
      </c>
      <c r="AK2637">
        <f>IF($AG2637=1,IFERROR(IF(VALUE($C2637)&lt;100000000,VALUE($C2637),1000000000),IFERROR(IF(VALUE(MID($C2637,2,20))&lt;100000000,VALUE(MID($C2637,2,20)),1000000000),1000000000))+ROW()/100000,"")</f>
        <v/>
      </c>
    </row>
    <row r="2638">
      <c r="D2638" s="11" t="n"/>
      <c r="K2638" s="7">
        <f>IF($C2638="","",J2638*W2638/100)</f>
        <v/>
      </c>
      <c r="Q2638" s="7" t="n"/>
      <c r="R2638" s="7" t="n"/>
      <c r="U2638">
        <f>IF($C2638="","",IF($AJ2638=1,0,IF($AI2638=1,Settings!$C$6,Settings!$C$7))*100)</f>
        <v/>
      </c>
      <c r="V2638" s="7">
        <f>IF($C2638="","",R2638*U2638/100)</f>
        <v/>
      </c>
      <c r="W2638" s="7">
        <f>IF($C2638="","",R2638-V2638)</f>
        <v/>
      </c>
      <c r="X2638" s="7">
        <f>IF($C2638="","",W2638-K2638)</f>
        <v/>
      </c>
      <c r="AB2638" s="7" t="n"/>
      <c r="AE2638" s="11" t="n"/>
      <c r="AG2638">
        <f>IF($C2638="","",IF(COUNTIF($C$2:$C2638,$C2638)=1,1,0))</f>
        <v/>
      </c>
      <c r="AH2638">
        <f>IF($AG2638=1,SUMPRODUCT(--($AK$2:$AK$6001&lt;$AK2638))+1,"")</f>
        <v/>
      </c>
      <c r="AI2638">
        <f>IF($C2638="","",IF(OR($N2638=TRUE(),$N2638="TRUE"),1,0))</f>
        <v/>
      </c>
      <c r="AJ2638">
        <f>IF($C2638="","",IF($T2638="Yes",1,0))</f>
        <v/>
      </c>
      <c r="AK2638">
        <f>IF($AG2638=1,IFERROR(IF(VALUE($C2638)&lt;100000000,VALUE($C2638),1000000000),IFERROR(IF(VALUE(MID($C2638,2,20))&lt;100000000,VALUE(MID($C2638,2,20)),1000000000),1000000000))+ROW()/100000,"")</f>
        <v/>
      </c>
    </row>
    <row r="2639">
      <c r="D2639" s="11" t="n"/>
      <c r="K2639" s="7">
        <f>IF($C2639="","",J2639*W2639/100)</f>
        <v/>
      </c>
      <c r="Q2639" s="7" t="n"/>
      <c r="R2639" s="7" t="n"/>
      <c r="U2639">
        <f>IF($C2639="","",IF($AJ2639=1,0,IF($AI2639=1,Settings!$C$6,Settings!$C$7))*100)</f>
        <v/>
      </c>
      <c r="V2639" s="7">
        <f>IF($C2639="","",R2639*U2639/100)</f>
        <v/>
      </c>
      <c r="W2639" s="7">
        <f>IF($C2639="","",R2639-V2639)</f>
        <v/>
      </c>
      <c r="X2639" s="7">
        <f>IF($C2639="","",W2639-K2639)</f>
        <v/>
      </c>
      <c r="AB2639" s="7" t="n"/>
      <c r="AE2639" s="11" t="n"/>
      <c r="AG2639">
        <f>IF($C2639="","",IF(COUNTIF($C$2:$C2639,$C2639)=1,1,0))</f>
        <v/>
      </c>
      <c r="AH2639">
        <f>IF($AG2639=1,SUMPRODUCT(--($AK$2:$AK$6001&lt;$AK2639))+1,"")</f>
        <v/>
      </c>
      <c r="AI2639">
        <f>IF($C2639="","",IF(OR($N2639=TRUE(),$N2639="TRUE"),1,0))</f>
        <v/>
      </c>
      <c r="AJ2639">
        <f>IF($C2639="","",IF($T2639="Yes",1,0))</f>
        <v/>
      </c>
      <c r="AK2639">
        <f>IF($AG2639=1,IFERROR(IF(VALUE($C2639)&lt;100000000,VALUE($C2639),1000000000),IFERROR(IF(VALUE(MID($C2639,2,20))&lt;100000000,VALUE(MID($C2639,2,20)),1000000000),1000000000))+ROW()/100000,"")</f>
        <v/>
      </c>
    </row>
    <row r="2640">
      <c r="D2640" s="11" t="n"/>
      <c r="K2640" s="7">
        <f>IF($C2640="","",J2640*W2640/100)</f>
        <v/>
      </c>
      <c r="Q2640" s="7" t="n"/>
      <c r="R2640" s="7" t="n"/>
      <c r="U2640">
        <f>IF($C2640="","",IF($AJ2640=1,0,IF($AI2640=1,Settings!$C$6,Settings!$C$7))*100)</f>
        <v/>
      </c>
      <c r="V2640" s="7">
        <f>IF($C2640="","",R2640*U2640/100)</f>
        <v/>
      </c>
      <c r="W2640" s="7">
        <f>IF($C2640="","",R2640-V2640)</f>
        <v/>
      </c>
      <c r="X2640" s="7">
        <f>IF($C2640="","",W2640-K2640)</f>
        <v/>
      </c>
      <c r="AB2640" s="7" t="n"/>
      <c r="AE2640" s="11" t="n"/>
      <c r="AG2640">
        <f>IF($C2640="","",IF(COUNTIF($C$2:$C2640,$C2640)=1,1,0))</f>
        <v/>
      </c>
      <c r="AH2640">
        <f>IF($AG2640=1,SUMPRODUCT(--($AK$2:$AK$6001&lt;$AK2640))+1,"")</f>
        <v/>
      </c>
      <c r="AI2640">
        <f>IF($C2640="","",IF(OR($N2640=TRUE(),$N2640="TRUE"),1,0))</f>
        <v/>
      </c>
      <c r="AJ2640">
        <f>IF($C2640="","",IF($T2640="Yes",1,0))</f>
        <v/>
      </c>
      <c r="AK2640">
        <f>IF($AG2640=1,IFERROR(IF(VALUE($C2640)&lt;100000000,VALUE($C2640),1000000000),IFERROR(IF(VALUE(MID($C2640,2,20))&lt;100000000,VALUE(MID($C2640,2,20)),1000000000),1000000000))+ROW()/100000,"")</f>
        <v/>
      </c>
    </row>
    <row r="2641">
      <c r="D2641" s="11" t="n"/>
      <c r="K2641" s="7">
        <f>IF($C2641="","",J2641*W2641/100)</f>
        <v/>
      </c>
      <c r="Q2641" s="7" t="n"/>
      <c r="R2641" s="7" t="n"/>
      <c r="U2641">
        <f>IF($C2641="","",IF($AJ2641=1,0,IF($AI2641=1,Settings!$C$6,Settings!$C$7))*100)</f>
        <v/>
      </c>
      <c r="V2641" s="7">
        <f>IF($C2641="","",R2641*U2641/100)</f>
        <v/>
      </c>
      <c r="W2641" s="7">
        <f>IF($C2641="","",R2641-V2641)</f>
        <v/>
      </c>
      <c r="X2641" s="7">
        <f>IF($C2641="","",W2641-K2641)</f>
        <v/>
      </c>
      <c r="AB2641" s="7" t="n"/>
      <c r="AE2641" s="11" t="n"/>
      <c r="AG2641">
        <f>IF($C2641="","",IF(COUNTIF($C$2:$C2641,$C2641)=1,1,0))</f>
        <v/>
      </c>
      <c r="AH2641">
        <f>IF($AG2641=1,SUMPRODUCT(--($AK$2:$AK$6001&lt;$AK2641))+1,"")</f>
        <v/>
      </c>
      <c r="AI2641">
        <f>IF($C2641="","",IF(OR($N2641=TRUE(),$N2641="TRUE"),1,0))</f>
        <v/>
      </c>
      <c r="AJ2641">
        <f>IF($C2641="","",IF($T2641="Yes",1,0))</f>
        <v/>
      </c>
      <c r="AK2641">
        <f>IF($AG2641=1,IFERROR(IF(VALUE($C2641)&lt;100000000,VALUE($C2641),1000000000),IFERROR(IF(VALUE(MID($C2641,2,20))&lt;100000000,VALUE(MID($C2641,2,20)),1000000000),1000000000))+ROW()/100000,"")</f>
        <v/>
      </c>
    </row>
    <row r="2642">
      <c r="D2642" s="11" t="n"/>
      <c r="K2642" s="7">
        <f>IF($C2642="","",J2642*W2642/100)</f>
        <v/>
      </c>
      <c r="Q2642" s="7" t="n"/>
      <c r="R2642" s="7" t="n"/>
      <c r="U2642">
        <f>IF($C2642="","",IF($AJ2642=1,0,IF($AI2642=1,Settings!$C$6,Settings!$C$7))*100)</f>
        <v/>
      </c>
      <c r="V2642" s="7">
        <f>IF($C2642="","",R2642*U2642/100)</f>
        <v/>
      </c>
      <c r="W2642" s="7">
        <f>IF($C2642="","",R2642-V2642)</f>
        <v/>
      </c>
      <c r="X2642" s="7">
        <f>IF($C2642="","",W2642-K2642)</f>
        <v/>
      </c>
      <c r="AB2642" s="7" t="n"/>
      <c r="AE2642" s="11" t="n"/>
      <c r="AG2642">
        <f>IF($C2642="","",IF(COUNTIF($C$2:$C2642,$C2642)=1,1,0))</f>
        <v/>
      </c>
      <c r="AH2642">
        <f>IF($AG2642=1,SUMPRODUCT(--($AK$2:$AK$6001&lt;$AK2642))+1,"")</f>
        <v/>
      </c>
      <c r="AI2642">
        <f>IF($C2642="","",IF(OR($N2642=TRUE(),$N2642="TRUE"),1,0))</f>
        <v/>
      </c>
      <c r="AJ2642">
        <f>IF($C2642="","",IF($T2642="Yes",1,0))</f>
        <v/>
      </c>
      <c r="AK2642">
        <f>IF($AG2642=1,IFERROR(IF(VALUE($C2642)&lt;100000000,VALUE($C2642),1000000000),IFERROR(IF(VALUE(MID($C2642,2,20))&lt;100000000,VALUE(MID($C2642,2,20)),1000000000),1000000000))+ROW()/100000,"")</f>
        <v/>
      </c>
    </row>
    <row r="2643">
      <c r="D2643" s="11" t="n"/>
      <c r="K2643" s="7">
        <f>IF($C2643="","",J2643*W2643/100)</f>
        <v/>
      </c>
      <c r="Q2643" s="7" t="n"/>
      <c r="R2643" s="7" t="n"/>
      <c r="U2643">
        <f>IF($C2643="","",IF($AJ2643=1,0,IF($AI2643=1,Settings!$C$6,Settings!$C$7))*100)</f>
        <v/>
      </c>
      <c r="V2643" s="7">
        <f>IF($C2643="","",R2643*U2643/100)</f>
        <v/>
      </c>
      <c r="W2643" s="7">
        <f>IF($C2643="","",R2643-V2643)</f>
        <v/>
      </c>
      <c r="X2643" s="7">
        <f>IF($C2643="","",W2643-K2643)</f>
        <v/>
      </c>
      <c r="AB2643" s="7" t="n"/>
      <c r="AE2643" s="11" t="n"/>
      <c r="AG2643">
        <f>IF($C2643="","",IF(COUNTIF($C$2:$C2643,$C2643)=1,1,0))</f>
        <v/>
      </c>
      <c r="AH2643">
        <f>IF($AG2643=1,SUMPRODUCT(--($AK$2:$AK$6001&lt;$AK2643))+1,"")</f>
        <v/>
      </c>
      <c r="AI2643">
        <f>IF($C2643="","",IF(OR($N2643=TRUE(),$N2643="TRUE"),1,0))</f>
        <v/>
      </c>
      <c r="AJ2643">
        <f>IF($C2643="","",IF($T2643="Yes",1,0))</f>
        <v/>
      </c>
      <c r="AK2643">
        <f>IF($AG2643=1,IFERROR(IF(VALUE($C2643)&lt;100000000,VALUE($C2643),1000000000),IFERROR(IF(VALUE(MID($C2643,2,20))&lt;100000000,VALUE(MID($C2643,2,20)),1000000000),1000000000))+ROW()/100000,"")</f>
        <v/>
      </c>
    </row>
    <row r="2644">
      <c r="D2644" s="11" t="n"/>
      <c r="K2644" s="7">
        <f>IF($C2644="","",J2644*W2644/100)</f>
        <v/>
      </c>
      <c r="Q2644" s="7" t="n"/>
      <c r="R2644" s="7" t="n"/>
      <c r="U2644">
        <f>IF($C2644="","",IF($AJ2644=1,0,IF($AI2644=1,Settings!$C$6,Settings!$C$7))*100)</f>
        <v/>
      </c>
      <c r="V2644" s="7">
        <f>IF($C2644="","",R2644*U2644/100)</f>
        <v/>
      </c>
      <c r="W2644" s="7">
        <f>IF($C2644="","",R2644-V2644)</f>
        <v/>
      </c>
      <c r="X2644" s="7">
        <f>IF($C2644="","",W2644-K2644)</f>
        <v/>
      </c>
      <c r="AB2644" s="7" t="n"/>
      <c r="AE2644" s="11" t="n"/>
      <c r="AG2644">
        <f>IF($C2644="","",IF(COUNTIF($C$2:$C2644,$C2644)=1,1,0))</f>
        <v/>
      </c>
      <c r="AH2644">
        <f>IF($AG2644=1,SUMPRODUCT(--($AK$2:$AK$6001&lt;$AK2644))+1,"")</f>
        <v/>
      </c>
      <c r="AI2644">
        <f>IF($C2644="","",IF(OR($N2644=TRUE(),$N2644="TRUE"),1,0))</f>
        <v/>
      </c>
      <c r="AJ2644">
        <f>IF($C2644="","",IF($T2644="Yes",1,0))</f>
        <v/>
      </c>
      <c r="AK2644">
        <f>IF($AG2644=1,IFERROR(IF(VALUE($C2644)&lt;100000000,VALUE($C2644),1000000000),IFERROR(IF(VALUE(MID($C2644,2,20))&lt;100000000,VALUE(MID($C2644,2,20)),1000000000),1000000000))+ROW()/100000,"")</f>
        <v/>
      </c>
    </row>
    <row r="2645">
      <c r="D2645" s="11" t="n"/>
      <c r="K2645" s="7">
        <f>IF($C2645="","",J2645*W2645/100)</f>
        <v/>
      </c>
      <c r="Q2645" s="7" t="n"/>
      <c r="R2645" s="7" t="n"/>
      <c r="U2645">
        <f>IF($C2645="","",IF($AJ2645=1,0,IF($AI2645=1,Settings!$C$6,Settings!$C$7))*100)</f>
        <v/>
      </c>
      <c r="V2645" s="7">
        <f>IF($C2645="","",R2645*U2645/100)</f>
        <v/>
      </c>
      <c r="W2645" s="7">
        <f>IF($C2645="","",R2645-V2645)</f>
        <v/>
      </c>
      <c r="X2645" s="7">
        <f>IF($C2645="","",W2645-K2645)</f>
        <v/>
      </c>
      <c r="AB2645" s="7" t="n"/>
      <c r="AE2645" s="11" t="n"/>
      <c r="AG2645">
        <f>IF($C2645="","",IF(COUNTIF($C$2:$C2645,$C2645)=1,1,0))</f>
        <v/>
      </c>
      <c r="AH2645">
        <f>IF($AG2645=1,SUMPRODUCT(--($AK$2:$AK$6001&lt;$AK2645))+1,"")</f>
        <v/>
      </c>
      <c r="AI2645">
        <f>IF($C2645="","",IF(OR($N2645=TRUE(),$N2645="TRUE"),1,0))</f>
        <v/>
      </c>
      <c r="AJ2645">
        <f>IF($C2645="","",IF($T2645="Yes",1,0))</f>
        <v/>
      </c>
      <c r="AK2645">
        <f>IF($AG2645=1,IFERROR(IF(VALUE($C2645)&lt;100000000,VALUE($C2645),1000000000),IFERROR(IF(VALUE(MID($C2645,2,20))&lt;100000000,VALUE(MID($C2645,2,20)),1000000000),1000000000))+ROW()/100000,"")</f>
        <v/>
      </c>
    </row>
    <row r="2646">
      <c r="D2646" s="11" t="n"/>
      <c r="K2646" s="7">
        <f>IF($C2646="","",J2646*W2646/100)</f>
        <v/>
      </c>
      <c r="Q2646" s="7" t="n"/>
      <c r="R2646" s="7" t="n"/>
      <c r="U2646">
        <f>IF($C2646="","",IF($AJ2646=1,0,IF($AI2646=1,Settings!$C$6,Settings!$C$7))*100)</f>
        <v/>
      </c>
      <c r="V2646" s="7">
        <f>IF($C2646="","",R2646*U2646/100)</f>
        <v/>
      </c>
      <c r="W2646" s="7">
        <f>IF($C2646="","",R2646-V2646)</f>
        <v/>
      </c>
      <c r="X2646" s="7">
        <f>IF($C2646="","",W2646-K2646)</f>
        <v/>
      </c>
      <c r="AB2646" s="7" t="n"/>
      <c r="AE2646" s="11" t="n"/>
      <c r="AG2646">
        <f>IF($C2646="","",IF(COUNTIF($C$2:$C2646,$C2646)=1,1,0))</f>
        <v/>
      </c>
      <c r="AH2646">
        <f>IF($AG2646=1,SUMPRODUCT(--($AK$2:$AK$6001&lt;$AK2646))+1,"")</f>
        <v/>
      </c>
      <c r="AI2646">
        <f>IF($C2646="","",IF(OR($N2646=TRUE(),$N2646="TRUE"),1,0))</f>
        <v/>
      </c>
      <c r="AJ2646">
        <f>IF($C2646="","",IF($T2646="Yes",1,0))</f>
        <v/>
      </c>
      <c r="AK2646">
        <f>IF($AG2646=1,IFERROR(IF(VALUE($C2646)&lt;100000000,VALUE($C2646),1000000000),IFERROR(IF(VALUE(MID($C2646,2,20))&lt;100000000,VALUE(MID($C2646,2,20)),1000000000),1000000000))+ROW()/100000,"")</f>
        <v/>
      </c>
    </row>
    <row r="2647">
      <c r="D2647" s="11" t="n"/>
      <c r="K2647" s="7">
        <f>IF($C2647="","",J2647*W2647/100)</f>
        <v/>
      </c>
      <c r="Q2647" s="7" t="n"/>
      <c r="R2647" s="7" t="n"/>
      <c r="U2647">
        <f>IF($C2647="","",IF($AJ2647=1,0,IF($AI2647=1,Settings!$C$6,Settings!$C$7))*100)</f>
        <v/>
      </c>
      <c r="V2647" s="7">
        <f>IF($C2647="","",R2647*U2647/100)</f>
        <v/>
      </c>
      <c r="W2647" s="7">
        <f>IF($C2647="","",R2647-V2647)</f>
        <v/>
      </c>
      <c r="X2647" s="7">
        <f>IF($C2647="","",W2647-K2647)</f>
        <v/>
      </c>
      <c r="AB2647" s="7" t="n"/>
      <c r="AE2647" s="11" t="n"/>
      <c r="AG2647">
        <f>IF($C2647="","",IF(COUNTIF($C$2:$C2647,$C2647)=1,1,0))</f>
        <v/>
      </c>
      <c r="AH2647">
        <f>IF($AG2647=1,SUMPRODUCT(--($AK$2:$AK$6001&lt;$AK2647))+1,"")</f>
        <v/>
      </c>
      <c r="AI2647">
        <f>IF($C2647="","",IF(OR($N2647=TRUE(),$N2647="TRUE"),1,0))</f>
        <v/>
      </c>
      <c r="AJ2647">
        <f>IF($C2647="","",IF($T2647="Yes",1,0))</f>
        <v/>
      </c>
      <c r="AK2647">
        <f>IF($AG2647=1,IFERROR(IF(VALUE($C2647)&lt;100000000,VALUE($C2647),1000000000),IFERROR(IF(VALUE(MID($C2647,2,20))&lt;100000000,VALUE(MID($C2647,2,20)),1000000000),1000000000))+ROW()/100000,"")</f>
        <v/>
      </c>
    </row>
    <row r="2648">
      <c r="D2648" s="11" t="n"/>
      <c r="K2648" s="7">
        <f>IF($C2648="","",J2648*W2648/100)</f>
        <v/>
      </c>
      <c r="Q2648" s="7" t="n"/>
      <c r="R2648" s="7" t="n"/>
      <c r="U2648">
        <f>IF($C2648="","",IF($AJ2648=1,0,IF($AI2648=1,Settings!$C$6,Settings!$C$7))*100)</f>
        <v/>
      </c>
      <c r="V2648" s="7">
        <f>IF($C2648="","",R2648*U2648/100)</f>
        <v/>
      </c>
      <c r="W2648" s="7">
        <f>IF($C2648="","",R2648-V2648)</f>
        <v/>
      </c>
      <c r="X2648" s="7">
        <f>IF($C2648="","",W2648-K2648)</f>
        <v/>
      </c>
      <c r="AB2648" s="7" t="n"/>
      <c r="AE2648" s="11" t="n"/>
      <c r="AG2648">
        <f>IF($C2648="","",IF(COUNTIF($C$2:$C2648,$C2648)=1,1,0))</f>
        <v/>
      </c>
      <c r="AH2648">
        <f>IF($AG2648=1,SUMPRODUCT(--($AK$2:$AK$6001&lt;$AK2648))+1,"")</f>
        <v/>
      </c>
      <c r="AI2648">
        <f>IF($C2648="","",IF(OR($N2648=TRUE(),$N2648="TRUE"),1,0))</f>
        <v/>
      </c>
      <c r="AJ2648">
        <f>IF($C2648="","",IF($T2648="Yes",1,0))</f>
        <v/>
      </c>
      <c r="AK2648">
        <f>IF($AG2648=1,IFERROR(IF(VALUE($C2648)&lt;100000000,VALUE($C2648),1000000000),IFERROR(IF(VALUE(MID($C2648,2,20))&lt;100000000,VALUE(MID($C2648,2,20)),1000000000),1000000000))+ROW()/100000,"")</f>
        <v/>
      </c>
    </row>
    <row r="2649">
      <c r="D2649" s="11" t="n"/>
      <c r="K2649" s="7">
        <f>IF($C2649="","",J2649*W2649/100)</f>
        <v/>
      </c>
      <c r="Q2649" s="7" t="n"/>
      <c r="R2649" s="7" t="n"/>
      <c r="U2649">
        <f>IF($C2649="","",IF($AJ2649=1,0,IF($AI2649=1,Settings!$C$6,Settings!$C$7))*100)</f>
        <v/>
      </c>
      <c r="V2649" s="7">
        <f>IF($C2649="","",R2649*U2649/100)</f>
        <v/>
      </c>
      <c r="W2649" s="7">
        <f>IF($C2649="","",R2649-V2649)</f>
        <v/>
      </c>
      <c r="X2649" s="7">
        <f>IF($C2649="","",W2649-K2649)</f>
        <v/>
      </c>
      <c r="AB2649" s="7" t="n"/>
      <c r="AE2649" s="11" t="n"/>
      <c r="AG2649">
        <f>IF($C2649="","",IF(COUNTIF($C$2:$C2649,$C2649)=1,1,0))</f>
        <v/>
      </c>
      <c r="AH2649">
        <f>IF($AG2649=1,SUMPRODUCT(--($AK$2:$AK$6001&lt;$AK2649))+1,"")</f>
        <v/>
      </c>
      <c r="AI2649">
        <f>IF($C2649="","",IF(OR($N2649=TRUE(),$N2649="TRUE"),1,0))</f>
        <v/>
      </c>
      <c r="AJ2649">
        <f>IF($C2649="","",IF($T2649="Yes",1,0))</f>
        <v/>
      </c>
      <c r="AK2649">
        <f>IF($AG2649=1,IFERROR(IF(VALUE($C2649)&lt;100000000,VALUE($C2649),1000000000),IFERROR(IF(VALUE(MID($C2649,2,20))&lt;100000000,VALUE(MID($C2649,2,20)),1000000000),1000000000))+ROW()/100000,"")</f>
        <v/>
      </c>
    </row>
    <row r="2650">
      <c r="D2650" s="11" t="n"/>
      <c r="K2650" s="7">
        <f>IF($C2650="","",J2650*W2650/100)</f>
        <v/>
      </c>
      <c r="Q2650" s="7" t="n"/>
      <c r="R2650" s="7" t="n"/>
      <c r="U2650">
        <f>IF($C2650="","",IF($AJ2650=1,0,IF($AI2650=1,Settings!$C$6,Settings!$C$7))*100)</f>
        <v/>
      </c>
      <c r="V2650" s="7">
        <f>IF($C2650="","",R2650*U2650/100)</f>
        <v/>
      </c>
      <c r="W2650" s="7">
        <f>IF($C2650="","",R2650-V2650)</f>
        <v/>
      </c>
      <c r="X2650" s="7">
        <f>IF($C2650="","",W2650-K2650)</f>
        <v/>
      </c>
      <c r="AB2650" s="7" t="n"/>
      <c r="AE2650" s="11" t="n"/>
      <c r="AG2650">
        <f>IF($C2650="","",IF(COUNTIF($C$2:$C2650,$C2650)=1,1,0))</f>
        <v/>
      </c>
      <c r="AH2650">
        <f>IF($AG2650=1,SUMPRODUCT(--($AK$2:$AK$6001&lt;$AK2650))+1,"")</f>
        <v/>
      </c>
      <c r="AI2650">
        <f>IF($C2650="","",IF(OR($N2650=TRUE(),$N2650="TRUE"),1,0))</f>
        <v/>
      </c>
      <c r="AJ2650">
        <f>IF($C2650="","",IF($T2650="Yes",1,0))</f>
        <v/>
      </c>
      <c r="AK2650">
        <f>IF($AG2650=1,IFERROR(IF(VALUE($C2650)&lt;100000000,VALUE($C2650),1000000000),IFERROR(IF(VALUE(MID($C2650,2,20))&lt;100000000,VALUE(MID($C2650,2,20)),1000000000),1000000000))+ROW()/100000,"")</f>
        <v/>
      </c>
    </row>
    <row r="2651">
      <c r="D2651" s="11" t="n"/>
      <c r="K2651" s="7">
        <f>IF($C2651="","",J2651*W2651/100)</f>
        <v/>
      </c>
      <c r="Q2651" s="7" t="n"/>
      <c r="R2651" s="7" t="n"/>
      <c r="U2651">
        <f>IF($C2651="","",IF($AJ2651=1,0,IF($AI2651=1,Settings!$C$6,Settings!$C$7))*100)</f>
        <v/>
      </c>
      <c r="V2651" s="7">
        <f>IF($C2651="","",R2651*U2651/100)</f>
        <v/>
      </c>
      <c r="W2651" s="7">
        <f>IF($C2651="","",R2651-V2651)</f>
        <v/>
      </c>
      <c r="X2651" s="7">
        <f>IF($C2651="","",W2651-K2651)</f>
        <v/>
      </c>
      <c r="AB2651" s="7" t="n"/>
      <c r="AE2651" s="11" t="n"/>
      <c r="AG2651">
        <f>IF($C2651="","",IF(COUNTIF($C$2:$C2651,$C2651)=1,1,0))</f>
        <v/>
      </c>
      <c r="AH2651">
        <f>IF($AG2651=1,SUMPRODUCT(--($AK$2:$AK$6001&lt;$AK2651))+1,"")</f>
        <v/>
      </c>
      <c r="AI2651">
        <f>IF($C2651="","",IF(OR($N2651=TRUE(),$N2651="TRUE"),1,0))</f>
        <v/>
      </c>
      <c r="AJ2651">
        <f>IF($C2651="","",IF($T2651="Yes",1,0))</f>
        <v/>
      </c>
      <c r="AK2651">
        <f>IF($AG2651=1,IFERROR(IF(VALUE($C2651)&lt;100000000,VALUE($C2651),1000000000),IFERROR(IF(VALUE(MID($C2651,2,20))&lt;100000000,VALUE(MID($C2651,2,20)),1000000000),1000000000))+ROW()/100000,"")</f>
        <v/>
      </c>
    </row>
    <row r="2652">
      <c r="D2652" s="11" t="n"/>
      <c r="K2652" s="7">
        <f>IF($C2652="","",J2652*W2652/100)</f>
        <v/>
      </c>
      <c r="Q2652" s="7" t="n"/>
      <c r="R2652" s="7" t="n"/>
      <c r="U2652">
        <f>IF($C2652="","",IF($AJ2652=1,0,IF($AI2652=1,Settings!$C$6,Settings!$C$7))*100)</f>
        <v/>
      </c>
      <c r="V2652" s="7">
        <f>IF($C2652="","",R2652*U2652/100)</f>
        <v/>
      </c>
      <c r="W2652" s="7">
        <f>IF($C2652="","",R2652-V2652)</f>
        <v/>
      </c>
      <c r="X2652" s="7">
        <f>IF($C2652="","",W2652-K2652)</f>
        <v/>
      </c>
      <c r="AB2652" s="7" t="n"/>
      <c r="AE2652" s="11" t="n"/>
      <c r="AG2652">
        <f>IF($C2652="","",IF(COUNTIF($C$2:$C2652,$C2652)=1,1,0))</f>
        <v/>
      </c>
      <c r="AH2652">
        <f>IF($AG2652=1,SUMPRODUCT(--($AK$2:$AK$6001&lt;$AK2652))+1,"")</f>
        <v/>
      </c>
      <c r="AI2652">
        <f>IF($C2652="","",IF(OR($N2652=TRUE(),$N2652="TRUE"),1,0))</f>
        <v/>
      </c>
      <c r="AJ2652">
        <f>IF($C2652="","",IF($T2652="Yes",1,0))</f>
        <v/>
      </c>
      <c r="AK2652">
        <f>IF($AG2652=1,IFERROR(IF(VALUE($C2652)&lt;100000000,VALUE($C2652),1000000000),IFERROR(IF(VALUE(MID($C2652,2,20))&lt;100000000,VALUE(MID($C2652,2,20)),1000000000),1000000000))+ROW()/100000,"")</f>
        <v/>
      </c>
    </row>
    <row r="2653">
      <c r="D2653" s="11" t="n"/>
      <c r="K2653" s="7">
        <f>IF($C2653="","",J2653*W2653/100)</f>
        <v/>
      </c>
      <c r="Q2653" s="7" t="n"/>
      <c r="R2653" s="7" t="n"/>
      <c r="U2653">
        <f>IF($C2653="","",IF($AJ2653=1,0,IF($AI2653=1,Settings!$C$6,Settings!$C$7))*100)</f>
        <v/>
      </c>
      <c r="V2653" s="7">
        <f>IF($C2653="","",R2653*U2653/100)</f>
        <v/>
      </c>
      <c r="W2653" s="7">
        <f>IF($C2653="","",R2653-V2653)</f>
        <v/>
      </c>
      <c r="X2653" s="7">
        <f>IF($C2653="","",W2653-K2653)</f>
        <v/>
      </c>
      <c r="AB2653" s="7" t="n"/>
      <c r="AE2653" s="11" t="n"/>
      <c r="AG2653">
        <f>IF($C2653="","",IF(COUNTIF($C$2:$C2653,$C2653)=1,1,0))</f>
        <v/>
      </c>
      <c r="AH2653">
        <f>IF($AG2653=1,SUMPRODUCT(--($AK$2:$AK$6001&lt;$AK2653))+1,"")</f>
        <v/>
      </c>
      <c r="AI2653">
        <f>IF($C2653="","",IF(OR($N2653=TRUE(),$N2653="TRUE"),1,0))</f>
        <v/>
      </c>
      <c r="AJ2653">
        <f>IF($C2653="","",IF($T2653="Yes",1,0))</f>
        <v/>
      </c>
      <c r="AK2653">
        <f>IF($AG2653=1,IFERROR(IF(VALUE($C2653)&lt;100000000,VALUE($C2653),1000000000),IFERROR(IF(VALUE(MID($C2653,2,20))&lt;100000000,VALUE(MID($C2653,2,20)),1000000000),1000000000))+ROW()/100000,"")</f>
        <v/>
      </c>
    </row>
    <row r="2654">
      <c r="D2654" s="11" t="n"/>
      <c r="K2654" s="7">
        <f>IF($C2654="","",J2654*W2654/100)</f>
        <v/>
      </c>
      <c r="Q2654" s="7" t="n"/>
      <c r="R2654" s="7" t="n"/>
      <c r="U2654">
        <f>IF($C2654="","",IF($AJ2654=1,0,IF($AI2654=1,Settings!$C$6,Settings!$C$7))*100)</f>
        <v/>
      </c>
      <c r="V2654" s="7">
        <f>IF($C2654="","",R2654*U2654/100)</f>
        <v/>
      </c>
      <c r="W2654" s="7">
        <f>IF($C2654="","",R2654-V2654)</f>
        <v/>
      </c>
      <c r="X2654" s="7">
        <f>IF($C2654="","",W2654-K2654)</f>
        <v/>
      </c>
      <c r="AB2654" s="7" t="n"/>
      <c r="AE2654" s="11" t="n"/>
      <c r="AG2654">
        <f>IF($C2654="","",IF(COUNTIF($C$2:$C2654,$C2654)=1,1,0))</f>
        <v/>
      </c>
      <c r="AH2654">
        <f>IF($AG2654=1,SUMPRODUCT(--($AK$2:$AK$6001&lt;$AK2654))+1,"")</f>
        <v/>
      </c>
      <c r="AI2654">
        <f>IF($C2654="","",IF(OR($N2654=TRUE(),$N2654="TRUE"),1,0))</f>
        <v/>
      </c>
      <c r="AJ2654">
        <f>IF($C2654="","",IF($T2654="Yes",1,0))</f>
        <v/>
      </c>
      <c r="AK2654">
        <f>IF($AG2654=1,IFERROR(IF(VALUE($C2654)&lt;100000000,VALUE($C2654),1000000000),IFERROR(IF(VALUE(MID($C2654,2,20))&lt;100000000,VALUE(MID($C2654,2,20)),1000000000),1000000000))+ROW()/100000,"")</f>
        <v/>
      </c>
    </row>
    <row r="2655">
      <c r="D2655" s="11" t="n"/>
      <c r="K2655" s="7">
        <f>IF($C2655="","",J2655*W2655/100)</f>
        <v/>
      </c>
      <c r="Q2655" s="7" t="n"/>
      <c r="R2655" s="7" t="n"/>
      <c r="U2655">
        <f>IF($C2655="","",IF($AJ2655=1,0,IF($AI2655=1,Settings!$C$6,Settings!$C$7))*100)</f>
        <v/>
      </c>
      <c r="V2655" s="7">
        <f>IF($C2655="","",R2655*U2655/100)</f>
        <v/>
      </c>
      <c r="W2655" s="7">
        <f>IF($C2655="","",R2655-V2655)</f>
        <v/>
      </c>
      <c r="X2655" s="7">
        <f>IF($C2655="","",W2655-K2655)</f>
        <v/>
      </c>
      <c r="AB2655" s="7" t="n"/>
      <c r="AE2655" s="11" t="n"/>
      <c r="AG2655">
        <f>IF($C2655="","",IF(COUNTIF($C$2:$C2655,$C2655)=1,1,0))</f>
        <v/>
      </c>
      <c r="AH2655">
        <f>IF($AG2655=1,SUMPRODUCT(--($AK$2:$AK$6001&lt;$AK2655))+1,"")</f>
        <v/>
      </c>
      <c r="AI2655">
        <f>IF($C2655="","",IF(OR($N2655=TRUE(),$N2655="TRUE"),1,0))</f>
        <v/>
      </c>
      <c r="AJ2655">
        <f>IF($C2655="","",IF($T2655="Yes",1,0))</f>
        <v/>
      </c>
      <c r="AK2655">
        <f>IF($AG2655=1,IFERROR(IF(VALUE($C2655)&lt;100000000,VALUE($C2655),1000000000),IFERROR(IF(VALUE(MID($C2655,2,20))&lt;100000000,VALUE(MID($C2655,2,20)),1000000000),1000000000))+ROW()/100000,"")</f>
        <v/>
      </c>
    </row>
    <row r="2656">
      <c r="D2656" s="11" t="n"/>
      <c r="K2656" s="7">
        <f>IF($C2656="","",J2656*W2656/100)</f>
        <v/>
      </c>
      <c r="Q2656" s="7" t="n"/>
      <c r="R2656" s="7" t="n"/>
      <c r="U2656">
        <f>IF($C2656="","",IF($AJ2656=1,0,IF($AI2656=1,Settings!$C$6,Settings!$C$7))*100)</f>
        <v/>
      </c>
      <c r="V2656" s="7">
        <f>IF($C2656="","",R2656*U2656/100)</f>
        <v/>
      </c>
      <c r="W2656" s="7">
        <f>IF($C2656="","",R2656-V2656)</f>
        <v/>
      </c>
      <c r="X2656" s="7">
        <f>IF($C2656="","",W2656-K2656)</f>
        <v/>
      </c>
      <c r="AB2656" s="7" t="n"/>
      <c r="AE2656" s="11" t="n"/>
      <c r="AG2656">
        <f>IF($C2656="","",IF(COUNTIF($C$2:$C2656,$C2656)=1,1,0))</f>
        <v/>
      </c>
      <c r="AH2656">
        <f>IF($AG2656=1,SUMPRODUCT(--($AK$2:$AK$6001&lt;$AK2656))+1,"")</f>
        <v/>
      </c>
      <c r="AI2656">
        <f>IF($C2656="","",IF(OR($N2656=TRUE(),$N2656="TRUE"),1,0))</f>
        <v/>
      </c>
      <c r="AJ2656">
        <f>IF($C2656="","",IF($T2656="Yes",1,0))</f>
        <v/>
      </c>
      <c r="AK2656">
        <f>IF($AG2656=1,IFERROR(IF(VALUE($C2656)&lt;100000000,VALUE($C2656),1000000000),IFERROR(IF(VALUE(MID($C2656,2,20))&lt;100000000,VALUE(MID($C2656,2,20)),1000000000),1000000000))+ROW()/100000,"")</f>
        <v/>
      </c>
    </row>
    <row r="2657">
      <c r="D2657" s="11" t="n"/>
      <c r="K2657" s="7">
        <f>IF($C2657="","",J2657*W2657/100)</f>
        <v/>
      </c>
      <c r="Q2657" s="7" t="n"/>
      <c r="R2657" s="7" t="n"/>
      <c r="U2657">
        <f>IF($C2657="","",IF($AJ2657=1,0,IF($AI2657=1,Settings!$C$6,Settings!$C$7))*100)</f>
        <v/>
      </c>
      <c r="V2657" s="7">
        <f>IF($C2657="","",R2657*U2657/100)</f>
        <v/>
      </c>
      <c r="W2657" s="7">
        <f>IF($C2657="","",R2657-V2657)</f>
        <v/>
      </c>
      <c r="X2657" s="7">
        <f>IF($C2657="","",W2657-K2657)</f>
        <v/>
      </c>
      <c r="AB2657" s="7" t="n"/>
      <c r="AE2657" s="11" t="n"/>
      <c r="AG2657">
        <f>IF($C2657="","",IF(COUNTIF($C$2:$C2657,$C2657)=1,1,0))</f>
        <v/>
      </c>
      <c r="AH2657">
        <f>IF($AG2657=1,SUMPRODUCT(--($AK$2:$AK$6001&lt;$AK2657))+1,"")</f>
        <v/>
      </c>
      <c r="AI2657">
        <f>IF($C2657="","",IF(OR($N2657=TRUE(),$N2657="TRUE"),1,0))</f>
        <v/>
      </c>
      <c r="AJ2657">
        <f>IF($C2657="","",IF($T2657="Yes",1,0))</f>
        <v/>
      </c>
      <c r="AK2657">
        <f>IF($AG2657=1,IFERROR(IF(VALUE($C2657)&lt;100000000,VALUE($C2657),1000000000),IFERROR(IF(VALUE(MID($C2657,2,20))&lt;100000000,VALUE(MID($C2657,2,20)),1000000000),1000000000))+ROW()/100000,"")</f>
        <v/>
      </c>
    </row>
    <row r="2658">
      <c r="D2658" s="11" t="n"/>
      <c r="K2658" s="7">
        <f>IF($C2658="","",J2658*W2658/100)</f>
        <v/>
      </c>
      <c r="Q2658" s="7" t="n"/>
      <c r="R2658" s="7" t="n"/>
      <c r="U2658">
        <f>IF($C2658="","",IF($AJ2658=1,0,IF($AI2658=1,Settings!$C$6,Settings!$C$7))*100)</f>
        <v/>
      </c>
      <c r="V2658" s="7">
        <f>IF($C2658="","",R2658*U2658/100)</f>
        <v/>
      </c>
      <c r="W2658" s="7">
        <f>IF($C2658="","",R2658-V2658)</f>
        <v/>
      </c>
      <c r="X2658" s="7">
        <f>IF($C2658="","",W2658-K2658)</f>
        <v/>
      </c>
      <c r="AB2658" s="7" t="n"/>
      <c r="AE2658" s="11" t="n"/>
      <c r="AG2658">
        <f>IF($C2658="","",IF(COUNTIF($C$2:$C2658,$C2658)=1,1,0))</f>
        <v/>
      </c>
      <c r="AH2658">
        <f>IF($AG2658=1,SUMPRODUCT(--($AK$2:$AK$6001&lt;$AK2658))+1,"")</f>
        <v/>
      </c>
      <c r="AI2658">
        <f>IF($C2658="","",IF(OR($N2658=TRUE(),$N2658="TRUE"),1,0))</f>
        <v/>
      </c>
      <c r="AJ2658">
        <f>IF($C2658="","",IF($T2658="Yes",1,0))</f>
        <v/>
      </c>
      <c r="AK2658">
        <f>IF($AG2658=1,IFERROR(IF(VALUE($C2658)&lt;100000000,VALUE($C2658),1000000000),IFERROR(IF(VALUE(MID($C2658,2,20))&lt;100000000,VALUE(MID($C2658,2,20)),1000000000),1000000000))+ROW()/100000,"")</f>
        <v/>
      </c>
    </row>
    <row r="2659">
      <c r="D2659" s="11" t="n"/>
      <c r="K2659" s="7">
        <f>IF($C2659="","",J2659*W2659/100)</f>
        <v/>
      </c>
      <c r="Q2659" s="7" t="n"/>
      <c r="R2659" s="7" t="n"/>
      <c r="U2659">
        <f>IF($C2659="","",IF($AJ2659=1,0,IF($AI2659=1,Settings!$C$6,Settings!$C$7))*100)</f>
        <v/>
      </c>
      <c r="V2659" s="7">
        <f>IF($C2659="","",R2659*U2659/100)</f>
        <v/>
      </c>
      <c r="W2659" s="7">
        <f>IF($C2659="","",R2659-V2659)</f>
        <v/>
      </c>
      <c r="X2659" s="7">
        <f>IF($C2659="","",W2659-K2659)</f>
        <v/>
      </c>
      <c r="AB2659" s="7" t="n"/>
      <c r="AE2659" s="11" t="n"/>
      <c r="AG2659">
        <f>IF($C2659="","",IF(COUNTIF($C$2:$C2659,$C2659)=1,1,0))</f>
        <v/>
      </c>
      <c r="AH2659">
        <f>IF($AG2659=1,SUMPRODUCT(--($AK$2:$AK$6001&lt;$AK2659))+1,"")</f>
        <v/>
      </c>
      <c r="AI2659">
        <f>IF($C2659="","",IF(OR($N2659=TRUE(),$N2659="TRUE"),1,0))</f>
        <v/>
      </c>
      <c r="AJ2659">
        <f>IF($C2659="","",IF($T2659="Yes",1,0))</f>
        <v/>
      </c>
      <c r="AK2659">
        <f>IF($AG2659=1,IFERROR(IF(VALUE($C2659)&lt;100000000,VALUE($C2659),1000000000),IFERROR(IF(VALUE(MID($C2659,2,20))&lt;100000000,VALUE(MID($C2659,2,20)),1000000000),1000000000))+ROW()/100000,"")</f>
        <v/>
      </c>
    </row>
    <row r="2660">
      <c r="D2660" s="11" t="n"/>
      <c r="K2660" s="7">
        <f>IF($C2660="","",J2660*W2660/100)</f>
        <v/>
      </c>
      <c r="Q2660" s="7" t="n"/>
      <c r="R2660" s="7" t="n"/>
      <c r="U2660">
        <f>IF($C2660="","",IF($AJ2660=1,0,IF($AI2660=1,Settings!$C$6,Settings!$C$7))*100)</f>
        <v/>
      </c>
      <c r="V2660" s="7">
        <f>IF($C2660="","",R2660*U2660/100)</f>
        <v/>
      </c>
      <c r="W2660" s="7">
        <f>IF($C2660="","",R2660-V2660)</f>
        <v/>
      </c>
      <c r="X2660" s="7">
        <f>IF($C2660="","",W2660-K2660)</f>
        <v/>
      </c>
      <c r="AB2660" s="7" t="n"/>
      <c r="AE2660" s="11" t="n"/>
      <c r="AG2660">
        <f>IF($C2660="","",IF(COUNTIF($C$2:$C2660,$C2660)=1,1,0))</f>
        <v/>
      </c>
      <c r="AH2660">
        <f>IF($AG2660=1,SUMPRODUCT(--($AK$2:$AK$6001&lt;$AK2660))+1,"")</f>
        <v/>
      </c>
      <c r="AI2660">
        <f>IF($C2660="","",IF(OR($N2660=TRUE(),$N2660="TRUE"),1,0))</f>
        <v/>
      </c>
      <c r="AJ2660">
        <f>IF($C2660="","",IF($T2660="Yes",1,0))</f>
        <v/>
      </c>
      <c r="AK2660">
        <f>IF($AG2660=1,IFERROR(IF(VALUE($C2660)&lt;100000000,VALUE($C2660),1000000000),IFERROR(IF(VALUE(MID($C2660,2,20))&lt;100000000,VALUE(MID($C2660,2,20)),1000000000),1000000000))+ROW()/100000,"")</f>
        <v/>
      </c>
    </row>
    <row r="2661">
      <c r="D2661" s="11" t="n"/>
      <c r="K2661" s="7">
        <f>IF($C2661="","",J2661*W2661/100)</f>
        <v/>
      </c>
      <c r="Q2661" s="7" t="n"/>
      <c r="R2661" s="7" t="n"/>
      <c r="U2661">
        <f>IF($C2661="","",IF($AJ2661=1,0,IF($AI2661=1,Settings!$C$6,Settings!$C$7))*100)</f>
        <v/>
      </c>
      <c r="V2661" s="7">
        <f>IF($C2661="","",R2661*U2661/100)</f>
        <v/>
      </c>
      <c r="W2661" s="7">
        <f>IF($C2661="","",R2661-V2661)</f>
        <v/>
      </c>
      <c r="X2661" s="7">
        <f>IF($C2661="","",W2661-K2661)</f>
        <v/>
      </c>
      <c r="AB2661" s="7" t="n"/>
      <c r="AE2661" s="11" t="n"/>
      <c r="AG2661">
        <f>IF($C2661="","",IF(COUNTIF($C$2:$C2661,$C2661)=1,1,0))</f>
        <v/>
      </c>
      <c r="AH2661">
        <f>IF($AG2661=1,SUMPRODUCT(--($AK$2:$AK$6001&lt;$AK2661))+1,"")</f>
        <v/>
      </c>
      <c r="AI2661">
        <f>IF($C2661="","",IF(OR($N2661=TRUE(),$N2661="TRUE"),1,0))</f>
        <v/>
      </c>
      <c r="AJ2661">
        <f>IF($C2661="","",IF($T2661="Yes",1,0))</f>
        <v/>
      </c>
      <c r="AK2661">
        <f>IF($AG2661=1,IFERROR(IF(VALUE($C2661)&lt;100000000,VALUE($C2661),1000000000),IFERROR(IF(VALUE(MID($C2661,2,20))&lt;100000000,VALUE(MID($C2661,2,20)),1000000000),1000000000))+ROW()/100000,"")</f>
        <v/>
      </c>
    </row>
    <row r="2662">
      <c r="D2662" s="11" t="n"/>
      <c r="K2662" s="7">
        <f>IF($C2662="","",J2662*W2662/100)</f>
        <v/>
      </c>
      <c r="Q2662" s="7" t="n"/>
      <c r="R2662" s="7" t="n"/>
      <c r="U2662">
        <f>IF($C2662="","",IF($AJ2662=1,0,IF($AI2662=1,Settings!$C$6,Settings!$C$7))*100)</f>
        <v/>
      </c>
      <c r="V2662" s="7">
        <f>IF($C2662="","",R2662*U2662/100)</f>
        <v/>
      </c>
      <c r="W2662" s="7">
        <f>IF($C2662="","",R2662-V2662)</f>
        <v/>
      </c>
      <c r="X2662" s="7">
        <f>IF($C2662="","",W2662-K2662)</f>
        <v/>
      </c>
      <c r="AB2662" s="7" t="n"/>
      <c r="AE2662" s="11" t="n"/>
      <c r="AG2662">
        <f>IF($C2662="","",IF(COUNTIF($C$2:$C2662,$C2662)=1,1,0))</f>
        <v/>
      </c>
      <c r="AH2662">
        <f>IF($AG2662=1,SUMPRODUCT(--($AK$2:$AK$6001&lt;$AK2662))+1,"")</f>
        <v/>
      </c>
      <c r="AI2662">
        <f>IF($C2662="","",IF(OR($N2662=TRUE(),$N2662="TRUE"),1,0))</f>
        <v/>
      </c>
      <c r="AJ2662">
        <f>IF($C2662="","",IF($T2662="Yes",1,0))</f>
        <v/>
      </c>
      <c r="AK2662">
        <f>IF($AG2662=1,IFERROR(IF(VALUE($C2662)&lt;100000000,VALUE($C2662),1000000000),IFERROR(IF(VALUE(MID($C2662,2,20))&lt;100000000,VALUE(MID($C2662,2,20)),1000000000),1000000000))+ROW()/100000,"")</f>
        <v/>
      </c>
    </row>
    <row r="2663">
      <c r="D2663" s="11" t="n"/>
      <c r="K2663" s="7">
        <f>IF($C2663="","",J2663*W2663/100)</f>
        <v/>
      </c>
      <c r="Q2663" s="7" t="n"/>
      <c r="R2663" s="7" t="n"/>
      <c r="U2663">
        <f>IF($C2663="","",IF($AJ2663=1,0,IF($AI2663=1,Settings!$C$6,Settings!$C$7))*100)</f>
        <v/>
      </c>
      <c r="V2663" s="7">
        <f>IF($C2663="","",R2663*U2663/100)</f>
        <v/>
      </c>
      <c r="W2663" s="7">
        <f>IF($C2663="","",R2663-V2663)</f>
        <v/>
      </c>
      <c r="X2663" s="7">
        <f>IF($C2663="","",W2663-K2663)</f>
        <v/>
      </c>
      <c r="AB2663" s="7" t="n"/>
      <c r="AE2663" s="11" t="n"/>
      <c r="AG2663">
        <f>IF($C2663="","",IF(COUNTIF($C$2:$C2663,$C2663)=1,1,0))</f>
        <v/>
      </c>
      <c r="AH2663">
        <f>IF($AG2663=1,SUMPRODUCT(--($AK$2:$AK$6001&lt;$AK2663))+1,"")</f>
        <v/>
      </c>
      <c r="AI2663">
        <f>IF($C2663="","",IF(OR($N2663=TRUE(),$N2663="TRUE"),1,0))</f>
        <v/>
      </c>
      <c r="AJ2663">
        <f>IF($C2663="","",IF($T2663="Yes",1,0))</f>
        <v/>
      </c>
      <c r="AK2663">
        <f>IF($AG2663=1,IFERROR(IF(VALUE($C2663)&lt;100000000,VALUE($C2663),1000000000),IFERROR(IF(VALUE(MID($C2663,2,20))&lt;100000000,VALUE(MID($C2663,2,20)),1000000000),1000000000))+ROW()/100000,"")</f>
        <v/>
      </c>
    </row>
    <row r="2664">
      <c r="D2664" s="11" t="n"/>
      <c r="K2664" s="7">
        <f>IF($C2664="","",J2664*W2664/100)</f>
        <v/>
      </c>
      <c r="Q2664" s="7" t="n"/>
      <c r="R2664" s="7" t="n"/>
      <c r="U2664">
        <f>IF($C2664="","",IF($AJ2664=1,0,IF($AI2664=1,Settings!$C$6,Settings!$C$7))*100)</f>
        <v/>
      </c>
      <c r="V2664" s="7">
        <f>IF($C2664="","",R2664*U2664/100)</f>
        <v/>
      </c>
      <c r="W2664" s="7">
        <f>IF($C2664="","",R2664-V2664)</f>
        <v/>
      </c>
      <c r="X2664" s="7">
        <f>IF($C2664="","",W2664-K2664)</f>
        <v/>
      </c>
      <c r="AB2664" s="7" t="n"/>
      <c r="AE2664" s="11" t="n"/>
      <c r="AG2664">
        <f>IF($C2664="","",IF(COUNTIF($C$2:$C2664,$C2664)=1,1,0))</f>
        <v/>
      </c>
      <c r="AH2664">
        <f>IF($AG2664=1,SUMPRODUCT(--($AK$2:$AK$6001&lt;$AK2664))+1,"")</f>
        <v/>
      </c>
      <c r="AI2664">
        <f>IF($C2664="","",IF(OR($N2664=TRUE(),$N2664="TRUE"),1,0))</f>
        <v/>
      </c>
      <c r="AJ2664">
        <f>IF($C2664="","",IF($T2664="Yes",1,0))</f>
        <v/>
      </c>
      <c r="AK2664">
        <f>IF($AG2664=1,IFERROR(IF(VALUE($C2664)&lt;100000000,VALUE($C2664),1000000000),IFERROR(IF(VALUE(MID($C2664,2,20))&lt;100000000,VALUE(MID($C2664,2,20)),1000000000),1000000000))+ROW()/100000,"")</f>
        <v/>
      </c>
    </row>
    <row r="2665">
      <c r="D2665" s="11" t="n"/>
      <c r="K2665" s="7">
        <f>IF($C2665="","",J2665*W2665/100)</f>
        <v/>
      </c>
      <c r="Q2665" s="7" t="n"/>
      <c r="R2665" s="7" t="n"/>
      <c r="U2665">
        <f>IF($C2665="","",IF($AJ2665=1,0,IF($AI2665=1,Settings!$C$6,Settings!$C$7))*100)</f>
        <v/>
      </c>
      <c r="V2665" s="7">
        <f>IF($C2665="","",R2665*U2665/100)</f>
        <v/>
      </c>
      <c r="W2665" s="7">
        <f>IF($C2665="","",R2665-V2665)</f>
        <v/>
      </c>
      <c r="X2665" s="7">
        <f>IF($C2665="","",W2665-K2665)</f>
        <v/>
      </c>
      <c r="AB2665" s="7" t="n"/>
      <c r="AE2665" s="11" t="n"/>
      <c r="AG2665">
        <f>IF($C2665="","",IF(COUNTIF($C$2:$C2665,$C2665)=1,1,0))</f>
        <v/>
      </c>
      <c r="AH2665">
        <f>IF($AG2665=1,SUMPRODUCT(--($AK$2:$AK$6001&lt;$AK2665))+1,"")</f>
        <v/>
      </c>
      <c r="AI2665">
        <f>IF($C2665="","",IF(OR($N2665=TRUE(),$N2665="TRUE"),1,0))</f>
        <v/>
      </c>
      <c r="AJ2665">
        <f>IF($C2665="","",IF($T2665="Yes",1,0))</f>
        <v/>
      </c>
      <c r="AK2665">
        <f>IF($AG2665=1,IFERROR(IF(VALUE($C2665)&lt;100000000,VALUE($C2665),1000000000),IFERROR(IF(VALUE(MID($C2665,2,20))&lt;100000000,VALUE(MID($C2665,2,20)),1000000000),1000000000))+ROW()/100000,"")</f>
        <v/>
      </c>
    </row>
    <row r="2666">
      <c r="D2666" s="11" t="n"/>
      <c r="K2666" s="7">
        <f>IF($C2666="","",J2666*W2666/100)</f>
        <v/>
      </c>
      <c r="Q2666" s="7" t="n"/>
      <c r="R2666" s="7" t="n"/>
      <c r="U2666">
        <f>IF($C2666="","",IF($AJ2666=1,0,IF($AI2666=1,Settings!$C$6,Settings!$C$7))*100)</f>
        <v/>
      </c>
      <c r="V2666" s="7">
        <f>IF($C2666="","",R2666*U2666/100)</f>
        <v/>
      </c>
      <c r="W2666" s="7">
        <f>IF($C2666="","",R2666-V2666)</f>
        <v/>
      </c>
      <c r="X2666" s="7">
        <f>IF($C2666="","",W2666-K2666)</f>
        <v/>
      </c>
      <c r="AB2666" s="7" t="n"/>
      <c r="AE2666" s="11" t="n"/>
      <c r="AG2666">
        <f>IF($C2666="","",IF(COUNTIF($C$2:$C2666,$C2666)=1,1,0))</f>
        <v/>
      </c>
      <c r="AH2666">
        <f>IF($AG2666=1,SUMPRODUCT(--($AK$2:$AK$6001&lt;$AK2666))+1,"")</f>
        <v/>
      </c>
      <c r="AI2666">
        <f>IF($C2666="","",IF(OR($N2666=TRUE(),$N2666="TRUE"),1,0))</f>
        <v/>
      </c>
      <c r="AJ2666">
        <f>IF($C2666="","",IF($T2666="Yes",1,0))</f>
        <v/>
      </c>
      <c r="AK2666">
        <f>IF($AG2666=1,IFERROR(IF(VALUE($C2666)&lt;100000000,VALUE($C2666),1000000000),IFERROR(IF(VALUE(MID($C2666,2,20))&lt;100000000,VALUE(MID($C2666,2,20)),1000000000),1000000000))+ROW()/100000,"")</f>
        <v/>
      </c>
    </row>
    <row r="2667">
      <c r="D2667" s="11" t="n"/>
      <c r="K2667" s="7">
        <f>IF($C2667="","",J2667*W2667/100)</f>
        <v/>
      </c>
      <c r="Q2667" s="7" t="n"/>
      <c r="R2667" s="7" t="n"/>
      <c r="U2667">
        <f>IF($C2667="","",IF($AJ2667=1,0,IF($AI2667=1,Settings!$C$6,Settings!$C$7))*100)</f>
        <v/>
      </c>
      <c r="V2667" s="7">
        <f>IF($C2667="","",R2667*U2667/100)</f>
        <v/>
      </c>
      <c r="W2667" s="7">
        <f>IF($C2667="","",R2667-V2667)</f>
        <v/>
      </c>
      <c r="X2667" s="7">
        <f>IF($C2667="","",W2667-K2667)</f>
        <v/>
      </c>
      <c r="AB2667" s="7" t="n"/>
      <c r="AE2667" s="11" t="n"/>
      <c r="AG2667">
        <f>IF($C2667="","",IF(COUNTIF($C$2:$C2667,$C2667)=1,1,0))</f>
        <v/>
      </c>
      <c r="AH2667">
        <f>IF($AG2667=1,SUMPRODUCT(--($AK$2:$AK$6001&lt;$AK2667))+1,"")</f>
        <v/>
      </c>
      <c r="AI2667">
        <f>IF($C2667="","",IF(OR($N2667=TRUE(),$N2667="TRUE"),1,0))</f>
        <v/>
      </c>
      <c r="AJ2667">
        <f>IF($C2667="","",IF($T2667="Yes",1,0))</f>
        <v/>
      </c>
      <c r="AK2667">
        <f>IF($AG2667=1,IFERROR(IF(VALUE($C2667)&lt;100000000,VALUE($C2667),1000000000),IFERROR(IF(VALUE(MID($C2667,2,20))&lt;100000000,VALUE(MID($C2667,2,20)),1000000000),1000000000))+ROW()/100000,"")</f>
        <v/>
      </c>
    </row>
    <row r="2668">
      <c r="D2668" s="11" t="n"/>
      <c r="K2668" s="7">
        <f>IF($C2668="","",J2668*W2668/100)</f>
        <v/>
      </c>
      <c r="Q2668" s="7" t="n"/>
      <c r="R2668" s="7" t="n"/>
      <c r="U2668">
        <f>IF($C2668="","",IF($AJ2668=1,0,IF($AI2668=1,Settings!$C$6,Settings!$C$7))*100)</f>
        <v/>
      </c>
      <c r="V2668" s="7">
        <f>IF($C2668="","",R2668*U2668/100)</f>
        <v/>
      </c>
      <c r="W2668" s="7">
        <f>IF($C2668="","",R2668-V2668)</f>
        <v/>
      </c>
      <c r="X2668" s="7">
        <f>IF($C2668="","",W2668-K2668)</f>
        <v/>
      </c>
      <c r="AB2668" s="7" t="n"/>
      <c r="AE2668" s="11" t="n"/>
      <c r="AG2668">
        <f>IF($C2668="","",IF(COUNTIF($C$2:$C2668,$C2668)=1,1,0))</f>
        <v/>
      </c>
      <c r="AH2668">
        <f>IF($AG2668=1,SUMPRODUCT(--($AK$2:$AK$6001&lt;$AK2668))+1,"")</f>
        <v/>
      </c>
      <c r="AI2668">
        <f>IF($C2668="","",IF(OR($N2668=TRUE(),$N2668="TRUE"),1,0))</f>
        <v/>
      </c>
      <c r="AJ2668">
        <f>IF($C2668="","",IF($T2668="Yes",1,0))</f>
        <v/>
      </c>
      <c r="AK2668">
        <f>IF($AG2668=1,IFERROR(IF(VALUE($C2668)&lt;100000000,VALUE($C2668),1000000000),IFERROR(IF(VALUE(MID($C2668,2,20))&lt;100000000,VALUE(MID($C2668,2,20)),1000000000),1000000000))+ROW()/100000,"")</f>
        <v/>
      </c>
    </row>
    <row r="2669">
      <c r="D2669" s="11" t="n"/>
      <c r="K2669" s="7">
        <f>IF($C2669="","",J2669*W2669/100)</f>
        <v/>
      </c>
      <c r="Q2669" s="7" t="n"/>
      <c r="R2669" s="7" t="n"/>
      <c r="U2669">
        <f>IF($C2669="","",IF($AJ2669=1,0,IF($AI2669=1,Settings!$C$6,Settings!$C$7))*100)</f>
        <v/>
      </c>
      <c r="V2669" s="7">
        <f>IF($C2669="","",R2669*U2669/100)</f>
        <v/>
      </c>
      <c r="W2669" s="7">
        <f>IF($C2669="","",R2669-V2669)</f>
        <v/>
      </c>
      <c r="X2669" s="7">
        <f>IF($C2669="","",W2669-K2669)</f>
        <v/>
      </c>
      <c r="AB2669" s="7" t="n"/>
      <c r="AE2669" s="11" t="n"/>
      <c r="AG2669">
        <f>IF($C2669="","",IF(COUNTIF($C$2:$C2669,$C2669)=1,1,0))</f>
        <v/>
      </c>
      <c r="AH2669">
        <f>IF($AG2669=1,SUMPRODUCT(--($AK$2:$AK$6001&lt;$AK2669))+1,"")</f>
        <v/>
      </c>
      <c r="AI2669">
        <f>IF($C2669="","",IF(OR($N2669=TRUE(),$N2669="TRUE"),1,0))</f>
        <v/>
      </c>
      <c r="AJ2669">
        <f>IF($C2669="","",IF($T2669="Yes",1,0))</f>
        <v/>
      </c>
      <c r="AK2669">
        <f>IF($AG2669=1,IFERROR(IF(VALUE($C2669)&lt;100000000,VALUE($C2669),1000000000),IFERROR(IF(VALUE(MID($C2669,2,20))&lt;100000000,VALUE(MID($C2669,2,20)),1000000000),1000000000))+ROW()/100000,"")</f>
        <v/>
      </c>
    </row>
    <row r="2670">
      <c r="D2670" s="11" t="n"/>
      <c r="K2670" s="7">
        <f>IF($C2670="","",J2670*W2670/100)</f>
        <v/>
      </c>
      <c r="Q2670" s="7" t="n"/>
      <c r="R2670" s="7" t="n"/>
      <c r="U2670">
        <f>IF($C2670="","",IF($AJ2670=1,0,IF($AI2670=1,Settings!$C$6,Settings!$C$7))*100)</f>
        <v/>
      </c>
      <c r="V2670" s="7">
        <f>IF($C2670="","",R2670*U2670/100)</f>
        <v/>
      </c>
      <c r="W2670" s="7">
        <f>IF($C2670="","",R2670-V2670)</f>
        <v/>
      </c>
      <c r="X2670" s="7">
        <f>IF($C2670="","",W2670-K2670)</f>
        <v/>
      </c>
      <c r="AB2670" s="7" t="n"/>
      <c r="AE2670" s="11" t="n"/>
      <c r="AG2670">
        <f>IF($C2670="","",IF(COUNTIF($C$2:$C2670,$C2670)=1,1,0))</f>
        <v/>
      </c>
      <c r="AH2670">
        <f>IF($AG2670=1,SUMPRODUCT(--($AK$2:$AK$6001&lt;$AK2670))+1,"")</f>
        <v/>
      </c>
      <c r="AI2670">
        <f>IF($C2670="","",IF(OR($N2670=TRUE(),$N2670="TRUE"),1,0))</f>
        <v/>
      </c>
      <c r="AJ2670">
        <f>IF($C2670="","",IF($T2670="Yes",1,0))</f>
        <v/>
      </c>
      <c r="AK2670">
        <f>IF($AG2670=1,IFERROR(IF(VALUE($C2670)&lt;100000000,VALUE($C2670),1000000000),IFERROR(IF(VALUE(MID($C2670,2,20))&lt;100000000,VALUE(MID($C2670,2,20)),1000000000),1000000000))+ROW()/100000,"")</f>
        <v/>
      </c>
    </row>
    <row r="2671">
      <c r="D2671" s="11" t="n"/>
      <c r="K2671" s="7">
        <f>IF($C2671="","",J2671*W2671/100)</f>
        <v/>
      </c>
      <c r="Q2671" s="7" t="n"/>
      <c r="R2671" s="7" t="n"/>
      <c r="U2671">
        <f>IF($C2671="","",IF($AJ2671=1,0,IF($AI2671=1,Settings!$C$6,Settings!$C$7))*100)</f>
        <v/>
      </c>
      <c r="V2671" s="7">
        <f>IF($C2671="","",R2671*U2671/100)</f>
        <v/>
      </c>
      <c r="W2671" s="7">
        <f>IF($C2671="","",R2671-V2671)</f>
        <v/>
      </c>
      <c r="X2671" s="7">
        <f>IF($C2671="","",W2671-K2671)</f>
        <v/>
      </c>
      <c r="AB2671" s="7" t="n"/>
      <c r="AE2671" s="11" t="n"/>
      <c r="AG2671">
        <f>IF($C2671="","",IF(COUNTIF($C$2:$C2671,$C2671)=1,1,0))</f>
        <v/>
      </c>
      <c r="AH2671">
        <f>IF($AG2671=1,SUMPRODUCT(--($AK$2:$AK$6001&lt;$AK2671))+1,"")</f>
        <v/>
      </c>
      <c r="AI2671">
        <f>IF($C2671="","",IF(OR($N2671=TRUE(),$N2671="TRUE"),1,0))</f>
        <v/>
      </c>
      <c r="AJ2671">
        <f>IF($C2671="","",IF($T2671="Yes",1,0))</f>
        <v/>
      </c>
      <c r="AK2671">
        <f>IF($AG2671=1,IFERROR(IF(VALUE($C2671)&lt;100000000,VALUE($C2671),1000000000),IFERROR(IF(VALUE(MID($C2671,2,20))&lt;100000000,VALUE(MID($C2671,2,20)),1000000000),1000000000))+ROW()/100000,"")</f>
        <v/>
      </c>
    </row>
    <row r="2672">
      <c r="D2672" s="11" t="n"/>
      <c r="K2672" s="7">
        <f>IF($C2672="","",J2672*W2672/100)</f>
        <v/>
      </c>
      <c r="Q2672" s="7" t="n"/>
      <c r="R2672" s="7" t="n"/>
      <c r="U2672">
        <f>IF($C2672="","",IF($AJ2672=1,0,IF($AI2672=1,Settings!$C$6,Settings!$C$7))*100)</f>
        <v/>
      </c>
      <c r="V2672" s="7">
        <f>IF($C2672="","",R2672*U2672/100)</f>
        <v/>
      </c>
      <c r="W2672" s="7">
        <f>IF($C2672="","",R2672-V2672)</f>
        <v/>
      </c>
      <c r="X2672" s="7">
        <f>IF($C2672="","",W2672-K2672)</f>
        <v/>
      </c>
      <c r="AB2672" s="7" t="n"/>
      <c r="AE2672" s="11" t="n"/>
      <c r="AG2672">
        <f>IF($C2672="","",IF(COUNTIF($C$2:$C2672,$C2672)=1,1,0))</f>
        <v/>
      </c>
      <c r="AH2672">
        <f>IF($AG2672=1,SUMPRODUCT(--($AK$2:$AK$6001&lt;$AK2672))+1,"")</f>
        <v/>
      </c>
      <c r="AI2672">
        <f>IF($C2672="","",IF(OR($N2672=TRUE(),$N2672="TRUE"),1,0))</f>
        <v/>
      </c>
      <c r="AJ2672">
        <f>IF($C2672="","",IF($T2672="Yes",1,0))</f>
        <v/>
      </c>
      <c r="AK2672">
        <f>IF($AG2672=1,IFERROR(IF(VALUE($C2672)&lt;100000000,VALUE($C2672),1000000000),IFERROR(IF(VALUE(MID($C2672,2,20))&lt;100000000,VALUE(MID($C2672,2,20)),1000000000),1000000000))+ROW()/100000,"")</f>
        <v/>
      </c>
    </row>
    <row r="2673">
      <c r="D2673" s="11" t="n"/>
      <c r="K2673" s="7">
        <f>IF($C2673="","",J2673*W2673/100)</f>
        <v/>
      </c>
      <c r="Q2673" s="7" t="n"/>
      <c r="R2673" s="7" t="n"/>
      <c r="U2673">
        <f>IF($C2673="","",IF($AJ2673=1,0,IF($AI2673=1,Settings!$C$6,Settings!$C$7))*100)</f>
        <v/>
      </c>
      <c r="V2673" s="7">
        <f>IF($C2673="","",R2673*U2673/100)</f>
        <v/>
      </c>
      <c r="W2673" s="7">
        <f>IF($C2673="","",R2673-V2673)</f>
        <v/>
      </c>
      <c r="X2673" s="7">
        <f>IF($C2673="","",W2673-K2673)</f>
        <v/>
      </c>
      <c r="AB2673" s="7" t="n"/>
      <c r="AE2673" s="11" t="n"/>
      <c r="AG2673">
        <f>IF($C2673="","",IF(COUNTIF($C$2:$C2673,$C2673)=1,1,0))</f>
        <v/>
      </c>
      <c r="AH2673">
        <f>IF($AG2673=1,SUMPRODUCT(--($AK$2:$AK$6001&lt;$AK2673))+1,"")</f>
        <v/>
      </c>
      <c r="AI2673">
        <f>IF($C2673="","",IF(OR($N2673=TRUE(),$N2673="TRUE"),1,0))</f>
        <v/>
      </c>
      <c r="AJ2673">
        <f>IF($C2673="","",IF($T2673="Yes",1,0))</f>
        <v/>
      </c>
      <c r="AK2673">
        <f>IF($AG2673=1,IFERROR(IF(VALUE($C2673)&lt;100000000,VALUE($C2673),1000000000),IFERROR(IF(VALUE(MID($C2673,2,20))&lt;100000000,VALUE(MID($C2673,2,20)),1000000000),1000000000))+ROW()/100000,"")</f>
        <v/>
      </c>
    </row>
    <row r="2674">
      <c r="D2674" s="11" t="n"/>
      <c r="K2674" s="7">
        <f>IF($C2674="","",J2674*W2674/100)</f>
        <v/>
      </c>
      <c r="Q2674" s="7" t="n"/>
      <c r="R2674" s="7" t="n"/>
      <c r="U2674">
        <f>IF($C2674="","",IF($AJ2674=1,0,IF($AI2674=1,Settings!$C$6,Settings!$C$7))*100)</f>
        <v/>
      </c>
      <c r="V2674" s="7">
        <f>IF($C2674="","",R2674*U2674/100)</f>
        <v/>
      </c>
      <c r="W2674" s="7">
        <f>IF($C2674="","",R2674-V2674)</f>
        <v/>
      </c>
      <c r="X2674" s="7">
        <f>IF($C2674="","",W2674-K2674)</f>
        <v/>
      </c>
      <c r="AB2674" s="7" t="n"/>
      <c r="AE2674" s="11" t="n"/>
      <c r="AG2674">
        <f>IF($C2674="","",IF(COUNTIF($C$2:$C2674,$C2674)=1,1,0))</f>
        <v/>
      </c>
      <c r="AH2674">
        <f>IF($AG2674=1,SUMPRODUCT(--($AK$2:$AK$6001&lt;$AK2674))+1,"")</f>
        <v/>
      </c>
      <c r="AI2674">
        <f>IF($C2674="","",IF(OR($N2674=TRUE(),$N2674="TRUE"),1,0))</f>
        <v/>
      </c>
      <c r="AJ2674">
        <f>IF($C2674="","",IF($T2674="Yes",1,0))</f>
        <v/>
      </c>
      <c r="AK2674">
        <f>IF($AG2674=1,IFERROR(IF(VALUE($C2674)&lt;100000000,VALUE($C2674),1000000000),IFERROR(IF(VALUE(MID($C2674,2,20))&lt;100000000,VALUE(MID($C2674,2,20)),1000000000),1000000000))+ROW()/100000,"")</f>
        <v/>
      </c>
    </row>
    <row r="2675">
      <c r="D2675" s="11" t="n"/>
      <c r="K2675" s="7">
        <f>IF($C2675="","",J2675*W2675/100)</f>
        <v/>
      </c>
      <c r="Q2675" s="7" t="n"/>
      <c r="R2675" s="7" t="n"/>
      <c r="U2675">
        <f>IF($C2675="","",IF($AJ2675=1,0,IF($AI2675=1,Settings!$C$6,Settings!$C$7))*100)</f>
        <v/>
      </c>
      <c r="V2675" s="7">
        <f>IF($C2675="","",R2675*U2675/100)</f>
        <v/>
      </c>
      <c r="W2675" s="7">
        <f>IF($C2675="","",R2675-V2675)</f>
        <v/>
      </c>
      <c r="X2675" s="7">
        <f>IF($C2675="","",W2675-K2675)</f>
        <v/>
      </c>
      <c r="AB2675" s="7" t="n"/>
      <c r="AE2675" s="11" t="n"/>
      <c r="AG2675">
        <f>IF($C2675="","",IF(COUNTIF($C$2:$C2675,$C2675)=1,1,0))</f>
        <v/>
      </c>
      <c r="AH2675">
        <f>IF($AG2675=1,SUMPRODUCT(--($AK$2:$AK$6001&lt;$AK2675))+1,"")</f>
        <v/>
      </c>
      <c r="AI2675">
        <f>IF($C2675="","",IF(OR($N2675=TRUE(),$N2675="TRUE"),1,0))</f>
        <v/>
      </c>
      <c r="AJ2675">
        <f>IF($C2675="","",IF($T2675="Yes",1,0))</f>
        <v/>
      </c>
      <c r="AK2675">
        <f>IF($AG2675=1,IFERROR(IF(VALUE($C2675)&lt;100000000,VALUE($C2675),1000000000),IFERROR(IF(VALUE(MID($C2675,2,20))&lt;100000000,VALUE(MID($C2675,2,20)),1000000000),1000000000))+ROW()/100000,"")</f>
        <v/>
      </c>
    </row>
    <row r="2676">
      <c r="D2676" s="11" t="n"/>
      <c r="K2676" s="7">
        <f>IF($C2676="","",J2676*W2676/100)</f>
        <v/>
      </c>
      <c r="Q2676" s="7" t="n"/>
      <c r="R2676" s="7" t="n"/>
      <c r="U2676">
        <f>IF($C2676="","",IF($AJ2676=1,0,IF($AI2676=1,Settings!$C$6,Settings!$C$7))*100)</f>
        <v/>
      </c>
      <c r="V2676" s="7">
        <f>IF($C2676="","",R2676*U2676/100)</f>
        <v/>
      </c>
      <c r="W2676" s="7">
        <f>IF($C2676="","",R2676-V2676)</f>
        <v/>
      </c>
      <c r="X2676" s="7">
        <f>IF($C2676="","",W2676-K2676)</f>
        <v/>
      </c>
      <c r="AB2676" s="7" t="n"/>
      <c r="AE2676" s="11" t="n"/>
      <c r="AG2676">
        <f>IF($C2676="","",IF(COUNTIF($C$2:$C2676,$C2676)=1,1,0))</f>
        <v/>
      </c>
      <c r="AH2676">
        <f>IF($AG2676=1,SUMPRODUCT(--($AK$2:$AK$6001&lt;$AK2676))+1,"")</f>
        <v/>
      </c>
      <c r="AI2676">
        <f>IF($C2676="","",IF(OR($N2676=TRUE(),$N2676="TRUE"),1,0))</f>
        <v/>
      </c>
      <c r="AJ2676">
        <f>IF($C2676="","",IF($T2676="Yes",1,0))</f>
        <v/>
      </c>
      <c r="AK2676">
        <f>IF($AG2676=1,IFERROR(IF(VALUE($C2676)&lt;100000000,VALUE($C2676),1000000000),IFERROR(IF(VALUE(MID($C2676,2,20))&lt;100000000,VALUE(MID($C2676,2,20)),1000000000),1000000000))+ROW()/100000,"")</f>
        <v/>
      </c>
    </row>
    <row r="2677">
      <c r="D2677" s="11" t="n"/>
      <c r="K2677" s="7">
        <f>IF($C2677="","",J2677*W2677/100)</f>
        <v/>
      </c>
      <c r="Q2677" s="7" t="n"/>
      <c r="R2677" s="7" t="n"/>
      <c r="U2677">
        <f>IF($C2677="","",IF($AJ2677=1,0,IF($AI2677=1,Settings!$C$6,Settings!$C$7))*100)</f>
        <v/>
      </c>
      <c r="V2677" s="7">
        <f>IF($C2677="","",R2677*U2677/100)</f>
        <v/>
      </c>
      <c r="W2677" s="7">
        <f>IF($C2677="","",R2677-V2677)</f>
        <v/>
      </c>
      <c r="X2677" s="7">
        <f>IF($C2677="","",W2677-K2677)</f>
        <v/>
      </c>
      <c r="AB2677" s="7" t="n"/>
      <c r="AE2677" s="11" t="n"/>
      <c r="AG2677">
        <f>IF($C2677="","",IF(COUNTIF($C$2:$C2677,$C2677)=1,1,0))</f>
        <v/>
      </c>
      <c r="AH2677">
        <f>IF($AG2677=1,SUMPRODUCT(--($AK$2:$AK$6001&lt;$AK2677))+1,"")</f>
        <v/>
      </c>
      <c r="AI2677">
        <f>IF($C2677="","",IF(OR($N2677=TRUE(),$N2677="TRUE"),1,0))</f>
        <v/>
      </c>
      <c r="AJ2677">
        <f>IF($C2677="","",IF($T2677="Yes",1,0))</f>
        <v/>
      </c>
      <c r="AK2677">
        <f>IF($AG2677=1,IFERROR(IF(VALUE($C2677)&lt;100000000,VALUE($C2677),1000000000),IFERROR(IF(VALUE(MID($C2677,2,20))&lt;100000000,VALUE(MID($C2677,2,20)),1000000000),1000000000))+ROW()/100000,"")</f>
        <v/>
      </c>
    </row>
    <row r="2678">
      <c r="D2678" s="11" t="n"/>
      <c r="K2678" s="7">
        <f>IF($C2678="","",J2678*W2678/100)</f>
        <v/>
      </c>
      <c r="Q2678" s="7" t="n"/>
      <c r="R2678" s="7" t="n"/>
      <c r="U2678">
        <f>IF($C2678="","",IF($AJ2678=1,0,IF($AI2678=1,Settings!$C$6,Settings!$C$7))*100)</f>
        <v/>
      </c>
      <c r="V2678" s="7">
        <f>IF($C2678="","",R2678*U2678/100)</f>
        <v/>
      </c>
      <c r="W2678" s="7">
        <f>IF($C2678="","",R2678-V2678)</f>
        <v/>
      </c>
      <c r="X2678" s="7">
        <f>IF($C2678="","",W2678-K2678)</f>
        <v/>
      </c>
      <c r="AB2678" s="7" t="n"/>
      <c r="AE2678" s="11" t="n"/>
      <c r="AG2678">
        <f>IF($C2678="","",IF(COUNTIF($C$2:$C2678,$C2678)=1,1,0))</f>
        <v/>
      </c>
      <c r="AH2678">
        <f>IF($AG2678=1,SUMPRODUCT(--($AK$2:$AK$6001&lt;$AK2678))+1,"")</f>
        <v/>
      </c>
      <c r="AI2678">
        <f>IF($C2678="","",IF(OR($N2678=TRUE(),$N2678="TRUE"),1,0))</f>
        <v/>
      </c>
      <c r="AJ2678">
        <f>IF($C2678="","",IF($T2678="Yes",1,0))</f>
        <v/>
      </c>
      <c r="AK2678">
        <f>IF($AG2678=1,IFERROR(IF(VALUE($C2678)&lt;100000000,VALUE($C2678),1000000000),IFERROR(IF(VALUE(MID($C2678,2,20))&lt;100000000,VALUE(MID($C2678,2,20)),1000000000),1000000000))+ROW()/100000,"")</f>
        <v/>
      </c>
    </row>
    <row r="2679">
      <c r="D2679" s="11" t="n"/>
      <c r="K2679" s="7">
        <f>IF($C2679="","",J2679*W2679/100)</f>
        <v/>
      </c>
      <c r="Q2679" s="7" t="n"/>
      <c r="R2679" s="7" t="n"/>
      <c r="U2679">
        <f>IF($C2679="","",IF($AJ2679=1,0,IF($AI2679=1,Settings!$C$6,Settings!$C$7))*100)</f>
        <v/>
      </c>
      <c r="V2679" s="7">
        <f>IF($C2679="","",R2679*U2679/100)</f>
        <v/>
      </c>
      <c r="W2679" s="7">
        <f>IF($C2679="","",R2679-V2679)</f>
        <v/>
      </c>
      <c r="X2679" s="7">
        <f>IF($C2679="","",W2679-K2679)</f>
        <v/>
      </c>
      <c r="AB2679" s="7" t="n"/>
      <c r="AE2679" s="11" t="n"/>
      <c r="AG2679">
        <f>IF($C2679="","",IF(COUNTIF($C$2:$C2679,$C2679)=1,1,0))</f>
        <v/>
      </c>
      <c r="AH2679">
        <f>IF($AG2679=1,SUMPRODUCT(--($AK$2:$AK$6001&lt;$AK2679))+1,"")</f>
        <v/>
      </c>
      <c r="AI2679">
        <f>IF($C2679="","",IF(OR($N2679=TRUE(),$N2679="TRUE"),1,0))</f>
        <v/>
      </c>
      <c r="AJ2679">
        <f>IF($C2679="","",IF($T2679="Yes",1,0))</f>
        <v/>
      </c>
      <c r="AK2679">
        <f>IF($AG2679=1,IFERROR(IF(VALUE($C2679)&lt;100000000,VALUE($C2679),1000000000),IFERROR(IF(VALUE(MID($C2679,2,20))&lt;100000000,VALUE(MID($C2679,2,20)),1000000000),1000000000))+ROW()/100000,"")</f>
        <v/>
      </c>
    </row>
    <row r="2680">
      <c r="D2680" s="11" t="n"/>
      <c r="K2680" s="7">
        <f>IF($C2680="","",J2680*W2680/100)</f>
        <v/>
      </c>
      <c r="Q2680" s="7" t="n"/>
      <c r="R2680" s="7" t="n"/>
      <c r="U2680">
        <f>IF($C2680="","",IF($AJ2680=1,0,IF($AI2680=1,Settings!$C$6,Settings!$C$7))*100)</f>
        <v/>
      </c>
      <c r="V2680" s="7">
        <f>IF($C2680="","",R2680*U2680/100)</f>
        <v/>
      </c>
      <c r="W2680" s="7">
        <f>IF($C2680="","",R2680-V2680)</f>
        <v/>
      </c>
      <c r="X2680" s="7">
        <f>IF($C2680="","",W2680-K2680)</f>
        <v/>
      </c>
      <c r="AB2680" s="7" t="n"/>
      <c r="AE2680" s="11" t="n"/>
      <c r="AG2680">
        <f>IF($C2680="","",IF(COUNTIF($C$2:$C2680,$C2680)=1,1,0))</f>
        <v/>
      </c>
      <c r="AH2680">
        <f>IF($AG2680=1,SUMPRODUCT(--($AK$2:$AK$6001&lt;$AK2680))+1,"")</f>
        <v/>
      </c>
      <c r="AI2680">
        <f>IF($C2680="","",IF(OR($N2680=TRUE(),$N2680="TRUE"),1,0))</f>
        <v/>
      </c>
      <c r="AJ2680">
        <f>IF($C2680="","",IF($T2680="Yes",1,0))</f>
        <v/>
      </c>
      <c r="AK2680">
        <f>IF($AG2680=1,IFERROR(IF(VALUE($C2680)&lt;100000000,VALUE($C2680),1000000000),IFERROR(IF(VALUE(MID($C2680,2,20))&lt;100000000,VALUE(MID($C2680,2,20)),1000000000),1000000000))+ROW()/100000,"")</f>
        <v/>
      </c>
    </row>
    <row r="2681">
      <c r="D2681" s="11" t="n"/>
      <c r="K2681" s="7">
        <f>IF($C2681="","",J2681*W2681/100)</f>
        <v/>
      </c>
      <c r="Q2681" s="7" t="n"/>
      <c r="R2681" s="7" t="n"/>
      <c r="U2681">
        <f>IF($C2681="","",IF($AJ2681=1,0,IF($AI2681=1,Settings!$C$6,Settings!$C$7))*100)</f>
        <v/>
      </c>
      <c r="V2681" s="7">
        <f>IF($C2681="","",R2681*U2681/100)</f>
        <v/>
      </c>
      <c r="W2681" s="7">
        <f>IF($C2681="","",R2681-V2681)</f>
        <v/>
      </c>
      <c r="X2681" s="7">
        <f>IF($C2681="","",W2681-K2681)</f>
        <v/>
      </c>
      <c r="AB2681" s="7" t="n"/>
      <c r="AE2681" s="11" t="n"/>
      <c r="AG2681">
        <f>IF($C2681="","",IF(COUNTIF($C$2:$C2681,$C2681)=1,1,0))</f>
        <v/>
      </c>
      <c r="AH2681">
        <f>IF($AG2681=1,SUMPRODUCT(--($AK$2:$AK$6001&lt;$AK2681))+1,"")</f>
        <v/>
      </c>
      <c r="AI2681">
        <f>IF($C2681="","",IF(OR($N2681=TRUE(),$N2681="TRUE"),1,0))</f>
        <v/>
      </c>
      <c r="AJ2681">
        <f>IF($C2681="","",IF($T2681="Yes",1,0))</f>
        <v/>
      </c>
      <c r="AK2681">
        <f>IF($AG2681=1,IFERROR(IF(VALUE($C2681)&lt;100000000,VALUE($C2681),1000000000),IFERROR(IF(VALUE(MID($C2681,2,20))&lt;100000000,VALUE(MID($C2681,2,20)),1000000000),1000000000))+ROW()/100000,"")</f>
        <v/>
      </c>
    </row>
    <row r="2682">
      <c r="D2682" s="11" t="n"/>
      <c r="K2682" s="7">
        <f>IF($C2682="","",J2682*W2682/100)</f>
        <v/>
      </c>
      <c r="Q2682" s="7" t="n"/>
      <c r="R2682" s="7" t="n"/>
      <c r="U2682">
        <f>IF($C2682="","",IF($AJ2682=1,0,IF($AI2682=1,Settings!$C$6,Settings!$C$7))*100)</f>
        <v/>
      </c>
      <c r="V2682" s="7">
        <f>IF($C2682="","",R2682*U2682/100)</f>
        <v/>
      </c>
      <c r="W2682" s="7">
        <f>IF($C2682="","",R2682-V2682)</f>
        <v/>
      </c>
      <c r="X2682" s="7">
        <f>IF($C2682="","",W2682-K2682)</f>
        <v/>
      </c>
      <c r="AB2682" s="7" t="n"/>
      <c r="AE2682" s="11" t="n"/>
      <c r="AG2682">
        <f>IF($C2682="","",IF(COUNTIF($C$2:$C2682,$C2682)=1,1,0))</f>
        <v/>
      </c>
      <c r="AH2682">
        <f>IF($AG2682=1,SUMPRODUCT(--($AK$2:$AK$6001&lt;$AK2682))+1,"")</f>
        <v/>
      </c>
      <c r="AI2682">
        <f>IF($C2682="","",IF(OR($N2682=TRUE(),$N2682="TRUE"),1,0))</f>
        <v/>
      </c>
      <c r="AJ2682">
        <f>IF($C2682="","",IF($T2682="Yes",1,0))</f>
        <v/>
      </c>
      <c r="AK2682">
        <f>IF($AG2682=1,IFERROR(IF(VALUE($C2682)&lt;100000000,VALUE($C2682),1000000000),IFERROR(IF(VALUE(MID($C2682,2,20))&lt;100000000,VALUE(MID($C2682,2,20)),1000000000),1000000000))+ROW()/100000,"")</f>
        <v/>
      </c>
    </row>
    <row r="2683">
      <c r="D2683" s="11" t="n"/>
      <c r="K2683" s="7">
        <f>IF($C2683="","",J2683*W2683/100)</f>
        <v/>
      </c>
      <c r="Q2683" s="7" t="n"/>
      <c r="R2683" s="7" t="n"/>
      <c r="U2683">
        <f>IF($C2683="","",IF($AJ2683=1,0,IF($AI2683=1,Settings!$C$6,Settings!$C$7))*100)</f>
        <v/>
      </c>
      <c r="V2683" s="7">
        <f>IF($C2683="","",R2683*U2683/100)</f>
        <v/>
      </c>
      <c r="W2683" s="7">
        <f>IF($C2683="","",R2683-V2683)</f>
        <v/>
      </c>
      <c r="X2683" s="7">
        <f>IF($C2683="","",W2683-K2683)</f>
        <v/>
      </c>
      <c r="AB2683" s="7" t="n"/>
      <c r="AE2683" s="11" t="n"/>
      <c r="AG2683">
        <f>IF($C2683="","",IF(COUNTIF($C$2:$C2683,$C2683)=1,1,0))</f>
        <v/>
      </c>
      <c r="AH2683">
        <f>IF($AG2683=1,SUMPRODUCT(--($AK$2:$AK$6001&lt;$AK2683))+1,"")</f>
        <v/>
      </c>
      <c r="AI2683">
        <f>IF($C2683="","",IF(OR($N2683=TRUE(),$N2683="TRUE"),1,0))</f>
        <v/>
      </c>
      <c r="AJ2683">
        <f>IF($C2683="","",IF($T2683="Yes",1,0))</f>
        <v/>
      </c>
      <c r="AK2683">
        <f>IF($AG2683=1,IFERROR(IF(VALUE($C2683)&lt;100000000,VALUE($C2683),1000000000),IFERROR(IF(VALUE(MID($C2683,2,20))&lt;100000000,VALUE(MID($C2683,2,20)),1000000000),1000000000))+ROW()/100000,"")</f>
        <v/>
      </c>
    </row>
    <row r="2684">
      <c r="D2684" s="11" t="n"/>
      <c r="K2684" s="7">
        <f>IF($C2684="","",J2684*W2684/100)</f>
        <v/>
      </c>
      <c r="Q2684" s="7" t="n"/>
      <c r="R2684" s="7" t="n"/>
      <c r="U2684">
        <f>IF($C2684="","",IF($AJ2684=1,0,IF($AI2684=1,Settings!$C$6,Settings!$C$7))*100)</f>
        <v/>
      </c>
      <c r="V2684" s="7">
        <f>IF($C2684="","",R2684*U2684/100)</f>
        <v/>
      </c>
      <c r="W2684" s="7">
        <f>IF($C2684="","",R2684-V2684)</f>
        <v/>
      </c>
      <c r="X2684" s="7">
        <f>IF($C2684="","",W2684-K2684)</f>
        <v/>
      </c>
      <c r="AB2684" s="7" t="n"/>
      <c r="AE2684" s="11" t="n"/>
      <c r="AG2684">
        <f>IF($C2684="","",IF(COUNTIF($C$2:$C2684,$C2684)=1,1,0))</f>
        <v/>
      </c>
      <c r="AH2684">
        <f>IF($AG2684=1,SUMPRODUCT(--($AK$2:$AK$6001&lt;$AK2684))+1,"")</f>
        <v/>
      </c>
      <c r="AI2684">
        <f>IF($C2684="","",IF(OR($N2684=TRUE(),$N2684="TRUE"),1,0))</f>
        <v/>
      </c>
      <c r="AJ2684">
        <f>IF($C2684="","",IF($T2684="Yes",1,0))</f>
        <v/>
      </c>
      <c r="AK2684">
        <f>IF($AG2684=1,IFERROR(IF(VALUE($C2684)&lt;100000000,VALUE($C2684),1000000000),IFERROR(IF(VALUE(MID($C2684,2,20))&lt;100000000,VALUE(MID($C2684,2,20)),1000000000),1000000000))+ROW()/100000,"")</f>
        <v/>
      </c>
    </row>
    <row r="2685">
      <c r="D2685" s="11" t="n"/>
      <c r="K2685" s="7">
        <f>IF($C2685="","",J2685*W2685/100)</f>
        <v/>
      </c>
      <c r="Q2685" s="7" t="n"/>
      <c r="R2685" s="7" t="n"/>
      <c r="U2685">
        <f>IF($C2685="","",IF($AJ2685=1,0,IF($AI2685=1,Settings!$C$6,Settings!$C$7))*100)</f>
        <v/>
      </c>
      <c r="V2685" s="7">
        <f>IF($C2685="","",R2685*U2685/100)</f>
        <v/>
      </c>
      <c r="W2685" s="7">
        <f>IF($C2685="","",R2685-V2685)</f>
        <v/>
      </c>
      <c r="X2685" s="7">
        <f>IF($C2685="","",W2685-K2685)</f>
        <v/>
      </c>
      <c r="AB2685" s="7" t="n"/>
      <c r="AE2685" s="11" t="n"/>
      <c r="AG2685">
        <f>IF($C2685="","",IF(COUNTIF($C$2:$C2685,$C2685)=1,1,0))</f>
        <v/>
      </c>
      <c r="AH2685">
        <f>IF($AG2685=1,SUMPRODUCT(--($AK$2:$AK$6001&lt;$AK2685))+1,"")</f>
        <v/>
      </c>
      <c r="AI2685">
        <f>IF($C2685="","",IF(OR($N2685=TRUE(),$N2685="TRUE"),1,0))</f>
        <v/>
      </c>
      <c r="AJ2685">
        <f>IF($C2685="","",IF($T2685="Yes",1,0))</f>
        <v/>
      </c>
      <c r="AK2685">
        <f>IF($AG2685=1,IFERROR(IF(VALUE($C2685)&lt;100000000,VALUE($C2685),1000000000),IFERROR(IF(VALUE(MID($C2685,2,20))&lt;100000000,VALUE(MID($C2685,2,20)),1000000000),1000000000))+ROW()/100000,"")</f>
        <v/>
      </c>
    </row>
    <row r="2686">
      <c r="D2686" s="11" t="n"/>
      <c r="K2686" s="7">
        <f>IF($C2686="","",J2686*W2686/100)</f>
        <v/>
      </c>
      <c r="Q2686" s="7" t="n"/>
      <c r="R2686" s="7" t="n"/>
      <c r="U2686">
        <f>IF($C2686="","",IF($AJ2686=1,0,IF($AI2686=1,Settings!$C$6,Settings!$C$7))*100)</f>
        <v/>
      </c>
      <c r="V2686" s="7">
        <f>IF($C2686="","",R2686*U2686/100)</f>
        <v/>
      </c>
      <c r="W2686" s="7">
        <f>IF($C2686="","",R2686-V2686)</f>
        <v/>
      </c>
      <c r="X2686" s="7">
        <f>IF($C2686="","",W2686-K2686)</f>
        <v/>
      </c>
      <c r="AB2686" s="7" t="n"/>
      <c r="AE2686" s="11" t="n"/>
      <c r="AG2686">
        <f>IF($C2686="","",IF(COUNTIF($C$2:$C2686,$C2686)=1,1,0))</f>
        <v/>
      </c>
      <c r="AH2686">
        <f>IF($AG2686=1,SUMPRODUCT(--($AK$2:$AK$6001&lt;$AK2686))+1,"")</f>
        <v/>
      </c>
      <c r="AI2686">
        <f>IF($C2686="","",IF(OR($N2686=TRUE(),$N2686="TRUE"),1,0))</f>
        <v/>
      </c>
      <c r="AJ2686">
        <f>IF($C2686="","",IF($T2686="Yes",1,0))</f>
        <v/>
      </c>
      <c r="AK2686">
        <f>IF($AG2686=1,IFERROR(IF(VALUE($C2686)&lt;100000000,VALUE($C2686),1000000000),IFERROR(IF(VALUE(MID($C2686,2,20))&lt;100000000,VALUE(MID($C2686,2,20)),1000000000),1000000000))+ROW()/100000,"")</f>
        <v/>
      </c>
    </row>
    <row r="2687">
      <c r="D2687" s="11" t="n"/>
      <c r="K2687" s="7">
        <f>IF($C2687="","",J2687*W2687/100)</f>
        <v/>
      </c>
      <c r="Q2687" s="7" t="n"/>
      <c r="R2687" s="7" t="n"/>
      <c r="U2687">
        <f>IF($C2687="","",IF($AJ2687=1,0,IF($AI2687=1,Settings!$C$6,Settings!$C$7))*100)</f>
        <v/>
      </c>
      <c r="V2687" s="7">
        <f>IF($C2687="","",R2687*U2687/100)</f>
        <v/>
      </c>
      <c r="W2687" s="7">
        <f>IF($C2687="","",R2687-V2687)</f>
        <v/>
      </c>
      <c r="X2687" s="7">
        <f>IF($C2687="","",W2687-K2687)</f>
        <v/>
      </c>
      <c r="AB2687" s="7" t="n"/>
      <c r="AE2687" s="11" t="n"/>
      <c r="AG2687">
        <f>IF($C2687="","",IF(COUNTIF($C$2:$C2687,$C2687)=1,1,0))</f>
        <v/>
      </c>
      <c r="AH2687">
        <f>IF($AG2687=1,SUMPRODUCT(--($AK$2:$AK$6001&lt;$AK2687))+1,"")</f>
        <v/>
      </c>
      <c r="AI2687">
        <f>IF($C2687="","",IF(OR($N2687=TRUE(),$N2687="TRUE"),1,0))</f>
        <v/>
      </c>
      <c r="AJ2687">
        <f>IF($C2687="","",IF($T2687="Yes",1,0))</f>
        <v/>
      </c>
      <c r="AK2687">
        <f>IF($AG2687=1,IFERROR(IF(VALUE($C2687)&lt;100000000,VALUE($C2687),1000000000),IFERROR(IF(VALUE(MID($C2687,2,20))&lt;100000000,VALUE(MID($C2687,2,20)),1000000000),1000000000))+ROW()/100000,"")</f>
        <v/>
      </c>
    </row>
    <row r="2688">
      <c r="D2688" s="11" t="n"/>
      <c r="K2688" s="7">
        <f>IF($C2688="","",J2688*W2688/100)</f>
        <v/>
      </c>
      <c r="Q2688" s="7" t="n"/>
      <c r="R2688" s="7" t="n"/>
      <c r="U2688">
        <f>IF($C2688="","",IF($AJ2688=1,0,IF($AI2688=1,Settings!$C$6,Settings!$C$7))*100)</f>
        <v/>
      </c>
      <c r="V2688" s="7">
        <f>IF($C2688="","",R2688*U2688/100)</f>
        <v/>
      </c>
      <c r="W2688" s="7">
        <f>IF($C2688="","",R2688-V2688)</f>
        <v/>
      </c>
      <c r="X2688" s="7">
        <f>IF($C2688="","",W2688-K2688)</f>
        <v/>
      </c>
      <c r="AB2688" s="7" t="n"/>
      <c r="AE2688" s="11" t="n"/>
      <c r="AG2688">
        <f>IF($C2688="","",IF(COUNTIF($C$2:$C2688,$C2688)=1,1,0))</f>
        <v/>
      </c>
      <c r="AH2688">
        <f>IF($AG2688=1,SUMPRODUCT(--($AK$2:$AK$6001&lt;$AK2688))+1,"")</f>
        <v/>
      </c>
      <c r="AI2688">
        <f>IF($C2688="","",IF(OR($N2688=TRUE(),$N2688="TRUE"),1,0))</f>
        <v/>
      </c>
      <c r="AJ2688">
        <f>IF($C2688="","",IF($T2688="Yes",1,0))</f>
        <v/>
      </c>
      <c r="AK2688">
        <f>IF($AG2688=1,IFERROR(IF(VALUE($C2688)&lt;100000000,VALUE($C2688),1000000000),IFERROR(IF(VALUE(MID($C2688,2,20))&lt;100000000,VALUE(MID($C2688,2,20)),1000000000),1000000000))+ROW()/100000,"")</f>
        <v/>
      </c>
    </row>
    <row r="2689">
      <c r="D2689" s="11" t="n"/>
      <c r="K2689" s="7">
        <f>IF($C2689="","",J2689*W2689/100)</f>
        <v/>
      </c>
      <c r="Q2689" s="7" t="n"/>
      <c r="R2689" s="7" t="n"/>
      <c r="U2689">
        <f>IF($C2689="","",IF($AJ2689=1,0,IF($AI2689=1,Settings!$C$6,Settings!$C$7))*100)</f>
        <v/>
      </c>
      <c r="V2689" s="7">
        <f>IF($C2689="","",R2689*U2689/100)</f>
        <v/>
      </c>
      <c r="W2689" s="7">
        <f>IF($C2689="","",R2689-V2689)</f>
        <v/>
      </c>
      <c r="X2689" s="7">
        <f>IF($C2689="","",W2689-K2689)</f>
        <v/>
      </c>
      <c r="AB2689" s="7" t="n"/>
      <c r="AE2689" s="11" t="n"/>
      <c r="AG2689">
        <f>IF($C2689="","",IF(COUNTIF($C$2:$C2689,$C2689)=1,1,0))</f>
        <v/>
      </c>
      <c r="AH2689">
        <f>IF($AG2689=1,SUMPRODUCT(--($AK$2:$AK$6001&lt;$AK2689))+1,"")</f>
        <v/>
      </c>
      <c r="AI2689">
        <f>IF($C2689="","",IF(OR($N2689=TRUE(),$N2689="TRUE"),1,0))</f>
        <v/>
      </c>
      <c r="AJ2689">
        <f>IF($C2689="","",IF($T2689="Yes",1,0))</f>
        <v/>
      </c>
      <c r="AK2689">
        <f>IF($AG2689=1,IFERROR(IF(VALUE($C2689)&lt;100000000,VALUE($C2689),1000000000),IFERROR(IF(VALUE(MID($C2689,2,20))&lt;100000000,VALUE(MID($C2689,2,20)),1000000000),1000000000))+ROW()/100000,"")</f>
        <v/>
      </c>
    </row>
    <row r="2690">
      <c r="D2690" s="11" t="n"/>
      <c r="K2690" s="7">
        <f>IF($C2690="","",J2690*W2690/100)</f>
        <v/>
      </c>
      <c r="Q2690" s="7" t="n"/>
      <c r="R2690" s="7" t="n"/>
      <c r="U2690">
        <f>IF($C2690="","",IF($AJ2690=1,0,IF($AI2690=1,Settings!$C$6,Settings!$C$7))*100)</f>
        <v/>
      </c>
      <c r="V2690" s="7">
        <f>IF($C2690="","",R2690*U2690/100)</f>
        <v/>
      </c>
      <c r="W2690" s="7">
        <f>IF($C2690="","",R2690-V2690)</f>
        <v/>
      </c>
      <c r="X2690" s="7">
        <f>IF($C2690="","",W2690-K2690)</f>
        <v/>
      </c>
      <c r="AB2690" s="7" t="n"/>
      <c r="AE2690" s="11" t="n"/>
      <c r="AG2690">
        <f>IF($C2690="","",IF(COUNTIF($C$2:$C2690,$C2690)=1,1,0))</f>
        <v/>
      </c>
      <c r="AH2690">
        <f>IF($AG2690=1,SUMPRODUCT(--($AK$2:$AK$6001&lt;$AK2690))+1,"")</f>
        <v/>
      </c>
      <c r="AI2690">
        <f>IF($C2690="","",IF(OR($N2690=TRUE(),$N2690="TRUE"),1,0))</f>
        <v/>
      </c>
      <c r="AJ2690">
        <f>IF($C2690="","",IF($T2690="Yes",1,0))</f>
        <v/>
      </c>
      <c r="AK2690">
        <f>IF($AG2690=1,IFERROR(IF(VALUE($C2690)&lt;100000000,VALUE($C2690),1000000000),IFERROR(IF(VALUE(MID($C2690,2,20))&lt;100000000,VALUE(MID($C2690,2,20)),1000000000),1000000000))+ROW()/100000,"")</f>
        <v/>
      </c>
    </row>
    <row r="2691">
      <c r="D2691" s="11" t="n"/>
      <c r="K2691" s="7">
        <f>IF($C2691="","",J2691*W2691/100)</f>
        <v/>
      </c>
      <c r="Q2691" s="7" t="n"/>
      <c r="R2691" s="7" t="n"/>
      <c r="U2691">
        <f>IF($C2691="","",IF($AJ2691=1,0,IF($AI2691=1,Settings!$C$6,Settings!$C$7))*100)</f>
        <v/>
      </c>
      <c r="V2691" s="7">
        <f>IF($C2691="","",R2691*U2691/100)</f>
        <v/>
      </c>
      <c r="W2691" s="7">
        <f>IF($C2691="","",R2691-V2691)</f>
        <v/>
      </c>
      <c r="X2691" s="7">
        <f>IF($C2691="","",W2691-K2691)</f>
        <v/>
      </c>
      <c r="AB2691" s="7" t="n"/>
      <c r="AE2691" s="11" t="n"/>
      <c r="AG2691">
        <f>IF($C2691="","",IF(COUNTIF($C$2:$C2691,$C2691)=1,1,0))</f>
        <v/>
      </c>
      <c r="AH2691">
        <f>IF($AG2691=1,SUMPRODUCT(--($AK$2:$AK$6001&lt;$AK2691))+1,"")</f>
        <v/>
      </c>
      <c r="AI2691">
        <f>IF($C2691="","",IF(OR($N2691=TRUE(),$N2691="TRUE"),1,0))</f>
        <v/>
      </c>
      <c r="AJ2691">
        <f>IF($C2691="","",IF($T2691="Yes",1,0))</f>
        <v/>
      </c>
      <c r="AK2691">
        <f>IF($AG2691=1,IFERROR(IF(VALUE($C2691)&lt;100000000,VALUE($C2691),1000000000),IFERROR(IF(VALUE(MID($C2691,2,20))&lt;100000000,VALUE(MID($C2691,2,20)),1000000000),1000000000))+ROW()/100000,"")</f>
        <v/>
      </c>
    </row>
    <row r="2692">
      <c r="D2692" s="11" t="n"/>
      <c r="K2692" s="7">
        <f>IF($C2692="","",J2692*W2692/100)</f>
        <v/>
      </c>
      <c r="Q2692" s="7" t="n"/>
      <c r="R2692" s="7" t="n"/>
      <c r="U2692">
        <f>IF($C2692="","",IF($AJ2692=1,0,IF($AI2692=1,Settings!$C$6,Settings!$C$7))*100)</f>
        <v/>
      </c>
      <c r="V2692" s="7">
        <f>IF($C2692="","",R2692*U2692/100)</f>
        <v/>
      </c>
      <c r="W2692" s="7">
        <f>IF($C2692="","",R2692-V2692)</f>
        <v/>
      </c>
      <c r="X2692" s="7">
        <f>IF($C2692="","",W2692-K2692)</f>
        <v/>
      </c>
      <c r="AB2692" s="7" t="n"/>
      <c r="AE2692" s="11" t="n"/>
      <c r="AG2692">
        <f>IF($C2692="","",IF(COUNTIF($C$2:$C2692,$C2692)=1,1,0))</f>
        <v/>
      </c>
      <c r="AH2692">
        <f>IF($AG2692=1,SUMPRODUCT(--($AK$2:$AK$6001&lt;$AK2692))+1,"")</f>
        <v/>
      </c>
      <c r="AI2692">
        <f>IF($C2692="","",IF(OR($N2692=TRUE(),$N2692="TRUE"),1,0))</f>
        <v/>
      </c>
      <c r="AJ2692">
        <f>IF($C2692="","",IF($T2692="Yes",1,0))</f>
        <v/>
      </c>
      <c r="AK2692">
        <f>IF($AG2692=1,IFERROR(IF(VALUE($C2692)&lt;100000000,VALUE($C2692),1000000000),IFERROR(IF(VALUE(MID($C2692,2,20))&lt;100000000,VALUE(MID($C2692,2,20)),1000000000),1000000000))+ROW()/100000,"")</f>
        <v/>
      </c>
    </row>
    <row r="2693">
      <c r="D2693" s="11" t="n"/>
      <c r="K2693" s="7">
        <f>IF($C2693="","",J2693*W2693/100)</f>
        <v/>
      </c>
      <c r="Q2693" s="7" t="n"/>
      <c r="R2693" s="7" t="n"/>
      <c r="U2693">
        <f>IF($C2693="","",IF($AJ2693=1,0,IF($AI2693=1,Settings!$C$6,Settings!$C$7))*100)</f>
        <v/>
      </c>
      <c r="V2693" s="7">
        <f>IF($C2693="","",R2693*U2693/100)</f>
        <v/>
      </c>
      <c r="W2693" s="7">
        <f>IF($C2693="","",R2693-V2693)</f>
        <v/>
      </c>
      <c r="X2693" s="7">
        <f>IF($C2693="","",W2693-K2693)</f>
        <v/>
      </c>
      <c r="AB2693" s="7" t="n"/>
      <c r="AE2693" s="11" t="n"/>
      <c r="AG2693">
        <f>IF($C2693="","",IF(COUNTIF($C$2:$C2693,$C2693)=1,1,0))</f>
        <v/>
      </c>
      <c r="AH2693">
        <f>IF($AG2693=1,SUMPRODUCT(--($AK$2:$AK$6001&lt;$AK2693))+1,"")</f>
        <v/>
      </c>
      <c r="AI2693">
        <f>IF($C2693="","",IF(OR($N2693=TRUE(),$N2693="TRUE"),1,0))</f>
        <v/>
      </c>
      <c r="AJ2693">
        <f>IF($C2693="","",IF($T2693="Yes",1,0))</f>
        <v/>
      </c>
      <c r="AK2693">
        <f>IF($AG2693=1,IFERROR(IF(VALUE($C2693)&lt;100000000,VALUE($C2693),1000000000),IFERROR(IF(VALUE(MID($C2693,2,20))&lt;100000000,VALUE(MID($C2693,2,20)),1000000000),1000000000))+ROW()/100000,"")</f>
        <v/>
      </c>
    </row>
    <row r="2694">
      <c r="D2694" s="11" t="n"/>
      <c r="K2694" s="7">
        <f>IF($C2694="","",J2694*W2694/100)</f>
        <v/>
      </c>
      <c r="Q2694" s="7" t="n"/>
      <c r="R2694" s="7" t="n"/>
      <c r="U2694">
        <f>IF($C2694="","",IF($AJ2694=1,0,IF($AI2694=1,Settings!$C$6,Settings!$C$7))*100)</f>
        <v/>
      </c>
      <c r="V2694" s="7">
        <f>IF($C2694="","",R2694*U2694/100)</f>
        <v/>
      </c>
      <c r="W2694" s="7">
        <f>IF($C2694="","",R2694-V2694)</f>
        <v/>
      </c>
      <c r="X2694" s="7">
        <f>IF($C2694="","",W2694-K2694)</f>
        <v/>
      </c>
      <c r="AB2694" s="7" t="n"/>
      <c r="AE2694" s="11" t="n"/>
      <c r="AG2694">
        <f>IF($C2694="","",IF(COUNTIF($C$2:$C2694,$C2694)=1,1,0))</f>
        <v/>
      </c>
      <c r="AH2694">
        <f>IF($AG2694=1,SUMPRODUCT(--($AK$2:$AK$6001&lt;$AK2694))+1,"")</f>
        <v/>
      </c>
      <c r="AI2694">
        <f>IF($C2694="","",IF(OR($N2694=TRUE(),$N2694="TRUE"),1,0))</f>
        <v/>
      </c>
      <c r="AJ2694">
        <f>IF($C2694="","",IF($T2694="Yes",1,0))</f>
        <v/>
      </c>
      <c r="AK2694">
        <f>IF($AG2694=1,IFERROR(IF(VALUE($C2694)&lt;100000000,VALUE($C2694),1000000000),IFERROR(IF(VALUE(MID($C2694,2,20))&lt;100000000,VALUE(MID($C2694,2,20)),1000000000),1000000000))+ROW()/100000,"")</f>
        <v/>
      </c>
    </row>
    <row r="2695">
      <c r="D2695" s="11" t="n"/>
      <c r="K2695" s="7">
        <f>IF($C2695="","",J2695*W2695/100)</f>
        <v/>
      </c>
      <c r="Q2695" s="7" t="n"/>
      <c r="R2695" s="7" t="n"/>
      <c r="U2695">
        <f>IF($C2695="","",IF($AJ2695=1,0,IF($AI2695=1,Settings!$C$6,Settings!$C$7))*100)</f>
        <v/>
      </c>
      <c r="V2695" s="7">
        <f>IF($C2695="","",R2695*U2695/100)</f>
        <v/>
      </c>
      <c r="W2695" s="7">
        <f>IF($C2695="","",R2695-V2695)</f>
        <v/>
      </c>
      <c r="X2695" s="7">
        <f>IF($C2695="","",W2695-K2695)</f>
        <v/>
      </c>
      <c r="AB2695" s="7" t="n"/>
      <c r="AE2695" s="11" t="n"/>
      <c r="AG2695">
        <f>IF($C2695="","",IF(COUNTIF($C$2:$C2695,$C2695)=1,1,0))</f>
        <v/>
      </c>
      <c r="AH2695">
        <f>IF($AG2695=1,SUMPRODUCT(--($AK$2:$AK$6001&lt;$AK2695))+1,"")</f>
        <v/>
      </c>
      <c r="AI2695">
        <f>IF($C2695="","",IF(OR($N2695=TRUE(),$N2695="TRUE"),1,0))</f>
        <v/>
      </c>
      <c r="AJ2695">
        <f>IF($C2695="","",IF($T2695="Yes",1,0))</f>
        <v/>
      </c>
      <c r="AK2695">
        <f>IF($AG2695=1,IFERROR(IF(VALUE($C2695)&lt;100000000,VALUE($C2695),1000000000),IFERROR(IF(VALUE(MID($C2695,2,20))&lt;100000000,VALUE(MID($C2695,2,20)),1000000000),1000000000))+ROW()/100000,"")</f>
        <v/>
      </c>
    </row>
    <row r="2696">
      <c r="D2696" s="11" t="n"/>
      <c r="K2696" s="7">
        <f>IF($C2696="","",J2696*W2696/100)</f>
        <v/>
      </c>
      <c r="Q2696" s="7" t="n"/>
      <c r="R2696" s="7" t="n"/>
      <c r="U2696">
        <f>IF($C2696="","",IF($AJ2696=1,0,IF($AI2696=1,Settings!$C$6,Settings!$C$7))*100)</f>
        <v/>
      </c>
      <c r="V2696" s="7">
        <f>IF($C2696="","",R2696*U2696/100)</f>
        <v/>
      </c>
      <c r="W2696" s="7">
        <f>IF($C2696="","",R2696-V2696)</f>
        <v/>
      </c>
      <c r="X2696" s="7">
        <f>IF($C2696="","",W2696-K2696)</f>
        <v/>
      </c>
      <c r="AB2696" s="7" t="n"/>
      <c r="AE2696" s="11" t="n"/>
      <c r="AG2696">
        <f>IF($C2696="","",IF(COUNTIF($C$2:$C2696,$C2696)=1,1,0))</f>
        <v/>
      </c>
      <c r="AH2696">
        <f>IF($AG2696=1,SUMPRODUCT(--($AK$2:$AK$6001&lt;$AK2696))+1,"")</f>
        <v/>
      </c>
      <c r="AI2696">
        <f>IF($C2696="","",IF(OR($N2696=TRUE(),$N2696="TRUE"),1,0))</f>
        <v/>
      </c>
      <c r="AJ2696">
        <f>IF($C2696="","",IF($T2696="Yes",1,0))</f>
        <v/>
      </c>
      <c r="AK2696">
        <f>IF($AG2696=1,IFERROR(IF(VALUE($C2696)&lt;100000000,VALUE($C2696),1000000000),IFERROR(IF(VALUE(MID($C2696,2,20))&lt;100000000,VALUE(MID($C2696,2,20)),1000000000),1000000000))+ROW()/100000,"")</f>
        <v/>
      </c>
    </row>
    <row r="2697">
      <c r="D2697" s="11" t="n"/>
      <c r="K2697" s="7">
        <f>IF($C2697="","",J2697*W2697/100)</f>
        <v/>
      </c>
      <c r="Q2697" s="7" t="n"/>
      <c r="R2697" s="7" t="n"/>
      <c r="U2697">
        <f>IF($C2697="","",IF($AJ2697=1,0,IF($AI2697=1,Settings!$C$6,Settings!$C$7))*100)</f>
        <v/>
      </c>
      <c r="V2697" s="7">
        <f>IF($C2697="","",R2697*U2697/100)</f>
        <v/>
      </c>
      <c r="W2697" s="7">
        <f>IF($C2697="","",R2697-V2697)</f>
        <v/>
      </c>
      <c r="X2697" s="7">
        <f>IF($C2697="","",W2697-K2697)</f>
        <v/>
      </c>
      <c r="AB2697" s="7" t="n"/>
      <c r="AE2697" s="11" t="n"/>
      <c r="AG2697">
        <f>IF($C2697="","",IF(COUNTIF($C$2:$C2697,$C2697)=1,1,0))</f>
        <v/>
      </c>
      <c r="AH2697">
        <f>IF($AG2697=1,SUMPRODUCT(--($AK$2:$AK$6001&lt;$AK2697))+1,"")</f>
        <v/>
      </c>
      <c r="AI2697">
        <f>IF($C2697="","",IF(OR($N2697=TRUE(),$N2697="TRUE"),1,0))</f>
        <v/>
      </c>
      <c r="AJ2697">
        <f>IF($C2697="","",IF($T2697="Yes",1,0))</f>
        <v/>
      </c>
      <c r="AK2697">
        <f>IF($AG2697=1,IFERROR(IF(VALUE($C2697)&lt;100000000,VALUE($C2697),1000000000),IFERROR(IF(VALUE(MID($C2697,2,20))&lt;100000000,VALUE(MID($C2697,2,20)),1000000000),1000000000))+ROW()/100000,"")</f>
        <v/>
      </c>
    </row>
    <row r="2698">
      <c r="D2698" s="11" t="n"/>
      <c r="K2698" s="7">
        <f>IF($C2698="","",J2698*W2698/100)</f>
        <v/>
      </c>
      <c r="Q2698" s="7" t="n"/>
      <c r="R2698" s="7" t="n"/>
      <c r="U2698">
        <f>IF($C2698="","",IF($AJ2698=1,0,IF($AI2698=1,Settings!$C$6,Settings!$C$7))*100)</f>
        <v/>
      </c>
      <c r="V2698" s="7">
        <f>IF($C2698="","",R2698*U2698/100)</f>
        <v/>
      </c>
      <c r="W2698" s="7">
        <f>IF($C2698="","",R2698-V2698)</f>
        <v/>
      </c>
      <c r="X2698" s="7">
        <f>IF($C2698="","",W2698-K2698)</f>
        <v/>
      </c>
      <c r="AB2698" s="7" t="n"/>
      <c r="AE2698" s="11" t="n"/>
      <c r="AG2698">
        <f>IF($C2698="","",IF(COUNTIF($C$2:$C2698,$C2698)=1,1,0))</f>
        <v/>
      </c>
      <c r="AH2698">
        <f>IF($AG2698=1,SUMPRODUCT(--($AK$2:$AK$6001&lt;$AK2698))+1,"")</f>
        <v/>
      </c>
      <c r="AI2698">
        <f>IF($C2698="","",IF(OR($N2698=TRUE(),$N2698="TRUE"),1,0))</f>
        <v/>
      </c>
      <c r="AJ2698">
        <f>IF($C2698="","",IF($T2698="Yes",1,0))</f>
        <v/>
      </c>
      <c r="AK2698">
        <f>IF($AG2698=1,IFERROR(IF(VALUE($C2698)&lt;100000000,VALUE($C2698),1000000000),IFERROR(IF(VALUE(MID($C2698,2,20))&lt;100000000,VALUE(MID($C2698,2,20)),1000000000),1000000000))+ROW()/100000,"")</f>
        <v/>
      </c>
    </row>
    <row r="2699">
      <c r="D2699" s="11" t="n"/>
      <c r="K2699" s="7">
        <f>IF($C2699="","",J2699*W2699/100)</f>
        <v/>
      </c>
      <c r="Q2699" s="7" t="n"/>
      <c r="R2699" s="7" t="n"/>
      <c r="U2699">
        <f>IF($C2699="","",IF($AJ2699=1,0,IF($AI2699=1,Settings!$C$6,Settings!$C$7))*100)</f>
        <v/>
      </c>
      <c r="V2699" s="7">
        <f>IF($C2699="","",R2699*U2699/100)</f>
        <v/>
      </c>
      <c r="W2699" s="7">
        <f>IF($C2699="","",R2699-V2699)</f>
        <v/>
      </c>
      <c r="X2699" s="7">
        <f>IF($C2699="","",W2699-K2699)</f>
        <v/>
      </c>
      <c r="AB2699" s="7" t="n"/>
      <c r="AE2699" s="11" t="n"/>
      <c r="AG2699">
        <f>IF($C2699="","",IF(COUNTIF($C$2:$C2699,$C2699)=1,1,0))</f>
        <v/>
      </c>
      <c r="AH2699">
        <f>IF($AG2699=1,SUMPRODUCT(--($AK$2:$AK$6001&lt;$AK2699))+1,"")</f>
        <v/>
      </c>
      <c r="AI2699">
        <f>IF($C2699="","",IF(OR($N2699=TRUE(),$N2699="TRUE"),1,0))</f>
        <v/>
      </c>
      <c r="AJ2699">
        <f>IF($C2699="","",IF($T2699="Yes",1,0))</f>
        <v/>
      </c>
      <c r="AK2699">
        <f>IF($AG2699=1,IFERROR(IF(VALUE($C2699)&lt;100000000,VALUE($C2699),1000000000),IFERROR(IF(VALUE(MID($C2699,2,20))&lt;100000000,VALUE(MID($C2699,2,20)),1000000000),1000000000))+ROW()/100000,"")</f>
        <v/>
      </c>
    </row>
    <row r="2700">
      <c r="D2700" s="11" t="n"/>
      <c r="K2700" s="7">
        <f>IF($C2700="","",J2700*W2700/100)</f>
        <v/>
      </c>
      <c r="Q2700" s="7" t="n"/>
      <c r="R2700" s="7" t="n"/>
      <c r="U2700">
        <f>IF($C2700="","",IF($AJ2700=1,0,IF($AI2700=1,Settings!$C$6,Settings!$C$7))*100)</f>
        <v/>
      </c>
      <c r="V2700" s="7">
        <f>IF($C2700="","",R2700*U2700/100)</f>
        <v/>
      </c>
      <c r="W2700" s="7">
        <f>IF($C2700="","",R2700-V2700)</f>
        <v/>
      </c>
      <c r="X2700" s="7">
        <f>IF($C2700="","",W2700-K2700)</f>
        <v/>
      </c>
      <c r="AB2700" s="7" t="n"/>
      <c r="AE2700" s="11" t="n"/>
      <c r="AG2700">
        <f>IF($C2700="","",IF(COUNTIF($C$2:$C2700,$C2700)=1,1,0))</f>
        <v/>
      </c>
      <c r="AH2700">
        <f>IF($AG2700=1,SUMPRODUCT(--($AK$2:$AK$6001&lt;$AK2700))+1,"")</f>
        <v/>
      </c>
      <c r="AI2700">
        <f>IF($C2700="","",IF(OR($N2700=TRUE(),$N2700="TRUE"),1,0))</f>
        <v/>
      </c>
      <c r="AJ2700">
        <f>IF($C2700="","",IF($T2700="Yes",1,0))</f>
        <v/>
      </c>
      <c r="AK2700">
        <f>IF($AG2700=1,IFERROR(IF(VALUE($C2700)&lt;100000000,VALUE($C2700),1000000000),IFERROR(IF(VALUE(MID($C2700,2,20))&lt;100000000,VALUE(MID($C2700,2,20)),1000000000),1000000000))+ROW()/100000,"")</f>
        <v/>
      </c>
    </row>
    <row r="2701">
      <c r="D2701" s="11" t="n"/>
      <c r="K2701" s="7">
        <f>IF($C2701="","",J2701*W2701/100)</f>
        <v/>
      </c>
      <c r="Q2701" s="7" t="n"/>
      <c r="R2701" s="7" t="n"/>
      <c r="U2701">
        <f>IF($C2701="","",IF($AJ2701=1,0,IF($AI2701=1,Settings!$C$6,Settings!$C$7))*100)</f>
        <v/>
      </c>
      <c r="V2701" s="7">
        <f>IF($C2701="","",R2701*U2701/100)</f>
        <v/>
      </c>
      <c r="W2701" s="7">
        <f>IF($C2701="","",R2701-V2701)</f>
        <v/>
      </c>
      <c r="X2701" s="7">
        <f>IF($C2701="","",W2701-K2701)</f>
        <v/>
      </c>
      <c r="AB2701" s="7" t="n"/>
      <c r="AE2701" s="11" t="n"/>
      <c r="AG2701">
        <f>IF($C2701="","",IF(COUNTIF($C$2:$C2701,$C2701)=1,1,0))</f>
        <v/>
      </c>
      <c r="AH2701">
        <f>IF($AG2701=1,SUMPRODUCT(--($AK$2:$AK$6001&lt;$AK2701))+1,"")</f>
        <v/>
      </c>
      <c r="AI2701">
        <f>IF($C2701="","",IF(OR($N2701=TRUE(),$N2701="TRUE"),1,0))</f>
        <v/>
      </c>
      <c r="AJ2701">
        <f>IF($C2701="","",IF($T2701="Yes",1,0))</f>
        <v/>
      </c>
      <c r="AK2701">
        <f>IF($AG2701=1,IFERROR(IF(VALUE($C2701)&lt;100000000,VALUE($C2701),1000000000),IFERROR(IF(VALUE(MID($C2701,2,20))&lt;100000000,VALUE(MID($C2701,2,20)),1000000000),1000000000))+ROW()/100000,"")</f>
        <v/>
      </c>
    </row>
    <row r="2702">
      <c r="D2702" s="11" t="n"/>
      <c r="K2702" s="7">
        <f>IF($C2702="","",J2702*W2702/100)</f>
        <v/>
      </c>
      <c r="Q2702" s="7" t="n"/>
      <c r="R2702" s="7" t="n"/>
      <c r="U2702">
        <f>IF($C2702="","",IF($AJ2702=1,0,IF($AI2702=1,Settings!$C$6,Settings!$C$7))*100)</f>
        <v/>
      </c>
      <c r="V2702" s="7">
        <f>IF($C2702="","",R2702*U2702/100)</f>
        <v/>
      </c>
      <c r="W2702" s="7">
        <f>IF($C2702="","",R2702-V2702)</f>
        <v/>
      </c>
      <c r="X2702" s="7">
        <f>IF($C2702="","",W2702-K2702)</f>
        <v/>
      </c>
      <c r="AB2702" s="7" t="n"/>
      <c r="AE2702" s="11" t="n"/>
      <c r="AG2702">
        <f>IF($C2702="","",IF(COUNTIF($C$2:$C2702,$C2702)=1,1,0))</f>
        <v/>
      </c>
      <c r="AH2702">
        <f>IF($AG2702=1,SUMPRODUCT(--($AK$2:$AK$6001&lt;$AK2702))+1,"")</f>
        <v/>
      </c>
      <c r="AI2702">
        <f>IF($C2702="","",IF(OR($N2702=TRUE(),$N2702="TRUE"),1,0))</f>
        <v/>
      </c>
      <c r="AJ2702">
        <f>IF($C2702="","",IF($T2702="Yes",1,0))</f>
        <v/>
      </c>
      <c r="AK2702">
        <f>IF($AG2702=1,IFERROR(IF(VALUE($C2702)&lt;100000000,VALUE($C2702),1000000000),IFERROR(IF(VALUE(MID($C2702,2,20))&lt;100000000,VALUE(MID($C2702,2,20)),1000000000),1000000000))+ROW()/100000,"")</f>
        <v/>
      </c>
    </row>
    <row r="2703">
      <c r="D2703" s="11" t="n"/>
      <c r="K2703" s="7">
        <f>IF($C2703="","",J2703*W2703/100)</f>
        <v/>
      </c>
      <c r="Q2703" s="7" t="n"/>
      <c r="R2703" s="7" t="n"/>
      <c r="U2703">
        <f>IF($C2703="","",IF($AJ2703=1,0,IF($AI2703=1,Settings!$C$6,Settings!$C$7))*100)</f>
        <v/>
      </c>
      <c r="V2703" s="7">
        <f>IF($C2703="","",R2703*U2703/100)</f>
        <v/>
      </c>
      <c r="W2703" s="7">
        <f>IF($C2703="","",R2703-V2703)</f>
        <v/>
      </c>
      <c r="X2703" s="7">
        <f>IF($C2703="","",W2703-K2703)</f>
        <v/>
      </c>
      <c r="AB2703" s="7" t="n"/>
      <c r="AE2703" s="11" t="n"/>
      <c r="AG2703">
        <f>IF($C2703="","",IF(COUNTIF($C$2:$C2703,$C2703)=1,1,0))</f>
        <v/>
      </c>
      <c r="AH2703">
        <f>IF($AG2703=1,SUMPRODUCT(--($AK$2:$AK$6001&lt;$AK2703))+1,"")</f>
        <v/>
      </c>
      <c r="AI2703">
        <f>IF($C2703="","",IF(OR($N2703=TRUE(),$N2703="TRUE"),1,0))</f>
        <v/>
      </c>
      <c r="AJ2703">
        <f>IF($C2703="","",IF($T2703="Yes",1,0))</f>
        <v/>
      </c>
      <c r="AK2703">
        <f>IF($AG2703=1,IFERROR(IF(VALUE($C2703)&lt;100000000,VALUE($C2703),1000000000),IFERROR(IF(VALUE(MID($C2703,2,20))&lt;100000000,VALUE(MID($C2703,2,20)),1000000000),1000000000))+ROW()/100000,"")</f>
        <v/>
      </c>
    </row>
    <row r="2704">
      <c r="D2704" s="11" t="n"/>
      <c r="K2704" s="7">
        <f>IF($C2704="","",J2704*W2704/100)</f>
        <v/>
      </c>
      <c r="Q2704" s="7" t="n"/>
      <c r="R2704" s="7" t="n"/>
      <c r="U2704">
        <f>IF($C2704="","",IF($AJ2704=1,0,IF($AI2704=1,Settings!$C$6,Settings!$C$7))*100)</f>
        <v/>
      </c>
      <c r="V2704" s="7">
        <f>IF($C2704="","",R2704*U2704/100)</f>
        <v/>
      </c>
      <c r="W2704" s="7">
        <f>IF($C2704="","",R2704-V2704)</f>
        <v/>
      </c>
      <c r="X2704" s="7">
        <f>IF($C2704="","",W2704-K2704)</f>
        <v/>
      </c>
      <c r="AB2704" s="7" t="n"/>
      <c r="AE2704" s="11" t="n"/>
      <c r="AG2704">
        <f>IF($C2704="","",IF(COUNTIF($C$2:$C2704,$C2704)=1,1,0))</f>
        <v/>
      </c>
      <c r="AH2704">
        <f>IF($AG2704=1,SUMPRODUCT(--($AK$2:$AK$6001&lt;$AK2704))+1,"")</f>
        <v/>
      </c>
      <c r="AI2704">
        <f>IF($C2704="","",IF(OR($N2704=TRUE(),$N2704="TRUE"),1,0))</f>
        <v/>
      </c>
      <c r="AJ2704">
        <f>IF($C2704="","",IF($T2704="Yes",1,0))</f>
        <v/>
      </c>
      <c r="AK2704">
        <f>IF($AG2704=1,IFERROR(IF(VALUE($C2704)&lt;100000000,VALUE($C2704),1000000000),IFERROR(IF(VALUE(MID($C2704,2,20))&lt;100000000,VALUE(MID($C2704,2,20)),1000000000),1000000000))+ROW()/100000,"")</f>
        <v/>
      </c>
    </row>
    <row r="2705">
      <c r="D2705" s="11" t="n"/>
      <c r="K2705" s="7">
        <f>IF($C2705="","",J2705*W2705/100)</f>
        <v/>
      </c>
      <c r="Q2705" s="7" t="n"/>
      <c r="R2705" s="7" t="n"/>
      <c r="U2705">
        <f>IF($C2705="","",IF($AJ2705=1,0,IF($AI2705=1,Settings!$C$6,Settings!$C$7))*100)</f>
        <v/>
      </c>
      <c r="V2705" s="7">
        <f>IF($C2705="","",R2705*U2705/100)</f>
        <v/>
      </c>
      <c r="W2705" s="7">
        <f>IF($C2705="","",R2705-V2705)</f>
        <v/>
      </c>
      <c r="X2705" s="7">
        <f>IF($C2705="","",W2705-K2705)</f>
        <v/>
      </c>
      <c r="AB2705" s="7" t="n"/>
      <c r="AE2705" s="11" t="n"/>
      <c r="AG2705">
        <f>IF($C2705="","",IF(COUNTIF($C$2:$C2705,$C2705)=1,1,0))</f>
        <v/>
      </c>
      <c r="AH2705">
        <f>IF($AG2705=1,SUMPRODUCT(--($AK$2:$AK$6001&lt;$AK2705))+1,"")</f>
        <v/>
      </c>
      <c r="AI2705">
        <f>IF($C2705="","",IF(OR($N2705=TRUE(),$N2705="TRUE"),1,0))</f>
        <v/>
      </c>
      <c r="AJ2705">
        <f>IF($C2705="","",IF($T2705="Yes",1,0))</f>
        <v/>
      </c>
      <c r="AK2705">
        <f>IF($AG2705=1,IFERROR(IF(VALUE($C2705)&lt;100000000,VALUE($C2705),1000000000),IFERROR(IF(VALUE(MID($C2705,2,20))&lt;100000000,VALUE(MID($C2705,2,20)),1000000000),1000000000))+ROW()/100000,"")</f>
        <v/>
      </c>
    </row>
    <row r="2706">
      <c r="D2706" s="11" t="n"/>
      <c r="K2706" s="7">
        <f>IF($C2706="","",J2706*W2706/100)</f>
        <v/>
      </c>
      <c r="Q2706" s="7" t="n"/>
      <c r="R2706" s="7" t="n"/>
      <c r="U2706">
        <f>IF($C2706="","",IF($AJ2706=1,0,IF($AI2706=1,Settings!$C$6,Settings!$C$7))*100)</f>
        <v/>
      </c>
      <c r="V2706" s="7">
        <f>IF($C2706="","",R2706*U2706/100)</f>
        <v/>
      </c>
      <c r="W2706" s="7">
        <f>IF($C2706="","",R2706-V2706)</f>
        <v/>
      </c>
      <c r="X2706" s="7">
        <f>IF($C2706="","",W2706-K2706)</f>
        <v/>
      </c>
      <c r="AB2706" s="7" t="n"/>
      <c r="AE2706" s="11" t="n"/>
      <c r="AG2706">
        <f>IF($C2706="","",IF(COUNTIF($C$2:$C2706,$C2706)=1,1,0))</f>
        <v/>
      </c>
      <c r="AH2706">
        <f>IF($AG2706=1,SUMPRODUCT(--($AK$2:$AK$6001&lt;$AK2706))+1,"")</f>
        <v/>
      </c>
      <c r="AI2706">
        <f>IF($C2706="","",IF(OR($N2706=TRUE(),$N2706="TRUE"),1,0))</f>
        <v/>
      </c>
      <c r="AJ2706">
        <f>IF($C2706="","",IF($T2706="Yes",1,0))</f>
        <v/>
      </c>
      <c r="AK2706">
        <f>IF($AG2706=1,IFERROR(IF(VALUE($C2706)&lt;100000000,VALUE($C2706),1000000000),IFERROR(IF(VALUE(MID($C2706,2,20))&lt;100000000,VALUE(MID($C2706,2,20)),1000000000),1000000000))+ROW()/100000,"")</f>
        <v/>
      </c>
    </row>
    <row r="2707">
      <c r="D2707" s="11" t="n"/>
      <c r="K2707" s="7">
        <f>IF($C2707="","",J2707*W2707/100)</f>
        <v/>
      </c>
      <c r="Q2707" s="7" t="n"/>
      <c r="R2707" s="7" t="n"/>
      <c r="U2707">
        <f>IF($C2707="","",IF($AJ2707=1,0,IF($AI2707=1,Settings!$C$6,Settings!$C$7))*100)</f>
        <v/>
      </c>
      <c r="V2707" s="7">
        <f>IF($C2707="","",R2707*U2707/100)</f>
        <v/>
      </c>
      <c r="W2707" s="7">
        <f>IF($C2707="","",R2707-V2707)</f>
        <v/>
      </c>
      <c r="X2707" s="7">
        <f>IF($C2707="","",W2707-K2707)</f>
        <v/>
      </c>
      <c r="AB2707" s="7" t="n"/>
      <c r="AE2707" s="11" t="n"/>
      <c r="AG2707">
        <f>IF($C2707="","",IF(COUNTIF($C$2:$C2707,$C2707)=1,1,0))</f>
        <v/>
      </c>
      <c r="AH2707">
        <f>IF($AG2707=1,SUMPRODUCT(--($AK$2:$AK$6001&lt;$AK2707))+1,"")</f>
        <v/>
      </c>
      <c r="AI2707">
        <f>IF($C2707="","",IF(OR($N2707=TRUE(),$N2707="TRUE"),1,0))</f>
        <v/>
      </c>
      <c r="AJ2707">
        <f>IF($C2707="","",IF($T2707="Yes",1,0))</f>
        <v/>
      </c>
      <c r="AK2707">
        <f>IF($AG2707=1,IFERROR(IF(VALUE($C2707)&lt;100000000,VALUE($C2707),1000000000),IFERROR(IF(VALUE(MID($C2707,2,20))&lt;100000000,VALUE(MID($C2707,2,20)),1000000000),1000000000))+ROW()/100000,"")</f>
        <v/>
      </c>
    </row>
    <row r="2708">
      <c r="D2708" s="11" t="n"/>
      <c r="K2708" s="7">
        <f>IF($C2708="","",J2708*W2708/100)</f>
        <v/>
      </c>
      <c r="Q2708" s="7" t="n"/>
      <c r="R2708" s="7" t="n"/>
      <c r="U2708">
        <f>IF($C2708="","",IF($AJ2708=1,0,IF($AI2708=1,Settings!$C$6,Settings!$C$7))*100)</f>
        <v/>
      </c>
      <c r="V2708" s="7">
        <f>IF($C2708="","",R2708*U2708/100)</f>
        <v/>
      </c>
      <c r="W2708" s="7">
        <f>IF($C2708="","",R2708-V2708)</f>
        <v/>
      </c>
      <c r="X2708" s="7">
        <f>IF($C2708="","",W2708-K2708)</f>
        <v/>
      </c>
      <c r="AB2708" s="7" t="n"/>
      <c r="AE2708" s="11" t="n"/>
      <c r="AG2708">
        <f>IF($C2708="","",IF(COUNTIF($C$2:$C2708,$C2708)=1,1,0))</f>
        <v/>
      </c>
      <c r="AH2708">
        <f>IF($AG2708=1,SUMPRODUCT(--($AK$2:$AK$6001&lt;$AK2708))+1,"")</f>
        <v/>
      </c>
      <c r="AI2708">
        <f>IF($C2708="","",IF(OR($N2708=TRUE(),$N2708="TRUE"),1,0))</f>
        <v/>
      </c>
      <c r="AJ2708">
        <f>IF($C2708="","",IF($T2708="Yes",1,0))</f>
        <v/>
      </c>
      <c r="AK2708">
        <f>IF($AG2708=1,IFERROR(IF(VALUE($C2708)&lt;100000000,VALUE($C2708),1000000000),IFERROR(IF(VALUE(MID($C2708,2,20))&lt;100000000,VALUE(MID($C2708,2,20)),1000000000),1000000000))+ROW()/100000,"")</f>
        <v/>
      </c>
    </row>
    <row r="2709">
      <c r="D2709" s="11" t="n"/>
      <c r="K2709" s="7">
        <f>IF($C2709="","",J2709*W2709/100)</f>
        <v/>
      </c>
      <c r="Q2709" s="7" t="n"/>
      <c r="R2709" s="7" t="n"/>
      <c r="U2709">
        <f>IF($C2709="","",IF($AJ2709=1,0,IF($AI2709=1,Settings!$C$6,Settings!$C$7))*100)</f>
        <v/>
      </c>
      <c r="V2709" s="7">
        <f>IF($C2709="","",R2709*U2709/100)</f>
        <v/>
      </c>
      <c r="W2709" s="7">
        <f>IF($C2709="","",R2709-V2709)</f>
        <v/>
      </c>
      <c r="X2709" s="7">
        <f>IF($C2709="","",W2709-K2709)</f>
        <v/>
      </c>
      <c r="AB2709" s="7" t="n"/>
      <c r="AE2709" s="11" t="n"/>
      <c r="AG2709">
        <f>IF($C2709="","",IF(COUNTIF($C$2:$C2709,$C2709)=1,1,0))</f>
        <v/>
      </c>
      <c r="AH2709">
        <f>IF($AG2709=1,SUMPRODUCT(--($AK$2:$AK$6001&lt;$AK2709))+1,"")</f>
        <v/>
      </c>
      <c r="AI2709">
        <f>IF($C2709="","",IF(OR($N2709=TRUE(),$N2709="TRUE"),1,0))</f>
        <v/>
      </c>
      <c r="AJ2709">
        <f>IF($C2709="","",IF($T2709="Yes",1,0))</f>
        <v/>
      </c>
      <c r="AK2709">
        <f>IF($AG2709=1,IFERROR(IF(VALUE($C2709)&lt;100000000,VALUE($C2709),1000000000),IFERROR(IF(VALUE(MID($C2709,2,20))&lt;100000000,VALUE(MID($C2709,2,20)),1000000000),1000000000))+ROW()/100000,"")</f>
        <v/>
      </c>
    </row>
    <row r="2710">
      <c r="D2710" s="11" t="n"/>
      <c r="K2710" s="7">
        <f>IF($C2710="","",J2710*W2710/100)</f>
        <v/>
      </c>
      <c r="Q2710" s="7" t="n"/>
      <c r="R2710" s="7" t="n"/>
      <c r="U2710">
        <f>IF($C2710="","",IF($AJ2710=1,0,IF($AI2710=1,Settings!$C$6,Settings!$C$7))*100)</f>
        <v/>
      </c>
      <c r="V2710" s="7">
        <f>IF($C2710="","",R2710*U2710/100)</f>
        <v/>
      </c>
      <c r="W2710" s="7">
        <f>IF($C2710="","",R2710-V2710)</f>
        <v/>
      </c>
      <c r="X2710" s="7">
        <f>IF($C2710="","",W2710-K2710)</f>
        <v/>
      </c>
      <c r="AB2710" s="7" t="n"/>
      <c r="AE2710" s="11" t="n"/>
      <c r="AG2710">
        <f>IF($C2710="","",IF(COUNTIF($C$2:$C2710,$C2710)=1,1,0))</f>
        <v/>
      </c>
      <c r="AH2710">
        <f>IF($AG2710=1,SUMPRODUCT(--($AK$2:$AK$6001&lt;$AK2710))+1,"")</f>
        <v/>
      </c>
      <c r="AI2710">
        <f>IF($C2710="","",IF(OR($N2710=TRUE(),$N2710="TRUE"),1,0))</f>
        <v/>
      </c>
      <c r="AJ2710">
        <f>IF($C2710="","",IF($T2710="Yes",1,0))</f>
        <v/>
      </c>
      <c r="AK2710">
        <f>IF($AG2710=1,IFERROR(IF(VALUE($C2710)&lt;100000000,VALUE($C2710),1000000000),IFERROR(IF(VALUE(MID($C2710,2,20))&lt;100000000,VALUE(MID($C2710,2,20)),1000000000),1000000000))+ROW()/100000,"")</f>
        <v/>
      </c>
    </row>
    <row r="2711">
      <c r="D2711" s="11" t="n"/>
      <c r="K2711" s="7">
        <f>IF($C2711="","",J2711*W2711/100)</f>
        <v/>
      </c>
      <c r="Q2711" s="7" t="n"/>
      <c r="R2711" s="7" t="n"/>
      <c r="U2711">
        <f>IF($C2711="","",IF($AJ2711=1,0,IF($AI2711=1,Settings!$C$6,Settings!$C$7))*100)</f>
        <v/>
      </c>
      <c r="V2711" s="7">
        <f>IF($C2711="","",R2711*U2711/100)</f>
        <v/>
      </c>
      <c r="W2711" s="7">
        <f>IF($C2711="","",R2711-V2711)</f>
        <v/>
      </c>
      <c r="X2711" s="7">
        <f>IF($C2711="","",W2711-K2711)</f>
        <v/>
      </c>
      <c r="AB2711" s="7" t="n"/>
      <c r="AE2711" s="11" t="n"/>
      <c r="AG2711">
        <f>IF($C2711="","",IF(COUNTIF($C$2:$C2711,$C2711)=1,1,0))</f>
        <v/>
      </c>
      <c r="AH2711">
        <f>IF($AG2711=1,SUMPRODUCT(--($AK$2:$AK$6001&lt;$AK2711))+1,"")</f>
        <v/>
      </c>
      <c r="AI2711">
        <f>IF($C2711="","",IF(OR($N2711=TRUE(),$N2711="TRUE"),1,0))</f>
        <v/>
      </c>
      <c r="AJ2711">
        <f>IF($C2711="","",IF($T2711="Yes",1,0))</f>
        <v/>
      </c>
      <c r="AK2711">
        <f>IF($AG2711=1,IFERROR(IF(VALUE($C2711)&lt;100000000,VALUE($C2711),1000000000),IFERROR(IF(VALUE(MID($C2711,2,20))&lt;100000000,VALUE(MID($C2711,2,20)),1000000000),1000000000))+ROW()/100000,"")</f>
        <v/>
      </c>
    </row>
    <row r="2712">
      <c r="D2712" s="11" t="n"/>
      <c r="K2712" s="7">
        <f>IF($C2712="","",J2712*W2712/100)</f>
        <v/>
      </c>
      <c r="Q2712" s="7" t="n"/>
      <c r="R2712" s="7" t="n"/>
      <c r="U2712">
        <f>IF($C2712="","",IF($AJ2712=1,0,IF($AI2712=1,Settings!$C$6,Settings!$C$7))*100)</f>
        <v/>
      </c>
      <c r="V2712" s="7">
        <f>IF($C2712="","",R2712*U2712/100)</f>
        <v/>
      </c>
      <c r="W2712" s="7">
        <f>IF($C2712="","",R2712-V2712)</f>
        <v/>
      </c>
      <c r="X2712" s="7">
        <f>IF($C2712="","",W2712-K2712)</f>
        <v/>
      </c>
      <c r="AB2712" s="7" t="n"/>
      <c r="AE2712" s="11" t="n"/>
      <c r="AG2712">
        <f>IF($C2712="","",IF(COUNTIF($C$2:$C2712,$C2712)=1,1,0))</f>
        <v/>
      </c>
      <c r="AH2712">
        <f>IF($AG2712=1,SUMPRODUCT(--($AK$2:$AK$6001&lt;$AK2712))+1,"")</f>
        <v/>
      </c>
      <c r="AI2712">
        <f>IF($C2712="","",IF(OR($N2712=TRUE(),$N2712="TRUE"),1,0))</f>
        <v/>
      </c>
      <c r="AJ2712">
        <f>IF($C2712="","",IF($T2712="Yes",1,0))</f>
        <v/>
      </c>
      <c r="AK2712">
        <f>IF($AG2712=1,IFERROR(IF(VALUE($C2712)&lt;100000000,VALUE($C2712),1000000000),IFERROR(IF(VALUE(MID($C2712,2,20))&lt;100000000,VALUE(MID($C2712,2,20)),1000000000),1000000000))+ROW()/100000,"")</f>
        <v/>
      </c>
    </row>
    <row r="2713">
      <c r="D2713" s="11" t="n"/>
      <c r="K2713" s="7">
        <f>IF($C2713="","",J2713*W2713/100)</f>
        <v/>
      </c>
      <c r="Q2713" s="7" t="n"/>
      <c r="R2713" s="7" t="n"/>
      <c r="U2713">
        <f>IF($C2713="","",IF($AJ2713=1,0,IF($AI2713=1,Settings!$C$6,Settings!$C$7))*100)</f>
        <v/>
      </c>
      <c r="V2713" s="7">
        <f>IF($C2713="","",R2713*U2713/100)</f>
        <v/>
      </c>
      <c r="W2713" s="7">
        <f>IF($C2713="","",R2713-V2713)</f>
        <v/>
      </c>
      <c r="X2713" s="7">
        <f>IF($C2713="","",W2713-K2713)</f>
        <v/>
      </c>
      <c r="AB2713" s="7" t="n"/>
      <c r="AE2713" s="11" t="n"/>
      <c r="AG2713">
        <f>IF($C2713="","",IF(COUNTIF($C$2:$C2713,$C2713)=1,1,0))</f>
        <v/>
      </c>
      <c r="AH2713">
        <f>IF($AG2713=1,SUMPRODUCT(--($AK$2:$AK$6001&lt;$AK2713))+1,"")</f>
        <v/>
      </c>
      <c r="AI2713">
        <f>IF($C2713="","",IF(OR($N2713=TRUE(),$N2713="TRUE"),1,0))</f>
        <v/>
      </c>
      <c r="AJ2713">
        <f>IF($C2713="","",IF($T2713="Yes",1,0))</f>
        <v/>
      </c>
      <c r="AK2713">
        <f>IF($AG2713=1,IFERROR(IF(VALUE($C2713)&lt;100000000,VALUE($C2713),1000000000),IFERROR(IF(VALUE(MID($C2713,2,20))&lt;100000000,VALUE(MID($C2713,2,20)),1000000000),1000000000))+ROW()/100000,"")</f>
        <v/>
      </c>
    </row>
    <row r="2714">
      <c r="D2714" s="11" t="n"/>
      <c r="K2714" s="7">
        <f>IF($C2714="","",J2714*W2714/100)</f>
        <v/>
      </c>
      <c r="Q2714" s="7" t="n"/>
      <c r="R2714" s="7" t="n"/>
      <c r="U2714">
        <f>IF($C2714="","",IF($AJ2714=1,0,IF($AI2714=1,Settings!$C$6,Settings!$C$7))*100)</f>
        <v/>
      </c>
      <c r="V2714" s="7">
        <f>IF($C2714="","",R2714*U2714/100)</f>
        <v/>
      </c>
      <c r="W2714" s="7">
        <f>IF($C2714="","",R2714-V2714)</f>
        <v/>
      </c>
      <c r="X2714" s="7">
        <f>IF($C2714="","",W2714-K2714)</f>
        <v/>
      </c>
      <c r="AB2714" s="7" t="n"/>
      <c r="AE2714" s="11" t="n"/>
      <c r="AG2714">
        <f>IF($C2714="","",IF(COUNTIF($C$2:$C2714,$C2714)=1,1,0))</f>
        <v/>
      </c>
      <c r="AH2714">
        <f>IF($AG2714=1,SUMPRODUCT(--($AK$2:$AK$6001&lt;$AK2714))+1,"")</f>
        <v/>
      </c>
      <c r="AI2714">
        <f>IF($C2714="","",IF(OR($N2714=TRUE(),$N2714="TRUE"),1,0))</f>
        <v/>
      </c>
      <c r="AJ2714">
        <f>IF($C2714="","",IF($T2714="Yes",1,0))</f>
        <v/>
      </c>
      <c r="AK2714">
        <f>IF($AG2714=1,IFERROR(IF(VALUE($C2714)&lt;100000000,VALUE($C2714),1000000000),IFERROR(IF(VALUE(MID($C2714,2,20))&lt;100000000,VALUE(MID($C2714,2,20)),1000000000),1000000000))+ROW()/100000,"")</f>
        <v/>
      </c>
    </row>
    <row r="2715">
      <c r="D2715" s="11" t="n"/>
      <c r="K2715" s="7">
        <f>IF($C2715="","",J2715*W2715/100)</f>
        <v/>
      </c>
      <c r="Q2715" s="7" t="n"/>
      <c r="R2715" s="7" t="n"/>
      <c r="U2715">
        <f>IF($C2715="","",IF($AJ2715=1,0,IF($AI2715=1,Settings!$C$6,Settings!$C$7))*100)</f>
        <v/>
      </c>
      <c r="V2715" s="7">
        <f>IF($C2715="","",R2715*U2715/100)</f>
        <v/>
      </c>
      <c r="W2715" s="7">
        <f>IF($C2715="","",R2715-V2715)</f>
        <v/>
      </c>
      <c r="X2715" s="7">
        <f>IF($C2715="","",W2715-K2715)</f>
        <v/>
      </c>
      <c r="AB2715" s="7" t="n"/>
      <c r="AE2715" s="11" t="n"/>
      <c r="AG2715">
        <f>IF($C2715="","",IF(COUNTIF($C$2:$C2715,$C2715)=1,1,0))</f>
        <v/>
      </c>
      <c r="AH2715">
        <f>IF($AG2715=1,SUMPRODUCT(--($AK$2:$AK$6001&lt;$AK2715))+1,"")</f>
        <v/>
      </c>
      <c r="AI2715">
        <f>IF($C2715="","",IF(OR($N2715=TRUE(),$N2715="TRUE"),1,0))</f>
        <v/>
      </c>
      <c r="AJ2715">
        <f>IF($C2715="","",IF($T2715="Yes",1,0))</f>
        <v/>
      </c>
      <c r="AK2715">
        <f>IF($AG2715=1,IFERROR(IF(VALUE($C2715)&lt;100000000,VALUE($C2715),1000000000),IFERROR(IF(VALUE(MID($C2715,2,20))&lt;100000000,VALUE(MID($C2715,2,20)),1000000000),1000000000))+ROW()/100000,"")</f>
        <v/>
      </c>
    </row>
    <row r="2716">
      <c r="D2716" s="11" t="n"/>
      <c r="K2716" s="7">
        <f>IF($C2716="","",J2716*W2716/100)</f>
        <v/>
      </c>
      <c r="Q2716" s="7" t="n"/>
      <c r="R2716" s="7" t="n"/>
      <c r="U2716">
        <f>IF($C2716="","",IF($AJ2716=1,0,IF($AI2716=1,Settings!$C$6,Settings!$C$7))*100)</f>
        <v/>
      </c>
      <c r="V2716" s="7">
        <f>IF($C2716="","",R2716*U2716/100)</f>
        <v/>
      </c>
      <c r="W2716" s="7">
        <f>IF($C2716="","",R2716-V2716)</f>
        <v/>
      </c>
      <c r="X2716" s="7">
        <f>IF($C2716="","",W2716-K2716)</f>
        <v/>
      </c>
      <c r="AB2716" s="7" t="n"/>
      <c r="AE2716" s="11" t="n"/>
      <c r="AG2716">
        <f>IF($C2716="","",IF(COUNTIF($C$2:$C2716,$C2716)=1,1,0))</f>
        <v/>
      </c>
      <c r="AH2716">
        <f>IF($AG2716=1,SUMPRODUCT(--($AK$2:$AK$6001&lt;$AK2716))+1,"")</f>
        <v/>
      </c>
      <c r="AI2716">
        <f>IF($C2716="","",IF(OR($N2716=TRUE(),$N2716="TRUE"),1,0))</f>
        <v/>
      </c>
      <c r="AJ2716">
        <f>IF($C2716="","",IF($T2716="Yes",1,0))</f>
        <v/>
      </c>
      <c r="AK2716">
        <f>IF($AG2716=1,IFERROR(IF(VALUE($C2716)&lt;100000000,VALUE($C2716),1000000000),IFERROR(IF(VALUE(MID($C2716,2,20))&lt;100000000,VALUE(MID($C2716,2,20)),1000000000),1000000000))+ROW()/100000,"")</f>
        <v/>
      </c>
    </row>
    <row r="2717">
      <c r="D2717" s="11" t="n"/>
      <c r="K2717" s="7">
        <f>IF($C2717="","",J2717*W2717/100)</f>
        <v/>
      </c>
      <c r="Q2717" s="7" t="n"/>
      <c r="R2717" s="7" t="n"/>
      <c r="U2717">
        <f>IF($C2717="","",IF($AJ2717=1,0,IF($AI2717=1,Settings!$C$6,Settings!$C$7))*100)</f>
        <v/>
      </c>
      <c r="V2717" s="7">
        <f>IF($C2717="","",R2717*U2717/100)</f>
        <v/>
      </c>
      <c r="W2717" s="7">
        <f>IF($C2717="","",R2717-V2717)</f>
        <v/>
      </c>
      <c r="X2717" s="7">
        <f>IF($C2717="","",W2717-K2717)</f>
        <v/>
      </c>
      <c r="AB2717" s="7" t="n"/>
      <c r="AE2717" s="11" t="n"/>
      <c r="AG2717">
        <f>IF($C2717="","",IF(COUNTIF($C$2:$C2717,$C2717)=1,1,0))</f>
        <v/>
      </c>
      <c r="AH2717">
        <f>IF($AG2717=1,SUMPRODUCT(--($AK$2:$AK$6001&lt;$AK2717))+1,"")</f>
        <v/>
      </c>
      <c r="AI2717">
        <f>IF($C2717="","",IF(OR($N2717=TRUE(),$N2717="TRUE"),1,0))</f>
        <v/>
      </c>
      <c r="AJ2717">
        <f>IF($C2717="","",IF($T2717="Yes",1,0))</f>
        <v/>
      </c>
      <c r="AK2717">
        <f>IF($AG2717=1,IFERROR(IF(VALUE($C2717)&lt;100000000,VALUE($C2717),1000000000),IFERROR(IF(VALUE(MID($C2717,2,20))&lt;100000000,VALUE(MID($C2717,2,20)),1000000000),1000000000))+ROW()/100000,"")</f>
        <v/>
      </c>
    </row>
    <row r="2718">
      <c r="D2718" s="11" t="n"/>
      <c r="K2718" s="7">
        <f>IF($C2718="","",J2718*W2718/100)</f>
        <v/>
      </c>
      <c r="Q2718" s="7" t="n"/>
      <c r="R2718" s="7" t="n"/>
      <c r="U2718">
        <f>IF($C2718="","",IF($AJ2718=1,0,IF($AI2718=1,Settings!$C$6,Settings!$C$7))*100)</f>
        <v/>
      </c>
      <c r="V2718" s="7">
        <f>IF($C2718="","",R2718*U2718/100)</f>
        <v/>
      </c>
      <c r="W2718" s="7">
        <f>IF($C2718="","",R2718-V2718)</f>
        <v/>
      </c>
      <c r="X2718" s="7">
        <f>IF($C2718="","",W2718-K2718)</f>
        <v/>
      </c>
      <c r="AB2718" s="7" t="n"/>
      <c r="AE2718" s="11" t="n"/>
      <c r="AG2718">
        <f>IF($C2718="","",IF(COUNTIF($C$2:$C2718,$C2718)=1,1,0))</f>
        <v/>
      </c>
      <c r="AH2718">
        <f>IF($AG2718=1,SUMPRODUCT(--($AK$2:$AK$6001&lt;$AK2718))+1,"")</f>
        <v/>
      </c>
      <c r="AI2718">
        <f>IF($C2718="","",IF(OR($N2718=TRUE(),$N2718="TRUE"),1,0))</f>
        <v/>
      </c>
      <c r="AJ2718">
        <f>IF($C2718="","",IF($T2718="Yes",1,0))</f>
        <v/>
      </c>
      <c r="AK2718">
        <f>IF($AG2718=1,IFERROR(IF(VALUE($C2718)&lt;100000000,VALUE($C2718),1000000000),IFERROR(IF(VALUE(MID($C2718,2,20))&lt;100000000,VALUE(MID($C2718,2,20)),1000000000),1000000000))+ROW()/100000,"")</f>
        <v/>
      </c>
    </row>
    <row r="2719">
      <c r="D2719" s="11" t="n"/>
      <c r="K2719" s="7">
        <f>IF($C2719="","",J2719*W2719/100)</f>
        <v/>
      </c>
      <c r="Q2719" s="7" t="n"/>
      <c r="R2719" s="7" t="n"/>
      <c r="U2719">
        <f>IF($C2719="","",IF($AJ2719=1,0,IF($AI2719=1,Settings!$C$6,Settings!$C$7))*100)</f>
        <v/>
      </c>
      <c r="V2719" s="7">
        <f>IF($C2719="","",R2719*U2719/100)</f>
        <v/>
      </c>
      <c r="W2719" s="7">
        <f>IF($C2719="","",R2719-V2719)</f>
        <v/>
      </c>
      <c r="X2719" s="7">
        <f>IF($C2719="","",W2719-K2719)</f>
        <v/>
      </c>
      <c r="AB2719" s="7" t="n"/>
      <c r="AE2719" s="11" t="n"/>
      <c r="AG2719">
        <f>IF($C2719="","",IF(COUNTIF($C$2:$C2719,$C2719)=1,1,0))</f>
        <v/>
      </c>
      <c r="AH2719">
        <f>IF($AG2719=1,SUMPRODUCT(--($AK$2:$AK$6001&lt;$AK2719))+1,"")</f>
        <v/>
      </c>
      <c r="AI2719">
        <f>IF($C2719="","",IF(OR($N2719=TRUE(),$N2719="TRUE"),1,0))</f>
        <v/>
      </c>
      <c r="AJ2719">
        <f>IF($C2719="","",IF($T2719="Yes",1,0))</f>
        <v/>
      </c>
      <c r="AK2719">
        <f>IF($AG2719=1,IFERROR(IF(VALUE($C2719)&lt;100000000,VALUE($C2719),1000000000),IFERROR(IF(VALUE(MID($C2719,2,20))&lt;100000000,VALUE(MID($C2719,2,20)),1000000000),1000000000))+ROW()/100000,"")</f>
        <v/>
      </c>
    </row>
    <row r="2720">
      <c r="D2720" s="11" t="n"/>
      <c r="K2720" s="7">
        <f>IF($C2720="","",J2720*W2720/100)</f>
        <v/>
      </c>
      <c r="Q2720" s="7" t="n"/>
      <c r="R2720" s="7" t="n"/>
      <c r="U2720">
        <f>IF($C2720="","",IF($AJ2720=1,0,IF($AI2720=1,Settings!$C$6,Settings!$C$7))*100)</f>
        <v/>
      </c>
      <c r="V2720" s="7">
        <f>IF($C2720="","",R2720*U2720/100)</f>
        <v/>
      </c>
      <c r="W2720" s="7">
        <f>IF($C2720="","",R2720-V2720)</f>
        <v/>
      </c>
      <c r="X2720" s="7">
        <f>IF($C2720="","",W2720-K2720)</f>
        <v/>
      </c>
      <c r="AB2720" s="7" t="n"/>
      <c r="AE2720" s="11" t="n"/>
      <c r="AG2720">
        <f>IF($C2720="","",IF(COUNTIF($C$2:$C2720,$C2720)=1,1,0))</f>
        <v/>
      </c>
      <c r="AH2720">
        <f>IF($AG2720=1,SUMPRODUCT(--($AK$2:$AK$6001&lt;$AK2720))+1,"")</f>
        <v/>
      </c>
      <c r="AI2720">
        <f>IF($C2720="","",IF(OR($N2720=TRUE(),$N2720="TRUE"),1,0))</f>
        <v/>
      </c>
      <c r="AJ2720">
        <f>IF($C2720="","",IF($T2720="Yes",1,0))</f>
        <v/>
      </c>
      <c r="AK2720">
        <f>IF($AG2720=1,IFERROR(IF(VALUE($C2720)&lt;100000000,VALUE($C2720),1000000000),IFERROR(IF(VALUE(MID($C2720,2,20))&lt;100000000,VALUE(MID($C2720,2,20)),1000000000),1000000000))+ROW()/100000,"")</f>
        <v/>
      </c>
    </row>
    <row r="2721">
      <c r="D2721" s="11" t="n"/>
      <c r="K2721" s="7">
        <f>IF($C2721="","",J2721*W2721/100)</f>
        <v/>
      </c>
      <c r="Q2721" s="7" t="n"/>
      <c r="R2721" s="7" t="n"/>
      <c r="U2721">
        <f>IF($C2721="","",IF($AJ2721=1,0,IF($AI2721=1,Settings!$C$6,Settings!$C$7))*100)</f>
        <v/>
      </c>
      <c r="V2721" s="7">
        <f>IF($C2721="","",R2721*U2721/100)</f>
        <v/>
      </c>
      <c r="W2721" s="7">
        <f>IF($C2721="","",R2721-V2721)</f>
        <v/>
      </c>
      <c r="X2721" s="7">
        <f>IF($C2721="","",W2721-K2721)</f>
        <v/>
      </c>
      <c r="AB2721" s="7" t="n"/>
      <c r="AE2721" s="11" t="n"/>
      <c r="AG2721">
        <f>IF($C2721="","",IF(COUNTIF($C$2:$C2721,$C2721)=1,1,0))</f>
        <v/>
      </c>
      <c r="AH2721">
        <f>IF($AG2721=1,SUMPRODUCT(--($AK$2:$AK$6001&lt;$AK2721))+1,"")</f>
        <v/>
      </c>
      <c r="AI2721">
        <f>IF($C2721="","",IF(OR($N2721=TRUE(),$N2721="TRUE"),1,0))</f>
        <v/>
      </c>
      <c r="AJ2721">
        <f>IF($C2721="","",IF($T2721="Yes",1,0))</f>
        <v/>
      </c>
      <c r="AK2721">
        <f>IF($AG2721=1,IFERROR(IF(VALUE($C2721)&lt;100000000,VALUE($C2721),1000000000),IFERROR(IF(VALUE(MID($C2721,2,20))&lt;100000000,VALUE(MID($C2721,2,20)),1000000000),1000000000))+ROW()/100000,"")</f>
        <v/>
      </c>
    </row>
    <row r="2722">
      <c r="D2722" s="11" t="n"/>
      <c r="K2722" s="7">
        <f>IF($C2722="","",J2722*W2722/100)</f>
        <v/>
      </c>
      <c r="Q2722" s="7" t="n"/>
      <c r="R2722" s="7" t="n"/>
      <c r="U2722">
        <f>IF($C2722="","",IF($AJ2722=1,0,IF($AI2722=1,Settings!$C$6,Settings!$C$7))*100)</f>
        <v/>
      </c>
      <c r="V2722" s="7">
        <f>IF($C2722="","",R2722*U2722/100)</f>
        <v/>
      </c>
      <c r="W2722" s="7">
        <f>IF($C2722="","",R2722-V2722)</f>
        <v/>
      </c>
      <c r="X2722" s="7">
        <f>IF($C2722="","",W2722-K2722)</f>
        <v/>
      </c>
      <c r="AB2722" s="7" t="n"/>
      <c r="AE2722" s="11" t="n"/>
      <c r="AG2722">
        <f>IF($C2722="","",IF(COUNTIF($C$2:$C2722,$C2722)=1,1,0))</f>
        <v/>
      </c>
      <c r="AH2722">
        <f>IF($AG2722=1,SUMPRODUCT(--($AK$2:$AK$6001&lt;$AK2722))+1,"")</f>
        <v/>
      </c>
      <c r="AI2722">
        <f>IF($C2722="","",IF(OR($N2722=TRUE(),$N2722="TRUE"),1,0))</f>
        <v/>
      </c>
      <c r="AJ2722">
        <f>IF($C2722="","",IF($T2722="Yes",1,0))</f>
        <v/>
      </c>
      <c r="AK2722">
        <f>IF($AG2722=1,IFERROR(IF(VALUE($C2722)&lt;100000000,VALUE($C2722),1000000000),IFERROR(IF(VALUE(MID($C2722,2,20))&lt;100000000,VALUE(MID($C2722,2,20)),1000000000),1000000000))+ROW()/100000,"")</f>
        <v/>
      </c>
    </row>
    <row r="2723">
      <c r="D2723" s="11" t="n"/>
      <c r="K2723" s="7">
        <f>IF($C2723="","",J2723*W2723/100)</f>
        <v/>
      </c>
      <c r="Q2723" s="7" t="n"/>
      <c r="R2723" s="7" t="n"/>
      <c r="U2723">
        <f>IF($C2723="","",IF($AJ2723=1,0,IF($AI2723=1,Settings!$C$6,Settings!$C$7))*100)</f>
        <v/>
      </c>
      <c r="V2723" s="7">
        <f>IF($C2723="","",R2723*U2723/100)</f>
        <v/>
      </c>
      <c r="W2723" s="7">
        <f>IF($C2723="","",R2723-V2723)</f>
        <v/>
      </c>
      <c r="X2723" s="7">
        <f>IF($C2723="","",W2723-K2723)</f>
        <v/>
      </c>
      <c r="AB2723" s="7" t="n"/>
      <c r="AE2723" s="11" t="n"/>
      <c r="AG2723">
        <f>IF($C2723="","",IF(COUNTIF($C$2:$C2723,$C2723)=1,1,0))</f>
        <v/>
      </c>
      <c r="AH2723">
        <f>IF($AG2723=1,SUMPRODUCT(--($AK$2:$AK$6001&lt;$AK2723))+1,"")</f>
        <v/>
      </c>
      <c r="AI2723">
        <f>IF($C2723="","",IF(OR($N2723=TRUE(),$N2723="TRUE"),1,0))</f>
        <v/>
      </c>
      <c r="AJ2723">
        <f>IF($C2723="","",IF($T2723="Yes",1,0))</f>
        <v/>
      </c>
      <c r="AK2723">
        <f>IF($AG2723=1,IFERROR(IF(VALUE($C2723)&lt;100000000,VALUE($C2723),1000000000),IFERROR(IF(VALUE(MID($C2723,2,20))&lt;100000000,VALUE(MID($C2723,2,20)),1000000000),1000000000))+ROW()/100000,"")</f>
        <v/>
      </c>
    </row>
    <row r="2724">
      <c r="D2724" s="11" t="n"/>
      <c r="K2724" s="7">
        <f>IF($C2724="","",J2724*W2724/100)</f>
        <v/>
      </c>
      <c r="Q2724" s="7" t="n"/>
      <c r="R2724" s="7" t="n"/>
      <c r="U2724">
        <f>IF($C2724="","",IF($AJ2724=1,0,IF($AI2724=1,Settings!$C$6,Settings!$C$7))*100)</f>
        <v/>
      </c>
      <c r="V2724" s="7">
        <f>IF($C2724="","",R2724*U2724/100)</f>
        <v/>
      </c>
      <c r="W2724" s="7">
        <f>IF($C2724="","",R2724-V2724)</f>
        <v/>
      </c>
      <c r="X2724" s="7">
        <f>IF($C2724="","",W2724-K2724)</f>
        <v/>
      </c>
      <c r="AB2724" s="7" t="n"/>
      <c r="AE2724" s="11" t="n"/>
      <c r="AG2724">
        <f>IF($C2724="","",IF(COUNTIF($C$2:$C2724,$C2724)=1,1,0))</f>
        <v/>
      </c>
      <c r="AH2724">
        <f>IF($AG2724=1,SUMPRODUCT(--($AK$2:$AK$6001&lt;$AK2724))+1,"")</f>
        <v/>
      </c>
      <c r="AI2724">
        <f>IF($C2724="","",IF(OR($N2724=TRUE(),$N2724="TRUE"),1,0))</f>
        <v/>
      </c>
      <c r="AJ2724">
        <f>IF($C2724="","",IF($T2724="Yes",1,0))</f>
        <v/>
      </c>
      <c r="AK2724">
        <f>IF($AG2724=1,IFERROR(IF(VALUE($C2724)&lt;100000000,VALUE($C2724),1000000000),IFERROR(IF(VALUE(MID($C2724,2,20))&lt;100000000,VALUE(MID($C2724,2,20)),1000000000),1000000000))+ROW()/100000,"")</f>
        <v/>
      </c>
    </row>
    <row r="2725">
      <c r="D2725" s="11" t="n"/>
      <c r="K2725" s="7">
        <f>IF($C2725="","",J2725*W2725/100)</f>
        <v/>
      </c>
      <c r="Q2725" s="7" t="n"/>
      <c r="R2725" s="7" t="n"/>
      <c r="U2725">
        <f>IF($C2725="","",IF($AJ2725=1,0,IF($AI2725=1,Settings!$C$6,Settings!$C$7))*100)</f>
        <v/>
      </c>
      <c r="V2725" s="7">
        <f>IF($C2725="","",R2725*U2725/100)</f>
        <v/>
      </c>
      <c r="W2725" s="7">
        <f>IF($C2725="","",R2725-V2725)</f>
        <v/>
      </c>
      <c r="X2725" s="7">
        <f>IF($C2725="","",W2725-K2725)</f>
        <v/>
      </c>
      <c r="AB2725" s="7" t="n"/>
      <c r="AE2725" s="11" t="n"/>
      <c r="AG2725">
        <f>IF($C2725="","",IF(COUNTIF($C$2:$C2725,$C2725)=1,1,0))</f>
        <v/>
      </c>
      <c r="AH2725">
        <f>IF($AG2725=1,SUMPRODUCT(--($AK$2:$AK$6001&lt;$AK2725))+1,"")</f>
        <v/>
      </c>
      <c r="AI2725">
        <f>IF($C2725="","",IF(OR($N2725=TRUE(),$N2725="TRUE"),1,0))</f>
        <v/>
      </c>
      <c r="AJ2725">
        <f>IF($C2725="","",IF($T2725="Yes",1,0))</f>
        <v/>
      </c>
      <c r="AK2725">
        <f>IF($AG2725=1,IFERROR(IF(VALUE($C2725)&lt;100000000,VALUE($C2725),1000000000),IFERROR(IF(VALUE(MID($C2725,2,20))&lt;100000000,VALUE(MID($C2725,2,20)),1000000000),1000000000))+ROW()/100000,"")</f>
        <v/>
      </c>
    </row>
    <row r="2726">
      <c r="D2726" s="11" t="n"/>
      <c r="K2726" s="7">
        <f>IF($C2726="","",J2726*W2726/100)</f>
        <v/>
      </c>
      <c r="Q2726" s="7" t="n"/>
      <c r="R2726" s="7" t="n"/>
      <c r="U2726">
        <f>IF($C2726="","",IF($AJ2726=1,0,IF($AI2726=1,Settings!$C$6,Settings!$C$7))*100)</f>
        <v/>
      </c>
      <c r="V2726" s="7">
        <f>IF($C2726="","",R2726*U2726/100)</f>
        <v/>
      </c>
      <c r="W2726" s="7">
        <f>IF($C2726="","",R2726-V2726)</f>
        <v/>
      </c>
      <c r="X2726" s="7">
        <f>IF($C2726="","",W2726-K2726)</f>
        <v/>
      </c>
      <c r="AB2726" s="7" t="n"/>
      <c r="AE2726" s="11" t="n"/>
      <c r="AG2726">
        <f>IF($C2726="","",IF(COUNTIF($C$2:$C2726,$C2726)=1,1,0))</f>
        <v/>
      </c>
      <c r="AH2726">
        <f>IF($AG2726=1,SUMPRODUCT(--($AK$2:$AK$6001&lt;$AK2726))+1,"")</f>
        <v/>
      </c>
      <c r="AI2726">
        <f>IF($C2726="","",IF(OR($N2726=TRUE(),$N2726="TRUE"),1,0))</f>
        <v/>
      </c>
      <c r="AJ2726">
        <f>IF($C2726="","",IF($T2726="Yes",1,0))</f>
        <v/>
      </c>
      <c r="AK2726">
        <f>IF($AG2726=1,IFERROR(IF(VALUE($C2726)&lt;100000000,VALUE($C2726),1000000000),IFERROR(IF(VALUE(MID($C2726,2,20))&lt;100000000,VALUE(MID($C2726,2,20)),1000000000),1000000000))+ROW()/100000,"")</f>
        <v/>
      </c>
    </row>
    <row r="2727">
      <c r="D2727" s="11" t="n"/>
      <c r="K2727" s="7">
        <f>IF($C2727="","",J2727*W2727/100)</f>
        <v/>
      </c>
      <c r="Q2727" s="7" t="n"/>
      <c r="R2727" s="7" t="n"/>
      <c r="U2727">
        <f>IF($C2727="","",IF($AJ2727=1,0,IF($AI2727=1,Settings!$C$6,Settings!$C$7))*100)</f>
        <v/>
      </c>
      <c r="V2727" s="7">
        <f>IF($C2727="","",R2727*U2727/100)</f>
        <v/>
      </c>
      <c r="W2727" s="7">
        <f>IF($C2727="","",R2727-V2727)</f>
        <v/>
      </c>
      <c r="X2727" s="7">
        <f>IF($C2727="","",W2727-K2727)</f>
        <v/>
      </c>
      <c r="AB2727" s="7" t="n"/>
      <c r="AE2727" s="11" t="n"/>
      <c r="AG2727">
        <f>IF($C2727="","",IF(COUNTIF($C$2:$C2727,$C2727)=1,1,0))</f>
        <v/>
      </c>
      <c r="AH2727">
        <f>IF($AG2727=1,SUMPRODUCT(--($AK$2:$AK$6001&lt;$AK2727))+1,"")</f>
        <v/>
      </c>
      <c r="AI2727">
        <f>IF($C2727="","",IF(OR($N2727=TRUE(),$N2727="TRUE"),1,0))</f>
        <v/>
      </c>
      <c r="AJ2727">
        <f>IF($C2727="","",IF($T2727="Yes",1,0))</f>
        <v/>
      </c>
      <c r="AK2727">
        <f>IF($AG2727=1,IFERROR(IF(VALUE($C2727)&lt;100000000,VALUE($C2727),1000000000),IFERROR(IF(VALUE(MID($C2727,2,20))&lt;100000000,VALUE(MID($C2727,2,20)),1000000000),1000000000))+ROW()/100000,"")</f>
        <v/>
      </c>
    </row>
    <row r="2728">
      <c r="D2728" s="11" t="n"/>
      <c r="K2728" s="7">
        <f>IF($C2728="","",J2728*W2728/100)</f>
        <v/>
      </c>
      <c r="Q2728" s="7" t="n"/>
      <c r="R2728" s="7" t="n"/>
      <c r="U2728">
        <f>IF($C2728="","",IF($AJ2728=1,0,IF($AI2728=1,Settings!$C$6,Settings!$C$7))*100)</f>
        <v/>
      </c>
      <c r="V2728" s="7">
        <f>IF($C2728="","",R2728*U2728/100)</f>
        <v/>
      </c>
      <c r="W2728" s="7">
        <f>IF($C2728="","",R2728-V2728)</f>
        <v/>
      </c>
      <c r="X2728" s="7">
        <f>IF($C2728="","",W2728-K2728)</f>
        <v/>
      </c>
      <c r="AB2728" s="7" t="n"/>
      <c r="AE2728" s="11" t="n"/>
      <c r="AG2728">
        <f>IF($C2728="","",IF(COUNTIF($C$2:$C2728,$C2728)=1,1,0))</f>
        <v/>
      </c>
      <c r="AH2728">
        <f>IF($AG2728=1,SUMPRODUCT(--($AK$2:$AK$6001&lt;$AK2728))+1,"")</f>
        <v/>
      </c>
      <c r="AI2728">
        <f>IF($C2728="","",IF(OR($N2728=TRUE(),$N2728="TRUE"),1,0))</f>
        <v/>
      </c>
      <c r="AJ2728">
        <f>IF($C2728="","",IF($T2728="Yes",1,0))</f>
        <v/>
      </c>
      <c r="AK2728">
        <f>IF($AG2728=1,IFERROR(IF(VALUE($C2728)&lt;100000000,VALUE($C2728),1000000000),IFERROR(IF(VALUE(MID($C2728,2,20))&lt;100000000,VALUE(MID($C2728,2,20)),1000000000),1000000000))+ROW()/100000,"")</f>
        <v/>
      </c>
    </row>
    <row r="2729">
      <c r="D2729" s="11" t="n"/>
      <c r="K2729" s="7">
        <f>IF($C2729="","",J2729*W2729/100)</f>
        <v/>
      </c>
      <c r="Q2729" s="7" t="n"/>
      <c r="R2729" s="7" t="n"/>
      <c r="U2729">
        <f>IF($C2729="","",IF($AJ2729=1,0,IF($AI2729=1,Settings!$C$6,Settings!$C$7))*100)</f>
        <v/>
      </c>
      <c r="V2729" s="7">
        <f>IF($C2729="","",R2729*U2729/100)</f>
        <v/>
      </c>
      <c r="W2729" s="7">
        <f>IF($C2729="","",R2729-V2729)</f>
        <v/>
      </c>
      <c r="X2729" s="7">
        <f>IF($C2729="","",W2729-K2729)</f>
        <v/>
      </c>
      <c r="AB2729" s="7" t="n"/>
      <c r="AE2729" s="11" t="n"/>
      <c r="AG2729">
        <f>IF($C2729="","",IF(COUNTIF($C$2:$C2729,$C2729)=1,1,0))</f>
        <v/>
      </c>
      <c r="AH2729">
        <f>IF($AG2729=1,SUMPRODUCT(--($AK$2:$AK$6001&lt;$AK2729))+1,"")</f>
        <v/>
      </c>
      <c r="AI2729">
        <f>IF($C2729="","",IF(OR($N2729=TRUE(),$N2729="TRUE"),1,0))</f>
        <v/>
      </c>
      <c r="AJ2729">
        <f>IF($C2729="","",IF($T2729="Yes",1,0))</f>
        <v/>
      </c>
      <c r="AK2729">
        <f>IF($AG2729=1,IFERROR(IF(VALUE($C2729)&lt;100000000,VALUE($C2729),1000000000),IFERROR(IF(VALUE(MID($C2729,2,20))&lt;100000000,VALUE(MID($C2729,2,20)),1000000000),1000000000))+ROW()/100000,"")</f>
        <v/>
      </c>
    </row>
    <row r="2730">
      <c r="D2730" s="11" t="n"/>
      <c r="K2730" s="7">
        <f>IF($C2730="","",J2730*W2730/100)</f>
        <v/>
      </c>
      <c r="Q2730" s="7" t="n"/>
      <c r="R2730" s="7" t="n"/>
      <c r="U2730">
        <f>IF($C2730="","",IF($AJ2730=1,0,IF($AI2730=1,Settings!$C$6,Settings!$C$7))*100)</f>
        <v/>
      </c>
      <c r="V2730" s="7">
        <f>IF($C2730="","",R2730*U2730/100)</f>
        <v/>
      </c>
      <c r="W2730" s="7">
        <f>IF($C2730="","",R2730-V2730)</f>
        <v/>
      </c>
      <c r="X2730" s="7">
        <f>IF($C2730="","",W2730-K2730)</f>
        <v/>
      </c>
      <c r="AB2730" s="7" t="n"/>
      <c r="AE2730" s="11" t="n"/>
      <c r="AG2730">
        <f>IF($C2730="","",IF(COUNTIF($C$2:$C2730,$C2730)=1,1,0))</f>
        <v/>
      </c>
      <c r="AH2730">
        <f>IF($AG2730=1,SUMPRODUCT(--($AK$2:$AK$6001&lt;$AK2730))+1,"")</f>
        <v/>
      </c>
      <c r="AI2730">
        <f>IF($C2730="","",IF(OR($N2730=TRUE(),$N2730="TRUE"),1,0))</f>
        <v/>
      </c>
      <c r="AJ2730">
        <f>IF($C2730="","",IF($T2730="Yes",1,0))</f>
        <v/>
      </c>
      <c r="AK2730">
        <f>IF($AG2730=1,IFERROR(IF(VALUE($C2730)&lt;100000000,VALUE($C2730),1000000000),IFERROR(IF(VALUE(MID($C2730,2,20))&lt;100000000,VALUE(MID($C2730,2,20)),1000000000),1000000000))+ROW()/100000,"")</f>
        <v/>
      </c>
    </row>
    <row r="2731">
      <c r="D2731" s="11" t="n"/>
      <c r="K2731" s="7">
        <f>IF($C2731="","",J2731*W2731/100)</f>
        <v/>
      </c>
      <c r="Q2731" s="7" t="n"/>
      <c r="R2731" s="7" t="n"/>
      <c r="U2731">
        <f>IF($C2731="","",IF($AJ2731=1,0,IF($AI2731=1,Settings!$C$6,Settings!$C$7))*100)</f>
        <v/>
      </c>
      <c r="V2731" s="7">
        <f>IF($C2731="","",R2731*U2731/100)</f>
        <v/>
      </c>
      <c r="W2731" s="7">
        <f>IF($C2731="","",R2731-V2731)</f>
        <v/>
      </c>
      <c r="X2731" s="7">
        <f>IF($C2731="","",W2731-K2731)</f>
        <v/>
      </c>
      <c r="AB2731" s="7" t="n"/>
      <c r="AE2731" s="11" t="n"/>
      <c r="AG2731">
        <f>IF($C2731="","",IF(COUNTIF($C$2:$C2731,$C2731)=1,1,0))</f>
        <v/>
      </c>
      <c r="AH2731">
        <f>IF($AG2731=1,SUMPRODUCT(--($AK$2:$AK$6001&lt;$AK2731))+1,"")</f>
        <v/>
      </c>
      <c r="AI2731">
        <f>IF($C2731="","",IF(OR($N2731=TRUE(),$N2731="TRUE"),1,0))</f>
        <v/>
      </c>
      <c r="AJ2731">
        <f>IF($C2731="","",IF($T2731="Yes",1,0))</f>
        <v/>
      </c>
      <c r="AK2731">
        <f>IF($AG2731=1,IFERROR(IF(VALUE($C2731)&lt;100000000,VALUE($C2731),1000000000),IFERROR(IF(VALUE(MID($C2731,2,20))&lt;100000000,VALUE(MID($C2731,2,20)),1000000000),1000000000))+ROW()/100000,"")</f>
        <v/>
      </c>
    </row>
    <row r="2732">
      <c r="D2732" s="11" t="n"/>
      <c r="K2732" s="7">
        <f>IF($C2732="","",J2732*W2732/100)</f>
        <v/>
      </c>
      <c r="Q2732" s="7" t="n"/>
      <c r="R2732" s="7" t="n"/>
      <c r="U2732">
        <f>IF($C2732="","",IF($AJ2732=1,0,IF($AI2732=1,Settings!$C$6,Settings!$C$7))*100)</f>
        <v/>
      </c>
      <c r="V2732" s="7">
        <f>IF($C2732="","",R2732*U2732/100)</f>
        <v/>
      </c>
      <c r="W2732" s="7">
        <f>IF($C2732="","",R2732-V2732)</f>
        <v/>
      </c>
      <c r="X2732" s="7">
        <f>IF($C2732="","",W2732-K2732)</f>
        <v/>
      </c>
      <c r="AB2732" s="7" t="n"/>
      <c r="AE2732" s="11" t="n"/>
      <c r="AG2732">
        <f>IF($C2732="","",IF(COUNTIF($C$2:$C2732,$C2732)=1,1,0))</f>
        <v/>
      </c>
      <c r="AH2732">
        <f>IF($AG2732=1,SUMPRODUCT(--($AK$2:$AK$6001&lt;$AK2732))+1,"")</f>
        <v/>
      </c>
      <c r="AI2732">
        <f>IF($C2732="","",IF(OR($N2732=TRUE(),$N2732="TRUE"),1,0))</f>
        <v/>
      </c>
      <c r="AJ2732">
        <f>IF($C2732="","",IF($T2732="Yes",1,0))</f>
        <v/>
      </c>
      <c r="AK2732">
        <f>IF($AG2732=1,IFERROR(IF(VALUE($C2732)&lt;100000000,VALUE($C2732),1000000000),IFERROR(IF(VALUE(MID($C2732,2,20))&lt;100000000,VALUE(MID($C2732,2,20)),1000000000),1000000000))+ROW()/100000,"")</f>
        <v/>
      </c>
    </row>
    <row r="2733">
      <c r="D2733" s="11" t="n"/>
      <c r="K2733" s="7">
        <f>IF($C2733="","",J2733*W2733/100)</f>
        <v/>
      </c>
      <c r="Q2733" s="7" t="n"/>
      <c r="R2733" s="7" t="n"/>
      <c r="U2733">
        <f>IF($C2733="","",IF($AJ2733=1,0,IF($AI2733=1,Settings!$C$6,Settings!$C$7))*100)</f>
        <v/>
      </c>
      <c r="V2733" s="7">
        <f>IF($C2733="","",R2733*U2733/100)</f>
        <v/>
      </c>
      <c r="W2733" s="7">
        <f>IF($C2733="","",R2733-V2733)</f>
        <v/>
      </c>
      <c r="X2733" s="7">
        <f>IF($C2733="","",W2733-K2733)</f>
        <v/>
      </c>
      <c r="AB2733" s="7" t="n"/>
      <c r="AE2733" s="11" t="n"/>
      <c r="AG2733">
        <f>IF($C2733="","",IF(COUNTIF($C$2:$C2733,$C2733)=1,1,0))</f>
        <v/>
      </c>
      <c r="AH2733">
        <f>IF($AG2733=1,SUMPRODUCT(--($AK$2:$AK$6001&lt;$AK2733))+1,"")</f>
        <v/>
      </c>
      <c r="AI2733">
        <f>IF($C2733="","",IF(OR($N2733=TRUE(),$N2733="TRUE"),1,0))</f>
        <v/>
      </c>
      <c r="AJ2733">
        <f>IF($C2733="","",IF($T2733="Yes",1,0))</f>
        <v/>
      </c>
      <c r="AK2733">
        <f>IF($AG2733=1,IFERROR(IF(VALUE($C2733)&lt;100000000,VALUE($C2733),1000000000),IFERROR(IF(VALUE(MID($C2733,2,20))&lt;100000000,VALUE(MID($C2733,2,20)),1000000000),1000000000))+ROW()/100000,"")</f>
        <v/>
      </c>
    </row>
    <row r="2734">
      <c r="D2734" s="11" t="n"/>
      <c r="K2734" s="7">
        <f>IF($C2734="","",J2734*W2734/100)</f>
        <v/>
      </c>
      <c r="Q2734" s="7" t="n"/>
      <c r="R2734" s="7" t="n"/>
      <c r="U2734">
        <f>IF($C2734="","",IF($AJ2734=1,0,IF($AI2734=1,Settings!$C$6,Settings!$C$7))*100)</f>
        <v/>
      </c>
      <c r="V2734" s="7">
        <f>IF($C2734="","",R2734*U2734/100)</f>
        <v/>
      </c>
      <c r="W2734" s="7">
        <f>IF($C2734="","",R2734-V2734)</f>
        <v/>
      </c>
      <c r="X2734" s="7">
        <f>IF($C2734="","",W2734-K2734)</f>
        <v/>
      </c>
      <c r="AB2734" s="7" t="n"/>
      <c r="AE2734" s="11" t="n"/>
      <c r="AG2734">
        <f>IF($C2734="","",IF(COUNTIF($C$2:$C2734,$C2734)=1,1,0))</f>
        <v/>
      </c>
      <c r="AH2734">
        <f>IF($AG2734=1,SUMPRODUCT(--($AK$2:$AK$6001&lt;$AK2734))+1,"")</f>
        <v/>
      </c>
      <c r="AI2734">
        <f>IF($C2734="","",IF(OR($N2734=TRUE(),$N2734="TRUE"),1,0))</f>
        <v/>
      </c>
      <c r="AJ2734">
        <f>IF($C2734="","",IF($T2734="Yes",1,0))</f>
        <v/>
      </c>
      <c r="AK2734">
        <f>IF($AG2734=1,IFERROR(IF(VALUE($C2734)&lt;100000000,VALUE($C2734),1000000000),IFERROR(IF(VALUE(MID($C2734,2,20))&lt;100000000,VALUE(MID($C2734,2,20)),1000000000),1000000000))+ROW()/100000,"")</f>
        <v/>
      </c>
    </row>
    <row r="2735">
      <c r="D2735" s="11" t="n"/>
      <c r="K2735" s="7">
        <f>IF($C2735="","",J2735*W2735/100)</f>
        <v/>
      </c>
      <c r="Q2735" s="7" t="n"/>
      <c r="R2735" s="7" t="n"/>
      <c r="U2735">
        <f>IF($C2735="","",IF($AJ2735=1,0,IF($AI2735=1,Settings!$C$6,Settings!$C$7))*100)</f>
        <v/>
      </c>
      <c r="V2735" s="7">
        <f>IF($C2735="","",R2735*U2735/100)</f>
        <v/>
      </c>
      <c r="W2735" s="7">
        <f>IF($C2735="","",R2735-V2735)</f>
        <v/>
      </c>
      <c r="X2735" s="7">
        <f>IF($C2735="","",W2735-K2735)</f>
        <v/>
      </c>
      <c r="AB2735" s="7" t="n"/>
      <c r="AE2735" s="11" t="n"/>
      <c r="AG2735">
        <f>IF($C2735="","",IF(COUNTIF($C$2:$C2735,$C2735)=1,1,0))</f>
        <v/>
      </c>
      <c r="AH2735">
        <f>IF($AG2735=1,SUMPRODUCT(--($AK$2:$AK$6001&lt;$AK2735))+1,"")</f>
        <v/>
      </c>
      <c r="AI2735">
        <f>IF($C2735="","",IF(OR($N2735=TRUE(),$N2735="TRUE"),1,0))</f>
        <v/>
      </c>
      <c r="AJ2735">
        <f>IF($C2735="","",IF($T2735="Yes",1,0))</f>
        <v/>
      </c>
      <c r="AK2735">
        <f>IF($AG2735=1,IFERROR(IF(VALUE($C2735)&lt;100000000,VALUE($C2735),1000000000),IFERROR(IF(VALUE(MID($C2735,2,20))&lt;100000000,VALUE(MID($C2735,2,20)),1000000000),1000000000))+ROW()/100000,"")</f>
        <v/>
      </c>
    </row>
    <row r="2736">
      <c r="D2736" s="11" t="n"/>
      <c r="K2736" s="7">
        <f>IF($C2736="","",J2736*W2736/100)</f>
        <v/>
      </c>
      <c r="Q2736" s="7" t="n"/>
      <c r="R2736" s="7" t="n"/>
      <c r="U2736">
        <f>IF($C2736="","",IF($AJ2736=1,0,IF($AI2736=1,Settings!$C$6,Settings!$C$7))*100)</f>
        <v/>
      </c>
      <c r="V2736" s="7">
        <f>IF($C2736="","",R2736*U2736/100)</f>
        <v/>
      </c>
      <c r="W2736" s="7">
        <f>IF($C2736="","",R2736-V2736)</f>
        <v/>
      </c>
      <c r="X2736" s="7">
        <f>IF($C2736="","",W2736-K2736)</f>
        <v/>
      </c>
      <c r="AB2736" s="7" t="n"/>
      <c r="AE2736" s="11" t="n"/>
      <c r="AG2736">
        <f>IF($C2736="","",IF(COUNTIF($C$2:$C2736,$C2736)=1,1,0))</f>
        <v/>
      </c>
      <c r="AH2736">
        <f>IF($AG2736=1,SUMPRODUCT(--($AK$2:$AK$6001&lt;$AK2736))+1,"")</f>
        <v/>
      </c>
      <c r="AI2736">
        <f>IF($C2736="","",IF(OR($N2736=TRUE(),$N2736="TRUE"),1,0))</f>
        <v/>
      </c>
      <c r="AJ2736">
        <f>IF($C2736="","",IF($T2736="Yes",1,0))</f>
        <v/>
      </c>
      <c r="AK2736">
        <f>IF($AG2736=1,IFERROR(IF(VALUE($C2736)&lt;100000000,VALUE($C2736),1000000000),IFERROR(IF(VALUE(MID($C2736,2,20))&lt;100000000,VALUE(MID($C2736,2,20)),1000000000),1000000000))+ROW()/100000,"")</f>
        <v/>
      </c>
    </row>
    <row r="2737">
      <c r="D2737" s="11" t="n"/>
      <c r="K2737" s="7">
        <f>IF($C2737="","",J2737*W2737/100)</f>
        <v/>
      </c>
      <c r="Q2737" s="7" t="n"/>
      <c r="R2737" s="7" t="n"/>
      <c r="U2737">
        <f>IF($C2737="","",IF($AJ2737=1,0,IF($AI2737=1,Settings!$C$6,Settings!$C$7))*100)</f>
        <v/>
      </c>
      <c r="V2737" s="7">
        <f>IF($C2737="","",R2737*U2737/100)</f>
        <v/>
      </c>
      <c r="W2737" s="7">
        <f>IF($C2737="","",R2737-V2737)</f>
        <v/>
      </c>
      <c r="X2737" s="7">
        <f>IF($C2737="","",W2737-K2737)</f>
        <v/>
      </c>
      <c r="AB2737" s="7" t="n"/>
      <c r="AE2737" s="11" t="n"/>
      <c r="AG2737">
        <f>IF($C2737="","",IF(COUNTIF($C$2:$C2737,$C2737)=1,1,0))</f>
        <v/>
      </c>
      <c r="AH2737">
        <f>IF($AG2737=1,SUMPRODUCT(--($AK$2:$AK$6001&lt;$AK2737))+1,"")</f>
        <v/>
      </c>
      <c r="AI2737">
        <f>IF($C2737="","",IF(OR($N2737=TRUE(),$N2737="TRUE"),1,0))</f>
        <v/>
      </c>
      <c r="AJ2737">
        <f>IF($C2737="","",IF($T2737="Yes",1,0))</f>
        <v/>
      </c>
      <c r="AK2737">
        <f>IF($AG2737=1,IFERROR(IF(VALUE($C2737)&lt;100000000,VALUE($C2737),1000000000),IFERROR(IF(VALUE(MID($C2737,2,20))&lt;100000000,VALUE(MID($C2737,2,20)),1000000000),1000000000))+ROW()/100000,"")</f>
        <v/>
      </c>
    </row>
    <row r="2738">
      <c r="D2738" s="11" t="n"/>
      <c r="K2738" s="7">
        <f>IF($C2738="","",J2738*W2738/100)</f>
        <v/>
      </c>
      <c r="Q2738" s="7" t="n"/>
      <c r="R2738" s="7" t="n"/>
      <c r="U2738">
        <f>IF($C2738="","",IF($AJ2738=1,0,IF($AI2738=1,Settings!$C$6,Settings!$C$7))*100)</f>
        <v/>
      </c>
      <c r="V2738" s="7">
        <f>IF($C2738="","",R2738*U2738/100)</f>
        <v/>
      </c>
      <c r="W2738" s="7">
        <f>IF($C2738="","",R2738-V2738)</f>
        <v/>
      </c>
      <c r="X2738" s="7">
        <f>IF($C2738="","",W2738-K2738)</f>
        <v/>
      </c>
      <c r="AB2738" s="7" t="n"/>
      <c r="AE2738" s="11" t="n"/>
      <c r="AG2738">
        <f>IF($C2738="","",IF(COUNTIF($C$2:$C2738,$C2738)=1,1,0))</f>
        <v/>
      </c>
      <c r="AH2738">
        <f>IF($AG2738=1,SUMPRODUCT(--($AK$2:$AK$6001&lt;$AK2738))+1,"")</f>
        <v/>
      </c>
      <c r="AI2738">
        <f>IF($C2738="","",IF(OR($N2738=TRUE(),$N2738="TRUE"),1,0))</f>
        <v/>
      </c>
      <c r="AJ2738">
        <f>IF($C2738="","",IF($T2738="Yes",1,0))</f>
        <v/>
      </c>
      <c r="AK2738">
        <f>IF($AG2738=1,IFERROR(IF(VALUE($C2738)&lt;100000000,VALUE($C2738),1000000000),IFERROR(IF(VALUE(MID($C2738,2,20))&lt;100000000,VALUE(MID($C2738,2,20)),1000000000),1000000000))+ROW()/100000,"")</f>
        <v/>
      </c>
    </row>
    <row r="2739">
      <c r="D2739" s="11" t="n"/>
      <c r="K2739" s="7">
        <f>IF($C2739="","",J2739*W2739/100)</f>
        <v/>
      </c>
      <c r="Q2739" s="7" t="n"/>
      <c r="R2739" s="7" t="n"/>
      <c r="U2739">
        <f>IF($C2739="","",IF($AJ2739=1,0,IF($AI2739=1,Settings!$C$6,Settings!$C$7))*100)</f>
        <v/>
      </c>
      <c r="V2739" s="7">
        <f>IF($C2739="","",R2739*U2739/100)</f>
        <v/>
      </c>
      <c r="W2739" s="7">
        <f>IF($C2739="","",R2739-V2739)</f>
        <v/>
      </c>
      <c r="X2739" s="7">
        <f>IF($C2739="","",W2739-K2739)</f>
        <v/>
      </c>
      <c r="AB2739" s="7" t="n"/>
      <c r="AE2739" s="11" t="n"/>
      <c r="AG2739">
        <f>IF($C2739="","",IF(COUNTIF($C$2:$C2739,$C2739)=1,1,0))</f>
        <v/>
      </c>
      <c r="AH2739">
        <f>IF($AG2739=1,SUMPRODUCT(--($AK$2:$AK$6001&lt;$AK2739))+1,"")</f>
        <v/>
      </c>
      <c r="AI2739">
        <f>IF($C2739="","",IF(OR($N2739=TRUE(),$N2739="TRUE"),1,0))</f>
        <v/>
      </c>
      <c r="AJ2739">
        <f>IF($C2739="","",IF($T2739="Yes",1,0))</f>
        <v/>
      </c>
      <c r="AK2739">
        <f>IF($AG2739=1,IFERROR(IF(VALUE($C2739)&lt;100000000,VALUE($C2739),1000000000),IFERROR(IF(VALUE(MID($C2739,2,20))&lt;100000000,VALUE(MID($C2739,2,20)),1000000000),1000000000))+ROW()/100000,"")</f>
        <v/>
      </c>
    </row>
    <row r="2740">
      <c r="D2740" s="11" t="n"/>
      <c r="K2740" s="7">
        <f>IF($C2740="","",J2740*W2740/100)</f>
        <v/>
      </c>
      <c r="Q2740" s="7" t="n"/>
      <c r="R2740" s="7" t="n"/>
      <c r="U2740">
        <f>IF($C2740="","",IF($AJ2740=1,0,IF($AI2740=1,Settings!$C$6,Settings!$C$7))*100)</f>
        <v/>
      </c>
      <c r="V2740" s="7">
        <f>IF($C2740="","",R2740*U2740/100)</f>
        <v/>
      </c>
      <c r="W2740" s="7">
        <f>IF($C2740="","",R2740-V2740)</f>
        <v/>
      </c>
      <c r="X2740" s="7">
        <f>IF($C2740="","",W2740-K2740)</f>
        <v/>
      </c>
      <c r="AB2740" s="7" t="n"/>
      <c r="AE2740" s="11" t="n"/>
      <c r="AG2740">
        <f>IF($C2740="","",IF(COUNTIF($C$2:$C2740,$C2740)=1,1,0))</f>
        <v/>
      </c>
      <c r="AH2740">
        <f>IF($AG2740=1,SUMPRODUCT(--($AK$2:$AK$6001&lt;$AK2740))+1,"")</f>
        <v/>
      </c>
      <c r="AI2740">
        <f>IF($C2740="","",IF(OR($N2740=TRUE(),$N2740="TRUE"),1,0))</f>
        <v/>
      </c>
      <c r="AJ2740">
        <f>IF($C2740="","",IF($T2740="Yes",1,0))</f>
        <v/>
      </c>
      <c r="AK2740">
        <f>IF($AG2740=1,IFERROR(IF(VALUE($C2740)&lt;100000000,VALUE($C2740),1000000000),IFERROR(IF(VALUE(MID($C2740,2,20))&lt;100000000,VALUE(MID($C2740,2,20)),1000000000),1000000000))+ROW()/100000,"")</f>
        <v/>
      </c>
    </row>
    <row r="2741">
      <c r="D2741" s="11" t="n"/>
      <c r="K2741" s="7">
        <f>IF($C2741="","",J2741*W2741/100)</f>
        <v/>
      </c>
      <c r="Q2741" s="7" t="n"/>
      <c r="R2741" s="7" t="n"/>
      <c r="U2741">
        <f>IF($C2741="","",IF($AJ2741=1,0,IF($AI2741=1,Settings!$C$6,Settings!$C$7))*100)</f>
        <v/>
      </c>
      <c r="V2741" s="7">
        <f>IF($C2741="","",R2741*U2741/100)</f>
        <v/>
      </c>
      <c r="W2741" s="7">
        <f>IF($C2741="","",R2741-V2741)</f>
        <v/>
      </c>
      <c r="X2741" s="7">
        <f>IF($C2741="","",W2741-K2741)</f>
        <v/>
      </c>
      <c r="AB2741" s="7" t="n"/>
      <c r="AE2741" s="11" t="n"/>
      <c r="AG2741">
        <f>IF($C2741="","",IF(COUNTIF($C$2:$C2741,$C2741)=1,1,0))</f>
        <v/>
      </c>
      <c r="AH2741">
        <f>IF($AG2741=1,SUMPRODUCT(--($AK$2:$AK$6001&lt;$AK2741))+1,"")</f>
        <v/>
      </c>
      <c r="AI2741">
        <f>IF($C2741="","",IF(OR($N2741=TRUE(),$N2741="TRUE"),1,0))</f>
        <v/>
      </c>
      <c r="AJ2741">
        <f>IF($C2741="","",IF($T2741="Yes",1,0))</f>
        <v/>
      </c>
      <c r="AK2741">
        <f>IF($AG2741=1,IFERROR(IF(VALUE($C2741)&lt;100000000,VALUE($C2741),1000000000),IFERROR(IF(VALUE(MID($C2741,2,20))&lt;100000000,VALUE(MID($C2741,2,20)),1000000000),1000000000))+ROW()/100000,"")</f>
        <v/>
      </c>
    </row>
    <row r="2742">
      <c r="D2742" s="11" t="n"/>
      <c r="K2742" s="7">
        <f>IF($C2742="","",J2742*W2742/100)</f>
        <v/>
      </c>
      <c r="Q2742" s="7" t="n"/>
      <c r="R2742" s="7" t="n"/>
      <c r="U2742">
        <f>IF($C2742="","",IF($AJ2742=1,0,IF($AI2742=1,Settings!$C$6,Settings!$C$7))*100)</f>
        <v/>
      </c>
      <c r="V2742" s="7">
        <f>IF($C2742="","",R2742*U2742/100)</f>
        <v/>
      </c>
      <c r="W2742" s="7">
        <f>IF($C2742="","",R2742-V2742)</f>
        <v/>
      </c>
      <c r="X2742" s="7">
        <f>IF($C2742="","",W2742-K2742)</f>
        <v/>
      </c>
      <c r="AB2742" s="7" t="n"/>
      <c r="AE2742" s="11" t="n"/>
      <c r="AG2742">
        <f>IF($C2742="","",IF(COUNTIF($C$2:$C2742,$C2742)=1,1,0))</f>
        <v/>
      </c>
      <c r="AH2742">
        <f>IF($AG2742=1,SUMPRODUCT(--($AK$2:$AK$6001&lt;$AK2742))+1,"")</f>
        <v/>
      </c>
      <c r="AI2742">
        <f>IF($C2742="","",IF(OR($N2742=TRUE(),$N2742="TRUE"),1,0))</f>
        <v/>
      </c>
      <c r="AJ2742">
        <f>IF($C2742="","",IF($T2742="Yes",1,0))</f>
        <v/>
      </c>
      <c r="AK2742">
        <f>IF($AG2742=1,IFERROR(IF(VALUE($C2742)&lt;100000000,VALUE($C2742),1000000000),IFERROR(IF(VALUE(MID($C2742,2,20))&lt;100000000,VALUE(MID($C2742,2,20)),1000000000),1000000000))+ROW()/100000,"")</f>
        <v/>
      </c>
    </row>
    <row r="2743">
      <c r="D2743" s="11" t="n"/>
      <c r="K2743" s="7">
        <f>IF($C2743="","",J2743*W2743/100)</f>
        <v/>
      </c>
      <c r="Q2743" s="7" t="n"/>
      <c r="R2743" s="7" t="n"/>
      <c r="U2743">
        <f>IF($C2743="","",IF($AJ2743=1,0,IF($AI2743=1,Settings!$C$6,Settings!$C$7))*100)</f>
        <v/>
      </c>
      <c r="V2743" s="7">
        <f>IF($C2743="","",R2743*U2743/100)</f>
        <v/>
      </c>
      <c r="W2743" s="7">
        <f>IF($C2743="","",R2743-V2743)</f>
        <v/>
      </c>
      <c r="X2743" s="7">
        <f>IF($C2743="","",W2743-K2743)</f>
        <v/>
      </c>
      <c r="AB2743" s="7" t="n"/>
      <c r="AE2743" s="11" t="n"/>
      <c r="AG2743">
        <f>IF($C2743="","",IF(COUNTIF($C$2:$C2743,$C2743)=1,1,0))</f>
        <v/>
      </c>
      <c r="AH2743">
        <f>IF($AG2743=1,SUMPRODUCT(--($AK$2:$AK$6001&lt;$AK2743))+1,"")</f>
        <v/>
      </c>
      <c r="AI2743">
        <f>IF($C2743="","",IF(OR($N2743=TRUE(),$N2743="TRUE"),1,0))</f>
        <v/>
      </c>
      <c r="AJ2743">
        <f>IF($C2743="","",IF($T2743="Yes",1,0))</f>
        <v/>
      </c>
      <c r="AK2743">
        <f>IF($AG2743=1,IFERROR(IF(VALUE($C2743)&lt;100000000,VALUE($C2743),1000000000),IFERROR(IF(VALUE(MID($C2743,2,20))&lt;100000000,VALUE(MID($C2743,2,20)),1000000000),1000000000))+ROW()/100000,"")</f>
        <v/>
      </c>
    </row>
    <row r="2744">
      <c r="D2744" s="11" t="n"/>
      <c r="K2744" s="7">
        <f>IF($C2744="","",J2744*W2744/100)</f>
        <v/>
      </c>
      <c r="Q2744" s="7" t="n"/>
      <c r="R2744" s="7" t="n"/>
      <c r="U2744">
        <f>IF($C2744="","",IF($AJ2744=1,0,IF($AI2744=1,Settings!$C$6,Settings!$C$7))*100)</f>
        <v/>
      </c>
      <c r="V2744" s="7">
        <f>IF($C2744="","",R2744*U2744/100)</f>
        <v/>
      </c>
      <c r="W2744" s="7">
        <f>IF($C2744="","",R2744-V2744)</f>
        <v/>
      </c>
      <c r="X2744" s="7">
        <f>IF($C2744="","",W2744-K2744)</f>
        <v/>
      </c>
      <c r="AB2744" s="7" t="n"/>
      <c r="AE2744" s="11" t="n"/>
      <c r="AG2744">
        <f>IF($C2744="","",IF(COUNTIF($C$2:$C2744,$C2744)=1,1,0))</f>
        <v/>
      </c>
      <c r="AH2744">
        <f>IF($AG2744=1,SUMPRODUCT(--($AK$2:$AK$6001&lt;$AK2744))+1,"")</f>
        <v/>
      </c>
      <c r="AI2744">
        <f>IF($C2744="","",IF(OR($N2744=TRUE(),$N2744="TRUE"),1,0))</f>
        <v/>
      </c>
      <c r="AJ2744">
        <f>IF($C2744="","",IF($T2744="Yes",1,0))</f>
        <v/>
      </c>
      <c r="AK2744">
        <f>IF($AG2744=1,IFERROR(IF(VALUE($C2744)&lt;100000000,VALUE($C2744),1000000000),IFERROR(IF(VALUE(MID($C2744,2,20))&lt;100000000,VALUE(MID($C2744,2,20)),1000000000),1000000000))+ROW()/100000,"")</f>
        <v/>
      </c>
    </row>
    <row r="2745">
      <c r="D2745" s="11" t="n"/>
      <c r="K2745" s="7">
        <f>IF($C2745="","",J2745*W2745/100)</f>
        <v/>
      </c>
      <c r="Q2745" s="7" t="n"/>
      <c r="R2745" s="7" t="n"/>
      <c r="U2745">
        <f>IF($C2745="","",IF($AJ2745=1,0,IF($AI2745=1,Settings!$C$6,Settings!$C$7))*100)</f>
        <v/>
      </c>
      <c r="V2745" s="7">
        <f>IF($C2745="","",R2745*U2745/100)</f>
        <v/>
      </c>
      <c r="W2745" s="7">
        <f>IF($C2745="","",R2745-V2745)</f>
        <v/>
      </c>
      <c r="X2745" s="7">
        <f>IF($C2745="","",W2745-K2745)</f>
        <v/>
      </c>
      <c r="AB2745" s="7" t="n"/>
      <c r="AE2745" s="11" t="n"/>
      <c r="AG2745">
        <f>IF($C2745="","",IF(COUNTIF($C$2:$C2745,$C2745)=1,1,0))</f>
        <v/>
      </c>
      <c r="AH2745">
        <f>IF($AG2745=1,SUMPRODUCT(--($AK$2:$AK$6001&lt;$AK2745))+1,"")</f>
        <v/>
      </c>
      <c r="AI2745">
        <f>IF($C2745="","",IF(OR($N2745=TRUE(),$N2745="TRUE"),1,0))</f>
        <v/>
      </c>
      <c r="AJ2745">
        <f>IF($C2745="","",IF($T2745="Yes",1,0))</f>
        <v/>
      </c>
      <c r="AK2745">
        <f>IF($AG2745=1,IFERROR(IF(VALUE($C2745)&lt;100000000,VALUE($C2745),1000000000),IFERROR(IF(VALUE(MID($C2745,2,20))&lt;100000000,VALUE(MID($C2745,2,20)),1000000000),1000000000))+ROW()/100000,"")</f>
        <v/>
      </c>
    </row>
    <row r="2746">
      <c r="D2746" s="11" t="n"/>
      <c r="K2746" s="7">
        <f>IF($C2746="","",J2746*W2746/100)</f>
        <v/>
      </c>
      <c r="Q2746" s="7" t="n"/>
      <c r="R2746" s="7" t="n"/>
      <c r="U2746">
        <f>IF($C2746="","",IF($AJ2746=1,0,IF($AI2746=1,Settings!$C$6,Settings!$C$7))*100)</f>
        <v/>
      </c>
      <c r="V2746" s="7">
        <f>IF($C2746="","",R2746*U2746/100)</f>
        <v/>
      </c>
      <c r="W2746" s="7">
        <f>IF($C2746="","",R2746-V2746)</f>
        <v/>
      </c>
      <c r="X2746" s="7">
        <f>IF($C2746="","",W2746-K2746)</f>
        <v/>
      </c>
      <c r="AB2746" s="7" t="n"/>
      <c r="AE2746" s="11" t="n"/>
      <c r="AG2746">
        <f>IF($C2746="","",IF(COUNTIF($C$2:$C2746,$C2746)=1,1,0))</f>
        <v/>
      </c>
      <c r="AH2746">
        <f>IF($AG2746=1,SUMPRODUCT(--($AK$2:$AK$6001&lt;$AK2746))+1,"")</f>
        <v/>
      </c>
      <c r="AI2746">
        <f>IF($C2746="","",IF(OR($N2746=TRUE(),$N2746="TRUE"),1,0))</f>
        <v/>
      </c>
      <c r="AJ2746">
        <f>IF($C2746="","",IF($T2746="Yes",1,0))</f>
        <v/>
      </c>
      <c r="AK2746">
        <f>IF($AG2746=1,IFERROR(IF(VALUE($C2746)&lt;100000000,VALUE($C2746),1000000000),IFERROR(IF(VALUE(MID($C2746,2,20))&lt;100000000,VALUE(MID($C2746,2,20)),1000000000),1000000000))+ROW()/100000,"")</f>
        <v/>
      </c>
    </row>
    <row r="2747">
      <c r="D2747" s="11" t="n"/>
      <c r="K2747" s="7">
        <f>IF($C2747="","",J2747*W2747/100)</f>
        <v/>
      </c>
      <c r="Q2747" s="7" t="n"/>
      <c r="R2747" s="7" t="n"/>
      <c r="U2747">
        <f>IF($C2747="","",IF($AJ2747=1,0,IF($AI2747=1,Settings!$C$6,Settings!$C$7))*100)</f>
        <v/>
      </c>
      <c r="V2747" s="7">
        <f>IF($C2747="","",R2747*U2747/100)</f>
        <v/>
      </c>
      <c r="W2747" s="7">
        <f>IF($C2747="","",R2747-V2747)</f>
        <v/>
      </c>
      <c r="X2747" s="7">
        <f>IF($C2747="","",W2747-K2747)</f>
        <v/>
      </c>
      <c r="AB2747" s="7" t="n"/>
      <c r="AE2747" s="11" t="n"/>
      <c r="AG2747">
        <f>IF($C2747="","",IF(COUNTIF($C$2:$C2747,$C2747)=1,1,0))</f>
        <v/>
      </c>
      <c r="AH2747">
        <f>IF($AG2747=1,SUMPRODUCT(--($AK$2:$AK$6001&lt;$AK2747))+1,"")</f>
        <v/>
      </c>
      <c r="AI2747">
        <f>IF($C2747="","",IF(OR($N2747=TRUE(),$N2747="TRUE"),1,0))</f>
        <v/>
      </c>
      <c r="AJ2747">
        <f>IF($C2747="","",IF($T2747="Yes",1,0))</f>
        <v/>
      </c>
      <c r="AK2747">
        <f>IF($AG2747=1,IFERROR(IF(VALUE($C2747)&lt;100000000,VALUE($C2747),1000000000),IFERROR(IF(VALUE(MID($C2747,2,20))&lt;100000000,VALUE(MID($C2747,2,20)),1000000000),1000000000))+ROW()/100000,"")</f>
        <v/>
      </c>
    </row>
    <row r="2748">
      <c r="D2748" s="11" t="n"/>
      <c r="K2748" s="7">
        <f>IF($C2748="","",J2748*W2748/100)</f>
        <v/>
      </c>
      <c r="Q2748" s="7" t="n"/>
      <c r="R2748" s="7" t="n"/>
      <c r="U2748">
        <f>IF($C2748="","",IF($AJ2748=1,0,IF($AI2748=1,Settings!$C$6,Settings!$C$7))*100)</f>
        <v/>
      </c>
      <c r="V2748" s="7">
        <f>IF($C2748="","",R2748*U2748/100)</f>
        <v/>
      </c>
      <c r="W2748" s="7">
        <f>IF($C2748="","",R2748-V2748)</f>
        <v/>
      </c>
      <c r="X2748" s="7">
        <f>IF($C2748="","",W2748-K2748)</f>
        <v/>
      </c>
      <c r="AB2748" s="7" t="n"/>
      <c r="AE2748" s="11" t="n"/>
      <c r="AG2748">
        <f>IF($C2748="","",IF(COUNTIF($C$2:$C2748,$C2748)=1,1,0))</f>
        <v/>
      </c>
      <c r="AH2748">
        <f>IF($AG2748=1,SUMPRODUCT(--($AK$2:$AK$6001&lt;$AK2748))+1,"")</f>
        <v/>
      </c>
      <c r="AI2748">
        <f>IF($C2748="","",IF(OR($N2748=TRUE(),$N2748="TRUE"),1,0))</f>
        <v/>
      </c>
      <c r="AJ2748">
        <f>IF($C2748="","",IF($T2748="Yes",1,0))</f>
        <v/>
      </c>
      <c r="AK2748">
        <f>IF($AG2748=1,IFERROR(IF(VALUE($C2748)&lt;100000000,VALUE($C2748),1000000000),IFERROR(IF(VALUE(MID($C2748,2,20))&lt;100000000,VALUE(MID($C2748,2,20)),1000000000),1000000000))+ROW()/100000,"")</f>
        <v/>
      </c>
    </row>
    <row r="2749">
      <c r="D2749" s="11" t="n"/>
      <c r="K2749" s="7">
        <f>IF($C2749="","",J2749*W2749/100)</f>
        <v/>
      </c>
      <c r="Q2749" s="7" t="n"/>
      <c r="R2749" s="7" t="n"/>
      <c r="U2749">
        <f>IF($C2749="","",IF($AJ2749=1,0,IF($AI2749=1,Settings!$C$6,Settings!$C$7))*100)</f>
        <v/>
      </c>
      <c r="V2749" s="7">
        <f>IF($C2749="","",R2749*U2749/100)</f>
        <v/>
      </c>
      <c r="W2749" s="7">
        <f>IF($C2749="","",R2749-V2749)</f>
        <v/>
      </c>
      <c r="X2749" s="7">
        <f>IF($C2749="","",W2749-K2749)</f>
        <v/>
      </c>
      <c r="AB2749" s="7" t="n"/>
      <c r="AE2749" s="11" t="n"/>
      <c r="AG2749">
        <f>IF($C2749="","",IF(COUNTIF($C$2:$C2749,$C2749)=1,1,0))</f>
        <v/>
      </c>
      <c r="AH2749">
        <f>IF($AG2749=1,SUMPRODUCT(--($AK$2:$AK$6001&lt;$AK2749))+1,"")</f>
        <v/>
      </c>
      <c r="AI2749">
        <f>IF($C2749="","",IF(OR($N2749=TRUE(),$N2749="TRUE"),1,0))</f>
        <v/>
      </c>
      <c r="AJ2749">
        <f>IF($C2749="","",IF($T2749="Yes",1,0))</f>
        <v/>
      </c>
      <c r="AK2749">
        <f>IF($AG2749=1,IFERROR(IF(VALUE($C2749)&lt;100000000,VALUE($C2749),1000000000),IFERROR(IF(VALUE(MID($C2749,2,20))&lt;100000000,VALUE(MID($C2749,2,20)),1000000000),1000000000))+ROW()/100000,"")</f>
        <v/>
      </c>
    </row>
    <row r="2750">
      <c r="D2750" s="11" t="n"/>
      <c r="K2750" s="7">
        <f>IF($C2750="","",J2750*W2750/100)</f>
        <v/>
      </c>
      <c r="Q2750" s="7" t="n"/>
      <c r="R2750" s="7" t="n"/>
      <c r="U2750">
        <f>IF($C2750="","",IF($AJ2750=1,0,IF($AI2750=1,Settings!$C$6,Settings!$C$7))*100)</f>
        <v/>
      </c>
      <c r="V2750" s="7">
        <f>IF($C2750="","",R2750*U2750/100)</f>
        <v/>
      </c>
      <c r="W2750" s="7">
        <f>IF($C2750="","",R2750-V2750)</f>
        <v/>
      </c>
      <c r="X2750" s="7">
        <f>IF($C2750="","",W2750-K2750)</f>
        <v/>
      </c>
      <c r="AB2750" s="7" t="n"/>
      <c r="AE2750" s="11" t="n"/>
      <c r="AG2750">
        <f>IF($C2750="","",IF(COUNTIF($C$2:$C2750,$C2750)=1,1,0))</f>
        <v/>
      </c>
      <c r="AH2750">
        <f>IF($AG2750=1,SUMPRODUCT(--($AK$2:$AK$6001&lt;$AK2750))+1,"")</f>
        <v/>
      </c>
      <c r="AI2750">
        <f>IF($C2750="","",IF(OR($N2750=TRUE(),$N2750="TRUE"),1,0))</f>
        <v/>
      </c>
      <c r="AJ2750">
        <f>IF($C2750="","",IF($T2750="Yes",1,0))</f>
        <v/>
      </c>
      <c r="AK2750">
        <f>IF($AG2750=1,IFERROR(IF(VALUE($C2750)&lt;100000000,VALUE($C2750),1000000000),IFERROR(IF(VALUE(MID($C2750,2,20))&lt;100000000,VALUE(MID($C2750,2,20)),1000000000),1000000000))+ROW()/100000,"")</f>
        <v/>
      </c>
    </row>
    <row r="2751">
      <c r="D2751" s="11" t="n"/>
      <c r="K2751" s="7">
        <f>IF($C2751="","",J2751*W2751/100)</f>
        <v/>
      </c>
      <c r="Q2751" s="7" t="n"/>
      <c r="R2751" s="7" t="n"/>
      <c r="U2751">
        <f>IF($C2751="","",IF($AJ2751=1,0,IF($AI2751=1,Settings!$C$6,Settings!$C$7))*100)</f>
        <v/>
      </c>
      <c r="V2751" s="7">
        <f>IF($C2751="","",R2751*U2751/100)</f>
        <v/>
      </c>
      <c r="W2751" s="7">
        <f>IF($C2751="","",R2751-V2751)</f>
        <v/>
      </c>
      <c r="X2751" s="7">
        <f>IF($C2751="","",W2751-K2751)</f>
        <v/>
      </c>
      <c r="AB2751" s="7" t="n"/>
      <c r="AE2751" s="11" t="n"/>
      <c r="AG2751">
        <f>IF($C2751="","",IF(COUNTIF($C$2:$C2751,$C2751)=1,1,0))</f>
        <v/>
      </c>
      <c r="AH2751">
        <f>IF($AG2751=1,SUMPRODUCT(--($AK$2:$AK$6001&lt;$AK2751))+1,"")</f>
        <v/>
      </c>
      <c r="AI2751">
        <f>IF($C2751="","",IF(OR($N2751=TRUE(),$N2751="TRUE"),1,0))</f>
        <v/>
      </c>
      <c r="AJ2751">
        <f>IF($C2751="","",IF($T2751="Yes",1,0))</f>
        <v/>
      </c>
      <c r="AK2751">
        <f>IF($AG2751=1,IFERROR(IF(VALUE($C2751)&lt;100000000,VALUE($C2751),1000000000),IFERROR(IF(VALUE(MID($C2751,2,20))&lt;100000000,VALUE(MID($C2751,2,20)),1000000000),1000000000))+ROW()/100000,"")</f>
        <v/>
      </c>
    </row>
    <row r="2752">
      <c r="D2752" s="11" t="n"/>
      <c r="K2752" s="7">
        <f>IF($C2752="","",J2752*W2752/100)</f>
        <v/>
      </c>
      <c r="Q2752" s="7" t="n"/>
      <c r="R2752" s="7" t="n"/>
      <c r="U2752">
        <f>IF($C2752="","",IF($AJ2752=1,0,IF($AI2752=1,Settings!$C$6,Settings!$C$7))*100)</f>
        <v/>
      </c>
      <c r="V2752" s="7">
        <f>IF($C2752="","",R2752*U2752/100)</f>
        <v/>
      </c>
      <c r="W2752" s="7">
        <f>IF($C2752="","",R2752-V2752)</f>
        <v/>
      </c>
      <c r="X2752" s="7">
        <f>IF($C2752="","",W2752-K2752)</f>
        <v/>
      </c>
      <c r="AB2752" s="7" t="n"/>
      <c r="AE2752" s="11" t="n"/>
      <c r="AG2752">
        <f>IF($C2752="","",IF(COUNTIF($C$2:$C2752,$C2752)=1,1,0))</f>
        <v/>
      </c>
      <c r="AH2752">
        <f>IF($AG2752=1,SUMPRODUCT(--($AK$2:$AK$6001&lt;$AK2752))+1,"")</f>
        <v/>
      </c>
      <c r="AI2752">
        <f>IF($C2752="","",IF(OR($N2752=TRUE(),$N2752="TRUE"),1,0))</f>
        <v/>
      </c>
      <c r="AJ2752">
        <f>IF($C2752="","",IF($T2752="Yes",1,0))</f>
        <v/>
      </c>
      <c r="AK2752">
        <f>IF($AG2752=1,IFERROR(IF(VALUE($C2752)&lt;100000000,VALUE($C2752),1000000000),IFERROR(IF(VALUE(MID($C2752,2,20))&lt;100000000,VALUE(MID($C2752,2,20)),1000000000),1000000000))+ROW()/100000,"")</f>
        <v/>
      </c>
    </row>
    <row r="2753">
      <c r="D2753" s="11" t="n"/>
      <c r="K2753" s="7">
        <f>IF($C2753="","",J2753*W2753/100)</f>
        <v/>
      </c>
      <c r="Q2753" s="7" t="n"/>
      <c r="R2753" s="7" t="n"/>
      <c r="U2753">
        <f>IF($C2753="","",IF($AJ2753=1,0,IF($AI2753=1,Settings!$C$6,Settings!$C$7))*100)</f>
        <v/>
      </c>
      <c r="V2753" s="7">
        <f>IF($C2753="","",R2753*U2753/100)</f>
        <v/>
      </c>
      <c r="W2753" s="7">
        <f>IF($C2753="","",R2753-V2753)</f>
        <v/>
      </c>
      <c r="X2753" s="7">
        <f>IF($C2753="","",W2753-K2753)</f>
        <v/>
      </c>
      <c r="AB2753" s="7" t="n"/>
      <c r="AE2753" s="11" t="n"/>
      <c r="AG2753">
        <f>IF($C2753="","",IF(COUNTIF($C$2:$C2753,$C2753)=1,1,0))</f>
        <v/>
      </c>
      <c r="AH2753">
        <f>IF($AG2753=1,SUMPRODUCT(--($AK$2:$AK$6001&lt;$AK2753))+1,"")</f>
        <v/>
      </c>
      <c r="AI2753">
        <f>IF($C2753="","",IF(OR($N2753=TRUE(),$N2753="TRUE"),1,0))</f>
        <v/>
      </c>
      <c r="AJ2753">
        <f>IF($C2753="","",IF($T2753="Yes",1,0))</f>
        <v/>
      </c>
      <c r="AK2753">
        <f>IF($AG2753=1,IFERROR(IF(VALUE($C2753)&lt;100000000,VALUE($C2753),1000000000),IFERROR(IF(VALUE(MID($C2753,2,20))&lt;100000000,VALUE(MID($C2753,2,20)),1000000000),1000000000))+ROW()/100000,"")</f>
        <v/>
      </c>
    </row>
    <row r="2754">
      <c r="D2754" s="11" t="n"/>
      <c r="K2754" s="7">
        <f>IF($C2754="","",J2754*W2754/100)</f>
        <v/>
      </c>
      <c r="Q2754" s="7" t="n"/>
      <c r="R2754" s="7" t="n"/>
      <c r="U2754">
        <f>IF($C2754="","",IF($AJ2754=1,0,IF($AI2754=1,Settings!$C$6,Settings!$C$7))*100)</f>
        <v/>
      </c>
      <c r="V2754" s="7">
        <f>IF($C2754="","",R2754*U2754/100)</f>
        <v/>
      </c>
      <c r="W2754" s="7">
        <f>IF($C2754="","",R2754-V2754)</f>
        <v/>
      </c>
      <c r="X2754" s="7">
        <f>IF($C2754="","",W2754-K2754)</f>
        <v/>
      </c>
      <c r="AB2754" s="7" t="n"/>
      <c r="AE2754" s="11" t="n"/>
      <c r="AG2754">
        <f>IF($C2754="","",IF(COUNTIF($C$2:$C2754,$C2754)=1,1,0))</f>
        <v/>
      </c>
      <c r="AH2754">
        <f>IF($AG2754=1,SUMPRODUCT(--($AK$2:$AK$6001&lt;$AK2754))+1,"")</f>
        <v/>
      </c>
      <c r="AI2754">
        <f>IF($C2754="","",IF(OR($N2754=TRUE(),$N2754="TRUE"),1,0))</f>
        <v/>
      </c>
      <c r="AJ2754">
        <f>IF($C2754="","",IF($T2754="Yes",1,0))</f>
        <v/>
      </c>
      <c r="AK2754">
        <f>IF($AG2754=1,IFERROR(IF(VALUE($C2754)&lt;100000000,VALUE($C2754),1000000000),IFERROR(IF(VALUE(MID($C2754,2,20))&lt;100000000,VALUE(MID($C2754,2,20)),1000000000),1000000000))+ROW()/100000,"")</f>
        <v/>
      </c>
    </row>
    <row r="2755">
      <c r="D2755" s="11" t="n"/>
      <c r="K2755" s="7">
        <f>IF($C2755="","",J2755*W2755/100)</f>
        <v/>
      </c>
      <c r="Q2755" s="7" t="n"/>
      <c r="R2755" s="7" t="n"/>
      <c r="U2755">
        <f>IF($C2755="","",IF($AJ2755=1,0,IF($AI2755=1,Settings!$C$6,Settings!$C$7))*100)</f>
        <v/>
      </c>
      <c r="V2755" s="7">
        <f>IF($C2755="","",R2755*U2755/100)</f>
        <v/>
      </c>
      <c r="W2755" s="7">
        <f>IF($C2755="","",R2755-V2755)</f>
        <v/>
      </c>
      <c r="X2755" s="7">
        <f>IF($C2755="","",W2755-K2755)</f>
        <v/>
      </c>
      <c r="AB2755" s="7" t="n"/>
      <c r="AE2755" s="11" t="n"/>
      <c r="AG2755">
        <f>IF($C2755="","",IF(COUNTIF($C$2:$C2755,$C2755)=1,1,0))</f>
        <v/>
      </c>
      <c r="AH2755">
        <f>IF($AG2755=1,SUMPRODUCT(--($AK$2:$AK$6001&lt;$AK2755))+1,"")</f>
        <v/>
      </c>
      <c r="AI2755">
        <f>IF($C2755="","",IF(OR($N2755=TRUE(),$N2755="TRUE"),1,0))</f>
        <v/>
      </c>
      <c r="AJ2755">
        <f>IF($C2755="","",IF($T2755="Yes",1,0))</f>
        <v/>
      </c>
      <c r="AK2755">
        <f>IF($AG2755=1,IFERROR(IF(VALUE($C2755)&lt;100000000,VALUE($C2755),1000000000),IFERROR(IF(VALUE(MID($C2755,2,20))&lt;100000000,VALUE(MID($C2755,2,20)),1000000000),1000000000))+ROW()/100000,"")</f>
        <v/>
      </c>
    </row>
    <row r="2756">
      <c r="D2756" s="11" t="n"/>
      <c r="K2756" s="7">
        <f>IF($C2756="","",J2756*W2756/100)</f>
        <v/>
      </c>
      <c r="Q2756" s="7" t="n"/>
      <c r="R2756" s="7" t="n"/>
      <c r="U2756">
        <f>IF($C2756="","",IF($AJ2756=1,0,IF($AI2756=1,Settings!$C$6,Settings!$C$7))*100)</f>
        <v/>
      </c>
      <c r="V2756" s="7">
        <f>IF($C2756="","",R2756*U2756/100)</f>
        <v/>
      </c>
      <c r="W2756" s="7">
        <f>IF($C2756="","",R2756-V2756)</f>
        <v/>
      </c>
      <c r="X2756" s="7">
        <f>IF($C2756="","",W2756-K2756)</f>
        <v/>
      </c>
      <c r="AB2756" s="7" t="n"/>
      <c r="AE2756" s="11" t="n"/>
      <c r="AG2756">
        <f>IF($C2756="","",IF(COUNTIF($C$2:$C2756,$C2756)=1,1,0))</f>
        <v/>
      </c>
      <c r="AH2756">
        <f>IF($AG2756=1,SUMPRODUCT(--($AK$2:$AK$6001&lt;$AK2756))+1,"")</f>
        <v/>
      </c>
      <c r="AI2756">
        <f>IF($C2756="","",IF(OR($N2756=TRUE(),$N2756="TRUE"),1,0))</f>
        <v/>
      </c>
      <c r="AJ2756">
        <f>IF($C2756="","",IF($T2756="Yes",1,0))</f>
        <v/>
      </c>
      <c r="AK2756">
        <f>IF($AG2756=1,IFERROR(IF(VALUE($C2756)&lt;100000000,VALUE($C2756),1000000000),IFERROR(IF(VALUE(MID($C2756,2,20))&lt;100000000,VALUE(MID($C2756,2,20)),1000000000),1000000000))+ROW()/100000,"")</f>
        <v/>
      </c>
    </row>
    <row r="2757">
      <c r="D2757" s="11" t="n"/>
      <c r="K2757" s="7">
        <f>IF($C2757="","",J2757*W2757/100)</f>
        <v/>
      </c>
      <c r="Q2757" s="7" t="n"/>
      <c r="R2757" s="7" t="n"/>
      <c r="U2757">
        <f>IF($C2757="","",IF($AJ2757=1,0,IF($AI2757=1,Settings!$C$6,Settings!$C$7))*100)</f>
        <v/>
      </c>
      <c r="V2757" s="7">
        <f>IF($C2757="","",R2757*U2757/100)</f>
        <v/>
      </c>
      <c r="W2757" s="7">
        <f>IF($C2757="","",R2757-V2757)</f>
        <v/>
      </c>
      <c r="X2757" s="7">
        <f>IF($C2757="","",W2757-K2757)</f>
        <v/>
      </c>
      <c r="AB2757" s="7" t="n"/>
      <c r="AE2757" s="11" t="n"/>
      <c r="AG2757">
        <f>IF($C2757="","",IF(COUNTIF($C$2:$C2757,$C2757)=1,1,0))</f>
        <v/>
      </c>
      <c r="AH2757">
        <f>IF($AG2757=1,SUMPRODUCT(--($AK$2:$AK$6001&lt;$AK2757))+1,"")</f>
        <v/>
      </c>
      <c r="AI2757">
        <f>IF($C2757="","",IF(OR($N2757=TRUE(),$N2757="TRUE"),1,0))</f>
        <v/>
      </c>
      <c r="AJ2757">
        <f>IF($C2757="","",IF($T2757="Yes",1,0))</f>
        <v/>
      </c>
      <c r="AK2757">
        <f>IF($AG2757=1,IFERROR(IF(VALUE($C2757)&lt;100000000,VALUE($C2757),1000000000),IFERROR(IF(VALUE(MID($C2757,2,20))&lt;100000000,VALUE(MID($C2757,2,20)),1000000000),1000000000))+ROW()/100000,"")</f>
        <v/>
      </c>
    </row>
    <row r="2758">
      <c r="D2758" s="11" t="n"/>
      <c r="K2758" s="7">
        <f>IF($C2758="","",J2758*W2758/100)</f>
        <v/>
      </c>
      <c r="Q2758" s="7" t="n"/>
      <c r="R2758" s="7" t="n"/>
      <c r="U2758">
        <f>IF($C2758="","",IF($AJ2758=1,0,IF($AI2758=1,Settings!$C$6,Settings!$C$7))*100)</f>
        <v/>
      </c>
      <c r="V2758" s="7">
        <f>IF($C2758="","",R2758*U2758/100)</f>
        <v/>
      </c>
      <c r="W2758" s="7">
        <f>IF($C2758="","",R2758-V2758)</f>
        <v/>
      </c>
      <c r="X2758" s="7">
        <f>IF($C2758="","",W2758-K2758)</f>
        <v/>
      </c>
      <c r="AB2758" s="7" t="n"/>
      <c r="AE2758" s="11" t="n"/>
      <c r="AG2758">
        <f>IF($C2758="","",IF(COUNTIF($C$2:$C2758,$C2758)=1,1,0))</f>
        <v/>
      </c>
      <c r="AH2758">
        <f>IF($AG2758=1,SUMPRODUCT(--($AK$2:$AK$6001&lt;$AK2758))+1,"")</f>
        <v/>
      </c>
      <c r="AI2758">
        <f>IF($C2758="","",IF(OR($N2758=TRUE(),$N2758="TRUE"),1,0))</f>
        <v/>
      </c>
      <c r="AJ2758">
        <f>IF($C2758="","",IF($T2758="Yes",1,0))</f>
        <v/>
      </c>
      <c r="AK2758">
        <f>IF($AG2758=1,IFERROR(IF(VALUE($C2758)&lt;100000000,VALUE($C2758),1000000000),IFERROR(IF(VALUE(MID($C2758,2,20))&lt;100000000,VALUE(MID($C2758,2,20)),1000000000),1000000000))+ROW()/100000,"")</f>
        <v/>
      </c>
    </row>
    <row r="2759">
      <c r="D2759" s="11" t="n"/>
      <c r="K2759" s="7">
        <f>IF($C2759="","",J2759*W2759/100)</f>
        <v/>
      </c>
      <c r="Q2759" s="7" t="n"/>
      <c r="R2759" s="7" t="n"/>
      <c r="U2759">
        <f>IF($C2759="","",IF($AJ2759=1,0,IF($AI2759=1,Settings!$C$6,Settings!$C$7))*100)</f>
        <v/>
      </c>
      <c r="V2759" s="7">
        <f>IF($C2759="","",R2759*U2759/100)</f>
        <v/>
      </c>
      <c r="W2759" s="7">
        <f>IF($C2759="","",R2759-V2759)</f>
        <v/>
      </c>
      <c r="X2759" s="7">
        <f>IF($C2759="","",W2759-K2759)</f>
        <v/>
      </c>
      <c r="AB2759" s="7" t="n"/>
      <c r="AE2759" s="11" t="n"/>
      <c r="AG2759">
        <f>IF($C2759="","",IF(COUNTIF($C$2:$C2759,$C2759)=1,1,0))</f>
        <v/>
      </c>
      <c r="AH2759">
        <f>IF($AG2759=1,SUMPRODUCT(--($AK$2:$AK$6001&lt;$AK2759))+1,"")</f>
        <v/>
      </c>
      <c r="AI2759">
        <f>IF($C2759="","",IF(OR($N2759=TRUE(),$N2759="TRUE"),1,0))</f>
        <v/>
      </c>
      <c r="AJ2759">
        <f>IF($C2759="","",IF($T2759="Yes",1,0))</f>
        <v/>
      </c>
      <c r="AK2759">
        <f>IF($AG2759=1,IFERROR(IF(VALUE($C2759)&lt;100000000,VALUE($C2759),1000000000),IFERROR(IF(VALUE(MID($C2759,2,20))&lt;100000000,VALUE(MID($C2759,2,20)),1000000000),1000000000))+ROW()/100000,"")</f>
        <v/>
      </c>
    </row>
    <row r="2760">
      <c r="D2760" s="11" t="n"/>
      <c r="K2760" s="7">
        <f>IF($C2760="","",J2760*W2760/100)</f>
        <v/>
      </c>
      <c r="Q2760" s="7" t="n"/>
      <c r="R2760" s="7" t="n"/>
      <c r="U2760">
        <f>IF($C2760="","",IF($AJ2760=1,0,IF($AI2760=1,Settings!$C$6,Settings!$C$7))*100)</f>
        <v/>
      </c>
      <c r="V2760" s="7">
        <f>IF($C2760="","",R2760*U2760/100)</f>
        <v/>
      </c>
      <c r="W2760" s="7">
        <f>IF($C2760="","",R2760-V2760)</f>
        <v/>
      </c>
      <c r="X2760" s="7">
        <f>IF($C2760="","",W2760-K2760)</f>
        <v/>
      </c>
      <c r="AB2760" s="7" t="n"/>
      <c r="AE2760" s="11" t="n"/>
      <c r="AG2760">
        <f>IF($C2760="","",IF(COUNTIF($C$2:$C2760,$C2760)=1,1,0))</f>
        <v/>
      </c>
      <c r="AH2760">
        <f>IF($AG2760=1,SUMPRODUCT(--($AK$2:$AK$6001&lt;$AK2760))+1,"")</f>
        <v/>
      </c>
      <c r="AI2760">
        <f>IF($C2760="","",IF(OR($N2760=TRUE(),$N2760="TRUE"),1,0))</f>
        <v/>
      </c>
      <c r="AJ2760">
        <f>IF($C2760="","",IF($T2760="Yes",1,0))</f>
        <v/>
      </c>
      <c r="AK2760">
        <f>IF($AG2760=1,IFERROR(IF(VALUE($C2760)&lt;100000000,VALUE($C2760),1000000000),IFERROR(IF(VALUE(MID($C2760,2,20))&lt;100000000,VALUE(MID($C2760,2,20)),1000000000),1000000000))+ROW()/100000,"")</f>
        <v/>
      </c>
    </row>
    <row r="2761">
      <c r="D2761" s="11" t="n"/>
      <c r="K2761" s="7">
        <f>IF($C2761="","",J2761*W2761/100)</f>
        <v/>
      </c>
      <c r="Q2761" s="7" t="n"/>
      <c r="R2761" s="7" t="n"/>
      <c r="U2761">
        <f>IF($C2761="","",IF($AJ2761=1,0,IF($AI2761=1,Settings!$C$6,Settings!$C$7))*100)</f>
        <v/>
      </c>
      <c r="V2761" s="7">
        <f>IF($C2761="","",R2761*U2761/100)</f>
        <v/>
      </c>
      <c r="W2761" s="7">
        <f>IF($C2761="","",R2761-V2761)</f>
        <v/>
      </c>
      <c r="X2761" s="7">
        <f>IF($C2761="","",W2761-K2761)</f>
        <v/>
      </c>
      <c r="AB2761" s="7" t="n"/>
      <c r="AE2761" s="11" t="n"/>
      <c r="AG2761">
        <f>IF($C2761="","",IF(COUNTIF($C$2:$C2761,$C2761)=1,1,0))</f>
        <v/>
      </c>
      <c r="AH2761">
        <f>IF($AG2761=1,SUMPRODUCT(--($AK$2:$AK$6001&lt;$AK2761))+1,"")</f>
        <v/>
      </c>
      <c r="AI2761">
        <f>IF($C2761="","",IF(OR($N2761=TRUE(),$N2761="TRUE"),1,0))</f>
        <v/>
      </c>
      <c r="AJ2761">
        <f>IF($C2761="","",IF($T2761="Yes",1,0))</f>
        <v/>
      </c>
      <c r="AK2761">
        <f>IF($AG2761=1,IFERROR(IF(VALUE($C2761)&lt;100000000,VALUE($C2761),1000000000),IFERROR(IF(VALUE(MID($C2761,2,20))&lt;100000000,VALUE(MID($C2761,2,20)),1000000000),1000000000))+ROW()/100000,"")</f>
        <v/>
      </c>
    </row>
    <row r="2762">
      <c r="D2762" s="11" t="n"/>
      <c r="K2762" s="7">
        <f>IF($C2762="","",J2762*W2762/100)</f>
        <v/>
      </c>
      <c r="Q2762" s="7" t="n"/>
      <c r="R2762" s="7" t="n"/>
      <c r="U2762">
        <f>IF($C2762="","",IF($AJ2762=1,0,IF($AI2762=1,Settings!$C$6,Settings!$C$7))*100)</f>
        <v/>
      </c>
      <c r="V2762" s="7">
        <f>IF($C2762="","",R2762*U2762/100)</f>
        <v/>
      </c>
      <c r="W2762" s="7">
        <f>IF($C2762="","",R2762-V2762)</f>
        <v/>
      </c>
      <c r="X2762" s="7">
        <f>IF($C2762="","",W2762-K2762)</f>
        <v/>
      </c>
      <c r="AB2762" s="7" t="n"/>
      <c r="AE2762" s="11" t="n"/>
      <c r="AG2762">
        <f>IF($C2762="","",IF(COUNTIF($C$2:$C2762,$C2762)=1,1,0))</f>
        <v/>
      </c>
      <c r="AH2762">
        <f>IF($AG2762=1,SUMPRODUCT(--($AK$2:$AK$6001&lt;$AK2762))+1,"")</f>
        <v/>
      </c>
      <c r="AI2762">
        <f>IF($C2762="","",IF(OR($N2762=TRUE(),$N2762="TRUE"),1,0))</f>
        <v/>
      </c>
      <c r="AJ2762">
        <f>IF($C2762="","",IF($T2762="Yes",1,0))</f>
        <v/>
      </c>
      <c r="AK2762">
        <f>IF($AG2762=1,IFERROR(IF(VALUE($C2762)&lt;100000000,VALUE($C2762),1000000000),IFERROR(IF(VALUE(MID($C2762,2,20))&lt;100000000,VALUE(MID($C2762,2,20)),1000000000),1000000000))+ROW()/100000,"")</f>
        <v/>
      </c>
    </row>
    <row r="2763">
      <c r="D2763" s="11" t="n"/>
      <c r="K2763" s="7">
        <f>IF($C2763="","",J2763*W2763/100)</f>
        <v/>
      </c>
      <c r="Q2763" s="7" t="n"/>
      <c r="R2763" s="7" t="n"/>
      <c r="U2763">
        <f>IF($C2763="","",IF($AJ2763=1,0,IF($AI2763=1,Settings!$C$6,Settings!$C$7))*100)</f>
        <v/>
      </c>
      <c r="V2763" s="7">
        <f>IF($C2763="","",R2763*U2763/100)</f>
        <v/>
      </c>
      <c r="W2763" s="7">
        <f>IF($C2763="","",R2763-V2763)</f>
        <v/>
      </c>
      <c r="X2763" s="7">
        <f>IF($C2763="","",W2763-K2763)</f>
        <v/>
      </c>
      <c r="AB2763" s="7" t="n"/>
      <c r="AE2763" s="11" t="n"/>
      <c r="AG2763">
        <f>IF($C2763="","",IF(COUNTIF($C$2:$C2763,$C2763)=1,1,0))</f>
        <v/>
      </c>
      <c r="AH2763">
        <f>IF($AG2763=1,SUMPRODUCT(--($AK$2:$AK$6001&lt;$AK2763))+1,"")</f>
        <v/>
      </c>
      <c r="AI2763">
        <f>IF($C2763="","",IF(OR($N2763=TRUE(),$N2763="TRUE"),1,0))</f>
        <v/>
      </c>
      <c r="AJ2763">
        <f>IF($C2763="","",IF($T2763="Yes",1,0))</f>
        <v/>
      </c>
      <c r="AK2763">
        <f>IF($AG2763=1,IFERROR(IF(VALUE($C2763)&lt;100000000,VALUE($C2763),1000000000),IFERROR(IF(VALUE(MID($C2763,2,20))&lt;100000000,VALUE(MID($C2763,2,20)),1000000000),1000000000))+ROW()/100000,"")</f>
        <v/>
      </c>
    </row>
    <row r="2764">
      <c r="D2764" s="11" t="n"/>
      <c r="K2764" s="7">
        <f>IF($C2764="","",J2764*W2764/100)</f>
        <v/>
      </c>
      <c r="Q2764" s="7" t="n"/>
      <c r="R2764" s="7" t="n"/>
      <c r="U2764">
        <f>IF($C2764="","",IF($AJ2764=1,0,IF($AI2764=1,Settings!$C$6,Settings!$C$7))*100)</f>
        <v/>
      </c>
      <c r="V2764" s="7">
        <f>IF($C2764="","",R2764*U2764/100)</f>
        <v/>
      </c>
      <c r="W2764" s="7">
        <f>IF($C2764="","",R2764-V2764)</f>
        <v/>
      </c>
      <c r="X2764" s="7">
        <f>IF($C2764="","",W2764-K2764)</f>
        <v/>
      </c>
      <c r="AB2764" s="7" t="n"/>
      <c r="AE2764" s="11" t="n"/>
      <c r="AG2764">
        <f>IF($C2764="","",IF(COUNTIF($C$2:$C2764,$C2764)=1,1,0))</f>
        <v/>
      </c>
      <c r="AH2764">
        <f>IF($AG2764=1,SUMPRODUCT(--($AK$2:$AK$6001&lt;$AK2764))+1,"")</f>
        <v/>
      </c>
      <c r="AI2764">
        <f>IF($C2764="","",IF(OR($N2764=TRUE(),$N2764="TRUE"),1,0))</f>
        <v/>
      </c>
      <c r="AJ2764">
        <f>IF($C2764="","",IF($T2764="Yes",1,0))</f>
        <v/>
      </c>
      <c r="AK2764">
        <f>IF($AG2764=1,IFERROR(IF(VALUE($C2764)&lt;100000000,VALUE($C2764),1000000000),IFERROR(IF(VALUE(MID($C2764,2,20))&lt;100000000,VALUE(MID($C2764,2,20)),1000000000),1000000000))+ROW()/100000,"")</f>
        <v/>
      </c>
    </row>
    <row r="2765">
      <c r="D2765" s="11" t="n"/>
      <c r="K2765" s="7">
        <f>IF($C2765="","",J2765*W2765/100)</f>
        <v/>
      </c>
      <c r="Q2765" s="7" t="n"/>
      <c r="R2765" s="7" t="n"/>
      <c r="U2765">
        <f>IF($C2765="","",IF($AJ2765=1,0,IF($AI2765=1,Settings!$C$6,Settings!$C$7))*100)</f>
        <v/>
      </c>
      <c r="V2765" s="7">
        <f>IF($C2765="","",R2765*U2765/100)</f>
        <v/>
      </c>
      <c r="W2765" s="7">
        <f>IF($C2765="","",R2765-V2765)</f>
        <v/>
      </c>
      <c r="X2765" s="7">
        <f>IF($C2765="","",W2765-K2765)</f>
        <v/>
      </c>
      <c r="AB2765" s="7" t="n"/>
      <c r="AE2765" s="11" t="n"/>
      <c r="AG2765">
        <f>IF($C2765="","",IF(COUNTIF($C$2:$C2765,$C2765)=1,1,0))</f>
        <v/>
      </c>
      <c r="AH2765">
        <f>IF($AG2765=1,SUMPRODUCT(--($AK$2:$AK$6001&lt;$AK2765))+1,"")</f>
        <v/>
      </c>
      <c r="AI2765">
        <f>IF($C2765="","",IF(OR($N2765=TRUE(),$N2765="TRUE"),1,0))</f>
        <v/>
      </c>
      <c r="AJ2765">
        <f>IF($C2765="","",IF($T2765="Yes",1,0))</f>
        <v/>
      </c>
      <c r="AK2765">
        <f>IF($AG2765=1,IFERROR(IF(VALUE($C2765)&lt;100000000,VALUE($C2765),1000000000),IFERROR(IF(VALUE(MID($C2765,2,20))&lt;100000000,VALUE(MID($C2765,2,20)),1000000000),1000000000))+ROW()/100000,"")</f>
        <v/>
      </c>
    </row>
    <row r="2766">
      <c r="D2766" s="11" t="n"/>
      <c r="K2766" s="7">
        <f>IF($C2766="","",J2766*W2766/100)</f>
        <v/>
      </c>
      <c r="Q2766" s="7" t="n"/>
      <c r="R2766" s="7" t="n"/>
      <c r="U2766">
        <f>IF($C2766="","",IF($AJ2766=1,0,IF($AI2766=1,Settings!$C$6,Settings!$C$7))*100)</f>
        <v/>
      </c>
      <c r="V2766" s="7">
        <f>IF($C2766="","",R2766*U2766/100)</f>
        <v/>
      </c>
      <c r="W2766" s="7">
        <f>IF($C2766="","",R2766-V2766)</f>
        <v/>
      </c>
      <c r="X2766" s="7">
        <f>IF($C2766="","",W2766-K2766)</f>
        <v/>
      </c>
      <c r="AB2766" s="7" t="n"/>
      <c r="AE2766" s="11" t="n"/>
      <c r="AG2766">
        <f>IF($C2766="","",IF(COUNTIF($C$2:$C2766,$C2766)=1,1,0))</f>
        <v/>
      </c>
      <c r="AH2766">
        <f>IF($AG2766=1,SUMPRODUCT(--($AK$2:$AK$6001&lt;$AK2766))+1,"")</f>
        <v/>
      </c>
      <c r="AI2766">
        <f>IF($C2766="","",IF(OR($N2766=TRUE(),$N2766="TRUE"),1,0))</f>
        <v/>
      </c>
      <c r="AJ2766">
        <f>IF($C2766="","",IF($T2766="Yes",1,0))</f>
        <v/>
      </c>
      <c r="AK2766">
        <f>IF($AG2766=1,IFERROR(IF(VALUE($C2766)&lt;100000000,VALUE($C2766),1000000000),IFERROR(IF(VALUE(MID($C2766,2,20))&lt;100000000,VALUE(MID($C2766,2,20)),1000000000),1000000000))+ROW()/100000,"")</f>
        <v/>
      </c>
    </row>
    <row r="2767">
      <c r="D2767" s="11" t="n"/>
      <c r="K2767" s="7">
        <f>IF($C2767="","",J2767*W2767/100)</f>
        <v/>
      </c>
      <c r="Q2767" s="7" t="n"/>
      <c r="R2767" s="7" t="n"/>
      <c r="U2767">
        <f>IF($C2767="","",IF($AJ2767=1,0,IF($AI2767=1,Settings!$C$6,Settings!$C$7))*100)</f>
        <v/>
      </c>
      <c r="V2767" s="7">
        <f>IF($C2767="","",R2767*U2767/100)</f>
        <v/>
      </c>
      <c r="W2767" s="7">
        <f>IF($C2767="","",R2767-V2767)</f>
        <v/>
      </c>
      <c r="X2767" s="7">
        <f>IF($C2767="","",W2767-K2767)</f>
        <v/>
      </c>
      <c r="AB2767" s="7" t="n"/>
      <c r="AE2767" s="11" t="n"/>
      <c r="AG2767">
        <f>IF($C2767="","",IF(COUNTIF($C$2:$C2767,$C2767)=1,1,0))</f>
        <v/>
      </c>
      <c r="AH2767">
        <f>IF($AG2767=1,SUMPRODUCT(--($AK$2:$AK$6001&lt;$AK2767))+1,"")</f>
        <v/>
      </c>
      <c r="AI2767">
        <f>IF($C2767="","",IF(OR($N2767=TRUE(),$N2767="TRUE"),1,0))</f>
        <v/>
      </c>
      <c r="AJ2767">
        <f>IF($C2767="","",IF($T2767="Yes",1,0))</f>
        <v/>
      </c>
      <c r="AK2767">
        <f>IF($AG2767=1,IFERROR(IF(VALUE($C2767)&lt;100000000,VALUE($C2767),1000000000),IFERROR(IF(VALUE(MID($C2767,2,20))&lt;100000000,VALUE(MID($C2767,2,20)),1000000000),1000000000))+ROW()/100000,"")</f>
        <v/>
      </c>
    </row>
    <row r="2768">
      <c r="D2768" s="11" t="n"/>
      <c r="K2768" s="7">
        <f>IF($C2768="","",J2768*W2768/100)</f>
        <v/>
      </c>
      <c r="Q2768" s="7" t="n"/>
      <c r="R2768" s="7" t="n"/>
      <c r="U2768">
        <f>IF($C2768="","",IF($AJ2768=1,0,IF($AI2768=1,Settings!$C$6,Settings!$C$7))*100)</f>
        <v/>
      </c>
      <c r="V2768" s="7">
        <f>IF($C2768="","",R2768*U2768/100)</f>
        <v/>
      </c>
      <c r="W2768" s="7">
        <f>IF($C2768="","",R2768-V2768)</f>
        <v/>
      </c>
      <c r="X2768" s="7">
        <f>IF($C2768="","",W2768-K2768)</f>
        <v/>
      </c>
      <c r="AB2768" s="7" t="n"/>
      <c r="AE2768" s="11" t="n"/>
      <c r="AG2768">
        <f>IF($C2768="","",IF(COUNTIF($C$2:$C2768,$C2768)=1,1,0))</f>
        <v/>
      </c>
      <c r="AH2768">
        <f>IF($AG2768=1,SUMPRODUCT(--($AK$2:$AK$6001&lt;$AK2768))+1,"")</f>
        <v/>
      </c>
      <c r="AI2768">
        <f>IF($C2768="","",IF(OR($N2768=TRUE(),$N2768="TRUE"),1,0))</f>
        <v/>
      </c>
      <c r="AJ2768">
        <f>IF($C2768="","",IF($T2768="Yes",1,0))</f>
        <v/>
      </c>
      <c r="AK2768">
        <f>IF($AG2768=1,IFERROR(IF(VALUE($C2768)&lt;100000000,VALUE($C2768),1000000000),IFERROR(IF(VALUE(MID($C2768,2,20))&lt;100000000,VALUE(MID($C2768,2,20)),1000000000),1000000000))+ROW()/100000,"")</f>
        <v/>
      </c>
    </row>
    <row r="2769">
      <c r="D2769" s="11" t="n"/>
      <c r="K2769" s="7">
        <f>IF($C2769="","",J2769*W2769/100)</f>
        <v/>
      </c>
      <c r="Q2769" s="7" t="n"/>
      <c r="R2769" s="7" t="n"/>
      <c r="U2769">
        <f>IF($C2769="","",IF($AJ2769=1,0,IF($AI2769=1,Settings!$C$6,Settings!$C$7))*100)</f>
        <v/>
      </c>
      <c r="V2769" s="7">
        <f>IF($C2769="","",R2769*U2769/100)</f>
        <v/>
      </c>
      <c r="W2769" s="7">
        <f>IF($C2769="","",R2769-V2769)</f>
        <v/>
      </c>
      <c r="X2769" s="7">
        <f>IF($C2769="","",W2769-K2769)</f>
        <v/>
      </c>
      <c r="AB2769" s="7" t="n"/>
      <c r="AE2769" s="11" t="n"/>
      <c r="AG2769">
        <f>IF($C2769="","",IF(COUNTIF($C$2:$C2769,$C2769)=1,1,0))</f>
        <v/>
      </c>
      <c r="AH2769">
        <f>IF($AG2769=1,SUMPRODUCT(--($AK$2:$AK$6001&lt;$AK2769))+1,"")</f>
        <v/>
      </c>
      <c r="AI2769">
        <f>IF($C2769="","",IF(OR($N2769=TRUE(),$N2769="TRUE"),1,0))</f>
        <v/>
      </c>
      <c r="AJ2769">
        <f>IF($C2769="","",IF($T2769="Yes",1,0))</f>
        <v/>
      </c>
      <c r="AK2769">
        <f>IF($AG2769=1,IFERROR(IF(VALUE($C2769)&lt;100000000,VALUE($C2769),1000000000),IFERROR(IF(VALUE(MID($C2769,2,20))&lt;100000000,VALUE(MID($C2769,2,20)),1000000000),1000000000))+ROW()/100000,"")</f>
        <v/>
      </c>
    </row>
    <row r="2770">
      <c r="D2770" s="11" t="n"/>
      <c r="K2770" s="7">
        <f>IF($C2770="","",J2770*W2770/100)</f>
        <v/>
      </c>
      <c r="Q2770" s="7" t="n"/>
      <c r="R2770" s="7" t="n"/>
      <c r="U2770">
        <f>IF($C2770="","",IF($AJ2770=1,0,IF($AI2770=1,Settings!$C$6,Settings!$C$7))*100)</f>
        <v/>
      </c>
      <c r="V2770" s="7">
        <f>IF($C2770="","",R2770*U2770/100)</f>
        <v/>
      </c>
      <c r="W2770" s="7">
        <f>IF($C2770="","",R2770-V2770)</f>
        <v/>
      </c>
      <c r="X2770" s="7">
        <f>IF($C2770="","",W2770-K2770)</f>
        <v/>
      </c>
      <c r="AB2770" s="7" t="n"/>
      <c r="AE2770" s="11" t="n"/>
      <c r="AG2770">
        <f>IF($C2770="","",IF(COUNTIF($C$2:$C2770,$C2770)=1,1,0))</f>
        <v/>
      </c>
      <c r="AH2770">
        <f>IF($AG2770=1,SUMPRODUCT(--($AK$2:$AK$6001&lt;$AK2770))+1,"")</f>
        <v/>
      </c>
      <c r="AI2770">
        <f>IF($C2770="","",IF(OR($N2770=TRUE(),$N2770="TRUE"),1,0))</f>
        <v/>
      </c>
      <c r="AJ2770">
        <f>IF($C2770="","",IF($T2770="Yes",1,0))</f>
        <v/>
      </c>
      <c r="AK2770">
        <f>IF($AG2770=1,IFERROR(IF(VALUE($C2770)&lt;100000000,VALUE($C2770),1000000000),IFERROR(IF(VALUE(MID($C2770,2,20))&lt;100000000,VALUE(MID($C2770,2,20)),1000000000),1000000000))+ROW()/100000,"")</f>
        <v/>
      </c>
    </row>
    <row r="2771">
      <c r="D2771" s="11" t="n"/>
      <c r="K2771" s="7">
        <f>IF($C2771="","",J2771*W2771/100)</f>
        <v/>
      </c>
      <c r="Q2771" s="7" t="n"/>
      <c r="R2771" s="7" t="n"/>
      <c r="U2771">
        <f>IF($C2771="","",IF($AJ2771=1,0,IF($AI2771=1,Settings!$C$6,Settings!$C$7))*100)</f>
        <v/>
      </c>
      <c r="V2771" s="7">
        <f>IF($C2771="","",R2771*U2771/100)</f>
        <v/>
      </c>
      <c r="W2771" s="7">
        <f>IF($C2771="","",R2771-V2771)</f>
        <v/>
      </c>
      <c r="X2771" s="7">
        <f>IF($C2771="","",W2771-K2771)</f>
        <v/>
      </c>
      <c r="AB2771" s="7" t="n"/>
      <c r="AE2771" s="11" t="n"/>
      <c r="AG2771">
        <f>IF($C2771="","",IF(COUNTIF($C$2:$C2771,$C2771)=1,1,0))</f>
        <v/>
      </c>
      <c r="AH2771">
        <f>IF($AG2771=1,SUMPRODUCT(--($AK$2:$AK$6001&lt;$AK2771))+1,"")</f>
        <v/>
      </c>
      <c r="AI2771">
        <f>IF($C2771="","",IF(OR($N2771=TRUE(),$N2771="TRUE"),1,0))</f>
        <v/>
      </c>
      <c r="AJ2771">
        <f>IF($C2771="","",IF($T2771="Yes",1,0))</f>
        <v/>
      </c>
      <c r="AK2771">
        <f>IF($AG2771=1,IFERROR(IF(VALUE($C2771)&lt;100000000,VALUE($C2771),1000000000),IFERROR(IF(VALUE(MID($C2771,2,20))&lt;100000000,VALUE(MID($C2771,2,20)),1000000000),1000000000))+ROW()/100000,"")</f>
        <v/>
      </c>
    </row>
    <row r="2772">
      <c r="D2772" s="11" t="n"/>
      <c r="K2772" s="7">
        <f>IF($C2772="","",J2772*W2772/100)</f>
        <v/>
      </c>
      <c r="Q2772" s="7" t="n"/>
      <c r="R2772" s="7" t="n"/>
      <c r="U2772">
        <f>IF($C2772="","",IF($AJ2772=1,0,IF($AI2772=1,Settings!$C$6,Settings!$C$7))*100)</f>
        <v/>
      </c>
      <c r="V2772" s="7">
        <f>IF($C2772="","",R2772*U2772/100)</f>
        <v/>
      </c>
      <c r="W2772" s="7">
        <f>IF($C2772="","",R2772-V2772)</f>
        <v/>
      </c>
      <c r="X2772" s="7">
        <f>IF($C2772="","",W2772-K2772)</f>
        <v/>
      </c>
      <c r="AB2772" s="7" t="n"/>
      <c r="AE2772" s="11" t="n"/>
      <c r="AG2772">
        <f>IF($C2772="","",IF(COUNTIF($C$2:$C2772,$C2772)=1,1,0))</f>
        <v/>
      </c>
      <c r="AH2772">
        <f>IF($AG2772=1,SUMPRODUCT(--($AK$2:$AK$6001&lt;$AK2772))+1,"")</f>
        <v/>
      </c>
      <c r="AI2772">
        <f>IF($C2772="","",IF(OR($N2772=TRUE(),$N2772="TRUE"),1,0))</f>
        <v/>
      </c>
      <c r="AJ2772">
        <f>IF($C2772="","",IF($T2772="Yes",1,0))</f>
        <v/>
      </c>
      <c r="AK2772">
        <f>IF($AG2772=1,IFERROR(IF(VALUE($C2772)&lt;100000000,VALUE($C2772),1000000000),IFERROR(IF(VALUE(MID($C2772,2,20))&lt;100000000,VALUE(MID($C2772,2,20)),1000000000),1000000000))+ROW()/100000,"")</f>
        <v/>
      </c>
    </row>
    <row r="2773">
      <c r="D2773" s="11" t="n"/>
      <c r="K2773" s="7">
        <f>IF($C2773="","",J2773*W2773/100)</f>
        <v/>
      </c>
      <c r="Q2773" s="7" t="n"/>
      <c r="R2773" s="7" t="n"/>
      <c r="U2773">
        <f>IF($C2773="","",IF($AJ2773=1,0,IF($AI2773=1,Settings!$C$6,Settings!$C$7))*100)</f>
        <v/>
      </c>
      <c r="V2773" s="7">
        <f>IF($C2773="","",R2773*U2773/100)</f>
        <v/>
      </c>
      <c r="W2773" s="7">
        <f>IF($C2773="","",R2773-V2773)</f>
        <v/>
      </c>
      <c r="X2773" s="7">
        <f>IF($C2773="","",W2773-K2773)</f>
        <v/>
      </c>
      <c r="AB2773" s="7" t="n"/>
      <c r="AE2773" s="11" t="n"/>
      <c r="AG2773">
        <f>IF($C2773="","",IF(COUNTIF($C$2:$C2773,$C2773)=1,1,0))</f>
        <v/>
      </c>
      <c r="AH2773">
        <f>IF($AG2773=1,SUMPRODUCT(--($AK$2:$AK$6001&lt;$AK2773))+1,"")</f>
        <v/>
      </c>
      <c r="AI2773">
        <f>IF($C2773="","",IF(OR($N2773=TRUE(),$N2773="TRUE"),1,0))</f>
        <v/>
      </c>
      <c r="AJ2773">
        <f>IF($C2773="","",IF($T2773="Yes",1,0))</f>
        <v/>
      </c>
      <c r="AK2773">
        <f>IF($AG2773=1,IFERROR(IF(VALUE($C2773)&lt;100000000,VALUE($C2773),1000000000),IFERROR(IF(VALUE(MID($C2773,2,20))&lt;100000000,VALUE(MID($C2773,2,20)),1000000000),1000000000))+ROW()/100000,"")</f>
        <v/>
      </c>
    </row>
    <row r="2774">
      <c r="D2774" s="11" t="n"/>
      <c r="K2774" s="7">
        <f>IF($C2774="","",J2774*W2774/100)</f>
        <v/>
      </c>
      <c r="Q2774" s="7" t="n"/>
      <c r="R2774" s="7" t="n"/>
      <c r="U2774">
        <f>IF($C2774="","",IF($AJ2774=1,0,IF($AI2774=1,Settings!$C$6,Settings!$C$7))*100)</f>
        <v/>
      </c>
      <c r="V2774" s="7">
        <f>IF($C2774="","",R2774*U2774/100)</f>
        <v/>
      </c>
      <c r="W2774" s="7">
        <f>IF($C2774="","",R2774-V2774)</f>
        <v/>
      </c>
      <c r="X2774" s="7">
        <f>IF($C2774="","",W2774-K2774)</f>
        <v/>
      </c>
      <c r="AB2774" s="7" t="n"/>
      <c r="AE2774" s="11" t="n"/>
      <c r="AG2774">
        <f>IF($C2774="","",IF(COUNTIF($C$2:$C2774,$C2774)=1,1,0))</f>
        <v/>
      </c>
      <c r="AH2774">
        <f>IF($AG2774=1,SUMPRODUCT(--($AK$2:$AK$6001&lt;$AK2774))+1,"")</f>
        <v/>
      </c>
      <c r="AI2774">
        <f>IF($C2774="","",IF(OR($N2774=TRUE(),$N2774="TRUE"),1,0))</f>
        <v/>
      </c>
      <c r="AJ2774">
        <f>IF($C2774="","",IF($T2774="Yes",1,0))</f>
        <v/>
      </c>
      <c r="AK2774">
        <f>IF($AG2774=1,IFERROR(IF(VALUE($C2774)&lt;100000000,VALUE($C2774),1000000000),IFERROR(IF(VALUE(MID($C2774,2,20))&lt;100000000,VALUE(MID($C2774,2,20)),1000000000),1000000000))+ROW()/100000,"")</f>
        <v/>
      </c>
    </row>
    <row r="2775">
      <c r="D2775" s="11" t="n"/>
      <c r="K2775" s="7">
        <f>IF($C2775="","",J2775*W2775/100)</f>
        <v/>
      </c>
      <c r="Q2775" s="7" t="n"/>
      <c r="R2775" s="7" t="n"/>
      <c r="U2775">
        <f>IF($C2775="","",IF($AJ2775=1,0,IF($AI2775=1,Settings!$C$6,Settings!$C$7))*100)</f>
        <v/>
      </c>
      <c r="V2775" s="7">
        <f>IF($C2775="","",R2775*U2775/100)</f>
        <v/>
      </c>
      <c r="W2775" s="7">
        <f>IF($C2775="","",R2775-V2775)</f>
        <v/>
      </c>
      <c r="X2775" s="7">
        <f>IF($C2775="","",W2775-K2775)</f>
        <v/>
      </c>
      <c r="AB2775" s="7" t="n"/>
      <c r="AE2775" s="11" t="n"/>
      <c r="AG2775">
        <f>IF($C2775="","",IF(COUNTIF($C$2:$C2775,$C2775)=1,1,0))</f>
        <v/>
      </c>
      <c r="AH2775">
        <f>IF($AG2775=1,SUMPRODUCT(--($AK$2:$AK$6001&lt;$AK2775))+1,"")</f>
        <v/>
      </c>
      <c r="AI2775">
        <f>IF($C2775="","",IF(OR($N2775=TRUE(),$N2775="TRUE"),1,0))</f>
        <v/>
      </c>
      <c r="AJ2775">
        <f>IF($C2775="","",IF($T2775="Yes",1,0))</f>
        <v/>
      </c>
      <c r="AK2775">
        <f>IF($AG2775=1,IFERROR(IF(VALUE($C2775)&lt;100000000,VALUE($C2775),1000000000),IFERROR(IF(VALUE(MID($C2775,2,20))&lt;100000000,VALUE(MID($C2775,2,20)),1000000000),1000000000))+ROW()/100000,"")</f>
        <v/>
      </c>
    </row>
    <row r="2776">
      <c r="D2776" s="11" t="n"/>
      <c r="K2776" s="7">
        <f>IF($C2776="","",J2776*W2776/100)</f>
        <v/>
      </c>
      <c r="Q2776" s="7" t="n"/>
      <c r="R2776" s="7" t="n"/>
      <c r="U2776">
        <f>IF($C2776="","",IF($AJ2776=1,0,IF($AI2776=1,Settings!$C$6,Settings!$C$7))*100)</f>
        <v/>
      </c>
      <c r="V2776" s="7">
        <f>IF($C2776="","",R2776*U2776/100)</f>
        <v/>
      </c>
      <c r="W2776" s="7">
        <f>IF($C2776="","",R2776-V2776)</f>
        <v/>
      </c>
      <c r="X2776" s="7">
        <f>IF($C2776="","",W2776-K2776)</f>
        <v/>
      </c>
      <c r="AB2776" s="7" t="n"/>
      <c r="AE2776" s="11" t="n"/>
      <c r="AG2776">
        <f>IF($C2776="","",IF(COUNTIF($C$2:$C2776,$C2776)=1,1,0))</f>
        <v/>
      </c>
      <c r="AH2776">
        <f>IF($AG2776=1,SUMPRODUCT(--($AK$2:$AK$6001&lt;$AK2776))+1,"")</f>
        <v/>
      </c>
      <c r="AI2776">
        <f>IF($C2776="","",IF(OR($N2776=TRUE(),$N2776="TRUE"),1,0))</f>
        <v/>
      </c>
      <c r="AJ2776">
        <f>IF($C2776="","",IF($T2776="Yes",1,0))</f>
        <v/>
      </c>
      <c r="AK2776">
        <f>IF($AG2776=1,IFERROR(IF(VALUE($C2776)&lt;100000000,VALUE($C2776),1000000000),IFERROR(IF(VALUE(MID($C2776,2,20))&lt;100000000,VALUE(MID($C2776,2,20)),1000000000),1000000000))+ROW()/100000,"")</f>
        <v/>
      </c>
    </row>
    <row r="2777">
      <c r="D2777" s="11" t="n"/>
      <c r="K2777" s="7">
        <f>IF($C2777="","",J2777*W2777/100)</f>
        <v/>
      </c>
      <c r="Q2777" s="7" t="n"/>
      <c r="R2777" s="7" t="n"/>
      <c r="U2777">
        <f>IF($C2777="","",IF($AJ2777=1,0,IF($AI2777=1,Settings!$C$6,Settings!$C$7))*100)</f>
        <v/>
      </c>
      <c r="V2777" s="7">
        <f>IF($C2777="","",R2777*U2777/100)</f>
        <v/>
      </c>
      <c r="W2777" s="7">
        <f>IF($C2777="","",R2777-V2777)</f>
        <v/>
      </c>
      <c r="X2777" s="7">
        <f>IF($C2777="","",W2777-K2777)</f>
        <v/>
      </c>
      <c r="AB2777" s="7" t="n"/>
      <c r="AE2777" s="11" t="n"/>
      <c r="AG2777">
        <f>IF($C2777="","",IF(COUNTIF($C$2:$C2777,$C2777)=1,1,0))</f>
        <v/>
      </c>
      <c r="AH2777">
        <f>IF($AG2777=1,SUMPRODUCT(--($AK$2:$AK$6001&lt;$AK2777))+1,"")</f>
        <v/>
      </c>
      <c r="AI2777">
        <f>IF($C2777="","",IF(OR($N2777=TRUE(),$N2777="TRUE"),1,0))</f>
        <v/>
      </c>
      <c r="AJ2777">
        <f>IF($C2777="","",IF($T2777="Yes",1,0))</f>
        <v/>
      </c>
      <c r="AK2777">
        <f>IF($AG2777=1,IFERROR(IF(VALUE($C2777)&lt;100000000,VALUE($C2777),1000000000),IFERROR(IF(VALUE(MID($C2777,2,20))&lt;100000000,VALUE(MID($C2777,2,20)),1000000000),1000000000))+ROW()/100000,"")</f>
        <v/>
      </c>
    </row>
    <row r="2778">
      <c r="D2778" s="11" t="n"/>
      <c r="K2778" s="7">
        <f>IF($C2778="","",J2778*W2778/100)</f>
        <v/>
      </c>
      <c r="Q2778" s="7" t="n"/>
      <c r="R2778" s="7" t="n"/>
      <c r="U2778">
        <f>IF($C2778="","",IF($AJ2778=1,0,IF($AI2778=1,Settings!$C$6,Settings!$C$7))*100)</f>
        <v/>
      </c>
      <c r="V2778" s="7">
        <f>IF($C2778="","",R2778*U2778/100)</f>
        <v/>
      </c>
      <c r="W2778" s="7">
        <f>IF($C2778="","",R2778-V2778)</f>
        <v/>
      </c>
      <c r="X2778" s="7">
        <f>IF($C2778="","",W2778-K2778)</f>
        <v/>
      </c>
      <c r="AB2778" s="7" t="n"/>
      <c r="AE2778" s="11" t="n"/>
      <c r="AG2778">
        <f>IF($C2778="","",IF(COUNTIF($C$2:$C2778,$C2778)=1,1,0))</f>
        <v/>
      </c>
      <c r="AH2778">
        <f>IF($AG2778=1,SUMPRODUCT(--($AK$2:$AK$6001&lt;$AK2778))+1,"")</f>
        <v/>
      </c>
      <c r="AI2778">
        <f>IF($C2778="","",IF(OR($N2778=TRUE(),$N2778="TRUE"),1,0))</f>
        <v/>
      </c>
      <c r="AJ2778">
        <f>IF($C2778="","",IF($T2778="Yes",1,0))</f>
        <v/>
      </c>
      <c r="AK2778">
        <f>IF($AG2778=1,IFERROR(IF(VALUE($C2778)&lt;100000000,VALUE($C2778),1000000000),IFERROR(IF(VALUE(MID($C2778,2,20))&lt;100000000,VALUE(MID($C2778,2,20)),1000000000),1000000000))+ROW()/100000,"")</f>
        <v/>
      </c>
    </row>
    <row r="2779">
      <c r="D2779" s="11" t="n"/>
      <c r="K2779" s="7">
        <f>IF($C2779="","",J2779*W2779/100)</f>
        <v/>
      </c>
      <c r="Q2779" s="7" t="n"/>
      <c r="R2779" s="7" t="n"/>
      <c r="U2779">
        <f>IF($C2779="","",IF($AJ2779=1,0,IF($AI2779=1,Settings!$C$6,Settings!$C$7))*100)</f>
        <v/>
      </c>
      <c r="V2779" s="7">
        <f>IF($C2779="","",R2779*U2779/100)</f>
        <v/>
      </c>
      <c r="W2779" s="7">
        <f>IF($C2779="","",R2779-V2779)</f>
        <v/>
      </c>
      <c r="X2779" s="7">
        <f>IF($C2779="","",W2779-K2779)</f>
        <v/>
      </c>
      <c r="AB2779" s="7" t="n"/>
      <c r="AE2779" s="11" t="n"/>
      <c r="AG2779">
        <f>IF($C2779="","",IF(COUNTIF($C$2:$C2779,$C2779)=1,1,0))</f>
        <v/>
      </c>
      <c r="AH2779">
        <f>IF($AG2779=1,SUMPRODUCT(--($AK$2:$AK$6001&lt;$AK2779))+1,"")</f>
        <v/>
      </c>
      <c r="AI2779">
        <f>IF($C2779="","",IF(OR($N2779=TRUE(),$N2779="TRUE"),1,0))</f>
        <v/>
      </c>
      <c r="AJ2779">
        <f>IF($C2779="","",IF($T2779="Yes",1,0))</f>
        <v/>
      </c>
      <c r="AK2779">
        <f>IF($AG2779=1,IFERROR(IF(VALUE($C2779)&lt;100000000,VALUE($C2779),1000000000),IFERROR(IF(VALUE(MID($C2779,2,20))&lt;100000000,VALUE(MID($C2779,2,20)),1000000000),1000000000))+ROW()/100000,"")</f>
        <v/>
      </c>
    </row>
    <row r="2780">
      <c r="D2780" s="11" t="n"/>
      <c r="K2780" s="7">
        <f>IF($C2780="","",J2780*W2780/100)</f>
        <v/>
      </c>
      <c r="Q2780" s="7" t="n"/>
      <c r="R2780" s="7" t="n"/>
      <c r="U2780">
        <f>IF($C2780="","",IF($AJ2780=1,0,IF($AI2780=1,Settings!$C$6,Settings!$C$7))*100)</f>
        <v/>
      </c>
      <c r="V2780" s="7">
        <f>IF($C2780="","",R2780*U2780/100)</f>
        <v/>
      </c>
      <c r="W2780" s="7">
        <f>IF($C2780="","",R2780-V2780)</f>
        <v/>
      </c>
      <c r="X2780" s="7">
        <f>IF($C2780="","",W2780-K2780)</f>
        <v/>
      </c>
      <c r="AB2780" s="7" t="n"/>
      <c r="AE2780" s="11" t="n"/>
      <c r="AG2780">
        <f>IF($C2780="","",IF(COUNTIF($C$2:$C2780,$C2780)=1,1,0))</f>
        <v/>
      </c>
      <c r="AH2780">
        <f>IF($AG2780=1,SUMPRODUCT(--($AK$2:$AK$6001&lt;$AK2780))+1,"")</f>
        <v/>
      </c>
      <c r="AI2780">
        <f>IF($C2780="","",IF(OR($N2780=TRUE(),$N2780="TRUE"),1,0))</f>
        <v/>
      </c>
      <c r="AJ2780">
        <f>IF($C2780="","",IF($T2780="Yes",1,0))</f>
        <v/>
      </c>
      <c r="AK2780">
        <f>IF($AG2780=1,IFERROR(IF(VALUE($C2780)&lt;100000000,VALUE($C2780),1000000000),IFERROR(IF(VALUE(MID($C2780,2,20))&lt;100000000,VALUE(MID($C2780,2,20)),1000000000),1000000000))+ROW()/100000,"")</f>
        <v/>
      </c>
    </row>
    <row r="2781">
      <c r="D2781" s="11" t="n"/>
      <c r="K2781" s="7">
        <f>IF($C2781="","",J2781*W2781/100)</f>
        <v/>
      </c>
      <c r="Q2781" s="7" t="n"/>
      <c r="R2781" s="7" t="n"/>
      <c r="U2781">
        <f>IF($C2781="","",IF($AJ2781=1,0,IF($AI2781=1,Settings!$C$6,Settings!$C$7))*100)</f>
        <v/>
      </c>
      <c r="V2781" s="7">
        <f>IF($C2781="","",R2781*U2781/100)</f>
        <v/>
      </c>
      <c r="W2781" s="7">
        <f>IF($C2781="","",R2781-V2781)</f>
        <v/>
      </c>
      <c r="X2781" s="7">
        <f>IF($C2781="","",W2781-K2781)</f>
        <v/>
      </c>
      <c r="AB2781" s="7" t="n"/>
      <c r="AE2781" s="11" t="n"/>
      <c r="AG2781">
        <f>IF($C2781="","",IF(COUNTIF($C$2:$C2781,$C2781)=1,1,0))</f>
        <v/>
      </c>
      <c r="AH2781">
        <f>IF($AG2781=1,SUMPRODUCT(--($AK$2:$AK$6001&lt;$AK2781))+1,"")</f>
        <v/>
      </c>
      <c r="AI2781">
        <f>IF($C2781="","",IF(OR($N2781=TRUE(),$N2781="TRUE"),1,0))</f>
        <v/>
      </c>
      <c r="AJ2781">
        <f>IF($C2781="","",IF($T2781="Yes",1,0))</f>
        <v/>
      </c>
      <c r="AK2781">
        <f>IF($AG2781=1,IFERROR(IF(VALUE($C2781)&lt;100000000,VALUE($C2781),1000000000),IFERROR(IF(VALUE(MID($C2781,2,20))&lt;100000000,VALUE(MID($C2781,2,20)),1000000000),1000000000))+ROW()/100000,"")</f>
        <v/>
      </c>
    </row>
    <row r="2782">
      <c r="D2782" s="11" t="n"/>
      <c r="K2782" s="7">
        <f>IF($C2782="","",J2782*W2782/100)</f>
        <v/>
      </c>
      <c r="Q2782" s="7" t="n"/>
      <c r="R2782" s="7" t="n"/>
      <c r="U2782">
        <f>IF($C2782="","",IF($AJ2782=1,0,IF($AI2782=1,Settings!$C$6,Settings!$C$7))*100)</f>
        <v/>
      </c>
      <c r="V2782" s="7">
        <f>IF($C2782="","",R2782*U2782/100)</f>
        <v/>
      </c>
      <c r="W2782" s="7">
        <f>IF($C2782="","",R2782-V2782)</f>
        <v/>
      </c>
      <c r="X2782" s="7">
        <f>IF($C2782="","",W2782-K2782)</f>
        <v/>
      </c>
      <c r="AB2782" s="7" t="n"/>
      <c r="AE2782" s="11" t="n"/>
      <c r="AG2782">
        <f>IF($C2782="","",IF(COUNTIF($C$2:$C2782,$C2782)=1,1,0))</f>
        <v/>
      </c>
      <c r="AH2782">
        <f>IF($AG2782=1,SUMPRODUCT(--($AK$2:$AK$6001&lt;$AK2782))+1,"")</f>
        <v/>
      </c>
      <c r="AI2782">
        <f>IF($C2782="","",IF(OR($N2782=TRUE(),$N2782="TRUE"),1,0))</f>
        <v/>
      </c>
      <c r="AJ2782">
        <f>IF($C2782="","",IF($T2782="Yes",1,0))</f>
        <v/>
      </c>
      <c r="AK2782">
        <f>IF($AG2782=1,IFERROR(IF(VALUE($C2782)&lt;100000000,VALUE($C2782),1000000000),IFERROR(IF(VALUE(MID($C2782,2,20))&lt;100000000,VALUE(MID($C2782,2,20)),1000000000),1000000000))+ROW()/100000,"")</f>
        <v/>
      </c>
    </row>
    <row r="2783">
      <c r="D2783" s="11" t="n"/>
      <c r="K2783" s="7">
        <f>IF($C2783="","",J2783*W2783/100)</f>
        <v/>
      </c>
      <c r="Q2783" s="7" t="n"/>
      <c r="R2783" s="7" t="n"/>
      <c r="U2783">
        <f>IF($C2783="","",IF($AJ2783=1,0,IF($AI2783=1,Settings!$C$6,Settings!$C$7))*100)</f>
        <v/>
      </c>
      <c r="V2783" s="7">
        <f>IF($C2783="","",R2783*U2783/100)</f>
        <v/>
      </c>
      <c r="W2783" s="7">
        <f>IF($C2783="","",R2783-V2783)</f>
        <v/>
      </c>
      <c r="X2783" s="7">
        <f>IF($C2783="","",W2783-K2783)</f>
        <v/>
      </c>
      <c r="AB2783" s="7" t="n"/>
      <c r="AE2783" s="11" t="n"/>
      <c r="AG2783">
        <f>IF($C2783="","",IF(COUNTIF($C$2:$C2783,$C2783)=1,1,0))</f>
        <v/>
      </c>
      <c r="AH2783">
        <f>IF($AG2783=1,SUMPRODUCT(--($AK$2:$AK$6001&lt;$AK2783))+1,"")</f>
        <v/>
      </c>
      <c r="AI2783">
        <f>IF($C2783="","",IF(OR($N2783=TRUE(),$N2783="TRUE"),1,0))</f>
        <v/>
      </c>
      <c r="AJ2783">
        <f>IF($C2783="","",IF($T2783="Yes",1,0))</f>
        <v/>
      </c>
      <c r="AK2783">
        <f>IF($AG2783=1,IFERROR(IF(VALUE($C2783)&lt;100000000,VALUE($C2783),1000000000),IFERROR(IF(VALUE(MID($C2783,2,20))&lt;100000000,VALUE(MID($C2783,2,20)),1000000000),1000000000))+ROW()/100000,"")</f>
        <v/>
      </c>
    </row>
    <row r="2784">
      <c r="D2784" s="11" t="n"/>
      <c r="K2784" s="7">
        <f>IF($C2784="","",J2784*W2784/100)</f>
        <v/>
      </c>
      <c r="Q2784" s="7" t="n"/>
      <c r="R2784" s="7" t="n"/>
      <c r="U2784">
        <f>IF($C2784="","",IF($AJ2784=1,0,IF($AI2784=1,Settings!$C$6,Settings!$C$7))*100)</f>
        <v/>
      </c>
      <c r="V2784" s="7">
        <f>IF($C2784="","",R2784*U2784/100)</f>
        <v/>
      </c>
      <c r="W2784" s="7">
        <f>IF($C2784="","",R2784-V2784)</f>
        <v/>
      </c>
      <c r="X2784" s="7">
        <f>IF($C2784="","",W2784-K2784)</f>
        <v/>
      </c>
      <c r="AB2784" s="7" t="n"/>
      <c r="AE2784" s="11" t="n"/>
      <c r="AG2784">
        <f>IF($C2784="","",IF(COUNTIF($C$2:$C2784,$C2784)=1,1,0))</f>
        <v/>
      </c>
      <c r="AH2784">
        <f>IF($AG2784=1,SUMPRODUCT(--($AK$2:$AK$6001&lt;$AK2784))+1,"")</f>
        <v/>
      </c>
      <c r="AI2784">
        <f>IF($C2784="","",IF(OR($N2784=TRUE(),$N2784="TRUE"),1,0))</f>
        <v/>
      </c>
      <c r="AJ2784">
        <f>IF($C2784="","",IF($T2784="Yes",1,0))</f>
        <v/>
      </c>
      <c r="AK2784">
        <f>IF($AG2784=1,IFERROR(IF(VALUE($C2784)&lt;100000000,VALUE($C2784),1000000000),IFERROR(IF(VALUE(MID($C2784,2,20))&lt;100000000,VALUE(MID($C2784,2,20)),1000000000),1000000000))+ROW()/100000,"")</f>
        <v/>
      </c>
    </row>
    <row r="2785">
      <c r="D2785" s="11" t="n"/>
      <c r="K2785" s="7">
        <f>IF($C2785="","",J2785*W2785/100)</f>
        <v/>
      </c>
      <c r="Q2785" s="7" t="n"/>
      <c r="R2785" s="7" t="n"/>
      <c r="U2785">
        <f>IF($C2785="","",IF($AJ2785=1,0,IF($AI2785=1,Settings!$C$6,Settings!$C$7))*100)</f>
        <v/>
      </c>
      <c r="V2785" s="7">
        <f>IF($C2785="","",R2785*U2785/100)</f>
        <v/>
      </c>
      <c r="W2785" s="7">
        <f>IF($C2785="","",R2785-V2785)</f>
        <v/>
      </c>
      <c r="X2785" s="7">
        <f>IF($C2785="","",W2785-K2785)</f>
        <v/>
      </c>
      <c r="AB2785" s="7" t="n"/>
      <c r="AE2785" s="11" t="n"/>
      <c r="AG2785">
        <f>IF($C2785="","",IF(COUNTIF($C$2:$C2785,$C2785)=1,1,0))</f>
        <v/>
      </c>
      <c r="AH2785">
        <f>IF($AG2785=1,SUMPRODUCT(--($AK$2:$AK$6001&lt;$AK2785))+1,"")</f>
        <v/>
      </c>
      <c r="AI2785">
        <f>IF($C2785="","",IF(OR($N2785=TRUE(),$N2785="TRUE"),1,0))</f>
        <v/>
      </c>
      <c r="AJ2785">
        <f>IF($C2785="","",IF($T2785="Yes",1,0))</f>
        <v/>
      </c>
      <c r="AK2785">
        <f>IF($AG2785=1,IFERROR(IF(VALUE($C2785)&lt;100000000,VALUE($C2785),1000000000),IFERROR(IF(VALUE(MID($C2785,2,20))&lt;100000000,VALUE(MID($C2785,2,20)),1000000000),1000000000))+ROW()/100000,"")</f>
        <v/>
      </c>
    </row>
    <row r="2786">
      <c r="D2786" s="11" t="n"/>
      <c r="K2786" s="7">
        <f>IF($C2786="","",J2786*W2786/100)</f>
        <v/>
      </c>
      <c r="Q2786" s="7" t="n"/>
      <c r="R2786" s="7" t="n"/>
      <c r="U2786">
        <f>IF($C2786="","",IF($AJ2786=1,0,IF($AI2786=1,Settings!$C$6,Settings!$C$7))*100)</f>
        <v/>
      </c>
      <c r="V2786" s="7">
        <f>IF($C2786="","",R2786*U2786/100)</f>
        <v/>
      </c>
      <c r="W2786" s="7">
        <f>IF($C2786="","",R2786-V2786)</f>
        <v/>
      </c>
      <c r="X2786" s="7">
        <f>IF($C2786="","",W2786-K2786)</f>
        <v/>
      </c>
      <c r="AB2786" s="7" t="n"/>
      <c r="AE2786" s="11" t="n"/>
      <c r="AG2786">
        <f>IF($C2786="","",IF(COUNTIF($C$2:$C2786,$C2786)=1,1,0))</f>
        <v/>
      </c>
      <c r="AH2786">
        <f>IF($AG2786=1,SUMPRODUCT(--($AK$2:$AK$6001&lt;$AK2786))+1,"")</f>
        <v/>
      </c>
      <c r="AI2786">
        <f>IF($C2786="","",IF(OR($N2786=TRUE(),$N2786="TRUE"),1,0))</f>
        <v/>
      </c>
      <c r="AJ2786">
        <f>IF($C2786="","",IF($T2786="Yes",1,0))</f>
        <v/>
      </c>
      <c r="AK2786">
        <f>IF($AG2786=1,IFERROR(IF(VALUE($C2786)&lt;100000000,VALUE($C2786),1000000000),IFERROR(IF(VALUE(MID($C2786,2,20))&lt;100000000,VALUE(MID($C2786,2,20)),1000000000),1000000000))+ROW()/100000,"")</f>
        <v/>
      </c>
    </row>
    <row r="2787">
      <c r="D2787" s="11" t="n"/>
      <c r="K2787" s="7">
        <f>IF($C2787="","",J2787*W2787/100)</f>
        <v/>
      </c>
      <c r="Q2787" s="7" t="n"/>
      <c r="R2787" s="7" t="n"/>
      <c r="U2787">
        <f>IF($C2787="","",IF($AJ2787=1,0,IF($AI2787=1,Settings!$C$6,Settings!$C$7))*100)</f>
        <v/>
      </c>
      <c r="V2787" s="7">
        <f>IF($C2787="","",R2787*U2787/100)</f>
        <v/>
      </c>
      <c r="W2787" s="7">
        <f>IF($C2787="","",R2787-V2787)</f>
        <v/>
      </c>
      <c r="X2787" s="7">
        <f>IF($C2787="","",W2787-K2787)</f>
        <v/>
      </c>
      <c r="AB2787" s="7" t="n"/>
      <c r="AE2787" s="11" t="n"/>
      <c r="AG2787">
        <f>IF($C2787="","",IF(COUNTIF($C$2:$C2787,$C2787)=1,1,0))</f>
        <v/>
      </c>
      <c r="AH2787">
        <f>IF($AG2787=1,SUMPRODUCT(--($AK$2:$AK$6001&lt;$AK2787))+1,"")</f>
        <v/>
      </c>
      <c r="AI2787">
        <f>IF($C2787="","",IF(OR($N2787=TRUE(),$N2787="TRUE"),1,0))</f>
        <v/>
      </c>
      <c r="AJ2787">
        <f>IF($C2787="","",IF($T2787="Yes",1,0))</f>
        <v/>
      </c>
      <c r="AK2787">
        <f>IF($AG2787=1,IFERROR(IF(VALUE($C2787)&lt;100000000,VALUE($C2787),1000000000),IFERROR(IF(VALUE(MID($C2787,2,20))&lt;100000000,VALUE(MID($C2787,2,20)),1000000000),1000000000))+ROW()/100000,"")</f>
        <v/>
      </c>
    </row>
    <row r="2788">
      <c r="D2788" s="11" t="n"/>
      <c r="K2788" s="7">
        <f>IF($C2788="","",J2788*W2788/100)</f>
        <v/>
      </c>
      <c r="Q2788" s="7" t="n"/>
      <c r="R2788" s="7" t="n"/>
      <c r="U2788">
        <f>IF($C2788="","",IF($AJ2788=1,0,IF($AI2788=1,Settings!$C$6,Settings!$C$7))*100)</f>
        <v/>
      </c>
      <c r="V2788" s="7">
        <f>IF($C2788="","",R2788*U2788/100)</f>
        <v/>
      </c>
      <c r="W2788" s="7">
        <f>IF($C2788="","",R2788-V2788)</f>
        <v/>
      </c>
      <c r="X2788" s="7">
        <f>IF($C2788="","",W2788-K2788)</f>
        <v/>
      </c>
      <c r="AB2788" s="7" t="n"/>
      <c r="AE2788" s="11" t="n"/>
      <c r="AG2788">
        <f>IF($C2788="","",IF(COUNTIF($C$2:$C2788,$C2788)=1,1,0))</f>
        <v/>
      </c>
      <c r="AH2788">
        <f>IF($AG2788=1,SUMPRODUCT(--($AK$2:$AK$6001&lt;$AK2788))+1,"")</f>
        <v/>
      </c>
      <c r="AI2788">
        <f>IF($C2788="","",IF(OR($N2788=TRUE(),$N2788="TRUE"),1,0))</f>
        <v/>
      </c>
      <c r="AJ2788">
        <f>IF($C2788="","",IF($T2788="Yes",1,0))</f>
        <v/>
      </c>
      <c r="AK2788">
        <f>IF($AG2788=1,IFERROR(IF(VALUE($C2788)&lt;100000000,VALUE($C2788),1000000000),IFERROR(IF(VALUE(MID($C2788,2,20))&lt;100000000,VALUE(MID($C2788,2,20)),1000000000),1000000000))+ROW()/100000,"")</f>
        <v/>
      </c>
    </row>
    <row r="2789">
      <c r="D2789" s="11" t="n"/>
      <c r="K2789" s="7">
        <f>IF($C2789="","",J2789*W2789/100)</f>
        <v/>
      </c>
      <c r="Q2789" s="7" t="n"/>
      <c r="R2789" s="7" t="n"/>
      <c r="U2789">
        <f>IF($C2789="","",IF($AJ2789=1,0,IF($AI2789=1,Settings!$C$6,Settings!$C$7))*100)</f>
        <v/>
      </c>
      <c r="V2789" s="7">
        <f>IF($C2789="","",R2789*U2789/100)</f>
        <v/>
      </c>
      <c r="W2789" s="7">
        <f>IF($C2789="","",R2789-V2789)</f>
        <v/>
      </c>
      <c r="X2789" s="7">
        <f>IF($C2789="","",W2789-K2789)</f>
        <v/>
      </c>
      <c r="AB2789" s="7" t="n"/>
      <c r="AE2789" s="11" t="n"/>
      <c r="AG2789">
        <f>IF($C2789="","",IF(COUNTIF($C$2:$C2789,$C2789)=1,1,0))</f>
        <v/>
      </c>
      <c r="AH2789">
        <f>IF($AG2789=1,SUMPRODUCT(--($AK$2:$AK$6001&lt;$AK2789))+1,"")</f>
        <v/>
      </c>
      <c r="AI2789">
        <f>IF($C2789="","",IF(OR($N2789=TRUE(),$N2789="TRUE"),1,0))</f>
        <v/>
      </c>
      <c r="AJ2789">
        <f>IF($C2789="","",IF($T2789="Yes",1,0))</f>
        <v/>
      </c>
      <c r="AK2789">
        <f>IF($AG2789=1,IFERROR(IF(VALUE($C2789)&lt;100000000,VALUE($C2789),1000000000),IFERROR(IF(VALUE(MID($C2789,2,20))&lt;100000000,VALUE(MID($C2789,2,20)),1000000000),1000000000))+ROW()/100000,"")</f>
        <v/>
      </c>
    </row>
    <row r="2790">
      <c r="D2790" s="11" t="n"/>
      <c r="K2790" s="7">
        <f>IF($C2790="","",J2790*W2790/100)</f>
        <v/>
      </c>
      <c r="Q2790" s="7" t="n"/>
      <c r="R2790" s="7" t="n"/>
      <c r="U2790">
        <f>IF($C2790="","",IF($AJ2790=1,0,IF($AI2790=1,Settings!$C$6,Settings!$C$7))*100)</f>
        <v/>
      </c>
      <c r="V2790" s="7">
        <f>IF($C2790="","",R2790*U2790/100)</f>
        <v/>
      </c>
      <c r="W2790" s="7">
        <f>IF($C2790="","",R2790-V2790)</f>
        <v/>
      </c>
      <c r="X2790" s="7">
        <f>IF($C2790="","",W2790-K2790)</f>
        <v/>
      </c>
      <c r="AB2790" s="7" t="n"/>
      <c r="AE2790" s="11" t="n"/>
      <c r="AG2790">
        <f>IF($C2790="","",IF(COUNTIF($C$2:$C2790,$C2790)=1,1,0))</f>
        <v/>
      </c>
      <c r="AH2790">
        <f>IF($AG2790=1,SUMPRODUCT(--($AK$2:$AK$6001&lt;$AK2790))+1,"")</f>
        <v/>
      </c>
      <c r="AI2790">
        <f>IF($C2790="","",IF(OR($N2790=TRUE(),$N2790="TRUE"),1,0))</f>
        <v/>
      </c>
      <c r="AJ2790">
        <f>IF($C2790="","",IF($T2790="Yes",1,0))</f>
        <v/>
      </c>
      <c r="AK2790">
        <f>IF($AG2790=1,IFERROR(IF(VALUE($C2790)&lt;100000000,VALUE($C2790),1000000000),IFERROR(IF(VALUE(MID($C2790,2,20))&lt;100000000,VALUE(MID($C2790,2,20)),1000000000),1000000000))+ROW()/100000,"")</f>
        <v/>
      </c>
    </row>
    <row r="2791">
      <c r="D2791" s="11" t="n"/>
      <c r="K2791" s="7">
        <f>IF($C2791="","",J2791*W2791/100)</f>
        <v/>
      </c>
      <c r="Q2791" s="7" t="n"/>
      <c r="R2791" s="7" t="n"/>
      <c r="U2791">
        <f>IF($C2791="","",IF($AJ2791=1,0,IF($AI2791=1,Settings!$C$6,Settings!$C$7))*100)</f>
        <v/>
      </c>
      <c r="V2791" s="7">
        <f>IF($C2791="","",R2791*U2791/100)</f>
        <v/>
      </c>
      <c r="W2791" s="7">
        <f>IF($C2791="","",R2791-V2791)</f>
        <v/>
      </c>
      <c r="X2791" s="7">
        <f>IF($C2791="","",W2791-K2791)</f>
        <v/>
      </c>
      <c r="AB2791" s="7" t="n"/>
      <c r="AE2791" s="11" t="n"/>
      <c r="AG2791">
        <f>IF($C2791="","",IF(COUNTIF($C$2:$C2791,$C2791)=1,1,0))</f>
        <v/>
      </c>
      <c r="AH2791">
        <f>IF($AG2791=1,SUMPRODUCT(--($AK$2:$AK$6001&lt;$AK2791))+1,"")</f>
        <v/>
      </c>
      <c r="AI2791">
        <f>IF($C2791="","",IF(OR($N2791=TRUE(),$N2791="TRUE"),1,0))</f>
        <v/>
      </c>
      <c r="AJ2791">
        <f>IF($C2791="","",IF($T2791="Yes",1,0))</f>
        <v/>
      </c>
      <c r="AK2791">
        <f>IF($AG2791=1,IFERROR(IF(VALUE($C2791)&lt;100000000,VALUE($C2791),1000000000),IFERROR(IF(VALUE(MID($C2791,2,20))&lt;100000000,VALUE(MID($C2791,2,20)),1000000000),1000000000))+ROW()/100000,"")</f>
        <v/>
      </c>
    </row>
    <row r="2792">
      <c r="D2792" s="11" t="n"/>
      <c r="K2792" s="7">
        <f>IF($C2792="","",J2792*W2792/100)</f>
        <v/>
      </c>
      <c r="Q2792" s="7" t="n"/>
      <c r="R2792" s="7" t="n"/>
      <c r="U2792">
        <f>IF($C2792="","",IF($AJ2792=1,0,IF($AI2792=1,Settings!$C$6,Settings!$C$7))*100)</f>
        <v/>
      </c>
      <c r="V2792" s="7">
        <f>IF($C2792="","",R2792*U2792/100)</f>
        <v/>
      </c>
      <c r="W2792" s="7">
        <f>IF($C2792="","",R2792-V2792)</f>
        <v/>
      </c>
      <c r="X2792" s="7">
        <f>IF($C2792="","",W2792-K2792)</f>
        <v/>
      </c>
      <c r="AB2792" s="7" t="n"/>
      <c r="AE2792" s="11" t="n"/>
      <c r="AG2792">
        <f>IF($C2792="","",IF(COUNTIF($C$2:$C2792,$C2792)=1,1,0))</f>
        <v/>
      </c>
      <c r="AH2792">
        <f>IF($AG2792=1,SUMPRODUCT(--($AK$2:$AK$6001&lt;$AK2792))+1,"")</f>
        <v/>
      </c>
      <c r="AI2792">
        <f>IF($C2792="","",IF(OR($N2792=TRUE(),$N2792="TRUE"),1,0))</f>
        <v/>
      </c>
      <c r="AJ2792">
        <f>IF($C2792="","",IF($T2792="Yes",1,0))</f>
        <v/>
      </c>
      <c r="AK2792">
        <f>IF($AG2792=1,IFERROR(IF(VALUE($C2792)&lt;100000000,VALUE($C2792),1000000000),IFERROR(IF(VALUE(MID($C2792,2,20))&lt;100000000,VALUE(MID($C2792,2,20)),1000000000),1000000000))+ROW()/100000,"")</f>
        <v/>
      </c>
    </row>
    <row r="2793">
      <c r="D2793" s="11" t="n"/>
      <c r="K2793" s="7">
        <f>IF($C2793="","",J2793*W2793/100)</f>
        <v/>
      </c>
      <c r="Q2793" s="7" t="n"/>
      <c r="R2793" s="7" t="n"/>
      <c r="U2793">
        <f>IF($C2793="","",IF($AJ2793=1,0,IF($AI2793=1,Settings!$C$6,Settings!$C$7))*100)</f>
        <v/>
      </c>
      <c r="V2793" s="7">
        <f>IF($C2793="","",R2793*U2793/100)</f>
        <v/>
      </c>
      <c r="W2793" s="7">
        <f>IF($C2793="","",R2793-V2793)</f>
        <v/>
      </c>
      <c r="X2793" s="7">
        <f>IF($C2793="","",W2793-K2793)</f>
        <v/>
      </c>
      <c r="AB2793" s="7" t="n"/>
      <c r="AE2793" s="11" t="n"/>
      <c r="AG2793">
        <f>IF($C2793="","",IF(COUNTIF($C$2:$C2793,$C2793)=1,1,0))</f>
        <v/>
      </c>
      <c r="AH2793">
        <f>IF($AG2793=1,SUMPRODUCT(--($AK$2:$AK$6001&lt;$AK2793))+1,"")</f>
        <v/>
      </c>
      <c r="AI2793">
        <f>IF($C2793="","",IF(OR($N2793=TRUE(),$N2793="TRUE"),1,0))</f>
        <v/>
      </c>
      <c r="AJ2793">
        <f>IF($C2793="","",IF($T2793="Yes",1,0))</f>
        <v/>
      </c>
      <c r="AK2793">
        <f>IF($AG2793=1,IFERROR(IF(VALUE($C2793)&lt;100000000,VALUE($C2793),1000000000),IFERROR(IF(VALUE(MID($C2793,2,20))&lt;100000000,VALUE(MID($C2793,2,20)),1000000000),1000000000))+ROW()/100000,"")</f>
        <v/>
      </c>
    </row>
    <row r="2794">
      <c r="D2794" s="11" t="n"/>
      <c r="K2794" s="7">
        <f>IF($C2794="","",J2794*W2794/100)</f>
        <v/>
      </c>
      <c r="Q2794" s="7" t="n"/>
      <c r="R2794" s="7" t="n"/>
      <c r="U2794">
        <f>IF($C2794="","",IF($AJ2794=1,0,IF($AI2794=1,Settings!$C$6,Settings!$C$7))*100)</f>
        <v/>
      </c>
      <c r="V2794" s="7">
        <f>IF($C2794="","",R2794*U2794/100)</f>
        <v/>
      </c>
      <c r="W2794" s="7">
        <f>IF($C2794="","",R2794-V2794)</f>
        <v/>
      </c>
      <c r="X2794" s="7">
        <f>IF($C2794="","",W2794-K2794)</f>
        <v/>
      </c>
      <c r="AB2794" s="7" t="n"/>
      <c r="AE2794" s="11" t="n"/>
      <c r="AG2794">
        <f>IF($C2794="","",IF(COUNTIF($C$2:$C2794,$C2794)=1,1,0))</f>
        <v/>
      </c>
      <c r="AH2794">
        <f>IF($AG2794=1,SUMPRODUCT(--($AK$2:$AK$6001&lt;$AK2794))+1,"")</f>
        <v/>
      </c>
      <c r="AI2794">
        <f>IF($C2794="","",IF(OR($N2794=TRUE(),$N2794="TRUE"),1,0))</f>
        <v/>
      </c>
      <c r="AJ2794">
        <f>IF($C2794="","",IF($T2794="Yes",1,0))</f>
        <v/>
      </c>
      <c r="AK2794">
        <f>IF($AG2794=1,IFERROR(IF(VALUE($C2794)&lt;100000000,VALUE($C2794),1000000000),IFERROR(IF(VALUE(MID($C2794,2,20))&lt;100000000,VALUE(MID($C2794,2,20)),1000000000),1000000000))+ROW()/100000,"")</f>
        <v/>
      </c>
    </row>
    <row r="2795">
      <c r="D2795" s="11" t="n"/>
      <c r="K2795" s="7">
        <f>IF($C2795="","",J2795*W2795/100)</f>
        <v/>
      </c>
      <c r="Q2795" s="7" t="n"/>
      <c r="R2795" s="7" t="n"/>
      <c r="U2795">
        <f>IF($C2795="","",IF($AJ2795=1,0,IF($AI2795=1,Settings!$C$6,Settings!$C$7))*100)</f>
        <v/>
      </c>
      <c r="V2795" s="7">
        <f>IF($C2795="","",R2795*U2795/100)</f>
        <v/>
      </c>
      <c r="W2795" s="7">
        <f>IF($C2795="","",R2795-V2795)</f>
        <v/>
      </c>
      <c r="X2795" s="7">
        <f>IF($C2795="","",W2795-K2795)</f>
        <v/>
      </c>
      <c r="AB2795" s="7" t="n"/>
      <c r="AE2795" s="11" t="n"/>
      <c r="AG2795">
        <f>IF($C2795="","",IF(COUNTIF($C$2:$C2795,$C2795)=1,1,0))</f>
        <v/>
      </c>
      <c r="AH2795">
        <f>IF($AG2795=1,SUMPRODUCT(--($AK$2:$AK$6001&lt;$AK2795))+1,"")</f>
        <v/>
      </c>
      <c r="AI2795">
        <f>IF($C2795="","",IF(OR($N2795=TRUE(),$N2795="TRUE"),1,0))</f>
        <v/>
      </c>
      <c r="AJ2795">
        <f>IF($C2795="","",IF($T2795="Yes",1,0))</f>
        <v/>
      </c>
      <c r="AK2795">
        <f>IF($AG2795=1,IFERROR(IF(VALUE($C2795)&lt;100000000,VALUE($C2795),1000000000),IFERROR(IF(VALUE(MID($C2795,2,20))&lt;100000000,VALUE(MID($C2795,2,20)),1000000000),1000000000))+ROW()/100000,"")</f>
        <v/>
      </c>
    </row>
    <row r="2796">
      <c r="D2796" s="11" t="n"/>
      <c r="K2796" s="7">
        <f>IF($C2796="","",J2796*W2796/100)</f>
        <v/>
      </c>
      <c r="Q2796" s="7" t="n"/>
      <c r="R2796" s="7" t="n"/>
      <c r="U2796">
        <f>IF($C2796="","",IF($AJ2796=1,0,IF($AI2796=1,Settings!$C$6,Settings!$C$7))*100)</f>
        <v/>
      </c>
      <c r="V2796" s="7">
        <f>IF($C2796="","",R2796*U2796/100)</f>
        <v/>
      </c>
      <c r="W2796" s="7">
        <f>IF($C2796="","",R2796-V2796)</f>
        <v/>
      </c>
      <c r="X2796" s="7">
        <f>IF($C2796="","",W2796-K2796)</f>
        <v/>
      </c>
      <c r="AB2796" s="7" t="n"/>
      <c r="AE2796" s="11" t="n"/>
      <c r="AG2796">
        <f>IF($C2796="","",IF(COUNTIF($C$2:$C2796,$C2796)=1,1,0))</f>
        <v/>
      </c>
      <c r="AH2796">
        <f>IF($AG2796=1,SUMPRODUCT(--($AK$2:$AK$6001&lt;$AK2796))+1,"")</f>
        <v/>
      </c>
      <c r="AI2796">
        <f>IF($C2796="","",IF(OR($N2796=TRUE(),$N2796="TRUE"),1,0))</f>
        <v/>
      </c>
      <c r="AJ2796">
        <f>IF($C2796="","",IF($T2796="Yes",1,0))</f>
        <v/>
      </c>
      <c r="AK2796">
        <f>IF($AG2796=1,IFERROR(IF(VALUE($C2796)&lt;100000000,VALUE($C2796),1000000000),IFERROR(IF(VALUE(MID($C2796,2,20))&lt;100000000,VALUE(MID($C2796,2,20)),1000000000),1000000000))+ROW()/100000,"")</f>
        <v/>
      </c>
    </row>
    <row r="2797">
      <c r="D2797" s="11" t="n"/>
      <c r="K2797" s="7">
        <f>IF($C2797="","",J2797*W2797/100)</f>
        <v/>
      </c>
      <c r="Q2797" s="7" t="n"/>
      <c r="R2797" s="7" t="n"/>
      <c r="U2797">
        <f>IF($C2797="","",IF($AJ2797=1,0,IF($AI2797=1,Settings!$C$6,Settings!$C$7))*100)</f>
        <v/>
      </c>
      <c r="V2797" s="7">
        <f>IF($C2797="","",R2797*U2797/100)</f>
        <v/>
      </c>
      <c r="W2797" s="7">
        <f>IF($C2797="","",R2797-V2797)</f>
        <v/>
      </c>
      <c r="X2797" s="7">
        <f>IF($C2797="","",W2797-K2797)</f>
        <v/>
      </c>
      <c r="AB2797" s="7" t="n"/>
      <c r="AE2797" s="11" t="n"/>
      <c r="AG2797">
        <f>IF($C2797="","",IF(COUNTIF($C$2:$C2797,$C2797)=1,1,0))</f>
        <v/>
      </c>
      <c r="AH2797">
        <f>IF($AG2797=1,SUMPRODUCT(--($AK$2:$AK$6001&lt;$AK2797))+1,"")</f>
        <v/>
      </c>
      <c r="AI2797">
        <f>IF($C2797="","",IF(OR($N2797=TRUE(),$N2797="TRUE"),1,0))</f>
        <v/>
      </c>
      <c r="AJ2797">
        <f>IF($C2797="","",IF($T2797="Yes",1,0))</f>
        <v/>
      </c>
      <c r="AK2797">
        <f>IF($AG2797=1,IFERROR(IF(VALUE($C2797)&lt;100000000,VALUE($C2797),1000000000),IFERROR(IF(VALUE(MID($C2797,2,20))&lt;100000000,VALUE(MID($C2797,2,20)),1000000000),1000000000))+ROW()/100000,"")</f>
        <v/>
      </c>
    </row>
    <row r="2798">
      <c r="D2798" s="11" t="n"/>
      <c r="K2798" s="7">
        <f>IF($C2798="","",J2798*W2798/100)</f>
        <v/>
      </c>
      <c r="Q2798" s="7" t="n"/>
      <c r="R2798" s="7" t="n"/>
      <c r="U2798">
        <f>IF($C2798="","",IF($AJ2798=1,0,IF($AI2798=1,Settings!$C$6,Settings!$C$7))*100)</f>
        <v/>
      </c>
      <c r="V2798" s="7">
        <f>IF($C2798="","",R2798*U2798/100)</f>
        <v/>
      </c>
      <c r="W2798" s="7">
        <f>IF($C2798="","",R2798-V2798)</f>
        <v/>
      </c>
      <c r="X2798" s="7">
        <f>IF($C2798="","",W2798-K2798)</f>
        <v/>
      </c>
      <c r="AB2798" s="7" t="n"/>
      <c r="AE2798" s="11" t="n"/>
      <c r="AG2798">
        <f>IF($C2798="","",IF(COUNTIF($C$2:$C2798,$C2798)=1,1,0))</f>
        <v/>
      </c>
      <c r="AH2798">
        <f>IF($AG2798=1,SUMPRODUCT(--($AK$2:$AK$6001&lt;$AK2798))+1,"")</f>
        <v/>
      </c>
      <c r="AI2798">
        <f>IF($C2798="","",IF(OR($N2798=TRUE(),$N2798="TRUE"),1,0))</f>
        <v/>
      </c>
      <c r="AJ2798">
        <f>IF($C2798="","",IF($T2798="Yes",1,0))</f>
        <v/>
      </c>
      <c r="AK2798">
        <f>IF($AG2798=1,IFERROR(IF(VALUE($C2798)&lt;100000000,VALUE($C2798),1000000000),IFERROR(IF(VALUE(MID($C2798,2,20))&lt;100000000,VALUE(MID($C2798,2,20)),1000000000),1000000000))+ROW()/100000,"")</f>
        <v/>
      </c>
    </row>
    <row r="2799">
      <c r="D2799" s="11" t="n"/>
      <c r="K2799" s="7">
        <f>IF($C2799="","",J2799*W2799/100)</f>
        <v/>
      </c>
      <c r="Q2799" s="7" t="n"/>
      <c r="R2799" s="7" t="n"/>
      <c r="U2799">
        <f>IF($C2799="","",IF($AJ2799=1,0,IF($AI2799=1,Settings!$C$6,Settings!$C$7))*100)</f>
        <v/>
      </c>
      <c r="V2799" s="7">
        <f>IF($C2799="","",R2799*U2799/100)</f>
        <v/>
      </c>
      <c r="W2799" s="7">
        <f>IF($C2799="","",R2799-V2799)</f>
        <v/>
      </c>
      <c r="X2799" s="7">
        <f>IF($C2799="","",W2799-K2799)</f>
        <v/>
      </c>
      <c r="AB2799" s="7" t="n"/>
      <c r="AE2799" s="11" t="n"/>
      <c r="AG2799">
        <f>IF($C2799="","",IF(COUNTIF($C$2:$C2799,$C2799)=1,1,0))</f>
        <v/>
      </c>
      <c r="AH2799">
        <f>IF($AG2799=1,SUMPRODUCT(--($AK$2:$AK$6001&lt;$AK2799))+1,"")</f>
        <v/>
      </c>
      <c r="AI2799">
        <f>IF($C2799="","",IF(OR($N2799=TRUE(),$N2799="TRUE"),1,0))</f>
        <v/>
      </c>
      <c r="AJ2799">
        <f>IF($C2799="","",IF($T2799="Yes",1,0))</f>
        <v/>
      </c>
      <c r="AK2799">
        <f>IF($AG2799=1,IFERROR(IF(VALUE($C2799)&lt;100000000,VALUE($C2799),1000000000),IFERROR(IF(VALUE(MID($C2799,2,20))&lt;100000000,VALUE(MID($C2799,2,20)),1000000000),1000000000))+ROW()/100000,"")</f>
        <v/>
      </c>
    </row>
    <row r="2800">
      <c r="D2800" s="11" t="n"/>
      <c r="K2800" s="7">
        <f>IF($C2800="","",J2800*W2800/100)</f>
        <v/>
      </c>
      <c r="Q2800" s="7" t="n"/>
      <c r="R2800" s="7" t="n"/>
      <c r="U2800">
        <f>IF($C2800="","",IF($AJ2800=1,0,IF($AI2800=1,Settings!$C$6,Settings!$C$7))*100)</f>
        <v/>
      </c>
      <c r="V2800" s="7">
        <f>IF($C2800="","",R2800*U2800/100)</f>
        <v/>
      </c>
      <c r="W2800" s="7">
        <f>IF($C2800="","",R2800-V2800)</f>
        <v/>
      </c>
      <c r="X2800" s="7">
        <f>IF($C2800="","",W2800-K2800)</f>
        <v/>
      </c>
      <c r="AB2800" s="7" t="n"/>
      <c r="AE2800" s="11" t="n"/>
      <c r="AG2800">
        <f>IF($C2800="","",IF(COUNTIF($C$2:$C2800,$C2800)=1,1,0))</f>
        <v/>
      </c>
      <c r="AH2800">
        <f>IF($AG2800=1,SUMPRODUCT(--($AK$2:$AK$6001&lt;$AK2800))+1,"")</f>
        <v/>
      </c>
      <c r="AI2800">
        <f>IF($C2800="","",IF(OR($N2800=TRUE(),$N2800="TRUE"),1,0))</f>
        <v/>
      </c>
      <c r="AJ2800">
        <f>IF($C2800="","",IF($T2800="Yes",1,0))</f>
        <v/>
      </c>
      <c r="AK2800">
        <f>IF($AG2800=1,IFERROR(IF(VALUE($C2800)&lt;100000000,VALUE($C2800),1000000000),IFERROR(IF(VALUE(MID($C2800,2,20))&lt;100000000,VALUE(MID($C2800,2,20)),1000000000),1000000000))+ROW()/100000,"")</f>
        <v/>
      </c>
    </row>
    <row r="2801">
      <c r="D2801" s="11" t="n"/>
      <c r="K2801" s="7">
        <f>IF($C2801="","",J2801*W2801/100)</f>
        <v/>
      </c>
      <c r="Q2801" s="7" t="n"/>
      <c r="R2801" s="7" t="n"/>
      <c r="U2801">
        <f>IF($C2801="","",IF($AJ2801=1,0,IF($AI2801=1,Settings!$C$6,Settings!$C$7))*100)</f>
        <v/>
      </c>
      <c r="V2801" s="7">
        <f>IF($C2801="","",R2801*U2801/100)</f>
        <v/>
      </c>
      <c r="W2801" s="7">
        <f>IF($C2801="","",R2801-V2801)</f>
        <v/>
      </c>
      <c r="X2801" s="7">
        <f>IF($C2801="","",W2801-K2801)</f>
        <v/>
      </c>
      <c r="AB2801" s="7" t="n"/>
      <c r="AE2801" s="11" t="n"/>
      <c r="AG2801">
        <f>IF($C2801="","",IF(COUNTIF($C$2:$C2801,$C2801)=1,1,0))</f>
        <v/>
      </c>
      <c r="AH2801">
        <f>IF($AG2801=1,SUMPRODUCT(--($AK$2:$AK$6001&lt;$AK2801))+1,"")</f>
        <v/>
      </c>
      <c r="AI2801">
        <f>IF($C2801="","",IF(OR($N2801=TRUE(),$N2801="TRUE"),1,0))</f>
        <v/>
      </c>
      <c r="AJ2801">
        <f>IF($C2801="","",IF($T2801="Yes",1,0))</f>
        <v/>
      </c>
      <c r="AK2801">
        <f>IF($AG2801=1,IFERROR(IF(VALUE($C2801)&lt;100000000,VALUE($C2801),1000000000),IFERROR(IF(VALUE(MID($C2801,2,20))&lt;100000000,VALUE(MID($C2801,2,20)),1000000000),1000000000))+ROW()/100000,"")</f>
        <v/>
      </c>
    </row>
    <row r="2802">
      <c r="D2802" s="11" t="n"/>
      <c r="K2802" s="7">
        <f>IF($C2802="","",J2802*W2802/100)</f>
        <v/>
      </c>
      <c r="Q2802" s="7" t="n"/>
      <c r="R2802" s="7" t="n"/>
      <c r="U2802">
        <f>IF($C2802="","",IF($AJ2802=1,0,IF($AI2802=1,Settings!$C$6,Settings!$C$7))*100)</f>
        <v/>
      </c>
      <c r="V2802" s="7">
        <f>IF($C2802="","",R2802*U2802/100)</f>
        <v/>
      </c>
      <c r="W2802" s="7">
        <f>IF($C2802="","",R2802-V2802)</f>
        <v/>
      </c>
      <c r="X2802" s="7">
        <f>IF($C2802="","",W2802-K2802)</f>
        <v/>
      </c>
      <c r="AB2802" s="7" t="n"/>
      <c r="AE2802" s="11" t="n"/>
      <c r="AG2802">
        <f>IF($C2802="","",IF(COUNTIF($C$2:$C2802,$C2802)=1,1,0))</f>
        <v/>
      </c>
      <c r="AH2802">
        <f>IF($AG2802=1,SUMPRODUCT(--($AK$2:$AK$6001&lt;$AK2802))+1,"")</f>
        <v/>
      </c>
      <c r="AI2802">
        <f>IF($C2802="","",IF(OR($N2802=TRUE(),$N2802="TRUE"),1,0))</f>
        <v/>
      </c>
      <c r="AJ2802">
        <f>IF($C2802="","",IF($T2802="Yes",1,0))</f>
        <v/>
      </c>
      <c r="AK2802">
        <f>IF($AG2802=1,IFERROR(IF(VALUE($C2802)&lt;100000000,VALUE($C2802),1000000000),IFERROR(IF(VALUE(MID($C2802,2,20))&lt;100000000,VALUE(MID($C2802,2,20)),1000000000),1000000000))+ROW()/100000,"")</f>
        <v/>
      </c>
    </row>
    <row r="2803">
      <c r="D2803" s="11" t="n"/>
      <c r="K2803" s="7">
        <f>IF($C2803="","",J2803*W2803/100)</f>
        <v/>
      </c>
      <c r="Q2803" s="7" t="n"/>
      <c r="R2803" s="7" t="n"/>
      <c r="U2803">
        <f>IF($C2803="","",IF($AJ2803=1,0,IF($AI2803=1,Settings!$C$6,Settings!$C$7))*100)</f>
        <v/>
      </c>
      <c r="V2803" s="7">
        <f>IF($C2803="","",R2803*U2803/100)</f>
        <v/>
      </c>
      <c r="W2803" s="7">
        <f>IF($C2803="","",R2803-V2803)</f>
        <v/>
      </c>
      <c r="X2803" s="7">
        <f>IF($C2803="","",W2803-K2803)</f>
        <v/>
      </c>
      <c r="AB2803" s="7" t="n"/>
      <c r="AE2803" s="11" t="n"/>
      <c r="AG2803">
        <f>IF($C2803="","",IF(COUNTIF($C$2:$C2803,$C2803)=1,1,0))</f>
        <v/>
      </c>
      <c r="AH2803">
        <f>IF($AG2803=1,SUMPRODUCT(--($AK$2:$AK$6001&lt;$AK2803))+1,"")</f>
        <v/>
      </c>
      <c r="AI2803">
        <f>IF($C2803="","",IF(OR($N2803=TRUE(),$N2803="TRUE"),1,0))</f>
        <v/>
      </c>
      <c r="AJ2803">
        <f>IF($C2803="","",IF($T2803="Yes",1,0))</f>
        <v/>
      </c>
      <c r="AK2803">
        <f>IF($AG2803=1,IFERROR(IF(VALUE($C2803)&lt;100000000,VALUE($C2803),1000000000),IFERROR(IF(VALUE(MID($C2803,2,20))&lt;100000000,VALUE(MID($C2803,2,20)),1000000000),1000000000))+ROW()/100000,"")</f>
        <v/>
      </c>
    </row>
    <row r="2804">
      <c r="D2804" s="11" t="n"/>
      <c r="K2804" s="7">
        <f>IF($C2804="","",J2804*W2804/100)</f>
        <v/>
      </c>
      <c r="Q2804" s="7" t="n"/>
      <c r="R2804" s="7" t="n"/>
      <c r="U2804">
        <f>IF($C2804="","",IF($AJ2804=1,0,IF($AI2804=1,Settings!$C$6,Settings!$C$7))*100)</f>
        <v/>
      </c>
      <c r="V2804" s="7">
        <f>IF($C2804="","",R2804*U2804/100)</f>
        <v/>
      </c>
      <c r="W2804" s="7">
        <f>IF($C2804="","",R2804-V2804)</f>
        <v/>
      </c>
      <c r="X2804" s="7">
        <f>IF($C2804="","",W2804-K2804)</f>
        <v/>
      </c>
      <c r="AB2804" s="7" t="n"/>
      <c r="AE2804" s="11" t="n"/>
      <c r="AG2804">
        <f>IF($C2804="","",IF(COUNTIF($C$2:$C2804,$C2804)=1,1,0))</f>
        <v/>
      </c>
      <c r="AH2804">
        <f>IF($AG2804=1,SUMPRODUCT(--($AK$2:$AK$6001&lt;$AK2804))+1,"")</f>
        <v/>
      </c>
      <c r="AI2804">
        <f>IF($C2804="","",IF(OR($N2804=TRUE(),$N2804="TRUE"),1,0))</f>
        <v/>
      </c>
      <c r="AJ2804">
        <f>IF($C2804="","",IF($T2804="Yes",1,0))</f>
        <v/>
      </c>
      <c r="AK2804">
        <f>IF($AG2804=1,IFERROR(IF(VALUE($C2804)&lt;100000000,VALUE($C2804),1000000000),IFERROR(IF(VALUE(MID($C2804,2,20))&lt;100000000,VALUE(MID($C2804,2,20)),1000000000),1000000000))+ROW()/100000,"")</f>
        <v/>
      </c>
    </row>
    <row r="2805">
      <c r="D2805" s="11" t="n"/>
      <c r="K2805" s="7">
        <f>IF($C2805="","",J2805*W2805/100)</f>
        <v/>
      </c>
      <c r="Q2805" s="7" t="n"/>
      <c r="R2805" s="7" t="n"/>
      <c r="U2805">
        <f>IF($C2805="","",IF($AJ2805=1,0,IF($AI2805=1,Settings!$C$6,Settings!$C$7))*100)</f>
        <v/>
      </c>
      <c r="V2805" s="7">
        <f>IF($C2805="","",R2805*U2805/100)</f>
        <v/>
      </c>
      <c r="W2805" s="7">
        <f>IF($C2805="","",R2805-V2805)</f>
        <v/>
      </c>
      <c r="X2805" s="7">
        <f>IF($C2805="","",W2805-K2805)</f>
        <v/>
      </c>
      <c r="AB2805" s="7" t="n"/>
      <c r="AE2805" s="11" t="n"/>
      <c r="AG2805">
        <f>IF($C2805="","",IF(COUNTIF($C$2:$C2805,$C2805)=1,1,0))</f>
        <v/>
      </c>
      <c r="AH2805">
        <f>IF($AG2805=1,SUMPRODUCT(--($AK$2:$AK$6001&lt;$AK2805))+1,"")</f>
        <v/>
      </c>
      <c r="AI2805">
        <f>IF($C2805="","",IF(OR($N2805=TRUE(),$N2805="TRUE"),1,0))</f>
        <v/>
      </c>
      <c r="AJ2805">
        <f>IF($C2805="","",IF($T2805="Yes",1,0))</f>
        <v/>
      </c>
      <c r="AK2805">
        <f>IF($AG2805=1,IFERROR(IF(VALUE($C2805)&lt;100000000,VALUE($C2805),1000000000),IFERROR(IF(VALUE(MID($C2805,2,20))&lt;100000000,VALUE(MID($C2805,2,20)),1000000000),1000000000))+ROW()/100000,"")</f>
        <v/>
      </c>
    </row>
    <row r="2806">
      <c r="D2806" s="11" t="n"/>
      <c r="K2806" s="7">
        <f>IF($C2806="","",J2806*W2806/100)</f>
        <v/>
      </c>
      <c r="Q2806" s="7" t="n"/>
      <c r="R2806" s="7" t="n"/>
      <c r="U2806">
        <f>IF($C2806="","",IF($AJ2806=1,0,IF($AI2806=1,Settings!$C$6,Settings!$C$7))*100)</f>
        <v/>
      </c>
      <c r="V2806" s="7">
        <f>IF($C2806="","",R2806*U2806/100)</f>
        <v/>
      </c>
      <c r="W2806" s="7">
        <f>IF($C2806="","",R2806-V2806)</f>
        <v/>
      </c>
      <c r="X2806" s="7">
        <f>IF($C2806="","",W2806-K2806)</f>
        <v/>
      </c>
      <c r="AB2806" s="7" t="n"/>
      <c r="AE2806" s="11" t="n"/>
      <c r="AG2806">
        <f>IF($C2806="","",IF(COUNTIF($C$2:$C2806,$C2806)=1,1,0))</f>
        <v/>
      </c>
      <c r="AH2806">
        <f>IF($AG2806=1,SUMPRODUCT(--($AK$2:$AK$6001&lt;$AK2806))+1,"")</f>
        <v/>
      </c>
      <c r="AI2806">
        <f>IF($C2806="","",IF(OR($N2806=TRUE(),$N2806="TRUE"),1,0))</f>
        <v/>
      </c>
      <c r="AJ2806">
        <f>IF($C2806="","",IF($T2806="Yes",1,0))</f>
        <v/>
      </c>
      <c r="AK2806">
        <f>IF($AG2806=1,IFERROR(IF(VALUE($C2806)&lt;100000000,VALUE($C2806),1000000000),IFERROR(IF(VALUE(MID($C2806,2,20))&lt;100000000,VALUE(MID($C2806,2,20)),1000000000),1000000000))+ROW()/100000,"")</f>
        <v/>
      </c>
    </row>
    <row r="2807">
      <c r="D2807" s="11" t="n"/>
      <c r="K2807" s="7">
        <f>IF($C2807="","",J2807*W2807/100)</f>
        <v/>
      </c>
      <c r="Q2807" s="7" t="n"/>
      <c r="R2807" s="7" t="n"/>
      <c r="U2807">
        <f>IF($C2807="","",IF($AJ2807=1,0,IF($AI2807=1,Settings!$C$6,Settings!$C$7))*100)</f>
        <v/>
      </c>
      <c r="V2807" s="7">
        <f>IF($C2807="","",R2807*U2807/100)</f>
        <v/>
      </c>
      <c r="W2807" s="7">
        <f>IF($C2807="","",R2807-V2807)</f>
        <v/>
      </c>
      <c r="X2807" s="7">
        <f>IF($C2807="","",W2807-K2807)</f>
        <v/>
      </c>
      <c r="AB2807" s="7" t="n"/>
      <c r="AE2807" s="11" t="n"/>
      <c r="AG2807">
        <f>IF($C2807="","",IF(COUNTIF($C$2:$C2807,$C2807)=1,1,0))</f>
        <v/>
      </c>
      <c r="AH2807">
        <f>IF($AG2807=1,SUMPRODUCT(--($AK$2:$AK$6001&lt;$AK2807))+1,"")</f>
        <v/>
      </c>
      <c r="AI2807">
        <f>IF($C2807="","",IF(OR($N2807=TRUE(),$N2807="TRUE"),1,0))</f>
        <v/>
      </c>
      <c r="AJ2807">
        <f>IF($C2807="","",IF($T2807="Yes",1,0))</f>
        <v/>
      </c>
      <c r="AK2807">
        <f>IF($AG2807=1,IFERROR(IF(VALUE($C2807)&lt;100000000,VALUE($C2807),1000000000),IFERROR(IF(VALUE(MID($C2807,2,20))&lt;100000000,VALUE(MID($C2807,2,20)),1000000000),1000000000))+ROW()/100000,"")</f>
        <v/>
      </c>
    </row>
    <row r="2808">
      <c r="D2808" s="11" t="n"/>
      <c r="K2808" s="7">
        <f>IF($C2808="","",J2808*W2808/100)</f>
        <v/>
      </c>
      <c r="Q2808" s="7" t="n"/>
      <c r="R2808" s="7" t="n"/>
      <c r="U2808">
        <f>IF($C2808="","",IF($AJ2808=1,0,IF($AI2808=1,Settings!$C$6,Settings!$C$7))*100)</f>
        <v/>
      </c>
      <c r="V2808" s="7">
        <f>IF($C2808="","",R2808*U2808/100)</f>
        <v/>
      </c>
      <c r="W2808" s="7">
        <f>IF($C2808="","",R2808-V2808)</f>
        <v/>
      </c>
      <c r="X2808" s="7">
        <f>IF($C2808="","",W2808-K2808)</f>
        <v/>
      </c>
      <c r="AB2808" s="7" t="n"/>
      <c r="AE2808" s="11" t="n"/>
      <c r="AG2808">
        <f>IF($C2808="","",IF(COUNTIF($C$2:$C2808,$C2808)=1,1,0))</f>
        <v/>
      </c>
      <c r="AH2808">
        <f>IF($AG2808=1,SUMPRODUCT(--($AK$2:$AK$6001&lt;$AK2808))+1,"")</f>
        <v/>
      </c>
      <c r="AI2808">
        <f>IF($C2808="","",IF(OR($N2808=TRUE(),$N2808="TRUE"),1,0))</f>
        <v/>
      </c>
      <c r="AJ2808">
        <f>IF($C2808="","",IF($T2808="Yes",1,0))</f>
        <v/>
      </c>
      <c r="AK2808">
        <f>IF($AG2808=1,IFERROR(IF(VALUE($C2808)&lt;100000000,VALUE($C2808),1000000000),IFERROR(IF(VALUE(MID($C2808,2,20))&lt;100000000,VALUE(MID($C2808,2,20)),1000000000),1000000000))+ROW()/100000,"")</f>
        <v/>
      </c>
    </row>
    <row r="2809">
      <c r="D2809" s="11" t="n"/>
      <c r="K2809" s="7">
        <f>IF($C2809="","",J2809*W2809/100)</f>
        <v/>
      </c>
      <c r="Q2809" s="7" t="n"/>
      <c r="R2809" s="7" t="n"/>
      <c r="U2809">
        <f>IF($C2809="","",IF($AJ2809=1,0,IF($AI2809=1,Settings!$C$6,Settings!$C$7))*100)</f>
        <v/>
      </c>
      <c r="V2809" s="7">
        <f>IF($C2809="","",R2809*U2809/100)</f>
        <v/>
      </c>
      <c r="W2809" s="7">
        <f>IF($C2809="","",R2809-V2809)</f>
        <v/>
      </c>
      <c r="X2809" s="7">
        <f>IF($C2809="","",W2809-K2809)</f>
        <v/>
      </c>
      <c r="AB2809" s="7" t="n"/>
      <c r="AE2809" s="11" t="n"/>
      <c r="AG2809">
        <f>IF($C2809="","",IF(COUNTIF($C$2:$C2809,$C2809)=1,1,0))</f>
        <v/>
      </c>
      <c r="AH2809">
        <f>IF($AG2809=1,SUMPRODUCT(--($AK$2:$AK$6001&lt;$AK2809))+1,"")</f>
        <v/>
      </c>
      <c r="AI2809">
        <f>IF($C2809="","",IF(OR($N2809=TRUE(),$N2809="TRUE"),1,0))</f>
        <v/>
      </c>
      <c r="AJ2809">
        <f>IF($C2809="","",IF($T2809="Yes",1,0))</f>
        <v/>
      </c>
      <c r="AK2809">
        <f>IF($AG2809=1,IFERROR(IF(VALUE($C2809)&lt;100000000,VALUE($C2809),1000000000),IFERROR(IF(VALUE(MID($C2809,2,20))&lt;100000000,VALUE(MID($C2809,2,20)),1000000000),1000000000))+ROW()/100000,"")</f>
        <v/>
      </c>
    </row>
    <row r="2810">
      <c r="D2810" s="11" t="n"/>
      <c r="K2810" s="7">
        <f>IF($C2810="","",J2810*W2810/100)</f>
        <v/>
      </c>
      <c r="Q2810" s="7" t="n"/>
      <c r="R2810" s="7" t="n"/>
      <c r="U2810">
        <f>IF($C2810="","",IF($AJ2810=1,0,IF($AI2810=1,Settings!$C$6,Settings!$C$7))*100)</f>
        <v/>
      </c>
      <c r="V2810" s="7">
        <f>IF($C2810="","",R2810*U2810/100)</f>
        <v/>
      </c>
      <c r="W2810" s="7">
        <f>IF($C2810="","",R2810-V2810)</f>
        <v/>
      </c>
      <c r="X2810" s="7">
        <f>IF($C2810="","",W2810-K2810)</f>
        <v/>
      </c>
      <c r="AB2810" s="7" t="n"/>
      <c r="AE2810" s="11" t="n"/>
      <c r="AG2810">
        <f>IF($C2810="","",IF(COUNTIF($C$2:$C2810,$C2810)=1,1,0))</f>
        <v/>
      </c>
      <c r="AH2810">
        <f>IF($AG2810=1,SUMPRODUCT(--($AK$2:$AK$6001&lt;$AK2810))+1,"")</f>
        <v/>
      </c>
      <c r="AI2810">
        <f>IF($C2810="","",IF(OR($N2810=TRUE(),$N2810="TRUE"),1,0))</f>
        <v/>
      </c>
      <c r="AJ2810">
        <f>IF($C2810="","",IF($T2810="Yes",1,0))</f>
        <v/>
      </c>
      <c r="AK2810">
        <f>IF($AG2810=1,IFERROR(IF(VALUE($C2810)&lt;100000000,VALUE($C2810),1000000000),IFERROR(IF(VALUE(MID($C2810,2,20))&lt;100000000,VALUE(MID($C2810,2,20)),1000000000),1000000000))+ROW()/100000,"")</f>
        <v/>
      </c>
    </row>
    <row r="2811">
      <c r="D2811" s="11" t="n"/>
      <c r="K2811" s="7">
        <f>IF($C2811="","",J2811*W2811/100)</f>
        <v/>
      </c>
      <c r="Q2811" s="7" t="n"/>
      <c r="R2811" s="7" t="n"/>
      <c r="U2811">
        <f>IF($C2811="","",IF($AJ2811=1,0,IF($AI2811=1,Settings!$C$6,Settings!$C$7))*100)</f>
        <v/>
      </c>
      <c r="V2811" s="7">
        <f>IF($C2811="","",R2811*U2811/100)</f>
        <v/>
      </c>
      <c r="W2811" s="7">
        <f>IF($C2811="","",R2811-V2811)</f>
        <v/>
      </c>
      <c r="X2811" s="7">
        <f>IF($C2811="","",W2811-K2811)</f>
        <v/>
      </c>
      <c r="AB2811" s="7" t="n"/>
      <c r="AE2811" s="11" t="n"/>
      <c r="AG2811">
        <f>IF($C2811="","",IF(COUNTIF($C$2:$C2811,$C2811)=1,1,0))</f>
        <v/>
      </c>
      <c r="AH2811">
        <f>IF($AG2811=1,SUMPRODUCT(--($AK$2:$AK$6001&lt;$AK2811))+1,"")</f>
        <v/>
      </c>
      <c r="AI2811">
        <f>IF($C2811="","",IF(OR($N2811=TRUE(),$N2811="TRUE"),1,0))</f>
        <v/>
      </c>
      <c r="AJ2811">
        <f>IF($C2811="","",IF($T2811="Yes",1,0))</f>
        <v/>
      </c>
      <c r="AK2811">
        <f>IF($AG2811=1,IFERROR(IF(VALUE($C2811)&lt;100000000,VALUE($C2811),1000000000),IFERROR(IF(VALUE(MID($C2811,2,20))&lt;100000000,VALUE(MID($C2811,2,20)),1000000000),1000000000))+ROW()/100000,"")</f>
        <v/>
      </c>
    </row>
    <row r="2812">
      <c r="D2812" s="11" t="n"/>
      <c r="K2812" s="7">
        <f>IF($C2812="","",J2812*W2812/100)</f>
        <v/>
      </c>
      <c r="Q2812" s="7" t="n"/>
      <c r="R2812" s="7" t="n"/>
      <c r="U2812">
        <f>IF($C2812="","",IF($AJ2812=1,0,IF($AI2812=1,Settings!$C$6,Settings!$C$7))*100)</f>
        <v/>
      </c>
      <c r="V2812" s="7">
        <f>IF($C2812="","",R2812*U2812/100)</f>
        <v/>
      </c>
      <c r="W2812" s="7">
        <f>IF($C2812="","",R2812-V2812)</f>
        <v/>
      </c>
      <c r="X2812" s="7">
        <f>IF($C2812="","",W2812-K2812)</f>
        <v/>
      </c>
      <c r="AB2812" s="7" t="n"/>
      <c r="AE2812" s="11" t="n"/>
      <c r="AG2812">
        <f>IF($C2812="","",IF(COUNTIF($C$2:$C2812,$C2812)=1,1,0))</f>
        <v/>
      </c>
      <c r="AH2812">
        <f>IF($AG2812=1,SUMPRODUCT(--($AK$2:$AK$6001&lt;$AK2812))+1,"")</f>
        <v/>
      </c>
      <c r="AI2812">
        <f>IF($C2812="","",IF(OR($N2812=TRUE(),$N2812="TRUE"),1,0))</f>
        <v/>
      </c>
      <c r="AJ2812">
        <f>IF($C2812="","",IF($T2812="Yes",1,0))</f>
        <v/>
      </c>
      <c r="AK2812">
        <f>IF($AG2812=1,IFERROR(IF(VALUE($C2812)&lt;100000000,VALUE($C2812),1000000000),IFERROR(IF(VALUE(MID($C2812,2,20))&lt;100000000,VALUE(MID($C2812,2,20)),1000000000),1000000000))+ROW()/100000,"")</f>
        <v/>
      </c>
    </row>
    <row r="2813">
      <c r="D2813" s="11" t="n"/>
      <c r="K2813" s="7">
        <f>IF($C2813="","",J2813*W2813/100)</f>
        <v/>
      </c>
      <c r="Q2813" s="7" t="n"/>
      <c r="R2813" s="7" t="n"/>
      <c r="U2813">
        <f>IF($C2813="","",IF($AJ2813=1,0,IF($AI2813=1,Settings!$C$6,Settings!$C$7))*100)</f>
        <v/>
      </c>
      <c r="V2813" s="7">
        <f>IF($C2813="","",R2813*U2813/100)</f>
        <v/>
      </c>
      <c r="W2813" s="7">
        <f>IF($C2813="","",R2813-V2813)</f>
        <v/>
      </c>
      <c r="X2813" s="7">
        <f>IF($C2813="","",W2813-K2813)</f>
        <v/>
      </c>
      <c r="AB2813" s="7" t="n"/>
      <c r="AE2813" s="11" t="n"/>
      <c r="AG2813">
        <f>IF($C2813="","",IF(COUNTIF($C$2:$C2813,$C2813)=1,1,0))</f>
        <v/>
      </c>
      <c r="AH2813">
        <f>IF($AG2813=1,SUMPRODUCT(--($AK$2:$AK$6001&lt;$AK2813))+1,"")</f>
        <v/>
      </c>
      <c r="AI2813">
        <f>IF($C2813="","",IF(OR($N2813=TRUE(),$N2813="TRUE"),1,0))</f>
        <v/>
      </c>
      <c r="AJ2813">
        <f>IF($C2813="","",IF($T2813="Yes",1,0))</f>
        <v/>
      </c>
      <c r="AK2813">
        <f>IF($AG2813=1,IFERROR(IF(VALUE($C2813)&lt;100000000,VALUE($C2813),1000000000),IFERROR(IF(VALUE(MID($C2813,2,20))&lt;100000000,VALUE(MID($C2813,2,20)),1000000000),1000000000))+ROW()/100000,"")</f>
        <v/>
      </c>
    </row>
    <row r="2814">
      <c r="D2814" s="11" t="n"/>
      <c r="K2814" s="7">
        <f>IF($C2814="","",J2814*W2814/100)</f>
        <v/>
      </c>
      <c r="Q2814" s="7" t="n"/>
      <c r="R2814" s="7" t="n"/>
      <c r="U2814">
        <f>IF($C2814="","",IF($AJ2814=1,0,IF($AI2814=1,Settings!$C$6,Settings!$C$7))*100)</f>
        <v/>
      </c>
      <c r="V2814" s="7">
        <f>IF($C2814="","",R2814*U2814/100)</f>
        <v/>
      </c>
      <c r="W2814" s="7">
        <f>IF($C2814="","",R2814-V2814)</f>
        <v/>
      </c>
      <c r="X2814" s="7">
        <f>IF($C2814="","",W2814-K2814)</f>
        <v/>
      </c>
      <c r="AB2814" s="7" t="n"/>
      <c r="AE2814" s="11" t="n"/>
      <c r="AG2814">
        <f>IF($C2814="","",IF(COUNTIF($C$2:$C2814,$C2814)=1,1,0))</f>
        <v/>
      </c>
      <c r="AH2814">
        <f>IF($AG2814=1,SUMPRODUCT(--($AK$2:$AK$6001&lt;$AK2814))+1,"")</f>
        <v/>
      </c>
      <c r="AI2814">
        <f>IF($C2814="","",IF(OR($N2814=TRUE(),$N2814="TRUE"),1,0))</f>
        <v/>
      </c>
      <c r="AJ2814">
        <f>IF($C2814="","",IF($T2814="Yes",1,0))</f>
        <v/>
      </c>
      <c r="AK2814">
        <f>IF($AG2814=1,IFERROR(IF(VALUE($C2814)&lt;100000000,VALUE($C2814),1000000000),IFERROR(IF(VALUE(MID($C2814,2,20))&lt;100000000,VALUE(MID($C2814,2,20)),1000000000),1000000000))+ROW()/100000,"")</f>
        <v/>
      </c>
    </row>
    <row r="2815">
      <c r="D2815" s="11" t="n"/>
      <c r="K2815" s="7">
        <f>IF($C2815="","",J2815*W2815/100)</f>
        <v/>
      </c>
      <c r="Q2815" s="7" t="n"/>
      <c r="R2815" s="7" t="n"/>
      <c r="U2815">
        <f>IF($C2815="","",IF($AJ2815=1,0,IF($AI2815=1,Settings!$C$6,Settings!$C$7))*100)</f>
        <v/>
      </c>
      <c r="V2815" s="7">
        <f>IF($C2815="","",R2815*U2815/100)</f>
        <v/>
      </c>
      <c r="W2815" s="7">
        <f>IF($C2815="","",R2815-V2815)</f>
        <v/>
      </c>
      <c r="X2815" s="7">
        <f>IF($C2815="","",W2815-K2815)</f>
        <v/>
      </c>
      <c r="AB2815" s="7" t="n"/>
      <c r="AE2815" s="11" t="n"/>
      <c r="AG2815">
        <f>IF($C2815="","",IF(COUNTIF($C$2:$C2815,$C2815)=1,1,0))</f>
        <v/>
      </c>
      <c r="AH2815">
        <f>IF($AG2815=1,SUMPRODUCT(--($AK$2:$AK$6001&lt;$AK2815))+1,"")</f>
        <v/>
      </c>
      <c r="AI2815">
        <f>IF($C2815="","",IF(OR($N2815=TRUE(),$N2815="TRUE"),1,0))</f>
        <v/>
      </c>
      <c r="AJ2815">
        <f>IF($C2815="","",IF($T2815="Yes",1,0))</f>
        <v/>
      </c>
      <c r="AK2815">
        <f>IF($AG2815=1,IFERROR(IF(VALUE($C2815)&lt;100000000,VALUE($C2815),1000000000),IFERROR(IF(VALUE(MID($C2815,2,20))&lt;100000000,VALUE(MID($C2815,2,20)),1000000000),1000000000))+ROW()/100000,"")</f>
        <v/>
      </c>
    </row>
    <row r="2816">
      <c r="D2816" s="11" t="n"/>
      <c r="K2816" s="7">
        <f>IF($C2816="","",J2816*W2816/100)</f>
        <v/>
      </c>
      <c r="Q2816" s="7" t="n"/>
      <c r="R2816" s="7" t="n"/>
      <c r="U2816">
        <f>IF($C2816="","",IF($AJ2816=1,0,IF($AI2816=1,Settings!$C$6,Settings!$C$7))*100)</f>
        <v/>
      </c>
      <c r="V2816" s="7">
        <f>IF($C2816="","",R2816*U2816/100)</f>
        <v/>
      </c>
      <c r="W2816" s="7">
        <f>IF($C2816="","",R2816-V2816)</f>
        <v/>
      </c>
      <c r="X2816" s="7">
        <f>IF($C2816="","",W2816-K2816)</f>
        <v/>
      </c>
      <c r="AB2816" s="7" t="n"/>
      <c r="AE2816" s="11" t="n"/>
      <c r="AG2816">
        <f>IF($C2816="","",IF(COUNTIF($C$2:$C2816,$C2816)=1,1,0))</f>
        <v/>
      </c>
      <c r="AH2816">
        <f>IF($AG2816=1,SUMPRODUCT(--($AK$2:$AK$6001&lt;$AK2816))+1,"")</f>
        <v/>
      </c>
      <c r="AI2816">
        <f>IF($C2816="","",IF(OR($N2816=TRUE(),$N2816="TRUE"),1,0))</f>
        <v/>
      </c>
      <c r="AJ2816">
        <f>IF($C2816="","",IF($T2816="Yes",1,0))</f>
        <v/>
      </c>
      <c r="AK2816">
        <f>IF($AG2816=1,IFERROR(IF(VALUE($C2816)&lt;100000000,VALUE($C2816),1000000000),IFERROR(IF(VALUE(MID($C2816,2,20))&lt;100000000,VALUE(MID($C2816,2,20)),1000000000),1000000000))+ROW()/100000,"")</f>
        <v/>
      </c>
    </row>
    <row r="2817">
      <c r="D2817" s="11" t="n"/>
      <c r="K2817" s="7">
        <f>IF($C2817="","",J2817*W2817/100)</f>
        <v/>
      </c>
      <c r="Q2817" s="7" t="n"/>
      <c r="R2817" s="7" t="n"/>
      <c r="U2817">
        <f>IF($C2817="","",IF($AJ2817=1,0,IF($AI2817=1,Settings!$C$6,Settings!$C$7))*100)</f>
        <v/>
      </c>
      <c r="V2817" s="7">
        <f>IF($C2817="","",R2817*U2817/100)</f>
        <v/>
      </c>
      <c r="W2817" s="7">
        <f>IF($C2817="","",R2817-V2817)</f>
        <v/>
      </c>
      <c r="X2817" s="7">
        <f>IF($C2817="","",W2817-K2817)</f>
        <v/>
      </c>
      <c r="AB2817" s="7" t="n"/>
      <c r="AE2817" s="11" t="n"/>
      <c r="AG2817">
        <f>IF($C2817="","",IF(COUNTIF($C$2:$C2817,$C2817)=1,1,0))</f>
        <v/>
      </c>
      <c r="AH2817">
        <f>IF($AG2817=1,SUMPRODUCT(--($AK$2:$AK$6001&lt;$AK2817))+1,"")</f>
        <v/>
      </c>
      <c r="AI2817">
        <f>IF($C2817="","",IF(OR($N2817=TRUE(),$N2817="TRUE"),1,0))</f>
        <v/>
      </c>
      <c r="AJ2817">
        <f>IF($C2817="","",IF($T2817="Yes",1,0))</f>
        <v/>
      </c>
      <c r="AK2817">
        <f>IF($AG2817=1,IFERROR(IF(VALUE($C2817)&lt;100000000,VALUE($C2817),1000000000),IFERROR(IF(VALUE(MID($C2817,2,20))&lt;100000000,VALUE(MID($C2817,2,20)),1000000000),1000000000))+ROW()/100000,"")</f>
        <v/>
      </c>
    </row>
    <row r="2818">
      <c r="D2818" s="11" t="n"/>
      <c r="K2818" s="7">
        <f>IF($C2818="","",J2818*W2818/100)</f>
        <v/>
      </c>
      <c r="Q2818" s="7" t="n"/>
      <c r="R2818" s="7" t="n"/>
      <c r="U2818">
        <f>IF($C2818="","",IF($AJ2818=1,0,IF($AI2818=1,Settings!$C$6,Settings!$C$7))*100)</f>
        <v/>
      </c>
      <c r="V2818" s="7">
        <f>IF($C2818="","",R2818*U2818/100)</f>
        <v/>
      </c>
      <c r="W2818" s="7">
        <f>IF($C2818="","",R2818-V2818)</f>
        <v/>
      </c>
      <c r="X2818" s="7">
        <f>IF($C2818="","",W2818-K2818)</f>
        <v/>
      </c>
      <c r="AB2818" s="7" t="n"/>
      <c r="AE2818" s="11" t="n"/>
      <c r="AG2818">
        <f>IF($C2818="","",IF(COUNTIF($C$2:$C2818,$C2818)=1,1,0))</f>
        <v/>
      </c>
      <c r="AH2818">
        <f>IF($AG2818=1,SUMPRODUCT(--($AK$2:$AK$6001&lt;$AK2818))+1,"")</f>
        <v/>
      </c>
      <c r="AI2818">
        <f>IF($C2818="","",IF(OR($N2818=TRUE(),$N2818="TRUE"),1,0))</f>
        <v/>
      </c>
      <c r="AJ2818">
        <f>IF($C2818="","",IF($T2818="Yes",1,0))</f>
        <v/>
      </c>
      <c r="AK2818">
        <f>IF($AG2818=1,IFERROR(IF(VALUE($C2818)&lt;100000000,VALUE($C2818),1000000000),IFERROR(IF(VALUE(MID($C2818,2,20))&lt;100000000,VALUE(MID($C2818,2,20)),1000000000),1000000000))+ROW()/100000,"")</f>
        <v/>
      </c>
    </row>
    <row r="2819">
      <c r="D2819" s="11" t="n"/>
      <c r="K2819" s="7">
        <f>IF($C2819="","",J2819*W2819/100)</f>
        <v/>
      </c>
      <c r="Q2819" s="7" t="n"/>
      <c r="R2819" s="7" t="n"/>
      <c r="U2819">
        <f>IF($C2819="","",IF($AJ2819=1,0,IF($AI2819=1,Settings!$C$6,Settings!$C$7))*100)</f>
        <v/>
      </c>
      <c r="V2819" s="7">
        <f>IF($C2819="","",R2819*U2819/100)</f>
        <v/>
      </c>
      <c r="W2819" s="7">
        <f>IF($C2819="","",R2819-V2819)</f>
        <v/>
      </c>
      <c r="X2819" s="7">
        <f>IF($C2819="","",W2819-K2819)</f>
        <v/>
      </c>
      <c r="AB2819" s="7" t="n"/>
      <c r="AE2819" s="11" t="n"/>
      <c r="AG2819">
        <f>IF($C2819="","",IF(COUNTIF($C$2:$C2819,$C2819)=1,1,0))</f>
        <v/>
      </c>
      <c r="AH2819">
        <f>IF($AG2819=1,SUMPRODUCT(--($AK$2:$AK$6001&lt;$AK2819))+1,"")</f>
        <v/>
      </c>
      <c r="AI2819">
        <f>IF($C2819="","",IF(OR($N2819=TRUE(),$N2819="TRUE"),1,0))</f>
        <v/>
      </c>
      <c r="AJ2819">
        <f>IF($C2819="","",IF($T2819="Yes",1,0))</f>
        <v/>
      </c>
      <c r="AK2819">
        <f>IF($AG2819=1,IFERROR(IF(VALUE($C2819)&lt;100000000,VALUE($C2819),1000000000),IFERROR(IF(VALUE(MID($C2819,2,20))&lt;100000000,VALUE(MID($C2819,2,20)),1000000000),1000000000))+ROW()/100000,"")</f>
        <v/>
      </c>
    </row>
    <row r="2820">
      <c r="D2820" s="11" t="n"/>
      <c r="K2820" s="7">
        <f>IF($C2820="","",J2820*W2820/100)</f>
        <v/>
      </c>
      <c r="Q2820" s="7" t="n"/>
      <c r="R2820" s="7" t="n"/>
      <c r="U2820">
        <f>IF($C2820="","",IF($AJ2820=1,0,IF($AI2820=1,Settings!$C$6,Settings!$C$7))*100)</f>
        <v/>
      </c>
      <c r="V2820" s="7">
        <f>IF($C2820="","",R2820*U2820/100)</f>
        <v/>
      </c>
      <c r="W2820" s="7">
        <f>IF($C2820="","",R2820-V2820)</f>
        <v/>
      </c>
      <c r="X2820" s="7">
        <f>IF($C2820="","",W2820-K2820)</f>
        <v/>
      </c>
      <c r="AB2820" s="7" t="n"/>
      <c r="AE2820" s="11" t="n"/>
      <c r="AG2820">
        <f>IF($C2820="","",IF(COUNTIF($C$2:$C2820,$C2820)=1,1,0))</f>
        <v/>
      </c>
      <c r="AH2820">
        <f>IF($AG2820=1,SUMPRODUCT(--($AK$2:$AK$6001&lt;$AK2820))+1,"")</f>
        <v/>
      </c>
      <c r="AI2820">
        <f>IF($C2820="","",IF(OR($N2820=TRUE(),$N2820="TRUE"),1,0))</f>
        <v/>
      </c>
      <c r="AJ2820">
        <f>IF($C2820="","",IF($T2820="Yes",1,0))</f>
        <v/>
      </c>
      <c r="AK2820">
        <f>IF($AG2820=1,IFERROR(IF(VALUE($C2820)&lt;100000000,VALUE($C2820),1000000000),IFERROR(IF(VALUE(MID($C2820,2,20))&lt;100000000,VALUE(MID($C2820,2,20)),1000000000),1000000000))+ROW()/100000,"")</f>
        <v/>
      </c>
    </row>
    <row r="2821">
      <c r="D2821" s="11" t="n"/>
      <c r="K2821" s="7">
        <f>IF($C2821="","",J2821*W2821/100)</f>
        <v/>
      </c>
      <c r="Q2821" s="7" t="n"/>
      <c r="R2821" s="7" t="n"/>
      <c r="U2821">
        <f>IF($C2821="","",IF($AJ2821=1,0,IF($AI2821=1,Settings!$C$6,Settings!$C$7))*100)</f>
        <v/>
      </c>
      <c r="V2821" s="7">
        <f>IF($C2821="","",R2821*U2821/100)</f>
        <v/>
      </c>
      <c r="W2821" s="7">
        <f>IF($C2821="","",R2821-V2821)</f>
        <v/>
      </c>
      <c r="X2821" s="7">
        <f>IF($C2821="","",W2821-K2821)</f>
        <v/>
      </c>
      <c r="AB2821" s="7" t="n"/>
      <c r="AE2821" s="11" t="n"/>
      <c r="AG2821">
        <f>IF($C2821="","",IF(COUNTIF($C$2:$C2821,$C2821)=1,1,0))</f>
        <v/>
      </c>
      <c r="AH2821">
        <f>IF($AG2821=1,SUMPRODUCT(--($AK$2:$AK$6001&lt;$AK2821))+1,"")</f>
        <v/>
      </c>
      <c r="AI2821">
        <f>IF($C2821="","",IF(OR($N2821=TRUE(),$N2821="TRUE"),1,0))</f>
        <v/>
      </c>
      <c r="AJ2821">
        <f>IF($C2821="","",IF($T2821="Yes",1,0))</f>
        <v/>
      </c>
      <c r="AK2821">
        <f>IF($AG2821=1,IFERROR(IF(VALUE($C2821)&lt;100000000,VALUE($C2821),1000000000),IFERROR(IF(VALUE(MID($C2821,2,20))&lt;100000000,VALUE(MID($C2821,2,20)),1000000000),1000000000))+ROW()/100000,"")</f>
        <v/>
      </c>
    </row>
    <row r="2822">
      <c r="D2822" s="11" t="n"/>
      <c r="K2822" s="7">
        <f>IF($C2822="","",J2822*W2822/100)</f>
        <v/>
      </c>
      <c r="Q2822" s="7" t="n"/>
      <c r="R2822" s="7" t="n"/>
      <c r="U2822">
        <f>IF($C2822="","",IF($AJ2822=1,0,IF($AI2822=1,Settings!$C$6,Settings!$C$7))*100)</f>
        <v/>
      </c>
      <c r="V2822" s="7">
        <f>IF($C2822="","",R2822*U2822/100)</f>
        <v/>
      </c>
      <c r="W2822" s="7">
        <f>IF($C2822="","",R2822-V2822)</f>
        <v/>
      </c>
      <c r="X2822" s="7">
        <f>IF($C2822="","",W2822-K2822)</f>
        <v/>
      </c>
      <c r="AB2822" s="7" t="n"/>
      <c r="AE2822" s="11" t="n"/>
      <c r="AG2822">
        <f>IF($C2822="","",IF(COUNTIF($C$2:$C2822,$C2822)=1,1,0))</f>
        <v/>
      </c>
      <c r="AH2822">
        <f>IF($AG2822=1,SUMPRODUCT(--($AK$2:$AK$6001&lt;$AK2822))+1,"")</f>
        <v/>
      </c>
      <c r="AI2822">
        <f>IF($C2822="","",IF(OR($N2822=TRUE(),$N2822="TRUE"),1,0))</f>
        <v/>
      </c>
      <c r="AJ2822">
        <f>IF($C2822="","",IF($T2822="Yes",1,0))</f>
        <v/>
      </c>
      <c r="AK2822">
        <f>IF($AG2822=1,IFERROR(IF(VALUE($C2822)&lt;100000000,VALUE($C2822),1000000000),IFERROR(IF(VALUE(MID($C2822,2,20))&lt;100000000,VALUE(MID($C2822,2,20)),1000000000),1000000000))+ROW()/100000,"")</f>
        <v/>
      </c>
    </row>
    <row r="2823">
      <c r="D2823" s="11" t="n"/>
      <c r="K2823" s="7">
        <f>IF($C2823="","",J2823*W2823/100)</f>
        <v/>
      </c>
      <c r="Q2823" s="7" t="n"/>
      <c r="R2823" s="7" t="n"/>
      <c r="U2823">
        <f>IF($C2823="","",IF($AJ2823=1,0,IF($AI2823=1,Settings!$C$6,Settings!$C$7))*100)</f>
        <v/>
      </c>
      <c r="V2823" s="7">
        <f>IF($C2823="","",R2823*U2823/100)</f>
        <v/>
      </c>
      <c r="W2823" s="7">
        <f>IF($C2823="","",R2823-V2823)</f>
        <v/>
      </c>
      <c r="X2823" s="7">
        <f>IF($C2823="","",W2823-K2823)</f>
        <v/>
      </c>
      <c r="AB2823" s="7" t="n"/>
      <c r="AE2823" s="11" t="n"/>
      <c r="AG2823">
        <f>IF($C2823="","",IF(COUNTIF($C$2:$C2823,$C2823)=1,1,0))</f>
        <v/>
      </c>
      <c r="AH2823">
        <f>IF($AG2823=1,SUMPRODUCT(--($AK$2:$AK$6001&lt;$AK2823))+1,"")</f>
        <v/>
      </c>
      <c r="AI2823">
        <f>IF($C2823="","",IF(OR($N2823=TRUE(),$N2823="TRUE"),1,0))</f>
        <v/>
      </c>
      <c r="AJ2823">
        <f>IF($C2823="","",IF($T2823="Yes",1,0))</f>
        <v/>
      </c>
      <c r="AK2823">
        <f>IF($AG2823=1,IFERROR(IF(VALUE($C2823)&lt;100000000,VALUE($C2823),1000000000),IFERROR(IF(VALUE(MID($C2823,2,20))&lt;100000000,VALUE(MID($C2823,2,20)),1000000000),1000000000))+ROW()/100000,"")</f>
        <v/>
      </c>
    </row>
    <row r="2824">
      <c r="D2824" s="11" t="n"/>
      <c r="K2824" s="7">
        <f>IF($C2824="","",J2824*W2824/100)</f>
        <v/>
      </c>
      <c r="Q2824" s="7" t="n"/>
      <c r="R2824" s="7" t="n"/>
      <c r="U2824">
        <f>IF($C2824="","",IF($AJ2824=1,0,IF($AI2824=1,Settings!$C$6,Settings!$C$7))*100)</f>
        <v/>
      </c>
      <c r="V2824" s="7">
        <f>IF($C2824="","",R2824*U2824/100)</f>
        <v/>
      </c>
      <c r="W2824" s="7">
        <f>IF($C2824="","",R2824-V2824)</f>
        <v/>
      </c>
      <c r="X2824" s="7">
        <f>IF($C2824="","",W2824-K2824)</f>
        <v/>
      </c>
      <c r="AB2824" s="7" t="n"/>
      <c r="AE2824" s="11" t="n"/>
      <c r="AG2824">
        <f>IF($C2824="","",IF(COUNTIF($C$2:$C2824,$C2824)=1,1,0))</f>
        <v/>
      </c>
      <c r="AH2824">
        <f>IF($AG2824=1,SUMPRODUCT(--($AK$2:$AK$6001&lt;$AK2824))+1,"")</f>
        <v/>
      </c>
      <c r="AI2824">
        <f>IF($C2824="","",IF(OR($N2824=TRUE(),$N2824="TRUE"),1,0))</f>
        <v/>
      </c>
      <c r="AJ2824">
        <f>IF($C2824="","",IF($T2824="Yes",1,0))</f>
        <v/>
      </c>
      <c r="AK2824">
        <f>IF($AG2824=1,IFERROR(IF(VALUE($C2824)&lt;100000000,VALUE($C2824),1000000000),IFERROR(IF(VALUE(MID($C2824,2,20))&lt;100000000,VALUE(MID($C2824,2,20)),1000000000),1000000000))+ROW()/100000,"")</f>
        <v/>
      </c>
    </row>
    <row r="2825">
      <c r="D2825" s="11" t="n"/>
      <c r="K2825" s="7">
        <f>IF($C2825="","",J2825*W2825/100)</f>
        <v/>
      </c>
      <c r="Q2825" s="7" t="n"/>
      <c r="R2825" s="7" t="n"/>
      <c r="U2825">
        <f>IF($C2825="","",IF($AJ2825=1,0,IF($AI2825=1,Settings!$C$6,Settings!$C$7))*100)</f>
        <v/>
      </c>
      <c r="V2825" s="7">
        <f>IF($C2825="","",R2825*U2825/100)</f>
        <v/>
      </c>
      <c r="W2825" s="7">
        <f>IF($C2825="","",R2825-V2825)</f>
        <v/>
      </c>
      <c r="X2825" s="7">
        <f>IF($C2825="","",W2825-K2825)</f>
        <v/>
      </c>
      <c r="AB2825" s="7" t="n"/>
      <c r="AE2825" s="11" t="n"/>
      <c r="AG2825">
        <f>IF($C2825="","",IF(COUNTIF($C$2:$C2825,$C2825)=1,1,0))</f>
        <v/>
      </c>
      <c r="AH2825">
        <f>IF($AG2825=1,SUMPRODUCT(--($AK$2:$AK$6001&lt;$AK2825))+1,"")</f>
        <v/>
      </c>
      <c r="AI2825">
        <f>IF($C2825="","",IF(OR($N2825=TRUE(),$N2825="TRUE"),1,0))</f>
        <v/>
      </c>
      <c r="AJ2825">
        <f>IF($C2825="","",IF($T2825="Yes",1,0))</f>
        <v/>
      </c>
      <c r="AK2825">
        <f>IF($AG2825=1,IFERROR(IF(VALUE($C2825)&lt;100000000,VALUE($C2825),1000000000),IFERROR(IF(VALUE(MID($C2825,2,20))&lt;100000000,VALUE(MID($C2825,2,20)),1000000000),1000000000))+ROW()/100000,"")</f>
        <v/>
      </c>
    </row>
    <row r="2826">
      <c r="D2826" s="11" t="n"/>
      <c r="K2826" s="7">
        <f>IF($C2826="","",J2826*W2826/100)</f>
        <v/>
      </c>
      <c r="Q2826" s="7" t="n"/>
      <c r="R2826" s="7" t="n"/>
      <c r="U2826">
        <f>IF($C2826="","",IF($AJ2826=1,0,IF($AI2826=1,Settings!$C$6,Settings!$C$7))*100)</f>
        <v/>
      </c>
      <c r="V2826" s="7">
        <f>IF($C2826="","",R2826*U2826/100)</f>
        <v/>
      </c>
      <c r="W2826" s="7">
        <f>IF($C2826="","",R2826-V2826)</f>
        <v/>
      </c>
      <c r="X2826" s="7">
        <f>IF($C2826="","",W2826-K2826)</f>
        <v/>
      </c>
      <c r="AB2826" s="7" t="n"/>
      <c r="AE2826" s="11" t="n"/>
      <c r="AG2826">
        <f>IF($C2826="","",IF(COUNTIF($C$2:$C2826,$C2826)=1,1,0))</f>
        <v/>
      </c>
      <c r="AH2826">
        <f>IF($AG2826=1,SUMPRODUCT(--($AK$2:$AK$6001&lt;$AK2826))+1,"")</f>
        <v/>
      </c>
      <c r="AI2826">
        <f>IF($C2826="","",IF(OR($N2826=TRUE(),$N2826="TRUE"),1,0))</f>
        <v/>
      </c>
      <c r="AJ2826">
        <f>IF($C2826="","",IF($T2826="Yes",1,0))</f>
        <v/>
      </c>
      <c r="AK2826">
        <f>IF($AG2826=1,IFERROR(IF(VALUE($C2826)&lt;100000000,VALUE($C2826),1000000000),IFERROR(IF(VALUE(MID($C2826,2,20))&lt;100000000,VALUE(MID($C2826,2,20)),1000000000),1000000000))+ROW()/100000,"")</f>
        <v/>
      </c>
    </row>
    <row r="2827">
      <c r="D2827" s="11" t="n"/>
      <c r="K2827" s="7">
        <f>IF($C2827="","",J2827*W2827/100)</f>
        <v/>
      </c>
      <c r="Q2827" s="7" t="n"/>
      <c r="R2827" s="7" t="n"/>
      <c r="U2827">
        <f>IF($C2827="","",IF($AJ2827=1,0,IF($AI2827=1,Settings!$C$6,Settings!$C$7))*100)</f>
        <v/>
      </c>
      <c r="V2827" s="7">
        <f>IF($C2827="","",R2827*U2827/100)</f>
        <v/>
      </c>
      <c r="W2827" s="7">
        <f>IF($C2827="","",R2827-V2827)</f>
        <v/>
      </c>
      <c r="X2827" s="7">
        <f>IF($C2827="","",W2827-K2827)</f>
        <v/>
      </c>
      <c r="AB2827" s="7" t="n"/>
      <c r="AE2827" s="11" t="n"/>
      <c r="AG2827">
        <f>IF($C2827="","",IF(COUNTIF($C$2:$C2827,$C2827)=1,1,0))</f>
        <v/>
      </c>
      <c r="AH2827">
        <f>IF($AG2827=1,SUMPRODUCT(--($AK$2:$AK$6001&lt;$AK2827))+1,"")</f>
        <v/>
      </c>
      <c r="AI2827">
        <f>IF($C2827="","",IF(OR($N2827=TRUE(),$N2827="TRUE"),1,0))</f>
        <v/>
      </c>
      <c r="AJ2827">
        <f>IF($C2827="","",IF($T2827="Yes",1,0))</f>
        <v/>
      </c>
      <c r="AK2827">
        <f>IF($AG2827=1,IFERROR(IF(VALUE($C2827)&lt;100000000,VALUE($C2827),1000000000),IFERROR(IF(VALUE(MID($C2827,2,20))&lt;100000000,VALUE(MID($C2827,2,20)),1000000000),1000000000))+ROW()/100000,"")</f>
        <v/>
      </c>
    </row>
    <row r="2828">
      <c r="D2828" s="11" t="n"/>
      <c r="K2828" s="7">
        <f>IF($C2828="","",J2828*W2828/100)</f>
        <v/>
      </c>
      <c r="Q2828" s="7" t="n"/>
      <c r="R2828" s="7" t="n"/>
      <c r="U2828">
        <f>IF($C2828="","",IF($AJ2828=1,0,IF($AI2828=1,Settings!$C$6,Settings!$C$7))*100)</f>
        <v/>
      </c>
      <c r="V2828" s="7">
        <f>IF($C2828="","",R2828*U2828/100)</f>
        <v/>
      </c>
      <c r="W2828" s="7">
        <f>IF($C2828="","",R2828-V2828)</f>
        <v/>
      </c>
      <c r="X2828" s="7">
        <f>IF($C2828="","",W2828-K2828)</f>
        <v/>
      </c>
      <c r="AB2828" s="7" t="n"/>
      <c r="AE2828" s="11" t="n"/>
      <c r="AG2828">
        <f>IF($C2828="","",IF(COUNTIF($C$2:$C2828,$C2828)=1,1,0))</f>
        <v/>
      </c>
      <c r="AH2828">
        <f>IF($AG2828=1,SUMPRODUCT(--($AK$2:$AK$6001&lt;$AK2828))+1,"")</f>
        <v/>
      </c>
      <c r="AI2828">
        <f>IF($C2828="","",IF(OR($N2828=TRUE(),$N2828="TRUE"),1,0))</f>
        <v/>
      </c>
      <c r="AJ2828">
        <f>IF($C2828="","",IF($T2828="Yes",1,0))</f>
        <v/>
      </c>
      <c r="AK2828">
        <f>IF($AG2828=1,IFERROR(IF(VALUE($C2828)&lt;100000000,VALUE($C2828),1000000000),IFERROR(IF(VALUE(MID($C2828,2,20))&lt;100000000,VALUE(MID($C2828,2,20)),1000000000),1000000000))+ROW()/100000,"")</f>
        <v/>
      </c>
    </row>
    <row r="2829">
      <c r="D2829" s="11" t="n"/>
      <c r="K2829" s="7">
        <f>IF($C2829="","",J2829*W2829/100)</f>
        <v/>
      </c>
      <c r="Q2829" s="7" t="n"/>
      <c r="R2829" s="7" t="n"/>
      <c r="U2829">
        <f>IF($C2829="","",IF($AJ2829=1,0,IF($AI2829=1,Settings!$C$6,Settings!$C$7))*100)</f>
        <v/>
      </c>
      <c r="V2829" s="7">
        <f>IF($C2829="","",R2829*U2829/100)</f>
        <v/>
      </c>
      <c r="W2829" s="7">
        <f>IF($C2829="","",R2829-V2829)</f>
        <v/>
      </c>
      <c r="X2829" s="7">
        <f>IF($C2829="","",W2829-K2829)</f>
        <v/>
      </c>
      <c r="AB2829" s="7" t="n"/>
      <c r="AE2829" s="11" t="n"/>
      <c r="AG2829">
        <f>IF($C2829="","",IF(COUNTIF($C$2:$C2829,$C2829)=1,1,0))</f>
        <v/>
      </c>
      <c r="AH2829">
        <f>IF($AG2829=1,SUMPRODUCT(--($AK$2:$AK$6001&lt;$AK2829))+1,"")</f>
        <v/>
      </c>
      <c r="AI2829">
        <f>IF($C2829="","",IF(OR($N2829=TRUE(),$N2829="TRUE"),1,0))</f>
        <v/>
      </c>
      <c r="AJ2829">
        <f>IF($C2829="","",IF($T2829="Yes",1,0))</f>
        <v/>
      </c>
      <c r="AK2829">
        <f>IF($AG2829=1,IFERROR(IF(VALUE($C2829)&lt;100000000,VALUE($C2829),1000000000),IFERROR(IF(VALUE(MID($C2829,2,20))&lt;100000000,VALUE(MID($C2829,2,20)),1000000000),1000000000))+ROW()/100000,"")</f>
        <v/>
      </c>
    </row>
    <row r="2830">
      <c r="D2830" s="11" t="n"/>
      <c r="K2830" s="7">
        <f>IF($C2830="","",J2830*W2830/100)</f>
        <v/>
      </c>
      <c r="Q2830" s="7" t="n"/>
      <c r="R2830" s="7" t="n"/>
      <c r="U2830">
        <f>IF($C2830="","",IF($AJ2830=1,0,IF($AI2830=1,Settings!$C$6,Settings!$C$7))*100)</f>
        <v/>
      </c>
      <c r="V2830" s="7">
        <f>IF($C2830="","",R2830*U2830/100)</f>
        <v/>
      </c>
      <c r="W2830" s="7">
        <f>IF($C2830="","",R2830-V2830)</f>
        <v/>
      </c>
      <c r="X2830" s="7">
        <f>IF($C2830="","",W2830-K2830)</f>
        <v/>
      </c>
      <c r="AB2830" s="7" t="n"/>
      <c r="AE2830" s="11" t="n"/>
      <c r="AG2830">
        <f>IF($C2830="","",IF(COUNTIF($C$2:$C2830,$C2830)=1,1,0))</f>
        <v/>
      </c>
      <c r="AH2830">
        <f>IF($AG2830=1,SUMPRODUCT(--($AK$2:$AK$6001&lt;$AK2830))+1,"")</f>
        <v/>
      </c>
      <c r="AI2830">
        <f>IF($C2830="","",IF(OR($N2830=TRUE(),$N2830="TRUE"),1,0))</f>
        <v/>
      </c>
      <c r="AJ2830">
        <f>IF($C2830="","",IF($T2830="Yes",1,0))</f>
        <v/>
      </c>
      <c r="AK2830">
        <f>IF($AG2830=1,IFERROR(IF(VALUE($C2830)&lt;100000000,VALUE($C2830),1000000000),IFERROR(IF(VALUE(MID($C2830,2,20))&lt;100000000,VALUE(MID($C2830,2,20)),1000000000),1000000000))+ROW()/100000,"")</f>
        <v/>
      </c>
    </row>
    <row r="2831">
      <c r="D2831" s="11" t="n"/>
      <c r="K2831" s="7">
        <f>IF($C2831="","",J2831*W2831/100)</f>
        <v/>
      </c>
      <c r="Q2831" s="7" t="n"/>
      <c r="R2831" s="7" t="n"/>
      <c r="U2831">
        <f>IF($C2831="","",IF($AJ2831=1,0,IF($AI2831=1,Settings!$C$6,Settings!$C$7))*100)</f>
        <v/>
      </c>
      <c r="V2831" s="7">
        <f>IF($C2831="","",R2831*U2831/100)</f>
        <v/>
      </c>
      <c r="W2831" s="7">
        <f>IF($C2831="","",R2831-V2831)</f>
        <v/>
      </c>
      <c r="X2831" s="7">
        <f>IF($C2831="","",W2831-K2831)</f>
        <v/>
      </c>
      <c r="AB2831" s="7" t="n"/>
      <c r="AE2831" s="11" t="n"/>
      <c r="AG2831">
        <f>IF($C2831="","",IF(COUNTIF($C$2:$C2831,$C2831)=1,1,0))</f>
        <v/>
      </c>
      <c r="AH2831">
        <f>IF($AG2831=1,SUMPRODUCT(--($AK$2:$AK$6001&lt;$AK2831))+1,"")</f>
        <v/>
      </c>
      <c r="AI2831">
        <f>IF($C2831="","",IF(OR($N2831=TRUE(),$N2831="TRUE"),1,0))</f>
        <v/>
      </c>
      <c r="AJ2831">
        <f>IF($C2831="","",IF($T2831="Yes",1,0))</f>
        <v/>
      </c>
      <c r="AK2831">
        <f>IF($AG2831=1,IFERROR(IF(VALUE($C2831)&lt;100000000,VALUE($C2831),1000000000),IFERROR(IF(VALUE(MID($C2831,2,20))&lt;100000000,VALUE(MID($C2831,2,20)),1000000000),1000000000))+ROW()/100000,"")</f>
        <v/>
      </c>
    </row>
    <row r="2832">
      <c r="D2832" s="11" t="n"/>
      <c r="K2832" s="7">
        <f>IF($C2832="","",J2832*W2832/100)</f>
        <v/>
      </c>
      <c r="Q2832" s="7" t="n"/>
      <c r="R2832" s="7" t="n"/>
      <c r="U2832">
        <f>IF($C2832="","",IF($AJ2832=1,0,IF($AI2832=1,Settings!$C$6,Settings!$C$7))*100)</f>
        <v/>
      </c>
      <c r="V2832" s="7">
        <f>IF($C2832="","",R2832*U2832/100)</f>
        <v/>
      </c>
      <c r="W2832" s="7">
        <f>IF($C2832="","",R2832-V2832)</f>
        <v/>
      </c>
      <c r="X2832" s="7">
        <f>IF($C2832="","",W2832-K2832)</f>
        <v/>
      </c>
      <c r="AB2832" s="7" t="n"/>
      <c r="AE2832" s="11" t="n"/>
      <c r="AG2832">
        <f>IF($C2832="","",IF(COUNTIF($C$2:$C2832,$C2832)=1,1,0))</f>
        <v/>
      </c>
      <c r="AH2832">
        <f>IF($AG2832=1,SUMPRODUCT(--($AK$2:$AK$6001&lt;$AK2832))+1,"")</f>
        <v/>
      </c>
      <c r="AI2832">
        <f>IF($C2832="","",IF(OR($N2832=TRUE(),$N2832="TRUE"),1,0))</f>
        <v/>
      </c>
      <c r="AJ2832">
        <f>IF($C2832="","",IF($T2832="Yes",1,0))</f>
        <v/>
      </c>
      <c r="AK2832">
        <f>IF($AG2832=1,IFERROR(IF(VALUE($C2832)&lt;100000000,VALUE($C2832),1000000000),IFERROR(IF(VALUE(MID($C2832,2,20))&lt;100000000,VALUE(MID($C2832,2,20)),1000000000),1000000000))+ROW()/100000,"")</f>
        <v/>
      </c>
    </row>
    <row r="2833">
      <c r="D2833" s="11" t="n"/>
      <c r="K2833" s="7">
        <f>IF($C2833="","",J2833*W2833/100)</f>
        <v/>
      </c>
      <c r="Q2833" s="7" t="n"/>
      <c r="R2833" s="7" t="n"/>
      <c r="U2833">
        <f>IF($C2833="","",IF($AJ2833=1,0,IF($AI2833=1,Settings!$C$6,Settings!$C$7))*100)</f>
        <v/>
      </c>
      <c r="V2833" s="7">
        <f>IF($C2833="","",R2833*U2833/100)</f>
        <v/>
      </c>
      <c r="W2833" s="7">
        <f>IF($C2833="","",R2833-V2833)</f>
        <v/>
      </c>
      <c r="X2833" s="7">
        <f>IF($C2833="","",W2833-K2833)</f>
        <v/>
      </c>
      <c r="AB2833" s="7" t="n"/>
      <c r="AE2833" s="11" t="n"/>
      <c r="AG2833">
        <f>IF($C2833="","",IF(COUNTIF($C$2:$C2833,$C2833)=1,1,0))</f>
        <v/>
      </c>
      <c r="AH2833">
        <f>IF($AG2833=1,SUMPRODUCT(--($AK$2:$AK$6001&lt;$AK2833))+1,"")</f>
        <v/>
      </c>
      <c r="AI2833">
        <f>IF($C2833="","",IF(OR($N2833=TRUE(),$N2833="TRUE"),1,0))</f>
        <v/>
      </c>
      <c r="AJ2833">
        <f>IF($C2833="","",IF($T2833="Yes",1,0))</f>
        <v/>
      </c>
      <c r="AK2833">
        <f>IF($AG2833=1,IFERROR(IF(VALUE($C2833)&lt;100000000,VALUE($C2833),1000000000),IFERROR(IF(VALUE(MID($C2833,2,20))&lt;100000000,VALUE(MID($C2833,2,20)),1000000000),1000000000))+ROW()/100000,"")</f>
        <v/>
      </c>
    </row>
    <row r="2834">
      <c r="D2834" s="11" t="n"/>
      <c r="K2834" s="7">
        <f>IF($C2834="","",J2834*W2834/100)</f>
        <v/>
      </c>
      <c r="Q2834" s="7" t="n"/>
      <c r="R2834" s="7" t="n"/>
      <c r="U2834">
        <f>IF($C2834="","",IF($AJ2834=1,0,IF($AI2834=1,Settings!$C$6,Settings!$C$7))*100)</f>
        <v/>
      </c>
      <c r="V2834" s="7">
        <f>IF($C2834="","",R2834*U2834/100)</f>
        <v/>
      </c>
      <c r="W2834" s="7">
        <f>IF($C2834="","",R2834-V2834)</f>
        <v/>
      </c>
      <c r="X2834" s="7">
        <f>IF($C2834="","",W2834-K2834)</f>
        <v/>
      </c>
      <c r="AB2834" s="7" t="n"/>
      <c r="AE2834" s="11" t="n"/>
      <c r="AG2834">
        <f>IF($C2834="","",IF(COUNTIF($C$2:$C2834,$C2834)=1,1,0))</f>
        <v/>
      </c>
      <c r="AH2834">
        <f>IF($AG2834=1,SUMPRODUCT(--($AK$2:$AK$6001&lt;$AK2834))+1,"")</f>
        <v/>
      </c>
      <c r="AI2834">
        <f>IF($C2834="","",IF(OR($N2834=TRUE(),$N2834="TRUE"),1,0))</f>
        <v/>
      </c>
      <c r="AJ2834">
        <f>IF($C2834="","",IF($T2834="Yes",1,0))</f>
        <v/>
      </c>
      <c r="AK2834">
        <f>IF($AG2834=1,IFERROR(IF(VALUE($C2834)&lt;100000000,VALUE($C2834),1000000000),IFERROR(IF(VALUE(MID($C2834,2,20))&lt;100000000,VALUE(MID($C2834,2,20)),1000000000),1000000000))+ROW()/100000,"")</f>
        <v/>
      </c>
    </row>
    <row r="2835">
      <c r="D2835" s="11" t="n"/>
      <c r="K2835" s="7">
        <f>IF($C2835="","",J2835*W2835/100)</f>
        <v/>
      </c>
      <c r="Q2835" s="7" t="n"/>
      <c r="R2835" s="7" t="n"/>
      <c r="U2835">
        <f>IF($C2835="","",IF($AJ2835=1,0,IF($AI2835=1,Settings!$C$6,Settings!$C$7))*100)</f>
        <v/>
      </c>
      <c r="V2835" s="7">
        <f>IF($C2835="","",R2835*U2835/100)</f>
        <v/>
      </c>
      <c r="W2835" s="7">
        <f>IF($C2835="","",R2835-V2835)</f>
        <v/>
      </c>
      <c r="X2835" s="7">
        <f>IF($C2835="","",W2835-K2835)</f>
        <v/>
      </c>
      <c r="AB2835" s="7" t="n"/>
      <c r="AE2835" s="11" t="n"/>
      <c r="AG2835">
        <f>IF($C2835="","",IF(COUNTIF($C$2:$C2835,$C2835)=1,1,0))</f>
        <v/>
      </c>
      <c r="AH2835">
        <f>IF($AG2835=1,SUMPRODUCT(--($AK$2:$AK$6001&lt;$AK2835))+1,"")</f>
        <v/>
      </c>
      <c r="AI2835">
        <f>IF($C2835="","",IF(OR($N2835=TRUE(),$N2835="TRUE"),1,0))</f>
        <v/>
      </c>
      <c r="AJ2835">
        <f>IF($C2835="","",IF($T2835="Yes",1,0))</f>
        <v/>
      </c>
      <c r="AK2835">
        <f>IF($AG2835=1,IFERROR(IF(VALUE($C2835)&lt;100000000,VALUE($C2835),1000000000),IFERROR(IF(VALUE(MID($C2835,2,20))&lt;100000000,VALUE(MID($C2835,2,20)),1000000000),1000000000))+ROW()/100000,"")</f>
        <v/>
      </c>
    </row>
    <row r="2836">
      <c r="D2836" s="11" t="n"/>
      <c r="K2836" s="7">
        <f>IF($C2836="","",J2836*W2836/100)</f>
        <v/>
      </c>
      <c r="Q2836" s="7" t="n"/>
      <c r="R2836" s="7" t="n"/>
      <c r="U2836">
        <f>IF($C2836="","",IF($AJ2836=1,0,IF($AI2836=1,Settings!$C$6,Settings!$C$7))*100)</f>
        <v/>
      </c>
      <c r="V2836" s="7">
        <f>IF($C2836="","",R2836*U2836/100)</f>
        <v/>
      </c>
      <c r="W2836" s="7">
        <f>IF($C2836="","",R2836-V2836)</f>
        <v/>
      </c>
      <c r="X2836" s="7">
        <f>IF($C2836="","",W2836-K2836)</f>
        <v/>
      </c>
      <c r="AB2836" s="7" t="n"/>
      <c r="AE2836" s="11" t="n"/>
      <c r="AG2836">
        <f>IF($C2836="","",IF(COUNTIF($C$2:$C2836,$C2836)=1,1,0))</f>
        <v/>
      </c>
      <c r="AH2836">
        <f>IF($AG2836=1,SUMPRODUCT(--($AK$2:$AK$6001&lt;$AK2836))+1,"")</f>
        <v/>
      </c>
      <c r="AI2836">
        <f>IF($C2836="","",IF(OR($N2836=TRUE(),$N2836="TRUE"),1,0))</f>
        <v/>
      </c>
      <c r="AJ2836">
        <f>IF($C2836="","",IF($T2836="Yes",1,0))</f>
        <v/>
      </c>
      <c r="AK2836">
        <f>IF($AG2836=1,IFERROR(IF(VALUE($C2836)&lt;100000000,VALUE($C2836),1000000000),IFERROR(IF(VALUE(MID($C2836,2,20))&lt;100000000,VALUE(MID($C2836,2,20)),1000000000),1000000000))+ROW()/100000,"")</f>
        <v/>
      </c>
    </row>
    <row r="2837">
      <c r="D2837" s="11" t="n"/>
      <c r="K2837" s="7">
        <f>IF($C2837="","",J2837*W2837/100)</f>
        <v/>
      </c>
      <c r="Q2837" s="7" t="n"/>
      <c r="R2837" s="7" t="n"/>
      <c r="U2837">
        <f>IF($C2837="","",IF($AJ2837=1,0,IF($AI2837=1,Settings!$C$6,Settings!$C$7))*100)</f>
        <v/>
      </c>
      <c r="V2837" s="7">
        <f>IF($C2837="","",R2837*U2837/100)</f>
        <v/>
      </c>
      <c r="W2837" s="7">
        <f>IF($C2837="","",R2837-V2837)</f>
        <v/>
      </c>
      <c r="X2837" s="7">
        <f>IF($C2837="","",W2837-K2837)</f>
        <v/>
      </c>
      <c r="AB2837" s="7" t="n"/>
      <c r="AE2837" s="11" t="n"/>
      <c r="AG2837">
        <f>IF($C2837="","",IF(COUNTIF($C$2:$C2837,$C2837)=1,1,0))</f>
        <v/>
      </c>
      <c r="AH2837">
        <f>IF($AG2837=1,SUMPRODUCT(--($AK$2:$AK$6001&lt;$AK2837))+1,"")</f>
        <v/>
      </c>
      <c r="AI2837">
        <f>IF($C2837="","",IF(OR($N2837=TRUE(),$N2837="TRUE"),1,0))</f>
        <v/>
      </c>
      <c r="AJ2837">
        <f>IF($C2837="","",IF($T2837="Yes",1,0))</f>
        <v/>
      </c>
      <c r="AK2837">
        <f>IF($AG2837=1,IFERROR(IF(VALUE($C2837)&lt;100000000,VALUE($C2837),1000000000),IFERROR(IF(VALUE(MID($C2837,2,20))&lt;100000000,VALUE(MID($C2837,2,20)),1000000000),1000000000))+ROW()/100000,"")</f>
        <v/>
      </c>
    </row>
    <row r="2838">
      <c r="D2838" s="11" t="n"/>
      <c r="K2838" s="7">
        <f>IF($C2838="","",J2838*W2838/100)</f>
        <v/>
      </c>
      <c r="Q2838" s="7" t="n"/>
      <c r="R2838" s="7" t="n"/>
      <c r="U2838">
        <f>IF($C2838="","",IF($AJ2838=1,0,IF($AI2838=1,Settings!$C$6,Settings!$C$7))*100)</f>
        <v/>
      </c>
      <c r="V2838" s="7">
        <f>IF($C2838="","",R2838*U2838/100)</f>
        <v/>
      </c>
      <c r="W2838" s="7">
        <f>IF($C2838="","",R2838-V2838)</f>
        <v/>
      </c>
      <c r="X2838" s="7">
        <f>IF($C2838="","",W2838-K2838)</f>
        <v/>
      </c>
      <c r="AB2838" s="7" t="n"/>
      <c r="AE2838" s="11" t="n"/>
      <c r="AG2838">
        <f>IF($C2838="","",IF(COUNTIF($C$2:$C2838,$C2838)=1,1,0))</f>
        <v/>
      </c>
      <c r="AH2838">
        <f>IF($AG2838=1,SUMPRODUCT(--($AK$2:$AK$6001&lt;$AK2838))+1,"")</f>
        <v/>
      </c>
      <c r="AI2838">
        <f>IF($C2838="","",IF(OR($N2838=TRUE(),$N2838="TRUE"),1,0))</f>
        <v/>
      </c>
      <c r="AJ2838">
        <f>IF($C2838="","",IF($T2838="Yes",1,0))</f>
        <v/>
      </c>
      <c r="AK2838">
        <f>IF($AG2838=1,IFERROR(IF(VALUE($C2838)&lt;100000000,VALUE($C2838),1000000000),IFERROR(IF(VALUE(MID($C2838,2,20))&lt;100000000,VALUE(MID($C2838,2,20)),1000000000),1000000000))+ROW()/100000,"")</f>
        <v/>
      </c>
    </row>
    <row r="2839">
      <c r="D2839" s="11" t="n"/>
      <c r="K2839" s="7">
        <f>IF($C2839="","",J2839*W2839/100)</f>
        <v/>
      </c>
      <c r="Q2839" s="7" t="n"/>
      <c r="R2839" s="7" t="n"/>
      <c r="U2839">
        <f>IF($C2839="","",IF($AJ2839=1,0,IF($AI2839=1,Settings!$C$6,Settings!$C$7))*100)</f>
        <v/>
      </c>
      <c r="V2839" s="7">
        <f>IF($C2839="","",R2839*U2839/100)</f>
        <v/>
      </c>
      <c r="W2839" s="7">
        <f>IF($C2839="","",R2839-V2839)</f>
        <v/>
      </c>
      <c r="X2839" s="7">
        <f>IF($C2839="","",W2839-K2839)</f>
        <v/>
      </c>
      <c r="AB2839" s="7" t="n"/>
      <c r="AE2839" s="11" t="n"/>
      <c r="AG2839">
        <f>IF($C2839="","",IF(COUNTIF($C$2:$C2839,$C2839)=1,1,0))</f>
        <v/>
      </c>
      <c r="AH2839">
        <f>IF($AG2839=1,SUMPRODUCT(--($AK$2:$AK$6001&lt;$AK2839))+1,"")</f>
        <v/>
      </c>
      <c r="AI2839">
        <f>IF($C2839="","",IF(OR($N2839=TRUE(),$N2839="TRUE"),1,0))</f>
        <v/>
      </c>
      <c r="AJ2839">
        <f>IF($C2839="","",IF($T2839="Yes",1,0))</f>
        <v/>
      </c>
      <c r="AK2839">
        <f>IF($AG2839=1,IFERROR(IF(VALUE($C2839)&lt;100000000,VALUE($C2839),1000000000),IFERROR(IF(VALUE(MID($C2839,2,20))&lt;100000000,VALUE(MID($C2839,2,20)),1000000000),1000000000))+ROW()/100000,"")</f>
        <v/>
      </c>
    </row>
    <row r="2840">
      <c r="D2840" s="11" t="n"/>
      <c r="K2840" s="7">
        <f>IF($C2840="","",J2840*W2840/100)</f>
        <v/>
      </c>
      <c r="Q2840" s="7" t="n"/>
      <c r="R2840" s="7" t="n"/>
      <c r="U2840">
        <f>IF($C2840="","",IF($AJ2840=1,0,IF($AI2840=1,Settings!$C$6,Settings!$C$7))*100)</f>
        <v/>
      </c>
      <c r="V2840" s="7">
        <f>IF($C2840="","",R2840*U2840/100)</f>
        <v/>
      </c>
      <c r="W2840" s="7">
        <f>IF($C2840="","",R2840-V2840)</f>
        <v/>
      </c>
      <c r="X2840" s="7">
        <f>IF($C2840="","",W2840-K2840)</f>
        <v/>
      </c>
      <c r="AB2840" s="7" t="n"/>
      <c r="AE2840" s="11" t="n"/>
      <c r="AG2840">
        <f>IF($C2840="","",IF(COUNTIF($C$2:$C2840,$C2840)=1,1,0))</f>
        <v/>
      </c>
      <c r="AH2840">
        <f>IF($AG2840=1,SUMPRODUCT(--($AK$2:$AK$6001&lt;$AK2840))+1,"")</f>
        <v/>
      </c>
      <c r="AI2840">
        <f>IF($C2840="","",IF(OR($N2840=TRUE(),$N2840="TRUE"),1,0))</f>
        <v/>
      </c>
      <c r="AJ2840">
        <f>IF($C2840="","",IF($T2840="Yes",1,0))</f>
        <v/>
      </c>
      <c r="AK2840">
        <f>IF($AG2840=1,IFERROR(IF(VALUE($C2840)&lt;100000000,VALUE($C2840),1000000000),IFERROR(IF(VALUE(MID($C2840,2,20))&lt;100000000,VALUE(MID($C2840,2,20)),1000000000),1000000000))+ROW()/100000,"")</f>
        <v/>
      </c>
    </row>
    <row r="2841">
      <c r="D2841" s="11" t="n"/>
      <c r="K2841" s="7">
        <f>IF($C2841="","",J2841*W2841/100)</f>
        <v/>
      </c>
      <c r="Q2841" s="7" t="n"/>
      <c r="R2841" s="7" t="n"/>
      <c r="U2841">
        <f>IF($C2841="","",IF($AJ2841=1,0,IF($AI2841=1,Settings!$C$6,Settings!$C$7))*100)</f>
        <v/>
      </c>
      <c r="V2841" s="7">
        <f>IF($C2841="","",R2841*U2841/100)</f>
        <v/>
      </c>
      <c r="W2841" s="7">
        <f>IF($C2841="","",R2841-V2841)</f>
        <v/>
      </c>
      <c r="X2841" s="7">
        <f>IF($C2841="","",W2841-K2841)</f>
        <v/>
      </c>
      <c r="AB2841" s="7" t="n"/>
      <c r="AE2841" s="11" t="n"/>
      <c r="AG2841">
        <f>IF($C2841="","",IF(COUNTIF($C$2:$C2841,$C2841)=1,1,0))</f>
        <v/>
      </c>
      <c r="AH2841">
        <f>IF($AG2841=1,SUMPRODUCT(--($AK$2:$AK$6001&lt;$AK2841))+1,"")</f>
        <v/>
      </c>
      <c r="AI2841">
        <f>IF($C2841="","",IF(OR($N2841=TRUE(),$N2841="TRUE"),1,0))</f>
        <v/>
      </c>
      <c r="AJ2841">
        <f>IF($C2841="","",IF($T2841="Yes",1,0))</f>
        <v/>
      </c>
      <c r="AK2841">
        <f>IF($AG2841=1,IFERROR(IF(VALUE($C2841)&lt;100000000,VALUE($C2841),1000000000),IFERROR(IF(VALUE(MID($C2841,2,20))&lt;100000000,VALUE(MID($C2841,2,20)),1000000000),1000000000))+ROW()/100000,"")</f>
        <v/>
      </c>
    </row>
    <row r="2842">
      <c r="D2842" s="11" t="n"/>
      <c r="K2842" s="7">
        <f>IF($C2842="","",J2842*W2842/100)</f>
        <v/>
      </c>
      <c r="Q2842" s="7" t="n"/>
      <c r="R2842" s="7" t="n"/>
      <c r="U2842">
        <f>IF($C2842="","",IF($AJ2842=1,0,IF($AI2842=1,Settings!$C$6,Settings!$C$7))*100)</f>
        <v/>
      </c>
      <c r="V2842" s="7">
        <f>IF($C2842="","",R2842*U2842/100)</f>
        <v/>
      </c>
      <c r="W2842" s="7">
        <f>IF($C2842="","",R2842-V2842)</f>
        <v/>
      </c>
      <c r="X2842" s="7">
        <f>IF($C2842="","",W2842-K2842)</f>
        <v/>
      </c>
      <c r="AB2842" s="7" t="n"/>
      <c r="AE2842" s="11" t="n"/>
      <c r="AG2842">
        <f>IF($C2842="","",IF(COUNTIF($C$2:$C2842,$C2842)=1,1,0))</f>
        <v/>
      </c>
      <c r="AH2842">
        <f>IF($AG2842=1,SUMPRODUCT(--($AK$2:$AK$6001&lt;$AK2842))+1,"")</f>
        <v/>
      </c>
      <c r="AI2842">
        <f>IF($C2842="","",IF(OR($N2842=TRUE(),$N2842="TRUE"),1,0))</f>
        <v/>
      </c>
      <c r="AJ2842">
        <f>IF($C2842="","",IF($T2842="Yes",1,0))</f>
        <v/>
      </c>
      <c r="AK2842">
        <f>IF($AG2842=1,IFERROR(IF(VALUE($C2842)&lt;100000000,VALUE($C2842),1000000000),IFERROR(IF(VALUE(MID($C2842,2,20))&lt;100000000,VALUE(MID($C2842,2,20)),1000000000),1000000000))+ROW()/100000,"")</f>
        <v/>
      </c>
    </row>
    <row r="2843">
      <c r="D2843" s="11" t="n"/>
      <c r="K2843" s="7">
        <f>IF($C2843="","",J2843*W2843/100)</f>
        <v/>
      </c>
      <c r="Q2843" s="7" t="n"/>
      <c r="R2843" s="7" t="n"/>
      <c r="U2843">
        <f>IF($C2843="","",IF($AJ2843=1,0,IF($AI2843=1,Settings!$C$6,Settings!$C$7))*100)</f>
        <v/>
      </c>
      <c r="V2843" s="7">
        <f>IF($C2843="","",R2843*U2843/100)</f>
        <v/>
      </c>
      <c r="W2843" s="7">
        <f>IF($C2843="","",R2843-V2843)</f>
        <v/>
      </c>
      <c r="X2843" s="7">
        <f>IF($C2843="","",W2843-K2843)</f>
        <v/>
      </c>
      <c r="AB2843" s="7" t="n"/>
      <c r="AE2843" s="11" t="n"/>
      <c r="AG2843">
        <f>IF($C2843="","",IF(COUNTIF($C$2:$C2843,$C2843)=1,1,0))</f>
        <v/>
      </c>
      <c r="AH2843">
        <f>IF($AG2843=1,SUMPRODUCT(--($AK$2:$AK$6001&lt;$AK2843))+1,"")</f>
        <v/>
      </c>
      <c r="AI2843">
        <f>IF($C2843="","",IF(OR($N2843=TRUE(),$N2843="TRUE"),1,0))</f>
        <v/>
      </c>
      <c r="AJ2843">
        <f>IF($C2843="","",IF($T2843="Yes",1,0))</f>
        <v/>
      </c>
      <c r="AK2843">
        <f>IF($AG2843=1,IFERROR(IF(VALUE($C2843)&lt;100000000,VALUE($C2843),1000000000),IFERROR(IF(VALUE(MID($C2843,2,20))&lt;100000000,VALUE(MID($C2843,2,20)),1000000000),1000000000))+ROW()/100000,"")</f>
        <v/>
      </c>
    </row>
    <row r="2844">
      <c r="D2844" s="11" t="n"/>
      <c r="K2844" s="7">
        <f>IF($C2844="","",J2844*W2844/100)</f>
        <v/>
      </c>
      <c r="Q2844" s="7" t="n"/>
      <c r="R2844" s="7" t="n"/>
      <c r="U2844">
        <f>IF($C2844="","",IF($AJ2844=1,0,IF($AI2844=1,Settings!$C$6,Settings!$C$7))*100)</f>
        <v/>
      </c>
      <c r="V2844" s="7">
        <f>IF($C2844="","",R2844*U2844/100)</f>
        <v/>
      </c>
      <c r="W2844" s="7">
        <f>IF($C2844="","",R2844-V2844)</f>
        <v/>
      </c>
      <c r="X2844" s="7">
        <f>IF($C2844="","",W2844-K2844)</f>
        <v/>
      </c>
      <c r="AB2844" s="7" t="n"/>
      <c r="AE2844" s="11" t="n"/>
      <c r="AG2844">
        <f>IF($C2844="","",IF(COUNTIF($C$2:$C2844,$C2844)=1,1,0))</f>
        <v/>
      </c>
      <c r="AH2844">
        <f>IF($AG2844=1,SUMPRODUCT(--($AK$2:$AK$6001&lt;$AK2844))+1,"")</f>
        <v/>
      </c>
      <c r="AI2844">
        <f>IF($C2844="","",IF(OR($N2844=TRUE(),$N2844="TRUE"),1,0))</f>
        <v/>
      </c>
      <c r="AJ2844">
        <f>IF($C2844="","",IF($T2844="Yes",1,0))</f>
        <v/>
      </c>
      <c r="AK2844">
        <f>IF($AG2844=1,IFERROR(IF(VALUE($C2844)&lt;100000000,VALUE($C2844),1000000000),IFERROR(IF(VALUE(MID($C2844,2,20))&lt;100000000,VALUE(MID($C2844,2,20)),1000000000),1000000000))+ROW()/100000,"")</f>
        <v/>
      </c>
    </row>
    <row r="2845">
      <c r="D2845" s="11" t="n"/>
      <c r="K2845" s="7">
        <f>IF($C2845="","",J2845*W2845/100)</f>
        <v/>
      </c>
      <c r="Q2845" s="7" t="n"/>
      <c r="R2845" s="7" t="n"/>
      <c r="U2845">
        <f>IF($C2845="","",IF($AJ2845=1,0,IF($AI2845=1,Settings!$C$6,Settings!$C$7))*100)</f>
        <v/>
      </c>
      <c r="V2845" s="7">
        <f>IF($C2845="","",R2845*U2845/100)</f>
        <v/>
      </c>
      <c r="W2845" s="7">
        <f>IF($C2845="","",R2845-V2845)</f>
        <v/>
      </c>
      <c r="X2845" s="7">
        <f>IF($C2845="","",W2845-K2845)</f>
        <v/>
      </c>
      <c r="AB2845" s="7" t="n"/>
      <c r="AE2845" s="11" t="n"/>
      <c r="AG2845">
        <f>IF($C2845="","",IF(COUNTIF($C$2:$C2845,$C2845)=1,1,0))</f>
        <v/>
      </c>
      <c r="AH2845">
        <f>IF($AG2845=1,SUMPRODUCT(--($AK$2:$AK$6001&lt;$AK2845))+1,"")</f>
        <v/>
      </c>
      <c r="AI2845">
        <f>IF($C2845="","",IF(OR($N2845=TRUE(),$N2845="TRUE"),1,0))</f>
        <v/>
      </c>
      <c r="AJ2845">
        <f>IF($C2845="","",IF($T2845="Yes",1,0))</f>
        <v/>
      </c>
      <c r="AK2845">
        <f>IF($AG2845=1,IFERROR(IF(VALUE($C2845)&lt;100000000,VALUE($C2845),1000000000),IFERROR(IF(VALUE(MID($C2845,2,20))&lt;100000000,VALUE(MID($C2845,2,20)),1000000000),1000000000))+ROW()/100000,"")</f>
        <v/>
      </c>
    </row>
    <row r="2846">
      <c r="D2846" s="11" t="n"/>
      <c r="K2846" s="7">
        <f>IF($C2846="","",J2846*W2846/100)</f>
        <v/>
      </c>
      <c r="Q2846" s="7" t="n"/>
      <c r="R2846" s="7" t="n"/>
      <c r="U2846">
        <f>IF($C2846="","",IF($AJ2846=1,0,IF($AI2846=1,Settings!$C$6,Settings!$C$7))*100)</f>
        <v/>
      </c>
      <c r="V2846" s="7">
        <f>IF($C2846="","",R2846*U2846/100)</f>
        <v/>
      </c>
      <c r="W2846" s="7">
        <f>IF($C2846="","",R2846-V2846)</f>
        <v/>
      </c>
      <c r="X2846" s="7">
        <f>IF($C2846="","",W2846-K2846)</f>
        <v/>
      </c>
      <c r="AB2846" s="7" t="n"/>
      <c r="AE2846" s="11" t="n"/>
      <c r="AG2846">
        <f>IF($C2846="","",IF(COUNTIF($C$2:$C2846,$C2846)=1,1,0))</f>
        <v/>
      </c>
      <c r="AH2846">
        <f>IF($AG2846=1,SUMPRODUCT(--($AK$2:$AK$6001&lt;$AK2846))+1,"")</f>
        <v/>
      </c>
      <c r="AI2846">
        <f>IF($C2846="","",IF(OR($N2846=TRUE(),$N2846="TRUE"),1,0))</f>
        <v/>
      </c>
      <c r="AJ2846">
        <f>IF($C2846="","",IF($T2846="Yes",1,0))</f>
        <v/>
      </c>
      <c r="AK2846">
        <f>IF($AG2846=1,IFERROR(IF(VALUE($C2846)&lt;100000000,VALUE($C2846),1000000000),IFERROR(IF(VALUE(MID($C2846,2,20))&lt;100000000,VALUE(MID($C2846,2,20)),1000000000),1000000000))+ROW()/100000,"")</f>
        <v/>
      </c>
    </row>
    <row r="2847">
      <c r="D2847" s="11" t="n"/>
      <c r="K2847" s="7">
        <f>IF($C2847="","",J2847*W2847/100)</f>
        <v/>
      </c>
      <c r="Q2847" s="7" t="n"/>
      <c r="R2847" s="7" t="n"/>
      <c r="U2847">
        <f>IF($C2847="","",IF($AJ2847=1,0,IF($AI2847=1,Settings!$C$6,Settings!$C$7))*100)</f>
        <v/>
      </c>
      <c r="V2847" s="7">
        <f>IF($C2847="","",R2847*U2847/100)</f>
        <v/>
      </c>
      <c r="W2847" s="7">
        <f>IF($C2847="","",R2847-V2847)</f>
        <v/>
      </c>
      <c r="X2847" s="7">
        <f>IF($C2847="","",W2847-K2847)</f>
        <v/>
      </c>
      <c r="AB2847" s="7" t="n"/>
      <c r="AE2847" s="11" t="n"/>
      <c r="AG2847">
        <f>IF($C2847="","",IF(COUNTIF($C$2:$C2847,$C2847)=1,1,0))</f>
        <v/>
      </c>
      <c r="AH2847">
        <f>IF($AG2847=1,SUMPRODUCT(--($AK$2:$AK$6001&lt;$AK2847))+1,"")</f>
        <v/>
      </c>
      <c r="AI2847">
        <f>IF($C2847="","",IF(OR($N2847=TRUE(),$N2847="TRUE"),1,0))</f>
        <v/>
      </c>
      <c r="AJ2847">
        <f>IF($C2847="","",IF($T2847="Yes",1,0))</f>
        <v/>
      </c>
      <c r="AK2847">
        <f>IF($AG2847=1,IFERROR(IF(VALUE($C2847)&lt;100000000,VALUE($C2847),1000000000),IFERROR(IF(VALUE(MID($C2847,2,20))&lt;100000000,VALUE(MID($C2847,2,20)),1000000000),1000000000))+ROW()/100000,"")</f>
        <v/>
      </c>
    </row>
    <row r="2848">
      <c r="D2848" s="11" t="n"/>
      <c r="K2848" s="7">
        <f>IF($C2848="","",J2848*W2848/100)</f>
        <v/>
      </c>
      <c r="Q2848" s="7" t="n"/>
      <c r="R2848" s="7" t="n"/>
      <c r="U2848">
        <f>IF($C2848="","",IF($AJ2848=1,0,IF($AI2848=1,Settings!$C$6,Settings!$C$7))*100)</f>
        <v/>
      </c>
      <c r="V2848" s="7">
        <f>IF($C2848="","",R2848*U2848/100)</f>
        <v/>
      </c>
      <c r="W2848" s="7">
        <f>IF($C2848="","",R2848-V2848)</f>
        <v/>
      </c>
      <c r="X2848" s="7">
        <f>IF($C2848="","",W2848-K2848)</f>
        <v/>
      </c>
      <c r="AB2848" s="7" t="n"/>
      <c r="AE2848" s="11" t="n"/>
      <c r="AG2848">
        <f>IF($C2848="","",IF(COUNTIF($C$2:$C2848,$C2848)=1,1,0))</f>
        <v/>
      </c>
      <c r="AH2848">
        <f>IF($AG2848=1,SUMPRODUCT(--($AK$2:$AK$6001&lt;$AK2848))+1,"")</f>
        <v/>
      </c>
      <c r="AI2848">
        <f>IF($C2848="","",IF(OR($N2848=TRUE(),$N2848="TRUE"),1,0))</f>
        <v/>
      </c>
      <c r="AJ2848">
        <f>IF($C2848="","",IF($T2848="Yes",1,0))</f>
        <v/>
      </c>
      <c r="AK2848">
        <f>IF($AG2848=1,IFERROR(IF(VALUE($C2848)&lt;100000000,VALUE($C2848),1000000000),IFERROR(IF(VALUE(MID($C2848,2,20))&lt;100000000,VALUE(MID($C2848,2,20)),1000000000),1000000000))+ROW()/100000,"")</f>
        <v/>
      </c>
    </row>
    <row r="2849">
      <c r="D2849" s="11" t="n"/>
      <c r="K2849" s="7">
        <f>IF($C2849="","",J2849*W2849/100)</f>
        <v/>
      </c>
      <c r="Q2849" s="7" t="n"/>
      <c r="R2849" s="7" t="n"/>
      <c r="U2849">
        <f>IF($C2849="","",IF($AJ2849=1,0,IF($AI2849=1,Settings!$C$6,Settings!$C$7))*100)</f>
        <v/>
      </c>
      <c r="V2849" s="7">
        <f>IF($C2849="","",R2849*U2849/100)</f>
        <v/>
      </c>
      <c r="W2849" s="7">
        <f>IF($C2849="","",R2849-V2849)</f>
        <v/>
      </c>
      <c r="X2849" s="7">
        <f>IF($C2849="","",W2849-K2849)</f>
        <v/>
      </c>
      <c r="AB2849" s="7" t="n"/>
      <c r="AE2849" s="11" t="n"/>
      <c r="AG2849">
        <f>IF($C2849="","",IF(COUNTIF($C$2:$C2849,$C2849)=1,1,0))</f>
        <v/>
      </c>
      <c r="AH2849">
        <f>IF($AG2849=1,SUMPRODUCT(--($AK$2:$AK$6001&lt;$AK2849))+1,"")</f>
        <v/>
      </c>
      <c r="AI2849">
        <f>IF($C2849="","",IF(OR($N2849=TRUE(),$N2849="TRUE"),1,0))</f>
        <v/>
      </c>
      <c r="AJ2849">
        <f>IF($C2849="","",IF($T2849="Yes",1,0))</f>
        <v/>
      </c>
      <c r="AK2849">
        <f>IF($AG2849=1,IFERROR(IF(VALUE($C2849)&lt;100000000,VALUE($C2849),1000000000),IFERROR(IF(VALUE(MID($C2849,2,20))&lt;100000000,VALUE(MID($C2849,2,20)),1000000000),1000000000))+ROW()/100000,"")</f>
        <v/>
      </c>
    </row>
    <row r="2850">
      <c r="D2850" s="11" t="n"/>
      <c r="K2850" s="7">
        <f>IF($C2850="","",J2850*W2850/100)</f>
        <v/>
      </c>
      <c r="Q2850" s="7" t="n"/>
      <c r="R2850" s="7" t="n"/>
      <c r="U2850">
        <f>IF($C2850="","",IF($AJ2850=1,0,IF($AI2850=1,Settings!$C$6,Settings!$C$7))*100)</f>
        <v/>
      </c>
      <c r="V2850" s="7">
        <f>IF($C2850="","",R2850*U2850/100)</f>
        <v/>
      </c>
      <c r="W2850" s="7">
        <f>IF($C2850="","",R2850-V2850)</f>
        <v/>
      </c>
      <c r="X2850" s="7">
        <f>IF($C2850="","",W2850-K2850)</f>
        <v/>
      </c>
      <c r="AB2850" s="7" t="n"/>
      <c r="AE2850" s="11" t="n"/>
      <c r="AG2850">
        <f>IF($C2850="","",IF(COUNTIF($C$2:$C2850,$C2850)=1,1,0))</f>
        <v/>
      </c>
      <c r="AH2850">
        <f>IF($AG2850=1,SUMPRODUCT(--($AK$2:$AK$6001&lt;$AK2850))+1,"")</f>
        <v/>
      </c>
      <c r="AI2850">
        <f>IF($C2850="","",IF(OR($N2850=TRUE(),$N2850="TRUE"),1,0))</f>
        <v/>
      </c>
      <c r="AJ2850">
        <f>IF($C2850="","",IF($T2850="Yes",1,0))</f>
        <v/>
      </c>
      <c r="AK2850">
        <f>IF($AG2850=1,IFERROR(IF(VALUE($C2850)&lt;100000000,VALUE($C2850),1000000000),IFERROR(IF(VALUE(MID($C2850,2,20))&lt;100000000,VALUE(MID($C2850,2,20)),1000000000),1000000000))+ROW()/100000,"")</f>
        <v/>
      </c>
    </row>
    <row r="2851">
      <c r="D2851" s="11" t="n"/>
      <c r="K2851" s="7">
        <f>IF($C2851="","",J2851*W2851/100)</f>
        <v/>
      </c>
      <c r="Q2851" s="7" t="n"/>
      <c r="R2851" s="7" t="n"/>
      <c r="U2851">
        <f>IF($C2851="","",IF($AJ2851=1,0,IF($AI2851=1,Settings!$C$6,Settings!$C$7))*100)</f>
        <v/>
      </c>
      <c r="V2851" s="7">
        <f>IF($C2851="","",R2851*U2851/100)</f>
        <v/>
      </c>
      <c r="W2851" s="7">
        <f>IF($C2851="","",R2851-V2851)</f>
        <v/>
      </c>
      <c r="X2851" s="7">
        <f>IF($C2851="","",W2851-K2851)</f>
        <v/>
      </c>
      <c r="AB2851" s="7" t="n"/>
      <c r="AE2851" s="11" t="n"/>
      <c r="AG2851">
        <f>IF($C2851="","",IF(COUNTIF($C$2:$C2851,$C2851)=1,1,0))</f>
        <v/>
      </c>
      <c r="AH2851">
        <f>IF($AG2851=1,SUMPRODUCT(--($AK$2:$AK$6001&lt;$AK2851))+1,"")</f>
        <v/>
      </c>
      <c r="AI2851">
        <f>IF($C2851="","",IF(OR($N2851=TRUE(),$N2851="TRUE"),1,0))</f>
        <v/>
      </c>
      <c r="AJ2851">
        <f>IF($C2851="","",IF($T2851="Yes",1,0))</f>
        <v/>
      </c>
      <c r="AK2851">
        <f>IF($AG2851=1,IFERROR(IF(VALUE($C2851)&lt;100000000,VALUE($C2851),1000000000),IFERROR(IF(VALUE(MID($C2851,2,20))&lt;100000000,VALUE(MID($C2851,2,20)),1000000000),1000000000))+ROW()/100000,"")</f>
        <v/>
      </c>
    </row>
    <row r="2852">
      <c r="D2852" s="11" t="n"/>
      <c r="K2852" s="7">
        <f>IF($C2852="","",J2852*W2852/100)</f>
        <v/>
      </c>
      <c r="Q2852" s="7" t="n"/>
      <c r="R2852" s="7" t="n"/>
      <c r="U2852">
        <f>IF($C2852="","",IF($AJ2852=1,0,IF($AI2852=1,Settings!$C$6,Settings!$C$7))*100)</f>
        <v/>
      </c>
      <c r="V2852" s="7">
        <f>IF($C2852="","",R2852*U2852/100)</f>
        <v/>
      </c>
      <c r="W2852" s="7">
        <f>IF($C2852="","",R2852-V2852)</f>
        <v/>
      </c>
      <c r="X2852" s="7">
        <f>IF($C2852="","",W2852-K2852)</f>
        <v/>
      </c>
      <c r="AB2852" s="7" t="n"/>
      <c r="AE2852" s="11" t="n"/>
      <c r="AG2852">
        <f>IF($C2852="","",IF(COUNTIF($C$2:$C2852,$C2852)=1,1,0))</f>
        <v/>
      </c>
      <c r="AH2852">
        <f>IF($AG2852=1,SUMPRODUCT(--($AK$2:$AK$6001&lt;$AK2852))+1,"")</f>
        <v/>
      </c>
      <c r="AI2852">
        <f>IF($C2852="","",IF(OR($N2852=TRUE(),$N2852="TRUE"),1,0))</f>
        <v/>
      </c>
      <c r="AJ2852">
        <f>IF($C2852="","",IF($T2852="Yes",1,0))</f>
        <v/>
      </c>
      <c r="AK2852">
        <f>IF($AG2852=1,IFERROR(IF(VALUE($C2852)&lt;100000000,VALUE($C2852),1000000000),IFERROR(IF(VALUE(MID($C2852,2,20))&lt;100000000,VALUE(MID($C2852,2,20)),1000000000),1000000000))+ROW()/100000,"")</f>
        <v/>
      </c>
    </row>
    <row r="2853">
      <c r="D2853" s="11" t="n"/>
      <c r="K2853" s="7">
        <f>IF($C2853="","",J2853*W2853/100)</f>
        <v/>
      </c>
      <c r="Q2853" s="7" t="n"/>
      <c r="R2853" s="7" t="n"/>
      <c r="U2853">
        <f>IF($C2853="","",IF($AJ2853=1,0,IF($AI2853=1,Settings!$C$6,Settings!$C$7))*100)</f>
        <v/>
      </c>
      <c r="V2853" s="7">
        <f>IF($C2853="","",R2853*U2853/100)</f>
        <v/>
      </c>
      <c r="W2853" s="7">
        <f>IF($C2853="","",R2853-V2853)</f>
        <v/>
      </c>
      <c r="X2853" s="7">
        <f>IF($C2853="","",W2853-K2853)</f>
        <v/>
      </c>
      <c r="AB2853" s="7" t="n"/>
      <c r="AE2853" s="11" t="n"/>
      <c r="AG2853">
        <f>IF($C2853="","",IF(COUNTIF($C$2:$C2853,$C2853)=1,1,0))</f>
        <v/>
      </c>
      <c r="AH2853">
        <f>IF($AG2853=1,SUMPRODUCT(--($AK$2:$AK$6001&lt;$AK2853))+1,"")</f>
        <v/>
      </c>
      <c r="AI2853">
        <f>IF($C2853="","",IF(OR($N2853=TRUE(),$N2853="TRUE"),1,0))</f>
        <v/>
      </c>
      <c r="AJ2853">
        <f>IF($C2853="","",IF($T2853="Yes",1,0))</f>
        <v/>
      </c>
      <c r="AK2853">
        <f>IF($AG2853=1,IFERROR(IF(VALUE($C2853)&lt;100000000,VALUE($C2853),1000000000),IFERROR(IF(VALUE(MID($C2853,2,20))&lt;100000000,VALUE(MID($C2853,2,20)),1000000000),1000000000))+ROW()/100000,"")</f>
        <v/>
      </c>
    </row>
    <row r="2854">
      <c r="D2854" s="11" t="n"/>
      <c r="K2854" s="7">
        <f>IF($C2854="","",J2854*W2854/100)</f>
        <v/>
      </c>
      <c r="Q2854" s="7" t="n"/>
      <c r="R2854" s="7" t="n"/>
      <c r="U2854">
        <f>IF($C2854="","",IF($AJ2854=1,0,IF($AI2854=1,Settings!$C$6,Settings!$C$7))*100)</f>
        <v/>
      </c>
      <c r="V2854" s="7">
        <f>IF($C2854="","",R2854*U2854/100)</f>
        <v/>
      </c>
      <c r="W2854" s="7">
        <f>IF($C2854="","",R2854-V2854)</f>
        <v/>
      </c>
      <c r="X2854" s="7">
        <f>IF($C2854="","",W2854-K2854)</f>
        <v/>
      </c>
      <c r="AB2854" s="7" t="n"/>
      <c r="AE2854" s="11" t="n"/>
      <c r="AG2854">
        <f>IF($C2854="","",IF(COUNTIF($C$2:$C2854,$C2854)=1,1,0))</f>
        <v/>
      </c>
      <c r="AH2854">
        <f>IF($AG2854=1,SUMPRODUCT(--($AK$2:$AK$6001&lt;$AK2854))+1,"")</f>
        <v/>
      </c>
      <c r="AI2854">
        <f>IF($C2854="","",IF(OR($N2854=TRUE(),$N2854="TRUE"),1,0))</f>
        <v/>
      </c>
      <c r="AJ2854">
        <f>IF($C2854="","",IF($T2854="Yes",1,0))</f>
        <v/>
      </c>
      <c r="AK2854">
        <f>IF($AG2854=1,IFERROR(IF(VALUE($C2854)&lt;100000000,VALUE($C2854),1000000000),IFERROR(IF(VALUE(MID($C2854,2,20))&lt;100000000,VALUE(MID($C2854,2,20)),1000000000),1000000000))+ROW()/100000,"")</f>
        <v/>
      </c>
    </row>
    <row r="2855">
      <c r="D2855" s="11" t="n"/>
      <c r="K2855" s="7">
        <f>IF($C2855="","",J2855*W2855/100)</f>
        <v/>
      </c>
      <c r="Q2855" s="7" t="n"/>
      <c r="R2855" s="7" t="n"/>
      <c r="U2855">
        <f>IF($C2855="","",IF($AJ2855=1,0,IF($AI2855=1,Settings!$C$6,Settings!$C$7))*100)</f>
        <v/>
      </c>
      <c r="V2855" s="7">
        <f>IF($C2855="","",R2855*U2855/100)</f>
        <v/>
      </c>
      <c r="W2855" s="7">
        <f>IF($C2855="","",R2855-V2855)</f>
        <v/>
      </c>
      <c r="X2855" s="7">
        <f>IF($C2855="","",W2855-K2855)</f>
        <v/>
      </c>
      <c r="AB2855" s="7" t="n"/>
      <c r="AE2855" s="11" t="n"/>
      <c r="AG2855">
        <f>IF($C2855="","",IF(COUNTIF($C$2:$C2855,$C2855)=1,1,0))</f>
        <v/>
      </c>
      <c r="AH2855">
        <f>IF($AG2855=1,SUMPRODUCT(--($AK$2:$AK$6001&lt;$AK2855))+1,"")</f>
        <v/>
      </c>
      <c r="AI2855">
        <f>IF($C2855="","",IF(OR($N2855=TRUE(),$N2855="TRUE"),1,0))</f>
        <v/>
      </c>
      <c r="AJ2855">
        <f>IF($C2855="","",IF($T2855="Yes",1,0))</f>
        <v/>
      </c>
      <c r="AK2855">
        <f>IF($AG2855=1,IFERROR(IF(VALUE($C2855)&lt;100000000,VALUE($C2855),1000000000),IFERROR(IF(VALUE(MID($C2855,2,20))&lt;100000000,VALUE(MID($C2855,2,20)),1000000000),1000000000))+ROW()/100000,"")</f>
        <v/>
      </c>
    </row>
    <row r="2856">
      <c r="D2856" s="11" t="n"/>
      <c r="K2856" s="7">
        <f>IF($C2856="","",J2856*W2856/100)</f>
        <v/>
      </c>
      <c r="Q2856" s="7" t="n"/>
      <c r="R2856" s="7" t="n"/>
      <c r="U2856">
        <f>IF($C2856="","",IF($AJ2856=1,0,IF($AI2856=1,Settings!$C$6,Settings!$C$7))*100)</f>
        <v/>
      </c>
      <c r="V2856" s="7">
        <f>IF($C2856="","",R2856*U2856/100)</f>
        <v/>
      </c>
      <c r="W2856" s="7">
        <f>IF($C2856="","",R2856-V2856)</f>
        <v/>
      </c>
      <c r="X2856" s="7">
        <f>IF($C2856="","",W2856-K2856)</f>
        <v/>
      </c>
      <c r="AB2856" s="7" t="n"/>
      <c r="AE2856" s="11" t="n"/>
      <c r="AG2856">
        <f>IF($C2856="","",IF(COUNTIF($C$2:$C2856,$C2856)=1,1,0))</f>
        <v/>
      </c>
      <c r="AH2856">
        <f>IF($AG2856=1,SUMPRODUCT(--($AK$2:$AK$6001&lt;$AK2856))+1,"")</f>
        <v/>
      </c>
      <c r="AI2856">
        <f>IF($C2856="","",IF(OR($N2856=TRUE(),$N2856="TRUE"),1,0))</f>
        <v/>
      </c>
      <c r="AJ2856">
        <f>IF($C2856="","",IF($T2856="Yes",1,0))</f>
        <v/>
      </c>
      <c r="AK2856">
        <f>IF($AG2856=1,IFERROR(IF(VALUE($C2856)&lt;100000000,VALUE($C2856),1000000000),IFERROR(IF(VALUE(MID($C2856,2,20))&lt;100000000,VALUE(MID($C2856,2,20)),1000000000),1000000000))+ROW()/100000,"")</f>
        <v/>
      </c>
    </row>
    <row r="2857">
      <c r="D2857" s="11" t="n"/>
      <c r="K2857" s="7">
        <f>IF($C2857="","",J2857*W2857/100)</f>
        <v/>
      </c>
      <c r="Q2857" s="7" t="n"/>
      <c r="R2857" s="7" t="n"/>
      <c r="U2857">
        <f>IF($C2857="","",IF($AJ2857=1,0,IF($AI2857=1,Settings!$C$6,Settings!$C$7))*100)</f>
        <v/>
      </c>
      <c r="V2857" s="7">
        <f>IF($C2857="","",R2857*U2857/100)</f>
        <v/>
      </c>
      <c r="W2857" s="7">
        <f>IF($C2857="","",R2857-V2857)</f>
        <v/>
      </c>
      <c r="X2857" s="7">
        <f>IF($C2857="","",W2857-K2857)</f>
        <v/>
      </c>
      <c r="AB2857" s="7" t="n"/>
      <c r="AE2857" s="11" t="n"/>
      <c r="AG2857">
        <f>IF($C2857="","",IF(COUNTIF($C$2:$C2857,$C2857)=1,1,0))</f>
        <v/>
      </c>
      <c r="AH2857">
        <f>IF($AG2857=1,SUMPRODUCT(--($AK$2:$AK$6001&lt;$AK2857))+1,"")</f>
        <v/>
      </c>
      <c r="AI2857">
        <f>IF($C2857="","",IF(OR($N2857=TRUE(),$N2857="TRUE"),1,0))</f>
        <v/>
      </c>
      <c r="AJ2857">
        <f>IF($C2857="","",IF($T2857="Yes",1,0))</f>
        <v/>
      </c>
      <c r="AK2857">
        <f>IF($AG2857=1,IFERROR(IF(VALUE($C2857)&lt;100000000,VALUE($C2857),1000000000),IFERROR(IF(VALUE(MID($C2857,2,20))&lt;100000000,VALUE(MID($C2857,2,20)),1000000000),1000000000))+ROW()/100000,"")</f>
        <v/>
      </c>
    </row>
    <row r="2858">
      <c r="D2858" s="11" t="n"/>
      <c r="K2858" s="7">
        <f>IF($C2858="","",J2858*W2858/100)</f>
        <v/>
      </c>
      <c r="Q2858" s="7" t="n"/>
      <c r="R2858" s="7" t="n"/>
      <c r="U2858">
        <f>IF($C2858="","",IF($AJ2858=1,0,IF($AI2858=1,Settings!$C$6,Settings!$C$7))*100)</f>
        <v/>
      </c>
      <c r="V2858" s="7">
        <f>IF($C2858="","",R2858*U2858/100)</f>
        <v/>
      </c>
      <c r="W2858" s="7">
        <f>IF($C2858="","",R2858-V2858)</f>
        <v/>
      </c>
      <c r="X2858" s="7">
        <f>IF($C2858="","",W2858-K2858)</f>
        <v/>
      </c>
      <c r="AB2858" s="7" t="n"/>
      <c r="AE2858" s="11" t="n"/>
      <c r="AG2858">
        <f>IF($C2858="","",IF(COUNTIF($C$2:$C2858,$C2858)=1,1,0))</f>
        <v/>
      </c>
      <c r="AH2858">
        <f>IF($AG2858=1,SUMPRODUCT(--($AK$2:$AK$6001&lt;$AK2858))+1,"")</f>
        <v/>
      </c>
      <c r="AI2858">
        <f>IF($C2858="","",IF(OR($N2858=TRUE(),$N2858="TRUE"),1,0))</f>
        <v/>
      </c>
      <c r="AJ2858">
        <f>IF($C2858="","",IF($T2858="Yes",1,0))</f>
        <v/>
      </c>
      <c r="AK2858">
        <f>IF($AG2858=1,IFERROR(IF(VALUE($C2858)&lt;100000000,VALUE($C2858),1000000000),IFERROR(IF(VALUE(MID($C2858,2,20))&lt;100000000,VALUE(MID($C2858,2,20)),1000000000),1000000000))+ROW()/100000,"")</f>
        <v/>
      </c>
    </row>
    <row r="2859">
      <c r="D2859" s="11" t="n"/>
      <c r="K2859" s="7">
        <f>IF($C2859="","",J2859*W2859/100)</f>
        <v/>
      </c>
      <c r="Q2859" s="7" t="n"/>
      <c r="R2859" s="7" t="n"/>
      <c r="U2859">
        <f>IF($C2859="","",IF($AJ2859=1,0,IF($AI2859=1,Settings!$C$6,Settings!$C$7))*100)</f>
        <v/>
      </c>
      <c r="V2859" s="7">
        <f>IF($C2859="","",R2859*U2859/100)</f>
        <v/>
      </c>
      <c r="W2859" s="7">
        <f>IF($C2859="","",R2859-V2859)</f>
        <v/>
      </c>
      <c r="X2859" s="7">
        <f>IF($C2859="","",W2859-K2859)</f>
        <v/>
      </c>
      <c r="AB2859" s="7" t="n"/>
      <c r="AE2859" s="11" t="n"/>
      <c r="AG2859">
        <f>IF($C2859="","",IF(COUNTIF($C$2:$C2859,$C2859)=1,1,0))</f>
        <v/>
      </c>
      <c r="AH2859">
        <f>IF($AG2859=1,SUMPRODUCT(--($AK$2:$AK$6001&lt;$AK2859))+1,"")</f>
        <v/>
      </c>
      <c r="AI2859">
        <f>IF($C2859="","",IF(OR($N2859=TRUE(),$N2859="TRUE"),1,0))</f>
        <v/>
      </c>
      <c r="AJ2859">
        <f>IF($C2859="","",IF($T2859="Yes",1,0))</f>
        <v/>
      </c>
      <c r="AK2859">
        <f>IF($AG2859=1,IFERROR(IF(VALUE($C2859)&lt;100000000,VALUE($C2859),1000000000),IFERROR(IF(VALUE(MID($C2859,2,20))&lt;100000000,VALUE(MID($C2859,2,20)),1000000000),1000000000))+ROW()/100000,"")</f>
        <v/>
      </c>
    </row>
    <row r="2860">
      <c r="D2860" s="11" t="n"/>
      <c r="K2860" s="7">
        <f>IF($C2860="","",J2860*W2860/100)</f>
        <v/>
      </c>
      <c r="Q2860" s="7" t="n"/>
      <c r="R2860" s="7" t="n"/>
      <c r="U2860">
        <f>IF($C2860="","",IF($AJ2860=1,0,IF($AI2860=1,Settings!$C$6,Settings!$C$7))*100)</f>
        <v/>
      </c>
      <c r="V2860" s="7">
        <f>IF($C2860="","",R2860*U2860/100)</f>
        <v/>
      </c>
      <c r="W2860" s="7">
        <f>IF($C2860="","",R2860-V2860)</f>
        <v/>
      </c>
      <c r="X2860" s="7">
        <f>IF($C2860="","",W2860-K2860)</f>
        <v/>
      </c>
      <c r="AB2860" s="7" t="n"/>
      <c r="AE2860" s="11" t="n"/>
      <c r="AG2860">
        <f>IF($C2860="","",IF(COUNTIF($C$2:$C2860,$C2860)=1,1,0))</f>
        <v/>
      </c>
      <c r="AH2860">
        <f>IF($AG2860=1,SUMPRODUCT(--($AK$2:$AK$6001&lt;$AK2860))+1,"")</f>
        <v/>
      </c>
      <c r="AI2860">
        <f>IF($C2860="","",IF(OR($N2860=TRUE(),$N2860="TRUE"),1,0))</f>
        <v/>
      </c>
      <c r="AJ2860">
        <f>IF($C2860="","",IF($T2860="Yes",1,0))</f>
        <v/>
      </c>
      <c r="AK2860">
        <f>IF($AG2860=1,IFERROR(IF(VALUE($C2860)&lt;100000000,VALUE($C2860),1000000000),IFERROR(IF(VALUE(MID($C2860,2,20))&lt;100000000,VALUE(MID($C2860,2,20)),1000000000),1000000000))+ROW()/100000,"")</f>
        <v/>
      </c>
    </row>
    <row r="2861">
      <c r="D2861" s="11" t="n"/>
      <c r="K2861" s="7">
        <f>IF($C2861="","",J2861*W2861/100)</f>
        <v/>
      </c>
      <c r="Q2861" s="7" t="n"/>
      <c r="R2861" s="7" t="n"/>
      <c r="U2861">
        <f>IF($C2861="","",IF($AJ2861=1,0,IF($AI2861=1,Settings!$C$6,Settings!$C$7))*100)</f>
        <v/>
      </c>
      <c r="V2861" s="7">
        <f>IF($C2861="","",R2861*U2861/100)</f>
        <v/>
      </c>
      <c r="W2861" s="7">
        <f>IF($C2861="","",R2861-V2861)</f>
        <v/>
      </c>
      <c r="X2861" s="7">
        <f>IF($C2861="","",W2861-K2861)</f>
        <v/>
      </c>
      <c r="AB2861" s="7" t="n"/>
      <c r="AE2861" s="11" t="n"/>
      <c r="AG2861">
        <f>IF($C2861="","",IF(COUNTIF($C$2:$C2861,$C2861)=1,1,0))</f>
        <v/>
      </c>
      <c r="AH2861">
        <f>IF($AG2861=1,SUMPRODUCT(--($AK$2:$AK$6001&lt;$AK2861))+1,"")</f>
        <v/>
      </c>
      <c r="AI2861">
        <f>IF($C2861="","",IF(OR($N2861=TRUE(),$N2861="TRUE"),1,0))</f>
        <v/>
      </c>
      <c r="AJ2861">
        <f>IF($C2861="","",IF($T2861="Yes",1,0))</f>
        <v/>
      </c>
      <c r="AK2861">
        <f>IF($AG2861=1,IFERROR(IF(VALUE($C2861)&lt;100000000,VALUE($C2861),1000000000),IFERROR(IF(VALUE(MID($C2861,2,20))&lt;100000000,VALUE(MID($C2861,2,20)),1000000000),1000000000))+ROW()/100000,"")</f>
        <v/>
      </c>
    </row>
    <row r="2862">
      <c r="D2862" s="11" t="n"/>
      <c r="K2862" s="7">
        <f>IF($C2862="","",J2862*W2862/100)</f>
        <v/>
      </c>
      <c r="Q2862" s="7" t="n"/>
      <c r="R2862" s="7" t="n"/>
      <c r="U2862">
        <f>IF($C2862="","",IF($AJ2862=1,0,IF($AI2862=1,Settings!$C$6,Settings!$C$7))*100)</f>
        <v/>
      </c>
      <c r="V2862" s="7">
        <f>IF($C2862="","",R2862*U2862/100)</f>
        <v/>
      </c>
      <c r="W2862" s="7">
        <f>IF($C2862="","",R2862-V2862)</f>
        <v/>
      </c>
      <c r="X2862" s="7">
        <f>IF($C2862="","",W2862-K2862)</f>
        <v/>
      </c>
      <c r="AB2862" s="7" t="n"/>
      <c r="AE2862" s="11" t="n"/>
      <c r="AG2862">
        <f>IF($C2862="","",IF(COUNTIF($C$2:$C2862,$C2862)=1,1,0))</f>
        <v/>
      </c>
      <c r="AH2862">
        <f>IF($AG2862=1,SUMPRODUCT(--($AK$2:$AK$6001&lt;$AK2862))+1,"")</f>
        <v/>
      </c>
      <c r="AI2862">
        <f>IF($C2862="","",IF(OR($N2862=TRUE(),$N2862="TRUE"),1,0))</f>
        <v/>
      </c>
      <c r="AJ2862">
        <f>IF($C2862="","",IF($T2862="Yes",1,0))</f>
        <v/>
      </c>
      <c r="AK2862">
        <f>IF($AG2862=1,IFERROR(IF(VALUE($C2862)&lt;100000000,VALUE($C2862),1000000000),IFERROR(IF(VALUE(MID($C2862,2,20))&lt;100000000,VALUE(MID($C2862,2,20)),1000000000),1000000000))+ROW()/100000,"")</f>
        <v/>
      </c>
    </row>
    <row r="2863">
      <c r="D2863" s="11" t="n"/>
      <c r="K2863" s="7">
        <f>IF($C2863="","",J2863*W2863/100)</f>
        <v/>
      </c>
      <c r="Q2863" s="7" t="n"/>
      <c r="R2863" s="7" t="n"/>
      <c r="U2863">
        <f>IF($C2863="","",IF($AJ2863=1,0,IF($AI2863=1,Settings!$C$6,Settings!$C$7))*100)</f>
        <v/>
      </c>
      <c r="V2863" s="7">
        <f>IF($C2863="","",R2863*U2863/100)</f>
        <v/>
      </c>
      <c r="W2863" s="7">
        <f>IF($C2863="","",R2863-V2863)</f>
        <v/>
      </c>
      <c r="X2863" s="7">
        <f>IF($C2863="","",W2863-K2863)</f>
        <v/>
      </c>
      <c r="AB2863" s="7" t="n"/>
      <c r="AE2863" s="11" t="n"/>
      <c r="AG2863">
        <f>IF($C2863="","",IF(COUNTIF($C$2:$C2863,$C2863)=1,1,0))</f>
        <v/>
      </c>
      <c r="AH2863">
        <f>IF($AG2863=1,SUMPRODUCT(--($AK$2:$AK$6001&lt;$AK2863))+1,"")</f>
        <v/>
      </c>
      <c r="AI2863">
        <f>IF($C2863="","",IF(OR($N2863=TRUE(),$N2863="TRUE"),1,0))</f>
        <v/>
      </c>
      <c r="AJ2863">
        <f>IF($C2863="","",IF($T2863="Yes",1,0))</f>
        <v/>
      </c>
      <c r="AK2863">
        <f>IF($AG2863=1,IFERROR(IF(VALUE($C2863)&lt;100000000,VALUE($C2863),1000000000),IFERROR(IF(VALUE(MID($C2863,2,20))&lt;100000000,VALUE(MID($C2863,2,20)),1000000000),1000000000))+ROW()/100000,"")</f>
        <v/>
      </c>
    </row>
    <row r="2864">
      <c r="D2864" s="11" t="n"/>
      <c r="K2864" s="7">
        <f>IF($C2864="","",J2864*W2864/100)</f>
        <v/>
      </c>
      <c r="Q2864" s="7" t="n"/>
      <c r="R2864" s="7" t="n"/>
      <c r="U2864">
        <f>IF($C2864="","",IF($AJ2864=1,0,IF($AI2864=1,Settings!$C$6,Settings!$C$7))*100)</f>
        <v/>
      </c>
      <c r="V2864" s="7">
        <f>IF($C2864="","",R2864*U2864/100)</f>
        <v/>
      </c>
      <c r="W2864" s="7">
        <f>IF($C2864="","",R2864-V2864)</f>
        <v/>
      </c>
      <c r="X2864" s="7">
        <f>IF($C2864="","",W2864-K2864)</f>
        <v/>
      </c>
      <c r="AB2864" s="7" t="n"/>
      <c r="AE2864" s="11" t="n"/>
      <c r="AG2864">
        <f>IF($C2864="","",IF(COUNTIF($C$2:$C2864,$C2864)=1,1,0))</f>
        <v/>
      </c>
      <c r="AH2864">
        <f>IF($AG2864=1,SUMPRODUCT(--($AK$2:$AK$6001&lt;$AK2864))+1,"")</f>
        <v/>
      </c>
      <c r="AI2864">
        <f>IF($C2864="","",IF(OR($N2864=TRUE(),$N2864="TRUE"),1,0))</f>
        <v/>
      </c>
      <c r="AJ2864">
        <f>IF($C2864="","",IF($T2864="Yes",1,0))</f>
        <v/>
      </c>
      <c r="AK2864">
        <f>IF($AG2864=1,IFERROR(IF(VALUE($C2864)&lt;100000000,VALUE($C2864),1000000000),IFERROR(IF(VALUE(MID($C2864,2,20))&lt;100000000,VALUE(MID($C2864,2,20)),1000000000),1000000000))+ROW()/100000,"")</f>
        <v/>
      </c>
    </row>
    <row r="2865">
      <c r="D2865" s="11" t="n"/>
      <c r="K2865" s="7">
        <f>IF($C2865="","",J2865*W2865/100)</f>
        <v/>
      </c>
      <c r="Q2865" s="7" t="n"/>
      <c r="R2865" s="7" t="n"/>
      <c r="U2865">
        <f>IF($C2865="","",IF($AJ2865=1,0,IF($AI2865=1,Settings!$C$6,Settings!$C$7))*100)</f>
        <v/>
      </c>
      <c r="V2865" s="7">
        <f>IF($C2865="","",R2865*U2865/100)</f>
        <v/>
      </c>
      <c r="W2865" s="7">
        <f>IF($C2865="","",R2865-V2865)</f>
        <v/>
      </c>
      <c r="X2865" s="7">
        <f>IF($C2865="","",W2865-K2865)</f>
        <v/>
      </c>
      <c r="AB2865" s="7" t="n"/>
      <c r="AE2865" s="11" t="n"/>
      <c r="AG2865">
        <f>IF($C2865="","",IF(COUNTIF($C$2:$C2865,$C2865)=1,1,0))</f>
        <v/>
      </c>
      <c r="AH2865">
        <f>IF($AG2865=1,SUMPRODUCT(--($AK$2:$AK$6001&lt;$AK2865))+1,"")</f>
        <v/>
      </c>
      <c r="AI2865">
        <f>IF($C2865="","",IF(OR($N2865=TRUE(),$N2865="TRUE"),1,0))</f>
        <v/>
      </c>
      <c r="AJ2865">
        <f>IF($C2865="","",IF($T2865="Yes",1,0))</f>
        <v/>
      </c>
      <c r="AK2865">
        <f>IF($AG2865=1,IFERROR(IF(VALUE($C2865)&lt;100000000,VALUE($C2865),1000000000),IFERROR(IF(VALUE(MID($C2865,2,20))&lt;100000000,VALUE(MID($C2865,2,20)),1000000000),1000000000))+ROW()/100000,"")</f>
        <v/>
      </c>
    </row>
    <row r="2866">
      <c r="D2866" s="11" t="n"/>
      <c r="K2866" s="7">
        <f>IF($C2866="","",J2866*W2866/100)</f>
        <v/>
      </c>
      <c r="Q2866" s="7" t="n"/>
      <c r="R2866" s="7" t="n"/>
      <c r="U2866">
        <f>IF($C2866="","",IF($AJ2866=1,0,IF($AI2866=1,Settings!$C$6,Settings!$C$7))*100)</f>
        <v/>
      </c>
      <c r="V2866" s="7">
        <f>IF($C2866="","",R2866*U2866/100)</f>
        <v/>
      </c>
      <c r="W2866" s="7">
        <f>IF($C2866="","",R2866-V2866)</f>
        <v/>
      </c>
      <c r="X2866" s="7">
        <f>IF($C2866="","",W2866-K2866)</f>
        <v/>
      </c>
      <c r="AB2866" s="7" t="n"/>
      <c r="AE2866" s="11" t="n"/>
      <c r="AG2866">
        <f>IF($C2866="","",IF(COUNTIF($C$2:$C2866,$C2866)=1,1,0))</f>
        <v/>
      </c>
      <c r="AH2866">
        <f>IF($AG2866=1,SUMPRODUCT(--($AK$2:$AK$6001&lt;$AK2866))+1,"")</f>
        <v/>
      </c>
      <c r="AI2866">
        <f>IF($C2866="","",IF(OR($N2866=TRUE(),$N2866="TRUE"),1,0))</f>
        <v/>
      </c>
      <c r="AJ2866">
        <f>IF($C2866="","",IF($T2866="Yes",1,0))</f>
        <v/>
      </c>
      <c r="AK2866">
        <f>IF($AG2866=1,IFERROR(IF(VALUE($C2866)&lt;100000000,VALUE($C2866),1000000000),IFERROR(IF(VALUE(MID($C2866,2,20))&lt;100000000,VALUE(MID($C2866,2,20)),1000000000),1000000000))+ROW()/100000,"")</f>
        <v/>
      </c>
    </row>
    <row r="2867">
      <c r="D2867" s="11" t="n"/>
      <c r="K2867" s="7">
        <f>IF($C2867="","",J2867*W2867/100)</f>
        <v/>
      </c>
      <c r="Q2867" s="7" t="n"/>
      <c r="R2867" s="7" t="n"/>
      <c r="U2867">
        <f>IF($C2867="","",IF($AJ2867=1,0,IF($AI2867=1,Settings!$C$6,Settings!$C$7))*100)</f>
        <v/>
      </c>
      <c r="V2867" s="7">
        <f>IF($C2867="","",R2867*U2867/100)</f>
        <v/>
      </c>
      <c r="W2867" s="7">
        <f>IF($C2867="","",R2867-V2867)</f>
        <v/>
      </c>
      <c r="X2867" s="7">
        <f>IF($C2867="","",W2867-K2867)</f>
        <v/>
      </c>
      <c r="AB2867" s="7" t="n"/>
      <c r="AE2867" s="11" t="n"/>
      <c r="AG2867">
        <f>IF($C2867="","",IF(COUNTIF($C$2:$C2867,$C2867)=1,1,0))</f>
        <v/>
      </c>
      <c r="AH2867">
        <f>IF($AG2867=1,SUMPRODUCT(--($AK$2:$AK$6001&lt;$AK2867))+1,"")</f>
        <v/>
      </c>
      <c r="AI2867">
        <f>IF($C2867="","",IF(OR($N2867=TRUE(),$N2867="TRUE"),1,0))</f>
        <v/>
      </c>
      <c r="AJ2867">
        <f>IF($C2867="","",IF($T2867="Yes",1,0))</f>
        <v/>
      </c>
      <c r="AK2867">
        <f>IF($AG2867=1,IFERROR(IF(VALUE($C2867)&lt;100000000,VALUE($C2867),1000000000),IFERROR(IF(VALUE(MID($C2867,2,20))&lt;100000000,VALUE(MID($C2867,2,20)),1000000000),1000000000))+ROW()/100000,"")</f>
        <v/>
      </c>
    </row>
    <row r="2868">
      <c r="D2868" s="11" t="n"/>
      <c r="K2868" s="7">
        <f>IF($C2868="","",J2868*W2868/100)</f>
        <v/>
      </c>
      <c r="Q2868" s="7" t="n"/>
      <c r="R2868" s="7" t="n"/>
      <c r="U2868">
        <f>IF($C2868="","",IF($AJ2868=1,0,IF($AI2868=1,Settings!$C$6,Settings!$C$7))*100)</f>
        <v/>
      </c>
      <c r="V2868" s="7">
        <f>IF($C2868="","",R2868*U2868/100)</f>
        <v/>
      </c>
      <c r="W2868" s="7">
        <f>IF($C2868="","",R2868-V2868)</f>
        <v/>
      </c>
      <c r="X2868" s="7">
        <f>IF($C2868="","",W2868-K2868)</f>
        <v/>
      </c>
      <c r="AB2868" s="7" t="n"/>
      <c r="AE2868" s="11" t="n"/>
      <c r="AG2868">
        <f>IF($C2868="","",IF(COUNTIF($C$2:$C2868,$C2868)=1,1,0))</f>
        <v/>
      </c>
      <c r="AH2868">
        <f>IF($AG2868=1,SUMPRODUCT(--($AK$2:$AK$6001&lt;$AK2868))+1,"")</f>
        <v/>
      </c>
      <c r="AI2868">
        <f>IF($C2868="","",IF(OR($N2868=TRUE(),$N2868="TRUE"),1,0))</f>
        <v/>
      </c>
      <c r="AJ2868">
        <f>IF($C2868="","",IF($T2868="Yes",1,0))</f>
        <v/>
      </c>
      <c r="AK2868">
        <f>IF($AG2868=1,IFERROR(IF(VALUE($C2868)&lt;100000000,VALUE($C2868),1000000000),IFERROR(IF(VALUE(MID($C2868,2,20))&lt;100000000,VALUE(MID($C2868,2,20)),1000000000),1000000000))+ROW()/100000,"")</f>
        <v/>
      </c>
    </row>
    <row r="2869">
      <c r="D2869" s="11" t="n"/>
      <c r="K2869" s="7">
        <f>IF($C2869="","",J2869*W2869/100)</f>
        <v/>
      </c>
      <c r="Q2869" s="7" t="n"/>
      <c r="R2869" s="7" t="n"/>
      <c r="U2869">
        <f>IF($C2869="","",IF($AJ2869=1,0,IF($AI2869=1,Settings!$C$6,Settings!$C$7))*100)</f>
        <v/>
      </c>
      <c r="V2869" s="7">
        <f>IF($C2869="","",R2869*U2869/100)</f>
        <v/>
      </c>
      <c r="W2869" s="7">
        <f>IF($C2869="","",R2869-V2869)</f>
        <v/>
      </c>
      <c r="X2869" s="7">
        <f>IF($C2869="","",W2869-K2869)</f>
        <v/>
      </c>
      <c r="AB2869" s="7" t="n"/>
      <c r="AE2869" s="11" t="n"/>
      <c r="AG2869">
        <f>IF($C2869="","",IF(COUNTIF($C$2:$C2869,$C2869)=1,1,0))</f>
        <v/>
      </c>
      <c r="AH2869">
        <f>IF($AG2869=1,SUMPRODUCT(--($AK$2:$AK$6001&lt;$AK2869))+1,"")</f>
        <v/>
      </c>
      <c r="AI2869">
        <f>IF($C2869="","",IF(OR($N2869=TRUE(),$N2869="TRUE"),1,0))</f>
        <v/>
      </c>
      <c r="AJ2869">
        <f>IF($C2869="","",IF($T2869="Yes",1,0))</f>
        <v/>
      </c>
      <c r="AK2869">
        <f>IF($AG2869=1,IFERROR(IF(VALUE($C2869)&lt;100000000,VALUE($C2869),1000000000),IFERROR(IF(VALUE(MID($C2869,2,20))&lt;100000000,VALUE(MID($C2869,2,20)),1000000000),1000000000))+ROW()/100000,"")</f>
        <v/>
      </c>
    </row>
    <row r="2870">
      <c r="D2870" s="11" t="n"/>
      <c r="K2870" s="7">
        <f>IF($C2870="","",J2870*W2870/100)</f>
        <v/>
      </c>
      <c r="Q2870" s="7" t="n"/>
      <c r="R2870" s="7" t="n"/>
      <c r="U2870">
        <f>IF($C2870="","",IF($AJ2870=1,0,IF($AI2870=1,Settings!$C$6,Settings!$C$7))*100)</f>
        <v/>
      </c>
      <c r="V2870" s="7">
        <f>IF($C2870="","",R2870*U2870/100)</f>
        <v/>
      </c>
      <c r="W2870" s="7">
        <f>IF($C2870="","",R2870-V2870)</f>
        <v/>
      </c>
      <c r="X2870" s="7">
        <f>IF($C2870="","",W2870-K2870)</f>
        <v/>
      </c>
      <c r="AB2870" s="7" t="n"/>
      <c r="AE2870" s="11" t="n"/>
      <c r="AG2870">
        <f>IF($C2870="","",IF(COUNTIF($C$2:$C2870,$C2870)=1,1,0))</f>
        <v/>
      </c>
      <c r="AH2870">
        <f>IF($AG2870=1,SUMPRODUCT(--($AK$2:$AK$6001&lt;$AK2870))+1,"")</f>
        <v/>
      </c>
      <c r="AI2870">
        <f>IF($C2870="","",IF(OR($N2870=TRUE(),$N2870="TRUE"),1,0))</f>
        <v/>
      </c>
      <c r="AJ2870">
        <f>IF($C2870="","",IF($T2870="Yes",1,0))</f>
        <v/>
      </c>
      <c r="AK2870">
        <f>IF($AG2870=1,IFERROR(IF(VALUE($C2870)&lt;100000000,VALUE($C2870),1000000000),IFERROR(IF(VALUE(MID($C2870,2,20))&lt;100000000,VALUE(MID($C2870,2,20)),1000000000),1000000000))+ROW()/100000,"")</f>
        <v/>
      </c>
    </row>
    <row r="2871">
      <c r="D2871" s="11" t="n"/>
      <c r="K2871" s="7">
        <f>IF($C2871="","",J2871*W2871/100)</f>
        <v/>
      </c>
      <c r="Q2871" s="7" t="n"/>
      <c r="R2871" s="7" t="n"/>
      <c r="U2871">
        <f>IF($C2871="","",IF($AJ2871=1,0,IF($AI2871=1,Settings!$C$6,Settings!$C$7))*100)</f>
        <v/>
      </c>
      <c r="V2871" s="7">
        <f>IF($C2871="","",R2871*U2871/100)</f>
        <v/>
      </c>
      <c r="W2871" s="7">
        <f>IF($C2871="","",R2871-V2871)</f>
        <v/>
      </c>
      <c r="X2871" s="7">
        <f>IF($C2871="","",W2871-K2871)</f>
        <v/>
      </c>
      <c r="AB2871" s="7" t="n"/>
      <c r="AE2871" s="11" t="n"/>
      <c r="AG2871">
        <f>IF($C2871="","",IF(COUNTIF($C$2:$C2871,$C2871)=1,1,0))</f>
        <v/>
      </c>
      <c r="AH2871">
        <f>IF($AG2871=1,SUMPRODUCT(--($AK$2:$AK$6001&lt;$AK2871))+1,"")</f>
        <v/>
      </c>
      <c r="AI2871">
        <f>IF($C2871="","",IF(OR($N2871=TRUE(),$N2871="TRUE"),1,0))</f>
        <v/>
      </c>
      <c r="AJ2871">
        <f>IF($C2871="","",IF($T2871="Yes",1,0))</f>
        <v/>
      </c>
      <c r="AK2871">
        <f>IF($AG2871=1,IFERROR(IF(VALUE($C2871)&lt;100000000,VALUE($C2871),1000000000),IFERROR(IF(VALUE(MID($C2871,2,20))&lt;100000000,VALUE(MID($C2871,2,20)),1000000000),1000000000))+ROW()/100000,"")</f>
        <v/>
      </c>
    </row>
    <row r="2872">
      <c r="D2872" s="11" t="n"/>
      <c r="K2872" s="7">
        <f>IF($C2872="","",J2872*W2872/100)</f>
        <v/>
      </c>
      <c r="Q2872" s="7" t="n"/>
      <c r="R2872" s="7" t="n"/>
      <c r="U2872">
        <f>IF($C2872="","",IF($AJ2872=1,0,IF($AI2872=1,Settings!$C$6,Settings!$C$7))*100)</f>
        <v/>
      </c>
      <c r="V2872" s="7">
        <f>IF($C2872="","",R2872*U2872/100)</f>
        <v/>
      </c>
      <c r="W2872" s="7">
        <f>IF($C2872="","",R2872-V2872)</f>
        <v/>
      </c>
      <c r="X2872" s="7">
        <f>IF($C2872="","",W2872-K2872)</f>
        <v/>
      </c>
      <c r="AB2872" s="7" t="n"/>
      <c r="AE2872" s="11" t="n"/>
      <c r="AG2872">
        <f>IF($C2872="","",IF(COUNTIF($C$2:$C2872,$C2872)=1,1,0))</f>
        <v/>
      </c>
      <c r="AH2872">
        <f>IF($AG2872=1,SUMPRODUCT(--($AK$2:$AK$6001&lt;$AK2872))+1,"")</f>
        <v/>
      </c>
      <c r="AI2872">
        <f>IF($C2872="","",IF(OR($N2872=TRUE(),$N2872="TRUE"),1,0))</f>
        <v/>
      </c>
      <c r="AJ2872">
        <f>IF($C2872="","",IF($T2872="Yes",1,0))</f>
        <v/>
      </c>
      <c r="AK2872">
        <f>IF($AG2872=1,IFERROR(IF(VALUE($C2872)&lt;100000000,VALUE($C2872),1000000000),IFERROR(IF(VALUE(MID($C2872,2,20))&lt;100000000,VALUE(MID($C2872,2,20)),1000000000),1000000000))+ROW()/100000,"")</f>
        <v/>
      </c>
    </row>
    <row r="2873">
      <c r="D2873" s="11" t="n"/>
      <c r="K2873" s="7">
        <f>IF($C2873="","",J2873*W2873/100)</f>
        <v/>
      </c>
      <c r="Q2873" s="7" t="n"/>
      <c r="R2873" s="7" t="n"/>
      <c r="U2873">
        <f>IF($C2873="","",IF($AJ2873=1,0,IF($AI2873=1,Settings!$C$6,Settings!$C$7))*100)</f>
        <v/>
      </c>
      <c r="V2873" s="7">
        <f>IF($C2873="","",R2873*U2873/100)</f>
        <v/>
      </c>
      <c r="W2873" s="7">
        <f>IF($C2873="","",R2873-V2873)</f>
        <v/>
      </c>
      <c r="X2873" s="7">
        <f>IF($C2873="","",W2873-K2873)</f>
        <v/>
      </c>
      <c r="AB2873" s="7" t="n"/>
      <c r="AE2873" s="11" t="n"/>
      <c r="AG2873">
        <f>IF($C2873="","",IF(COUNTIF($C$2:$C2873,$C2873)=1,1,0))</f>
        <v/>
      </c>
      <c r="AH2873">
        <f>IF($AG2873=1,SUMPRODUCT(--($AK$2:$AK$6001&lt;$AK2873))+1,"")</f>
        <v/>
      </c>
      <c r="AI2873">
        <f>IF($C2873="","",IF(OR($N2873=TRUE(),$N2873="TRUE"),1,0))</f>
        <v/>
      </c>
      <c r="AJ2873">
        <f>IF($C2873="","",IF($T2873="Yes",1,0))</f>
        <v/>
      </c>
      <c r="AK2873">
        <f>IF($AG2873=1,IFERROR(IF(VALUE($C2873)&lt;100000000,VALUE($C2873),1000000000),IFERROR(IF(VALUE(MID($C2873,2,20))&lt;100000000,VALUE(MID($C2873,2,20)),1000000000),1000000000))+ROW()/100000,"")</f>
        <v/>
      </c>
    </row>
    <row r="2874">
      <c r="D2874" s="11" t="n"/>
      <c r="K2874" s="7">
        <f>IF($C2874="","",J2874*W2874/100)</f>
        <v/>
      </c>
      <c r="Q2874" s="7" t="n"/>
      <c r="R2874" s="7" t="n"/>
      <c r="U2874">
        <f>IF($C2874="","",IF($AJ2874=1,0,IF($AI2874=1,Settings!$C$6,Settings!$C$7))*100)</f>
        <v/>
      </c>
      <c r="V2874" s="7">
        <f>IF($C2874="","",R2874*U2874/100)</f>
        <v/>
      </c>
      <c r="W2874" s="7">
        <f>IF($C2874="","",R2874-V2874)</f>
        <v/>
      </c>
      <c r="X2874" s="7">
        <f>IF($C2874="","",W2874-K2874)</f>
        <v/>
      </c>
      <c r="AB2874" s="7" t="n"/>
      <c r="AE2874" s="11" t="n"/>
      <c r="AG2874">
        <f>IF($C2874="","",IF(COUNTIF($C$2:$C2874,$C2874)=1,1,0))</f>
        <v/>
      </c>
      <c r="AH2874">
        <f>IF($AG2874=1,SUMPRODUCT(--($AK$2:$AK$6001&lt;$AK2874))+1,"")</f>
        <v/>
      </c>
      <c r="AI2874">
        <f>IF($C2874="","",IF(OR($N2874=TRUE(),$N2874="TRUE"),1,0))</f>
        <v/>
      </c>
      <c r="AJ2874">
        <f>IF($C2874="","",IF($T2874="Yes",1,0))</f>
        <v/>
      </c>
      <c r="AK2874">
        <f>IF($AG2874=1,IFERROR(IF(VALUE($C2874)&lt;100000000,VALUE($C2874),1000000000),IFERROR(IF(VALUE(MID($C2874,2,20))&lt;100000000,VALUE(MID($C2874,2,20)),1000000000),1000000000))+ROW()/100000,"")</f>
        <v/>
      </c>
    </row>
    <row r="2875">
      <c r="D2875" s="11" t="n"/>
      <c r="K2875" s="7">
        <f>IF($C2875="","",J2875*W2875/100)</f>
        <v/>
      </c>
      <c r="Q2875" s="7" t="n"/>
      <c r="R2875" s="7" t="n"/>
      <c r="U2875">
        <f>IF($C2875="","",IF($AJ2875=1,0,IF($AI2875=1,Settings!$C$6,Settings!$C$7))*100)</f>
        <v/>
      </c>
      <c r="V2875" s="7">
        <f>IF($C2875="","",R2875*U2875/100)</f>
        <v/>
      </c>
      <c r="W2875" s="7">
        <f>IF($C2875="","",R2875-V2875)</f>
        <v/>
      </c>
      <c r="X2875" s="7">
        <f>IF($C2875="","",W2875-K2875)</f>
        <v/>
      </c>
      <c r="AB2875" s="7" t="n"/>
      <c r="AE2875" s="11" t="n"/>
      <c r="AG2875">
        <f>IF($C2875="","",IF(COUNTIF($C$2:$C2875,$C2875)=1,1,0))</f>
        <v/>
      </c>
      <c r="AH2875">
        <f>IF($AG2875=1,SUMPRODUCT(--($AK$2:$AK$6001&lt;$AK2875))+1,"")</f>
        <v/>
      </c>
      <c r="AI2875">
        <f>IF($C2875="","",IF(OR($N2875=TRUE(),$N2875="TRUE"),1,0))</f>
        <v/>
      </c>
      <c r="AJ2875">
        <f>IF($C2875="","",IF($T2875="Yes",1,0))</f>
        <v/>
      </c>
      <c r="AK2875">
        <f>IF($AG2875=1,IFERROR(IF(VALUE($C2875)&lt;100000000,VALUE($C2875),1000000000),IFERROR(IF(VALUE(MID($C2875,2,20))&lt;100000000,VALUE(MID($C2875,2,20)),1000000000),1000000000))+ROW()/100000,"")</f>
        <v/>
      </c>
    </row>
    <row r="2876">
      <c r="D2876" s="11" t="n"/>
      <c r="K2876" s="7">
        <f>IF($C2876="","",J2876*W2876/100)</f>
        <v/>
      </c>
      <c r="Q2876" s="7" t="n"/>
      <c r="R2876" s="7" t="n"/>
      <c r="U2876">
        <f>IF($C2876="","",IF($AJ2876=1,0,IF($AI2876=1,Settings!$C$6,Settings!$C$7))*100)</f>
        <v/>
      </c>
      <c r="V2876" s="7">
        <f>IF($C2876="","",R2876*U2876/100)</f>
        <v/>
      </c>
      <c r="W2876" s="7">
        <f>IF($C2876="","",R2876-V2876)</f>
        <v/>
      </c>
      <c r="X2876" s="7">
        <f>IF($C2876="","",W2876-K2876)</f>
        <v/>
      </c>
      <c r="AB2876" s="7" t="n"/>
      <c r="AE2876" s="11" t="n"/>
      <c r="AG2876">
        <f>IF($C2876="","",IF(COUNTIF($C$2:$C2876,$C2876)=1,1,0))</f>
        <v/>
      </c>
      <c r="AH2876">
        <f>IF($AG2876=1,SUMPRODUCT(--($AK$2:$AK$6001&lt;$AK2876))+1,"")</f>
        <v/>
      </c>
      <c r="AI2876">
        <f>IF($C2876="","",IF(OR($N2876=TRUE(),$N2876="TRUE"),1,0))</f>
        <v/>
      </c>
      <c r="AJ2876">
        <f>IF($C2876="","",IF($T2876="Yes",1,0))</f>
        <v/>
      </c>
      <c r="AK2876">
        <f>IF($AG2876=1,IFERROR(IF(VALUE($C2876)&lt;100000000,VALUE($C2876),1000000000),IFERROR(IF(VALUE(MID($C2876,2,20))&lt;100000000,VALUE(MID($C2876,2,20)),1000000000),1000000000))+ROW()/100000,"")</f>
        <v/>
      </c>
    </row>
    <row r="2877">
      <c r="D2877" s="11" t="n"/>
      <c r="K2877" s="7">
        <f>IF($C2877="","",J2877*W2877/100)</f>
        <v/>
      </c>
      <c r="Q2877" s="7" t="n"/>
      <c r="R2877" s="7" t="n"/>
      <c r="U2877">
        <f>IF($C2877="","",IF($AJ2877=1,0,IF($AI2877=1,Settings!$C$6,Settings!$C$7))*100)</f>
        <v/>
      </c>
      <c r="V2877" s="7">
        <f>IF($C2877="","",R2877*U2877/100)</f>
        <v/>
      </c>
      <c r="W2877" s="7">
        <f>IF($C2877="","",R2877-V2877)</f>
        <v/>
      </c>
      <c r="X2877" s="7">
        <f>IF($C2877="","",W2877-K2877)</f>
        <v/>
      </c>
      <c r="AB2877" s="7" t="n"/>
      <c r="AE2877" s="11" t="n"/>
      <c r="AG2877">
        <f>IF($C2877="","",IF(COUNTIF($C$2:$C2877,$C2877)=1,1,0))</f>
        <v/>
      </c>
      <c r="AH2877">
        <f>IF($AG2877=1,SUMPRODUCT(--($AK$2:$AK$6001&lt;$AK2877))+1,"")</f>
        <v/>
      </c>
      <c r="AI2877">
        <f>IF($C2877="","",IF(OR($N2877=TRUE(),$N2877="TRUE"),1,0))</f>
        <v/>
      </c>
      <c r="AJ2877">
        <f>IF($C2877="","",IF($T2877="Yes",1,0))</f>
        <v/>
      </c>
      <c r="AK2877">
        <f>IF($AG2877=1,IFERROR(IF(VALUE($C2877)&lt;100000000,VALUE($C2877),1000000000),IFERROR(IF(VALUE(MID($C2877,2,20))&lt;100000000,VALUE(MID($C2877,2,20)),1000000000),1000000000))+ROW()/100000,"")</f>
        <v/>
      </c>
    </row>
    <row r="2878">
      <c r="D2878" s="11" t="n"/>
      <c r="K2878" s="7">
        <f>IF($C2878="","",J2878*W2878/100)</f>
        <v/>
      </c>
      <c r="Q2878" s="7" t="n"/>
      <c r="R2878" s="7" t="n"/>
      <c r="U2878">
        <f>IF($C2878="","",IF($AJ2878=1,0,IF($AI2878=1,Settings!$C$6,Settings!$C$7))*100)</f>
        <v/>
      </c>
      <c r="V2878" s="7">
        <f>IF($C2878="","",R2878*U2878/100)</f>
        <v/>
      </c>
      <c r="W2878" s="7">
        <f>IF($C2878="","",R2878-V2878)</f>
        <v/>
      </c>
      <c r="X2878" s="7">
        <f>IF($C2878="","",W2878-K2878)</f>
        <v/>
      </c>
      <c r="AB2878" s="7" t="n"/>
      <c r="AE2878" s="11" t="n"/>
      <c r="AG2878">
        <f>IF($C2878="","",IF(COUNTIF($C$2:$C2878,$C2878)=1,1,0))</f>
        <v/>
      </c>
      <c r="AH2878">
        <f>IF($AG2878=1,SUMPRODUCT(--($AK$2:$AK$6001&lt;$AK2878))+1,"")</f>
        <v/>
      </c>
      <c r="AI2878">
        <f>IF($C2878="","",IF(OR($N2878=TRUE(),$N2878="TRUE"),1,0))</f>
        <v/>
      </c>
      <c r="AJ2878">
        <f>IF($C2878="","",IF($T2878="Yes",1,0))</f>
        <v/>
      </c>
      <c r="AK2878">
        <f>IF($AG2878=1,IFERROR(IF(VALUE($C2878)&lt;100000000,VALUE($C2878),1000000000),IFERROR(IF(VALUE(MID($C2878,2,20))&lt;100000000,VALUE(MID($C2878,2,20)),1000000000),1000000000))+ROW()/100000,"")</f>
        <v/>
      </c>
    </row>
    <row r="2879">
      <c r="D2879" s="11" t="n"/>
      <c r="K2879" s="7">
        <f>IF($C2879="","",J2879*W2879/100)</f>
        <v/>
      </c>
      <c r="Q2879" s="7" t="n"/>
      <c r="R2879" s="7" t="n"/>
      <c r="U2879">
        <f>IF($C2879="","",IF($AJ2879=1,0,IF($AI2879=1,Settings!$C$6,Settings!$C$7))*100)</f>
        <v/>
      </c>
      <c r="V2879" s="7">
        <f>IF($C2879="","",R2879*U2879/100)</f>
        <v/>
      </c>
      <c r="W2879" s="7">
        <f>IF($C2879="","",R2879-V2879)</f>
        <v/>
      </c>
      <c r="X2879" s="7">
        <f>IF($C2879="","",W2879-K2879)</f>
        <v/>
      </c>
      <c r="AB2879" s="7" t="n"/>
      <c r="AE2879" s="11" t="n"/>
      <c r="AG2879">
        <f>IF($C2879="","",IF(COUNTIF($C$2:$C2879,$C2879)=1,1,0))</f>
        <v/>
      </c>
      <c r="AH2879">
        <f>IF($AG2879=1,SUMPRODUCT(--($AK$2:$AK$6001&lt;$AK2879))+1,"")</f>
        <v/>
      </c>
      <c r="AI2879">
        <f>IF($C2879="","",IF(OR($N2879=TRUE(),$N2879="TRUE"),1,0))</f>
        <v/>
      </c>
      <c r="AJ2879">
        <f>IF($C2879="","",IF($T2879="Yes",1,0))</f>
        <v/>
      </c>
      <c r="AK2879">
        <f>IF($AG2879=1,IFERROR(IF(VALUE($C2879)&lt;100000000,VALUE($C2879),1000000000),IFERROR(IF(VALUE(MID($C2879,2,20))&lt;100000000,VALUE(MID($C2879,2,20)),1000000000),1000000000))+ROW()/100000,"")</f>
        <v/>
      </c>
    </row>
    <row r="2880">
      <c r="D2880" s="11" t="n"/>
      <c r="K2880" s="7">
        <f>IF($C2880="","",J2880*W2880/100)</f>
        <v/>
      </c>
      <c r="Q2880" s="7" t="n"/>
      <c r="R2880" s="7" t="n"/>
      <c r="U2880">
        <f>IF($C2880="","",IF($AJ2880=1,0,IF($AI2880=1,Settings!$C$6,Settings!$C$7))*100)</f>
        <v/>
      </c>
      <c r="V2880" s="7">
        <f>IF($C2880="","",R2880*U2880/100)</f>
        <v/>
      </c>
      <c r="W2880" s="7">
        <f>IF($C2880="","",R2880-V2880)</f>
        <v/>
      </c>
      <c r="X2880" s="7">
        <f>IF($C2880="","",W2880-K2880)</f>
        <v/>
      </c>
      <c r="AB2880" s="7" t="n"/>
      <c r="AE2880" s="11" t="n"/>
      <c r="AG2880">
        <f>IF($C2880="","",IF(COUNTIF($C$2:$C2880,$C2880)=1,1,0))</f>
        <v/>
      </c>
      <c r="AH2880">
        <f>IF($AG2880=1,SUMPRODUCT(--($AK$2:$AK$6001&lt;$AK2880))+1,"")</f>
        <v/>
      </c>
      <c r="AI2880">
        <f>IF($C2880="","",IF(OR($N2880=TRUE(),$N2880="TRUE"),1,0))</f>
        <v/>
      </c>
      <c r="AJ2880">
        <f>IF($C2880="","",IF($T2880="Yes",1,0))</f>
        <v/>
      </c>
      <c r="AK2880">
        <f>IF($AG2880=1,IFERROR(IF(VALUE($C2880)&lt;100000000,VALUE($C2880),1000000000),IFERROR(IF(VALUE(MID($C2880,2,20))&lt;100000000,VALUE(MID($C2880,2,20)),1000000000),1000000000))+ROW()/100000,"")</f>
        <v/>
      </c>
    </row>
    <row r="2881">
      <c r="D2881" s="11" t="n"/>
      <c r="K2881" s="7">
        <f>IF($C2881="","",J2881*W2881/100)</f>
        <v/>
      </c>
      <c r="Q2881" s="7" t="n"/>
      <c r="R2881" s="7" t="n"/>
      <c r="U2881">
        <f>IF($C2881="","",IF($AJ2881=1,0,IF($AI2881=1,Settings!$C$6,Settings!$C$7))*100)</f>
        <v/>
      </c>
      <c r="V2881" s="7">
        <f>IF($C2881="","",R2881*U2881/100)</f>
        <v/>
      </c>
      <c r="W2881" s="7">
        <f>IF($C2881="","",R2881-V2881)</f>
        <v/>
      </c>
      <c r="X2881" s="7">
        <f>IF($C2881="","",W2881-K2881)</f>
        <v/>
      </c>
      <c r="AB2881" s="7" t="n"/>
      <c r="AE2881" s="11" t="n"/>
      <c r="AG2881">
        <f>IF($C2881="","",IF(COUNTIF($C$2:$C2881,$C2881)=1,1,0))</f>
        <v/>
      </c>
      <c r="AH2881">
        <f>IF($AG2881=1,SUMPRODUCT(--($AK$2:$AK$6001&lt;$AK2881))+1,"")</f>
        <v/>
      </c>
      <c r="AI2881">
        <f>IF($C2881="","",IF(OR($N2881=TRUE(),$N2881="TRUE"),1,0))</f>
        <v/>
      </c>
      <c r="AJ2881">
        <f>IF($C2881="","",IF($T2881="Yes",1,0))</f>
        <v/>
      </c>
      <c r="AK2881">
        <f>IF($AG2881=1,IFERROR(IF(VALUE($C2881)&lt;100000000,VALUE($C2881),1000000000),IFERROR(IF(VALUE(MID($C2881,2,20))&lt;100000000,VALUE(MID($C2881,2,20)),1000000000),1000000000))+ROW()/100000,"")</f>
        <v/>
      </c>
    </row>
    <row r="2882">
      <c r="D2882" s="11" t="n"/>
      <c r="K2882" s="7">
        <f>IF($C2882="","",J2882*W2882/100)</f>
        <v/>
      </c>
      <c r="Q2882" s="7" t="n"/>
      <c r="R2882" s="7" t="n"/>
      <c r="U2882">
        <f>IF($C2882="","",IF($AJ2882=1,0,IF($AI2882=1,Settings!$C$6,Settings!$C$7))*100)</f>
        <v/>
      </c>
      <c r="V2882" s="7">
        <f>IF($C2882="","",R2882*U2882/100)</f>
        <v/>
      </c>
      <c r="W2882" s="7">
        <f>IF($C2882="","",R2882-V2882)</f>
        <v/>
      </c>
      <c r="X2882" s="7">
        <f>IF($C2882="","",W2882-K2882)</f>
        <v/>
      </c>
      <c r="AB2882" s="7" t="n"/>
      <c r="AE2882" s="11" t="n"/>
      <c r="AG2882">
        <f>IF($C2882="","",IF(COUNTIF($C$2:$C2882,$C2882)=1,1,0))</f>
        <v/>
      </c>
      <c r="AH2882">
        <f>IF($AG2882=1,SUMPRODUCT(--($AK$2:$AK$6001&lt;$AK2882))+1,"")</f>
        <v/>
      </c>
      <c r="AI2882">
        <f>IF($C2882="","",IF(OR($N2882=TRUE(),$N2882="TRUE"),1,0))</f>
        <v/>
      </c>
      <c r="AJ2882">
        <f>IF($C2882="","",IF($T2882="Yes",1,0))</f>
        <v/>
      </c>
      <c r="AK2882">
        <f>IF($AG2882=1,IFERROR(IF(VALUE($C2882)&lt;100000000,VALUE($C2882),1000000000),IFERROR(IF(VALUE(MID($C2882,2,20))&lt;100000000,VALUE(MID($C2882,2,20)),1000000000),1000000000))+ROW()/100000,"")</f>
        <v/>
      </c>
    </row>
    <row r="2883">
      <c r="D2883" s="11" t="n"/>
      <c r="K2883" s="7">
        <f>IF($C2883="","",J2883*W2883/100)</f>
        <v/>
      </c>
      <c r="Q2883" s="7" t="n"/>
      <c r="R2883" s="7" t="n"/>
      <c r="U2883">
        <f>IF($C2883="","",IF($AJ2883=1,0,IF($AI2883=1,Settings!$C$6,Settings!$C$7))*100)</f>
        <v/>
      </c>
      <c r="V2883" s="7">
        <f>IF($C2883="","",R2883*U2883/100)</f>
        <v/>
      </c>
      <c r="W2883" s="7">
        <f>IF($C2883="","",R2883-V2883)</f>
        <v/>
      </c>
      <c r="X2883" s="7">
        <f>IF($C2883="","",W2883-K2883)</f>
        <v/>
      </c>
      <c r="AB2883" s="7" t="n"/>
      <c r="AE2883" s="11" t="n"/>
      <c r="AG2883">
        <f>IF($C2883="","",IF(COUNTIF($C$2:$C2883,$C2883)=1,1,0))</f>
        <v/>
      </c>
      <c r="AH2883">
        <f>IF($AG2883=1,SUMPRODUCT(--($AK$2:$AK$6001&lt;$AK2883))+1,"")</f>
        <v/>
      </c>
      <c r="AI2883">
        <f>IF($C2883="","",IF(OR($N2883=TRUE(),$N2883="TRUE"),1,0))</f>
        <v/>
      </c>
      <c r="AJ2883">
        <f>IF($C2883="","",IF($T2883="Yes",1,0))</f>
        <v/>
      </c>
      <c r="AK2883">
        <f>IF($AG2883=1,IFERROR(IF(VALUE($C2883)&lt;100000000,VALUE($C2883),1000000000),IFERROR(IF(VALUE(MID($C2883,2,20))&lt;100000000,VALUE(MID($C2883,2,20)),1000000000),1000000000))+ROW()/100000,"")</f>
        <v/>
      </c>
    </row>
    <row r="2884">
      <c r="D2884" s="11" t="n"/>
      <c r="K2884" s="7">
        <f>IF($C2884="","",J2884*W2884/100)</f>
        <v/>
      </c>
      <c r="Q2884" s="7" t="n"/>
      <c r="R2884" s="7" t="n"/>
      <c r="U2884">
        <f>IF($C2884="","",IF($AJ2884=1,0,IF($AI2884=1,Settings!$C$6,Settings!$C$7))*100)</f>
        <v/>
      </c>
      <c r="V2884" s="7">
        <f>IF($C2884="","",R2884*U2884/100)</f>
        <v/>
      </c>
      <c r="W2884" s="7">
        <f>IF($C2884="","",R2884-V2884)</f>
        <v/>
      </c>
      <c r="X2884" s="7">
        <f>IF($C2884="","",W2884-K2884)</f>
        <v/>
      </c>
      <c r="AB2884" s="7" t="n"/>
      <c r="AE2884" s="11" t="n"/>
      <c r="AG2884">
        <f>IF($C2884="","",IF(COUNTIF($C$2:$C2884,$C2884)=1,1,0))</f>
        <v/>
      </c>
      <c r="AH2884">
        <f>IF($AG2884=1,SUMPRODUCT(--($AK$2:$AK$6001&lt;$AK2884))+1,"")</f>
        <v/>
      </c>
      <c r="AI2884">
        <f>IF($C2884="","",IF(OR($N2884=TRUE(),$N2884="TRUE"),1,0))</f>
        <v/>
      </c>
      <c r="AJ2884">
        <f>IF($C2884="","",IF($T2884="Yes",1,0))</f>
        <v/>
      </c>
      <c r="AK2884">
        <f>IF($AG2884=1,IFERROR(IF(VALUE($C2884)&lt;100000000,VALUE($C2884),1000000000),IFERROR(IF(VALUE(MID($C2884,2,20))&lt;100000000,VALUE(MID($C2884,2,20)),1000000000),1000000000))+ROW()/100000,"")</f>
        <v/>
      </c>
    </row>
    <row r="2885">
      <c r="D2885" s="11" t="n"/>
      <c r="K2885" s="7">
        <f>IF($C2885="","",J2885*W2885/100)</f>
        <v/>
      </c>
      <c r="Q2885" s="7" t="n"/>
      <c r="R2885" s="7" t="n"/>
      <c r="U2885">
        <f>IF($C2885="","",IF($AJ2885=1,0,IF($AI2885=1,Settings!$C$6,Settings!$C$7))*100)</f>
        <v/>
      </c>
      <c r="V2885" s="7">
        <f>IF($C2885="","",R2885*U2885/100)</f>
        <v/>
      </c>
      <c r="W2885" s="7">
        <f>IF($C2885="","",R2885-V2885)</f>
        <v/>
      </c>
      <c r="X2885" s="7">
        <f>IF($C2885="","",W2885-K2885)</f>
        <v/>
      </c>
      <c r="AB2885" s="7" t="n"/>
      <c r="AE2885" s="11" t="n"/>
      <c r="AG2885">
        <f>IF($C2885="","",IF(COUNTIF($C$2:$C2885,$C2885)=1,1,0))</f>
        <v/>
      </c>
      <c r="AH2885">
        <f>IF($AG2885=1,SUMPRODUCT(--($AK$2:$AK$6001&lt;$AK2885))+1,"")</f>
        <v/>
      </c>
      <c r="AI2885">
        <f>IF($C2885="","",IF(OR($N2885=TRUE(),$N2885="TRUE"),1,0))</f>
        <v/>
      </c>
      <c r="AJ2885">
        <f>IF($C2885="","",IF($T2885="Yes",1,0))</f>
        <v/>
      </c>
      <c r="AK2885">
        <f>IF($AG2885=1,IFERROR(IF(VALUE($C2885)&lt;100000000,VALUE($C2885),1000000000),IFERROR(IF(VALUE(MID($C2885,2,20))&lt;100000000,VALUE(MID($C2885,2,20)),1000000000),1000000000))+ROW()/100000,"")</f>
        <v/>
      </c>
    </row>
    <row r="2886">
      <c r="D2886" s="11" t="n"/>
      <c r="K2886" s="7">
        <f>IF($C2886="","",J2886*W2886/100)</f>
        <v/>
      </c>
      <c r="Q2886" s="7" t="n"/>
      <c r="R2886" s="7" t="n"/>
      <c r="U2886">
        <f>IF($C2886="","",IF($AJ2886=1,0,IF($AI2886=1,Settings!$C$6,Settings!$C$7))*100)</f>
        <v/>
      </c>
      <c r="V2886" s="7">
        <f>IF($C2886="","",R2886*U2886/100)</f>
        <v/>
      </c>
      <c r="W2886" s="7">
        <f>IF($C2886="","",R2886-V2886)</f>
        <v/>
      </c>
      <c r="X2886" s="7">
        <f>IF($C2886="","",W2886-K2886)</f>
        <v/>
      </c>
      <c r="AB2886" s="7" t="n"/>
      <c r="AE2886" s="11" t="n"/>
      <c r="AG2886">
        <f>IF($C2886="","",IF(COUNTIF($C$2:$C2886,$C2886)=1,1,0))</f>
        <v/>
      </c>
      <c r="AH2886">
        <f>IF($AG2886=1,SUMPRODUCT(--($AK$2:$AK$6001&lt;$AK2886))+1,"")</f>
        <v/>
      </c>
      <c r="AI2886">
        <f>IF($C2886="","",IF(OR($N2886=TRUE(),$N2886="TRUE"),1,0))</f>
        <v/>
      </c>
      <c r="AJ2886">
        <f>IF($C2886="","",IF($T2886="Yes",1,0))</f>
        <v/>
      </c>
      <c r="AK2886">
        <f>IF($AG2886=1,IFERROR(IF(VALUE($C2886)&lt;100000000,VALUE($C2886),1000000000),IFERROR(IF(VALUE(MID($C2886,2,20))&lt;100000000,VALUE(MID($C2886,2,20)),1000000000),1000000000))+ROW()/100000,"")</f>
        <v/>
      </c>
    </row>
    <row r="2887">
      <c r="D2887" s="11" t="n"/>
      <c r="K2887" s="7">
        <f>IF($C2887="","",J2887*W2887/100)</f>
        <v/>
      </c>
      <c r="Q2887" s="7" t="n"/>
      <c r="R2887" s="7" t="n"/>
      <c r="U2887">
        <f>IF($C2887="","",IF($AJ2887=1,0,IF($AI2887=1,Settings!$C$6,Settings!$C$7))*100)</f>
        <v/>
      </c>
      <c r="V2887" s="7">
        <f>IF($C2887="","",R2887*U2887/100)</f>
        <v/>
      </c>
      <c r="W2887" s="7">
        <f>IF($C2887="","",R2887-V2887)</f>
        <v/>
      </c>
      <c r="X2887" s="7">
        <f>IF($C2887="","",W2887-K2887)</f>
        <v/>
      </c>
      <c r="AB2887" s="7" t="n"/>
      <c r="AE2887" s="11" t="n"/>
      <c r="AG2887">
        <f>IF($C2887="","",IF(COUNTIF($C$2:$C2887,$C2887)=1,1,0))</f>
        <v/>
      </c>
      <c r="AH2887">
        <f>IF($AG2887=1,SUMPRODUCT(--($AK$2:$AK$6001&lt;$AK2887))+1,"")</f>
        <v/>
      </c>
      <c r="AI2887">
        <f>IF($C2887="","",IF(OR($N2887=TRUE(),$N2887="TRUE"),1,0))</f>
        <v/>
      </c>
      <c r="AJ2887">
        <f>IF($C2887="","",IF($T2887="Yes",1,0))</f>
        <v/>
      </c>
      <c r="AK2887">
        <f>IF($AG2887=1,IFERROR(IF(VALUE($C2887)&lt;100000000,VALUE($C2887),1000000000),IFERROR(IF(VALUE(MID($C2887,2,20))&lt;100000000,VALUE(MID($C2887,2,20)),1000000000),1000000000))+ROW()/100000,"")</f>
        <v/>
      </c>
    </row>
    <row r="2888">
      <c r="D2888" s="11" t="n"/>
      <c r="K2888" s="7">
        <f>IF($C2888="","",J2888*W2888/100)</f>
        <v/>
      </c>
      <c r="Q2888" s="7" t="n"/>
      <c r="R2888" s="7" t="n"/>
      <c r="U2888">
        <f>IF($C2888="","",IF($AJ2888=1,0,IF($AI2888=1,Settings!$C$6,Settings!$C$7))*100)</f>
        <v/>
      </c>
      <c r="V2888" s="7">
        <f>IF($C2888="","",R2888*U2888/100)</f>
        <v/>
      </c>
      <c r="W2888" s="7">
        <f>IF($C2888="","",R2888-V2888)</f>
        <v/>
      </c>
      <c r="X2888" s="7">
        <f>IF($C2888="","",W2888-K2888)</f>
        <v/>
      </c>
      <c r="AB2888" s="7" t="n"/>
      <c r="AE2888" s="11" t="n"/>
      <c r="AG2888">
        <f>IF($C2888="","",IF(COUNTIF($C$2:$C2888,$C2888)=1,1,0))</f>
        <v/>
      </c>
      <c r="AH2888">
        <f>IF($AG2888=1,SUMPRODUCT(--($AK$2:$AK$6001&lt;$AK2888))+1,"")</f>
        <v/>
      </c>
      <c r="AI2888">
        <f>IF($C2888="","",IF(OR($N2888=TRUE(),$N2888="TRUE"),1,0))</f>
        <v/>
      </c>
      <c r="AJ2888">
        <f>IF($C2888="","",IF($T2888="Yes",1,0))</f>
        <v/>
      </c>
      <c r="AK2888">
        <f>IF($AG2888=1,IFERROR(IF(VALUE($C2888)&lt;100000000,VALUE($C2888),1000000000),IFERROR(IF(VALUE(MID($C2888,2,20))&lt;100000000,VALUE(MID($C2888,2,20)),1000000000),1000000000))+ROW()/100000,"")</f>
        <v/>
      </c>
    </row>
    <row r="2889">
      <c r="D2889" s="11" t="n"/>
      <c r="K2889" s="7">
        <f>IF($C2889="","",J2889*W2889/100)</f>
        <v/>
      </c>
      <c r="Q2889" s="7" t="n"/>
      <c r="R2889" s="7" t="n"/>
      <c r="U2889">
        <f>IF($C2889="","",IF($AJ2889=1,0,IF($AI2889=1,Settings!$C$6,Settings!$C$7))*100)</f>
        <v/>
      </c>
      <c r="V2889" s="7">
        <f>IF($C2889="","",R2889*U2889/100)</f>
        <v/>
      </c>
      <c r="W2889" s="7">
        <f>IF($C2889="","",R2889-V2889)</f>
        <v/>
      </c>
      <c r="X2889" s="7">
        <f>IF($C2889="","",W2889-K2889)</f>
        <v/>
      </c>
      <c r="AB2889" s="7" t="n"/>
      <c r="AE2889" s="11" t="n"/>
      <c r="AG2889">
        <f>IF($C2889="","",IF(COUNTIF($C$2:$C2889,$C2889)=1,1,0))</f>
        <v/>
      </c>
      <c r="AH2889">
        <f>IF($AG2889=1,SUMPRODUCT(--($AK$2:$AK$6001&lt;$AK2889))+1,"")</f>
        <v/>
      </c>
      <c r="AI2889">
        <f>IF($C2889="","",IF(OR($N2889=TRUE(),$N2889="TRUE"),1,0))</f>
        <v/>
      </c>
      <c r="AJ2889">
        <f>IF($C2889="","",IF($T2889="Yes",1,0))</f>
        <v/>
      </c>
      <c r="AK2889">
        <f>IF($AG2889=1,IFERROR(IF(VALUE($C2889)&lt;100000000,VALUE($C2889),1000000000),IFERROR(IF(VALUE(MID($C2889,2,20))&lt;100000000,VALUE(MID($C2889,2,20)),1000000000),1000000000))+ROW()/100000,"")</f>
        <v/>
      </c>
    </row>
    <row r="2890">
      <c r="D2890" s="11" t="n"/>
      <c r="K2890" s="7">
        <f>IF($C2890="","",J2890*W2890/100)</f>
        <v/>
      </c>
      <c r="Q2890" s="7" t="n"/>
      <c r="R2890" s="7" t="n"/>
      <c r="U2890">
        <f>IF($C2890="","",IF($AJ2890=1,0,IF($AI2890=1,Settings!$C$6,Settings!$C$7))*100)</f>
        <v/>
      </c>
      <c r="V2890" s="7">
        <f>IF($C2890="","",R2890*U2890/100)</f>
        <v/>
      </c>
      <c r="W2890" s="7">
        <f>IF($C2890="","",R2890-V2890)</f>
        <v/>
      </c>
      <c r="X2890" s="7">
        <f>IF($C2890="","",W2890-K2890)</f>
        <v/>
      </c>
      <c r="AB2890" s="7" t="n"/>
      <c r="AE2890" s="11" t="n"/>
      <c r="AG2890">
        <f>IF($C2890="","",IF(COUNTIF($C$2:$C2890,$C2890)=1,1,0))</f>
        <v/>
      </c>
      <c r="AH2890">
        <f>IF($AG2890=1,SUMPRODUCT(--($AK$2:$AK$6001&lt;$AK2890))+1,"")</f>
        <v/>
      </c>
      <c r="AI2890">
        <f>IF($C2890="","",IF(OR($N2890=TRUE(),$N2890="TRUE"),1,0))</f>
        <v/>
      </c>
      <c r="AJ2890">
        <f>IF($C2890="","",IF($T2890="Yes",1,0))</f>
        <v/>
      </c>
      <c r="AK2890">
        <f>IF($AG2890=1,IFERROR(IF(VALUE($C2890)&lt;100000000,VALUE($C2890),1000000000),IFERROR(IF(VALUE(MID($C2890,2,20))&lt;100000000,VALUE(MID($C2890,2,20)),1000000000),1000000000))+ROW()/100000,"")</f>
        <v/>
      </c>
    </row>
    <row r="2891">
      <c r="D2891" s="11" t="n"/>
      <c r="K2891" s="7">
        <f>IF($C2891="","",J2891*W2891/100)</f>
        <v/>
      </c>
      <c r="Q2891" s="7" t="n"/>
      <c r="R2891" s="7" t="n"/>
      <c r="U2891">
        <f>IF($C2891="","",IF($AJ2891=1,0,IF($AI2891=1,Settings!$C$6,Settings!$C$7))*100)</f>
        <v/>
      </c>
      <c r="V2891" s="7">
        <f>IF($C2891="","",R2891*U2891/100)</f>
        <v/>
      </c>
      <c r="W2891" s="7">
        <f>IF($C2891="","",R2891-V2891)</f>
        <v/>
      </c>
      <c r="X2891" s="7">
        <f>IF($C2891="","",W2891-K2891)</f>
        <v/>
      </c>
      <c r="AB2891" s="7" t="n"/>
      <c r="AE2891" s="11" t="n"/>
      <c r="AG2891">
        <f>IF($C2891="","",IF(COUNTIF($C$2:$C2891,$C2891)=1,1,0))</f>
        <v/>
      </c>
      <c r="AH2891">
        <f>IF($AG2891=1,SUMPRODUCT(--($AK$2:$AK$6001&lt;$AK2891))+1,"")</f>
        <v/>
      </c>
      <c r="AI2891">
        <f>IF($C2891="","",IF(OR($N2891=TRUE(),$N2891="TRUE"),1,0))</f>
        <v/>
      </c>
      <c r="AJ2891">
        <f>IF($C2891="","",IF($T2891="Yes",1,0))</f>
        <v/>
      </c>
      <c r="AK2891">
        <f>IF($AG2891=1,IFERROR(IF(VALUE($C2891)&lt;100000000,VALUE($C2891),1000000000),IFERROR(IF(VALUE(MID($C2891,2,20))&lt;100000000,VALUE(MID($C2891,2,20)),1000000000),1000000000))+ROW()/100000,"")</f>
        <v/>
      </c>
    </row>
    <row r="2892">
      <c r="D2892" s="11" t="n"/>
      <c r="K2892" s="7">
        <f>IF($C2892="","",J2892*W2892/100)</f>
        <v/>
      </c>
      <c r="Q2892" s="7" t="n"/>
      <c r="R2892" s="7" t="n"/>
      <c r="U2892">
        <f>IF($C2892="","",IF($AJ2892=1,0,IF($AI2892=1,Settings!$C$6,Settings!$C$7))*100)</f>
        <v/>
      </c>
      <c r="V2892" s="7">
        <f>IF($C2892="","",R2892*U2892/100)</f>
        <v/>
      </c>
      <c r="W2892" s="7">
        <f>IF($C2892="","",R2892-V2892)</f>
        <v/>
      </c>
      <c r="X2892" s="7">
        <f>IF($C2892="","",W2892-K2892)</f>
        <v/>
      </c>
      <c r="AB2892" s="7" t="n"/>
      <c r="AE2892" s="11" t="n"/>
      <c r="AG2892">
        <f>IF($C2892="","",IF(COUNTIF($C$2:$C2892,$C2892)=1,1,0))</f>
        <v/>
      </c>
      <c r="AH2892">
        <f>IF($AG2892=1,SUMPRODUCT(--($AK$2:$AK$6001&lt;$AK2892))+1,"")</f>
        <v/>
      </c>
      <c r="AI2892">
        <f>IF($C2892="","",IF(OR($N2892=TRUE(),$N2892="TRUE"),1,0))</f>
        <v/>
      </c>
      <c r="AJ2892">
        <f>IF($C2892="","",IF($T2892="Yes",1,0))</f>
        <v/>
      </c>
      <c r="AK2892">
        <f>IF($AG2892=1,IFERROR(IF(VALUE($C2892)&lt;100000000,VALUE($C2892),1000000000),IFERROR(IF(VALUE(MID($C2892,2,20))&lt;100000000,VALUE(MID($C2892,2,20)),1000000000),1000000000))+ROW()/100000,"")</f>
        <v/>
      </c>
    </row>
    <row r="2893">
      <c r="D2893" s="11" t="n"/>
      <c r="K2893" s="7">
        <f>IF($C2893="","",J2893*W2893/100)</f>
        <v/>
      </c>
      <c r="Q2893" s="7" t="n"/>
      <c r="R2893" s="7" t="n"/>
      <c r="U2893">
        <f>IF($C2893="","",IF($AJ2893=1,0,IF($AI2893=1,Settings!$C$6,Settings!$C$7))*100)</f>
        <v/>
      </c>
      <c r="V2893" s="7">
        <f>IF($C2893="","",R2893*U2893/100)</f>
        <v/>
      </c>
      <c r="W2893" s="7">
        <f>IF($C2893="","",R2893-V2893)</f>
        <v/>
      </c>
      <c r="X2893" s="7">
        <f>IF($C2893="","",W2893-K2893)</f>
        <v/>
      </c>
      <c r="AB2893" s="7" t="n"/>
      <c r="AE2893" s="11" t="n"/>
      <c r="AG2893">
        <f>IF($C2893="","",IF(COUNTIF($C$2:$C2893,$C2893)=1,1,0))</f>
        <v/>
      </c>
      <c r="AH2893">
        <f>IF($AG2893=1,SUMPRODUCT(--($AK$2:$AK$6001&lt;$AK2893))+1,"")</f>
        <v/>
      </c>
      <c r="AI2893">
        <f>IF($C2893="","",IF(OR($N2893=TRUE(),$N2893="TRUE"),1,0))</f>
        <v/>
      </c>
      <c r="AJ2893">
        <f>IF($C2893="","",IF($T2893="Yes",1,0))</f>
        <v/>
      </c>
      <c r="AK2893">
        <f>IF($AG2893=1,IFERROR(IF(VALUE($C2893)&lt;100000000,VALUE($C2893),1000000000),IFERROR(IF(VALUE(MID($C2893,2,20))&lt;100000000,VALUE(MID($C2893,2,20)),1000000000),1000000000))+ROW()/100000,"")</f>
        <v/>
      </c>
    </row>
    <row r="2894">
      <c r="D2894" s="11" t="n"/>
      <c r="K2894" s="7">
        <f>IF($C2894="","",J2894*W2894/100)</f>
        <v/>
      </c>
      <c r="Q2894" s="7" t="n"/>
      <c r="R2894" s="7" t="n"/>
      <c r="U2894">
        <f>IF($C2894="","",IF($AJ2894=1,0,IF($AI2894=1,Settings!$C$6,Settings!$C$7))*100)</f>
        <v/>
      </c>
      <c r="V2894" s="7">
        <f>IF($C2894="","",R2894*U2894/100)</f>
        <v/>
      </c>
      <c r="W2894" s="7">
        <f>IF($C2894="","",R2894-V2894)</f>
        <v/>
      </c>
      <c r="X2894" s="7">
        <f>IF($C2894="","",W2894-K2894)</f>
        <v/>
      </c>
      <c r="AB2894" s="7" t="n"/>
      <c r="AE2894" s="11" t="n"/>
      <c r="AG2894">
        <f>IF($C2894="","",IF(COUNTIF($C$2:$C2894,$C2894)=1,1,0))</f>
        <v/>
      </c>
      <c r="AH2894">
        <f>IF($AG2894=1,SUMPRODUCT(--($AK$2:$AK$6001&lt;$AK2894))+1,"")</f>
        <v/>
      </c>
      <c r="AI2894">
        <f>IF($C2894="","",IF(OR($N2894=TRUE(),$N2894="TRUE"),1,0))</f>
        <v/>
      </c>
      <c r="AJ2894">
        <f>IF($C2894="","",IF($T2894="Yes",1,0))</f>
        <v/>
      </c>
      <c r="AK2894">
        <f>IF($AG2894=1,IFERROR(IF(VALUE($C2894)&lt;100000000,VALUE($C2894),1000000000),IFERROR(IF(VALUE(MID($C2894,2,20))&lt;100000000,VALUE(MID($C2894,2,20)),1000000000),1000000000))+ROW()/100000,"")</f>
        <v/>
      </c>
    </row>
    <row r="2895">
      <c r="D2895" s="11" t="n"/>
      <c r="K2895" s="7">
        <f>IF($C2895="","",J2895*W2895/100)</f>
        <v/>
      </c>
      <c r="Q2895" s="7" t="n"/>
      <c r="R2895" s="7" t="n"/>
      <c r="U2895">
        <f>IF($C2895="","",IF($AJ2895=1,0,IF($AI2895=1,Settings!$C$6,Settings!$C$7))*100)</f>
        <v/>
      </c>
      <c r="V2895" s="7">
        <f>IF($C2895="","",R2895*U2895/100)</f>
        <v/>
      </c>
      <c r="W2895" s="7">
        <f>IF($C2895="","",R2895-V2895)</f>
        <v/>
      </c>
      <c r="X2895" s="7">
        <f>IF($C2895="","",W2895-K2895)</f>
        <v/>
      </c>
      <c r="AB2895" s="7" t="n"/>
      <c r="AE2895" s="11" t="n"/>
      <c r="AG2895">
        <f>IF($C2895="","",IF(COUNTIF($C$2:$C2895,$C2895)=1,1,0))</f>
        <v/>
      </c>
      <c r="AH2895">
        <f>IF($AG2895=1,SUMPRODUCT(--($AK$2:$AK$6001&lt;$AK2895))+1,"")</f>
        <v/>
      </c>
      <c r="AI2895">
        <f>IF($C2895="","",IF(OR($N2895=TRUE(),$N2895="TRUE"),1,0))</f>
        <v/>
      </c>
      <c r="AJ2895">
        <f>IF($C2895="","",IF($T2895="Yes",1,0))</f>
        <v/>
      </c>
      <c r="AK2895">
        <f>IF($AG2895=1,IFERROR(IF(VALUE($C2895)&lt;100000000,VALUE($C2895),1000000000),IFERROR(IF(VALUE(MID($C2895,2,20))&lt;100000000,VALUE(MID($C2895,2,20)),1000000000),1000000000))+ROW()/100000,"")</f>
        <v/>
      </c>
    </row>
    <row r="2896">
      <c r="D2896" s="11" t="n"/>
      <c r="K2896" s="7">
        <f>IF($C2896="","",J2896*W2896/100)</f>
        <v/>
      </c>
      <c r="Q2896" s="7" t="n"/>
      <c r="R2896" s="7" t="n"/>
      <c r="U2896">
        <f>IF($C2896="","",IF($AJ2896=1,0,IF($AI2896=1,Settings!$C$6,Settings!$C$7))*100)</f>
        <v/>
      </c>
      <c r="V2896" s="7">
        <f>IF($C2896="","",R2896*U2896/100)</f>
        <v/>
      </c>
      <c r="W2896" s="7">
        <f>IF($C2896="","",R2896-V2896)</f>
        <v/>
      </c>
      <c r="X2896" s="7">
        <f>IF($C2896="","",W2896-K2896)</f>
        <v/>
      </c>
      <c r="AB2896" s="7" t="n"/>
      <c r="AE2896" s="11" t="n"/>
      <c r="AG2896">
        <f>IF($C2896="","",IF(COUNTIF($C$2:$C2896,$C2896)=1,1,0))</f>
        <v/>
      </c>
      <c r="AH2896">
        <f>IF($AG2896=1,SUMPRODUCT(--($AK$2:$AK$6001&lt;$AK2896))+1,"")</f>
        <v/>
      </c>
      <c r="AI2896">
        <f>IF($C2896="","",IF(OR($N2896=TRUE(),$N2896="TRUE"),1,0))</f>
        <v/>
      </c>
      <c r="AJ2896">
        <f>IF($C2896="","",IF($T2896="Yes",1,0))</f>
        <v/>
      </c>
      <c r="AK2896">
        <f>IF($AG2896=1,IFERROR(IF(VALUE($C2896)&lt;100000000,VALUE($C2896),1000000000),IFERROR(IF(VALUE(MID($C2896,2,20))&lt;100000000,VALUE(MID($C2896,2,20)),1000000000),1000000000))+ROW()/100000,"")</f>
        <v/>
      </c>
    </row>
    <row r="2897">
      <c r="D2897" s="11" t="n"/>
      <c r="K2897" s="7">
        <f>IF($C2897="","",J2897*W2897/100)</f>
        <v/>
      </c>
      <c r="Q2897" s="7" t="n"/>
      <c r="R2897" s="7" t="n"/>
      <c r="U2897">
        <f>IF($C2897="","",IF($AJ2897=1,0,IF($AI2897=1,Settings!$C$6,Settings!$C$7))*100)</f>
        <v/>
      </c>
      <c r="V2897" s="7">
        <f>IF($C2897="","",R2897*U2897/100)</f>
        <v/>
      </c>
      <c r="W2897" s="7">
        <f>IF($C2897="","",R2897-V2897)</f>
        <v/>
      </c>
      <c r="X2897" s="7">
        <f>IF($C2897="","",W2897-K2897)</f>
        <v/>
      </c>
      <c r="AB2897" s="7" t="n"/>
      <c r="AE2897" s="11" t="n"/>
      <c r="AG2897">
        <f>IF($C2897="","",IF(COUNTIF($C$2:$C2897,$C2897)=1,1,0))</f>
        <v/>
      </c>
      <c r="AH2897">
        <f>IF($AG2897=1,SUMPRODUCT(--($AK$2:$AK$6001&lt;$AK2897))+1,"")</f>
        <v/>
      </c>
      <c r="AI2897">
        <f>IF($C2897="","",IF(OR($N2897=TRUE(),$N2897="TRUE"),1,0))</f>
        <v/>
      </c>
      <c r="AJ2897">
        <f>IF($C2897="","",IF($T2897="Yes",1,0))</f>
        <v/>
      </c>
      <c r="AK2897">
        <f>IF($AG2897=1,IFERROR(IF(VALUE($C2897)&lt;100000000,VALUE($C2897),1000000000),IFERROR(IF(VALUE(MID($C2897,2,20))&lt;100000000,VALUE(MID($C2897,2,20)),1000000000),1000000000))+ROW()/100000,"")</f>
        <v/>
      </c>
    </row>
    <row r="2898">
      <c r="D2898" s="11" t="n"/>
      <c r="K2898" s="7">
        <f>IF($C2898="","",J2898*W2898/100)</f>
        <v/>
      </c>
      <c r="Q2898" s="7" t="n"/>
      <c r="R2898" s="7" t="n"/>
      <c r="U2898">
        <f>IF($C2898="","",IF($AJ2898=1,0,IF($AI2898=1,Settings!$C$6,Settings!$C$7))*100)</f>
        <v/>
      </c>
      <c r="V2898" s="7">
        <f>IF($C2898="","",R2898*U2898/100)</f>
        <v/>
      </c>
      <c r="W2898" s="7">
        <f>IF($C2898="","",R2898-V2898)</f>
        <v/>
      </c>
      <c r="X2898" s="7">
        <f>IF($C2898="","",W2898-K2898)</f>
        <v/>
      </c>
      <c r="AB2898" s="7" t="n"/>
      <c r="AE2898" s="11" t="n"/>
      <c r="AG2898">
        <f>IF($C2898="","",IF(COUNTIF($C$2:$C2898,$C2898)=1,1,0))</f>
        <v/>
      </c>
      <c r="AH2898">
        <f>IF($AG2898=1,SUMPRODUCT(--($AK$2:$AK$6001&lt;$AK2898))+1,"")</f>
        <v/>
      </c>
      <c r="AI2898">
        <f>IF($C2898="","",IF(OR($N2898=TRUE(),$N2898="TRUE"),1,0))</f>
        <v/>
      </c>
      <c r="AJ2898">
        <f>IF($C2898="","",IF($T2898="Yes",1,0))</f>
        <v/>
      </c>
      <c r="AK2898">
        <f>IF($AG2898=1,IFERROR(IF(VALUE($C2898)&lt;100000000,VALUE($C2898),1000000000),IFERROR(IF(VALUE(MID($C2898,2,20))&lt;100000000,VALUE(MID($C2898,2,20)),1000000000),1000000000))+ROW()/100000,"")</f>
        <v/>
      </c>
    </row>
    <row r="2899">
      <c r="D2899" s="11" t="n"/>
      <c r="K2899" s="7">
        <f>IF($C2899="","",J2899*W2899/100)</f>
        <v/>
      </c>
      <c r="Q2899" s="7" t="n"/>
      <c r="R2899" s="7" t="n"/>
      <c r="U2899">
        <f>IF($C2899="","",IF($AJ2899=1,0,IF($AI2899=1,Settings!$C$6,Settings!$C$7))*100)</f>
        <v/>
      </c>
      <c r="V2899" s="7">
        <f>IF($C2899="","",R2899*U2899/100)</f>
        <v/>
      </c>
      <c r="W2899" s="7">
        <f>IF($C2899="","",R2899-V2899)</f>
        <v/>
      </c>
      <c r="X2899" s="7">
        <f>IF($C2899="","",W2899-K2899)</f>
        <v/>
      </c>
      <c r="AB2899" s="7" t="n"/>
      <c r="AE2899" s="11" t="n"/>
      <c r="AG2899">
        <f>IF($C2899="","",IF(COUNTIF($C$2:$C2899,$C2899)=1,1,0))</f>
        <v/>
      </c>
      <c r="AH2899">
        <f>IF($AG2899=1,SUMPRODUCT(--($AK$2:$AK$6001&lt;$AK2899))+1,"")</f>
        <v/>
      </c>
      <c r="AI2899">
        <f>IF($C2899="","",IF(OR($N2899=TRUE(),$N2899="TRUE"),1,0))</f>
        <v/>
      </c>
      <c r="AJ2899">
        <f>IF($C2899="","",IF($T2899="Yes",1,0))</f>
        <v/>
      </c>
      <c r="AK2899">
        <f>IF($AG2899=1,IFERROR(IF(VALUE($C2899)&lt;100000000,VALUE($C2899),1000000000),IFERROR(IF(VALUE(MID($C2899,2,20))&lt;100000000,VALUE(MID($C2899,2,20)),1000000000),1000000000))+ROW()/100000,"")</f>
        <v/>
      </c>
    </row>
    <row r="2900">
      <c r="D2900" s="11" t="n"/>
      <c r="K2900" s="7">
        <f>IF($C2900="","",J2900*W2900/100)</f>
        <v/>
      </c>
      <c r="Q2900" s="7" t="n"/>
      <c r="R2900" s="7" t="n"/>
      <c r="U2900">
        <f>IF($C2900="","",IF($AJ2900=1,0,IF($AI2900=1,Settings!$C$6,Settings!$C$7))*100)</f>
        <v/>
      </c>
      <c r="V2900" s="7">
        <f>IF($C2900="","",R2900*U2900/100)</f>
        <v/>
      </c>
      <c r="W2900" s="7">
        <f>IF($C2900="","",R2900-V2900)</f>
        <v/>
      </c>
      <c r="X2900" s="7">
        <f>IF($C2900="","",W2900-K2900)</f>
        <v/>
      </c>
      <c r="AB2900" s="7" t="n"/>
      <c r="AE2900" s="11" t="n"/>
      <c r="AG2900">
        <f>IF($C2900="","",IF(COUNTIF($C$2:$C2900,$C2900)=1,1,0))</f>
        <v/>
      </c>
      <c r="AH2900">
        <f>IF($AG2900=1,SUMPRODUCT(--($AK$2:$AK$6001&lt;$AK2900))+1,"")</f>
        <v/>
      </c>
      <c r="AI2900">
        <f>IF($C2900="","",IF(OR($N2900=TRUE(),$N2900="TRUE"),1,0))</f>
        <v/>
      </c>
      <c r="AJ2900">
        <f>IF($C2900="","",IF($T2900="Yes",1,0))</f>
        <v/>
      </c>
      <c r="AK2900">
        <f>IF($AG2900=1,IFERROR(IF(VALUE($C2900)&lt;100000000,VALUE($C2900),1000000000),IFERROR(IF(VALUE(MID($C2900,2,20))&lt;100000000,VALUE(MID($C2900,2,20)),1000000000),1000000000))+ROW()/100000,"")</f>
        <v/>
      </c>
    </row>
    <row r="2901">
      <c r="D2901" s="11" t="n"/>
      <c r="K2901" s="7">
        <f>IF($C2901="","",J2901*W2901/100)</f>
        <v/>
      </c>
      <c r="Q2901" s="7" t="n"/>
      <c r="R2901" s="7" t="n"/>
      <c r="U2901">
        <f>IF($C2901="","",IF($AJ2901=1,0,IF($AI2901=1,Settings!$C$6,Settings!$C$7))*100)</f>
        <v/>
      </c>
      <c r="V2901" s="7">
        <f>IF($C2901="","",R2901*U2901/100)</f>
        <v/>
      </c>
      <c r="W2901" s="7">
        <f>IF($C2901="","",R2901-V2901)</f>
        <v/>
      </c>
      <c r="X2901" s="7">
        <f>IF($C2901="","",W2901-K2901)</f>
        <v/>
      </c>
      <c r="AB2901" s="7" t="n"/>
      <c r="AE2901" s="11" t="n"/>
      <c r="AG2901">
        <f>IF($C2901="","",IF(COUNTIF($C$2:$C2901,$C2901)=1,1,0))</f>
        <v/>
      </c>
      <c r="AH2901">
        <f>IF($AG2901=1,SUMPRODUCT(--($AK$2:$AK$6001&lt;$AK2901))+1,"")</f>
        <v/>
      </c>
      <c r="AI2901">
        <f>IF($C2901="","",IF(OR($N2901=TRUE(),$N2901="TRUE"),1,0))</f>
        <v/>
      </c>
      <c r="AJ2901">
        <f>IF($C2901="","",IF($T2901="Yes",1,0))</f>
        <v/>
      </c>
      <c r="AK2901">
        <f>IF($AG2901=1,IFERROR(IF(VALUE($C2901)&lt;100000000,VALUE($C2901),1000000000),IFERROR(IF(VALUE(MID($C2901,2,20))&lt;100000000,VALUE(MID($C2901,2,20)),1000000000),1000000000))+ROW()/100000,"")</f>
        <v/>
      </c>
    </row>
    <row r="2902">
      <c r="D2902" s="11" t="n"/>
      <c r="K2902" s="7">
        <f>IF($C2902="","",J2902*W2902/100)</f>
        <v/>
      </c>
      <c r="Q2902" s="7" t="n"/>
      <c r="R2902" s="7" t="n"/>
      <c r="U2902">
        <f>IF($C2902="","",IF($AJ2902=1,0,IF($AI2902=1,Settings!$C$6,Settings!$C$7))*100)</f>
        <v/>
      </c>
      <c r="V2902" s="7">
        <f>IF($C2902="","",R2902*U2902/100)</f>
        <v/>
      </c>
      <c r="W2902" s="7">
        <f>IF($C2902="","",R2902-V2902)</f>
        <v/>
      </c>
      <c r="X2902" s="7">
        <f>IF($C2902="","",W2902-K2902)</f>
        <v/>
      </c>
      <c r="AB2902" s="7" t="n"/>
      <c r="AE2902" s="11" t="n"/>
      <c r="AG2902">
        <f>IF($C2902="","",IF(COUNTIF($C$2:$C2902,$C2902)=1,1,0))</f>
        <v/>
      </c>
      <c r="AH2902">
        <f>IF($AG2902=1,SUMPRODUCT(--($AK$2:$AK$6001&lt;$AK2902))+1,"")</f>
        <v/>
      </c>
      <c r="AI2902">
        <f>IF($C2902="","",IF(OR($N2902=TRUE(),$N2902="TRUE"),1,0))</f>
        <v/>
      </c>
      <c r="AJ2902">
        <f>IF($C2902="","",IF($T2902="Yes",1,0))</f>
        <v/>
      </c>
      <c r="AK2902">
        <f>IF($AG2902=1,IFERROR(IF(VALUE($C2902)&lt;100000000,VALUE($C2902),1000000000),IFERROR(IF(VALUE(MID($C2902,2,20))&lt;100000000,VALUE(MID($C2902,2,20)),1000000000),1000000000))+ROW()/100000,"")</f>
        <v/>
      </c>
    </row>
    <row r="2903">
      <c r="D2903" s="11" t="n"/>
      <c r="K2903" s="7">
        <f>IF($C2903="","",J2903*W2903/100)</f>
        <v/>
      </c>
      <c r="Q2903" s="7" t="n"/>
      <c r="R2903" s="7" t="n"/>
      <c r="U2903">
        <f>IF($C2903="","",IF($AJ2903=1,0,IF($AI2903=1,Settings!$C$6,Settings!$C$7))*100)</f>
        <v/>
      </c>
      <c r="V2903" s="7">
        <f>IF($C2903="","",R2903*U2903/100)</f>
        <v/>
      </c>
      <c r="W2903" s="7">
        <f>IF($C2903="","",R2903-V2903)</f>
        <v/>
      </c>
      <c r="X2903" s="7">
        <f>IF($C2903="","",W2903-K2903)</f>
        <v/>
      </c>
      <c r="AB2903" s="7" t="n"/>
      <c r="AE2903" s="11" t="n"/>
      <c r="AG2903">
        <f>IF($C2903="","",IF(COUNTIF($C$2:$C2903,$C2903)=1,1,0))</f>
        <v/>
      </c>
      <c r="AH2903">
        <f>IF($AG2903=1,SUMPRODUCT(--($AK$2:$AK$6001&lt;$AK2903))+1,"")</f>
        <v/>
      </c>
      <c r="AI2903">
        <f>IF($C2903="","",IF(OR($N2903=TRUE(),$N2903="TRUE"),1,0))</f>
        <v/>
      </c>
      <c r="AJ2903">
        <f>IF($C2903="","",IF($T2903="Yes",1,0))</f>
        <v/>
      </c>
      <c r="AK2903">
        <f>IF($AG2903=1,IFERROR(IF(VALUE($C2903)&lt;100000000,VALUE($C2903),1000000000),IFERROR(IF(VALUE(MID($C2903,2,20))&lt;100000000,VALUE(MID($C2903,2,20)),1000000000),1000000000))+ROW()/100000,"")</f>
        <v/>
      </c>
    </row>
    <row r="2904">
      <c r="D2904" s="11" t="n"/>
      <c r="K2904" s="7">
        <f>IF($C2904="","",J2904*W2904/100)</f>
        <v/>
      </c>
      <c r="Q2904" s="7" t="n"/>
      <c r="R2904" s="7" t="n"/>
      <c r="U2904">
        <f>IF($C2904="","",IF($AJ2904=1,0,IF($AI2904=1,Settings!$C$6,Settings!$C$7))*100)</f>
        <v/>
      </c>
      <c r="V2904" s="7">
        <f>IF($C2904="","",R2904*U2904/100)</f>
        <v/>
      </c>
      <c r="W2904" s="7">
        <f>IF($C2904="","",R2904-V2904)</f>
        <v/>
      </c>
      <c r="X2904" s="7">
        <f>IF($C2904="","",W2904-K2904)</f>
        <v/>
      </c>
      <c r="AB2904" s="7" t="n"/>
      <c r="AE2904" s="11" t="n"/>
      <c r="AG2904">
        <f>IF($C2904="","",IF(COUNTIF($C$2:$C2904,$C2904)=1,1,0))</f>
        <v/>
      </c>
      <c r="AH2904">
        <f>IF($AG2904=1,SUMPRODUCT(--($AK$2:$AK$6001&lt;$AK2904))+1,"")</f>
        <v/>
      </c>
      <c r="AI2904">
        <f>IF($C2904="","",IF(OR($N2904=TRUE(),$N2904="TRUE"),1,0))</f>
        <v/>
      </c>
      <c r="AJ2904">
        <f>IF($C2904="","",IF($T2904="Yes",1,0))</f>
        <v/>
      </c>
      <c r="AK2904">
        <f>IF($AG2904=1,IFERROR(IF(VALUE($C2904)&lt;100000000,VALUE($C2904),1000000000),IFERROR(IF(VALUE(MID($C2904,2,20))&lt;100000000,VALUE(MID($C2904,2,20)),1000000000),1000000000))+ROW()/100000,"")</f>
        <v/>
      </c>
    </row>
    <row r="2905">
      <c r="D2905" s="11" t="n"/>
      <c r="K2905" s="7">
        <f>IF($C2905="","",J2905*W2905/100)</f>
        <v/>
      </c>
      <c r="Q2905" s="7" t="n"/>
      <c r="R2905" s="7" t="n"/>
      <c r="U2905">
        <f>IF($C2905="","",IF($AJ2905=1,0,IF($AI2905=1,Settings!$C$6,Settings!$C$7))*100)</f>
        <v/>
      </c>
      <c r="V2905" s="7">
        <f>IF($C2905="","",R2905*U2905/100)</f>
        <v/>
      </c>
      <c r="W2905" s="7">
        <f>IF($C2905="","",R2905-V2905)</f>
        <v/>
      </c>
      <c r="X2905" s="7">
        <f>IF($C2905="","",W2905-K2905)</f>
        <v/>
      </c>
      <c r="AB2905" s="7" t="n"/>
      <c r="AE2905" s="11" t="n"/>
      <c r="AG2905">
        <f>IF($C2905="","",IF(COUNTIF($C$2:$C2905,$C2905)=1,1,0))</f>
        <v/>
      </c>
      <c r="AH2905">
        <f>IF($AG2905=1,SUMPRODUCT(--($AK$2:$AK$6001&lt;$AK2905))+1,"")</f>
        <v/>
      </c>
      <c r="AI2905">
        <f>IF($C2905="","",IF(OR($N2905=TRUE(),$N2905="TRUE"),1,0))</f>
        <v/>
      </c>
      <c r="AJ2905">
        <f>IF($C2905="","",IF($T2905="Yes",1,0))</f>
        <v/>
      </c>
      <c r="AK2905">
        <f>IF($AG2905=1,IFERROR(IF(VALUE($C2905)&lt;100000000,VALUE($C2905),1000000000),IFERROR(IF(VALUE(MID($C2905,2,20))&lt;100000000,VALUE(MID($C2905,2,20)),1000000000),1000000000))+ROW()/100000,"")</f>
        <v/>
      </c>
    </row>
    <row r="2906">
      <c r="D2906" s="11" t="n"/>
      <c r="K2906" s="7">
        <f>IF($C2906="","",J2906*W2906/100)</f>
        <v/>
      </c>
      <c r="Q2906" s="7" t="n"/>
      <c r="R2906" s="7" t="n"/>
      <c r="U2906">
        <f>IF($C2906="","",IF($AJ2906=1,0,IF($AI2906=1,Settings!$C$6,Settings!$C$7))*100)</f>
        <v/>
      </c>
      <c r="V2906" s="7">
        <f>IF($C2906="","",R2906*U2906/100)</f>
        <v/>
      </c>
      <c r="W2906" s="7">
        <f>IF($C2906="","",R2906-V2906)</f>
        <v/>
      </c>
      <c r="X2906" s="7">
        <f>IF($C2906="","",W2906-K2906)</f>
        <v/>
      </c>
      <c r="AB2906" s="7" t="n"/>
      <c r="AE2906" s="11" t="n"/>
      <c r="AG2906">
        <f>IF($C2906="","",IF(COUNTIF($C$2:$C2906,$C2906)=1,1,0))</f>
        <v/>
      </c>
      <c r="AH2906">
        <f>IF($AG2906=1,SUMPRODUCT(--($AK$2:$AK$6001&lt;$AK2906))+1,"")</f>
        <v/>
      </c>
      <c r="AI2906">
        <f>IF($C2906="","",IF(OR($N2906=TRUE(),$N2906="TRUE"),1,0))</f>
        <v/>
      </c>
      <c r="AJ2906">
        <f>IF($C2906="","",IF($T2906="Yes",1,0))</f>
        <v/>
      </c>
      <c r="AK2906">
        <f>IF($AG2906=1,IFERROR(IF(VALUE($C2906)&lt;100000000,VALUE($C2906),1000000000),IFERROR(IF(VALUE(MID($C2906,2,20))&lt;100000000,VALUE(MID($C2906,2,20)),1000000000),1000000000))+ROW()/100000,"")</f>
        <v/>
      </c>
    </row>
    <row r="2907">
      <c r="D2907" s="11" t="n"/>
      <c r="K2907" s="7">
        <f>IF($C2907="","",J2907*W2907/100)</f>
        <v/>
      </c>
      <c r="Q2907" s="7" t="n"/>
      <c r="R2907" s="7" t="n"/>
      <c r="U2907">
        <f>IF($C2907="","",IF($AJ2907=1,0,IF($AI2907=1,Settings!$C$6,Settings!$C$7))*100)</f>
        <v/>
      </c>
      <c r="V2907" s="7">
        <f>IF($C2907="","",R2907*U2907/100)</f>
        <v/>
      </c>
      <c r="W2907" s="7">
        <f>IF($C2907="","",R2907-V2907)</f>
        <v/>
      </c>
      <c r="X2907" s="7">
        <f>IF($C2907="","",W2907-K2907)</f>
        <v/>
      </c>
      <c r="AB2907" s="7" t="n"/>
      <c r="AE2907" s="11" t="n"/>
      <c r="AG2907">
        <f>IF($C2907="","",IF(COUNTIF($C$2:$C2907,$C2907)=1,1,0))</f>
        <v/>
      </c>
      <c r="AH2907">
        <f>IF($AG2907=1,SUMPRODUCT(--($AK$2:$AK$6001&lt;$AK2907))+1,"")</f>
        <v/>
      </c>
      <c r="AI2907">
        <f>IF($C2907="","",IF(OR($N2907=TRUE(),$N2907="TRUE"),1,0))</f>
        <v/>
      </c>
      <c r="AJ2907">
        <f>IF($C2907="","",IF($T2907="Yes",1,0))</f>
        <v/>
      </c>
      <c r="AK2907">
        <f>IF($AG2907=1,IFERROR(IF(VALUE($C2907)&lt;100000000,VALUE($C2907),1000000000),IFERROR(IF(VALUE(MID($C2907,2,20))&lt;100000000,VALUE(MID($C2907,2,20)),1000000000),1000000000))+ROW()/100000,"")</f>
        <v/>
      </c>
    </row>
    <row r="2908">
      <c r="D2908" s="11" t="n"/>
      <c r="K2908" s="7">
        <f>IF($C2908="","",J2908*W2908/100)</f>
        <v/>
      </c>
      <c r="Q2908" s="7" t="n"/>
      <c r="R2908" s="7" t="n"/>
      <c r="U2908">
        <f>IF($C2908="","",IF($AJ2908=1,0,IF($AI2908=1,Settings!$C$6,Settings!$C$7))*100)</f>
        <v/>
      </c>
      <c r="V2908" s="7">
        <f>IF($C2908="","",R2908*U2908/100)</f>
        <v/>
      </c>
      <c r="W2908" s="7">
        <f>IF($C2908="","",R2908-V2908)</f>
        <v/>
      </c>
      <c r="X2908" s="7">
        <f>IF($C2908="","",W2908-K2908)</f>
        <v/>
      </c>
      <c r="AB2908" s="7" t="n"/>
      <c r="AE2908" s="11" t="n"/>
      <c r="AG2908">
        <f>IF($C2908="","",IF(COUNTIF($C$2:$C2908,$C2908)=1,1,0))</f>
        <v/>
      </c>
      <c r="AH2908">
        <f>IF($AG2908=1,SUMPRODUCT(--($AK$2:$AK$6001&lt;$AK2908))+1,"")</f>
        <v/>
      </c>
      <c r="AI2908">
        <f>IF($C2908="","",IF(OR($N2908=TRUE(),$N2908="TRUE"),1,0))</f>
        <v/>
      </c>
      <c r="AJ2908">
        <f>IF($C2908="","",IF($T2908="Yes",1,0))</f>
        <v/>
      </c>
      <c r="AK2908">
        <f>IF($AG2908=1,IFERROR(IF(VALUE($C2908)&lt;100000000,VALUE($C2908),1000000000),IFERROR(IF(VALUE(MID($C2908,2,20))&lt;100000000,VALUE(MID($C2908,2,20)),1000000000),1000000000))+ROW()/100000,"")</f>
        <v/>
      </c>
    </row>
    <row r="2909">
      <c r="D2909" s="11" t="n"/>
      <c r="K2909" s="7">
        <f>IF($C2909="","",J2909*W2909/100)</f>
        <v/>
      </c>
      <c r="Q2909" s="7" t="n"/>
      <c r="R2909" s="7" t="n"/>
      <c r="U2909">
        <f>IF($C2909="","",IF($AJ2909=1,0,IF($AI2909=1,Settings!$C$6,Settings!$C$7))*100)</f>
        <v/>
      </c>
      <c r="V2909" s="7">
        <f>IF($C2909="","",R2909*U2909/100)</f>
        <v/>
      </c>
      <c r="W2909" s="7">
        <f>IF($C2909="","",R2909-V2909)</f>
        <v/>
      </c>
      <c r="X2909" s="7">
        <f>IF($C2909="","",W2909-K2909)</f>
        <v/>
      </c>
      <c r="AB2909" s="7" t="n"/>
      <c r="AE2909" s="11" t="n"/>
      <c r="AG2909">
        <f>IF($C2909="","",IF(COUNTIF($C$2:$C2909,$C2909)=1,1,0))</f>
        <v/>
      </c>
      <c r="AH2909">
        <f>IF($AG2909=1,SUMPRODUCT(--($AK$2:$AK$6001&lt;$AK2909))+1,"")</f>
        <v/>
      </c>
      <c r="AI2909">
        <f>IF($C2909="","",IF(OR($N2909=TRUE(),$N2909="TRUE"),1,0))</f>
        <v/>
      </c>
      <c r="AJ2909">
        <f>IF($C2909="","",IF($T2909="Yes",1,0))</f>
        <v/>
      </c>
      <c r="AK2909">
        <f>IF($AG2909=1,IFERROR(IF(VALUE($C2909)&lt;100000000,VALUE($C2909),1000000000),IFERROR(IF(VALUE(MID($C2909,2,20))&lt;100000000,VALUE(MID($C2909,2,20)),1000000000),1000000000))+ROW()/100000,"")</f>
        <v/>
      </c>
    </row>
    <row r="2910">
      <c r="D2910" s="11" t="n"/>
      <c r="K2910" s="7">
        <f>IF($C2910="","",J2910*W2910/100)</f>
        <v/>
      </c>
      <c r="Q2910" s="7" t="n"/>
      <c r="R2910" s="7" t="n"/>
      <c r="U2910">
        <f>IF($C2910="","",IF($AJ2910=1,0,IF($AI2910=1,Settings!$C$6,Settings!$C$7))*100)</f>
        <v/>
      </c>
      <c r="V2910" s="7">
        <f>IF($C2910="","",R2910*U2910/100)</f>
        <v/>
      </c>
      <c r="W2910" s="7">
        <f>IF($C2910="","",R2910-V2910)</f>
        <v/>
      </c>
      <c r="X2910" s="7">
        <f>IF($C2910="","",W2910-K2910)</f>
        <v/>
      </c>
      <c r="AB2910" s="7" t="n"/>
      <c r="AE2910" s="11" t="n"/>
      <c r="AG2910">
        <f>IF($C2910="","",IF(COUNTIF($C$2:$C2910,$C2910)=1,1,0))</f>
        <v/>
      </c>
      <c r="AH2910">
        <f>IF($AG2910=1,SUMPRODUCT(--($AK$2:$AK$6001&lt;$AK2910))+1,"")</f>
        <v/>
      </c>
      <c r="AI2910">
        <f>IF($C2910="","",IF(OR($N2910=TRUE(),$N2910="TRUE"),1,0))</f>
        <v/>
      </c>
      <c r="AJ2910">
        <f>IF($C2910="","",IF($T2910="Yes",1,0))</f>
        <v/>
      </c>
      <c r="AK2910">
        <f>IF($AG2910=1,IFERROR(IF(VALUE($C2910)&lt;100000000,VALUE($C2910),1000000000),IFERROR(IF(VALUE(MID($C2910,2,20))&lt;100000000,VALUE(MID($C2910,2,20)),1000000000),1000000000))+ROW()/100000,"")</f>
        <v/>
      </c>
    </row>
    <row r="2911">
      <c r="D2911" s="11" t="n"/>
      <c r="K2911" s="7">
        <f>IF($C2911="","",J2911*W2911/100)</f>
        <v/>
      </c>
      <c r="Q2911" s="7" t="n"/>
      <c r="R2911" s="7" t="n"/>
      <c r="U2911">
        <f>IF($C2911="","",IF($AJ2911=1,0,IF($AI2911=1,Settings!$C$6,Settings!$C$7))*100)</f>
        <v/>
      </c>
      <c r="V2911" s="7">
        <f>IF($C2911="","",R2911*U2911/100)</f>
        <v/>
      </c>
      <c r="W2911" s="7">
        <f>IF($C2911="","",R2911-V2911)</f>
        <v/>
      </c>
      <c r="X2911" s="7">
        <f>IF($C2911="","",W2911-K2911)</f>
        <v/>
      </c>
      <c r="AB2911" s="7" t="n"/>
      <c r="AE2911" s="11" t="n"/>
      <c r="AG2911">
        <f>IF($C2911="","",IF(COUNTIF($C$2:$C2911,$C2911)=1,1,0))</f>
        <v/>
      </c>
      <c r="AH2911">
        <f>IF($AG2911=1,SUMPRODUCT(--($AK$2:$AK$6001&lt;$AK2911))+1,"")</f>
        <v/>
      </c>
      <c r="AI2911">
        <f>IF($C2911="","",IF(OR($N2911=TRUE(),$N2911="TRUE"),1,0))</f>
        <v/>
      </c>
      <c r="AJ2911">
        <f>IF($C2911="","",IF($T2911="Yes",1,0))</f>
        <v/>
      </c>
      <c r="AK2911">
        <f>IF($AG2911=1,IFERROR(IF(VALUE($C2911)&lt;100000000,VALUE($C2911),1000000000),IFERROR(IF(VALUE(MID($C2911,2,20))&lt;100000000,VALUE(MID($C2911,2,20)),1000000000),1000000000))+ROW()/100000,"")</f>
        <v/>
      </c>
    </row>
    <row r="2912">
      <c r="D2912" s="11" t="n"/>
      <c r="K2912" s="7">
        <f>IF($C2912="","",J2912*W2912/100)</f>
        <v/>
      </c>
      <c r="Q2912" s="7" t="n"/>
      <c r="R2912" s="7" t="n"/>
      <c r="U2912">
        <f>IF($C2912="","",IF($AJ2912=1,0,IF($AI2912=1,Settings!$C$6,Settings!$C$7))*100)</f>
        <v/>
      </c>
      <c r="V2912" s="7">
        <f>IF($C2912="","",R2912*U2912/100)</f>
        <v/>
      </c>
      <c r="W2912" s="7">
        <f>IF($C2912="","",R2912-V2912)</f>
        <v/>
      </c>
      <c r="X2912" s="7">
        <f>IF($C2912="","",W2912-K2912)</f>
        <v/>
      </c>
      <c r="AB2912" s="7" t="n"/>
      <c r="AE2912" s="11" t="n"/>
      <c r="AG2912">
        <f>IF($C2912="","",IF(COUNTIF($C$2:$C2912,$C2912)=1,1,0))</f>
        <v/>
      </c>
      <c r="AH2912">
        <f>IF($AG2912=1,SUMPRODUCT(--($AK$2:$AK$6001&lt;$AK2912))+1,"")</f>
        <v/>
      </c>
      <c r="AI2912">
        <f>IF($C2912="","",IF(OR($N2912=TRUE(),$N2912="TRUE"),1,0))</f>
        <v/>
      </c>
      <c r="AJ2912">
        <f>IF($C2912="","",IF($T2912="Yes",1,0))</f>
        <v/>
      </c>
      <c r="AK2912">
        <f>IF($AG2912=1,IFERROR(IF(VALUE($C2912)&lt;100000000,VALUE($C2912),1000000000),IFERROR(IF(VALUE(MID($C2912,2,20))&lt;100000000,VALUE(MID($C2912,2,20)),1000000000),1000000000))+ROW()/100000,"")</f>
        <v/>
      </c>
    </row>
    <row r="2913">
      <c r="D2913" s="11" t="n"/>
      <c r="K2913" s="7">
        <f>IF($C2913="","",J2913*W2913/100)</f>
        <v/>
      </c>
      <c r="Q2913" s="7" t="n"/>
      <c r="R2913" s="7" t="n"/>
      <c r="U2913">
        <f>IF($C2913="","",IF($AJ2913=1,0,IF($AI2913=1,Settings!$C$6,Settings!$C$7))*100)</f>
        <v/>
      </c>
      <c r="V2913" s="7">
        <f>IF($C2913="","",R2913*U2913/100)</f>
        <v/>
      </c>
      <c r="W2913" s="7">
        <f>IF($C2913="","",R2913-V2913)</f>
        <v/>
      </c>
      <c r="X2913" s="7">
        <f>IF($C2913="","",W2913-K2913)</f>
        <v/>
      </c>
      <c r="AB2913" s="7" t="n"/>
      <c r="AE2913" s="11" t="n"/>
      <c r="AG2913">
        <f>IF($C2913="","",IF(COUNTIF($C$2:$C2913,$C2913)=1,1,0))</f>
        <v/>
      </c>
      <c r="AH2913">
        <f>IF($AG2913=1,SUMPRODUCT(--($AK$2:$AK$6001&lt;$AK2913))+1,"")</f>
        <v/>
      </c>
      <c r="AI2913">
        <f>IF($C2913="","",IF(OR($N2913=TRUE(),$N2913="TRUE"),1,0))</f>
        <v/>
      </c>
      <c r="AJ2913">
        <f>IF($C2913="","",IF($T2913="Yes",1,0))</f>
        <v/>
      </c>
      <c r="AK2913">
        <f>IF($AG2913=1,IFERROR(IF(VALUE($C2913)&lt;100000000,VALUE($C2913),1000000000),IFERROR(IF(VALUE(MID($C2913,2,20))&lt;100000000,VALUE(MID($C2913,2,20)),1000000000),1000000000))+ROW()/100000,"")</f>
        <v/>
      </c>
    </row>
    <row r="2914">
      <c r="D2914" s="11" t="n"/>
      <c r="K2914" s="7">
        <f>IF($C2914="","",J2914*W2914/100)</f>
        <v/>
      </c>
      <c r="Q2914" s="7" t="n"/>
      <c r="R2914" s="7" t="n"/>
      <c r="U2914">
        <f>IF($C2914="","",IF($AJ2914=1,0,IF($AI2914=1,Settings!$C$6,Settings!$C$7))*100)</f>
        <v/>
      </c>
      <c r="V2914" s="7">
        <f>IF($C2914="","",R2914*U2914/100)</f>
        <v/>
      </c>
      <c r="W2914" s="7">
        <f>IF($C2914="","",R2914-V2914)</f>
        <v/>
      </c>
      <c r="X2914" s="7">
        <f>IF($C2914="","",W2914-K2914)</f>
        <v/>
      </c>
      <c r="AB2914" s="7" t="n"/>
      <c r="AE2914" s="11" t="n"/>
      <c r="AG2914">
        <f>IF($C2914="","",IF(COUNTIF($C$2:$C2914,$C2914)=1,1,0))</f>
        <v/>
      </c>
      <c r="AH2914">
        <f>IF($AG2914=1,SUMPRODUCT(--($AK$2:$AK$6001&lt;$AK2914))+1,"")</f>
        <v/>
      </c>
      <c r="AI2914">
        <f>IF($C2914="","",IF(OR($N2914=TRUE(),$N2914="TRUE"),1,0))</f>
        <v/>
      </c>
      <c r="AJ2914">
        <f>IF($C2914="","",IF($T2914="Yes",1,0))</f>
        <v/>
      </c>
      <c r="AK2914">
        <f>IF($AG2914=1,IFERROR(IF(VALUE($C2914)&lt;100000000,VALUE($C2914),1000000000),IFERROR(IF(VALUE(MID($C2914,2,20))&lt;100000000,VALUE(MID($C2914,2,20)),1000000000),1000000000))+ROW()/100000,"")</f>
        <v/>
      </c>
    </row>
    <row r="2915">
      <c r="D2915" s="11" t="n"/>
      <c r="K2915" s="7">
        <f>IF($C2915="","",J2915*W2915/100)</f>
        <v/>
      </c>
      <c r="Q2915" s="7" t="n"/>
      <c r="R2915" s="7" t="n"/>
      <c r="U2915">
        <f>IF($C2915="","",IF($AJ2915=1,0,IF($AI2915=1,Settings!$C$6,Settings!$C$7))*100)</f>
        <v/>
      </c>
      <c r="V2915" s="7">
        <f>IF($C2915="","",R2915*U2915/100)</f>
        <v/>
      </c>
      <c r="W2915" s="7">
        <f>IF($C2915="","",R2915-V2915)</f>
        <v/>
      </c>
      <c r="X2915" s="7">
        <f>IF($C2915="","",W2915-K2915)</f>
        <v/>
      </c>
      <c r="AB2915" s="7" t="n"/>
      <c r="AE2915" s="11" t="n"/>
      <c r="AG2915">
        <f>IF($C2915="","",IF(COUNTIF($C$2:$C2915,$C2915)=1,1,0))</f>
        <v/>
      </c>
      <c r="AH2915">
        <f>IF($AG2915=1,SUMPRODUCT(--($AK$2:$AK$6001&lt;$AK2915))+1,"")</f>
        <v/>
      </c>
      <c r="AI2915">
        <f>IF($C2915="","",IF(OR($N2915=TRUE(),$N2915="TRUE"),1,0))</f>
        <v/>
      </c>
      <c r="AJ2915">
        <f>IF($C2915="","",IF($T2915="Yes",1,0))</f>
        <v/>
      </c>
      <c r="AK2915">
        <f>IF($AG2915=1,IFERROR(IF(VALUE($C2915)&lt;100000000,VALUE($C2915),1000000000),IFERROR(IF(VALUE(MID($C2915,2,20))&lt;100000000,VALUE(MID($C2915,2,20)),1000000000),1000000000))+ROW()/100000,"")</f>
        <v/>
      </c>
    </row>
    <row r="2916">
      <c r="D2916" s="11" t="n"/>
      <c r="K2916" s="7">
        <f>IF($C2916="","",J2916*W2916/100)</f>
        <v/>
      </c>
      <c r="Q2916" s="7" t="n"/>
      <c r="R2916" s="7" t="n"/>
      <c r="U2916">
        <f>IF($C2916="","",IF($AJ2916=1,0,IF($AI2916=1,Settings!$C$6,Settings!$C$7))*100)</f>
        <v/>
      </c>
      <c r="V2916" s="7">
        <f>IF($C2916="","",R2916*U2916/100)</f>
        <v/>
      </c>
      <c r="W2916" s="7">
        <f>IF($C2916="","",R2916-V2916)</f>
        <v/>
      </c>
      <c r="X2916" s="7">
        <f>IF($C2916="","",W2916-K2916)</f>
        <v/>
      </c>
      <c r="AB2916" s="7" t="n"/>
      <c r="AE2916" s="11" t="n"/>
      <c r="AG2916">
        <f>IF($C2916="","",IF(COUNTIF($C$2:$C2916,$C2916)=1,1,0))</f>
        <v/>
      </c>
      <c r="AH2916">
        <f>IF($AG2916=1,SUMPRODUCT(--($AK$2:$AK$6001&lt;$AK2916))+1,"")</f>
        <v/>
      </c>
      <c r="AI2916">
        <f>IF($C2916="","",IF(OR($N2916=TRUE(),$N2916="TRUE"),1,0))</f>
        <v/>
      </c>
      <c r="AJ2916">
        <f>IF($C2916="","",IF($T2916="Yes",1,0))</f>
        <v/>
      </c>
      <c r="AK2916">
        <f>IF($AG2916=1,IFERROR(IF(VALUE($C2916)&lt;100000000,VALUE($C2916),1000000000),IFERROR(IF(VALUE(MID($C2916,2,20))&lt;100000000,VALUE(MID($C2916,2,20)),1000000000),1000000000))+ROW()/100000,"")</f>
        <v/>
      </c>
    </row>
    <row r="2917">
      <c r="D2917" s="11" t="n"/>
      <c r="K2917" s="7">
        <f>IF($C2917="","",J2917*W2917/100)</f>
        <v/>
      </c>
      <c r="Q2917" s="7" t="n"/>
      <c r="R2917" s="7" t="n"/>
      <c r="U2917">
        <f>IF($C2917="","",IF($AJ2917=1,0,IF($AI2917=1,Settings!$C$6,Settings!$C$7))*100)</f>
        <v/>
      </c>
      <c r="V2917" s="7">
        <f>IF($C2917="","",R2917*U2917/100)</f>
        <v/>
      </c>
      <c r="W2917" s="7">
        <f>IF($C2917="","",R2917-V2917)</f>
        <v/>
      </c>
      <c r="X2917" s="7">
        <f>IF($C2917="","",W2917-K2917)</f>
        <v/>
      </c>
      <c r="AB2917" s="7" t="n"/>
      <c r="AE2917" s="11" t="n"/>
      <c r="AG2917">
        <f>IF($C2917="","",IF(COUNTIF($C$2:$C2917,$C2917)=1,1,0))</f>
        <v/>
      </c>
      <c r="AH2917">
        <f>IF($AG2917=1,SUMPRODUCT(--($AK$2:$AK$6001&lt;$AK2917))+1,"")</f>
        <v/>
      </c>
      <c r="AI2917">
        <f>IF($C2917="","",IF(OR($N2917=TRUE(),$N2917="TRUE"),1,0))</f>
        <v/>
      </c>
      <c r="AJ2917">
        <f>IF($C2917="","",IF($T2917="Yes",1,0))</f>
        <v/>
      </c>
      <c r="AK2917">
        <f>IF($AG2917=1,IFERROR(IF(VALUE($C2917)&lt;100000000,VALUE($C2917),1000000000),IFERROR(IF(VALUE(MID($C2917,2,20))&lt;100000000,VALUE(MID($C2917,2,20)),1000000000),1000000000))+ROW()/100000,"")</f>
        <v/>
      </c>
    </row>
    <row r="2918">
      <c r="D2918" s="11" t="n"/>
      <c r="K2918" s="7">
        <f>IF($C2918="","",J2918*W2918/100)</f>
        <v/>
      </c>
      <c r="Q2918" s="7" t="n"/>
      <c r="R2918" s="7" t="n"/>
      <c r="U2918">
        <f>IF($C2918="","",IF($AJ2918=1,0,IF($AI2918=1,Settings!$C$6,Settings!$C$7))*100)</f>
        <v/>
      </c>
      <c r="V2918" s="7">
        <f>IF($C2918="","",R2918*U2918/100)</f>
        <v/>
      </c>
      <c r="W2918" s="7">
        <f>IF($C2918="","",R2918-V2918)</f>
        <v/>
      </c>
      <c r="X2918" s="7">
        <f>IF($C2918="","",W2918-K2918)</f>
        <v/>
      </c>
      <c r="AB2918" s="7" t="n"/>
      <c r="AE2918" s="11" t="n"/>
      <c r="AG2918">
        <f>IF($C2918="","",IF(COUNTIF($C$2:$C2918,$C2918)=1,1,0))</f>
        <v/>
      </c>
      <c r="AH2918">
        <f>IF($AG2918=1,SUMPRODUCT(--($AK$2:$AK$6001&lt;$AK2918))+1,"")</f>
        <v/>
      </c>
      <c r="AI2918">
        <f>IF($C2918="","",IF(OR($N2918=TRUE(),$N2918="TRUE"),1,0))</f>
        <v/>
      </c>
      <c r="AJ2918">
        <f>IF($C2918="","",IF($T2918="Yes",1,0))</f>
        <v/>
      </c>
      <c r="AK2918">
        <f>IF($AG2918=1,IFERROR(IF(VALUE($C2918)&lt;100000000,VALUE($C2918),1000000000),IFERROR(IF(VALUE(MID($C2918,2,20))&lt;100000000,VALUE(MID($C2918,2,20)),1000000000),1000000000))+ROW()/100000,"")</f>
        <v/>
      </c>
    </row>
    <row r="2919">
      <c r="D2919" s="11" t="n"/>
      <c r="K2919" s="7">
        <f>IF($C2919="","",J2919*W2919/100)</f>
        <v/>
      </c>
      <c r="Q2919" s="7" t="n"/>
      <c r="R2919" s="7" t="n"/>
      <c r="U2919">
        <f>IF($C2919="","",IF($AJ2919=1,0,IF($AI2919=1,Settings!$C$6,Settings!$C$7))*100)</f>
        <v/>
      </c>
      <c r="V2919" s="7">
        <f>IF($C2919="","",R2919*U2919/100)</f>
        <v/>
      </c>
      <c r="W2919" s="7">
        <f>IF($C2919="","",R2919-V2919)</f>
        <v/>
      </c>
      <c r="X2919" s="7">
        <f>IF($C2919="","",W2919-K2919)</f>
        <v/>
      </c>
      <c r="AB2919" s="7" t="n"/>
      <c r="AE2919" s="11" t="n"/>
      <c r="AG2919">
        <f>IF($C2919="","",IF(COUNTIF($C$2:$C2919,$C2919)=1,1,0))</f>
        <v/>
      </c>
      <c r="AH2919">
        <f>IF($AG2919=1,SUMPRODUCT(--($AK$2:$AK$6001&lt;$AK2919))+1,"")</f>
        <v/>
      </c>
      <c r="AI2919">
        <f>IF($C2919="","",IF(OR($N2919=TRUE(),$N2919="TRUE"),1,0))</f>
        <v/>
      </c>
      <c r="AJ2919">
        <f>IF($C2919="","",IF($T2919="Yes",1,0))</f>
        <v/>
      </c>
      <c r="AK2919">
        <f>IF($AG2919=1,IFERROR(IF(VALUE($C2919)&lt;100000000,VALUE($C2919),1000000000),IFERROR(IF(VALUE(MID($C2919,2,20))&lt;100000000,VALUE(MID($C2919,2,20)),1000000000),1000000000))+ROW()/100000,"")</f>
        <v/>
      </c>
    </row>
    <row r="2920">
      <c r="D2920" s="11" t="n"/>
      <c r="K2920" s="7">
        <f>IF($C2920="","",J2920*W2920/100)</f>
        <v/>
      </c>
      <c r="Q2920" s="7" t="n"/>
      <c r="R2920" s="7" t="n"/>
      <c r="U2920">
        <f>IF($C2920="","",IF($AJ2920=1,0,IF($AI2920=1,Settings!$C$6,Settings!$C$7))*100)</f>
        <v/>
      </c>
      <c r="V2920" s="7">
        <f>IF($C2920="","",R2920*U2920/100)</f>
        <v/>
      </c>
      <c r="W2920" s="7">
        <f>IF($C2920="","",R2920-V2920)</f>
        <v/>
      </c>
      <c r="X2920" s="7">
        <f>IF($C2920="","",W2920-K2920)</f>
        <v/>
      </c>
      <c r="AB2920" s="7" t="n"/>
      <c r="AE2920" s="11" t="n"/>
      <c r="AG2920">
        <f>IF($C2920="","",IF(COUNTIF($C$2:$C2920,$C2920)=1,1,0))</f>
        <v/>
      </c>
      <c r="AH2920">
        <f>IF($AG2920=1,SUMPRODUCT(--($AK$2:$AK$6001&lt;$AK2920))+1,"")</f>
        <v/>
      </c>
      <c r="AI2920">
        <f>IF($C2920="","",IF(OR($N2920=TRUE(),$N2920="TRUE"),1,0))</f>
        <v/>
      </c>
      <c r="AJ2920">
        <f>IF($C2920="","",IF($T2920="Yes",1,0))</f>
        <v/>
      </c>
      <c r="AK2920">
        <f>IF($AG2920=1,IFERROR(IF(VALUE($C2920)&lt;100000000,VALUE($C2920),1000000000),IFERROR(IF(VALUE(MID($C2920,2,20))&lt;100000000,VALUE(MID($C2920,2,20)),1000000000),1000000000))+ROW()/100000,"")</f>
        <v/>
      </c>
    </row>
    <row r="2921">
      <c r="D2921" s="11" t="n"/>
      <c r="K2921" s="7">
        <f>IF($C2921="","",J2921*W2921/100)</f>
        <v/>
      </c>
      <c r="Q2921" s="7" t="n"/>
      <c r="R2921" s="7" t="n"/>
      <c r="U2921">
        <f>IF($C2921="","",IF($AJ2921=1,0,IF($AI2921=1,Settings!$C$6,Settings!$C$7))*100)</f>
        <v/>
      </c>
      <c r="V2921" s="7">
        <f>IF($C2921="","",R2921*U2921/100)</f>
        <v/>
      </c>
      <c r="W2921" s="7">
        <f>IF($C2921="","",R2921-V2921)</f>
        <v/>
      </c>
      <c r="X2921" s="7">
        <f>IF($C2921="","",W2921-K2921)</f>
        <v/>
      </c>
      <c r="AB2921" s="7" t="n"/>
      <c r="AE2921" s="11" t="n"/>
      <c r="AG2921">
        <f>IF($C2921="","",IF(COUNTIF($C$2:$C2921,$C2921)=1,1,0))</f>
        <v/>
      </c>
      <c r="AH2921">
        <f>IF($AG2921=1,SUMPRODUCT(--($AK$2:$AK$6001&lt;$AK2921))+1,"")</f>
        <v/>
      </c>
      <c r="AI2921">
        <f>IF($C2921="","",IF(OR($N2921=TRUE(),$N2921="TRUE"),1,0))</f>
        <v/>
      </c>
      <c r="AJ2921">
        <f>IF($C2921="","",IF($T2921="Yes",1,0))</f>
        <v/>
      </c>
      <c r="AK2921">
        <f>IF($AG2921=1,IFERROR(IF(VALUE($C2921)&lt;100000000,VALUE($C2921),1000000000),IFERROR(IF(VALUE(MID($C2921,2,20))&lt;100000000,VALUE(MID($C2921,2,20)),1000000000),1000000000))+ROW()/100000,"")</f>
        <v/>
      </c>
    </row>
    <row r="2922">
      <c r="D2922" s="11" t="n"/>
      <c r="K2922" s="7">
        <f>IF($C2922="","",J2922*W2922/100)</f>
        <v/>
      </c>
      <c r="Q2922" s="7" t="n"/>
      <c r="R2922" s="7" t="n"/>
      <c r="U2922">
        <f>IF($C2922="","",IF($AJ2922=1,0,IF($AI2922=1,Settings!$C$6,Settings!$C$7))*100)</f>
        <v/>
      </c>
      <c r="V2922" s="7">
        <f>IF($C2922="","",R2922*U2922/100)</f>
        <v/>
      </c>
      <c r="W2922" s="7">
        <f>IF($C2922="","",R2922-V2922)</f>
        <v/>
      </c>
      <c r="X2922" s="7">
        <f>IF($C2922="","",W2922-K2922)</f>
        <v/>
      </c>
      <c r="AB2922" s="7" t="n"/>
      <c r="AE2922" s="11" t="n"/>
      <c r="AG2922">
        <f>IF($C2922="","",IF(COUNTIF($C$2:$C2922,$C2922)=1,1,0))</f>
        <v/>
      </c>
      <c r="AH2922">
        <f>IF($AG2922=1,SUMPRODUCT(--($AK$2:$AK$6001&lt;$AK2922))+1,"")</f>
        <v/>
      </c>
      <c r="AI2922">
        <f>IF($C2922="","",IF(OR($N2922=TRUE(),$N2922="TRUE"),1,0))</f>
        <v/>
      </c>
      <c r="AJ2922">
        <f>IF($C2922="","",IF($T2922="Yes",1,0))</f>
        <v/>
      </c>
      <c r="AK2922">
        <f>IF($AG2922=1,IFERROR(IF(VALUE($C2922)&lt;100000000,VALUE($C2922),1000000000),IFERROR(IF(VALUE(MID($C2922,2,20))&lt;100000000,VALUE(MID($C2922,2,20)),1000000000),1000000000))+ROW()/100000,"")</f>
        <v/>
      </c>
    </row>
    <row r="2923">
      <c r="D2923" s="11" t="n"/>
      <c r="K2923" s="7">
        <f>IF($C2923="","",J2923*W2923/100)</f>
        <v/>
      </c>
      <c r="Q2923" s="7" t="n"/>
      <c r="R2923" s="7" t="n"/>
      <c r="U2923">
        <f>IF($C2923="","",IF($AJ2923=1,0,IF($AI2923=1,Settings!$C$6,Settings!$C$7))*100)</f>
        <v/>
      </c>
      <c r="V2923" s="7">
        <f>IF($C2923="","",R2923*U2923/100)</f>
        <v/>
      </c>
      <c r="W2923" s="7">
        <f>IF($C2923="","",R2923-V2923)</f>
        <v/>
      </c>
      <c r="X2923" s="7">
        <f>IF($C2923="","",W2923-K2923)</f>
        <v/>
      </c>
      <c r="AB2923" s="7" t="n"/>
      <c r="AE2923" s="11" t="n"/>
      <c r="AG2923">
        <f>IF($C2923="","",IF(COUNTIF($C$2:$C2923,$C2923)=1,1,0))</f>
        <v/>
      </c>
      <c r="AH2923">
        <f>IF($AG2923=1,SUMPRODUCT(--($AK$2:$AK$6001&lt;$AK2923))+1,"")</f>
        <v/>
      </c>
      <c r="AI2923">
        <f>IF($C2923="","",IF(OR($N2923=TRUE(),$N2923="TRUE"),1,0))</f>
        <v/>
      </c>
      <c r="AJ2923">
        <f>IF($C2923="","",IF($T2923="Yes",1,0))</f>
        <v/>
      </c>
      <c r="AK2923">
        <f>IF($AG2923=1,IFERROR(IF(VALUE($C2923)&lt;100000000,VALUE($C2923),1000000000),IFERROR(IF(VALUE(MID($C2923,2,20))&lt;100000000,VALUE(MID($C2923,2,20)),1000000000),1000000000))+ROW()/100000,"")</f>
        <v/>
      </c>
    </row>
    <row r="2924">
      <c r="D2924" s="11" t="n"/>
      <c r="K2924" s="7">
        <f>IF($C2924="","",J2924*W2924/100)</f>
        <v/>
      </c>
      <c r="Q2924" s="7" t="n"/>
      <c r="R2924" s="7" t="n"/>
      <c r="U2924">
        <f>IF($C2924="","",IF($AJ2924=1,0,IF($AI2924=1,Settings!$C$6,Settings!$C$7))*100)</f>
        <v/>
      </c>
      <c r="V2924" s="7">
        <f>IF($C2924="","",R2924*U2924/100)</f>
        <v/>
      </c>
      <c r="W2924" s="7">
        <f>IF($C2924="","",R2924-V2924)</f>
        <v/>
      </c>
      <c r="X2924" s="7">
        <f>IF($C2924="","",W2924-K2924)</f>
        <v/>
      </c>
      <c r="AB2924" s="7" t="n"/>
      <c r="AE2924" s="11" t="n"/>
      <c r="AG2924">
        <f>IF($C2924="","",IF(COUNTIF($C$2:$C2924,$C2924)=1,1,0))</f>
        <v/>
      </c>
      <c r="AH2924">
        <f>IF($AG2924=1,SUMPRODUCT(--($AK$2:$AK$6001&lt;$AK2924))+1,"")</f>
        <v/>
      </c>
      <c r="AI2924">
        <f>IF($C2924="","",IF(OR($N2924=TRUE(),$N2924="TRUE"),1,0))</f>
        <v/>
      </c>
      <c r="AJ2924">
        <f>IF($C2924="","",IF($T2924="Yes",1,0))</f>
        <v/>
      </c>
      <c r="AK2924">
        <f>IF($AG2924=1,IFERROR(IF(VALUE($C2924)&lt;100000000,VALUE($C2924),1000000000),IFERROR(IF(VALUE(MID($C2924,2,20))&lt;100000000,VALUE(MID($C2924,2,20)),1000000000),1000000000))+ROW()/100000,"")</f>
        <v/>
      </c>
    </row>
    <row r="2925">
      <c r="D2925" s="11" t="n"/>
      <c r="K2925" s="7">
        <f>IF($C2925="","",J2925*W2925/100)</f>
        <v/>
      </c>
      <c r="Q2925" s="7" t="n"/>
      <c r="R2925" s="7" t="n"/>
      <c r="U2925">
        <f>IF($C2925="","",IF($AJ2925=1,0,IF($AI2925=1,Settings!$C$6,Settings!$C$7))*100)</f>
        <v/>
      </c>
      <c r="V2925" s="7">
        <f>IF($C2925="","",R2925*U2925/100)</f>
        <v/>
      </c>
      <c r="W2925" s="7">
        <f>IF($C2925="","",R2925-V2925)</f>
        <v/>
      </c>
      <c r="X2925" s="7">
        <f>IF($C2925="","",W2925-K2925)</f>
        <v/>
      </c>
      <c r="AB2925" s="7" t="n"/>
      <c r="AE2925" s="11" t="n"/>
      <c r="AG2925">
        <f>IF($C2925="","",IF(COUNTIF($C$2:$C2925,$C2925)=1,1,0))</f>
        <v/>
      </c>
      <c r="AH2925">
        <f>IF($AG2925=1,SUMPRODUCT(--($AK$2:$AK$6001&lt;$AK2925))+1,"")</f>
        <v/>
      </c>
      <c r="AI2925">
        <f>IF($C2925="","",IF(OR($N2925=TRUE(),$N2925="TRUE"),1,0))</f>
        <v/>
      </c>
      <c r="AJ2925">
        <f>IF($C2925="","",IF($T2925="Yes",1,0))</f>
        <v/>
      </c>
      <c r="AK2925">
        <f>IF($AG2925=1,IFERROR(IF(VALUE($C2925)&lt;100000000,VALUE($C2925),1000000000),IFERROR(IF(VALUE(MID($C2925,2,20))&lt;100000000,VALUE(MID($C2925,2,20)),1000000000),1000000000))+ROW()/100000,"")</f>
        <v/>
      </c>
    </row>
    <row r="2926">
      <c r="D2926" s="11" t="n"/>
      <c r="K2926" s="7">
        <f>IF($C2926="","",J2926*W2926/100)</f>
        <v/>
      </c>
      <c r="Q2926" s="7" t="n"/>
      <c r="R2926" s="7" t="n"/>
      <c r="U2926">
        <f>IF($C2926="","",IF($AJ2926=1,0,IF($AI2926=1,Settings!$C$6,Settings!$C$7))*100)</f>
        <v/>
      </c>
      <c r="V2926" s="7">
        <f>IF($C2926="","",R2926*U2926/100)</f>
        <v/>
      </c>
      <c r="W2926" s="7">
        <f>IF($C2926="","",R2926-V2926)</f>
        <v/>
      </c>
      <c r="X2926" s="7">
        <f>IF($C2926="","",W2926-K2926)</f>
        <v/>
      </c>
      <c r="AB2926" s="7" t="n"/>
      <c r="AE2926" s="11" t="n"/>
      <c r="AG2926">
        <f>IF($C2926="","",IF(COUNTIF($C$2:$C2926,$C2926)=1,1,0))</f>
        <v/>
      </c>
      <c r="AH2926">
        <f>IF($AG2926=1,SUMPRODUCT(--($AK$2:$AK$6001&lt;$AK2926))+1,"")</f>
        <v/>
      </c>
      <c r="AI2926">
        <f>IF($C2926="","",IF(OR($N2926=TRUE(),$N2926="TRUE"),1,0))</f>
        <v/>
      </c>
      <c r="AJ2926">
        <f>IF($C2926="","",IF($T2926="Yes",1,0))</f>
        <v/>
      </c>
      <c r="AK2926">
        <f>IF($AG2926=1,IFERROR(IF(VALUE($C2926)&lt;100000000,VALUE($C2926),1000000000),IFERROR(IF(VALUE(MID($C2926,2,20))&lt;100000000,VALUE(MID($C2926,2,20)),1000000000),1000000000))+ROW()/100000,"")</f>
        <v/>
      </c>
    </row>
    <row r="2927">
      <c r="D2927" s="11" t="n"/>
      <c r="K2927" s="7">
        <f>IF($C2927="","",J2927*W2927/100)</f>
        <v/>
      </c>
      <c r="Q2927" s="7" t="n"/>
      <c r="R2927" s="7" t="n"/>
      <c r="U2927">
        <f>IF($C2927="","",IF($AJ2927=1,0,IF($AI2927=1,Settings!$C$6,Settings!$C$7))*100)</f>
        <v/>
      </c>
      <c r="V2927" s="7">
        <f>IF($C2927="","",R2927*U2927/100)</f>
        <v/>
      </c>
      <c r="W2927" s="7">
        <f>IF($C2927="","",R2927-V2927)</f>
        <v/>
      </c>
      <c r="X2927" s="7">
        <f>IF($C2927="","",W2927-K2927)</f>
        <v/>
      </c>
      <c r="AB2927" s="7" t="n"/>
      <c r="AE2927" s="11" t="n"/>
      <c r="AG2927">
        <f>IF($C2927="","",IF(COUNTIF($C$2:$C2927,$C2927)=1,1,0))</f>
        <v/>
      </c>
      <c r="AH2927">
        <f>IF($AG2927=1,SUMPRODUCT(--($AK$2:$AK$6001&lt;$AK2927))+1,"")</f>
        <v/>
      </c>
      <c r="AI2927">
        <f>IF($C2927="","",IF(OR($N2927=TRUE(),$N2927="TRUE"),1,0))</f>
        <v/>
      </c>
      <c r="AJ2927">
        <f>IF($C2927="","",IF($T2927="Yes",1,0))</f>
        <v/>
      </c>
      <c r="AK2927">
        <f>IF($AG2927=1,IFERROR(IF(VALUE($C2927)&lt;100000000,VALUE($C2927),1000000000),IFERROR(IF(VALUE(MID($C2927,2,20))&lt;100000000,VALUE(MID($C2927,2,20)),1000000000),1000000000))+ROW()/100000,"")</f>
        <v/>
      </c>
    </row>
    <row r="2928">
      <c r="D2928" s="11" t="n"/>
      <c r="K2928" s="7">
        <f>IF($C2928="","",J2928*W2928/100)</f>
        <v/>
      </c>
      <c r="Q2928" s="7" t="n"/>
      <c r="R2928" s="7" t="n"/>
      <c r="U2928">
        <f>IF($C2928="","",IF($AJ2928=1,0,IF($AI2928=1,Settings!$C$6,Settings!$C$7))*100)</f>
        <v/>
      </c>
      <c r="V2928" s="7">
        <f>IF($C2928="","",R2928*U2928/100)</f>
        <v/>
      </c>
      <c r="W2928" s="7">
        <f>IF($C2928="","",R2928-V2928)</f>
        <v/>
      </c>
      <c r="X2928" s="7">
        <f>IF($C2928="","",W2928-K2928)</f>
        <v/>
      </c>
      <c r="AB2928" s="7" t="n"/>
      <c r="AE2928" s="11" t="n"/>
      <c r="AG2928">
        <f>IF($C2928="","",IF(COUNTIF($C$2:$C2928,$C2928)=1,1,0))</f>
        <v/>
      </c>
      <c r="AH2928">
        <f>IF($AG2928=1,SUMPRODUCT(--($AK$2:$AK$6001&lt;$AK2928))+1,"")</f>
        <v/>
      </c>
      <c r="AI2928">
        <f>IF($C2928="","",IF(OR($N2928=TRUE(),$N2928="TRUE"),1,0))</f>
        <v/>
      </c>
      <c r="AJ2928">
        <f>IF($C2928="","",IF($T2928="Yes",1,0))</f>
        <v/>
      </c>
      <c r="AK2928">
        <f>IF($AG2928=1,IFERROR(IF(VALUE($C2928)&lt;100000000,VALUE($C2928),1000000000),IFERROR(IF(VALUE(MID($C2928,2,20))&lt;100000000,VALUE(MID($C2928,2,20)),1000000000),1000000000))+ROW()/100000,"")</f>
        <v/>
      </c>
    </row>
    <row r="2929">
      <c r="D2929" s="11" t="n"/>
      <c r="K2929" s="7">
        <f>IF($C2929="","",J2929*W2929/100)</f>
        <v/>
      </c>
      <c r="Q2929" s="7" t="n"/>
      <c r="R2929" s="7" t="n"/>
      <c r="U2929">
        <f>IF($C2929="","",IF($AJ2929=1,0,IF($AI2929=1,Settings!$C$6,Settings!$C$7))*100)</f>
        <v/>
      </c>
      <c r="V2929" s="7">
        <f>IF($C2929="","",R2929*U2929/100)</f>
        <v/>
      </c>
      <c r="W2929" s="7">
        <f>IF($C2929="","",R2929-V2929)</f>
        <v/>
      </c>
      <c r="X2929" s="7">
        <f>IF($C2929="","",W2929-K2929)</f>
        <v/>
      </c>
      <c r="AB2929" s="7" t="n"/>
      <c r="AE2929" s="11" t="n"/>
      <c r="AG2929">
        <f>IF($C2929="","",IF(COUNTIF($C$2:$C2929,$C2929)=1,1,0))</f>
        <v/>
      </c>
      <c r="AH2929">
        <f>IF($AG2929=1,SUMPRODUCT(--($AK$2:$AK$6001&lt;$AK2929))+1,"")</f>
        <v/>
      </c>
      <c r="AI2929">
        <f>IF($C2929="","",IF(OR($N2929=TRUE(),$N2929="TRUE"),1,0))</f>
        <v/>
      </c>
      <c r="AJ2929">
        <f>IF($C2929="","",IF($T2929="Yes",1,0))</f>
        <v/>
      </c>
      <c r="AK2929">
        <f>IF($AG2929=1,IFERROR(IF(VALUE($C2929)&lt;100000000,VALUE($C2929),1000000000),IFERROR(IF(VALUE(MID($C2929,2,20))&lt;100000000,VALUE(MID($C2929,2,20)),1000000000),1000000000))+ROW()/100000,"")</f>
        <v/>
      </c>
    </row>
    <row r="2930">
      <c r="D2930" s="11" t="n"/>
      <c r="K2930" s="7">
        <f>IF($C2930="","",J2930*W2930/100)</f>
        <v/>
      </c>
      <c r="Q2930" s="7" t="n"/>
      <c r="R2930" s="7" t="n"/>
      <c r="U2930">
        <f>IF($C2930="","",IF($AJ2930=1,0,IF($AI2930=1,Settings!$C$6,Settings!$C$7))*100)</f>
        <v/>
      </c>
      <c r="V2930" s="7">
        <f>IF($C2930="","",R2930*U2930/100)</f>
        <v/>
      </c>
      <c r="W2930" s="7">
        <f>IF($C2930="","",R2930-V2930)</f>
        <v/>
      </c>
      <c r="X2930" s="7">
        <f>IF($C2930="","",W2930-K2930)</f>
        <v/>
      </c>
      <c r="AB2930" s="7" t="n"/>
      <c r="AE2930" s="11" t="n"/>
      <c r="AG2930">
        <f>IF($C2930="","",IF(COUNTIF($C$2:$C2930,$C2930)=1,1,0))</f>
        <v/>
      </c>
      <c r="AH2930">
        <f>IF($AG2930=1,SUMPRODUCT(--($AK$2:$AK$6001&lt;$AK2930))+1,"")</f>
        <v/>
      </c>
      <c r="AI2930">
        <f>IF($C2930="","",IF(OR($N2930=TRUE(),$N2930="TRUE"),1,0))</f>
        <v/>
      </c>
      <c r="AJ2930">
        <f>IF($C2930="","",IF($T2930="Yes",1,0))</f>
        <v/>
      </c>
      <c r="AK2930">
        <f>IF($AG2930=1,IFERROR(IF(VALUE($C2930)&lt;100000000,VALUE($C2930),1000000000),IFERROR(IF(VALUE(MID($C2930,2,20))&lt;100000000,VALUE(MID($C2930,2,20)),1000000000),1000000000))+ROW()/100000,"")</f>
        <v/>
      </c>
    </row>
    <row r="2931">
      <c r="D2931" s="11" t="n"/>
      <c r="K2931" s="7">
        <f>IF($C2931="","",J2931*W2931/100)</f>
        <v/>
      </c>
      <c r="Q2931" s="7" t="n"/>
      <c r="R2931" s="7" t="n"/>
      <c r="U2931">
        <f>IF($C2931="","",IF($AJ2931=1,0,IF($AI2931=1,Settings!$C$6,Settings!$C$7))*100)</f>
        <v/>
      </c>
      <c r="V2931" s="7">
        <f>IF($C2931="","",R2931*U2931/100)</f>
        <v/>
      </c>
      <c r="W2931" s="7">
        <f>IF($C2931="","",R2931-V2931)</f>
        <v/>
      </c>
      <c r="X2931" s="7">
        <f>IF($C2931="","",W2931-K2931)</f>
        <v/>
      </c>
      <c r="AB2931" s="7" t="n"/>
      <c r="AE2931" s="11" t="n"/>
      <c r="AG2931">
        <f>IF($C2931="","",IF(COUNTIF($C$2:$C2931,$C2931)=1,1,0))</f>
        <v/>
      </c>
      <c r="AH2931">
        <f>IF($AG2931=1,SUMPRODUCT(--($AK$2:$AK$6001&lt;$AK2931))+1,"")</f>
        <v/>
      </c>
      <c r="AI2931">
        <f>IF($C2931="","",IF(OR($N2931=TRUE(),$N2931="TRUE"),1,0))</f>
        <v/>
      </c>
      <c r="AJ2931">
        <f>IF($C2931="","",IF($T2931="Yes",1,0))</f>
        <v/>
      </c>
      <c r="AK2931">
        <f>IF($AG2931=1,IFERROR(IF(VALUE($C2931)&lt;100000000,VALUE($C2931),1000000000),IFERROR(IF(VALUE(MID($C2931,2,20))&lt;100000000,VALUE(MID($C2931,2,20)),1000000000),1000000000))+ROW()/100000,"")</f>
        <v/>
      </c>
    </row>
    <row r="2932">
      <c r="D2932" s="11" t="n"/>
      <c r="K2932" s="7">
        <f>IF($C2932="","",J2932*W2932/100)</f>
        <v/>
      </c>
      <c r="Q2932" s="7" t="n"/>
      <c r="R2932" s="7" t="n"/>
      <c r="U2932">
        <f>IF($C2932="","",IF($AJ2932=1,0,IF($AI2932=1,Settings!$C$6,Settings!$C$7))*100)</f>
        <v/>
      </c>
      <c r="V2932" s="7">
        <f>IF($C2932="","",R2932*U2932/100)</f>
        <v/>
      </c>
      <c r="W2932" s="7">
        <f>IF($C2932="","",R2932-V2932)</f>
        <v/>
      </c>
      <c r="X2932" s="7">
        <f>IF($C2932="","",W2932-K2932)</f>
        <v/>
      </c>
      <c r="AB2932" s="7" t="n"/>
      <c r="AE2932" s="11" t="n"/>
      <c r="AG2932">
        <f>IF($C2932="","",IF(COUNTIF($C$2:$C2932,$C2932)=1,1,0))</f>
        <v/>
      </c>
      <c r="AH2932">
        <f>IF($AG2932=1,SUMPRODUCT(--($AK$2:$AK$6001&lt;$AK2932))+1,"")</f>
        <v/>
      </c>
      <c r="AI2932">
        <f>IF($C2932="","",IF(OR($N2932=TRUE(),$N2932="TRUE"),1,0))</f>
        <v/>
      </c>
      <c r="AJ2932">
        <f>IF($C2932="","",IF($T2932="Yes",1,0))</f>
        <v/>
      </c>
      <c r="AK2932">
        <f>IF($AG2932=1,IFERROR(IF(VALUE($C2932)&lt;100000000,VALUE($C2932),1000000000),IFERROR(IF(VALUE(MID($C2932,2,20))&lt;100000000,VALUE(MID($C2932,2,20)),1000000000),1000000000))+ROW()/100000,"")</f>
        <v/>
      </c>
    </row>
    <row r="2933">
      <c r="D2933" s="11" t="n"/>
      <c r="K2933" s="7">
        <f>IF($C2933="","",J2933*W2933/100)</f>
        <v/>
      </c>
      <c r="Q2933" s="7" t="n"/>
      <c r="R2933" s="7" t="n"/>
      <c r="U2933">
        <f>IF($C2933="","",IF($AJ2933=1,0,IF($AI2933=1,Settings!$C$6,Settings!$C$7))*100)</f>
        <v/>
      </c>
      <c r="V2933" s="7">
        <f>IF($C2933="","",R2933*U2933/100)</f>
        <v/>
      </c>
      <c r="W2933" s="7">
        <f>IF($C2933="","",R2933-V2933)</f>
        <v/>
      </c>
      <c r="X2933" s="7">
        <f>IF($C2933="","",W2933-K2933)</f>
        <v/>
      </c>
      <c r="AB2933" s="7" t="n"/>
      <c r="AE2933" s="11" t="n"/>
      <c r="AG2933">
        <f>IF($C2933="","",IF(COUNTIF($C$2:$C2933,$C2933)=1,1,0))</f>
        <v/>
      </c>
      <c r="AH2933">
        <f>IF($AG2933=1,SUMPRODUCT(--($AK$2:$AK$6001&lt;$AK2933))+1,"")</f>
        <v/>
      </c>
      <c r="AI2933">
        <f>IF($C2933="","",IF(OR($N2933=TRUE(),$N2933="TRUE"),1,0))</f>
        <v/>
      </c>
      <c r="AJ2933">
        <f>IF($C2933="","",IF($T2933="Yes",1,0))</f>
        <v/>
      </c>
      <c r="AK2933">
        <f>IF($AG2933=1,IFERROR(IF(VALUE($C2933)&lt;100000000,VALUE($C2933),1000000000),IFERROR(IF(VALUE(MID($C2933,2,20))&lt;100000000,VALUE(MID($C2933,2,20)),1000000000),1000000000))+ROW()/100000,"")</f>
        <v/>
      </c>
    </row>
    <row r="2934">
      <c r="D2934" s="11" t="n"/>
      <c r="K2934" s="7">
        <f>IF($C2934="","",J2934*W2934/100)</f>
        <v/>
      </c>
      <c r="Q2934" s="7" t="n"/>
      <c r="R2934" s="7" t="n"/>
      <c r="U2934">
        <f>IF($C2934="","",IF($AJ2934=1,0,IF($AI2934=1,Settings!$C$6,Settings!$C$7))*100)</f>
        <v/>
      </c>
      <c r="V2934" s="7">
        <f>IF($C2934="","",R2934*U2934/100)</f>
        <v/>
      </c>
      <c r="W2934" s="7">
        <f>IF($C2934="","",R2934-V2934)</f>
        <v/>
      </c>
      <c r="X2934" s="7">
        <f>IF($C2934="","",W2934-K2934)</f>
        <v/>
      </c>
      <c r="AB2934" s="7" t="n"/>
      <c r="AE2934" s="11" t="n"/>
      <c r="AG2934">
        <f>IF($C2934="","",IF(COUNTIF($C$2:$C2934,$C2934)=1,1,0))</f>
        <v/>
      </c>
      <c r="AH2934">
        <f>IF($AG2934=1,SUMPRODUCT(--($AK$2:$AK$6001&lt;$AK2934))+1,"")</f>
        <v/>
      </c>
      <c r="AI2934">
        <f>IF($C2934="","",IF(OR($N2934=TRUE(),$N2934="TRUE"),1,0))</f>
        <v/>
      </c>
      <c r="AJ2934">
        <f>IF($C2934="","",IF($T2934="Yes",1,0))</f>
        <v/>
      </c>
      <c r="AK2934">
        <f>IF($AG2934=1,IFERROR(IF(VALUE($C2934)&lt;100000000,VALUE($C2934),1000000000),IFERROR(IF(VALUE(MID($C2934,2,20))&lt;100000000,VALUE(MID($C2934,2,20)),1000000000),1000000000))+ROW()/100000,"")</f>
        <v/>
      </c>
    </row>
    <row r="2935">
      <c r="D2935" s="11" t="n"/>
      <c r="K2935" s="7">
        <f>IF($C2935="","",J2935*W2935/100)</f>
        <v/>
      </c>
      <c r="Q2935" s="7" t="n"/>
      <c r="R2935" s="7" t="n"/>
      <c r="U2935">
        <f>IF($C2935="","",IF($AJ2935=1,0,IF($AI2935=1,Settings!$C$6,Settings!$C$7))*100)</f>
        <v/>
      </c>
      <c r="V2935" s="7">
        <f>IF($C2935="","",R2935*U2935/100)</f>
        <v/>
      </c>
      <c r="W2935" s="7">
        <f>IF($C2935="","",R2935-V2935)</f>
        <v/>
      </c>
      <c r="X2935" s="7">
        <f>IF($C2935="","",W2935-K2935)</f>
        <v/>
      </c>
      <c r="AB2935" s="7" t="n"/>
      <c r="AE2935" s="11" t="n"/>
      <c r="AG2935">
        <f>IF($C2935="","",IF(COUNTIF($C$2:$C2935,$C2935)=1,1,0))</f>
        <v/>
      </c>
      <c r="AH2935">
        <f>IF($AG2935=1,SUMPRODUCT(--($AK$2:$AK$6001&lt;$AK2935))+1,"")</f>
        <v/>
      </c>
      <c r="AI2935">
        <f>IF($C2935="","",IF(OR($N2935=TRUE(),$N2935="TRUE"),1,0))</f>
        <v/>
      </c>
      <c r="AJ2935">
        <f>IF($C2935="","",IF($T2935="Yes",1,0))</f>
        <v/>
      </c>
      <c r="AK2935">
        <f>IF($AG2935=1,IFERROR(IF(VALUE($C2935)&lt;100000000,VALUE($C2935),1000000000),IFERROR(IF(VALUE(MID($C2935,2,20))&lt;100000000,VALUE(MID($C2935,2,20)),1000000000),1000000000))+ROW()/100000,"")</f>
        <v/>
      </c>
    </row>
    <row r="2936">
      <c r="D2936" s="11" t="n"/>
      <c r="K2936" s="7">
        <f>IF($C2936="","",J2936*W2936/100)</f>
        <v/>
      </c>
      <c r="Q2936" s="7" t="n"/>
      <c r="R2936" s="7" t="n"/>
      <c r="U2936">
        <f>IF($C2936="","",IF($AJ2936=1,0,IF($AI2936=1,Settings!$C$6,Settings!$C$7))*100)</f>
        <v/>
      </c>
      <c r="V2936" s="7">
        <f>IF($C2936="","",R2936*U2936/100)</f>
        <v/>
      </c>
      <c r="W2936" s="7">
        <f>IF($C2936="","",R2936-V2936)</f>
        <v/>
      </c>
      <c r="X2936" s="7">
        <f>IF($C2936="","",W2936-K2936)</f>
        <v/>
      </c>
      <c r="AB2936" s="7" t="n"/>
      <c r="AE2936" s="11" t="n"/>
      <c r="AG2936">
        <f>IF($C2936="","",IF(COUNTIF($C$2:$C2936,$C2936)=1,1,0))</f>
        <v/>
      </c>
      <c r="AH2936">
        <f>IF($AG2936=1,SUMPRODUCT(--($AK$2:$AK$6001&lt;$AK2936))+1,"")</f>
        <v/>
      </c>
      <c r="AI2936">
        <f>IF($C2936="","",IF(OR($N2936=TRUE(),$N2936="TRUE"),1,0))</f>
        <v/>
      </c>
      <c r="AJ2936">
        <f>IF($C2936="","",IF($T2936="Yes",1,0))</f>
        <v/>
      </c>
      <c r="AK2936">
        <f>IF($AG2936=1,IFERROR(IF(VALUE($C2936)&lt;100000000,VALUE($C2936),1000000000),IFERROR(IF(VALUE(MID($C2936,2,20))&lt;100000000,VALUE(MID($C2936,2,20)),1000000000),1000000000))+ROW()/100000,"")</f>
        <v/>
      </c>
    </row>
    <row r="2937">
      <c r="D2937" s="11" t="n"/>
      <c r="K2937" s="7">
        <f>IF($C2937="","",J2937*W2937/100)</f>
        <v/>
      </c>
      <c r="Q2937" s="7" t="n"/>
      <c r="R2937" s="7" t="n"/>
      <c r="U2937">
        <f>IF($C2937="","",IF($AJ2937=1,0,IF($AI2937=1,Settings!$C$6,Settings!$C$7))*100)</f>
        <v/>
      </c>
      <c r="V2937" s="7">
        <f>IF($C2937="","",R2937*U2937/100)</f>
        <v/>
      </c>
      <c r="W2937" s="7">
        <f>IF($C2937="","",R2937-V2937)</f>
        <v/>
      </c>
      <c r="X2937" s="7">
        <f>IF($C2937="","",W2937-K2937)</f>
        <v/>
      </c>
      <c r="AB2937" s="7" t="n"/>
      <c r="AE2937" s="11" t="n"/>
      <c r="AG2937">
        <f>IF($C2937="","",IF(COUNTIF($C$2:$C2937,$C2937)=1,1,0))</f>
        <v/>
      </c>
      <c r="AH2937">
        <f>IF($AG2937=1,SUMPRODUCT(--($AK$2:$AK$6001&lt;$AK2937))+1,"")</f>
        <v/>
      </c>
      <c r="AI2937">
        <f>IF($C2937="","",IF(OR($N2937=TRUE(),$N2937="TRUE"),1,0))</f>
        <v/>
      </c>
      <c r="AJ2937">
        <f>IF($C2937="","",IF($T2937="Yes",1,0))</f>
        <v/>
      </c>
      <c r="AK2937">
        <f>IF($AG2937=1,IFERROR(IF(VALUE($C2937)&lt;100000000,VALUE($C2937),1000000000),IFERROR(IF(VALUE(MID($C2937,2,20))&lt;100000000,VALUE(MID($C2937,2,20)),1000000000),1000000000))+ROW()/100000,"")</f>
        <v/>
      </c>
    </row>
    <row r="2938">
      <c r="D2938" s="11" t="n"/>
      <c r="K2938" s="7">
        <f>IF($C2938="","",J2938*W2938/100)</f>
        <v/>
      </c>
      <c r="Q2938" s="7" t="n"/>
      <c r="R2938" s="7" t="n"/>
      <c r="U2938">
        <f>IF($C2938="","",IF($AJ2938=1,0,IF($AI2938=1,Settings!$C$6,Settings!$C$7))*100)</f>
        <v/>
      </c>
      <c r="V2938" s="7">
        <f>IF($C2938="","",R2938*U2938/100)</f>
        <v/>
      </c>
      <c r="W2938" s="7">
        <f>IF($C2938="","",R2938-V2938)</f>
        <v/>
      </c>
      <c r="X2938" s="7">
        <f>IF($C2938="","",W2938-K2938)</f>
        <v/>
      </c>
      <c r="AB2938" s="7" t="n"/>
      <c r="AE2938" s="11" t="n"/>
      <c r="AG2938">
        <f>IF($C2938="","",IF(COUNTIF($C$2:$C2938,$C2938)=1,1,0))</f>
        <v/>
      </c>
      <c r="AH2938">
        <f>IF($AG2938=1,SUMPRODUCT(--($AK$2:$AK$6001&lt;$AK2938))+1,"")</f>
        <v/>
      </c>
      <c r="AI2938">
        <f>IF($C2938="","",IF(OR($N2938=TRUE(),$N2938="TRUE"),1,0))</f>
        <v/>
      </c>
      <c r="AJ2938">
        <f>IF($C2938="","",IF($T2938="Yes",1,0))</f>
        <v/>
      </c>
      <c r="AK2938">
        <f>IF($AG2938=1,IFERROR(IF(VALUE($C2938)&lt;100000000,VALUE($C2938),1000000000),IFERROR(IF(VALUE(MID($C2938,2,20))&lt;100000000,VALUE(MID($C2938,2,20)),1000000000),1000000000))+ROW()/100000,"")</f>
        <v/>
      </c>
    </row>
    <row r="2939">
      <c r="D2939" s="11" t="n"/>
      <c r="K2939" s="7">
        <f>IF($C2939="","",J2939*W2939/100)</f>
        <v/>
      </c>
      <c r="Q2939" s="7" t="n"/>
      <c r="R2939" s="7" t="n"/>
      <c r="U2939">
        <f>IF($C2939="","",IF($AJ2939=1,0,IF($AI2939=1,Settings!$C$6,Settings!$C$7))*100)</f>
        <v/>
      </c>
      <c r="V2939" s="7">
        <f>IF($C2939="","",R2939*U2939/100)</f>
        <v/>
      </c>
      <c r="W2939" s="7">
        <f>IF($C2939="","",R2939-V2939)</f>
        <v/>
      </c>
      <c r="X2939" s="7">
        <f>IF($C2939="","",W2939-K2939)</f>
        <v/>
      </c>
      <c r="AB2939" s="7" t="n"/>
      <c r="AE2939" s="11" t="n"/>
      <c r="AG2939">
        <f>IF($C2939="","",IF(COUNTIF($C$2:$C2939,$C2939)=1,1,0))</f>
        <v/>
      </c>
      <c r="AH2939">
        <f>IF($AG2939=1,SUMPRODUCT(--($AK$2:$AK$6001&lt;$AK2939))+1,"")</f>
        <v/>
      </c>
      <c r="AI2939">
        <f>IF($C2939="","",IF(OR($N2939=TRUE(),$N2939="TRUE"),1,0))</f>
        <v/>
      </c>
      <c r="AJ2939">
        <f>IF($C2939="","",IF($T2939="Yes",1,0))</f>
        <v/>
      </c>
      <c r="AK2939">
        <f>IF($AG2939=1,IFERROR(IF(VALUE($C2939)&lt;100000000,VALUE($C2939),1000000000),IFERROR(IF(VALUE(MID($C2939,2,20))&lt;100000000,VALUE(MID($C2939,2,20)),1000000000),1000000000))+ROW()/100000,"")</f>
        <v/>
      </c>
    </row>
    <row r="2940">
      <c r="D2940" s="11" t="n"/>
      <c r="K2940" s="7">
        <f>IF($C2940="","",J2940*W2940/100)</f>
        <v/>
      </c>
      <c r="Q2940" s="7" t="n"/>
      <c r="R2940" s="7" t="n"/>
      <c r="U2940">
        <f>IF($C2940="","",IF($AJ2940=1,0,IF($AI2940=1,Settings!$C$6,Settings!$C$7))*100)</f>
        <v/>
      </c>
      <c r="V2940" s="7">
        <f>IF($C2940="","",R2940*U2940/100)</f>
        <v/>
      </c>
      <c r="W2940" s="7">
        <f>IF($C2940="","",R2940-V2940)</f>
        <v/>
      </c>
      <c r="X2940" s="7">
        <f>IF($C2940="","",W2940-K2940)</f>
        <v/>
      </c>
      <c r="AB2940" s="7" t="n"/>
      <c r="AE2940" s="11" t="n"/>
      <c r="AG2940">
        <f>IF($C2940="","",IF(COUNTIF($C$2:$C2940,$C2940)=1,1,0))</f>
        <v/>
      </c>
      <c r="AH2940">
        <f>IF($AG2940=1,SUMPRODUCT(--($AK$2:$AK$6001&lt;$AK2940))+1,"")</f>
        <v/>
      </c>
      <c r="AI2940">
        <f>IF($C2940="","",IF(OR($N2940=TRUE(),$N2940="TRUE"),1,0))</f>
        <v/>
      </c>
      <c r="AJ2940">
        <f>IF($C2940="","",IF($T2940="Yes",1,0))</f>
        <v/>
      </c>
      <c r="AK2940">
        <f>IF($AG2940=1,IFERROR(IF(VALUE($C2940)&lt;100000000,VALUE($C2940),1000000000),IFERROR(IF(VALUE(MID($C2940,2,20))&lt;100000000,VALUE(MID($C2940,2,20)),1000000000),1000000000))+ROW()/100000,"")</f>
        <v/>
      </c>
    </row>
    <row r="2941">
      <c r="D2941" s="11" t="n"/>
      <c r="K2941" s="7">
        <f>IF($C2941="","",J2941*W2941/100)</f>
        <v/>
      </c>
      <c r="Q2941" s="7" t="n"/>
      <c r="R2941" s="7" t="n"/>
      <c r="U2941">
        <f>IF($C2941="","",IF($AJ2941=1,0,IF($AI2941=1,Settings!$C$6,Settings!$C$7))*100)</f>
        <v/>
      </c>
      <c r="V2941" s="7">
        <f>IF($C2941="","",R2941*U2941/100)</f>
        <v/>
      </c>
      <c r="W2941" s="7">
        <f>IF($C2941="","",R2941-V2941)</f>
        <v/>
      </c>
      <c r="X2941" s="7">
        <f>IF($C2941="","",W2941-K2941)</f>
        <v/>
      </c>
      <c r="AB2941" s="7" t="n"/>
      <c r="AE2941" s="11" t="n"/>
      <c r="AG2941">
        <f>IF($C2941="","",IF(COUNTIF($C$2:$C2941,$C2941)=1,1,0))</f>
        <v/>
      </c>
      <c r="AH2941">
        <f>IF($AG2941=1,SUMPRODUCT(--($AK$2:$AK$6001&lt;$AK2941))+1,"")</f>
        <v/>
      </c>
      <c r="AI2941">
        <f>IF($C2941="","",IF(OR($N2941=TRUE(),$N2941="TRUE"),1,0))</f>
        <v/>
      </c>
      <c r="AJ2941">
        <f>IF($C2941="","",IF($T2941="Yes",1,0))</f>
        <v/>
      </c>
      <c r="AK2941">
        <f>IF($AG2941=1,IFERROR(IF(VALUE($C2941)&lt;100000000,VALUE($C2941),1000000000),IFERROR(IF(VALUE(MID($C2941,2,20))&lt;100000000,VALUE(MID($C2941,2,20)),1000000000),1000000000))+ROW()/100000,"")</f>
        <v/>
      </c>
    </row>
    <row r="2942">
      <c r="D2942" s="11" t="n"/>
      <c r="K2942" s="7">
        <f>IF($C2942="","",J2942*W2942/100)</f>
        <v/>
      </c>
      <c r="Q2942" s="7" t="n"/>
      <c r="R2942" s="7" t="n"/>
      <c r="U2942">
        <f>IF($C2942="","",IF($AJ2942=1,0,IF($AI2942=1,Settings!$C$6,Settings!$C$7))*100)</f>
        <v/>
      </c>
      <c r="V2942" s="7">
        <f>IF($C2942="","",R2942*U2942/100)</f>
        <v/>
      </c>
      <c r="W2942" s="7">
        <f>IF($C2942="","",R2942-V2942)</f>
        <v/>
      </c>
      <c r="X2942" s="7">
        <f>IF($C2942="","",W2942-K2942)</f>
        <v/>
      </c>
      <c r="AB2942" s="7" t="n"/>
      <c r="AE2942" s="11" t="n"/>
      <c r="AG2942">
        <f>IF($C2942="","",IF(COUNTIF($C$2:$C2942,$C2942)=1,1,0))</f>
        <v/>
      </c>
      <c r="AH2942">
        <f>IF($AG2942=1,SUMPRODUCT(--($AK$2:$AK$6001&lt;$AK2942))+1,"")</f>
        <v/>
      </c>
      <c r="AI2942">
        <f>IF($C2942="","",IF(OR($N2942=TRUE(),$N2942="TRUE"),1,0))</f>
        <v/>
      </c>
      <c r="AJ2942">
        <f>IF($C2942="","",IF($T2942="Yes",1,0))</f>
        <v/>
      </c>
      <c r="AK2942">
        <f>IF($AG2942=1,IFERROR(IF(VALUE($C2942)&lt;100000000,VALUE($C2942),1000000000),IFERROR(IF(VALUE(MID($C2942,2,20))&lt;100000000,VALUE(MID($C2942,2,20)),1000000000),1000000000))+ROW()/100000,"")</f>
        <v/>
      </c>
    </row>
    <row r="2943">
      <c r="D2943" s="11" t="n"/>
      <c r="K2943" s="7">
        <f>IF($C2943="","",J2943*W2943/100)</f>
        <v/>
      </c>
      <c r="Q2943" s="7" t="n"/>
      <c r="R2943" s="7" t="n"/>
      <c r="U2943">
        <f>IF($C2943="","",IF($AJ2943=1,0,IF($AI2943=1,Settings!$C$6,Settings!$C$7))*100)</f>
        <v/>
      </c>
      <c r="V2943" s="7">
        <f>IF($C2943="","",R2943*U2943/100)</f>
        <v/>
      </c>
      <c r="W2943" s="7">
        <f>IF($C2943="","",R2943-V2943)</f>
        <v/>
      </c>
      <c r="X2943" s="7">
        <f>IF($C2943="","",W2943-K2943)</f>
        <v/>
      </c>
      <c r="AB2943" s="7" t="n"/>
      <c r="AE2943" s="11" t="n"/>
      <c r="AG2943">
        <f>IF($C2943="","",IF(COUNTIF($C$2:$C2943,$C2943)=1,1,0))</f>
        <v/>
      </c>
      <c r="AH2943">
        <f>IF($AG2943=1,SUMPRODUCT(--($AK$2:$AK$6001&lt;$AK2943))+1,"")</f>
        <v/>
      </c>
      <c r="AI2943">
        <f>IF($C2943="","",IF(OR($N2943=TRUE(),$N2943="TRUE"),1,0))</f>
        <v/>
      </c>
      <c r="AJ2943">
        <f>IF($C2943="","",IF($T2943="Yes",1,0))</f>
        <v/>
      </c>
      <c r="AK2943">
        <f>IF($AG2943=1,IFERROR(IF(VALUE($C2943)&lt;100000000,VALUE($C2943),1000000000),IFERROR(IF(VALUE(MID($C2943,2,20))&lt;100000000,VALUE(MID($C2943,2,20)),1000000000),1000000000))+ROW()/100000,"")</f>
        <v/>
      </c>
    </row>
    <row r="2944">
      <c r="D2944" s="11" t="n"/>
      <c r="K2944" s="7">
        <f>IF($C2944="","",J2944*W2944/100)</f>
        <v/>
      </c>
      <c r="Q2944" s="7" t="n"/>
      <c r="R2944" s="7" t="n"/>
      <c r="U2944">
        <f>IF($C2944="","",IF($AJ2944=1,0,IF($AI2944=1,Settings!$C$6,Settings!$C$7))*100)</f>
        <v/>
      </c>
      <c r="V2944" s="7">
        <f>IF($C2944="","",R2944*U2944/100)</f>
        <v/>
      </c>
      <c r="W2944" s="7">
        <f>IF($C2944="","",R2944-V2944)</f>
        <v/>
      </c>
      <c r="X2944" s="7">
        <f>IF($C2944="","",W2944-K2944)</f>
        <v/>
      </c>
      <c r="AB2944" s="7" t="n"/>
      <c r="AE2944" s="11" t="n"/>
      <c r="AG2944">
        <f>IF($C2944="","",IF(COUNTIF($C$2:$C2944,$C2944)=1,1,0))</f>
        <v/>
      </c>
      <c r="AH2944">
        <f>IF($AG2944=1,SUMPRODUCT(--($AK$2:$AK$6001&lt;$AK2944))+1,"")</f>
        <v/>
      </c>
      <c r="AI2944">
        <f>IF($C2944="","",IF(OR($N2944=TRUE(),$N2944="TRUE"),1,0))</f>
        <v/>
      </c>
      <c r="AJ2944">
        <f>IF($C2944="","",IF($T2944="Yes",1,0))</f>
        <v/>
      </c>
      <c r="AK2944">
        <f>IF($AG2944=1,IFERROR(IF(VALUE($C2944)&lt;100000000,VALUE($C2944),1000000000),IFERROR(IF(VALUE(MID($C2944,2,20))&lt;100000000,VALUE(MID($C2944,2,20)),1000000000),1000000000))+ROW()/100000,"")</f>
        <v/>
      </c>
    </row>
    <row r="2945">
      <c r="D2945" s="11" t="n"/>
      <c r="K2945" s="7">
        <f>IF($C2945="","",J2945*W2945/100)</f>
        <v/>
      </c>
      <c r="Q2945" s="7" t="n"/>
      <c r="R2945" s="7" t="n"/>
      <c r="U2945">
        <f>IF($C2945="","",IF($AJ2945=1,0,IF($AI2945=1,Settings!$C$6,Settings!$C$7))*100)</f>
        <v/>
      </c>
      <c r="V2945" s="7">
        <f>IF($C2945="","",R2945*U2945/100)</f>
        <v/>
      </c>
      <c r="W2945" s="7">
        <f>IF($C2945="","",R2945-V2945)</f>
        <v/>
      </c>
      <c r="X2945" s="7">
        <f>IF($C2945="","",W2945-K2945)</f>
        <v/>
      </c>
      <c r="AB2945" s="7" t="n"/>
      <c r="AE2945" s="11" t="n"/>
      <c r="AG2945">
        <f>IF($C2945="","",IF(COUNTIF($C$2:$C2945,$C2945)=1,1,0))</f>
        <v/>
      </c>
      <c r="AH2945">
        <f>IF($AG2945=1,SUMPRODUCT(--($AK$2:$AK$6001&lt;$AK2945))+1,"")</f>
        <v/>
      </c>
      <c r="AI2945">
        <f>IF($C2945="","",IF(OR($N2945=TRUE(),$N2945="TRUE"),1,0))</f>
        <v/>
      </c>
      <c r="AJ2945">
        <f>IF($C2945="","",IF($T2945="Yes",1,0))</f>
        <v/>
      </c>
      <c r="AK2945">
        <f>IF($AG2945=1,IFERROR(IF(VALUE($C2945)&lt;100000000,VALUE($C2945),1000000000),IFERROR(IF(VALUE(MID($C2945,2,20))&lt;100000000,VALUE(MID($C2945,2,20)),1000000000),1000000000))+ROW()/100000,"")</f>
        <v/>
      </c>
    </row>
    <row r="2946">
      <c r="D2946" s="11" t="n"/>
      <c r="K2946" s="7">
        <f>IF($C2946="","",J2946*W2946/100)</f>
        <v/>
      </c>
      <c r="Q2946" s="7" t="n"/>
      <c r="R2946" s="7" t="n"/>
      <c r="U2946">
        <f>IF($C2946="","",IF($AJ2946=1,0,IF($AI2946=1,Settings!$C$6,Settings!$C$7))*100)</f>
        <v/>
      </c>
      <c r="V2946" s="7">
        <f>IF($C2946="","",R2946*U2946/100)</f>
        <v/>
      </c>
      <c r="W2946" s="7">
        <f>IF($C2946="","",R2946-V2946)</f>
        <v/>
      </c>
      <c r="X2946" s="7">
        <f>IF($C2946="","",W2946-K2946)</f>
        <v/>
      </c>
      <c r="AB2946" s="7" t="n"/>
      <c r="AE2946" s="11" t="n"/>
      <c r="AG2946">
        <f>IF($C2946="","",IF(COUNTIF($C$2:$C2946,$C2946)=1,1,0))</f>
        <v/>
      </c>
      <c r="AH2946">
        <f>IF($AG2946=1,SUMPRODUCT(--($AK$2:$AK$6001&lt;$AK2946))+1,"")</f>
        <v/>
      </c>
      <c r="AI2946">
        <f>IF($C2946="","",IF(OR($N2946=TRUE(),$N2946="TRUE"),1,0))</f>
        <v/>
      </c>
      <c r="AJ2946">
        <f>IF($C2946="","",IF($T2946="Yes",1,0))</f>
        <v/>
      </c>
      <c r="AK2946">
        <f>IF($AG2946=1,IFERROR(IF(VALUE($C2946)&lt;100000000,VALUE($C2946),1000000000),IFERROR(IF(VALUE(MID($C2946,2,20))&lt;100000000,VALUE(MID($C2946,2,20)),1000000000),1000000000))+ROW()/100000,"")</f>
        <v/>
      </c>
    </row>
    <row r="2947">
      <c r="D2947" s="11" t="n"/>
      <c r="K2947" s="7">
        <f>IF($C2947="","",J2947*W2947/100)</f>
        <v/>
      </c>
      <c r="Q2947" s="7" t="n"/>
      <c r="R2947" s="7" t="n"/>
      <c r="U2947">
        <f>IF($C2947="","",IF($AJ2947=1,0,IF($AI2947=1,Settings!$C$6,Settings!$C$7))*100)</f>
        <v/>
      </c>
      <c r="V2947" s="7">
        <f>IF($C2947="","",R2947*U2947/100)</f>
        <v/>
      </c>
      <c r="W2947" s="7">
        <f>IF($C2947="","",R2947-V2947)</f>
        <v/>
      </c>
      <c r="X2947" s="7">
        <f>IF($C2947="","",W2947-K2947)</f>
        <v/>
      </c>
      <c r="AB2947" s="7" t="n"/>
      <c r="AE2947" s="11" t="n"/>
      <c r="AG2947">
        <f>IF($C2947="","",IF(COUNTIF($C$2:$C2947,$C2947)=1,1,0))</f>
        <v/>
      </c>
      <c r="AH2947">
        <f>IF($AG2947=1,SUMPRODUCT(--($AK$2:$AK$6001&lt;$AK2947))+1,"")</f>
        <v/>
      </c>
      <c r="AI2947">
        <f>IF($C2947="","",IF(OR($N2947=TRUE(),$N2947="TRUE"),1,0))</f>
        <v/>
      </c>
      <c r="AJ2947">
        <f>IF($C2947="","",IF($T2947="Yes",1,0))</f>
        <v/>
      </c>
      <c r="AK2947">
        <f>IF($AG2947=1,IFERROR(IF(VALUE($C2947)&lt;100000000,VALUE($C2947),1000000000),IFERROR(IF(VALUE(MID($C2947,2,20))&lt;100000000,VALUE(MID($C2947,2,20)),1000000000),1000000000))+ROW()/100000,"")</f>
        <v/>
      </c>
    </row>
    <row r="2948">
      <c r="D2948" s="11" t="n"/>
      <c r="K2948" s="7">
        <f>IF($C2948="","",J2948*W2948/100)</f>
        <v/>
      </c>
      <c r="Q2948" s="7" t="n"/>
      <c r="R2948" s="7" t="n"/>
      <c r="U2948">
        <f>IF($C2948="","",IF($AJ2948=1,0,IF($AI2948=1,Settings!$C$6,Settings!$C$7))*100)</f>
        <v/>
      </c>
      <c r="V2948" s="7">
        <f>IF($C2948="","",R2948*U2948/100)</f>
        <v/>
      </c>
      <c r="W2948" s="7">
        <f>IF($C2948="","",R2948-V2948)</f>
        <v/>
      </c>
      <c r="X2948" s="7">
        <f>IF($C2948="","",W2948-K2948)</f>
        <v/>
      </c>
      <c r="AB2948" s="7" t="n"/>
      <c r="AE2948" s="11" t="n"/>
      <c r="AG2948">
        <f>IF($C2948="","",IF(COUNTIF($C$2:$C2948,$C2948)=1,1,0))</f>
        <v/>
      </c>
      <c r="AH2948">
        <f>IF($AG2948=1,SUMPRODUCT(--($AK$2:$AK$6001&lt;$AK2948))+1,"")</f>
        <v/>
      </c>
      <c r="AI2948">
        <f>IF($C2948="","",IF(OR($N2948=TRUE(),$N2948="TRUE"),1,0))</f>
        <v/>
      </c>
      <c r="AJ2948">
        <f>IF($C2948="","",IF($T2948="Yes",1,0))</f>
        <v/>
      </c>
      <c r="AK2948">
        <f>IF($AG2948=1,IFERROR(IF(VALUE($C2948)&lt;100000000,VALUE($C2948),1000000000),IFERROR(IF(VALUE(MID($C2948,2,20))&lt;100000000,VALUE(MID($C2948,2,20)),1000000000),1000000000))+ROW()/100000,"")</f>
        <v/>
      </c>
    </row>
    <row r="2949">
      <c r="D2949" s="11" t="n"/>
      <c r="K2949" s="7">
        <f>IF($C2949="","",J2949*W2949/100)</f>
        <v/>
      </c>
      <c r="Q2949" s="7" t="n"/>
      <c r="R2949" s="7" t="n"/>
      <c r="U2949">
        <f>IF($C2949="","",IF($AJ2949=1,0,IF($AI2949=1,Settings!$C$6,Settings!$C$7))*100)</f>
        <v/>
      </c>
      <c r="V2949" s="7">
        <f>IF($C2949="","",R2949*U2949/100)</f>
        <v/>
      </c>
      <c r="W2949" s="7">
        <f>IF($C2949="","",R2949-V2949)</f>
        <v/>
      </c>
      <c r="X2949" s="7">
        <f>IF($C2949="","",W2949-K2949)</f>
        <v/>
      </c>
      <c r="AB2949" s="7" t="n"/>
      <c r="AE2949" s="11" t="n"/>
      <c r="AG2949">
        <f>IF($C2949="","",IF(COUNTIF($C$2:$C2949,$C2949)=1,1,0))</f>
        <v/>
      </c>
      <c r="AH2949">
        <f>IF($AG2949=1,SUMPRODUCT(--($AK$2:$AK$6001&lt;$AK2949))+1,"")</f>
        <v/>
      </c>
      <c r="AI2949">
        <f>IF($C2949="","",IF(OR($N2949=TRUE(),$N2949="TRUE"),1,0))</f>
        <v/>
      </c>
      <c r="AJ2949">
        <f>IF($C2949="","",IF($T2949="Yes",1,0))</f>
        <v/>
      </c>
      <c r="AK2949">
        <f>IF($AG2949=1,IFERROR(IF(VALUE($C2949)&lt;100000000,VALUE($C2949),1000000000),IFERROR(IF(VALUE(MID($C2949,2,20))&lt;100000000,VALUE(MID($C2949,2,20)),1000000000),1000000000))+ROW()/100000,"")</f>
        <v/>
      </c>
    </row>
    <row r="2950">
      <c r="D2950" s="11" t="n"/>
      <c r="K2950" s="7">
        <f>IF($C2950="","",J2950*W2950/100)</f>
        <v/>
      </c>
      <c r="Q2950" s="7" t="n"/>
      <c r="R2950" s="7" t="n"/>
      <c r="U2950">
        <f>IF($C2950="","",IF($AJ2950=1,0,IF($AI2950=1,Settings!$C$6,Settings!$C$7))*100)</f>
        <v/>
      </c>
      <c r="V2950" s="7">
        <f>IF($C2950="","",R2950*U2950/100)</f>
        <v/>
      </c>
      <c r="W2950" s="7">
        <f>IF($C2950="","",R2950-V2950)</f>
        <v/>
      </c>
      <c r="X2950" s="7">
        <f>IF($C2950="","",W2950-K2950)</f>
        <v/>
      </c>
      <c r="AB2950" s="7" t="n"/>
      <c r="AE2950" s="11" t="n"/>
      <c r="AG2950">
        <f>IF($C2950="","",IF(COUNTIF($C$2:$C2950,$C2950)=1,1,0))</f>
        <v/>
      </c>
      <c r="AH2950">
        <f>IF($AG2950=1,SUMPRODUCT(--($AK$2:$AK$6001&lt;$AK2950))+1,"")</f>
        <v/>
      </c>
      <c r="AI2950">
        <f>IF($C2950="","",IF(OR($N2950=TRUE(),$N2950="TRUE"),1,0))</f>
        <v/>
      </c>
      <c r="AJ2950">
        <f>IF($C2950="","",IF($T2950="Yes",1,0))</f>
        <v/>
      </c>
      <c r="AK2950">
        <f>IF($AG2950=1,IFERROR(IF(VALUE($C2950)&lt;100000000,VALUE($C2950),1000000000),IFERROR(IF(VALUE(MID($C2950,2,20))&lt;100000000,VALUE(MID($C2950,2,20)),1000000000),1000000000))+ROW()/100000,"")</f>
        <v/>
      </c>
    </row>
    <row r="2951">
      <c r="D2951" s="11" t="n"/>
      <c r="K2951" s="7">
        <f>IF($C2951="","",J2951*W2951/100)</f>
        <v/>
      </c>
      <c r="Q2951" s="7" t="n"/>
      <c r="R2951" s="7" t="n"/>
      <c r="U2951">
        <f>IF($C2951="","",IF($AJ2951=1,0,IF($AI2951=1,Settings!$C$6,Settings!$C$7))*100)</f>
        <v/>
      </c>
      <c r="V2951" s="7">
        <f>IF($C2951="","",R2951*U2951/100)</f>
        <v/>
      </c>
      <c r="W2951" s="7">
        <f>IF($C2951="","",R2951-V2951)</f>
        <v/>
      </c>
      <c r="X2951" s="7">
        <f>IF($C2951="","",W2951-K2951)</f>
        <v/>
      </c>
      <c r="AB2951" s="7" t="n"/>
      <c r="AE2951" s="11" t="n"/>
      <c r="AG2951">
        <f>IF($C2951="","",IF(COUNTIF($C$2:$C2951,$C2951)=1,1,0))</f>
        <v/>
      </c>
      <c r="AH2951">
        <f>IF($AG2951=1,SUMPRODUCT(--($AK$2:$AK$6001&lt;$AK2951))+1,"")</f>
        <v/>
      </c>
      <c r="AI2951">
        <f>IF($C2951="","",IF(OR($N2951=TRUE(),$N2951="TRUE"),1,0))</f>
        <v/>
      </c>
      <c r="AJ2951">
        <f>IF($C2951="","",IF($T2951="Yes",1,0))</f>
        <v/>
      </c>
      <c r="AK2951">
        <f>IF($AG2951=1,IFERROR(IF(VALUE($C2951)&lt;100000000,VALUE($C2951),1000000000),IFERROR(IF(VALUE(MID($C2951,2,20))&lt;100000000,VALUE(MID($C2951,2,20)),1000000000),1000000000))+ROW()/100000,"")</f>
        <v/>
      </c>
    </row>
    <row r="2952">
      <c r="D2952" s="11" t="n"/>
      <c r="K2952" s="7">
        <f>IF($C2952="","",J2952*W2952/100)</f>
        <v/>
      </c>
      <c r="Q2952" s="7" t="n"/>
      <c r="R2952" s="7" t="n"/>
      <c r="U2952">
        <f>IF($C2952="","",IF($AJ2952=1,0,IF($AI2952=1,Settings!$C$6,Settings!$C$7))*100)</f>
        <v/>
      </c>
      <c r="V2952" s="7">
        <f>IF($C2952="","",R2952*U2952/100)</f>
        <v/>
      </c>
      <c r="W2952" s="7">
        <f>IF($C2952="","",R2952-V2952)</f>
        <v/>
      </c>
      <c r="X2952" s="7">
        <f>IF($C2952="","",W2952-K2952)</f>
        <v/>
      </c>
      <c r="AB2952" s="7" t="n"/>
      <c r="AE2952" s="11" t="n"/>
      <c r="AG2952">
        <f>IF($C2952="","",IF(COUNTIF($C$2:$C2952,$C2952)=1,1,0))</f>
        <v/>
      </c>
      <c r="AH2952">
        <f>IF($AG2952=1,SUMPRODUCT(--($AK$2:$AK$6001&lt;$AK2952))+1,"")</f>
        <v/>
      </c>
      <c r="AI2952">
        <f>IF($C2952="","",IF(OR($N2952=TRUE(),$N2952="TRUE"),1,0))</f>
        <v/>
      </c>
      <c r="AJ2952">
        <f>IF($C2952="","",IF($T2952="Yes",1,0))</f>
        <v/>
      </c>
      <c r="AK2952">
        <f>IF($AG2952=1,IFERROR(IF(VALUE($C2952)&lt;100000000,VALUE($C2952),1000000000),IFERROR(IF(VALUE(MID($C2952,2,20))&lt;100000000,VALUE(MID($C2952,2,20)),1000000000),1000000000))+ROW()/100000,"")</f>
        <v/>
      </c>
    </row>
    <row r="2953">
      <c r="D2953" s="11" t="n"/>
      <c r="K2953" s="7">
        <f>IF($C2953="","",J2953*W2953/100)</f>
        <v/>
      </c>
      <c r="Q2953" s="7" t="n"/>
      <c r="R2953" s="7" t="n"/>
      <c r="U2953">
        <f>IF($C2953="","",IF($AJ2953=1,0,IF($AI2953=1,Settings!$C$6,Settings!$C$7))*100)</f>
        <v/>
      </c>
      <c r="V2953" s="7">
        <f>IF($C2953="","",R2953*U2953/100)</f>
        <v/>
      </c>
      <c r="W2953" s="7">
        <f>IF($C2953="","",R2953-V2953)</f>
        <v/>
      </c>
      <c r="X2953" s="7">
        <f>IF($C2953="","",W2953-K2953)</f>
        <v/>
      </c>
      <c r="AB2953" s="7" t="n"/>
      <c r="AE2953" s="11" t="n"/>
      <c r="AG2953">
        <f>IF($C2953="","",IF(COUNTIF($C$2:$C2953,$C2953)=1,1,0))</f>
        <v/>
      </c>
      <c r="AH2953">
        <f>IF($AG2953=1,SUMPRODUCT(--($AK$2:$AK$6001&lt;$AK2953))+1,"")</f>
        <v/>
      </c>
      <c r="AI2953">
        <f>IF($C2953="","",IF(OR($N2953=TRUE(),$N2953="TRUE"),1,0))</f>
        <v/>
      </c>
      <c r="AJ2953">
        <f>IF($C2953="","",IF($T2953="Yes",1,0))</f>
        <v/>
      </c>
      <c r="AK2953">
        <f>IF($AG2953=1,IFERROR(IF(VALUE($C2953)&lt;100000000,VALUE($C2953),1000000000),IFERROR(IF(VALUE(MID($C2953,2,20))&lt;100000000,VALUE(MID($C2953,2,20)),1000000000),1000000000))+ROW()/100000,"")</f>
        <v/>
      </c>
    </row>
    <row r="2954">
      <c r="D2954" s="11" t="n"/>
      <c r="K2954" s="7">
        <f>IF($C2954="","",J2954*W2954/100)</f>
        <v/>
      </c>
      <c r="Q2954" s="7" t="n"/>
      <c r="R2954" s="7" t="n"/>
      <c r="U2954">
        <f>IF($C2954="","",IF($AJ2954=1,0,IF($AI2954=1,Settings!$C$6,Settings!$C$7))*100)</f>
        <v/>
      </c>
      <c r="V2954" s="7">
        <f>IF($C2954="","",R2954*U2954/100)</f>
        <v/>
      </c>
      <c r="W2954" s="7">
        <f>IF($C2954="","",R2954-V2954)</f>
        <v/>
      </c>
      <c r="X2954" s="7">
        <f>IF($C2954="","",W2954-K2954)</f>
        <v/>
      </c>
      <c r="AB2954" s="7" t="n"/>
      <c r="AE2954" s="11" t="n"/>
      <c r="AG2954">
        <f>IF($C2954="","",IF(COUNTIF($C$2:$C2954,$C2954)=1,1,0))</f>
        <v/>
      </c>
      <c r="AH2954">
        <f>IF($AG2954=1,SUMPRODUCT(--($AK$2:$AK$6001&lt;$AK2954))+1,"")</f>
        <v/>
      </c>
      <c r="AI2954">
        <f>IF($C2954="","",IF(OR($N2954=TRUE(),$N2954="TRUE"),1,0))</f>
        <v/>
      </c>
      <c r="AJ2954">
        <f>IF($C2954="","",IF($T2954="Yes",1,0))</f>
        <v/>
      </c>
      <c r="AK2954">
        <f>IF($AG2954=1,IFERROR(IF(VALUE($C2954)&lt;100000000,VALUE($C2954),1000000000),IFERROR(IF(VALUE(MID($C2954,2,20))&lt;100000000,VALUE(MID($C2954,2,20)),1000000000),1000000000))+ROW()/100000,"")</f>
        <v/>
      </c>
    </row>
    <row r="2955">
      <c r="D2955" s="11" t="n"/>
      <c r="K2955" s="7">
        <f>IF($C2955="","",J2955*W2955/100)</f>
        <v/>
      </c>
      <c r="Q2955" s="7" t="n"/>
      <c r="R2955" s="7" t="n"/>
      <c r="U2955">
        <f>IF($C2955="","",IF($AJ2955=1,0,IF($AI2955=1,Settings!$C$6,Settings!$C$7))*100)</f>
        <v/>
      </c>
      <c r="V2955" s="7">
        <f>IF($C2955="","",R2955*U2955/100)</f>
        <v/>
      </c>
      <c r="W2955" s="7">
        <f>IF($C2955="","",R2955-V2955)</f>
        <v/>
      </c>
      <c r="X2955" s="7">
        <f>IF($C2955="","",W2955-K2955)</f>
        <v/>
      </c>
      <c r="AB2955" s="7" t="n"/>
      <c r="AE2955" s="11" t="n"/>
      <c r="AG2955">
        <f>IF($C2955="","",IF(COUNTIF($C$2:$C2955,$C2955)=1,1,0))</f>
        <v/>
      </c>
      <c r="AH2955">
        <f>IF($AG2955=1,SUMPRODUCT(--($AK$2:$AK$6001&lt;$AK2955))+1,"")</f>
        <v/>
      </c>
      <c r="AI2955">
        <f>IF($C2955="","",IF(OR($N2955=TRUE(),$N2955="TRUE"),1,0))</f>
        <v/>
      </c>
      <c r="AJ2955">
        <f>IF($C2955="","",IF($T2955="Yes",1,0))</f>
        <v/>
      </c>
      <c r="AK2955">
        <f>IF($AG2955=1,IFERROR(IF(VALUE($C2955)&lt;100000000,VALUE($C2955),1000000000),IFERROR(IF(VALUE(MID($C2955,2,20))&lt;100000000,VALUE(MID($C2955,2,20)),1000000000),1000000000))+ROW()/100000,"")</f>
        <v/>
      </c>
    </row>
    <row r="2956">
      <c r="D2956" s="11" t="n"/>
      <c r="K2956" s="7">
        <f>IF($C2956="","",J2956*W2956/100)</f>
        <v/>
      </c>
      <c r="Q2956" s="7" t="n"/>
      <c r="R2956" s="7" t="n"/>
      <c r="U2956">
        <f>IF($C2956="","",IF($AJ2956=1,0,IF($AI2956=1,Settings!$C$6,Settings!$C$7))*100)</f>
        <v/>
      </c>
      <c r="V2956" s="7">
        <f>IF($C2956="","",R2956*U2956/100)</f>
        <v/>
      </c>
      <c r="W2956" s="7">
        <f>IF($C2956="","",R2956-V2956)</f>
        <v/>
      </c>
      <c r="X2956" s="7">
        <f>IF($C2956="","",W2956-K2956)</f>
        <v/>
      </c>
      <c r="AB2956" s="7" t="n"/>
      <c r="AE2956" s="11" t="n"/>
      <c r="AG2956">
        <f>IF($C2956="","",IF(COUNTIF($C$2:$C2956,$C2956)=1,1,0))</f>
        <v/>
      </c>
      <c r="AH2956">
        <f>IF($AG2956=1,SUMPRODUCT(--($AK$2:$AK$6001&lt;$AK2956))+1,"")</f>
        <v/>
      </c>
      <c r="AI2956">
        <f>IF($C2956="","",IF(OR($N2956=TRUE(),$N2956="TRUE"),1,0))</f>
        <v/>
      </c>
      <c r="AJ2956">
        <f>IF($C2956="","",IF($T2956="Yes",1,0))</f>
        <v/>
      </c>
      <c r="AK2956">
        <f>IF($AG2956=1,IFERROR(IF(VALUE($C2956)&lt;100000000,VALUE($C2956),1000000000),IFERROR(IF(VALUE(MID($C2956,2,20))&lt;100000000,VALUE(MID($C2956,2,20)),1000000000),1000000000))+ROW()/100000,"")</f>
        <v/>
      </c>
    </row>
    <row r="2957">
      <c r="D2957" s="11" t="n"/>
      <c r="K2957" s="7">
        <f>IF($C2957="","",J2957*W2957/100)</f>
        <v/>
      </c>
      <c r="Q2957" s="7" t="n"/>
      <c r="R2957" s="7" t="n"/>
      <c r="U2957">
        <f>IF($C2957="","",IF($AJ2957=1,0,IF($AI2957=1,Settings!$C$6,Settings!$C$7))*100)</f>
        <v/>
      </c>
      <c r="V2957" s="7">
        <f>IF($C2957="","",R2957*U2957/100)</f>
        <v/>
      </c>
      <c r="W2957" s="7">
        <f>IF($C2957="","",R2957-V2957)</f>
        <v/>
      </c>
      <c r="X2957" s="7">
        <f>IF($C2957="","",W2957-K2957)</f>
        <v/>
      </c>
      <c r="AB2957" s="7" t="n"/>
      <c r="AE2957" s="11" t="n"/>
      <c r="AG2957">
        <f>IF($C2957="","",IF(COUNTIF($C$2:$C2957,$C2957)=1,1,0))</f>
        <v/>
      </c>
      <c r="AH2957">
        <f>IF($AG2957=1,SUMPRODUCT(--($AK$2:$AK$6001&lt;$AK2957))+1,"")</f>
        <v/>
      </c>
      <c r="AI2957">
        <f>IF($C2957="","",IF(OR($N2957=TRUE(),$N2957="TRUE"),1,0))</f>
        <v/>
      </c>
      <c r="AJ2957">
        <f>IF($C2957="","",IF($T2957="Yes",1,0))</f>
        <v/>
      </c>
      <c r="AK2957">
        <f>IF($AG2957=1,IFERROR(IF(VALUE($C2957)&lt;100000000,VALUE($C2957),1000000000),IFERROR(IF(VALUE(MID($C2957,2,20))&lt;100000000,VALUE(MID($C2957,2,20)),1000000000),1000000000))+ROW()/100000,"")</f>
        <v/>
      </c>
    </row>
    <row r="2958">
      <c r="D2958" s="11" t="n"/>
      <c r="K2958" s="7">
        <f>IF($C2958="","",J2958*W2958/100)</f>
        <v/>
      </c>
      <c r="Q2958" s="7" t="n"/>
      <c r="R2958" s="7" t="n"/>
      <c r="U2958">
        <f>IF($C2958="","",IF($AJ2958=1,0,IF($AI2958=1,Settings!$C$6,Settings!$C$7))*100)</f>
        <v/>
      </c>
      <c r="V2958" s="7">
        <f>IF($C2958="","",R2958*U2958/100)</f>
        <v/>
      </c>
      <c r="W2958" s="7">
        <f>IF($C2958="","",R2958-V2958)</f>
        <v/>
      </c>
      <c r="X2958" s="7">
        <f>IF($C2958="","",W2958-K2958)</f>
        <v/>
      </c>
      <c r="AB2958" s="7" t="n"/>
      <c r="AE2958" s="11" t="n"/>
      <c r="AG2958">
        <f>IF($C2958="","",IF(COUNTIF($C$2:$C2958,$C2958)=1,1,0))</f>
        <v/>
      </c>
      <c r="AH2958">
        <f>IF($AG2958=1,SUMPRODUCT(--($AK$2:$AK$6001&lt;$AK2958))+1,"")</f>
        <v/>
      </c>
      <c r="AI2958">
        <f>IF($C2958="","",IF(OR($N2958=TRUE(),$N2958="TRUE"),1,0))</f>
        <v/>
      </c>
      <c r="AJ2958">
        <f>IF($C2958="","",IF($T2958="Yes",1,0))</f>
        <v/>
      </c>
      <c r="AK2958">
        <f>IF($AG2958=1,IFERROR(IF(VALUE($C2958)&lt;100000000,VALUE($C2958),1000000000),IFERROR(IF(VALUE(MID($C2958,2,20))&lt;100000000,VALUE(MID($C2958,2,20)),1000000000),1000000000))+ROW()/100000,"")</f>
        <v/>
      </c>
    </row>
    <row r="2959">
      <c r="D2959" s="11" t="n"/>
      <c r="K2959" s="7">
        <f>IF($C2959="","",J2959*W2959/100)</f>
        <v/>
      </c>
      <c r="Q2959" s="7" t="n"/>
      <c r="R2959" s="7" t="n"/>
      <c r="U2959">
        <f>IF($C2959="","",IF($AJ2959=1,0,IF($AI2959=1,Settings!$C$6,Settings!$C$7))*100)</f>
        <v/>
      </c>
      <c r="V2959" s="7">
        <f>IF($C2959="","",R2959*U2959/100)</f>
        <v/>
      </c>
      <c r="W2959" s="7">
        <f>IF($C2959="","",R2959-V2959)</f>
        <v/>
      </c>
      <c r="X2959" s="7">
        <f>IF($C2959="","",W2959-K2959)</f>
        <v/>
      </c>
      <c r="AB2959" s="7" t="n"/>
      <c r="AE2959" s="11" t="n"/>
      <c r="AG2959">
        <f>IF($C2959="","",IF(COUNTIF($C$2:$C2959,$C2959)=1,1,0))</f>
        <v/>
      </c>
      <c r="AH2959">
        <f>IF($AG2959=1,SUMPRODUCT(--($AK$2:$AK$6001&lt;$AK2959))+1,"")</f>
        <v/>
      </c>
      <c r="AI2959">
        <f>IF($C2959="","",IF(OR($N2959=TRUE(),$N2959="TRUE"),1,0))</f>
        <v/>
      </c>
      <c r="AJ2959">
        <f>IF($C2959="","",IF($T2959="Yes",1,0))</f>
        <v/>
      </c>
      <c r="AK2959">
        <f>IF($AG2959=1,IFERROR(IF(VALUE($C2959)&lt;100000000,VALUE($C2959),1000000000),IFERROR(IF(VALUE(MID($C2959,2,20))&lt;100000000,VALUE(MID($C2959,2,20)),1000000000),1000000000))+ROW()/100000,"")</f>
        <v/>
      </c>
    </row>
    <row r="2960">
      <c r="D2960" s="11" t="n"/>
      <c r="K2960" s="7">
        <f>IF($C2960="","",J2960*W2960/100)</f>
        <v/>
      </c>
      <c r="Q2960" s="7" t="n"/>
      <c r="R2960" s="7" t="n"/>
      <c r="U2960">
        <f>IF($C2960="","",IF($AJ2960=1,0,IF($AI2960=1,Settings!$C$6,Settings!$C$7))*100)</f>
        <v/>
      </c>
      <c r="V2960" s="7">
        <f>IF($C2960="","",R2960*U2960/100)</f>
        <v/>
      </c>
      <c r="W2960" s="7">
        <f>IF($C2960="","",R2960-V2960)</f>
        <v/>
      </c>
      <c r="X2960" s="7">
        <f>IF($C2960="","",W2960-K2960)</f>
        <v/>
      </c>
      <c r="AB2960" s="7" t="n"/>
      <c r="AE2960" s="11" t="n"/>
      <c r="AG2960">
        <f>IF($C2960="","",IF(COUNTIF($C$2:$C2960,$C2960)=1,1,0))</f>
        <v/>
      </c>
      <c r="AH2960">
        <f>IF($AG2960=1,SUMPRODUCT(--($AK$2:$AK$6001&lt;$AK2960))+1,"")</f>
        <v/>
      </c>
      <c r="AI2960">
        <f>IF($C2960="","",IF(OR($N2960=TRUE(),$N2960="TRUE"),1,0))</f>
        <v/>
      </c>
      <c r="AJ2960">
        <f>IF($C2960="","",IF($T2960="Yes",1,0))</f>
        <v/>
      </c>
      <c r="AK2960">
        <f>IF($AG2960=1,IFERROR(IF(VALUE($C2960)&lt;100000000,VALUE($C2960),1000000000),IFERROR(IF(VALUE(MID($C2960,2,20))&lt;100000000,VALUE(MID($C2960,2,20)),1000000000),1000000000))+ROW()/100000,"")</f>
        <v/>
      </c>
    </row>
    <row r="2961">
      <c r="D2961" s="11" t="n"/>
      <c r="K2961" s="7">
        <f>IF($C2961="","",J2961*W2961/100)</f>
        <v/>
      </c>
      <c r="Q2961" s="7" t="n"/>
      <c r="R2961" s="7" t="n"/>
      <c r="U2961">
        <f>IF($C2961="","",IF($AJ2961=1,0,IF($AI2961=1,Settings!$C$6,Settings!$C$7))*100)</f>
        <v/>
      </c>
      <c r="V2961" s="7">
        <f>IF($C2961="","",R2961*U2961/100)</f>
        <v/>
      </c>
      <c r="W2961" s="7">
        <f>IF($C2961="","",R2961-V2961)</f>
        <v/>
      </c>
      <c r="X2961" s="7">
        <f>IF($C2961="","",W2961-K2961)</f>
        <v/>
      </c>
      <c r="AB2961" s="7" t="n"/>
      <c r="AE2961" s="11" t="n"/>
      <c r="AG2961">
        <f>IF($C2961="","",IF(COUNTIF($C$2:$C2961,$C2961)=1,1,0))</f>
        <v/>
      </c>
      <c r="AH2961">
        <f>IF($AG2961=1,SUMPRODUCT(--($AK$2:$AK$6001&lt;$AK2961))+1,"")</f>
        <v/>
      </c>
      <c r="AI2961">
        <f>IF($C2961="","",IF(OR($N2961=TRUE(),$N2961="TRUE"),1,0))</f>
        <v/>
      </c>
      <c r="AJ2961">
        <f>IF($C2961="","",IF($T2961="Yes",1,0))</f>
        <v/>
      </c>
      <c r="AK2961">
        <f>IF($AG2961=1,IFERROR(IF(VALUE($C2961)&lt;100000000,VALUE($C2961),1000000000),IFERROR(IF(VALUE(MID($C2961,2,20))&lt;100000000,VALUE(MID($C2961,2,20)),1000000000),1000000000))+ROW()/100000,"")</f>
        <v/>
      </c>
    </row>
    <row r="2962">
      <c r="D2962" s="11" t="n"/>
      <c r="K2962" s="7">
        <f>IF($C2962="","",J2962*W2962/100)</f>
        <v/>
      </c>
      <c r="Q2962" s="7" t="n"/>
      <c r="R2962" s="7" t="n"/>
      <c r="U2962">
        <f>IF($C2962="","",IF($AJ2962=1,0,IF($AI2962=1,Settings!$C$6,Settings!$C$7))*100)</f>
        <v/>
      </c>
      <c r="V2962" s="7">
        <f>IF($C2962="","",R2962*U2962/100)</f>
        <v/>
      </c>
      <c r="W2962" s="7">
        <f>IF($C2962="","",R2962-V2962)</f>
        <v/>
      </c>
      <c r="X2962" s="7">
        <f>IF($C2962="","",W2962-K2962)</f>
        <v/>
      </c>
      <c r="AB2962" s="7" t="n"/>
      <c r="AE2962" s="11" t="n"/>
      <c r="AG2962">
        <f>IF($C2962="","",IF(COUNTIF($C$2:$C2962,$C2962)=1,1,0))</f>
        <v/>
      </c>
      <c r="AH2962">
        <f>IF($AG2962=1,SUMPRODUCT(--($AK$2:$AK$6001&lt;$AK2962))+1,"")</f>
        <v/>
      </c>
      <c r="AI2962">
        <f>IF($C2962="","",IF(OR($N2962=TRUE(),$N2962="TRUE"),1,0))</f>
        <v/>
      </c>
      <c r="AJ2962">
        <f>IF($C2962="","",IF($T2962="Yes",1,0))</f>
        <v/>
      </c>
      <c r="AK2962">
        <f>IF($AG2962=1,IFERROR(IF(VALUE($C2962)&lt;100000000,VALUE($C2962),1000000000),IFERROR(IF(VALUE(MID($C2962,2,20))&lt;100000000,VALUE(MID($C2962,2,20)),1000000000),1000000000))+ROW()/100000,"")</f>
        <v/>
      </c>
    </row>
    <row r="2963">
      <c r="D2963" s="11" t="n"/>
      <c r="K2963" s="7">
        <f>IF($C2963="","",J2963*W2963/100)</f>
        <v/>
      </c>
      <c r="Q2963" s="7" t="n"/>
      <c r="R2963" s="7" t="n"/>
      <c r="U2963">
        <f>IF($C2963="","",IF($AJ2963=1,0,IF($AI2963=1,Settings!$C$6,Settings!$C$7))*100)</f>
        <v/>
      </c>
      <c r="V2963" s="7">
        <f>IF($C2963="","",R2963*U2963/100)</f>
        <v/>
      </c>
      <c r="W2963" s="7">
        <f>IF($C2963="","",R2963-V2963)</f>
        <v/>
      </c>
      <c r="X2963" s="7">
        <f>IF($C2963="","",W2963-K2963)</f>
        <v/>
      </c>
      <c r="AB2963" s="7" t="n"/>
      <c r="AE2963" s="11" t="n"/>
      <c r="AG2963">
        <f>IF($C2963="","",IF(COUNTIF($C$2:$C2963,$C2963)=1,1,0))</f>
        <v/>
      </c>
      <c r="AH2963">
        <f>IF($AG2963=1,SUMPRODUCT(--($AK$2:$AK$6001&lt;$AK2963))+1,"")</f>
        <v/>
      </c>
      <c r="AI2963">
        <f>IF($C2963="","",IF(OR($N2963=TRUE(),$N2963="TRUE"),1,0))</f>
        <v/>
      </c>
      <c r="AJ2963">
        <f>IF($C2963="","",IF($T2963="Yes",1,0))</f>
        <v/>
      </c>
      <c r="AK2963">
        <f>IF($AG2963=1,IFERROR(IF(VALUE($C2963)&lt;100000000,VALUE($C2963),1000000000),IFERROR(IF(VALUE(MID($C2963,2,20))&lt;100000000,VALUE(MID($C2963,2,20)),1000000000),1000000000))+ROW()/100000,"")</f>
        <v/>
      </c>
    </row>
    <row r="2964">
      <c r="D2964" s="11" t="n"/>
      <c r="K2964" s="7">
        <f>IF($C2964="","",J2964*W2964/100)</f>
        <v/>
      </c>
      <c r="Q2964" s="7" t="n"/>
      <c r="R2964" s="7" t="n"/>
      <c r="U2964">
        <f>IF($C2964="","",IF($AJ2964=1,0,IF($AI2964=1,Settings!$C$6,Settings!$C$7))*100)</f>
        <v/>
      </c>
      <c r="V2964" s="7">
        <f>IF($C2964="","",R2964*U2964/100)</f>
        <v/>
      </c>
      <c r="W2964" s="7">
        <f>IF($C2964="","",R2964-V2964)</f>
        <v/>
      </c>
      <c r="X2964" s="7">
        <f>IF($C2964="","",W2964-K2964)</f>
        <v/>
      </c>
      <c r="AB2964" s="7" t="n"/>
      <c r="AE2964" s="11" t="n"/>
      <c r="AG2964">
        <f>IF($C2964="","",IF(COUNTIF($C$2:$C2964,$C2964)=1,1,0))</f>
        <v/>
      </c>
      <c r="AH2964">
        <f>IF($AG2964=1,SUMPRODUCT(--($AK$2:$AK$6001&lt;$AK2964))+1,"")</f>
        <v/>
      </c>
      <c r="AI2964">
        <f>IF($C2964="","",IF(OR($N2964=TRUE(),$N2964="TRUE"),1,0))</f>
        <v/>
      </c>
      <c r="AJ2964">
        <f>IF($C2964="","",IF($T2964="Yes",1,0))</f>
        <v/>
      </c>
      <c r="AK2964">
        <f>IF($AG2964=1,IFERROR(IF(VALUE($C2964)&lt;100000000,VALUE($C2964),1000000000),IFERROR(IF(VALUE(MID($C2964,2,20))&lt;100000000,VALUE(MID($C2964,2,20)),1000000000),1000000000))+ROW()/100000,"")</f>
        <v/>
      </c>
    </row>
    <row r="2965">
      <c r="D2965" s="11" t="n"/>
      <c r="K2965" s="7">
        <f>IF($C2965="","",J2965*W2965/100)</f>
        <v/>
      </c>
      <c r="Q2965" s="7" t="n"/>
      <c r="R2965" s="7" t="n"/>
      <c r="U2965">
        <f>IF($C2965="","",IF($AJ2965=1,0,IF($AI2965=1,Settings!$C$6,Settings!$C$7))*100)</f>
        <v/>
      </c>
      <c r="V2965" s="7">
        <f>IF($C2965="","",R2965*U2965/100)</f>
        <v/>
      </c>
      <c r="W2965" s="7">
        <f>IF($C2965="","",R2965-V2965)</f>
        <v/>
      </c>
      <c r="X2965" s="7">
        <f>IF($C2965="","",W2965-K2965)</f>
        <v/>
      </c>
      <c r="AB2965" s="7" t="n"/>
      <c r="AE2965" s="11" t="n"/>
      <c r="AG2965">
        <f>IF($C2965="","",IF(COUNTIF($C$2:$C2965,$C2965)=1,1,0))</f>
        <v/>
      </c>
      <c r="AH2965">
        <f>IF($AG2965=1,SUMPRODUCT(--($AK$2:$AK$6001&lt;$AK2965))+1,"")</f>
        <v/>
      </c>
      <c r="AI2965">
        <f>IF($C2965="","",IF(OR($N2965=TRUE(),$N2965="TRUE"),1,0))</f>
        <v/>
      </c>
      <c r="AJ2965">
        <f>IF($C2965="","",IF($T2965="Yes",1,0))</f>
        <v/>
      </c>
      <c r="AK2965">
        <f>IF($AG2965=1,IFERROR(IF(VALUE($C2965)&lt;100000000,VALUE($C2965),1000000000),IFERROR(IF(VALUE(MID($C2965,2,20))&lt;100000000,VALUE(MID($C2965,2,20)),1000000000),1000000000))+ROW()/100000,"")</f>
        <v/>
      </c>
    </row>
    <row r="2966">
      <c r="D2966" s="11" t="n"/>
      <c r="K2966" s="7">
        <f>IF($C2966="","",J2966*W2966/100)</f>
        <v/>
      </c>
      <c r="Q2966" s="7" t="n"/>
      <c r="R2966" s="7" t="n"/>
      <c r="U2966">
        <f>IF($C2966="","",IF($AJ2966=1,0,IF($AI2966=1,Settings!$C$6,Settings!$C$7))*100)</f>
        <v/>
      </c>
      <c r="V2966" s="7">
        <f>IF($C2966="","",R2966*U2966/100)</f>
        <v/>
      </c>
      <c r="W2966" s="7">
        <f>IF($C2966="","",R2966-V2966)</f>
        <v/>
      </c>
      <c r="X2966" s="7">
        <f>IF($C2966="","",W2966-K2966)</f>
        <v/>
      </c>
      <c r="AB2966" s="7" t="n"/>
      <c r="AE2966" s="11" t="n"/>
      <c r="AG2966">
        <f>IF($C2966="","",IF(COUNTIF($C$2:$C2966,$C2966)=1,1,0))</f>
        <v/>
      </c>
      <c r="AH2966">
        <f>IF($AG2966=1,SUMPRODUCT(--($AK$2:$AK$6001&lt;$AK2966))+1,"")</f>
        <v/>
      </c>
      <c r="AI2966">
        <f>IF($C2966="","",IF(OR($N2966=TRUE(),$N2966="TRUE"),1,0))</f>
        <v/>
      </c>
      <c r="AJ2966">
        <f>IF($C2966="","",IF($T2966="Yes",1,0))</f>
        <v/>
      </c>
      <c r="AK2966">
        <f>IF($AG2966=1,IFERROR(IF(VALUE($C2966)&lt;100000000,VALUE($C2966),1000000000),IFERROR(IF(VALUE(MID($C2966,2,20))&lt;100000000,VALUE(MID($C2966,2,20)),1000000000),1000000000))+ROW()/100000,"")</f>
        <v/>
      </c>
    </row>
    <row r="2967">
      <c r="D2967" s="11" t="n"/>
      <c r="K2967" s="7">
        <f>IF($C2967="","",J2967*W2967/100)</f>
        <v/>
      </c>
      <c r="Q2967" s="7" t="n"/>
      <c r="R2967" s="7" t="n"/>
      <c r="U2967">
        <f>IF($C2967="","",IF($AJ2967=1,0,IF($AI2967=1,Settings!$C$6,Settings!$C$7))*100)</f>
        <v/>
      </c>
      <c r="V2967" s="7">
        <f>IF($C2967="","",R2967*U2967/100)</f>
        <v/>
      </c>
      <c r="W2967" s="7">
        <f>IF($C2967="","",R2967-V2967)</f>
        <v/>
      </c>
      <c r="X2967" s="7">
        <f>IF($C2967="","",W2967-K2967)</f>
        <v/>
      </c>
      <c r="AB2967" s="7" t="n"/>
      <c r="AE2967" s="11" t="n"/>
      <c r="AG2967">
        <f>IF($C2967="","",IF(COUNTIF($C$2:$C2967,$C2967)=1,1,0))</f>
        <v/>
      </c>
      <c r="AH2967">
        <f>IF($AG2967=1,SUMPRODUCT(--($AK$2:$AK$6001&lt;$AK2967))+1,"")</f>
        <v/>
      </c>
      <c r="AI2967">
        <f>IF($C2967="","",IF(OR($N2967=TRUE(),$N2967="TRUE"),1,0))</f>
        <v/>
      </c>
      <c r="AJ2967">
        <f>IF($C2967="","",IF($T2967="Yes",1,0))</f>
        <v/>
      </c>
      <c r="AK2967">
        <f>IF($AG2967=1,IFERROR(IF(VALUE($C2967)&lt;100000000,VALUE($C2967),1000000000),IFERROR(IF(VALUE(MID($C2967,2,20))&lt;100000000,VALUE(MID($C2967,2,20)),1000000000),1000000000))+ROW()/100000,"")</f>
        <v/>
      </c>
    </row>
    <row r="2968">
      <c r="D2968" s="11" t="n"/>
      <c r="K2968" s="7">
        <f>IF($C2968="","",J2968*W2968/100)</f>
        <v/>
      </c>
      <c r="Q2968" s="7" t="n"/>
      <c r="R2968" s="7" t="n"/>
      <c r="U2968">
        <f>IF($C2968="","",IF($AJ2968=1,0,IF($AI2968=1,Settings!$C$6,Settings!$C$7))*100)</f>
        <v/>
      </c>
      <c r="V2968" s="7">
        <f>IF($C2968="","",R2968*U2968/100)</f>
        <v/>
      </c>
      <c r="W2968" s="7">
        <f>IF($C2968="","",R2968-V2968)</f>
        <v/>
      </c>
      <c r="X2968" s="7">
        <f>IF($C2968="","",W2968-K2968)</f>
        <v/>
      </c>
      <c r="AB2968" s="7" t="n"/>
      <c r="AE2968" s="11" t="n"/>
      <c r="AG2968">
        <f>IF($C2968="","",IF(COUNTIF($C$2:$C2968,$C2968)=1,1,0))</f>
        <v/>
      </c>
      <c r="AH2968">
        <f>IF($AG2968=1,SUMPRODUCT(--($AK$2:$AK$6001&lt;$AK2968))+1,"")</f>
        <v/>
      </c>
      <c r="AI2968">
        <f>IF($C2968="","",IF(OR($N2968=TRUE(),$N2968="TRUE"),1,0))</f>
        <v/>
      </c>
      <c r="AJ2968">
        <f>IF($C2968="","",IF($T2968="Yes",1,0))</f>
        <v/>
      </c>
      <c r="AK2968">
        <f>IF($AG2968=1,IFERROR(IF(VALUE($C2968)&lt;100000000,VALUE($C2968),1000000000),IFERROR(IF(VALUE(MID($C2968,2,20))&lt;100000000,VALUE(MID($C2968,2,20)),1000000000),1000000000))+ROW()/100000,"")</f>
        <v/>
      </c>
    </row>
    <row r="2969">
      <c r="D2969" s="11" t="n"/>
      <c r="K2969" s="7">
        <f>IF($C2969="","",J2969*W2969/100)</f>
        <v/>
      </c>
      <c r="Q2969" s="7" t="n"/>
      <c r="R2969" s="7" t="n"/>
      <c r="U2969">
        <f>IF($C2969="","",IF($AJ2969=1,0,IF($AI2969=1,Settings!$C$6,Settings!$C$7))*100)</f>
        <v/>
      </c>
      <c r="V2969" s="7">
        <f>IF($C2969="","",R2969*U2969/100)</f>
        <v/>
      </c>
      <c r="W2969" s="7">
        <f>IF($C2969="","",R2969-V2969)</f>
        <v/>
      </c>
      <c r="X2969" s="7">
        <f>IF($C2969="","",W2969-K2969)</f>
        <v/>
      </c>
      <c r="AB2969" s="7" t="n"/>
      <c r="AE2969" s="11" t="n"/>
      <c r="AG2969">
        <f>IF($C2969="","",IF(COUNTIF($C$2:$C2969,$C2969)=1,1,0))</f>
        <v/>
      </c>
      <c r="AH2969">
        <f>IF($AG2969=1,SUMPRODUCT(--($AK$2:$AK$6001&lt;$AK2969))+1,"")</f>
        <v/>
      </c>
      <c r="AI2969">
        <f>IF($C2969="","",IF(OR($N2969=TRUE(),$N2969="TRUE"),1,0))</f>
        <v/>
      </c>
      <c r="AJ2969">
        <f>IF($C2969="","",IF($T2969="Yes",1,0))</f>
        <v/>
      </c>
      <c r="AK2969">
        <f>IF($AG2969=1,IFERROR(IF(VALUE($C2969)&lt;100000000,VALUE($C2969),1000000000),IFERROR(IF(VALUE(MID($C2969,2,20))&lt;100000000,VALUE(MID($C2969,2,20)),1000000000),1000000000))+ROW()/100000,"")</f>
        <v/>
      </c>
    </row>
    <row r="2970">
      <c r="D2970" s="11" t="n"/>
      <c r="K2970" s="7">
        <f>IF($C2970="","",J2970*W2970/100)</f>
        <v/>
      </c>
      <c r="Q2970" s="7" t="n"/>
      <c r="R2970" s="7" t="n"/>
      <c r="U2970">
        <f>IF($C2970="","",IF($AJ2970=1,0,IF($AI2970=1,Settings!$C$6,Settings!$C$7))*100)</f>
        <v/>
      </c>
      <c r="V2970" s="7">
        <f>IF($C2970="","",R2970*U2970/100)</f>
        <v/>
      </c>
      <c r="W2970" s="7">
        <f>IF($C2970="","",R2970-V2970)</f>
        <v/>
      </c>
      <c r="X2970" s="7">
        <f>IF($C2970="","",W2970-K2970)</f>
        <v/>
      </c>
      <c r="AB2970" s="7" t="n"/>
      <c r="AE2970" s="11" t="n"/>
      <c r="AG2970">
        <f>IF($C2970="","",IF(COUNTIF($C$2:$C2970,$C2970)=1,1,0))</f>
        <v/>
      </c>
      <c r="AH2970">
        <f>IF($AG2970=1,SUMPRODUCT(--($AK$2:$AK$6001&lt;$AK2970))+1,"")</f>
        <v/>
      </c>
      <c r="AI2970">
        <f>IF($C2970="","",IF(OR($N2970=TRUE(),$N2970="TRUE"),1,0))</f>
        <v/>
      </c>
      <c r="AJ2970">
        <f>IF($C2970="","",IF($T2970="Yes",1,0))</f>
        <v/>
      </c>
      <c r="AK2970">
        <f>IF($AG2970=1,IFERROR(IF(VALUE($C2970)&lt;100000000,VALUE($C2970),1000000000),IFERROR(IF(VALUE(MID($C2970,2,20))&lt;100000000,VALUE(MID($C2970,2,20)),1000000000),1000000000))+ROW()/100000,"")</f>
        <v/>
      </c>
    </row>
    <row r="2971">
      <c r="D2971" s="11" t="n"/>
      <c r="K2971" s="7">
        <f>IF($C2971="","",J2971*W2971/100)</f>
        <v/>
      </c>
      <c r="Q2971" s="7" t="n"/>
      <c r="R2971" s="7" t="n"/>
      <c r="U2971">
        <f>IF($C2971="","",IF($AJ2971=1,0,IF($AI2971=1,Settings!$C$6,Settings!$C$7))*100)</f>
        <v/>
      </c>
      <c r="V2971" s="7">
        <f>IF($C2971="","",R2971*U2971/100)</f>
        <v/>
      </c>
      <c r="W2971" s="7">
        <f>IF($C2971="","",R2971-V2971)</f>
        <v/>
      </c>
      <c r="X2971" s="7">
        <f>IF($C2971="","",W2971-K2971)</f>
        <v/>
      </c>
      <c r="AB2971" s="7" t="n"/>
      <c r="AE2971" s="11" t="n"/>
      <c r="AG2971">
        <f>IF($C2971="","",IF(COUNTIF($C$2:$C2971,$C2971)=1,1,0))</f>
        <v/>
      </c>
      <c r="AH2971">
        <f>IF($AG2971=1,SUMPRODUCT(--($AK$2:$AK$6001&lt;$AK2971))+1,"")</f>
        <v/>
      </c>
      <c r="AI2971">
        <f>IF($C2971="","",IF(OR($N2971=TRUE(),$N2971="TRUE"),1,0))</f>
        <v/>
      </c>
      <c r="AJ2971">
        <f>IF($C2971="","",IF($T2971="Yes",1,0))</f>
        <v/>
      </c>
      <c r="AK2971">
        <f>IF($AG2971=1,IFERROR(IF(VALUE($C2971)&lt;100000000,VALUE($C2971),1000000000),IFERROR(IF(VALUE(MID($C2971,2,20))&lt;100000000,VALUE(MID($C2971,2,20)),1000000000),1000000000))+ROW()/100000,"")</f>
        <v/>
      </c>
    </row>
    <row r="2972">
      <c r="D2972" s="11" t="n"/>
      <c r="K2972" s="7">
        <f>IF($C2972="","",J2972*W2972/100)</f>
        <v/>
      </c>
      <c r="Q2972" s="7" t="n"/>
      <c r="R2972" s="7" t="n"/>
      <c r="U2972">
        <f>IF($C2972="","",IF($AJ2972=1,0,IF($AI2972=1,Settings!$C$6,Settings!$C$7))*100)</f>
        <v/>
      </c>
      <c r="V2972" s="7">
        <f>IF($C2972="","",R2972*U2972/100)</f>
        <v/>
      </c>
      <c r="W2972" s="7">
        <f>IF($C2972="","",R2972-V2972)</f>
        <v/>
      </c>
      <c r="X2972" s="7">
        <f>IF($C2972="","",W2972-K2972)</f>
        <v/>
      </c>
      <c r="AB2972" s="7" t="n"/>
      <c r="AE2972" s="11" t="n"/>
      <c r="AG2972">
        <f>IF($C2972="","",IF(COUNTIF($C$2:$C2972,$C2972)=1,1,0))</f>
        <v/>
      </c>
      <c r="AH2972">
        <f>IF($AG2972=1,SUMPRODUCT(--($AK$2:$AK$6001&lt;$AK2972))+1,"")</f>
        <v/>
      </c>
      <c r="AI2972">
        <f>IF($C2972="","",IF(OR($N2972=TRUE(),$N2972="TRUE"),1,0))</f>
        <v/>
      </c>
      <c r="AJ2972">
        <f>IF($C2972="","",IF($T2972="Yes",1,0))</f>
        <v/>
      </c>
      <c r="AK2972">
        <f>IF($AG2972=1,IFERROR(IF(VALUE($C2972)&lt;100000000,VALUE($C2972),1000000000),IFERROR(IF(VALUE(MID($C2972,2,20))&lt;100000000,VALUE(MID($C2972,2,20)),1000000000),1000000000))+ROW()/100000,"")</f>
        <v/>
      </c>
    </row>
    <row r="2973">
      <c r="D2973" s="11" t="n"/>
      <c r="K2973" s="7">
        <f>IF($C2973="","",J2973*W2973/100)</f>
        <v/>
      </c>
      <c r="Q2973" s="7" t="n"/>
      <c r="R2973" s="7" t="n"/>
      <c r="U2973">
        <f>IF($C2973="","",IF($AJ2973=1,0,IF($AI2973=1,Settings!$C$6,Settings!$C$7))*100)</f>
        <v/>
      </c>
      <c r="V2973" s="7">
        <f>IF($C2973="","",R2973*U2973/100)</f>
        <v/>
      </c>
      <c r="W2973" s="7">
        <f>IF($C2973="","",R2973-V2973)</f>
        <v/>
      </c>
      <c r="X2973" s="7">
        <f>IF($C2973="","",W2973-K2973)</f>
        <v/>
      </c>
      <c r="AB2973" s="7" t="n"/>
      <c r="AE2973" s="11" t="n"/>
      <c r="AG2973">
        <f>IF($C2973="","",IF(COUNTIF($C$2:$C2973,$C2973)=1,1,0))</f>
        <v/>
      </c>
      <c r="AH2973">
        <f>IF($AG2973=1,SUMPRODUCT(--($AK$2:$AK$6001&lt;$AK2973))+1,"")</f>
        <v/>
      </c>
      <c r="AI2973">
        <f>IF($C2973="","",IF(OR($N2973=TRUE(),$N2973="TRUE"),1,0))</f>
        <v/>
      </c>
      <c r="AJ2973">
        <f>IF($C2973="","",IF($T2973="Yes",1,0))</f>
        <v/>
      </c>
      <c r="AK2973">
        <f>IF($AG2973=1,IFERROR(IF(VALUE($C2973)&lt;100000000,VALUE($C2973),1000000000),IFERROR(IF(VALUE(MID($C2973,2,20))&lt;100000000,VALUE(MID($C2973,2,20)),1000000000),1000000000))+ROW()/100000,"")</f>
        <v/>
      </c>
    </row>
    <row r="2974">
      <c r="D2974" s="11" t="n"/>
      <c r="K2974" s="7">
        <f>IF($C2974="","",J2974*W2974/100)</f>
        <v/>
      </c>
      <c r="Q2974" s="7" t="n"/>
      <c r="R2974" s="7" t="n"/>
      <c r="U2974">
        <f>IF($C2974="","",IF($AJ2974=1,0,IF($AI2974=1,Settings!$C$6,Settings!$C$7))*100)</f>
        <v/>
      </c>
      <c r="V2974" s="7">
        <f>IF($C2974="","",R2974*U2974/100)</f>
        <v/>
      </c>
      <c r="W2974" s="7">
        <f>IF($C2974="","",R2974-V2974)</f>
        <v/>
      </c>
      <c r="X2974" s="7">
        <f>IF($C2974="","",W2974-K2974)</f>
        <v/>
      </c>
      <c r="AB2974" s="7" t="n"/>
      <c r="AE2974" s="11" t="n"/>
      <c r="AG2974">
        <f>IF($C2974="","",IF(COUNTIF($C$2:$C2974,$C2974)=1,1,0))</f>
        <v/>
      </c>
      <c r="AH2974">
        <f>IF($AG2974=1,SUMPRODUCT(--($AK$2:$AK$6001&lt;$AK2974))+1,"")</f>
        <v/>
      </c>
      <c r="AI2974">
        <f>IF($C2974="","",IF(OR($N2974=TRUE(),$N2974="TRUE"),1,0))</f>
        <v/>
      </c>
      <c r="AJ2974">
        <f>IF($C2974="","",IF($T2974="Yes",1,0))</f>
        <v/>
      </c>
      <c r="AK2974">
        <f>IF($AG2974=1,IFERROR(IF(VALUE($C2974)&lt;100000000,VALUE($C2974),1000000000),IFERROR(IF(VALUE(MID($C2974,2,20))&lt;100000000,VALUE(MID($C2974,2,20)),1000000000),1000000000))+ROW()/100000,"")</f>
        <v/>
      </c>
    </row>
    <row r="2975">
      <c r="D2975" s="11" t="n"/>
      <c r="K2975" s="7">
        <f>IF($C2975="","",J2975*W2975/100)</f>
        <v/>
      </c>
      <c r="Q2975" s="7" t="n"/>
      <c r="R2975" s="7" t="n"/>
      <c r="U2975">
        <f>IF($C2975="","",IF($AJ2975=1,0,IF($AI2975=1,Settings!$C$6,Settings!$C$7))*100)</f>
        <v/>
      </c>
      <c r="V2975" s="7">
        <f>IF($C2975="","",R2975*U2975/100)</f>
        <v/>
      </c>
      <c r="W2975" s="7">
        <f>IF($C2975="","",R2975-V2975)</f>
        <v/>
      </c>
      <c r="X2975" s="7">
        <f>IF($C2975="","",W2975-K2975)</f>
        <v/>
      </c>
      <c r="AB2975" s="7" t="n"/>
      <c r="AE2975" s="11" t="n"/>
      <c r="AG2975">
        <f>IF($C2975="","",IF(COUNTIF($C$2:$C2975,$C2975)=1,1,0))</f>
        <v/>
      </c>
      <c r="AH2975">
        <f>IF($AG2975=1,SUMPRODUCT(--($AK$2:$AK$6001&lt;$AK2975))+1,"")</f>
        <v/>
      </c>
      <c r="AI2975">
        <f>IF($C2975="","",IF(OR($N2975=TRUE(),$N2975="TRUE"),1,0))</f>
        <v/>
      </c>
      <c r="AJ2975">
        <f>IF($C2975="","",IF($T2975="Yes",1,0))</f>
        <v/>
      </c>
      <c r="AK2975">
        <f>IF($AG2975=1,IFERROR(IF(VALUE($C2975)&lt;100000000,VALUE($C2975),1000000000),IFERROR(IF(VALUE(MID($C2975,2,20))&lt;100000000,VALUE(MID($C2975,2,20)),1000000000),1000000000))+ROW()/100000,"")</f>
        <v/>
      </c>
    </row>
    <row r="2976">
      <c r="D2976" s="11" t="n"/>
      <c r="K2976" s="7">
        <f>IF($C2976="","",J2976*W2976/100)</f>
        <v/>
      </c>
      <c r="Q2976" s="7" t="n"/>
      <c r="R2976" s="7" t="n"/>
      <c r="U2976">
        <f>IF($C2976="","",IF($AJ2976=1,0,IF($AI2976=1,Settings!$C$6,Settings!$C$7))*100)</f>
        <v/>
      </c>
      <c r="V2976" s="7">
        <f>IF($C2976="","",R2976*U2976/100)</f>
        <v/>
      </c>
      <c r="W2976" s="7">
        <f>IF($C2976="","",R2976-V2976)</f>
        <v/>
      </c>
      <c r="X2976" s="7">
        <f>IF($C2976="","",W2976-K2976)</f>
        <v/>
      </c>
      <c r="AB2976" s="7" t="n"/>
      <c r="AE2976" s="11" t="n"/>
      <c r="AG2976">
        <f>IF($C2976="","",IF(COUNTIF($C$2:$C2976,$C2976)=1,1,0))</f>
        <v/>
      </c>
      <c r="AH2976">
        <f>IF($AG2976=1,SUMPRODUCT(--($AK$2:$AK$6001&lt;$AK2976))+1,"")</f>
        <v/>
      </c>
      <c r="AI2976">
        <f>IF($C2976="","",IF(OR($N2976=TRUE(),$N2976="TRUE"),1,0))</f>
        <v/>
      </c>
      <c r="AJ2976">
        <f>IF($C2976="","",IF($T2976="Yes",1,0))</f>
        <v/>
      </c>
      <c r="AK2976">
        <f>IF($AG2976=1,IFERROR(IF(VALUE($C2976)&lt;100000000,VALUE($C2976),1000000000),IFERROR(IF(VALUE(MID($C2976,2,20))&lt;100000000,VALUE(MID($C2976,2,20)),1000000000),1000000000))+ROW()/100000,"")</f>
        <v/>
      </c>
    </row>
    <row r="2977">
      <c r="D2977" s="11" t="n"/>
      <c r="K2977" s="7">
        <f>IF($C2977="","",J2977*W2977/100)</f>
        <v/>
      </c>
      <c r="Q2977" s="7" t="n"/>
      <c r="R2977" s="7" t="n"/>
      <c r="U2977">
        <f>IF($C2977="","",IF($AJ2977=1,0,IF($AI2977=1,Settings!$C$6,Settings!$C$7))*100)</f>
        <v/>
      </c>
      <c r="V2977" s="7">
        <f>IF($C2977="","",R2977*U2977/100)</f>
        <v/>
      </c>
      <c r="W2977" s="7">
        <f>IF($C2977="","",R2977-V2977)</f>
        <v/>
      </c>
      <c r="X2977" s="7">
        <f>IF($C2977="","",W2977-K2977)</f>
        <v/>
      </c>
      <c r="AB2977" s="7" t="n"/>
      <c r="AE2977" s="11" t="n"/>
      <c r="AG2977">
        <f>IF($C2977="","",IF(COUNTIF($C$2:$C2977,$C2977)=1,1,0))</f>
        <v/>
      </c>
      <c r="AH2977">
        <f>IF($AG2977=1,SUMPRODUCT(--($AK$2:$AK$6001&lt;$AK2977))+1,"")</f>
        <v/>
      </c>
      <c r="AI2977">
        <f>IF($C2977="","",IF(OR($N2977=TRUE(),$N2977="TRUE"),1,0))</f>
        <v/>
      </c>
      <c r="AJ2977">
        <f>IF($C2977="","",IF($T2977="Yes",1,0))</f>
        <v/>
      </c>
      <c r="AK2977">
        <f>IF($AG2977=1,IFERROR(IF(VALUE($C2977)&lt;100000000,VALUE($C2977),1000000000),IFERROR(IF(VALUE(MID($C2977,2,20))&lt;100000000,VALUE(MID($C2977,2,20)),1000000000),1000000000))+ROW()/100000,"")</f>
        <v/>
      </c>
    </row>
    <row r="2978">
      <c r="D2978" s="11" t="n"/>
      <c r="K2978" s="7">
        <f>IF($C2978="","",J2978*W2978/100)</f>
        <v/>
      </c>
      <c r="Q2978" s="7" t="n"/>
      <c r="R2978" s="7" t="n"/>
      <c r="U2978">
        <f>IF($C2978="","",IF($AJ2978=1,0,IF($AI2978=1,Settings!$C$6,Settings!$C$7))*100)</f>
        <v/>
      </c>
      <c r="V2978" s="7">
        <f>IF($C2978="","",R2978*U2978/100)</f>
        <v/>
      </c>
      <c r="W2978" s="7">
        <f>IF($C2978="","",R2978-V2978)</f>
        <v/>
      </c>
      <c r="X2978" s="7">
        <f>IF($C2978="","",W2978-K2978)</f>
        <v/>
      </c>
      <c r="AB2978" s="7" t="n"/>
      <c r="AE2978" s="11" t="n"/>
      <c r="AG2978">
        <f>IF($C2978="","",IF(COUNTIF($C$2:$C2978,$C2978)=1,1,0))</f>
        <v/>
      </c>
      <c r="AH2978">
        <f>IF($AG2978=1,SUMPRODUCT(--($AK$2:$AK$6001&lt;$AK2978))+1,"")</f>
        <v/>
      </c>
      <c r="AI2978">
        <f>IF($C2978="","",IF(OR($N2978=TRUE(),$N2978="TRUE"),1,0))</f>
        <v/>
      </c>
      <c r="AJ2978">
        <f>IF($C2978="","",IF($T2978="Yes",1,0))</f>
        <v/>
      </c>
      <c r="AK2978">
        <f>IF($AG2978=1,IFERROR(IF(VALUE($C2978)&lt;100000000,VALUE($C2978),1000000000),IFERROR(IF(VALUE(MID($C2978,2,20))&lt;100000000,VALUE(MID($C2978,2,20)),1000000000),1000000000))+ROW()/100000,"")</f>
        <v/>
      </c>
    </row>
    <row r="2979">
      <c r="D2979" s="11" t="n"/>
      <c r="K2979" s="7">
        <f>IF($C2979="","",J2979*W2979/100)</f>
        <v/>
      </c>
      <c r="Q2979" s="7" t="n"/>
      <c r="R2979" s="7" t="n"/>
      <c r="U2979">
        <f>IF($C2979="","",IF($AJ2979=1,0,IF($AI2979=1,Settings!$C$6,Settings!$C$7))*100)</f>
        <v/>
      </c>
      <c r="V2979" s="7">
        <f>IF($C2979="","",R2979*U2979/100)</f>
        <v/>
      </c>
      <c r="W2979" s="7">
        <f>IF($C2979="","",R2979-V2979)</f>
        <v/>
      </c>
      <c r="X2979" s="7">
        <f>IF($C2979="","",W2979-K2979)</f>
        <v/>
      </c>
      <c r="AB2979" s="7" t="n"/>
      <c r="AE2979" s="11" t="n"/>
      <c r="AG2979">
        <f>IF($C2979="","",IF(COUNTIF($C$2:$C2979,$C2979)=1,1,0))</f>
        <v/>
      </c>
      <c r="AH2979">
        <f>IF($AG2979=1,SUMPRODUCT(--($AK$2:$AK$6001&lt;$AK2979))+1,"")</f>
        <v/>
      </c>
      <c r="AI2979">
        <f>IF($C2979="","",IF(OR($N2979=TRUE(),$N2979="TRUE"),1,0))</f>
        <v/>
      </c>
      <c r="AJ2979">
        <f>IF($C2979="","",IF($T2979="Yes",1,0))</f>
        <v/>
      </c>
      <c r="AK2979">
        <f>IF($AG2979=1,IFERROR(IF(VALUE($C2979)&lt;100000000,VALUE($C2979),1000000000),IFERROR(IF(VALUE(MID($C2979,2,20))&lt;100000000,VALUE(MID($C2979,2,20)),1000000000),1000000000))+ROW()/100000,"")</f>
        <v/>
      </c>
    </row>
    <row r="2980">
      <c r="D2980" s="11" t="n"/>
      <c r="K2980" s="7">
        <f>IF($C2980="","",J2980*W2980/100)</f>
        <v/>
      </c>
      <c r="Q2980" s="7" t="n"/>
      <c r="R2980" s="7" t="n"/>
      <c r="U2980">
        <f>IF($C2980="","",IF($AJ2980=1,0,IF($AI2980=1,Settings!$C$6,Settings!$C$7))*100)</f>
        <v/>
      </c>
      <c r="V2980" s="7">
        <f>IF($C2980="","",R2980*U2980/100)</f>
        <v/>
      </c>
      <c r="W2980" s="7">
        <f>IF($C2980="","",R2980-V2980)</f>
        <v/>
      </c>
      <c r="X2980" s="7">
        <f>IF($C2980="","",W2980-K2980)</f>
        <v/>
      </c>
      <c r="AB2980" s="7" t="n"/>
      <c r="AE2980" s="11" t="n"/>
      <c r="AG2980">
        <f>IF($C2980="","",IF(COUNTIF($C$2:$C2980,$C2980)=1,1,0))</f>
        <v/>
      </c>
      <c r="AH2980">
        <f>IF($AG2980=1,SUMPRODUCT(--($AK$2:$AK$6001&lt;$AK2980))+1,"")</f>
        <v/>
      </c>
      <c r="AI2980">
        <f>IF($C2980="","",IF(OR($N2980=TRUE(),$N2980="TRUE"),1,0))</f>
        <v/>
      </c>
      <c r="AJ2980">
        <f>IF($C2980="","",IF($T2980="Yes",1,0))</f>
        <v/>
      </c>
      <c r="AK2980">
        <f>IF($AG2980=1,IFERROR(IF(VALUE($C2980)&lt;100000000,VALUE($C2980),1000000000),IFERROR(IF(VALUE(MID($C2980,2,20))&lt;100000000,VALUE(MID($C2980,2,20)),1000000000),1000000000))+ROW()/100000,"")</f>
        <v/>
      </c>
    </row>
    <row r="2981">
      <c r="D2981" s="11" t="n"/>
      <c r="K2981" s="7">
        <f>IF($C2981="","",J2981*W2981/100)</f>
        <v/>
      </c>
      <c r="Q2981" s="7" t="n"/>
      <c r="R2981" s="7" t="n"/>
      <c r="U2981">
        <f>IF($C2981="","",IF($AJ2981=1,0,IF($AI2981=1,Settings!$C$6,Settings!$C$7))*100)</f>
        <v/>
      </c>
      <c r="V2981" s="7">
        <f>IF($C2981="","",R2981*U2981/100)</f>
        <v/>
      </c>
      <c r="W2981" s="7">
        <f>IF($C2981="","",R2981-V2981)</f>
        <v/>
      </c>
      <c r="X2981" s="7">
        <f>IF($C2981="","",W2981-K2981)</f>
        <v/>
      </c>
      <c r="AB2981" s="7" t="n"/>
      <c r="AE2981" s="11" t="n"/>
      <c r="AG2981">
        <f>IF($C2981="","",IF(COUNTIF($C$2:$C2981,$C2981)=1,1,0))</f>
        <v/>
      </c>
      <c r="AH2981">
        <f>IF($AG2981=1,SUMPRODUCT(--($AK$2:$AK$6001&lt;$AK2981))+1,"")</f>
        <v/>
      </c>
      <c r="AI2981">
        <f>IF($C2981="","",IF(OR($N2981=TRUE(),$N2981="TRUE"),1,0))</f>
        <v/>
      </c>
      <c r="AJ2981">
        <f>IF($C2981="","",IF($T2981="Yes",1,0))</f>
        <v/>
      </c>
      <c r="AK2981">
        <f>IF($AG2981=1,IFERROR(IF(VALUE($C2981)&lt;100000000,VALUE($C2981),1000000000),IFERROR(IF(VALUE(MID($C2981,2,20))&lt;100000000,VALUE(MID($C2981,2,20)),1000000000),1000000000))+ROW()/100000,"")</f>
        <v/>
      </c>
    </row>
    <row r="2982">
      <c r="D2982" s="11" t="n"/>
      <c r="K2982" s="7">
        <f>IF($C2982="","",J2982*W2982/100)</f>
        <v/>
      </c>
      <c r="Q2982" s="7" t="n"/>
      <c r="R2982" s="7" t="n"/>
      <c r="U2982">
        <f>IF($C2982="","",IF($AJ2982=1,0,IF($AI2982=1,Settings!$C$6,Settings!$C$7))*100)</f>
        <v/>
      </c>
      <c r="V2982" s="7">
        <f>IF($C2982="","",R2982*U2982/100)</f>
        <v/>
      </c>
      <c r="W2982" s="7">
        <f>IF($C2982="","",R2982-V2982)</f>
        <v/>
      </c>
      <c r="X2982" s="7">
        <f>IF($C2982="","",W2982-K2982)</f>
        <v/>
      </c>
      <c r="AB2982" s="7" t="n"/>
      <c r="AE2982" s="11" t="n"/>
      <c r="AG2982">
        <f>IF($C2982="","",IF(COUNTIF($C$2:$C2982,$C2982)=1,1,0))</f>
        <v/>
      </c>
      <c r="AH2982">
        <f>IF($AG2982=1,SUMPRODUCT(--($AK$2:$AK$6001&lt;$AK2982))+1,"")</f>
        <v/>
      </c>
      <c r="AI2982">
        <f>IF($C2982="","",IF(OR($N2982=TRUE(),$N2982="TRUE"),1,0))</f>
        <v/>
      </c>
      <c r="AJ2982">
        <f>IF($C2982="","",IF($T2982="Yes",1,0))</f>
        <v/>
      </c>
      <c r="AK2982">
        <f>IF($AG2982=1,IFERROR(IF(VALUE($C2982)&lt;100000000,VALUE($C2982),1000000000),IFERROR(IF(VALUE(MID($C2982,2,20))&lt;100000000,VALUE(MID($C2982,2,20)),1000000000),1000000000))+ROW()/100000,"")</f>
        <v/>
      </c>
    </row>
    <row r="2983">
      <c r="D2983" s="11" t="n"/>
      <c r="K2983" s="7">
        <f>IF($C2983="","",J2983*W2983/100)</f>
        <v/>
      </c>
      <c r="Q2983" s="7" t="n"/>
      <c r="R2983" s="7" t="n"/>
      <c r="U2983">
        <f>IF($C2983="","",IF($AJ2983=1,0,IF($AI2983=1,Settings!$C$6,Settings!$C$7))*100)</f>
        <v/>
      </c>
      <c r="V2983" s="7">
        <f>IF($C2983="","",R2983*U2983/100)</f>
        <v/>
      </c>
      <c r="W2983" s="7">
        <f>IF($C2983="","",R2983-V2983)</f>
        <v/>
      </c>
      <c r="X2983" s="7">
        <f>IF($C2983="","",W2983-K2983)</f>
        <v/>
      </c>
      <c r="AB2983" s="7" t="n"/>
      <c r="AE2983" s="11" t="n"/>
      <c r="AG2983">
        <f>IF($C2983="","",IF(COUNTIF($C$2:$C2983,$C2983)=1,1,0))</f>
        <v/>
      </c>
      <c r="AH2983">
        <f>IF($AG2983=1,SUMPRODUCT(--($AK$2:$AK$6001&lt;$AK2983))+1,"")</f>
        <v/>
      </c>
      <c r="AI2983">
        <f>IF($C2983="","",IF(OR($N2983=TRUE(),$N2983="TRUE"),1,0))</f>
        <v/>
      </c>
      <c r="AJ2983">
        <f>IF($C2983="","",IF($T2983="Yes",1,0))</f>
        <v/>
      </c>
      <c r="AK2983">
        <f>IF($AG2983=1,IFERROR(IF(VALUE($C2983)&lt;100000000,VALUE($C2983),1000000000),IFERROR(IF(VALUE(MID($C2983,2,20))&lt;100000000,VALUE(MID($C2983,2,20)),1000000000),1000000000))+ROW()/100000,"")</f>
        <v/>
      </c>
    </row>
    <row r="2984">
      <c r="D2984" s="11" t="n"/>
      <c r="K2984" s="7">
        <f>IF($C2984="","",J2984*W2984/100)</f>
        <v/>
      </c>
      <c r="Q2984" s="7" t="n"/>
      <c r="R2984" s="7" t="n"/>
      <c r="U2984">
        <f>IF($C2984="","",IF($AJ2984=1,0,IF($AI2984=1,Settings!$C$6,Settings!$C$7))*100)</f>
        <v/>
      </c>
      <c r="V2984" s="7">
        <f>IF($C2984="","",R2984*U2984/100)</f>
        <v/>
      </c>
      <c r="W2984" s="7">
        <f>IF($C2984="","",R2984-V2984)</f>
        <v/>
      </c>
      <c r="X2984" s="7">
        <f>IF($C2984="","",W2984-K2984)</f>
        <v/>
      </c>
      <c r="AB2984" s="7" t="n"/>
      <c r="AE2984" s="11" t="n"/>
      <c r="AG2984">
        <f>IF($C2984="","",IF(COUNTIF($C$2:$C2984,$C2984)=1,1,0))</f>
        <v/>
      </c>
      <c r="AH2984">
        <f>IF($AG2984=1,SUMPRODUCT(--($AK$2:$AK$6001&lt;$AK2984))+1,"")</f>
        <v/>
      </c>
      <c r="AI2984">
        <f>IF($C2984="","",IF(OR($N2984=TRUE(),$N2984="TRUE"),1,0))</f>
        <v/>
      </c>
      <c r="AJ2984">
        <f>IF($C2984="","",IF($T2984="Yes",1,0))</f>
        <v/>
      </c>
      <c r="AK2984">
        <f>IF($AG2984=1,IFERROR(IF(VALUE($C2984)&lt;100000000,VALUE($C2984),1000000000),IFERROR(IF(VALUE(MID($C2984,2,20))&lt;100000000,VALUE(MID($C2984,2,20)),1000000000),1000000000))+ROW()/100000,"")</f>
        <v/>
      </c>
    </row>
    <row r="2985">
      <c r="D2985" s="11" t="n"/>
      <c r="K2985" s="7">
        <f>IF($C2985="","",J2985*W2985/100)</f>
        <v/>
      </c>
      <c r="Q2985" s="7" t="n"/>
      <c r="R2985" s="7" t="n"/>
      <c r="U2985">
        <f>IF($C2985="","",IF($AJ2985=1,0,IF($AI2985=1,Settings!$C$6,Settings!$C$7))*100)</f>
        <v/>
      </c>
      <c r="V2985" s="7">
        <f>IF($C2985="","",R2985*U2985/100)</f>
        <v/>
      </c>
      <c r="W2985" s="7">
        <f>IF($C2985="","",R2985-V2985)</f>
        <v/>
      </c>
      <c r="X2985" s="7">
        <f>IF($C2985="","",W2985-K2985)</f>
        <v/>
      </c>
      <c r="AB2985" s="7" t="n"/>
      <c r="AE2985" s="11" t="n"/>
      <c r="AG2985">
        <f>IF($C2985="","",IF(COUNTIF($C$2:$C2985,$C2985)=1,1,0))</f>
        <v/>
      </c>
      <c r="AH2985">
        <f>IF($AG2985=1,SUMPRODUCT(--($AK$2:$AK$6001&lt;$AK2985))+1,"")</f>
        <v/>
      </c>
      <c r="AI2985">
        <f>IF($C2985="","",IF(OR($N2985=TRUE(),$N2985="TRUE"),1,0))</f>
        <v/>
      </c>
      <c r="AJ2985">
        <f>IF($C2985="","",IF($T2985="Yes",1,0))</f>
        <v/>
      </c>
      <c r="AK2985">
        <f>IF($AG2985=1,IFERROR(IF(VALUE($C2985)&lt;100000000,VALUE($C2985),1000000000),IFERROR(IF(VALUE(MID($C2985,2,20))&lt;100000000,VALUE(MID($C2985,2,20)),1000000000),1000000000))+ROW()/100000,"")</f>
        <v/>
      </c>
    </row>
    <row r="2986">
      <c r="D2986" s="11" t="n"/>
      <c r="K2986" s="7">
        <f>IF($C2986="","",J2986*W2986/100)</f>
        <v/>
      </c>
      <c r="Q2986" s="7" t="n"/>
      <c r="R2986" s="7" t="n"/>
      <c r="U2986">
        <f>IF($C2986="","",IF($AJ2986=1,0,IF($AI2986=1,Settings!$C$6,Settings!$C$7))*100)</f>
        <v/>
      </c>
      <c r="V2986" s="7">
        <f>IF($C2986="","",R2986*U2986/100)</f>
        <v/>
      </c>
      <c r="W2986" s="7">
        <f>IF($C2986="","",R2986-V2986)</f>
        <v/>
      </c>
      <c r="X2986" s="7">
        <f>IF($C2986="","",W2986-K2986)</f>
        <v/>
      </c>
      <c r="AB2986" s="7" t="n"/>
      <c r="AE2986" s="11" t="n"/>
      <c r="AG2986">
        <f>IF($C2986="","",IF(COUNTIF($C$2:$C2986,$C2986)=1,1,0))</f>
        <v/>
      </c>
      <c r="AH2986">
        <f>IF($AG2986=1,SUMPRODUCT(--($AK$2:$AK$6001&lt;$AK2986))+1,"")</f>
        <v/>
      </c>
      <c r="AI2986">
        <f>IF($C2986="","",IF(OR($N2986=TRUE(),$N2986="TRUE"),1,0))</f>
        <v/>
      </c>
      <c r="AJ2986">
        <f>IF($C2986="","",IF($T2986="Yes",1,0))</f>
        <v/>
      </c>
      <c r="AK2986">
        <f>IF($AG2986=1,IFERROR(IF(VALUE($C2986)&lt;100000000,VALUE($C2986),1000000000),IFERROR(IF(VALUE(MID($C2986,2,20))&lt;100000000,VALUE(MID($C2986,2,20)),1000000000),1000000000))+ROW()/100000,"")</f>
        <v/>
      </c>
    </row>
    <row r="2987">
      <c r="D2987" s="11" t="n"/>
      <c r="K2987" s="7">
        <f>IF($C2987="","",J2987*W2987/100)</f>
        <v/>
      </c>
      <c r="Q2987" s="7" t="n"/>
      <c r="R2987" s="7" t="n"/>
      <c r="U2987">
        <f>IF($C2987="","",IF($AJ2987=1,0,IF($AI2987=1,Settings!$C$6,Settings!$C$7))*100)</f>
        <v/>
      </c>
      <c r="V2987" s="7">
        <f>IF($C2987="","",R2987*U2987/100)</f>
        <v/>
      </c>
      <c r="W2987" s="7">
        <f>IF($C2987="","",R2987-V2987)</f>
        <v/>
      </c>
      <c r="X2987" s="7">
        <f>IF($C2987="","",W2987-K2987)</f>
        <v/>
      </c>
      <c r="AB2987" s="7" t="n"/>
      <c r="AE2987" s="11" t="n"/>
      <c r="AG2987">
        <f>IF($C2987="","",IF(COUNTIF($C$2:$C2987,$C2987)=1,1,0))</f>
        <v/>
      </c>
      <c r="AH2987">
        <f>IF($AG2987=1,SUMPRODUCT(--($AK$2:$AK$6001&lt;$AK2987))+1,"")</f>
        <v/>
      </c>
      <c r="AI2987">
        <f>IF($C2987="","",IF(OR($N2987=TRUE(),$N2987="TRUE"),1,0))</f>
        <v/>
      </c>
      <c r="AJ2987">
        <f>IF($C2987="","",IF($T2987="Yes",1,0))</f>
        <v/>
      </c>
      <c r="AK2987">
        <f>IF($AG2987=1,IFERROR(IF(VALUE($C2987)&lt;100000000,VALUE($C2987),1000000000),IFERROR(IF(VALUE(MID($C2987,2,20))&lt;100000000,VALUE(MID($C2987,2,20)),1000000000),1000000000))+ROW()/100000,"")</f>
        <v/>
      </c>
    </row>
    <row r="2988">
      <c r="D2988" s="11" t="n"/>
      <c r="K2988" s="7">
        <f>IF($C2988="","",J2988*W2988/100)</f>
        <v/>
      </c>
      <c r="Q2988" s="7" t="n"/>
      <c r="R2988" s="7" t="n"/>
      <c r="U2988">
        <f>IF($C2988="","",IF($AJ2988=1,0,IF($AI2988=1,Settings!$C$6,Settings!$C$7))*100)</f>
        <v/>
      </c>
      <c r="V2988" s="7">
        <f>IF($C2988="","",R2988*U2988/100)</f>
        <v/>
      </c>
      <c r="W2988" s="7">
        <f>IF($C2988="","",R2988-V2988)</f>
        <v/>
      </c>
      <c r="X2988" s="7">
        <f>IF($C2988="","",W2988-K2988)</f>
        <v/>
      </c>
      <c r="AB2988" s="7" t="n"/>
      <c r="AE2988" s="11" t="n"/>
      <c r="AG2988">
        <f>IF($C2988="","",IF(COUNTIF($C$2:$C2988,$C2988)=1,1,0))</f>
        <v/>
      </c>
      <c r="AH2988">
        <f>IF($AG2988=1,SUMPRODUCT(--($AK$2:$AK$6001&lt;$AK2988))+1,"")</f>
        <v/>
      </c>
      <c r="AI2988">
        <f>IF($C2988="","",IF(OR($N2988=TRUE(),$N2988="TRUE"),1,0))</f>
        <v/>
      </c>
      <c r="AJ2988">
        <f>IF($C2988="","",IF($T2988="Yes",1,0))</f>
        <v/>
      </c>
      <c r="AK2988">
        <f>IF($AG2988=1,IFERROR(IF(VALUE($C2988)&lt;100000000,VALUE($C2988),1000000000),IFERROR(IF(VALUE(MID($C2988,2,20))&lt;100000000,VALUE(MID($C2988,2,20)),1000000000),1000000000))+ROW()/100000,"")</f>
        <v/>
      </c>
    </row>
    <row r="2989">
      <c r="D2989" s="11" t="n"/>
      <c r="K2989" s="7">
        <f>IF($C2989="","",J2989*W2989/100)</f>
        <v/>
      </c>
      <c r="Q2989" s="7" t="n"/>
      <c r="R2989" s="7" t="n"/>
      <c r="U2989">
        <f>IF($C2989="","",IF($AJ2989=1,0,IF($AI2989=1,Settings!$C$6,Settings!$C$7))*100)</f>
        <v/>
      </c>
      <c r="V2989" s="7">
        <f>IF($C2989="","",R2989*U2989/100)</f>
        <v/>
      </c>
      <c r="W2989" s="7">
        <f>IF($C2989="","",R2989-V2989)</f>
        <v/>
      </c>
      <c r="X2989" s="7">
        <f>IF($C2989="","",W2989-K2989)</f>
        <v/>
      </c>
      <c r="AB2989" s="7" t="n"/>
      <c r="AE2989" s="11" t="n"/>
      <c r="AG2989">
        <f>IF($C2989="","",IF(COUNTIF($C$2:$C2989,$C2989)=1,1,0))</f>
        <v/>
      </c>
      <c r="AH2989">
        <f>IF($AG2989=1,SUMPRODUCT(--($AK$2:$AK$6001&lt;$AK2989))+1,"")</f>
        <v/>
      </c>
      <c r="AI2989">
        <f>IF($C2989="","",IF(OR($N2989=TRUE(),$N2989="TRUE"),1,0))</f>
        <v/>
      </c>
      <c r="AJ2989">
        <f>IF($C2989="","",IF($T2989="Yes",1,0))</f>
        <v/>
      </c>
      <c r="AK2989">
        <f>IF($AG2989=1,IFERROR(IF(VALUE($C2989)&lt;100000000,VALUE($C2989),1000000000),IFERROR(IF(VALUE(MID($C2989,2,20))&lt;100000000,VALUE(MID($C2989,2,20)),1000000000),1000000000))+ROW()/100000,"")</f>
        <v/>
      </c>
    </row>
    <row r="2990">
      <c r="D2990" s="11" t="n"/>
      <c r="K2990" s="7">
        <f>IF($C2990="","",J2990*W2990/100)</f>
        <v/>
      </c>
      <c r="Q2990" s="7" t="n"/>
      <c r="R2990" s="7" t="n"/>
      <c r="U2990">
        <f>IF($C2990="","",IF($AJ2990=1,0,IF($AI2990=1,Settings!$C$6,Settings!$C$7))*100)</f>
        <v/>
      </c>
      <c r="V2990" s="7">
        <f>IF($C2990="","",R2990*U2990/100)</f>
        <v/>
      </c>
      <c r="W2990" s="7">
        <f>IF($C2990="","",R2990-V2990)</f>
        <v/>
      </c>
      <c r="X2990" s="7">
        <f>IF($C2990="","",W2990-K2990)</f>
        <v/>
      </c>
      <c r="AB2990" s="7" t="n"/>
      <c r="AE2990" s="11" t="n"/>
      <c r="AG2990">
        <f>IF($C2990="","",IF(COUNTIF($C$2:$C2990,$C2990)=1,1,0))</f>
        <v/>
      </c>
      <c r="AH2990">
        <f>IF($AG2990=1,SUMPRODUCT(--($AK$2:$AK$6001&lt;$AK2990))+1,"")</f>
        <v/>
      </c>
      <c r="AI2990">
        <f>IF($C2990="","",IF(OR($N2990=TRUE(),$N2990="TRUE"),1,0))</f>
        <v/>
      </c>
      <c r="AJ2990">
        <f>IF($C2990="","",IF($T2990="Yes",1,0))</f>
        <v/>
      </c>
      <c r="AK2990">
        <f>IF($AG2990=1,IFERROR(IF(VALUE($C2990)&lt;100000000,VALUE($C2990),1000000000),IFERROR(IF(VALUE(MID($C2990,2,20))&lt;100000000,VALUE(MID($C2990,2,20)),1000000000),1000000000))+ROW()/100000,"")</f>
        <v/>
      </c>
    </row>
    <row r="2991">
      <c r="D2991" s="11" t="n"/>
      <c r="K2991" s="7">
        <f>IF($C2991="","",J2991*W2991/100)</f>
        <v/>
      </c>
      <c r="Q2991" s="7" t="n"/>
      <c r="R2991" s="7" t="n"/>
      <c r="U2991">
        <f>IF($C2991="","",IF($AJ2991=1,0,IF($AI2991=1,Settings!$C$6,Settings!$C$7))*100)</f>
        <v/>
      </c>
      <c r="V2991" s="7">
        <f>IF($C2991="","",R2991*U2991/100)</f>
        <v/>
      </c>
      <c r="W2991" s="7">
        <f>IF($C2991="","",R2991-V2991)</f>
        <v/>
      </c>
      <c r="X2991" s="7">
        <f>IF($C2991="","",W2991-K2991)</f>
        <v/>
      </c>
      <c r="AB2991" s="7" t="n"/>
      <c r="AE2991" s="11" t="n"/>
      <c r="AG2991">
        <f>IF($C2991="","",IF(COUNTIF($C$2:$C2991,$C2991)=1,1,0))</f>
        <v/>
      </c>
      <c r="AH2991">
        <f>IF($AG2991=1,SUMPRODUCT(--($AK$2:$AK$6001&lt;$AK2991))+1,"")</f>
        <v/>
      </c>
      <c r="AI2991">
        <f>IF($C2991="","",IF(OR($N2991=TRUE(),$N2991="TRUE"),1,0))</f>
        <v/>
      </c>
      <c r="AJ2991">
        <f>IF($C2991="","",IF($T2991="Yes",1,0))</f>
        <v/>
      </c>
      <c r="AK2991">
        <f>IF($AG2991=1,IFERROR(IF(VALUE($C2991)&lt;100000000,VALUE($C2991),1000000000),IFERROR(IF(VALUE(MID($C2991,2,20))&lt;100000000,VALUE(MID($C2991,2,20)),1000000000),1000000000))+ROW()/100000,"")</f>
        <v/>
      </c>
    </row>
    <row r="2992">
      <c r="D2992" s="11" t="n"/>
      <c r="K2992" s="7">
        <f>IF($C2992="","",J2992*W2992/100)</f>
        <v/>
      </c>
      <c r="Q2992" s="7" t="n"/>
      <c r="R2992" s="7" t="n"/>
      <c r="U2992">
        <f>IF($C2992="","",IF($AJ2992=1,0,IF($AI2992=1,Settings!$C$6,Settings!$C$7))*100)</f>
        <v/>
      </c>
      <c r="V2992" s="7">
        <f>IF($C2992="","",R2992*U2992/100)</f>
        <v/>
      </c>
      <c r="W2992" s="7">
        <f>IF($C2992="","",R2992-V2992)</f>
        <v/>
      </c>
      <c r="X2992" s="7">
        <f>IF($C2992="","",W2992-K2992)</f>
        <v/>
      </c>
      <c r="AB2992" s="7" t="n"/>
      <c r="AE2992" s="11" t="n"/>
      <c r="AG2992">
        <f>IF($C2992="","",IF(COUNTIF($C$2:$C2992,$C2992)=1,1,0))</f>
        <v/>
      </c>
      <c r="AH2992">
        <f>IF($AG2992=1,SUMPRODUCT(--($AK$2:$AK$6001&lt;$AK2992))+1,"")</f>
        <v/>
      </c>
      <c r="AI2992">
        <f>IF($C2992="","",IF(OR($N2992=TRUE(),$N2992="TRUE"),1,0))</f>
        <v/>
      </c>
      <c r="AJ2992">
        <f>IF($C2992="","",IF($T2992="Yes",1,0))</f>
        <v/>
      </c>
      <c r="AK2992">
        <f>IF($AG2992=1,IFERROR(IF(VALUE($C2992)&lt;100000000,VALUE($C2992),1000000000),IFERROR(IF(VALUE(MID($C2992,2,20))&lt;100000000,VALUE(MID($C2992,2,20)),1000000000),1000000000))+ROW()/100000,"")</f>
        <v/>
      </c>
    </row>
    <row r="2993">
      <c r="D2993" s="11" t="n"/>
      <c r="K2993" s="7">
        <f>IF($C2993="","",J2993*W2993/100)</f>
        <v/>
      </c>
      <c r="Q2993" s="7" t="n"/>
      <c r="R2993" s="7" t="n"/>
      <c r="U2993">
        <f>IF($C2993="","",IF($AJ2993=1,0,IF($AI2993=1,Settings!$C$6,Settings!$C$7))*100)</f>
        <v/>
      </c>
      <c r="V2993" s="7">
        <f>IF($C2993="","",R2993*U2993/100)</f>
        <v/>
      </c>
      <c r="W2993" s="7">
        <f>IF($C2993="","",R2993-V2993)</f>
        <v/>
      </c>
      <c r="X2993" s="7">
        <f>IF($C2993="","",W2993-K2993)</f>
        <v/>
      </c>
      <c r="AB2993" s="7" t="n"/>
      <c r="AE2993" s="11" t="n"/>
      <c r="AG2993">
        <f>IF($C2993="","",IF(COUNTIF($C$2:$C2993,$C2993)=1,1,0))</f>
        <v/>
      </c>
      <c r="AH2993">
        <f>IF($AG2993=1,SUMPRODUCT(--($AK$2:$AK$6001&lt;$AK2993))+1,"")</f>
        <v/>
      </c>
      <c r="AI2993">
        <f>IF($C2993="","",IF(OR($N2993=TRUE(),$N2993="TRUE"),1,0))</f>
        <v/>
      </c>
      <c r="AJ2993">
        <f>IF($C2993="","",IF($T2993="Yes",1,0))</f>
        <v/>
      </c>
      <c r="AK2993">
        <f>IF($AG2993=1,IFERROR(IF(VALUE($C2993)&lt;100000000,VALUE($C2993),1000000000),IFERROR(IF(VALUE(MID($C2993,2,20))&lt;100000000,VALUE(MID($C2993,2,20)),1000000000),1000000000))+ROW()/100000,"")</f>
        <v/>
      </c>
    </row>
    <row r="2994">
      <c r="D2994" s="11" t="n"/>
      <c r="K2994" s="7">
        <f>IF($C2994="","",J2994*W2994/100)</f>
        <v/>
      </c>
      <c r="Q2994" s="7" t="n"/>
      <c r="R2994" s="7" t="n"/>
      <c r="U2994">
        <f>IF($C2994="","",IF($AJ2994=1,0,IF($AI2994=1,Settings!$C$6,Settings!$C$7))*100)</f>
        <v/>
      </c>
      <c r="V2994" s="7">
        <f>IF($C2994="","",R2994*U2994/100)</f>
        <v/>
      </c>
      <c r="W2994" s="7">
        <f>IF($C2994="","",R2994-V2994)</f>
        <v/>
      </c>
      <c r="X2994" s="7">
        <f>IF($C2994="","",W2994-K2994)</f>
        <v/>
      </c>
      <c r="AB2994" s="7" t="n"/>
      <c r="AE2994" s="11" t="n"/>
      <c r="AG2994">
        <f>IF($C2994="","",IF(COUNTIF($C$2:$C2994,$C2994)=1,1,0))</f>
        <v/>
      </c>
      <c r="AH2994">
        <f>IF($AG2994=1,SUMPRODUCT(--($AK$2:$AK$6001&lt;$AK2994))+1,"")</f>
        <v/>
      </c>
      <c r="AI2994">
        <f>IF($C2994="","",IF(OR($N2994=TRUE(),$N2994="TRUE"),1,0))</f>
        <v/>
      </c>
      <c r="AJ2994">
        <f>IF($C2994="","",IF($T2994="Yes",1,0))</f>
        <v/>
      </c>
      <c r="AK2994">
        <f>IF($AG2994=1,IFERROR(IF(VALUE($C2994)&lt;100000000,VALUE($C2994),1000000000),IFERROR(IF(VALUE(MID($C2994,2,20))&lt;100000000,VALUE(MID($C2994,2,20)),1000000000),1000000000))+ROW()/100000,"")</f>
        <v/>
      </c>
    </row>
    <row r="2995">
      <c r="D2995" s="11" t="n"/>
      <c r="K2995" s="7">
        <f>IF($C2995="","",J2995*W2995/100)</f>
        <v/>
      </c>
      <c r="Q2995" s="7" t="n"/>
      <c r="R2995" s="7" t="n"/>
      <c r="U2995">
        <f>IF($C2995="","",IF($AJ2995=1,0,IF($AI2995=1,Settings!$C$6,Settings!$C$7))*100)</f>
        <v/>
      </c>
      <c r="V2995" s="7">
        <f>IF($C2995="","",R2995*U2995/100)</f>
        <v/>
      </c>
      <c r="W2995" s="7">
        <f>IF($C2995="","",R2995-V2995)</f>
        <v/>
      </c>
      <c r="X2995" s="7">
        <f>IF($C2995="","",W2995-K2995)</f>
        <v/>
      </c>
      <c r="AB2995" s="7" t="n"/>
      <c r="AE2995" s="11" t="n"/>
      <c r="AG2995">
        <f>IF($C2995="","",IF(COUNTIF($C$2:$C2995,$C2995)=1,1,0))</f>
        <v/>
      </c>
      <c r="AH2995">
        <f>IF($AG2995=1,SUMPRODUCT(--($AK$2:$AK$6001&lt;$AK2995))+1,"")</f>
        <v/>
      </c>
      <c r="AI2995">
        <f>IF($C2995="","",IF(OR($N2995=TRUE(),$N2995="TRUE"),1,0))</f>
        <v/>
      </c>
      <c r="AJ2995">
        <f>IF($C2995="","",IF($T2995="Yes",1,0))</f>
        <v/>
      </c>
      <c r="AK2995">
        <f>IF($AG2995=1,IFERROR(IF(VALUE($C2995)&lt;100000000,VALUE($C2995),1000000000),IFERROR(IF(VALUE(MID($C2995,2,20))&lt;100000000,VALUE(MID($C2995,2,20)),1000000000),1000000000))+ROW()/100000,"")</f>
        <v/>
      </c>
    </row>
    <row r="2996">
      <c r="D2996" s="11" t="n"/>
      <c r="K2996" s="7">
        <f>IF($C2996="","",J2996*W2996/100)</f>
        <v/>
      </c>
      <c r="Q2996" s="7" t="n"/>
      <c r="R2996" s="7" t="n"/>
      <c r="U2996">
        <f>IF($C2996="","",IF($AJ2996=1,0,IF($AI2996=1,Settings!$C$6,Settings!$C$7))*100)</f>
        <v/>
      </c>
      <c r="V2996" s="7">
        <f>IF($C2996="","",R2996*U2996/100)</f>
        <v/>
      </c>
      <c r="W2996" s="7">
        <f>IF($C2996="","",R2996-V2996)</f>
        <v/>
      </c>
      <c r="X2996" s="7">
        <f>IF($C2996="","",W2996-K2996)</f>
        <v/>
      </c>
      <c r="AB2996" s="7" t="n"/>
      <c r="AE2996" s="11" t="n"/>
      <c r="AG2996">
        <f>IF($C2996="","",IF(COUNTIF($C$2:$C2996,$C2996)=1,1,0))</f>
        <v/>
      </c>
      <c r="AH2996">
        <f>IF($AG2996=1,SUMPRODUCT(--($AK$2:$AK$6001&lt;$AK2996))+1,"")</f>
        <v/>
      </c>
      <c r="AI2996">
        <f>IF($C2996="","",IF(OR($N2996=TRUE(),$N2996="TRUE"),1,0))</f>
        <v/>
      </c>
      <c r="AJ2996">
        <f>IF($C2996="","",IF($T2996="Yes",1,0))</f>
        <v/>
      </c>
      <c r="AK2996">
        <f>IF($AG2996=1,IFERROR(IF(VALUE($C2996)&lt;100000000,VALUE($C2996),1000000000),IFERROR(IF(VALUE(MID($C2996,2,20))&lt;100000000,VALUE(MID($C2996,2,20)),1000000000),1000000000))+ROW()/100000,"")</f>
        <v/>
      </c>
    </row>
    <row r="2997">
      <c r="D2997" s="11" t="n"/>
      <c r="K2997" s="7">
        <f>IF($C2997="","",J2997*W2997/100)</f>
        <v/>
      </c>
      <c r="Q2997" s="7" t="n"/>
      <c r="R2997" s="7" t="n"/>
      <c r="U2997">
        <f>IF($C2997="","",IF($AJ2997=1,0,IF($AI2997=1,Settings!$C$6,Settings!$C$7))*100)</f>
        <v/>
      </c>
      <c r="V2997" s="7">
        <f>IF($C2997="","",R2997*U2997/100)</f>
        <v/>
      </c>
      <c r="W2997" s="7">
        <f>IF($C2997="","",R2997-V2997)</f>
        <v/>
      </c>
      <c r="X2997" s="7">
        <f>IF($C2997="","",W2997-K2997)</f>
        <v/>
      </c>
      <c r="AB2997" s="7" t="n"/>
      <c r="AE2997" s="11" t="n"/>
      <c r="AG2997">
        <f>IF($C2997="","",IF(COUNTIF($C$2:$C2997,$C2997)=1,1,0))</f>
        <v/>
      </c>
      <c r="AH2997">
        <f>IF($AG2997=1,SUMPRODUCT(--($AK$2:$AK$6001&lt;$AK2997))+1,"")</f>
        <v/>
      </c>
      <c r="AI2997">
        <f>IF($C2997="","",IF(OR($N2997=TRUE(),$N2997="TRUE"),1,0))</f>
        <v/>
      </c>
      <c r="AJ2997">
        <f>IF($C2997="","",IF($T2997="Yes",1,0))</f>
        <v/>
      </c>
      <c r="AK2997">
        <f>IF($AG2997=1,IFERROR(IF(VALUE($C2997)&lt;100000000,VALUE($C2997),1000000000),IFERROR(IF(VALUE(MID($C2997,2,20))&lt;100000000,VALUE(MID($C2997,2,20)),1000000000),1000000000))+ROW()/100000,"")</f>
        <v/>
      </c>
    </row>
    <row r="2998">
      <c r="D2998" s="11" t="n"/>
      <c r="K2998" s="7">
        <f>IF($C2998="","",J2998*W2998/100)</f>
        <v/>
      </c>
      <c r="Q2998" s="7" t="n"/>
      <c r="R2998" s="7" t="n"/>
      <c r="U2998">
        <f>IF($C2998="","",IF($AJ2998=1,0,IF($AI2998=1,Settings!$C$6,Settings!$C$7))*100)</f>
        <v/>
      </c>
      <c r="V2998" s="7">
        <f>IF($C2998="","",R2998*U2998/100)</f>
        <v/>
      </c>
      <c r="W2998" s="7">
        <f>IF($C2998="","",R2998-V2998)</f>
        <v/>
      </c>
      <c r="X2998" s="7">
        <f>IF($C2998="","",W2998-K2998)</f>
        <v/>
      </c>
      <c r="AB2998" s="7" t="n"/>
      <c r="AE2998" s="11" t="n"/>
      <c r="AG2998">
        <f>IF($C2998="","",IF(COUNTIF($C$2:$C2998,$C2998)=1,1,0))</f>
        <v/>
      </c>
      <c r="AH2998">
        <f>IF($AG2998=1,SUMPRODUCT(--($AK$2:$AK$6001&lt;$AK2998))+1,"")</f>
        <v/>
      </c>
      <c r="AI2998">
        <f>IF($C2998="","",IF(OR($N2998=TRUE(),$N2998="TRUE"),1,0))</f>
        <v/>
      </c>
      <c r="AJ2998">
        <f>IF($C2998="","",IF($T2998="Yes",1,0))</f>
        <v/>
      </c>
      <c r="AK2998">
        <f>IF($AG2998=1,IFERROR(IF(VALUE($C2998)&lt;100000000,VALUE($C2998),1000000000),IFERROR(IF(VALUE(MID($C2998,2,20))&lt;100000000,VALUE(MID($C2998,2,20)),1000000000),1000000000))+ROW()/100000,"")</f>
        <v/>
      </c>
    </row>
    <row r="2999">
      <c r="D2999" s="11" t="n"/>
      <c r="K2999" s="7">
        <f>IF($C2999="","",J2999*W2999/100)</f>
        <v/>
      </c>
      <c r="Q2999" s="7" t="n"/>
      <c r="R2999" s="7" t="n"/>
      <c r="U2999">
        <f>IF($C2999="","",IF($AJ2999=1,0,IF($AI2999=1,Settings!$C$6,Settings!$C$7))*100)</f>
        <v/>
      </c>
      <c r="V2999" s="7">
        <f>IF($C2999="","",R2999*U2999/100)</f>
        <v/>
      </c>
      <c r="W2999" s="7">
        <f>IF($C2999="","",R2999-V2999)</f>
        <v/>
      </c>
      <c r="X2999" s="7">
        <f>IF($C2999="","",W2999-K2999)</f>
        <v/>
      </c>
      <c r="AB2999" s="7" t="n"/>
      <c r="AE2999" s="11" t="n"/>
      <c r="AG2999">
        <f>IF($C2999="","",IF(COUNTIF($C$2:$C2999,$C2999)=1,1,0))</f>
        <v/>
      </c>
      <c r="AH2999">
        <f>IF($AG2999=1,SUMPRODUCT(--($AK$2:$AK$6001&lt;$AK2999))+1,"")</f>
        <v/>
      </c>
      <c r="AI2999">
        <f>IF($C2999="","",IF(OR($N2999=TRUE(),$N2999="TRUE"),1,0))</f>
        <v/>
      </c>
      <c r="AJ2999">
        <f>IF($C2999="","",IF($T2999="Yes",1,0))</f>
        <v/>
      </c>
      <c r="AK2999">
        <f>IF($AG2999=1,IFERROR(IF(VALUE($C2999)&lt;100000000,VALUE($C2999),1000000000),IFERROR(IF(VALUE(MID($C2999,2,20))&lt;100000000,VALUE(MID($C2999,2,20)),1000000000),1000000000))+ROW()/100000,"")</f>
        <v/>
      </c>
    </row>
    <row r="3000">
      <c r="D3000" s="11" t="n"/>
      <c r="K3000" s="7">
        <f>IF($C3000="","",J3000*W3000/100)</f>
        <v/>
      </c>
      <c r="Q3000" s="7" t="n"/>
      <c r="R3000" s="7" t="n"/>
      <c r="U3000">
        <f>IF($C3000="","",IF($AJ3000=1,0,IF($AI3000=1,Settings!$C$6,Settings!$C$7))*100)</f>
        <v/>
      </c>
      <c r="V3000" s="7">
        <f>IF($C3000="","",R3000*U3000/100)</f>
        <v/>
      </c>
      <c r="W3000" s="7">
        <f>IF($C3000="","",R3000-V3000)</f>
        <v/>
      </c>
      <c r="X3000" s="7">
        <f>IF($C3000="","",W3000-K3000)</f>
        <v/>
      </c>
      <c r="AB3000" s="7" t="n"/>
      <c r="AE3000" s="11" t="n"/>
      <c r="AG3000">
        <f>IF($C3000="","",IF(COUNTIF($C$2:$C3000,$C3000)=1,1,0))</f>
        <v/>
      </c>
      <c r="AH3000">
        <f>IF($AG3000=1,SUMPRODUCT(--($AK$2:$AK$6001&lt;$AK3000))+1,"")</f>
        <v/>
      </c>
      <c r="AI3000">
        <f>IF($C3000="","",IF(OR($N3000=TRUE(),$N3000="TRUE"),1,0))</f>
        <v/>
      </c>
      <c r="AJ3000">
        <f>IF($C3000="","",IF($T3000="Yes",1,0))</f>
        <v/>
      </c>
      <c r="AK3000">
        <f>IF($AG3000=1,IFERROR(IF(VALUE($C3000)&lt;100000000,VALUE($C3000),1000000000),IFERROR(IF(VALUE(MID($C3000,2,20))&lt;100000000,VALUE(MID($C3000,2,20)),1000000000),1000000000))+ROW()/100000,"")</f>
        <v/>
      </c>
    </row>
    <row r="3001">
      <c r="D3001" s="11" t="n"/>
      <c r="K3001" s="7">
        <f>IF($C3001="","",J3001*W3001/100)</f>
        <v/>
      </c>
      <c r="Q3001" s="7" t="n"/>
      <c r="R3001" s="7" t="n"/>
      <c r="U3001">
        <f>IF($C3001="","",IF($AJ3001=1,0,IF($AI3001=1,Settings!$C$6,Settings!$C$7))*100)</f>
        <v/>
      </c>
      <c r="V3001" s="7">
        <f>IF($C3001="","",R3001*U3001/100)</f>
        <v/>
      </c>
      <c r="W3001" s="7">
        <f>IF($C3001="","",R3001-V3001)</f>
        <v/>
      </c>
      <c r="X3001" s="7">
        <f>IF($C3001="","",W3001-K3001)</f>
        <v/>
      </c>
      <c r="AB3001" s="7" t="n"/>
      <c r="AE3001" s="11" t="n"/>
      <c r="AG3001">
        <f>IF($C3001="","",IF(COUNTIF($C$2:$C3001,$C3001)=1,1,0))</f>
        <v/>
      </c>
      <c r="AH3001">
        <f>IF($AG3001=1,SUMPRODUCT(--($AK$2:$AK$6001&lt;$AK3001))+1,"")</f>
        <v/>
      </c>
      <c r="AI3001">
        <f>IF($C3001="","",IF(OR($N3001=TRUE(),$N3001="TRUE"),1,0))</f>
        <v/>
      </c>
      <c r="AJ3001">
        <f>IF($C3001="","",IF($T3001="Yes",1,0))</f>
        <v/>
      </c>
      <c r="AK3001">
        <f>IF($AG3001=1,IFERROR(IF(VALUE($C3001)&lt;100000000,VALUE($C3001),1000000000),IFERROR(IF(VALUE(MID($C3001,2,20))&lt;100000000,VALUE(MID($C3001,2,20)),1000000000),1000000000))+ROW()/100000,"")</f>
        <v/>
      </c>
    </row>
    <row r="3002">
      <c r="D3002" s="11" t="n"/>
      <c r="K3002" s="7">
        <f>IF($C3002="","",J3002*W3002/100)</f>
        <v/>
      </c>
      <c r="Q3002" s="7" t="n"/>
      <c r="R3002" s="7" t="n"/>
      <c r="U3002">
        <f>IF($C3002="","",IF($AJ3002=1,0,IF($AI3002=1,Settings!$C$6,Settings!$C$7))*100)</f>
        <v/>
      </c>
      <c r="V3002" s="7">
        <f>IF($C3002="","",R3002*U3002/100)</f>
        <v/>
      </c>
      <c r="W3002" s="7">
        <f>IF($C3002="","",R3002-V3002)</f>
        <v/>
      </c>
      <c r="X3002" s="7">
        <f>IF($C3002="","",W3002-K3002)</f>
        <v/>
      </c>
      <c r="AB3002" s="7" t="n"/>
      <c r="AE3002" s="11" t="n"/>
      <c r="AG3002">
        <f>IF($C3002="","",IF(COUNTIF($C$2:$C3002,$C3002)=1,1,0))</f>
        <v/>
      </c>
      <c r="AH3002">
        <f>IF($AG3002=1,SUMPRODUCT(--($AK$2:$AK$6001&lt;$AK3002))+1,"")</f>
        <v/>
      </c>
      <c r="AI3002">
        <f>IF($C3002="","",IF(OR($N3002=TRUE(),$N3002="TRUE"),1,0))</f>
        <v/>
      </c>
      <c r="AJ3002">
        <f>IF($C3002="","",IF($T3002="Yes",1,0))</f>
        <v/>
      </c>
      <c r="AK3002">
        <f>IF($AG3002=1,IFERROR(IF(VALUE($C3002)&lt;100000000,VALUE($C3002),1000000000),IFERROR(IF(VALUE(MID($C3002,2,20))&lt;100000000,VALUE(MID($C3002,2,20)),1000000000),1000000000))+ROW()/100000,"")</f>
        <v/>
      </c>
    </row>
    <row r="3003">
      <c r="D3003" s="11" t="n"/>
      <c r="K3003" s="7">
        <f>IF($C3003="","",J3003*W3003/100)</f>
        <v/>
      </c>
      <c r="Q3003" s="7" t="n"/>
      <c r="R3003" s="7" t="n"/>
      <c r="U3003">
        <f>IF($C3003="","",IF($AJ3003=1,0,IF($AI3003=1,Settings!$C$6,Settings!$C$7))*100)</f>
        <v/>
      </c>
      <c r="V3003" s="7">
        <f>IF($C3003="","",R3003*U3003/100)</f>
        <v/>
      </c>
      <c r="W3003" s="7">
        <f>IF($C3003="","",R3003-V3003)</f>
        <v/>
      </c>
      <c r="X3003" s="7">
        <f>IF($C3003="","",W3003-K3003)</f>
        <v/>
      </c>
      <c r="AB3003" s="7" t="n"/>
      <c r="AE3003" s="11" t="n"/>
      <c r="AG3003">
        <f>IF($C3003="","",IF(COUNTIF($C$2:$C3003,$C3003)=1,1,0))</f>
        <v/>
      </c>
      <c r="AH3003">
        <f>IF($AG3003=1,SUMPRODUCT(--($AK$2:$AK$6001&lt;$AK3003))+1,"")</f>
        <v/>
      </c>
      <c r="AI3003">
        <f>IF($C3003="","",IF(OR($N3003=TRUE(),$N3003="TRUE"),1,0))</f>
        <v/>
      </c>
      <c r="AJ3003">
        <f>IF($C3003="","",IF($T3003="Yes",1,0))</f>
        <v/>
      </c>
      <c r="AK3003">
        <f>IF($AG3003=1,IFERROR(IF(VALUE($C3003)&lt;100000000,VALUE($C3003),1000000000),IFERROR(IF(VALUE(MID($C3003,2,20))&lt;100000000,VALUE(MID($C3003,2,20)),1000000000),1000000000))+ROW()/100000,"")</f>
        <v/>
      </c>
    </row>
    <row r="3004">
      <c r="D3004" s="11" t="n"/>
      <c r="K3004" s="7">
        <f>IF($C3004="","",J3004*W3004/100)</f>
        <v/>
      </c>
      <c r="Q3004" s="7" t="n"/>
      <c r="R3004" s="7" t="n"/>
      <c r="U3004">
        <f>IF($C3004="","",IF($AJ3004=1,0,IF($AI3004=1,Settings!$C$6,Settings!$C$7))*100)</f>
        <v/>
      </c>
      <c r="V3004" s="7">
        <f>IF($C3004="","",R3004*U3004/100)</f>
        <v/>
      </c>
      <c r="W3004" s="7">
        <f>IF($C3004="","",R3004-V3004)</f>
        <v/>
      </c>
      <c r="X3004" s="7">
        <f>IF($C3004="","",W3004-K3004)</f>
        <v/>
      </c>
      <c r="AB3004" s="7" t="n"/>
      <c r="AE3004" s="11" t="n"/>
      <c r="AG3004">
        <f>IF($C3004="","",IF(COUNTIF($C$2:$C3004,$C3004)=1,1,0))</f>
        <v/>
      </c>
      <c r="AH3004">
        <f>IF($AG3004=1,SUMPRODUCT(--($AK$2:$AK$6001&lt;$AK3004))+1,"")</f>
        <v/>
      </c>
      <c r="AI3004">
        <f>IF($C3004="","",IF(OR($N3004=TRUE(),$N3004="TRUE"),1,0))</f>
        <v/>
      </c>
      <c r="AJ3004">
        <f>IF($C3004="","",IF($T3004="Yes",1,0))</f>
        <v/>
      </c>
      <c r="AK3004">
        <f>IF($AG3004=1,IFERROR(IF(VALUE($C3004)&lt;100000000,VALUE($C3004),1000000000),IFERROR(IF(VALUE(MID($C3004,2,20))&lt;100000000,VALUE(MID($C3004,2,20)),1000000000),1000000000))+ROW()/100000,"")</f>
        <v/>
      </c>
    </row>
    <row r="3005">
      <c r="D3005" s="11" t="n"/>
      <c r="K3005" s="7">
        <f>IF($C3005="","",J3005*W3005/100)</f>
        <v/>
      </c>
      <c r="Q3005" s="7" t="n"/>
      <c r="R3005" s="7" t="n"/>
      <c r="U3005">
        <f>IF($C3005="","",IF($AJ3005=1,0,IF($AI3005=1,Settings!$C$6,Settings!$C$7))*100)</f>
        <v/>
      </c>
      <c r="V3005" s="7">
        <f>IF($C3005="","",R3005*U3005/100)</f>
        <v/>
      </c>
      <c r="W3005" s="7">
        <f>IF($C3005="","",R3005-V3005)</f>
        <v/>
      </c>
      <c r="X3005" s="7">
        <f>IF($C3005="","",W3005-K3005)</f>
        <v/>
      </c>
      <c r="AB3005" s="7" t="n"/>
      <c r="AE3005" s="11" t="n"/>
      <c r="AG3005">
        <f>IF($C3005="","",IF(COUNTIF($C$2:$C3005,$C3005)=1,1,0))</f>
        <v/>
      </c>
      <c r="AH3005">
        <f>IF($AG3005=1,SUMPRODUCT(--($AK$2:$AK$6001&lt;$AK3005))+1,"")</f>
        <v/>
      </c>
      <c r="AI3005">
        <f>IF($C3005="","",IF(OR($N3005=TRUE(),$N3005="TRUE"),1,0))</f>
        <v/>
      </c>
      <c r="AJ3005">
        <f>IF($C3005="","",IF($T3005="Yes",1,0))</f>
        <v/>
      </c>
      <c r="AK3005">
        <f>IF($AG3005=1,IFERROR(IF(VALUE($C3005)&lt;100000000,VALUE($C3005),1000000000),IFERROR(IF(VALUE(MID($C3005,2,20))&lt;100000000,VALUE(MID($C3005,2,20)),1000000000),1000000000))+ROW()/100000,"")</f>
        <v/>
      </c>
    </row>
    <row r="3006">
      <c r="D3006" s="11" t="n"/>
      <c r="K3006" s="7">
        <f>IF($C3006="","",J3006*W3006/100)</f>
        <v/>
      </c>
      <c r="Q3006" s="7" t="n"/>
      <c r="R3006" s="7" t="n"/>
      <c r="U3006">
        <f>IF($C3006="","",IF($AJ3006=1,0,IF($AI3006=1,Settings!$C$6,Settings!$C$7))*100)</f>
        <v/>
      </c>
      <c r="V3006" s="7">
        <f>IF($C3006="","",R3006*U3006/100)</f>
        <v/>
      </c>
      <c r="W3006" s="7">
        <f>IF($C3006="","",R3006-V3006)</f>
        <v/>
      </c>
      <c r="X3006" s="7">
        <f>IF($C3006="","",W3006-K3006)</f>
        <v/>
      </c>
      <c r="AB3006" s="7" t="n"/>
      <c r="AE3006" s="11" t="n"/>
      <c r="AG3006">
        <f>IF($C3006="","",IF(COUNTIF($C$2:$C3006,$C3006)=1,1,0))</f>
        <v/>
      </c>
      <c r="AH3006">
        <f>IF($AG3006=1,SUMPRODUCT(--($AK$2:$AK$6001&lt;$AK3006))+1,"")</f>
        <v/>
      </c>
      <c r="AI3006">
        <f>IF($C3006="","",IF(OR($N3006=TRUE(),$N3006="TRUE"),1,0))</f>
        <v/>
      </c>
      <c r="AJ3006">
        <f>IF($C3006="","",IF($T3006="Yes",1,0))</f>
        <v/>
      </c>
      <c r="AK3006">
        <f>IF($AG3006=1,IFERROR(IF(VALUE($C3006)&lt;100000000,VALUE($C3006),1000000000),IFERROR(IF(VALUE(MID($C3006,2,20))&lt;100000000,VALUE(MID($C3006,2,20)),1000000000),1000000000))+ROW()/100000,"")</f>
        <v/>
      </c>
    </row>
    <row r="3007">
      <c r="D3007" s="11" t="n"/>
      <c r="K3007" s="7">
        <f>IF($C3007="","",J3007*W3007/100)</f>
        <v/>
      </c>
      <c r="Q3007" s="7" t="n"/>
      <c r="R3007" s="7" t="n"/>
      <c r="U3007">
        <f>IF($C3007="","",IF($AJ3007=1,0,IF($AI3007=1,Settings!$C$6,Settings!$C$7))*100)</f>
        <v/>
      </c>
      <c r="V3007" s="7">
        <f>IF($C3007="","",R3007*U3007/100)</f>
        <v/>
      </c>
      <c r="W3007" s="7">
        <f>IF($C3007="","",R3007-V3007)</f>
        <v/>
      </c>
      <c r="X3007" s="7">
        <f>IF($C3007="","",W3007-K3007)</f>
        <v/>
      </c>
      <c r="AB3007" s="7" t="n"/>
      <c r="AE3007" s="11" t="n"/>
      <c r="AG3007">
        <f>IF($C3007="","",IF(COUNTIF($C$2:$C3007,$C3007)=1,1,0))</f>
        <v/>
      </c>
      <c r="AH3007">
        <f>IF($AG3007=1,SUMPRODUCT(--($AK$2:$AK$6001&lt;$AK3007))+1,"")</f>
        <v/>
      </c>
      <c r="AI3007">
        <f>IF($C3007="","",IF(OR($N3007=TRUE(),$N3007="TRUE"),1,0))</f>
        <v/>
      </c>
      <c r="AJ3007">
        <f>IF($C3007="","",IF($T3007="Yes",1,0))</f>
        <v/>
      </c>
      <c r="AK3007">
        <f>IF($AG3007=1,IFERROR(IF(VALUE($C3007)&lt;100000000,VALUE($C3007),1000000000),IFERROR(IF(VALUE(MID($C3007,2,20))&lt;100000000,VALUE(MID($C3007,2,20)),1000000000),1000000000))+ROW()/100000,"")</f>
        <v/>
      </c>
    </row>
    <row r="3008">
      <c r="D3008" s="11" t="n"/>
      <c r="K3008" s="7">
        <f>IF($C3008="","",J3008*W3008/100)</f>
        <v/>
      </c>
      <c r="Q3008" s="7" t="n"/>
      <c r="R3008" s="7" t="n"/>
      <c r="U3008">
        <f>IF($C3008="","",IF($AJ3008=1,0,IF($AI3008=1,Settings!$C$6,Settings!$C$7))*100)</f>
        <v/>
      </c>
      <c r="V3008" s="7">
        <f>IF($C3008="","",R3008*U3008/100)</f>
        <v/>
      </c>
      <c r="W3008" s="7">
        <f>IF($C3008="","",R3008-V3008)</f>
        <v/>
      </c>
      <c r="X3008" s="7">
        <f>IF($C3008="","",W3008-K3008)</f>
        <v/>
      </c>
      <c r="AB3008" s="7" t="n"/>
      <c r="AE3008" s="11" t="n"/>
      <c r="AG3008">
        <f>IF($C3008="","",IF(COUNTIF($C$2:$C3008,$C3008)=1,1,0))</f>
        <v/>
      </c>
      <c r="AH3008">
        <f>IF($AG3008=1,SUMPRODUCT(--($AK$2:$AK$6001&lt;$AK3008))+1,"")</f>
        <v/>
      </c>
      <c r="AI3008">
        <f>IF($C3008="","",IF(OR($N3008=TRUE(),$N3008="TRUE"),1,0))</f>
        <v/>
      </c>
      <c r="AJ3008">
        <f>IF($C3008="","",IF($T3008="Yes",1,0))</f>
        <v/>
      </c>
      <c r="AK3008">
        <f>IF($AG3008=1,IFERROR(IF(VALUE($C3008)&lt;100000000,VALUE($C3008),1000000000),IFERROR(IF(VALUE(MID($C3008,2,20))&lt;100000000,VALUE(MID($C3008,2,20)),1000000000),1000000000))+ROW()/100000,"")</f>
        <v/>
      </c>
    </row>
    <row r="3009">
      <c r="D3009" s="11" t="n"/>
      <c r="K3009" s="7">
        <f>IF($C3009="","",J3009*W3009/100)</f>
        <v/>
      </c>
      <c r="Q3009" s="7" t="n"/>
      <c r="R3009" s="7" t="n"/>
      <c r="U3009">
        <f>IF($C3009="","",IF($AJ3009=1,0,IF($AI3009=1,Settings!$C$6,Settings!$C$7))*100)</f>
        <v/>
      </c>
      <c r="V3009" s="7">
        <f>IF($C3009="","",R3009*U3009/100)</f>
        <v/>
      </c>
      <c r="W3009" s="7">
        <f>IF($C3009="","",R3009-V3009)</f>
        <v/>
      </c>
      <c r="X3009" s="7">
        <f>IF($C3009="","",W3009-K3009)</f>
        <v/>
      </c>
      <c r="AB3009" s="7" t="n"/>
      <c r="AE3009" s="11" t="n"/>
      <c r="AG3009">
        <f>IF($C3009="","",IF(COUNTIF($C$2:$C3009,$C3009)=1,1,0))</f>
        <v/>
      </c>
      <c r="AH3009">
        <f>IF($AG3009=1,SUMPRODUCT(--($AK$2:$AK$6001&lt;$AK3009))+1,"")</f>
        <v/>
      </c>
      <c r="AI3009">
        <f>IF($C3009="","",IF(OR($N3009=TRUE(),$N3009="TRUE"),1,0))</f>
        <v/>
      </c>
      <c r="AJ3009">
        <f>IF($C3009="","",IF($T3009="Yes",1,0))</f>
        <v/>
      </c>
      <c r="AK3009">
        <f>IF($AG3009=1,IFERROR(IF(VALUE($C3009)&lt;100000000,VALUE($C3009),1000000000),IFERROR(IF(VALUE(MID($C3009,2,20))&lt;100000000,VALUE(MID($C3009,2,20)),1000000000),1000000000))+ROW()/100000,"")</f>
        <v/>
      </c>
    </row>
    <row r="3010">
      <c r="D3010" s="11" t="n"/>
      <c r="K3010" s="7">
        <f>IF($C3010="","",J3010*W3010/100)</f>
        <v/>
      </c>
      <c r="Q3010" s="7" t="n"/>
      <c r="R3010" s="7" t="n"/>
      <c r="U3010">
        <f>IF($C3010="","",IF($AJ3010=1,0,IF($AI3010=1,Settings!$C$6,Settings!$C$7))*100)</f>
        <v/>
      </c>
      <c r="V3010" s="7">
        <f>IF($C3010="","",R3010*U3010/100)</f>
        <v/>
      </c>
      <c r="W3010" s="7">
        <f>IF($C3010="","",R3010-V3010)</f>
        <v/>
      </c>
      <c r="X3010" s="7">
        <f>IF($C3010="","",W3010-K3010)</f>
        <v/>
      </c>
      <c r="AB3010" s="7" t="n"/>
      <c r="AE3010" s="11" t="n"/>
      <c r="AG3010">
        <f>IF($C3010="","",IF(COUNTIF($C$2:$C3010,$C3010)=1,1,0))</f>
        <v/>
      </c>
      <c r="AH3010">
        <f>IF($AG3010=1,SUMPRODUCT(--($AK$2:$AK$6001&lt;$AK3010))+1,"")</f>
        <v/>
      </c>
      <c r="AI3010">
        <f>IF($C3010="","",IF(OR($N3010=TRUE(),$N3010="TRUE"),1,0))</f>
        <v/>
      </c>
      <c r="AJ3010">
        <f>IF($C3010="","",IF($T3010="Yes",1,0))</f>
        <v/>
      </c>
      <c r="AK3010">
        <f>IF($AG3010=1,IFERROR(IF(VALUE($C3010)&lt;100000000,VALUE($C3010),1000000000),IFERROR(IF(VALUE(MID($C3010,2,20))&lt;100000000,VALUE(MID($C3010,2,20)),1000000000),1000000000))+ROW()/100000,"")</f>
        <v/>
      </c>
    </row>
    <row r="3011">
      <c r="D3011" s="11" t="n"/>
      <c r="K3011" s="7">
        <f>IF($C3011="","",J3011*W3011/100)</f>
        <v/>
      </c>
      <c r="Q3011" s="7" t="n"/>
      <c r="R3011" s="7" t="n"/>
      <c r="U3011">
        <f>IF($C3011="","",IF($AJ3011=1,0,IF($AI3011=1,Settings!$C$6,Settings!$C$7))*100)</f>
        <v/>
      </c>
      <c r="V3011" s="7">
        <f>IF($C3011="","",R3011*U3011/100)</f>
        <v/>
      </c>
      <c r="W3011" s="7">
        <f>IF($C3011="","",R3011-V3011)</f>
        <v/>
      </c>
      <c r="X3011" s="7">
        <f>IF($C3011="","",W3011-K3011)</f>
        <v/>
      </c>
      <c r="AB3011" s="7" t="n"/>
      <c r="AE3011" s="11" t="n"/>
      <c r="AG3011">
        <f>IF($C3011="","",IF(COUNTIF($C$2:$C3011,$C3011)=1,1,0))</f>
        <v/>
      </c>
      <c r="AH3011">
        <f>IF($AG3011=1,SUMPRODUCT(--($AK$2:$AK$6001&lt;$AK3011))+1,"")</f>
        <v/>
      </c>
      <c r="AI3011">
        <f>IF($C3011="","",IF(OR($N3011=TRUE(),$N3011="TRUE"),1,0))</f>
        <v/>
      </c>
      <c r="AJ3011">
        <f>IF($C3011="","",IF($T3011="Yes",1,0))</f>
        <v/>
      </c>
      <c r="AK3011">
        <f>IF($AG3011=1,IFERROR(IF(VALUE($C3011)&lt;100000000,VALUE($C3011),1000000000),IFERROR(IF(VALUE(MID($C3011,2,20))&lt;100000000,VALUE(MID($C3011,2,20)),1000000000),1000000000))+ROW()/100000,"")</f>
        <v/>
      </c>
    </row>
    <row r="3012">
      <c r="D3012" s="11" t="n"/>
      <c r="K3012" s="7">
        <f>IF($C3012="","",J3012*W3012/100)</f>
        <v/>
      </c>
      <c r="Q3012" s="7" t="n"/>
      <c r="R3012" s="7" t="n"/>
      <c r="U3012">
        <f>IF($C3012="","",IF($AJ3012=1,0,IF($AI3012=1,Settings!$C$6,Settings!$C$7))*100)</f>
        <v/>
      </c>
      <c r="V3012" s="7">
        <f>IF($C3012="","",R3012*U3012/100)</f>
        <v/>
      </c>
      <c r="W3012" s="7">
        <f>IF($C3012="","",R3012-V3012)</f>
        <v/>
      </c>
      <c r="X3012" s="7">
        <f>IF($C3012="","",W3012-K3012)</f>
        <v/>
      </c>
      <c r="AB3012" s="7" t="n"/>
      <c r="AE3012" s="11" t="n"/>
      <c r="AG3012">
        <f>IF($C3012="","",IF(COUNTIF($C$2:$C3012,$C3012)=1,1,0))</f>
        <v/>
      </c>
      <c r="AH3012">
        <f>IF($AG3012=1,SUMPRODUCT(--($AK$2:$AK$6001&lt;$AK3012))+1,"")</f>
        <v/>
      </c>
      <c r="AI3012">
        <f>IF($C3012="","",IF(OR($N3012=TRUE(),$N3012="TRUE"),1,0))</f>
        <v/>
      </c>
      <c r="AJ3012">
        <f>IF($C3012="","",IF($T3012="Yes",1,0))</f>
        <v/>
      </c>
      <c r="AK3012">
        <f>IF($AG3012=1,IFERROR(IF(VALUE($C3012)&lt;100000000,VALUE($C3012),1000000000),IFERROR(IF(VALUE(MID($C3012,2,20))&lt;100000000,VALUE(MID($C3012,2,20)),1000000000),1000000000))+ROW()/100000,"")</f>
        <v/>
      </c>
    </row>
    <row r="3013">
      <c r="D3013" s="11" t="n"/>
      <c r="K3013" s="7">
        <f>IF($C3013="","",J3013*W3013/100)</f>
        <v/>
      </c>
      <c r="Q3013" s="7" t="n"/>
      <c r="R3013" s="7" t="n"/>
      <c r="U3013">
        <f>IF($C3013="","",IF($AJ3013=1,0,IF($AI3013=1,Settings!$C$6,Settings!$C$7))*100)</f>
        <v/>
      </c>
      <c r="V3013" s="7">
        <f>IF($C3013="","",R3013*U3013/100)</f>
        <v/>
      </c>
      <c r="W3013" s="7">
        <f>IF($C3013="","",R3013-V3013)</f>
        <v/>
      </c>
      <c r="X3013" s="7">
        <f>IF($C3013="","",W3013-K3013)</f>
        <v/>
      </c>
      <c r="AB3013" s="7" t="n"/>
      <c r="AE3013" s="11" t="n"/>
      <c r="AG3013">
        <f>IF($C3013="","",IF(COUNTIF($C$2:$C3013,$C3013)=1,1,0))</f>
        <v/>
      </c>
      <c r="AH3013">
        <f>IF($AG3013=1,SUMPRODUCT(--($AK$2:$AK$6001&lt;$AK3013))+1,"")</f>
        <v/>
      </c>
      <c r="AI3013">
        <f>IF($C3013="","",IF(OR($N3013=TRUE(),$N3013="TRUE"),1,0))</f>
        <v/>
      </c>
      <c r="AJ3013">
        <f>IF($C3013="","",IF($T3013="Yes",1,0))</f>
        <v/>
      </c>
      <c r="AK3013">
        <f>IF($AG3013=1,IFERROR(IF(VALUE($C3013)&lt;100000000,VALUE($C3013),1000000000),IFERROR(IF(VALUE(MID($C3013,2,20))&lt;100000000,VALUE(MID($C3013,2,20)),1000000000),1000000000))+ROW()/100000,"")</f>
        <v/>
      </c>
    </row>
    <row r="3014">
      <c r="D3014" s="11" t="n"/>
      <c r="K3014" s="7">
        <f>IF($C3014="","",J3014*W3014/100)</f>
        <v/>
      </c>
      <c r="Q3014" s="7" t="n"/>
      <c r="R3014" s="7" t="n"/>
      <c r="U3014">
        <f>IF($C3014="","",IF($AJ3014=1,0,IF($AI3014=1,Settings!$C$6,Settings!$C$7))*100)</f>
        <v/>
      </c>
      <c r="V3014" s="7">
        <f>IF($C3014="","",R3014*U3014/100)</f>
        <v/>
      </c>
      <c r="W3014" s="7">
        <f>IF($C3014="","",R3014-V3014)</f>
        <v/>
      </c>
      <c r="X3014" s="7">
        <f>IF($C3014="","",W3014-K3014)</f>
        <v/>
      </c>
      <c r="AB3014" s="7" t="n"/>
      <c r="AE3014" s="11" t="n"/>
      <c r="AG3014">
        <f>IF($C3014="","",IF(COUNTIF($C$2:$C3014,$C3014)=1,1,0))</f>
        <v/>
      </c>
      <c r="AH3014">
        <f>IF($AG3014=1,SUMPRODUCT(--($AK$2:$AK$6001&lt;$AK3014))+1,"")</f>
        <v/>
      </c>
      <c r="AI3014">
        <f>IF($C3014="","",IF(OR($N3014=TRUE(),$N3014="TRUE"),1,0))</f>
        <v/>
      </c>
      <c r="AJ3014">
        <f>IF($C3014="","",IF($T3014="Yes",1,0))</f>
        <v/>
      </c>
      <c r="AK3014">
        <f>IF($AG3014=1,IFERROR(IF(VALUE($C3014)&lt;100000000,VALUE($C3014),1000000000),IFERROR(IF(VALUE(MID($C3014,2,20))&lt;100000000,VALUE(MID($C3014,2,20)),1000000000),1000000000))+ROW()/100000,"")</f>
        <v/>
      </c>
    </row>
    <row r="3015">
      <c r="D3015" s="11" t="n"/>
      <c r="K3015" s="7">
        <f>IF($C3015="","",J3015*W3015/100)</f>
        <v/>
      </c>
      <c r="Q3015" s="7" t="n"/>
      <c r="R3015" s="7" t="n"/>
      <c r="U3015">
        <f>IF($C3015="","",IF($AJ3015=1,0,IF($AI3015=1,Settings!$C$6,Settings!$C$7))*100)</f>
        <v/>
      </c>
      <c r="V3015" s="7">
        <f>IF($C3015="","",R3015*U3015/100)</f>
        <v/>
      </c>
      <c r="W3015" s="7">
        <f>IF($C3015="","",R3015-V3015)</f>
        <v/>
      </c>
      <c r="X3015" s="7">
        <f>IF($C3015="","",W3015-K3015)</f>
        <v/>
      </c>
      <c r="AB3015" s="7" t="n"/>
      <c r="AE3015" s="11" t="n"/>
      <c r="AG3015">
        <f>IF($C3015="","",IF(COUNTIF($C$2:$C3015,$C3015)=1,1,0))</f>
        <v/>
      </c>
      <c r="AH3015">
        <f>IF($AG3015=1,SUMPRODUCT(--($AK$2:$AK$6001&lt;$AK3015))+1,"")</f>
        <v/>
      </c>
      <c r="AI3015">
        <f>IF($C3015="","",IF(OR($N3015=TRUE(),$N3015="TRUE"),1,0))</f>
        <v/>
      </c>
      <c r="AJ3015">
        <f>IF($C3015="","",IF($T3015="Yes",1,0))</f>
        <v/>
      </c>
      <c r="AK3015">
        <f>IF($AG3015=1,IFERROR(IF(VALUE($C3015)&lt;100000000,VALUE($C3015),1000000000),IFERROR(IF(VALUE(MID($C3015,2,20))&lt;100000000,VALUE(MID($C3015,2,20)),1000000000),1000000000))+ROW()/100000,"")</f>
        <v/>
      </c>
    </row>
    <row r="3016">
      <c r="D3016" s="11" t="n"/>
      <c r="K3016" s="7">
        <f>IF($C3016="","",J3016*W3016/100)</f>
        <v/>
      </c>
      <c r="Q3016" s="7" t="n"/>
      <c r="R3016" s="7" t="n"/>
      <c r="U3016">
        <f>IF($C3016="","",IF($AJ3016=1,0,IF($AI3016=1,Settings!$C$6,Settings!$C$7))*100)</f>
        <v/>
      </c>
      <c r="V3016" s="7">
        <f>IF($C3016="","",R3016*U3016/100)</f>
        <v/>
      </c>
      <c r="W3016" s="7">
        <f>IF($C3016="","",R3016-V3016)</f>
        <v/>
      </c>
      <c r="X3016" s="7">
        <f>IF($C3016="","",W3016-K3016)</f>
        <v/>
      </c>
      <c r="AB3016" s="7" t="n"/>
      <c r="AE3016" s="11" t="n"/>
      <c r="AG3016">
        <f>IF($C3016="","",IF(COUNTIF($C$2:$C3016,$C3016)=1,1,0))</f>
        <v/>
      </c>
      <c r="AH3016">
        <f>IF($AG3016=1,SUMPRODUCT(--($AK$2:$AK$6001&lt;$AK3016))+1,"")</f>
        <v/>
      </c>
      <c r="AI3016">
        <f>IF($C3016="","",IF(OR($N3016=TRUE(),$N3016="TRUE"),1,0))</f>
        <v/>
      </c>
      <c r="AJ3016">
        <f>IF($C3016="","",IF($T3016="Yes",1,0))</f>
        <v/>
      </c>
      <c r="AK3016">
        <f>IF($AG3016=1,IFERROR(IF(VALUE($C3016)&lt;100000000,VALUE($C3016),1000000000),IFERROR(IF(VALUE(MID($C3016,2,20))&lt;100000000,VALUE(MID($C3016,2,20)),1000000000),1000000000))+ROW()/100000,"")</f>
        <v/>
      </c>
    </row>
    <row r="3017">
      <c r="D3017" s="11" t="n"/>
      <c r="K3017" s="7">
        <f>IF($C3017="","",J3017*W3017/100)</f>
        <v/>
      </c>
      <c r="Q3017" s="7" t="n"/>
      <c r="R3017" s="7" t="n"/>
      <c r="U3017">
        <f>IF($C3017="","",IF($AJ3017=1,0,IF($AI3017=1,Settings!$C$6,Settings!$C$7))*100)</f>
        <v/>
      </c>
      <c r="V3017" s="7">
        <f>IF($C3017="","",R3017*U3017/100)</f>
        <v/>
      </c>
      <c r="W3017" s="7">
        <f>IF($C3017="","",R3017-V3017)</f>
        <v/>
      </c>
      <c r="X3017" s="7">
        <f>IF($C3017="","",W3017-K3017)</f>
        <v/>
      </c>
      <c r="AB3017" s="7" t="n"/>
      <c r="AE3017" s="11" t="n"/>
      <c r="AG3017">
        <f>IF($C3017="","",IF(COUNTIF($C$2:$C3017,$C3017)=1,1,0))</f>
        <v/>
      </c>
      <c r="AH3017">
        <f>IF($AG3017=1,SUMPRODUCT(--($AK$2:$AK$6001&lt;$AK3017))+1,"")</f>
        <v/>
      </c>
      <c r="AI3017">
        <f>IF($C3017="","",IF(OR($N3017=TRUE(),$N3017="TRUE"),1,0))</f>
        <v/>
      </c>
      <c r="AJ3017">
        <f>IF($C3017="","",IF($T3017="Yes",1,0))</f>
        <v/>
      </c>
      <c r="AK3017">
        <f>IF($AG3017=1,IFERROR(IF(VALUE($C3017)&lt;100000000,VALUE($C3017),1000000000),IFERROR(IF(VALUE(MID($C3017,2,20))&lt;100000000,VALUE(MID($C3017,2,20)),1000000000),1000000000))+ROW()/100000,"")</f>
        <v/>
      </c>
    </row>
    <row r="3018">
      <c r="D3018" s="11" t="n"/>
      <c r="K3018" s="7">
        <f>IF($C3018="","",J3018*W3018/100)</f>
        <v/>
      </c>
      <c r="Q3018" s="7" t="n"/>
      <c r="R3018" s="7" t="n"/>
      <c r="U3018">
        <f>IF($C3018="","",IF($AJ3018=1,0,IF($AI3018=1,Settings!$C$6,Settings!$C$7))*100)</f>
        <v/>
      </c>
      <c r="V3018" s="7">
        <f>IF($C3018="","",R3018*U3018/100)</f>
        <v/>
      </c>
      <c r="W3018" s="7">
        <f>IF($C3018="","",R3018-V3018)</f>
        <v/>
      </c>
      <c r="X3018" s="7">
        <f>IF($C3018="","",W3018-K3018)</f>
        <v/>
      </c>
      <c r="AB3018" s="7" t="n"/>
      <c r="AE3018" s="11" t="n"/>
      <c r="AG3018">
        <f>IF($C3018="","",IF(COUNTIF($C$2:$C3018,$C3018)=1,1,0))</f>
        <v/>
      </c>
      <c r="AH3018">
        <f>IF($AG3018=1,SUMPRODUCT(--($AK$2:$AK$6001&lt;$AK3018))+1,"")</f>
        <v/>
      </c>
      <c r="AI3018">
        <f>IF($C3018="","",IF(OR($N3018=TRUE(),$N3018="TRUE"),1,0))</f>
        <v/>
      </c>
      <c r="AJ3018">
        <f>IF($C3018="","",IF($T3018="Yes",1,0))</f>
        <v/>
      </c>
      <c r="AK3018">
        <f>IF($AG3018=1,IFERROR(IF(VALUE($C3018)&lt;100000000,VALUE($C3018),1000000000),IFERROR(IF(VALUE(MID($C3018,2,20))&lt;100000000,VALUE(MID($C3018,2,20)),1000000000),1000000000))+ROW()/100000,"")</f>
        <v/>
      </c>
    </row>
    <row r="3019">
      <c r="D3019" s="11" t="n"/>
      <c r="K3019" s="7">
        <f>IF($C3019="","",J3019*W3019/100)</f>
        <v/>
      </c>
      <c r="Q3019" s="7" t="n"/>
      <c r="R3019" s="7" t="n"/>
      <c r="U3019">
        <f>IF($C3019="","",IF($AJ3019=1,0,IF($AI3019=1,Settings!$C$6,Settings!$C$7))*100)</f>
        <v/>
      </c>
      <c r="V3019" s="7">
        <f>IF($C3019="","",R3019*U3019/100)</f>
        <v/>
      </c>
      <c r="W3019" s="7">
        <f>IF($C3019="","",R3019-V3019)</f>
        <v/>
      </c>
      <c r="X3019" s="7">
        <f>IF($C3019="","",W3019-K3019)</f>
        <v/>
      </c>
      <c r="AB3019" s="7" t="n"/>
      <c r="AE3019" s="11" t="n"/>
      <c r="AG3019">
        <f>IF($C3019="","",IF(COUNTIF($C$2:$C3019,$C3019)=1,1,0))</f>
        <v/>
      </c>
      <c r="AH3019">
        <f>IF($AG3019=1,SUMPRODUCT(--($AK$2:$AK$6001&lt;$AK3019))+1,"")</f>
        <v/>
      </c>
      <c r="AI3019">
        <f>IF($C3019="","",IF(OR($N3019=TRUE(),$N3019="TRUE"),1,0))</f>
        <v/>
      </c>
      <c r="AJ3019">
        <f>IF($C3019="","",IF($T3019="Yes",1,0))</f>
        <v/>
      </c>
      <c r="AK3019">
        <f>IF($AG3019=1,IFERROR(IF(VALUE($C3019)&lt;100000000,VALUE($C3019),1000000000),IFERROR(IF(VALUE(MID($C3019,2,20))&lt;100000000,VALUE(MID($C3019,2,20)),1000000000),1000000000))+ROW()/100000,"")</f>
        <v/>
      </c>
    </row>
    <row r="3020">
      <c r="D3020" s="11" t="n"/>
      <c r="K3020" s="7">
        <f>IF($C3020="","",J3020*W3020/100)</f>
        <v/>
      </c>
      <c r="Q3020" s="7" t="n"/>
      <c r="R3020" s="7" t="n"/>
      <c r="U3020">
        <f>IF($C3020="","",IF($AJ3020=1,0,IF($AI3020=1,Settings!$C$6,Settings!$C$7))*100)</f>
        <v/>
      </c>
      <c r="V3020" s="7">
        <f>IF($C3020="","",R3020*U3020/100)</f>
        <v/>
      </c>
      <c r="W3020" s="7">
        <f>IF($C3020="","",R3020-V3020)</f>
        <v/>
      </c>
      <c r="X3020" s="7">
        <f>IF($C3020="","",W3020-K3020)</f>
        <v/>
      </c>
      <c r="AB3020" s="7" t="n"/>
      <c r="AE3020" s="11" t="n"/>
      <c r="AG3020">
        <f>IF($C3020="","",IF(COUNTIF($C$2:$C3020,$C3020)=1,1,0))</f>
        <v/>
      </c>
      <c r="AH3020">
        <f>IF($AG3020=1,SUMPRODUCT(--($AK$2:$AK$6001&lt;$AK3020))+1,"")</f>
        <v/>
      </c>
      <c r="AI3020">
        <f>IF($C3020="","",IF(OR($N3020=TRUE(),$N3020="TRUE"),1,0))</f>
        <v/>
      </c>
      <c r="AJ3020">
        <f>IF($C3020="","",IF($T3020="Yes",1,0))</f>
        <v/>
      </c>
      <c r="AK3020">
        <f>IF($AG3020=1,IFERROR(IF(VALUE($C3020)&lt;100000000,VALUE($C3020),1000000000),IFERROR(IF(VALUE(MID($C3020,2,20))&lt;100000000,VALUE(MID($C3020,2,20)),1000000000),1000000000))+ROW()/100000,"")</f>
        <v/>
      </c>
    </row>
    <row r="3021">
      <c r="D3021" s="11" t="n"/>
      <c r="K3021" s="7">
        <f>IF($C3021="","",J3021*W3021/100)</f>
        <v/>
      </c>
      <c r="Q3021" s="7" t="n"/>
      <c r="R3021" s="7" t="n"/>
      <c r="U3021">
        <f>IF($C3021="","",IF($AJ3021=1,0,IF($AI3021=1,Settings!$C$6,Settings!$C$7))*100)</f>
        <v/>
      </c>
      <c r="V3021" s="7">
        <f>IF($C3021="","",R3021*U3021/100)</f>
        <v/>
      </c>
      <c r="W3021" s="7">
        <f>IF($C3021="","",R3021-V3021)</f>
        <v/>
      </c>
      <c r="X3021" s="7">
        <f>IF($C3021="","",W3021-K3021)</f>
        <v/>
      </c>
      <c r="AB3021" s="7" t="n"/>
      <c r="AE3021" s="11" t="n"/>
      <c r="AG3021">
        <f>IF($C3021="","",IF(COUNTIF($C$2:$C3021,$C3021)=1,1,0))</f>
        <v/>
      </c>
      <c r="AH3021">
        <f>IF($AG3021=1,SUMPRODUCT(--($AK$2:$AK$6001&lt;$AK3021))+1,"")</f>
        <v/>
      </c>
      <c r="AI3021">
        <f>IF($C3021="","",IF(OR($N3021=TRUE(),$N3021="TRUE"),1,0))</f>
        <v/>
      </c>
      <c r="AJ3021">
        <f>IF($C3021="","",IF($T3021="Yes",1,0))</f>
        <v/>
      </c>
      <c r="AK3021">
        <f>IF($AG3021=1,IFERROR(IF(VALUE($C3021)&lt;100000000,VALUE($C3021),1000000000),IFERROR(IF(VALUE(MID($C3021,2,20))&lt;100000000,VALUE(MID($C3021,2,20)),1000000000),1000000000))+ROW()/100000,"")</f>
        <v/>
      </c>
    </row>
    <row r="3022">
      <c r="D3022" s="11" t="n"/>
      <c r="K3022" s="7">
        <f>IF($C3022="","",J3022*W3022/100)</f>
        <v/>
      </c>
      <c r="Q3022" s="7" t="n"/>
      <c r="R3022" s="7" t="n"/>
      <c r="U3022">
        <f>IF($C3022="","",IF($AJ3022=1,0,IF($AI3022=1,Settings!$C$6,Settings!$C$7))*100)</f>
        <v/>
      </c>
      <c r="V3022" s="7">
        <f>IF($C3022="","",R3022*U3022/100)</f>
        <v/>
      </c>
      <c r="W3022" s="7">
        <f>IF($C3022="","",R3022-V3022)</f>
        <v/>
      </c>
      <c r="X3022" s="7">
        <f>IF($C3022="","",W3022-K3022)</f>
        <v/>
      </c>
      <c r="AB3022" s="7" t="n"/>
      <c r="AE3022" s="11" t="n"/>
      <c r="AG3022">
        <f>IF($C3022="","",IF(COUNTIF($C$2:$C3022,$C3022)=1,1,0))</f>
        <v/>
      </c>
      <c r="AH3022">
        <f>IF($AG3022=1,SUMPRODUCT(--($AK$2:$AK$6001&lt;$AK3022))+1,"")</f>
        <v/>
      </c>
      <c r="AI3022">
        <f>IF($C3022="","",IF(OR($N3022=TRUE(),$N3022="TRUE"),1,0))</f>
        <v/>
      </c>
      <c r="AJ3022">
        <f>IF($C3022="","",IF($T3022="Yes",1,0))</f>
        <v/>
      </c>
      <c r="AK3022">
        <f>IF($AG3022=1,IFERROR(IF(VALUE($C3022)&lt;100000000,VALUE($C3022),1000000000),IFERROR(IF(VALUE(MID($C3022,2,20))&lt;100000000,VALUE(MID($C3022,2,20)),1000000000),1000000000))+ROW()/100000,"")</f>
        <v/>
      </c>
    </row>
    <row r="3023">
      <c r="D3023" s="11" t="n"/>
      <c r="K3023" s="7">
        <f>IF($C3023="","",J3023*W3023/100)</f>
        <v/>
      </c>
      <c r="Q3023" s="7" t="n"/>
      <c r="R3023" s="7" t="n"/>
      <c r="U3023">
        <f>IF($C3023="","",IF($AJ3023=1,0,IF($AI3023=1,Settings!$C$6,Settings!$C$7))*100)</f>
        <v/>
      </c>
      <c r="V3023" s="7">
        <f>IF($C3023="","",R3023*U3023/100)</f>
        <v/>
      </c>
      <c r="W3023" s="7">
        <f>IF($C3023="","",R3023-V3023)</f>
        <v/>
      </c>
      <c r="X3023" s="7">
        <f>IF($C3023="","",W3023-K3023)</f>
        <v/>
      </c>
      <c r="AB3023" s="7" t="n"/>
      <c r="AE3023" s="11" t="n"/>
      <c r="AG3023">
        <f>IF($C3023="","",IF(COUNTIF($C$2:$C3023,$C3023)=1,1,0))</f>
        <v/>
      </c>
      <c r="AH3023">
        <f>IF($AG3023=1,SUMPRODUCT(--($AK$2:$AK$6001&lt;$AK3023))+1,"")</f>
        <v/>
      </c>
      <c r="AI3023">
        <f>IF($C3023="","",IF(OR($N3023=TRUE(),$N3023="TRUE"),1,0))</f>
        <v/>
      </c>
      <c r="AJ3023">
        <f>IF($C3023="","",IF($T3023="Yes",1,0))</f>
        <v/>
      </c>
      <c r="AK3023">
        <f>IF($AG3023=1,IFERROR(IF(VALUE($C3023)&lt;100000000,VALUE($C3023),1000000000),IFERROR(IF(VALUE(MID($C3023,2,20))&lt;100000000,VALUE(MID($C3023,2,20)),1000000000),1000000000))+ROW()/100000,"")</f>
        <v/>
      </c>
    </row>
    <row r="3024">
      <c r="D3024" s="11" t="n"/>
      <c r="K3024" s="7">
        <f>IF($C3024="","",J3024*W3024/100)</f>
        <v/>
      </c>
      <c r="Q3024" s="7" t="n"/>
      <c r="R3024" s="7" t="n"/>
      <c r="U3024">
        <f>IF($C3024="","",IF($AJ3024=1,0,IF($AI3024=1,Settings!$C$6,Settings!$C$7))*100)</f>
        <v/>
      </c>
      <c r="V3024" s="7">
        <f>IF($C3024="","",R3024*U3024/100)</f>
        <v/>
      </c>
      <c r="W3024" s="7">
        <f>IF($C3024="","",R3024-V3024)</f>
        <v/>
      </c>
      <c r="X3024" s="7">
        <f>IF($C3024="","",W3024-K3024)</f>
        <v/>
      </c>
      <c r="AB3024" s="7" t="n"/>
      <c r="AE3024" s="11" t="n"/>
      <c r="AG3024">
        <f>IF($C3024="","",IF(COUNTIF($C$2:$C3024,$C3024)=1,1,0))</f>
        <v/>
      </c>
      <c r="AH3024">
        <f>IF($AG3024=1,SUMPRODUCT(--($AK$2:$AK$6001&lt;$AK3024))+1,"")</f>
        <v/>
      </c>
      <c r="AI3024">
        <f>IF($C3024="","",IF(OR($N3024=TRUE(),$N3024="TRUE"),1,0))</f>
        <v/>
      </c>
      <c r="AJ3024">
        <f>IF($C3024="","",IF($T3024="Yes",1,0))</f>
        <v/>
      </c>
      <c r="AK3024">
        <f>IF($AG3024=1,IFERROR(IF(VALUE($C3024)&lt;100000000,VALUE($C3024),1000000000),IFERROR(IF(VALUE(MID($C3024,2,20))&lt;100000000,VALUE(MID($C3024,2,20)),1000000000),1000000000))+ROW()/100000,"")</f>
        <v/>
      </c>
    </row>
    <row r="3025">
      <c r="D3025" s="11" t="n"/>
      <c r="K3025" s="7">
        <f>IF($C3025="","",J3025*W3025/100)</f>
        <v/>
      </c>
      <c r="Q3025" s="7" t="n"/>
      <c r="R3025" s="7" t="n"/>
      <c r="U3025">
        <f>IF($C3025="","",IF($AJ3025=1,0,IF($AI3025=1,Settings!$C$6,Settings!$C$7))*100)</f>
        <v/>
      </c>
      <c r="V3025" s="7">
        <f>IF($C3025="","",R3025*U3025/100)</f>
        <v/>
      </c>
      <c r="W3025" s="7">
        <f>IF($C3025="","",R3025-V3025)</f>
        <v/>
      </c>
      <c r="X3025" s="7">
        <f>IF($C3025="","",W3025-K3025)</f>
        <v/>
      </c>
      <c r="AB3025" s="7" t="n"/>
      <c r="AE3025" s="11" t="n"/>
      <c r="AG3025">
        <f>IF($C3025="","",IF(COUNTIF($C$2:$C3025,$C3025)=1,1,0))</f>
        <v/>
      </c>
      <c r="AH3025">
        <f>IF($AG3025=1,SUMPRODUCT(--($AK$2:$AK$6001&lt;$AK3025))+1,"")</f>
        <v/>
      </c>
      <c r="AI3025">
        <f>IF($C3025="","",IF(OR($N3025=TRUE(),$N3025="TRUE"),1,0))</f>
        <v/>
      </c>
      <c r="AJ3025">
        <f>IF($C3025="","",IF($T3025="Yes",1,0))</f>
        <v/>
      </c>
      <c r="AK3025">
        <f>IF($AG3025=1,IFERROR(IF(VALUE($C3025)&lt;100000000,VALUE($C3025),1000000000),IFERROR(IF(VALUE(MID($C3025,2,20))&lt;100000000,VALUE(MID($C3025,2,20)),1000000000),1000000000))+ROW()/100000,"")</f>
        <v/>
      </c>
    </row>
    <row r="3026">
      <c r="D3026" s="11" t="n"/>
      <c r="K3026" s="7">
        <f>IF($C3026="","",J3026*W3026/100)</f>
        <v/>
      </c>
      <c r="Q3026" s="7" t="n"/>
      <c r="R3026" s="7" t="n"/>
      <c r="U3026">
        <f>IF($C3026="","",IF($AJ3026=1,0,IF($AI3026=1,Settings!$C$6,Settings!$C$7))*100)</f>
        <v/>
      </c>
      <c r="V3026" s="7">
        <f>IF($C3026="","",R3026*U3026/100)</f>
        <v/>
      </c>
      <c r="W3026" s="7">
        <f>IF($C3026="","",R3026-V3026)</f>
        <v/>
      </c>
      <c r="X3026" s="7">
        <f>IF($C3026="","",W3026-K3026)</f>
        <v/>
      </c>
      <c r="AB3026" s="7" t="n"/>
      <c r="AE3026" s="11" t="n"/>
      <c r="AG3026">
        <f>IF($C3026="","",IF(COUNTIF($C$2:$C3026,$C3026)=1,1,0))</f>
        <v/>
      </c>
      <c r="AH3026">
        <f>IF($AG3026=1,SUMPRODUCT(--($AK$2:$AK$6001&lt;$AK3026))+1,"")</f>
        <v/>
      </c>
      <c r="AI3026">
        <f>IF($C3026="","",IF(OR($N3026=TRUE(),$N3026="TRUE"),1,0))</f>
        <v/>
      </c>
      <c r="AJ3026">
        <f>IF($C3026="","",IF($T3026="Yes",1,0))</f>
        <v/>
      </c>
      <c r="AK3026">
        <f>IF($AG3026=1,IFERROR(IF(VALUE($C3026)&lt;100000000,VALUE($C3026),1000000000),IFERROR(IF(VALUE(MID($C3026,2,20))&lt;100000000,VALUE(MID($C3026,2,20)),1000000000),1000000000))+ROW()/100000,"")</f>
        <v/>
      </c>
    </row>
    <row r="3027">
      <c r="D3027" s="11" t="n"/>
      <c r="K3027" s="7">
        <f>IF($C3027="","",J3027*W3027/100)</f>
        <v/>
      </c>
      <c r="Q3027" s="7" t="n"/>
      <c r="R3027" s="7" t="n"/>
      <c r="U3027">
        <f>IF($C3027="","",IF($AJ3027=1,0,IF($AI3027=1,Settings!$C$6,Settings!$C$7))*100)</f>
        <v/>
      </c>
      <c r="V3027" s="7">
        <f>IF($C3027="","",R3027*U3027/100)</f>
        <v/>
      </c>
      <c r="W3027" s="7">
        <f>IF($C3027="","",R3027-V3027)</f>
        <v/>
      </c>
      <c r="X3027" s="7">
        <f>IF($C3027="","",W3027-K3027)</f>
        <v/>
      </c>
      <c r="AB3027" s="7" t="n"/>
      <c r="AE3027" s="11" t="n"/>
      <c r="AG3027">
        <f>IF($C3027="","",IF(COUNTIF($C$2:$C3027,$C3027)=1,1,0))</f>
        <v/>
      </c>
      <c r="AH3027">
        <f>IF($AG3027=1,SUMPRODUCT(--($AK$2:$AK$6001&lt;$AK3027))+1,"")</f>
        <v/>
      </c>
      <c r="AI3027">
        <f>IF($C3027="","",IF(OR($N3027=TRUE(),$N3027="TRUE"),1,0))</f>
        <v/>
      </c>
      <c r="AJ3027">
        <f>IF($C3027="","",IF($T3027="Yes",1,0))</f>
        <v/>
      </c>
      <c r="AK3027">
        <f>IF($AG3027=1,IFERROR(IF(VALUE($C3027)&lt;100000000,VALUE($C3027),1000000000),IFERROR(IF(VALUE(MID($C3027,2,20))&lt;100000000,VALUE(MID($C3027,2,20)),1000000000),1000000000))+ROW()/100000,"")</f>
        <v/>
      </c>
    </row>
    <row r="3028">
      <c r="D3028" s="11" t="n"/>
      <c r="K3028" s="7">
        <f>IF($C3028="","",J3028*W3028/100)</f>
        <v/>
      </c>
      <c r="Q3028" s="7" t="n"/>
      <c r="R3028" s="7" t="n"/>
      <c r="U3028">
        <f>IF($C3028="","",IF($AJ3028=1,0,IF($AI3028=1,Settings!$C$6,Settings!$C$7))*100)</f>
        <v/>
      </c>
      <c r="V3028" s="7">
        <f>IF($C3028="","",R3028*U3028/100)</f>
        <v/>
      </c>
      <c r="W3028" s="7">
        <f>IF($C3028="","",R3028-V3028)</f>
        <v/>
      </c>
      <c r="X3028" s="7">
        <f>IF($C3028="","",W3028-K3028)</f>
        <v/>
      </c>
      <c r="AB3028" s="7" t="n"/>
      <c r="AE3028" s="11" t="n"/>
      <c r="AG3028">
        <f>IF($C3028="","",IF(COUNTIF($C$2:$C3028,$C3028)=1,1,0))</f>
        <v/>
      </c>
      <c r="AH3028">
        <f>IF($AG3028=1,SUMPRODUCT(--($AK$2:$AK$6001&lt;$AK3028))+1,"")</f>
        <v/>
      </c>
      <c r="AI3028">
        <f>IF($C3028="","",IF(OR($N3028=TRUE(),$N3028="TRUE"),1,0))</f>
        <v/>
      </c>
      <c r="AJ3028">
        <f>IF($C3028="","",IF($T3028="Yes",1,0))</f>
        <v/>
      </c>
      <c r="AK3028">
        <f>IF($AG3028=1,IFERROR(IF(VALUE($C3028)&lt;100000000,VALUE($C3028),1000000000),IFERROR(IF(VALUE(MID($C3028,2,20))&lt;100000000,VALUE(MID($C3028,2,20)),1000000000),1000000000))+ROW()/100000,"")</f>
        <v/>
      </c>
    </row>
    <row r="3029">
      <c r="D3029" s="11" t="n"/>
      <c r="K3029" s="7">
        <f>IF($C3029="","",J3029*W3029/100)</f>
        <v/>
      </c>
      <c r="Q3029" s="7" t="n"/>
      <c r="R3029" s="7" t="n"/>
      <c r="U3029">
        <f>IF($C3029="","",IF($AJ3029=1,0,IF($AI3029=1,Settings!$C$6,Settings!$C$7))*100)</f>
        <v/>
      </c>
      <c r="V3029" s="7">
        <f>IF($C3029="","",R3029*U3029/100)</f>
        <v/>
      </c>
      <c r="W3029" s="7">
        <f>IF($C3029="","",R3029-V3029)</f>
        <v/>
      </c>
      <c r="X3029" s="7">
        <f>IF($C3029="","",W3029-K3029)</f>
        <v/>
      </c>
      <c r="AB3029" s="7" t="n"/>
      <c r="AE3029" s="11" t="n"/>
      <c r="AG3029">
        <f>IF($C3029="","",IF(COUNTIF($C$2:$C3029,$C3029)=1,1,0))</f>
        <v/>
      </c>
      <c r="AH3029">
        <f>IF($AG3029=1,SUMPRODUCT(--($AK$2:$AK$6001&lt;$AK3029))+1,"")</f>
        <v/>
      </c>
      <c r="AI3029">
        <f>IF($C3029="","",IF(OR($N3029=TRUE(),$N3029="TRUE"),1,0))</f>
        <v/>
      </c>
      <c r="AJ3029">
        <f>IF($C3029="","",IF($T3029="Yes",1,0))</f>
        <v/>
      </c>
      <c r="AK3029">
        <f>IF($AG3029=1,IFERROR(IF(VALUE($C3029)&lt;100000000,VALUE($C3029),1000000000),IFERROR(IF(VALUE(MID($C3029,2,20))&lt;100000000,VALUE(MID($C3029,2,20)),1000000000),1000000000))+ROW()/100000,"")</f>
        <v/>
      </c>
    </row>
    <row r="3030">
      <c r="D3030" s="11" t="n"/>
      <c r="K3030" s="7">
        <f>IF($C3030="","",J3030*W3030/100)</f>
        <v/>
      </c>
      <c r="Q3030" s="7" t="n"/>
      <c r="R3030" s="7" t="n"/>
      <c r="U3030">
        <f>IF($C3030="","",IF($AJ3030=1,0,IF($AI3030=1,Settings!$C$6,Settings!$C$7))*100)</f>
        <v/>
      </c>
      <c r="V3030" s="7">
        <f>IF($C3030="","",R3030*U3030/100)</f>
        <v/>
      </c>
      <c r="W3030" s="7">
        <f>IF($C3030="","",R3030-V3030)</f>
        <v/>
      </c>
      <c r="X3030" s="7">
        <f>IF($C3030="","",W3030-K3030)</f>
        <v/>
      </c>
      <c r="AB3030" s="7" t="n"/>
      <c r="AE3030" s="11" t="n"/>
      <c r="AG3030">
        <f>IF($C3030="","",IF(COUNTIF($C$2:$C3030,$C3030)=1,1,0))</f>
        <v/>
      </c>
      <c r="AH3030">
        <f>IF($AG3030=1,SUMPRODUCT(--($AK$2:$AK$6001&lt;$AK3030))+1,"")</f>
        <v/>
      </c>
      <c r="AI3030">
        <f>IF($C3030="","",IF(OR($N3030=TRUE(),$N3030="TRUE"),1,0))</f>
        <v/>
      </c>
      <c r="AJ3030">
        <f>IF($C3030="","",IF($T3030="Yes",1,0))</f>
        <v/>
      </c>
      <c r="AK3030">
        <f>IF($AG3030=1,IFERROR(IF(VALUE($C3030)&lt;100000000,VALUE($C3030),1000000000),IFERROR(IF(VALUE(MID($C3030,2,20))&lt;100000000,VALUE(MID($C3030,2,20)),1000000000),1000000000))+ROW()/100000,"")</f>
        <v/>
      </c>
    </row>
    <row r="3031">
      <c r="D3031" s="11" t="n"/>
      <c r="K3031" s="7">
        <f>IF($C3031="","",J3031*W3031/100)</f>
        <v/>
      </c>
      <c r="Q3031" s="7" t="n"/>
      <c r="R3031" s="7" t="n"/>
      <c r="U3031">
        <f>IF($C3031="","",IF($AJ3031=1,0,IF($AI3031=1,Settings!$C$6,Settings!$C$7))*100)</f>
        <v/>
      </c>
      <c r="V3031" s="7">
        <f>IF($C3031="","",R3031*U3031/100)</f>
        <v/>
      </c>
      <c r="W3031" s="7">
        <f>IF($C3031="","",R3031-V3031)</f>
        <v/>
      </c>
      <c r="X3031" s="7">
        <f>IF($C3031="","",W3031-K3031)</f>
        <v/>
      </c>
      <c r="AB3031" s="7" t="n"/>
      <c r="AE3031" s="11" t="n"/>
      <c r="AG3031">
        <f>IF($C3031="","",IF(COUNTIF($C$2:$C3031,$C3031)=1,1,0))</f>
        <v/>
      </c>
      <c r="AH3031">
        <f>IF($AG3031=1,SUMPRODUCT(--($AK$2:$AK$6001&lt;$AK3031))+1,"")</f>
        <v/>
      </c>
      <c r="AI3031">
        <f>IF($C3031="","",IF(OR($N3031=TRUE(),$N3031="TRUE"),1,0))</f>
        <v/>
      </c>
      <c r="AJ3031">
        <f>IF($C3031="","",IF($T3031="Yes",1,0))</f>
        <v/>
      </c>
      <c r="AK3031">
        <f>IF($AG3031=1,IFERROR(IF(VALUE($C3031)&lt;100000000,VALUE($C3031),1000000000),IFERROR(IF(VALUE(MID($C3031,2,20))&lt;100000000,VALUE(MID($C3031,2,20)),1000000000),1000000000))+ROW()/100000,"")</f>
        <v/>
      </c>
    </row>
    <row r="3032">
      <c r="D3032" s="11" t="n"/>
      <c r="K3032" s="7">
        <f>IF($C3032="","",J3032*W3032/100)</f>
        <v/>
      </c>
      <c r="Q3032" s="7" t="n"/>
      <c r="R3032" s="7" t="n"/>
      <c r="U3032">
        <f>IF($C3032="","",IF($AJ3032=1,0,IF($AI3032=1,Settings!$C$6,Settings!$C$7))*100)</f>
        <v/>
      </c>
      <c r="V3032" s="7">
        <f>IF($C3032="","",R3032*U3032/100)</f>
        <v/>
      </c>
      <c r="W3032" s="7">
        <f>IF($C3032="","",R3032-V3032)</f>
        <v/>
      </c>
      <c r="X3032" s="7">
        <f>IF($C3032="","",W3032-K3032)</f>
        <v/>
      </c>
      <c r="AB3032" s="7" t="n"/>
      <c r="AE3032" s="11" t="n"/>
      <c r="AG3032">
        <f>IF($C3032="","",IF(COUNTIF($C$2:$C3032,$C3032)=1,1,0))</f>
        <v/>
      </c>
      <c r="AH3032">
        <f>IF($AG3032=1,SUMPRODUCT(--($AK$2:$AK$6001&lt;$AK3032))+1,"")</f>
        <v/>
      </c>
      <c r="AI3032">
        <f>IF($C3032="","",IF(OR($N3032=TRUE(),$N3032="TRUE"),1,0))</f>
        <v/>
      </c>
      <c r="AJ3032">
        <f>IF($C3032="","",IF($T3032="Yes",1,0))</f>
        <v/>
      </c>
      <c r="AK3032">
        <f>IF($AG3032=1,IFERROR(IF(VALUE($C3032)&lt;100000000,VALUE($C3032),1000000000),IFERROR(IF(VALUE(MID($C3032,2,20))&lt;100000000,VALUE(MID($C3032,2,20)),1000000000),1000000000))+ROW()/100000,"")</f>
        <v/>
      </c>
    </row>
    <row r="3033">
      <c r="D3033" s="11" t="n"/>
      <c r="K3033" s="7">
        <f>IF($C3033="","",J3033*W3033/100)</f>
        <v/>
      </c>
      <c r="Q3033" s="7" t="n"/>
      <c r="R3033" s="7" t="n"/>
      <c r="U3033">
        <f>IF($C3033="","",IF($AJ3033=1,0,IF($AI3033=1,Settings!$C$6,Settings!$C$7))*100)</f>
        <v/>
      </c>
      <c r="V3033" s="7">
        <f>IF($C3033="","",R3033*U3033/100)</f>
        <v/>
      </c>
      <c r="W3033" s="7">
        <f>IF($C3033="","",R3033-V3033)</f>
        <v/>
      </c>
      <c r="X3033" s="7">
        <f>IF($C3033="","",W3033-K3033)</f>
        <v/>
      </c>
      <c r="AB3033" s="7" t="n"/>
      <c r="AE3033" s="11" t="n"/>
      <c r="AG3033">
        <f>IF($C3033="","",IF(COUNTIF($C$2:$C3033,$C3033)=1,1,0))</f>
        <v/>
      </c>
      <c r="AH3033">
        <f>IF($AG3033=1,SUMPRODUCT(--($AK$2:$AK$6001&lt;$AK3033))+1,"")</f>
        <v/>
      </c>
      <c r="AI3033">
        <f>IF($C3033="","",IF(OR($N3033=TRUE(),$N3033="TRUE"),1,0))</f>
        <v/>
      </c>
      <c r="AJ3033">
        <f>IF($C3033="","",IF($T3033="Yes",1,0))</f>
        <v/>
      </c>
      <c r="AK3033">
        <f>IF($AG3033=1,IFERROR(IF(VALUE($C3033)&lt;100000000,VALUE($C3033),1000000000),IFERROR(IF(VALUE(MID($C3033,2,20))&lt;100000000,VALUE(MID($C3033,2,20)),1000000000),1000000000))+ROW()/100000,"")</f>
        <v/>
      </c>
    </row>
    <row r="3034">
      <c r="D3034" s="11" t="n"/>
      <c r="K3034" s="7">
        <f>IF($C3034="","",J3034*W3034/100)</f>
        <v/>
      </c>
      <c r="Q3034" s="7" t="n"/>
      <c r="R3034" s="7" t="n"/>
      <c r="U3034">
        <f>IF($C3034="","",IF($AJ3034=1,0,IF($AI3034=1,Settings!$C$6,Settings!$C$7))*100)</f>
        <v/>
      </c>
      <c r="V3034" s="7">
        <f>IF($C3034="","",R3034*U3034/100)</f>
        <v/>
      </c>
      <c r="W3034" s="7">
        <f>IF($C3034="","",R3034-V3034)</f>
        <v/>
      </c>
      <c r="X3034" s="7">
        <f>IF($C3034="","",W3034-K3034)</f>
        <v/>
      </c>
      <c r="AB3034" s="7" t="n"/>
      <c r="AE3034" s="11" t="n"/>
      <c r="AG3034">
        <f>IF($C3034="","",IF(COUNTIF($C$2:$C3034,$C3034)=1,1,0))</f>
        <v/>
      </c>
      <c r="AH3034">
        <f>IF($AG3034=1,SUMPRODUCT(--($AK$2:$AK$6001&lt;$AK3034))+1,"")</f>
        <v/>
      </c>
      <c r="AI3034">
        <f>IF($C3034="","",IF(OR($N3034=TRUE(),$N3034="TRUE"),1,0))</f>
        <v/>
      </c>
      <c r="AJ3034">
        <f>IF($C3034="","",IF($T3034="Yes",1,0))</f>
        <v/>
      </c>
      <c r="AK3034">
        <f>IF($AG3034=1,IFERROR(IF(VALUE($C3034)&lt;100000000,VALUE($C3034),1000000000),IFERROR(IF(VALUE(MID($C3034,2,20))&lt;100000000,VALUE(MID($C3034,2,20)),1000000000),1000000000))+ROW()/100000,"")</f>
        <v/>
      </c>
    </row>
    <row r="3035">
      <c r="D3035" s="11" t="n"/>
      <c r="K3035" s="7">
        <f>IF($C3035="","",J3035*W3035/100)</f>
        <v/>
      </c>
      <c r="Q3035" s="7" t="n"/>
      <c r="R3035" s="7" t="n"/>
      <c r="U3035">
        <f>IF($C3035="","",IF($AJ3035=1,0,IF($AI3035=1,Settings!$C$6,Settings!$C$7))*100)</f>
        <v/>
      </c>
      <c r="V3035" s="7">
        <f>IF($C3035="","",R3035*U3035/100)</f>
        <v/>
      </c>
      <c r="W3035" s="7">
        <f>IF($C3035="","",R3035-V3035)</f>
        <v/>
      </c>
      <c r="X3035" s="7">
        <f>IF($C3035="","",W3035-K3035)</f>
        <v/>
      </c>
      <c r="AB3035" s="7" t="n"/>
      <c r="AE3035" s="11" t="n"/>
      <c r="AG3035">
        <f>IF($C3035="","",IF(COUNTIF($C$2:$C3035,$C3035)=1,1,0))</f>
        <v/>
      </c>
      <c r="AH3035">
        <f>IF($AG3035=1,SUMPRODUCT(--($AK$2:$AK$6001&lt;$AK3035))+1,"")</f>
        <v/>
      </c>
      <c r="AI3035">
        <f>IF($C3035="","",IF(OR($N3035=TRUE(),$N3035="TRUE"),1,0))</f>
        <v/>
      </c>
      <c r="AJ3035">
        <f>IF($C3035="","",IF($T3035="Yes",1,0))</f>
        <v/>
      </c>
      <c r="AK3035">
        <f>IF($AG3035=1,IFERROR(IF(VALUE($C3035)&lt;100000000,VALUE($C3035),1000000000),IFERROR(IF(VALUE(MID($C3035,2,20))&lt;100000000,VALUE(MID($C3035,2,20)),1000000000),1000000000))+ROW()/100000,"")</f>
        <v/>
      </c>
    </row>
    <row r="3036">
      <c r="D3036" s="11" t="n"/>
      <c r="K3036" s="7">
        <f>IF($C3036="","",J3036*W3036/100)</f>
        <v/>
      </c>
      <c r="Q3036" s="7" t="n"/>
      <c r="R3036" s="7" t="n"/>
      <c r="U3036">
        <f>IF($C3036="","",IF($AJ3036=1,0,IF($AI3036=1,Settings!$C$6,Settings!$C$7))*100)</f>
        <v/>
      </c>
      <c r="V3036" s="7">
        <f>IF($C3036="","",R3036*U3036/100)</f>
        <v/>
      </c>
      <c r="W3036" s="7">
        <f>IF($C3036="","",R3036-V3036)</f>
        <v/>
      </c>
      <c r="X3036" s="7">
        <f>IF($C3036="","",W3036-K3036)</f>
        <v/>
      </c>
      <c r="AB3036" s="7" t="n"/>
      <c r="AE3036" s="11" t="n"/>
      <c r="AG3036">
        <f>IF($C3036="","",IF(COUNTIF($C$2:$C3036,$C3036)=1,1,0))</f>
        <v/>
      </c>
      <c r="AH3036">
        <f>IF($AG3036=1,SUMPRODUCT(--($AK$2:$AK$6001&lt;$AK3036))+1,"")</f>
        <v/>
      </c>
      <c r="AI3036">
        <f>IF($C3036="","",IF(OR($N3036=TRUE(),$N3036="TRUE"),1,0))</f>
        <v/>
      </c>
      <c r="AJ3036">
        <f>IF($C3036="","",IF($T3036="Yes",1,0))</f>
        <v/>
      </c>
      <c r="AK3036">
        <f>IF($AG3036=1,IFERROR(IF(VALUE($C3036)&lt;100000000,VALUE($C3036),1000000000),IFERROR(IF(VALUE(MID($C3036,2,20))&lt;100000000,VALUE(MID($C3036,2,20)),1000000000),1000000000))+ROW()/100000,"")</f>
        <v/>
      </c>
    </row>
    <row r="3037">
      <c r="D3037" s="11" t="n"/>
      <c r="K3037" s="7">
        <f>IF($C3037="","",J3037*W3037/100)</f>
        <v/>
      </c>
      <c r="Q3037" s="7" t="n"/>
      <c r="R3037" s="7" t="n"/>
      <c r="U3037">
        <f>IF($C3037="","",IF($AJ3037=1,0,IF($AI3037=1,Settings!$C$6,Settings!$C$7))*100)</f>
        <v/>
      </c>
      <c r="V3037" s="7">
        <f>IF($C3037="","",R3037*U3037/100)</f>
        <v/>
      </c>
      <c r="W3037" s="7">
        <f>IF($C3037="","",R3037-V3037)</f>
        <v/>
      </c>
      <c r="X3037" s="7">
        <f>IF($C3037="","",W3037-K3037)</f>
        <v/>
      </c>
      <c r="AB3037" s="7" t="n"/>
      <c r="AE3037" s="11" t="n"/>
      <c r="AG3037">
        <f>IF($C3037="","",IF(COUNTIF($C$2:$C3037,$C3037)=1,1,0))</f>
        <v/>
      </c>
      <c r="AH3037">
        <f>IF($AG3037=1,SUMPRODUCT(--($AK$2:$AK$6001&lt;$AK3037))+1,"")</f>
        <v/>
      </c>
      <c r="AI3037">
        <f>IF($C3037="","",IF(OR($N3037=TRUE(),$N3037="TRUE"),1,0))</f>
        <v/>
      </c>
      <c r="AJ3037">
        <f>IF($C3037="","",IF($T3037="Yes",1,0))</f>
        <v/>
      </c>
      <c r="AK3037">
        <f>IF($AG3037=1,IFERROR(IF(VALUE($C3037)&lt;100000000,VALUE($C3037),1000000000),IFERROR(IF(VALUE(MID($C3037,2,20))&lt;100000000,VALUE(MID($C3037,2,20)),1000000000),1000000000))+ROW()/100000,"")</f>
        <v/>
      </c>
    </row>
    <row r="3038">
      <c r="D3038" s="11" t="n"/>
      <c r="K3038" s="7">
        <f>IF($C3038="","",J3038*W3038/100)</f>
        <v/>
      </c>
      <c r="Q3038" s="7" t="n"/>
      <c r="R3038" s="7" t="n"/>
      <c r="U3038">
        <f>IF($C3038="","",IF($AJ3038=1,0,IF($AI3038=1,Settings!$C$6,Settings!$C$7))*100)</f>
        <v/>
      </c>
      <c r="V3038" s="7">
        <f>IF($C3038="","",R3038*U3038/100)</f>
        <v/>
      </c>
      <c r="W3038" s="7">
        <f>IF($C3038="","",R3038-V3038)</f>
        <v/>
      </c>
      <c r="X3038" s="7">
        <f>IF($C3038="","",W3038-K3038)</f>
        <v/>
      </c>
      <c r="AB3038" s="7" t="n"/>
      <c r="AE3038" s="11" t="n"/>
      <c r="AG3038">
        <f>IF($C3038="","",IF(COUNTIF($C$2:$C3038,$C3038)=1,1,0))</f>
        <v/>
      </c>
      <c r="AH3038">
        <f>IF($AG3038=1,SUMPRODUCT(--($AK$2:$AK$6001&lt;$AK3038))+1,"")</f>
        <v/>
      </c>
      <c r="AI3038">
        <f>IF($C3038="","",IF(OR($N3038=TRUE(),$N3038="TRUE"),1,0))</f>
        <v/>
      </c>
      <c r="AJ3038">
        <f>IF($C3038="","",IF($T3038="Yes",1,0))</f>
        <v/>
      </c>
      <c r="AK3038">
        <f>IF($AG3038=1,IFERROR(IF(VALUE($C3038)&lt;100000000,VALUE($C3038),1000000000),IFERROR(IF(VALUE(MID($C3038,2,20))&lt;100000000,VALUE(MID($C3038,2,20)),1000000000),1000000000))+ROW()/100000,"")</f>
        <v/>
      </c>
    </row>
    <row r="3039">
      <c r="D3039" s="11" t="n"/>
      <c r="K3039" s="7">
        <f>IF($C3039="","",J3039*W3039/100)</f>
        <v/>
      </c>
      <c r="Q3039" s="7" t="n"/>
      <c r="R3039" s="7" t="n"/>
      <c r="U3039">
        <f>IF($C3039="","",IF($AJ3039=1,0,IF($AI3039=1,Settings!$C$6,Settings!$C$7))*100)</f>
        <v/>
      </c>
      <c r="V3039" s="7">
        <f>IF($C3039="","",R3039*U3039/100)</f>
        <v/>
      </c>
      <c r="W3039" s="7">
        <f>IF($C3039="","",R3039-V3039)</f>
        <v/>
      </c>
      <c r="X3039" s="7">
        <f>IF($C3039="","",W3039-K3039)</f>
        <v/>
      </c>
      <c r="AB3039" s="7" t="n"/>
      <c r="AE3039" s="11" t="n"/>
      <c r="AG3039">
        <f>IF($C3039="","",IF(COUNTIF($C$2:$C3039,$C3039)=1,1,0))</f>
        <v/>
      </c>
      <c r="AH3039">
        <f>IF($AG3039=1,SUMPRODUCT(--($AK$2:$AK$6001&lt;$AK3039))+1,"")</f>
        <v/>
      </c>
      <c r="AI3039">
        <f>IF($C3039="","",IF(OR($N3039=TRUE(),$N3039="TRUE"),1,0))</f>
        <v/>
      </c>
      <c r="AJ3039">
        <f>IF($C3039="","",IF($T3039="Yes",1,0))</f>
        <v/>
      </c>
      <c r="AK3039">
        <f>IF($AG3039=1,IFERROR(IF(VALUE($C3039)&lt;100000000,VALUE($C3039),1000000000),IFERROR(IF(VALUE(MID($C3039,2,20))&lt;100000000,VALUE(MID($C3039,2,20)),1000000000),1000000000))+ROW()/100000,"")</f>
        <v/>
      </c>
    </row>
    <row r="3040">
      <c r="D3040" s="11" t="n"/>
      <c r="K3040" s="7">
        <f>IF($C3040="","",J3040*W3040/100)</f>
        <v/>
      </c>
      <c r="Q3040" s="7" t="n"/>
      <c r="R3040" s="7" t="n"/>
      <c r="U3040">
        <f>IF($C3040="","",IF($AJ3040=1,0,IF($AI3040=1,Settings!$C$6,Settings!$C$7))*100)</f>
        <v/>
      </c>
      <c r="V3040" s="7">
        <f>IF($C3040="","",R3040*U3040/100)</f>
        <v/>
      </c>
      <c r="W3040" s="7">
        <f>IF($C3040="","",R3040-V3040)</f>
        <v/>
      </c>
      <c r="X3040" s="7">
        <f>IF($C3040="","",W3040-K3040)</f>
        <v/>
      </c>
      <c r="AB3040" s="7" t="n"/>
      <c r="AE3040" s="11" t="n"/>
      <c r="AG3040">
        <f>IF($C3040="","",IF(COUNTIF($C$2:$C3040,$C3040)=1,1,0))</f>
        <v/>
      </c>
      <c r="AH3040">
        <f>IF($AG3040=1,SUMPRODUCT(--($AK$2:$AK$6001&lt;$AK3040))+1,"")</f>
        <v/>
      </c>
      <c r="AI3040">
        <f>IF($C3040="","",IF(OR($N3040=TRUE(),$N3040="TRUE"),1,0))</f>
        <v/>
      </c>
      <c r="AJ3040">
        <f>IF($C3040="","",IF($T3040="Yes",1,0))</f>
        <v/>
      </c>
      <c r="AK3040">
        <f>IF($AG3040=1,IFERROR(IF(VALUE($C3040)&lt;100000000,VALUE($C3040),1000000000),IFERROR(IF(VALUE(MID($C3040,2,20))&lt;100000000,VALUE(MID($C3040,2,20)),1000000000),1000000000))+ROW()/100000,"")</f>
        <v/>
      </c>
    </row>
    <row r="3041">
      <c r="D3041" s="11" t="n"/>
      <c r="K3041" s="7">
        <f>IF($C3041="","",J3041*W3041/100)</f>
        <v/>
      </c>
      <c r="Q3041" s="7" t="n"/>
      <c r="R3041" s="7" t="n"/>
      <c r="U3041">
        <f>IF($C3041="","",IF($AJ3041=1,0,IF($AI3041=1,Settings!$C$6,Settings!$C$7))*100)</f>
        <v/>
      </c>
      <c r="V3041" s="7">
        <f>IF($C3041="","",R3041*U3041/100)</f>
        <v/>
      </c>
      <c r="W3041" s="7">
        <f>IF($C3041="","",R3041-V3041)</f>
        <v/>
      </c>
      <c r="X3041" s="7">
        <f>IF($C3041="","",W3041-K3041)</f>
        <v/>
      </c>
      <c r="AB3041" s="7" t="n"/>
      <c r="AE3041" s="11" t="n"/>
      <c r="AG3041">
        <f>IF($C3041="","",IF(COUNTIF($C$2:$C3041,$C3041)=1,1,0))</f>
        <v/>
      </c>
      <c r="AH3041">
        <f>IF($AG3041=1,SUMPRODUCT(--($AK$2:$AK$6001&lt;$AK3041))+1,"")</f>
        <v/>
      </c>
      <c r="AI3041">
        <f>IF($C3041="","",IF(OR($N3041=TRUE(),$N3041="TRUE"),1,0))</f>
        <v/>
      </c>
      <c r="AJ3041">
        <f>IF($C3041="","",IF($T3041="Yes",1,0))</f>
        <v/>
      </c>
      <c r="AK3041">
        <f>IF($AG3041=1,IFERROR(IF(VALUE($C3041)&lt;100000000,VALUE($C3041),1000000000),IFERROR(IF(VALUE(MID($C3041,2,20))&lt;100000000,VALUE(MID($C3041,2,20)),1000000000),1000000000))+ROW()/100000,"")</f>
        <v/>
      </c>
    </row>
    <row r="3042">
      <c r="D3042" s="11" t="n"/>
      <c r="K3042" s="7">
        <f>IF($C3042="","",J3042*W3042/100)</f>
        <v/>
      </c>
      <c r="Q3042" s="7" t="n"/>
      <c r="R3042" s="7" t="n"/>
      <c r="U3042">
        <f>IF($C3042="","",IF($AJ3042=1,0,IF($AI3042=1,Settings!$C$6,Settings!$C$7))*100)</f>
        <v/>
      </c>
      <c r="V3042" s="7">
        <f>IF($C3042="","",R3042*U3042/100)</f>
        <v/>
      </c>
      <c r="W3042" s="7">
        <f>IF($C3042="","",R3042-V3042)</f>
        <v/>
      </c>
      <c r="X3042" s="7">
        <f>IF($C3042="","",W3042-K3042)</f>
        <v/>
      </c>
      <c r="AB3042" s="7" t="n"/>
      <c r="AE3042" s="11" t="n"/>
      <c r="AG3042">
        <f>IF($C3042="","",IF(COUNTIF($C$2:$C3042,$C3042)=1,1,0))</f>
        <v/>
      </c>
      <c r="AH3042">
        <f>IF($AG3042=1,SUMPRODUCT(--($AK$2:$AK$6001&lt;$AK3042))+1,"")</f>
        <v/>
      </c>
      <c r="AI3042">
        <f>IF($C3042="","",IF(OR($N3042=TRUE(),$N3042="TRUE"),1,0))</f>
        <v/>
      </c>
      <c r="AJ3042">
        <f>IF($C3042="","",IF($T3042="Yes",1,0))</f>
        <v/>
      </c>
      <c r="AK3042">
        <f>IF($AG3042=1,IFERROR(IF(VALUE($C3042)&lt;100000000,VALUE($C3042),1000000000),IFERROR(IF(VALUE(MID($C3042,2,20))&lt;100000000,VALUE(MID($C3042,2,20)),1000000000),1000000000))+ROW()/100000,"")</f>
        <v/>
      </c>
    </row>
    <row r="3043">
      <c r="D3043" s="11" t="n"/>
      <c r="K3043" s="7">
        <f>IF($C3043="","",J3043*W3043/100)</f>
        <v/>
      </c>
      <c r="Q3043" s="7" t="n"/>
      <c r="R3043" s="7" t="n"/>
      <c r="U3043">
        <f>IF($C3043="","",IF($AJ3043=1,0,IF($AI3043=1,Settings!$C$6,Settings!$C$7))*100)</f>
        <v/>
      </c>
      <c r="V3043" s="7">
        <f>IF($C3043="","",R3043*U3043/100)</f>
        <v/>
      </c>
      <c r="W3043" s="7">
        <f>IF($C3043="","",R3043-V3043)</f>
        <v/>
      </c>
      <c r="X3043" s="7">
        <f>IF($C3043="","",W3043-K3043)</f>
        <v/>
      </c>
      <c r="AB3043" s="7" t="n"/>
      <c r="AE3043" s="11" t="n"/>
      <c r="AG3043">
        <f>IF($C3043="","",IF(COUNTIF($C$2:$C3043,$C3043)=1,1,0))</f>
        <v/>
      </c>
      <c r="AH3043">
        <f>IF($AG3043=1,SUMPRODUCT(--($AK$2:$AK$6001&lt;$AK3043))+1,"")</f>
        <v/>
      </c>
      <c r="AI3043">
        <f>IF($C3043="","",IF(OR($N3043=TRUE(),$N3043="TRUE"),1,0))</f>
        <v/>
      </c>
      <c r="AJ3043">
        <f>IF($C3043="","",IF($T3043="Yes",1,0))</f>
        <v/>
      </c>
      <c r="AK3043">
        <f>IF($AG3043=1,IFERROR(IF(VALUE($C3043)&lt;100000000,VALUE($C3043),1000000000),IFERROR(IF(VALUE(MID($C3043,2,20))&lt;100000000,VALUE(MID($C3043,2,20)),1000000000),1000000000))+ROW()/100000,"")</f>
        <v/>
      </c>
    </row>
    <row r="3044">
      <c r="D3044" s="11" t="n"/>
      <c r="K3044" s="7">
        <f>IF($C3044="","",J3044*W3044/100)</f>
        <v/>
      </c>
      <c r="Q3044" s="7" t="n"/>
      <c r="R3044" s="7" t="n"/>
      <c r="U3044">
        <f>IF($C3044="","",IF($AJ3044=1,0,IF($AI3044=1,Settings!$C$6,Settings!$C$7))*100)</f>
        <v/>
      </c>
      <c r="V3044" s="7">
        <f>IF($C3044="","",R3044*U3044/100)</f>
        <v/>
      </c>
      <c r="W3044" s="7">
        <f>IF($C3044="","",R3044-V3044)</f>
        <v/>
      </c>
      <c r="X3044" s="7">
        <f>IF($C3044="","",W3044-K3044)</f>
        <v/>
      </c>
      <c r="AB3044" s="7" t="n"/>
      <c r="AE3044" s="11" t="n"/>
      <c r="AG3044">
        <f>IF($C3044="","",IF(COUNTIF($C$2:$C3044,$C3044)=1,1,0))</f>
        <v/>
      </c>
      <c r="AH3044">
        <f>IF($AG3044=1,SUMPRODUCT(--($AK$2:$AK$6001&lt;$AK3044))+1,"")</f>
        <v/>
      </c>
      <c r="AI3044">
        <f>IF($C3044="","",IF(OR($N3044=TRUE(),$N3044="TRUE"),1,0))</f>
        <v/>
      </c>
      <c r="AJ3044">
        <f>IF($C3044="","",IF($T3044="Yes",1,0))</f>
        <v/>
      </c>
      <c r="AK3044">
        <f>IF($AG3044=1,IFERROR(IF(VALUE($C3044)&lt;100000000,VALUE($C3044),1000000000),IFERROR(IF(VALUE(MID($C3044,2,20))&lt;100000000,VALUE(MID($C3044,2,20)),1000000000),1000000000))+ROW()/100000,"")</f>
        <v/>
      </c>
    </row>
    <row r="3045">
      <c r="D3045" s="11" t="n"/>
      <c r="K3045" s="7">
        <f>IF($C3045="","",J3045*W3045/100)</f>
        <v/>
      </c>
      <c r="Q3045" s="7" t="n"/>
      <c r="R3045" s="7" t="n"/>
      <c r="U3045">
        <f>IF($C3045="","",IF($AJ3045=1,0,IF($AI3045=1,Settings!$C$6,Settings!$C$7))*100)</f>
        <v/>
      </c>
      <c r="V3045" s="7">
        <f>IF($C3045="","",R3045*U3045/100)</f>
        <v/>
      </c>
      <c r="W3045" s="7">
        <f>IF($C3045="","",R3045-V3045)</f>
        <v/>
      </c>
      <c r="X3045" s="7">
        <f>IF($C3045="","",W3045-K3045)</f>
        <v/>
      </c>
      <c r="AB3045" s="7" t="n"/>
      <c r="AE3045" s="11" t="n"/>
      <c r="AG3045">
        <f>IF($C3045="","",IF(COUNTIF($C$2:$C3045,$C3045)=1,1,0))</f>
        <v/>
      </c>
      <c r="AH3045">
        <f>IF($AG3045=1,SUMPRODUCT(--($AK$2:$AK$6001&lt;$AK3045))+1,"")</f>
        <v/>
      </c>
      <c r="AI3045">
        <f>IF($C3045="","",IF(OR($N3045=TRUE(),$N3045="TRUE"),1,0))</f>
        <v/>
      </c>
      <c r="AJ3045">
        <f>IF($C3045="","",IF($T3045="Yes",1,0))</f>
        <v/>
      </c>
      <c r="AK3045">
        <f>IF($AG3045=1,IFERROR(IF(VALUE($C3045)&lt;100000000,VALUE($C3045),1000000000),IFERROR(IF(VALUE(MID($C3045,2,20))&lt;100000000,VALUE(MID($C3045,2,20)),1000000000),1000000000))+ROW()/100000,"")</f>
        <v/>
      </c>
    </row>
    <row r="3046">
      <c r="D3046" s="11" t="n"/>
      <c r="K3046" s="7">
        <f>IF($C3046="","",J3046*W3046/100)</f>
        <v/>
      </c>
      <c r="Q3046" s="7" t="n"/>
      <c r="R3046" s="7" t="n"/>
      <c r="U3046">
        <f>IF($C3046="","",IF($AJ3046=1,0,IF($AI3046=1,Settings!$C$6,Settings!$C$7))*100)</f>
        <v/>
      </c>
      <c r="V3046" s="7">
        <f>IF($C3046="","",R3046*U3046/100)</f>
        <v/>
      </c>
      <c r="W3046" s="7">
        <f>IF($C3046="","",R3046-V3046)</f>
        <v/>
      </c>
      <c r="X3046" s="7">
        <f>IF($C3046="","",W3046-K3046)</f>
        <v/>
      </c>
      <c r="AB3046" s="7" t="n"/>
      <c r="AE3046" s="11" t="n"/>
      <c r="AG3046">
        <f>IF($C3046="","",IF(COUNTIF($C$2:$C3046,$C3046)=1,1,0))</f>
        <v/>
      </c>
      <c r="AH3046">
        <f>IF($AG3046=1,SUMPRODUCT(--($AK$2:$AK$6001&lt;$AK3046))+1,"")</f>
        <v/>
      </c>
      <c r="AI3046">
        <f>IF($C3046="","",IF(OR($N3046=TRUE(),$N3046="TRUE"),1,0))</f>
        <v/>
      </c>
      <c r="AJ3046">
        <f>IF($C3046="","",IF($T3046="Yes",1,0))</f>
        <v/>
      </c>
      <c r="AK3046">
        <f>IF($AG3046=1,IFERROR(IF(VALUE($C3046)&lt;100000000,VALUE($C3046),1000000000),IFERROR(IF(VALUE(MID($C3046,2,20))&lt;100000000,VALUE(MID($C3046,2,20)),1000000000),1000000000))+ROW()/100000,"")</f>
        <v/>
      </c>
    </row>
    <row r="3047">
      <c r="D3047" s="11" t="n"/>
      <c r="K3047" s="7">
        <f>IF($C3047="","",J3047*W3047/100)</f>
        <v/>
      </c>
      <c r="Q3047" s="7" t="n"/>
      <c r="R3047" s="7" t="n"/>
      <c r="U3047">
        <f>IF($C3047="","",IF($AJ3047=1,0,IF($AI3047=1,Settings!$C$6,Settings!$C$7))*100)</f>
        <v/>
      </c>
      <c r="V3047" s="7">
        <f>IF($C3047="","",R3047*U3047/100)</f>
        <v/>
      </c>
      <c r="W3047" s="7">
        <f>IF($C3047="","",R3047-V3047)</f>
        <v/>
      </c>
      <c r="X3047" s="7">
        <f>IF($C3047="","",W3047-K3047)</f>
        <v/>
      </c>
      <c r="AB3047" s="7" t="n"/>
      <c r="AE3047" s="11" t="n"/>
      <c r="AG3047">
        <f>IF($C3047="","",IF(COUNTIF($C$2:$C3047,$C3047)=1,1,0))</f>
        <v/>
      </c>
      <c r="AH3047">
        <f>IF($AG3047=1,SUMPRODUCT(--($AK$2:$AK$6001&lt;$AK3047))+1,"")</f>
        <v/>
      </c>
      <c r="AI3047">
        <f>IF($C3047="","",IF(OR($N3047=TRUE(),$N3047="TRUE"),1,0))</f>
        <v/>
      </c>
      <c r="AJ3047">
        <f>IF($C3047="","",IF($T3047="Yes",1,0))</f>
        <v/>
      </c>
      <c r="AK3047">
        <f>IF($AG3047=1,IFERROR(IF(VALUE($C3047)&lt;100000000,VALUE($C3047),1000000000),IFERROR(IF(VALUE(MID($C3047,2,20))&lt;100000000,VALUE(MID($C3047,2,20)),1000000000),1000000000))+ROW()/100000,"")</f>
        <v/>
      </c>
    </row>
    <row r="3048">
      <c r="D3048" s="11" t="n"/>
      <c r="K3048" s="7">
        <f>IF($C3048="","",J3048*W3048/100)</f>
        <v/>
      </c>
      <c r="Q3048" s="7" t="n"/>
      <c r="R3048" s="7" t="n"/>
      <c r="U3048">
        <f>IF($C3048="","",IF($AJ3048=1,0,IF($AI3048=1,Settings!$C$6,Settings!$C$7))*100)</f>
        <v/>
      </c>
      <c r="V3048" s="7">
        <f>IF($C3048="","",R3048*U3048/100)</f>
        <v/>
      </c>
      <c r="W3048" s="7">
        <f>IF($C3048="","",R3048-V3048)</f>
        <v/>
      </c>
      <c r="X3048" s="7">
        <f>IF($C3048="","",W3048-K3048)</f>
        <v/>
      </c>
      <c r="AB3048" s="7" t="n"/>
      <c r="AE3048" s="11" t="n"/>
      <c r="AG3048">
        <f>IF($C3048="","",IF(COUNTIF($C$2:$C3048,$C3048)=1,1,0))</f>
        <v/>
      </c>
      <c r="AH3048">
        <f>IF($AG3048=1,SUMPRODUCT(--($AK$2:$AK$6001&lt;$AK3048))+1,"")</f>
        <v/>
      </c>
      <c r="AI3048">
        <f>IF($C3048="","",IF(OR($N3048=TRUE(),$N3048="TRUE"),1,0))</f>
        <v/>
      </c>
      <c r="AJ3048">
        <f>IF($C3048="","",IF($T3048="Yes",1,0))</f>
        <v/>
      </c>
      <c r="AK3048">
        <f>IF($AG3048=1,IFERROR(IF(VALUE($C3048)&lt;100000000,VALUE($C3048),1000000000),IFERROR(IF(VALUE(MID($C3048,2,20))&lt;100000000,VALUE(MID($C3048,2,20)),1000000000),1000000000))+ROW()/100000,"")</f>
        <v/>
      </c>
    </row>
    <row r="3049">
      <c r="D3049" s="11" t="n"/>
      <c r="K3049" s="7">
        <f>IF($C3049="","",J3049*W3049/100)</f>
        <v/>
      </c>
      <c r="Q3049" s="7" t="n"/>
      <c r="R3049" s="7" t="n"/>
      <c r="U3049">
        <f>IF($C3049="","",IF($AJ3049=1,0,IF($AI3049=1,Settings!$C$6,Settings!$C$7))*100)</f>
        <v/>
      </c>
      <c r="V3049" s="7">
        <f>IF($C3049="","",R3049*U3049/100)</f>
        <v/>
      </c>
      <c r="W3049" s="7">
        <f>IF($C3049="","",R3049-V3049)</f>
        <v/>
      </c>
      <c r="X3049" s="7">
        <f>IF($C3049="","",W3049-K3049)</f>
        <v/>
      </c>
      <c r="AB3049" s="7" t="n"/>
      <c r="AE3049" s="11" t="n"/>
      <c r="AG3049">
        <f>IF($C3049="","",IF(COUNTIF($C$2:$C3049,$C3049)=1,1,0))</f>
        <v/>
      </c>
      <c r="AH3049">
        <f>IF($AG3049=1,SUMPRODUCT(--($AK$2:$AK$6001&lt;$AK3049))+1,"")</f>
        <v/>
      </c>
      <c r="AI3049">
        <f>IF($C3049="","",IF(OR($N3049=TRUE(),$N3049="TRUE"),1,0))</f>
        <v/>
      </c>
      <c r="AJ3049">
        <f>IF($C3049="","",IF($T3049="Yes",1,0))</f>
        <v/>
      </c>
      <c r="AK3049">
        <f>IF($AG3049=1,IFERROR(IF(VALUE($C3049)&lt;100000000,VALUE($C3049),1000000000),IFERROR(IF(VALUE(MID($C3049,2,20))&lt;100000000,VALUE(MID($C3049,2,20)),1000000000),1000000000))+ROW()/100000,"")</f>
        <v/>
      </c>
    </row>
    <row r="3050">
      <c r="D3050" s="11" t="n"/>
      <c r="K3050" s="7">
        <f>IF($C3050="","",J3050*W3050/100)</f>
        <v/>
      </c>
      <c r="Q3050" s="7" t="n"/>
      <c r="R3050" s="7" t="n"/>
      <c r="U3050">
        <f>IF($C3050="","",IF($AJ3050=1,0,IF($AI3050=1,Settings!$C$6,Settings!$C$7))*100)</f>
        <v/>
      </c>
      <c r="V3050" s="7">
        <f>IF($C3050="","",R3050*U3050/100)</f>
        <v/>
      </c>
      <c r="W3050" s="7">
        <f>IF($C3050="","",R3050-V3050)</f>
        <v/>
      </c>
      <c r="X3050" s="7">
        <f>IF($C3050="","",W3050-K3050)</f>
        <v/>
      </c>
      <c r="AB3050" s="7" t="n"/>
      <c r="AE3050" s="11" t="n"/>
      <c r="AG3050">
        <f>IF($C3050="","",IF(COUNTIF($C$2:$C3050,$C3050)=1,1,0))</f>
        <v/>
      </c>
      <c r="AH3050">
        <f>IF($AG3050=1,SUMPRODUCT(--($AK$2:$AK$6001&lt;$AK3050))+1,"")</f>
        <v/>
      </c>
      <c r="AI3050">
        <f>IF($C3050="","",IF(OR($N3050=TRUE(),$N3050="TRUE"),1,0))</f>
        <v/>
      </c>
      <c r="AJ3050">
        <f>IF($C3050="","",IF($T3050="Yes",1,0))</f>
        <v/>
      </c>
      <c r="AK3050">
        <f>IF($AG3050=1,IFERROR(IF(VALUE($C3050)&lt;100000000,VALUE($C3050),1000000000),IFERROR(IF(VALUE(MID($C3050,2,20))&lt;100000000,VALUE(MID($C3050,2,20)),1000000000),1000000000))+ROW()/100000,"")</f>
        <v/>
      </c>
    </row>
    <row r="3051">
      <c r="D3051" s="11" t="n"/>
      <c r="K3051" s="7">
        <f>IF($C3051="","",J3051*W3051/100)</f>
        <v/>
      </c>
      <c r="Q3051" s="7" t="n"/>
      <c r="R3051" s="7" t="n"/>
      <c r="U3051">
        <f>IF($C3051="","",IF($AJ3051=1,0,IF($AI3051=1,Settings!$C$6,Settings!$C$7))*100)</f>
        <v/>
      </c>
      <c r="V3051" s="7">
        <f>IF($C3051="","",R3051*U3051/100)</f>
        <v/>
      </c>
      <c r="W3051" s="7">
        <f>IF($C3051="","",R3051-V3051)</f>
        <v/>
      </c>
      <c r="X3051" s="7">
        <f>IF($C3051="","",W3051-K3051)</f>
        <v/>
      </c>
      <c r="AB3051" s="7" t="n"/>
      <c r="AE3051" s="11" t="n"/>
      <c r="AG3051">
        <f>IF($C3051="","",IF(COUNTIF($C$2:$C3051,$C3051)=1,1,0))</f>
        <v/>
      </c>
      <c r="AH3051">
        <f>IF($AG3051=1,SUMPRODUCT(--($AK$2:$AK$6001&lt;$AK3051))+1,"")</f>
        <v/>
      </c>
      <c r="AI3051">
        <f>IF($C3051="","",IF(OR($N3051=TRUE(),$N3051="TRUE"),1,0))</f>
        <v/>
      </c>
      <c r="AJ3051">
        <f>IF($C3051="","",IF($T3051="Yes",1,0))</f>
        <v/>
      </c>
      <c r="AK3051">
        <f>IF($AG3051=1,IFERROR(IF(VALUE($C3051)&lt;100000000,VALUE($C3051),1000000000),IFERROR(IF(VALUE(MID($C3051,2,20))&lt;100000000,VALUE(MID($C3051,2,20)),1000000000),1000000000))+ROW()/100000,"")</f>
        <v/>
      </c>
    </row>
    <row r="3052">
      <c r="D3052" s="11" t="n"/>
      <c r="K3052" s="7">
        <f>IF($C3052="","",J3052*W3052/100)</f>
        <v/>
      </c>
      <c r="Q3052" s="7" t="n"/>
      <c r="R3052" s="7" t="n"/>
      <c r="U3052">
        <f>IF($C3052="","",IF($AJ3052=1,0,IF($AI3052=1,Settings!$C$6,Settings!$C$7))*100)</f>
        <v/>
      </c>
      <c r="V3052" s="7">
        <f>IF($C3052="","",R3052*U3052/100)</f>
        <v/>
      </c>
      <c r="W3052" s="7">
        <f>IF($C3052="","",R3052-V3052)</f>
        <v/>
      </c>
      <c r="X3052" s="7">
        <f>IF($C3052="","",W3052-K3052)</f>
        <v/>
      </c>
      <c r="AB3052" s="7" t="n"/>
      <c r="AE3052" s="11" t="n"/>
      <c r="AG3052">
        <f>IF($C3052="","",IF(COUNTIF($C$2:$C3052,$C3052)=1,1,0))</f>
        <v/>
      </c>
      <c r="AH3052">
        <f>IF($AG3052=1,SUMPRODUCT(--($AK$2:$AK$6001&lt;$AK3052))+1,"")</f>
        <v/>
      </c>
      <c r="AI3052">
        <f>IF($C3052="","",IF(OR($N3052=TRUE(),$N3052="TRUE"),1,0))</f>
        <v/>
      </c>
      <c r="AJ3052">
        <f>IF($C3052="","",IF($T3052="Yes",1,0))</f>
        <v/>
      </c>
      <c r="AK3052">
        <f>IF($AG3052=1,IFERROR(IF(VALUE($C3052)&lt;100000000,VALUE($C3052),1000000000),IFERROR(IF(VALUE(MID($C3052,2,20))&lt;100000000,VALUE(MID($C3052,2,20)),1000000000),1000000000))+ROW()/100000,"")</f>
        <v/>
      </c>
    </row>
    <row r="3053">
      <c r="D3053" s="11" t="n"/>
      <c r="K3053" s="7">
        <f>IF($C3053="","",J3053*W3053/100)</f>
        <v/>
      </c>
      <c r="Q3053" s="7" t="n"/>
      <c r="R3053" s="7" t="n"/>
      <c r="U3053">
        <f>IF($C3053="","",IF($AJ3053=1,0,IF($AI3053=1,Settings!$C$6,Settings!$C$7))*100)</f>
        <v/>
      </c>
      <c r="V3053" s="7">
        <f>IF($C3053="","",R3053*U3053/100)</f>
        <v/>
      </c>
      <c r="W3053" s="7">
        <f>IF($C3053="","",R3053-V3053)</f>
        <v/>
      </c>
      <c r="X3053" s="7">
        <f>IF($C3053="","",W3053-K3053)</f>
        <v/>
      </c>
      <c r="AB3053" s="7" t="n"/>
      <c r="AE3053" s="11" t="n"/>
      <c r="AG3053">
        <f>IF($C3053="","",IF(COUNTIF($C$2:$C3053,$C3053)=1,1,0))</f>
        <v/>
      </c>
      <c r="AH3053">
        <f>IF($AG3053=1,SUMPRODUCT(--($AK$2:$AK$6001&lt;$AK3053))+1,"")</f>
        <v/>
      </c>
      <c r="AI3053">
        <f>IF($C3053="","",IF(OR($N3053=TRUE(),$N3053="TRUE"),1,0))</f>
        <v/>
      </c>
      <c r="AJ3053">
        <f>IF($C3053="","",IF($T3053="Yes",1,0))</f>
        <v/>
      </c>
      <c r="AK3053">
        <f>IF($AG3053=1,IFERROR(IF(VALUE($C3053)&lt;100000000,VALUE($C3053),1000000000),IFERROR(IF(VALUE(MID($C3053,2,20))&lt;100000000,VALUE(MID($C3053,2,20)),1000000000),1000000000))+ROW()/100000,"")</f>
        <v/>
      </c>
    </row>
    <row r="3054">
      <c r="D3054" s="11" t="n"/>
      <c r="K3054" s="7">
        <f>IF($C3054="","",J3054*W3054/100)</f>
        <v/>
      </c>
      <c r="Q3054" s="7" t="n"/>
      <c r="R3054" s="7" t="n"/>
      <c r="U3054">
        <f>IF($C3054="","",IF($AJ3054=1,0,IF($AI3054=1,Settings!$C$6,Settings!$C$7))*100)</f>
        <v/>
      </c>
      <c r="V3054" s="7">
        <f>IF($C3054="","",R3054*U3054/100)</f>
        <v/>
      </c>
      <c r="W3054" s="7">
        <f>IF($C3054="","",R3054-V3054)</f>
        <v/>
      </c>
      <c r="X3054" s="7">
        <f>IF($C3054="","",W3054-K3054)</f>
        <v/>
      </c>
      <c r="AB3054" s="7" t="n"/>
      <c r="AE3054" s="11" t="n"/>
      <c r="AG3054">
        <f>IF($C3054="","",IF(COUNTIF($C$2:$C3054,$C3054)=1,1,0))</f>
        <v/>
      </c>
      <c r="AH3054">
        <f>IF($AG3054=1,SUMPRODUCT(--($AK$2:$AK$6001&lt;$AK3054))+1,"")</f>
        <v/>
      </c>
      <c r="AI3054">
        <f>IF($C3054="","",IF(OR($N3054=TRUE(),$N3054="TRUE"),1,0))</f>
        <v/>
      </c>
      <c r="AJ3054">
        <f>IF($C3054="","",IF($T3054="Yes",1,0))</f>
        <v/>
      </c>
      <c r="AK3054">
        <f>IF($AG3054=1,IFERROR(IF(VALUE($C3054)&lt;100000000,VALUE($C3054),1000000000),IFERROR(IF(VALUE(MID($C3054,2,20))&lt;100000000,VALUE(MID($C3054,2,20)),1000000000),1000000000))+ROW()/100000,"")</f>
        <v/>
      </c>
    </row>
    <row r="3055">
      <c r="D3055" s="11" t="n"/>
      <c r="K3055" s="7">
        <f>IF($C3055="","",J3055*W3055/100)</f>
        <v/>
      </c>
      <c r="Q3055" s="7" t="n"/>
      <c r="R3055" s="7" t="n"/>
      <c r="U3055">
        <f>IF($C3055="","",IF($AJ3055=1,0,IF($AI3055=1,Settings!$C$6,Settings!$C$7))*100)</f>
        <v/>
      </c>
      <c r="V3055" s="7">
        <f>IF($C3055="","",R3055*U3055/100)</f>
        <v/>
      </c>
      <c r="W3055" s="7">
        <f>IF($C3055="","",R3055-V3055)</f>
        <v/>
      </c>
      <c r="X3055" s="7">
        <f>IF($C3055="","",W3055-K3055)</f>
        <v/>
      </c>
      <c r="AB3055" s="7" t="n"/>
      <c r="AE3055" s="11" t="n"/>
      <c r="AG3055">
        <f>IF($C3055="","",IF(COUNTIF($C$2:$C3055,$C3055)=1,1,0))</f>
        <v/>
      </c>
      <c r="AH3055">
        <f>IF($AG3055=1,SUMPRODUCT(--($AK$2:$AK$6001&lt;$AK3055))+1,"")</f>
        <v/>
      </c>
      <c r="AI3055">
        <f>IF($C3055="","",IF(OR($N3055=TRUE(),$N3055="TRUE"),1,0))</f>
        <v/>
      </c>
      <c r="AJ3055">
        <f>IF($C3055="","",IF($T3055="Yes",1,0))</f>
        <v/>
      </c>
      <c r="AK3055">
        <f>IF($AG3055=1,IFERROR(IF(VALUE($C3055)&lt;100000000,VALUE($C3055),1000000000),IFERROR(IF(VALUE(MID($C3055,2,20))&lt;100000000,VALUE(MID($C3055,2,20)),1000000000),1000000000))+ROW()/100000,"")</f>
        <v/>
      </c>
    </row>
    <row r="3056">
      <c r="D3056" s="11" t="n"/>
      <c r="K3056" s="7">
        <f>IF($C3056="","",J3056*W3056/100)</f>
        <v/>
      </c>
      <c r="Q3056" s="7" t="n"/>
      <c r="R3056" s="7" t="n"/>
      <c r="U3056">
        <f>IF($C3056="","",IF($AJ3056=1,0,IF($AI3056=1,Settings!$C$6,Settings!$C$7))*100)</f>
        <v/>
      </c>
      <c r="V3056" s="7">
        <f>IF($C3056="","",R3056*U3056/100)</f>
        <v/>
      </c>
      <c r="W3056" s="7">
        <f>IF($C3056="","",R3056-V3056)</f>
        <v/>
      </c>
      <c r="X3056" s="7">
        <f>IF($C3056="","",W3056-K3056)</f>
        <v/>
      </c>
      <c r="AB3056" s="7" t="n"/>
      <c r="AE3056" s="11" t="n"/>
      <c r="AG3056">
        <f>IF($C3056="","",IF(COUNTIF($C$2:$C3056,$C3056)=1,1,0))</f>
        <v/>
      </c>
      <c r="AH3056">
        <f>IF($AG3056=1,SUMPRODUCT(--($AK$2:$AK$6001&lt;$AK3056))+1,"")</f>
        <v/>
      </c>
      <c r="AI3056">
        <f>IF($C3056="","",IF(OR($N3056=TRUE(),$N3056="TRUE"),1,0))</f>
        <v/>
      </c>
      <c r="AJ3056">
        <f>IF($C3056="","",IF($T3056="Yes",1,0))</f>
        <v/>
      </c>
      <c r="AK3056">
        <f>IF($AG3056=1,IFERROR(IF(VALUE($C3056)&lt;100000000,VALUE($C3056),1000000000),IFERROR(IF(VALUE(MID($C3056,2,20))&lt;100000000,VALUE(MID($C3056,2,20)),1000000000),1000000000))+ROW()/100000,"")</f>
        <v/>
      </c>
    </row>
    <row r="3057">
      <c r="D3057" s="11" t="n"/>
      <c r="K3057" s="7">
        <f>IF($C3057="","",J3057*W3057/100)</f>
        <v/>
      </c>
      <c r="Q3057" s="7" t="n"/>
      <c r="R3057" s="7" t="n"/>
      <c r="U3057">
        <f>IF($C3057="","",IF($AJ3057=1,0,IF($AI3057=1,Settings!$C$6,Settings!$C$7))*100)</f>
        <v/>
      </c>
      <c r="V3057" s="7">
        <f>IF($C3057="","",R3057*U3057/100)</f>
        <v/>
      </c>
      <c r="W3057" s="7">
        <f>IF($C3057="","",R3057-V3057)</f>
        <v/>
      </c>
      <c r="X3057" s="7">
        <f>IF($C3057="","",W3057-K3057)</f>
        <v/>
      </c>
      <c r="AB3057" s="7" t="n"/>
      <c r="AE3057" s="11" t="n"/>
      <c r="AG3057">
        <f>IF($C3057="","",IF(COUNTIF($C$2:$C3057,$C3057)=1,1,0))</f>
        <v/>
      </c>
      <c r="AH3057">
        <f>IF($AG3057=1,SUMPRODUCT(--($AK$2:$AK$6001&lt;$AK3057))+1,"")</f>
        <v/>
      </c>
      <c r="AI3057">
        <f>IF($C3057="","",IF(OR($N3057=TRUE(),$N3057="TRUE"),1,0))</f>
        <v/>
      </c>
      <c r="AJ3057">
        <f>IF($C3057="","",IF($T3057="Yes",1,0))</f>
        <v/>
      </c>
      <c r="AK3057">
        <f>IF($AG3057=1,IFERROR(IF(VALUE($C3057)&lt;100000000,VALUE($C3057),1000000000),IFERROR(IF(VALUE(MID($C3057,2,20))&lt;100000000,VALUE(MID($C3057,2,20)),1000000000),1000000000))+ROW()/100000,"")</f>
        <v/>
      </c>
    </row>
    <row r="3058">
      <c r="D3058" s="11" t="n"/>
      <c r="K3058" s="7">
        <f>IF($C3058="","",J3058*W3058/100)</f>
        <v/>
      </c>
      <c r="Q3058" s="7" t="n"/>
      <c r="R3058" s="7" t="n"/>
      <c r="U3058">
        <f>IF($C3058="","",IF($AJ3058=1,0,IF($AI3058=1,Settings!$C$6,Settings!$C$7))*100)</f>
        <v/>
      </c>
      <c r="V3058" s="7">
        <f>IF($C3058="","",R3058*U3058/100)</f>
        <v/>
      </c>
      <c r="W3058" s="7">
        <f>IF($C3058="","",R3058-V3058)</f>
        <v/>
      </c>
      <c r="X3058" s="7">
        <f>IF($C3058="","",W3058-K3058)</f>
        <v/>
      </c>
      <c r="AB3058" s="7" t="n"/>
      <c r="AE3058" s="11" t="n"/>
      <c r="AG3058">
        <f>IF($C3058="","",IF(COUNTIF($C$2:$C3058,$C3058)=1,1,0))</f>
        <v/>
      </c>
      <c r="AH3058">
        <f>IF($AG3058=1,SUMPRODUCT(--($AK$2:$AK$6001&lt;$AK3058))+1,"")</f>
        <v/>
      </c>
      <c r="AI3058">
        <f>IF($C3058="","",IF(OR($N3058=TRUE(),$N3058="TRUE"),1,0))</f>
        <v/>
      </c>
      <c r="AJ3058">
        <f>IF($C3058="","",IF($T3058="Yes",1,0))</f>
        <v/>
      </c>
      <c r="AK3058">
        <f>IF($AG3058=1,IFERROR(IF(VALUE($C3058)&lt;100000000,VALUE($C3058),1000000000),IFERROR(IF(VALUE(MID($C3058,2,20))&lt;100000000,VALUE(MID($C3058,2,20)),1000000000),1000000000))+ROW()/100000,"")</f>
        <v/>
      </c>
    </row>
    <row r="3059">
      <c r="D3059" s="11" t="n"/>
      <c r="K3059" s="7">
        <f>IF($C3059="","",J3059*W3059/100)</f>
        <v/>
      </c>
      <c r="Q3059" s="7" t="n"/>
      <c r="R3059" s="7" t="n"/>
      <c r="U3059">
        <f>IF($C3059="","",IF($AJ3059=1,0,IF($AI3059=1,Settings!$C$6,Settings!$C$7))*100)</f>
        <v/>
      </c>
      <c r="V3059" s="7">
        <f>IF($C3059="","",R3059*U3059/100)</f>
        <v/>
      </c>
      <c r="W3059" s="7">
        <f>IF($C3059="","",R3059-V3059)</f>
        <v/>
      </c>
      <c r="X3059" s="7">
        <f>IF($C3059="","",W3059-K3059)</f>
        <v/>
      </c>
      <c r="AB3059" s="7" t="n"/>
      <c r="AE3059" s="11" t="n"/>
      <c r="AG3059">
        <f>IF($C3059="","",IF(COUNTIF($C$2:$C3059,$C3059)=1,1,0))</f>
        <v/>
      </c>
      <c r="AH3059">
        <f>IF($AG3059=1,SUMPRODUCT(--($AK$2:$AK$6001&lt;$AK3059))+1,"")</f>
        <v/>
      </c>
      <c r="AI3059">
        <f>IF($C3059="","",IF(OR($N3059=TRUE(),$N3059="TRUE"),1,0))</f>
        <v/>
      </c>
      <c r="AJ3059">
        <f>IF($C3059="","",IF($T3059="Yes",1,0))</f>
        <v/>
      </c>
      <c r="AK3059">
        <f>IF($AG3059=1,IFERROR(IF(VALUE($C3059)&lt;100000000,VALUE($C3059),1000000000),IFERROR(IF(VALUE(MID($C3059,2,20))&lt;100000000,VALUE(MID($C3059,2,20)),1000000000),1000000000))+ROW()/100000,"")</f>
        <v/>
      </c>
    </row>
    <row r="3060">
      <c r="D3060" s="11" t="n"/>
      <c r="K3060" s="7">
        <f>IF($C3060="","",J3060*W3060/100)</f>
        <v/>
      </c>
      <c r="Q3060" s="7" t="n"/>
      <c r="R3060" s="7" t="n"/>
      <c r="U3060">
        <f>IF($C3060="","",IF($AJ3060=1,0,IF($AI3060=1,Settings!$C$6,Settings!$C$7))*100)</f>
        <v/>
      </c>
      <c r="V3060" s="7">
        <f>IF($C3060="","",R3060*U3060/100)</f>
        <v/>
      </c>
      <c r="W3060" s="7">
        <f>IF($C3060="","",R3060-V3060)</f>
        <v/>
      </c>
      <c r="X3060" s="7">
        <f>IF($C3060="","",W3060-K3060)</f>
        <v/>
      </c>
      <c r="AB3060" s="7" t="n"/>
      <c r="AE3060" s="11" t="n"/>
      <c r="AG3060">
        <f>IF($C3060="","",IF(COUNTIF($C$2:$C3060,$C3060)=1,1,0))</f>
        <v/>
      </c>
      <c r="AH3060">
        <f>IF($AG3060=1,SUMPRODUCT(--($AK$2:$AK$6001&lt;$AK3060))+1,"")</f>
        <v/>
      </c>
      <c r="AI3060">
        <f>IF($C3060="","",IF(OR($N3060=TRUE(),$N3060="TRUE"),1,0))</f>
        <v/>
      </c>
      <c r="AJ3060">
        <f>IF($C3060="","",IF($T3060="Yes",1,0))</f>
        <v/>
      </c>
      <c r="AK3060">
        <f>IF($AG3060=1,IFERROR(IF(VALUE($C3060)&lt;100000000,VALUE($C3060),1000000000),IFERROR(IF(VALUE(MID($C3060,2,20))&lt;100000000,VALUE(MID($C3060,2,20)),1000000000),1000000000))+ROW()/100000,"")</f>
        <v/>
      </c>
    </row>
    <row r="3061">
      <c r="D3061" s="11" t="n"/>
      <c r="K3061" s="7">
        <f>IF($C3061="","",J3061*W3061/100)</f>
        <v/>
      </c>
      <c r="Q3061" s="7" t="n"/>
      <c r="R3061" s="7" t="n"/>
      <c r="U3061">
        <f>IF($C3061="","",IF($AJ3061=1,0,IF($AI3061=1,Settings!$C$6,Settings!$C$7))*100)</f>
        <v/>
      </c>
      <c r="V3061" s="7">
        <f>IF($C3061="","",R3061*U3061/100)</f>
        <v/>
      </c>
      <c r="W3061" s="7">
        <f>IF($C3061="","",R3061-V3061)</f>
        <v/>
      </c>
      <c r="X3061" s="7">
        <f>IF($C3061="","",W3061-K3061)</f>
        <v/>
      </c>
      <c r="AB3061" s="7" t="n"/>
      <c r="AE3061" s="11" t="n"/>
      <c r="AG3061">
        <f>IF($C3061="","",IF(COUNTIF($C$2:$C3061,$C3061)=1,1,0))</f>
        <v/>
      </c>
      <c r="AH3061">
        <f>IF($AG3061=1,SUMPRODUCT(--($AK$2:$AK$6001&lt;$AK3061))+1,"")</f>
        <v/>
      </c>
      <c r="AI3061">
        <f>IF($C3061="","",IF(OR($N3061=TRUE(),$N3061="TRUE"),1,0))</f>
        <v/>
      </c>
      <c r="AJ3061">
        <f>IF($C3061="","",IF($T3061="Yes",1,0))</f>
        <v/>
      </c>
      <c r="AK3061">
        <f>IF($AG3061=1,IFERROR(IF(VALUE($C3061)&lt;100000000,VALUE($C3061),1000000000),IFERROR(IF(VALUE(MID($C3061,2,20))&lt;100000000,VALUE(MID($C3061,2,20)),1000000000),1000000000))+ROW()/100000,"")</f>
        <v/>
      </c>
    </row>
    <row r="3062">
      <c r="D3062" s="11" t="n"/>
      <c r="K3062" s="7">
        <f>IF($C3062="","",J3062*W3062/100)</f>
        <v/>
      </c>
      <c r="Q3062" s="7" t="n"/>
      <c r="R3062" s="7" t="n"/>
      <c r="U3062">
        <f>IF($C3062="","",IF($AJ3062=1,0,IF($AI3062=1,Settings!$C$6,Settings!$C$7))*100)</f>
        <v/>
      </c>
      <c r="V3062" s="7">
        <f>IF($C3062="","",R3062*U3062/100)</f>
        <v/>
      </c>
      <c r="W3062" s="7">
        <f>IF($C3062="","",R3062-V3062)</f>
        <v/>
      </c>
      <c r="X3062" s="7">
        <f>IF($C3062="","",W3062-K3062)</f>
        <v/>
      </c>
      <c r="AB3062" s="7" t="n"/>
      <c r="AE3062" s="11" t="n"/>
      <c r="AG3062">
        <f>IF($C3062="","",IF(COUNTIF($C$2:$C3062,$C3062)=1,1,0))</f>
        <v/>
      </c>
      <c r="AH3062">
        <f>IF($AG3062=1,SUMPRODUCT(--($AK$2:$AK$6001&lt;$AK3062))+1,"")</f>
        <v/>
      </c>
      <c r="AI3062">
        <f>IF($C3062="","",IF(OR($N3062=TRUE(),$N3062="TRUE"),1,0))</f>
        <v/>
      </c>
      <c r="AJ3062">
        <f>IF($C3062="","",IF($T3062="Yes",1,0))</f>
        <v/>
      </c>
      <c r="AK3062">
        <f>IF($AG3062=1,IFERROR(IF(VALUE($C3062)&lt;100000000,VALUE($C3062),1000000000),IFERROR(IF(VALUE(MID($C3062,2,20))&lt;100000000,VALUE(MID($C3062,2,20)),1000000000),1000000000))+ROW()/100000,"")</f>
        <v/>
      </c>
    </row>
    <row r="3063">
      <c r="D3063" s="11" t="n"/>
      <c r="K3063" s="7">
        <f>IF($C3063="","",J3063*W3063/100)</f>
        <v/>
      </c>
      <c r="Q3063" s="7" t="n"/>
      <c r="R3063" s="7" t="n"/>
      <c r="U3063">
        <f>IF($C3063="","",IF($AJ3063=1,0,IF($AI3063=1,Settings!$C$6,Settings!$C$7))*100)</f>
        <v/>
      </c>
      <c r="V3063" s="7">
        <f>IF($C3063="","",R3063*U3063/100)</f>
        <v/>
      </c>
      <c r="W3063" s="7">
        <f>IF($C3063="","",R3063-V3063)</f>
        <v/>
      </c>
      <c r="X3063" s="7">
        <f>IF($C3063="","",W3063-K3063)</f>
        <v/>
      </c>
      <c r="AB3063" s="7" t="n"/>
      <c r="AE3063" s="11" t="n"/>
      <c r="AG3063">
        <f>IF($C3063="","",IF(COUNTIF($C$2:$C3063,$C3063)=1,1,0))</f>
        <v/>
      </c>
      <c r="AH3063">
        <f>IF($AG3063=1,SUMPRODUCT(--($AK$2:$AK$6001&lt;$AK3063))+1,"")</f>
        <v/>
      </c>
      <c r="AI3063">
        <f>IF($C3063="","",IF(OR($N3063=TRUE(),$N3063="TRUE"),1,0))</f>
        <v/>
      </c>
      <c r="AJ3063">
        <f>IF($C3063="","",IF($T3063="Yes",1,0))</f>
        <v/>
      </c>
      <c r="AK3063">
        <f>IF($AG3063=1,IFERROR(IF(VALUE($C3063)&lt;100000000,VALUE($C3063),1000000000),IFERROR(IF(VALUE(MID($C3063,2,20))&lt;100000000,VALUE(MID($C3063,2,20)),1000000000),1000000000))+ROW()/100000,"")</f>
        <v/>
      </c>
    </row>
    <row r="3064">
      <c r="D3064" s="11" t="n"/>
      <c r="K3064" s="7">
        <f>IF($C3064="","",J3064*W3064/100)</f>
        <v/>
      </c>
      <c r="Q3064" s="7" t="n"/>
      <c r="R3064" s="7" t="n"/>
      <c r="U3064">
        <f>IF($C3064="","",IF($AJ3064=1,0,IF($AI3064=1,Settings!$C$6,Settings!$C$7))*100)</f>
        <v/>
      </c>
      <c r="V3064" s="7">
        <f>IF($C3064="","",R3064*U3064/100)</f>
        <v/>
      </c>
      <c r="W3064" s="7">
        <f>IF($C3064="","",R3064-V3064)</f>
        <v/>
      </c>
      <c r="X3064" s="7">
        <f>IF($C3064="","",W3064-K3064)</f>
        <v/>
      </c>
      <c r="AB3064" s="7" t="n"/>
      <c r="AE3064" s="11" t="n"/>
      <c r="AG3064">
        <f>IF($C3064="","",IF(COUNTIF($C$2:$C3064,$C3064)=1,1,0))</f>
        <v/>
      </c>
      <c r="AH3064">
        <f>IF($AG3064=1,SUMPRODUCT(--($AK$2:$AK$6001&lt;$AK3064))+1,"")</f>
        <v/>
      </c>
      <c r="AI3064">
        <f>IF($C3064="","",IF(OR($N3064=TRUE(),$N3064="TRUE"),1,0))</f>
        <v/>
      </c>
      <c r="AJ3064">
        <f>IF($C3064="","",IF($T3064="Yes",1,0))</f>
        <v/>
      </c>
      <c r="AK3064">
        <f>IF($AG3064=1,IFERROR(IF(VALUE($C3064)&lt;100000000,VALUE($C3064),1000000000),IFERROR(IF(VALUE(MID($C3064,2,20))&lt;100000000,VALUE(MID($C3064,2,20)),1000000000),1000000000))+ROW()/100000,"")</f>
        <v/>
      </c>
    </row>
    <row r="3065">
      <c r="D3065" s="11" t="n"/>
      <c r="K3065" s="7">
        <f>IF($C3065="","",J3065*W3065/100)</f>
        <v/>
      </c>
      <c r="Q3065" s="7" t="n"/>
      <c r="R3065" s="7" t="n"/>
      <c r="U3065">
        <f>IF($C3065="","",IF($AJ3065=1,0,IF($AI3065=1,Settings!$C$6,Settings!$C$7))*100)</f>
        <v/>
      </c>
      <c r="V3065" s="7">
        <f>IF($C3065="","",R3065*U3065/100)</f>
        <v/>
      </c>
      <c r="W3065" s="7">
        <f>IF($C3065="","",R3065-V3065)</f>
        <v/>
      </c>
      <c r="X3065" s="7">
        <f>IF($C3065="","",W3065-K3065)</f>
        <v/>
      </c>
      <c r="AB3065" s="7" t="n"/>
      <c r="AE3065" s="11" t="n"/>
      <c r="AG3065">
        <f>IF($C3065="","",IF(COUNTIF($C$2:$C3065,$C3065)=1,1,0))</f>
        <v/>
      </c>
      <c r="AH3065">
        <f>IF($AG3065=1,SUMPRODUCT(--($AK$2:$AK$6001&lt;$AK3065))+1,"")</f>
        <v/>
      </c>
      <c r="AI3065">
        <f>IF($C3065="","",IF(OR($N3065=TRUE(),$N3065="TRUE"),1,0))</f>
        <v/>
      </c>
      <c r="AJ3065">
        <f>IF($C3065="","",IF($T3065="Yes",1,0))</f>
        <v/>
      </c>
      <c r="AK3065">
        <f>IF($AG3065=1,IFERROR(IF(VALUE($C3065)&lt;100000000,VALUE($C3065),1000000000),IFERROR(IF(VALUE(MID($C3065,2,20))&lt;100000000,VALUE(MID($C3065,2,20)),1000000000),1000000000))+ROW()/100000,"")</f>
        <v/>
      </c>
    </row>
    <row r="3066">
      <c r="D3066" s="11" t="n"/>
      <c r="K3066" s="7">
        <f>IF($C3066="","",J3066*W3066/100)</f>
        <v/>
      </c>
      <c r="Q3066" s="7" t="n"/>
      <c r="R3066" s="7" t="n"/>
      <c r="U3066">
        <f>IF($C3066="","",IF($AJ3066=1,0,IF($AI3066=1,Settings!$C$6,Settings!$C$7))*100)</f>
        <v/>
      </c>
      <c r="V3066" s="7">
        <f>IF($C3066="","",R3066*U3066/100)</f>
        <v/>
      </c>
      <c r="W3066" s="7">
        <f>IF($C3066="","",R3066-V3066)</f>
        <v/>
      </c>
      <c r="X3066" s="7">
        <f>IF($C3066="","",W3066-K3066)</f>
        <v/>
      </c>
      <c r="AB3066" s="7" t="n"/>
      <c r="AE3066" s="11" t="n"/>
      <c r="AG3066">
        <f>IF($C3066="","",IF(COUNTIF($C$2:$C3066,$C3066)=1,1,0))</f>
        <v/>
      </c>
      <c r="AH3066">
        <f>IF($AG3066=1,SUMPRODUCT(--($AK$2:$AK$6001&lt;$AK3066))+1,"")</f>
        <v/>
      </c>
      <c r="AI3066">
        <f>IF($C3066="","",IF(OR($N3066=TRUE(),$N3066="TRUE"),1,0))</f>
        <v/>
      </c>
      <c r="AJ3066">
        <f>IF($C3066="","",IF($T3066="Yes",1,0))</f>
        <v/>
      </c>
      <c r="AK3066">
        <f>IF($AG3066=1,IFERROR(IF(VALUE($C3066)&lt;100000000,VALUE($C3066),1000000000),IFERROR(IF(VALUE(MID($C3066,2,20))&lt;100000000,VALUE(MID($C3066,2,20)),1000000000),1000000000))+ROW()/100000,"")</f>
        <v/>
      </c>
    </row>
    <row r="3067">
      <c r="D3067" s="11" t="n"/>
      <c r="K3067" s="7">
        <f>IF($C3067="","",J3067*W3067/100)</f>
        <v/>
      </c>
      <c r="Q3067" s="7" t="n"/>
      <c r="R3067" s="7" t="n"/>
      <c r="U3067">
        <f>IF($C3067="","",IF($AJ3067=1,0,IF($AI3067=1,Settings!$C$6,Settings!$C$7))*100)</f>
        <v/>
      </c>
      <c r="V3067" s="7">
        <f>IF($C3067="","",R3067*U3067/100)</f>
        <v/>
      </c>
      <c r="W3067" s="7">
        <f>IF($C3067="","",R3067-V3067)</f>
        <v/>
      </c>
      <c r="X3067" s="7">
        <f>IF($C3067="","",W3067-K3067)</f>
        <v/>
      </c>
      <c r="AB3067" s="7" t="n"/>
      <c r="AE3067" s="11" t="n"/>
      <c r="AG3067">
        <f>IF($C3067="","",IF(COUNTIF($C$2:$C3067,$C3067)=1,1,0))</f>
        <v/>
      </c>
      <c r="AH3067">
        <f>IF($AG3067=1,SUMPRODUCT(--($AK$2:$AK$6001&lt;$AK3067))+1,"")</f>
        <v/>
      </c>
      <c r="AI3067">
        <f>IF($C3067="","",IF(OR($N3067=TRUE(),$N3067="TRUE"),1,0))</f>
        <v/>
      </c>
      <c r="AJ3067">
        <f>IF($C3067="","",IF($T3067="Yes",1,0))</f>
        <v/>
      </c>
      <c r="AK3067">
        <f>IF($AG3067=1,IFERROR(IF(VALUE($C3067)&lt;100000000,VALUE($C3067),1000000000),IFERROR(IF(VALUE(MID($C3067,2,20))&lt;100000000,VALUE(MID($C3067,2,20)),1000000000),1000000000))+ROW()/100000,"")</f>
        <v/>
      </c>
    </row>
    <row r="3068">
      <c r="D3068" s="11" t="n"/>
      <c r="K3068" s="7">
        <f>IF($C3068="","",J3068*W3068/100)</f>
        <v/>
      </c>
      <c r="Q3068" s="7" t="n"/>
      <c r="R3068" s="7" t="n"/>
      <c r="U3068">
        <f>IF($C3068="","",IF($AJ3068=1,0,IF($AI3068=1,Settings!$C$6,Settings!$C$7))*100)</f>
        <v/>
      </c>
      <c r="V3068" s="7">
        <f>IF($C3068="","",R3068*U3068/100)</f>
        <v/>
      </c>
      <c r="W3068" s="7">
        <f>IF($C3068="","",R3068-V3068)</f>
        <v/>
      </c>
      <c r="X3068" s="7">
        <f>IF($C3068="","",W3068-K3068)</f>
        <v/>
      </c>
      <c r="AB3068" s="7" t="n"/>
      <c r="AE3068" s="11" t="n"/>
      <c r="AG3068">
        <f>IF($C3068="","",IF(COUNTIF($C$2:$C3068,$C3068)=1,1,0))</f>
        <v/>
      </c>
      <c r="AH3068">
        <f>IF($AG3068=1,SUMPRODUCT(--($AK$2:$AK$6001&lt;$AK3068))+1,"")</f>
        <v/>
      </c>
      <c r="AI3068">
        <f>IF($C3068="","",IF(OR($N3068=TRUE(),$N3068="TRUE"),1,0))</f>
        <v/>
      </c>
      <c r="AJ3068">
        <f>IF($C3068="","",IF($T3068="Yes",1,0))</f>
        <v/>
      </c>
      <c r="AK3068">
        <f>IF($AG3068=1,IFERROR(IF(VALUE($C3068)&lt;100000000,VALUE($C3068),1000000000),IFERROR(IF(VALUE(MID($C3068,2,20))&lt;100000000,VALUE(MID($C3068,2,20)),1000000000),1000000000))+ROW()/100000,"")</f>
        <v/>
      </c>
    </row>
    <row r="3069">
      <c r="D3069" s="11" t="n"/>
      <c r="K3069" s="7">
        <f>IF($C3069="","",J3069*W3069/100)</f>
        <v/>
      </c>
      <c r="Q3069" s="7" t="n"/>
      <c r="R3069" s="7" t="n"/>
      <c r="U3069">
        <f>IF($C3069="","",IF($AJ3069=1,0,IF($AI3069=1,Settings!$C$6,Settings!$C$7))*100)</f>
        <v/>
      </c>
      <c r="V3069" s="7">
        <f>IF($C3069="","",R3069*U3069/100)</f>
        <v/>
      </c>
      <c r="W3069" s="7">
        <f>IF($C3069="","",R3069-V3069)</f>
        <v/>
      </c>
      <c r="X3069" s="7">
        <f>IF($C3069="","",W3069-K3069)</f>
        <v/>
      </c>
      <c r="AB3069" s="7" t="n"/>
      <c r="AE3069" s="11" t="n"/>
      <c r="AG3069">
        <f>IF($C3069="","",IF(COUNTIF($C$2:$C3069,$C3069)=1,1,0))</f>
        <v/>
      </c>
      <c r="AH3069">
        <f>IF($AG3069=1,SUMPRODUCT(--($AK$2:$AK$6001&lt;$AK3069))+1,"")</f>
        <v/>
      </c>
      <c r="AI3069">
        <f>IF($C3069="","",IF(OR($N3069=TRUE(),$N3069="TRUE"),1,0))</f>
        <v/>
      </c>
      <c r="AJ3069">
        <f>IF($C3069="","",IF($T3069="Yes",1,0))</f>
        <v/>
      </c>
      <c r="AK3069">
        <f>IF($AG3069=1,IFERROR(IF(VALUE($C3069)&lt;100000000,VALUE($C3069),1000000000),IFERROR(IF(VALUE(MID($C3069,2,20))&lt;100000000,VALUE(MID($C3069,2,20)),1000000000),1000000000))+ROW()/100000,"")</f>
        <v/>
      </c>
    </row>
    <row r="3070">
      <c r="D3070" s="11" t="n"/>
      <c r="K3070" s="7">
        <f>IF($C3070="","",J3070*W3070/100)</f>
        <v/>
      </c>
      <c r="Q3070" s="7" t="n"/>
      <c r="R3070" s="7" t="n"/>
      <c r="U3070">
        <f>IF($C3070="","",IF($AJ3070=1,0,IF($AI3070=1,Settings!$C$6,Settings!$C$7))*100)</f>
        <v/>
      </c>
      <c r="V3070" s="7">
        <f>IF($C3070="","",R3070*U3070/100)</f>
        <v/>
      </c>
      <c r="W3070" s="7">
        <f>IF($C3070="","",R3070-V3070)</f>
        <v/>
      </c>
      <c r="X3070" s="7">
        <f>IF($C3070="","",W3070-K3070)</f>
        <v/>
      </c>
      <c r="AB3070" s="7" t="n"/>
      <c r="AE3070" s="11" t="n"/>
      <c r="AG3070">
        <f>IF($C3070="","",IF(COUNTIF($C$2:$C3070,$C3070)=1,1,0))</f>
        <v/>
      </c>
      <c r="AH3070">
        <f>IF($AG3070=1,SUMPRODUCT(--($AK$2:$AK$6001&lt;$AK3070))+1,"")</f>
        <v/>
      </c>
      <c r="AI3070">
        <f>IF($C3070="","",IF(OR($N3070=TRUE(),$N3070="TRUE"),1,0))</f>
        <v/>
      </c>
      <c r="AJ3070">
        <f>IF($C3070="","",IF($T3070="Yes",1,0))</f>
        <v/>
      </c>
      <c r="AK3070">
        <f>IF($AG3070=1,IFERROR(IF(VALUE($C3070)&lt;100000000,VALUE($C3070),1000000000),IFERROR(IF(VALUE(MID($C3070,2,20))&lt;100000000,VALUE(MID($C3070,2,20)),1000000000),1000000000))+ROW()/100000,"")</f>
        <v/>
      </c>
    </row>
    <row r="3071">
      <c r="D3071" s="11" t="n"/>
      <c r="K3071" s="7">
        <f>IF($C3071="","",J3071*W3071/100)</f>
        <v/>
      </c>
      <c r="Q3071" s="7" t="n"/>
      <c r="R3071" s="7" t="n"/>
      <c r="U3071">
        <f>IF($C3071="","",IF($AJ3071=1,0,IF($AI3071=1,Settings!$C$6,Settings!$C$7))*100)</f>
        <v/>
      </c>
      <c r="V3071" s="7">
        <f>IF($C3071="","",R3071*U3071/100)</f>
        <v/>
      </c>
      <c r="W3071" s="7">
        <f>IF($C3071="","",R3071-V3071)</f>
        <v/>
      </c>
      <c r="X3071" s="7">
        <f>IF($C3071="","",W3071-K3071)</f>
        <v/>
      </c>
      <c r="AB3071" s="7" t="n"/>
      <c r="AE3071" s="11" t="n"/>
      <c r="AG3071">
        <f>IF($C3071="","",IF(COUNTIF($C$2:$C3071,$C3071)=1,1,0))</f>
        <v/>
      </c>
      <c r="AH3071">
        <f>IF($AG3071=1,SUMPRODUCT(--($AK$2:$AK$6001&lt;$AK3071))+1,"")</f>
        <v/>
      </c>
      <c r="AI3071">
        <f>IF($C3071="","",IF(OR($N3071=TRUE(),$N3071="TRUE"),1,0))</f>
        <v/>
      </c>
      <c r="AJ3071">
        <f>IF($C3071="","",IF($T3071="Yes",1,0))</f>
        <v/>
      </c>
      <c r="AK3071">
        <f>IF($AG3071=1,IFERROR(IF(VALUE($C3071)&lt;100000000,VALUE($C3071),1000000000),IFERROR(IF(VALUE(MID($C3071,2,20))&lt;100000000,VALUE(MID($C3071,2,20)),1000000000),1000000000))+ROW()/100000,"")</f>
        <v/>
      </c>
    </row>
    <row r="3072">
      <c r="D3072" s="11" t="n"/>
      <c r="K3072" s="7">
        <f>IF($C3072="","",J3072*W3072/100)</f>
        <v/>
      </c>
      <c r="Q3072" s="7" t="n"/>
      <c r="R3072" s="7" t="n"/>
      <c r="U3072">
        <f>IF($C3072="","",IF($AJ3072=1,0,IF($AI3072=1,Settings!$C$6,Settings!$C$7))*100)</f>
        <v/>
      </c>
      <c r="V3072" s="7">
        <f>IF($C3072="","",R3072*U3072/100)</f>
        <v/>
      </c>
      <c r="W3072" s="7">
        <f>IF($C3072="","",R3072-V3072)</f>
        <v/>
      </c>
      <c r="X3072" s="7">
        <f>IF($C3072="","",W3072-K3072)</f>
        <v/>
      </c>
      <c r="AB3072" s="7" t="n"/>
      <c r="AE3072" s="11" t="n"/>
      <c r="AG3072">
        <f>IF($C3072="","",IF(COUNTIF($C$2:$C3072,$C3072)=1,1,0))</f>
        <v/>
      </c>
      <c r="AH3072">
        <f>IF($AG3072=1,SUMPRODUCT(--($AK$2:$AK$6001&lt;$AK3072))+1,"")</f>
        <v/>
      </c>
      <c r="AI3072">
        <f>IF($C3072="","",IF(OR($N3072=TRUE(),$N3072="TRUE"),1,0))</f>
        <v/>
      </c>
      <c r="AJ3072">
        <f>IF($C3072="","",IF($T3072="Yes",1,0))</f>
        <v/>
      </c>
      <c r="AK3072">
        <f>IF($AG3072=1,IFERROR(IF(VALUE($C3072)&lt;100000000,VALUE($C3072),1000000000),IFERROR(IF(VALUE(MID($C3072,2,20))&lt;100000000,VALUE(MID($C3072,2,20)),1000000000),1000000000))+ROW()/100000,"")</f>
        <v/>
      </c>
    </row>
    <row r="3073">
      <c r="D3073" s="11" t="n"/>
      <c r="K3073" s="7">
        <f>IF($C3073="","",J3073*W3073/100)</f>
        <v/>
      </c>
      <c r="Q3073" s="7" t="n"/>
      <c r="R3073" s="7" t="n"/>
      <c r="U3073">
        <f>IF($C3073="","",IF($AJ3073=1,0,IF($AI3073=1,Settings!$C$6,Settings!$C$7))*100)</f>
        <v/>
      </c>
      <c r="V3073" s="7">
        <f>IF($C3073="","",R3073*U3073/100)</f>
        <v/>
      </c>
      <c r="W3073" s="7">
        <f>IF($C3073="","",R3073-V3073)</f>
        <v/>
      </c>
      <c r="X3073" s="7">
        <f>IF($C3073="","",W3073-K3073)</f>
        <v/>
      </c>
      <c r="AB3073" s="7" t="n"/>
      <c r="AE3073" s="11" t="n"/>
      <c r="AG3073">
        <f>IF($C3073="","",IF(COUNTIF($C$2:$C3073,$C3073)=1,1,0))</f>
        <v/>
      </c>
      <c r="AH3073">
        <f>IF($AG3073=1,SUMPRODUCT(--($AK$2:$AK$6001&lt;$AK3073))+1,"")</f>
        <v/>
      </c>
      <c r="AI3073">
        <f>IF($C3073="","",IF(OR($N3073=TRUE(),$N3073="TRUE"),1,0))</f>
        <v/>
      </c>
      <c r="AJ3073">
        <f>IF($C3073="","",IF($T3073="Yes",1,0))</f>
        <v/>
      </c>
      <c r="AK3073">
        <f>IF($AG3073=1,IFERROR(IF(VALUE($C3073)&lt;100000000,VALUE($C3073),1000000000),IFERROR(IF(VALUE(MID($C3073,2,20))&lt;100000000,VALUE(MID($C3073,2,20)),1000000000),1000000000))+ROW()/100000,"")</f>
        <v/>
      </c>
    </row>
    <row r="3074">
      <c r="D3074" s="11" t="n"/>
      <c r="K3074" s="7">
        <f>IF($C3074="","",J3074*W3074/100)</f>
        <v/>
      </c>
      <c r="Q3074" s="7" t="n"/>
      <c r="R3074" s="7" t="n"/>
      <c r="U3074">
        <f>IF($C3074="","",IF($AJ3074=1,0,IF($AI3074=1,Settings!$C$6,Settings!$C$7))*100)</f>
        <v/>
      </c>
      <c r="V3074" s="7">
        <f>IF($C3074="","",R3074*U3074/100)</f>
        <v/>
      </c>
      <c r="W3074" s="7">
        <f>IF($C3074="","",R3074-V3074)</f>
        <v/>
      </c>
      <c r="X3074" s="7">
        <f>IF($C3074="","",W3074-K3074)</f>
        <v/>
      </c>
      <c r="AB3074" s="7" t="n"/>
      <c r="AE3074" s="11" t="n"/>
      <c r="AG3074">
        <f>IF($C3074="","",IF(COUNTIF($C$2:$C3074,$C3074)=1,1,0))</f>
        <v/>
      </c>
      <c r="AH3074">
        <f>IF($AG3074=1,SUMPRODUCT(--($AK$2:$AK$6001&lt;$AK3074))+1,"")</f>
        <v/>
      </c>
      <c r="AI3074">
        <f>IF($C3074="","",IF(OR($N3074=TRUE(),$N3074="TRUE"),1,0))</f>
        <v/>
      </c>
      <c r="AJ3074">
        <f>IF($C3074="","",IF($T3074="Yes",1,0))</f>
        <v/>
      </c>
      <c r="AK3074">
        <f>IF($AG3074=1,IFERROR(IF(VALUE($C3074)&lt;100000000,VALUE($C3074),1000000000),IFERROR(IF(VALUE(MID($C3074,2,20))&lt;100000000,VALUE(MID($C3074,2,20)),1000000000),1000000000))+ROW()/100000,"")</f>
        <v/>
      </c>
    </row>
    <row r="3075">
      <c r="D3075" s="11" t="n"/>
      <c r="K3075" s="7">
        <f>IF($C3075="","",J3075*W3075/100)</f>
        <v/>
      </c>
      <c r="Q3075" s="7" t="n"/>
      <c r="R3075" s="7" t="n"/>
      <c r="U3075">
        <f>IF($C3075="","",IF($AJ3075=1,0,IF($AI3075=1,Settings!$C$6,Settings!$C$7))*100)</f>
        <v/>
      </c>
      <c r="V3075" s="7">
        <f>IF($C3075="","",R3075*U3075/100)</f>
        <v/>
      </c>
      <c r="W3075" s="7">
        <f>IF($C3075="","",R3075-V3075)</f>
        <v/>
      </c>
      <c r="X3075" s="7">
        <f>IF($C3075="","",W3075-K3075)</f>
        <v/>
      </c>
      <c r="AB3075" s="7" t="n"/>
      <c r="AE3075" s="11" t="n"/>
      <c r="AG3075">
        <f>IF($C3075="","",IF(COUNTIF($C$2:$C3075,$C3075)=1,1,0))</f>
        <v/>
      </c>
      <c r="AH3075">
        <f>IF($AG3075=1,SUMPRODUCT(--($AK$2:$AK$6001&lt;$AK3075))+1,"")</f>
        <v/>
      </c>
      <c r="AI3075">
        <f>IF($C3075="","",IF(OR($N3075=TRUE(),$N3075="TRUE"),1,0))</f>
        <v/>
      </c>
      <c r="AJ3075">
        <f>IF($C3075="","",IF($T3075="Yes",1,0))</f>
        <v/>
      </c>
      <c r="AK3075">
        <f>IF($AG3075=1,IFERROR(IF(VALUE($C3075)&lt;100000000,VALUE($C3075),1000000000),IFERROR(IF(VALUE(MID($C3075,2,20))&lt;100000000,VALUE(MID($C3075,2,20)),1000000000),1000000000))+ROW()/100000,"")</f>
        <v/>
      </c>
    </row>
    <row r="3076">
      <c r="D3076" s="11" t="n"/>
      <c r="K3076" s="7">
        <f>IF($C3076="","",J3076*W3076/100)</f>
        <v/>
      </c>
      <c r="Q3076" s="7" t="n"/>
      <c r="R3076" s="7" t="n"/>
      <c r="U3076">
        <f>IF($C3076="","",IF($AJ3076=1,0,IF($AI3076=1,Settings!$C$6,Settings!$C$7))*100)</f>
        <v/>
      </c>
      <c r="V3076" s="7">
        <f>IF($C3076="","",R3076*U3076/100)</f>
        <v/>
      </c>
      <c r="W3076" s="7">
        <f>IF($C3076="","",R3076-V3076)</f>
        <v/>
      </c>
      <c r="X3076" s="7">
        <f>IF($C3076="","",W3076-K3076)</f>
        <v/>
      </c>
      <c r="AB3076" s="7" t="n"/>
      <c r="AE3076" s="11" t="n"/>
      <c r="AG3076">
        <f>IF($C3076="","",IF(COUNTIF($C$2:$C3076,$C3076)=1,1,0))</f>
        <v/>
      </c>
      <c r="AH3076">
        <f>IF($AG3076=1,SUMPRODUCT(--($AK$2:$AK$6001&lt;$AK3076))+1,"")</f>
        <v/>
      </c>
      <c r="AI3076">
        <f>IF($C3076="","",IF(OR($N3076=TRUE(),$N3076="TRUE"),1,0))</f>
        <v/>
      </c>
      <c r="AJ3076">
        <f>IF($C3076="","",IF($T3076="Yes",1,0))</f>
        <v/>
      </c>
      <c r="AK3076">
        <f>IF($AG3076=1,IFERROR(IF(VALUE($C3076)&lt;100000000,VALUE($C3076),1000000000),IFERROR(IF(VALUE(MID($C3076,2,20))&lt;100000000,VALUE(MID($C3076,2,20)),1000000000),1000000000))+ROW()/100000,"")</f>
        <v/>
      </c>
    </row>
    <row r="3077">
      <c r="D3077" s="11" t="n"/>
      <c r="K3077" s="7">
        <f>IF($C3077="","",J3077*W3077/100)</f>
        <v/>
      </c>
      <c r="Q3077" s="7" t="n"/>
      <c r="R3077" s="7" t="n"/>
      <c r="U3077">
        <f>IF($C3077="","",IF($AJ3077=1,0,IF($AI3077=1,Settings!$C$6,Settings!$C$7))*100)</f>
        <v/>
      </c>
      <c r="V3077" s="7">
        <f>IF($C3077="","",R3077*U3077/100)</f>
        <v/>
      </c>
      <c r="W3077" s="7">
        <f>IF($C3077="","",R3077-V3077)</f>
        <v/>
      </c>
      <c r="X3077" s="7">
        <f>IF($C3077="","",W3077-K3077)</f>
        <v/>
      </c>
      <c r="AB3077" s="7" t="n"/>
      <c r="AE3077" s="11" t="n"/>
      <c r="AG3077">
        <f>IF($C3077="","",IF(COUNTIF($C$2:$C3077,$C3077)=1,1,0))</f>
        <v/>
      </c>
      <c r="AH3077">
        <f>IF($AG3077=1,SUMPRODUCT(--($AK$2:$AK$6001&lt;$AK3077))+1,"")</f>
        <v/>
      </c>
      <c r="AI3077">
        <f>IF($C3077="","",IF(OR($N3077=TRUE(),$N3077="TRUE"),1,0))</f>
        <v/>
      </c>
      <c r="AJ3077">
        <f>IF($C3077="","",IF($T3077="Yes",1,0))</f>
        <v/>
      </c>
      <c r="AK3077">
        <f>IF($AG3077=1,IFERROR(IF(VALUE($C3077)&lt;100000000,VALUE($C3077),1000000000),IFERROR(IF(VALUE(MID($C3077,2,20))&lt;100000000,VALUE(MID($C3077,2,20)),1000000000),1000000000))+ROW()/100000,"")</f>
        <v/>
      </c>
    </row>
    <row r="3078">
      <c r="D3078" s="11" t="n"/>
      <c r="K3078" s="7">
        <f>IF($C3078="","",J3078*W3078/100)</f>
        <v/>
      </c>
      <c r="Q3078" s="7" t="n"/>
      <c r="R3078" s="7" t="n"/>
      <c r="U3078">
        <f>IF($C3078="","",IF($AJ3078=1,0,IF($AI3078=1,Settings!$C$6,Settings!$C$7))*100)</f>
        <v/>
      </c>
      <c r="V3078" s="7">
        <f>IF($C3078="","",R3078*U3078/100)</f>
        <v/>
      </c>
      <c r="W3078" s="7">
        <f>IF($C3078="","",R3078-V3078)</f>
        <v/>
      </c>
      <c r="X3078" s="7">
        <f>IF($C3078="","",W3078-K3078)</f>
        <v/>
      </c>
      <c r="AB3078" s="7" t="n"/>
      <c r="AE3078" s="11" t="n"/>
      <c r="AG3078">
        <f>IF($C3078="","",IF(COUNTIF($C$2:$C3078,$C3078)=1,1,0))</f>
        <v/>
      </c>
      <c r="AH3078">
        <f>IF($AG3078=1,SUMPRODUCT(--($AK$2:$AK$6001&lt;$AK3078))+1,"")</f>
        <v/>
      </c>
      <c r="AI3078">
        <f>IF($C3078="","",IF(OR($N3078=TRUE(),$N3078="TRUE"),1,0))</f>
        <v/>
      </c>
      <c r="AJ3078">
        <f>IF($C3078="","",IF($T3078="Yes",1,0))</f>
        <v/>
      </c>
      <c r="AK3078">
        <f>IF($AG3078=1,IFERROR(IF(VALUE($C3078)&lt;100000000,VALUE($C3078),1000000000),IFERROR(IF(VALUE(MID($C3078,2,20))&lt;100000000,VALUE(MID($C3078,2,20)),1000000000),1000000000))+ROW()/100000,"")</f>
        <v/>
      </c>
    </row>
    <row r="3079">
      <c r="D3079" s="11" t="n"/>
      <c r="K3079" s="7">
        <f>IF($C3079="","",J3079*W3079/100)</f>
        <v/>
      </c>
      <c r="Q3079" s="7" t="n"/>
      <c r="R3079" s="7" t="n"/>
      <c r="U3079">
        <f>IF($C3079="","",IF($AJ3079=1,0,IF($AI3079=1,Settings!$C$6,Settings!$C$7))*100)</f>
        <v/>
      </c>
      <c r="V3079" s="7">
        <f>IF($C3079="","",R3079*U3079/100)</f>
        <v/>
      </c>
      <c r="W3079" s="7">
        <f>IF($C3079="","",R3079-V3079)</f>
        <v/>
      </c>
      <c r="X3079" s="7">
        <f>IF($C3079="","",W3079-K3079)</f>
        <v/>
      </c>
      <c r="AB3079" s="7" t="n"/>
      <c r="AE3079" s="11" t="n"/>
      <c r="AG3079">
        <f>IF($C3079="","",IF(COUNTIF($C$2:$C3079,$C3079)=1,1,0))</f>
        <v/>
      </c>
      <c r="AH3079">
        <f>IF($AG3079=1,SUMPRODUCT(--($AK$2:$AK$6001&lt;$AK3079))+1,"")</f>
        <v/>
      </c>
      <c r="AI3079">
        <f>IF($C3079="","",IF(OR($N3079=TRUE(),$N3079="TRUE"),1,0))</f>
        <v/>
      </c>
      <c r="AJ3079">
        <f>IF($C3079="","",IF($T3079="Yes",1,0))</f>
        <v/>
      </c>
      <c r="AK3079">
        <f>IF($AG3079=1,IFERROR(IF(VALUE($C3079)&lt;100000000,VALUE($C3079),1000000000),IFERROR(IF(VALUE(MID($C3079,2,20))&lt;100000000,VALUE(MID($C3079,2,20)),1000000000),1000000000))+ROW()/100000,"")</f>
        <v/>
      </c>
    </row>
    <row r="3080">
      <c r="D3080" s="11" t="n"/>
      <c r="K3080" s="7">
        <f>IF($C3080="","",J3080*W3080/100)</f>
        <v/>
      </c>
      <c r="Q3080" s="7" t="n"/>
      <c r="R3080" s="7" t="n"/>
      <c r="U3080">
        <f>IF($C3080="","",IF($AJ3080=1,0,IF($AI3080=1,Settings!$C$6,Settings!$C$7))*100)</f>
        <v/>
      </c>
      <c r="V3080" s="7">
        <f>IF($C3080="","",R3080*U3080/100)</f>
        <v/>
      </c>
      <c r="W3080" s="7">
        <f>IF($C3080="","",R3080-V3080)</f>
        <v/>
      </c>
      <c r="X3080" s="7">
        <f>IF($C3080="","",W3080-K3080)</f>
        <v/>
      </c>
      <c r="AB3080" s="7" t="n"/>
      <c r="AE3080" s="11" t="n"/>
      <c r="AG3080">
        <f>IF($C3080="","",IF(COUNTIF($C$2:$C3080,$C3080)=1,1,0))</f>
        <v/>
      </c>
      <c r="AH3080">
        <f>IF($AG3080=1,SUMPRODUCT(--($AK$2:$AK$6001&lt;$AK3080))+1,"")</f>
        <v/>
      </c>
      <c r="AI3080">
        <f>IF($C3080="","",IF(OR($N3080=TRUE(),$N3080="TRUE"),1,0))</f>
        <v/>
      </c>
      <c r="AJ3080">
        <f>IF($C3080="","",IF($T3080="Yes",1,0))</f>
        <v/>
      </c>
      <c r="AK3080">
        <f>IF($AG3080=1,IFERROR(IF(VALUE($C3080)&lt;100000000,VALUE($C3080),1000000000),IFERROR(IF(VALUE(MID($C3080,2,20))&lt;100000000,VALUE(MID($C3080,2,20)),1000000000),1000000000))+ROW()/100000,"")</f>
        <v/>
      </c>
    </row>
    <row r="3081">
      <c r="D3081" s="11" t="n"/>
      <c r="K3081" s="7">
        <f>IF($C3081="","",J3081*W3081/100)</f>
        <v/>
      </c>
      <c r="Q3081" s="7" t="n"/>
      <c r="R3081" s="7" t="n"/>
      <c r="U3081">
        <f>IF($C3081="","",IF($AJ3081=1,0,IF($AI3081=1,Settings!$C$6,Settings!$C$7))*100)</f>
        <v/>
      </c>
      <c r="V3081" s="7">
        <f>IF($C3081="","",R3081*U3081/100)</f>
        <v/>
      </c>
      <c r="W3081" s="7">
        <f>IF($C3081="","",R3081-V3081)</f>
        <v/>
      </c>
      <c r="X3081" s="7">
        <f>IF($C3081="","",W3081-K3081)</f>
        <v/>
      </c>
      <c r="AB3081" s="7" t="n"/>
      <c r="AE3081" s="11" t="n"/>
      <c r="AG3081">
        <f>IF($C3081="","",IF(COUNTIF($C$2:$C3081,$C3081)=1,1,0))</f>
        <v/>
      </c>
      <c r="AH3081">
        <f>IF($AG3081=1,SUMPRODUCT(--($AK$2:$AK$6001&lt;$AK3081))+1,"")</f>
        <v/>
      </c>
      <c r="AI3081">
        <f>IF($C3081="","",IF(OR($N3081=TRUE(),$N3081="TRUE"),1,0))</f>
        <v/>
      </c>
      <c r="AJ3081">
        <f>IF($C3081="","",IF($T3081="Yes",1,0))</f>
        <v/>
      </c>
      <c r="AK3081">
        <f>IF($AG3081=1,IFERROR(IF(VALUE($C3081)&lt;100000000,VALUE($C3081),1000000000),IFERROR(IF(VALUE(MID($C3081,2,20))&lt;100000000,VALUE(MID($C3081,2,20)),1000000000),1000000000))+ROW()/100000,"")</f>
        <v/>
      </c>
    </row>
    <row r="3082">
      <c r="D3082" s="11" t="n"/>
      <c r="K3082" s="7">
        <f>IF($C3082="","",J3082*W3082/100)</f>
        <v/>
      </c>
      <c r="Q3082" s="7" t="n"/>
      <c r="R3082" s="7" t="n"/>
      <c r="U3082">
        <f>IF($C3082="","",IF($AJ3082=1,0,IF($AI3082=1,Settings!$C$6,Settings!$C$7))*100)</f>
        <v/>
      </c>
      <c r="V3082" s="7">
        <f>IF($C3082="","",R3082*U3082/100)</f>
        <v/>
      </c>
      <c r="W3082" s="7">
        <f>IF($C3082="","",R3082-V3082)</f>
        <v/>
      </c>
      <c r="X3082" s="7">
        <f>IF($C3082="","",W3082-K3082)</f>
        <v/>
      </c>
      <c r="AB3082" s="7" t="n"/>
      <c r="AE3082" s="11" t="n"/>
      <c r="AG3082">
        <f>IF($C3082="","",IF(COUNTIF($C$2:$C3082,$C3082)=1,1,0))</f>
        <v/>
      </c>
      <c r="AH3082">
        <f>IF($AG3082=1,SUMPRODUCT(--($AK$2:$AK$6001&lt;$AK3082))+1,"")</f>
        <v/>
      </c>
      <c r="AI3082">
        <f>IF($C3082="","",IF(OR($N3082=TRUE(),$N3082="TRUE"),1,0))</f>
        <v/>
      </c>
      <c r="AJ3082">
        <f>IF($C3082="","",IF($T3082="Yes",1,0))</f>
        <v/>
      </c>
      <c r="AK3082">
        <f>IF($AG3082=1,IFERROR(IF(VALUE($C3082)&lt;100000000,VALUE($C3082),1000000000),IFERROR(IF(VALUE(MID($C3082,2,20))&lt;100000000,VALUE(MID($C3082,2,20)),1000000000),1000000000))+ROW()/100000,"")</f>
        <v/>
      </c>
    </row>
    <row r="3083">
      <c r="D3083" s="11" t="n"/>
      <c r="K3083" s="7">
        <f>IF($C3083="","",J3083*W3083/100)</f>
        <v/>
      </c>
      <c r="Q3083" s="7" t="n"/>
      <c r="R3083" s="7" t="n"/>
      <c r="U3083">
        <f>IF($C3083="","",IF($AJ3083=1,0,IF($AI3083=1,Settings!$C$6,Settings!$C$7))*100)</f>
        <v/>
      </c>
      <c r="V3083" s="7">
        <f>IF($C3083="","",R3083*U3083/100)</f>
        <v/>
      </c>
      <c r="W3083" s="7">
        <f>IF($C3083="","",R3083-V3083)</f>
        <v/>
      </c>
      <c r="X3083" s="7">
        <f>IF($C3083="","",W3083-K3083)</f>
        <v/>
      </c>
      <c r="AB3083" s="7" t="n"/>
      <c r="AE3083" s="11" t="n"/>
      <c r="AG3083">
        <f>IF($C3083="","",IF(COUNTIF($C$2:$C3083,$C3083)=1,1,0))</f>
        <v/>
      </c>
      <c r="AH3083">
        <f>IF($AG3083=1,SUMPRODUCT(--($AK$2:$AK$6001&lt;$AK3083))+1,"")</f>
        <v/>
      </c>
      <c r="AI3083">
        <f>IF($C3083="","",IF(OR($N3083=TRUE(),$N3083="TRUE"),1,0))</f>
        <v/>
      </c>
      <c r="AJ3083">
        <f>IF($C3083="","",IF($T3083="Yes",1,0))</f>
        <v/>
      </c>
      <c r="AK3083">
        <f>IF($AG3083=1,IFERROR(IF(VALUE($C3083)&lt;100000000,VALUE($C3083),1000000000),IFERROR(IF(VALUE(MID($C3083,2,20))&lt;100000000,VALUE(MID($C3083,2,20)),1000000000),1000000000))+ROW()/100000,"")</f>
        <v/>
      </c>
    </row>
    <row r="3084">
      <c r="D3084" s="11" t="n"/>
      <c r="K3084" s="7">
        <f>IF($C3084="","",J3084*W3084/100)</f>
        <v/>
      </c>
      <c r="Q3084" s="7" t="n"/>
      <c r="R3084" s="7" t="n"/>
      <c r="U3084">
        <f>IF($C3084="","",IF($AJ3084=1,0,IF($AI3084=1,Settings!$C$6,Settings!$C$7))*100)</f>
        <v/>
      </c>
      <c r="V3084" s="7">
        <f>IF($C3084="","",R3084*U3084/100)</f>
        <v/>
      </c>
      <c r="W3084" s="7">
        <f>IF($C3084="","",R3084-V3084)</f>
        <v/>
      </c>
      <c r="X3084" s="7">
        <f>IF($C3084="","",W3084-K3084)</f>
        <v/>
      </c>
      <c r="AB3084" s="7" t="n"/>
      <c r="AE3084" s="11" t="n"/>
      <c r="AG3084">
        <f>IF($C3084="","",IF(COUNTIF($C$2:$C3084,$C3084)=1,1,0))</f>
        <v/>
      </c>
      <c r="AH3084">
        <f>IF($AG3084=1,SUMPRODUCT(--($AK$2:$AK$6001&lt;$AK3084))+1,"")</f>
        <v/>
      </c>
      <c r="AI3084">
        <f>IF($C3084="","",IF(OR($N3084=TRUE(),$N3084="TRUE"),1,0))</f>
        <v/>
      </c>
      <c r="AJ3084">
        <f>IF($C3084="","",IF($T3084="Yes",1,0))</f>
        <v/>
      </c>
      <c r="AK3084">
        <f>IF($AG3084=1,IFERROR(IF(VALUE($C3084)&lt;100000000,VALUE($C3084),1000000000),IFERROR(IF(VALUE(MID($C3084,2,20))&lt;100000000,VALUE(MID($C3084,2,20)),1000000000),1000000000))+ROW()/100000,"")</f>
        <v/>
      </c>
    </row>
    <row r="3085">
      <c r="D3085" s="11" t="n"/>
      <c r="K3085" s="7">
        <f>IF($C3085="","",J3085*W3085/100)</f>
        <v/>
      </c>
      <c r="Q3085" s="7" t="n"/>
      <c r="R3085" s="7" t="n"/>
      <c r="U3085">
        <f>IF($C3085="","",IF($AJ3085=1,0,IF($AI3085=1,Settings!$C$6,Settings!$C$7))*100)</f>
        <v/>
      </c>
      <c r="V3085" s="7">
        <f>IF($C3085="","",R3085*U3085/100)</f>
        <v/>
      </c>
      <c r="W3085" s="7">
        <f>IF($C3085="","",R3085-V3085)</f>
        <v/>
      </c>
      <c r="X3085" s="7">
        <f>IF($C3085="","",W3085-K3085)</f>
        <v/>
      </c>
      <c r="AB3085" s="7" t="n"/>
      <c r="AE3085" s="11" t="n"/>
      <c r="AG3085">
        <f>IF($C3085="","",IF(COUNTIF($C$2:$C3085,$C3085)=1,1,0))</f>
        <v/>
      </c>
      <c r="AH3085">
        <f>IF($AG3085=1,SUMPRODUCT(--($AK$2:$AK$6001&lt;$AK3085))+1,"")</f>
        <v/>
      </c>
      <c r="AI3085">
        <f>IF($C3085="","",IF(OR($N3085=TRUE(),$N3085="TRUE"),1,0))</f>
        <v/>
      </c>
      <c r="AJ3085">
        <f>IF($C3085="","",IF($T3085="Yes",1,0))</f>
        <v/>
      </c>
      <c r="AK3085">
        <f>IF($AG3085=1,IFERROR(IF(VALUE($C3085)&lt;100000000,VALUE($C3085),1000000000),IFERROR(IF(VALUE(MID($C3085,2,20))&lt;100000000,VALUE(MID($C3085,2,20)),1000000000),1000000000))+ROW()/100000,"")</f>
        <v/>
      </c>
    </row>
    <row r="3086">
      <c r="D3086" s="11" t="n"/>
      <c r="K3086" s="7">
        <f>IF($C3086="","",J3086*W3086/100)</f>
        <v/>
      </c>
      <c r="Q3086" s="7" t="n"/>
      <c r="R3086" s="7" t="n"/>
      <c r="U3086">
        <f>IF($C3086="","",IF($AJ3086=1,0,IF($AI3086=1,Settings!$C$6,Settings!$C$7))*100)</f>
        <v/>
      </c>
      <c r="V3086" s="7">
        <f>IF($C3086="","",R3086*U3086/100)</f>
        <v/>
      </c>
      <c r="W3086" s="7">
        <f>IF($C3086="","",R3086-V3086)</f>
        <v/>
      </c>
      <c r="X3086" s="7">
        <f>IF($C3086="","",W3086-K3086)</f>
        <v/>
      </c>
      <c r="AB3086" s="7" t="n"/>
      <c r="AE3086" s="11" t="n"/>
      <c r="AG3086">
        <f>IF($C3086="","",IF(COUNTIF($C$2:$C3086,$C3086)=1,1,0))</f>
        <v/>
      </c>
      <c r="AH3086">
        <f>IF($AG3086=1,SUMPRODUCT(--($AK$2:$AK$6001&lt;$AK3086))+1,"")</f>
        <v/>
      </c>
      <c r="AI3086">
        <f>IF($C3086="","",IF(OR($N3086=TRUE(),$N3086="TRUE"),1,0))</f>
        <v/>
      </c>
      <c r="AJ3086">
        <f>IF($C3086="","",IF($T3086="Yes",1,0))</f>
        <v/>
      </c>
      <c r="AK3086">
        <f>IF($AG3086=1,IFERROR(IF(VALUE($C3086)&lt;100000000,VALUE($C3086),1000000000),IFERROR(IF(VALUE(MID($C3086,2,20))&lt;100000000,VALUE(MID($C3086,2,20)),1000000000),1000000000))+ROW()/100000,"")</f>
        <v/>
      </c>
    </row>
    <row r="3087">
      <c r="D3087" s="11" t="n"/>
      <c r="K3087" s="7">
        <f>IF($C3087="","",J3087*W3087/100)</f>
        <v/>
      </c>
      <c r="Q3087" s="7" t="n"/>
      <c r="R3087" s="7" t="n"/>
      <c r="U3087">
        <f>IF($C3087="","",IF($AJ3087=1,0,IF($AI3087=1,Settings!$C$6,Settings!$C$7))*100)</f>
        <v/>
      </c>
      <c r="V3087" s="7">
        <f>IF($C3087="","",R3087*U3087/100)</f>
        <v/>
      </c>
      <c r="W3087" s="7">
        <f>IF($C3087="","",R3087-V3087)</f>
        <v/>
      </c>
      <c r="X3087" s="7">
        <f>IF($C3087="","",W3087-K3087)</f>
        <v/>
      </c>
      <c r="AB3087" s="7" t="n"/>
      <c r="AE3087" s="11" t="n"/>
      <c r="AG3087">
        <f>IF($C3087="","",IF(COUNTIF($C$2:$C3087,$C3087)=1,1,0))</f>
        <v/>
      </c>
      <c r="AH3087">
        <f>IF($AG3087=1,SUMPRODUCT(--($AK$2:$AK$6001&lt;$AK3087))+1,"")</f>
        <v/>
      </c>
      <c r="AI3087">
        <f>IF($C3087="","",IF(OR($N3087=TRUE(),$N3087="TRUE"),1,0))</f>
        <v/>
      </c>
      <c r="AJ3087">
        <f>IF($C3087="","",IF($T3087="Yes",1,0))</f>
        <v/>
      </c>
      <c r="AK3087">
        <f>IF($AG3087=1,IFERROR(IF(VALUE($C3087)&lt;100000000,VALUE($C3087),1000000000),IFERROR(IF(VALUE(MID($C3087,2,20))&lt;100000000,VALUE(MID($C3087,2,20)),1000000000),1000000000))+ROW()/100000,"")</f>
        <v/>
      </c>
    </row>
    <row r="3088">
      <c r="D3088" s="11" t="n"/>
      <c r="K3088" s="7">
        <f>IF($C3088="","",J3088*W3088/100)</f>
        <v/>
      </c>
      <c r="Q3088" s="7" t="n"/>
      <c r="R3088" s="7" t="n"/>
      <c r="U3088">
        <f>IF($C3088="","",IF($AJ3088=1,0,IF($AI3088=1,Settings!$C$6,Settings!$C$7))*100)</f>
        <v/>
      </c>
      <c r="V3088" s="7">
        <f>IF($C3088="","",R3088*U3088/100)</f>
        <v/>
      </c>
      <c r="W3088" s="7">
        <f>IF($C3088="","",R3088-V3088)</f>
        <v/>
      </c>
      <c r="X3088" s="7">
        <f>IF($C3088="","",W3088-K3088)</f>
        <v/>
      </c>
      <c r="AB3088" s="7" t="n"/>
      <c r="AE3088" s="11" t="n"/>
      <c r="AG3088">
        <f>IF($C3088="","",IF(COUNTIF($C$2:$C3088,$C3088)=1,1,0))</f>
        <v/>
      </c>
      <c r="AH3088">
        <f>IF($AG3088=1,SUMPRODUCT(--($AK$2:$AK$6001&lt;$AK3088))+1,"")</f>
        <v/>
      </c>
      <c r="AI3088">
        <f>IF($C3088="","",IF(OR($N3088=TRUE(),$N3088="TRUE"),1,0))</f>
        <v/>
      </c>
      <c r="AJ3088">
        <f>IF($C3088="","",IF($T3088="Yes",1,0))</f>
        <v/>
      </c>
      <c r="AK3088">
        <f>IF($AG3088=1,IFERROR(IF(VALUE($C3088)&lt;100000000,VALUE($C3088),1000000000),IFERROR(IF(VALUE(MID($C3088,2,20))&lt;100000000,VALUE(MID($C3088,2,20)),1000000000),1000000000))+ROW()/100000,"")</f>
        <v/>
      </c>
    </row>
    <row r="3089">
      <c r="D3089" s="11" t="n"/>
      <c r="K3089" s="7">
        <f>IF($C3089="","",J3089*W3089/100)</f>
        <v/>
      </c>
      <c r="Q3089" s="7" t="n"/>
      <c r="R3089" s="7" t="n"/>
      <c r="U3089">
        <f>IF($C3089="","",IF($AJ3089=1,0,IF($AI3089=1,Settings!$C$6,Settings!$C$7))*100)</f>
        <v/>
      </c>
      <c r="V3089" s="7">
        <f>IF($C3089="","",R3089*U3089/100)</f>
        <v/>
      </c>
      <c r="W3089" s="7">
        <f>IF($C3089="","",R3089-V3089)</f>
        <v/>
      </c>
      <c r="X3089" s="7">
        <f>IF($C3089="","",W3089-K3089)</f>
        <v/>
      </c>
      <c r="AB3089" s="7" t="n"/>
      <c r="AE3089" s="11" t="n"/>
      <c r="AG3089">
        <f>IF($C3089="","",IF(COUNTIF($C$2:$C3089,$C3089)=1,1,0))</f>
        <v/>
      </c>
      <c r="AH3089">
        <f>IF($AG3089=1,SUMPRODUCT(--($AK$2:$AK$6001&lt;$AK3089))+1,"")</f>
        <v/>
      </c>
      <c r="AI3089">
        <f>IF($C3089="","",IF(OR($N3089=TRUE(),$N3089="TRUE"),1,0))</f>
        <v/>
      </c>
      <c r="AJ3089">
        <f>IF($C3089="","",IF($T3089="Yes",1,0))</f>
        <v/>
      </c>
      <c r="AK3089">
        <f>IF($AG3089=1,IFERROR(IF(VALUE($C3089)&lt;100000000,VALUE($C3089),1000000000),IFERROR(IF(VALUE(MID($C3089,2,20))&lt;100000000,VALUE(MID($C3089,2,20)),1000000000),1000000000))+ROW()/100000,"")</f>
        <v/>
      </c>
    </row>
    <row r="3090">
      <c r="D3090" s="11" t="n"/>
      <c r="K3090" s="7">
        <f>IF($C3090="","",J3090*W3090/100)</f>
        <v/>
      </c>
      <c r="Q3090" s="7" t="n"/>
      <c r="R3090" s="7" t="n"/>
      <c r="U3090">
        <f>IF($C3090="","",IF($AJ3090=1,0,IF($AI3090=1,Settings!$C$6,Settings!$C$7))*100)</f>
        <v/>
      </c>
      <c r="V3090" s="7">
        <f>IF($C3090="","",R3090*U3090/100)</f>
        <v/>
      </c>
      <c r="W3090" s="7">
        <f>IF($C3090="","",R3090-V3090)</f>
        <v/>
      </c>
      <c r="X3090" s="7">
        <f>IF($C3090="","",W3090-K3090)</f>
        <v/>
      </c>
      <c r="AB3090" s="7" t="n"/>
      <c r="AE3090" s="11" t="n"/>
      <c r="AG3090">
        <f>IF($C3090="","",IF(COUNTIF($C$2:$C3090,$C3090)=1,1,0))</f>
        <v/>
      </c>
      <c r="AH3090">
        <f>IF($AG3090=1,SUMPRODUCT(--($AK$2:$AK$6001&lt;$AK3090))+1,"")</f>
        <v/>
      </c>
      <c r="AI3090">
        <f>IF($C3090="","",IF(OR($N3090=TRUE(),$N3090="TRUE"),1,0))</f>
        <v/>
      </c>
      <c r="AJ3090">
        <f>IF($C3090="","",IF($T3090="Yes",1,0))</f>
        <v/>
      </c>
      <c r="AK3090">
        <f>IF($AG3090=1,IFERROR(IF(VALUE($C3090)&lt;100000000,VALUE($C3090),1000000000),IFERROR(IF(VALUE(MID($C3090,2,20))&lt;100000000,VALUE(MID($C3090,2,20)),1000000000),1000000000))+ROW()/100000,"")</f>
        <v/>
      </c>
    </row>
    <row r="3091">
      <c r="D3091" s="11" t="n"/>
      <c r="K3091" s="7">
        <f>IF($C3091="","",J3091*W3091/100)</f>
        <v/>
      </c>
      <c r="Q3091" s="7" t="n"/>
      <c r="R3091" s="7" t="n"/>
      <c r="U3091">
        <f>IF($C3091="","",IF($AJ3091=1,0,IF($AI3091=1,Settings!$C$6,Settings!$C$7))*100)</f>
        <v/>
      </c>
      <c r="V3091" s="7">
        <f>IF($C3091="","",R3091*U3091/100)</f>
        <v/>
      </c>
      <c r="W3091" s="7">
        <f>IF($C3091="","",R3091-V3091)</f>
        <v/>
      </c>
      <c r="X3091" s="7">
        <f>IF($C3091="","",W3091-K3091)</f>
        <v/>
      </c>
      <c r="AB3091" s="7" t="n"/>
      <c r="AE3091" s="11" t="n"/>
      <c r="AG3091">
        <f>IF($C3091="","",IF(COUNTIF($C$2:$C3091,$C3091)=1,1,0))</f>
        <v/>
      </c>
      <c r="AH3091">
        <f>IF($AG3091=1,SUMPRODUCT(--($AK$2:$AK$6001&lt;$AK3091))+1,"")</f>
        <v/>
      </c>
      <c r="AI3091">
        <f>IF($C3091="","",IF(OR($N3091=TRUE(),$N3091="TRUE"),1,0))</f>
        <v/>
      </c>
      <c r="AJ3091">
        <f>IF($C3091="","",IF($T3091="Yes",1,0))</f>
        <v/>
      </c>
      <c r="AK3091">
        <f>IF($AG3091=1,IFERROR(IF(VALUE($C3091)&lt;100000000,VALUE($C3091),1000000000),IFERROR(IF(VALUE(MID($C3091,2,20))&lt;100000000,VALUE(MID($C3091,2,20)),1000000000),1000000000))+ROW()/100000,"")</f>
        <v/>
      </c>
    </row>
    <row r="3092">
      <c r="D3092" s="11" t="n"/>
      <c r="K3092" s="7">
        <f>IF($C3092="","",J3092*W3092/100)</f>
        <v/>
      </c>
      <c r="Q3092" s="7" t="n"/>
      <c r="R3092" s="7" t="n"/>
      <c r="U3092">
        <f>IF($C3092="","",IF($AJ3092=1,0,IF($AI3092=1,Settings!$C$6,Settings!$C$7))*100)</f>
        <v/>
      </c>
      <c r="V3092" s="7">
        <f>IF($C3092="","",R3092*U3092/100)</f>
        <v/>
      </c>
      <c r="W3092" s="7">
        <f>IF($C3092="","",R3092-V3092)</f>
        <v/>
      </c>
      <c r="X3092" s="7">
        <f>IF($C3092="","",W3092-K3092)</f>
        <v/>
      </c>
      <c r="AB3092" s="7" t="n"/>
      <c r="AE3092" s="11" t="n"/>
      <c r="AG3092">
        <f>IF($C3092="","",IF(COUNTIF($C$2:$C3092,$C3092)=1,1,0))</f>
        <v/>
      </c>
      <c r="AH3092">
        <f>IF($AG3092=1,SUMPRODUCT(--($AK$2:$AK$6001&lt;$AK3092))+1,"")</f>
        <v/>
      </c>
      <c r="AI3092">
        <f>IF($C3092="","",IF(OR($N3092=TRUE(),$N3092="TRUE"),1,0))</f>
        <v/>
      </c>
      <c r="AJ3092">
        <f>IF($C3092="","",IF($T3092="Yes",1,0))</f>
        <v/>
      </c>
      <c r="AK3092">
        <f>IF($AG3092=1,IFERROR(IF(VALUE($C3092)&lt;100000000,VALUE($C3092),1000000000),IFERROR(IF(VALUE(MID($C3092,2,20))&lt;100000000,VALUE(MID($C3092,2,20)),1000000000),1000000000))+ROW()/100000,"")</f>
        <v/>
      </c>
    </row>
    <row r="3093">
      <c r="D3093" s="11" t="n"/>
      <c r="K3093" s="7">
        <f>IF($C3093="","",J3093*W3093/100)</f>
        <v/>
      </c>
      <c r="Q3093" s="7" t="n"/>
      <c r="R3093" s="7" t="n"/>
      <c r="U3093">
        <f>IF($C3093="","",IF($AJ3093=1,0,IF($AI3093=1,Settings!$C$6,Settings!$C$7))*100)</f>
        <v/>
      </c>
      <c r="V3093" s="7">
        <f>IF($C3093="","",R3093*U3093/100)</f>
        <v/>
      </c>
      <c r="W3093" s="7">
        <f>IF($C3093="","",R3093-V3093)</f>
        <v/>
      </c>
      <c r="X3093" s="7">
        <f>IF($C3093="","",W3093-K3093)</f>
        <v/>
      </c>
      <c r="AB3093" s="7" t="n"/>
      <c r="AE3093" s="11" t="n"/>
      <c r="AG3093">
        <f>IF($C3093="","",IF(COUNTIF($C$2:$C3093,$C3093)=1,1,0))</f>
        <v/>
      </c>
      <c r="AH3093">
        <f>IF($AG3093=1,SUMPRODUCT(--($AK$2:$AK$6001&lt;$AK3093))+1,"")</f>
        <v/>
      </c>
      <c r="AI3093">
        <f>IF($C3093="","",IF(OR($N3093=TRUE(),$N3093="TRUE"),1,0))</f>
        <v/>
      </c>
      <c r="AJ3093">
        <f>IF($C3093="","",IF($T3093="Yes",1,0))</f>
        <v/>
      </c>
      <c r="AK3093">
        <f>IF($AG3093=1,IFERROR(IF(VALUE($C3093)&lt;100000000,VALUE($C3093),1000000000),IFERROR(IF(VALUE(MID($C3093,2,20))&lt;100000000,VALUE(MID($C3093,2,20)),1000000000),1000000000))+ROW()/100000,"")</f>
        <v/>
      </c>
    </row>
    <row r="3094">
      <c r="D3094" s="11" t="n"/>
      <c r="K3094" s="7">
        <f>IF($C3094="","",J3094*W3094/100)</f>
        <v/>
      </c>
      <c r="Q3094" s="7" t="n"/>
      <c r="R3094" s="7" t="n"/>
      <c r="U3094">
        <f>IF($C3094="","",IF($AJ3094=1,0,IF($AI3094=1,Settings!$C$6,Settings!$C$7))*100)</f>
        <v/>
      </c>
      <c r="V3094" s="7">
        <f>IF($C3094="","",R3094*U3094/100)</f>
        <v/>
      </c>
      <c r="W3094" s="7">
        <f>IF($C3094="","",R3094-V3094)</f>
        <v/>
      </c>
      <c r="X3094" s="7">
        <f>IF($C3094="","",W3094-K3094)</f>
        <v/>
      </c>
      <c r="AB3094" s="7" t="n"/>
      <c r="AE3094" s="11" t="n"/>
      <c r="AG3094">
        <f>IF($C3094="","",IF(COUNTIF($C$2:$C3094,$C3094)=1,1,0))</f>
        <v/>
      </c>
      <c r="AH3094">
        <f>IF($AG3094=1,SUMPRODUCT(--($AK$2:$AK$6001&lt;$AK3094))+1,"")</f>
        <v/>
      </c>
      <c r="AI3094">
        <f>IF($C3094="","",IF(OR($N3094=TRUE(),$N3094="TRUE"),1,0))</f>
        <v/>
      </c>
      <c r="AJ3094">
        <f>IF($C3094="","",IF($T3094="Yes",1,0))</f>
        <v/>
      </c>
      <c r="AK3094">
        <f>IF($AG3094=1,IFERROR(IF(VALUE($C3094)&lt;100000000,VALUE($C3094),1000000000),IFERROR(IF(VALUE(MID($C3094,2,20))&lt;100000000,VALUE(MID($C3094,2,20)),1000000000),1000000000))+ROW()/100000,"")</f>
        <v/>
      </c>
    </row>
    <row r="3095">
      <c r="D3095" s="11" t="n"/>
      <c r="K3095" s="7">
        <f>IF($C3095="","",J3095*W3095/100)</f>
        <v/>
      </c>
      <c r="Q3095" s="7" t="n"/>
      <c r="R3095" s="7" t="n"/>
      <c r="U3095">
        <f>IF($C3095="","",IF($AJ3095=1,0,IF($AI3095=1,Settings!$C$6,Settings!$C$7))*100)</f>
        <v/>
      </c>
      <c r="V3095" s="7">
        <f>IF($C3095="","",R3095*U3095/100)</f>
        <v/>
      </c>
      <c r="W3095" s="7">
        <f>IF($C3095="","",R3095-V3095)</f>
        <v/>
      </c>
      <c r="X3095" s="7">
        <f>IF($C3095="","",W3095-K3095)</f>
        <v/>
      </c>
      <c r="AB3095" s="7" t="n"/>
      <c r="AE3095" s="11" t="n"/>
      <c r="AG3095">
        <f>IF($C3095="","",IF(COUNTIF($C$2:$C3095,$C3095)=1,1,0))</f>
        <v/>
      </c>
      <c r="AH3095">
        <f>IF($AG3095=1,SUMPRODUCT(--($AK$2:$AK$6001&lt;$AK3095))+1,"")</f>
        <v/>
      </c>
      <c r="AI3095">
        <f>IF($C3095="","",IF(OR($N3095=TRUE(),$N3095="TRUE"),1,0))</f>
        <v/>
      </c>
      <c r="AJ3095">
        <f>IF($C3095="","",IF($T3095="Yes",1,0))</f>
        <v/>
      </c>
      <c r="AK3095">
        <f>IF($AG3095=1,IFERROR(IF(VALUE($C3095)&lt;100000000,VALUE($C3095),1000000000),IFERROR(IF(VALUE(MID($C3095,2,20))&lt;100000000,VALUE(MID($C3095,2,20)),1000000000),1000000000))+ROW()/100000,"")</f>
        <v/>
      </c>
    </row>
    <row r="3096">
      <c r="D3096" s="11" t="n"/>
      <c r="K3096" s="7">
        <f>IF($C3096="","",J3096*W3096/100)</f>
        <v/>
      </c>
      <c r="Q3096" s="7" t="n"/>
      <c r="R3096" s="7" t="n"/>
      <c r="U3096">
        <f>IF($C3096="","",IF($AJ3096=1,0,IF($AI3096=1,Settings!$C$6,Settings!$C$7))*100)</f>
        <v/>
      </c>
      <c r="V3096" s="7">
        <f>IF($C3096="","",R3096*U3096/100)</f>
        <v/>
      </c>
      <c r="W3096" s="7">
        <f>IF($C3096="","",R3096-V3096)</f>
        <v/>
      </c>
      <c r="X3096" s="7">
        <f>IF($C3096="","",W3096-K3096)</f>
        <v/>
      </c>
      <c r="AB3096" s="7" t="n"/>
      <c r="AE3096" s="11" t="n"/>
      <c r="AG3096">
        <f>IF($C3096="","",IF(COUNTIF($C$2:$C3096,$C3096)=1,1,0))</f>
        <v/>
      </c>
      <c r="AH3096">
        <f>IF($AG3096=1,SUMPRODUCT(--($AK$2:$AK$6001&lt;$AK3096))+1,"")</f>
        <v/>
      </c>
      <c r="AI3096">
        <f>IF($C3096="","",IF(OR($N3096=TRUE(),$N3096="TRUE"),1,0))</f>
        <v/>
      </c>
      <c r="AJ3096">
        <f>IF($C3096="","",IF($T3096="Yes",1,0))</f>
        <v/>
      </c>
      <c r="AK3096">
        <f>IF($AG3096=1,IFERROR(IF(VALUE($C3096)&lt;100000000,VALUE($C3096),1000000000),IFERROR(IF(VALUE(MID($C3096,2,20))&lt;100000000,VALUE(MID($C3096,2,20)),1000000000),1000000000))+ROW()/100000,"")</f>
        <v/>
      </c>
    </row>
    <row r="3097">
      <c r="D3097" s="11" t="n"/>
      <c r="K3097" s="7">
        <f>IF($C3097="","",J3097*W3097/100)</f>
        <v/>
      </c>
      <c r="Q3097" s="7" t="n"/>
      <c r="R3097" s="7" t="n"/>
      <c r="U3097">
        <f>IF($C3097="","",IF($AJ3097=1,0,IF($AI3097=1,Settings!$C$6,Settings!$C$7))*100)</f>
        <v/>
      </c>
      <c r="V3097" s="7">
        <f>IF($C3097="","",R3097*U3097/100)</f>
        <v/>
      </c>
      <c r="W3097" s="7">
        <f>IF($C3097="","",R3097-V3097)</f>
        <v/>
      </c>
      <c r="X3097" s="7">
        <f>IF($C3097="","",W3097-K3097)</f>
        <v/>
      </c>
      <c r="AB3097" s="7" t="n"/>
      <c r="AE3097" s="11" t="n"/>
      <c r="AG3097">
        <f>IF($C3097="","",IF(COUNTIF($C$2:$C3097,$C3097)=1,1,0))</f>
        <v/>
      </c>
      <c r="AH3097">
        <f>IF($AG3097=1,SUMPRODUCT(--($AK$2:$AK$6001&lt;$AK3097))+1,"")</f>
        <v/>
      </c>
      <c r="AI3097">
        <f>IF($C3097="","",IF(OR($N3097=TRUE(),$N3097="TRUE"),1,0))</f>
        <v/>
      </c>
      <c r="AJ3097">
        <f>IF($C3097="","",IF($T3097="Yes",1,0))</f>
        <v/>
      </c>
      <c r="AK3097">
        <f>IF($AG3097=1,IFERROR(IF(VALUE($C3097)&lt;100000000,VALUE($C3097),1000000000),IFERROR(IF(VALUE(MID($C3097,2,20))&lt;100000000,VALUE(MID($C3097,2,20)),1000000000),1000000000))+ROW()/100000,"")</f>
        <v/>
      </c>
    </row>
    <row r="3098">
      <c r="D3098" s="11" t="n"/>
      <c r="K3098" s="7">
        <f>IF($C3098="","",J3098*W3098/100)</f>
        <v/>
      </c>
      <c r="Q3098" s="7" t="n"/>
      <c r="R3098" s="7" t="n"/>
      <c r="U3098">
        <f>IF($C3098="","",IF($AJ3098=1,0,IF($AI3098=1,Settings!$C$6,Settings!$C$7))*100)</f>
        <v/>
      </c>
      <c r="V3098" s="7">
        <f>IF($C3098="","",R3098*U3098/100)</f>
        <v/>
      </c>
      <c r="W3098" s="7">
        <f>IF($C3098="","",R3098-V3098)</f>
        <v/>
      </c>
      <c r="X3098" s="7">
        <f>IF($C3098="","",W3098-K3098)</f>
        <v/>
      </c>
      <c r="AB3098" s="7" t="n"/>
      <c r="AE3098" s="11" t="n"/>
      <c r="AG3098">
        <f>IF($C3098="","",IF(COUNTIF($C$2:$C3098,$C3098)=1,1,0))</f>
        <v/>
      </c>
      <c r="AH3098">
        <f>IF($AG3098=1,SUMPRODUCT(--($AK$2:$AK$6001&lt;$AK3098))+1,"")</f>
        <v/>
      </c>
      <c r="AI3098">
        <f>IF($C3098="","",IF(OR($N3098=TRUE(),$N3098="TRUE"),1,0))</f>
        <v/>
      </c>
      <c r="AJ3098">
        <f>IF($C3098="","",IF($T3098="Yes",1,0))</f>
        <v/>
      </c>
      <c r="AK3098">
        <f>IF($AG3098=1,IFERROR(IF(VALUE($C3098)&lt;100000000,VALUE($C3098),1000000000),IFERROR(IF(VALUE(MID($C3098,2,20))&lt;100000000,VALUE(MID($C3098,2,20)),1000000000),1000000000))+ROW()/100000,"")</f>
        <v/>
      </c>
    </row>
    <row r="3099">
      <c r="D3099" s="11" t="n"/>
      <c r="K3099" s="7">
        <f>IF($C3099="","",J3099*W3099/100)</f>
        <v/>
      </c>
      <c r="Q3099" s="7" t="n"/>
      <c r="R3099" s="7" t="n"/>
      <c r="U3099">
        <f>IF($C3099="","",IF($AJ3099=1,0,IF($AI3099=1,Settings!$C$6,Settings!$C$7))*100)</f>
        <v/>
      </c>
      <c r="V3099" s="7">
        <f>IF($C3099="","",R3099*U3099/100)</f>
        <v/>
      </c>
      <c r="W3099" s="7">
        <f>IF($C3099="","",R3099-V3099)</f>
        <v/>
      </c>
      <c r="X3099" s="7">
        <f>IF($C3099="","",W3099-K3099)</f>
        <v/>
      </c>
      <c r="AB3099" s="7" t="n"/>
      <c r="AE3099" s="11" t="n"/>
      <c r="AG3099">
        <f>IF($C3099="","",IF(COUNTIF($C$2:$C3099,$C3099)=1,1,0))</f>
        <v/>
      </c>
      <c r="AH3099">
        <f>IF($AG3099=1,SUMPRODUCT(--($AK$2:$AK$6001&lt;$AK3099))+1,"")</f>
        <v/>
      </c>
      <c r="AI3099">
        <f>IF($C3099="","",IF(OR($N3099=TRUE(),$N3099="TRUE"),1,0))</f>
        <v/>
      </c>
      <c r="AJ3099">
        <f>IF($C3099="","",IF($T3099="Yes",1,0))</f>
        <v/>
      </c>
      <c r="AK3099">
        <f>IF($AG3099=1,IFERROR(IF(VALUE($C3099)&lt;100000000,VALUE($C3099),1000000000),IFERROR(IF(VALUE(MID($C3099,2,20))&lt;100000000,VALUE(MID($C3099,2,20)),1000000000),1000000000))+ROW()/100000,"")</f>
        <v/>
      </c>
    </row>
    <row r="3100">
      <c r="D3100" s="11" t="n"/>
      <c r="K3100" s="7">
        <f>IF($C3100="","",J3100*W3100/100)</f>
        <v/>
      </c>
      <c r="Q3100" s="7" t="n"/>
      <c r="R3100" s="7" t="n"/>
      <c r="U3100">
        <f>IF($C3100="","",IF($AJ3100=1,0,IF($AI3100=1,Settings!$C$6,Settings!$C$7))*100)</f>
        <v/>
      </c>
      <c r="V3100" s="7">
        <f>IF($C3100="","",R3100*U3100/100)</f>
        <v/>
      </c>
      <c r="W3100" s="7">
        <f>IF($C3100="","",R3100-V3100)</f>
        <v/>
      </c>
      <c r="X3100" s="7">
        <f>IF($C3100="","",W3100-K3100)</f>
        <v/>
      </c>
      <c r="AB3100" s="7" t="n"/>
      <c r="AE3100" s="11" t="n"/>
      <c r="AG3100">
        <f>IF($C3100="","",IF(COUNTIF($C$2:$C3100,$C3100)=1,1,0))</f>
        <v/>
      </c>
      <c r="AH3100">
        <f>IF($AG3100=1,SUMPRODUCT(--($AK$2:$AK$6001&lt;$AK3100))+1,"")</f>
        <v/>
      </c>
      <c r="AI3100">
        <f>IF($C3100="","",IF(OR($N3100=TRUE(),$N3100="TRUE"),1,0))</f>
        <v/>
      </c>
      <c r="AJ3100">
        <f>IF($C3100="","",IF($T3100="Yes",1,0))</f>
        <v/>
      </c>
      <c r="AK3100">
        <f>IF($AG3100=1,IFERROR(IF(VALUE($C3100)&lt;100000000,VALUE($C3100),1000000000),IFERROR(IF(VALUE(MID($C3100,2,20))&lt;100000000,VALUE(MID($C3100,2,20)),1000000000),1000000000))+ROW()/100000,"")</f>
        <v/>
      </c>
    </row>
    <row r="3101">
      <c r="D3101" s="11" t="n"/>
      <c r="K3101" s="7">
        <f>IF($C3101="","",J3101*W3101/100)</f>
        <v/>
      </c>
      <c r="Q3101" s="7" t="n"/>
      <c r="R3101" s="7" t="n"/>
      <c r="U3101">
        <f>IF($C3101="","",IF($AJ3101=1,0,IF($AI3101=1,Settings!$C$6,Settings!$C$7))*100)</f>
        <v/>
      </c>
      <c r="V3101" s="7">
        <f>IF($C3101="","",R3101*U3101/100)</f>
        <v/>
      </c>
      <c r="W3101" s="7">
        <f>IF($C3101="","",R3101-V3101)</f>
        <v/>
      </c>
      <c r="X3101" s="7">
        <f>IF($C3101="","",W3101-K3101)</f>
        <v/>
      </c>
      <c r="AB3101" s="7" t="n"/>
      <c r="AE3101" s="11" t="n"/>
      <c r="AG3101">
        <f>IF($C3101="","",IF(COUNTIF($C$2:$C3101,$C3101)=1,1,0))</f>
        <v/>
      </c>
      <c r="AH3101">
        <f>IF($AG3101=1,SUMPRODUCT(--($AK$2:$AK$6001&lt;$AK3101))+1,"")</f>
        <v/>
      </c>
      <c r="AI3101">
        <f>IF($C3101="","",IF(OR($N3101=TRUE(),$N3101="TRUE"),1,0))</f>
        <v/>
      </c>
      <c r="AJ3101">
        <f>IF($C3101="","",IF($T3101="Yes",1,0))</f>
        <v/>
      </c>
      <c r="AK3101">
        <f>IF($AG3101=1,IFERROR(IF(VALUE($C3101)&lt;100000000,VALUE($C3101),1000000000),IFERROR(IF(VALUE(MID($C3101,2,20))&lt;100000000,VALUE(MID($C3101,2,20)),1000000000),1000000000))+ROW()/100000,"")</f>
        <v/>
      </c>
    </row>
    <row r="3102">
      <c r="D3102" s="11" t="n"/>
      <c r="K3102" s="7">
        <f>IF($C3102="","",J3102*W3102/100)</f>
        <v/>
      </c>
      <c r="Q3102" s="7" t="n"/>
      <c r="R3102" s="7" t="n"/>
      <c r="U3102">
        <f>IF($C3102="","",IF($AJ3102=1,0,IF($AI3102=1,Settings!$C$6,Settings!$C$7))*100)</f>
        <v/>
      </c>
      <c r="V3102" s="7">
        <f>IF($C3102="","",R3102*U3102/100)</f>
        <v/>
      </c>
      <c r="W3102" s="7">
        <f>IF($C3102="","",R3102-V3102)</f>
        <v/>
      </c>
      <c r="X3102" s="7">
        <f>IF($C3102="","",W3102-K3102)</f>
        <v/>
      </c>
      <c r="AB3102" s="7" t="n"/>
      <c r="AE3102" s="11" t="n"/>
      <c r="AG3102">
        <f>IF($C3102="","",IF(COUNTIF($C$2:$C3102,$C3102)=1,1,0))</f>
        <v/>
      </c>
      <c r="AH3102">
        <f>IF($AG3102=1,SUMPRODUCT(--($AK$2:$AK$6001&lt;$AK3102))+1,"")</f>
        <v/>
      </c>
      <c r="AI3102">
        <f>IF($C3102="","",IF(OR($N3102=TRUE(),$N3102="TRUE"),1,0))</f>
        <v/>
      </c>
      <c r="AJ3102">
        <f>IF($C3102="","",IF($T3102="Yes",1,0))</f>
        <v/>
      </c>
      <c r="AK3102">
        <f>IF($AG3102=1,IFERROR(IF(VALUE($C3102)&lt;100000000,VALUE($C3102),1000000000),IFERROR(IF(VALUE(MID($C3102,2,20))&lt;100000000,VALUE(MID($C3102,2,20)),1000000000),1000000000))+ROW()/100000,"")</f>
        <v/>
      </c>
    </row>
    <row r="3103">
      <c r="D3103" s="11" t="n"/>
      <c r="K3103" s="7">
        <f>IF($C3103="","",J3103*W3103/100)</f>
        <v/>
      </c>
      <c r="Q3103" s="7" t="n"/>
      <c r="R3103" s="7" t="n"/>
      <c r="U3103">
        <f>IF($C3103="","",IF($AJ3103=1,0,IF($AI3103=1,Settings!$C$6,Settings!$C$7))*100)</f>
        <v/>
      </c>
      <c r="V3103" s="7">
        <f>IF($C3103="","",R3103*U3103/100)</f>
        <v/>
      </c>
      <c r="W3103" s="7">
        <f>IF($C3103="","",R3103-V3103)</f>
        <v/>
      </c>
      <c r="X3103" s="7">
        <f>IF($C3103="","",W3103-K3103)</f>
        <v/>
      </c>
      <c r="AB3103" s="7" t="n"/>
      <c r="AE3103" s="11" t="n"/>
      <c r="AG3103">
        <f>IF($C3103="","",IF(COUNTIF($C$2:$C3103,$C3103)=1,1,0))</f>
        <v/>
      </c>
      <c r="AH3103">
        <f>IF($AG3103=1,SUMPRODUCT(--($AK$2:$AK$6001&lt;$AK3103))+1,"")</f>
        <v/>
      </c>
      <c r="AI3103">
        <f>IF($C3103="","",IF(OR($N3103=TRUE(),$N3103="TRUE"),1,0))</f>
        <v/>
      </c>
      <c r="AJ3103">
        <f>IF($C3103="","",IF($T3103="Yes",1,0))</f>
        <v/>
      </c>
      <c r="AK3103">
        <f>IF($AG3103=1,IFERROR(IF(VALUE($C3103)&lt;100000000,VALUE($C3103),1000000000),IFERROR(IF(VALUE(MID($C3103,2,20))&lt;100000000,VALUE(MID($C3103,2,20)),1000000000),1000000000))+ROW()/100000,"")</f>
        <v/>
      </c>
    </row>
    <row r="3104">
      <c r="D3104" s="11" t="n"/>
      <c r="K3104" s="7">
        <f>IF($C3104="","",J3104*W3104/100)</f>
        <v/>
      </c>
      <c r="Q3104" s="7" t="n"/>
      <c r="R3104" s="7" t="n"/>
      <c r="U3104">
        <f>IF($C3104="","",IF($AJ3104=1,0,IF($AI3104=1,Settings!$C$6,Settings!$C$7))*100)</f>
        <v/>
      </c>
      <c r="V3104" s="7">
        <f>IF($C3104="","",R3104*U3104/100)</f>
        <v/>
      </c>
      <c r="W3104" s="7">
        <f>IF($C3104="","",R3104-V3104)</f>
        <v/>
      </c>
      <c r="X3104" s="7">
        <f>IF($C3104="","",W3104-K3104)</f>
        <v/>
      </c>
      <c r="AB3104" s="7" t="n"/>
      <c r="AE3104" s="11" t="n"/>
      <c r="AG3104">
        <f>IF($C3104="","",IF(COUNTIF($C$2:$C3104,$C3104)=1,1,0))</f>
        <v/>
      </c>
      <c r="AH3104">
        <f>IF($AG3104=1,SUMPRODUCT(--($AK$2:$AK$6001&lt;$AK3104))+1,"")</f>
        <v/>
      </c>
      <c r="AI3104">
        <f>IF($C3104="","",IF(OR($N3104=TRUE(),$N3104="TRUE"),1,0))</f>
        <v/>
      </c>
      <c r="AJ3104">
        <f>IF($C3104="","",IF($T3104="Yes",1,0))</f>
        <v/>
      </c>
      <c r="AK3104">
        <f>IF($AG3104=1,IFERROR(IF(VALUE($C3104)&lt;100000000,VALUE($C3104),1000000000),IFERROR(IF(VALUE(MID($C3104,2,20))&lt;100000000,VALUE(MID($C3104,2,20)),1000000000),1000000000))+ROW()/100000,"")</f>
        <v/>
      </c>
    </row>
    <row r="3105">
      <c r="D3105" s="11" t="n"/>
      <c r="K3105" s="7">
        <f>IF($C3105="","",J3105*W3105/100)</f>
        <v/>
      </c>
      <c r="Q3105" s="7" t="n"/>
      <c r="R3105" s="7" t="n"/>
      <c r="U3105">
        <f>IF($C3105="","",IF($AJ3105=1,0,IF($AI3105=1,Settings!$C$6,Settings!$C$7))*100)</f>
        <v/>
      </c>
      <c r="V3105" s="7">
        <f>IF($C3105="","",R3105*U3105/100)</f>
        <v/>
      </c>
      <c r="W3105" s="7">
        <f>IF($C3105="","",R3105-V3105)</f>
        <v/>
      </c>
      <c r="X3105" s="7">
        <f>IF($C3105="","",W3105-K3105)</f>
        <v/>
      </c>
      <c r="AB3105" s="7" t="n"/>
      <c r="AE3105" s="11" t="n"/>
      <c r="AG3105">
        <f>IF($C3105="","",IF(COUNTIF($C$2:$C3105,$C3105)=1,1,0))</f>
        <v/>
      </c>
      <c r="AH3105">
        <f>IF($AG3105=1,SUMPRODUCT(--($AK$2:$AK$6001&lt;$AK3105))+1,"")</f>
        <v/>
      </c>
      <c r="AI3105">
        <f>IF($C3105="","",IF(OR($N3105=TRUE(),$N3105="TRUE"),1,0))</f>
        <v/>
      </c>
      <c r="AJ3105">
        <f>IF($C3105="","",IF($T3105="Yes",1,0))</f>
        <v/>
      </c>
      <c r="AK3105">
        <f>IF($AG3105=1,IFERROR(IF(VALUE($C3105)&lt;100000000,VALUE($C3105),1000000000),IFERROR(IF(VALUE(MID($C3105,2,20))&lt;100000000,VALUE(MID($C3105,2,20)),1000000000),1000000000))+ROW()/100000,"")</f>
        <v/>
      </c>
    </row>
    <row r="3106">
      <c r="D3106" s="11" t="n"/>
      <c r="K3106" s="7">
        <f>IF($C3106="","",J3106*W3106/100)</f>
        <v/>
      </c>
      <c r="Q3106" s="7" t="n"/>
      <c r="R3106" s="7" t="n"/>
      <c r="U3106">
        <f>IF($C3106="","",IF($AJ3106=1,0,IF($AI3106=1,Settings!$C$6,Settings!$C$7))*100)</f>
        <v/>
      </c>
      <c r="V3106" s="7">
        <f>IF($C3106="","",R3106*U3106/100)</f>
        <v/>
      </c>
      <c r="W3106" s="7">
        <f>IF($C3106="","",R3106-V3106)</f>
        <v/>
      </c>
      <c r="X3106" s="7">
        <f>IF($C3106="","",W3106-K3106)</f>
        <v/>
      </c>
      <c r="AB3106" s="7" t="n"/>
      <c r="AE3106" s="11" t="n"/>
      <c r="AG3106">
        <f>IF($C3106="","",IF(COUNTIF($C$2:$C3106,$C3106)=1,1,0))</f>
        <v/>
      </c>
      <c r="AH3106">
        <f>IF($AG3106=1,SUMPRODUCT(--($AK$2:$AK$6001&lt;$AK3106))+1,"")</f>
        <v/>
      </c>
      <c r="AI3106">
        <f>IF($C3106="","",IF(OR($N3106=TRUE(),$N3106="TRUE"),1,0))</f>
        <v/>
      </c>
      <c r="AJ3106">
        <f>IF($C3106="","",IF($T3106="Yes",1,0))</f>
        <v/>
      </c>
      <c r="AK3106">
        <f>IF($AG3106=1,IFERROR(IF(VALUE($C3106)&lt;100000000,VALUE($C3106),1000000000),IFERROR(IF(VALUE(MID($C3106,2,20))&lt;100000000,VALUE(MID($C3106,2,20)),1000000000),1000000000))+ROW()/100000,"")</f>
        <v/>
      </c>
    </row>
    <row r="3107">
      <c r="D3107" s="11" t="n"/>
      <c r="K3107" s="7">
        <f>IF($C3107="","",J3107*W3107/100)</f>
        <v/>
      </c>
      <c r="Q3107" s="7" t="n"/>
      <c r="R3107" s="7" t="n"/>
      <c r="U3107">
        <f>IF($C3107="","",IF($AJ3107=1,0,IF($AI3107=1,Settings!$C$6,Settings!$C$7))*100)</f>
        <v/>
      </c>
      <c r="V3107" s="7">
        <f>IF($C3107="","",R3107*U3107/100)</f>
        <v/>
      </c>
      <c r="W3107" s="7">
        <f>IF($C3107="","",R3107-V3107)</f>
        <v/>
      </c>
      <c r="X3107" s="7">
        <f>IF($C3107="","",W3107-K3107)</f>
        <v/>
      </c>
      <c r="AB3107" s="7" t="n"/>
      <c r="AE3107" s="11" t="n"/>
      <c r="AG3107">
        <f>IF($C3107="","",IF(COUNTIF($C$2:$C3107,$C3107)=1,1,0))</f>
        <v/>
      </c>
      <c r="AH3107">
        <f>IF($AG3107=1,SUMPRODUCT(--($AK$2:$AK$6001&lt;$AK3107))+1,"")</f>
        <v/>
      </c>
      <c r="AI3107">
        <f>IF($C3107="","",IF(OR($N3107=TRUE(),$N3107="TRUE"),1,0))</f>
        <v/>
      </c>
      <c r="AJ3107">
        <f>IF($C3107="","",IF($T3107="Yes",1,0))</f>
        <v/>
      </c>
      <c r="AK3107">
        <f>IF($AG3107=1,IFERROR(IF(VALUE($C3107)&lt;100000000,VALUE($C3107),1000000000),IFERROR(IF(VALUE(MID($C3107,2,20))&lt;100000000,VALUE(MID($C3107,2,20)),1000000000),1000000000))+ROW()/100000,"")</f>
        <v/>
      </c>
    </row>
    <row r="3108">
      <c r="D3108" s="11" t="n"/>
      <c r="K3108" s="7">
        <f>IF($C3108="","",J3108*W3108/100)</f>
        <v/>
      </c>
      <c r="Q3108" s="7" t="n"/>
      <c r="R3108" s="7" t="n"/>
      <c r="U3108">
        <f>IF($C3108="","",IF($AJ3108=1,0,IF($AI3108=1,Settings!$C$6,Settings!$C$7))*100)</f>
        <v/>
      </c>
      <c r="V3108" s="7">
        <f>IF($C3108="","",R3108*U3108/100)</f>
        <v/>
      </c>
      <c r="W3108" s="7">
        <f>IF($C3108="","",R3108-V3108)</f>
        <v/>
      </c>
      <c r="X3108" s="7">
        <f>IF($C3108="","",W3108-K3108)</f>
        <v/>
      </c>
      <c r="AB3108" s="7" t="n"/>
      <c r="AE3108" s="11" t="n"/>
      <c r="AG3108">
        <f>IF($C3108="","",IF(COUNTIF($C$2:$C3108,$C3108)=1,1,0))</f>
        <v/>
      </c>
      <c r="AH3108">
        <f>IF($AG3108=1,SUMPRODUCT(--($AK$2:$AK$6001&lt;$AK3108))+1,"")</f>
        <v/>
      </c>
      <c r="AI3108">
        <f>IF($C3108="","",IF(OR($N3108=TRUE(),$N3108="TRUE"),1,0))</f>
        <v/>
      </c>
      <c r="AJ3108">
        <f>IF($C3108="","",IF($T3108="Yes",1,0))</f>
        <v/>
      </c>
      <c r="AK3108">
        <f>IF($AG3108=1,IFERROR(IF(VALUE($C3108)&lt;100000000,VALUE($C3108),1000000000),IFERROR(IF(VALUE(MID($C3108,2,20))&lt;100000000,VALUE(MID($C3108,2,20)),1000000000),1000000000))+ROW()/100000,"")</f>
        <v/>
      </c>
    </row>
    <row r="3109">
      <c r="D3109" s="11" t="n"/>
      <c r="K3109" s="7">
        <f>IF($C3109="","",J3109*W3109/100)</f>
        <v/>
      </c>
      <c r="Q3109" s="7" t="n"/>
      <c r="R3109" s="7" t="n"/>
      <c r="U3109">
        <f>IF($C3109="","",IF($AJ3109=1,0,IF($AI3109=1,Settings!$C$6,Settings!$C$7))*100)</f>
        <v/>
      </c>
      <c r="V3109" s="7">
        <f>IF($C3109="","",R3109*U3109/100)</f>
        <v/>
      </c>
      <c r="W3109" s="7">
        <f>IF($C3109="","",R3109-V3109)</f>
        <v/>
      </c>
      <c r="X3109" s="7">
        <f>IF($C3109="","",W3109-K3109)</f>
        <v/>
      </c>
      <c r="AB3109" s="7" t="n"/>
      <c r="AE3109" s="11" t="n"/>
      <c r="AG3109">
        <f>IF($C3109="","",IF(COUNTIF($C$2:$C3109,$C3109)=1,1,0))</f>
        <v/>
      </c>
      <c r="AH3109">
        <f>IF($AG3109=1,SUMPRODUCT(--($AK$2:$AK$6001&lt;$AK3109))+1,"")</f>
        <v/>
      </c>
      <c r="AI3109">
        <f>IF($C3109="","",IF(OR($N3109=TRUE(),$N3109="TRUE"),1,0))</f>
        <v/>
      </c>
      <c r="AJ3109">
        <f>IF($C3109="","",IF($T3109="Yes",1,0))</f>
        <v/>
      </c>
      <c r="AK3109">
        <f>IF($AG3109=1,IFERROR(IF(VALUE($C3109)&lt;100000000,VALUE($C3109),1000000000),IFERROR(IF(VALUE(MID($C3109,2,20))&lt;100000000,VALUE(MID($C3109,2,20)),1000000000),1000000000))+ROW()/100000,"")</f>
        <v/>
      </c>
    </row>
    <row r="3110">
      <c r="D3110" s="11" t="n"/>
      <c r="K3110" s="7">
        <f>IF($C3110="","",J3110*W3110/100)</f>
        <v/>
      </c>
      <c r="Q3110" s="7" t="n"/>
      <c r="R3110" s="7" t="n"/>
      <c r="U3110">
        <f>IF($C3110="","",IF($AJ3110=1,0,IF($AI3110=1,Settings!$C$6,Settings!$C$7))*100)</f>
        <v/>
      </c>
      <c r="V3110" s="7">
        <f>IF($C3110="","",R3110*U3110/100)</f>
        <v/>
      </c>
      <c r="W3110" s="7">
        <f>IF($C3110="","",R3110-V3110)</f>
        <v/>
      </c>
      <c r="X3110" s="7">
        <f>IF($C3110="","",W3110-K3110)</f>
        <v/>
      </c>
      <c r="AB3110" s="7" t="n"/>
      <c r="AE3110" s="11" t="n"/>
      <c r="AG3110">
        <f>IF($C3110="","",IF(COUNTIF($C$2:$C3110,$C3110)=1,1,0))</f>
        <v/>
      </c>
      <c r="AH3110">
        <f>IF($AG3110=1,SUMPRODUCT(--($AK$2:$AK$6001&lt;$AK3110))+1,"")</f>
        <v/>
      </c>
      <c r="AI3110">
        <f>IF($C3110="","",IF(OR($N3110=TRUE(),$N3110="TRUE"),1,0))</f>
        <v/>
      </c>
      <c r="AJ3110">
        <f>IF($C3110="","",IF($T3110="Yes",1,0))</f>
        <v/>
      </c>
      <c r="AK3110">
        <f>IF($AG3110=1,IFERROR(IF(VALUE($C3110)&lt;100000000,VALUE($C3110),1000000000),IFERROR(IF(VALUE(MID($C3110,2,20))&lt;100000000,VALUE(MID($C3110,2,20)),1000000000),1000000000))+ROW()/100000,"")</f>
        <v/>
      </c>
    </row>
    <row r="3111">
      <c r="D3111" s="11" t="n"/>
      <c r="K3111" s="7">
        <f>IF($C3111="","",J3111*W3111/100)</f>
        <v/>
      </c>
      <c r="Q3111" s="7" t="n"/>
      <c r="R3111" s="7" t="n"/>
      <c r="U3111">
        <f>IF($C3111="","",IF($AJ3111=1,0,IF($AI3111=1,Settings!$C$6,Settings!$C$7))*100)</f>
        <v/>
      </c>
      <c r="V3111" s="7">
        <f>IF($C3111="","",R3111*U3111/100)</f>
        <v/>
      </c>
      <c r="W3111" s="7">
        <f>IF($C3111="","",R3111-V3111)</f>
        <v/>
      </c>
      <c r="X3111" s="7">
        <f>IF($C3111="","",W3111-K3111)</f>
        <v/>
      </c>
      <c r="AB3111" s="7" t="n"/>
      <c r="AE3111" s="11" t="n"/>
      <c r="AG3111">
        <f>IF($C3111="","",IF(COUNTIF($C$2:$C3111,$C3111)=1,1,0))</f>
        <v/>
      </c>
      <c r="AH3111">
        <f>IF($AG3111=1,SUMPRODUCT(--($AK$2:$AK$6001&lt;$AK3111))+1,"")</f>
        <v/>
      </c>
      <c r="AI3111">
        <f>IF($C3111="","",IF(OR($N3111=TRUE(),$N3111="TRUE"),1,0))</f>
        <v/>
      </c>
      <c r="AJ3111">
        <f>IF($C3111="","",IF($T3111="Yes",1,0))</f>
        <v/>
      </c>
      <c r="AK3111">
        <f>IF($AG3111=1,IFERROR(IF(VALUE($C3111)&lt;100000000,VALUE($C3111),1000000000),IFERROR(IF(VALUE(MID($C3111,2,20))&lt;100000000,VALUE(MID($C3111,2,20)),1000000000),1000000000))+ROW()/100000,"")</f>
        <v/>
      </c>
    </row>
    <row r="3112">
      <c r="D3112" s="11" t="n"/>
      <c r="K3112" s="7">
        <f>IF($C3112="","",J3112*W3112/100)</f>
        <v/>
      </c>
      <c r="Q3112" s="7" t="n"/>
      <c r="R3112" s="7" t="n"/>
      <c r="U3112">
        <f>IF($C3112="","",IF($AJ3112=1,0,IF($AI3112=1,Settings!$C$6,Settings!$C$7))*100)</f>
        <v/>
      </c>
      <c r="V3112" s="7">
        <f>IF($C3112="","",R3112*U3112/100)</f>
        <v/>
      </c>
      <c r="W3112" s="7">
        <f>IF($C3112="","",R3112-V3112)</f>
        <v/>
      </c>
      <c r="X3112" s="7">
        <f>IF($C3112="","",W3112-K3112)</f>
        <v/>
      </c>
      <c r="AB3112" s="7" t="n"/>
      <c r="AE3112" s="11" t="n"/>
      <c r="AG3112">
        <f>IF($C3112="","",IF(COUNTIF($C$2:$C3112,$C3112)=1,1,0))</f>
        <v/>
      </c>
      <c r="AH3112">
        <f>IF($AG3112=1,SUMPRODUCT(--($AK$2:$AK$6001&lt;$AK3112))+1,"")</f>
        <v/>
      </c>
      <c r="AI3112">
        <f>IF($C3112="","",IF(OR($N3112=TRUE(),$N3112="TRUE"),1,0))</f>
        <v/>
      </c>
      <c r="AJ3112">
        <f>IF($C3112="","",IF($T3112="Yes",1,0))</f>
        <v/>
      </c>
      <c r="AK3112">
        <f>IF($AG3112=1,IFERROR(IF(VALUE($C3112)&lt;100000000,VALUE($C3112),1000000000),IFERROR(IF(VALUE(MID($C3112,2,20))&lt;100000000,VALUE(MID($C3112,2,20)),1000000000),1000000000))+ROW()/100000,"")</f>
        <v/>
      </c>
    </row>
    <row r="3113">
      <c r="D3113" s="11" t="n"/>
      <c r="K3113" s="7">
        <f>IF($C3113="","",J3113*W3113/100)</f>
        <v/>
      </c>
      <c r="Q3113" s="7" t="n"/>
      <c r="R3113" s="7" t="n"/>
      <c r="U3113">
        <f>IF($C3113="","",IF($AJ3113=1,0,IF($AI3113=1,Settings!$C$6,Settings!$C$7))*100)</f>
        <v/>
      </c>
      <c r="V3113" s="7">
        <f>IF($C3113="","",R3113*U3113/100)</f>
        <v/>
      </c>
      <c r="W3113" s="7">
        <f>IF($C3113="","",R3113-V3113)</f>
        <v/>
      </c>
      <c r="X3113" s="7">
        <f>IF($C3113="","",W3113-K3113)</f>
        <v/>
      </c>
      <c r="AB3113" s="7" t="n"/>
      <c r="AE3113" s="11" t="n"/>
      <c r="AG3113">
        <f>IF($C3113="","",IF(COUNTIF($C$2:$C3113,$C3113)=1,1,0))</f>
        <v/>
      </c>
      <c r="AH3113">
        <f>IF($AG3113=1,SUMPRODUCT(--($AK$2:$AK$6001&lt;$AK3113))+1,"")</f>
        <v/>
      </c>
      <c r="AI3113">
        <f>IF($C3113="","",IF(OR($N3113=TRUE(),$N3113="TRUE"),1,0))</f>
        <v/>
      </c>
      <c r="AJ3113">
        <f>IF($C3113="","",IF($T3113="Yes",1,0))</f>
        <v/>
      </c>
      <c r="AK3113">
        <f>IF($AG3113=1,IFERROR(IF(VALUE($C3113)&lt;100000000,VALUE($C3113),1000000000),IFERROR(IF(VALUE(MID($C3113,2,20))&lt;100000000,VALUE(MID($C3113,2,20)),1000000000),1000000000))+ROW()/100000,"")</f>
        <v/>
      </c>
    </row>
    <row r="3114">
      <c r="D3114" s="11" t="n"/>
      <c r="K3114" s="7">
        <f>IF($C3114="","",J3114*W3114/100)</f>
        <v/>
      </c>
      <c r="Q3114" s="7" t="n"/>
      <c r="R3114" s="7" t="n"/>
      <c r="U3114">
        <f>IF($C3114="","",IF($AJ3114=1,0,IF($AI3114=1,Settings!$C$6,Settings!$C$7))*100)</f>
        <v/>
      </c>
      <c r="V3114" s="7">
        <f>IF($C3114="","",R3114*U3114/100)</f>
        <v/>
      </c>
      <c r="W3114" s="7">
        <f>IF($C3114="","",R3114-V3114)</f>
        <v/>
      </c>
      <c r="X3114" s="7">
        <f>IF($C3114="","",W3114-K3114)</f>
        <v/>
      </c>
      <c r="AB3114" s="7" t="n"/>
      <c r="AE3114" s="11" t="n"/>
      <c r="AG3114">
        <f>IF($C3114="","",IF(COUNTIF($C$2:$C3114,$C3114)=1,1,0))</f>
        <v/>
      </c>
      <c r="AH3114">
        <f>IF($AG3114=1,SUMPRODUCT(--($AK$2:$AK$6001&lt;$AK3114))+1,"")</f>
        <v/>
      </c>
      <c r="AI3114">
        <f>IF($C3114="","",IF(OR($N3114=TRUE(),$N3114="TRUE"),1,0))</f>
        <v/>
      </c>
      <c r="AJ3114">
        <f>IF($C3114="","",IF($T3114="Yes",1,0))</f>
        <v/>
      </c>
      <c r="AK3114">
        <f>IF($AG3114=1,IFERROR(IF(VALUE($C3114)&lt;100000000,VALUE($C3114),1000000000),IFERROR(IF(VALUE(MID($C3114,2,20))&lt;100000000,VALUE(MID($C3114,2,20)),1000000000),1000000000))+ROW()/100000,"")</f>
        <v/>
      </c>
    </row>
    <row r="3115">
      <c r="D3115" s="11" t="n"/>
      <c r="K3115" s="7">
        <f>IF($C3115="","",J3115*W3115/100)</f>
        <v/>
      </c>
      <c r="Q3115" s="7" t="n"/>
      <c r="R3115" s="7" t="n"/>
      <c r="U3115">
        <f>IF($C3115="","",IF($AJ3115=1,0,IF($AI3115=1,Settings!$C$6,Settings!$C$7))*100)</f>
        <v/>
      </c>
      <c r="V3115" s="7">
        <f>IF($C3115="","",R3115*U3115/100)</f>
        <v/>
      </c>
      <c r="W3115" s="7">
        <f>IF($C3115="","",R3115-V3115)</f>
        <v/>
      </c>
      <c r="X3115" s="7">
        <f>IF($C3115="","",W3115-K3115)</f>
        <v/>
      </c>
      <c r="AB3115" s="7" t="n"/>
      <c r="AE3115" s="11" t="n"/>
      <c r="AG3115">
        <f>IF($C3115="","",IF(COUNTIF($C$2:$C3115,$C3115)=1,1,0))</f>
        <v/>
      </c>
      <c r="AH3115">
        <f>IF($AG3115=1,SUMPRODUCT(--($AK$2:$AK$6001&lt;$AK3115))+1,"")</f>
        <v/>
      </c>
      <c r="AI3115">
        <f>IF($C3115="","",IF(OR($N3115=TRUE(),$N3115="TRUE"),1,0))</f>
        <v/>
      </c>
      <c r="AJ3115">
        <f>IF($C3115="","",IF($T3115="Yes",1,0))</f>
        <v/>
      </c>
      <c r="AK3115">
        <f>IF($AG3115=1,IFERROR(IF(VALUE($C3115)&lt;100000000,VALUE($C3115),1000000000),IFERROR(IF(VALUE(MID($C3115,2,20))&lt;100000000,VALUE(MID($C3115,2,20)),1000000000),1000000000))+ROW()/100000,"")</f>
        <v/>
      </c>
    </row>
    <row r="3116">
      <c r="D3116" s="11" t="n"/>
      <c r="K3116" s="7">
        <f>IF($C3116="","",J3116*W3116/100)</f>
        <v/>
      </c>
      <c r="Q3116" s="7" t="n"/>
      <c r="R3116" s="7" t="n"/>
      <c r="U3116">
        <f>IF($C3116="","",IF($AJ3116=1,0,IF($AI3116=1,Settings!$C$6,Settings!$C$7))*100)</f>
        <v/>
      </c>
      <c r="V3116" s="7">
        <f>IF($C3116="","",R3116*U3116/100)</f>
        <v/>
      </c>
      <c r="W3116" s="7">
        <f>IF($C3116="","",R3116-V3116)</f>
        <v/>
      </c>
      <c r="X3116" s="7">
        <f>IF($C3116="","",W3116-K3116)</f>
        <v/>
      </c>
      <c r="AB3116" s="7" t="n"/>
      <c r="AE3116" s="11" t="n"/>
      <c r="AG3116">
        <f>IF($C3116="","",IF(COUNTIF($C$2:$C3116,$C3116)=1,1,0))</f>
        <v/>
      </c>
      <c r="AH3116">
        <f>IF($AG3116=1,SUMPRODUCT(--($AK$2:$AK$6001&lt;$AK3116))+1,"")</f>
        <v/>
      </c>
      <c r="AI3116">
        <f>IF($C3116="","",IF(OR($N3116=TRUE(),$N3116="TRUE"),1,0))</f>
        <v/>
      </c>
      <c r="AJ3116">
        <f>IF($C3116="","",IF($T3116="Yes",1,0))</f>
        <v/>
      </c>
      <c r="AK3116">
        <f>IF($AG3116=1,IFERROR(IF(VALUE($C3116)&lt;100000000,VALUE($C3116),1000000000),IFERROR(IF(VALUE(MID($C3116,2,20))&lt;100000000,VALUE(MID($C3116,2,20)),1000000000),1000000000))+ROW()/100000,"")</f>
        <v/>
      </c>
    </row>
    <row r="3117">
      <c r="D3117" s="11" t="n"/>
      <c r="K3117" s="7">
        <f>IF($C3117="","",J3117*W3117/100)</f>
        <v/>
      </c>
      <c r="Q3117" s="7" t="n"/>
      <c r="R3117" s="7" t="n"/>
      <c r="U3117">
        <f>IF($C3117="","",IF($AJ3117=1,0,IF($AI3117=1,Settings!$C$6,Settings!$C$7))*100)</f>
        <v/>
      </c>
      <c r="V3117" s="7">
        <f>IF($C3117="","",R3117*U3117/100)</f>
        <v/>
      </c>
      <c r="W3117" s="7">
        <f>IF($C3117="","",R3117-V3117)</f>
        <v/>
      </c>
      <c r="X3117" s="7">
        <f>IF($C3117="","",W3117-K3117)</f>
        <v/>
      </c>
      <c r="AB3117" s="7" t="n"/>
      <c r="AE3117" s="11" t="n"/>
      <c r="AG3117">
        <f>IF($C3117="","",IF(COUNTIF($C$2:$C3117,$C3117)=1,1,0))</f>
        <v/>
      </c>
      <c r="AH3117">
        <f>IF($AG3117=1,SUMPRODUCT(--($AK$2:$AK$6001&lt;$AK3117))+1,"")</f>
        <v/>
      </c>
      <c r="AI3117">
        <f>IF($C3117="","",IF(OR($N3117=TRUE(),$N3117="TRUE"),1,0))</f>
        <v/>
      </c>
      <c r="AJ3117">
        <f>IF($C3117="","",IF($T3117="Yes",1,0))</f>
        <v/>
      </c>
      <c r="AK3117">
        <f>IF($AG3117=1,IFERROR(IF(VALUE($C3117)&lt;100000000,VALUE($C3117),1000000000),IFERROR(IF(VALUE(MID($C3117,2,20))&lt;100000000,VALUE(MID($C3117,2,20)),1000000000),1000000000))+ROW()/100000,"")</f>
        <v/>
      </c>
    </row>
    <row r="3118">
      <c r="D3118" s="11" t="n"/>
      <c r="K3118" s="7">
        <f>IF($C3118="","",J3118*W3118/100)</f>
        <v/>
      </c>
      <c r="Q3118" s="7" t="n"/>
      <c r="R3118" s="7" t="n"/>
      <c r="U3118">
        <f>IF($C3118="","",IF($AJ3118=1,0,IF($AI3118=1,Settings!$C$6,Settings!$C$7))*100)</f>
        <v/>
      </c>
      <c r="V3118" s="7">
        <f>IF($C3118="","",R3118*U3118/100)</f>
        <v/>
      </c>
      <c r="W3118" s="7">
        <f>IF($C3118="","",R3118-V3118)</f>
        <v/>
      </c>
      <c r="X3118" s="7">
        <f>IF($C3118="","",W3118-K3118)</f>
        <v/>
      </c>
      <c r="AB3118" s="7" t="n"/>
      <c r="AE3118" s="11" t="n"/>
      <c r="AG3118">
        <f>IF($C3118="","",IF(COUNTIF($C$2:$C3118,$C3118)=1,1,0))</f>
        <v/>
      </c>
      <c r="AH3118">
        <f>IF($AG3118=1,SUMPRODUCT(--($AK$2:$AK$6001&lt;$AK3118))+1,"")</f>
        <v/>
      </c>
      <c r="AI3118">
        <f>IF($C3118="","",IF(OR($N3118=TRUE(),$N3118="TRUE"),1,0))</f>
        <v/>
      </c>
      <c r="AJ3118">
        <f>IF($C3118="","",IF($T3118="Yes",1,0))</f>
        <v/>
      </c>
      <c r="AK3118">
        <f>IF($AG3118=1,IFERROR(IF(VALUE($C3118)&lt;100000000,VALUE($C3118),1000000000),IFERROR(IF(VALUE(MID($C3118,2,20))&lt;100000000,VALUE(MID($C3118,2,20)),1000000000),1000000000))+ROW()/100000,"")</f>
        <v/>
      </c>
    </row>
    <row r="3119">
      <c r="D3119" s="11" t="n"/>
      <c r="K3119" s="7">
        <f>IF($C3119="","",J3119*W3119/100)</f>
        <v/>
      </c>
      <c r="Q3119" s="7" t="n"/>
      <c r="R3119" s="7" t="n"/>
      <c r="U3119">
        <f>IF($C3119="","",IF($AJ3119=1,0,IF($AI3119=1,Settings!$C$6,Settings!$C$7))*100)</f>
        <v/>
      </c>
      <c r="V3119" s="7">
        <f>IF($C3119="","",R3119*U3119/100)</f>
        <v/>
      </c>
      <c r="W3119" s="7">
        <f>IF($C3119="","",R3119-V3119)</f>
        <v/>
      </c>
      <c r="X3119" s="7">
        <f>IF($C3119="","",W3119-K3119)</f>
        <v/>
      </c>
      <c r="AB3119" s="7" t="n"/>
      <c r="AE3119" s="11" t="n"/>
      <c r="AG3119">
        <f>IF($C3119="","",IF(COUNTIF($C$2:$C3119,$C3119)=1,1,0))</f>
        <v/>
      </c>
      <c r="AH3119">
        <f>IF($AG3119=1,SUMPRODUCT(--($AK$2:$AK$6001&lt;$AK3119))+1,"")</f>
        <v/>
      </c>
      <c r="AI3119">
        <f>IF($C3119="","",IF(OR($N3119=TRUE(),$N3119="TRUE"),1,0))</f>
        <v/>
      </c>
      <c r="AJ3119">
        <f>IF($C3119="","",IF($T3119="Yes",1,0))</f>
        <v/>
      </c>
      <c r="AK3119">
        <f>IF($AG3119=1,IFERROR(IF(VALUE($C3119)&lt;100000000,VALUE($C3119),1000000000),IFERROR(IF(VALUE(MID($C3119,2,20))&lt;100000000,VALUE(MID($C3119,2,20)),1000000000),1000000000))+ROW()/100000,"")</f>
        <v/>
      </c>
    </row>
    <row r="3120">
      <c r="D3120" s="11" t="n"/>
      <c r="K3120" s="7">
        <f>IF($C3120="","",J3120*W3120/100)</f>
        <v/>
      </c>
      <c r="Q3120" s="7" t="n"/>
      <c r="R3120" s="7" t="n"/>
      <c r="U3120">
        <f>IF($C3120="","",IF($AJ3120=1,0,IF($AI3120=1,Settings!$C$6,Settings!$C$7))*100)</f>
        <v/>
      </c>
      <c r="V3120" s="7">
        <f>IF($C3120="","",R3120*U3120/100)</f>
        <v/>
      </c>
      <c r="W3120" s="7">
        <f>IF($C3120="","",R3120-V3120)</f>
        <v/>
      </c>
      <c r="X3120" s="7">
        <f>IF($C3120="","",W3120-K3120)</f>
        <v/>
      </c>
      <c r="AB3120" s="7" t="n"/>
      <c r="AE3120" s="11" t="n"/>
      <c r="AG3120">
        <f>IF($C3120="","",IF(COUNTIF($C$2:$C3120,$C3120)=1,1,0))</f>
        <v/>
      </c>
      <c r="AH3120">
        <f>IF($AG3120=1,SUMPRODUCT(--($AK$2:$AK$6001&lt;$AK3120))+1,"")</f>
        <v/>
      </c>
      <c r="AI3120">
        <f>IF($C3120="","",IF(OR($N3120=TRUE(),$N3120="TRUE"),1,0))</f>
        <v/>
      </c>
      <c r="AJ3120">
        <f>IF($C3120="","",IF($T3120="Yes",1,0))</f>
        <v/>
      </c>
      <c r="AK3120">
        <f>IF($AG3120=1,IFERROR(IF(VALUE($C3120)&lt;100000000,VALUE($C3120),1000000000),IFERROR(IF(VALUE(MID($C3120,2,20))&lt;100000000,VALUE(MID($C3120,2,20)),1000000000),1000000000))+ROW()/100000,"")</f>
        <v/>
      </c>
    </row>
    <row r="3121">
      <c r="D3121" s="11" t="n"/>
      <c r="K3121" s="7">
        <f>IF($C3121="","",J3121*W3121/100)</f>
        <v/>
      </c>
      <c r="Q3121" s="7" t="n"/>
      <c r="R3121" s="7" t="n"/>
      <c r="U3121">
        <f>IF($C3121="","",IF($AJ3121=1,0,IF($AI3121=1,Settings!$C$6,Settings!$C$7))*100)</f>
        <v/>
      </c>
      <c r="V3121" s="7">
        <f>IF($C3121="","",R3121*U3121/100)</f>
        <v/>
      </c>
      <c r="W3121" s="7">
        <f>IF($C3121="","",R3121-V3121)</f>
        <v/>
      </c>
      <c r="X3121" s="7">
        <f>IF($C3121="","",W3121-K3121)</f>
        <v/>
      </c>
      <c r="AB3121" s="7" t="n"/>
      <c r="AE3121" s="11" t="n"/>
      <c r="AG3121">
        <f>IF($C3121="","",IF(COUNTIF($C$2:$C3121,$C3121)=1,1,0))</f>
        <v/>
      </c>
      <c r="AH3121">
        <f>IF($AG3121=1,SUMPRODUCT(--($AK$2:$AK$6001&lt;$AK3121))+1,"")</f>
        <v/>
      </c>
      <c r="AI3121">
        <f>IF($C3121="","",IF(OR($N3121=TRUE(),$N3121="TRUE"),1,0))</f>
        <v/>
      </c>
      <c r="AJ3121">
        <f>IF($C3121="","",IF($T3121="Yes",1,0))</f>
        <v/>
      </c>
      <c r="AK3121">
        <f>IF($AG3121=1,IFERROR(IF(VALUE($C3121)&lt;100000000,VALUE($C3121),1000000000),IFERROR(IF(VALUE(MID($C3121,2,20))&lt;100000000,VALUE(MID($C3121,2,20)),1000000000),1000000000))+ROW()/100000,"")</f>
        <v/>
      </c>
    </row>
    <row r="3122">
      <c r="D3122" s="11" t="n"/>
      <c r="K3122" s="7">
        <f>IF($C3122="","",J3122*W3122/100)</f>
        <v/>
      </c>
      <c r="Q3122" s="7" t="n"/>
      <c r="R3122" s="7" t="n"/>
      <c r="U3122">
        <f>IF($C3122="","",IF($AJ3122=1,0,IF($AI3122=1,Settings!$C$6,Settings!$C$7))*100)</f>
        <v/>
      </c>
      <c r="V3122" s="7">
        <f>IF($C3122="","",R3122*U3122/100)</f>
        <v/>
      </c>
      <c r="W3122" s="7">
        <f>IF($C3122="","",R3122-V3122)</f>
        <v/>
      </c>
      <c r="X3122" s="7">
        <f>IF($C3122="","",W3122-K3122)</f>
        <v/>
      </c>
      <c r="AB3122" s="7" t="n"/>
      <c r="AE3122" s="11" t="n"/>
      <c r="AG3122">
        <f>IF($C3122="","",IF(COUNTIF($C$2:$C3122,$C3122)=1,1,0))</f>
        <v/>
      </c>
      <c r="AH3122">
        <f>IF($AG3122=1,SUMPRODUCT(--($AK$2:$AK$6001&lt;$AK3122))+1,"")</f>
        <v/>
      </c>
      <c r="AI3122">
        <f>IF($C3122="","",IF(OR($N3122=TRUE(),$N3122="TRUE"),1,0))</f>
        <v/>
      </c>
      <c r="AJ3122">
        <f>IF($C3122="","",IF($T3122="Yes",1,0))</f>
        <v/>
      </c>
      <c r="AK3122">
        <f>IF($AG3122=1,IFERROR(IF(VALUE($C3122)&lt;100000000,VALUE($C3122),1000000000),IFERROR(IF(VALUE(MID($C3122,2,20))&lt;100000000,VALUE(MID($C3122,2,20)),1000000000),1000000000))+ROW()/100000,"")</f>
        <v/>
      </c>
    </row>
    <row r="3123">
      <c r="D3123" s="11" t="n"/>
      <c r="K3123" s="7">
        <f>IF($C3123="","",J3123*W3123/100)</f>
        <v/>
      </c>
      <c r="Q3123" s="7" t="n"/>
      <c r="R3123" s="7" t="n"/>
      <c r="U3123">
        <f>IF($C3123="","",IF($AJ3123=1,0,IF($AI3123=1,Settings!$C$6,Settings!$C$7))*100)</f>
        <v/>
      </c>
      <c r="V3123" s="7">
        <f>IF($C3123="","",R3123*U3123/100)</f>
        <v/>
      </c>
      <c r="W3123" s="7">
        <f>IF($C3123="","",R3123-V3123)</f>
        <v/>
      </c>
      <c r="X3123" s="7">
        <f>IF($C3123="","",W3123-K3123)</f>
        <v/>
      </c>
      <c r="AB3123" s="7" t="n"/>
      <c r="AE3123" s="11" t="n"/>
      <c r="AG3123">
        <f>IF($C3123="","",IF(COUNTIF($C$2:$C3123,$C3123)=1,1,0))</f>
        <v/>
      </c>
      <c r="AH3123">
        <f>IF($AG3123=1,SUMPRODUCT(--($AK$2:$AK$6001&lt;$AK3123))+1,"")</f>
        <v/>
      </c>
      <c r="AI3123">
        <f>IF($C3123="","",IF(OR($N3123=TRUE(),$N3123="TRUE"),1,0))</f>
        <v/>
      </c>
      <c r="AJ3123">
        <f>IF($C3123="","",IF($T3123="Yes",1,0))</f>
        <v/>
      </c>
      <c r="AK3123">
        <f>IF($AG3123=1,IFERROR(IF(VALUE($C3123)&lt;100000000,VALUE($C3123),1000000000),IFERROR(IF(VALUE(MID($C3123,2,20))&lt;100000000,VALUE(MID($C3123,2,20)),1000000000),1000000000))+ROW()/100000,"")</f>
        <v/>
      </c>
    </row>
    <row r="3124">
      <c r="D3124" s="11" t="n"/>
      <c r="K3124" s="7">
        <f>IF($C3124="","",J3124*W3124/100)</f>
        <v/>
      </c>
      <c r="Q3124" s="7" t="n"/>
      <c r="R3124" s="7" t="n"/>
      <c r="U3124">
        <f>IF($C3124="","",IF($AJ3124=1,0,IF($AI3124=1,Settings!$C$6,Settings!$C$7))*100)</f>
        <v/>
      </c>
      <c r="V3124" s="7">
        <f>IF($C3124="","",R3124*U3124/100)</f>
        <v/>
      </c>
      <c r="W3124" s="7">
        <f>IF($C3124="","",R3124-V3124)</f>
        <v/>
      </c>
      <c r="X3124" s="7">
        <f>IF($C3124="","",W3124-K3124)</f>
        <v/>
      </c>
      <c r="AB3124" s="7" t="n"/>
      <c r="AE3124" s="11" t="n"/>
      <c r="AG3124">
        <f>IF($C3124="","",IF(COUNTIF($C$2:$C3124,$C3124)=1,1,0))</f>
        <v/>
      </c>
      <c r="AH3124">
        <f>IF($AG3124=1,SUMPRODUCT(--($AK$2:$AK$6001&lt;$AK3124))+1,"")</f>
        <v/>
      </c>
      <c r="AI3124">
        <f>IF($C3124="","",IF(OR($N3124=TRUE(),$N3124="TRUE"),1,0))</f>
        <v/>
      </c>
      <c r="AJ3124">
        <f>IF($C3124="","",IF($T3124="Yes",1,0))</f>
        <v/>
      </c>
      <c r="AK3124">
        <f>IF($AG3124=1,IFERROR(IF(VALUE($C3124)&lt;100000000,VALUE($C3124),1000000000),IFERROR(IF(VALUE(MID($C3124,2,20))&lt;100000000,VALUE(MID($C3124,2,20)),1000000000),1000000000))+ROW()/100000,"")</f>
        <v/>
      </c>
    </row>
    <row r="3125">
      <c r="D3125" s="11" t="n"/>
      <c r="K3125" s="7">
        <f>IF($C3125="","",J3125*W3125/100)</f>
        <v/>
      </c>
      <c r="Q3125" s="7" t="n"/>
      <c r="R3125" s="7" t="n"/>
      <c r="U3125">
        <f>IF($C3125="","",IF($AJ3125=1,0,IF($AI3125=1,Settings!$C$6,Settings!$C$7))*100)</f>
        <v/>
      </c>
      <c r="V3125" s="7">
        <f>IF($C3125="","",R3125*U3125/100)</f>
        <v/>
      </c>
      <c r="W3125" s="7">
        <f>IF($C3125="","",R3125-V3125)</f>
        <v/>
      </c>
      <c r="X3125" s="7">
        <f>IF($C3125="","",W3125-K3125)</f>
        <v/>
      </c>
      <c r="AB3125" s="7" t="n"/>
      <c r="AE3125" s="11" t="n"/>
      <c r="AG3125">
        <f>IF($C3125="","",IF(COUNTIF($C$2:$C3125,$C3125)=1,1,0))</f>
        <v/>
      </c>
      <c r="AH3125">
        <f>IF($AG3125=1,SUMPRODUCT(--($AK$2:$AK$6001&lt;$AK3125))+1,"")</f>
        <v/>
      </c>
      <c r="AI3125">
        <f>IF($C3125="","",IF(OR($N3125=TRUE(),$N3125="TRUE"),1,0))</f>
        <v/>
      </c>
      <c r="AJ3125">
        <f>IF($C3125="","",IF($T3125="Yes",1,0))</f>
        <v/>
      </c>
      <c r="AK3125">
        <f>IF($AG3125=1,IFERROR(IF(VALUE($C3125)&lt;100000000,VALUE($C3125),1000000000),IFERROR(IF(VALUE(MID($C3125,2,20))&lt;100000000,VALUE(MID($C3125,2,20)),1000000000),1000000000))+ROW()/100000,"")</f>
        <v/>
      </c>
    </row>
    <row r="3126">
      <c r="D3126" s="11" t="n"/>
      <c r="K3126" s="7">
        <f>IF($C3126="","",J3126*W3126/100)</f>
        <v/>
      </c>
      <c r="Q3126" s="7" t="n"/>
      <c r="R3126" s="7" t="n"/>
      <c r="U3126">
        <f>IF($C3126="","",IF($AJ3126=1,0,IF($AI3126=1,Settings!$C$6,Settings!$C$7))*100)</f>
        <v/>
      </c>
      <c r="V3126" s="7">
        <f>IF($C3126="","",R3126*U3126/100)</f>
        <v/>
      </c>
      <c r="W3126" s="7">
        <f>IF($C3126="","",R3126-V3126)</f>
        <v/>
      </c>
      <c r="X3126" s="7">
        <f>IF($C3126="","",W3126-K3126)</f>
        <v/>
      </c>
      <c r="AB3126" s="7" t="n"/>
      <c r="AE3126" s="11" t="n"/>
      <c r="AG3126">
        <f>IF($C3126="","",IF(COUNTIF($C$2:$C3126,$C3126)=1,1,0))</f>
        <v/>
      </c>
      <c r="AH3126">
        <f>IF($AG3126=1,SUMPRODUCT(--($AK$2:$AK$6001&lt;$AK3126))+1,"")</f>
        <v/>
      </c>
      <c r="AI3126">
        <f>IF($C3126="","",IF(OR($N3126=TRUE(),$N3126="TRUE"),1,0))</f>
        <v/>
      </c>
      <c r="AJ3126">
        <f>IF($C3126="","",IF($T3126="Yes",1,0))</f>
        <v/>
      </c>
      <c r="AK3126">
        <f>IF($AG3126=1,IFERROR(IF(VALUE($C3126)&lt;100000000,VALUE($C3126),1000000000),IFERROR(IF(VALUE(MID($C3126,2,20))&lt;100000000,VALUE(MID($C3126,2,20)),1000000000),1000000000))+ROW()/100000,"")</f>
        <v/>
      </c>
    </row>
    <row r="3127">
      <c r="D3127" s="11" t="n"/>
      <c r="K3127" s="7">
        <f>IF($C3127="","",J3127*W3127/100)</f>
        <v/>
      </c>
      <c r="Q3127" s="7" t="n"/>
      <c r="R3127" s="7" t="n"/>
      <c r="U3127">
        <f>IF($C3127="","",IF($AJ3127=1,0,IF($AI3127=1,Settings!$C$6,Settings!$C$7))*100)</f>
        <v/>
      </c>
      <c r="V3127" s="7">
        <f>IF($C3127="","",R3127*U3127/100)</f>
        <v/>
      </c>
      <c r="W3127" s="7">
        <f>IF($C3127="","",R3127-V3127)</f>
        <v/>
      </c>
      <c r="X3127" s="7">
        <f>IF($C3127="","",W3127-K3127)</f>
        <v/>
      </c>
      <c r="AB3127" s="7" t="n"/>
      <c r="AE3127" s="11" t="n"/>
      <c r="AG3127">
        <f>IF($C3127="","",IF(COUNTIF($C$2:$C3127,$C3127)=1,1,0))</f>
        <v/>
      </c>
      <c r="AH3127">
        <f>IF($AG3127=1,SUMPRODUCT(--($AK$2:$AK$6001&lt;$AK3127))+1,"")</f>
        <v/>
      </c>
      <c r="AI3127">
        <f>IF($C3127="","",IF(OR($N3127=TRUE(),$N3127="TRUE"),1,0))</f>
        <v/>
      </c>
      <c r="AJ3127">
        <f>IF($C3127="","",IF($T3127="Yes",1,0))</f>
        <v/>
      </c>
      <c r="AK3127">
        <f>IF($AG3127=1,IFERROR(IF(VALUE($C3127)&lt;100000000,VALUE($C3127),1000000000),IFERROR(IF(VALUE(MID($C3127,2,20))&lt;100000000,VALUE(MID($C3127,2,20)),1000000000),1000000000))+ROW()/100000,"")</f>
        <v/>
      </c>
    </row>
    <row r="3128">
      <c r="D3128" s="11" t="n"/>
      <c r="K3128" s="7">
        <f>IF($C3128="","",J3128*W3128/100)</f>
        <v/>
      </c>
      <c r="Q3128" s="7" t="n"/>
      <c r="R3128" s="7" t="n"/>
      <c r="U3128">
        <f>IF($C3128="","",IF($AJ3128=1,0,IF($AI3128=1,Settings!$C$6,Settings!$C$7))*100)</f>
        <v/>
      </c>
      <c r="V3128" s="7">
        <f>IF($C3128="","",R3128*U3128/100)</f>
        <v/>
      </c>
      <c r="W3128" s="7">
        <f>IF($C3128="","",R3128-V3128)</f>
        <v/>
      </c>
      <c r="X3128" s="7">
        <f>IF($C3128="","",W3128-K3128)</f>
        <v/>
      </c>
      <c r="AB3128" s="7" t="n"/>
      <c r="AE3128" s="11" t="n"/>
      <c r="AG3128">
        <f>IF($C3128="","",IF(COUNTIF($C$2:$C3128,$C3128)=1,1,0))</f>
        <v/>
      </c>
      <c r="AH3128">
        <f>IF($AG3128=1,SUMPRODUCT(--($AK$2:$AK$6001&lt;$AK3128))+1,"")</f>
        <v/>
      </c>
      <c r="AI3128">
        <f>IF($C3128="","",IF(OR($N3128=TRUE(),$N3128="TRUE"),1,0))</f>
        <v/>
      </c>
      <c r="AJ3128">
        <f>IF($C3128="","",IF($T3128="Yes",1,0))</f>
        <v/>
      </c>
      <c r="AK3128">
        <f>IF($AG3128=1,IFERROR(IF(VALUE($C3128)&lt;100000000,VALUE($C3128),1000000000),IFERROR(IF(VALUE(MID($C3128,2,20))&lt;100000000,VALUE(MID($C3128,2,20)),1000000000),1000000000))+ROW()/100000,"")</f>
        <v/>
      </c>
    </row>
    <row r="3129">
      <c r="D3129" s="11" t="n"/>
      <c r="K3129" s="7">
        <f>IF($C3129="","",J3129*W3129/100)</f>
        <v/>
      </c>
      <c r="Q3129" s="7" t="n"/>
      <c r="R3129" s="7" t="n"/>
      <c r="U3129">
        <f>IF($C3129="","",IF($AJ3129=1,0,IF($AI3129=1,Settings!$C$6,Settings!$C$7))*100)</f>
        <v/>
      </c>
      <c r="V3129" s="7">
        <f>IF($C3129="","",R3129*U3129/100)</f>
        <v/>
      </c>
      <c r="W3129" s="7">
        <f>IF($C3129="","",R3129-V3129)</f>
        <v/>
      </c>
      <c r="X3129" s="7">
        <f>IF($C3129="","",W3129-K3129)</f>
        <v/>
      </c>
      <c r="AB3129" s="7" t="n"/>
      <c r="AE3129" s="11" t="n"/>
      <c r="AG3129">
        <f>IF($C3129="","",IF(COUNTIF($C$2:$C3129,$C3129)=1,1,0))</f>
        <v/>
      </c>
      <c r="AH3129">
        <f>IF($AG3129=1,SUMPRODUCT(--($AK$2:$AK$6001&lt;$AK3129))+1,"")</f>
        <v/>
      </c>
      <c r="AI3129">
        <f>IF($C3129="","",IF(OR($N3129=TRUE(),$N3129="TRUE"),1,0))</f>
        <v/>
      </c>
      <c r="AJ3129">
        <f>IF($C3129="","",IF($T3129="Yes",1,0))</f>
        <v/>
      </c>
      <c r="AK3129">
        <f>IF($AG3129=1,IFERROR(IF(VALUE($C3129)&lt;100000000,VALUE($C3129),1000000000),IFERROR(IF(VALUE(MID($C3129,2,20))&lt;100000000,VALUE(MID($C3129,2,20)),1000000000),1000000000))+ROW()/100000,"")</f>
        <v/>
      </c>
    </row>
    <row r="3130">
      <c r="D3130" s="11" t="n"/>
      <c r="K3130" s="7">
        <f>IF($C3130="","",J3130*W3130/100)</f>
        <v/>
      </c>
      <c r="Q3130" s="7" t="n"/>
      <c r="R3130" s="7" t="n"/>
      <c r="U3130">
        <f>IF($C3130="","",IF($AJ3130=1,0,IF($AI3130=1,Settings!$C$6,Settings!$C$7))*100)</f>
        <v/>
      </c>
      <c r="V3130" s="7">
        <f>IF($C3130="","",R3130*U3130/100)</f>
        <v/>
      </c>
      <c r="W3130" s="7">
        <f>IF($C3130="","",R3130-V3130)</f>
        <v/>
      </c>
      <c r="X3130" s="7">
        <f>IF($C3130="","",W3130-K3130)</f>
        <v/>
      </c>
      <c r="AB3130" s="7" t="n"/>
      <c r="AE3130" s="11" t="n"/>
      <c r="AG3130">
        <f>IF($C3130="","",IF(COUNTIF($C$2:$C3130,$C3130)=1,1,0))</f>
        <v/>
      </c>
      <c r="AH3130">
        <f>IF($AG3130=1,SUMPRODUCT(--($AK$2:$AK$6001&lt;$AK3130))+1,"")</f>
        <v/>
      </c>
      <c r="AI3130">
        <f>IF($C3130="","",IF(OR($N3130=TRUE(),$N3130="TRUE"),1,0))</f>
        <v/>
      </c>
      <c r="AJ3130">
        <f>IF($C3130="","",IF($T3130="Yes",1,0))</f>
        <v/>
      </c>
      <c r="AK3130">
        <f>IF($AG3130=1,IFERROR(IF(VALUE($C3130)&lt;100000000,VALUE($C3130),1000000000),IFERROR(IF(VALUE(MID($C3130,2,20))&lt;100000000,VALUE(MID($C3130,2,20)),1000000000),1000000000))+ROW()/100000,"")</f>
        <v/>
      </c>
    </row>
    <row r="3131">
      <c r="D3131" s="11" t="n"/>
      <c r="K3131" s="7">
        <f>IF($C3131="","",J3131*W3131/100)</f>
        <v/>
      </c>
      <c r="Q3131" s="7" t="n"/>
      <c r="R3131" s="7" t="n"/>
      <c r="U3131">
        <f>IF($C3131="","",IF($AJ3131=1,0,IF($AI3131=1,Settings!$C$6,Settings!$C$7))*100)</f>
        <v/>
      </c>
      <c r="V3131" s="7">
        <f>IF($C3131="","",R3131*U3131/100)</f>
        <v/>
      </c>
      <c r="W3131" s="7">
        <f>IF($C3131="","",R3131-V3131)</f>
        <v/>
      </c>
      <c r="X3131" s="7">
        <f>IF($C3131="","",W3131-K3131)</f>
        <v/>
      </c>
      <c r="AB3131" s="7" t="n"/>
      <c r="AE3131" s="11" t="n"/>
      <c r="AG3131">
        <f>IF($C3131="","",IF(COUNTIF($C$2:$C3131,$C3131)=1,1,0))</f>
        <v/>
      </c>
      <c r="AH3131">
        <f>IF($AG3131=1,SUMPRODUCT(--($AK$2:$AK$6001&lt;$AK3131))+1,"")</f>
        <v/>
      </c>
      <c r="AI3131">
        <f>IF($C3131="","",IF(OR($N3131=TRUE(),$N3131="TRUE"),1,0))</f>
        <v/>
      </c>
      <c r="AJ3131">
        <f>IF($C3131="","",IF($T3131="Yes",1,0))</f>
        <v/>
      </c>
      <c r="AK3131">
        <f>IF($AG3131=1,IFERROR(IF(VALUE($C3131)&lt;100000000,VALUE($C3131),1000000000),IFERROR(IF(VALUE(MID($C3131,2,20))&lt;100000000,VALUE(MID($C3131,2,20)),1000000000),1000000000))+ROW()/100000,"")</f>
        <v/>
      </c>
    </row>
    <row r="3132">
      <c r="D3132" s="11" t="n"/>
      <c r="K3132" s="7">
        <f>IF($C3132="","",J3132*W3132/100)</f>
        <v/>
      </c>
      <c r="Q3132" s="7" t="n"/>
      <c r="R3132" s="7" t="n"/>
      <c r="U3132">
        <f>IF($C3132="","",IF($AJ3132=1,0,IF($AI3132=1,Settings!$C$6,Settings!$C$7))*100)</f>
        <v/>
      </c>
      <c r="V3132" s="7">
        <f>IF($C3132="","",R3132*U3132/100)</f>
        <v/>
      </c>
      <c r="W3132" s="7">
        <f>IF($C3132="","",R3132-V3132)</f>
        <v/>
      </c>
      <c r="X3132" s="7">
        <f>IF($C3132="","",W3132-K3132)</f>
        <v/>
      </c>
      <c r="AB3132" s="7" t="n"/>
      <c r="AE3132" s="11" t="n"/>
      <c r="AG3132">
        <f>IF($C3132="","",IF(COUNTIF($C$2:$C3132,$C3132)=1,1,0))</f>
        <v/>
      </c>
      <c r="AH3132">
        <f>IF($AG3132=1,SUMPRODUCT(--($AK$2:$AK$6001&lt;$AK3132))+1,"")</f>
        <v/>
      </c>
      <c r="AI3132">
        <f>IF($C3132="","",IF(OR($N3132=TRUE(),$N3132="TRUE"),1,0))</f>
        <v/>
      </c>
      <c r="AJ3132">
        <f>IF($C3132="","",IF($T3132="Yes",1,0))</f>
        <v/>
      </c>
      <c r="AK3132">
        <f>IF($AG3132=1,IFERROR(IF(VALUE($C3132)&lt;100000000,VALUE($C3132),1000000000),IFERROR(IF(VALUE(MID($C3132,2,20))&lt;100000000,VALUE(MID($C3132,2,20)),1000000000),1000000000))+ROW()/100000,"")</f>
        <v/>
      </c>
    </row>
    <row r="3133">
      <c r="D3133" s="11" t="n"/>
      <c r="K3133" s="7">
        <f>IF($C3133="","",J3133*W3133/100)</f>
        <v/>
      </c>
      <c r="Q3133" s="7" t="n"/>
      <c r="R3133" s="7" t="n"/>
      <c r="U3133">
        <f>IF($C3133="","",IF($AJ3133=1,0,IF($AI3133=1,Settings!$C$6,Settings!$C$7))*100)</f>
        <v/>
      </c>
      <c r="V3133" s="7">
        <f>IF($C3133="","",R3133*U3133/100)</f>
        <v/>
      </c>
      <c r="W3133" s="7">
        <f>IF($C3133="","",R3133-V3133)</f>
        <v/>
      </c>
      <c r="X3133" s="7">
        <f>IF($C3133="","",W3133-K3133)</f>
        <v/>
      </c>
      <c r="AB3133" s="7" t="n"/>
      <c r="AE3133" s="11" t="n"/>
      <c r="AG3133">
        <f>IF($C3133="","",IF(COUNTIF($C$2:$C3133,$C3133)=1,1,0))</f>
        <v/>
      </c>
      <c r="AH3133">
        <f>IF($AG3133=1,SUMPRODUCT(--($AK$2:$AK$6001&lt;$AK3133))+1,"")</f>
        <v/>
      </c>
      <c r="AI3133">
        <f>IF($C3133="","",IF(OR($N3133=TRUE(),$N3133="TRUE"),1,0))</f>
        <v/>
      </c>
      <c r="AJ3133">
        <f>IF($C3133="","",IF($T3133="Yes",1,0))</f>
        <v/>
      </c>
      <c r="AK3133">
        <f>IF($AG3133=1,IFERROR(IF(VALUE($C3133)&lt;100000000,VALUE($C3133),1000000000),IFERROR(IF(VALUE(MID($C3133,2,20))&lt;100000000,VALUE(MID($C3133,2,20)),1000000000),1000000000))+ROW()/100000,"")</f>
        <v/>
      </c>
    </row>
    <row r="3134">
      <c r="D3134" s="11" t="n"/>
      <c r="K3134" s="7">
        <f>IF($C3134="","",J3134*W3134/100)</f>
        <v/>
      </c>
      <c r="Q3134" s="7" t="n"/>
      <c r="R3134" s="7" t="n"/>
      <c r="U3134">
        <f>IF($C3134="","",IF($AJ3134=1,0,IF($AI3134=1,Settings!$C$6,Settings!$C$7))*100)</f>
        <v/>
      </c>
      <c r="V3134" s="7">
        <f>IF($C3134="","",R3134*U3134/100)</f>
        <v/>
      </c>
      <c r="W3134" s="7">
        <f>IF($C3134="","",R3134-V3134)</f>
        <v/>
      </c>
      <c r="X3134" s="7">
        <f>IF($C3134="","",W3134-K3134)</f>
        <v/>
      </c>
      <c r="AB3134" s="7" t="n"/>
      <c r="AE3134" s="11" t="n"/>
      <c r="AG3134">
        <f>IF($C3134="","",IF(COUNTIF($C$2:$C3134,$C3134)=1,1,0))</f>
        <v/>
      </c>
      <c r="AH3134">
        <f>IF($AG3134=1,SUMPRODUCT(--($AK$2:$AK$6001&lt;$AK3134))+1,"")</f>
        <v/>
      </c>
      <c r="AI3134">
        <f>IF($C3134="","",IF(OR($N3134=TRUE(),$N3134="TRUE"),1,0))</f>
        <v/>
      </c>
      <c r="AJ3134">
        <f>IF($C3134="","",IF($T3134="Yes",1,0))</f>
        <v/>
      </c>
      <c r="AK3134">
        <f>IF($AG3134=1,IFERROR(IF(VALUE($C3134)&lt;100000000,VALUE($C3134),1000000000),IFERROR(IF(VALUE(MID($C3134,2,20))&lt;100000000,VALUE(MID($C3134,2,20)),1000000000),1000000000))+ROW()/100000,"")</f>
        <v/>
      </c>
    </row>
    <row r="3135">
      <c r="D3135" s="11" t="n"/>
      <c r="K3135" s="7">
        <f>IF($C3135="","",J3135*W3135/100)</f>
        <v/>
      </c>
      <c r="Q3135" s="7" t="n"/>
      <c r="R3135" s="7" t="n"/>
      <c r="U3135">
        <f>IF($C3135="","",IF($AJ3135=1,0,IF($AI3135=1,Settings!$C$6,Settings!$C$7))*100)</f>
        <v/>
      </c>
      <c r="V3135" s="7">
        <f>IF($C3135="","",R3135*U3135/100)</f>
        <v/>
      </c>
      <c r="W3135" s="7">
        <f>IF($C3135="","",R3135-V3135)</f>
        <v/>
      </c>
      <c r="X3135" s="7">
        <f>IF($C3135="","",W3135-K3135)</f>
        <v/>
      </c>
      <c r="AB3135" s="7" t="n"/>
      <c r="AE3135" s="11" t="n"/>
      <c r="AG3135">
        <f>IF($C3135="","",IF(COUNTIF($C$2:$C3135,$C3135)=1,1,0))</f>
        <v/>
      </c>
      <c r="AH3135">
        <f>IF($AG3135=1,SUMPRODUCT(--($AK$2:$AK$6001&lt;$AK3135))+1,"")</f>
        <v/>
      </c>
      <c r="AI3135">
        <f>IF($C3135="","",IF(OR($N3135=TRUE(),$N3135="TRUE"),1,0))</f>
        <v/>
      </c>
      <c r="AJ3135">
        <f>IF($C3135="","",IF($T3135="Yes",1,0))</f>
        <v/>
      </c>
      <c r="AK3135">
        <f>IF($AG3135=1,IFERROR(IF(VALUE($C3135)&lt;100000000,VALUE($C3135),1000000000),IFERROR(IF(VALUE(MID($C3135,2,20))&lt;100000000,VALUE(MID($C3135,2,20)),1000000000),1000000000))+ROW()/100000,"")</f>
        <v/>
      </c>
    </row>
    <row r="3136">
      <c r="D3136" s="11" t="n"/>
      <c r="K3136" s="7">
        <f>IF($C3136="","",J3136*W3136/100)</f>
        <v/>
      </c>
      <c r="Q3136" s="7" t="n"/>
      <c r="R3136" s="7" t="n"/>
      <c r="U3136">
        <f>IF($C3136="","",IF($AJ3136=1,0,IF($AI3136=1,Settings!$C$6,Settings!$C$7))*100)</f>
        <v/>
      </c>
      <c r="V3136" s="7">
        <f>IF($C3136="","",R3136*U3136/100)</f>
        <v/>
      </c>
      <c r="W3136" s="7">
        <f>IF($C3136="","",R3136-V3136)</f>
        <v/>
      </c>
      <c r="X3136" s="7">
        <f>IF($C3136="","",W3136-K3136)</f>
        <v/>
      </c>
      <c r="AB3136" s="7" t="n"/>
      <c r="AE3136" s="11" t="n"/>
      <c r="AG3136">
        <f>IF($C3136="","",IF(COUNTIF($C$2:$C3136,$C3136)=1,1,0))</f>
        <v/>
      </c>
      <c r="AH3136">
        <f>IF($AG3136=1,SUMPRODUCT(--($AK$2:$AK$6001&lt;$AK3136))+1,"")</f>
        <v/>
      </c>
      <c r="AI3136">
        <f>IF($C3136="","",IF(OR($N3136=TRUE(),$N3136="TRUE"),1,0))</f>
        <v/>
      </c>
      <c r="AJ3136">
        <f>IF($C3136="","",IF($T3136="Yes",1,0))</f>
        <v/>
      </c>
      <c r="AK3136">
        <f>IF($AG3136=1,IFERROR(IF(VALUE($C3136)&lt;100000000,VALUE($C3136),1000000000),IFERROR(IF(VALUE(MID($C3136,2,20))&lt;100000000,VALUE(MID($C3136,2,20)),1000000000),1000000000))+ROW()/100000,"")</f>
        <v/>
      </c>
    </row>
    <row r="3137">
      <c r="D3137" s="11" t="n"/>
      <c r="K3137" s="7">
        <f>IF($C3137="","",J3137*W3137/100)</f>
        <v/>
      </c>
      <c r="Q3137" s="7" t="n"/>
      <c r="R3137" s="7" t="n"/>
      <c r="U3137">
        <f>IF($C3137="","",IF($AJ3137=1,0,IF($AI3137=1,Settings!$C$6,Settings!$C$7))*100)</f>
        <v/>
      </c>
      <c r="V3137" s="7">
        <f>IF($C3137="","",R3137*U3137/100)</f>
        <v/>
      </c>
      <c r="W3137" s="7">
        <f>IF($C3137="","",R3137-V3137)</f>
        <v/>
      </c>
      <c r="X3137" s="7">
        <f>IF($C3137="","",W3137-K3137)</f>
        <v/>
      </c>
      <c r="AB3137" s="7" t="n"/>
      <c r="AE3137" s="11" t="n"/>
      <c r="AG3137">
        <f>IF($C3137="","",IF(COUNTIF($C$2:$C3137,$C3137)=1,1,0))</f>
        <v/>
      </c>
      <c r="AH3137">
        <f>IF($AG3137=1,SUMPRODUCT(--($AK$2:$AK$6001&lt;$AK3137))+1,"")</f>
        <v/>
      </c>
      <c r="AI3137">
        <f>IF($C3137="","",IF(OR($N3137=TRUE(),$N3137="TRUE"),1,0))</f>
        <v/>
      </c>
      <c r="AJ3137">
        <f>IF($C3137="","",IF($T3137="Yes",1,0))</f>
        <v/>
      </c>
      <c r="AK3137">
        <f>IF($AG3137=1,IFERROR(IF(VALUE($C3137)&lt;100000000,VALUE($C3137),1000000000),IFERROR(IF(VALUE(MID($C3137,2,20))&lt;100000000,VALUE(MID($C3137,2,20)),1000000000),1000000000))+ROW()/100000,"")</f>
        <v/>
      </c>
    </row>
    <row r="3138">
      <c r="D3138" s="11" t="n"/>
      <c r="K3138" s="7">
        <f>IF($C3138="","",J3138*W3138/100)</f>
        <v/>
      </c>
      <c r="Q3138" s="7" t="n"/>
      <c r="R3138" s="7" t="n"/>
      <c r="U3138">
        <f>IF($C3138="","",IF($AJ3138=1,0,IF($AI3138=1,Settings!$C$6,Settings!$C$7))*100)</f>
        <v/>
      </c>
      <c r="V3138" s="7">
        <f>IF($C3138="","",R3138*U3138/100)</f>
        <v/>
      </c>
      <c r="W3138" s="7">
        <f>IF($C3138="","",R3138-V3138)</f>
        <v/>
      </c>
      <c r="X3138" s="7">
        <f>IF($C3138="","",W3138-K3138)</f>
        <v/>
      </c>
      <c r="AB3138" s="7" t="n"/>
      <c r="AE3138" s="11" t="n"/>
      <c r="AG3138">
        <f>IF($C3138="","",IF(COUNTIF($C$2:$C3138,$C3138)=1,1,0))</f>
        <v/>
      </c>
      <c r="AH3138">
        <f>IF($AG3138=1,SUMPRODUCT(--($AK$2:$AK$6001&lt;$AK3138))+1,"")</f>
        <v/>
      </c>
      <c r="AI3138">
        <f>IF($C3138="","",IF(OR($N3138=TRUE(),$N3138="TRUE"),1,0))</f>
        <v/>
      </c>
      <c r="AJ3138">
        <f>IF($C3138="","",IF($T3138="Yes",1,0))</f>
        <v/>
      </c>
      <c r="AK3138">
        <f>IF($AG3138=1,IFERROR(IF(VALUE($C3138)&lt;100000000,VALUE($C3138),1000000000),IFERROR(IF(VALUE(MID($C3138,2,20))&lt;100000000,VALUE(MID($C3138,2,20)),1000000000),1000000000))+ROW()/100000,"")</f>
        <v/>
      </c>
    </row>
    <row r="3139">
      <c r="D3139" s="11" t="n"/>
      <c r="K3139" s="7">
        <f>IF($C3139="","",J3139*W3139/100)</f>
        <v/>
      </c>
      <c r="Q3139" s="7" t="n"/>
      <c r="R3139" s="7" t="n"/>
      <c r="U3139">
        <f>IF($C3139="","",IF($AJ3139=1,0,IF($AI3139=1,Settings!$C$6,Settings!$C$7))*100)</f>
        <v/>
      </c>
      <c r="V3139" s="7">
        <f>IF($C3139="","",R3139*U3139/100)</f>
        <v/>
      </c>
      <c r="W3139" s="7">
        <f>IF($C3139="","",R3139-V3139)</f>
        <v/>
      </c>
      <c r="X3139" s="7">
        <f>IF($C3139="","",W3139-K3139)</f>
        <v/>
      </c>
      <c r="AB3139" s="7" t="n"/>
      <c r="AE3139" s="11" t="n"/>
      <c r="AG3139">
        <f>IF($C3139="","",IF(COUNTIF($C$2:$C3139,$C3139)=1,1,0))</f>
        <v/>
      </c>
      <c r="AH3139">
        <f>IF($AG3139=1,SUMPRODUCT(--($AK$2:$AK$6001&lt;$AK3139))+1,"")</f>
        <v/>
      </c>
      <c r="AI3139">
        <f>IF($C3139="","",IF(OR($N3139=TRUE(),$N3139="TRUE"),1,0))</f>
        <v/>
      </c>
      <c r="AJ3139">
        <f>IF($C3139="","",IF($T3139="Yes",1,0))</f>
        <v/>
      </c>
      <c r="AK3139">
        <f>IF($AG3139=1,IFERROR(IF(VALUE($C3139)&lt;100000000,VALUE($C3139),1000000000),IFERROR(IF(VALUE(MID($C3139,2,20))&lt;100000000,VALUE(MID($C3139,2,20)),1000000000),1000000000))+ROW()/100000,"")</f>
        <v/>
      </c>
    </row>
    <row r="3140">
      <c r="D3140" s="11" t="n"/>
      <c r="K3140" s="7">
        <f>IF($C3140="","",J3140*W3140/100)</f>
        <v/>
      </c>
      <c r="Q3140" s="7" t="n"/>
      <c r="R3140" s="7" t="n"/>
      <c r="U3140">
        <f>IF($C3140="","",IF($AJ3140=1,0,IF($AI3140=1,Settings!$C$6,Settings!$C$7))*100)</f>
        <v/>
      </c>
      <c r="V3140" s="7">
        <f>IF($C3140="","",R3140*U3140/100)</f>
        <v/>
      </c>
      <c r="W3140" s="7">
        <f>IF($C3140="","",R3140-V3140)</f>
        <v/>
      </c>
      <c r="X3140" s="7">
        <f>IF($C3140="","",W3140-K3140)</f>
        <v/>
      </c>
      <c r="AB3140" s="7" t="n"/>
      <c r="AE3140" s="11" t="n"/>
      <c r="AG3140">
        <f>IF($C3140="","",IF(COUNTIF($C$2:$C3140,$C3140)=1,1,0))</f>
        <v/>
      </c>
      <c r="AH3140">
        <f>IF($AG3140=1,SUMPRODUCT(--($AK$2:$AK$6001&lt;$AK3140))+1,"")</f>
        <v/>
      </c>
      <c r="AI3140">
        <f>IF($C3140="","",IF(OR($N3140=TRUE(),$N3140="TRUE"),1,0))</f>
        <v/>
      </c>
      <c r="AJ3140">
        <f>IF($C3140="","",IF($T3140="Yes",1,0))</f>
        <v/>
      </c>
      <c r="AK3140">
        <f>IF($AG3140=1,IFERROR(IF(VALUE($C3140)&lt;100000000,VALUE($C3140),1000000000),IFERROR(IF(VALUE(MID($C3140,2,20))&lt;100000000,VALUE(MID($C3140,2,20)),1000000000),1000000000))+ROW()/100000,"")</f>
        <v/>
      </c>
    </row>
    <row r="3141">
      <c r="D3141" s="11" t="n"/>
      <c r="K3141" s="7">
        <f>IF($C3141="","",J3141*W3141/100)</f>
        <v/>
      </c>
      <c r="Q3141" s="7" t="n"/>
      <c r="R3141" s="7" t="n"/>
      <c r="U3141">
        <f>IF($C3141="","",IF($AJ3141=1,0,IF($AI3141=1,Settings!$C$6,Settings!$C$7))*100)</f>
        <v/>
      </c>
      <c r="V3141" s="7">
        <f>IF($C3141="","",R3141*U3141/100)</f>
        <v/>
      </c>
      <c r="W3141" s="7">
        <f>IF($C3141="","",R3141-V3141)</f>
        <v/>
      </c>
      <c r="X3141" s="7">
        <f>IF($C3141="","",W3141-K3141)</f>
        <v/>
      </c>
      <c r="AB3141" s="7" t="n"/>
      <c r="AE3141" s="11" t="n"/>
      <c r="AG3141">
        <f>IF($C3141="","",IF(COUNTIF($C$2:$C3141,$C3141)=1,1,0))</f>
        <v/>
      </c>
      <c r="AH3141">
        <f>IF($AG3141=1,SUMPRODUCT(--($AK$2:$AK$6001&lt;$AK3141))+1,"")</f>
        <v/>
      </c>
      <c r="AI3141">
        <f>IF($C3141="","",IF(OR($N3141=TRUE(),$N3141="TRUE"),1,0))</f>
        <v/>
      </c>
      <c r="AJ3141">
        <f>IF($C3141="","",IF($T3141="Yes",1,0))</f>
        <v/>
      </c>
      <c r="AK3141">
        <f>IF($AG3141=1,IFERROR(IF(VALUE($C3141)&lt;100000000,VALUE($C3141),1000000000),IFERROR(IF(VALUE(MID($C3141,2,20))&lt;100000000,VALUE(MID($C3141,2,20)),1000000000),1000000000))+ROW()/100000,"")</f>
        <v/>
      </c>
    </row>
    <row r="3142">
      <c r="D3142" s="11" t="n"/>
      <c r="K3142" s="7">
        <f>IF($C3142="","",J3142*W3142/100)</f>
        <v/>
      </c>
      <c r="Q3142" s="7" t="n"/>
      <c r="R3142" s="7" t="n"/>
      <c r="U3142">
        <f>IF($C3142="","",IF($AJ3142=1,0,IF($AI3142=1,Settings!$C$6,Settings!$C$7))*100)</f>
        <v/>
      </c>
      <c r="V3142" s="7">
        <f>IF($C3142="","",R3142*U3142/100)</f>
        <v/>
      </c>
      <c r="W3142" s="7">
        <f>IF($C3142="","",R3142-V3142)</f>
        <v/>
      </c>
      <c r="X3142" s="7">
        <f>IF($C3142="","",W3142-K3142)</f>
        <v/>
      </c>
      <c r="AB3142" s="7" t="n"/>
      <c r="AE3142" s="11" t="n"/>
      <c r="AG3142">
        <f>IF($C3142="","",IF(COUNTIF($C$2:$C3142,$C3142)=1,1,0))</f>
        <v/>
      </c>
      <c r="AH3142">
        <f>IF($AG3142=1,SUMPRODUCT(--($AK$2:$AK$6001&lt;$AK3142))+1,"")</f>
        <v/>
      </c>
      <c r="AI3142">
        <f>IF($C3142="","",IF(OR($N3142=TRUE(),$N3142="TRUE"),1,0))</f>
        <v/>
      </c>
      <c r="AJ3142">
        <f>IF($C3142="","",IF($T3142="Yes",1,0))</f>
        <v/>
      </c>
      <c r="AK3142">
        <f>IF($AG3142=1,IFERROR(IF(VALUE($C3142)&lt;100000000,VALUE($C3142),1000000000),IFERROR(IF(VALUE(MID($C3142,2,20))&lt;100000000,VALUE(MID($C3142,2,20)),1000000000),1000000000))+ROW()/100000,"")</f>
        <v/>
      </c>
    </row>
    <row r="3143">
      <c r="D3143" s="11" t="n"/>
      <c r="K3143" s="7">
        <f>IF($C3143="","",J3143*W3143/100)</f>
        <v/>
      </c>
      <c r="Q3143" s="7" t="n"/>
      <c r="R3143" s="7" t="n"/>
      <c r="U3143">
        <f>IF($C3143="","",IF($AJ3143=1,0,IF($AI3143=1,Settings!$C$6,Settings!$C$7))*100)</f>
        <v/>
      </c>
      <c r="V3143" s="7">
        <f>IF($C3143="","",R3143*U3143/100)</f>
        <v/>
      </c>
      <c r="W3143" s="7">
        <f>IF($C3143="","",R3143-V3143)</f>
        <v/>
      </c>
      <c r="X3143" s="7">
        <f>IF($C3143="","",W3143-K3143)</f>
        <v/>
      </c>
      <c r="AB3143" s="7" t="n"/>
      <c r="AE3143" s="11" t="n"/>
      <c r="AG3143">
        <f>IF($C3143="","",IF(COUNTIF($C$2:$C3143,$C3143)=1,1,0))</f>
        <v/>
      </c>
      <c r="AH3143">
        <f>IF($AG3143=1,SUMPRODUCT(--($AK$2:$AK$6001&lt;$AK3143))+1,"")</f>
        <v/>
      </c>
      <c r="AI3143">
        <f>IF($C3143="","",IF(OR($N3143=TRUE(),$N3143="TRUE"),1,0))</f>
        <v/>
      </c>
      <c r="AJ3143">
        <f>IF($C3143="","",IF($T3143="Yes",1,0))</f>
        <v/>
      </c>
      <c r="AK3143">
        <f>IF($AG3143=1,IFERROR(IF(VALUE($C3143)&lt;100000000,VALUE($C3143),1000000000),IFERROR(IF(VALUE(MID($C3143,2,20))&lt;100000000,VALUE(MID($C3143,2,20)),1000000000),1000000000))+ROW()/100000,"")</f>
        <v/>
      </c>
    </row>
    <row r="3144">
      <c r="D3144" s="11" t="n"/>
      <c r="K3144" s="7">
        <f>IF($C3144="","",J3144*W3144/100)</f>
        <v/>
      </c>
      <c r="Q3144" s="7" t="n"/>
      <c r="R3144" s="7" t="n"/>
      <c r="U3144">
        <f>IF($C3144="","",IF($AJ3144=1,0,IF($AI3144=1,Settings!$C$6,Settings!$C$7))*100)</f>
        <v/>
      </c>
      <c r="V3144" s="7">
        <f>IF($C3144="","",R3144*U3144/100)</f>
        <v/>
      </c>
      <c r="W3144" s="7">
        <f>IF($C3144="","",R3144-V3144)</f>
        <v/>
      </c>
      <c r="X3144" s="7">
        <f>IF($C3144="","",W3144-K3144)</f>
        <v/>
      </c>
      <c r="AB3144" s="7" t="n"/>
      <c r="AE3144" s="11" t="n"/>
      <c r="AG3144">
        <f>IF($C3144="","",IF(COUNTIF($C$2:$C3144,$C3144)=1,1,0))</f>
        <v/>
      </c>
      <c r="AH3144">
        <f>IF($AG3144=1,SUMPRODUCT(--($AK$2:$AK$6001&lt;$AK3144))+1,"")</f>
        <v/>
      </c>
      <c r="AI3144">
        <f>IF($C3144="","",IF(OR($N3144=TRUE(),$N3144="TRUE"),1,0))</f>
        <v/>
      </c>
      <c r="AJ3144">
        <f>IF($C3144="","",IF($T3144="Yes",1,0))</f>
        <v/>
      </c>
      <c r="AK3144">
        <f>IF($AG3144=1,IFERROR(IF(VALUE($C3144)&lt;100000000,VALUE($C3144),1000000000),IFERROR(IF(VALUE(MID($C3144,2,20))&lt;100000000,VALUE(MID($C3144,2,20)),1000000000),1000000000))+ROW()/100000,"")</f>
        <v/>
      </c>
    </row>
    <row r="3145">
      <c r="D3145" s="11" t="n"/>
      <c r="K3145" s="7">
        <f>IF($C3145="","",J3145*W3145/100)</f>
        <v/>
      </c>
      <c r="Q3145" s="7" t="n"/>
      <c r="R3145" s="7" t="n"/>
      <c r="U3145">
        <f>IF($C3145="","",IF($AJ3145=1,0,IF($AI3145=1,Settings!$C$6,Settings!$C$7))*100)</f>
        <v/>
      </c>
      <c r="V3145" s="7">
        <f>IF($C3145="","",R3145*U3145/100)</f>
        <v/>
      </c>
      <c r="W3145" s="7">
        <f>IF($C3145="","",R3145-V3145)</f>
        <v/>
      </c>
      <c r="X3145" s="7">
        <f>IF($C3145="","",W3145-K3145)</f>
        <v/>
      </c>
      <c r="AB3145" s="7" t="n"/>
      <c r="AE3145" s="11" t="n"/>
      <c r="AG3145">
        <f>IF($C3145="","",IF(COUNTIF($C$2:$C3145,$C3145)=1,1,0))</f>
        <v/>
      </c>
      <c r="AH3145">
        <f>IF($AG3145=1,SUMPRODUCT(--($AK$2:$AK$6001&lt;$AK3145))+1,"")</f>
        <v/>
      </c>
      <c r="AI3145">
        <f>IF($C3145="","",IF(OR($N3145=TRUE(),$N3145="TRUE"),1,0))</f>
        <v/>
      </c>
      <c r="AJ3145">
        <f>IF($C3145="","",IF($T3145="Yes",1,0))</f>
        <v/>
      </c>
      <c r="AK3145">
        <f>IF($AG3145=1,IFERROR(IF(VALUE($C3145)&lt;100000000,VALUE($C3145),1000000000),IFERROR(IF(VALUE(MID($C3145,2,20))&lt;100000000,VALUE(MID($C3145,2,20)),1000000000),1000000000))+ROW()/100000,"")</f>
        <v/>
      </c>
    </row>
    <row r="3146">
      <c r="D3146" s="11" t="n"/>
      <c r="K3146" s="7">
        <f>IF($C3146="","",J3146*W3146/100)</f>
        <v/>
      </c>
      <c r="Q3146" s="7" t="n"/>
      <c r="R3146" s="7" t="n"/>
      <c r="U3146">
        <f>IF($C3146="","",IF($AJ3146=1,0,IF($AI3146=1,Settings!$C$6,Settings!$C$7))*100)</f>
        <v/>
      </c>
      <c r="V3146" s="7">
        <f>IF($C3146="","",R3146*U3146/100)</f>
        <v/>
      </c>
      <c r="W3146" s="7">
        <f>IF($C3146="","",R3146-V3146)</f>
        <v/>
      </c>
      <c r="X3146" s="7">
        <f>IF($C3146="","",W3146-K3146)</f>
        <v/>
      </c>
      <c r="AB3146" s="7" t="n"/>
      <c r="AE3146" s="11" t="n"/>
      <c r="AG3146">
        <f>IF($C3146="","",IF(COUNTIF($C$2:$C3146,$C3146)=1,1,0))</f>
        <v/>
      </c>
      <c r="AH3146">
        <f>IF($AG3146=1,SUMPRODUCT(--($AK$2:$AK$6001&lt;$AK3146))+1,"")</f>
        <v/>
      </c>
      <c r="AI3146">
        <f>IF($C3146="","",IF(OR($N3146=TRUE(),$N3146="TRUE"),1,0))</f>
        <v/>
      </c>
      <c r="AJ3146">
        <f>IF($C3146="","",IF($T3146="Yes",1,0))</f>
        <v/>
      </c>
      <c r="AK3146">
        <f>IF($AG3146=1,IFERROR(IF(VALUE($C3146)&lt;100000000,VALUE($C3146),1000000000),IFERROR(IF(VALUE(MID($C3146,2,20))&lt;100000000,VALUE(MID($C3146,2,20)),1000000000),1000000000))+ROW()/100000,"")</f>
        <v/>
      </c>
    </row>
    <row r="3147">
      <c r="D3147" s="11" t="n"/>
      <c r="K3147" s="7">
        <f>IF($C3147="","",J3147*W3147/100)</f>
        <v/>
      </c>
      <c r="Q3147" s="7" t="n"/>
      <c r="R3147" s="7" t="n"/>
      <c r="U3147">
        <f>IF($C3147="","",IF($AJ3147=1,0,IF($AI3147=1,Settings!$C$6,Settings!$C$7))*100)</f>
        <v/>
      </c>
      <c r="V3147" s="7">
        <f>IF($C3147="","",R3147*U3147/100)</f>
        <v/>
      </c>
      <c r="W3147" s="7">
        <f>IF($C3147="","",R3147-V3147)</f>
        <v/>
      </c>
      <c r="X3147" s="7">
        <f>IF($C3147="","",W3147-K3147)</f>
        <v/>
      </c>
      <c r="AB3147" s="7" t="n"/>
      <c r="AE3147" s="11" t="n"/>
      <c r="AG3147">
        <f>IF($C3147="","",IF(COUNTIF($C$2:$C3147,$C3147)=1,1,0))</f>
        <v/>
      </c>
      <c r="AH3147">
        <f>IF($AG3147=1,SUMPRODUCT(--($AK$2:$AK$6001&lt;$AK3147))+1,"")</f>
        <v/>
      </c>
      <c r="AI3147">
        <f>IF($C3147="","",IF(OR($N3147=TRUE(),$N3147="TRUE"),1,0))</f>
        <v/>
      </c>
      <c r="AJ3147">
        <f>IF($C3147="","",IF($T3147="Yes",1,0))</f>
        <v/>
      </c>
      <c r="AK3147">
        <f>IF($AG3147=1,IFERROR(IF(VALUE($C3147)&lt;100000000,VALUE($C3147),1000000000),IFERROR(IF(VALUE(MID($C3147,2,20))&lt;100000000,VALUE(MID($C3147,2,20)),1000000000),1000000000))+ROW()/100000,"")</f>
        <v/>
      </c>
    </row>
    <row r="3148">
      <c r="D3148" s="11" t="n"/>
      <c r="K3148" s="7">
        <f>IF($C3148="","",J3148*W3148/100)</f>
        <v/>
      </c>
      <c r="Q3148" s="7" t="n"/>
      <c r="R3148" s="7" t="n"/>
      <c r="U3148">
        <f>IF($C3148="","",IF($AJ3148=1,0,IF($AI3148=1,Settings!$C$6,Settings!$C$7))*100)</f>
        <v/>
      </c>
      <c r="V3148" s="7">
        <f>IF($C3148="","",R3148*U3148/100)</f>
        <v/>
      </c>
      <c r="W3148" s="7">
        <f>IF($C3148="","",R3148-V3148)</f>
        <v/>
      </c>
      <c r="X3148" s="7">
        <f>IF($C3148="","",W3148-K3148)</f>
        <v/>
      </c>
      <c r="AB3148" s="7" t="n"/>
      <c r="AE3148" s="11" t="n"/>
      <c r="AG3148">
        <f>IF($C3148="","",IF(COUNTIF($C$2:$C3148,$C3148)=1,1,0))</f>
        <v/>
      </c>
      <c r="AH3148">
        <f>IF($AG3148=1,SUMPRODUCT(--($AK$2:$AK$6001&lt;$AK3148))+1,"")</f>
        <v/>
      </c>
      <c r="AI3148">
        <f>IF($C3148="","",IF(OR($N3148=TRUE(),$N3148="TRUE"),1,0))</f>
        <v/>
      </c>
      <c r="AJ3148">
        <f>IF($C3148="","",IF($T3148="Yes",1,0))</f>
        <v/>
      </c>
      <c r="AK3148">
        <f>IF($AG3148=1,IFERROR(IF(VALUE($C3148)&lt;100000000,VALUE($C3148),1000000000),IFERROR(IF(VALUE(MID($C3148,2,20))&lt;100000000,VALUE(MID($C3148,2,20)),1000000000),1000000000))+ROW()/100000,"")</f>
        <v/>
      </c>
    </row>
    <row r="3149">
      <c r="D3149" s="11" t="n"/>
      <c r="K3149" s="7">
        <f>IF($C3149="","",J3149*W3149/100)</f>
        <v/>
      </c>
      <c r="Q3149" s="7" t="n"/>
      <c r="R3149" s="7" t="n"/>
      <c r="U3149">
        <f>IF($C3149="","",IF($AJ3149=1,0,IF($AI3149=1,Settings!$C$6,Settings!$C$7))*100)</f>
        <v/>
      </c>
      <c r="V3149" s="7">
        <f>IF($C3149="","",R3149*U3149/100)</f>
        <v/>
      </c>
      <c r="W3149" s="7">
        <f>IF($C3149="","",R3149-V3149)</f>
        <v/>
      </c>
      <c r="X3149" s="7">
        <f>IF($C3149="","",W3149-K3149)</f>
        <v/>
      </c>
      <c r="AB3149" s="7" t="n"/>
      <c r="AE3149" s="11" t="n"/>
      <c r="AG3149">
        <f>IF($C3149="","",IF(COUNTIF($C$2:$C3149,$C3149)=1,1,0))</f>
        <v/>
      </c>
      <c r="AH3149">
        <f>IF($AG3149=1,SUMPRODUCT(--($AK$2:$AK$6001&lt;$AK3149))+1,"")</f>
        <v/>
      </c>
      <c r="AI3149">
        <f>IF($C3149="","",IF(OR($N3149=TRUE(),$N3149="TRUE"),1,0))</f>
        <v/>
      </c>
      <c r="AJ3149">
        <f>IF($C3149="","",IF($T3149="Yes",1,0))</f>
        <v/>
      </c>
      <c r="AK3149">
        <f>IF($AG3149=1,IFERROR(IF(VALUE($C3149)&lt;100000000,VALUE($C3149),1000000000),IFERROR(IF(VALUE(MID($C3149,2,20))&lt;100000000,VALUE(MID($C3149,2,20)),1000000000),1000000000))+ROW()/100000,"")</f>
        <v/>
      </c>
    </row>
    <row r="3150">
      <c r="D3150" s="11" t="n"/>
      <c r="K3150" s="7">
        <f>IF($C3150="","",J3150*W3150/100)</f>
        <v/>
      </c>
      <c r="Q3150" s="7" t="n"/>
      <c r="R3150" s="7" t="n"/>
      <c r="U3150">
        <f>IF($C3150="","",IF($AJ3150=1,0,IF($AI3150=1,Settings!$C$6,Settings!$C$7))*100)</f>
        <v/>
      </c>
      <c r="V3150" s="7">
        <f>IF($C3150="","",R3150*U3150/100)</f>
        <v/>
      </c>
      <c r="W3150" s="7">
        <f>IF($C3150="","",R3150-V3150)</f>
        <v/>
      </c>
      <c r="X3150" s="7">
        <f>IF($C3150="","",W3150-K3150)</f>
        <v/>
      </c>
      <c r="AB3150" s="7" t="n"/>
      <c r="AE3150" s="11" t="n"/>
      <c r="AG3150">
        <f>IF($C3150="","",IF(COUNTIF($C$2:$C3150,$C3150)=1,1,0))</f>
        <v/>
      </c>
      <c r="AH3150">
        <f>IF($AG3150=1,SUMPRODUCT(--($AK$2:$AK$6001&lt;$AK3150))+1,"")</f>
        <v/>
      </c>
      <c r="AI3150">
        <f>IF($C3150="","",IF(OR($N3150=TRUE(),$N3150="TRUE"),1,0))</f>
        <v/>
      </c>
      <c r="AJ3150">
        <f>IF($C3150="","",IF($T3150="Yes",1,0))</f>
        <v/>
      </c>
      <c r="AK3150">
        <f>IF($AG3150=1,IFERROR(IF(VALUE($C3150)&lt;100000000,VALUE($C3150),1000000000),IFERROR(IF(VALUE(MID($C3150,2,20))&lt;100000000,VALUE(MID($C3150,2,20)),1000000000),1000000000))+ROW()/100000,"")</f>
        <v/>
      </c>
    </row>
    <row r="3151">
      <c r="D3151" s="11" t="n"/>
      <c r="K3151" s="7">
        <f>IF($C3151="","",J3151*W3151/100)</f>
        <v/>
      </c>
      <c r="Q3151" s="7" t="n"/>
      <c r="R3151" s="7" t="n"/>
      <c r="U3151">
        <f>IF($C3151="","",IF($AJ3151=1,0,IF($AI3151=1,Settings!$C$6,Settings!$C$7))*100)</f>
        <v/>
      </c>
      <c r="V3151" s="7">
        <f>IF($C3151="","",R3151*U3151/100)</f>
        <v/>
      </c>
      <c r="W3151" s="7">
        <f>IF($C3151="","",R3151-V3151)</f>
        <v/>
      </c>
      <c r="X3151" s="7">
        <f>IF($C3151="","",W3151-K3151)</f>
        <v/>
      </c>
      <c r="AB3151" s="7" t="n"/>
      <c r="AE3151" s="11" t="n"/>
      <c r="AG3151">
        <f>IF($C3151="","",IF(COUNTIF($C$2:$C3151,$C3151)=1,1,0))</f>
        <v/>
      </c>
      <c r="AH3151">
        <f>IF($AG3151=1,SUMPRODUCT(--($AK$2:$AK$6001&lt;$AK3151))+1,"")</f>
        <v/>
      </c>
      <c r="AI3151">
        <f>IF($C3151="","",IF(OR($N3151=TRUE(),$N3151="TRUE"),1,0))</f>
        <v/>
      </c>
      <c r="AJ3151">
        <f>IF($C3151="","",IF($T3151="Yes",1,0))</f>
        <v/>
      </c>
      <c r="AK3151">
        <f>IF($AG3151=1,IFERROR(IF(VALUE($C3151)&lt;100000000,VALUE($C3151),1000000000),IFERROR(IF(VALUE(MID($C3151,2,20))&lt;100000000,VALUE(MID($C3151,2,20)),1000000000),1000000000))+ROW()/100000,"")</f>
        <v/>
      </c>
    </row>
    <row r="3152">
      <c r="D3152" s="11" t="n"/>
      <c r="K3152" s="7">
        <f>IF($C3152="","",J3152*W3152/100)</f>
        <v/>
      </c>
      <c r="Q3152" s="7" t="n"/>
      <c r="R3152" s="7" t="n"/>
      <c r="U3152">
        <f>IF($C3152="","",IF($AJ3152=1,0,IF($AI3152=1,Settings!$C$6,Settings!$C$7))*100)</f>
        <v/>
      </c>
      <c r="V3152" s="7">
        <f>IF($C3152="","",R3152*U3152/100)</f>
        <v/>
      </c>
      <c r="W3152" s="7">
        <f>IF($C3152="","",R3152-V3152)</f>
        <v/>
      </c>
      <c r="X3152" s="7">
        <f>IF($C3152="","",W3152-K3152)</f>
        <v/>
      </c>
      <c r="AB3152" s="7" t="n"/>
      <c r="AE3152" s="11" t="n"/>
      <c r="AG3152">
        <f>IF($C3152="","",IF(COUNTIF($C$2:$C3152,$C3152)=1,1,0))</f>
        <v/>
      </c>
      <c r="AH3152">
        <f>IF($AG3152=1,SUMPRODUCT(--($AK$2:$AK$6001&lt;$AK3152))+1,"")</f>
        <v/>
      </c>
      <c r="AI3152">
        <f>IF($C3152="","",IF(OR($N3152=TRUE(),$N3152="TRUE"),1,0))</f>
        <v/>
      </c>
      <c r="AJ3152">
        <f>IF($C3152="","",IF($T3152="Yes",1,0))</f>
        <v/>
      </c>
      <c r="AK3152">
        <f>IF($AG3152=1,IFERROR(IF(VALUE($C3152)&lt;100000000,VALUE($C3152),1000000000),IFERROR(IF(VALUE(MID($C3152,2,20))&lt;100000000,VALUE(MID($C3152,2,20)),1000000000),1000000000))+ROW()/100000,"")</f>
        <v/>
      </c>
    </row>
    <row r="3153">
      <c r="D3153" s="11" t="n"/>
      <c r="K3153" s="7">
        <f>IF($C3153="","",J3153*W3153/100)</f>
        <v/>
      </c>
      <c r="Q3153" s="7" t="n"/>
      <c r="R3153" s="7" t="n"/>
      <c r="U3153">
        <f>IF($C3153="","",IF($AJ3153=1,0,IF($AI3153=1,Settings!$C$6,Settings!$C$7))*100)</f>
        <v/>
      </c>
      <c r="V3153" s="7">
        <f>IF($C3153="","",R3153*U3153/100)</f>
        <v/>
      </c>
      <c r="W3153" s="7">
        <f>IF($C3153="","",R3153-V3153)</f>
        <v/>
      </c>
      <c r="X3153" s="7">
        <f>IF($C3153="","",W3153-K3153)</f>
        <v/>
      </c>
      <c r="AB3153" s="7" t="n"/>
      <c r="AE3153" s="11" t="n"/>
      <c r="AG3153">
        <f>IF($C3153="","",IF(COUNTIF($C$2:$C3153,$C3153)=1,1,0))</f>
        <v/>
      </c>
      <c r="AH3153">
        <f>IF($AG3153=1,SUMPRODUCT(--($AK$2:$AK$6001&lt;$AK3153))+1,"")</f>
        <v/>
      </c>
      <c r="AI3153">
        <f>IF($C3153="","",IF(OR($N3153=TRUE(),$N3153="TRUE"),1,0))</f>
        <v/>
      </c>
      <c r="AJ3153">
        <f>IF($C3153="","",IF($T3153="Yes",1,0))</f>
        <v/>
      </c>
      <c r="AK3153">
        <f>IF($AG3153=1,IFERROR(IF(VALUE($C3153)&lt;100000000,VALUE($C3153),1000000000),IFERROR(IF(VALUE(MID($C3153,2,20))&lt;100000000,VALUE(MID($C3153,2,20)),1000000000),1000000000))+ROW()/100000,"")</f>
        <v/>
      </c>
    </row>
    <row r="3154">
      <c r="D3154" s="11" t="n"/>
      <c r="K3154" s="7">
        <f>IF($C3154="","",J3154*W3154/100)</f>
        <v/>
      </c>
      <c r="Q3154" s="7" t="n"/>
      <c r="R3154" s="7" t="n"/>
      <c r="U3154">
        <f>IF($C3154="","",IF($AJ3154=1,0,IF($AI3154=1,Settings!$C$6,Settings!$C$7))*100)</f>
        <v/>
      </c>
      <c r="V3154" s="7">
        <f>IF($C3154="","",R3154*U3154/100)</f>
        <v/>
      </c>
      <c r="W3154" s="7">
        <f>IF($C3154="","",R3154-V3154)</f>
        <v/>
      </c>
      <c r="X3154" s="7">
        <f>IF($C3154="","",W3154-K3154)</f>
        <v/>
      </c>
      <c r="AB3154" s="7" t="n"/>
      <c r="AE3154" s="11" t="n"/>
      <c r="AG3154">
        <f>IF($C3154="","",IF(COUNTIF($C$2:$C3154,$C3154)=1,1,0))</f>
        <v/>
      </c>
      <c r="AH3154">
        <f>IF($AG3154=1,SUMPRODUCT(--($AK$2:$AK$6001&lt;$AK3154))+1,"")</f>
        <v/>
      </c>
      <c r="AI3154">
        <f>IF($C3154="","",IF(OR($N3154=TRUE(),$N3154="TRUE"),1,0))</f>
        <v/>
      </c>
      <c r="AJ3154">
        <f>IF($C3154="","",IF($T3154="Yes",1,0))</f>
        <v/>
      </c>
      <c r="AK3154">
        <f>IF($AG3154=1,IFERROR(IF(VALUE($C3154)&lt;100000000,VALUE($C3154),1000000000),IFERROR(IF(VALUE(MID($C3154,2,20))&lt;100000000,VALUE(MID($C3154,2,20)),1000000000),1000000000))+ROW()/100000,"")</f>
        <v/>
      </c>
    </row>
    <row r="3155">
      <c r="D3155" s="11" t="n"/>
      <c r="K3155" s="7">
        <f>IF($C3155="","",J3155*W3155/100)</f>
        <v/>
      </c>
      <c r="Q3155" s="7" t="n"/>
      <c r="R3155" s="7" t="n"/>
      <c r="U3155">
        <f>IF($C3155="","",IF($AJ3155=1,0,IF($AI3155=1,Settings!$C$6,Settings!$C$7))*100)</f>
        <v/>
      </c>
      <c r="V3155" s="7">
        <f>IF($C3155="","",R3155*U3155/100)</f>
        <v/>
      </c>
      <c r="W3155" s="7">
        <f>IF($C3155="","",R3155-V3155)</f>
        <v/>
      </c>
      <c r="X3155" s="7">
        <f>IF($C3155="","",W3155-K3155)</f>
        <v/>
      </c>
      <c r="AB3155" s="7" t="n"/>
      <c r="AE3155" s="11" t="n"/>
      <c r="AG3155">
        <f>IF($C3155="","",IF(COUNTIF($C$2:$C3155,$C3155)=1,1,0))</f>
        <v/>
      </c>
      <c r="AH3155">
        <f>IF($AG3155=1,SUMPRODUCT(--($AK$2:$AK$6001&lt;$AK3155))+1,"")</f>
        <v/>
      </c>
      <c r="AI3155">
        <f>IF($C3155="","",IF(OR($N3155=TRUE(),$N3155="TRUE"),1,0))</f>
        <v/>
      </c>
      <c r="AJ3155">
        <f>IF($C3155="","",IF($T3155="Yes",1,0))</f>
        <v/>
      </c>
      <c r="AK3155">
        <f>IF($AG3155=1,IFERROR(IF(VALUE($C3155)&lt;100000000,VALUE($C3155),1000000000),IFERROR(IF(VALUE(MID($C3155,2,20))&lt;100000000,VALUE(MID($C3155,2,20)),1000000000),1000000000))+ROW()/100000,"")</f>
        <v/>
      </c>
    </row>
    <row r="3156">
      <c r="D3156" s="11" t="n"/>
      <c r="K3156" s="7">
        <f>IF($C3156="","",J3156*W3156/100)</f>
        <v/>
      </c>
      <c r="Q3156" s="7" t="n"/>
      <c r="R3156" s="7" t="n"/>
      <c r="U3156">
        <f>IF($C3156="","",IF($AJ3156=1,0,IF($AI3156=1,Settings!$C$6,Settings!$C$7))*100)</f>
        <v/>
      </c>
      <c r="V3156" s="7">
        <f>IF($C3156="","",R3156*U3156/100)</f>
        <v/>
      </c>
      <c r="W3156" s="7">
        <f>IF($C3156="","",R3156-V3156)</f>
        <v/>
      </c>
      <c r="X3156" s="7">
        <f>IF($C3156="","",W3156-K3156)</f>
        <v/>
      </c>
      <c r="AB3156" s="7" t="n"/>
      <c r="AE3156" s="11" t="n"/>
      <c r="AG3156">
        <f>IF($C3156="","",IF(COUNTIF($C$2:$C3156,$C3156)=1,1,0))</f>
        <v/>
      </c>
      <c r="AH3156">
        <f>IF($AG3156=1,SUMPRODUCT(--($AK$2:$AK$6001&lt;$AK3156))+1,"")</f>
        <v/>
      </c>
      <c r="AI3156">
        <f>IF($C3156="","",IF(OR($N3156=TRUE(),$N3156="TRUE"),1,0))</f>
        <v/>
      </c>
      <c r="AJ3156">
        <f>IF($C3156="","",IF($T3156="Yes",1,0))</f>
        <v/>
      </c>
      <c r="AK3156">
        <f>IF($AG3156=1,IFERROR(IF(VALUE($C3156)&lt;100000000,VALUE($C3156),1000000000),IFERROR(IF(VALUE(MID($C3156,2,20))&lt;100000000,VALUE(MID($C3156,2,20)),1000000000),1000000000))+ROW()/100000,"")</f>
        <v/>
      </c>
    </row>
    <row r="3157">
      <c r="D3157" s="11" t="n"/>
      <c r="K3157" s="7">
        <f>IF($C3157="","",J3157*W3157/100)</f>
        <v/>
      </c>
      <c r="Q3157" s="7" t="n"/>
      <c r="R3157" s="7" t="n"/>
      <c r="U3157">
        <f>IF($C3157="","",IF($AJ3157=1,0,IF($AI3157=1,Settings!$C$6,Settings!$C$7))*100)</f>
        <v/>
      </c>
      <c r="V3157" s="7">
        <f>IF($C3157="","",R3157*U3157/100)</f>
        <v/>
      </c>
      <c r="W3157" s="7">
        <f>IF($C3157="","",R3157-V3157)</f>
        <v/>
      </c>
      <c r="X3157" s="7">
        <f>IF($C3157="","",W3157-K3157)</f>
        <v/>
      </c>
      <c r="AB3157" s="7" t="n"/>
      <c r="AE3157" s="11" t="n"/>
      <c r="AG3157">
        <f>IF($C3157="","",IF(COUNTIF($C$2:$C3157,$C3157)=1,1,0))</f>
        <v/>
      </c>
      <c r="AH3157">
        <f>IF($AG3157=1,SUMPRODUCT(--($AK$2:$AK$6001&lt;$AK3157))+1,"")</f>
        <v/>
      </c>
      <c r="AI3157">
        <f>IF($C3157="","",IF(OR($N3157=TRUE(),$N3157="TRUE"),1,0))</f>
        <v/>
      </c>
      <c r="AJ3157">
        <f>IF($C3157="","",IF($T3157="Yes",1,0))</f>
        <v/>
      </c>
      <c r="AK3157">
        <f>IF($AG3157=1,IFERROR(IF(VALUE($C3157)&lt;100000000,VALUE($C3157),1000000000),IFERROR(IF(VALUE(MID($C3157,2,20))&lt;100000000,VALUE(MID($C3157,2,20)),1000000000),1000000000))+ROW()/100000,"")</f>
        <v/>
      </c>
    </row>
    <row r="3158">
      <c r="D3158" s="11" t="n"/>
      <c r="K3158" s="7">
        <f>IF($C3158="","",J3158*W3158/100)</f>
        <v/>
      </c>
      <c r="Q3158" s="7" t="n"/>
      <c r="R3158" s="7" t="n"/>
      <c r="U3158">
        <f>IF($C3158="","",IF($AJ3158=1,0,IF($AI3158=1,Settings!$C$6,Settings!$C$7))*100)</f>
        <v/>
      </c>
      <c r="V3158" s="7">
        <f>IF($C3158="","",R3158*U3158/100)</f>
        <v/>
      </c>
      <c r="W3158" s="7">
        <f>IF($C3158="","",R3158-V3158)</f>
        <v/>
      </c>
      <c r="X3158" s="7">
        <f>IF($C3158="","",W3158-K3158)</f>
        <v/>
      </c>
      <c r="AB3158" s="7" t="n"/>
      <c r="AE3158" s="11" t="n"/>
      <c r="AG3158">
        <f>IF($C3158="","",IF(COUNTIF($C$2:$C3158,$C3158)=1,1,0))</f>
        <v/>
      </c>
      <c r="AH3158">
        <f>IF($AG3158=1,SUMPRODUCT(--($AK$2:$AK$6001&lt;$AK3158))+1,"")</f>
        <v/>
      </c>
      <c r="AI3158">
        <f>IF($C3158="","",IF(OR($N3158=TRUE(),$N3158="TRUE"),1,0))</f>
        <v/>
      </c>
      <c r="AJ3158">
        <f>IF($C3158="","",IF($T3158="Yes",1,0))</f>
        <v/>
      </c>
      <c r="AK3158">
        <f>IF($AG3158=1,IFERROR(IF(VALUE($C3158)&lt;100000000,VALUE($C3158),1000000000),IFERROR(IF(VALUE(MID($C3158,2,20))&lt;100000000,VALUE(MID($C3158,2,20)),1000000000),1000000000))+ROW()/100000,"")</f>
        <v/>
      </c>
    </row>
    <row r="3159">
      <c r="D3159" s="11" t="n"/>
      <c r="K3159" s="7">
        <f>IF($C3159="","",J3159*W3159/100)</f>
        <v/>
      </c>
      <c r="Q3159" s="7" t="n"/>
      <c r="R3159" s="7" t="n"/>
      <c r="U3159">
        <f>IF($C3159="","",IF($AJ3159=1,0,IF($AI3159=1,Settings!$C$6,Settings!$C$7))*100)</f>
        <v/>
      </c>
      <c r="V3159" s="7">
        <f>IF($C3159="","",R3159*U3159/100)</f>
        <v/>
      </c>
      <c r="W3159" s="7">
        <f>IF($C3159="","",R3159-V3159)</f>
        <v/>
      </c>
      <c r="X3159" s="7">
        <f>IF($C3159="","",W3159-K3159)</f>
        <v/>
      </c>
      <c r="AB3159" s="7" t="n"/>
      <c r="AE3159" s="11" t="n"/>
      <c r="AG3159">
        <f>IF($C3159="","",IF(COUNTIF($C$2:$C3159,$C3159)=1,1,0))</f>
        <v/>
      </c>
      <c r="AH3159">
        <f>IF($AG3159=1,SUMPRODUCT(--($AK$2:$AK$6001&lt;$AK3159))+1,"")</f>
        <v/>
      </c>
      <c r="AI3159">
        <f>IF($C3159="","",IF(OR($N3159=TRUE(),$N3159="TRUE"),1,0))</f>
        <v/>
      </c>
      <c r="AJ3159">
        <f>IF($C3159="","",IF($T3159="Yes",1,0))</f>
        <v/>
      </c>
      <c r="AK3159">
        <f>IF($AG3159=1,IFERROR(IF(VALUE($C3159)&lt;100000000,VALUE($C3159),1000000000),IFERROR(IF(VALUE(MID($C3159,2,20))&lt;100000000,VALUE(MID($C3159,2,20)),1000000000),1000000000))+ROW()/100000,"")</f>
        <v/>
      </c>
    </row>
    <row r="3160">
      <c r="D3160" s="11" t="n"/>
      <c r="K3160" s="7">
        <f>IF($C3160="","",J3160*W3160/100)</f>
        <v/>
      </c>
      <c r="Q3160" s="7" t="n"/>
      <c r="R3160" s="7" t="n"/>
      <c r="U3160">
        <f>IF($C3160="","",IF($AJ3160=1,0,IF($AI3160=1,Settings!$C$6,Settings!$C$7))*100)</f>
        <v/>
      </c>
      <c r="V3160" s="7">
        <f>IF($C3160="","",R3160*U3160/100)</f>
        <v/>
      </c>
      <c r="W3160" s="7">
        <f>IF($C3160="","",R3160-V3160)</f>
        <v/>
      </c>
      <c r="X3160" s="7">
        <f>IF($C3160="","",W3160-K3160)</f>
        <v/>
      </c>
      <c r="AB3160" s="7" t="n"/>
      <c r="AE3160" s="11" t="n"/>
      <c r="AG3160">
        <f>IF($C3160="","",IF(COUNTIF($C$2:$C3160,$C3160)=1,1,0))</f>
        <v/>
      </c>
      <c r="AH3160">
        <f>IF($AG3160=1,SUMPRODUCT(--($AK$2:$AK$6001&lt;$AK3160))+1,"")</f>
        <v/>
      </c>
      <c r="AI3160">
        <f>IF($C3160="","",IF(OR($N3160=TRUE(),$N3160="TRUE"),1,0))</f>
        <v/>
      </c>
      <c r="AJ3160">
        <f>IF($C3160="","",IF($T3160="Yes",1,0))</f>
        <v/>
      </c>
      <c r="AK3160">
        <f>IF($AG3160=1,IFERROR(IF(VALUE($C3160)&lt;100000000,VALUE($C3160),1000000000),IFERROR(IF(VALUE(MID($C3160,2,20))&lt;100000000,VALUE(MID($C3160,2,20)),1000000000),1000000000))+ROW()/100000,"")</f>
        <v/>
      </c>
    </row>
    <row r="3161">
      <c r="D3161" s="11" t="n"/>
      <c r="K3161" s="7">
        <f>IF($C3161="","",J3161*W3161/100)</f>
        <v/>
      </c>
      <c r="Q3161" s="7" t="n"/>
      <c r="R3161" s="7" t="n"/>
      <c r="U3161">
        <f>IF($C3161="","",IF($AJ3161=1,0,IF($AI3161=1,Settings!$C$6,Settings!$C$7))*100)</f>
        <v/>
      </c>
      <c r="V3161" s="7">
        <f>IF($C3161="","",R3161*U3161/100)</f>
        <v/>
      </c>
      <c r="W3161" s="7">
        <f>IF($C3161="","",R3161-V3161)</f>
        <v/>
      </c>
      <c r="X3161" s="7">
        <f>IF($C3161="","",W3161-K3161)</f>
        <v/>
      </c>
      <c r="AB3161" s="7" t="n"/>
      <c r="AE3161" s="11" t="n"/>
      <c r="AG3161">
        <f>IF($C3161="","",IF(COUNTIF($C$2:$C3161,$C3161)=1,1,0))</f>
        <v/>
      </c>
      <c r="AH3161">
        <f>IF($AG3161=1,SUMPRODUCT(--($AK$2:$AK$6001&lt;$AK3161))+1,"")</f>
        <v/>
      </c>
      <c r="AI3161">
        <f>IF($C3161="","",IF(OR($N3161=TRUE(),$N3161="TRUE"),1,0))</f>
        <v/>
      </c>
      <c r="AJ3161">
        <f>IF($C3161="","",IF($T3161="Yes",1,0))</f>
        <v/>
      </c>
      <c r="AK3161">
        <f>IF($AG3161=1,IFERROR(IF(VALUE($C3161)&lt;100000000,VALUE($C3161),1000000000),IFERROR(IF(VALUE(MID($C3161,2,20))&lt;100000000,VALUE(MID($C3161,2,20)),1000000000),1000000000))+ROW()/100000,"")</f>
        <v/>
      </c>
    </row>
    <row r="3162">
      <c r="D3162" s="11" t="n"/>
      <c r="K3162" s="7">
        <f>IF($C3162="","",J3162*W3162/100)</f>
        <v/>
      </c>
      <c r="Q3162" s="7" t="n"/>
      <c r="R3162" s="7" t="n"/>
      <c r="U3162">
        <f>IF($C3162="","",IF($AJ3162=1,0,IF($AI3162=1,Settings!$C$6,Settings!$C$7))*100)</f>
        <v/>
      </c>
      <c r="V3162" s="7">
        <f>IF($C3162="","",R3162*U3162/100)</f>
        <v/>
      </c>
      <c r="W3162" s="7">
        <f>IF($C3162="","",R3162-V3162)</f>
        <v/>
      </c>
      <c r="X3162" s="7">
        <f>IF($C3162="","",W3162-K3162)</f>
        <v/>
      </c>
      <c r="AB3162" s="7" t="n"/>
      <c r="AE3162" s="11" t="n"/>
      <c r="AG3162">
        <f>IF($C3162="","",IF(COUNTIF($C$2:$C3162,$C3162)=1,1,0))</f>
        <v/>
      </c>
      <c r="AH3162">
        <f>IF($AG3162=1,SUMPRODUCT(--($AK$2:$AK$6001&lt;$AK3162))+1,"")</f>
        <v/>
      </c>
      <c r="AI3162">
        <f>IF($C3162="","",IF(OR($N3162=TRUE(),$N3162="TRUE"),1,0))</f>
        <v/>
      </c>
      <c r="AJ3162">
        <f>IF($C3162="","",IF($T3162="Yes",1,0))</f>
        <v/>
      </c>
      <c r="AK3162">
        <f>IF($AG3162=1,IFERROR(IF(VALUE($C3162)&lt;100000000,VALUE($C3162),1000000000),IFERROR(IF(VALUE(MID($C3162,2,20))&lt;100000000,VALUE(MID($C3162,2,20)),1000000000),1000000000))+ROW()/100000,"")</f>
        <v/>
      </c>
    </row>
    <row r="3163">
      <c r="D3163" s="11" t="n"/>
      <c r="K3163" s="7">
        <f>IF($C3163="","",J3163*W3163/100)</f>
        <v/>
      </c>
      <c r="Q3163" s="7" t="n"/>
      <c r="R3163" s="7" t="n"/>
      <c r="U3163">
        <f>IF($C3163="","",IF($AJ3163=1,0,IF($AI3163=1,Settings!$C$6,Settings!$C$7))*100)</f>
        <v/>
      </c>
      <c r="V3163" s="7">
        <f>IF($C3163="","",R3163*U3163/100)</f>
        <v/>
      </c>
      <c r="W3163" s="7">
        <f>IF($C3163="","",R3163-V3163)</f>
        <v/>
      </c>
      <c r="X3163" s="7">
        <f>IF($C3163="","",W3163-K3163)</f>
        <v/>
      </c>
      <c r="AB3163" s="7" t="n"/>
      <c r="AE3163" s="11" t="n"/>
      <c r="AG3163">
        <f>IF($C3163="","",IF(COUNTIF($C$2:$C3163,$C3163)=1,1,0))</f>
        <v/>
      </c>
      <c r="AH3163">
        <f>IF($AG3163=1,SUMPRODUCT(--($AK$2:$AK$6001&lt;$AK3163))+1,"")</f>
        <v/>
      </c>
      <c r="AI3163">
        <f>IF($C3163="","",IF(OR($N3163=TRUE(),$N3163="TRUE"),1,0))</f>
        <v/>
      </c>
      <c r="AJ3163">
        <f>IF($C3163="","",IF($T3163="Yes",1,0))</f>
        <v/>
      </c>
      <c r="AK3163">
        <f>IF($AG3163=1,IFERROR(IF(VALUE($C3163)&lt;100000000,VALUE($C3163),1000000000),IFERROR(IF(VALUE(MID($C3163,2,20))&lt;100000000,VALUE(MID($C3163,2,20)),1000000000),1000000000))+ROW()/100000,"")</f>
        <v/>
      </c>
    </row>
    <row r="3164">
      <c r="D3164" s="11" t="n"/>
      <c r="K3164" s="7">
        <f>IF($C3164="","",J3164*W3164/100)</f>
        <v/>
      </c>
      <c r="Q3164" s="7" t="n"/>
      <c r="R3164" s="7" t="n"/>
      <c r="U3164">
        <f>IF($C3164="","",IF($AJ3164=1,0,IF($AI3164=1,Settings!$C$6,Settings!$C$7))*100)</f>
        <v/>
      </c>
      <c r="V3164" s="7">
        <f>IF($C3164="","",R3164*U3164/100)</f>
        <v/>
      </c>
      <c r="W3164" s="7">
        <f>IF($C3164="","",R3164-V3164)</f>
        <v/>
      </c>
      <c r="X3164" s="7">
        <f>IF($C3164="","",W3164-K3164)</f>
        <v/>
      </c>
      <c r="AB3164" s="7" t="n"/>
      <c r="AE3164" s="11" t="n"/>
      <c r="AG3164">
        <f>IF($C3164="","",IF(COUNTIF($C$2:$C3164,$C3164)=1,1,0))</f>
        <v/>
      </c>
      <c r="AH3164">
        <f>IF($AG3164=1,SUMPRODUCT(--($AK$2:$AK$6001&lt;$AK3164))+1,"")</f>
        <v/>
      </c>
      <c r="AI3164">
        <f>IF($C3164="","",IF(OR($N3164=TRUE(),$N3164="TRUE"),1,0))</f>
        <v/>
      </c>
      <c r="AJ3164">
        <f>IF($C3164="","",IF($T3164="Yes",1,0))</f>
        <v/>
      </c>
      <c r="AK3164">
        <f>IF($AG3164=1,IFERROR(IF(VALUE($C3164)&lt;100000000,VALUE($C3164),1000000000),IFERROR(IF(VALUE(MID($C3164,2,20))&lt;100000000,VALUE(MID($C3164,2,20)),1000000000),1000000000))+ROW()/100000,"")</f>
        <v/>
      </c>
    </row>
    <row r="3165">
      <c r="D3165" s="11" t="n"/>
      <c r="K3165" s="7">
        <f>IF($C3165="","",J3165*W3165/100)</f>
        <v/>
      </c>
      <c r="Q3165" s="7" t="n"/>
      <c r="R3165" s="7" t="n"/>
      <c r="U3165">
        <f>IF($C3165="","",IF($AJ3165=1,0,IF($AI3165=1,Settings!$C$6,Settings!$C$7))*100)</f>
        <v/>
      </c>
      <c r="V3165" s="7">
        <f>IF($C3165="","",R3165*U3165/100)</f>
        <v/>
      </c>
      <c r="W3165" s="7">
        <f>IF($C3165="","",R3165-V3165)</f>
        <v/>
      </c>
      <c r="X3165" s="7">
        <f>IF($C3165="","",W3165-K3165)</f>
        <v/>
      </c>
      <c r="AB3165" s="7" t="n"/>
      <c r="AE3165" s="11" t="n"/>
      <c r="AG3165">
        <f>IF($C3165="","",IF(COUNTIF($C$2:$C3165,$C3165)=1,1,0))</f>
        <v/>
      </c>
      <c r="AH3165">
        <f>IF($AG3165=1,SUMPRODUCT(--($AK$2:$AK$6001&lt;$AK3165))+1,"")</f>
        <v/>
      </c>
      <c r="AI3165">
        <f>IF($C3165="","",IF(OR($N3165=TRUE(),$N3165="TRUE"),1,0))</f>
        <v/>
      </c>
      <c r="AJ3165">
        <f>IF($C3165="","",IF($T3165="Yes",1,0))</f>
        <v/>
      </c>
      <c r="AK3165">
        <f>IF($AG3165=1,IFERROR(IF(VALUE($C3165)&lt;100000000,VALUE($C3165),1000000000),IFERROR(IF(VALUE(MID($C3165,2,20))&lt;100000000,VALUE(MID($C3165,2,20)),1000000000),1000000000))+ROW()/100000,"")</f>
        <v/>
      </c>
    </row>
    <row r="3166">
      <c r="D3166" s="11" t="n"/>
      <c r="K3166" s="7">
        <f>IF($C3166="","",J3166*W3166/100)</f>
        <v/>
      </c>
      <c r="Q3166" s="7" t="n"/>
      <c r="R3166" s="7" t="n"/>
      <c r="U3166">
        <f>IF($C3166="","",IF($AJ3166=1,0,IF($AI3166=1,Settings!$C$6,Settings!$C$7))*100)</f>
        <v/>
      </c>
      <c r="V3166" s="7">
        <f>IF($C3166="","",R3166*U3166/100)</f>
        <v/>
      </c>
      <c r="W3166" s="7">
        <f>IF($C3166="","",R3166-V3166)</f>
        <v/>
      </c>
      <c r="X3166" s="7">
        <f>IF($C3166="","",W3166-K3166)</f>
        <v/>
      </c>
      <c r="AB3166" s="7" t="n"/>
      <c r="AE3166" s="11" t="n"/>
      <c r="AG3166">
        <f>IF($C3166="","",IF(COUNTIF($C$2:$C3166,$C3166)=1,1,0))</f>
        <v/>
      </c>
      <c r="AH3166">
        <f>IF($AG3166=1,SUMPRODUCT(--($AK$2:$AK$6001&lt;$AK3166))+1,"")</f>
        <v/>
      </c>
      <c r="AI3166">
        <f>IF($C3166="","",IF(OR($N3166=TRUE(),$N3166="TRUE"),1,0))</f>
        <v/>
      </c>
      <c r="AJ3166">
        <f>IF($C3166="","",IF($T3166="Yes",1,0))</f>
        <v/>
      </c>
      <c r="AK3166">
        <f>IF($AG3166=1,IFERROR(IF(VALUE($C3166)&lt;100000000,VALUE($C3166),1000000000),IFERROR(IF(VALUE(MID($C3166,2,20))&lt;100000000,VALUE(MID($C3166,2,20)),1000000000),1000000000))+ROW()/100000,"")</f>
        <v/>
      </c>
    </row>
    <row r="3167">
      <c r="D3167" s="11" t="n"/>
      <c r="K3167" s="7">
        <f>IF($C3167="","",J3167*W3167/100)</f>
        <v/>
      </c>
      <c r="Q3167" s="7" t="n"/>
      <c r="R3167" s="7" t="n"/>
      <c r="U3167">
        <f>IF($C3167="","",IF($AJ3167=1,0,IF($AI3167=1,Settings!$C$6,Settings!$C$7))*100)</f>
        <v/>
      </c>
      <c r="V3167" s="7">
        <f>IF($C3167="","",R3167*U3167/100)</f>
        <v/>
      </c>
      <c r="W3167" s="7">
        <f>IF($C3167="","",R3167-V3167)</f>
        <v/>
      </c>
      <c r="X3167" s="7">
        <f>IF($C3167="","",W3167-K3167)</f>
        <v/>
      </c>
      <c r="AB3167" s="7" t="n"/>
      <c r="AE3167" s="11" t="n"/>
      <c r="AG3167">
        <f>IF($C3167="","",IF(COUNTIF($C$2:$C3167,$C3167)=1,1,0))</f>
        <v/>
      </c>
      <c r="AH3167">
        <f>IF($AG3167=1,SUMPRODUCT(--($AK$2:$AK$6001&lt;$AK3167))+1,"")</f>
        <v/>
      </c>
      <c r="AI3167">
        <f>IF($C3167="","",IF(OR($N3167=TRUE(),$N3167="TRUE"),1,0))</f>
        <v/>
      </c>
      <c r="AJ3167">
        <f>IF($C3167="","",IF($T3167="Yes",1,0))</f>
        <v/>
      </c>
      <c r="AK3167">
        <f>IF($AG3167=1,IFERROR(IF(VALUE($C3167)&lt;100000000,VALUE($C3167),1000000000),IFERROR(IF(VALUE(MID($C3167,2,20))&lt;100000000,VALUE(MID($C3167,2,20)),1000000000),1000000000))+ROW()/100000,"")</f>
        <v/>
      </c>
    </row>
    <row r="3168">
      <c r="D3168" s="11" t="n"/>
      <c r="K3168" s="7">
        <f>IF($C3168="","",J3168*W3168/100)</f>
        <v/>
      </c>
      <c r="Q3168" s="7" t="n"/>
      <c r="R3168" s="7" t="n"/>
      <c r="U3168">
        <f>IF($C3168="","",IF($AJ3168=1,0,IF($AI3168=1,Settings!$C$6,Settings!$C$7))*100)</f>
        <v/>
      </c>
      <c r="V3168" s="7">
        <f>IF($C3168="","",R3168*U3168/100)</f>
        <v/>
      </c>
      <c r="W3168" s="7">
        <f>IF($C3168="","",R3168-V3168)</f>
        <v/>
      </c>
      <c r="X3168" s="7">
        <f>IF($C3168="","",W3168-K3168)</f>
        <v/>
      </c>
      <c r="AB3168" s="7" t="n"/>
      <c r="AE3168" s="11" t="n"/>
      <c r="AG3168">
        <f>IF($C3168="","",IF(COUNTIF($C$2:$C3168,$C3168)=1,1,0))</f>
        <v/>
      </c>
      <c r="AH3168">
        <f>IF($AG3168=1,SUMPRODUCT(--($AK$2:$AK$6001&lt;$AK3168))+1,"")</f>
        <v/>
      </c>
      <c r="AI3168">
        <f>IF($C3168="","",IF(OR($N3168=TRUE(),$N3168="TRUE"),1,0))</f>
        <v/>
      </c>
      <c r="AJ3168">
        <f>IF($C3168="","",IF($T3168="Yes",1,0))</f>
        <v/>
      </c>
      <c r="AK3168">
        <f>IF($AG3168=1,IFERROR(IF(VALUE($C3168)&lt;100000000,VALUE($C3168),1000000000),IFERROR(IF(VALUE(MID($C3168,2,20))&lt;100000000,VALUE(MID($C3168,2,20)),1000000000),1000000000))+ROW()/100000,"")</f>
        <v/>
      </c>
    </row>
    <row r="3169">
      <c r="D3169" s="11" t="n"/>
      <c r="K3169" s="7">
        <f>IF($C3169="","",J3169*W3169/100)</f>
        <v/>
      </c>
      <c r="Q3169" s="7" t="n"/>
      <c r="R3169" s="7" t="n"/>
      <c r="U3169">
        <f>IF($C3169="","",IF($AJ3169=1,0,IF($AI3169=1,Settings!$C$6,Settings!$C$7))*100)</f>
        <v/>
      </c>
      <c r="V3169" s="7">
        <f>IF($C3169="","",R3169*U3169/100)</f>
        <v/>
      </c>
      <c r="W3169" s="7">
        <f>IF($C3169="","",R3169-V3169)</f>
        <v/>
      </c>
      <c r="X3169" s="7">
        <f>IF($C3169="","",W3169-K3169)</f>
        <v/>
      </c>
      <c r="AB3169" s="7" t="n"/>
      <c r="AE3169" s="11" t="n"/>
      <c r="AG3169">
        <f>IF($C3169="","",IF(COUNTIF($C$2:$C3169,$C3169)=1,1,0))</f>
        <v/>
      </c>
      <c r="AH3169">
        <f>IF($AG3169=1,SUMPRODUCT(--($AK$2:$AK$6001&lt;$AK3169))+1,"")</f>
        <v/>
      </c>
      <c r="AI3169">
        <f>IF($C3169="","",IF(OR($N3169=TRUE(),$N3169="TRUE"),1,0))</f>
        <v/>
      </c>
      <c r="AJ3169">
        <f>IF($C3169="","",IF($T3169="Yes",1,0))</f>
        <v/>
      </c>
      <c r="AK3169">
        <f>IF($AG3169=1,IFERROR(IF(VALUE($C3169)&lt;100000000,VALUE($C3169),1000000000),IFERROR(IF(VALUE(MID($C3169,2,20))&lt;100000000,VALUE(MID($C3169,2,20)),1000000000),1000000000))+ROW()/100000,"")</f>
        <v/>
      </c>
    </row>
    <row r="3170">
      <c r="D3170" s="11" t="n"/>
      <c r="K3170" s="7">
        <f>IF($C3170="","",J3170*W3170/100)</f>
        <v/>
      </c>
      <c r="Q3170" s="7" t="n"/>
      <c r="R3170" s="7" t="n"/>
      <c r="U3170">
        <f>IF($C3170="","",IF($AJ3170=1,0,IF($AI3170=1,Settings!$C$6,Settings!$C$7))*100)</f>
        <v/>
      </c>
      <c r="V3170" s="7">
        <f>IF($C3170="","",R3170*U3170/100)</f>
        <v/>
      </c>
      <c r="W3170" s="7">
        <f>IF($C3170="","",R3170-V3170)</f>
        <v/>
      </c>
      <c r="X3170" s="7">
        <f>IF($C3170="","",W3170-K3170)</f>
        <v/>
      </c>
      <c r="AB3170" s="7" t="n"/>
      <c r="AE3170" s="11" t="n"/>
      <c r="AG3170">
        <f>IF($C3170="","",IF(COUNTIF($C$2:$C3170,$C3170)=1,1,0))</f>
        <v/>
      </c>
      <c r="AH3170">
        <f>IF($AG3170=1,SUMPRODUCT(--($AK$2:$AK$6001&lt;$AK3170))+1,"")</f>
        <v/>
      </c>
      <c r="AI3170">
        <f>IF($C3170="","",IF(OR($N3170=TRUE(),$N3170="TRUE"),1,0))</f>
        <v/>
      </c>
      <c r="AJ3170">
        <f>IF($C3170="","",IF($T3170="Yes",1,0))</f>
        <v/>
      </c>
      <c r="AK3170">
        <f>IF($AG3170=1,IFERROR(IF(VALUE($C3170)&lt;100000000,VALUE($C3170),1000000000),IFERROR(IF(VALUE(MID($C3170,2,20))&lt;100000000,VALUE(MID($C3170,2,20)),1000000000),1000000000))+ROW()/100000,"")</f>
        <v/>
      </c>
    </row>
    <row r="3171">
      <c r="D3171" s="11" t="n"/>
      <c r="K3171" s="7">
        <f>IF($C3171="","",J3171*W3171/100)</f>
        <v/>
      </c>
      <c r="Q3171" s="7" t="n"/>
      <c r="R3171" s="7" t="n"/>
      <c r="U3171">
        <f>IF($C3171="","",IF($AJ3171=1,0,IF($AI3171=1,Settings!$C$6,Settings!$C$7))*100)</f>
        <v/>
      </c>
      <c r="V3171" s="7">
        <f>IF($C3171="","",R3171*U3171/100)</f>
        <v/>
      </c>
      <c r="W3171" s="7">
        <f>IF($C3171="","",R3171-V3171)</f>
        <v/>
      </c>
      <c r="X3171" s="7">
        <f>IF($C3171="","",W3171-K3171)</f>
        <v/>
      </c>
      <c r="AB3171" s="7" t="n"/>
      <c r="AE3171" s="11" t="n"/>
      <c r="AG3171">
        <f>IF($C3171="","",IF(COUNTIF($C$2:$C3171,$C3171)=1,1,0))</f>
        <v/>
      </c>
      <c r="AH3171">
        <f>IF($AG3171=1,SUMPRODUCT(--($AK$2:$AK$6001&lt;$AK3171))+1,"")</f>
        <v/>
      </c>
      <c r="AI3171">
        <f>IF($C3171="","",IF(OR($N3171=TRUE(),$N3171="TRUE"),1,0))</f>
        <v/>
      </c>
      <c r="AJ3171">
        <f>IF($C3171="","",IF($T3171="Yes",1,0))</f>
        <v/>
      </c>
      <c r="AK3171">
        <f>IF($AG3171=1,IFERROR(IF(VALUE($C3171)&lt;100000000,VALUE($C3171),1000000000),IFERROR(IF(VALUE(MID($C3171,2,20))&lt;100000000,VALUE(MID($C3171,2,20)),1000000000),1000000000))+ROW()/100000,"")</f>
        <v/>
      </c>
    </row>
    <row r="3172">
      <c r="D3172" s="11" t="n"/>
      <c r="K3172" s="7">
        <f>IF($C3172="","",J3172*W3172/100)</f>
        <v/>
      </c>
      <c r="Q3172" s="7" t="n"/>
      <c r="R3172" s="7" t="n"/>
      <c r="U3172">
        <f>IF($C3172="","",IF($AJ3172=1,0,IF($AI3172=1,Settings!$C$6,Settings!$C$7))*100)</f>
        <v/>
      </c>
      <c r="V3172" s="7">
        <f>IF($C3172="","",R3172*U3172/100)</f>
        <v/>
      </c>
      <c r="W3172" s="7">
        <f>IF($C3172="","",R3172-V3172)</f>
        <v/>
      </c>
      <c r="X3172" s="7">
        <f>IF($C3172="","",W3172-K3172)</f>
        <v/>
      </c>
      <c r="AB3172" s="7" t="n"/>
      <c r="AE3172" s="11" t="n"/>
      <c r="AG3172">
        <f>IF($C3172="","",IF(COUNTIF($C$2:$C3172,$C3172)=1,1,0))</f>
        <v/>
      </c>
      <c r="AH3172">
        <f>IF($AG3172=1,SUMPRODUCT(--($AK$2:$AK$6001&lt;$AK3172))+1,"")</f>
        <v/>
      </c>
      <c r="AI3172">
        <f>IF($C3172="","",IF(OR($N3172=TRUE(),$N3172="TRUE"),1,0))</f>
        <v/>
      </c>
      <c r="AJ3172">
        <f>IF($C3172="","",IF($T3172="Yes",1,0))</f>
        <v/>
      </c>
      <c r="AK3172">
        <f>IF($AG3172=1,IFERROR(IF(VALUE($C3172)&lt;100000000,VALUE($C3172),1000000000),IFERROR(IF(VALUE(MID($C3172,2,20))&lt;100000000,VALUE(MID($C3172,2,20)),1000000000),1000000000))+ROW()/100000,"")</f>
        <v/>
      </c>
    </row>
    <row r="3173">
      <c r="D3173" s="11" t="n"/>
      <c r="K3173" s="7">
        <f>IF($C3173="","",J3173*W3173/100)</f>
        <v/>
      </c>
      <c r="Q3173" s="7" t="n"/>
      <c r="R3173" s="7" t="n"/>
      <c r="U3173">
        <f>IF($C3173="","",IF($AJ3173=1,0,IF($AI3173=1,Settings!$C$6,Settings!$C$7))*100)</f>
        <v/>
      </c>
      <c r="V3173" s="7">
        <f>IF($C3173="","",R3173*U3173/100)</f>
        <v/>
      </c>
      <c r="W3173" s="7">
        <f>IF($C3173="","",R3173-V3173)</f>
        <v/>
      </c>
      <c r="X3173" s="7">
        <f>IF($C3173="","",W3173-K3173)</f>
        <v/>
      </c>
      <c r="AB3173" s="7" t="n"/>
      <c r="AE3173" s="11" t="n"/>
      <c r="AG3173">
        <f>IF($C3173="","",IF(COUNTIF($C$2:$C3173,$C3173)=1,1,0))</f>
        <v/>
      </c>
      <c r="AH3173">
        <f>IF($AG3173=1,SUMPRODUCT(--($AK$2:$AK$6001&lt;$AK3173))+1,"")</f>
        <v/>
      </c>
      <c r="AI3173">
        <f>IF($C3173="","",IF(OR($N3173=TRUE(),$N3173="TRUE"),1,0))</f>
        <v/>
      </c>
      <c r="AJ3173">
        <f>IF($C3173="","",IF($T3173="Yes",1,0))</f>
        <v/>
      </c>
      <c r="AK3173">
        <f>IF($AG3173=1,IFERROR(IF(VALUE($C3173)&lt;100000000,VALUE($C3173),1000000000),IFERROR(IF(VALUE(MID($C3173,2,20))&lt;100000000,VALUE(MID($C3173,2,20)),1000000000),1000000000))+ROW()/100000,"")</f>
        <v/>
      </c>
    </row>
    <row r="3174">
      <c r="D3174" s="11" t="n"/>
      <c r="K3174" s="7">
        <f>IF($C3174="","",J3174*W3174/100)</f>
        <v/>
      </c>
      <c r="Q3174" s="7" t="n"/>
      <c r="R3174" s="7" t="n"/>
      <c r="U3174">
        <f>IF($C3174="","",IF($AJ3174=1,0,IF($AI3174=1,Settings!$C$6,Settings!$C$7))*100)</f>
        <v/>
      </c>
      <c r="V3174" s="7">
        <f>IF($C3174="","",R3174*U3174/100)</f>
        <v/>
      </c>
      <c r="W3174" s="7">
        <f>IF($C3174="","",R3174-V3174)</f>
        <v/>
      </c>
      <c r="X3174" s="7">
        <f>IF($C3174="","",W3174-K3174)</f>
        <v/>
      </c>
      <c r="AB3174" s="7" t="n"/>
      <c r="AE3174" s="11" t="n"/>
      <c r="AG3174">
        <f>IF($C3174="","",IF(COUNTIF($C$2:$C3174,$C3174)=1,1,0))</f>
        <v/>
      </c>
      <c r="AH3174">
        <f>IF($AG3174=1,SUMPRODUCT(--($AK$2:$AK$6001&lt;$AK3174))+1,"")</f>
        <v/>
      </c>
      <c r="AI3174">
        <f>IF($C3174="","",IF(OR($N3174=TRUE(),$N3174="TRUE"),1,0))</f>
        <v/>
      </c>
      <c r="AJ3174">
        <f>IF($C3174="","",IF($T3174="Yes",1,0))</f>
        <v/>
      </c>
      <c r="AK3174">
        <f>IF($AG3174=1,IFERROR(IF(VALUE($C3174)&lt;100000000,VALUE($C3174),1000000000),IFERROR(IF(VALUE(MID($C3174,2,20))&lt;100000000,VALUE(MID($C3174,2,20)),1000000000),1000000000))+ROW()/100000,"")</f>
        <v/>
      </c>
    </row>
    <row r="3175">
      <c r="D3175" s="11" t="n"/>
      <c r="K3175" s="7">
        <f>IF($C3175="","",J3175*W3175/100)</f>
        <v/>
      </c>
      <c r="Q3175" s="7" t="n"/>
      <c r="R3175" s="7" t="n"/>
      <c r="U3175">
        <f>IF($C3175="","",IF($AJ3175=1,0,IF($AI3175=1,Settings!$C$6,Settings!$C$7))*100)</f>
        <v/>
      </c>
      <c r="V3175" s="7">
        <f>IF($C3175="","",R3175*U3175/100)</f>
        <v/>
      </c>
      <c r="W3175" s="7">
        <f>IF($C3175="","",R3175-V3175)</f>
        <v/>
      </c>
      <c r="X3175" s="7">
        <f>IF($C3175="","",W3175-K3175)</f>
        <v/>
      </c>
      <c r="AB3175" s="7" t="n"/>
      <c r="AE3175" s="11" t="n"/>
      <c r="AG3175">
        <f>IF($C3175="","",IF(COUNTIF($C$2:$C3175,$C3175)=1,1,0))</f>
        <v/>
      </c>
      <c r="AH3175">
        <f>IF($AG3175=1,SUMPRODUCT(--($AK$2:$AK$6001&lt;$AK3175))+1,"")</f>
        <v/>
      </c>
      <c r="AI3175">
        <f>IF($C3175="","",IF(OR($N3175=TRUE(),$N3175="TRUE"),1,0))</f>
        <v/>
      </c>
      <c r="AJ3175">
        <f>IF($C3175="","",IF($T3175="Yes",1,0))</f>
        <v/>
      </c>
      <c r="AK3175">
        <f>IF($AG3175=1,IFERROR(IF(VALUE($C3175)&lt;100000000,VALUE($C3175),1000000000),IFERROR(IF(VALUE(MID($C3175,2,20))&lt;100000000,VALUE(MID($C3175,2,20)),1000000000),1000000000))+ROW()/100000,"")</f>
        <v/>
      </c>
    </row>
    <row r="3176">
      <c r="D3176" s="11" t="n"/>
      <c r="K3176" s="7">
        <f>IF($C3176="","",J3176*W3176/100)</f>
        <v/>
      </c>
      <c r="Q3176" s="7" t="n"/>
      <c r="R3176" s="7" t="n"/>
      <c r="U3176">
        <f>IF($C3176="","",IF($AJ3176=1,0,IF($AI3176=1,Settings!$C$6,Settings!$C$7))*100)</f>
        <v/>
      </c>
      <c r="V3176" s="7">
        <f>IF($C3176="","",R3176*U3176/100)</f>
        <v/>
      </c>
      <c r="W3176" s="7">
        <f>IF($C3176="","",R3176-V3176)</f>
        <v/>
      </c>
      <c r="X3176" s="7">
        <f>IF($C3176="","",W3176-K3176)</f>
        <v/>
      </c>
      <c r="AB3176" s="7" t="n"/>
      <c r="AE3176" s="11" t="n"/>
      <c r="AG3176">
        <f>IF($C3176="","",IF(COUNTIF($C$2:$C3176,$C3176)=1,1,0))</f>
        <v/>
      </c>
      <c r="AH3176">
        <f>IF($AG3176=1,SUMPRODUCT(--($AK$2:$AK$6001&lt;$AK3176))+1,"")</f>
        <v/>
      </c>
      <c r="AI3176">
        <f>IF($C3176="","",IF(OR($N3176=TRUE(),$N3176="TRUE"),1,0))</f>
        <v/>
      </c>
      <c r="AJ3176">
        <f>IF($C3176="","",IF($T3176="Yes",1,0))</f>
        <v/>
      </c>
      <c r="AK3176">
        <f>IF($AG3176=1,IFERROR(IF(VALUE($C3176)&lt;100000000,VALUE($C3176),1000000000),IFERROR(IF(VALUE(MID($C3176,2,20))&lt;100000000,VALUE(MID($C3176,2,20)),1000000000),1000000000))+ROW()/100000,"")</f>
        <v/>
      </c>
    </row>
    <row r="3177">
      <c r="D3177" s="11" t="n"/>
      <c r="K3177" s="7">
        <f>IF($C3177="","",J3177*W3177/100)</f>
        <v/>
      </c>
      <c r="Q3177" s="7" t="n"/>
      <c r="R3177" s="7" t="n"/>
      <c r="U3177">
        <f>IF($C3177="","",IF($AJ3177=1,0,IF($AI3177=1,Settings!$C$6,Settings!$C$7))*100)</f>
        <v/>
      </c>
      <c r="V3177" s="7">
        <f>IF($C3177="","",R3177*U3177/100)</f>
        <v/>
      </c>
      <c r="W3177" s="7">
        <f>IF($C3177="","",R3177-V3177)</f>
        <v/>
      </c>
      <c r="X3177" s="7">
        <f>IF($C3177="","",W3177-K3177)</f>
        <v/>
      </c>
      <c r="AB3177" s="7" t="n"/>
      <c r="AE3177" s="11" t="n"/>
      <c r="AG3177">
        <f>IF($C3177="","",IF(COUNTIF($C$2:$C3177,$C3177)=1,1,0))</f>
        <v/>
      </c>
      <c r="AH3177">
        <f>IF($AG3177=1,SUMPRODUCT(--($AK$2:$AK$6001&lt;$AK3177))+1,"")</f>
        <v/>
      </c>
      <c r="AI3177">
        <f>IF($C3177="","",IF(OR($N3177=TRUE(),$N3177="TRUE"),1,0))</f>
        <v/>
      </c>
      <c r="AJ3177">
        <f>IF($C3177="","",IF($T3177="Yes",1,0))</f>
        <v/>
      </c>
      <c r="AK3177">
        <f>IF($AG3177=1,IFERROR(IF(VALUE($C3177)&lt;100000000,VALUE($C3177),1000000000),IFERROR(IF(VALUE(MID($C3177,2,20))&lt;100000000,VALUE(MID($C3177,2,20)),1000000000),1000000000))+ROW()/100000,"")</f>
        <v/>
      </c>
    </row>
    <row r="3178">
      <c r="D3178" s="11" t="n"/>
      <c r="K3178" s="7">
        <f>IF($C3178="","",J3178*W3178/100)</f>
        <v/>
      </c>
      <c r="Q3178" s="7" t="n"/>
      <c r="R3178" s="7" t="n"/>
      <c r="U3178">
        <f>IF($C3178="","",IF($AJ3178=1,0,IF($AI3178=1,Settings!$C$6,Settings!$C$7))*100)</f>
        <v/>
      </c>
      <c r="V3178" s="7">
        <f>IF($C3178="","",R3178*U3178/100)</f>
        <v/>
      </c>
      <c r="W3178" s="7">
        <f>IF($C3178="","",R3178-V3178)</f>
        <v/>
      </c>
      <c r="X3178" s="7">
        <f>IF($C3178="","",W3178-K3178)</f>
        <v/>
      </c>
      <c r="AB3178" s="7" t="n"/>
      <c r="AE3178" s="11" t="n"/>
      <c r="AG3178">
        <f>IF($C3178="","",IF(COUNTIF($C$2:$C3178,$C3178)=1,1,0))</f>
        <v/>
      </c>
      <c r="AH3178">
        <f>IF($AG3178=1,SUMPRODUCT(--($AK$2:$AK$6001&lt;$AK3178))+1,"")</f>
        <v/>
      </c>
      <c r="AI3178">
        <f>IF($C3178="","",IF(OR($N3178=TRUE(),$N3178="TRUE"),1,0))</f>
        <v/>
      </c>
      <c r="AJ3178">
        <f>IF($C3178="","",IF($T3178="Yes",1,0))</f>
        <v/>
      </c>
      <c r="AK3178">
        <f>IF($AG3178=1,IFERROR(IF(VALUE($C3178)&lt;100000000,VALUE($C3178),1000000000),IFERROR(IF(VALUE(MID($C3178,2,20))&lt;100000000,VALUE(MID($C3178,2,20)),1000000000),1000000000))+ROW()/100000,"")</f>
        <v/>
      </c>
    </row>
    <row r="3179">
      <c r="D3179" s="11" t="n"/>
      <c r="K3179" s="7">
        <f>IF($C3179="","",J3179*W3179/100)</f>
        <v/>
      </c>
      <c r="Q3179" s="7" t="n"/>
      <c r="R3179" s="7" t="n"/>
      <c r="U3179">
        <f>IF($C3179="","",IF($AJ3179=1,0,IF($AI3179=1,Settings!$C$6,Settings!$C$7))*100)</f>
        <v/>
      </c>
      <c r="V3179" s="7">
        <f>IF($C3179="","",R3179*U3179/100)</f>
        <v/>
      </c>
      <c r="W3179" s="7">
        <f>IF($C3179="","",R3179-V3179)</f>
        <v/>
      </c>
      <c r="X3179" s="7">
        <f>IF($C3179="","",W3179-K3179)</f>
        <v/>
      </c>
      <c r="AB3179" s="7" t="n"/>
      <c r="AE3179" s="11" t="n"/>
      <c r="AG3179">
        <f>IF($C3179="","",IF(COUNTIF($C$2:$C3179,$C3179)=1,1,0))</f>
        <v/>
      </c>
      <c r="AH3179">
        <f>IF($AG3179=1,SUMPRODUCT(--($AK$2:$AK$6001&lt;$AK3179))+1,"")</f>
        <v/>
      </c>
      <c r="AI3179">
        <f>IF($C3179="","",IF(OR($N3179=TRUE(),$N3179="TRUE"),1,0))</f>
        <v/>
      </c>
      <c r="AJ3179">
        <f>IF($C3179="","",IF($T3179="Yes",1,0))</f>
        <v/>
      </c>
      <c r="AK3179">
        <f>IF($AG3179=1,IFERROR(IF(VALUE($C3179)&lt;100000000,VALUE($C3179),1000000000),IFERROR(IF(VALUE(MID($C3179,2,20))&lt;100000000,VALUE(MID($C3179,2,20)),1000000000),1000000000))+ROW()/100000,"")</f>
        <v/>
      </c>
    </row>
    <row r="3180">
      <c r="D3180" s="11" t="n"/>
      <c r="K3180" s="7">
        <f>IF($C3180="","",J3180*W3180/100)</f>
        <v/>
      </c>
      <c r="Q3180" s="7" t="n"/>
      <c r="R3180" s="7" t="n"/>
      <c r="U3180">
        <f>IF($C3180="","",IF($AJ3180=1,0,IF($AI3180=1,Settings!$C$6,Settings!$C$7))*100)</f>
        <v/>
      </c>
      <c r="V3180" s="7">
        <f>IF($C3180="","",R3180*U3180/100)</f>
        <v/>
      </c>
      <c r="W3180" s="7">
        <f>IF($C3180="","",R3180-V3180)</f>
        <v/>
      </c>
      <c r="X3180" s="7">
        <f>IF($C3180="","",W3180-K3180)</f>
        <v/>
      </c>
      <c r="AB3180" s="7" t="n"/>
      <c r="AE3180" s="11" t="n"/>
      <c r="AG3180">
        <f>IF($C3180="","",IF(COUNTIF($C$2:$C3180,$C3180)=1,1,0))</f>
        <v/>
      </c>
      <c r="AH3180">
        <f>IF($AG3180=1,SUMPRODUCT(--($AK$2:$AK$6001&lt;$AK3180))+1,"")</f>
        <v/>
      </c>
      <c r="AI3180">
        <f>IF($C3180="","",IF(OR($N3180=TRUE(),$N3180="TRUE"),1,0))</f>
        <v/>
      </c>
      <c r="AJ3180">
        <f>IF($C3180="","",IF($T3180="Yes",1,0))</f>
        <v/>
      </c>
      <c r="AK3180">
        <f>IF($AG3180=1,IFERROR(IF(VALUE($C3180)&lt;100000000,VALUE($C3180),1000000000),IFERROR(IF(VALUE(MID($C3180,2,20))&lt;100000000,VALUE(MID($C3180,2,20)),1000000000),1000000000))+ROW()/100000,"")</f>
        <v/>
      </c>
    </row>
    <row r="3181">
      <c r="D3181" s="11" t="n"/>
      <c r="K3181" s="7">
        <f>IF($C3181="","",J3181*W3181/100)</f>
        <v/>
      </c>
      <c r="Q3181" s="7" t="n"/>
      <c r="R3181" s="7" t="n"/>
      <c r="U3181">
        <f>IF($C3181="","",IF($AJ3181=1,0,IF($AI3181=1,Settings!$C$6,Settings!$C$7))*100)</f>
        <v/>
      </c>
      <c r="V3181" s="7">
        <f>IF($C3181="","",R3181*U3181/100)</f>
        <v/>
      </c>
      <c r="W3181" s="7">
        <f>IF($C3181="","",R3181-V3181)</f>
        <v/>
      </c>
      <c r="X3181" s="7">
        <f>IF($C3181="","",W3181-K3181)</f>
        <v/>
      </c>
      <c r="AB3181" s="7" t="n"/>
      <c r="AE3181" s="11" t="n"/>
      <c r="AG3181">
        <f>IF($C3181="","",IF(COUNTIF($C$2:$C3181,$C3181)=1,1,0))</f>
        <v/>
      </c>
      <c r="AH3181">
        <f>IF($AG3181=1,SUMPRODUCT(--($AK$2:$AK$6001&lt;$AK3181))+1,"")</f>
        <v/>
      </c>
      <c r="AI3181">
        <f>IF($C3181="","",IF(OR($N3181=TRUE(),$N3181="TRUE"),1,0))</f>
        <v/>
      </c>
      <c r="AJ3181">
        <f>IF($C3181="","",IF($T3181="Yes",1,0))</f>
        <v/>
      </c>
      <c r="AK3181">
        <f>IF($AG3181=1,IFERROR(IF(VALUE($C3181)&lt;100000000,VALUE($C3181),1000000000),IFERROR(IF(VALUE(MID($C3181,2,20))&lt;100000000,VALUE(MID($C3181,2,20)),1000000000),1000000000))+ROW()/100000,"")</f>
        <v/>
      </c>
    </row>
    <row r="3182">
      <c r="D3182" s="11" t="n"/>
      <c r="K3182" s="7">
        <f>IF($C3182="","",J3182*W3182/100)</f>
        <v/>
      </c>
      <c r="Q3182" s="7" t="n"/>
      <c r="R3182" s="7" t="n"/>
      <c r="U3182">
        <f>IF($C3182="","",IF($AJ3182=1,0,IF($AI3182=1,Settings!$C$6,Settings!$C$7))*100)</f>
        <v/>
      </c>
      <c r="V3182" s="7">
        <f>IF($C3182="","",R3182*U3182/100)</f>
        <v/>
      </c>
      <c r="W3182" s="7">
        <f>IF($C3182="","",R3182-V3182)</f>
        <v/>
      </c>
      <c r="X3182" s="7">
        <f>IF($C3182="","",W3182-K3182)</f>
        <v/>
      </c>
      <c r="AB3182" s="7" t="n"/>
      <c r="AE3182" s="11" t="n"/>
      <c r="AG3182">
        <f>IF($C3182="","",IF(COUNTIF($C$2:$C3182,$C3182)=1,1,0))</f>
        <v/>
      </c>
      <c r="AH3182">
        <f>IF($AG3182=1,SUMPRODUCT(--($AK$2:$AK$6001&lt;$AK3182))+1,"")</f>
        <v/>
      </c>
      <c r="AI3182">
        <f>IF($C3182="","",IF(OR($N3182=TRUE(),$N3182="TRUE"),1,0))</f>
        <v/>
      </c>
      <c r="AJ3182">
        <f>IF($C3182="","",IF($T3182="Yes",1,0))</f>
        <v/>
      </c>
      <c r="AK3182">
        <f>IF($AG3182=1,IFERROR(IF(VALUE($C3182)&lt;100000000,VALUE($C3182),1000000000),IFERROR(IF(VALUE(MID($C3182,2,20))&lt;100000000,VALUE(MID($C3182,2,20)),1000000000),1000000000))+ROW()/100000,"")</f>
        <v/>
      </c>
    </row>
    <row r="3183">
      <c r="D3183" s="11" t="n"/>
      <c r="K3183" s="7">
        <f>IF($C3183="","",J3183*W3183/100)</f>
        <v/>
      </c>
      <c r="Q3183" s="7" t="n"/>
      <c r="R3183" s="7" t="n"/>
      <c r="U3183">
        <f>IF($C3183="","",IF($AJ3183=1,0,IF($AI3183=1,Settings!$C$6,Settings!$C$7))*100)</f>
        <v/>
      </c>
      <c r="V3183" s="7">
        <f>IF($C3183="","",R3183*U3183/100)</f>
        <v/>
      </c>
      <c r="W3183" s="7">
        <f>IF($C3183="","",R3183-V3183)</f>
        <v/>
      </c>
      <c r="X3183" s="7">
        <f>IF($C3183="","",W3183-K3183)</f>
        <v/>
      </c>
      <c r="AB3183" s="7" t="n"/>
      <c r="AE3183" s="11" t="n"/>
      <c r="AG3183">
        <f>IF($C3183="","",IF(COUNTIF($C$2:$C3183,$C3183)=1,1,0))</f>
        <v/>
      </c>
      <c r="AH3183">
        <f>IF($AG3183=1,SUMPRODUCT(--($AK$2:$AK$6001&lt;$AK3183))+1,"")</f>
        <v/>
      </c>
      <c r="AI3183">
        <f>IF($C3183="","",IF(OR($N3183=TRUE(),$N3183="TRUE"),1,0))</f>
        <v/>
      </c>
      <c r="AJ3183">
        <f>IF($C3183="","",IF($T3183="Yes",1,0))</f>
        <v/>
      </c>
      <c r="AK3183">
        <f>IF($AG3183=1,IFERROR(IF(VALUE($C3183)&lt;100000000,VALUE($C3183),1000000000),IFERROR(IF(VALUE(MID($C3183,2,20))&lt;100000000,VALUE(MID($C3183,2,20)),1000000000),1000000000))+ROW()/100000,"")</f>
        <v/>
      </c>
    </row>
    <row r="3184">
      <c r="D3184" s="11" t="n"/>
      <c r="K3184" s="7">
        <f>IF($C3184="","",J3184*W3184/100)</f>
        <v/>
      </c>
      <c r="Q3184" s="7" t="n"/>
      <c r="R3184" s="7" t="n"/>
      <c r="U3184">
        <f>IF($C3184="","",IF($AJ3184=1,0,IF($AI3184=1,Settings!$C$6,Settings!$C$7))*100)</f>
        <v/>
      </c>
      <c r="V3184" s="7">
        <f>IF($C3184="","",R3184*U3184/100)</f>
        <v/>
      </c>
      <c r="W3184" s="7">
        <f>IF($C3184="","",R3184-V3184)</f>
        <v/>
      </c>
      <c r="X3184" s="7">
        <f>IF($C3184="","",W3184-K3184)</f>
        <v/>
      </c>
      <c r="AB3184" s="7" t="n"/>
      <c r="AE3184" s="11" t="n"/>
      <c r="AG3184">
        <f>IF($C3184="","",IF(COUNTIF($C$2:$C3184,$C3184)=1,1,0))</f>
        <v/>
      </c>
      <c r="AH3184">
        <f>IF($AG3184=1,SUMPRODUCT(--($AK$2:$AK$6001&lt;$AK3184))+1,"")</f>
        <v/>
      </c>
      <c r="AI3184">
        <f>IF($C3184="","",IF(OR($N3184=TRUE(),$N3184="TRUE"),1,0))</f>
        <v/>
      </c>
      <c r="AJ3184">
        <f>IF($C3184="","",IF($T3184="Yes",1,0))</f>
        <v/>
      </c>
      <c r="AK3184">
        <f>IF($AG3184=1,IFERROR(IF(VALUE($C3184)&lt;100000000,VALUE($C3184),1000000000),IFERROR(IF(VALUE(MID($C3184,2,20))&lt;100000000,VALUE(MID($C3184,2,20)),1000000000),1000000000))+ROW()/100000,"")</f>
        <v/>
      </c>
    </row>
    <row r="3185">
      <c r="D3185" s="11" t="n"/>
      <c r="K3185" s="7">
        <f>IF($C3185="","",J3185*W3185/100)</f>
        <v/>
      </c>
      <c r="Q3185" s="7" t="n"/>
      <c r="R3185" s="7" t="n"/>
      <c r="U3185">
        <f>IF($C3185="","",IF($AJ3185=1,0,IF($AI3185=1,Settings!$C$6,Settings!$C$7))*100)</f>
        <v/>
      </c>
      <c r="V3185" s="7">
        <f>IF($C3185="","",R3185*U3185/100)</f>
        <v/>
      </c>
      <c r="W3185" s="7">
        <f>IF($C3185="","",R3185-V3185)</f>
        <v/>
      </c>
      <c r="X3185" s="7">
        <f>IF($C3185="","",W3185-K3185)</f>
        <v/>
      </c>
      <c r="AB3185" s="7" t="n"/>
      <c r="AE3185" s="11" t="n"/>
      <c r="AG3185">
        <f>IF($C3185="","",IF(COUNTIF($C$2:$C3185,$C3185)=1,1,0))</f>
        <v/>
      </c>
      <c r="AH3185">
        <f>IF($AG3185=1,SUMPRODUCT(--($AK$2:$AK$6001&lt;$AK3185))+1,"")</f>
        <v/>
      </c>
      <c r="AI3185">
        <f>IF($C3185="","",IF(OR($N3185=TRUE(),$N3185="TRUE"),1,0))</f>
        <v/>
      </c>
      <c r="AJ3185">
        <f>IF($C3185="","",IF($T3185="Yes",1,0))</f>
        <v/>
      </c>
      <c r="AK3185">
        <f>IF($AG3185=1,IFERROR(IF(VALUE($C3185)&lt;100000000,VALUE($C3185),1000000000),IFERROR(IF(VALUE(MID($C3185,2,20))&lt;100000000,VALUE(MID($C3185,2,20)),1000000000),1000000000))+ROW()/100000,"")</f>
        <v/>
      </c>
    </row>
    <row r="3186">
      <c r="D3186" s="11" t="n"/>
      <c r="K3186" s="7">
        <f>IF($C3186="","",J3186*W3186/100)</f>
        <v/>
      </c>
      <c r="Q3186" s="7" t="n"/>
      <c r="R3186" s="7" t="n"/>
      <c r="U3186">
        <f>IF($C3186="","",IF($AJ3186=1,0,IF($AI3186=1,Settings!$C$6,Settings!$C$7))*100)</f>
        <v/>
      </c>
      <c r="V3186" s="7">
        <f>IF($C3186="","",R3186*U3186/100)</f>
        <v/>
      </c>
      <c r="W3186" s="7">
        <f>IF($C3186="","",R3186-V3186)</f>
        <v/>
      </c>
      <c r="X3186" s="7">
        <f>IF($C3186="","",W3186-K3186)</f>
        <v/>
      </c>
      <c r="AB3186" s="7" t="n"/>
      <c r="AE3186" s="11" t="n"/>
      <c r="AG3186">
        <f>IF($C3186="","",IF(COUNTIF($C$2:$C3186,$C3186)=1,1,0))</f>
        <v/>
      </c>
      <c r="AH3186">
        <f>IF($AG3186=1,SUMPRODUCT(--($AK$2:$AK$6001&lt;$AK3186))+1,"")</f>
        <v/>
      </c>
      <c r="AI3186">
        <f>IF($C3186="","",IF(OR($N3186=TRUE(),$N3186="TRUE"),1,0))</f>
        <v/>
      </c>
      <c r="AJ3186">
        <f>IF($C3186="","",IF($T3186="Yes",1,0))</f>
        <v/>
      </c>
      <c r="AK3186">
        <f>IF($AG3186=1,IFERROR(IF(VALUE($C3186)&lt;100000000,VALUE($C3186),1000000000),IFERROR(IF(VALUE(MID($C3186,2,20))&lt;100000000,VALUE(MID($C3186,2,20)),1000000000),1000000000))+ROW()/100000,"")</f>
        <v/>
      </c>
    </row>
    <row r="3187">
      <c r="D3187" s="11" t="n"/>
      <c r="K3187" s="7">
        <f>IF($C3187="","",J3187*W3187/100)</f>
        <v/>
      </c>
      <c r="Q3187" s="7" t="n"/>
      <c r="R3187" s="7" t="n"/>
      <c r="U3187">
        <f>IF($C3187="","",IF($AJ3187=1,0,IF($AI3187=1,Settings!$C$6,Settings!$C$7))*100)</f>
        <v/>
      </c>
      <c r="V3187" s="7">
        <f>IF($C3187="","",R3187*U3187/100)</f>
        <v/>
      </c>
      <c r="W3187" s="7">
        <f>IF($C3187="","",R3187-V3187)</f>
        <v/>
      </c>
      <c r="X3187" s="7">
        <f>IF($C3187="","",W3187-K3187)</f>
        <v/>
      </c>
      <c r="AB3187" s="7" t="n"/>
      <c r="AE3187" s="11" t="n"/>
      <c r="AG3187">
        <f>IF($C3187="","",IF(COUNTIF($C$2:$C3187,$C3187)=1,1,0))</f>
        <v/>
      </c>
      <c r="AH3187">
        <f>IF($AG3187=1,SUMPRODUCT(--($AK$2:$AK$6001&lt;$AK3187))+1,"")</f>
        <v/>
      </c>
      <c r="AI3187">
        <f>IF($C3187="","",IF(OR($N3187=TRUE(),$N3187="TRUE"),1,0))</f>
        <v/>
      </c>
      <c r="AJ3187">
        <f>IF($C3187="","",IF($T3187="Yes",1,0))</f>
        <v/>
      </c>
      <c r="AK3187">
        <f>IF($AG3187=1,IFERROR(IF(VALUE($C3187)&lt;100000000,VALUE($C3187),1000000000),IFERROR(IF(VALUE(MID($C3187,2,20))&lt;100000000,VALUE(MID($C3187,2,20)),1000000000),1000000000))+ROW()/100000,"")</f>
        <v/>
      </c>
    </row>
    <row r="3188">
      <c r="D3188" s="11" t="n"/>
      <c r="K3188" s="7">
        <f>IF($C3188="","",J3188*W3188/100)</f>
        <v/>
      </c>
      <c r="Q3188" s="7" t="n"/>
      <c r="R3188" s="7" t="n"/>
      <c r="U3188">
        <f>IF($C3188="","",IF($AJ3188=1,0,IF($AI3188=1,Settings!$C$6,Settings!$C$7))*100)</f>
        <v/>
      </c>
      <c r="V3188" s="7">
        <f>IF($C3188="","",R3188*U3188/100)</f>
        <v/>
      </c>
      <c r="W3188" s="7">
        <f>IF($C3188="","",R3188-V3188)</f>
        <v/>
      </c>
      <c r="X3188" s="7">
        <f>IF($C3188="","",W3188-K3188)</f>
        <v/>
      </c>
      <c r="AB3188" s="7" t="n"/>
      <c r="AE3188" s="11" t="n"/>
      <c r="AG3188">
        <f>IF($C3188="","",IF(COUNTIF($C$2:$C3188,$C3188)=1,1,0))</f>
        <v/>
      </c>
      <c r="AH3188">
        <f>IF($AG3188=1,SUMPRODUCT(--($AK$2:$AK$6001&lt;$AK3188))+1,"")</f>
        <v/>
      </c>
      <c r="AI3188">
        <f>IF($C3188="","",IF(OR($N3188=TRUE(),$N3188="TRUE"),1,0))</f>
        <v/>
      </c>
      <c r="AJ3188">
        <f>IF($C3188="","",IF($T3188="Yes",1,0))</f>
        <v/>
      </c>
      <c r="AK3188">
        <f>IF($AG3188=1,IFERROR(IF(VALUE($C3188)&lt;100000000,VALUE($C3188),1000000000),IFERROR(IF(VALUE(MID($C3188,2,20))&lt;100000000,VALUE(MID($C3188,2,20)),1000000000),1000000000))+ROW()/100000,"")</f>
        <v/>
      </c>
    </row>
    <row r="3189">
      <c r="D3189" s="11" t="n"/>
      <c r="K3189" s="7">
        <f>IF($C3189="","",J3189*W3189/100)</f>
        <v/>
      </c>
      <c r="Q3189" s="7" t="n"/>
      <c r="R3189" s="7" t="n"/>
      <c r="U3189">
        <f>IF($C3189="","",IF($AJ3189=1,0,IF($AI3189=1,Settings!$C$6,Settings!$C$7))*100)</f>
        <v/>
      </c>
      <c r="V3189" s="7">
        <f>IF($C3189="","",R3189*U3189/100)</f>
        <v/>
      </c>
      <c r="W3189" s="7">
        <f>IF($C3189="","",R3189-V3189)</f>
        <v/>
      </c>
      <c r="X3189" s="7">
        <f>IF($C3189="","",W3189-K3189)</f>
        <v/>
      </c>
      <c r="AB3189" s="7" t="n"/>
      <c r="AE3189" s="11" t="n"/>
      <c r="AG3189">
        <f>IF($C3189="","",IF(COUNTIF($C$2:$C3189,$C3189)=1,1,0))</f>
        <v/>
      </c>
      <c r="AH3189">
        <f>IF($AG3189=1,SUMPRODUCT(--($AK$2:$AK$6001&lt;$AK3189))+1,"")</f>
        <v/>
      </c>
      <c r="AI3189">
        <f>IF($C3189="","",IF(OR($N3189=TRUE(),$N3189="TRUE"),1,0))</f>
        <v/>
      </c>
      <c r="AJ3189">
        <f>IF($C3189="","",IF($T3189="Yes",1,0))</f>
        <v/>
      </c>
      <c r="AK3189">
        <f>IF($AG3189=1,IFERROR(IF(VALUE($C3189)&lt;100000000,VALUE($C3189),1000000000),IFERROR(IF(VALUE(MID($C3189,2,20))&lt;100000000,VALUE(MID($C3189,2,20)),1000000000),1000000000))+ROW()/100000,"")</f>
        <v/>
      </c>
    </row>
    <row r="3190">
      <c r="D3190" s="11" t="n"/>
      <c r="K3190" s="7">
        <f>IF($C3190="","",J3190*W3190/100)</f>
        <v/>
      </c>
      <c r="Q3190" s="7" t="n"/>
      <c r="R3190" s="7" t="n"/>
      <c r="U3190">
        <f>IF($C3190="","",IF($AJ3190=1,0,IF($AI3190=1,Settings!$C$6,Settings!$C$7))*100)</f>
        <v/>
      </c>
      <c r="V3190" s="7">
        <f>IF($C3190="","",R3190*U3190/100)</f>
        <v/>
      </c>
      <c r="W3190" s="7">
        <f>IF($C3190="","",R3190-V3190)</f>
        <v/>
      </c>
      <c r="X3190" s="7">
        <f>IF($C3190="","",W3190-K3190)</f>
        <v/>
      </c>
      <c r="AB3190" s="7" t="n"/>
      <c r="AE3190" s="11" t="n"/>
      <c r="AG3190">
        <f>IF($C3190="","",IF(COUNTIF($C$2:$C3190,$C3190)=1,1,0))</f>
        <v/>
      </c>
      <c r="AH3190">
        <f>IF($AG3190=1,SUMPRODUCT(--($AK$2:$AK$6001&lt;$AK3190))+1,"")</f>
        <v/>
      </c>
      <c r="AI3190">
        <f>IF($C3190="","",IF(OR($N3190=TRUE(),$N3190="TRUE"),1,0))</f>
        <v/>
      </c>
      <c r="AJ3190">
        <f>IF($C3190="","",IF($T3190="Yes",1,0))</f>
        <v/>
      </c>
      <c r="AK3190">
        <f>IF($AG3190=1,IFERROR(IF(VALUE($C3190)&lt;100000000,VALUE($C3190),1000000000),IFERROR(IF(VALUE(MID($C3190,2,20))&lt;100000000,VALUE(MID($C3190,2,20)),1000000000),1000000000))+ROW()/100000,"")</f>
        <v/>
      </c>
    </row>
    <row r="3191">
      <c r="D3191" s="11" t="n"/>
      <c r="K3191" s="7">
        <f>IF($C3191="","",J3191*W3191/100)</f>
        <v/>
      </c>
      <c r="Q3191" s="7" t="n"/>
      <c r="R3191" s="7" t="n"/>
      <c r="U3191">
        <f>IF($C3191="","",IF($AJ3191=1,0,IF($AI3191=1,Settings!$C$6,Settings!$C$7))*100)</f>
        <v/>
      </c>
      <c r="V3191" s="7">
        <f>IF($C3191="","",R3191*U3191/100)</f>
        <v/>
      </c>
      <c r="W3191" s="7">
        <f>IF($C3191="","",R3191-V3191)</f>
        <v/>
      </c>
      <c r="X3191" s="7">
        <f>IF($C3191="","",W3191-K3191)</f>
        <v/>
      </c>
      <c r="AB3191" s="7" t="n"/>
      <c r="AE3191" s="11" t="n"/>
      <c r="AG3191">
        <f>IF($C3191="","",IF(COUNTIF($C$2:$C3191,$C3191)=1,1,0))</f>
        <v/>
      </c>
      <c r="AH3191">
        <f>IF($AG3191=1,SUMPRODUCT(--($AK$2:$AK$6001&lt;$AK3191))+1,"")</f>
        <v/>
      </c>
      <c r="AI3191">
        <f>IF($C3191="","",IF(OR($N3191=TRUE(),$N3191="TRUE"),1,0))</f>
        <v/>
      </c>
      <c r="AJ3191">
        <f>IF($C3191="","",IF($T3191="Yes",1,0))</f>
        <v/>
      </c>
      <c r="AK3191">
        <f>IF($AG3191=1,IFERROR(IF(VALUE($C3191)&lt;100000000,VALUE($C3191),1000000000),IFERROR(IF(VALUE(MID($C3191,2,20))&lt;100000000,VALUE(MID($C3191,2,20)),1000000000),1000000000))+ROW()/100000,"")</f>
        <v/>
      </c>
    </row>
    <row r="3192">
      <c r="D3192" s="11" t="n"/>
      <c r="K3192" s="7">
        <f>IF($C3192="","",J3192*W3192/100)</f>
        <v/>
      </c>
      <c r="Q3192" s="7" t="n"/>
      <c r="R3192" s="7" t="n"/>
      <c r="U3192">
        <f>IF($C3192="","",IF($AJ3192=1,0,IF($AI3192=1,Settings!$C$6,Settings!$C$7))*100)</f>
        <v/>
      </c>
      <c r="V3192" s="7">
        <f>IF($C3192="","",R3192*U3192/100)</f>
        <v/>
      </c>
      <c r="W3192" s="7">
        <f>IF($C3192="","",R3192-V3192)</f>
        <v/>
      </c>
      <c r="X3192" s="7">
        <f>IF($C3192="","",W3192-K3192)</f>
        <v/>
      </c>
      <c r="AB3192" s="7" t="n"/>
      <c r="AE3192" s="11" t="n"/>
      <c r="AG3192">
        <f>IF($C3192="","",IF(COUNTIF($C$2:$C3192,$C3192)=1,1,0))</f>
        <v/>
      </c>
      <c r="AH3192">
        <f>IF($AG3192=1,SUMPRODUCT(--($AK$2:$AK$6001&lt;$AK3192))+1,"")</f>
        <v/>
      </c>
      <c r="AI3192">
        <f>IF($C3192="","",IF(OR($N3192=TRUE(),$N3192="TRUE"),1,0))</f>
        <v/>
      </c>
      <c r="AJ3192">
        <f>IF($C3192="","",IF($T3192="Yes",1,0))</f>
        <v/>
      </c>
      <c r="AK3192">
        <f>IF($AG3192=1,IFERROR(IF(VALUE($C3192)&lt;100000000,VALUE($C3192),1000000000),IFERROR(IF(VALUE(MID($C3192,2,20))&lt;100000000,VALUE(MID($C3192,2,20)),1000000000),1000000000))+ROW()/100000,"")</f>
        <v/>
      </c>
    </row>
    <row r="3193">
      <c r="D3193" s="11" t="n"/>
      <c r="K3193" s="7">
        <f>IF($C3193="","",J3193*W3193/100)</f>
        <v/>
      </c>
      <c r="Q3193" s="7" t="n"/>
      <c r="R3193" s="7" t="n"/>
      <c r="U3193">
        <f>IF($C3193="","",IF($AJ3193=1,0,IF($AI3193=1,Settings!$C$6,Settings!$C$7))*100)</f>
        <v/>
      </c>
      <c r="V3193" s="7">
        <f>IF($C3193="","",R3193*U3193/100)</f>
        <v/>
      </c>
      <c r="W3193" s="7">
        <f>IF($C3193="","",R3193-V3193)</f>
        <v/>
      </c>
      <c r="X3193" s="7">
        <f>IF($C3193="","",W3193-K3193)</f>
        <v/>
      </c>
      <c r="AB3193" s="7" t="n"/>
      <c r="AE3193" s="11" t="n"/>
      <c r="AG3193">
        <f>IF($C3193="","",IF(COUNTIF($C$2:$C3193,$C3193)=1,1,0))</f>
        <v/>
      </c>
      <c r="AH3193">
        <f>IF($AG3193=1,SUMPRODUCT(--($AK$2:$AK$6001&lt;$AK3193))+1,"")</f>
        <v/>
      </c>
      <c r="AI3193">
        <f>IF($C3193="","",IF(OR($N3193=TRUE(),$N3193="TRUE"),1,0))</f>
        <v/>
      </c>
      <c r="AJ3193">
        <f>IF($C3193="","",IF($T3193="Yes",1,0))</f>
        <v/>
      </c>
      <c r="AK3193">
        <f>IF($AG3193=1,IFERROR(IF(VALUE($C3193)&lt;100000000,VALUE($C3193),1000000000),IFERROR(IF(VALUE(MID($C3193,2,20))&lt;100000000,VALUE(MID($C3193,2,20)),1000000000),1000000000))+ROW()/100000,"")</f>
        <v/>
      </c>
    </row>
    <row r="3194">
      <c r="D3194" s="11" t="n"/>
      <c r="K3194" s="7">
        <f>IF($C3194="","",J3194*W3194/100)</f>
        <v/>
      </c>
      <c r="Q3194" s="7" t="n"/>
      <c r="R3194" s="7" t="n"/>
      <c r="U3194">
        <f>IF($C3194="","",IF($AJ3194=1,0,IF($AI3194=1,Settings!$C$6,Settings!$C$7))*100)</f>
        <v/>
      </c>
      <c r="V3194" s="7">
        <f>IF($C3194="","",R3194*U3194/100)</f>
        <v/>
      </c>
      <c r="W3194" s="7">
        <f>IF($C3194="","",R3194-V3194)</f>
        <v/>
      </c>
      <c r="X3194" s="7">
        <f>IF($C3194="","",W3194-K3194)</f>
        <v/>
      </c>
      <c r="AB3194" s="7" t="n"/>
      <c r="AE3194" s="11" t="n"/>
      <c r="AG3194">
        <f>IF($C3194="","",IF(COUNTIF($C$2:$C3194,$C3194)=1,1,0))</f>
        <v/>
      </c>
      <c r="AH3194">
        <f>IF($AG3194=1,SUMPRODUCT(--($AK$2:$AK$6001&lt;$AK3194))+1,"")</f>
        <v/>
      </c>
      <c r="AI3194">
        <f>IF($C3194="","",IF(OR($N3194=TRUE(),$N3194="TRUE"),1,0))</f>
        <v/>
      </c>
      <c r="AJ3194">
        <f>IF($C3194="","",IF($T3194="Yes",1,0))</f>
        <v/>
      </c>
      <c r="AK3194">
        <f>IF($AG3194=1,IFERROR(IF(VALUE($C3194)&lt;100000000,VALUE($C3194),1000000000),IFERROR(IF(VALUE(MID($C3194,2,20))&lt;100000000,VALUE(MID($C3194,2,20)),1000000000),1000000000))+ROW()/100000,"")</f>
        <v/>
      </c>
    </row>
    <row r="3195">
      <c r="D3195" s="11" t="n"/>
      <c r="K3195" s="7">
        <f>IF($C3195="","",J3195*W3195/100)</f>
        <v/>
      </c>
      <c r="Q3195" s="7" t="n"/>
      <c r="R3195" s="7" t="n"/>
      <c r="U3195">
        <f>IF($C3195="","",IF($AJ3195=1,0,IF($AI3195=1,Settings!$C$6,Settings!$C$7))*100)</f>
        <v/>
      </c>
      <c r="V3195" s="7">
        <f>IF($C3195="","",R3195*U3195/100)</f>
        <v/>
      </c>
      <c r="W3195" s="7">
        <f>IF($C3195="","",R3195-V3195)</f>
        <v/>
      </c>
      <c r="X3195" s="7">
        <f>IF($C3195="","",W3195-K3195)</f>
        <v/>
      </c>
      <c r="AB3195" s="7" t="n"/>
      <c r="AE3195" s="11" t="n"/>
      <c r="AG3195">
        <f>IF($C3195="","",IF(COUNTIF($C$2:$C3195,$C3195)=1,1,0))</f>
        <v/>
      </c>
      <c r="AH3195">
        <f>IF($AG3195=1,SUMPRODUCT(--($AK$2:$AK$6001&lt;$AK3195))+1,"")</f>
        <v/>
      </c>
      <c r="AI3195">
        <f>IF($C3195="","",IF(OR($N3195=TRUE(),$N3195="TRUE"),1,0))</f>
        <v/>
      </c>
      <c r="AJ3195">
        <f>IF($C3195="","",IF($T3195="Yes",1,0))</f>
        <v/>
      </c>
      <c r="AK3195">
        <f>IF($AG3195=1,IFERROR(IF(VALUE($C3195)&lt;100000000,VALUE($C3195),1000000000),IFERROR(IF(VALUE(MID($C3195,2,20))&lt;100000000,VALUE(MID($C3195,2,20)),1000000000),1000000000))+ROW()/100000,"")</f>
        <v/>
      </c>
    </row>
    <row r="3196">
      <c r="D3196" s="11" t="n"/>
      <c r="K3196" s="7">
        <f>IF($C3196="","",J3196*W3196/100)</f>
        <v/>
      </c>
      <c r="Q3196" s="7" t="n"/>
      <c r="R3196" s="7" t="n"/>
      <c r="U3196">
        <f>IF($C3196="","",IF($AJ3196=1,0,IF($AI3196=1,Settings!$C$6,Settings!$C$7))*100)</f>
        <v/>
      </c>
      <c r="V3196" s="7">
        <f>IF($C3196="","",R3196*U3196/100)</f>
        <v/>
      </c>
      <c r="W3196" s="7">
        <f>IF($C3196="","",R3196-V3196)</f>
        <v/>
      </c>
      <c r="X3196" s="7">
        <f>IF($C3196="","",W3196-K3196)</f>
        <v/>
      </c>
      <c r="AB3196" s="7" t="n"/>
      <c r="AE3196" s="11" t="n"/>
      <c r="AG3196">
        <f>IF($C3196="","",IF(COUNTIF($C$2:$C3196,$C3196)=1,1,0))</f>
        <v/>
      </c>
      <c r="AH3196">
        <f>IF($AG3196=1,SUMPRODUCT(--($AK$2:$AK$6001&lt;$AK3196))+1,"")</f>
        <v/>
      </c>
      <c r="AI3196">
        <f>IF($C3196="","",IF(OR($N3196=TRUE(),$N3196="TRUE"),1,0))</f>
        <v/>
      </c>
      <c r="AJ3196">
        <f>IF($C3196="","",IF($T3196="Yes",1,0))</f>
        <v/>
      </c>
      <c r="AK3196">
        <f>IF($AG3196=1,IFERROR(IF(VALUE($C3196)&lt;100000000,VALUE($C3196),1000000000),IFERROR(IF(VALUE(MID($C3196,2,20))&lt;100000000,VALUE(MID($C3196,2,20)),1000000000),1000000000))+ROW()/100000,"")</f>
        <v/>
      </c>
    </row>
    <row r="3197">
      <c r="D3197" s="11" t="n"/>
      <c r="K3197" s="7">
        <f>IF($C3197="","",J3197*W3197/100)</f>
        <v/>
      </c>
      <c r="Q3197" s="7" t="n"/>
      <c r="R3197" s="7" t="n"/>
      <c r="U3197">
        <f>IF($C3197="","",IF($AJ3197=1,0,IF($AI3197=1,Settings!$C$6,Settings!$C$7))*100)</f>
        <v/>
      </c>
      <c r="V3197" s="7">
        <f>IF($C3197="","",R3197*U3197/100)</f>
        <v/>
      </c>
      <c r="W3197" s="7">
        <f>IF($C3197="","",R3197-V3197)</f>
        <v/>
      </c>
      <c r="X3197" s="7">
        <f>IF($C3197="","",W3197-K3197)</f>
        <v/>
      </c>
      <c r="AB3197" s="7" t="n"/>
      <c r="AE3197" s="11" t="n"/>
      <c r="AG3197">
        <f>IF($C3197="","",IF(COUNTIF($C$2:$C3197,$C3197)=1,1,0))</f>
        <v/>
      </c>
      <c r="AH3197">
        <f>IF($AG3197=1,SUMPRODUCT(--($AK$2:$AK$6001&lt;$AK3197))+1,"")</f>
        <v/>
      </c>
      <c r="AI3197">
        <f>IF($C3197="","",IF(OR($N3197=TRUE(),$N3197="TRUE"),1,0))</f>
        <v/>
      </c>
      <c r="AJ3197">
        <f>IF($C3197="","",IF($T3197="Yes",1,0))</f>
        <v/>
      </c>
      <c r="AK3197">
        <f>IF($AG3197=1,IFERROR(IF(VALUE($C3197)&lt;100000000,VALUE($C3197),1000000000),IFERROR(IF(VALUE(MID($C3197,2,20))&lt;100000000,VALUE(MID($C3197,2,20)),1000000000),1000000000))+ROW()/100000,"")</f>
        <v/>
      </c>
    </row>
    <row r="3198">
      <c r="D3198" s="11" t="n"/>
      <c r="K3198" s="7">
        <f>IF($C3198="","",J3198*W3198/100)</f>
        <v/>
      </c>
      <c r="Q3198" s="7" t="n"/>
      <c r="R3198" s="7" t="n"/>
      <c r="U3198">
        <f>IF($C3198="","",IF($AJ3198=1,0,IF($AI3198=1,Settings!$C$6,Settings!$C$7))*100)</f>
        <v/>
      </c>
      <c r="V3198" s="7">
        <f>IF($C3198="","",R3198*U3198/100)</f>
        <v/>
      </c>
      <c r="W3198" s="7">
        <f>IF($C3198="","",R3198-V3198)</f>
        <v/>
      </c>
      <c r="X3198" s="7">
        <f>IF($C3198="","",W3198-K3198)</f>
        <v/>
      </c>
      <c r="AB3198" s="7" t="n"/>
      <c r="AE3198" s="11" t="n"/>
      <c r="AG3198">
        <f>IF($C3198="","",IF(COUNTIF($C$2:$C3198,$C3198)=1,1,0))</f>
        <v/>
      </c>
      <c r="AH3198">
        <f>IF($AG3198=1,SUMPRODUCT(--($AK$2:$AK$6001&lt;$AK3198))+1,"")</f>
        <v/>
      </c>
      <c r="AI3198">
        <f>IF($C3198="","",IF(OR($N3198=TRUE(),$N3198="TRUE"),1,0))</f>
        <v/>
      </c>
      <c r="AJ3198">
        <f>IF($C3198="","",IF($T3198="Yes",1,0))</f>
        <v/>
      </c>
      <c r="AK3198">
        <f>IF($AG3198=1,IFERROR(IF(VALUE($C3198)&lt;100000000,VALUE($C3198),1000000000),IFERROR(IF(VALUE(MID($C3198,2,20))&lt;100000000,VALUE(MID($C3198,2,20)),1000000000),1000000000))+ROW()/100000,"")</f>
        <v/>
      </c>
    </row>
    <row r="3199">
      <c r="D3199" s="11" t="n"/>
      <c r="K3199" s="7">
        <f>IF($C3199="","",J3199*W3199/100)</f>
        <v/>
      </c>
      <c r="Q3199" s="7" t="n"/>
      <c r="R3199" s="7" t="n"/>
      <c r="U3199">
        <f>IF($C3199="","",IF($AJ3199=1,0,IF($AI3199=1,Settings!$C$6,Settings!$C$7))*100)</f>
        <v/>
      </c>
      <c r="V3199" s="7">
        <f>IF($C3199="","",R3199*U3199/100)</f>
        <v/>
      </c>
      <c r="W3199" s="7">
        <f>IF($C3199="","",R3199-V3199)</f>
        <v/>
      </c>
      <c r="X3199" s="7">
        <f>IF($C3199="","",W3199-K3199)</f>
        <v/>
      </c>
      <c r="AB3199" s="7" t="n"/>
      <c r="AE3199" s="11" t="n"/>
      <c r="AG3199">
        <f>IF($C3199="","",IF(COUNTIF($C$2:$C3199,$C3199)=1,1,0))</f>
        <v/>
      </c>
      <c r="AH3199">
        <f>IF($AG3199=1,SUMPRODUCT(--($AK$2:$AK$6001&lt;$AK3199))+1,"")</f>
        <v/>
      </c>
      <c r="AI3199">
        <f>IF($C3199="","",IF(OR($N3199=TRUE(),$N3199="TRUE"),1,0))</f>
        <v/>
      </c>
      <c r="AJ3199">
        <f>IF($C3199="","",IF($T3199="Yes",1,0))</f>
        <v/>
      </c>
      <c r="AK3199">
        <f>IF($AG3199=1,IFERROR(IF(VALUE($C3199)&lt;100000000,VALUE($C3199),1000000000),IFERROR(IF(VALUE(MID($C3199,2,20))&lt;100000000,VALUE(MID($C3199,2,20)),1000000000),1000000000))+ROW()/100000,"")</f>
        <v/>
      </c>
    </row>
    <row r="3200">
      <c r="D3200" s="11" t="n"/>
      <c r="K3200" s="7">
        <f>IF($C3200="","",J3200*W3200/100)</f>
        <v/>
      </c>
      <c r="Q3200" s="7" t="n"/>
      <c r="R3200" s="7" t="n"/>
      <c r="U3200">
        <f>IF($C3200="","",IF($AJ3200=1,0,IF($AI3200=1,Settings!$C$6,Settings!$C$7))*100)</f>
        <v/>
      </c>
      <c r="V3200" s="7">
        <f>IF($C3200="","",R3200*U3200/100)</f>
        <v/>
      </c>
      <c r="W3200" s="7">
        <f>IF($C3200="","",R3200-V3200)</f>
        <v/>
      </c>
      <c r="X3200" s="7">
        <f>IF($C3200="","",W3200-K3200)</f>
        <v/>
      </c>
      <c r="AB3200" s="7" t="n"/>
      <c r="AE3200" s="11" t="n"/>
      <c r="AG3200">
        <f>IF($C3200="","",IF(COUNTIF($C$2:$C3200,$C3200)=1,1,0))</f>
        <v/>
      </c>
      <c r="AH3200">
        <f>IF($AG3200=1,SUMPRODUCT(--($AK$2:$AK$6001&lt;$AK3200))+1,"")</f>
        <v/>
      </c>
      <c r="AI3200">
        <f>IF($C3200="","",IF(OR($N3200=TRUE(),$N3200="TRUE"),1,0))</f>
        <v/>
      </c>
      <c r="AJ3200">
        <f>IF($C3200="","",IF($T3200="Yes",1,0))</f>
        <v/>
      </c>
      <c r="AK3200">
        <f>IF($AG3200=1,IFERROR(IF(VALUE($C3200)&lt;100000000,VALUE($C3200),1000000000),IFERROR(IF(VALUE(MID($C3200,2,20))&lt;100000000,VALUE(MID($C3200,2,20)),1000000000),1000000000))+ROW()/100000,"")</f>
        <v/>
      </c>
    </row>
    <row r="3201">
      <c r="D3201" s="11" t="n"/>
      <c r="K3201" s="7">
        <f>IF($C3201="","",J3201*W3201/100)</f>
        <v/>
      </c>
      <c r="Q3201" s="7" t="n"/>
      <c r="R3201" s="7" t="n"/>
      <c r="U3201">
        <f>IF($C3201="","",IF($AJ3201=1,0,IF($AI3201=1,Settings!$C$6,Settings!$C$7))*100)</f>
        <v/>
      </c>
      <c r="V3201" s="7">
        <f>IF($C3201="","",R3201*U3201/100)</f>
        <v/>
      </c>
      <c r="W3201" s="7">
        <f>IF($C3201="","",R3201-V3201)</f>
        <v/>
      </c>
      <c r="X3201" s="7">
        <f>IF($C3201="","",W3201-K3201)</f>
        <v/>
      </c>
      <c r="AB3201" s="7" t="n"/>
      <c r="AE3201" s="11" t="n"/>
      <c r="AG3201">
        <f>IF($C3201="","",IF(COUNTIF($C$2:$C3201,$C3201)=1,1,0))</f>
        <v/>
      </c>
      <c r="AH3201">
        <f>IF($AG3201=1,SUMPRODUCT(--($AK$2:$AK$6001&lt;$AK3201))+1,"")</f>
        <v/>
      </c>
      <c r="AI3201">
        <f>IF($C3201="","",IF(OR($N3201=TRUE(),$N3201="TRUE"),1,0))</f>
        <v/>
      </c>
      <c r="AJ3201">
        <f>IF($C3201="","",IF($T3201="Yes",1,0))</f>
        <v/>
      </c>
      <c r="AK3201">
        <f>IF($AG3201=1,IFERROR(IF(VALUE($C3201)&lt;100000000,VALUE($C3201),1000000000),IFERROR(IF(VALUE(MID($C3201,2,20))&lt;100000000,VALUE(MID($C3201,2,20)),1000000000),1000000000))+ROW()/100000,"")</f>
        <v/>
      </c>
    </row>
    <row r="3202">
      <c r="D3202" s="11" t="n"/>
      <c r="K3202" s="7">
        <f>IF($C3202="","",J3202*W3202/100)</f>
        <v/>
      </c>
      <c r="Q3202" s="7" t="n"/>
      <c r="R3202" s="7" t="n"/>
      <c r="U3202">
        <f>IF($C3202="","",IF($AJ3202=1,0,IF($AI3202=1,Settings!$C$6,Settings!$C$7))*100)</f>
        <v/>
      </c>
      <c r="V3202" s="7">
        <f>IF($C3202="","",R3202*U3202/100)</f>
        <v/>
      </c>
      <c r="W3202" s="7">
        <f>IF($C3202="","",R3202-V3202)</f>
        <v/>
      </c>
      <c r="X3202" s="7">
        <f>IF($C3202="","",W3202-K3202)</f>
        <v/>
      </c>
      <c r="AB3202" s="7" t="n"/>
      <c r="AE3202" s="11" t="n"/>
      <c r="AG3202">
        <f>IF($C3202="","",IF(COUNTIF($C$2:$C3202,$C3202)=1,1,0))</f>
        <v/>
      </c>
      <c r="AH3202">
        <f>IF($AG3202=1,SUMPRODUCT(--($AK$2:$AK$6001&lt;$AK3202))+1,"")</f>
        <v/>
      </c>
      <c r="AI3202">
        <f>IF($C3202="","",IF(OR($N3202=TRUE(),$N3202="TRUE"),1,0))</f>
        <v/>
      </c>
      <c r="AJ3202">
        <f>IF($C3202="","",IF($T3202="Yes",1,0))</f>
        <v/>
      </c>
      <c r="AK3202">
        <f>IF($AG3202=1,IFERROR(IF(VALUE($C3202)&lt;100000000,VALUE($C3202),1000000000),IFERROR(IF(VALUE(MID($C3202,2,20))&lt;100000000,VALUE(MID($C3202,2,20)),1000000000),1000000000))+ROW()/100000,"")</f>
        <v/>
      </c>
    </row>
    <row r="3203">
      <c r="D3203" s="11" t="n"/>
      <c r="K3203" s="7">
        <f>IF($C3203="","",J3203*W3203/100)</f>
        <v/>
      </c>
      <c r="Q3203" s="7" t="n"/>
      <c r="R3203" s="7" t="n"/>
      <c r="U3203">
        <f>IF($C3203="","",IF($AJ3203=1,0,IF($AI3203=1,Settings!$C$6,Settings!$C$7))*100)</f>
        <v/>
      </c>
      <c r="V3203" s="7">
        <f>IF($C3203="","",R3203*U3203/100)</f>
        <v/>
      </c>
      <c r="W3203" s="7">
        <f>IF($C3203="","",R3203-V3203)</f>
        <v/>
      </c>
      <c r="X3203" s="7">
        <f>IF($C3203="","",W3203-K3203)</f>
        <v/>
      </c>
      <c r="AB3203" s="7" t="n"/>
      <c r="AE3203" s="11" t="n"/>
      <c r="AG3203">
        <f>IF($C3203="","",IF(COUNTIF($C$2:$C3203,$C3203)=1,1,0))</f>
        <v/>
      </c>
      <c r="AH3203">
        <f>IF($AG3203=1,SUMPRODUCT(--($AK$2:$AK$6001&lt;$AK3203))+1,"")</f>
        <v/>
      </c>
      <c r="AI3203">
        <f>IF($C3203="","",IF(OR($N3203=TRUE(),$N3203="TRUE"),1,0))</f>
        <v/>
      </c>
      <c r="AJ3203">
        <f>IF($C3203="","",IF($T3203="Yes",1,0))</f>
        <v/>
      </c>
      <c r="AK3203">
        <f>IF($AG3203=1,IFERROR(IF(VALUE($C3203)&lt;100000000,VALUE($C3203),1000000000),IFERROR(IF(VALUE(MID($C3203,2,20))&lt;100000000,VALUE(MID($C3203,2,20)),1000000000),1000000000))+ROW()/100000,"")</f>
        <v/>
      </c>
    </row>
    <row r="3204">
      <c r="D3204" s="11" t="n"/>
      <c r="K3204" s="7">
        <f>IF($C3204="","",J3204*W3204/100)</f>
        <v/>
      </c>
      <c r="Q3204" s="7" t="n"/>
      <c r="R3204" s="7" t="n"/>
      <c r="U3204">
        <f>IF($C3204="","",IF($AJ3204=1,0,IF($AI3204=1,Settings!$C$6,Settings!$C$7))*100)</f>
        <v/>
      </c>
      <c r="V3204" s="7">
        <f>IF($C3204="","",R3204*U3204/100)</f>
        <v/>
      </c>
      <c r="W3204" s="7">
        <f>IF($C3204="","",R3204-V3204)</f>
        <v/>
      </c>
      <c r="X3204" s="7">
        <f>IF($C3204="","",W3204-K3204)</f>
        <v/>
      </c>
      <c r="AB3204" s="7" t="n"/>
      <c r="AE3204" s="11" t="n"/>
      <c r="AG3204">
        <f>IF($C3204="","",IF(COUNTIF($C$2:$C3204,$C3204)=1,1,0))</f>
        <v/>
      </c>
      <c r="AH3204">
        <f>IF($AG3204=1,SUMPRODUCT(--($AK$2:$AK$6001&lt;$AK3204))+1,"")</f>
        <v/>
      </c>
      <c r="AI3204">
        <f>IF($C3204="","",IF(OR($N3204=TRUE(),$N3204="TRUE"),1,0))</f>
        <v/>
      </c>
      <c r="AJ3204">
        <f>IF($C3204="","",IF($T3204="Yes",1,0))</f>
        <v/>
      </c>
      <c r="AK3204">
        <f>IF($AG3204=1,IFERROR(IF(VALUE($C3204)&lt;100000000,VALUE($C3204),1000000000),IFERROR(IF(VALUE(MID($C3204,2,20))&lt;100000000,VALUE(MID($C3204,2,20)),1000000000),1000000000))+ROW()/100000,"")</f>
        <v/>
      </c>
    </row>
    <row r="3205">
      <c r="D3205" s="11" t="n"/>
      <c r="K3205" s="7">
        <f>IF($C3205="","",J3205*W3205/100)</f>
        <v/>
      </c>
      <c r="Q3205" s="7" t="n"/>
      <c r="R3205" s="7" t="n"/>
      <c r="U3205">
        <f>IF($C3205="","",IF($AJ3205=1,0,IF($AI3205=1,Settings!$C$6,Settings!$C$7))*100)</f>
        <v/>
      </c>
      <c r="V3205" s="7">
        <f>IF($C3205="","",R3205*U3205/100)</f>
        <v/>
      </c>
      <c r="W3205" s="7">
        <f>IF($C3205="","",R3205-V3205)</f>
        <v/>
      </c>
      <c r="X3205" s="7">
        <f>IF($C3205="","",W3205-K3205)</f>
        <v/>
      </c>
      <c r="AB3205" s="7" t="n"/>
      <c r="AE3205" s="11" t="n"/>
      <c r="AG3205">
        <f>IF($C3205="","",IF(COUNTIF($C$2:$C3205,$C3205)=1,1,0))</f>
        <v/>
      </c>
      <c r="AH3205">
        <f>IF($AG3205=1,SUMPRODUCT(--($AK$2:$AK$6001&lt;$AK3205))+1,"")</f>
        <v/>
      </c>
      <c r="AI3205">
        <f>IF($C3205="","",IF(OR($N3205=TRUE(),$N3205="TRUE"),1,0))</f>
        <v/>
      </c>
      <c r="AJ3205">
        <f>IF($C3205="","",IF($T3205="Yes",1,0))</f>
        <v/>
      </c>
      <c r="AK3205">
        <f>IF($AG3205=1,IFERROR(IF(VALUE($C3205)&lt;100000000,VALUE($C3205),1000000000),IFERROR(IF(VALUE(MID($C3205,2,20))&lt;100000000,VALUE(MID($C3205,2,20)),1000000000),1000000000))+ROW()/100000,"")</f>
        <v/>
      </c>
    </row>
    <row r="3206">
      <c r="D3206" s="11" t="n"/>
      <c r="K3206" s="7">
        <f>IF($C3206="","",J3206*W3206/100)</f>
        <v/>
      </c>
      <c r="Q3206" s="7" t="n"/>
      <c r="R3206" s="7" t="n"/>
      <c r="U3206">
        <f>IF($C3206="","",IF($AJ3206=1,0,IF($AI3206=1,Settings!$C$6,Settings!$C$7))*100)</f>
        <v/>
      </c>
      <c r="V3206" s="7">
        <f>IF($C3206="","",R3206*U3206/100)</f>
        <v/>
      </c>
      <c r="W3206" s="7">
        <f>IF($C3206="","",R3206-V3206)</f>
        <v/>
      </c>
      <c r="X3206" s="7">
        <f>IF($C3206="","",W3206-K3206)</f>
        <v/>
      </c>
      <c r="AB3206" s="7" t="n"/>
      <c r="AE3206" s="11" t="n"/>
      <c r="AG3206">
        <f>IF($C3206="","",IF(COUNTIF($C$2:$C3206,$C3206)=1,1,0))</f>
        <v/>
      </c>
      <c r="AH3206">
        <f>IF($AG3206=1,SUMPRODUCT(--($AK$2:$AK$6001&lt;$AK3206))+1,"")</f>
        <v/>
      </c>
      <c r="AI3206">
        <f>IF($C3206="","",IF(OR($N3206=TRUE(),$N3206="TRUE"),1,0))</f>
        <v/>
      </c>
      <c r="AJ3206">
        <f>IF($C3206="","",IF($T3206="Yes",1,0))</f>
        <v/>
      </c>
      <c r="AK3206">
        <f>IF($AG3206=1,IFERROR(IF(VALUE($C3206)&lt;100000000,VALUE($C3206),1000000000),IFERROR(IF(VALUE(MID($C3206,2,20))&lt;100000000,VALUE(MID($C3206,2,20)),1000000000),1000000000))+ROW()/100000,"")</f>
        <v/>
      </c>
    </row>
    <row r="3207">
      <c r="D3207" s="11" t="n"/>
      <c r="K3207" s="7">
        <f>IF($C3207="","",J3207*W3207/100)</f>
        <v/>
      </c>
      <c r="Q3207" s="7" t="n"/>
      <c r="R3207" s="7" t="n"/>
      <c r="U3207">
        <f>IF($C3207="","",IF($AJ3207=1,0,IF($AI3207=1,Settings!$C$6,Settings!$C$7))*100)</f>
        <v/>
      </c>
      <c r="V3207" s="7">
        <f>IF($C3207="","",R3207*U3207/100)</f>
        <v/>
      </c>
      <c r="W3207" s="7">
        <f>IF($C3207="","",R3207-V3207)</f>
        <v/>
      </c>
      <c r="X3207" s="7">
        <f>IF($C3207="","",W3207-K3207)</f>
        <v/>
      </c>
      <c r="AB3207" s="7" t="n"/>
      <c r="AE3207" s="11" t="n"/>
      <c r="AG3207">
        <f>IF($C3207="","",IF(COUNTIF($C$2:$C3207,$C3207)=1,1,0))</f>
        <v/>
      </c>
      <c r="AH3207">
        <f>IF($AG3207=1,SUMPRODUCT(--($AK$2:$AK$6001&lt;$AK3207))+1,"")</f>
        <v/>
      </c>
      <c r="AI3207">
        <f>IF($C3207="","",IF(OR($N3207=TRUE(),$N3207="TRUE"),1,0))</f>
        <v/>
      </c>
      <c r="AJ3207">
        <f>IF($C3207="","",IF($T3207="Yes",1,0))</f>
        <v/>
      </c>
      <c r="AK3207">
        <f>IF($AG3207=1,IFERROR(IF(VALUE($C3207)&lt;100000000,VALUE($C3207),1000000000),IFERROR(IF(VALUE(MID($C3207,2,20))&lt;100000000,VALUE(MID($C3207,2,20)),1000000000),1000000000))+ROW()/100000,"")</f>
        <v/>
      </c>
    </row>
    <row r="3208">
      <c r="D3208" s="11" t="n"/>
      <c r="K3208" s="7">
        <f>IF($C3208="","",J3208*W3208/100)</f>
        <v/>
      </c>
      <c r="Q3208" s="7" t="n"/>
      <c r="R3208" s="7" t="n"/>
      <c r="U3208">
        <f>IF($C3208="","",IF($AJ3208=1,0,IF($AI3208=1,Settings!$C$6,Settings!$C$7))*100)</f>
        <v/>
      </c>
      <c r="V3208" s="7">
        <f>IF($C3208="","",R3208*U3208/100)</f>
        <v/>
      </c>
      <c r="W3208" s="7">
        <f>IF($C3208="","",R3208-V3208)</f>
        <v/>
      </c>
      <c r="X3208" s="7">
        <f>IF($C3208="","",W3208-K3208)</f>
        <v/>
      </c>
      <c r="AB3208" s="7" t="n"/>
      <c r="AE3208" s="11" t="n"/>
      <c r="AG3208">
        <f>IF($C3208="","",IF(COUNTIF($C$2:$C3208,$C3208)=1,1,0))</f>
        <v/>
      </c>
      <c r="AH3208">
        <f>IF($AG3208=1,SUMPRODUCT(--($AK$2:$AK$6001&lt;$AK3208))+1,"")</f>
        <v/>
      </c>
      <c r="AI3208">
        <f>IF($C3208="","",IF(OR($N3208=TRUE(),$N3208="TRUE"),1,0))</f>
        <v/>
      </c>
      <c r="AJ3208">
        <f>IF($C3208="","",IF($T3208="Yes",1,0))</f>
        <v/>
      </c>
      <c r="AK3208">
        <f>IF($AG3208=1,IFERROR(IF(VALUE($C3208)&lt;100000000,VALUE($C3208),1000000000),IFERROR(IF(VALUE(MID($C3208,2,20))&lt;100000000,VALUE(MID($C3208,2,20)),1000000000),1000000000))+ROW()/100000,"")</f>
        <v/>
      </c>
    </row>
    <row r="3209">
      <c r="D3209" s="11" t="n"/>
      <c r="K3209" s="7">
        <f>IF($C3209="","",J3209*W3209/100)</f>
        <v/>
      </c>
      <c r="Q3209" s="7" t="n"/>
      <c r="R3209" s="7" t="n"/>
      <c r="U3209">
        <f>IF($C3209="","",IF($AJ3209=1,0,IF($AI3209=1,Settings!$C$6,Settings!$C$7))*100)</f>
        <v/>
      </c>
      <c r="V3209" s="7">
        <f>IF($C3209="","",R3209*U3209/100)</f>
        <v/>
      </c>
      <c r="W3209" s="7">
        <f>IF($C3209="","",R3209-V3209)</f>
        <v/>
      </c>
      <c r="X3209" s="7">
        <f>IF($C3209="","",W3209-K3209)</f>
        <v/>
      </c>
      <c r="AB3209" s="7" t="n"/>
      <c r="AE3209" s="11" t="n"/>
      <c r="AG3209">
        <f>IF($C3209="","",IF(COUNTIF($C$2:$C3209,$C3209)=1,1,0))</f>
        <v/>
      </c>
      <c r="AH3209">
        <f>IF($AG3209=1,SUMPRODUCT(--($AK$2:$AK$6001&lt;$AK3209))+1,"")</f>
        <v/>
      </c>
      <c r="AI3209">
        <f>IF($C3209="","",IF(OR($N3209=TRUE(),$N3209="TRUE"),1,0))</f>
        <v/>
      </c>
      <c r="AJ3209">
        <f>IF($C3209="","",IF($T3209="Yes",1,0))</f>
        <v/>
      </c>
      <c r="AK3209">
        <f>IF($AG3209=1,IFERROR(IF(VALUE($C3209)&lt;100000000,VALUE($C3209),1000000000),IFERROR(IF(VALUE(MID($C3209,2,20))&lt;100000000,VALUE(MID($C3209,2,20)),1000000000),1000000000))+ROW()/100000,"")</f>
        <v/>
      </c>
    </row>
    <row r="3210">
      <c r="D3210" s="11" t="n"/>
      <c r="K3210" s="7">
        <f>IF($C3210="","",J3210*W3210/100)</f>
        <v/>
      </c>
      <c r="Q3210" s="7" t="n"/>
      <c r="R3210" s="7" t="n"/>
      <c r="U3210">
        <f>IF($C3210="","",IF($AJ3210=1,0,IF($AI3210=1,Settings!$C$6,Settings!$C$7))*100)</f>
        <v/>
      </c>
      <c r="V3210" s="7">
        <f>IF($C3210="","",R3210*U3210/100)</f>
        <v/>
      </c>
      <c r="W3210" s="7">
        <f>IF($C3210="","",R3210-V3210)</f>
        <v/>
      </c>
      <c r="X3210" s="7">
        <f>IF($C3210="","",W3210-K3210)</f>
        <v/>
      </c>
      <c r="AB3210" s="7" t="n"/>
      <c r="AE3210" s="11" t="n"/>
      <c r="AG3210">
        <f>IF($C3210="","",IF(COUNTIF($C$2:$C3210,$C3210)=1,1,0))</f>
        <v/>
      </c>
      <c r="AH3210">
        <f>IF($AG3210=1,SUMPRODUCT(--($AK$2:$AK$6001&lt;$AK3210))+1,"")</f>
        <v/>
      </c>
      <c r="AI3210">
        <f>IF($C3210="","",IF(OR($N3210=TRUE(),$N3210="TRUE"),1,0))</f>
        <v/>
      </c>
      <c r="AJ3210">
        <f>IF($C3210="","",IF($T3210="Yes",1,0))</f>
        <v/>
      </c>
      <c r="AK3210">
        <f>IF($AG3210=1,IFERROR(IF(VALUE($C3210)&lt;100000000,VALUE($C3210),1000000000),IFERROR(IF(VALUE(MID($C3210,2,20))&lt;100000000,VALUE(MID($C3210,2,20)),1000000000),1000000000))+ROW()/100000,"")</f>
        <v/>
      </c>
    </row>
    <row r="3211">
      <c r="D3211" s="11" t="n"/>
      <c r="K3211" s="7">
        <f>IF($C3211="","",J3211*W3211/100)</f>
        <v/>
      </c>
      <c r="Q3211" s="7" t="n"/>
      <c r="R3211" s="7" t="n"/>
      <c r="U3211">
        <f>IF($C3211="","",IF($AJ3211=1,0,IF($AI3211=1,Settings!$C$6,Settings!$C$7))*100)</f>
        <v/>
      </c>
      <c r="V3211" s="7">
        <f>IF($C3211="","",R3211*U3211/100)</f>
        <v/>
      </c>
      <c r="W3211" s="7">
        <f>IF($C3211="","",R3211-V3211)</f>
        <v/>
      </c>
      <c r="X3211" s="7">
        <f>IF($C3211="","",W3211-K3211)</f>
        <v/>
      </c>
      <c r="AB3211" s="7" t="n"/>
      <c r="AE3211" s="11" t="n"/>
      <c r="AG3211">
        <f>IF($C3211="","",IF(COUNTIF($C$2:$C3211,$C3211)=1,1,0))</f>
        <v/>
      </c>
      <c r="AH3211">
        <f>IF($AG3211=1,SUMPRODUCT(--($AK$2:$AK$6001&lt;$AK3211))+1,"")</f>
        <v/>
      </c>
      <c r="AI3211">
        <f>IF($C3211="","",IF(OR($N3211=TRUE(),$N3211="TRUE"),1,0))</f>
        <v/>
      </c>
      <c r="AJ3211">
        <f>IF($C3211="","",IF($T3211="Yes",1,0))</f>
        <v/>
      </c>
      <c r="AK3211">
        <f>IF($AG3211=1,IFERROR(IF(VALUE($C3211)&lt;100000000,VALUE($C3211),1000000000),IFERROR(IF(VALUE(MID($C3211,2,20))&lt;100000000,VALUE(MID($C3211,2,20)),1000000000),1000000000))+ROW()/100000,"")</f>
        <v/>
      </c>
    </row>
    <row r="3212">
      <c r="D3212" s="11" t="n"/>
      <c r="K3212" s="7">
        <f>IF($C3212="","",J3212*W3212/100)</f>
        <v/>
      </c>
      <c r="Q3212" s="7" t="n"/>
      <c r="R3212" s="7" t="n"/>
      <c r="U3212">
        <f>IF($C3212="","",IF($AJ3212=1,0,IF($AI3212=1,Settings!$C$6,Settings!$C$7))*100)</f>
        <v/>
      </c>
      <c r="V3212" s="7">
        <f>IF($C3212="","",R3212*U3212/100)</f>
        <v/>
      </c>
      <c r="W3212" s="7">
        <f>IF($C3212="","",R3212-V3212)</f>
        <v/>
      </c>
      <c r="X3212" s="7">
        <f>IF($C3212="","",W3212-K3212)</f>
        <v/>
      </c>
      <c r="AB3212" s="7" t="n"/>
      <c r="AE3212" s="11" t="n"/>
      <c r="AG3212">
        <f>IF($C3212="","",IF(COUNTIF($C$2:$C3212,$C3212)=1,1,0))</f>
        <v/>
      </c>
      <c r="AH3212">
        <f>IF($AG3212=1,SUMPRODUCT(--($AK$2:$AK$6001&lt;$AK3212))+1,"")</f>
        <v/>
      </c>
      <c r="AI3212">
        <f>IF($C3212="","",IF(OR($N3212=TRUE(),$N3212="TRUE"),1,0))</f>
        <v/>
      </c>
      <c r="AJ3212">
        <f>IF($C3212="","",IF($T3212="Yes",1,0))</f>
        <v/>
      </c>
      <c r="AK3212">
        <f>IF($AG3212=1,IFERROR(IF(VALUE($C3212)&lt;100000000,VALUE($C3212),1000000000),IFERROR(IF(VALUE(MID($C3212,2,20))&lt;100000000,VALUE(MID($C3212,2,20)),1000000000),1000000000))+ROW()/100000,"")</f>
        <v/>
      </c>
    </row>
    <row r="3213">
      <c r="D3213" s="11" t="n"/>
      <c r="K3213" s="7">
        <f>IF($C3213="","",J3213*W3213/100)</f>
        <v/>
      </c>
      <c r="Q3213" s="7" t="n"/>
      <c r="R3213" s="7" t="n"/>
      <c r="U3213">
        <f>IF($C3213="","",IF($AJ3213=1,0,IF($AI3213=1,Settings!$C$6,Settings!$C$7))*100)</f>
        <v/>
      </c>
      <c r="V3213" s="7">
        <f>IF($C3213="","",R3213*U3213/100)</f>
        <v/>
      </c>
      <c r="W3213" s="7">
        <f>IF($C3213="","",R3213-V3213)</f>
        <v/>
      </c>
      <c r="X3213" s="7">
        <f>IF($C3213="","",W3213-K3213)</f>
        <v/>
      </c>
      <c r="AB3213" s="7" t="n"/>
      <c r="AE3213" s="11" t="n"/>
      <c r="AG3213">
        <f>IF($C3213="","",IF(COUNTIF($C$2:$C3213,$C3213)=1,1,0))</f>
        <v/>
      </c>
      <c r="AH3213">
        <f>IF($AG3213=1,SUMPRODUCT(--($AK$2:$AK$6001&lt;$AK3213))+1,"")</f>
        <v/>
      </c>
      <c r="AI3213">
        <f>IF($C3213="","",IF(OR($N3213=TRUE(),$N3213="TRUE"),1,0))</f>
        <v/>
      </c>
      <c r="AJ3213">
        <f>IF($C3213="","",IF($T3213="Yes",1,0))</f>
        <v/>
      </c>
      <c r="AK3213">
        <f>IF($AG3213=1,IFERROR(IF(VALUE($C3213)&lt;100000000,VALUE($C3213),1000000000),IFERROR(IF(VALUE(MID($C3213,2,20))&lt;100000000,VALUE(MID($C3213,2,20)),1000000000),1000000000))+ROW()/100000,"")</f>
        <v/>
      </c>
    </row>
    <row r="3214">
      <c r="D3214" s="11" t="n"/>
      <c r="K3214" s="7">
        <f>IF($C3214="","",J3214*W3214/100)</f>
        <v/>
      </c>
      <c r="Q3214" s="7" t="n"/>
      <c r="R3214" s="7" t="n"/>
      <c r="U3214">
        <f>IF($C3214="","",IF($AJ3214=1,0,IF($AI3214=1,Settings!$C$6,Settings!$C$7))*100)</f>
        <v/>
      </c>
      <c r="V3214" s="7">
        <f>IF($C3214="","",R3214*U3214/100)</f>
        <v/>
      </c>
      <c r="W3214" s="7">
        <f>IF($C3214="","",R3214-V3214)</f>
        <v/>
      </c>
      <c r="X3214" s="7">
        <f>IF($C3214="","",W3214-K3214)</f>
        <v/>
      </c>
      <c r="AB3214" s="7" t="n"/>
      <c r="AE3214" s="11" t="n"/>
      <c r="AG3214">
        <f>IF($C3214="","",IF(COUNTIF($C$2:$C3214,$C3214)=1,1,0))</f>
        <v/>
      </c>
      <c r="AH3214">
        <f>IF($AG3214=1,SUMPRODUCT(--($AK$2:$AK$6001&lt;$AK3214))+1,"")</f>
        <v/>
      </c>
      <c r="AI3214">
        <f>IF($C3214="","",IF(OR($N3214=TRUE(),$N3214="TRUE"),1,0))</f>
        <v/>
      </c>
      <c r="AJ3214">
        <f>IF($C3214="","",IF($T3214="Yes",1,0))</f>
        <v/>
      </c>
      <c r="AK3214">
        <f>IF($AG3214=1,IFERROR(IF(VALUE($C3214)&lt;100000000,VALUE($C3214),1000000000),IFERROR(IF(VALUE(MID($C3214,2,20))&lt;100000000,VALUE(MID($C3214,2,20)),1000000000),1000000000))+ROW()/100000,"")</f>
        <v/>
      </c>
    </row>
    <row r="3215">
      <c r="D3215" s="11" t="n"/>
      <c r="K3215" s="7">
        <f>IF($C3215="","",J3215*W3215/100)</f>
        <v/>
      </c>
      <c r="Q3215" s="7" t="n"/>
      <c r="R3215" s="7" t="n"/>
      <c r="U3215">
        <f>IF($C3215="","",IF($AJ3215=1,0,IF($AI3215=1,Settings!$C$6,Settings!$C$7))*100)</f>
        <v/>
      </c>
      <c r="V3215" s="7">
        <f>IF($C3215="","",R3215*U3215/100)</f>
        <v/>
      </c>
      <c r="W3215" s="7">
        <f>IF($C3215="","",R3215-V3215)</f>
        <v/>
      </c>
      <c r="X3215" s="7">
        <f>IF($C3215="","",W3215-K3215)</f>
        <v/>
      </c>
      <c r="AB3215" s="7" t="n"/>
      <c r="AE3215" s="11" t="n"/>
      <c r="AG3215">
        <f>IF($C3215="","",IF(COUNTIF($C$2:$C3215,$C3215)=1,1,0))</f>
        <v/>
      </c>
      <c r="AH3215">
        <f>IF($AG3215=1,SUMPRODUCT(--($AK$2:$AK$6001&lt;$AK3215))+1,"")</f>
        <v/>
      </c>
      <c r="AI3215">
        <f>IF($C3215="","",IF(OR($N3215=TRUE(),$N3215="TRUE"),1,0))</f>
        <v/>
      </c>
      <c r="AJ3215">
        <f>IF($C3215="","",IF($T3215="Yes",1,0))</f>
        <v/>
      </c>
      <c r="AK3215">
        <f>IF($AG3215=1,IFERROR(IF(VALUE($C3215)&lt;100000000,VALUE($C3215),1000000000),IFERROR(IF(VALUE(MID($C3215,2,20))&lt;100000000,VALUE(MID($C3215,2,20)),1000000000),1000000000))+ROW()/100000,"")</f>
        <v/>
      </c>
    </row>
    <row r="3216">
      <c r="D3216" s="11" t="n"/>
      <c r="K3216" s="7">
        <f>IF($C3216="","",J3216*W3216/100)</f>
        <v/>
      </c>
      <c r="Q3216" s="7" t="n"/>
      <c r="R3216" s="7" t="n"/>
      <c r="U3216">
        <f>IF($C3216="","",IF($AJ3216=1,0,IF($AI3216=1,Settings!$C$6,Settings!$C$7))*100)</f>
        <v/>
      </c>
      <c r="V3216" s="7">
        <f>IF($C3216="","",R3216*U3216/100)</f>
        <v/>
      </c>
      <c r="W3216" s="7">
        <f>IF($C3216="","",R3216-V3216)</f>
        <v/>
      </c>
      <c r="X3216" s="7">
        <f>IF($C3216="","",W3216-K3216)</f>
        <v/>
      </c>
      <c r="AB3216" s="7" t="n"/>
      <c r="AE3216" s="11" t="n"/>
      <c r="AG3216">
        <f>IF($C3216="","",IF(COUNTIF($C$2:$C3216,$C3216)=1,1,0))</f>
        <v/>
      </c>
      <c r="AH3216">
        <f>IF($AG3216=1,SUMPRODUCT(--($AK$2:$AK$6001&lt;$AK3216))+1,"")</f>
        <v/>
      </c>
      <c r="AI3216">
        <f>IF($C3216="","",IF(OR($N3216=TRUE(),$N3216="TRUE"),1,0))</f>
        <v/>
      </c>
      <c r="AJ3216">
        <f>IF($C3216="","",IF($T3216="Yes",1,0))</f>
        <v/>
      </c>
      <c r="AK3216">
        <f>IF($AG3216=1,IFERROR(IF(VALUE($C3216)&lt;100000000,VALUE($C3216),1000000000),IFERROR(IF(VALUE(MID($C3216,2,20))&lt;100000000,VALUE(MID($C3216,2,20)),1000000000),1000000000))+ROW()/100000,"")</f>
        <v/>
      </c>
    </row>
    <row r="3217">
      <c r="D3217" s="11" t="n"/>
      <c r="K3217" s="7">
        <f>IF($C3217="","",J3217*W3217/100)</f>
        <v/>
      </c>
      <c r="Q3217" s="7" t="n"/>
      <c r="R3217" s="7" t="n"/>
      <c r="U3217">
        <f>IF($C3217="","",IF($AJ3217=1,0,IF($AI3217=1,Settings!$C$6,Settings!$C$7))*100)</f>
        <v/>
      </c>
      <c r="V3217" s="7">
        <f>IF($C3217="","",R3217*U3217/100)</f>
        <v/>
      </c>
      <c r="W3217" s="7">
        <f>IF($C3217="","",R3217-V3217)</f>
        <v/>
      </c>
      <c r="X3217" s="7">
        <f>IF($C3217="","",W3217-K3217)</f>
        <v/>
      </c>
      <c r="AB3217" s="7" t="n"/>
      <c r="AE3217" s="11" t="n"/>
      <c r="AG3217">
        <f>IF($C3217="","",IF(COUNTIF($C$2:$C3217,$C3217)=1,1,0))</f>
        <v/>
      </c>
      <c r="AH3217">
        <f>IF($AG3217=1,SUMPRODUCT(--($AK$2:$AK$6001&lt;$AK3217))+1,"")</f>
        <v/>
      </c>
      <c r="AI3217">
        <f>IF($C3217="","",IF(OR($N3217=TRUE(),$N3217="TRUE"),1,0))</f>
        <v/>
      </c>
      <c r="AJ3217">
        <f>IF($C3217="","",IF($T3217="Yes",1,0))</f>
        <v/>
      </c>
      <c r="AK3217">
        <f>IF($AG3217=1,IFERROR(IF(VALUE($C3217)&lt;100000000,VALUE($C3217),1000000000),IFERROR(IF(VALUE(MID($C3217,2,20))&lt;100000000,VALUE(MID($C3217,2,20)),1000000000),1000000000))+ROW()/100000,"")</f>
        <v/>
      </c>
    </row>
    <row r="3218">
      <c r="D3218" s="11" t="n"/>
      <c r="K3218" s="7">
        <f>IF($C3218="","",J3218*W3218/100)</f>
        <v/>
      </c>
      <c r="Q3218" s="7" t="n"/>
      <c r="R3218" s="7" t="n"/>
      <c r="U3218">
        <f>IF($C3218="","",IF($AJ3218=1,0,IF($AI3218=1,Settings!$C$6,Settings!$C$7))*100)</f>
        <v/>
      </c>
      <c r="V3218" s="7">
        <f>IF($C3218="","",R3218*U3218/100)</f>
        <v/>
      </c>
      <c r="W3218" s="7">
        <f>IF($C3218="","",R3218-V3218)</f>
        <v/>
      </c>
      <c r="X3218" s="7">
        <f>IF($C3218="","",W3218-K3218)</f>
        <v/>
      </c>
      <c r="AB3218" s="7" t="n"/>
      <c r="AE3218" s="11" t="n"/>
      <c r="AG3218">
        <f>IF($C3218="","",IF(COUNTIF($C$2:$C3218,$C3218)=1,1,0))</f>
        <v/>
      </c>
      <c r="AH3218">
        <f>IF($AG3218=1,SUMPRODUCT(--($AK$2:$AK$6001&lt;$AK3218))+1,"")</f>
        <v/>
      </c>
      <c r="AI3218">
        <f>IF($C3218="","",IF(OR($N3218=TRUE(),$N3218="TRUE"),1,0))</f>
        <v/>
      </c>
      <c r="AJ3218">
        <f>IF($C3218="","",IF($T3218="Yes",1,0))</f>
        <v/>
      </c>
      <c r="AK3218">
        <f>IF($AG3218=1,IFERROR(IF(VALUE($C3218)&lt;100000000,VALUE($C3218),1000000000),IFERROR(IF(VALUE(MID($C3218,2,20))&lt;100000000,VALUE(MID($C3218,2,20)),1000000000),1000000000))+ROW()/100000,"")</f>
        <v/>
      </c>
    </row>
    <row r="3219">
      <c r="D3219" s="11" t="n"/>
      <c r="K3219" s="7">
        <f>IF($C3219="","",J3219*W3219/100)</f>
        <v/>
      </c>
      <c r="Q3219" s="7" t="n"/>
      <c r="R3219" s="7" t="n"/>
      <c r="U3219">
        <f>IF($C3219="","",IF($AJ3219=1,0,IF($AI3219=1,Settings!$C$6,Settings!$C$7))*100)</f>
        <v/>
      </c>
      <c r="V3219" s="7">
        <f>IF($C3219="","",R3219*U3219/100)</f>
        <v/>
      </c>
      <c r="W3219" s="7">
        <f>IF($C3219="","",R3219-V3219)</f>
        <v/>
      </c>
      <c r="X3219" s="7">
        <f>IF($C3219="","",W3219-K3219)</f>
        <v/>
      </c>
      <c r="AB3219" s="7" t="n"/>
      <c r="AE3219" s="11" t="n"/>
      <c r="AG3219">
        <f>IF($C3219="","",IF(COUNTIF($C$2:$C3219,$C3219)=1,1,0))</f>
        <v/>
      </c>
      <c r="AH3219">
        <f>IF($AG3219=1,SUMPRODUCT(--($AK$2:$AK$6001&lt;$AK3219))+1,"")</f>
        <v/>
      </c>
      <c r="AI3219">
        <f>IF($C3219="","",IF(OR($N3219=TRUE(),$N3219="TRUE"),1,0))</f>
        <v/>
      </c>
      <c r="AJ3219">
        <f>IF($C3219="","",IF($T3219="Yes",1,0))</f>
        <v/>
      </c>
      <c r="AK3219">
        <f>IF($AG3219=1,IFERROR(IF(VALUE($C3219)&lt;100000000,VALUE($C3219),1000000000),IFERROR(IF(VALUE(MID($C3219,2,20))&lt;100000000,VALUE(MID($C3219,2,20)),1000000000),1000000000))+ROW()/100000,"")</f>
        <v/>
      </c>
    </row>
    <row r="3220">
      <c r="D3220" s="11" t="n"/>
      <c r="K3220" s="7">
        <f>IF($C3220="","",J3220*W3220/100)</f>
        <v/>
      </c>
      <c r="Q3220" s="7" t="n"/>
      <c r="R3220" s="7" t="n"/>
      <c r="U3220">
        <f>IF($C3220="","",IF($AJ3220=1,0,IF($AI3220=1,Settings!$C$6,Settings!$C$7))*100)</f>
        <v/>
      </c>
      <c r="V3220" s="7">
        <f>IF($C3220="","",R3220*U3220/100)</f>
        <v/>
      </c>
      <c r="W3220" s="7">
        <f>IF($C3220="","",R3220-V3220)</f>
        <v/>
      </c>
      <c r="X3220" s="7">
        <f>IF($C3220="","",W3220-K3220)</f>
        <v/>
      </c>
      <c r="AB3220" s="7" t="n"/>
      <c r="AE3220" s="11" t="n"/>
      <c r="AG3220">
        <f>IF($C3220="","",IF(COUNTIF($C$2:$C3220,$C3220)=1,1,0))</f>
        <v/>
      </c>
      <c r="AH3220">
        <f>IF($AG3220=1,SUMPRODUCT(--($AK$2:$AK$6001&lt;$AK3220))+1,"")</f>
        <v/>
      </c>
      <c r="AI3220">
        <f>IF($C3220="","",IF(OR($N3220=TRUE(),$N3220="TRUE"),1,0))</f>
        <v/>
      </c>
      <c r="AJ3220">
        <f>IF($C3220="","",IF($T3220="Yes",1,0))</f>
        <v/>
      </c>
      <c r="AK3220">
        <f>IF($AG3220=1,IFERROR(IF(VALUE($C3220)&lt;100000000,VALUE($C3220),1000000000),IFERROR(IF(VALUE(MID($C3220,2,20))&lt;100000000,VALUE(MID($C3220,2,20)),1000000000),1000000000))+ROW()/100000,"")</f>
        <v/>
      </c>
    </row>
    <row r="3221">
      <c r="D3221" s="11" t="n"/>
      <c r="K3221" s="7">
        <f>IF($C3221="","",J3221*W3221/100)</f>
        <v/>
      </c>
      <c r="Q3221" s="7" t="n"/>
      <c r="R3221" s="7" t="n"/>
      <c r="U3221">
        <f>IF($C3221="","",IF($AJ3221=1,0,IF($AI3221=1,Settings!$C$6,Settings!$C$7))*100)</f>
        <v/>
      </c>
      <c r="V3221" s="7">
        <f>IF($C3221="","",R3221*U3221/100)</f>
        <v/>
      </c>
      <c r="W3221" s="7">
        <f>IF($C3221="","",R3221-V3221)</f>
        <v/>
      </c>
      <c r="X3221" s="7">
        <f>IF($C3221="","",W3221-K3221)</f>
        <v/>
      </c>
      <c r="AB3221" s="7" t="n"/>
      <c r="AE3221" s="11" t="n"/>
      <c r="AG3221">
        <f>IF($C3221="","",IF(COUNTIF($C$2:$C3221,$C3221)=1,1,0))</f>
        <v/>
      </c>
      <c r="AH3221">
        <f>IF($AG3221=1,SUMPRODUCT(--($AK$2:$AK$6001&lt;$AK3221))+1,"")</f>
        <v/>
      </c>
      <c r="AI3221">
        <f>IF($C3221="","",IF(OR($N3221=TRUE(),$N3221="TRUE"),1,0))</f>
        <v/>
      </c>
      <c r="AJ3221">
        <f>IF($C3221="","",IF($T3221="Yes",1,0))</f>
        <v/>
      </c>
      <c r="AK3221">
        <f>IF($AG3221=1,IFERROR(IF(VALUE($C3221)&lt;100000000,VALUE($C3221),1000000000),IFERROR(IF(VALUE(MID($C3221,2,20))&lt;100000000,VALUE(MID($C3221,2,20)),1000000000),1000000000))+ROW()/100000,"")</f>
        <v/>
      </c>
    </row>
    <row r="3222">
      <c r="D3222" s="11" t="n"/>
      <c r="K3222" s="7">
        <f>IF($C3222="","",J3222*W3222/100)</f>
        <v/>
      </c>
      <c r="Q3222" s="7" t="n"/>
      <c r="R3222" s="7" t="n"/>
      <c r="U3222">
        <f>IF($C3222="","",IF($AJ3222=1,0,IF($AI3222=1,Settings!$C$6,Settings!$C$7))*100)</f>
        <v/>
      </c>
      <c r="V3222" s="7">
        <f>IF($C3222="","",R3222*U3222/100)</f>
        <v/>
      </c>
      <c r="W3222" s="7">
        <f>IF($C3222="","",R3222-V3222)</f>
        <v/>
      </c>
      <c r="X3222" s="7">
        <f>IF($C3222="","",W3222-K3222)</f>
        <v/>
      </c>
      <c r="AB3222" s="7" t="n"/>
      <c r="AE3222" s="11" t="n"/>
      <c r="AG3222">
        <f>IF($C3222="","",IF(COUNTIF($C$2:$C3222,$C3222)=1,1,0))</f>
        <v/>
      </c>
      <c r="AH3222">
        <f>IF($AG3222=1,SUMPRODUCT(--($AK$2:$AK$6001&lt;$AK3222))+1,"")</f>
        <v/>
      </c>
      <c r="AI3222">
        <f>IF($C3222="","",IF(OR($N3222=TRUE(),$N3222="TRUE"),1,0))</f>
        <v/>
      </c>
      <c r="AJ3222">
        <f>IF($C3222="","",IF($T3222="Yes",1,0))</f>
        <v/>
      </c>
      <c r="AK3222">
        <f>IF($AG3222=1,IFERROR(IF(VALUE($C3222)&lt;100000000,VALUE($C3222),1000000000),IFERROR(IF(VALUE(MID($C3222,2,20))&lt;100000000,VALUE(MID($C3222,2,20)),1000000000),1000000000))+ROW()/100000,"")</f>
        <v/>
      </c>
    </row>
    <row r="3223">
      <c r="D3223" s="11" t="n"/>
      <c r="K3223" s="7">
        <f>IF($C3223="","",J3223*W3223/100)</f>
        <v/>
      </c>
      <c r="Q3223" s="7" t="n"/>
      <c r="R3223" s="7" t="n"/>
      <c r="U3223">
        <f>IF($C3223="","",IF($AJ3223=1,0,IF($AI3223=1,Settings!$C$6,Settings!$C$7))*100)</f>
        <v/>
      </c>
      <c r="V3223" s="7">
        <f>IF($C3223="","",R3223*U3223/100)</f>
        <v/>
      </c>
      <c r="W3223" s="7">
        <f>IF($C3223="","",R3223-V3223)</f>
        <v/>
      </c>
      <c r="X3223" s="7">
        <f>IF($C3223="","",W3223-K3223)</f>
        <v/>
      </c>
      <c r="AB3223" s="7" t="n"/>
      <c r="AE3223" s="11" t="n"/>
      <c r="AG3223">
        <f>IF($C3223="","",IF(COUNTIF($C$2:$C3223,$C3223)=1,1,0))</f>
        <v/>
      </c>
      <c r="AH3223">
        <f>IF($AG3223=1,SUMPRODUCT(--($AK$2:$AK$6001&lt;$AK3223))+1,"")</f>
        <v/>
      </c>
      <c r="AI3223">
        <f>IF($C3223="","",IF(OR($N3223=TRUE(),$N3223="TRUE"),1,0))</f>
        <v/>
      </c>
      <c r="AJ3223">
        <f>IF($C3223="","",IF($T3223="Yes",1,0))</f>
        <v/>
      </c>
      <c r="AK3223">
        <f>IF($AG3223=1,IFERROR(IF(VALUE($C3223)&lt;100000000,VALUE($C3223),1000000000),IFERROR(IF(VALUE(MID($C3223,2,20))&lt;100000000,VALUE(MID($C3223,2,20)),1000000000),1000000000))+ROW()/100000,"")</f>
        <v/>
      </c>
    </row>
    <row r="3224">
      <c r="D3224" s="11" t="n"/>
      <c r="K3224" s="7">
        <f>IF($C3224="","",J3224*W3224/100)</f>
        <v/>
      </c>
      <c r="Q3224" s="7" t="n"/>
      <c r="R3224" s="7" t="n"/>
      <c r="U3224">
        <f>IF($C3224="","",IF($AJ3224=1,0,IF($AI3224=1,Settings!$C$6,Settings!$C$7))*100)</f>
        <v/>
      </c>
      <c r="V3224" s="7">
        <f>IF($C3224="","",R3224*U3224/100)</f>
        <v/>
      </c>
      <c r="W3224" s="7">
        <f>IF($C3224="","",R3224-V3224)</f>
        <v/>
      </c>
      <c r="X3224" s="7">
        <f>IF($C3224="","",W3224-K3224)</f>
        <v/>
      </c>
      <c r="AB3224" s="7" t="n"/>
      <c r="AE3224" s="11" t="n"/>
      <c r="AG3224">
        <f>IF($C3224="","",IF(COUNTIF($C$2:$C3224,$C3224)=1,1,0))</f>
        <v/>
      </c>
      <c r="AH3224">
        <f>IF($AG3224=1,SUMPRODUCT(--($AK$2:$AK$6001&lt;$AK3224))+1,"")</f>
        <v/>
      </c>
      <c r="AI3224">
        <f>IF($C3224="","",IF(OR($N3224=TRUE(),$N3224="TRUE"),1,0))</f>
        <v/>
      </c>
      <c r="AJ3224">
        <f>IF($C3224="","",IF($T3224="Yes",1,0))</f>
        <v/>
      </c>
      <c r="AK3224">
        <f>IF($AG3224=1,IFERROR(IF(VALUE($C3224)&lt;100000000,VALUE($C3224),1000000000),IFERROR(IF(VALUE(MID($C3224,2,20))&lt;100000000,VALUE(MID($C3224,2,20)),1000000000),1000000000))+ROW()/100000,"")</f>
        <v/>
      </c>
    </row>
    <row r="3225">
      <c r="D3225" s="11" t="n"/>
      <c r="K3225" s="7">
        <f>IF($C3225="","",J3225*W3225/100)</f>
        <v/>
      </c>
      <c r="Q3225" s="7" t="n"/>
      <c r="R3225" s="7" t="n"/>
      <c r="U3225">
        <f>IF($C3225="","",IF($AJ3225=1,0,IF($AI3225=1,Settings!$C$6,Settings!$C$7))*100)</f>
        <v/>
      </c>
      <c r="V3225" s="7">
        <f>IF($C3225="","",R3225*U3225/100)</f>
        <v/>
      </c>
      <c r="W3225" s="7">
        <f>IF($C3225="","",R3225-V3225)</f>
        <v/>
      </c>
      <c r="X3225" s="7">
        <f>IF($C3225="","",W3225-K3225)</f>
        <v/>
      </c>
      <c r="AB3225" s="7" t="n"/>
      <c r="AE3225" s="11" t="n"/>
      <c r="AG3225">
        <f>IF($C3225="","",IF(COUNTIF($C$2:$C3225,$C3225)=1,1,0))</f>
        <v/>
      </c>
      <c r="AH3225">
        <f>IF($AG3225=1,SUMPRODUCT(--($AK$2:$AK$6001&lt;$AK3225))+1,"")</f>
        <v/>
      </c>
      <c r="AI3225">
        <f>IF($C3225="","",IF(OR($N3225=TRUE(),$N3225="TRUE"),1,0))</f>
        <v/>
      </c>
      <c r="AJ3225">
        <f>IF($C3225="","",IF($T3225="Yes",1,0))</f>
        <v/>
      </c>
      <c r="AK3225">
        <f>IF($AG3225=1,IFERROR(IF(VALUE($C3225)&lt;100000000,VALUE($C3225),1000000000),IFERROR(IF(VALUE(MID($C3225,2,20))&lt;100000000,VALUE(MID($C3225,2,20)),1000000000),1000000000))+ROW()/100000,"")</f>
        <v/>
      </c>
    </row>
    <row r="3226">
      <c r="D3226" s="11" t="n"/>
      <c r="K3226" s="7">
        <f>IF($C3226="","",J3226*W3226/100)</f>
        <v/>
      </c>
      <c r="Q3226" s="7" t="n"/>
      <c r="R3226" s="7" t="n"/>
      <c r="U3226">
        <f>IF($C3226="","",IF($AJ3226=1,0,IF($AI3226=1,Settings!$C$6,Settings!$C$7))*100)</f>
        <v/>
      </c>
      <c r="V3226" s="7">
        <f>IF($C3226="","",R3226*U3226/100)</f>
        <v/>
      </c>
      <c r="W3226" s="7">
        <f>IF($C3226="","",R3226-V3226)</f>
        <v/>
      </c>
      <c r="X3226" s="7">
        <f>IF($C3226="","",W3226-K3226)</f>
        <v/>
      </c>
      <c r="AB3226" s="7" t="n"/>
      <c r="AE3226" s="11" t="n"/>
      <c r="AG3226">
        <f>IF($C3226="","",IF(COUNTIF($C$2:$C3226,$C3226)=1,1,0))</f>
        <v/>
      </c>
      <c r="AH3226">
        <f>IF($AG3226=1,SUMPRODUCT(--($AK$2:$AK$6001&lt;$AK3226))+1,"")</f>
        <v/>
      </c>
      <c r="AI3226">
        <f>IF($C3226="","",IF(OR($N3226=TRUE(),$N3226="TRUE"),1,0))</f>
        <v/>
      </c>
      <c r="AJ3226">
        <f>IF($C3226="","",IF($T3226="Yes",1,0))</f>
        <v/>
      </c>
      <c r="AK3226">
        <f>IF($AG3226=1,IFERROR(IF(VALUE($C3226)&lt;100000000,VALUE($C3226),1000000000),IFERROR(IF(VALUE(MID($C3226,2,20))&lt;100000000,VALUE(MID($C3226,2,20)),1000000000),1000000000))+ROW()/100000,"")</f>
        <v/>
      </c>
    </row>
    <row r="3227">
      <c r="D3227" s="11" t="n"/>
      <c r="K3227" s="7">
        <f>IF($C3227="","",J3227*W3227/100)</f>
        <v/>
      </c>
      <c r="Q3227" s="7" t="n"/>
      <c r="R3227" s="7" t="n"/>
      <c r="U3227">
        <f>IF($C3227="","",IF($AJ3227=1,0,IF($AI3227=1,Settings!$C$6,Settings!$C$7))*100)</f>
        <v/>
      </c>
      <c r="V3227" s="7">
        <f>IF($C3227="","",R3227*U3227/100)</f>
        <v/>
      </c>
      <c r="W3227" s="7">
        <f>IF($C3227="","",R3227-V3227)</f>
        <v/>
      </c>
      <c r="X3227" s="7">
        <f>IF($C3227="","",W3227-K3227)</f>
        <v/>
      </c>
      <c r="AB3227" s="7" t="n"/>
      <c r="AE3227" s="11" t="n"/>
      <c r="AG3227">
        <f>IF($C3227="","",IF(COUNTIF($C$2:$C3227,$C3227)=1,1,0))</f>
        <v/>
      </c>
      <c r="AH3227">
        <f>IF($AG3227=1,SUMPRODUCT(--($AK$2:$AK$6001&lt;$AK3227))+1,"")</f>
        <v/>
      </c>
      <c r="AI3227">
        <f>IF($C3227="","",IF(OR($N3227=TRUE(),$N3227="TRUE"),1,0))</f>
        <v/>
      </c>
      <c r="AJ3227">
        <f>IF($C3227="","",IF($T3227="Yes",1,0))</f>
        <v/>
      </c>
      <c r="AK3227">
        <f>IF($AG3227=1,IFERROR(IF(VALUE($C3227)&lt;100000000,VALUE($C3227),1000000000),IFERROR(IF(VALUE(MID($C3227,2,20))&lt;100000000,VALUE(MID($C3227,2,20)),1000000000),1000000000))+ROW()/100000,"")</f>
        <v/>
      </c>
    </row>
    <row r="3228">
      <c r="D3228" s="11" t="n"/>
      <c r="K3228" s="7">
        <f>IF($C3228="","",J3228*W3228/100)</f>
        <v/>
      </c>
      <c r="Q3228" s="7" t="n"/>
      <c r="R3228" s="7" t="n"/>
      <c r="U3228">
        <f>IF($C3228="","",IF($AJ3228=1,0,IF($AI3228=1,Settings!$C$6,Settings!$C$7))*100)</f>
        <v/>
      </c>
      <c r="V3228" s="7">
        <f>IF($C3228="","",R3228*U3228/100)</f>
        <v/>
      </c>
      <c r="W3228" s="7">
        <f>IF($C3228="","",R3228-V3228)</f>
        <v/>
      </c>
      <c r="X3228" s="7">
        <f>IF($C3228="","",W3228-K3228)</f>
        <v/>
      </c>
      <c r="AB3228" s="7" t="n"/>
      <c r="AE3228" s="11" t="n"/>
      <c r="AG3228">
        <f>IF($C3228="","",IF(COUNTIF($C$2:$C3228,$C3228)=1,1,0))</f>
        <v/>
      </c>
      <c r="AH3228">
        <f>IF($AG3228=1,SUMPRODUCT(--($AK$2:$AK$6001&lt;$AK3228))+1,"")</f>
        <v/>
      </c>
      <c r="AI3228">
        <f>IF($C3228="","",IF(OR($N3228=TRUE(),$N3228="TRUE"),1,0))</f>
        <v/>
      </c>
      <c r="AJ3228">
        <f>IF($C3228="","",IF($T3228="Yes",1,0))</f>
        <v/>
      </c>
      <c r="AK3228">
        <f>IF($AG3228=1,IFERROR(IF(VALUE($C3228)&lt;100000000,VALUE($C3228),1000000000),IFERROR(IF(VALUE(MID($C3228,2,20))&lt;100000000,VALUE(MID($C3228,2,20)),1000000000),1000000000))+ROW()/100000,"")</f>
        <v/>
      </c>
    </row>
    <row r="3229">
      <c r="D3229" s="11" t="n"/>
      <c r="K3229" s="7">
        <f>IF($C3229="","",J3229*W3229/100)</f>
        <v/>
      </c>
      <c r="Q3229" s="7" t="n"/>
      <c r="R3229" s="7" t="n"/>
      <c r="U3229">
        <f>IF($C3229="","",IF($AJ3229=1,0,IF($AI3229=1,Settings!$C$6,Settings!$C$7))*100)</f>
        <v/>
      </c>
      <c r="V3229" s="7">
        <f>IF($C3229="","",R3229*U3229/100)</f>
        <v/>
      </c>
      <c r="W3229" s="7">
        <f>IF($C3229="","",R3229-V3229)</f>
        <v/>
      </c>
      <c r="X3229" s="7">
        <f>IF($C3229="","",W3229-K3229)</f>
        <v/>
      </c>
      <c r="AB3229" s="7" t="n"/>
      <c r="AE3229" s="11" t="n"/>
      <c r="AG3229">
        <f>IF($C3229="","",IF(COUNTIF($C$2:$C3229,$C3229)=1,1,0))</f>
        <v/>
      </c>
      <c r="AH3229">
        <f>IF($AG3229=1,SUMPRODUCT(--($AK$2:$AK$6001&lt;$AK3229))+1,"")</f>
        <v/>
      </c>
      <c r="AI3229">
        <f>IF($C3229="","",IF(OR($N3229=TRUE(),$N3229="TRUE"),1,0))</f>
        <v/>
      </c>
      <c r="AJ3229">
        <f>IF($C3229="","",IF($T3229="Yes",1,0))</f>
        <v/>
      </c>
      <c r="AK3229">
        <f>IF($AG3229=1,IFERROR(IF(VALUE($C3229)&lt;100000000,VALUE($C3229),1000000000),IFERROR(IF(VALUE(MID($C3229,2,20))&lt;100000000,VALUE(MID($C3229,2,20)),1000000000),1000000000))+ROW()/100000,"")</f>
        <v/>
      </c>
    </row>
    <row r="3230">
      <c r="D3230" s="11" t="n"/>
      <c r="K3230" s="7">
        <f>IF($C3230="","",J3230*W3230/100)</f>
        <v/>
      </c>
      <c r="Q3230" s="7" t="n"/>
      <c r="R3230" s="7" t="n"/>
      <c r="U3230">
        <f>IF($C3230="","",IF($AJ3230=1,0,IF($AI3230=1,Settings!$C$6,Settings!$C$7))*100)</f>
        <v/>
      </c>
      <c r="V3230" s="7">
        <f>IF($C3230="","",R3230*U3230/100)</f>
        <v/>
      </c>
      <c r="W3230" s="7">
        <f>IF($C3230="","",R3230-V3230)</f>
        <v/>
      </c>
      <c r="X3230" s="7">
        <f>IF($C3230="","",W3230-K3230)</f>
        <v/>
      </c>
      <c r="AB3230" s="7" t="n"/>
      <c r="AE3230" s="11" t="n"/>
      <c r="AG3230">
        <f>IF($C3230="","",IF(COUNTIF($C$2:$C3230,$C3230)=1,1,0))</f>
        <v/>
      </c>
      <c r="AH3230">
        <f>IF($AG3230=1,SUMPRODUCT(--($AK$2:$AK$6001&lt;$AK3230))+1,"")</f>
        <v/>
      </c>
      <c r="AI3230">
        <f>IF($C3230="","",IF(OR($N3230=TRUE(),$N3230="TRUE"),1,0))</f>
        <v/>
      </c>
      <c r="AJ3230">
        <f>IF($C3230="","",IF($T3230="Yes",1,0))</f>
        <v/>
      </c>
      <c r="AK3230">
        <f>IF($AG3230=1,IFERROR(IF(VALUE($C3230)&lt;100000000,VALUE($C3230),1000000000),IFERROR(IF(VALUE(MID($C3230,2,20))&lt;100000000,VALUE(MID($C3230,2,20)),1000000000),1000000000))+ROW()/100000,"")</f>
        <v/>
      </c>
    </row>
    <row r="3231">
      <c r="D3231" s="11" t="n"/>
      <c r="K3231" s="7">
        <f>IF($C3231="","",J3231*W3231/100)</f>
        <v/>
      </c>
      <c r="Q3231" s="7" t="n"/>
      <c r="R3231" s="7" t="n"/>
      <c r="U3231">
        <f>IF($C3231="","",IF($AJ3231=1,0,IF($AI3231=1,Settings!$C$6,Settings!$C$7))*100)</f>
        <v/>
      </c>
      <c r="V3231" s="7">
        <f>IF($C3231="","",R3231*U3231/100)</f>
        <v/>
      </c>
      <c r="W3231" s="7">
        <f>IF($C3231="","",R3231-V3231)</f>
        <v/>
      </c>
      <c r="X3231" s="7">
        <f>IF($C3231="","",W3231-K3231)</f>
        <v/>
      </c>
      <c r="AB3231" s="7" t="n"/>
      <c r="AE3231" s="11" t="n"/>
      <c r="AG3231">
        <f>IF($C3231="","",IF(COUNTIF($C$2:$C3231,$C3231)=1,1,0))</f>
        <v/>
      </c>
      <c r="AH3231">
        <f>IF($AG3231=1,SUMPRODUCT(--($AK$2:$AK$6001&lt;$AK3231))+1,"")</f>
        <v/>
      </c>
      <c r="AI3231">
        <f>IF($C3231="","",IF(OR($N3231=TRUE(),$N3231="TRUE"),1,0))</f>
        <v/>
      </c>
      <c r="AJ3231">
        <f>IF($C3231="","",IF($T3231="Yes",1,0))</f>
        <v/>
      </c>
      <c r="AK3231">
        <f>IF($AG3231=1,IFERROR(IF(VALUE($C3231)&lt;100000000,VALUE($C3231),1000000000),IFERROR(IF(VALUE(MID($C3231,2,20))&lt;100000000,VALUE(MID($C3231,2,20)),1000000000),1000000000))+ROW()/100000,"")</f>
        <v/>
      </c>
    </row>
    <row r="3232">
      <c r="D3232" s="11" t="n"/>
      <c r="K3232" s="7">
        <f>IF($C3232="","",J3232*W3232/100)</f>
        <v/>
      </c>
      <c r="Q3232" s="7" t="n"/>
      <c r="R3232" s="7" t="n"/>
      <c r="U3232">
        <f>IF($C3232="","",IF($AJ3232=1,0,IF($AI3232=1,Settings!$C$6,Settings!$C$7))*100)</f>
        <v/>
      </c>
      <c r="V3232" s="7">
        <f>IF($C3232="","",R3232*U3232/100)</f>
        <v/>
      </c>
      <c r="W3232" s="7">
        <f>IF($C3232="","",R3232-V3232)</f>
        <v/>
      </c>
      <c r="X3232" s="7">
        <f>IF($C3232="","",W3232-K3232)</f>
        <v/>
      </c>
      <c r="AB3232" s="7" t="n"/>
      <c r="AE3232" s="11" t="n"/>
      <c r="AG3232">
        <f>IF($C3232="","",IF(COUNTIF($C$2:$C3232,$C3232)=1,1,0))</f>
        <v/>
      </c>
      <c r="AH3232">
        <f>IF($AG3232=1,SUMPRODUCT(--($AK$2:$AK$6001&lt;$AK3232))+1,"")</f>
        <v/>
      </c>
      <c r="AI3232">
        <f>IF($C3232="","",IF(OR($N3232=TRUE(),$N3232="TRUE"),1,0))</f>
        <v/>
      </c>
      <c r="AJ3232">
        <f>IF($C3232="","",IF($T3232="Yes",1,0))</f>
        <v/>
      </c>
      <c r="AK3232">
        <f>IF($AG3232=1,IFERROR(IF(VALUE($C3232)&lt;100000000,VALUE($C3232),1000000000),IFERROR(IF(VALUE(MID($C3232,2,20))&lt;100000000,VALUE(MID($C3232,2,20)),1000000000),1000000000))+ROW()/100000,"")</f>
        <v/>
      </c>
    </row>
    <row r="3233">
      <c r="D3233" s="11" t="n"/>
      <c r="K3233" s="7">
        <f>IF($C3233="","",J3233*W3233/100)</f>
        <v/>
      </c>
      <c r="Q3233" s="7" t="n"/>
      <c r="R3233" s="7" t="n"/>
      <c r="U3233">
        <f>IF($C3233="","",IF($AJ3233=1,0,IF($AI3233=1,Settings!$C$6,Settings!$C$7))*100)</f>
        <v/>
      </c>
      <c r="V3233" s="7">
        <f>IF($C3233="","",R3233*U3233/100)</f>
        <v/>
      </c>
      <c r="W3233" s="7">
        <f>IF($C3233="","",R3233-V3233)</f>
        <v/>
      </c>
      <c r="X3233" s="7">
        <f>IF($C3233="","",W3233-K3233)</f>
        <v/>
      </c>
      <c r="AB3233" s="7" t="n"/>
      <c r="AE3233" s="11" t="n"/>
      <c r="AG3233">
        <f>IF($C3233="","",IF(COUNTIF($C$2:$C3233,$C3233)=1,1,0))</f>
        <v/>
      </c>
      <c r="AH3233">
        <f>IF($AG3233=1,SUMPRODUCT(--($AK$2:$AK$6001&lt;$AK3233))+1,"")</f>
        <v/>
      </c>
      <c r="AI3233">
        <f>IF($C3233="","",IF(OR($N3233=TRUE(),$N3233="TRUE"),1,0))</f>
        <v/>
      </c>
      <c r="AJ3233">
        <f>IF($C3233="","",IF($T3233="Yes",1,0))</f>
        <v/>
      </c>
      <c r="AK3233">
        <f>IF($AG3233=1,IFERROR(IF(VALUE($C3233)&lt;100000000,VALUE($C3233),1000000000),IFERROR(IF(VALUE(MID($C3233,2,20))&lt;100000000,VALUE(MID($C3233,2,20)),1000000000),1000000000))+ROW()/100000,"")</f>
        <v/>
      </c>
    </row>
    <row r="3234">
      <c r="D3234" s="11" t="n"/>
      <c r="K3234" s="7">
        <f>IF($C3234="","",J3234*W3234/100)</f>
        <v/>
      </c>
      <c r="Q3234" s="7" t="n"/>
      <c r="R3234" s="7" t="n"/>
      <c r="U3234">
        <f>IF($C3234="","",IF($AJ3234=1,0,IF($AI3234=1,Settings!$C$6,Settings!$C$7))*100)</f>
        <v/>
      </c>
      <c r="V3234" s="7">
        <f>IF($C3234="","",R3234*U3234/100)</f>
        <v/>
      </c>
      <c r="W3234" s="7">
        <f>IF($C3234="","",R3234-V3234)</f>
        <v/>
      </c>
      <c r="X3234" s="7">
        <f>IF($C3234="","",W3234-K3234)</f>
        <v/>
      </c>
      <c r="AB3234" s="7" t="n"/>
      <c r="AE3234" s="11" t="n"/>
      <c r="AG3234">
        <f>IF($C3234="","",IF(COUNTIF($C$2:$C3234,$C3234)=1,1,0))</f>
        <v/>
      </c>
      <c r="AH3234">
        <f>IF($AG3234=1,SUMPRODUCT(--($AK$2:$AK$6001&lt;$AK3234))+1,"")</f>
        <v/>
      </c>
      <c r="AI3234">
        <f>IF($C3234="","",IF(OR($N3234=TRUE(),$N3234="TRUE"),1,0))</f>
        <v/>
      </c>
      <c r="AJ3234">
        <f>IF($C3234="","",IF($T3234="Yes",1,0))</f>
        <v/>
      </c>
      <c r="AK3234">
        <f>IF($AG3234=1,IFERROR(IF(VALUE($C3234)&lt;100000000,VALUE($C3234),1000000000),IFERROR(IF(VALUE(MID($C3234,2,20))&lt;100000000,VALUE(MID($C3234,2,20)),1000000000),1000000000))+ROW()/100000,"")</f>
        <v/>
      </c>
    </row>
    <row r="3235">
      <c r="D3235" s="11" t="n"/>
      <c r="K3235" s="7">
        <f>IF($C3235="","",J3235*W3235/100)</f>
        <v/>
      </c>
      <c r="Q3235" s="7" t="n"/>
      <c r="R3235" s="7" t="n"/>
      <c r="U3235">
        <f>IF($C3235="","",IF($AJ3235=1,0,IF($AI3235=1,Settings!$C$6,Settings!$C$7))*100)</f>
        <v/>
      </c>
      <c r="V3235" s="7">
        <f>IF($C3235="","",R3235*U3235/100)</f>
        <v/>
      </c>
      <c r="W3235" s="7">
        <f>IF($C3235="","",R3235-V3235)</f>
        <v/>
      </c>
      <c r="X3235" s="7">
        <f>IF($C3235="","",W3235-K3235)</f>
        <v/>
      </c>
      <c r="AB3235" s="7" t="n"/>
      <c r="AE3235" s="11" t="n"/>
      <c r="AG3235">
        <f>IF($C3235="","",IF(COUNTIF($C$2:$C3235,$C3235)=1,1,0))</f>
        <v/>
      </c>
      <c r="AH3235">
        <f>IF($AG3235=1,SUMPRODUCT(--($AK$2:$AK$6001&lt;$AK3235))+1,"")</f>
        <v/>
      </c>
      <c r="AI3235">
        <f>IF($C3235="","",IF(OR($N3235=TRUE(),$N3235="TRUE"),1,0))</f>
        <v/>
      </c>
      <c r="AJ3235">
        <f>IF($C3235="","",IF($T3235="Yes",1,0))</f>
        <v/>
      </c>
      <c r="AK3235">
        <f>IF($AG3235=1,IFERROR(IF(VALUE($C3235)&lt;100000000,VALUE($C3235),1000000000),IFERROR(IF(VALUE(MID($C3235,2,20))&lt;100000000,VALUE(MID($C3235,2,20)),1000000000),1000000000))+ROW()/100000,"")</f>
        <v/>
      </c>
    </row>
    <row r="3236">
      <c r="D3236" s="11" t="n"/>
      <c r="K3236" s="7">
        <f>IF($C3236="","",J3236*W3236/100)</f>
        <v/>
      </c>
      <c r="Q3236" s="7" t="n"/>
      <c r="R3236" s="7" t="n"/>
      <c r="U3236">
        <f>IF($C3236="","",IF($AJ3236=1,0,IF($AI3236=1,Settings!$C$6,Settings!$C$7))*100)</f>
        <v/>
      </c>
      <c r="V3236" s="7">
        <f>IF($C3236="","",R3236*U3236/100)</f>
        <v/>
      </c>
      <c r="W3236" s="7">
        <f>IF($C3236="","",R3236-V3236)</f>
        <v/>
      </c>
      <c r="X3236" s="7">
        <f>IF($C3236="","",W3236-K3236)</f>
        <v/>
      </c>
      <c r="AB3236" s="7" t="n"/>
      <c r="AE3236" s="11" t="n"/>
      <c r="AG3236">
        <f>IF($C3236="","",IF(COUNTIF($C$2:$C3236,$C3236)=1,1,0))</f>
        <v/>
      </c>
      <c r="AH3236">
        <f>IF($AG3236=1,SUMPRODUCT(--($AK$2:$AK$6001&lt;$AK3236))+1,"")</f>
        <v/>
      </c>
      <c r="AI3236">
        <f>IF($C3236="","",IF(OR($N3236=TRUE(),$N3236="TRUE"),1,0))</f>
        <v/>
      </c>
      <c r="AJ3236">
        <f>IF($C3236="","",IF($T3236="Yes",1,0))</f>
        <v/>
      </c>
      <c r="AK3236">
        <f>IF($AG3236=1,IFERROR(IF(VALUE($C3236)&lt;100000000,VALUE($C3236),1000000000),IFERROR(IF(VALUE(MID($C3236,2,20))&lt;100000000,VALUE(MID($C3236,2,20)),1000000000),1000000000))+ROW()/100000,"")</f>
        <v/>
      </c>
    </row>
    <row r="3237">
      <c r="D3237" s="11" t="n"/>
      <c r="K3237" s="7">
        <f>IF($C3237="","",J3237*W3237/100)</f>
        <v/>
      </c>
      <c r="Q3237" s="7" t="n"/>
      <c r="R3237" s="7" t="n"/>
      <c r="U3237">
        <f>IF($C3237="","",IF($AJ3237=1,0,IF($AI3237=1,Settings!$C$6,Settings!$C$7))*100)</f>
        <v/>
      </c>
      <c r="V3237" s="7">
        <f>IF($C3237="","",R3237*U3237/100)</f>
        <v/>
      </c>
      <c r="W3237" s="7">
        <f>IF($C3237="","",R3237-V3237)</f>
        <v/>
      </c>
      <c r="X3237" s="7">
        <f>IF($C3237="","",W3237-K3237)</f>
        <v/>
      </c>
      <c r="AB3237" s="7" t="n"/>
      <c r="AE3237" s="11" t="n"/>
      <c r="AG3237">
        <f>IF($C3237="","",IF(COUNTIF($C$2:$C3237,$C3237)=1,1,0))</f>
        <v/>
      </c>
      <c r="AH3237">
        <f>IF($AG3237=1,SUMPRODUCT(--($AK$2:$AK$6001&lt;$AK3237))+1,"")</f>
        <v/>
      </c>
      <c r="AI3237">
        <f>IF($C3237="","",IF(OR($N3237=TRUE(),$N3237="TRUE"),1,0))</f>
        <v/>
      </c>
      <c r="AJ3237">
        <f>IF($C3237="","",IF($T3237="Yes",1,0))</f>
        <v/>
      </c>
      <c r="AK3237">
        <f>IF($AG3237=1,IFERROR(IF(VALUE($C3237)&lt;100000000,VALUE($C3237),1000000000),IFERROR(IF(VALUE(MID($C3237,2,20))&lt;100000000,VALUE(MID($C3237,2,20)),1000000000),1000000000))+ROW()/100000,"")</f>
        <v/>
      </c>
    </row>
    <row r="3238">
      <c r="D3238" s="11" t="n"/>
      <c r="K3238" s="7">
        <f>IF($C3238="","",J3238*W3238/100)</f>
        <v/>
      </c>
      <c r="Q3238" s="7" t="n"/>
      <c r="R3238" s="7" t="n"/>
      <c r="U3238">
        <f>IF($C3238="","",IF($AJ3238=1,0,IF($AI3238=1,Settings!$C$6,Settings!$C$7))*100)</f>
        <v/>
      </c>
      <c r="V3238" s="7">
        <f>IF($C3238="","",R3238*U3238/100)</f>
        <v/>
      </c>
      <c r="W3238" s="7">
        <f>IF($C3238="","",R3238-V3238)</f>
        <v/>
      </c>
      <c r="X3238" s="7">
        <f>IF($C3238="","",W3238-K3238)</f>
        <v/>
      </c>
      <c r="AB3238" s="7" t="n"/>
      <c r="AE3238" s="11" t="n"/>
      <c r="AG3238">
        <f>IF($C3238="","",IF(COUNTIF($C$2:$C3238,$C3238)=1,1,0))</f>
        <v/>
      </c>
      <c r="AH3238">
        <f>IF($AG3238=1,SUMPRODUCT(--($AK$2:$AK$6001&lt;$AK3238))+1,"")</f>
        <v/>
      </c>
      <c r="AI3238">
        <f>IF($C3238="","",IF(OR($N3238=TRUE(),$N3238="TRUE"),1,0))</f>
        <v/>
      </c>
      <c r="AJ3238">
        <f>IF($C3238="","",IF($T3238="Yes",1,0))</f>
        <v/>
      </c>
      <c r="AK3238">
        <f>IF($AG3238=1,IFERROR(IF(VALUE($C3238)&lt;100000000,VALUE($C3238),1000000000),IFERROR(IF(VALUE(MID($C3238,2,20))&lt;100000000,VALUE(MID($C3238,2,20)),1000000000),1000000000))+ROW()/100000,"")</f>
        <v/>
      </c>
    </row>
    <row r="3239">
      <c r="D3239" s="11" t="n"/>
      <c r="K3239" s="7">
        <f>IF($C3239="","",J3239*W3239/100)</f>
        <v/>
      </c>
      <c r="Q3239" s="7" t="n"/>
      <c r="R3239" s="7" t="n"/>
      <c r="U3239">
        <f>IF($C3239="","",IF($AJ3239=1,0,IF($AI3239=1,Settings!$C$6,Settings!$C$7))*100)</f>
        <v/>
      </c>
      <c r="V3239" s="7">
        <f>IF($C3239="","",R3239*U3239/100)</f>
        <v/>
      </c>
      <c r="W3239" s="7">
        <f>IF($C3239="","",R3239-V3239)</f>
        <v/>
      </c>
      <c r="X3239" s="7">
        <f>IF($C3239="","",W3239-K3239)</f>
        <v/>
      </c>
      <c r="AB3239" s="7" t="n"/>
      <c r="AE3239" s="11" t="n"/>
      <c r="AG3239">
        <f>IF($C3239="","",IF(COUNTIF($C$2:$C3239,$C3239)=1,1,0))</f>
        <v/>
      </c>
      <c r="AH3239">
        <f>IF($AG3239=1,SUMPRODUCT(--($AK$2:$AK$6001&lt;$AK3239))+1,"")</f>
        <v/>
      </c>
      <c r="AI3239">
        <f>IF($C3239="","",IF(OR($N3239=TRUE(),$N3239="TRUE"),1,0))</f>
        <v/>
      </c>
      <c r="AJ3239">
        <f>IF($C3239="","",IF($T3239="Yes",1,0))</f>
        <v/>
      </c>
      <c r="AK3239">
        <f>IF($AG3239=1,IFERROR(IF(VALUE($C3239)&lt;100000000,VALUE($C3239),1000000000),IFERROR(IF(VALUE(MID($C3239,2,20))&lt;100000000,VALUE(MID($C3239,2,20)),1000000000),1000000000))+ROW()/100000,"")</f>
        <v/>
      </c>
    </row>
    <row r="3240">
      <c r="D3240" s="11" t="n"/>
      <c r="K3240" s="7">
        <f>IF($C3240="","",J3240*W3240/100)</f>
        <v/>
      </c>
      <c r="Q3240" s="7" t="n"/>
      <c r="R3240" s="7" t="n"/>
      <c r="U3240">
        <f>IF($C3240="","",IF($AJ3240=1,0,IF($AI3240=1,Settings!$C$6,Settings!$C$7))*100)</f>
        <v/>
      </c>
      <c r="V3240" s="7">
        <f>IF($C3240="","",R3240*U3240/100)</f>
        <v/>
      </c>
      <c r="W3240" s="7">
        <f>IF($C3240="","",R3240-V3240)</f>
        <v/>
      </c>
      <c r="X3240" s="7">
        <f>IF($C3240="","",W3240-K3240)</f>
        <v/>
      </c>
      <c r="AB3240" s="7" t="n"/>
      <c r="AE3240" s="11" t="n"/>
      <c r="AG3240">
        <f>IF($C3240="","",IF(COUNTIF($C$2:$C3240,$C3240)=1,1,0))</f>
        <v/>
      </c>
      <c r="AH3240">
        <f>IF($AG3240=1,SUMPRODUCT(--($AK$2:$AK$6001&lt;$AK3240))+1,"")</f>
        <v/>
      </c>
      <c r="AI3240">
        <f>IF($C3240="","",IF(OR($N3240=TRUE(),$N3240="TRUE"),1,0))</f>
        <v/>
      </c>
      <c r="AJ3240">
        <f>IF($C3240="","",IF($T3240="Yes",1,0))</f>
        <v/>
      </c>
      <c r="AK3240">
        <f>IF($AG3240=1,IFERROR(IF(VALUE($C3240)&lt;100000000,VALUE($C3240),1000000000),IFERROR(IF(VALUE(MID($C3240,2,20))&lt;100000000,VALUE(MID($C3240,2,20)),1000000000),1000000000))+ROW()/100000,"")</f>
        <v/>
      </c>
    </row>
    <row r="3241">
      <c r="D3241" s="11" t="n"/>
      <c r="K3241" s="7">
        <f>IF($C3241="","",J3241*W3241/100)</f>
        <v/>
      </c>
      <c r="Q3241" s="7" t="n"/>
      <c r="R3241" s="7" t="n"/>
      <c r="U3241">
        <f>IF($C3241="","",IF($AJ3241=1,0,IF($AI3241=1,Settings!$C$6,Settings!$C$7))*100)</f>
        <v/>
      </c>
      <c r="V3241" s="7">
        <f>IF($C3241="","",R3241*U3241/100)</f>
        <v/>
      </c>
      <c r="W3241" s="7">
        <f>IF($C3241="","",R3241-V3241)</f>
        <v/>
      </c>
      <c r="X3241" s="7">
        <f>IF($C3241="","",W3241-K3241)</f>
        <v/>
      </c>
      <c r="AB3241" s="7" t="n"/>
      <c r="AE3241" s="11" t="n"/>
      <c r="AG3241">
        <f>IF($C3241="","",IF(COUNTIF($C$2:$C3241,$C3241)=1,1,0))</f>
        <v/>
      </c>
      <c r="AH3241">
        <f>IF($AG3241=1,SUMPRODUCT(--($AK$2:$AK$6001&lt;$AK3241))+1,"")</f>
        <v/>
      </c>
      <c r="AI3241">
        <f>IF($C3241="","",IF(OR($N3241=TRUE(),$N3241="TRUE"),1,0))</f>
        <v/>
      </c>
      <c r="AJ3241">
        <f>IF($C3241="","",IF($T3241="Yes",1,0))</f>
        <v/>
      </c>
      <c r="AK3241">
        <f>IF($AG3241=1,IFERROR(IF(VALUE($C3241)&lt;100000000,VALUE($C3241),1000000000),IFERROR(IF(VALUE(MID($C3241,2,20))&lt;100000000,VALUE(MID($C3241,2,20)),1000000000),1000000000))+ROW()/100000,"")</f>
        <v/>
      </c>
    </row>
    <row r="3242">
      <c r="D3242" s="11" t="n"/>
      <c r="K3242" s="7">
        <f>IF($C3242="","",J3242*W3242/100)</f>
        <v/>
      </c>
      <c r="Q3242" s="7" t="n"/>
      <c r="R3242" s="7" t="n"/>
      <c r="U3242">
        <f>IF($C3242="","",IF($AJ3242=1,0,IF($AI3242=1,Settings!$C$6,Settings!$C$7))*100)</f>
        <v/>
      </c>
      <c r="V3242" s="7">
        <f>IF($C3242="","",R3242*U3242/100)</f>
        <v/>
      </c>
      <c r="W3242" s="7">
        <f>IF($C3242="","",R3242-V3242)</f>
        <v/>
      </c>
      <c r="X3242" s="7">
        <f>IF($C3242="","",W3242-K3242)</f>
        <v/>
      </c>
      <c r="AB3242" s="7" t="n"/>
      <c r="AE3242" s="11" t="n"/>
      <c r="AG3242">
        <f>IF($C3242="","",IF(COUNTIF($C$2:$C3242,$C3242)=1,1,0))</f>
        <v/>
      </c>
      <c r="AH3242">
        <f>IF($AG3242=1,SUMPRODUCT(--($AK$2:$AK$6001&lt;$AK3242))+1,"")</f>
        <v/>
      </c>
      <c r="AI3242">
        <f>IF($C3242="","",IF(OR($N3242=TRUE(),$N3242="TRUE"),1,0))</f>
        <v/>
      </c>
      <c r="AJ3242">
        <f>IF($C3242="","",IF($T3242="Yes",1,0))</f>
        <v/>
      </c>
      <c r="AK3242">
        <f>IF($AG3242=1,IFERROR(IF(VALUE($C3242)&lt;100000000,VALUE($C3242),1000000000),IFERROR(IF(VALUE(MID($C3242,2,20))&lt;100000000,VALUE(MID($C3242,2,20)),1000000000),1000000000))+ROW()/100000,"")</f>
        <v/>
      </c>
    </row>
    <row r="3243">
      <c r="D3243" s="11" t="n"/>
      <c r="K3243" s="7">
        <f>IF($C3243="","",J3243*W3243/100)</f>
        <v/>
      </c>
      <c r="Q3243" s="7" t="n"/>
      <c r="R3243" s="7" t="n"/>
      <c r="U3243">
        <f>IF($C3243="","",IF($AJ3243=1,0,IF($AI3243=1,Settings!$C$6,Settings!$C$7))*100)</f>
        <v/>
      </c>
      <c r="V3243" s="7">
        <f>IF($C3243="","",R3243*U3243/100)</f>
        <v/>
      </c>
      <c r="W3243" s="7">
        <f>IF($C3243="","",R3243-V3243)</f>
        <v/>
      </c>
      <c r="X3243" s="7">
        <f>IF($C3243="","",W3243-K3243)</f>
        <v/>
      </c>
      <c r="AB3243" s="7" t="n"/>
      <c r="AE3243" s="11" t="n"/>
      <c r="AG3243">
        <f>IF($C3243="","",IF(COUNTIF($C$2:$C3243,$C3243)=1,1,0))</f>
        <v/>
      </c>
      <c r="AH3243">
        <f>IF($AG3243=1,SUMPRODUCT(--($AK$2:$AK$6001&lt;$AK3243))+1,"")</f>
        <v/>
      </c>
      <c r="AI3243">
        <f>IF($C3243="","",IF(OR($N3243=TRUE(),$N3243="TRUE"),1,0))</f>
        <v/>
      </c>
      <c r="AJ3243">
        <f>IF($C3243="","",IF($T3243="Yes",1,0))</f>
        <v/>
      </c>
      <c r="AK3243">
        <f>IF($AG3243=1,IFERROR(IF(VALUE($C3243)&lt;100000000,VALUE($C3243),1000000000),IFERROR(IF(VALUE(MID($C3243,2,20))&lt;100000000,VALUE(MID($C3243,2,20)),1000000000),1000000000))+ROW()/100000,"")</f>
        <v/>
      </c>
    </row>
    <row r="3244">
      <c r="D3244" s="11" t="n"/>
      <c r="K3244" s="7">
        <f>IF($C3244="","",J3244*W3244/100)</f>
        <v/>
      </c>
      <c r="Q3244" s="7" t="n"/>
      <c r="R3244" s="7" t="n"/>
      <c r="U3244">
        <f>IF($C3244="","",IF($AJ3244=1,0,IF($AI3244=1,Settings!$C$6,Settings!$C$7))*100)</f>
        <v/>
      </c>
      <c r="V3244" s="7">
        <f>IF($C3244="","",R3244*U3244/100)</f>
        <v/>
      </c>
      <c r="W3244" s="7">
        <f>IF($C3244="","",R3244-V3244)</f>
        <v/>
      </c>
      <c r="X3244" s="7">
        <f>IF($C3244="","",W3244-K3244)</f>
        <v/>
      </c>
      <c r="AB3244" s="7" t="n"/>
      <c r="AE3244" s="11" t="n"/>
      <c r="AG3244">
        <f>IF($C3244="","",IF(COUNTIF($C$2:$C3244,$C3244)=1,1,0))</f>
        <v/>
      </c>
      <c r="AH3244">
        <f>IF($AG3244=1,SUMPRODUCT(--($AK$2:$AK$6001&lt;$AK3244))+1,"")</f>
        <v/>
      </c>
      <c r="AI3244">
        <f>IF($C3244="","",IF(OR($N3244=TRUE(),$N3244="TRUE"),1,0))</f>
        <v/>
      </c>
      <c r="AJ3244">
        <f>IF($C3244="","",IF($T3244="Yes",1,0))</f>
        <v/>
      </c>
      <c r="AK3244">
        <f>IF($AG3244=1,IFERROR(IF(VALUE($C3244)&lt;100000000,VALUE($C3244),1000000000),IFERROR(IF(VALUE(MID($C3244,2,20))&lt;100000000,VALUE(MID($C3244,2,20)),1000000000),1000000000))+ROW()/100000,"")</f>
        <v/>
      </c>
    </row>
    <row r="3245">
      <c r="D3245" s="11" t="n"/>
      <c r="K3245" s="7">
        <f>IF($C3245="","",J3245*W3245/100)</f>
        <v/>
      </c>
      <c r="Q3245" s="7" t="n"/>
      <c r="R3245" s="7" t="n"/>
      <c r="U3245">
        <f>IF($C3245="","",IF($AJ3245=1,0,IF($AI3245=1,Settings!$C$6,Settings!$C$7))*100)</f>
        <v/>
      </c>
      <c r="V3245" s="7">
        <f>IF($C3245="","",R3245*U3245/100)</f>
        <v/>
      </c>
      <c r="W3245" s="7">
        <f>IF($C3245="","",R3245-V3245)</f>
        <v/>
      </c>
      <c r="X3245" s="7">
        <f>IF($C3245="","",W3245-K3245)</f>
        <v/>
      </c>
      <c r="AB3245" s="7" t="n"/>
      <c r="AE3245" s="11" t="n"/>
      <c r="AG3245">
        <f>IF($C3245="","",IF(COUNTIF($C$2:$C3245,$C3245)=1,1,0))</f>
        <v/>
      </c>
      <c r="AH3245">
        <f>IF($AG3245=1,SUMPRODUCT(--($AK$2:$AK$6001&lt;$AK3245))+1,"")</f>
        <v/>
      </c>
      <c r="AI3245">
        <f>IF($C3245="","",IF(OR($N3245=TRUE(),$N3245="TRUE"),1,0))</f>
        <v/>
      </c>
      <c r="AJ3245">
        <f>IF($C3245="","",IF($T3245="Yes",1,0))</f>
        <v/>
      </c>
      <c r="AK3245">
        <f>IF($AG3245=1,IFERROR(IF(VALUE($C3245)&lt;100000000,VALUE($C3245),1000000000),IFERROR(IF(VALUE(MID($C3245,2,20))&lt;100000000,VALUE(MID($C3245,2,20)),1000000000),1000000000))+ROW()/100000,"")</f>
        <v/>
      </c>
    </row>
    <row r="3246">
      <c r="D3246" s="11" t="n"/>
      <c r="K3246" s="7">
        <f>IF($C3246="","",J3246*W3246/100)</f>
        <v/>
      </c>
      <c r="Q3246" s="7" t="n"/>
      <c r="R3246" s="7" t="n"/>
      <c r="U3246">
        <f>IF($C3246="","",IF($AJ3246=1,0,IF($AI3246=1,Settings!$C$6,Settings!$C$7))*100)</f>
        <v/>
      </c>
      <c r="V3246" s="7">
        <f>IF($C3246="","",R3246*U3246/100)</f>
        <v/>
      </c>
      <c r="W3246" s="7">
        <f>IF($C3246="","",R3246-V3246)</f>
        <v/>
      </c>
      <c r="X3246" s="7">
        <f>IF($C3246="","",W3246-K3246)</f>
        <v/>
      </c>
      <c r="AB3246" s="7" t="n"/>
      <c r="AE3246" s="11" t="n"/>
      <c r="AG3246">
        <f>IF($C3246="","",IF(COUNTIF($C$2:$C3246,$C3246)=1,1,0))</f>
        <v/>
      </c>
      <c r="AH3246">
        <f>IF($AG3246=1,SUMPRODUCT(--($AK$2:$AK$6001&lt;$AK3246))+1,"")</f>
        <v/>
      </c>
      <c r="AI3246">
        <f>IF($C3246="","",IF(OR($N3246=TRUE(),$N3246="TRUE"),1,0))</f>
        <v/>
      </c>
      <c r="AJ3246">
        <f>IF($C3246="","",IF($T3246="Yes",1,0))</f>
        <v/>
      </c>
      <c r="AK3246">
        <f>IF($AG3246=1,IFERROR(IF(VALUE($C3246)&lt;100000000,VALUE($C3246),1000000000),IFERROR(IF(VALUE(MID($C3246,2,20))&lt;100000000,VALUE(MID($C3246,2,20)),1000000000),1000000000))+ROW()/100000,"")</f>
        <v/>
      </c>
    </row>
    <row r="3247">
      <c r="D3247" s="11" t="n"/>
      <c r="K3247" s="7">
        <f>IF($C3247="","",J3247*W3247/100)</f>
        <v/>
      </c>
      <c r="Q3247" s="7" t="n"/>
      <c r="R3247" s="7" t="n"/>
      <c r="U3247">
        <f>IF($C3247="","",IF($AJ3247=1,0,IF($AI3247=1,Settings!$C$6,Settings!$C$7))*100)</f>
        <v/>
      </c>
      <c r="V3247" s="7">
        <f>IF($C3247="","",R3247*U3247/100)</f>
        <v/>
      </c>
      <c r="W3247" s="7">
        <f>IF($C3247="","",R3247-V3247)</f>
        <v/>
      </c>
      <c r="X3247" s="7">
        <f>IF($C3247="","",W3247-K3247)</f>
        <v/>
      </c>
      <c r="AB3247" s="7" t="n"/>
      <c r="AE3247" s="11" t="n"/>
      <c r="AG3247">
        <f>IF($C3247="","",IF(COUNTIF($C$2:$C3247,$C3247)=1,1,0))</f>
        <v/>
      </c>
      <c r="AH3247">
        <f>IF($AG3247=1,SUMPRODUCT(--($AK$2:$AK$6001&lt;$AK3247))+1,"")</f>
        <v/>
      </c>
      <c r="AI3247">
        <f>IF($C3247="","",IF(OR($N3247=TRUE(),$N3247="TRUE"),1,0))</f>
        <v/>
      </c>
      <c r="AJ3247">
        <f>IF($C3247="","",IF($T3247="Yes",1,0))</f>
        <v/>
      </c>
      <c r="AK3247">
        <f>IF($AG3247=1,IFERROR(IF(VALUE($C3247)&lt;100000000,VALUE($C3247),1000000000),IFERROR(IF(VALUE(MID($C3247,2,20))&lt;100000000,VALUE(MID($C3247,2,20)),1000000000),1000000000))+ROW()/100000,"")</f>
        <v/>
      </c>
    </row>
    <row r="3248">
      <c r="D3248" s="11" t="n"/>
      <c r="K3248" s="7">
        <f>IF($C3248="","",J3248*W3248/100)</f>
        <v/>
      </c>
      <c r="Q3248" s="7" t="n"/>
      <c r="R3248" s="7" t="n"/>
      <c r="U3248">
        <f>IF($C3248="","",IF($AJ3248=1,0,IF($AI3248=1,Settings!$C$6,Settings!$C$7))*100)</f>
        <v/>
      </c>
      <c r="V3248" s="7">
        <f>IF($C3248="","",R3248*U3248/100)</f>
        <v/>
      </c>
      <c r="W3248" s="7">
        <f>IF($C3248="","",R3248-V3248)</f>
        <v/>
      </c>
      <c r="X3248" s="7">
        <f>IF($C3248="","",W3248-K3248)</f>
        <v/>
      </c>
      <c r="AB3248" s="7" t="n"/>
      <c r="AE3248" s="11" t="n"/>
      <c r="AG3248">
        <f>IF($C3248="","",IF(COUNTIF($C$2:$C3248,$C3248)=1,1,0))</f>
        <v/>
      </c>
      <c r="AH3248">
        <f>IF($AG3248=1,SUMPRODUCT(--($AK$2:$AK$6001&lt;$AK3248))+1,"")</f>
        <v/>
      </c>
      <c r="AI3248">
        <f>IF($C3248="","",IF(OR($N3248=TRUE(),$N3248="TRUE"),1,0))</f>
        <v/>
      </c>
      <c r="AJ3248">
        <f>IF($C3248="","",IF($T3248="Yes",1,0))</f>
        <v/>
      </c>
      <c r="AK3248">
        <f>IF($AG3248=1,IFERROR(IF(VALUE($C3248)&lt;100000000,VALUE($C3248),1000000000),IFERROR(IF(VALUE(MID($C3248,2,20))&lt;100000000,VALUE(MID($C3248,2,20)),1000000000),1000000000))+ROW()/100000,"")</f>
        <v/>
      </c>
    </row>
    <row r="3249">
      <c r="D3249" s="11" t="n"/>
      <c r="K3249" s="7">
        <f>IF($C3249="","",J3249*W3249/100)</f>
        <v/>
      </c>
      <c r="Q3249" s="7" t="n"/>
      <c r="R3249" s="7" t="n"/>
      <c r="U3249">
        <f>IF($C3249="","",IF($AJ3249=1,0,IF($AI3249=1,Settings!$C$6,Settings!$C$7))*100)</f>
        <v/>
      </c>
      <c r="V3249" s="7">
        <f>IF($C3249="","",R3249*U3249/100)</f>
        <v/>
      </c>
      <c r="W3249" s="7">
        <f>IF($C3249="","",R3249-V3249)</f>
        <v/>
      </c>
      <c r="X3249" s="7">
        <f>IF($C3249="","",W3249-K3249)</f>
        <v/>
      </c>
      <c r="AB3249" s="7" t="n"/>
      <c r="AE3249" s="11" t="n"/>
      <c r="AG3249">
        <f>IF($C3249="","",IF(COUNTIF($C$2:$C3249,$C3249)=1,1,0))</f>
        <v/>
      </c>
      <c r="AH3249">
        <f>IF($AG3249=1,SUMPRODUCT(--($AK$2:$AK$6001&lt;$AK3249))+1,"")</f>
        <v/>
      </c>
      <c r="AI3249">
        <f>IF($C3249="","",IF(OR($N3249=TRUE(),$N3249="TRUE"),1,0))</f>
        <v/>
      </c>
      <c r="AJ3249">
        <f>IF($C3249="","",IF($T3249="Yes",1,0))</f>
        <v/>
      </c>
      <c r="AK3249">
        <f>IF($AG3249=1,IFERROR(IF(VALUE($C3249)&lt;100000000,VALUE($C3249),1000000000),IFERROR(IF(VALUE(MID($C3249,2,20))&lt;100000000,VALUE(MID($C3249,2,20)),1000000000),1000000000))+ROW()/100000,"")</f>
        <v/>
      </c>
    </row>
    <row r="3250">
      <c r="D3250" s="11" t="n"/>
      <c r="K3250" s="7">
        <f>IF($C3250="","",J3250*W3250/100)</f>
        <v/>
      </c>
      <c r="Q3250" s="7" t="n"/>
      <c r="R3250" s="7" t="n"/>
      <c r="U3250">
        <f>IF($C3250="","",IF($AJ3250=1,0,IF($AI3250=1,Settings!$C$6,Settings!$C$7))*100)</f>
        <v/>
      </c>
      <c r="V3250" s="7">
        <f>IF($C3250="","",R3250*U3250/100)</f>
        <v/>
      </c>
      <c r="W3250" s="7">
        <f>IF($C3250="","",R3250-V3250)</f>
        <v/>
      </c>
      <c r="X3250" s="7">
        <f>IF($C3250="","",W3250-K3250)</f>
        <v/>
      </c>
      <c r="AB3250" s="7" t="n"/>
      <c r="AE3250" s="11" t="n"/>
      <c r="AG3250">
        <f>IF($C3250="","",IF(COUNTIF($C$2:$C3250,$C3250)=1,1,0))</f>
        <v/>
      </c>
      <c r="AH3250">
        <f>IF($AG3250=1,SUMPRODUCT(--($AK$2:$AK$6001&lt;$AK3250))+1,"")</f>
        <v/>
      </c>
      <c r="AI3250">
        <f>IF($C3250="","",IF(OR($N3250=TRUE(),$N3250="TRUE"),1,0))</f>
        <v/>
      </c>
      <c r="AJ3250">
        <f>IF($C3250="","",IF($T3250="Yes",1,0))</f>
        <v/>
      </c>
      <c r="AK3250">
        <f>IF($AG3250=1,IFERROR(IF(VALUE($C3250)&lt;100000000,VALUE($C3250),1000000000),IFERROR(IF(VALUE(MID($C3250,2,20))&lt;100000000,VALUE(MID($C3250,2,20)),1000000000),1000000000))+ROW()/100000,"")</f>
        <v/>
      </c>
    </row>
    <row r="3251">
      <c r="D3251" s="11" t="n"/>
      <c r="K3251" s="7">
        <f>IF($C3251="","",J3251*W3251/100)</f>
        <v/>
      </c>
      <c r="Q3251" s="7" t="n"/>
      <c r="R3251" s="7" t="n"/>
      <c r="U3251">
        <f>IF($C3251="","",IF($AJ3251=1,0,IF($AI3251=1,Settings!$C$6,Settings!$C$7))*100)</f>
        <v/>
      </c>
      <c r="V3251" s="7">
        <f>IF($C3251="","",R3251*U3251/100)</f>
        <v/>
      </c>
      <c r="W3251" s="7">
        <f>IF($C3251="","",R3251-V3251)</f>
        <v/>
      </c>
      <c r="X3251" s="7">
        <f>IF($C3251="","",W3251-K3251)</f>
        <v/>
      </c>
      <c r="AB3251" s="7" t="n"/>
      <c r="AE3251" s="11" t="n"/>
      <c r="AG3251">
        <f>IF($C3251="","",IF(COUNTIF($C$2:$C3251,$C3251)=1,1,0))</f>
        <v/>
      </c>
      <c r="AH3251">
        <f>IF($AG3251=1,SUMPRODUCT(--($AK$2:$AK$6001&lt;$AK3251))+1,"")</f>
        <v/>
      </c>
      <c r="AI3251">
        <f>IF($C3251="","",IF(OR($N3251=TRUE(),$N3251="TRUE"),1,0))</f>
        <v/>
      </c>
      <c r="AJ3251">
        <f>IF($C3251="","",IF($T3251="Yes",1,0))</f>
        <v/>
      </c>
      <c r="AK3251">
        <f>IF($AG3251=1,IFERROR(IF(VALUE($C3251)&lt;100000000,VALUE($C3251),1000000000),IFERROR(IF(VALUE(MID($C3251,2,20))&lt;100000000,VALUE(MID($C3251,2,20)),1000000000),1000000000))+ROW()/100000,"")</f>
        <v/>
      </c>
    </row>
    <row r="3252">
      <c r="D3252" s="11" t="n"/>
      <c r="K3252" s="7">
        <f>IF($C3252="","",J3252*W3252/100)</f>
        <v/>
      </c>
      <c r="Q3252" s="7" t="n"/>
      <c r="R3252" s="7" t="n"/>
      <c r="U3252">
        <f>IF($C3252="","",IF($AJ3252=1,0,IF($AI3252=1,Settings!$C$6,Settings!$C$7))*100)</f>
        <v/>
      </c>
      <c r="V3252" s="7">
        <f>IF($C3252="","",R3252*U3252/100)</f>
        <v/>
      </c>
      <c r="W3252" s="7">
        <f>IF($C3252="","",R3252-V3252)</f>
        <v/>
      </c>
      <c r="X3252" s="7">
        <f>IF($C3252="","",W3252-K3252)</f>
        <v/>
      </c>
      <c r="AB3252" s="7" t="n"/>
      <c r="AE3252" s="11" t="n"/>
      <c r="AG3252">
        <f>IF($C3252="","",IF(COUNTIF($C$2:$C3252,$C3252)=1,1,0))</f>
        <v/>
      </c>
      <c r="AH3252">
        <f>IF($AG3252=1,SUMPRODUCT(--($AK$2:$AK$6001&lt;$AK3252))+1,"")</f>
        <v/>
      </c>
      <c r="AI3252">
        <f>IF($C3252="","",IF(OR($N3252=TRUE(),$N3252="TRUE"),1,0))</f>
        <v/>
      </c>
      <c r="AJ3252">
        <f>IF($C3252="","",IF($T3252="Yes",1,0))</f>
        <v/>
      </c>
      <c r="AK3252">
        <f>IF($AG3252=1,IFERROR(IF(VALUE($C3252)&lt;100000000,VALUE($C3252),1000000000),IFERROR(IF(VALUE(MID($C3252,2,20))&lt;100000000,VALUE(MID($C3252,2,20)),1000000000),1000000000))+ROW()/100000,"")</f>
        <v/>
      </c>
    </row>
    <row r="3253">
      <c r="D3253" s="11" t="n"/>
      <c r="K3253" s="7">
        <f>IF($C3253="","",J3253*W3253/100)</f>
        <v/>
      </c>
      <c r="Q3253" s="7" t="n"/>
      <c r="R3253" s="7" t="n"/>
      <c r="U3253">
        <f>IF($C3253="","",IF($AJ3253=1,0,IF($AI3253=1,Settings!$C$6,Settings!$C$7))*100)</f>
        <v/>
      </c>
      <c r="V3253" s="7">
        <f>IF($C3253="","",R3253*U3253/100)</f>
        <v/>
      </c>
      <c r="W3253" s="7">
        <f>IF($C3253="","",R3253-V3253)</f>
        <v/>
      </c>
      <c r="X3253" s="7">
        <f>IF($C3253="","",W3253-K3253)</f>
        <v/>
      </c>
      <c r="AB3253" s="7" t="n"/>
      <c r="AE3253" s="11" t="n"/>
      <c r="AG3253">
        <f>IF($C3253="","",IF(COUNTIF($C$2:$C3253,$C3253)=1,1,0))</f>
        <v/>
      </c>
      <c r="AH3253">
        <f>IF($AG3253=1,SUMPRODUCT(--($AK$2:$AK$6001&lt;$AK3253))+1,"")</f>
        <v/>
      </c>
      <c r="AI3253">
        <f>IF($C3253="","",IF(OR($N3253=TRUE(),$N3253="TRUE"),1,0))</f>
        <v/>
      </c>
      <c r="AJ3253">
        <f>IF($C3253="","",IF($T3253="Yes",1,0))</f>
        <v/>
      </c>
      <c r="AK3253">
        <f>IF($AG3253=1,IFERROR(IF(VALUE($C3253)&lt;100000000,VALUE($C3253),1000000000),IFERROR(IF(VALUE(MID($C3253,2,20))&lt;100000000,VALUE(MID($C3253,2,20)),1000000000),1000000000))+ROW()/100000,"")</f>
        <v/>
      </c>
    </row>
    <row r="3254">
      <c r="D3254" s="11" t="n"/>
      <c r="K3254" s="7">
        <f>IF($C3254="","",J3254*W3254/100)</f>
        <v/>
      </c>
      <c r="Q3254" s="7" t="n"/>
      <c r="R3254" s="7" t="n"/>
      <c r="U3254">
        <f>IF($C3254="","",IF($AJ3254=1,0,IF($AI3254=1,Settings!$C$6,Settings!$C$7))*100)</f>
        <v/>
      </c>
      <c r="V3254" s="7">
        <f>IF($C3254="","",R3254*U3254/100)</f>
        <v/>
      </c>
      <c r="W3254" s="7">
        <f>IF($C3254="","",R3254-V3254)</f>
        <v/>
      </c>
      <c r="X3254" s="7">
        <f>IF($C3254="","",W3254-K3254)</f>
        <v/>
      </c>
      <c r="AB3254" s="7" t="n"/>
      <c r="AE3254" s="11" t="n"/>
      <c r="AG3254">
        <f>IF($C3254="","",IF(COUNTIF($C$2:$C3254,$C3254)=1,1,0))</f>
        <v/>
      </c>
      <c r="AH3254">
        <f>IF($AG3254=1,SUMPRODUCT(--($AK$2:$AK$6001&lt;$AK3254))+1,"")</f>
        <v/>
      </c>
      <c r="AI3254">
        <f>IF($C3254="","",IF(OR($N3254=TRUE(),$N3254="TRUE"),1,0))</f>
        <v/>
      </c>
      <c r="AJ3254">
        <f>IF($C3254="","",IF($T3254="Yes",1,0))</f>
        <v/>
      </c>
      <c r="AK3254">
        <f>IF($AG3254=1,IFERROR(IF(VALUE($C3254)&lt;100000000,VALUE($C3254),1000000000),IFERROR(IF(VALUE(MID($C3254,2,20))&lt;100000000,VALUE(MID($C3254,2,20)),1000000000),1000000000))+ROW()/100000,"")</f>
        <v/>
      </c>
    </row>
    <row r="3255">
      <c r="D3255" s="11" t="n"/>
      <c r="K3255" s="7">
        <f>IF($C3255="","",J3255*W3255/100)</f>
        <v/>
      </c>
      <c r="Q3255" s="7" t="n"/>
      <c r="R3255" s="7" t="n"/>
      <c r="U3255">
        <f>IF($C3255="","",IF($AJ3255=1,0,IF($AI3255=1,Settings!$C$6,Settings!$C$7))*100)</f>
        <v/>
      </c>
      <c r="V3255" s="7">
        <f>IF($C3255="","",R3255*U3255/100)</f>
        <v/>
      </c>
      <c r="W3255" s="7">
        <f>IF($C3255="","",R3255-V3255)</f>
        <v/>
      </c>
      <c r="X3255" s="7">
        <f>IF($C3255="","",W3255-K3255)</f>
        <v/>
      </c>
      <c r="AB3255" s="7" t="n"/>
      <c r="AE3255" s="11" t="n"/>
      <c r="AG3255">
        <f>IF($C3255="","",IF(COUNTIF($C$2:$C3255,$C3255)=1,1,0))</f>
        <v/>
      </c>
      <c r="AH3255">
        <f>IF($AG3255=1,SUMPRODUCT(--($AK$2:$AK$6001&lt;$AK3255))+1,"")</f>
        <v/>
      </c>
      <c r="AI3255">
        <f>IF($C3255="","",IF(OR($N3255=TRUE(),$N3255="TRUE"),1,0))</f>
        <v/>
      </c>
      <c r="AJ3255">
        <f>IF($C3255="","",IF($T3255="Yes",1,0))</f>
        <v/>
      </c>
      <c r="AK3255">
        <f>IF($AG3255=1,IFERROR(IF(VALUE($C3255)&lt;100000000,VALUE($C3255),1000000000),IFERROR(IF(VALUE(MID($C3255,2,20))&lt;100000000,VALUE(MID($C3255,2,20)),1000000000),1000000000))+ROW()/100000,"")</f>
        <v/>
      </c>
    </row>
    <row r="3256">
      <c r="D3256" s="11" t="n"/>
      <c r="K3256" s="7">
        <f>IF($C3256="","",J3256*W3256/100)</f>
        <v/>
      </c>
      <c r="Q3256" s="7" t="n"/>
      <c r="R3256" s="7" t="n"/>
      <c r="U3256">
        <f>IF($C3256="","",IF($AJ3256=1,0,IF($AI3256=1,Settings!$C$6,Settings!$C$7))*100)</f>
        <v/>
      </c>
      <c r="V3256" s="7">
        <f>IF($C3256="","",R3256*U3256/100)</f>
        <v/>
      </c>
      <c r="W3256" s="7">
        <f>IF($C3256="","",R3256-V3256)</f>
        <v/>
      </c>
      <c r="X3256" s="7">
        <f>IF($C3256="","",W3256-K3256)</f>
        <v/>
      </c>
      <c r="AB3256" s="7" t="n"/>
      <c r="AE3256" s="11" t="n"/>
      <c r="AG3256">
        <f>IF($C3256="","",IF(COUNTIF($C$2:$C3256,$C3256)=1,1,0))</f>
        <v/>
      </c>
      <c r="AH3256">
        <f>IF($AG3256=1,SUMPRODUCT(--($AK$2:$AK$6001&lt;$AK3256))+1,"")</f>
        <v/>
      </c>
      <c r="AI3256">
        <f>IF($C3256="","",IF(OR($N3256=TRUE(),$N3256="TRUE"),1,0))</f>
        <v/>
      </c>
      <c r="AJ3256">
        <f>IF($C3256="","",IF($T3256="Yes",1,0))</f>
        <v/>
      </c>
      <c r="AK3256">
        <f>IF($AG3256=1,IFERROR(IF(VALUE($C3256)&lt;100000000,VALUE($C3256),1000000000),IFERROR(IF(VALUE(MID($C3256,2,20))&lt;100000000,VALUE(MID($C3256,2,20)),1000000000),1000000000))+ROW()/100000,"")</f>
        <v/>
      </c>
    </row>
    <row r="3257">
      <c r="D3257" s="11" t="n"/>
      <c r="K3257" s="7">
        <f>IF($C3257="","",J3257*W3257/100)</f>
        <v/>
      </c>
      <c r="Q3257" s="7" t="n"/>
      <c r="R3257" s="7" t="n"/>
      <c r="U3257">
        <f>IF($C3257="","",IF($AJ3257=1,0,IF($AI3257=1,Settings!$C$6,Settings!$C$7))*100)</f>
        <v/>
      </c>
      <c r="V3257" s="7">
        <f>IF($C3257="","",R3257*U3257/100)</f>
        <v/>
      </c>
      <c r="W3257" s="7">
        <f>IF($C3257="","",R3257-V3257)</f>
        <v/>
      </c>
      <c r="X3257" s="7">
        <f>IF($C3257="","",W3257-K3257)</f>
        <v/>
      </c>
      <c r="AB3257" s="7" t="n"/>
      <c r="AE3257" s="11" t="n"/>
      <c r="AG3257">
        <f>IF($C3257="","",IF(COUNTIF($C$2:$C3257,$C3257)=1,1,0))</f>
        <v/>
      </c>
      <c r="AH3257">
        <f>IF($AG3257=1,SUMPRODUCT(--($AK$2:$AK$6001&lt;$AK3257))+1,"")</f>
        <v/>
      </c>
      <c r="AI3257">
        <f>IF($C3257="","",IF(OR($N3257=TRUE(),$N3257="TRUE"),1,0))</f>
        <v/>
      </c>
      <c r="AJ3257">
        <f>IF($C3257="","",IF($T3257="Yes",1,0))</f>
        <v/>
      </c>
      <c r="AK3257">
        <f>IF($AG3257=1,IFERROR(IF(VALUE($C3257)&lt;100000000,VALUE($C3257),1000000000),IFERROR(IF(VALUE(MID($C3257,2,20))&lt;100000000,VALUE(MID($C3257,2,20)),1000000000),1000000000))+ROW()/100000,"")</f>
        <v/>
      </c>
    </row>
    <row r="3258">
      <c r="D3258" s="11" t="n"/>
      <c r="K3258" s="7">
        <f>IF($C3258="","",J3258*W3258/100)</f>
        <v/>
      </c>
      <c r="Q3258" s="7" t="n"/>
      <c r="R3258" s="7" t="n"/>
      <c r="U3258">
        <f>IF($C3258="","",IF($AJ3258=1,0,IF($AI3258=1,Settings!$C$6,Settings!$C$7))*100)</f>
        <v/>
      </c>
      <c r="V3258" s="7">
        <f>IF($C3258="","",R3258*U3258/100)</f>
        <v/>
      </c>
      <c r="W3258" s="7">
        <f>IF($C3258="","",R3258-V3258)</f>
        <v/>
      </c>
      <c r="X3258" s="7">
        <f>IF($C3258="","",W3258-K3258)</f>
        <v/>
      </c>
      <c r="AB3258" s="7" t="n"/>
      <c r="AE3258" s="11" t="n"/>
      <c r="AG3258">
        <f>IF($C3258="","",IF(COUNTIF($C$2:$C3258,$C3258)=1,1,0))</f>
        <v/>
      </c>
      <c r="AH3258">
        <f>IF($AG3258=1,SUMPRODUCT(--($AK$2:$AK$6001&lt;$AK3258))+1,"")</f>
        <v/>
      </c>
      <c r="AI3258">
        <f>IF($C3258="","",IF(OR($N3258=TRUE(),$N3258="TRUE"),1,0))</f>
        <v/>
      </c>
      <c r="AJ3258">
        <f>IF($C3258="","",IF($T3258="Yes",1,0))</f>
        <v/>
      </c>
      <c r="AK3258">
        <f>IF($AG3258=1,IFERROR(IF(VALUE($C3258)&lt;100000000,VALUE($C3258),1000000000),IFERROR(IF(VALUE(MID($C3258,2,20))&lt;100000000,VALUE(MID($C3258,2,20)),1000000000),1000000000))+ROW()/100000,"")</f>
        <v/>
      </c>
    </row>
    <row r="3259">
      <c r="D3259" s="11" t="n"/>
      <c r="K3259" s="7">
        <f>IF($C3259="","",J3259*W3259/100)</f>
        <v/>
      </c>
      <c r="Q3259" s="7" t="n"/>
      <c r="R3259" s="7" t="n"/>
      <c r="U3259">
        <f>IF($C3259="","",IF($AJ3259=1,0,IF($AI3259=1,Settings!$C$6,Settings!$C$7))*100)</f>
        <v/>
      </c>
      <c r="V3259" s="7">
        <f>IF($C3259="","",R3259*U3259/100)</f>
        <v/>
      </c>
      <c r="W3259" s="7">
        <f>IF($C3259="","",R3259-V3259)</f>
        <v/>
      </c>
      <c r="X3259" s="7">
        <f>IF($C3259="","",W3259-K3259)</f>
        <v/>
      </c>
      <c r="AB3259" s="7" t="n"/>
      <c r="AE3259" s="11" t="n"/>
      <c r="AG3259">
        <f>IF($C3259="","",IF(COUNTIF($C$2:$C3259,$C3259)=1,1,0))</f>
        <v/>
      </c>
      <c r="AH3259">
        <f>IF($AG3259=1,SUMPRODUCT(--($AK$2:$AK$6001&lt;$AK3259))+1,"")</f>
        <v/>
      </c>
      <c r="AI3259">
        <f>IF($C3259="","",IF(OR($N3259=TRUE(),$N3259="TRUE"),1,0))</f>
        <v/>
      </c>
      <c r="AJ3259">
        <f>IF($C3259="","",IF($T3259="Yes",1,0))</f>
        <v/>
      </c>
      <c r="AK3259">
        <f>IF($AG3259=1,IFERROR(IF(VALUE($C3259)&lt;100000000,VALUE($C3259),1000000000),IFERROR(IF(VALUE(MID($C3259,2,20))&lt;100000000,VALUE(MID($C3259,2,20)),1000000000),1000000000))+ROW()/100000,"")</f>
        <v/>
      </c>
    </row>
    <row r="3260">
      <c r="D3260" s="11" t="n"/>
      <c r="K3260" s="7">
        <f>IF($C3260="","",J3260*W3260/100)</f>
        <v/>
      </c>
      <c r="Q3260" s="7" t="n"/>
      <c r="R3260" s="7" t="n"/>
      <c r="U3260">
        <f>IF($C3260="","",IF($AJ3260=1,0,IF($AI3260=1,Settings!$C$6,Settings!$C$7))*100)</f>
        <v/>
      </c>
      <c r="V3260" s="7">
        <f>IF($C3260="","",R3260*U3260/100)</f>
        <v/>
      </c>
      <c r="W3260" s="7">
        <f>IF($C3260="","",R3260-V3260)</f>
        <v/>
      </c>
      <c r="X3260" s="7">
        <f>IF($C3260="","",W3260-K3260)</f>
        <v/>
      </c>
      <c r="AB3260" s="7" t="n"/>
      <c r="AE3260" s="11" t="n"/>
      <c r="AG3260">
        <f>IF($C3260="","",IF(COUNTIF($C$2:$C3260,$C3260)=1,1,0))</f>
        <v/>
      </c>
      <c r="AH3260">
        <f>IF($AG3260=1,SUMPRODUCT(--($AK$2:$AK$6001&lt;$AK3260))+1,"")</f>
        <v/>
      </c>
      <c r="AI3260">
        <f>IF($C3260="","",IF(OR($N3260=TRUE(),$N3260="TRUE"),1,0))</f>
        <v/>
      </c>
      <c r="AJ3260">
        <f>IF($C3260="","",IF($T3260="Yes",1,0))</f>
        <v/>
      </c>
      <c r="AK3260">
        <f>IF($AG3260=1,IFERROR(IF(VALUE($C3260)&lt;100000000,VALUE($C3260),1000000000),IFERROR(IF(VALUE(MID($C3260,2,20))&lt;100000000,VALUE(MID($C3260,2,20)),1000000000),1000000000))+ROW()/100000,"")</f>
        <v/>
      </c>
    </row>
    <row r="3261">
      <c r="D3261" s="11" t="n"/>
      <c r="K3261" s="7">
        <f>IF($C3261="","",J3261*W3261/100)</f>
        <v/>
      </c>
      <c r="Q3261" s="7" t="n"/>
      <c r="R3261" s="7" t="n"/>
      <c r="U3261">
        <f>IF($C3261="","",IF($AJ3261=1,0,IF($AI3261=1,Settings!$C$6,Settings!$C$7))*100)</f>
        <v/>
      </c>
      <c r="V3261" s="7">
        <f>IF($C3261="","",R3261*U3261/100)</f>
        <v/>
      </c>
      <c r="W3261" s="7">
        <f>IF($C3261="","",R3261-V3261)</f>
        <v/>
      </c>
      <c r="X3261" s="7">
        <f>IF($C3261="","",W3261-K3261)</f>
        <v/>
      </c>
      <c r="AB3261" s="7" t="n"/>
      <c r="AE3261" s="11" t="n"/>
      <c r="AG3261">
        <f>IF($C3261="","",IF(COUNTIF($C$2:$C3261,$C3261)=1,1,0))</f>
        <v/>
      </c>
      <c r="AH3261">
        <f>IF($AG3261=1,SUMPRODUCT(--($AK$2:$AK$6001&lt;$AK3261))+1,"")</f>
        <v/>
      </c>
      <c r="AI3261">
        <f>IF($C3261="","",IF(OR($N3261=TRUE(),$N3261="TRUE"),1,0))</f>
        <v/>
      </c>
      <c r="AJ3261">
        <f>IF($C3261="","",IF($T3261="Yes",1,0))</f>
        <v/>
      </c>
      <c r="AK3261">
        <f>IF($AG3261=1,IFERROR(IF(VALUE($C3261)&lt;100000000,VALUE($C3261),1000000000),IFERROR(IF(VALUE(MID($C3261,2,20))&lt;100000000,VALUE(MID($C3261,2,20)),1000000000),1000000000))+ROW()/100000,"")</f>
        <v/>
      </c>
    </row>
    <row r="3262">
      <c r="D3262" s="11" t="n"/>
      <c r="K3262" s="7">
        <f>IF($C3262="","",J3262*W3262/100)</f>
        <v/>
      </c>
      <c r="Q3262" s="7" t="n"/>
      <c r="R3262" s="7" t="n"/>
      <c r="U3262">
        <f>IF($C3262="","",IF($AJ3262=1,0,IF($AI3262=1,Settings!$C$6,Settings!$C$7))*100)</f>
        <v/>
      </c>
      <c r="V3262" s="7">
        <f>IF($C3262="","",R3262*U3262/100)</f>
        <v/>
      </c>
      <c r="W3262" s="7">
        <f>IF($C3262="","",R3262-V3262)</f>
        <v/>
      </c>
      <c r="X3262" s="7">
        <f>IF($C3262="","",W3262-K3262)</f>
        <v/>
      </c>
      <c r="AB3262" s="7" t="n"/>
      <c r="AE3262" s="11" t="n"/>
      <c r="AG3262">
        <f>IF($C3262="","",IF(COUNTIF($C$2:$C3262,$C3262)=1,1,0))</f>
        <v/>
      </c>
      <c r="AH3262">
        <f>IF($AG3262=1,SUMPRODUCT(--($AK$2:$AK$6001&lt;$AK3262))+1,"")</f>
        <v/>
      </c>
      <c r="AI3262">
        <f>IF($C3262="","",IF(OR($N3262=TRUE(),$N3262="TRUE"),1,0))</f>
        <v/>
      </c>
      <c r="AJ3262">
        <f>IF($C3262="","",IF($T3262="Yes",1,0))</f>
        <v/>
      </c>
      <c r="AK3262">
        <f>IF($AG3262=1,IFERROR(IF(VALUE($C3262)&lt;100000000,VALUE($C3262),1000000000),IFERROR(IF(VALUE(MID($C3262,2,20))&lt;100000000,VALUE(MID($C3262,2,20)),1000000000),1000000000))+ROW()/100000,"")</f>
        <v/>
      </c>
    </row>
    <row r="3263">
      <c r="D3263" s="11" t="n"/>
      <c r="K3263" s="7">
        <f>IF($C3263="","",J3263*W3263/100)</f>
        <v/>
      </c>
      <c r="Q3263" s="7" t="n"/>
      <c r="R3263" s="7" t="n"/>
      <c r="U3263">
        <f>IF($C3263="","",IF($AJ3263=1,0,IF($AI3263=1,Settings!$C$6,Settings!$C$7))*100)</f>
        <v/>
      </c>
      <c r="V3263" s="7">
        <f>IF($C3263="","",R3263*U3263/100)</f>
        <v/>
      </c>
      <c r="W3263" s="7">
        <f>IF($C3263="","",R3263-V3263)</f>
        <v/>
      </c>
      <c r="X3263" s="7">
        <f>IF($C3263="","",W3263-K3263)</f>
        <v/>
      </c>
      <c r="AB3263" s="7" t="n"/>
      <c r="AE3263" s="11" t="n"/>
      <c r="AG3263">
        <f>IF($C3263="","",IF(COUNTIF($C$2:$C3263,$C3263)=1,1,0))</f>
        <v/>
      </c>
      <c r="AH3263">
        <f>IF($AG3263=1,SUMPRODUCT(--($AK$2:$AK$6001&lt;$AK3263))+1,"")</f>
        <v/>
      </c>
      <c r="AI3263">
        <f>IF($C3263="","",IF(OR($N3263=TRUE(),$N3263="TRUE"),1,0))</f>
        <v/>
      </c>
      <c r="AJ3263">
        <f>IF($C3263="","",IF($T3263="Yes",1,0))</f>
        <v/>
      </c>
      <c r="AK3263">
        <f>IF($AG3263=1,IFERROR(IF(VALUE($C3263)&lt;100000000,VALUE($C3263),1000000000),IFERROR(IF(VALUE(MID($C3263,2,20))&lt;100000000,VALUE(MID($C3263,2,20)),1000000000),1000000000))+ROW()/100000,"")</f>
        <v/>
      </c>
    </row>
    <row r="3264">
      <c r="D3264" s="11" t="n"/>
      <c r="K3264" s="7">
        <f>IF($C3264="","",J3264*W3264/100)</f>
        <v/>
      </c>
      <c r="Q3264" s="7" t="n"/>
      <c r="R3264" s="7" t="n"/>
      <c r="U3264">
        <f>IF($C3264="","",IF($AJ3264=1,0,IF($AI3264=1,Settings!$C$6,Settings!$C$7))*100)</f>
        <v/>
      </c>
      <c r="V3264" s="7">
        <f>IF($C3264="","",R3264*U3264/100)</f>
        <v/>
      </c>
      <c r="W3264" s="7">
        <f>IF($C3264="","",R3264-V3264)</f>
        <v/>
      </c>
      <c r="X3264" s="7">
        <f>IF($C3264="","",W3264-K3264)</f>
        <v/>
      </c>
      <c r="AB3264" s="7" t="n"/>
      <c r="AE3264" s="11" t="n"/>
      <c r="AG3264">
        <f>IF($C3264="","",IF(COUNTIF($C$2:$C3264,$C3264)=1,1,0))</f>
        <v/>
      </c>
      <c r="AH3264">
        <f>IF($AG3264=1,SUMPRODUCT(--($AK$2:$AK$6001&lt;$AK3264))+1,"")</f>
        <v/>
      </c>
      <c r="AI3264">
        <f>IF($C3264="","",IF(OR($N3264=TRUE(),$N3264="TRUE"),1,0))</f>
        <v/>
      </c>
      <c r="AJ3264">
        <f>IF($C3264="","",IF($T3264="Yes",1,0))</f>
        <v/>
      </c>
      <c r="AK3264">
        <f>IF($AG3264=1,IFERROR(IF(VALUE($C3264)&lt;100000000,VALUE($C3264),1000000000),IFERROR(IF(VALUE(MID($C3264,2,20))&lt;100000000,VALUE(MID($C3264,2,20)),1000000000),1000000000))+ROW()/100000,"")</f>
        <v/>
      </c>
    </row>
    <row r="3265">
      <c r="D3265" s="11" t="n"/>
      <c r="K3265" s="7">
        <f>IF($C3265="","",J3265*W3265/100)</f>
        <v/>
      </c>
      <c r="Q3265" s="7" t="n"/>
      <c r="R3265" s="7" t="n"/>
      <c r="U3265">
        <f>IF($C3265="","",IF($AJ3265=1,0,IF($AI3265=1,Settings!$C$6,Settings!$C$7))*100)</f>
        <v/>
      </c>
      <c r="V3265" s="7">
        <f>IF($C3265="","",R3265*U3265/100)</f>
        <v/>
      </c>
      <c r="W3265" s="7">
        <f>IF($C3265="","",R3265-V3265)</f>
        <v/>
      </c>
      <c r="X3265" s="7">
        <f>IF($C3265="","",W3265-K3265)</f>
        <v/>
      </c>
      <c r="AB3265" s="7" t="n"/>
      <c r="AE3265" s="11" t="n"/>
      <c r="AG3265">
        <f>IF($C3265="","",IF(COUNTIF($C$2:$C3265,$C3265)=1,1,0))</f>
        <v/>
      </c>
      <c r="AH3265">
        <f>IF($AG3265=1,SUMPRODUCT(--($AK$2:$AK$6001&lt;$AK3265))+1,"")</f>
        <v/>
      </c>
      <c r="AI3265">
        <f>IF($C3265="","",IF(OR($N3265=TRUE(),$N3265="TRUE"),1,0))</f>
        <v/>
      </c>
      <c r="AJ3265">
        <f>IF($C3265="","",IF($T3265="Yes",1,0))</f>
        <v/>
      </c>
      <c r="AK3265">
        <f>IF($AG3265=1,IFERROR(IF(VALUE($C3265)&lt;100000000,VALUE($C3265),1000000000),IFERROR(IF(VALUE(MID($C3265,2,20))&lt;100000000,VALUE(MID($C3265,2,20)),1000000000),1000000000))+ROW()/100000,"")</f>
        <v/>
      </c>
    </row>
    <row r="3266">
      <c r="D3266" s="11" t="n"/>
      <c r="K3266" s="7">
        <f>IF($C3266="","",J3266*W3266/100)</f>
        <v/>
      </c>
      <c r="Q3266" s="7" t="n"/>
      <c r="R3266" s="7" t="n"/>
      <c r="U3266">
        <f>IF($C3266="","",IF($AJ3266=1,0,IF($AI3266=1,Settings!$C$6,Settings!$C$7))*100)</f>
        <v/>
      </c>
      <c r="V3266" s="7">
        <f>IF($C3266="","",R3266*U3266/100)</f>
        <v/>
      </c>
      <c r="W3266" s="7">
        <f>IF($C3266="","",R3266-V3266)</f>
        <v/>
      </c>
      <c r="X3266" s="7">
        <f>IF($C3266="","",W3266-K3266)</f>
        <v/>
      </c>
      <c r="AB3266" s="7" t="n"/>
      <c r="AE3266" s="11" t="n"/>
      <c r="AG3266">
        <f>IF($C3266="","",IF(COUNTIF($C$2:$C3266,$C3266)=1,1,0))</f>
        <v/>
      </c>
      <c r="AH3266">
        <f>IF($AG3266=1,SUMPRODUCT(--($AK$2:$AK$6001&lt;$AK3266))+1,"")</f>
        <v/>
      </c>
      <c r="AI3266">
        <f>IF($C3266="","",IF(OR($N3266=TRUE(),$N3266="TRUE"),1,0))</f>
        <v/>
      </c>
      <c r="AJ3266">
        <f>IF($C3266="","",IF($T3266="Yes",1,0))</f>
        <v/>
      </c>
      <c r="AK3266">
        <f>IF($AG3266=1,IFERROR(IF(VALUE($C3266)&lt;100000000,VALUE($C3266),1000000000),IFERROR(IF(VALUE(MID($C3266,2,20))&lt;100000000,VALUE(MID($C3266,2,20)),1000000000),1000000000))+ROW()/100000,"")</f>
        <v/>
      </c>
    </row>
    <row r="3267">
      <c r="D3267" s="11" t="n"/>
      <c r="K3267" s="7">
        <f>IF($C3267="","",J3267*W3267/100)</f>
        <v/>
      </c>
      <c r="Q3267" s="7" t="n"/>
      <c r="R3267" s="7" t="n"/>
      <c r="U3267">
        <f>IF($C3267="","",IF($AJ3267=1,0,IF($AI3267=1,Settings!$C$6,Settings!$C$7))*100)</f>
        <v/>
      </c>
      <c r="V3267" s="7">
        <f>IF($C3267="","",R3267*U3267/100)</f>
        <v/>
      </c>
      <c r="W3267" s="7">
        <f>IF($C3267="","",R3267-V3267)</f>
        <v/>
      </c>
      <c r="X3267" s="7">
        <f>IF($C3267="","",W3267-K3267)</f>
        <v/>
      </c>
      <c r="AB3267" s="7" t="n"/>
      <c r="AE3267" s="11" t="n"/>
      <c r="AG3267">
        <f>IF($C3267="","",IF(COUNTIF($C$2:$C3267,$C3267)=1,1,0))</f>
        <v/>
      </c>
      <c r="AH3267">
        <f>IF($AG3267=1,SUMPRODUCT(--($AK$2:$AK$6001&lt;$AK3267))+1,"")</f>
        <v/>
      </c>
      <c r="AI3267">
        <f>IF($C3267="","",IF(OR($N3267=TRUE(),$N3267="TRUE"),1,0))</f>
        <v/>
      </c>
      <c r="AJ3267">
        <f>IF($C3267="","",IF($T3267="Yes",1,0))</f>
        <v/>
      </c>
      <c r="AK3267">
        <f>IF($AG3267=1,IFERROR(IF(VALUE($C3267)&lt;100000000,VALUE($C3267),1000000000),IFERROR(IF(VALUE(MID($C3267,2,20))&lt;100000000,VALUE(MID($C3267,2,20)),1000000000),1000000000))+ROW()/100000,"")</f>
        <v/>
      </c>
    </row>
    <row r="3268">
      <c r="D3268" s="11" t="n"/>
      <c r="K3268" s="7">
        <f>IF($C3268="","",J3268*W3268/100)</f>
        <v/>
      </c>
      <c r="Q3268" s="7" t="n"/>
      <c r="R3268" s="7" t="n"/>
      <c r="U3268">
        <f>IF($C3268="","",IF($AJ3268=1,0,IF($AI3268=1,Settings!$C$6,Settings!$C$7))*100)</f>
        <v/>
      </c>
      <c r="V3268" s="7">
        <f>IF($C3268="","",R3268*U3268/100)</f>
        <v/>
      </c>
      <c r="W3268" s="7">
        <f>IF($C3268="","",R3268-V3268)</f>
        <v/>
      </c>
      <c r="X3268" s="7">
        <f>IF($C3268="","",W3268-K3268)</f>
        <v/>
      </c>
      <c r="AB3268" s="7" t="n"/>
      <c r="AE3268" s="11" t="n"/>
      <c r="AG3268">
        <f>IF($C3268="","",IF(COUNTIF($C$2:$C3268,$C3268)=1,1,0))</f>
        <v/>
      </c>
      <c r="AH3268">
        <f>IF($AG3268=1,SUMPRODUCT(--($AK$2:$AK$6001&lt;$AK3268))+1,"")</f>
        <v/>
      </c>
      <c r="AI3268">
        <f>IF($C3268="","",IF(OR($N3268=TRUE(),$N3268="TRUE"),1,0))</f>
        <v/>
      </c>
      <c r="AJ3268">
        <f>IF($C3268="","",IF($T3268="Yes",1,0))</f>
        <v/>
      </c>
      <c r="AK3268">
        <f>IF($AG3268=1,IFERROR(IF(VALUE($C3268)&lt;100000000,VALUE($C3268),1000000000),IFERROR(IF(VALUE(MID($C3268,2,20))&lt;100000000,VALUE(MID($C3268,2,20)),1000000000),1000000000))+ROW()/100000,"")</f>
        <v/>
      </c>
    </row>
    <row r="3269">
      <c r="D3269" s="11" t="n"/>
      <c r="K3269" s="7">
        <f>IF($C3269="","",J3269*W3269/100)</f>
        <v/>
      </c>
      <c r="Q3269" s="7" t="n"/>
      <c r="R3269" s="7" t="n"/>
      <c r="U3269">
        <f>IF($C3269="","",IF($AJ3269=1,0,IF($AI3269=1,Settings!$C$6,Settings!$C$7))*100)</f>
        <v/>
      </c>
      <c r="V3269" s="7">
        <f>IF($C3269="","",R3269*U3269/100)</f>
        <v/>
      </c>
      <c r="W3269" s="7">
        <f>IF($C3269="","",R3269-V3269)</f>
        <v/>
      </c>
      <c r="X3269" s="7">
        <f>IF($C3269="","",W3269-K3269)</f>
        <v/>
      </c>
      <c r="AB3269" s="7" t="n"/>
      <c r="AE3269" s="11" t="n"/>
      <c r="AG3269">
        <f>IF($C3269="","",IF(COUNTIF($C$2:$C3269,$C3269)=1,1,0))</f>
        <v/>
      </c>
      <c r="AH3269">
        <f>IF($AG3269=1,SUMPRODUCT(--($AK$2:$AK$6001&lt;$AK3269))+1,"")</f>
        <v/>
      </c>
      <c r="AI3269">
        <f>IF($C3269="","",IF(OR($N3269=TRUE(),$N3269="TRUE"),1,0))</f>
        <v/>
      </c>
      <c r="AJ3269">
        <f>IF($C3269="","",IF($T3269="Yes",1,0))</f>
        <v/>
      </c>
      <c r="AK3269">
        <f>IF($AG3269=1,IFERROR(IF(VALUE($C3269)&lt;100000000,VALUE($C3269),1000000000),IFERROR(IF(VALUE(MID($C3269,2,20))&lt;100000000,VALUE(MID($C3269,2,20)),1000000000),1000000000))+ROW()/100000,"")</f>
        <v/>
      </c>
    </row>
    <row r="3270">
      <c r="D3270" s="11" t="n"/>
      <c r="K3270" s="7">
        <f>IF($C3270="","",J3270*W3270/100)</f>
        <v/>
      </c>
      <c r="Q3270" s="7" t="n"/>
      <c r="R3270" s="7" t="n"/>
      <c r="U3270">
        <f>IF($C3270="","",IF($AJ3270=1,0,IF($AI3270=1,Settings!$C$6,Settings!$C$7))*100)</f>
        <v/>
      </c>
      <c r="V3270" s="7">
        <f>IF($C3270="","",R3270*U3270/100)</f>
        <v/>
      </c>
      <c r="W3270" s="7">
        <f>IF($C3270="","",R3270-V3270)</f>
        <v/>
      </c>
      <c r="X3270" s="7">
        <f>IF($C3270="","",W3270-K3270)</f>
        <v/>
      </c>
      <c r="AB3270" s="7" t="n"/>
      <c r="AE3270" s="11" t="n"/>
      <c r="AG3270">
        <f>IF($C3270="","",IF(COUNTIF($C$2:$C3270,$C3270)=1,1,0))</f>
        <v/>
      </c>
      <c r="AH3270">
        <f>IF($AG3270=1,SUMPRODUCT(--($AK$2:$AK$6001&lt;$AK3270))+1,"")</f>
        <v/>
      </c>
      <c r="AI3270">
        <f>IF($C3270="","",IF(OR($N3270=TRUE(),$N3270="TRUE"),1,0))</f>
        <v/>
      </c>
      <c r="AJ3270">
        <f>IF($C3270="","",IF($T3270="Yes",1,0))</f>
        <v/>
      </c>
      <c r="AK3270">
        <f>IF($AG3270=1,IFERROR(IF(VALUE($C3270)&lt;100000000,VALUE($C3270),1000000000),IFERROR(IF(VALUE(MID($C3270,2,20))&lt;100000000,VALUE(MID($C3270,2,20)),1000000000),1000000000))+ROW()/100000,"")</f>
        <v/>
      </c>
    </row>
    <row r="3271">
      <c r="D3271" s="11" t="n"/>
      <c r="K3271" s="7">
        <f>IF($C3271="","",J3271*W3271/100)</f>
        <v/>
      </c>
      <c r="Q3271" s="7" t="n"/>
      <c r="R3271" s="7" t="n"/>
      <c r="U3271">
        <f>IF($C3271="","",IF($AJ3271=1,0,IF($AI3271=1,Settings!$C$6,Settings!$C$7))*100)</f>
        <v/>
      </c>
      <c r="V3271" s="7">
        <f>IF($C3271="","",R3271*U3271/100)</f>
        <v/>
      </c>
      <c r="W3271" s="7">
        <f>IF($C3271="","",R3271-V3271)</f>
        <v/>
      </c>
      <c r="X3271" s="7">
        <f>IF($C3271="","",W3271-K3271)</f>
        <v/>
      </c>
      <c r="AB3271" s="7" t="n"/>
      <c r="AE3271" s="11" t="n"/>
      <c r="AG3271">
        <f>IF($C3271="","",IF(COUNTIF($C$2:$C3271,$C3271)=1,1,0))</f>
        <v/>
      </c>
      <c r="AH3271">
        <f>IF($AG3271=1,SUMPRODUCT(--($AK$2:$AK$6001&lt;$AK3271))+1,"")</f>
        <v/>
      </c>
      <c r="AI3271">
        <f>IF($C3271="","",IF(OR($N3271=TRUE(),$N3271="TRUE"),1,0))</f>
        <v/>
      </c>
      <c r="AJ3271">
        <f>IF($C3271="","",IF($T3271="Yes",1,0))</f>
        <v/>
      </c>
      <c r="AK3271">
        <f>IF($AG3271=1,IFERROR(IF(VALUE($C3271)&lt;100000000,VALUE($C3271),1000000000),IFERROR(IF(VALUE(MID($C3271,2,20))&lt;100000000,VALUE(MID($C3271,2,20)),1000000000),1000000000))+ROW()/100000,"")</f>
        <v/>
      </c>
    </row>
    <row r="3272">
      <c r="D3272" s="11" t="n"/>
      <c r="K3272" s="7">
        <f>IF($C3272="","",J3272*W3272/100)</f>
        <v/>
      </c>
      <c r="Q3272" s="7" t="n"/>
      <c r="R3272" s="7" t="n"/>
      <c r="U3272">
        <f>IF($C3272="","",IF($AJ3272=1,0,IF($AI3272=1,Settings!$C$6,Settings!$C$7))*100)</f>
        <v/>
      </c>
      <c r="V3272" s="7">
        <f>IF($C3272="","",R3272*U3272/100)</f>
        <v/>
      </c>
      <c r="W3272" s="7">
        <f>IF($C3272="","",R3272-V3272)</f>
        <v/>
      </c>
      <c r="X3272" s="7">
        <f>IF($C3272="","",W3272-K3272)</f>
        <v/>
      </c>
      <c r="AB3272" s="7" t="n"/>
      <c r="AE3272" s="11" t="n"/>
      <c r="AG3272">
        <f>IF($C3272="","",IF(COUNTIF($C$2:$C3272,$C3272)=1,1,0))</f>
        <v/>
      </c>
      <c r="AH3272">
        <f>IF($AG3272=1,SUMPRODUCT(--($AK$2:$AK$6001&lt;$AK3272))+1,"")</f>
        <v/>
      </c>
      <c r="AI3272">
        <f>IF($C3272="","",IF(OR($N3272=TRUE(),$N3272="TRUE"),1,0))</f>
        <v/>
      </c>
      <c r="AJ3272">
        <f>IF($C3272="","",IF($T3272="Yes",1,0))</f>
        <v/>
      </c>
      <c r="AK3272">
        <f>IF($AG3272=1,IFERROR(IF(VALUE($C3272)&lt;100000000,VALUE($C3272),1000000000),IFERROR(IF(VALUE(MID($C3272,2,20))&lt;100000000,VALUE(MID($C3272,2,20)),1000000000),1000000000))+ROW()/100000,"")</f>
        <v/>
      </c>
    </row>
    <row r="3273">
      <c r="D3273" s="11" t="n"/>
      <c r="K3273" s="7">
        <f>IF($C3273="","",J3273*W3273/100)</f>
        <v/>
      </c>
      <c r="Q3273" s="7" t="n"/>
      <c r="R3273" s="7" t="n"/>
      <c r="U3273">
        <f>IF($C3273="","",IF($AJ3273=1,0,IF($AI3273=1,Settings!$C$6,Settings!$C$7))*100)</f>
        <v/>
      </c>
      <c r="V3273" s="7">
        <f>IF($C3273="","",R3273*U3273/100)</f>
        <v/>
      </c>
      <c r="W3273" s="7">
        <f>IF($C3273="","",R3273-V3273)</f>
        <v/>
      </c>
      <c r="X3273" s="7">
        <f>IF($C3273="","",W3273-K3273)</f>
        <v/>
      </c>
      <c r="AB3273" s="7" t="n"/>
      <c r="AE3273" s="11" t="n"/>
      <c r="AG3273">
        <f>IF($C3273="","",IF(COUNTIF($C$2:$C3273,$C3273)=1,1,0))</f>
        <v/>
      </c>
      <c r="AH3273">
        <f>IF($AG3273=1,SUMPRODUCT(--($AK$2:$AK$6001&lt;$AK3273))+1,"")</f>
        <v/>
      </c>
      <c r="AI3273">
        <f>IF($C3273="","",IF(OR($N3273=TRUE(),$N3273="TRUE"),1,0))</f>
        <v/>
      </c>
      <c r="AJ3273">
        <f>IF($C3273="","",IF($T3273="Yes",1,0))</f>
        <v/>
      </c>
      <c r="AK3273">
        <f>IF($AG3273=1,IFERROR(IF(VALUE($C3273)&lt;100000000,VALUE($C3273),1000000000),IFERROR(IF(VALUE(MID($C3273,2,20))&lt;100000000,VALUE(MID($C3273,2,20)),1000000000),1000000000))+ROW()/100000,"")</f>
        <v/>
      </c>
    </row>
    <row r="3274">
      <c r="D3274" s="11" t="n"/>
      <c r="K3274" s="7">
        <f>IF($C3274="","",J3274*W3274/100)</f>
        <v/>
      </c>
      <c r="Q3274" s="7" t="n"/>
      <c r="R3274" s="7" t="n"/>
      <c r="U3274">
        <f>IF($C3274="","",IF($AJ3274=1,0,IF($AI3274=1,Settings!$C$6,Settings!$C$7))*100)</f>
        <v/>
      </c>
      <c r="V3274" s="7">
        <f>IF($C3274="","",R3274*U3274/100)</f>
        <v/>
      </c>
      <c r="W3274" s="7">
        <f>IF($C3274="","",R3274-V3274)</f>
        <v/>
      </c>
      <c r="X3274" s="7">
        <f>IF($C3274="","",W3274-K3274)</f>
        <v/>
      </c>
      <c r="AB3274" s="7" t="n"/>
      <c r="AE3274" s="11" t="n"/>
      <c r="AG3274">
        <f>IF($C3274="","",IF(COUNTIF($C$2:$C3274,$C3274)=1,1,0))</f>
        <v/>
      </c>
      <c r="AH3274">
        <f>IF($AG3274=1,SUMPRODUCT(--($AK$2:$AK$6001&lt;$AK3274))+1,"")</f>
        <v/>
      </c>
      <c r="AI3274">
        <f>IF($C3274="","",IF(OR($N3274=TRUE(),$N3274="TRUE"),1,0))</f>
        <v/>
      </c>
      <c r="AJ3274">
        <f>IF($C3274="","",IF($T3274="Yes",1,0))</f>
        <v/>
      </c>
      <c r="AK3274">
        <f>IF($AG3274=1,IFERROR(IF(VALUE($C3274)&lt;100000000,VALUE($C3274),1000000000),IFERROR(IF(VALUE(MID($C3274,2,20))&lt;100000000,VALUE(MID($C3274,2,20)),1000000000),1000000000))+ROW()/100000,"")</f>
        <v/>
      </c>
    </row>
    <row r="3275">
      <c r="D3275" s="11" t="n"/>
      <c r="K3275" s="7">
        <f>IF($C3275="","",J3275*W3275/100)</f>
        <v/>
      </c>
      <c r="Q3275" s="7" t="n"/>
      <c r="R3275" s="7" t="n"/>
      <c r="U3275">
        <f>IF($C3275="","",IF($AJ3275=1,0,IF($AI3275=1,Settings!$C$6,Settings!$C$7))*100)</f>
        <v/>
      </c>
      <c r="V3275" s="7">
        <f>IF($C3275="","",R3275*U3275/100)</f>
        <v/>
      </c>
      <c r="W3275" s="7">
        <f>IF($C3275="","",R3275-V3275)</f>
        <v/>
      </c>
      <c r="X3275" s="7">
        <f>IF($C3275="","",W3275-K3275)</f>
        <v/>
      </c>
      <c r="AB3275" s="7" t="n"/>
      <c r="AE3275" s="11" t="n"/>
      <c r="AG3275">
        <f>IF($C3275="","",IF(COUNTIF($C$2:$C3275,$C3275)=1,1,0))</f>
        <v/>
      </c>
      <c r="AH3275">
        <f>IF($AG3275=1,SUMPRODUCT(--($AK$2:$AK$6001&lt;$AK3275))+1,"")</f>
        <v/>
      </c>
      <c r="AI3275">
        <f>IF($C3275="","",IF(OR($N3275=TRUE(),$N3275="TRUE"),1,0))</f>
        <v/>
      </c>
      <c r="AJ3275">
        <f>IF($C3275="","",IF($T3275="Yes",1,0))</f>
        <v/>
      </c>
      <c r="AK3275">
        <f>IF($AG3275=1,IFERROR(IF(VALUE($C3275)&lt;100000000,VALUE($C3275),1000000000),IFERROR(IF(VALUE(MID($C3275,2,20))&lt;100000000,VALUE(MID($C3275,2,20)),1000000000),1000000000))+ROW()/100000,"")</f>
        <v/>
      </c>
    </row>
    <row r="3276">
      <c r="D3276" s="11" t="n"/>
      <c r="K3276" s="7">
        <f>IF($C3276="","",J3276*W3276/100)</f>
        <v/>
      </c>
      <c r="Q3276" s="7" t="n"/>
      <c r="R3276" s="7" t="n"/>
      <c r="U3276">
        <f>IF($C3276="","",IF($AJ3276=1,0,IF($AI3276=1,Settings!$C$6,Settings!$C$7))*100)</f>
        <v/>
      </c>
      <c r="V3276" s="7">
        <f>IF($C3276="","",R3276*U3276/100)</f>
        <v/>
      </c>
      <c r="W3276" s="7">
        <f>IF($C3276="","",R3276-V3276)</f>
        <v/>
      </c>
      <c r="X3276" s="7">
        <f>IF($C3276="","",W3276-K3276)</f>
        <v/>
      </c>
      <c r="AB3276" s="7" t="n"/>
      <c r="AE3276" s="11" t="n"/>
      <c r="AG3276">
        <f>IF($C3276="","",IF(COUNTIF($C$2:$C3276,$C3276)=1,1,0))</f>
        <v/>
      </c>
      <c r="AH3276">
        <f>IF($AG3276=1,SUMPRODUCT(--($AK$2:$AK$6001&lt;$AK3276))+1,"")</f>
        <v/>
      </c>
      <c r="AI3276">
        <f>IF($C3276="","",IF(OR($N3276=TRUE(),$N3276="TRUE"),1,0))</f>
        <v/>
      </c>
      <c r="AJ3276">
        <f>IF($C3276="","",IF($T3276="Yes",1,0))</f>
        <v/>
      </c>
      <c r="AK3276">
        <f>IF($AG3276=1,IFERROR(IF(VALUE($C3276)&lt;100000000,VALUE($C3276),1000000000),IFERROR(IF(VALUE(MID($C3276,2,20))&lt;100000000,VALUE(MID($C3276,2,20)),1000000000),1000000000))+ROW()/100000,"")</f>
        <v/>
      </c>
    </row>
    <row r="3277">
      <c r="D3277" s="11" t="n"/>
      <c r="K3277" s="7">
        <f>IF($C3277="","",J3277*W3277/100)</f>
        <v/>
      </c>
      <c r="Q3277" s="7" t="n"/>
      <c r="R3277" s="7" t="n"/>
      <c r="U3277">
        <f>IF($C3277="","",IF($AJ3277=1,0,IF($AI3277=1,Settings!$C$6,Settings!$C$7))*100)</f>
        <v/>
      </c>
      <c r="V3277" s="7">
        <f>IF($C3277="","",R3277*U3277/100)</f>
        <v/>
      </c>
      <c r="W3277" s="7">
        <f>IF($C3277="","",R3277-V3277)</f>
        <v/>
      </c>
      <c r="X3277" s="7">
        <f>IF($C3277="","",W3277-K3277)</f>
        <v/>
      </c>
      <c r="AB3277" s="7" t="n"/>
      <c r="AE3277" s="11" t="n"/>
      <c r="AG3277">
        <f>IF($C3277="","",IF(COUNTIF($C$2:$C3277,$C3277)=1,1,0))</f>
        <v/>
      </c>
      <c r="AH3277">
        <f>IF($AG3277=1,SUMPRODUCT(--($AK$2:$AK$6001&lt;$AK3277))+1,"")</f>
        <v/>
      </c>
      <c r="AI3277">
        <f>IF($C3277="","",IF(OR($N3277=TRUE(),$N3277="TRUE"),1,0))</f>
        <v/>
      </c>
      <c r="AJ3277">
        <f>IF($C3277="","",IF($T3277="Yes",1,0))</f>
        <v/>
      </c>
      <c r="AK3277">
        <f>IF($AG3277=1,IFERROR(IF(VALUE($C3277)&lt;100000000,VALUE($C3277),1000000000),IFERROR(IF(VALUE(MID($C3277,2,20))&lt;100000000,VALUE(MID($C3277,2,20)),1000000000),1000000000))+ROW()/100000,"")</f>
        <v/>
      </c>
    </row>
    <row r="3278">
      <c r="D3278" s="11" t="n"/>
      <c r="K3278" s="7">
        <f>IF($C3278="","",J3278*W3278/100)</f>
        <v/>
      </c>
      <c r="Q3278" s="7" t="n"/>
      <c r="R3278" s="7" t="n"/>
      <c r="U3278">
        <f>IF($C3278="","",IF($AJ3278=1,0,IF($AI3278=1,Settings!$C$6,Settings!$C$7))*100)</f>
        <v/>
      </c>
      <c r="V3278" s="7">
        <f>IF($C3278="","",R3278*U3278/100)</f>
        <v/>
      </c>
      <c r="W3278" s="7">
        <f>IF($C3278="","",R3278-V3278)</f>
        <v/>
      </c>
      <c r="X3278" s="7">
        <f>IF($C3278="","",W3278-K3278)</f>
        <v/>
      </c>
      <c r="AB3278" s="7" t="n"/>
      <c r="AE3278" s="11" t="n"/>
      <c r="AG3278">
        <f>IF($C3278="","",IF(COUNTIF($C$2:$C3278,$C3278)=1,1,0))</f>
        <v/>
      </c>
      <c r="AH3278">
        <f>IF($AG3278=1,SUMPRODUCT(--($AK$2:$AK$6001&lt;$AK3278))+1,"")</f>
        <v/>
      </c>
      <c r="AI3278">
        <f>IF($C3278="","",IF(OR($N3278=TRUE(),$N3278="TRUE"),1,0))</f>
        <v/>
      </c>
      <c r="AJ3278">
        <f>IF($C3278="","",IF($T3278="Yes",1,0))</f>
        <v/>
      </c>
      <c r="AK3278">
        <f>IF($AG3278=1,IFERROR(IF(VALUE($C3278)&lt;100000000,VALUE($C3278),1000000000),IFERROR(IF(VALUE(MID($C3278,2,20))&lt;100000000,VALUE(MID($C3278,2,20)),1000000000),1000000000))+ROW()/100000,"")</f>
        <v/>
      </c>
    </row>
    <row r="3279">
      <c r="D3279" s="11" t="n"/>
      <c r="K3279" s="7">
        <f>IF($C3279="","",J3279*W3279/100)</f>
        <v/>
      </c>
      <c r="Q3279" s="7" t="n"/>
      <c r="R3279" s="7" t="n"/>
      <c r="U3279">
        <f>IF($C3279="","",IF($AJ3279=1,0,IF($AI3279=1,Settings!$C$6,Settings!$C$7))*100)</f>
        <v/>
      </c>
      <c r="V3279" s="7">
        <f>IF($C3279="","",R3279*U3279/100)</f>
        <v/>
      </c>
      <c r="W3279" s="7">
        <f>IF($C3279="","",R3279-V3279)</f>
        <v/>
      </c>
      <c r="X3279" s="7">
        <f>IF($C3279="","",W3279-K3279)</f>
        <v/>
      </c>
      <c r="AB3279" s="7" t="n"/>
      <c r="AE3279" s="11" t="n"/>
      <c r="AG3279">
        <f>IF($C3279="","",IF(COUNTIF($C$2:$C3279,$C3279)=1,1,0))</f>
        <v/>
      </c>
      <c r="AH3279">
        <f>IF($AG3279=1,SUMPRODUCT(--($AK$2:$AK$6001&lt;$AK3279))+1,"")</f>
        <v/>
      </c>
      <c r="AI3279">
        <f>IF($C3279="","",IF(OR($N3279=TRUE(),$N3279="TRUE"),1,0))</f>
        <v/>
      </c>
      <c r="AJ3279">
        <f>IF($C3279="","",IF($T3279="Yes",1,0))</f>
        <v/>
      </c>
      <c r="AK3279">
        <f>IF($AG3279=1,IFERROR(IF(VALUE($C3279)&lt;100000000,VALUE($C3279),1000000000),IFERROR(IF(VALUE(MID($C3279,2,20))&lt;100000000,VALUE(MID($C3279,2,20)),1000000000),1000000000))+ROW()/100000,"")</f>
        <v/>
      </c>
    </row>
    <row r="3280">
      <c r="D3280" s="11" t="n"/>
      <c r="K3280" s="7">
        <f>IF($C3280="","",J3280*W3280/100)</f>
        <v/>
      </c>
      <c r="Q3280" s="7" t="n"/>
      <c r="R3280" s="7" t="n"/>
      <c r="U3280">
        <f>IF($C3280="","",IF($AJ3280=1,0,IF($AI3280=1,Settings!$C$6,Settings!$C$7))*100)</f>
        <v/>
      </c>
      <c r="V3280" s="7">
        <f>IF($C3280="","",R3280*U3280/100)</f>
        <v/>
      </c>
      <c r="W3280" s="7">
        <f>IF($C3280="","",R3280-V3280)</f>
        <v/>
      </c>
      <c r="X3280" s="7">
        <f>IF($C3280="","",W3280-K3280)</f>
        <v/>
      </c>
      <c r="AB3280" s="7" t="n"/>
      <c r="AE3280" s="11" t="n"/>
      <c r="AG3280">
        <f>IF($C3280="","",IF(COUNTIF($C$2:$C3280,$C3280)=1,1,0))</f>
        <v/>
      </c>
      <c r="AH3280">
        <f>IF($AG3280=1,SUMPRODUCT(--($AK$2:$AK$6001&lt;$AK3280))+1,"")</f>
        <v/>
      </c>
      <c r="AI3280">
        <f>IF($C3280="","",IF(OR($N3280=TRUE(),$N3280="TRUE"),1,0))</f>
        <v/>
      </c>
      <c r="AJ3280">
        <f>IF($C3280="","",IF($T3280="Yes",1,0))</f>
        <v/>
      </c>
      <c r="AK3280">
        <f>IF($AG3280=1,IFERROR(IF(VALUE($C3280)&lt;100000000,VALUE($C3280),1000000000),IFERROR(IF(VALUE(MID($C3280,2,20))&lt;100000000,VALUE(MID($C3280,2,20)),1000000000),1000000000))+ROW()/100000,"")</f>
        <v/>
      </c>
    </row>
    <row r="3281">
      <c r="D3281" s="11" t="n"/>
      <c r="K3281" s="7">
        <f>IF($C3281="","",J3281*W3281/100)</f>
        <v/>
      </c>
      <c r="Q3281" s="7" t="n"/>
      <c r="R3281" s="7" t="n"/>
      <c r="U3281">
        <f>IF($C3281="","",IF($AJ3281=1,0,IF($AI3281=1,Settings!$C$6,Settings!$C$7))*100)</f>
        <v/>
      </c>
      <c r="V3281" s="7">
        <f>IF($C3281="","",R3281*U3281/100)</f>
        <v/>
      </c>
      <c r="W3281" s="7">
        <f>IF($C3281="","",R3281-V3281)</f>
        <v/>
      </c>
      <c r="X3281" s="7">
        <f>IF($C3281="","",W3281-K3281)</f>
        <v/>
      </c>
      <c r="AB3281" s="7" t="n"/>
      <c r="AE3281" s="11" t="n"/>
      <c r="AG3281">
        <f>IF($C3281="","",IF(COUNTIF($C$2:$C3281,$C3281)=1,1,0))</f>
        <v/>
      </c>
      <c r="AH3281">
        <f>IF($AG3281=1,SUMPRODUCT(--($AK$2:$AK$6001&lt;$AK3281))+1,"")</f>
        <v/>
      </c>
      <c r="AI3281">
        <f>IF($C3281="","",IF(OR($N3281=TRUE(),$N3281="TRUE"),1,0))</f>
        <v/>
      </c>
      <c r="AJ3281">
        <f>IF($C3281="","",IF($T3281="Yes",1,0))</f>
        <v/>
      </c>
      <c r="AK3281">
        <f>IF($AG3281=1,IFERROR(IF(VALUE($C3281)&lt;100000000,VALUE($C3281),1000000000),IFERROR(IF(VALUE(MID($C3281,2,20))&lt;100000000,VALUE(MID($C3281,2,20)),1000000000),1000000000))+ROW()/100000,"")</f>
        <v/>
      </c>
    </row>
    <row r="3282">
      <c r="D3282" s="11" t="n"/>
      <c r="K3282" s="7">
        <f>IF($C3282="","",J3282*W3282/100)</f>
        <v/>
      </c>
      <c r="Q3282" s="7" t="n"/>
      <c r="R3282" s="7" t="n"/>
      <c r="U3282">
        <f>IF($C3282="","",IF($AJ3282=1,0,IF($AI3282=1,Settings!$C$6,Settings!$C$7))*100)</f>
        <v/>
      </c>
      <c r="V3282" s="7">
        <f>IF($C3282="","",R3282*U3282/100)</f>
        <v/>
      </c>
      <c r="W3282" s="7">
        <f>IF($C3282="","",R3282-V3282)</f>
        <v/>
      </c>
      <c r="X3282" s="7">
        <f>IF($C3282="","",W3282-K3282)</f>
        <v/>
      </c>
      <c r="AB3282" s="7" t="n"/>
      <c r="AE3282" s="11" t="n"/>
      <c r="AG3282">
        <f>IF($C3282="","",IF(COUNTIF($C$2:$C3282,$C3282)=1,1,0))</f>
        <v/>
      </c>
      <c r="AH3282">
        <f>IF($AG3282=1,SUMPRODUCT(--($AK$2:$AK$6001&lt;$AK3282))+1,"")</f>
        <v/>
      </c>
      <c r="AI3282">
        <f>IF($C3282="","",IF(OR($N3282=TRUE(),$N3282="TRUE"),1,0))</f>
        <v/>
      </c>
      <c r="AJ3282">
        <f>IF($C3282="","",IF($T3282="Yes",1,0))</f>
        <v/>
      </c>
      <c r="AK3282">
        <f>IF($AG3282=1,IFERROR(IF(VALUE($C3282)&lt;100000000,VALUE($C3282),1000000000),IFERROR(IF(VALUE(MID($C3282,2,20))&lt;100000000,VALUE(MID($C3282,2,20)),1000000000),1000000000))+ROW()/100000,"")</f>
        <v/>
      </c>
    </row>
    <row r="3283">
      <c r="D3283" s="11" t="n"/>
      <c r="K3283" s="7">
        <f>IF($C3283="","",J3283*W3283/100)</f>
        <v/>
      </c>
      <c r="Q3283" s="7" t="n"/>
      <c r="R3283" s="7" t="n"/>
      <c r="U3283">
        <f>IF($C3283="","",IF($AJ3283=1,0,IF($AI3283=1,Settings!$C$6,Settings!$C$7))*100)</f>
        <v/>
      </c>
      <c r="V3283" s="7">
        <f>IF($C3283="","",R3283*U3283/100)</f>
        <v/>
      </c>
      <c r="W3283" s="7">
        <f>IF($C3283="","",R3283-V3283)</f>
        <v/>
      </c>
      <c r="X3283" s="7">
        <f>IF($C3283="","",W3283-K3283)</f>
        <v/>
      </c>
      <c r="AB3283" s="7" t="n"/>
      <c r="AE3283" s="11" t="n"/>
      <c r="AG3283">
        <f>IF($C3283="","",IF(COUNTIF($C$2:$C3283,$C3283)=1,1,0))</f>
        <v/>
      </c>
      <c r="AH3283">
        <f>IF($AG3283=1,SUMPRODUCT(--($AK$2:$AK$6001&lt;$AK3283))+1,"")</f>
        <v/>
      </c>
      <c r="AI3283">
        <f>IF($C3283="","",IF(OR($N3283=TRUE(),$N3283="TRUE"),1,0))</f>
        <v/>
      </c>
      <c r="AJ3283">
        <f>IF($C3283="","",IF($T3283="Yes",1,0))</f>
        <v/>
      </c>
      <c r="AK3283">
        <f>IF($AG3283=1,IFERROR(IF(VALUE($C3283)&lt;100000000,VALUE($C3283),1000000000),IFERROR(IF(VALUE(MID($C3283,2,20))&lt;100000000,VALUE(MID($C3283,2,20)),1000000000),1000000000))+ROW()/100000,"")</f>
        <v/>
      </c>
    </row>
    <row r="3284">
      <c r="D3284" s="11" t="n"/>
      <c r="K3284" s="7">
        <f>IF($C3284="","",J3284*W3284/100)</f>
        <v/>
      </c>
      <c r="Q3284" s="7" t="n"/>
      <c r="R3284" s="7" t="n"/>
      <c r="U3284">
        <f>IF($C3284="","",IF($AJ3284=1,0,IF($AI3284=1,Settings!$C$6,Settings!$C$7))*100)</f>
        <v/>
      </c>
      <c r="V3284" s="7">
        <f>IF($C3284="","",R3284*U3284/100)</f>
        <v/>
      </c>
      <c r="W3284" s="7">
        <f>IF($C3284="","",R3284-V3284)</f>
        <v/>
      </c>
      <c r="X3284" s="7">
        <f>IF($C3284="","",W3284-K3284)</f>
        <v/>
      </c>
      <c r="AB3284" s="7" t="n"/>
      <c r="AE3284" s="11" t="n"/>
      <c r="AG3284">
        <f>IF($C3284="","",IF(COUNTIF($C$2:$C3284,$C3284)=1,1,0))</f>
        <v/>
      </c>
      <c r="AH3284">
        <f>IF($AG3284=1,SUMPRODUCT(--($AK$2:$AK$6001&lt;$AK3284))+1,"")</f>
        <v/>
      </c>
      <c r="AI3284">
        <f>IF($C3284="","",IF(OR($N3284=TRUE(),$N3284="TRUE"),1,0))</f>
        <v/>
      </c>
      <c r="AJ3284">
        <f>IF($C3284="","",IF($T3284="Yes",1,0))</f>
        <v/>
      </c>
      <c r="AK3284">
        <f>IF($AG3284=1,IFERROR(IF(VALUE($C3284)&lt;100000000,VALUE($C3284),1000000000),IFERROR(IF(VALUE(MID($C3284,2,20))&lt;100000000,VALUE(MID($C3284,2,20)),1000000000),1000000000))+ROW()/100000,"")</f>
        <v/>
      </c>
    </row>
    <row r="3285">
      <c r="D3285" s="11" t="n"/>
      <c r="K3285" s="7">
        <f>IF($C3285="","",J3285*W3285/100)</f>
        <v/>
      </c>
      <c r="Q3285" s="7" t="n"/>
      <c r="R3285" s="7" t="n"/>
      <c r="U3285">
        <f>IF($C3285="","",IF($AJ3285=1,0,IF($AI3285=1,Settings!$C$6,Settings!$C$7))*100)</f>
        <v/>
      </c>
      <c r="V3285" s="7">
        <f>IF($C3285="","",R3285*U3285/100)</f>
        <v/>
      </c>
      <c r="W3285" s="7">
        <f>IF($C3285="","",R3285-V3285)</f>
        <v/>
      </c>
      <c r="X3285" s="7">
        <f>IF($C3285="","",W3285-K3285)</f>
        <v/>
      </c>
      <c r="AB3285" s="7" t="n"/>
      <c r="AE3285" s="11" t="n"/>
      <c r="AG3285">
        <f>IF($C3285="","",IF(COUNTIF($C$2:$C3285,$C3285)=1,1,0))</f>
        <v/>
      </c>
      <c r="AH3285">
        <f>IF($AG3285=1,SUMPRODUCT(--($AK$2:$AK$6001&lt;$AK3285))+1,"")</f>
        <v/>
      </c>
      <c r="AI3285">
        <f>IF($C3285="","",IF(OR($N3285=TRUE(),$N3285="TRUE"),1,0))</f>
        <v/>
      </c>
      <c r="AJ3285">
        <f>IF($C3285="","",IF($T3285="Yes",1,0))</f>
        <v/>
      </c>
      <c r="AK3285">
        <f>IF($AG3285=1,IFERROR(IF(VALUE($C3285)&lt;100000000,VALUE($C3285),1000000000),IFERROR(IF(VALUE(MID($C3285,2,20))&lt;100000000,VALUE(MID($C3285,2,20)),1000000000),1000000000))+ROW()/100000,"")</f>
        <v/>
      </c>
    </row>
    <row r="3286">
      <c r="D3286" s="11" t="n"/>
      <c r="K3286" s="7">
        <f>IF($C3286="","",J3286*W3286/100)</f>
        <v/>
      </c>
      <c r="Q3286" s="7" t="n"/>
      <c r="R3286" s="7" t="n"/>
      <c r="U3286">
        <f>IF($C3286="","",IF($AJ3286=1,0,IF($AI3286=1,Settings!$C$6,Settings!$C$7))*100)</f>
        <v/>
      </c>
      <c r="V3286" s="7">
        <f>IF($C3286="","",R3286*U3286/100)</f>
        <v/>
      </c>
      <c r="W3286" s="7">
        <f>IF($C3286="","",R3286-V3286)</f>
        <v/>
      </c>
      <c r="X3286" s="7">
        <f>IF($C3286="","",W3286-K3286)</f>
        <v/>
      </c>
      <c r="AB3286" s="7" t="n"/>
      <c r="AE3286" s="11" t="n"/>
      <c r="AG3286">
        <f>IF($C3286="","",IF(COUNTIF($C$2:$C3286,$C3286)=1,1,0))</f>
        <v/>
      </c>
      <c r="AH3286">
        <f>IF($AG3286=1,SUMPRODUCT(--($AK$2:$AK$6001&lt;$AK3286))+1,"")</f>
        <v/>
      </c>
      <c r="AI3286">
        <f>IF($C3286="","",IF(OR($N3286=TRUE(),$N3286="TRUE"),1,0))</f>
        <v/>
      </c>
      <c r="AJ3286">
        <f>IF($C3286="","",IF($T3286="Yes",1,0))</f>
        <v/>
      </c>
      <c r="AK3286">
        <f>IF($AG3286=1,IFERROR(IF(VALUE($C3286)&lt;100000000,VALUE($C3286),1000000000),IFERROR(IF(VALUE(MID($C3286,2,20))&lt;100000000,VALUE(MID($C3286,2,20)),1000000000),1000000000))+ROW()/100000,"")</f>
        <v/>
      </c>
    </row>
    <row r="3287">
      <c r="D3287" s="11" t="n"/>
      <c r="K3287" s="7">
        <f>IF($C3287="","",J3287*W3287/100)</f>
        <v/>
      </c>
      <c r="Q3287" s="7" t="n"/>
      <c r="R3287" s="7" t="n"/>
      <c r="U3287">
        <f>IF($C3287="","",IF($AJ3287=1,0,IF($AI3287=1,Settings!$C$6,Settings!$C$7))*100)</f>
        <v/>
      </c>
      <c r="V3287" s="7">
        <f>IF($C3287="","",R3287*U3287/100)</f>
        <v/>
      </c>
      <c r="W3287" s="7">
        <f>IF($C3287="","",R3287-V3287)</f>
        <v/>
      </c>
      <c r="X3287" s="7">
        <f>IF($C3287="","",W3287-K3287)</f>
        <v/>
      </c>
      <c r="AB3287" s="7" t="n"/>
      <c r="AE3287" s="11" t="n"/>
      <c r="AG3287">
        <f>IF($C3287="","",IF(COUNTIF($C$2:$C3287,$C3287)=1,1,0))</f>
        <v/>
      </c>
      <c r="AH3287">
        <f>IF($AG3287=1,SUMPRODUCT(--($AK$2:$AK$6001&lt;$AK3287))+1,"")</f>
        <v/>
      </c>
      <c r="AI3287">
        <f>IF($C3287="","",IF(OR($N3287=TRUE(),$N3287="TRUE"),1,0))</f>
        <v/>
      </c>
      <c r="AJ3287">
        <f>IF($C3287="","",IF($T3287="Yes",1,0))</f>
        <v/>
      </c>
      <c r="AK3287">
        <f>IF($AG3287=1,IFERROR(IF(VALUE($C3287)&lt;100000000,VALUE($C3287),1000000000),IFERROR(IF(VALUE(MID($C3287,2,20))&lt;100000000,VALUE(MID($C3287,2,20)),1000000000),1000000000))+ROW()/100000,"")</f>
        <v/>
      </c>
    </row>
    <row r="3288">
      <c r="D3288" s="11" t="n"/>
      <c r="K3288" s="7">
        <f>IF($C3288="","",J3288*W3288/100)</f>
        <v/>
      </c>
      <c r="Q3288" s="7" t="n"/>
      <c r="R3288" s="7" t="n"/>
      <c r="U3288">
        <f>IF($C3288="","",IF($AJ3288=1,0,IF($AI3288=1,Settings!$C$6,Settings!$C$7))*100)</f>
        <v/>
      </c>
      <c r="V3288" s="7">
        <f>IF($C3288="","",R3288*U3288/100)</f>
        <v/>
      </c>
      <c r="W3288" s="7">
        <f>IF($C3288="","",R3288-V3288)</f>
        <v/>
      </c>
      <c r="X3288" s="7">
        <f>IF($C3288="","",W3288-K3288)</f>
        <v/>
      </c>
      <c r="AB3288" s="7" t="n"/>
      <c r="AE3288" s="11" t="n"/>
      <c r="AG3288">
        <f>IF($C3288="","",IF(COUNTIF($C$2:$C3288,$C3288)=1,1,0))</f>
        <v/>
      </c>
      <c r="AH3288">
        <f>IF($AG3288=1,SUMPRODUCT(--($AK$2:$AK$6001&lt;$AK3288))+1,"")</f>
        <v/>
      </c>
      <c r="AI3288">
        <f>IF($C3288="","",IF(OR($N3288=TRUE(),$N3288="TRUE"),1,0))</f>
        <v/>
      </c>
      <c r="AJ3288">
        <f>IF($C3288="","",IF($T3288="Yes",1,0))</f>
        <v/>
      </c>
      <c r="AK3288">
        <f>IF($AG3288=1,IFERROR(IF(VALUE($C3288)&lt;100000000,VALUE($C3288),1000000000),IFERROR(IF(VALUE(MID($C3288,2,20))&lt;100000000,VALUE(MID($C3288,2,20)),1000000000),1000000000))+ROW()/100000,"")</f>
        <v/>
      </c>
    </row>
    <row r="3289">
      <c r="D3289" s="11" t="n"/>
      <c r="K3289" s="7">
        <f>IF($C3289="","",J3289*W3289/100)</f>
        <v/>
      </c>
      <c r="Q3289" s="7" t="n"/>
      <c r="R3289" s="7" t="n"/>
      <c r="U3289">
        <f>IF($C3289="","",IF($AJ3289=1,0,IF($AI3289=1,Settings!$C$6,Settings!$C$7))*100)</f>
        <v/>
      </c>
      <c r="V3289" s="7">
        <f>IF($C3289="","",R3289*U3289/100)</f>
        <v/>
      </c>
      <c r="W3289" s="7">
        <f>IF($C3289="","",R3289-V3289)</f>
        <v/>
      </c>
      <c r="X3289" s="7">
        <f>IF($C3289="","",W3289-K3289)</f>
        <v/>
      </c>
      <c r="AB3289" s="7" t="n"/>
      <c r="AE3289" s="11" t="n"/>
      <c r="AG3289">
        <f>IF($C3289="","",IF(COUNTIF($C$2:$C3289,$C3289)=1,1,0))</f>
        <v/>
      </c>
      <c r="AH3289">
        <f>IF($AG3289=1,SUMPRODUCT(--($AK$2:$AK$6001&lt;$AK3289))+1,"")</f>
        <v/>
      </c>
      <c r="AI3289">
        <f>IF($C3289="","",IF(OR($N3289=TRUE(),$N3289="TRUE"),1,0))</f>
        <v/>
      </c>
      <c r="AJ3289">
        <f>IF($C3289="","",IF($T3289="Yes",1,0))</f>
        <v/>
      </c>
      <c r="AK3289">
        <f>IF($AG3289=1,IFERROR(IF(VALUE($C3289)&lt;100000000,VALUE($C3289),1000000000),IFERROR(IF(VALUE(MID($C3289,2,20))&lt;100000000,VALUE(MID($C3289,2,20)),1000000000),1000000000))+ROW()/100000,"")</f>
        <v/>
      </c>
    </row>
    <row r="3290">
      <c r="D3290" s="11" t="n"/>
      <c r="K3290" s="7">
        <f>IF($C3290="","",J3290*W3290/100)</f>
        <v/>
      </c>
      <c r="Q3290" s="7" t="n"/>
      <c r="R3290" s="7" t="n"/>
      <c r="U3290">
        <f>IF($C3290="","",IF($AJ3290=1,0,IF($AI3290=1,Settings!$C$6,Settings!$C$7))*100)</f>
        <v/>
      </c>
      <c r="V3290" s="7">
        <f>IF($C3290="","",R3290*U3290/100)</f>
        <v/>
      </c>
      <c r="W3290" s="7">
        <f>IF($C3290="","",R3290-V3290)</f>
        <v/>
      </c>
      <c r="X3290" s="7">
        <f>IF($C3290="","",W3290-K3290)</f>
        <v/>
      </c>
      <c r="AB3290" s="7" t="n"/>
      <c r="AE3290" s="11" t="n"/>
      <c r="AG3290">
        <f>IF($C3290="","",IF(COUNTIF($C$2:$C3290,$C3290)=1,1,0))</f>
        <v/>
      </c>
      <c r="AH3290">
        <f>IF($AG3290=1,SUMPRODUCT(--($AK$2:$AK$6001&lt;$AK3290))+1,"")</f>
        <v/>
      </c>
      <c r="AI3290">
        <f>IF($C3290="","",IF(OR($N3290=TRUE(),$N3290="TRUE"),1,0))</f>
        <v/>
      </c>
      <c r="AJ3290">
        <f>IF($C3290="","",IF($T3290="Yes",1,0))</f>
        <v/>
      </c>
      <c r="AK3290">
        <f>IF($AG3290=1,IFERROR(IF(VALUE($C3290)&lt;100000000,VALUE($C3290),1000000000),IFERROR(IF(VALUE(MID($C3290,2,20))&lt;100000000,VALUE(MID($C3290,2,20)),1000000000),1000000000))+ROW()/100000,"")</f>
        <v/>
      </c>
    </row>
    <row r="3291">
      <c r="D3291" s="11" t="n"/>
      <c r="K3291" s="7">
        <f>IF($C3291="","",J3291*W3291/100)</f>
        <v/>
      </c>
      <c r="Q3291" s="7" t="n"/>
      <c r="R3291" s="7" t="n"/>
      <c r="U3291">
        <f>IF($C3291="","",IF($AJ3291=1,0,IF($AI3291=1,Settings!$C$6,Settings!$C$7))*100)</f>
        <v/>
      </c>
      <c r="V3291" s="7">
        <f>IF($C3291="","",R3291*U3291/100)</f>
        <v/>
      </c>
      <c r="W3291" s="7">
        <f>IF($C3291="","",R3291-V3291)</f>
        <v/>
      </c>
      <c r="X3291" s="7">
        <f>IF($C3291="","",W3291-K3291)</f>
        <v/>
      </c>
      <c r="AB3291" s="7" t="n"/>
      <c r="AE3291" s="11" t="n"/>
      <c r="AG3291">
        <f>IF($C3291="","",IF(COUNTIF($C$2:$C3291,$C3291)=1,1,0))</f>
        <v/>
      </c>
      <c r="AH3291">
        <f>IF($AG3291=1,SUMPRODUCT(--($AK$2:$AK$6001&lt;$AK3291))+1,"")</f>
        <v/>
      </c>
      <c r="AI3291">
        <f>IF($C3291="","",IF(OR($N3291=TRUE(),$N3291="TRUE"),1,0))</f>
        <v/>
      </c>
      <c r="AJ3291">
        <f>IF($C3291="","",IF($T3291="Yes",1,0))</f>
        <v/>
      </c>
      <c r="AK3291">
        <f>IF($AG3291=1,IFERROR(IF(VALUE($C3291)&lt;100000000,VALUE($C3291),1000000000),IFERROR(IF(VALUE(MID($C3291,2,20))&lt;100000000,VALUE(MID($C3291,2,20)),1000000000),1000000000))+ROW()/100000,"")</f>
        <v/>
      </c>
    </row>
    <row r="3292">
      <c r="D3292" s="11" t="n"/>
      <c r="K3292" s="7">
        <f>IF($C3292="","",J3292*W3292/100)</f>
        <v/>
      </c>
      <c r="Q3292" s="7" t="n"/>
      <c r="R3292" s="7" t="n"/>
      <c r="U3292">
        <f>IF($C3292="","",IF($AJ3292=1,0,IF($AI3292=1,Settings!$C$6,Settings!$C$7))*100)</f>
        <v/>
      </c>
      <c r="V3292" s="7">
        <f>IF($C3292="","",R3292*U3292/100)</f>
        <v/>
      </c>
      <c r="W3292" s="7">
        <f>IF($C3292="","",R3292-V3292)</f>
        <v/>
      </c>
      <c r="X3292" s="7">
        <f>IF($C3292="","",W3292-K3292)</f>
        <v/>
      </c>
      <c r="AB3292" s="7" t="n"/>
      <c r="AE3292" s="11" t="n"/>
      <c r="AG3292">
        <f>IF($C3292="","",IF(COUNTIF($C$2:$C3292,$C3292)=1,1,0))</f>
        <v/>
      </c>
      <c r="AH3292">
        <f>IF($AG3292=1,SUMPRODUCT(--($AK$2:$AK$6001&lt;$AK3292))+1,"")</f>
        <v/>
      </c>
      <c r="AI3292">
        <f>IF($C3292="","",IF(OR($N3292=TRUE(),$N3292="TRUE"),1,0))</f>
        <v/>
      </c>
      <c r="AJ3292">
        <f>IF($C3292="","",IF($T3292="Yes",1,0))</f>
        <v/>
      </c>
      <c r="AK3292">
        <f>IF($AG3292=1,IFERROR(IF(VALUE($C3292)&lt;100000000,VALUE($C3292),1000000000),IFERROR(IF(VALUE(MID($C3292,2,20))&lt;100000000,VALUE(MID($C3292,2,20)),1000000000),1000000000))+ROW()/100000,"")</f>
        <v/>
      </c>
    </row>
    <row r="3293">
      <c r="D3293" s="11" t="n"/>
      <c r="K3293" s="7">
        <f>IF($C3293="","",J3293*W3293/100)</f>
        <v/>
      </c>
      <c r="Q3293" s="7" t="n"/>
      <c r="R3293" s="7" t="n"/>
      <c r="U3293">
        <f>IF($C3293="","",IF($AJ3293=1,0,IF($AI3293=1,Settings!$C$6,Settings!$C$7))*100)</f>
        <v/>
      </c>
      <c r="V3293" s="7">
        <f>IF($C3293="","",R3293*U3293/100)</f>
        <v/>
      </c>
      <c r="W3293" s="7">
        <f>IF($C3293="","",R3293-V3293)</f>
        <v/>
      </c>
      <c r="X3293" s="7">
        <f>IF($C3293="","",W3293-K3293)</f>
        <v/>
      </c>
      <c r="AB3293" s="7" t="n"/>
      <c r="AE3293" s="11" t="n"/>
      <c r="AG3293">
        <f>IF($C3293="","",IF(COUNTIF($C$2:$C3293,$C3293)=1,1,0))</f>
        <v/>
      </c>
      <c r="AH3293">
        <f>IF($AG3293=1,SUMPRODUCT(--($AK$2:$AK$6001&lt;$AK3293))+1,"")</f>
        <v/>
      </c>
      <c r="AI3293">
        <f>IF($C3293="","",IF(OR($N3293=TRUE(),$N3293="TRUE"),1,0))</f>
        <v/>
      </c>
      <c r="AJ3293">
        <f>IF($C3293="","",IF($T3293="Yes",1,0))</f>
        <v/>
      </c>
      <c r="AK3293">
        <f>IF($AG3293=1,IFERROR(IF(VALUE($C3293)&lt;100000000,VALUE($C3293),1000000000),IFERROR(IF(VALUE(MID($C3293,2,20))&lt;100000000,VALUE(MID($C3293,2,20)),1000000000),1000000000))+ROW()/100000,"")</f>
        <v/>
      </c>
    </row>
    <row r="3294">
      <c r="D3294" s="11" t="n"/>
      <c r="K3294" s="7">
        <f>IF($C3294="","",J3294*W3294/100)</f>
        <v/>
      </c>
      <c r="Q3294" s="7" t="n"/>
      <c r="R3294" s="7" t="n"/>
      <c r="U3294">
        <f>IF($C3294="","",IF($AJ3294=1,0,IF($AI3294=1,Settings!$C$6,Settings!$C$7))*100)</f>
        <v/>
      </c>
      <c r="V3294" s="7">
        <f>IF($C3294="","",R3294*U3294/100)</f>
        <v/>
      </c>
      <c r="W3294" s="7">
        <f>IF($C3294="","",R3294-V3294)</f>
        <v/>
      </c>
      <c r="X3294" s="7">
        <f>IF($C3294="","",W3294-K3294)</f>
        <v/>
      </c>
      <c r="AB3294" s="7" t="n"/>
      <c r="AE3294" s="11" t="n"/>
      <c r="AG3294">
        <f>IF($C3294="","",IF(COUNTIF($C$2:$C3294,$C3294)=1,1,0))</f>
        <v/>
      </c>
      <c r="AH3294">
        <f>IF($AG3294=1,SUMPRODUCT(--($AK$2:$AK$6001&lt;$AK3294))+1,"")</f>
        <v/>
      </c>
      <c r="AI3294">
        <f>IF($C3294="","",IF(OR($N3294=TRUE(),$N3294="TRUE"),1,0))</f>
        <v/>
      </c>
      <c r="AJ3294">
        <f>IF($C3294="","",IF($T3294="Yes",1,0))</f>
        <v/>
      </c>
      <c r="AK3294">
        <f>IF($AG3294=1,IFERROR(IF(VALUE($C3294)&lt;100000000,VALUE($C3294),1000000000),IFERROR(IF(VALUE(MID($C3294,2,20))&lt;100000000,VALUE(MID($C3294,2,20)),1000000000),1000000000))+ROW()/100000,"")</f>
        <v/>
      </c>
    </row>
    <row r="3295">
      <c r="D3295" s="11" t="n"/>
      <c r="K3295" s="7">
        <f>IF($C3295="","",J3295*W3295/100)</f>
        <v/>
      </c>
      <c r="Q3295" s="7" t="n"/>
      <c r="R3295" s="7" t="n"/>
      <c r="U3295">
        <f>IF($C3295="","",IF($AJ3295=1,0,IF($AI3295=1,Settings!$C$6,Settings!$C$7))*100)</f>
        <v/>
      </c>
      <c r="V3295" s="7">
        <f>IF($C3295="","",R3295*U3295/100)</f>
        <v/>
      </c>
      <c r="W3295" s="7">
        <f>IF($C3295="","",R3295-V3295)</f>
        <v/>
      </c>
      <c r="X3295" s="7">
        <f>IF($C3295="","",W3295-K3295)</f>
        <v/>
      </c>
      <c r="AB3295" s="7" t="n"/>
      <c r="AE3295" s="11" t="n"/>
      <c r="AG3295">
        <f>IF($C3295="","",IF(COUNTIF($C$2:$C3295,$C3295)=1,1,0))</f>
        <v/>
      </c>
      <c r="AH3295">
        <f>IF($AG3295=1,SUMPRODUCT(--($AK$2:$AK$6001&lt;$AK3295))+1,"")</f>
        <v/>
      </c>
      <c r="AI3295">
        <f>IF($C3295="","",IF(OR($N3295=TRUE(),$N3295="TRUE"),1,0))</f>
        <v/>
      </c>
      <c r="AJ3295">
        <f>IF($C3295="","",IF($T3295="Yes",1,0))</f>
        <v/>
      </c>
      <c r="AK3295">
        <f>IF($AG3295=1,IFERROR(IF(VALUE($C3295)&lt;100000000,VALUE($C3295),1000000000),IFERROR(IF(VALUE(MID($C3295,2,20))&lt;100000000,VALUE(MID($C3295,2,20)),1000000000),1000000000))+ROW()/100000,"")</f>
        <v/>
      </c>
    </row>
    <row r="3296">
      <c r="D3296" s="11" t="n"/>
      <c r="K3296" s="7">
        <f>IF($C3296="","",J3296*W3296/100)</f>
        <v/>
      </c>
      <c r="Q3296" s="7" t="n"/>
      <c r="R3296" s="7" t="n"/>
      <c r="U3296">
        <f>IF($C3296="","",IF($AJ3296=1,0,IF($AI3296=1,Settings!$C$6,Settings!$C$7))*100)</f>
        <v/>
      </c>
      <c r="V3296" s="7">
        <f>IF($C3296="","",R3296*U3296/100)</f>
        <v/>
      </c>
      <c r="W3296" s="7">
        <f>IF($C3296="","",R3296-V3296)</f>
        <v/>
      </c>
      <c r="X3296" s="7">
        <f>IF($C3296="","",W3296-K3296)</f>
        <v/>
      </c>
      <c r="AB3296" s="7" t="n"/>
      <c r="AE3296" s="11" t="n"/>
      <c r="AG3296">
        <f>IF($C3296="","",IF(COUNTIF($C$2:$C3296,$C3296)=1,1,0))</f>
        <v/>
      </c>
      <c r="AH3296">
        <f>IF($AG3296=1,SUMPRODUCT(--($AK$2:$AK$6001&lt;$AK3296))+1,"")</f>
        <v/>
      </c>
      <c r="AI3296">
        <f>IF($C3296="","",IF(OR($N3296=TRUE(),$N3296="TRUE"),1,0))</f>
        <v/>
      </c>
      <c r="AJ3296">
        <f>IF($C3296="","",IF($T3296="Yes",1,0))</f>
        <v/>
      </c>
      <c r="AK3296">
        <f>IF($AG3296=1,IFERROR(IF(VALUE($C3296)&lt;100000000,VALUE($C3296),1000000000),IFERROR(IF(VALUE(MID($C3296,2,20))&lt;100000000,VALUE(MID($C3296,2,20)),1000000000),1000000000))+ROW()/100000,"")</f>
        <v/>
      </c>
    </row>
    <row r="3297">
      <c r="D3297" s="11" t="n"/>
      <c r="K3297" s="7">
        <f>IF($C3297="","",J3297*W3297/100)</f>
        <v/>
      </c>
      <c r="Q3297" s="7" t="n"/>
      <c r="R3297" s="7" t="n"/>
      <c r="U3297">
        <f>IF($C3297="","",IF($AJ3297=1,0,IF($AI3297=1,Settings!$C$6,Settings!$C$7))*100)</f>
        <v/>
      </c>
      <c r="V3297" s="7">
        <f>IF($C3297="","",R3297*U3297/100)</f>
        <v/>
      </c>
      <c r="W3297" s="7">
        <f>IF($C3297="","",R3297-V3297)</f>
        <v/>
      </c>
      <c r="X3297" s="7">
        <f>IF($C3297="","",W3297-K3297)</f>
        <v/>
      </c>
      <c r="AB3297" s="7" t="n"/>
      <c r="AE3297" s="11" t="n"/>
      <c r="AG3297">
        <f>IF($C3297="","",IF(COUNTIF($C$2:$C3297,$C3297)=1,1,0))</f>
        <v/>
      </c>
      <c r="AH3297">
        <f>IF($AG3297=1,SUMPRODUCT(--($AK$2:$AK$6001&lt;$AK3297))+1,"")</f>
        <v/>
      </c>
      <c r="AI3297">
        <f>IF($C3297="","",IF(OR($N3297=TRUE(),$N3297="TRUE"),1,0))</f>
        <v/>
      </c>
      <c r="AJ3297">
        <f>IF($C3297="","",IF($T3297="Yes",1,0))</f>
        <v/>
      </c>
      <c r="AK3297">
        <f>IF($AG3297=1,IFERROR(IF(VALUE($C3297)&lt;100000000,VALUE($C3297),1000000000),IFERROR(IF(VALUE(MID($C3297,2,20))&lt;100000000,VALUE(MID($C3297,2,20)),1000000000),1000000000))+ROW()/100000,"")</f>
        <v/>
      </c>
    </row>
    <row r="3298">
      <c r="D3298" s="11" t="n"/>
      <c r="K3298" s="7">
        <f>IF($C3298="","",J3298*W3298/100)</f>
        <v/>
      </c>
      <c r="Q3298" s="7" t="n"/>
      <c r="R3298" s="7" t="n"/>
      <c r="U3298">
        <f>IF($C3298="","",IF($AJ3298=1,0,IF($AI3298=1,Settings!$C$6,Settings!$C$7))*100)</f>
        <v/>
      </c>
      <c r="V3298" s="7">
        <f>IF($C3298="","",R3298*U3298/100)</f>
        <v/>
      </c>
      <c r="W3298" s="7">
        <f>IF($C3298="","",R3298-V3298)</f>
        <v/>
      </c>
      <c r="X3298" s="7">
        <f>IF($C3298="","",W3298-K3298)</f>
        <v/>
      </c>
      <c r="AB3298" s="7" t="n"/>
      <c r="AE3298" s="11" t="n"/>
      <c r="AG3298">
        <f>IF($C3298="","",IF(COUNTIF($C$2:$C3298,$C3298)=1,1,0))</f>
        <v/>
      </c>
      <c r="AH3298">
        <f>IF($AG3298=1,SUMPRODUCT(--($AK$2:$AK$6001&lt;$AK3298))+1,"")</f>
        <v/>
      </c>
      <c r="AI3298">
        <f>IF($C3298="","",IF(OR($N3298=TRUE(),$N3298="TRUE"),1,0))</f>
        <v/>
      </c>
      <c r="AJ3298">
        <f>IF($C3298="","",IF($T3298="Yes",1,0))</f>
        <v/>
      </c>
      <c r="AK3298">
        <f>IF($AG3298=1,IFERROR(IF(VALUE($C3298)&lt;100000000,VALUE($C3298),1000000000),IFERROR(IF(VALUE(MID($C3298,2,20))&lt;100000000,VALUE(MID($C3298,2,20)),1000000000),1000000000))+ROW()/100000,"")</f>
        <v/>
      </c>
    </row>
    <row r="3299">
      <c r="D3299" s="11" t="n"/>
      <c r="K3299" s="7">
        <f>IF($C3299="","",J3299*W3299/100)</f>
        <v/>
      </c>
      <c r="Q3299" s="7" t="n"/>
      <c r="R3299" s="7" t="n"/>
      <c r="U3299">
        <f>IF($C3299="","",IF($AJ3299=1,0,IF($AI3299=1,Settings!$C$6,Settings!$C$7))*100)</f>
        <v/>
      </c>
      <c r="V3299" s="7">
        <f>IF($C3299="","",R3299*U3299/100)</f>
        <v/>
      </c>
      <c r="W3299" s="7">
        <f>IF($C3299="","",R3299-V3299)</f>
        <v/>
      </c>
      <c r="X3299" s="7">
        <f>IF($C3299="","",W3299-K3299)</f>
        <v/>
      </c>
      <c r="AB3299" s="7" t="n"/>
      <c r="AE3299" s="11" t="n"/>
      <c r="AG3299">
        <f>IF($C3299="","",IF(COUNTIF($C$2:$C3299,$C3299)=1,1,0))</f>
        <v/>
      </c>
      <c r="AH3299">
        <f>IF($AG3299=1,SUMPRODUCT(--($AK$2:$AK$6001&lt;$AK3299))+1,"")</f>
        <v/>
      </c>
      <c r="AI3299">
        <f>IF($C3299="","",IF(OR($N3299=TRUE(),$N3299="TRUE"),1,0))</f>
        <v/>
      </c>
      <c r="AJ3299">
        <f>IF($C3299="","",IF($T3299="Yes",1,0))</f>
        <v/>
      </c>
      <c r="AK3299">
        <f>IF($AG3299=1,IFERROR(IF(VALUE($C3299)&lt;100000000,VALUE($C3299),1000000000),IFERROR(IF(VALUE(MID($C3299,2,20))&lt;100000000,VALUE(MID($C3299,2,20)),1000000000),1000000000))+ROW()/100000,"")</f>
        <v/>
      </c>
    </row>
    <row r="3300">
      <c r="D3300" s="11" t="n"/>
      <c r="K3300" s="7">
        <f>IF($C3300="","",J3300*W3300/100)</f>
        <v/>
      </c>
      <c r="Q3300" s="7" t="n"/>
      <c r="R3300" s="7" t="n"/>
      <c r="U3300">
        <f>IF($C3300="","",IF($AJ3300=1,0,IF($AI3300=1,Settings!$C$6,Settings!$C$7))*100)</f>
        <v/>
      </c>
      <c r="V3300" s="7">
        <f>IF($C3300="","",R3300*U3300/100)</f>
        <v/>
      </c>
      <c r="W3300" s="7">
        <f>IF($C3300="","",R3300-V3300)</f>
        <v/>
      </c>
      <c r="X3300" s="7">
        <f>IF($C3300="","",W3300-K3300)</f>
        <v/>
      </c>
      <c r="AB3300" s="7" t="n"/>
      <c r="AE3300" s="11" t="n"/>
      <c r="AG3300">
        <f>IF($C3300="","",IF(COUNTIF($C$2:$C3300,$C3300)=1,1,0))</f>
        <v/>
      </c>
      <c r="AH3300">
        <f>IF($AG3300=1,SUMPRODUCT(--($AK$2:$AK$6001&lt;$AK3300))+1,"")</f>
        <v/>
      </c>
      <c r="AI3300">
        <f>IF($C3300="","",IF(OR($N3300=TRUE(),$N3300="TRUE"),1,0))</f>
        <v/>
      </c>
      <c r="AJ3300">
        <f>IF($C3300="","",IF($T3300="Yes",1,0))</f>
        <v/>
      </c>
      <c r="AK3300">
        <f>IF($AG3300=1,IFERROR(IF(VALUE($C3300)&lt;100000000,VALUE($C3300),1000000000),IFERROR(IF(VALUE(MID($C3300,2,20))&lt;100000000,VALUE(MID($C3300,2,20)),1000000000),1000000000))+ROW()/100000,"")</f>
        <v/>
      </c>
    </row>
    <row r="3301">
      <c r="D3301" s="11" t="n"/>
      <c r="K3301" s="7">
        <f>IF($C3301="","",J3301*W3301/100)</f>
        <v/>
      </c>
      <c r="Q3301" s="7" t="n"/>
      <c r="R3301" s="7" t="n"/>
      <c r="U3301">
        <f>IF($C3301="","",IF($AJ3301=1,0,IF($AI3301=1,Settings!$C$6,Settings!$C$7))*100)</f>
        <v/>
      </c>
      <c r="V3301" s="7">
        <f>IF($C3301="","",R3301*U3301/100)</f>
        <v/>
      </c>
      <c r="W3301" s="7">
        <f>IF($C3301="","",R3301-V3301)</f>
        <v/>
      </c>
      <c r="X3301" s="7">
        <f>IF($C3301="","",W3301-K3301)</f>
        <v/>
      </c>
      <c r="AB3301" s="7" t="n"/>
      <c r="AE3301" s="11" t="n"/>
      <c r="AG3301">
        <f>IF($C3301="","",IF(COUNTIF($C$2:$C3301,$C3301)=1,1,0))</f>
        <v/>
      </c>
      <c r="AH3301">
        <f>IF($AG3301=1,SUMPRODUCT(--($AK$2:$AK$6001&lt;$AK3301))+1,"")</f>
        <v/>
      </c>
      <c r="AI3301">
        <f>IF($C3301="","",IF(OR($N3301=TRUE(),$N3301="TRUE"),1,0))</f>
        <v/>
      </c>
      <c r="AJ3301">
        <f>IF($C3301="","",IF($T3301="Yes",1,0))</f>
        <v/>
      </c>
      <c r="AK3301">
        <f>IF($AG3301=1,IFERROR(IF(VALUE($C3301)&lt;100000000,VALUE($C3301),1000000000),IFERROR(IF(VALUE(MID($C3301,2,20))&lt;100000000,VALUE(MID($C3301,2,20)),1000000000),1000000000))+ROW()/100000,"")</f>
        <v/>
      </c>
    </row>
    <row r="3302">
      <c r="D3302" s="11" t="n"/>
      <c r="K3302" s="7">
        <f>IF($C3302="","",J3302*W3302/100)</f>
        <v/>
      </c>
      <c r="Q3302" s="7" t="n"/>
      <c r="R3302" s="7" t="n"/>
      <c r="U3302">
        <f>IF($C3302="","",IF($AJ3302=1,0,IF($AI3302=1,Settings!$C$6,Settings!$C$7))*100)</f>
        <v/>
      </c>
      <c r="V3302" s="7">
        <f>IF($C3302="","",R3302*U3302/100)</f>
        <v/>
      </c>
      <c r="W3302" s="7">
        <f>IF($C3302="","",R3302-V3302)</f>
        <v/>
      </c>
      <c r="X3302" s="7">
        <f>IF($C3302="","",W3302-K3302)</f>
        <v/>
      </c>
      <c r="AB3302" s="7" t="n"/>
      <c r="AE3302" s="11" t="n"/>
      <c r="AG3302">
        <f>IF($C3302="","",IF(COUNTIF($C$2:$C3302,$C3302)=1,1,0))</f>
        <v/>
      </c>
      <c r="AH3302">
        <f>IF($AG3302=1,SUMPRODUCT(--($AK$2:$AK$6001&lt;$AK3302))+1,"")</f>
        <v/>
      </c>
      <c r="AI3302">
        <f>IF($C3302="","",IF(OR($N3302=TRUE(),$N3302="TRUE"),1,0))</f>
        <v/>
      </c>
      <c r="AJ3302">
        <f>IF($C3302="","",IF($T3302="Yes",1,0))</f>
        <v/>
      </c>
      <c r="AK3302">
        <f>IF($AG3302=1,IFERROR(IF(VALUE($C3302)&lt;100000000,VALUE($C3302),1000000000),IFERROR(IF(VALUE(MID($C3302,2,20))&lt;100000000,VALUE(MID($C3302,2,20)),1000000000),1000000000))+ROW()/100000,"")</f>
        <v/>
      </c>
    </row>
    <row r="3303">
      <c r="D3303" s="11" t="n"/>
      <c r="K3303" s="7">
        <f>IF($C3303="","",J3303*W3303/100)</f>
        <v/>
      </c>
      <c r="Q3303" s="7" t="n"/>
      <c r="R3303" s="7" t="n"/>
      <c r="U3303">
        <f>IF($C3303="","",IF($AJ3303=1,0,IF($AI3303=1,Settings!$C$6,Settings!$C$7))*100)</f>
        <v/>
      </c>
      <c r="V3303" s="7">
        <f>IF($C3303="","",R3303*U3303/100)</f>
        <v/>
      </c>
      <c r="W3303" s="7">
        <f>IF($C3303="","",R3303-V3303)</f>
        <v/>
      </c>
      <c r="X3303" s="7">
        <f>IF($C3303="","",W3303-K3303)</f>
        <v/>
      </c>
      <c r="AB3303" s="7" t="n"/>
      <c r="AE3303" s="11" t="n"/>
      <c r="AG3303">
        <f>IF($C3303="","",IF(COUNTIF($C$2:$C3303,$C3303)=1,1,0))</f>
        <v/>
      </c>
      <c r="AH3303">
        <f>IF($AG3303=1,SUMPRODUCT(--($AK$2:$AK$6001&lt;$AK3303))+1,"")</f>
        <v/>
      </c>
      <c r="AI3303">
        <f>IF($C3303="","",IF(OR($N3303=TRUE(),$N3303="TRUE"),1,0))</f>
        <v/>
      </c>
      <c r="AJ3303">
        <f>IF($C3303="","",IF($T3303="Yes",1,0))</f>
        <v/>
      </c>
      <c r="AK3303">
        <f>IF($AG3303=1,IFERROR(IF(VALUE($C3303)&lt;100000000,VALUE($C3303),1000000000),IFERROR(IF(VALUE(MID($C3303,2,20))&lt;100000000,VALUE(MID($C3303,2,20)),1000000000),1000000000))+ROW()/100000,"")</f>
        <v/>
      </c>
    </row>
    <row r="3304">
      <c r="D3304" s="11" t="n"/>
      <c r="K3304" s="7">
        <f>IF($C3304="","",J3304*W3304/100)</f>
        <v/>
      </c>
      <c r="Q3304" s="7" t="n"/>
      <c r="R3304" s="7" t="n"/>
      <c r="U3304">
        <f>IF($C3304="","",IF($AJ3304=1,0,IF($AI3304=1,Settings!$C$6,Settings!$C$7))*100)</f>
        <v/>
      </c>
      <c r="V3304" s="7">
        <f>IF($C3304="","",R3304*U3304/100)</f>
        <v/>
      </c>
      <c r="W3304" s="7">
        <f>IF($C3304="","",R3304-V3304)</f>
        <v/>
      </c>
      <c r="X3304" s="7">
        <f>IF($C3304="","",W3304-K3304)</f>
        <v/>
      </c>
      <c r="AB3304" s="7" t="n"/>
      <c r="AE3304" s="11" t="n"/>
      <c r="AG3304">
        <f>IF($C3304="","",IF(COUNTIF($C$2:$C3304,$C3304)=1,1,0))</f>
        <v/>
      </c>
      <c r="AH3304">
        <f>IF($AG3304=1,SUMPRODUCT(--($AK$2:$AK$6001&lt;$AK3304))+1,"")</f>
        <v/>
      </c>
      <c r="AI3304">
        <f>IF($C3304="","",IF(OR($N3304=TRUE(),$N3304="TRUE"),1,0))</f>
        <v/>
      </c>
      <c r="AJ3304">
        <f>IF($C3304="","",IF($T3304="Yes",1,0))</f>
        <v/>
      </c>
      <c r="AK3304">
        <f>IF($AG3304=1,IFERROR(IF(VALUE($C3304)&lt;100000000,VALUE($C3304),1000000000),IFERROR(IF(VALUE(MID($C3304,2,20))&lt;100000000,VALUE(MID($C3304,2,20)),1000000000),1000000000))+ROW()/100000,"")</f>
        <v/>
      </c>
    </row>
    <row r="3305">
      <c r="D3305" s="11" t="n"/>
      <c r="K3305" s="7">
        <f>IF($C3305="","",J3305*W3305/100)</f>
        <v/>
      </c>
      <c r="Q3305" s="7" t="n"/>
      <c r="R3305" s="7" t="n"/>
      <c r="U3305">
        <f>IF($C3305="","",IF($AJ3305=1,0,IF($AI3305=1,Settings!$C$6,Settings!$C$7))*100)</f>
        <v/>
      </c>
      <c r="V3305" s="7">
        <f>IF($C3305="","",R3305*U3305/100)</f>
        <v/>
      </c>
      <c r="W3305" s="7">
        <f>IF($C3305="","",R3305-V3305)</f>
        <v/>
      </c>
      <c r="X3305" s="7">
        <f>IF($C3305="","",W3305-K3305)</f>
        <v/>
      </c>
      <c r="AB3305" s="7" t="n"/>
      <c r="AE3305" s="11" t="n"/>
      <c r="AG3305">
        <f>IF($C3305="","",IF(COUNTIF($C$2:$C3305,$C3305)=1,1,0))</f>
        <v/>
      </c>
      <c r="AH3305">
        <f>IF($AG3305=1,SUMPRODUCT(--($AK$2:$AK$6001&lt;$AK3305))+1,"")</f>
        <v/>
      </c>
      <c r="AI3305">
        <f>IF($C3305="","",IF(OR($N3305=TRUE(),$N3305="TRUE"),1,0))</f>
        <v/>
      </c>
      <c r="AJ3305">
        <f>IF($C3305="","",IF($T3305="Yes",1,0))</f>
        <v/>
      </c>
      <c r="AK3305">
        <f>IF($AG3305=1,IFERROR(IF(VALUE($C3305)&lt;100000000,VALUE($C3305),1000000000),IFERROR(IF(VALUE(MID($C3305,2,20))&lt;100000000,VALUE(MID($C3305,2,20)),1000000000),1000000000))+ROW()/100000,"")</f>
        <v/>
      </c>
    </row>
    <row r="3306">
      <c r="D3306" s="11" t="n"/>
      <c r="K3306" s="7">
        <f>IF($C3306="","",J3306*W3306/100)</f>
        <v/>
      </c>
      <c r="Q3306" s="7" t="n"/>
      <c r="R3306" s="7" t="n"/>
      <c r="U3306">
        <f>IF($C3306="","",IF($AJ3306=1,0,IF($AI3306=1,Settings!$C$6,Settings!$C$7))*100)</f>
        <v/>
      </c>
      <c r="V3306" s="7">
        <f>IF($C3306="","",R3306*U3306/100)</f>
        <v/>
      </c>
      <c r="W3306" s="7">
        <f>IF($C3306="","",R3306-V3306)</f>
        <v/>
      </c>
      <c r="X3306" s="7">
        <f>IF($C3306="","",W3306-K3306)</f>
        <v/>
      </c>
      <c r="AB3306" s="7" t="n"/>
      <c r="AE3306" s="11" t="n"/>
      <c r="AG3306">
        <f>IF($C3306="","",IF(COUNTIF($C$2:$C3306,$C3306)=1,1,0))</f>
        <v/>
      </c>
      <c r="AH3306">
        <f>IF($AG3306=1,SUMPRODUCT(--($AK$2:$AK$6001&lt;$AK3306))+1,"")</f>
        <v/>
      </c>
      <c r="AI3306">
        <f>IF($C3306="","",IF(OR($N3306=TRUE(),$N3306="TRUE"),1,0))</f>
        <v/>
      </c>
      <c r="AJ3306">
        <f>IF($C3306="","",IF($T3306="Yes",1,0))</f>
        <v/>
      </c>
      <c r="AK3306">
        <f>IF($AG3306=1,IFERROR(IF(VALUE($C3306)&lt;100000000,VALUE($C3306),1000000000),IFERROR(IF(VALUE(MID($C3306,2,20))&lt;100000000,VALUE(MID($C3306,2,20)),1000000000),1000000000))+ROW()/100000,"")</f>
        <v/>
      </c>
    </row>
    <row r="3307">
      <c r="D3307" s="11" t="n"/>
      <c r="K3307" s="7">
        <f>IF($C3307="","",J3307*W3307/100)</f>
        <v/>
      </c>
      <c r="Q3307" s="7" t="n"/>
      <c r="R3307" s="7" t="n"/>
      <c r="U3307">
        <f>IF($C3307="","",IF($AJ3307=1,0,IF($AI3307=1,Settings!$C$6,Settings!$C$7))*100)</f>
        <v/>
      </c>
      <c r="V3307" s="7">
        <f>IF($C3307="","",R3307*U3307/100)</f>
        <v/>
      </c>
      <c r="W3307" s="7">
        <f>IF($C3307="","",R3307-V3307)</f>
        <v/>
      </c>
      <c r="X3307" s="7">
        <f>IF($C3307="","",W3307-K3307)</f>
        <v/>
      </c>
      <c r="AB3307" s="7" t="n"/>
      <c r="AE3307" s="11" t="n"/>
      <c r="AG3307">
        <f>IF($C3307="","",IF(COUNTIF($C$2:$C3307,$C3307)=1,1,0))</f>
        <v/>
      </c>
      <c r="AH3307">
        <f>IF($AG3307=1,SUMPRODUCT(--($AK$2:$AK$6001&lt;$AK3307))+1,"")</f>
        <v/>
      </c>
      <c r="AI3307">
        <f>IF($C3307="","",IF(OR($N3307=TRUE(),$N3307="TRUE"),1,0))</f>
        <v/>
      </c>
      <c r="AJ3307">
        <f>IF($C3307="","",IF($T3307="Yes",1,0))</f>
        <v/>
      </c>
      <c r="AK3307">
        <f>IF($AG3307=1,IFERROR(IF(VALUE($C3307)&lt;100000000,VALUE($C3307),1000000000),IFERROR(IF(VALUE(MID($C3307,2,20))&lt;100000000,VALUE(MID($C3307,2,20)),1000000000),1000000000))+ROW()/100000,"")</f>
        <v/>
      </c>
    </row>
    <row r="3308">
      <c r="D3308" s="11" t="n"/>
      <c r="K3308" s="7">
        <f>IF($C3308="","",J3308*W3308/100)</f>
        <v/>
      </c>
      <c r="Q3308" s="7" t="n"/>
      <c r="R3308" s="7" t="n"/>
      <c r="U3308">
        <f>IF($C3308="","",IF($AJ3308=1,0,IF($AI3308=1,Settings!$C$6,Settings!$C$7))*100)</f>
        <v/>
      </c>
      <c r="V3308" s="7">
        <f>IF($C3308="","",R3308*U3308/100)</f>
        <v/>
      </c>
      <c r="W3308" s="7">
        <f>IF($C3308="","",R3308-V3308)</f>
        <v/>
      </c>
      <c r="X3308" s="7">
        <f>IF($C3308="","",W3308-K3308)</f>
        <v/>
      </c>
      <c r="AB3308" s="7" t="n"/>
      <c r="AE3308" s="11" t="n"/>
      <c r="AG3308">
        <f>IF($C3308="","",IF(COUNTIF($C$2:$C3308,$C3308)=1,1,0))</f>
        <v/>
      </c>
      <c r="AH3308">
        <f>IF($AG3308=1,SUMPRODUCT(--($AK$2:$AK$6001&lt;$AK3308))+1,"")</f>
        <v/>
      </c>
      <c r="AI3308">
        <f>IF($C3308="","",IF(OR($N3308=TRUE(),$N3308="TRUE"),1,0))</f>
        <v/>
      </c>
      <c r="AJ3308">
        <f>IF($C3308="","",IF($T3308="Yes",1,0))</f>
        <v/>
      </c>
      <c r="AK3308">
        <f>IF($AG3308=1,IFERROR(IF(VALUE($C3308)&lt;100000000,VALUE($C3308),1000000000),IFERROR(IF(VALUE(MID($C3308,2,20))&lt;100000000,VALUE(MID($C3308,2,20)),1000000000),1000000000))+ROW()/100000,"")</f>
        <v/>
      </c>
    </row>
    <row r="3309">
      <c r="D3309" s="11" t="n"/>
      <c r="K3309" s="7">
        <f>IF($C3309="","",J3309*W3309/100)</f>
        <v/>
      </c>
      <c r="Q3309" s="7" t="n"/>
      <c r="R3309" s="7" t="n"/>
      <c r="U3309">
        <f>IF($C3309="","",IF($AJ3309=1,0,IF($AI3309=1,Settings!$C$6,Settings!$C$7))*100)</f>
        <v/>
      </c>
      <c r="V3309" s="7">
        <f>IF($C3309="","",R3309*U3309/100)</f>
        <v/>
      </c>
      <c r="W3309" s="7">
        <f>IF($C3309="","",R3309-V3309)</f>
        <v/>
      </c>
      <c r="X3309" s="7">
        <f>IF($C3309="","",W3309-K3309)</f>
        <v/>
      </c>
      <c r="AB3309" s="7" t="n"/>
      <c r="AE3309" s="11" t="n"/>
      <c r="AG3309">
        <f>IF($C3309="","",IF(COUNTIF($C$2:$C3309,$C3309)=1,1,0))</f>
        <v/>
      </c>
      <c r="AH3309">
        <f>IF($AG3309=1,SUMPRODUCT(--($AK$2:$AK$6001&lt;$AK3309))+1,"")</f>
        <v/>
      </c>
      <c r="AI3309">
        <f>IF($C3309="","",IF(OR($N3309=TRUE(),$N3309="TRUE"),1,0))</f>
        <v/>
      </c>
      <c r="AJ3309">
        <f>IF($C3309="","",IF($T3309="Yes",1,0))</f>
        <v/>
      </c>
      <c r="AK3309">
        <f>IF($AG3309=1,IFERROR(IF(VALUE($C3309)&lt;100000000,VALUE($C3309),1000000000),IFERROR(IF(VALUE(MID($C3309,2,20))&lt;100000000,VALUE(MID($C3309,2,20)),1000000000),1000000000))+ROW()/100000,"")</f>
        <v/>
      </c>
    </row>
    <row r="3310">
      <c r="D3310" s="11" t="n"/>
      <c r="K3310" s="7">
        <f>IF($C3310="","",J3310*W3310/100)</f>
        <v/>
      </c>
      <c r="Q3310" s="7" t="n"/>
      <c r="R3310" s="7" t="n"/>
      <c r="U3310">
        <f>IF($C3310="","",IF($AJ3310=1,0,IF($AI3310=1,Settings!$C$6,Settings!$C$7))*100)</f>
        <v/>
      </c>
      <c r="V3310" s="7">
        <f>IF($C3310="","",R3310*U3310/100)</f>
        <v/>
      </c>
      <c r="W3310" s="7">
        <f>IF($C3310="","",R3310-V3310)</f>
        <v/>
      </c>
      <c r="X3310" s="7">
        <f>IF($C3310="","",W3310-K3310)</f>
        <v/>
      </c>
      <c r="AB3310" s="7" t="n"/>
      <c r="AE3310" s="11" t="n"/>
      <c r="AG3310">
        <f>IF($C3310="","",IF(COUNTIF($C$2:$C3310,$C3310)=1,1,0))</f>
        <v/>
      </c>
      <c r="AH3310">
        <f>IF($AG3310=1,SUMPRODUCT(--($AK$2:$AK$6001&lt;$AK3310))+1,"")</f>
        <v/>
      </c>
      <c r="AI3310">
        <f>IF($C3310="","",IF(OR($N3310=TRUE(),$N3310="TRUE"),1,0))</f>
        <v/>
      </c>
      <c r="AJ3310">
        <f>IF($C3310="","",IF($T3310="Yes",1,0))</f>
        <v/>
      </c>
      <c r="AK3310">
        <f>IF($AG3310=1,IFERROR(IF(VALUE($C3310)&lt;100000000,VALUE($C3310),1000000000),IFERROR(IF(VALUE(MID($C3310,2,20))&lt;100000000,VALUE(MID($C3310,2,20)),1000000000),1000000000))+ROW()/100000,"")</f>
        <v/>
      </c>
    </row>
    <row r="3311">
      <c r="D3311" s="11" t="n"/>
      <c r="K3311" s="7">
        <f>IF($C3311="","",J3311*W3311/100)</f>
        <v/>
      </c>
      <c r="Q3311" s="7" t="n"/>
      <c r="R3311" s="7" t="n"/>
      <c r="U3311">
        <f>IF($C3311="","",IF($AJ3311=1,0,IF($AI3311=1,Settings!$C$6,Settings!$C$7))*100)</f>
        <v/>
      </c>
      <c r="V3311" s="7">
        <f>IF($C3311="","",R3311*U3311/100)</f>
        <v/>
      </c>
      <c r="W3311" s="7">
        <f>IF($C3311="","",R3311-V3311)</f>
        <v/>
      </c>
      <c r="X3311" s="7">
        <f>IF($C3311="","",W3311-K3311)</f>
        <v/>
      </c>
      <c r="AB3311" s="7" t="n"/>
      <c r="AE3311" s="11" t="n"/>
      <c r="AG3311">
        <f>IF($C3311="","",IF(COUNTIF($C$2:$C3311,$C3311)=1,1,0))</f>
        <v/>
      </c>
      <c r="AH3311">
        <f>IF($AG3311=1,SUMPRODUCT(--($AK$2:$AK$6001&lt;$AK3311))+1,"")</f>
        <v/>
      </c>
      <c r="AI3311">
        <f>IF($C3311="","",IF(OR($N3311=TRUE(),$N3311="TRUE"),1,0))</f>
        <v/>
      </c>
      <c r="AJ3311">
        <f>IF($C3311="","",IF($T3311="Yes",1,0))</f>
        <v/>
      </c>
      <c r="AK3311">
        <f>IF($AG3311=1,IFERROR(IF(VALUE($C3311)&lt;100000000,VALUE($C3311),1000000000),IFERROR(IF(VALUE(MID($C3311,2,20))&lt;100000000,VALUE(MID($C3311,2,20)),1000000000),1000000000))+ROW()/100000,"")</f>
        <v/>
      </c>
    </row>
    <row r="3312">
      <c r="D3312" s="11" t="n"/>
      <c r="K3312" s="7">
        <f>IF($C3312="","",J3312*W3312/100)</f>
        <v/>
      </c>
      <c r="Q3312" s="7" t="n"/>
      <c r="R3312" s="7" t="n"/>
      <c r="U3312">
        <f>IF($C3312="","",IF($AJ3312=1,0,IF($AI3312=1,Settings!$C$6,Settings!$C$7))*100)</f>
        <v/>
      </c>
      <c r="V3312" s="7">
        <f>IF($C3312="","",R3312*U3312/100)</f>
        <v/>
      </c>
      <c r="W3312" s="7">
        <f>IF($C3312="","",R3312-V3312)</f>
        <v/>
      </c>
      <c r="X3312" s="7">
        <f>IF($C3312="","",W3312-K3312)</f>
        <v/>
      </c>
      <c r="AB3312" s="7" t="n"/>
      <c r="AE3312" s="11" t="n"/>
      <c r="AG3312">
        <f>IF($C3312="","",IF(COUNTIF($C$2:$C3312,$C3312)=1,1,0))</f>
        <v/>
      </c>
      <c r="AH3312">
        <f>IF($AG3312=1,SUMPRODUCT(--($AK$2:$AK$6001&lt;$AK3312))+1,"")</f>
        <v/>
      </c>
      <c r="AI3312">
        <f>IF($C3312="","",IF(OR($N3312=TRUE(),$N3312="TRUE"),1,0))</f>
        <v/>
      </c>
      <c r="AJ3312">
        <f>IF($C3312="","",IF($T3312="Yes",1,0))</f>
        <v/>
      </c>
      <c r="AK3312">
        <f>IF($AG3312=1,IFERROR(IF(VALUE($C3312)&lt;100000000,VALUE($C3312),1000000000),IFERROR(IF(VALUE(MID($C3312,2,20))&lt;100000000,VALUE(MID($C3312,2,20)),1000000000),1000000000))+ROW()/100000,"")</f>
        <v/>
      </c>
    </row>
    <row r="3313">
      <c r="D3313" s="11" t="n"/>
      <c r="K3313" s="7">
        <f>IF($C3313="","",J3313*W3313/100)</f>
        <v/>
      </c>
      <c r="Q3313" s="7" t="n"/>
      <c r="R3313" s="7" t="n"/>
      <c r="U3313">
        <f>IF($C3313="","",IF($AJ3313=1,0,IF($AI3313=1,Settings!$C$6,Settings!$C$7))*100)</f>
        <v/>
      </c>
      <c r="V3313" s="7">
        <f>IF($C3313="","",R3313*U3313/100)</f>
        <v/>
      </c>
      <c r="W3313" s="7">
        <f>IF($C3313="","",R3313-V3313)</f>
        <v/>
      </c>
      <c r="X3313" s="7">
        <f>IF($C3313="","",W3313-K3313)</f>
        <v/>
      </c>
      <c r="AB3313" s="7" t="n"/>
      <c r="AE3313" s="11" t="n"/>
      <c r="AG3313">
        <f>IF($C3313="","",IF(COUNTIF($C$2:$C3313,$C3313)=1,1,0))</f>
        <v/>
      </c>
      <c r="AH3313">
        <f>IF($AG3313=1,SUMPRODUCT(--($AK$2:$AK$6001&lt;$AK3313))+1,"")</f>
        <v/>
      </c>
      <c r="AI3313">
        <f>IF($C3313="","",IF(OR($N3313=TRUE(),$N3313="TRUE"),1,0))</f>
        <v/>
      </c>
      <c r="AJ3313">
        <f>IF($C3313="","",IF($T3313="Yes",1,0))</f>
        <v/>
      </c>
      <c r="AK3313">
        <f>IF($AG3313=1,IFERROR(IF(VALUE($C3313)&lt;100000000,VALUE($C3313),1000000000),IFERROR(IF(VALUE(MID($C3313,2,20))&lt;100000000,VALUE(MID($C3313,2,20)),1000000000),1000000000))+ROW()/100000,"")</f>
        <v/>
      </c>
    </row>
    <row r="3314">
      <c r="D3314" s="11" t="n"/>
      <c r="K3314" s="7">
        <f>IF($C3314="","",J3314*W3314/100)</f>
        <v/>
      </c>
      <c r="Q3314" s="7" t="n"/>
      <c r="R3314" s="7" t="n"/>
      <c r="U3314">
        <f>IF($C3314="","",IF($AJ3314=1,0,IF($AI3314=1,Settings!$C$6,Settings!$C$7))*100)</f>
        <v/>
      </c>
      <c r="V3314" s="7">
        <f>IF($C3314="","",R3314*U3314/100)</f>
        <v/>
      </c>
      <c r="W3314" s="7">
        <f>IF($C3314="","",R3314-V3314)</f>
        <v/>
      </c>
      <c r="X3314" s="7">
        <f>IF($C3314="","",W3314-K3314)</f>
        <v/>
      </c>
      <c r="AB3314" s="7" t="n"/>
      <c r="AE3314" s="11" t="n"/>
      <c r="AG3314">
        <f>IF($C3314="","",IF(COUNTIF($C$2:$C3314,$C3314)=1,1,0))</f>
        <v/>
      </c>
      <c r="AH3314">
        <f>IF($AG3314=1,SUMPRODUCT(--($AK$2:$AK$6001&lt;$AK3314))+1,"")</f>
        <v/>
      </c>
      <c r="AI3314">
        <f>IF($C3314="","",IF(OR($N3314=TRUE(),$N3314="TRUE"),1,0))</f>
        <v/>
      </c>
      <c r="AJ3314">
        <f>IF($C3314="","",IF($T3314="Yes",1,0))</f>
        <v/>
      </c>
      <c r="AK3314">
        <f>IF($AG3314=1,IFERROR(IF(VALUE($C3314)&lt;100000000,VALUE($C3314),1000000000),IFERROR(IF(VALUE(MID($C3314,2,20))&lt;100000000,VALUE(MID($C3314,2,20)),1000000000),1000000000))+ROW()/100000,"")</f>
        <v/>
      </c>
    </row>
    <row r="3315">
      <c r="D3315" s="11" t="n"/>
      <c r="K3315" s="7">
        <f>IF($C3315="","",J3315*W3315/100)</f>
        <v/>
      </c>
      <c r="Q3315" s="7" t="n"/>
      <c r="R3315" s="7" t="n"/>
      <c r="U3315">
        <f>IF($C3315="","",IF($AJ3315=1,0,IF($AI3315=1,Settings!$C$6,Settings!$C$7))*100)</f>
        <v/>
      </c>
      <c r="V3315" s="7">
        <f>IF($C3315="","",R3315*U3315/100)</f>
        <v/>
      </c>
      <c r="W3315" s="7">
        <f>IF($C3315="","",R3315-V3315)</f>
        <v/>
      </c>
      <c r="X3315" s="7">
        <f>IF($C3315="","",W3315-K3315)</f>
        <v/>
      </c>
      <c r="AB3315" s="7" t="n"/>
      <c r="AE3315" s="11" t="n"/>
      <c r="AG3315">
        <f>IF($C3315="","",IF(COUNTIF($C$2:$C3315,$C3315)=1,1,0))</f>
        <v/>
      </c>
      <c r="AH3315">
        <f>IF($AG3315=1,SUMPRODUCT(--($AK$2:$AK$6001&lt;$AK3315))+1,"")</f>
        <v/>
      </c>
      <c r="AI3315">
        <f>IF($C3315="","",IF(OR($N3315=TRUE(),$N3315="TRUE"),1,0))</f>
        <v/>
      </c>
      <c r="AJ3315">
        <f>IF($C3315="","",IF($T3315="Yes",1,0))</f>
        <v/>
      </c>
      <c r="AK3315">
        <f>IF($AG3315=1,IFERROR(IF(VALUE($C3315)&lt;100000000,VALUE($C3315),1000000000),IFERROR(IF(VALUE(MID($C3315,2,20))&lt;100000000,VALUE(MID($C3315,2,20)),1000000000),1000000000))+ROW()/100000,"")</f>
        <v/>
      </c>
    </row>
    <row r="3316">
      <c r="D3316" s="11" t="n"/>
      <c r="K3316" s="7">
        <f>IF($C3316="","",J3316*W3316/100)</f>
        <v/>
      </c>
      <c r="Q3316" s="7" t="n"/>
      <c r="R3316" s="7" t="n"/>
      <c r="U3316">
        <f>IF($C3316="","",IF($AJ3316=1,0,IF($AI3316=1,Settings!$C$6,Settings!$C$7))*100)</f>
        <v/>
      </c>
      <c r="V3316" s="7">
        <f>IF($C3316="","",R3316*U3316/100)</f>
        <v/>
      </c>
      <c r="W3316" s="7">
        <f>IF($C3316="","",R3316-V3316)</f>
        <v/>
      </c>
      <c r="X3316" s="7">
        <f>IF($C3316="","",W3316-K3316)</f>
        <v/>
      </c>
      <c r="AB3316" s="7" t="n"/>
      <c r="AE3316" s="11" t="n"/>
      <c r="AG3316">
        <f>IF($C3316="","",IF(COUNTIF($C$2:$C3316,$C3316)=1,1,0))</f>
        <v/>
      </c>
      <c r="AH3316">
        <f>IF($AG3316=1,SUMPRODUCT(--($AK$2:$AK$6001&lt;$AK3316))+1,"")</f>
        <v/>
      </c>
      <c r="AI3316">
        <f>IF($C3316="","",IF(OR($N3316=TRUE(),$N3316="TRUE"),1,0))</f>
        <v/>
      </c>
      <c r="AJ3316">
        <f>IF($C3316="","",IF($T3316="Yes",1,0))</f>
        <v/>
      </c>
      <c r="AK3316">
        <f>IF($AG3316=1,IFERROR(IF(VALUE($C3316)&lt;100000000,VALUE($C3316),1000000000),IFERROR(IF(VALUE(MID($C3316,2,20))&lt;100000000,VALUE(MID($C3316,2,20)),1000000000),1000000000))+ROW()/100000,"")</f>
        <v/>
      </c>
    </row>
    <row r="3317">
      <c r="D3317" s="11" t="n"/>
      <c r="K3317" s="7">
        <f>IF($C3317="","",J3317*W3317/100)</f>
        <v/>
      </c>
      <c r="Q3317" s="7" t="n"/>
      <c r="R3317" s="7" t="n"/>
      <c r="U3317">
        <f>IF($C3317="","",IF($AJ3317=1,0,IF($AI3317=1,Settings!$C$6,Settings!$C$7))*100)</f>
        <v/>
      </c>
      <c r="V3317" s="7">
        <f>IF($C3317="","",R3317*U3317/100)</f>
        <v/>
      </c>
      <c r="W3317" s="7">
        <f>IF($C3317="","",R3317-V3317)</f>
        <v/>
      </c>
      <c r="X3317" s="7">
        <f>IF($C3317="","",W3317-K3317)</f>
        <v/>
      </c>
      <c r="AB3317" s="7" t="n"/>
      <c r="AE3317" s="11" t="n"/>
      <c r="AG3317">
        <f>IF($C3317="","",IF(COUNTIF($C$2:$C3317,$C3317)=1,1,0))</f>
        <v/>
      </c>
      <c r="AH3317">
        <f>IF($AG3317=1,SUMPRODUCT(--($AK$2:$AK$6001&lt;$AK3317))+1,"")</f>
        <v/>
      </c>
      <c r="AI3317">
        <f>IF($C3317="","",IF(OR($N3317=TRUE(),$N3317="TRUE"),1,0))</f>
        <v/>
      </c>
      <c r="AJ3317">
        <f>IF($C3317="","",IF($T3317="Yes",1,0))</f>
        <v/>
      </c>
      <c r="AK3317">
        <f>IF($AG3317=1,IFERROR(IF(VALUE($C3317)&lt;100000000,VALUE($C3317),1000000000),IFERROR(IF(VALUE(MID($C3317,2,20))&lt;100000000,VALUE(MID($C3317,2,20)),1000000000),1000000000))+ROW()/100000,"")</f>
        <v/>
      </c>
    </row>
    <row r="3318">
      <c r="D3318" s="11" t="n"/>
      <c r="K3318" s="7">
        <f>IF($C3318="","",J3318*W3318/100)</f>
        <v/>
      </c>
      <c r="Q3318" s="7" t="n"/>
      <c r="R3318" s="7" t="n"/>
      <c r="U3318">
        <f>IF($C3318="","",IF($AJ3318=1,0,IF($AI3318=1,Settings!$C$6,Settings!$C$7))*100)</f>
        <v/>
      </c>
      <c r="V3318" s="7">
        <f>IF($C3318="","",R3318*U3318/100)</f>
        <v/>
      </c>
      <c r="W3318" s="7">
        <f>IF($C3318="","",R3318-V3318)</f>
        <v/>
      </c>
      <c r="X3318" s="7">
        <f>IF($C3318="","",W3318-K3318)</f>
        <v/>
      </c>
      <c r="AB3318" s="7" t="n"/>
      <c r="AE3318" s="11" t="n"/>
      <c r="AG3318">
        <f>IF($C3318="","",IF(COUNTIF($C$2:$C3318,$C3318)=1,1,0))</f>
        <v/>
      </c>
      <c r="AH3318">
        <f>IF($AG3318=1,SUMPRODUCT(--($AK$2:$AK$6001&lt;$AK3318))+1,"")</f>
        <v/>
      </c>
      <c r="AI3318">
        <f>IF($C3318="","",IF(OR($N3318=TRUE(),$N3318="TRUE"),1,0))</f>
        <v/>
      </c>
      <c r="AJ3318">
        <f>IF($C3318="","",IF($T3318="Yes",1,0))</f>
        <v/>
      </c>
      <c r="AK3318">
        <f>IF($AG3318=1,IFERROR(IF(VALUE($C3318)&lt;100000000,VALUE($C3318),1000000000),IFERROR(IF(VALUE(MID($C3318,2,20))&lt;100000000,VALUE(MID($C3318,2,20)),1000000000),1000000000))+ROW()/100000,"")</f>
        <v/>
      </c>
    </row>
    <row r="3319">
      <c r="D3319" s="11" t="n"/>
      <c r="K3319" s="7">
        <f>IF($C3319="","",J3319*W3319/100)</f>
        <v/>
      </c>
      <c r="Q3319" s="7" t="n"/>
      <c r="R3319" s="7" t="n"/>
      <c r="U3319">
        <f>IF($C3319="","",IF($AJ3319=1,0,IF($AI3319=1,Settings!$C$6,Settings!$C$7))*100)</f>
        <v/>
      </c>
      <c r="V3319" s="7">
        <f>IF($C3319="","",R3319*U3319/100)</f>
        <v/>
      </c>
      <c r="W3319" s="7">
        <f>IF($C3319="","",R3319-V3319)</f>
        <v/>
      </c>
      <c r="X3319" s="7">
        <f>IF($C3319="","",W3319-K3319)</f>
        <v/>
      </c>
      <c r="AB3319" s="7" t="n"/>
      <c r="AE3319" s="11" t="n"/>
      <c r="AG3319">
        <f>IF($C3319="","",IF(COUNTIF($C$2:$C3319,$C3319)=1,1,0))</f>
        <v/>
      </c>
      <c r="AH3319">
        <f>IF($AG3319=1,SUMPRODUCT(--($AK$2:$AK$6001&lt;$AK3319))+1,"")</f>
        <v/>
      </c>
      <c r="AI3319">
        <f>IF($C3319="","",IF(OR($N3319=TRUE(),$N3319="TRUE"),1,0))</f>
        <v/>
      </c>
      <c r="AJ3319">
        <f>IF($C3319="","",IF($T3319="Yes",1,0))</f>
        <v/>
      </c>
      <c r="AK3319">
        <f>IF($AG3319=1,IFERROR(IF(VALUE($C3319)&lt;100000000,VALUE($C3319),1000000000),IFERROR(IF(VALUE(MID($C3319,2,20))&lt;100000000,VALUE(MID($C3319,2,20)),1000000000),1000000000))+ROW()/100000,"")</f>
        <v/>
      </c>
    </row>
    <row r="3320">
      <c r="D3320" s="11" t="n"/>
      <c r="K3320" s="7">
        <f>IF($C3320="","",J3320*W3320/100)</f>
        <v/>
      </c>
      <c r="Q3320" s="7" t="n"/>
      <c r="R3320" s="7" t="n"/>
      <c r="U3320">
        <f>IF($C3320="","",IF($AJ3320=1,0,IF($AI3320=1,Settings!$C$6,Settings!$C$7))*100)</f>
        <v/>
      </c>
      <c r="V3320" s="7">
        <f>IF($C3320="","",R3320*U3320/100)</f>
        <v/>
      </c>
      <c r="W3320" s="7">
        <f>IF($C3320="","",R3320-V3320)</f>
        <v/>
      </c>
      <c r="X3320" s="7">
        <f>IF($C3320="","",W3320-K3320)</f>
        <v/>
      </c>
      <c r="AB3320" s="7" t="n"/>
      <c r="AE3320" s="11" t="n"/>
      <c r="AG3320">
        <f>IF($C3320="","",IF(COUNTIF($C$2:$C3320,$C3320)=1,1,0))</f>
        <v/>
      </c>
      <c r="AH3320">
        <f>IF($AG3320=1,SUMPRODUCT(--($AK$2:$AK$6001&lt;$AK3320))+1,"")</f>
        <v/>
      </c>
      <c r="AI3320">
        <f>IF($C3320="","",IF(OR($N3320=TRUE(),$N3320="TRUE"),1,0))</f>
        <v/>
      </c>
      <c r="AJ3320">
        <f>IF($C3320="","",IF($T3320="Yes",1,0))</f>
        <v/>
      </c>
      <c r="AK3320">
        <f>IF($AG3320=1,IFERROR(IF(VALUE($C3320)&lt;100000000,VALUE($C3320),1000000000),IFERROR(IF(VALUE(MID($C3320,2,20))&lt;100000000,VALUE(MID($C3320,2,20)),1000000000),1000000000))+ROW()/100000,"")</f>
        <v/>
      </c>
    </row>
    <row r="3321">
      <c r="D3321" s="11" t="n"/>
      <c r="K3321" s="7">
        <f>IF($C3321="","",J3321*W3321/100)</f>
        <v/>
      </c>
      <c r="Q3321" s="7" t="n"/>
      <c r="R3321" s="7" t="n"/>
      <c r="U3321">
        <f>IF($C3321="","",IF($AJ3321=1,0,IF($AI3321=1,Settings!$C$6,Settings!$C$7))*100)</f>
        <v/>
      </c>
      <c r="V3321" s="7">
        <f>IF($C3321="","",R3321*U3321/100)</f>
        <v/>
      </c>
      <c r="W3321" s="7">
        <f>IF($C3321="","",R3321-V3321)</f>
        <v/>
      </c>
      <c r="X3321" s="7">
        <f>IF($C3321="","",W3321-K3321)</f>
        <v/>
      </c>
      <c r="AB3321" s="7" t="n"/>
      <c r="AE3321" s="11" t="n"/>
      <c r="AG3321">
        <f>IF($C3321="","",IF(COUNTIF($C$2:$C3321,$C3321)=1,1,0))</f>
        <v/>
      </c>
      <c r="AH3321">
        <f>IF($AG3321=1,SUMPRODUCT(--($AK$2:$AK$6001&lt;$AK3321))+1,"")</f>
        <v/>
      </c>
      <c r="AI3321">
        <f>IF($C3321="","",IF(OR($N3321=TRUE(),$N3321="TRUE"),1,0))</f>
        <v/>
      </c>
      <c r="AJ3321">
        <f>IF($C3321="","",IF($T3321="Yes",1,0))</f>
        <v/>
      </c>
      <c r="AK3321">
        <f>IF($AG3321=1,IFERROR(IF(VALUE($C3321)&lt;100000000,VALUE($C3321),1000000000),IFERROR(IF(VALUE(MID($C3321,2,20))&lt;100000000,VALUE(MID($C3321,2,20)),1000000000),1000000000))+ROW()/100000,"")</f>
        <v/>
      </c>
    </row>
    <row r="3322">
      <c r="D3322" s="11" t="n"/>
      <c r="K3322" s="7">
        <f>IF($C3322="","",J3322*W3322/100)</f>
        <v/>
      </c>
      <c r="Q3322" s="7" t="n"/>
      <c r="R3322" s="7" t="n"/>
      <c r="U3322">
        <f>IF($C3322="","",IF($AJ3322=1,0,IF($AI3322=1,Settings!$C$6,Settings!$C$7))*100)</f>
        <v/>
      </c>
      <c r="V3322" s="7">
        <f>IF($C3322="","",R3322*U3322/100)</f>
        <v/>
      </c>
      <c r="W3322" s="7">
        <f>IF($C3322="","",R3322-V3322)</f>
        <v/>
      </c>
      <c r="X3322" s="7">
        <f>IF($C3322="","",W3322-K3322)</f>
        <v/>
      </c>
      <c r="AB3322" s="7" t="n"/>
      <c r="AE3322" s="11" t="n"/>
      <c r="AG3322">
        <f>IF($C3322="","",IF(COUNTIF($C$2:$C3322,$C3322)=1,1,0))</f>
        <v/>
      </c>
      <c r="AH3322">
        <f>IF($AG3322=1,SUMPRODUCT(--($AK$2:$AK$6001&lt;$AK3322))+1,"")</f>
        <v/>
      </c>
      <c r="AI3322">
        <f>IF($C3322="","",IF(OR($N3322=TRUE(),$N3322="TRUE"),1,0))</f>
        <v/>
      </c>
      <c r="AJ3322">
        <f>IF($C3322="","",IF($T3322="Yes",1,0))</f>
        <v/>
      </c>
      <c r="AK3322">
        <f>IF($AG3322=1,IFERROR(IF(VALUE($C3322)&lt;100000000,VALUE($C3322),1000000000),IFERROR(IF(VALUE(MID($C3322,2,20))&lt;100000000,VALUE(MID($C3322,2,20)),1000000000),1000000000))+ROW()/100000,"")</f>
        <v/>
      </c>
    </row>
    <row r="3323">
      <c r="D3323" s="11" t="n"/>
      <c r="K3323" s="7">
        <f>IF($C3323="","",J3323*W3323/100)</f>
        <v/>
      </c>
      <c r="Q3323" s="7" t="n"/>
      <c r="R3323" s="7" t="n"/>
      <c r="U3323">
        <f>IF($C3323="","",IF($AJ3323=1,0,IF($AI3323=1,Settings!$C$6,Settings!$C$7))*100)</f>
        <v/>
      </c>
      <c r="V3323" s="7">
        <f>IF($C3323="","",R3323*U3323/100)</f>
        <v/>
      </c>
      <c r="W3323" s="7">
        <f>IF($C3323="","",R3323-V3323)</f>
        <v/>
      </c>
      <c r="X3323" s="7">
        <f>IF($C3323="","",W3323-K3323)</f>
        <v/>
      </c>
      <c r="AB3323" s="7" t="n"/>
      <c r="AE3323" s="11" t="n"/>
      <c r="AG3323">
        <f>IF($C3323="","",IF(COUNTIF($C$2:$C3323,$C3323)=1,1,0))</f>
        <v/>
      </c>
      <c r="AH3323">
        <f>IF($AG3323=1,SUMPRODUCT(--($AK$2:$AK$6001&lt;$AK3323))+1,"")</f>
        <v/>
      </c>
      <c r="AI3323">
        <f>IF($C3323="","",IF(OR($N3323=TRUE(),$N3323="TRUE"),1,0))</f>
        <v/>
      </c>
      <c r="AJ3323">
        <f>IF($C3323="","",IF($T3323="Yes",1,0))</f>
        <v/>
      </c>
      <c r="AK3323">
        <f>IF($AG3323=1,IFERROR(IF(VALUE($C3323)&lt;100000000,VALUE($C3323),1000000000),IFERROR(IF(VALUE(MID($C3323,2,20))&lt;100000000,VALUE(MID($C3323,2,20)),1000000000),1000000000))+ROW()/100000,"")</f>
        <v/>
      </c>
    </row>
    <row r="3324">
      <c r="D3324" s="11" t="n"/>
      <c r="K3324" s="7">
        <f>IF($C3324="","",J3324*W3324/100)</f>
        <v/>
      </c>
      <c r="Q3324" s="7" t="n"/>
      <c r="R3324" s="7" t="n"/>
      <c r="U3324">
        <f>IF($C3324="","",IF($AJ3324=1,0,IF($AI3324=1,Settings!$C$6,Settings!$C$7))*100)</f>
        <v/>
      </c>
      <c r="V3324" s="7">
        <f>IF($C3324="","",R3324*U3324/100)</f>
        <v/>
      </c>
      <c r="W3324" s="7">
        <f>IF($C3324="","",R3324-V3324)</f>
        <v/>
      </c>
      <c r="X3324" s="7">
        <f>IF($C3324="","",W3324-K3324)</f>
        <v/>
      </c>
      <c r="AB3324" s="7" t="n"/>
      <c r="AE3324" s="11" t="n"/>
      <c r="AG3324">
        <f>IF($C3324="","",IF(COUNTIF($C$2:$C3324,$C3324)=1,1,0))</f>
        <v/>
      </c>
      <c r="AH3324">
        <f>IF($AG3324=1,SUMPRODUCT(--($AK$2:$AK$6001&lt;$AK3324))+1,"")</f>
        <v/>
      </c>
      <c r="AI3324">
        <f>IF($C3324="","",IF(OR($N3324=TRUE(),$N3324="TRUE"),1,0))</f>
        <v/>
      </c>
      <c r="AJ3324">
        <f>IF($C3324="","",IF($T3324="Yes",1,0))</f>
        <v/>
      </c>
      <c r="AK3324">
        <f>IF($AG3324=1,IFERROR(IF(VALUE($C3324)&lt;100000000,VALUE($C3324),1000000000),IFERROR(IF(VALUE(MID($C3324,2,20))&lt;100000000,VALUE(MID($C3324,2,20)),1000000000),1000000000))+ROW()/100000,"")</f>
        <v/>
      </c>
    </row>
    <row r="3325">
      <c r="D3325" s="11" t="n"/>
      <c r="K3325" s="7">
        <f>IF($C3325="","",J3325*W3325/100)</f>
        <v/>
      </c>
      <c r="Q3325" s="7" t="n"/>
      <c r="R3325" s="7" t="n"/>
      <c r="U3325">
        <f>IF($C3325="","",IF($AJ3325=1,0,IF($AI3325=1,Settings!$C$6,Settings!$C$7))*100)</f>
        <v/>
      </c>
      <c r="V3325" s="7">
        <f>IF($C3325="","",R3325*U3325/100)</f>
        <v/>
      </c>
      <c r="W3325" s="7">
        <f>IF($C3325="","",R3325-V3325)</f>
        <v/>
      </c>
      <c r="X3325" s="7">
        <f>IF($C3325="","",W3325-K3325)</f>
        <v/>
      </c>
      <c r="AB3325" s="7" t="n"/>
      <c r="AE3325" s="11" t="n"/>
      <c r="AG3325">
        <f>IF($C3325="","",IF(COUNTIF($C$2:$C3325,$C3325)=1,1,0))</f>
        <v/>
      </c>
      <c r="AH3325">
        <f>IF($AG3325=1,SUMPRODUCT(--($AK$2:$AK$6001&lt;$AK3325))+1,"")</f>
        <v/>
      </c>
      <c r="AI3325">
        <f>IF($C3325="","",IF(OR($N3325=TRUE(),$N3325="TRUE"),1,0))</f>
        <v/>
      </c>
      <c r="AJ3325">
        <f>IF($C3325="","",IF($T3325="Yes",1,0))</f>
        <v/>
      </c>
      <c r="AK3325">
        <f>IF($AG3325=1,IFERROR(IF(VALUE($C3325)&lt;100000000,VALUE($C3325),1000000000),IFERROR(IF(VALUE(MID($C3325,2,20))&lt;100000000,VALUE(MID($C3325,2,20)),1000000000),1000000000))+ROW()/100000,"")</f>
        <v/>
      </c>
    </row>
    <row r="3326">
      <c r="D3326" s="11" t="n"/>
      <c r="K3326" s="7">
        <f>IF($C3326="","",J3326*W3326/100)</f>
        <v/>
      </c>
      <c r="Q3326" s="7" t="n"/>
      <c r="R3326" s="7" t="n"/>
      <c r="U3326">
        <f>IF($C3326="","",IF($AJ3326=1,0,IF($AI3326=1,Settings!$C$6,Settings!$C$7))*100)</f>
        <v/>
      </c>
      <c r="V3326" s="7">
        <f>IF($C3326="","",R3326*U3326/100)</f>
        <v/>
      </c>
      <c r="W3326" s="7">
        <f>IF($C3326="","",R3326-V3326)</f>
        <v/>
      </c>
      <c r="X3326" s="7">
        <f>IF($C3326="","",W3326-K3326)</f>
        <v/>
      </c>
      <c r="AB3326" s="7" t="n"/>
      <c r="AE3326" s="11" t="n"/>
      <c r="AG3326">
        <f>IF($C3326="","",IF(COUNTIF($C$2:$C3326,$C3326)=1,1,0))</f>
        <v/>
      </c>
      <c r="AH3326">
        <f>IF($AG3326=1,SUMPRODUCT(--($AK$2:$AK$6001&lt;$AK3326))+1,"")</f>
        <v/>
      </c>
      <c r="AI3326">
        <f>IF($C3326="","",IF(OR($N3326=TRUE(),$N3326="TRUE"),1,0))</f>
        <v/>
      </c>
      <c r="AJ3326">
        <f>IF($C3326="","",IF($T3326="Yes",1,0))</f>
        <v/>
      </c>
      <c r="AK3326">
        <f>IF($AG3326=1,IFERROR(IF(VALUE($C3326)&lt;100000000,VALUE($C3326),1000000000),IFERROR(IF(VALUE(MID($C3326,2,20))&lt;100000000,VALUE(MID($C3326,2,20)),1000000000),1000000000))+ROW()/100000,"")</f>
        <v/>
      </c>
    </row>
    <row r="3327">
      <c r="D3327" s="11" t="n"/>
      <c r="K3327" s="7">
        <f>IF($C3327="","",J3327*W3327/100)</f>
        <v/>
      </c>
      <c r="Q3327" s="7" t="n"/>
      <c r="R3327" s="7" t="n"/>
      <c r="U3327">
        <f>IF($C3327="","",IF($AJ3327=1,0,IF($AI3327=1,Settings!$C$6,Settings!$C$7))*100)</f>
        <v/>
      </c>
      <c r="V3327" s="7">
        <f>IF($C3327="","",R3327*U3327/100)</f>
        <v/>
      </c>
      <c r="W3327" s="7">
        <f>IF($C3327="","",R3327-V3327)</f>
        <v/>
      </c>
      <c r="X3327" s="7">
        <f>IF($C3327="","",W3327-K3327)</f>
        <v/>
      </c>
      <c r="AB3327" s="7" t="n"/>
      <c r="AE3327" s="11" t="n"/>
      <c r="AG3327">
        <f>IF($C3327="","",IF(COUNTIF($C$2:$C3327,$C3327)=1,1,0))</f>
        <v/>
      </c>
      <c r="AH3327">
        <f>IF($AG3327=1,SUMPRODUCT(--($AK$2:$AK$6001&lt;$AK3327))+1,"")</f>
        <v/>
      </c>
      <c r="AI3327">
        <f>IF($C3327="","",IF(OR($N3327=TRUE(),$N3327="TRUE"),1,0))</f>
        <v/>
      </c>
      <c r="AJ3327">
        <f>IF($C3327="","",IF($T3327="Yes",1,0))</f>
        <v/>
      </c>
      <c r="AK3327">
        <f>IF($AG3327=1,IFERROR(IF(VALUE($C3327)&lt;100000000,VALUE($C3327),1000000000),IFERROR(IF(VALUE(MID($C3327,2,20))&lt;100000000,VALUE(MID($C3327,2,20)),1000000000),1000000000))+ROW()/100000,"")</f>
        <v/>
      </c>
    </row>
    <row r="3328">
      <c r="D3328" s="11" t="n"/>
      <c r="K3328" s="7">
        <f>IF($C3328="","",J3328*W3328/100)</f>
        <v/>
      </c>
      <c r="Q3328" s="7" t="n"/>
      <c r="R3328" s="7" t="n"/>
      <c r="U3328">
        <f>IF($C3328="","",IF($AJ3328=1,0,IF($AI3328=1,Settings!$C$6,Settings!$C$7))*100)</f>
        <v/>
      </c>
      <c r="V3328" s="7">
        <f>IF($C3328="","",R3328*U3328/100)</f>
        <v/>
      </c>
      <c r="W3328" s="7">
        <f>IF($C3328="","",R3328-V3328)</f>
        <v/>
      </c>
      <c r="X3328" s="7">
        <f>IF($C3328="","",W3328-K3328)</f>
        <v/>
      </c>
      <c r="AB3328" s="7" t="n"/>
      <c r="AE3328" s="11" t="n"/>
      <c r="AG3328">
        <f>IF($C3328="","",IF(COUNTIF($C$2:$C3328,$C3328)=1,1,0))</f>
        <v/>
      </c>
      <c r="AH3328">
        <f>IF($AG3328=1,SUMPRODUCT(--($AK$2:$AK$6001&lt;$AK3328))+1,"")</f>
        <v/>
      </c>
      <c r="AI3328">
        <f>IF($C3328="","",IF(OR($N3328=TRUE(),$N3328="TRUE"),1,0))</f>
        <v/>
      </c>
      <c r="AJ3328">
        <f>IF($C3328="","",IF($T3328="Yes",1,0))</f>
        <v/>
      </c>
      <c r="AK3328">
        <f>IF($AG3328=1,IFERROR(IF(VALUE($C3328)&lt;100000000,VALUE($C3328),1000000000),IFERROR(IF(VALUE(MID($C3328,2,20))&lt;100000000,VALUE(MID($C3328,2,20)),1000000000),1000000000))+ROW()/100000,"")</f>
        <v/>
      </c>
    </row>
    <row r="3329">
      <c r="D3329" s="11" t="n"/>
      <c r="K3329" s="7">
        <f>IF($C3329="","",J3329*W3329/100)</f>
        <v/>
      </c>
      <c r="Q3329" s="7" t="n"/>
      <c r="R3329" s="7" t="n"/>
      <c r="U3329">
        <f>IF($C3329="","",IF($AJ3329=1,0,IF($AI3329=1,Settings!$C$6,Settings!$C$7))*100)</f>
        <v/>
      </c>
      <c r="V3329" s="7">
        <f>IF($C3329="","",R3329*U3329/100)</f>
        <v/>
      </c>
      <c r="W3329" s="7">
        <f>IF($C3329="","",R3329-V3329)</f>
        <v/>
      </c>
      <c r="X3329" s="7">
        <f>IF($C3329="","",W3329-K3329)</f>
        <v/>
      </c>
      <c r="AB3329" s="7" t="n"/>
      <c r="AE3329" s="11" t="n"/>
      <c r="AG3329">
        <f>IF($C3329="","",IF(COUNTIF($C$2:$C3329,$C3329)=1,1,0))</f>
        <v/>
      </c>
      <c r="AH3329">
        <f>IF($AG3329=1,SUMPRODUCT(--($AK$2:$AK$6001&lt;$AK3329))+1,"")</f>
        <v/>
      </c>
      <c r="AI3329">
        <f>IF($C3329="","",IF(OR($N3329=TRUE(),$N3329="TRUE"),1,0))</f>
        <v/>
      </c>
      <c r="AJ3329">
        <f>IF($C3329="","",IF($T3329="Yes",1,0))</f>
        <v/>
      </c>
      <c r="AK3329">
        <f>IF($AG3329=1,IFERROR(IF(VALUE($C3329)&lt;100000000,VALUE($C3329),1000000000),IFERROR(IF(VALUE(MID($C3329,2,20))&lt;100000000,VALUE(MID($C3329,2,20)),1000000000),1000000000))+ROW()/100000,"")</f>
        <v/>
      </c>
    </row>
    <row r="3330">
      <c r="D3330" s="11" t="n"/>
      <c r="K3330" s="7">
        <f>IF($C3330="","",J3330*W3330/100)</f>
        <v/>
      </c>
      <c r="Q3330" s="7" t="n"/>
      <c r="R3330" s="7" t="n"/>
      <c r="U3330">
        <f>IF($C3330="","",IF($AJ3330=1,0,IF($AI3330=1,Settings!$C$6,Settings!$C$7))*100)</f>
        <v/>
      </c>
      <c r="V3330" s="7">
        <f>IF($C3330="","",R3330*U3330/100)</f>
        <v/>
      </c>
      <c r="W3330" s="7">
        <f>IF($C3330="","",R3330-V3330)</f>
        <v/>
      </c>
      <c r="X3330" s="7">
        <f>IF($C3330="","",W3330-K3330)</f>
        <v/>
      </c>
      <c r="AB3330" s="7" t="n"/>
      <c r="AE3330" s="11" t="n"/>
      <c r="AG3330">
        <f>IF($C3330="","",IF(COUNTIF($C$2:$C3330,$C3330)=1,1,0))</f>
        <v/>
      </c>
      <c r="AH3330">
        <f>IF($AG3330=1,SUMPRODUCT(--($AK$2:$AK$6001&lt;$AK3330))+1,"")</f>
        <v/>
      </c>
      <c r="AI3330">
        <f>IF($C3330="","",IF(OR($N3330=TRUE(),$N3330="TRUE"),1,0))</f>
        <v/>
      </c>
      <c r="AJ3330">
        <f>IF($C3330="","",IF($T3330="Yes",1,0))</f>
        <v/>
      </c>
      <c r="AK3330">
        <f>IF($AG3330=1,IFERROR(IF(VALUE($C3330)&lt;100000000,VALUE($C3330),1000000000),IFERROR(IF(VALUE(MID($C3330,2,20))&lt;100000000,VALUE(MID($C3330,2,20)),1000000000),1000000000))+ROW()/100000,"")</f>
        <v/>
      </c>
    </row>
    <row r="3331">
      <c r="D3331" s="11" t="n"/>
      <c r="K3331" s="7">
        <f>IF($C3331="","",J3331*W3331/100)</f>
        <v/>
      </c>
      <c r="Q3331" s="7" t="n"/>
      <c r="R3331" s="7" t="n"/>
      <c r="U3331">
        <f>IF($C3331="","",IF($AJ3331=1,0,IF($AI3331=1,Settings!$C$6,Settings!$C$7))*100)</f>
        <v/>
      </c>
      <c r="V3331" s="7">
        <f>IF($C3331="","",R3331*U3331/100)</f>
        <v/>
      </c>
      <c r="W3331" s="7">
        <f>IF($C3331="","",R3331-V3331)</f>
        <v/>
      </c>
      <c r="X3331" s="7">
        <f>IF($C3331="","",W3331-K3331)</f>
        <v/>
      </c>
      <c r="AB3331" s="7" t="n"/>
      <c r="AE3331" s="11" t="n"/>
      <c r="AG3331">
        <f>IF($C3331="","",IF(COUNTIF($C$2:$C3331,$C3331)=1,1,0))</f>
        <v/>
      </c>
      <c r="AH3331">
        <f>IF($AG3331=1,SUMPRODUCT(--($AK$2:$AK$6001&lt;$AK3331))+1,"")</f>
        <v/>
      </c>
      <c r="AI3331">
        <f>IF($C3331="","",IF(OR($N3331=TRUE(),$N3331="TRUE"),1,0))</f>
        <v/>
      </c>
      <c r="AJ3331">
        <f>IF($C3331="","",IF($T3331="Yes",1,0))</f>
        <v/>
      </c>
      <c r="AK3331">
        <f>IF($AG3331=1,IFERROR(IF(VALUE($C3331)&lt;100000000,VALUE($C3331),1000000000),IFERROR(IF(VALUE(MID($C3331,2,20))&lt;100000000,VALUE(MID($C3331,2,20)),1000000000),1000000000))+ROW()/100000,"")</f>
        <v/>
      </c>
    </row>
    <row r="3332">
      <c r="D3332" s="11" t="n"/>
      <c r="K3332" s="7">
        <f>IF($C3332="","",J3332*W3332/100)</f>
        <v/>
      </c>
      <c r="Q3332" s="7" t="n"/>
      <c r="R3332" s="7" t="n"/>
      <c r="U3332">
        <f>IF($C3332="","",IF($AJ3332=1,0,IF($AI3332=1,Settings!$C$6,Settings!$C$7))*100)</f>
        <v/>
      </c>
      <c r="V3332" s="7">
        <f>IF($C3332="","",R3332*U3332/100)</f>
        <v/>
      </c>
      <c r="W3332" s="7">
        <f>IF($C3332="","",R3332-V3332)</f>
        <v/>
      </c>
      <c r="X3332" s="7">
        <f>IF($C3332="","",W3332-K3332)</f>
        <v/>
      </c>
      <c r="AB3332" s="7" t="n"/>
      <c r="AE3332" s="11" t="n"/>
      <c r="AG3332">
        <f>IF($C3332="","",IF(COUNTIF($C$2:$C3332,$C3332)=1,1,0))</f>
        <v/>
      </c>
      <c r="AH3332">
        <f>IF($AG3332=1,SUMPRODUCT(--($AK$2:$AK$6001&lt;$AK3332))+1,"")</f>
        <v/>
      </c>
      <c r="AI3332">
        <f>IF($C3332="","",IF(OR($N3332=TRUE(),$N3332="TRUE"),1,0))</f>
        <v/>
      </c>
      <c r="AJ3332">
        <f>IF($C3332="","",IF($T3332="Yes",1,0))</f>
        <v/>
      </c>
      <c r="AK3332">
        <f>IF($AG3332=1,IFERROR(IF(VALUE($C3332)&lt;100000000,VALUE($C3332),1000000000),IFERROR(IF(VALUE(MID($C3332,2,20))&lt;100000000,VALUE(MID($C3332,2,20)),1000000000),1000000000))+ROW()/100000,"")</f>
        <v/>
      </c>
    </row>
    <row r="3333">
      <c r="D3333" s="11" t="n"/>
      <c r="K3333" s="7">
        <f>IF($C3333="","",J3333*W3333/100)</f>
        <v/>
      </c>
      <c r="Q3333" s="7" t="n"/>
      <c r="R3333" s="7" t="n"/>
      <c r="U3333">
        <f>IF($C3333="","",IF($AJ3333=1,0,IF($AI3333=1,Settings!$C$6,Settings!$C$7))*100)</f>
        <v/>
      </c>
      <c r="V3333" s="7">
        <f>IF($C3333="","",R3333*U3333/100)</f>
        <v/>
      </c>
      <c r="W3333" s="7">
        <f>IF($C3333="","",R3333-V3333)</f>
        <v/>
      </c>
      <c r="X3333" s="7">
        <f>IF($C3333="","",W3333-K3333)</f>
        <v/>
      </c>
      <c r="AB3333" s="7" t="n"/>
      <c r="AE3333" s="11" t="n"/>
      <c r="AG3333">
        <f>IF($C3333="","",IF(COUNTIF($C$2:$C3333,$C3333)=1,1,0))</f>
        <v/>
      </c>
      <c r="AH3333">
        <f>IF($AG3333=1,SUMPRODUCT(--($AK$2:$AK$6001&lt;$AK3333))+1,"")</f>
        <v/>
      </c>
      <c r="AI3333">
        <f>IF($C3333="","",IF(OR($N3333=TRUE(),$N3333="TRUE"),1,0))</f>
        <v/>
      </c>
      <c r="AJ3333">
        <f>IF($C3333="","",IF($T3333="Yes",1,0))</f>
        <v/>
      </c>
      <c r="AK3333">
        <f>IF($AG3333=1,IFERROR(IF(VALUE($C3333)&lt;100000000,VALUE($C3333),1000000000),IFERROR(IF(VALUE(MID($C3333,2,20))&lt;100000000,VALUE(MID($C3333,2,20)),1000000000),1000000000))+ROW()/100000,"")</f>
        <v/>
      </c>
    </row>
    <row r="3334">
      <c r="D3334" s="11" t="n"/>
      <c r="K3334" s="7">
        <f>IF($C3334="","",J3334*W3334/100)</f>
        <v/>
      </c>
      <c r="Q3334" s="7" t="n"/>
      <c r="R3334" s="7" t="n"/>
      <c r="U3334">
        <f>IF($C3334="","",IF($AJ3334=1,0,IF($AI3334=1,Settings!$C$6,Settings!$C$7))*100)</f>
        <v/>
      </c>
      <c r="V3334" s="7">
        <f>IF($C3334="","",R3334*U3334/100)</f>
        <v/>
      </c>
      <c r="W3334" s="7">
        <f>IF($C3334="","",R3334-V3334)</f>
        <v/>
      </c>
      <c r="X3334" s="7">
        <f>IF($C3334="","",W3334-K3334)</f>
        <v/>
      </c>
      <c r="AB3334" s="7" t="n"/>
      <c r="AE3334" s="11" t="n"/>
      <c r="AG3334">
        <f>IF($C3334="","",IF(COUNTIF($C$2:$C3334,$C3334)=1,1,0))</f>
        <v/>
      </c>
      <c r="AH3334">
        <f>IF($AG3334=1,SUMPRODUCT(--($AK$2:$AK$6001&lt;$AK3334))+1,"")</f>
        <v/>
      </c>
      <c r="AI3334">
        <f>IF($C3334="","",IF(OR($N3334=TRUE(),$N3334="TRUE"),1,0))</f>
        <v/>
      </c>
      <c r="AJ3334">
        <f>IF($C3334="","",IF($T3334="Yes",1,0))</f>
        <v/>
      </c>
      <c r="AK3334">
        <f>IF($AG3334=1,IFERROR(IF(VALUE($C3334)&lt;100000000,VALUE($C3334),1000000000),IFERROR(IF(VALUE(MID($C3334,2,20))&lt;100000000,VALUE(MID($C3334,2,20)),1000000000),1000000000))+ROW()/100000,"")</f>
        <v/>
      </c>
    </row>
    <row r="3335">
      <c r="D3335" s="11" t="n"/>
      <c r="K3335" s="7">
        <f>IF($C3335="","",J3335*W3335/100)</f>
        <v/>
      </c>
      <c r="Q3335" s="7" t="n"/>
      <c r="R3335" s="7" t="n"/>
      <c r="U3335">
        <f>IF($C3335="","",IF($AJ3335=1,0,IF($AI3335=1,Settings!$C$6,Settings!$C$7))*100)</f>
        <v/>
      </c>
      <c r="V3335" s="7">
        <f>IF($C3335="","",R3335*U3335/100)</f>
        <v/>
      </c>
      <c r="W3335" s="7">
        <f>IF($C3335="","",R3335-V3335)</f>
        <v/>
      </c>
      <c r="X3335" s="7">
        <f>IF($C3335="","",W3335-K3335)</f>
        <v/>
      </c>
      <c r="AB3335" s="7" t="n"/>
      <c r="AE3335" s="11" t="n"/>
      <c r="AG3335">
        <f>IF($C3335="","",IF(COUNTIF($C$2:$C3335,$C3335)=1,1,0))</f>
        <v/>
      </c>
      <c r="AH3335">
        <f>IF($AG3335=1,SUMPRODUCT(--($AK$2:$AK$6001&lt;$AK3335))+1,"")</f>
        <v/>
      </c>
      <c r="AI3335">
        <f>IF($C3335="","",IF(OR($N3335=TRUE(),$N3335="TRUE"),1,0))</f>
        <v/>
      </c>
      <c r="AJ3335">
        <f>IF($C3335="","",IF($T3335="Yes",1,0))</f>
        <v/>
      </c>
      <c r="AK3335">
        <f>IF($AG3335=1,IFERROR(IF(VALUE($C3335)&lt;100000000,VALUE($C3335),1000000000),IFERROR(IF(VALUE(MID($C3335,2,20))&lt;100000000,VALUE(MID($C3335,2,20)),1000000000),1000000000))+ROW()/100000,"")</f>
        <v/>
      </c>
    </row>
    <row r="3336">
      <c r="D3336" s="11" t="n"/>
      <c r="K3336" s="7">
        <f>IF($C3336="","",J3336*W3336/100)</f>
        <v/>
      </c>
      <c r="Q3336" s="7" t="n"/>
      <c r="R3336" s="7" t="n"/>
      <c r="U3336">
        <f>IF($C3336="","",IF($AJ3336=1,0,IF($AI3336=1,Settings!$C$6,Settings!$C$7))*100)</f>
        <v/>
      </c>
      <c r="V3336" s="7">
        <f>IF($C3336="","",R3336*U3336/100)</f>
        <v/>
      </c>
      <c r="W3336" s="7">
        <f>IF($C3336="","",R3336-V3336)</f>
        <v/>
      </c>
      <c r="X3336" s="7">
        <f>IF($C3336="","",W3336-K3336)</f>
        <v/>
      </c>
      <c r="AB3336" s="7" t="n"/>
      <c r="AE3336" s="11" t="n"/>
      <c r="AG3336">
        <f>IF($C3336="","",IF(COUNTIF($C$2:$C3336,$C3336)=1,1,0))</f>
        <v/>
      </c>
      <c r="AH3336">
        <f>IF($AG3336=1,SUMPRODUCT(--($AK$2:$AK$6001&lt;$AK3336))+1,"")</f>
        <v/>
      </c>
      <c r="AI3336">
        <f>IF($C3336="","",IF(OR($N3336=TRUE(),$N3336="TRUE"),1,0))</f>
        <v/>
      </c>
      <c r="AJ3336">
        <f>IF($C3336="","",IF($T3336="Yes",1,0))</f>
        <v/>
      </c>
      <c r="AK3336">
        <f>IF($AG3336=1,IFERROR(IF(VALUE($C3336)&lt;100000000,VALUE($C3336),1000000000),IFERROR(IF(VALUE(MID($C3336,2,20))&lt;100000000,VALUE(MID($C3336,2,20)),1000000000),1000000000))+ROW()/100000,"")</f>
        <v/>
      </c>
    </row>
    <row r="3337">
      <c r="D3337" s="11" t="n"/>
      <c r="K3337" s="7">
        <f>IF($C3337="","",J3337*W3337/100)</f>
        <v/>
      </c>
      <c r="Q3337" s="7" t="n"/>
      <c r="R3337" s="7" t="n"/>
      <c r="U3337">
        <f>IF($C3337="","",IF($AJ3337=1,0,IF($AI3337=1,Settings!$C$6,Settings!$C$7))*100)</f>
        <v/>
      </c>
      <c r="V3337" s="7">
        <f>IF($C3337="","",R3337*U3337/100)</f>
        <v/>
      </c>
      <c r="W3337" s="7">
        <f>IF($C3337="","",R3337-V3337)</f>
        <v/>
      </c>
      <c r="X3337" s="7">
        <f>IF($C3337="","",W3337-K3337)</f>
        <v/>
      </c>
      <c r="AB3337" s="7" t="n"/>
      <c r="AE3337" s="11" t="n"/>
      <c r="AG3337">
        <f>IF($C3337="","",IF(COUNTIF($C$2:$C3337,$C3337)=1,1,0))</f>
        <v/>
      </c>
      <c r="AH3337">
        <f>IF($AG3337=1,SUMPRODUCT(--($AK$2:$AK$6001&lt;$AK3337))+1,"")</f>
        <v/>
      </c>
      <c r="AI3337">
        <f>IF($C3337="","",IF(OR($N3337=TRUE(),$N3337="TRUE"),1,0))</f>
        <v/>
      </c>
      <c r="AJ3337">
        <f>IF($C3337="","",IF($T3337="Yes",1,0))</f>
        <v/>
      </c>
      <c r="AK3337">
        <f>IF($AG3337=1,IFERROR(IF(VALUE($C3337)&lt;100000000,VALUE($C3337),1000000000),IFERROR(IF(VALUE(MID($C3337,2,20))&lt;100000000,VALUE(MID($C3337,2,20)),1000000000),1000000000))+ROW()/100000,"")</f>
        <v/>
      </c>
    </row>
    <row r="3338">
      <c r="D3338" s="11" t="n"/>
      <c r="K3338" s="7">
        <f>IF($C3338="","",J3338*W3338/100)</f>
        <v/>
      </c>
      <c r="Q3338" s="7" t="n"/>
      <c r="R3338" s="7" t="n"/>
      <c r="U3338">
        <f>IF($C3338="","",IF($AJ3338=1,0,IF($AI3338=1,Settings!$C$6,Settings!$C$7))*100)</f>
        <v/>
      </c>
      <c r="V3338" s="7">
        <f>IF($C3338="","",R3338*U3338/100)</f>
        <v/>
      </c>
      <c r="W3338" s="7">
        <f>IF($C3338="","",R3338-V3338)</f>
        <v/>
      </c>
      <c r="X3338" s="7">
        <f>IF($C3338="","",W3338-K3338)</f>
        <v/>
      </c>
      <c r="AB3338" s="7" t="n"/>
      <c r="AE3338" s="11" t="n"/>
      <c r="AG3338">
        <f>IF($C3338="","",IF(COUNTIF($C$2:$C3338,$C3338)=1,1,0))</f>
        <v/>
      </c>
      <c r="AH3338">
        <f>IF($AG3338=1,SUMPRODUCT(--($AK$2:$AK$6001&lt;$AK3338))+1,"")</f>
        <v/>
      </c>
      <c r="AI3338">
        <f>IF($C3338="","",IF(OR($N3338=TRUE(),$N3338="TRUE"),1,0))</f>
        <v/>
      </c>
      <c r="AJ3338">
        <f>IF($C3338="","",IF($T3338="Yes",1,0))</f>
        <v/>
      </c>
      <c r="AK3338">
        <f>IF($AG3338=1,IFERROR(IF(VALUE($C3338)&lt;100000000,VALUE($C3338),1000000000),IFERROR(IF(VALUE(MID($C3338,2,20))&lt;100000000,VALUE(MID($C3338,2,20)),1000000000),1000000000))+ROW()/100000,"")</f>
        <v/>
      </c>
    </row>
    <row r="3339">
      <c r="D3339" s="11" t="n"/>
      <c r="K3339" s="7">
        <f>IF($C3339="","",J3339*W3339/100)</f>
        <v/>
      </c>
      <c r="Q3339" s="7" t="n"/>
      <c r="R3339" s="7" t="n"/>
      <c r="U3339">
        <f>IF($C3339="","",IF($AJ3339=1,0,IF($AI3339=1,Settings!$C$6,Settings!$C$7))*100)</f>
        <v/>
      </c>
      <c r="V3339" s="7">
        <f>IF($C3339="","",R3339*U3339/100)</f>
        <v/>
      </c>
      <c r="W3339" s="7">
        <f>IF($C3339="","",R3339-V3339)</f>
        <v/>
      </c>
      <c r="X3339" s="7">
        <f>IF($C3339="","",W3339-K3339)</f>
        <v/>
      </c>
      <c r="AB3339" s="7" t="n"/>
      <c r="AE3339" s="11" t="n"/>
      <c r="AG3339">
        <f>IF($C3339="","",IF(COUNTIF($C$2:$C3339,$C3339)=1,1,0))</f>
        <v/>
      </c>
      <c r="AH3339">
        <f>IF($AG3339=1,SUMPRODUCT(--($AK$2:$AK$6001&lt;$AK3339))+1,"")</f>
        <v/>
      </c>
      <c r="AI3339">
        <f>IF($C3339="","",IF(OR($N3339=TRUE(),$N3339="TRUE"),1,0))</f>
        <v/>
      </c>
      <c r="AJ3339">
        <f>IF($C3339="","",IF($T3339="Yes",1,0))</f>
        <v/>
      </c>
      <c r="AK3339">
        <f>IF($AG3339=1,IFERROR(IF(VALUE($C3339)&lt;100000000,VALUE($C3339),1000000000),IFERROR(IF(VALUE(MID($C3339,2,20))&lt;100000000,VALUE(MID($C3339,2,20)),1000000000),1000000000))+ROW()/100000,"")</f>
        <v/>
      </c>
    </row>
    <row r="3340">
      <c r="D3340" s="11" t="n"/>
      <c r="K3340" s="7">
        <f>IF($C3340="","",J3340*W3340/100)</f>
        <v/>
      </c>
      <c r="Q3340" s="7" t="n"/>
      <c r="R3340" s="7" t="n"/>
      <c r="U3340">
        <f>IF($C3340="","",IF($AJ3340=1,0,IF($AI3340=1,Settings!$C$6,Settings!$C$7))*100)</f>
        <v/>
      </c>
      <c r="V3340" s="7">
        <f>IF($C3340="","",R3340*U3340/100)</f>
        <v/>
      </c>
      <c r="W3340" s="7">
        <f>IF($C3340="","",R3340-V3340)</f>
        <v/>
      </c>
      <c r="X3340" s="7">
        <f>IF($C3340="","",W3340-K3340)</f>
        <v/>
      </c>
      <c r="AB3340" s="7" t="n"/>
      <c r="AE3340" s="11" t="n"/>
      <c r="AG3340">
        <f>IF($C3340="","",IF(COUNTIF($C$2:$C3340,$C3340)=1,1,0))</f>
        <v/>
      </c>
      <c r="AH3340">
        <f>IF($AG3340=1,SUMPRODUCT(--($AK$2:$AK$6001&lt;$AK3340))+1,"")</f>
        <v/>
      </c>
      <c r="AI3340">
        <f>IF($C3340="","",IF(OR($N3340=TRUE(),$N3340="TRUE"),1,0))</f>
        <v/>
      </c>
      <c r="AJ3340">
        <f>IF($C3340="","",IF($T3340="Yes",1,0))</f>
        <v/>
      </c>
      <c r="AK3340">
        <f>IF($AG3340=1,IFERROR(IF(VALUE($C3340)&lt;100000000,VALUE($C3340),1000000000),IFERROR(IF(VALUE(MID($C3340,2,20))&lt;100000000,VALUE(MID($C3340,2,20)),1000000000),1000000000))+ROW()/100000,"")</f>
        <v/>
      </c>
    </row>
    <row r="3341">
      <c r="D3341" s="11" t="n"/>
      <c r="K3341" s="7">
        <f>IF($C3341="","",J3341*W3341/100)</f>
        <v/>
      </c>
      <c r="Q3341" s="7" t="n"/>
      <c r="R3341" s="7" t="n"/>
      <c r="U3341">
        <f>IF($C3341="","",IF($AJ3341=1,0,IF($AI3341=1,Settings!$C$6,Settings!$C$7))*100)</f>
        <v/>
      </c>
      <c r="V3341" s="7">
        <f>IF($C3341="","",R3341*U3341/100)</f>
        <v/>
      </c>
      <c r="W3341" s="7">
        <f>IF($C3341="","",R3341-V3341)</f>
        <v/>
      </c>
      <c r="X3341" s="7">
        <f>IF($C3341="","",W3341-K3341)</f>
        <v/>
      </c>
      <c r="AB3341" s="7" t="n"/>
      <c r="AE3341" s="11" t="n"/>
      <c r="AG3341">
        <f>IF($C3341="","",IF(COUNTIF($C$2:$C3341,$C3341)=1,1,0))</f>
        <v/>
      </c>
      <c r="AH3341">
        <f>IF($AG3341=1,SUMPRODUCT(--($AK$2:$AK$6001&lt;$AK3341))+1,"")</f>
        <v/>
      </c>
      <c r="AI3341">
        <f>IF($C3341="","",IF(OR($N3341=TRUE(),$N3341="TRUE"),1,0))</f>
        <v/>
      </c>
      <c r="AJ3341">
        <f>IF($C3341="","",IF($T3341="Yes",1,0))</f>
        <v/>
      </c>
      <c r="AK3341">
        <f>IF($AG3341=1,IFERROR(IF(VALUE($C3341)&lt;100000000,VALUE($C3341),1000000000),IFERROR(IF(VALUE(MID($C3341,2,20))&lt;100000000,VALUE(MID($C3341,2,20)),1000000000),1000000000))+ROW()/100000,"")</f>
        <v/>
      </c>
    </row>
    <row r="3342">
      <c r="D3342" s="11" t="n"/>
      <c r="K3342" s="7">
        <f>IF($C3342="","",J3342*W3342/100)</f>
        <v/>
      </c>
      <c r="Q3342" s="7" t="n"/>
      <c r="R3342" s="7" t="n"/>
      <c r="U3342">
        <f>IF($C3342="","",IF($AJ3342=1,0,IF($AI3342=1,Settings!$C$6,Settings!$C$7))*100)</f>
        <v/>
      </c>
      <c r="V3342" s="7">
        <f>IF($C3342="","",R3342*U3342/100)</f>
        <v/>
      </c>
      <c r="W3342" s="7">
        <f>IF($C3342="","",R3342-V3342)</f>
        <v/>
      </c>
      <c r="X3342" s="7">
        <f>IF($C3342="","",W3342-K3342)</f>
        <v/>
      </c>
      <c r="AB3342" s="7" t="n"/>
      <c r="AE3342" s="11" t="n"/>
      <c r="AG3342">
        <f>IF($C3342="","",IF(COUNTIF($C$2:$C3342,$C3342)=1,1,0))</f>
        <v/>
      </c>
      <c r="AH3342">
        <f>IF($AG3342=1,SUMPRODUCT(--($AK$2:$AK$6001&lt;$AK3342))+1,"")</f>
        <v/>
      </c>
      <c r="AI3342">
        <f>IF($C3342="","",IF(OR($N3342=TRUE(),$N3342="TRUE"),1,0))</f>
        <v/>
      </c>
      <c r="AJ3342">
        <f>IF($C3342="","",IF($T3342="Yes",1,0))</f>
        <v/>
      </c>
      <c r="AK3342">
        <f>IF($AG3342=1,IFERROR(IF(VALUE($C3342)&lt;100000000,VALUE($C3342),1000000000),IFERROR(IF(VALUE(MID($C3342,2,20))&lt;100000000,VALUE(MID($C3342,2,20)),1000000000),1000000000))+ROW()/100000,"")</f>
        <v/>
      </c>
    </row>
    <row r="3343">
      <c r="D3343" s="11" t="n"/>
      <c r="K3343" s="7">
        <f>IF($C3343="","",J3343*W3343/100)</f>
        <v/>
      </c>
      <c r="Q3343" s="7" t="n"/>
      <c r="R3343" s="7" t="n"/>
      <c r="U3343">
        <f>IF($C3343="","",IF($AJ3343=1,0,IF($AI3343=1,Settings!$C$6,Settings!$C$7))*100)</f>
        <v/>
      </c>
      <c r="V3343" s="7">
        <f>IF($C3343="","",R3343*U3343/100)</f>
        <v/>
      </c>
      <c r="W3343" s="7">
        <f>IF($C3343="","",R3343-V3343)</f>
        <v/>
      </c>
      <c r="X3343" s="7">
        <f>IF($C3343="","",W3343-K3343)</f>
        <v/>
      </c>
      <c r="AB3343" s="7" t="n"/>
      <c r="AE3343" s="11" t="n"/>
      <c r="AG3343">
        <f>IF($C3343="","",IF(COUNTIF($C$2:$C3343,$C3343)=1,1,0))</f>
        <v/>
      </c>
      <c r="AH3343">
        <f>IF($AG3343=1,SUMPRODUCT(--($AK$2:$AK$6001&lt;$AK3343))+1,"")</f>
        <v/>
      </c>
      <c r="AI3343">
        <f>IF($C3343="","",IF(OR($N3343=TRUE(),$N3343="TRUE"),1,0))</f>
        <v/>
      </c>
      <c r="AJ3343">
        <f>IF($C3343="","",IF($T3343="Yes",1,0))</f>
        <v/>
      </c>
      <c r="AK3343">
        <f>IF($AG3343=1,IFERROR(IF(VALUE($C3343)&lt;100000000,VALUE($C3343),1000000000),IFERROR(IF(VALUE(MID($C3343,2,20))&lt;100000000,VALUE(MID($C3343,2,20)),1000000000),1000000000))+ROW()/100000,"")</f>
        <v/>
      </c>
    </row>
    <row r="3344">
      <c r="D3344" s="11" t="n"/>
      <c r="K3344" s="7">
        <f>IF($C3344="","",J3344*W3344/100)</f>
        <v/>
      </c>
      <c r="Q3344" s="7" t="n"/>
      <c r="R3344" s="7" t="n"/>
      <c r="U3344">
        <f>IF($C3344="","",IF($AJ3344=1,0,IF($AI3344=1,Settings!$C$6,Settings!$C$7))*100)</f>
        <v/>
      </c>
      <c r="V3344" s="7">
        <f>IF($C3344="","",R3344*U3344/100)</f>
        <v/>
      </c>
      <c r="W3344" s="7">
        <f>IF($C3344="","",R3344-V3344)</f>
        <v/>
      </c>
      <c r="X3344" s="7">
        <f>IF($C3344="","",W3344-K3344)</f>
        <v/>
      </c>
      <c r="AB3344" s="7" t="n"/>
      <c r="AE3344" s="11" t="n"/>
      <c r="AG3344">
        <f>IF($C3344="","",IF(COUNTIF($C$2:$C3344,$C3344)=1,1,0))</f>
        <v/>
      </c>
      <c r="AH3344">
        <f>IF($AG3344=1,SUMPRODUCT(--($AK$2:$AK$6001&lt;$AK3344))+1,"")</f>
        <v/>
      </c>
      <c r="AI3344">
        <f>IF($C3344="","",IF(OR($N3344=TRUE(),$N3344="TRUE"),1,0))</f>
        <v/>
      </c>
      <c r="AJ3344">
        <f>IF($C3344="","",IF($T3344="Yes",1,0))</f>
        <v/>
      </c>
      <c r="AK3344">
        <f>IF($AG3344=1,IFERROR(IF(VALUE($C3344)&lt;100000000,VALUE($C3344),1000000000),IFERROR(IF(VALUE(MID($C3344,2,20))&lt;100000000,VALUE(MID($C3344,2,20)),1000000000),1000000000))+ROW()/100000,"")</f>
        <v/>
      </c>
    </row>
    <row r="3345">
      <c r="D3345" s="11" t="n"/>
      <c r="K3345" s="7">
        <f>IF($C3345="","",J3345*W3345/100)</f>
        <v/>
      </c>
      <c r="Q3345" s="7" t="n"/>
      <c r="R3345" s="7" t="n"/>
      <c r="U3345">
        <f>IF($C3345="","",IF($AJ3345=1,0,IF($AI3345=1,Settings!$C$6,Settings!$C$7))*100)</f>
        <v/>
      </c>
      <c r="V3345" s="7">
        <f>IF($C3345="","",R3345*U3345/100)</f>
        <v/>
      </c>
      <c r="W3345" s="7">
        <f>IF($C3345="","",R3345-V3345)</f>
        <v/>
      </c>
      <c r="X3345" s="7">
        <f>IF($C3345="","",W3345-K3345)</f>
        <v/>
      </c>
      <c r="AB3345" s="7" t="n"/>
      <c r="AE3345" s="11" t="n"/>
      <c r="AG3345">
        <f>IF($C3345="","",IF(COUNTIF($C$2:$C3345,$C3345)=1,1,0))</f>
        <v/>
      </c>
      <c r="AH3345">
        <f>IF($AG3345=1,SUMPRODUCT(--($AK$2:$AK$6001&lt;$AK3345))+1,"")</f>
        <v/>
      </c>
      <c r="AI3345">
        <f>IF($C3345="","",IF(OR($N3345=TRUE(),$N3345="TRUE"),1,0))</f>
        <v/>
      </c>
      <c r="AJ3345">
        <f>IF($C3345="","",IF($T3345="Yes",1,0))</f>
        <v/>
      </c>
      <c r="AK3345">
        <f>IF($AG3345=1,IFERROR(IF(VALUE($C3345)&lt;100000000,VALUE($C3345),1000000000),IFERROR(IF(VALUE(MID($C3345,2,20))&lt;100000000,VALUE(MID($C3345,2,20)),1000000000),1000000000))+ROW()/100000,"")</f>
        <v/>
      </c>
    </row>
    <row r="3346">
      <c r="D3346" s="11" t="n"/>
      <c r="K3346" s="7">
        <f>IF($C3346="","",J3346*W3346/100)</f>
        <v/>
      </c>
      <c r="Q3346" s="7" t="n"/>
      <c r="R3346" s="7" t="n"/>
      <c r="U3346">
        <f>IF($C3346="","",IF($AJ3346=1,0,IF($AI3346=1,Settings!$C$6,Settings!$C$7))*100)</f>
        <v/>
      </c>
      <c r="V3346" s="7">
        <f>IF($C3346="","",R3346*U3346/100)</f>
        <v/>
      </c>
      <c r="W3346" s="7">
        <f>IF($C3346="","",R3346-V3346)</f>
        <v/>
      </c>
      <c r="X3346" s="7">
        <f>IF($C3346="","",W3346-K3346)</f>
        <v/>
      </c>
      <c r="AB3346" s="7" t="n"/>
      <c r="AE3346" s="11" t="n"/>
      <c r="AG3346">
        <f>IF($C3346="","",IF(COUNTIF($C$2:$C3346,$C3346)=1,1,0))</f>
        <v/>
      </c>
      <c r="AH3346">
        <f>IF($AG3346=1,SUMPRODUCT(--($AK$2:$AK$6001&lt;$AK3346))+1,"")</f>
        <v/>
      </c>
      <c r="AI3346">
        <f>IF($C3346="","",IF(OR($N3346=TRUE(),$N3346="TRUE"),1,0))</f>
        <v/>
      </c>
      <c r="AJ3346">
        <f>IF($C3346="","",IF($T3346="Yes",1,0))</f>
        <v/>
      </c>
      <c r="AK3346">
        <f>IF($AG3346=1,IFERROR(IF(VALUE($C3346)&lt;100000000,VALUE($C3346),1000000000),IFERROR(IF(VALUE(MID($C3346,2,20))&lt;100000000,VALUE(MID($C3346,2,20)),1000000000),1000000000))+ROW()/100000,"")</f>
        <v/>
      </c>
    </row>
    <row r="3347">
      <c r="D3347" s="11" t="n"/>
      <c r="K3347" s="7">
        <f>IF($C3347="","",J3347*W3347/100)</f>
        <v/>
      </c>
      <c r="Q3347" s="7" t="n"/>
      <c r="R3347" s="7" t="n"/>
      <c r="U3347">
        <f>IF($C3347="","",IF($AJ3347=1,0,IF($AI3347=1,Settings!$C$6,Settings!$C$7))*100)</f>
        <v/>
      </c>
      <c r="V3347" s="7">
        <f>IF($C3347="","",R3347*U3347/100)</f>
        <v/>
      </c>
      <c r="W3347" s="7">
        <f>IF($C3347="","",R3347-V3347)</f>
        <v/>
      </c>
      <c r="X3347" s="7">
        <f>IF($C3347="","",W3347-K3347)</f>
        <v/>
      </c>
      <c r="AB3347" s="7" t="n"/>
      <c r="AE3347" s="11" t="n"/>
      <c r="AG3347">
        <f>IF($C3347="","",IF(COUNTIF($C$2:$C3347,$C3347)=1,1,0))</f>
        <v/>
      </c>
      <c r="AH3347">
        <f>IF($AG3347=1,SUMPRODUCT(--($AK$2:$AK$6001&lt;$AK3347))+1,"")</f>
        <v/>
      </c>
      <c r="AI3347">
        <f>IF($C3347="","",IF(OR($N3347=TRUE(),$N3347="TRUE"),1,0))</f>
        <v/>
      </c>
      <c r="AJ3347">
        <f>IF($C3347="","",IF($T3347="Yes",1,0))</f>
        <v/>
      </c>
      <c r="AK3347">
        <f>IF($AG3347=1,IFERROR(IF(VALUE($C3347)&lt;100000000,VALUE($C3347),1000000000),IFERROR(IF(VALUE(MID($C3347,2,20))&lt;100000000,VALUE(MID($C3347,2,20)),1000000000),1000000000))+ROW()/100000,"")</f>
        <v/>
      </c>
    </row>
    <row r="3348">
      <c r="D3348" s="11" t="n"/>
      <c r="K3348" s="7">
        <f>IF($C3348="","",J3348*W3348/100)</f>
        <v/>
      </c>
      <c r="Q3348" s="7" t="n"/>
      <c r="R3348" s="7" t="n"/>
      <c r="U3348">
        <f>IF($C3348="","",IF($AJ3348=1,0,IF($AI3348=1,Settings!$C$6,Settings!$C$7))*100)</f>
        <v/>
      </c>
      <c r="V3348" s="7">
        <f>IF($C3348="","",R3348*U3348/100)</f>
        <v/>
      </c>
      <c r="W3348" s="7">
        <f>IF($C3348="","",R3348-V3348)</f>
        <v/>
      </c>
      <c r="X3348" s="7">
        <f>IF($C3348="","",W3348-K3348)</f>
        <v/>
      </c>
      <c r="AB3348" s="7" t="n"/>
      <c r="AE3348" s="11" t="n"/>
      <c r="AG3348">
        <f>IF($C3348="","",IF(COUNTIF($C$2:$C3348,$C3348)=1,1,0))</f>
        <v/>
      </c>
      <c r="AH3348">
        <f>IF($AG3348=1,SUMPRODUCT(--($AK$2:$AK$6001&lt;$AK3348))+1,"")</f>
        <v/>
      </c>
      <c r="AI3348">
        <f>IF($C3348="","",IF(OR($N3348=TRUE(),$N3348="TRUE"),1,0))</f>
        <v/>
      </c>
      <c r="AJ3348">
        <f>IF($C3348="","",IF($T3348="Yes",1,0))</f>
        <v/>
      </c>
      <c r="AK3348">
        <f>IF($AG3348=1,IFERROR(IF(VALUE($C3348)&lt;100000000,VALUE($C3348),1000000000),IFERROR(IF(VALUE(MID($C3348,2,20))&lt;100000000,VALUE(MID($C3348,2,20)),1000000000),1000000000))+ROW()/100000,"")</f>
        <v/>
      </c>
    </row>
    <row r="3349">
      <c r="D3349" s="11" t="n"/>
      <c r="K3349" s="7">
        <f>IF($C3349="","",J3349*W3349/100)</f>
        <v/>
      </c>
      <c r="Q3349" s="7" t="n"/>
      <c r="R3349" s="7" t="n"/>
      <c r="U3349">
        <f>IF($C3349="","",IF($AJ3349=1,0,IF($AI3349=1,Settings!$C$6,Settings!$C$7))*100)</f>
        <v/>
      </c>
      <c r="V3349" s="7">
        <f>IF($C3349="","",R3349*U3349/100)</f>
        <v/>
      </c>
      <c r="W3349" s="7">
        <f>IF($C3349="","",R3349-V3349)</f>
        <v/>
      </c>
      <c r="X3349" s="7">
        <f>IF($C3349="","",W3349-K3349)</f>
        <v/>
      </c>
      <c r="AB3349" s="7" t="n"/>
      <c r="AE3349" s="11" t="n"/>
      <c r="AG3349">
        <f>IF($C3349="","",IF(COUNTIF($C$2:$C3349,$C3349)=1,1,0))</f>
        <v/>
      </c>
      <c r="AH3349">
        <f>IF($AG3349=1,SUMPRODUCT(--($AK$2:$AK$6001&lt;$AK3349))+1,"")</f>
        <v/>
      </c>
      <c r="AI3349">
        <f>IF($C3349="","",IF(OR($N3349=TRUE(),$N3349="TRUE"),1,0))</f>
        <v/>
      </c>
      <c r="AJ3349">
        <f>IF($C3349="","",IF($T3349="Yes",1,0))</f>
        <v/>
      </c>
      <c r="AK3349">
        <f>IF($AG3349=1,IFERROR(IF(VALUE($C3349)&lt;100000000,VALUE($C3349),1000000000),IFERROR(IF(VALUE(MID($C3349,2,20))&lt;100000000,VALUE(MID($C3349,2,20)),1000000000),1000000000))+ROW()/100000,"")</f>
        <v/>
      </c>
    </row>
    <row r="3350">
      <c r="D3350" s="11" t="n"/>
      <c r="K3350" s="7">
        <f>IF($C3350="","",J3350*W3350/100)</f>
        <v/>
      </c>
      <c r="Q3350" s="7" t="n"/>
      <c r="R3350" s="7" t="n"/>
      <c r="U3350">
        <f>IF($C3350="","",IF($AJ3350=1,0,IF($AI3350=1,Settings!$C$6,Settings!$C$7))*100)</f>
        <v/>
      </c>
      <c r="V3350" s="7">
        <f>IF($C3350="","",R3350*U3350/100)</f>
        <v/>
      </c>
      <c r="W3350" s="7">
        <f>IF($C3350="","",R3350-V3350)</f>
        <v/>
      </c>
      <c r="X3350" s="7">
        <f>IF($C3350="","",W3350-K3350)</f>
        <v/>
      </c>
      <c r="AB3350" s="7" t="n"/>
      <c r="AE3350" s="11" t="n"/>
      <c r="AG3350">
        <f>IF($C3350="","",IF(COUNTIF($C$2:$C3350,$C3350)=1,1,0))</f>
        <v/>
      </c>
      <c r="AH3350">
        <f>IF($AG3350=1,SUMPRODUCT(--($AK$2:$AK$6001&lt;$AK3350))+1,"")</f>
        <v/>
      </c>
      <c r="AI3350">
        <f>IF($C3350="","",IF(OR($N3350=TRUE(),$N3350="TRUE"),1,0))</f>
        <v/>
      </c>
      <c r="AJ3350">
        <f>IF($C3350="","",IF($T3350="Yes",1,0))</f>
        <v/>
      </c>
      <c r="AK3350">
        <f>IF($AG3350=1,IFERROR(IF(VALUE($C3350)&lt;100000000,VALUE($C3350),1000000000),IFERROR(IF(VALUE(MID($C3350,2,20))&lt;100000000,VALUE(MID($C3350,2,20)),1000000000),1000000000))+ROW()/100000,"")</f>
        <v/>
      </c>
    </row>
    <row r="3351">
      <c r="D3351" s="11" t="n"/>
      <c r="K3351" s="7">
        <f>IF($C3351="","",J3351*W3351/100)</f>
        <v/>
      </c>
      <c r="Q3351" s="7" t="n"/>
      <c r="R3351" s="7" t="n"/>
      <c r="U3351">
        <f>IF($C3351="","",IF($AJ3351=1,0,IF($AI3351=1,Settings!$C$6,Settings!$C$7))*100)</f>
        <v/>
      </c>
      <c r="V3351" s="7">
        <f>IF($C3351="","",R3351*U3351/100)</f>
        <v/>
      </c>
      <c r="W3351" s="7">
        <f>IF($C3351="","",R3351-V3351)</f>
        <v/>
      </c>
      <c r="X3351" s="7">
        <f>IF($C3351="","",W3351-K3351)</f>
        <v/>
      </c>
      <c r="AB3351" s="7" t="n"/>
      <c r="AE3351" s="11" t="n"/>
      <c r="AG3351">
        <f>IF($C3351="","",IF(COUNTIF($C$2:$C3351,$C3351)=1,1,0))</f>
        <v/>
      </c>
      <c r="AH3351">
        <f>IF($AG3351=1,SUMPRODUCT(--($AK$2:$AK$6001&lt;$AK3351))+1,"")</f>
        <v/>
      </c>
      <c r="AI3351">
        <f>IF($C3351="","",IF(OR($N3351=TRUE(),$N3351="TRUE"),1,0))</f>
        <v/>
      </c>
      <c r="AJ3351">
        <f>IF($C3351="","",IF($T3351="Yes",1,0))</f>
        <v/>
      </c>
      <c r="AK3351">
        <f>IF($AG3351=1,IFERROR(IF(VALUE($C3351)&lt;100000000,VALUE($C3351),1000000000),IFERROR(IF(VALUE(MID($C3351,2,20))&lt;100000000,VALUE(MID($C3351,2,20)),1000000000),1000000000))+ROW()/100000,"")</f>
        <v/>
      </c>
    </row>
    <row r="3352">
      <c r="D3352" s="11" t="n"/>
      <c r="K3352" s="7">
        <f>IF($C3352="","",J3352*W3352/100)</f>
        <v/>
      </c>
      <c r="Q3352" s="7" t="n"/>
      <c r="R3352" s="7" t="n"/>
      <c r="U3352">
        <f>IF($C3352="","",IF($AJ3352=1,0,IF($AI3352=1,Settings!$C$6,Settings!$C$7))*100)</f>
        <v/>
      </c>
      <c r="V3352" s="7">
        <f>IF($C3352="","",R3352*U3352/100)</f>
        <v/>
      </c>
      <c r="W3352" s="7">
        <f>IF($C3352="","",R3352-V3352)</f>
        <v/>
      </c>
      <c r="X3352" s="7">
        <f>IF($C3352="","",W3352-K3352)</f>
        <v/>
      </c>
      <c r="AB3352" s="7" t="n"/>
      <c r="AE3352" s="11" t="n"/>
      <c r="AG3352">
        <f>IF($C3352="","",IF(COUNTIF($C$2:$C3352,$C3352)=1,1,0))</f>
        <v/>
      </c>
      <c r="AH3352">
        <f>IF($AG3352=1,SUMPRODUCT(--($AK$2:$AK$6001&lt;$AK3352))+1,"")</f>
        <v/>
      </c>
      <c r="AI3352">
        <f>IF($C3352="","",IF(OR($N3352=TRUE(),$N3352="TRUE"),1,0))</f>
        <v/>
      </c>
      <c r="AJ3352">
        <f>IF($C3352="","",IF($T3352="Yes",1,0))</f>
        <v/>
      </c>
      <c r="AK3352">
        <f>IF($AG3352=1,IFERROR(IF(VALUE($C3352)&lt;100000000,VALUE($C3352),1000000000),IFERROR(IF(VALUE(MID($C3352,2,20))&lt;100000000,VALUE(MID($C3352,2,20)),1000000000),1000000000))+ROW()/100000,"")</f>
        <v/>
      </c>
    </row>
    <row r="3353">
      <c r="D3353" s="11" t="n"/>
      <c r="K3353" s="7">
        <f>IF($C3353="","",J3353*W3353/100)</f>
        <v/>
      </c>
      <c r="Q3353" s="7" t="n"/>
      <c r="R3353" s="7" t="n"/>
      <c r="U3353">
        <f>IF($C3353="","",IF($AJ3353=1,0,IF($AI3353=1,Settings!$C$6,Settings!$C$7))*100)</f>
        <v/>
      </c>
      <c r="V3353" s="7">
        <f>IF($C3353="","",R3353*U3353/100)</f>
        <v/>
      </c>
      <c r="W3353" s="7">
        <f>IF($C3353="","",R3353-V3353)</f>
        <v/>
      </c>
      <c r="X3353" s="7">
        <f>IF($C3353="","",W3353-K3353)</f>
        <v/>
      </c>
      <c r="AB3353" s="7" t="n"/>
      <c r="AE3353" s="11" t="n"/>
      <c r="AG3353">
        <f>IF($C3353="","",IF(COUNTIF($C$2:$C3353,$C3353)=1,1,0))</f>
        <v/>
      </c>
      <c r="AH3353">
        <f>IF($AG3353=1,SUMPRODUCT(--($AK$2:$AK$6001&lt;$AK3353))+1,"")</f>
        <v/>
      </c>
      <c r="AI3353">
        <f>IF($C3353="","",IF(OR($N3353=TRUE(),$N3353="TRUE"),1,0))</f>
        <v/>
      </c>
      <c r="AJ3353">
        <f>IF($C3353="","",IF($T3353="Yes",1,0))</f>
        <v/>
      </c>
      <c r="AK3353">
        <f>IF($AG3353=1,IFERROR(IF(VALUE($C3353)&lt;100000000,VALUE($C3353),1000000000),IFERROR(IF(VALUE(MID($C3353,2,20))&lt;100000000,VALUE(MID($C3353,2,20)),1000000000),1000000000))+ROW()/100000,"")</f>
        <v/>
      </c>
    </row>
    <row r="3354">
      <c r="D3354" s="11" t="n"/>
      <c r="K3354" s="7">
        <f>IF($C3354="","",J3354*W3354/100)</f>
        <v/>
      </c>
      <c r="Q3354" s="7" t="n"/>
      <c r="R3354" s="7" t="n"/>
      <c r="U3354">
        <f>IF($C3354="","",IF($AJ3354=1,0,IF($AI3354=1,Settings!$C$6,Settings!$C$7))*100)</f>
        <v/>
      </c>
      <c r="V3354" s="7">
        <f>IF($C3354="","",R3354*U3354/100)</f>
        <v/>
      </c>
      <c r="W3354" s="7">
        <f>IF($C3354="","",R3354-V3354)</f>
        <v/>
      </c>
      <c r="X3354" s="7">
        <f>IF($C3354="","",W3354-K3354)</f>
        <v/>
      </c>
      <c r="AB3354" s="7" t="n"/>
      <c r="AE3354" s="11" t="n"/>
      <c r="AG3354">
        <f>IF($C3354="","",IF(COUNTIF($C$2:$C3354,$C3354)=1,1,0))</f>
        <v/>
      </c>
      <c r="AH3354">
        <f>IF($AG3354=1,SUMPRODUCT(--($AK$2:$AK$6001&lt;$AK3354))+1,"")</f>
        <v/>
      </c>
      <c r="AI3354">
        <f>IF($C3354="","",IF(OR($N3354=TRUE(),$N3354="TRUE"),1,0))</f>
        <v/>
      </c>
      <c r="AJ3354">
        <f>IF($C3354="","",IF($T3354="Yes",1,0))</f>
        <v/>
      </c>
      <c r="AK3354">
        <f>IF($AG3354=1,IFERROR(IF(VALUE($C3354)&lt;100000000,VALUE($C3354),1000000000),IFERROR(IF(VALUE(MID($C3354,2,20))&lt;100000000,VALUE(MID($C3354,2,20)),1000000000),1000000000))+ROW()/100000,"")</f>
        <v/>
      </c>
    </row>
    <row r="3355">
      <c r="D3355" s="11" t="n"/>
      <c r="K3355" s="7">
        <f>IF($C3355="","",J3355*W3355/100)</f>
        <v/>
      </c>
      <c r="Q3355" s="7" t="n"/>
      <c r="R3355" s="7" t="n"/>
      <c r="U3355">
        <f>IF($C3355="","",IF($AJ3355=1,0,IF($AI3355=1,Settings!$C$6,Settings!$C$7))*100)</f>
        <v/>
      </c>
      <c r="V3355" s="7">
        <f>IF($C3355="","",R3355*U3355/100)</f>
        <v/>
      </c>
      <c r="W3355" s="7">
        <f>IF($C3355="","",R3355-V3355)</f>
        <v/>
      </c>
      <c r="X3355" s="7">
        <f>IF($C3355="","",W3355-K3355)</f>
        <v/>
      </c>
      <c r="AB3355" s="7" t="n"/>
      <c r="AE3355" s="11" t="n"/>
      <c r="AG3355">
        <f>IF($C3355="","",IF(COUNTIF($C$2:$C3355,$C3355)=1,1,0))</f>
        <v/>
      </c>
      <c r="AH3355">
        <f>IF($AG3355=1,SUMPRODUCT(--($AK$2:$AK$6001&lt;$AK3355))+1,"")</f>
        <v/>
      </c>
      <c r="AI3355">
        <f>IF($C3355="","",IF(OR($N3355=TRUE(),$N3355="TRUE"),1,0))</f>
        <v/>
      </c>
      <c r="AJ3355">
        <f>IF($C3355="","",IF($T3355="Yes",1,0))</f>
        <v/>
      </c>
      <c r="AK3355">
        <f>IF($AG3355=1,IFERROR(IF(VALUE($C3355)&lt;100000000,VALUE($C3355),1000000000),IFERROR(IF(VALUE(MID($C3355,2,20))&lt;100000000,VALUE(MID($C3355,2,20)),1000000000),1000000000))+ROW()/100000,"")</f>
        <v/>
      </c>
    </row>
    <row r="3356">
      <c r="D3356" s="11" t="n"/>
      <c r="K3356" s="7">
        <f>IF($C3356="","",J3356*W3356/100)</f>
        <v/>
      </c>
      <c r="Q3356" s="7" t="n"/>
      <c r="R3356" s="7" t="n"/>
      <c r="U3356">
        <f>IF($C3356="","",IF($AJ3356=1,0,IF($AI3356=1,Settings!$C$6,Settings!$C$7))*100)</f>
        <v/>
      </c>
      <c r="V3356" s="7">
        <f>IF($C3356="","",R3356*U3356/100)</f>
        <v/>
      </c>
      <c r="W3356" s="7">
        <f>IF($C3356="","",R3356-V3356)</f>
        <v/>
      </c>
      <c r="X3356" s="7">
        <f>IF($C3356="","",W3356-K3356)</f>
        <v/>
      </c>
      <c r="AB3356" s="7" t="n"/>
      <c r="AE3356" s="11" t="n"/>
      <c r="AG3356">
        <f>IF($C3356="","",IF(COUNTIF($C$2:$C3356,$C3356)=1,1,0))</f>
        <v/>
      </c>
      <c r="AH3356">
        <f>IF($AG3356=1,SUMPRODUCT(--($AK$2:$AK$6001&lt;$AK3356))+1,"")</f>
        <v/>
      </c>
      <c r="AI3356">
        <f>IF($C3356="","",IF(OR($N3356=TRUE(),$N3356="TRUE"),1,0))</f>
        <v/>
      </c>
      <c r="AJ3356">
        <f>IF($C3356="","",IF($T3356="Yes",1,0))</f>
        <v/>
      </c>
      <c r="AK3356">
        <f>IF($AG3356=1,IFERROR(IF(VALUE($C3356)&lt;100000000,VALUE($C3356),1000000000),IFERROR(IF(VALUE(MID($C3356,2,20))&lt;100000000,VALUE(MID($C3356,2,20)),1000000000),1000000000))+ROW()/100000,"")</f>
        <v/>
      </c>
    </row>
    <row r="3357">
      <c r="D3357" s="11" t="n"/>
      <c r="K3357" s="7">
        <f>IF($C3357="","",J3357*W3357/100)</f>
        <v/>
      </c>
      <c r="Q3357" s="7" t="n"/>
      <c r="R3357" s="7" t="n"/>
      <c r="U3357">
        <f>IF($C3357="","",IF($AJ3357=1,0,IF($AI3357=1,Settings!$C$6,Settings!$C$7))*100)</f>
        <v/>
      </c>
      <c r="V3357" s="7">
        <f>IF($C3357="","",R3357*U3357/100)</f>
        <v/>
      </c>
      <c r="W3357" s="7">
        <f>IF($C3357="","",R3357-V3357)</f>
        <v/>
      </c>
      <c r="X3357" s="7">
        <f>IF($C3357="","",W3357-K3357)</f>
        <v/>
      </c>
      <c r="AB3357" s="7" t="n"/>
      <c r="AE3357" s="11" t="n"/>
      <c r="AG3357">
        <f>IF($C3357="","",IF(COUNTIF($C$2:$C3357,$C3357)=1,1,0))</f>
        <v/>
      </c>
      <c r="AH3357">
        <f>IF($AG3357=1,SUMPRODUCT(--($AK$2:$AK$6001&lt;$AK3357))+1,"")</f>
        <v/>
      </c>
      <c r="AI3357">
        <f>IF($C3357="","",IF(OR($N3357=TRUE(),$N3357="TRUE"),1,0))</f>
        <v/>
      </c>
      <c r="AJ3357">
        <f>IF($C3357="","",IF($T3357="Yes",1,0))</f>
        <v/>
      </c>
      <c r="AK3357">
        <f>IF($AG3357=1,IFERROR(IF(VALUE($C3357)&lt;100000000,VALUE($C3357),1000000000),IFERROR(IF(VALUE(MID($C3357,2,20))&lt;100000000,VALUE(MID($C3357,2,20)),1000000000),1000000000))+ROW()/100000,"")</f>
        <v/>
      </c>
    </row>
    <row r="3358">
      <c r="D3358" s="11" t="n"/>
      <c r="K3358" s="7">
        <f>IF($C3358="","",J3358*W3358/100)</f>
        <v/>
      </c>
      <c r="Q3358" s="7" t="n"/>
      <c r="R3358" s="7" t="n"/>
      <c r="U3358">
        <f>IF($C3358="","",IF($AJ3358=1,0,IF($AI3358=1,Settings!$C$6,Settings!$C$7))*100)</f>
        <v/>
      </c>
      <c r="V3358" s="7">
        <f>IF($C3358="","",R3358*U3358/100)</f>
        <v/>
      </c>
      <c r="W3358" s="7">
        <f>IF($C3358="","",R3358-V3358)</f>
        <v/>
      </c>
      <c r="X3358" s="7">
        <f>IF($C3358="","",W3358-K3358)</f>
        <v/>
      </c>
      <c r="AB3358" s="7" t="n"/>
      <c r="AE3358" s="11" t="n"/>
      <c r="AG3358">
        <f>IF($C3358="","",IF(COUNTIF($C$2:$C3358,$C3358)=1,1,0))</f>
        <v/>
      </c>
      <c r="AH3358">
        <f>IF($AG3358=1,SUMPRODUCT(--($AK$2:$AK$6001&lt;$AK3358))+1,"")</f>
        <v/>
      </c>
      <c r="AI3358">
        <f>IF($C3358="","",IF(OR($N3358=TRUE(),$N3358="TRUE"),1,0))</f>
        <v/>
      </c>
      <c r="AJ3358">
        <f>IF($C3358="","",IF($T3358="Yes",1,0))</f>
        <v/>
      </c>
      <c r="AK3358">
        <f>IF($AG3358=1,IFERROR(IF(VALUE($C3358)&lt;100000000,VALUE($C3358),1000000000),IFERROR(IF(VALUE(MID($C3358,2,20))&lt;100000000,VALUE(MID($C3358,2,20)),1000000000),1000000000))+ROW()/100000,"")</f>
        <v/>
      </c>
    </row>
    <row r="3359">
      <c r="D3359" s="11" t="n"/>
      <c r="K3359" s="7">
        <f>IF($C3359="","",J3359*W3359/100)</f>
        <v/>
      </c>
      <c r="Q3359" s="7" t="n"/>
      <c r="R3359" s="7" t="n"/>
      <c r="U3359">
        <f>IF($C3359="","",IF($AJ3359=1,0,IF($AI3359=1,Settings!$C$6,Settings!$C$7))*100)</f>
        <v/>
      </c>
      <c r="V3359" s="7">
        <f>IF($C3359="","",R3359*U3359/100)</f>
        <v/>
      </c>
      <c r="W3359" s="7">
        <f>IF($C3359="","",R3359-V3359)</f>
        <v/>
      </c>
      <c r="X3359" s="7">
        <f>IF($C3359="","",W3359-K3359)</f>
        <v/>
      </c>
      <c r="AB3359" s="7" t="n"/>
      <c r="AE3359" s="11" t="n"/>
      <c r="AG3359">
        <f>IF($C3359="","",IF(COUNTIF($C$2:$C3359,$C3359)=1,1,0))</f>
        <v/>
      </c>
      <c r="AH3359">
        <f>IF($AG3359=1,SUMPRODUCT(--($AK$2:$AK$6001&lt;$AK3359))+1,"")</f>
        <v/>
      </c>
      <c r="AI3359">
        <f>IF($C3359="","",IF(OR($N3359=TRUE(),$N3359="TRUE"),1,0))</f>
        <v/>
      </c>
      <c r="AJ3359">
        <f>IF($C3359="","",IF($T3359="Yes",1,0))</f>
        <v/>
      </c>
      <c r="AK3359">
        <f>IF($AG3359=1,IFERROR(IF(VALUE($C3359)&lt;100000000,VALUE($C3359),1000000000),IFERROR(IF(VALUE(MID($C3359,2,20))&lt;100000000,VALUE(MID($C3359,2,20)),1000000000),1000000000))+ROW()/100000,"")</f>
        <v/>
      </c>
    </row>
    <row r="3360">
      <c r="D3360" s="11" t="n"/>
      <c r="K3360" s="7">
        <f>IF($C3360="","",J3360*W3360/100)</f>
        <v/>
      </c>
      <c r="Q3360" s="7" t="n"/>
      <c r="R3360" s="7" t="n"/>
      <c r="U3360">
        <f>IF($C3360="","",IF($AJ3360=1,0,IF($AI3360=1,Settings!$C$6,Settings!$C$7))*100)</f>
        <v/>
      </c>
      <c r="V3360" s="7">
        <f>IF($C3360="","",R3360*U3360/100)</f>
        <v/>
      </c>
      <c r="W3360" s="7">
        <f>IF($C3360="","",R3360-V3360)</f>
        <v/>
      </c>
      <c r="X3360" s="7">
        <f>IF($C3360="","",W3360-K3360)</f>
        <v/>
      </c>
      <c r="AB3360" s="7" t="n"/>
      <c r="AE3360" s="11" t="n"/>
      <c r="AG3360">
        <f>IF($C3360="","",IF(COUNTIF($C$2:$C3360,$C3360)=1,1,0))</f>
        <v/>
      </c>
      <c r="AH3360">
        <f>IF($AG3360=1,SUMPRODUCT(--($AK$2:$AK$6001&lt;$AK3360))+1,"")</f>
        <v/>
      </c>
      <c r="AI3360">
        <f>IF($C3360="","",IF(OR($N3360=TRUE(),$N3360="TRUE"),1,0))</f>
        <v/>
      </c>
      <c r="AJ3360">
        <f>IF($C3360="","",IF($T3360="Yes",1,0))</f>
        <v/>
      </c>
      <c r="AK3360">
        <f>IF($AG3360=1,IFERROR(IF(VALUE($C3360)&lt;100000000,VALUE($C3360),1000000000),IFERROR(IF(VALUE(MID($C3360,2,20))&lt;100000000,VALUE(MID($C3360,2,20)),1000000000),1000000000))+ROW()/100000,"")</f>
        <v/>
      </c>
    </row>
    <row r="3361">
      <c r="D3361" s="11" t="n"/>
      <c r="K3361" s="7">
        <f>IF($C3361="","",J3361*W3361/100)</f>
        <v/>
      </c>
      <c r="Q3361" s="7" t="n"/>
      <c r="R3361" s="7" t="n"/>
      <c r="U3361">
        <f>IF($C3361="","",IF($AJ3361=1,0,IF($AI3361=1,Settings!$C$6,Settings!$C$7))*100)</f>
        <v/>
      </c>
      <c r="V3361" s="7">
        <f>IF($C3361="","",R3361*U3361/100)</f>
        <v/>
      </c>
      <c r="W3361" s="7">
        <f>IF($C3361="","",R3361-V3361)</f>
        <v/>
      </c>
      <c r="X3361" s="7">
        <f>IF($C3361="","",W3361-K3361)</f>
        <v/>
      </c>
      <c r="AB3361" s="7" t="n"/>
      <c r="AE3361" s="11" t="n"/>
      <c r="AG3361">
        <f>IF($C3361="","",IF(COUNTIF($C$2:$C3361,$C3361)=1,1,0))</f>
        <v/>
      </c>
      <c r="AH3361">
        <f>IF($AG3361=1,SUMPRODUCT(--($AK$2:$AK$6001&lt;$AK3361))+1,"")</f>
        <v/>
      </c>
      <c r="AI3361">
        <f>IF($C3361="","",IF(OR($N3361=TRUE(),$N3361="TRUE"),1,0))</f>
        <v/>
      </c>
      <c r="AJ3361">
        <f>IF($C3361="","",IF($T3361="Yes",1,0))</f>
        <v/>
      </c>
      <c r="AK3361">
        <f>IF($AG3361=1,IFERROR(IF(VALUE($C3361)&lt;100000000,VALUE($C3361),1000000000),IFERROR(IF(VALUE(MID($C3361,2,20))&lt;100000000,VALUE(MID($C3361,2,20)),1000000000),1000000000))+ROW()/100000,"")</f>
        <v/>
      </c>
    </row>
    <row r="3362">
      <c r="D3362" s="11" t="n"/>
      <c r="K3362" s="7">
        <f>IF($C3362="","",J3362*W3362/100)</f>
        <v/>
      </c>
      <c r="Q3362" s="7" t="n"/>
      <c r="R3362" s="7" t="n"/>
      <c r="U3362">
        <f>IF($C3362="","",IF($AJ3362=1,0,IF($AI3362=1,Settings!$C$6,Settings!$C$7))*100)</f>
        <v/>
      </c>
      <c r="V3362" s="7">
        <f>IF($C3362="","",R3362*U3362/100)</f>
        <v/>
      </c>
      <c r="W3362" s="7">
        <f>IF($C3362="","",R3362-V3362)</f>
        <v/>
      </c>
      <c r="X3362" s="7">
        <f>IF($C3362="","",W3362-K3362)</f>
        <v/>
      </c>
      <c r="AB3362" s="7" t="n"/>
      <c r="AE3362" s="11" t="n"/>
      <c r="AG3362">
        <f>IF($C3362="","",IF(COUNTIF($C$2:$C3362,$C3362)=1,1,0))</f>
        <v/>
      </c>
      <c r="AH3362">
        <f>IF($AG3362=1,SUMPRODUCT(--($AK$2:$AK$6001&lt;$AK3362))+1,"")</f>
        <v/>
      </c>
      <c r="AI3362">
        <f>IF($C3362="","",IF(OR($N3362=TRUE(),$N3362="TRUE"),1,0))</f>
        <v/>
      </c>
      <c r="AJ3362">
        <f>IF($C3362="","",IF($T3362="Yes",1,0))</f>
        <v/>
      </c>
      <c r="AK3362">
        <f>IF($AG3362=1,IFERROR(IF(VALUE($C3362)&lt;100000000,VALUE($C3362),1000000000),IFERROR(IF(VALUE(MID($C3362,2,20))&lt;100000000,VALUE(MID($C3362,2,20)),1000000000),1000000000))+ROW()/100000,"")</f>
        <v/>
      </c>
    </row>
    <row r="3363">
      <c r="D3363" s="11" t="n"/>
      <c r="K3363" s="7">
        <f>IF($C3363="","",J3363*W3363/100)</f>
        <v/>
      </c>
      <c r="Q3363" s="7" t="n"/>
      <c r="R3363" s="7" t="n"/>
      <c r="U3363">
        <f>IF($C3363="","",IF($AJ3363=1,0,IF($AI3363=1,Settings!$C$6,Settings!$C$7))*100)</f>
        <v/>
      </c>
      <c r="V3363" s="7">
        <f>IF($C3363="","",R3363*U3363/100)</f>
        <v/>
      </c>
      <c r="W3363" s="7">
        <f>IF($C3363="","",R3363-V3363)</f>
        <v/>
      </c>
      <c r="X3363" s="7">
        <f>IF($C3363="","",W3363-K3363)</f>
        <v/>
      </c>
      <c r="AB3363" s="7" t="n"/>
      <c r="AE3363" s="11" t="n"/>
      <c r="AG3363">
        <f>IF($C3363="","",IF(COUNTIF($C$2:$C3363,$C3363)=1,1,0))</f>
        <v/>
      </c>
      <c r="AH3363">
        <f>IF($AG3363=1,SUMPRODUCT(--($AK$2:$AK$6001&lt;$AK3363))+1,"")</f>
        <v/>
      </c>
      <c r="AI3363">
        <f>IF($C3363="","",IF(OR($N3363=TRUE(),$N3363="TRUE"),1,0))</f>
        <v/>
      </c>
      <c r="AJ3363">
        <f>IF($C3363="","",IF($T3363="Yes",1,0))</f>
        <v/>
      </c>
      <c r="AK3363">
        <f>IF($AG3363=1,IFERROR(IF(VALUE($C3363)&lt;100000000,VALUE($C3363),1000000000),IFERROR(IF(VALUE(MID($C3363,2,20))&lt;100000000,VALUE(MID($C3363,2,20)),1000000000),1000000000))+ROW()/100000,"")</f>
        <v/>
      </c>
    </row>
    <row r="3364">
      <c r="D3364" s="11" t="n"/>
      <c r="K3364" s="7">
        <f>IF($C3364="","",J3364*W3364/100)</f>
        <v/>
      </c>
      <c r="Q3364" s="7" t="n"/>
      <c r="R3364" s="7" t="n"/>
      <c r="U3364">
        <f>IF($C3364="","",IF($AJ3364=1,0,IF($AI3364=1,Settings!$C$6,Settings!$C$7))*100)</f>
        <v/>
      </c>
      <c r="V3364" s="7">
        <f>IF($C3364="","",R3364*U3364/100)</f>
        <v/>
      </c>
      <c r="W3364" s="7">
        <f>IF($C3364="","",R3364-V3364)</f>
        <v/>
      </c>
      <c r="X3364" s="7">
        <f>IF($C3364="","",W3364-K3364)</f>
        <v/>
      </c>
      <c r="AB3364" s="7" t="n"/>
      <c r="AE3364" s="11" t="n"/>
      <c r="AG3364">
        <f>IF($C3364="","",IF(COUNTIF($C$2:$C3364,$C3364)=1,1,0))</f>
        <v/>
      </c>
      <c r="AH3364">
        <f>IF($AG3364=1,SUMPRODUCT(--($AK$2:$AK$6001&lt;$AK3364))+1,"")</f>
        <v/>
      </c>
      <c r="AI3364">
        <f>IF($C3364="","",IF(OR($N3364=TRUE(),$N3364="TRUE"),1,0))</f>
        <v/>
      </c>
      <c r="AJ3364">
        <f>IF($C3364="","",IF($T3364="Yes",1,0))</f>
        <v/>
      </c>
      <c r="AK3364">
        <f>IF($AG3364=1,IFERROR(IF(VALUE($C3364)&lt;100000000,VALUE($C3364),1000000000),IFERROR(IF(VALUE(MID($C3364,2,20))&lt;100000000,VALUE(MID($C3364,2,20)),1000000000),1000000000))+ROW()/100000,"")</f>
        <v/>
      </c>
    </row>
    <row r="3365">
      <c r="D3365" s="11" t="n"/>
      <c r="K3365" s="7">
        <f>IF($C3365="","",J3365*W3365/100)</f>
        <v/>
      </c>
      <c r="Q3365" s="7" t="n"/>
      <c r="R3365" s="7" t="n"/>
      <c r="U3365">
        <f>IF($C3365="","",IF($AJ3365=1,0,IF($AI3365=1,Settings!$C$6,Settings!$C$7))*100)</f>
        <v/>
      </c>
      <c r="V3365" s="7">
        <f>IF($C3365="","",R3365*U3365/100)</f>
        <v/>
      </c>
      <c r="W3365" s="7">
        <f>IF($C3365="","",R3365-V3365)</f>
        <v/>
      </c>
      <c r="X3365" s="7">
        <f>IF($C3365="","",W3365-K3365)</f>
        <v/>
      </c>
      <c r="AB3365" s="7" t="n"/>
      <c r="AE3365" s="11" t="n"/>
      <c r="AG3365">
        <f>IF($C3365="","",IF(COUNTIF($C$2:$C3365,$C3365)=1,1,0))</f>
        <v/>
      </c>
      <c r="AH3365">
        <f>IF($AG3365=1,SUMPRODUCT(--($AK$2:$AK$6001&lt;$AK3365))+1,"")</f>
        <v/>
      </c>
      <c r="AI3365">
        <f>IF($C3365="","",IF(OR($N3365=TRUE(),$N3365="TRUE"),1,0))</f>
        <v/>
      </c>
      <c r="AJ3365">
        <f>IF($C3365="","",IF($T3365="Yes",1,0))</f>
        <v/>
      </c>
      <c r="AK3365">
        <f>IF($AG3365=1,IFERROR(IF(VALUE($C3365)&lt;100000000,VALUE($C3365),1000000000),IFERROR(IF(VALUE(MID($C3365,2,20))&lt;100000000,VALUE(MID($C3365,2,20)),1000000000),1000000000))+ROW()/100000,"")</f>
        <v/>
      </c>
    </row>
    <row r="3366">
      <c r="D3366" s="11" t="n"/>
      <c r="K3366" s="7">
        <f>IF($C3366="","",J3366*W3366/100)</f>
        <v/>
      </c>
      <c r="Q3366" s="7" t="n"/>
      <c r="R3366" s="7" t="n"/>
      <c r="U3366">
        <f>IF($C3366="","",IF($AJ3366=1,0,IF($AI3366=1,Settings!$C$6,Settings!$C$7))*100)</f>
        <v/>
      </c>
      <c r="V3366" s="7">
        <f>IF($C3366="","",R3366*U3366/100)</f>
        <v/>
      </c>
      <c r="W3366" s="7">
        <f>IF($C3366="","",R3366-V3366)</f>
        <v/>
      </c>
      <c r="X3366" s="7">
        <f>IF($C3366="","",W3366-K3366)</f>
        <v/>
      </c>
      <c r="AB3366" s="7" t="n"/>
      <c r="AE3366" s="11" t="n"/>
      <c r="AG3366">
        <f>IF($C3366="","",IF(COUNTIF($C$2:$C3366,$C3366)=1,1,0))</f>
        <v/>
      </c>
      <c r="AH3366">
        <f>IF($AG3366=1,SUMPRODUCT(--($AK$2:$AK$6001&lt;$AK3366))+1,"")</f>
        <v/>
      </c>
      <c r="AI3366">
        <f>IF($C3366="","",IF(OR($N3366=TRUE(),$N3366="TRUE"),1,0))</f>
        <v/>
      </c>
      <c r="AJ3366">
        <f>IF($C3366="","",IF($T3366="Yes",1,0))</f>
        <v/>
      </c>
      <c r="AK3366">
        <f>IF($AG3366=1,IFERROR(IF(VALUE($C3366)&lt;100000000,VALUE($C3366),1000000000),IFERROR(IF(VALUE(MID($C3366,2,20))&lt;100000000,VALUE(MID($C3366,2,20)),1000000000),1000000000))+ROW()/100000,"")</f>
        <v/>
      </c>
    </row>
    <row r="3367">
      <c r="D3367" s="11" t="n"/>
      <c r="K3367" s="7">
        <f>IF($C3367="","",J3367*W3367/100)</f>
        <v/>
      </c>
      <c r="Q3367" s="7" t="n"/>
      <c r="R3367" s="7" t="n"/>
      <c r="U3367">
        <f>IF($C3367="","",IF($AJ3367=1,0,IF($AI3367=1,Settings!$C$6,Settings!$C$7))*100)</f>
        <v/>
      </c>
      <c r="V3367" s="7">
        <f>IF($C3367="","",R3367*U3367/100)</f>
        <v/>
      </c>
      <c r="W3367" s="7">
        <f>IF($C3367="","",R3367-V3367)</f>
        <v/>
      </c>
      <c r="X3367" s="7">
        <f>IF($C3367="","",W3367-K3367)</f>
        <v/>
      </c>
      <c r="AB3367" s="7" t="n"/>
      <c r="AE3367" s="11" t="n"/>
      <c r="AG3367">
        <f>IF($C3367="","",IF(COUNTIF($C$2:$C3367,$C3367)=1,1,0))</f>
        <v/>
      </c>
      <c r="AH3367">
        <f>IF($AG3367=1,SUMPRODUCT(--($AK$2:$AK$6001&lt;$AK3367))+1,"")</f>
        <v/>
      </c>
      <c r="AI3367">
        <f>IF($C3367="","",IF(OR($N3367=TRUE(),$N3367="TRUE"),1,0))</f>
        <v/>
      </c>
      <c r="AJ3367">
        <f>IF($C3367="","",IF($T3367="Yes",1,0))</f>
        <v/>
      </c>
      <c r="AK3367">
        <f>IF($AG3367=1,IFERROR(IF(VALUE($C3367)&lt;100000000,VALUE($C3367),1000000000),IFERROR(IF(VALUE(MID($C3367,2,20))&lt;100000000,VALUE(MID($C3367,2,20)),1000000000),1000000000))+ROW()/100000,"")</f>
        <v/>
      </c>
    </row>
    <row r="3368">
      <c r="D3368" s="11" t="n"/>
      <c r="K3368" s="7">
        <f>IF($C3368="","",J3368*W3368/100)</f>
        <v/>
      </c>
      <c r="Q3368" s="7" t="n"/>
      <c r="R3368" s="7" t="n"/>
      <c r="U3368">
        <f>IF($C3368="","",IF($AJ3368=1,0,IF($AI3368=1,Settings!$C$6,Settings!$C$7))*100)</f>
        <v/>
      </c>
      <c r="V3368" s="7">
        <f>IF($C3368="","",R3368*U3368/100)</f>
        <v/>
      </c>
      <c r="W3368" s="7">
        <f>IF($C3368="","",R3368-V3368)</f>
        <v/>
      </c>
      <c r="X3368" s="7">
        <f>IF($C3368="","",W3368-K3368)</f>
        <v/>
      </c>
      <c r="AB3368" s="7" t="n"/>
      <c r="AE3368" s="11" t="n"/>
      <c r="AG3368">
        <f>IF($C3368="","",IF(COUNTIF($C$2:$C3368,$C3368)=1,1,0))</f>
        <v/>
      </c>
      <c r="AH3368">
        <f>IF($AG3368=1,SUMPRODUCT(--($AK$2:$AK$6001&lt;$AK3368))+1,"")</f>
        <v/>
      </c>
      <c r="AI3368">
        <f>IF($C3368="","",IF(OR($N3368=TRUE(),$N3368="TRUE"),1,0))</f>
        <v/>
      </c>
      <c r="AJ3368">
        <f>IF($C3368="","",IF($T3368="Yes",1,0))</f>
        <v/>
      </c>
      <c r="AK3368">
        <f>IF($AG3368=1,IFERROR(IF(VALUE($C3368)&lt;100000000,VALUE($C3368),1000000000),IFERROR(IF(VALUE(MID($C3368,2,20))&lt;100000000,VALUE(MID($C3368,2,20)),1000000000),1000000000))+ROW()/100000,"")</f>
        <v/>
      </c>
    </row>
    <row r="3369">
      <c r="D3369" s="11" t="n"/>
      <c r="K3369" s="7">
        <f>IF($C3369="","",J3369*W3369/100)</f>
        <v/>
      </c>
      <c r="Q3369" s="7" t="n"/>
      <c r="R3369" s="7" t="n"/>
      <c r="U3369">
        <f>IF($C3369="","",IF($AJ3369=1,0,IF($AI3369=1,Settings!$C$6,Settings!$C$7))*100)</f>
        <v/>
      </c>
      <c r="V3369" s="7">
        <f>IF($C3369="","",R3369*U3369/100)</f>
        <v/>
      </c>
      <c r="W3369" s="7">
        <f>IF($C3369="","",R3369-V3369)</f>
        <v/>
      </c>
      <c r="X3369" s="7">
        <f>IF($C3369="","",W3369-K3369)</f>
        <v/>
      </c>
      <c r="AB3369" s="7" t="n"/>
      <c r="AE3369" s="11" t="n"/>
      <c r="AG3369">
        <f>IF($C3369="","",IF(COUNTIF($C$2:$C3369,$C3369)=1,1,0))</f>
        <v/>
      </c>
      <c r="AH3369">
        <f>IF($AG3369=1,SUMPRODUCT(--($AK$2:$AK$6001&lt;$AK3369))+1,"")</f>
        <v/>
      </c>
      <c r="AI3369">
        <f>IF($C3369="","",IF(OR($N3369=TRUE(),$N3369="TRUE"),1,0))</f>
        <v/>
      </c>
      <c r="AJ3369">
        <f>IF($C3369="","",IF($T3369="Yes",1,0))</f>
        <v/>
      </c>
      <c r="AK3369">
        <f>IF($AG3369=1,IFERROR(IF(VALUE($C3369)&lt;100000000,VALUE($C3369),1000000000),IFERROR(IF(VALUE(MID($C3369,2,20))&lt;100000000,VALUE(MID($C3369,2,20)),1000000000),1000000000))+ROW()/100000,"")</f>
        <v/>
      </c>
    </row>
    <row r="3370">
      <c r="D3370" s="11" t="n"/>
      <c r="K3370" s="7">
        <f>IF($C3370="","",J3370*W3370/100)</f>
        <v/>
      </c>
      <c r="Q3370" s="7" t="n"/>
      <c r="R3370" s="7" t="n"/>
      <c r="U3370">
        <f>IF($C3370="","",IF($AJ3370=1,0,IF($AI3370=1,Settings!$C$6,Settings!$C$7))*100)</f>
        <v/>
      </c>
      <c r="V3370" s="7">
        <f>IF($C3370="","",R3370*U3370/100)</f>
        <v/>
      </c>
      <c r="W3370" s="7">
        <f>IF($C3370="","",R3370-V3370)</f>
        <v/>
      </c>
      <c r="X3370" s="7">
        <f>IF($C3370="","",W3370-K3370)</f>
        <v/>
      </c>
      <c r="AB3370" s="7" t="n"/>
      <c r="AE3370" s="11" t="n"/>
      <c r="AG3370">
        <f>IF($C3370="","",IF(COUNTIF($C$2:$C3370,$C3370)=1,1,0))</f>
        <v/>
      </c>
      <c r="AH3370">
        <f>IF($AG3370=1,SUMPRODUCT(--($AK$2:$AK$6001&lt;$AK3370))+1,"")</f>
        <v/>
      </c>
      <c r="AI3370">
        <f>IF($C3370="","",IF(OR($N3370=TRUE(),$N3370="TRUE"),1,0))</f>
        <v/>
      </c>
      <c r="AJ3370">
        <f>IF($C3370="","",IF($T3370="Yes",1,0))</f>
        <v/>
      </c>
      <c r="AK3370">
        <f>IF($AG3370=1,IFERROR(IF(VALUE($C3370)&lt;100000000,VALUE($C3370),1000000000),IFERROR(IF(VALUE(MID($C3370,2,20))&lt;100000000,VALUE(MID($C3370,2,20)),1000000000),1000000000))+ROW()/100000,"")</f>
        <v/>
      </c>
    </row>
    <row r="3371">
      <c r="D3371" s="11" t="n"/>
      <c r="K3371" s="7">
        <f>IF($C3371="","",J3371*W3371/100)</f>
        <v/>
      </c>
      <c r="Q3371" s="7" t="n"/>
      <c r="R3371" s="7" t="n"/>
      <c r="U3371">
        <f>IF($C3371="","",IF($AJ3371=1,0,IF($AI3371=1,Settings!$C$6,Settings!$C$7))*100)</f>
        <v/>
      </c>
      <c r="V3371" s="7">
        <f>IF($C3371="","",R3371*U3371/100)</f>
        <v/>
      </c>
      <c r="W3371" s="7">
        <f>IF($C3371="","",R3371-V3371)</f>
        <v/>
      </c>
      <c r="X3371" s="7">
        <f>IF($C3371="","",W3371-K3371)</f>
        <v/>
      </c>
      <c r="AB3371" s="7" t="n"/>
      <c r="AE3371" s="11" t="n"/>
      <c r="AG3371">
        <f>IF($C3371="","",IF(COUNTIF($C$2:$C3371,$C3371)=1,1,0))</f>
        <v/>
      </c>
      <c r="AH3371">
        <f>IF($AG3371=1,SUMPRODUCT(--($AK$2:$AK$6001&lt;$AK3371))+1,"")</f>
        <v/>
      </c>
      <c r="AI3371">
        <f>IF($C3371="","",IF(OR($N3371=TRUE(),$N3371="TRUE"),1,0))</f>
        <v/>
      </c>
      <c r="AJ3371">
        <f>IF($C3371="","",IF($T3371="Yes",1,0))</f>
        <v/>
      </c>
      <c r="AK3371">
        <f>IF($AG3371=1,IFERROR(IF(VALUE($C3371)&lt;100000000,VALUE($C3371),1000000000),IFERROR(IF(VALUE(MID($C3371,2,20))&lt;100000000,VALUE(MID($C3371,2,20)),1000000000),1000000000))+ROW()/100000,"")</f>
        <v/>
      </c>
    </row>
    <row r="3372">
      <c r="D3372" s="11" t="n"/>
      <c r="K3372" s="7">
        <f>IF($C3372="","",J3372*W3372/100)</f>
        <v/>
      </c>
      <c r="Q3372" s="7" t="n"/>
      <c r="R3372" s="7" t="n"/>
      <c r="U3372">
        <f>IF($C3372="","",IF($AJ3372=1,0,IF($AI3372=1,Settings!$C$6,Settings!$C$7))*100)</f>
        <v/>
      </c>
      <c r="V3372" s="7">
        <f>IF($C3372="","",R3372*U3372/100)</f>
        <v/>
      </c>
      <c r="W3372" s="7">
        <f>IF($C3372="","",R3372-V3372)</f>
        <v/>
      </c>
      <c r="X3372" s="7">
        <f>IF($C3372="","",W3372-K3372)</f>
        <v/>
      </c>
      <c r="AB3372" s="7" t="n"/>
      <c r="AE3372" s="11" t="n"/>
      <c r="AG3372">
        <f>IF($C3372="","",IF(COUNTIF($C$2:$C3372,$C3372)=1,1,0))</f>
        <v/>
      </c>
      <c r="AH3372">
        <f>IF($AG3372=1,SUMPRODUCT(--($AK$2:$AK$6001&lt;$AK3372))+1,"")</f>
        <v/>
      </c>
      <c r="AI3372">
        <f>IF($C3372="","",IF(OR($N3372=TRUE(),$N3372="TRUE"),1,0))</f>
        <v/>
      </c>
      <c r="AJ3372">
        <f>IF($C3372="","",IF($T3372="Yes",1,0))</f>
        <v/>
      </c>
      <c r="AK3372">
        <f>IF($AG3372=1,IFERROR(IF(VALUE($C3372)&lt;100000000,VALUE($C3372),1000000000),IFERROR(IF(VALUE(MID($C3372,2,20))&lt;100000000,VALUE(MID($C3372,2,20)),1000000000),1000000000))+ROW()/100000,"")</f>
        <v/>
      </c>
    </row>
    <row r="3373">
      <c r="D3373" s="11" t="n"/>
      <c r="K3373" s="7">
        <f>IF($C3373="","",J3373*W3373/100)</f>
        <v/>
      </c>
      <c r="Q3373" s="7" t="n"/>
      <c r="R3373" s="7" t="n"/>
      <c r="U3373">
        <f>IF($C3373="","",IF($AJ3373=1,0,IF($AI3373=1,Settings!$C$6,Settings!$C$7))*100)</f>
        <v/>
      </c>
      <c r="V3373" s="7">
        <f>IF($C3373="","",R3373*U3373/100)</f>
        <v/>
      </c>
      <c r="W3373" s="7">
        <f>IF($C3373="","",R3373-V3373)</f>
        <v/>
      </c>
      <c r="X3373" s="7">
        <f>IF($C3373="","",W3373-K3373)</f>
        <v/>
      </c>
      <c r="AB3373" s="7" t="n"/>
      <c r="AE3373" s="11" t="n"/>
      <c r="AG3373">
        <f>IF($C3373="","",IF(COUNTIF($C$2:$C3373,$C3373)=1,1,0))</f>
        <v/>
      </c>
      <c r="AH3373">
        <f>IF($AG3373=1,SUMPRODUCT(--($AK$2:$AK$6001&lt;$AK3373))+1,"")</f>
        <v/>
      </c>
      <c r="AI3373">
        <f>IF($C3373="","",IF(OR($N3373=TRUE(),$N3373="TRUE"),1,0))</f>
        <v/>
      </c>
      <c r="AJ3373">
        <f>IF($C3373="","",IF($T3373="Yes",1,0))</f>
        <v/>
      </c>
      <c r="AK3373">
        <f>IF($AG3373=1,IFERROR(IF(VALUE($C3373)&lt;100000000,VALUE($C3373),1000000000),IFERROR(IF(VALUE(MID($C3373,2,20))&lt;100000000,VALUE(MID($C3373,2,20)),1000000000),1000000000))+ROW()/100000,"")</f>
        <v/>
      </c>
    </row>
    <row r="3374">
      <c r="D3374" s="11" t="n"/>
      <c r="K3374" s="7">
        <f>IF($C3374="","",J3374*W3374/100)</f>
        <v/>
      </c>
      <c r="Q3374" s="7" t="n"/>
      <c r="R3374" s="7" t="n"/>
      <c r="U3374">
        <f>IF($C3374="","",IF($AJ3374=1,0,IF($AI3374=1,Settings!$C$6,Settings!$C$7))*100)</f>
        <v/>
      </c>
      <c r="V3374" s="7">
        <f>IF($C3374="","",R3374*U3374/100)</f>
        <v/>
      </c>
      <c r="W3374" s="7">
        <f>IF($C3374="","",R3374-V3374)</f>
        <v/>
      </c>
      <c r="X3374" s="7">
        <f>IF($C3374="","",W3374-K3374)</f>
        <v/>
      </c>
      <c r="AB3374" s="7" t="n"/>
      <c r="AE3374" s="11" t="n"/>
      <c r="AG3374">
        <f>IF($C3374="","",IF(COUNTIF($C$2:$C3374,$C3374)=1,1,0))</f>
        <v/>
      </c>
      <c r="AH3374">
        <f>IF($AG3374=1,SUMPRODUCT(--($AK$2:$AK$6001&lt;$AK3374))+1,"")</f>
        <v/>
      </c>
      <c r="AI3374">
        <f>IF($C3374="","",IF(OR($N3374=TRUE(),$N3374="TRUE"),1,0))</f>
        <v/>
      </c>
      <c r="AJ3374">
        <f>IF($C3374="","",IF($T3374="Yes",1,0))</f>
        <v/>
      </c>
      <c r="AK3374">
        <f>IF($AG3374=1,IFERROR(IF(VALUE($C3374)&lt;100000000,VALUE($C3374),1000000000),IFERROR(IF(VALUE(MID($C3374,2,20))&lt;100000000,VALUE(MID($C3374,2,20)),1000000000),1000000000))+ROW()/100000,"")</f>
        <v/>
      </c>
    </row>
    <row r="3375">
      <c r="D3375" s="11" t="n"/>
      <c r="K3375" s="7">
        <f>IF($C3375="","",J3375*W3375/100)</f>
        <v/>
      </c>
      <c r="Q3375" s="7" t="n"/>
      <c r="R3375" s="7" t="n"/>
      <c r="U3375">
        <f>IF($C3375="","",IF($AJ3375=1,0,IF($AI3375=1,Settings!$C$6,Settings!$C$7))*100)</f>
        <v/>
      </c>
      <c r="V3375" s="7">
        <f>IF($C3375="","",R3375*U3375/100)</f>
        <v/>
      </c>
      <c r="W3375" s="7">
        <f>IF($C3375="","",R3375-V3375)</f>
        <v/>
      </c>
      <c r="X3375" s="7">
        <f>IF($C3375="","",W3375-K3375)</f>
        <v/>
      </c>
      <c r="AB3375" s="7" t="n"/>
      <c r="AE3375" s="11" t="n"/>
      <c r="AG3375">
        <f>IF($C3375="","",IF(COUNTIF($C$2:$C3375,$C3375)=1,1,0))</f>
        <v/>
      </c>
      <c r="AH3375">
        <f>IF($AG3375=1,SUMPRODUCT(--($AK$2:$AK$6001&lt;$AK3375))+1,"")</f>
        <v/>
      </c>
      <c r="AI3375">
        <f>IF($C3375="","",IF(OR($N3375=TRUE(),$N3375="TRUE"),1,0))</f>
        <v/>
      </c>
      <c r="AJ3375">
        <f>IF($C3375="","",IF($T3375="Yes",1,0))</f>
        <v/>
      </c>
      <c r="AK3375">
        <f>IF($AG3375=1,IFERROR(IF(VALUE($C3375)&lt;100000000,VALUE($C3375),1000000000),IFERROR(IF(VALUE(MID($C3375,2,20))&lt;100000000,VALUE(MID($C3375,2,20)),1000000000),1000000000))+ROW()/100000,"")</f>
        <v/>
      </c>
    </row>
    <row r="3376">
      <c r="D3376" s="11" t="n"/>
      <c r="K3376" s="7">
        <f>IF($C3376="","",J3376*W3376/100)</f>
        <v/>
      </c>
      <c r="Q3376" s="7" t="n"/>
      <c r="R3376" s="7" t="n"/>
      <c r="U3376">
        <f>IF($C3376="","",IF($AJ3376=1,0,IF($AI3376=1,Settings!$C$6,Settings!$C$7))*100)</f>
        <v/>
      </c>
      <c r="V3376" s="7">
        <f>IF($C3376="","",R3376*U3376/100)</f>
        <v/>
      </c>
      <c r="W3376" s="7">
        <f>IF($C3376="","",R3376-V3376)</f>
        <v/>
      </c>
      <c r="X3376" s="7">
        <f>IF($C3376="","",W3376-K3376)</f>
        <v/>
      </c>
      <c r="AB3376" s="7" t="n"/>
      <c r="AE3376" s="11" t="n"/>
      <c r="AG3376">
        <f>IF($C3376="","",IF(COUNTIF($C$2:$C3376,$C3376)=1,1,0))</f>
        <v/>
      </c>
      <c r="AH3376">
        <f>IF($AG3376=1,SUMPRODUCT(--($AK$2:$AK$6001&lt;$AK3376))+1,"")</f>
        <v/>
      </c>
      <c r="AI3376">
        <f>IF($C3376="","",IF(OR($N3376=TRUE(),$N3376="TRUE"),1,0))</f>
        <v/>
      </c>
      <c r="AJ3376">
        <f>IF($C3376="","",IF($T3376="Yes",1,0))</f>
        <v/>
      </c>
      <c r="AK3376">
        <f>IF($AG3376=1,IFERROR(IF(VALUE($C3376)&lt;100000000,VALUE($C3376),1000000000),IFERROR(IF(VALUE(MID($C3376,2,20))&lt;100000000,VALUE(MID($C3376,2,20)),1000000000),1000000000))+ROW()/100000,"")</f>
        <v/>
      </c>
    </row>
    <row r="3377">
      <c r="D3377" s="11" t="n"/>
      <c r="K3377" s="7">
        <f>IF($C3377="","",J3377*W3377/100)</f>
        <v/>
      </c>
      <c r="Q3377" s="7" t="n"/>
      <c r="R3377" s="7" t="n"/>
      <c r="U3377">
        <f>IF($C3377="","",IF($AJ3377=1,0,IF($AI3377=1,Settings!$C$6,Settings!$C$7))*100)</f>
        <v/>
      </c>
      <c r="V3377" s="7">
        <f>IF($C3377="","",R3377*U3377/100)</f>
        <v/>
      </c>
      <c r="W3377" s="7">
        <f>IF($C3377="","",R3377-V3377)</f>
        <v/>
      </c>
      <c r="X3377" s="7">
        <f>IF($C3377="","",W3377-K3377)</f>
        <v/>
      </c>
      <c r="AB3377" s="7" t="n"/>
      <c r="AE3377" s="11" t="n"/>
      <c r="AG3377">
        <f>IF($C3377="","",IF(COUNTIF($C$2:$C3377,$C3377)=1,1,0))</f>
        <v/>
      </c>
      <c r="AH3377">
        <f>IF($AG3377=1,SUMPRODUCT(--($AK$2:$AK$6001&lt;$AK3377))+1,"")</f>
        <v/>
      </c>
      <c r="AI3377">
        <f>IF($C3377="","",IF(OR($N3377=TRUE(),$N3377="TRUE"),1,0))</f>
        <v/>
      </c>
      <c r="AJ3377">
        <f>IF($C3377="","",IF($T3377="Yes",1,0))</f>
        <v/>
      </c>
      <c r="AK3377">
        <f>IF($AG3377=1,IFERROR(IF(VALUE($C3377)&lt;100000000,VALUE($C3377),1000000000),IFERROR(IF(VALUE(MID($C3377,2,20))&lt;100000000,VALUE(MID($C3377,2,20)),1000000000),1000000000))+ROW()/100000,"")</f>
        <v/>
      </c>
    </row>
    <row r="3378">
      <c r="D3378" s="11" t="n"/>
      <c r="K3378" s="7">
        <f>IF($C3378="","",J3378*W3378/100)</f>
        <v/>
      </c>
      <c r="Q3378" s="7" t="n"/>
      <c r="R3378" s="7" t="n"/>
      <c r="U3378">
        <f>IF($C3378="","",IF($AJ3378=1,0,IF($AI3378=1,Settings!$C$6,Settings!$C$7))*100)</f>
        <v/>
      </c>
      <c r="V3378" s="7">
        <f>IF($C3378="","",R3378*U3378/100)</f>
        <v/>
      </c>
      <c r="W3378" s="7">
        <f>IF($C3378="","",R3378-V3378)</f>
        <v/>
      </c>
      <c r="X3378" s="7">
        <f>IF($C3378="","",W3378-K3378)</f>
        <v/>
      </c>
      <c r="AB3378" s="7" t="n"/>
      <c r="AE3378" s="11" t="n"/>
      <c r="AG3378">
        <f>IF($C3378="","",IF(COUNTIF($C$2:$C3378,$C3378)=1,1,0))</f>
        <v/>
      </c>
      <c r="AH3378">
        <f>IF($AG3378=1,SUMPRODUCT(--($AK$2:$AK$6001&lt;$AK3378))+1,"")</f>
        <v/>
      </c>
      <c r="AI3378">
        <f>IF($C3378="","",IF(OR($N3378=TRUE(),$N3378="TRUE"),1,0))</f>
        <v/>
      </c>
      <c r="AJ3378">
        <f>IF($C3378="","",IF($T3378="Yes",1,0))</f>
        <v/>
      </c>
      <c r="AK3378">
        <f>IF($AG3378=1,IFERROR(IF(VALUE($C3378)&lt;100000000,VALUE($C3378),1000000000),IFERROR(IF(VALUE(MID($C3378,2,20))&lt;100000000,VALUE(MID($C3378,2,20)),1000000000),1000000000))+ROW()/100000,"")</f>
        <v/>
      </c>
    </row>
    <row r="3379">
      <c r="D3379" s="11" t="n"/>
      <c r="K3379" s="7">
        <f>IF($C3379="","",J3379*W3379/100)</f>
        <v/>
      </c>
      <c r="Q3379" s="7" t="n"/>
      <c r="R3379" s="7" t="n"/>
      <c r="U3379">
        <f>IF($C3379="","",IF($AJ3379=1,0,IF($AI3379=1,Settings!$C$6,Settings!$C$7))*100)</f>
        <v/>
      </c>
      <c r="V3379" s="7">
        <f>IF($C3379="","",R3379*U3379/100)</f>
        <v/>
      </c>
      <c r="W3379" s="7">
        <f>IF($C3379="","",R3379-V3379)</f>
        <v/>
      </c>
      <c r="X3379" s="7">
        <f>IF($C3379="","",W3379-K3379)</f>
        <v/>
      </c>
      <c r="AB3379" s="7" t="n"/>
      <c r="AE3379" s="11" t="n"/>
      <c r="AG3379">
        <f>IF($C3379="","",IF(COUNTIF($C$2:$C3379,$C3379)=1,1,0))</f>
        <v/>
      </c>
      <c r="AH3379">
        <f>IF($AG3379=1,SUMPRODUCT(--($AK$2:$AK$6001&lt;$AK3379))+1,"")</f>
        <v/>
      </c>
      <c r="AI3379">
        <f>IF($C3379="","",IF(OR($N3379=TRUE(),$N3379="TRUE"),1,0))</f>
        <v/>
      </c>
      <c r="AJ3379">
        <f>IF($C3379="","",IF($T3379="Yes",1,0))</f>
        <v/>
      </c>
      <c r="AK3379">
        <f>IF($AG3379=1,IFERROR(IF(VALUE($C3379)&lt;100000000,VALUE($C3379),1000000000),IFERROR(IF(VALUE(MID($C3379,2,20))&lt;100000000,VALUE(MID($C3379,2,20)),1000000000),1000000000))+ROW()/100000,"")</f>
        <v/>
      </c>
    </row>
    <row r="3380">
      <c r="D3380" s="11" t="n"/>
      <c r="K3380" s="7">
        <f>IF($C3380="","",J3380*W3380/100)</f>
        <v/>
      </c>
      <c r="Q3380" s="7" t="n"/>
      <c r="R3380" s="7" t="n"/>
      <c r="U3380">
        <f>IF($C3380="","",IF($AJ3380=1,0,IF($AI3380=1,Settings!$C$6,Settings!$C$7))*100)</f>
        <v/>
      </c>
      <c r="V3380" s="7">
        <f>IF($C3380="","",R3380*U3380/100)</f>
        <v/>
      </c>
      <c r="W3380" s="7">
        <f>IF($C3380="","",R3380-V3380)</f>
        <v/>
      </c>
      <c r="X3380" s="7">
        <f>IF($C3380="","",W3380-K3380)</f>
        <v/>
      </c>
      <c r="AB3380" s="7" t="n"/>
      <c r="AE3380" s="11" t="n"/>
      <c r="AG3380">
        <f>IF($C3380="","",IF(COUNTIF($C$2:$C3380,$C3380)=1,1,0))</f>
        <v/>
      </c>
      <c r="AH3380">
        <f>IF($AG3380=1,SUMPRODUCT(--($AK$2:$AK$6001&lt;$AK3380))+1,"")</f>
        <v/>
      </c>
      <c r="AI3380">
        <f>IF($C3380="","",IF(OR($N3380=TRUE(),$N3380="TRUE"),1,0))</f>
        <v/>
      </c>
      <c r="AJ3380">
        <f>IF($C3380="","",IF($T3380="Yes",1,0))</f>
        <v/>
      </c>
      <c r="AK3380">
        <f>IF($AG3380=1,IFERROR(IF(VALUE($C3380)&lt;100000000,VALUE($C3380),1000000000),IFERROR(IF(VALUE(MID($C3380,2,20))&lt;100000000,VALUE(MID($C3380,2,20)),1000000000),1000000000))+ROW()/100000,"")</f>
        <v/>
      </c>
    </row>
    <row r="3381">
      <c r="D3381" s="11" t="n"/>
      <c r="K3381" s="7">
        <f>IF($C3381="","",J3381*W3381/100)</f>
        <v/>
      </c>
      <c r="Q3381" s="7" t="n"/>
      <c r="R3381" s="7" t="n"/>
      <c r="U3381">
        <f>IF($C3381="","",IF($AJ3381=1,0,IF($AI3381=1,Settings!$C$6,Settings!$C$7))*100)</f>
        <v/>
      </c>
      <c r="V3381" s="7">
        <f>IF($C3381="","",R3381*U3381/100)</f>
        <v/>
      </c>
      <c r="W3381" s="7">
        <f>IF($C3381="","",R3381-V3381)</f>
        <v/>
      </c>
      <c r="X3381" s="7">
        <f>IF($C3381="","",W3381-K3381)</f>
        <v/>
      </c>
      <c r="AB3381" s="7" t="n"/>
      <c r="AE3381" s="11" t="n"/>
      <c r="AG3381">
        <f>IF($C3381="","",IF(COUNTIF($C$2:$C3381,$C3381)=1,1,0))</f>
        <v/>
      </c>
      <c r="AH3381">
        <f>IF($AG3381=1,SUMPRODUCT(--($AK$2:$AK$6001&lt;$AK3381))+1,"")</f>
        <v/>
      </c>
      <c r="AI3381">
        <f>IF($C3381="","",IF(OR($N3381=TRUE(),$N3381="TRUE"),1,0))</f>
        <v/>
      </c>
      <c r="AJ3381">
        <f>IF($C3381="","",IF($T3381="Yes",1,0))</f>
        <v/>
      </c>
      <c r="AK3381">
        <f>IF($AG3381=1,IFERROR(IF(VALUE($C3381)&lt;100000000,VALUE($C3381),1000000000),IFERROR(IF(VALUE(MID($C3381,2,20))&lt;100000000,VALUE(MID($C3381,2,20)),1000000000),1000000000))+ROW()/100000,"")</f>
        <v/>
      </c>
    </row>
    <row r="3382">
      <c r="D3382" s="11" t="n"/>
      <c r="K3382" s="7">
        <f>IF($C3382="","",J3382*W3382/100)</f>
        <v/>
      </c>
      <c r="Q3382" s="7" t="n"/>
      <c r="R3382" s="7" t="n"/>
      <c r="U3382">
        <f>IF($C3382="","",IF($AJ3382=1,0,IF($AI3382=1,Settings!$C$6,Settings!$C$7))*100)</f>
        <v/>
      </c>
      <c r="V3382" s="7">
        <f>IF($C3382="","",R3382*U3382/100)</f>
        <v/>
      </c>
      <c r="W3382" s="7">
        <f>IF($C3382="","",R3382-V3382)</f>
        <v/>
      </c>
      <c r="X3382" s="7">
        <f>IF($C3382="","",W3382-K3382)</f>
        <v/>
      </c>
      <c r="AB3382" s="7" t="n"/>
      <c r="AE3382" s="11" t="n"/>
      <c r="AG3382">
        <f>IF($C3382="","",IF(COUNTIF($C$2:$C3382,$C3382)=1,1,0))</f>
        <v/>
      </c>
      <c r="AH3382">
        <f>IF($AG3382=1,SUMPRODUCT(--($AK$2:$AK$6001&lt;$AK3382))+1,"")</f>
        <v/>
      </c>
      <c r="AI3382">
        <f>IF($C3382="","",IF(OR($N3382=TRUE(),$N3382="TRUE"),1,0))</f>
        <v/>
      </c>
      <c r="AJ3382">
        <f>IF($C3382="","",IF($T3382="Yes",1,0))</f>
        <v/>
      </c>
      <c r="AK3382">
        <f>IF($AG3382=1,IFERROR(IF(VALUE($C3382)&lt;100000000,VALUE($C3382),1000000000),IFERROR(IF(VALUE(MID($C3382,2,20))&lt;100000000,VALUE(MID($C3382,2,20)),1000000000),1000000000))+ROW()/100000,"")</f>
        <v/>
      </c>
    </row>
    <row r="3383">
      <c r="D3383" s="11" t="n"/>
      <c r="K3383" s="7">
        <f>IF($C3383="","",J3383*W3383/100)</f>
        <v/>
      </c>
      <c r="Q3383" s="7" t="n"/>
      <c r="R3383" s="7" t="n"/>
      <c r="U3383">
        <f>IF($C3383="","",IF($AJ3383=1,0,IF($AI3383=1,Settings!$C$6,Settings!$C$7))*100)</f>
        <v/>
      </c>
      <c r="V3383" s="7">
        <f>IF($C3383="","",R3383*U3383/100)</f>
        <v/>
      </c>
      <c r="W3383" s="7">
        <f>IF($C3383="","",R3383-V3383)</f>
        <v/>
      </c>
      <c r="X3383" s="7">
        <f>IF($C3383="","",W3383-K3383)</f>
        <v/>
      </c>
      <c r="AB3383" s="7" t="n"/>
      <c r="AE3383" s="11" t="n"/>
      <c r="AG3383">
        <f>IF($C3383="","",IF(COUNTIF($C$2:$C3383,$C3383)=1,1,0))</f>
        <v/>
      </c>
      <c r="AH3383">
        <f>IF($AG3383=1,SUMPRODUCT(--($AK$2:$AK$6001&lt;$AK3383))+1,"")</f>
        <v/>
      </c>
      <c r="AI3383">
        <f>IF($C3383="","",IF(OR($N3383=TRUE(),$N3383="TRUE"),1,0))</f>
        <v/>
      </c>
      <c r="AJ3383">
        <f>IF($C3383="","",IF($T3383="Yes",1,0))</f>
        <v/>
      </c>
      <c r="AK3383">
        <f>IF($AG3383=1,IFERROR(IF(VALUE($C3383)&lt;100000000,VALUE($C3383),1000000000),IFERROR(IF(VALUE(MID($C3383,2,20))&lt;100000000,VALUE(MID($C3383,2,20)),1000000000),1000000000))+ROW()/100000,"")</f>
        <v/>
      </c>
    </row>
    <row r="3384">
      <c r="D3384" s="11" t="n"/>
      <c r="K3384" s="7">
        <f>IF($C3384="","",J3384*W3384/100)</f>
        <v/>
      </c>
      <c r="Q3384" s="7" t="n"/>
      <c r="R3384" s="7" t="n"/>
      <c r="U3384">
        <f>IF($C3384="","",IF($AJ3384=1,0,IF($AI3384=1,Settings!$C$6,Settings!$C$7))*100)</f>
        <v/>
      </c>
      <c r="V3384" s="7">
        <f>IF($C3384="","",R3384*U3384/100)</f>
        <v/>
      </c>
      <c r="W3384" s="7">
        <f>IF($C3384="","",R3384-V3384)</f>
        <v/>
      </c>
      <c r="X3384" s="7">
        <f>IF($C3384="","",W3384-K3384)</f>
        <v/>
      </c>
      <c r="AB3384" s="7" t="n"/>
      <c r="AE3384" s="11" t="n"/>
      <c r="AG3384">
        <f>IF($C3384="","",IF(COUNTIF($C$2:$C3384,$C3384)=1,1,0))</f>
        <v/>
      </c>
      <c r="AH3384">
        <f>IF($AG3384=1,SUMPRODUCT(--($AK$2:$AK$6001&lt;$AK3384))+1,"")</f>
        <v/>
      </c>
      <c r="AI3384">
        <f>IF($C3384="","",IF(OR($N3384=TRUE(),$N3384="TRUE"),1,0))</f>
        <v/>
      </c>
      <c r="AJ3384">
        <f>IF($C3384="","",IF($T3384="Yes",1,0))</f>
        <v/>
      </c>
      <c r="AK3384">
        <f>IF($AG3384=1,IFERROR(IF(VALUE($C3384)&lt;100000000,VALUE($C3384),1000000000),IFERROR(IF(VALUE(MID($C3384,2,20))&lt;100000000,VALUE(MID($C3384,2,20)),1000000000),1000000000))+ROW()/100000,"")</f>
        <v/>
      </c>
    </row>
    <row r="3385">
      <c r="D3385" s="11" t="n"/>
      <c r="K3385" s="7">
        <f>IF($C3385="","",J3385*W3385/100)</f>
        <v/>
      </c>
      <c r="Q3385" s="7" t="n"/>
      <c r="R3385" s="7" t="n"/>
      <c r="U3385">
        <f>IF($C3385="","",IF($AJ3385=1,0,IF($AI3385=1,Settings!$C$6,Settings!$C$7))*100)</f>
        <v/>
      </c>
      <c r="V3385" s="7">
        <f>IF($C3385="","",R3385*U3385/100)</f>
        <v/>
      </c>
      <c r="W3385" s="7">
        <f>IF($C3385="","",R3385-V3385)</f>
        <v/>
      </c>
      <c r="X3385" s="7">
        <f>IF($C3385="","",W3385-K3385)</f>
        <v/>
      </c>
      <c r="AB3385" s="7" t="n"/>
      <c r="AE3385" s="11" t="n"/>
      <c r="AG3385">
        <f>IF($C3385="","",IF(COUNTIF($C$2:$C3385,$C3385)=1,1,0))</f>
        <v/>
      </c>
      <c r="AH3385">
        <f>IF($AG3385=1,SUMPRODUCT(--($AK$2:$AK$6001&lt;$AK3385))+1,"")</f>
        <v/>
      </c>
      <c r="AI3385">
        <f>IF($C3385="","",IF(OR($N3385=TRUE(),$N3385="TRUE"),1,0))</f>
        <v/>
      </c>
      <c r="AJ3385">
        <f>IF($C3385="","",IF($T3385="Yes",1,0))</f>
        <v/>
      </c>
      <c r="AK3385">
        <f>IF($AG3385=1,IFERROR(IF(VALUE($C3385)&lt;100000000,VALUE($C3385),1000000000),IFERROR(IF(VALUE(MID($C3385,2,20))&lt;100000000,VALUE(MID($C3385,2,20)),1000000000),1000000000))+ROW()/100000,"")</f>
        <v/>
      </c>
    </row>
    <row r="3386">
      <c r="D3386" s="11" t="n"/>
      <c r="K3386" s="7">
        <f>IF($C3386="","",J3386*W3386/100)</f>
        <v/>
      </c>
      <c r="Q3386" s="7" t="n"/>
      <c r="R3386" s="7" t="n"/>
      <c r="U3386">
        <f>IF($C3386="","",IF($AJ3386=1,0,IF($AI3386=1,Settings!$C$6,Settings!$C$7))*100)</f>
        <v/>
      </c>
      <c r="V3386" s="7">
        <f>IF($C3386="","",R3386*U3386/100)</f>
        <v/>
      </c>
      <c r="W3386" s="7">
        <f>IF($C3386="","",R3386-V3386)</f>
        <v/>
      </c>
      <c r="X3386" s="7">
        <f>IF($C3386="","",W3386-K3386)</f>
        <v/>
      </c>
      <c r="AB3386" s="7" t="n"/>
      <c r="AE3386" s="11" t="n"/>
      <c r="AG3386">
        <f>IF($C3386="","",IF(COUNTIF($C$2:$C3386,$C3386)=1,1,0))</f>
        <v/>
      </c>
      <c r="AH3386">
        <f>IF($AG3386=1,SUMPRODUCT(--($AK$2:$AK$6001&lt;$AK3386))+1,"")</f>
        <v/>
      </c>
      <c r="AI3386">
        <f>IF($C3386="","",IF(OR($N3386=TRUE(),$N3386="TRUE"),1,0))</f>
        <v/>
      </c>
      <c r="AJ3386">
        <f>IF($C3386="","",IF($T3386="Yes",1,0))</f>
        <v/>
      </c>
      <c r="AK3386">
        <f>IF($AG3386=1,IFERROR(IF(VALUE($C3386)&lt;100000000,VALUE($C3386),1000000000),IFERROR(IF(VALUE(MID($C3386,2,20))&lt;100000000,VALUE(MID($C3386,2,20)),1000000000),1000000000))+ROW()/100000,"")</f>
        <v/>
      </c>
    </row>
    <row r="3387">
      <c r="D3387" s="11" t="n"/>
      <c r="K3387" s="7">
        <f>IF($C3387="","",J3387*W3387/100)</f>
        <v/>
      </c>
      <c r="Q3387" s="7" t="n"/>
      <c r="R3387" s="7" t="n"/>
      <c r="U3387">
        <f>IF($C3387="","",IF($AJ3387=1,0,IF($AI3387=1,Settings!$C$6,Settings!$C$7))*100)</f>
        <v/>
      </c>
      <c r="V3387" s="7">
        <f>IF($C3387="","",R3387*U3387/100)</f>
        <v/>
      </c>
      <c r="W3387" s="7">
        <f>IF($C3387="","",R3387-V3387)</f>
        <v/>
      </c>
      <c r="X3387" s="7">
        <f>IF($C3387="","",W3387-K3387)</f>
        <v/>
      </c>
      <c r="AB3387" s="7" t="n"/>
      <c r="AE3387" s="11" t="n"/>
      <c r="AG3387">
        <f>IF($C3387="","",IF(COUNTIF($C$2:$C3387,$C3387)=1,1,0))</f>
        <v/>
      </c>
      <c r="AH3387">
        <f>IF($AG3387=1,SUMPRODUCT(--($AK$2:$AK$6001&lt;$AK3387))+1,"")</f>
        <v/>
      </c>
      <c r="AI3387">
        <f>IF($C3387="","",IF(OR($N3387=TRUE(),$N3387="TRUE"),1,0))</f>
        <v/>
      </c>
      <c r="AJ3387">
        <f>IF($C3387="","",IF($T3387="Yes",1,0))</f>
        <v/>
      </c>
      <c r="AK3387">
        <f>IF($AG3387=1,IFERROR(IF(VALUE($C3387)&lt;100000000,VALUE($C3387),1000000000),IFERROR(IF(VALUE(MID($C3387,2,20))&lt;100000000,VALUE(MID($C3387,2,20)),1000000000),1000000000))+ROW()/100000,"")</f>
        <v/>
      </c>
    </row>
    <row r="3388">
      <c r="D3388" s="11" t="n"/>
      <c r="K3388" s="7">
        <f>IF($C3388="","",J3388*W3388/100)</f>
        <v/>
      </c>
      <c r="Q3388" s="7" t="n"/>
      <c r="R3388" s="7" t="n"/>
      <c r="U3388">
        <f>IF($C3388="","",IF($AJ3388=1,0,IF($AI3388=1,Settings!$C$6,Settings!$C$7))*100)</f>
        <v/>
      </c>
      <c r="V3388" s="7">
        <f>IF($C3388="","",R3388*U3388/100)</f>
        <v/>
      </c>
      <c r="W3388" s="7">
        <f>IF($C3388="","",R3388-V3388)</f>
        <v/>
      </c>
      <c r="X3388" s="7">
        <f>IF($C3388="","",W3388-K3388)</f>
        <v/>
      </c>
      <c r="AB3388" s="7" t="n"/>
      <c r="AE3388" s="11" t="n"/>
      <c r="AG3388">
        <f>IF($C3388="","",IF(COUNTIF($C$2:$C3388,$C3388)=1,1,0))</f>
        <v/>
      </c>
      <c r="AH3388">
        <f>IF($AG3388=1,SUMPRODUCT(--($AK$2:$AK$6001&lt;$AK3388))+1,"")</f>
        <v/>
      </c>
      <c r="AI3388">
        <f>IF($C3388="","",IF(OR($N3388=TRUE(),$N3388="TRUE"),1,0))</f>
        <v/>
      </c>
      <c r="AJ3388">
        <f>IF($C3388="","",IF($T3388="Yes",1,0))</f>
        <v/>
      </c>
      <c r="AK3388">
        <f>IF($AG3388=1,IFERROR(IF(VALUE($C3388)&lt;100000000,VALUE($C3388),1000000000),IFERROR(IF(VALUE(MID($C3388,2,20))&lt;100000000,VALUE(MID($C3388,2,20)),1000000000),1000000000))+ROW()/100000,"")</f>
        <v/>
      </c>
    </row>
    <row r="3389">
      <c r="D3389" s="11" t="n"/>
      <c r="K3389" s="7">
        <f>IF($C3389="","",J3389*W3389/100)</f>
        <v/>
      </c>
      <c r="Q3389" s="7" t="n"/>
      <c r="R3389" s="7" t="n"/>
      <c r="U3389">
        <f>IF($C3389="","",IF($AJ3389=1,0,IF($AI3389=1,Settings!$C$6,Settings!$C$7))*100)</f>
        <v/>
      </c>
      <c r="V3389" s="7">
        <f>IF($C3389="","",R3389*U3389/100)</f>
        <v/>
      </c>
      <c r="W3389" s="7">
        <f>IF($C3389="","",R3389-V3389)</f>
        <v/>
      </c>
      <c r="X3389" s="7">
        <f>IF($C3389="","",W3389-K3389)</f>
        <v/>
      </c>
      <c r="AB3389" s="7" t="n"/>
      <c r="AE3389" s="11" t="n"/>
      <c r="AG3389">
        <f>IF($C3389="","",IF(COUNTIF($C$2:$C3389,$C3389)=1,1,0))</f>
        <v/>
      </c>
      <c r="AH3389">
        <f>IF($AG3389=1,SUMPRODUCT(--($AK$2:$AK$6001&lt;$AK3389))+1,"")</f>
        <v/>
      </c>
      <c r="AI3389">
        <f>IF($C3389="","",IF(OR($N3389=TRUE(),$N3389="TRUE"),1,0))</f>
        <v/>
      </c>
      <c r="AJ3389">
        <f>IF($C3389="","",IF($T3389="Yes",1,0))</f>
        <v/>
      </c>
      <c r="AK3389">
        <f>IF($AG3389=1,IFERROR(IF(VALUE($C3389)&lt;100000000,VALUE($C3389),1000000000),IFERROR(IF(VALUE(MID($C3389,2,20))&lt;100000000,VALUE(MID($C3389,2,20)),1000000000),1000000000))+ROW()/100000,"")</f>
        <v/>
      </c>
    </row>
    <row r="3390">
      <c r="D3390" s="11" t="n"/>
      <c r="K3390" s="7">
        <f>IF($C3390="","",J3390*W3390/100)</f>
        <v/>
      </c>
      <c r="Q3390" s="7" t="n"/>
      <c r="R3390" s="7" t="n"/>
      <c r="U3390">
        <f>IF($C3390="","",IF($AJ3390=1,0,IF($AI3390=1,Settings!$C$6,Settings!$C$7))*100)</f>
        <v/>
      </c>
      <c r="V3390" s="7">
        <f>IF($C3390="","",R3390*U3390/100)</f>
        <v/>
      </c>
      <c r="W3390" s="7">
        <f>IF($C3390="","",R3390-V3390)</f>
        <v/>
      </c>
      <c r="X3390" s="7">
        <f>IF($C3390="","",W3390-K3390)</f>
        <v/>
      </c>
      <c r="AB3390" s="7" t="n"/>
      <c r="AE3390" s="11" t="n"/>
      <c r="AG3390">
        <f>IF($C3390="","",IF(COUNTIF($C$2:$C3390,$C3390)=1,1,0))</f>
        <v/>
      </c>
      <c r="AH3390">
        <f>IF($AG3390=1,SUMPRODUCT(--($AK$2:$AK$6001&lt;$AK3390))+1,"")</f>
        <v/>
      </c>
      <c r="AI3390">
        <f>IF($C3390="","",IF(OR($N3390=TRUE(),$N3390="TRUE"),1,0))</f>
        <v/>
      </c>
      <c r="AJ3390">
        <f>IF($C3390="","",IF($T3390="Yes",1,0))</f>
        <v/>
      </c>
      <c r="AK3390">
        <f>IF($AG3390=1,IFERROR(IF(VALUE($C3390)&lt;100000000,VALUE($C3390),1000000000),IFERROR(IF(VALUE(MID($C3390,2,20))&lt;100000000,VALUE(MID($C3390,2,20)),1000000000),1000000000))+ROW()/100000,"")</f>
        <v/>
      </c>
    </row>
    <row r="3391">
      <c r="D3391" s="11" t="n"/>
      <c r="K3391" s="7">
        <f>IF($C3391="","",J3391*W3391/100)</f>
        <v/>
      </c>
      <c r="Q3391" s="7" t="n"/>
      <c r="R3391" s="7" t="n"/>
      <c r="U3391">
        <f>IF($C3391="","",IF($AJ3391=1,0,IF($AI3391=1,Settings!$C$6,Settings!$C$7))*100)</f>
        <v/>
      </c>
      <c r="V3391" s="7">
        <f>IF($C3391="","",R3391*U3391/100)</f>
        <v/>
      </c>
      <c r="W3391" s="7">
        <f>IF($C3391="","",R3391-V3391)</f>
        <v/>
      </c>
      <c r="X3391" s="7">
        <f>IF($C3391="","",W3391-K3391)</f>
        <v/>
      </c>
      <c r="AB3391" s="7" t="n"/>
      <c r="AE3391" s="11" t="n"/>
      <c r="AG3391">
        <f>IF($C3391="","",IF(COUNTIF($C$2:$C3391,$C3391)=1,1,0))</f>
        <v/>
      </c>
      <c r="AH3391">
        <f>IF($AG3391=1,SUMPRODUCT(--($AK$2:$AK$6001&lt;$AK3391))+1,"")</f>
        <v/>
      </c>
      <c r="AI3391">
        <f>IF($C3391="","",IF(OR($N3391=TRUE(),$N3391="TRUE"),1,0))</f>
        <v/>
      </c>
      <c r="AJ3391">
        <f>IF($C3391="","",IF($T3391="Yes",1,0))</f>
        <v/>
      </c>
      <c r="AK3391">
        <f>IF($AG3391=1,IFERROR(IF(VALUE($C3391)&lt;100000000,VALUE($C3391),1000000000),IFERROR(IF(VALUE(MID($C3391,2,20))&lt;100000000,VALUE(MID($C3391,2,20)),1000000000),1000000000))+ROW()/100000,"")</f>
        <v/>
      </c>
    </row>
    <row r="3392">
      <c r="D3392" s="11" t="n"/>
      <c r="K3392" s="7">
        <f>IF($C3392="","",J3392*W3392/100)</f>
        <v/>
      </c>
      <c r="Q3392" s="7" t="n"/>
      <c r="R3392" s="7" t="n"/>
      <c r="U3392">
        <f>IF($C3392="","",IF($AJ3392=1,0,IF($AI3392=1,Settings!$C$6,Settings!$C$7))*100)</f>
        <v/>
      </c>
      <c r="V3392" s="7">
        <f>IF($C3392="","",R3392*U3392/100)</f>
        <v/>
      </c>
      <c r="W3392" s="7">
        <f>IF($C3392="","",R3392-V3392)</f>
        <v/>
      </c>
      <c r="X3392" s="7">
        <f>IF($C3392="","",W3392-K3392)</f>
        <v/>
      </c>
      <c r="AB3392" s="7" t="n"/>
      <c r="AE3392" s="11" t="n"/>
      <c r="AG3392">
        <f>IF($C3392="","",IF(COUNTIF($C$2:$C3392,$C3392)=1,1,0))</f>
        <v/>
      </c>
      <c r="AH3392">
        <f>IF($AG3392=1,SUMPRODUCT(--($AK$2:$AK$6001&lt;$AK3392))+1,"")</f>
        <v/>
      </c>
      <c r="AI3392">
        <f>IF($C3392="","",IF(OR($N3392=TRUE(),$N3392="TRUE"),1,0))</f>
        <v/>
      </c>
      <c r="AJ3392">
        <f>IF($C3392="","",IF($T3392="Yes",1,0))</f>
        <v/>
      </c>
      <c r="AK3392">
        <f>IF($AG3392=1,IFERROR(IF(VALUE($C3392)&lt;100000000,VALUE($C3392),1000000000),IFERROR(IF(VALUE(MID($C3392,2,20))&lt;100000000,VALUE(MID($C3392,2,20)),1000000000),1000000000))+ROW()/100000,"")</f>
        <v/>
      </c>
    </row>
    <row r="3393">
      <c r="D3393" s="11" t="n"/>
      <c r="K3393" s="7">
        <f>IF($C3393="","",J3393*W3393/100)</f>
        <v/>
      </c>
      <c r="Q3393" s="7" t="n"/>
      <c r="R3393" s="7" t="n"/>
      <c r="U3393">
        <f>IF($C3393="","",IF($AJ3393=1,0,IF($AI3393=1,Settings!$C$6,Settings!$C$7))*100)</f>
        <v/>
      </c>
      <c r="V3393" s="7">
        <f>IF($C3393="","",R3393*U3393/100)</f>
        <v/>
      </c>
      <c r="W3393" s="7">
        <f>IF($C3393="","",R3393-V3393)</f>
        <v/>
      </c>
      <c r="X3393" s="7">
        <f>IF($C3393="","",W3393-K3393)</f>
        <v/>
      </c>
      <c r="AB3393" s="7" t="n"/>
      <c r="AE3393" s="11" t="n"/>
      <c r="AG3393">
        <f>IF($C3393="","",IF(COUNTIF($C$2:$C3393,$C3393)=1,1,0))</f>
        <v/>
      </c>
      <c r="AH3393">
        <f>IF($AG3393=1,SUMPRODUCT(--($AK$2:$AK$6001&lt;$AK3393))+1,"")</f>
        <v/>
      </c>
      <c r="AI3393">
        <f>IF($C3393="","",IF(OR($N3393=TRUE(),$N3393="TRUE"),1,0))</f>
        <v/>
      </c>
      <c r="AJ3393">
        <f>IF($C3393="","",IF($T3393="Yes",1,0))</f>
        <v/>
      </c>
      <c r="AK3393">
        <f>IF($AG3393=1,IFERROR(IF(VALUE($C3393)&lt;100000000,VALUE($C3393),1000000000),IFERROR(IF(VALUE(MID($C3393,2,20))&lt;100000000,VALUE(MID($C3393,2,20)),1000000000),1000000000))+ROW()/100000,"")</f>
        <v/>
      </c>
    </row>
    <row r="3394">
      <c r="D3394" s="11" t="n"/>
      <c r="K3394" s="7">
        <f>IF($C3394="","",J3394*W3394/100)</f>
        <v/>
      </c>
      <c r="Q3394" s="7" t="n"/>
      <c r="R3394" s="7" t="n"/>
      <c r="U3394">
        <f>IF($C3394="","",IF($AJ3394=1,0,IF($AI3394=1,Settings!$C$6,Settings!$C$7))*100)</f>
        <v/>
      </c>
      <c r="V3394" s="7">
        <f>IF($C3394="","",R3394*U3394/100)</f>
        <v/>
      </c>
      <c r="W3394" s="7">
        <f>IF($C3394="","",R3394-V3394)</f>
        <v/>
      </c>
      <c r="X3394" s="7">
        <f>IF($C3394="","",W3394-K3394)</f>
        <v/>
      </c>
      <c r="AB3394" s="7" t="n"/>
      <c r="AE3394" s="11" t="n"/>
      <c r="AG3394">
        <f>IF($C3394="","",IF(COUNTIF($C$2:$C3394,$C3394)=1,1,0))</f>
        <v/>
      </c>
      <c r="AH3394">
        <f>IF($AG3394=1,SUMPRODUCT(--($AK$2:$AK$6001&lt;$AK3394))+1,"")</f>
        <v/>
      </c>
      <c r="AI3394">
        <f>IF($C3394="","",IF(OR($N3394=TRUE(),$N3394="TRUE"),1,0))</f>
        <v/>
      </c>
      <c r="AJ3394">
        <f>IF($C3394="","",IF($T3394="Yes",1,0))</f>
        <v/>
      </c>
      <c r="AK3394">
        <f>IF($AG3394=1,IFERROR(IF(VALUE($C3394)&lt;100000000,VALUE($C3394),1000000000),IFERROR(IF(VALUE(MID($C3394,2,20))&lt;100000000,VALUE(MID($C3394,2,20)),1000000000),1000000000))+ROW()/100000,"")</f>
        <v/>
      </c>
    </row>
    <row r="3395">
      <c r="D3395" s="11" t="n"/>
      <c r="K3395" s="7">
        <f>IF($C3395="","",J3395*W3395/100)</f>
        <v/>
      </c>
      <c r="Q3395" s="7" t="n"/>
      <c r="R3395" s="7" t="n"/>
      <c r="U3395">
        <f>IF($C3395="","",IF($AJ3395=1,0,IF($AI3395=1,Settings!$C$6,Settings!$C$7))*100)</f>
        <v/>
      </c>
      <c r="V3395" s="7">
        <f>IF($C3395="","",R3395*U3395/100)</f>
        <v/>
      </c>
      <c r="W3395" s="7">
        <f>IF($C3395="","",R3395-V3395)</f>
        <v/>
      </c>
      <c r="X3395" s="7">
        <f>IF($C3395="","",W3395-K3395)</f>
        <v/>
      </c>
      <c r="AB3395" s="7" t="n"/>
      <c r="AE3395" s="11" t="n"/>
      <c r="AG3395">
        <f>IF($C3395="","",IF(COUNTIF($C$2:$C3395,$C3395)=1,1,0))</f>
        <v/>
      </c>
      <c r="AH3395">
        <f>IF($AG3395=1,SUMPRODUCT(--($AK$2:$AK$6001&lt;$AK3395))+1,"")</f>
        <v/>
      </c>
      <c r="AI3395">
        <f>IF($C3395="","",IF(OR($N3395=TRUE(),$N3395="TRUE"),1,0))</f>
        <v/>
      </c>
      <c r="AJ3395">
        <f>IF($C3395="","",IF($T3395="Yes",1,0))</f>
        <v/>
      </c>
      <c r="AK3395">
        <f>IF($AG3395=1,IFERROR(IF(VALUE($C3395)&lt;100000000,VALUE($C3395),1000000000),IFERROR(IF(VALUE(MID($C3395,2,20))&lt;100000000,VALUE(MID($C3395,2,20)),1000000000),1000000000))+ROW()/100000,"")</f>
        <v/>
      </c>
    </row>
    <row r="3396">
      <c r="D3396" s="11" t="n"/>
      <c r="K3396" s="7">
        <f>IF($C3396="","",J3396*W3396/100)</f>
        <v/>
      </c>
      <c r="Q3396" s="7" t="n"/>
      <c r="R3396" s="7" t="n"/>
      <c r="U3396">
        <f>IF($C3396="","",IF($AJ3396=1,0,IF($AI3396=1,Settings!$C$6,Settings!$C$7))*100)</f>
        <v/>
      </c>
      <c r="V3396" s="7">
        <f>IF($C3396="","",R3396*U3396/100)</f>
        <v/>
      </c>
      <c r="W3396" s="7">
        <f>IF($C3396="","",R3396-V3396)</f>
        <v/>
      </c>
      <c r="X3396" s="7">
        <f>IF($C3396="","",W3396-K3396)</f>
        <v/>
      </c>
      <c r="AB3396" s="7" t="n"/>
      <c r="AE3396" s="11" t="n"/>
      <c r="AG3396">
        <f>IF($C3396="","",IF(COUNTIF($C$2:$C3396,$C3396)=1,1,0))</f>
        <v/>
      </c>
      <c r="AH3396">
        <f>IF($AG3396=1,SUMPRODUCT(--($AK$2:$AK$6001&lt;$AK3396))+1,"")</f>
        <v/>
      </c>
      <c r="AI3396">
        <f>IF($C3396="","",IF(OR($N3396=TRUE(),$N3396="TRUE"),1,0))</f>
        <v/>
      </c>
      <c r="AJ3396">
        <f>IF($C3396="","",IF($T3396="Yes",1,0))</f>
        <v/>
      </c>
      <c r="AK3396">
        <f>IF($AG3396=1,IFERROR(IF(VALUE($C3396)&lt;100000000,VALUE($C3396),1000000000),IFERROR(IF(VALUE(MID($C3396,2,20))&lt;100000000,VALUE(MID($C3396,2,20)),1000000000),1000000000))+ROW()/100000,"")</f>
        <v/>
      </c>
    </row>
    <row r="3397">
      <c r="D3397" s="11" t="n"/>
      <c r="K3397" s="7">
        <f>IF($C3397="","",J3397*W3397/100)</f>
        <v/>
      </c>
      <c r="Q3397" s="7" t="n"/>
      <c r="R3397" s="7" t="n"/>
      <c r="U3397">
        <f>IF($C3397="","",IF($AJ3397=1,0,IF($AI3397=1,Settings!$C$6,Settings!$C$7))*100)</f>
        <v/>
      </c>
      <c r="V3397" s="7">
        <f>IF($C3397="","",R3397*U3397/100)</f>
        <v/>
      </c>
      <c r="W3397" s="7">
        <f>IF($C3397="","",R3397-V3397)</f>
        <v/>
      </c>
      <c r="X3397" s="7">
        <f>IF($C3397="","",W3397-K3397)</f>
        <v/>
      </c>
      <c r="AB3397" s="7" t="n"/>
      <c r="AE3397" s="11" t="n"/>
      <c r="AG3397">
        <f>IF($C3397="","",IF(COUNTIF($C$2:$C3397,$C3397)=1,1,0))</f>
        <v/>
      </c>
      <c r="AH3397">
        <f>IF($AG3397=1,SUMPRODUCT(--($AK$2:$AK$6001&lt;$AK3397))+1,"")</f>
        <v/>
      </c>
      <c r="AI3397">
        <f>IF($C3397="","",IF(OR($N3397=TRUE(),$N3397="TRUE"),1,0))</f>
        <v/>
      </c>
      <c r="AJ3397">
        <f>IF($C3397="","",IF($T3397="Yes",1,0))</f>
        <v/>
      </c>
      <c r="AK3397">
        <f>IF($AG3397=1,IFERROR(IF(VALUE($C3397)&lt;100000000,VALUE($C3397),1000000000),IFERROR(IF(VALUE(MID($C3397,2,20))&lt;100000000,VALUE(MID($C3397,2,20)),1000000000),1000000000))+ROW()/100000,"")</f>
        <v/>
      </c>
    </row>
    <row r="3398">
      <c r="D3398" s="11" t="n"/>
      <c r="K3398" s="7">
        <f>IF($C3398="","",J3398*W3398/100)</f>
        <v/>
      </c>
      <c r="Q3398" s="7" t="n"/>
      <c r="R3398" s="7" t="n"/>
      <c r="U3398">
        <f>IF($C3398="","",IF($AJ3398=1,0,IF($AI3398=1,Settings!$C$6,Settings!$C$7))*100)</f>
        <v/>
      </c>
      <c r="V3398" s="7">
        <f>IF($C3398="","",R3398*U3398/100)</f>
        <v/>
      </c>
      <c r="W3398" s="7">
        <f>IF($C3398="","",R3398-V3398)</f>
        <v/>
      </c>
      <c r="X3398" s="7">
        <f>IF($C3398="","",W3398-K3398)</f>
        <v/>
      </c>
      <c r="AB3398" s="7" t="n"/>
      <c r="AE3398" s="11" t="n"/>
      <c r="AG3398">
        <f>IF($C3398="","",IF(COUNTIF($C$2:$C3398,$C3398)=1,1,0))</f>
        <v/>
      </c>
      <c r="AH3398">
        <f>IF($AG3398=1,SUMPRODUCT(--($AK$2:$AK$6001&lt;$AK3398))+1,"")</f>
        <v/>
      </c>
      <c r="AI3398">
        <f>IF($C3398="","",IF(OR($N3398=TRUE(),$N3398="TRUE"),1,0))</f>
        <v/>
      </c>
      <c r="AJ3398">
        <f>IF($C3398="","",IF($T3398="Yes",1,0))</f>
        <v/>
      </c>
      <c r="AK3398">
        <f>IF($AG3398=1,IFERROR(IF(VALUE($C3398)&lt;100000000,VALUE($C3398),1000000000),IFERROR(IF(VALUE(MID($C3398,2,20))&lt;100000000,VALUE(MID($C3398,2,20)),1000000000),1000000000))+ROW()/100000,"")</f>
        <v/>
      </c>
    </row>
    <row r="3399">
      <c r="D3399" s="11" t="n"/>
      <c r="K3399" s="7">
        <f>IF($C3399="","",J3399*W3399/100)</f>
        <v/>
      </c>
      <c r="Q3399" s="7" t="n"/>
      <c r="R3399" s="7" t="n"/>
      <c r="U3399">
        <f>IF($C3399="","",IF($AJ3399=1,0,IF($AI3399=1,Settings!$C$6,Settings!$C$7))*100)</f>
        <v/>
      </c>
      <c r="V3399" s="7">
        <f>IF($C3399="","",R3399*U3399/100)</f>
        <v/>
      </c>
      <c r="W3399" s="7">
        <f>IF($C3399="","",R3399-V3399)</f>
        <v/>
      </c>
      <c r="X3399" s="7">
        <f>IF($C3399="","",W3399-K3399)</f>
        <v/>
      </c>
      <c r="AB3399" s="7" t="n"/>
      <c r="AE3399" s="11" t="n"/>
      <c r="AG3399">
        <f>IF($C3399="","",IF(COUNTIF($C$2:$C3399,$C3399)=1,1,0))</f>
        <v/>
      </c>
      <c r="AH3399">
        <f>IF($AG3399=1,SUMPRODUCT(--($AK$2:$AK$6001&lt;$AK3399))+1,"")</f>
        <v/>
      </c>
      <c r="AI3399">
        <f>IF($C3399="","",IF(OR($N3399=TRUE(),$N3399="TRUE"),1,0))</f>
        <v/>
      </c>
      <c r="AJ3399">
        <f>IF($C3399="","",IF($T3399="Yes",1,0))</f>
        <v/>
      </c>
      <c r="AK3399">
        <f>IF($AG3399=1,IFERROR(IF(VALUE($C3399)&lt;100000000,VALUE($C3399),1000000000),IFERROR(IF(VALUE(MID($C3399,2,20))&lt;100000000,VALUE(MID($C3399,2,20)),1000000000),1000000000))+ROW()/100000,"")</f>
        <v/>
      </c>
    </row>
    <row r="3400">
      <c r="D3400" s="11" t="n"/>
      <c r="K3400" s="7">
        <f>IF($C3400="","",J3400*W3400/100)</f>
        <v/>
      </c>
      <c r="Q3400" s="7" t="n"/>
      <c r="R3400" s="7" t="n"/>
      <c r="U3400">
        <f>IF($C3400="","",IF($AJ3400=1,0,IF($AI3400=1,Settings!$C$6,Settings!$C$7))*100)</f>
        <v/>
      </c>
      <c r="V3400" s="7">
        <f>IF($C3400="","",R3400*U3400/100)</f>
        <v/>
      </c>
      <c r="W3400" s="7">
        <f>IF($C3400="","",R3400-V3400)</f>
        <v/>
      </c>
      <c r="X3400" s="7">
        <f>IF($C3400="","",W3400-K3400)</f>
        <v/>
      </c>
      <c r="AB3400" s="7" t="n"/>
      <c r="AE3400" s="11" t="n"/>
      <c r="AG3400">
        <f>IF($C3400="","",IF(COUNTIF($C$2:$C3400,$C3400)=1,1,0))</f>
        <v/>
      </c>
      <c r="AH3400">
        <f>IF($AG3400=1,SUMPRODUCT(--($AK$2:$AK$6001&lt;$AK3400))+1,"")</f>
        <v/>
      </c>
      <c r="AI3400">
        <f>IF($C3400="","",IF(OR($N3400=TRUE(),$N3400="TRUE"),1,0))</f>
        <v/>
      </c>
      <c r="AJ3400">
        <f>IF($C3400="","",IF($T3400="Yes",1,0))</f>
        <v/>
      </c>
      <c r="AK3400">
        <f>IF($AG3400=1,IFERROR(IF(VALUE($C3400)&lt;100000000,VALUE($C3400),1000000000),IFERROR(IF(VALUE(MID($C3400,2,20))&lt;100000000,VALUE(MID($C3400,2,20)),1000000000),1000000000))+ROW()/100000,"")</f>
        <v/>
      </c>
    </row>
    <row r="3401">
      <c r="D3401" s="11" t="n"/>
      <c r="K3401" s="7">
        <f>IF($C3401="","",J3401*W3401/100)</f>
        <v/>
      </c>
      <c r="Q3401" s="7" t="n"/>
      <c r="R3401" s="7" t="n"/>
      <c r="U3401">
        <f>IF($C3401="","",IF($AJ3401=1,0,IF($AI3401=1,Settings!$C$6,Settings!$C$7))*100)</f>
        <v/>
      </c>
      <c r="V3401" s="7">
        <f>IF($C3401="","",R3401*U3401/100)</f>
        <v/>
      </c>
      <c r="W3401" s="7">
        <f>IF($C3401="","",R3401-V3401)</f>
        <v/>
      </c>
      <c r="X3401" s="7">
        <f>IF($C3401="","",W3401-K3401)</f>
        <v/>
      </c>
      <c r="AB3401" s="7" t="n"/>
      <c r="AE3401" s="11" t="n"/>
      <c r="AG3401">
        <f>IF($C3401="","",IF(COUNTIF($C$2:$C3401,$C3401)=1,1,0))</f>
        <v/>
      </c>
      <c r="AH3401">
        <f>IF($AG3401=1,SUMPRODUCT(--($AK$2:$AK$6001&lt;$AK3401))+1,"")</f>
        <v/>
      </c>
      <c r="AI3401">
        <f>IF($C3401="","",IF(OR($N3401=TRUE(),$N3401="TRUE"),1,0))</f>
        <v/>
      </c>
      <c r="AJ3401">
        <f>IF($C3401="","",IF($T3401="Yes",1,0))</f>
        <v/>
      </c>
      <c r="AK3401">
        <f>IF($AG3401=1,IFERROR(IF(VALUE($C3401)&lt;100000000,VALUE($C3401),1000000000),IFERROR(IF(VALUE(MID($C3401,2,20))&lt;100000000,VALUE(MID($C3401,2,20)),1000000000),1000000000))+ROW()/100000,"")</f>
        <v/>
      </c>
    </row>
    <row r="3402">
      <c r="D3402" s="11" t="n"/>
      <c r="K3402" s="7">
        <f>IF($C3402="","",J3402*W3402/100)</f>
        <v/>
      </c>
      <c r="Q3402" s="7" t="n"/>
      <c r="R3402" s="7" t="n"/>
      <c r="U3402">
        <f>IF($C3402="","",IF($AJ3402=1,0,IF($AI3402=1,Settings!$C$6,Settings!$C$7))*100)</f>
        <v/>
      </c>
      <c r="V3402" s="7">
        <f>IF($C3402="","",R3402*U3402/100)</f>
        <v/>
      </c>
      <c r="W3402" s="7">
        <f>IF($C3402="","",R3402-V3402)</f>
        <v/>
      </c>
      <c r="X3402" s="7">
        <f>IF($C3402="","",W3402-K3402)</f>
        <v/>
      </c>
      <c r="AB3402" s="7" t="n"/>
      <c r="AE3402" s="11" t="n"/>
      <c r="AG3402">
        <f>IF($C3402="","",IF(COUNTIF($C$2:$C3402,$C3402)=1,1,0))</f>
        <v/>
      </c>
      <c r="AH3402">
        <f>IF($AG3402=1,SUMPRODUCT(--($AK$2:$AK$6001&lt;$AK3402))+1,"")</f>
        <v/>
      </c>
      <c r="AI3402">
        <f>IF($C3402="","",IF(OR($N3402=TRUE(),$N3402="TRUE"),1,0))</f>
        <v/>
      </c>
      <c r="AJ3402">
        <f>IF($C3402="","",IF($T3402="Yes",1,0))</f>
        <v/>
      </c>
      <c r="AK3402">
        <f>IF($AG3402=1,IFERROR(IF(VALUE($C3402)&lt;100000000,VALUE($C3402),1000000000),IFERROR(IF(VALUE(MID($C3402,2,20))&lt;100000000,VALUE(MID($C3402,2,20)),1000000000),1000000000))+ROW()/100000,"")</f>
        <v/>
      </c>
    </row>
    <row r="3403">
      <c r="D3403" s="11" t="n"/>
      <c r="K3403" s="7">
        <f>IF($C3403="","",J3403*W3403/100)</f>
        <v/>
      </c>
      <c r="Q3403" s="7" t="n"/>
      <c r="R3403" s="7" t="n"/>
      <c r="U3403">
        <f>IF($C3403="","",IF($AJ3403=1,0,IF($AI3403=1,Settings!$C$6,Settings!$C$7))*100)</f>
        <v/>
      </c>
      <c r="V3403" s="7">
        <f>IF($C3403="","",R3403*U3403/100)</f>
        <v/>
      </c>
      <c r="W3403" s="7">
        <f>IF($C3403="","",R3403-V3403)</f>
        <v/>
      </c>
      <c r="X3403" s="7">
        <f>IF($C3403="","",W3403-K3403)</f>
        <v/>
      </c>
      <c r="AB3403" s="7" t="n"/>
      <c r="AE3403" s="11" t="n"/>
      <c r="AG3403">
        <f>IF($C3403="","",IF(COUNTIF($C$2:$C3403,$C3403)=1,1,0))</f>
        <v/>
      </c>
      <c r="AH3403">
        <f>IF($AG3403=1,SUMPRODUCT(--($AK$2:$AK$6001&lt;$AK3403))+1,"")</f>
        <v/>
      </c>
      <c r="AI3403">
        <f>IF($C3403="","",IF(OR($N3403=TRUE(),$N3403="TRUE"),1,0))</f>
        <v/>
      </c>
      <c r="AJ3403">
        <f>IF($C3403="","",IF($T3403="Yes",1,0))</f>
        <v/>
      </c>
      <c r="AK3403">
        <f>IF($AG3403=1,IFERROR(IF(VALUE($C3403)&lt;100000000,VALUE($C3403),1000000000),IFERROR(IF(VALUE(MID($C3403,2,20))&lt;100000000,VALUE(MID($C3403,2,20)),1000000000),1000000000))+ROW()/100000,"")</f>
        <v/>
      </c>
    </row>
    <row r="3404">
      <c r="D3404" s="11" t="n"/>
      <c r="K3404" s="7">
        <f>IF($C3404="","",J3404*W3404/100)</f>
        <v/>
      </c>
      <c r="Q3404" s="7" t="n"/>
      <c r="R3404" s="7" t="n"/>
      <c r="U3404">
        <f>IF($C3404="","",IF($AJ3404=1,0,IF($AI3404=1,Settings!$C$6,Settings!$C$7))*100)</f>
        <v/>
      </c>
      <c r="V3404" s="7">
        <f>IF($C3404="","",R3404*U3404/100)</f>
        <v/>
      </c>
      <c r="W3404" s="7">
        <f>IF($C3404="","",R3404-V3404)</f>
        <v/>
      </c>
      <c r="X3404" s="7">
        <f>IF($C3404="","",W3404-K3404)</f>
        <v/>
      </c>
      <c r="AB3404" s="7" t="n"/>
      <c r="AE3404" s="11" t="n"/>
      <c r="AG3404">
        <f>IF($C3404="","",IF(COUNTIF($C$2:$C3404,$C3404)=1,1,0))</f>
        <v/>
      </c>
      <c r="AH3404">
        <f>IF($AG3404=1,SUMPRODUCT(--($AK$2:$AK$6001&lt;$AK3404))+1,"")</f>
        <v/>
      </c>
      <c r="AI3404">
        <f>IF($C3404="","",IF(OR($N3404=TRUE(),$N3404="TRUE"),1,0))</f>
        <v/>
      </c>
      <c r="AJ3404">
        <f>IF($C3404="","",IF($T3404="Yes",1,0))</f>
        <v/>
      </c>
      <c r="AK3404">
        <f>IF($AG3404=1,IFERROR(IF(VALUE($C3404)&lt;100000000,VALUE($C3404),1000000000),IFERROR(IF(VALUE(MID($C3404,2,20))&lt;100000000,VALUE(MID($C3404,2,20)),1000000000),1000000000))+ROW()/100000,"")</f>
        <v/>
      </c>
    </row>
    <row r="3405">
      <c r="D3405" s="11" t="n"/>
      <c r="K3405" s="7">
        <f>IF($C3405="","",J3405*W3405/100)</f>
        <v/>
      </c>
      <c r="Q3405" s="7" t="n"/>
      <c r="R3405" s="7" t="n"/>
      <c r="U3405">
        <f>IF($C3405="","",IF($AJ3405=1,0,IF($AI3405=1,Settings!$C$6,Settings!$C$7))*100)</f>
        <v/>
      </c>
      <c r="V3405" s="7">
        <f>IF($C3405="","",R3405*U3405/100)</f>
        <v/>
      </c>
      <c r="W3405" s="7">
        <f>IF($C3405="","",R3405-V3405)</f>
        <v/>
      </c>
      <c r="X3405" s="7">
        <f>IF($C3405="","",W3405-K3405)</f>
        <v/>
      </c>
      <c r="AB3405" s="7" t="n"/>
      <c r="AE3405" s="11" t="n"/>
      <c r="AG3405">
        <f>IF($C3405="","",IF(COUNTIF($C$2:$C3405,$C3405)=1,1,0))</f>
        <v/>
      </c>
      <c r="AH3405">
        <f>IF($AG3405=1,SUMPRODUCT(--($AK$2:$AK$6001&lt;$AK3405))+1,"")</f>
        <v/>
      </c>
      <c r="AI3405">
        <f>IF($C3405="","",IF(OR($N3405=TRUE(),$N3405="TRUE"),1,0))</f>
        <v/>
      </c>
      <c r="AJ3405">
        <f>IF($C3405="","",IF($T3405="Yes",1,0))</f>
        <v/>
      </c>
      <c r="AK3405">
        <f>IF($AG3405=1,IFERROR(IF(VALUE($C3405)&lt;100000000,VALUE($C3405),1000000000),IFERROR(IF(VALUE(MID($C3405,2,20))&lt;100000000,VALUE(MID($C3405,2,20)),1000000000),1000000000))+ROW()/100000,"")</f>
        <v/>
      </c>
    </row>
    <row r="3406">
      <c r="D3406" s="11" t="n"/>
      <c r="K3406" s="7">
        <f>IF($C3406="","",J3406*W3406/100)</f>
        <v/>
      </c>
      <c r="Q3406" s="7" t="n"/>
      <c r="R3406" s="7" t="n"/>
      <c r="U3406">
        <f>IF($C3406="","",IF($AJ3406=1,0,IF($AI3406=1,Settings!$C$6,Settings!$C$7))*100)</f>
        <v/>
      </c>
      <c r="V3406" s="7">
        <f>IF($C3406="","",R3406*U3406/100)</f>
        <v/>
      </c>
      <c r="W3406" s="7">
        <f>IF($C3406="","",R3406-V3406)</f>
        <v/>
      </c>
      <c r="X3406" s="7">
        <f>IF($C3406="","",W3406-K3406)</f>
        <v/>
      </c>
      <c r="AB3406" s="7" t="n"/>
      <c r="AE3406" s="11" t="n"/>
      <c r="AG3406">
        <f>IF($C3406="","",IF(COUNTIF($C$2:$C3406,$C3406)=1,1,0))</f>
        <v/>
      </c>
      <c r="AH3406">
        <f>IF($AG3406=1,SUMPRODUCT(--($AK$2:$AK$6001&lt;$AK3406))+1,"")</f>
        <v/>
      </c>
      <c r="AI3406">
        <f>IF($C3406="","",IF(OR($N3406=TRUE(),$N3406="TRUE"),1,0))</f>
        <v/>
      </c>
      <c r="AJ3406">
        <f>IF($C3406="","",IF($T3406="Yes",1,0))</f>
        <v/>
      </c>
      <c r="AK3406">
        <f>IF($AG3406=1,IFERROR(IF(VALUE($C3406)&lt;100000000,VALUE($C3406),1000000000),IFERROR(IF(VALUE(MID($C3406,2,20))&lt;100000000,VALUE(MID($C3406,2,20)),1000000000),1000000000))+ROW()/100000,"")</f>
        <v/>
      </c>
    </row>
    <row r="3407">
      <c r="D3407" s="11" t="n"/>
      <c r="K3407" s="7">
        <f>IF($C3407="","",J3407*W3407/100)</f>
        <v/>
      </c>
      <c r="Q3407" s="7" t="n"/>
      <c r="R3407" s="7" t="n"/>
      <c r="U3407">
        <f>IF($C3407="","",IF($AJ3407=1,0,IF($AI3407=1,Settings!$C$6,Settings!$C$7))*100)</f>
        <v/>
      </c>
      <c r="V3407" s="7">
        <f>IF($C3407="","",R3407*U3407/100)</f>
        <v/>
      </c>
      <c r="W3407" s="7">
        <f>IF($C3407="","",R3407-V3407)</f>
        <v/>
      </c>
      <c r="X3407" s="7">
        <f>IF($C3407="","",W3407-K3407)</f>
        <v/>
      </c>
      <c r="AB3407" s="7" t="n"/>
      <c r="AE3407" s="11" t="n"/>
      <c r="AG3407">
        <f>IF($C3407="","",IF(COUNTIF($C$2:$C3407,$C3407)=1,1,0))</f>
        <v/>
      </c>
      <c r="AH3407">
        <f>IF($AG3407=1,SUMPRODUCT(--($AK$2:$AK$6001&lt;$AK3407))+1,"")</f>
        <v/>
      </c>
      <c r="AI3407">
        <f>IF($C3407="","",IF(OR($N3407=TRUE(),$N3407="TRUE"),1,0))</f>
        <v/>
      </c>
      <c r="AJ3407">
        <f>IF($C3407="","",IF($T3407="Yes",1,0))</f>
        <v/>
      </c>
      <c r="AK3407">
        <f>IF($AG3407=1,IFERROR(IF(VALUE($C3407)&lt;100000000,VALUE($C3407),1000000000),IFERROR(IF(VALUE(MID($C3407,2,20))&lt;100000000,VALUE(MID($C3407,2,20)),1000000000),1000000000))+ROW()/100000,"")</f>
        <v/>
      </c>
    </row>
    <row r="3408">
      <c r="D3408" s="11" t="n"/>
      <c r="K3408" s="7">
        <f>IF($C3408="","",J3408*W3408/100)</f>
        <v/>
      </c>
      <c r="Q3408" s="7" t="n"/>
      <c r="R3408" s="7" t="n"/>
      <c r="U3408">
        <f>IF($C3408="","",IF($AJ3408=1,0,IF($AI3408=1,Settings!$C$6,Settings!$C$7))*100)</f>
        <v/>
      </c>
      <c r="V3408" s="7">
        <f>IF($C3408="","",R3408*U3408/100)</f>
        <v/>
      </c>
      <c r="W3408" s="7">
        <f>IF($C3408="","",R3408-V3408)</f>
        <v/>
      </c>
      <c r="X3408" s="7">
        <f>IF($C3408="","",W3408-K3408)</f>
        <v/>
      </c>
      <c r="AB3408" s="7" t="n"/>
      <c r="AE3408" s="11" t="n"/>
      <c r="AG3408">
        <f>IF($C3408="","",IF(COUNTIF($C$2:$C3408,$C3408)=1,1,0))</f>
        <v/>
      </c>
      <c r="AH3408">
        <f>IF($AG3408=1,SUMPRODUCT(--($AK$2:$AK$6001&lt;$AK3408))+1,"")</f>
        <v/>
      </c>
      <c r="AI3408">
        <f>IF($C3408="","",IF(OR($N3408=TRUE(),$N3408="TRUE"),1,0))</f>
        <v/>
      </c>
      <c r="AJ3408">
        <f>IF($C3408="","",IF($T3408="Yes",1,0))</f>
        <v/>
      </c>
      <c r="AK3408">
        <f>IF($AG3408=1,IFERROR(IF(VALUE($C3408)&lt;100000000,VALUE($C3408),1000000000),IFERROR(IF(VALUE(MID($C3408,2,20))&lt;100000000,VALUE(MID($C3408,2,20)),1000000000),1000000000))+ROW()/100000,"")</f>
        <v/>
      </c>
    </row>
    <row r="3409">
      <c r="D3409" s="11" t="n"/>
      <c r="K3409" s="7">
        <f>IF($C3409="","",J3409*W3409/100)</f>
        <v/>
      </c>
      <c r="Q3409" s="7" t="n"/>
      <c r="R3409" s="7" t="n"/>
      <c r="U3409">
        <f>IF($C3409="","",IF($AJ3409=1,0,IF($AI3409=1,Settings!$C$6,Settings!$C$7))*100)</f>
        <v/>
      </c>
      <c r="V3409" s="7">
        <f>IF($C3409="","",R3409*U3409/100)</f>
        <v/>
      </c>
      <c r="W3409" s="7">
        <f>IF($C3409="","",R3409-V3409)</f>
        <v/>
      </c>
      <c r="X3409" s="7">
        <f>IF($C3409="","",W3409-K3409)</f>
        <v/>
      </c>
      <c r="AB3409" s="7" t="n"/>
      <c r="AE3409" s="11" t="n"/>
      <c r="AG3409">
        <f>IF($C3409="","",IF(COUNTIF($C$2:$C3409,$C3409)=1,1,0))</f>
        <v/>
      </c>
      <c r="AH3409">
        <f>IF($AG3409=1,SUMPRODUCT(--($AK$2:$AK$6001&lt;$AK3409))+1,"")</f>
        <v/>
      </c>
      <c r="AI3409">
        <f>IF($C3409="","",IF(OR($N3409=TRUE(),$N3409="TRUE"),1,0))</f>
        <v/>
      </c>
      <c r="AJ3409">
        <f>IF($C3409="","",IF($T3409="Yes",1,0))</f>
        <v/>
      </c>
      <c r="AK3409">
        <f>IF($AG3409=1,IFERROR(IF(VALUE($C3409)&lt;100000000,VALUE($C3409),1000000000),IFERROR(IF(VALUE(MID($C3409,2,20))&lt;100000000,VALUE(MID($C3409,2,20)),1000000000),1000000000))+ROW()/100000,"")</f>
        <v/>
      </c>
    </row>
    <row r="3410">
      <c r="D3410" s="11" t="n"/>
      <c r="K3410" s="7">
        <f>IF($C3410="","",J3410*W3410/100)</f>
        <v/>
      </c>
      <c r="Q3410" s="7" t="n"/>
      <c r="R3410" s="7" t="n"/>
      <c r="U3410">
        <f>IF($C3410="","",IF($AJ3410=1,0,IF($AI3410=1,Settings!$C$6,Settings!$C$7))*100)</f>
        <v/>
      </c>
      <c r="V3410" s="7">
        <f>IF($C3410="","",R3410*U3410/100)</f>
        <v/>
      </c>
      <c r="W3410" s="7">
        <f>IF($C3410="","",R3410-V3410)</f>
        <v/>
      </c>
      <c r="X3410" s="7">
        <f>IF($C3410="","",W3410-K3410)</f>
        <v/>
      </c>
      <c r="AB3410" s="7" t="n"/>
      <c r="AE3410" s="11" t="n"/>
      <c r="AG3410">
        <f>IF($C3410="","",IF(COUNTIF($C$2:$C3410,$C3410)=1,1,0))</f>
        <v/>
      </c>
      <c r="AH3410">
        <f>IF($AG3410=1,SUMPRODUCT(--($AK$2:$AK$6001&lt;$AK3410))+1,"")</f>
        <v/>
      </c>
      <c r="AI3410">
        <f>IF($C3410="","",IF(OR($N3410=TRUE(),$N3410="TRUE"),1,0))</f>
        <v/>
      </c>
      <c r="AJ3410">
        <f>IF($C3410="","",IF($T3410="Yes",1,0))</f>
        <v/>
      </c>
      <c r="AK3410">
        <f>IF($AG3410=1,IFERROR(IF(VALUE($C3410)&lt;100000000,VALUE($C3410),1000000000),IFERROR(IF(VALUE(MID($C3410,2,20))&lt;100000000,VALUE(MID($C3410,2,20)),1000000000),1000000000))+ROW()/100000,"")</f>
        <v/>
      </c>
    </row>
    <row r="3411">
      <c r="D3411" s="11" t="n"/>
      <c r="K3411" s="7">
        <f>IF($C3411="","",J3411*W3411/100)</f>
        <v/>
      </c>
      <c r="Q3411" s="7" t="n"/>
      <c r="R3411" s="7" t="n"/>
      <c r="U3411">
        <f>IF($C3411="","",IF($AJ3411=1,0,IF($AI3411=1,Settings!$C$6,Settings!$C$7))*100)</f>
        <v/>
      </c>
      <c r="V3411" s="7">
        <f>IF($C3411="","",R3411*U3411/100)</f>
        <v/>
      </c>
      <c r="W3411" s="7">
        <f>IF($C3411="","",R3411-V3411)</f>
        <v/>
      </c>
      <c r="X3411" s="7">
        <f>IF($C3411="","",W3411-K3411)</f>
        <v/>
      </c>
      <c r="AB3411" s="7" t="n"/>
      <c r="AE3411" s="11" t="n"/>
      <c r="AG3411">
        <f>IF($C3411="","",IF(COUNTIF($C$2:$C3411,$C3411)=1,1,0))</f>
        <v/>
      </c>
      <c r="AH3411">
        <f>IF($AG3411=1,SUMPRODUCT(--($AK$2:$AK$6001&lt;$AK3411))+1,"")</f>
        <v/>
      </c>
      <c r="AI3411">
        <f>IF($C3411="","",IF(OR($N3411=TRUE(),$N3411="TRUE"),1,0))</f>
        <v/>
      </c>
      <c r="AJ3411">
        <f>IF($C3411="","",IF($T3411="Yes",1,0))</f>
        <v/>
      </c>
      <c r="AK3411">
        <f>IF($AG3411=1,IFERROR(IF(VALUE($C3411)&lt;100000000,VALUE($C3411),1000000000),IFERROR(IF(VALUE(MID($C3411,2,20))&lt;100000000,VALUE(MID($C3411,2,20)),1000000000),1000000000))+ROW()/100000,"")</f>
        <v/>
      </c>
    </row>
    <row r="3412">
      <c r="D3412" s="11" t="n"/>
      <c r="K3412" s="7">
        <f>IF($C3412="","",J3412*W3412/100)</f>
        <v/>
      </c>
      <c r="Q3412" s="7" t="n"/>
      <c r="R3412" s="7" t="n"/>
      <c r="U3412">
        <f>IF($C3412="","",IF($AJ3412=1,0,IF($AI3412=1,Settings!$C$6,Settings!$C$7))*100)</f>
        <v/>
      </c>
      <c r="V3412" s="7">
        <f>IF($C3412="","",R3412*U3412/100)</f>
        <v/>
      </c>
      <c r="W3412" s="7">
        <f>IF($C3412="","",R3412-V3412)</f>
        <v/>
      </c>
      <c r="X3412" s="7">
        <f>IF($C3412="","",W3412-K3412)</f>
        <v/>
      </c>
      <c r="AB3412" s="7" t="n"/>
      <c r="AE3412" s="11" t="n"/>
      <c r="AG3412">
        <f>IF($C3412="","",IF(COUNTIF($C$2:$C3412,$C3412)=1,1,0))</f>
        <v/>
      </c>
      <c r="AH3412">
        <f>IF($AG3412=1,SUMPRODUCT(--($AK$2:$AK$6001&lt;$AK3412))+1,"")</f>
        <v/>
      </c>
      <c r="AI3412">
        <f>IF($C3412="","",IF(OR($N3412=TRUE(),$N3412="TRUE"),1,0))</f>
        <v/>
      </c>
      <c r="AJ3412">
        <f>IF($C3412="","",IF($T3412="Yes",1,0))</f>
        <v/>
      </c>
      <c r="AK3412">
        <f>IF($AG3412=1,IFERROR(IF(VALUE($C3412)&lt;100000000,VALUE($C3412),1000000000),IFERROR(IF(VALUE(MID($C3412,2,20))&lt;100000000,VALUE(MID($C3412,2,20)),1000000000),1000000000))+ROW()/100000,"")</f>
        <v/>
      </c>
    </row>
    <row r="3413">
      <c r="D3413" s="11" t="n"/>
      <c r="K3413" s="7">
        <f>IF($C3413="","",J3413*W3413/100)</f>
        <v/>
      </c>
      <c r="Q3413" s="7" t="n"/>
      <c r="R3413" s="7" t="n"/>
      <c r="U3413">
        <f>IF($C3413="","",IF($AJ3413=1,0,IF($AI3413=1,Settings!$C$6,Settings!$C$7))*100)</f>
        <v/>
      </c>
      <c r="V3413" s="7">
        <f>IF($C3413="","",R3413*U3413/100)</f>
        <v/>
      </c>
      <c r="W3413" s="7">
        <f>IF($C3413="","",R3413-V3413)</f>
        <v/>
      </c>
      <c r="X3413" s="7">
        <f>IF($C3413="","",W3413-K3413)</f>
        <v/>
      </c>
      <c r="AB3413" s="7" t="n"/>
      <c r="AE3413" s="11" t="n"/>
      <c r="AG3413">
        <f>IF($C3413="","",IF(COUNTIF($C$2:$C3413,$C3413)=1,1,0))</f>
        <v/>
      </c>
      <c r="AH3413">
        <f>IF($AG3413=1,SUMPRODUCT(--($AK$2:$AK$6001&lt;$AK3413))+1,"")</f>
        <v/>
      </c>
      <c r="AI3413">
        <f>IF($C3413="","",IF(OR($N3413=TRUE(),$N3413="TRUE"),1,0))</f>
        <v/>
      </c>
      <c r="AJ3413">
        <f>IF($C3413="","",IF($T3413="Yes",1,0))</f>
        <v/>
      </c>
      <c r="AK3413">
        <f>IF($AG3413=1,IFERROR(IF(VALUE($C3413)&lt;100000000,VALUE($C3413),1000000000),IFERROR(IF(VALUE(MID($C3413,2,20))&lt;100000000,VALUE(MID($C3413,2,20)),1000000000),1000000000))+ROW()/100000,"")</f>
        <v/>
      </c>
    </row>
    <row r="3414">
      <c r="D3414" s="11" t="n"/>
      <c r="K3414" s="7">
        <f>IF($C3414="","",J3414*W3414/100)</f>
        <v/>
      </c>
      <c r="Q3414" s="7" t="n"/>
      <c r="R3414" s="7" t="n"/>
      <c r="U3414">
        <f>IF($C3414="","",IF($AJ3414=1,0,IF($AI3414=1,Settings!$C$6,Settings!$C$7))*100)</f>
        <v/>
      </c>
      <c r="V3414" s="7">
        <f>IF($C3414="","",R3414*U3414/100)</f>
        <v/>
      </c>
      <c r="W3414" s="7">
        <f>IF($C3414="","",R3414-V3414)</f>
        <v/>
      </c>
      <c r="X3414" s="7">
        <f>IF($C3414="","",W3414-K3414)</f>
        <v/>
      </c>
      <c r="AB3414" s="7" t="n"/>
      <c r="AE3414" s="11" t="n"/>
      <c r="AG3414">
        <f>IF($C3414="","",IF(COUNTIF($C$2:$C3414,$C3414)=1,1,0))</f>
        <v/>
      </c>
      <c r="AH3414">
        <f>IF($AG3414=1,SUMPRODUCT(--($AK$2:$AK$6001&lt;$AK3414))+1,"")</f>
        <v/>
      </c>
      <c r="AI3414">
        <f>IF($C3414="","",IF(OR($N3414=TRUE(),$N3414="TRUE"),1,0))</f>
        <v/>
      </c>
      <c r="AJ3414">
        <f>IF($C3414="","",IF($T3414="Yes",1,0))</f>
        <v/>
      </c>
      <c r="AK3414">
        <f>IF($AG3414=1,IFERROR(IF(VALUE($C3414)&lt;100000000,VALUE($C3414),1000000000),IFERROR(IF(VALUE(MID($C3414,2,20))&lt;100000000,VALUE(MID($C3414,2,20)),1000000000),1000000000))+ROW()/100000,"")</f>
        <v/>
      </c>
    </row>
    <row r="3415">
      <c r="D3415" s="11" t="n"/>
      <c r="K3415" s="7">
        <f>IF($C3415="","",J3415*W3415/100)</f>
        <v/>
      </c>
      <c r="Q3415" s="7" t="n"/>
      <c r="R3415" s="7" t="n"/>
      <c r="U3415">
        <f>IF($C3415="","",IF($AJ3415=1,0,IF($AI3415=1,Settings!$C$6,Settings!$C$7))*100)</f>
        <v/>
      </c>
      <c r="V3415" s="7">
        <f>IF($C3415="","",R3415*U3415/100)</f>
        <v/>
      </c>
      <c r="W3415" s="7">
        <f>IF($C3415="","",R3415-V3415)</f>
        <v/>
      </c>
      <c r="X3415" s="7">
        <f>IF($C3415="","",W3415-K3415)</f>
        <v/>
      </c>
      <c r="AB3415" s="7" t="n"/>
      <c r="AE3415" s="11" t="n"/>
      <c r="AG3415">
        <f>IF($C3415="","",IF(COUNTIF($C$2:$C3415,$C3415)=1,1,0))</f>
        <v/>
      </c>
      <c r="AH3415">
        <f>IF($AG3415=1,SUMPRODUCT(--($AK$2:$AK$6001&lt;$AK3415))+1,"")</f>
        <v/>
      </c>
      <c r="AI3415">
        <f>IF($C3415="","",IF(OR($N3415=TRUE(),$N3415="TRUE"),1,0))</f>
        <v/>
      </c>
      <c r="AJ3415">
        <f>IF($C3415="","",IF($T3415="Yes",1,0))</f>
        <v/>
      </c>
      <c r="AK3415">
        <f>IF($AG3415=1,IFERROR(IF(VALUE($C3415)&lt;100000000,VALUE($C3415),1000000000),IFERROR(IF(VALUE(MID($C3415,2,20))&lt;100000000,VALUE(MID($C3415,2,20)),1000000000),1000000000))+ROW()/100000,"")</f>
        <v/>
      </c>
    </row>
    <row r="3416">
      <c r="D3416" s="11" t="n"/>
      <c r="K3416" s="7">
        <f>IF($C3416="","",J3416*W3416/100)</f>
        <v/>
      </c>
      <c r="Q3416" s="7" t="n"/>
      <c r="R3416" s="7" t="n"/>
      <c r="U3416">
        <f>IF($C3416="","",IF($AJ3416=1,0,IF($AI3416=1,Settings!$C$6,Settings!$C$7))*100)</f>
        <v/>
      </c>
      <c r="V3416" s="7">
        <f>IF($C3416="","",R3416*U3416/100)</f>
        <v/>
      </c>
      <c r="W3416" s="7">
        <f>IF($C3416="","",R3416-V3416)</f>
        <v/>
      </c>
      <c r="X3416" s="7">
        <f>IF($C3416="","",W3416-K3416)</f>
        <v/>
      </c>
      <c r="AB3416" s="7" t="n"/>
      <c r="AE3416" s="11" t="n"/>
      <c r="AG3416">
        <f>IF($C3416="","",IF(COUNTIF($C$2:$C3416,$C3416)=1,1,0))</f>
        <v/>
      </c>
      <c r="AH3416">
        <f>IF($AG3416=1,SUMPRODUCT(--($AK$2:$AK$6001&lt;$AK3416))+1,"")</f>
        <v/>
      </c>
      <c r="AI3416">
        <f>IF($C3416="","",IF(OR($N3416=TRUE(),$N3416="TRUE"),1,0))</f>
        <v/>
      </c>
      <c r="AJ3416">
        <f>IF($C3416="","",IF($T3416="Yes",1,0))</f>
        <v/>
      </c>
      <c r="AK3416">
        <f>IF($AG3416=1,IFERROR(IF(VALUE($C3416)&lt;100000000,VALUE($C3416),1000000000),IFERROR(IF(VALUE(MID($C3416,2,20))&lt;100000000,VALUE(MID($C3416,2,20)),1000000000),1000000000))+ROW()/100000,"")</f>
        <v/>
      </c>
    </row>
    <row r="3417">
      <c r="D3417" s="11" t="n"/>
      <c r="K3417" s="7">
        <f>IF($C3417="","",J3417*W3417/100)</f>
        <v/>
      </c>
      <c r="Q3417" s="7" t="n"/>
      <c r="R3417" s="7" t="n"/>
      <c r="U3417">
        <f>IF($C3417="","",IF($AJ3417=1,0,IF($AI3417=1,Settings!$C$6,Settings!$C$7))*100)</f>
        <v/>
      </c>
      <c r="V3417" s="7">
        <f>IF($C3417="","",R3417*U3417/100)</f>
        <v/>
      </c>
      <c r="W3417" s="7">
        <f>IF($C3417="","",R3417-V3417)</f>
        <v/>
      </c>
      <c r="X3417" s="7">
        <f>IF($C3417="","",W3417-K3417)</f>
        <v/>
      </c>
      <c r="AB3417" s="7" t="n"/>
      <c r="AE3417" s="11" t="n"/>
      <c r="AG3417">
        <f>IF($C3417="","",IF(COUNTIF($C$2:$C3417,$C3417)=1,1,0))</f>
        <v/>
      </c>
      <c r="AH3417">
        <f>IF($AG3417=1,SUMPRODUCT(--($AK$2:$AK$6001&lt;$AK3417))+1,"")</f>
        <v/>
      </c>
      <c r="AI3417">
        <f>IF($C3417="","",IF(OR($N3417=TRUE(),$N3417="TRUE"),1,0))</f>
        <v/>
      </c>
      <c r="AJ3417">
        <f>IF($C3417="","",IF($T3417="Yes",1,0))</f>
        <v/>
      </c>
      <c r="AK3417">
        <f>IF($AG3417=1,IFERROR(IF(VALUE($C3417)&lt;100000000,VALUE($C3417),1000000000),IFERROR(IF(VALUE(MID($C3417,2,20))&lt;100000000,VALUE(MID($C3417,2,20)),1000000000),1000000000))+ROW()/100000,"")</f>
        <v/>
      </c>
    </row>
    <row r="3418">
      <c r="D3418" s="11" t="n"/>
      <c r="K3418" s="7">
        <f>IF($C3418="","",J3418*W3418/100)</f>
        <v/>
      </c>
      <c r="Q3418" s="7" t="n"/>
      <c r="R3418" s="7" t="n"/>
      <c r="U3418">
        <f>IF($C3418="","",IF($AJ3418=1,0,IF($AI3418=1,Settings!$C$6,Settings!$C$7))*100)</f>
        <v/>
      </c>
      <c r="V3418" s="7">
        <f>IF($C3418="","",R3418*U3418/100)</f>
        <v/>
      </c>
      <c r="W3418" s="7">
        <f>IF($C3418="","",R3418-V3418)</f>
        <v/>
      </c>
      <c r="X3418" s="7">
        <f>IF($C3418="","",W3418-K3418)</f>
        <v/>
      </c>
      <c r="AB3418" s="7" t="n"/>
      <c r="AE3418" s="11" t="n"/>
      <c r="AG3418">
        <f>IF($C3418="","",IF(COUNTIF($C$2:$C3418,$C3418)=1,1,0))</f>
        <v/>
      </c>
      <c r="AH3418">
        <f>IF($AG3418=1,SUMPRODUCT(--($AK$2:$AK$6001&lt;$AK3418))+1,"")</f>
        <v/>
      </c>
      <c r="AI3418">
        <f>IF($C3418="","",IF(OR($N3418=TRUE(),$N3418="TRUE"),1,0))</f>
        <v/>
      </c>
      <c r="AJ3418">
        <f>IF($C3418="","",IF($T3418="Yes",1,0))</f>
        <v/>
      </c>
      <c r="AK3418">
        <f>IF($AG3418=1,IFERROR(IF(VALUE($C3418)&lt;100000000,VALUE($C3418),1000000000),IFERROR(IF(VALUE(MID($C3418,2,20))&lt;100000000,VALUE(MID($C3418,2,20)),1000000000),1000000000))+ROW()/100000,"")</f>
        <v/>
      </c>
    </row>
    <row r="3419">
      <c r="D3419" s="11" t="n"/>
      <c r="K3419" s="7">
        <f>IF($C3419="","",J3419*W3419/100)</f>
        <v/>
      </c>
      <c r="Q3419" s="7" t="n"/>
      <c r="R3419" s="7" t="n"/>
      <c r="U3419">
        <f>IF($C3419="","",IF($AJ3419=1,0,IF($AI3419=1,Settings!$C$6,Settings!$C$7))*100)</f>
        <v/>
      </c>
      <c r="V3419" s="7">
        <f>IF($C3419="","",R3419*U3419/100)</f>
        <v/>
      </c>
      <c r="W3419" s="7">
        <f>IF($C3419="","",R3419-V3419)</f>
        <v/>
      </c>
      <c r="X3419" s="7">
        <f>IF($C3419="","",W3419-K3419)</f>
        <v/>
      </c>
      <c r="AB3419" s="7" t="n"/>
      <c r="AE3419" s="11" t="n"/>
      <c r="AG3419">
        <f>IF($C3419="","",IF(COUNTIF($C$2:$C3419,$C3419)=1,1,0))</f>
        <v/>
      </c>
      <c r="AH3419">
        <f>IF($AG3419=1,SUMPRODUCT(--($AK$2:$AK$6001&lt;$AK3419))+1,"")</f>
        <v/>
      </c>
      <c r="AI3419">
        <f>IF($C3419="","",IF(OR($N3419=TRUE(),$N3419="TRUE"),1,0))</f>
        <v/>
      </c>
      <c r="AJ3419">
        <f>IF($C3419="","",IF($T3419="Yes",1,0))</f>
        <v/>
      </c>
      <c r="AK3419">
        <f>IF($AG3419=1,IFERROR(IF(VALUE($C3419)&lt;100000000,VALUE($C3419),1000000000),IFERROR(IF(VALUE(MID($C3419,2,20))&lt;100000000,VALUE(MID($C3419,2,20)),1000000000),1000000000))+ROW()/100000,"")</f>
        <v/>
      </c>
    </row>
    <row r="3420">
      <c r="D3420" s="11" t="n"/>
      <c r="K3420" s="7">
        <f>IF($C3420="","",J3420*W3420/100)</f>
        <v/>
      </c>
      <c r="Q3420" s="7" t="n"/>
      <c r="R3420" s="7" t="n"/>
      <c r="U3420">
        <f>IF($C3420="","",IF($AJ3420=1,0,IF($AI3420=1,Settings!$C$6,Settings!$C$7))*100)</f>
        <v/>
      </c>
      <c r="V3420" s="7">
        <f>IF($C3420="","",R3420*U3420/100)</f>
        <v/>
      </c>
      <c r="W3420" s="7">
        <f>IF($C3420="","",R3420-V3420)</f>
        <v/>
      </c>
      <c r="X3420" s="7">
        <f>IF($C3420="","",W3420-K3420)</f>
        <v/>
      </c>
      <c r="AB3420" s="7" t="n"/>
      <c r="AE3420" s="11" t="n"/>
      <c r="AG3420">
        <f>IF($C3420="","",IF(COUNTIF($C$2:$C3420,$C3420)=1,1,0))</f>
        <v/>
      </c>
      <c r="AH3420">
        <f>IF($AG3420=1,SUMPRODUCT(--($AK$2:$AK$6001&lt;$AK3420))+1,"")</f>
        <v/>
      </c>
      <c r="AI3420">
        <f>IF($C3420="","",IF(OR($N3420=TRUE(),$N3420="TRUE"),1,0))</f>
        <v/>
      </c>
      <c r="AJ3420">
        <f>IF($C3420="","",IF($T3420="Yes",1,0))</f>
        <v/>
      </c>
      <c r="AK3420">
        <f>IF($AG3420=1,IFERROR(IF(VALUE($C3420)&lt;100000000,VALUE($C3420),1000000000),IFERROR(IF(VALUE(MID($C3420,2,20))&lt;100000000,VALUE(MID($C3420,2,20)),1000000000),1000000000))+ROW()/100000,"")</f>
        <v/>
      </c>
    </row>
    <row r="3421">
      <c r="D3421" s="11" t="n"/>
      <c r="K3421" s="7">
        <f>IF($C3421="","",J3421*W3421/100)</f>
        <v/>
      </c>
      <c r="Q3421" s="7" t="n"/>
      <c r="R3421" s="7" t="n"/>
      <c r="U3421">
        <f>IF($C3421="","",IF($AJ3421=1,0,IF($AI3421=1,Settings!$C$6,Settings!$C$7))*100)</f>
        <v/>
      </c>
      <c r="V3421" s="7">
        <f>IF($C3421="","",R3421*U3421/100)</f>
        <v/>
      </c>
      <c r="W3421" s="7">
        <f>IF($C3421="","",R3421-V3421)</f>
        <v/>
      </c>
      <c r="X3421" s="7">
        <f>IF($C3421="","",W3421-K3421)</f>
        <v/>
      </c>
      <c r="AB3421" s="7" t="n"/>
      <c r="AE3421" s="11" t="n"/>
      <c r="AG3421">
        <f>IF($C3421="","",IF(COUNTIF($C$2:$C3421,$C3421)=1,1,0))</f>
        <v/>
      </c>
      <c r="AH3421">
        <f>IF($AG3421=1,SUMPRODUCT(--($AK$2:$AK$6001&lt;$AK3421))+1,"")</f>
        <v/>
      </c>
      <c r="AI3421">
        <f>IF($C3421="","",IF(OR($N3421=TRUE(),$N3421="TRUE"),1,0))</f>
        <v/>
      </c>
      <c r="AJ3421">
        <f>IF($C3421="","",IF($T3421="Yes",1,0))</f>
        <v/>
      </c>
      <c r="AK3421">
        <f>IF($AG3421=1,IFERROR(IF(VALUE($C3421)&lt;100000000,VALUE($C3421),1000000000),IFERROR(IF(VALUE(MID($C3421,2,20))&lt;100000000,VALUE(MID($C3421,2,20)),1000000000),1000000000))+ROW()/100000,"")</f>
        <v/>
      </c>
    </row>
    <row r="3422">
      <c r="D3422" s="11" t="n"/>
      <c r="K3422" s="7">
        <f>IF($C3422="","",J3422*W3422/100)</f>
        <v/>
      </c>
      <c r="Q3422" s="7" t="n"/>
      <c r="R3422" s="7" t="n"/>
      <c r="U3422">
        <f>IF($C3422="","",IF($AJ3422=1,0,IF($AI3422=1,Settings!$C$6,Settings!$C$7))*100)</f>
        <v/>
      </c>
      <c r="V3422" s="7">
        <f>IF($C3422="","",R3422*U3422/100)</f>
        <v/>
      </c>
      <c r="W3422" s="7">
        <f>IF($C3422="","",R3422-V3422)</f>
        <v/>
      </c>
      <c r="X3422" s="7">
        <f>IF($C3422="","",W3422-K3422)</f>
        <v/>
      </c>
      <c r="AB3422" s="7" t="n"/>
      <c r="AE3422" s="11" t="n"/>
      <c r="AG3422">
        <f>IF($C3422="","",IF(COUNTIF($C$2:$C3422,$C3422)=1,1,0))</f>
        <v/>
      </c>
      <c r="AH3422">
        <f>IF($AG3422=1,SUMPRODUCT(--($AK$2:$AK$6001&lt;$AK3422))+1,"")</f>
        <v/>
      </c>
      <c r="AI3422">
        <f>IF($C3422="","",IF(OR($N3422=TRUE(),$N3422="TRUE"),1,0))</f>
        <v/>
      </c>
      <c r="AJ3422">
        <f>IF($C3422="","",IF($T3422="Yes",1,0))</f>
        <v/>
      </c>
      <c r="AK3422">
        <f>IF($AG3422=1,IFERROR(IF(VALUE($C3422)&lt;100000000,VALUE($C3422),1000000000),IFERROR(IF(VALUE(MID($C3422,2,20))&lt;100000000,VALUE(MID($C3422,2,20)),1000000000),1000000000))+ROW()/100000,"")</f>
        <v/>
      </c>
    </row>
    <row r="3423">
      <c r="D3423" s="11" t="n"/>
      <c r="K3423" s="7">
        <f>IF($C3423="","",J3423*W3423/100)</f>
        <v/>
      </c>
      <c r="Q3423" s="7" t="n"/>
      <c r="R3423" s="7" t="n"/>
      <c r="U3423">
        <f>IF($C3423="","",IF($AJ3423=1,0,IF($AI3423=1,Settings!$C$6,Settings!$C$7))*100)</f>
        <v/>
      </c>
      <c r="V3423" s="7">
        <f>IF($C3423="","",R3423*U3423/100)</f>
        <v/>
      </c>
      <c r="W3423" s="7">
        <f>IF($C3423="","",R3423-V3423)</f>
        <v/>
      </c>
      <c r="X3423" s="7">
        <f>IF($C3423="","",W3423-K3423)</f>
        <v/>
      </c>
      <c r="AB3423" s="7" t="n"/>
      <c r="AE3423" s="11" t="n"/>
      <c r="AG3423">
        <f>IF($C3423="","",IF(COUNTIF($C$2:$C3423,$C3423)=1,1,0))</f>
        <v/>
      </c>
      <c r="AH3423">
        <f>IF($AG3423=1,SUMPRODUCT(--($AK$2:$AK$6001&lt;$AK3423))+1,"")</f>
        <v/>
      </c>
      <c r="AI3423">
        <f>IF($C3423="","",IF(OR($N3423=TRUE(),$N3423="TRUE"),1,0))</f>
        <v/>
      </c>
      <c r="AJ3423">
        <f>IF($C3423="","",IF($T3423="Yes",1,0))</f>
        <v/>
      </c>
      <c r="AK3423">
        <f>IF($AG3423=1,IFERROR(IF(VALUE($C3423)&lt;100000000,VALUE($C3423),1000000000),IFERROR(IF(VALUE(MID($C3423,2,20))&lt;100000000,VALUE(MID($C3423,2,20)),1000000000),1000000000))+ROW()/100000,"")</f>
        <v/>
      </c>
    </row>
    <row r="3424">
      <c r="D3424" s="11" t="n"/>
      <c r="K3424" s="7">
        <f>IF($C3424="","",J3424*W3424/100)</f>
        <v/>
      </c>
      <c r="Q3424" s="7" t="n"/>
      <c r="R3424" s="7" t="n"/>
      <c r="U3424">
        <f>IF($C3424="","",IF($AJ3424=1,0,IF($AI3424=1,Settings!$C$6,Settings!$C$7))*100)</f>
        <v/>
      </c>
      <c r="V3424" s="7">
        <f>IF($C3424="","",R3424*U3424/100)</f>
        <v/>
      </c>
      <c r="W3424" s="7">
        <f>IF($C3424="","",R3424-V3424)</f>
        <v/>
      </c>
      <c r="X3424" s="7">
        <f>IF($C3424="","",W3424-K3424)</f>
        <v/>
      </c>
      <c r="AB3424" s="7" t="n"/>
      <c r="AE3424" s="11" t="n"/>
      <c r="AG3424">
        <f>IF($C3424="","",IF(COUNTIF($C$2:$C3424,$C3424)=1,1,0))</f>
        <v/>
      </c>
      <c r="AH3424">
        <f>IF($AG3424=1,SUMPRODUCT(--($AK$2:$AK$6001&lt;$AK3424))+1,"")</f>
        <v/>
      </c>
      <c r="AI3424">
        <f>IF($C3424="","",IF(OR($N3424=TRUE(),$N3424="TRUE"),1,0))</f>
        <v/>
      </c>
      <c r="AJ3424">
        <f>IF($C3424="","",IF($T3424="Yes",1,0))</f>
        <v/>
      </c>
      <c r="AK3424">
        <f>IF($AG3424=1,IFERROR(IF(VALUE($C3424)&lt;100000000,VALUE($C3424),1000000000),IFERROR(IF(VALUE(MID($C3424,2,20))&lt;100000000,VALUE(MID($C3424,2,20)),1000000000),1000000000))+ROW()/100000,"")</f>
        <v/>
      </c>
    </row>
    <row r="3425">
      <c r="D3425" s="11" t="n"/>
      <c r="K3425" s="7">
        <f>IF($C3425="","",J3425*W3425/100)</f>
        <v/>
      </c>
      <c r="Q3425" s="7" t="n"/>
      <c r="R3425" s="7" t="n"/>
      <c r="U3425">
        <f>IF($C3425="","",IF($AJ3425=1,0,IF($AI3425=1,Settings!$C$6,Settings!$C$7))*100)</f>
        <v/>
      </c>
      <c r="V3425" s="7">
        <f>IF($C3425="","",R3425*U3425/100)</f>
        <v/>
      </c>
      <c r="W3425" s="7">
        <f>IF($C3425="","",R3425-V3425)</f>
        <v/>
      </c>
      <c r="X3425" s="7">
        <f>IF($C3425="","",W3425-K3425)</f>
        <v/>
      </c>
      <c r="AB3425" s="7" t="n"/>
      <c r="AE3425" s="11" t="n"/>
      <c r="AG3425">
        <f>IF($C3425="","",IF(COUNTIF($C$2:$C3425,$C3425)=1,1,0))</f>
        <v/>
      </c>
      <c r="AH3425">
        <f>IF($AG3425=1,SUMPRODUCT(--($AK$2:$AK$6001&lt;$AK3425))+1,"")</f>
        <v/>
      </c>
      <c r="AI3425">
        <f>IF($C3425="","",IF(OR($N3425=TRUE(),$N3425="TRUE"),1,0))</f>
        <v/>
      </c>
      <c r="AJ3425">
        <f>IF($C3425="","",IF($T3425="Yes",1,0))</f>
        <v/>
      </c>
      <c r="AK3425">
        <f>IF($AG3425=1,IFERROR(IF(VALUE($C3425)&lt;100000000,VALUE($C3425),1000000000),IFERROR(IF(VALUE(MID($C3425,2,20))&lt;100000000,VALUE(MID($C3425,2,20)),1000000000),1000000000))+ROW()/100000,"")</f>
        <v/>
      </c>
    </row>
    <row r="3426">
      <c r="D3426" s="11" t="n"/>
      <c r="K3426" s="7">
        <f>IF($C3426="","",J3426*W3426/100)</f>
        <v/>
      </c>
      <c r="Q3426" s="7" t="n"/>
      <c r="R3426" s="7" t="n"/>
      <c r="U3426">
        <f>IF($C3426="","",IF($AJ3426=1,0,IF($AI3426=1,Settings!$C$6,Settings!$C$7))*100)</f>
        <v/>
      </c>
      <c r="V3426" s="7">
        <f>IF($C3426="","",R3426*U3426/100)</f>
        <v/>
      </c>
      <c r="W3426" s="7">
        <f>IF($C3426="","",R3426-V3426)</f>
        <v/>
      </c>
      <c r="X3426" s="7">
        <f>IF($C3426="","",W3426-K3426)</f>
        <v/>
      </c>
      <c r="AB3426" s="7" t="n"/>
      <c r="AE3426" s="11" t="n"/>
      <c r="AG3426">
        <f>IF($C3426="","",IF(COUNTIF($C$2:$C3426,$C3426)=1,1,0))</f>
        <v/>
      </c>
      <c r="AH3426">
        <f>IF($AG3426=1,SUMPRODUCT(--($AK$2:$AK$6001&lt;$AK3426))+1,"")</f>
        <v/>
      </c>
      <c r="AI3426">
        <f>IF($C3426="","",IF(OR($N3426=TRUE(),$N3426="TRUE"),1,0))</f>
        <v/>
      </c>
      <c r="AJ3426">
        <f>IF($C3426="","",IF($T3426="Yes",1,0))</f>
        <v/>
      </c>
      <c r="AK3426">
        <f>IF($AG3426=1,IFERROR(IF(VALUE($C3426)&lt;100000000,VALUE($C3426),1000000000),IFERROR(IF(VALUE(MID($C3426,2,20))&lt;100000000,VALUE(MID($C3426,2,20)),1000000000),1000000000))+ROW()/100000,"")</f>
        <v/>
      </c>
    </row>
    <row r="3427">
      <c r="D3427" s="11" t="n"/>
      <c r="K3427" s="7">
        <f>IF($C3427="","",J3427*W3427/100)</f>
        <v/>
      </c>
      <c r="Q3427" s="7" t="n"/>
      <c r="R3427" s="7" t="n"/>
      <c r="U3427">
        <f>IF($C3427="","",IF($AJ3427=1,0,IF($AI3427=1,Settings!$C$6,Settings!$C$7))*100)</f>
        <v/>
      </c>
      <c r="V3427" s="7">
        <f>IF($C3427="","",R3427*U3427/100)</f>
        <v/>
      </c>
      <c r="W3427" s="7">
        <f>IF($C3427="","",R3427-V3427)</f>
        <v/>
      </c>
      <c r="X3427" s="7">
        <f>IF($C3427="","",W3427-K3427)</f>
        <v/>
      </c>
      <c r="AB3427" s="7" t="n"/>
      <c r="AE3427" s="11" t="n"/>
      <c r="AG3427">
        <f>IF($C3427="","",IF(COUNTIF($C$2:$C3427,$C3427)=1,1,0))</f>
        <v/>
      </c>
      <c r="AH3427">
        <f>IF($AG3427=1,SUMPRODUCT(--($AK$2:$AK$6001&lt;$AK3427))+1,"")</f>
        <v/>
      </c>
      <c r="AI3427">
        <f>IF($C3427="","",IF(OR($N3427=TRUE(),$N3427="TRUE"),1,0))</f>
        <v/>
      </c>
      <c r="AJ3427">
        <f>IF($C3427="","",IF($T3427="Yes",1,0))</f>
        <v/>
      </c>
      <c r="AK3427">
        <f>IF($AG3427=1,IFERROR(IF(VALUE($C3427)&lt;100000000,VALUE($C3427),1000000000),IFERROR(IF(VALUE(MID($C3427,2,20))&lt;100000000,VALUE(MID($C3427,2,20)),1000000000),1000000000))+ROW()/100000,"")</f>
        <v/>
      </c>
    </row>
    <row r="3428">
      <c r="D3428" s="11" t="n"/>
      <c r="K3428" s="7">
        <f>IF($C3428="","",J3428*W3428/100)</f>
        <v/>
      </c>
      <c r="Q3428" s="7" t="n"/>
      <c r="R3428" s="7" t="n"/>
      <c r="U3428">
        <f>IF($C3428="","",IF($AJ3428=1,0,IF($AI3428=1,Settings!$C$6,Settings!$C$7))*100)</f>
        <v/>
      </c>
      <c r="V3428" s="7">
        <f>IF($C3428="","",R3428*U3428/100)</f>
        <v/>
      </c>
      <c r="W3428" s="7">
        <f>IF($C3428="","",R3428-V3428)</f>
        <v/>
      </c>
      <c r="X3428" s="7">
        <f>IF($C3428="","",W3428-K3428)</f>
        <v/>
      </c>
      <c r="AB3428" s="7" t="n"/>
      <c r="AE3428" s="11" t="n"/>
      <c r="AG3428">
        <f>IF($C3428="","",IF(COUNTIF($C$2:$C3428,$C3428)=1,1,0))</f>
        <v/>
      </c>
      <c r="AH3428">
        <f>IF($AG3428=1,SUMPRODUCT(--($AK$2:$AK$6001&lt;$AK3428))+1,"")</f>
        <v/>
      </c>
      <c r="AI3428">
        <f>IF($C3428="","",IF(OR($N3428=TRUE(),$N3428="TRUE"),1,0))</f>
        <v/>
      </c>
      <c r="AJ3428">
        <f>IF($C3428="","",IF($T3428="Yes",1,0))</f>
        <v/>
      </c>
      <c r="AK3428">
        <f>IF($AG3428=1,IFERROR(IF(VALUE($C3428)&lt;100000000,VALUE($C3428),1000000000),IFERROR(IF(VALUE(MID($C3428,2,20))&lt;100000000,VALUE(MID($C3428,2,20)),1000000000),1000000000))+ROW()/100000,"")</f>
        <v/>
      </c>
    </row>
    <row r="3429">
      <c r="D3429" s="11" t="n"/>
      <c r="K3429" s="7">
        <f>IF($C3429="","",J3429*W3429/100)</f>
        <v/>
      </c>
      <c r="Q3429" s="7" t="n"/>
      <c r="R3429" s="7" t="n"/>
      <c r="U3429">
        <f>IF($C3429="","",IF($AJ3429=1,0,IF($AI3429=1,Settings!$C$6,Settings!$C$7))*100)</f>
        <v/>
      </c>
      <c r="V3429" s="7">
        <f>IF($C3429="","",R3429*U3429/100)</f>
        <v/>
      </c>
      <c r="W3429" s="7">
        <f>IF($C3429="","",R3429-V3429)</f>
        <v/>
      </c>
      <c r="X3429" s="7">
        <f>IF($C3429="","",W3429-K3429)</f>
        <v/>
      </c>
      <c r="AB3429" s="7" t="n"/>
      <c r="AE3429" s="11" t="n"/>
      <c r="AG3429">
        <f>IF($C3429="","",IF(COUNTIF($C$2:$C3429,$C3429)=1,1,0))</f>
        <v/>
      </c>
      <c r="AH3429">
        <f>IF($AG3429=1,SUMPRODUCT(--($AK$2:$AK$6001&lt;$AK3429))+1,"")</f>
        <v/>
      </c>
      <c r="AI3429">
        <f>IF($C3429="","",IF(OR($N3429=TRUE(),$N3429="TRUE"),1,0))</f>
        <v/>
      </c>
      <c r="AJ3429">
        <f>IF($C3429="","",IF($T3429="Yes",1,0))</f>
        <v/>
      </c>
      <c r="AK3429">
        <f>IF($AG3429=1,IFERROR(IF(VALUE($C3429)&lt;100000000,VALUE($C3429),1000000000),IFERROR(IF(VALUE(MID($C3429,2,20))&lt;100000000,VALUE(MID($C3429,2,20)),1000000000),1000000000))+ROW()/100000,"")</f>
        <v/>
      </c>
    </row>
    <row r="3430">
      <c r="D3430" s="11" t="n"/>
      <c r="K3430" s="7">
        <f>IF($C3430="","",J3430*W3430/100)</f>
        <v/>
      </c>
      <c r="Q3430" s="7" t="n"/>
      <c r="R3430" s="7" t="n"/>
      <c r="U3430">
        <f>IF($C3430="","",IF($AJ3430=1,0,IF($AI3430=1,Settings!$C$6,Settings!$C$7))*100)</f>
        <v/>
      </c>
      <c r="V3430" s="7">
        <f>IF($C3430="","",R3430*U3430/100)</f>
        <v/>
      </c>
      <c r="W3430" s="7">
        <f>IF($C3430="","",R3430-V3430)</f>
        <v/>
      </c>
      <c r="X3430" s="7">
        <f>IF($C3430="","",W3430-K3430)</f>
        <v/>
      </c>
      <c r="AB3430" s="7" t="n"/>
      <c r="AE3430" s="11" t="n"/>
      <c r="AG3430">
        <f>IF($C3430="","",IF(COUNTIF($C$2:$C3430,$C3430)=1,1,0))</f>
        <v/>
      </c>
      <c r="AH3430">
        <f>IF($AG3430=1,SUMPRODUCT(--($AK$2:$AK$6001&lt;$AK3430))+1,"")</f>
        <v/>
      </c>
      <c r="AI3430">
        <f>IF($C3430="","",IF(OR($N3430=TRUE(),$N3430="TRUE"),1,0))</f>
        <v/>
      </c>
      <c r="AJ3430">
        <f>IF($C3430="","",IF($T3430="Yes",1,0))</f>
        <v/>
      </c>
      <c r="AK3430">
        <f>IF($AG3430=1,IFERROR(IF(VALUE($C3430)&lt;100000000,VALUE($C3430),1000000000),IFERROR(IF(VALUE(MID($C3430,2,20))&lt;100000000,VALUE(MID($C3430,2,20)),1000000000),1000000000))+ROW()/100000,"")</f>
        <v/>
      </c>
    </row>
    <row r="3431">
      <c r="D3431" s="11" t="n"/>
      <c r="K3431" s="7">
        <f>IF($C3431="","",J3431*W3431/100)</f>
        <v/>
      </c>
      <c r="Q3431" s="7" t="n"/>
      <c r="R3431" s="7" t="n"/>
      <c r="U3431">
        <f>IF($C3431="","",IF($AJ3431=1,0,IF($AI3431=1,Settings!$C$6,Settings!$C$7))*100)</f>
        <v/>
      </c>
      <c r="V3431" s="7">
        <f>IF($C3431="","",R3431*U3431/100)</f>
        <v/>
      </c>
      <c r="W3431" s="7">
        <f>IF($C3431="","",R3431-V3431)</f>
        <v/>
      </c>
      <c r="X3431" s="7">
        <f>IF($C3431="","",W3431-K3431)</f>
        <v/>
      </c>
      <c r="AB3431" s="7" t="n"/>
      <c r="AE3431" s="11" t="n"/>
      <c r="AG3431">
        <f>IF($C3431="","",IF(COUNTIF($C$2:$C3431,$C3431)=1,1,0))</f>
        <v/>
      </c>
      <c r="AH3431">
        <f>IF($AG3431=1,SUMPRODUCT(--($AK$2:$AK$6001&lt;$AK3431))+1,"")</f>
        <v/>
      </c>
      <c r="AI3431">
        <f>IF($C3431="","",IF(OR($N3431=TRUE(),$N3431="TRUE"),1,0))</f>
        <v/>
      </c>
      <c r="AJ3431">
        <f>IF($C3431="","",IF($T3431="Yes",1,0))</f>
        <v/>
      </c>
      <c r="AK3431">
        <f>IF($AG3431=1,IFERROR(IF(VALUE($C3431)&lt;100000000,VALUE($C3431),1000000000),IFERROR(IF(VALUE(MID($C3431,2,20))&lt;100000000,VALUE(MID($C3431,2,20)),1000000000),1000000000))+ROW()/100000,"")</f>
        <v/>
      </c>
    </row>
    <row r="3432">
      <c r="D3432" s="11" t="n"/>
      <c r="K3432" s="7">
        <f>IF($C3432="","",J3432*W3432/100)</f>
        <v/>
      </c>
      <c r="Q3432" s="7" t="n"/>
      <c r="R3432" s="7" t="n"/>
      <c r="U3432">
        <f>IF($C3432="","",IF($AJ3432=1,0,IF($AI3432=1,Settings!$C$6,Settings!$C$7))*100)</f>
        <v/>
      </c>
      <c r="V3432" s="7">
        <f>IF($C3432="","",R3432*U3432/100)</f>
        <v/>
      </c>
      <c r="W3432" s="7">
        <f>IF($C3432="","",R3432-V3432)</f>
        <v/>
      </c>
      <c r="X3432" s="7">
        <f>IF($C3432="","",W3432-K3432)</f>
        <v/>
      </c>
      <c r="AB3432" s="7" t="n"/>
      <c r="AE3432" s="11" t="n"/>
      <c r="AG3432">
        <f>IF($C3432="","",IF(COUNTIF($C$2:$C3432,$C3432)=1,1,0))</f>
        <v/>
      </c>
      <c r="AH3432">
        <f>IF($AG3432=1,SUMPRODUCT(--($AK$2:$AK$6001&lt;$AK3432))+1,"")</f>
        <v/>
      </c>
      <c r="AI3432">
        <f>IF($C3432="","",IF(OR($N3432=TRUE(),$N3432="TRUE"),1,0))</f>
        <v/>
      </c>
      <c r="AJ3432">
        <f>IF($C3432="","",IF($T3432="Yes",1,0))</f>
        <v/>
      </c>
      <c r="AK3432">
        <f>IF($AG3432=1,IFERROR(IF(VALUE($C3432)&lt;100000000,VALUE($C3432),1000000000),IFERROR(IF(VALUE(MID($C3432,2,20))&lt;100000000,VALUE(MID($C3432,2,20)),1000000000),1000000000))+ROW()/100000,"")</f>
        <v/>
      </c>
    </row>
    <row r="3433">
      <c r="D3433" s="11" t="n"/>
      <c r="K3433" s="7">
        <f>IF($C3433="","",J3433*W3433/100)</f>
        <v/>
      </c>
      <c r="Q3433" s="7" t="n"/>
      <c r="R3433" s="7" t="n"/>
      <c r="U3433">
        <f>IF($C3433="","",IF($AJ3433=1,0,IF($AI3433=1,Settings!$C$6,Settings!$C$7))*100)</f>
        <v/>
      </c>
      <c r="V3433" s="7">
        <f>IF($C3433="","",R3433*U3433/100)</f>
        <v/>
      </c>
      <c r="W3433" s="7">
        <f>IF($C3433="","",R3433-V3433)</f>
        <v/>
      </c>
      <c r="X3433" s="7">
        <f>IF($C3433="","",W3433-K3433)</f>
        <v/>
      </c>
      <c r="AB3433" s="7" t="n"/>
      <c r="AE3433" s="11" t="n"/>
      <c r="AG3433">
        <f>IF($C3433="","",IF(COUNTIF($C$2:$C3433,$C3433)=1,1,0))</f>
        <v/>
      </c>
      <c r="AH3433">
        <f>IF($AG3433=1,SUMPRODUCT(--($AK$2:$AK$6001&lt;$AK3433))+1,"")</f>
        <v/>
      </c>
      <c r="AI3433">
        <f>IF($C3433="","",IF(OR($N3433=TRUE(),$N3433="TRUE"),1,0))</f>
        <v/>
      </c>
      <c r="AJ3433">
        <f>IF($C3433="","",IF($T3433="Yes",1,0))</f>
        <v/>
      </c>
      <c r="AK3433">
        <f>IF($AG3433=1,IFERROR(IF(VALUE($C3433)&lt;100000000,VALUE($C3433),1000000000),IFERROR(IF(VALUE(MID($C3433,2,20))&lt;100000000,VALUE(MID($C3433,2,20)),1000000000),1000000000))+ROW()/100000,"")</f>
        <v/>
      </c>
    </row>
    <row r="3434">
      <c r="D3434" s="11" t="n"/>
      <c r="K3434" s="7">
        <f>IF($C3434="","",J3434*W3434/100)</f>
        <v/>
      </c>
      <c r="Q3434" s="7" t="n"/>
      <c r="R3434" s="7" t="n"/>
      <c r="U3434">
        <f>IF($C3434="","",IF($AJ3434=1,0,IF($AI3434=1,Settings!$C$6,Settings!$C$7))*100)</f>
        <v/>
      </c>
      <c r="V3434" s="7">
        <f>IF($C3434="","",R3434*U3434/100)</f>
        <v/>
      </c>
      <c r="W3434" s="7">
        <f>IF($C3434="","",R3434-V3434)</f>
        <v/>
      </c>
      <c r="X3434" s="7">
        <f>IF($C3434="","",W3434-K3434)</f>
        <v/>
      </c>
      <c r="AB3434" s="7" t="n"/>
      <c r="AE3434" s="11" t="n"/>
      <c r="AG3434">
        <f>IF($C3434="","",IF(COUNTIF($C$2:$C3434,$C3434)=1,1,0))</f>
        <v/>
      </c>
      <c r="AH3434">
        <f>IF($AG3434=1,SUMPRODUCT(--($AK$2:$AK$6001&lt;$AK3434))+1,"")</f>
        <v/>
      </c>
      <c r="AI3434">
        <f>IF($C3434="","",IF(OR($N3434=TRUE(),$N3434="TRUE"),1,0))</f>
        <v/>
      </c>
      <c r="AJ3434">
        <f>IF($C3434="","",IF($T3434="Yes",1,0))</f>
        <v/>
      </c>
      <c r="AK3434">
        <f>IF($AG3434=1,IFERROR(IF(VALUE($C3434)&lt;100000000,VALUE($C3434),1000000000),IFERROR(IF(VALUE(MID($C3434,2,20))&lt;100000000,VALUE(MID($C3434,2,20)),1000000000),1000000000))+ROW()/100000,"")</f>
        <v/>
      </c>
    </row>
    <row r="3435">
      <c r="D3435" s="11" t="n"/>
      <c r="K3435" s="7">
        <f>IF($C3435="","",J3435*W3435/100)</f>
        <v/>
      </c>
      <c r="Q3435" s="7" t="n"/>
      <c r="R3435" s="7" t="n"/>
      <c r="U3435">
        <f>IF($C3435="","",IF($AJ3435=1,0,IF($AI3435=1,Settings!$C$6,Settings!$C$7))*100)</f>
        <v/>
      </c>
      <c r="V3435" s="7">
        <f>IF($C3435="","",R3435*U3435/100)</f>
        <v/>
      </c>
      <c r="W3435" s="7">
        <f>IF($C3435="","",R3435-V3435)</f>
        <v/>
      </c>
      <c r="X3435" s="7">
        <f>IF($C3435="","",W3435-K3435)</f>
        <v/>
      </c>
      <c r="AB3435" s="7" t="n"/>
      <c r="AE3435" s="11" t="n"/>
      <c r="AG3435">
        <f>IF($C3435="","",IF(COUNTIF($C$2:$C3435,$C3435)=1,1,0))</f>
        <v/>
      </c>
      <c r="AH3435">
        <f>IF($AG3435=1,SUMPRODUCT(--($AK$2:$AK$6001&lt;$AK3435))+1,"")</f>
        <v/>
      </c>
      <c r="AI3435">
        <f>IF($C3435="","",IF(OR($N3435=TRUE(),$N3435="TRUE"),1,0))</f>
        <v/>
      </c>
      <c r="AJ3435">
        <f>IF($C3435="","",IF($T3435="Yes",1,0))</f>
        <v/>
      </c>
      <c r="AK3435">
        <f>IF($AG3435=1,IFERROR(IF(VALUE($C3435)&lt;100000000,VALUE($C3435),1000000000),IFERROR(IF(VALUE(MID($C3435,2,20))&lt;100000000,VALUE(MID($C3435,2,20)),1000000000),1000000000))+ROW()/100000,"")</f>
        <v/>
      </c>
    </row>
    <row r="3436">
      <c r="D3436" s="11" t="n"/>
      <c r="K3436" s="7">
        <f>IF($C3436="","",J3436*W3436/100)</f>
        <v/>
      </c>
      <c r="Q3436" s="7" t="n"/>
      <c r="R3436" s="7" t="n"/>
      <c r="U3436">
        <f>IF($C3436="","",IF($AJ3436=1,0,IF($AI3436=1,Settings!$C$6,Settings!$C$7))*100)</f>
        <v/>
      </c>
      <c r="V3436" s="7">
        <f>IF($C3436="","",R3436*U3436/100)</f>
        <v/>
      </c>
      <c r="W3436" s="7">
        <f>IF($C3436="","",R3436-V3436)</f>
        <v/>
      </c>
      <c r="X3436" s="7">
        <f>IF($C3436="","",W3436-K3436)</f>
        <v/>
      </c>
      <c r="AB3436" s="7" t="n"/>
      <c r="AE3436" s="11" t="n"/>
      <c r="AG3436">
        <f>IF($C3436="","",IF(COUNTIF($C$2:$C3436,$C3436)=1,1,0))</f>
        <v/>
      </c>
      <c r="AH3436">
        <f>IF($AG3436=1,SUMPRODUCT(--($AK$2:$AK$6001&lt;$AK3436))+1,"")</f>
        <v/>
      </c>
      <c r="AI3436">
        <f>IF($C3436="","",IF(OR($N3436=TRUE(),$N3436="TRUE"),1,0))</f>
        <v/>
      </c>
      <c r="AJ3436">
        <f>IF($C3436="","",IF($T3436="Yes",1,0))</f>
        <v/>
      </c>
      <c r="AK3436">
        <f>IF($AG3436=1,IFERROR(IF(VALUE($C3436)&lt;100000000,VALUE($C3436),1000000000),IFERROR(IF(VALUE(MID($C3436,2,20))&lt;100000000,VALUE(MID($C3436,2,20)),1000000000),1000000000))+ROW()/100000,"")</f>
        <v/>
      </c>
    </row>
    <row r="3437">
      <c r="D3437" s="11" t="n"/>
      <c r="K3437" s="7">
        <f>IF($C3437="","",J3437*W3437/100)</f>
        <v/>
      </c>
      <c r="Q3437" s="7" t="n"/>
      <c r="R3437" s="7" t="n"/>
      <c r="U3437">
        <f>IF($C3437="","",IF($AJ3437=1,0,IF($AI3437=1,Settings!$C$6,Settings!$C$7))*100)</f>
        <v/>
      </c>
      <c r="V3437" s="7">
        <f>IF($C3437="","",R3437*U3437/100)</f>
        <v/>
      </c>
      <c r="W3437" s="7">
        <f>IF($C3437="","",R3437-V3437)</f>
        <v/>
      </c>
      <c r="X3437" s="7">
        <f>IF($C3437="","",W3437-K3437)</f>
        <v/>
      </c>
      <c r="AB3437" s="7" t="n"/>
      <c r="AE3437" s="11" t="n"/>
      <c r="AG3437">
        <f>IF($C3437="","",IF(COUNTIF($C$2:$C3437,$C3437)=1,1,0))</f>
        <v/>
      </c>
      <c r="AH3437">
        <f>IF($AG3437=1,SUMPRODUCT(--($AK$2:$AK$6001&lt;$AK3437))+1,"")</f>
        <v/>
      </c>
      <c r="AI3437">
        <f>IF($C3437="","",IF(OR($N3437=TRUE(),$N3437="TRUE"),1,0))</f>
        <v/>
      </c>
      <c r="AJ3437">
        <f>IF($C3437="","",IF($T3437="Yes",1,0))</f>
        <v/>
      </c>
      <c r="AK3437">
        <f>IF($AG3437=1,IFERROR(IF(VALUE($C3437)&lt;100000000,VALUE($C3437),1000000000),IFERROR(IF(VALUE(MID($C3437,2,20))&lt;100000000,VALUE(MID($C3437,2,20)),1000000000),1000000000))+ROW()/100000,"")</f>
        <v/>
      </c>
    </row>
    <row r="3438">
      <c r="D3438" s="11" t="n"/>
      <c r="K3438" s="7">
        <f>IF($C3438="","",J3438*W3438/100)</f>
        <v/>
      </c>
      <c r="Q3438" s="7" t="n"/>
      <c r="R3438" s="7" t="n"/>
      <c r="U3438">
        <f>IF($C3438="","",IF($AJ3438=1,0,IF($AI3438=1,Settings!$C$6,Settings!$C$7))*100)</f>
        <v/>
      </c>
      <c r="V3438" s="7">
        <f>IF($C3438="","",R3438*U3438/100)</f>
        <v/>
      </c>
      <c r="W3438" s="7">
        <f>IF($C3438="","",R3438-V3438)</f>
        <v/>
      </c>
      <c r="X3438" s="7">
        <f>IF($C3438="","",W3438-K3438)</f>
        <v/>
      </c>
      <c r="AB3438" s="7" t="n"/>
      <c r="AE3438" s="11" t="n"/>
      <c r="AG3438">
        <f>IF($C3438="","",IF(COUNTIF($C$2:$C3438,$C3438)=1,1,0))</f>
        <v/>
      </c>
      <c r="AH3438">
        <f>IF($AG3438=1,SUMPRODUCT(--($AK$2:$AK$6001&lt;$AK3438))+1,"")</f>
        <v/>
      </c>
      <c r="AI3438">
        <f>IF($C3438="","",IF(OR($N3438=TRUE(),$N3438="TRUE"),1,0))</f>
        <v/>
      </c>
      <c r="AJ3438">
        <f>IF($C3438="","",IF($T3438="Yes",1,0))</f>
        <v/>
      </c>
      <c r="AK3438">
        <f>IF($AG3438=1,IFERROR(IF(VALUE($C3438)&lt;100000000,VALUE($C3438),1000000000),IFERROR(IF(VALUE(MID($C3438,2,20))&lt;100000000,VALUE(MID($C3438,2,20)),1000000000),1000000000))+ROW()/100000,"")</f>
        <v/>
      </c>
    </row>
    <row r="3439">
      <c r="D3439" s="11" t="n"/>
      <c r="K3439" s="7">
        <f>IF($C3439="","",J3439*W3439/100)</f>
        <v/>
      </c>
      <c r="Q3439" s="7" t="n"/>
      <c r="R3439" s="7" t="n"/>
      <c r="U3439">
        <f>IF($C3439="","",IF($AJ3439=1,0,IF($AI3439=1,Settings!$C$6,Settings!$C$7))*100)</f>
        <v/>
      </c>
      <c r="V3439" s="7">
        <f>IF($C3439="","",R3439*U3439/100)</f>
        <v/>
      </c>
      <c r="W3439" s="7">
        <f>IF($C3439="","",R3439-V3439)</f>
        <v/>
      </c>
      <c r="X3439" s="7">
        <f>IF($C3439="","",W3439-K3439)</f>
        <v/>
      </c>
      <c r="AB3439" s="7" t="n"/>
      <c r="AE3439" s="11" t="n"/>
      <c r="AG3439">
        <f>IF($C3439="","",IF(COUNTIF($C$2:$C3439,$C3439)=1,1,0))</f>
        <v/>
      </c>
      <c r="AH3439">
        <f>IF($AG3439=1,SUMPRODUCT(--($AK$2:$AK$6001&lt;$AK3439))+1,"")</f>
        <v/>
      </c>
      <c r="AI3439">
        <f>IF($C3439="","",IF(OR($N3439=TRUE(),$N3439="TRUE"),1,0))</f>
        <v/>
      </c>
      <c r="AJ3439">
        <f>IF($C3439="","",IF($T3439="Yes",1,0))</f>
        <v/>
      </c>
      <c r="AK3439">
        <f>IF($AG3439=1,IFERROR(IF(VALUE($C3439)&lt;100000000,VALUE($C3439),1000000000),IFERROR(IF(VALUE(MID($C3439,2,20))&lt;100000000,VALUE(MID($C3439,2,20)),1000000000),1000000000))+ROW()/100000,"")</f>
        <v/>
      </c>
    </row>
    <row r="3440">
      <c r="D3440" s="11" t="n"/>
      <c r="K3440" s="7">
        <f>IF($C3440="","",J3440*W3440/100)</f>
        <v/>
      </c>
      <c r="Q3440" s="7" t="n"/>
      <c r="R3440" s="7" t="n"/>
      <c r="U3440">
        <f>IF($C3440="","",IF($AJ3440=1,0,IF($AI3440=1,Settings!$C$6,Settings!$C$7))*100)</f>
        <v/>
      </c>
      <c r="V3440" s="7">
        <f>IF($C3440="","",R3440*U3440/100)</f>
        <v/>
      </c>
      <c r="W3440" s="7">
        <f>IF($C3440="","",R3440-V3440)</f>
        <v/>
      </c>
      <c r="X3440" s="7">
        <f>IF($C3440="","",W3440-K3440)</f>
        <v/>
      </c>
      <c r="AB3440" s="7" t="n"/>
      <c r="AE3440" s="11" t="n"/>
      <c r="AG3440">
        <f>IF($C3440="","",IF(COUNTIF($C$2:$C3440,$C3440)=1,1,0))</f>
        <v/>
      </c>
      <c r="AH3440">
        <f>IF($AG3440=1,SUMPRODUCT(--($AK$2:$AK$6001&lt;$AK3440))+1,"")</f>
        <v/>
      </c>
      <c r="AI3440">
        <f>IF($C3440="","",IF(OR($N3440=TRUE(),$N3440="TRUE"),1,0))</f>
        <v/>
      </c>
      <c r="AJ3440">
        <f>IF($C3440="","",IF($T3440="Yes",1,0))</f>
        <v/>
      </c>
      <c r="AK3440">
        <f>IF($AG3440=1,IFERROR(IF(VALUE($C3440)&lt;100000000,VALUE($C3440),1000000000),IFERROR(IF(VALUE(MID($C3440,2,20))&lt;100000000,VALUE(MID($C3440,2,20)),1000000000),1000000000))+ROW()/100000,"")</f>
        <v/>
      </c>
    </row>
    <row r="3441">
      <c r="D3441" s="11" t="n"/>
      <c r="K3441" s="7">
        <f>IF($C3441="","",J3441*W3441/100)</f>
        <v/>
      </c>
      <c r="Q3441" s="7" t="n"/>
      <c r="R3441" s="7" t="n"/>
      <c r="U3441">
        <f>IF($C3441="","",IF($AJ3441=1,0,IF($AI3441=1,Settings!$C$6,Settings!$C$7))*100)</f>
        <v/>
      </c>
      <c r="V3441" s="7">
        <f>IF($C3441="","",R3441*U3441/100)</f>
        <v/>
      </c>
      <c r="W3441" s="7">
        <f>IF($C3441="","",R3441-V3441)</f>
        <v/>
      </c>
      <c r="X3441" s="7">
        <f>IF($C3441="","",W3441-K3441)</f>
        <v/>
      </c>
      <c r="AB3441" s="7" t="n"/>
      <c r="AE3441" s="11" t="n"/>
      <c r="AG3441">
        <f>IF($C3441="","",IF(COUNTIF($C$2:$C3441,$C3441)=1,1,0))</f>
        <v/>
      </c>
      <c r="AH3441">
        <f>IF($AG3441=1,SUMPRODUCT(--($AK$2:$AK$6001&lt;$AK3441))+1,"")</f>
        <v/>
      </c>
      <c r="AI3441">
        <f>IF($C3441="","",IF(OR($N3441=TRUE(),$N3441="TRUE"),1,0))</f>
        <v/>
      </c>
      <c r="AJ3441">
        <f>IF($C3441="","",IF($T3441="Yes",1,0))</f>
        <v/>
      </c>
      <c r="AK3441">
        <f>IF($AG3441=1,IFERROR(IF(VALUE($C3441)&lt;100000000,VALUE($C3441),1000000000),IFERROR(IF(VALUE(MID($C3441,2,20))&lt;100000000,VALUE(MID($C3441,2,20)),1000000000),1000000000))+ROW()/100000,"")</f>
        <v/>
      </c>
    </row>
    <row r="3442">
      <c r="D3442" s="11" t="n"/>
      <c r="K3442" s="7">
        <f>IF($C3442="","",J3442*W3442/100)</f>
        <v/>
      </c>
      <c r="Q3442" s="7" t="n"/>
      <c r="R3442" s="7" t="n"/>
      <c r="U3442">
        <f>IF($C3442="","",IF($AJ3442=1,0,IF($AI3442=1,Settings!$C$6,Settings!$C$7))*100)</f>
        <v/>
      </c>
      <c r="V3442" s="7">
        <f>IF($C3442="","",R3442*U3442/100)</f>
        <v/>
      </c>
      <c r="W3442" s="7">
        <f>IF($C3442="","",R3442-V3442)</f>
        <v/>
      </c>
      <c r="X3442" s="7">
        <f>IF($C3442="","",W3442-K3442)</f>
        <v/>
      </c>
      <c r="AB3442" s="7" t="n"/>
      <c r="AE3442" s="11" t="n"/>
      <c r="AG3442">
        <f>IF($C3442="","",IF(COUNTIF($C$2:$C3442,$C3442)=1,1,0))</f>
        <v/>
      </c>
      <c r="AH3442">
        <f>IF($AG3442=1,SUMPRODUCT(--($AK$2:$AK$6001&lt;$AK3442))+1,"")</f>
        <v/>
      </c>
      <c r="AI3442">
        <f>IF($C3442="","",IF(OR($N3442=TRUE(),$N3442="TRUE"),1,0))</f>
        <v/>
      </c>
      <c r="AJ3442">
        <f>IF($C3442="","",IF($T3442="Yes",1,0))</f>
        <v/>
      </c>
      <c r="AK3442">
        <f>IF($AG3442=1,IFERROR(IF(VALUE($C3442)&lt;100000000,VALUE($C3442),1000000000),IFERROR(IF(VALUE(MID($C3442,2,20))&lt;100000000,VALUE(MID($C3442,2,20)),1000000000),1000000000))+ROW()/100000,"")</f>
        <v/>
      </c>
    </row>
    <row r="3443">
      <c r="D3443" s="11" t="n"/>
      <c r="K3443" s="7">
        <f>IF($C3443="","",J3443*W3443/100)</f>
        <v/>
      </c>
      <c r="Q3443" s="7" t="n"/>
      <c r="R3443" s="7" t="n"/>
      <c r="U3443">
        <f>IF($C3443="","",IF($AJ3443=1,0,IF($AI3443=1,Settings!$C$6,Settings!$C$7))*100)</f>
        <v/>
      </c>
      <c r="V3443" s="7">
        <f>IF($C3443="","",R3443*U3443/100)</f>
        <v/>
      </c>
      <c r="W3443" s="7">
        <f>IF($C3443="","",R3443-V3443)</f>
        <v/>
      </c>
      <c r="X3443" s="7">
        <f>IF($C3443="","",W3443-K3443)</f>
        <v/>
      </c>
      <c r="AB3443" s="7" t="n"/>
      <c r="AE3443" s="11" t="n"/>
      <c r="AG3443">
        <f>IF($C3443="","",IF(COUNTIF($C$2:$C3443,$C3443)=1,1,0))</f>
        <v/>
      </c>
      <c r="AH3443">
        <f>IF($AG3443=1,SUMPRODUCT(--($AK$2:$AK$6001&lt;$AK3443))+1,"")</f>
        <v/>
      </c>
      <c r="AI3443">
        <f>IF($C3443="","",IF(OR($N3443=TRUE(),$N3443="TRUE"),1,0))</f>
        <v/>
      </c>
      <c r="AJ3443">
        <f>IF($C3443="","",IF($T3443="Yes",1,0))</f>
        <v/>
      </c>
      <c r="AK3443">
        <f>IF($AG3443=1,IFERROR(IF(VALUE($C3443)&lt;100000000,VALUE($C3443),1000000000),IFERROR(IF(VALUE(MID($C3443,2,20))&lt;100000000,VALUE(MID($C3443,2,20)),1000000000),1000000000))+ROW()/100000,"")</f>
        <v/>
      </c>
    </row>
    <row r="3444">
      <c r="D3444" s="11" t="n"/>
      <c r="K3444" s="7">
        <f>IF($C3444="","",J3444*W3444/100)</f>
        <v/>
      </c>
      <c r="Q3444" s="7" t="n"/>
      <c r="R3444" s="7" t="n"/>
      <c r="U3444">
        <f>IF($C3444="","",IF($AJ3444=1,0,IF($AI3444=1,Settings!$C$6,Settings!$C$7))*100)</f>
        <v/>
      </c>
      <c r="V3444" s="7">
        <f>IF($C3444="","",R3444*U3444/100)</f>
        <v/>
      </c>
      <c r="W3444" s="7">
        <f>IF($C3444="","",R3444-V3444)</f>
        <v/>
      </c>
      <c r="X3444" s="7">
        <f>IF($C3444="","",W3444-K3444)</f>
        <v/>
      </c>
      <c r="AB3444" s="7" t="n"/>
      <c r="AE3444" s="11" t="n"/>
      <c r="AG3444">
        <f>IF($C3444="","",IF(COUNTIF($C$2:$C3444,$C3444)=1,1,0))</f>
        <v/>
      </c>
      <c r="AH3444">
        <f>IF($AG3444=1,SUMPRODUCT(--($AK$2:$AK$6001&lt;$AK3444))+1,"")</f>
        <v/>
      </c>
      <c r="AI3444">
        <f>IF($C3444="","",IF(OR($N3444=TRUE(),$N3444="TRUE"),1,0))</f>
        <v/>
      </c>
      <c r="AJ3444">
        <f>IF($C3444="","",IF($T3444="Yes",1,0))</f>
        <v/>
      </c>
      <c r="AK3444">
        <f>IF($AG3444=1,IFERROR(IF(VALUE($C3444)&lt;100000000,VALUE($C3444),1000000000),IFERROR(IF(VALUE(MID($C3444,2,20))&lt;100000000,VALUE(MID($C3444,2,20)),1000000000),1000000000))+ROW()/100000,"")</f>
        <v/>
      </c>
    </row>
    <row r="3445">
      <c r="D3445" s="11" t="n"/>
      <c r="K3445" s="7">
        <f>IF($C3445="","",J3445*W3445/100)</f>
        <v/>
      </c>
      <c r="Q3445" s="7" t="n"/>
      <c r="R3445" s="7" t="n"/>
      <c r="U3445">
        <f>IF($C3445="","",IF($AJ3445=1,0,IF($AI3445=1,Settings!$C$6,Settings!$C$7))*100)</f>
        <v/>
      </c>
      <c r="V3445" s="7">
        <f>IF($C3445="","",R3445*U3445/100)</f>
        <v/>
      </c>
      <c r="W3445" s="7">
        <f>IF($C3445="","",R3445-V3445)</f>
        <v/>
      </c>
      <c r="X3445" s="7">
        <f>IF($C3445="","",W3445-K3445)</f>
        <v/>
      </c>
      <c r="AB3445" s="7" t="n"/>
      <c r="AE3445" s="11" t="n"/>
      <c r="AG3445">
        <f>IF($C3445="","",IF(COUNTIF($C$2:$C3445,$C3445)=1,1,0))</f>
        <v/>
      </c>
      <c r="AH3445">
        <f>IF($AG3445=1,SUMPRODUCT(--($AK$2:$AK$6001&lt;$AK3445))+1,"")</f>
        <v/>
      </c>
      <c r="AI3445">
        <f>IF($C3445="","",IF(OR($N3445=TRUE(),$N3445="TRUE"),1,0))</f>
        <v/>
      </c>
      <c r="AJ3445">
        <f>IF($C3445="","",IF($T3445="Yes",1,0))</f>
        <v/>
      </c>
      <c r="AK3445">
        <f>IF($AG3445=1,IFERROR(IF(VALUE($C3445)&lt;100000000,VALUE($C3445),1000000000),IFERROR(IF(VALUE(MID($C3445,2,20))&lt;100000000,VALUE(MID($C3445,2,20)),1000000000),1000000000))+ROW()/100000,"")</f>
        <v/>
      </c>
    </row>
    <row r="3446">
      <c r="D3446" s="11" t="n"/>
      <c r="K3446" s="7">
        <f>IF($C3446="","",J3446*W3446/100)</f>
        <v/>
      </c>
      <c r="Q3446" s="7" t="n"/>
      <c r="R3446" s="7" t="n"/>
      <c r="U3446">
        <f>IF($C3446="","",IF($AJ3446=1,0,IF($AI3446=1,Settings!$C$6,Settings!$C$7))*100)</f>
        <v/>
      </c>
      <c r="V3446" s="7">
        <f>IF($C3446="","",R3446*U3446/100)</f>
        <v/>
      </c>
      <c r="W3446" s="7">
        <f>IF($C3446="","",R3446-V3446)</f>
        <v/>
      </c>
      <c r="X3446" s="7">
        <f>IF($C3446="","",W3446-K3446)</f>
        <v/>
      </c>
      <c r="AB3446" s="7" t="n"/>
      <c r="AE3446" s="11" t="n"/>
      <c r="AG3446">
        <f>IF($C3446="","",IF(COUNTIF($C$2:$C3446,$C3446)=1,1,0))</f>
        <v/>
      </c>
      <c r="AH3446">
        <f>IF($AG3446=1,SUMPRODUCT(--($AK$2:$AK$6001&lt;$AK3446))+1,"")</f>
        <v/>
      </c>
      <c r="AI3446">
        <f>IF($C3446="","",IF(OR($N3446=TRUE(),$N3446="TRUE"),1,0))</f>
        <v/>
      </c>
      <c r="AJ3446">
        <f>IF($C3446="","",IF($T3446="Yes",1,0))</f>
        <v/>
      </c>
      <c r="AK3446">
        <f>IF($AG3446=1,IFERROR(IF(VALUE($C3446)&lt;100000000,VALUE($C3446),1000000000),IFERROR(IF(VALUE(MID($C3446,2,20))&lt;100000000,VALUE(MID($C3446,2,20)),1000000000),1000000000))+ROW()/100000,"")</f>
        <v/>
      </c>
    </row>
    <row r="3447">
      <c r="D3447" s="11" t="n"/>
      <c r="K3447" s="7">
        <f>IF($C3447="","",J3447*W3447/100)</f>
        <v/>
      </c>
      <c r="Q3447" s="7" t="n"/>
      <c r="R3447" s="7" t="n"/>
      <c r="U3447">
        <f>IF($C3447="","",IF($AJ3447=1,0,IF($AI3447=1,Settings!$C$6,Settings!$C$7))*100)</f>
        <v/>
      </c>
      <c r="V3447" s="7">
        <f>IF($C3447="","",R3447*U3447/100)</f>
        <v/>
      </c>
      <c r="W3447" s="7">
        <f>IF($C3447="","",R3447-V3447)</f>
        <v/>
      </c>
      <c r="X3447" s="7">
        <f>IF($C3447="","",W3447-K3447)</f>
        <v/>
      </c>
      <c r="AB3447" s="7" t="n"/>
      <c r="AE3447" s="11" t="n"/>
      <c r="AG3447">
        <f>IF($C3447="","",IF(COUNTIF($C$2:$C3447,$C3447)=1,1,0))</f>
        <v/>
      </c>
      <c r="AH3447">
        <f>IF($AG3447=1,SUMPRODUCT(--($AK$2:$AK$6001&lt;$AK3447))+1,"")</f>
        <v/>
      </c>
      <c r="AI3447">
        <f>IF($C3447="","",IF(OR($N3447=TRUE(),$N3447="TRUE"),1,0))</f>
        <v/>
      </c>
      <c r="AJ3447">
        <f>IF($C3447="","",IF($T3447="Yes",1,0))</f>
        <v/>
      </c>
      <c r="AK3447">
        <f>IF($AG3447=1,IFERROR(IF(VALUE($C3447)&lt;100000000,VALUE($C3447),1000000000),IFERROR(IF(VALUE(MID($C3447,2,20))&lt;100000000,VALUE(MID($C3447,2,20)),1000000000),1000000000))+ROW()/100000,"")</f>
        <v/>
      </c>
    </row>
    <row r="3448">
      <c r="D3448" s="11" t="n"/>
      <c r="K3448" s="7">
        <f>IF($C3448="","",J3448*W3448/100)</f>
        <v/>
      </c>
      <c r="Q3448" s="7" t="n"/>
      <c r="R3448" s="7" t="n"/>
      <c r="U3448">
        <f>IF($C3448="","",IF($AJ3448=1,0,IF($AI3448=1,Settings!$C$6,Settings!$C$7))*100)</f>
        <v/>
      </c>
      <c r="V3448" s="7">
        <f>IF($C3448="","",R3448*U3448/100)</f>
        <v/>
      </c>
      <c r="W3448" s="7">
        <f>IF($C3448="","",R3448-V3448)</f>
        <v/>
      </c>
      <c r="X3448" s="7">
        <f>IF($C3448="","",W3448-K3448)</f>
        <v/>
      </c>
      <c r="AB3448" s="7" t="n"/>
      <c r="AE3448" s="11" t="n"/>
      <c r="AG3448">
        <f>IF($C3448="","",IF(COUNTIF($C$2:$C3448,$C3448)=1,1,0))</f>
        <v/>
      </c>
      <c r="AH3448">
        <f>IF($AG3448=1,SUMPRODUCT(--($AK$2:$AK$6001&lt;$AK3448))+1,"")</f>
        <v/>
      </c>
      <c r="AI3448">
        <f>IF($C3448="","",IF(OR($N3448=TRUE(),$N3448="TRUE"),1,0))</f>
        <v/>
      </c>
      <c r="AJ3448">
        <f>IF($C3448="","",IF($T3448="Yes",1,0))</f>
        <v/>
      </c>
      <c r="AK3448">
        <f>IF($AG3448=1,IFERROR(IF(VALUE($C3448)&lt;100000000,VALUE($C3448),1000000000),IFERROR(IF(VALUE(MID($C3448,2,20))&lt;100000000,VALUE(MID($C3448,2,20)),1000000000),1000000000))+ROW()/100000,"")</f>
        <v/>
      </c>
    </row>
    <row r="3449">
      <c r="D3449" s="11" t="n"/>
      <c r="K3449" s="7">
        <f>IF($C3449="","",J3449*W3449/100)</f>
        <v/>
      </c>
      <c r="Q3449" s="7" t="n"/>
      <c r="R3449" s="7" t="n"/>
      <c r="U3449">
        <f>IF($C3449="","",IF($AJ3449=1,0,IF($AI3449=1,Settings!$C$6,Settings!$C$7))*100)</f>
        <v/>
      </c>
      <c r="V3449" s="7">
        <f>IF($C3449="","",R3449*U3449/100)</f>
        <v/>
      </c>
      <c r="W3449" s="7">
        <f>IF($C3449="","",R3449-V3449)</f>
        <v/>
      </c>
      <c r="X3449" s="7">
        <f>IF($C3449="","",W3449-K3449)</f>
        <v/>
      </c>
      <c r="AB3449" s="7" t="n"/>
      <c r="AE3449" s="11" t="n"/>
      <c r="AG3449">
        <f>IF($C3449="","",IF(COUNTIF($C$2:$C3449,$C3449)=1,1,0))</f>
        <v/>
      </c>
      <c r="AH3449">
        <f>IF($AG3449=1,SUMPRODUCT(--($AK$2:$AK$6001&lt;$AK3449))+1,"")</f>
        <v/>
      </c>
      <c r="AI3449">
        <f>IF($C3449="","",IF(OR($N3449=TRUE(),$N3449="TRUE"),1,0))</f>
        <v/>
      </c>
      <c r="AJ3449">
        <f>IF($C3449="","",IF($T3449="Yes",1,0))</f>
        <v/>
      </c>
      <c r="AK3449">
        <f>IF($AG3449=1,IFERROR(IF(VALUE($C3449)&lt;100000000,VALUE($C3449),1000000000),IFERROR(IF(VALUE(MID($C3449,2,20))&lt;100000000,VALUE(MID($C3449,2,20)),1000000000),1000000000))+ROW()/100000,"")</f>
        <v/>
      </c>
    </row>
    <row r="3450">
      <c r="D3450" s="11" t="n"/>
      <c r="K3450" s="7">
        <f>IF($C3450="","",J3450*W3450/100)</f>
        <v/>
      </c>
      <c r="Q3450" s="7" t="n"/>
      <c r="R3450" s="7" t="n"/>
      <c r="U3450">
        <f>IF($C3450="","",IF($AJ3450=1,0,IF($AI3450=1,Settings!$C$6,Settings!$C$7))*100)</f>
        <v/>
      </c>
      <c r="V3450" s="7">
        <f>IF($C3450="","",R3450*U3450/100)</f>
        <v/>
      </c>
      <c r="W3450" s="7">
        <f>IF($C3450="","",R3450-V3450)</f>
        <v/>
      </c>
      <c r="X3450" s="7">
        <f>IF($C3450="","",W3450-K3450)</f>
        <v/>
      </c>
      <c r="AB3450" s="7" t="n"/>
      <c r="AE3450" s="11" t="n"/>
      <c r="AG3450">
        <f>IF($C3450="","",IF(COUNTIF($C$2:$C3450,$C3450)=1,1,0))</f>
        <v/>
      </c>
      <c r="AH3450">
        <f>IF($AG3450=1,SUMPRODUCT(--($AK$2:$AK$6001&lt;$AK3450))+1,"")</f>
        <v/>
      </c>
      <c r="AI3450">
        <f>IF($C3450="","",IF(OR($N3450=TRUE(),$N3450="TRUE"),1,0))</f>
        <v/>
      </c>
      <c r="AJ3450">
        <f>IF($C3450="","",IF($T3450="Yes",1,0))</f>
        <v/>
      </c>
      <c r="AK3450">
        <f>IF($AG3450=1,IFERROR(IF(VALUE($C3450)&lt;100000000,VALUE($C3450),1000000000),IFERROR(IF(VALUE(MID($C3450,2,20))&lt;100000000,VALUE(MID($C3450,2,20)),1000000000),1000000000))+ROW()/100000,"")</f>
        <v/>
      </c>
    </row>
    <row r="3451">
      <c r="D3451" s="11" t="n"/>
      <c r="K3451" s="7">
        <f>IF($C3451="","",J3451*W3451/100)</f>
        <v/>
      </c>
      <c r="Q3451" s="7" t="n"/>
      <c r="R3451" s="7" t="n"/>
      <c r="U3451">
        <f>IF($C3451="","",IF($AJ3451=1,0,IF($AI3451=1,Settings!$C$6,Settings!$C$7))*100)</f>
        <v/>
      </c>
      <c r="V3451" s="7">
        <f>IF($C3451="","",R3451*U3451/100)</f>
        <v/>
      </c>
      <c r="W3451" s="7">
        <f>IF($C3451="","",R3451-V3451)</f>
        <v/>
      </c>
      <c r="X3451" s="7">
        <f>IF($C3451="","",W3451-K3451)</f>
        <v/>
      </c>
      <c r="AB3451" s="7" t="n"/>
      <c r="AE3451" s="11" t="n"/>
      <c r="AG3451">
        <f>IF($C3451="","",IF(COUNTIF($C$2:$C3451,$C3451)=1,1,0))</f>
        <v/>
      </c>
      <c r="AH3451">
        <f>IF($AG3451=1,SUMPRODUCT(--($AK$2:$AK$6001&lt;$AK3451))+1,"")</f>
        <v/>
      </c>
      <c r="AI3451">
        <f>IF($C3451="","",IF(OR($N3451=TRUE(),$N3451="TRUE"),1,0))</f>
        <v/>
      </c>
      <c r="AJ3451">
        <f>IF($C3451="","",IF($T3451="Yes",1,0))</f>
        <v/>
      </c>
      <c r="AK3451">
        <f>IF($AG3451=1,IFERROR(IF(VALUE($C3451)&lt;100000000,VALUE($C3451),1000000000),IFERROR(IF(VALUE(MID($C3451,2,20))&lt;100000000,VALUE(MID($C3451,2,20)),1000000000),1000000000))+ROW()/100000,"")</f>
        <v/>
      </c>
    </row>
    <row r="3452">
      <c r="D3452" s="11" t="n"/>
      <c r="K3452" s="7">
        <f>IF($C3452="","",J3452*W3452/100)</f>
        <v/>
      </c>
      <c r="Q3452" s="7" t="n"/>
      <c r="R3452" s="7" t="n"/>
      <c r="U3452">
        <f>IF($C3452="","",IF($AJ3452=1,0,IF($AI3452=1,Settings!$C$6,Settings!$C$7))*100)</f>
        <v/>
      </c>
      <c r="V3452" s="7">
        <f>IF($C3452="","",R3452*U3452/100)</f>
        <v/>
      </c>
      <c r="W3452" s="7">
        <f>IF($C3452="","",R3452-V3452)</f>
        <v/>
      </c>
      <c r="X3452" s="7">
        <f>IF($C3452="","",W3452-K3452)</f>
        <v/>
      </c>
      <c r="AB3452" s="7" t="n"/>
      <c r="AE3452" s="11" t="n"/>
      <c r="AG3452">
        <f>IF($C3452="","",IF(COUNTIF($C$2:$C3452,$C3452)=1,1,0))</f>
        <v/>
      </c>
      <c r="AH3452">
        <f>IF($AG3452=1,SUMPRODUCT(--($AK$2:$AK$6001&lt;$AK3452))+1,"")</f>
        <v/>
      </c>
      <c r="AI3452">
        <f>IF($C3452="","",IF(OR($N3452=TRUE(),$N3452="TRUE"),1,0))</f>
        <v/>
      </c>
      <c r="AJ3452">
        <f>IF($C3452="","",IF($T3452="Yes",1,0))</f>
        <v/>
      </c>
      <c r="AK3452">
        <f>IF($AG3452=1,IFERROR(IF(VALUE($C3452)&lt;100000000,VALUE($C3452),1000000000),IFERROR(IF(VALUE(MID($C3452,2,20))&lt;100000000,VALUE(MID($C3452,2,20)),1000000000),1000000000))+ROW()/100000,"")</f>
        <v/>
      </c>
    </row>
    <row r="3453">
      <c r="D3453" s="11" t="n"/>
      <c r="K3453" s="7">
        <f>IF($C3453="","",J3453*W3453/100)</f>
        <v/>
      </c>
      <c r="Q3453" s="7" t="n"/>
      <c r="R3453" s="7" t="n"/>
      <c r="U3453">
        <f>IF($C3453="","",IF($AJ3453=1,0,IF($AI3453=1,Settings!$C$6,Settings!$C$7))*100)</f>
        <v/>
      </c>
      <c r="V3453" s="7">
        <f>IF($C3453="","",R3453*U3453/100)</f>
        <v/>
      </c>
      <c r="W3453" s="7">
        <f>IF($C3453="","",R3453-V3453)</f>
        <v/>
      </c>
      <c r="X3453" s="7">
        <f>IF($C3453="","",W3453-K3453)</f>
        <v/>
      </c>
      <c r="AB3453" s="7" t="n"/>
      <c r="AE3453" s="11" t="n"/>
      <c r="AG3453">
        <f>IF($C3453="","",IF(COUNTIF($C$2:$C3453,$C3453)=1,1,0))</f>
        <v/>
      </c>
      <c r="AH3453">
        <f>IF($AG3453=1,SUMPRODUCT(--($AK$2:$AK$6001&lt;$AK3453))+1,"")</f>
        <v/>
      </c>
      <c r="AI3453">
        <f>IF($C3453="","",IF(OR($N3453=TRUE(),$N3453="TRUE"),1,0))</f>
        <v/>
      </c>
      <c r="AJ3453">
        <f>IF($C3453="","",IF($T3453="Yes",1,0))</f>
        <v/>
      </c>
      <c r="AK3453">
        <f>IF($AG3453=1,IFERROR(IF(VALUE($C3453)&lt;100000000,VALUE($C3453),1000000000),IFERROR(IF(VALUE(MID($C3453,2,20))&lt;100000000,VALUE(MID($C3453,2,20)),1000000000),1000000000))+ROW()/100000,"")</f>
        <v/>
      </c>
    </row>
    <row r="3454">
      <c r="D3454" s="11" t="n"/>
      <c r="K3454" s="7">
        <f>IF($C3454="","",J3454*W3454/100)</f>
        <v/>
      </c>
      <c r="Q3454" s="7" t="n"/>
      <c r="R3454" s="7" t="n"/>
      <c r="U3454">
        <f>IF($C3454="","",IF($AJ3454=1,0,IF($AI3454=1,Settings!$C$6,Settings!$C$7))*100)</f>
        <v/>
      </c>
      <c r="V3454" s="7">
        <f>IF($C3454="","",R3454*U3454/100)</f>
        <v/>
      </c>
      <c r="W3454" s="7">
        <f>IF($C3454="","",R3454-V3454)</f>
        <v/>
      </c>
      <c r="X3454" s="7">
        <f>IF($C3454="","",W3454-K3454)</f>
        <v/>
      </c>
      <c r="AB3454" s="7" t="n"/>
      <c r="AE3454" s="11" t="n"/>
      <c r="AG3454">
        <f>IF($C3454="","",IF(COUNTIF($C$2:$C3454,$C3454)=1,1,0))</f>
        <v/>
      </c>
      <c r="AH3454">
        <f>IF($AG3454=1,SUMPRODUCT(--($AK$2:$AK$6001&lt;$AK3454))+1,"")</f>
        <v/>
      </c>
      <c r="AI3454">
        <f>IF($C3454="","",IF(OR($N3454=TRUE(),$N3454="TRUE"),1,0))</f>
        <v/>
      </c>
      <c r="AJ3454">
        <f>IF($C3454="","",IF($T3454="Yes",1,0))</f>
        <v/>
      </c>
      <c r="AK3454">
        <f>IF($AG3454=1,IFERROR(IF(VALUE($C3454)&lt;100000000,VALUE($C3454),1000000000),IFERROR(IF(VALUE(MID($C3454,2,20))&lt;100000000,VALUE(MID($C3454,2,20)),1000000000),1000000000))+ROW()/100000,"")</f>
        <v/>
      </c>
    </row>
    <row r="3455">
      <c r="D3455" s="11" t="n"/>
      <c r="K3455" s="7">
        <f>IF($C3455="","",J3455*W3455/100)</f>
        <v/>
      </c>
      <c r="Q3455" s="7" t="n"/>
      <c r="R3455" s="7" t="n"/>
      <c r="U3455">
        <f>IF($C3455="","",IF($AJ3455=1,0,IF($AI3455=1,Settings!$C$6,Settings!$C$7))*100)</f>
        <v/>
      </c>
      <c r="V3455" s="7">
        <f>IF($C3455="","",R3455*U3455/100)</f>
        <v/>
      </c>
      <c r="W3455" s="7">
        <f>IF($C3455="","",R3455-V3455)</f>
        <v/>
      </c>
      <c r="X3455" s="7">
        <f>IF($C3455="","",W3455-K3455)</f>
        <v/>
      </c>
      <c r="AB3455" s="7" t="n"/>
      <c r="AE3455" s="11" t="n"/>
      <c r="AG3455">
        <f>IF($C3455="","",IF(COUNTIF($C$2:$C3455,$C3455)=1,1,0))</f>
        <v/>
      </c>
      <c r="AH3455">
        <f>IF($AG3455=1,SUMPRODUCT(--($AK$2:$AK$6001&lt;$AK3455))+1,"")</f>
        <v/>
      </c>
      <c r="AI3455">
        <f>IF($C3455="","",IF(OR($N3455=TRUE(),$N3455="TRUE"),1,0))</f>
        <v/>
      </c>
      <c r="AJ3455">
        <f>IF($C3455="","",IF($T3455="Yes",1,0))</f>
        <v/>
      </c>
      <c r="AK3455">
        <f>IF($AG3455=1,IFERROR(IF(VALUE($C3455)&lt;100000000,VALUE($C3455),1000000000),IFERROR(IF(VALUE(MID($C3455,2,20))&lt;100000000,VALUE(MID($C3455,2,20)),1000000000),1000000000))+ROW()/100000,"")</f>
        <v/>
      </c>
    </row>
    <row r="3456">
      <c r="D3456" s="11" t="n"/>
      <c r="K3456" s="7">
        <f>IF($C3456="","",J3456*W3456/100)</f>
        <v/>
      </c>
      <c r="Q3456" s="7" t="n"/>
      <c r="R3456" s="7" t="n"/>
      <c r="U3456">
        <f>IF($C3456="","",IF($AJ3456=1,0,IF($AI3456=1,Settings!$C$6,Settings!$C$7))*100)</f>
        <v/>
      </c>
      <c r="V3456" s="7">
        <f>IF($C3456="","",R3456*U3456/100)</f>
        <v/>
      </c>
      <c r="W3456" s="7">
        <f>IF($C3456="","",R3456-V3456)</f>
        <v/>
      </c>
      <c r="X3456" s="7">
        <f>IF($C3456="","",W3456-K3456)</f>
        <v/>
      </c>
      <c r="AB3456" s="7" t="n"/>
      <c r="AE3456" s="11" t="n"/>
      <c r="AG3456">
        <f>IF($C3456="","",IF(COUNTIF($C$2:$C3456,$C3456)=1,1,0))</f>
        <v/>
      </c>
      <c r="AH3456">
        <f>IF($AG3456=1,SUMPRODUCT(--($AK$2:$AK$6001&lt;$AK3456))+1,"")</f>
        <v/>
      </c>
      <c r="AI3456">
        <f>IF($C3456="","",IF(OR($N3456=TRUE(),$N3456="TRUE"),1,0))</f>
        <v/>
      </c>
      <c r="AJ3456">
        <f>IF($C3456="","",IF($T3456="Yes",1,0))</f>
        <v/>
      </c>
      <c r="AK3456">
        <f>IF($AG3456=1,IFERROR(IF(VALUE($C3456)&lt;100000000,VALUE($C3456),1000000000),IFERROR(IF(VALUE(MID($C3456,2,20))&lt;100000000,VALUE(MID($C3456,2,20)),1000000000),1000000000))+ROW()/100000,"")</f>
        <v/>
      </c>
    </row>
    <row r="3457">
      <c r="D3457" s="11" t="n"/>
      <c r="K3457" s="7">
        <f>IF($C3457="","",J3457*W3457/100)</f>
        <v/>
      </c>
      <c r="Q3457" s="7" t="n"/>
      <c r="R3457" s="7" t="n"/>
      <c r="U3457">
        <f>IF($C3457="","",IF($AJ3457=1,0,IF($AI3457=1,Settings!$C$6,Settings!$C$7))*100)</f>
        <v/>
      </c>
      <c r="V3457" s="7">
        <f>IF($C3457="","",R3457*U3457/100)</f>
        <v/>
      </c>
      <c r="W3457" s="7">
        <f>IF($C3457="","",R3457-V3457)</f>
        <v/>
      </c>
      <c r="X3457" s="7">
        <f>IF($C3457="","",W3457-K3457)</f>
        <v/>
      </c>
      <c r="AB3457" s="7" t="n"/>
      <c r="AE3457" s="11" t="n"/>
      <c r="AG3457">
        <f>IF($C3457="","",IF(COUNTIF($C$2:$C3457,$C3457)=1,1,0))</f>
        <v/>
      </c>
      <c r="AH3457">
        <f>IF($AG3457=1,SUMPRODUCT(--($AK$2:$AK$6001&lt;$AK3457))+1,"")</f>
        <v/>
      </c>
      <c r="AI3457">
        <f>IF($C3457="","",IF(OR($N3457=TRUE(),$N3457="TRUE"),1,0))</f>
        <v/>
      </c>
      <c r="AJ3457">
        <f>IF($C3457="","",IF($T3457="Yes",1,0))</f>
        <v/>
      </c>
      <c r="AK3457">
        <f>IF($AG3457=1,IFERROR(IF(VALUE($C3457)&lt;100000000,VALUE($C3457),1000000000),IFERROR(IF(VALUE(MID($C3457,2,20))&lt;100000000,VALUE(MID($C3457,2,20)),1000000000),1000000000))+ROW()/100000,"")</f>
        <v/>
      </c>
    </row>
    <row r="3458">
      <c r="D3458" s="11" t="n"/>
      <c r="K3458" s="7">
        <f>IF($C3458="","",J3458*W3458/100)</f>
        <v/>
      </c>
      <c r="Q3458" s="7" t="n"/>
      <c r="R3458" s="7" t="n"/>
      <c r="U3458">
        <f>IF($C3458="","",IF($AJ3458=1,0,IF($AI3458=1,Settings!$C$6,Settings!$C$7))*100)</f>
        <v/>
      </c>
      <c r="V3458" s="7">
        <f>IF($C3458="","",R3458*U3458/100)</f>
        <v/>
      </c>
      <c r="W3458" s="7">
        <f>IF($C3458="","",R3458-V3458)</f>
        <v/>
      </c>
      <c r="X3458" s="7">
        <f>IF($C3458="","",W3458-K3458)</f>
        <v/>
      </c>
      <c r="AB3458" s="7" t="n"/>
      <c r="AE3458" s="11" t="n"/>
      <c r="AG3458">
        <f>IF($C3458="","",IF(COUNTIF($C$2:$C3458,$C3458)=1,1,0))</f>
        <v/>
      </c>
      <c r="AH3458">
        <f>IF($AG3458=1,SUMPRODUCT(--($AK$2:$AK$6001&lt;$AK3458))+1,"")</f>
        <v/>
      </c>
      <c r="AI3458">
        <f>IF($C3458="","",IF(OR($N3458=TRUE(),$N3458="TRUE"),1,0))</f>
        <v/>
      </c>
      <c r="AJ3458">
        <f>IF($C3458="","",IF($T3458="Yes",1,0))</f>
        <v/>
      </c>
      <c r="AK3458">
        <f>IF($AG3458=1,IFERROR(IF(VALUE($C3458)&lt;100000000,VALUE($C3458),1000000000),IFERROR(IF(VALUE(MID($C3458,2,20))&lt;100000000,VALUE(MID($C3458,2,20)),1000000000),1000000000))+ROW()/100000,"")</f>
        <v/>
      </c>
    </row>
    <row r="3459">
      <c r="D3459" s="11" t="n"/>
      <c r="K3459" s="7">
        <f>IF($C3459="","",J3459*W3459/100)</f>
        <v/>
      </c>
      <c r="Q3459" s="7" t="n"/>
      <c r="R3459" s="7" t="n"/>
      <c r="U3459">
        <f>IF($C3459="","",IF($AJ3459=1,0,IF($AI3459=1,Settings!$C$6,Settings!$C$7))*100)</f>
        <v/>
      </c>
      <c r="V3459" s="7">
        <f>IF($C3459="","",R3459*U3459/100)</f>
        <v/>
      </c>
      <c r="W3459" s="7">
        <f>IF($C3459="","",R3459-V3459)</f>
        <v/>
      </c>
      <c r="X3459" s="7">
        <f>IF($C3459="","",W3459-K3459)</f>
        <v/>
      </c>
      <c r="AB3459" s="7" t="n"/>
      <c r="AE3459" s="11" t="n"/>
      <c r="AG3459">
        <f>IF($C3459="","",IF(COUNTIF($C$2:$C3459,$C3459)=1,1,0))</f>
        <v/>
      </c>
      <c r="AH3459">
        <f>IF($AG3459=1,SUMPRODUCT(--($AK$2:$AK$6001&lt;$AK3459))+1,"")</f>
        <v/>
      </c>
      <c r="AI3459">
        <f>IF($C3459="","",IF(OR($N3459=TRUE(),$N3459="TRUE"),1,0))</f>
        <v/>
      </c>
      <c r="AJ3459">
        <f>IF($C3459="","",IF($T3459="Yes",1,0))</f>
        <v/>
      </c>
      <c r="AK3459">
        <f>IF($AG3459=1,IFERROR(IF(VALUE($C3459)&lt;100000000,VALUE($C3459),1000000000),IFERROR(IF(VALUE(MID($C3459,2,20))&lt;100000000,VALUE(MID($C3459,2,20)),1000000000),1000000000))+ROW()/100000,"")</f>
        <v/>
      </c>
    </row>
    <row r="3460">
      <c r="D3460" s="11" t="n"/>
      <c r="K3460" s="7">
        <f>IF($C3460="","",J3460*W3460/100)</f>
        <v/>
      </c>
      <c r="Q3460" s="7" t="n"/>
      <c r="R3460" s="7" t="n"/>
      <c r="U3460">
        <f>IF($C3460="","",IF($AJ3460=1,0,IF($AI3460=1,Settings!$C$6,Settings!$C$7))*100)</f>
        <v/>
      </c>
      <c r="V3460" s="7">
        <f>IF($C3460="","",R3460*U3460/100)</f>
        <v/>
      </c>
      <c r="W3460" s="7">
        <f>IF($C3460="","",R3460-V3460)</f>
        <v/>
      </c>
      <c r="X3460" s="7">
        <f>IF($C3460="","",W3460-K3460)</f>
        <v/>
      </c>
      <c r="AB3460" s="7" t="n"/>
      <c r="AE3460" s="11" t="n"/>
      <c r="AG3460">
        <f>IF($C3460="","",IF(COUNTIF($C$2:$C3460,$C3460)=1,1,0))</f>
        <v/>
      </c>
      <c r="AH3460">
        <f>IF($AG3460=1,SUMPRODUCT(--($AK$2:$AK$6001&lt;$AK3460))+1,"")</f>
        <v/>
      </c>
      <c r="AI3460">
        <f>IF($C3460="","",IF(OR($N3460=TRUE(),$N3460="TRUE"),1,0))</f>
        <v/>
      </c>
      <c r="AJ3460">
        <f>IF($C3460="","",IF($T3460="Yes",1,0))</f>
        <v/>
      </c>
      <c r="AK3460">
        <f>IF($AG3460=1,IFERROR(IF(VALUE($C3460)&lt;100000000,VALUE($C3460),1000000000),IFERROR(IF(VALUE(MID($C3460,2,20))&lt;100000000,VALUE(MID($C3460,2,20)),1000000000),1000000000))+ROW()/100000,"")</f>
        <v/>
      </c>
    </row>
    <row r="3461">
      <c r="D3461" s="11" t="n"/>
      <c r="K3461" s="7">
        <f>IF($C3461="","",J3461*W3461/100)</f>
        <v/>
      </c>
      <c r="Q3461" s="7" t="n"/>
      <c r="R3461" s="7" t="n"/>
      <c r="U3461">
        <f>IF($C3461="","",IF($AJ3461=1,0,IF($AI3461=1,Settings!$C$6,Settings!$C$7))*100)</f>
        <v/>
      </c>
      <c r="V3461" s="7">
        <f>IF($C3461="","",R3461*U3461/100)</f>
        <v/>
      </c>
      <c r="W3461" s="7">
        <f>IF($C3461="","",R3461-V3461)</f>
        <v/>
      </c>
      <c r="X3461" s="7">
        <f>IF($C3461="","",W3461-K3461)</f>
        <v/>
      </c>
      <c r="AB3461" s="7" t="n"/>
      <c r="AE3461" s="11" t="n"/>
      <c r="AG3461">
        <f>IF($C3461="","",IF(COUNTIF($C$2:$C3461,$C3461)=1,1,0))</f>
        <v/>
      </c>
      <c r="AH3461">
        <f>IF($AG3461=1,SUMPRODUCT(--($AK$2:$AK$6001&lt;$AK3461))+1,"")</f>
        <v/>
      </c>
      <c r="AI3461">
        <f>IF($C3461="","",IF(OR($N3461=TRUE(),$N3461="TRUE"),1,0))</f>
        <v/>
      </c>
      <c r="AJ3461">
        <f>IF($C3461="","",IF($T3461="Yes",1,0))</f>
        <v/>
      </c>
      <c r="AK3461">
        <f>IF($AG3461=1,IFERROR(IF(VALUE($C3461)&lt;100000000,VALUE($C3461),1000000000),IFERROR(IF(VALUE(MID($C3461,2,20))&lt;100000000,VALUE(MID($C3461,2,20)),1000000000),1000000000))+ROW()/100000,"")</f>
        <v/>
      </c>
    </row>
    <row r="3462">
      <c r="D3462" s="11" t="n"/>
      <c r="K3462" s="7">
        <f>IF($C3462="","",J3462*W3462/100)</f>
        <v/>
      </c>
      <c r="Q3462" s="7" t="n"/>
      <c r="R3462" s="7" t="n"/>
      <c r="U3462">
        <f>IF($C3462="","",IF($AJ3462=1,0,IF($AI3462=1,Settings!$C$6,Settings!$C$7))*100)</f>
        <v/>
      </c>
      <c r="V3462" s="7">
        <f>IF($C3462="","",R3462*U3462/100)</f>
        <v/>
      </c>
      <c r="W3462" s="7">
        <f>IF($C3462="","",R3462-V3462)</f>
        <v/>
      </c>
      <c r="X3462" s="7">
        <f>IF($C3462="","",W3462-K3462)</f>
        <v/>
      </c>
      <c r="AB3462" s="7" t="n"/>
      <c r="AE3462" s="11" t="n"/>
      <c r="AG3462">
        <f>IF($C3462="","",IF(COUNTIF($C$2:$C3462,$C3462)=1,1,0))</f>
        <v/>
      </c>
      <c r="AH3462">
        <f>IF($AG3462=1,SUMPRODUCT(--($AK$2:$AK$6001&lt;$AK3462))+1,"")</f>
        <v/>
      </c>
      <c r="AI3462">
        <f>IF($C3462="","",IF(OR($N3462=TRUE(),$N3462="TRUE"),1,0))</f>
        <v/>
      </c>
      <c r="AJ3462">
        <f>IF($C3462="","",IF($T3462="Yes",1,0))</f>
        <v/>
      </c>
      <c r="AK3462">
        <f>IF($AG3462=1,IFERROR(IF(VALUE($C3462)&lt;100000000,VALUE($C3462),1000000000),IFERROR(IF(VALUE(MID($C3462,2,20))&lt;100000000,VALUE(MID($C3462,2,20)),1000000000),1000000000))+ROW()/100000,"")</f>
        <v/>
      </c>
    </row>
    <row r="3463">
      <c r="D3463" s="11" t="n"/>
      <c r="K3463" s="7">
        <f>IF($C3463="","",J3463*W3463/100)</f>
        <v/>
      </c>
      <c r="Q3463" s="7" t="n"/>
      <c r="R3463" s="7" t="n"/>
      <c r="U3463">
        <f>IF($C3463="","",IF($AJ3463=1,0,IF($AI3463=1,Settings!$C$6,Settings!$C$7))*100)</f>
        <v/>
      </c>
      <c r="V3463" s="7">
        <f>IF($C3463="","",R3463*U3463/100)</f>
        <v/>
      </c>
      <c r="W3463" s="7">
        <f>IF($C3463="","",R3463-V3463)</f>
        <v/>
      </c>
      <c r="X3463" s="7">
        <f>IF($C3463="","",W3463-K3463)</f>
        <v/>
      </c>
      <c r="AB3463" s="7" t="n"/>
      <c r="AE3463" s="11" t="n"/>
      <c r="AG3463">
        <f>IF($C3463="","",IF(COUNTIF($C$2:$C3463,$C3463)=1,1,0))</f>
        <v/>
      </c>
      <c r="AH3463">
        <f>IF($AG3463=1,SUMPRODUCT(--($AK$2:$AK$6001&lt;$AK3463))+1,"")</f>
        <v/>
      </c>
      <c r="AI3463">
        <f>IF($C3463="","",IF(OR($N3463=TRUE(),$N3463="TRUE"),1,0))</f>
        <v/>
      </c>
      <c r="AJ3463">
        <f>IF($C3463="","",IF($T3463="Yes",1,0))</f>
        <v/>
      </c>
      <c r="AK3463">
        <f>IF($AG3463=1,IFERROR(IF(VALUE($C3463)&lt;100000000,VALUE($C3463),1000000000),IFERROR(IF(VALUE(MID($C3463,2,20))&lt;100000000,VALUE(MID($C3463,2,20)),1000000000),1000000000))+ROW()/100000,"")</f>
        <v/>
      </c>
    </row>
    <row r="3464">
      <c r="D3464" s="11" t="n"/>
      <c r="K3464" s="7">
        <f>IF($C3464="","",J3464*W3464/100)</f>
        <v/>
      </c>
      <c r="Q3464" s="7" t="n"/>
      <c r="R3464" s="7" t="n"/>
      <c r="U3464">
        <f>IF($C3464="","",IF($AJ3464=1,0,IF($AI3464=1,Settings!$C$6,Settings!$C$7))*100)</f>
        <v/>
      </c>
      <c r="V3464" s="7">
        <f>IF($C3464="","",R3464*U3464/100)</f>
        <v/>
      </c>
      <c r="W3464" s="7">
        <f>IF($C3464="","",R3464-V3464)</f>
        <v/>
      </c>
      <c r="X3464" s="7">
        <f>IF($C3464="","",W3464-K3464)</f>
        <v/>
      </c>
      <c r="AB3464" s="7" t="n"/>
      <c r="AE3464" s="11" t="n"/>
      <c r="AG3464">
        <f>IF($C3464="","",IF(COUNTIF($C$2:$C3464,$C3464)=1,1,0))</f>
        <v/>
      </c>
      <c r="AH3464">
        <f>IF($AG3464=1,SUMPRODUCT(--($AK$2:$AK$6001&lt;$AK3464))+1,"")</f>
        <v/>
      </c>
      <c r="AI3464">
        <f>IF($C3464="","",IF(OR($N3464=TRUE(),$N3464="TRUE"),1,0))</f>
        <v/>
      </c>
      <c r="AJ3464">
        <f>IF($C3464="","",IF($T3464="Yes",1,0))</f>
        <v/>
      </c>
      <c r="AK3464">
        <f>IF($AG3464=1,IFERROR(IF(VALUE($C3464)&lt;100000000,VALUE($C3464),1000000000),IFERROR(IF(VALUE(MID($C3464,2,20))&lt;100000000,VALUE(MID($C3464,2,20)),1000000000),1000000000))+ROW()/100000,"")</f>
        <v/>
      </c>
    </row>
    <row r="3465">
      <c r="D3465" s="11" t="n"/>
      <c r="K3465" s="7">
        <f>IF($C3465="","",J3465*W3465/100)</f>
        <v/>
      </c>
      <c r="Q3465" s="7" t="n"/>
      <c r="R3465" s="7" t="n"/>
      <c r="U3465">
        <f>IF($C3465="","",IF($AJ3465=1,0,IF($AI3465=1,Settings!$C$6,Settings!$C$7))*100)</f>
        <v/>
      </c>
      <c r="V3465" s="7">
        <f>IF($C3465="","",R3465*U3465/100)</f>
        <v/>
      </c>
      <c r="W3465" s="7">
        <f>IF($C3465="","",R3465-V3465)</f>
        <v/>
      </c>
      <c r="X3465" s="7">
        <f>IF($C3465="","",W3465-K3465)</f>
        <v/>
      </c>
      <c r="AB3465" s="7" t="n"/>
      <c r="AE3465" s="11" t="n"/>
      <c r="AG3465">
        <f>IF($C3465="","",IF(COUNTIF($C$2:$C3465,$C3465)=1,1,0))</f>
        <v/>
      </c>
      <c r="AH3465">
        <f>IF($AG3465=1,SUMPRODUCT(--($AK$2:$AK$6001&lt;$AK3465))+1,"")</f>
        <v/>
      </c>
      <c r="AI3465">
        <f>IF($C3465="","",IF(OR($N3465=TRUE(),$N3465="TRUE"),1,0))</f>
        <v/>
      </c>
      <c r="AJ3465">
        <f>IF($C3465="","",IF($T3465="Yes",1,0))</f>
        <v/>
      </c>
      <c r="AK3465">
        <f>IF($AG3465=1,IFERROR(IF(VALUE($C3465)&lt;100000000,VALUE($C3465),1000000000),IFERROR(IF(VALUE(MID($C3465,2,20))&lt;100000000,VALUE(MID($C3465,2,20)),1000000000),1000000000))+ROW()/100000,"")</f>
        <v/>
      </c>
    </row>
    <row r="3466">
      <c r="D3466" s="11" t="n"/>
      <c r="K3466" s="7">
        <f>IF($C3466="","",J3466*W3466/100)</f>
        <v/>
      </c>
      <c r="Q3466" s="7" t="n"/>
      <c r="R3466" s="7" t="n"/>
      <c r="U3466">
        <f>IF($C3466="","",IF($AJ3466=1,0,IF($AI3466=1,Settings!$C$6,Settings!$C$7))*100)</f>
        <v/>
      </c>
      <c r="V3466" s="7">
        <f>IF($C3466="","",R3466*U3466/100)</f>
        <v/>
      </c>
      <c r="W3466" s="7">
        <f>IF($C3466="","",R3466-V3466)</f>
        <v/>
      </c>
      <c r="X3466" s="7">
        <f>IF($C3466="","",W3466-K3466)</f>
        <v/>
      </c>
      <c r="AB3466" s="7" t="n"/>
      <c r="AE3466" s="11" t="n"/>
      <c r="AG3466">
        <f>IF($C3466="","",IF(COUNTIF($C$2:$C3466,$C3466)=1,1,0))</f>
        <v/>
      </c>
      <c r="AH3466">
        <f>IF($AG3466=1,SUMPRODUCT(--($AK$2:$AK$6001&lt;$AK3466))+1,"")</f>
        <v/>
      </c>
      <c r="AI3466">
        <f>IF($C3466="","",IF(OR($N3466=TRUE(),$N3466="TRUE"),1,0))</f>
        <v/>
      </c>
      <c r="AJ3466">
        <f>IF($C3466="","",IF($T3466="Yes",1,0))</f>
        <v/>
      </c>
      <c r="AK3466">
        <f>IF($AG3466=1,IFERROR(IF(VALUE($C3466)&lt;100000000,VALUE($C3466),1000000000),IFERROR(IF(VALUE(MID($C3466,2,20))&lt;100000000,VALUE(MID($C3466,2,20)),1000000000),1000000000))+ROW()/100000,"")</f>
        <v/>
      </c>
    </row>
    <row r="3467">
      <c r="D3467" s="11" t="n"/>
      <c r="K3467" s="7">
        <f>IF($C3467="","",J3467*W3467/100)</f>
        <v/>
      </c>
      <c r="Q3467" s="7" t="n"/>
      <c r="R3467" s="7" t="n"/>
      <c r="U3467">
        <f>IF($C3467="","",IF($AJ3467=1,0,IF($AI3467=1,Settings!$C$6,Settings!$C$7))*100)</f>
        <v/>
      </c>
      <c r="V3467" s="7">
        <f>IF($C3467="","",R3467*U3467/100)</f>
        <v/>
      </c>
      <c r="W3467" s="7">
        <f>IF($C3467="","",R3467-V3467)</f>
        <v/>
      </c>
      <c r="X3467" s="7">
        <f>IF($C3467="","",W3467-K3467)</f>
        <v/>
      </c>
      <c r="AB3467" s="7" t="n"/>
      <c r="AE3467" s="11" t="n"/>
      <c r="AG3467">
        <f>IF($C3467="","",IF(COUNTIF($C$2:$C3467,$C3467)=1,1,0))</f>
        <v/>
      </c>
      <c r="AH3467">
        <f>IF($AG3467=1,SUMPRODUCT(--($AK$2:$AK$6001&lt;$AK3467))+1,"")</f>
        <v/>
      </c>
      <c r="AI3467">
        <f>IF($C3467="","",IF(OR($N3467=TRUE(),$N3467="TRUE"),1,0))</f>
        <v/>
      </c>
      <c r="AJ3467">
        <f>IF($C3467="","",IF($T3467="Yes",1,0))</f>
        <v/>
      </c>
      <c r="AK3467">
        <f>IF($AG3467=1,IFERROR(IF(VALUE($C3467)&lt;100000000,VALUE($C3467),1000000000),IFERROR(IF(VALUE(MID($C3467,2,20))&lt;100000000,VALUE(MID($C3467,2,20)),1000000000),1000000000))+ROW()/100000,"")</f>
        <v/>
      </c>
    </row>
    <row r="3468">
      <c r="D3468" s="11" t="n"/>
      <c r="K3468" s="7">
        <f>IF($C3468="","",J3468*W3468/100)</f>
        <v/>
      </c>
      <c r="Q3468" s="7" t="n"/>
      <c r="R3468" s="7" t="n"/>
      <c r="U3468">
        <f>IF($C3468="","",IF($AJ3468=1,0,IF($AI3468=1,Settings!$C$6,Settings!$C$7))*100)</f>
        <v/>
      </c>
      <c r="V3468" s="7">
        <f>IF($C3468="","",R3468*U3468/100)</f>
        <v/>
      </c>
      <c r="W3468" s="7">
        <f>IF($C3468="","",R3468-V3468)</f>
        <v/>
      </c>
      <c r="X3468" s="7">
        <f>IF($C3468="","",W3468-K3468)</f>
        <v/>
      </c>
      <c r="AB3468" s="7" t="n"/>
      <c r="AE3468" s="11" t="n"/>
      <c r="AG3468">
        <f>IF($C3468="","",IF(COUNTIF($C$2:$C3468,$C3468)=1,1,0))</f>
        <v/>
      </c>
      <c r="AH3468">
        <f>IF($AG3468=1,SUMPRODUCT(--($AK$2:$AK$6001&lt;$AK3468))+1,"")</f>
        <v/>
      </c>
      <c r="AI3468">
        <f>IF($C3468="","",IF(OR($N3468=TRUE(),$N3468="TRUE"),1,0))</f>
        <v/>
      </c>
      <c r="AJ3468">
        <f>IF($C3468="","",IF($T3468="Yes",1,0))</f>
        <v/>
      </c>
      <c r="AK3468">
        <f>IF($AG3468=1,IFERROR(IF(VALUE($C3468)&lt;100000000,VALUE($C3468),1000000000),IFERROR(IF(VALUE(MID($C3468,2,20))&lt;100000000,VALUE(MID($C3468,2,20)),1000000000),1000000000))+ROW()/100000,"")</f>
        <v/>
      </c>
    </row>
    <row r="3469">
      <c r="D3469" s="11" t="n"/>
      <c r="K3469" s="7">
        <f>IF($C3469="","",J3469*W3469/100)</f>
        <v/>
      </c>
      <c r="Q3469" s="7" t="n"/>
      <c r="R3469" s="7" t="n"/>
      <c r="U3469">
        <f>IF($C3469="","",IF($AJ3469=1,0,IF($AI3469=1,Settings!$C$6,Settings!$C$7))*100)</f>
        <v/>
      </c>
      <c r="V3469" s="7">
        <f>IF($C3469="","",R3469*U3469/100)</f>
        <v/>
      </c>
      <c r="W3469" s="7">
        <f>IF($C3469="","",R3469-V3469)</f>
        <v/>
      </c>
      <c r="X3469" s="7">
        <f>IF($C3469="","",W3469-K3469)</f>
        <v/>
      </c>
      <c r="AB3469" s="7" t="n"/>
      <c r="AE3469" s="11" t="n"/>
      <c r="AG3469">
        <f>IF($C3469="","",IF(COUNTIF($C$2:$C3469,$C3469)=1,1,0))</f>
        <v/>
      </c>
      <c r="AH3469">
        <f>IF($AG3469=1,SUMPRODUCT(--($AK$2:$AK$6001&lt;$AK3469))+1,"")</f>
        <v/>
      </c>
      <c r="AI3469">
        <f>IF($C3469="","",IF(OR($N3469=TRUE(),$N3469="TRUE"),1,0))</f>
        <v/>
      </c>
      <c r="AJ3469">
        <f>IF($C3469="","",IF($T3469="Yes",1,0))</f>
        <v/>
      </c>
      <c r="AK3469">
        <f>IF($AG3469=1,IFERROR(IF(VALUE($C3469)&lt;100000000,VALUE($C3469),1000000000),IFERROR(IF(VALUE(MID($C3469,2,20))&lt;100000000,VALUE(MID($C3469,2,20)),1000000000),1000000000))+ROW()/100000,"")</f>
        <v/>
      </c>
    </row>
    <row r="3470">
      <c r="D3470" s="11" t="n"/>
      <c r="K3470" s="7">
        <f>IF($C3470="","",J3470*W3470/100)</f>
        <v/>
      </c>
      <c r="Q3470" s="7" t="n"/>
      <c r="R3470" s="7" t="n"/>
      <c r="U3470">
        <f>IF($C3470="","",IF($AJ3470=1,0,IF($AI3470=1,Settings!$C$6,Settings!$C$7))*100)</f>
        <v/>
      </c>
      <c r="V3470" s="7">
        <f>IF($C3470="","",R3470*U3470/100)</f>
        <v/>
      </c>
      <c r="W3470" s="7">
        <f>IF($C3470="","",R3470-V3470)</f>
        <v/>
      </c>
      <c r="X3470" s="7">
        <f>IF($C3470="","",W3470-K3470)</f>
        <v/>
      </c>
      <c r="AB3470" s="7" t="n"/>
      <c r="AE3470" s="11" t="n"/>
      <c r="AG3470">
        <f>IF($C3470="","",IF(COUNTIF($C$2:$C3470,$C3470)=1,1,0))</f>
        <v/>
      </c>
      <c r="AH3470">
        <f>IF($AG3470=1,SUMPRODUCT(--($AK$2:$AK$6001&lt;$AK3470))+1,"")</f>
        <v/>
      </c>
      <c r="AI3470">
        <f>IF($C3470="","",IF(OR($N3470=TRUE(),$N3470="TRUE"),1,0))</f>
        <v/>
      </c>
      <c r="AJ3470">
        <f>IF($C3470="","",IF($T3470="Yes",1,0))</f>
        <v/>
      </c>
      <c r="AK3470">
        <f>IF($AG3470=1,IFERROR(IF(VALUE($C3470)&lt;100000000,VALUE($C3470),1000000000),IFERROR(IF(VALUE(MID($C3470,2,20))&lt;100000000,VALUE(MID($C3470,2,20)),1000000000),1000000000))+ROW()/100000,"")</f>
        <v/>
      </c>
    </row>
    <row r="3471">
      <c r="D3471" s="11" t="n"/>
      <c r="K3471" s="7">
        <f>IF($C3471="","",J3471*W3471/100)</f>
        <v/>
      </c>
      <c r="Q3471" s="7" t="n"/>
      <c r="R3471" s="7" t="n"/>
      <c r="U3471">
        <f>IF($C3471="","",IF($AJ3471=1,0,IF($AI3471=1,Settings!$C$6,Settings!$C$7))*100)</f>
        <v/>
      </c>
      <c r="V3471" s="7">
        <f>IF($C3471="","",R3471*U3471/100)</f>
        <v/>
      </c>
      <c r="W3471" s="7">
        <f>IF($C3471="","",R3471-V3471)</f>
        <v/>
      </c>
      <c r="X3471" s="7">
        <f>IF($C3471="","",W3471-K3471)</f>
        <v/>
      </c>
      <c r="AB3471" s="7" t="n"/>
      <c r="AE3471" s="11" t="n"/>
      <c r="AG3471">
        <f>IF($C3471="","",IF(COUNTIF($C$2:$C3471,$C3471)=1,1,0))</f>
        <v/>
      </c>
      <c r="AH3471">
        <f>IF($AG3471=1,SUMPRODUCT(--($AK$2:$AK$6001&lt;$AK3471))+1,"")</f>
        <v/>
      </c>
      <c r="AI3471">
        <f>IF($C3471="","",IF(OR($N3471=TRUE(),$N3471="TRUE"),1,0))</f>
        <v/>
      </c>
      <c r="AJ3471">
        <f>IF($C3471="","",IF($T3471="Yes",1,0))</f>
        <v/>
      </c>
      <c r="AK3471">
        <f>IF($AG3471=1,IFERROR(IF(VALUE($C3471)&lt;100000000,VALUE($C3471),1000000000),IFERROR(IF(VALUE(MID($C3471,2,20))&lt;100000000,VALUE(MID($C3471,2,20)),1000000000),1000000000))+ROW()/100000,"")</f>
        <v/>
      </c>
    </row>
    <row r="3472">
      <c r="D3472" s="11" t="n"/>
      <c r="K3472" s="7">
        <f>IF($C3472="","",J3472*W3472/100)</f>
        <v/>
      </c>
      <c r="Q3472" s="7" t="n"/>
      <c r="R3472" s="7" t="n"/>
      <c r="U3472">
        <f>IF($C3472="","",IF($AJ3472=1,0,IF($AI3472=1,Settings!$C$6,Settings!$C$7))*100)</f>
        <v/>
      </c>
      <c r="V3472" s="7">
        <f>IF($C3472="","",R3472*U3472/100)</f>
        <v/>
      </c>
      <c r="W3472" s="7">
        <f>IF($C3472="","",R3472-V3472)</f>
        <v/>
      </c>
      <c r="X3472" s="7">
        <f>IF($C3472="","",W3472-K3472)</f>
        <v/>
      </c>
      <c r="AB3472" s="7" t="n"/>
      <c r="AE3472" s="11" t="n"/>
      <c r="AG3472">
        <f>IF($C3472="","",IF(COUNTIF($C$2:$C3472,$C3472)=1,1,0))</f>
        <v/>
      </c>
      <c r="AH3472">
        <f>IF($AG3472=1,SUMPRODUCT(--($AK$2:$AK$6001&lt;$AK3472))+1,"")</f>
        <v/>
      </c>
      <c r="AI3472">
        <f>IF($C3472="","",IF(OR($N3472=TRUE(),$N3472="TRUE"),1,0))</f>
        <v/>
      </c>
      <c r="AJ3472">
        <f>IF($C3472="","",IF($T3472="Yes",1,0))</f>
        <v/>
      </c>
      <c r="AK3472">
        <f>IF($AG3472=1,IFERROR(IF(VALUE($C3472)&lt;100000000,VALUE($C3472),1000000000),IFERROR(IF(VALUE(MID($C3472,2,20))&lt;100000000,VALUE(MID($C3472,2,20)),1000000000),1000000000))+ROW()/100000,"")</f>
        <v/>
      </c>
    </row>
    <row r="3473">
      <c r="D3473" s="11" t="n"/>
      <c r="K3473" s="7">
        <f>IF($C3473="","",J3473*W3473/100)</f>
        <v/>
      </c>
      <c r="Q3473" s="7" t="n"/>
      <c r="R3473" s="7" t="n"/>
      <c r="U3473">
        <f>IF($C3473="","",IF($AJ3473=1,0,IF($AI3473=1,Settings!$C$6,Settings!$C$7))*100)</f>
        <v/>
      </c>
      <c r="V3473" s="7">
        <f>IF($C3473="","",R3473*U3473/100)</f>
        <v/>
      </c>
      <c r="W3473" s="7">
        <f>IF($C3473="","",R3473-V3473)</f>
        <v/>
      </c>
      <c r="X3473" s="7">
        <f>IF($C3473="","",W3473-K3473)</f>
        <v/>
      </c>
      <c r="AB3473" s="7" t="n"/>
      <c r="AE3473" s="11" t="n"/>
      <c r="AG3473">
        <f>IF($C3473="","",IF(COUNTIF($C$2:$C3473,$C3473)=1,1,0))</f>
        <v/>
      </c>
      <c r="AH3473">
        <f>IF($AG3473=1,SUMPRODUCT(--($AK$2:$AK$6001&lt;$AK3473))+1,"")</f>
        <v/>
      </c>
      <c r="AI3473">
        <f>IF($C3473="","",IF(OR($N3473=TRUE(),$N3473="TRUE"),1,0))</f>
        <v/>
      </c>
      <c r="AJ3473">
        <f>IF($C3473="","",IF($T3473="Yes",1,0))</f>
        <v/>
      </c>
      <c r="AK3473">
        <f>IF($AG3473=1,IFERROR(IF(VALUE($C3473)&lt;100000000,VALUE($C3473),1000000000),IFERROR(IF(VALUE(MID($C3473,2,20))&lt;100000000,VALUE(MID($C3473,2,20)),1000000000),1000000000))+ROW()/100000,"")</f>
        <v/>
      </c>
    </row>
    <row r="3474">
      <c r="D3474" s="11" t="n"/>
      <c r="K3474" s="7">
        <f>IF($C3474="","",J3474*W3474/100)</f>
        <v/>
      </c>
      <c r="Q3474" s="7" t="n"/>
      <c r="R3474" s="7" t="n"/>
      <c r="U3474">
        <f>IF($C3474="","",IF($AJ3474=1,0,IF($AI3474=1,Settings!$C$6,Settings!$C$7))*100)</f>
        <v/>
      </c>
      <c r="V3474" s="7">
        <f>IF($C3474="","",R3474*U3474/100)</f>
        <v/>
      </c>
      <c r="W3474" s="7">
        <f>IF($C3474="","",R3474-V3474)</f>
        <v/>
      </c>
      <c r="X3474" s="7">
        <f>IF($C3474="","",W3474-K3474)</f>
        <v/>
      </c>
      <c r="AB3474" s="7" t="n"/>
      <c r="AE3474" s="11" t="n"/>
      <c r="AG3474">
        <f>IF($C3474="","",IF(COUNTIF($C$2:$C3474,$C3474)=1,1,0))</f>
        <v/>
      </c>
      <c r="AH3474">
        <f>IF($AG3474=1,SUMPRODUCT(--($AK$2:$AK$6001&lt;$AK3474))+1,"")</f>
        <v/>
      </c>
      <c r="AI3474">
        <f>IF($C3474="","",IF(OR($N3474=TRUE(),$N3474="TRUE"),1,0))</f>
        <v/>
      </c>
      <c r="AJ3474">
        <f>IF($C3474="","",IF($T3474="Yes",1,0))</f>
        <v/>
      </c>
      <c r="AK3474">
        <f>IF($AG3474=1,IFERROR(IF(VALUE($C3474)&lt;100000000,VALUE($C3474),1000000000),IFERROR(IF(VALUE(MID($C3474,2,20))&lt;100000000,VALUE(MID($C3474,2,20)),1000000000),1000000000))+ROW()/100000,"")</f>
        <v/>
      </c>
    </row>
    <row r="3475">
      <c r="D3475" s="11" t="n"/>
      <c r="K3475" s="7">
        <f>IF($C3475="","",J3475*W3475/100)</f>
        <v/>
      </c>
      <c r="Q3475" s="7" t="n"/>
      <c r="R3475" s="7" t="n"/>
      <c r="U3475">
        <f>IF($C3475="","",IF($AJ3475=1,0,IF($AI3475=1,Settings!$C$6,Settings!$C$7))*100)</f>
        <v/>
      </c>
      <c r="V3475" s="7">
        <f>IF($C3475="","",R3475*U3475/100)</f>
        <v/>
      </c>
      <c r="W3475" s="7">
        <f>IF($C3475="","",R3475-V3475)</f>
        <v/>
      </c>
      <c r="X3475" s="7">
        <f>IF($C3475="","",W3475-K3475)</f>
        <v/>
      </c>
      <c r="AB3475" s="7" t="n"/>
      <c r="AE3475" s="11" t="n"/>
      <c r="AG3475">
        <f>IF($C3475="","",IF(COUNTIF($C$2:$C3475,$C3475)=1,1,0))</f>
        <v/>
      </c>
      <c r="AH3475">
        <f>IF($AG3475=1,SUMPRODUCT(--($AK$2:$AK$6001&lt;$AK3475))+1,"")</f>
        <v/>
      </c>
      <c r="AI3475">
        <f>IF($C3475="","",IF(OR($N3475=TRUE(),$N3475="TRUE"),1,0))</f>
        <v/>
      </c>
      <c r="AJ3475">
        <f>IF($C3475="","",IF($T3475="Yes",1,0))</f>
        <v/>
      </c>
      <c r="AK3475">
        <f>IF($AG3475=1,IFERROR(IF(VALUE($C3475)&lt;100000000,VALUE($C3475),1000000000),IFERROR(IF(VALUE(MID($C3475,2,20))&lt;100000000,VALUE(MID($C3475,2,20)),1000000000),1000000000))+ROW()/100000,"")</f>
        <v/>
      </c>
    </row>
    <row r="3476">
      <c r="D3476" s="11" t="n"/>
      <c r="K3476" s="7">
        <f>IF($C3476="","",J3476*W3476/100)</f>
        <v/>
      </c>
      <c r="Q3476" s="7" t="n"/>
      <c r="R3476" s="7" t="n"/>
      <c r="U3476">
        <f>IF($C3476="","",IF($AJ3476=1,0,IF($AI3476=1,Settings!$C$6,Settings!$C$7))*100)</f>
        <v/>
      </c>
      <c r="V3476" s="7">
        <f>IF($C3476="","",R3476*U3476/100)</f>
        <v/>
      </c>
      <c r="W3476" s="7">
        <f>IF($C3476="","",R3476-V3476)</f>
        <v/>
      </c>
      <c r="X3476" s="7">
        <f>IF($C3476="","",W3476-K3476)</f>
        <v/>
      </c>
      <c r="AB3476" s="7" t="n"/>
      <c r="AE3476" s="11" t="n"/>
      <c r="AG3476">
        <f>IF($C3476="","",IF(COUNTIF($C$2:$C3476,$C3476)=1,1,0))</f>
        <v/>
      </c>
      <c r="AH3476">
        <f>IF($AG3476=1,SUMPRODUCT(--($AK$2:$AK$6001&lt;$AK3476))+1,"")</f>
        <v/>
      </c>
      <c r="AI3476">
        <f>IF($C3476="","",IF(OR($N3476=TRUE(),$N3476="TRUE"),1,0))</f>
        <v/>
      </c>
      <c r="AJ3476">
        <f>IF($C3476="","",IF($T3476="Yes",1,0))</f>
        <v/>
      </c>
      <c r="AK3476">
        <f>IF($AG3476=1,IFERROR(IF(VALUE($C3476)&lt;100000000,VALUE($C3476),1000000000),IFERROR(IF(VALUE(MID($C3476,2,20))&lt;100000000,VALUE(MID($C3476,2,20)),1000000000),1000000000))+ROW()/100000,"")</f>
        <v/>
      </c>
    </row>
    <row r="3477">
      <c r="D3477" s="11" t="n"/>
      <c r="K3477" s="7">
        <f>IF($C3477="","",J3477*W3477/100)</f>
        <v/>
      </c>
      <c r="Q3477" s="7" t="n"/>
      <c r="R3477" s="7" t="n"/>
      <c r="U3477">
        <f>IF($C3477="","",IF($AJ3477=1,0,IF($AI3477=1,Settings!$C$6,Settings!$C$7))*100)</f>
        <v/>
      </c>
      <c r="V3477" s="7">
        <f>IF($C3477="","",R3477*U3477/100)</f>
        <v/>
      </c>
      <c r="W3477" s="7">
        <f>IF($C3477="","",R3477-V3477)</f>
        <v/>
      </c>
      <c r="X3477" s="7">
        <f>IF($C3477="","",W3477-K3477)</f>
        <v/>
      </c>
      <c r="AB3477" s="7" t="n"/>
      <c r="AE3477" s="11" t="n"/>
      <c r="AG3477">
        <f>IF($C3477="","",IF(COUNTIF($C$2:$C3477,$C3477)=1,1,0))</f>
        <v/>
      </c>
      <c r="AH3477">
        <f>IF($AG3477=1,SUMPRODUCT(--($AK$2:$AK$6001&lt;$AK3477))+1,"")</f>
        <v/>
      </c>
      <c r="AI3477">
        <f>IF($C3477="","",IF(OR($N3477=TRUE(),$N3477="TRUE"),1,0))</f>
        <v/>
      </c>
      <c r="AJ3477">
        <f>IF($C3477="","",IF($T3477="Yes",1,0))</f>
        <v/>
      </c>
      <c r="AK3477">
        <f>IF($AG3477=1,IFERROR(IF(VALUE($C3477)&lt;100000000,VALUE($C3477),1000000000),IFERROR(IF(VALUE(MID($C3477,2,20))&lt;100000000,VALUE(MID($C3477,2,20)),1000000000),1000000000))+ROW()/100000,"")</f>
        <v/>
      </c>
    </row>
    <row r="3478">
      <c r="D3478" s="11" t="n"/>
      <c r="K3478" s="7">
        <f>IF($C3478="","",J3478*W3478/100)</f>
        <v/>
      </c>
      <c r="Q3478" s="7" t="n"/>
      <c r="R3478" s="7" t="n"/>
      <c r="U3478">
        <f>IF($C3478="","",IF($AJ3478=1,0,IF($AI3478=1,Settings!$C$6,Settings!$C$7))*100)</f>
        <v/>
      </c>
      <c r="V3478" s="7">
        <f>IF($C3478="","",R3478*U3478/100)</f>
        <v/>
      </c>
      <c r="W3478" s="7">
        <f>IF($C3478="","",R3478-V3478)</f>
        <v/>
      </c>
      <c r="X3478" s="7">
        <f>IF($C3478="","",W3478-K3478)</f>
        <v/>
      </c>
      <c r="AB3478" s="7" t="n"/>
      <c r="AE3478" s="11" t="n"/>
      <c r="AG3478">
        <f>IF($C3478="","",IF(COUNTIF($C$2:$C3478,$C3478)=1,1,0))</f>
        <v/>
      </c>
      <c r="AH3478">
        <f>IF($AG3478=1,SUMPRODUCT(--($AK$2:$AK$6001&lt;$AK3478))+1,"")</f>
        <v/>
      </c>
      <c r="AI3478">
        <f>IF($C3478="","",IF(OR($N3478=TRUE(),$N3478="TRUE"),1,0))</f>
        <v/>
      </c>
      <c r="AJ3478">
        <f>IF($C3478="","",IF($T3478="Yes",1,0))</f>
        <v/>
      </c>
      <c r="AK3478">
        <f>IF($AG3478=1,IFERROR(IF(VALUE($C3478)&lt;100000000,VALUE($C3478),1000000000),IFERROR(IF(VALUE(MID($C3478,2,20))&lt;100000000,VALUE(MID($C3478,2,20)),1000000000),1000000000))+ROW()/100000,"")</f>
        <v/>
      </c>
    </row>
    <row r="3479">
      <c r="D3479" s="11" t="n"/>
      <c r="K3479" s="7">
        <f>IF($C3479="","",J3479*W3479/100)</f>
        <v/>
      </c>
      <c r="Q3479" s="7" t="n"/>
      <c r="R3479" s="7" t="n"/>
      <c r="U3479">
        <f>IF($C3479="","",IF($AJ3479=1,0,IF($AI3479=1,Settings!$C$6,Settings!$C$7))*100)</f>
        <v/>
      </c>
      <c r="V3479" s="7">
        <f>IF($C3479="","",R3479*U3479/100)</f>
        <v/>
      </c>
      <c r="W3479" s="7">
        <f>IF($C3479="","",R3479-V3479)</f>
        <v/>
      </c>
      <c r="X3479" s="7">
        <f>IF($C3479="","",W3479-K3479)</f>
        <v/>
      </c>
      <c r="AB3479" s="7" t="n"/>
      <c r="AE3479" s="11" t="n"/>
      <c r="AG3479">
        <f>IF($C3479="","",IF(COUNTIF($C$2:$C3479,$C3479)=1,1,0))</f>
        <v/>
      </c>
      <c r="AH3479">
        <f>IF($AG3479=1,SUMPRODUCT(--($AK$2:$AK$6001&lt;$AK3479))+1,"")</f>
        <v/>
      </c>
      <c r="AI3479">
        <f>IF($C3479="","",IF(OR($N3479=TRUE(),$N3479="TRUE"),1,0))</f>
        <v/>
      </c>
      <c r="AJ3479">
        <f>IF($C3479="","",IF($T3479="Yes",1,0))</f>
        <v/>
      </c>
      <c r="AK3479">
        <f>IF($AG3479=1,IFERROR(IF(VALUE($C3479)&lt;100000000,VALUE($C3479),1000000000),IFERROR(IF(VALUE(MID($C3479,2,20))&lt;100000000,VALUE(MID($C3479,2,20)),1000000000),1000000000))+ROW()/100000,"")</f>
        <v/>
      </c>
    </row>
    <row r="3480">
      <c r="D3480" s="11" t="n"/>
      <c r="K3480" s="7">
        <f>IF($C3480="","",J3480*W3480/100)</f>
        <v/>
      </c>
      <c r="Q3480" s="7" t="n"/>
      <c r="R3480" s="7" t="n"/>
      <c r="U3480">
        <f>IF($C3480="","",IF($AJ3480=1,0,IF($AI3480=1,Settings!$C$6,Settings!$C$7))*100)</f>
        <v/>
      </c>
      <c r="V3480" s="7">
        <f>IF($C3480="","",R3480*U3480/100)</f>
        <v/>
      </c>
      <c r="W3480" s="7">
        <f>IF($C3480="","",R3480-V3480)</f>
        <v/>
      </c>
      <c r="X3480" s="7">
        <f>IF($C3480="","",W3480-K3480)</f>
        <v/>
      </c>
      <c r="AB3480" s="7" t="n"/>
      <c r="AE3480" s="11" t="n"/>
      <c r="AG3480">
        <f>IF($C3480="","",IF(COUNTIF($C$2:$C3480,$C3480)=1,1,0))</f>
        <v/>
      </c>
      <c r="AH3480">
        <f>IF($AG3480=1,SUMPRODUCT(--($AK$2:$AK$6001&lt;$AK3480))+1,"")</f>
        <v/>
      </c>
      <c r="AI3480">
        <f>IF($C3480="","",IF(OR($N3480=TRUE(),$N3480="TRUE"),1,0))</f>
        <v/>
      </c>
      <c r="AJ3480">
        <f>IF($C3480="","",IF($T3480="Yes",1,0))</f>
        <v/>
      </c>
      <c r="AK3480">
        <f>IF($AG3480=1,IFERROR(IF(VALUE($C3480)&lt;100000000,VALUE($C3480),1000000000),IFERROR(IF(VALUE(MID($C3480,2,20))&lt;100000000,VALUE(MID($C3480,2,20)),1000000000),1000000000))+ROW()/100000,"")</f>
        <v/>
      </c>
    </row>
    <row r="3481">
      <c r="D3481" s="11" t="n"/>
      <c r="K3481" s="7">
        <f>IF($C3481="","",J3481*W3481/100)</f>
        <v/>
      </c>
      <c r="Q3481" s="7" t="n"/>
      <c r="R3481" s="7" t="n"/>
      <c r="U3481">
        <f>IF($C3481="","",IF($AJ3481=1,0,IF($AI3481=1,Settings!$C$6,Settings!$C$7))*100)</f>
        <v/>
      </c>
      <c r="V3481" s="7">
        <f>IF($C3481="","",R3481*U3481/100)</f>
        <v/>
      </c>
      <c r="W3481" s="7">
        <f>IF($C3481="","",R3481-V3481)</f>
        <v/>
      </c>
      <c r="X3481" s="7">
        <f>IF($C3481="","",W3481-K3481)</f>
        <v/>
      </c>
      <c r="AB3481" s="7" t="n"/>
      <c r="AE3481" s="11" t="n"/>
      <c r="AG3481">
        <f>IF($C3481="","",IF(COUNTIF($C$2:$C3481,$C3481)=1,1,0))</f>
        <v/>
      </c>
      <c r="AH3481">
        <f>IF($AG3481=1,SUMPRODUCT(--($AK$2:$AK$6001&lt;$AK3481))+1,"")</f>
        <v/>
      </c>
      <c r="AI3481">
        <f>IF($C3481="","",IF(OR($N3481=TRUE(),$N3481="TRUE"),1,0))</f>
        <v/>
      </c>
      <c r="AJ3481">
        <f>IF($C3481="","",IF($T3481="Yes",1,0))</f>
        <v/>
      </c>
      <c r="AK3481">
        <f>IF($AG3481=1,IFERROR(IF(VALUE($C3481)&lt;100000000,VALUE($C3481),1000000000),IFERROR(IF(VALUE(MID($C3481,2,20))&lt;100000000,VALUE(MID($C3481,2,20)),1000000000),1000000000))+ROW()/100000,"")</f>
        <v/>
      </c>
    </row>
    <row r="3482">
      <c r="D3482" s="11" t="n"/>
      <c r="K3482" s="7">
        <f>IF($C3482="","",J3482*W3482/100)</f>
        <v/>
      </c>
      <c r="Q3482" s="7" t="n"/>
      <c r="R3482" s="7" t="n"/>
      <c r="U3482">
        <f>IF($C3482="","",IF($AJ3482=1,0,IF($AI3482=1,Settings!$C$6,Settings!$C$7))*100)</f>
        <v/>
      </c>
      <c r="V3482" s="7">
        <f>IF($C3482="","",R3482*U3482/100)</f>
        <v/>
      </c>
      <c r="W3482" s="7">
        <f>IF($C3482="","",R3482-V3482)</f>
        <v/>
      </c>
      <c r="X3482" s="7">
        <f>IF($C3482="","",W3482-K3482)</f>
        <v/>
      </c>
      <c r="AB3482" s="7" t="n"/>
      <c r="AE3482" s="11" t="n"/>
      <c r="AG3482">
        <f>IF($C3482="","",IF(COUNTIF($C$2:$C3482,$C3482)=1,1,0))</f>
        <v/>
      </c>
      <c r="AH3482">
        <f>IF($AG3482=1,SUMPRODUCT(--($AK$2:$AK$6001&lt;$AK3482))+1,"")</f>
        <v/>
      </c>
      <c r="AI3482">
        <f>IF($C3482="","",IF(OR($N3482=TRUE(),$N3482="TRUE"),1,0))</f>
        <v/>
      </c>
      <c r="AJ3482">
        <f>IF($C3482="","",IF($T3482="Yes",1,0))</f>
        <v/>
      </c>
      <c r="AK3482">
        <f>IF($AG3482=1,IFERROR(IF(VALUE($C3482)&lt;100000000,VALUE($C3482),1000000000),IFERROR(IF(VALUE(MID($C3482,2,20))&lt;100000000,VALUE(MID($C3482,2,20)),1000000000),1000000000))+ROW()/100000,"")</f>
        <v/>
      </c>
    </row>
    <row r="3483">
      <c r="D3483" s="11" t="n"/>
      <c r="K3483" s="7">
        <f>IF($C3483="","",J3483*W3483/100)</f>
        <v/>
      </c>
      <c r="Q3483" s="7" t="n"/>
      <c r="R3483" s="7" t="n"/>
      <c r="U3483">
        <f>IF($C3483="","",IF($AJ3483=1,0,IF($AI3483=1,Settings!$C$6,Settings!$C$7))*100)</f>
        <v/>
      </c>
      <c r="V3483" s="7">
        <f>IF($C3483="","",R3483*U3483/100)</f>
        <v/>
      </c>
      <c r="W3483" s="7">
        <f>IF($C3483="","",R3483-V3483)</f>
        <v/>
      </c>
      <c r="X3483" s="7">
        <f>IF($C3483="","",W3483-K3483)</f>
        <v/>
      </c>
      <c r="AB3483" s="7" t="n"/>
      <c r="AE3483" s="11" t="n"/>
      <c r="AG3483">
        <f>IF($C3483="","",IF(COUNTIF($C$2:$C3483,$C3483)=1,1,0))</f>
        <v/>
      </c>
      <c r="AH3483">
        <f>IF($AG3483=1,SUMPRODUCT(--($AK$2:$AK$6001&lt;$AK3483))+1,"")</f>
        <v/>
      </c>
      <c r="AI3483">
        <f>IF($C3483="","",IF(OR($N3483=TRUE(),$N3483="TRUE"),1,0))</f>
        <v/>
      </c>
      <c r="AJ3483">
        <f>IF($C3483="","",IF($T3483="Yes",1,0))</f>
        <v/>
      </c>
      <c r="AK3483">
        <f>IF($AG3483=1,IFERROR(IF(VALUE($C3483)&lt;100000000,VALUE($C3483),1000000000),IFERROR(IF(VALUE(MID($C3483,2,20))&lt;100000000,VALUE(MID($C3483,2,20)),1000000000),1000000000))+ROW()/100000,"")</f>
        <v/>
      </c>
    </row>
    <row r="3484">
      <c r="D3484" s="11" t="n"/>
      <c r="K3484" s="7">
        <f>IF($C3484="","",J3484*W3484/100)</f>
        <v/>
      </c>
      <c r="Q3484" s="7" t="n"/>
      <c r="R3484" s="7" t="n"/>
      <c r="U3484">
        <f>IF($C3484="","",IF($AJ3484=1,0,IF($AI3484=1,Settings!$C$6,Settings!$C$7))*100)</f>
        <v/>
      </c>
      <c r="V3484" s="7">
        <f>IF($C3484="","",R3484*U3484/100)</f>
        <v/>
      </c>
      <c r="W3484" s="7">
        <f>IF($C3484="","",R3484-V3484)</f>
        <v/>
      </c>
      <c r="X3484" s="7">
        <f>IF($C3484="","",W3484-K3484)</f>
        <v/>
      </c>
      <c r="AB3484" s="7" t="n"/>
      <c r="AE3484" s="11" t="n"/>
      <c r="AG3484">
        <f>IF($C3484="","",IF(COUNTIF($C$2:$C3484,$C3484)=1,1,0))</f>
        <v/>
      </c>
      <c r="AH3484">
        <f>IF($AG3484=1,SUMPRODUCT(--($AK$2:$AK$6001&lt;$AK3484))+1,"")</f>
        <v/>
      </c>
      <c r="AI3484">
        <f>IF($C3484="","",IF(OR($N3484=TRUE(),$N3484="TRUE"),1,0))</f>
        <v/>
      </c>
      <c r="AJ3484">
        <f>IF($C3484="","",IF($T3484="Yes",1,0))</f>
        <v/>
      </c>
      <c r="AK3484">
        <f>IF($AG3484=1,IFERROR(IF(VALUE($C3484)&lt;100000000,VALUE($C3484),1000000000),IFERROR(IF(VALUE(MID($C3484,2,20))&lt;100000000,VALUE(MID($C3484,2,20)),1000000000),1000000000))+ROW()/100000,"")</f>
        <v/>
      </c>
    </row>
    <row r="3485">
      <c r="D3485" s="11" t="n"/>
      <c r="K3485" s="7">
        <f>IF($C3485="","",J3485*W3485/100)</f>
        <v/>
      </c>
      <c r="Q3485" s="7" t="n"/>
      <c r="R3485" s="7" t="n"/>
      <c r="U3485">
        <f>IF($C3485="","",IF($AJ3485=1,0,IF($AI3485=1,Settings!$C$6,Settings!$C$7))*100)</f>
        <v/>
      </c>
      <c r="V3485" s="7">
        <f>IF($C3485="","",R3485*U3485/100)</f>
        <v/>
      </c>
      <c r="W3485" s="7">
        <f>IF($C3485="","",R3485-V3485)</f>
        <v/>
      </c>
      <c r="X3485" s="7">
        <f>IF($C3485="","",W3485-K3485)</f>
        <v/>
      </c>
      <c r="AB3485" s="7" t="n"/>
      <c r="AE3485" s="11" t="n"/>
      <c r="AG3485">
        <f>IF($C3485="","",IF(COUNTIF($C$2:$C3485,$C3485)=1,1,0))</f>
        <v/>
      </c>
      <c r="AH3485">
        <f>IF($AG3485=1,SUMPRODUCT(--($AK$2:$AK$6001&lt;$AK3485))+1,"")</f>
        <v/>
      </c>
      <c r="AI3485">
        <f>IF($C3485="","",IF(OR($N3485=TRUE(),$N3485="TRUE"),1,0))</f>
        <v/>
      </c>
      <c r="AJ3485">
        <f>IF($C3485="","",IF($T3485="Yes",1,0))</f>
        <v/>
      </c>
      <c r="AK3485">
        <f>IF($AG3485=1,IFERROR(IF(VALUE($C3485)&lt;100000000,VALUE($C3485),1000000000),IFERROR(IF(VALUE(MID($C3485,2,20))&lt;100000000,VALUE(MID($C3485,2,20)),1000000000),1000000000))+ROW()/100000,"")</f>
        <v/>
      </c>
    </row>
    <row r="3486">
      <c r="D3486" s="11" t="n"/>
      <c r="K3486" s="7">
        <f>IF($C3486="","",J3486*W3486/100)</f>
        <v/>
      </c>
      <c r="Q3486" s="7" t="n"/>
      <c r="R3486" s="7" t="n"/>
      <c r="U3486">
        <f>IF($C3486="","",IF($AJ3486=1,0,IF($AI3486=1,Settings!$C$6,Settings!$C$7))*100)</f>
        <v/>
      </c>
      <c r="V3486" s="7">
        <f>IF($C3486="","",R3486*U3486/100)</f>
        <v/>
      </c>
      <c r="W3486" s="7">
        <f>IF($C3486="","",R3486-V3486)</f>
        <v/>
      </c>
      <c r="X3486" s="7">
        <f>IF($C3486="","",W3486-K3486)</f>
        <v/>
      </c>
      <c r="AB3486" s="7" t="n"/>
      <c r="AE3486" s="11" t="n"/>
      <c r="AG3486">
        <f>IF($C3486="","",IF(COUNTIF($C$2:$C3486,$C3486)=1,1,0))</f>
        <v/>
      </c>
      <c r="AH3486">
        <f>IF($AG3486=1,SUMPRODUCT(--($AK$2:$AK$6001&lt;$AK3486))+1,"")</f>
        <v/>
      </c>
      <c r="AI3486">
        <f>IF($C3486="","",IF(OR($N3486=TRUE(),$N3486="TRUE"),1,0))</f>
        <v/>
      </c>
      <c r="AJ3486">
        <f>IF($C3486="","",IF($T3486="Yes",1,0))</f>
        <v/>
      </c>
      <c r="AK3486">
        <f>IF($AG3486=1,IFERROR(IF(VALUE($C3486)&lt;100000000,VALUE($C3486),1000000000),IFERROR(IF(VALUE(MID($C3486,2,20))&lt;100000000,VALUE(MID($C3486,2,20)),1000000000),1000000000))+ROW()/100000,"")</f>
        <v/>
      </c>
    </row>
    <row r="3487">
      <c r="D3487" s="11" t="n"/>
      <c r="K3487" s="7">
        <f>IF($C3487="","",J3487*W3487/100)</f>
        <v/>
      </c>
      <c r="Q3487" s="7" t="n"/>
      <c r="R3487" s="7" t="n"/>
      <c r="U3487">
        <f>IF($C3487="","",IF($AJ3487=1,0,IF($AI3487=1,Settings!$C$6,Settings!$C$7))*100)</f>
        <v/>
      </c>
      <c r="V3487" s="7">
        <f>IF($C3487="","",R3487*U3487/100)</f>
        <v/>
      </c>
      <c r="W3487" s="7">
        <f>IF($C3487="","",R3487-V3487)</f>
        <v/>
      </c>
      <c r="X3487" s="7">
        <f>IF($C3487="","",W3487-K3487)</f>
        <v/>
      </c>
      <c r="AB3487" s="7" t="n"/>
      <c r="AE3487" s="11" t="n"/>
      <c r="AG3487">
        <f>IF($C3487="","",IF(COUNTIF($C$2:$C3487,$C3487)=1,1,0))</f>
        <v/>
      </c>
      <c r="AH3487">
        <f>IF($AG3487=1,SUMPRODUCT(--($AK$2:$AK$6001&lt;$AK3487))+1,"")</f>
        <v/>
      </c>
      <c r="AI3487">
        <f>IF($C3487="","",IF(OR($N3487=TRUE(),$N3487="TRUE"),1,0))</f>
        <v/>
      </c>
      <c r="AJ3487">
        <f>IF($C3487="","",IF($T3487="Yes",1,0))</f>
        <v/>
      </c>
      <c r="AK3487">
        <f>IF($AG3487=1,IFERROR(IF(VALUE($C3487)&lt;100000000,VALUE($C3487),1000000000),IFERROR(IF(VALUE(MID($C3487,2,20))&lt;100000000,VALUE(MID($C3487,2,20)),1000000000),1000000000))+ROW()/100000,"")</f>
        <v/>
      </c>
    </row>
    <row r="3488">
      <c r="D3488" s="11" t="n"/>
      <c r="K3488" s="7">
        <f>IF($C3488="","",J3488*W3488/100)</f>
        <v/>
      </c>
      <c r="Q3488" s="7" t="n"/>
      <c r="R3488" s="7" t="n"/>
      <c r="U3488">
        <f>IF($C3488="","",IF($AJ3488=1,0,IF($AI3488=1,Settings!$C$6,Settings!$C$7))*100)</f>
        <v/>
      </c>
      <c r="V3488" s="7">
        <f>IF($C3488="","",R3488*U3488/100)</f>
        <v/>
      </c>
      <c r="W3488" s="7">
        <f>IF($C3488="","",R3488-V3488)</f>
        <v/>
      </c>
      <c r="X3488" s="7">
        <f>IF($C3488="","",W3488-K3488)</f>
        <v/>
      </c>
      <c r="AB3488" s="7" t="n"/>
      <c r="AE3488" s="11" t="n"/>
      <c r="AG3488">
        <f>IF($C3488="","",IF(COUNTIF($C$2:$C3488,$C3488)=1,1,0))</f>
        <v/>
      </c>
      <c r="AH3488">
        <f>IF($AG3488=1,SUMPRODUCT(--($AK$2:$AK$6001&lt;$AK3488))+1,"")</f>
        <v/>
      </c>
      <c r="AI3488">
        <f>IF($C3488="","",IF(OR($N3488=TRUE(),$N3488="TRUE"),1,0))</f>
        <v/>
      </c>
      <c r="AJ3488">
        <f>IF($C3488="","",IF($T3488="Yes",1,0))</f>
        <v/>
      </c>
      <c r="AK3488">
        <f>IF($AG3488=1,IFERROR(IF(VALUE($C3488)&lt;100000000,VALUE($C3488),1000000000),IFERROR(IF(VALUE(MID($C3488,2,20))&lt;100000000,VALUE(MID($C3488,2,20)),1000000000),1000000000))+ROW()/100000,"")</f>
        <v/>
      </c>
    </row>
    <row r="3489">
      <c r="D3489" s="11" t="n"/>
      <c r="K3489" s="7">
        <f>IF($C3489="","",J3489*W3489/100)</f>
        <v/>
      </c>
      <c r="Q3489" s="7" t="n"/>
      <c r="R3489" s="7" t="n"/>
      <c r="U3489">
        <f>IF($C3489="","",IF($AJ3489=1,0,IF($AI3489=1,Settings!$C$6,Settings!$C$7))*100)</f>
        <v/>
      </c>
      <c r="V3489" s="7">
        <f>IF($C3489="","",R3489*U3489/100)</f>
        <v/>
      </c>
      <c r="W3489" s="7">
        <f>IF($C3489="","",R3489-V3489)</f>
        <v/>
      </c>
      <c r="X3489" s="7">
        <f>IF($C3489="","",W3489-K3489)</f>
        <v/>
      </c>
      <c r="AB3489" s="7" t="n"/>
      <c r="AE3489" s="11" t="n"/>
      <c r="AG3489">
        <f>IF($C3489="","",IF(COUNTIF($C$2:$C3489,$C3489)=1,1,0))</f>
        <v/>
      </c>
      <c r="AH3489">
        <f>IF($AG3489=1,SUMPRODUCT(--($AK$2:$AK$6001&lt;$AK3489))+1,"")</f>
        <v/>
      </c>
      <c r="AI3489">
        <f>IF($C3489="","",IF(OR($N3489=TRUE(),$N3489="TRUE"),1,0))</f>
        <v/>
      </c>
      <c r="AJ3489">
        <f>IF($C3489="","",IF($T3489="Yes",1,0))</f>
        <v/>
      </c>
      <c r="AK3489">
        <f>IF($AG3489=1,IFERROR(IF(VALUE($C3489)&lt;100000000,VALUE($C3489),1000000000),IFERROR(IF(VALUE(MID($C3489,2,20))&lt;100000000,VALUE(MID($C3489,2,20)),1000000000),1000000000))+ROW()/100000,"")</f>
        <v/>
      </c>
    </row>
    <row r="3490">
      <c r="D3490" s="11" t="n"/>
      <c r="K3490" s="7">
        <f>IF($C3490="","",J3490*W3490/100)</f>
        <v/>
      </c>
      <c r="Q3490" s="7" t="n"/>
      <c r="R3490" s="7" t="n"/>
      <c r="U3490">
        <f>IF($C3490="","",IF($AJ3490=1,0,IF($AI3490=1,Settings!$C$6,Settings!$C$7))*100)</f>
        <v/>
      </c>
      <c r="V3490" s="7">
        <f>IF($C3490="","",R3490*U3490/100)</f>
        <v/>
      </c>
      <c r="W3490" s="7">
        <f>IF($C3490="","",R3490-V3490)</f>
        <v/>
      </c>
      <c r="X3490" s="7">
        <f>IF($C3490="","",W3490-K3490)</f>
        <v/>
      </c>
      <c r="AB3490" s="7" t="n"/>
      <c r="AE3490" s="11" t="n"/>
      <c r="AG3490">
        <f>IF($C3490="","",IF(COUNTIF($C$2:$C3490,$C3490)=1,1,0))</f>
        <v/>
      </c>
      <c r="AH3490">
        <f>IF($AG3490=1,SUMPRODUCT(--($AK$2:$AK$6001&lt;$AK3490))+1,"")</f>
        <v/>
      </c>
      <c r="AI3490">
        <f>IF($C3490="","",IF(OR($N3490=TRUE(),$N3490="TRUE"),1,0))</f>
        <v/>
      </c>
      <c r="AJ3490">
        <f>IF($C3490="","",IF($T3490="Yes",1,0))</f>
        <v/>
      </c>
      <c r="AK3490">
        <f>IF($AG3490=1,IFERROR(IF(VALUE($C3490)&lt;100000000,VALUE($C3490),1000000000),IFERROR(IF(VALUE(MID($C3490,2,20))&lt;100000000,VALUE(MID($C3490,2,20)),1000000000),1000000000))+ROW()/100000,"")</f>
        <v/>
      </c>
    </row>
    <row r="3491">
      <c r="D3491" s="11" t="n"/>
      <c r="K3491" s="7">
        <f>IF($C3491="","",J3491*W3491/100)</f>
        <v/>
      </c>
      <c r="Q3491" s="7" t="n"/>
      <c r="R3491" s="7" t="n"/>
      <c r="U3491">
        <f>IF($C3491="","",IF($AJ3491=1,0,IF($AI3491=1,Settings!$C$6,Settings!$C$7))*100)</f>
        <v/>
      </c>
      <c r="V3491" s="7">
        <f>IF($C3491="","",R3491*U3491/100)</f>
        <v/>
      </c>
      <c r="W3491" s="7">
        <f>IF($C3491="","",R3491-V3491)</f>
        <v/>
      </c>
      <c r="X3491" s="7">
        <f>IF($C3491="","",W3491-K3491)</f>
        <v/>
      </c>
      <c r="AB3491" s="7" t="n"/>
      <c r="AE3491" s="11" t="n"/>
      <c r="AG3491">
        <f>IF($C3491="","",IF(COUNTIF($C$2:$C3491,$C3491)=1,1,0))</f>
        <v/>
      </c>
      <c r="AH3491">
        <f>IF($AG3491=1,SUMPRODUCT(--($AK$2:$AK$6001&lt;$AK3491))+1,"")</f>
        <v/>
      </c>
      <c r="AI3491">
        <f>IF($C3491="","",IF(OR($N3491=TRUE(),$N3491="TRUE"),1,0))</f>
        <v/>
      </c>
      <c r="AJ3491">
        <f>IF($C3491="","",IF($T3491="Yes",1,0))</f>
        <v/>
      </c>
      <c r="AK3491">
        <f>IF($AG3491=1,IFERROR(IF(VALUE($C3491)&lt;100000000,VALUE($C3491),1000000000),IFERROR(IF(VALUE(MID($C3491,2,20))&lt;100000000,VALUE(MID($C3491,2,20)),1000000000),1000000000))+ROW()/100000,"")</f>
        <v/>
      </c>
    </row>
    <row r="3492">
      <c r="D3492" s="11" t="n"/>
      <c r="K3492" s="7">
        <f>IF($C3492="","",J3492*W3492/100)</f>
        <v/>
      </c>
      <c r="Q3492" s="7" t="n"/>
      <c r="R3492" s="7" t="n"/>
      <c r="U3492">
        <f>IF($C3492="","",IF($AJ3492=1,0,IF($AI3492=1,Settings!$C$6,Settings!$C$7))*100)</f>
        <v/>
      </c>
      <c r="V3492" s="7">
        <f>IF($C3492="","",R3492*U3492/100)</f>
        <v/>
      </c>
      <c r="W3492" s="7">
        <f>IF($C3492="","",R3492-V3492)</f>
        <v/>
      </c>
      <c r="X3492" s="7">
        <f>IF($C3492="","",W3492-K3492)</f>
        <v/>
      </c>
      <c r="AB3492" s="7" t="n"/>
      <c r="AE3492" s="11" t="n"/>
      <c r="AG3492">
        <f>IF($C3492="","",IF(COUNTIF($C$2:$C3492,$C3492)=1,1,0))</f>
        <v/>
      </c>
      <c r="AH3492">
        <f>IF($AG3492=1,SUMPRODUCT(--($AK$2:$AK$6001&lt;$AK3492))+1,"")</f>
        <v/>
      </c>
      <c r="AI3492">
        <f>IF($C3492="","",IF(OR($N3492=TRUE(),$N3492="TRUE"),1,0))</f>
        <v/>
      </c>
      <c r="AJ3492">
        <f>IF($C3492="","",IF($T3492="Yes",1,0))</f>
        <v/>
      </c>
      <c r="AK3492">
        <f>IF($AG3492=1,IFERROR(IF(VALUE($C3492)&lt;100000000,VALUE($C3492),1000000000),IFERROR(IF(VALUE(MID($C3492,2,20))&lt;100000000,VALUE(MID($C3492,2,20)),1000000000),1000000000))+ROW()/100000,"")</f>
        <v/>
      </c>
    </row>
    <row r="3493">
      <c r="D3493" s="11" t="n"/>
      <c r="K3493" s="7">
        <f>IF($C3493="","",J3493*W3493/100)</f>
        <v/>
      </c>
      <c r="Q3493" s="7" t="n"/>
      <c r="R3493" s="7" t="n"/>
      <c r="U3493">
        <f>IF($C3493="","",IF($AJ3493=1,0,IF($AI3493=1,Settings!$C$6,Settings!$C$7))*100)</f>
        <v/>
      </c>
      <c r="V3493" s="7">
        <f>IF($C3493="","",R3493*U3493/100)</f>
        <v/>
      </c>
      <c r="W3493" s="7">
        <f>IF($C3493="","",R3493-V3493)</f>
        <v/>
      </c>
      <c r="X3493" s="7">
        <f>IF($C3493="","",W3493-K3493)</f>
        <v/>
      </c>
      <c r="AB3493" s="7" t="n"/>
      <c r="AE3493" s="11" t="n"/>
      <c r="AG3493">
        <f>IF($C3493="","",IF(COUNTIF($C$2:$C3493,$C3493)=1,1,0))</f>
        <v/>
      </c>
      <c r="AH3493">
        <f>IF($AG3493=1,SUMPRODUCT(--($AK$2:$AK$6001&lt;$AK3493))+1,"")</f>
        <v/>
      </c>
      <c r="AI3493">
        <f>IF($C3493="","",IF(OR($N3493=TRUE(),$N3493="TRUE"),1,0))</f>
        <v/>
      </c>
      <c r="AJ3493">
        <f>IF($C3493="","",IF($T3493="Yes",1,0))</f>
        <v/>
      </c>
      <c r="AK3493">
        <f>IF($AG3493=1,IFERROR(IF(VALUE($C3493)&lt;100000000,VALUE($C3493),1000000000),IFERROR(IF(VALUE(MID($C3493,2,20))&lt;100000000,VALUE(MID($C3493,2,20)),1000000000),1000000000))+ROW()/100000,"")</f>
        <v/>
      </c>
    </row>
    <row r="3494">
      <c r="D3494" s="11" t="n"/>
      <c r="K3494" s="7">
        <f>IF($C3494="","",J3494*W3494/100)</f>
        <v/>
      </c>
      <c r="Q3494" s="7" t="n"/>
      <c r="R3494" s="7" t="n"/>
      <c r="U3494">
        <f>IF($C3494="","",IF($AJ3494=1,0,IF($AI3494=1,Settings!$C$6,Settings!$C$7))*100)</f>
        <v/>
      </c>
      <c r="V3494" s="7">
        <f>IF($C3494="","",R3494*U3494/100)</f>
        <v/>
      </c>
      <c r="W3494" s="7">
        <f>IF($C3494="","",R3494-V3494)</f>
        <v/>
      </c>
      <c r="X3494" s="7">
        <f>IF($C3494="","",W3494-K3494)</f>
        <v/>
      </c>
      <c r="AB3494" s="7" t="n"/>
      <c r="AE3494" s="11" t="n"/>
      <c r="AG3494">
        <f>IF($C3494="","",IF(COUNTIF($C$2:$C3494,$C3494)=1,1,0))</f>
        <v/>
      </c>
      <c r="AH3494">
        <f>IF($AG3494=1,SUMPRODUCT(--($AK$2:$AK$6001&lt;$AK3494))+1,"")</f>
        <v/>
      </c>
      <c r="AI3494">
        <f>IF($C3494="","",IF(OR($N3494=TRUE(),$N3494="TRUE"),1,0))</f>
        <v/>
      </c>
      <c r="AJ3494">
        <f>IF($C3494="","",IF($T3494="Yes",1,0))</f>
        <v/>
      </c>
      <c r="AK3494">
        <f>IF($AG3494=1,IFERROR(IF(VALUE($C3494)&lt;100000000,VALUE($C3494),1000000000),IFERROR(IF(VALUE(MID($C3494,2,20))&lt;100000000,VALUE(MID($C3494,2,20)),1000000000),1000000000))+ROW()/100000,"")</f>
        <v/>
      </c>
    </row>
    <row r="3495">
      <c r="D3495" s="11" t="n"/>
      <c r="K3495" s="7">
        <f>IF($C3495="","",J3495*W3495/100)</f>
        <v/>
      </c>
      <c r="Q3495" s="7" t="n"/>
      <c r="R3495" s="7" t="n"/>
      <c r="U3495">
        <f>IF($C3495="","",IF($AJ3495=1,0,IF($AI3495=1,Settings!$C$6,Settings!$C$7))*100)</f>
        <v/>
      </c>
      <c r="V3495" s="7">
        <f>IF($C3495="","",R3495*U3495/100)</f>
        <v/>
      </c>
      <c r="W3495" s="7">
        <f>IF($C3495="","",R3495-V3495)</f>
        <v/>
      </c>
      <c r="X3495" s="7">
        <f>IF($C3495="","",W3495-K3495)</f>
        <v/>
      </c>
      <c r="AB3495" s="7" t="n"/>
      <c r="AE3495" s="11" t="n"/>
      <c r="AG3495">
        <f>IF($C3495="","",IF(COUNTIF($C$2:$C3495,$C3495)=1,1,0))</f>
        <v/>
      </c>
      <c r="AH3495">
        <f>IF($AG3495=1,SUMPRODUCT(--($AK$2:$AK$6001&lt;$AK3495))+1,"")</f>
        <v/>
      </c>
      <c r="AI3495">
        <f>IF($C3495="","",IF(OR($N3495=TRUE(),$N3495="TRUE"),1,0))</f>
        <v/>
      </c>
      <c r="AJ3495">
        <f>IF($C3495="","",IF($T3495="Yes",1,0))</f>
        <v/>
      </c>
      <c r="AK3495">
        <f>IF($AG3495=1,IFERROR(IF(VALUE($C3495)&lt;100000000,VALUE($C3495),1000000000),IFERROR(IF(VALUE(MID($C3495,2,20))&lt;100000000,VALUE(MID($C3495,2,20)),1000000000),1000000000))+ROW()/100000,"")</f>
        <v/>
      </c>
    </row>
    <row r="3496">
      <c r="D3496" s="11" t="n"/>
      <c r="K3496" s="7">
        <f>IF($C3496="","",J3496*W3496/100)</f>
        <v/>
      </c>
      <c r="Q3496" s="7" t="n"/>
      <c r="R3496" s="7" t="n"/>
      <c r="U3496">
        <f>IF($C3496="","",IF($AJ3496=1,0,IF($AI3496=1,Settings!$C$6,Settings!$C$7))*100)</f>
        <v/>
      </c>
      <c r="V3496" s="7">
        <f>IF($C3496="","",R3496*U3496/100)</f>
        <v/>
      </c>
      <c r="W3496" s="7">
        <f>IF($C3496="","",R3496-V3496)</f>
        <v/>
      </c>
      <c r="X3496" s="7">
        <f>IF($C3496="","",W3496-K3496)</f>
        <v/>
      </c>
      <c r="AB3496" s="7" t="n"/>
      <c r="AE3496" s="11" t="n"/>
      <c r="AG3496">
        <f>IF($C3496="","",IF(COUNTIF($C$2:$C3496,$C3496)=1,1,0))</f>
        <v/>
      </c>
      <c r="AH3496">
        <f>IF($AG3496=1,SUMPRODUCT(--($AK$2:$AK$6001&lt;$AK3496))+1,"")</f>
        <v/>
      </c>
      <c r="AI3496">
        <f>IF($C3496="","",IF(OR($N3496=TRUE(),$N3496="TRUE"),1,0))</f>
        <v/>
      </c>
      <c r="AJ3496">
        <f>IF($C3496="","",IF($T3496="Yes",1,0))</f>
        <v/>
      </c>
      <c r="AK3496">
        <f>IF($AG3496=1,IFERROR(IF(VALUE($C3496)&lt;100000000,VALUE($C3496),1000000000),IFERROR(IF(VALUE(MID($C3496,2,20))&lt;100000000,VALUE(MID($C3496,2,20)),1000000000),1000000000))+ROW()/100000,"")</f>
        <v/>
      </c>
    </row>
    <row r="3497">
      <c r="D3497" s="11" t="n"/>
      <c r="K3497" s="7">
        <f>IF($C3497="","",J3497*W3497/100)</f>
        <v/>
      </c>
      <c r="Q3497" s="7" t="n"/>
      <c r="R3497" s="7" t="n"/>
      <c r="U3497">
        <f>IF($C3497="","",IF($AJ3497=1,0,IF($AI3497=1,Settings!$C$6,Settings!$C$7))*100)</f>
        <v/>
      </c>
      <c r="V3497" s="7">
        <f>IF($C3497="","",R3497*U3497/100)</f>
        <v/>
      </c>
      <c r="W3497" s="7">
        <f>IF($C3497="","",R3497-V3497)</f>
        <v/>
      </c>
      <c r="X3497" s="7">
        <f>IF($C3497="","",W3497-K3497)</f>
        <v/>
      </c>
      <c r="AB3497" s="7" t="n"/>
      <c r="AE3497" s="11" t="n"/>
      <c r="AG3497">
        <f>IF($C3497="","",IF(COUNTIF($C$2:$C3497,$C3497)=1,1,0))</f>
        <v/>
      </c>
      <c r="AH3497">
        <f>IF($AG3497=1,SUMPRODUCT(--($AK$2:$AK$6001&lt;$AK3497))+1,"")</f>
        <v/>
      </c>
      <c r="AI3497">
        <f>IF($C3497="","",IF(OR($N3497=TRUE(),$N3497="TRUE"),1,0))</f>
        <v/>
      </c>
      <c r="AJ3497">
        <f>IF($C3497="","",IF($T3497="Yes",1,0))</f>
        <v/>
      </c>
      <c r="AK3497">
        <f>IF($AG3497=1,IFERROR(IF(VALUE($C3497)&lt;100000000,VALUE($C3497),1000000000),IFERROR(IF(VALUE(MID($C3497,2,20))&lt;100000000,VALUE(MID($C3497,2,20)),1000000000),1000000000))+ROW()/100000,"")</f>
        <v/>
      </c>
    </row>
    <row r="3498">
      <c r="D3498" s="11" t="n"/>
      <c r="K3498" s="7">
        <f>IF($C3498="","",J3498*W3498/100)</f>
        <v/>
      </c>
      <c r="Q3498" s="7" t="n"/>
      <c r="R3498" s="7" t="n"/>
      <c r="U3498">
        <f>IF($C3498="","",IF($AJ3498=1,0,IF($AI3498=1,Settings!$C$6,Settings!$C$7))*100)</f>
        <v/>
      </c>
      <c r="V3498" s="7">
        <f>IF($C3498="","",R3498*U3498/100)</f>
        <v/>
      </c>
      <c r="W3498" s="7">
        <f>IF($C3498="","",R3498-V3498)</f>
        <v/>
      </c>
      <c r="X3498" s="7">
        <f>IF($C3498="","",W3498-K3498)</f>
        <v/>
      </c>
      <c r="AB3498" s="7" t="n"/>
      <c r="AE3498" s="11" t="n"/>
      <c r="AG3498">
        <f>IF($C3498="","",IF(COUNTIF($C$2:$C3498,$C3498)=1,1,0))</f>
        <v/>
      </c>
      <c r="AH3498">
        <f>IF($AG3498=1,SUMPRODUCT(--($AK$2:$AK$6001&lt;$AK3498))+1,"")</f>
        <v/>
      </c>
      <c r="AI3498">
        <f>IF($C3498="","",IF(OR($N3498=TRUE(),$N3498="TRUE"),1,0))</f>
        <v/>
      </c>
      <c r="AJ3498">
        <f>IF($C3498="","",IF($T3498="Yes",1,0))</f>
        <v/>
      </c>
      <c r="AK3498">
        <f>IF($AG3498=1,IFERROR(IF(VALUE($C3498)&lt;100000000,VALUE($C3498),1000000000),IFERROR(IF(VALUE(MID($C3498,2,20))&lt;100000000,VALUE(MID($C3498,2,20)),1000000000),1000000000))+ROW()/100000,"")</f>
        <v/>
      </c>
    </row>
    <row r="3499">
      <c r="D3499" s="11" t="n"/>
      <c r="K3499" s="7">
        <f>IF($C3499="","",J3499*W3499/100)</f>
        <v/>
      </c>
      <c r="Q3499" s="7" t="n"/>
      <c r="R3499" s="7" t="n"/>
      <c r="U3499">
        <f>IF($C3499="","",IF($AJ3499=1,0,IF($AI3499=1,Settings!$C$6,Settings!$C$7))*100)</f>
        <v/>
      </c>
      <c r="V3499" s="7">
        <f>IF($C3499="","",R3499*U3499/100)</f>
        <v/>
      </c>
      <c r="W3499" s="7">
        <f>IF($C3499="","",R3499-V3499)</f>
        <v/>
      </c>
      <c r="X3499" s="7">
        <f>IF($C3499="","",W3499-K3499)</f>
        <v/>
      </c>
      <c r="AB3499" s="7" t="n"/>
      <c r="AE3499" s="11" t="n"/>
      <c r="AG3499">
        <f>IF($C3499="","",IF(COUNTIF($C$2:$C3499,$C3499)=1,1,0))</f>
        <v/>
      </c>
      <c r="AH3499">
        <f>IF($AG3499=1,SUMPRODUCT(--($AK$2:$AK$6001&lt;$AK3499))+1,"")</f>
        <v/>
      </c>
      <c r="AI3499">
        <f>IF($C3499="","",IF(OR($N3499=TRUE(),$N3499="TRUE"),1,0))</f>
        <v/>
      </c>
      <c r="AJ3499">
        <f>IF($C3499="","",IF($T3499="Yes",1,0))</f>
        <v/>
      </c>
      <c r="AK3499">
        <f>IF($AG3499=1,IFERROR(IF(VALUE($C3499)&lt;100000000,VALUE($C3499),1000000000),IFERROR(IF(VALUE(MID($C3499,2,20))&lt;100000000,VALUE(MID($C3499,2,20)),1000000000),1000000000))+ROW()/100000,"")</f>
        <v/>
      </c>
    </row>
    <row r="3500">
      <c r="D3500" s="11" t="n"/>
      <c r="K3500" s="7">
        <f>IF($C3500="","",J3500*W3500/100)</f>
        <v/>
      </c>
      <c r="Q3500" s="7" t="n"/>
      <c r="R3500" s="7" t="n"/>
      <c r="U3500">
        <f>IF($C3500="","",IF($AJ3500=1,0,IF($AI3500=1,Settings!$C$6,Settings!$C$7))*100)</f>
        <v/>
      </c>
      <c r="V3500" s="7">
        <f>IF($C3500="","",R3500*U3500/100)</f>
        <v/>
      </c>
      <c r="W3500" s="7">
        <f>IF($C3500="","",R3500-V3500)</f>
        <v/>
      </c>
      <c r="X3500" s="7">
        <f>IF($C3500="","",W3500-K3500)</f>
        <v/>
      </c>
      <c r="AB3500" s="7" t="n"/>
      <c r="AE3500" s="11" t="n"/>
      <c r="AG3500">
        <f>IF($C3500="","",IF(COUNTIF($C$2:$C3500,$C3500)=1,1,0))</f>
        <v/>
      </c>
      <c r="AH3500">
        <f>IF($AG3500=1,SUMPRODUCT(--($AK$2:$AK$6001&lt;$AK3500))+1,"")</f>
        <v/>
      </c>
      <c r="AI3500">
        <f>IF($C3500="","",IF(OR($N3500=TRUE(),$N3500="TRUE"),1,0))</f>
        <v/>
      </c>
      <c r="AJ3500">
        <f>IF($C3500="","",IF($T3500="Yes",1,0))</f>
        <v/>
      </c>
      <c r="AK3500">
        <f>IF($AG3500=1,IFERROR(IF(VALUE($C3500)&lt;100000000,VALUE($C3500),1000000000),IFERROR(IF(VALUE(MID($C3500,2,20))&lt;100000000,VALUE(MID($C3500,2,20)),1000000000),1000000000))+ROW()/100000,"")</f>
        <v/>
      </c>
    </row>
    <row r="3501">
      <c r="D3501" s="11" t="n"/>
      <c r="K3501" s="7">
        <f>IF($C3501="","",J3501*W3501/100)</f>
        <v/>
      </c>
      <c r="Q3501" s="7" t="n"/>
      <c r="R3501" s="7" t="n"/>
      <c r="U3501">
        <f>IF($C3501="","",IF($AJ3501=1,0,IF($AI3501=1,Settings!$C$6,Settings!$C$7))*100)</f>
        <v/>
      </c>
      <c r="V3501" s="7">
        <f>IF($C3501="","",R3501*U3501/100)</f>
        <v/>
      </c>
      <c r="W3501" s="7">
        <f>IF($C3501="","",R3501-V3501)</f>
        <v/>
      </c>
      <c r="X3501" s="7">
        <f>IF($C3501="","",W3501-K3501)</f>
        <v/>
      </c>
      <c r="AB3501" s="7" t="n"/>
      <c r="AE3501" s="11" t="n"/>
      <c r="AG3501">
        <f>IF($C3501="","",IF(COUNTIF($C$2:$C3501,$C3501)=1,1,0))</f>
        <v/>
      </c>
      <c r="AH3501">
        <f>IF($AG3501=1,SUMPRODUCT(--($AK$2:$AK$6001&lt;$AK3501))+1,"")</f>
        <v/>
      </c>
      <c r="AI3501">
        <f>IF($C3501="","",IF(OR($N3501=TRUE(),$N3501="TRUE"),1,0))</f>
        <v/>
      </c>
      <c r="AJ3501">
        <f>IF($C3501="","",IF($T3501="Yes",1,0))</f>
        <v/>
      </c>
      <c r="AK3501">
        <f>IF($AG3501=1,IFERROR(IF(VALUE($C3501)&lt;100000000,VALUE($C3501),1000000000),IFERROR(IF(VALUE(MID($C3501,2,20))&lt;100000000,VALUE(MID($C3501,2,20)),1000000000),1000000000))+ROW()/100000,"")</f>
        <v/>
      </c>
    </row>
    <row r="3502">
      <c r="D3502" s="11" t="n"/>
      <c r="K3502" s="7">
        <f>IF($C3502="","",J3502*W3502/100)</f>
        <v/>
      </c>
      <c r="Q3502" s="7" t="n"/>
      <c r="R3502" s="7" t="n"/>
      <c r="U3502">
        <f>IF($C3502="","",IF($AJ3502=1,0,IF($AI3502=1,Settings!$C$6,Settings!$C$7))*100)</f>
        <v/>
      </c>
      <c r="V3502" s="7">
        <f>IF($C3502="","",R3502*U3502/100)</f>
        <v/>
      </c>
      <c r="W3502" s="7">
        <f>IF($C3502="","",R3502-V3502)</f>
        <v/>
      </c>
      <c r="X3502" s="7">
        <f>IF($C3502="","",W3502-K3502)</f>
        <v/>
      </c>
      <c r="AB3502" s="7" t="n"/>
      <c r="AE3502" s="11" t="n"/>
      <c r="AG3502">
        <f>IF($C3502="","",IF(COUNTIF($C$2:$C3502,$C3502)=1,1,0))</f>
        <v/>
      </c>
      <c r="AH3502">
        <f>IF($AG3502=1,SUMPRODUCT(--($AK$2:$AK$6001&lt;$AK3502))+1,"")</f>
        <v/>
      </c>
      <c r="AI3502">
        <f>IF($C3502="","",IF(OR($N3502=TRUE(),$N3502="TRUE"),1,0))</f>
        <v/>
      </c>
      <c r="AJ3502">
        <f>IF($C3502="","",IF($T3502="Yes",1,0))</f>
        <v/>
      </c>
      <c r="AK3502">
        <f>IF($AG3502=1,IFERROR(IF(VALUE($C3502)&lt;100000000,VALUE($C3502),1000000000),IFERROR(IF(VALUE(MID($C3502,2,20))&lt;100000000,VALUE(MID($C3502,2,20)),1000000000),1000000000))+ROW()/100000,"")</f>
        <v/>
      </c>
    </row>
    <row r="3503">
      <c r="D3503" s="11" t="n"/>
      <c r="K3503" s="7">
        <f>IF($C3503="","",J3503*W3503/100)</f>
        <v/>
      </c>
      <c r="Q3503" s="7" t="n"/>
      <c r="R3503" s="7" t="n"/>
      <c r="U3503">
        <f>IF($C3503="","",IF($AJ3503=1,0,IF($AI3503=1,Settings!$C$6,Settings!$C$7))*100)</f>
        <v/>
      </c>
      <c r="V3503" s="7">
        <f>IF($C3503="","",R3503*U3503/100)</f>
        <v/>
      </c>
      <c r="W3503" s="7">
        <f>IF($C3503="","",R3503-V3503)</f>
        <v/>
      </c>
      <c r="X3503" s="7">
        <f>IF($C3503="","",W3503-K3503)</f>
        <v/>
      </c>
      <c r="AB3503" s="7" t="n"/>
      <c r="AE3503" s="11" t="n"/>
      <c r="AG3503">
        <f>IF($C3503="","",IF(COUNTIF($C$2:$C3503,$C3503)=1,1,0))</f>
        <v/>
      </c>
      <c r="AH3503">
        <f>IF($AG3503=1,SUMPRODUCT(--($AK$2:$AK$6001&lt;$AK3503))+1,"")</f>
        <v/>
      </c>
      <c r="AI3503">
        <f>IF($C3503="","",IF(OR($N3503=TRUE(),$N3503="TRUE"),1,0))</f>
        <v/>
      </c>
      <c r="AJ3503">
        <f>IF($C3503="","",IF($T3503="Yes",1,0))</f>
        <v/>
      </c>
      <c r="AK3503">
        <f>IF($AG3503=1,IFERROR(IF(VALUE($C3503)&lt;100000000,VALUE($C3503),1000000000),IFERROR(IF(VALUE(MID($C3503,2,20))&lt;100000000,VALUE(MID($C3503,2,20)),1000000000),1000000000))+ROW()/100000,"")</f>
        <v/>
      </c>
    </row>
    <row r="3504">
      <c r="D3504" s="11" t="n"/>
      <c r="K3504" s="7">
        <f>IF($C3504="","",J3504*W3504/100)</f>
        <v/>
      </c>
      <c r="Q3504" s="7" t="n"/>
      <c r="R3504" s="7" t="n"/>
      <c r="U3504">
        <f>IF($C3504="","",IF($AJ3504=1,0,IF($AI3504=1,Settings!$C$6,Settings!$C$7))*100)</f>
        <v/>
      </c>
      <c r="V3504" s="7">
        <f>IF($C3504="","",R3504*U3504/100)</f>
        <v/>
      </c>
      <c r="W3504" s="7">
        <f>IF($C3504="","",R3504-V3504)</f>
        <v/>
      </c>
      <c r="X3504" s="7">
        <f>IF($C3504="","",W3504-K3504)</f>
        <v/>
      </c>
      <c r="AB3504" s="7" t="n"/>
      <c r="AE3504" s="11" t="n"/>
      <c r="AG3504">
        <f>IF($C3504="","",IF(COUNTIF($C$2:$C3504,$C3504)=1,1,0))</f>
        <v/>
      </c>
      <c r="AH3504">
        <f>IF($AG3504=1,SUMPRODUCT(--($AK$2:$AK$6001&lt;$AK3504))+1,"")</f>
        <v/>
      </c>
      <c r="AI3504">
        <f>IF($C3504="","",IF(OR($N3504=TRUE(),$N3504="TRUE"),1,0))</f>
        <v/>
      </c>
      <c r="AJ3504">
        <f>IF($C3504="","",IF($T3504="Yes",1,0))</f>
        <v/>
      </c>
      <c r="AK3504">
        <f>IF($AG3504=1,IFERROR(IF(VALUE($C3504)&lt;100000000,VALUE($C3504),1000000000),IFERROR(IF(VALUE(MID($C3504,2,20))&lt;100000000,VALUE(MID($C3504,2,20)),1000000000),1000000000))+ROW()/100000,"")</f>
        <v/>
      </c>
    </row>
    <row r="3505">
      <c r="D3505" s="11" t="n"/>
      <c r="K3505" s="7">
        <f>IF($C3505="","",J3505*W3505/100)</f>
        <v/>
      </c>
      <c r="Q3505" s="7" t="n"/>
      <c r="R3505" s="7" t="n"/>
      <c r="U3505">
        <f>IF($C3505="","",IF($AJ3505=1,0,IF($AI3505=1,Settings!$C$6,Settings!$C$7))*100)</f>
        <v/>
      </c>
      <c r="V3505" s="7">
        <f>IF($C3505="","",R3505*U3505/100)</f>
        <v/>
      </c>
      <c r="W3505" s="7">
        <f>IF($C3505="","",R3505-V3505)</f>
        <v/>
      </c>
      <c r="X3505" s="7">
        <f>IF($C3505="","",W3505-K3505)</f>
        <v/>
      </c>
      <c r="AB3505" s="7" t="n"/>
      <c r="AE3505" s="11" t="n"/>
      <c r="AG3505">
        <f>IF($C3505="","",IF(COUNTIF($C$2:$C3505,$C3505)=1,1,0))</f>
        <v/>
      </c>
      <c r="AH3505">
        <f>IF($AG3505=1,SUMPRODUCT(--($AK$2:$AK$6001&lt;$AK3505))+1,"")</f>
        <v/>
      </c>
      <c r="AI3505">
        <f>IF($C3505="","",IF(OR($N3505=TRUE(),$N3505="TRUE"),1,0))</f>
        <v/>
      </c>
      <c r="AJ3505">
        <f>IF($C3505="","",IF($T3505="Yes",1,0))</f>
        <v/>
      </c>
      <c r="AK3505">
        <f>IF($AG3505=1,IFERROR(IF(VALUE($C3505)&lt;100000000,VALUE($C3505),1000000000),IFERROR(IF(VALUE(MID($C3505,2,20))&lt;100000000,VALUE(MID($C3505,2,20)),1000000000),1000000000))+ROW()/100000,"")</f>
        <v/>
      </c>
    </row>
    <row r="3506">
      <c r="D3506" s="11" t="n"/>
      <c r="K3506" s="7">
        <f>IF($C3506="","",J3506*W3506/100)</f>
        <v/>
      </c>
      <c r="Q3506" s="7" t="n"/>
      <c r="R3506" s="7" t="n"/>
      <c r="U3506">
        <f>IF($C3506="","",IF($AJ3506=1,0,IF($AI3506=1,Settings!$C$6,Settings!$C$7))*100)</f>
        <v/>
      </c>
      <c r="V3506" s="7">
        <f>IF($C3506="","",R3506*U3506/100)</f>
        <v/>
      </c>
      <c r="W3506" s="7">
        <f>IF($C3506="","",R3506-V3506)</f>
        <v/>
      </c>
      <c r="X3506" s="7">
        <f>IF($C3506="","",W3506-K3506)</f>
        <v/>
      </c>
      <c r="AB3506" s="7" t="n"/>
      <c r="AE3506" s="11" t="n"/>
      <c r="AG3506">
        <f>IF($C3506="","",IF(COUNTIF($C$2:$C3506,$C3506)=1,1,0))</f>
        <v/>
      </c>
      <c r="AH3506">
        <f>IF($AG3506=1,SUMPRODUCT(--($AK$2:$AK$6001&lt;$AK3506))+1,"")</f>
        <v/>
      </c>
      <c r="AI3506">
        <f>IF($C3506="","",IF(OR($N3506=TRUE(),$N3506="TRUE"),1,0))</f>
        <v/>
      </c>
      <c r="AJ3506">
        <f>IF($C3506="","",IF($T3506="Yes",1,0))</f>
        <v/>
      </c>
      <c r="AK3506">
        <f>IF($AG3506=1,IFERROR(IF(VALUE($C3506)&lt;100000000,VALUE($C3506),1000000000),IFERROR(IF(VALUE(MID($C3506,2,20))&lt;100000000,VALUE(MID($C3506,2,20)),1000000000),1000000000))+ROW()/100000,"")</f>
        <v/>
      </c>
    </row>
    <row r="3507">
      <c r="D3507" s="11" t="n"/>
      <c r="K3507" s="7">
        <f>IF($C3507="","",J3507*W3507/100)</f>
        <v/>
      </c>
      <c r="Q3507" s="7" t="n"/>
      <c r="R3507" s="7" t="n"/>
      <c r="U3507">
        <f>IF($C3507="","",IF($AJ3507=1,0,IF($AI3507=1,Settings!$C$6,Settings!$C$7))*100)</f>
        <v/>
      </c>
      <c r="V3507" s="7">
        <f>IF($C3507="","",R3507*U3507/100)</f>
        <v/>
      </c>
      <c r="W3507" s="7">
        <f>IF($C3507="","",R3507-V3507)</f>
        <v/>
      </c>
      <c r="X3507" s="7">
        <f>IF($C3507="","",W3507-K3507)</f>
        <v/>
      </c>
      <c r="AB3507" s="7" t="n"/>
      <c r="AE3507" s="11" t="n"/>
      <c r="AG3507">
        <f>IF($C3507="","",IF(COUNTIF($C$2:$C3507,$C3507)=1,1,0))</f>
        <v/>
      </c>
      <c r="AH3507">
        <f>IF($AG3507=1,SUMPRODUCT(--($AK$2:$AK$6001&lt;$AK3507))+1,"")</f>
        <v/>
      </c>
      <c r="AI3507">
        <f>IF($C3507="","",IF(OR($N3507=TRUE(),$N3507="TRUE"),1,0))</f>
        <v/>
      </c>
      <c r="AJ3507">
        <f>IF($C3507="","",IF($T3507="Yes",1,0))</f>
        <v/>
      </c>
      <c r="AK3507">
        <f>IF($AG3507=1,IFERROR(IF(VALUE($C3507)&lt;100000000,VALUE($C3507),1000000000),IFERROR(IF(VALUE(MID($C3507,2,20))&lt;100000000,VALUE(MID($C3507,2,20)),1000000000),1000000000))+ROW()/100000,"")</f>
        <v/>
      </c>
    </row>
    <row r="3508">
      <c r="D3508" s="11" t="n"/>
      <c r="K3508" s="7">
        <f>IF($C3508="","",J3508*W3508/100)</f>
        <v/>
      </c>
      <c r="Q3508" s="7" t="n"/>
      <c r="R3508" s="7" t="n"/>
      <c r="U3508">
        <f>IF($C3508="","",IF($AJ3508=1,0,IF($AI3508=1,Settings!$C$6,Settings!$C$7))*100)</f>
        <v/>
      </c>
      <c r="V3508" s="7">
        <f>IF($C3508="","",R3508*U3508/100)</f>
        <v/>
      </c>
      <c r="W3508" s="7">
        <f>IF($C3508="","",R3508-V3508)</f>
        <v/>
      </c>
      <c r="X3508" s="7">
        <f>IF($C3508="","",W3508-K3508)</f>
        <v/>
      </c>
      <c r="AB3508" s="7" t="n"/>
      <c r="AE3508" s="11" t="n"/>
      <c r="AG3508">
        <f>IF($C3508="","",IF(COUNTIF($C$2:$C3508,$C3508)=1,1,0))</f>
        <v/>
      </c>
      <c r="AH3508">
        <f>IF($AG3508=1,SUMPRODUCT(--($AK$2:$AK$6001&lt;$AK3508))+1,"")</f>
        <v/>
      </c>
      <c r="AI3508">
        <f>IF($C3508="","",IF(OR($N3508=TRUE(),$N3508="TRUE"),1,0))</f>
        <v/>
      </c>
      <c r="AJ3508">
        <f>IF($C3508="","",IF($T3508="Yes",1,0))</f>
        <v/>
      </c>
      <c r="AK3508">
        <f>IF($AG3508=1,IFERROR(IF(VALUE($C3508)&lt;100000000,VALUE($C3508),1000000000),IFERROR(IF(VALUE(MID($C3508,2,20))&lt;100000000,VALUE(MID($C3508,2,20)),1000000000),1000000000))+ROW()/100000,"")</f>
        <v/>
      </c>
    </row>
    <row r="3509">
      <c r="D3509" s="11" t="n"/>
      <c r="K3509" s="7">
        <f>IF($C3509="","",J3509*W3509/100)</f>
        <v/>
      </c>
      <c r="Q3509" s="7" t="n"/>
      <c r="R3509" s="7" t="n"/>
      <c r="U3509">
        <f>IF($C3509="","",IF($AJ3509=1,0,IF($AI3509=1,Settings!$C$6,Settings!$C$7))*100)</f>
        <v/>
      </c>
      <c r="V3509" s="7">
        <f>IF($C3509="","",R3509*U3509/100)</f>
        <v/>
      </c>
      <c r="W3509" s="7">
        <f>IF($C3509="","",R3509-V3509)</f>
        <v/>
      </c>
      <c r="X3509" s="7">
        <f>IF($C3509="","",W3509-K3509)</f>
        <v/>
      </c>
      <c r="AB3509" s="7" t="n"/>
      <c r="AE3509" s="11" t="n"/>
      <c r="AG3509">
        <f>IF($C3509="","",IF(COUNTIF($C$2:$C3509,$C3509)=1,1,0))</f>
        <v/>
      </c>
      <c r="AH3509">
        <f>IF($AG3509=1,SUMPRODUCT(--($AK$2:$AK$6001&lt;$AK3509))+1,"")</f>
        <v/>
      </c>
      <c r="AI3509">
        <f>IF($C3509="","",IF(OR($N3509=TRUE(),$N3509="TRUE"),1,0))</f>
        <v/>
      </c>
      <c r="AJ3509">
        <f>IF($C3509="","",IF($T3509="Yes",1,0))</f>
        <v/>
      </c>
      <c r="AK3509">
        <f>IF($AG3509=1,IFERROR(IF(VALUE($C3509)&lt;100000000,VALUE($C3509),1000000000),IFERROR(IF(VALUE(MID($C3509,2,20))&lt;100000000,VALUE(MID($C3509,2,20)),1000000000),1000000000))+ROW()/100000,"")</f>
        <v/>
      </c>
    </row>
    <row r="3510">
      <c r="D3510" s="11" t="n"/>
      <c r="K3510" s="7">
        <f>IF($C3510="","",J3510*W3510/100)</f>
        <v/>
      </c>
      <c r="Q3510" s="7" t="n"/>
      <c r="R3510" s="7" t="n"/>
      <c r="U3510">
        <f>IF($C3510="","",IF($AJ3510=1,0,IF($AI3510=1,Settings!$C$6,Settings!$C$7))*100)</f>
        <v/>
      </c>
      <c r="V3510" s="7">
        <f>IF($C3510="","",R3510*U3510/100)</f>
        <v/>
      </c>
      <c r="W3510" s="7">
        <f>IF($C3510="","",R3510-V3510)</f>
        <v/>
      </c>
      <c r="X3510" s="7">
        <f>IF($C3510="","",W3510-K3510)</f>
        <v/>
      </c>
      <c r="AB3510" s="7" t="n"/>
      <c r="AE3510" s="11" t="n"/>
      <c r="AG3510">
        <f>IF($C3510="","",IF(COUNTIF($C$2:$C3510,$C3510)=1,1,0))</f>
        <v/>
      </c>
      <c r="AH3510">
        <f>IF($AG3510=1,SUMPRODUCT(--($AK$2:$AK$6001&lt;$AK3510))+1,"")</f>
        <v/>
      </c>
      <c r="AI3510">
        <f>IF($C3510="","",IF(OR($N3510=TRUE(),$N3510="TRUE"),1,0))</f>
        <v/>
      </c>
      <c r="AJ3510">
        <f>IF($C3510="","",IF($T3510="Yes",1,0))</f>
        <v/>
      </c>
      <c r="AK3510">
        <f>IF($AG3510=1,IFERROR(IF(VALUE($C3510)&lt;100000000,VALUE($C3510),1000000000),IFERROR(IF(VALUE(MID($C3510,2,20))&lt;100000000,VALUE(MID($C3510,2,20)),1000000000),1000000000))+ROW()/100000,"")</f>
        <v/>
      </c>
    </row>
    <row r="3511">
      <c r="D3511" s="11" t="n"/>
      <c r="K3511" s="7">
        <f>IF($C3511="","",J3511*W3511/100)</f>
        <v/>
      </c>
      <c r="Q3511" s="7" t="n"/>
      <c r="R3511" s="7" t="n"/>
      <c r="U3511">
        <f>IF($C3511="","",IF($AJ3511=1,0,IF($AI3511=1,Settings!$C$6,Settings!$C$7))*100)</f>
        <v/>
      </c>
      <c r="V3511" s="7">
        <f>IF($C3511="","",R3511*U3511/100)</f>
        <v/>
      </c>
      <c r="W3511" s="7">
        <f>IF($C3511="","",R3511-V3511)</f>
        <v/>
      </c>
      <c r="X3511" s="7">
        <f>IF($C3511="","",W3511-K3511)</f>
        <v/>
      </c>
      <c r="AB3511" s="7" t="n"/>
      <c r="AE3511" s="11" t="n"/>
      <c r="AG3511">
        <f>IF($C3511="","",IF(COUNTIF($C$2:$C3511,$C3511)=1,1,0))</f>
        <v/>
      </c>
      <c r="AH3511">
        <f>IF($AG3511=1,SUMPRODUCT(--($AK$2:$AK$6001&lt;$AK3511))+1,"")</f>
        <v/>
      </c>
      <c r="AI3511">
        <f>IF($C3511="","",IF(OR($N3511=TRUE(),$N3511="TRUE"),1,0))</f>
        <v/>
      </c>
      <c r="AJ3511">
        <f>IF($C3511="","",IF($T3511="Yes",1,0))</f>
        <v/>
      </c>
      <c r="AK3511">
        <f>IF($AG3511=1,IFERROR(IF(VALUE($C3511)&lt;100000000,VALUE($C3511),1000000000),IFERROR(IF(VALUE(MID($C3511,2,20))&lt;100000000,VALUE(MID($C3511,2,20)),1000000000),1000000000))+ROW()/100000,"")</f>
        <v/>
      </c>
    </row>
    <row r="3512">
      <c r="D3512" s="11" t="n"/>
      <c r="K3512" s="7">
        <f>IF($C3512="","",J3512*W3512/100)</f>
        <v/>
      </c>
      <c r="Q3512" s="7" t="n"/>
      <c r="R3512" s="7" t="n"/>
      <c r="U3512">
        <f>IF($C3512="","",IF($AJ3512=1,0,IF($AI3512=1,Settings!$C$6,Settings!$C$7))*100)</f>
        <v/>
      </c>
      <c r="V3512" s="7">
        <f>IF($C3512="","",R3512*U3512/100)</f>
        <v/>
      </c>
      <c r="W3512" s="7">
        <f>IF($C3512="","",R3512-V3512)</f>
        <v/>
      </c>
      <c r="X3512" s="7">
        <f>IF($C3512="","",W3512-K3512)</f>
        <v/>
      </c>
      <c r="AB3512" s="7" t="n"/>
      <c r="AE3512" s="11" t="n"/>
      <c r="AG3512">
        <f>IF($C3512="","",IF(COUNTIF($C$2:$C3512,$C3512)=1,1,0))</f>
        <v/>
      </c>
      <c r="AH3512">
        <f>IF($AG3512=1,SUMPRODUCT(--($AK$2:$AK$6001&lt;$AK3512))+1,"")</f>
        <v/>
      </c>
      <c r="AI3512">
        <f>IF($C3512="","",IF(OR($N3512=TRUE(),$N3512="TRUE"),1,0))</f>
        <v/>
      </c>
      <c r="AJ3512">
        <f>IF($C3512="","",IF($T3512="Yes",1,0))</f>
        <v/>
      </c>
      <c r="AK3512">
        <f>IF($AG3512=1,IFERROR(IF(VALUE($C3512)&lt;100000000,VALUE($C3512),1000000000),IFERROR(IF(VALUE(MID($C3512,2,20))&lt;100000000,VALUE(MID($C3512,2,20)),1000000000),1000000000))+ROW()/100000,"")</f>
        <v/>
      </c>
    </row>
    <row r="3513">
      <c r="D3513" s="11" t="n"/>
      <c r="K3513" s="7">
        <f>IF($C3513="","",J3513*W3513/100)</f>
        <v/>
      </c>
      <c r="Q3513" s="7" t="n"/>
      <c r="R3513" s="7" t="n"/>
      <c r="U3513">
        <f>IF($C3513="","",IF($AJ3513=1,0,IF($AI3513=1,Settings!$C$6,Settings!$C$7))*100)</f>
        <v/>
      </c>
      <c r="V3513" s="7">
        <f>IF($C3513="","",R3513*U3513/100)</f>
        <v/>
      </c>
      <c r="W3513" s="7">
        <f>IF($C3513="","",R3513-V3513)</f>
        <v/>
      </c>
      <c r="X3513" s="7">
        <f>IF($C3513="","",W3513-K3513)</f>
        <v/>
      </c>
      <c r="AB3513" s="7" t="n"/>
      <c r="AE3513" s="11" t="n"/>
      <c r="AG3513">
        <f>IF($C3513="","",IF(COUNTIF($C$2:$C3513,$C3513)=1,1,0))</f>
        <v/>
      </c>
      <c r="AH3513">
        <f>IF($AG3513=1,SUMPRODUCT(--($AK$2:$AK$6001&lt;$AK3513))+1,"")</f>
        <v/>
      </c>
      <c r="AI3513">
        <f>IF($C3513="","",IF(OR($N3513=TRUE(),$N3513="TRUE"),1,0))</f>
        <v/>
      </c>
      <c r="AJ3513">
        <f>IF($C3513="","",IF($T3513="Yes",1,0))</f>
        <v/>
      </c>
      <c r="AK3513">
        <f>IF($AG3513=1,IFERROR(IF(VALUE($C3513)&lt;100000000,VALUE($C3513),1000000000),IFERROR(IF(VALUE(MID($C3513,2,20))&lt;100000000,VALUE(MID($C3513,2,20)),1000000000),1000000000))+ROW()/100000,"")</f>
        <v/>
      </c>
    </row>
    <row r="3514">
      <c r="D3514" s="11" t="n"/>
      <c r="K3514" s="7">
        <f>IF($C3514="","",J3514*W3514/100)</f>
        <v/>
      </c>
      <c r="Q3514" s="7" t="n"/>
      <c r="R3514" s="7" t="n"/>
      <c r="U3514">
        <f>IF($C3514="","",IF($AJ3514=1,0,IF($AI3514=1,Settings!$C$6,Settings!$C$7))*100)</f>
        <v/>
      </c>
      <c r="V3514" s="7">
        <f>IF($C3514="","",R3514*U3514/100)</f>
        <v/>
      </c>
      <c r="W3514" s="7">
        <f>IF($C3514="","",R3514-V3514)</f>
        <v/>
      </c>
      <c r="X3514" s="7">
        <f>IF($C3514="","",W3514-K3514)</f>
        <v/>
      </c>
      <c r="AB3514" s="7" t="n"/>
      <c r="AE3514" s="11" t="n"/>
      <c r="AG3514">
        <f>IF($C3514="","",IF(COUNTIF($C$2:$C3514,$C3514)=1,1,0))</f>
        <v/>
      </c>
      <c r="AH3514">
        <f>IF($AG3514=1,SUMPRODUCT(--($AK$2:$AK$6001&lt;$AK3514))+1,"")</f>
        <v/>
      </c>
      <c r="AI3514">
        <f>IF($C3514="","",IF(OR($N3514=TRUE(),$N3514="TRUE"),1,0))</f>
        <v/>
      </c>
      <c r="AJ3514">
        <f>IF($C3514="","",IF($T3514="Yes",1,0))</f>
        <v/>
      </c>
      <c r="AK3514">
        <f>IF($AG3514=1,IFERROR(IF(VALUE($C3514)&lt;100000000,VALUE($C3514),1000000000),IFERROR(IF(VALUE(MID($C3514,2,20))&lt;100000000,VALUE(MID($C3514,2,20)),1000000000),1000000000))+ROW()/100000,"")</f>
        <v/>
      </c>
    </row>
    <row r="3515">
      <c r="D3515" s="11" t="n"/>
      <c r="K3515" s="7">
        <f>IF($C3515="","",J3515*W3515/100)</f>
        <v/>
      </c>
      <c r="Q3515" s="7" t="n"/>
      <c r="R3515" s="7" t="n"/>
      <c r="U3515">
        <f>IF($C3515="","",IF($AJ3515=1,0,IF($AI3515=1,Settings!$C$6,Settings!$C$7))*100)</f>
        <v/>
      </c>
      <c r="V3515" s="7">
        <f>IF($C3515="","",R3515*U3515/100)</f>
        <v/>
      </c>
      <c r="W3515" s="7">
        <f>IF($C3515="","",R3515-V3515)</f>
        <v/>
      </c>
      <c r="X3515" s="7">
        <f>IF($C3515="","",W3515-K3515)</f>
        <v/>
      </c>
      <c r="AB3515" s="7" t="n"/>
      <c r="AE3515" s="11" t="n"/>
      <c r="AG3515">
        <f>IF($C3515="","",IF(COUNTIF($C$2:$C3515,$C3515)=1,1,0))</f>
        <v/>
      </c>
      <c r="AH3515">
        <f>IF($AG3515=1,SUMPRODUCT(--($AK$2:$AK$6001&lt;$AK3515))+1,"")</f>
        <v/>
      </c>
      <c r="AI3515">
        <f>IF($C3515="","",IF(OR($N3515=TRUE(),$N3515="TRUE"),1,0))</f>
        <v/>
      </c>
      <c r="AJ3515">
        <f>IF($C3515="","",IF($T3515="Yes",1,0))</f>
        <v/>
      </c>
      <c r="AK3515">
        <f>IF($AG3515=1,IFERROR(IF(VALUE($C3515)&lt;100000000,VALUE($C3515),1000000000),IFERROR(IF(VALUE(MID($C3515,2,20))&lt;100000000,VALUE(MID($C3515,2,20)),1000000000),1000000000))+ROW()/100000,"")</f>
        <v/>
      </c>
    </row>
    <row r="3516">
      <c r="D3516" s="11" t="n"/>
      <c r="K3516" s="7">
        <f>IF($C3516="","",J3516*W3516/100)</f>
        <v/>
      </c>
      <c r="Q3516" s="7" t="n"/>
      <c r="R3516" s="7" t="n"/>
      <c r="U3516">
        <f>IF($C3516="","",IF($AJ3516=1,0,IF($AI3516=1,Settings!$C$6,Settings!$C$7))*100)</f>
        <v/>
      </c>
      <c r="V3516" s="7">
        <f>IF($C3516="","",R3516*U3516/100)</f>
        <v/>
      </c>
      <c r="W3516" s="7">
        <f>IF($C3516="","",R3516-V3516)</f>
        <v/>
      </c>
      <c r="X3516" s="7">
        <f>IF($C3516="","",W3516-K3516)</f>
        <v/>
      </c>
      <c r="AB3516" s="7" t="n"/>
      <c r="AE3516" s="11" t="n"/>
      <c r="AG3516">
        <f>IF($C3516="","",IF(COUNTIF($C$2:$C3516,$C3516)=1,1,0))</f>
        <v/>
      </c>
      <c r="AH3516">
        <f>IF($AG3516=1,SUMPRODUCT(--($AK$2:$AK$6001&lt;$AK3516))+1,"")</f>
        <v/>
      </c>
      <c r="AI3516">
        <f>IF($C3516="","",IF(OR($N3516=TRUE(),$N3516="TRUE"),1,0))</f>
        <v/>
      </c>
      <c r="AJ3516">
        <f>IF($C3516="","",IF($T3516="Yes",1,0))</f>
        <v/>
      </c>
      <c r="AK3516">
        <f>IF($AG3516=1,IFERROR(IF(VALUE($C3516)&lt;100000000,VALUE($C3516),1000000000),IFERROR(IF(VALUE(MID($C3516,2,20))&lt;100000000,VALUE(MID($C3516,2,20)),1000000000),1000000000))+ROW()/100000,"")</f>
        <v/>
      </c>
    </row>
    <row r="3517">
      <c r="D3517" s="11" t="n"/>
      <c r="K3517" s="7">
        <f>IF($C3517="","",J3517*W3517/100)</f>
        <v/>
      </c>
      <c r="Q3517" s="7" t="n"/>
      <c r="R3517" s="7" t="n"/>
      <c r="U3517">
        <f>IF($C3517="","",IF($AJ3517=1,0,IF($AI3517=1,Settings!$C$6,Settings!$C$7))*100)</f>
        <v/>
      </c>
      <c r="V3517" s="7">
        <f>IF($C3517="","",R3517*U3517/100)</f>
        <v/>
      </c>
      <c r="W3517" s="7">
        <f>IF($C3517="","",R3517-V3517)</f>
        <v/>
      </c>
      <c r="X3517" s="7">
        <f>IF($C3517="","",W3517-K3517)</f>
        <v/>
      </c>
      <c r="AB3517" s="7" t="n"/>
      <c r="AE3517" s="11" t="n"/>
      <c r="AG3517">
        <f>IF($C3517="","",IF(COUNTIF($C$2:$C3517,$C3517)=1,1,0))</f>
        <v/>
      </c>
      <c r="AH3517">
        <f>IF($AG3517=1,SUMPRODUCT(--($AK$2:$AK$6001&lt;$AK3517))+1,"")</f>
        <v/>
      </c>
      <c r="AI3517">
        <f>IF($C3517="","",IF(OR($N3517=TRUE(),$N3517="TRUE"),1,0))</f>
        <v/>
      </c>
      <c r="AJ3517">
        <f>IF($C3517="","",IF($T3517="Yes",1,0))</f>
        <v/>
      </c>
      <c r="AK3517">
        <f>IF($AG3517=1,IFERROR(IF(VALUE($C3517)&lt;100000000,VALUE($C3517),1000000000),IFERROR(IF(VALUE(MID($C3517,2,20))&lt;100000000,VALUE(MID($C3517,2,20)),1000000000),1000000000))+ROW()/100000,"")</f>
        <v/>
      </c>
    </row>
    <row r="3518">
      <c r="D3518" s="11" t="n"/>
      <c r="K3518" s="7">
        <f>IF($C3518="","",J3518*W3518/100)</f>
        <v/>
      </c>
      <c r="Q3518" s="7" t="n"/>
      <c r="R3518" s="7" t="n"/>
      <c r="U3518">
        <f>IF($C3518="","",IF($AJ3518=1,0,IF($AI3518=1,Settings!$C$6,Settings!$C$7))*100)</f>
        <v/>
      </c>
      <c r="V3518" s="7">
        <f>IF($C3518="","",R3518*U3518/100)</f>
        <v/>
      </c>
      <c r="W3518" s="7">
        <f>IF($C3518="","",R3518-V3518)</f>
        <v/>
      </c>
      <c r="X3518" s="7">
        <f>IF($C3518="","",W3518-K3518)</f>
        <v/>
      </c>
      <c r="AB3518" s="7" t="n"/>
      <c r="AE3518" s="11" t="n"/>
      <c r="AG3518">
        <f>IF($C3518="","",IF(COUNTIF($C$2:$C3518,$C3518)=1,1,0))</f>
        <v/>
      </c>
      <c r="AH3518">
        <f>IF($AG3518=1,SUMPRODUCT(--($AK$2:$AK$6001&lt;$AK3518))+1,"")</f>
        <v/>
      </c>
      <c r="AI3518">
        <f>IF($C3518="","",IF(OR($N3518=TRUE(),$N3518="TRUE"),1,0))</f>
        <v/>
      </c>
      <c r="AJ3518">
        <f>IF($C3518="","",IF($T3518="Yes",1,0))</f>
        <v/>
      </c>
      <c r="AK3518">
        <f>IF($AG3518=1,IFERROR(IF(VALUE($C3518)&lt;100000000,VALUE($C3518),1000000000),IFERROR(IF(VALUE(MID($C3518,2,20))&lt;100000000,VALUE(MID($C3518,2,20)),1000000000),1000000000))+ROW()/100000,"")</f>
        <v/>
      </c>
    </row>
    <row r="3519">
      <c r="D3519" s="11" t="n"/>
      <c r="K3519" s="7">
        <f>IF($C3519="","",J3519*W3519/100)</f>
        <v/>
      </c>
      <c r="Q3519" s="7" t="n"/>
      <c r="R3519" s="7" t="n"/>
      <c r="U3519">
        <f>IF($C3519="","",IF($AJ3519=1,0,IF($AI3519=1,Settings!$C$6,Settings!$C$7))*100)</f>
        <v/>
      </c>
      <c r="V3519" s="7">
        <f>IF($C3519="","",R3519*U3519/100)</f>
        <v/>
      </c>
      <c r="W3519" s="7">
        <f>IF($C3519="","",R3519-V3519)</f>
        <v/>
      </c>
      <c r="X3519" s="7">
        <f>IF($C3519="","",W3519-K3519)</f>
        <v/>
      </c>
      <c r="AB3519" s="7" t="n"/>
      <c r="AE3519" s="11" t="n"/>
      <c r="AG3519">
        <f>IF($C3519="","",IF(COUNTIF($C$2:$C3519,$C3519)=1,1,0))</f>
        <v/>
      </c>
      <c r="AH3519">
        <f>IF($AG3519=1,SUMPRODUCT(--($AK$2:$AK$6001&lt;$AK3519))+1,"")</f>
        <v/>
      </c>
      <c r="AI3519">
        <f>IF($C3519="","",IF(OR($N3519=TRUE(),$N3519="TRUE"),1,0))</f>
        <v/>
      </c>
      <c r="AJ3519">
        <f>IF($C3519="","",IF($T3519="Yes",1,0))</f>
        <v/>
      </c>
      <c r="AK3519">
        <f>IF($AG3519=1,IFERROR(IF(VALUE($C3519)&lt;100000000,VALUE($C3519),1000000000),IFERROR(IF(VALUE(MID($C3519,2,20))&lt;100000000,VALUE(MID($C3519,2,20)),1000000000),1000000000))+ROW()/100000,"")</f>
        <v/>
      </c>
    </row>
    <row r="3520">
      <c r="D3520" s="11" t="n"/>
      <c r="K3520" s="7">
        <f>IF($C3520="","",J3520*W3520/100)</f>
        <v/>
      </c>
      <c r="Q3520" s="7" t="n"/>
      <c r="R3520" s="7" t="n"/>
      <c r="U3520">
        <f>IF($C3520="","",IF($AJ3520=1,0,IF($AI3520=1,Settings!$C$6,Settings!$C$7))*100)</f>
        <v/>
      </c>
      <c r="V3520" s="7">
        <f>IF($C3520="","",R3520*U3520/100)</f>
        <v/>
      </c>
      <c r="W3520" s="7">
        <f>IF($C3520="","",R3520-V3520)</f>
        <v/>
      </c>
      <c r="X3520" s="7">
        <f>IF($C3520="","",W3520-K3520)</f>
        <v/>
      </c>
      <c r="AB3520" s="7" t="n"/>
      <c r="AE3520" s="11" t="n"/>
      <c r="AG3520">
        <f>IF($C3520="","",IF(COUNTIF($C$2:$C3520,$C3520)=1,1,0))</f>
        <v/>
      </c>
      <c r="AH3520">
        <f>IF($AG3520=1,SUMPRODUCT(--($AK$2:$AK$6001&lt;$AK3520))+1,"")</f>
        <v/>
      </c>
      <c r="AI3520">
        <f>IF($C3520="","",IF(OR($N3520=TRUE(),$N3520="TRUE"),1,0))</f>
        <v/>
      </c>
      <c r="AJ3520">
        <f>IF($C3520="","",IF($T3520="Yes",1,0))</f>
        <v/>
      </c>
      <c r="AK3520">
        <f>IF($AG3520=1,IFERROR(IF(VALUE($C3520)&lt;100000000,VALUE($C3520),1000000000),IFERROR(IF(VALUE(MID($C3520,2,20))&lt;100000000,VALUE(MID($C3520,2,20)),1000000000),1000000000))+ROW()/100000,"")</f>
        <v/>
      </c>
    </row>
    <row r="3521">
      <c r="D3521" s="11" t="n"/>
      <c r="K3521" s="7">
        <f>IF($C3521="","",J3521*W3521/100)</f>
        <v/>
      </c>
      <c r="Q3521" s="7" t="n"/>
      <c r="R3521" s="7" t="n"/>
      <c r="U3521">
        <f>IF($C3521="","",IF($AJ3521=1,0,IF($AI3521=1,Settings!$C$6,Settings!$C$7))*100)</f>
        <v/>
      </c>
      <c r="V3521" s="7">
        <f>IF($C3521="","",R3521*U3521/100)</f>
        <v/>
      </c>
      <c r="W3521" s="7">
        <f>IF($C3521="","",R3521-V3521)</f>
        <v/>
      </c>
      <c r="X3521" s="7">
        <f>IF($C3521="","",W3521-K3521)</f>
        <v/>
      </c>
      <c r="AB3521" s="7" t="n"/>
      <c r="AE3521" s="11" t="n"/>
      <c r="AG3521">
        <f>IF($C3521="","",IF(COUNTIF($C$2:$C3521,$C3521)=1,1,0))</f>
        <v/>
      </c>
      <c r="AH3521">
        <f>IF($AG3521=1,SUMPRODUCT(--($AK$2:$AK$6001&lt;$AK3521))+1,"")</f>
        <v/>
      </c>
      <c r="AI3521">
        <f>IF($C3521="","",IF(OR($N3521=TRUE(),$N3521="TRUE"),1,0))</f>
        <v/>
      </c>
      <c r="AJ3521">
        <f>IF($C3521="","",IF($T3521="Yes",1,0))</f>
        <v/>
      </c>
      <c r="AK3521">
        <f>IF($AG3521=1,IFERROR(IF(VALUE($C3521)&lt;100000000,VALUE($C3521),1000000000),IFERROR(IF(VALUE(MID($C3521,2,20))&lt;100000000,VALUE(MID($C3521,2,20)),1000000000),1000000000))+ROW()/100000,"")</f>
        <v/>
      </c>
    </row>
    <row r="3522">
      <c r="D3522" s="11" t="n"/>
      <c r="K3522" s="7">
        <f>IF($C3522="","",J3522*W3522/100)</f>
        <v/>
      </c>
      <c r="Q3522" s="7" t="n"/>
      <c r="R3522" s="7" t="n"/>
      <c r="U3522">
        <f>IF($C3522="","",IF($AJ3522=1,0,IF($AI3522=1,Settings!$C$6,Settings!$C$7))*100)</f>
        <v/>
      </c>
      <c r="V3522" s="7">
        <f>IF($C3522="","",R3522*U3522/100)</f>
        <v/>
      </c>
      <c r="W3522" s="7">
        <f>IF($C3522="","",R3522-V3522)</f>
        <v/>
      </c>
      <c r="X3522" s="7">
        <f>IF($C3522="","",W3522-K3522)</f>
        <v/>
      </c>
      <c r="AB3522" s="7" t="n"/>
      <c r="AE3522" s="11" t="n"/>
      <c r="AG3522">
        <f>IF($C3522="","",IF(COUNTIF($C$2:$C3522,$C3522)=1,1,0))</f>
        <v/>
      </c>
      <c r="AH3522">
        <f>IF($AG3522=1,SUMPRODUCT(--($AK$2:$AK$6001&lt;$AK3522))+1,"")</f>
        <v/>
      </c>
      <c r="AI3522">
        <f>IF($C3522="","",IF(OR($N3522=TRUE(),$N3522="TRUE"),1,0))</f>
        <v/>
      </c>
      <c r="AJ3522">
        <f>IF($C3522="","",IF($T3522="Yes",1,0))</f>
        <v/>
      </c>
      <c r="AK3522">
        <f>IF($AG3522=1,IFERROR(IF(VALUE($C3522)&lt;100000000,VALUE($C3522),1000000000),IFERROR(IF(VALUE(MID($C3522,2,20))&lt;100000000,VALUE(MID($C3522,2,20)),1000000000),1000000000))+ROW()/100000,"")</f>
        <v/>
      </c>
    </row>
    <row r="3523">
      <c r="D3523" s="11" t="n"/>
      <c r="K3523" s="7">
        <f>IF($C3523="","",J3523*W3523/100)</f>
        <v/>
      </c>
      <c r="Q3523" s="7" t="n"/>
      <c r="R3523" s="7" t="n"/>
      <c r="U3523">
        <f>IF($C3523="","",IF($AJ3523=1,0,IF($AI3523=1,Settings!$C$6,Settings!$C$7))*100)</f>
        <v/>
      </c>
      <c r="V3523" s="7">
        <f>IF($C3523="","",R3523*U3523/100)</f>
        <v/>
      </c>
      <c r="W3523" s="7">
        <f>IF($C3523="","",R3523-V3523)</f>
        <v/>
      </c>
      <c r="X3523" s="7">
        <f>IF($C3523="","",W3523-K3523)</f>
        <v/>
      </c>
      <c r="AB3523" s="7" t="n"/>
      <c r="AE3523" s="11" t="n"/>
      <c r="AG3523">
        <f>IF($C3523="","",IF(COUNTIF($C$2:$C3523,$C3523)=1,1,0))</f>
        <v/>
      </c>
      <c r="AH3523">
        <f>IF($AG3523=1,SUMPRODUCT(--($AK$2:$AK$6001&lt;$AK3523))+1,"")</f>
        <v/>
      </c>
      <c r="AI3523">
        <f>IF($C3523="","",IF(OR($N3523=TRUE(),$N3523="TRUE"),1,0))</f>
        <v/>
      </c>
      <c r="AJ3523">
        <f>IF($C3523="","",IF($T3523="Yes",1,0))</f>
        <v/>
      </c>
      <c r="AK3523">
        <f>IF($AG3523=1,IFERROR(IF(VALUE($C3523)&lt;100000000,VALUE($C3523),1000000000),IFERROR(IF(VALUE(MID($C3523,2,20))&lt;100000000,VALUE(MID($C3523,2,20)),1000000000),1000000000))+ROW()/100000,"")</f>
        <v/>
      </c>
    </row>
    <row r="3524">
      <c r="D3524" s="11" t="n"/>
      <c r="K3524" s="7">
        <f>IF($C3524="","",J3524*W3524/100)</f>
        <v/>
      </c>
      <c r="Q3524" s="7" t="n"/>
      <c r="R3524" s="7" t="n"/>
      <c r="U3524">
        <f>IF($C3524="","",IF($AJ3524=1,0,IF($AI3524=1,Settings!$C$6,Settings!$C$7))*100)</f>
        <v/>
      </c>
      <c r="V3524" s="7">
        <f>IF($C3524="","",R3524*U3524/100)</f>
        <v/>
      </c>
      <c r="W3524" s="7">
        <f>IF($C3524="","",R3524-V3524)</f>
        <v/>
      </c>
      <c r="X3524" s="7">
        <f>IF($C3524="","",W3524-K3524)</f>
        <v/>
      </c>
      <c r="AB3524" s="7" t="n"/>
      <c r="AE3524" s="11" t="n"/>
      <c r="AG3524">
        <f>IF($C3524="","",IF(COUNTIF($C$2:$C3524,$C3524)=1,1,0))</f>
        <v/>
      </c>
      <c r="AH3524">
        <f>IF($AG3524=1,SUMPRODUCT(--($AK$2:$AK$6001&lt;$AK3524))+1,"")</f>
        <v/>
      </c>
      <c r="AI3524">
        <f>IF($C3524="","",IF(OR($N3524=TRUE(),$N3524="TRUE"),1,0))</f>
        <v/>
      </c>
      <c r="AJ3524">
        <f>IF($C3524="","",IF($T3524="Yes",1,0))</f>
        <v/>
      </c>
      <c r="AK3524">
        <f>IF($AG3524=1,IFERROR(IF(VALUE($C3524)&lt;100000000,VALUE($C3524),1000000000),IFERROR(IF(VALUE(MID($C3524,2,20))&lt;100000000,VALUE(MID($C3524,2,20)),1000000000),1000000000))+ROW()/100000,"")</f>
        <v/>
      </c>
    </row>
    <row r="3525">
      <c r="D3525" s="11" t="n"/>
      <c r="K3525" s="7">
        <f>IF($C3525="","",J3525*W3525/100)</f>
        <v/>
      </c>
      <c r="Q3525" s="7" t="n"/>
      <c r="R3525" s="7" t="n"/>
      <c r="U3525">
        <f>IF($C3525="","",IF($AJ3525=1,0,IF($AI3525=1,Settings!$C$6,Settings!$C$7))*100)</f>
        <v/>
      </c>
      <c r="V3525" s="7">
        <f>IF($C3525="","",R3525*U3525/100)</f>
        <v/>
      </c>
      <c r="W3525" s="7">
        <f>IF($C3525="","",R3525-V3525)</f>
        <v/>
      </c>
      <c r="X3525" s="7">
        <f>IF($C3525="","",W3525-K3525)</f>
        <v/>
      </c>
      <c r="AB3525" s="7" t="n"/>
      <c r="AE3525" s="11" t="n"/>
      <c r="AG3525">
        <f>IF($C3525="","",IF(COUNTIF($C$2:$C3525,$C3525)=1,1,0))</f>
        <v/>
      </c>
      <c r="AH3525">
        <f>IF($AG3525=1,SUMPRODUCT(--($AK$2:$AK$6001&lt;$AK3525))+1,"")</f>
        <v/>
      </c>
      <c r="AI3525">
        <f>IF($C3525="","",IF(OR($N3525=TRUE(),$N3525="TRUE"),1,0))</f>
        <v/>
      </c>
      <c r="AJ3525">
        <f>IF($C3525="","",IF($T3525="Yes",1,0))</f>
        <v/>
      </c>
      <c r="AK3525">
        <f>IF($AG3525=1,IFERROR(IF(VALUE($C3525)&lt;100000000,VALUE($C3525),1000000000),IFERROR(IF(VALUE(MID($C3525,2,20))&lt;100000000,VALUE(MID($C3525,2,20)),1000000000),1000000000))+ROW()/100000,"")</f>
        <v/>
      </c>
    </row>
    <row r="3526">
      <c r="D3526" s="11" t="n"/>
      <c r="K3526" s="7">
        <f>IF($C3526="","",J3526*W3526/100)</f>
        <v/>
      </c>
      <c r="Q3526" s="7" t="n"/>
      <c r="R3526" s="7" t="n"/>
      <c r="U3526">
        <f>IF($C3526="","",IF($AJ3526=1,0,IF($AI3526=1,Settings!$C$6,Settings!$C$7))*100)</f>
        <v/>
      </c>
      <c r="V3526" s="7">
        <f>IF($C3526="","",R3526*U3526/100)</f>
        <v/>
      </c>
      <c r="W3526" s="7">
        <f>IF($C3526="","",R3526-V3526)</f>
        <v/>
      </c>
      <c r="X3526" s="7">
        <f>IF($C3526="","",W3526-K3526)</f>
        <v/>
      </c>
      <c r="AB3526" s="7" t="n"/>
      <c r="AE3526" s="11" t="n"/>
      <c r="AG3526">
        <f>IF($C3526="","",IF(COUNTIF($C$2:$C3526,$C3526)=1,1,0))</f>
        <v/>
      </c>
      <c r="AH3526">
        <f>IF($AG3526=1,SUMPRODUCT(--($AK$2:$AK$6001&lt;$AK3526))+1,"")</f>
        <v/>
      </c>
      <c r="AI3526">
        <f>IF($C3526="","",IF(OR($N3526=TRUE(),$N3526="TRUE"),1,0))</f>
        <v/>
      </c>
      <c r="AJ3526">
        <f>IF($C3526="","",IF($T3526="Yes",1,0))</f>
        <v/>
      </c>
      <c r="AK3526">
        <f>IF($AG3526=1,IFERROR(IF(VALUE($C3526)&lt;100000000,VALUE($C3526),1000000000),IFERROR(IF(VALUE(MID($C3526,2,20))&lt;100000000,VALUE(MID($C3526,2,20)),1000000000),1000000000))+ROW()/100000,"")</f>
        <v/>
      </c>
    </row>
    <row r="3527">
      <c r="D3527" s="11" t="n"/>
      <c r="K3527" s="7">
        <f>IF($C3527="","",J3527*W3527/100)</f>
        <v/>
      </c>
      <c r="Q3527" s="7" t="n"/>
      <c r="R3527" s="7" t="n"/>
      <c r="U3527">
        <f>IF($C3527="","",IF($AJ3527=1,0,IF($AI3527=1,Settings!$C$6,Settings!$C$7))*100)</f>
        <v/>
      </c>
      <c r="V3527" s="7">
        <f>IF($C3527="","",R3527*U3527/100)</f>
        <v/>
      </c>
      <c r="W3527" s="7">
        <f>IF($C3527="","",R3527-V3527)</f>
        <v/>
      </c>
      <c r="X3527" s="7">
        <f>IF($C3527="","",W3527-K3527)</f>
        <v/>
      </c>
      <c r="AB3527" s="7" t="n"/>
      <c r="AE3527" s="11" t="n"/>
      <c r="AG3527">
        <f>IF($C3527="","",IF(COUNTIF($C$2:$C3527,$C3527)=1,1,0))</f>
        <v/>
      </c>
      <c r="AH3527">
        <f>IF($AG3527=1,SUMPRODUCT(--($AK$2:$AK$6001&lt;$AK3527))+1,"")</f>
        <v/>
      </c>
      <c r="AI3527">
        <f>IF($C3527="","",IF(OR($N3527=TRUE(),$N3527="TRUE"),1,0))</f>
        <v/>
      </c>
      <c r="AJ3527">
        <f>IF($C3527="","",IF($T3527="Yes",1,0))</f>
        <v/>
      </c>
      <c r="AK3527">
        <f>IF($AG3527=1,IFERROR(IF(VALUE($C3527)&lt;100000000,VALUE($C3527),1000000000),IFERROR(IF(VALUE(MID($C3527,2,20))&lt;100000000,VALUE(MID($C3527,2,20)),1000000000),1000000000))+ROW()/100000,"")</f>
        <v/>
      </c>
    </row>
    <row r="3528">
      <c r="D3528" s="11" t="n"/>
      <c r="K3528" s="7">
        <f>IF($C3528="","",J3528*W3528/100)</f>
        <v/>
      </c>
      <c r="Q3528" s="7" t="n"/>
      <c r="R3528" s="7" t="n"/>
      <c r="U3528">
        <f>IF($C3528="","",IF($AJ3528=1,0,IF($AI3528=1,Settings!$C$6,Settings!$C$7))*100)</f>
        <v/>
      </c>
      <c r="V3528" s="7">
        <f>IF($C3528="","",R3528*U3528/100)</f>
        <v/>
      </c>
      <c r="W3528" s="7">
        <f>IF($C3528="","",R3528-V3528)</f>
        <v/>
      </c>
      <c r="X3528" s="7">
        <f>IF($C3528="","",W3528-K3528)</f>
        <v/>
      </c>
      <c r="AB3528" s="7" t="n"/>
      <c r="AE3528" s="11" t="n"/>
      <c r="AG3528">
        <f>IF($C3528="","",IF(COUNTIF($C$2:$C3528,$C3528)=1,1,0))</f>
        <v/>
      </c>
      <c r="AH3528">
        <f>IF($AG3528=1,SUMPRODUCT(--($AK$2:$AK$6001&lt;$AK3528))+1,"")</f>
        <v/>
      </c>
      <c r="AI3528">
        <f>IF($C3528="","",IF(OR($N3528=TRUE(),$N3528="TRUE"),1,0))</f>
        <v/>
      </c>
      <c r="AJ3528">
        <f>IF($C3528="","",IF($T3528="Yes",1,0))</f>
        <v/>
      </c>
      <c r="AK3528">
        <f>IF($AG3528=1,IFERROR(IF(VALUE($C3528)&lt;100000000,VALUE($C3528),1000000000),IFERROR(IF(VALUE(MID($C3528,2,20))&lt;100000000,VALUE(MID($C3528,2,20)),1000000000),1000000000))+ROW()/100000,"")</f>
        <v/>
      </c>
    </row>
    <row r="3529">
      <c r="D3529" s="11" t="n"/>
      <c r="K3529" s="7">
        <f>IF($C3529="","",J3529*W3529/100)</f>
        <v/>
      </c>
      <c r="Q3529" s="7" t="n"/>
      <c r="R3529" s="7" t="n"/>
      <c r="U3529">
        <f>IF($C3529="","",IF($AJ3529=1,0,IF($AI3529=1,Settings!$C$6,Settings!$C$7))*100)</f>
        <v/>
      </c>
      <c r="V3529" s="7">
        <f>IF($C3529="","",R3529*U3529/100)</f>
        <v/>
      </c>
      <c r="W3529" s="7">
        <f>IF($C3529="","",R3529-V3529)</f>
        <v/>
      </c>
      <c r="X3529" s="7">
        <f>IF($C3529="","",W3529-K3529)</f>
        <v/>
      </c>
      <c r="AB3529" s="7" t="n"/>
      <c r="AE3529" s="11" t="n"/>
      <c r="AG3529">
        <f>IF($C3529="","",IF(COUNTIF($C$2:$C3529,$C3529)=1,1,0))</f>
        <v/>
      </c>
      <c r="AH3529">
        <f>IF($AG3529=1,SUMPRODUCT(--($AK$2:$AK$6001&lt;$AK3529))+1,"")</f>
        <v/>
      </c>
      <c r="AI3529">
        <f>IF($C3529="","",IF(OR($N3529=TRUE(),$N3529="TRUE"),1,0))</f>
        <v/>
      </c>
      <c r="AJ3529">
        <f>IF($C3529="","",IF($T3529="Yes",1,0))</f>
        <v/>
      </c>
      <c r="AK3529">
        <f>IF($AG3529=1,IFERROR(IF(VALUE($C3529)&lt;100000000,VALUE($C3529),1000000000),IFERROR(IF(VALUE(MID($C3529,2,20))&lt;100000000,VALUE(MID($C3529,2,20)),1000000000),1000000000))+ROW()/100000,"")</f>
        <v/>
      </c>
    </row>
    <row r="3530">
      <c r="D3530" s="11" t="n"/>
      <c r="K3530" s="7">
        <f>IF($C3530="","",J3530*W3530/100)</f>
        <v/>
      </c>
      <c r="Q3530" s="7" t="n"/>
      <c r="R3530" s="7" t="n"/>
      <c r="U3530">
        <f>IF($C3530="","",IF($AJ3530=1,0,IF($AI3530=1,Settings!$C$6,Settings!$C$7))*100)</f>
        <v/>
      </c>
      <c r="V3530" s="7">
        <f>IF($C3530="","",R3530*U3530/100)</f>
        <v/>
      </c>
      <c r="W3530" s="7">
        <f>IF($C3530="","",R3530-V3530)</f>
        <v/>
      </c>
      <c r="X3530" s="7">
        <f>IF($C3530="","",W3530-K3530)</f>
        <v/>
      </c>
      <c r="AB3530" s="7" t="n"/>
      <c r="AE3530" s="11" t="n"/>
      <c r="AG3530">
        <f>IF($C3530="","",IF(COUNTIF($C$2:$C3530,$C3530)=1,1,0))</f>
        <v/>
      </c>
      <c r="AH3530">
        <f>IF($AG3530=1,SUMPRODUCT(--($AK$2:$AK$6001&lt;$AK3530))+1,"")</f>
        <v/>
      </c>
      <c r="AI3530">
        <f>IF($C3530="","",IF(OR($N3530=TRUE(),$N3530="TRUE"),1,0))</f>
        <v/>
      </c>
      <c r="AJ3530">
        <f>IF($C3530="","",IF($T3530="Yes",1,0))</f>
        <v/>
      </c>
      <c r="AK3530">
        <f>IF($AG3530=1,IFERROR(IF(VALUE($C3530)&lt;100000000,VALUE($C3530),1000000000),IFERROR(IF(VALUE(MID($C3530,2,20))&lt;100000000,VALUE(MID($C3530,2,20)),1000000000),1000000000))+ROW()/100000,"")</f>
        <v/>
      </c>
    </row>
    <row r="3531">
      <c r="D3531" s="11" t="n"/>
      <c r="K3531" s="7">
        <f>IF($C3531="","",J3531*W3531/100)</f>
        <v/>
      </c>
      <c r="Q3531" s="7" t="n"/>
      <c r="R3531" s="7" t="n"/>
      <c r="U3531">
        <f>IF($C3531="","",IF($AJ3531=1,0,IF($AI3531=1,Settings!$C$6,Settings!$C$7))*100)</f>
        <v/>
      </c>
      <c r="V3531" s="7">
        <f>IF($C3531="","",R3531*U3531/100)</f>
        <v/>
      </c>
      <c r="W3531" s="7">
        <f>IF($C3531="","",R3531-V3531)</f>
        <v/>
      </c>
      <c r="X3531" s="7">
        <f>IF($C3531="","",W3531-K3531)</f>
        <v/>
      </c>
      <c r="AB3531" s="7" t="n"/>
      <c r="AE3531" s="11" t="n"/>
      <c r="AG3531">
        <f>IF($C3531="","",IF(COUNTIF($C$2:$C3531,$C3531)=1,1,0))</f>
        <v/>
      </c>
      <c r="AH3531">
        <f>IF($AG3531=1,SUMPRODUCT(--($AK$2:$AK$6001&lt;$AK3531))+1,"")</f>
        <v/>
      </c>
      <c r="AI3531">
        <f>IF($C3531="","",IF(OR($N3531=TRUE(),$N3531="TRUE"),1,0))</f>
        <v/>
      </c>
      <c r="AJ3531">
        <f>IF($C3531="","",IF($T3531="Yes",1,0))</f>
        <v/>
      </c>
      <c r="AK3531">
        <f>IF($AG3531=1,IFERROR(IF(VALUE($C3531)&lt;100000000,VALUE($C3531),1000000000),IFERROR(IF(VALUE(MID($C3531,2,20))&lt;100000000,VALUE(MID($C3531,2,20)),1000000000),1000000000))+ROW()/100000,"")</f>
        <v/>
      </c>
    </row>
    <row r="3532">
      <c r="D3532" s="11" t="n"/>
      <c r="K3532" s="7">
        <f>IF($C3532="","",J3532*W3532/100)</f>
        <v/>
      </c>
      <c r="Q3532" s="7" t="n"/>
      <c r="R3532" s="7" t="n"/>
      <c r="U3532">
        <f>IF($C3532="","",IF($AJ3532=1,0,IF($AI3532=1,Settings!$C$6,Settings!$C$7))*100)</f>
        <v/>
      </c>
      <c r="V3532" s="7">
        <f>IF($C3532="","",R3532*U3532/100)</f>
        <v/>
      </c>
      <c r="W3532" s="7">
        <f>IF($C3532="","",R3532-V3532)</f>
        <v/>
      </c>
      <c r="X3532" s="7">
        <f>IF($C3532="","",W3532-K3532)</f>
        <v/>
      </c>
      <c r="AB3532" s="7" t="n"/>
      <c r="AE3532" s="11" t="n"/>
      <c r="AG3532">
        <f>IF($C3532="","",IF(COUNTIF($C$2:$C3532,$C3532)=1,1,0))</f>
        <v/>
      </c>
      <c r="AH3532">
        <f>IF($AG3532=1,SUMPRODUCT(--($AK$2:$AK$6001&lt;$AK3532))+1,"")</f>
        <v/>
      </c>
      <c r="AI3532">
        <f>IF($C3532="","",IF(OR($N3532=TRUE(),$N3532="TRUE"),1,0))</f>
        <v/>
      </c>
      <c r="AJ3532">
        <f>IF($C3532="","",IF($T3532="Yes",1,0))</f>
        <v/>
      </c>
      <c r="AK3532">
        <f>IF($AG3532=1,IFERROR(IF(VALUE($C3532)&lt;100000000,VALUE($C3532),1000000000),IFERROR(IF(VALUE(MID($C3532,2,20))&lt;100000000,VALUE(MID($C3532,2,20)),1000000000),1000000000))+ROW()/100000,"")</f>
        <v/>
      </c>
    </row>
    <row r="3533">
      <c r="D3533" s="11" t="n"/>
      <c r="K3533" s="7">
        <f>IF($C3533="","",J3533*W3533/100)</f>
        <v/>
      </c>
      <c r="Q3533" s="7" t="n"/>
      <c r="R3533" s="7" t="n"/>
      <c r="U3533">
        <f>IF($C3533="","",IF($AJ3533=1,0,IF($AI3533=1,Settings!$C$6,Settings!$C$7))*100)</f>
        <v/>
      </c>
      <c r="V3533" s="7">
        <f>IF($C3533="","",R3533*U3533/100)</f>
        <v/>
      </c>
      <c r="W3533" s="7">
        <f>IF($C3533="","",R3533-V3533)</f>
        <v/>
      </c>
      <c r="X3533" s="7">
        <f>IF($C3533="","",W3533-K3533)</f>
        <v/>
      </c>
      <c r="AB3533" s="7" t="n"/>
      <c r="AE3533" s="11" t="n"/>
      <c r="AG3533">
        <f>IF($C3533="","",IF(COUNTIF($C$2:$C3533,$C3533)=1,1,0))</f>
        <v/>
      </c>
      <c r="AH3533">
        <f>IF($AG3533=1,SUMPRODUCT(--($AK$2:$AK$6001&lt;$AK3533))+1,"")</f>
        <v/>
      </c>
      <c r="AI3533">
        <f>IF($C3533="","",IF(OR($N3533=TRUE(),$N3533="TRUE"),1,0))</f>
        <v/>
      </c>
      <c r="AJ3533">
        <f>IF($C3533="","",IF($T3533="Yes",1,0))</f>
        <v/>
      </c>
      <c r="AK3533">
        <f>IF($AG3533=1,IFERROR(IF(VALUE($C3533)&lt;100000000,VALUE($C3533),1000000000),IFERROR(IF(VALUE(MID($C3533,2,20))&lt;100000000,VALUE(MID($C3533,2,20)),1000000000),1000000000))+ROW()/100000,"")</f>
        <v/>
      </c>
    </row>
    <row r="3534">
      <c r="D3534" s="11" t="n"/>
      <c r="K3534" s="7">
        <f>IF($C3534="","",J3534*W3534/100)</f>
        <v/>
      </c>
      <c r="Q3534" s="7" t="n"/>
      <c r="R3534" s="7" t="n"/>
      <c r="U3534">
        <f>IF($C3534="","",IF($AJ3534=1,0,IF($AI3534=1,Settings!$C$6,Settings!$C$7))*100)</f>
        <v/>
      </c>
      <c r="V3534" s="7">
        <f>IF($C3534="","",R3534*U3534/100)</f>
        <v/>
      </c>
      <c r="W3534" s="7">
        <f>IF($C3534="","",R3534-V3534)</f>
        <v/>
      </c>
      <c r="X3534" s="7">
        <f>IF($C3534="","",W3534-K3534)</f>
        <v/>
      </c>
      <c r="AB3534" s="7" t="n"/>
      <c r="AE3534" s="11" t="n"/>
      <c r="AG3534">
        <f>IF($C3534="","",IF(COUNTIF($C$2:$C3534,$C3534)=1,1,0))</f>
        <v/>
      </c>
      <c r="AH3534">
        <f>IF($AG3534=1,SUMPRODUCT(--($AK$2:$AK$6001&lt;$AK3534))+1,"")</f>
        <v/>
      </c>
      <c r="AI3534">
        <f>IF($C3534="","",IF(OR($N3534=TRUE(),$N3534="TRUE"),1,0))</f>
        <v/>
      </c>
      <c r="AJ3534">
        <f>IF($C3534="","",IF($T3534="Yes",1,0))</f>
        <v/>
      </c>
      <c r="AK3534">
        <f>IF($AG3534=1,IFERROR(IF(VALUE($C3534)&lt;100000000,VALUE($C3534),1000000000),IFERROR(IF(VALUE(MID($C3534,2,20))&lt;100000000,VALUE(MID($C3534,2,20)),1000000000),1000000000))+ROW()/100000,"")</f>
        <v/>
      </c>
    </row>
    <row r="3535">
      <c r="D3535" s="11" t="n"/>
      <c r="K3535" s="7">
        <f>IF($C3535="","",J3535*W3535/100)</f>
        <v/>
      </c>
      <c r="Q3535" s="7" t="n"/>
      <c r="R3535" s="7" t="n"/>
      <c r="U3535">
        <f>IF($C3535="","",IF($AJ3535=1,0,IF($AI3535=1,Settings!$C$6,Settings!$C$7))*100)</f>
        <v/>
      </c>
      <c r="V3535" s="7">
        <f>IF($C3535="","",R3535*U3535/100)</f>
        <v/>
      </c>
      <c r="W3535" s="7">
        <f>IF($C3535="","",R3535-V3535)</f>
        <v/>
      </c>
      <c r="X3535" s="7">
        <f>IF($C3535="","",W3535-K3535)</f>
        <v/>
      </c>
      <c r="AB3535" s="7" t="n"/>
      <c r="AE3535" s="11" t="n"/>
      <c r="AG3535">
        <f>IF($C3535="","",IF(COUNTIF($C$2:$C3535,$C3535)=1,1,0))</f>
        <v/>
      </c>
      <c r="AH3535">
        <f>IF($AG3535=1,SUMPRODUCT(--($AK$2:$AK$6001&lt;$AK3535))+1,"")</f>
        <v/>
      </c>
      <c r="AI3535">
        <f>IF($C3535="","",IF(OR($N3535=TRUE(),$N3535="TRUE"),1,0))</f>
        <v/>
      </c>
      <c r="AJ3535">
        <f>IF($C3535="","",IF($T3535="Yes",1,0))</f>
        <v/>
      </c>
      <c r="AK3535">
        <f>IF($AG3535=1,IFERROR(IF(VALUE($C3535)&lt;100000000,VALUE($C3535),1000000000),IFERROR(IF(VALUE(MID($C3535,2,20))&lt;100000000,VALUE(MID($C3535,2,20)),1000000000),1000000000))+ROW()/100000,"")</f>
        <v/>
      </c>
    </row>
    <row r="3536">
      <c r="D3536" s="11" t="n"/>
      <c r="K3536" s="7">
        <f>IF($C3536="","",J3536*W3536/100)</f>
        <v/>
      </c>
      <c r="Q3536" s="7" t="n"/>
      <c r="R3536" s="7" t="n"/>
      <c r="U3536">
        <f>IF($C3536="","",IF($AJ3536=1,0,IF($AI3536=1,Settings!$C$6,Settings!$C$7))*100)</f>
        <v/>
      </c>
      <c r="V3536" s="7">
        <f>IF($C3536="","",R3536*U3536/100)</f>
        <v/>
      </c>
      <c r="W3536" s="7">
        <f>IF($C3536="","",R3536-V3536)</f>
        <v/>
      </c>
      <c r="X3536" s="7">
        <f>IF($C3536="","",W3536-K3536)</f>
        <v/>
      </c>
      <c r="AB3536" s="7" t="n"/>
      <c r="AE3536" s="11" t="n"/>
      <c r="AG3536">
        <f>IF($C3536="","",IF(COUNTIF($C$2:$C3536,$C3536)=1,1,0))</f>
        <v/>
      </c>
      <c r="AH3536">
        <f>IF($AG3536=1,SUMPRODUCT(--($AK$2:$AK$6001&lt;$AK3536))+1,"")</f>
        <v/>
      </c>
      <c r="AI3536">
        <f>IF($C3536="","",IF(OR($N3536=TRUE(),$N3536="TRUE"),1,0))</f>
        <v/>
      </c>
      <c r="AJ3536">
        <f>IF($C3536="","",IF($T3536="Yes",1,0))</f>
        <v/>
      </c>
      <c r="AK3536">
        <f>IF($AG3536=1,IFERROR(IF(VALUE($C3536)&lt;100000000,VALUE($C3536),1000000000),IFERROR(IF(VALUE(MID($C3536,2,20))&lt;100000000,VALUE(MID($C3536,2,20)),1000000000),1000000000))+ROW()/100000,"")</f>
        <v/>
      </c>
    </row>
    <row r="3537">
      <c r="D3537" s="11" t="n"/>
      <c r="K3537" s="7">
        <f>IF($C3537="","",J3537*W3537/100)</f>
        <v/>
      </c>
      <c r="Q3537" s="7" t="n"/>
      <c r="R3537" s="7" t="n"/>
      <c r="U3537">
        <f>IF($C3537="","",IF($AJ3537=1,0,IF($AI3537=1,Settings!$C$6,Settings!$C$7))*100)</f>
        <v/>
      </c>
      <c r="V3537" s="7">
        <f>IF($C3537="","",R3537*U3537/100)</f>
        <v/>
      </c>
      <c r="W3537" s="7">
        <f>IF($C3537="","",R3537-V3537)</f>
        <v/>
      </c>
      <c r="X3537" s="7">
        <f>IF($C3537="","",W3537-K3537)</f>
        <v/>
      </c>
      <c r="AB3537" s="7" t="n"/>
      <c r="AE3537" s="11" t="n"/>
      <c r="AG3537">
        <f>IF($C3537="","",IF(COUNTIF($C$2:$C3537,$C3537)=1,1,0))</f>
        <v/>
      </c>
      <c r="AH3537">
        <f>IF($AG3537=1,SUMPRODUCT(--($AK$2:$AK$6001&lt;$AK3537))+1,"")</f>
        <v/>
      </c>
      <c r="AI3537">
        <f>IF($C3537="","",IF(OR($N3537=TRUE(),$N3537="TRUE"),1,0))</f>
        <v/>
      </c>
      <c r="AJ3537">
        <f>IF($C3537="","",IF($T3537="Yes",1,0))</f>
        <v/>
      </c>
      <c r="AK3537">
        <f>IF($AG3537=1,IFERROR(IF(VALUE($C3537)&lt;100000000,VALUE($C3537),1000000000),IFERROR(IF(VALUE(MID($C3537,2,20))&lt;100000000,VALUE(MID($C3537,2,20)),1000000000),1000000000))+ROW()/100000,"")</f>
        <v/>
      </c>
    </row>
    <row r="3538">
      <c r="D3538" s="11" t="n"/>
      <c r="K3538" s="7">
        <f>IF($C3538="","",J3538*W3538/100)</f>
        <v/>
      </c>
      <c r="Q3538" s="7" t="n"/>
      <c r="R3538" s="7" t="n"/>
      <c r="U3538">
        <f>IF($C3538="","",IF($AJ3538=1,0,IF($AI3538=1,Settings!$C$6,Settings!$C$7))*100)</f>
        <v/>
      </c>
      <c r="V3538" s="7">
        <f>IF($C3538="","",R3538*U3538/100)</f>
        <v/>
      </c>
      <c r="W3538" s="7">
        <f>IF($C3538="","",R3538-V3538)</f>
        <v/>
      </c>
      <c r="X3538" s="7">
        <f>IF($C3538="","",W3538-K3538)</f>
        <v/>
      </c>
      <c r="AB3538" s="7" t="n"/>
      <c r="AE3538" s="11" t="n"/>
      <c r="AG3538">
        <f>IF($C3538="","",IF(COUNTIF($C$2:$C3538,$C3538)=1,1,0))</f>
        <v/>
      </c>
      <c r="AH3538">
        <f>IF($AG3538=1,SUMPRODUCT(--($AK$2:$AK$6001&lt;$AK3538))+1,"")</f>
        <v/>
      </c>
      <c r="AI3538">
        <f>IF($C3538="","",IF(OR($N3538=TRUE(),$N3538="TRUE"),1,0))</f>
        <v/>
      </c>
      <c r="AJ3538">
        <f>IF($C3538="","",IF($T3538="Yes",1,0))</f>
        <v/>
      </c>
      <c r="AK3538">
        <f>IF($AG3538=1,IFERROR(IF(VALUE($C3538)&lt;100000000,VALUE($C3538),1000000000),IFERROR(IF(VALUE(MID($C3538,2,20))&lt;100000000,VALUE(MID($C3538,2,20)),1000000000),1000000000))+ROW()/100000,"")</f>
        <v/>
      </c>
    </row>
    <row r="3539">
      <c r="D3539" s="11" t="n"/>
      <c r="K3539" s="7">
        <f>IF($C3539="","",J3539*W3539/100)</f>
        <v/>
      </c>
      <c r="Q3539" s="7" t="n"/>
      <c r="R3539" s="7" t="n"/>
      <c r="U3539">
        <f>IF($C3539="","",IF($AJ3539=1,0,IF($AI3539=1,Settings!$C$6,Settings!$C$7))*100)</f>
        <v/>
      </c>
      <c r="V3539" s="7">
        <f>IF($C3539="","",R3539*U3539/100)</f>
        <v/>
      </c>
      <c r="W3539" s="7">
        <f>IF($C3539="","",R3539-V3539)</f>
        <v/>
      </c>
      <c r="X3539" s="7">
        <f>IF($C3539="","",W3539-K3539)</f>
        <v/>
      </c>
      <c r="AB3539" s="7" t="n"/>
      <c r="AE3539" s="11" t="n"/>
      <c r="AG3539">
        <f>IF($C3539="","",IF(COUNTIF($C$2:$C3539,$C3539)=1,1,0))</f>
        <v/>
      </c>
      <c r="AH3539">
        <f>IF($AG3539=1,SUMPRODUCT(--($AK$2:$AK$6001&lt;$AK3539))+1,"")</f>
        <v/>
      </c>
      <c r="AI3539">
        <f>IF($C3539="","",IF(OR($N3539=TRUE(),$N3539="TRUE"),1,0))</f>
        <v/>
      </c>
      <c r="AJ3539">
        <f>IF($C3539="","",IF($T3539="Yes",1,0))</f>
        <v/>
      </c>
      <c r="AK3539">
        <f>IF($AG3539=1,IFERROR(IF(VALUE($C3539)&lt;100000000,VALUE($C3539),1000000000),IFERROR(IF(VALUE(MID($C3539,2,20))&lt;100000000,VALUE(MID($C3539,2,20)),1000000000),1000000000))+ROW()/100000,"")</f>
        <v/>
      </c>
    </row>
    <row r="3540">
      <c r="D3540" s="11" t="n"/>
      <c r="K3540" s="7">
        <f>IF($C3540="","",J3540*W3540/100)</f>
        <v/>
      </c>
      <c r="Q3540" s="7" t="n"/>
      <c r="R3540" s="7" t="n"/>
      <c r="U3540">
        <f>IF($C3540="","",IF($AJ3540=1,0,IF($AI3540=1,Settings!$C$6,Settings!$C$7))*100)</f>
        <v/>
      </c>
      <c r="V3540" s="7">
        <f>IF($C3540="","",R3540*U3540/100)</f>
        <v/>
      </c>
      <c r="W3540" s="7">
        <f>IF($C3540="","",R3540-V3540)</f>
        <v/>
      </c>
      <c r="X3540" s="7">
        <f>IF($C3540="","",W3540-K3540)</f>
        <v/>
      </c>
      <c r="AB3540" s="7" t="n"/>
      <c r="AE3540" s="11" t="n"/>
      <c r="AG3540">
        <f>IF($C3540="","",IF(COUNTIF($C$2:$C3540,$C3540)=1,1,0))</f>
        <v/>
      </c>
      <c r="AH3540">
        <f>IF($AG3540=1,SUMPRODUCT(--($AK$2:$AK$6001&lt;$AK3540))+1,"")</f>
        <v/>
      </c>
      <c r="AI3540">
        <f>IF($C3540="","",IF(OR($N3540=TRUE(),$N3540="TRUE"),1,0))</f>
        <v/>
      </c>
      <c r="AJ3540">
        <f>IF($C3540="","",IF($T3540="Yes",1,0))</f>
        <v/>
      </c>
      <c r="AK3540">
        <f>IF($AG3540=1,IFERROR(IF(VALUE($C3540)&lt;100000000,VALUE($C3540),1000000000),IFERROR(IF(VALUE(MID($C3540,2,20))&lt;100000000,VALUE(MID($C3540,2,20)),1000000000),1000000000))+ROW()/100000,"")</f>
        <v/>
      </c>
    </row>
    <row r="3541">
      <c r="D3541" s="11" t="n"/>
      <c r="K3541" s="7">
        <f>IF($C3541="","",J3541*W3541/100)</f>
        <v/>
      </c>
      <c r="Q3541" s="7" t="n"/>
      <c r="R3541" s="7" t="n"/>
      <c r="U3541">
        <f>IF($C3541="","",IF($AJ3541=1,0,IF($AI3541=1,Settings!$C$6,Settings!$C$7))*100)</f>
        <v/>
      </c>
      <c r="V3541" s="7">
        <f>IF($C3541="","",R3541*U3541/100)</f>
        <v/>
      </c>
      <c r="W3541" s="7">
        <f>IF($C3541="","",R3541-V3541)</f>
        <v/>
      </c>
      <c r="X3541" s="7">
        <f>IF($C3541="","",W3541-K3541)</f>
        <v/>
      </c>
      <c r="AB3541" s="7" t="n"/>
      <c r="AE3541" s="11" t="n"/>
      <c r="AG3541">
        <f>IF($C3541="","",IF(COUNTIF($C$2:$C3541,$C3541)=1,1,0))</f>
        <v/>
      </c>
      <c r="AH3541">
        <f>IF($AG3541=1,SUMPRODUCT(--($AK$2:$AK$6001&lt;$AK3541))+1,"")</f>
        <v/>
      </c>
      <c r="AI3541">
        <f>IF($C3541="","",IF(OR($N3541=TRUE(),$N3541="TRUE"),1,0))</f>
        <v/>
      </c>
      <c r="AJ3541">
        <f>IF($C3541="","",IF($T3541="Yes",1,0))</f>
        <v/>
      </c>
      <c r="AK3541">
        <f>IF($AG3541=1,IFERROR(IF(VALUE($C3541)&lt;100000000,VALUE($C3541),1000000000),IFERROR(IF(VALUE(MID($C3541,2,20))&lt;100000000,VALUE(MID($C3541,2,20)),1000000000),1000000000))+ROW()/100000,"")</f>
        <v/>
      </c>
    </row>
    <row r="3542">
      <c r="D3542" s="11" t="n"/>
      <c r="K3542" s="7">
        <f>IF($C3542="","",J3542*W3542/100)</f>
        <v/>
      </c>
      <c r="Q3542" s="7" t="n"/>
      <c r="R3542" s="7" t="n"/>
      <c r="U3542">
        <f>IF($C3542="","",IF($AJ3542=1,0,IF($AI3542=1,Settings!$C$6,Settings!$C$7))*100)</f>
        <v/>
      </c>
      <c r="V3542" s="7">
        <f>IF($C3542="","",R3542*U3542/100)</f>
        <v/>
      </c>
      <c r="W3542" s="7">
        <f>IF($C3542="","",R3542-V3542)</f>
        <v/>
      </c>
      <c r="X3542" s="7">
        <f>IF($C3542="","",W3542-K3542)</f>
        <v/>
      </c>
      <c r="AB3542" s="7" t="n"/>
      <c r="AE3542" s="11" t="n"/>
      <c r="AG3542">
        <f>IF($C3542="","",IF(COUNTIF($C$2:$C3542,$C3542)=1,1,0))</f>
        <v/>
      </c>
      <c r="AH3542">
        <f>IF($AG3542=1,SUMPRODUCT(--($AK$2:$AK$6001&lt;$AK3542))+1,"")</f>
        <v/>
      </c>
      <c r="AI3542">
        <f>IF($C3542="","",IF(OR($N3542=TRUE(),$N3542="TRUE"),1,0))</f>
        <v/>
      </c>
      <c r="AJ3542">
        <f>IF($C3542="","",IF($T3542="Yes",1,0))</f>
        <v/>
      </c>
      <c r="AK3542">
        <f>IF($AG3542=1,IFERROR(IF(VALUE($C3542)&lt;100000000,VALUE($C3542),1000000000),IFERROR(IF(VALUE(MID($C3542,2,20))&lt;100000000,VALUE(MID($C3542,2,20)),1000000000),1000000000))+ROW()/100000,"")</f>
        <v/>
      </c>
    </row>
    <row r="3543">
      <c r="D3543" s="11" t="n"/>
      <c r="K3543" s="7">
        <f>IF($C3543="","",J3543*W3543/100)</f>
        <v/>
      </c>
      <c r="Q3543" s="7" t="n"/>
      <c r="R3543" s="7" t="n"/>
      <c r="U3543">
        <f>IF($C3543="","",IF($AJ3543=1,0,IF($AI3543=1,Settings!$C$6,Settings!$C$7))*100)</f>
        <v/>
      </c>
      <c r="V3543" s="7">
        <f>IF($C3543="","",R3543*U3543/100)</f>
        <v/>
      </c>
      <c r="W3543" s="7">
        <f>IF($C3543="","",R3543-V3543)</f>
        <v/>
      </c>
      <c r="X3543" s="7">
        <f>IF($C3543="","",W3543-K3543)</f>
        <v/>
      </c>
      <c r="AB3543" s="7" t="n"/>
      <c r="AE3543" s="11" t="n"/>
      <c r="AG3543">
        <f>IF($C3543="","",IF(COUNTIF($C$2:$C3543,$C3543)=1,1,0))</f>
        <v/>
      </c>
      <c r="AH3543">
        <f>IF($AG3543=1,SUMPRODUCT(--($AK$2:$AK$6001&lt;$AK3543))+1,"")</f>
        <v/>
      </c>
      <c r="AI3543">
        <f>IF($C3543="","",IF(OR($N3543=TRUE(),$N3543="TRUE"),1,0))</f>
        <v/>
      </c>
      <c r="AJ3543">
        <f>IF($C3543="","",IF($T3543="Yes",1,0))</f>
        <v/>
      </c>
      <c r="AK3543">
        <f>IF($AG3543=1,IFERROR(IF(VALUE($C3543)&lt;100000000,VALUE($C3543),1000000000),IFERROR(IF(VALUE(MID($C3543,2,20))&lt;100000000,VALUE(MID($C3543,2,20)),1000000000),1000000000))+ROW()/100000,"")</f>
        <v/>
      </c>
    </row>
    <row r="3544">
      <c r="D3544" s="11" t="n"/>
      <c r="K3544" s="7">
        <f>IF($C3544="","",J3544*W3544/100)</f>
        <v/>
      </c>
      <c r="Q3544" s="7" t="n"/>
      <c r="R3544" s="7" t="n"/>
      <c r="U3544">
        <f>IF($C3544="","",IF($AJ3544=1,0,IF($AI3544=1,Settings!$C$6,Settings!$C$7))*100)</f>
        <v/>
      </c>
      <c r="V3544" s="7">
        <f>IF($C3544="","",R3544*U3544/100)</f>
        <v/>
      </c>
      <c r="W3544" s="7">
        <f>IF($C3544="","",R3544-V3544)</f>
        <v/>
      </c>
      <c r="X3544" s="7">
        <f>IF($C3544="","",W3544-K3544)</f>
        <v/>
      </c>
      <c r="AB3544" s="7" t="n"/>
      <c r="AE3544" s="11" t="n"/>
      <c r="AG3544">
        <f>IF($C3544="","",IF(COUNTIF($C$2:$C3544,$C3544)=1,1,0))</f>
        <v/>
      </c>
      <c r="AH3544">
        <f>IF($AG3544=1,SUMPRODUCT(--($AK$2:$AK$6001&lt;$AK3544))+1,"")</f>
        <v/>
      </c>
      <c r="AI3544">
        <f>IF($C3544="","",IF(OR($N3544=TRUE(),$N3544="TRUE"),1,0))</f>
        <v/>
      </c>
      <c r="AJ3544">
        <f>IF($C3544="","",IF($T3544="Yes",1,0))</f>
        <v/>
      </c>
      <c r="AK3544">
        <f>IF($AG3544=1,IFERROR(IF(VALUE($C3544)&lt;100000000,VALUE($C3544),1000000000),IFERROR(IF(VALUE(MID($C3544,2,20))&lt;100000000,VALUE(MID($C3544,2,20)),1000000000),1000000000))+ROW()/100000,"")</f>
        <v/>
      </c>
    </row>
    <row r="3545">
      <c r="D3545" s="11" t="n"/>
      <c r="K3545" s="7">
        <f>IF($C3545="","",J3545*W3545/100)</f>
        <v/>
      </c>
      <c r="Q3545" s="7" t="n"/>
      <c r="R3545" s="7" t="n"/>
      <c r="U3545">
        <f>IF($C3545="","",IF($AJ3545=1,0,IF($AI3545=1,Settings!$C$6,Settings!$C$7))*100)</f>
        <v/>
      </c>
      <c r="V3545" s="7">
        <f>IF($C3545="","",R3545*U3545/100)</f>
        <v/>
      </c>
      <c r="W3545" s="7">
        <f>IF($C3545="","",R3545-V3545)</f>
        <v/>
      </c>
      <c r="X3545" s="7">
        <f>IF($C3545="","",W3545-K3545)</f>
        <v/>
      </c>
      <c r="AB3545" s="7" t="n"/>
      <c r="AE3545" s="11" t="n"/>
      <c r="AG3545">
        <f>IF($C3545="","",IF(COUNTIF($C$2:$C3545,$C3545)=1,1,0))</f>
        <v/>
      </c>
      <c r="AH3545">
        <f>IF($AG3545=1,SUMPRODUCT(--($AK$2:$AK$6001&lt;$AK3545))+1,"")</f>
        <v/>
      </c>
      <c r="AI3545">
        <f>IF($C3545="","",IF(OR($N3545=TRUE(),$N3545="TRUE"),1,0))</f>
        <v/>
      </c>
      <c r="AJ3545">
        <f>IF($C3545="","",IF($T3545="Yes",1,0))</f>
        <v/>
      </c>
      <c r="AK3545">
        <f>IF($AG3545=1,IFERROR(IF(VALUE($C3545)&lt;100000000,VALUE($C3545),1000000000),IFERROR(IF(VALUE(MID($C3545,2,20))&lt;100000000,VALUE(MID($C3545,2,20)),1000000000),1000000000))+ROW()/100000,"")</f>
        <v/>
      </c>
    </row>
    <row r="3546">
      <c r="D3546" s="11" t="n"/>
      <c r="K3546" s="7">
        <f>IF($C3546="","",J3546*W3546/100)</f>
        <v/>
      </c>
      <c r="Q3546" s="7" t="n"/>
      <c r="R3546" s="7" t="n"/>
      <c r="U3546">
        <f>IF($C3546="","",IF($AJ3546=1,0,IF($AI3546=1,Settings!$C$6,Settings!$C$7))*100)</f>
        <v/>
      </c>
      <c r="V3546" s="7">
        <f>IF($C3546="","",R3546*U3546/100)</f>
        <v/>
      </c>
      <c r="W3546" s="7">
        <f>IF($C3546="","",R3546-V3546)</f>
        <v/>
      </c>
      <c r="X3546" s="7">
        <f>IF($C3546="","",W3546-K3546)</f>
        <v/>
      </c>
      <c r="AB3546" s="7" t="n"/>
      <c r="AE3546" s="11" t="n"/>
      <c r="AG3546">
        <f>IF($C3546="","",IF(COUNTIF($C$2:$C3546,$C3546)=1,1,0))</f>
        <v/>
      </c>
      <c r="AH3546">
        <f>IF($AG3546=1,SUMPRODUCT(--($AK$2:$AK$6001&lt;$AK3546))+1,"")</f>
        <v/>
      </c>
      <c r="AI3546">
        <f>IF($C3546="","",IF(OR($N3546=TRUE(),$N3546="TRUE"),1,0))</f>
        <v/>
      </c>
      <c r="AJ3546">
        <f>IF($C3546="","",IF($T3546="Yes",1,0))</f>
        <v/>
      </c>
      <c r="AK3546">
        <f>IF($AG3546=1,IFERROR(IF(VALUE($C3546)&lt;100000000,VALUE($C3546),1000000000),IFERROR(IF(VALUE(MID($C3546,2,20))&lt;100000000,VALUE(MID($C3546,2,20)),1000000000),1000000000))+ROW()/100000,"")</f>
        <v/>
      </c>
    </row>
    <row r="3547">
      <c r="D3547" s="11" t="n"/>
      <c r="K3547" s="7">
        <f>IF($C3547="","",J3547*W3547/100)</f>
        <v/>
      </c>
      <c r="Q3547" s="7" t="n"/>
      <c r="R3547" s="7" t="n"/>
      <c r="U3547">
        <f>IF($C3547="","",IF($AJ3547=1,0,IF($AI3547=1,Settings!$C$6,Settings!$C$7))*100)</f>
        <v/>
      </c>
      <c r="V3547" s="7">
        <f>IF($C3547="","",R3547*U3547/100)</f>
        <v/>
      </c>
      <c r="W3547" s="7">
        <f>IF($C3547="","",R3547-V3547)</f>
        <v/>
      </c>
      <c r="X3547" s="7">
        <f>IF($C3547="","",W3547-K3547)</f>
        <v/>
      </c>
      <c r="AB3547" s="7" t="n"/>
      <c r="AE3547" s="11" t="n"/>
      <c r="AG3547">
        <f>IF($C3547="","",IF(COUNTIF($C$2:$C3547,$C3547)=1,1,0))</f>
        <v/>
      </c>
      <c r="AH3547">
        <f>IF($AG3547=1,SUMPRODUCT(--($AK$2:$AK$6001&lt;$AK3547))+1,"")</f>
        <v/>
      </c>
      <c r="AI3547">
        <f>IF($C3547="","",IF(OR($N3547=TRUE(),$N3547="TRUE"),1,0))</f>
        <v/>
      </c>
      <c r="AJ3547">
        <f>IF($C3547="","",IF($T3547="Yes",1,0))</f>
        <v/>
      </c>
      <c r="AK3547">
        <f>IF($AG3547=1,IFERROR(IF(VALUE($C3547)&lt;100000000,VALUE($C3547),1000000000),IFERROR(IF(VALUE(MID($C3547,2,20))&lt;100000000,VALUE(MID($C3547,2,20)),1000000000),1000000000))+ROW()/100000,"")</f>
        <v/>
      </c>
    </row>
    <row r="3548">
      <c r="D3548" s="11" t="n"/>
      <c r="K3548" s="7">
        <f>IF($C3548="","",J3548*W3548/100)</f>
        <v/>
      </c>
      <c r="Q3548" s="7" t="n"/>
      <c r="R3548" s="7" t="n"/>
      <c r="U3548">
        <f>IF($C3548="","",IF($AJ3548=1,0,IF($AI3548=1,Settings!$C$6,Settings!$C$7))*100)</f>
        <v/>
      </c>
      <c r="V3548" s="7">
        <f>IF($C3548="","",R3548*U3548/100)</f>
        <v/>
      </c>
      <c r="W3548" s="7">
        <f>IF($C3548="","",R3548-V3548)</f>
        <v/>
      </c>
      <c r="X3548" s="7">
        <f>IF($C3548="","",W3548-K3548)</f>
        <v/>
      </c>
      <c r="AB3548" s="7" t="n"/>
      <c r="AE3548" s="11" t="n"/>
      <c r="AG3548">
        <f>IF($C3548="","",IF(COUNTIF($C$2:$C3548,$C3548)=1,1,0))</f>
        <v/>
      </c>
      <c r="AH3548">
        <f>IF($AG3548=1,SUMPRODUCT(--($AK$2:$AK$6001&lt;$AK3548))+1,"")</f>
        <v/>
      </c>
      <c r="AI3548">
        <f>IF($C3548="","",IF(OR($N3548=TRUE(),$N3548="TRUE"),1,0))</f>
        <v/>
      </c>
      <c r="AJ3548">
        <f>IF($C3548="","",IF($T3548="Yes",1,0))</f>
        <v/>
      </c>
      <c r="AK3548">
        <f>IF($AG3548=1,IFERROR(IF(VALUE($C3548)&lt;100000000,VALUE($C3548),1000000000),IFERROR(IF(VALUE(MID($C3548,2,20))&lt;100000000,VALUE(MID($C3548,2,20)),1000000000),1000000000))+ROW()/100000,"")</f>
        <v/>
      </c>
    </row>
    <row r="3549">
      <c r="D3549" s="11" t="n"/>
      <c r="K3549" s="7">
        <f>IF($C3549="","",J3549*W3549/100)</f>
        <v/>
      </c>
      <c r="Q3549" s="7" t="n"/>
      <c r="R3549" s="7" t="n"/>
      <c r="U3549">
        <f>IF($C3549="","",IF($AJ3549=1,0,IF($AI3549=1,Settings!$C$6,Settings!$C$7))*100)</f>
        <v/>
      </c>
      <c r="V3549" s="7">
        <f>IF($C3549="","",R3549*U3549/100)</f>
        <v/>
      </c>
      <c r="W3549" s="7">
        <f>IF($C3549="","",R3549-V3549)</f>
        <v/>
      </c>
      <c r="X3549" s="7">
        <f>IF($C3549="","",W3549-K3549)</f>
        <v/>
      </c>
      <c r="AB3549" s="7" t="n"/>
      <c r="AE3549" s="11" t="n"/>
      <c r="AG3549">
        <f>IF($C3549="","",IF(COUNTIF($C$2:$C3549,$C3549)=1,1,0))</f>
        <v/>
      </c>
      <c r="AH3549">
        <f>IF($AG3549=1,SUMPRODUCT(--($AK$2:$AK$6001&lt;$AK3549))+1,"")</f>
        <v/>
      </c>
      <c r="AI3549">
        <f>IF($C3549="","",IF(OR($N3549=TRUE(),$N3549="TRUE"),1,0))</f>
        <v/>
      </c>
      <c r="AJ3549">
        <f>IF($C3549="","",IF($T3549="Yes",1,0))</f>
        <v/>
      </c>
      <c r="AK3549">
        <f>IF($AG3549=1,IFERROR(IF(VALUE($C3549)&lt;100000000,VALUE($C3549),1000000000),IFERROR(IF(VALUE(MID($C3549,2,20))&lt;100000000,VALUE(MID($C3549,2,20)),1000000000),1000000000))+ROW()/100000,"")</f>
        <v/>
      </c>
    </row>
    <row r="3550">
      <c r="D3550" s="11" t="n"/>
      <c r="K3550" s="7">
        <f>IF($C3550="","",J3550*W3550/100)</f>
        <v/>
      </c>
      <c r="Q3550" s="7" t="n"/>
      <c r="R3550" s="7" t="n"/>
      <c r="U3550">
        <f>IF($C3550="","",IF($AJ3550=1,0,IF($AI3550=1,Settings!$C$6,Settings!$C$7))*100)</f>
        <v/>
      </c>
      <c r="V3550" s="7">
        <f>IF($C3550="","",R3550*U3550/100)</f>
        <v/>
      </c>
      <c r="W3550" s="7">
        <f>IF($C3550="","",R3550-V3550)</f>
        <v/>
      </c>
      <c r="X3550" s="7">
        <f>IF($C3550="","",W3550-K3550)</f>
        <v/>
      </c>
      <c r="AB3550" s="7" t="n"/>
      <c r="AE3550" s="11" t="n"/>
      <c r="AG3550">
        <f>IF($C3550="","",IF(COUNTIF($C$2:$C3550,$C3550)=1,1,0))</f>
        <v/>
      </c>
      <c r="AH3550">
        <f>IF($AG3550=1,SUMPRODUCT(--($AK$2:$AK$6001&lt;$AK3550))+1,"")</f>
        <v/>
      </c>
      <c r="AI3550">
        <f>IF($C3550="","",IF(OR($N3550=TRUE(),$N3550="TRUE"),1,0))</f>
        <v/>
      </c>
      <c r="AJ3550">
        <f>IF($C3550="","",IF($T3550="Yes",1,0))</f>
        <v/>
      </c>
      <c r="AK3550">
        <f>IF($AG3550=1,IFERROR(IF(VALUE($C3550)&lt;100000000,VALUE($C3550),1000000000),IFERROR(IF(VALUE(MID($C3550,2,20))&lt;100000000,VALUE(MID($C3550,2,20)),1000000000),1000000000))+ROW()/100000,"")</f>
        <v/>
      </c>
    </row>
    <row r="3551">
      <c r="D3551" s="11" t="n"/>
      <c r="K3551" s="7">
        <f>IF($C3551="","",J3551*W3551/100)</f>
        <v/>
      </c>
      <c r="Q3551" s="7" t="n"/>
      <c r="R3551" s="7" t="n"/>
      <c r="U3551">
        <f>IF($C3551="","",IF($AJ3551=1,0,IF($AI3551=1,Settings!$C$6,Settings!$C$7))*100)</f>
        <v/>
      </c>
      <c r="V3551" s="7">
        <f>IF($C3551="","",R3551*U3551/100)</f>
        <v/>
      </c>
      <c r="W3551" s="7">
        <f>IF($C3551="","",R3551-V3551)</f>
        <v/>
      </c>
      <c r="X3551" s="7">
        <f>IF($C3551="","",W3551-K3551)</f>
        <v/>
      </c>
      <c r="AB3551" s="7" t="n"/>
      <c r="AE3551" s="11" t="n"/>
      <c r="AG3551">
        <f>IF($C3551="","",IF(COUNTIF($C$2:$C3551,$C3551)=1,1,0))</f>
        <v/>
      </c>
      <c r="AH3551">
        <f>IF($AG3551=1,SUMPRODUCT(--($AK$2:$AK$6001&lt;$AK3551))+1,"")</f>
        <v/>
      </c>
      <c r="AI3551">
        <f>IF($C3551="","",IF(OR($N3551=TRUE(),$N3551="TRUE"),1,0))</f>
        <v/>
      </c>
      <c r="AJ3551">
        <f>IF($C3551="","",IF($T3551="Yes",1,0))</f>
        <v/>
      </c>
      <c r="AK3551">
        <f>IF($AG3551=1,IFERROR(IF(VALUE($C3551)&lt;100000000,VALUE($C3551),1000000000),IFERROR(IF(VALUE(MID($C3551,2,20))&lt;100000000,VALUE(MID($C3551,2,20)),1000000000),1000000000))+ROW()/100000,"")</f>
        <v/>
      </c>
    </row>
    <row r="3552">
      <c r="D3552" s="11" t="n"/>
      <c r="K3552" s="7">
        <f>IF($C3552="","",J3552*W3552/100)</f>
        <v/>
      </c>
      <c r="Q3552" s="7" t="n"/>
      <c r="R3552" s="7" t="n"/>
      <c r="U3552">
        <f>IF($C3552="","",IF($AJ3552=1,0,IF($AI3552=1,Settings!$C$6,Settings!$C$7))*100)</f>
        <v/>
      </c>
      <c r="V3552" s="7">
        <f>IF($C3552="","",R3552*U3552/100)</f>
        <v/>
      </c>
      <c r="W3552" s="7">
        <f>IF($C3552="","",R3552-V3552)</f>
        <v/>
      </c>
      <c r="X3552" s="7">
        <f>IF($C3552="","",W3552-K3552)</f>
        <v/>
      </c>
      <c r="AB3552" s="7" t="n"/>
      <c r="AE3552" s="11" t="n"/>
      <c r="AG3552">
        <f>IF($C3552="","",IF(COUNTIF($C$2:$C3552,$C3552)=1,1,0))</f>
        <v/>
      </c>
      <c r="AH3552">
        <f>IF($AG3552=1,SUMPRODUCT(--($AK$2:$AK$6001&lt;$AK3552))+1,"")</f>
        <v/>
      </c>
      <c r="AI3552">
        <f>IF($C3552="","",IF(OR($N3552=TRUE(),$N3552="TRUE"),1,0))</f>
        <v/>
      </c>
      <c r="AJ3552">
        <f>IF($C3552="","",IF($T3552="Yes",1,0))</f>
        <v/>
      </c>
      <c r="AK3552">
        <f>IF($AG3552=1,IFERROR(IF(VALUE($C3552)&lt;100000000,VALUE($C3552),1000000000),IFERROR(IF(VALUE(MID($C3552,2,20))&lt;100000000,VALUE(MID($C3552,2,20)),1000000000),1000000000))+ROW()/100000,"")</f>
        <v/>
      </c>
    </row>
    <row r="3553">
      <c r="D3553" s="11" t="n"/>
      <c r="K3553" s="7">
        <f>IF($C3553="","",J3553*W3553/100)</f>
        <v/>
      </c>
      <c r="Q3553" s="7" t="n"/>
      <c r="R3553" s="7" t="n"/>
      <c r="U3553">
        <f>IF($C3553="","",IF($AJ3553=1,0,IF($AI3553=1,Settings!$C$6,Settings!$C$7))*100)</f>
        <v/>
      </c>
      <c r="V3553" s="7">
        <f>IF($C3553="","",R3553*U3553/100)</f>
        <v/>
      </c>
      <c r="W3553" s="7">
        <f>IF($C3553="","",R3553-V3553)</f>
        <v/>
      </c>
      <c r="X3553" s="7">
        <f>IF($C3553="","",W3553-K3553)</f>
        <v/>
      </c>
      <c r="AB3553" s="7" t="n"/>
      <c r="AE3553" s="11" t="n"/>
      <c r="AG3553">
        <f>IF($C3553="","",IF(COUNTIF($C$2:$C3553,$C3553)=1,1,0))</f>
        <v/>
      </c>
      <c r="AH3553">
        <f>IF($AG3553=1,SUMPRODUCT(--($AK$2:$AK$6001&lt;$AK3553))+1,"")</f>
        <v/>
      </c>
      <c r="AI3553">
        <f>IF($C3553="","",IF(OR($N3553=TRUE(),$N3553="TRUE"),1,0))</f>
        <v/>
      </c>
      <c r="AJ3553">
        <f>IF($C3553="","",IF($T3553="Yes",1,0))</f>
        <v/>
      </c>
      <c r="AK3553">
        <f>IF($AG3553=1,IFERROR(IF(VALUE($C3553)&lt;100000000,VALUE($C3553),1000000000),IFERROR(IF(VALUE(MID($C3553,2,20))&lt;100000000,VALUE(MID($C3553,2,20)),1000000000),1000000000))+ROW()/100000,"")</f>
        <v/>
      </c>
    </row>
    <row r="3554">
      <c r="D3554" s="11" t="n"/>
      <c r="K3554" s="7">
        <f>IF($C3554="","",J3554*W3554/100)</f>
        <v/>
      </c>
      <c r="Q3554" s="7" t="n"/>
      <c r="R3554" s="7" t="n"/>
      <c r="U3554">
        <f>IF($C3554="","",IF($AJ3554=1,0,IF($AI3554=1,Settings!$C$6,Settings!$C$7))*100)</f>
        <v/>
      </c>
      <c r="V3554" s="7">
        <f>IF($C3554="","",R3554*U3554/100)</f>
        <v/>
      </c>
      <c r="W3554" s="7">
        <f>IF($C3554="","",R3554-V3554)</f>
        <v/>
      </c>
      <c r="X3554" s="7">
        <f>IF($C3554="","",W3554-K3554)</f>
        <v/>
      </c>
      <c r="AB3554" s="7" t="n"/>
      <c r="AE3554" s="11" t="n"/>
      <c r="AG3554">
        <f>IF($C3554="","",IF(COUNTIF($C$2:$C3554,$C3554)=1,1,0))</f>
        <v/>
      </c>
      <c r="AH3554">
        <f>IF($AG3554=1,SUMPRODUCT(--($AK$2:$AK$6001&lt;$AK3554))+1,"")</f>
        <v/>
      </c>
      <c r="AI3554">
        <f>IF($C3554="","",IF(OR($N3554=TRUE(),$N3554="TRUE"),1,0))</f>
        <v/>
      </c>
      <c r="AJ3554">
        <f>IF($C3554="","",IF($T3554="Yes",1,0))</f>
        <v/>
      </c>
      <c r="AK3554">
        <f>IF($AG3554=1,IFERROR(IF(VALUE($C3554)&lt;100000000,VALUE($C3554),1000000000),IFERROR(IF(VALUE(MID($C3554,2,20))&lt;100000000,VALUE(MID($C3554,2,20)),1000000000),1000000000))+ROW()/100000,"")</f>
        <v/>
      </c>
    </row>
    <row r="3555">
      <c r="D3555" s="11" t="n"/>
      <c r="K3555" s="7">
        <f>IF($C3555="","",J3555*W3555/100)</f>
        <v/>
      </c>
      <c r="Q3555" s="7" t="n"/>
      <c r="R3555" s="7" t="n"/>
      <c r="U3555">
        <f>IF($C3555="","",IF($AJ3555=1,0,IF($AI3555=1,Settings!$C$6,Settings!$C$7))*100)</f>
        <v/>
      </c>
      <c r="V3555" s="7">
        <f>IF($C3555="","",R3555*U3555/100)</f>
        <v/>
      </c>
      <c r="W3555" s="7">
        <f>IF($C3555="","",R3555-V3555)</f>
        <v/>
      </c>
      <c r="X3555" s="7">
        <f>IF($C3555="","",W3555-K3555)</f>
        <v/>
      </c>
      <c r="AB3555" s="7" t="n"/>
      <c r="AE3555" s="11" t="n"/>
      <c r="AG3555">
        <f>IF($C3555="","",IF(COUNTIF($C$2:$C3555,$C3555)=1,1,0))</f>
        <v/>
      </c>
      <c r="AH3555">
        <f>IF($AG3555=1,SUMPRODUCT(--($AK$2:$AK$6001&lt;$AK3555))+1,"")</f>
        <v/>
      </c>
      <c r="AI3555">
        <f>IF($C3555="","",IF(OR($N3555=TRUE(),$N3555="TRUE"),1,0))</f>
        <v/>
      </c>
      <c r="AJ3555">
        <f>IF($C3555="","",IF($T3555="Yes",1,0))</f>
        <v/>
      </c>
      <c r="AK3555">
        <f>IF($AG3555=1,IFERROR(IF(VALUE($C3555)&lt;100000000,VALUE($C3555),1000000000),IFERROR(IF(VALUE(MID($C3555,2,20))&lt;100000000,VALUE(MID($C3555,2,20)),1000000000),1000000000))+ROW()/100000,"")</f>
        <v/>
      </c>
    </row>
    <row r="3556">
      <c r="D3556" s="11" t="n"/>
      <c r="K3556" s="7">
        <f>IF($C3556="","",J3556*W3556/100)</f>
        <v/>
      </c>
      <c r="Q3556" s="7" t="n"/>
      <c r="R3556" s="7" t="n"/>
      <c r="U3556">
        <f>IF($C3556="","",IF($AJ3556=1,0,IF($AI3556=1,Settings!$C$6,Settings!$C$7))*100)</f>
        <v/>
      </c>
      <c r="V3556" s="7">
        <f>IF($C3556="","",R3556*U3556/100)</f>
        <v/>
      </c>
      <c r="W3556" s="7">
        <f>IF($C3556="","",R3556-V3556)</f>
        <v/>
      </c>
      <c r="X3556" s="7">
        <f>IF($C3556="","",W3556-K3556)</f>
        <v/>
      </c>
      <c r="AB3556" s="7" t="n"/>
      <c r="AE3556" s="11" t="n"/>
      <c r="AG3556">
        <f>IF($C3556="","",IF(COUNTIF($C$2:$C3556,$C3556)=1,1,0))</f>
        <v/>
      </c>
      <c r="AH3556">
        <f>IF($AG3556=1,SUMPRODUCT(--($AK$2:$AK$6001&lt;$AK3556))+1,"")</f>
        <v/>
      </c>
      <c r="AI3556">
        <f>IF($C3556="","",IF(OR($N3556=TRUE(),$N3556="TRUE"),1,0))</f>
        <v/>
      </c>
      <c r="AJ3556">
        <f>IF($C3556="","",IF($T3556="Yes",1,0))</f>
        <v/>
      </c>
      <c r="AK3556">
        <f>IF($AG3556=1,IFERROR(IF(VALUE($C3556)&lt;100000000,VALUE($C3556),1000000000),IFERROR(IF(VALUE(MID($C3556,2,20))&lt;100000000,VALUE(MID($C3556,2,20)),1000000000),1000000000))+ROW()/100000,"")</f>
        <v/>
      </c>
    </row>
    <row r="3557">
      <c r="D3557" s="11" t="n"/>
      <c r="K3557" s="7">
        <f>IF($C3557="","",J3557*W3557/100)</f>
        <v/>
      </c>
      <c r="Q3557" s="7" t="n"/>
      <c r="R3557" s="7" t="n"/>
      <c r="U3557">
        <f>IF($C3557="","",IF($AJ3557=1,0,IF($AI3557=1,Settings!$C$6,Settings!$C$7))*100)</f>
        <v/>
      </c>
      <c r="V3557" s="7">
        <f>IF($C3557="","",R3557*U3557/100)</f>
        <v/>
      </c>
      <c r="W3557" s="7">
        <f>IF($C3557="","",R3557-V3557)</f>
        <v/>
      </c>
      <c r="X3557" s="7">
        <f>IF($C3557="","",W3557-K3557)</f>
        <v/>
      </c>
      <c r="AB3557" s="7" t="n"/>
      <c r="AE3557" s="11" t="n"/>
      <c r="AG3557">
        <f>IF($C3557="","",IF(COUNTIF($C$2:$C3557,$C3557)=1,1,0))</f>
        <v/>
      </c>
      <c r="AH3557">
        <f>IF($AG3557=1,SUMPRODUCT(--($AK$2:$AK$6001&lt;$AK3557))+1,"")</f>
        <v/>
      </c>
      <c r="AI3557">
        <f>IF($C3557="","",IF(OR($N3557=TRUE(),$N3557="TRUE"),1,0))</f>
        <v/>
      </c>
      <c r="AJ3557">
        <f>IF($C3557="","",IF($T3557="Yes",1,0))</f>
        <v/>
      </c>
      <c r="AK3557">
        <f>IF($AG3557=1,IFERROR(IF(VALUE($C3557)&lt;100000000,VALUE($C3557),1000000000),IFERROR(IF(VALUE(MID($C3557,2,20))&lt;100000000,VALUE(MID($C3557,2,20)),1000000000),1000000000))+ROW()/100000,"")</f>
        <v/>
      </c>
    </row>
    <row r="3558">
      <c r="D3558" s="11" t="n"/>
      <c r="K3558" s="7">
        <f>IF($C3558="","",J3558*W3558/100)</f>
        <v/>
      </c>
      <c r="Q3558" s="7" t="n"/>
      <c r="R3558" s="7" t="n"/>
      <c r="U3558">
        <f>IF($C3558="","",IF($AJ3558=1,0,IF($AI3558=1,Settings!$C$6,Settings!$C$7))*100)</f>
        <v/>
      </c>
      <c r="V3558" s="7">
        <f>IF($C3558="","",R3558*U3558/100)</f>
        <v/>
      </c>
      <c r="W3558" s="7">
        <f>IF($C3558="","",R3558-V3558)</f>
        <v/>
      </c>
      <c r="X3558" s="7">
        <f>IF($C3558="","",W3558-K3558)</f>
        <v/>
      </c>
      <c r="AB3558" s="7" t="n"/>
      <c r="AE3558" s="11" t="n"/>
      <c r="AG3558">
        <f>IF($C3558="","",IF(COUNTIF($C$2:$C3558,$C3558)=1,1,0))</f>
        <v/>
      </c>
      <c r="AH3558">
        <f>IF($AG3558=1,SUMPRODUCT(--($AK$2:$AK$6001&lt;$AK3558))+1,"")</f>
        <v/>
      </c>
      <c r="AI3558">
        <f>IF($C3558="","",IF(OR($N3558=TRUE(),$N3558="TRUE"),1,0))</f>
        <v/>
      </c>
      <c r="AJ3558">
        <f>IF($C3558="","",IF($T3558="Yes",1,0))</f>
        <v/>
      </c>
      <c r="AK3558">
        <f>IF($AG3558=1,IFERROR(IF(VALUE($C3558)&lt;100000000,VALUE($C3558),1000000000),IFERROR(IF(VALUE(MID($C3558,2,20))&lt;100000000,VALUE(MID($C3558,2,20)),1000000000),1000000000))+ROW()/100000,"")</f>
        <v/>
      </c>
    </row>
    <row r="3559">
      <c r="D3559" s="11" t="n"/>
      <c r="K3559" s="7">
        <f>IF($C3559="","",J3559*W3559/100)</f>
        <v/>
      </c>
      <c r="Q3559" s="7" t="n"/>
      <c r="R3559" s="7" t="n"/>
      <c r="U3559">
        <f>IF($C3559="","",IF($AJ3559=1,0,IF($AI3559=1,Settings!$C$6,Settings!$C$7))*100)</f>
        <v/>
      </c>
      <c r="V3559" s="7">
        <f>IF($C3559="","",R3559*U3559/100)</f>
        <v/>
      </c>
      <c r="W3559" s="7">
        <f>IF($C3559="","",R3559-V3559)</f>
        <v/>
      </c>
      <c r="X3559" s="7">
        <f>IF($C3559="","",W3559-K3559)</f>
        <v/>
      </c>
      <c r="AB3559" s="7" t="n"/>
      <c r="AE3559" s="11" t="n"/>
      <c r="AG3559">
        <f>IF($C3559="","",IF(COUNTIF($C$2:$C3559,$C3559)=1,1,0))</f>
        <v/>
      </c>
      <c r="AH3559">
        <f>IF($AG3559=1,SUMPRODUCT(--($AK$2:$AK$6001&lt;$AK3559))+1,"")</f>
        <v/>
      </c>
      <c r="AI3559">
        <f>IF($C3559="","",IF(OR($N3559=TRUE(),$N3559="TRUE"),1,0))</f>
        <v/>
      </c>
      <c r="AJ3559">
        <f>IF($C3559="","",IF($T3559="Yes",1,0))</f>
        <v/>
      </c>
      <c r="AK3559">
        <f>IF($AG3559=1,IFERROR(IF(VALUE($C3559)&lt;100000000,VALUE($C3559),1000000000),IFERROR(IF(VALUE(MID($C3559,2,20))&lt;100000000,VALUE(MID($C3559,2,20)),1000000000),1000000000))+ROW()/100000,"")</f>
        <v/>
      </c>
    </row>
    <row r="3560">
      <c r="D3560" s="11" t="n"/>
      <c r="K3560" s="7">
        <f>IF($C3560="","",J3560*W3560/100)</f>
        <v/>
      </c>
      <c r="Q3560" s="7" t="n"/>
      <c r="R3560" s="7" t="n"/>
      <c r="U3560">
        <f>IF($C3560="","",IF($AJ3560=1,0,IF($AI3560=1,Settings!$C$6,Settings!$C$7))*100)</f>
        <v/>
      </c>
      <c r="V3560" s="7">
        <f>IF($C3560="","",R3560*U3560/100)</f>
        <v/>
      </c>
      <c r="W3560" s="7">
        <f>IF($C3560="","",R3560-V3560)</f>
        <v/>
      </c>
      <c r="X3560" s="7">
        <f>IF($C3560="","",W3560-K3560)</f>
        <v/>
      </c>
      <c r="AB3560" s="7" t="n"/>
      <c r="AE3560" s="11" t="n"/>
      <c r="AG3560">
        <f>IF($C3560="","",IF(COUNTIF($C$2:$C3560,$C3560)=1,1,0))</f>
        <v/>
      </c>
      <c r="AH3560">
        <f>IF($AG3560=1,SUMPRODUCT(--($AK$2:$AK$6001&lt;$AK3560))+1,"")</f>
        <v/>
      </c>
      <c r="AI3560">
        <f>IF($C3560="","",IF(OR($N3560=TRUE(),$N3560="TRUE"),1,0))</f>
        <v/>
      </c>
      <c r="AJ3560">
        <f>IF($C3560="","",IF($T3560="Yes",1,0))</f>
        <v/>
      </c>
      <c r="AK3560">
        <f>IF($AG3560=1,IFERROR(IF(VALUE($C3560)&lt;100000000,VALUE($C3560),1000000000),IFERROR(IF(VALUE(MID($C3560,2,20))&lt;100000000,VALUE(MID($C3560,2,20)),1000000000),1000000000))+ROW()/100000,"")</f>
        <v/>
      </c>
    </row>
    <row r="3561">
      <c r="D3561" s="11" t="n"/>
      <c r="K3561" s="7">
        <f>IF($C3561="","",J3561*W3561/100)</f>
        <v/>
      </c>
      <c r="Q3561" s="7" t="n"/>
      <c r="R3561" s="7" t="n"/>
      <c r="U3561">
        <f>IF($C3561="","",IF($AJ3561=1,0,IF($AI3561=1,Settings!$C$6,Settings!$C$7))*100)</f>
        <v/>
      </c>
      <c r="V3561" s="7">
        <f>IF($C3561="","",R3561*U3561/100)</f>
        <v/>
      </c>
      <c r="W3561" s="7">
        <f>IF($C3561="","",R3561-V3561)</f>
        <v/>
      </c>
      <c r="X3561" s="7">
        <f>IF($C3561="","",W3561-K3561)</f>
        <v/>
      </c>
      <c r="AB3561" s="7" t="n"/>
      <c r="AE3561" s="11" t="n"/>
      <c r="AG3561">
        <f>IF($C3561="","",IF(COUNTIF($C$2:$C3561,$C3561)=1,1,0))</f>
        <v/>
      </c>
      <c r="AH3561">
        <f>IF($AG3561=1,SUMPRODUCT(--($AK$2:$AK$6001&lt;$AK3561))+1,"")</f>
        <v/>
      </c>
      <c r="AI3561">
        <f>IF($C3561="","",IF(OR($N3561=TRUE(),$N3561="TRUE"),1,0))</f>
        <v/>
      </c>
      <c r="AJ3561">
        <f>IF($C3561="","",IF($T3561="Yes",1,0))</f>
        <v/>
      </c>
      <c r="AK3561">
        <f>IF($AG3561=1,IFERROR(IF(VALUE($C3561)&lt;100000000,VALUE($C3561),1000000000),IFERROR(IF(VALUE(MID($C3561,2,20))&lt;100000000,VALUE(MID($C3561,2,20)),1000000000),1000000000))+ROW()/100000,"")</f>
        <v/>
      </c>
    </row>
    <row r="3562">
      <c r="D3562" s="11" t="n"/>
      <c r="K3562" s="7">
        <f>IF($C3562="","",J3562*W3562/100)</f>
        <v/>
      </c>
      <c r="Q3562" s="7" t="n"/>
      <c r="R3562" s="7" t="n"/>
      <c r="U3562">
        <f>IF($C3562="","",IF($AJ3562=1,0,IF($AI3562=1,Settings!$C$6,Settings!$C$7))*100)</f>
        <v/>
      </c>
      <c r="V3562" s="7">
        <f>IF($C3562="","",R3562*U3562/100)</f>
        <v/>
      </c>
      <c r="W3562" s="7">
        <f>IF($C3562="","",R3562-V3562)</f>
        <v/>
      </c>
      <c r="X3562" s="7">
        <f>IF($C3562="","",W3562-K3562)</f>
        <v/>
      </c>
      <c r="AB3562" s="7" t="n"/>
      <c r="AE3562" s="11" t="n"/>
      <c r="AG3562">
        <f>IF($C3562="","",IF(COUNTIF($C$2:$C3562,$C3562)=1,1,0))</f>
        <v/>
      </c>
      <c r="AH3562">
        <f>IF($AG3562=1,SUMPRODUCT(--($AK$2:$AK$6001&lt;$AK3562))+1,"")</f>
        <v/>
      </c>
      <c r="AI3562">
        <f>IF($C3562="","",IF(OR($N3562=TRUE(),$N3562="TRUE"),1,0))</f>
        <v/>
      </c>
      <c r="AJ3562">
        <f>IF($C3562="","",IF($T3562="Yes",1,0))</f>
        <v/>
      </c>
      <c r="AK3562">
        <f>IF($AG3562=1,IFERROR(IF(VALUE($C3562)&lt;100000000,VALUE($C3562),1000000000),IFERROR(IF(VALUE(MID($C3562,2,20))&lt;100000000,VALUE(MID($C3562,2,20)),1000000000),1000000000))+ROW()/100000,"")</f>
        <v/>
      </c>
    </row>
    <row r="3563">
      <c r="D3563" s="11" t="n"/>
      <c r="K3563" s="7">
        <f>IF($C3563="","",J3563*W3563/100)</f>
        <v/>
      </c>
      <c r="Q3563" s="7" t="n"/>
      <c r="R3563" s="7" t="n"/>
      <c r="U3563">
        <f>IF($C3563="","",IF($AJ3563=1,0,IF($AI3563=1,Settings!$C$6,Settings!$C$7))*100)</f>
        <v/>
      </c>
      <c r="V3563" s="7">
        <f>IF($C3563="","",R3563*U3563/100)</f>
        <v/>
      </c>
      <c r="W3563" s="7">
        <f>IF($C3563="","",R3563-V3563)</f>
        <v/>
      </c>
      <c r="X3563" s="7">
        <f>IF($C3563="","",W3563-K3563)</f>
        <v/>
      </c>
      <c r="AB3563" s="7" t="n"/>
      <c r="AE3563" s="11" t="n"/>
      <c r="AG3563">
        <f>IF($C3563="","",IF(COUNTIF($C$2:$C3563,$C3563)=1,1,0))</f>
        <v/>
      </c>
      <c r="AH3563">
        <f>IF($AG3563=1,SUMPRODUCT(--($AK$2:$AK$6001&lt;$AK3563))+1,"")</f>
        <v/>
      </c>
      <c r="AI3563">
        <f>IF($C3563="","",IF(OR($N3563=TRUE(),$N3563="TRUE"),1,0))</f>
        <v/>
      </c>
      <c r="AJ3563">
        <f>IF($C3563="","",IF($T3563="Yes",1,0))</f>
        <v/>
      </c>
      <c r="AK3563">
        <f>IF($AG3563=1,IFERROR(IF(VALUE($C3563)&lt;100000000,VALUE($C3563),1000000000),IFERROR(IF(VALUE(MID($C3563,2,20))&lt;100000000,VALUE(MID($C3563,2,20)),1000000000),1000000000))+ROW()/100000,"")</f>
        <v/>
      </c>
    </row>
    <row r="3564">
      <c r="D3564" s="11" t="n"/>
      <c r="K3564" s="7">
        <f>IF($C3564="","",J3564*W3564/100)</f>
        <v/>
      </c>
      <c r="Q3564" s="7" t="n"/>
      <c r="R3564" s="7" t="n"/>
      <c r="U3564">
        <f>IF($C3564="","",IF($AJ3564=1,0,IF($AI3564=1,Settings!$C$6,Settings!$C$7))*100)</f>
        <v/>
      </c>
      <c r="V3564" s="7">
        <f>IF($C3564="","",R3564*U3564/100)</f>
        <v/>
      </c>
      <c r="W3564" s="7">
        <f>IF($C3564="","",R3564-V3564)</f>
        <v/>
      </c>
      <c r="X3564" s="7">
        <f>IF($C3564="","",W3564-K3564)</f>
        <v/>
      </c>
      <c r="AB3564" s="7" t="n"/>
      <c r="AE3564" s="11" t="n"/>
      <c r="AG3564">
        <f>IF($C3564="","",IF(COUNTIF($C$2:$C3564,$C3564)=1,1,0))</f>
        <v/>
      </c>
      <c r="AH3564">
        <f>IF($AG3564=1,SUMPRODUCT(--($AK$2:$AK$6001&lt;$AK3564))+1,"")</f>
        <v/>
      </c>
      <c r="AI3564">
        <f>IF($C3564="","",IF(OR($N3564=TRUE(),$N3564="TRUE"),1,0))</f>
        <v/>
      </c>
      <c r="AJ3564">
        <f>IF($C3564="","",IF($T3564="Yes",1,0))</f>
        <v/>
      </c>
      <c r="AK3564">
        <f>IF($AG3564=1,IFERROR(IF(VALUE($C3564)&lt;100000000,VALUE($C3564),1000000000),IFERROR(IF(VALUE(MID($C3564,2,20))&lt;100000000,VALUE(MID($C3564,2,20)),1000000000),1000000000))+ROW()/100000,"")</f>
        <v/>
      </c>
    </row>
    <row r="3565">
      <c r="D3565" s="11" t="n"/>
      <c r="K3565" s="7">
        <f>IF($C3565="","",J3565*W3565/100)</f>
        <v/>
      </c>
      <c r="Q3565" s="7" t="n"/>
      <c r="R3565" s="7" t="n"/>
      <c r="U3565">
        <f>IF($C3565="","",IF($AJ3565=1,0,IF($AI3565=1,Settings!$C$6,Settings!$C$7))*100)</f>
        <v/>
      </c>
      <c r="V3565" s="7">
        <f>IF($C3565="","",R3565*U3565/100)</f>
        <v/>
      </c>
      <c r="W3565" s="7">
        <f>IF($C3565="","",R3565-V3565)</f>
        <v/>
      </c>
      <c r="X3565" s="7">
        <f>IF($C3565="","",W3565-K3565)</f>
        <v/>
      </c>
      <c r="AB3565" s="7" t="n"/>
      <c r="AE3565" s="11" t="n"/>
      <c r="AG3565">
        <f>IF($C3565="","",IF(COUNTIF($C$2:$C3565,$C3565)=1,1,0))</f>
        <v/>
      </c>
      <c r="AH3565">
        <f>IF($AG3565=1,SUMPRODUCT(--($AK$2:$AK$6001&lt;$AK3565))+1,"")</f>
        <v/>
      </c>
      <c r="AI3565">
        <f>IF($C3565="","",IF(OR($N3565=TRUE(),$N3565="TRUE"),1,0))</f>
        <v/>
      </c>
      <c r="AJ3565">
        <f>IF($C3565="","",IF($T3565="Yes",1,0))</f>
        <v/>
      </c>
      <c r="AK3565">
        <f>IF($AG3565=1,IFERROR(IF(VALUE($C3565)&lt;100000000,VALUE($C3565),1000000000),IFERROR(IF(VALUE(MID($C3565,2,20))&lt;100000000,VALUE(MID($C3565,2,20)),1000000000),1000000000))+ROW()/100000,"")</f>
        <v/>
      </c>
    </row>
    <row r="3566">
      <c r="D3566" s="11" t="n"/>
      <c r="K3566" s="7">
        <f>IF($C3566="","",J3566*W3566/100)</f>
        <v/>
      </c>
      <c r="Q3566" s="7" t="n"/>
      <c r="R3566" s="7" t="n"/>
      <c r="U3566">
        <f>IF($C3566="","",IF($AJ3566=1,0,IF($AI3566=1,Settings!$C$6,Settings!$C$7))*100)</f>
        <v/>
      </c>
      <c r="V3566" s="7">
        <f>IF($C3566="","",R3566*U3566/100)</f>
        <v/>
      </c>
      <c r="W3566" s="7">
        <f>IF($C3566="","",R3566-V3566)</f>
        <v/>
      </c>
      <c r="X3566" s="7">
        <f>IF($C3566="","",W3566-K3566)</f>
        <v/>
      </c>
      <c r="AB3566" s="7" t="n"/>
      <c r="AE3566" s="11" t="n"/>
      <c r="AG3566">
        <f>IF($C3566="","",IF(COUNTIF($C$2:$C3566,$C3566)=1,1,0))</f>
        <v/>
      </c>
      <c r="AH3566">
        <f>IF($AG3566=1,SUMPRODUCT(--($AK$2:$AK$6001&lt;$AK3566))+1,"")</f>
        <v/>
      </c>
      <c r="AI3566">
        <f>IF($C3566="","",IF(OR($N3566=TRUE(),$N3566="TRUE"),1,0))</f>
        <v/>
      </c>
      <c r="AJ3566">
        <f>IF($C3566="","",IF($T3566="Yes",1,0))</f>
        <v/>
      </c>
      <c r="AK3566">
        <f>IF($AG3566=1,IFERROR(IF(VALUE($C3566)&lt;100000000,VALUE($C3566),1000000000),IFERROR(IF(VALUE(MID($C3566,2,20))&lt;100000000,VALUE(MID($C3566,2,20)),1000000000),1000000000))+ROW()/100000,"")</f>
        <v/>
      </c>
    </row>
    <row r="3567">
      <c r="D3567" s="11" t="n"/>
      <c r="K3567" s="7">
        <f>IF($C3567="","",J3567*W3567/100)</f>
        <v/>
      </c>
      <c r="Q3567" s="7" t="n"/>
      <c r="R3567" s="7" t="n"/>
      <c r="U3567">
        <f>IF($C3567="","",IF($AJ3567=1,0,IF($AI3567=1,Settings!$C$6,Settings!$C$7))*100)</f>
        <v/>
      </c>
      <c r="V3567" s="7">
        <f>IF($C3567="","",R3567*U3567/100)</f>
        <v/>
      </c>
      <c r="W3567" s="7">
        <f>IF($C3567="","",R3567-V3567)</f>
        <v/>
      </c>
      <c r="X3567" s="7">
        <f>IF($C3567="","",W3567-K3567)</f>
        <v/>
      </c>
      <c r="AB3567" s="7" t="n"/>
      <c r="AE3567" s="11" t="n"/>
      <c r="AG3567">
        <f>IF($C3567="","",IF(COUNTIF($C$2:$C3567,$C3567)=1,1,0))</f>
        <v/>
      </c>
      <c r="AH3567">
        <f>IF($AG3567=1,SUMPRODUCT(--($AK$2:$AK$6001&lt;$AK3567))+1,"")</f>
        <v/>
      </c>
      <c r="AI3567">
        <f>IF($C3567="","",IF(OR($N3567=TRUE(),$N3567="TRUE"),1,0))</f>
        <v/>
      </c>
      <c r="AJ3567">
        <f>IF($C3567="","",IF($T3567="Yes",1,0))</f>
        <v/>
      </c>
      <c r="AK3567">
        <f>IF($AG3567=1,IFERROR(IF(VALUE($C3567)&lt;100000000,VALUE($C3567),1000000000),IFERROR(IF(VALUE(MID($C3567,2,20))&lt;100000000,VALUE(MID($C3567,2,20)),1000000000),1000000000))+ROW()/100000,"")</f>
        <v/>
      </c>
    </row>
    <row r="3568">
      <c r="D3568" s="11" t="n"/>
      <c r="K3568" s="7">
        <f>IF($C3568="","",J3568*W3568/100)</f>
        <v/>
      </c>
      <c r="Q3568" s="7" t="n"/>
      <c r="R3568" s="7" t="n"/>
      <c r="U3568">
        <f>IF($C3568="","",IF($AJ3568=1,0,IF($AI3568=1,Settings!$C$6,Settings!$C$7))*100)</f>
        <v/>
      </c>
      <c r="V3568" s="7">
        <f>IF($C3568="","",R3568*U3568/100)</f>
        <v/>
      </c>
      <c r="W3568" s="7">
        <f>IF($C3568="","",R3568-V3568)</f>
        <v/>
      </c>
      <c r="X3568" s="7">
        <f>IF($C3568="","",W3568-K3568)</f>
        <v/>
      </c>
      <c r="AB3568" s="7" t="n"/>
      <c r="AE3568" s="11" t="n"/>
      <c r="AG3568">
        <f>IF($C3568="","",IF(COUNTIF($C$2:$C3568,$C3568)=1,1,0))</f>
        <v/>
      </c>
      <c r="AH3568">
        <f>IF($AG3568=1,SUMPRODUCT(--($AK$2:$AK$6001&lt;$AK3568))+1,"")</f>
        <v/>
      </c>
      <c r="AI3568">
        <f>IF($C3568="","",IF(OR($N3568=TRUE(),$N3568="TRUE"),1,0))</f>
        <v/>
      </c>
      <c r="AJ3568">
        <f>IF($C3568="","",IF($T3568="Yes",1,0))</f>
        <v/>
      </c>
      <c r="AK3568">
        <f>IF($AG3568=1,IFERROR(IF(VALUE($C3568)&lt;100000000,VALUE($C3568),1000000000),IFERROR(IF(VALUE(MID($C3568,2,20))&lt;100000000,VALUE(MID($C3568,2,20)),1000000000),1000000000))+ROW()/100000,"")</f>
        <v/>
      </c>
    </row>
    <row r="3569">
      <c r="D3569" s="11" t="n"/>
      <c r="K3569" s="7">
        <f>IF($C3569="","",J3569*W3569/100)</f>
        <v/>
      </c>
      <c r="Q3569" s="7" t="n"/>
      <c r="R3569" s="7" t="n"/>
      <c r="U3569">
        <f>IF($C3569="","",IF($AJ3569=1,0,IF($AI3569=1,Settings!$C$6,Settings!$C$7))*100)</f>
        <v/>
      </c>
      <c r="V3569" s="7">
        <f>IF($C3569="","",R3569*U3569/100)</f>
        <v/>
      </c>
      <c r="W3569" s="7">
        <f>IF($C3569="","",R3569-V3569)</f>
        <v/>
      </c>
      <c r="X3569" s="7">
        <f>IF($C3569="","",W3569-K3569)</f>
        <v/>
      </c>
      <c r="AB3569" s="7" t="n"/>
      <c r="AE3569" s="11" t="n"/>
      <c r="AG3569">
        <f>IF($C3569="","",IF(COUNTIF($C$2:$C3569,$C3569)=1,1,0))</f>
        <v/>
      </c>
      <c r="AH3569">
        <f>IF($AG3569=1,SUMPRODUCT(--($AK$2:$AK$6001&lt;$AK3569))+1,"")</f>
        <v/>
      </c>
      <c r="AI3569">
        <f>IF($C3569="","",IF(OR($N3569=TRUE(),$N3569="TRUE"),1,0))</f>
        <v/>
      </c>
      <c r="AJ3569">
        <f>IF($C3569="","",IF($T3569="Yes",1,0))</f>
        <v/>
      </c>
      <c r="AK3569">
        <f>IF($AG3569=1,IFERROR(IF(VALUE($C3569)&lt;100000000,VALUE($C3569),1000000000),IFERROR(IF(VALUE(MID($C3569,2,20))&lt;100000000,VALUE(MID($C3569,2,20)),1000000000),1000000000))+ROW()/100000,"")</f>
        <v/>
      </c>
    </row>
    <row r="3570">
      <c r="D3570" s="11" t="n"/>
      <c r="K3570" s="7">
        <f>IF($C3570="","",J3570*W3570/100)</f>
        <v/>
      </c>
      <c r="Q3570" s="7" t="n"/>
      <c r="R3570" s="7" t="n"/>
      <c r="U3570">
        <f>IF($C3570="","",IF($AJ3570=1,0,IF($AI3570=1,Settings!$C$6,Settings!$C$7))*100)</f>
        <v/>
      </c>
      <c r="V3570" s="7">
        <f>IF($C3570="","",R3570*U3570/100)</f>
        <v/>
      </c>
      <c r="W3570" s="7">
        <f>IF($C3570="","",R3570-V3570)</f>
        <v/>
      </c>
      <c r="X3570" s="7">
        <f>IF($C3570="","",W3570-K3570)</f>
        <v/>
      </c>
      <c r="AB3570" s="7" t="n"/>
      <c r="AE3570" s="11" t="n"/>
      <c r="AG3570">
        <f>IF($C3570="","",IF(COUNTIF($C$2:$C3570,$C3570)=1,1,0))</f>
        <v/>
      </c>
      <c r="AH3570">
        <f>IF($AG3570=1,SUMPRODUCT(--($AK$2:$AK$6001&lt;$AK3570))+1,"")</f>
        <v/>
      </c>
      <c r="AI3570">
        <f>IF($C3570="","",IF(OR($N3570=TRUE(),$N3570="TRUE"),1,0))</f>
        <v/>
      </c>
      <c r="AJ3570">
        <f>IF($C3570="","",IF($T3570="Yes",1,0))</f>
        <v/>
      </c>
      <c r="AK3570">
        <f>IF($AG3570=1,IFERROR(IF(VALUE($C3570)&lt;100000000,VALUE($C3570),1000000000),IFERROR(IF(VALUE(MID($C3570,2,20))&lt;100000000,VALUE(MID($C3570,2,20)),1000000000),1000000000))+ROW()/100000,"")</f>
        <v/>
      </c>
    </row>
    <row r="3571">
      <c r="D3571" s="11" t="n"/>
      <c r="K3571" s="7">
        <f>IF($C3571="","",J3571*W3571/100)</f>
        <v/>
      </c>
      <c r="Q3571" s="7" t="n"/>
      <c r="R3571" s="7" t="n"/>
      <c r="U3571">
        <f>IF($C3571="","",IF($AJ3571=1,0,IF($AI3571=1,Settings!$C$6,Settings!$C$7))*100)</f>
        <v/>
      </c>
      <c r="V3571" s="7">
        <f>IF($C3571="","",R3571*U3571/100)</f>
        <v/>
      </c>
      <c r="W3571" s="7">
        <f>IF($C3571="","",R3571-V3571)</f>
        <v/>
      </c>
      <c r="X3571" s="7">
        <f>IF($C3571="","",W3571-K3571)</f>
        <v/>
      </c>
      <c r="AB3571" s="7" t="n"/>
      <c r="AE3571" s="11" t="n"/>
      <c r="AG3571">
        <f>IF($C3571="","",IF(COUNTIF($C$2:$C3571,$C3571)=1,1,0))</f>
        <v/>
      </c>
      <c r="AH3571">
        <f>IF($AG3571=1,SUMPRODUCT(--($AK$2:$AK$6001&lt;$AK3571))+1,"")</f>
        <v/>
      </c>
      <c r="AI3571">
        <f>IF($C3571="","",IF(OR($N3571=TRUE(),$N3571="TRUE"),1,0))</f>
        <v/>
      </c>
      <c r="AJ3571">
        <f>IF($C3571="","",IF($T3571="Yes",1,0))</f>
        <v/>
      </c>
      <c r="AK3571">
        <f>IF($AG3571=1,IFERROR(IF(VALUE($C3571)&lt;100000000,VALUE($C3571),1000000000),IFERROR(IF(VALUE(MID($C3571,2,20))&lt;100000000,VALUE(MID($C3571,2,20)),1000000000),1000000000))+ROW()/100000,"")</f>
        <v/>
      </c>
    </row>
    <row r="3572">
      <c r="D3572" s="11" t="n"/>
      <c r="K3572" s="7">
        <f>IF($C3572="","",J3572*W3572/100)</f>
        <v/>
      </c>
      <c r="Q3572" s="7" t="n"/>
      <c r="R3572" s="7" t="n"/>
      <c r="U3572">
        <f>IF($C3572="","",IF($AJ3572=1,0,IF($AI3572=1,Settings!$C$6,Settings!$C$7))*100)</f>
        <v/>
      </c>
      <c r="V3572" s="7">
        <f>IF($C3572="","",R3572*U3572/100)</f>
        <v/>
      </c>
      <c r="W3572" s="7">
        <f>IF($C3572="","",R3572-V3572)</f>
        <v/>
      </c>
      <c r="X3572" s="7">
        <f>IF($C3572="","",W3572-K3572)</f>
        <v/>
      </c>
      <c r="AB3572" s="7" t="n"/>
      <c r="AE3572" s="11" t="n"/>
      <c r="AG3572">
        <f>IF($C3572="","",IF(COUNTIF($C$2:$C3572,$C3572)=1,1,0))</f>
        <v/>
      </c>
      <c r="AH3572">
        <f>IF($AG3572=1,SUMPRODUCT(--($AK$2:$AK$6001&lt;$AK3572))+1,"")</f>
        <v/>
      </c>
      <c r="AI3572">
        <f>IF($C3572="","",IF(OR($N3572=TRUE(),$N3572="TRUE"),1,0))</f>
        <v/>
      </c>
      <c r="AJ3572">
        <f>IF($C3572="","",IF($T3572="Yes",1,0))</f>
        <v/>
      </c>
      <c r="AK3572">
        <f>IF($AG3572=1,IFERROR(IF(VALUE($C3572)&lt;100000000,VALUE($C3572),1000000000),IFERROR(IF(VALUE(MID($C3572,2,20))&lt;100000000,VALUE(MID($C3572,2,20)),1000000000),1000000000))+ROW()/100000,"")</f>
        <v/>
      </c>
    </row>
    <row r="3573">
      <c r="D3573" s="11" t="n"/>
      <c r="K3573" s="7">
        <f>IF($C3573="","",J3573*W3573/100)</f>
        <v/>
      </c>
      <c r="Q3573" s="7" t="n"/>
      <c r="R3573" s="7" t="n"/>
      <c r="U3573">
        <f>IF($C3573="","",IF($AJ3573=1,0,IF($AI3573=1,Settings!$C$6,Settings!$C$7))*100)</f>
        <v/>
      </c>
      <c r="V3573" s="7">
        <f>IF($C3573="","",R3573*U3573/100)</f>
        <v/>
      </c>
      <c r="W3573" s="7">
        <f>IF($C3573="","",R3573-V3573)</f>
        <v/>
      </c>
      <c r="X3573" s="7">
        <f>IF($C3573="","",W3573-K3573)</f>
        <v/>
      </c>
      <c r="AB3573" s="7" t="n"/>
      <c r="AE3573" s="11" t="n"/>
      <c r="AG3573">
        <f>IF($C3573="","",IF(COUNTIF($C$2:$C3573,$C3573)=1,1,0))</f>
        <v/>
      </c>
      <c r="AH3573">
        <f>IF($AG3573=1,SUMPRODUCT(--($AK$2:$AK$6001&lt;$AK3573))+1,"")</f>
        <v/>
      </c>
      <c r="AI3573">
        <f>IF($C3573="","",IF(OR($N3573=TRUE(),$N3573="TRUE"),1,0))</f>
        <v/>
      </c>
      <c r="AJ3573">
        <f>IF($C3573="","",IF($T3573="Yes",1,0))</f>
        <v/>
      </c>
      <c r="AK3573">
        <f>IF($AG3573=1,IFERROR(IF(VALUE($C3573)&lt;100000000,VALUE($C3573),1000000000),IFERROR(IF(VALUE(MID($C3573,2,20))&lt;100000000,VALUE(MID($C3573,2,20)),1000000000),1000000000))+ROW()/100000,"")</f>
        <v/>
      </c>
    </row>
    <row r="3574">
      <c r="D3574" s="11" t="n"/>
      <c r="K3574" s="7">
        <f>IF($C3574="","",J3574*W3574/100)</f>
        <v/>
      </c>
      <c r="Q3574" s="7" t="n"/>
      <c r="R3574" s="7" t="n"/>
      <c r="U3574">
        <f>IF($C3574="","",IF($AJ3574=1,0,IF($AI3574=1,Settings!$C$6,Settings!$C$7))*100)</f>
        <v/>
      </c>
      <c r="V3574" s="7">
        <f>IF($C3574="","",R3574*U3574/100)</f>
        <v/>
      </c>
      <c r="W3574" s="7">
        <f>IF($C3574="","",R3574-V3574)</f>
        <v/>
      </c>
      <c r="X3574" s="7">
        <f>IF($C3574="","",W3574-K3574)</f>
        <v/>
      </c>
      <c r="AB3574" s="7" t="n"/>
      <c r="AE3574" s="11" t="n"/>
      <c r="AG3574">
        <f>IF($C3574="","",IF(COUNTIF($C$2:$C3574,$C3574)=1,1,0))</f>
        <v/>
      </c>
      <c r="AH3574">
        <f>IF($AG3574=1,SUMPRODUCT(--($AK$2:$AK$6001&lt;$AK3574))+1,"")</f>
        <v/>
      </c>
      <c r="AI3574">
        <f>IF($C3574="","",IF(OR($N3574=TRUE(),$N3574="TRUE"),1,0))</f>
        <v/>
      </c>
      <c r="AJ3574">
        <f>IF($C3574="","",IF($T3574="Yes",1,0))</f>
        <v/>
      </c>
      <c r="AK3574">
        <f>IF($AG3574=1,IFERROR(IF(VALUE($C3574)&lt;100000000,VALUE($C3574),1000000000),IFERROR(IF(VALUE(MID($C3574,2,20))&lt;100000000,VALUE(MID($C3574,2,20)),1000000000),1000000000))+ROW()/100000,"")</f>
        <v/>
      </c>
    </row>
    <row r="3575">
      <c r="D3575" s="11" t="n"/>
      <c r="K3575" s="7">
        <f>IF($C3575="","",J3575*W3575/100)</f>
        <v/>
      </c>
      <c r="Q3575" s="7" t="n"/>
      <c r="R3575" s="7" t="n"/>
      <c r="U3575">
        <f>IF($C3575="","",IF($AJ3575=1,0,IF($AI3575=1,Settings!$C$6,Settings!$C$7))*100)</f>
        <v/>
      </c>
      <c r="V3575" s="7">
        <f>IF($C3575="","",R3575*U3575/100)</f>
        <v/>
      </c>
      <c r="W3575" s="7">
        <f>IF($C3575="","",R3575-V3575)</f>
        <v/>
      </c>
      <c r="X3575" s="7">
        <f>IF($C3575="","",W3575-K3575)</f>
        <v/>
      </c>
      <c r="AB3575" s="7" t="n"/>
      <c r="AE3575" s="11" t="n"/>
      <c r="AG3575">
        <f>IF($C3575="","",IF(COUNTIF($C$2:$C3575,$C3575)=1,1,0))</f>
        <v/>
      </c>
      <c r="AH3575">
        <f>IF($AG3575=1,SUMPRODUCT(--($AK$2:$AK$6001&lt;$AK3575))+1,"")</f>
        <v/>
      </c>
      <c r="AI3575">
        <f>IF($C3575="","",IF(OR($N3575=TRUE(),$N3575="TRUE"),1,0))</f>
        <v/>
      </c>
      <c r="AJ3575">
        <f>IF($C3575="","",IF($T3575="Yes",1,0))</f>
        <v/>
      </c>
      <c r="AK3575">
        <f>IF($AG3575=1,IFERROR(IF(VALUE($C3575)&lt;100000000,VALUE($C3575),1000000000),IFERROR(IF(VALUE(MID($C3575,2,20))&lt;100000000,VALUE(MID($C3575,2,20)),1000000000),1000000000))+ROW()/100000,"")</f>
        <v/>
      </c>
    </row>
    <row r="3576">
      <c r="D3576" s="11" t="n"/>
      <c r="K3576" s="7">
        <f>IF($C3576="","",J3576*W3576/100)</f>
        <v/>
      </c>
      <c r="Q3576" s="7" t="n"/>
      <c r="R3576" s="7" t="n"/>
      <c r="U3576">
        <f>IF($C3576="","",IF($AJ3576=1,0,IF($AI3576=1,Settings!$C$6,Settings!$C$7))*100)</f>
        <v/>
      </c>
      <c r="V3576" s="7">
        <f>IF($C3576="","",R3576*U3576/100)</f>
        <v/>
      </c>
      <c r="W3576" s="7">
        <f>IF($C3576="","",R3576-V3576)</f>
        <v/>
      </c>
      <c r="X3576" s="7">
        <f>IF($C3576="","",W3576-K3576)</f>
        <v/>
      </c>
      <c r="AB3576" s="7" t="n"/>
      <c r="AE3576" s="11" t="n"/>
      <c r="AG3576">
        <f>IF($C3576="","",IF(COUNTIF($C$2:$C3576,$C3576)=1,1,0))</f>
        <v/>
      </c>
      <c r="AH3576">
        <f>IF($AG3576=1,SUMPRODUCT(--($AK$2:$AK$6001&lt;$AK3576))+1,"")</f>
        <v/>
      </c>
      <c r="AI3576">
        <f>IF($C3576="","",IF(OR($N3576=TRUE(),$N3576="TRUE"),1,0))</f>
        <v/>
      </c>
      <c r="AJ3576">
        <f>IF($C3576="","",IF($T3576="Yes",1,0))</f>
        <v/>
      </c>
      <c r="AK3576">
        <f>IF($AG3576=1,IFERROR(IF(VALUE($C3576)&lt;100000000,VALUE($C3576),1000000000),IFERROR(IF(VALUE(MID($C3576,2,20))&lt;100000000,VALUE(MID($C3576,2,20)),1000000000),1000000000))+ROW()/100000,"")</f>
        <v/>
      </c>
    </row>
    <row r="3577">
      <c r="D3577" s="11" t="n"/>
      <c r="K3577" s="7">
        <f>IF($C3577="","",J3577*W3577/100)</f>
        <v/>
      </c>
      <c r="Q3577" s="7" t="n"/>
      <c r="R3577" s="7" t="n"/>
      <c r="U3577">
        <f>IF($C3577="","",IF($AJ3577=1,0,IF($AI3577=1,Settings!$C$6,Settings!$C$7))*100)</f>
        <v/>
      </c>
      <c r="V3577" s="7">
        <f>IF($C3577="","",R3577*U3577/100)</f>
        <v/>
      </c>
      <c r="W3577" s="7">
        <f>IF($C3577="","",R3577-V3577)</f>
        <v/>
      </c>
      <c r="X3577" s="7">
        <f>IF($C3577="","",W3577-K3577)</f>
        <v/>
      </c>
      <c r="AB3577" s="7" t="n"/>
      <c r="AE3577" s="11" t="n"/>
      <c r="AG3577">
        <f>IF($C3577="","",IF(COUNTIF($C$2:$C3577,$C3577)=1,1,0))</f>
        <v/>
      </c>
      <c r="AH3577">
        <f>IF($AG3577=1,SUMPRODUCT(--($AK$2:$AK$6001&lt;$AK3577))+1,"")</f>
        <v/>
      </c>
      <c r="AI3577">
        <f>IF($C3577="","",IF(OR($N3577=TRUE(),$N3577="TRUE"),1,0))</f>
        <v/>
      </c>
      <c r="AJ3577">
        <f>IF($C3577="","",IF($T3577="Yes",1,0))</f>
        <v/>
      </c>
      <c r="AK3577">
        <f>IF($AG3577=1,IFERROR(IF(VALUE($C3577)&lt;100000000,VALUE($C3577),1000000000),IFERROR(IF(VALUE(MID($C3577,2,20))&lt;100000000,VALUE(MID($C3577,2,20)),1000000000),1000000000))+ROW()/100000,"")</f>
        <v/>
      </c>
    </row>
    <row r="3578">
      <c r="D3578" s="11" t="n"/>
      <c r="K3578" s="7">
        <f>IF($C3578="","",J3578*W3578/100)</f>
        <v/>
      </c>
      <c r="Q3578" s="7" t="n"/>
      <c r="R3578" s="7" t="n"/>
      <c r="U3578">
        <f>IF($C3578="","",IF($AJ3578=1,0,IF($AI3578=1,Settings!$C$6,Settings!$C$7))*100)</f>
        <v/>
      </c>
      <c r="V3578" s="7">
        <f>IF($C3578="","",R3578*U3578/100)</f>
        <v/>
      </c>
      <c r="W3578" s="7">
        <f>IF($C3578="","",R3578-V3578)</f>
        <v/>
      </c>
      <c r="X3578" s="7">
        <f>IF($C3578="","",W3578-K3578)</f>
        <v/>
      </c>
      <c r="AB3578" s="7" t="n"/>
      <c r="AE3578" s="11" t="n"/>
      <c r="AG3578">
        <f>IF($C3578="","",IF(COUNTIF($C$2:$C3578,$C3578)=1,1,0))</f>
        <v/>
      </c>
      <c r="AH3578">
        <f>IF($AG3578=1,SUMPRODUCT(--($AK$2:$AK$6001&lt;$AK3578))+1,"")</f>
        <v/>
      </c>
      <c r="AI3578">
        <f>IF($C3578="","",IF(OR($N3578=TRUE(),$N3578="TRUE"),1,0))</f>
        <v/>
      </c>
      <c r="AJ3578">
        <f>IF($C3578="","",IF($T3578="Yes",1,0))</f>
        <v/>
      </c>
      <c r="AK3578">
        <f>IF($AG3578=1,IFERROR(IF(VALUE($C3578)&lt;100000000,VALUE($C3578),1000000000),IFERROR(IF(VALUE(MID($C3578,2,20))&lt;100000000,VALUE(MID($C3578,2,20)),1000000000),1000000000))+ROW()/100000,"")</f>
        <v/>
      </c>
    </row>
    <row r="3579">
      <c r="D3579" s="11" t="n"/>
      <c r="K3579" s="7">
        <f>IF($C3579="","",J3579*W3579/100)</f>
        <v/>
      </c>
      <c r="Q3579" s="7" t="n"/>
      <c r="R3579" s="7" t="n"/>
      <c r="U3579">
        <f>IF($C3579="","",IF($AJ3579=1,0,IF($AI3579=1,Settings!$C$6,Settings!$C$7))*100)</f>
        <v/>
      </c>
      <c r="V3579" s="7">
        <f>IF($C3579="","",R3579*U3579/100)</f>
        <v/>
      </c>
      <c r="W3579" s="7">
        <f>IF($C3579="","",R3579-V3579)</f>
        <v/>
      </c>
      <c r="X3579" s="7">
        <f>IF($C3579="","",W3579-K3579)</f>
        <v/>
      </c>
      <c r="AB3579" s="7" t="n"/>
      <c r="AE3579" s="11" t="n"/>
      <c r="AG3579">
        <f>IF($C3579="","",IF(COUNTIF($C$2:$C3579,$C3579)=1,1,0))</f>
        <v/>
      </c>
      <c r="AH3579">
        <f>IF($AG3579=1,SUMPRODUCT(--($AK$2:$AK$6001&lt;$AK3579))+1,"")</f>
        <v/>
      </c>
      <c r="AI3579">
        <f>IF($C3579="","",IF(OR($N3579=TRUE(),$N3579="TRUE"),1,0))</f>
        <v/>
      </c>
      <c r="AJ3579">
        <f>IF($C3579="","",IF($T3579="Yes",1,0))</f>
        <v/>
      </c>
      <c r="AK3579">
        <f>IF($AG3579=1,IFERROR(IF(VALUE($C3579)&lt;100000000,VALUE($C3579),1000000000),IFERROR(IF(VALUE(MID($C3579,2,20))&lt;100000000,VALUE(MID($C3579,2,20)),1000000000),1000000000))+ROW()/100000,"")</f>
        <v/>
      </c>
    </row>
    <row r="3580">
      <c r="D3580" s="11" t="n"/>
      <c r="K3580" s="7">
        <f>IF($C3580="","",J3580*W3580/100)</f>
        <v/>
      </c>
      <c r="Q3580" s="7" t="n"/>
      <c r="R3580" s="7" t="n"/>
      <c r="U3580">
        <f>IF($C3580="","",IF($AJ3580=1,0,IF($AI3580=1,Settings!$C$6,Settings!$C$7))*100)</f>
        <v/>
      </c>
      <c r="V3580" s="7">
        <f>IF($C3580="","",R3580*U3580/100)</f>
        <v/>
      </c>
      <c r="W3580" s="7">
        <f>IF($C3580="","",R3580-V3580)</f>
        <v/>
      </c>
      <c r="X3580" s="7">
        <f>IF($C3580="","",W3580-K3580)</f>
        <v/>
      </c>
      <c r="AB3580" s="7" t="n"/>
      <c r="AE3580" s="11" t="n"/>
      <c r="AG3580">
        <f>IF($C3580="","",IF(COUNTIF($C$2:$C3580,$C3580)=1,1,0))</f>
        <v/>
      </c>
      <c r="AH3580">
        <f>IF($AG3580=1,SUMPRODUCT(--($AK$2:$AK$6001&lt;$AK3580))+1,"")</f>
        <v/>
      </c>
      <c r="AI3580">
        <f>IF($C3580="","",IF(OR($N3580=TRUE(),$N3580="TRUE"),1,0))</f>
        <v/>
      </c>
      <c r="AJ3580">
        <f>IF($C3580="","",IF($T3580="Yes",1,0))</f>
        <v/>
      </c>
      <c r="AK3580">
        <f>IF($AG3580=1,IFERROR(IF(VALUE($C3580)&lt;100000000,VALUE($C3580),1000000000),IFERROR(IF(VALUE(MID($C3580,2,20))&lt;100000000,VALUE(MID($C3580,2,20)),1000000000),1000000000))+ROW()/100000,"")</f>
        <v/>
      </c>
    </row>
    <row r="3581">
      <c r="D3581" s="11" t="n"/>
      <c r="K3581" s="7">
        <f>IF($C3581="","",J3581*W3581/100)</f>
        <v/>
      </c>
      <c r="Q3581" s="7" t="n"/>
      <c r="R3581" s="7" t="n"/>
      <c r="U3581">
        <f>IF($C3581="","",IF($AJ3581=1,0,IF($AI3581=1,Settings!$C$6,Settings!$C$7))*100)</f>
        <v/>
      </c>
      <c r="V3581" s="7">
        <f>IF($C3581="","",R3581*U3581/100)</f>
        <v/>
      </c>
      <c r="W3581" s="7">
        <f>IF($C3581="","",R3581-V3581)</f>
        <v/>
      </c>
      <c r="X3581" s="7">
        <f>IF($C3581="","",W3581-K3581)</f>
        <v/>
      </c>
      <c r="AB3581" s="7" t="n"/>
      <c r="AE3581" s="11" t="n"/>
      <c r="AG3581">
        <f>IF($C3581="","",IF(COUNTIF($C$2:$C3581,$C3581)=1,1,0))</f>
        <v/>
      </c>
      <c r="AH3581">
        <f>IF($AG3581=1,SUMPRODUCT(--($AK$2:$AK$6001&lt;$AK3581))+1,"")</f>
        <v/>
      </c>
      <c r="AI3581">
        <f>IF($C3581="","",IF(OR($N3581=TRUE(),$N3581="TRUE"),1,0))</f>
        <v/>
      </c>
      <c r="AJ3581">
        <f>IF($C3581="","",IF($T3581="Yes",1,0))</f>
        <v/>
      </c>
      <c r="AK3581">
        <f>IF($AG3581=1,IFERROR(IF(VALUE($C3581)&lt;100000000,VALUE($C3581),1000000000),IFERROR(IF(VALUE(MID($C3581,2,20))&lt;100000000,VALUE(MID($C3581,2,20)),1000000000),1000000000))+ROW()/100000,"")</f>
        <v/>
      </c>
    </row>
    <row r="3582">
      <c r="D3582" s="11" t="n"/>
      <c r="K3582" s="7">
        <f>IF($C3582="","",J3582*W3582/100)</f>
        <v/>
      </c>
      <c r="Q3582" s="7" t="n"/>
      <c r="R3582" s="7" t="n"/>
      <c r="U3582">
        <f>IF($C3582="","",IF($AJ3582=1,0,IF($AI3582=1,Settings!$C$6,Settings!$C$7))*100)</f>
        <v/>
      </c>
      <c r="V3582" s="7">
        <f>IF($C3582="","",R3582*U3582/100)</f>
        <v/>
      </c>
      <c r="W3582" s="7">
        <f>IF($C3582="","",R3582-V3582)</f>
        <v/>
      </c>
      <c r="X3582" s="7">
        <f>IF($C3582="","",W3582-K3582)</f>
        <v/>
      </c>
      <c r="AB3582" s="7" t="n"/>
      <c r="AE3582" s="11" t="n"/>
      <c r="AG3582">
        <f>IF($C3582="","",IF(COUNTIF($C$2:$C3582,$C3582)=1,1,0))</f>
        <v/>
      </c>
      <c r="AH3582">
        <f>IF($AG3582=1,SUMPRODUCT(--($AK$2:$AK$6001&lt;$AK3582))+1,"")</f>
        <v/>
      </c>
      <c r="AI3582">
        <f>IF($C3582="","",IF(OR($N3582=TRUE(),$N3582="TRUE"),1,0))</f>
        <v/>
      </c>
      <c r="AJ3582">
        <f>IF($C3582="","",IF($T3582="Yes",1,0))</f>
        <v/>
      </c>
      <c r="AK3582">
        <f>IF($AG3582=1,IFERROR(IF(VALUE($C3582)&lt;100000000,VALUE($C3582),1000000000),IFERROR(IF(VALUE(MID($C3582,2,20))&lt;100000000,VALUE(MID($C3582,2,20)),1000000000),1000000000))+ROW()/100000,"")</f>
        <v/>
      </c>
    </row>
    <row r="3583">
      <c r="D3583" s="11" t="n"/>
      <c r="K3583" s="7">
        <f>IF($C3583="","",J3583*W3583/100)</f>
        <v/>
      </c>
      <c r="Q3583" s="7" t="n"/>
      <c r="R3583" s="7" t="n"/>
      <c r="U3583">
        <f>IF($C3583="","",IF($AJ3583=1,0,IF($AI3583=1,Settings!$C$6,Settings!$C$7))*100)</f>
        <v/>
      </c>
      <c r="V3583" s="7">
        <f>IF($C3583="","",R3583*U3583/100)</f>
        <v/>
      </c>
      <c r="W3583" s="7">
        <f>IF($C3583="","",R3583-V3583)</f>
        <v/>
      </c>
      <c r="X3583" s="7">
        <f>IF($C3583="","",W3583-K3583)</f>
        <v/>
      </c>
      <c r="AB3583" s="7" t="n"/>
      <c r="AE3583" s="11" t="n"/>
      <c r="AG3583">
        <f>IF($C3583="","",IF(COUNTIF($C$2:$C3583,$C3583)=1,1,0))</f>
        <v/>
      </c>
      <c r="AH3583">
        <f>IF($AG3583=1,SUMPRODUCT(--($AK$2:$AK$6001&lt;$AK3583))+1,"")</f>
        <v/>
      </c>
      <c r="AI3583">
        <f>IF($C3583="","",IF(OR($N3583=TRUE(),$N3583="TRUE"),1,0))</f>
        <v/>
      </c>
      <c r="AJ3583">
        <f>IF($C3583="","",IF($T3583="Yes",1,0))</f>
        <v/>
      </c>
      <c r="AK3583">
        <f>IF($AG3583=1,IFERROR(IF(VALUE($C3583)&lt;100000000,VALUE($C3583),1000000000),IFERROR(IF(VALUE(MID($C3583,2,20))&lt;100000000,VALUE(MID($C3583,2,20)),1000000000),1000000000))+ROW()/100000,"")</f>
        <v/>
      </c>
    </row>
    <row r="3584">
      <c r="D3584" s="11" t="n"/>
      <c r="K3584" s="7">
        <f>IF($C3584="","",J3584*W3584/100)</f>
        <v/>
      </c>
      <c r="Q3584" s="7" t="n"/>
      <c r="R3584" s="7" t="n"/>
      <c r="U3584">
        <f>IF($C3584="","",IF($AJ3584=1,0,IF($AI3584=1,Settings!$C$6,Settings!$C$7))*100)</f>
        <v/>
      </c>
      <c r="V3584" s="7">
        <f>IF($C3584="","",R3584*U3584/100)</f>
        <v/>
      </c>
      <c r="W3584" s="7">
        <f>IF($C3584="","",R3584-V3584)</f>
        <v/>
      </c>
      <c r="X3584" s="7">
        <f>IF($C3584="","",W3584-K3584)</f>
        <v/>
      </c>
      <c r="AB3584" s="7" t="n"/>
      <c r="AE3584" s="11" t="n"/>
      <c r="AG3584">
        <f>IF($C3584="","",IF(COUNTIF($C$2:$C3584,$C3584)=1,1,0))</f>
        <v/>
      </c>
      <c r="AH3584">
        <f>IF($AG3584=1,SUMPRODUCT(--($AK$2:$AK$6001&lt;$AK3584))+1,"")</f>
        <v/>
      </c>
      <c r="AI3584">
        <f>IF($C3584="","",IF(OR($N3584=TRUE(),$N3584="TRUE"),1,0))</f>
        <v/>
      </c>
      <c r="AJ3584">
        <f>IF($C3584="","",IF($T3584="Yes",1,0))</f>
        <v/>
      </c>
      <c r="AK3584">
        <f>IF($AG3584=1,IFERROR(IF(VALUE($C3584)&lt;100000000,VALUE($C3584),1000000000),IFERROR(IF(VALUE(MID($C3584,2,20))&lt;100000000,VALUE(MID($C3584,2,20)),1000000000),1000000000))+ROW()/100000,"")</f>
        <v/>
      </c>
    </row>
    <row r="3585">
      <c r="D3585" s="11" t="n"/>
      <c r="K3585" s="7">
        <f>IF($C3585="","",J3585*W3585/100)</f>
        <v/>
      </c>
      <c r="Q3585" s="7" t="n"/>
      <c r="R3585" s="7" t="n"/>
      <c r="U3585">
        <f>IF($C3585="","",IF($AJ3585=1,0,IF($AI3585=1,Settings!$C$6,Settings!$C$7))*100)</f>
        <v/>
      </c>
      <c r="V3585" s="7">
        <f>IF($C3585="","",R3585*U3585/100)</f>
        <v/>
      </c>
      <c r="W3585" s="7">
        <f>IF($C3585="","",R3585-V3585)</f>
        <v/>
      </c>
      <c r="X3585" s="7">
        <f>IF($C3585="","",W3585-K3585)</f>
        <v/>
      </c>
      <c r="AB3585" s="7" t="n"/>
      <c r="AE3585" s="11" t="n"/>
      <c r="AG3585">
        <f>IF($C3585="","",IF(COUNTIF($C$2:$C3585,$C3585)=1,1,0))</f>
        <v/>
      </c>
      <c r="AH3585">
        <f>IF($AG3585=1,SUMPRODUCT(--($AK$2:$AK$6001&lt;$AK3585))+1,"")</f>
        <v/>
      </c>
      <c r="AI3585">
        <f>IF($C3585="","",IF(OR($N3585=TRUE(),$N3585="TRUE"),1,0))</f>
        <v/>
      </c>
      <c r="AJ3585">
        <f>IF($C3585="","",IF($T3585="Yes",1,0))</f>
        <v/>
      </c>
      <c r="AK3585">
        <f>IF($AG3585=1,IFERROR(IF(VALUE($C3585)&lt;100000000,VALUE($C3585),1000000000),IFERROR(IF(VALUE(MID($C3585,2,20))&lt;100000000,VALUE(MID($C3585,2,20)),1000000000),1000000000))+ROW()/100000,"")</f>
        <v/>
      </c>
    </row>
    <row r="3586">
      <c r="D3586" s="11" t="n"/>
      <c r="K3586" s="7">
        <f>IF($C3586="","",J3586*W3586/100)</f>
        <v/>
      </c>
      <c r="Q3586" s="7" t="n"/>
      <c r="R3586" s="7" t="n"/>
      <c r="U3586">
        <f>IF($C3586="","",IF($AJ3586=1,0,IF($AI3586=1,Settings!$C$6,Settings!$C$7))*100)</f>
        <v/>
      </c>
      <c r="V3586" s="7">
        <f>IF($C3586="","",R3586*U3586/100)</f>
        <v/>
      </c>
      <c r="W3586" s="7">
        <f>IF($C3586="","",R3586-V3586)</f>
        <v/>
      </c>
      <c r="X3586" s="7">
        <f>IF($C3586="","",W3586-K3586)</f>
        <v/>
      </c>
      <c r="AB3586" s="7" t="n"/>
      <c r="AE3586" s="11" t="n"/>
      <c r="AG3586">
        <f>IF($C3586="","",IF(COUNTIF($C$2:$C3586,$C3586)=1,1,0))</f>
        <v/>
      </c>
      <c r="AH3586">
        <f>IF($AG3586=1,SUMPRODUCT(--($AK$2:$AK$6001&lt;$AK3586))+1,"")</f>
        <v/>
      </c>
      <c r="AI3586">
        <f>IF($C3586="","",IF(OR($N3586=TRUE(),$N3586="TRUE"),1,0))</f>
        <v/>
      </c>
      <c r="AJ3586">
        <f>IF($C3586="","",IF($T3586="Yes",1,0))</f>
        <v/>
      </c>
      <c r="AK3586">
        <f>IF($AG3586=1,IFERROR(IF(VALUE($C3586)&lt;100000000,VALUE($C3586),1000000000),IFERROR(IF(VALUE(MID($C3586,2,20))&lt;100000000,VALUE(MID($C3586,2,20)),1000000000),1000000000))+ROW()/100000,"")</f>
        <v/>
      </c>
    </row>
    <row r="3587">
      <c r="D3587" s="11" t="n"/>
      <c r="K3587" s="7">
        <f>IF($C3587="","",J3587*W3587/100)</f>
        <v/>
      </c>
      <c r="Q3587" s="7" t="n"/>
      <c r="R3587" s="7" t="n"/>
      <c r="U3587">
        <f>IF($C3587="","",IF($AJ3587=1,0,IF($AI3587=1,Settings!$C$6,Settings!$C$7))*100)</f>
        <v/>
      </c>
      <c r="V3587" s="7">
        <f>IF($C3587="","",R3587*U3587/100)</f>
        <v/>
      </c>
      <c r="W3587" s="7">
        <f>IF($C3587="","",R3587-V3587)</f>
        <v/>
      </c>
      <c r="X3587" s="7">
        <f>IF($C3587="","",W3587-K3587)</f>
        <v/>
      </c>
      <c r="AB3587" s="7" t="n"/>
      <c r="AE3587" s="11" t="n"/>
      <c r="AG3587">
        <f>IF($C3587="","",IF(COUNTIF($C$2:$C3587,$C3587)=1,1,0))</f>
        <v/>
      </c>
      <c r="AH3587">
        <f>IF($AG3587=1,SUMPRODUCT(--($AK$2:$AK$6001&lt;$AK3587))+1,"")</f>
        <v/>
      </c>
      <c r="AI3587">
        <f>IF($C3587="","",IF(OR($N3587=TRUE(),$N3587="TRUE"),1,0))</f>
        <v/>
      </c>
      <c r="AJ3587">
        <f>IF($C3587="","",IF($T3587="Yes",1,0))</f>
        <v/>
      </c>
      <c r="AK3587">
        <f>IF($AG3587=1,IFERROR(IF(VALUE($C3587)&lt;100000000,VALUE($C3587),1000000000),IFERROR(IF(VALUE(MID($C3587,2,20))&lt;100000000,VALUE(MID($C3587,2,20)),1000000000),1000000000))+ROW()/100000,"")</f>
        <v/>
      </c>
    </row>
    <row r="3588">
      <c r="D3588" s="11" t="n"/>
      <c r="K3588" s="7">
        <f>IF($C3588="","",J3588*W3588/100)</f>
        <v/>
      </c>
      <c r="Q3588" s="7" t="n"/>
      <c r="R3588" s="7" t="n"/>
      <c r="U3588">
        <f>IF($C3588="","",IF($AJ3588=1,0,IF($AI3588=1,Settings!$C$6,Settings!$C$7))*100)</f>
        <v/>
      </c>
      <c r="V3588" s="7">
        <f>IF($C3588="","",R3588*U3588/100)</f>
        <v/>
      </c>
      <c r="W3588" s="7">
        <f>IF($C3588="","",R3588-V3588)</f>
        <v/>
      </c>
      <c r="X3588" s="7">
        <f>IF($C3588="","",W3588-K3588)</f>
        <v/>
      </c>
      <c r="AB3588" s="7" t="n"/>
      <c r="AE3588" s="11" t="n"/>
      <c r="AG3588">
        <f>IF($C3588="","",IF(COUNTIF($C$2:$C3588,$C3588)=1,1,0))</f>
        <v/>
      </c>
      <c r="AH3588">
        <f>IF($AG3588=1,SUMPRODUCT(--($AK$2:$AK$6001&lt;$AK3588))+1,"")</f>
        <v/>
      </c>
      <c r="AI3588">
        <f>IF($C3588="","",IF(OR($N3588=TRUE(),$N3588="TRUE"),1,0))</f>
        <v/>
      </c>
      <c r="AJ3588">
        <f>IF($C3588="","",IF($T3588="Yes",1,0))</f>
        <v/>
      </c>
      <c r="AK3588">
        <f>IF($AG3588=1,IFERROR(IF(VALUE($C3588)&lt;100000000,VALUE($C3588),1000000000),IFERROR(IF(VALUE(MID($C3588,2,20))&lt;100000000,VALUE(MID($C3588,2,20)),1000000000),1000000000))+ROW()/100000,"")</f>
        <v/>
      </c>
    </row>
    <row r="3589">
      <c r="D3589" s="11" t="n"/>
      <c r="K3589" s="7">
        <f>IF($C3589="","",J3589*W3589/100)</f>
        <v/>
      </c>
      <c r="Q3589" s="7" t="n"/>
      <c r="R3589" s="7" t="n"/>
      <c r="U3589">
        <f>IF($C3589="","",IF($AJ3589=1,0,IF($AI3589=1,Settings!$C$6,Settings!$C$7))*100)</f>
        <v/>
      </c>
      <c r="V3589" s="7">
        <f>IF($C3589="","",R3589*U3589/100)</f>
        <v/>
      </c>
      <c r="W3589" s="7">
        <f>IF($C3589="","",R3589-V3589)</f>
        <v/>
      </c>
      <c r="X3589" s="7">
        <f>IF($C3589="","",W3589-K3589)</f>
        <v/>
      </c>
      <c r="AB3589" s="7" t="n"/>
      <c r="AE3589" s="11" t="n"/>
      <c r="AG3589">
        <f>IF($C3589="","",IF(COUNTIF($C$2:$C3589,$C3589)=1,1,0))</f>
        <v/>
      </c>
      <c r="AH3589">
        <f>IF($AG3589=1,SUMPRODUCT(--($AK$2:$AK$6001&lt;$AK3589))+1,"")</f>
        <v/>
      </c>
      <c r="AI3589">
        <f>IF($C3589="","",IF(OR($N3589=TRUE(),$N3589="TRUE"),1,0))</f>
        <v/>
      </c>
      <c r="AJ3589">
        <f>IF($C3589="","",IF($T3589="Yes",1,0))</f>
        <v/>
      </c>
      <c r="AK3589">
        <f>IF($AG3589=1,IFERROR(IF(VALUE($C3589)&lt;100000000,VALUE($C3589),1000000000),IFERROR(IF(VALUE(MID($C3589,2,20))&lt;100000000,VALUE(MID($C3589,2,20)),1000000000),1000000000))+ROW()/100000,"")</f>
        <v/>
      </c>
    </row>
    <row r="3590">
      <c r="D3590" s="11" t="n"/>
      <c r="K3590" s="7">
        <f>IF($C3590="","",J3590*W3590/100)</f>
        <v/>
      </c>
      <c r="Q3590" s="7" t="n"/>
      <c r="R3590" s="7" t="n"/>
      <c r="U3590">
        <f>IF($C3590="","",IF($AJ3590=1,0,IF($AI3590=1,Settings!$C$6,Settings!$C$7))*100)</f>
        <v/>
      </c>
      <c r="V3590" s="7">
        <f>IF($C3590="","",R3590*U3590/100)</f>
        <v/>
      </c>
      <c r="W3590" s="7">
        <f>IF($C3590="","",R3590-V3590)</f>
        <v/>
      </c>
      <c r="X3590" s="7">
        <f>IF($C3590="","",W3590-K3590)</f>
        <v/>
      </c>
      <c r="AB3590" s="7" t="n"/>
      <c r="AE3590" s="11" t="n"/>
      <c r="AG3590">
        <f>IF($C3590="","",IF(COUNTIF($C$2:$C3590,$C3590)=1,1,0))</f>
        <v/>
      </c>
      <c r="AH3590">
        <f>IF($AG3590=1,SUMPRODUCT(--($AK$2:$AK$6001&lt;$AK3590))+1,"")</f>
        <v/>
      </c>
      <c r="AI3590">
        <f>IF($C3590="","",IF(OR($N3590=TRUE(),$N3590="TRUE"),1,0))</f>
        <v/>
      </c>
      <c r="AJ3590">
        <f>IF($C3590="","",IF($T3590="Yes",1,0))</f>
        <v/>
      </c>
      <c r="AK3590">
        <f>IF($AG3590=1,IFERROR(IF(VALUE($C3590)&lt;100000000,VALUE($C3590),1000000000),IFERROR(IF(VALUE(MID($C3590,2,20))&lt;100000000,VALUE(MID($C3590,2,20)),1000000000),1000000000))+ROW()/100000,"")</f>
        <v/>
      </c>
    </row>
    <row r="3591">
      <c r="D3591" s="11" t="n"/>
      <c r="K3591" s="7">
        <f>IF($C3591="","",J3591*W3591/100)</f>
        <v/>
      </c>
      <c r="Q3591" s="7" t="n"/>
      <c r="R3591" s="7" t="n"/>
      <c r="U3591">
        <f>IF($C3591="","",IF($AJ3591=1,0,IF($AI3591=1,Settings!$C$6,Settings!$C$7))*100)</f>
        <v/>
      </c>
      <c r="V3591" s="7">
        <f>IF($C3591="","",R3591*U3591/100)</f>
        <v/>
      </c>
      <c r="W3591" s="7">
        <f>IF($C3591="","",R3591-V3591)</f>
        <v/>
      </c>
      <c r="X3591" s="7">
        <f>IF($C3591="","",W3591-K3591)</f>
        <v/>
      </c>
      <c r="AB3591" s="7" t="n"/>
      <c r="AE3591" s="11" t="n"/>
      <c r="AG3591">
        <f>IF($C3591="","",IF(COUNTIF($C$2:$C3591,$C3591)=1,1,0))</f>
        <v/>
      </c>
      <c r="AH3591">
        <f>IF($AG3591=1,SUMPRODUCT(--($AK$2:$AK$6001&lt;$AK3591))+1,"")</f>
        <v/>
      </c>
      <c r="AI3591">
        <f>IF($C3591="","",IF(OR($N3591=TRUE(),$N3591="TRUE"),1,0))</f>
        <v/>
      </c>
      <c r="AJ3591">
        <f>IF($C3591="","",IF($T3591="Yes",1,0))</f>
        <v/>
      </c>
      <c r="AK3591">
        <f>IF($AG3591=1,IFERROR(IF(VALUE($C3591)&lt;100000000,VALUE($C3591),1000000000),IFERROR(IF(VALUE(MID($C3591,2,20))&lt;100000000,VALUE(MID($C3591,2,20)),1000000000),1000000000))+ROW()/100000,"")</f>
        <v/>
      </c>
    </row>
    <row r="3592">
      <c r="D3592" s="11" t="n"/>
      <c r="K3592" s="7">
        <f>IF($C3592="","",J3592*W3592/100)</f>
        <v/>
      </c>
      <c r="Q3592" s="7" t="n"/>
      <c r="R3592" s="7" t="n"/>
      <c r="U3592">
        <f>IF($C3592="","",IF($AJ3592=1,0,IF($AI3592=1,Settings!$C$6,Settings!$C$7))*100)</f>
        <v/>
      </c>
      <c r="V3592" s="7">
        <f>IF($C3592="","",R3592*U3592/100)</f>
        <v/>
      </c>
      <c r="W3592" s="7">
        <f>IF($C3592="","",R3592-V3592)</f>
        <v/>
      </c>
      <c r="X3592" s="7">
        <f>IF($C3592="","",W3592-K3592)</f>
        <v/>
      </c>
      <c r="AB3592" s="7" t="n"/>
      <c r="AE3592" s="11" t="n"/>
      <c r="AG3592">
        <f>IF($C3592="","",IF(COUNTIF($C$2:$C3592,$C3592)=1,1,0))</f>
        <v/>
      </c>
      <c r="AH3592">
        <f>IF($AG3592=1,SUMPRODUCT(--($AK$2:$AK$6001&lt;$AK3592))+1,"")</f>
        <v/>
      </c>
      <c r="AI3592">
        <f>IF($C3592="","",IF(OR($N3592=TRUE(),$N3592="TRUE"),1,0))</f>
        <v/>
      </c>
      <c r="AJ3592">
        <f>IF($C3592="","",IF($T3592="Yes",1,0))</f>
        <v/>
      </c>
      <c r="AK3592">
        <f>IF($AG3592=1,IFERROR(IF(VALUE($C3592)&lt;100000000,VALUE($C3592),1000000000),IFERROR(IF(VALUE(MID($C3592,2,20))&lt;100000000,VALUE(MID($C3592,2,20)),1000000000),1000000000))+ROW()/100000,"")</f>
        <v/>
      </c>
    </row>
    <row r="3593">
      <c r="D3593" s="11" t="n"/>
      <c r="K3593" s="7">
        <f>IF($C3593="","",J3593*W3593/100)</f>
        <v/>
      </c>
      <c r="Q3593" s="7" t="n"/>
      <c r="R3593" s="7" t="n"/>
      <c r="U3593">
        <f>IF($C3593="","",IF($AJ3593=1,0,IF($AI3593=1,Settings!$C$6,Settings!$C$7))*100)</f>
        <v/>
      </c>
      <c r="V3593" s="7">
        <f>IF($C3593="","",R3593*U3593/100)</f>
        <v/>
      </c>
      <c r="W3593" s="7">
        <f>IF($C3593="","",R3593-V3593)</f>
        <v/>
      </c>
      <c r="X3593" s="7">
        <f>IF($C3593="","",W3593-K3593)</f>
        <v/>
      </c>
      <c r="AB3593" s="7" t="n"/>
      <c r="AE3593" s="11" t="n"/>
      <c r="AG3593">
        <f>IF($C3593="","",IF(COUNTIF($C$2:$C3593,$C3593)=1,1,0))</f>
        <v/>
      </c>
      <c r="AH3593">
        <f>IF($AG3593=1,SUMPRODUCT(--($AK$2:$AK$6001&lt;$AK3593))+1,"")</f>
        <v/>
      </c>
      <c r="AI3593">
        <f>IF($C3593="","",IF(OR($N3593=TRUE(),$N3593="TRUE"),1,0))</f>
        <v/>
      </c>
      <c r="AJ3593">
        <f>IF($C3593="","",IF($T3593="Yes",1,0))</f>
        <v/>
      </c>
      <c r="AK3593">
        <f>IF($AG3593=1,IFERROR(IF(VALUE($C3593)&lt;100000000,VALUE($C3593),1000000000),IFERROR(IF(VALUE(MID($C3593,2,20))&lt;100000000,VALUE(MID($C3593,2,20)),1000000000),1000000000))+ROW()/100000,"")</f>
        <v/>
      </c>
    </row>
    <row r="3594">
      <c r="D3594" s="11" t="n"/>
      <c r="K3594" s="7">
        <f>IF($C3594="","",J3594*W3594/100)</f>
        <v/>
      </c>
      <c r="Q3594" s="7" t="n"/>
      <c r="R3594" s="7" t="n"/>
      <c r="U3594">
        <f>IF($C3594="","",IF($AJ3594=1,0,IF($AI3594=1,Settings!$C$6,Settings!$C$7))*100)</f>
        <v/>
      </c>
      <c r="V3594" s="7">
        <f>IF($C3594="","",R3594*U3594/100)</f>
        <v/>
      </c>
      <c r="W3594" s="7">
        <f>IF($C3594="","",R3594-V3594)</f>
        <v/>
      </c>
      <c r="X3594" s="7">
        <f>IF($C3594="","",W3594-K3594)</f>
        <v/>
      </c>
      <c r="AB3594" s="7" t="n"/>
      <c r="AE3594" s="11" t="n"/>
      <c r="AG3594">
        <f>IF($C3594="","",IF(COUNTIF($C$2:$C3594,$C3594)=1,1,0))</f>
        <v/>
      </c>
      <c r="AH3594">
        <f>IF($AG3594=1,SUMPRODUCT(--($AK$2:$AK$6001&lt;$AK3594))+1,"")</f>
        <v/>
      </c>
      <c r="AI3594">
        <f>IF($C3594="","",IF(OR($N3594=TRUE(),$N3594="TRUE"),1,0))</f>
        <v/>
      </c>
      <c r="AJ3594">
        <f>IF($C3594="","",IF($T3594="Yes",1,0))</f>
        <v/>
      </c>
      <c r="AK3594">
        <f>IF($AG3594=1,IFERROR(IF(VALUE($C3594)&lt;100000000,VALUE($C3594),1000000000),IFERROR(IF(VALUE(MID($C3594,2,20))&lt;100000000,VALUE(MID($C3594,2,20)),1000000000),1000000000))+ROW()/100000,"")</f>
        <v/>
      </c>
    </row>
    <row r="3595">
      <c r="D3595" s="11" t="n"/>
      <c r="K3595" s="7">
        <f>IF($C3595="","",J3595*W3595/100)</f>
        <v/>
      </c>
      <c r="Q3595" s="7" t="n"/>
      <c r="R3595" s="7" t="n"/>
      <c r="U3595">
        <f>IF($C3595="","",IF($AJ3595=1,0,IF($AI3595=1,Settings!$C$6,Settings!$C$7))*100)</f>
        <v/>
      </c>
      <c r="V3595" s="7">
        <f>IF($C3595="","",R3595*U3595/100)</f>
        <v/>
      </c>
      <c r="W3595" s="7">
        <f>IF($C3595="","",R3595-V3595)</f>
        <v/>
      </c>
      <c r="X3595" s="7">
        <f>IF($C3595="","",W3595-K3595)</f>
        <v/>
      </c>
      <c r="AB3595" s="7" t="n"/>
      <c r="AE3595" s="11" t="n"/>
      <c r="AG3595">
        <f>IF($C3595="","",IF(COUNTIF($C$2:$C3595,$C3595)=1,1,0))</f>
        <v/>
      </c>
      <c r="AH3595">
        <f>IF($AG3595=1,SUMPRODUCT(--($AK$2:$AK$6001&lt;$AK3595))+1,"")</f>
        <v/>
      </c>
      <c r="AI3595">
        <f>IF($C3595="","",IF(OR($N3595=TRUE(),$N3595="TRUE"),1,0))</f>
        <v/>
      </c>
      <c r="AJ3595">
        <f>IF($C3595="","",IF($T3595="Yes",1,0))</f>
        <v/>
      </c>
      <c r="AK3595">
        <f>IF($AG3595=1,IFERROR(IF(VALUE($C3595)&lt;100000000,VALUE($C3595),1000000000),IFERROR(IF(VALUE(MID($C3595,2,20))&lt;100000000,VALUE(MID($C3595,2,20)),1000000000),1000000000))+ROW()/100000,"")</f>
        <v/>
      </c>
    </row>
    <row r="3596">
      <c r="D3596" s="11" t="n"/>
      <c r="K3596" s="7">
        <f>IF($C3596="","",J3596*W3596/100)</f>
        <v/>
      </c>
      <c r="Q3596" s="7" t="n"/>
      <c r="R3596" s="7" t="n"/>
      <c r="U3596">
        <f>IF($C3596="","",IF($AJ3596=1,0,IF($AI3596=1,Settings!$C$6,Settings!$C$7))*100)</f>
        <v/>
      </c>
      <c r="V3596" s="7">
        <f>IF($C3596="","",R3596*U3596/100)</f>
        <v/>
      </c>
      <c r="W3596" s="7">
        <f>IF($C3596="","",R3596-V3596)</f>
        <v/>
      </c>
      <c r="X3596" s="7">
        <f>IF($C3596="","",W3596-K3596)</f>
        <v/>
      </c>
      <c r="AB3596" s="7" t="n"/>
      <c r="AE3596" s="11" t="n"/>
      <c r="AG3596">
        <f>IF($C3596="","",IF(COUNTIF($C$2:$C3596,$C3596)=1,1,0))</f>
        <v/>
      </c>
      <c r="AH3596">
        <f>IF($AG3596=1,SUMPRODUCT(--($AK$2:$AK$6001&lt;$AK3596))+1,"")</f>
        <v/>
      </c>
      <c r="AI3596">
        <f>IF($C3596="","",IF(OR($N3596=TRUE(),$N3596="TRUE"),1,0))</f>
        <v/>
      </c>
      <c r="AJ3596">
        <f>IF($C3596="","",IF($T3596="Yes",1,0))</f>
        <v/>
      </c>
      <c r="AK3596">
        <f>IF($AG3596=1,IFERROR(IF(VALUE($C3596)&lt;100000000,VALUE($C3596),1000000000),IFERROR(IF(VALUE(MID($C3596,2,20))&lt;100000000,VALUE(MID($C3596,2,20)),1000000000),1000000000))+ROW()/100000,"")</f>
        <v/>
      </c>
    </row>
    <row r="3597">
      <c r="D3597" s="11" t="n"/>
      <c r="K3597" s="7">
        <f>IF($C3597="","",J3597*W3597/100)</f>
        <v/>
      </c>
      <c r="Q3597" s="7" t="n"/>
      <c r="R3597" s="7" t="n"/>
      <c r="U3597">
        <f>IF($C3597="","",IF($AJ3597=1,0,IF($AI3597=1,Settings!$C$6,Settings!$C$7))*100)</f>
        <v/>
      </c>
      <c r="V3597" s="7">
        <f>IF($C3597="","",R3597*U3597/100)</f>
        <v/>
      </c>
      <c r="W3597" s="7">
        <f>IF($C3597="","",R3597-V3597)</f>
        <v/>
      </c>
      <c r="X3597" s="7">
        <f>IF($C3597="","",W3597-K3597)</f>
        <v/>
      </c>
      <c r="AB3597" s="7" t="n"/>
      <c r="AE3597" s="11" t="n"/>
      <c r="AG3597">
        <f>IF($C3597="","",IF(COUNTIF($C$2:$C3597,$C3597)=1,1,0))</f>
        <v/>
      </c>
      <c r="AH3597">
        <f>IF($AG3597=1,SUMPRODUCT(--($AK$2:$AK$6001&lt;$AK3597))+1,"")</f>
        <v/>
      </c>
      <c r="AI3597">
        <f>IF($C3597="","",IF(OR($N3597=TRUE(),$N3597="TRUE"),1,0))</f>
        <v/>
      </c>
      <c r="AJ3597">
        <f>IF($C3597="","",IF($T3597="Yes",1,0))</f>
        <v/>
      </c>
      <c r="AK3597">
        <f>IF($AG3597=1,IFERROR(IF(VALUE($C3597)&lt;100000000,VALUE($C3597),1000000000),IFERROR(IF(VALUE(MID($C3597,2,20))&lt;100000000,VALUE(MID($C3597,2,20)),1000000000),1000000000))+ROW()/100000,"")</f>
        <v/>
      </c>
    </row>
    <row r="3598">
      <c r="D3598" s="11" t="n"/>
      <c r="K3598" s="7">
        <f>IF($C3598="","",J3598*W3598/100)</f>
        <v/>
      </c>
      <c r="Q3598" s="7" t="n"/>
      <c r="R3598" s="7" t="n"/>
      <c r="U3598">
        <f>IF($C3598="","",IF($AJ3598=1,0,IF($AI3598=1,Settings!$C$6,Settings!$C$7))*100)</f>
        <v/>
      </c>
      <c r="V3598" s="7">
        <f>IF($C3598="","",R3598*U3598/100)</f>
        <v/>
      </c>
      <c r="W3598" s="7">
        <f>IF($C3598="","",R3598-V3598)</f>
        <v/>
      </c>
      <c r="X3598" s="7">
        <f>IF($C3598="","",W3598-K3598)</f>
        <v/>
      </c>
      <c r="AB3598" s="7" t="n"/>
      <c r="AE3598" s="11" t="n"/>
      <c r="AG3598">
        <f>IF($C3598="","",IF(COUNTIF($C$2:$C3598,$C3598)=1,1,0))</f>
        <v/>
      </c>
      <c r="AH3598">
        <f>IF($AG3598=1,SUMPRODUCT(--($AK$2:$AK$6001&lt;$AK3598))+1,"")</f>
        <v/>
      </c>
      <c r="AI3598">
        <f>IF($C3598="","",IF(OR($N3598=TRUE(),$N3598="TRUE"),1,0))</f>
        <v/>
      </c>
      <c r="AJ3598">
        <f>IF($C3598="","",IF($T3598="Yes",1,0))</f>
        <v/>
      </c>
      <c r="AK3598">
        <f>IF($AG3598=1,IFERROR(IF(VALUE($C3598)&lt;100000000,VALUE($C3598),1000000000),IFERROR(IF(VALUE(MID($C3598,2,20))&lt;100000000,VALUE(MID($C3598,2,20)),1000000000),1000000000))+ROW()/100000,"")</f>
        <v/>
      </c>
    </row>
    <row r="3599">
      <c r="D3599" s="11" t="n"/>
      <c r="K3599" s="7">
        <f>IF($C3599="","",J3599*W3599/100)</f>
        <v/>
      </c>
      <c r="Q3599" s="7" t="n"/>
      <c r="R3599" s="7" t="n"/>
      <c r="U3599">
        <f>IF($C3599="","",IF($AJ3599=1,0,IF($AI3599=1,Settings!$C$6,Settings!$C$7))*100)</f>
        <v/>
      </c>
      <c r="V3599" s="7">
        <f>IF($C3599="","",R3599*U3599/100)</f>
        <v/>
      </c>
      <c r="W3599" s="7">
        <f>IF($C3599="","",R3599-V3599)</f>
        <v/>
      </c>
      <c r="X3599" s="7">
        <f>IF($C3599="","",W3599-K3599)</f>
        <v/>
      </c>
      <c r="AB3599" s="7" t="n"/>
      <c r="AE3599" s="11" t="n"/>
      <c r="AG3599">
        <f>IF($C3599="","",IF(COUNTIF($C$2:$C3599,$C3599)=1,1,0))</f>
        <v/>
      </c>
      <c r="AH3599">
        <f>IF($AG3599=1,SUMPRODUCT(--($AK$2:$AK$6001&lt;$AK3599))+1,"")</f>
        <v/>
      </c>
      <c r="AI3599">
        <f>IF($C3599="","",IF(OR($N3599=TRUE(),$N3599="TRUE"),1,0))</f>
        <v/>
      </c>
      <c r="AJ3599">
        <f>IF($C3599="","",IF($T3599="Yes",1,0))</f>
        <v/>
      </c>
      <c r="AK3599">
        <f>IF($AG3599=1,IFERROR(IF(VALUE($C3599)&lt;100000000,VALUE($C3599),1000000000),IFERROR(IF(VALUE(MID($C3599,2,20))&lt;100000000,VALUE(MID($C3599,2,20)),1000000000),1000000000))+ROW()/100000,"")</f>
        <v/>
      </c>
    </row>
    <row r="3600">
      <c r="D3600" s="11" t="n"/>
      <c r="K3600" s="7">
        <f>IF($C3600="","",J3600*W3600/100)</f>
        <v/>
      </c>
      <c r="Q3600" s="7" t="n"/>
      <c r="R3600" s="7" t="n"/>
      <c r="U3600">
        <f>IF($C3600="","",IF($AJ3600=1,0,IF($AI3600=1,Settings!$C$6,Settings!$C$7))*100)</f>
        <v/>
      </c>
      <c r="V3600" s="7">
        <f>IF($C3600="","",R3600*U3600/100)</f>
        <v/>
      </c>
      <c r="W3600" s="7">
        <f>IF($C3600="","",R3600-V3600)</f>
        <v/>
      </c>
      <c r="X3600" s="7">
        <f>IF($C3600="","",W3600-K3600)</f>
        <v/>
      </c>
      <c r="AB3600" s="7" t="n"/>
      <c r="AE3600" s="11" t="n"/>
      <c r="AG3600">
        <f>IF($C3600="","",IF(COUNTIF($C$2:$C3600,$C3600)=1,1,0))</f>
        <v/>
      </c>
      <c r="AH3600">
        <f>IF($AG3600=1,SUMPRODUCT(--($AK$2:$AK$6001&lt;$AK3600))+1,"")</f>
        <v/>
      </c>
      <c r="AI3600">
        <f>IF($C3600="","",IF(OR($N3600=TRUE(),$N3600="TRUE"),1,0))</f>
        <v/>
      </c>
      <c r="AJ3600">
        <f>IF($C3600="","",IF($T3600="Yes",1,0))</f>
        <v/>
      </c>
      <c r="AK3600">
        <f>IF($AG3600=1,IFERROR(IF(VALUE($C3600)&lt;100000000,VALUE($C3600),1000000000),IFERROR(IF(VALUE(MID($C3600,2,20))&lt;100000000,VALUE(MID($C3600,2,20)),1000000000),1000000000))+ROW()/100000,"")</f>
        <v/>
      </c>
    </row>
    <row r="3601">
      <c r="D3601" s="11" t="n"/>
      <c r="K3601" s="7">
        <f>IF($C3601="","",J3601*W3601/100)</f>
        <v/>
      </c>
      <c r="Q3601" s="7" t="n"/>
      <c r="R3601" s="7" t="n"/>
      <c r="U3601">
        <f>IF($C3601="","",IF($AJ3601=1,0,IF($AI3601=1,Settings!$C$6,Settings!$C$7))*100)</f>
        <v/>
      </c>
      <c r="V3601" s="7">
        <f>IF($C3601="","",R3601*U3601/100)</f>
        <v/>
      </c>
      <c r="W3601" s="7">
        <f>IF($C3601="","",R3601-V3601)</f>
        <v/>
      </c>
      <c r="X3601" s="7">
        <f>IF($C3601="","",W3601-K3601)</f>
        <v/>
      </c>
      <c r="AB3601" s="7" t="n"/>
      <c r="AE3601" s="11" t="n"/>
      <c r="AG3601">
        <f>IF($C3601="","",IF(COUNTIF($C$2:$C3601,$C3601)=1,1,0))</f>
        <v/>
      </c>
      <c r="AH3601">
        <f>IF($AG3601=1,SUMPRODUCT(--($AK$2:$AK$6001&lt;$AK3601))+1,"")</f>
        <v/>
      </c>
      <c r="AI3601">
        <f>IF($C3601="","",IF(OR($N3601=TRUE(),$N3601="TRUE"),1,0))</f>
        <v/>
      </c>
      <c r="AJ3601">
        <f>IF($C3601="","",IF($T3601="Yes",1,0))</f>
        <v/>
      </c>
      <c r="AK3601">
        <f>IF($AG3601=1,IFERROR(IF(VALUE($C3601)&lt;100000000,VALUE($C3601),1000000000),IFERROR(IF(VALUE(MID($C3601,2,20))&lt;100000000,VALUE(MID($C3601,2,20)),1000000000),1000000000))+ROW()/100000,"")</f>
        <v/>
      </c>
    </row>
    <row r="3602">
      <c r="D3602" s="11" t="n"/>
      <c r="K3602" s="7">
        <f>IF($C3602="","",J3602*W3602/100)</f>
        <v/>
      </c>
      <c r="Q3602" s="7" t="n"/>
      <c r="R3602" s="7" t="n"/>
      <c r="U3602">
        <f>IF($C3602="","",IF($AJ3602=1,0,IF($AI3602=1,Settings!$C$6,Settings!$C$7))*100)</f>
        <v/>
      </c>
      <c r="V3602" s="7">
        <f>IF($C3602="","",R3602*U3602/100)</f>
        <v/>
      </c>
      <c r="W3602" s="7">
        <f>IF($C3602="","",R3602-V3602)</f>
        <v/>
      </c>
      <c r="X3602" s="7">
        <f>IF($C3602="","",W3602-K3602)</f>
        <v/>
      </c>
      <c r="AB3602" s="7" t="n"/>
      <c r="AE3602" s="11" t="n"/>
      <c r="AG3602">
        <f>IF($C3602="","",IF(COUNTIF($C$2:$C3602,$C3602)=1,1,0))</f>
        <v/>
      </c>
      <c r="AH3602">
        <f>IF($AG3602=1,SUMPRODUCT(--($AK$2:$AK$6001&lt;$AK3602))+1,"")</f>
        <v/>
      </c>
      <c r="AI3602">
        <f>IF($C3602="","",IF(OR($N3602=TRUE(),$N3602="TRUE"),1,0))</f>
        <v/>
      </c>
      <c r="AJ3602">
        <f>IF($C3602="","",IF($T3602="Yes",1,0))</f>
        <v/>
      </c>
      <c r="AK3602">
        <f>IF($AG3602=1,IFERROR(IF(VALUE($C3602)&lt;100000000,VALUE($C3602),1000000000),IFERROR(IF(VALUE(MID($C3602,2,20))&lt;100000000,VALUE(MID($C3602,2,20)),1000000000),1000000000))+ROW()/100000,"")</f>
        <v/>
      </c>
    </row>
    <row r="3603">
      <c r="D3603" s="11" t="n"/>
      <c r="K3603" s="7">
        <f>IF($C3603="","",J3603*W3603/100)</f>
        <v/>
      </c>
      <c r="Q3603" s="7" t="n"/>
      <c r="R3603" s="7" t="n"/>
      <c r="U3603">
        <f>IF($C3603="","",IF($AJ3603=1,0,IF($AI3603=1,Settings!$C$6,Settings!$C$7))*100)</f>
        <v/>
      </c>
      <c r="V3603" s="7">
        <f>IF($C3603="","",R3603*U3603/100)</f>
        <v/>
      </c>
      <c r="W3603" s="7">
        <f>IF($C3603="","",R3603-V3603)</f>
        <v/>
      </c>
      <c r="X3603" s="7">
        <f>IF($C3603="","",W3603-K3603)</f>
        <v/>
      </c>
      <c r="AB3603" s="7" t="n"/>
      <c r="AE3603" s="11" t="n"/>
      <c r="AG3603">
        <f>IF($C3603="","",IF(COUNTIF($C$2:$C3603,$C3603)=1,1,0))</f>
        <v/>
      </c>
      <c r="AH3603">
        <f>IF($AG3603=1,SUMPRODUCT(--($AK$2:$AK$6001&lt;$AK3603))+1,"")</f>
        <v/>
      </c>
      <c r="AI3603">
        <f>IF($C3603="","",IF(OR($N3603=TRUE(),$N3603="TRUE"),1,0))</f>
        <v/>
      </c>
      <c r="AJ3603">
        <f>IF($C3603="","",IF($T3603="Yes",1,0))</f>
        <v/>
      </c>
      <c r="AK3603">
        <f>IF($AG3603=1,IFERROR(IF(VALUE($C3603)&lt;100000000,VALUE($C3603),1000000000),IFERROR(IF(VALUE(MID($C3603,2,20))&lt;100000000,VALUE(MID($C3603,2,20)),1000000000),1000000000))+ROW()/100000,"")</f>
        <v/>
      </c>
    </row>
    <row r="3604">
      <c r="D3604" s="11" t="n"/>
      <c r="K3604" s="7">
        <f>IF($C3604="","",J3604*W3604/100)</f>
        <v/>
      </c>
      <c r="Q3604" s="7" t="n"/>
      <c r="R3604" s="7" t="n"/>
      <c r="U3604">
        <f>IF($C3604="","",IF($AJ3604=1,0,IF($AI3604=1,Settings!$C$6,Settings!$C$7))*100)</f>
        <v/>
      </c>
      <c r="V3604" s="7">
        <f>IF($C3604="","",R3604*U3604/100)</f>
        <v/>
      </c>
      <c r="W3604" s="7">
        <f>IF($C3604="","",R3604-V3604)</f>
        <v/>
      </c>
      <c r="X3604" s="7">
        <f>IF($C3604="","",W3604-K3604)</f>
        <v/>
      </c>
      <c r="AB3604" s="7" t="n"/>
      <c r="AE3604" s="11" t="n"/>
      <c r="AG3604">
        <f>IF($C3604="","",IF(COUNTIF($C$2:$C3604,$C3604)=1,1,0))</f>
        <v/>
      </c>
      <c r="AH3604">
        <f>IF($AG3604=1,SUMPRODUCT(--($AK$2:$AK$6001&lt;$AK3604))+1,"")</f>
        <v/>
      </c>
      <c r="AI3604">
        <f>IF($C3604="","",IF(OR($N3604=TRUE(),$N3604="TRUE"),1,0))</f>
        <v/>
      </c>
      <c r="AJ3604">
        <f>IF($C3604="","",IF($T3604="Yes",1,0))</f>
        <v/>
      </c>
      <c r="AK3604">
        <f>IF($AG3604=1,IFERROR(IF(VALUE($C3604)&lt;100000000,VALUE($C3604),1000000000),IFERROR(IF(VALUE(MID($C3604,2,20))&lt;100000000,VALUE(MID($C3604,2,20)),1000000000),1000000000))+ROW()/100000,"")</f>
        <v/>
      </c>
    </row>
    <row r="3605">
      <c r="D3605" s="11" t="n"/>
      <c r="K3605" s="7">
        <f>IF($C3605="","",J3605*W3605/100)</f>
        <v/>
      </c>
      <c r="Q3605" s="7" t="n"/>
      <c r="R3605" s="7" t="n"/>
      <c r="U3605">
        <f>IF($C3605="","",IF($AJ3605=1,0,IF($AI3605=1,Settings!$C$6,Settings!$C$7))*100)</f>
        <v/>
      </c>
      <c r="V3605" s="7">
        <f>IF($C3605="","",R3605*U3605/100)</f>
        <v/>
      </c>
      <c r="W3605" s="7">
        <f>IF($C3605="","",R3605-V3605)</f>
        <v/>
      </c>
      <c r="X3605" s="7">
        <f>IF($C3605="","",W3605-K3605)</f>
        <v/>
      </c>
      <c r="AB3605" s="7" t="n"/>
      <c r="AE3605" s="11" t="n"/>
      <c r="AG3605">
        <f>IF($C3605="","",IF(COUNTIF($C$2:$C3605,$C3605)=1,1,0))</f>
        <v/>
      </c>
      <c r="AH3605">
        <f>IF($AG3605=1,SUMPRODUCT(--($AK$2:$AK$6001&lt;$AK3605))+1,"")</f>
        <v/>
      </c>
      <c r="AI3605">
        <f>IF($C3605="","",IF(OR($N3605=TRUE(),$N3605="TRUE"),1,0))</f>
        <v/>
      </c>
      <c r="AJ3605">
        <f>IF($C3605="","",IF($T3605="Yes",1,0))</f>
        <v/>
      </c>
      <c r="AK3605">
        <f>IF($AG3605=1,IFERROR(IF(VALUE($C3605)&lt;100000000,VALUE($C3605),1000000000),IFERROR(IF(VALUE(MID($C3605,2,20))&lt;100000000,VALUE(MID($C3605,2,20)),1000000000),1000000000))+ROW()/100000,"")</f>
        <v/>
      </c>
    </row>
    <row r="3606">
      <c r="D3606" s="11" t="n"/>
      <c r="K3606" s="7">
        <f>IF($C3606="","",J3606*W3606/100)</f>
        <v/>
      </c>
      <c r="Q3606" s="7" t="n"/>
      <c r="R3606" s="7" t="n"/>
      <c r="U3606">
        <f>IF($C3606="","",IF($AJ3606=1,0,IF($AI3606=1,Settings!$C$6,Settings!$C$7))*100)</f>
        <v/>
      </c>
      <c r="V3606" s="7">
        <f>IF($C3606="","",R3606*U3606/100)</f>
        <v/>
      </c>
      <c r="W3606" s="7">
        <f>IF($C3606="","",R3606-V3606)</f>
        <v/>
      </c>
      <c r="X3606" s="7">
        <f>IF($C3606="","",W3606-K3606)</f>
        <v/>
      </c>
      <c r="AB3606" s="7" t="n"/>
      <c r="AE3606" s="11" t="n"/>
      <c r="AG3606">
        <f>IF($C3606="","",IF(COUNTIF($C$2:$C3606,$C3606)=1,1,0))</f>
        <v/>
      </c>
      <c r="AH3606">
        <f>IF($AG3606=1,SUMPRODUCT(--($AK$2:$AK$6001&lt;$AK3606))+1,"")</f>
        <v/>
      </c>
      <c r="AI3606">
        <f>IF($C3606="","",IF(OR($N3606=TRUE(),$N3606="TRUE"),1,0))</f>
        <v/>
      </c>
      <c r="AJ3606">
        <f>IF($C3606="","",IF($T3606="Yes",1,0))</f>
        <v/>
      </c>
      <c r="AK3606">
        <f>IF($AG3606=1,IFERROR(IF(VALUE($C3606)&lt;100000000,VALUE($C3606),1000000000),IFERROR(IF(VALUE(MID($C3606,2,20))&lt;100000000,VALUE(MID($C3606,2,20)),1000000000),1000000000))+ROW()/100000,"")</f>
        <v/>
      </c>
    </row>
    <row r="3607">
      <c r="D3607" s="11" t="n"/>
      <c r="K3607" s="7">
        <f>IF($C3607="","",J3607*W3607/100)</f>
        <v/>
      </c>
      <c r="Q3607" s="7" t="n"/>
      <c r="R3607" s="7" t="n"/>
      <c r="U3607">
        <f>IF($C3607="","",IF($AJ3607=1,0,IF($AI3607=1,Settings!$C$6,Settings!$C$7))*100)</f>
        <v/>
      </c>
      <c r="V3607" s="7">
        <f>IF($C3607="","",R3607*U3607/100)</f>
        <v/>
      </c>
      <c r="W3607" s="7">
        <f>IF($C3607="","",R3607-V3607)</f>
        <v/>
      </c>
      <c r="X3607" s="7">
        <f>IF($C3607="","",W3607-K3607)</f>
        <v/>
      </c>
      <c r="AB3607" s="7" t="n"/>
      <c r="AE3607" s="11" t="n"/>
      <c r="AG3607">
        <f>IF($C3607="","",IF(COUNTIF($C$2:$C3607,$C3607)=1,1,0))</f>
        <v/>
      </c>
      <c r="AH3607">
        <f>IF($AG3607=1,SUMPRODUCT(--($AK$2:$AK$6001&lt;$AK3607))+1,"")</f>
        <v/>
      </c>
      <c r="AI3607">
        <f>IF($C3607="","",IF(OR($N3607=TRUE(),$N3607="TRUE"),1,0))</f>
        <v/>
      </c>
      <c r="AJ3607">
        <f>IF($C3607="","",IF($T3607="Yes",1,0))</f>
        <v/>
      </c>
      <c r="AK3607">
        <f>IF($AG3607=1,IFERROR(IF(VALUE($C3607)&lt;100000000,VALUE($C3607),1000000000),IFERROR(IF(VALUE(MID($C3607,2,20))&lt;100000000,VALUE(MID($C3607,2,20)),1000000000),1000000000))+ROW()/100000,"")</f>
        <v/>
      </c>
    </row>
    <row r="3608">
      <c r="D3608" s="11" t="n"/>
      <c r="K3608" s="7">
        <f>IF($C3608="","",J3608*W3608/100)</f>
        <v/>
      </c>
      <c r="Q3608" s="7" t="n"/>
      <c r="R3608" s="7" t="n"/>
      <c r="U3608">
        <f>IF($C3608="","",IF($AJ3608=1,0,IF($AI3608=1,Settings!$C$6,Settings!$C$7))*100)</f>
        <v/>
      </c>
      <c r="V3608" s="7">
        <f>IF($C3608="","",R3608*U3608/100)</f>
        <v/>
      </c>
      <c r="W3608" s="7">
        <f>IF($C3608="","",R3608-V3608)</f>
        <v/>
      </c>
      <c r="X3608" s="7">
        <f>IF($C3608="","",W3608-K3608)</f>
        <v/>
      </c>
      <c r="AB3608" s="7" t="n"/>
      <c r="AE3608" s="11" t="n"/>
      <c r="AG3608">
        <f>IF($C3608="","",IF(COUNTIF($C$2:$C3608,$C3608)=1,1,0))</f>
        <v/>
      </c>
      <c r="AH3608">
        <f>IF($AG3608=1,SUMPRODUCT(--($AK$2:$AK$6001&lt;$AK3608))+1,"")</f>
        <v/>
      </c>
      <c r="AI3608">
        <f>IF($C3608="","",IF(OR($N3608=TRUE(),$N3608="TRUE"),1,0))</f>
        <v/>
      </c>
      <c r="AJ3608">
        <f>IF($C3608="","",IF($T3608="Yes",1,0))</f>
        <v/>
      </c>
      <c r="AK3608">
        <f>IF($AG3608=1,IFERROR(IF(VALUE($C3608)&lt;100000000,VALUE($C3608),1000000000),IFERROR(IF(VALUE(MID($C3608,2,20))&lt;100000000,VALUE(MID($C3608,2,20)),1000000000),1000000000))+ROW()/100000,"")</f>
        <v/>
      </c>
    </row>
    <row r="3609">
      <c r="D3609" s="11" t="n"/>
      <c r="K3609" s="7">
        <f>IF($C3609="","",J3609*W3609/100)</f>
        <v/>
      </c>
      <c r="Q3609" s="7" t="n"/>
      <c r="R3609" s="7" t="n"/>
      <c r="U3609">
        <f>IF($C3609="","",IF($AJ3609=1,0,IF($AI3609=1,Settings!$C$6,Settings!$C$7))*100)</f>
        <v/>
      </c>
      <c r="V3609" s="7">
        <f>IF($C3609="","",R3609*U3609/100)</f>
        <v/>
      </c>
      <c r="W3609" s="7">
        <f>IF($C3609="","",R3609-V3609)</f>
        <v/>
      </c>
      <c r="X3609" s="7">
        <f>IF($C3609="","",W3609-K3609)</f>
        <v/>
      </c>
      <c r="AB3609" s="7" t="n"/>
      <c r="AE3609" s="11" t="n"/>
      <c r="AG3609">
        <f>IF($C3609="","",IF(COUNTIF($C$2:$C3609,$C3609)=1,1,0))</f>
        <v/>
      </c>
      <c r="AH3609">
        <f>IF($AG3609=1,SUMPRODUCT(--($AK$2:$AK$6001&lt;$AK3609))+1,"")</f>
        <v/>
      </c>
      <c r="AI3609">
        <f>IF($C3609="","",IF(OR($N3609=TRUE(),$N3609="TRUE"),1,0))</f>
        <v/>
      </c>
      <c r="AJ3609">
        <f>IF($C3609="","",IF($T3609="Yes",1,0))</f>
        <v/>
      </c>
      <c r="AK3609">
        <f>IF($AG3609=1,IFERROR(IF(VALUE($C3609)&lt;100000000,VALUE($C3609),1000000000),IFERROR(IF(VALUE(MID($C3609,2,20))&lt;100000000,VALUE(MID($C3609,2,20)),1000000000),1000000000))+ROW()/100000,"")</f>
        <v/>
      </c>
    </row>
    <row r="3610">
      <c r="D3610" s="11" t="n"/>
      <c r="K3610" s="7">
        <f>IF($C3610="","",J3610*W3610/100)</f>
        <v/>
      </c>
      <c r="Q3610" s="7" t="n"/>
      <c r="R3610" s="7" t="n"/>
      <c r="U3610">
        <f>IF($C3610="","",IF($AJ3610=1,0,IF($AI3610=1,Settings!$C$6,Settings!$C$7))*100)</f>
        <v/>
      </c>
      <c r="V3610" s="7">
        <f>IF($C3610="","",R3610*U3610/100)</f>
        <v/>
      </c>
      <c r="W3610" s="7">
        <f>IF($C3610="","",R3610-V3610)</f>
        <v/>
      </c>
      <c r="X3610" s="7">
        <f>IF($C3610="","",W3610-K3610)</f>
        <v/>
      </c>
      <c r="AB3610" s="7" t="n"/>
      <c r="AE3610" s="11" t="n"/>
      <c r="AG3610">
        <f>IF($C3610="","",IF(COUNTIF($C$2:$C3610,$C3610)=1,1,0))</f>
        <v/>
      </c>
      <c r="AH3610">
        <f>IF($AG3610=1,SUMPRODUCT(--($AK$2:$AK$6001&lt;$AK3610))+1,"")</f>
        <v/>
      </c>
      <c r="AI3610">
        <f>IF($C3610="","",IF(OR($N3610=TRUE(),$N3610="TRUE"),1,0))</f>
        <v/>
      </c>
      <c r="AJ3610">
        <f>IF($C3610="","",IF($T3610="Yes",1,0))</f>
        <v/>
      </c>
      <c r="AK3610">
        <f>IF($AG3610=1,IFERROR(IF(VALUE($C3610)&lt;100000000,VALUE($C3610),1000000000),IFERROR(IF(VALUE(MID($C3610,2,20))&lt;100000000,VALUE(MID($C3610,2,20)),1000000000),1000000000))+ROW()/100000,"")</f>
        <v/>
      </c>
    </row>
    <row r="3611">
      <c r="D3611" s="11" t="n"/>
      <c r="K3611" s="7">
        <f>IF($C3611="","",J3611*W3611/100)</f>
        <v/>
      </c>
      <c r="Q3611" s="7" t="n"/>
      <c r="R3611" s="7" t="n"/>
      <c r="U3611">
        <f>IF($C3611="","",IF($AJ3611=1,0,IF($AI3611=1,Settings!$C$6,Settings!$C$7))*100)</f>
        <v/>
      </c>
      <c r="V3611" s="7">
        <f>IF($C3611="","",R3611*U3611/100)</f>
        <v/>
      </c>
      <c r="W3611" s="7">
        <f>IF($C3611="","",R3611-V3611)</f>
        <v/>
      </c>
      <c r="X3611" s="7">
        <f>IF($C3611="","",W3611-K3611)</f>
        <v/>
      </c>
      <c r="AB3611" s="7" t="n"/>
      <c r="AE3611" s="11" t="n"/>
      <c r="AG3611">
        <f>IF($C3611="","",IF(COUNTIF($C$2:$C3611,$C3611)=1,1,0))</f>
        <v/>
      </c>
      <c r="AH3611">
        <f>IF($AG3611=1,SUMPRODUCT(--($AK$2:$AK$6001&lt;$AK3611))+1,"")</f>
        <v/>
      </c>
      <c r="AI3611">
        <f>IF($C3611="","",IF(OR($N3611=TRUE(),$N3611="TRUE"),1,0))</f>
        <v/>
      </c>
      <c r="AJ3611">
        <f>IF($C3611="","",IF($T3611="Yes",1,0))</f>
        <v/>
      </c>
      <c r="AK3611">
        <f>IF($AG3611=1,IFERROR(IF(VALUE($C3611)&lt;100000000,VALUE($C3611),1000000000),IFERROR(IF(VALUE(MID($C3611,2,20))&lt;100000000,VALUE(MID($C3611,2,20)),1000000000),1000000000))+ROW()/100000,"")</f>
        <v/>
      </c>
    </row>
    <row r="3612">
      <c r="D3612" s="11" t="n"/>
      <c r="K3612" s="7">
        <f>IF($C3612="","",J3612*W3612/100)</f>
        <v/>
      </c>
      <c r="Q3612" s="7" t="n"/>
      <c r="R3612" s="7" t="n"/>
      <c r="U3612">
        <f>IF($C3612="","",IF($AJ3612=1,0,IF($AI3612=1,Settings!$C$6,Settings!$C$7))*100)</f>
        <v/>
      </c>
      <c r="V3612" s="7">
        <f>IF($C3612="","",R3612*U3612/100)</f>
        <v/>
      </c>
      <c r="W3612" s="7">
        <f>IF($C3612="","",R3612-V3612)</f>
        <v/>
      </c>
      <c r="X3612" s="7">
        <f>IF($C3612="","",W3612-K3612)</f>
        <v/>
      </c>
      <c r="AB3612" s="7" t="n"/>
      <c r="AE3612" s="11" t="n"/>
      <c r="AG3612">
        <f>IF($C3612="","",IF(COUNTIF($C$2:$C3612,$C3612)=1,1,0))</f>
        <v/>
      </c>
      <c r="AH3612">
        <f>IF($AG3612=1,SUMPRODUCT(--($AK$2:$AK$6001&lt;$AK3612))+1,"")</f>
        <v/>
      </c>
      <c r="AI3612">
        <f>IF($C3612="","",IF(OR($N3612=TRUE(),$N3612="TRUE"),1,0))</f>
        <v/>
      </c>
      <c r="AJ3612">
        <f>IF($C3612="","",IF($T3612="Yes",1,0))</f>
        <v/>
      </c>
      <c r="AK3612">
        <f>IF($AG3612=1,IFERROR(IF(VALUE($C3612)&lt;100000000,VALUE($C3612),1000000000),IFERROR(IF(VALUE(MID($C3612,2,20))&lt;100000000,VALUE(MID($C3612,2,20)),1000000000),1000000000))+ROW()/100000,"")</f>
        <v/>
      </c>
    </row>
    <row r="3613">
      <c r="D3613" s="11" t="n"/>
      <c r="K3613" s="7">
        <f>IF($C3613="","",J3613*W3613/100)</f>
        <v/>
      </c>
      <c r="Q3613" s="7" t="n"/>
      <c r="R3613" s="7" t="n"/>
      <c r="U3613">
        <f>IF($C3613="","",IF($AJ3613=1,0,IF($AI3613=1,Settings!$C$6,Settings!$C$7))*100)</f>
        <v/>
      </c>
      <c r="V3613" s="7">
        <f>IF($C3613="","",R3613*U3613/100)</f>
        <v/>
      </c>
      <c r="W3613" s="7">
        <f>IF($C3613="","",R3613-V3613)</f>
        <v/>
      </c>
      <c r="X3613" s="7">
        <f>IF($C3613="","",W3613-K3613)</f>
        <v/>
      </c>
      <c r="AB3613" s="7" t="n"/>
      <c r="AE3613" s="11" t="n"/>
      <c r="AG3613">
        <f>IF($C3613="","",IF(COUNTIF($C$2:$C3613,$C3613)=1,1,0))</f>
        <v/>
      </c>
      <c r="AH3613">
        <f>IF($AG3613=1,SUMPRODUCT(--($AK$2:$AK$6001&lt;$AK3613))+1,"")</f>
        <v/>
      </c>
      <c r="AI3613">
        <f>IF($C3613="","",IF(OR($N3613=TRUE(),$N3613="TRUE"),1,0))</f>
        <v/>
      </c>
      <c r="AJ3613">
        <f>IF($C3613="","",IF($T3613="Yes",1,0))</f>
        <v/>
      </c>
      <c r="AK3613">
        <f>IF($AG3613=1,IFERROR(IF(VALUE($C3613)&lt;100000000,VALUE($C3613),1000000000),IFERROR(IF(VALUE(MID($C3613,2,20))&lt;100000000,VALUE(MID($C3613,2,20)),1000000000),1000000000))+ROW()/100000,"")</f>
        <v/>
      </c>
    </row>
    <row r="3614">
      <c r="D3614" s="11" t="n"/>
      <c r="K3614" s="7">
        <f>IF($C3614="","",J3614*W3614/100)</f>
        <v/>
      </c>
      <c r="Q3614" s="7" t="n"/>
      <c r="R3614" s="7" t="n"/>
      <c r="U3614">
        <f>IF($C3614="","",IF($AJ3614=1,0,IF($AI3614=1,Settings!$C$6,Settings!$C$7))*100)</f>
        <v/>
      </c>
      <c r="V3614" s="7">
        <f>IF($C3614="","",R3614*U3614/100)</f>
        <v/>
      </c>
      <c r="W3614" s="7">
        <f>IF($C3614="","",R3614-V3614)</f>
        <v/>
      </c>
      <c r="X3614" s="7">
        <f>IF($C3614="","",W3614-K3614)</f>
        <v/>
      </c>
      <c r="AB3614" s="7" t="n"/>
      <c r="AE3614" s="11" t="n"/>
      <c r="AG3614">
        <f>IF($C3614="","",IF(COUNTIF($C$2:$C3614,$C3614)=1,1,0))</f>
        <v/>
      </c>
      <c r="AH3614">
        <f>IF($AG3614=1,SUMPRODUCT(--($AK$2:$AK$6001&lt;$AK3614))+1,"")</f>
        <v/>
      </c>
      <c r="AI3614">
        <f>IF($C3614="","",IF(OR($N3614=TRUE(),$N3614="TRUE"),1,0))</f>
        <v/>
      </c>
      <c r="AJ3614">
        <f>IF($C3614="","",IF($T3614="Yes",1,0))</f>
        <v/>
      </c>
      <c r="AK3614">
        <f>IF($AG3614=1,IFERROR(IF(VALUE($C3614)&lt;100000000,VALUE($C3614),1000000000),IFERROR(IF(VALUE(MID($C3614,2,20))&lt;100000000,VALUE(MID($C3614,2,20)),1000000000),1000000000))+ROW()/100000,"")</f>
        <v/>
      </c>
    </row>
    <row r="3615">
      <c r="D3615" s="11" t="n"/>
      <c r="K3615" s="7">
        <f>IF($C3615="","",J3615*W3615/100)</f>
        <v/>
      </c>
      <c r="Q3615" s="7" t="n"/>
      <c r="R3615" s="7" t="n"/>
      <c r="U3615">
        <f>IF($C3615="","",IF($AJ3615=1,0,IF($AI3615=1,Settings!$C$6,Settings!$C$7))*100)</f>
        <v/>
      </c>
      <c r="V3615" s="7">
        <f>IF($C3615="","",R3615*U3615/100)</f>
        <v/>
      </c>
      <c r="W3615" s="7">
        <f>IF($C3615="","",R3615-V3615)</f>
        <v/>
      </c>
      <c r="X3615" s="7">
        <f>IF($C3615="","",W3615-K3615)</f>
        <v/>
      </c>
      <c r="AB3615" s="7" t="n"/>
      <c r="AE3615" s="11" t="n"/>
      <c r="AG3615">
        <f>IF($C3615="","",IF(COUNTIF($C$2:$C3615,$C3615)=1,1,0))</f>
        <v/>
      </c>
      <c r="AH3615">
        <f>IF($AG3615=1,SUMPRODUCT(--($AK$2:$AK$6001&lt;$AK3615))+1,"")</f>
        <v/>
      </c>
      <c r="AI3615">
        <f>IF($C3615="","",IF(OR($N3615=TRUE(),$N3615="TRUE"),1,0))</f>
        <v/>
      </c>
      <c r="AJ3615">
        <f>IF($C3615="","",IF($T3615="Yes",1,0))</f>
        <v/>
      </c>
      <c r="AK3615">
        <f>IF($AG3615=1,IFERROR(IF(VALUE($C3615)&lt;100000000,VALUE($C3615),1000000000),IFERROR(IF(VALUE(MID($C3615,2,20))&lt;100000000,VALUE(MID($C3615,2,20)),1000000000),1000000000))+ROW()/100000,"")</f>
        <v/>
      </c>
    </row>
    <row r="3616">
      <c r="D3616" s="11" t="n"/>
      <c r="K3616" s="7">
        <f>IF($C3616="","",J3616*W3616/100)</f>
        <v/>
      </c>
      <c r="Q3616" s="7" t="n"/>
      <c r="R3616" s="7" t="n"/>
      <c r="U3616">
        <f>IF($C3616="","",IF($AJ3616=1,0,IF($AI3616=1,Settings!$C$6,Settings!$C$7))*100)</f>
        <v/>
      </c>
      <c r="V3616" s="7">
        <f>IF($C3616="","",R3616*U3616/100)</f>
        <v/>
      </c>
      <c r="W3616" s="7">
        <f>IF($C3616="","",R3616-V3616)</f>
        <v/>
      </c>
      <c r="X3616" s="7">
        <f>IF($C3616="","",W3616-K3616)</f>
        <v/>
      </c>
      <c r="AB3616" s="7" t="n"/>
      <c r="AE3616" s="11" t="n"/>
      <c r="AG3616">
        <f>IF($C3616="","",IF(COUNTIF($C$2:$C3616,$C3616)=1,1,0))</f>
        <v/>
      </c>
      <c r="AH3616">
        <f>IF($AG3616=1,SUMPRODUCT(--($AK$2:$AK$6001&lt;$AK3616))+1,"")</f>
        <v/>
      </c>
      <c r="AI3616">
        <f>IF($C3616="","",IF(OR($N3616=TRUE(),$N3616="TRUE"),1,0))</f>
        <v/>
      </c>
      <c r="AJ3616">
        <f>IF($C3616="","",IF($T3616="Yes",1,0))</f>
        <v/>
      </c>
      <c r="AK3616">
        <f>IF($AG3616=1,IFERROR(IF(VALUE($C3616)&lt;100000000,VALUE($C3616),1000000000),IFERROR(IF(VALUE(MID($C3616,2,20))&lt;100000000,VALUE(MID($C3616,2,20)),1000000000),1000000000))+ROW()/100000,"")</f>
        <v/>
      </c>
    </row>
    <row r="3617">
      <c r="D3617" s="11" t="n"/>
      <c r="K3617" s="7">
        <f>IF($C3617="","",J3617*W3617/100)</f>
        <v/>
      </c>
      <c r="Q3617" s="7" t="n"/>
      <c r="R3617" s="7" t="n"/>
      <c r="U3617">
        <f>IF($C3617="","",IF($AJ3617=1,0,IF($AI3617=1,Settings!$C$6,Settings!$C$7))*100)</f>
        <v/>
      </c>
      <c r="V3617" s="7">
        <f>IF($C3617="","",R3617*U3617/100)</f>
        <v/>
      </c>
      <c r="W3617" s="7">
        <f>IF($C3617="","",R3617-V3617)</f>
        <v/>
      </c>
      <c r="X3617" s="7">
        <f>IF($C3617="","",W3617-K3617)</f>
        <v/>
      </c>
      <c r="AB3617" s="7" t="n"/>
      <c r="AE3617" s="11" t="n"/>
      <c r="AG3617">
        <f>IF($C3617="","",IF(COUNTIF($C$2:$C3617,$C3617)=1,1,0))</f>
        <v/>
      </c>
      <c r="AH3617">
        <f>IF($AG3617=1,SUMPRODUCT(--($AK$2:$AK$6001&lt;$AK3617))+1,"")</f>
        <v/>
      </c>
      <c r="AI3617">
        <f>IF($C3617="","",IF(OR($N3617=TRUE(),$N3617="TRUE"),1,0))</f>
        <v/>
      </c>
      <c r="AJ3617">
        <f>IF($C3617="","",IF($T3617="Yes",1,0))</f>
        <v/>
      </c>
      <c r="AK3617">
        <f>IF($AG3617=1,IFERROR(IF(VALUE($C3617)&lt;100000000,VALUE($C3617),1000000000),IFERROR(IF(VALUE(MID($C3617,2,20))&lt;100000000,VALUE(MID($C3617,2,20)),1000000000),1000000000))+ROW()/100000,"")</f>
        <v/>
      </c>
    </row>
    <row r="3618">
      <c r="D3618" s="11" t="n"/>
      <c r="K3618" s="7">
        <f>IF($C3618="","",J3618*W3618/100)</f>
        <v/>
      </c>
      <c r="Q3618" s="7" t="n"/>
      <c r="R3618" s="7" t="n"/>
      <c r="U3618">
        <f>IF($C3618="","",IF($AJ3618=1,0,IF($AI3618=1,Settings!$C$6,Settings!$C$7))*100)</f>
        <v/>
      </c>
      <c r="V3618" s="7">
        <f>IF($C3618="","",R3618*U3618/100)</f>
        <v/>
      </c>
      <c r="W3618" s="7">
        <f>IF($C3618="","",R3618-V3618)</f>
        <v/>
      </c>
      <c r="X3618" s="7">
        <f>IF($C3618="","",W3618-K3618)</f>
        <v/>
      </c>
      <c r="AB3618" s="7" t="n"/>
      <c r="AE3618" s="11" t="n"/>
      <c r="AG3618">
        <f>IF($C3618="","",IF(COUNTIF($C$2:$C3618,$C3618)=1,1,0))</f>
        <v/>
      </c>
      <c r="AH3618">
        <f>IF($AG3618=1,SUMPRODUCT(--($AK$2:$AK$6001&lt;$AK3618))+1,"")</f>
        <v/>
      </c>
      <c r="AI3618">
        <f>IF($C3618="","",IF(OR($N3618=TRUE(),$N3618="TRUE"),1,0))</f>
        <v/>
      </c>
      <c r="AJ3618">
        <f>IF($C3618="","",IF($T3618="Yes",1,0))</f>
        <v/>
      </c>
      <c r="AK3618">
        <f>IF($AG3618=1,IFERROR(IF(VALUE($C3618)&lt;100000000,VALUE($C3618),1000000000),IFERROR(IF(VALUE(MID($C3618,2,20))&lt;100000000,VALUE(MID($C3618,2,20)),1000000000),1000000000))+ROW()/100000,"")</f>
        <v/>
      </c>
    </row>
    <row r="3619">
      <c r="D3619" s="11" t="n"/>
      <c r="K3619" s="7">
        <f>IF($C3619="","",J3619*W3619/100)</f>
        <v/>
      </c>
      <c r="Q3619" s="7" t="n"/>
      <c r="R3619" s="7" t="n"/>
      <c r="U3619">
        <f>IF($C3619="","",IF($AJ3619=1,0,IF($AI3619=1,Settings!$C$6,Settings!$C$7))*100)</f>
        <v/>
      </c>
      <c r="V3619" s="7">
        <f>IF($C3619="","",R3619*U3619/100)</f>
        <v/>
      </c>
      <c r="W3619" s="7">
        <f>IF($C3619="","",R3619-V3619)</f>
        <v/>
      </c>
      <c r="X3619" s="7">
        <f>IF($C3619="","",W3619-K3619)</f>
        <v/>
      </c>
      <c r="AB3619" s="7" t="n"/>
      <c r="AE3619" s="11" t="n"/>
      <c r="AG3619">
        <f>IF($C3619="","",IF(COUNTIF($C$2:$C3619,$C3619)=1,1,0))</f>
        <v/>
      </c>
      <c r="AH3619">
        <f>IF($AG3619=1,SUMPRODUCT(--($AK$2:$AK$6001&lt;$AK3619))+1,"")</f>
        <v/>
      </c>
      <c r="AI3619">
        <f>IF($C3619="","",IF(OR($N3619=TRUE(),$N3619="TRUE"),1,0))</f>
        <v/>
      </c>
      <c r="AJ3619">
        <f>IF($C3619="","",IF($T3619="Yes",1,0))</f>
        <v/>
      </c>
      <c r="AK3619">
        <f>IF($AG3619=1,IFERROR(IF(VALUE($C3619)&lt;100000000,VALUE($C3619),1000000000),IFERROR(IF(VALUE(MID($C3619,2,20))&lt;100000000,VALUE(MID($C3619,2,20)),1000000000),1000000000))+ROW()/100000,"")</f>
        <v/>
      </c>
    </row>
    <row r="3620">
      <c r="D3620" s="11" t="n"/>
      <c r="K3620" s="7">
        <f>IF($C3620="","",J3620*W3620/100)</f>
        <v/>
      </c>
      <c r="Q3620" s="7" t="n"/>
      <c r="R3620" s="7" t="n"/>
      <c r="U3620">
        <f>IF($C3620="","",IF($AJ3620=1,0,IF($AI3620=1,Settings!$C$6,Settings!$C$7))*100)</f>
        <v/>
      </c>
      <c r="V3620" s="7">
        <f>IF($C3620="","",R3620*U3620/100)</f>
        <v/>
      </c>
      <c r="W3620" s="7">
        <f>IF($C3620="","",R3620-V3620)</f>
        <v/>
      </c>
      <c r="X3620" s="7">
        <f>IF($C3620="","",W3620-K3620)</f>
        <v/>
      </c>
      <c r="AB3620" s="7" t="n"/>
      <c r="AE3620" s="11" t="n"/>
      <c r="AG3620">
        <f>IF($C3620="","",IF(COUNTIF($C$2:$C3620,$C3620)=1,1,0))</f>
        <v/>
      </c>
      <c r="AH3620">
        <f>IF($AG3620=1,SUMPRODUCT(--($AK$2:$AK$6001&lt;$AK3620))+1,"")</f>
        <v/>
      </c>
      <c r="AI3620">
        <f>IF($C3620="","",IF(OR($N3620=TRUE(),$N3620="TRUE"),1,0))</f>
        <v/>
      </c>
      <c r="AJ3620">
        <f>IF($C3620="","",IF($T3620="Yes",1,0))</f>
        <v/>
      </c>
      <c r="AK3620">
        <f>IF($AG3620=1,IFERROR(IF(VALUE($C3620)&lt;100000000,VALUE($C3620),1000000000),IFERROR(IF(VALUE(MID($C3620,2,20))&lt;100000000,VALUE(MID($C3620,2,20)),1000000000),1000000000))+ROW()/100000,"")</f>
        <v/>
      </c>
    </row>
    <row r="3621">
      <c r="D3621" s="11" t="n"/>
      <c r="K3621" s="7">
        <f>IF($C3621="","",J3621*W3621/100)</f>
        <v/>
      </c>
      <c r="Q3621" s="7" t="n"/>
      <c r="R3621" s="7" t="n"/>
      <c r="U3621">
        <f>IF($C3621="","",IF($AJ3621=1,0,IF($AI3621=1,Settings!$C$6,Settings!$C$7))*100)</f>
        <v/>
      </c>
      <c r="V3621" s="7">
        <f>IF($C3621="","",R3621*U3621/100)</f>
        <v/>
      </c>
      <c r="W3621" s="7">
        <f>IF($C3621="","",R3621-V3621)</f>
        <v/>
      </c>
      <c r="X3621" s="7">
        <f>IF($C3621="","",W3621-K3621)</f>
        <v/>
      </c>
      <c r="AB3621" s="7" t="n"/>
      <c r="AE3621" s="11" t="n"/>
      <c r="AG3621">
        <f>IF($C3621="","",IF(COUNTIF($C$2:$C3621,$C3621)=1,1,0))</f>
        <v/>
      </c>
      <c r="AH3621">
        <f>IF($AG3621=1,SUMPRODUCT(--($AK$2:$AK$6001&lt;$AK3621))+1,"")</f>
        <v/>
      </c>
      <c r="AI3621">
        <f>IF($C3621="","",IF(OR($N3621=TRUE(),$N3621="TRUE"),1,0))</f>
        <v/>
      </c>
      <c r="AJ3621">
        <f>IF($C3621="","",IF($T3621="Yes",1,0))</f>
        <v/>
      </c>
      <c r="AK3621">
        <f>IF($AG3621=1,IFERROR(IF(VALUE($C3621)&lt;100000000,VALUE($C3621),1000000000),IFERROR(IF(VALUE(MID($C3621,2,20))&lt;100000000,VALUE(MID($C3621,2,20)),1000000000),1000000000))+ROW()/100000,"")</f>
        <v/>
      </c>
    </row>
    <row r="3622">
      <c r="D3622" s="11" t="n"/>
      <c r="K3622" s="7">
        <f>IF($C3622="","",J3622*W3622/100)</f>
        <v/>
      </c>
      <c r="Q3622" s="7" t="n"/>
      <c r="R3622" s="7" t="n"/>
      <c r="U3622">
        <f>IF($C3622="","",IF($AJ3622=1,0,IF($AI3622=1,Settings!$C$6,Settings!$C$7))*100)</f>
        <v/>
      </c>
      <c r="V3622" s="7">
        <f>IF($C3622="","",R3622*U3622/100)</f>
        <v/>
      </c>
      <c r="W3622" s="7">
        <f>IF($C3622="","",R3622-V3622)</f>
        <v/>
      </c>
      <c r="X3622" s="7">
        <f>IF($C3622="","",W3622-K3622)</f>
        <v/>
      </c>
      <c r="AB3622" s="7" t="n"/>
      <c r="AE3622" s="11" t="n"/>
      <c r="AG3622">
        <f>IF($C3622="","",IF(COUNTIF($C$2:$C3622,$C3622)=1,1,0))</f>
        <v/>
      </c>
      <c r="AH3622">
        <f>IF($AG3622=1,SUMPRODUCT(--($AK$2:$AK$6001&lt;$AK3622))+1,"")</f>
        <v/>
      </c>
      <c r="AI3622">
        <f>IF($C3622="","",IF(OR($N3622=TRUE(),$N3622="TRUE"),1,0))</f>
        <v/>
      </c>
      <c r="AJ3622">
        <f>IF($C3622="","",IF($T3622="Yes",1,0))</f>
        <v/>
      </c>
      <c r="AK3622">
        <f>IF($AG3622=1,IFERROR(IF(VALUE($C3622)&lt;100000000,VALUE($C3622),1000000000),IFERROR(IF(VALUE(MID($C3622,2,20))&lt;100000000,VALUE(MID($C3622,2,20)),1000000000),1000000000))+ROW()/100000,"")</f>
        <v/>
      </c>
    </row>
    <row r="3623">
      <c r="D3623" s="11" t="n"/>
      <c r="K3623" s="7">
        <f>IF($C3623="","",J3623*W3623/100)</f>
        <v/>
      </c>
      <c r="Q3623" s="7" t="n"/>
      <c r="R3623" s="7" t="n"/>
      <c r="U3623">
        <f>IF($C3623="","",IF($AJ3623=1,0,IF($AI3623=1,Settings!$C$6,Settings!$C$7))*100)</f>
        <v/>
      </c>
      <c r="V3623" s="7">
        <f>IF($C3623="","",R3623*U3623/100)</f>
        <v/>
      </c>
      <c r="W3623" s="7">
        <f>IF($C3623="","",R3623-V3623)</f>
        <v/>
      </c>
      <c r="X3623" s="7">
        <f>IF($C3623="","",W3623-K3623)</f>
        <v/>
      </c>
      <c r="AB3623" s="7" t="n"/>
      <c r="AE3623" s="11" t="n"/>
      <c r="AG3623">
        <f>IF($C3623="","",IF(COUNTIF($C$2:$C3623,$C3623)=1,1,0))</f>
        <v/>
      </c>
      <c r="AH3623">
        <f>IF($AG3623=1,SUMPRODUCT(--($AK$2:$AK$6001&lt;$AK3623))+1,"")</f>
        <v/>
      </c>
      <c r="AI3623">
        <f>IF($C3623="","",IF(OR($N3623=TRUE(),$N3623="TRUE"),1,0))</f>
        <v/>
      </c>
      <c r="AJ3623">
        <f>IF($C3623="","",IF($T3623="Yes",1,0))</f>
        <v/>
      </c>
      <c r="AK3623">
        <f>IF($AG3623=1,IFERROR(IF(VALUE($C3623)&lt;100000000,VALUE($C3623),1000000000),IFERROR(IF(VALUE(MID($C3623,2,20))&lt;100000000,VALUE(MID($C3623,2,20)),1000000000),1000000000))+ROW()/100000,"")</f>
        <v/>
      </c>
    </row>
    <row r="3624">
      <c r="D3624" s="11" t="n"/>
      <c r="K3624" s="7">
        <f>IF($C3624="","",J3624*W3624/100)</f>
        <v/>
      </c>
      <c r="Q3624" s="7" t="n"/>
      <c r="R3624" s="7" t="n"/>
      <c r="U3624">
        <f>IF($C3624="","",IF($AJ3624=1,0,IF($AI3624=1,Settings!$C$6,Settings!$C$7))*100)</f>
        <v/>
      </c>
      <c r="V3624" s="7">
        <f>IF($C3624="","",R3624*U3624/100)</f>
        <v/>
      </c>
      <c r="W3624" s="7">
        <f>IF($C3624="","",R3624-V3624)</f>
        <v/>
      </c>
      <c r="X3624" s="7">
        <f>IF($C3624="","",W3624-K3624)</f>
        <v/>
      </c>
      <c r="AB3624" s="7" t="n"/>
      <c r="AE3624" s="11" t="n"/>
      <c r="AG3624">
        <f>IF($C3624="","",IF(COUNTIF($C$2:$C3624,$C3624)=1,1,0))</f>
        <v/>
      </c>
      <c r="AH3624">
        <f>IF($AG3624=1,SUMPRODUCT(--($AK$2:$AK$6001&lt;$AK3624))+1,"")</f>
        <v/>
      </c>
      <c r="AI3624">
        <f>IF($C3624="","",IF(OR($N3624=TRUE(),$N3624="TRUE"),1,0))</f>
        <v/>
      </c>
      <c r="AJ3624">
        <f>IF($C3624="","",IF($T3624="Yes",1,0))</f>
        <v/>
      </c>
      <c r="AK3624">
        <f>IF($AG3624=1,IFERROR(IF(VALUE($C3624)&lt;100000000,VALUE($C3624),1000000000),IFERROR(IF(VALUE(MID($C3624,2,20))&lt;100000000,VALUE(MID($C3624,2,20)),1000000000),1000000000))+ROW()/100000,"")</f>
        <v/>
      </c>
    </row>
    <row r="3625">
      <c r="D3625" s="11" t="n"/>
      <c r="K3625" s="7">
        <f>IF($C3625="","",J3625*W3625/100)</f>
        <v/>
      </c>
      <c r="Q3625" s="7" t="n"/>
      <c r="R3625" s="7" t="n"/>
      <c r="U3625">
        <f>IF($C3625="","",IF($AJ3625=1,0,IF($AI3625=1,Settings!$C$6,Settings!$C$7))*100)</f>
        <v/>
      </c>
      <c r="V3625" s="7">
        <f>IF($C3625="","",R3625*U3625/100)</f>
        <v/>
      </c>
      <c r="W3625" s="7">
        <f>IF($C3625="","",R3625-V3625)</f>
        <v/>
      </c>
      <c r="X3625" s="7">
        <f>IF($C3625="","",W3625-K3625)</f>
        <v/>
      </c>
      <c r="AB3625" s="7" t="n"/>
      <c r="AE3625" s="11" t="n"/>
      <c r="AG3625">
        <f>IF($C3625="","",IF(COUNTIF($C$2:$C3625,$C3625)=1,1,0))</f>
        <v/>
      </c>
      <c r="AH3625">
        <f>IF($AG3625=1,SUMPRODUCT(--($AK$2:$AK$6001&lt;$AK3625))+1,"")</f>
        <v/>
      </c>
      <c r="AI3625">
        <f>IF($C3625="","",IF(OR($N3625=TRUE(),$N3625="TRUE"),1,0))</f>
        <v/>
      </c>
      <c r="AJ3625">
        <f>IF($C3625="","",IF($T3625="Yes",1,0))</f>
        <v/>
      </c>
      <c r="AK3625">
        <f>IF($AG3625=1,IFERROR(IF(VALUE($C3625)&lt;100000000,VALUE($C3625),1000000000),IFERROR(IF(VALUE(MID($C3625,2,20))&lt;100000000,VALUE(MID($C3625,2,20)),1000000000),1000000000))+ROW()/100000,"")</f>
        <v/>
      </c>
    </row>
    <row r="3626">
      <c r="D3626" s="11" t="n"/>
      <c r="K3626" s="7">
        <f>IF($C3626="","",J3626*W3626/100)</f>
        <v/>
      </c>
      <c r="Q3626" s="7" t="n"/>
      <c r="R3626" s="7" t="n"/>
      <c r="U3626">
        <f>IF($C3626="","",IF($AJ3626=1,0,IF($AI3626=1,Settings!$C$6,Settings!$C$7))*100)</f>
        <v/>
      </c>
      <c r="V3626" s="7">
        <f>IF($C3626="","",R3626*U3626/100)</f>
        <v/>
      </c>
      <c r="W3626" s="7">
        <f>IF($C3626="","",R3626-V3626)</f>
        <v/>
      </c>
      <c r="X3626" s="7">
        <f>IF($C3626="","",W3626-K3626)</f>
        <v/>
      </c>
      <c r="AB3626" s="7" t="n"/>
      <c r="AE3626" s="11" t="n"/>
      <c r="AG3626">
        <f>IF($C3626="","",IF(COUNTIF($C$2:$C3626,$C3626)=1,1,0))</f>
        <v/>
      </c>
      <c r="AH3626">
        <f>IF($AG3626=1,SUMPRODUCT(--($AK$2:$AK$6001&lt;$AK3626))+1,"")</f>
        <v/>
      </c>
      <c r="AI3626">
        <f>IF($C3626="","",IF(OR($N3626=TRUE(),$N3626="TRUE"),1,0))</f>
        <v/>
      </c>
      <c r="AJ3626">
        <f>IF($C3626="","",IF($T3626="Yes",1,0))</f>
        <v/>
      </c>
      <c r="AK3626">
        <f>IF($AG3626=1,IFERROR(IF(VALUE($C3626)&lt;100000000,VALUE($C3626),1000000000),IFERROR(IF(VALUE(MID($C3626,2,20))&lt;100000000,VALUE(MID($C3626,2,20)),1000000000),1000000000))+ROW()/100000,"")</f>
        <v/>
      </c>
    </row>
    <row r="3627">
      <c r="D3627" s="11" t="n"/>
      <c r="K3627" s="7">
        <f>IF($C3627="","",J3627*W3627/100)</f>
        <v/>
      </c>
      <c r="Q3627" s="7" t="n"/>
      <c r="R3627" s="7" t="n"/>
      <c r="U3627">
        <f>IF($C3627="","",IF($AJ3627=1,0,IF($AI3627=1,Settings!$C$6,Settings!$C$7))*100)</f>
        <v/>
      </c>
      <c r="V3627" s="7">
        <f>IF($C3627="","",R3627*U3627/100)</f>
        <v/>
      </c>
      <c r="W3627" s="7">
        <f>IF($C3627="","",R3627-V3627)</f>
        <v/>
      </c>
      <c r="X3627" s="7">
        <f>IF($C3627="","",W3627-K3627)</f>
        <v/>
      </c>
      <c r="AB3627" s="7" t="n"/>
      <c r="AE3627" s="11" t="n"/>
      <c r="AG3627">
        <f>IF($C3627="","",IF(COUNTIF($C$2:$C3627,$C3627)=1,1,0))</f>
        <v/>
      </c>
      <c r="AH3627">
        <f>IF($AG3627=1,SUMPRODUCT(--($AK$2:$AK$6001&lt;$AK3627))+1,"")</f>
        <v/>
      </c>
      <c r="AI3627">
        <f>IF($C3627="","",IF(OR($N3627=TRUE(),$N3627="TRUE"),1,0))</f>
        <v/>
      </c>
      <c r="AJ3627">
        <f>IF($C3627="","",IF($T3627="Yes",1,0))</f>
        <v/>
      </c>
      <c r="AK3627">
        <f>IF($AG3627=1,IFERROR(IF(VALUE($C3627)&lt;100000000,VALUE($C3627),1000000000),IFERROR(IF(VALUE(MID($C3627,2,20))&lt;100000000,VALUE(MID($C3627,2,20)),1000000000),1000000000))+ROW()/100000,"")</f>
        <v/>
      </c>
    </row>
    <row r="3628">
      <c r="D3628" s="11" t="n"/>
      <c r="K3628" s="7">
        <f>IF($C3628="","",J3628*W3628/100)</f>
        <v/>
      </c>
      <c r="Q3628" s="7" t="n"/>
      <c r="R3628" s="7" t="n"/>
      <c r="U3628">
        <f>IF($C3628="","",IF($AJ3628=1,0,IF($AI3628=1,Settings!$C$6,Settings!$C$7))*100)</f>
        <v/>
      </c>
      <c r="V3628" s="7">
        <f>IF($C3628="","",R3628*U3628/100)</f>
        <v/>
      </c>
      <c r="W3628" s="7">
        <f>IF($C3628="","",R3628-V3628)</f>
        <v/>
      </c>
      <c r="X3628" s="7">
        <f>IF($C3628="","",W3628-K3628)</f>
        <v/>
      </c>
      <c r="AB3628" s="7" t="n"/>
      <c r="AE3628" s="11" t="n"/>
      <c r="AG3628">
        <f>IF($C3628="","",IF(COUNTIF($C$2:$C3628,$C3628)=1,1,0))</f>
        <v/>
      </c>
      <c r="AH3628">
        <f>IF($AG3628=1,SUMPRODUCT(--($AK$2:$AK$6001&lt;$AK3628))+1,"")</f>
        <v/>
      </c>
      <c r="AI3628">
        <f>IF($C3628="","",IF(OR($N3628=TRUE(),$N3628="TRUE"),1,0))</f>
        <v/>
      </c>
      <c r="AJ3628">
        <f>IF($C3628="","",IF($T3628="Yes",1,0))</f>
        <v/>
      </c>
      <c r="AK3628">
        <f>IF($AG3628=1,IFERROR(IF(VALUE($C3628)&lt;100000000,VALUE($C3628),1000000000),IFERROR(IF(VALUE(MID($C3628,2,20))&lt;100000000,VALUE(MID($C3628,2,20)),1000000000),1000000000))+ROW()/100000,"")</f>
        <v/>
      </c>
    </row>
    <row r="3629">
      <c r="D3629" s="11" t="n"/>
      <c r="K3629" s="7">
        <f>IF($C3629="","",J3629*W3629/100)</f>
        <v/>
      </c>
      <c r="Q3629" s="7" t="n"/>
      <c r="R3629" s="7" t="n"/>
      <c r="U3629">
        <f>IF($C3629="","",IF($AJ3629=1,0,IF($AI3629=1,Settings!$C$6,Settings!$C$7))*100)</f>
        <v/>
      </c>
      <c r="V3629" s="7">
        <f>IF($C3629="","",R3629*U3629/100)</f>
        <v/>
      </c>
      <c r="W3629" s="7">
        <f>IF($C3629="","",R3629-V3629)</f>
        <v/>
      </c>
      <c r="X3629" s="7">
        <f>IF($C3629="","",W3629-K3629)</f>
        <v/>
      </c>
      <c r="AB3629" s="7" t="n"/>
      <c r="AE3629" s="11" t="n"/>
      <c r="AG3629">
        <f>IF($C3629="","",IF(COUNTIF($C$2:$C3629,$C3629)=1,1,0))</f>
        <v/>
      </c>
      <c r="AH3629">
        <f>IF($AG3629=1,SUMPRODUCT(--($AK$2:$AK$6001&lt;$AK3629))+1,"")</f>
        <v/>
      </c>
      <c r="AI3629">
        <f>IF($C3629="","",IF(OR($N3629=TRUE(),$N3629="TRUE"),1,0))</f>
        <v/>
      </c>
      <c r="AJ3629">
        <f>IF($C3629="","",IF($T3629="Yes",1,0))</f>
        <v/>
      </c>
      <c r="AK3629">
        <f>IF($AG3629=1,IFERROR(IF(VALUE($C3629)&lt;100000000,VALUE($C3629),1000000000),IFERROR(IF(VALUE(MID($C3629,2,20))&lt;100000000,VALUE(MID($C3629,2,20)),1000000000),1000000000))+ROW()/100000,"")</f>
        <v/>
      </c>
    </row>
    <row r="3630">
      <c r="D3630" s="11" t="n"/>
      <c r="K3630" s="7">
        <f>IF($C3630="","",J3630*W3630/100)</f>
        <v/>
      </c>
      <c r="Q3630" s="7" t="n"/>
      <c r="R3630" s="7" t="n"/>
      <c r="U3630">
        <f>IF($C3630="","",IF($AJ3630=1,0,IF($AI3630=1,Settings!$C$6,Settings!$C$7))*100)</f>
        <v/>
      </c>
      <c r="V3630" s="7">
        <f>IF($C3630="","",R3630*U3630/100)</f>
        <v/>
      </c>
      <c r="W3630" s="7">
        <f>IF($C3630="","",R3630-V3630)</f>
        <v/>
      </c>
      <c r="X3630" s="7">
        <f>IF($C3630="","",W3630-K3630)</f>
        <v/>
      </c>
      <c r="AB3630" s="7" t="n"/>
      <c r="AE3630" s="11" t="n"/>
      <c r="AG3630">
        <f>IF($C3630="","",IF(COUNTIF($C$2:$C3630,$C3630)=1,1,0))</f>
        <v/>
      </c>
      <c r="AH3630">
        <f>IF($AG3630=1,SUMPRODUCT(--($AK$2:$AK$6001&lt;$AK3630))+1,"")</f>
        <v/>
      </c>
      <c r="AI3630">
        <f>IF($C3630="","",IF(OR($N3630=TRUE(),$N3630="TRUE"),1,0))</f>
        <v/>
      </c>
      <c r="AJ3630">
        <f>IF($C3630="","",IF($T3630="Yes",1,0))</f>
        <v/>
      </c>
      <c r="AK3630">
        <f>IF($AG3630=1,IFERROR(IF(VALUE($C3630)&lt;100000000,VALUE($C3630),1000000000),IFERROR(IF(VALUE(MID($C3630,2,20))&lt;100000000,VALUE(MID($C3630,2,20)),1000000000),1000000000))+ROW()/100000,"")</f>
        <v/>
      </c>
    </row>
    <row r="3631">
      <c r="D3631" s="11" t="n"/>
      <c r="K3631" s="7">
        <f>IF($C3631="","",J3631*W3631/100)</f>
        <v/>
      </c>
      <c r="Q3631" s="7" t="n"/>
      <c r="R3631" s="7" t="n"/>
      <c r="U3631">
        <f>IF($C3631="","",IF($AJ3631=1,0,IF($AI3631=1,Settings!$C$6,Settings!$C$7))*100)</f>
        <v/>
      </c>
      <c r="V3631" s="7">
        <f>IF($C3631="","",R3631*U3631/100)</f>
        <v/>
      </c>
      <c r="W3631" s="7">
        <f>IF($C3631="","",R3631-V3631)</f>
        <v/>
      </c>
      <c r="X3631" s="7">
        <f>IF($C3631="","",W3631-K3631)</f>
        <v/>
      </c>
      <c r="AB3631" s="7" t="n"/>
      <c r="AE3631" s="11" t="n"/>
      <c r="AG3631">
        <f>IF($C3631="","",IF(COUNTIF($C$2:$C3631,$C3631)=1,1,0))</f>
        <v/>
      </c>
      <c r="AH3631">
        <f>IF($AG3631=1,SUMPRODUCT(--($AK$2:$AK$6001&lt;$AK3631))+1,"")</f>
        <v/>
      </c>
      <c r="AI3631">
        <f>IF($C3631="","",IF(OR($N3631=TRUE(),$N3631="TRUE"),1,0))</f>
        <v/>
      </c>
      <c r="AJ3631">
        <f>IF($C3631="","",IF($T3631="Yes",1,0))</f>
        <v/>
      </c>
      <c r="AK3631">
        <f>IF($AG3631=1,IFERROR(IF(VALUE($C3631)&lt;100000000,VALUE($C3631),1000000000),IFERROR(IF(VALUE(MID($C3631,2,20))&lt;100000000,VALUE(MID($C3631,2,20)),1000000000),1000000000))+ROW()/100000,"")</f>
        <v/>
      </c>
    </row>
    <row r="3632">
      <c r="D3632" s="11" t="n"/>
      <c r="K3632" s="7">
        <f>IF($C3632="","",J3632*W3632/100)</f>
        <v/>
      </c>
      <c r="Q3632" s="7" t="n"/>
      <c r="R3632" s="7" t="n"/>
      <c r="U3632">
        <f>IF($C3632="","",IF($AJ3632=1,0,IF($AI3632=1,Settings!$C$6,Settings!$C$7))*100)</f>
        <v/>
      </c>
      <c r="V3632" s="7">
        <f>IF($C3632="","",R3632*U3632/100)</f>
        <v/>
      </c>
      <c r="W3632" s="7">
        <f>IF($C3632="","",R3632-V3632)</f>
        <v/>
      </c>
      <c r="X3632" s="7">
        <f>IF($C3632="","",W3632-K3632)</f>
        <v/>
      </c>
      <c r="AB3632" s="7" t="n"/>
      <c r="AE3632" s="11" t="n"/>
      <c r="AG3632">
        <f>IF($C3632="","",IF(COUNTIF($C$2:$C3632,$C3632)=1,1,0))</f>
        <v/>
      </c>
      <c r="AH3632">
        <f>IF($AG3632=1,SUMPRODUCT(--($AK$2:$AK$6001&lt;$AK3632))+1,"")</f>
        <v/>
      </c>
      <c r="AI3632">
        <f>IF($C3632="","",IF(OR($N3632=TRUE(),$N3632="TRUE"),1,0))</f>
        <v/>
      </c>
      <c r="AJ3632">
        <f>IF($C3632="","",IF($T3632="Yes",1,0))</f>
        <v/>
      </c>
      <c r="AK3632">
        <f>IF($AG3632=1,IFERROR(IF(VALUE($C3632)&lt;100000000,VALUE($C3632),1000000000),IFERROR(IF(VALUE(MID($C3632,2,20))&lt;100000000,VALUE(MID($C3632,2,20)),1000000000),1000000000))+ROW()/100000,"")</f>
        <v/>
      </c>
    </row>
    <row r="3633">
      <c r="D3633" s="11" t="n"/>
      <c r="K3633" s="7">
        <f>IF($C3633="","",J3633*W3633/100)</f>
        <v/>
      </c>
      <c r="Q3633" s="7" t="n"/>
      <c r="R3633" s="7" t="n"/>
      <c r="U3633">
        <f>IF($C3633="","",IF($AJ3633=1,0,IF($AI3633=1,Settings!$C$6,Settings!$C$7))*100)</f>
        <v/>
      </c>
      <c r="V3633" s="7">
        <f>IF($C3633="","",R3633*U3633/100)</f>
        <v/>
      </c>
      <c r="W3633" s="7">
        <f>IF($C3633="","",R3633-V3633)</f>
        <v/>
      </c>
      <c r="X3633" s="7">
        <f>IF($C3633="","",W3633-K3633)</f>
        <v/>
      </c>
      <c r="AB3633" s="7" t="n"/>
      <c r="AE3633" s="11" t="n"/>
      <c r="AG3633">
        <f>IF($C3633="","",IF(COUNTIF($C$2:$C3633,$C3633)=1,1,0))</f>
        <v/>
      </c>
      <c r="AH3633">
        <f>IF($AG3633=1,SUMPRODUCT(--($AK$2:$AK$6001&lt;$AK3633))+1,"")</f>
        <v/>
      </c>
      <c r="AI3633">
        <f>IF($C3633="","",IF(OR($N3633=TRUE(),$N3633="TRUE"),1,0))</f>
        <v/>
      </c>
      <c r="AJ3633">
        <f>IF($C3633="","",IF($T3633="Yes",1,0))</f>
        <v/>
      </c>
      <c r="AK3633">
        <f>IF($AG3633=1,IFERROR(IF(VALUE($C3633)&lt;100000000,VALUE($C3633),1000000000),IFERROR(IF(VALUE(MID($C3633,2,20))&lt;100000000,VALUE(MID($C3633,2,20)),1000000000),1000000000))+ROW()/100000,"")</f>
        <v/>
      </c>
    </row>
    <row r="3634">
      <c r="D3634" s="11" t="n"/>
      <c r="K3634" s="7">
        <f>IF($C3634="","",J3634*W3634/100)</f>
        <v/>
      </c>
      <c r="Q3634" s="7" t="n"/>
      <c r="R3634" s="7" t="n"/>
      <c r="U3634">
        <f>IF($C3634="","",IF($AJ3634=1,0,IF($AI3634=1,Settings!$C$6,Settings!$C$7))*100)</f>
        <v/>
      </c>
      <c r="V3634" s="7">
        <f>IF($C3634="","",R3634*U3634/100)</f>
        <v/>
      </c>
      <c r="W3634" s="7">
        <f>IF($C3634="","",R3634-V3634)</f>
        <v/>
      </c>
      <c r="X3634" s="7">
        <f>IF($C3634="","",W3634-K3634)</f>
        <v/>
      </c>
      <c r="AB3634" s="7" t="n"/>
      <c r="AE3634" s="11" t="n"/>
      <c r="AG3634">
        <f>IF($C3634="","",IF(COUNTIF($C$2:$C3634,$C3634)=1,1,0))</f>
        <v/>
      </c>
      <c r="AH3634">
        <f>IF($AG3634=1,SUMPRODUCT(--($AK$2:$AK$6001&lt;$AK3634))+1,"")</f>
        <v/>
      </c>
      <c r="AI3634">
        <f>IF($C3634="","",IF(OR($N3634=TRUE(),$N3634="TRUE"),1,0))</f>
        <v/>
      </c>
      <c r="AJ3634">
        <f>IF($C3634="","",IF($T3634="Yes",1,0))</f>
        <v/>
      </c>
      <c r="AK3634">
        <f>IF($AG3634=1,IFERROR(IF(VALUE($C3634)&lt;100000000,VALUE($C3634),1000000000),IFERROR(IF(VALUE(MID($C3634,2,20))&lt;100000000,VALUE(MID($C3634,2,20)),1000000000),1000000000))+ROW()/100000,"")</f>
        <v/>
      </c>
    </row>
    <row r="3635">
      <c r="D3635" s="11" t="n"/>
      <c r="K3635" s="7">
        <f>IF($C3635="","",J3635*W3635/100)</f>
        <v/>
      </c>
      <c r="Q3635" s="7" t="n"/>
      <c r="R3635" s="7" t="n"/>
      <c r="U3635">
        <f>IF($C3635="","",IF($AJ3635=1,0,IF($AI3635=1,Settings!$C$6,Settings!$C$7))*100)</f>
        <v/>
      </c>
      <c r="V3635" s="7">
        <f>IF($C3635="","",R3635*U3635/100)</f>
        <v/>
      </c>
      <c r="W3635" s="7">
        <f>IF($C3635="","",R3635-V3635)</f>
        <v/>
      </c>
      <c r="X3635" s="7">
        <f>IF($C3635="","",W3635-K3635)</f>
        <v/>
      </c>
      <c r="AB3635" s="7" t="n"/>
      <c r="AE3635" s="11" t="n"/>
      <c r="AG3635">
        <f>IF($C3635="","",IF(COUNTIF($C$2:$C3635,$C3635)=1,1,0))</f>
        <v/>
      </c>
      <c r="AH3635">
        <f>IF($AG3635=1,SUMPRODUCT(--($AK$2:$AK$6001&lt;$AK3635))+1,"")</f>
        <v/>
      </c>
      <c r="AI3635">
        <f>IF($C3635="","",IF(OR($N3635=TRUE(),$N3635="TRUE"),1,0))</f>
        <v/>
      </c>
      <c r="AJ3635">
        <f>IF($C3635="","",IF($T3635="Yes",1,0))</f>
        <v/>
      </c>
      <c r="AK3635">
        <f>IF($AG3635=1,IFERROR(IF(VALUE($C3635)&lt;100000000,VALUE($C3635),1000000000),IFERROR(IF(VALUE(MID($C3635,2,20))&lt;100000000,VALUE(MID($C3635,2,20)),1000000000),1000000000))+ROW()/100000,"")</f>
        <v/>
      </c>
    </row>
    <row r="3636">
      <c r="D3636" s="11" t="n"/>
      <c r="K3636" s="7">
        <f>IF($C3636="","",J3636*W3636/100)</f>
        <v/>
      </c>
      <c r="Q3636" s="7" t="n"/>
      <c r="R3636" s="7" t="n"/>
      <c r="U3636">
        <f>IF($C3636="","",IF($AJ3636=1,0,IF($AI3636=1,Settings!$C$6,Settings!$C$7))*100)</f>
        <v/>
      </c>
      <c r="V3636" s="7">
        <f>IF($C3636="","",R3636*U3636/100)</f>
        <v/>
      </c>
      <c r="W3636" s="7">
        <f>IF($C3636="","",R3636-V3636)</f>
        <v/>
      </c>
      <c r="X3636" s="7">
        <f>IF($C3636="","",W3636-K3636)</f>
        <v/>
      </c>
      <c r="AB3636" s="7" t="n"/>
      <c r="AE3636" s="11" t="n"/>
      <c r="AG3636">
        <f>IF($C3636="","",IF(COUNTIF($C$2:$C3636,$C3636)=1,1,0))</f>
        <v/>
      </c>
      <c r="AH3636">
        <f>IF($AG3636=1,SUMPRODUCT(--($AK$2:$AK$6001&lt;$AK3636))+1,"")</f>
        <v/>
      </c>
      <c r="AI3636">
        <f>IF($C3636="","",IF(OR($N3636=TRUE(),$N3636="TRUE"),1,0))</f>
        <v/>
      </c>
      <c r="AJ3636">
        <f>IF($C3636="","",IF($T3636="Yes",1,0))</f>
        <v/>
      </c>
      <c r="AK3636">
        <f>IF($AG3636=1,IFERROR(IF(VALUE($C3636)&lt;100000000,VALUE($C3636),1000000000),IFERROR(IF(VALUE(MID($C3636,2,20))&lt;100000000,VALUE(MID($C3636,2,20)),1000000000),1000000000))+ROW()/100000,"")</f>
        <v/>
      </c>
    </row>
    <row r="3637">
      <c r="D3637" s="11" t="n"/>
      <c r="K3637" s="7">
        <f>IF($C3637="","",J3637*W3637/100)</f>
        <v/>
      </c>
      <c r="Q3637" s="7" t="n"/>
      <c r="R3637" s="7" t="n"/>
      <c r="U3637">
        <f>IF($C3637="","",IF($AJ3637=1,0,IF($AI3637=1,Settings!$C$6,Settings!$C$7))*100)</f>
        <v/>
      </c>
      <c r="V3637" s="7">
        <f>IF($C3637="","",R3637*U3637/100)</f>
        <v/>
      </c>
      <c r="W3637" s="7">
        <f>IF($C3637="","",R3637-V3637)</f>
        <v/>
      </c>
      <c r="X3637" s="7">
        <f>IF($C3637="","",W3637-K3637)</f>
        <v/>
      </c>
      <c r="AB3637" s="7" t="n"/>
      <c r="AE3637" s="11" t="n"/>
      <c r="AG3637">
        <f>IF($C3637="","",IF(COUNTIF($C$2:$C3637,$C3637)=1,1,0))</f>
        <v/>
      </c>
      <c r="AH3637">
        <f>IF($AG3637=1,SUMPRODUCT(--($AK$2:$AK$6001&lt;$AK3637))+1,"")</f>
        <v/>
      </c>
      <c r="AI3637">
        <f>IF($C3637="","",IF(OR($N3637=TRUE(),$N3637="TRUE"),1,0))</f>
        <v/>
      </c>
      <c r="AJ3637">
        <f>IF($C3637="","",IF($T3637="Yes",1,0))</f>
        <v/>
      </c>
      <c r="AK3637">
        <f>IF($AG3637=1,IFERROR(IF(VALUE($C3637)&lt;100000000,VALUE($C3637),1000000000),IFERROR(IF(VALUE(MID($C3637,2,20))&lt;100000000,VALUE(MID($C3637,2,20)),1000000000),1000000000))+ROW()/100000,"")</f>
        <v/>
      </c>
    </row>
    <row r="3638">
      <c r="D3638" s="11" t="n"/>
      <c r="K3638" s="7">
        <f>IF($C3638="","",J3638*W3638/100)</f>
        <v/>
      </c>
      <c r="Q3638" s="7" t="n"/>
      <c r="R3638" s="7" t="n"/>
      <c r="U3638">
        <f>IF($C3638="","",IF($AJ3638=1,0,IF($AI3638=1,Settings!$C$6,Settings!$C$7))*100)</f>
        <v/>
      </c>
      <c r="V3638" s="7">
        <f>IF($C3638="","",R3638*U3638/100)</f>
        <v/>
      </c>
      <c r="W3638" s="7">
        <f>IF($C3638="","",R3638-V3638)</f>
        <v/>
      </c>
      <c r="X3638" s="7">
        <f>IF($C3638="","",W3638-K3638)</f>
        <v/>
      </c>
      <c r="AB3638" s="7" t="n"/>
      <c r="AE3638" s="11" t="n"/>
      <c r="AG3638">
        <f>IF($C3638="","",IF(COUNTIF($C$2:$C3638,$C3638)=1,1,0))</f>
        <v/>
      </c>
      <c r="AH3638">
        <f>IF($AG3638=1,SUMPRODUCT(--($AK$2:$AK$6001&lt;$AK3638))+1,"")</f>
        <v/>
      </c>
      <c r="AI3638">
        <f>IF($C3638="","",IF(OR($N3638=TRUE(),$N3638="TRUE"),1,0))</f>
        <v/>
      </c>
      <c r="AJ3638">
        <f>IF($C3638="","",IF($T3638="Yes",1,0))</f>
        <v/>
      </c>
      <c r="AK3638">
        <f>IF($AG3638=1,IFERROR(IF(VALUE($C3638)&lt;100000000,VALUE($C3638),1000000000),IFERROR(IF(VALUE(MID($C3638,2,20))&lt;100000000,VALUE(MID($C3638,2,20)),1000000000),1000000000))+ROW()/100000,"")</f>
        <v/>
      </c>
    </row>
    <row r="3639">
      <c r="D3639" s="11" t="n"/>
      <c r="K3639" s="7">
        <f>IF($C3639="","",J3639*W3639/100)</f>
        <v/>
      </c>
      <c r="Q3639" s="7" t="n"/>
      <c r="R3639" s="7" t="n"/>
      <c r="U3639">
        <f>IF($C3639="","",IF($AJ3639=1,0,IF($AI3639=1,Settings!$C$6,Settings!$C$7))*100)</f>
        <v/>
      </c>
      <c r="V3639" s="7">
        <f>IF($C3639="","",R3639*U3639/100)</f>
        <v/>
      </c>
      <c r="W3639" s="7">
        <f>IF($C3639="","",R3639-V3639)</f>
        <v/>
      </c>
      <c r="X3639" s="7">
        <f>IF($C3639="","",W3639-K3639)</f>
        <v/>
      </c>
      <c r="AB3639" s="7" t="n"/>
      <c r="AE3639" s="11" t="n"/>
      <c r="AG3639">
        <f>IF($C3639="","",IF(COUNTIF($C$2:$C3639,$C3639)=1,1,0))</f>
        <v/>
      </c>
      <c r="AH3639">
        <f>IF($AG3639=1,SUMPRODUCT(--($AK$2:$AK$6001&lt;$AK3639))+1,"")</f>
        <v/>
      </c>
      <c r="AI3639">
        <f>IF($C3639="","",IF(OR($N3639=TRUE(),$N3639="TRUE"),1,0))</f>
        <v/>
      </c>
      <c r="AJ3639">
        <f>IF($C3639="","",IF($T3639="Yes",1,0))</f>
        <v/>
      </c>
      <c r="AK3639">
        <f>IF($AG3639=1,IFERROR(IF(VALUE($C3639)&lt;100000000,VALUE($C3639),1000000000),IFERROR(IF(VALUE(MID($C3639,2,20))&lt;100000000,VALUE(MID($C3639,2,20)),1000000000),1000000000))+ROW()/100000,"")</f>
        <v/>
      </c>
    </row>
    <row r="3640">
      <c r="D3640" s="11" t="n"/>
      <c r="K3640" s="7">
        <f>IF($C3640="","",J3640*W3640/100)</f>
        <v/>
      </c>
      <c r="Q3640" s="7" t="n"/>
      <c r="R3640" s="7" t="n"/>
      <c r="U3640">
        <f>IF($C3640="","",IF($AJ3640=1,0,IF($AI3640=1,Settings!$C$6,Settings!$C$7))*100)</f>
        <v/>
      </c>
      <c r="V3640" s="7">
        <f>IF($C3640="","",R3640*U3640/100)</f>
        <v/>
      </c>
      <c r="W3640" s="7">
        <f>IF($C3640="","",R3640-V3640)</f>
        <v/>
      </c>
      <c r="X3640" s="7">
        <f>IF($C3640="","",W3640-K3640)</f>
        <v/>
      </c>
      <c r="AB3640" s="7" t="n"/>
      <c r="AE3640" s="11" t="n"/>
      <c r="AG3640">
        <f>IF($C3640="","",IF(COUNTIF($C$2:$C3640,$C3640)=1,1,0))</f>
        <v/>
      </c>
      <c r="AH3640">
        <f>IF($AG3640=1,SUMPRODUCT(--($AK$2:$AK$6001&lt;$AK3640))+1,"")</f>
        <v/>
      </c>
      <c r="AI3640">
        <f>IF($C3640="","",IF(OR($N3640=TRUE(),$N3640="TRUE"),1,0))</f>
        <v/>
      </c>
      <c r="AJ3640">
        <f>IF($C3640="","",IF($T3640="Yes",1,0))</f>
        <v/>
      </c>
      <c r="AK3640">
        <f>IF($AG3640=1,IFERROR(IF(VALUE($C3640)&lt;100000000,VALUE($C3640),1000000000),IFERROR(IF(VALUE(MID($C3640,2,20))&lt;100000000,VALUE(MID($C3640,2,20)),1000000000),1000000000))+ROW()/100000,"")</f>
        <v/>
      </c>
    </row>
    <row r="3641">
      <c r="D3641" s="11" t="n"/>
      <c r="K3641" s="7">
        <f>IF($C3641="","",J3641*W3641/100)</f>
        <v/>
      </c>
      <c r="Q3641" s="7" t="n"/>
      <c r="R3641" s="7" t="n"/>
      <c r="U3641">
        <f>IF($C3641="","",IF($AJ3641=1,0,IF($AI3641=1,Settings!$C$6,Settings!$C$7))*100)</f>
        <v/>
      </c>
      <c r="V3641" s="7">
        <f>IF($C3641="","",R3641*U3641/100)</f>
        <v/>
      </c>
      <c r="W3641" s="7">
        <f>IF($C3641="","",R3641-V3641)</f>
        <v/>
      </c>
      <c r="X3641" s="7">
        <f>IF($C3641="","",W3641-K3641)</f>
        <v/>
      </c>
      <c r="AB3641" s="7" t="n"/>
      <c r="AE3641" s="11" t="n"/>
      <c r="AG3641">
        <f>IF($C3641="","",IF(COUNTIF($C$2:$C3641,$C3641)=1,1,0))</f>
        <v/>
      </c>
      <c r="AH3641">
        <f>IF($AG3641=1,SUMPRODUCT(--($AK$2:$AK$6001&lt;$AK3641))+1,"")</f>
        <v/>
      </c>
      <c r="AI3641">
        <f>IF($C3641="","",IF(OR($N3641=TRUE(),$N3641="TRUE"),1,0))</f>
        <v/>
      </c>
      <c r="AJ3641">
        <f>IF($C3641="","",IF($T3641="Yes",1,0))</f>
        <v/>
      </c>
      <c r="AK3641">
        <f>IF($AG3641=1,IFERROR(IF(VALUE($C3641)&lt;100000000,VALUE($C3641),1000000000),IFERROR(IF(VALUE(MID($C3641,2,20))&lt;100000000,VALUE(MID($C3641,2,20)),1000000000),1000000000))+ROW()/100000,"")</f>
        <v/>
      </c>
    </row>
    <row r="3642">
      <c r="D3642" s="11" t="n"/>
      <c r="K3642" s="7">
        <f>IF($C3642="","",J3642*W3642/100)</f>
        <v/>
      </c>
      <c r="Q3642" s="7" t="n"/>
      <c r="R3642" s="7" t="n"/>
      <c r="U3642">
        <f>IF($C3642="","",IF($AJ3642=1,0,IF($AI3642=1,Settings!$C$6,Settings!$C$7))*100)</f>
        <v/>
      </c>
      <c r="V3642" s="7">
        <f>IF($C3642="","",R3642*U3642/100)</f>
        <v/>
      </c>
      <c r="W3642" s="7">
        <f>IF($C3642="","",R3642-V3642)</f>
        <v/>
      </c>
      <c r="X3642" s="7">
        <f>IF($C3642="","",W3642-K3642)</f>
        <v/>
      </c>
      <c r="AB3642" s="7" t="n"/>
      <c r="AE3642" s="11" t="n"/>
      <c r="AG3642">
        <f>IF($C3642="","",IF(COUNTIF($C$2:$C3642,$C3642)=1,1,0))</f>
        <v/>
      </c>
      <c r="AH3642">
        <f>IF($AG3642=1,SUMPRODUCT(--($AK$2:$AK$6001&lt;$AK3642))+1,"")</f>
        <v/>
      </c>
      <c r="AI3642">
        <f>IF($C3642="","",IF(OR($N3642=TRUE(),$N3642="TRUE"),1,0))</f>
        <v/>
      </c>
      <c r="AJ3642">
        <f>IF($C3642="","",IF($T3642="Yes",1,0))</f>
        <v/>
      </c>
      <c r="AK3642">
        <f>IF($AG3642=1,IFERROR(IF(VALUE($C3642)&lt;100000000,VALUE($C3642),1000000000),IFERROR(IF(VALUE(MID($C3642,2,20))&lt;100000000,VALUE(MID($C3642,2,20)),1000000000),1000000000))+ROW()/100000,"")</f>
        <v/>
      </c>
    </row>
    <row r="3643">
      <c r="D3643" s="11" t="n"/>
      <c r="K3643" s="7">
        <f>IF($C3643="","",J3643*W3643/100)</f>
        <v/>
      </c>
      <c r="Q3643" s="7" t="n"/>
      <c r="R3643" s="7" t="n"/>
      <c r="U3643">
        <f>IF($C3643="","",IF($AJ3643=1,0,IF($AI3643=1,Settings!$C$6,Settings!$C$7))*100)</f>
        <v/>
      </c>
      <c r="V3643" s="7">
        <f>IF($C3643="","",R3643*U3643/100)</f>
        <v/>
      </c>
      <c r="W3643" s="7">
        <f>IF($C3643="","",R3643-V3643)</f>
        <v/>
      </c>
      <c r="X3643" s="7">
        <f>IF($C3643="","",W3643-K3643)</f>
        <v/>
      </c>
      <c r="AB3643" s="7" t="n"/>
      <c r="AE3643" s="11" t="n"/>
      <c r="AG3643">
        <f>IF($C3643="","",IF(COUNTIF($C$2:$C3643,$C3643)=1,1,0))</f>
        <v/>
      </c>
      <c r="AH3643">
        <f>IF($AG3643=1,SUMPRODUCT(--($AK$2:$AK$6001&lt;$AK3643))+1,"")</f>
        <v/>
      </c>
      <c r="AI3643">
        <f>IF($C3643="","",IF(OR($N3643=TRUE(),$N3643="TRUE"),1,0))</f>
        <v/>
      </c>
      <c r="AJ3643">
        <f>IF($C3643="","",IF($T3643="Yes",1,0))</f>
        <v/>
      </c>
      <c r="AK3643">
        <f>IF($AG3643=1,IFERROR(IF(VALUE($C3643)&lt;100000000,VALUE($C3643),1000000000),IFERROR(IF(VALUE(MID($C3643,2,20))&lt;100000000,VALUE(MID($C3643,2,20)),1000000000),1000000000))+ROW()/100000,"")</f>
        <v/>
      </c>
    </row>
    <row r="3644">
      <c r="D3644" s="11" t="n"/>
      <c r="K3644" s="7">
        <f>IF($C3644="","",J3644*W3644/100)</f>
        <v/>
      </c>
      <c r="Q3644" s="7" t="n"/>
      <c r="R3644" s="7" t="n"/>
      <c r="U3644">
        <f>IF($C3644="","",IF($AJ3644=1,0,IF($AI3644=1,Settings!$C$6,Settings!$C$7))*100)</f>
        <v/>
      </c>
      <c r="V3644" s="7">
        <f>IF($C3644="","",R3644*U3644/100)</f>
        <v/>
      </c>
      <c r="W3644" s="7">
        <f>IF($C3644="","",R3644-V3644)</f>
        <v/>
      </c>
      <c r="X3644" s="7">
        <f>IF($C3644="","",W3644-K3644)</f>
        <v/>
      </c>
      <c r="AB3644" s="7" t="n"/>
      <c r="AE3644" s="11" t="n"/>
      <c r="AG3644">
        <f>IF($C3644="","",IF(COUNTIF($C$2:$C3644,$C3644)=1,1,0))</f>
        <v/>
      </c>
      <c r="AH3644">
        <f>IF($AG3644=1,SUMPRODUCT(--($AK$2:$AK$6001&lt;$AK3644))+1,"")</f>
        <v/>
      </c>
      <c r="AI3644">
        <f>IF($C3644="","",IF(OR($N3644=TRUE(),$N3644="TRUE"),1,0))</f>
        <v/>
      </c>
      <c r="AJ3644">
        <f>IF($C3644="","",IF($T3644="Yes",1,0))</f>
        <v/>
      </c>
      <c r="AK3644">
        <f>IF($AG3644=1,IFERROR(IF(VALUE($C3644)&lt;100000000,VALUE($C3644),1000000000),IFERROR(IF(VALUE(MID($C3644,2,20))&lt;100000000,VALUE(MID($C3644,2,20)),1000000000),1000000000))+ROW()/100000,"")</f>
        <v/>
      </c>
    </row>
    <row r="3645">
      <c r="D3645" s="11" t="n"/>
      <c r="K3645" s="7">
        <f>IF($C3645="","",J3645*W3645/100)</f>
        <v/>
      </c>
      <c r="Q3645" s="7" t="n"/>
      <c r="R3645" s="7" t="n"/>
      <c r="U3645">
        <f>IF($C3645="","",IF($AJ3645=1,0,IF($AI3645=1,Settings!$C$6,Settings!$C$7))*100)</f>
        <v/>
      </c>
      <c r="V3645" s="7">
        <f>IF($C3645="","",R3645*U3645/100)</f>
        <v/>
      </c>
      <c r="W3645" s="7">
        <f>IF($C3645="","",R3645-V3645)</f>
        <v/>
      </c>
      <c r="X3645" s="7">
        <f>IF($C3645="","",W3645-K3645)</f>
        <v/>
      </c>
      <c r="AB3645" s="7" t="n"/>
      <c r="AE3645" s="11" t="n"/>
      <c r="AG3645">
        <f>IF($C3645="","",IF(COUNTIF($C$2:$C3645,$C3645)=1,1,0))</f>
        <v/>
      </c>
      <c r="AH3645">
        <f>IF($AG3645=1,SUMPRODUCT(--($AK$2:$AK$6001&lt;$AK3645))+1,"")</f>
        <v/>
      </c>
      <c r="AI3645">
        <f>IF($C3645="","",IF(OR($N3645=TRUE(),$N3645="TRUE"),1,0))</f>
        <v/>
      </c>
      <c r="AJ3645">
        <f>IF($C3645="","",IF($T3645="Yes",1,0))</f>
        <v/>
      </c>
      <c r="AK3645">
        <f>IF($AG3645=1,IFERROR(IF(VALUE($C3645)&lt;100000000,VALUE($C3645),1000000000),IFERROR(IF(VALUE(MID($C3645,2,20))&lt;100000000,VALUE(MID($C3645,2,20)),1000000000),1000000000))+ROW()/100000,"")</f>
        <v/>
      </c>
    </row>
    <row r="3646">
      <c r="D3646" s="11" t="n"/>
      <c r="K3646" s="7">
        <f>IF($C3646="","",J3646*W3646/100)</f>
        <v/>
      </c>
      <c r="Q3646" s="7" t="n"/>
      <c r="R3646" s="7" t="n"/>
      <c r="U3646">
        <f>IF($C3646="","",IF($AJ3646=1,0,IF($AI3646=1,Settings!$C$6,Settings!$C$7))*100)</f>
        <v/>
      </c>
      <c r="V3646" s="7">
        <f>IF($C3646="","",R3646*U3646/100)</f>
        <v/>
      </c>
      <c r="W3646" s="7">
        <f>IF($C3646="","",R3646-V3646)</f>
        <v/>
      </c>
      <c r="X3646" s="7">
        <f>IF($C3646="","",W3646-K3646)</f>
        <v/>
      </c>
      <c r="AB3646" s="7" t="n"/>
      <c r="AE3646" s="11" t="n"/>
      <c r="AG3646">
        <f>IF($C3646="","",IF(COUNTIF($C$2:$C3646,$C3646)=1,1,0))</f>
        <v/>
      </c>
      <c r="AH3646">
        <f>IF($AG3646=1,SUMPRODUCT(--($AK$2:$AK$6001&lt;$AK3646))+1,"")</f>
        <v/>
      </c>
      <c r="AI3646">
        <f>IF($C3646="","",IF(OR($N3646=TRUE(),$N3646="TRUE"),1,0))</f>
        <v/>
      </c>
      <c r="AJ3646">
        <f>IF($C3646="","",IF($T3646="Yes",1,0))</f>
        <v/>
      </c>
      <c r="AK3646">
        <f>IF($AG3646=1,IFERROR(IF(VALUE($C3646)&lt;100000000,VALUE($C3646),1000000000),IFERROR(IF(VALUE(MID($C3646,2,20))&lt;100000000,VALUE(MID($C3646,2,20)),1000000000),1000000000))+ROW()/100000,"")</f>
        <v/>
      </c>
    </row>
    <row r="3647">
      <c r="D3647" s="11" t="n"/>
      <c r="K3647" s="7">
        <f>IF($C3647="","",J3647*W3647/100)</f>
        <v/>
      </c>
      <c r="Q3647" s="7" t="n"/>
      <c r="R3647" s="7" t="n"/>
      <c r="U3647">
        <f>IF($C3647="","",IF($AJ3647=1,0,IF($AI3647=1,Settings!$C$6,Settings!$C$7))*100)</f>
        <v/>
      </c>
      <c r="V3647" s="7">
        <f>IF($C3647="","",R3647*U3647/100)</f>
        <v/>
      </c>
      <c r="W3647" s="7">
        <f>IF($C3647="","",R3647-V3647)</f>
        <v/>
      </c>
      <c r="X3647" s="7">
        <f>IF($C3647="","",W3647-K3647)</f>
        <v/>
      </c>
      <c r="AB3647" s="7" t="n"/>
      <c r="AE3647" s="11" t="n"/>
      <c r="AG3647">
        <f>IF($C3647="","",IF(COUNTIF($C$2:$C3647,$C3647)=1,1,0))</f>
        <v/>
      </c>
      <c r="AH3647">
        <f>IF($AG3647=1,SUMPRODUCT(--($AK$2:$AK$6001&lt;$AK3647))+1,"")</f>
        <v/>
      </c>
      <c r="AI3647">
        <f>IF($C3647="","",IF(OR($N3647=TRUE(),$N3647="TRUE"),1,0))</f>
        <v/>
      </c>
      <c r="AJ3647">
        <f>IF($C3647="","",IF($T3647="Yes",1,0))</f>
        <v/>
      </c>
      <c r="AK3647">
        <f>IF($AG3647=1,IFERROR(IF(VALUE($C3647)&lt;100000000,VALUE($C3647),1000000000),IFERROR(IF(VALUE(MID($C3647,2,20))&lt;100000000,VALUE(MID($C3647,2,20)),1000000000),1000000000))+ROW()/100000,"")</f>
        <v/>
      </c>
    </row>
    <row r="3648">
      <c r="D3648" s="11" t="n"/>
      <c r="K3648" s="7">
        <f>IF($C3648="","",J3648*W3648/100)</f>
        <v/>
      </c>
      <c r="Q3648" s="7" t="n"/>
      <c r="R3648" s="7" t="n"/>
      <c r="U3648">
        <f>IF($C3648="","",IF($AJ3648=1,0,IF($AI3648=1,Settings!$C$6,Settings!$C$7))*100)</f>
        <v/>
      </c>
      <c r="V3648" s="7">
        <f>IF($C3648="","",R3648*U3648/100)</f>
        <v/>
      </c>
      <c r="W3648" s="7">
        <f>IF($C3648="","",R3648-V3648)</f>
        <v/>
      </c>
      <c r="X3648" s="7">
        <f>IF($C3648="","",W3648-K3648)</f>
        <v/>
      </c>
      <c r="AB3648" s="7" t="n"/>
      <c r="AE3648" s="11" t="n"/>
      <c r="AG3648">
        <f>IF($C3648="","",IF(COUNTIF($C$2:$C3648,$C3648)=1,1,0))</f>
        <v/>
      </c>
      <c r="AH3648">
        <f>IF($AG3648=1,SUMPRODUCT(--($AK$2:$AK$6001&lt;$AK3648))+1,"")</f>
        <v/>
      </c>
      <c r="AI3648">
        <f>IF($C3648="","",IF(OR($N3648=TRUE(),$N3648="TRUE"),1,0))</f>
        <v/>
      </c>
      <c r="AJ3648">
        <f>IF($C3648="","",IF($T3648="Yes",1,0))</f>
        <v/>
      </c>
      <c r="AK3648">
        <f>IF($AG3648=1,IFERROR(IF(VALUE($C3648)&lt;100000000,VALUE($C3648),1000000000),IFERROR(IF(VALUE(MID($C3648,2,20))&lt;100000000,VALUE(MID($C3648,2,20)),1000000000),1000000000))+ROW()/100000,"")</f>
        <v/>
      </c>
    </row>
    <row r="3649">
      <c r="D3649" s="11" t="n"/>
      <c r="K3649" s="7">
        <f>IF($C3649="","",J3649*W3649/100)</f>
        <v/>
      </c>
      <c r="Q3649" s="7" t="n"/>
      <c r="R3649" s="7" t="n"/>
      <c r="U3649">
        <f>IF($C3649="","",IF($AJ3649=1,0,IF($AI3649=1,Settings!$C$6,Settings!$C$7))*100)</f>
        <v/>
      </c>
      <c r="V3649" s="7">
        <f>IF($C3649="","",R3649*U3649/100)</f>
        <v/>
      </c>
      <c r="W3649" s="7">
        <f>IF($C3649="","",R3649-V3649)</f>
        <v/>
      </c>
      <c r="X3649" s="7">
        <f>IF($C3649="","",W3649-K3649)</f>
        <v/>
      </c>
      <c r="AB3649" s="7" t="n"/>
      <c r="AE3649" s="11" t="n"/>
      <c r="AG3649">
        <f>IF($C3649="","",IF(COUNTIF($C$2:$C3649,$C3649)=1,1,0))</f>
        <v/>
      </c>
      <c r="AH3649">
        <f>IF($AG3649=1,SUMPRODUCT(--($AK$2:$AK$6001&lt;$AK3649))+1,"")</f>
        <v/>
      </c>
      <c r="AI3649">
        <f>IF($C3649="","",IF(OR($N3649=TRUE(),$N3649="TRUE"),1,0))</f>
        <v/>
      </c>
      <c r="AJ3649">
        <f>IF($C3649="","",IF($T3649="Yes",1,0))</f>
        <v/>
      </c>
      <c r="AK3649">
        <f>IF($AG3649=1,IFERROR(IF(VALUE($C3649)&lt;100000000,VALUE($C3649),1000000000),IFERROR(IF(VALUE(MID($C3649,2,20))&lt;100000000,VALUE(MID($C3649,2,20)),1000000000),1000000000))+ROW()/100000,"")</f>
        <v/>
      </c>
    </row>
    <row r="3650">
      <c r="D3650" s="11" t="n"/>
      <c r="K3650" s="7">
        <f>IF($C3650="","",J3650*W3650/100)</f>
        <v/>
      </c>
      <c r="Q3650" s="7" t="n"/>
      <c r="R3650" s="7" t="n"/>
      <c r="U3650">
        <f>IF($C3650="","",IF($AJ3650=1,0,IF($AI3650=1,Settings!$C$6,Settings!$C$7))*100)</f>
        <v/>
      </c>
      <c r="V3650" s="7">
        <f>IF($C3650="","",R3650*U3650/100)</f>
        <v/>
      </c>
      <c r="W3650" s="7">
        <f>IF($C3650="","",R3650-V3650)</f>
        <v/>
      </c>
      <c r="X3650" s="7">
        <f>IF($C3650="","",W3650-K3650)</f>
        <v/>
      </c>
      <c r="AB3650" s="7" t="n"/>
      <c r="AE3650" s="11" t="n"/>
      <c r="AG3650">
        <f>IF($C3650="","",IF(COUNTIF($C$2:$C3650,$C3650)=1,1,0))</f>
        <v/>
      </c>
      <c r="AH3650">
        <f>IF($AG3650=1,SUMPRODUCT(--($AK$2:$AK$6001&lt;$AK3650))+1,"")</f>
        <v/>
      </c>
      <c r="AI3650">
        <f>IF($C3650="","",IF(OR($N3650=TRUE(),$N3650="TRUE"),1,0))</f>
        <v/>
      </c>
      <c r="AJ3650">
        <f>IF($C3650="","",IF($T3650="Yes",1,0))</f>
        <v/>
      </c>
      <c r="AK3650">
        <f>IF($AG3650=1,IFERROR(IF(VALUE($C3650)&lt;100000000,VALUE($C3650),1000000000),IFERROR(IF(VALUE(MID($C3650,2,20))&lt;100000000,VALUE(MID($C3650,2,20)),1000000000),1000000000))+ROW()/100000,"")</f>
        <v/>
      </c>
    </row>
    <row r="3651">
      <c r="D3651" s="11" t="n"/>
      <c r="K3651" s="7">
        <f>IF($C3651="","",J3651*W3651/100)</f>
        <v/>
      </c>
      <c r="Q3651" s="7" t="n"/>
      <c r="R3651" s="7" t="n"/>
      <c r="U3651">
        <f>IF($C3651="","",IF($AJ3651=1,0,IF($AI3651=1,Settings!$C$6,Settings!$C$7))*100)</f>
        <v/>
      </c>
      <c r="V3651" s="7">
        <f>IF($C3651="","",R3651*U3651/100)</f>
        <v/>
      </c>
      <c r="W3651" s="7">
        <f>IF($C3651="","",R3651-V3651)</f>
        <v/>
      </c>
      <c r="X3651" s="7">
        <f>IF($C3651="","",W3651-K3651)</f>
        <v/>
      </c>
      <c r="AB3651" s="7" t="n"/>
      <c r="AE3651" s="11" t="n"/>
      <c r="AG3651">
        <f>IF($C3651="","",IF(COUNTIF($C$2:$C3651,$C3651)=1,1,0))</f>
        <v/>
      </c>
      <c r="AH3651">
        <f>IF($AG3651=1,SUMPRODUCT(--($AK$2:$AK$6001&lt;$AK3651))+1,"")</f>
        <v/>
      </c>
      <c r="AI3651">
        <f>IF($C3651="","",IF(OR($N3651=TRUE(),$N3651="TRUE"),1,0))</f>
        <v/>
      </c>
      <c r="AJ3651">
        <f>IF($C3651="","",IF($T3651="Yes",1,0))</f>
        <v/>
      </c>
      <c r="AK3651">
        <f>IF($AG3651=1,IFERROR(IF(VALUE($C3651)&lt;100000000,VALUE($C3651),1000000000),IFERROR(IF(VALUE(MID($C3651,2,20))&lt;100000000,VALUE(MID($C3651,2,20)),1000000000),1000000000))+ROW()/100000,"")</f>
        <v/>
      </c>
    </row>
    <row r="3652">
      <c r="D3652" s="11" t="n"/>
      <c r="K3652" s="7">
        <f>IF($C3652="","",J3652*W3652/100)</f>
        <v/>
      </c>
      <c r="Q3652" s="7" t="n"/>
      <c r="R3652" s="7" t="n"/>
      <c r="U3652">
        <f>IF($C3652="","",IF($AJ3652=1,0,IF($AI3652=1,Settings!$C$6,Settings!$C$7))*100)</f>
        <v/>
      </c>
      <c r="V3652" s="7">
        <f>IF($C3652="","",R3652*U3652/100)</f>
        <v/>
      </c>
      <c r="W3652" s="7">
        <f>IF($C3652="","",R3652-V3652)</f>
        <v/>
      </c>
      <c r="X3652" s="7">
        <f>IF($C3652="","",W3652-K3652)</f>
        <v/>
      </c>
      <c r="AB3652" s="7" t="n"/>
      <c r="AE3652" s="11" t="n"/>
      <c r="AG3652">
        <f>IF($C3652="","",IF(COUNTIF($C$2:$C3652,$C3652)=1,1,0))</f>
        <v/>
      </c>
      <c r="AH3652">
        <f>IF($AG3652=1,SUMPRODUCT(--($AK$2:$AK$6001&lt;$AK3652))+1,"")</f>
        <v/>
      </c>
      <c r="AI3652">
        <f>IF($C3652="","",IF(OR($N3652=TRUE(),$N3652="TRUE"),1,0))</f>
        <v/>
      </c>
      <c r="AJ3652">
        <f>IF($C3652="","",IF($T3652="Yes",1,0))</f>
        <v/>
      </c>
      <c r="AK3652">
        <f>IF($AG3652=1,IFERROR(IF(VALUE($C3652)&lt;100000000,VALUE($C3652),1000000000),IFERROR(IF(VALUE(MID($C3652,2,20))&lt;100000000,VALUE(MID($C3652,2,20)),1000000000),1000000000))+ROW()/100000,"")</f>
        <v/>
      </c>
    </row>
    <row r="3653">
      <c r="D3653" s="11" t="n"/>
      <c r="K3653" s="7">
        <f>IF($C3653="","",J3653*W3653/100)</f>
        <v/>
      </c>
      <c r="Q3653" s="7" t="n"/>
      <c r="R3653" s="7" t="n"/>
      <c r="U3653">
        <f>IF($C3653="","",IF($AJ3653=1,0,IF($AI3653=1,Settings!$C$6,Settings!$C$7))*100)</f>
        <v/>
      </c>
      <c r="V3653" s="7">
        <f>IF($C3653="","",R3653*U3653/100)</f>
        <v/>
      </c>
      <c r="W3653" s="7">
        <f>IF($C3653="","",R3653-V3653)</f>
        <v/>
      </c>
      <c r="X3653" s="7">
        <f>IF($C3653="","",W3653-K3653)</f>
        <v/>
      </c>
      <c r="AB3653" s="7" t="n"/>
      <c r="AE3653" s="11" t="n"/>
      <c r="AG3653">
        <f>IF($C3653="","",IF(COUNTIF($C$2:$C3653,$C3653)=1,1,0))</f>
        <v/>
      </c>
      <c r="AH3653">
        <f>IF($AG3653=1,SUMPRODUCT(--($AK$2:$AK$6001&lt;$AK3653))+1,"")</f>
        <v/>
      </c>
      <c r="AI3653">
        <f>IF($C3653="","",IF(OR($N3653=TRUE(),$N3653="TRUE"),1,0))</f>
        <v/>
      </c>
      <c r="AJ3653">
        <f>IF($C3653="","",IF($T3653="Yes",1,0))</f>
        <v/>
      </c>
      <c r="AK3653">
        <f>IF($AG3653=1,IFERROR(IF(VALUE($C3653)&lt;100000000,VALUE($C3653),1000000000),IFERROR(IF(VALUE(MID($C3653,2,20))&lt;100000000,VALUE(MID($C3653,2,20)),1000000000),1000000000))+ROW()/100000,"")</f>
        <v/>
      </c>
    </row>
    <row r="3654">
      <c r="D3654" s="11" t="n"/>
      <c r="K3654" s="7">
        <f>IF($C3654="","",J3654*W3654/100)</f>
        <v/>
      </c>
      <c r="Q3654" s="7" t="n"/>
      <c r="R3654" s="7" t="n"/>
      <c r="U3654">
        <f>IF($C3654="","",IF($AJ3654=1,0,IF($AI3654=1,Settings!$C$6,Settings!$C$7))*100)</f>
        <v/>
      </c>
      <c r="V3654" s="7">
        <f>IF($C3654="","",R3654*U3654/100)</f>
        <v/>
      </c>
      <c r="W3654" s="7">
        <f>IF($C3654="","",R3654-V3654)</f>
        <v/>
      </c>
      <c r="X3654" s="7">
        <f>IF($C3654="","",W3654-K3654)</f>
        <v/>
      </c>
      <c r="AB3654" s="7" t="n"/>
      <c r="AE3654" s="11" t="n"/>
      <c r="AG3654">
        <f>IF($C3654="","",IF(COUNTIF($C$2:$C3654,$C3654)=1,1,0))</f>
        <v/>
      </c>
      <c r="AH3654">
        <f>IF($AG3654=1,SUMPRODUCT(--($AK$2:$AK$6001&lt;$AK3654))+1,"")</f>
        <v/>
      </c>
      <c r="AI3654">
        <f>IF($C3654="","",IF(OR($N3654=TRUE(),$N3654="TRUE"),1,0))</f>
        <v/>
      </c>
      <c r="AJ3654">
        <f>IF($C3654="","",IF($T3654="Yes",1,0))</f>
        <v/>
      </c>
      <c r="AK3654">
        <f>IF($AG3654=1,IFERROR(IF(VALUE($C3654)&lt;100000000,VALUE($C3654),1000000000),IFERROR(IF(VALUE(MID($C3654,2,20))&lt;100000000,VALUE(MID($C3654,2,20)),1000000000),1000000000))+ROW()/100000,"")</f>
        <v/>
      </c>
    </row>
    <row r="3655">
      <c r="D3655" s="11" t="n"/>
      <c r="K3655" s="7">
        <f>IF($C3655="","",J3655*W3655/100)</f>
        <v/>
      </c>
      <c r="Q3655" s="7" t="n"/>
      <c r="R3655" s="7" t="n"/>
      <c r="U3655">
        <f>IF($C3655="","",IF($AJ3655=1,0,IF($AI3655=1,Settings!$C$6,Settings!$C$7))*100)</f>
        <v/>
      </c>
      <c r="V3655" s="7">
        <f>IF($C3655="","",R3655*U3655/100)</f>
        <v/>
      </c>
      <c r="W3655" s="7">
        <f>IF($C3655="","",R3655-V3655)</f>
        <v/>
      </c>
      <c r="X3655" s="7">
        <f>IF($C3655="","",W3655-K3655)</f>
        <v/>
      </c>
      <c r="AB3655" s="7" t="n"/>
      <c r="AE3655" s="11" t="n"/>
      <c r="AG3655">
        <f>IF($C3655="","",IF(COUNTIF($C$2:$C3655,$C3655)=1,1,0))</f>
        <v/>
      </c>
      <c r="AH3655">
        <f>IF($AG3655=1,SUMPRODUCT(--($AK$2:$AK$6001&lt;$AK3655))+1,"")</f>
        <v/>
      </c>
      <c r="AI3655">
        <f>IF($C3655="","",IF(OR($N3655=TRUE(),$N3655="TRUE"),1,0))</f>
        <v/>
      </c>
      <c r="AJ3655">
        <f>IF($C3655="","",IF($T3655="Yes",1,0))</f>
        <v/>
      </c>
      <c r="AK3655">
        <f>IF($AG3655=1,IFERROR(IF(VALUE($C3655)&lt;100000000,VALUE($C3655),1000000000),IFERROR(IF(VALUE(MID($C3655,2,20))&lt;100000000,VALUE(MID($C3655,2,20)),1000000000),1000000000))+ROW()/100000,"")</f>
        <v/>
      </c>
    </row>
    <row r="3656">
      <c r="D3656" s="11" t="n"/>
      <c r="K3656" s="7">
        <f>IF($C3656="","",J3656*W3656/100)</f>
        <v/>
      </c>
      <c r="Q3656" s="7" t="n"/>
      <c r="R3656" s="7" t="n"/>
      <c r="U3656">
        <f>IF($C3656="","",IF($AJ3656=1,0,IF($AI3656=1,Settings!$C$6,Settings!$C$7))*100)</f>
        <v/>
      </c>
      <c r="V3656" s="7">
        <f>IF($C3656="","",R3656*U3656/100)</f>
        <v/>
      </c>
      <c r="W3656" s="7">
        <f>IF($C3656="","",R3656-V3656)</f>
        <v/>
      </c>
      <c r="X3656" s="7">
        <f>IF($C3656="","",W3656-K3656)</f>
        <v/>
      </c>
      <c r="AB3656" s="7" t="n"/>
      <c r="AE3656" s="11" t="n"/>
      <c r="AG3656">
        <f>IF($C3656="","",IF(COUNTIF($C$2:$C3656,$C3656)=1,1,0))</f>
        <v/>
      </c>
      <c r="AH3656">
        <f>IF($AG3656=1,SUMPRODUCT(--($AK$2:$AK$6001&lt;$AK3656))+1,"")</f>
        <v/>
      </c>
      <c r="AI3656">
        <f>IF($C3656="","",IF(OR($N3656=TRUE(),$N3656="TRUE"),1,0))</f>
        <v/>
      </c>
      <c r="AJ3656">
        <f>IF($C3656="","",IF($T3656="Yes",1,0))</f>
        <v/>
      </c>
      <c r="AK3656">
        <f>IF($AG3656=1,IFERROR(IF(VALUE($C3656)&lt;100000000,VALUE($C3656),1000000000),IFERROR(IF(VALUE(MID($C3656,2,20))&lt;100000000,VALUE(MID($C3656,2,20)),1000000000),1000000000))+ROW()/100000,"")</f>
        <v/>
      </c>
    </row>
    <row r="3657">
      <c r="D3657" s="11" t="n"/>
      <c r="K3657" s="7">
        <f>IF($C3657="","",J3657*W3657/100)</f>
        <v/>
      </c>
      <c r="Q3657" s="7" t="n"/>
      <c r="R3657" s="7" t="n"/>
      <c r="U3657">
        <f>IF($C3657="","",IF($AJ3657=1,0,IF($AI3657=1,Settings!$C$6,Settings!$C$7))*100)</f>
        <v/>
      </c>
      <c r="V3657" s="7">
        <f>IF($C3657="","",R3657*U3657/100)</f>
        <v/>
      </c>
      <c r="W3657" s="7">
        <f>IF($C3657="","",R3657-V3657)</f>
        <v/>
      </c>
      <c r="X3657" s="7">
        <f>IF($C3657="","",W3657-K3657)</f>
        <v/>
      </c>
      <c r="AB3657" s="7" t="n"/>
      <c r="AE3657" s="11" t="n"/>
      <c r="AG3657">
        <f>IF($C3657="","",IF(COUNTIF($C$2:$C3657,$C3657)=1,1,0))</f>
        <v/>
      </c>
      <c r="AH3657">
        <f>IF($AG3657=1,SUMPRODUCT(--($AK$2:$AK$6001&lt;$AK3657))+1,"")</f>
        <v/>
      </c>
      <c r="AI3657">
        <f>IF($C3657="","",IF(OR($N3657=TRUE(),$N3657="TRUE"),1,0))</f>
        <v/>
      </c>
      <c r="AJ3657">
        <f>IF($C3657="","",IF($T3657="Yes",1,0))</f>
        <v/>
      </c>
      <c r="AK3657">
        <f>IF($AG3657=1,IFERROR(IF(VALUE($C3657)&lt;100000000,VALUE($C3657),1000000000),IFERROR(IF(VALUE(MID($C3657,2,20))&lt;100000000,VALUE(MID($C3657,2,20)),1000000000),1000000000))+ROW()/100000,"")</f>
        <v/>
      </c>
    </row>
    <row r="3658">
      <c r="D3658" s="11" t="n"/>
      <c r="K3658" s="7">
        <f>IF($C3658="","",J3658*W3658/100)</f>
        <v/>
      </c>
      <c r="Q3658" s="7" t="n"/>
      <c r="R3658" s="7" t="n"/>
      <c r="U3658">
        <f>IF($C3658="","",IF($AJ3658=1,0,IF($AI3658=1,Settings!$C$6,Settings!$C$7))*100)</f>
        <v/>
      </c>
      <c r="V3658" s="7">
        <f>IF($C3658="","",R3658*U3658/100)</f>
        <v/>
      </c>
      <c r="W3658" s="7">
        <f>IF($C3658="","",R3658-V3658)</f>
        <v/>
      </c>
      <c r="X3658" s="7">
        <f>IF($C3658="","",W3658-K3658)</f>
        <v/>
      </c>
      <c r="AB3658" s="7" t="n"/>
      <c r="AE3658" s="11" t="n"/>
      <c r="AG3658">
        <f>IF($C3658="","",IF(COUNTIF($C$2:$C3658,$C3658)=1,1,0))</f>
        <v/>
      </c>
      <c r="AH3658">
        <f>IF($AG3658=1,SUMPRODUCT(--($AK$2:$AK$6001&lt;$AK3658))+1,"")</f>
        <v/>
      </c>
      <c r="AI3658">
        <f>IF($C3658="","",IF(OR($N3658=TRUE(),$N3658="TRUE"),1,0))</f>
        <v/>
      </c>
      <c r="AJ3658">
        <f>IF($C3658="","",IF($T3658="Yes",1,0))</f>
        <v/>
      </c>
      <c r="AK3658">
        <f>IF($AG3658=1,IFERROR(IF(VALUE($C3658)&lt;100000000,VALUE($C3658),1000000000),IFERROR(IF(VALUE(MID($C3658,2,20))&lt;100000000,VALUE(MID($C3658,2,20)),1000000000),1000000000))+ROW()/100000,"")</f>
        <v/>
      </c>
    </row>
    <row r="3659">
      <c r="D3659" s="11" t="n"/>
      <c r="K3659" s="7">
        <f>IF($C3659="","",J3659*W3659/100)</f>
        <v/>
      </c>
      <c r="Q3659" s="7" t="n"/>
      <c r="R3659" s="7" t="n"/>
      <c r="U3659">
        <f>IF($C3659="","",IF($AJ3659=1,0,IF($AI3659=1,Settings!$C$6,Settings!$C$7))*100)</f>
        <v/>
      </c>
      <c r="V3659" s="7">
        <f>IF($C3659="","",R3659*U3659/100)</f>
        <v/>
      </c>
      <c r="W3659" s="7">
        <f>IF($C3659="","",R3659-V3659)</f>
        <v/>
      </c>
      <c r="X3659" s="7">
        <f>IF($C3659="","",W3659-K3659)</f>
        <v/>
      </c>
      <c r="AB3659" s="7" t="n"/>
      <c r="AE3659" s="11" t="n"/>
      <c r="AG3659">
        <f>IF($C3659="","",IF(COUNTIF($C$2:$C3659,$C3659)=1,1,0))</f>
        <v/>
      </c>
      <c r="AH3659">
        <f>IF($AG3659=1,SUMPRODUCT(--($AK$2:$AK$6001&lt;$AK3659))+1,"")</f>
        <v/>
      </c>
      <c r="AI3659">
        <f>IF($C3659="","",IF(OR($N3659=TRUE(),$N3659="TRUE"),1,0))</f>
        <v/>
      </c>
      <c r="AJ3659">
        <f>IF($C3659="","",IF($T3659="Yes",1,0))</f>
        <v/>
      </c>
      <c r="AK3659">
        <f>IF($AG3659=1,IFERROR(IF(VALUE($C3659)&lt;100000000,VALUE($C3659),1000000000),IFERROR(IF(VALUE(MID($C3659,2,20))&lt;100000000,VALUE(MID($C3659,2,20)),1000000000),1000000000))+ROW()/100000,"")</f>
        <v/>
      </c>
    </row>
    <row r="3660">
      <c r="D3660" s="11" t="n"/>
      <c r="K3660" s="7">
        <f>IF($C3660="","",J3660*W3660/100)</f>
        <v/>
      </c>
      <c r="Q3660" s="7" t="n"/>
      <c r="R3660" s="7" t="n"/>
      <c r="U3660">
        <f>IF($C3660="","",IF($AJ3660=1,0,IF($AI3660=1,Settings!$C$6,Settings!$C$7))*100)</f>
        <v/>
      </c>
      <c r="V3660" s="7">
        <f>IF($C3660="","",R3660*U3660/100)</f>
        <v/>
      </c>
      <c r="W3660" s="7">
        <f>IF($C3660="","",R3660-V3660)</f>
        <v/>
      </c>
      <c r="X3660" s="7">
        <f>IF($C3660="","",W3660-K3660)</f>
        <v/>
      </c>
      <c r="AB3660" s="7" t="n"/>
      <c r="AE3660" s="11" t="n"/>
      <c r="AG3660">
        <f>IF($C3660="","",IF(COUNTIF($C$2:$C3660,$C3660)=1,1,0))</f>
        <v/>
      </c>
      <c r="AH3660">
        <f>IF($AG3660=1,SUMPRODUCT(--($AK$2:$AK$6001&lt;$AK3660))+1,"")</f>
        <v/>
      </c>
      <c r="AI3660">
        <f>IF($C3660="","",IF(OR($N3660=TRUE(),$N3660="TRUE"),1,0))</f>
        <v/>
      </c>
      <c r="AJ3660">
        <f>IF($C3660="","",IF($T3660="Yes",1,0))</f>
        <v/>
      </c>
      <c r="AK3660">
        <f>IF($AG3660=1,IFERROR(IF(VALUE($C3660)&lt;100000000,VALUE($C3660),1000000000),IFERROR(IF(VALUE(MID($C3660,2,20))&lt;100000000,VALUE(MID($C3660,2,20)),1000000000),1000000000))+ROW()/100000,"")</f>
        <v/>
      </c>
    </row>
    <row r="3661">
      <c r="D3661" s="11" t="n"/>
      <c r="K3661" s="7">
        <f>IF($C3661="","",J3661*W3661/100)</f>
        <v/>
      </c>
      <c r="Q3661" s="7" t="n"/>
      <c r="R3661" s="7" t="n"/>
      <c r="U3661">
        <f>IF($C3661="","",IF($AJ3661=1,0,IF($AI3661=1,Settings!$C$6,Settings!$C$7))*100)</f>
        <v/>
      </c>
      <c r="V3661" s="7">
        <f>IF($C3661="","",R3661*U3661/100)</f>
        <v/>
      </c>
      <c r="W3661" s="7">
        <f>IF($C3661="","",R3661-V3661)</f>
        <v/>
      </c>
      <c r="X3661" s="7">
        <f>IF($C3661="","",W3661-K3661)</f>
        <v/>
      </c>
      <c r="AB3661" s="7" t="n"/>
      <c r="AE3661" s="11" t="n"/>
      <c r="AG3661">
        <f>IF($C3661="","",IF(COUNTIF($C$2:$C3661,$C3661)=1,1,0))</f>
        <v/>
      </c>
      <c r="AH3661">
        <f>IF($AG3661=1,SUMPRODUCT(--($AK$2:$AK$6001&lt;$AK3661))+1,"")</f>
        <v/>
      </c>
      <c r="AI3661">
        <f>IF($C3661="","",IF(OR($N3661=TRUE(),$N3661="TRUE"),1,0))</f>
        <v/>
      </c>
      <c r="AJ3661">
        <f>IF($C3661="","",IF($T3661="Yes",1,0))</f>
        <v/>
      </c>
      <c r="AK3661">
        <f>IF($AG3661=1,IFERROR(IF(VALUE($C3661)&lt;100000000,VALUE($C3661),1000000000),IFERROR(IF(VALUE(MID($C3661,2,20))&lt;100000000,VALUE(MID($C3661,2,20)),1000000000),1000000000))+ROW()/100000,"")</f>
        <v/>
      </c>
    </row>
    <row r="3662">
      <c r="D3662" s="11" t="n"/>
      <c r="K3662" s="7">
        <f>IF($C3662="","",J3662*W3662/100)</f>
        <v/>
      </c>
      <c r="Q3662" s="7" t="n"/>
      <c r="R3662" s="7" t="n"/>
      <c r="U3662">
        <f>IF($C3662="","",IF($AJ3662=1,0,IF($AI3662=1,Settings!$C$6,Settings!$C$7))*100)</f>
        <v/>
      </c>
      <c r="V3662" s="7">
        <f>IF($C3662="","",R3662*U3662/100)</f>
        <v/>
      </c>
      <c r="W3662" s="7">
        <f>IF($C3662="","",R3662-V3662)</f>
        <v/>
      </c>
      <c r="X3662" s="7">
        <f>IF($C3662="","",W3662-K3662)</f>
        <v/>
      </c>
      <c r="AB3662" s="7" t="n"/>
      <c r="AE3662" s="11" t="n"/>
      <c r="AG3662">
        <f>IF($C3662="","",IF(COUNTIF($C$2:$C3662,$C3662)=1,1,0))</f>
        <v/>
      </c>
      <c r="AH3662">
        <f>IF($AG3662=1,SUMPRODUCT(--($AK$2:$AK$6001&lt;$AK3662))+1,"")</f>
        <v/>
      </c>
      <c r="AI3662">
        <f>IF($C3662="","",IF(OR($N3662=TRUE(),$N3662="TRUE"),1,0))</f>
        <v/>
      </c>
      <c r="AJ3662">
        <f>IF($C3662="","",IF($T3662="Yes",1,0))</f>
        <v/>
      </c>
      <c r="AK3662">
        <f>IF($AG3662=1,IFERROR(IF(VALUE($C3662)&lt;100000000,VALUE($C3662),1000000000),IFERROR(IF(VALUE(MID($C3662,2,20))&lt;100000000,VALUE(MID($C3662,2,20)),1000000000),1000000000))+ROW()/100000,"")</f>
        <v/>
      </c>
    </row>
    <row r="3663">
      <c r="D3663" s="11" t="n"/>
      <c r="K3663" s="7">
        <f>IF($C3663="","",J3663*W3663/100)</f>
        <v/>
      </c>
      <c r="Q3663" s="7" t="n"/>
      <c r="R3663" s="7" t="n"/>
      <c r="U3663">
        <f>IF($C3663="","",IF($AJ3663=1,0,IF($AI3663=1,Settings!$C$6,Settings!$C$7))*100)</f>
        <v/>
      </c>
      <c r="V3663" s="7">
        <f>IF($C3663="","",R3663*U3663/100)</f>
        <v/>
      </c>
      <c r="W3663" s="7">
        <f>IF($C3663="","",R3663-V3663)</f>
        <v/>
      </c>
      <c r="X3663" s="7">
        <f>IF($C3663="","",W3663-K3663)</f>
        <v/>
      </c>
      <c r="AB3663" s="7" t="n"/>
      <c r="AE3663" s="11" t="n"/>
      <c r="AG3663">
        <f>IF($C3663="","",IF(COUNTIF($C$2:$C3663,$C3663)=1,1,0))</f>
        <v/>
      </c>
      <c r="AH3663">
        <f>IF($AG3663=1,SUMPRODUCT(--($AK$2:$AK$6001&lt;$AK3663))+1,"")</f>
        <v/>
      </c>
      <c r="AI3663">
        <f>IF($C3663="","",IF(OR($N3663=TRUE(),$N3663="TRUE"),1,0))</f>
        <v/>
      </c>
      <c r="AJ3663">
        <f>IF($C3663="","",IF($T3663="Yes",1,0))</f>
        <v/>
      </c>
      <c r="AK3663">
        <f>IF($AG3663=1,IFERROR(IF(VALUE($C3663)&lt;100000000,VALUE($C3663),1000000000),IFERROR(IF(VALUE(MID($C3663,2,20))&lt;100000000,VALUE(MID($C3663,2,20)),1000000000),1000000000))+ROW()/100000,"")</f>
        <v/>
      </c>
    </row>
    <row r="3664">
      <c r="D3664" s="11" t="n"/>
      <c r="K3664" s="7">
        <f>IF($C3664="","",J3664*W3664/100)</f>
        <v/>
      </c>
      <c r="Q3664" s="7" t="n"/>
      <c r="R3664" s="7" t="n"/>
      <c r="U3664">
        <f>IF($C3664="","",IF($AJ3664=1,0,IF($AI3664=1,Settings!$C$6,Settings!$C$7))*100)</f>
        <v/>
      </c>
      <c r="V3664" s="7">
        <f>IF($C3664="","",R3664*U3664/100)</f>
        <v/>
      </c>
      <c r="W3664" s="7">
        <f>IF($C3664="","",R3664-V3664)</f>
        <v/>
      </c>
      <c r="X3664" s="7">
        <f>IF($C3664="","",W3664-K3664)</f>
        <v/>
      </c>
      <c r="AB3664" s="7" t="n"/>
      <c r="AE3664" s="11" t="n"/>
      <c r="AG3664">
        <f>IF($C3664="","",IF(COUNTIF($C$2:$C3664,$C3664)=1,1,0))</f>
        <v/>
      </c>
      <c r="AH3664">
        <f>IF($AG3664=1,SUMPRODUCT(--($AK$2:$AK$6001&lt;$AK3664))+1,"")</f>
        <v/>
      </c>
      <c r="AI3664">
        <f>IF($C3664="","",IF(OR($N3664=TRUE(),$N3664="TRUE"),1,0))</f>
        <v/>
      </c>
      <c r="AJ3664">
        <f>IF($C3664="","",IF($T3664="Yes",1,0))</f>
        <v/>
      </c>
      <c r="AK3664">
        <f>IF($AG3664=1,IFERROR(IF(VALUE($C3664)&lt;100000000,VALUE($C3664),1000000000),IFERROR(IF(VALUE(MID($C3664,2,20))&lt;100000000,VALUE(MID($C3664,2,20)),1000000000),1000000000))+ROW()/100000,"")</f>
        <v/>
      </c>
    </row>
    <row r="3665">
      <c r="D3665" s="11" t="n"/>
      <c r="K3665" s="7">
        <f>IF($C3665="","",J3665*W3665/100)</f>
        <v/>
      </c>
      <c r="Q3665" s="7" t="n"/>
      <c r="R3665" s="7" t="n"/>
      <c r="U3665">
        <f>IF($C3665="","",IF($AJ3665=1,0,IF($AI3665=1,Settings!$C$6,Settings!$C$7))*100)</f>
        <v/>
      </c>
      <c r="V3665" s="7">
        <f>IF($C3665="","",R3665*U3665/100)</f>
        <v/>
      </c>
      <c r="W3665" s="7">
        <f>IF($C3665="","",R3665-V3665)</f>
        <v/>
      </c>
      <c r="X3665" s="7">
        <f>IF($C3665="","",W3665-K3665)</f>
        <v/>
      </c>
      <c r="AB3665" s="7" t="n"/>
      <c r="AE3665" s="11" t="n"/>
      <c r="AG3665">
        <f>IF($C3665="","",IF(COUNTIF($C$2:$C3665,$C3665)=1,1,0))</f>
        <v/>
      </c>
      <c r="AH3665">
        <f>IF($AG3665=1,SUMPRODUCT(--($AK$2:$AK$6001&lt;$AK3665))+1,"")</f>
        <v/>
      </c>
      <c r="AI3665">
        <f>IF($C3665="","",IF(OR($N3665=TRUE(),$N3665="TRUE"),1,0))</f>
        <v/>
      </c>
      <c r="AJ3665">
        <f>IF($C3665="","",IF($T3665="Yes",1,0))</f>
        <v/>
      </c>
      <c r="AK3665">
        <f>IF($AG3665=1,IFERROR(IF(VALUE($C3665)&lt;100000000,VALUE($C3665),1000000000),IFERROR(IF(VALUE(MID($C3665,2,20))&lt;100000000,VALUE(MID($C3665,2,20)),1000000000),1000000000))+ROW()/100000,"")</f>
        <v/>
      </c>
    </row>
    <row r="3666">
      <c r="D3666" s="11" t="n"/>
      <c r="K3666" s="7">
        <f>IF($C3666="","",J3666*W3666/100)</f>
        <v/>
      </c>
      <c r="Q3666" s="7" t="n"/>
      <c r="R3666" s="7" t="n"/>
      <c r="U3666">
        <f>IF($C3666="","",IF($AJ3666=1,0,IF($AI3666=1,Settings!$C$6,Settings!$C$7))*100)</f>
        <v/>
      </c>
      <c r="V3666" s="7">
        <f>IF($C3666="","",R3666*U3666/100)</f>
        <v/>
      </c>
      <c r="W3666" s="7">
        <f>IF($C3666="","",R3666-V3666)</f>
        <v/>
      </c>
      <c r="X3666" s="7">
        <f>IF($C3666="","",W3666-K3666)</f>
        <v/>
      </c>
      <c r="AB3666" s="7" t="n"/>
      <c r="AE3666" s="11" t="n"/>
      <c r="AG3666">
        <f>IF($C3666="","",IF(COUNTIF($C$2:$C3666,$C3666)=1,1,0))</f>
        <v/>
      </c>
      <c r="AH3666">
        <f>IF($AG3666=1,SUMPRODUCT(--($AK$2:$AK$6001&lt;$AK3666))+1,"")</f>
        <v/>
      </c>
      <c r="AI3666">
        <f>IF($C3666="","",IF(OR($N3666=TRUE(),$N3666="TRUE"),1,0))</f>
        <v/>
      </c>
      <c r="AJ3666">
        <f>IF($C3666="","",IF($T3666="Yes",1,0))</f>
        <v/>
      </c>
      <c r="AK3666">
        <f>IF($AG3666=1,IFERROR(IF(VALUE($C3666)&lt;100000000,VALUE($C3666),1000000000),IFERROR(IF(VALUE(MID($C3666,2,20))&lt;100000000,VALUE(MID($C3666,2,20)),1000000000),1000000000))+ROW()/100000,"")</f>
        <v/>
      </c>
    </row>
    <row r="3667">
      <c r="D3667" s="11" t="n"/>
      <c r="K3667" s="7">
        <f>IF($C3667="","",J3667*W3667/100)</f>
        <v/>
      </c>
      <c r="Q3667" s="7" t="n"/>
      <c r="R3667" s="7" t="n"/>
      <c r="U3667">
        <f>IF($C3667="","",IF($AJ3667=1,0,IF($AI3667=1,Settings!$C$6,Settings!$C$7))*100)</f>
        <v/>
      </c>
      <c r="V3667" s="7">
        <f>IF($C3667="","",R3667*U3667/100)</f>
        <v/>
      </c>
      <c r="W3667" s="7">
        <f>IF($C3667="","",R3667-V3667)</f>
        <v/>
      </c>
      <c r="X3667" s="7">
        <f>IF($C3667="","",W3667-K3667)</f>
        <v/>
      </c>
      <c r="AB3667" s="7" t="n"/>
      <c r="AE3667" s="11" t="n"/>
      <c r="AG3667">
        <f>IF($C3667="","",IF(COUNTIF($C$2:$C3667,$C3667)=1,1,0))</f>
        <v/>
      </c>
      <c r="AH3667">
        <f>IF($AG3667=1,SUMPRODUCT(--($AK$2:$AK$6001&lt;$AK3667))+1,"")</f>
        <v/>
      </c>
      <c r="AI3667">
        <f>IF($C3667="","",IF(OR($N3667=TRUE(),$N3667="TRUE"),1,0))</f>
        <v/>
      </c>
      <c r="AJ3667">
        <f>IF($C3667="","",IF($T3667="Yes",1,0))</f>
        <v/>
      </c>
      <c r="AK3667">
        <f>IF($AG3667=1,IFERROR(IF(VALUE($C3667)&lt;100000000,VALUE($C3667),1000000000),IFERROR(IF(VALUE(MID($C3667,2,20))&lt;100000000,VALUE(MID($C3667,2,20)),1000000000),1000000000))+ROW()/100000,"")</f>
        <v/>
      </c>
    </row>
    <row r="3668">
      <c r="D3668" s="11" t="n"/>
      <c r="K3668" s="7">
        <f>IF($C3668="","",J3668*W3668/100)</f>
        <v/>
      </c>
      <c r="Q3668" s="7" t="n"/>
      <c r="R3668" s="7" t="n"/>
      <c r="U3668">
        <f>IF($C3668="","",IF($AJ3668=1,0,IF($AI3668=1,Settings!$C$6,Settings!$C$7))*100)</f>
        <v/>
      </c>
      <c r="V3668" s="7">
        <f>IF($C3668="","",R3668*U3668/100)</f>
        <v/>
      </c>
      <c r="W3668" s="7">
        <f>IF($C3668="","",R3668-V3668)</f>
        <v/>
      </c>
      <c r="X3668" s="7">
        <f>IF($C3668="","",W3668-K3668)</f>
        <v/>
      </c>
      <c r="AB3668" s="7" t="n"/>
      <c r="AE3668" s="11" t="n"/>
      <c r="AG3668">
        <f>IF($C3668="","",IF(COUNTIF($C$2:$C3668,$C3668)=1,1,0))</f>
        <v/>
      </c>
      <c r="AH3668">
        <f>IF($AG3668=1,SUMPRODUCT(--($AK$2:$AK$6001&lt;$AK3668))+1,"")</f>
        <v/>
      </c>
      <c r="AI3668">
        <f>IF($C3668="","",IF(OR($N3668=TRUE(),$N3668="TRUE"),1,0))</f>
        <v/>
      </c>
      <c r="AJ3668">
        <f>IF($C3668="","",IF($T3668="Yes",1,0))</f>
        <v/>
      </c>
      <c r="AK3668">
        <f>IF($AG3668=1,IFERROR(IF(VALUE($C3668)&lt;100000000,VALUE($C3668),1000000000),IFERROR(IF(VALUE(MID($C3668,2,20))&lt;100000000,VALUE(MID($C3668,2,20)),1000000000),1000000000))+ROW()/100000,"")</f>
        <v/>
      </c>
    </row>
    <row r="3669">
      <c r="D3669" s="11" t="n"/>
      <c r="K3669" s="7">
        <f>IF($C3669="","",J3669*W3669/100)</f>
        <v/>
      </c>
      <c r="Q3669" s="7" t="n"/>
      <c r="R3669" s="7" t="n"/>
      <c r="U3669">
        <f>IF($C3669="","",IF($AJ3669=1,0,IF($AI3669=1,Settings!$C$6,Settings!$C$7))*100)</f>
        <v/>
      </c>
      <c r="V3669" s="7">
        <f>IF($C3669="","",R3669*U3669/100)</f>
        <v/>
      </c>
      <c r="W3669" s="7">
        <f>IF($C3669="","",R3669-V3669)</f>
        <v/>
      </c>
      <c r="X3669" s="7">
        <f>IF($C3669="","",W3669-K3669)</f>
        <v/>
      </c>
      <c r="AB3669" s="7" t="n"/>
      <c r="AE3669" s="11" t="n"/>
      <c r="AG3669">
        <f>IF($C3669="","",IF(COUNTIF($C$2:$C3669,$C3669)=1,1,0))</f>
        <v/>
      </c>
      <c r="AH3669">
        <f>IF($AG3669=1,SUMPRODUCT(--($AK$2:$AK$6001&lt;$AK3669))+1,"")</f>
        <v/>
      </c>
      <c r="AI3669">
        <f>IF($C3669="","",IF(OR($N3669=TRUE(),$N3669="TRUE"),1,0))</f>
        <v/>
      </c>
      <c r="AJ3669">
        <f>IF($C3669="","",IF($T3669="Yes",1,0))</f>
        <v/>
      </c>
      <c r="AK3669">
        <f>IF($AG3669=1,IFERROR(IF(VALUE($C3669)&lt;100000000,VALUE($C3669),1000000000),IFERROR(IF(VALUE(MID($C3669,2,20))&lt;100000000,VALUE(MID($C3669,2,20)),1000000000),1000000000))+ROW()/100000,"")</f>
        <v/>
      </c>
    </row>
    <row r="3670">
      <c r="D3670" s="11" t="n"/>
      <c r="K3670" s="7">
        <f>IF($C3670="","",J3670*W3670/100)</f>
        <v/>
      </c>
      <c r="Q3670" s="7" t="n"/>
      <c r="R3670" s="7" t="n"/>
      <c r="U3670">
        <f>IF($C3670="","",IF($AJ3670=1,0,IF($AI3670=1,Settings!$C$6,Settings!$C$7))*100)</f>
        <v/>
      </c>
      <c r="V3670" s="7">
        <f>IF($C3670="","",R3670*U3670/100)</f>
        <v/>
      </c>
      <c r="W3670" s="7">
        <f>IF($C3670="","",R3670-V3670)</f>
        <v/>
      </c>
      <c r="X3670" s="7">
        <f>IF($C3670="","",W3670-K3670)</f>
        <v/>
      </c>
      <c r="AB3670" s="7" t="n"/>
      <c r="AE3670" s="11" t="n"/>
      <c r="AG3670">
        <f>IF($C3670="","",IF(COUNTIF($C$2:$C3670,$C3670)=1,1,0))</f>
        <v/>
      </c>
      <c r="AH3670">
        <f>IF($AG3670=1,SUMPRODUCT(--($AK$2:$AK$6001&lt;$AK3670))+1,"")</f>
        <v/>
      </c>
      <c r="AI3670">
        <f>IF($C3670="","",IF(OR($N3670=TRUE(),$N3670="TRUE"),1,0))</f>
        <v/>
      </c>
      <c r="AJ3670">
        <f>IF($C3670="","",IF($T3670="Yes",1,0))</f>
        <v/>
      </c>
      <c r="AK3670">
        <f>IF($AG3670=1,IFERROR(IF(VALUE($C3670)&lt;100000000,VALUE($C3670),1000000000),IFERROR(IF(VALUE(MID($C3670,2,20))&lt;100000000,VALUE(MID($C3670,2,20)),1000000000),1000000000))+ROW()/100000,"")</f>
        <v/>
      </c>
    </row>
    <row r="3671">
      <c r="D3671" s="11" t="n"/>
      <c r="K3671" s="7">
        <f>IF($C3671="","",J3671*W3671/100)</f>
        <v/>
      </c>
      <c r="Q3671" s="7" t="n"/>
      <c r="R3671" s="7" t="n"/>
      <c r="U3671">
        <f>IF($C3671="","",IF($AJ3671=1,0,IF($AI3671=1,Settings!$C$6,Settings!$C$7))*100)</f>
        <v/>
      </c>
      <c r="V3671" s="7">
        <f>IF($C3671="","",R3671*U3671/100)</f>
        <v/>
      </c>
      <c r="W3671" s="7">
        <f>IF($C3671="","",R3671-V3671)</f>
        <v/>
      </c>
      <c r="X3671" s="7">
        <f>IF($C3671="","",W3671-K3671)</f>
        <v/>
      </c>
      <c r="AB3671" s="7" t="n"/>
      <c r="AE3671" s="11" t="n"/>
      <c r="AG3671">
        <f>IF($C3671="","",IF(COUNTIF($C$2:$C3671,$C3671)=1,1,0))</f>
        <v/>
      </c>
      <c r="AH3671">
        <f>IF($AG3671=1,SUMPRODUCT(--($AK$2:$AK$6001&lt;$AK3671))+1,"")</f>
        <v/>
      </c>
      <c r="AI3671">
        <f>IF($C3671="","",IF(OR($N3671=TRUE(),$N3671="TRUE"),1,0))</f>
        <v/>
      </c>
      <c r="AJ3671">
        <f>IF($C3671="","",IF($T3671="Yes",1,0))</f>
        <v/>
      </c>
      <c r="AK3671">
        <f>IF($AG3671=1,IFERROR(IF(VALUE($C3671)&lt;100000000,VALUE($C3671),1000000000),IFERROR(IF(VALUE(MID($C3671,2,20))&lt;100000000,VALUE(MID($C3671,2,20)),1000000000),1000000000))+ROW()/100000,"")</f>
        <v/>
      </c>
    </row>
    <row r="3672">
      <c r="D3672" s="11" t="n"/>
      <c r="K3672" s="7">
        <f>IF($C3672="","",J3672*W3672/100)</f>
        <v/>
      </c>
      <c r="Q3672" s="7" t="n"/>
      <c r="R3672" s="7" t="n"/>
      <c r="U3672">
        <f>IF($C3672="","",IF($AJ3672=1,0,IF($AI3672=1,Settings!$C$6,Settings!$C$7))*100)</f>
        <v/>
      </c>
      <c r="V3672" s="7">
        <f>IF($C3672="","",R3672*U3672/100)</f>
        <v/>
      </c>
      <c r="W3672" s="7">
        <f>IF($C3672="","",R3672-V3672)</f>
        <v/>
      </c>
      <c r="X3672" s="7">
        <f>IF($C3672="","",W3672-K3672)</f>
        <v/>
      </c>
      <c r="AB3672" s="7" t="n"/>
      <c r="AE3672" s="11" t="n"/>
      <c r="AG3672">
        <f>IF($C3672="","",IF(COUNTIF($C$2:$C3672,$C3672)=1,1,0))</f>
        <v/>
      </c>
      <c r="AH3672">
        <f>IF($AG3672=1,SUMPRODUCT(--($AK$2:$AK$6001&lt;$AK3672))+1,"")</f>
        <v/>
      </c>
      <c r="AI3672">
        <f>IF($C3672="","",IF(OR($N3672=TRUE(),$N3672="TRUE"),1,0))</f>
        <v/>
      </c>
      <c r="AJ3672">
        <f>IF($C3672="","",IF($T3672="Yes",1,0))</f>
        <v/>
      </c>
      <c r="AK3672">
        <f>IF($AG3672=1,IFERROR(IF(VALUE($C3672)&lt;100000000,VALUE($C3672),1000000000),IFERROR(IF(VALUE(MID($C3672,2,20))&lt;100000000,VALUE(MID($C3672,2,20)),1000000000),1000000000))+ROW()/100000,"")</f>
        <v/>
      </c>
    </row>
    <row r="3673">
      <c r="D3673" s="11" t="n"/>
      <c r="K3673" s="7">
        <f>IF($C3673="","",J3673*W3673/100)</f>
        <v/>
      </c>
      <c r="Q3673" s="7" t="n"/>
      <c r="R3673" s="7" t="n"/>
      <c r="U3673">
        <f>IF($C3673="","",IF($AJ3673=1,0,IF($AI3673=1,Settings!$C$6,Settings!$C$7))*100)</f>
        <v/>
      </c>
      <c r="V3673" s="7">
        <f>IF($C3673="","",R3673*U3673/100)</f>
        <v/>
      </c>
      <c r="W3673" s="7">
        <f>IF($C3673="","",R3673-V3673)</f>
        <v/>
      </c>
      <c r="X3673" s="7">
        <f>IF($C3673="","",W3673-K3673)</f>
        <v/>
      </c>
      <c r="AB3673" s="7" t="n"/>
      <c r="AE3673" s="11" t="n"/>
      <c r="AG3673">
        <f>IF($C3673="","",IF(COUNTIF($C$2:$C3673,$C3673)=1,1,0))</f>
        <v/>
      </c>
      <c r="AH3673">
        <f>IF($AG3673=1,SUMPRODUCT(--($AK$2:$AK$6001&lt;$AK3673))+1,"")</f>
        <v/>
      </c>
      <c r="AI3673">
        <f>IF($C3673="","",IF(OR($N3673=TRUE(),$N3673="TRUE"),1,0))</f>
        <v/>
      </c>
      <c r="AJ3673">
        <f>IF($C3673="","",IF($T3673="Yes",1,0))</f>
        <v/>
      </c>
      <c r="AK3673">
        <f>IF($AG3673=1,IFERROR(IF(VALUE($C3673)&lt;100000000,VALUE($C3673),1000000000),IFERROR(IF(VALUE(MID($C3673,2,20))&lt;100000000,VALUE(MID($C3673,2,20)),1000000000),1000000000))+ROW()/100000,"")</f>
        <v/>
      </c>
    </row>
    <row r="3674">
      <c r="D3674" s="11" t="n"/>
      <c r="K3674" s="7">
        <f>IF($C3674="","",J3674*W3674/100)</f>
        <v/>
      </c>
      <c r="Q3674" s="7" t="n"/>
      <c r="R3674" s="7" t="n"/>
      <c r="U3674">
        <f>IF($C3674="","",IF($AJ3674=1,0,IF($AI3674=1,Settings!$C$6,Settings!$C$7))*100)</f>
        <v/>
      </c>
      <c r="V3674" s="7">
        <f>IF($C3674="","",R3674*U3674/100)</f>
        <v/>
      </c>
      <c r="W3674" s="7">
        <f>IF($C3674="","",R3674-V3674)</f>
        <v/>
      </c>
      <c r="X3674" s="7">
        <f>IF($C3674="","",W3674-K3674)</f>
        <v/>
      </c>
      <c r="AB3674" s="7" t="n"/>
      <c r="AE3674" s="11" t="n"/>
      <c r="AG3674">
        <f>IF($C3674="","",IF(COUNTIF($C$2:$C3674,$C3674)=1,1,0))</f>
        <v/>
      </c>
      <c r="AH3674">
        <f>IF($AG3674=1,SUMPRODUCT(--($AK$2:$AK$6001&lt;$AK3674))+1,"")</f>
        <v/>
      </c>
      <c r="AI3674">
        <f>IF($C3674="","",IF(OR($N3674=TRUE(),$N3674="TRUE"),1,0))</f>
        <v/>
      </c>
      <c r="AJ3674">
        <f>IF($C3674="","",IF($T3674="Yes",1,0))</f>
        <v/>
      </c>
      <c r="AK3674">
        <f>IF($AG3674=1,IFERROR(IF(VALUE($C3674)&lt;100000000,VALUE($C3674),1000000000),IFERROR(IF(VALUE(MID($C3674,2,20))&lt;100000000,VALUE(MID($C3674,2,20)),1000000000),1000000000))+ROW()/100000,"")</f>
        <v/>
      </c>
    </row>
    <row r="3675">
      <c r="D3675" s="11" t="n"/>
      <c r="K3675" s="7">
        <f>IF($C3675="","",J3675*W3675/100)</f>
        <v/>
      </c>
      <c r="Q3675" s="7" t="n"/>
      <c r="R3675" s="7" t="n"/>
      <c r="U3675">
        <f>IF($C3675="","",IF($AJ3675=1,0,IF($AI3675=1,Settings!$C$6,Settings!$C$7))*100)</f>
        <v/>
      </c>
      <c r="V3675" s="7">
        <f>IF($C3675="","",R3675*U3675/100)</f>
        <v/>
      </c>
      <c r="W3675" s="7">
        <f>IF($C3675="","",R3675-V3675)</f>
        <v/>
      </c>
      <c r="X3675" s="7">
        <f>IF($C3675="","",W3675-K3675)</f>
        <v/>
      </c>
      <c r="AB3675" s="7" t="n"/>
      <c r="AE3675" s="11" t="n"/>
      <c r="AG3675">
        <f>IF($C3675="","",IF(COUNTIF($C$2:$C3675,$C3675)=1,1,0))</f>
        <v/>
      </c>
      <c r="AH3675">
        <f>IF($AG3675=1,SUMPRODUCT(--($AK$2:$AK$6001&lt;$AK3675))+1,"")</f>
        <v/>
      </c>
      <c r="AI3675">
        <f>IF($C3675="","",IF(OR($N3675=TRUE(),$N3675="TRUE"),1,0))</f>
        <v/>
      </c>
      <c r="AJ3675">
        <f>IF($C3675="","",IF($T3675="Yes",1,0))</f>
        <v/>
      </c>
      <c r="AK3675">
        <f>IF($AG3675=1,IFERROR(IF(VALUE($C3675)&lt;100000000,VALUE($C3675),1000000000),IFERROR(IF(VALUE(MID($C3675,2,20))&lt;100000000,VALUE(MID($C3675,2,20)),1000000000),1000000000))+ROW()/100000,"")</f>
        <v/>
      </c>
    </row>
    <row r="3676">
      <c r="D3676" s="11" t="n"/>
      <c r="K3676" s="7">
        <f>IF($C3676="","",J3676*W3676/100)</f>
        <v/>
      </c>
      <c r="Q3676" s="7" t="n"/>
      <c r="R3676" s="7" t="n"/>
      <c r="U3676">
        <f>IF($C3676="","",IF($AJ3676=1,0,IF($AI3676=1,Settings!$C$6,Settings!$C$7))*100)</f>
        <v/>
      </c>
      <c r="V3676" s="7">
        <f>IF($C3676="","",R3676*U3676/100)</f>
        <v/>
      </c>
      <c r="W3676" s="7">
        <f>IF($C3676="","",R3676-V3676)</f>
        <v/>
      </c>
      <c r="X3676" s="7">
        <f>IF($C3676="","",W3676-K3676)</f>
        <v/>
      </c>
      <c r="AB3676" s="7" t="n"/>
      <c r="AE3676" s="11" t="n"/>
      <c r="AG3676">
        <f>IF($C3676="","",IF(COUNTIF($C$2:$C3676,$C3676)=1,1,0))</f>
        <v/>
      </c>
      <c r="AH3676">
        <f>IF($AG3676=1,SUMPRODUCT(--($AK$2:$AK$6001&lt;$AK3676))+1,"")</f>
        <v/>
      </c>
      <c r="AI3676">
        <f>IF($C3676="","",IF(OR($N3676=TRUE(),$N3676="TRUE"),1,0))</f>
        <v/>
      </c>
      <c r="AJ3676">
        <f>IF($C3676="","",IF($T3676="Yes",1,0))</f>
        <v/>
      </c>
      <c r="AK3676">
        <f>IF($AG3676=1,IFERROR(IF(VALUE($C3676)&lt;100000000,VALUE($C3676),1000000000),IFERROR(IF(VALUE(MID($C3676,2,20))&lt;100000000,VALUE(MID($C3676,2,20)),1000000000),1000000000))+ROW()/100000,"")</f>
        <v/>
      </c>
    </row>
    <row r="3677">
      <c r="D3677" s="11" t="n"/>
      <c r="K3677" s="7">
        <f>IF($C3677="","",J3677*W3677/100)</f>
        <v/>
      </c>
      <c r="Q3677" s="7" t="n"/>
      <c r="R3677" s="7" t="n"/>
      <c r="U3677">
        <f>IF($C3677="","",IF($AJ3677=1,0,IF($AI3677=1,Settings!$C$6,Settings!$C$7))*100)</f>
        <v/>
      </c>
      <c r="V3677" s="7">
        <f>IF($C3677="","",R3677*U3677/100)</f>
        <v/>
      </c>
      <c r="W3677" s="7">
        <f>IF($C3677="","",R3677-V3677)</f>
        <v/>
      </c>
      <c r="X3677" s="7">
        <f>IF($C3677="","",W3677-K3677)</f>
        <v/>
      </c>
      <c r="AB3677" s="7" t="n"/>
      <c r="AE3677" s="11" t="n"/>
      <c r="AG3677">
        <f>IF($C3677="","",IF(COUNTIF($C$2:$C3677,$C3677)=1,1,0))</f>
        <v/>
      </c>
      <c r="AH3677">
        <f>IF($AG3677=1,SUMPRODUCT(--($AK$2:$AK$6001&lt;$AK3677))+1,"")</f>
        <v/>
      </c>
      <c r="AI3677">
        <f>IF($C3677="","",IF(OR($N3677=TRUE(),$N3677="TRUE"),1,0))</f>
        <v/>
      </c>
      <c r="AJ3677">
        <f>IF($C3677="","",IF($T3677="Yes",1,0))</f>
        <v/>
      </c>
      <c r="AK3677">
        <f>IF($AG3677=1,IFERROR(IF(VALUE($C3677)&lt;100000000,VALUE($C3677),1000000000),IFERROR(IF(VALUE(MID($C3677,2,20))&lt;100000000,VALUE(MID($C3677,2,20)),1000000000),1000000000))+ROW()/100000,"")</f>
        <v/>
      </c>
    </row>
    <row r="3678">
      <c r="D3678" s="11" t="n"/>
      <c r="K3678" s="7">
        <f>IF($C3678="","",J3678*W3678/100)</f>
        <v/>
      </c>
      <c r="Q3678" s="7" t="n"/>
      <c r="R3678" s="7" t="n"/>
      <c r="U3678">
        <f>IF($C3678="","",IF($AJ3678=1,0,IF($AI3678=1,Settings!$C$6,Settings!$C$7))*100)</f>
        <v/>
      </c>
      <c r="V3678" s="7">
        <f>IF($C3678="","",R3678*U3678/100)</f>
        <v/>
      </c>
      <c r="W3678" s="7">
        <f>IF($C3678="","",R3678-V3678)</f>
        <v/>
      </c>
      <c r="X3678" s="7">
        <f>IF($C3678="","",W3678-K3678)</f>
        <v/>
      </c>
      <c r="AB3678" s="7" t="n"/>
      <c r="AE3678" s="11" t="n"/>
      <c r="AG3678">
        <f>IF($C3678="","",IF(COUNTIF($C$2:$C3678,$C3678)=1,1,0))</f>
        <v/>
      </c>
      <c r="AH3678">
        <f>IF($AG3678=1,SUMPRODUCT(--($AK$2:$AK$6001&lt;$AK3678))+1,"")</f>
        <v/>
      </c>
      <c r="AI3678">
        <f>IF($C3678="","",IF(OR($N3678=TRUE(),$N3678="TRUE"),1,0))</f>
        <v/>
      </c>
      <c r="AJ3678">
        <f>IF($C3678="","",IF($T3678="Yes",1,0))</f>
        <v/>
      </c>
      <c r="AK3678">
        <f>IF($AG3678=1,IFERROR(IF(VALUE($C3678)&lt;100000000,VALUE($C3678),1000000000),IFERROR(IF(VALUE(MID($C3678,2,20))&lt;100000000,VALUE(MID($C3678,2,20)),1000000000),1000000000))+ROW()/100000,"")</f>
        <v/>
      </c>
    </row>
    <row r="3679">
      <c r="D3679" s="11" t="n"/>
      <c r="K3679" s="7">
        <f>IF($C3679="","",J3679*W3679/100)</f>
        <v/>
      </c>
      <c r="Q3679" s="7" t="n"/>
      <c r="R3679" s="7" t="n"/>
      <c r="U3679">
        <f>IF($C3679="","",IF($AJ3679=1,0,IF($AI3679=1,Settings!$C$6,Settings!$C$7))*100)</f>
        <v/>
      </c>
      <c r="V3679" s="7">
        <f>IF($C3679="","",R3679*U3679/100)</f>
        <v/>
      </c>
      <c r="W3679" s="7">
        <f>IF($C3679="","",R3679-V3679)</f>
        <v/>
      </c>
      <c r="X3679" s="7">
        <f>IF($C3679="","",W3679-K3679)</f>
        <v/>
      </c>
      <c r="AB3679" s="7" t="n"/>
      <c r="AE3679" s="11" t="n"/>
      <c r="AG3679">
        <f>IF($C3679="","",IF(COUNTIF($C$2:$C3679,$C3679)=1,1,0))</f>
        <v/>
      </c>
      <c r="AH3679">
        <f>IF($AG3679=1,SUMPRODUCT(--($AK$2:$AK$6001&lt;$AK3679))+1,"")</f>
        <v/>
      </c>
      <c r="AI3679">
        <f>IF($C3679="","",IF(OR($N3679=TRUE(),$N3679="TRUE"),1,0))</f>
        <v/>
      </c>
      <c r="AJ3679">
        <f>IF($C3679="","",IF($T3679="Yes",1,0))</f>
        <v/>
      </c>
      <c r="AK3679">
        <f>IF($AG3679=1,IFERROR(IF(VALUE($C3679)&lt;100000000,VALUE($C3679),1000000000),IFERROR(IF(VALUE(MID($C3679,2,20))&lt;100000000,VALUE(MID($C3679,2,20)),1000000000),1000000000))+ROW()/100000,"")</f>
        <v/>
      </c>
    </row>
    <row r="3680">
      <c r="D3680" s="11" t="n"/>
      <c r="K3680" s="7">
        <f>IF($C3680="","",J3680*W3680/100)</f>
        <v/>
      </c>
      <c r="Q3680" s="7" t="n"/>
      <c r="R3680" s="7" t="n"/>
      <c r="U3680">
        <f>IF($C3680="","",IF($AJ3680=1,0,IF($AI3680=1,Settings!$C$6,Settings!$C$7))*100)</f>
        <v/>
      </c>
      <c r="V3680" s="7">
        <f>IF($C3680="","",R3680*U3680/100)</f>
        <v/>
      </c>
      <c r="W3680" s="7">
        <f>IF($C3680="","",R3680-V3680)</f>
        <v/>
      </c>
      <c r="X3680" s="7">
        <f>IF($C3680="","",W3680-K3680)</f>
        <v/>
      </c>
      <c r="AB3680" s="7" t="n"/>
      <c r="AE3680" s="11" t="n"/>
      <c r="AG3680">
        <f>IF($C3680="","",IF(COUNTIF($C$2:$C3680,$C3680)=1,1,0))</f>
        <v/>
      </c>
      <c r="AH3680">
        <f>IF($AG3680=1,SUMPRODUCT(--($AK$2:$AK$6001&lt;$AK3680))+1,"")</f>
        <v/>
      </c>
      <c r="AI3680">
        <f>IF($C3680="","",IF(OR($N3680=TRUE(),$N3680="TRUE"),1,0))</f>
        <v/>
      </c>
      <c r="AJ3680">
        <f>IF($C3680="","",IF($T3680="Yes",1,0))</f>
        <v/>
      </c>
      <c r="AK3680">
        <f>IF($AG3680=1,IFERROR(IF(VALUE($C3680)&lt;100000000,VALUE($C3680),1000000000),IFERROR(IF(VALUE(MID($C3680,2,20))&lt;100000000,VALUE(MID($C3680,2,20)),1000000000),1000000000))+ROW()/100000,"")</f>
        <v/>
      </c>
    </row>
    <row r="3681">
      <c r="D3681" s="11" t="n"/>
      <c r="K3681" s="7">
        <f>IF($C3681="","",J3681*W3681/100)</f>
        <v/>
      </c>
      <c r="Q3681" s="7" t="n"/>
      <c r="R3681" s="7" t="n"/>
      <c r="U3681">
        <f>IF($C3681="","",IF($AJ3681=1,0,IF($AI3681=1,Settings!$C$6,Settings!$C$7))*100)</f>
        <v/>
      </c>
      <c r="V3681" s="7">
        <f>IF($C3681="","",R3681*U3681/100)</f>
        <v/>
      </c>
      <c r="W3681" s="7">
        <f>IF($C3681="","",R3681-V3681)</f>
        <v/>
      </c>
      <c r="X3681" s="7">
        <f>IF($C3681="","",W3681-K3681)</f>
        <v/>
      </c>
      <c r="AB3681" s="7" t="n"/>
      <c r="AE3681" s="11" t="n"/>
      <c r="AG3681">
        <f>IF($C3681="","",IF(COUNTIF($C$2:$C3681,$C3681)=1,1,0))</f>
        <v/>
      </c>
      <c r="AH3681">
        <f>IF($AG3681=1,SUMPRODUCT(--($AK$2:$AK$6001&lt;$AK3681))+1,"")</f>
        <v/>
      </c>
      <c r="AI3681">
        <f>IF($C3681="","",IF(OR($N3681=TRUE(),$N3681="TRUE"),1,0))</f>
        <v/>
      </c>
      <c r="AJ3681">
        <f>IF($C3681="","",IF($T3681="Yes",1,0))</f>
        <v/>
      </c>
      <c r="AK3681">
        <f>IF($AG3681=1,IFERROR(IF(VALUE($C3681)&lt;100000000,VALUE($C3681),1000000000),IFERROR(IF(VALUE(MID($C3681,2,20))&lt;100000000,VALUE(MID($C3681,2,20)),1000000000),1000000000))+ROW()/100000,"")</f>
        <v/>
      </c>
    </row>
    <row r="3682">
      <c r="D3682" s="11" t="n"/>
      <c r="K3682" s="7">
        <f>IF($C3682="","",J3682*W3682/100)</f>
        <v/>
      </c>
      <c r="Q3682" s="7" t="n"/>
      <c r="R3682" s="7" t="n"/>
      <c r="U3682">
        <f>IF($C3682="","",IF($AJ3682=1,0,IF($AI3682=1,Settings!$C$6,Settings!$C$7))*100)</f>
        <v/>
      </c>
      <c r="V3682" s="7">
        <f>IF($C3682="","",R3682*U3682/100)</f>
        <v/>
      </c>
      <c r="W3682" s="7">
        <f>IF($C3682="","",R3682-V3682)</f>
        <v/>
      </c>
      <c r="X3682" s="7">
        <f>IF($C3682="","",W3682-K3682)</f>
        <v/>
      </c>
      <c r="AB3682" s="7" t="n"/>
      <c r="AE3682" s="11" t="n"/>
      <c r="AG3682">
        <f>IF($C3682="","",IF(COUNTIF($C$2:$C3682,$C3682)=1,1,0))</f>
        <v/>
      </c>
      <c r="AH3682">
        <f>IF($AG3682=1,SUMPRODUCT(--($AK$2:$AK$6001&lt;$AK3682))+1,"")</f>
        <v/>
      </c>
      <c r="AI3682">
        <f>IF($C3682="","",IF(OR($N3682=TRUE(),$N3682="TRUE"),1,0))</f>
        <v/>
      </c>
      <c r="AJ3682">
        <f>IF($C3682="","",IF($T3682="Yes",1,0))</f>
        <v/>
      </c>
      <c r="AK3682">
        <f>IF($AG3682=1,IFERROR(IF(VALUE($C3682)&lt;100000000,VALUE($C3682),1000000000),IFERROR(IF(VALUE(MID($C3682,2,20))&lt;100000000,VALUE(MID($C3682,2,20)),1000000000),1000000000))+ROW()/100000,"")</f>
        <v/>
      </c>
    </row>
    <row r="3683">
      <c r="D3683" s="11" t="n"/>
      <c r="K3683" s="7">
        <f>IF($C3683="","",J3683*W3683/100)</f>
        <v/>
      </c>
      <c r="Q3683" s="7" t="n"/>
      <c r="R3683" s="7" t="n"/>
      <c r="U3683">
        <f>IF($C3683="","",IF($AJ3683=1,0,IF($AI3683=1,Settings!$C$6,Settings!$C$7))*100)</f>
        <v/>
      </c>
      <c r="V3683" s="7">
        <f>IF($C3683="","",R3683*U3683/100)</f>
        <v/>
      </c>
      <c r="W3683" s="7">
        <f>IF($C3683="","",R3683-V3683)</f>
        <v/>
      </c>
      <c r="X3683" s="7">
        <f>IF($C3683="","",W3683-K3683)</f>
        <v/>
      </c>
      <c r="AB3683" s="7" t="n"/>
      <c r="AE3683" s="11" t="n"/>
      <c r="AG3683">
        <f>IF($C3683="","",IF(COUNTIF($C$2:$C3683,$C3683)=1,1,0))</f>
        <v/>
      </c>
      <c r="AH3683">
        <f>IF($AG3683=1,SUMPRODUCT(--($AK$2:$AK$6001&lt;$AK3683))+1,"")</f>
        <v/>
      </c>
      <c r="AI3683">
        <f>IF($C3683="","",IF(OR($N3683=TRUE(),$N3683="TRUE"),1,0))</f>
        <v/>
      </c>
      <c r="AJ3683">
        <f>IF($C3683="","",IF($T3683="Yes",1,0))</f>
        <v/>
      </c>
      <c r="AK3683">
        <f>IF($AG3683=1,IFERROR(IF(VALUE($C3683)&lt;100000000,VALUE($C3683),1000000000),IFERROR(IF(VALUE(MID($C3683,2,20))&lt;100000000,VALUE(MID($C3683,2,20)),1000000000),1000000000))+ROW()/100000,"")</f>
        <v/>
      </c>
    </row>
    <row r="3684">
      <c r="D3684" s="11" t="n"/>
      <c r="K3684" s="7">
        <f>IF($C3684="","",J3684*W3684/100)</f>
        <v/>
      </c>
      <c r="Q3684" s="7" t="n"/>
      <c r="R3684" s="7" t="n"/>
      <c r="U3684">
        <f>IF($C3684="","",IF($AJ3684=1,0,IF($AI3684=1,Settings!$C$6,Settings!$C$7))*100)</f>
        <v/>
      </c>
      <c r="V3684" s="7">
        <f>IF($C3684="","",R3684*U3684/100)</f>
        <v/>
      </c>
      <c r="W3684" s="7">
        <f>IF($C3684="","",R3684-V3684)</f>
        <v/>
      </c>
      <c r="X3684" s="7">
        <f>IF($C3684="","",W3684-K3684)</f>
        <v/>
      </c>
      <c r="AB3684" s="7" t="n"/>
      <c r="AE3684" s="11" t="n"/>
      <c r="AG3684">
        <f>IF($C3684="","",IF(COUNTIF($C$2:$C3684,$C3684)=1,1,0))</f>
        <v/>
      </c>
      <c r="AH3684">
        <f>IF($AG3684=1,SUMPRODUCT(--($AK$2:$AK$6001&lt;$AK3684))+1,"")</f>
        <v/>
      </c>
      <c r="AI3684">
        <f>IF($C3684="","",IF(OR($N3684=TRUE(),$N3684="TRUE"),1,0))</f>
        <v/>
      </c>
      <c r="AJ3684">
        <f>IF($C3684="","",IF($T3684="Yes",1,0))</f>
        <v/>
      </c>
      <c r="AK3684">
        <f>IF($AG3684=1,IFERROR(IF(VALUE($C3684)&lt;100000000,VALUE($C3684),1000000000),IFERROR(IF(VALUE(MID($C3684,2,20))&lt;100000000,VALUE(MID($C3684,2,20)),1000000000),1000000000))+ROW()/100000,"")</f>
        <v/>
      </c>
    </row>
    <row r="3685">
      <c r="D3685" s="11" t="n"/>
      <c r="K3685" s="7">
        <f>IF($C3685="","",J3685*W3685/100)</f>
        <v/>
      </c>
      <c r="Q3685" s="7" t="n"/>
      <c r="R3685" s="7" t="n"/>
      <c r="U3685">
        <f>IF($C3685="","",IF($AJ3685=1,0,IF($AI3685=1,Settings!$C$6,Settings!$C$7))*100)</f>
        <v/>
      </c>
      <c r="V3685" s="7">
        <f>IF($C3685="","",R3685*U3685/100)</f>
        <v/>
      </c>
      <c r="W3685" s="7">
        <f>IF($C3685="","",R3685-V3685)</f>
        <v/>
      </c>
      <c r="X3685" s="7">
        <f>IF($C3685="","",W3685-K3685)</f>
        <v/>
      </c>
      <c r="AB3685" s="7" t="n"/>
      <c r="AE3685" s="11" t="n"/>
      <c r="AG3685">
        <f>IF($C3685="","",IF(COUNTIF($C$2:$C3685,$C3685)=1,1,0))</f>
        <v/>
      </c>
      <c r="AH3685">
        <f>IF($AG3685=1,SUMPRODUCT(--($AK$2:$AK$6001&lt;$AK3685))+1,"")</f>
        <v/>
      </c>
      <c r="AI3685">
        <f>IF($C3685="","",IF(OR($N3685=TRUE(),$N3685="TRUE"),1,0))</f>
        <v/>
      </c>
      <c r="AJ3685">
        <f>IF($C3685="","",IF($T3685="Yes",1,0))</f>
        <v/>
      </c>
      <c r="AK3685">
        <f>IF($AG3685=1,IFERROR(IF(VALUE($C3685)&lt;100000000,VALUE($C3685),1000000000),IFERROR(IF(VALUE(MID($C3685,2,20))&lt;100000000,VALUE(MID($C3685,2,20)),1000000000),1000000000))+ROW()/100000,"")</f>
        <v/>
      </c>
    </row>
    <row r="3686">
      <c r="D3686" s="11" t="n"/>
      <c r="K3686" s="7">
        <f>IF($C3686="","",J3686*W3686/100)</f>
        <v/>
      </c>
      <c r="Q3686" s="7" t="n"/>
      <c r="R3686" s="7" t="n"/>
      <c r="U3686">
        <f>IF($C3686="","",IF($AJ3686=1,0,IF($AI3686=1,Settings!$C$6,Settings!$C$7))*100)</f>
        <v/>
      </c>
      <c r="V3686" s="7">
        <f>IF($C3686="","",R3686*U3686/100)</f>
        <v/>
      </c>
      <c r="W3686" s="7">
        <f>IF($C3686="","",R3686-V3686)</f>
        <v/>
      </c>
      <c r="X3686" s="7">
        <f>IF($C3686="","",W3686-K3686)</f>
        <v/>
      </c>
      <c r="AB3686" s="7" t="n"/>
      <c r="AE3686" s="11" t="n"/>
      <c r="AG3686">
        <f>IF($C3686="","",IF(COUNTIF($C$2:$C3686,$C3686)=1,1,0))</f>
        <v/>
      </c>
      <c r="AH3686">
        <f>IF($AG3686=1,SUMPRODUCT(--($AK$2:$AK$6001&lt;$AK3686))+1,"")</f>
        <v/>
      </c>
      <c r="AI3686">
        <f>IF($C3686="","",IF(OR($N3686=TRUE(),$N3686="TRUE"),1,0))</f>
        <v/>
      </c>
      <c r="AJ3686">
        <f>IF($C3686="","",IF($T3686="Yes",1,0))</f>
        <v/>
      </c>
      <c r="AK3686">
        <f>IF($AG3686=1,IFERROR(IF(VALUE($C3686)&lt;100000000,VALUE($C3686),1000000000),IFERROR(IF(VALUE(MID($C3686,2,20))&lt;100000000,VALUE(MID($C3686,2,20)),1000000000),1000000000))+ROW()/100000,"")</f>
        <v/>
      </c>
    </row>
    <row r="3687">
      <c r="D3687" s="11" t="n"/>
      <c r="K3687" s="7">
        <f>IF($C3687="","",J3687*W3687/100)</f>
        <v/>
      </c>
      <c r="Q3687" s="7" t="n"/>
      <c r="R3687" s="7" t="n"/>
      <c r="U3687">
        <f>IF($C3687="","",IF($AJ3687=1,0,IF($AI3687=1,Settings!$C$6,Settings!$C$7))*100)</f>
        <v/>
      </c>
      <c r="V3687" s="7">
        <f>IF($C3687="","",R3687*U3687/100)</f>
        <v/>
      </c>
      <c r="W3687" s="7">
        <f>IF($C3687="","",R3687-V3687)</f>
        <v/>
      </c>
      <c r="X3687" s="7">
        <f>IF($C3687="","",W3687-K3687)</f>
        <v/>
      </c>
      <c r="AB3687" s="7" t="n"/>
      <c r="AE3687" s="11" t="n"/>
      <c r="AG3687">
        <f>IF($C3687="","",IF(COUNTIF($C$2:$C3687,$C3687)=1,1,0))</f>
        <v/>
      </c>
      <c r="AH3687">
        <f>IF($AG3687=1,SUMPRODUCT(--($AK$2:$AK$6001&lt;$AK3687))+1,"")</f>
        <v/>
      </c>
      <c r="AI3687">
        <f>IF($C3687="","",IF(OR($N3687=TRUE(),$N3687="TRUE"),1,0))</f>
        <v/>
      </c>
      <c r="AJ3687">
        <f>IF($C3687="","",IF($T3687="Yes",1,0))</f>
        <v/>
      </c>
      <c r="AK3687">
        <f>IF($AG3687=1,IFERROR(IF(VALUE($C3687)&lt;100000000,VALUE($C3687),1000000000),IFERROR(IF(VALUE(MID($C3687,2,20))&lt;100000000,VALUE(MID($C3687,2,20)),1000000000),1000000000))+ROW()/100000,"")</f>
        <v/>
      </c>
    </row>
    <row r="3688">
      <c r="D3688" s="11" t="n"/>
      <c r="K3688" s="7">
        <f>IF($C3688="","",J3688*W3688/100)</f>
        <v/>
      </c>
      <c r="Q3688" s="7" t="n"/>
      <c r="R3688" s="7" t="n"/>
      <c r="U3688">
        <f>IF($C3688="","",IF($AJ3688=1,0,IF($AI3688=1,Settings!$C$6,Settings!$C$7))*100)</f>
        <v/>
      </c>
      <c r="V3688" s="7">
        <f>IF($C3688="","",R3688*U3688/100)</f>
        <v/>
      </c>
      <c r="W3688" s="7">
        <f>IF($C3688="","",R3688-V3688)</f>
        <v/>
      </c>
      <c r="X3688" s="7">
        <f>IF($C3688="","",W3688-K3688)</f>
        <v/>
      </c>
      <c r="AB3688" s="7" t="n"/>
      <c r="AE3688" s="11" t="n"/>
      <c r="AG3688">
        <f>IF($C3688="","",IF(COUNTIF($C$2:$C3688,$C3688)=1,1,0))</f>
        <v/>
      </c>
      <c r="AH3688">
        <f>IF($AG3688=1,SUMPRODUCT(--($AK$2:$AK$6001&lt;$AK3688))+1,"")</f>
        <v/>
      </c>
      <c r="AI3688">
        <f>IF($C3688="","",IF(OR($N3688=TRUE(),$N3688="TRUE"),1,0))</f>
        <v/>
      </c>
      <c r="AJ3688">
        <f>IF($C3688="","",IF($T3688="Yes",1,0))</f>
        <v/>
      </c>
      <c r="AK3688">
        <f>IF($AG3688=1,IFERROR(IF(VALUE($C3688)&lt;100000000,VALUE($C3688),1000000000),IFERROR(IF(VALUE(MID($C3688,2,20))&lt;100000000,VALUE(MID($C3688,2,20)),1000000000),1000000000))+ROW()/100000,"")</f>
        <v/>
      </c>
    </row>
    <row r="3689">
      <c r="D3689" s="11" t="n"/>
      <c r="K3689" s="7">
        <f>IF($C3689="","",J3689*W3689/100)</f>
        <v/>
      </c>
      <c r="Q3689" s="7" t="n"/>
      <c r="R3689" s="7" t="n"/>
      <c r="U3689">
        <f>IF($C3689="","",IF($AJ3689=1,0,IF($AI3689=1,Settings!$C$6,Settings!$C$7))*100)</f>
        <v/>
      </c>
      <c r="V3689" s="7">
        <f>IF($C3689="","",R3689*U3689/100)</f>
        <v/>
      </c>
      <c r="W3689" s="7">
        <f>IF($C3689="","",R3689-V3689)</f>
        <v/>
      </c>
      <c r="X3689" s="7">
        <f>IF($C3689="","",W3689-K3689)</f>
        <v/>
      </c>
      <c r="AB3689" s="7" t="n"/>
      <c r="AE3689" s="11" t="n"/>
      <c r="AG3689">
        <f>IF($C3689="","",IF(COUNTIF($C$2:$C3689,$C3689)=1,1,0))</f>
        <v/>
      </c>
      <c r="AH3689">
        <f>IF($AG3689=1,SUMPRODUCT(--($AK$2:$AK$6001&lt;$AK3689))+1,"")</f>
        <v/>
      </c>
      <c r="AI3689">
        <f>IF($C3689="","",IF(OR($N3689=TRUE(),$N3689="TRUE"),1,0))</f>
        <v/>
      </c>
      <c r="AJ3689">
        <f>IF($C3689="","",IF($T3689="Yes",1,0))</f>
        <v/>
      </c>
      <c r="AK3689">
        <f>IF($AG3689=1,IFERROR(IF(VALUE($C3689)&lt;100000000,VALUE($C3689),1000000000),IFERROR(IF(VALUE(MID($C3689,2,20))&lt;100000000,VALUE(MID($C3689,2,20)),1000000000),1000000000))+ROW()/100000,"")</f>
        <v/>
      </c>
    </row>
    <row r="3690">
      <c r="D3690" s="11" t="n"/>
      <c r="K3690" s="7">
        <f>IF($C3690="","",J3690*W3690/100)</f>
        <v/>
      </c>
      <c r="Q3690" s="7" t="n"/>
      <c r="R3690" s="7" t="n"/>
      <c r="U3690">
        <f>IF($C3690="","",IF($AJ3690=1,0,IF($AI3690=1,Settings!$C$6,Settings!$C$7))*100)</f>
        <v/>
      </c>
      <c r="V3690" s="7">
        <f>IF($C3690="","",R3690*U3690/100)</f>
        <v/>
      </c>
      <c r="W3690" s="7">
        <f>IF($C3690="","",R3690-V3690)</f>
        <v/>
      </c>
      <c r="X3690" s="7">
        <f>IF($C3690="","",W3690-K3690)</f>
        <v/>
      </c>
      <c r="AB3690" s="7" t="n"/>
      <c r="AE3690" s="11" t="n"/>
      <c r="AG3690">
        <f>IF($C3690="","",IF(COUNTIF($C$2:$C3690,$C3690)=1,1,0))</f>
        <v/>
      </c>
      <c r="AH3690">
        <f>IF($AG3690=1,SUMPRODUCT(--($AK$2:$AK$6001&lt;$AK3690))+1,"")</f>
        <v/>
      </c>
      <c r="AI3690">
        <f>IF($C3690="","",IF(OR($N3690=TRUE(),$N3690="TRUE"),1,0))</f>
        <v/>
      </c>
      <c r="AJ3690">
        <f>IF($C3690="","",IF($T3690="Yes",1,0))</f>
        <v/>
      </c>
      <c r="AK3690">
        <f>IF($AG3690=1,IFERROR(IF(VALUE($C3690)&lt;100000000,VALUE($C3690),1000000000),IFERROR(IF(VALUE(MID($C3690,2,20))&lt;100000000,VALUE(MID($C3690,2,20)),1000000000),1000000000))+ROW()/100000,"")</f>
        <v/>
      </c>
    </row>
    <row r="3691">
      <c r="D3691" s="11" t="n"/>
      <c r="K3691" s="7">
        <f>IF($C3691="","",J3691*W3691/100)</f>
        <v/>
      </c>
      <c r="Q3691" s="7" t="n"/>
      <c r="R3691" s="7" t="n"/>
      <c r="U3691">
        <f>IF($C3691="","",IF($AJ3691=1,0,IF($AI3691=1,Settings!$C$6,Settings!$C$7))*100)</f>
        <v/>
      </c>
      <c r="V3691" s="7">
        <f>IF($C3691="","",R3691*U3691/100)</f>
        <v/>
      </c>
      <c r="W3691" s="7">
        <f>IF($C3691="","",R3691-V3691)</f>
        <v/>
      </c>
      <c r="X3691" s="7">
        <f>IF($C3691="","",W3691-K3691)</f>
        <v/>
      </c>
      <c r="AB3691" s="7" t="n"/>
      <c r="AE3691" s="11" t="n"/>
      <c r="AG3691">
        <f>IF($C3691="","",IF(COUNTIF($C$2:$C3691,$C3691)=1,1,0))</f>
        <v/>
      </c>
      <c r="AH3691">
        <f>IF($AG3691=1,SUMPRODUCT(--($AK$2:$AK$6001&lt;$AK3691))+1,"")</f>
        <v/>
      </c>
      <c r="AI3691">
        <f>IF($C3691="","",IF(OR($N3691=TRUE(),$N3691="TRUE"),1,0))</f>
        <v/>
      </c>
      <c r="AJ3691">
        <f>IF($C3691="","",IF($T3691="Yes",1,0))</f>
        <v/>
      </c>
      <c r="AK3691">
        <f>IF($AG3691=1,IFERROR(IF(VALUE($C3691)&lt;100000000,VALUE($C3691),1000000000),IFERROR(IF(VALUE(MID($C3691,2,20))&lt;100000000,VALUE(MID($C3691,2,20)),1000000000),1000000000))+ROW()/100000,"")</f>
        <v/>
      </c>
    </row>
    <row r="3692">
      <c r="D3692" s="11" t="n"/>
      <c r="K3692" s="7">
        <f>IF($C3692="","",J3692*W3692/100)</f>
        <v/>
      </c>
      <c r="Q3692" s="7" t="n"/>
      <c r="R3692" s="7" t="n"/>
      <c r="U3692">
        <f>IF($C3692="","",IF($AJ3692=1,0,IF($AI3692=1,Settings!$C$6,Settings!$C$7))*100)</f>
        <v/>
      </c>
      <c r="V3692" s="7">
        <f>IF($C3692="","",R3692*U3692/100)</f>
        <v/>
      </c>
      <c r="W3692" s="7">
        <f>IF($C3692="","",R3692-V3692)</f>
        <v/>
      </c>
      <c r="X3692" s="7">
        <f>IF($C3692="","",W3692-K3692)</f>
        <v/>
      </c>
      <c r="AB3692" s="7" t="n"/>
      <c r="AE3692" s="11" t="n"/>
      <c r="AG3692">
        <f>IF($C3692="","",IF(COUNTIF($C$2:$C3692,$C3692)=1,1,0))</f>
        <v/>
      </c>
      <c r="AH3692">
        <f>IF($AG3692=1,SUMPRODUCT(--($AK$2:$AK$6001&lt;$AK3692))+1,"")</f>
        <v/>
      </c>
      <c r="AI3692">
        <f>IF($C3692="","",IF(OR($N3692=TRUE(),$N3692="TRUE"),1,0))</f>
        <v/>
      </c>
      <c r="AJ3692">
        <f>IF($C3692="","",IF($T3692="Yes",1,0))</f>
        <v/>
      </c>
      <c r="AK3692">
        <f>IF($AG3692=1,IFERROR(IF(VALUE($C3692)&lt;100000000,VALUE($C3692),1000000000),IFERROR(IF(VALUE(MID($C3692,2,20))&lt;100000000,VALUE(MID($C3692,2,20)),1000000000),1000000000))+ROW()/100000,"")</f>
        <v/>
      </c>
    </row>
    <row r="3693">
      <c r="D3693" s="11" t="n"/>
      <c r="K3693" s="7">
        <f>IF($C3693="","",J3693*W3693/100)</f>
        <v/>
      </c>
      <c r="Q3693" s="7" t="n"/>
      <c r="R3693" s="7" t="n"/>
      <c r="U3693">
        <f>IF($C3693="","",IF($AJ3693=1,0,IF($AI3693=1,Settings!$C$6,Settings!$C$7))*100)</f>
        <v/>
      </c>
      <c r="V3693" s="7">
        <f>IF($C3693="","",R3693*U3693/100)</f>
        <v/>
      </c>
      <c r="W3693" s="7">
        <f>IF($C3693="","",R3693-V3693)</f>
        <v/>
      </c>
      <c r="X3693" s="7">
        <f>IF($C3693="","",W3693-K3693)</f>
        <v/>
      </c>
      <c r="AB3693" s="7" t="n"/>
      <c r="AE3693" s="11" t="n"/>
      <c r="AG3693">
        <f>IF($C3693="","",IF(COUNTIF($C$2:$C3693,$C3693)=1,1,0))</f>
        <v/>
      </c>
      <c r="AH3693">
        <f>IF($AG3693=1,SUMPRODUCT(--($AK$2:$AK$6001&lt;$AK3693))+1,"")</f>
        <v/>
      </c>
      <c r="AI3693">
        <f>IF($C3693="","",IF(OR($N3693=TRUE(),$N3693="TRUE"),1,0))</f>
        <v/>
      </c>
      <c r="AJ3693">
        <f>IF($C3693="","",IF($T3693="Yes",1,0))</f>
        <v/>
      </c>
      <c r="AK3693">
        <f>IF($AG3693=1,IFERROR(IF(VALUE($C3693)&lt;100000000,VALUE($C3693),1000000000),IFERROR(IF(VALUE(MID($C3693,2,20))&lt;100000000,VALUE(MID($C3693,2,20)),1000000000),1000000000))+ROW()/100000,"")</f>
        <v/>
      </c>
    </row>
    <row r="3694">
      <c r="D3694" s="11" t="n"/>
      <c r="K3694" s="7">
        <f>IF($C3694="","",J3694*W3694/100)</f>
        <v/>
      </c>
      <c r="Q3694" s="7" t="n"/>
      <c r="R3694" s="7" t="n"/>
      <c r="U3694">
        <f>IF($C3694="","",IF($AJ3694=1,0,IF($AI3694=1,Settings!$C$6,Settings!$C$7))*100)</f>
        <v/>
      </c>
      <c r="V3694" s="7">
        <f>IF($C3694="","",R3694*U3694/100)</f>
        <v/>
      </c>
      <c r="W3694" s="7">
        <f>IF($C3694="","",R3694-V3694)</f>
        <v/>
      </c>
      <c r="X3694" s="7">
        <f>IF($C3694="","",W3694-K3694)</f>
        <v/>
      </c>
      <c r="AB3694" s="7" t="n"/>
      <c r="AE3694" s="11" t="n"/>
      <c r="AG3694">
        <f>IF($C3694="","",IF(COUNTIF($C$2:$C3694,$C3694)=1,1,0))</f>
        <v/>
      </c>
      <c r="AH3694">
        <f>IF($AG3694=1,SUMPRODUCT(--($AK$2:$AK$6001&lt;$AK3694))+1,"")</f>
        <v/>
      </c>
      <c r="AI3694">
        <f>IF($C3694="","",IF(OR($N3694=TRUE(),$N3694="TRUE"),1,0))</f>
        <v/>
      </c>
      <c r="AJ3694">
        <f>IF($C3694="","",IF($T3694="Yes",1,0))</f>
        <v/>
      </c>
      <c r="AK3694">
        <f>IF($AG3694=1,IFERROR(IF(VALUE($C3694)&lt;100000000,VALUE($C3694),1000000000),IFERROR(IF(VALUE(MID($C3694,2,20))&lt;100000000,VALUE(MID($C3694,2,20)),1000000000),1000000000))+ROW()/100000,"")</f>
        <v/>
      </c>
    </row>
    <row r="3695">
      <c r="D3695" s="11" t="n"/>
      <c r="K3695" s="7">
        <f>IF($C3695="","",J3695*W3695/100)</f>
        <v/>
      </c>
      <c r="Q3695" s="7" t="n"/>
      <c r="R3695" s="7" t="n"/>
      <c r="U3695">
        <f>IF($C3695="","",IF($AJ3695=1,0,IF($AI3695=1,Settings!$C$6,Settings!$C$7))*100)</f>
        <v/>
      </c>
      <c r="V3695" s="7">
        <f>IF($C3695="","",R3695*U3695/100)</f>
        <v/>
      </c>
      <c r="W3695" s="7">
        <f>IF($C3695="","",R3695-V3695)</f>
        <v/>
      </c>
      <c r="X3695" s="7">
        <f>IF($C3695="","",W3695-K3695)</f>
        <v/>
      </c>
      <c r="AB3695" s="7" t="n"/>
      <c r="AE3695" s="11" t="n"/>
      <c r="AG3695">
        <f>IF($C3695="","",IF(COUNTIF($C$2:$C3695,$C3695)=1,1,0))</f>
        <v/>
      </c>
      <c r="AH3695">
        <f>IF($AG3695=1,SUMPRODUCT(--($AK$2:$AK$6001&lt;$AK3695))+1,"")</f>
        <v/>
      </c>
      <c r="AI3695">
        <f>IF($C3695="","",IF(OR($N3695=TRUE(),$N3695="TRUE"),1,0))</f>
        <v/>
      </c>
      <c r="AJ3695">
        <f>IF($C3695="","",IF($T3695="Yes",1,0))</f>
        <v/>
      </c>
      <c r="AK3695">
        <f>IF($AG3695=1,IFERROR(IF(VALUE($C3695)&lt;100000000,VALUE($C3695),1000000000),IFERROR(IF(VALUE(MID($C3695,2,20))&lt;100000000,VALUE(MID($C3695,2,20)),1000000000),1000000000))+ROW()/100000,"")</f>
        <v/>
      </c>
    </row>
    <row r="3696">
      <c r="D3696" s="11" t="n"/>
      <c r="K3696" s="7">
        <f>IF($C3696="","",J3696*W3696/100)</f>
        <v/>
      </c>
      <c r="Q3696" s="7" t="n"/>
      <c r="R3696" s="7" t="n"/>
      <c r="U3696">
        <f>IF($C3696="","",IF($AJ3696=1,0,IF($AI3696=1,Settings!$C$6,Settings!$C$7))*100)</f>
        <v/>
      </c>
      <c r="V3696" s="7">
        <f>IF($C3696="","",R3696*U3696/100)</f>
        <v/>
      </c>
      <c r="W3696" s="7">
        <f>IF($C3696="","",R3696-V3696)</f>
        <v/>
      </c>
      <c r="X3696" s="7">
        <f>IF($C3696="","",W3696-K3696)</f>
        <v/>
      </c>
      <c r="AB3696" s="7" t="n"/>
      <c r="AE3696" s="11" t="n"/>
      <c r="AG3696">
        <f>IF($C3696="","",IF(COUNTIF($C$2:$C3696,$C3696)=1,1,0))</f>
        <v/>
      </c>
      <c r="AH3696">
        <f>IF($AG3696=1,SUMPRODUCT(--($AK$2:$AK$6001&lt;$AK3696))+1,"")</f>
        <v/>
      </c>
      <c r="AI3696">
        <f>IF($C3696="","",IF(OR($N3696=TRUE(),$N3696="TRUE"),1,0))</f>
        <v/>
      </c>
      <c r="AJ3696">
        <f>IF($C3696="","",IF($T3696="Yes",1,0))</f>
        <v/>
      </c>
      <c r="AK3696">
        <f>IF($AG3696=1,IFERROR(IF(VALUE($C3696)&lt;100000000,VALUE($C3696),1000000000),IFERROR(IF(VALUE(MID($C3696,2,20))&lt;100000000,VALUE(MID($C3696,2,20)),1000000000),1000000000))+ROW()/100000,"")</f>
        <v/>
      </c>
    </row>
    <row r="3697">
      <c r="D3697" s="11" t="n"/>
      <c r="K3697" s="7">
        <f>IF($C3697="","",J3697*W3697/100)</f>
        <v/>
      </c>
      <c r="Q3697" s="7" t="n"/>
      <c r="R3697" s="7" t="n"/>
      <c r="U3697">
        <f>IF($C3697="","",IF($AJ3697=1,0,IF($AI3697=1,Settings!$C$6,Settings!$C$7))*100)</f>
        <v/>
      </c>
      <c r="V3697" s="7">
        <f>IF($C3697="","",R3697*U3697/100)</f>
        <v/>
      </c>
      <c r="W3697" s="7">
        <f>IF($C3697="","",R3697-V3697)</f>
        <v/>
      </c>
      <c r="X3697" s="7">
        <f>IF($C3697="","",W3697-K3697)</f>
        <v/>
      </c>
      <c r="AB3697" s="7" t="n"/>
      <c r="AE3697" s="11" t="n"/>
      <c r="AG3697">
        <f>IF($C3697="","",IF(COUNTIF($C$2:$C3697,$C3697)=1,1,0))</f>
        <v/>
      </c>
      <c r="AH3697">
        <f>IF($AG3697=1,SUMPRODUCT(--($AK$2:$AK$6001&lt;$AK3697))+1,"")</f>
        <v/>
      </c>
      <c r="AI3697">
        <f>IF($C3697="","",IF(OR($N3697=TRUE(),$N3697="TRUE"),1,0))</f>
        <v/>
      </c>
      <c r="AJ3697">
        <f>IF($C3697="","",IF($T3697="Yes",1,0))</f>
        <v/>
      </c>
      <c r="AK3697">
        <f>IF($AG3697=1,IFERROR(IF(VALUE($C3697)&lt;100000000,VALUE($C3697),1000000000),IFERROR(IF(VALUE(MID($C3697,2,20))&lt;100000000,VALUE(MID($C3697,2,20)),1000000000),1000000000))+ROW()/100000,"")</f>
        <v/>
      </c>
    </row>
    <row r="3698">
      <c r="D3698" s="11" t="n"/>
      <c r="K3698" s="7">
        <f>IF($C3698="","",J3698*W3698/100)</f>
        <v/>
      </c>
      <c r="Q3698" s="7" t="n"/>
      <c r="R3698" s="7" t="n"/>
      <c r="U3698">
        <f>IF($C3698="","",IF($AJ3698=1,0,IF($AI3698=1,Settings!$C$6,Settings!$C$7))*100)</f>
        <v/>
      </c>
      <c r="V3698" s="7">
        <f>IF($C3698="","",R3698*U3698/100)</f>
        <v/>
      </c>
      <c r="W3698" s="7">
        <f>IF($C3698="","",R3698-V3698)</f>
        <v/>
      </c>
      <c r="X3698" s="7">
        <f>IF($C3698="","",W3698-K3698)</f>
        <v/>
      </c>
      <c r="AB3698" s="7" t="n"/>
      <c r="AE3698" s="11" t="n"/>
      <c r="AG3698">
        <f>IF($C3698="","",IF(COUNTIF($C$2:$C3698,$C3698)=1,1,0))</f>
        <v/>
      </c>
      <c r="AH3698">
        <f>IF($AG3698=1,SUMPRODUCT(--($AK$2:$AK$6001&lt;$AK3698))+1,"")</f>
        <v/>
      </c>
      <c r="AI3698">
        <f>IF($C3698="","",IF(OR($N3698=TRUE(),$N3698="TRUE"),1,0))</f>
        <v/>
      </c>
      <c r="AJ3698">
        <f>IF($C3698="","",IF($T3698="Yes",1,0))</f>
        <v/>
      </c>
      <c r="AK3698">
        <f>IF($AG3698=1,IFERROR(IF(VALUE($C3698)&lt;100000000,VALUE($C3698),1000000000),IFERROR(IF(VALUE(MID($C3698,2,20))&lt;100000000,VALUE(MID($C3698,2,20)),1000000000),1000000000))+ROW()/100000,"")</f>
        <v/>
      </c>
    </row>
    <row r="3699">
      <c r="D3699" s="11" t="n"/>
      <c r="K3699" s="7">
        <f>IF($C3699="","",J3699*W3699/100)</f>
        <v/>
      </c>
      <c r="Q3699" s="7" t="n"/>
      <c r="R3699" s="7" t="n"/>
      <c r="U3699">
        <f>IF($C3699="","",IF($AJ3699=1,0,IF($AI3699=1,Settings!$C$6,Settings!$C$7))*100)</f>
        <v/>
      </c>
      <c r="V3699" s="7">
        <f>IF($C3699="","",R3699*U3699/100)</f>
        <v/>
      </c>
      <c r="W3699" s="7">
        <f>IF($C3699="","",R3699-V3699)</f>
        <v/>
      </c>
      <c r="X3699" s="7">
        <f>IF($C3699="","",W3699-K3699)</f>
        <v/>
      </c>
      <c r="AB3699" s="7" t="n"/>
      <c r="AE3699" s="11" t="n"/>
      <c r="AG3699">
        <f>IF($C3699="","",IF(COUNTIF($C$2:$C3699,$C3699)=1,1,0))</f>
        <v/>
      </c>
      <c r="AH3699">
        <f>IF($AG3699=1,SUMPRODUCT(--($AK$2:$AK$6001&lt;$AK3699))+1,"")</f>
        <v/>
      </c>
      <c r="AI3699">
        <f>IF($C3699="","",IF(OR($N3699=TRUE(),$N3699="TRUE"),1,0))</f>
        <v/>
      </c>
      <c r="AJ3699">
        <f>IF($C3699="","",IF($T3699="Yes",1,0))</f>
        <v/>
      </c>
      <c r="AK3699">
        <f>IF($AG3699=1,IFERROR(IF(VALUE($C3699)&lt;100000000,VALUE($C3699),1000000000),IFERROR(IF(VALUE(MID($C3699,2,20))&lt;100000000,VALUE(MID($C3699,2,20)),1000000000),1000000000))+ROW()/100000,"")</f>
        <v/>
      </c>
    </row>
    <row r="3700">
      <c r="D3700" s="11" t="n"/>
      <c r="K3700" s="7">
        <f>IF($C3700="","",J3700*W3700/100)</f>
        <v/>
      </c>
      <c r="Q3700" s="7" t="n"/>
      <c r="R3700" s="7" t="n"/>
      <c r="U3700">
        <f>IF($C3700="","",IF($AJ3700=1,0,IF($AI3700=1,Settings!$C$6,Settings!$C$7))*100)</f>
        <v/>
      </c>
      <c r="V3700" s="7">
        <f>IF($C3700="","",R3700*U3700/100)</f>
        <v/>
      </c>
      <c r="W3700" s="7">
        <f>IF($C3700="","",R3700-V3700)</f>
        <v/>
      </c>
      <c r="X3700" s="7">
        <f>IF($C3700="","",W3700-K3700)</f>
        <v/>
      </c>
      <c r="AB3700" s="7" t="n"/>
      <c r="AE3700" s="11" t="n"/>
      <c r="AG3700">
        <f>IF($C3700="","",IF(COUNTIF($C$2:$C3700,$C3700)=1,1,0))</f>
        <v/>
      </c>
      <c r="AH3700">
        <f>IF($AG3700=1,SUMPRODUCT(--($AK$2:$AK$6001&lt;$AK3700))+1,"")</f>
        <v/>
      </c>
      <c r="AI3700">
        <f>IF($C3700="","",IF(OR($N3700=TRUE(),$N3700="TRUE"),1,0))</f>
        <v/>
      </c>
      <c r="AJ3700">
        <f>IF($C3700="","",IF($T3700="Yes",1,0))</f>
        <v/>
      </c>
      <c r="AK3700">
        <f>IF($AG3700=1,IFERROR(IF(VALUE($C3700)&lt;100000000,VALUE($C3700),1000000000),IFERROR(IF(VALUE(MID($C3700,2,20))&lt;100000000,VALUE(MID($C3700,2,20)),1000000000),1000000000))+ROW()/100000,"")</f>
        <v/>
      </c>
    </row>
    <row r="3701">
      <c r="D3701" s="11" t="n"/>
      <c r="K3701" s="7">
        <f>IF($C3701="","",J3701*W3701/100)</f>
        <v/>
      </c>
      <c r="Q3701" s="7" t="n"/>
      <c r="R3701" s="7" t="n"/>
      <c r="U3701">
        <f>IF($C3701="","",IF($AJ3701=1,0,IF($AI3701=1,Settings!$C$6,Settings!$C$7))*100)</f>
        <v/>
      </c>
      <c r="V3701" s="7">
        <f>IF($C3701="","",R3701*U3701/100)</f>
        <v/>
      </c>
      <c r="W3701" s="7">
        <f>IF($C3701="","",R3701-V3701)</f>
        <v/>
      </c>
      <c r="X3701" s="7">
        <f>IF($C3701="","",W3701-K3701)</f>
        <v/>
      </c>
      <c r="AB3701" s="7" t="n"/>
      <c r="AE3701" s="11" t="n"/>
      <c r="AG3701">
        <f>IF($C3701="","",IF(COUNTIF($C$2:$C3701,$C3701)=1,1,0))</f>
        <v/>
      </c>
      <c r="AH3701">
        <f>IF($AG3701=1,SUMPRODUCT(--($AK$2:$AK$6001&lt;$AK3701))+1,"")</f>
        <v/>
      </c>
      <c r="AI3701">
        <f>IF($C3701="","",IF(OR($N3701=TRUE(),$N3701="TRUE"),1,0))</f>
        <v/>
      </c>
      <c r="AJ3701">
        <f>IF($C3701="","",IF($T3701="Yes",1,0))</f>
        <v/>
      </c>
      <c r="AK3701">
        <f>IF($AG3701=1,IFERROR(IF(VALUE($C3701)&lt;100000000,VALUE($C3701),1000000000),IFERROR(IF(VALUE(MID($C3701,2,20))&lt;100000000,VALUE(MID($C3701,2,20)),1000000000),1000000000))+ROW()/100000,"")</f>
        <v/>
      </c>
    </row>
    <row r="3702">
      <c r="D3702" s="11" t="n"/>
      <c r="K3702" s="7">
        <f>IF($C3702="","",J3702*W3702/100)</f>
        <v/>
      </c>
      <c r="Q3702" s="7" t="n"/>
      <c r="R3702" s="7" t="n"/>
      <c r="U3702">
        <f>IF($C3702="","",IF($AJ3702=1,0,IF($AI3702=1,Settings!$C$6,Settings!$C$7))*100)</f>
        <v/>
      </c>
      <c r="V3702" s="7">
        <f>IF($C3702="","",R3702*U3702/100)</f>
        <v/>
      </c>
      <c r="W3702" s="7">
        <f>IF($C3702="","",R3702-V3702)</f>
        <v/>
      </c>
      <c r="X3702" s="7">
        <f>IF($C3702="","",W3702-K3702)</f>
        <v/>
      </c>
      <c r="AB3702" s="7" t="n"/>
      <c r="AE3702" s="11" t="n"/>
      <c r="AG3702">
        <f>IF($C3702="","",IF(COUNTIF($C$2:$C3702,$C3702)=1,1,0))</f>
        <v/>
      </c>
      <c r="AH3702">
        <f>IF($AG3702=1,SUMPRODUCT(--($AK$2:$AK$6001&lt;$AK3702))+1,"")</f>
        <v/>
      </c>
      <c r="AI3702">
        <f>IF($C3702="","",IF(OR($N3702=TRUE(),$N3702="TRUE"),1,0))</f>
        <v/>
      </c>
      <c r="AJ3702">
        <f>IF($C3702="","",IF($T3702="Yes",1,0))</f>
        <v/>
      </c>
      <c r="AK3702">
        <f>IF($AG3702=1,IFERROR(IF(VALUE($C3702)&lt;100000000,VALUE($C3702),1000000000),IFERROR(IF(VALUE(MID($C3702,2,20))&lt;100000000,VALUE(MID($C3702,2,20)),1000000000),1000000000))+ROW()/100000,"")</f>
        <v/>
      </c>
    </row>
    <row r="3703">
      <c r="D3703" s="11" t="n"/>
      <c r="K3703" s="7">
        <f>IF($C3703="","",J3703*W3703/100)</f>
        <v/>
      </c>
      <c r="Q3703" s="7" t="n"/>
      <c r="R3703" s="7" t="n"/>
      <c r="U3703">
        <f>IF($C3703="","",IF($AJ3703=1,0,IF($AI3703=1,Settings!$C$6,Settings!$C$7))*100)</f>
        <v/>
      </c>
      <c r="V3703" s="7">
        <f>IF($C3703="","",R3703*U3703/100)</f>
        <v/>
      </c>
      <c r="W3703" s="7">
        <f>IF($C3703="","",R3703-V3703)</f>
        <v/>
      </c>
      <c r="X3703" s="7">
        <f>IF($C3703="","",W3703-K3703)</f>
        <v/>
      </c>
      <c r="AB3703" s="7" t="n"/>
      <c r="AE3703" s="11" t="n"/>
      <c r="AG3703">
        <f>IF($C3703="","",IF(COUNTIF($C$2:$C3703,$C3703)=1,1,0))</f>
        <v/>
      </c>
      <c r="AH3703">
        <f>IF($AG3703=1,SUMPRODUCT(--($AK$2:$AK$6001&lt;$AK3703))+1,"")</f>
        <v/>
      </c>
      <c r="AI3703">
        <f>IF($C3703="","",IF(OR($N3703=TRUE(),$N3703="TRUE"),1,0))</f>
        <v/>
      </c>
      <c r="AJ3703">
        <f>IF($C3703="","",IF($T3703="Yes",1,0))</f>
        <v/>
      </c>
      <c r="AK3703">
        <f>IF($AG3703=1,IFERROR(IF(VALUE($C3703)&lt;100000000,VALUE($C3703),1000000000),IFERROR(IF(VALUE(MID($C3703,2,20))&lt;100000000,VALUE(MID($C3703,2,20)),1000000000),1000000000))+ROW()/100000,"")</f>
        <v/>
      </c>
    </row>
    <row r="3704">
      <c r="D3704" s="11" t="n"/>
      <c r="K3704" s="7">
        <f>IF($C3704="","",J3704*W3704/100)</f>
        <v/>
      </c>
      <c r="Q3704" s="7" t="n"/>
      <c r="R3704" s="7" t="n"/>
      <c r="U3704">
        <f>IF($C3704="","",IF($AJ3704=1,0,IF($AI3704=1,Settings!$C$6,Settings!$C$7))*100)</f>
        <v/>
      </c>
      <c r="V3704" s="7">
        <f>IF($C3704="","",R3704*U3704/100)</f>
        <v/>
      </c>
      <c r="W3704" s="7">
        <f>IF($C3704="","",R3704-V3704)</f>
        <v/>
      </c>
      <c r="X3704" s="7">
        <f>IF($C3704="","",W3704-K3704)</f>
        <v/>
      </c>
      <c r="AB3704" s="7" t="n"/>
      <c r="AE3704" s="11" t="n"/>
      <c r="AG3704">
        <f>IF($C3704="","",IF(COUNTIF($C$2:$C3704,$C3704)=1,1,0))</f>
        <v/>
      </c>
      <c r="AH3704">
        <f>IF($AG3704=1,SUMPRODUCT(--($AK$2:$AK$6001&lt;$AK3704))+1,"")</f>
        <v/>
      </c>
      <c r="AI3704">
        <f>IF($C3704="","",IF(OR($N3704=TRUE(),$N3704="TRUE"),1,0))</f>
        <v/>
      </c>
      <c r="AJ3704">
        <f>IF($C3704="","",IF($T3704="Yes",1,0))</f>
        <v/>
      </c>
      <c r="AK3704">
        <f>IF($AG3704=1,IFERROR(IF(VALUE($C3704)&lt;100000000,VALUE($C3704),1000000000),IFERROR(IF(VALUE(MID($C3704,2,20))&lt;100000000,VALUE(MID($C3704,2,20)),1000000000),1000000000))+ROW()/100000,"")</f>
        <v/>
      </c>
    </row>
    <row r="3705">
      <c r="D3705" s="11" t="n"/>
      <c r="K3705" s="7">
        <f>IF($C3705="","",J3705*W3705/100)</f>
        <v/>
      </c>
      <c r="Q3705" s="7" t="n"/>
      <c r="R3705" s="7" t="n"/>
      <c r="U3705">
        <f>IF($C3705="","",IF($AJ3705=1,0,IF($AI3705=1,Settings!$C$6,Settings!$C$7))*100)</f>
        <v/>
      </c>
      <c r="V3705" s="7">
        <f>IF($C3705="","",R3705*U3705/100)</f>
        <v/>
      </c>
      <c r="W3705" s="7">
        <f>IF($C3705="","",R3705-V3705)</f>
        <v/>
      </c>
      <c r="X3705" s="7">
        <f>IF($C3705="","",W3705-K3705)</f>
        <v/>
      </c>
      <c r="AB3705" s="7" t="n"/>
      <c r="AE3705" s="11" t="n"/>
      <c r="AG3705">
        <f>IF($C3705="","",IF(COUNTIF($C$2:$C3705,$C3705)=1,1,0))</f>
        <v/>
      </c>
      <c r="AH3705">
        <f>IF($AG3705=1,SUMPRODUCT(--($AK$2:$AK$6001&lt;$AK3705))+1,"")</f>
        <v/>
      </c>
      <c r="AI3705">
        <f>IF($C3705="","",IF(OR($N3705=TRUE(),$N3705="TRUE"),1,0))</f>
        <v/>
      </c>
      <c r="AJ3705">
        <f>IF($C3705="","",IF($T3705="Yes",1,0))</f>
        <v/>
      </c>
      <c r="AK3705">
        <f>IF($AG3705=1,IFERROR(IF(VALUE($C3705)&lt;100000000,VALUE($C3705),1000000000),IFERROR(IF(VALUE(MID($C3705,2,20))&lt;100000000,VALUE(MID($C3705,2,20)),1000000000),1000000000))+ROW()/100000,"")</f>
        <v/>
      </c>
    </row>
    <row r="3706">
      <c r="D3706" s="11" t="n"/>
      <c r="K3706" s="7">
        <f>IF($C3706="","",J3706*W3706/100)</f>
        <v/>
      </c>
      <c r="Q3706" s="7" t="n"/>
      <c r="R3706" s="7" t="n"/>
      <c r="U3706">
        <f>IF($C3706="","",IF($AJ3706=1,0,IF($AI3706=1,Settings!$C$6,Settings!$C$7))*100)</f>
        <v/>
      </c>
      <c r="V3706" s="7">
        <f>IF($C3706="","",R3706*U3706/100)</f>
        <v/>
      </c>
      <c r="W3706" s="7">
        <f>IF($C3706="","",R3706-V3706)</f>
        <v/>
      </c>
      <c r="X3706" s="7">
        <f>IF($C3706="","",W3706-K3706)</f>
        <v/>
      </c>
      <c r="AB3706" s="7" t="n"/>
      <c r="AE3706" s="11" t="n"/>
      <c r="AG3706">
        <f>IF($C3706="","",IF(COUNTIF($C$2:$C3706,$C3706)=1,1,0))</f>
        <v/>
      </c>
      <c r="AH3706">
        <f>IF($AG3706=1,SUMPRODUCT(--($AK$2:$AK$6001&lt;$AK3706))+1,"")</f>
        <v/>
      </c>
      <c r="AI3706">
        <f>IF($C3706="","",IF(OR($N3706=TRUE(),$N3706="TRUE"),1,0))</f>
        <v/>
      </c>
      <c r="AJ3706">
        <f>IF($C3706="","",IF($T3706="Yes",1,0))</f>
        <v/>
      </c>
      <c r="AK3706">
        <f>IF($AG3706=1,IFERROR(IF(VALUE($C3706)&lt;100000000,VALUE($C3706),1000000000),IFERROR(IF(VALUE(MID($C3706,2,20))&lt;100000000,VALUE(MID($C3706,2,20)),1000000000),1000000000))+ROW()/100000,"")</f>
        <v/>
      </c>
    </row>
    <row r="3707">
      <c r="D3707" s="11" t="n"/>
      <c r="K3707" s="7">
        <f>IF($C3707="","",J3707*W3707/100)</f>
        <v/>
      </c>
      <c r="Q3707" s="7" t="n"/>
      <c r="R3707" s="7" t="n"/>
      <c r="U3707">
        <f>IF($C3707="","",IF($AJ3707=1,0,IF($AI3707=1,Settings!$C$6,Settings!$C$7))*100)</f>
        <v/>
      </c>
      <c r="V3707" s="7">
        <f>IF($C3707="","",R3707*U3707/100)</f>
        <v/>
      </c>
      <c r="W3707" s="7">
        <f>IF($C3707="","",R3707-V3707)</f>
        <v/>
      </c>
      <c r="X3707" s="7">
        <f>IF($C3707="","",W3707-K3707)</f>
        <v/>
      </c>
      <c r="AB3707" s="7" t="n"/>
      <c r="AE3707" s="11" t="n"/>
      <c r="AG3707">
        <f>IF($C3707="","",IF(COUNTIF($C$2:$C3707,$C3707)=1,1,0))</f>
        <v/>
      </c>
      <c r="AH3707">
        <f>IF($AG3707=1,SUMPRODUCT(--($AK$2:$AK$6001&lt;$AK3707))+1,"")</f>
        <v/>
      </c>
      <c r="AI3707">
        <f>IF($C3707="","",IF(OR($N3707=TRUE(),$N3707="TRUE"),1,0))</f>
        <v/>
      </c>
      <c r="AJ3707">
        <f>IF($C3707="","",IF($T3707="Yes",1,0))</f>
        <v/>
      </c>
      <c r="AK3707">
        <f>IF($AG3707=1,IFERROR(IF(VALUE($C3707)&lt;100000000,VALUE($C3707),1000000000),IFERROR(IF(VALUE(MID($C3707,2,20))&lt;100000000,VALUE(MID($C3707,2,20)),1000000000),1000000000))+ROW()/100000,"")</f>
        <v/>
      </c>
    </row>
    <row r="3708">
      <c r="D3708" s="11" t="n"/>
      <c r="K3708" s="7">
        <f>IF($C3708="","",J3708*W3708/100)</f>
        <v/>
      </c>
      <c r="Q3708" s="7" t="n"/>
      <c r="R3708" s="7" t="n"/>
      <c r="U3708">
        <f>IF($C3708="","",IF($AJ3708=1,0,IF($AI3708=1,Settings!$C$6,Settings!$C$7))*100)</f>
        <v/>
      </c>
      <c r="V3708" s="7">
        <f>IF($C3708="","",R3708*U3708/100)</f>
        <v/>
      </c>
      <c r="W3708" s="7">
        <f>IF($C3708="","",R3708-V3708)</f>
        <v/>
      </c>
      <c r="X3708" s="7">
        <f>IF($C3708="","",W3708-K3708)</f>
        <v/>
      </c>
      <c r="AB3708" s="7" t="n"/>
      <c r="AE3708" s="11" t="n"/>
      <c r="AG3708">
        <f>IF($C3708="","",IF(COUNTIF($C$2:$C3708,$C3708)=1,1,0))</f>
        <v/>
      </c>
      <c r="AH3708">
        <f>IF($AG3708=1,SUMPRODUCT(--($AK$2:$AK$6001&lt;$AK3708))+1,"")</f>
        <v/>
      </c>
      <c r="AI3708">
        <f>IF($C3708="","",IF(OR($N3708=TRUE(),$N3708="TRUE"),1,0))</f>
        <v/>
      </c>
      <c r="AJ3708">
        <f>IF($C3708="","",IF($T3708="Yes",1,0))</f>
        <v/>
      </c>
      <c r="AK3708">
        <f>IF($AG3708=1,IFERROR(IF(VALUE($C3708)&lt;100000000,VALUE($C3708),1000000000),IFERROR(IF(VALUE(MID($C3708,2,20))&lt;100000000,VALUE(MID($C3708,2,20)),1000000000),1000000000))+ROW()/100000,"")</f>
        <v/>
      </c>
    </row>
    <row r="3709">
      <c r="D3709" s="11" t="n"/>
      <c r="K3709" s="7">
        <f>IF($C3709="","",J3709*W3709/100)</f>
        <v/>
      </c>
      <c r="Q3709" s="7" t="n"/>
      <c r="R3709" s="7" t="n"/>
      <c r="U3709">
        <f>IF($C3709="","",IF($AJ3709=1,0,IF($AI3709=1,Settings!$C$6,Settings!$C$7))*100)</f>
        <v/>
      </c>
      <c r="V3709" s="7">
        <f>IF($C3709="","",R3709*U3709/100)</f>
        <v/>
      </c>
      <c r="W3709" s="7">
        <f>IF($C3709="","",R3709-V3709)</f>
        <v/>
      </c>
      <c r="X3709" s="7">
        <f>IF($C3709="","",W3709-K3709)</f>
        <v/>
      </c>
      <c r="AB3709" s="7" t="n"/>
      <c r="AE3709" s="11" t="n"/>
      <c r="AG3709">
        <f>IF($C3709="","",IF(COUNTIF($C$2:$C3709,$C3709)=1,1,0))</f>
        <v/>
      </c>
      <c r="AH3709">
        <f>IF($AG3709=1,SUMPRODUCT(--($AK$2:$AK$6001&lt;$AK3709))+1,"")</f>
        <v/>
      </c>
      <c r="AI3709">
        <f>IF($C3709="","",IF(OR($N3709=TRUE(),$N3709="TRUE"),1,0))</f>
        <v/>
      </c>
      <c r="AJ3709">
        <f>IF($C3709="","",IF($T3709="Yes",1,0))</f>
        <v/>
      </c>
      <c r="AK3709">
        <f>IF($AG3709=1,IFERROR(IF(VALUE($C3709)&lt;100000000,VALUE($C3709),1000000000),IFERROR(IF(VALUE(MID($C3709,2,20))&lt;100000000,VALUE(MID($C3709,2,20)),1000000000),1000000000))+ROW()/100000,"")</f>
        <v/>
      </c>
    </row>
    <row r="3710">
      <c r="D3710" s="11" t="n"/>
      <c r="K3710" s="7">
        <f>IF($C3710="","",J3710*W3710/100)</f>
        <v/>
      </c>
      <c r="Q3710" s="7" t="n"/>
      <c r="R3710" s="7" t="n"/>
      <c r="U3710">
        <f>IF($C3710="","",IF($AJ3710=1,0,IF($AI3710=1,Settings!$C$6,Settings!$C$7))*100)</f>
        <v/>
      </c>
      <c r="V3710" s="7">
        <f>IF($C3710="","",R3710*U3710/100)</f>
        <v/>
      </c>
      <c r="W3710" s="7">
        <f>IF($C3710="","",R3710-V3710)</f>
        <v/>
      </c>
      <c r="X3710" s="7">
        <f>IF($C3710="","",W3710-K3710)</f>
        <v/>
      </c>
      <c r="AB3710" s="7" t="n"/>
      <c r="AE3710" s="11" t="n"/>
      <c r="AG3710">
        <f>IF($C3710="","",IF(COUNTIF($C$2:$C3710,$C3710)=1,1,0))</f>
        <v/>
      </c>
      <c r="AH3710">
        <f>IF($AG3710=1,SUMPRODUCT(--($AK$2:$AK$6001&lt;$AK3710))+1,"")</f>
        <v/>
      </c>
      <c r="AI3710">
        <f>IF($C3710="","",IF(OR($N3710=TRUE(),$N3710="TRUE"),1,0))</f>
        <v/>
      </c>
      <c r="AJ3710">
        <f>IF($C3710="","",IF($T3710="Yes",1,0))</f>
        <v/>
      </c>
      <c r="AK3710">
        <f>IF($AG3710=1,IFERROR(IF(VALUE($C3710)&lt;100000000,VALUE($C3710),1000000000),IFERROR(IF(VALUE(MID($C3710,2,20))&lt;100000000,VALUE(MID($C3710,2,20)),1000000000),1000000000))+ROW()/100000,"")</f>
        <v/>
      </c>
    </row>
    <row r="3711">
      <c r="D3711" s="11" t="n"/>
      <c r="K3711" s="7">
        <f>IF($C3711="","",J3711*W3711/100)</f>
        <v/>
      </c>
      <c r="Q3711" s="7" t="n"/>
      <c r="R3711" s="7" t="n"/>
      <c r="U3711">
        <f>IF($C3711="","",IF($AJ3711=1,0,IF($AI3711=1,Settings!$C$6,Settings!$C$7))*100)</f>
        <v/>
      </c>
      <c r="V3711" s="7">
        <f>IF($C3711="","",R3711*U3711/100)</f>
        <v/>
      </c>
      <c r="W3711" s="7">
        <f>IF($C3711="","",R3711-V3711)</f>
        <v/>
      </c>
      <c r="X3711" s="7">
        <f>IF($C3711="","",W3711-K3711)</f>
        <v/>
      </c>
      <c r="AB3711" s="7" t="n"/>
      <c r="AE3711" s="11" t="n"/>
      <c r="AG3711">
        <f>IF($C3711="","",IF(COUNTIF($C$2:$C3711,$C3711)=1,1,0))</f>
        <v/>
      </c>
      <c r="AH3711">
        <f>IF($AG3711=1,SUMPRODUCT(--($AK$2:$AK$6001&lt;$AK3711))+1,"")</f>
        <v/>
      </c>
      <c r="AI3711">
        <f>IF($C3711="","",IF(OR($N3711=TRUE(),$N3711="TRUE"),1,0))</f>
        <v/>
      </c>
      <c r="AJ3711">
        <f>IF($C3711="","",IF($T3711="Yes",1,0))</f>
        <v/>
      </c>
      <c r="AK3711">
        <f>IF($AG3711=1,IFERROR(IF(VALUE($C3711)&lt;100000000,VALUE($C3711),1000000000),IFERROR(IF(VALUE(MID($C3711,2,20))&lt;100000000,VALUE(MID($C3711,2,20)),1000000000),1000000000))+ROW()/100000,"")</f>
        <v/>
      </c>
    </row>
    <row r="3712">
      <c r="D3712" s="11" t="n"/>
      <c r="K3712" s="7">
        <f>IF($C3712="","",J3712*W3712/100)</f>
        <v/>
      </c>
      <c r="Q3712" s="7" t="n"/>
      <c r="R3712" s="7" t="n"/>
      <c r="U3712">
        <f>IF($C3712="","",IF($AJ3712=1,0,IF($AI3712=1,Settings!$C$6,Settings!$C$7))*100)</f>
        <v/>
      </c>
      <c r="V3712" s="7">
        <f>IF($C3712="","",R3712*U3712/100)</f>
        <v/>
      </c>
      <c r="W3712" s="7">
        <f>IF($C3712="","",R3712-V3712)</f>
        <v/>
      </c>
      <c r="X3712" s="7">
        <f>IF($C3712="","",W3712-K3712)</f>
        <v/>
      </c>
      <c r="AB3712" s="7" t="n"/>
      <c r="AE3712" s="11" t="n"/>
      <c r="AG3712">
        <f>IF($C3712="","",IF(COUNTIF($C$2:$C3712,$C3712)=1,1,0))</f>
        <v/>
      </c>
      <c r="AH3712">
        <f>IF($AG3712=1,SUMPRODUCT(--($AK$2:$AK$6001&lt;$AK3712))+1,"")</f>
        <v/>
      </c>
      <c r="AI3712">
        <f>IF($C3712="","",IF(OR($N3712=TRUE(),$N3712="TRUE"),1,0))</f>
        <v/>
      </c>
      <c r="AJ3712">
        <f>IF($C3712="","",IF($T3712="Yes",1,0))</f>
        <v/>
      </c>
      <c r="AK3712">
        <f>IF($AG3712=1,IFERROR(IF(VALUE($C3712)&lt;100000000,VALUE($C3712),1000000000),IFERROR(IF(VALUE(MID($C3712,2,20))&lt;100000000,VALUE(MID($C3712,2,20)),1000000000),1000000000))+ROW()/100000,"")</f>
        <v/>
      </c>
    </row>
    <row r="3713">
      <c r="D3713" s="11" t="n"/>
      <c r="K3713" s="7">
        <f>IF($C3713="","",J3713*W3713/100)</f>
        <v/>
      </c>
      <c r="Q3713" s="7" t="n"/>
      <c r="R3713" s="7" t="n"/>
      <c r="U3713">
        <f>IF($C3713="","",IF($AJ3713=1,0,IF($AI3713=1,Settings!$C$6,Settings!$C$7))*100)</f>
        <v/>
      </c>
      <c r="V3713" s="7">
        <f>IF($C3713="","",R3713*U3713/100)</f>
        <v/>
      </c>
      <c r="W3713" s="7">
        <f>IF($C3713="","",R3713-V3713)</f>
        <v/>
      </c>
      <c r="X3713" s="7">
        <f>IF($C3713="","",W3713-K3713)</f>
        <v/>
      </c>
      <c r="AB3713" s="7" t="n"/>
      <c r="AE3713" s="11" t="n"/>
      <c r="AG3713">
        <f>IF($C3713="","",IF(COUNTIF($C$2:$C3713,$C3713)=1,1,0))</f>
        <v/>
      </c>
      <c r="AH3713">
        <f>IF($AG3713=1,SUMPRODUCT(--($AK$2:$AK$6001&lt;$AK3713))+1,"")</f>
        <v/>
      </c>
      <c r="AI3713">
        <f>IF($C3713="","",IF(OR($N3713=TRUE(),$N3713="TRUE"),1,0))</f>
        <v/>
      </c>
      <c r="AJ3713">
        <f>IF($C3713="","",IF($T3713="Yes",1,0))</f>
        <v/>
      </c>
      <c r="AK3713">
        <f>IF($AG3713=1,IFERROR(IF(VALUE($C3713)&lt;100000000,VALUE($C3713),1000000000),IFERROR(IF(VALUE(MID($C3713,2,20))&lt;100000000,VALUE(MID($C3713,2,20)),1000000000),1000000000))+ROW()/100000,"")</f>
        <v/>
      </c>
    </row>
    <row r="3714">
      <c r="D3714" s="11" t="n"/>
      <c r="K3714" s="7">
        <f>IF($C3714="","",J3714*W3714/100)</f>
        <v/>
      </c>
      <c r="Q3714" s="7" t="n"/>
      <c r="R3714" s="7" t="n"/>
      <c r="U3714">
        <f>IF($C3714="","",IF($AJ3714=1,0,IF($AI3714=1,Settings!$C$6,Settings!$C$7))*100)</f>
        <v/>
      </c>
      <c r="V3714" s="7">
        <f>IF($C3714="","",R3714*U3714/100)</f>
        <v/>
      </c>
      <c r="W3714" s="7">
        <f>IF($C3714="","",R3714-V3714)</f>
        <v/>
      </c>
      <c r="X3714" s="7">
        <f>IF($C3714="","",W3714-K3714)</f>
        <v/>
      </c>
      <c r="AB3714" s="7" t="n"/>
      <c r="AE3714" s="11" t="n"/>
      <c r="AG3714">
        <f>IF($C3714="","",IF(COUNTIF($C$2:$C3714,$C3714)=1,1,0))</f>
        <v/>
      </c>
      <c r="AH3714">
        <f>IF($AG3714=1,SUMPRODUCT(--($AK$2:$AK$6001&lt;$AK3714))+1,"")</f>
        <v/>
      </c>
      <c r="AI3714">
        <f>IF($C3714="","",IF(OR($N3714=TRUE(),$N3714="TRUE"),1,0))</f>
        <v/>
      </c>
      <c r="AJ3714">
        <f>IF($C3714="","",IF($T3714="Yes",1,0))</f>
        <v/>
      </c>
      <c r="AK3714">
        <f>IF($AG3714=1,IFERROR(IF(VALUE($C3714)&lt;100000000,VALUE($C3714),1000000000),IFERROR(IF(VALUE(MID($C3714,2,20))&lt;100000000,VALUE(MID($C3714,2,20)),1000000000),1000000000))+ROW()/100000,"")</f>
        <v/>
      </c>
    </row>
    <row r="3715">
      <c r="D3715" s="11" t="n"/>
      <c r="K3715" s="7">
        <f>IF($C3715="","",J3715*W3715/100)</f>
        <v/>
      </c>
      <c r="Q3715" s="7" t="n"/>
      <c r="R3715" s="7" t="n"/>
      <c r="U3715">
        <f>IF($C3715="","",IF($AJ3715=1,0,IF($AI3715=1,Settings!$C$6,Settings!$C$7))*100)</f>
        <v/>
      </c>
      <c r="V3715" s="7">
        <f>IF($C3715="","",R3715*U3715/100)</f>
        <v/>
      </c>
      <c r="W3715" s="7">
        <f>IF($C3715="","",R3715-V3715)</f>
        <v/>
      </c>
      <c r="X3715" s="7">
        <f>IF($C3715="","",W3715-K3715)</f>
        <v/>
      </c>
      <c r="AB3715" s="7" t="n"/>
      <c r="AE3715" s="11" t="n"/>
      <c r="AG3715">
        <f>IF($C3715="","",IF(COUNTIF($C$2:$C3715,$C3715)=1,1,0))</f>
        <v/>
      </c>
      <c r="AH3715">
        <f>IF($AG3715=1,SUMPRODUCT(--($AK$2:$AK$6001&lt;$AK3715))+1,"")</f>
        <v/>
      </c>
      <c r="AI3715">
        <f>IF($C3715="","",IF(OR($N3715=TRUE(),$N3715="TRUE"),1,0))</f>
        <v/>
      </c>
      <c r="AJ3715">
        <f>IF($C3715="","",IF($T3715="Yes",1,0))</f>
        <v/>
      </c>
      <c r="AK3715">
        <f>IF($AG3715=1,IFERROR(IF(VALUE($C3715)&lt;100000000,VALUE($C3715),1000000000),IFERROR(IF(VALUE(MID($C3715,2,20))&lt;100000000,VALUE(MID($C3715,2,20)),1000000000),1000000000))+ROW()/100000,"")</f>
        <v/>
      </c>
    </row>
    <row r="3716">
      <c r="D3716" s="11" t="n"/>
      <c r="K3716" s="7">
        <f>IF($C3716="","",J3716*W3716/100)</f>
        <v/>
      </c>
      <c r="Q3716" s="7" t="n"/>
      <c r="R3716" s="7" t="n"/>
      <c r="U3716">
        <f>IF($C3716="","",IF($AJ3716=1,0,IF($AI3716=1,Settings!$C$6,Settings!$C$7))*100)</f>
        <v/>
      </c>
      <c r="V3716" s="7">
        <f>IF($C3716="","",R3716*U3716/100)</f>
        <v/>
      </c>
      <c r="W3716" s="7">
        <f>IF($C3716="","",R3716-V3716)</f>
        <v/>
      </c>
      <c r="X3716" s="7">
        <f>IF($C3716="","",W3716-K3716)</f>
        <v/>
      </c>
      <c r="AB3716" s="7" t="n"/>
      <c r="AE3716" s="11" t="n"/>
      <c r="AG3716">
        <f>IF($C3716="","",IF(COUNTIF($C$2:$C3716,$C3716)=1,1,0))</f>
        <v/>
      </c>
      <c r="AH3716">
        <f>IF($AG3716=1,SUMPRODUCT(--($AK$2:$AK$6001&lt;$AK3716))+1,"")</f>
        <v/>
      </c>
      <c r="AI3716">
        <f>IF($C3716="","",IF(OR($N3716=TRUE(),$N3716="TRUE"),1,0))</f>
        <v/>
      </c>
      <c r="AJ3716">
        <f>IF($C3716="","",IF($T3716="Yes",1,0))</f>
        <v/>
      </c>
      <c r="AK3716">
        <f>IF($AG3716=1,IFERROR(IF(VALUE($C3716)&lt;100000000,VALUE($C3716),1000000000),IFERROR(IF(VALUE(MID($C3716,2,20))&lt;100000000,VALUE(MID($C3716,2,20)),1000000000),1000000000))+ROW()/100000,"")</f>
        <v/>
      </c>
    </row>
    <row r="3717">
      <c r="D3717" s="11" t="n"/>
      <c r="K3717" s="7">
        <f>IF($C3717="","",J3717*W3717/100)</f>
        <v/>
      </c>
      <c r="Q3717" s="7" t="n"/>
      <c r="R3717" s="7" t="n"/>
      <c r="U3717">
        <f>IF($C3717="","",IF($AJ3717=1,0,IF($AI3717=1,Settings!$C$6,Settings!$C$7))*100)</f>
        <v/>
      </c>
      <c r="V3717" s="7">
        <f>IF($C3717="","",R3717*U3717/100)</f>
        <v/>
      </c>
      <c r="W3717" s="7">
        <f>IF($C3717="","",R3717-V3717)</f>
        <v/>
      </c>
      <c r="X3717" s="7">
        <f>IF($C3717="","",W3717-K3717)</f>
        <v/>
      </c>
      <c r="AB3717" s="7" t="n"/>
      <c r="AE3717" s="11" t="n"/>
      <c r="AG3717">
        <f>IF($C3717="","",IF(COUNTIF($C$2:$C3717,$C3717)=1,1,0))</f>
        <v/>
      </c>
      <c r="AH3717">
        <f>IF($AG3717=1,SUMPRODUCT(--($AK$2:$AK$6001&lt;$AK3717))+1,"")</f>
        <v/>
      </c>
      <c r="AI3717">
        <f>IF($C3717="","",IF(OR($N3717=TRUE(),$N3717="TRUE"),1,0))</f>
        <v/>
      </c>
      <c r="AJ3717">
        <f>IF($C3717="","",IF($T3717="Yes",1,0))</f>
        <v/>
      </c>
      <c r="AK3717">
        <f>IF($AG3717=1,IFERROR(IF(VALUE($C3717)&lt;100000000,VALUE($C3717),1000000000),IFERROR(IF(VALUE(MID($C3717,2,20))&lt;100000000,VALUE(MID($C3717,2,20)),1000000000),1000000000))+ROW()/100000,"")</f>
        <v/>
      </c>
    </row>
    <row r="3718">
      <c r="D3718" s="11" t="n"/>
      <c r="K3718" s="7">
        <f>IF($C3718="","",J3718*W3718/100)</f>
        <v/>
      </c>
      <c r="Q3718" s="7" t="n"/>
      <c r="R3718" s="7" t="n"/>
      <c r="U3718">
        <f>IF($C3718="","",IF($AJ3718=1,0,IF($AI3718=1,Settings!$C$6,Settings!$C$7))*100)</f>
        <v/>
      </c>
      <c r="V3718" s="7">
        <f>IF($C3718="","",R3718*U3718/100)</f>
        <v/>
      </c>
      <c r="W3718" s="7">
        <f>IF($C3718="","",R3718-V3718)</f>
        <v/>
      </c>
      <c r="X3718" s="7">
        <f>IF($C3718="","",W3718-K3718)</f>
        <v/>
      </c>
      <c r="AB3718" s="7" t="n"/>
      <c r="AE3718" s="11" t="n"/>
      <c r="AG3718">
        <f>IF($C3718="","",IF(COUNTIF($C$2:$C3718,$C3718)=1,1,0))</f>
        <v/>
      </c>
      <c r="AH3718">
        <f>IF($AG3718=1,SUMPRODUCT(--($AK$2:$AK$6001&lt;$AK3718))+1,"")</f>
        <v/>
      </c>
      <c r="AI3718">
        <f>IF($C3718="","",IF(OR($N3718=TRUE(),$N3718="TRUE"),1,0))</f>
        <v/>
      </c>
      <c r="AJ3718">
        <f>IF($C3718="","",IF($T3718="Yes",1,0))</f>
        <v/>
      </c>
      <c r="AK3718">
        <f>IF($AG3718=1,IFERROR(IF(VALUE($C3718)&lt;100000000,VALUE($C3718),1000000000),IFERROR(IF(VALUE(MID($C3718,2,20))&lt;100000000,VALUE(MID($C3718,2,20)),1000000000),1000000000))+ROW()/100000,"")</f>
        <v/>
      </c>
    </row>
    <row r="3719">
      <c r="D3719" s="11" t="n"/>
      <c r="K3719" s="7">
        <f>IF($C3719="","",J3719*W3719/100)</f>
        <v/>
      </c>
      <c r="Q3719" s="7" t="n"/>
      <c r="R3719" s="7" t="n"/>
      <c r="U3719">
        <f>IF($C3719="","",IF($AJ3719=1,0,IF($AI3719=1,Settings!$C$6,Settings!$C$7))*100)</f>
        <v/>
      </c>
      <c r="V3719" s="7">
        <f>IF($C3719="","",R3719*U3719/100)</f>
        <v/>
      </c>
      <c r="W3719" s="7">
        <f>IF($C3719="","",R3719-V3719)</f>
        <v/>
      </c>
      <c r="X3719" s="7">
        <f>IF($C3719="","",W3719-K3719)</f>
        <v/>
      </c>
      <c r="AB3719" s="7" t="n"/>
      <c r="AE3719" s="11" t="n"/>
      <c r="AG3719">
        <f>IF($C3719="","",IF(COUNTIF($C$2:$C3719,$C3719)=1,1,0))</f>
        <v/>
      </c>
      <c r="AH3719">
        <f>IF($AG3719=1,SUMPRODUCT(--($AK$2:$AK$6001&lt;$AK3719))+1,"")</f>
        <v/>
      </c>
      <c r="AI3719">
        <f>IF($C3719="","",IF(OR($N3719=TRUE(),$N3719="TRUE"),1,0))</f>
        <v/>
      </c>
      <c r="AJ3719">
        <f>IF($C3719="","",IF($T3719="Yes",1,0))</f>
        <v/>
      </c>
      <c r="AK3719">
        <f>IF($AG3719=1,IFERROR(IF(VALUE($C3719)&lt;100000000,VALUE($C3719),1000000000),IFERROR(IF(VALUE(MID($C3719,2,20))&lt;100000000,VALUE(MID($C3719,2,20)),1000000000),1000000000))+ROW()/100000,"")</f>
        <v/>
      </c>
    </row>
    <row r="3720">
      <c r="D3720" s="11" t="n"/>
      <c r="K3720" s="7">
        <f>IF($C3720="","",J3720*W3720/100)</f>
        <v/>
      </c>
      <c r="Q3720" s="7" t="n"/>
      <c r="R3720" s="7" t="n"/>
      <c r="U3720">
        <f>IF($C3720="","",IF($AJ3720=1,0,IF($AI3720=1,Settings!$C$6,Settings!$C$7))*100)</f>
        <v/>
      </c>
      <c r="V3720" s="7">
        <f>IF($C3720="","",R3720*U3720/100)</f>
        <v/>
      </c>
      <c r="W3720" s="7">
        <f>IF($C3720="","",R3720-V3720)</f>
        <v/>
      </c>
      <c r="X3720" s="7">
        <f>IF($C3720="","",W3720-K3720)</f>
        <v/>
      </c>
      <c r="AB3720" s="7" t="n"/>
      <c r="AE3720" s="11" t="n"/>
      <c r="AG3720">
        <f>IF($C3720="","",IF(COUNTIF($C$2:$C3720,$C3720)=1,1,0))</f>
        <v/>
      </c>
      <c r="AH3720">
        <f>IF($AG3720=1,SUMPRODUCT(--($AK$2:$AK$6001&lt;$AK3720))+1,"")</f>
        <v/>
      </c>
      <c r="AI3720">
        <f>IF($C3720="","",IF(OR($N3720=TRUE(),$N3720="TRUE"),1,0))</f>
        <v/>
      </c>
      <c r="AJ3720">
        <f>IF($C3720="","",IF($T3720="Yes",1,0))</f>
        <v/>
      </c>
      <c r="AK3720">
        <f>IF($AG3720=1,IFERROR(IF(VALUE($C3720)&lt;100000000,VALUE($C3720),1000000000),IFERROR(IF(VALUE(MID($C3720,2,20))&lt;100000000,VALUE(MID($C3720,2,20)),1000000000),1000000000))+ROW()/100000,"")</f>
        <v/>
      </c>
    </row>
    <row r="3721">
      <c r="D3721" s="11" t="n"/>
      <c r="K3721" s="7">
        <f>IF($C3721="","",J3721*W3721/100)</f>
        <v/>
      </c>
      <c r="Q3721" s="7" t="n"/>
      <c r="R3721" s="7" t="n"/>
      <c r="U3721">
        <f>IF($C3721="","",IF($AJ3721=1,0,IF($AI3721=1,Settings!$C$6,Settings!$C$7))*100)</f>
        <v/>
      </c>
      <c r="V3721" s="7">
        <f>IF($C3721="","",R3721*U3721/100)</f>
        <v/>
      </c>
      <c r="W3721" s="7">
        <f>IF($C3721="","",R3721-V3721)</f>
        <v/>
      </c>
      <c r="X3721" s="7">
        <f>IF($C3721="","",W3721-K3721)</f>
        <v/>
      </c>
      <c r="AB3721" s="7" t="n"/>
      <c r="AE3721" s="11" t="n"/>
      <c r="AG3721">
        <f>IF($C3721="","",IF(COUNTIF($C$2:$C3721,$C3721)=1,1,0))</f>
        <v/>
      </c>
      <c r="AH3721">
        <f>IF($AG3721=1,SUMPRODUCT(--($AK$2:$AK$6001&lt;$AK3721))+1,"")</f>
        <v/>
      </c>
      <c r="AI3721">
        <f>IF($C3721="","",IF(OR($N3721=TRUE(),$N3721="TRUE"),1,0))</f>
        <v/>
      </c>
      <c r="AJ3721">
        <f>IF($C3721="","",IF($T3721="Yes",1,0))</f>
        <v/>
      </c>
      <c r="AK3721">
        <f>IF($AG3721=1,IFERROR(IF(VALUE($C3721)&lt;100000000,VALUE($C3721),1000000000),IFERROR(IF(VALUE(MID($C3721,2,20))&lt;100000000,VALUE(MID($C3721,2,20)),1000000000),1000000000))+ROW()/100000,"")</f>
        <v/>
      </c>
    </row>
    <row r="3722">
      <c r="D3722" s="11" t="n"/>
      <c r="K3722" s="7">
        <f>IF($C3722="","",J3722*W3722/100)</f>
        <v/>
      </c>
      <c r="Q3722" s="7" t="n"/>
      <c r="R3722" s="7" t="n"/>
      <c r="U3722">
        <f>IF($C3722="","",IF($AJ3722=1,0,IF($AI3722=1,Settings!$C$6,Settings!$C$7))*100)</f>
        <v/>
      </c>
      <c r="V3722" s="7">
        <f>IF($C3722="","",R3722*U3722/100)</f>
        <v/>
      </c>
      <c r="W3722" s="7">
        <f>IF($C3722="","",R3722-V3722)</f>
        <v/>
      </c>
      <c r="X3722" s="7">
        <f>IF($C3722="","",W3722-K3722)</f>
        <v/>
      </c>
      <c r="AB3722" s="7" t="n"/>
      <c r="AE3722" s="11" t="n"/>
      <c r="AG3722">
        <f>IF($C3722="","",IF(COUNTIF($C$2:$C3722,$C3722)=1,1,0))</f>
        <v/>
      </c>
      <c r="AH3722">
        <f>IF($AG3722=1,SUMPRODUCT(--($AK$2:$AK$6001&lt;$AK3722))+1,"")</f>
        <v/>
      </c>
      <c r="AI3722">
        <f>IF($C3722="","",IF(OR($N3722=TRUE(),$N3722="TRUE"),1,0))</f>
        <v/>
      </c>
      <c r="AJ3722">
        <f>IF($C3722="","",IF($T3722="Yes",1,0))</f>
        <v/>
      </c>
      <c r="AK3722">
        <f>IF($AG3722=1,IFERROR(IF(VALUE($C3722)&lt;100000000,VALUE($C3722),1000000000),IFERROR(IF(VALUE(MID($C3722,2,20))&lt;100000000,VALUE(MID($C3722,2,20)),1000000000),1000000000))+ROW()/100000,"")</f>
        <v/>
      </c>
    </row>
    <row r="3723">
      <c r="D3723" s="11" t="n"/>
      <c r="K3723" s="7">
        <f>IF($C3723="","",J3723*W3723/100)</f>
        <v/>
      </c>
      <c r="Q3723" s="7" t="n"/>
      <c r="R3723" s="7" t="n"/>
      <c r="U3723">
        <f>IF($C3723="","",IF($AJ3723=1,0,IF($AI3723=1,Settings!$C$6,Settings!$C$7))*100)</f>
        <v/>
      </c>
      <c r="V3723" s="7">
        <f>IF($C3723="","",R3723*U3723/100)</f>
        <v/>
      </c>
      <c r="W3723" s="7">
        <f>IF($C3723="","",R3723-V3723)</f>
        <v/>
      </c>
      <c r="X3723" s="7">
        <f>IF($C3723="","",W3723-K3723)</f>
        <v/>
      </c>
      <c r="AB3723" s="7" t="n"/>
      <c r="AE3723" s="11" t="n"/>
      <c r="AG3723">
        <f>IF($C3723="","",IF(COUNTIF($C$2:$C3723,$C3723)=1,1,0))</f>
        <v/>
      </c>
      <c r="AH3723">
        <f>IF($AG3723=1,SUMPRODUCT(--($AK$2:$AK$6001&lt;$AK3723))+1,"")</f>
        <v/>
      </c>
      <c r="AI3723">
        <f>IF($C3723="","",IF(OR($N3723=TRUE(),$N3723="TRUE"),1,0))</f>
        <v/>
      </c>
      <c r="AJ3723">
        <f>IF($C3723="","",IF($T3723="Yes",1,0))</f>
        <v/>
      </c>
      <c r="AK3723">
        <f>IF($AG3723=1,IFERROR(IF(VALUE($C3723)&lt;100000000,VALUE($C3723),1000000000),IFERROR(IF(VALUE(MID($C3723,2,20))&lt;100000000,VALUE(MID($C3723,2,20)),1000000000),1000000000))+ROW()/100000,"")</f>
        <v/>
      </c>
    </row>
    <row r="3724">
      <c r="D3724" s="11" t="n"/>
      <c r="K3724" s="7">
        <f>IF($C3724="","",J3724*W3724/100)</f>
        <v/>
      </c>
      <c r="Q3724" s="7" t="n"/>
      <c r="R3724" s="7" t="n"/>
      <c r="U3724">
        <f>IF($C3724="","",IF($AJ3724=1,0,IF($AI3724=1,Settings!$C$6,Settings!$C$7))*100)</f>
        <v/>
      </c>
      <c r="V3724" s="7">
        <f>IF($C3724="","",R3724*U3724/100)</f>
        <v/>
      </c>
      <c r="W3724" s="7">
        <f>IF($C3724="","",R3724-V3724)</f>
        <v/>
      </c>
      <c r="X3724" s="7">
        <f>IF($C3724="","",W3724-K3724)</f>
        <v/>
      </c>
      <c r="AB3724" s="7" t="n"/>
      <c r="AE3724" s="11" t="n"/>
      <c r="AG3724">
        <f>IF($C3724="","",IF(COUNTIF($C$2:$C3724,$C3724)=1,1,0))</f>
        <v/>
      </c>
      <c r="AH3724">
        <f>IF($AG3724=1,SUMPRODUCT(--($AK$2:$AK$6001&lt;$AK3724))+1,"")</f>
        <v/>
      </c>
      <c r="AI3724">
        <f>IF($C3724="","",IF(OR($N3724=TRUE(),$N3724="TRUE"),1,0))</f>
        <v/>
      </c>
      <c r="AJ3724">
        <f>IF($C3724="","",IF($T3724="Yes",1,0))</f>
        <v/>
      </c>
      <c r="AK3724">
        <f>IF($AG3724=1,IFERROR(IF(VALUE($C3724)&lt;100000000,VALUE($C3724),1000000000),IFERROR(IF(VALUE(MID($C3724,2,20))&lt;100000000,VALUE(MID($C3724,2,20)),1000000000),1000000000))+ROW()/100000,"")</f>
        <v/>
      </c>
    </row>
    <row r="3725">
      <c r="D3725" s="11" t="n"/>
      <c r="K3725" s="7">
        <f>IF($C3725="","",J3725*W3725/100)</f>
        <v/>
      </c>
      <c r="Q3725" s="7" t="n"/>
      <c r="R3725" s="7" t="n"/>
      <c r="U3725">
        <f>IF($C3725="","",IF($AJ3725=1,0,IF($AI3725=1,Settings!$C$6,Settings!$C$7))*100)</f>
        <v/>
      </c>
      <c r="V3725" s="7">
        <f>IF($C3725="","",R3725*U3725/100)</f>
        <v/>
      </c>
      <c r="W3725" s="7">
        <f>IF($C3725="","",R3725-V3725)</f>
        <v/>
      </c>
      <c r="X3725" s="7">
        <f>IF($C3725="","",W3725-K3725)</f>
        <v/>
      </c>
      <c r="AB3725" s="7" t="n"/>
      <c r="AE3725" s="11" t="n"/>
      <c r="AG3725">
        <f>IF($C3725="","",IF(COUNTIF($C$2:$C3725,$C3725)=1,1,0))</f>
        <v/>
      </c>
      <c r="AH3725">
        <f>IF($AG3725=1,SUMPRODUCT(--($AK$2:$AK$6001&lt;$AK3725))+1,"")</f>
        <v/>
      </c>
      <c r="AI3725">
        <f>IF($C3725="","",IF(OR($N3725=TRUE(),$N3725="TRUE"),1,0))</f>
        <v/>
      </c>
      <c r="AJ3725">
        <f>IF($C3725="","",IF($T3725="Yes",1,0))</f>
        <v/>
      </c>
      <c r="AK3725">
        <f>IF($AG3725=1,IFERROR(IF(VALUE($C3725)&lt;100000000,VALUE($C3725),1000000000),IFERROR(IF(VALUE(MID($C3725,2,20))&lt;100000000,VALUE(MID($C3725,2,20)),1000000000),1000000000))+ROW()/100000,"")</f>
        <v/>
      </c>
    </row>
    <row r="3726">
      <c r="D3726" s="11" t="n"/>
      <c r="K3726" s="7">
        <f>IF($C3726="","",J3726*W3726/100)</f>
        <v/>
      </c>
      <c r="Q3726" s="7" t="n"/>
      <c r="R3726" s="7" t="n"/>
      <c r="U3726">
        <f>IF($C3726="","",IF($AJ3726=1,0,IF($AI3726=1,Settings!$C$6,Settings!$C$7))*100)</f>
        <v/>
      </c>
      <c r="V3726" s="7">
        <f>IF($C3726="","",R3726*U3726/100)</f>
        <v/>
      </c>
      <c r="W3726" s="7">
        <f>IF($C3726="","",R3726-V3726)</f>
        <v/>
      </c>
      <c r="X3726" s="7">
        <f>IF($C3726="","",W3726-K3726)</f>
        <v/>
      </c>
      <c r="AB3726" s="7" t="n"/>
      <c r="AE3726" s="11" t="n"/>
      <c r="AG3726">
        <f>IF($C3726="","",IF(COUNTIF($C$2:$C3726,$C3726)=1,1,0))</f>
        <v/>
      </c>
      <c r="AH3726">
        <f>IF($AG3726=1,SUMPRODUCT(--($AK$2:$AK$6001&lt;$AK3726))+1,"")</f>
        <v/>
      </c>
      <c r="AI3726">
        <f>IF($C3726="","",IF(OR($N3726=TRUE(),$N3726="TRUE"),1,0))</f>
        <v/>
      </c>
      <c r="AJ3726">
        <f>IF($C3726="","",IF($T3726="Yes",1,0))</f>
        <v/>
      </c>
      <c r="AK3726">
        <f>IF($AG3726=1,IFERROR(IF(VALUE($C3726)&lt;100000000,VALUE($C3726),1000000000),IFERROR(IF(VALUE(MID($C3726,2,20))&lt;100000000,VALUE(MID($C3726,2,20)),1000000000),1000000000))+ROW()/100000,"")</f>
        <v/>
      </c>
    </row>
    <row r="3727">
      <c r="D3727" s="11" t="n"/>
      <c r="K3727" s="7">
        <f>IF($C3727="","",J3727*W3727/100)</f>
        <v/>
      </c>
      <c r="Q3727" s="7" t="n"/>
      <c r="R3727" s="7" t="n"/>
      <c r="U3727">
        <f>IF($C3727="","",IF($AJ3727=1,0,IF($AI3727=1,Settings!$C$6,Settings!$C$7))*100)</f>
        <v/>
      </c>
      <c r="V3727" s="7">
        <f>IF($C3727="","",R3727*U3727/100)</f>
        <v/>
      </c>
      <c r="W3727" s="7">
        <f>IF($C3727="","",R3727-V3727)</f>
        <v/>
      </c>
      <c r="X3727" s="7">
        <f>IF($C3727="","",W3727-K3727)</f>
        <v/>
      </c>
      <c r="AB3727" s="7" t="n"/>
      <c r="AE3727" s="11" t="n"/>
      <c r="AG3727">
        <f>IF($C3727="","",IF(COUNTIF($C$2:$C3727,$C3727)=1,1,0))</f>
        <v/>
      </c>
      <c r="AH3727">
        <f>IF($AG3727=1,SUMPRODUCT(--($AK$2:$AK$6001&lt;$AK3727))+1,"")</f>
        <v/>
      </c>
      <c r="AI3727">
        <f>IF($C3727="","",IF(OR($N3727=TRUE(),$N3727="TRUE"),1,0))</f>
        <v/>
      </c>
      <c r="AJ3727">
        <f>IF($C3727="","",IF($T3727="Yes",1,0))</f>
        <v/>
      </c>
      <c r="AK3727">
        <f>IF($AG3727=1,IFERROR(IF(VALUE($C3727)&lt;100000000,VALUE($C3727),1000000000),IFERROR(IF(VALUE(MID($C3727,2,20))&lt;100000000,VALUE(MID($C3727,2,20)),1000000000),1000000000))+ROW()/100000,"")</f>
        <v/>
      </c>
    </row>
    <row r="3728">
      <c r="D3728" s="11" t="n"/>
      <c r="K3728" s="7">
        <f>IF($C3728="","",J3728*W3728/100)</f>
        <v/>
      </c>
      <c r="Q3728" s="7" t="n"/>
      <c r="R3728" s="7" t="n"/>
      <c r="U3728">
        <f>IF($C3728="","",IF($AJ3728=1,0,IF($AI3728=1,Settings!$C$6,Settings!$C$7))*100)</f>
        <v/>
      </c>
      <c r="V3728" s="7">
        <f>IF($C3728="","",R3728*U3728/100)</f>
        <v/>
      </c>
      <c r="W3728" s="7">
        <f>IF($C3728="","",R3728-V3728)</f>
        <v/>
      </c>
      <c r="X3728" s="7">
        <f>IF($C3728="","",W3728-K3728)</f>
        <v/>
      </c>
      <c r="AB3728" s="7" t="n"/>
      <c r="AE3728" s="11" t="n"/>
      <c r="AG3728">
        <f>IF($C3728="","",IF(COUNTIF($C$2:$C3728,$C3728)=1,1,0))</f>
        <v/>
      </c>
      <c r="AH3728">
        <f>IF($AG3728=1,SUMPRODUCT(--($AK$2:$AK$6001&lt;$AK3728))+1,"")</f>
        <v/>
      </c>
      <c r="AI3728">
        <f>IF($C3728="","",IF(OR($N3728=TRUE(),$N3728="TRUE"),1,0))</f>
        <v/>
      </c>
      <c r="AJ3728">
        <f>IF($C3728="","",IF($T3728="Yes",1,0))</f>
        <v/>
      </c>
      <c r="AK3728">
        <f>IF($AG3728=1,IFERROR(IF(VALUE($C3728)&lt;100000000,VALUE($C3728),1000000000),IFERROR(IF(VALUE(MID($C3728,2,20))&lt;100000000,VALUE(MID($C3728,2,20)),1000000000),1000000000))+ROW()/100000,"")</f>
        <v/>
      </c>
    </row>
    <row r="3729">
      <c r="D3729" s="11" t="n"/>
      <c r="K3729" s="7">
        <f>IF($C3729="","",J3729*W3729/100)</f>
        <v/>
      </c>
      <c r="Q3729" s="7" t="n"/>
      <c r="R3729" s="7" t="n"/>
      <c r="U3729">
        <f>IF($C3729="","",IF($AJ3729=1,0,IF($AI3729=1,Settings!$C$6,Settings!$C$7))*100)</f>
        <v/>
      </c>
      <c r="V3729" s="7">
        <f>IF($C3729="","",R3729*U3729/100)</f>
        <v/>
      </c>
      <c r="W3729" s="7">
        <f>IF($C3729="","",R3729-V3729)</f>
        <v/>
      </c>
      <c r="X3729" s="7">
        <f>IF($C3729="","",W3729-K3729)</f>
        <v/>
      </c>
      <c r="AB3729" s="7" t="n"/>
      <c r="AE3729" s="11" t="n"/>
      <c r="AG3729">
        <f>IF($C3729="","",IF(COUNTIF($C$2:$C3729,$C3729)=1,1,0))</f>
        <v/>
      </c>
      <c r="AH3729">
        <f>IF($AG3729=1,SUMPRODUCT(--($AK$2:$AK$6001&lt;$AK3729))+1,"")</f>
        <v/>
      </c>
      <c r="AI3729">
        <f>IF($C3729="","",IF(OR($N3729=TRUE(),$N3729="TRUE"),1,0))</f>
        <v/>
      </c>
      <c r="AJ3729">
        <f>IF($C3729="","",IF($T3729="Yes",1,0))</f>
        <v/>
      </c>
      <c r="AK3729">
        <f>IF($AG3729=1,IFERROR(IF(VALUE($C3729)&lt;100000000,VALUE($C3729),1000000000),IFERROR(IF(VALUE(MID($C3729,2,20))&lt;100000000,VALUE(MID($C3729,2,20)),1000000000),1000000000))+ROW()/100000,"")</f>
        <v/>
      </c>
    </row>
    <row r="3730">
      <c r="D3730" s="11" t="n"/>
      <c r="K3730" s="7">
        <f>IF($C3730="","",J3730*W3730/100)</f>
        <v/>
      </c>
      <c r="Q3730" s="7" t="n"/>
      <c r="R3730" s="7" t="n"/>
      <c r="U3730">
        <f>IF($C3730="","",IF($AJ3730=1,0,IF($AI3730=1,Settings!$C$6,Settings!$C$7))*100)</f>
        <v/>
      </c>
      <c r="V3730" s="7">
        <f>IF($C3730="","",R3730*U3730/100)</f>
        <v/>
      </c>
      <c r="W3730" s="7">
        <f>IF($C3730="","",R3730-V3730)</f>
        <v/>
      </c>
      <c r="X3730" s="7">
        <f>IF($C3730="","",W3730-K3730)</f>
        <v/>
      </c>
      <c r="AB3730" s="7" t="n"/>
      <c r="AE3730" s="11" t="n"/>
      <c r="AG3730">
        <f>IF($C3730="","",IF(COUNTIF($C$2:$C3730,$C3730)=1,1,0))</f>
        <v/>
      </c>
      <c r="AH3730">
        <f>IF($AG3730=1,SUMPRODUCT(--($AK$2:$AK$6001&lt;$AK3730))+1,"")</f>
        <v/>
      </c>
      <c r="AI3730">
        <f>IF($C3730="","",IF(OR($N3730=TRUE(),$N3730="TRUE"),1,0))</f>
        <v/>
      </c>
      <c r="AJ3730">
        <f>IF($C3730="","",IF($T3730="Yes",1,0))</f>
        <v/>
      </c>
      <c r="AK3730">
        <f>IF($AG3730=1,IFERROR(IF(VALUE($C3730)&lt;100000000,VALUE($C3730),1000000000),IFERROR(IF(VALUE(MID($C3730,2,20))&lt;100000000,VALUE(MID($C3730,2,20)),1000000000),1000000000))+ROW()/100000,"")</f>
        <v/>
      </c>
    </row>
    <row r="3731">
      <c r="D3731" s="11" t="n"/>
      <c r="K3731" s="7">
        <f>IF($C3731="","",J3731*W3731/100)</f>
        <v/>
      </c>
      <c r="Q3731" s="7" t="n"/>
      <c r="R3731" s="7" t="n"/>
      <c r="U3731">
        <f>IF($C3731="","",IF($AJ3731=1,0,IF($AI3731=1,Settings!$C$6,Settings!$C$7))*100)</f>
        <v/>
      </c>
      <c r="V3731" s="7">
        <f>IF($C3731="","",R3731*U3731/100)</f>
        <v/>
      </c>
      <c r="W3731" s="7">
        <f>IF($C3731="","",R3731-V3731)</f>
        <v/>
      </c>
      <c r="X3731" s="7">
        <f>IF($C3731="","",W3731-K3731)</f>
        <v/>
      </c>
      <c r="AB3731" s="7" t="n"/>
      <c r="AE3731" s="11" t="n"/>
      <c r="AG3731">
        <f>IF($C3731="","",IF(COUNTIF($C$2:$C3731,$C3731)=1,1,0))</f>
        <v/>
      </c>
      <c r="AH3731">
        <f>IF($AG3731=1,SUMPRODUCT(--($AK$2:$AK$6001&lt;$AK3731))+1,"")</f>
        <v/>
      </c>
      <c r="AI3731">
        <f>IF($C3731="","",IF(OR($N3731=TRUE(),$N3731="TRUE"),1,0))</f>
        <v/>
      </c>
      <c r="AJ3731">
        <f>IF($C3731="","",IF($T3731="Yes",1,0))</f>
        <v/>
      </c>
      <c r="AK3731">
        <f>IF($AG3731=1,IFERROR(IF(VALUE($C3731)&lt;100000000,VALUE($C3731),1000000000),IFERROR(IF(VALUE(MID($C3731,2,20))&lt;100000000,VALUE(MID($C3731,2,20)),1000000000),1000000000))+ROW()/100000,"")</f>
        <v/>
      </c>
    </row>
    <row r="3732">
      <c r="D3732" s="11" t="n"/>
      <c r="K3732" s="7">
        <f>IF($C3732="","",J3732*W3732/100)</f>
        <v/>
      </c>
      <c r="Q3732" s="7" t="n"/>
      <c r="R3732" s="7" t="n"/>
      <c r="U3732">
        <f>IF($C3732="","",IF($AJ3732=1,0,IF($AI3732=1,Settings!$C$6,Settings!$C$7))*100)</f>
        <v/>
      </c>
      <c r="V3732" s="7">
        <f>IF($C3732="","",R3732*U3732/100)</f>
        <v/>
      </c>
      <c r="W3732" s="7">
        <f>IF($C3732="","",R3732-V3732)</f>
        <v/>
      </c>
      <c r="X3732" s="7">
        <f>IF($C3732="","",W3732-K3732)</f>
        <v/>
      </c>
      <c r="AB3732" s="7" t="n"/>
      <c r="AE3732" s="11" t="n"/>
      <c r="AG3732">
        <f>IF($C3732="","",IF(COUNTIF($C$2:$C3732,$C3732)=1,1,0))</f>
        <v/>
      </c>
      <c r="AH3732">
        <f>IF($AG3732=1,SUMPRODUCT(--($AK$2:$AK$6001&lt;$AK3732))+1,"")</f>
        <v/>
      </c>
      <c r="AI3732">
        <f>IF($C3732="","",IF(OR($N3732=TRUE(),$N3732="TRUE"),1,0))</f>
        <v/>
      </c>
      <c r="AJ3732">
        <f>IF($C3732="","",IF($T3732="Yes",1,0))</f>
        <v/>
      </c>
      <c r="AK3732">
        <f>IF($AG3732=1,IFERROR(IF(VALUE($C3732)&lt;100000000,VALUE($C3732),1000000000),IFERROR(IF(VALUE(MID($C3732,2,20))&lt;100000000,VALUE(MID($C3732,2,20)),1000000000),1000000000))+ROW()/100000,"")</f>
        <v/>
      </c>
    </row>
    <row r="3733">
      <c r="D3733" s="11" t="n"/>
      <c r="K3733" s="7">
        <f>IF($C3733="","",J3733*W3733/100)</f>
        <v/>
      </c>
      <c r="Q3733" s="7" t="n"/>
      <c r="R3733" s="7" t="n"/>
      <c r="U3733">
        <f>IF($C3733="","",IF($AJ3733=1,0,IF($AI3733=1,Settings!$C$6,Settings!$C$7))*100)</f>
        <v/>
      </c>
      <c r="V3733" s="7">
        <f>IF($C3733="","",R3733*U3733/100)</f>
        <v/>
      </c>
      <c r="W3733" s="7">
        <f>IF($C3733="","",R3733-V3733)</f>
        <v/>
      </c>
      <c r="X3733" s="7">
        <f>IF($C3733="","",W3733-K3733)</f>
        <v/>
      </c>
      <c r="AB3733" s="7" t="n"/>
      <c r="AE3733" s="11" t="n"/>
      <c r="AG3733">
        <f>IF($C3733="","",IF(COUNTIF($C$2:$C3733,$C3733)=1,1,0))</f>
        <v/>
      </c>
      <c r="AH3733">
        <f>IF($AG3733=1,SUMPRODUCT(--($AK$2:$AK$6001&lt;$AK3733))+1,"")</f>
        <v/>
      </c>
      <c r="AI3733">
        <f>IF($C3733="","",IF(OR($N3733=TRUE(),$N3733="TRUE"),1,0))</f>
        <v/>
      </c>
      <c r="AJ3733">
        <f>IF($C3733="","",IF($T3733="Yes",1,0))</f>
        <v/>
      </c>
      <c r="AK3733">
        <f>IF($AG3733=1,IFERROR(IF(VALUE($C3733)&lt;100000000,VALUE($C3733),1000000000),IFERROR(IF(VALUE(MID($C3733,2,20))&lt;100000000,VALUE(MID($C3733,2,20)),1000000000),1000000000))+ROW()/100000,"")</f>
        <v/>
      </c>
    </row>
    <row r="3734">
      <c r="D3734" s="11" t="n"/>
      <c r="K3734" s="7">
        <f>IF($C3734="","",J3734*W3734/100)</f>
        <v/>
      </c>
      <c r="Q3734" s="7" t="n"/>
      <c r="R3734" s="7" t="n"/>
      <c r="U3734">
        <f>IF($C3734="","",IF($AJ3734=1,0,IF($AI3734=1,Settings!$C$6,Settings!$C$7))*100)</f>
        <v/>
      </c>
      <c r="V3734" s="7">
        <f>IF($C3734="","",R3734*U3734/100)</f>
        <v/>
      </c>
      <c r="W3734" s="7">
        <f>IF($C3734="","",R3734-V3734)</f>
        <v/>
      </c>
      <c r="X3734" s="7">
        <f>IF($C3734="","",W3734-K3734)</f>
        <v/>
      </c>
      <c r="AB3734" s="7" t="n"/>
      <c r="AE3734" s="11" t="n"/>
      <c r="AG3734">
        <f>IF($C3734="","",IF(COUNTIF($C$2:$C3734,$C3734)=1,1,0))</f>
        <v/>
      </c>
      <c r="AH3734">
        <f>IF($AG3734=1,SUMPRODUCT(--($AK$2:$AK$6001&lt;$AK3734))+1,"")</f>
        <v/>
      </c>
      <c r="AI3734">
        <f>IF($C3734="","",IF(OR($N3734=TRUE(),$N3734="TRUE"),1,0))</f>
        <v/>
      </c>
      <c r="AJ3734">
        <f>IF($C3734="","",IF($T3734="Yes",1,0))</f>
        <v/>
      </c>
      <c r="AK3734">
        <f>IF($AG3734=1,IFERROR(IF(VALUE($C3734)&lt;100000000,VALUE($C3734),1000000000),IFERROR(IF(VALUE(MID($C3734,2,20))&lt;100000000,VALUE(MID($C3734,2,20)),1000000000),1000000000))+ROW()/100000,"")</f>
        <v/>
      </c>
    </row>
    <row r="3735">
      <c r="D3735" s="11" t="n"/>
      <c r="K3735" s="7">
        <f>IF($C3735="","",J3735*W3735/100)</f>
        <v/>
      </c>
      <c r="Q3735" s="7" t="n"/>
      <c r="R3735" s="7" t="n"/>
      <c r="U3735">
        <f>IF($C3735="","",IF($AJ3735=1,0,IF($AI3735=1,Settings!$C$6,Settings!$C$7))*100)</f>
        <v/>
      </c>
      <c r="V3735" s="7">
        <f>IF($C3735="","",R3735*U3735/100)</f>
        <v/>
      </c>
      <c r="W3735" s="7">
        <f>IF($C3735="","",R3735-V3735)</f>
        <v/>
      </c>
      <c r="X3735" s="7">
        <f>IF($C3735="","",W3735-K3735)</f>
        <v/>
      </c>
      <c r="AB3735" s="7" t="n"/>
      <c r="AE3735" s="11" t="n"/>
      <c r="AG3735">
        <f>IF($C3735="","",IF(COUNTIF($C$2:$C3735,$C3735)=1,1,0))</f>
        <v/>
      </c>
      <c r="AH3735">
        <f>IF($AG3735=1,SUMPRODUCT(--($AK$2:$AK$6001&lt;$AK3735))+1,"")</f>
        <v/>
      </c>
      <c r="AI3735">
        <f>IF($C3735="","",IF(OR($N3735=TRUE(),$N3735="TRUE"),1,0))</f>
        <v/>
      </c>
      <c r="AJ3735">
        <f>IF($C3735="","",IF($T3735="Yes",1,0))</f>
        <v/>
      </c>
      <c r="AK3735">
        <f>IF($AG3735=1,IFERROR(IF(VALUE($C3735)&lt;100000000,VALUE($C3735),1000000000),IFERROR(IF(VALUE(MID($C3735,2,20))&lt;100000000,VALUE(MID($C3735,2,20)),1000000000),1000000000))+ROW()/100000,"")</f>
        <v/>
      </c>
    </row>
    <row r="3736">
      <c r="D3736" s="11" t="n"/>
      <c r="K3736" s="7">
        <f>IF($C3736="","",J3736*W3736/100)</f>
        <v/>
      </c>
      <c r="Q3736" s="7" t="n"/>
      <c r="R3736" s="7" t="n"/>
      <c r="U3736">
        <f>IF($C3736="","",IF($AJ3736=1,0,IF($AI3736=1,Settings!$C$6,Settings!$C$7))*100)</f>
        <v/>
      </c>
      <c r="V3736" s="7">
        <f>IF($C3736="","",R3736*U3736/100)</f>
        <v/>
      </c>
      <c r="W3736" s="7">
        <f>IF($C3736="","",R3736-V3736)</f>
        <v/>
      </c>
      <c r="X3736" s="7">
        <f>IF($C3736="","",W3736-K3736)</f>
        <v/>
      </c>
      <c r="AB3736" s="7" t="n"/>
      <c r="AE3736" s="11" t="n"/>
      <c r="AG3736">
        <f>IF($C3736="","",IF(COUNTIF($C$2:$C3736,$C3736)=1,1,0))</f>
        <v/>
      </c>
      <c r="AH3736">
        <f>IF($AG3736=1,SUMPRODUCT(--($AK$2:$AK$6001&lt;$AK3736))+1,"")</f>
        <v/>
      </c>
      <c r="AI3736">
        <f>IF($C3736="","",IF(OR($N3736=TRUE(),$N3736="TRUE"),1,0))</f>
        <v/>
      </c>
      <c r="AJ3736">
        <f>IF($C3736="","",IF($T3736="Yes",1,0))</f>
        <v/>
      </c>
      <c r="AK3736">
        <f>IF($AG3736=1,IFERROR(IF(VALUE($C3736)&lt;100000000,VALUE($C3736),1000000000),IFERROR(IF(VALUE(MID($C3736,2,20))&lt;100000000,VALUE(MID($C3736,2,20)),1000000000),1000000000))+ROW()/100000,"")</f>
        <v/>
      </c>
    </row>
    <row r="3737">
      <c r="D3737" s="11" t="n"/>
      <c r="K3737" s="7">
        <f>IF($C3737="","",J3737*W3737/100)</f>
        <v/>
      </c>
      <c r="Q3737" s="7" t="n"/>
      <c r="R3737" s="7" t="n"/>
      <c r="U3737">
        <f>IF($C3737="","",IF($AJ3737=1,0,IF($AI3737=1,Settings!$C$6,Settings!$C$7))*100)</f>
        <v/>
      </c>
      <c r="V3737" s="7">
        <f>IF($C3737="","",R3737*U3737/100)</f>
        <v/>
      </c>
      <c r="W3737" s="7">
        <f>IF($C3737="","",R3737-V3737)</f>
        <v/>
      </c>
      <c r="X3737" s="7">
        <f>IF($C3737="","",W3737-K3737)</f>
        <v/>
      </c>
      <c r="AB3737" s="7" t="n"/>
      <c r="AE3737" s="11" t="n"/>
      <c r="AG3737">
        <f>IF($C3737="","",IF(COUNTIF($C$2:$C3737,$C3737)=1,1,0))</f>
        <v/>
      </c>
      <c r="AH3737">
        <f>IF($AG3737=1,SUMPRODUCT(--($AK$2:$AK$6001&lt;$AK3737))+1,"")</f>
        <v/>
      </c>
      <c r="AI3737">
        <f>IF($C3737="","",IF(OR($N3737=TRUE(),$N3737="TRUE"),1,0))</f>
        <v/>
      </c>
      <c r="AJ3737">
        <f>IF($C3737="","",IF($T3737="Yes",1,0))</f>
        <v/>
      </c>
      <c r="AK3737">
        <f>IF($AG3737=1,IFERROR(IF(VALUE($C3737)&lt;100000000,VALUE($C3737),1000000000),IFERROR(IF(VALUE(MID($C3737,2,20))&lt;100000000,VALUE(MID($C3737,2,20)),1000000000),1000000000))+ROW()/100000,"")</f>
        <v/>
      </c>
    </row>
    <row r="3738">
      <c r="D3738" s="11" t="n"/>
      <c r="K3738" s="7">
        <f>IF($C3738="","",J3738*W3738/100)</f>
        <v/>
      </c>
      <c r="Q3738" s="7" t="n"/>
      <c r="R3738" s="7" t="n"/>
      <c r="U3738">
        <f>IF($C3738="","",IF($AJ3738=1,0,IF($AI3738=1,Settings!$C$6,Settings!$C$7))*100)</f>
        <v/>
      </c>
      <c r="V3738" s="7">
        <f>IF($C3738="","",R3738*U3738/100)</f>
        <v/>
      </c>
      <c r="W3738" s="7">
        <f>IF($C3738="","",R3738-V3738)</f>
        <v/>
      </c>
      <c r="X3738" s="7">
        <f>IF($C3738="","",W3738-K3738)</f>
        <v/>
      </c>
      <c r="AB3738" s="7" t="n"/>
      <c r="AE3738" s="11" t="n"/>
      <c r="AG3738">
        <f>IF($C3738="","",IF(COUNTIF($C$2:$C3738,$C3738)=1,1,0))</f>
        <v/>
      </c>
      <c r="AH3738">
        <f>IF($AG3738=1,SUMPRODUCT(--($AK$2:$AK$6001&lt;$AK3738))+1,"")</f>
        <v/>
      </c>
      <c r="AI3738">
        <f>IF($C3738="","",IF(OR($N3738=TRUE(),$N3738="TRUE"),1,0))</f>
        <v/>
      </c>
      <c r="AJ3738">
        <f>IF($C3738="","",IF($T3738="Yes",1,0))</f>
        <v/>
      </c>
      <c r="AK3738">
        <f>IF($AG3738=1,IFERROR(IF(VALUE($C3738)&lt;100000000,VALUE($C3738),1000000000),IFERROR(IF(VALUE(MID($C3738,2,20))&lt;100000000,VALUE(MID($C3738,2,20)),1000000000),1000000000))+ROW()/100000,"")</f>
        <v/>
      </c>
    </row>
    <row r="3739">
      <c r="D3739" s="11" t="n"/>
      <c r="K3739" s="7">
        <f>IF($C3739="","",J3739*W3739/100)</f>
        <v/>
      </c>
      <c r="Q3739" s="7" t="n"/>
      <c r="R3739" s="7" t="n"/>
      <c r="U3739">
        <f>IF($C3739="","",IF($AJ3739=1,0,IF($AI3739=1,Settings!$C$6,Settings!$C$7))*100)</f>
        <v/>
      </c>
      <c r="V3739" s="7">
        <f>IF($C3739="","",R3739*U3739/100)</f>
        <v/>
      </c>
      <c r="W3739" s="7">
        <f>IF($C3739="","",R3739-V3739)</f>
        <v/>
      </c>
      <c r="X3739" s="7">
        <f>IF($C3739="","",W3739-K3739)</f>
        <v/>
      </c>
      <c r="AB3739" s="7" t="n"/>
      <c r="AE3739" s="11" t="n"/>
      <c r="AG3739">
        <f>IF($C3739="","",IF(COUNTIF($C$2:$C3739,$C3739)=1,1,0))</f>
        <v/>
      </c>
      <c r="AH3739">
        <f>IF($AG3739=1,SUMPRODUCT(--($AK$2:$AK$6001&lt;$AK3739))+1,"")</f>
        <v/>
      </c>
      <c r="AI3739">
        <f>IF($C3739="","",IF(OR($N3739=TRUE(),$N3739="TRUE"),1,0))</f>
        <v/>
      </c>
      <c r="AJ3739">
        <f>IF($C3739="","",IF($T3739="Yes",1,0))</f>
        <v/>
      </c>
      <c r="AK3739">
        <f>IF($AG3739=1,IFERROR(IF(VALUE($C3739)&lt;100000000,VALUE($C3739),1000000000),IFERROR(IF(VALUE(MID($C3739,2,20))&lt;100000000,VALUE(MID($C3739,2,20)),1000000000),1000000000))+ROW()/100000,"")</f>
        <v/>
      </c>
    </row>
    <row r="3740">
      <c r="D3740" s="11" t="n"/>
      <c r="K3740" s="7">
        <f>IF($C3740="","",J3740*W3740/100)</f>
        <v/>
      </c>
      <c r="Q3740" s="7" t="n"/>
      <c r="R3740" s="7" t="n"/>
      <c r="U3740">
        <f>IF($C3740="","",IF($AJ3740=1,0,IF($AI3740=1,Settings!$C$6,Settings!$C$7))*100)</f>
        <v/>
      </c>
      <c r="V3740" s="7">
        <f>IF($C3740="","",R3740*U3740/100)</f>
        <v/>
      </c>
      <c r="W3740" s="7">
        <f>IF($C3740="","",R3740-V3740)</f>
        <v/>
      </c>
      <c r="X3740" s="7">
        <f>IF($C3740="","",W3740-K3740)</f>
        <v/>
      </c>
      <c r="AB3740" s="7" t="n"/>
      <c r="AE3740" s="11" t="n"/>
      <c r="AG3740">
        <f>IF($C3740="","",IF(COUNTIF($C$2:$C3740,$C3740)=1,1,0))</f>
        <v/>
      </c>
      <c r="AH3740">
        <f>IF($AG3740=1,SUMPRODUCT(--($AK$2:$AK$6001&lt;$AK3740))+1,"")</f>
        <v/>
      </c>
      <c r="AI3740">
        <f>IF($C3740="","",IF(OR($N3740=TRUE(),$N3740="TRUE"),1,0))</f>
        <v/>
      </c>
      <c r="AJ3740">
        <f>IF($C3740="","",IF($T3740="Yes",1,0))</f>
        <v/>
      </c>
      <c r="AK3740">
        <f>IF($AG3740=1,IFERROR(IF(VALUE($C3740)&lt;100000000,VALUE($C3740),1000000000),IFERROR(IF(VALUE(MID($C3740,2,20))&lt;100000000,VALUE(MID($C3740,2,20)),1000000000),1000000000))+ROW()/100000,"")</f>
        <v/>
      </c>
    </row>
    <row r="3741">
      <c r="D3741" s="11" t="n"/>
      <c r="K3741" s="7">
        <f>IF($C3741="","",J3741*W3741/100)</f>
        <v/>
      </c>
      <c r="Q3741" s="7" t="n"/>
      <c r="R3741" s="7" t="n"/>
      <c r="U3741">
        <f>IF($C3741="","",IF($AJ3741=1,0,IF($AI3741=1,Settings!$C$6,Settings!$C$7))*100)</f>
        <v/>
      </c>
      <c r="V3741" s="7">
        <f>IF($C3741="","",R3741*U3741/100)</f>
        <v/>
      </c>
      <c r="W3741" s="7">
        <f>IF($C3741="","",R3741-V3741)</f>
        <v/>
      </c>
      <c r="X3741" s="7">
        <f>IF($C3741="","",W3741-K3741)</f>
        <v/>
      </c>
      <c r="AB3741" s="7" t="n"/>
      <c r="AE3741" s="11" t="n"/>
      <c r="AG3741">
        <f>IF($C3741="","",IF(COUNTIF($C$2:$C3741,$C3741)=1,1,0))</f>
        <v/>
      </c>
      <c r="AH3741">
        <f>IF($AG3741=1,SUMPRODUCT(--($AK$2:$AK$6001&lt;$AK3741))+1,"")</f>
        <v/>
      </c>
      <c r="AI3741">
        <f>IF($C3741="","",IF(OR($N3741=TRUE(),$N3741="TRUE"),1,0))</f>
        <v/>
      </c>
      <c r="AJ3741">
        <f>IF($C3741="","",IF($T3741="Yes",1,0))</f>
        <v/>
      </c>
      <c r="AK3741">
        <f>IF($AG3741=1,IFERROR(IF(VALUE($C3741)&lt;100000000,VALUE($C3741),1000000000),IFERROR(IF(VALUE(MID($C3741,2,20))&lt;100000000,VALUE(MID($C3741,2,20)),1000000000),1000000000))+ROW()/100000,"")</f>
        <v/>
      </c>
    </row>
    <row r="3742">
      <c r="D3742" s="11" t="n"/>
      <c r="K3742" s="7">
        <f>IF($C3742="","",J3742*W3742/100)</f>
        <v/>
      </c>
      <c r="Q3742" s="7" t="n"/>
      <c r="R3742" s="7" t="n"/>
      <c r="U3742">
        <f>IF($C3742="","",IF($AJ3742=1,0,IF($AI3742=1,Settings!$C$6,Settings!$C$7))*100)</f>
        <v/>
      </c>
      <c r="V3742" s="7">
        <f>IF($C3742="","",R3742*U3742/100)</f>
        <v/>
      </c>
      <c r="W3742" s="7">
        <f>IF($C3742="","",R3742-V3742)</f>
        <v/>
      </c>
      <c r="X3742" s="7">
        <f>IF($C3742="","",W3742-K3742)</f>
        <v/>
      </c>
      <c r="AB3742" s="7" t="n"/>
      <c r="AE3742" s="11" t="n"/>
      <c r="AG3742">
        <f>IF($C3742="","",IF(COUNTIF($C$2:$C3742,$C3742)=1,1,0))</f>
        <v/>
      </c>
      <c r="AH3742">
        <f>IF($AG3742=1,SUMPRODUCT(--($AK$2:$AK$6001&lt;$AK3742))+1,"")</f>
        <v/>
      </c>
      <c r="AI3742">
        <f>IF($C3742="","",IF(OR($N3742=TRUE(),$N3742="TRUE"),1,0))</f>
        <v/>
      </c>
      <c r="AJ3742">
        <f>IF($C3742="","",IF($T3742="Yes",1,0))</f>
        <v/>
      </c>
      <c r="AK3742">
        <f>IF($AG3742=1,IFERROR(IF(VALUE($C3742)&lt;100000000,VALUE($C3742),1000000000),IFERROR(IF(VALUE(MID($C3742,2,20))&lt;100000000,VALUE(MID($C3742,2,20)),1000000000),1000000000))+ROW()/100000,"")</f>
        <v/>
      </c>
    </row>
    <row r="3743">
      <c r="D3743" s="11" t="n"/>
      <c r="K3743" s="7">
        <f>IF($C3743="","",J3743*W3743/100)</f>
        <v/>
      </c>
      <c r="Q3743" s="7" t="n"/>
      <c r="R3743" s="7" t="n"/>
      <c r="U3743">
        <f>IF($C3743="","",IF($AJ3743=1,0,IF($AI3743=1,Settings!$C$6,Settings!$C$7))*100)</f>
        <v/>
      </c>
      <c r="V3743" s="7">
        <f>IF($C3743="","",R3743*U3743/100)</f>
        <v/>
      </c>
      <c r="W3743" s="7">
        <f>IF($C3743="","",R3743-V3743)</f>
        <v/>
      </c>
      <c r="X3743" s="7">
        <f>IF($C3743="","",W3743-K3743)</f>
        <v/>
      </c>
      <c r="AB3743" s="7" t="n"/>
      <c r="AE3743" s="11" t="n"/>
      <c r="AG3743">
        <f>IF($C3743="","",IF(COUNTIF($C$2:$C3743,$C3743)=1,1,0))</f>
        <v/>
      </c>
      <c r="AH3743">
        <f>IF($AG3743=1,SUMPRODUCT(--($AK$2:$AK$6001&lt;$AK3743))+1,"")</f>
        <v/>
      </c>
      <c r="AI3743">
        <f>IF($C3743="","",IF(OR($N3743=TRUE(),$N3743="TRUE"),1,0))</f>
        <v/>
      </c>
      <c r="AJ3743">
        <f>IF($C3743="","",IF($T3743="Yes",1,0))</f>
        <v/>
      </c>
      <c r="AK3743">
        <f>IF($AG3743=1,IFERROR(IF(VALUE($C3743)&lt;100000000,VALUE($C3743),1000000000),IFERROR(IF(VALUE(MID($C3743,2,20))&lt;100000000,VALUE(MID($C3743,2,20)),1000000000),1000000000))+ROW()/100000,"")</f>
        <v/>
      </c>
    </row>
    <row r="3744">
      <c r="D3744" s="11" t="n"/>
      <c r="K3744" s="7">
        <f>IF($C3744="","",J3744*W3744/100)</f>
        <v/>
      </c>
      <c r="Q3744" s="7" t="n"/>
      <c r="R3744" s="7" t="n"/>
      <c r="U3744">
        <f>IF($C3744="","",IF($AJ3744=1,0,IF($AI3744=1,Settings!$C$6,Settings!$C$7))*100)</f>
        <v/>
      </c>
      <c r="V3744" s="7">
        <f>IF($C3744="","",R3744*U3744/100)</f>
        <v/>
      </c>
      <c r="W3744" s="7">
        <f>IF($C3744="","",R3744-V3744)</f>
        <v/>
      </c>
      <c r="X3744" s="7">
        <f>IF($C3744="","",W3744-K3744)</f>
        <v/>
      </c>
      <c r="AB3744" s="7" t="n"/>
      <c r="AE3744" s="11" t="n"/>
      <c r="AG3744">
        <f>IF($C3744="","",IF(COUNTIF($C$2:$C3744,$C3744)=1,1,0))</f>
        <v/>
      </c>
      <c r="AH3744">
        <f>IF($AG3744=1,SUMPRODUCT(--($AK$2:$AK$6001&lt;$AK3744))+1,"")</f>
        <v/>
      </c>
      <c r="AI3744">
        <f>IF($C3744="","",IF(OR($N3744=TRUE(),$N3744="TRUE"),1,0))</f>
        <v/>
      </c>
      <c r="AJ3744">
        <f>IF($C3744="","",IF($T3744="Yes",1,0))</f>
        <v/>
      </c>
      <c r="AK3744">
        <f>IF($AG3744=1,IFERROR(IF(VALUE($C3744)&lt;100000000,VALUE($C3744),1000000000),IFERROR(IF(VALUE(MID($C3744,2,20))&lt;100000000,VALUE(MID($C3744,2,20)),1000000000),1000000000))+ROW()/100000,"")</f>
        <v/>
      </c>
    </row>
    <row r="3745">
      <c r="D3745" s="11" t="n"/>
      <c r="K3745" s="7">
        <f>IF($C3745="","",J3745*W3745/100)</f>
        <v/>
      </c>
      <c r="Q3745" s="7" t="n"/>
      <c r="R3745" s="7" t="n"/>
      <c r="U3745">
        <f>IF($C3745="","",IF($AJ3745=1,0,IF($AI3745=1,Settings!$C$6,Settings!$C$7))*100)</f>
        <v/>
      </c>
      <c r="V3745" s="7">
        <f>IF($C3745="","",R3745*U3745/100)</f>
        <v/>
      </c>
      <c r="W3745" s="7">
        <f>IF($C3745="","",R3745-V3745)</f>
        <v/>
      </c>
      <c r="X3745" s="7">
        <f>IF($C3745="","",W3745-K3745)</f>
        <v/>
      </c>
      <c r="AB3745" s="7" t="n"/>
      <c r="AE3745" s="11" t="n"/>
      <c r="AG3745">
        <f>IF($C3745="","",IF(COUNTIF($C$2:$C3745,$C3745)=1,1,0))</f>
        <v/>
      </c>
      <c r="AH3745">
        <f>IF($AG3745=1,SUMPRODUCT(--($AK$2:$AK$6001&lt;$AK3745))+1,"")</f>
        <v/>
      </c>
      <c r="AI3745">
        <f>IF($C3745="","",IF(OR($N3745=TRUE(),$N3745="TRUE"),1,0))</f>
        <v/>
      </c>
      <c r="AJ3745">
        <f>IF($C3745="","",IF($T3745="Yes",1,0))</f>
        <v/>
      </c>
      <c r="AK3745">
        <f>IF($AG3745=1,IFERROR(IF(VALUE($C3745)&lt;100000000,VALUE($C3745),1000000000),IFERROR(IF(VALUE(MID($C3745,2,20))&lt;100000000,VALUE(MID($C3745,2,20)),1000000000),1000000000))+ROW()/100000,"")</f>
        <v/>
      </c>
    </row>
    <row r="3746">
      <c r="D3746" s="11" t="n"/>
      <c r="K3746" s="7">
        <f>IF($C3746="","",J3746*W3746/100)</f>
        <v/>
      </c>
      <c r="Q3746" s="7" t="n"/>
      <c r="R3746" s="7" t="n"/>
      <c r="U3746">
        <f>IF($C3746="","",IF($AJ3746=1,0,IF($AI3746=1,Settings!$C$6,Settings!$C$7))*100)</f>
        <v/>
      </c>
      <c r="V3746" s="7">
        <f>IF($C3746="","",R3746*U3746/100)</f>
        <v/>
      </c>
      <c r="W3746" s="7">
        <f>IF($C3746="","",R3746-V3746)</f>
        <v/>
      </c>
      <c r="X3746" s="7">
        <f>IF($C3746="","",W3746-K3746)</f>
        <v/>
      </c>
      <c r="AB3746" s="7" t="n"/>
      <c r="AE3746" s="11" t="n"/>
      <c r="AG3746">
        <f>IF($C3746="","",IF(COUNTIF($C$2:$C3746,$C3746)=1,1,0))</f>
        <v/>
      </c>
      <c r="AH3746">
        <f>IF($AG3746=1,SUMPRODUCT(--($AK$2:$AK$6001&lt;$AK3746))+1,"")</f>
        <v/>
      </c>
      <c r="AI3746">
        <f>IF($C3746="","",IF(OR($N3746=TRUE(),$N3746="TRUE"),1,0))</f>
        <v/>
      </c>
      <c r="AJ3746">
        <f>IF($C3746="","",IF($T3746="Yes",1,0))</f>
        <v/>
      </c>
      <c r="AK3746">
        <f>IF($AG3746=1,IFERROR(IF(VALUE($C3746)&lt;100000000,VALUE($C3746),1000000000),IFERROR(IF(VALUE(MID($C3746,2,20))&lt;100000000,VALUE(MID($C3746,2,20)),1000000000),1000000000))+ROW()/100000,"")</f>
        <v/>
      </c>
    </row>
    <row r="3747">
      <c r="D3747" s="11" t="n"/>
      <c r="K3747" s="7">
        <f>IF($C3747="","",J3747*W3747/100)</f>
        <v/>
      </c>
      <c r="Q3747" s="7" t="n"/>
      <c r="R3747" s="7" t="n"/>
      <c r="U3747">
        <f>IF($C3747="","",IF($AJ3747=1,0,IF($AI3747=1,Settings!$C$6,Settings!$C$7))*100)</f>
        <v/>
      </c>
      <c r="V3747" s="7">
        <f>IF($C3747="","",R3747*U3747/100)</f>
        <v/>
      </c>
      <c r="W3747" s="7">
        <f>IF($C3747="","",R3747-V3747)</f>
        <v/>
      </c>
      <c r="X3747" s="7">
        <f>IF($C3747="","",W3747-K3747)</f>
        <v/>
      </c>
      <c r="AB3747" s="7" t="n"/>
      <c r="AE3747" s="11" t="n"/>
      <c r="AG3747">
        <f>IF($C3747="","",IF(COUNTIF($C$2:$C3747,$C3747)=1,1,0))</f>
        <v/>
      </c>
      <c r="AH3747">
        <f>IF($AG3747=1,SUMPRODUCT(--($AK$2:$AK$6001&lt;$AK3747))+1,"")</f>
        <v/>
      </c>
      <c r="AI3747">
        <f>IF($C3747="","",IF(OR($N3747=TRUE(),$N3747="TRUE"),1,0))</f>
        <v/>
      </c>
      <c r="AJ3747">
        <f>IF($C3747="","",IF($T3747="Yes",1,0))</f>
        <v/>
      </c>
      <c r="AK3747">
        <f>IF($AG3747=1,IFERROR(IF(VALUE($C3747)&lt;100000000,VALUE($C3747),1000000000),IFERROR(IF(VALUE(MID($C3747,2,20))&lt;100000000,VALUE(MID($C3747,2,20)),1000000000),1000000000))+ROW()/100000,"")</f>
        <v/>
      </c>
    </row>
    <row r="3748">
      <c r="D3748" s="11" t="n"/>
      <c r="K3748" s="7">
        <f>IF($C3748="","",J3748*W3748/100)</f>
        <v/>
      </c>
      <c r="Q3748" s="7" t="n"/>
      <c r="R3748" s="7" t="n"/>
      <c r="U3748">
        <f>IF($C3748="","",IF($AJ3748=1,0,IF($AI3748=1,Settings!$C$6,Settings!$C$7))*100)</f>
        <v/>
      </c>
      <c r="V3748" s="7">
        <f>IF($C3748="","",R3748*U3748/100)</f>
        <v/>
      </c>
      <c r="W3748" s="7">
        <f>IF($C3748="","",R3748-V3748)</f>
        <v/>
      </c>
      <c r="X3748" s="7">
        <f>IF($C3748="","",W3748-K3748)</f>
        <v/>
      </c>
      <c r="AB3748" s="7" t="n"/>
      <c r="AE3748" s="11" t="n"/>
      <c r="AG3748">
        <f>IF($C3748="","",IF(COUNTIF($C$2:$C3748,$C3748)=1,1,0))</f>
        <v/>
      </c>
      <c r="AH3748">
        <f>IF($AG3748=1,SUMPRODUCT(--($AK$2:$AK$6001&lt;$AK3748))+1,"")</f>
        <v/>
      </c>
      <c r="AI3748">
        <f>IF($C3748="","",IF(OR($N3748=TRUE(),$N3748="TRUE"),1,0))</f>
        <v/>
      </c>
      <c r="AJ3748">
        <f>IF($C3748="","",IF($T3748="Yes",1,0))</f>
        <v/>
      </c>
      <c r="AK3748">
        <f>IF($AG3748=1,IFERROR(IF(VALUE($C3748)&lt;100000000,VALUE($C3748),1000000000),IFERROR(IF(VALUE(MID($C3748,2,20))&lt;100000000,VALUE(MID($C3748,2,20)),1000000000),1000000000))+ROW()/100000,"")</f>
        <v/>
      </c>
    </row>
    <row r="3749">
      <c r="D3749" s="11" t="n"/>
      <c r="K3749" s="7">
        <f>IF($C3749="","",J3749*W3749/100)</f>
        <v/>
      </c>
      <c r="Q3749" s="7" t="n"/>
      <c r="R3749" s="7" t="n"/>
      <c r="U3749">
        <f>IF($C3749="","",IF($AJ3749=1,0,IF($AI3749=1,Settings!$C$6,Settings!$C$7))*100)</f>
        <v/>
      </c>
      <c r="V3749" s="7">
        <f>IF($C3749="","",R3749*U3749/100)</f>
        <v/>
      </c>
      <c r="W3749" s="7">
        <f>IF($C3749="","",R3749-V3749)</f>
        <v/>
      </c>
      <c r="X3749" s="7">
        <f>IF($C3749="","",W3749-K3749)</f>
        <v/>
      </c>
      <c r="AB3749" s="7" t="n"/>
      <c r="AE3749" s="11" t="n"/>
      <c r="AG3749">
        <f>IF($C3749="","",IF(COUNTIF($C$2:$C3749,$C3749)=1,1,0))</f>
        <v/>
      </c>
      <c r="AH3749">
        <f>IF($AG3749=1,SUMPRODUCT(--($AK$2:$AK$6001&lt;$AK3749))+1,"")</f>
        <v/>
      </c>
      <c r="AI3749">
        <f>IF($C3749="","",IF(OR($N3749=TRUE(),$N3749="TRUE"),1,0))</f>
        <v/>
      </c>
      <c r="AJ3749">
        <f>IF($C3749="","",IF($T3749="Yes",1,0))</f>
        <v/>
      </c>
      <c r="AK3749">
        <f>IF($AG3749=1,IFERROR(IF(VALUE($C3749)&lt;100000000,VALUE($C3749),1000000000),IFERROR(IF(VALUE(MID($C3749,2,20))&lt;100000000,VALUE(MID($C3749,2,20)),1000000000),1000000000))+ROW()/100000,"")</f>
        <v/>
      </c>
    </row>
    <row r="3750">
      <c r="D3750" s="11" t="n"/>
      <c r="K3750" s="7">
        <f>IF($C3750="","",J3750*W3750/100)</f>
        <v/>
      </c>
      <c r="Q3750" s="7" t="n"/>
      <c r="R3750" s="7" t="n"/>
      <c r="U3750">
        <f>IF($C3750="","",IF($AJ3750=1,0,IF($AI3750=1,Settings!$C$6,Settings!$C$7))*100)</f>
        <v/>
      </c>
      <c r="V3750" s="7">
        <f>IF($C3750="","",R3750*U3750/100)</f>
        <v/>
      </c>
      <c r="W3750" s="7">
        <f>IF($C3750="","",R3750-V3750)</f>
        <v/>
      </c>
      <c r="X3750" s="7">
        <f>IF($C3750="","",W3750-K3750)</f>
        <v/>
      </c>
      <c r="AB3750" s="7" t="n"/>
      <c r="AE3750" s="11" t="n"/>
      <c r="AG3750">
        <f>IF($C3750="","",IF(COUNTIF($C$2:$C3750,$C3750)=1,1,0))</f>
        <v/>
      </c>
      <c r="AH3750">
        <f>IF($AG3750=1,SUMPRODUCT(--($AK$2:$AK$6001&lt;$AK3750))+1,"")</f>
        <v/>
      </c>
      <c r="AI3750">
        <f>IF($C3750="","",IF(OR($N3750=TRUE(),$N3750="TRUE"),1,0))</f>
        <v/>
      </c>
      <c r="AJ3750">
        <f>IF($C3750="","",IF($T3750="Yes",1,0))</f>
        <v/>
      </c>
      <c r="AK3750">
        <f>IF($AG3750=1,IFERROR(IF(VALUE($C3750)&lt;100000000,VALUE($C3750),1000000000),IFERROR(IF(VALUE(MID($C3750,2,20))&lt;100000000,VALUE(MID($C3750,2,20)),1000000000),1000000000))+ROW()/100000,"")</f>
        <v/>
      </c>
    </row>
    <row r="3751">
      <c r="D3751" s="11" t="n"/>
      <c r="K3751" s="7">
        <f>IF($C3751="","",J3751*W3751/100)</f>
        <v/>
      </c>
      <c r="Q3751" s="7" t="n"/>
      <c r="R3751" s="7" t="n"/>
      <c r="U3751">
        <f>IF($C3751="","",IF($AJ3751=1,0,IF($AI3751=1,Settings!$C$6,Settings!$C$7))*100)</f>
        <v/>
      </c>
      <c r="V3751" s="7">
        <f>IF($C3751="","",R3751*U3751/100)</f>
        <v/>
      </c>
      <c r="W3751" s="7">
        <f>IF($C3751="","",R3751-V3751)</f>
        <v/>
      </c>
      <c r="X3751" s="7">
        <f>IF($C3751="","",W3751-K3751)</f>
        <v/>
      </c>
      <c r="AB3751" s="7" t="n"/>
      <c r="AE3751" s="11" t="n"/>
      <c r="AG3751">
        <f>IF($C3751="","",IF(COUNTIF($C$2:$C3751,$C3751)=1,1,0))</f>
        <v/>
      </c>
      <c r="AH3751">
        <f>IF($AG3751=1,SUMPRODUCT(--($AK$2:$AK$6001&lt;$AK3751))+1,"")</f>
        <v/>
      </c>
      <c r="AI3751">
        <f>IF($C3751="","",IF(OR($N3751=TRUE(),$N3751="TRUE"),1,0))</f>
        <v/>
      </c>
      <c r="AJ3751">
        <f>IF($C3751="","",IF($T3751="Yes",1,0))</f>
        <v/>
      </c>
      <c r="AK3751">
        <f>IF($AG3751=1,IFERROR(IF(VALUE($C3751)&lt;100000000,VALUE($C3751),1000000000),IFERROR(IF(VALUE(MID($C3751,2,20))&lt;100000000,VALUE(MID($C3751,2,20)),1000000000),1000000000))+ROW()/100000,"")</f>
        <v/>
      </c>
    </row>
    <row r="3752">
      <c r="D3752" s="11" t="n"/>
      <c r="K3752" s="7">
        <f>IF($C3752="","",J3752*W3752/100)</f>
        <v/>
      </c>
      <c r="Q3752" s="7" t="n"/>
      <c r="R3752" s="7" t="n"/>
      <c r="U3752">
        <f>IF($C3752="","",IF($AJ3752=1,0,IF($AI3752=1,Settings!$C$6,Settings!$C$7))*100)</f>
        <v/>
      </c>
      <c r="V3752" s="7">
        <f>IF($C3752="","",R3752*U3752/100)</f>
        <v/>
      </c>
      <c r="W3752" s="7">
        <f>IF($C3752="","",R3752-V3752)</f>
        <v/>
      </c>
      <c r="X3752" s="7">
        <f>IF($C3752="","",W3752-K3752)</f>
        <v/>
      </c>
      <c r="AB3752" s="7" t="n"/>
      <c r="AE3752" s="11" t="n"/>
      <c r="AG3752">
        <f>IF($C3752="","",IF(COUNTIF($C$2:$C3752,$C3752)=1,1,0))</f>
        <v/>
      </c>
      <c r="AH3752">
        <f>IF($AG3752=1,SUMPRODUCT(--($AK$2:$AK$6001&lt;$AK3752))+1,"")</f>
        <v/>
      </c>
      <c r="AI3752">
        <f>IF($C3752="","",IF(OR($N3752=TRUE(),$N3752="TRUE"),1,0))</f>
        <v/>
      </c>
      <c r="AJ3752">
        <f>IF($C3752="","",IF($T3752="Yes",1,0))</f>
        <v/>
      </c>
      <c r="AK3752">
        <f>IF($AG3752=1,IFERROR(IF(VALUE($C3752)&lt;100000000,VALUE($C3752),1000000000),IFERROR(IF(VALUE(MID($C3752,2,20))&lt;100000000,VALUE(MID($C3752,2,20)),1000000000),1000000000))+ROW()/100000,"")</f>
        <v/>
      </c>
    </row>
    <row r="3753">
      <c r="D3753" s="11" t="n"/>
      <c r="K3753" s="7">
        <f>IF($C3753="","",J3753*W3753/100)</f>
        <v/>
      </c>
      <c r="Q3753" s="7" t="n"/>
      <c r="R3753" s="7" t="n"/>
      <c r="U3753">
        <f>IF($C3753="","",IF($AJ3753=1,0,IF($AI3753=1,Settings!$C$6,Settings!$C$7))*100)</f>
        <v/>
      </c>
      <c r="V3753" s="7">
        <f>IF($C3753="","",R3753*U3753/100)</f>
        <v/>
      </c>
      <c r="W3753" s="7">
        <f>IF($C3753="","",R3753-V3753)</f>
        <v/>
      </c>
      <c r="X3753" s="7">
        <f>IF($C3753="","",W3753-K3753)</f>
        <v/>
      </c>
      <c r="AB3753" s="7" t="n"/>
      <c r="AE3753" s="11" t="n"/>
      <c r="AG3753">
        <f>IF($C3753="","",IF(COUNTIF($C$2:$C3753,$C3753)=1,1,0))</f>
        <v/>
      </c>
      <c r="AH3753">
        <f>IF($AG3753=1,SUMPRODUCT(--($AK$2:$AK$6001&lt;$AK3753))+1,"")</f>
        <v/>
      </c>
      <c r="AI3753">
        <f>IF($C3753="","",IF(OR($N3753=TRUE(),$N3753="TRUE"),1,0))</f>
        <v/>
      </c>
      <c r="AJ3753">
        <f>IF($C3753="","",IF($T3753="Yes",1,0))</f>
        <v/>
      </c>
      <c r="AK3753">
        <f>IF($AG3753=1,IFERROR(IF(VALUE($C3753)&lt;100000000,VALUE($C3753),1000000000),IFERROR(IF(VALUE(MID($C3753,2,20))&lt;100000000,VALUE(MID($C3753,2,20)),1000000000),1000000000))+ROW()/100000,"")</f>
        <v/>
      </c>
    </row>
    <row r="3754">
      <c r="D3754" s="11" t="n"/>
      <c r="K3754" s="7">
        <f>IF($C3754="","",J3754*W3754/100)</f>
        <v/>
      </c>
      <c r="Q3754" s="7" t="n"/>
      <c r="R3754" s="7" t="n"/>
      <c r="U3754">
        <f>IF($C3754="","",IF($AJ3754=1,0,IF($AI3754=1,Settings!$C$6,Settings!$C$7))*100)</f>
        <v/>
      </c>
      <c r="V3754" s="7">
        <f>IF($C3754="","",R3754*U3754/100)</f>
        <v/>
      </c>
      <c r="W3754" s="7">
        <f>IF($C3754="","",R3754-V3754)</f>
        <v/>
      </c>
      <c r="X3754" s="7">
        <f>IF($C3754="","",W3754-K3754)</f>
        <v/>
      </c>
      <c r="AB3754" s="7" t="n"/>
      <c r="AE3754" s="11" t="n"/>
      <c r="AG3754">
        <f>IF($C3754="","",IF(COUNTIF($C$2:$C3754,$C3754)=1,1,0))</f>
        <v/>
      </c>
      <c r="AH3754">
        <f>IF($AG3754=1,SUMPRODUCT(--($AK$2:$AK$6001&lt;$AK3754))+1,"")</f>
        <v/>
      </c>
      <c r="AI3754">
        <f>IF($C3754="","",IF(OR($N3754=TRUE(),$N3754="TRUE"),1,0))</f>
        <v/>
      </c>
      <c r="AJ3754">
        <f>IF($C3754="","",IF($T3754="Yes",1,0))</f>
        <v/>
      </c>
      <c r="AK3754">
        <f>IF($AG3754=1,IFERROR(IF(VALUE($C3754)&lt;100000000,VALUE($C3754),1000000000),IFERROR(IF(VALUE(MID($C3754,2,20))&lt;100000000,VALUE(MID($C3754,2,20)),1000000000),1000000000))+ROW()/100000,"")</f>
        <v/>
      </c>
    </row>
    <row r="3755">
      <c r="D3755" s="11" t="n"/>
      <c r="K3755" s="7">
        <f>IF($C3755="","",J3755*W3755/100)</f>
        <v/>
      </c>
      <c r="Q3755" s="7" t="n"/>
      <c r="R3755" s="7" t="n"/>
      <c r="U3755">
        <f>IF($C3755="","",IF($AJ3755=1,0,IF($AI3755=1,Settings!$C$6,Settings!$C$7))*100)</f>
        <v/>
      </c>
      <c r="V3755" s="7">
        <f>IF($C3755="","",R3755*U3755/100)</f>
        <v/>
      </c>
      <c r="W3755" s="7">
        <f>IF($C3755="","",R3755-V3755)</f>
        <v/>
      </c>
      <c r="X3755" s="7">
        <f>IF($C3755="","",W3755-K3755)</f>
        <v/>
      </c>
      <c r="AB3755" s="7" t="n"/>
      <c r="AE3755" s="11" t="n"/>
      <c r="AG3755">
        <f>IF($C3755="","",IF(COUNTIF($C$2:$C3755,$C3755)=1,1,0))</f>
        <v/>
      </c>
      <c r="AH3755">
        <f>IF($AG3755=1,SUMPRODUCT(--($AK$2:$AK$6001&lt;$AK3755))+1,"")</f>
        <v/>
      </c>
      <c r="AI3755">
        <f>IF($C3755="","",IF(OR($N3755=TRUE(),$N3755="TRUE"),1,0))</f>
        <v/>
      </c>
      <c r="AJ3755">
        <f>IF($C3755="","",IF($T3755="Yes",1,0))</f>
        <v/>
      </c>
      <c r="AK3755">
        <f>IF($AG3755=1,IFERROR(IF(VALUE($C3755)&lt;100000000,VALUE($C3755),1000000000),IFERROR(IF(VALUE(MID($C3755,2,20))&lt;100000000,VALUE(MID($C3755,2,20)),1000000000),1000000000))+ROW()/100000,"")</f>
        <v/>
      </c>
    </row>
    <row r="3756">
      <c r="D3756" s="11" t="n"/>
      <c r="K3756" s="7">
        <f>IF($C3756="","",J3756*W3756/100)</f>
        <v/>
      </c>
      <c r="Q3756" s="7" t="n"/>
      <c r="R3756" s="7" t="n"/>
      <c r="U3756">
        <f>IF($C3756="","",IF($AJ3756=1,0,IF($AI3756=1,Settings!$C$6,Settings!$C$7))*100)</f>
        <v/>
      </c>
      <c r="V3756" s="7">
        <f>IF($C3756="","",R3756*U3756/100)</f>
        <v/>
      </c>
      <c r="W3756" s="7">
        <f>IF($C3756="","",R3756-V3756)</f>
        <v/>
      </c>
      <c r="X3756" s="7">
        <f>IF($C3756="","",W3756-K3756)</f>
        <v/>
      </c>
      <c r="AB3756" s="7" t="n"/>
      <c r="AE3756" s="11" t="n"/>
      <c r="AG3756">
        <f>IF($C3756="","",IF(COUNTIF($C$2:$C3756,$C3756)=1,1,0))</f>
        <v/>
      </c>
      <c r="AH3756">
        <f>IF($AG3756=1,SUMPRODUCT(--($AK$2:$AK$6001&lt;$AK3756))+1,"")</f>
        <v/>
      </c>
      <c r="AI3756">
        <f>IF($C3756="","",IF(OR($N3756=TRUE(),$N3756="TRUE"),1,0))</f>
        <v/>
      </c>
      <c r="AJ3756">
        <f>IF($C3756="","",IF($T3756="Yes",1,0))</f>
        <v/>
      </c>
      <c r="AK3756">
        <f>IF($AG3756=1,IFERROR(IF(VALUE($C3756)&lt;100000000,VALUE($C3756),1000000000),IFERROR(IF(VALUE(MID($C3756,2,20))&lt;100000000,VALUE(MID($C3756,2,20)),1000000000),1000000000))+ROW()/100000,"")</f>
        <v/>
      </c>
    </row>
    <row r="3757">
      <c r="D3757" s="11" t="n"/>
      <c r="K3757" s="7">
        <f>IF($C3757="","",J3757*W3757/100)</f>
        <v/>
      </c>
      <c r="Q3757" s="7" t="n"/>
      <c r="R3757" s="7" t="n"/>
      <c r="U3757">
        <f>IF($C3757="","",IF($AJ3757=1,0,IF($AI3757=1,Settings!$C$6,Settings!$C$7))*100)</f>
        <v/>
      </c>
      <c r="V3757" s="7">
        <f>IF($C3757="","",R3757*U3757/100)</f>
        <v/>
      </c>
      <c r="W3757" s="7">
        <f>IF($C3757="","",R3757-V3757)</f>
        <v/>
      </c>
      <c r="X3757" s="7">
        <f>IF($C3757="","",W3757-K3757)</f>
        <v/>
      </c>
      <c r="AB3757" s="7" t="n"/>
      <c r="AE3757" s="11" t="n"/>
      <c r="AG3757">
        <f>IF($C3757="","",IF(COUNTIF($C$2:$C3757,$C3757)=1,1,0))</f>
        <v/>
      </c>
      <c r="AH3757">
        <f>IF($AG3757=1,SUMPRODUCT(--($AK$2:$AK$6001&lt;$AK3757))+1,"")</f>
        <v/>
      </c>
      <c r="AI3757">
        <f>IF($C3757="","",IF(OR($N3757=TRUE(),$N3757="TRUE"),1,0))</f>
        <v/>
      </c>
      <c r="AJ3757">
        <f>IF($C3757="","",IF($T3757="Yes",1,0))</f>
        <v/>
      </c>
      <c r="AK3757">
        <f>IF($AG3757=1,IFERROR(IF(VALUE($C3757)&lt;100000000,VALUE($C3757),1000000000),IFERROR(IF(VALUE(MID($C3757,2,20))&lt;100000000,VALUE(MID($C3757,2,20)),1000000000),1000000000))+ROW()/100000,"")</f>
        <v/>
      </c>
    </row>
    <row r="3758">
      <c r="D3758" s="11" t="n"/>
      <c r="K3758" s="7">
        <f>IF($C3758="","",J3758*W3758/100)</f>
        <v/>
      </c>
      <c r="Q3758" s="7" t="n"/>
      <c r="R3758" s="7" t="n"/>
      <c r="U3758">
        <f>IF($C3758="","",IF($AJ3758=1,0,IF($AI3758=1,Settings!$C$6,Settings!$C$7))*100)</f>
        <v/>
      </c>
      <c r="V3758" s="7">
        <f>IF($C3758="","",R3758*U3758/100)</f>
        <v/>
      </c>
      <c r="W3758" s="7">
        <f>IF($C3758="","",R3758-V3758)</f>
        <v/>
      </c>
      <c r="X3758" s="7">
        <f>IF($C3758="","",W3758-K3758)</f>
        <v/>
      </c>
      <c r="AB3758" s="7" t="n"/>
      <c r="AE3758" s="11" t="n"/>
      <c r="AG3758">
        <f>IF($C3758="","",IF(COUNTIF($C$2:$C3758,$C3758)=1,1,0))</f>
        <v/>
      </c>
      <c r="AH3758">
        <f>IF($AG3758=1,SUMPRODUCT(--($AK$2:$AK$6001&lt;$AK3758))+1,"")</f>
        <v/>
      </c>
      <c r="AI3758">
        <f>IF($C3758="","",IF(OR($N3758=TRUE(),$N3758="TRUE"),1,0))</f>
        <v/>
      </c>
      <c r="AJ3758">
        <f>IF($C3758="","",IF($T3758="Yes",1,0))</f>
        <v/>
      </c>
      <c r="AK3758">
        <f>IF($AG3758=1,IFERROR(IF(VALUE($C3758)&lt;100000000,VALUE($C3758),1000000000),IFERROR(IF(VALUE(MID($C3758,2,20))&lt;100000000,VALUE(MID($C3758,2,20)),1000000000),1000000000))+ROW()/100000,"")</f>
        <v/>
      </c>
    </row>
    <row r="3759">
      <c r="D3759" s="11" t="n"/>
      <c r="K3759" s="7">
        <f>IF($C3759="","",J3759*W3759/100)</f>
        <v/>
      </c>
      <c r="Q3759" s="7" t="n"/>
      <c r="R3759" s="7" t="n"/>
      <c r="U3759">
        <f>IF($C3759="","",IF($AJ3759=1,0,IF($AI3759=1,Settings!$C$6,Settings!$C$7))*100)</f>
        <v/>
      </c>
      <c r="V3759" s="7">
        <f>IF($C3759="","",R3759*U3759/100)</f>
        <v/>
      </c>
      <c r="W3759" s="7">
        <f>IF($C3759="","",R3759-V3759)</f>
        <v/>
      </c>
      <c r="X3759" s="7">
        <f>IF($C3759="","",W3759-K3759)</f>
        <v/>
      </c>
      <c r="AB3759" s="7" t="n"/>
      <c r="AE3759" s="11" t="n"/>
      <c r="AG3759">
        <f>IF($C3759="","",IF(COUNTIF($C$2:$C3759,$C3759)=1,1,0))</f>
        <v/>
      </c>
      <c r="AH3759">
        <f>IF($AG3759=1,SUMPRODUCT(--($AK$2:$AK$6001&lt;$AK3759))+1,"")</f>
        <v/>
      </c>
      <c r="AI3759">
        <f>IF($C3759="","",IF(OR($N3759=TRUE(),$N3759="TRUE"),1,0))</f>
        <v/>
      </c>
      <c r="AJ3759">
        <f>IF($C3759="","",IF($T3759="Yes",1,0))</f>
        <v/>
      </c>
      <c r="AK3759">
        <f>IF($AG3759=1,IFERROR(IF(VALUE($C3759)&lt;100000000,VALUE($C3759),1000000000),IFERROR(IF(VALUE(MID($C3759,2,20))&lt;100000000,VALUE(MID($C3759,2,20)),1000000000),1000000000))+ROW()/100000,"")</f>
        <v/>
      </c>
    </row>
    <row r="3760">
      <c r="D3760" s="11" t="n"/>
      <c r="K3760" s="7">
        <f>IF($C3760="","",J3760*W3760/100)</f>
        <v/>
      </c>
      <c r="Q3760" s="7" t="n"/>
      <c r="R3760" s="7" t="n"/>
      <c r="U3760">
        <f>IF($C3760="","",IF($AJ3760=1,0,IF($AI3760=1,Settings!$C$6,Settings!$C$7))*100)</f>
        <v/>
      </c>
      <c r="V3760" s="7">
        <f>IF($C3760="","",R3760*U3760/100)</f>
        <v/>
      </c>
      <c r="W3760" s="7">
        <f>IF($C3760="","",R3760-V3760)</f>
        <v/>
      </c>
      <c r="X3760" s="7">
        <f>IF($C3760="","",W3760-K3760)</f>
        <v/>
      </c>
      <c r="AB3760" s="7" t="n"/>
      <c r="AE3760" s="11" t="n"/>
      <c r="AG3760">
        <f>IF($C3760="","",IF(COUNTIF($C$2:$C3760,$C3760)=1,1,0))</f>
        <v/>
      </c>
      <c r="AH3760">
        <f>IF($AG3760=1,SUMPRODUCT(--($AK$2:$AK$6001&lt;$AK3760))+1,"")</f>
        <v/>
      </c>
      <c r="AI3760">
        <f>IF($C3760="","",IF(OR($N3760=TRUE(),$N3760="TRUE"),1,0))</f>
        <v/>
      </c>
      <c r="AJ3760">
        <f>IF($C3760="","",IF($T3760="Yes",1,0))</f>
        <v/>
      </c>
      <c r="AK3760">
        <f>IF($AG3760=1,IFERROR(IF(VALUE($C3760)&lt;100000000,VALUE($C3760),1000000000),IFERROR(IF(VALUE(MID($C3760,2,20))&lt;100000000,VALUE(MID($C3760,2,20)),1000000000),1000000000))+ROW()/100000,"")</f>
        <v/>
      </c>
    </row>
    <row r="3761">
      <c r="D3761" s="11" t="n"/>
      <c r="K3761" s="7">
        <f>IF($C3761="","",J3761*W3761/100)</f>
        <v/>
      </c>
      <c r="Q3761" s="7" t="n"/>
      <c r="R3761" s="7" t="n"/>
      <c r="U3761">
        <f>IF($C3761="","",IF($AJ3761=1,0,IF($AI3761=1,Settings!$C$6,Settings!$C$7))*100)</f>
        <v/>
      </c>
      <c r="V3761" s="7">
        <f>IF($C3761="","",R3761*U3761/100)</f>
        <v/>
      </c>
      <c r="W3761" s="7">
        <f>IF($C3761="","",R3761-V3761)</f>
        <v/>
      </c>
      <c r="X3761" s="7">
        <f>IF($C3761="","",W3761-K3761)</f>
        <v/>
      </c>
      <c r="AB3761" s="7" t="n"/>
      <c r="AE3761" s="11" t="n"/>
      <c r="AG3761">
        <f>IF($C3761="","",IF(COUNTIF($C$2:$C3761,$C3761)=1,1,0))</f>
        <v/>
      </c>
      <c r="AH3761">
        <f>IF($AG3761=1,SUMPRODUCT(--($AK$2:$AK$6001&lt;$AK3761))+1,"")</f>
        <v/>
      </c>
      <c r="AI3761">
        <f>IF($C3761="","",IF(OR($N3761=TRUE(),$N3761="TRUE"),1,0))</f>
        <v/>
      </c>
      <c r="AJ3761">
        <f>IF($C3761="","",IF($T3761="Yes",1,0))</f>
        <v/>
      </c>
      <c r="AK3761">
        <f>IF($AG3761=1,IFERROR(IF(VALUE($C3761)&lt;100000000,VALUE($C3761),1000000000),IFERROR(IF(VALUE(MID($C3761,2,20))&lt;100000000,VALUE(MID($C3761,2,20)),1000000000),1000000000))+ROW()/100000,"")</f>
        <v/>
      </c>
    </row>
    <row r="3762">
      <c r="D3762" s="11" t="n"/>
      <c r="K3762" s="7">
        <f>IF($C3762="","",J3762*W3762/100)</f>
        <v/>
      </c>
      <c r="Q3762" s="7" t="n"/>
      <c r="R3762" s="7" t="n"/>
      <c r="U3762">
        <f>IF($C3762="","",IF($AJ3762=1,0,IF($AI3762=1,Settings!$C$6,Settings!$C$7))*100)</f>
        <v/>
      </c>
      <c r="V3762" s="7">
        <f>IF($C3762="","",R3762*U3762/100)</f>
        <v/>
      </c>
      <c r="W3762" s="7">
        <f>IF($C3762="","",R3762-V3762)</f>
        <v/>
      </c>
      <c r="X3762" s="7">
        <f>IF($C3762="","",W3762-K3762)</f>
        <v/>
      </c>
      <c r="AB3762" s="7" t="n"/>
      <c r="AE3762" s="11" t="n"/>
      <c r="AG3762">
        <f>IF($C3762="","",IF(COUNTIF($C$2:$C3762,$C3762)=1,1,0))</f>
        <v/>
      </c>
      <c r="AH3762">
        <f>IF($AG3762=1,SUMPRODUCT(--($AK$2:$AK$6001&lt;$AK3762))+1,"")</f>
        <v/>
      </c>
      <c r="AI3762">
        <f>IF($C3762="","",IF(OR($N3762=TRUE(),$N3762="TRUE"),1,0))</f>
        <v/>
      </c>
      <c r="AJ3762">
        <f>IF($C3762="","",IF($T3762="Yes",1,0))</f>
        <v/>
      </c>
      <c r="AK3762">
        <f>IF($AG3762=1,IFERROR(IF(VALUE($C3762)&lt;100000000,VALUE($C3762),1000000000),IFERROR(IF(VALUE(MID($C3762,2,20))&lt;100000000,VALUE(MID($C3762,2,20)),1000000000),1000000000))+ROW()/100000,"")</f>
        <v/>
      </c>
    </row>
    <row r="3763">
      <c r="D3763" s="11" t="n"/>
      <c r="K3763" s="7">
        <f>IF($C3763="","",J3763*W3763/100)</f>
        <v/>
      </c>
      <c r="Q3763" s="7" t="n"/>
      <c r="R3763" s="7" t="n"/>
      <c r="U3763">
        <f>IF($C3763="","",IF($AJ3763=1,0,IF($AI3763=1,Settings!$C$6,Settings!$C$7))*100)</f>
        <v/>
      </c>
      <c r="V3763" s="7">
        <f>IF($C3763="","",R3763*U3763/100)</f>
        <v/>
      </c>
      <c r="W3763" s="7">
        <f>IF($C3763="","",R3763-V3763)</f>
        <v/>
      </c>
      <c r="X3763" s="7">
        <f>IF($C3763="","",W3763-K3763)</f>
        <v/>
      </c>
      <c r="AB3763" s="7" t="n"/>
      <c r="AE3763" s="11" t="n"/>
      <c r="AG3763">
        <f>IF($C3763="","",IF(COUNTIF($C$2:$C3763,$C3763)=1,1,0))</f>
        <v/>
      </c>
      <c r="AH3763">
        <f>IF($AG3763=1,SUMPRODUCT(--($AK$2:$AK$6001&lt;$AK3763))+1,"")</f>
        <v/>
      </c>
      <c r="AI3763">
        <f>IF($C3763="","",IF(OR($N3763=TRUE(),$N3763="TRUE"),1,0))</f>
        <v/>
      </c>
      <c r="AJ3763">
        <f>IF($C3763="","",IF($T3763="Yes",1,0))</f>
        <v/>
      </c>
      <c r="AK3763">
        <f>IF($AG3763=1,IFERROR(IF(VALUE($C3763)&lt;100000000,VALUE($C3763),1000000000),IFERROR(IF(VALUE(MID($C3763,2,20))&lt;100000000,VALUE(MID($C3763,2,20)),1000000000),1000000000))+ROW()/100000,"")</f>
        <v/>
      </c>
    </row>
    <row r="3764">
      <c r="D3764" s="11" t="n"/>
      <c r="K3764" s="7">
        <f>IF($C3764="","",J3764*W3764/100)</f>
        <v/>
      </c>
      <c r="Q3764" s="7" t="n"/>
      <c r="R3764" s="7" t="n"/>
      <c r="U3764">
        <f>IF($C3764="","",IF($AJ3764=1,0,IF($AI3764=1,Settings!$C$6,Settings!$C$7))*100)</f>
        <v/>
      </c>
      <c r="V3764" s="7">
        <f>IF($C3764="","",R3764*U3764/100)</f>
        <v/>
      </c>
      <c r="W3764" s="7">
        <f>IF($C3764="","",R3764-V3764)</f>
        <v/>
      </c>
      <c r="X3764" s="7">
        <f>IF($C3764="","",W3764-K3764)</f>
        <v/>
      </c>
      <c r="AB3764" s="7" t="n"/>
      <c r="AE3764" s="11" t="n"/>
      <c r="AG3764">
        <f>IF($C3764="","",IF(COUNTIF($C$2:$C3764,$C3764)=1,1,0))</f>
        <v/>
      </c>
      <c r="AH3764">
        <f>IF($AG3764=1,SUMPRODUCT(--($AK$2:$AK$6001&lt;$AK3764))+1,"")</f>
        <v/>
      </c>
      <c r="AI3764">
        <f>IF($C3764="","",IF(OR($N3764=TRUE(),$N3764="TRUE"),1,0))</f>
        <v/>
      </c>
      <c r="AJ3764">
        <f>IF($C3764="","",IF($T3764="Yes",1,0))</f>
        <v/>
      </c>
      <c r="AK3764">
        <f>IF($AG3764=1,IFERROR(IF(VALUE($C3764)&lt;100000000,VALUE($C3764),1000000000),IFERROR(IF(VALUE(MID($C3764,2,20))&lt;100000000,VALUE(MID($C3764,2,20)),1000000000),1000000000))+ROW()/100000,"")</f>
        <v/>
      </c>
    </row>
    <row r="3765">
      <c r="D3765" s="11" t="n"/>
      <c r="K3765" s="7">
        <f>IF($C3765="","",J3765*W3765/100)</f>
        <v/>
      </c>
      <c r="Q3765" s="7" t="n"/>
      <c r="R3765" s="7" t="n"/>
      <c r="U3765">
        <f>IF($C3765="","",IF($AJ3765=1,0,IF($AI3765=1,Settings!$C$6,Settings!$C$7))*100)</f>
        <v/>
      </c>
      <c r="V3765" s="7">
        <f>IF($C3765="","",R3765*U3765/100)</f>
        <v/>
      </c>
      <c r="W3765" s="7">
        <f>IF($C3765="","",R3765-V3765)</f>
        <v/>
      </c>
      <c r="X3765" s="7">
        <f>IF($C3765="","",W3765-K3765)</f>
        <v/>
      </c>
      <c r="AB3765" s="7" t="n"/>
      <c r="AE3765" s="11" t="n"/>
      <c r="AG3765">
        <f>IF($C3765="","",IF(COUNTIF($C$2:$C3765,$C3765)=1,1,0))</f>
        <v/>
      </c>
      <c r="AH3765">
        <f>IF($AG3765=1,SUMPRODUCT(--($AK$2:$AK$6001&lt;$AK3765))+1,"")</f>
        <v/>
      </c>
      <c r="AI3765">
        <f>IF($C3765="","",IF(OR($N3765=TRUE(),$N3765="TRUE"),1,0))</f>
        <v/>
      </c>
      <c r="AJ3765">
        <f>IF($C3765="","",IF($T3765="Yes",1,0))</f>
        <v/>
      </c>
      <c r="AK3765">
        <f>IF($AG3765=1,IFERROR(IF(VALUE($C3765)&lt;100000000,VALUE($C3765),1000000000),IFERROR(IF(VALUE(MID($C3765,2,20))&lt;100000000,VALUE(MID($C3765,2,20)),1000000000),1000000000))+ROW()/100000,"")</f>
        <v/>
      </c>
    </row>
    <row r="3766">
      <c r="D3766" s="11" t="n"/>
      <c r="K3766" s="7">
        <f>IF($C3766="","",J3766*W3766/100)</f>
        <v/>
      </c>
      <c r="Q3766" s="7" t="n"/>
      <c r="R3766" s="7" t="n"/>
      <c r="U3766">
        <f>IF($C3766="","",IF($AJ3766=1,0,IF($AI3766=1,Settings!$C$6,Settings!$C$7))*100)</f>
        <v/>
      </c>
      <c r="V3766" s="7">
        <f>IF($C3766="","",R3766*U3766/100)</f>
        <v/>
      </c>
      <c r="W3766" s="7">
        <f>IF($C3766="","",R3766-V3766)</f>
        <v/>
      </c>
      <c r="X3766" s="7">
        <f>IF($C3766="","",W3766-K3766)</f>
        <v/>
      </c>
      <c r="AB3766" s="7" t="n"/>
      <c r="AE3766" s="11" t="n"/>
      <c r="AG3766">
        <f>IF($C3766="","",IF(COUNTIF($C$2:$C3766,$C3766)=1,1,0))</f>
        <v/>
      </c>
      <c r="AH3766">
        <f>IF($AG3766=1,SUMPRODUCT(--($AK$2:$AK$6001&lt;$AK3766))+1,"")</f>
        <v/>
      </c>
      <c r="AI3766">
        <f>IF($C3766="","",IF(OR($N3766=TRUE(),$N3766="TRUE"),1,0))</f>
        <v/>
      </c>
      <c r="AJ3766">
        <f>IF($C3766="","",IF($T3766="Yes",1,0))</f>
        <v/>
      </c>
      <c r="AK3766">
        <f>IF($AG3766=1,IFERROR(IF(VALUE($C3766)&lt;100000000,VALUE($C3766),1000000000),IFERROR(IF(VALUE(MID($C3766,2,20))&lt;100000000,VALUE(MID($C3766,2,20)),1000000000),1000000000))+ROW()/100000,"")</f>
        <v/>
      </c>
    </row>
    <row r="3767">
      <c r="D3767" s="11" t="n"/>
      <c r="K3767" s="7">
        <f>IF($C3767="","",J3767*W3767/100)</f>
        <v/>
      </c>
      <c r="Q3767" s="7" t="n"/>
      <c r="R3767" s="7" t="n"/>
      <c r="U3767">
        <f>IF($C3767="","",IF($AJ3767=1,0,IF($AI3767=1,Settings!$C$6,Settings!$C$7))*100)</f>
        <v/>
      </c>
      <c r="V3767" s="7">
        <f>IF($C3767="","",R3767*U3767/100)</f>
        <v/>
      </c>
      <c r="W3767" s="7">
        <f>IF($C3767="","",R3767-V3767)</f>
        <v/>
      </c>
      <c r="X3767" s="7">
        <f>IF($C3767="","",W3767-K3767)</f>
        <v/>
      </c>
      <c r="AB3767" s="7" t="n"/>
      <c r="AE3767" s="11" t="n"/>
      <c r="AG3767">
        <f>IF($C3767="","",IF(COUNTIF($C$2:$C3767,$C3767)=1,1,0))</f>
        <v/>
      </c>
      <c r="AH3767">
        <f>IF($AG3767=1,SUMPRODUCT(--($AK$2:$AK$6001&lt;$AK3767))+1,"")</f>
        <v/>
      </c>
      <c r="AI3767">
        <f>IF($C3767="","",IF(OR($N3767=TRUE(),$N3767="TRUE"),1,0))</f>
        <v/>
      </c>
      <c r="AJ3767">
        <f>IF($C3767="","",IF($T3767="Yes",1,0))</f>
        <v/>
      </c>
      <c r="AK3767">
        <f>IF($AG3767=1,IFERROR(IF(VALUE($C3767)&lt;100000000,VALUE($C3767),1000000000),IFERROR(IF(VALUE(MID($C3767,2,20))&lt;100000000,VALUE(MID($C3767,2,20)),1000000000),1000000000))+ROW()/100000,"")</f>
        <v/>
      </c>
    </row>
    <row r="3768">
      <c r="D3768" s="11" t="n"/>
      <c r="K3768" s="7">
        <f>IF($C3768="","",J3768*W3768/100)</f>
        <v/>
      </c>
      <c r="Q3768" s="7" t="n"/>
      <c r="R3768" s="7" t="n"/>
      <c r="U3768">
        <f>IF($C3768="","",IF($AJ3768=1,0,IF($AI3768=1,Settings!$C$6,Settings!$C$7))*100)</f>
        <v/>
      </c>
      <c r="V3768" s="7">
        <f>IF($C3768="","",R3768*U3768/100)</f>
        <v/>
      </c>
      <c r="W3768" s="7">
        <f>IF($C3768="","",R3768-V3768)</f>
        <v/>
      </c>
      <c r="X3768" s="7">
        <f>IF($C3768="","",W3768-K3768)</f>
        <v/>
      </c>
      <c r="AB3768" s="7" t="n"/>
      <c r="AE3768" s="11" t="n"/>
      <c r="AG3768">
        <f>IF($C3768="","",IF(COUNTIF($C$2:$C3768,$C3768)=1,1,0))</f>
        <v/>
      </c>
      <c r="AH3768">
        <f>IF($AG3768=1,SUMPRODUCT(--($AK$2:$AK$6001&lt;$AK3768))+1,"")</f>
        <v/>
      </c>
      <c r="AI3768">
        <f>IF($C3768="","",IF(OR($N3768=TRUE(),$N3768="TRUE"),1,0))</f>
        <v/>
      </c>
      <c r="AJ3768">
        <f>IF($C3768="","",IF($T3768="Yes",1,0))</f>
        <v/>
      </c>
      <c r="AK3768">
        <f>IF($AG3768=1,IFERROR(IF(VALUE($C3768)&lt;100000000,VALUE($C3768),1000000000),IFERROR(IF(VALUE(MID($C3768,2,20))&lt;100000000,VALUE(MID($C3768,2,20)),1000000000),1000000000))+ROW()/100000,"")</f>
        <v/>
      </c>
    </row>
    <row r="3769">
      <c r="D3769" s="11" t="n"/>
      <c r="K3769" s="7">
        <f>IF($C3769="","",J3769*W3769/100)</f>
        <v/>
      </c>
      <c r="Q3769" s="7" t="n"/>
      <c r="R3769" s="7" t="n"/>
      <c r="U3769">
        <f>IF($C3769="","",IF($AJ3769=1,0,IF($AI3769=1,Settings!$C$6,Settings!$C$7))*100)</f>
        <v/>
      </c>
      <c r="V3769" s="7">
        <f>IF($C3769="","",R3769*U3769/100)</f>
        <v/>
      </c>
      <c r="W3769" s="7">
        <f>IF($C3769="","",R3769-V3769)</f>
        <v/>
      </c>
      <c r="X3769" s="7">
        <f>IF($C3769="","",W3769-K3769)</f>
        <v/>
      </c>
      <c r="AB3769" s="7" t="n"/>
      <c r="AE3769" s="11" t="n"/>
      <c r="AG3769">
        <f>IF($C3769="","",IF(COUNTIF($C$2:$C3769,$C3769)=1,1,0))</f>
        <v/>
      </c>
      <c r="AH3769">
        <f>IF($AG3769=1,SUMPRODUCT(--($AK$2:$AK$6001&lt;$AK3769))+1,"")</f>
        <v/>
      </c>
      <c r="AI3769">
        <f>IF($C3769="","",IF(OR($N3769=TRUE(),$N3769="TRUE"),1,0))</f>
        <v/>
      </c>
      <c r="AJ3769">
        <f>IF($C3769="","",IF($T3769="Yes",1,0))</f>
        <v/>
      </c>
      <c r="AK3769">
        <f>IF($AG3769=1,IFERROR(IF(VALUE($C3769)&lt;100000000,VALUE($C3769),1000000000),IFERROR(IF(VALUE(MID($C3769,2,20))&lt;100000000,VALUE(MID($C3769,2,20)),1000000000),1000000000))+ROW()/100000,"")</f>
        <v/>
      </c>
    </row>
    <row r="3770">
      <c r="D3770" s="11" t="n"/>
      <c r="K3770" s="7">
        <f>IF($C3770="","",J3770*W3770/100)</f>
        <v/>
      </c>
      <c r="Q3770" s="7" t="n"/>
      <c r="R3770" s="7" t="n"/>
      <c r="U3770">
        <f>IF($C3770="","",IF($AJ3770=1,0,IF($AI3770=1,Settings!$C$6,Settings!$C$7))*100)</f>
        <v/>
      </c>
      <c r="V3770" s="7">
        <f>IF($C3770="","",R3770*U3770/100)</f>
        <v/>
      </c>
      <c r="W3770" s="7">
        <f>IF($C3770="","",R3770-V3770)</f>
        <v/>
      </c>
      <c r="X3770" s="7">
        <f>IF($C3770="","",W3770-K3770)</f>
        <v/>
      </c>
      <c r="AB3770" s="7" t="n"/>
      <c r="AE3770" s="11" t="n"/>
      <c r="AG3770">
        <f>IF($C3770="","",IF(COUNTIF($C$2:$C3770,$C3770)=1,1,0))</f>
        <v/>
      </c>
      <c r="AH3770">
        <f>IF($AG3770=1,SUMPRODUCT(--($AK$2:$AK$6001&lt;$AK3770))+1,"")</f>
        <v/>
      </c>
      <c r="AI3770">
        <f>IF($C3770="","",IF(OR($N3770=TRUE(),$N3770="TRUE"),1,0))</f>
        <v/>
      </c>
      <c r="AJ3770">
        <f>IF($C3770="","",IF($T3770="Yes",1,0))</f>
        <v/>
      </c>
      <c r="AK3770">
        <f>IF($AG3770=1,IFERROR(IF(VALUE($C3770)&lt;100000000,VALUE($C3770),1000000000),IFERROR(IF(VALUE(MID($C3770,2,20))&lt;100000000,VALUE(MID($C3770,2,20)),1000000000),1000000000))+ROW()/100000,"")</f>
        <v/>
      </c>
    </row>
    <row r="3771">
      <c r="D3771" s="11" t="n"/>
      <c r="K3771" s="7">
        <f>IF($C3771="","",J3771*W3771/100)</f>
        <v/>
      </c>
      <c r="Q3771" s="7" t="n"/>
      <c r="R3771" s="7" t="n"/>
      <c r="U3771">
        <f>IF($C3771="","",IF($AJ3771=1,0,IF($AI3771=1,Settings!$C$6,Settings!$C$7))*100)</f>
        <v/>
      </c>
      <c r="V3771" s="7">
        <f>IF($C3771="","",R3771*U3771/100)</f>
        <v/>
      </c>
      <c r="W3771" s="7">
        <f>IF($C3771="","",R3771-V3771)</f>
        <v/>
      </c>
      <c r="X3771" s="7">
        <f>IF($C3771="","",W3771-K3771)</f>
        <v/>
      </c>
      <c r="AB3771" s="7" t="n"/>
      <c r="AE3771" s="11" t="n"/>
      <c r="AG3771">
        <f>IF($C3771="","",IF(COUNTIF($C$2:$C3771,$C3771)=1,1,0))</f>
        <v/>
      </c>
      <c r="AH3771">
        <f>IF($AG3771=1,SUMPRODUCT(--($AK$2:$AK$6001&lt;$AK3771))+1,"")</f>
        <v/>
      </c>
      <c r="AI3771">
        <f>IF($C3771="","",IF(OR($N3771=TRUE(),$N3771="TRUE"),1,0))</f>
        <v/>
      </c>
      <c r="AJ3771">
        <f>IF($C3771="","",IF($T3771="Yes",1,0))</f>
        <v/>
      </c>
      <c r="AK3771">
        <f>IF($AG3771=1,IFERROR(IF(VALUE($C3771)&lt;100000000,VALUE($C3771),1000000000),IFERROR(IF(VALUE(MID($C3771,2,20))&lt;100000000,VALUE(MID($C3771,2,20)),1000000000),1000000000))+ROW()/100000,"")</f>
        <v/>
      </c>
    </row>
    <row r="3772">
      <c r="D3772" s="11" t="n"/>
      <c r="K3772" s="7">
        <f>IF($C3772="","",J3772*W3772/100)</f>
        <v/>
      </c>
      <c r="Q3772" s="7" t="n"/>
      <c r="R3772" s="7" t="n"/>
      <c r="U3772">
        <f>IF($C3772="","",IF($AJ3772=1,0,IF($AI3772=1,Settings!$C$6,Settings!$C$7))*100)</f>
        <v/>
      </c>
      <c r="V3772" s="7">
        <f>IF($C3772="","",R3772*U3772/100)</f>
        <v/>
      </c>
      <c r="W3772" s="7">
        <f>IF($C3772="","",R3772-V3772)</f>
        <v/>
      </c>
      <c r="X3772" s="7">
        <f>IF($C3772="","",W3772-K3772)</f>
        <v/>
      </c>
      <c r="AB3772" s="7" t="n"/>
      <c r="AE3772" s="11" t="n"/>
      <c r="AG3772">
        <f>IF($C3772="","",IF(COUNTIF($C$2:$C3772,$C3772)=1,1,0))</f>
        <v/>
      </c>
      <c r="AH3772">
        <f>IF($AG3772=1,SUMPRODUCT(--($AK$2:$AK$6001&lt;$AK3772))+1,"")</f>
        <v/>
      </c>
      <c r="AI3772">
        <f>IF($C3772="","",IF(OR($N3772=TRUE(),$N3772="TRUE"),1,0))</f>
        <v/>
      </c>
      <c r="AJ3772">
        <f>IF($C3772="","",IF($T3772="Yes",1,0))</f>
        <v/>
      </c>
      <c r="AK3772">
        <f>IF($AG3772=1,IFERROR(IF(VALUE($C3772)&lt;100000000,VALUE($C3772),1000000000),IFERROR(IF(VALUE(MID($C3772,2,20))&lt;100000000,VALUE(MID($C3772,2,20)),1000000000),1000000000))+ROW()/100000,"")</f>
        <v/>
      </c>
    </row>
    <row r="3773">
      <c r="D3773" s="11" t="n"/>
      <c r="K3773" s="7">
        <f>IF($C3773="","",J3773*W3773/100)</f>
        <v/>
      </c>
      <c r="Q3773" s="7" t="n"/>
      <c r="R3773" s="7" t="n"/>
      <c r="U3773">
        <f>IF($C3773="","",IF($AJ3773=1,0,IF($AI3773=1,Settings!$C$6,Settings!$C$7))*100)</f>
        <v/>
      </c>
      <c r="V3773" s="7">
        <f>IF($C3773="","",R3773*U3773/100)</f>
        <v/>
      </c>
      <c r="W3773" s="7">
        <f>IF($C3773="","",R3773-V3773)</f>
        <v/>
      </c>
      <c r="X3773" s="7">
        <f>IF($C3773="","",W3773-K3773)</f>
        <v/>
      </c>
      <c r="AB3773" s="7" t="n"/>
      <c r="AE3773" s="11" t="n"/>
      <c r="AG3773">
        <f>IF($C3773="","",IF(COUNTIF($C$2:$C3773,$C3773)=1,1,0))</f>
        <v/>
      </c>
      <c r="AH3773">
        <f>IF($AG3773=1,SUMPRODUCT(--($AK$2:$AK$6001&lt;$AK3773))+1,"")</f>
        <v/>
      </c>
      <c r="AI3773">
        <f>IF($C3773="","",IF(OR($N3773=TRUE(),$N3773="TRUE"),1,0))</f>
        <v/>
      </c>
      <c r="AJ3773">
        <f>IF($C3773="","",IF($T3773="Yes",1,0))</f>
        <v/>
      </c>
      <c r="AK3773">
        <f>IF($AG3773=1,IFERROR(IF(VALUE($C3773)&lt;100000000,VALUE($C3773),1000000000),IFERROR(IF(VALUE(MID($C3773,2,20))&lt;100000000,VALUE(MID($C3773,2,20)),1000000000),1000000000))+ROW()/100000,"")</f>
        <v/>
      </c>
    </row>
    <row r="3774">
      <c r="D3774" s="11" t="n"/>
      <c r="K3774" s="7">
        <f>IF($C3774="","",J3774*W3774/100)</f>
        <v/>
      </c>
      <c r="Q3774" s="7" t="n"/>
      <c r="R3774" s="7" t="n"/>
      <c r="U3774">
        <f>IF($C3774="","",IF($AJ3774=1,0,IF($AI3774=1,Settings!$C$6,Settings!$C$7))*100)</f>
        <v/>
      </c>
      <c r="V3774" s="7">
        <f>IF($C3774="","",R3774*U3774/100)</f>
        <v/>
      </c>
      <c r="W3774" s="7">
        <f>IF($C3774="","",R3774-V3774)</f>
        <v/>
      </c>
      <c r="X3774" s="7">
        <f>IF($C3774="","",W3774-K3774)</f>
        <v/>
      </c>
      <c r="AB3774" s="7" t="n"/>
      <c r="AE3774" s="11" t="n"/>
      <c r="AG3774">
        <f>IF($C3774="","",IF(COUNTIF($C$2:$C3774,$C3774)=1,1,0))</f>
        <v/>
      </c>
      <c r="AH3774">
        <f>IF($AG3774=1,SUMPRODUCT(--($AK$2:$AK$6001&lt;$AK3774))+1,"")</f>
        <v/>
      </c>
      <c r="AI3774">
        <f>IF($C3774="","",IF(OR($N3774=TRUE(),$N3774="TRUE"),1,0))</f>
        <v/>
      </c>
      <c r="AJ3774">
        <f>IF($C3774="","",IF($T3774="Yes",1,0))</f>
        <v/>
      </c>
      <c r="AK3774">
        <f>IF($AG3774=1,IFERROR(IF(VALUE($C3774)&lt;100000000,VALUE($C3774),1000000000),IFERROR(IF(VALUE(MID($C3774,2,20))&lt;100000000,VALUE(MID($C3774,2,20)),1000000000),1000000000))+ROW()/100000,"")</f>
        <v/>
      </c>
    </row>
    <row r="3775">
      <c r="D3775" s="11" t="n"/>
      <c r="K3775" s="7">
        <f>IF($C3775="","",J3775*W3775/100)</f>
        <v/>
      </c>
      <c r="Q3775" s="7" t="n"/>
      <c r="R3775" s="7" t="n"/>
      <c r="U3775">
        <f>IF($C3775="","",IF($AJ3775=1,0,IF($AI3775=1,Settings!$C$6,Settings!$C$7))*100)</f>
        <v/>
      </c>
      <c r="V3775" s="7">
        <f>IF($C3775="","",R3775*U3775/100)</f>
        <v/>
      </c>
      <c r="W3775" s="7">
        <f>IF($C3775="","",R3775-V3775)</f>
        <v/>
      </c>
      <c r="X3775" s="7">
        <f>IF($C3775="","",W3775-K3775)</f>
        <v/>
      </c>
      <c r="AB3775" s="7" t="n"/>
      <c r="AE3775" s="11" t="n"/>
      <c r="AG3775">
        <f>IF($C3775="","",IF(COUNTIF($C$2:$C3775,$C3775)=1,1,0))</f>
        <v/>
      </c>
      <c r="AH3775">
        <f>IF($AG3775=1,SUMPRODUCT(--($AK$2:$AK$6001&lt;$AK3775))+1,"")</f>
        <v/>
      </c>
      <c r="AI3775">
        <f>IF($C3775="","",IF(OR($N3775=TRUE(),$N3775="TRUE"),1,0))</f>
        <v/>
      </c>
      <c r="AJ3775">
        <f>IF($C3775="","",IF($T3775="Yes",1,0))</f>
        <v/>
      </c>
      <c r="AK3775">
        <f>IF($AG3775=1,IFERROR(IF(VALUE($C3775)&lt;100000000,VALUE($C3775),1000000000),IFERROR(IF(VALUE(MID($C3775,2,20))&lt;100000000,VALUE(MID($C3775,2,20)),1000000000),1000000000))+ROW()/100000,"")</f>
        <v/>
      </c>
    </row>
    <row r="3776">
      <c r="D3776" s="11" t="n"/>
      <c r="K3776" s="7">
        <f>IF($C3776="","",J3776*W3776/100)</f>
        <v/>
      </c>
      <c r="Q3776" s="7" t="n"/>
      <c r="R3776" s="7" t="n"/>
      <c r="U3776">
        <f>IF($C3776="","",IF($AJ3776=1,0,IF($AI3776=1,Settings!$C$6,Settings!$C$7))*100)</f>
        <v/>
      </c>
      <c r="V3776" s="7">
        <f>IF($C3776="","",R3776*U3776/100)</f>
        <v/>
      </c>
      <c r="W3776" s="7">
        <f>IF($C3776="","",R3776-V3776)</f>
        <v/>
      </c>
      <c r="X3776" s="7">
        <f>IF($C3776="","",W3776-K3776)</f>
        <v/>
      </c>
      <c r="AB3776" s="7" t="n"/>
      <c r="AE3776" s="11" t="n"/>
      <c r="AG3776">
        <f>IF($C3776="","",IF(COUNTIF($C$2:$C3776,$C3776)=1,1,0))</f>
        <v/>
      </c>
      <c r="AH3776">
        <f>IF($AG3776=1,SUMPRODUCT(--($AK$2:$AK$6001&lt;$AK3776))+1,"")</f>
        <v/>
      </c>
      <c r="AI3776">
        <f>IF($C3776="","",IF(OR($N3776=TRUE(),$N3776="TRUE"),1,0))</f>
        <v/>
      </c>
      <c r="AJ3776">
        <f>IF($C3776="","",IF($T3776="Yes",1,0))</f>
        <v/>
      </c>
      <c r="AK3776">
        <f>IF($AG3776=1,IFERROR(IF(VALUE($C3776)&lt;100000000,VALUE($C3776),1000000000),IFERROR(IF(VALUE(MID($C3776,2,20))&lt;100000000,VALUE(MID($C3776,2,20)),1000000000),1000000000))+ROW()/100000,"")</f>
        <v/>
      </c>
    </row>
    <row r="3777">
      <c r="D3777" s="11" t="n"/>
      <c r="K3777" s="7">
        <f>IF($C3777="","",J3777*W3777/100)</f>
        <v/>
      </c>
      <c r="Q3777" s="7" t="n"/>
      <c r="R3777" s="7" t="n"/>
      <c r="U3777">
        <f>IF($C3777="","",IF($AJ3777=1,0,IF($AI3777=1,Settings!$C$6,Settings!$C$7))*100)</f>
        <v/>
      </c>
      <c r="V3777" s="7">
        <f>IF($C3777="","",R3777*U3777/100)</f>
        <v/>
      </c>
      <c r="W3777" s="7">
        <f>IF($C3777="","",R3777-V3777)</f>
        <v/>
      </c>
      <c r="X3777" s="7">
        <f>IF($C3777="","",W3777-K3777)</f>
        <v/>
      </c>
      <c r="AB3777" s="7" t="n"/>
      <c r="AE3777" s="11" t="n"/>
      <c r="AG3777">
        <f>IF($C3777="","",IF(COUNTIF($C$2:$C3777,$C3777)=1,1,0))</f>
        <v/>
      </c>
      <c r="AH3777">
        <f>IF($AG3777=1,SUMPRODUCT(--($AK$2:$AK$6001&lt;$AK3777))+1,"")</f>
        <v/>
      </c>
      <c r="AI3777">
        <f>IF($C3777="","",IF(OR($N3777=TRUE(),$N3777="TRUE"),1,0))</f>
        <v/>
      </c>
      <c r="AJ3777">
        <f>IF($C3777="","",IF($T3777="Yes",1,0))</f>
        <v/>
      </c>
      <c r="AK3777">
        <f>IF($AG3777=1,IFERROR(IF(VALUE($C3777)&lt;100000000,VALUE($C3777),1000000000),IFERROR(IF(VALUE(MID($C3777,2,20))&lt;100000000,VALUE(MID($C3777,2,20)),1000000000),1000000000))+ROW()/100000,"")</f>
        <v/>
      </c>
    </row>
    <row r="3778">
      <c r="D3778" s="11" t="n"/>
      <c r="K3778" s="7">
        <f>IF($C3778="","",J3778*W3778/100)</f>
        <v/>
      </c>
      <c r="Q3778" s="7" t="n"/>
      <c r="R3778" s="7" t="n"/>
      <c r="U3778">
        <f>IF($C3778="","",IF($AJ3778=1,0,IF($AI3778=1,Settings!$C$6,Settings!$C$7))*100)</f>
        <v/>
      </c>
      <c r="V3778" s="7">
        <f>IF($C3778="","",R3778*U3778/100)</f>
        <v/>
      </c>
      <c r="W3778" s="7">
        <f>IF($C3778="","",R3778-V3778)</f>
        <v/>
      </c>
      <c r="X3778" s="7">
        <f>IF($C3778="","",W3778-K3778)</f>
        <v/>
      </c>
      <c r="AB3778" s="7" t="n"/>
      <c r="AE3778" s="11" t="n"/>
      <c r="AG3778">
        <f>IF($C3778="","",IF(COUNTIF($C$2:$C3778,$C3778)=1,1,0))</f>
        <v/>
      </c>
      <c r="AH3778">
        <f>IF($AG3778=1,SUMPRODUCT(--($AK$2:$AK$6001&lt;$AK3778))+1,"")</f>
        <v/>
      </c>
      <c r="AI3778">
        <f>IF($C3778="","",IF(OR($N3778=TRUE(),$N3778="TRUE"),1,0))</f>
        <v/>
      </c>
      <c r="AJ3778">
        <f>IF($C3778="","",IF($T3778="Yes",1,0))</f>
        <v/>
      </c>
      <c r="AK3778">
        <f>IF($AG3778=1,IFERROR(IF(VALUE($C3778)&lt;100000000,VALUE($C3778),1000000000),IFERROR(IF(VALUE(MID($C3778,2,20))&lt;100000000,VALUE(MID($C3778,2,20)),1000000000),1000000000))+ROW()/100000,"")</f>
        <v/>
      </c>
    </row>
    <row r="3779">
      <c r="D3779" s="11" t="n"/>
      <c r="K3779" s="7">
        <f>IF($C3779="","",J3779*W3779/100)</f>
        <v/>
      </c>
      <c r="Q3779" s="7" t="n"/>
      <c r="R3779" s="7" t="n"/>
      <c r="U3779">
        <f>IF($C3779="","",IF($AJ3779=1,0,IF($AI3779=1,Settings!$C$6,Settings!$C$7))*100)</f>
        <v/>
      </c>
      <c r="V3779" s="7">
        <f>IF($C3779="","",R3779*U3779/100)</f>
        <v/>
      </c>
      <c r="W3779" s="7">
        <f>IF($C3779="","",R3779-V3779)</f>
        <v/>
      </c>
      <c r="X3779" s="7">
        <f>IF($C3779="","",W3779-K3779)</f>
        <v/>
      </c>
      <c r="AB3779" s="7" t="n"/>
      <c r="AE3779" s="11" t="n"/>
      <c r="AG3779">
        <f>IF($C3779="","",IF(COUNTIF($C$2:$C3779,$C3779)=1,1,0))</f>
        <v/>
      </c>
      <c r="AH3779">
        <f>IF($AG3779=1,SUMPRODUCT(--($AK$2:$AK$6001&lt;$AK3779))+1,"")</f>
        <v/>
      </c>
      <c r="AI3779">
        <f>IF($C3779="","",IF(OR($N3779=TRUE(),$N3779="TRUE"),1,0))</f>
        <v/>
      </c>
      <c r="AJ3779">
        <f>IF($C3779="","",IF($T3779="Yes",1,0))</f>
        <v/>
      </c>
      <c r="AK3779">
        <f>IF($AG3779=1,IFERROR(IF(VALUE($C3779)&lt;100000000,VALUE($C3779),1000000000),IFERROR(IF(VALUE(MID($C3779,2,20))&lt;100000000,VALUE(MID($C3779,2,20)),1000000000),1000000000))+ROW()/100000,"")</f>
        <v/>
      </c>
    </row>
    <row r="3780">
      <c r="D3780" s="11" t="n"/>
      <c r="K3780" s="7">
        <f>IF($C3780="","",J3780*W3780/100)</f>
        <v/>
      </c>
      <c r="Q3780" s="7" t="n"/>
      <c r="R3780" s="7" t="n"/>
      <c r="U3780">
        <f>IF($C3780="","",IF($AJ3780=1,0,IF($AI3780=1,Settings!$C$6,Settings!$C$7))*100)</f>
        <v/>
      </c>
      <c r="V3780" s="7">
        <f>IF($C3780="","",R3780*U3780/100)</f>
        <v/>
      </c>
      <c r="W3780" s="7">
        <f>IF($C3780="","",R3780-V3780)</f>
        <v/>
      </c>
      <c r="X3780" s="7">
        <f>IF($C3780="","",W3780-K3780)</f>
        <v/>
      </c>
      <c r="AB3780" s="7" t="n"/>
      <c r="AE3780" s="11" t="n"/>
      <c r="AG3780">
        <f>IF($C3780="","",IF(COUNTIF($C$2:$C3780,$C3780)=1,1,0))</f>
        <v/>
      </c>
      <c r="AH3780">
        <f>IF($AG3780=1,SUMPRODUCT(--($AK$2:$AK$6001&lt;$AK3780))+1,"")</f>
        <v/>
      </c>
      <c r="AI3780">
        <f>IF($C3780="","",IF(OR($N3780=TRUE(),$N3780="TRUE"),1,0))</f>
        <v/>
      </c>
      <c r="AJ3780">
        <f>IF($C3780="","",IF($T3780="Yes",1,0))</f>
        <v/>
      </c>
      <c r="AK3780">
        <f>IF($AG3780=1,IFERROR(IF(VALUE($C3780)&lt;100000000,VALUE($C3780),1000000000),IFERROR(IF(VALUE(MID($C3780,2,20))&lt;100000000,VALUE(MID($C3780,2,20)),1000000000),1000000000))+ROW()/100000,"")</f>
        <v/>
      </c>
    </row>
    <row r="3781">
      <c r="D3781" s="11" t="n"/>
      <c r="K3781" s="7">
        <f>IF($C3781="","",J3781*W3781/100)</f>
        <v/>
      </c>
      <c r="Q3781" s="7" t="n"/>
      <c r="R3781" s="7" t="n"/>
      <c r="U3781">
        <f>IF($C3781="","",IF($AJ3781=1,0,IF($AI3781=1,Settings!$C$6,Settings!$C$7))*100)</f>
        <v/>
      </c>
      <c r="V3781" s="7">
        <f>IF($C3781="","",R3781*U3781/100)</f>
        <v/>
      </c>
      <c r="W3781" s="7">
        <f>IF($C3781="","",R3781-V3781)</f>
        <v/>
      </c>
      <c r="X3781" s="7">
        <f>IF($C3781="","",W3781-K3781)</f>
        <v/>
      </c>
      <c r="AB3781" s="7" t="n"/>
      <c r="AE3781" s="11" t="n"/>
      <c r="AG3781">
        <f>IF($C3781="","",IF(COUNTIF($C$2:$C3781,$C3781)=1,1,0))</f>
        <v/>
      </c>
      <c r="AH3781">
        <f>IF($AG3781=1,SUMPRODUCT(--($AK$2:$AK$6001&lt;$AK3781))+1,"")</f>
        <v/>
      </c>
      <c r="AI3781">
        <f>IF($C3781="","",IF(OR($N3781=TRUE(),$N3781="TRUE"),1,0))</f>
        <v/>
      </c>
      <c r="AJ3781">
        <f>IF($C3781="","",IF($T3781="Yes",1,0))</f>
        <v/>
      </c>
      <c r="AK3781">
        <f>IF($AG3781=1,IFERROR(IF(VALUE($C3781)&lt;100000000,VALUE($C3781),1000000000),IFERROR(IF(VALUE(MID($C3781,2,20))&lt;100000000,VALUE(MID($C3781,2,20)),1000000000),1000000000))+ROW()/100000,"")</f>
        <v/>
      </c>
    </row>
    <row r="3782">
      <c r="D3782" s="11" t="n"/>
      <c r="K3782" s="7">
        <f>IF($C3782="","",J3782*W3782/100)</f>
        <v/>
      </c>
      <c r="Q3782" s="7" t="n"/>
      <c r="R3782" s="7" t="n"/>
      <c r="U3782">
        <f>IF($C3782="","",IF($AJ3782=1,0,IF($AI3782=1,Settings!$C$6,Settings!$C$7))*100)</f>
        <v/>
      </c>
      <c r="V3782" s="7">
        <f>IF($C3782="","",R3782*U3782/100)</f>
        <v/>
      </c>
      <c r="W3782" s="7">
        <f>IF($C3782="","",R3782-V3782)</f>
        <v/>
      </c>
      <c r="X3782" s="7">
        <f>IF($C3782="","",W3782-K3782)</f>
        <v/>
      </c>
      <c r="AB3782" s="7" t="n"/>
      <c r="AE3782" s="11" t="n"/>
      <c r="AG3782">
        <f>IF($C3782="","",IF(COUNTIF($C$2:$C3782,$C3782)=1,1,0))</f>
        <v/>
      </c>
      <c r="AH3782">
        <f>IF($AG3782=1,SUMPRODUCT(--($AK$2:$AK$6001&lt;$AK3782))+1,"")</f>
        <v/>
      </c>
      <c r="AI3782">
        <f>IF($C3782="","",IF(OR($N3782=TRUE(),$N3782="TRUE"),1,0))</f>
        <v/>
      </c>
      <c r="AJ3782">
        <f>IF($C3782="","",IF($T3782="Yes",1,0))</f>
        <v/>
      </c>
      <c r="AK3782">
        <f>IF($AG3782=1,IFERROR(IF(VALUE($C3782)&lt;100000000,VALUE($C3782),1000000000),IFERROR(IF(VALUE(MID($C3782,2,20))&lt;100000000,VALUE(MID($C3782,2,20)),1000000000),1000000000))+ROW()/100000,"")</f>
        <v/>
      </c>
    </row>
    <row r="3783">
      <c r="D3783" s="11" t="n"/>
      <c r="K3783" s="7">
        <f>IF($C3783="","",J3783*W3783/100)</f>
        <v/>
      </c>
      <c r="Q3783" s="7" t="n"/>
      <c r="R3783" s="7" t="n"/>
      <c r="U3783">
        <f>IF($C3783="","",IF($AJ3783=1,0,IF($AI3783=1,Settings!$C$6,Settings!$C$7))*100)</f>
        <v/>
      </c>
      <c r="V3783" s="7">
        <f>IF($C3783="","",R3783*U3783/100)</f>
        <v/>
      </c>
      <c r="W3783" s="7">
        <f>IF($C3783="","",R3783-V3783)</f>
        <v/>
      </c>
      <c r="X3783" s="7">
        <f>IF($C3783="","",W3783-K3783)</f>
        <v/>
      </c>
      <c r="AB3783" s="7" t="n"/>
      <c r="AE3783" s="11" t="n"/>
      <c r="AG3783">
        <f>IF($C3783="","",IF(COUNTIF($C$2:$C3783,$C3783)=1,1,0))</f>
        <v/>
      </c>
      <c r="AH3783">
        <f>IF($AG3783=1,SUMPRODUCT(--($AK$2:$AK$6001&lt;$AK3783))+1,"")</f>
        <v/>
      </c>
      <c r="AI3783">
        <f>IF($C3783="","",IF(OR($N3783=TRUE(),$N3783="TRUE"),1,0))</f>
        <v/>
      </c>
      <c r="AJ3783">
        <f>IF($C3783="","",IF($T3783="Yes",1,0))</f>
        <v/>
      </c>
      <c r="AK3783">
        <f>IF($AG3783=1,IFERROR(IF(VALUE($C3783)&lt;100000000,VALUE($C3783),1000000000),IFERROR(IF(VALUE(MID($C3783,2,20))&lt;100000000,VALUE(MID($C3783,2,20)),1000000000),1000000000))+ROW()/100000,"")</f>
        <v/>
      </c>
    </row>
    <row r="3784">
      <c r="D3784" s="11" t="n"/>
      <c r="K3784" s="7">
        <f>IF($C3784="","",J3784*W3784/100)</f>
        <v/>
      </c>
      <c r="Q3784" s="7" t="n"/>
      <c r="R3784" s="7" t="n"/>
      <c r="U3784">
        <f>IF($C3784="","",IF($AJ3784=1,0,IF($AI3784=1,Settings!$C$6,Settings!$C$7))*100)</f>
        <v/>
      </c>
      <c r="V3784" s="7">
        <f>IF($C3784="","",R3784*U3784/100)</f>
        <v/>
      </c>
      <c r="W3784" s="7">
        <f>IF($C3784="","",R3784-V3784)</f>
        <v/>
      </c>
      <c r="X3784" s="7">
        <f>IF($C3784="","",W3784-K3784)</f>
        <v/>
      </c>
      <c r="AB3784" s="7" t="n"/>
      <c r="AE3784" s="11" t="n"/>
      <c r="AG3784">
        <f>IF($C3784="","",IF(COUNTIF($C$2:$C3784,$C3784)=1,1,0))</f>
        <v/>
      </c>
      <c r="AH3784">
        <f>IF($AG3784=1,SUMPRODUCT(--($AK$2:$AK$6001&lt;$AK3784))+1,"")</f>
        <v/>
      </c>
      <c r="AI3784">
        <f>IF($C3784="","",IF(OR($N3784=TRUE(),$N3784="TRUE"),1,0))</f>
        <v/>
      </c>
      <c r="AJ3784">
        <f>IF($C3784="","",IF($T3784="Yes",1,0))</f>
        <v/>
      </c>
      <c r="AK3784">
        <f>IF($AG3784=1,IFERROR(IF(VALUE($C3784)&lt;100000000,VALUE($C3784),1000000000),IFERROR(IF(VALUE(MID($C3784,2,20))&lt;100000000,VALUE(MID($C3784,2,20)),1000000000),1000000000))+ROW()/100000,"")</f>
        <v/>
      </c>
    </row>
    <row r="3785">
      <c r="D3785" s="11" t="n"/>
      <c r="K3785" s="7">
        <f>IF($C3785="","",J3785*W3785/100)</f>
        <v/>
      </c>
      <c r="Q3785" s="7" t="n"/>
      <c r="R3785" s="7" t="n"/>
      <c r="U3785">
        <f>IF($C3785="","",IF($AJ3785=1,0,IF($AI3785=1,Settings!$C$6,Settings!$C$7))*100)</f>
        <v/>
      </c>
      <c r="V3785" s="7">
        <f>IF($C3785="","",R3785*U3785/100)</f>
        <v/>
      </c>
      <c r="W3785" s="7">
        <f>IF($C3785="","",R3785-V3785)</f>
        <v/>
      </c>
      <c r="X3785" s="7">
        <f>IF($C3785="","",W3785-K3785)</f>
        <v/>
      </c>
      <c r="AB3785" s="7" t="n"/>
      <c r="AE3785" s="11" t="n"/>
      <c r="AG3785">
        <f>IF($C3785="","",IF(COUNTIF($C$2:$C3785,$C3785)=1,1,0))</f>
        <v/>
      </c>
      <c r="AH3785">
        <f>IF($AG3785=1,SUMPRODUCT(--($AK$2:$AK$6001&lt;$AK3785))+1,"")</f>
        <v/>
      </c>
      <c r="AI3785">
        <f>IF($C3785="","",IF(OR($N3785=TRUE(),$N3785="TRUE"),1,0))</f>
        <v/>
      </c>
      <c r="AJ3785">
        <f>IF($C3785="","",IF($T3785="Yes",1,0))</f>
        <v/>
      </c>
      <c r="AK3785">
        <f>IF($AG3785=1,IFERROR(IF(VALUE($C3785)&lt;100000000,VALUE($C3785),1000000000),IFERROR(IF(VALUE(MID($C3785,2,20))&lt;100000000,VALUE(MID($C3785,2,20)),1000000000),1000000000))+ROW()/100000,"")</f>
        <v/>
      </c>
    </row>
    <row r="3786">
      <c r="D3786" s="11" t="n"/>
      <c r="K3786" s="7">
        <f>IF($C3786="","",J3786*W3786/100)</f>
        <v/>
      </c>
      <c r="Q3786" s="7" t="n"/>
      <c r="R3786" s="7" t="n"/>
      <c r="U3786">
        <f>IF($C3786="","",IF($AJ3786=1,0,IF($AI3786=1,Settings!$C$6,Settings!$C$7))*100)</f>
        <v/>
      </c>
      <c r="V3786" s="7">
        <f>IF($C3786="","",R3786*U3786/100)</f>
        <v/>
      </c>
      <c r="W3786" s="7">
        <f>IF($C3786="","",R3786-V3786)</f>
        <v/>
      </c>
      <c r="X3786" s="7">
        <f>IF($C3786="","",W3786-K3786)</f>
        <v/>
      </c>
      <c r="AB3786" s="7" t="n"/>
      <c r="AE3786" s="11" t="n"/>
      <c r="AG3786">
        <f>IF($C3786="","",IF(COUNTIF($C$2:$C3786,$C3786)=1,1,0))</f>
        <v/>
      </c>
      <c r="AH3786">
        <f>IF($AG3786=1,SUMPRODUCT(--($AK$2:$AK$6001&lt;$AK3786))+1,"")</f>
        <v/>
      </c>
      <c r="AI3786">
        <f>IF($C3786="","",IF(OR($N3786=TRUE(),$N3786="TRUE"),1,0))</f>
        <v/>
      </c>
      <c r="AJ3786">
        <f>IF($C3786="","",IF($T3786="Yes",1,0))</f>
        <v/>
      </c>
      <c r="AK3786">
        <f>IF($AG3786=1,IFERROR(IF(VALUE($C3786)&lt;100000000,VALUE($C3786),1000000000),IFERROR(IF(VALUE(MID($C3786,2,20))&lt;100000000,VALUE(MID($C3786,2,20)),1000000000),1000000000))+ROW()/100000,"")</f>
        <v/>
      </c>
    </row>
    <row r="3787">
      <c r="D3787" s="11" t="n"/>
      <c r="K3787" s="7">
        <f>IF($C3787="","",J3787*W3787/100)</f>
        <v/>
      </c>
      <c r="Q3787" s="7" t="n"/>
      <c r="R3787" s="7" t="n"/>
      <c r="U3787">
        <f>IF($C3787="","",IF($AJ3787=1,0,IF($AI3787=1,Settings!$C$6,Settings!$C$7))*100)</f>
        <v/>
      </c>
      <c r="V3787" s="7">
        <f>IF($C3787="","",R3787*U3787/100)</f>
        <v/>
      </c>
      <c r="W3787" s="7">
        <f>IF($C3787="","",R3787-V3787)</f>
        <v/>
      </c>
      <c r="X3787" s="7">
        <f>IF($C3787="","",W3787-K3787)</f>
        <v/>
      </c>
      <c r="AB3787" s="7" t="n"/>
      <c r="AE3787" s="11" t="n"/>
      <c r="AG3787">
        <f>IF($C3787="","",IF(COUNTIF($C$2:$C3787,$C3787)=1,1,0))</f>
        <v/>
      </c>
      <c r="AH3787">
        <f>IF($AG3787=1,SUMPRODUCT(--($AK$2:$AK$6001&lt;$AK3787))+1,"")</f>
        <v/>
      </c>
      <c r="AI3787">
        <f>IF($C3787="","",IF(OR($N3787=TRUE(),$N3787="TRUE"),1,0))</f>
        <v/>
      </c>
      <c r="AJ3787">
        <f>IF($C3787="","",IF($T3787="Yes",1,0))</f>
        <v/>
      </c>
      <c r="AK3787">
        <f>IF($AG3787=1,IFERROR(IF(VALUE($C3787)&lt;100000000,VALUE($C3787),1000000000),IFERROR(IF(VALUE(MID($C3787,2,20))&lt;100000000,VALUE(MID($C3787,2,20)),1000000000),1000000000))+ROW()/100000,"")</f>
        <v/>
      </c>
    </row>
    <row r="3788">
      <c r="D3788" s="11" t="n"/>
      <c r="K3788" s="7">
        <f>IF($C3788="","",J3788*W3788/100)</f>
        <v/>
      </c>
      <c r="Q3788" s="7" t="n"/>
      <c r="R3788" s="7" t="n"/>
      <c r="U3788">
        <f>IF($C3788="","",IF($AJ3788=1,0,IF($AI3788=1,Settings!$C$6,Settings!$C$7))*100)</f>
        <v/>
      </c>
      <c r="V3788" s="7">
        <f>IF($C3788="","",R3788*U3788/100)</f>
        <v/>
      </c>
      <c r="W3788" s="7">
        <f>IF($C3788="","",R3788-V3788)</f>
        <v/>
      </c>
      <c r="X3788" s="7">
        <f>IF($C3788="","",W3788-K3788)</f>
        <v/>
      </c>
      <c r="AB3788" s="7" t="n"/>
      <c r="AE3788" s="11" t="n"/>
      <c r="AG3788">
        <f>IF($C3788="","",IF(COUNTIF($C$2:$C3788,$C3788)=1,1,0))</f>
        <v/>
      </c>
      <c r="AH3788">
        <f>IF($AG3788=1,SUMPRODUCT(--($AK$2:$AK$6001&lt;$AK3788))+1,"")</f>
        <v/>
      </c>
      <c r="AI3788">
        <f>IF($C3788="","",IF(OR($N3788=TRUE(),$N3788="TRUE"),1,0))</f>
        <v/>
      </c>
      <c r="AJ3788">
        <f>IF($C3788="","",IF($T3788="Yes",1,0))</f>
        <v/>
      </c>
      <c r="AK3788">
        <f>IF($AG3788=1,IFERROR(IF(VALUE($C3788)&lt;100000000,VALUE($C3788),1000000000),IFERROR(IF(VALUE(MID($C3788,2,20))&lt;100000000,VALUE(MID($C3788,2,20)),1000000000),1000000000))+ROW()/100000,"")</f>
        <v/>
      </c>
    </row>
    <row r="3789">
      <c r="D3789" s="11" t="n"/>
      <c r="K3789" s="7">
        <f>IF($C3789="","",J3789*W3789/100)</f>
        <v/>
      </c>
      <c r="Q3789" s="7" t="n"/>
      <c r="R3789" s="7" t="n"/>
      <c r="U3789">
        <f>IF($C3789="","",IF($AJ3789=1,0,IF($AI3789=1,Settings!$C$6,Settings!$C$7))*100)</f>
        <v/>
      </c>
      <c r="V3789" s="7">
        <f>IF($C3789="","",R3789*U3789/100)</f>
        <v/>
      </c>
      <c r="W3789" s="7">
        <f>IF($C3789="","",R3789-V3789)</f>
        <v/>
      </c>
      <c r="X3789" s="7">
        <f>IF($C3789="","",W3789-K3789)</f>
        <v/>
      </c>
      <c r="AB3789" s="7" t="n"/>
      <c r="AE3789" s="11" t="n"/>
      <c r="AG3789">
        <f>IF($C3789="","",IF(COUNTIF($C$2:$C3789,$C3789)=1,1,0))</f>
        <v/>
      </c>
      <c r="AH3789">
        <f>IF($AG3789=1,SUMPRODUCT(--($AK$2:$AK$6001&lt;$AK3789))+1,"")</f>
        <v/>
      </c>
      <c r="AI3789">
        <f>IF($C3789="","",IF(OR($N3789=TRUE(),$N3789="TRUE"),1,0))</f>
        <v/>
      </c>
      <c r="AJ3789">
        <f>IF($C3789="","",IF($T3789="Yes",1,0))</f>
        <v/>
      </c>
      <c r="AK3789">
        <f>IF($AG3789=1,IFERROR(IF(VALUE($C3789)&lt;100000000,VALUE($C3789),1000000000),IFERROR(IF(VALUE(MID($C3789,2,20))&lt;100000000,VALUE(MID($C3789,2,20)),1000000000),1000000000))+ROW()/100000,"")</f>
        <v/>
      </c>
    </row>
    <row r="3790">
      <c r="D3790" s="11" t="n"/>
      <c r="K3790" s="7">
        <f>IF($C3790="","",J3790*W3790/100)</f>
        <v/>
      </c>
      <c r="Q3790" s="7" t="n"/>
      <c r="R3790" s="7" t="n"/>
      <c r="U3790">
        <f>IF($C3790="","",IF($AJ3790=1,0,IF($AI3790=1,Settings!$C$6,Settings!$C$7))*100)</f>
        <v/>
      </c>
      <c r="V3790" s="7">
        <f>IF($C3790="","",R3790*U3790/100)</f>
        <v/>
      </c>
      <c r="W3790" s="7">
        <f>IF($C3790="","",R3790-V3790)</f>
        <v/>
      </c>
      <c r="X3790" s="7">
        <f>IF($C3790="","",W3790-K3790)</f>
        <v/>
      </c>
      <c r="AB3790" s="7" t="n"/>
      <c r="AE3790" s="11" t="n"/>
      <c r="AG3790">
        <f>IF($C3790="","",IF(COUNTIF($C$2:$C3790,$C3790)=1,1,0))</f>
        <v/>
      </c>
      <c r="AH3790">
        <f>IF($AG3790=1,SUMPRODUCT(--($AK$2:$AK$6001&lt;$AK3790))+1,"")</f>
        <v/>
      </c>
      <c r="AI3790">
        <f>IF($C3790="","",IF(OR($N3790=TRUE(),$N3790="TRUE"),1,0))</f>
        <v/>
      </c>
      <c r="AJ3790">
        <f>IF($C3790="","",IF($T3790="Yes",1,0))</f>
        <v/>
      </c>
      <c r="AK3790">
        <f>IF($AG3790=1,IFERROR(IF(VALUE($C3790)&lt;100000000,VALUE($C3790),1000000000),IFERROR(IF(VALUE(MID($C3790,2,20))&lt;100000000,VALUE(MID($C3790,2,20)),1000000000),1000000000))+ROW()/100000,"")</f>
        <v/>
      </c>
    </row>
    <row r="3791">
      <c r="D3791" s="11" t="n"/>
      <c r="K3791" s="7">
        <f>IF($C3791="","",J3791*W3791/100)</f>
        <v/>
      </c>
      <c r="Q3791" s="7" t="n"/>
      <c r="R3791" s="7" t="n"/>
      <c r="U3791">
        <f>IF($C3791="","",IF($AJ3791=1,0,IF($AI3791=1,Settings!$C$6,Settings!$C$7))*100)</f>
        <v/>
      </c>
      <c r="V3791" s="7">
        <f>IF($C3791="","",R3791*U3791/100)</f>
        <v/>
      </c>
      <c r="W3791" s="7">
        <f>IF($C3791="","",R3791-V3791)</f>
        <v/>
      </c>
      <c r="X3791" s="7">
        <f>IF($C3791="","",W3791-K3791)</f>
        <v/>
      </c>
      <c r="AB3791" s="7" t="n"/>
      <c r="AE3791" s="11" t="n"/>
      <c r="AG3791">
        <f>IF($C3791="","",IF(COUNTIF($C$2:$C3791,$C3791)=1,1,0))</f>
        <v/>
      </c>
      <c r="AH3791">
        <f>IF($AG3791=1,SUMPRODUCT(--($AK$2:$AK$6001&lt;$AK3791))+1,"")</f>
        <v/>
      </c>
      <c r="AI3791">
        <f>IF($C3791="","",IF(OR($N3791=TRUE(),$N3791="TRUE"),1,0))</f>
        <v/>
      </c>
      <c r="AJ3791">
        <f>IF($C3791="","",IF($T3791="Yes",1,0))</f>
        <v/>
      </c>
      <c r="AK3791">
        <f>IF($AG3791=1,IFERROR(IF(VALUE($C3791)&lt;100000000,VALUE($C3791),1000000000),IFERROR(IF(VALUE(MID($C3791,2,20))&lt;100000000,VALUE(MID($C3791,2,20)),1000000000),1000000000))+ROW()/100000,"")</f>
        <v/>
      </c>
    </row>
    <row r="3792">
      <c r="D3792" s="11" t="n"/>
      <c r="K3792" s="7">
        <f>IF($C3792="","",J3792*W3792/100)</f>
        <v/>
      </c>
      <c r="Q3792" s="7" t="n"/>
      <c r="R3792" s="7" t="n"/>
      <c r="U3792">
        <f>IF($C3792="","",IF($AJ3792=1,0,IF($AI3792=1,Settings!$C$6,Settings!$C$7))*100)</f>
        <v/>
      </c>
      <c r="V3792" s="7">
        <f>IF($C3792="","",R3792*U3792/100)</f>
        <v/>
      </c>
      <c r="W3792" s="7">
        <f>IF($C3792="","",R3792-V3792)</f>
        <v/>
      </c>
      <c r="X3792" s="7">
        <f>IF($C3792="","",W3792-K3792)</f>
        <v/>
      </c>
      <c r="AB3792" s="7" t="n"/>
      <c r="AE3792" s="11" t="n"/>
      <c r="AG3792">
        <f>IF($C3792="","",IF(COUNTIF($C$2:$C3792,$C3792)=1,1,0))</f>
        <v/>
      </c>
      <c r="AH3792">
        <f>IF($AG3792=1,SUMPRODUCT(--($AK$2:$AK$6001&lt;$AK3792))+1,"")</f>
        <v/>
      </c>
      <c r="AI3792">
        <f>IF($C3792="","",IF(OR($N3792=TRUE(),$N3792="TRUE"),1,0))</f>
        <v/>
      </c>
      <c r="AJ3792">
        <f>IF($C3792="","",IF($T3792="Yes",1,0))</f>
        <v/>
      </c>
      <c r="AK3792">
        <f>IF($AG3792=1,IFERROR(IF(VALUE($C3792)&lt;100000000,VALUE($C3792),1000000000),IFERROR(IF(VALUE(MID($C3792,2,20))&lt;100000000,VALUE(MID($C3792,2,20)),1000000000),1000000000))+ROW()/100000,"")</f>
        <v/>
      </c>
    </row>
    <row r="3793">
      <c r="D3793" s="11" t="n"/>
      <c r="K3793" s="7">
        <f>IF($C3793="","",J3793*W3793/100)</f>
        <v/>
      </c>
      <c r="Q3793" s="7" t="n"/>
      <c r="R3793" s="7" t="n"/>
      <c r="U3793">
        <f>IF($C3793="","",IF($AJ3793=1,0,IF($AI3793=1,Settings!$C$6,Settings!$C$7))*100)</f>
        <v/>
      </c>
      <c r="V3793" s="7">
        <f>IF($C3793="","",R3793*U3793/100)</f>
        <v/>
      </c>
      <c r="W3793" s="7">
        <f>IF($C3793="","",R3793-V3793)</f>
        <v/>
      </c>
      <c r="X3793" s="7">
        <f>IF($C3793="","",W3793-K3793)</f>
        <v/>
      </c>
      <c r="AB3793" s="7" t="n"/>
      <c r="AE3793" s="11" t="n"/>
      <c r="AG3793">
        <f>IF($C3793="","",IF(COUNTIF($C$2:$C3793,$C3793)=1,1,0))</f>
        <v/>
      </c>
      <c r="AH3793">
        <f>IF($AG3793=1,SUMPRODUCT(--($AK$2:$AK$6001&lt;$AK3793))+1,"")</f>
        <v/>
      </c>
      <c r="AI3793">
        <f>IF($C3793="","",IF(OR($N3793=TRUE(),$N3793="TRUE"),1,0))</f>
        <v/>
      </c>
      <c r="AJ3793">
        <f>IF($C3793="","",IF($T3793="Yes",1,0))</f>
        <v/>
      </c>
      <c r="AK3793">
        <f>IF($AG3793=1,IFERROR(IF(VALUE($C3793)&lt;100000000,VALUE($C3793),1000000000),IFERROR(IF(VALUE(MID($C3793,2,20))&lt;100000000,VALUE(MID($C3793,2,20)),1000000000),1000000000))+ROW()/100000,"")</f>
        <v/>
      </c>
    </row>
    <row r="3794">
      <c r="D3794" s="11" t="n"/>
      <c r="K3794" s="7">
        <f>IF($C3794="","",J3794*W3794/100)</f>
        <v/>
      </c>
      <c r="Q3794" s="7" t="n"/>
      <c r="R3794" s="7" t="n"/>
      <c r="U3794">
        <f>IF($C3794="","",IF($AJ3794=1,0,IF($AI3794=1,Settings!$C$6,Settings!$C$7))*100)</f>
        <v/>
      </c>
      <c r="V3794" s="7">
        <f>IF($C3794="","",R3794*U3794/100)</f>
        <v/>
      </c>
      <c r="W3794" s="7">
        <f>IF($C3794="","",R3794-V3794)</f>
        <v/>
      </c>
      <c r="X3794" s="7">
        <f>IF($C3794="","",W3794-K3794)</f>
        <v/>
      </c>
      <c r="AB3794" s="7" t="n"/>
      <c r="AE3794" s="11" t="n"/>
      <c r="AG3794">
        <f>IF($C3794="","",IF(COUNTIF($C$2:$C3794,$C3794)=1,1,0))</f>
        <v/>
      </c>
      <c r="AH3794">
        <f>IF($AG3794=1,SUMPRODUCT(--($AK$2:$AK$6001&lt;$AK3794))+1,"")</f>
        <v/>
      </c>
      <c r="AI3794">
        <f>IF($C3794="","",IF(OR($N3794=TRUE(),$N3794="TRUE"),1,0))</f>
        <v/>
      </c>
      <c r="AJ3794">
        <f>IF($C3794="","",IF($T3794="Yes",1,0))</f>
        <v/>
      </c>
      <c r="AK3794">
        <f>IF($AG3794=1,IFERROR(IF(VALUE($C3794)&lt;100000000,VALUE($C3794),1000000000),IFERROR(IF(VALUE(MID($C3794,2,20))&lt;100000000,VALUE(MID($C3794,2,20)),1000000000),1000000000))+ROW()/100000,"")</f>
        <v/>
      </c>
    </row>
    <row r="3795">
      <c r="D3795" s="11" t="n"/>
      <c r="K3795" s="7">
        <f>IF($C3795="","",J3795*W3795/100)</f>
        <v/>
      </c>
      <c r="Q3795" s="7" t="n"/>
      <c r="R3795" s="7" t="n"/>
      <c r="U3795">
        <f>IF($C3795="","",IF($AJ3795=1,0,IF($AI3795=1,Settings!$C$6,Settings!$C$7))*100)</f>
        <v/>
      </c>
      <c r="V3795" s="7">
        <f>IF($C3795="","",R3795*U3795/100)</f>
        <v/>
      </c>
      <c r="W3795" s="7">
        <f>IF($C3795="","",R3795-V3795)</f>
        <v/>
      </c>
      <c r="X3795" s="7">
        <f>IF($C3795="","",W3795-K3795)</f>
        <v/>
      </c>
      <c r="AB3795" s="7" t="n"/>
      <c r="AE3795" s="11" t="n"/>
      <c r="AG3795">
        <f>IF($C3795="","",IF(COUNTIF($C$2:$C3795,$C3795)=1,1,0))</f>
        <v/>
      </c>
      <c r="AH3795">
        <f>IF($AG3795=1,SUMPRODUCT(--($AK$2:$AK$6001&lt;$AK3795))+1,"")</f>
        <v/>
      </c>
      <c r="AI3795">
        <f>IF($C3795="","",IF(OR($N3795=TRUE(),$N3795="TRUE"),1,0))</f>
        <v/>
      </c>
      <c r="AJ3795">
        <f>IF($C3795="","",IF($T3795="Yes",1,0))</f>
        <v/>
      </c>
      <c r="AK3795">
        <f>IF($AG3795=1,IFERROR(IF(VALUE($C3795)&lt;100000000,VALUE($C3795),1000000000),IFERROR(IF(VALUE(MID($C3795,2,20))&lt;100000000,VALUE(MID($C3795,2,20)),1000000000),1000000000))+ROW()/100000,"")</f>
        <v/>
      </c>
    </row>
    <row r="3796">
      <c r="D3796" s="11" t="n"/>
      <c r="K3796" s="7">
        <f>IF($C3796="","",J3796*W3796/100)</f>
        <v/>
      </c>
      <c r="Q3796" s="7" t="n"/>
      <c r="R3796" s="7" t="n"/>
      <c r="U3796">
        <f>IF($C3796="","",IF($AJ3796=1,0,IF($AI3796=1,Settings!$C$6,Settings!$C$7))*100)</f>
        <v/>
      </c>
      <c r="V3796" s="7">
        <f>IF($C3796="","",R3796*U3796/100)</f>
        <v/>
      </c>
      <c r="W3796" s="7">
        <f>IF($C3796="","",R3796-V3796)</f>
        <v/>
      </c>
      <c r="X3796" s="7">
        <f>IF($C3796="","",W3796-K3796)</f>
        <v/>
      </c>
      <c r="AB3796" s="7" t="n"/>
      <c r="AE3796" s="11" t="n"/>
      <c r="AG3796">
        <f>IF($C3796="","",IF(COUNTIF($C$2:$C3796,$C3796)=1,1,0))</f>
        <v/>
      </c>
      <c r="AH3796">
        <f>IF($AG3796=1,SUMPRODUCT(--($AK$2:$AK$6001&lt;$AK3796))+1,"")</f>
        <v/>
      </c>
      <c r="AI3796">
        <f>IF($C3796="","",IF(OR($N3796=TRUE(),$N3796="TRUE"),1,0))</f>
        <v/>
      </c>
      <c r="AJ3796">
        <f>IF($C3796="","",IF($T3796="Yes",1,0))</f>
        <v/>
      </c>
      <c r="AK3796">
        <f>IF($AG3796=1,IFERROR(IF(VALUE($C3796)&lt;100000000,VALUE($C3796),1000000000),IFERROR(IF(VALUE(MID($C3796,2,20))&lt;100000000,VALUE(MID($C3796,2,20)),1000000000),1000000000))+ROW()/100000,"")</f>
        <v/>
      </c>
    </row>
    <row r="3797">
      <c r="D3797" s="11" t="n"/>
      <c r="K3797" s="7">
        <f>IF($C3797="","",J3797*W3797/100)</f>
        <v/>
      </c>
      <c r="Q3797" s="7" t="n"/>
      <c r="R3797" s="7" t="n"/>
      <c r="U3797">
        <f>IF($C3797="","",IF($AJ3797=1,0,IF($AI3797=1,Settings!$C$6,Settings!$C$7))*100)</f>
        <v/>
      </c>
      <c r="V3797" s="7">
        <f>IF($C3797="","",R3797*U3797/100)</f>
        <v/>
      </c>
      <c r="W3797" s="7">
        <f>IF($C3797="","",R3797-V3797)</f>
        <v/>
      </c>
      <c r="X3797" s="7">
        <f>IF($C3797="","",W3797-K3797)</f>
        <v/>
      </c>
      <c r="AB3797" s="7" t="n"/>
      <c r="AE3797" s="11" t="n"/>
      <c r="AG3797">
        <f>IF($C3797="","",IF(COUNTIF($C$2:$C3797,$C3797)=1,1,0))</f>
        <v/>
      </c>
      <c r="AH3797">
        <f>IF($AG3797=1,SUMPRODUCT(--($AK$2:$AK$6001&lt;$AK3797))+1,"")</f>
        <v/>
      </c>
      <c r="AI3797">
        <f>IF($C3797="","",IF(OR($N3797=TRUE(),$N3797="TRUE"),1,0))</f>
        <v/>
      </c>
      <c r="AJ3797">
        <f>IF($C3797="","",IF($T3797="Yes",1,0))</f>
        <v/>
      </c>
      <c r="AK3797">
        <f>IF($AG3797=1,IFERROR(IF(VALUE($C3797)&lt;100000000,VALUE($C3797),1000000000),IFERROR(IF(VALUE(MID($C3797,2,20))&lt;100000000,VALUE(MID($C3797,2,20)),1000000000),1000000000))+ROW()/100000,"")</f>
        <v/>
      </c>
    </row>
    <row r="3798">
      <c r="D3798" s="11" t="n"/>
      <c r="K3798" s="7">
        <f>IF($C3798="","",J3798*W3798/100)</f>
        <v/>
      </c>
      <c r="Q3798" s="7" t="n"/>
      <c r="R3798" s="7" t="n"/>
      <c r="U3798">
        <f>IF($C3798="","",IF($AJ3798=1,0,IF($AI3798=1,Settings!$C$6,Settings!$C$7))*100)</f>
        <v/>
      </c>
      <c r="V3798" s="7">
        <f>IF($C3798="","",R3798*U3798/100)</f>
        <v/>
      </c>
      <c r="W3798" s="7">
        <f>IF($C3798="","",R3798-V3798)</f>
        <v/>
      </c>
      <c r="X3798" s="7">
        <f>IF($C3798="","",W3798-K3798)</f>
        <v/>
      </c>
      <c r="AB3798" s="7" t="n"/>
      <c r="AE3798" s="11" t="n"/>
      <c r="AG3798">
        <f>IF($C3798="","",IF(COUNTIF($C$2:$C3798,$C3798)=1,1,0))</f>
        <v/>
      </c>
      <c r="AH3798">
        <f>IF($AG3798=1,SUMPRODUCT(--($AK$2:$AK$6001&lt;$AK3798))+1,"")</f>
        <v/>
      </c>
      <c r="AI3798">
        <f>IF($C3798="","",IF(OR($N3798=TRUE(),$N3798="TRUE"),1,0))</f>
        <v/>
      </c>
      <c r="AJ3798">
        <f>IF($C3798="","",IF($T3798="Yes",1,0))</f>
        <v/>
      </c>
      <c r="AK3798">
        <f>IF($AG3798=1,IFERROR(IF(VALUE($C3798)&lt;100000000,VALUE($C3798),1000000000),IFERROR(IF(VALUE(MID($C3798,2,20))&lt;100000000,VALUE(MID($C3798,2,20)),1000000000),1000000000))+ROW()/100000,"")</f>
        <v/>
      </c>
    </row>
    <row r="3799">
      <c r="D3799" s="11" t="n"/>
      <c r="K3799" s="7">
        <f>IF($C3799="","",J3799*W3799/100)</f>
        <v/>
      </c>
      <c r="Q3799" s="7" t="n"/>
      <c r="R3799" s="7" t="n"/>
      <c r="U3799">
        <f>IF($C3799="","",IF($AJ3799=1,0,IF($AI3799=1,Settings!$C$6,Settings!$C$7))*100)</f>
        <v/>
      </c>
      <c r="V3799" s="7">
        <f>IF($C3799="","",R3799*U3799/100)</f>
        <v/>
      </c>
      <c r="W3799" s="7">
        <f>IF($C3799="","",R3799-V3799)</f>
        <v/>
      </c>
      <c r="X3799" s="7">
        <f>IF($C3799="","",W3799-K3799)</f>
        <v/>
      </c>
      <c r="AB3799" s="7" t="n"/>
      <c r="AE3799" s="11" t="n"/>
      <c r="AG3799">
        <f>IF($C3799="","",IF(COUNTIF($C$2:$C3799,$C3799)=1,1,0))</f>
        <v/>
      </c>
      <c r="AH3799">
        <f>IF($AG3799=1,SUMPRODUCT(--($AK$2:$AK$6001&lt;$AK3799))+1,"")</f>
        <v/>
      </c>
      <c r="AI3799">
        <f>IF($C3799="","",IF(OR($N3799=TRUE(),$N3799="TRUE"),1,0))</f>
        <v/>
      </c>
      <c r="AJ3799">
        <f>IF($C3799="","",IF($T3799="Yes",1,0))</f>
        <v/>
      </c>
      <c r="AK3799">
        <f>IF($AG3799=1,IFERROR(IF(VALUE($C3799)&lt;100000000,VALUE($C3799),1000000000),IFERROR(IF(VALUE(MID($C3799,2,20))&lt;100000000,VALUE(MID($C3799,2,20)),1000000000),1000000000))+ROW()/100000,"")</f>
        <v/>
      </c>
    </row>
    <row r="3800">
      <c r="D3800" s="11" t="n"/>
      <c r="K3800" s="7">
        <f>IF($C3800="","",J3800*W3800/100)</f>
        <v/>
      </c>
      <c r="Q3800" s="7" t="n"/>
      <c r="R3800" s="7" t="n"/>
      <c r="U3800">
        <f>IF($C3800="","",IF($AJ3800=1,0,IF($AI3800=1,Settings!$C$6,Settings!$C$7))*100)</f>
        <v/>
      </c>
      <c r="V3800" s="7">
        <f>IF($C3800="","",R3800*U3800/100)</f>
        <v/>
      </c>
      <c r="W3800" s="7">
        <f>IF($C3800="","",R3800-V3800)</f>
        <v/>
      </c>
      <c r="X3800" s="7">
        <f>IF($C3800="","",W3800-K3800)</f>
        <v/>
      </c>
      <c r="AB3800" s="7" t="n"/>
      <c r="AE3800" s="11" t="n"/>
      <c r="AG3800">
        <f>IF($C3800="","",IF(COUNTIF($C$2:$C3800,$C3800)=1,1,0))</f>
        <v/>
      </c>
      <c r="AH3800">
        <f>IF($AG3800=1,SUMPRODUCT(--($AK$2:$AK$6001&lt;$AK3800))+1,"")</f>
        <v/>
      </c>
      <c r="AI3800">
        <f>IF($C3800="","",IF(OR($N3800=TRUE(),$N3800="TRUE"),1,0))</f>
        <v/>
      </c>
      <c r="AJ3800">
        <f>IF($C3800="","",IF($T3800="Yes",1,0))</f>
        <v/>
      </c>
      <c r="AK3800">
        <f>IF($AG3800=1,IFERROR(IF(VALUE($C3800)&lt;100000000,VALUE($C3800),1000000000),IFERROR(IF(VALUE(MID($C3800,2,20))&lt;100000000,VALUE(MID($C3800,2,20)),1000000000),1000000000))+ROW()/100000,"")</f>
        <v/>
      </c>
    </row>
    <row r="3801">
      <c r="D3801" s="11" t="n"/>
      <c r="K3801" s="7">
        <f>IF($C3801="","",J3801*W3801/100)</f>
        <v/>
      </c>
      <c r="Q3801" s="7" t="n"/>
      <c r="R3801" s="7" t="n"/>
      <c r="U3801">
        <f>IF($C3801="","",IF($AJ3801=1,0,IF($AI3801=1,Settings!$C$6,Settings!$C$7))*100)</f>
        <v/>
      </c>
      <c r="V3801" s="7">
        <f>IF($C3801="","",R3801*U3801/100)</f>
        <v/>
      </c>
      <c r="W3801" s="7">
        <f>IF($C3801="","",R3801-V3801)</f>
        <v/>
      </c>
      <c r="X3801" s="7">
        <f>IF($C3801="","",W3801-K3801)</f>
        <v/>
      </c>
      <c r="AB3801" s="7" t="n"/>
      <c r="AE3801" s="11" t="n"/>
      <c r="AG3801">
        <f>IF($C3801="","",IF(COUNTIF($C$2:$C3801,$C3801)=1,1,0))</f>
        <v/>
      </c>
      <c r="AH3801">
        <f>IF($AG3801=1,SUMPRODUCT(--($AK$2:$AK$6001&lt;$AK3801))+1,"")</f>
        <v/>
      </c>
      <c r="AI3801">
        <f>IF($C3801="","",IF(OR($N3801=TRUE(),$N3801="TRUE"),1,0))</f>
        <v/>
      </c>
      <c r="AJ3801">
        <f>IF($C3801="","",IF($T3801="Yes",1,0))</f>
        <v/>
      </c>
      <c r="AK3801">
        <f>IF($AG3801=1,IFERROR(IF(VALUE($C3801)&lt;100000000,VALUE($C3801),1000000000),IFERROR(IF(VALUE(MID($C3801,2,20))&lt;100000000,VALUE(MID($C3801,2,20)),1000000000),1000000000))+ROW()/100000,"")</f>
        <v/>
      </c>
    </row>
    <row r="3802">
      <c r="D3802" s="11" t="n"/>
      <c r="K3802" s="7">
        <f>IF($C3802="","",J3802*W3802/100)</f>
        <v/>
      </c>
      <c r="Q3802" s="7" t="n"/>
      <c r="R3802" s="7" t="n"/>
      <c r="U3802">
        <f>IF($C3802="","",IF($AJ3802=1,0,IF($AI3802=1,Settings!$C$6,Settings!$C$7))*100)</f>
        <v/>
      </c>
      <c r="V3802" s="7">
        <f>IF($C3802="","",R3802*U3802/100)</f>
        <v/>
      </c>
      <c r="W3802" s="7">
        <f>IF($C3802="","",R3802-V3802)</f>
        <v/>
      </c>
      <c r="X3802" s="7">
        <f>IF($C3802="","",W3802-K3802)</f>
        <v/>
      </c>
      <c r="AB3802" s="7" t="n"/>
      <c r="AE3802" s="11" t="n"/>
      <c r="AG3802">
        <f>IF($C3802="","",IF(COUNTIF($C$2:$C3802,$C3802)=1,1,0))</f>
        <v/>
      </c>
      <c r="AH3802">
        <f>IF($AG3802=1,SUMPRODUCT(--($AK$2:$AK$6001&lt;$AK3802))+1,"")</f>
        <v/>
      </c>
      <c r="AI3802">
        <f>IF($C3802="","",IF(OR($N3802=TRUE(),$N3802="TRUE"),1,0))</f>
        <v/>
      </c>
      <c r="AJ3802">
        <f>IF($C3802="","",IF($T3802="Yes",1,0))</f>
        <v/>
      </c>
      <c r="AK3802">
        <f>IF($AG3802=1,IFERROR(IF(VALUE($C3802)&lt;100000000,VALUE($C3802),1000000000),IFERROR(IF(VALUE(MID($C3802,2,20))&lt;100000000,VALUE(MID($C3802,2,20)),1000000000),1000000000))+ROW()/100000,"")</f>
        <v/>
      </c>
    </row>
    <row r="3803">
      <c r="D3803" s="11" t="n"/>
      <c r="K3803" s="7">
        <f>IF($C3803="","",J3803*W3803/100)</f>
        <v/>
      </c>
      <c r="Q3803" s="7" t="n"/>
      <c r="R3803" s="7" t="n"/>
      <c r="U3803">
        <f>IF($C3803="","",IF($AJ3803=1,0,IF($AI3803=1,Settings!$C$6,Settings!$C$7))*100)</f>
        <v/>
      </c>
      <c r="V3803" s="7">
        <f>IF($C3803="","",R3803*U3803/100)</f>
        <v/>
      </c>
      <c r="W3803" s="7">
        <f>IF($C3803="","",R3803-V3803)</f>
        <v/>
      </c>
      <c r="X3803" s="7">
        <f>IF($C3803="","",W3803-K3803)</f>
        <v/>
      </c>
      <c r="AB3803" s="7" t="n"/>
      <c r="AE3803" s="11" t="n"/>
      <c r="AG3803">
        <f>IF($C3803="","",IF(COUNTIF($C$2:$C3803,$C3803)=1,1,0))</f>
        <v/>
      </c>
      <c r="AH3803">
        <f>IF($AG3803=1,SUMPRODUCT(--($AK$2:$AK$6001&lt;$AK3803))+1,"")</f>
        <v/>
      </c>
      <c r="AI3803">
        <f>IF($C3803="","",IF(OR($N3803=TRUE(),$N3803="TRUE"),1,0))</f>
        <v/>
      </c>
      <c r="AJ3803">
        <f>IF($C3803="","",IF($T3803="Yes",1,0))</f>
        <v/>
      </c>
      <c r="AK3803">
        <f>IF($AG3803=1,IFERROR(IF(VALUE($C3803)&lt;100000000,VALUE($C3803),1000000000),IFERROR(IF(VALUE(MID($C3803,2,20))&lt;100000000,VALUE(MID($C3803,2,20)),1000000000),1000000000))+ROW()/100000,"")</f>
        <v/>
      </c>
    </row>
    <row r="3804">
      <c r="D3804" s="11" t="n"/>
      <c r="K3804" s="7">
        <f>IF($C3804="","",J3804*W3804/100)</f>
        <v/>
      </c>
      <c r="Q3804" s="7" t="n"/>
      <c r="R3804" s="7" t="n"/>
      <c r="U3804">
        <f>IF($C3804="","",IF($AJ3804=1,0,IF($AI3804=1,Settings!$C$6,Settings!$C$7))*100)</f>
        <v/>
      </c>
      <c r="V3804" s="7">
        <f>IF($C3804="","",R3804*U3804/100)</f>
        <v/>
      </c>
      <c r="W3804" s="7">
        <f>IF($C3804="","",R3804-V3804)</f>
        <v/>
      </c>
      <c r="X3804" s="7">
        <f>IF($C3804="","",W3804-K3804)</f>
        <v/>
      </c>
      <c r="AB3804" s="7" t="n"/>
      <c r="AE3804" s="11" t="n"/>
      <c r="AG3804">
        <f>IF($C3804="","",IF(COUNTIF($C$2:$C3804,$C3804)=1,1,0))</f>
        <v/>
      </c>
      <c r="AH3804">
        <f>IF($AG3804=1,SUMPRODUCT(--($AK$2:$AK$6001&lt;$AK3804))+1,"")</f>
        <v/>
      </c>
      <c r="AI3804">
        <f>IF($C3804="","",IF(OR($N3804=TRUE(),$N3804="TRUE"),1,0))</f>
        <v/>
      </c>
      <c r="AJ3804">
        <f>IF($C3804="","",IF($T3804="Yes",1,0))</f>
        <v/>
      </c>
      <c r="AK3804">
        <f>IF($AG3804=1,IFERROR(IF(VALUE($C3804)&lt;100000000,VALUE($C3804),1000000000),IFERROR(IF(VALUE(MID($C3804,2,20))&lt;100000000,VALUE(MID($C3804,2,20)),1000000000),1000000000))+ROW()/100000,"")</f>
        <v/>
      </c>
    </row>
    <row r="3805">
      <c r="D3805" s="11" t="n"/>
      <c r="K3805" s="7">
        <f>IF($C3805="","",J3805*W3805/100)</f>
        <v/>
      </c>
      <c r="Q3805" s="7" t="n"/>
      <c r="R3805" s="7" t="n"/>
      <c r="U3805">
        <f>IF($C3805="","",IF($AJ3805=1,0,IF($AI3805=1,Settings!$C$6,Settings!$C$7))*100)</f>
        <v/>
      </c>
      <c r="V3805" s="7">
        <f>IF($C3805="","",R3805*U3805/100)</f>
        <v/>
      </c>
      <c r="W3805" s="7">
        <f>IF($C3805="","",R3805-V3805)</f>
        <v/>
      </c>
      <c r="X3805" s="7">
        <f>IF($C3805="","",W3805-K3805)</f>
        <v/>
      </c>
      <c r="AB3805" s="7" t="n"/>
      <c r="AE3805" s="11" t="n"/>
      <c r="AG3805">
        <f>IF($C3805="","",IF(COUNTIF($C$2:$C3805,$C3805)=1,1,0))</f>
        <v/>
      </c>
      <c r="AH3805">
        <f>IF($AG3805=1,SUMPRODUCT(--($AK$2:$AK$6001&lt;$AK3805))+1,"")</f>
        <v/>
      </c>
      <c r="AI3805">
        <f>IF($C3805="","",IF(OR($N3805=TRUE(),$N3805="TRUE"),1,0))</f>
        <v/>
      </c>
      <c r="AJ3805">
        <f>IF($C3805="","",IF($T3805="Yes",1,0))</f>
        <v/>
      </c>
      <c r="AK3805">
        <f>IF($AG3805=1,IFERROR(IF(VALUE($C3805)&lt;100000000,VALUE($C3805),1000000000),IFERROR(IF(VALUE(MID($C3805,2,20))&lt;100000000,VALUE(MID($C3805,2,20)),1000000000),1000000000))+ROW()/100000,"")</f>
        <v/>
      </c>
    </row>
    <row r="3806">
      <c r="D3806" s="11" t="n"/>
      <c r="K3806" s="7">
        <f>IF($C3806="","",J3806*W3806/100)</f>
        <v/>
      </c>
      <c r="Q3806" s="7" t="n"/>
      <c r="R3806" s="7" t="n"/>
      <c r="U3806">
        <f>IF($C3806="","",IF($AJ3806=1,0,IF($AI3806=1,Settings!$C$6,Settings!$C$7))*100)</f>
        <v/>
      </c>
      <c r="V3806" s="7">
        <f>IF($C3806="","",R3806*U3806/100)</f>
        <v/>
      </c>
      <c r="W3806" s="7">
        <f>IF($C3806="","",R3806-V3806)</f>
        <v/>
      </c>
      <c r="X3806" s="7">
        <f>IF($C3806="","",W3806-K3806)</f>
        <v/>
      </c>
      <c r="AB3806" s="7" t="n"/>
      <c r="AE3806" s="11" t="n"/>
      <c r="AG3806">
        <f>IF($C3806="","",IF(COUNTIF($C$2:$C3806,$C3806)=1,1,0))</f>
        <v/>
      </c>
      <c r="AH3806">
        <f>IF($AG3806=1,SUMPRODUCT(--($AK$2:$AK$6001&lt;$AK3806))+1,"")</f>
        <v/>
      </c>
      <c r="AI3806">
        <f>IF($C3806="","",IF(OR($N3806=TRUE(),$N3806="TRUE"),1,0))</f>
        <v/>
      </c>
      <c r="AJ3806">
        <f>IF($C3806="","",IF($T3806="Yes",1,0))</f>
        <v/>
      </c>
      <c r="AK3806">
        <f>IF($AG3806=1,IFERROR(IF(VALUE($C3806)&lt;100000000,VALUE($C3806),1000000000),IFERROR(IF(VALUE(MID($C3806,2,20))&lt;100000000,VALUE(MID($C3806,2,20)),1000000000),1000000000))+ROW()/100000,"")</f>
        <v/>
      </c>
    </row>
    <row r="3807">
      <c r="D3807" s="11" t="n"/>
      <c r="K3807" s="7">
        <f>IF($C3807="","",J3807*W3807/100)</f>
        <v/>
      </c>
      <c r="Q3807" s="7" t="n"/>
      <c r="R3807" s="7" t="n"/>
      <c r="U3807">
        <f>IF($C3807="","",IF($AJ3807=1,0,IF($AI3807=1,Settings!$C$6,Settings!$C$7))*100)</f>
        <v/>
      </c>
      <c r="V3807" s="7">
        <f>IF($C3807="","",R3807*U3807/100)</f>
        <v/>
      </c>
      <c r="W3807" s="7">
        <f>IF($C3807="","",R3807-V3807)</f>
        <v/>
      </c>
      <c r="X3807" s="7">
        <f>IF($C3807="","",W3807-K3807)</f>
        <v/>
      </c>
      <c r="AB3807" s="7" t="n"/>
      <c r="AE3807" s="11" t="n"/>
      <c r="AG3807">
        <f>IF($C3807="","",IF(COUNTIF($C$2:$C3807,$C3807)=1,1,0))</f>
        <v/>
      </c>
      <c r="AH3807">
        <f>IF($AG3807=1,SUMPRODUCT(--($AK$2:$AK$6001&lt;$AK3807))+1,"")</f>
        <v/>
      </c>
      <c r="AI3807">
        <f>IF($C3807="","",IF(OR($N3807=TRUE(),$N3807="TRUE"),1,0))</f>
        <v/>
      </c>
      <c r="AJ3807">
        <f>IF($C3807="","",IF($T3807="Yes",1,0))</f>
        <v/>
      </c>
      <c r="AK3807">
        <f>IF($AG3807=1,IFERROR(IF(VALUE($C3807)&lt;100000000,VALUE($C3807),1000000000),IFERROR(IF(VALUE(MID($C3807,2,20))&lt;100000000,VALUE(MID($C3807,2,20)),1000000000),1000000000))+ROW()/100000,"")</f>
        <v/>
      </c>
    </row>
    <row r="3808">
      <c r="D3808" s="11" t="n"/>
      <c r="K3808" s="7">
        <f>IF($C3808="","",J3808*W3808/100)</f>
        <v/>
      </c>
      <c r="Q3808" s="7" t="n"/>
      <c r="R3808" s="7" t="n"/>
      <c r="U3808">
        <f>IF($C3808="","",IF($AJ3808=1,0,IF($AI3808=1,Settings!$C$6,Settings!$C$7))*100)</f>
        <v/>
      </c>
      <c r="V3808" s="7">
        <f>IF($C3808="","",R3808*U3808/100)</f>
        <v/>
      </c>
      <c r="W3808" s="7">
        <f>IF($C3808="","",R3808-V3808)</f>
        <v/>
      </c>
      <c r="X3808" s="7">
        <f>IF($C3808="","",W3808-K3808)</f>
        <v/>
      </c>
      <c r="AB3808" s="7" t="n"/>
      <c r="AE3808" s="11" t="n"/>
      <c r="AG3808">
        <f>IF($C3808="","",IF(COUNTIF($C$2:$C3808,$C3808)=1,1,0))</f>
        <v/>
      </c>
      <c r="AH3808">
        <f>IF($AG3808=1,SUMPRODUCT(--($AK$2:$AK$6001&lt;$AK3808))+1,"")</f>
        <v/>
      </c>
      <c r="AI3808">
        <f>IF($C3808="","",IF(OR($N3808=TRUE(),$N3808="TRUE"),1,0))</f>
        <v/>
      </c>
      <c r="AJ3808">
        <f>IF($C3808="","",IF($T3808="Yes",1,0))</f>
        <v/>
      </c>
      <c r="AK3808">
        <f>IF($AG3808=1,IFERROR(IF(VALUE($C3808)&lt;100000000,VALUE($C3808),1000000000),IFERROR(IF(VALUE(MID($C3808,2,20))&lt;100000000,VALUE(MID($C3808,2,20)),1000000000),1000000000))+ROW()/100000,"")</f>
        <v/>
      </c>
    </row>
    <row r="3809">
      <c r="D3809" s="11" t="n"/>
      <c r="K3809" s="7">
        <f>IF($C3809="","",J3809*W3809/100)</f>
        <v/>
      </c>
      <c r="Q3809" s="7" t="n"/>
      <c r="R3809" s="7" t="n"/>
      <c r="U3809">
        <f>IF($C3809="","",IF($AJ3809=1,0,IF($AI3809=1,Settings!$C$6,Settings!$C$7))*100)</f>
        <v/>
      </c>
      <c r="V3809" s="7">
        <f>IF($C3809="","",R3809*U3809/100)</f>
        <v/>
      </c>
      <c r="W3809" s="7">
        <f>IF($C3809="","",R3809-V3809)</f>
        <v/>
      </c>
      <c r="X3809" s="7">
        <f>IF($C3809="","",W3809-K3809)</f>
        <v/>
      </c>
      <c r="AB3809" s="7" t="n"/>
      <c r="AE3809" s="11" t="n"/>
      <c r="AG3809">
        <f>IF($C3809="","",IF(COUNTIF($C$2:$C3809,$C3809)=1,1,0))</f>
        <v/>
      </c>
      <c r="AH3809">
        <f>IF($AG3809=1,SUMPRODUCT(--($AK$2:$AK$6001&lt;$AK3809))+1,"")</f>
        <v/>
      </c>
      <c r="AI3809">
        <f>IF($C3809="","",IF(OR($N3809=TRUE(),$N3809="TRUE"),1,0))</f>
        <v/>
      </c>
      <c r="AJ3809">
        <f>IF($C3809="","",IF($T3809="Yes",1,0))</f>
        <v/>
      </c>
      <c r="AK3809">
        <f>IF($AG3809=1,IFERROR(IF(VALUE($C3809)&lt;100000000,VALUE($C3809),1000000000),IFERROR(IF(VALUE(MID($C3809,2,20))&lt;100000000,VALUE(MID($C3809,2,20)),1000000000),1000000000))+ROW()/100000,"")</f>
        <v/>
      </c>
    </row>
    <row r="3810">
      <c r="D3810" s="11" t="n"/>
      <c r="K3810" s="7">
        <f>IF($C3810="","",J3810*W3810/100)</f>
        <v/>
      </c>
      <c r="Q3810" s="7" t="n"/>
      <c r="R3810" s="7" t="n"/>
      <c r="U3810">
        <f>IF($C3810="","",IF($AJ3810=1,0,IF($AI3810=1,Settings!$C$6,Settings!$C$7))*100)</f>
        <v/>
      </c>
      <c r="V3810" s="7">
        <f>IF($C3810="","",R3810*U3810/100)</f>
        <v/>
      </c>
      <c r="W3810" s="7">
        <f>IF($C3810="","",R3810-V3810)</f>
        <v/>
      </c>
      <c r="X3810" s="7">
        <f>IF($C3810="","",W3810-K3810)</f>
        <v/>
      </c>
      <c r="AB3810" s="7" t="n"/>
      <c r="AE3810" s="11" t="n"/>
      <c r="AG3810">
        <f>IF($C3810="","",IF(COUNTIF($C$2:$C3810,$C3810)=1,1,0))</f>
        <v/>
      </c>
      <c r="AH3810">
        <f>IF($AG3810=1,SUMPRODUCT(--($AK$2:$AK$6001&lt;$AK3810))+1,"")</f>
        <v/>
      </c>
      <c r="AI3810">
        <f>IF($C3810="","",IF(OR($N3810=TRUE(),$N3810="TRUE"),1,0))</f>
        <v/>
      </c>
      <c r="AJ3810">
        <f>IF($C3810="","",IF($T3810="Yes",1,0))</f>
        <v/>
      </c>
      <c r="AK3810">
        <f>IF($AG3810=1,IFERROR(IF(VALUE($C3810)&lt;100000000,VALUE($C3810),1000000000),IFERROR(IF(VALUE(MID($C3810,2,20))&lt;100000000,VALUE(MID($C3810,2,20)),1000000000),1000000000))+ROW()/100000,"")</f>
        <v/>
      </c>
    </row>
    <row r="3811">
      <c r="D3811" s="11" t="n"/>
      <c r="K3811" s="7">
        <f>IF($C3811="","",J3811*W3811/100)</f>
        <v/>
      </c>
      <c r="Q3811" s="7" t="n"/>
      <c r="R3811" s="7" t="n"/>
      <c r="U3811">
        <f>IF($C3811="","",IF($AJ3811=1,0,IF($AI3811=1,Settings!$C$6,Settings!$C$7))*100)</f>
        <v/>
      </c>
      <c r="V3811" s="7">
        <f>IF($C3811="","",R3811*U3811/100)</f>
        <v/>
      </c>
      <c r="W3811" s="7">
        <f>IF($C3811="","",R3811-V3811)</f>
        <v/>
      </c>
      <c r="X3811" s="7">
        <f>IF($C3811="","",W3811-K3811)</f>
        <v/>
      </c>
      <c r="AB3811" s="7" t="n"/>
      <c r="AE3811" s="11" t="n"/>
      <c r="AG3811">
        <f>IF($C3811="","",IF(COUNTIF($C$2:$C3811,$C3811)=1,1,0))</f>
        <v/>
      </c>
      <c r="AH3811">
        <f>IF($AG3811=1,SUMPRODUCT(--($AK$2:$AK$6001&lt;$AK3811))+1,"")</f>
        <v/>
      </c>
      <c r="AI3811">
        <f>IF($C3811="","",IF(OR($N3811=TRUE(),$N3811="TRUE"),1,0))</f>
        <v/>
      </c>
      <c r="AJ3811">
        <f>IF($C3811="","",IF($T3811="Yes",1,0))</f>
        <v/>
      </c>
      <c r="AK3811">
        <f>IF($AG3811=1,IFERROR(IF(VALUE($C3811)&lt;100000000,VALUE($C3811),1000000000),IFERROR(IF(VALUE(MID($C3811,2,20))&lt;100000000,VALUE(MID($C3811,2,20)),1000000000),1000000000))+ROW()/100000,"")</f>
        <v/>
      </c>
    </row>
    <row r="3812">
      <c r="D3812" s="11" t="n"/>
      <c r="K3812" s="7">
        <f>IF($C3812="","",J3812*W3812/100)</f>
        <v/>
      </c>
      <c r="Q3812" s="7" t="n"/>
      <c r="R3812" s="7" t="n"/>
      <c r="U3812">
        <f>IF($C3812="","",IF($AJ3812=1,0,IF($AI3812=1,Settings!$C$6,Settings!$C$7))*100)</f>
        <v/>
      </c>
      <c r="V3812" s="7">
        <f>IF($C3812="","",R3812*U3812/100)</f>
        <v/>
      </c>
      <c r="W3812" s="7">
        <f>IF($C3812="","",R3812-V3812)</f>
        <v/>
      </c>
      <c r="X3812" s="7">
        <f>IF($C3812="","",W3812-K3812)</f>
        <v/>
      </c>
      <c r="AB3812" s="7" t="n"/>
      <c r="AE3812" s="11" t="n"/>
      <c r="AG3812">
        <f>IF($C3812="","",IF(COUNTIF($C$2:$C3812,$C3812)=1,1,0))</f>
        <v/>
      </c>
      <c r="AH3812">
        <f>IF($AG3812=1,SUMPRODUCT(--($AK$2:$AK$6001&lt;$AK3812))+1,"")</f>
        <v/>
      </c>
      <c r="AI3812">
        <f>IF($C3812="","",IF(OR($N3812=TRUE(),$N3812="TRUE"),1,0))</f>
        <v/>
      </c>
      <c r="AJ3812">
        <f>IF($C3812="","",IF($T3812="Yes",1,0))</f>
        <v/>
      </c>
      <c r="AK3812">
        <f>IF($AG3812=1,IFERROR(IF(VALUE($C3812)&lt;100000000,VALUE($C3812),1000000000),IFERROR(IF(VALUE(MID($C3812,2,20))&lt;100000000,VALUE(MID($C3812,2,20)),1000000000),1000000000))+ROW()/100000,"")</f>
        <v/>
      </c>
    </row>
    <row r="3813">
      <c r="D3813" s="11" t="n"/>
      <c r="K3813" s="7">
        <f>IF($C3813="","",J3813*W3813/100)</f>
        <v/>
      </c>
      <c r="Q3813" s="7" t="n"/>
      <c r="R3813" s="7" t="n"/>
      <c r="U3813">
        <f>IF($C3813="","",IF($AJ3813=1,0,IF($AI3813=1,Settings!$C$6,Settings!$C$7))*100)</f>
        <v/>
      </c>
      <c r="V3813" s="7">
        <f>IF($C3813="","",R3813*U3813/100)</f>
        <v/>
      </c>
      <c r="W3813" s="7">
        <f>IF($C3813="","",R3813-V3813)</f>
        <v/>
      </c>
      <c r="X3813" s="7">
        <f>IF($C3813="","",W3813-K3813)</f>
        <v/>
      </c>
      <c r="AB3813" s="7" t="n"/>
      <c r="AE3813" s="11" t="n"/>
      <c r="AG3813">
        <f>IF($C3813="","",IF(COUNTIF($C$2:$C3813,$C3813)=1,1,0))</f>
        <v/>
      </c>
      <c r="AH3813">
        <f>IF($AG3813=1,SUMPRODUCT(--($AK$2:$AK$6001&lt;$AK3813))+1,"")</f>
        <v/>
      </c>
      <c r="AI3813">
        <f>IF($C3813="","",IF(OR($N3813=TRUE(),$N3813="TRUE"),1,0))</f>
        <v/>
      </c>
      <c r="AJ3813">
        <f>IF($C3813="","",IF($T3813="Yes",1,0))</f>
        <v/>
      </c>
      <c r="AK3813">
        <f>IF($AG3813=1,IFERROR(IF(VALUE($C3813)&lt;100000000,VALUE($C3813),1000000000),IFERROR(IF(VALUE(MID($C3813,2,20))&lt;100000000,VALUE(MID($C3813,2,20)),1000000000),1000000000))+ROW()/100000,"")</f>
        <v/>
      </c>
    </row>
    <row r="3814">
      <c r="D3814" s="11" t="n"/>
      <c r="K3814" s="7">
        <f>IF($C3814="","",J3814*W3814/100)</f>
        <v/>
      </c>
      <c r="Q3814" s="7" t="n"/>
      <c r="R3814" s="7" t="n"/>
      <c r="U3814">
        <f>IF($C3814="","",IF($AJ3814=1,0,IF($AI3814=1,Settings!$C$6,Settings!$C$7))*100)</f>
        <v/>
      </c>
      <c r="V3814" s="7">
        <f>IF($C3814="","",R3814*U3814/100)</f>
        <v/>
      </c>
      <c r="W3814" s="7">
        <f>IF($C3814="","",R3814-V3814)</f>
        <v/>
      </c>
      <c r="X3814" s="7">
        <f>IF($C3814="","",W3814-K3814)</f>
        <v/>
      </c>
      <c r="AB3814" s="7" t="n"/>
      <c r="AE3814" s="11" t="n"/>
      <c r="AG3814">
        <f>IF($C3814="","",IF(COUNTIF($C$2:$C3814,$C3814)=1,1,0))</f>
        <v/>
      </c>
      <c r="AH3814">
        <f>IF($AG3814=1,SUMPRODUCT(--($AK$2:$AK$6001&lt;$AK3814))+1,"")</f>
        <v/>
      </c>
      <c r="AI3814">
        <f>IF($C3814="","",IF(OR($N3814=TRUE(),$N3814="TRUE"),1,0))</f>
        <v/>
      </c>
      <c r="AJ3814">
        <f>IF($C3814="","",IF($T3814="Yes",1,0))</f>
        <v/>
      </c>
      <c r="AK3814">
        <f>IF($AG3814=1,IFERROR(IF(VALUE($C3814)&lt;100000000,VALUE($C3814),1000000000),IFERROR(IF(VALUE(MID($C3814,2,20))&lt;100000000,VALUE(MID($C3814,2,20)),1000000000),1000000000))+ROW()/100000,"")</f>
        <v/>
      </c>
    </row>
    <row r="3815">
      <c r="D3815" s="11" t="n"/>
      <c r="K3815" s="7">
        <f>IF($C3815="","",J3815*W3815/100)</f>
        <v/>
      </c>
      <c r="Q3815" s="7" t="n"/>
      <c r="R3815" s="7" t="n"/>
      <c r="U3815">
        <f>IF($C3815="","",IF($AJ3815=1,0,IF($AI3815=1,Settings!$C$6,Settings!$C$7))*100)</f>
        <v/>
      </c>
      <c r="V3815" s="7">
        <f>IF($C3815="","",R3815*U3815/100)</f>
        <v/>
      </c>
      <c r="W3815" s="7">
        <f>IF($C3815="","",R3815-V3815)</f>
        <v/>
      </c>
      <c r="X3815" s="7">
        <f>IF($C3815="","",W3815-K3815)</f>
        <v/>
      </c>
      <c r="AB3815" s="7" t="n"/>
      <c r="AE3815" s="11" t="n"/>
      <c r="AG3815">
        <f>IF($C3815="","",IF(COUNTIF($C$2:$C3815,$C3815)=1,1,0))</f>
        <v/>
      </c>
      <c r="AH3815">
        <f>IF($AG3815=1,SUMPRODUCT(--($AK$2:$AK$6001&lt;$AK3815))+1,"")</f>
        <v/>
      </c>
      <c r="AI3815">
        <f>IF($C3815="","",IF(OR($N3815=TRUE(),$N3815="TRUE"),1,0))</f>
        <v/>
      </c>
      <c r="AJ3815">
        <f>IF($C3815="","",IF($T3815="Yes",1,0))</f>
        <v/>
      </c>
      <c r="AK3815">
        <f>IF($AG3815=1,IFERROR(IF(VALUE($C3815)&lt;100000000,VALUE($C3815),1000000000),IFERROR(IF(VALUE(MID($C3815,2,20))&lt;100000000,VALUE(MID($C3815,2,20)),1000000000),1000000000))+ROW()/100000,"")</f>
        <v/>
      </c>
    </row>
    <row r="3816">
      <c r="D3816" s="11" t="n"/>
      <c r="K3816" s="7">
        <f>IF($C3816="","",J3816*W3816/100)</f>
        <v/>
      </c>
      <c r="Q3816" s="7" t="n"/>
      <c r="R3816" s="7" t="n"/>
      <c r="U3816">
        <f>IF($C3816="","",IF($AJ3816=1,0,IF($AI3816=1,Settings!$C$6,Settings!$C$7))*100)</f>
        <v/>
      </c>
      <c r="V3816" s="7">
        <f>IF($C3816="","",R3816*U3816/100)</f>
        <v/>
      </c>
      <c r="W3816" s="7">
        <f>IF($C3816="","",R3816-V3816)</f>
        <v/>
      </c>
      <c r="X3816" s="7">
        <f>IF($C3816="","",W3816-K3816)</f>
        <v/>
      </c>
      <c r="AB3816" s="7" t="n"/>
      <c r="AE3816" s="11" t="n"/>
      <c r="AG3816">
        <f>IF($C3816="","",IF(COUNTIF($C$2:$C3816,$C3816)=1,1,0))</f>
        <v/>
      </c>
      <c r="AH3816">
        <f>IF($AG3816=1,SUMPRODUCT(--($AK$2:$AK$6001&lt;$AK3816))+1,"")</f>
        <v/>
      </c>
      <c r="AI3816">
        <f>IF($C3816="","",IF(OR($N3816=TRUE(),$N3816="TRUE"),1,0))</f>
        <v/>
      </c>
      <c r="AJ3816">
        <f>IF($C3816="","",IF($T3816="Yes",1,0))</f>
        <v/>
      </c>
      <c r="AK3816">
        <f>IF($AG3816=1,IFERROR(IF(VALUE($C3816)&lt;100000000,VALUE($C3816),1000000000),IFERROR(IF(VALUE(MID($C3816,2,20))&lt;100000000,VALUE(MID($C3816,2,20)),1000000000),1000000000))+ROW()/100000,"")</f>
        <v/>
      </c>
    </row>
    <row r="3817">
      <c r="D3817" s="11" t="n"/>
      <c r="K3817" s="7">
        <f>IF($C3817="","",J3817*W3817/100)</f>
        <v/>
      </c>
      <c r="Q3817" s="7" t="n"/>
      <c r="R3817" s="7" t="n"/>
      <c r="U3817">
        <f>IF($C3817="","",IF($AJ3817=1,0,IF($AI3817=1,Settings!$C$6,Settings!$C$7))*100)</f>
        <v/>
      </c>
      <c r="V3817" s="7">
        <f>IF($C3817="","",R3817*U3817/100)</f>
        <v/>
      </c>
      <c r="W3817" s="7">
        <f>IF($C3817="","",R3817-V3817)</f>
        <v/>
      </c>
      <c r="X3817" s="7">
        <f>IF($C3817="","",W3817-K3817)</f>
        <v/>
      </c>
      <c r="AB3817" s="7" t="n"/>
      <c r="AE3817" s="11" t="n"/>
      <c r="AG3817">
        <f>IF($C3817="","",IF(COUNTIF($C$2:$C3817,$C3817)=1,1,0))</f>
        <v/>
      </c>
      <c r="AH3817">
        <f>IF($AG3817=1,SUMPRODUCT(--($AK$2:$AK$6001&lt;$AK3817))+1,"")</f>
        <v/>
      </c>
      <c r="AI3817">
        <f>IF($C3817="","",IF(OR($N3817=TRUE(),$N3817="TRUE"),1,0))</f>
        <v/>
      </c>
      <c r="AJ3817">
        <f>IF($C3817="","",IF($T3817="Yes",1,0))</f>
        <v/>
      </c>
      <c r="AK3817">
        <f>IF($AG3817=1,IFERROR(IF(VALUE($C3817)&lt;100000000,VALUE($C3817),1000000000),IFERROR(IF(VALUE(MID($C3817,2,20))&lt;100000000,VALUE(MID($C3817,2,20)),1000000000),1000000000))+ROW()/100000,"")</f>
        <v/>
      </c>
    </row>
    <row r="3818">
      <c r="D3818" s="11" t="n"/>
      <c r="K3818" s="7">
        <f>IF($C3818="","",J3818*W3818/100)</f>
        <v/>
      </c>
      <c r="Q3818" s="7" t="n"/>
      <c r="R3818" s="7" t="n"/>
      <c r="U3818">
        <f>IF($C3818="","",IF($AJ3818=1,0,IF($AI3818=1,Settings!$C$6,Settings!$C$7))*100)</f>
        <v/>
      </c>
      <c r="V3818" s="7">
        <f>IF($C3818="","",R3818*U3818/100)</f>
        <v/>
      </c>
      <c r="W3818" s="7">
        <f>IF($C3818="","",R3818-V3818)</f>
        <v/>
      </c>
      <c r="X3818" s="7">
        <f>IF($C3818="","",W3818-K3818)</f>
        <v/>
      </c>
      <c r="AB3818" s="7" t="n"/>
      <c r="AE3818" s="11" t="n"/>
      <c r="AG3818">
        <f>IF($C3818="","",IF(COUNTIF($C$2:$C3818,$C3818)=1,1,0))</f>
        <v/>
      </c>
      <c r="AH3818">
        <f>IF($AG3818=1,SUMPRODUCT(--($AK$2:$AK$6001&lt;$AK3818))+1,"")</f>
        <v/>
      </c>
      <c r="AI3818">
        <f>IF($C3818="","",IF(OR($N3818=TRUE(),$N3818="TRUE"),1,0))</f>
        <v/>
      </c>
      <c r="AJ3818">
        <f>IF($C3818="","",IF($T3818="Yes",1,0))</f>
        <v/>
      </c>
      <c r="AK3818">
        <f>IF($AG3818=1,IFERROR(IF(VALUE($C3818)&lt;100000000,VALUE($C3818),1000000000),IFERROR(IF(VALUE(MID($C3818,2,20))&lt;100000000,VALUE(MID($C3818,2,20)),1000000000),1000000000))+ROW()/100000,"")</f>
        <v/>
      </c>
    </row>
    <row r="3819">
      <c r="D3819" s="11" t="n"/>
      <c r="K3819" s="7">
        <f>IF($C3819="","",J3819*W3819/100)</f>
        <v/>
      </c>
      <c r="Q3819" s="7" t="n"/>
      <c r="R3819" s="7" t="n"/>
      <c r="U3819">
        <f>IF($C3819="","",IF($AJ3819=1,0,IF($AI3819=1,Settings!$C$6,Settings!$C$7))*100)</f>
        <v/>
      </c>
      <c r="V3819" s="7">
        <f>IF($C3819="","",R3819*U3819/100)</f>
        <v/>
      </c>
      <c r="W3819" s="7">
        <f>IF($C3819="","",R3819-V3819)</f>
        <v/>
      </c>
      <c r="X3819" s="7">
        <f>IF($C3819="","",W3819-K3819)</f>
        <v/>
      </c>
      <c r="AB3819" s="7" t="n"/>
      <c r="AE3819" s="11" t="n"/>
      <c r="AG3819">
        <f>IF($C3819="","",IF(COUNTIF($C$2:$C3819,$C3819)=1,1,0))</f>
        <v/>
      </c>
      <c r="AH3819">
        <f>IF($AG3819=1,SUMPRODUCT(--($AK$2:$AK$6001&lt;$AK3819))+1,"")</f>
        <v/>
      </c>
      <c r="AI3819">
        <f>IF($C3819="","",IF(OR($N3819=TRUE(),$N3819="TRUE"),1,0))</f>
        <v/>
      </c>
      <c r="AJ3819">
        <f>IF($C3819="","",IF($T3819="Yes",1,0))</f>
        <v/>
      </c>
      <c r="AK3819">
        <f>IF($AG3819=1,IFERROR(IF(VALUE($C3819)&lt;100000000,VALUE($C3819),1000000000),IFERROR(IF(VALUE(MID($C3819,2,20))&lt;100000000,VALUE(MID($C3819,2,20)),1000000000),1000000000))+ROW()/100000,"")</f>
        <v/>
      </c>
    </row>
    <row r="3820">
      <c r="D3820" s="11" t="n"/>
      <c r="K3820" s="7">
        <f>IF($C3820="","",J3820*W3820/100)</f>
        <v/>
      </c>
      <c r="Q3820" s="7" t="n"/>
      <c r="R3820" s="7" t="n"/>
      <c r="U3820">
        <f>IF($C3820="","",IF($AJ3820=1,0,IF($AI3820=1,Settings!$C$6,Settings!$C$7))*100)</f>
        <v/>
      </c>
      <c r="V3820" s="7">
        <f>IF($C3820="","",R3820*U3820/100)</f>
        <v/>
      </c>
      <c r="W3820" s="7">
        <f>IF($C3820="","",R3820-V3820)</f>
        <v/>
      </c>
      <c r="X3820" s="7">
        <f>IF($C3820="","",W3820-K3820)</f>
        <v/>
      </c>
      <c r="AB3820" s="7" t="n"/>
      <c r="AE3820" s="11" t="n"/>
      <c r="AG3820">
        <f>IF($C3820="","",IF(COUNTIF($C$2:$C3820,$C3820)=1,1,0))</f>
        <v/>
      </c>
      <c r="AH3820">
        <f>IF($AG3820=1,SUMPRODUCT(--($AK$2:$AK$6001&lt;$AK3820))+1,"")</f>
        <v/>
      </c>
      <c r="AI3820">
        <f>IF($C3820="","",IF(OR($N3820=TRUE(),$N3820="TRUE"),1,0))</f>
        <v/>
      </c>
      <c r="AJ3820">
        <f>IF($C3820="","",IF($T3820="Yes",1,0))</f>
        <v/>
      </c>
      <c r="AK3820">
        <f>IF($AG3820=1,IFERROR(IF(VALUE($C3820)&lt;100000000,VALUE($C3820),1000000000),IFERROR(IF(VALUE(MID($C3820,2,20))&lt;100000000,VALUE(MID($C3820,2,20)),1000000000),1000000000))+ROW()/100000,"")</f>
        <v/>
      </c>
    </row>
    <row r="3821">
      <c r="D3821" s="11" t="n"/>
      <c r="K3821" s="7">
        <f>IF($C3821="","",J3821*W3821/100)</f>
        <v/>
      </c>
      <c r="Q3821" s="7" t="n"/>
      <c r="R3821" s="7" t="n"/>
      <c r="U3821">
        <f>IF($C3821="","",IF($AJ3821=1,0,IF($AI3821=1,Settings!$C$6,Settings!$C$7))*100)</f>
        <v/>
      </c>
      <c r="V3821" s="7">
        <f>IF($C3821="","",R3821*U3821/100)</f>
        <v/>
      </c>
      <c r="W3821" s="7">
        <f>IF($C3821="","",R3821-V3821)</f>
        <v/>
      </c>
      <c r="X3821" s="7">
        <f>IF($C3821="","",W3821-K3821)</f>
        <v/>
      </c>
      <c r="AB3821" s="7" t="n"/>
      <c r="AE3821" s="11" t="n"/>
      <c r="AG3821">
        <f>IF($C3821="","",IF(COUNTIF($C$2:$C3821,$C3821)=1,1,0))</f>
        <v/>
      </c>
      <c r="AH3821">
        <f>IF($AG3821=1,SUMPRODUCT(--($AK$2:$AK$6001&lt;$AK3821))+1,"")</f>
        <v/>
      </c>
      <c r="AI3821">
        <f>IF($C3821="","",IF(OR($N3821=TRUE(),$N3821="TRUE"),1,0))</f>
        <v/>
      </c>
      <c r="AJ3821">
        <f>IF($C3821="","",IF($T3821="Yes",1,0))</f>
        <v/>
      </c>
      <c r="AK3821">
        <f>IF($AG3821=1,IFERROR(IF(VALUE($C3821)&lt;100000000,VALUE($C3821),1000000000),IFERROR(IF(VALUE(MID($C3821,2,20))&lt;100000000,VALUE(MID($C3821,2,20)),1000000000),1000000000))+ROW()/100000,"")</f>
        <v/>
      </c>
    </row>
    <row r="3822">
      <c r="D3822" s="11" t="n"/>
      <c r="K3822" s="7">
        <f>IF($C3822="","",J3822*W3822/100)</f>
        <v/>
      </c>
      <c r="Q3822" s="7" t="n"/>
      <c r="R3822" s="7" t="n"/>
      <c r="U3822">
        <f>IF($C3822="","",IF($AJ3822=1,0,IF($AI3822=1,Settings!$C$6,Settings!$C$7))*100)</f>
        <v/>
      </c>
      <c r="V3822" s="7">
        <f>IF($C3822="","",R3822*U3822/100)</f>
        <v/>
      </c>
      <c r="W3822" s="7">
        <f>IF($C3822="","",R3822-V3822)</f>
        <v/>
      </c>
      <c r="X3822" s="7">
        <f>IF($C3822="","",W3822-K3822)</f>
        <v/>
      </c>
      <c r="AB3822" s="7" t="n"/>
      <c r="AE3822" s="11" t="n"/>
      <c r="AG3822">
        <f>IF($C3822="","",IF(COUNTIF($C$2:$C3822,$C3822)=1,1,0))</f>
        <v/>
      </c>
      <c r="AH3822">
        <f>IF($AG3822=1,SUMPRODUCT(--($AK$2:$AK$6001&lt;$AK3822))+1,"")</f>
        <v/>
      </c>
      <c r="AI3822">
        <f>IF($C3822="","",IF(OR($N3822=TRUE(),$N3822="TRUE"),1,0))</f>
        <v/>
      </c>
      <c r="AJ3822">
        <f>IF($C3822="","",IF($T3822="Yes",1,0))</f>
        <v/>
      </c>
      <c r="AK3822">
        <f>IF($AG3822=1,IFERROR(IF(VALUE($C3822)&lt;100000000,VALUE($C3822),1000000000),IFERROR(IF(VALUE(MID($C3822,2,20))&lt;100000000,VALUE(MID($C3822,2,20)),1000000000),1000000000))+ROW()/100000,"")</f>
        <v/>
      </c>
    </row>
    <row r="3823">
      <c r="D3823" s="11" t="n"/>
      <c r="K3823" s="7">
        <f>IF($C3823="","",J3823*W3823/100)</f>
        <v/>
      </c>
      <c r="Q3823" s="7" t="n"/>
      <c r="R3823" s="7" t="n"/>
      <c r="U3823">
        <f>IF($C3823="","",IF($AJ3823=1,0,IF($AI3823=1,Settings!$C$6,Settings!$C$7))*100)</f>
        <v/>
      </c>
      <c r="V3823" s="7">
        <f>IF($C3823="","",R3823*U3823/100)</f>
        <v/>
      </c>
      <c r="W3823" s="7">
        <f>IF($C3823="","",R3823-V3823)</f>
        <v/>
      </c>
      <c r="X3823" s="7">
        <f>IF($C3823="","",W3823-K3823)</f>
        <v/>
      </c>
      <c r="AB3823" s="7" t="n"/>
      <c r="AE3823" s="11" t="n"/>
      <c r="AG3823">
        <f>IF($C3823="","",IF(COUNTIF($C$2:$C3823,$C3823)=1,1,0))</f>
        <v/>
      </c>
      <c r="AH3823">
        <f>IF($AG3823=1,SUMPRODUCT(--($AK$2:$AK$6001&lt;$AK3823))+1,"")</f>
        <v/>
      </c>
      <c r="AI3823">
        <f>IF($C3823="","",IF(OR($N3823=TRUE(),$N3823="TRUE"),1,0))</f>
        <v/>
      </c>
      <c r="AJ3823">
        <f>IF($C3823="","",IF($T3823="Yes",1,0))</f>
        <v/>
      </c>
      <c r="AK3823">
        <f>IF($AG3823=1,IFERROR(IF(VALUE($C3823)&lt;100000000,VALUE($C3823),1000000000),IFERROR(IF(VALUE(MID($C3823,2,20))&lt;100000000,VALUE(MID($C3823,2,20)),1000000000),1000000000))+ROW()/100000,"")</f>
        <v/>
      </c>
    </row>
    <row r="3824">
      <c r="D3824" s="11" t="n"/>
      <c r="K3824" s="7">
        <f>IF($C3824="","",J3824*W3824/100)</f>
        <v/>
      </c>
      <c r="Q3824" s="7" t="n"/>
      <c r="R3824" s="7" t="n"/>
      <c r="U3824">
        <f>IF($C3824="","",IF($AJ3824=1,0,IF($AI3824=1,Settings!$C$6,Settings!$C$7))*100)</f>
        <v/>
      </c>
      <c r="V3824" s="7">
        <f>IF($C3824="","",R3824*U3824/100)</f>
        <v/>
      </c>
      <c r="W3824" s="7">
        <f>IF($C3824="","",R3824-V3824)</f>
        <v/>
      </c>
      <c r="X3824" s="7">
        <f>IF($C3824="","",W3824-K3824)</f>
        <v/>
      </c>
      <c r="AB3824" s="7" t="n"/>
      <c r="AE3824" s="11" t="n"/>
      <c r="AG3824">
        <f>IF($C3824="","",IF(COUNTIF($C$2:$C3824,$C3824)=1,1,0))</f>
        <v/>
      </c>
      <c r="AH3824">
        <f>IF($AG3824=1,SUMPRODUCT(--($AK$2:$AK$6001&lt;$AK3824))+1,"")</f>
        <v/>
      </c>
      <c r="AI3824">
        <f>IF($C3824="","",IF(OR($N3824=TRUE(),$N3824="TRUE"),1,0))</f>
        <v/>
      </c>
      <c r="AJ3824">
        <f>IF($C3824="","",IF($T3824="Yes",1,0))</f>
        <v/>
      </c>
      <c r="AK3824">
        <f>IF($AG3824=1,IFERROR(IF(VALUE($C3824)&lt;100000000,VALUE($C3824),1000000000),IFERROR(IF(VALUE(MID($C3824,2,20))&lt;100000000,VALUE(MID($C3824,2,20)),1000000000),1000000000))+ROW()/100000,"")</f>
        <v/>
      </c>
    </row>
    <row r="3825">
      <c r="D3825" s="11" t="n"/>
      <c r="K3825" s="7">
        <f>IF($C3825="","",J3825*W3825/100)</f>
        <v/>
      </c>
      <c r="Q3825" s="7" t="n"/>
      <c r="R3825" s="7" t="n"/>
      <c r="U3825">
        <f>IF($C3825="","",IF($AJ3825=1,0,IF($AI3825=1,Settings!$C$6,Settings!$C$7))*100)</f>
        <v/>
      </c>
      <c r="V3825" s="7">
        <f>IF($C3825="","",R3825*U3825/100)</f>
        <v/>
      </c>
      <c r="W3825" s="7">
        <f>IF($C3825="","",R3825-V3825)</f>
        <v/>
      </c>
      <c r="X3825" s="7">
        <f>IF($C3825="","",W3825-K3825)</f>
        <v/>
      </c>
      <c r="AB3825" s="7" t="n"/>
      <c r="AE3825" s="11" t="n"/>
      <c r="AG3825">
        <f>IF($C3825="","",IF(COUNTIF($C$2:$C3825,$C3825)=1,1,0))</f>
        <v/>
      </c>
      <c r="AH3825">
        <f>IF($AG3825=1,SUMPRODUCT(--($AK$2:$AK$6001&lt;$AK3825))+1,"")</f>
        <v/>
      </c>
      <c r="AI3825">
        <f>IF($C3825="","",IF(OR($N3825=TRUE(),$N3825="TRUE"),1,0))</f>
        <v/>
      </c>
      <c r="AJ3825">
        <f>IF($C3825="","",IF($T3825="Yes",1,0))</f>
        <v/>
      </c>
      <c r="AK3825">
        <f>IF($AG3825=1,IFERROR(IF(VALUE($C3825)&lt;100000000,VALUE($C3825),1000000000),IFERROR(IF(VALUE(MID($C3825,2,20))&lt;100000000,VALUE(MID($C3825,2,20)),1000000000),1000000000))+ROW()/100000,"")</f>
        <v/>
      </c>
    </row>
    <row r="3826">
      <c r="D3826" s="11" t="n"/>
      <c r="K3826" s="7">
        <f>IF($C3826="","",J3826*W3826/100)</f>
        <v/>
      </c>
      <c r="Q3826" s="7" t="n"/>
      <c r="R3826" s="7" t="n"/>
      <c r="U3826">
        <f>IF($C3826="","",IF($AJ3826=1,0,IF($AI3826=1,Settings!$C$6,Settings!$C$7))*100)</f>
        <v/>
      </c>
      <c r="V3826" s="7">
        <f>IF($C3826="","",R3826*U3826/100)</f>
        <v/>
      </c>
      <c r="W3826" s="7">
        <f>IF($C3826="","",R3826-V3826)</f>
        <v/>
      </c>
      <c r="X3826" s="7">
        <f>IF($C3826="","",W3826-K3826)</f>
        <v/>
      </c>
      <c r="AB3826" s="7" t="n"/>
      <c r="AE3826" s="11" t="n"/>
      <c r="AG3826">
        <f>IF($C3826="","",IF(COUNTIF($C$2:$C3826,$C3826)=1,1,0))</f>
        <v/>
      </c>
      <c r="AH3826">
        <f>IF($AG3826=1,SUMPRODUCT(--($AK$2:$AK$6001&lt;$AK3826))+1,"")</f>
        <v/>
      </c>
      <c r="AI3826">
        <f>IF($C3826="","",IF(OR($N3826=TRUE(),$N3826="TRUE"),1,0))</f>
        <v/>
      </c>
      <c r="AJ3826">
        <f>IF($C3826="","",IF($T3826="Yes",1,0))</f>
        <v/>
      </c>
      <c r="AK3826">
        <f>IF($AG3826=1,IFERROR(IF(VALUE($C3826)&lt;100000000,VALUE($C3826),1000000000),IFERROR(IF(VALUE(MID($C3826,2,20))&lt;100000000,VALUE(MID($C3826,2,20)),1000000000),1000000000))+ROW()/100000,"")</f>
        <v/>
      </c>
    </row>
    <row r="3827">
      <c r="D3827" s="11" t="n"/>
      <c r="K3827" s="7">
        <f>IF($C3827="","",J3827*W3827/100)</f>
        <v/>
      </c>
      <c r="Q3827" s="7" t="n"/>
      <c r="R3827" s="7" t="n"/>
      <c r="U3827">
        <f>IF($C3827="","",IF($AJ3827=1,0,IF($AI3827=1,Settings!$C$6,Settings!$C$7))*100)</f>
        <v/>
      </c>
      <c r="V3827" s="7">
        <f>IF($C3827="","",R3827*U3827/100)</f>
        <v/>
      </c>
      <c r="W3827" s="7">
        <f>IF($C3827="","",R3827-V3827)</f>
        <v/>
      </c>
      <c r="X3827" s="7">
        <f>IF($C3827="","",W3827-K3827)</f>
        <v/>
      </c>
      <c r="AB3827" s="7" t="n"/>
      <c r="AE3827" s="11" t="n"/>
      <c r="AG3827">
        <f>IF($C3827="","",IF(COUNTIF($C$2:$C3827,$C3827)=1,1,0))</f>
        <v/>
      </c>
      <c r="AH3827">
        <f>IF($AG3827=1,SUMPRODUCT(--($AK$2:$AK$6001&lt;$AK3827))+1,"")</f>
        <v/>
      </c>
      <c r="AI3827">
        <f>IF($C3827="","",IF(OR($N3827=TRUE(),$N3827="TRUE"),1,0))</f>
        <v/>
      </c>
      <c r="AJ3827">
        <f>IF($C3827="","",IF($T3827="Yes",1,0))</f>
        <v/>
      </c>
      <c r="AK3827">
        <f>IF($AG3827=1,IFERROR(IF(VALUE($C3827)&lt;100000000,VALUE($C3827),1000000000),IFERROR(IF(VALUE(MID($C3827,2,20))&lt;100000000,VALUE(MID($C3827,2,20)),1000000000),1000000000))+ROW()/100000,"")</f>
        <v/>
      </c>
    </row>
    <row r="3828">
      <c r="D3828" s="11" t="n"/>
      <c r="K3828" s="7">
        <f>IF($C3828="","",J3828*W3828/100)</f>
        <v/>
      </c>
      <c r="Q3828" s="7" t="n"/>
      <c r="R3828" s="7" t="n"/>
      <c r="U3828">
        <f>IF($C3828="","",IF($AJ3828=1,0,IF($AI3828=1,Settings!$C$6,Settings!$C$7))*100)</f>
        <v/>
      </c>
      <c r="V3828" s="7">
        <f>IF($C3828="","",R3828*U3828/100)</f>
        <v/>
      </c>
      <c r="W3828" s="7">
        <f>IF($C3828="","",R3828-V3828)</f>
        <v/>
      </c>
      <c r="X3828" s="7">
        <f>IF($C3828="","",W3828-K3828)</f>
        <v/>
      </c>
      <c r="AB3828" s="7" t="n"/>
      <c r="AE3828" s="11" t="n"/>
      <c r="AG3828">
        <f>IF($C3828="","",IF(COUNTIF($C$2:$C3828,$C3828)=1,1,0))</f>
        <v/>
      </c>
      <c r="AH3828">
        <f>IF($AG3828=1,SUMPRODUCT(--($AK$2:$AK$6001&lt;$AK3828))+1,"")</f>
        <v/>
      </c>
      <c r="AI3828">
        <f>IF($C3828="","",IF(OR($N3828=TRUE(),$N3828="TRUE"),1,0))</f>
        <v/>
      </c>
      <c r="AJ3828">
        <f>IF($C3828="","",IF($T3828="Yes",1,0))</f>
        <v/>
      </c>
      <c r="AK3828">
        <f>IF($AG3828=1,IFERROR(IF(VALUE($C3828)&lt;100000000,VALUE($C3828),1000000000),IFERROR(IF(VALUE(MID($C3828,2,20))&lt;100000000,VALUE(MID($C3828,2,20)),1000000000),1000000000))+ROW()/100000,"")</f>
        <v/>
      </c>
    </row>
    <row r="3829">
      <c r="D3829" s="11" t="n"/>
      <c r="K3829" s="7">
        <f>IF($C3829="","",J3829*W3829/100)</f>
        <v/>
      </c>
      <c r="Q3829" s="7" t="n"/>
      <c r="R3829" s="7" t="n"/>
      <c r="U3829">
        <f>IF($C3829="","",IF($AJ3829=1,0,IF($AI3829=1,Settings!$C$6,Settings!$C$7))*100)</f>
        <v/>
      </c>
      <c r="V3829" s="7">
        <f>IF($C3829="","",R3829*U3829/100)</f>
        <v/>
      </c>
      <c r="W3829" s="7">
        <f>IF($C3829="","",R3829-V3829)</f>
        <v/>
      </c>
      <c r="X3829" s="7">
        <f>IF($C3829="","",W3829-K3829)</f>
        <v/>
      </c>
      <c r="AB3829" s="7" t="n"/>
      <c r="AE3829" s="11" t="n"/>
      <c r="AG3829">
        <f>IF($C3829="","",IF(COUNTIF($C$2:$C3829,$C3829)=1,1,0))</f>
        <v/>
      </c>
      <c r="AH3829">
        <f>IF($AG3829=1,SUMPRODUCT(--($AK$2:$AK$6001&lt;$AK3829))+1,"")</f>
        <v/>
      </c>
      <c r="AI3829">
        <f>IF($C3829="","",IF(OR($N3829=TRUE(),$N3829="TRUE"),1,0))</f>
        <v/>
      </c>
      <c r="AJ3829">
        <f>IF($C3829="","",IF($T3829="Yes",1,0))</f>
        <v/>
      </c>
      <c r="AK3829">
        <f>IF($AG3829=1,IFERROR(IF(VALUE($C3829)&lt;100000000,VALUE($C3829),1000000000),IFERROR(IF(VALUE(MID($C3829,2,20))&lt;100000000,VALUE(MID($C3829,2,20)),1000000000),1000000000))+ROW()/100000,"")</f>
        <v/>
      </c>
    </row>
    <row r="3830">
      <c r="D3830" s="11" t="n"/>
      <c r="K3830" s="7">
        <f>IF($C3830="","",J3830*W3830/100)</f>
        <v/>
      </c>
      <c r="Q3830" s="7" t="n"/>
      <c r="R3830" s="7" t="n"/>
      <c r="U3830">
        <f>IF($C3830="","",IF($AJ3830=1,0,IF($AI3830=1,Settings!$C$6,Settings!$C$7))*100)</f>
        <v/>
      </c>
      <c r="V3830" s="7">
        <f>IF($C3830="","",R3830*U3830/100)</f>
        <v/>
      </c>
      <c r="W3830" s="7">
        <f>IF($C3830="","",R3830-V3830)</f>
        <v/>
      </c>
      <c r="X3830" s="7">
        <f>IF($C3830="","",W3830-K3830)</f>
        <v/>
      </c>
      <c r="AB3830" s="7" t="n"/>
      <c r="AE3830" s="11" t="n"/>
      <c r="AG3830">
        <f>IF($C3830="","",IF(COUNTIF($C$2:$C3830,$C3830)=1,1,0))</f>
        <v/>
      </c>
      <c r="AH3830">
        <f>IF($AG3830=1,SUMPRODUCT(--($AK$2:$AK$6001&lt;$AK3830))+1,"")</f>
        <v/>
      </c>
      <c r="AI3830">
        <f>IF($C3830="","",IF(OR($N3830=TRUE(),$N3830="TRUE"),1,0))</f>
        <v/>
      </c>
      <c r="AJ3830">
        <f>IF($C3830="","",IF($T3830="Yes",1,0))</f>
        <v/>
      </c>
      <c r="AK3830">
        <f>IF($AG3830=1,IFERROR(IF(VALUE($C3830)&lt;100000000,VALUE($C3830),1000000000),IFERROR(IF(VALUE(MID($C3830,2,20))&lt;100000000,VALUE(MID($C3830,2,20)),1000000000),1000000000))+ROW()/100000,"")</f>
        <v/>
      </c>
    </row>
    <row r="3831">
      <c r="D3831" s="11" t="n"/>
      <c r="K3831" s="7">
        <f>IF($C3831="","",J3831*W3831/100)</f>
        <v/>
      </c>
      <c r="Q3831" s="7" t="n"/>
      <c r="R3831" s="7" t="n"/>
      <c r="U3831">
        <f>IF($C3831="","",IF($AJ3831=1,0,IF($AI3831=1,Settings!$C$6,Settings!$C$7))*100)</f>
        <v/>
      </c>
      <c r="V3831" s="7">
        <f>IF($C3831="","",R3831*U3831/100)</f>
        <v/>
      </c>
      <c r="W3831" s="7">
        <f>IF($C3831="","",R3831-V3831)</f>
        <v/>
      </c>
      <c r="X3831" s="7">
        <f>IF($C3831="","",W3831-K3831)</f>
        <v/>
      </c>
      <c r="AB3831" s="7" t="n"/>
      <c r="AE3831" s="11" t="n"/>
      <c r="AG3831">
        <f>IF($C3831="","",IF(COUNTIF($C$2:$C3831,$C3831)=1,1,0))</f>
        <v/>
      </c>
      <c r="AH3831">
        <f>IF($AG3831=1,SUMPRODUCT(--($AK$2:$AK$6001&lt;$AK3831))+1,"")</f>
        <v/>
      </c>
      <c r="AI3831">
        <f>IF($C3831="","",IF(OR($N3831=TRUE(),$N3831="TRUE"),1,0))</f>
        <v/>
      </c>
      <c r="AJ3831">
        <f>IF($C3831="","",IF($T3831="Yes",1,0))</f>
        <v/>
      </c>
      <c r="AK3831">
        <f>IF($AG3831=1,IFERROR(IF(VALUE($C3831)&lt;100000000,VALUE($C3831),1000000000),IFERROR(IF(VALUE(MID($C3831,2,20))&lt;100000000,VALUE(MID($C3831,2,20)),1000000000),1000000000))+ROW()/100000,"")</f>
        <v/>
      </c>
    </row>
    <row r="3832">
      <c r="D3832" s="11" t="n"/>
      <c r="K3832" s="7">
        <f>IF($C3832="","",J3832*W3832/100)</f>
        <v/>
      </c>
      <c r="Q3832" s="7" t="n"/>
      <c r="R3832" s="7" t="n"/>
      <c r="U3832">
        <f>IF($C3832="","",IF($AJ3832=1,0,IF($AI3832=1,Settings!$C$6,Settings!$C$7))*100)</f>
        <v/>
      </c>
      <c r="V3832" s="7">
        <f>IF($C3832="","",R3832*U3832/100)</f>
        <v/>
      </c>
      <c r="W3832" s="7">
        <f>IF($C3832="","",R3832-V3832)</f>
        <v/>
      </c>
      <c r="X3832" s="7">
        <f>IF($C3832="","",W3832-K3832)</f>
        <v/>
      </c>
      <c r="AB3832" s="7" t="n"/>
      <c r="AE3832" s="11" t="n"/>
      <c r="AG3832">
        <f>IF($C3832="","",IF(COUNTIF($C$2:$C3832,$C3832)=1,1,0))</f>
        <v/>
      </c>
      <c r="AH3832">
        <f>IF($AG3832=1,SUMPRODUCT(--($AK$2:$AK$6001&lt;$AK3832))+1,"")</f>
        <v/>
      </c>
      <c r="AI3832">
        <f>IF($C3832="","",IF(OR($N3832=TRUE(),$N3832="TRUE"),1,0))</f>
        <v/>
      </c>
      <c r="AJ3832">
        <f>IF($C3832="","",IF($T3832="Yes",1,0))</f>
        <v/>
      </c>
      <c r="AK3832">
        <f>IF($AG3832=1,IFERROR(IF(VALUE($C3832)&lt;100000000,VALUE($C3832),1000000000),IFERROR(IF(VALUE(MID($C3832,2,20))&lt;100000000,VALUE(MID($C3832,2,20)),1000000000),1000000000))+ROW()/100000,"")</f>
        <v/>
      </c>
    </row>
    <row r="3833">
      <c r="D3833" s="11" t="n"/>
      <c r="K3833" s="7">
        <f>IF($C3833="","",J3833*W3833/100)</f>
        <v/>
      </c>
      <c r="Q3833" s="7" t="n"/>
      <c r="R3833" s="7" t="n"/>
      <c r="U3833">
        <f>IF($C3833="","",IF($AJ3833=1,0,IF($AI3833=1,Settings!$C$6,Settings!$C$7))*100)</f>
        <v/>
      </c>
      <c r="V3833" s="7">
        <f>IF($C3833="","",R3833*U3833/100)</f>
        <v/>
      </c>
      <c r="W3833" s="7">
        <f>IF($C3833="","",R3833-V3833)</f>
        <v/>
      </c>
      <c r="X3833" s="7">
        <f>IF($C3833="","",W3833-K3833)</f>
        <v/>
      </c>
      <c r="AB3833" s="7" t="n"/>
      <c r="AE3833" s="11" t="n"/>
      <c r="AG3833">
        <f>IF($C3833="","",IF(COUNTIF($C$2:$C3833,$C3833)=1,1,0))</f>
        <v/>
      </c>
      <c r="AH3833">
        <f>IF($AG3833=1,SUMPRODUCT(--($AK$2:$AK$6001&lt;$AK3833))+1,"")</f>
        <v/>
      </c>
      <c r="AI3833">
        <f>IF($C3833="","",IF(OR($N3833=TRUE(),$N3833="TRUE"),1,0))</f>
        <v/>
      </c>
      <c r="AJ3833">
        <f>IF($C3833="","",IF($T3833="Yes",1,0))</f>
        <v/>
      </c>
      <c r="AK3833">
        <f>IF($AG3833=1,IFERROR(IF(VALUE($C3833)&lt;100000000,VALUE($C3833),1000000000),IFERROR(IF(VALUE(MID($C3833,2,20))&lt;100000000,VALUE(MID($C3833,2,20)),1000000000),1000000000))+ROW()/100000,"")</f>
        <v/>
      </c>
    </row>
    <row r="3834">
      <c r="D3834" s="11" t="n"/>
      <c r="K3834" s="7">
        <f>IF($C3834="","",J3834*W3834/100)</f>
        <v/>
      </c>
      <c r="Q3834" s="7" t="n"/>
      <c r="R3834" s="7" t="n"/>
      <c r="U3834">
        <f>IF($C3834="","",IF($AJ3834=1,0,IF($AI3834=1,Settings!$C$6,Settings!$C$7))*100)</f>
        <v/>
      </c>
      <c r="V3834" s="7">
        <f>IF($C3834="","",R3834*U3834/100)</f>
        <v/>
      </c>
      <c r="W3834" s="7">
        <f>IF($C3834="","",R3834-V3834)</f>
        <v/>
      </c>
      <c r="X3834" s="7">
        <f>IF($C3834="","",W3834-K3834)</f>
        <v/>
      </c>
      <c r="AB3834" s="7" t="n"/>
      <c r="AE3834" s="11" t="n"/>
      <c r="AG3834">
        <f>IF($C3834="","",IF(COUNTIF($C$2:$C3834,$C3834)=1,1,0))</f>
        <v/>
      </c>
      <c r="AH3834">
        <f>IF($AG3834=1,SUMPRODUCT(--($AK$2:$AK$6001&lt;$AK3834))+1,"")</f>
        <v/>
      </c>
      <c r="AI3834">
        <f>IF($C3834="","",IF(OR($N3834=TRUE(),$N3834="TRUE"),1,0))</f>
        <v/>
      </c>
      <c r="AJ3834">
        <f>IF($C3834="","",IF($T3834="Yes",1,0))</f>
        <v/>
      </c>
      <c r="AK3834">
        <f>IF($AG3834=1,IFERROR(IF(VALUE($C3834)&lt;100000000,VALUE($C3834),1000000000),IFERROR(IF(VALUE(MID($C3834,2,20))&lt;100000000,VALUE(MID($C3834,2,20)),1000000000),1000000000))+ROW()/100000,"")</f>
        <v/>
      </c>
    </row>
    <row r="3835">
      <c r="D3835" s="11" t="n"/>
      <c r="K3835" s="7">
        <f>IF($C3835="","",J3835*W3835/100)</f>
        <v/>
      </c>
      <c r="Q3835" s="7" t="n"/>
      <c r="R3835" s="7" t="n"/>
      <c r="U3835">
        <f>IF($C3835="","",IF($AJ3835=1,0,IF($AI3835=1,Settings!$C$6,Settings!$C$7))*100)</f>
        <v/>
      </c>
      <c r="V3835" s="7">
        <f>IF($C3835="","",R3835*U3835/100)</f>
        <v/>
      </c>
      <c r="W3835" s="7">
        <f>IF($C3835="","",R3835-V3835)</f>
        <v/>
      </c>
      <c r="X3835" s="7">
        <f>IF($C3835="","",W3835-K3835)</f>
        <v/>
      </c>
      <c r="AB3835" s="7" t="n"/>
      <c r="AE3835" s="11" t="n"/>
      <c r="AG3835">
        <f>IF($C3835="","",IF(COUNTIF($C$2:$C3835,$C3835)=1,1,0))</f>
        <v/>
      </c>
      <c r="AH3835">
        <f>IF($AG3835=1,SUMPRODUCT(--($AK$2:$AK$6001&lt;$AK3835))+1,"")</f>
        <v/>
      </c>
      <c r="AI3835">
        <f>IF($C3835="","",IF(OR($N3835=TRUE(),$N3835="TRUE"),1,0))</f>
        <v/>
      </c>
      <c r="AJ3835">
        <f>IF($C3835="","",IF($T3835="Yes",1,0))</f>
        <v/>
      </c>
      <c r="AK3835">
        <f>IF($AG3835=1,IFERROR(IF(VALUE($C3835)&lt;100000000,VALUE($C3835),1000000000),IFERROR(IF(VALUE(MID($C3835,2,20))&lt;100000000,VALUE(MID($C3835,2,20)),1000000000),1000000000))+ROW()/100000,"")</f>
        <v/>
      </c>
    </row>
    <row r="3836">
      <c r="D3836" s="11" t="n"/>
      <c r="K3836" s="7">
        <f>IF($C3836="","",J3836*W3836/100)</f>
        <v/>
      </c>
      <c r="Q3836" s="7" t="n"/>
      <c r="R3836" s="7" t="n"/>
      <c r="U3836">
        <f>IF($C3836="","",IF($AJ3836=1,0,IF($AI3836=1,Settings!$C$6,Settings!$C$7))*100)</f>
        <v/>
      </c>
      <c r="V3836" s="7">
        <f>IF($C3836="","",R3836*U3836/100)</f>
        <v/>
      </c>
      <c r="W3836" s="7">
        <f>IF($C3836="","",R3836-V3836)</f>
        <v/>
      </c>
      <c r="X3836" s="7">
        <f>IF($C3836="","",W3836-K3836)</f>
        <v/>
      </c>
      <c r="AB3836" s="7" t="n"/>
      <c r="AE3836" s="11" t="n"/>
      <c r="AG3836">
        <f>IF($C3836="","",IF(COUNTIF($C$2:$C3836,$C3836)=1,1,0))</f>
        <v/>
      </c>
      <c r="AH3836">
        <f>IF($AG3836=1,SUMPRODUCT(--($AK$2:$AK$6001&lt;$AK3836))+1,"")</f>
        <v/>
      </c>
      <c r="AI3836">
        <f>IF($C3836="","",IF(OR($N3836=TRUE(),$N3836="TRUE"),1,0))</f>
        <v/>
      </c>
      <c r="AJ3836">
        <f>IF($C3836="","",IF($T3836="Yes",1,0))</f>
        <v/>
      </c>
      <c r="AK3836">
        <f>IF($AG3836=1,IFERROR(IF(VALUE($C3836)&lt;100000000,VALUE($C3836),1000000000),IFERROR(IF(VALUE(MID($C3836,2,20))&lt;100000000,VALUE(MID($C3836,2,20)),1000000000),1000000000))+ROW()/100000,"")</f>
        <v/>
      </c>
    </row>
    <row r="3837">
      <c r="D3837" s="11" t="n"/>
      <c r="K3837" s="7">
        <f>IF($C3837="","",J3837*W3837/100)</f>
        <v/>
      </c>
      <c r="Q3837" s="7" t="n"/>
      <c r="R3837" s="7" t="n"/>
      <c r="U3837">
        <f>IF($C3837="","",IF($AJ3837=1,0,IF($AI3837=1,Settings!$C$6,Settings!$C$7))*100)</f>
        <v/>
      </c>
      <c r="V3837" s="7">
        <f>IF($C3837="","",R3837*U3837/100)</f>
        <v/>
      </c>
      <c r="W3837" s="7">
        <f>IF($C3837="","",R3837-V3837)</f>
        <v/>
      </c>
      <c r="X3837" s="7">
        <f>IF($C3837="","",W3837-K3837)</f>
        <v/>
      </c>
      <c r="AB3837" s="7" t="n"/>
      <c r="AE3837" s="11" t="n"/>
      <c r="AG3837">
        <f>IF($C3837="","",IF(COUNTIF($C$2:$C3837,$C3837)=1,1,0))</f>
        <v/>
      </c>
      <c r="AH3837">
        <f>IF($AG3837=1,SUMPRODUCT(--($AK$2:$AK$6001&lt;$AK3837))+1,"")</f>
        <v/>
      </c>
      <c r="AI3837">
        <f>IF($C3837="","",IF(OR($N3837=TRUE(),$N3837="TRUE"),1,0))</f>
        <v/>
      </c>
      <c r="AJ3837">
        <f>IF($C3837="","",IF($T3837="Yes",1,0))</f>
        <v/>
      </c>
      <c r="AK3837">
        <f>IF($AG3837=1,IFERROR(IF(VALUE($C3837)&lt;100000000,VALUE($C3837),1000000000),IFERROR(IF(VALUE(MID($C3837,2,20))&lt;100000000,VALUE(MID($C3837,2,20)),1000000000),1000000000))+ROW()/100000,"")</f>
        <v/>
      </c>
    </row>
    <row r="3838">
      <c r="D3838" s="11" t="n"/>
      <c r="K3838" s="7">
        <f>IF($C3838="","",J3838*W3838/100)</f>
        <v/>
      </c>
      <c r="Q3838" s="7" t="n"/>
      <c r="R3838" s="7" t="n"/>
      <c r="U3838">
        <f>IF($C3838="","",IF($AJ3838=1,0,IF($AI3838=1,Settings!$C$6,Settings!$C$7))*100)</f>
        <v/>
      </c>
      <c r="V3838" s="7">
        <f>IF($C3838="","",R3838*U3838/100)</f>
        <v/>
      </c>
      <c r="W3838" s="7">
        <f>IF($C3838="","",R3838-V3838)</f>
        <v/>
      </c>
      <c r="X3838" s="7">
        <f>IF($C3838="","",W3838-K3838)</f>
        <v/>
      </c>
      <c r="AB3838" s="7" t="n"/>
      <c r="AE3838" s="11" t="n"/>
      <c r="AG3838">
        <f>IF($C3838="","",IF(COUNTIF($C$2:$C3838,$C3838)=1,1,0))</f>
        <v/>
      </c>
      <c r="AH3838">
        <f>IF($AG3838=1,SUMPRODUCT(--($AK$2:$AK$6001&lt;$AK3838))+1,"")</f>
        <v/>
      </c>
      <c r="AI3838">
        <f>IF($C3838="","",IF(OR($N3838=TRUE(),$N3838="TRUE"),1,0))</f>
        <v/>
      </c>
      <c r="AJ3838">
        <f>IF($C3838="","",IF($T3838="Yes",1,0))</f>
        <v/>
      </c>
      <c r="AK3838">
        <f>IF($AG3838=1,IFERROR(IF(VALUE($C3838)&lt;100000000,VALUE($C3838),1000000000),IFERROR(IF(VALUE(MID($C3838,2,20))&lt;100000000,VALUE(MID($C3838,2,20)),1000000000),1000000000))+ROW()/100000,"")</f>
        <v/>
      </c>
    </row>
    <row r="3839">
      <c r="D3839" s="11" t="n"/>
      <c r="K3839" s="7">
        <f>IF($C3839="","",J3839*W3839/100)</f>
        <v/>
      </c>
      <c r="Q3839" s="7" t="n"/>
      <c r="R3839" s="7" t="n"/>
      <c r="U3839">
        <f>IF($C3839="","",IF($AJ3839=1,0,IF($AI3839=1,Settings!$C$6,Settings!$C$7))*100)</f>
        <v/>
      </c>
      <c r="V3839" s="7">
        <f>IF($C3839="","",R3839*U3839/100)</f>
        <v/>
      </c>
      <c r="W3839" s="7">
        <f>IF($C3839="","",R3839-V3839)</f>
        <v/>
      </c>
      <c r="X3839" s="7">
        <f>IF($C3839="","",W3839-K3839)</f>
        <v/>
      </c>
      <c r="AB3839" s="7" t="n"/>
      <c r="AE3839" s="11" t="n"/>
      <c r="AG3839">
        <f>IF($C3839="","",IF(COUNTIF($C$2:$C3839,$C3839)=1,1,0))</f>
        <v/>
      </c>
      <c r="AH3839">
        <f>IF($AG3839=1,SUMPRODUCT(--($AK$2:$AK$6001&lt;$AK3839))+1,"")</f>
        <v/>
      </c>
      <c r="AI3839">
        <f>IF($C3839="","",IF(OR($N3839=TRUE(),$N3839="TRUE"),1,0))</f>
        <v/>
      </c>
      <c r="AJ3839">
        <f>IF($C3839="","",IF($T3839="Yes",1,0))</f>
        <v/>
      </c>
      <c r="AK3839">
        <f>IF($AG3839=1,IFERROR(IF(VALUE($C3839)&lt;100000000,VALUE($C3839),1000000000),IFERROR(IF(VALUE(MID($C3839,2,20))&lt;100000000,VALUE(MID($C3839,2,20)),1000000000),1000000000))+ROW()/100000,"")</f>
        <v/>
      </c>
    </row>
    <row r="3840">
      <c r="D3840" s="11" t="n"/>
      <c r="K3840" s="7">
        <f>IF($C3840="","",J3840*W3840/100)</f>
        <v/>
      </c>
      <c r="Q3840" s="7" t="n"/>
      <c r="R3840" s="7" t="n"/>
      <c r="U3840">
        <f>IF($C3840="","",IF($AJ3840=1,0,IF($AI3840=1,Settings!$C$6,Settings!$C$7))*100)</f>
        <v/>
      </c>
      <c r="V3840" s="7">
        <f>IF($C3840="","",R3840*U3840/100)</f>
        <v/>
      </c>
      <c r="W3840" s="7">
        <f>IF($C3840="","",R3840-V3840)</f>
        <v/>
      </c>
      <c r="X3840" s="7">
        <f>IF($C3840="","",W3840-K3840)</f>
        <v/>
      </c>
      <c r="AB3840" s="7" t="n"/>
      <c r="AE3840" s="11" t="n"/>
      <c r="AG3840">
        <f>IF($C3840="","",IF(COUNTIF($C$2:$C3840,$C3840)=1,1,0))</f>
        <v/>
      </c>
      <c r="AH3840">
        <f>IF($AG3840=1,SUMPRODUCT(--($AK$2:$AK$6001&lt;$AK3840))+1,"")</f>
        <v/>
      </c>
      <c r="AI3840">
        <f>IF($C3840="","",IF(OR($N3840=TRUE(),$N3840="TRUE"),1,0))</f>
        <v/>
      </c>
      <c r="AJ3840">
        <f>IF($C3840="","",IF($T3840="Yes",1,0))</f>
        <v/>
      </c>
      <c r="AK3840">
        <f>IF($AG3840=1,IFERROR(IF(VALUE($C3840)&lt;100000000,VALUE($C3840),1000000000),IFERROR(IF(VALUE(MID($C3840,2,20))&lt;100000000,VALUE(MID($C3840,2,20)),1000000000),1000000000))+ROW()/100000,"")</f>
        <v/>
      </c>
    </row>
    <row r="3841">
      <c r="D3841" s="11" t="n"/>
      <c r="K3841" s="7">
        <f>IF($C3841="","",J3841*W3841/100)</f>
        <v/>
      </c>
      <c r="Q3841" s="7" t="n"/>
      <c r="R3841" s="7" t="n"/>
      <c r="U3841">
        <f>IF($C3841="","",IF($AJ3841=1,0,IF($AI3841=1,Settings!$C$6,Settings!$C$7))*100)</f>
        <v/>
      </c>
      <c r="V3841" s="7">
        <f>IF($C3841="","",R3841*U3841/100)</f>
        <v/>
      </c>
      <c r="W3841" s="7">
        <f>IF($C3841="","",R3841-V3841)</f>
        <v/>
      </c>
      <c r="X3841" s="7">
        <f>IF($C3841="","",W3841-K3841)</f>
        <v/>
      </c>
      <c r="AB3841" s="7" t="n"/>
      <c r="AE3841" s="11" t="n"/>
      <c r="AG3841">
        <f>IF($C3841="","",IF(COUNTIF($C$2:$C3841,$C3841)=1,1,0))</f>
        <v/>
      </c>
      <c r="AH3841">
        <f>IF($AG3841=1,SUMPRODUCT(--($AK$2:$AK$6001&lt;$AK3841))+1,"")</f>
        <v/>
      </c>
      <c r="AI3841">
        <f>IF($C3841="","",IF(OR($N3841=TRUE(),$N3841="TRUE"),1,0))</f>
        <v/>
      </c>
      <c r="AJ3841">
        <f>IF($C3841="","",IF($T3841="Yes",1,0))</f>
        <v/>
      </c>
      <c r="AK3841">
        <f>IF($AG3841=1,IFERROR(IF(VALUE($C3841)&lt;100000000,VALUE($C3841),1000000000),IFERROR(IF(VALUE(MID($C3841,2,20))&lt;100000000,VALUE(MID($C3841,2,20)),1000000000),1000000000))+ROW()/100000,"")</f>
        <v/>
      </c>
    </row>
    <row r="3842">
      <c r="D3842" s="11" t="n"/>
      <c r="K3842" s="7">
        <f>IF($C3842="","",J3842*W3842/100)</f>
        <v/>
      </c>
      <c r="Q3842" s="7" t="n"/>
      <c r="R3842" s="7" t="n"/>
      <c r="U3842">
        <f>IF($C3842="","",IF($AJ3842=1,0,IF($AI3842=1,Settings!$C$6,Settings!$C$7))*100)</f>
        <v/>
      </c>
      <c r="V3842" s="7">
        <f>IF($C3842="","",R3842*U3842/100)</f>
        <v/>
      </c>
      <c r="W3842" s="7">
        <f>IF($C3842="","",R3842-V3842)</f>
        <v/>
      </c>
      <c r="X3842" s="7">
        <f>IF($C3842="","",W3842-K3842)</f>
        <v/>
      </c>
      <c r="AB3842" s="7" t="n"/>
      <c r="AE3842" s="11" t="n"/>
      <c r="AG3842">
        <f>IF($C3842="","",IF(COUNTIF($C$2:$C3842,$C3842)=1,1,0))</f>
        <v/>
      </c>
      <c r="AH3842">
        <f>IF($AG3842=1,SUMPRODUCT(--($AK$2:$AK$6001&lt;$AK3842))+1,"")</f>
        <v/>
      </c>
      <c r="AI3842">
        <f>IF($C3842="","",IF(OR($N3842=TRUE(),$N3842="TRUE"),1,0))</f>
        <v/>
      </c>
      <c r="AJ3842">
        <f>IF($C3842="","",IF($T3842="Yes",1,0))</f>
        <v/>
      </c>
      <c r="AK3842">
        <f>IF($AG3842=1,IFERROR(IF(VALUE($C3842)&lt;100000000,VALUE($C3842),1000000000),IFERROR(IF(VALUE(MID($C3842,2,20))&lt;100000000,VALUE(MID($C3842,2,20)),1000000000),1000000000))+ROW()/100000,"")</f>
        <v/>
      </c>
    </row>
    <row r="3843">
      <c r="D3843" s="11" t="n"/>
      <c r="K3843" s="7">
        <f>IF($C3843="","",J3843*W3843/100)</f>
        <v/>
      </c>
      <c r="Q3843" s="7" t="n"/>
      <c r="R3843" s="7" t="n"/>
      <c r="U3843">
        <f>IF($C3843="","",IF($AJ3843=1,0,IF($AI3843=1,Settings!$C$6,Settings!$C$7))*100)</f>
        <v/>
      </c>
      <c r="V3843" s="7">
        <f>IF($C3843="","",R3843*U3843/100)</f>
        <v/>
      </c>
      <c r="W3843" s="7">
        <f>IF($C3843="","",R3843-V3843)</f>
        <v/>
      </c>
      <c r="X3843" s="7">
        <f>IF($C3843="","",W3843-K3843)</f>
        <v/>
      </c>
      <c r="AB3843" s="7" t="n"/>
      <c r="AE3843" s="11" t="n"/>
      <c r="AG3843">
        <f>IF($C3843="","",IF(COUNTIF($C$2:$C3843,$C3843)=1,1,0))</f>
        <v/>
      </c>
      <c r="AH3843">
        <f>IF($AG3843=1,SUMPRODUCT(--($AK$2:$AK$6001&lt;$AK3843))+1,"")</f>
        <v/>
      </c>
      <c r="AI3843">
        <f>IF($C3843="","",IF(OR($N3843=TRUE(),$N3843="TRUE"),1,0))</f>
        <v/>
      </c>
      <c r="AJ3843">
        <f>IF($C3843="","",IF($T3843="Yes",1,0))</f>
        <v/>
      </c>
      <c r="AK3843">
        <f>IF($AG3843=1,IFERROR(IF(VALUE($C3843)&lt;100000000,VALUE($C3843),1000000000),IFERROR(IF(VALUE(MID($C3843,2,20))&lt;100000000,VALUE(MID($C3843,2,20)),1000000000),1000000000))+ROW()/100000,"")</f>
        <v/>
      </c>
    </row>
    <row r="3844">
      <c r="D3844" s="11" t="n"/>
      <c r="K3844" s="7">
        <f>IF($C3844="","",J3844*W3844/100)</f>
        <v/>
      </c>
      <c r="Q3844" s="7" t="n"/>
      <c r="R3844" s="7" t="n"/>
      <c r="U3844">
        <f>IF($C3844="","",IF($AJ3844=1,0,IF($AI3844=1,Settings!$C$6,Settings!$C$7))*100)</f>
        <v/>
      </c>
      <c r="V3844" s="7">
        <f>IF($C3844="","",R3844*U3844/100)</f>
        <v/>
      </c>
      <c r="W3844" s="7">
        <f>IF($C3844="","",R3844-V3844)</f>
        <v/>
      </c>
      <c r="X3844" s="7">
        <f>IF($C3844="","",W3844-K3844)</f>
        <v/>
      </c>
      <c r="AB3844" s="7" t="n"/>
      <c r="AE3844" s="11" t="n"/>
      <c r="AG3844">
        <f>IF($C3844="","",IF(COUNTIF($C$2:$C3844,$C3844)=1,1,0))</f>
        <v/>
      </c>
      <c r="AH3844">
        <f>IF($AG3844=1,SUMPRODUCT(--($AK$2:$AK$6001&lt;$AK3844))+1,"")</f>
        <v/>
      </c>
      <c r="AI3844">
        <f>IF($C3844="","",IF(OR($N3844=TRUE(),$N3844="TRUE"),1,0))</f>
        <v/>
      </c>
      <c r="AJ3844">
        <f>IF($C3844="","",IF($T3844="Yes",1,0))</f>
        <v/>
      </c>
      <c r="AK3844">
        <f>IF($AG3844=1,IFERROR(IF(VALUE($C3844)&lt;100000000,VALUE($C3844),1000000000),IFERROR(IF(VALUE(MID($C3844,2,20))&lt;100000000,VALUE(MID($C3844,2,20)),1000000000),1000000000))+ROW()/100000,"")</f>
        <v/>
      </c>
    </row>
    <row r="3845">
      <c r="D3845" s="11" t="n"/>
      <c r="K3845" s="7">
        <f>IF($C3845="","",J3845*W3845/100)</f>
        <v/>
      </c>
      <c r="Q3845" s="7" t="n"/>
      <c r="R3845" s="7" t="n"/>
      <c r="U3845">
        <f>IF($C3845="","",IF($AJ3845=1,0,IF($AI3845=1,Settings!$C$6,Settings!$C$7))*100)</f>
        <v/>
      </c>
      <c r="V3845" s="7">
        <f>IF($C3845="","",R3845*U3845/100)</f>
        <v/>
      </c>
      <c r="W3845" s="7">
        <f>IF($C3845="","",R3845-V3845)</f>
        <v/>
      </c>
      <c r="X3845" s="7">
        <f>IF($C3845="","",W3845-K3845)</f>
        <v/>
      </c>
      <c r="AB3845" s="7" t="n"/>
      <c r="AE3845" s="11" t="n"/>
      <c r="AG3845">
        <f>IF($C3845="","",IF(COUNTIF($C$2:$C3845,$C3845)=1,1,0))</f>
        <v/>
      </c>
      <c r="AH3845">
        <f>IF($AG3845=1,SUMPRODUCT(--($AK$2:$AK$6001&lt;$AK3845))+1,"")</f>
        <v/>
      </c>
      <c r="AI3845">
        <f>IF($C3845="","",IF(OR($N3845=TRUE(),$N3845="TRUE"),1,0))</f>
        <v/>
      </c>
      <c r="AJ3845">
        <f>IF($C3845="","",IF($T3845="Yes",1,0))</f>
        <v/>
      </c>
      <c r="AK3845">
        <f>IF($AG3845=1,IFERROR(IF(VALUE($C3845)&lt;100000000,VALUE($C3845),1000000000),IFERROR(IF(VALUE(MID($C3845,2,20))&lt;100000000,VALUE(MID($C3845,2,20)),1000000000),1000000000))+ROW()/100000,"")</f>
        <v/>
      </c>
    </row>
    <row r="3846">
      <c r="D3846" s="11" t="n"/>
      <c r="K3846" s="7">
        <f>IF($C3846="","",J3846*W3846/100)</f>
        <v/>
      </c>
      <c r="Q3846" s="7" t="n"/>
      <c r="R3846" s="7" t="n"/>
      <c r="U3846">
        <f>IF($C3846="","",IF($AJ3846=1,0,IF($AI3846=1,Settings!$C$6,Settings!$C$7))*100)</f>
        <v/>
      </c>
      <c r="V3846" s="7">
        <f>IF($C3846="","",R3846*U3846/100)</f>
        <v/>
      </c>
      <c r="W3846" s="7">
        <f>IF($C3846="","",R3846-V3846)</f>
        <v/>
      </c>
      <c r="X3846" s="7">
        <f>IF($C3846="","",W3846-K3846)</f>
        <v/>
      </c>
      <c r="AB3846" s="7" t="n"/>
      <c r="AE3846" s="11" t="n"/>
      <c r="AG3846">
        <f>IF($C3846="","",IF(COUNTIF($C$2:$C3846,$C3846)=1,1,0))</f>
        <v/>
      </c>
      <c r="AH3846">
        <f>IF($AG3846=1,SUMPRODUCT(--($AK$2:$AK$6001&lt;$AK3846))+1,"")</f>
        <v/>
      </c>
      <c r="AI3846">
        <f>IF($C3846="","",IF(OR($N3846=TRUE(),$N3846="TRUE"),1,0))</f>
        <v/>
      </c>
      <c r="AJ3846">
        <f>IF($C3846="","",IF($T3846="Yes",1,0))</f>
        <v/>
      </c>
      <c r="AK3846">
        <f>IF($AG3846=1,IFERROR(IF(VALUE($C3846)&lt;100000000,VALUE($C3846),1000000000),IFERROR(IF(VALUE(MID($C3846,2,20))&lt;100000000,VALUE(MID($C3846,2,20)),1000000000),1000000000))+ROW()/100000,"")</f>
        <v/>
      </c>
    </row>
    <row r="3847">
      <c r="D3847" s="11" t="n"/>
      <c r="K3847" s="7">
        <f>IF($C3847="","",J3847*W3847/100)</f>
        <v/>
      </c>
      <c r="Q3847" s="7" t="n"/>
      <c r="R3847" s="7" t="n"/>
      <c r="U3847">
        <f>IF($C3847="","",IF($AJ3847=1,0,IF($AI3847=1,Settings!$C$6,Settings!$C$7))*100)</f>
        <v/>
      </c>
      <c r="V3847" s="7">
        <f>IF($C3847="","",R3847*U3847/100)</f>
        <v/>
      </c>
      <c r="W3847" s="7">
        <f>IF($C3847="","",R3847-V3847)</f>
        <v/>
      </c>
      <c r="X3847" s="7">
        <f>IF($C3847="","",W3847-K3847)</f>
        <v/>
      </c>
      <c r="AB3847" s="7" t="n"/>
      <c r="AE3847" s="11" t="n"/>
      <c r="AG3847">
        <f>IF($C3847="","",IF(COUNTIF($C$2:$C3847,$C3847)=1,1,0))</f>
        <v/>
      </c>
      <c r="AH3847">
        <f>IF($AG3847=1,SUMPRODUCT(--($AK$2:$AK$6001&lt;$AK3847))+1,"")</f>
        <v/>
      </c>
      <c r="AI3847">
        <f>IF($C3847="","",IF(OR($N3847=TRUE(),$N3847="TRUE"),1,0))</f>
        <v/>
      </c>
      <c r="AJ3847">
        <f>IF($C3847="","",IF($T3847="Yes",1,0))</f>
        <v/>
      </c>
      <c r="AK3847">
        <f>IF($AG3847=1,IFERROR(IF(VALUE($C3847)&lt;100000000,VALUE($C3847),1000000000),IFERROR(IF(VALUE(MID($C3847,2,20))&lt;100000000,VALUE(MID($C3847,2,20)),1000000000),1000000000))+ROW()/100000,"")</f>
        <v/>
      </c>
    </row>
    <row r="3848">
      <c r="D3848" s="11" t="n"/>
      <c r="K3848" s="7">
        <f>IF($C3848="","",J3848*W3848/100)</f>
        <v/>
      </c>
      <c r="Q3848" s="7" t="n"/>
      <c r="R3848" s="7" t="n"/>
      <c r="U3848">
        <f>IF($C3848="","",IF($AJ3848=1,0,IF($AI3848=1,Settings!$C$6,Settings!$C$7))*100)</f>
        <v/>
      </c>
      <c r="V3848" s="7">
        <f>IF($C3848="","",R3848*U3848/100)</f>
        <v/>
      </c>
      <c r="W3848" s="7">
        <f>IF($C3848="","",R3848-V3848)</f>
        <v/>
      </c>
      <c r="X3848" s="7">
        <f>IF($C3848="","",W3848-K3848)</f>
        <v/>
      </c>
      <c r="AB3848" s="7" t="n"/>
      <c r="AE3848" s="11" t="n"/>
      <c r="AG3848">
        <f>IF($C3848="","",IF(COUNTIF($C$2:$C3848,$C3848)=1,1,0))</f>
        <v/>
      </c>
      <c r="AH3848">
        <f>IF($AG3848=1,SUMPRODUCT(--($AK$2:$AK$6001&lt;$AK3848))+1,"")</f>
        <v/>
      </c>
      <c r="AI3848">
        <f>IF($C3848="","",IF(OR($N3848=TRUE(),$N3848="TRUE"),1,0))</f>
        <v/>
      </c>
      <c r="AJ3848">
        <f>IF($C3848="","",IF($T3848="Yes",1,0))</f>
        <v/>
      </c>
      <c r="AK3848">
        <f>IF($AG3848=1,IFERROR(IF(VALUE($C3848)&lt;100000000,VALUE($C3848),1000000000),IFERROR(IF(VALUE(MID($C3848,2,20))&lt;100000000,VALUE(MID($C3848,2,20)),1000000000),1000000000))+ROW()/100000,"")</f>
        <v/>
      </c>
    </row>
    <row r="3849">
      <c r="D3849" s="11" t="n"/>
      <c r="K3849" s="7">
        <f>IF($C3849="","",J3849*W3849/100)</f>
        <v/>
      </c>
      <c r="Q3849" s="7" t="n"/>
      <c r="R3849" s="7" t="n"/>
      <c r="U3849">
        <f>IF($C3849="","",IF($AJ3849=1,0,IF($AI3849=1,Settings!$C$6,Settings!$C$7))*100)</f>
        <v/>
      </c>
      <c r="V3849" s="7">
        <f>IF($C3849="","",R3849*U3849/100)</f>
        <v/>
      </c>
      <c r="W3849" s="7">
        <f>IF($C3849="","",R3849-V3849)</f>
        <v/>
      </c>
      <c r="X3849" s="7">
        <f>IF($C3849="","",W3849-K3849)</f>
        <v/>
      </c>
      <c r="AB3849" s="7" t="n"/>
      <c r="AE3849" s="11" t="n"/>
      <c r="AG3849">
        <f>IF($C3849="","",IF(COUNTIF($C$2:$C3849,$C3849)=1,1,0))</f>
        <v/>
      </c>
      <c r="AH3849">
        <f>IF($AG3849=1,SUMPRODUCT(--($AK$2:$AK$6001&lt;$AK3849))+1,"")</f>
        <v/>
      </c>
      <c r="AI3849">
        <f>IF($C3849="","",IF(OR($N3849=TRUE(),$N3849="TRUE"),1,0))</f>
        <v/>
      </c>
      <c r="AJ3849">
        <f>IF($C3849="","",IF($T3849="Yes",1,0))</f>
        <v/>
      </c>
      <c r="AK3849">
        <f>IF($AG3849=1,IFERROR(IF(VALUE($C3849)&lt;100000000,VALUE($C3849),1000000000),IFERROR(IF(VALUE(MID($C3849,2,20))&lt;100000000,VALUE(MID($C3849,2,20)),1000000000),1000000000))+ROW()/100000,"")</f>
        <v/>
      </c>
    </row>
    <row r="3850">
      <c r="D3850" s="11" t="n"/>
      <c r="K3850" s="7">
        <f>IF($C3850="","",J3850*W3850/100)</f>
        <v/>
      </c>
      <c r="Q3850" s="7" t="n"/>
      <c r="R3850" s="7" t="n"/>
      <c r="U3850">
        <f>IF($C3850="","",IF($AJ3850=1,0,IF($AI3850=1,Settings!$C$6,Settings!$C$7))*100)</f>
        <v/>
      </c>
      <c r="V3850" s="7">
        <f>IF($C3850="","",R3850*U3850/100)</f>
        <v/>
      </c>
      <c r="W3850" s="7">
        <f>IF($C3850="","",R3850-V3850)</f>
        <v/>
      </c>
      <c r="X3850" s="7">
        <f>IF($C3850="","",W3850-K3850)</f>
        <v/>
      </c>
      <c r="AB3850" s="7" t="n"/>
      <c r="AE3850" s="11" t="n"/>
      <c r="AG3850">
        <f>IF($C3850="","",IF(COUNTIF($C$2:$C3850,$C3850)=1,1,0))</f>
        <v/>
      </c>
      <c r="AH3850">
        <f>IF($AG3850=1,SUMPRODUCT(--($AK$2:$AK$6001&lt;$AK3850))+1,"")</f>
        <v/>
      </c>
      <c r="AI3850">
        <f>IF($C3850="","",IF(OR($N3850=TRUE(),$N3850="TRUE"),1,0))</f>
        <v/>
      </c>
      <c r="AJ3850">
        <f>IF($C3850="","",IF($T3850="Yes",1,0))</f>
        <v/>
      </c>
      <c r="AK3850">
        <f>IF($AG3850=1,IFERROR(IF(VALUE($C3850)&lt;100000000,VALUE($C3850),1000000000),IFERROR(IF(VALUE(MID($C3850,2,20))&lt;100000000,VALUE(MID($C3850,2,20)),1000000000),1000000000))+ROW()/100000,"")</f>
        <v/>
      </c>
    </row>
    <row r="3851">
      <c r="D3851" s="11" t="n"/>
      <c r="K3851" s="7">
        <f>IF($C3851="","",J3851*W3851/100)</f>
        <v/>
      </c>
      <c r="Q3851" s="7" t="n"/>
      <c r="R3851" s="7" t="n"/>
      <c r="U3851">
        <f>IF($C3851="","",IF($AJ3851=1,0,IF($AI3851=1,Settings!$C$6,Settings!$C$7))*100)</f>
        <v/>
      </c>
      <c r="V3851" s="7">
        <f>IF($C3851="","",R3851*U3851/100)</f>
        <v/>
      </c>
      <c r="W3851" s="7">
        <f>IF($C3851="","",R3851-V3851)</f>
        <v/>
      </c>
      <c r="X3851" s="7">
        <f>IF($C3851="","",W3851-K3851)</f>
        <v/>
      </c>
      <c r="AB3851" s="7" t="n"/>
      <c r="AE3851" s="11" t="n"/>
      <c r="AG3851">
        <f>IF($C3851="","",IF(COUNTIF($C$2:$C3851,$C3851)=1,1,0))</f>
        <v/>
      </c>
      <c r="AH3851">
        <f>IF($AG3851=1,SUMPRODUCT(--($AK$2:$AK$6001&lt;$AK3851))+1,"")</f>
        <v/>
      </c>
      <c r="AI3851">
        <f>IF($C3851="","",IF(OR($N3851=TRUE(),$N3851="TRUE"),1,0))</f>
        <v/>
      </c>
      <c r="AJ3851">
        <f>IF($C3851="","",IF($T3851="Yes",1,0))</f>
        <v/>
      </c>
      <c r="AK3851">
        <f>IF($AG3851=1,IFERROR(IF(VALUE($C3851)&lt;100000000,VALUE($C3851),1000000000),IFERROR(IF(VALUE(MID($C3851,2,20))&lt;100000000,VALUE(MID($C3851,2,20)),1000000000),1000000000))+ROW()/100000,"")</f>
        <v/>
      </c>
    </row>
    <row r="3852">
      <c r="D3852" s="11" t="n"/>
      <c r="K3852" s="7">
        <f>IF($C3852="","",J3852*W3852/100)</f>
        <v/>
      </c>
      <c r="Q3852" s="7" t="n"/>
      <c r="R3852" s="7" t="n"/>
      <c r="U3852">
        <f>IF($C3852="","",IF($AJ3852=1,0,IF($AI3852=1,Settings!$C$6,Settings!$C$7))*100)</f>
        <v/>
      </c>
      <c r="V3852" s="7">
        <f>IF($C3852="","",R3852*U3852/100)</f>
        <v/>
      </c>
      <c r="W3852" s="7">
        <f>IF($C3852="","",R3852-V3852)</f>
        <v/>
      </c>
      <c r="X3852" s="7">
        <f>IF($C3852="","",W3852-K3852)</f>
        <v/>
      </c>
      <c r="AB3852" s="7" t="n"/>
      <c r="AE3852" s="11" t="n"/>
      <c r="AG3852">
        <f>IF($C3852="","",IF(COUNTIF($C$2:$C3852,$C3852)=1,1,0))</f>
        <v/>
      </c>
      <c r="AH3852">
        <f>IF($AG3852=1,SUMPRODUCT(--($AK$2:$AK$6001&lt;$AK3852))+1,"")</f>
        <v/>
      </c>
      <c r="AI3852">
        <f>IF($C3852="","",IF(OR($N3852=TRUE(),$N3852="TRUE"),1,0))</f>
        <v/>
      </c>
      <c r="AJ3852">
        <f>IF($C3852="","",IF($T3852="Yes",1,0))</f>
        <v/>
      </c>
      <c r="AK3852">
        <f>IF($AG3852=1,IFERROR(IF(VALUE($C3852)&lt;100000000,VALUE($C3852),1000000000),IFERROR(IF(VALUE(MID($C3852,2,20))&lt;100000000,VALUE(MID($C3852,2,20)),1000000000),1000000000))+ROW()/100000,"")</f>
        <v/>
      </c>
    </row>
    <row r="3853">
      <c r="D3853" s="11" t="n"/>
      <c r="K3853" s="7">
        <f>IF($C3853="","",J3853*W3853/100)</f>
        <v/>
      </c>
      <c r="Q3853" s="7" t="n"/>
      <c r="R3853" s="7" t="n"/>
      <c r="U3853">
        <f>IF($C3853="","",IF($AJ3853=1,0,IF($AI3853=1,Settings!$C$6,Settings!$C$7))*100)</f>
        <v/>
      </c>
      <c r="V3853" s="7">
        <f>IF($C3853="","",R3853*U3853/100)</f>
        <v/>
      </c>
      <c r="W3853" s="7">
        <f>IF($C3853="","",R3853-V3853)</f>
        <v/>
      </c>
      <c r="X3853" s="7">
        <f>IF($C3853="","",W3853-K3853)</f>
        <v/>
      </c>
      <c r="AB3853" s="7" t="n"/>
      <c r="AE3853" s="11" t="n"/>
      <c r="AG3853">
        <f>IF($C3853="","",IF(COUNTIF($C$2:$C3853,$C3853)=1,1,0))</f>
        <v/>
      </c>
      <c r="AH3853">
        <f>IF($AG3853=1,SUMPRODUCT(--($AK$2:$AK$6001&lt;$AK3853))+1,"")</f>
        <v/>
      </c>
      <c r="AI3853">
        <f>IF($C3853="","",IF(OR($N3853=TRUE(),$N3853="TRUE"),1,0))</f>
        <v/>
      </c>
      <c r="AJ3853">
        <f>IF($C3853="","",IF($T3853="Yes",1,0))</f>
        <v/>
      </c>
      <c r="AK3853">
        <f>IF($AG3853=1,IFERROR(IF(VALUE($C3853)&lt;100000000,VALUE($C3853),1000000000),IFERROR(IF(VALUE(MID($C3853,2,20))&lt;100000000,VALUE(MID($C3853,2,20)),1000000000),1000000000))+ROW()/100000,"")</f>
        <v/>
      </c>
    </row>
    <row r="3854">
      <c r="D3854" s="11" t="n"/>
      <c r="K3854" s="7">
        <f>IF($C3854="","",J3854*W3854/100)</f>
        <v/>
      </c>
      <c r="Q3854" s="7" t="n"/>
      <c r="R3854" s="7" t="n"/>
      <c r="U3854">
        <f>IF($C3854="","",IF($AJ3854=1,0,IF($AI3854=1,Settings!$C$6,Settings!$C$7))*100)</f>
        <v/>
      </c>
      <c r="V3854" s="7">
        <f>IF($C3854="","",R3854*U3854/100)</f>
        <v/>
      </c>
      <c r="W3854" s="7">
        <f>IF($C3854="","",R3854-V3854)</f>
        <v/>
      </c>
      <c r="X3854" s="7">
        <f>IF($C3854="","",W3854-K3854)</f>
        <v/>
      </c>
      <c r="AB3854" s="7" t="n"/>
      <c r="AE3854" s="11" t="n"/>
      <c r="AG3854">
        <f>IF($C3854="","",IF(COUNTIF($C$2:$C3854,$C3854)=1,1,0))</f>
        <v/>
      </c>
      <c r="AH3854">
        <f>IF($AG3854=1,SUMPRODUCT(--($AK$2:$AK$6001&lt;$AK3854))+1,"")</f>
        <v/>
      </c>
      <c r="AI3854">
        <f>IF($C3854="","",IF(OR($N3854=TRUE(),$N3854="TRUE"),1,0))</f>
        <v/>
      </c>
      <c r="AJ3854">
        <f>IF($C3854="","",IF($T3854="Yes",1,0))</f>
        <v/>
      </c>
      <c r="AK3854">
        <f>IF($AG3854=1,IFERROR(IF(VALUE($C3854)&lt;100000000,VALUE($C3854),1000000000),IFERROR(IF(VALUE(MID($C3854,2,20))&lt;100000000,VALUE(MID($C3854,2,20)),1000000000),1000000000))+ROW()/100000,"")</f>
        <v/>
      </c>
    </row>
    <row r="3855">
      <c r="D3855" s="11" t="n"/>
      <c r="K3855" s="7">
        <f>IF($C3855="","",J3855*W3855/100)</f>
        <v/>
      </c>
      <c r="Q3855" s="7" t="n"/>
      <c r="R3855" s="7" t="n"/>
      <c r="U3855">
        <f>IF($C3855="","",IF($AJ3855=1,0,IF($AI3855=1,Settings!$C$6,Settings!$C$7))*100)</f>
        <v/>
      </c>
      <c r="V3855" s="7">
        <f>IF($C3855="","",R3855*U3855/100)</f>
        <v/>
      </c>
      <c r="W3855" s="7">
        <f>IF($C3855="","",R3855-V3855)</f>
        <v/>
      </c>
      <c r="X3855" s="7">
        <f>IF($C3855="","",W3855-K3855)</f>
        <v/>
      </c>
      <c r="AB3855" s="7" t="n"/>
      <c r="AE3855" s="11" t="n"/>
      <c r="AG3855">
        <f>IF($C3855="","",IF(COUNTIF($C$2:$C3855,$C3855)=1,1,0))</f>
        <v/>
      </c>
      <c r="AH3855">
        <f>IF($AG3855=1,SUMPRODUCT(--($AK$2:$AK$6001&lt;$AK3855))+1,"")</f>
        <v/>
      </c>
      <c r="AI3855">
        <f>IF($C3855="","",IF(OR($N3855=TRUE(),$N3855="TRUE"),1,0))</f>
        <v/>
      </c>
      <c r="AJ3855">
        <f>IF($C3855="","",IF($T3855="Yes",1,0))</f>
        <v/>
      </c>
      <c r="AK3855">
        <f>IF($AG3855=1,IFERROR(IF(VALUE($C3855)&lt;100000000,VALUE($C3855),1000000000),IFERROR(IF(VALUE(MID($C3855,2,20))&lt;100000000,VALUE(MID($C3855,2,20)),1000000000),1000000000))+ROW()/100000,"")</f>
        <v/>
      </c>
    </row>
    <row r="3856">
      <c r="D3856" s="11" t="n"/>
      <c r="K3856" s="7">
        <f>IF($C3856="","",J3856*W3856/100)</f>
        <v/>
      </c>
      <c r="Q3856" s="7" t="n"/>
      <c r="R3856" s="7" t="n"/>
      <c r="U3856">
        <f>IF($C3856="","",IF($AJ3856=1,0,IF($AI3856=1,Settings!$C$6,Settings!$C$7))*100)</f>
        <v/>
      </c>
      <c r="V3856" s="7">
        <f>IF($C3856="","",R3856*U3856/100)</f>
        <v/>
      </c>
      <c r="W3856" s="7">
        <f>IF($C3856="","",R3856-V3856)</f>
        <v/>
      </c>
      <c r="X3856" s="7">
        <f>IF($C3856="","",W3856-K3856)</f>
        <v/>
      </c>
      <c r="AB3856" s="7" t="n"/>
      <c r="AE3856" s="11" t="n"/>
      <c r="AG3856">
        <f>IF($C3856="","",IF(COUNTIF($C$2:$C3856,$C3856)=1,1,0))</f>
        <v/>
      </c>
      <c r="AH3856">
        <f>IF($AG3856=1,SUMPRODUCT(--($AK$2:$AK$6001&lt;$AK3856))+1,"")</f>
        <v/>
      </c>
      <c r="AI3856">
        <f>IF($C3856="","",IF(OR($N3856=TRUE(),$N3856="TRUE"),1,0))</f>
        <v/>
      </c>
      <c r="AJ3856">
        <f>IF($C3856="","",IF($T3856="Yes",1,0))</f>
        <v/>
      </c>
      <c r="AK3856">
        <f>IF($AG3856=1,IFERROR(IF(VALUE($C3856)&lt;100000000,VALUE($C3856),1000000000),IFERROR(IF(VALUE(MID($C3856,2,20))&lt;100000000,VALUE(MID($C3856,2,20)),1000000000),1000000000))+ROW()/100000,"")</f>
        <v/>
      </c>
    </row>
    <row r="3857">
      <c r="D3857" s="11" t="n"/>
      <c r="K3857" s="7">
        <f>IF($C3857="","",J3857*W3857/100)</f>
        <v/>
      </c>
      <c r="Q3857" s="7" t="n"/>
      <c r="R3857" s="7" t="n"/>
      <c r="U3857">
        <f>IF($C3857="","",IF($AJ3857=1,0,IF($AI3857=1,Settings!$C$6,Settings!$C$7))*100)</f>
        <v/>
      </c>
      <c r="V3857" s="7">
        <f>IF($C3857="","",R3857*U3857/100)</f>
        <v/>
      </c>
      <c r="W3857" s="7">
        <f>IF($C3857="","",R3857-V3857)</f>
        <v/>
      </c>
      <c r="X3857" s="7">
        <f>IF($C3857="","",W3857-K3857)</f>
        <v/>
      </c>
      <c r="AB3857" s="7" t="n"/>
      <c r="AE3857" s="11" t="n"/>
      <c r="AG3857">
        <f>IF($C3857="","",IF(COUNTIF($C$2:$C3857,$C3857)=1,1,0))</f>
        <v/>
      </c>
      <c r="AH3857">
        <f>IF($AG3857=1,SUMPRODUCT(--($AK$2:$AK$6001&lt;$AK3857))+1,"")</f>
        <v/>
      </c>
      <c r="AI3857">
        <f>IF($C3857="","",IF(OR($N3857=TRUE(),$N3857="TRUE"),1,0))</f>
        <v/>
      </c>
      <c r="AJ3857">
        <f>IF($C3857="","",IF($T3857="Yes",1,0))</f>
        <v/>
      </c>
      <c r="AK3857">
        <f>IF($AG3857=1,IFERROR(IF(VALUE($C3857)&lt;100000000,VALUE($C3857),1000000000),IFERROR(IF(VALUE(MID($C3857,2,20))&lt;100000000,VALUE(MID($C3857,2,20)),1000000000),1000000000))+ROW()/100000,"")</f>
        <v/>
      </c>
    </row>
    <row r="3858">
      <c r="D3858" s="11" t="n"/>
      <c r="K3858" s="7">
        <f>IF($C3858="","",J3858*W3858/100)</f>
        <v/>
      </c>
      <c r="Q3858" s="7" t="n"/>
      <c r="R3858" s="7" t="n"/>
      <c r="U3858">
        <f>IF($C3858="","",IF($AJ3858=1,0,IF($AI3858=1,Settings!$C$6,Settings!$C$7))*100)</f>
        <v/>
      </c>
      <c r="V3858" s="7">
        <f>IF($C3858="","",R3858*U3858/100)</f>
        <v/>
      </c>
      <c r="W3858" s="7">
        <f>IF($C3858="","",R3858-V3858)</f>
        <v/>
      </c>
      <c r="X3858" s="7">
        <f>IF($C3858="","",W3858-K3858)</f>
        <v/>
      </c>
      <c r="AB3858" s="7" t="n"/>
      <c r="AE3858" s="11" t="n"/>
      <c r="AG3858">
        <f>IF($C3858="","",IF(COUNTIF($C$2:$C3858,$C3858)=1,1,0))</f>
        <v/>
      </c>
      <c r="AH3858">
        <f>IF($AG3858=1,SUMPRODUCT(--($AK$2:$AK$6001&lt;$AK3858))+1,"")</f>
        <v/>
      </c>
      <c r="AI3858">
        <f>IF($C3858="","",IF(OR($N3858=TRUE(),$N3858="TRUE"),1,0))</f>
        <v/>
      </c>
      <c r="AJ3858">
        <f>IF($C3858="","",IF($T3858="Yes",1,0))</f>
        <v/>
      </c>
      <c r="AK3858">
        <f>IF($AG3858=1,IFERROR(IF(VALUE($C3858)&lt;100000000,VALUE($C3858),1000000000),IFERROR(IF(VALUE(MID($C3858,2,20))&lt;100000000,VALUE(MID($C3858,2,20)),1000000000),1000000000))+ROW()/100000,"")</f>
        <v/>
      </c>
    </row>
    <row r="3859">
      <c r="D3859" s="11" t="n"/>
      <c r="K3859" s="7">
        <f>IF($C3859="","",J3859*W3859/100)</f>
        <v/>
      </c>
      <c r="Q3859" s="7" t="n"/>
      <c r="R3859" s="7" t="n"/>
      <c r="U3859">
        <f>IF($C3859="","",IF($AJ3859=1,0,IF($AI3859=1,Settings!$C$6,Settings!$C$7))*100)</f>
        <v/>
      </c>
      <c r="V3859" s="7">
        <f>IF($C3859="","",R3859*U3859/100)</f>
        <v/>
      </c>
      <c r="W3859" s="7">
        <f>IF($C3859="","",R3859-V3859)</f>
        <v/>
      </c>
      <c r="X3859" s="7">
        <f>IF($C3859="","",W3859-K3859)</f>
        <v/>
      </c>
      <c r="AB3859" s="7" t="n"/>
      <c r="AE3859" s="11" t="n"/>
      <c r="AG3859">
        <f>IF($C3859="","",IF(COUNTIF($C$2:$C3859,$C3859)=1,1,0))</f>
        <v/>
      </c>
      <c r="AH3859">
        <f>IF($AG3859=1,SUMPRODUCT(--($AK$2:$AK$6001&lt;$AK3859))+1,"")</f>
        <v/>
      </c>
      <c r="AI3859">
        <f>IF($C3859="","",IF(OR($N3859=TRUE(),$N3859="TRUE"),1,0))</f>
        <v/>
      </c>
      <c r="AJ3859">
        <f>IF($C3859="","",IF($T3859="Yes",1,0))</f>
        <v/>
      </c>
      <c r="AK3859">
        <f>IF($AG3859=1,IFERROR(IF(VALUE($C3859)&lt;100000000,VALUE($C3859),1000000000),IFERROR(IF(VALUE(MID($C3859,2,20))&lt;100000000,VALUE(MID($C3859,2,20)),1000000000),1000000000))+ROW()/100000,"")</f>
        <v/>
      </c>
    </row>
    <row r="3860">
      <c r="D3860" s="11" t="n"/>
      <c r="K3860" s="7">
        <f>IF($C3860="","",J3860*W3860/100)</f>
        <v/>
      </c>
      <c r="Q3860" s="7" t="n"/>
      <c r="R3860" s="7" t="n"/>
      <c r="U3860">
        <f>IF($C3860="","",IF($AJ3860=1,0,IF($AI3860=1,Settings!$C$6,Settings!$C$7))*100)</f>
        <v/>
      </c>
      <c r="V3860" s="7">
        <f>IF($C3860="","",R3860*U3860/100)</f>
        <v/>
      </c>
      <c r="W3860" s="7">
        <f>IF($C3860="","",R3860-V3860)</f>
        <v/>
      </c>
      <c r="X3860" s="7">
        <f>IF($C3860="","",W3860-K3860)</f>
        <v/>
      </c>
      <c r="AB3860" s="7" t="n"/>
      <c r="AE3860" s="11" t="n"/>
      <c r="AG3860">
        <f>IF($C3860="","",IF(COUNTIF($C$2:$C3860,$C3860)=1,1,0))</f>
        <v/>
      </c>
      <c r="AH3860">
        <f>IF($AG3860=1,SUMPRODUCT(--($AK$2:$AK$6001&lt;$AK3860))+1,"")</f>
        <v/>
      </c>
      <c r="AI3860">
        <f>IF($C3860="","",IF(OR($N3860=TRUE(),$N3860="TRUE"),1,0))</f>
        <v/>
      </c>
      <c r="AJ3860">
        <f>IF($C3860="","",IF($T3860="Yes",1,0))</f>
        <v/>
      </c>
      <c r="AK3860">
        <f>IF($AG3860=1,IFERROR(IF(VALUE($C3860)&lt;100000000,VALUE($C3860),1000000000),IFERROR(IF(VALUE(MID($C3860,2,20))&lt;100000000,VALUE(MID($C3860,2,20)),1000000000),1000000000))+ROW()/100000,"")</f>
        <v/>
      </c>
    </row>
    <row r="3861">
      <c r="D3861" s="11" t="n"/>
      <c r="K3861" s="7">
        <f>IF($C3861="","",J3861*W3861/100)</f>
        <v/>
      </c>
      <c r="Q3861" s="7" t="n"/>
      <c r="R3861" s="7" t="n"/>
      <c r="U3861">
        <f>IF($C3861="","",IF($AJ3861=1,0,IF($AI3861=1,Settings!$C$6,Settings!$C$7))*100)</f>
        <v/>
      </c>
      <c r="V3861" s="7">
        <f>IF($C3861="","",R3861*U3861/100)</f>
        <v/>
      </c>
      <c r="W3861" s="7">
        <f>IF($C3861="","",R3861-V3861)</f>
        <v/>
      </c>
      <c r="X3861" s="7">
        <f>IF($C3861="","",W3861-K3861)</f>
        <v/>
      </c>
      <c r="AB3861" s="7" t="n"/>
      <c r="AE3861" s="11" t="n"/>
      <c r="AG3861">
        <f>IF($C3861="","",IF(COUNTIF($C$2:$C3861,$C3861)=1,1,0))</f>
        <v/>
      </c>
      <c r="AH3861">
        <f>IF($AG3861=1,SUMPRODUCT(--($AK$2:$AK$6001&lt;$AK3861))+1,"")</f>
        <v/>
      </c>
      <c r="AI3861">
        <f>IF($C3861="","",IF(OR($N3861=TRUE(),$N3861="TRUE"),1,0))</f>
        <v/>
      </c>
      <c r="AJ3861">
        <f>IF($C3861="","",IF($T3861="Yes",1,0))</f>
        <v/>
      </c>
      <c r="AK3861">
        <f>IF($AG3861=1,IFERROR(IF(VALUE($C3861)&lt;100000000,VALUE($C3861),1000000000),IFERROR(IF(VALUE(MID($C3861,2,20))&lt;100000000,VALUE(MID($C3861,2,20)),1000000000),1000000000))+ROW()/100000,"")</f>
        <v/>
      </c>
    </row>
    <row r="3862">
      <c r="D3862" s="11" t="n"/>
      <c r="K3862" s="7">
        <f>IF($C3862="","",J3862*W3862/100)</f>
        <v/>
      </c>
      <c r="Q3862" s="7" t="n"/>
      <c r="R3862" s="7" t="n"/>
      <c r="U3862">
        <f>IF($C3862="","",IF($AJ3862=1,0,IF($AI3862=1,Settings!$C$6,Settings!$C$7))*100)</f>
        <v/>
      </c>
      <c r="V3862" s="7">
        <f>IF($C3862="","",R3862*U3862/100)</f>
        <v/>
      </c>
      <c r="W3862" s="7">
        <f>IF($C3862="","",R3862-V3862)</f>
        <v/>
      </c>
      <c r="X3862" s="7">
        <f>IF($C3862="","",W3862-K3862)</f>
        <v/>
      </c>
      <c r="AB3862" s="7" t="n"/>
      <c r="AE3862" s="11" t="n"/>
      <c r="AG3862">
        <f>IF($C3862="","",IF(COUNTIF($C$2:$C3862,$C3862)=1,1,0))</f>
        <v/>
      </c>
      <c r="AH3862">
        <f>IF($AG3862=1,SUMPRODUCT(--($AK$2:$AK$6001&lt;$AK3862))+1,"")</f>
        <v/>
      </c>
      <c r="AI3862">
        <f>IF($C3862="","",IF(OR($N3862=TRUE(),$N3862="TRUE"),1,0))</f>
        <v/>
      </c>
      <c r="AJ3862">
        <f>IF($C3862="","",IF($T3862="Yes",1,0))</f>
        <v/>
      </c>
      <c r="AK3862">
        <f>IF($AG3862=1,IFERROR(IF(VALUE($C3862)&lt;100000000,VALUE($C3862),1000000000),IFERROR(IF(VALUE(MID($C3862,2,20))&lt;100000000,VALUE(MID($C3862,2,20)),1000000000),1000000000))+ROW()/100000,"")</f>
        <v/>
      </c>
    </row>
    <row r="3863">
      <c r="D3863" s="11" t="n"/>
      <c r="K3863" s="7">
        <f>IF($C3863="","",J3863*W3863/100)</f>
        <v/>
      </c>
      <c r="Q3863" s="7" t="n"/>
      <c r="R3863" s="7" t="n"/>
      <c r="U3863">
        <f>IF($C3863="","",IF($AJ3863=1,0,IF($AI3863=1,Settings!$C$6,Settings!$C$7))*100)</f>
        <v/>
      </c>
      <c r="V3863" s="7">
        <f>IF($C3863="","",R3863*U3863/100)</f>
        <v/>
      </c>
      <c r="W3863" s="7">
        <f>IF($C3863="","",R3863-V3863)</f>
        <v/>
      </c>
      <c r="X3863" s="7">
        <f>IF($C3863="","",W3863-K3863)</f>
        <v/>
      </c>
      <c r="AB3863" s="7" t="n"/>
      <c r="AE3863" s="11" t="n"/>
      <c r="AG3863">
        <f>IF($C3863="","",IF(COUNTIF($C$2:$C3863,$C3863)=1,1,0))</f>
        <v/>
      </c>
      <c r="AH3863">
        <f>IF($AG3863=1,SUMPRODUCT(--($AK$2:$AK$6001&lt;$AK3863))+1,"")</f>
        <v/>
      </c>
      <c r="AI3863">
        <f>IF($C3863="","",IF(OR($N3863=TRUE(),$N3863="TRUE"),1,0))</f>
        <v/>
      </c>
      <c r="AJ3863">
        <f>IF($C3863="","",IF($T3863="Yes",1,0))</f>
        <v/>
      </c>
      <c r="AK3863">
        <f>IF($AG3863=1,IFERROR(IF(VALUE($C3863)&lt;100000000,VALUE($C3863),1000000000),IFERROR(IF(VALUE(MID($C3863,2,20))&lt;100000000,VALUE(MID($C3863,2,20)),1000000000),1000000000))+ROW()/100000,"")</f>
        <v/>
      </c>
    </row>
    <row r="3864">
      <c r="D3864" s="11" t="n"/>
      <c r="K3864" s="7">
        <f>IF($C3864="","",J3864*W3864/100)</f>
        <v/>
      </c>
      <c r="Q3864" s="7" t="n"/>
      <c r="R3864" s="7" t="n"/>
      <c r="U3864">
        <f>IF($C3864="","",IF($AJ3864=1,0,IF($AI3864=1,Settings!$C$6,Settings!$C$7))*100)</f>
        <v/>
      </c>
      <c r="V3864" s="7">
        <f>IF($C3864="","",R3864*U3864/100)</f>
        <v/>
      </c>
      <c r="W3864" s="7">
        <f>IF($C3864="","",R3864-V3864)</f>
        <v/>
      </c>
      <c r="X3864" s="7">
        <f>IF($C3864="","",W3864-K3864)</f>
        <v/>
      </c>
      <c r="AB3864" s="7" t="n"/>
      <c r="AE3864" s="11" t="n"/>
      <c r="AG3864">
        <f>IF($C3864="","",IF(COUNTIF($C$2:$C3864,$C3864)=1,1,0))</f>
        <v/>
      </c>
      <c r="AH3864">
        <f>IF($AG3864=1,SUMPRODUCT(--($AK$2:$AK$6001&lt;$AK3864))+1,"")</f>
        <v/>
      </c>
      <c r="AI3864">
        <f>IF($C3864="","",IF(OR($N3864=TRUE(),$N3864="TRUE"),1,0))</f>
        <v/>
      </c>
      <c r="AJ3864">
        <f>IF($C3864="","",IF($T3864="Yes",1,0))</f>
        <v/>
      </c>
      <c r="AK3864">
        <f>IF($AG3864=1,IFERROR(IF(VALUE($C3864)&lt;100000000,VALUE($C3864),1000000000),IFERROR(IF(VALUE(MID($C3864,2,20))&lt;100000000,VALUE(MID($C3864,2,20)),1000000000),1000000000))+ROW()/100000,"")</f>
        <v/>
      </c>
    </row>
    <row r="3865">
      <c r="D3865" s="11" t="n"/>
      <c r="K3865" s="7">
        <f>IF($C3865="","",J3865*W3865/100)</f>
        <v/>
      </c>
      <c r="Q3865" s="7" t="n"/>
      <c r="R3865" s="7" t="n"/>
      <c r="U3865">
        <f>IF($C3865="","",IF($AJ3865=1,0,IF($AI3865=1,Settings!$C$6,Settings!$C$7))*100)</f>
        <v/>
      </c>
      <c r="V3865" s="7">
        <f>IF($C3865="","",R3865*U3865/100)</f>
        <v/>
      </c>
      <c r="W3865" s="7">
        <f>IF($C3865="","",R3865-V3865)</f>
        <v/>
      </c>
      <c r="X3865" s="7">
        <f>IF($C3865="","",W3865-K3865)</f>
        <v/>
      </c>
      <c r="AB3865" s="7" t="n"/>
      <c r="AE3865" s="11" t="n"/>
      <c r="AG3865">
        <f>IF($C3865="","",IF(COUNTIF($C$2:$C3865,$C3865)=1,1,0))</f>
        <v/>
      </c>
      <c r="AH3865">
        <f>IF($AG3865=1,SUMPRODUCT(--($AK$2:$AK$6001&lt;$AK3865))+1,"")</f>
        <v/>
      </c>
      <c r="AI3865">
        <f>IF($C3865="","",IF(OR($N3865=TRUE(),$N3865="TRUE"),1,0))</f>
        <v/>
      </c>
      <c r="AJ3865">
        <f>IF($C3865="","",IF($T3865="Yes",1,0))</f>
        <v/>
      </c>
      <c r="AK3865">
        <f>IF($AG3865=1,IFERROR(IF(VALUE($C3865)&lt;100000000,VALUE($C3865),1000000000),IFERROR(IF(VALUE(MID($C3865,2,20))&lt;100000000,VALUE(MID($C3865,2,20)),1000000000),1000000000))+ROW()/100000,"")</f>
        <v/>
      </c>
    </row>
    <row r="3866">
      <c r="D3866" s="11" t="n"/>
      <c r="K3866" s="7">
        <f>IF($C3866="","",J3866*W3866/100)</f>
        <v/>
      </c>
      <c r="Q3866" s="7" t="n"/>
      <c r="R3866" s="7" t="n"/>
      <c r="U3866">
        <f>IF($C3866="","",IF($AJ3866=1,0,IF($AI3866=1,Settings!$C$6,Settings!$C$7))*100)</f>
        <v/>
      </c>
      <c r="V3866" s="7">
        <f>IF($C3866="","",R3866*U3866/100)</f>
        <v/>
      </c>
      <c r="W3866" s="7">
        <f>IF($C3866="","",R3866-V3866)</f>
        <v/>
      </c>
      <c r="X3866" s="7">
        <f>IF($C3866="","",W3866-K3866)</f>
        <v/>
      </c>
      <c r="AB3866" s="7" t="n"/>
      <c r="AE3866" s="11" t="n"/>
      <c r="AG3866">
        <f>IF($C3866="","",IF(COUNTIF($C$2:$C3866,$C3866)=1,1,0))</f>
        <v/>
      </c>
      <c r="AH3866">
        <f>IF($AG3866=1,SUMPRODUCT(--($AK$2:$AK$6001&lt;$AK3866))+1,"")</f>
        <v/>
      </c>
      <c r="AI3866">
        <f>IF($C3866="","",IF(OR($N3866=TRUE(),$N3866="TRUE"),1,0))</f>
        <v/>
      </c>
      <c r="AJ3866">
        <f>IF($C3866="","",IF($T3866="Yes",1,0))</f>
        <v/>
      </c>
      <c r="AK3866">
        <f>IF($AG3866=1,IFERROR(IF(VALUE($C3866)&lt;100000000,VALUE($C3866),1000000000),IFERROR(IF(VALUE(MID($C3866,2,20))&lt;100000000,VALUE(MID($C3866,2,20)),1000000000),1000000000))+ROW()/100000,"")</f>
        <v/>
      </c>
    </row>
    <row r="3867">
      <c r="D3867" s="11" t="n"/>
      <c r="K3867" s="7">
        <f>IF($C3867="","",J3867*W3867/100)</f>
        <v/>
      </c>
      <c r="Q3867" s="7" t="n"/>
      <c r="R3867" s="7" t="n"/>
      <c r="U3867">
        <f>IF($C3867="","",IF($AJ3867=1,0,IF($AI3867=1,Settings!$C$6,Settings!$C$7))*100)</f>
        <v/>
      </c>
      <c r="V3867" s="7">
        <f>IF($C3867="","",R3867*U3867/100)</f>
        <v/>
      </c>
      <c r="W3867" s="7">
        <f>IF($C3867="","",R3867-V3867)</f>
        <v/>
      </c>
      <c r="X3867" s="7">
        <f>IF($C3867="","",W3867-K3867)</f>
        <v/>
      </c>
      <c r="AB3867" s="7" t="n"/>
      <c r="AE3867" s="11" t="n"/>
      <c r="AG3867">
        <f>IF($C3867="","",IF(COUNTIF($C$2:$C3867,$C3867)=1,1,0))</f>
        <v/>
      </c>
      <c r="AH3867">
        <f>IF($AG3867=1,SUMPRODUCT(--($AK$2:$AK$6001&lt;$AK3867))+1,"")</f>
        <v/>
      </c>
      <c r="AI3867">
        <f>IF($C3867="","",IF(OR($N3867=TRUE(),$N3867="TRUE"),1,0))</f>
        <v/>
      </c>
      <c r="AJ3867">
        <f>IF($C3867="","",IF($T3867="Yes",1,0))</f>
        <v/>
      </c>
      <c r="AK3867">
        <f>IF($AG3867=1,IFERROR(IF(VALUE($C3867)&lt;100000000,VALUE($C3867),1000000000),IFERROR(IF(VALUE(MID($C3867,2,20))&lt;100000000,VALUE(MID($C3867,2,20)),1000000000),1000000000))+ROW()/100000,"")</f>
        <v/>
      </c>
    </row>
    <row r="3868">
      <c r="D3868" s="11" t="n"/>
      <c r="K3868" s="7">
        <f>IF($C3868="","",J3868*W3868/100)</f>
        <v/>
      </c>
      <c r="Q3868" s="7" t="n"/>
      <c r="R3868" s="7" t="n"/>
      <c r="U3868">
        <f>IF($C3868="","",IF($AJ3868=1,0,IF($AI3868=1,Settings!$C$6,Settings!$C$7))*100)</f>
        <v/>
      </c>
      <c r="V3868" s="7">
        <f>IF($C3868="","",R3868*U3868/100)</f>
        <v/>
      </c>
      <c r="W3868" s="7">
        <f>IF($C3868="","",R3868-V3868)</f>
        <v/>
      </c>
      <c r="X3868" s="7">
        <f>IF($C3868="","",W3868-K3868)</f>
        <v/>
      </c>
      <c r="AB3868" s="7" t="n"/>
      <c r="AE3868" s="11" t="n"/>
      <c r="AG3868">
        <f>IF($C3868="","",IF(COUNTIF($C$2:$C3868,$C3868)=1,1,0))</f>
        <v/>
      </c>
      <c r="AH3868">
        <f>IF($AG3868=1,SUMPRODUCT(--($AK$2:$AK$6001&lt;$AK3868))+1,"")</f>
        <v/>
      </c>
      <c r="AI3868">
        <f>IF($C3868="","",IF(OR($N3868=TRUE(),$N3868="TRUE"),1,0))</f>
        <v/>
      </c>
      <c r="AJ3868">
        <f>IF($C3868="","",IF($T3868="Yes",1,0))</f>
        <v/>
      </c>
      <c r="AK3868">
        <f>IF($AG3868=1,IFERROR(IF(VALUE($C3868)&lt;100000000,VALUE($C3868),1000000000),IFERROR(IF(VALUE(MID($C3868,2,20))&lt;100000000,VALUE(MID($C3868,2,20)),1000000000),1000000000))+ROW()/100000,"")</f>
        <v/>
      </c>
    </row>
    <row r="3869">
      <c r="D3869" s="11" t="n"/>
      <c r="K3869" s="7">
        <f>IF($C3869="","",J3869*W3869/100)</f>
        <v/>
      </c>
      <c r="Q3869" s="7" t="n"/>
      <c r="R3869" s="7" t="n"/>
      <c r="U3869">
        <f>IF($C3869="","",IF($AJ3869=1,0,IF($AI3869=1,Settings!$C$6,Settings!$C$7))*100)</f>
        <v/>
      </c>
      <c r="V3869" s="7">
        <f>IF($C3869="","",R3869*U3869/100)</f>
        <v/>
      </c>
      <c r="W3869" s="7">
        <f>IF($C3869="","",R3869-V3869)</f>
        <v/>
      </c>
      <c r="X3869" s="7">
        <f>IF($C3869="","",W3869-K3869)</f>
        <v/>
      </c>
      <c r="AB3869" s="7" t="n"/>
      <c r="AE3869" s="11" t="n"/>
      <c r="AG3869">
        <f>IF($C3869="","",IF(COUNTIF($C$2:$C3869,$C3869)=1,1,0))</f>
        <v/>
      </c>
      <c r="AH3869">
        <f>IF($AG3869=1,SUMPRODUCT(--($AK$2:$AK$6001&lt;$AK3869))+1,"")</f>
        <v/>
      </c>
      <c r="AI3869">
        <f>IF($C3869="","",IF(OR($N3869=TRUE(),$N3869="TRUE"),1,0))</f>
        <v/>
      </c>
      <c r="AJ3869">
        <f>IF($C3869="","",IF($T3869="Yes",1,0))</f>
        <v/>
      </c>
      <c r="AK3869">
        <f>IF($AG3869=1,IFERROR(IF(VALUE($C3869)&lt;100000000,VALUE($C3869),1000000000),IFERROR(IF(VALUE(MID($C3869,2,20))&lt;100000000,VALUE(MID($C3869,2,20)),1000000000),1000000000))+ROW()/100000,"")</f>
        <v/>
      </c>
    </row>
    <row r="3870">
      <c r="D3870" s="11" t="n"/>
      <c r="K3870" s="7">
        <f>IF($C3870="","",J3870*W3870/100)</f>
        <v/>
      </c>
      <c r="Q3870" s="7" t="n"/>
      <c r="R3870" s="7" t="n"/>
      <c r="U3870">
        <f>IF($C3870="","",IF($AJ3870=1,0,IF($AI3870=1,Settings!$C$6,Settings!$C$7))*100)</f>
        <v/>
      </c>
      <c r="V3870" s="7">
        <f>IF($C3870="","",R3870*U3870/100)</f>
        <v/>
      </c>
      <c r="W3870" s="7">
        <f>IF($C3870="","",R3870-V3870)</f>
        <v/>
      </c>
      <c r="X3870" s="7">
        <f>IF($C3870="","",W3870-K3870)</f>
        <v/>
      </c>
      <c r="AB3870" s="7" t="n"/>
      <c r="AE3870" s="11" t="n"/>
      <c r="AG3870">
        <f>IF($C3870="","",IF(COUNTIF($C$2:$C3870,$C3870)=1,1,0))</f>
        <v/>
      </c>
      <c r="AH3870">
        <f>IF($AG3870=1,SUMPRODUCT(--($AK$2:$AK$6001&lt;$AK3870))+1,"")</f>
        <v/>
      </c>
      <c r="AI3870">
        <f>IF($C3870="","",IF(OR($N3870=TRUE(),$N3870="TRUE"),1,0))</f>
        <v/>
      </c>
      <c r="AJ3870">
        <f>IF($C3870="","",IF($T3870="Yes",1,0))</f>
        <v/>
      </c>
      <c r="AK3870">
        <f>IF($AG3870=1,IFERROR(IF(VALUE($C3870)&lt;100000000,VALUE($C3870),1000000000),IFERROR(IF(VALUE(MID($C3870,2,20))&lt;100000000,VALUE(MID($C3870,2,20)),1000000000),1000000000))+ROW()/100000,"")</f>
        <v/>
      </c>
    </row>
    <row r="3871">
      <c r="D3871" s="11" t="n"/>
      <c r="K3871" s="7">
        <f>IF($C3871="","",J3871*W3871/100)</f>
        <v/>
      </c>
      <c r="Q3871" s="7" t="n"/>
      <c r="R3871" s="7" t="n"/>
      <c r="U3871">
        <f>IF($C3871="","",IF($AJ3871=1,0,IF($AI3871=1,Settings!$C$6,Settings!$C$7))*100)</f>
        <v/>
      </c>
      <c r="V3871" s="7">
        <f>IF($C3871="","",R3871*U3871/100)</f>
        <v/>
      </c>
      <c r="W3871" s="7">
        <f>IF($C3871="","",R3871-V3871)</f>
        <v/>
      </c>
      <c r="X3871" s="7">
        <f>IF($C3871="","",W3871-K3871)</f>
        <v/>
      </c>
      <c r="AB3871" s="7" t="n"/>
      <c r="AE3871" s="11" t="n"/>
      <c r="AG3871">
        <f>IF($C3871="","",IF(COUNTIF($C$2:$C3871,$C3871)=1,1,0))</f>
        <v/>
      </c>
      <c r="AH3871">
        <f>IF($AG3871=1,SUMPRODUCT(--($AK$2:$AK$6001&lt;$AK3871))+1,"")</f>
        <v/>
      </c>
      <c r="AI3871">
        <f>IF($C3871="","",IF(OR($N3871=TRUE(),$N3871="TRUE"),1,0))</f>
        <v/>
      </c>
      <c r="AJ3871">
        <f>IF($C3871="","",IF($T3871="Yes",1,0))</f>
        <v/>
      </c>
      <c r="AK3871">
        <f>IF($AG3871=1,IFERROR(IF(VALUE($C3871)&lt;100000000,VALUE($C3871),1000000000),IFERROR(IF(VALUE(MID($C3871,2,20))&lt;100000000,VALUE(MID($C3871,2,20)),1000000000),1000000000))+ROW()/100000,"")</f>
        <v/>
      </c>
    </row>
    <row r="3872">
      <c r="D3872" s="11" t="n"/>
      <c r="K3872" s="7">
        <f>IF($C3872="","",J3872*W3872/100)</f>
        <v/>
      </c>
      <c r="Q3872" s="7" t="n"/>
      <c r="R3872" s="7" t="n"/>
      <c r="U3872">
        <f>IF($C3872="","",IF($AJ3872=1,0,IF($AI3872=1,Settings!$C$6,Settings!$C$7))*100)</f>
        <v/>
      </c>
      <c r="V3872" s="7">
        <f>IF($C3872="","",R3872*U3872/100)</f>
        <v/>
      </c>
      <c r="W3872" s="7">
        <f>IF($C3872="","",R3872-V3872)</f>
        <v/>
      </c>
      <c r="X3872" s="7">
        <f>IF($C3872="","",W3872-K3872)</f>
        <v/>
      </c>
      <c r="AB3872" s="7" t="n"/>
      <c r="AE3872" s="11" t="n"/>
      <c r="AG3872">
        <f>IF($C3872="","",IF(COUNTIF($C$2:$C3872,$C3872)=1,1,0))</f>
        <v/>
      </c>
      <c r="AH3872">
        <f>IF($AG3872=1,SUMPRODUCT(--($AK$2:$AK$6001&lt;$AK3872))+1,"")</f>
        <v/>
      </c>
      <c r="AI3872">
        <f>IF($C3872="","",IF(OR($N3872=TRUE(),$N3872="TRUE"),1,0))</f>
        <v/>
      </c>
      <c r="AJ3872">
        <f>IF($C3872="","",IF($T3872="Yes",1,0))</f>
        <v/>
      </c>
      <c r="AK3872">
        <f>IF($AG3872=1,IFERROR(IF(VALUE($C3872)&lt;100000000,VALUE($C3872),1000000000),IFERROR(IF(VALUE(MID($C3872,2,20))&lt;100000000,VALUE(MID($C3872,2,20)),1000000000),1000000000))+ROW()/100000,"")</f>
        <v/>
      </c>
    </row>
    <row r="3873">
      <c r="D3873" s="11" t="n"/>
      <c r="K3873" s="7">
        <f>IF($C3873="","",J3873*W3873/100)</f>
        <v/>
      </c>
      <c r="Q3873" s="7" t="n"/>
      <c r="R3873" s="7" t="n"/>
      <c r="U3873">
        <f>IF($C3873="","",IF($AJ3873=1,0,IF($AI3873=1,Settings!$C$6,Settings!$C$7))*100)</f>
        <v/>
      </c>
      <c r="V3873" s="7">
        <f>IF($C3873="","",R3873*U3873/100)</f>
        <v/>
      </c>
      <c r="W3873" s="7">
        <f>IF($C3873="","",R3873-V3873)</f>
        <v/>
      </c>
      <c r="X3873" s="7">
        <f>IF($C3873="","",W3873-K3873)</f>
        <v/>
      </c>
      <c r="AB3873" s="7" t="n"/>
      <c r="AE3873" s="11" t="n"/>
      <c r="AG3873">
        <f>IF($C3873="","",IF(COUNTIF($C$2:$C3873,$C3873)=1,1,0))</f>
        <v/>
      </c>
      <c r="AH3873">
        <f>IF($AG3873=1,SUMPRODUCT(--($AK$2:$AK$6001&lt;$AK3873))+1,"")</f>
        <v/>
      </c>
      <c r="AI3873">
        <f>IF($C3873="","",IF(OR($N3873=TRUE(),$N3873="TRUE"),1,0))</f>
        <v/>
      </c>
      <c r="AJ3873">
        <f>IF($C3873="","",IF($T3873="Yes",1,0))</f>
        <v/>
      </c>
      <c r="AK3873">
        <f>IF($AG3873=1,IFERROR(IF(VALUE($C3873)&lt;100000000,VALUE($C3873),1000000000),IFERROR(IF(VALUE(MID($C3873,2,20))&lt;100000000,VALUE(MID($C3873,2,20)),1000000000),1000000000))+ROW()/100000,"")</f>
        <v/>
      </c>
    </row>
    <row r="3874">
      <c r="D3874" s="11" t="n"/>
      <c r="K3874" s="7">
        <f>IF($C3874="","",J3874*W3874/100)</f>
        <v/>
      </c>
      <c r="Q3874" s="7" t="n"/>
      <c r="R3874" s="7" t="n"/>
      <c r="U3874">
        <f>IF($C3874="","",IF($AJ3874=1,0,IF($AI3874=1,Settings!$C$6,Settings!$C$7))*100)</f>
        <v/>
      </c>
      <c r="V3874" s="7">
        <f>IF($C3874="","",R3874*U3874/100)</f>
        <v/>
      </c>
      <c r="W3874" s="7">
        <f>IF($C3874="","",R3874-V3874)</f>
        <v/>
      </c>
      <c r="X3874" s="7">
        <f>IF($C3874="","",W3874-K3874)</f>
        <v/>
      </c>
      <c r="AB3874" s="7" t="n"/>
      <c r="AE3874" s="11" t="n"/>
      <c r="AG3874">
        <f>IF($C3874="","",IF(COUNTIF($C$2:$C3874,$C3874)=1,1,0))</f>
        <v/>
      </c>
      <c r="AH3874">
        <f>IF($AG3874=1,SUMPRODUCT(--($AK$2:$AK$6001&lt;$AK3874))+1,"")</f>
        <v/>
      </c>
      <c r="AI3874">
        <f>IF($C3874="","",IF(OR($N3874=TRUE(),$N3874="TRUE"),1,0))</f>
        <v/>
      </c>
      <c r="AJ3874">
        <f>IF($C3874="","",IF($T3874="Yes",1,0))</f>
        <v/>
      </c>
      <c r="AK3874">
        <f>IF($AG3874=1,IFERROR(IF(VALUE($C3874)&lt;100000000,VALUE($C3874),1000000000),IFERROR(IF(VALUE(MID($C3874,2,20))&lt;100000000,VALUE(MID($C3874,2,20)),1000000000),1000000000))+ROW()/100000,"")</f>
        <v/>
      </c>
    </row>
    <row r="3875">
      <c r="D3875" s="11" t="n"/>
      <c r="K3875" s="7">
        <f>IF($C3875="","",J3875*W3875/100)</f>
        <v/>
      </c>
      <c r="Q3875" s="7" t="n"/>
      <c r="R3875" s="7" t="n"/>
      <c r="U3875">
        <f>IF($C3875="","",IF($AJ3875=1,0,IF($AI3875=1,Settings!$C$6,Settings!$C$7))*100)</f>
        <v/>
      </c>
      <c r="V3875" s="7">
        <f>IF($C3875="","",R3875*U3875/100)</f>
        <v/>
      </c>
      <c r="W3875" s="7">
        <f>IF($C3875="","",R3875-V3875)</f>
        <v/>
      </c>
      <c r="X3875" s="7">
        <f>IF($C3875="","",W3875-K3875)</f>
        <v/>
      </c>
      <c r="AB3875" s="7" t="n"/>
      <c r="AE3875" s="11" t="n"/>
      <c r="AG3875">
        <f>IF($C3875="","",IF(COUNTIF($C$2:$C3875,$C3875)=1,1,0))</f>
        <v/>
      </c>
      <c r="AH3875">
        <f>IF($AG3875=1,SUMPRODUCT(--($AK$2:$AK$6001&lt;$AK3875))+1,"")</f>
        <v/>
      </c>
      <c r="AI3875">
        <f>IF($C3875="","",IF(OR($N3875=TRUE(),$N3875="TRUE"),1,0))</f>
        <v/>
      </c>
      <c r="AJ3875">
        <f>IF($C3875="","",IF($T3875="Yes",1,0))</f>
        <v/>
      </c>
      <c r="AK3875">
        <f>IF($AG3875=1,IFERROR(IF(VALUE($C3875)&lt;100000000,VALUE($C3875),1000000000),IFERROR(IF(VALUE(MID($C3875,2,20))&lt;100000000,VALUE(MID($C3875,2,20)),1000000000),1000000000))+ROW()/100000,"")</f>
        <v/>
      </c>
    </row>
    <row r="3876">
      <c r="D3876" s="11" t="n"/>
      <c r="K3876" s="7">
        <f>IF($C3876="","",J3876*W3876/100)</f>
        <v/>
      </c>
      <c r="Q3876" s="7" t="n"/>
      <c r="R3876" s="7" t="n"/>
      <c r="U3876">
        <f>IF($C3876="","",IF($AJ3876=1,0,IF($AI3876=1,Settings!$C$6,Settings!$C$7))*100)</f>
        <v/>
      </c>
      <c r="V3876" s="7">
        <f>IF($C3876="","",R3876*U3876/100)</f>
        <v/>
      </c>
      <c r="W3876" s="7">
        <f>IF($C3876="","",R3876-V3876)</f>
        <v/>
      </c>
      <c r="X3876" s="7">
        <f>IF($C3876="","",W3876-K3876)</f>
        <v/>
      </c>
      <c r="AB3876" s="7" t="n"/>
      <c r="AE3876" s="11" t="n"/>
      <c r="AG3876">
        <f>IF($C3876="","",IF(COUNTIF($C$2:$C3876,$C3876)=1,1,0))</f>
        <v/>
      </c>
      <c r="AH3876">
        <f>IF($AG3876=1,SUMPRODUCT(--($AK$2:$AK$6001&lt;$AK3876))+1,"")</f>
        <v/>
      </c>
      <c r="AI3876">
        <f>IF($C3876="","",IF(OR($N3876=TRUE(),$N3876="TRUE"),1,0))</f>
        <v/>
      </c>
      <c r="AJ3876">
        <f>IF($C3876="","",IF($T3876="Yes",1,0))</f>
        <v/>
      </c>
      <c r="AK3876">
        <f>IF($AG3876=1,IFERROR(IF(VALUE($C3876)&lt;100000000,VALUE($C3876),1000000000),IFERROR(IF(VALUE(MID($C3876,2,20))&lt;100000000,VALUE(MID($C3876,2,20)),1000000000),1000000000))+ROW()/100000,"")</f>
        <v/>
      </c>
    </row>
    <row r="3877">
      <c r="D3877" s="11" t="n"/>
      <c r="K3877" s="7">
        <f>IF($C3877="","",J3877*W3877/100)</f>
        <v/>
      </c>
      <c r="Q3877" s="7" t="n"/>
      <c r="R3877" s="7" t="n"/>
      <c r="U3877">
        <f>IF($C3877="","",IF($AJ3877=1,0,IF($AI3877=1,Settings!$C$6,Settings!$C$7))*100)</f>
        <v/>
      </c>
      <c r="V3877" s="7">
        <f>IF($C3877="","",R3877*U3877/100)</f>
        <v/>
      </c>
      <c r="W3877" s="7">
        <f>IF($C3877="","",R3877-V3877)</f>
        <v/>
      </c>
      <c r="X3877" s="7">
        <f>IF($C3877="","",W3877-K3877)</f>
        <v/>
      </c>
      <c r="AB3877" s="7" t="n"/>
      <c r="AE3877" s="11" t="n"/>
      <c r="AG3877">
        <f>IF($C3877="","",IF(COUNTIF($C$2:$C3877,$C3877)=1,1,0))</f>
        <v/>
      </c>
      <c r="AH3877">
        <f>IF($AG3877=1,SUMPRODUCT(--($AK$2:$AK$6001&lt;$AK3877))+1,"")</f>
        <v/>
      </c>
      <c r="AI3877">
        <f>IF($C3877="","",IF(OR($N3877=TRUE(),$N3877="TRUE"),1,0))</f>
        <v/>
      </c>
      <c r="AJ3877">
        <f>IF($C3877="","",IF($T3877="Yes",1,0))</f>
        <v/>
      </c>
      <c r="AK3877">
        <f>IF($AG3877=1,IFERROR(IF(VALUE($C3877)&lt;100000000,VALUE($C3877),1000000000),IFERROR(IF(VALUE(MID($C3877,2,20))&lt;100000000,VALUE(MID($C3877,2,20)),1000000000),1000000000))+ROW()/100000,"")</f>
        <v/>
      </c>
    </row>
    <row r="3878">
      <c r="D3878" s="11" t="n"/>
      <c r="K3878" s="7">
        <f>IF($C3878="","",J3878*W3878/100)</f>
        <v/>
      </c>
      <c r="Q3878" s="7" t="n"/>
      <c r="R3878" s="7" t="n"/>
      <c r="U3878">
        <f>IF($C3878="","",IF($AJ3878=1,0,IF($AI3878=1,Settings!$C$6,Settings!$C$7))*100)</f>
        <v/>
      </c>
      <c r="V3878" s="7">
        <f>IF($C3878="","",R3878*U3878/100)</f>
        <v/>
      </c>
      <c r="W3878" s="7">
        <f>IF($C3878="","",R3878-V3878)</f>
        <v/>
      </c>
      <c r="X3878" s="7">
        <f>IF($C3878="","",W3878-K3878)</f>
        <v/>
      </c>
      <c r="AB3878" s="7" t="n"/>
      <c r="AE3878" s="11" t="n"/>
      <c r="AG3878">
        <f>IF($C3878="","",IF(COUNTIF($C$2:$C3878,$C3878)=1,1,0))</f>
        <v/>
      </c>
      <c r="AH3878">
        <f>IF($AG3878=1,SUMPRODUCT(--($AK$2:$AK$6001&lt;$AK3878))+1,"")</f>
        <v/>
      </c>
      <c r="AI3878">
        <f>IF($C3878="","",IF(OR($N3878=TRUE(),$N3878="TRUE"),1,0))</f>
        <v/>
      </c>
      <c r="AJ3878">
        <f>IF($C3878="","",IF($T3878="Yes",1,0))</f>
        <v/>
      </c>
      <c r="AK3878">
        <f>IF($AG3878=1,IFERROR(IF(VALUE($C3878)&lt;100000000,VALUE($C3878),1000000000),IFERROR(IF(VALUE(MID($C3878,2,20))&lt;100000000,VALUE(MID($C3878,2,20)),1000000000),1000000000))+ROW()/100000,"")</f>
        <v/>
      </c>
    </row>
    <row r="3879">
      <c r="D3879" s="11" t="n"/>
      <c r="K3879" s="7">
        <f>IF($C3879="","",J3879*W3879/100)</f>
        <v/>
      </c>
      <c r="Q3879" s="7" t="n"/>
      <c r="R3879" s="7" t="n"/>
      <c r="U3879">
        <f>IF($C3879="","",IF($AJ3879=1,0,IF($AI3879=1,Settings!$C$6,Settings!$C$7))*100)</f>
        <v/>
      </c>
      <c r="V3879" s="7">
        <f>IF($C3879="","",R3879*U3879/100)</f>
        <v/>
      </c>
      <c r="W3879" s="7">
        <f>IF($C3879="","",R3879-V3879)</f>
        <v/>
      </c>
      <c r="X3879" s="7">
        <f>IF($C3879="","",W3879-K3879)</f>
        <v/>
      </c>
      <c r="AB3879" s="7" t="n"/>
      <c r="AE3879" s="11" t="n"/>
      <c r="AG3879">
        <f>IF($C3879="","",IF(COUNTIF($C$2:$C3879,$C3879)=1,1,0))</f>
        <v/>
      </c>
      <c r="AH3879">
        <f>IF($AG3879=1,SUMPRODUCT(--($AK$2:$AK$6001&lt;$AK3879))+1,"")</f>
        <v/>
      </c>
      <c r="AI3879">
        <f>IF($C3879="","",IF(OR($N3879=TRUE(),$N3879="TRUE"),1,0))</f>
        <v/>
      </c>
      <c r="AJ3879">
        <f>IF($C3879="","",IF($T3879="Yes",1,0))</f>
        <v/>
      </c>
      <c r="AK3879">
        <f>IF($AG3879=1,IFERROR(IF(VALUE($C3879)&lt;100000000,VALUE($C3879),1000000000),IFERROR(IF(VALUE(MID($C3879,2,20))&lt;100000000,VALUE(MID($C3879,2,20)),1000000000),1000000000))+ROW()/100000,"")</f>
        <v/>
      </c>
    </row>
    <row r="3880">
      <c r="D3880" s="11" t="n"/>
      <c r="K3880" s="7">
        <f>IF($C3880="","",J3880*W3880/100)</f>
        <v/>
      </c>
      <c r="Q3880" s="7" t="n"/>
      <c r="R3880" s="7" t="n"/>
      <c r="U3880">
        <f>IF($C3880="","",IF($AJ3880=1,0,IF($AI3880=1,Settings!$C$6,Settings!$C$7))*100)</f>
        <v/>
      </c>
      <c r="V3880" s="7">
        <f>IF($C3880="","",R3880*U3880/100)</f>
        <v/>
      </c>
      <c r="W3880" s="7">
        <f>IF($C3880="","",R3880-V3880)</f>
        <v/>
      </c>
      <c r="X3880" s="7">
        <f>IF($C3880="","",W3880-K3880)</f>
        <v/>
      </c>
      <c r="AB3880" s="7" t="n"/>
      <c r="AE3880" s="11" t="n"/>
      <c r="AG3880">
        <f>IF($C3880="","",IF(COUNTIF($C$2:$C3880,$C3880)=1,1,0))</f>
        <v/>
      </c>
      <c r="AH3880">
        <f>IF($AG3880=1,SUMPRODUCT(--($AK$2:$AK$6001&lt;$AK3880))+1,"")</f>
        <v/>
      </c>
      <c r="AI3880">
        <f>IF($C3880="","",IF(OR($N3880=TRUE(),$N3880="TRUE"),1,0))</f>
        <v/>
      </c>
      <c r="AJ3880">
        <f>IF($C3880="","",IF($T3880="Yes",1,0))</f>
        <v/>
      </c>
      <c r="AK3880">
        <f>IF($AG3880=1,IFERROR(IF(VALUE($C3880)&lt;100000000,VALUE($C3880),1000000000),IFERROR(IF(VALUE(MID($C3880,2,20))&lt;100000000,VALUE(MID($C3880,2,20)),1000000000),1000000000))+ROW()/100000,"")</f>
        <v/>
      </c>
    </row>
    <row r="3881">
      <c r="D3881" s="11" t="n"/>
      <c r="K3881" s="7">
        <f>IF($C3881="","",J3881*W3881/100)</f>
        <v/>
      </c>
      <c r="Q3881" s="7" t="n"/>
      <c r="R3881" s="7" t="n"/>
      <c r="U3881">
        <f>IF($C3881="","",IF($AJ3881=1,0,IF($AI3881=1,Settings!$C$6,Settings!$C$7))*100)</f>
        <v/>
      </c>
      <c r="V3881" s="7">
        <f>IF($C3881="","",R3881*U3881/100)</f>
        <v/>
      </c>
      <c r="W3881" s="7">
        <f>IF($C3881="","",R3881-V3881)</f>
        <v/>
      </c>
      <c r="X3881" s="7">
        <f>IF($C3881="","",W3881-K3881)</f>
        <v/>
      </c>
      <c r="AB3881" s="7" t="n"/>
      <c r="AE3881" s="11" t="n"/>
      <c r="AG3881">
        <f>IF($C3881="","",IF(COUNTIF($C$2:$C3881,$C3881)=1,1,0))</f>
        <v/>
      </c>
      <c r="AH3881">
        <f>IF($AG3881=1,SUMPRODUCT(--($AK$2:$AK$6001&lt;$AK3881))+1,"")</f>
        <v/>
      </c>
      <c r="AI3881">
        <f>IF($C3881="","",IF(OR($N3881=TRUE(),$N3881="TRUE"),1,0))</f>
        <v/>
      </c>
      <c r="AJ3881">
        <f>IF($C3881="","",IF($T3881="Yes",1,0))</f>
        <v/>
      </c>
      <c r="AK3881">
        <f>IF($AG3881=1,IFERROR(IF(VALUE($C3881)&lt;100000000,VALUE($C3881),1000000000),IFERROR(IF(VALUE(MID($C3881,2,20))&lt;100000000,VALUE(MID($C3881,2,20)),1000000000),1000000000))+ROW()/100000,"")</f>
        <v/>
      </c>
    </row>
    <row r="3882">
      <c r="D3882" s="11" t="n"/>
      <c r="K3882" s="7">
        <f>IF($C3882="","",J3882*W3882/100)</f>
        <v/>
      </c>
      <c r="Q3882" s="7" t="n"/>
      <c r="R3882" s="7" t="n"/>
      <c r="U3882">
        <f>IF($C3882="","",IF($AJ3882=1,0,IF($AI3882=1,Settings!$C$6,Settings!$C$7))*100)</f>
        <v/>
      </c>
      <c r="V3882" s="7">
        <f>IF($C3882="","",R3882*U3882/100)</f>
        <v/>
      </c>
      <c r="W3882" s="7">
        <f>IF($C3882="","",R3882-V3882)</f>
        <v/>
      </c>
      <c r="X3882" s="7">
        <f>IF($C3882="","",W3882-K3882)</f>
        <v/>
      </c>
      <c r="AB3882" s="7" t="n"/>
      <c r="AE3882" s="11" t="n"/>
      <c r="AG3882">
        <f>IF($C3882="","",IF(COUNTIF($C$2:$C3882,$C3882)=1,1,0))</f>
        <v/>
      </c>
      <c r="AH3882">
        <f>IF($AG3882=1,SUMPRODUCT(--($AK$2:$AK$6001&lt;$AK3882))+1,"")</f>
        <v/>
      </c>
      <c r="AI3882">
        <f>IF($C3882="","",IF(OR($N3882=TRUE(),$N3882="TRUE"),1,0))</f>
        <v/>
      </c>
      <c r="AJ3882">
        <f>IF($C3882="","",IF($T3882="Yes",1,0))</f>
        <v/>
      </c>
      <c r="AK3882">
        <f>IF($AG3882=1,IFERROR(IF(VALUE($C3882)&lt;100000000,VALUE($C3882),1000000000),IFERROR(IF(VALUE(MID($C3882,2,20))&lt;100000000,VALUE(MID($C3882,2,20)),1000000000),1000000000))+ROW()/100000,"")</f>
        <v/>
      </c>
    </row>
    <row r="3883">
      <c r="D3883" s="11" t="n"/>
      <c r="K3883" s="7">
        <f>IF($C3883="","",J3883*W3883/100)</f>
        <v/>
      </c>
      <c r="Q3883" s="7" t="n"/>
      <c r="R3883" s="7" t="n"/>
      <c r="U3883">
        <f>IF($C3883="","",IF($AJ3883=1,0,IF($AI3883=1,Settings!$C$6,Settings!$C$7))*100)</f>
        <v/>
      </c>
      <c r="V3883" s="7">
        <f>IF($C3883="","",R3883*U3883/100)</f>
        <v/>
      </c>
      <c r="W3883" s="7">
        <f>IF($C3883="","",R3883-V3883)</f>
        <v/>
      </c>
      <c r="X3883" s="7">
        <f>IF($C3883="","",W3883-K3883)</f>
        <v/>
      </c>
      <c r="AB3883" s="7" t="n"/>
      <c r="AE3883" s="11" t="n"/>
      <c r="AG3883">
        <f>IF($C3883="","",IF(COUNTIF($C$2:$C3883,$C3883)=1,1,0))</f>
        <v/>
      </c>
      <c r="AH3883">
        <f>IF($AG3883=1,SUMPRODUCT(--($AK$2:$AK$6001&lt;$AK3883))+1,"")</f>
        <v/>
      </c>
      <c r="AI3883">
        <f>IF($C3883="","",IF(OR($N3883=TRUE(),$N3883="TRUE"),1,0))</f>
        <v/>
      </c>
      <c r="AJ3883">
        <f>IF($C3883="","",IF($T3883="Yes",1,0))</f>
        <v/>
      </c>
      <c r="AK3883">
        <f>IF($AG3883=1,IFERROR(IF(VALUE($C3883)&lt;100000000,VALUE($C3883),1000000000),IFERROR(IF(VALUE(MID($C3883,2,20))&lt;100000000,VALUE(MID($C3883,2,20)),1000000000),1000000000))+ROW()/100000,"")</f>
        <v/>
      </c>
    </row>
    <row r="3884">
      <c r="D3884" s="11" t="n"/>
      <c r="K3884" s="7">
        <f>IF($C3884="","",J3884*W3884/100)</f>
        <v/>
      </c>
      <c r="Q3884" s="7" t="n"/>
      <c r="R3884" s="7" t="n"/>
      <c r="U3884">
        <f>IF($C3884="","",IF($AJ3884=1,0,IF($AI3884=1,Settings!$C$6,Settings!$C$7))*100)</f>
        <v/>
      </c>
      <c r="V3884" s="7">
        <f>IF($C3884="","",R3884*U3884/100)</f>
        <v/>
      </c>
      <c r="W3884" s="7">
        <f>IF($C3884="","",R3884-V3884)</f>
        <v/>
      </c>
      <c r="X3884" s="7">
        <f>IF($C3884="","",W3884-K3884)</f>
        <v/>
      </c>
      <c r="AB3884" s="7" t="n"/>
      <c r="AE3884" s="11" t="n"/>
      <c r="AG3884">
        <f>IF($C3884="","",IF(COUNTIF($C$2:$C3884,$C3884)=1,1,0))</f>
        <v/>
      </c>
      <c r="AH3884">
        <f>IF($AG3884=1,SUMPRODUCT(--($AK$2:$AK$6001&lt;$AK3884))+1,"")</f>
        <v/>
      </c>
      <c r="AI3884">
        <f>IF($C3884="","",IF(OR($N3884=TRUE(),$N3884="TRUE"),1,0))</f>
        <v/>
      </c>
      <c r="AJ3884">
        <f>IF($C3884="","",IF($T3884="Yes",1,0))</f>
        <v/>
      </c>
      <c r="AK3884">
        <f>IF($AG3884=1,IFERROR(IF(VALUE($C3884)&lt;100000000,VALUE($C3884),1000000000),IFERROR(IF(VALUE(MID($C3884,2,20))&lt;100000000,VALUE(MID($C3884,2,20)),1000000000),1000000000))+ROW()/100000,"")</f>
        <v/>
      </c>
    </row>
    <row r="3885">
      <c r="D3885" s="11" t="n"/>
      <c r="K3885" s="7">
        <f>IF($C3885="","",J3885*W3885/100)</f>
        <v/>
      </c>
      <c r="Q3885" s="7" t="n"/>
      <c r="R3885" s="7" t="n"/>
      <c r="U3885">
        <f>IF($C3885="","",IF($AJ3885=1,0,IF($AI3885=1,Settings!$C$6,Settings!$C$7))*100)</f>
        <v/>
      </c>
      <c r="V3885" s="7">
        <f>IF($C3885="","",R3885*U3885/100)</f>
        <v/>
      </c>
      <c r="W3885" s="7">
        <f>IF($C3885="","",R3885-V3885)</f>
        <v/>
      </c>
      <c r="X3885" s="7">
        <f>IF($C3885="","",W3885-K3885)</f>
        <v/>
      </c>
      <c r="AB3885" s="7" t="n"/>
      <c r="AE3885" s="11" t="n"/>
      <c r="AG3885">
        <f>IF($C3885="","",IF(COUNTIF($C$2:$C3885,$C3885)=1,1,0))</f>
        <v/>
      </c>
      <c r="AH3885">
        <f>IF($AG3885=1,SUMPRODUCT(--($AK$2:$AK$6001&lt;$AK3885))+1,"")</f>
        <v/>
      </c>
      <c r="AI3885">
        <f>IF($C3885="","",IF(OR($N3885=TRUE(),$N3885="TRUE"),1,0))</f>
        <v/>
      </c>
      <c r="AJ3885">
        <f>IF($C3885="","",IF($T3885="Yes",1,0))</f>
        <v/>
      </c>
      <c r="AK3885">
        <f>IF($AG3885=1,IFERROR(IF(VALUE($C3885)&lt;100000000,VALUE($C3885),1000000000),IFERROR(IF(VALUE(MID($C3885,2,20))&lt;100000000,VALUE(MID($C3885,2,20)),1000000000),1000000000))+ROW()/100000,"")</f>
        <v/>
      </c>
    </row>
    <row r="3886">
      <c r="D3886" s="11" t="n"/>
      <c r="K3886" s="7">
        <f>IF($C3886="","",J3886*W3886/100)</f>
        <v/>
      </c>
      <c r="Q3886" s="7" t="n"/>
      <c r="R3886" s="7" t="n"/>
      <c r="U3886">
        <f>IF($C3886="","",IF($AJ3886=1,0,IF($AI3886=1,Settings!$C$6,Settings!$C$7))*100)</f>
        <v/>
      </c>
      <c r="V3886" s="7">
        <f>IF($C3886="","",R3886*U3886/100)</f>
        <v/>
      </c>
      <c r="W3886" s="7">
        <f>IF($C3886="","",R3886-V3886)</f>
        <v/>
      </c>
      <c r="X3886" s="7">
        <f>IF($C3886="","",W3886-K3886)</f>
        <v/>
      </c>
      <c r="AB3886" s="7" t="n"/>
      <c r="AE3886" s="11" t="n"/>
      <c r="AG3886">
        <f>IF($C3886="","",IF(COUNTIF($C$2:$C3886,$C3886)=1,1,0))</f>
        <v/>
      </c>
      <c r="AH3886">
        <f>IF($AG3886=1,SUMPRODUCT(--($AK$2:$AK$6001&lt;$AK3886))+1,"")</f>
        <v/>
      </c>
      <c r="AI3886">
        <f>IF($C3886="","",IF(OR($N3886=TRUE(),$N3886="TRUE"),1,0))</f>
        <v/>
      </c>
      <c r="AJ3886">
        <f>IF($C3886="","",IF($T3886="Yes",1,0))</f>
        <v/>
      </c>
      <c r="AK3886">
        <f>IF($AG3886=1,IFERROR(IF(VALUE($C3886)&lt;100000000,VALUE($C3886),1000000000),IFERROR(IF(VALUE(MID($C3886,2,20))&lt;100000000,VALUE(MID($C3886,2,20)),1000000000),1000000000))+ROW()/100000,"")</f>
        <v/>
      </c>
    </row>
    <row r="3887">
      <c r="D3887" s="11" t="n"/>
      <c r="K3887" s="7">
        <f>IF($C3887="","",J3887*W3887/100)</f>
        <v/>
      </c>
      <c r="Q3887" s="7" t="n"/>
      <c r="R3887" s="7" t="n"/>
      <c r="U3887">
        <f>IF($C3887="","",IF($AJ3887=1,0,IF($AI3887=1,Settings!$C$6,Settings!$C$7))*100)</f>
        <v/>
      </c>
      <c r="V3887" s="7">
        <f>IF($C3887="","",R3887*U3887/100)</f>
        <v/>
      </c>
      <c r="W3887" s="7">
        <f>IF($C3887="","",R3887-V3887)</f>
        <v/>
      </c>
      <c r="X3887" s="7">
        <f>IF($C3887="","",W3887-K3887)</f>
        <v/>
      </c>
      <c r="AB3887" s="7" t="n"/>
      <c r="AE3887" s="11" t="n"/>
      <c r="AG3887">
        <f>IF($C3887="","",IF(COUNTIF($C$2:$C3887,$C3887)=1,1,0))</f>
        <v/>
      </c>
      <c r="AH3887">
        <f>IF($AG3887=1,SUMPRODUCT(--($AK$2:$AK$6001&lt;$AK3887))+1,"")</f>
        <v/>
      </c>
      <c r="AI3887">
        <f>IF($C3887="","",IF(OR($N3887=TRUE(),$N3887="TRUE"),1,0))</f>
        <v/>
      </c>
      <c r="AJ3887">
        <f>IF($C3887="","",IF($T3887="Yes",1,0))</f>
        <v/>
      </c>
      <c r="AK3887">
        <f>IF($AG3887=1,IFERROR(IF(VALUE($C3887)&lt;100000000,VALUE($C3887),1000000000),IFERROR(IF(VALUE(MID($C3887,2,20))&lt;100000000,VALUE(MID($C3887,2,20)),1000000000),1000000000))+ROW()/100000,"")</f>
        <v/>
      </c>
    </row>
    <row r="3888">
      <c r="D3888" s="11" t="n"/>
      <c r="K3888" s="7">
        <f>IF($C3888="","",J3888*W3888/100)</f>
        <v/>
      </c>
      <c r="Q3888" s="7" t="n"/>
      <c r="R3888" s="7" t="n"/>
      <c r="U3888">
        <f>IF($C3888="","",IF($AJ3888=1,0,IF($AI3888=1,Settings!$C$6,Settings!$C$7))*100)</f>
        <v/>
      </c>
      <c r="V3888" s="7">
        <f>IF($C3888="","",R3888*U3888/100)</f>
        <v/>
      </c>
      <c r="W3888" s="7">
        <f>IF($C3888="","",R3888-V3888)</f>
        <v/>
      </c>
      <c r="X3888" s="7">
        <f>IF($C3888="","",W3888-K3888)</f>
        <v/>
      </c>
      <c r="AB3888" s="7" t="n"/>
      <c r="AE3888" s="11" t="n"/>
      <c r="AG3888">
        <f>IF($C3888="","",IF(COUNTIF($C$2:$C3888,$C3888)=1,1,0))</f>
        <v/>
      </c>
      <c r="AH3888">
        <f>IF($AG3888=1,SUMPRODUCT(--($AK$2:$AK$6001&lt;$AK3888))+1,"")</f>
        <v/>
      </c>
      <c r="AI3888">
        <f>IF($C3888="","",IF(OR($N3888=TRUE(),$N3888="TRUE"),1,0))</f>
        <v/>
      </c>
      <c r="AJ3888">
        <f>IF($C3888="","",IF($T3888="Yes",1,0))</f>
        <v/>
      </c>
      <c r="AK3888">
        <f>IF($AG3888=1,IFERROR(IF(VALUE($C3888)&lt;100000000,VALUE($C3888),1000000000),IFERROR(IF(VALUE(MID($C3888,2,20))&lt;100000000,VALUE(MID($C3888,2,20)),1000000000),1000000000))+ROW()/100000,"")</f>
        <v/>
      </c>
    </row>
    <row r="3889">
      <c r="D3889" s="11" t="n"/>
      <c r="K3889" s="7">
        <f>IF($C3889="","",J3889*W3889/100)</f>
        <v/>
      </c>
      <c r="Q3889" s="7" t="n"/>
      <c r="R3889" s="7" t="n"/>
      <c r="U3889">
        <f>IF($C3889="","",IF($AJ3889=1,0,IF($AI3889=1,Settings!$C$6,Settings!$C$7))*100)</f>
        <v/>
      </c>
      <c r="V3889" s="7">
        <f>IF($C3889="","",R3889*U3889/100)</f>
        <v/>
      </c>
      <c r="W3889" s="7">
        <f>IF($C3889="","",R3889-V3889)</f>
        <v/>
      </c>
      <c r="X3889" s="7">
        <f>IF($C3889="","",W3889-K3889)</f>
        <v/>
      </c>
      <c r="AB3889" s="7" t="n"/>
      <c r="AE3889" s="11" t="n"/>
      <c r="AG3889">
        <f>IF($C3889="","",IF(COUNTIF($C$2:$C3889,$C3889)=1,1,0))</f>
        <v/>
      </c>
      <c r="AH3889">
        <f>IF($AG3889=1,SUMPRODUCT(--($AK$2:$AK$6001&lt;$AK3889))+1,"")</f>
        <v/>
      </c>
      <c r="AI3889">
        <f>IF($C3889="","",IF(OR($N3889=TRUE(),$N3889="TRUE"),1,0))</f>
        <v/>
      </c>
      <c r="AJ3889">
        <f>IF($C3889="","",IF($T3889="Yes",1,0))</f>
        <v/>
      </c>
      <c r="AK3889">
        <f>IF($AG3889=1,IFERROR(IF(VALUE($C3889)&lt;100000000,VALUE($C3889),1000000000),IFERROR(IF(VALUE(MID($C3889,2,20))&lt;100000000,VALUE(MID($C3889,2,20)),1000000000),1000000000))+ROW()/100000,"")</f>
        <v/>
      </c>
    </row>
    <row r="3890">
      <c r="D3890" s="11" t="n"/>
      <c r="K3890" s="7">
        <f>IF($C3890="","",J3890*W3890/100)</f>
        <v/>
      </c>
      <c r="Q3890" s="7" t="n"/>
      <c r="R3890" s="7" t="n"/>
      <c r="U3890">
        <f>IF($C3890="","",IF($AJ3890=1,0,IF($AI3890=1,Settings!$C$6,Settings!$C$7))*100)</f>
        <v/>
      </c>
      <c r="V3890" s="7">
        <f>IF($C3890="","",R3890*U3890/100)</f>
        <v/>
      </c>
      <c r="W3890" s="7">
        <f>IF($C3890="","",R3890-V3890)</f>
        <v/>
      </c>
      <c r="X3890" s="7">
        <f>IF($C3890="","",W3890-K3890)</f>
        <v/>
      </c>
      <c r="AB3890" s="7" t="n"/>
      <c r="AE3890" s="11" t="n"/>
      <c r="AG3890">
        <f>IF($C3890="","",IF(COUNTIF($C$2:$C3890,$C3890)=1,1,0))</f>
        <v/>
      </c>
      <c r="AH3890">
        <f>IF($AG3890=1,SUMPRODUCT(--($AK$2:$AK$6001&lt;$AK3890))+1,"")</f>
        <v/>
      </c>
      <c r="AI3890">
        <f>IF($C3890="","",IF(OR($N3890=TRUE(),$N3890="TRUE"),1,0))</f>
        <v/>
      </c>
      <c r="AJ3890">
        <f>IF($C3890="","",IF($T3890="Yes",1,0))</f>
        <v/>
      </c>
      <c r="AK3890">
        <f>IF($AG3890=1,IFERROR(IF(VALUE($C3890)&lt;100000000,VALUE($C3890),1000000000),IFERROR(IF(VALUE(MID($C3890,2,20))&lt;100000000,VALUE(MID($C3890,2,20)),1000000000),1000000000))+ROW()/100000,"")</f>
        <v/>
      </c>
    </row>
    <row r="3891">
      <c r="D3891" s="11" t="n"/>
      <c r="K3891" s="7">
        <f>IF($C3891="","",J3891*W3891/100)</f>
        <v/>
      </c>
      <c r="Q3891" s="7" t="n"/>
      <c r="R3891" s="7" t="n"/>
      <c r="U3891">
        <f>IF($C3891="","",IF($AJ3891=1,0,IF($AI3891=1,Settings!$C$6,Settings!$C$7))*100)</f>
        <v/>
      </c>
      <c r="V3891" s="7">
        <f>IF($C3891="","",R3891*U3891/100)</f>
        <v/>
      </c>
      <c r="W3891" s="7">
        <f>IF($C3891="","",R3891-V3891)</f>
        <v/>
      </c>
      <c r="X3891" s="7">
        <f>IF($C3891="","",W3891-K3891)</f>
        <v/>
      </c>
      <c r="AB3891" s="7" t="n"/>
      <c r="AE3891" s="11" t="n"/>
      <c r="AG3891">
        <f>IF($C3891="","",IF(COUNTIF($C$2:$C3891,$C3891)=1,1,0))</f>
        <v/>
      </c>
      <c r="AH3891">
        <f>IF($AG3891=1,SUMPRODUCT(--($AK$2:$AK$6001&lt;$AK3891))+1,"")</f>
        <v/>
      </c>
      <c r="AI3891">
        <f>IF($C3891="","",IF(OR($N3891=TRUE(),$N3891="TRUE"),1,0))</f>
        <v/>
      </c>
      <c r="AJ3891">
        <f>IF($C3891="","",IF($T3891="Yes",1,0))</f>
        <v/>
      </c>
      <c r="AK3891">
        <f>IF($AG3891=1,IFERROR(IF(VALUE($C3891)&lt;100000000,VALUE($C3891),1000000000),IFERROR(IF(VALUE(MID($C3891,2,20))&lt;100000000,VALUE(MID($C3891,2,20)),1000000000),1000000000))+ROW()/100000,"")</f>
        <v/>
      </c>
    </row>
    <row r="3892">
      <c r="D3892" s="11" t="n"/>
      <c r="K3892" s="7">
        <f>IF($C3892="","",J3892*W3892/100)</f>
        <v/>
      </c>
      <c r="Q3892" s="7" t="n"/>
      <c r="R3892" s="7" t="n"/>
      <c r="U3892">
        <f>IF($C3892="","",IF($AJ3892=1,0,IF($AI3892=1,Settings!$C$6,Settings!$C$7))*100)</f>
        <v/>
      </c>
      <c r="V3892" s="7">
        <f>IF($C3892="","",R3892*U3892/100)</f>
        <v/>
      </c>
      <c r="W3892" s="7">
        <f>IF($C3892="","",R3892-V3892)</f>
        <v/>
      </c>
      <c r="X3892" s="7">
        <f>IF($C3892="","",W3892-K3892)</f>
        <v/>
      </c>
      <c r="AB3892" s="7" t="n"/>
      <c r="AE3892" s="11" t="n"/>
      <c r="AG3892">
        <f>IF($C3892="","",IF(COUNTIF($C$2:$C3892,$C3892)=1,1,0))</f>
        <v/>
      </c>
      <c r="AH3892">
        <f>IF($AG3892=1,SUMPRODUCT(--($AK$2:$AK$6001&lt;$AK3892))+1,"")</f>
        <v/>
      </c>
      <c r="AI3892">
        <f>IF($C3892="","",IF(OR($N3892=TRUE(),$N3892="TRUE"),1,0))</f>
        <v/>
      </c>
      <c r="AJ3892">
        <f>IF($C3892="","",IF($T3892="Yes",1,0))</f>
        <v/>
      </c>
      <c r="AK3892">
        <f>IF($AG3892=1,IFERROR(IF(VALUE($C3892)&lt;100000000,VALUE($C3892),1000000000),IFERROR(IF(VALUE(MID($C3892,2,20))&lt;100000000,VALUE(MID($C3892,2,20)),1000000000),1000000000))+ROW()/100000,"")</f>
        <v/>
      </c>
    </row>
    <row r="3893">
      <c r="D3893" s="11" t="n"/>
      <c r="K3893" s="7">
        <f>IF($C3893="","",J3893*W3893/100)</f>
        <v/>
      </c>
      <c r="Q3893" s="7" t="n"/>
      <c r="R3893" s="7" t="n"/>
      <c r="U3893">
        <f>IF($C3893="","",IF($AJ3893=1,0,IF($AI3893=1,Settings!$C$6,Settings!$C$7))*100)</f>
        <v/>
      </c>
      <c r="V3893" s="7">
        <f>IF($C3893="","",R3893*U3893/100)</f>
        <v/>
      </c>
      <c r="W3893" s="7">
        <f>IF($C3893="","",R3893-V3893)</f>
        <v/>
      </c>
      <c r="X3893" s="7">
        <f>IF($C3893="","",W3893-K3893)</f>
        <v/>
      </c>
      <c r="AB3893" s="7" t="n"/>
      <c r="AE3893" s="11" t="n"/>
      <c r="AG3893">
        <f>IF($C3893="","",IF(COUNTIF($C$2:$C3893,$C3893)=1,1,0))</f>
        <v/>
      </c>
      <c r="AH3893">
        <f>IF($AG3893=1,SUMPRODUCT(--($AK$2:$AK$6001&lt;$AK3893))+1,"")</f>
        <v/>
      </c>
      <c r="AI3893">
        <f>IF($C3893="","",IF(OR($N3893=TRUE(),$N3893="TRUE"),1,0))</f>
        <v/>
      </c>
      <c r="AJ3893">
        <f>IF($C3893="","",IF($T3893="Yes",1,0))</f>
        <v/>
      </c>
      <c r="AK3893">
        <f>IF($AG3893=1,IFERROR(IF(VALUE($C3893)&lt;100000000,VALUE($C3893),1000000000),IFERROR(IF(VALUE(MID($C3893,2,20))&lt;100000000,VALUE(MID($C3893,2,20)),1000000000),1000000000))+ROW()/100000,"")</f>
        <v/>
      </c>
    </row>
    <row r="3894">
      <c r="D3894" s="11" t="n"/>
      <c r="K3894" s="7">
        <f>IF($C3894="","",J3894*W3894/100)</f>
        <v/>
      </c>
      <c r="Q3894" s="7" t="n"/>
      <c r="R3894" s="7" t="n"/>
      <c r="U3894">
        <f>IF($C3894="","",IF($AJ3894=1,0,IF($AI3894=1,Settings!$C$6,Settings!$C$7))*100)</f>
        <v/>
      </c>
      <c r="V3894" s="7">
        <f>IF($C3894="","",R3894*U3894/100)</f>
        <v/>
      </c>
      <c r="W3894" s="7">
        <f>IF($C3894="","",R3894-V3894)</f>
        <v/>
      </c>
      <c r="X3894" s="7">
        <f>IF($C3894="","",W3894-K3894)</f>
        <v/>
      </c>
      <c r="AB3894" s="7" t="n"/>
      <c r="AE3894" s="11" t="n"/>
      <c r="AG3894">
        <f>IF($C3894="","",IF(COUNTIF($C$2:$C3894,$C3894)=1,1,0))</f>
        <v/>
      </c>
      <c r="AH3894">
        <f>IF($AG3894=1,SUMPRODUCT(--($AK$2:$AK$6001&lt;$AK3894))+1,"")</f>
        <v/>
      </c>
      <c r="AI3894">
        <f>IF($C3894="","",IF(OR($N3894=TRUE(),$N3894="TRUE"),1,0))</f>
        <v/>
      </c>
      <c r="AJ3894">
        <f>IF($C3894="","",IF($T3894="Yes",1,0))</f>
        <v/>
      </c>
      <c r="AK3894">
        <f>IF($AG3894=1,IFERROR(IF(VALUE($C3894)&lt;100000000,VALUE($C3894),1000000000),IFERROR(IF(VALUE(MID($C3894,2,20))&lt;100000000,VALUE(MID($C3894,2,20)),1000000000),1000000000))+ROW()/100000,"")</f>
        <v/>
      </c>
    </row>
    <row r="3895">
      <c r="D3895" s="11" t="n"/>
      <c r="K3895" s="7">
        <f>IF($C3895="","",J3895*W3895/100)</f>
        <v/>
      </c>
      <c r="Q3895" s="7" t="n"/>
      <c r="R3895" s="7" t="n"/>
      <c r="U3895">
        <f>IF($C3895="","",IF($AJ3895=1,0,IF($AI3895=1,Settings!$C$6,Settings!$C$7))*100)</f>
        <v/>
      </c>
      <c r="V3895" s="7">
        <f>IF($C3895="","",R3895*U3895/100)</f>
        <v/>
      </c>
      <c r="W3895" s="7">
        <f>IF($C3895="","",R3895-V3895)</f>
        <v/>
      </c>
      <c r="X3895" s="7">
        <f>IF($C3895="","",W3895-K3895)</f>
        <v/>
      </c>
      <c r="AB3895" s="7" t="n"/>
      <c r="AE3895" s="11" t="n"/>
      <c r="AG3895">
        <f>IF($C3895="","",IF(COUNTIF($C$2:$C3895,$C3895)=1,1,0))</f>
        <v/>
      </c>
      <c r="AH3895">
        <f>IF($AG3895=1,SUMPRODUCT(--($AK$2:$AK$6001&lt;$AK3895))+1,"")</f>
        <v/>
      </c>
      <c r="AI3895">
        <f>IF($C3895="","",IF(OR($N3895=TRUE(),$N3895="TRUE"),1,0))</f>
        <v/>
      </c>
      <c r="AJ3895">
        <f>IF($C3895="","",IF($T3895="Yes",1,0))</f>
        <v/>
      </c>
      <c r="AK3895">
        <f>IF($AG3895=1,IFERROR(IF(VALUE($C3895)&lt;100000000,VALUE($C3895),1000000000),IFERROR(IF(VALUE(MID($C3895,2,20))&lt;100000000,VALUE(MID($C3895,2,20)),1000000000),1000000000))+ROW()/100000,"")</f>
        <v/>
      </c>
    </row>
    <row r="3896">
      <c r="D3896" s="11" t="n"/>
      <c r="K3896" s="7">
        <f>IF($C3896="","",J3896*W3896/100)</f>
        <v/>
      </c>
      <c r="Q3896" s="7" t="n"/>
      <c r="R3896" s="7" t="n"/>
      <c r="U3896">
        <f>IF($C3896="","",IF($AJ3896=1,0,IF($AI3896=1,Settings!$C$6,Settings!$C$7))*100)</f>
        <v/>
      </c>
      <c r="V3896" s="7">
        <f>IF($C3896="","",R3896*U3896/100)</f>
        <v/>
      </c>
      <c r="W3896" s="7">
        <f>IF($C3896="","",R3896-V3896)</f>
        <v/>
      </c>
      <c r="X3896" s="7">
        <f>IF($C3896="","",W3896-K3896)</f>
        <v/>
      </c>
      <c r="AB3896" s="7" t="n"/>
      <c r="AE3896" s="11" t="n"/>
      <c r="AG3896">
        <f>IF($C3896="","",IF(COUNTIF($C$2:$C3896,$C3896)=1,1,0))</f>
        <v/>
      </c>
      <c r="AH3896">
        <f>IF($AG3896=1,SUMPRODUCT(--($AK$2:$AK$6001&lt;$AK3896))+1,"")</f>
        <v/>
      </c>
      <c r="AI3896">
        <f>IF($C3896="","",IF(OR($N3896=TRUE(),$N3896="TRUE"),1,0))</f>
        <v/>
      </c>
      <c r="AJ3896">
        <f>IF($C3896="","",IF($T3896="Yes",1,0))</f>
        <v/>
      </c>
      <c r="AK3896">
        <f>IF($AG3896=1,IFERROR(IF(VALUE($C3896)&lt;100000000,VALUE($C3896),1000000000),IFERROR(IF(VALUE(MID($C3896,2,20))&lt;100000000,VALUE(MID($C3896,2,20)),1000000000),1000000000))+ROW()/100000,"")</f>
        <v/>
      </c>
    </row>
    <row r="3897">
      <c r="D3897" s="11" t="n"/>
      <c r="K3897" s="7">
        <f>IF($C3897="","",J3897*W3897/100)</f>
        <v/>
      </c>
      <c r="Q3897" s="7" t="n"/>
      <c r="R3897" s="7" t="n"/>
      <c r="U3897">
        <f>IF($C3897="","",IF($AJ3897=1,0,IF($AI3897=1,Settings!$C$6,Settings!$C$7))*100)</f>
        <v/>
      </c>
      <c r="V3897" s="7">
        <f>IF($C3897="","",R3897*U3897/100)</f>
        <v/>
      </c>
      <c r="W3897" s="7">
        <f>IF($C3897="","",R3897-V3897)</f>
        <v/>
      </c>
      <c r="X3897" s="7">
        <f>IF($C3897="","",W3897-K3897)</f>
        <v/>
      </c>
      <c r="AB3897" s="7" t="n"/>
      <c r="AE3897" s="11" t="n"/>
      <c r="AG3897">
        <f>IF($C3897="","",IF(COUNTIF($C$2:$C3897,$C3897)=1,1,0))</f>
        <v/>
      </c>
      <c r="AH3897">
        <f>IF($AG3897=1,SUMPRODUCT(--($AK$2:$AK$6001&lt;$AK3897))+1,"")</f>
        <v/>
      </c>
      <c r="AI3897">
        <f>IF($C3897="","",IF(OR($N3897=TRUE(),$N3897="TRUE"),1,0))</f>
        <v/>
      </c>
      <c r="AJ3897">
        <f>IF($C3897="","",IF($T3897="Yes",1,0))</f>
        <v/>
      </c>
      <c r="AK3897">
        <f>IF($AG3897=1,IFERROR(IF(VALUE($C3897)&lt;100000000,VALUE($C3897),1000000000),IFERROR(IF(VALUE(MID($C3897,2,20))&lt;100000000,VALUE(MID($C3897,2,20)),1000000000),1000000000))+ROW()/100000,"")</f>
        <v/>
      </c>
    </row>
    <row r="3898">
      <c r="D3898" s="11" t="n"/>
      <c r="K3898" s="7">
        <f>IF($C3898="","",J3898*W3898/100)</f>
        <v/>
      </c>
      <c r="Q3898" s="7" t="n"/>
      <c r="R3898" s="7" t="n"/>
      <c r="U3898">
        <f>IF($C3898="","",IF($AJ3898=1,0,IF($AI3898=1,Settings!$C$6,Settings!$C$7))*100)</f>
        <v/>
      </c>
      <c r="V3898" s="7">
        <f>IF($C3898="","",R3898*U3898/100)</f>
        <v/>
      </c>
      <c r="W3898" s="7">
        <f>IF($C3898="","",R3898-V3898)</f>
        <v/>
      </c>
      <c r="X3898" s="7">
        <f>IF($C3898="","",W3898-K3898)</f>
        <v/>
      </c>
      <c r="AB3898" s="7" t="n"/>
      <c r="AE3898" s="11" t="n"/>
      <c r="AG3898">
        <f>IF($C3898="","",IF(COUNTIF($C$2:$C3898,$C3898)=1,1,0))</f>
        <v/>
      </c>
      <c r="AH3898">
        <f>IF($AG3898=1,SUMPRODUCT(--($AK$2:$AK$6001&lt;$AK3898))+1,"")</f>
        <v/>
      </c>
      <c r="AI3898">
        <f>IF($C3898="","",IF(OR($N3898=TRUE(),$N3898="TRUE"),1,0))</f>
        <v/>
      </c>
      <c r="AJ3898">
        <f>IF($C3898="","",IF($T3898="Yes",1,0))</f>
        <v/>
      </c>
      <c r="AK3898">
        <f>IF($AG3898=1,IFERROR(IF(VALUE($C3898)&lt;100000000,VALUE($C3898),1000000000),IFERROR(IF(VALUE(MID($C3898,2,20))&lt;100000000,VALUE(MID($C3898,2,20)),1000000000),1000000000))+ROW()/100000,"")</f>
        <v/>
      </c>
    </row>
    <row r="3899">
      <c r="D3899" s="11" t="n"/>
      <c r="K3899" s="7">
        <f>IF($C3899="","",J3899*W3899/100)</f>
        <v/>
      </c>
      <c r="Q3899" s="7" t="n"/>
      <c r="R3899" s="7" t="n"/>
      <c r="U3899">
        <f>IF($C3899="","",IF($AJ3899=1,0,IF($AI3899=1,Settings!$C$6,Settings!$C$7))*100)</f>
        <v/>
      </c>
      <c r="V3899" s="7">
        <f>IF($C3899="","",R3899*U3899/100)</f>
        <v/>
      </c>
      <c r="W3899" s="7">
        <f>IF($C3899="","",R3899-V3899)</f>
        <v/>
      </c>
      <c r="X3899" s="7">
        <f>IF($C3899="","",W3899-K3899)</f>
        <v/>
      </c>
      <c r="AB3899" s="7" t="n"/>
      <c r="AE3899" s="11" t="n"/>
      <c r="AG3899">
        <f>IF($C3899="","",IF(COUNTIF($C$2:$C3899,$C3899)=1,1,0))</f>
        <v/>
      </c>
      <c r="AH3899">
        <f>IF($AG3899=1,SUMPRODUCT(--($AK$2:$AK$6001&lt;$AK3899))+1,"")</f>
        <v/>
      </c>
      <c r="AI3899">
        <f>IF($C3899="","",IF(OR($N3899=TRUE(),$N3899="TRUE"),1,0))</f>
        <v/>
      </c>
      <c r="AJ3899">
        <f>IF($C3899="","",IF($T3899="Yes",1,0))</f>
        <v/>
      </c>
      <c r="AK3899">
        <f>IF($AG3899=1,IFERROR(IF(VALUE($C3899)&lt;100000000,VALUE($C3899),1000000000),IFERROR(IF(VALUE(MID($C3899,2,20))&lt;100000000,VALUE(MID($C3899,2,20)),1000000000),1000000000))+ROW()/100000,"")</f>
        <v/>
      </c>
    </row>
    <row r="3900">
      <c r="D3900" s="11" t="n"/>
      <c r="K3900" s="7">
        <f>IF($C3900="","",J3900*W3900/100)</f>
        <v/>
      </c>
      <c r="Q3900" s="7" t="n"/>
      <c r="R3900" s="7" t="n"/>
      <c r="U3900">
        <f>IF($C3900="","",IF($AJ3900=1,0,IF($AI3900=1,Settings!$C$6,Settings!$C$7))*100)</f>
        <v/>
      </c>
      <c r="V3900" s="7">
        <f>IF($C3900="","",R3900*U3900/100)</f>
        <v/>
      </c>
      <c r="W3900" s="7">
        <f>IF($C3900="","",R3900-V3900)</f>
        <v/>
      </c>
      <c r="X3900" s="7">
        <f>IF($C3900="","",W3900-K3900)</f>
        <v/>
      </c>
      <c r="AB3900" s="7" t="n"/>
      <c r="AE3900" s="11" t="n"/>
      <c r="AG3900">
        <f>IF($C3900="","",IF(COUNTIF($C$2:$C3900,$C3900)=1,1,0))</f>
        <v/>
      </c>
      <c r="AH3900">
        <f>IF($AG3900=1,SUMPRODUCT(--($AK$2:$AK$6001&lt;$AK3900))+1,"")</f>
        <v/>
      </c>
      <c r="AI3900">
        <f>IF($C3900="","",IF(OR($N3900=TRUE(),$N3900="TRUE"),1,0))</f>
        <v/>
      </c>
      <c r="AJ3900">
        <f>IF($C3900="","",IF($T3900="Yes",1,0))</f>
        <v/>
      </c>
      <c r="AK3900">
        <f>IF($AG3900=1,IFERROR(IF(VALUE($C3900)&lt;100000000,VALUE($C3900),1000000000),IFERROR(IF(VALUE(MID($C3900,2,20))&lt;100000000,VALUE(MID($C3900,2,20)),1000000000),1000000000))+ROW()/100000,"")</f>
        <v/>
      </c>
    </row>
    <row r="3901">
      <c r="D3901" s="11" t="n"/>
      <c r="K3901" s="7">
        <f>IF($C3901="","",J3901*W3901/100)</f>
        <v/>
      </c>
      <c r="Q3901" s="7" t="n"/>
      <c r="R3901" s="7" t="n"/>
      <c r="U3901">
        <f>IF($C3901="","",IF($AJ3901=1,0,IF($AI3901=1,Settings!$C$6,Settings!$C$7))*100)</f>
        <v/>
      </c>
      <c r="V3901" s="7">
        <f>IF($C3901="","",R3901*U3901/100)</f>
        <v/>
      </c>
      <c r="W3901" s="7">
        <f>IF($C3901="","",R3901-V3901)</f>
        <v/>
      </c>
      <c r="X3901" s="7">
        <f>IF($C3901="","",W3901-K3901)</f>
        <v/>
      </c>
      <c r="AB3901" s="7" t="n"/>
      <c r="AE3901" s="11" t="n"/>
      <c r="AG3901">
        <f>IF($C3901="","",IF(COUNTIF($C$2:$C3901,$C3901)=1,1,0))</f>
        <v/>
      </c>
      <c r="AH3901">
        <f>IF($AG3901=1,SUMPRODUCT(--($AK$2:$AK$6001&lt;$AK3901))+1,"")</f>
        <v/>
      </c>
      <c r="AI3901">
        <f>IF($C3901="","",IF(OR($N3901=TRUE(),$N3901="TRUE"),1,0))</f>
        <v/>
      </c>
      <c r="AJ3901">
        <f>IF($C3901="","",IF($T3901="Yes",1,0))</f>
        <v/>
      </c>
      <c r="AK3901">
        <f>IF($AG3901=1,IFERROR(IF(VALUE($C3901)&lt;100000000,VALUE($C3901),1000000000),IFERROR(IF(VALUE(MID($C3901,2,20))&lt;100000000,VALUE(MID($C3901,2,20)),1000000000),1000000000))+ROW()/100000,"")</f>
        <v/>
      </c>
    </row>
    <row r="3902">
      <c r="D3902" s="11" t="n"/>
      <c r="K3902" s="7">
        <f>IF($C3902="","",J3902*W3902/100)</f>
        <v/>
      </c>
      <c r="Q3902" s="7" t="n"/>
      <c r="R3902" s="7" t="n"/>
      <c r="U3902">
        <f>IF($C3902="","",IF($AJ3902=1,0,IF($AI3902=1,Settings!$C$6,Settings!$C$7))*100)</f>
        <v/>
      </c>
      <c r="V3902" s="7">
        <f>IF($C3902="","",R3902*U3902/100)</f>
        <v/>
      </c>
      <c r="W3902" s="7">
        <f>IF($C3902="","",R3902-V3902)</f>
        <v/>
      </c>
      <c r="X3902" s="7">
        <f>IF($C3902="","",W3902-K3902)</f>
        <v/>
      </c>
      <c r="AB3902" s="7" t="n"/>
      <c r="AE3902" s="11" t="n"/>
      <c r="AG3902">
        <f>IF($C3902="","",IF(COUNTIF($C$2:$C3902,$C3902)=1,1,0))</f>
        <v/>
      </c>
      <c r="AH3902">
        <f>IF($AG3902=1,SUMPRODUCT(--($AK$2:$AK$6001&lt;$AK3902))+1,"")</f>
        <v/>
      </c>
      <c r="AI3902">
        <f>IF($C3902="","",IF(OR($N3902=TRUE(),$N3902="TRUE"),1,0))</f>
        <v/>
      </c>
      <c r="AJ3902">
        <f>IF($C3902="","",IF($T3902="Yes",1,0))</f>
        <v/>
      </c>
      <c r="AK3902">
        <f>IF($AG3902=1,IFERROR(IF(VALUE($C3902)&lt;100000000,VALUE($C3902),1000000000),IFERROR(IF(VALUE(MID($C3902,2,20))&lt;100000000,VALUE(MID($C3902,2,20)),1000000000),1000000000))+ROW()/100000,"")</f>
        <v/>
      </c>
    </row>
    <row r="3903">
      <c r="D3903" s="11" t="n"/>
      <c r="K3903" s="7">
        <f>IF($C3903="","",J3903*W3903/100)</f>
        <v/>
      </c>
      <c r="Q3903" s="7" t="n"/>
      <c r="R3903" s="7" t="n"/>
      <c r="U3903">
        <f>IF($C3903="","",IF($AJ3903=1,0,IF($AI3903=1,Settings!$C$6,Settings!$C$7))*100)</f>
        <v/>
      </c>
      <c r="V3903" s="7">
        <f>IF($C3903="","",R3903*U3903/100)</f>
        <v/>
      </c>
      <c r="W3903" s="7">
        <f>IF($C3903="","",R3903-V3903)</f>
        <v/>
      </c>
      <c r="X3903" s="7">
        <f>IF($C3903="","",W3903-K3903)</f>
        <v/>
      </c>
      <c r="AB3903" s="7" t="n"/>
      <c r="AE3903" s="11" t="n"/>
      <c r="AG3903">
        <f>IF($C3903="","",IF(COUNTIF($C$2:$C3903,$C3903)=1,1,0))</f>
        <v/>
      </c>
      <c r="AH3903">
        <f>IF($AG3903=1,SUMPRODUCT(--($AK$2:$AK$6001&lt;$AK3903))+1,"")</f>
        <v/>
      </c>
      <c r="AI3903">
        <f>IF($C3903="","",IF(OR($N3903=TRUE(),$N3903="TRUE"),1,0))</f>
        <v/>
      </c>
      <c r="AJ3903">
        <f>IF($C3903="","",IF($T3903="Yes",1,0))</f>
        <v/>
      </c>
      <c r="AK3903">
        <f>IF($AG3903=1,IFERROR(IF(VALUE($C3903)&lt;100000000,VALUE($C3903),1000000000),IFERROR(IF(VALUE(MID($C3903,2,20))&lt;100000000,VALUE(MID($C3903,2,20)),1000000000),1000000000))+ROW()/100000,"")</f>
        <v/>
      </c>
    </row>
    <row r="3904">
      <c r="D3904" s="11" t="n"/>
      <c r="K3904" s="7">
        <f>IF($C3904="","",J3904*W3904/100)</f>
        <v/>
      </c>
      <c r="Q3904" s="7" t="n"/>
      <c r="R3904" s="7" t="n"/>
      <c r="U3904">
        <f>IF($C3904="","",IF($AJ3904=1,0,IF($AI3904=1,Settings!$C$6,Settings!$C$7))*100)</f>
        <v/>
      </c>
      <c r="V3904" s="7">
        <f>IF($C3904="","",R3904*U3904/100)</f>
        <v/>
      </c>
      <c r="W3904" s="7">
        <f>IF($C3904="","",R3904-V3904)</f>
        <v/>
      </c>
      <c r="X3904" s="7">
        <f>IF($C3904="","",W3904-K3904)</f>
        <v/>
      </c>
      <c r="AB3904" s="7" t="n"/>
      <c r="AE3904" s="11" t="n"/>
      <c r="AG3904">
        <f>IF($C3904="","",IF(COUNTIF($C$2:$C3904,$C3904)=1,1,0))</f>
        <v/>
      </c>
      <c r="AH3904">
        <f>IF($AG3904=1,SUMPRODUCT(--($AK$2:$AK$6001&lt;$AK3904))+1,"")</f>
        <v/>
      </c>
      <c r="AI3904">
        <f>IF($C3904="","",IF(OR($N3904=TRUE(),$N3904="TRUE"),1,0))</f>
        <v/>
      </c>
      <c r="AJ3904">
        <f>IF($C3904="","",IF($T3904="Yes",1,0))</f>
        <v/>
      </c>
      <c r="AK3904">
        <f>IF($AG3904=1,IFERROR(IF(VALUE($C3904)&lt;100000000,VALUE($C3904),1000000000),IFERROR(IF(VALUE(MID($C3904,2,20))&lt;100000000,VALUE(MID($C3904,2,20)),1000000000),1000000000))+ROW()/100000,"")</f>
        <v/>
      </c>
    </row>
    <row r="3905">
      <c r="D3905" s="11" t="n"/>
      <c r="K3905" s="7">
        <f>IF($C3905="","",J3905*W3905/100)</f>
        <v/>
      </c>
      <c r="Q3905" s="7" t="n"/>
      <c r="R3905" s="7" t="n"/>
      <c r="U3905">
        <f>IF($C3905="","",IF($AJ3905=1,0,IF($AI3905=1,Settings!$C$6,Settings!$C$7))*100)</f>
        <v/>
      </c>
      <c r="V3905" s="7">
        <f>IF($C3905="","",R3905*U3905/100)</f>
        <v/>
      </c>
      <c r="W3905" s="7">
        <f>IF($C3905="","",R3905-V3905)</f>
        <v/>
      </c>
      <c r="X3905" s="7">
        <f>IF($C3905="","",W3905-K3905)</f>
        <v/>
      </c>
      <c r="AB3905" s="7" t="n"/>
      <c r="AE3905" s="11" t="n"/>
      <c r="AG3905">
        <f>IF($C3905="","",IF(COUNTIF($C$2:$C3905,$C3905)=1,1,0))</f>
        <v/>
      </c>
      <c r="AH3905">
        <f>IF($AG3905=1,SUMPRODUCT(--($AK$2:$AK$6001&lt;$AK3905))+1,"")</f>
        <v/>
      </c>
      <c r="AI3905">
        <f>IF($C3905="","",IF(OR($N3905=TRUE(),$N3905="TRUE"),1,0))</f>
        <v/>
      </c>
      <c r="AJ3905">
        <f>IF($C3905="","",IF($T3905="Yes",1,0))</f>
        <v/>
      </c>
      <c r="AK3905">
        <f>IF($AG3905=1,IFERROR(IF(VALUE($C3905)&lt;100000000,VALUE($C3905),1000000000),IFERROR(IF(VALUE(MID($C3905,2,20))&lt;100000000,VALUE(MID($C3905,2,20)),1000000000),1000000000))+ROW()/100000,"")</f>
        <v/>
      </c>
    </row>
    <row r="3906">
      <c r="D3906" s="11" t="n"/>
      <c r="K3906" s="7">
        <f>IF($C3906="","",J3906*W3906/100)</f>
        <v/>
      </c>
      <c r="Q3906" s="7" t="n"/>
      <c r="R3906" s="7" t="n"/>
      <c r="U3906">
        <f>IF($C3906="","",IF($AJ3906=1,0,IF($AI3906=1,Settings!$C$6,Settings!$C$7))*100)</f>
        <v/>
      </c>
      <c r="V3906" s="7">
        <f>IF($C3906="","",R3906*U3906/100)</f>
        <v/>
      </c>
      <c r="W3906" s="7">
        <f>IF($C3906="","",R3906-V3906)</f>
        <v/>
      </c>
      <c r="X3906" s="7">
        <f>IF($C3906="","",W3906-K3906)</f>
        <v/>
      </c>
      <c r="AB3906" s="7" t="n"/>
      <c r="AE3906" s="11" t="n"/>
      <c r="AG3906">
        <f>IF($C3906="","",IF(COUNTIF($C$2:$C3906,$C3906)=1,1,0))</f>
        <v/>
      </c>
      <c r="AH3906">
        <f>IF($AG3906=1,SUMPRODUCT(--($AK$2:$AK$6001&lt;$AK3906))+1,"")</f>
        <v/>
      </c>
      <c r="AI3906">
        <f>IF($C3906="","",IF(OR($N3906=TRUE(),$N3906="TRUE"),1,0))</f>
        <v/>
      </c>
      <c r="AJ3906">
        <f>IF($C3906="","",IF($T3906="Yes",1,0))</f>
        <v/>
      </c>
      <c r="AK3906">
        <f>IF($AG3906=1,IFERROR(IF(VALUE($C3906)&lt;100000000,VALUE($C3906),1000000000),IFERROR(IF(VALUE(MID($C3906,2,20))&lt;100000000,VALUE(MID($C3906,2,20)),1000000000),1000000000))+ROW()/100000,"")</f>
        <v/>
      </c>
    </row>
    <row r="3907">
      <c r="D3907" s="11" t="n"/>
      <c r="K3907" s="7">
        <f>IF($C3907="","",J3907*W3907/100)</f>
        <v/>
      </c>
      <c r="Q3907" s="7" t="n"/>
      <c r="R3907" s="7" t="n"/>
      <c r="U3907">
        <f>IF($C3907="","",IF($AJ3907=1,0,IF($AI3907=1,Settings!$C$6,Settings!$C$7))*100)</f>
        <v/>
      </c>
      <c r="V3907" s="7">
        <f>IF($C3907="","",R3907*U3907/100)</f>
        <v/>
      </c>
      <c r="W3907" s="7">
        <f>IF($C3907="","",R3907-V3907)</f>
        <v/>
      </c>
      <c r="X3907" s="7">
        <f>IF($C3907="","",W3907-K3907)</f>
        <v/>
      </c>
      <c r="AB3907" s="7" t="n"/>
      <c r="AE3907" s="11" t="n"/>
      <c r="AG3907">
        <f>IF($C3907="","",IF(COUNTIF($C$2:$C3907,$C3907)=1,1,0))</f>
        <v/>
      </c>
      <c r="AH3907">
        <f>IF($AG3907=1,SUMPRODUCT(--($AK$2:$AK$6001&lt;$AK3907))+1,"")</f>
        <v/>
      </c>
      <c r="AI3907">
        <f>IF($C3907="","",IF(OR($N3907=TRUE(),$N3907="TRUE"),1,0))</f>
        <v/>
      </c>
      <c r="AJ3907">
        <f>IF($C3907="","",IF($T3907="Yes",1,0))</f>
        <v/>
      </c>
      <c r="AK3907">
        <f>IF($AG3907=1,IFERROR(IF(VALUE($C3907)&lt;100000000,VALUE($C3907),1000000000),IFERROR(IF(VALUE(MID($C3907,2,20))&lt;100000000,VALUE(MID($C3907,2,20)),1000000000),1000000000))+ROW()/100000,"")</f>
        <v/>
      </c>
    </row>
    <row r="3908">
      <c r="D3908" s="11" t="n"/>
      <c r="K3908" s="7">
        <f>IF($C3908="","",J3908*W3908/100)</f>
        <v/>
      </c>
      <c r="Q3908" s="7" t="n"/>
      <c r="R3908" s="7" t="n"/>
      <c r="U3908">
        <f>IF($C3908="","",IF($AJ3908=1,0,IF($AI3908=1,Settings!$C$6,Settings!$C$7))*100)</f>
        <v/>
      </c>
      <c r="V3908" s="7">
        <f>IF($C3908="","",R3908*U3908/100)</f>
        <v/>
      </c>
      <c r="W3908" s="7">
        <f>IF($C3908="","",R3908-V3908)</f>
        <v/>
      </c>
      <c r="X3908" s="7">
        <f>IF($C3908="","",W3908-K3908)</f>
        <v/>
      </c>
      <c r="AB3908" s="7" t="n"/>
      <c r="AE3908" s="11" t="n"/>
      <c r="AG3908">
        <f>IF($C3908="","",IF(COUNTIF($C$2:$C3908,$C3908)=1,1,0))</f>
        <v/>
      </c>
      <c r="AH3908">
        <f>IF($AG3908=1,SUMPRODUCT(--($AK$2:$AK$6001&lt;$AK3908))+1,"")</f>
        <v/>
      </c>
      <c r="AI3908">
        <f>IF($C3908="","",IF(OR($N3908=TRUE(),$N3908="TRUE"),1,0))</f>
        <v/>
      </c>
      <c r="AJ3908">
        <f>IF($C3908="","",IF($T3908="Yes",1,0))</f>
        <v/>
      </c>
      <c r="AK3908">
        <f>IF($AG3908=1,IFERROR(IF(VALUE($C3908)&lt;100000000,VALUE($C3908),1000000000),IFERROR(IF(VALUE(MID($C3908,2,20))&lt;100000000,VALUE(MID($C3908,2,20)),1000000000),1000000000))+ROW()/100000,"")</f>
        <v/>
      </c>
    </row>
    <row r="3909">
      <c r="D3909" s="11" t="n"/>
      <c r="K3909" s="7">
        <f>IF($C3909="","",J3909*W3909/100)</f>
        <v/>
      </c>
      <c r="Q3909" s="7" t="n"/>
      <c r="R3909" s="7" t="n"/>
      <c r="U3909">
        <f>IF($C3909="","",IF($AJ3909=1,0,IF($AI3909=1,Settings!$C$6,Settings!$C$7))*100)</f>
        <v/>
      </c>
      <c r="V3909" s="7">
        <f>IF($C3909="","",R3909*U3909/100)</f>
        <v/>
      </c>
      <c r="W3909" s="7">
        <f>IF($C3909="","",R3909-V3909)</f>
        <v/>
      </c>
      <c r="X3909" s="7">
        <f>IF($C3909="","",W3909-K3909)</f>
        <v/>
      </c>
      <c r="AB3909" s="7" t="n"/>
      <c r="AE3909" s="11" t="n"/>
      <c r="AG3909">
        <f>IF($C3909="","",IF(COUNTIF($C$2:$C3909,$C3909)=1,1,0))</f>
        <v/>
      </c>
      <c r="AH3909">
        <f>IF($AG3909=1,SUMPRODUCT(--($AK$2:$AK$6001&lt;$AK3909))+1,"")</f>
        <v/>
      </c>
      <c r="AI3909">
        <f>IF($C3909="","",IF(OR($N3909=TRUE(),$N3909="TRUE"),1,0))</f>
        <v/>
      </c>
      <c r="AJ3909">
        <f>IF($C3909="","",IF($T3909="Yes",1,0))</f>
        <v/>
      </c>
      <c r="AK3909">
        <f>IF($AG3909=1,IFERROR(IF(VALUE($C3909)&lt;100000000,VALUE($C3909),1000000000),IFERROR(IF(VALUE(MID($C3909,2,20))&lt;100000000,VALUE(MID($C3909,2,20)),1000000000),1000000000))+ROW()/100000,"")</f>
        <v/>
      </c>
    </row>
    <row r="3910">
      <c r="D3910" s="11" t="n"/>
      <c r="K3910" s="7">
        <f>IF($C3910="","",J3910*W3910/100)</f>
        <v/>
      </c>
      <c r="Q3910" s="7" t="n"/>
      <c r="R3910" s="7" t="n"/>
      <c r="U3910">
        <f>IF($C3910="","",IF($AJ3910=1,0,IF($AI3910=1,Settings!$C$6,Settings!$C$7))*100)</f>
        <v/>
      </c>
      <c r="V3910" s="7">
        <f>IF($C3910="","",R3910*U3910/100)</f>
        <v/>
      </c>
      <c r="W3910" s="7">
        <f>IF($C3910="","",R3910-V3910)</f>
        <v/>
      </c>
      <c r="X3910" s="7">
        <f>IF($C3910="","",W3910-K3910)</f>
        <v/>
      </c>
      <c r="AB3910" s="7" t="n"/>
      <c r="AE3910" s="11" t="n"/>
      <c r="AG3910">
        <f>IF($C3910="","",IF(COUNTIF($C$2:$C3910,$C3910)=1,1,0))</f>
        <v/>
      </c>
      <c r="AH3910">
        <f>IF($AG3910=1,SUMPRODUCT(--($AK$2:$AK$6001&lt;$AK3910))+1,"")</f>
        <v/>
      </c>
      <c r="AI3910">
        <f>IF($C3910="","",IF(OR($N3910=TRUE(),$N3910="TRUE"),1,0))</f>
        <v/>
      </c>
      <c r="AJ3910">
        <f>IF($C3910="","",IF($T3910="Yes",1,0))</f>
        <v/>
      </c>
      <c r="AK3910">
        <f>IF($AG3910=1,IFERROR(IF(VALUE($C3910)&lt;100000000,VALUE($C3910),1000000000),IFERROR(IF(VALUE(MID($C3910,2,20))&lt;100000000,VALUE(MID($C3910,2,20)),1000000000),1000000000))+ROW()/100000,"")</f>
        <v/>
      </c>
    </row>
    <row r="3911">
      <c r="D3911" s="11" t="n"/>
      <c r="K3911" s="7">
        <f>IF($C3911="","",J3911*W3911/100)</f>
        <v/>
      </c>
      <c r="Q3911" s="7" t="n"/>
      <c r="R3911" s="7" t="n"/>
      <c r="U3911">
        <f>IF($C3911="","",IF($AJ3911=1,0,IF($AI3911=1,Settings!$C$6,Settings!$C$7))*100)</f>
        <v/>
      </c>
      <c r="V3911" s="7">
        <f>IF($C3911="","",R3911*U3911/100)</f>
        <v/>
      </c>
      <c r="W3911" s="7">
        <f>IF($C3911="","",R3911-V3911)</f>
        <v/>
      </c>
      <c r="X3911" s="7">
        <f>IF($C3911="","",W3911-K3911)</f>
        <v/>
      </c>
      <c r="AB3911" s="7" t="n"/>
      <c r="AE3911" s="11" t="n"/>
      <c r="AG3911">
        <f>IF($C3911="","",IF(COUNTIF($C$2:$C3911,$C3911)=1,1,0))</f>
        <v/>
      </c>
      <c r="AH3911">
        <f>IF($AG3911=1,SUMPRODUCT(--($AK$2:$AK$6001&lt;$AK3911))+1,"")</f>
        <v/>
      </c>
      <c r="AI3911">
        <f>IF($C3911="","",IF(OR($N3911=TRUE(),$N3911="TRUE"),1,0))</f>
        <v/>
      </c>
      <c r="AJ3911">
        <f>IF($C3911="","",IF($T3911="Yes",1,0))</f>
        <v/>
      </c>
      <c r="AK3911">
        <f>IF($AG3911=1,IFERROR(IF(VALUE($C3911)&lt;100000000,VALUE($C3911),1000000000),IFERROR(IF(VALUE(MID($C3911,2,20))&lt;100000000,VALUE(MID($C3911,2,20)),1000000000),1000000000))+ROW()/100000,"")</f>
        <v/>
      </c>
    </row>
    <row r="3912">
      <c r="D3912" s="11" t="n"/>
      <c r="K3912" s="7">
        <f>IF($C3912="","",J3912*W3912/100)</f>
        <v/>
      </c>
      <c r="Q3912" s="7" t="n"/>
      <c r="R3912" s="7" t="n"/>
      <c r="U3912">
        <f>IF($C3912="","",IF($AJ3912=1,0,IF($AI3912=1,Settings!$C$6,Settings!$C$7))*100)</f>
        <v/>
      </c>
      <c r="V3912" s="7">
        <f>IF($C3912="","",R3912*U3912/100)</f>
        <v/>
      </c>
      <c r="W3912" s="7">
        <f>IF($C3912="","",R3912-V3912)</f>
        <v/>
      </c>
      <c r="X3912" s="7">
        <f>IF($C3912="","",W3912-K3912)</f>
        <v/>
      </c>
      <c r="AB3912" s="7" t="n"/>
      <c r="AE3912" s="11" t="n"/>
      <c r="AG3912">
        <f>IF($C3912="","",IF(COUNTIF($C$2:$C3912,$C3912)=1,1,0))</f>
        <v/>
      </c>
      <c r="AH3912">
        <f>IF($AG3912=1,SUMPRODUCT(--($AK$2:$AK$6001&lt;$AK3912))+1,"")</f>
        <v/>
      </c>
      <c r="AI3912">
        <f>IF($C3912="","",IF(OR($N3912=TRUE(),$N3912="TRUE"),1,0))</f>
        <v/>
      </c>
      <c r="AJ3912">
        <f>IF($C3912="","",IF($T3912="Yes",1,0))</f>
        <v/>
      </c>
      <c r="AK3912">
        <f>IF($AG3912=1,IFERROR(IF(VALUE($C3912)&lt;100000000,VALUE($C3912),1000000000),IFERROR(IF(VALUE(MID($C3912,2,20))&lt;100000000,VALUE(MID($C3912,2,20)),1000000000),1000000000))+ROW()/100000,"")</f>
        <v/>
      </c>
    </row>
    <row r="3913">
      <c r="D3913" s="11" t="n"/>
      <c r="K3913" s="7">
        <f>IF($C3913="","",J3913*W3913/100)</f>
        <v/>
      </c>
      <c r="Q3913" s="7" t="n"/>
      <c r="R3913" s="7" t="n"/>
      <c r="U3913">
        <f>IF($C3913="","",IF($AJ3913=1,0,IF($AI3913=1,Settings!$C$6,Settings!$C$7))*100)</f>
        <v/>
      </c>
      <c r="V3913" s="7">
        <f>IF($C3913="","",R3913*U3913/100)</f>
        <v/>
      </c>
      <c r="W3913" s="7">
        <f>IF($C3913="","",R3913-V3913)</f>
        <v/>
      </c>
      <c r="X3913" s="7">
        <f>IF($C3913="","",W3913-K3913)</f>
        <v/>
      </c>
      <c r="AB3913" s="7" t="n"/>
      <c r="AE3913" s="11" t="n"/>
      <c r="AG3913">
        <f>IF($C3913="","",IF(COUNTIF($C$2:$C3913,$C3913)=1,1,0))</f>
        <v/>
      </c>
      <c r="AH3913">
        <f>IF($AG3913=1,SUMPRODUCT(--($AK$2:$AK$6001&lt;$AK3913))+1,"")</f>
        <v/>
      </c>
      <c r="AI3913">
        <f>IF($C3913="","",IF(OR($N3913=TRUE(),$N3913="TRUE"),1,0))</f>
        <v/>
      </c>
      <c r="AJ3913">
        <f>IF($C3913="","",IF($T3913="Yes",1,0))</f>
        <v/>
      </c>
      <c r="AK3913">
        <f>IF($AG3913=1,IFERROR(IF(VALUE($C3913)&lt;100000000,VALUE($C3913),1000000000),IFERROR(IF(VALUE(MID($C3913,2,20))&lt;100000000,VALUE(MID($C3913,2,20)),1000000000),1000000000))+ROW()/100000,"")</f>
        <v/>
      </c>
    </row>
    <row r="3914">
      <c r="D3914" s="11" t="n"/>
      <c r="K3914" s="7">
        <f>IF($C3914="","",J3914*W3914/100)</f>
        <v/>
      </c>
      <c r="Q3914" s="7" t="n"/>
      <c r="R3914" s="7" t="n"/>
      <c r="U3914">
        <f>IF($C3914="","",IF($AJ3914=1,0,IF($AI3914=1,Settings!$C$6,Settings!$C$7))*100)</f>
        <v/>
      </c>
      <c r="V3914" s="7">
        <f>IF($C3914="","",R3914*U3914/100)</f>
        <v/>
      </c>
      <c r="W3914" s="7">
        <f>IF($C3914="","",R3914-V3914)</f>
        <v/>
      </c>
      <c r="X3914" s="7">
        <f>IF($C3914="","",W3914-K3914)</f>
        <v/>
      </c>
      <c r="AB3914" s="7" t="n"/>
      <c r="AE3914" s="11" t="n"/>
      <c r="AG3914">
        <f>IF($C3914="","",IF(COUNTIF($C$2:$C3914,$C3914)=1,1,0))</f>
        <v/>
      </c>
      <c r="AH3914">
        <f>IF($AG3914=1,SUMPRODUCT(--($AK$2:$AK$6001&lt;$AK3914))+1,"")</f>
        <v/>
      </c>
      <c r="AI3914">
        <f>IF($C3914="","",IF(OR($N3914=TRUE(),$N3914="TRUE"),1,0))</f>
        <v/>
      </c>
      <c r="AJ3914">
        <f>IF($C3914="","",IF($T3914="Yes",1,0))</f>
        <v/>
      </c>
      <c r="AK3914">
        <f>IF($AG3914=1,IFERROR(IF(VALUE($C3914)&lt;100000000,VALUE($C3914),1000000000),IFERROR(IF(VALUE(MID($C3914,2,20))&lt;100000000,VALUE(MID($C3914,2,20)),1000000000),1000000000))+ROW()/100000,"")</f>
        <v/>
      </c>
    </row>
    <row r="3915">
      <c r="D3915" s="11" t="n"/>
      <c r="K3915" s="7">
        <f>IF($C3915="","",J3915*W3915/100)</f>
        <v/>
      </c>
      <c r="Q3915" s="7" t="n"/>
      <c r="R3915" s="7" t="n"/>
      <c r="U3915">
        <f>IF($C3915="","",IF($AJ3915=1,0,IF($AI3915=1,Settings!$C$6,Settings!$C$7))*100)</f>
        <v/>
      </c>
      <c r="V3915" s="7">
        <f>IF($C3915="","",R3915*U3915/100)</f>
        <v/>
      </c>
      <c r="W3915" s="7">
        <f>IF($C3915="","",R3915-V3915)</f>
        <v/>
      </c>
      <c r="X3915" s="7">
        <f>IF($C3915="","",W3915-K3915)</f>
        <v/>
      </c>
      <c r="AB3915" s="7" t="n"/>
      <c r="AE3915" s="11" t="n"/>
      <c r="AG3915">
        <f>IF($C3915="","",IF(COUNTIF($C$2:$C3915,$C3915)=1,1,0))</f>
        <v/>
      </c>
      <c r="AH3915">
        <f>IF($AG3915=1,SUMPRODUCT(--($AK$2:$AK$6001&lt;$AK3915))+1,"")</f>
        <v/>
      </c>
      <c r="AI3915">
        <f>IF($C3915="","",IF(OR($N3915=TRUE(),$N3915="TRUE"),1,0))</f>
        <v/>
      </c>
      <c r="AJ3915">
        <f>IF($C3915="","",IF($T3915="Yes",1,0))</f>
        <v/>
      </c>
      <c r="AK3915">
        <f>IF($AG3915=1,IFERROR(IF(VALUE($C3915)&lt;100000000,VALUE($C3915),1000000000),IFERROR(IF(VALUE(MID($C3915,2,20))&lt;100000000,VALUE(MID($C3915,2,20)),1000000000),1000000000))+ROW()/100000,"")</f>
        <v/>
      </c>
    </row>
    <row r="3916">
      <c r="D3916" s="11" t="n"/>
      <c r="K3916" s="7">
        <f>IF($C3916="","",J3916*W3916/100)</f>
        <v/>
      </c>
      <c r="Q3916" s="7" t="n"/>
      <c r="R3916" s="7" t="n"/>
      <c r="U3916">
        <f>IF($C3916="","",IF($AJ3916=1,0,IF($AI3916=1,Settings!$C$6,Settings!$C$7))*100)</f>
        <v/>
      </c>
      <c r="V3916" s="7">
        <f>IF($C3916="","",R3916*U3916/100)</f>
        <v/>
      </c>
      <c r="W3916" s="7">
        <f>IF($C3916="","",R3916-V3916)</f>
        <v/>
      </c>
      <c r="X3916" s="7">
        <f>IF($C3916="","",W3916-K3916)</f>
        <v/>
      </c>
      <c r="AB3916" s="7" t="n"/>
      <c r="AE3916" s="11" t="n"/>
      <c r="AG3916">
        <f>IF($C3916="","",IF(COUNTIF($C$2:$C3916,$C3916)=1,1,0))</f>
        <v/>
      </c>
      <c r="AH3916">
        <f>IF($AG3916=1,SUMPRODUCT(--($AK$2:$AK$6001&lt;$AK3916))+1,"")</f>
        <v/>
      </c>
      <c r="AI3916">
        <f>IF($C3916="","",IF(OR($N3916=TRUE(),$N3916="TRUE"),1,0))</f>
        <v/>
      </c>
      <c r="AJ3916">
        <f>IF($C3916="","",IF($T3916="Yes",1,0))</f>
        <v/>
      </c>
      <c r="AK3916">
        <f>IF($AG3916=1,IFERROR(IF(VALUE($C3916)&lt;100000000,VALUE($C3916),1000000000),IFERROR(IF(VALUE(MID($C3916,2,20))&lt;100000000,VALUE(MID($C3916,2,20)),1000000000),1000000000))+ROW()/100000,"")</f>
        <v/>
      </c>
    </row>
    <row r="3917">
      <c r="D3917" s="11" t="n"/>
      <c r="K3917" s="7">
        <f>IF($C3917="","",J3917*W3917/100)</f>
        <v/>
      </c>
      <c r="Q3917" s="7" t="n"/>
      <c r="R3917" s="7" t="n"/>
      <c r="U3917">
        <f>IF($C3917="","",IF($AJ3917=1,0,IF($AI3917=1,Settings!$C$6,Settings!$C$7))*100)</f>
        <v/>
      </c>
      <c r="V3917" s="7">
        <f>IF($C3917="","",R3917*U3917/100)</f>
        <v/>
      </c>
      <c r="W3917" s="7">
        <f>IF($C3917="","",R3917-V3917)</f>
        <v/>
      </c>
      <c r="X3917" s="7">
        <f>IF($C3917="","",W3917-K3917)</f>
        <v/>
      </c>
      <c r="AB3917" s="7" t="n"/>
      <c r="AE3917" s="11" t="n"/>
      <c r="AG3917">
        <f>IF($C3917="","",IF(COUNTIF($C$2:$C3917,$C3917)=1,1,0))</f>
        <v/>
      </c>
      <c r="AH3917">
        <f>IF($AG3917=1,SUMPRODUCT(--($AK$2:$AK$6001&lt;$AK3917))+1,"")</f>
        <v/>
      </c>
      <c r="AI3917">
        <f>IF($C3917="","",IF(OR($N3917=TRUE(),$N3917="TRUE"),1,0))</f>
        <v/>
      </c>
      <c r="AJ3917">
        <f>IF($C3917="","",IF($T3917="Yes",1,0))</f>
        <v/>
      </c>
      <c r="AK3917">
        <f>IF($AG3917=1,IFERROR(IF(VALUE($C3917)&lt;100000000,VALUE($C3917),1000000000),IFERROR(IF(VALUE(MID($C3917,2,20))&lt;100000000,VALUE(MID($C3917,2,20)),1000000000),1000000000))+ROW()/100000,"")</f>
        <v/>
      </c>
    </row>
    <row r="3918">
      <c r="D3918" s="11" t="n"/>
      <c r="K3918" s="7">
        <f>IF($C3918="","",J3918*W3918/100)</f>
        <v/>
      </c>
      <c r="Q3918" s="7" t="n"/>
      <c r="R3918" s="7" t="n"/>
      <c r="U3918">
        <f>IF($C3918="","",IF($AJ3918=1,0,IF($AI3918=1,Settings!$C$6,Settings!$C$7))*100)</f>
        <v/>
      </c>
      <c r="V3918" s="7">
        <f>IF($C3918="","",R3918*U3918/100)</f>
        <v/>
      </c>
      <c r="W3918" s="7">
        <f>IF($C3918="","",R3918-V3918)</f>
        <v/>
      </c>
      <c r="X3918" s="7">
        <f>IF($C3918="","",W3918-K3918)</f>
        <v/>
      </c>
      <c r="AB3918" s="7" t="n"/>
      <c r="AE3918" s="11" t="n"/>
      <c r="AG3918">
        <f>IF($C3918="","",IF(COUNTIF($C$2:$C3918,$C3918)=1,1,0))</f>
        <v/>
      </c>
      <c r="AH3918">
        <f>IF($AG3918=1,SUMPRODUCT(--($AK$2:$AK$6001&lt;$AK3918))+1,"")</f>
        <v/>
      </c>
      <c r="AI3918">
        <f>IF($C3918="","",IF(OR($N3918=TRUE(),$N3918="TRUE"),1,0))</f>
        <v/>
      </c>
      <c r="AJ3918">
        <f>IF($C3918="","",IF($T3918="Yes",1,0))</f>
        <v/>
      </c>
      <c r="AK3918">
        <f>IF($AG3918=1,IFERROR(IF(VALUE($C3918)&lt;100000000,VALUE($C3918),1000000000),IFERROR(IF(VALUE(MID($C3918,2,20))&lt;100000000,VALUE(MID($C3918,2,20)),1000000000),1000000000))+ROW()/100000,"")</f>
        <v/>
      </c>
    </row>
    <row r="3919">
      <c r="D3919" s="11" t="n"/>
      <c r="K3919" s="7">
        <f>IF($C3919="","",J3919*W3919/100)</f>
        <v/>
      </c>
      <c r="Q3919" s="7" t="n"/>
      <c r="R3919" s="7" t="n"/>
      <c r="U3919">
        <f>IF($C3919="","",IF($AJ3919=1,0,IF($AI3919=1,Settings!$C$6,Settings!$C$7))*100)</f>
        <v/>
      </c>
      <c r="V3919" s="7">
        <f>IF($C3919="","",R3919*U3919/100)</f>
        <v/>
      </c>
      <c r="W3919" s="7">
        <f>IF($C3919="","",R3919-V3919)</f>
        <v/>
      </c>
      <c r="X3919" s="7">
        <f>IF($C3919="","",W3919-K3919)</f>
        <v/>
      </c>
      <c r="AB3919" s="7" t="n"/>
      <c r="AE3919" s="11" t="n"/>
      <c r="AG3919">
        <f>IF($C3919="","",IF(COUNTIF($C$2:$C3919,$C3919)=1,1,0))</f>
        <v/>
      </c>
      <c r="AH3919">
        <f>IF($AG3919=1,SUMPRODUCT(--($AK$2:$AK$6001&lt;$AK3919))+1,"")</f>
        <v/>
      </c>
      <c r="AI3919">
        <f>IF($C3919="","",IF(OR($N3919=TRUE(),$N3919="TRUE"),1,0))</f>
        <v/>
      </c>
      <c r="AJ3919">
        <f>IF($C3919="","",IF($T3919="Yes",1,0))</f>
        <v/>
      </c>
      <c r="AK3919">
        <f>IF($AG3919=1,IFERROR(IF(VALUE($C3919)&lt;100000000,VALUE($C3919),1000000000),IFERROR(IF(VALUE(MID($C3919,2,20))&lt;100000000,VALUE(MID($C3919,2,20)),1000000000),1000000000))+ROW()/100000,"")</f>
        <v/>
      </c>
    </row>
    <row r="3920">
      <c r="D3920" s="11" t="n"/>
      <c r="K3920" s="7">
        <f>IF($C3920="","",J3920*W3920/100)</f>
        <v/>
      </c>
      <c r="Q3920" s="7" t="n"/>
      <c r="R3920" s="7" t="n"/>
      <c r="U3920">
        <f>IF($C3920="","",IF($AJ3920=1,0,IF($AI3920=1,Settings!$C$6,Settings!$C$7))*100)</f>
        <v/>
      </c>
      <c r="V3920" s="7">
        <f>IF($C3920="","",R3920*U3920/100)</f>
        <v/>
      </c>
      <c r="W3920" s="7">
        <f>IF($C3920="","",R3920-V3920)</f>
        <v/>
      </c>
      <c r="X3920" s="7">
        <f>IF($C3920="","",W3920-K3920)</f>
        <v/>
      </c>
      <c r="AB3920" s="7" t="n"/>
      <c r="AE3920" s="11" t="n"/>
      <c r="AG3920">
        <f>IF($C3920="","",IF(COUNTIF($C$2:$C3920,$C3920)=1,1,0))</f>
        <v/>
      </c>
      <c r="AH3920">
        <f>IF($AG3920=1,SUMPRODUCT(--($AK$2:$AK$6001&lt;$AK3920))+1,"")</f>
        <v/>
      </c>
      <c r="AI3920">
        <f>IF($C3920="","",IF(OR($N3920=TRUE(),$N3920="TRUE"),1,0))</f>
        <v/>
      </c>
      <c r="AJ3920">
        <f>IF($C3920="","",IF($T3920="Yes",1,0))</f>
        <v/>
      </c>
      <c r="AK3920">
        <f>IF($AG3920=1,IFERROR(IF(VALUE($C3920)&lt;100000000,VALUE($C3920),1000000000),IFERROR(IF(VALUE(MID($C3920,2,20))&lt;100000000,VALUE(MID($C3920,2,20)),1000000000),1000000000))+ROW()/100000,"")</f>
        <v/>
      </c>
    </row>
    <row r="3921">
      <c r="D3921" s="11" t="n"/>
      <c r="K3921" s="7">
        <f>IF($C3921="","",J3921*W3921/100)</f>
        <v/>
      </c>
      <c r="Q3921" s="7" t="n"/>
      <c r="R3921" s="7" t="n"/>
      <c r="U3921">
        <f>IF($C3921="","",IF($AJ3921=1,0,IF($AI3921=1,Settings!$C$6,Settings!$C$7))*100)</f>
        <v/>
      </c>
      <c r="V3921" s="7">
        <f>IF($C3921="","",R3921*U3921/100)</f>
        <v/>
      </c>
      <c r="W3921" s="7">
        <f>IF($C3921="","",R3921-V3921)</f>
        <v/>
      </c>
      <c r="X3921" s="7">
        <f>IF($C3921="","",W3921-K3921)</f>
        <v/>
      </c>
      <c r="AB3921" s="7" t="n"/>
      <c r="AE3921" s="11" t="n"/>
      <c r="AG3921">
        <f>IF($C3921="","",IF(COUNTIF($C$2:$C3921,$C3921)=1,1,0))</f>
        <v/>
      </c>
      <c r="AH3921">
        <f>IF($AG3921=1,SUMPRODUCT(--($AK$2:$AK$6001&lt;$AK3921))+1,"")</f>
        <v/>
      </c>
      <c r="AI3921">
        <f>IF($C3921="","",IF(OR($N3921=TRUE(),$N3921="TRUE"),1,0))</f>
        <v/>
      </c>
      <c r="AJ3921">
        <f>IF($C3921="","",IF($T3921="Yes",1,0))</f>
        <v/>
      </c>
      <c r="AK3921">
        <f>IF($AG3921=1,IFERROR(IF(VALUE($C3921)&lt;100000000,VALUE($C3921),1000000000),IFERROR(IF(VALUE(MID($C3921,2,20))&lt;100000000,VALUE(MID($C3921,2,20)),1000000000),1000000000))+ROW()/100000,"")</f>
        <v/>
      </c>
    </row>
    <row r="3922">
      <c r="D3922" s="11" t="n"/>
      <c r="K3922" s="7">
        <f>IF($C3922="","",J3922*W3922/100)</f>
        <v/>
      </c>
      <c r="Q3922" s="7" t="n"/>
      <c r="R3922" s="7" t="n"/>
      <c r="U3922">
        <f>IF($C3922="","",IF($AJ3922=1,0,IF($AI3922=1,Settings!$C$6,Settings!$C$7))*100)</f>
        <v/>
      </c>
      <c r="V3922" s="7">
        <f>IF($C3922="","",R3922*U3922/100)</f>
        <v/>
      </c>
      <c r="W3922" s="7">
        <f>IF($C3922="","",R3922-V3922)</f>
        <v/>
      </c>
      <c r="X3922" s="7">
        <f>IF($C3922="","",W3922-K3922)</f>
        <v/>
      </c>
      <c r="AB3922" s="7" t="n"/>
      <c r="AE3922" s="11" t="n"/>
      <c r="AG3922">
        <f>IF($C3922="","",IF(COUNTIF($C$2:$C3922,$C3922)=1,1,0))</f>
        <v/>
      </c>
      <c r="AH3922">
        <f>IF($AG3922=1,SUMPRODUCT(--($AK$2:$AK$6001&lt;$AK3922))+1,"")</f>
        <v/>
      </c>
      <c r="AI3922">
        <f>IF($C3922="","",IF(OR($N3922=TRUE(),$N3922="TRUE"),1,0))</f>
        <v/>
      </c>
      <c r="AJ3922">
        <f>IF($C3922="","",IF($T3922="Yes",1,0))</f>
        <v/>
      </c>
      <c r="AK3922">
        <f>IF($AG3922=1,IFERROR(IF(VALUE($C3922)&lt;100000000,VALUE($C3922),1000000000),IFERROR(IF(VALUE(MID($C3922,2,20))&lt;100000000,VALUE(MID($C3922,2,20)),1000000000),1000000000))+ROW()/100000,"")</f>
        <v/>
      </c>
    </row>
    <row r="3923">
      <c r="D3923" s="11" t="n"/>
      <c r="K3923" s="7">
        <f>IF($C3923="","",J3923*W3923/100)</f>
        <v/>
      </c>
      <c r="Q3923" s="7" t="n"/>
      <c r="R3923" s="7" t="n"/>
      <c r="U3923">
        <f>IF($C3923="","",IF($AJ3923=1,0,IF($AI3923=1,Settings!$C$6,Settings!$C$7))*100)</f>
        <v/>
      </c>
      <c r="V3923" s="7">
        <f>IF($C3923="","",R3923*U3923/100)</f>
        <v/>
      </c>
      <c r="W3923" s="7">
        <f>IF($C3923="","",R3923-V3923)</f>
        <v/>
      </c>
      <c r="X3923" s="7">
        <f>IF($C3923="","",W3923-K3923)</f>
        <v/>
      </c>
      <c r="AB3923" s="7" t="n"/>
      <c r="AE3923" s="11" t="n"/>
      <c r="AG3923">
        <f>IF($C3923="","",IF(COUNTIF($C$2:$C3923,$C3923)=1,1,0))</f>
        <v/>
      </c>
      <c r="AH3923">
        <f>IF($AG3923=1,SUMPRODUCT(--($AK$2:$AK$6001&lt;$AK3923))+1,"")</f>
        <v/>
      </c>
      <c r="AI3923">
        <f>IF($C3923="","",IF(OR($N3923=TRUE(),$N3923="TRUE"),1,0))</f>
        <v/>
      </c>
      <c r="AJ3923">
        <f>IF($C3923="","",IF($T3923="Yes",1,0))</f>
        <v/>
      </c>
      <c r="AK3923">
        <f>IF($AG3923=1,IFERROR(IF(VALUE($C3923)&lt;100000000,VALUE($C3923),1000000000),IFERROR(IF(VALUE(MID($C3923,2,20))&lt;100000000,VALUE(MID($C3923,2,20)),1000000000),1000000000))+ROW()/100000,"")</f>
        <v/>
      </c>
    </row>
    <row r="3924">
      <c r="D3924" s="11" t="n"/>
      <c r="K3924" s="7">
        <f>IF($C3924="","",J3924*W3924/100)</f>
        <v/>
      </c>
      <c r="Q3924" s="7" t="n"/>
      <c r="R3924" s="7" t="n"/>
      <c r="U3924">
        <f>IF($C3924="","",IF($AJ3924=1,0,IF($AI3924=1,Settings!$C$6,Settings!$C$7))*100)</f>
        <v/>
      </c>
      <c r="V3924" s="7">
        <f>IF($C3924="","",R3924*U3924/100)</f>
        <v/>
      </c>
      <c r="W3924" s="7">
        <f>IF($C3924="","",R3924-V3924)</f>
        <v/>
      </c>
      <c r="X3924" s="7">
        <f>IF($C3924="","",W3924-K3924)</f>
        <v/>
      </c>
      <c r="AB3924" s="7" t="n"/>
      <c r="AE3924" s="11" t="n"/>
      <c r="AG3924">
        <f>IF($C3924="","",IF(COUNTIF($C$2:$C3924,$C3924)=1,1,0))</f>
        <v/>
      </c>
      <c r="AH3924">
        <f>IF($AG3924=1,SUMPRODUCT(--($AK$2:$AK$6001&lt;$AK3924))+1,"")</f>
        <v/>
      </c>
      <c r="AI3924">
        <f>IF($C3924="","",IF(OR($N3924=TRUE(),$N3924="TRUE"),1,0))</f>
        <v/>
      </c>
      <c r="AJ3924">
        <f>IF($C3924="","",IF($T3924="Yes",1,0))</f>
        <v/>
      </c>
      <c r="AK3924">
        <f>IF($AG3924=1,IFERROR(IF(VALUE($C3924)&lt;100000000,VALUE($C3924),1000000000),IFERROR(IF(VALUE(MID($C3924,2,20))&lt;100000000,VALUE(MID($C3924,2,20)),1000000000),1000000000))+ROW()/100000,"")</f>
        <v/>
      </c>
    </row>
    <row r="3925">
      <c r="D3925" s="11" t="n"/>
      <c r="K3925" s="7">
        <f>IF($C3925="","",J3925*W3925/100)</f>
        <v/>
      </c>
      <c r="Q3925" s="7" t="n"/>
      <c r="R3925" s="7" t="n"/>
      <c r="U3925">
        <f>IF($C3925="","",IF($AJ3925=1,0,IF($AI3925=1,Settings!$C$6,Settings!$C$7))*100)</f>
        <v/>
      </c>
      <c r="V3925" s="7">
        <f>IF($C3925="","",R3925*U3925/100)</f>
        <v/>
      </c>
      <c r="W3925" s="7">
        <f>IF($C3925="","",R3925-V3925)</f>
        <v/>
      </c>
      <c r="X3925" s="7">
        <f>IF($C3925="","",W3925-K3925)</f>
        <v/>
      </c>
      <c r="AB3925" s="7" t="n"/>
      <c r="AE3925" s="11" t="n"/>
      <c r="AG3925">
        <f>IF($C3925="","",IF(COUNTIF($C$2:$C3925,$C3925)=1,1,0))</f>
        <v/>
      </c>
      <c r="AH3925">
        <f>IF($AG3925=1,SUMPRODUCT(--($AK$2:$AK$6001&lt;$AK3925))+1,"")</f>
        <v/>
      </c>
      <c r="AI3925">
        <f>IF($C3925="","",IF(OR($N3925=TRUE(),$N3925="TRUE"),1,0))</f>
        <v/>
      </c>
      <c r="AJ3925">
        <f>IF($C3925="","",IF($T3925="Yes",1,0))</f>
        <v/>
      </c>
      <c r="AK3925">
        <f>IF($AG3925=1,IFERROR(IF(VALUE($C3925)&lt;100000000,VALUE($C3925),1000000000),IFERROR(IF(VALUE(MID($C3925,2,20))&lt;100000000,VALUE(MID($C3925,2,20)),1000000000),1000000000))+ROW()/100000,"")</f>
        <v/>
      </c>
    </row>
    <row r="3926">
      <c r="D3926" s="11" t="n"/>
      <c r="K3926" s="7">
        <f>IF($C3926="","",J3926*W3926/100)</f>
        <v/>
      </c>
      <c r="Q3926" s="7" t="n"/>
      <c r="R3926" s="7" t="n"/>
      <c r="U3926">
        <f>IF($C3926="","",IF($AJ3926=1,0,IF($AI3926=1,Settings!$C$6,Settings!$C$7))*100)</f>
        <v/>
      </c>
      <c r="V3926" s="7">
        <f>IF($C3926="","",R3926*U3926/100)</f>
        <v/>
      </c>
      <c r="W3926" s="7">
        <f>IF($C3926="","",R3926-V3926)</f>
        <v/>
      </c>
      <c r="X3926" s="7">
        <f>IF($C3926="","",W3926-K3926)</f>
        <v/>
      </c>
      <c r="AB3926" s="7" t="n"/>
      <c r="AE3926" s="11" t="n"/>
      <c r="AG3926">
        <f>IF($C3926="","",IF(COUNTIF($C$2:$C3926,$C3926)=1,1,0))</f>
        <v/>
      </c>
      <c r="AH3926">
        <f>IF($AG3926=1,SUMPRODUCT(--($AK$2:$AK$6001&lt;$AK3926))+1,"")</f>
        <v/>
      </c>
      <c r="AI3926">
        <f>IF($C3926="","",IF(OR($N3926=TRUE(),$N3926="TRUE"),1,0))</f>
        <v/>
      </c>
      <c r="AJ3926">
        <f>IF($C3926="","",IF($T3926="Yes",1,0))</f>
        <v/>
      </c>
      <c r="AK3926">
        <f>IF($AG3926=1,IFERROR(IF(VALUE($C3926)&lt;100000000,VALUE($C3926),1000000000),IFERROR(IF(VALUE(MID($C3926,2,20))&lt;100000000,VALUE(MID($C3926,2,20)),1000000000),1000000000))+ROW()/100000,"")</f>
        <v/>
      </c>
    </row>
    <row r="3927">
      <c r="D3927" s="11" t="n"/>
      <c r="K3927" s="7">
        <f>IF($C3927="","",J3927*W3927/100)</f>
        <v/>
      </c>
      <c r="Q3927" s="7" t="n"/>
      <c r="R3927" s="7" t="n"/>
      <c r="U3927">
        <f>IF($C3927="","",IF($AJ3927=1,0,IF($AI3927=1,Settings!$C$6,Settings!$C$7))*100)</f>
        <v/>
      </c>
      <c r="V3927" s="7">
        <f>IF($C3927="","",R3927*U3927/100)</f>
        <v/>
      </c>
      <c r="W3927" s="7">
        <f>IF($C3927="","",R3927-V3927)</f>
        <v/>
      </c>
      <c r="X3927" s="7">
        <f>IF($C3927="","",W3927-K3927)</f>
        <v/>
      </c>
      <c r="AB3927" s="7" t="n"/>
      <c r="AE3927" s="11" t="n"/>
      <c r="AG3927">
        <f>IF($C3927="","",IF(COUNTIF($C$2:$C3927,$C3927)=1,1,0))</f>
        <v/>
      </c>
      <c r="AH3927">
        <f>IF($AG3927=1,SUMPRODUCT(--($AK$2:$AK$6001&lt;$AK3927))+1,"")</f>
        <v/>
      </c>
      <c r="AI3927">
        <f>IF($C3927="","",IF(OR($N3927=TRUE(),$N3927="TRUE"),1,0))</f>
        <v/>
      </c>
      <c r="AJ3927">
        <f>IF($C3927="","",IF($T3927="Yes",1,0))</f>
        <v/>
      </c>
      <c r="AK3927">
        <f>IF($AG3927=1,IFERROR(IF(VALUE($C3927)&lt;100000000,VALUE($C3927),1000000000),IFERROR(IF(VALUE(MID($C3927,2,20))&lt;100000000,VALUE(MID($C3927,2,20)),1000000000),1000000000))+ROW()/100000,"")</f>
        <v/>
      </c>
    </row>
    <row r="3928">
      <c r="D3928" s="11" t="n"/>
      <c r="K3928" s="7">
        <f>IF($C3928="","",J3928*W3928/100)</f>
        <v/>
      </c>
      <c r="Q3928" s="7" t="n"/>
      <c r="R3928" s="7" t="n"/>
      <c r="U3928">
        <f>IF($C3928="","",IF($AJ3928=1,0,IF($AI3928=1,Settings!$C$6,Settings!$C$7))*100)</f>
        <v/>
      </c>
      <c r="V3928" s="7">
        <f>IF($C3928="","",R3928*U3928/100)</f>
        <v/>
      </c>
      <c r="W3928" s="7">
        <f>IF($C3928="","",R3928-V3928)</f>
        <v/>
      </c>
      <c r="X3928" s="7">
        <f>IF($C3928="","",W3928-K3928)</f>
        <v/>
      </c>
      <c r="AB3928" s="7" t="n"/>
      <c r="AE3928" s="11" t="n"/>
      <c r="AG3928">
        <f>IF($C3928="","",IF(COUNTIF($C$2:$C3928,$C3928)=1,1,0))</f>
        <v/>
      </c>
      <c r="AH3928">
        <f>IF($AG3928=1,SUMPRODUCT(--($AK$2:$AK$6001&lt;$AK3928))+1,"")</f>
        <v/>
      </c>
      <c r="AI3928">
        <f>IF($C3928="","",IF(OR($N3928=TRUE(),$N3928="TRUE"),1,0))</f>
        <v/>
      </c>
      <c r="AJ3928">
        <f>IF($C3928="","",IF($T3928="Yes",1,0))</f>
        <v/>
      </c>
      <c r="AK3928">
        <f>IF($AG3928=1,IFERROR(IF(VALUE($C3928)&lt;100000000,VALUE($C3928),1000000000),IFERROR(IF(VALUE(MID($C3928,2,20))&lt;100000000,VALUE(MID($C3928,2,20)),1000000000),1000000000))+ROW()/100000,"")</f>
        <v/>
      </c>
    </row>
    <row r="3929">
      <c r="D3929" s="11" t="n"/>
      <c r="K3929" s="7">
        <f>IF($C3929="","",J3929*W3929/100)</f>
        <v/>
      </c>
      <c r="Q3929" s="7" t="n"/>
      <c r="R3929" s="7" t="n"/>
      <c r="U3929">
        <f>IF($C3929="","",IF($AJ3929=1,0,IF($AI3929=1,Settings!$C$6,Settings!$C$7))*100)</f>
        <v/>
      </c>
      <c r="V3929" s="7">
        <f>IF($C3929="","",R3929*U3929/100)</f>
        <v/>
      </c>
      <c r="W3929" s="7">
        <f>IF($C3929="","",R3929-V3929)</f>
        <v/>
      </c>
      <c r="X3929" s="7">
        <f>IF($C3929="","",W3929-K3929)</f>
        <v/>
      </c>
      <c r="AB3929" s="7" t="n"/>
      <c r="AE3929" s="11" t="n"/>
      <c r="AG3929">
        <f>IF($C3929="","",IF(COUNTIF($C$2:$C3929,$C3929)=1,1,0))</f>
        <v/>
      </c>
      <c r="AH3929">
        <f>IF($AG3929=1,SUMPRODUCT(--($AK$2:$AK$6001&lt;$AK3929))+1,"")</f>
        <v/>
      </c>
      <c r="AI3929">
        <f>IF($C3929="","",IF(OR($N3929=TRUE(),$N3929="TRUE"),1,0))</f>
        <v/>
      </c>
      <c r="AJ3929">
        <f>IF($C3929="","",IF($T3929="Yes",1,0))</f>
        <v/>
      </c>
      <c r="AK3929">
        <f>IF($AG3929=1,IFERROR(IF(VALUE($C3929)&lt;100000000,VALUE($C3929),1000000000),IFERROR(IF(VALUE(MID($C3929,2,20))&lt;100000000,VALUE(MID($C3929,2,20)),1000000000),1000000000))+ROW()/100000,"")</f>
        <v/>
      </c>
    </row>
    <row r="3930">
      <c r="D3930" s="11" t="n"/>
      <c r="K3930" s="7">
        <f>IF($C3930="","",J3930*W3930/100)</f>
        <v/>
      </c>
      <c r="Q3930" s="7" t="n"/>
      <c r="R3930" s="7" t="n"/>
      <c r="U3930">
        <f>IF($C3930="","",IF($AJ3930=1,0,IF($AI3930=1,Settings!$C$6,Settings!$C$7))*100)</f>
        <v/>
      </c>
      <c r="V3930" s="7">
        <f>IF($C3930="","",R3930*U3930/100)</f>
        <v/>
      </c>
      <c r="W3930" s="7">
        <f>IF($C3930="","",R3930-V3930)</f>
        <v/>
      </c>
      <c r="X3930" s="7">
        <f>IF($C3930="","",W3930-K3930)</f>
        <v/>
      </c>
      <c r="AB3930" s="7" t="n"/>
      <c r="AE3930" s="11" t="n"/>
      <c r="AG3930">
        <f>IF($C3930="","",IF(COUNTIF($C$2:$C3930,$C3930)=1,1,0))</f>
        <v/>
      </c>
      <c r="AH3930">
        <f>IF($AG3930=1,SUMPRODUCT(--($AK$2:$AK$6001&lt;$AK3930))+1,"")</f>
        <v/>
      </c>
      <c r="AI3930">
        <f>IF($C3930="","",IF(OR($N3930=TRUE(),$N3930="TRUE"),1,0))</f>
        <v/>
      </c>
      <c r="AJ3930">
        <f>IF($C3930="","",IF($T3930="Yes",1,0))</f>
        <v/>
      </c>
      <c r="AK3930">
        <f>IF($AG3930=1,IFERROR(IF(VALUE($C3930)&lt;100000000,VALUE($C3930),1000000000),IFERROR(IF(VALUE(MID($C3930,2,20))&lt;100000000,VALUE(MID($C3930,2,20)),1000000000),1000000000))+ROW()/100000,"")</f>
        <v/>
      </c>
    </row>
    <row r="3931">
      <c r="D3931" s="11" t="n"/>
      <c r="K3931" s="7">
        <f>IF($C3931="","",J3931*W3931/100)</f>
        <v/>
      </c>
      <c r="Q3931" s="7" t="n"/>
      <c r="R3931" s="7" t="n"/>
      <c r="U3931">
        <f>IF($C3931="","",IF($AJ3931=1,0,IF($AI3931=1,Settings!$C$6,Settings!$C$7))*100)</f>
        <v/>
      </c>
      <c r="V3931" s="7">
        <f>IF($C3931="","",R3931*U3931/100)</f>
        <v/>
      </c>
      <c r="W3931" s="7">
        <f>IF($C3931="","",R3931-V3931)</f>
        <v/>
      </c>
      <c r="X3931" s="7">
        <f>IF($C3931="","",W3931-K3931)</f>
        <v/>
      </c>
      <c r="AB3931" s="7" t="n"/>
      <c r="AE3931" s="11" t="n"/>
      <c r="AG3931">
        <f>IF($C3931="","",IF(COUNTIF($C$2:$C3931,$C3931)=1,1,0))</f>
        <v/>
      </c>
      <c r="AH3931">
        <f>IF($AG3931=1,SUMPRODUCT(--($AK$2:$AK$6001&lt;$AK3931))+1,"")</f>
        <v/>
      </c>
      <c r="AI3931">
        <f>IF($C3931="","",IF(OR($N3931=TRUE(),$N3931="TRUE"),1,0))</f>
        <v/>
      </c>
      <c r="AJ3931">
        <f>IF($C3931="","",IF($T3931="Yes",1,0))</f>
        <v/>
      </c>
      <c r="AK3931">
        <f>IF($AG3931=1,IFERROR(IF(VALUE($C3931)&lt;100000000,VALUE($C3931),1000000000),IFERROR(IF(VALUE(MID($C3931,2,20))&lt;100000000,VALUE(MID($C3931,2,20)),1000000000),1000000000))+ROW()/100000,"")</f>
        <v/>
      </c>
    </row>
    <row r="3932">
      <c r="D3932" s="11" t="n"/>
      <c r="K3932" s="7">
        <f>IF($C3932="","",J3932*W3932/100)</f>
        <v/>
      </c>
      <c r="Q3932" s="7" t="n"/>
      <c r="R3932" s="7" t="n"/>
      <c r="U3932">
        <f>IF($C3932="","",IF($AJ3932=1,0,IF($AI3932=1,Settings!$C$6,Settings!$C$7))*100)</f>
        <v/>
      </c>
      <c r="V3932" s="7">
        <f>IF($C3932="","",R3932*U3932/100)</f>
        <v/>
      </c>
      <c r="W3932" s="7">
        <f>IF($C3932="","",R3932-V3932)</f>
        <v/>
      </c>
      <c r="X3932" s="7">
        <f>IF($C3932="","",W3932-K3932)</f>
        <v/>
      </c>
      <c r="AB3932" s="7" t="n"/>
      <c r="AE3932" s="11" t="n"/>
      <c r="AG3932">
        <f>IF($C3932="","",IF(COUNTIF($C$2:$C3932,$C3932)=1,1,0))</f>
        <v/>
      </c>
      <c r="AH3932">
        <f>IF($AG3932=1,SUMPRODUCT(--($AK$2:$AK$6001&lt;$AK3932))+1,"")</f>
        <v/>
      </c>
      <c r="AI3932">
        <f>IF($C3932="","",IF(OR($N3932=TRUE(),$N3932="TRUE"),1,0))</f>
        <v/>
      </c>
      <c r="AJ3932">
        <f>IF($C3932="","",IF($T3932="Yes",1,0))</f>
        <v/>
      </c>
      <c r="AK3932">
        <f>IF($AG3932=1,IFERROR(IF(VALUE($C3932)&lt;100000000,VALUE($C3932),1000000000),IFERROR(IF(VALUE(MID($C3932,2,20))&lt;100000000,VALUE(MID($C3932,2,20)),1000000000),1000000000))+ROW()/100000,"")</f>
        <v/>
      </c>
    </row>
    <row r="3933">
      <c r="D3933" s="11" t="n"/>
      <c r="K3933" s="7">
        <f>IF($C3933="","",J3933*W3933/100)</f>
        <v/>
      </c>
      <c r="Q3933" s="7" t="n"/>
      <c r="R3933" s="7" t="n"/>
      <c r="U3933">
        <f>IF($C3933="","",IF($AJ3933=1,0,IF($AI3933=1,Settings!$C$6,Settings!$C$7))*100)</f>
        <v/>
      </c>
      <c r="V3933" s="7">
        <f>IF($C3933="","",R3933*U3933/100)</f>
        <v/>
      </c>
      <c r="W3933" s="7">
        <f>IF($C3933="","",R3933-V3933)</f>
        <v/>
      </c>
      <c r="X3933" s="7">
        <f>IF($C3933="","",W3933-K3933)</f>
        <v/>
      </c>
      <c r="AB3933" s="7" t="n"/>
      <c r="AE3933" s="11" t="n"/>
      <c r="AG3933">
        <f>IF($C3933="","",IF(COUNTIF($C$2:$C3933,$C3933)=1,1,0))</f>
        <v/>
      </c>
      <c r="AH3933">
        <f>IF($AG3933=1,SUMPRODUCT(--($AK$2:$AK$6001&lt;$AK3933))+1,"")</f>
        <v/>
      </c>
      <c r="AI3933">
        <f>IF($C3933="","",IF(OR($N3933=TRUE(),$N3933="TRUE"),1,0))</f>
        <v/>
      </c>
      <c r="AJ3933">
        <f>IF($C3933="","",IF($T3933="Yes",1,0))</f>
        <v/>
      </c>
      <c r="AK3933">
        <f>IF($AG3933=1,IFERROR(IF(VALUE($C3933)&lt;100000000,VALUE($C3933),1000000000),IFERROR(IF(VALUE(MID($C3933,2,20))&lt;100000000,VALUE(MID($C3933,2,20)),1000000000),1000000000))+ROW()/100000,"")</f>
        <v/>
      </c>
    </row>
    <row r="3934">
      <c r="D3934" s="11" t="n"/>
      <c r="K3934" s="7">
        <f>IF($C3934="","",J3934*W3934/100)</f>
        <v/>
      </c>
      <c r="Q3934" s="7" t="n"/>
      <c r="R3934" s="7" t="n"/>
      <c r="U3934">
        <f>IF($C3934="","",IF($AJ3934=1,0,IF($AI3934=1,Settings!$C$6,Settings!$C$7))*100)</f>
        <v/>
      </c>
      <c r="V3934" s="7">
        <f>IF($C3934="","",R3934*U3934/100)</f>
        <v/>
      </c>
      <c r="W3934" s="7">
        <f>IF($C3934="","",R3934-V3934)</f>
        <v/>
      </c>
      <c r="X3934" s="7">
        <f>IF($C3934="","",W3934-K3934)</f>
        <v/>
      </c>
      <c r="AB3934" s="7" t="n"/>
      <c r="AE3934" s="11" t="n"/>
      <c r="AG3934">
        <f>IF($C3934="","",IF(COUNTIF($C$2:$C3934,$C3934)=1,1,0))</f>
        <v/>
      </c>
      <c r="AH3934">
        <f>IF($AG3934=1,SUMPRODUCT(--($AK$2:$AK$6001&lt;$AK3934))+1,"")</f>
        <v/>
      </c>
      <c r="AI3934">
        <f>IF($C3934="","",IF(OR($N3934=TRUE(),$N3934="TRUE"),1,0))</f>
        <v/>
      </c>
      <c r="AJ3934">
        <f>IF($C3934="","",IF($T3934="Yes",1,0))</f>
        <v/>
      </c>
      <c r="AK3934">
        <f>IF($AG3934=1,IFERROR(IF(VALUE($C3934)&lt;100000000,VALUE($C3934),1000000000),IFERROR(IF(VALUE(MID($C3934,2,20))&lt;100000000,VALUE(MID($C3934,2,20)),1000000000),1000000000))+ROW()/100000,"")</f>
        <v/>
      </c>
    </row>
    <row r="3935">
      <c r="D3935" s="11" t="n"/>
      <c r="K3935" s="7">
        <f>IF($C3935="","",J3935*W3935/100)</f>
        <v/>
      </c>
      <c r="Q3935" s="7" t="n"/>
      <c r="R3935" s="7" t="n"/>
      <c r="U3935">
        <f>IF($C3935="","",IF($AJ3935=1,0,IF($AI3935=1,Settings!$C$6,Settings!$C$7))*100)</f>
        <v/>
      </c>
      <c r="V3935" s="7">
        <f>IF($C3935="","",R3935*U3935/100)</f>
        <v/>
      </c>
      <c r="W3935" s="7">
        <f>IF($C3935="","",R3935-V3935)</f>
        <v/>
      </c>
      <c r="X3935" s="7">
        <f>IF($C3935="","",W3935-K3935)</f>
        <v/>
      </c>
      <c r="AB3935" s="7" t="n"/>
      <c r="AE3935" s="11" t="n"/>
      <c r="AG3935">
        <f>IF($C3935="","",IF(COUNTIF($C$2:$C3935,$C3935)=1,1,0))</f>
        <v/>
      </c>
      <c r="AH3935">
        <f>IF($AG3935=1,SUMPRODUCT(--($AK$2:$AK$6001&lt;$AK3935))+1,"")</f>
        <v/>
      </c>
      <c r="AI3935">
        <f>IF($C3935="","",IF(OR($N3935=TRUE(),$N3935="TRUE"),1,0))</f>
        <v/>
      </c>
      <c r="AJ3935">
        <f>IF($C3935="","",IF($T3935="Yes",1,0))</f>
        <v/>
      </c>
      <c r="AK3935">
        <f>IF($AG3935=1,IFERROR(IF(VALUE($C3935)&lt;100000000,VALUE($C3935),1000000000),IFERROR(IF(VALUE(MID($C3935,2,20))&lt;100000000,VALUE(MID($C3935,2,20)),1000000000),1000000000))+ROW()/100000,"")</f>
        <v/>
      </c>
    </row>
    <row r="3936">
      <c r="D3936" s="11" t="n"/>
      <c r="K3936" s="7">
        <f>IF($C3936="","",J3936*W3936/100)</f>
        <v/>
      </c>
      <c r="Q3936" s="7" t="n"/>
      <c r="R3936" s="7" t="n"/>
      <c r="U3936">
        <f>IF($C3936="","",IF($AJ3936=1,0,IF($AI3936=1,Settings!$C$6,Settings!$C$7))*100)</f>
        <v/>
      </c>
      <c r="V3936" s="7">
        <f>IF($C3936="","",R3936*U3936/100)</f>
        <v/>
      </c>
      <c r="W3936" s="7">
        <f>IF($C3936="","",R3936-V3936)</f>
        <v/>
      </c>
      <c r="X3936" s="7">
        <f>IF($C3936="","",W3936-K3936)</f>
        <v/>
      </c>
      <c r="AB3936" s="7" t="n"/>
      <c r="AE3936" s="11" t="n"/>
      <c r="AG3936">
        <f>IF($C3936="","",IF(COUNTIF($C$2:$C3936,$C3936)=1,1,0))</f>
        <v/>
      </c>
      <c r="AH3936">
        <f>IF($AG3936=1,SUMPRODUCT(--($AK$2:$AK$6001&lt;$AK3936))+1,"")</f>
        <v/>
      </c>
      <c r="AI3936">
        <f>IF($C3936="","",IF(OR($N3936=TRUE(),$N3936="TRUE"),1,0))</f>
        <v/>
      </c>
      <c r="AJ3936">
        <f>IF($C3936="","",IF($T3936="Yes",1,0))</f>
        <v/>
      </c>
      <c r="AK3936">
        <f>IF($AG3936=1,IFERROR(IF(VALUE($C3936)&lt;100000000,VALUE($C3936),1000000000),IFERROR(IF(VALUE(MID($C3936,2,20))&lt;100000000,VALUE(MID($C3936,2,20)),1000000000),1000000000))+ROW()/100000,"")</f>
        <v/>
      </c>
    </row>
    <row r="3937">
      <c r="D3937" s="11" t="n"/>
      <c r="K3937" s="7">
        <f>IF($C3937="","",J3937*W3937/100)</f>
        <v/>
      </c>
      <c r="Q3937" s="7" t="n"/>
      <c r="R3937" s="7" t="n"/>
      <c r="U3937">
        <f>IF($C3937="","",IF($AJ3937=1,0,IF($AI3937=1,Settings!$C$6,Settings!$C$7))*100)</f>
        <v/>
      </c>
      <c r="V3937" s="7">
        <f>IF($C3937="","",R3937*U3937/100)</f>
        <v/>
      </c>
      <c r="W3937" s="7">
        <f>IF($C3937="","",R3937-V3937)</f>
        <v/>
      </c>
      <c r="X3937" s="7">
        <f>IF($C3937="","",W3937-K3937)</f>
        <v/>
      </c>
      <c r="AB3937" s="7" t="n"/>
      <c r="AE3937" s="11" t="n"/>
      <c r="AG3937">
        <f>IF($C3937="","",IF(COUNTIF($C$2:$C3937,$C3937)=1,1,0))</f>
        <v/>
      </c>
      <c r="AH3937">
        <f>IF($AG3937=1,SUMPRODUCT(--($AK$2:$AK$6001&lt;$AK3937))+1,"")</f>
        <v/>
      </c>
      <c r="AI3937">
        <f>IF($C3937="","",IF(OR($N3937=TRUE(),$N3937="TRUE"),1,0))</f>
        <v/>
      </c>
      <c r="AJ3937">
        <f>IF($C3937="","",IF($T3937="Yes",1,0))</f>
        <v/>
      </c>
      <c r="AK3937">
        <f>IF($AG3937=1,IFERROR(IF(VALUE($C3937)&lt;100000000,VALUE($C3937),1000000000),IFERROR(IF(VALUE(MID($C3937,2,20))&lt;100000000,VALUE(MID($C3937,2,20)),1000000000),1000000000))+ROW()/100000,"")</f>
        <v/>
      </c>
    </row>
    <row r="3938">
      <c r="D3938" s="11" t="n"/>
      <c r="K3938" s="7">
        <f>IF($C3938="","",J3938*W3938/100)</f>
        <v/>
      </c>
      <c r="Q3938" s="7" t="n"/>
      <c r="R3938" s="7" t="n"/>
      <c r="U3938">
        <f>IF($C3938="","",IF($AJ3938=1,0,IF($AI3938=1,Settings!$C$6,Settings!$C$7))*100)</f>
        <v/>
      </c>
      <c r="V3938" s="7">
        <f>IF($C3938="","",R3938*U3938/100)</f>
        <v/>
      </c>
      <c r="W3938" s="7">
        <f>IF($C3938="","",R3938-V3938)</f>
        <v/>
      </c>
      <c r="X3938" s="7">
        <f>IF($C3938="","",W3938-K3938)</f>
        <v/>
      </c>
      <c r="AB3938" s="7" t="n"/>
      <c r="AE3938" s="11" t="n"/>
      <c r="AG3938">
        <f>IF($C3938="","",IF(COUNTIF($C$2:$C3938,$C3938)=1,1,0))</f>
        <v/>
      </c>
      <c r="AH3938">
        <f>IF($AG3938=1,SUMPRODUCT(--($AK$2:$AK$6001&lt;$AK3938))+1,"")</f>
        <v/>
      </c>
      <c r="AI3938">
        <f>IF($C3938="","",IF(OR($N3938=TRUE(),$N3938="TRUE"),1,0))</f>
        <v/>
      </c>
      <c r="AJ3938">
        <f>IF($C3938="","",IF($T3938="Yes",1,0))</f>
        <v/>
      </c>
      <c r="AK3938">
        <f>IF($AG3938=1,IFERROR(IF(VALUE($C3938)&lt;100000000,VALUE($C3938),1000000000),IFERROR(IF(VALUE(MID($C3938,2,20))&lt;100000000,VALUE(MID($C3938,2,20)),1000000000),1000000000))+ROW()/100000,"")</f>
        <v/>
      </c>
    </row>
    <row r="3939">
      <c r="D3939" s="11" t="n"/>
      <c r="K3939" s="7">
        <f>IF($C3939="","",J3939*W3939/100)</f>
        <v/>
      </c>
      <c r="Q3939" s="7" t="n"/>
      <c r="R3939" s="7" t="n"/>
      <c r="U3939">
        <f>IF($C3939="","",IF($AJ3939=1,0,IF($AI3939=1,Settings!$C$6,Settings!$C$7))*100)</f>
        <v/>
      </c>
      <c r="V3939" s="7">
        <f>IF($C3939="","",R3939*U3939/100)</f>
        <v/>
      </c>
      <c r="W3939" s="7">
        <f>IF($C3939="","",R3939-V3939)</f>
        <v/>
      </c>
      <c r="X3939" s="7">
        <f>IF($C3939="","",W3939-K3939)</f>
        <v/>
      </c>
      <c r="AB3939" s="7" t="n"/>
      <c r="AE3939" s="11" t="n"/>
      <c r="AG3939">
        <f>IF($C3939="","",IF(COUNTIF($C$2:$C3939,$C3939)=1,1,0))</f>
        <v/>
      </c>
      <c r="AH3939">
        <f>IF($AG3939=1,SUMPRODUCT(--($AK$2:$AK$6001&lt;$AK3939))+1,"")</f>
        <v/>
      </c>
      <c r="AI3939">
        <f>IF($C3939="","",IF(OR($N3939=TRUE(),$N3939="TRUE"),1,0))</f>
        <v/>
      </c>
      <c r="AJ3939">
        <f>IF($C3939="","",IF($T3939="Yes",1,0))</f>
        <v/>
      </c>
      <c r="AK3939">
        <f>IF($AG3939=1,IFERROR(IF(VALUE($C3939)&lt;100000000,VALUE($C3939),1000000000),IFERROR(IF(VALUE(MID($C3939,2,20))&lt;100000000,VALUE(MID($C3939,2,20)),1000000000),1000000000))+ROW()/100000,"")</f>
        <v/>
      </c>
    </row>
    <row r="3940">
      <c r="D3940" s="11" t="n"/>
      <c r="K3940" s="7">
        <f>IF($C3940="","",J3940*W3940/100)</f>
        <v/>
      </c>
      <c r="Q3940" s="7" t="n"/>
      <c r="R3940" s="7" t="n"/>
      <c r="U3940">
        <f>IF($C3940="","",IF($AJ3940=1,0,IF($AI3940=1,Settings!$C$6,Settings!$C$7))*100)</f>
        <v/>
      </c>
      <c r="V3940" s="7">
        <f>IF($C3940="","",R3940*U3940/100)</f>
        <v/>
      </c>
      <c r="W3940" s="7">
        <f>IF($C3940="","",R3940-V3940)</f>
        <v/>
      </c>
      <c r="X3940" s="7">
        <f>IF($C3940="","",W3940-K3940)</f>
        <v/>
      </c>
      <c r="AB3940" s="7" t="n"/>
      <c r="AE3940" s="11" t="n"/>
      <c r="AG3940">
        <f>IF($C3940="","",IF(COUNTIF($C$2:$C3940,$C3940)=1,1,0))</f>
        <v/>
      </c>
      <c r="AH3940">
        <f>IF($AG3940=1,SUMPRODUCT(--($AK$2:$AK$6001&lt;$AK3940))+1,"")</f>
        <v/>
      </c>
      <c r="AI3940">
        <f>IF($C3940="","",IF(OR($N3940=TRUE(),$N3940="TRUE"),1,0))</f>
        <v/>
      </c>
      <c r="AJ3940">
        <f>IF($C3940="","",IF($T3940="Yes",1,0))</f>
        <v/>
      </c>
      <c r="AK3940">
        <f>IF($AG3940=1,IFERROR(IF(VALUE($C3940)&lt;100000000,VALUE($C3940),1000000000),IFERROR(IF(VALUE(MID($C3940,2,20))&lt;100000000,VALUE(MID($C3940,2,20)),1000000000),1000000000))+ROW()/100000,"")</f>
        <v/>
      </c>
    </row>
    <row r="3941">
      <c r="D3941" s="11" t="n"/>
      <c r="K3941" s="7">
        <f>IF($C3941="","",J3941*W3941/100)</f>
        <v/>
      </c>
      <c r="Q3941" s="7" t="n"/>
      <c r="R3941" s="7" t="n"/>
      <c r="U3941">
        <f>IF($C3941="","",IF($AJ3941=1,0,IF($AI3941=1,Settings!$C$6,Settings!$C$7))*100)</f>
        <v/>
      </c>
      <c r="V3941" s="7">
        <f>IF($C3941="","",R3941*U3941/100)</f>
        <v/>
      </c>
      <c r="W3941" s="7">
        <f>IF($C3941="","",R3941-V3941)</f>
        <v/>
      </c>
      <c r="X3941" s="7">
        <f>IF($C3941="","",W3941-K3941)</f>
        <v/>
      </c>
      <c r="AB3941" s="7" t="n"/>
      <c r="AE3941" s="11" t="n"/>
      <c r="AG3941">
        <f>IF($C3941="","",IF(COUNTIF($C$2:$C3941,$C3941)=1,1,0))</f>
        <v/>
      </c>
      <c r="AH3941">
        <f>IF($AG3941=1,SUMPRODUCT(--($AK$2:$AK$6001&lt;$AK3941))+1,"")</f>
        <v/>
      </c>
      <c r="AI3941">
        <f>IF($C3941="","",IF(OR($N3941=TRUE(),$N3941="TRUE"),1,0))</f>
        <v/>
      </c>
      <c r="AJ3941">
        <f>IF($C3941="","",IF($T3941="Yes",1,0))</f>
        <v/>
      </c>
      <c r="AK3941">
        <f>IF($AG3941=1,IFERROR(IF(VALUE($C3941)&lt;100000000,VALUE($C3941),1000000000),IFERROR(IF(VALUE(MID($C3941,2,20))&lt;100000000,VALUE(MID($C3941,2,20)),1000000000),1000000000))+ROW()/100000,"")</f>
        <v/>
      </c>
    </row>
    <row r="3942">
      <c r="D3942" s="11" t="n"/>
      <c r="K3942" s="7">
        <f>IF($C3942="","",J3942*W3942/100)</f>
        <v/>
      </c>
      <c r="Q3942" s="7" t="n"/>
      <c r="R3942" s="7" t="n"/>
      <c r="U3942">
        <f>IF($C3942="","",IF($AJ3942=1,0,IF($AI3942=1,Settings!$C$6,Settings!$C$7))*100)</f>
        <v/>
      </c>
      <c r="V3942" s="7">
        <f>IF($C3942="","",R3942*U3942/100)</f>
        <v/>
      </c>
      <c r="W3942" s="7">
        <f>IF($C3942="","",R3942-V3942)</f>
        <v/>
      </c>
      <c r="X3942" s="7">
        <f>IF($C3942="","",W3942-K3942)</f>
        <v/>
      </c>
      <c r="AB3942" s="7" t="n"/>
      <c r="AE3942" s="11" t="n"/>
      <c r="AG3942">
        <f>IF($C3942="","",IF(COUNTIF($C$2:$C3942,$C3942)=1,1,0))</f>
        <v/>
      </c>
      <c r="AH3942">
        <f>IF($AG3942=1,SUMPRODUCT(--($AK$2:$AK$6001&lt;$AK3942))+1,"")</f>
        <v/>
      </c>
      <c r="AI3942">
        <f>IF($C3942="","",IF(OR($N3942=TRUE(),$N3942="TRUE"),1,0))</f>
        <v/>
      </c>
      <c r="AJ3942">
        <f>IF($C3942="","",IF($T3942="Yes",1,0))</f>
        <v/>
      </c>
      <c r="AK3942">
        <f>IF($AG3942=1,IFERROR(IF(VALUE($C3942)&lt;100000000,VALUE($C3942),1000000000),IFERROR(IF(VALUE(MID($C3942,2,20))&lt;100000000,VALUE(MID($C3942,2,20)),1000000000),1000000000))+ROW()/100000,"")</f>
        <v/>
      </c>
    </row>
    <row r="3943">
      <c r="D3943" s="11" t="n"/>
      <c r="K3943" s="7">
        <f>IF($C3943="","",J3943*W3943/100)</f>
        <v/>
      </c>
      <c r="Q3943" s="7" t="n"/>
      <c r="R3943" s="7" t="n"/>
      <c r="U3943">
        <f>IF($C3943="","",IF($AJ3943=1,0,IF($AI3943=1,Settings!$C$6,Settings!$C$7))*100)</f>
        <v/>
      </c>
      <c r="V3943" s="7">
        <f>IF($C3943="","",R3943*U3943/100)</f>
        <v/>
      </c>
      <c r="W3943" s="7">
        <f>IF($C3943="","",R3943-V3943)</f>
        <v/>
      </c>
      <c r="X3943" s="7">
        <f>IF($C3943="","",W3943-K3943)</f>
        <v/>
      </c>
      <c r="AB3943" s="7" t="n"/>
      <c r="AE3943" s="11" t="n"/>
      <c r="AG3943">
        <f>IF($C3943="","",IF(COUNTIF($C$2:$C3943,$C3943)=1,1,0))</f>
        <v/>
      </c>
      <c r="AH3943">
        <f>IF($AG3943=1,SUMPRODUCT(--($AK$2:$AK$6001&lt;$AK3943))+1,"")</f>
        <v/>
      </c>
      <c r="AI3943">
        <f>IF($C3943="","",IF(OR($N3943=TRUE(),$N3943="TRUE"),1,0))</f>
        <v/>
      </c>
      <c r="AJ3943">
        <f>IF($C3943="","",IF($T3943="Yes",1,0))</f>
        <v/>
      </c>
      <c r="AK3943">
        <f>IF($AG3943=1,IFERROR(IF(VALUE($C3943)&lt;100000000,VALUE($C3943),1000000000),IFERROR(IF(VALUE(MID($C3943,2,20))&lt;100000000,VALUE(MID($C3943,2,20)),1000000000),1000000000))+ROW()/100000,"")</f>
        <v/>
      </c>
    </row>
    <row r="3944">
      <c r="D3944" s="11" t="n"/>
      <c r="K3944" s="7">
        <f>IF($C3944="","",J3944*W3944/100)</f>
        <v/>
      </c>
      <c r="Q3944" s="7" t="n"/>
      <c r="R3944" s="7" t="n"/>
      <c r="U3944">
        <f>IF($C3944="","",IF($AJ3944=1,0,IF($AI3944=1,Settings!$C$6,Settings!$C$7))*100)</f>
        <v/>
      </c>
      <c r="V3944" s="7">
        <f>IF($C3944="","",R3944*U3944/100)</f>
        <v/>
      </c>
      <c r="W3944" s="7">
        <f>IF($C3944="","",R3944-V3944)</f>
        <v/>
      </c>
      <c r="X3944" s="7">
        <f>IF($C3944="","",W3944-K3944)</f>
        <v/>
      </c>
      <c r="AB3944" s="7" t="n"/>
      <c r="AE3944" s="11" t="n"/>
      <c r="AG3944">
        <f>IF($C3944="","",IF(COUNTIF($C$2:$C3944,$C3944)=1,1,0))</f>
        <v/>
      </c>
      <c r="AH3944">
        <f>IF($AG3944=1,SUMPRODUCT(--($AK$2:$AK$6001&lt;$AK3944))+1,"")</f>
        <v/>
      </c>
      <c r="AI3944">
        <f>IF($C3944="","",IF(OR($N3944=TRUE(),$N3944="TRUE"),1,0))</f>
        <v/>
      </c>
      <c r="AJ3944">
        <f>IF($C3944="","",IF($T3944="Yes",1,0))</f>
        <v/>
      </c>
      <c r="AK3944">
        <f>IF($AG3944=1,IFERROR(IF(VALUE($C3944)&lt;100000000,VALUE($C3944),1000000000),IFERROR(IF(VALUE(MID($C3944,2,20))&lt;100000000,VALUE(MID($C3944,2,20)),1000000000),1000000000))+ROW()/100000,"")</f>
        <v/>
      </c>
    </row>
    <row r="3945">
      <c r="D3945" s="11" t="n"/>
      <c r="K3945" s="7">
        <f>IF($C3945="","",J3945*W3945/100)</f>
        <v/>
      </c>
      <c r="Q3945" s="7" t="n"/>
      <c r="R3945" s="7" t="n"/>
      <c r="U3945">
        <f>IF($C3945="","",IF($AJ3945=1,0,IF($AI3945=1,Settings!$C$6,Settings!$C$7))*100)</f>
        <v/>
      </c>
      <c r="V3945" s="7">
        <f>IF($C3945="","",R3945*U3945/100)</f>
        <v/>
      </c>
      <c r="W3945" s="7">
        <f>IF($C3945="","",R3945-V3945)</f>
        <v/>
      </c>
      <c r="X3945" s="7">
        <f>IF($C3945="","",W3945-K3945)</f>
        <v/>
      </c>
      <c r="AB3945" s="7" t="n"/>
      <c r="AE3945" s="11" t="n"/>
      <c r="AG3945">
        <f>IF($C3945="","",IF(COUNTIF($C$2:$C3945,$C3945)=1,1,0))</f>
        <v/>
      </c>
      <c r="AH3945">
        <f>IF($AG3945=1,SUMPRODUCT(--($AK$2:$AK$6001&lt;$AK3945))+1,"")</f>
        <v/>
      </c>
      <c r="AI3945">
        <f>IF($C3945="","",IF(OR($N3945=TRUE(),$N3945="TRUE"),1,0))</f>
        <v/>
      </c>
      <c r="AJ3945">
        <f>IF($C3945="","",IF($T3945="Yes",1,0))</f>
        <v/>
      </c>
      <c r="AK3945">
        <f>IF($AG3945=1,IFERROR(IF(VALUE($C3945)&lt;100000000,VALUE($C3945),1000000000),IFERROR(IF(VALUE(MID($C3945,2,20))&lt;100000000,VALUE(MID($C3945,2,20)),1000000000),1000000000))+ROW()/100000,"")</f>
        <v/>
      </c>
    </row>
    <row r="3946">
      <c r="D3946" s="11" t="n"/>
      <c r="K3946" s="7">
        <f>IF($C3946="","",J3946*W3946/100)</f>
        <v/>
      </c>
      <c r="Q3946" s="7" t="n"/>
      <c r="R3946" s="7" t="n"/>
      <c r="U3946">
        <f>IF($C3946="","",IF($AJ3946=1,0,IF($AI3946=1,Settings!$C$6,Settings!$C$7))*100)</f>
        <v/>
      </c>
      <c r="V3946" s="7">
        <f>IF($C3946="","",R3946*U3946/100)</f>
        <v/>
      </c>
      <c r="W3946" s="7">
        <f>IF($C3946="","",R3946-V3946)</f>
        <v/>
      </c>
      <c r="X3946" s="7">
        <f>IF($C3946="","",W3946-K3946)</f>
        <v/>
      </c>
      <c r="AB3946" s="7" t="n"/>
      <c r="AE3946" s="11" t="n"/>
      <c r="AG3946">
        <f>IF($C3946="","",IF(COUNTIF($C$2:$C3946,$C3946)=1,1,0))</f>
        <v/>
      </c>
      <c r="AH3946">
        <f>IF($AG3946=1,SUMPRODUCT(--($AK$2:$AK$6001&lt;$AK3946))+1,"")</f>
        <v/>
      </c>
      <c r="AI3946">
        <f>IF($C3946="","",IF(OR($N3946=TRUE(),$N3946="TRUE"),1,0))</f>
        <v/>
      </c>
      <c r="AJ3946">
        <f>IF($C3946="","",IF($T3946="Yes",1,0))</f>
        <v/>
      </c>
      <c r="AK3946">
        <f>IF($AG3946=1,IFERROR(IF(VALUE($C3946)&lt;100000000,VALUE($C3946),1000000000),IFERROR(IF(VALUE(MID($C3946,2,20))&lt;100000000,VALUE(MID($C3946,2,20)),1000000000),1000000000))+ROW()/100000,"")</f>
        <v/>
      </c>
    </row>
    <row r="3947">
      <c r="D3947" s="11" t="n"/>
      <c r="K3947" s="7">
        <f>IF($C3947="","",J3947*W3947/100)</f>
        <v/>
      </c>
      <c r="Q3947" s="7" t="n"/>
      <c r="R3947" s="7" t="n"/>
      <c r="U3947">
        <f>IF($C3947="","",IF($AJ3947=1,0,IF($AI3947=1,Settings!$C$6,Settings!$C$7))*100)</f>
        <v/>
      </c>
      <c r="V3947" s="7">
        <f>IF($C3947="","",R3947*U3947/100)</f>
        <v/>
      </c>
      <c r="W3947" s="7">
        <f>IF($C3947="","",R3947-V3947)</f>
        <v/>
      </c>
      <c r="X3947" s="7">
        <f>IF($C3947="","",W3947-K3947)</f>
        <v/>
      </c>
      <c r="AB3947" s="7" t="n"/>
      <c r="AE3947" s="11" t="n"/>
      <c r="AG3947">
        <f>IF($C3947="","",IF(COUNTIF($C$2:$C3947,$C3947)=1,1,0))</f>
        <v/>
      </c>
      <c r="AH3947">
        <f>IF($AG3947=1,SUMPRODUCT(--($AK$2:$AK$6001&lt;$AK3947))+1,"")</f>
        <v/>
      </c>
      <c r="AI3947">
        <f>IF($C3947="","",IF(OR($N3947=TRUE(),$N3947="TRUE"),1,0))</f>
        <v/>
      </c>
      <c r="AJ3947">
        <f>IF($C3947="","",IF($T3947="Yes",1,0))</f>
        <v/>
      </c>
      <c r="AK3947">
        <f>IF($AG3947=1,IFERROR(IF(VALUE($C3947)&lt;100000000,VALUE($C3947),1000000000),IFERROR(IF(VALUE(MID($C3947,2,20))&lt;100000000,VALUE(MID($C3947,2,20)),1000000000),1000000000))+ROW()/100000,"")</f>
        <v/>
      </c>
    </row>
    <row r="3948">
      <c r="D3948" s="11" t="n"/>
      <c r="K3948" s="7">
        <f>IF($C3948="","",J3948*W3948/100)</f>
        <v/>
      </c>
      <c r="Q3948" s="7" t="n"/>
      <c r="R3948" s="7" t="n"/>
      <c r="U3948">
        <f>IF($C3948="","",IF($AJ3948=1,0,IF($AI3948=1,Settings!$C$6,Settings!$C$7))*100)</f>
        <v/>
      </c>
      <c r="V3948" s="7">
        <f>IF($C3948="","",R3948*U3948/100)</f>
        <v/>
      </c>
      <c r="W3948" s="7">
        <f>IF($C3948="","",R3948-V3948)</f>
        <v/>
      </c>
      <c r="X3948" s="7">
        <f>IF($C3948="","",W3948-K3948)</f>
        <v/>
      </c>
      <c r="AB3948" s="7" t="n"/>
      <c r="AE3948" s="11" t="n"/>
      <c r="AG3948">
        <f>IF($C3948="","",IF(COUNTIF($C$2:$C3948,$C3948)=1,1,0))</f>
        <v/>
      </c>
      <c r="AH3948">
        <f>IF($AG3948=1,SUMPRODUCT(--($AK$2:$AK$6001&lt;$AK3948))+1,"")</f>
        <v/>
      </c>
      <c r="AI3948">
        <f>IF($C3948="","",IF(OR($N3948=TRUE(),$N3948="TRUE"),1,0))</f>
        <v/>
      </c>
      <c r="AJ3948">
        <f>IF($C3948="","",IF($T3948="Yes",1,0))</f>
        <v/>
      </c>
      <c r="AK3948">
        <f>IF($AG3948=1,IFERROR(IF(VALUE($C3948)&lt;100000000,VALUE($C3948),1000000000),IFERROR(IF(VALUE(MID($C3948,2,20))&lt;100000000,VALUE(MID($C3948,2,20)),1000000000),1000000000))+ROW()/100000,"")</f>
        <v/>
      </c>
    </row>
    <row r="3949">
      <c r="D3949" s="11" t="n"/>
      <c r="K3949" s="7">
        <f>IF($C3949="","",J3949*W3949/100)</f>
        <v/>
      </c>
      <c r="Q3949" s="7" t="n"/>
      <c r="R3949" s="7" t="n"/>
      <c r="U3949">
        <f>IF($C3949="","",IF($AJ3949=1,0,IF($AI3949=1,Settings!$C$6,Settings!$C$7))*100)</f>
        <v/>
      </c>
      <c r="V3949" s="7">
        <f>IF($C3949="","",R3949*U3949/100)</f>
        <v/>
      </c>
      <c r="W3949" s="7">
        <f>IF($C3949="","",R3949-V3949)</f>
        <v/>
      </c>
      <c r="X3949" s="7">
        <f>IF($C3949="","",W3949-K3949)</f>
        <v/>
      </c>
      <c r="AB3949" s="7" t="n"/>
      <c r="AE3949" s="11" t="n"/>
      <c r="AG3949">
        <f>IF($C3949="","",IF(COUNTIF($C$2:$C3949,$C3949)=1,1,0))</f>
        <v/>
      </c>
      <c r="AH3949">
        <f>IF($AG3949=1,SUMPRODUCT(--($AK$2:$AK$6001&lt;$AK3949))+1,"")</f>
        <v/>
      </c>
      <c r="AI3949">
        <f>IF($C3949="","",IF(OR($N3949=TRUE(),$N3949="TRUE"),1,0))</f>
        <v/>
      </c>
      <c r="AJ3949">
        <f>IF($C3949="","",IF($T3949="Yes",1,0))</f>
        <v/>
      </c>
      <c r="AK3949">
        <f>IF($AG3949=1,IFERROR(IF(VALUE($C3949)&lt;100000000,VALUE($C3949),1000000000),IFERROR(IF(VALUE(MID($C3949,2,20))&lt;100000000,VALUE(MID($C3949,2,20)),1000000000),1000000000))+ROW()/100000,"")</f>
        <v/>
      </c>
    </row>
    <row r="3950">
      <c r="D3950" s="11" t="n"/>
      <c r="K3950" s="7">
        <f>IF($C3950="","",J3950*W3950/100)</f>
        <v/>
      </c>
      <c r="Q3950" s="7" t="n"/>
      <c r="R3950" s="7" t="n"/>
      <c r="U3950">
        <f>IF($C3950="","",IF($AJ3950=1,0,IF($AI3950=1,Settings!$C$6,Settings!$C$7))*100)</f>
        <v/>
      </c>
      <c r="V3950" s="7">
        <f>IF($C3950="","",R3950*U3950/100)</f>
        <v/>
      </c>
      <c r="W3950" s="7">
        <f>IF($C3950="","",R3950-V3950)</f>
        <v/>
      </c>
      <c r="X3950" s="7">
        <f>IF($C3950="","",W3950-K3950)</f>
        <v/>
      </c>
      <c r="AB3950" s="7" t="n"/>
      <c r="AE3950" s="11" t="n"/>
      <c r="AG3950">
        <f>IF($C3950="","",IF(COUNTIF($C$2:$C3950,$C3950)=1,1,0))</f>
        <v/>
      </c>
      <c r="AH3950">
        <f>IF($AG3950=1,SUMPRODUCT(--($AK$2:$AK$6001&lt;$AK3950))+1,"")</f>
        <v/>
      </c>
      <c r="AI3950">
        <f>IF($C3950="","",IF(OR($N3950=TRUE(),$N3950="TRUE"),1,0))</f>
        <v/>
      </c>
      <c r="AJ3950">
        <f>IF($C3950="","",IF($T3950="Yes",1,0))</f>
        <v/>
      </c>
      <c r="AK3950">
        <f>IF($AG3950=1,IFERROR(IF(VALUE($C3950)&lt;100000000,VALUE($C3950),1000000000),IFERROR(IF(VALUE(MID($C3950,2,20))&lt;100000000,VALUE(MID($C3950,2,20)),1000000000),1000000000))+ROW()/100000,"")</f>
        <v/>
      </c>
    </row>
    <row r="3951">
      <c r="D3951" s="11" t="n"/>
      <c r="K3951" s="7">
        <f>IF($C3951="","",J3951*W3951/100)</f>
        <v/>
      </c>
      <c r="Q3951" s="7" t="n"/>
      <c r="R3951" s="7" t="n"/>
      <c r="U3951">
        <f>IF($C3951="","",IF($AJ3951=1,0,IF($AI3951=1,Settings!$C$6,Settings!$C$7))*100)</f>
        <v/>
      </c>
      <c r="V3951" s="7">
        <f>IF($C3951="","",R3951*U3951/100)</f>
        <v/>
      </c>
      <c r="W3951" s="7">
        <f>IF($C3951="","",R3951-V3951)</f>
        <v/>
      </c>
      <c r="X3951" s="7">
        <f>IF($C3951="","",W3951-K3951)</f>
        <v/>
      </c>
      <c r="AB3951" s="7" t="n"/>
      <c r="AE3951" s="11" t="n"/>
      <c r="AG3951">
        <f>IF($C3951="","",IF(COUNTIF($C$2:$C3951,$C3951)=1,1,0))</f>
        <v/>
      </c>
      <c r="AH3951">
        <f>IF($AG3951=1,SUMPRODUCT(--($AK$2:$AK$6001&lt;$AK3951))+1,"")</f>
        <v/>
      </c>
      <c r="AI3951">
        <f>IF($C3951="","",IF(OR($N3951=TRUE(),$N3951="TRUE"),1,0))</f>
        <v/>
      </c>
      <c r="AJ3951">
        <f>IF($C3951="","",IF($T3951="Yes",1,0))</f>
        <v/>
      </c>
      <c r="AK3951">
        <f>IF($AG3951=1,IFERROR(IF(VALUE($C3951)&lt;100000000,VALUE($C3951),1000000000),IFERROR(IF(VALUE(MID($C3951,2,20))&lt;100000000,VALUE(MID($C3951,2,20)),1000000000),1000000000))+ROW()/100000,"")</f>
        <v/>
      </c>
    </row>
    <row r="3952">
      <c r="D3952" s="11" t="n"/>
      <c r="K3952" s="7">
        <f>IF($C3952="","",J3952*W3952/100)</f>
        <v/>
      </c>
      <c r="Q3952" s="7" t="n"/>
      <c r="R3952" s="7" t="n"/>
      <c r="U3952">
        <f>IF($C3952="","",IF($AJ3952=1,0,IF($AI3952=1,Settings!$C$6,Settings!$C$7))*100)</f>
        <v/>
      </c>
      <c r="V3952" s="7">
        <f>IF($C3952="","",R3952*U3952/100)</f>
        <v/>
      </c>
      <c r="W3952" s="7">
        <f>IF($C3952="","",R3952-V3952)</f>
        <v/>
      </c>
      <c r="X3952" s="7">
        <f>IF($C3952="","",W3952-K3952)</f>
        <v/>
      </c>
      <c r="AB3952" s="7" t="n"/>
      <c r="AE3952" s="11" t="n"/>
      <c r="AG3952">
        <f>IF($C3952="","",IF(COUNTIF($C$2:$C3952,$C3952)=1,1,0))</f>
        <v/>
      </c>
      <c r="AH3952">
        <f>IF($AG3952=1,SUMPRODUCT(--($AK$2:$AK$6001&lt;$AK3952))+1,"")</f>
        <v/>
      </c>
      <c r="AI3952">
        <f>IF($C3952="","",IF(OR($N3952=TRUE(),$N3952="TRUE"),1,0))</f>
        <v/>
      </c>
      <c r="AJ3952">
        <f>IF($C3952="","",IF($T3952="Yes",1,0))</f>
        <v/>
      </c>
      <c r="AK3952">
        <f>IF($AG3952=1,IFERROR(IF(VALUE($C3952)&lt;100000000,VALUE($C3952),1000000000),IFERROR(IF(VALUE(MID($C3952,2,20))&lt;100000000,VALUE(MID($C3952,2,20)),1000000000),1000000000))+ROW()/100000,"")</f>
        <v/>
      </c>
    </row>
    <row r="3953">
      <c r="D3953" s="11" t="n"/>
      <c r="K3953" s="7">
        <f>IF($C3953="","",J3953*W3953/100)</f>
        <v/>
      </c>
      <c r="Q3953" s="7" t="n"/>
      <c r="R3953" s="7" t="n"/>
      <c r="U3953">
        <f>IF($C3953="","",IF($AJ3953=1,0,IF($AI3953=1,Settings!$C$6,Settings!$C$7))*100)</f>
        <v/>
      </c>
      <c r="V3953" s="7">
        <f>IF($C3953="","",R3953*U3953/100)</f>
        <v/>
      </c>
      <c r="W3953" s="7">
        <f>IF($C3953="","",R3953-V3953)</f>
        <v/>
      </c>
      <c r="X3953" s="7">
        <f>IF($C3953="","",W3953-K3953)</f>
        <v/>
      </c>
      <c r="AB3953" s="7" t="n"/>
      <c r="AE3953" s="11" t="n"/>
      <c r="AG3953">
        <f>IF($C3953="","",IF(COUNTIF($C$2:$C3953,$C3953)=1,1,0))</f>
        <v/>
      </c>
      <c r="AH3953">
        <f>IF($AG3953=1,SUMPRODUCT(--($AK$2:$AK$6001&lt;$AK3953))+1,"")</f>
        <v/>
      </c>
      <c r="AI3953">
        <f>IF($C3953="","",IF(OR($N3953=TRUE(),$N3953="TRUE"),1,0))</f>
        <v/>
      </c>
      <c r="AJ3953">
        <f>IF($C3953="","",IF($T3953="Yes",1,0))</f>
        <v/>
      </c>
      <c r="AK3953">
        <f>IF($AG3953=1,IFERROR(IF(VALUE($C3953)&lt;100000000,VALUE($C3953),1000000000),IFERROR(IF(VALUE(MID($C3953,2,20))&lt;100000000,VALUE(MID($C3953,2,20)),1000000000),1000000000))+ROW()/100000,"")</f>
        <v/>
      </c>
    </row>
    <row r="3954">
      <c r="D3954" s="11" t="n"/>
      <c r="K3954" s="7">
        <f>IF($C3954="","",J3954*W3954/100)</f>
        <v/>
      </c>
      <c r="Q3954" s="7" t="n"/>
      <c r="R3954" s="7" t="n"/>
      <c r="U3954">
        <f>IF($C3954="","",IF($AJ3954=1,0,IF($AI3954=1,Settings!$C$6,Settings!$C$7))*100)</f>
        <v/>
      </c>
      <c r="V3954" s="7">
        <f>IF($C3954="","",R3954*U3954/100)</f>
        <v/>
      </c>
      <c r="W3954" s="7">
        <f>IF($C3954="","",R3954-V3954)</f>
        <v/>
      </c>
      <c r="X3954" s="7">
        <f>IF($C3954="","",W3954-K3954)</f>
        <v/>
      </c>
      <c r="AB3954" s="7" t="n"/>
      <c r="AE3954" s="11" t="n"/>
      <c r="AG3954">
        <f>IF($C3954="","",IF(COUNTIF($C$2:$C3954,$C3954)=1,1,0))</f>
        <v/>
      </c>
      <c r="AH3954">
        <f>IF($AG3954=1,SUMPRODUCT(--($AK$2:$AK$6001&lt;$AK3954))+1,"")</f>
        <v/>
      </c>
      <c r="AI3954">
        <f>IF($C3954="","",IF(OR($N3954=TRUE(),$N3954="TRUE"),1,0))</f>
        <v/>
      </c>
      <c r="AJ3954">
        <f>IF($C3954="","",IF($T3954="Yes",1,0))</f>
        <v/>
      </c>
      <c r="AK3954">
        <f>IF($AG3954=1,IFERROR(IF(VALUE($C3954)&lt;100000000,VALUE($C3954),1000000000),IFERROR(IF(VALUE(MID($C3954,2,20))&lt;100000000,VALUE(MID($C3954,2,20)),1000000000),1000000000))+ROW()/100000,"")</f>
        <v/>
      </c>
    </row>
    <row r="3955">
      <c r="D3955" s="11" t="n"/>
      <c r="K3955" s="7">
        <f>IF($C3955="","",J3955*W3955/100)</f>
        <v/>
      </c>
      <c r="Q3955" s="7" t="n"/>
      <c r="R3955" s="7" t="n"/>
      <c r="U3955">
        <f>IF($C3955="","",IF($AJ3955=1,0,IF($AI3955=1,Settings!$C$6,Settings!$C$7))*100)</f>
        <v/>
      </c>
      <c r="V3955" s="7">
        <f>IF($C3955="","",R3955*U3955/100)</f>
        <v/>
      </c>
      <c r="W3955" s="7">
        <f>IF($C3955="","",R3955-V3955)</f>
        <v/>
      </c>
      <c r="X3955" s="7">
        <f>IF($C3955="","",W3955-K3955)</f>
        <v/>
      </c>
      <c r="AB3955" s="7" t="n"/>
      <c r="AE3955" s="11" t="n"/>
      <c r="AG3955">
        <f>IF($C3955="","",IF(COUNTIF($C$2:$C3955,$C3955)=1,1,0))</f>
        <v/>
      </c>
      <c r="AH3955">
        <f>IF($AG3955=1,SUMPRODUCT(--($AK$2:$AK$6001&lt;$AK3955))+1,"")</f>
        <v/>
      </c>
      <c r="AI3955">
        <f>IF($C3955="","",IF(OR($N3955=TRUE(),$N3955="TRUE"),1,0))</f>
        <v/>
      </c>
      <c r="AJ3955">
        <f>IF($C3955="","",IF($T3955="Yes",1,0))</f>
        <v/>
      </c>
      <c r="AK3955">
        <f>IF($AG3955=1,IFERROR(IF(VALUE($C3955)&lt;100000000,VALUE($C3955),1000000000),IFERROR(IF(VALUE(MID($C3955,2,20))&lt;100000000,VALUE(MID($C3955,2,20)),1000000000),1000000000))+ROW()/100000,"")</f>
        <v/>
      </c>
    </row>
    <row r="3956">
      <c r="D3956" s="11" t="n"/>
      <c r="K3956" s="7">
        <f>IF($C3956="","",J3956*W3956/100)</f>
        <v/>
      </c>
      <c r="Q3956" s="7" t="n"/>
      <c r="R3956" s="7" t="n"/>
      <c r="U3956">
        <f>IF($C3956="","",IF($AJ3956=1,0,IF($AI3956=1,Settings!$C$6,Settings!$C$7))*100)</f>
        <v/>
      </c>
      <c r="V3956" s="7">
        <f>IF($C3956="","",R3956*U3956/100)</f>
        <v/>
      </c>
      <c r="W3956" s="7">
        <f>IF($C3956="","",R3956-V3956)</f>
        <v/>
      </c>
      <c r="X3956" s="7">
        <f>IF($C3956="","",W3956-K3956)</f>
        <v/>
      </c>
      <c r="AB3956" s="7" t="n"/>
      <c r="AE3956" s="11" t="n"/>
      <c r="AG3956">
        <f>IF($C3956="","",IF(COUNTIF($C$2:$C3956,$C3956)=1,1,0))</f>
        <v/>
      </c>
      <c r="AH3956">
        <f>IF($AG3956=1,SUMPRODUCT(--($AK$2:$AK$6001&lt;$AK3956))+1,"")</f>
        <v/>
      </c>
      <c r="AI3956">
        <f>IF($C3956="","",IF(OR($N3956=TRUE(),$N3956="TRUE"),1,0))</f>
        <v/>
      </c>
      <c r="AJ3956">
        <f>IF($C3956="","",IF($T3956="Yes",1,0))</f>
        <v/>
      </c>
      <c r="AK3956">
        <f>IF($AG3956=1,IFERROR(IF(VALUE($C3956)&lt;100000000,VALUE($C3956),1000000000),IFERROR(IF(VALUE(MID($C3956,2,20))&lt;100000000,VALUE(MID($C3956,2,20)),1000000000),1000000000))+ROW()/100000,"")</f>
        <v/>
      </c>
    </row>
    <row r="3957">
      <c r="D3957" s="11" t="n"/>
      <c r="K3957" s="7">
        <f>IF($C3957="","",J3957*W3957/100)</f>
        <v/>
      </c>
      <c r="Q3957" s="7" t="n"/>
      <c r="R3957" s="7" t="n"/>
      <c r="U3957">
        <f>IF($C3957="","",IF($AJ3957=1,0,IF($AI3957=1,Settings!$C$6,Settings!$C$7))*100)</f>
        <v/>
      </c>
      <c r="V3957" s="7">
        <f>IF($C3957="","",R3957*U3957/100)</f>
        <v/>
      </c>
      <c r="W3957" s="7">
        <f>IF($C3957="","",R3957-V3957)</f>
        <v/>
      </c>
      <c r="X3957" s="7">
        <f>IF($C3957="","",W3957-K3957)</f>
        <v/>
      </c>
      <c r="AB3957" s="7" t="n"/>
      <c r="AE3957" s="11" t="n"/>
      <c r="AG3957">
        <f>IF($C3957="","",IF(COUNTIF($C$2:$C3957,$C3957)=1,1,0))</f>
        <v/>
      </c>
      <c r="AH3957">
        <f>IF($AG3957=1,SUMPRODUCT(--($AK$2:$AK$6001&lt;$AK3957))+1,"")</f>
        <v/>
      </c>
      <c r="AI3957">
        <f>IF($C3957="","",IF(OR($N3957=TRUE(),$N3957="TRUE"),1,0))</f>
        <v/>
      </c>
      <c r="AJ3957">
        <f>IF($C3957="","",IF($T3957="Yes",1,0))</f>
        <v/>
      </c>
      <c r="AK3957">
        <f>IF($AG3957=1,IFERROR(IF(VALUE($C3957)&lt;100000000,VALUE($C3957),1000000000),IFERROR(IF(VALUE(MID($C3957,2,20))&lt;100000000,VALUE(MID($C3957,2,20)),1000000000),1000000000))+ROW()/100000,"")</f>
        <v/>
      </c>
    </row>
    <row r="3958">
      <c r="D3958" s="11" t="n"/>
      <c r="K3958" s="7">
        <f>IF($C3958="","",J3958*W3958/100)</f>
        <v/>
      </c>
      <c r="Q3958" s="7" t="n"/>
      <c r="R3958" s="7" t="n"/>
      <c r="U3958">
        <f>IF($C3958="","",IF($AJ3958=1,0,IF($AI3958=1,Settings!$C$6,Settings!$C$7))*100)</f>
        <v/>
      </c>
      <c r="V3958" s="7">
        <f>IF($C3958="","",R3958*U3958/100)</f>
        <v/>
      </c>
      <c r="W3958" s="7">
        <f>IF($C3958="","",R3958-V3958)</f>
        <v/>
      </c>
      <c r="X3958" s="7">
        <f>IF($C3958="","",W3958-K3958)</f>
        <v/>
      </c>
      <c r="AB3958" s="7" t="n"/>
      <c r="AE3958" s="11" t="n"/>
      <c r="AG3958">
        <f>IF($C3958="","",IF(COUNTIF($C$2:$C3958,$C3958)=1,1,0))</f>
        <v/>
      </c>
      <c r="AH3958">
        <f>IF($AG3958=1,SUMPRODUCT(--($AK$2:$AK$6001&lt;$AK3958))+1,"")</f>
        <v/>
      </c>
      <c r="AI3958">
        <f>IF($C3958="","",IF(OR($N3958=TRUE(),$N3958="TRUE"),1,0))</f>
        <v/>
      </c>
      <c r="AJ3958">
        <f>IF($C3958="","",IF($T3958="Yes",1,0))</f>
        <v/>
      </c>
      <c r="AK3958">
        <f>IF($AG3958=1,IFERROR(IF(VALUE($C3958)&lt;100000000,VALUE($C3958),1000000000),IFERROR(IF(VALUE(MID($C3958,2,20))&lt;100000000,VALUE(MID($C3958,2,20)),1000000000),1000000000))+ROW()/100000,"")</f>
        <v/>
      </c>
    </row>
    <row r="3959">
      <c r="D3959" s="11" t="n"/>
      <c r="K3959" s="7">
        <f>IF($C3959="","",J3959*W3959/100)</f>
        <v/>
      </c>
      <c r="Q3959" s="7" t="n"/>
      <c r="R3959" s="7" t="n"/>
      <c r="U3959">
        <f>IF($C3959="","",IF($AJ3959=1,0,IF($AI3959=1,Settings!$C$6,Settings!$C$7))*100)</f>
        <v/>
      </c>
      <c r="V3959" s="7">
        <f>IF($C3959="","",R3959*U3959/100)</f>
        <v/>
      </c>
      <c r="W3959" s="7">
        <f>IF($C3959="","",R3959-V3959)</f>
        <v/>
      </c>
      <c r="X3959" s="7">
        <f>IF($C3959="","",W3959-K3959)</f>
        <v/>
      </c>
      <c r="AB3959" s="7" t="n"/>
      <c r="AE3959" s="11" t="n"/>
      <c r="AG3959">
        <f>IF($C3959="","",IF(COUNTIF($C$2:$C3959,$C3959)=1,1,0))</f>
        <v/>
      </c>
      <c r="AH3959">
        <f>IF($AG3959=1,SUMPRODUCT(--($AK$2:$AK$6001&lt;$AK3959))+1,"")</f>
        <v/>
      </c>
      <c r="AI3959">
        <f>IF($C3959="","",IF(OR($N3959=TRUE(),$N3959="TRUE"),1,0))</f>
        <v/>
      </c>
      <c r="AJ3959">
        <f>IF($C3959="","",IF($T3959="Yes",1,0))</f>
        <v/>
      </c>
      <c r="AK3959">
        <f>IF($AG3959=1,IFERROR(IF(VALUE($C3959)&lt;100000000,VALUE($C3959),1000000000),IFERROR(IF(VALUE(MID($C3959,2,20))&lt;100000000,VALUE(MID($C3959,2,20)),1000000000),1000000000))+ROW()/100000,"")</f>
        <v/>
      </c>
    </row>
    <row r="3960">
      <c r="D3960" s="11" t="n"/>
      <c r="K3960" s="7">
        <f>IF($C3960="","",J3960*W3960/100)</f>
        <v/>
      </c>
      <c r="Q3960" s="7" t="n"/>
      <c r="R3960" s="7" t="n"/>
      <c r="U3960">
        <f>IF($C3960="","",IF($AJ3960=1,0,IF($AI3960=1,Settings!$C$6,Settings!$C$7))*100)</f>
        <v/>
      </c>
      <c r="V3960" s="7">
        <f>IF($C3960="","",R3960*U3960/100)</f>
        <v/>
      </c>
      <c r="W3960" s="7">
        <f>IF($C3960="","",R3960-V3960)</f>
        <v/>
      </c>
      <c r="X3960" s="7">
        <f>IF($C3960="","",W3960-K3960)</f>
        <v/>
      </c>
      <c r="AB3960" s="7" t="n"/>
      <c r="AE3960" s="11" t="n"/>
      <c r="AG3960">
        <f>IF($C3960="","",IF(COUNTIF($C$2:$C3960,$C3960)=1,1,0))</f>
        <v/>
      </c>
      <c r="AH3960">
        <f>IF($AG3960=1,SUMPRODUCT(--($AK$2:$AK$6001&lt;$AK3960))+1,"")</f>
        <v/>
      </c>
      <c r="AI3960">
        <f>IF($C3960="","",IF(OR($N3960=TRUE(),$N3960="TRUE"),1,0))</f>
        <v/>
      </c>
      <c r="AJ3960">
        <f>IF($C3960="","",IF($T3960="Yes",1,0))</f>
        <v/>
      </c>
      <c r="AK3960">
        <f>IF($AG3960=1,IFERROR(IF(VALUE($C3960)&lt;100000000,VALUE($C3960),1000000000),IFERROR(IF(VALUE(MID($C3960,2,20))&lt;100000000,VALUE(MID($C3960,2,20)),1000000000),1000000000))+ROW()/100000,"")</f>
        <v/>
      </c>
    </row>
    <row r="3961">
      <c r="D3961" s="11" t="n"/>
      <c r="K3961" s="7">
        <f>IF($C3961="","",J3961*W3961/100)</f>
        <v/>
      </c>
      <c r="Q3961" s="7" t="n"/>
      <c r="R3961" s="7" t="n"/>
      <c r="U3961">
        <f>IF($C3961="","",IF($AJ3961=1,0,IF($AI3961=1,Settings!$C$6,Settings!$C$7))*100)</f>
        <v/>
      </c>
      <c r="V3961" s="7">
        <f>IF($C3961="","",R3961*U3961/100)</f>
        <v/>
      </c>
      <c r="W3961" s="7">
        <f>IF($C3961="","",R3961-V3961)</f>
        <v/>
      </c>
      <c r="X3961" s="7">
        <f>IF($C3961="","",W3961-K3961)</f>
        <v/>
      </c>
      <c r="AB3961" s="7" t="n"/>
      <c r="AE3961" s="11" t="n"/>
      <c r="AG3961">
        <f>IF($C3961="","",IF(COUNTIF($C$2:$C3961,$C3961)=1,1,0))</f>
        <v/>
      </c>
      <c r="AH3961">
        <f>IF($AG3961=1,SUMPRODUCT(--($AK$2:$AK$6001&lt;$AK3961))+1,"")</f>
        <v/>
      </c>
      <c r="AI3961">
        <f>IF($C3961="","",IF(OR($N3961=TRUE(),$N3961="TRUE"),1,0))</f>
        <v/>
      </c>
      <c r="AJ3961">
        <f>IF($C3961="","",IF($T3961="Yes",1,0))</f>
        <v/>
      </c>
      <c r="AK3961">
        <f>IF($AG3961=1,IFERROR(IF(VALUE($C3961)&lt;100000000,VALUE($C3961),1000000000),IFERROR(IF(VALUE(MID($C3961,2,20))&lt;100000000,VALUE(MID($C3961,2,20)),1000000000),1000000000))+ROW()/100000,"")</f>
        <v/>
      </c>
    </row>
    <row r="3962">
      <c r="D3962" s="11" t="n"/>
      <c r="K3962" s="7">
        <f>IF($C3962="","",J3962*W3962/100)</f>
        <v/>
      </c>
      <c r="Q3962" s="7" t="n"/>
      <c r="R3962" s="7" t="n"/>
      <c r="U3962">
        <f>IF($C3962="","",IF($AJ3962=1,0,IF($AI3962=1,Settings!$C$6,Settings!$C$7))*100)</f>
        <v/>
      </c>
      <c r="V3962" s="7">
        <f>IF($C3962="","",R3962*U3962/100)</f>
        <v/>
      </c>
      <c r="W3962" s="7">
        <f>IF($C3962="","",R3962-V3962)</f>
        <v/>
      </c>
      <c r="X3962" s="7">
        <f>IF($C3962="","",W3962-K3962)</f>
        <v/>
      </c>
      <c r="AB3962" s="7" t="n"/>
      <c r="AE3962" s="11" t="n"/>
      <c r="AG3962">
        <f>IF($C3962="","",IF(COUNTIF($C$2:$C3962,$C3962)=1,1,0))</f>
        <v/>
      </c>
      <c r="AH3962">
        <f>IF($AG3962=1,SUMPRODUCT(--($AK$2:$AK$6001&lt;$AK3962))+1,"")</f>
        <v/>
      </c>
      <c r="AI3962">
        <f>IF($C3962="","",IF(OR($N3962=TRUE(),$N3962="TRUE"),1,0))</f>
        <v/>
      </c>
      <c r="AJ3962">
        <f>IF($C3962="","",IF($T3962="Yes",1,0))</f>
        <v/>
      </c>
      <c r="AK3962">
        <f>IF($AG3962=1,IFERROR(IF(VALUE($C3962)&lt;100000000,VALUE($C3962),1000000000),IFERROR(IF(VALUE(MID($C3962,2,20))&lt;100000000,VALUE(MID($C3962,2,20)),1000000000),1000000000))+ROW()/100000,"")</f>
        <v/>
      </c>
    </row>
    <row r="3963">
      <c r="D3963" s="11" t="n"/>
      <c r="K3963" s="7">
        <f>IF($C3963="","",J3963*W3963/100)</f>
        <v/>
      </c>
      <c r="Q3963" s="7" t="n"/>
      <c r="R3963" s="7" t="n"/>
      <c r="U3963">
        <f>IF($C3963="","",IF($AJ3963=1,0,IF($AI3963=1,Settings!$C$6,Settings!$C$7))*100)</f>
        <v/>
      </c>
      <c r="V3963" s="7">
        <f>IF($C3963="","",R3963*U3963/100)</f>
        <v/>
      </c>
      <c r="W3963" s="7">
        <f>IF($C3963="","",R3963-V3963)</f>
        <v/>
      </c>
      <c r="X3963" s="7">
        <f>IF($C3963="","",W3963-K3963)</f>
        <v/>
      </c>
      <c r="AB3963" s="7" t="n"/>
      <c r="AE3963" s="11" t="n"/>
      <c r="AG3963">
        <f>IF($C3963="","",IF(COUNTIF($C$2:$C3963,$C3963)=1,1,0))</f>
        <v/>
      </c>
      <c r="AH3963">
        <f>IF($AG3963=1,SUMPRODUCT(--($AK$2:$AK$6001&lt;$AK3963))+1,"")</f>
        <v/>
      </c>
      <c r="AI3963">
        <f>IF($C3963="","",IF(OR($N3963=TRUE(),$N3963="TRUE"),1,0))</f>
        <v/>
      </c>
      <c r="AJ3963">
        <f>IF($C3963="","",IF($T3963="Yes",1,0))</f>
        <v/>
      </c>
      <c r="AK3963">
        <f>IF($AG3963=1,IFERROR(IF(VALUE($C3963)&lt;100000000,VALUE($C3963),1000000000),IFERROR(IF(VALUE(MID($C3963,2,20))&lt;100000000,VALUE(MID($C3963,2,20)),1000000000),1000000000))+ROW()/100000,"")</f>
        <v/>
      </c>
    </row>
    <row r="3964">
      <c r="D3964" s="11" t="n"/>
      <c r="K3964" s="7">
        <f>IF($C3964="","",J3964*W3964/100)</f>
        <v/>
      </c>
      <c r="Q3964" s="7" t="n"/>
      <c r="R3964" s="7" t="n"/>
      <c r="U3964">
        <f>IF($C3964="","",IF($AJ3964=1,0,IF($AI3964=1,Settings!$C$6,Settings!$C$7))*100)</f>
        <v/>
      </c>
      <c r="V3964" s="7">
        <f>IF($C3964="","",R3964*U3964/100)</f>
        <v/>
      </c>
      <c r="W3964" s="7">
        <f>IF($C3964="","",R3964-V3964)</f>
        <v/>
      </c>
      <c r="X3964" s="7">
        <f>IF($C3964="","",W3964-K3964)</f>
        <v/>
      </c>
      <c r="AB3964" s="7" t="n"/>
      <c r="AE3964" s="11" t="n"/>
      <c r="AG3964">
        <f>IF($C3964="","",IF(COUNTIF($C$2:$C3964,$C3964)=1,1,0))</f>
        <v/>
      </c>
      <c r="AH3964">
        <f>IF($AG3964=1,SUMPRODUCT(--($AK$2:$AK$6001&lt;$AK3964))+1,"")</f>
        <v/>
      </c>
      <c r="AI3964">
        <f>IF($C3964="","",IF(OR($N3964=TRUE(),$N3964="TRUE"),1,0))</f>
        <v/>
      </c>
      <c r="AJ3964">
        <f>IF($C3964="","",IF($T3964="Yes",1,0))</f>
        <v/>
      </c>
      <c r="AK3964">
        <f>IF($AG3964=1,IFERROR(IF(VALUE($C3964)&lt;100000000,VALUE($C3964),1000000000),IFERROR(IF(VALUE(MID($C3964,2,20))&lt;100000000,VALUE(MID($C3964,2,20)),1000000000),1000000000))+ROW()/100000,"")</f>
        <v/>
      </c>
    </row>
    <row r="3965">
      <c r="D3965" s="11" t="n"/>
      <c r="K3965" s="7">
        <f>IF($C3965="","",J3965*W3965/100)</f>
        <v/>
      </c>
      <c r="Q3965" s="7" t="n"/>
      <c r="R3965" s="7" t="n"/>
      <c r="U3965">
        <f>IF($C3965="","",IF($AJ3965=1,0,IF($AI3965=1,Settings!$C$6,Settings!$C$7))*100)</f>
        <v/>
      </c>
      <c r="V3965" s="7">
        <f>IF($C3965="","",R3965*U3965/100)</f>
        <v/>
      </c>
      <c r="W3965" s="7">
        <f>IF($C3965="","",R3965-V3965)</f>
        <v/>
      </c>
      <c r="X3965" s="7">
        <f>IF($C3965="","",W3965-K3965)</f>
        <v/>
      </c>
      <c r="AB3965" s="7" t="n"/>
      <c r="AE3965" s="11" t="n"/>
      <c r="AG3965">
        <f>IF($C3965="","",IF(COUNTIF($C$2:$C3965,$C3965)=1,1,0))</f>
        <v/>
      </c>
      <c r="AH3965">
        <f>IF($AG3965=1,SUMPRODUCT(--($AK$2:$AK$6001&lt;$AK3965))+1,"")</f>
        <v/>
      </c>
      <c r="AI3965">
        <f>IF($C3965="","",IF(OR($N3965=TRUE(),$N3965="TRUE"),1,0))</f>
        <v/>
      </c>
      <c r="AJ3965">
        <f>IF($C3965="","",IF($T3965="Yes",1,0))</f>
        <v/>
      </c>
      <c r="AK3965">
        <f>IF($AG3965=1,IFERROR(IF(VALUE($C3965)&lt;100000000,VALUE($C3965),1000000000),IFERROR(IF(VALUE(MID($C3965,2,20))&lt;100000000,VALUE(MID($C3965,2,20)),1000000000),1000000000))+ROW()/100000,"")</f>
        <v/>
      </c>
    </row>
    <row r="3966">
      <c r="D3966" s="11" t="n"/>
      <c r="K3966" s="7">
        <f>IF($C3966="","",J3966*W3966/100)</f>
        <v/>
      </c>
      <c r="Q3966" s="7" t="n"/>
      <c r="R3966" s="7" t="n"/>
      <c r="U3966">
        <f>IF($C3966="","",IF($AJ3966=1,0,IF($AI3966=1,Settings!$C$6,Settings!$C$7))*100)</f>
        <v/>
      </c>
      <c r="V3966" s="7">
        <f>IF($C3966="","",R3966*U3966/100)</f>
        <v/>
      </c>
      <c r="W3966" s="7">
        <f>IF($C3966="","",R3966-V3966)</f>
        <v/>
      </c>
      <c r="X3966" s="7">
        <f>IF($C3966="","",W3966-K3966)</f>
        <v/>
      </c>
      <c r="AB3966" s="7" t="n"/>
      <c r="AE3966" s="11" t="n"/>
      <c r="AG3966">
        <f>IF($C3966="","",IF(COUNTIF($C$2:$C3966,$C3966)=1,1,0))</f>
        <v/>
      </c>
      <c r="AH3966">
        <f>IF($AG3966=1,SUMPRODUCT(--($AK$2:$AK$6001&lt;$AK3966))+1,"")</f>
        <v/>
      </c>
      <c r="AI3966">
        <f>IF($C3966="","",IF(OR($N3966=TRUE(),$N3966="TRUE"),1,0))</f>
        <v/>
      </c>
      <c r="AJ3966">
        <f>IF($C3966="","",IF($T3966="Yes",1,0))</f>
        <v/>
      </c>
      <c r="AK3966">
        <f>IF($AG3966=1,IFERROR(IF(VALUE($C3966)&lt;100000000,VALUE($C3966),1000000000),IFERROR(IF(VALUE(MID($C3966,2,20))&lt;100000000,VALUE(MID($C3966,2,20)),1000000000),1000000000))+ROW()/100000,"")</f>
        <v/>
      </c>
    </row>
    <row r="3967">
      <c r="D3967" s="11" t="n"/>
      <c r="K3967" s="7">
        <f>IF($C3967="","",J3967*W3967/100)</f>
        <v/>
      </c>
      <c r="Q3967" s="7" t="n"/>
      <c r="R3967" s="7" t="n"/>
      <c r="U3967">
        <f>IF($C3967="","",IF($AJ3967=1,0,IF($AI3967=1,Settings!$C$6,Settings!$C$7))*100)</f>
        <v/>
      </c>
      <c r="V3967" s="7">
        <f>IF($C3967="","",R3967*U3967/100)</f>
        <v/>
      </c>
      <c r="W3967" s="7">
        <f>IF($C3967="","",R3967-V3967)</f>
        <v/>
      </c>
      <c r="X3967" s="7">
        <f>IF($C3967="","",W3967-K3967)</f>
        <v/>
      </c>
      <c r="AB3967" s="7" t="n"/>
      <c r="AE3967" s="11" t="n"/>
      <c r="AG3967">
        <f>IF($C3967="","",IF(COUNTIF($C$2:$C3967,$C3967)=1,1,0))</f>
        <v/>
      </c>
      <c r="AH3967">
        <f>IF($AG3967=1,SUMPRODUCT(--($AK$2:$AK$6001&lt;$AK3967))+1,"")</f>
        <v/>
      </c>
      <c r="AI3967">
        <f>IF($C3967="","",IF(OR($N3967=TRUE(),$N3967="TRUE"),1,0))</f>
        <v/>
      </c>
      <c r="AJ3967">
        <f>IF($C3967="","",IF($T3967="Yes",1,0))</f>
        <v/>
      </c>
      <c r="AK3967">
        <f>IF($AG3967=1,IFERROR(IF(VALUE($C3967)&lt;100000000,VALUE($C3967),1000000000),IFERROR(IF(VALUE(MID($C3967,2,20))&lt;100000000,VALUE(MID($C3967,2,20)),1000000000),1000000000))+ROW()/100000,"")</f>
        <v/>
      </c>
    </row>
    <row r="3968">
      <c r="D3968" s="11" t="n"/>
      <c r="K3968" s="7">
        <f>IF($C3968="","",J3968*W3968/100)</f>
        <v/>
      </c>
      <c r="Q3968" s="7" t="n"/>
      <c r="R3968" s="7" t="n"/>
      <c r="U3968">
        <f>IF($C3968="","",IF($AJ3968=1,0,IF($AI3968=1,Settings!$C$6,Settings!$C$7))*100)</f>
        <v/>
      </c>
      <c r="V3968" s="7">
        <f>IF($C3968="","",R3968*U3968/100)</f>
        <v/>
      </c>
      <c r="W3968" s="7">
        <f>IF($C3968="","",R3968-V3968)</f>
        <v/>
      </c>
      <c r="X3968" s="7">
        <f>IF($C3968="","",W3968-K3968)</f>
        <v/>
      </c>
      <c r="AB3968" s="7" t="n"/>
      <c r="AE3968" s="11" t="n"/>
      <c r="AG3968">
        <f>IF($C3968="","",IF(COUNTIF($C$2:$C3968,$C3968)=1,1,0))</f>
        <v/>
      </c>
      <c r="AH3968">
        <f>IF($AG3968=1,SUMPRODUCT(--($AK$2:$AK$6001&lt;$AK3968))+1,"")</f>
        <v/>
      </c>
      <c r="AI3968">
        <f>IF($C3968="","",IF(OR($N3968=TRUE(),$N3968="TRUE"),1,0))</f>
        <v/>
      </c>
      <c r="AJ3968">
        <f>IF($C3968="","",IF($T3968="Yes",1,0))</f>
        <v/>
      </c>
      <c r="AK3968">
        <f>IF($AG3968=1,IFERROR(IF(VALUE($C3968)&lt;100000000,VALUE($C3968),1000000000),IFERROR(IF(VALUE(MID($C3968,2,20))&lt;100000000,VALUE(MID($C3968,2,20)),1000000000),1000000000))+ROW()/100000,"")</f>
        <v/>
      </c>
    </row>
    <row r="3969">
      <c r="D3969" s="11" t="n"/>
      <c r="K3969" s="7">
        <f>IF($C3969="","",J3969*W3969/100)</f>
        <v/>
      </c>
      <c r="Q3969" s="7" t="n"/>
      <c r="R3969" s="7" t="n"/>
      <c r="U3969">
        <f>IF($C3969="","",IF($AJ3969=1,0,IF($AI3969=1,Settings!$C$6,Settings!$C$7))*100)</f>
        <v/>
      </c>
      <c r="V3969" s="7">
        <f>IF($C3969="","",R3969*U3969/100)</f>
        <v/>
      </c>
      <c r="W3969" s="7">
        <f>IF($C3969="","",R3969-V3969)</f>
        <v/>
      </c>
      <c r="X3969" s="7">
        <f>IF($C3969="","",W3969-K3969)</f>
        <v/>
      </c>
      <c r="AB3969" s="7" t="n"/>
      <c r="AE3969" s="11" t="n"/>
      <c r="AG3969">
        <f>IF($C3969="","",IF(COUNTIF($C$2:$C3969,$C3969)=1,1,0))</f>
        <v/>
      </c>
      <c r="AH3969">
        <f>IF($AG3969=1,SUMPRODUCT(--($AK$2:$AK$6001&lt;$AK3969))+1,"")</f>
        <v/>
      </c>
      <c r="AI3969">
        <f>IF($C3969="","",IF(OR($N3969=TRUE(),$N3969="TRUE"),1,0))</f>
        <v/>
      </c>
      <c r="AJ3969">
        <f>IF($C3969="","",IF($T3969="Yes",1,0))</f>
        <v/>
      </c>
      <c r="AK3969">
        <f>IF($AG3969=1,IFERROR(IF(VALUE($C3969)&lt;100000000,VALUE($C3969),1000000000),IFERROR(IF(VALUE(MID($C3969,2,20))&lt;100000000,VALUE(MID($C3969,2,20)),1000000000),1000000000))+ROW()/100000,"")</f>
        <v/>
      </c>
    </row>
    <row r="3970">
      <c r="D3970" s="11" t="n"/>
      <c r="K3970" s="7">
        <f>IF($C3970="","",J3970*W3970/100)</f>
        <v/>
      </c>
      <c r="Q3970" s="7" t="n"/>
      <c r="R3970" s="7" t="n"/>
      <c r="U3970">
        <f>IF($C3970="","",IF($AJ3970=1,0,IF($AI3970=1,Settings!$C$6,Settings!$C$7))*100)</f>
        <v/>
      </c>
      <c r="V3970" s="7">
        <f>IF($C3970="","",R3970*U3970/100)</f>
        <v/>
      </c>
      <c r="W3970" s="7">
        <f>IF($C3970="","",R3970-V3970)</f>
        <v/>
      </c>
      <c r="X3970" s="7">
        <f>IF($C3970="","",W3970-K3970)</f>
        <v/>
      </c>
      <c r="AB3970" s="7" t="n"/>
      <c r="AE3970" s="11" t="n"/>
      <c r="AG3970">
        <f>IF($C3970="","",IF(COUNTIF($C$2:$C3970,$C3970)=1,1,0))</f>
        <v/>
      </c>
      <c r="AH3970">
        <f>IF($AG3970=1,SUMPRODUCT(--($AK$2:$AK$6001&lt;$AK3970))+1,"")</f>
        <v/>
      </c>
      <c r="AI3970">
        <f>IF($C3970="","",IF(OR($N3970=TRUE(),$N3970="TRUE"),1,0))</f>
        <v/>
      </c>
      <c r="AJ3970">
        <f>IF($C3970="","",IF($T3970="Yes",1,0))</f>
        <v/>
      </c>
      <c r="AK3970">
        <f>IF($AG3970=1,IFERROR(IF(VALUE($C3970)&lt;100000000,VALUE($C3970),1000000000),IFERROR(IF(VALUE(MID($C3970,2,20))&lt;100000000,VALUE(MID($C3970,2,20)),1000000000),1000000000))+ROW()/100000,"")</f>
        <v/>
      </c>
    </row>
    <row r="3971">
      <c r="D3971" s="11" t="n"/>
      <c r="K3971" s="7">
        <f>IF($C3971="","",J3971*W3971/100)</f>
        <v/>
      </c>
      <c r="Q3971" s="7" t="n"/>
      <c r="R3971" s="7" t="n"/>
      <c r="U3971">
        <f>IF($C3971="","",IF($AJ3971=1,0,IF($AI3971=1,Settings!$C$6,Settings!$C$7))*100)</f>
        <v/>
      </c>
      <c r="V3971" s="7">
        <f>IF($C3971="","",R3971*U3971/100)</f>
        <v/>
      </c>
      <c r="W3971" s="7">
        <f>IF($C3971="","",R3971-V3971)</f>
        <v/>
      </c>
      <c r="X3971" s="7">
        <f>IF($C3971="","",W3971-K3971)</f>
        <v/>
      </c>
      <c r="AB3971" s="7" t="n"/>
      <c r="AE3971" s="11" t="n"/>
      <c r="AG3971">
        <f>IF($C3971="","",IF(COUNTIF($C$2:$C3971,$C3971)=1,1,0))</f>
        <v/>
      </c>
      <c r="AH3971">
        <f>IF($AG3971=1,SUMPRODUCT(--($AK$2:$AK$6001&lt;$AK3971))+1,"")</f>
        <v/>
      </c>
      <c r="AI3971">
        <f>IF($C3971="","",IF(OR($N3971=TRUE(),$N3971="TRUE"),1,0))</f>
        <v/>
      </c>
      <c r="AJ3971">
        <f>IF($C3971="","",IF($T3971="Yes",1,0))</f>
        <v/>
      </c>
      <c r="AK3971">
        <f>IF($AG3971=1,IFERROR(IF(VALUE($C3971)&lt;100000000,VALUE($C3971),1000000000),IFERROR(IF(VALUE(MID($C3971,2,20))&lt;100000000,VALUE(MID($C3971,2,20)),1000000000),1000000000))+ROW()/100000,"")</f>
        <v/>
      </c>
    </row>
    <row r="3972">
      <c r="D3972" s="11" t="n"/>
      <c r="K3972" s="7">
        <f>IF($C3972="","",J3972*W3972/100)</f>
        <v/>
      </c>
      <c r="Q3972" s="7" t="n"/>
      <c r="R3972" s="7" t="n"/>
      <c r="U3972">
        <f>IF($C3972="","",IF($AJ3972=1,0,IF($AI3972=1,Settings!$C$6,Settings!$C$7))*100)</f>
        <v/>
      </c>
      <c r="V3972" s="7">
        <f>IF($C3972="","",R3972*U3972/100)</f>
        <v/>
      </c>
      <c r="W3972" s="7">
        <f>IF($C3972="","",R3972-V3972)</f>
        <v/>
      </c>
      <c r="X3972" s="7">
        <f>IF($C3972="","",W3972-K3972)</f>
        <v/>
      </c>
      <c r="AB3972" s="7" t="n"/>
      <c r="AE3972" s="11" t="n"/>
      <c r="AG3972">
        <f>IF($C3972="","",IF(COUNTIF($C$2:$C3972,$C3972)=1,1,0))</f>
        <v/>
      </c>
      <c r="AH3972">
        <f>IF($AG3972=1,SUMPRODUCT(--($AK$2:$AK$6001&lt;$AK3972))+1,"")</f>
        <v/>
      </c>
      <c r="AI3972">
        <f>IF($C3972="","",IF(OR($N3972=TRUE(),$N3972="TRUE"),1,0))</f>
        <v/>
      </c>
      <c r="AJ3972">
        <f>IF($C3972="","",IF($T3972="Yes",1,0))</f>
        <v/>
      </c>
      <c r="AK3972">
        <f>IF($AG3972=1,IFERROR(IF(VALUE($C3972)&lt;100000000,VALUE($C3972),1000000000),IFERROR(IF(VALUE(MID($C3972,2,20))&lt;100000000,VALUE(MID($C3972,2,20)),1000000000),1000000000))+ROW()/100000,"")</f>
        <v/>
      </c>
    </row>
    <row r="3973">
      <c r="D3973" s="11" t="n"/>
      <c r="K3973" s="7">
        <f>IF($C3973="","",J3973*W3973/100)</f>
        <v/>
      </c>
      <c r="Q3973" s="7" t="n"/>
      <c r="R3973" s="7" t="n"/>
      <c r="U3973">
        <f>IF($C3973="","",IF($AJ3973=1,0,IF($AI3973=1,Settings!$C$6,Settings!$C$7))*100)</f>
        <v/>
      </c>
      <c r="V3973" s="7">
        <f>IF($C3973="","",R3973*U3973/100)</f>
        <v/>
      </c>
      <c r="W3973" s="7">
        <f>IF($C3973="","",R3973-V3973)</f>
        <v/>
      </c>
      <c r="X3973" s="7">
        <f>IF($C3973="","",W3973-K3973)</f>
        <v/>
      </c>
      <c r="AB3973" s="7" t="n"/>
      <c r="AE3973" s="11" t="n"/>
      <c r="AG3973">
        <f>IF($C3973="","",IF(COUNTIF($C$2:$C3973,$C3973)=1,1,0))</f>
        <v/>
      </c>
      <c r="AH3973">
        <f>IF($AG3973=1,SUMPRODUCT(--($AK$2:$AK$6001&lt;$AK3973))+1,"")</f>
        <v/>
      </c>
      <c r="AI3973">
        <f>IF($C3973="","",IF(OR($N3973=TRUE(),$N3973="TRUE"),1,0))</f>
        <v/>
      </c>
      <c r="AJ3973">
        <f>IF($C3973="","",IF($T3973="Yes",1,0))</f>
        <v/>
      </c>
      <c r="AK3973">
        <f>IF($AG3973=1,IFERROR(IF(VALUE($C3973)&lt;100000000,VALUE($C3973),1000000000),IFERROR(IF(VALUE(MID($C3973,2,20))&lt;100000000,VALUE(MID($C3973,2,20)),1000000000),1000000000))+ROW()/100000,"")</f>
        <v/>
      </c>
    </row>
    <row r="3974">
      <c r="D3974" s="11" t="n"/>
      <c r="K3974" s="7">
        <f>IF($C3974="","",J3974*W3974/100)</f>
        <v/>
      </c>
      <c r="Q3974" s="7" t="n"/>
      <c r="R3974" s="7" t="n"/>
      <c r="U3974">
        <f>IF($C3974="","",IF($AJ3974=1,0,IF($AI3974=1,Settings!$C$6,Settings!$C$7))*100)</f>
        <v/>
      </c>
      <c r="V3974" s="7">
        <f>IF($C3974="","",R3974*U3974/100)</f>
        <v/>
      </c>
      <c r="W3974" s="7">
        <f>IF($C3974="","",R3974-V3974)</f>
        <v/>
      </c>
      <c r="X3974" s="7">
        <f>IF($C3974="","",W3974-K3974)</f>
        <v/>
      </c>
      <c r="AB3974" s="7" t="n"/>
      <c r="AE3974" s="11" t="n"/>
      <c r="AG3974">
        <f>IF($C3974="","",IF(COUNTIF($C$2:$C3974,$C3974)=1,1,0))</f>
        <v/>
      </c>
      <c r="AH3974">
        <f>IF($AG3974=1,SUMPRODUCT(--($AK$2:$AK$6001&lt;$AK3974))+1,"")</f>
        <v/>
      </c>
      <c r="AI3974">
        <f>IF($C3974="","",IF(OR($N3974=TRUE(),$N3974="TRUE"),1,0))</f>
        <v/>
      </c>
      <c r="AJ3974">
        <f>IF($C3974="","",IF($T3974="Yes",1,0))</f>
        <v/>
      </c>
      <c r="AK3974">
        <f>IF($AG3974=1,IFERROR(IF(VALUE($C3974)&lt;100000000,VALUE($C3974),1000000000),IFERROR(IF(VALUE(MID($C3974,2,20))&lt;100000000,VALUE(MID($C3974,2,20)),1000000000),1000000000))+ROW()/100000,"")</f>
        <v/>
      </c>
    </row>
    <row r="3975">
      <c r="D3975" s="11" t="n"/>
      <c r="K3975" s="7">
        <f>IF($C3975="","",J3975*W3975/100)</f>
        <v/>
      </c>
      <c r="Q3975" s="7" t="n"/>
      <c r="R3975" s="7" t="n"/>
      <c r="U3975">
        <f>IF($C3975="","",IF($AJ3975=1,0,IF($AI3975=1,Settings!$C$6,Settings!$C$7))*100)</f>
        <v/>
      </c>
      <c r="V3975" s="7">
        <f>IF($C3975="","",R3975*U3975/100)</f>
        <v/>
      </c>
      <c r="W3975" s="7">
        <f>IF($C3975="","",R3975-V3975)</f>
        <v/>
      </c>
      <c r="X3975" s="7">
        <f>IF($C3975="","",W3975-K3975)</f>
        <v/>
      </c>
      <c r="AB3975" s="7" t="n"/>
      <c r="AE3975" s="11" t="n"/>
      <c r="AG3975">
        <f>IF($C3975="","",IF(COUNTIF($C$2:$C3975,$C3975)=1,1,0))</f>
        <v/>
      </c>
      <c r="AH3975">
        <f>IF($AG3975=1,SUMPRODUCT(--($AK$2:$AK$6001&lt;$AK3975))+1,"")</f>
        <v/>
      </c>
      <c r="AI3975">
        <f>IF($C3975="","",IF(OR($N3975=TRUE(),$N3975="TRUE"),1,0))</f>
        <v/>
      </c>
      <c r="AJ3975">
        <f>IF($C3975="","",IF($T3975="Yes",1,0))</f>
        <v/>
      </c>
      <c r="AK3975">
        <f>IF($AG3975=1,IFERROR(IF(VALUE($C3975)&lt;100000000,VALUE($C3975),1000000000),IFERROR(IF(VALUE(MID($C3975,2,20))&lt;100000000,VALUE(MID($C3975,2,20)),1000000000),1000000000))+ROW()/100000,"")</f>
        <v/>
      </c>
    </row>
    <row r="3976">
      <c r="D3976" s="11" t="n"/>
      <c r="K3976" s="7">
        <f>IF($C3976="","",J3976*W3976/100)</f>
        <v/>
      </c>
      <c r="Q3976" s="7" t="n"/>
      <c r="R3976" s="7" t="n"/>
      <c r="U3976">
        <f>IF($C3976="","",IF($AJ3976=1,0,IF($AI3976=1,Settings!$C$6,Settings!$C$7))*100)</f>
        <v/>
      </c>
      <c r="V3976" s="7">
        <f>IF($C3976="","",R3976*U3976/100)</f>
        <v/>
      </c>
      <c r="W3976" s="7">
        <f>IF($C3976="","",R3976-V3976)</f>
        <v/>
      </c>
      <c r="X3976" s="7">
        <f>IF($C3976="","",W3976-K3976)</f>
        <v/>
      </c>
      <c r="AB3976" s="7" t="n"/>
      <c r="AE3976" s="11" t="n"/>
      <c r="AG3976">
        <f>IF($C3976="","",IF(COUNTIF($C$2:$C3976,$C3976)=1,1,0))</f>
        <v/>
      </c>
      <c r="AH3976">
        <f>IF($AG3976=1,SUMPRODUCT(--($AK$2:$AK$6001&lt;$AK3976))+1,"")</f>
        <v/>
      </c>
      <c r="AI3976">
        <f>IF($C3976="","",IF(OR($N3976=TRUE(),$N3976="TRUE"),1,0))</f>
        <v/>
      </c>
      <c r="AJ3976">
        <f>IF($C3976="","",IF($T3976="Yes",1,0))</f>
        <v/>
      </c>
      <c r="AK3976">
        <f>IF($AG3976=1,IFERROR(IF(VALUE($C3976)&lt;100000000,VALUE($C3976),1000000000),IFERROR(IF(VALUE(MID($C3976,2,20))&lt;100000000,VALUE(MID($C3976,2,20)),1000000000),1000000000))+ROW()/100000,"")</f>
        <v/>
      </c>
    </row>
    <row r="3977">
      <c r="D3977" s="11" t="n"/>
      <c r="K3977" s="7">
        <f>IF($C3977="","",J3977*W3977/100)</f>
        <v/>
      </c>
      <c r="Q3977" s="7" t="n"/>
      <c r="R3977" s="7" t="n"/>
      <c r="U3977">
        <f>IF($C3977="","",IF($AJ3977=1,0,IF($AI3977=1,Settings!$C$6,Settings!$C$7))*100)</f>
        <v/>
      </c>
      <c r="V3977" s="7">
        <f>IF($C3977="","",R3977*U3977/100)</f>
        <v/>
      </c>
      <c r="W3977" s="7">
        <f>IF($C3977="","",R3977-V3977)</f>
        <v/>
      </c>
      <c r="X3977" s="7">
        <f>IF($C3977="","",W3977-K3977)</f>
        <v/>
      </c>
      <c r="AB3977" s="7" t="n"/>
      <c r="AE3977" s="11" t="n"/>
      <c r="AG3977">
        <f>IF($C3977="","",IF(COUNTIF($C$2:$C3977,$C3977)=1,1,0))</f>
        <v/>
      </c>
      <c r="AH3977">
        <f>IF($AG3977=1,SUMPRODUCT(--($AK$2:$AK$6001&lt;$AK3977))+1,"")</f>
        <v/>
      </c>
      <c r="AI3977">
        <f>IF($C3977="","",IF(OR($N3977=TRUE(),$N3977="TRUE"),1,0))</f>
        <v/>
      </c>
      <c r="AJ3977">
        <f>IF($C3977="","",IF($T3977="Yes",1,0))</f>
        <v/>
      </c>
      <c r="AK3977">
        <f>IF($AG3977=1,IFERROR(IF(VALUE($C3977)&lt;100000000,VALUE($C3977),1000000000),IFERROR(IF(VALUE(MID($C3977,2,20))&lt;100000000,VALUE(MID($C3977,2,20)),1000000000),1000000000))+ROW()/100000,"")</f>
        <v/>
      </c>
    </row>
    <row r="3978">
      <c r="D3978" s="11" t="n"/>
      <c r="K3978" s="7">
        <f>IF($C3978="","",J3978*W3978/100)</f>
        <v/>
      </c>
      <c r="Q3978" s="7" t="n"/>
      <c r="R3978" s="7" t="n"/>
      <c r="U3978">
        <f>IF($C3978="","",IF($AJ3978=1,0,IF($AI3978=1,Settings!$C$6,Settings!$C$7))*100)</f>
        <v/>
      </c>
      <c r="V3978" s="7">
        <f>IF($C3978="","",R3978*U3978/100)</f>
        <v/>
      </c>
      <c r="W3978" s="7">
        <f>IF($C3978="","",R3978-V3978)</f>
        <v/>
      </c>
      <c r="X3978" s="7">
        <f>IF($C3978="","",W3978-K3978)</f>
        <v/>
      </c>
      <c r="AB3978" s="7" t="n"/>
      <c r="AE3978" s="11" t="n"/>
      <c r="AG3978">
        <f>IF($C3978="","",IF(COUNTIF($C$2:$C3978,$C3978)=1,1,0))</f>
        <v/>
      </c>
      <c r="AH3978">
        <f>IF($AG3978=1,SUMPRODUCT(--($AK$2:$AK$6001&lt;$AK3978))+1,"")</f>
        <v/>
      </c>
      <c r="AI3978">
        <f>IF($C3978="","",IF(OR($N3978=TRUE(),$N3978="TRUE"),1,0))</f>
        <v/>
      </c>
      <c r="AJ3978">
        <f>IF($C3978="","",IF($T3978="Yes",1,0))</f>
        <v/>
      </c>
      <c r="AK3978">
        <f>IF($AG3978=1,IFERROR(IF(VALUE($C3978)&lt;100000000,VALUE($C3978),1000000000),IFERROR(IF(VALUE(MID($C3978,2,20))&lt;100000000,VALUE(MID($C3978,2,20)),1000000000),1000000000))+ROW()/100000,"")</f>
        <v/>
      </c>
    </row>
    <row r="3979">
      <c r="D3979" s="11" t="n"/>
      <c r="K3979" s="7">
        <f>IF($C3979="","",J3979*W3979/100)</f>
        <v/>
      </c>
      <c r="Q3979" s="7" t="n"/>
      <c r="R3979" s="7" t="n"/>
      <c r="U3979">
        <f>IF($C3979="","",IF($AJ3979=1,0,IF($AI3979=1,Settings!$C$6,Settings!$C$7))*100)</f>
        <v/>
      </c>
      <c r="V3979" s="7">
        <f>IF($C3979="","",R3979*U3979/100)</f>
        <v/>
      </c>
      <c r="W3979" s="7">
        <f>IF($C3979="","",R3979-V3979)</f>
        <v/>
      </c>
      <c r="X3979" s="7">
        <f>IF($C3979="","",W3979-K3979)</f>
        <v/>
      </c>
      <c r="AB3979" s="7" t="n"/>
      <c r="AE3979" s="11" t="n"/>
      <c r="AG3979">
        <f>IF($C3979="","",IF(COUNTIF($C$2:$C3979,$C3979)=1,1,0))</f>
        <v/>
      </c>
      <c r="AH3979">
        <f>IF($AG3979=1,SUMPRODUCT(--($AK$2:$AK$6001&lt;$AK3979))+1,"")</f>
        <v/>
      </c>
      <c r="AI3979">
        <f>IF($C3979="","",IF(OR($N3979=TRUE(),$N3979="TRUE"),1,0))</f>
        <v/>
      </c>
      <c r="AJ3979">
        <f>IF($C3979="","",IF($T3979="Yes",1,0))</f>
        <v/>
      </c>
      <c r="AK3979">
        <f>IF($AG3979=1,IFERROR(IF(VALUE($C3979)&lt;100000000,VALUE($C3979),1000000000),IFERROR(IF(VALUE(MID($C3979,2,20))&lt;100000000,VALUE(MID($C3979,2,20)),1000000000),1000000000))+ROW()/100000,"")</f>
        <v/>
      </c>
    </row>
    <row r="3980">
      <c r="D3980" s="11" t="n"/>
      <c r="K3980" s="7">
        <f>IF($C3980="","",J3980*W3980/100)</f>
        <v/>
      </c>
      <c r="Q3980" s="7" t="n"/>
      <c r="R3980" s="7" t="n"/>
      <c r="U3980">
        <f>IF($C3980="","",IF($AJ3980=1,0,IF($AI3980=1,Settings!$C$6,Settings!$C$7))*100)</f>
        <v/>
      </c>
      <c r="V3980" s="7">
        <f>IF($C3980="","",R3980*U3980/100)</f>
        <v/>
      </c>
      <c r="W3980" s="7">
        <f>IF($C3980="","",R3980-V3980)</f>
        <v/>
      </c>
      <c r="X3980" s="7">
        <f>IF($C3980="","",W3980-K3980)</f>
        <v/>
      </c>
      <c r="AB3980" s="7" t="n"/>
      <c r="AE3980" s="11" t="n"/>
      <c r="AG3980">
        <f>IF($C3980="","",IF(COUNTIF($C$2:$C3980,$C3980)=1,1,0))</f>
        <v/>
      </c>
      <c r="AH3980">
        <f>IF($AG3980=1,SUMPRODUCT(--($AK$2:$AK$6001&lt;$AK3980))+1,"")</f>
        <v/>
      </c>
      <c r="AI3980">
        <f>IF($C3980="","",IF(OR($N3980=TRUE(),$N3980="TRUE"),1,0))</f>
        <v/>
      </c>
      <c r="AJ3980">
        <f>IF($C3980="","",IF($T3980="Yes",1,0))</f>
        <v/>
      </c>
      <c r="AK3980">
        <f>IF($AG3980=1,IFERROR(IF(VALUE($C3980)&lt;100000000,VALUE($C3980),1000000000),IFERROR(IF(VALUE(MID($C3980,2,20))&lt;100000000,VALUE(MID($C3980,2,20)),1000000000),1000000000))+ROW()/100000,"")</f>
        <v/>
      </c>
    </row>
    <row r="3981">
      <c r="D3981" s="11" t="n"/>
      <c r="K3981" s="7">
        <f>IF($C3981="","",J3981*W3981/100)</f>
        <v/>
      </c>
      <c r="Q3981" s="7" t="n"/>
      <c r="R3981" s="7" t="n"/>
      <c r="U3981">
        <f>IF($C3981="","",IF($AJ3981=1,0,IF($AI3981=1,Settings!$C$6,Settings!$C$7))*100)</f>
        <v/>
      </c>
      <c r="V3981" s="7">
        <f>IF($C3981="","",R3981*U3981/100)</f>
        <v/>
      </c>
      <c r="W3981" s="7">
        <f>IF($C3981="","",R3981-V3981)</f>
        <v/>
      </c>
      <c r="X3981" s="7">
        <f>IF($C3981="","",W3981-K3981)</f>
        <v/>
      </c>
      <c r="AB3981" s="7" t="n"/>
      <c r="AE3981" s="11" t="n"/>
      <c r="AG3981">
        <f>IF($C3981="","",IF(COUNTIF($C$2:$C3981,$C3981)=1,1,0))</f>
        <v/>
      </c>
      <c r="AH3981">
        <f>IF($AG3981=1,SUMPRODUCT(--($AK$2:$AK$6001&lt;$AK3981))+1,"")</f>
        <v/>
      </c>
      <c r="AI3981">
        <f>IF($C3981="","",IF(OR($N3981=TRUE(),$N3981="TRUE"),1,0))</f>
        <v/>
      </c>
      <c r="AJ3981">
        <f>IF($C3981="","",IF($T3981="Yes",1,0))</f>
        <v/>
      </c>
      <c r="AK3981">
        <f>IF($AG3981=1,IFERROR(IF(VALUE($C3981)&lt;100000000,VALUE($C3981),1000000000),IFERROR(IF(VALUE(MID($C3981,2,20))&lt;100000000,VALUE(MID($C3981,2,20)),1000000000),1000000000))+ROW()/100000,"")</f>
        <v/>
      </c>
    </row>
    <row r="3982">
      <c r="D3982" s="11" t="n"/>
      <c r="K3982" s="7">
        <f>IF($C3982="","",J3982*W3982/100)</f>
        <v/>
      </c>
      <c r="Q3982" s="7" t="n"/>
      <c r="R3982" s="7" t="n"/>
      <c r="U3982">
        <f>IF($C3982="","",IF($AJ3982=1,0,IF($AI3982=1,Settings!$C$6,Settings!$C$7))*100)</f>
        <v/>
      </c>
      <c r="V3982" s="7">
        <f>IF($C3982="","",R3982*U3982/100)</f>
        <v/>
      </c>
      <c r="W3982" s="7">
        <f>IF($C3982="","",R3982-V3982)</f>
        <v/>
      </c>
      <c r="X3982" s="7">
        <f>IF($C3982="","",W3982-K3982)</f>
        <v/>
      </c>
      <c r="AB3982" s="7" t="n"/>
      <c r="AE3982" s="11" t="n"/>
      <c r="AG3982">
        <f>IF($C3982="","",IF(COUNTIF($C$2:$C3982,$C3982)=1,1,0))</f>
        <v/>
      </c>
      <c r="AH3982">
        <f>IF($AG3982=1,SUMPRODUCT(--($AK$2:$AK$6001&lt;$AK3982))+1,"")</f>
        <v/>
      </c>
      <c r="AI3982">
        <f>IF($C3982="","",IF(OR($N3982=TRUE(),$N3982="TRUE"),1,0))</f>
        <v/>
      </c>
      <c r="AJ3982">
        <f>IF($C3982="","",IF($T3982="Yes",1,0))</f>
        <v/>
      </c>
      <c r="AK3982">
        <f>IF($AG3982=1,IFERROR(IF(VALUE($C3982)&lt;100000000,VALUE($C3982),1000000000),IFERROR(IF(VALUE(MID($C3982,2,20))&lt;100000000,VALUE(MID($C3982,2,20)),1000000000),1000000000))+ROW()/100000,"")</f>
        <v/>
      </c>
    </row>
    <row r="3983">
      <c r="D3983" s="11" t="n"/>
      <c r="K3983" s="7">
        <f>IF($C3983="","",J3983*W3983/100)</f>
        <v/>
      </c>
      <c r="Q3983" s="7" t="n"/>
      <c r="R3983" s="7" t="n"/>
      <c r="U3983">
        <f>IF($C3983="","",IF($AJ3983=1,0,IF($AI3983=1,Settings!$C$6,Settings!$C$7))*100)</f>
        <v/>
      </c>
      <c r="V3983" s="7">
        <f>IF($C3983="","",R3983*U3983/100)</f>
        <v/>
      </c>
      <c r="W3983" s="7">
        <f>IF($C3983="","",R3983-V3983)</f>
        <v/>
      </c>
      <c r="X3983" s="7">
        <f>IF($C3983="","",W3983-K3983)</f>
        <v/>
      </c>
      <c r="AB3983" s="7" t="n"/>
      <c r="AE3983" s="11" t="n"/>
      <c r="AG3983">
        <f>IF($C3983="","",IF(COUNTIF($C$2:$C3983,$C3983)=1,1,0))</f>
        <v/>
      </c>
      <c r="AH3983">
        <f>IF($AG3983=1,SUMPRODUCT(--($AK$2:$AK$6001&lt;$AK3983))+1,"")</f>
        <v/>
      </c>
      <c r="AI3983">
        <f>IF($C3983="","",IF(OR($N3983=TRUE(),$N3983="TRUE"),1,0))</f>
        <v/>
      </c>
      <c r="AJ3983">
        <f>IF($C3983="","",IF($T3983="Yes",1,0))</f>
        <v/>
      </c>
      <c r="AK3983">
        <f>IF($AG3983=1,IFERROR(IF(VALUE($C3983)&lt;100000000,VALUE($C3983),1000000000),IFERROR(IF(VALUE(MID($C3983,2,20))&lt;100000000,VALUE(MID($C3983,2,20)),1000000000),1000000000))+ROW()/100000,"")</f>
        <v/>
      </c>
    </row>
    <row r="3984">
      <c r="D3984" s="11" t="n"/>
      <c r="K3984" s="7">
        <f>IF($C3984="","",J3984*W3984/100)</f>
        <v/>
      </c>
      <c r="Q3984" s="7" t="n"/>
      <c r="R3984" s="7" t="n"/>
      <c r="U3984">
        <f>IF($C3984="","",IF($AJ3984=1,0,IF($AI3984=1,Settings!$C$6,Settings!$C$7))*100)</f>
        <v/>
      </c>
      <c r="V3984" s="7">
        <f>IF($C3984="","",R3984*U3984/100)</f>
        <v/>
      </c>
      <c r="W3984" s="7">
        <f>IF($C3984="","",R3984-V3984)</f>
        <v/>
      </c>
      <c r="X3984" s="7">
        <f>IF($C3984="","",W3984-K3984)</f>
        <v/>
      </c>
      <c r="AB3984" s="7" t="n"/>
      <c r="AE3984" s="11" t="n"/>
      <c r="AG3984">
        <f>IF($C3984="","",IF(COUNTIF($C$2:$C3984,$C3984)=1,1,0))</f>
        <v/>
      </c>
      <c r="AH3984">
        <f>IF($AG3984=1,SUMPRODUCT(--($AK$2:$AK$6001&lt;$AK3984))+1,"")</f>
        <v/>
      </c>
      <c r="AI3984">
        <f>IF($C3984="","",IF(OR($N3984=TRUE(),$N3984="TRUE"),1,0))</f>
        <v/>
      </c>
      <c r="AJ3984">
        <f>IF($C3984="","",IF($T3984="Yes",1,0))</f>
        <v/>
      </c>
      <c r="AK3984">
        <f>IF($AG3984=1,IFERROR(IF(VALUE($C3984)&lt;100000000,VALUE($C3984),1000000000),IFERROR(IF(VALUE(MID($C3984,2,20))&lt;100000000,VALUE(MID($C3984,2,20)),1000000000),1000000000))+ROW()/100000,"")</f>
        <v/>
      </c>
    </row>
    <row r="3985">
      <c r="D3985" s="11" t="n"/>
      <c r="K3985" s="7">
        <f>IF($C3985="","",J3985*W3985/100)</f>
        <v/>
      </c>
      <c r="Q3985" s="7" t="n"/>
      <c r="R3985" s="7" t="n"/>
      <c r="U3985">
        <f>IF($C3985="","",IF($AJ3985=1,0,IF($AI3985=1,Settings!$C$6,Settings!$C$7))*100)</f>
        <v/>
      </c>
      <c r="V3985" s="7">
        <f>IF($C3985="","",R3985*U3985/100)</f>
        <v/>
      </c>
      <c r="W3985" s="7">
        <f>IF($C3985="","",R3985-V3985)</f>
        <v/>
      </c>
      <c r="X3985" s="7">
        <f>IF($C3985="","",W3985-K3985)</f>
        <v/>
      </c>
      <c r="AB3985" s="7" t="n"/>
      <c r="AE3985" s="11" t="n"/>
      <c r="AG3985">
        <f>IF($C3985="","",IF(COUNTIF($C$2:$C3985,$C3985)=1,1,0))</f>
        <v/>
      </c>
      <c r="AH3985">
        <f>IF($AG3985=1,SUMPRODUCT(--($AK$2:$AK$6001&lt;$AK3985))+1,"")</f>
        <v/>
      </c>
      <c r="AI3985">
        <f>IF($C3985="","",IF(OR($N3985=TRUE(),$N3985="TRUE"),1,0))</f>
        <v/>
      </c>
      <c r="AJ3985">
        <f>IF($C3985="","",IF($T3985="Yes",1,0))</f>
        <v/>
      </c>
      <c r="AK3985">
        <f>IF($AG3985=1,IFERROR(IF(VALUE($C3985)&lt;100000000,VALUE($C3985),1000000000),IFERROR(IF(VALUE(MID($C3985,2,20))&lt;100000000,VALUE(MID($C3985,2,20)),1000000000),1000000000))+ROW()/100000,"")</f>
        <v/>
      </c>
    </row>
    <row r="3986">
      <c r="D3986" s="11" t="n"/>
      <c r="K3986" s="7">
        <f>IF($C3986="","",J3986*W3986/100)</f>
        <v/>
      </c>
      <c r="Q3986" s="7" t="n"/>
      <c r="R3986" s="7" t="n"/>
      <c r="U3986">
        <f>IF($C3986="","",IF($AJ3986=1,0,IF($AI3986=1,Settings!$C$6,Settings!$C$7))*100)</f>
        <v/>
      </c>
      <c r="V3986" s="7">
        <f>IF($C3986="","",R3986*U3986/100)</f>
        <v/>
      </c>
      <c r="W3986" s="7">
        <f>IF($C3986="","",R3986-V3986)</f>
        <v/>
      </c>
      <c r="X3986" s="7">
        <f>IF($C3986="","",W3986-K3986)</f>
        <v/>
      </c>
      <c r="AB3986" s="7" t="n"/>
      <c r="AE3986" s="11" t="n"/>
      <c r="AG3986">
        <f>IF($C3986="","",IF(COUNTIF($C$2:$C3986,$C3986)=1,1,0))</f>
        <v/>
      </c>
      <c r="AH3986">
        <f>IF($AG3986=1,SUMPRODUCT(--($AK$2:$AK$6001&lt;$AK3986))+1,"")</f>
        <v/>
      </c>
      <c r="AI3986">
        <f>IF($C3986="","",IF(OR($N3986=TRUE(),$N3986="TRUE"),1,0))</f>
        <v/>
      </c>
      <c r="AJ3986">
        <f>IF($C3986="","",IF($T3986="Yes",1,0))</f>
        <v/>
      </c>
      <c r="AK3986">
        <f>IF($AG3986=1,IFERROR(IF(VALUE($C3986)&lt;100000000,VALUE($C3986),1000000000),IFERROR(IF(VALUE(MID($C3986,2,20))&lt;100000000,VALUE(MID($C3986,2,20)),1000000000),1000000000))+ROW()/100000,"")</f>
        <v/>
      </c>
    </row>
    <row r="3987">
      <c r="D3987" s="11" t="n"/>
      <c r="K3987" s="7">
        <f>IF($C3987="","",J3987*W3987/100)</f>
        <v/>
      </c>
      <c r="Q3987" s="7" t="n"/>
      <c r="R3987" s="7" t="n"/>
      <c r="U3987">
        <f>IF($C3987="","",IF($AJ3987=1,0,IF($AI3987=1,Settings!$C$6,Settings!$C$7))*100)</f>
        <v/>
      </c>
      <c r="V3987" s="7">
        <f>IF($C3987="","",R3987*U3987/100)</f>
        <v/>
      </c>
      <c r="W3987" s="7">
        <f>IF($C3987="","",R3987-V3987)</f>
        <v/>
      </c>
      <c r="X3987" s="7">
        <f>IF($C3987="","",W3987-K3987)</f>
        <v/>
      </c>
      <c r="AB3987" s="7" t="n"/>
      <c r="AE3987" s="11" t="n"/>
      <c r="AG3987">
        <f>IF($C3987="","",IF(COUNTIF($C$2:$C3987,$C3987)=1,1,0))</f>
        <v/>
      </c>
      <c r="AH3987">
        <f>IF($AG3987=1,SUMPRODUCT(--($AK$2:$AK$6001&lt;$AK3987))+1,"")</f>
        <v/>
      </c>
      <c r="AI3987">
        <f>IF($C3987="","",IF(OR($N3987=TRUE(),$N3987="TRUE"),1,0))</f>
        <v/>
      </c>
      <c r="AJ3987">
        <f>IF($C3987="","",IF($T3987="Yes",1,0))</f>
        <v/>
      </c>
      <c r="AK3987">
        <f>IF($AG3987=1,IFERROR(IF(VALUE($C3987)&lt;100000000,VALUE($C3987),1000000000),IFERROR(IF(VALUE(MID($C3987,2,20))&lt;100000000,VALUE(MID($C3987,2,20)),1000000000),1000000000))+ROW()/100000,"")</f>
        <v/>
      </c>
    </row>
    <row r="3988">
      <c r="D3988" s="11" t="n"/>
      <c r="K3988" s="7">
        <f>IF($C3988="","",J3988*W3988/100)</f>
        <v/>
      </c>
      <c r="Q3988" s="7" t="n"/>
      <c r="R3988" s="7" t="n"/>
      <c r="U3988">
        <f>IF($C3988="","",IF($AJ3988=1,0,IF($AI3988=1,Settings!$C$6,Settings!$C$7))*100)</f>
        <v/>
      </c>
      <c r="V3988" s="7">
        <f>IF($C3988="","",R3988*U3988/100)</f>
        <v/>
      </c>
      <c r="W3988" s="7">
        <f>IF($C3988="","",R3988-V3988)</f>
        <v/>
      </c>
      <c r="X3988" s="7">
        <f>IF($C3988="","",W3988-K3988)</f>
        <v/>
      </c>
      <c r="AB3988" s="7" t="n"/>
      <c r="AE3988" s="11" t="n"/>
      <c r="AG3988">
        <f>IF($C3988="","",IF(COUNTIF($C$2:$C3988,$C3988)=1,1,0))</f>
        <v/>
      </c>
      <c r="AH3988">
        <f>IF($AG3988=1,SUMPRODUCT(--($AK$2:$AK$6001&lt;$AK3988))+1,"")</f>
        <v/>
      </c>
      <c r="AI3988">
        <f>IF($C3988="","",IF(OR($N3988=TRUE(),$N3988="TRUE"),1,0))</f>
        <v/>
      </c>
      <c r="AJ3988">
        <f>IF($C3988="","",IF($T3988="Yes",1,0))</f>
        <v/>
      </c>
      <c r="AK3988">
        <f>IF($AG3988=1,IFERROR(IF(VALUE($C3988)&lt;100000000,VALUE($C3988),1000000000),IFERROR(IF(VALUE(MID($C3988,2,20))&lt;100000000,VALUE(MID($C3988,2,20)),1000000000),1000000000))+ROW()/100000,"")</f>
        <v/>
      </c>
    </row>
    <row r="3989">
      <c r="D3989" s="11" t="n"/>
      <c r="K3989" s="7">
        <f>IF($C3989="","",J3989*W3989/100)</f>
        <v/>
      </c>
      <c r="Q3989" s="7" t="n"/>
      <c r="R3989" s="7" t="n"/>
      <c r="U3989">
        <f>IF($C3989="","",IF($AJ3989=1,0,IF($AI3989=1,Settings!$C$6,Settings!$C$7))*100)</f>
        <v/>
      </c>
      <c r="V3989" s="7">
        <f>IF($C3989="","",R3989*U3989/100)</f>
        <v/>
      </c>
      <c r="W3989" s="7">
        <f>IF($C3989="","",R3989-V3989)</f>
        <v/>
      </c>
      <c r="X3989" s="7">
        <f>IF($C3989="","",W3989-K3989)</f>
        <v/>
      </c>
      <c r="AB3989" s="7" t="n"/>
      <c r="AE3989" s="11" t="n"/>
      <c r="AG3989">
        <f>IF($C3989="","",IF(COUNTIF($C$2:$C3989,$C3989)=1,1,0))</f>
        <v/>
      </c>
      <c r="AH3989">
        <f>IF($AG3989=1,SUMPRODUCT(--($AK$2:$AK$6001&lt;$AK3989))+1,"")</f>
        <v/>
      </c>
      <c r="AI3989">
        <f>IF($C3989="","",IF(OR($N3989=TRUE(),$N3989="TRUE"),1,0))</f>
        <v/>
      </c>
      <c r="AJ3989">
        <f>IF($C3989="","",IF($T3989="Yes",1,0))</f>
        <v/>
      </c>
      <c r="AK3989">
        <f>IF($AG3989=1,IFERROR(IF(VALUE($C3989)&lt;100000000,VALUE($C3989),1000000000),IFERROR(IF(VALUE(MID($C3989,2,20))&lt;100000000,VALUE(MID($C3989,2,20)),1000000000),1000000000))+ROW()/100000,"")</f>
        <v/>
      </c>
    </row>
    <row r="3990">
      <c r="D3990" s="11" t="n"/>
      <c r="K3990" s="7">
        <f>IF($C3990="","",J3990*W3990/100)</f>
        <v/>
      </c>
      <c r="Q3990" s="7" t="n"/>
      <c r="R3990" s="7" t="n"/>
      <c r="U3990">
        <f>IF($C3990="","",IF($AJ3990=1,0,IF($AI3990=1,Settings!$C$6,Settings!$C$7))*100)</f>
        <v/>
      </c>
      <c r="V3990" s="7">
        <f>IF($C3990="","",R3990*U3990/100)</f>
        <v/>
      </c>
      <c r="W3990" s="7">
        <f>IF($C3990="","",R3990-V3990)</f>
        <v/>
      </c>
      <c r="X3990" s="7">
        <f>IF($C3990="","",W3990-K3990)</f>
        <v/>
      </c>
      <c r="AB3990" s="7" t="n"/>
      <c r="AE3990" s="11" t="n"/>
      <c r="AG3990">
        <f>IF($C3990="","",IF(COUNTIF($C$2:$C3990,$C3990)=1,1,0))</f>
        <v/>
      </c>
      <c r="AH3990">
        <f>IF($AG3990=1,SUMPRODUCT(--($AK$2:$AK$6001&lt;$AK3990))+1,"")</f>
        <v/>
      </c>
      <c r="AI3990">
        <f>IF($C3990="","",IF(OR($N3990=TRUE(),$N3990="TRUE"),1,0))</f>
        <v/>
      </c>
      <c r="AJ3990">
        <f>IF($C3990="","",IF($T3990="Yes",1,0))</f>
        <v/>
      </c>
      <c r="AK3990">
        <f>IF($AG3990=1,IFERROR(IF(VALUE($C3990)&lt;100000000,VALUE($C3990),1000000000),IFERROR(IF(VALUE(MID($C3990,2,20))&lt;100000000,VALUE(MID($C3990,2,20)),1000000000),1000000000))+ROW()/100000,"")</f>
        <v/>
      </c>
    </row>
    <row r="3991">
      <c r="D3991" s="11" t="n"/>
      <c r="K3991" s="7">
        <f>IF($C3991="","",J3991*W3991/100)</f>
        <v/>
      </c>
      <c r="Q3991" s="7" t="n"/>
      <c r="R3991" s="7" t="n"/>
      <c r="U3991">
        <f>IF($C3991="","",IF($AJ3991=1,0,IF($AI3991=1,Settings!$C$6,Settings!$C$7))*100)</f>
        <v/>
      </c>
      <c r="V3991" s="7">
        <f>IF($C3991="","",R3991*U3991/100)</f>
        <v/>
      </c>
      <c r="W3991" s="7">
        <f>IF($C3991="","",R3991-V3991)</f>
        <v/>
      </c>
      <c r="X3991" s="7">
        <f>IF($C3991="","",W3991-K3991)</f>
        <v/>
      </c>
      <c r="AB3991" s="7" t="n"/>
      <c r="AE3991" s="11" t="n"/>
      <c r="AG3991">
        <f>IF($C3991="","",IF(COUNTIF($C$2:$C3991,$C3991)=1,1,0))</f>
        <v/>
      </c>
      <c r="AH3991">
        <f>IF($AG3991=1,SUMPRODUCT(--($AK$2:$AK$6001&lt;$AK3991))+1,"")</f>
        <v/>
      </c>
      <c r="AI3991">
        <f>IF($C3991="","",IF(OR($N3991=TRUE(),$N3991="TRUE"),1,0))</f>
        <v/>
      </c>
      <c r="AJ3991">
        <f>IF($C3991="","",IF($T3991="Yes",1,0))</f>
        <v/>
      </c>
      <c r="AK3991">
        <f>IF($AG3991=1,IFERROR(IF(VALUE($C3991)&lt;100000000,VALUE($C3991),1000000000),IFERROR(IF(VALUE(MID($C3991,2,20))&lt;100000000,VALUE(MID($C3991,2,20)),1000000000),1000000000))+ROW()/100000,"")</f>
        <v/>
      </c>
    </row>
    <row r="3992">
      <c r="D3992" s="11" t="n"/>
      <c r="K3992" s="7">
        <f>IF($C3992="","",J3992*W3992/100)</f>
        <v/>
      </c>
      <c r="Q3992" s="7" t="n"/>
      <c r="R3992" s="7" t="n"/>
      <c r="U3992">
        <f>IF($C3992="","",IF($AJ3992=1,0,IF($AI3992=1,Settings!$C$6,Settings!$C$7))*100)</f>
        <v/>
      </c>
      <c r="V3992" s="7">
        <f>IF($C3992="","",R3992*U3992/100)</f>
        <v/>
      </c>
      <c r="W3992" s="7">
        <f>IF($C3992="","",R3992-V3992)</f>
        <v/>
      </c>
      <c r="X3992" s="7">
        <f>IF($C3992="","",W3992-K3992)</f>
        <v/>
      </c>
      <c r="AB3992" s="7" t="n"/>
      <c r="AE3992" s="11" t="n"/>
      <c r="AG3992">
        <f>IF($C3992="","",IF(COUNTIF($C$2:$C3992,$C3992)=1,1,0))</f>
        <v/>
      </c>
      <c r="AH3992">
        <f>IF($AG3992=1,SUMPRODUCT(--($AK$2:$AK$6001&lt;$AK3992))+1,"")</f>
        <v/>
      </c>
      <c r="AI3992">
        <f>IF($C3992="","",IF(OR($N3992=TRUE(),$N3992="TRUE"),1,0))</f>
        <v/>
      </c>
      <c r="AJ3992">
        <f>IF($C3992="","",IF($T3992="Yes",1,0))</f>
        <v/>
      </c>
      <c r="AK3992">
        <f>IF($AG3992=1,IFERROR(IF(VALUE($C3992)&lt;100000000,VALUE($C3992),1000000000),IFERROR(IF(VALUE(MID($C3992,2,20))&lt;100000000,VALUE(MID($C3992,2,20)),1000000000),1000000000))+ROW()/100000,"")</f>
        <v/>
      </c>
    </row>
    <row r="3993">
      <c r="D3993" s="11" t="n"/>
      <c r="K3993" s="7">
        <f>IF($C3993="","",J3993*W3993/100)</f>
        <v/>
      </c>
      <c r="Q3993" s="7" t="n"/>
      <c r="R3993" s="7" t="n"/>
      <c r="U3993">
        <f>IF($C3993="","",IF($AJ3993=1,0,IF($AI3993=1,Settings!$C$6,Settings!$C$7))*100)</f>
        <v/>
      </c>
      <c r="V3993" s="7">
        <f>IF($C3993="","",R3993*U3993/100)</f>
        <v/>
      </c>
      <c r="W3993" s="7">
        <f>IF($C3993="","",R3993-V3993)</f>
        <v/>
      </c>
      <c r="X3993" s="7">
        <f>IF($C3993="","",W3993-K3993)</f>
        <v/>
      </c>
      <c r="AB3993" s="7" t="n"/>
      <c r="AE3993" s="11" t="n"/>
      <c r="AG3993">
        <f>IF($C3993="","",IF(COUNTIF($C$2:$C3993,$C3993)=1,1,0))</f>
        <v/>
      </c>
      <c r="AH3993">
        <f>IF($AG3993=1,SUMPRODUCT(--($AK$2:$AK$6001&lt;$AK3993))+1,"")</f>
        <v/>
      </c>
      <c r="AI3993">
        <f>IF($C3993="","",IF(OR($N3993=TRUE(),$N3993="TRUE"),1,0))</f>
        <v/>
      </c>
      <c r="AJ3993">
        <f>IF($C3993="","",IF($T3993="Yes",1,0))</f>
        <v/>
      </c>
      <c r="AK3993">
        <f>IF($AG3993=1,IFERROR(IF(VALUE($C3993)&lt;100000000,VALUE($C3993),1000000000),IFERROR(IF(VALUE(MID($C3993,2,20))&lt;100000000,VALUE(MID($C3993,2,20)),1000000000),1000000000))+ROW()/100000,"")</f>
        <v/>
      </c>
    </row>
    <row r="3994">
      <c r="D3994" s="11" t="n"/>
      <c r="K3994" s="7">
        <f>IF($C3994="","",J3994*W3994/100)</f>
        <v/>
      </c>
      <c r="Q3994" s="7" t="n"/>
      <c r="R3994" s="7" t="n"/>
      <c r="U3994">
        <f>IF($C3994="","",IF($AJ3994=1,0,IF($AI3994=1,Settings!$C$6,Settings!$C$7))*100)</f>
        <v/>
      </c>
      <c r="V3994" s="7">
        <f>IF($C3994="","",R3994*U3994/100)</f>
        <v/>
      </c>
      <c r="W3994" s="7">
        <f>IF($C3994="","",R3994-V3994)</f>
        <v/>
      </c>
      <c r="X3994" s="7">
        <f>IF($C3994="","",W3994-K3994)</f>
        <v/>
      </c>
      <c r="AB3994" s="7" t="n"/>
      <c r="AE3994" s="11" t="n"/>
      <c r="AG3994">
        <f>IF($C3994="","",IF(COUNTIF($C$2:$C3994,$C3994)=1,1,0))</f>
        <v/>
      </c>
      <c r="AH3994">
        <f>IF($AG3994=1,SUMPRODUCT(--($AK$2:$AK$6001&lt;$AK3994))+1,"")</f>
        <v/>
      </c>
      <c r="AI3994">
        <f>IF($C3994="","",IF(OR($N3994=TRUE(),$N3994="TRUE"),1,0))</f>
        <v/>
      </c>
      <c r="AJ3994">
        <f>IF($C3994="","",IF($T3994="Yes",1,0))</f>
        <v/>
      </c>
      <c r="AK3994">
        <f>IF($AG3994=1,IFERROR(IF(VALUE($C3994)&lt;100000000,VALUE($C3994),1000000000),IFERROR(IF(VALUE(MID($C3994,2,20))&lt;100000000,VALUE(MID($C3994,2,20)),1000000000),1000000000))+ROW()/100000,"")</f>
        <v/>
      </c>
    </row>
    <row r="3995">
      <c r="D3995" s="11" t="n"/>
      <c r="K3995" s="7">
        <f>IF($C3995="","",J3995*W3995/100)</f>
        <v/>
      </c>
      <c r="Q3995" s="7" t="n"/>
      <c r="R3995" s="7" t="n"/>
      <c r="U3995">
        <f>IF($C3995="","",IF($AJ3995=1,0,IF($AI3995=1,Settings!$C$6,Settings!$C$7))*100)</f>
        <v/>
      </c>
      <c r="V3995" s="7">
        <f>IF($C3995="","",R3995*U3995/100)</f>
        <v/>
      </c>
      <c r="W3995" s="7">
        <f>IF($C3995="","",R3995-V3995)</f>
        <v/>
      </c>
      <c r="X3995" s="7">
        <f>IF($C3995="","",W3995-K3995)</f>
        <v/>
      </c>
      <c r="AB3995" s="7" t="n"/>
      <c r="AE3995" s="11" t="n"/>
      <c r="AG3995">
        <f>IF($C3995="","",IF(COUNTIF($C$2:$C3995,$C3995)=1,1,0))</f>
        <v/>
      </c>
      <c r="AH3995">
        <f>IF($AG3995=1,SUMPRODUCT(--($AK$2:$AK$6001&lt;$AK3995))+1,"")</f>
        <v/>
      </c>
      <c r="AI3995">
        <f>IF($C3995="","",IF(OR($N3995=TRUE(),$N3995="TRUE"),1,0))</f>
        <v/>
      </c>
      <c r="AJ3995">
        <f>IF($C3995="","",IF($T3995="Yes",1,0))</f>
        <v/>
      </c>
      <c r="AK3995">
        <f>IF($AG3995=1,IFERROR(IF(VALUE($C3995)&lt;100000000,VALUE($C3995),1000000000),IFERROR(IF(VALUE(MID($C3995,2,20))&lt;100000000,VALUE(MID($C3995,2,20)),1000000000),1000000000))+ROW()/100000,"")</f>
        <v/>
      </c>
    </row>
    <row r="3996">
      <c r="D3996" s="11" t="n"/>
      <c r="K3996" s="7">
        <f>IF($C3996="","",J3996*W3996/100)</f>
        <v/>
      </c>
      <c r="Q3996" s="7" t="n"/>
      <c r="R3996" s="7" t="n"/>
      <c r="U3996">
        <f>IF($C3996="","",IF($AJ3996=1,0,IF($AI3996=1,Settings!$C$6,Settings!$C$7))*100)</f>
        <v/>
      </c>
      <c r="V3996" s="7">
        <f>IF($C3996="","",R3996*U3996/100)</f>
        <v/>
      </c>
      <c r="W3996" s="7">
        <f>IF($C3996="","",R3996-V3996)</f>
        <v/>
      </c>
      <c r="X3996" s="7">
        <f>IF($C3996="","",W3996-K3996)</f>
        <v/>
      </c>
      <c r="AB3996" s="7" t="n"/>
      <c r="AE3996" s="11" t="n"/>
      <c r="AG3996">
        <f>IF($C3996="","",IF(COUNTIF($C$2:$C3996,$C3996)=1,1,0))</f>
        <v/>
      </c>
      <c r="AH3996">
        <f>IF($AG3996=1,SUMPRODUCT(--($AK$2:$AK$6001&lt;$AK3996))+1,"")</f>
        <v/>
      </c>
      <c r="AI3996">
        <f>IF($C3996="","",IF(OR($N3996=TRUE(),$N3996="TRUE"),1,0))</f>
        <v/>
      </c>
      <c r="AJ3996">
        <f>IF($C3996="","",IF($T3996="Yes",1,0))</f>
        <v/>
      </c>
      <c r="AK3996">
        <f>IF($AG3996=1,IFERROR(IF(VALUE($C3996)&lt;100000000,VALUE($C3996),1000000000),IFERROR(IF(VALUE(MID($C3996,2,20))&lt;100000000,VALUE(MID($C3996,2,20)),1000000000),1000000000))+ROW()/100000,"")</f>
        <v/>
      </c>
    </row>
    <row r="3997">
      <c r="D3997" s="11" t="n"/>
      <c r="K3997" s="7">
        <f>IF($C3997="","",J3997*W3997/100)</f>
        <v/>
      </c>
      <c r="Q3997" s="7" t="n"/>
      <c r="R3997" s="7" t="n"/>
      <c r="U3997">
        <f>IF($C3997="","",IF($AJ3997=1,0,IF($AI3997=1,Settings!$C$6,Settings!$C$7))*100)</f>
        <v/>
      </c>
      <c r="V3997" s="7">
        <f>IF($C3997="","",R3997*U3997/100)</f>
        <v/>
      </c>
      <c r="W3997" s="7">
        <f>IF($C3997="","",R3997-V3997)</f>
        <v/>
      </c>
      <c r="X3997" s="7">
        <f>IF($C3997="","",W3997-K3997)</f>
        <v/>
      </c>
      <c r="AB3997" s="7" t="n"/>
      <c r="AE3997" s="11" t="n"/>
      <c r="AG3997">
        <f>IF($C3997="","",IF(COUNTIF($C$2:$C3997,$C3997)=1,1,0))</f>
        <v/>
      </c>
      <c r="AH3997">
        <f>IF($AG3997=1,SUMPRODUCT(--($AK$2:$AK$6001&lt;$AK3997))+1,"")</f>
        <v/>
      </c>
      <c r="AI3997">
        <f>IF($C3997="","",IF(OR($N3997=TRUE(),$N3997="TRUE"),1,0))</f>
        <v/>
      </c>
      <c r="AJ3997">
        <f>IF($C3997="","",IF($T3997="Yes",1,0))</f>
        <v/>
      </c>
      <c r="AK3997">
        <f>IF($AG3997=1,IFERROR(IF(VALUE($C3997)&lt;100000000,VALUE($C3997),1000000000),IFERROR(IF(VALUE(MID($C3997,2,20))&lt;100000000,VALUE(MID($C3997,2,20)),1000000000),1000000000))+ROW()/100000,"")</f>
        <v/>
      </c>
    </row>
    <row r="3998">
      <c r="D3998" s="11" t="n"/>
      <c r="K3998" s="7">
        <f>IF($C3998="","",J3998*W3998/100)</f>
        <v/>
      </c>
      <c r="Q3998" s="7" t="n"/>
      <c r="R3998" s="7" t="n"/>
      <c r="U3998">
        <f>IF($C3998="","",IF($AJ3998=1,0,IF($AI3998=1,Settings!$C$6,Settings!$C$7))*100)</f>
        <v/>
      </c>
      <c r="V3998" s="7">
        <f>IF($C3998="","",R3998*U3998/100)</f>
        <v/>
      </c>
      <c r="W3998" s="7">
        <f>IF($C3998="","",R3998-V3998)</f>
        <v/>
      </c>
      <c r="X3998" s="7">
        <f>IF($C3998="","",W3998-K3998)</f>
        <v/>
      </c>
      <c r="AB3998" s="7" t="n"/>
      <c r="AE3998" s="11" t="n"/>
      <c r="AG3998">
        <f>IF($C3998="","",IF(COUNTIF($C$2:$C3998,$C3998)=1,1,0))</f>
        <v/>
      </c>
      <c r="AH3998">
        <f>IF($AG3998=1,SUMPRODUCT(--($AK$2:$AK$6001&lt;$AK3998))+1,"")</f>
        <v/>
      </c>
      <c r="AI3998">
        <f>IF($C3998="","",IF(OR($N3998=TRUE(),$N3998="TRUE"),1,0))</f>
        <v/>
      </c>
      <c r="AJ3998">
        <f>IF($C3998="","",IF($T3998="Yes",1,0))</f>
        <v/>
      </c>
      <c r="AK3998">
        <f>IF($AG3998=1,IFERROR(IF(VALUE($C3998)&lt;100000000,VALUE($C3998),1000000000),IFERROR(IF(VALUE(MID($C3998,2,20))&lt;100000000,VALUE(MID($C3998,2,20)),1000000000),1000000000))+ROW()/100000,"")</f>
        <v/>
      </c>
    </row>
    <row r="3999">
      <c r="D3999" s="11" t="n"/>
      <c r="K3999" s="7">
        <f>IF($C3999="","",J3999*W3999/100)</f>
        <v/>
      </c>
      <c r="Q3999" s="7" t="n"/>
      <c r="R3999" s="7" t="n"/>
      <c r="U3999">
        <f>IF($C3999="","",IF($AJ3999=1,0,IF($AI3999=1,Settings!$C$6,Settings!$C$7))*100)</f>
        <v/>
      </c>
      <c r="V3999" s="7">
        <f>IF($C3999="","",R3999*U3999/100)</f>
        <v/>
      </c>
      <c r="W3999" s="7">
        <f>IF($C3999="","",R3999-V3999)</f>
        <v/>
      </c>
      <c r="X3999" s="7">
        <f>IF($C3999="","",W3999-K3999)</f>
        <v/>
      </c>
      <c r="AB3999" s="7" t="n"/>
      <c r="AE3999" s="11" t="n"/>
      <c r="AG3999">
        <f>IF($C3999="","",IF(COUNTIF($C$2:$C3999,$C3999)=1,1,0))</f>
        <v/>
      </c>
      <c r="AH3999">
        <f>IF($AG3999=1,SUMPRODUCT(--($AK$2:$AK$6001&lt;$AK3999))+1,"")</f>
        <v/>
      </c>
      <c r="AI3999">
        <f>IF($C3999="","",IF(OR($N3999=TRUE(),$N3999="TRUE"),1,0))</f>
        <v/>
      </c>
      <c r="AJ3999">
        <f>IF($C3999="","",IF($T3999="Yes",1,0))</f>
        <v/>
      </c>
      <c r="AK3999">
        <f>IF($AG3999=1,IFERROR(IF(VALUE($C3999)&lt;100000000,VALUE($C3999),1000000000),IFERROR(IF(VALUE(MID($C3999,2,20))&lt;100000000,VALUE(MID($C3999,2,20)),1000000000),1000000000))+ROW()/100000,"")</f>
        <v/>
      </c>
    </row>
    <row r="4000">
      <c r="D4000" s="11" t="n"/>
      <c r="K4000" s="7">
        <f>IF($C4000="","",J4000*W4000/100)</f>
        <v/>
      </c>
      <c r="Q4000" s="7" t="n"/>
      <c r="R4000" s="7" t="n"/>
      <c r="U4000">
        <f>IF($C4000="","",IF($AJ4000=1,0,IF($AI4000=1,Settings!$C$6,Settings!$C$7))*100)</f>
        <v/>
      </c>
      <c r="V4000" s="7">
        <f>IF($C4000="","",R4000*U4000/100)</f>
        <v/>
      </c>
      <c r="W4000" s="7">
        <f>IF($C4000="","",R4000-V4000)</f>
        <v/>
      </c>
      <c r="X4000" s="7">
        <f>IF($C4000="","",W4000-K4000)</f>
        <v/>
      </c>
      <c r="AB4000" s="7" t="n"/>
      <c r="AE4000" s="11" t="n"/>
      <c r="AG4000">
        <f>IF($C4000="","",IF(COUNTIF($C$2:$C4000,$C4000)=1,1,0))</f>
        <v/>
      </c>
      <c r="AH4000">
        <f>IF($AG4000=1,SUMPRODUCT(--($AK$2:$AK$6001&lt;$AK4000))+1,"")</f>
        <v/>
      </c>
      <c r="AI4000">
        <f>IF($C4000="","",IF(OR($N4000=TRUE(),$N4000="TRUE"),1,0))</f>
        <v/>
      </c>
      <c r="AJ4000">
        <f>IF($C4000="","",IF($T4000="Yes",1,0))</f>
        <v/>
      </c>
      <c r="AK4000">
        <f>IF($AG4000=1,IFERROR(IF(VALUE($C4000)&lt;100000000,VALUE($C4000),1000000000),IFERROR(IF(VALUE(MID($C4000,2,20))&lt;100000000,VALUE(MID($C4000,2,20)),1000000000),1000000000))+ROW()/100000,"")</f>
        <v/>
      </c>
    </row>
    <row r="4001">
      <c r="D4001" s="11" t="n"/>
      <c r="K4001" s="7">
        <f>IF($C4001="","",J4001*W4001/100)</f>
        <v/>
      </c>
      <c r="Q4001" s="7" t="n"/>
      <c r="R4001" s="7" t="n"/>
      <c r="U4001">
        <f>IF($C4001="","",IF($AJ4001=1,0,IF($AI4001=1,Settings!$C$6,Settings!$C$7))*100)</f>
        <v/>
      </c>
      <c r="V4001" s="7">
        <f>IF($C4001="","",R4001*U4001/100)</f>
        <v/>
      </c>
      <c r="W4001" s="7">
        <f>IF($C4001="","",R4001-V4001)</f>
        <v/>
      </c>
      <c r="X4001" s="7">
        <f>IF($C4001="","",W4001-K4001)</f>
        <v/>
      </c>
      <c r="AB4001" s="7" t="n"/>
      <c r="AE4001" s="11" t="n"/>
      <c r="AG4001">
        <f>IF($C4001="","",IF(COUNTIF($C$2:$C4001,$C4001)=1,1,0))</f>
        <v/>
      </c>
      <c r="AH4001">
        <f>IF($AG4001=1,SUMPRODUCT(--($AK$2:$AK$6001&lt;$AK4001))+1,"")</f>
        <v/>
      </c>
      <c r="AI4001">
        <f>IF($C4001="","",IF(OR($N4001=TRUE(),$N4001="TRUE"),1,0))</f>
        <v/>
      </c>
      <c r="AJ4001">
        <f>IF($C4001="","",IF($T4001="Yes",1,0))</f>
        <v/>
      </c>
      <c r="AK4001">
        <f>IF($AG4001=1,IFERROR(IF(VALUE($C4001)&lt;100000000,VALUE($C4001),1000000000),IFERROR(IF(VALUE(MID($C4001,2,20))&lt;100000000,VALUE(MID($C4001,2,20)),1000000000),1000000000))+ROW()/100000,"")</f>
        <v/>
      </c>
    </row>
    <row r="4002">
      <c r="D4002" s="11" t="n"/>
      <c r="K4002" s="7">
        <f>IF($C4002="","",J4002*W4002/100)</f>
        <v/>
      </c>
      <c r="Q4002" s="7" t="n"/>
      <c r="R4002" s="7" t="n"/>
      <c r="U4002">
        <f>IF($C4002="","",IF($AJ4002=1,0,IF($AI4002=1,Settings!$C$6,Settings!$C$7))*100)</f>
        <v/>
      </c>
      <c r="V4002" s="7">
        <f>IF($C4002="","",R4002*U4002/100)</f>
        <v/>
      </c>
      <c r="W4002" s="7">
        <f>IF($C4002="","",R4002-V4002)</f>
        <v/>
      </c>
      <c r="X4002" s="7">
        <f>IF($C4002="","",W4002-K4002)</f>
        <v/>
      </c>
      <c r="AB4002" s="7" t="n"/>
      <c r="AE4002" s="11" t="n"/>
      <c r="AG4002">
        <f>IF($C4002="","",IF(COUNTIF($C$2:$C4002,$C4002)=1,1,0))</f>
        <v/>
      </c>
      <c r="AH4002">
        <f>IF($AG4002=1,SUMPRODUCT(--($AK$2:$AK$6001&lt;$AK4002))+1,"")</f>
        <v/>
      </c>
      <c r="AI4002">
        <f>IF($C4002="","",IF(OR($N4002=TRUE(),$N4002="TRUE"),1,0))</f>
        <v/>
      </c>
      <c r="AJ4002">
        <f>IF($C4002="","",IF($T4002="Yes",1,0))</f>
        <v/>
      </c>
      <c r="AK4002">
        <f>IF($AG4002=1,IFERROR(IF(VALUE($C4002)&lt;100000000,VALUE($C4002),1000000000),IFERROR(IF(VALUE(MID($C4002,2,20))&lt;100000000,VALUE(MID($C4002,2,20)),1000000000),1000000000))+ROW()/100000,"")</f>
        <v/>
      </c>
    </row>
    <row r="4003">
      <c r="D4003" s="11" t="n"/>
      <c r="K4003" s="7">
        <f>IF($C4003="","",J4003*W4003/100)</f>
        <v/>
      </c>
      <c r="Q4003" s="7" t="n"/>
      <c r="R4003" s="7" t="n"/>
      <c r="U4003">
        <f>IF($C4003="","",IF($AJ4003=1,0,IF($AI4003=1,Settings!$C$6,Settings!$C$7))*100)</f>
        <v/>
      </c>
      <c r="V4003" s="7">
        <f>IF($C4003="","",R4003*U4003/100)</f>
        <v/>
      </c>
      <c r="W4003" s="7">
        <f>IF($C4003="","",R4003-V4003)</f>
        <v/>
      </c>
      <c r="X4003" s="7">
        <f>IF($C4003="","",W4003-K4003)</f>
        <v/>
      </c>
      <c r="AB4003" s="7" t="n"/>
      <c r="AE4003" s="11" t="n"/>
      <c r="AG4003">
        <f>IF($C4003="","",IF(COUNTIF($C$2:$C4003,$C4003)=1,1,0))</f>
        <v/>
      </c>
      <c r="AH4003">
        <f>IF($AG4003=1,SUMPRODUCT(--($AK$2:$AK$6001&lt;$AK4003))+1,"")</f>
        <v/>
      </c>
      <c r="AI4003">
        <f>IF($C4003="","",IF(OR($N4003=TRUE(),$N4003="TRUE"),1,0))</f>
        <v/>
      </c>
      <c r="AJ4003">
        <f>IF($C4003="","",IF($T4003="Yes",1,0))</f>
        <v/>
      </c>
      <c r="AK4003">
        <f>IF($AG4003=1,IFERROR(IF(VALUE($C4003)&lt;100000000,VALUE($C4003),1000000000),IFERROR(IF(VALUE(MID($C4003,2,20))&lt;100000000,VALUE(MID($C4003,2,20)),1000000000),1000000000))+ROW()/100000,"")</f>
        <v/>
      </c>
    </row>
    <row r="4004">
      <c r="D4004" s="11" t="n"/>
      <c r="K4004" s="7">
        <f>IF($C4004="","",J4004*W4004/100)</f>
        <v/>
      </c>
      <c r="Q4004" s="7" t="n"/>
      <c r="R4004" s="7" t="n"/>
      <c r="U4004">
        <f>IF($C4004="","",IF($AJ4004=1,0,IF($AI4004=1,Settings!$C$6,Settings!$C$7))*100)</f>
        <v/>
      </c>
      <c r="V4004" s="7">
        <f>IF($C4004="","",R4004*U4004/100)</f>
        <v/>
      </c>
      <c r="W4004" s="7">
        <f>IF($C4004="","",R4004-V4004)</f>
        <v/>
      </c>
      <c r="X4004" s="7">
        <f>IF($C4004="","",W4004-K4004)</f>
        <v/>
      </c>
      <c r="AB4004" s="7" t="n"/>
      <c r="AE4004" s="11" t="n"/>
      <c r="AG4004">
        <f>IF($C4004="","",IF(COUNTIF($C$2:$C4004,$C4004)=1,1,0))</f>
        <v/>
      </c>
      <c r="AH4004">
        <f>IF($AG4004=1,SUMPRODUCT(--($AK$2:$AK$6001&lt;$AK4004))+1,"")</f>
        <v/>
      </c>
      <c r="AI4004">
        <f>IF($C4004="","",IF(OR($N4004=TRUE(),$N4004="TRUE"),1,0))</f>
        <v/>
      </c>
      <c r="AJ4004">
        <f>IF($C4004="","",IF($T4004="Yes",1,0))</f>
        <v/>
      </c>
      <c r="AK4004">
        <f>IF($AG4004=1,IFERROR(IF(VALUE($C4004)&lt;100000000,VALUE($C4004),1000000000),IFERROR(IF(VALUE(MID($C4004,2,20))&lt;100000000,VALUE(MID($C4004,2,20)),1000000000),1000000000))+ROW()/100000,"")</f>
        <v/>
      </c>
    </row>
    <row r="4005">
      <c r="D4005" s="11" t="n"/>
      <c r="K4005" s="7">
        <f>IF($C4005="","",J4005*W4005/100)</f>
        <v/>
      </c>
      <c r="Q4005" s="7" t="n"/>
      <c r="R4005" s="7" t="n"/>
      <c r="U4005">
        <f>IF($C4005="","",IF($AJ4005=1,0,IF($AI4005=1,Settings!$C$6,Settings!$C$7))*100)</f>
        <v/>
      </c>
      <c r="V4005" s="7">
        <f>IF($C4005="","",R4005*U4005/100)</f>
        <v/>
      </c>
      <c r="W4005" s="7">
        <f>IF($C4005="","",R4005-V4005)</f>
        <v/>
      </c>
      <c r="X4005" s="7">
        <f>IF($C4005="","",W4005-K4005)</f>
        <v/>
      </c>
      <c r="AB4005" s="7" t="n"/>
      <c r="AE4005" s="11" t="n"/>
      <c r="AG4005">
        <f>IF($C4005="","",IF(COUNTIF($C$2:$C4005,$C4005)=1,1,0))</f>
        <v/>
      </c>
      <c r="AH4005">
        <f>IF($AG4005=1,SUMPRODUCT(--($AK$2:$AK$6001&lt;$AK4005))+1,"")</f>
        <v/>
      </c>
      <c r="AI4005">
        <f>IF($C4005="","",IF(OR($N4005=TRUE(),$N4005="TRUE"),1,0))</f>
        <v/>
      </c>
      <c r="AJ4005">
        <f>IF($C4005="","",IF($T4005="Yes",1,0))</f>
        <v/>
      </c>
      <c r="AK4005">
        <f>IF($AG4005=1,IFERROR(IF(VALUE($C4005)&lt;100000000,VALUE($C4005),1000000000),IFERROR(IF(VALUE(MID($C4005,2,20))&lt;100000000,VALUE(MID($C4005,2,20)),1000000000),1000000000))+ROW()/100000,"")</f>
        <v/>
      </c>
    </row>
    <row r="4006">
      <c r="D4006" s="11" t="n"/>
      <c r="K4006" s="7">
        <f>IF($C4006="","",J4006*W4006/100)</f>
        <v/>
      </c>
      <c r="Q4006" s="7" t="n"/>
      <c r="R4006" s="7" t="n"/>
      <c r="U4006">
        <f>IF($C4006="","",IF($AJ4006=1,0,IF($AI4006=1,Settings!$C$6,Settings!$C$7))*100)</f>
        <v/>
      </c>
      <c r="V4006" s="7">
        <f>IF($C4006="","",R4006*U4006/100)</f>
        <v/>
      </c>
      <c r="W4006" s="7">
        <f>IF($C4006="","",R4006-V4006)</f>
        <v/>
      </c>
      <c r="X4006" s="7">
        <f>IF($C4006="","",W4006-K4006)</f>
        <v/>
      </c>
      <c r="AB4006" s="7" t="n"/>
      <c r="AE4006" s="11" t="n"/>
      <c r="AG4006">
        <f>IF($C4006="","",IF(COUNTIF($C$2:$C4006,$C4006)=1,1,0))</f>
        <v/>
      </c>
      <c r="AH4006">
        <f>IF($AG4006=1,SUMPRODUCT(--($AK$2:$AK$6001&lt;$AK4006))+1,"")</f>
        <v/>
      </c>
      <c r="AI4006">
        <f>IF($C4006="","",IF(OR($N4006=TRUE(),$N4006="TRUE"),1,0))</f>
        <v/>
      </c>
      <c r="AJ4006">
        <f>IF($C4006="","",IF($T4006="Yes",1,0))</f>
        <v/>
      </c>
      <c r="AK4006">
        <f>IF($AG4006=1,IFERROR(IF(VALUE($C4006)&lt;100000000,VALUE($C4006),1000000000),IFERROR(IF(VALUE(MID($C4006,2,20))&lt;100000000,VALUE(MID($C4006,2,20)),1000000000),1000000000))+ROW()/100000,"")</f>
        <v/>
      </c>
    </row>
    <row r="4007">
      <c r="D4007" s="11" t="n"/>
      <c r="K4007" s="7">
        <f>IF($C4007="","",J4007*W4007/100)</f>
        <v/>
      </c>
      <c r="Q4007" s="7" t="n"/>
      <c r="R4007" s="7" t="n"/>
      <c r="U4007">
        <f>IF($C4007="","",IF($AJ4007=1,0,IF($AI4007=1,Settings!$C$6,Settings!$C$7))*100)</f>
        <v/>
      </c>
      <c r="V4007" s="7">
        <f>IF($C4007="","",R4007*U4007/100)</f>
        <v/>
      </c>
      <c r="W4007" s="7">
        <f>IF($C4007="","",R4007-V4007)</f>
        <v/>
      </c>
      <c r="X4007" s="7">
        <f>IF($C4007="","",W4007-K4007)</f>
        <v/>
      </c>
      <c r="AB4007" s="7" t="n"/>
      <c r="AE4007" s="11" t="n"/>
      <c r="AG4007">
        <f>IF($C4007="","",IF(COUNTIF($C$2:$C4007,$C4007)=1,1,0))</f>
        <v/>
      </c>
      <c r="AH4007">
        <f>IF($AG4007=1,SUMPRODUCT(--($AK$2:$AK$6001&lt;$AK4007))+1,"")</f>
        <v/>
      </c>
      <c r="AI4007">
        <f>IF($C4007="","",IF(OR($N4007=TRUE(),$N4007="TRUE"),1,0))</f>
        <v/>
      </c>
      <c r="AJ4007">
        <f>IF($C4007="","",IF($T4007="Yes",1,0))</f>
        <v/>
      </c>
      <c r="AK4007">
        <f>IF($AG4007=1,IFERROR(IF(VALUE($C4007)&lt;100000000,VALUE($C4007),1000000000),IFERROR(IF(VALUE(MID($C4007,2,20))&lt;100000000,VALUE(MID($C4007,2,20)),1000000000),1000000000))+ROW()/100000,"")</f>
        <v/>
      </c>
    </row>
    <row r="4008">
      <c r="D4008" s="11" t="n"/>
      <c r="K4008" s="7">
        <f>IF($C4008="","",J4008*W4008/100)</f>
        <v/>
      </c>
      <c r="Q4008" s="7" t="n"/>
      <c r="R4008" s="7" t="n"/>
      <c r="U4008">
        <f>IF($C4008="","",IF($AJ4008=1,0,IF($AI4008=1,Settings!$C$6,Settings!$C$7))*100)</f>
        <v/>
      </c>
      <c r="V4008" s="7">
        <f>IF($C4008="","",R4008*U4008/100)</f>
        <v/>
      </c>
      <c r="W4008" s="7">
        <f>IF($C4008="","",R4008-V4008)</f>
        <v/>
      </c>
      <c r="X4008" s="7">
        <f>IF($C4008="","",W4008-K4008)</f>
        <v/>
      </c>
      <c r="AB4008" s="7" t="n"/>
      <c r="AE4008" s="11" t="n"/>
      <c r="AG4008">
        <f>IF($C4008="","",IF(COUNTIF($C$2:$C4008,$C4008)=1,1,0))</f>
        <v/>
      </c>
      <c r="AH4008">
        <f>IF($AG4008=1,SUMPRODUCT(--($AK$2:$AK$6001&lt;$AK4008))+1,"")</f>
        <v/>
      </c>
      <c r="AI4008">
        <f>IF($C4008="","",IF(OR($N4008=TRUE(),$N4008="TRUE"),1,0))</f>
        <v/>
      </c>
      <c r="AJ4008">
        <f>IF($C4008="","",IF($T4008="Yes",1,0))</f>
        <v/>
      </c>
      <c r="AK4008">
        <f>IF($AG4008=1,IFERROR(IF(VALUE($C4008)&lt;100000000,VALUE($C4008),1000000000),IFERROR(IF(VALUE(MID($C4008,2,20))&lt;100000000,VALUE(MID($C4008,2,20)),1000000000),1000000000))+ROW()/100000,"")</f>
        <v/>
      </c>
    </row>
    <row r="4009">
      <c r="D4009" s="11" t="n"/>
      <c r="K4009" s="7">
        <f>IF($C4009="","",J4009*W4009/100)</f>
        <v/>
      </c>
      <c r="Q4009" s="7" t="n"/>
      <c r="R4009" s="7" t="n"/>
      <c r="U4009">
        <f>IF($C4009="","",IF($AJ4009=1,0,IF($AI4009=1,Settings!$C$6,Settings!$C$7))*100)</f>
        <v/>
      </c>
      <c r="V4009" s="7">
        <f>IF($C4009="","",R4009*U4009/100)</f>
        <v/>
      </c>
      <c r="W4009" s="7">
        <f>IF($C4009="","",R4009-V4009)</f>
        <v/>
      </c>
      <c r="X4009" s="7">
        <f>IF($C4009="","",W4009-K4009)</f>
        <v/>
      </c>
      <c r="AB4009" s="7" t="n"/>
      <c r="AE4009" s="11" t="n"/>
      <c r="AG4009">
        <f>IF($C4009="","",IF(COUNTIF($C$2:$C4009,$C4009)=1,1,0))</f>
        <v/>
      </c>
      <c r="AH4009">
        <f>IF($AG4009=1,SUMPRODUCT(--($AK$2:$AK$6001&lt;$AK4009))+1,"")</f>
        <v/>
      </c>
      <c r="AI4009">
        <f>IF($C4009="","",IF(OR($N4009=TRUE(),$N4009="TRUE"),1,0))</f>
        <v/>
      </c>
      <c r="AJ4009">
        <f>IF($C4009="","",IF($T4009="Yes",1,0))</f>
        <v/>
      </c>
      <c r="AK4009">
        <f>IF($AG4009=1,IFERROR(IF(VALUE($C4009)&lt;100000000,VALUE($C4009),1000000000),IFERROR(IF(VALUE(MID($C4009,2,20))&lt;100000000,VALUE(MID($C4009,2,20)),1000000000),1000000000))+ROW()/100000,"")</f>
        <v/>
      </c>
    </row>
    <row r="4010">
      <c r="D4010" s="11" t="n"/>
      <c r="K4010" s="7">
        <f>IF($C4010="","",J4010*W4010/100)</f>
        <v/>
      </c>
      <c r="Q4010" s="7" t="n"/>
      <c r="R4010" s="7" t="n"/>
      <c r="U4010">
        <f>IF($C4010="","",IF($AJ4010=1,0,IF($AI4010=1,Settings!$C$6,Settings!$C$7))*100)</f>
        <v/>
      </c>
      <c r="V4010" s="7">
        <f>IF($C4010="","",R4010*U4010/100)</f>
        <v/>
      </c>
      <c r="W4010" s="7">
        <f>IF($C4010="","",R4010-V4010)</f>
        <v/>
      </c>
      <c r="X4010" s="7">
        <f>IF($C4010="","",W4010-K4010)</f>
        <v/>
      </c>
      <c r="AB4010" s="7" t="n"/>
      <c r="AE4010" s="11" t="n"/>
      <c r="AG4010">
        <f>IF($C4010="","",IF(COUNTIF($C$2:$C4010,$C4010)=1,1,0))</f>
        <v/>
      </c>
      <c r="AH4010">
        <f>IF($AG4010=1,SUMPRODUCT(--($AK$2:$AK$6001&lt;$AK4010))+1,"")</f>
        <v/>
      </c>
      <c r="AI4010">
        <f>IF($C4010="","",IF(OR($N4010=TRUE(),$N4010="TRUE"),1,0))</f>
        <v/>
      </c>
      <c r="AJ4010">
        <f>IF($C4010="","",IF($T4010="Yes",1,0))</f>
        <v/>
      </c>
      <c r="AK4010">
        <f>IF($AG4010=1,IFERROR(IF(VALUE($C4010)&lt;100000000,VALUE($C4010),1000000000),IFERROR(IF(VALUE(MID($C4010,2,20))&lt;100000000,VALUE(MID($C4010,2,20)),1000000000),1000000000))+ROW()/100000,"")</f>
        <v/>
      </c>
    </row>
    <row r="4011">
      <c r="D4011" s="11" t="n"/>
      <c r="K4011" s="7">
        <f>IF($C4011="","",J4011*W4011/100)</f>
        <v/>
      </c>
      <c r="Q4011" s="7" t="n"/>
      <c r="R4011" s="7" t="n"/>
      <c r="U4011">
        <f>IF($C4011="","",IF($AJ4011=1,0,IF($AI4011=1,Settings!$C$6,Settings!$C$7))*100)</f>
        <v/>
      </c>
      <c r="V4011" s="7">
        <f>IF($C4011="","",R4011*U4011/100)</f>
        <v/>
      </c>
      <c r="W4011" s="7">
        <f>IF($C4011="","",R4011-V4011)</f>
        <v/>
      </c>
      <c r="X4011" s="7">
        <f>IF($C4011="","",W4011-K4011)</f>
        <v/>
      </c>
      <c r="AB4011" s="7" t="n"/>
      <c r="AE4011" s="11" t="n"/>
      <c r="AG4011">
        <f>IF($C4011="","",IF(COUNTIF($C$2:$C4011,$C4011)=1,1,0))</f>
        <v/>
      </c>
      <c r="AH4011">
        <f>IF($AG4011=1,SUMPRODUCT(--($AK$2:$AK$6001&lt;$AK4011))+1,"")</f>
        <v/>
      </c>
      <c r="AI4011">
        <f>IF($C4011="","",IF(OR($N4011=TRUE(),$N4011="TRUE"),1,0))</f>
        <v/>
      </c>
      <c r="AJ4011">
        <f>IF($C4011="","",IF($T4011="Yes",1,0))</f>
        <v/>
      </c>
      <c r="AK4011">
        <f>IF($AG4011=1,IFERROR(IF(VALUE($C4011)&lt;100000000,VALUE($C4011),1000000000),IFERROR(IF(VALUE(MID($C4011,2,20))&lt;100000000,VALUE(MID($C4011,2,20)),1000000000),1000000000))+ROW()/100000,"")</f>
        <v/>
      </c>
    </row>
    <row r="4012">
      <c r="D4012" s="11" t="n"/>
      <c r="K4012" s="7">
        <f>IF($C4012="","",J4012*W4012/100)</f>
        <v/>
      </c>
      <c r="Q4012" s="7" t="n"/>
      <c r="R4012" s="7" t="n"/>
      <c r="U4012">
        <f>IF($C4012="","",IF($AJ4012=1,0,IF($AI4012=1,Settings!$C$6,Settings!$C$7))*100)</f>
        <v/>
      </c>
      <c r="V4012" s="7">
        <f>IF($C4012="","",R4012*U4012/100)</f>
        <v/>
      </c>
      <c r="W4012" s="7">
        <f>IF($C4012="","",R4012-V4012)</f>
        <v/>
      </c>
      <c r="X4012" s="7">
        <f>IF($C4012="","",W4012-K4012)</f>
        <v/>
      </c>
      <c r="AB4012" s="7" t="n"/>
      <c r="AE4012" s="11" t="n"/>
      <c r="AG4012">
        <f>IF($C4012="","",IF(COUNTIF($C$2:$C4012,$C4012)=1,1,0))</f>
        <v/>
      </c>
      <c r="AH4012">
        <f>IF($AG4012=1,SUMPRODUCT(--($AK$2:$AK$6001&lt;$AK4012))+1,"")</f>
        <v/>
      </c>
      <c r="AI4012">
        <f>IF($C4012="","",IF(OR($N4012=TRUE(),$N4012="TRUE"),1,0))</f>
        <v/>
      </c>
      <c r="AJ4012">
        <f>IF($C4012="","",IF($T4012="Yes",1,0))</f>
        <v/>
      </c>
      <c r="AK4012">
        <f>IF($AG4012=1,IFERROR(IF(VALUE($C4012)&lt;100000000,VALUE($C4012),1000000000),IFERROR(IF(VALUE(MID($C4012,2,20))&lt;100000000,VALUE(MID($C4012,2,20)),1000000000),1000000000))+ROW()/100000,"")</f>
        <v/>
      </c>
    </row>
    <row r="4013">
      <c r="D4013" s="11" t="n"/>
      <c r="K4013" s="7">
        <f>IF($C4013="","",J4013*W4013/100)</f>
        <v/>
      </c>
      <c r="Q4013" s="7" t="n"/>
      <c r="R4013" s="7" t="n"/>
      <c r="U4013">
        <f>IF($C4013="","",IF($AJ4013=1,0,IF($AI4013=1,Settings!$C$6,Settings!$C$7))*100)</f>
        <v/>
      </c>
      <c r="V4013" s="7">
        <f>IF($C4013="","",R4013*U4013/100)</f>
        <v/>
      </c>
      <c r="W4013" s="7">
        <f>IF($C4013="","",R4013-V4013)</f>
        <v/>
      </c>
      <c r="X4013" s="7">
        <f>IF($C4013="","",W4013-K4013)</f>
        <v/>
      </c>
      <c r="AB4013" s="7" t="n"/>
      <c r="AE4013" s="11" t="n"/>
      <c r="AG4013">
        <f>IF($C4013="","",IF(COUNTIF($C$2:$C4013,$C4013)=1,1,0))</f>
        <v/>
      </c>
      <c r="AH4013">
        <f>IF($AG4013=1,SUMPRODUCT(--($AK$2:$AK$6001&lt;$AK4013))+1,"")</f>
        <v/>
      </c>
      <c r="AI4013">
        <f>IF($C4013="","",IF(OR($N4013=TRUE(),$N4013="TRUE"),1,0))</f>
        <v/>
      </c>
      <c r="AJ4013">
        <f>IF($C4013="","",IF($T4013="Yes",1,0))</f>
        <v/>
      </c>
      <c r="AK4013">
        <f>IF($AG4013=1,IFERROR(IF(VALUE($C4013)&lt;100000000,VALUE($C4013),1000000000),IFERROR(IF(VALUE(MID($C4013,2,20))&lt;100000000,VALUE(MID($C4013,2,20)),1000000000),1000000000))+ROW()/100000,"")</f>
        <v/>
      </c>
    </row>
    <row r="4014">
      <c r="D4014" s="11" t="n"/>
      <c r="K4014" s="7">
        <f>IF($C4014="","",J4014*W4014/100)</f>
        <v/>
      </c>
      <c r="Q4014" s="7" t="n"/>
      <c r="R4014" s="7" t="n"/>
      <c r="U4014">
        <f>IF($C4014="","",IF($AJ4014=1,0,IF($AI4014=1,Settings!$C$6,Settings!$C$7))*100)</f>
        <v/>
      </c>
      <c r="V4014" s="7">
        <f>IF($C4014="","",R4014*U4014/100)</f>
        <v/>
      </c>
      <c r="W4014" s="7">
        <f>IF($C4014="","",R4014-V4014)</f>
        <v/>
      </c>
      <c r="X4014" s="7">
        <f>IF($C4014="","",W4014-K4014)</f>
        <v/>
      </c>
      <c r="AB4014" s="7" t="n"/>
      <c r="AE4014" s="11" t="n"/>
      <c r="AG4014">
        <f>IF($C4014="","",IF(COUNTIF($C$2:$C4014,$C4014)=1,1,0))</f>
        <v/>
      </c>
      <c r="AH4014">
        <f>IF($AG4014=1,SUMPRODUCT(--($AK$2:$AK$6001&lt;$AK4014))+1,"")</f>
        <v/>
      </c>
      <c r="AI4014">
        <f>IF($C4014="","",IF(OR($N4014=TRUE(),$N4014="TRUE"),1,0))</f>
        <v/>
      </c>
      <c r="AJ4014">
        <f>IF($C4014="","",IF($T4014="Yes",1,0))</f>
        <v/>
      </c>
      <c r="AK4014">
        <f>IF($AG4014=1,IFERROR(IF(VALUE($C4014)&lt;100000000,VALUE($C4014),1000000000),IFERROR(IF(VALUE(MID($C4014,2,20))&lt;100000000,VALUE(MID($C4014,2,20)),1000000000),1000000000))+ROW()/100000,"")</f>
        <v/>
      </c>
    </row>
    <row r="4015">
      <c r="D4015" s="11" t="n"/>
      <c r="K4015" s="7">
        <f>IF($C4015="","",J4015*W4015/100)</f>
        <v/>
      </c>
      <c r="Q4015" s="7" t="n"/>
      <c r="R4015" s="7" t="n"/>
      <c r="U4015">
        <f>IF($C4015="","",IF($AJ4015=1,0,IF($AI4015=1,Settings!$C$6,Settings!$C$7))*100)</f>
        <v/>
      </c>
      <c r="V4015" s="7">
        <f>IF($C4015="","",R4015*U4015/100)</f>
        <v/>
      </c>
      <c r="W4015" s="7">
        <f>IF($C4015="","",R4015-V4015)</f>
        <v/>
      </c>
      <c r="X4015" s="7">
        <f>IF($C4015="","",W4015-K4015)</f>
        <v/>
      </c>
      <c r="AB4015" s="7" t="n"/>
      <c r="AE4015" s="11" t="n"/>
      <c r="AG4015">
        <f>IF($C4015="","",IF(COUNTIF($C$2:$C4015,$C4015)=1,1,0))</f>
        <v/>
      </c>
      <c r="AH4015">
        <f>IF($AG4015=1,SUMPRODUCT(--($AK$2:$AK$6001&lt;$AK4015))+1,"")</f>
        <v/>
      </c>
      <c r="AI4015">
        <f>IF($C4015="","",IF(OR($N4015=TRUE(),$N4015="TRUE"),1,0))</f>
        <v/>
      </c>
      <c r="AJ4015">
        <f>IF($C4015="","",IF($T4015="Yes",1,0))</f>
        <v/>
      </c>
      <c r="AK4015">
        <f>IF($AG4015=1,IFERROR(IF(VALUE($C4015)&lt;100000000,VALUE($C4015),1000000000),IFERROR(IF(VALUE(MID($C4015,2,20))&lt;100000000,VALUE(MID($C4015,2,20)),1000000000),1000000000))+ROW()/100000,"")</f>
        <v/>
      </c>
    </row>
    <row r="4016">
      <c r="D4016" s="11" t="n"/>
      <c r="K4016" s="7">
        <f>IF($C4016="","",J4016*W4016/100)</f>
        <v/>
      </c>
      <c r="Q4016" s="7" t="n"/>
      <c r="R4016" s="7" t="n"/>
      <c r="U4016">
        <f>IF($C4016="","",IF($AJ4016=1,0,IF($AI4016=1,Settings!$C$6,Settings!$C$7))*100)</f>
        <v/>
      </c>
      <c r="V4016" s="7">
        <f>IF($C4016="","",R4016*U4016/100)</f>
        <v/>
      </c>
      <c r="W4016" s="7">
        <f>IF($C4016="","",R4016-V4016)</f>
        <v/>
      </c>
      <c r="X4016" s="7">
        <f>IF($C4016="","",W4016-K4016)</f>
        <v/>
      </c>
      <c r="AB4016" s="7" t="n"/>
      <c r="AE4016" s="11" t="n"/>
      <c r="AG4016">
        <f>IF($C4016="","",IF(COUNTIF($C$2:$C4016,$C4016)=1,1,0))</f>
        <v/>
      </c>
      <c r="AH4016">
        <f>IF($AG4016=1,SUMPRODUCT(--($AK$2:$AK$6001&lt;$AK4016))+1,"")</f>
        <v/>
      </c>
      <c r="AI4016">
        <f>IF($C4016="","",IF(OR($N4016=TRUE(),$N4016="TRUE"),1,0))</f>
        <v/>
      </c>
      <c r="AJ4016">
        <f>IF($C4016="","",IF($T4016="Yes",1,0))</f>
        <v/>
      </c>
      <c r="AK4016">
        <f>IF($AG4016=1,IFERROR(IF(VALUE($C4016)&lt;100000000,VALUE($C4016),1000000000),IFERROR(IF(VALUE(MID($C4016,2,20))&lt;100000000,VALUE(MID($C4016,2,20)),1000000000),1000000000))+ROW()/100000,"")</f>
        <v/>
      </c>
    </row>
    <row r="4017">
      <c r="D4017" s="11" t="n"/>
      <c r="K4017" s="7">
        <f>IF($C4017="","",J4017*W4017/100)</f>
        <v/>
      </c>
      <c r="Q4017" s="7" t="n"/>
      <c r="R4017" s="7" t="n"/>
      <c r="U4017">
        <f>IF($C4017="","",IF($AJ4017=1,0,IF($AI4017=1,Settings!$C$6,Settings!$C$7))*100)</f>
        <v/>
      </c>
      <c r="V4017" s="7">
        <f>IF($C4017="","",R4017*U4017/100)</f>
        <v/>
      </c>
      <c r="W4017" s="7">
        <f>IF($C4017="","",R4017-V4017)</f>
        <v/>
      </c>
      <c r="X4017" s="7">
        <f>IF($C4017="","",W4017-K4017)</f>
        <v/>
      </c>
      <c r="AB4017" s="7" t="n"/>
      <c r="AE4017" s="11" t="n"/>
      <c r="AG4017">
        <f>IF($C4017="","",IF(COUNTIF($C$2:$C4017,$C4017)=1,1,0))</f>
        <v/>
      </c>
      <c r="AH4017">
        <f>IF($AG4017=1,SUMPRODUCT(--($AK$2:$AK$6001&lt;$AK4017))+1,"")</f>
        <v/>
      </c>
      <c r="AI4017">
        <f>IF($C4017="","",IF(OR($N4017=TRUE(),$N4017="TRUE"),1,0))</f>
        <v/>
      </c>
      <c r="AJ4017">
        <f>IF($C4017="","",IF($T4017="Yes",1,0))</f>
        <v/>
      </c>
      <c r="AK4017">
        <f>IF($AG4017=1,IFERROR(IF(VALUE($C4017)&lt;100000000,VALUE($C4017),1000000000),IFERROR(IF(VALUE(MID($C4017,2,20))&lt;100000000,VALUE(MID($C4017,2,20)),1000000000),1000000000))+ROW()/100000,"")</f>
        <v/>
      </c>
    </row>
    <row r="4018">
      <c r="D4018" s="11" t="n"/>
      <c r="K4018" s="7">
        <f>IF($C4018="","",J4018*W4018/100)</f>
        <v/>
      </c>
      <c r="Q4018" s="7" t="n"/>
      <c r="R4018" s="7" t="n"/>
      <c r="U4018">
        <f>IF($C4018="","",IF($AJ4018=1,0,IF($AI4018=1,Settings!$C$6,Settings!$C$7))*100)</f>
        <v/>
      </c>
      <c r="V4018" s="7">
        <f>IF($C4018="","",R4018*U4018/100)</f>
        <v/>
      </c>
      <c r="W4018" s="7">
        <f>IF($C4018="","",R4018-V4018)</f>
        <v/>
      </c>
      <c r="X4018" s="7">
        <f>IF($C4018="","",W4018-K4018)</f>
        <v/>
      </c>
      <c r="AB4018" s="7" t="n"/>
      <c r="AE4018" s="11" t="n"/>
      <c r="AG4018">
        <f>IF($C4018="","",IF(COUNTIF($C$2:$C4018,$C4018)=1,1,0))</f>
        <v/>
      </c>
      <c r="AH4018">
        <f>IF($AG4018=1,SUMPRODUCT(--($AK$2:$AK$6001&lt;$AK4018))+1,"")</f>
        <v/>
      </c>
      <c r="AI4018">
        <f>IF($C4018="","",IF(OR($N4018=TRUE(),$N4018="TRUE"),1,0))</f>
        <v/>
      </c>
      <c r="AJ4018">
        <f>IF($C4018="","",IF($T4018="Yes",1,0))</f>
        <v/>
      </c>
      <c r="AK4018">
        <f>IF($AG4018=1,IFERROR(IF(VALUE($C4018)&lt;100000000,VALUE($C4018),1000000000),IFERROR(IF(VALUE(MID($C4018,2,20))&lt;100000000,VALUE(MID($C4018,2,20)),1000000000),1000000000))+ROW()/100000,"")</f>
        <v/>
      </c>
    </row>
    <row r="4019">
      <c r="D4019" s="11" t="n"/>
      <c r="K4019" s="7">
        <f>IF($C4019="","",J4019*W4019/100)</f>
        <v/>
      </c>
      <c r="Q4019" s="7" t="n"/>
      <c r="R4019" s="7" t="n"/>
      <c r="U4019">
        <f>IF($C4019="","",IF($AJ4019=1,0,IF($AI4019=1,Settings!$C$6,Settings!$C$7))*100)</f>
        <v/>
      </c>
      <c r="V4019" s="7">
        <f>IF($C4019="","",R4019*U4019/100)</f>
        <v/>
      </c>
      <c r="W4019" s="7">
        <f>IF($C4019="","",R4019-V4019)</f>
        <v/>
      </c>
      <c r="X4019" s="7">
        <f>IF($C4019="","",W4019-K4019)</f>
        <v/>
      </c>
      <c r="AB4019" s="7" t="n"/>
      <c r="AE4019" s="11" t="n"/>
      <c r="AG4019">
        <f>IF($C4019="","",IF(COUNTIF($C$2:$C4019,$C4019)=1,1,0))</f>
        <v/>
      </c>
      <c r="AH4019">
        <f>IF($AG4019=1,SUMPRODUCT(--($AK$2:$AK$6001&lt;$AK4019))+1,"")</f>
        <v/>
      </c>
      <c r="AI4019">
        <f>IF($C4019="","",IF(OR($N4019=TRUE(),$N4019="TRUE"),1,0))</f>
        <v/>
      </c>
      <c r="AJ4019">
        <f>IF($C4019="","",IF($T4019="Yes",1,0))</f>
        <v/>
      </c>
      <c r="AK4019">
        <f>IF($AG4019=1,IFERROR(IF(VALUE($C4019)&lt;100000000,VALUE($C4019),1000000000),IFERROR(IF(VALUE(MID($C4019,2,20))&lt;100000000,VALUE(MID($C4019,2,20)),1000000000),1000000000))+ROW()/100000,"")</f>
        <v/>
      </c>
    </row>
    <row r="4020">
      <c r="D4020" s="11" t="n"/>
      <c r="K4020" s="7">
        <f>IF($C4020="","",J4020*W4020/100)</f>
        <v/>
      </c>
      <c r="Q4020" s="7" t="n"/>
      <c r="R4020" s="7" t="n"/>
      <c r="U4020">
        <f>IF($C4020="","",IF($AJ4020=1,0,IF($AI4020=1,Settings!$C$6,Settings!$C$7))*100)</f>
        <v/>
      </c>
      <c r="V4020" s="7">
        <f>IF($C4020="","",R4020*U4020/100)</f>
        <v/>
      </c>
      <c r="W4020" s="7">
        <f>IF($C4020="","",R4020-V4020)</f>
        <v/>
      </c>
      <c r="X4020" s="7">
        <f>IF($C4020="","",W4020-K4020)</f>
        <v/>
      </c>
      <c r="AB4020" s="7" t="n"/>
      <c r="AE4020" s="11" t="n"/>
      <c r="AG4020">
        <f>IF($C4020="","",IF(COUNTIF($C$2:$C4020,$C4020)=1,1,0))</f>
        <v/>
      </c>
      <c r="AH4020">
        <f>IF($AG4020=1,SUMPRODUCT(--($AK$2:$AK$6001&lt;$AK4020))+1,"")</f>
        <v/>
      </c>
      <c r="AI4020">
        <f>IF($C4020="","",IF(OR($N4020=TRUE(),$N4020="TRUE"),1,0))</f>
        <v/>
      </c>
      <c r="AJ4020">
        <f>IF($C4020="","",IF($T4020="Yes",1,0))</f>
        <v/>
      </c>
      <c r="AK4020">
        <f>IF($AG4020=1,IFERROR(IF(VALUE($C4020)&lt;100000000,VALUE($C4020),1000000000),IFERROR(IF(VALUE(MID($C4020,2,20))&lt;100000000,VALUE(MID($C4020,2,20)),1000000000),1000000000))+ROW()/100000,"")</f>
        <v/>
      </c>
    </row>
    <row r="4021">
      <c r="D4021" s="11" t="n"/>
      <c r="K4021" s="7">
        <f>IF($C4021="","",J4021*W4021/100)</f>
        <v/>
      </c>
      <c r="Q4021" s="7" t="n"/>
      <c r="R4021" s="7" t="n"/>
      <c r="U4021">
        <f>IF($C4021="","",IF($AJ4021=1,0,IF($AI4021=1,Settings!$C$6,Settings!$C$7))*100)</f>
        <v/>
      </c>
      <c r="V4021" s="7">
        <f>IF($C4021="","",R4021*U4021/100)</f>
        <v/>
      </c>
      <c r="W4021" s="7">
        <f>IF($C4021="","",R4021-V4021)</f>
        <v/>
      </c>
      <c r="X4021" s="7">
        <f>IF($C4021="","",W4021-K4021)</f>
        <v/>
      </c>
      <c r="AB4021" s="7" t="n"/>
      <c r="AE4021" s="11" t="n"/>
      <c r="AG4021">
        <f>IF($C4021="","",IF(COUNTIF($C$2:$C4021,$C4021)=1,1,0))</f>
        <v/>
      </c>
      <c r="AH4021">
        <f>IF($AG4021=1,SUMPRODUCT(--($AK$2:$AK$6001&lt;$AK4021))+1,"")</f>
        <v/>
      </c>
      <c r="AI4021">
        <f>IF($C4021="","",IF(OR($N4021=TRUE(),$N4021="TRUE"),1,0))</f>
        <v/>
      </c>
      <c r="AJ4021">
        <f>IF($C4021="","",IF($T4021="Yes",1,0))</f>
        <v/>
      </c>
      <c r="AK4021">
        <f>IF($AG4021=1,IFERROR(IF(VALUE($C4021)&lt;100000000,VALUE($C4021),1000000000),IFERROR(IF(VALUE(MID($C4021,2,20))&lt;100000000,VALUE(MID($C4021,2,20)),1000000000),1000000000))+ROW()/100000,"")</f>
        <v/>
      </c>
    </row>
    <row r="4022">
      <c r="D4022" s="11" t="n"/>
      <c r="K4022" s="7">
        <f>IF($C4022="","",J4022*W4022/100)</f>
        <v/>
      </c>
      <c r="Q4022" s="7" t="n"/>
      <c r="R4022" s="7" t="n"/>
      <c r="U4022">
        <f>IF($C4022="","",IF($AJ4022=1,0,IF($AI4022=1,Settings!$C$6,Settings!$C$7))*100)</f>
        <v/>
      </c>
      <c r="V4022" s="7">
        <f>IF($C4022="","",R4022*U4022/100)</f>
        <v/>
      </c>
      <c r="W4022" s="7">
        <f>IF($C4022="","",R4022-V4022)</f>
        <v/>
      </c>
      <c r="X4022" s="7">
        <f>IF($C4022="","",W4022-K4022)</f>
        <v/>
      </c>
      <c r="AB4022" s="7" t="n"/>
      <c r="AE4022" s="11" t="n"/>
      <c r="AG4022">
        <f>IF($C4022="","",IF(COUNTIF($C$2:$C4022,$C4022)=1,1,0))</f>
        <v/>
      </c>
      <c r="AH4022">
        <f>IF($AG4022=1,SUMPRODUCT(--($AK$2:$AK$6001&lt;$AK4022))+1,"")</f>
        <v/>
      </c>
      <c r="AI4022">
        <f>IF($C4022="","",IF(OR($N4022=TRUE(),$N4022="TRUE"),1,0))</f>
        <v/>
      </c>
      <c r="AJ4022">
        <f>IF($C4022="","",IF($T4022="Yes",1,0))</f>
        <v/>
      </c>
      <c r="AK4022">
        <f>IF($AG4022=1,IFERROR(IF(VALUE($C4022)&lt;100000000,VALUE($C4022),1000000000),IFERROR(IF(VALUE(MID($C4022,2,20))&lt;100000000,VALUE(MID($C4022,2,20)),1000000000),1000000000))+ROW()/100000,"")</f>
        <v/>
      </c>
    </row>
    <row r="4023">
      <c r="D4023" s="11" t="n"/>
      <c r="K4023" s="7">
        <f>IF($C4023="","",J4023*W4023/100)</f>
        <v/>
      </c>
      <c r="Q4023" s="7" t="n"/>
      <c r="R4023" s="7" t="n"/>
      <c r="U4023">
        <f>IF($C4023="","",IF($AJ4023=1,0,IF($AI4023=1,Settings!$C$6,Settings!$C$7))*100)</f>
        <v/>
      </c>
      <c r="V4023" s="7">
        <f>IF($C4023="","",R4023*U4023/100)</f>
        <v/>
      </c>
      <c r="W4023" s="7">
        <f>IF($C4023="","",R4023-V4023)</f>
        <v/>
      </c>
      <c r="X4023" s="7">
        <f>IF($C4023="","",W4023-K4023)</f>
        <v/>
      </c>
      <c r="AB4023" s="7" t="n"/>
      <c r="AE4023" s="11" t="n"/>
      <c r="AG4023">
        <f>IF($C4023="","",IF(COUNTIF($C$2:$C4023,$C4023)=1,1,0))</f>
        <v/>
      </c>
      <c r="AH4023">
        <f>IF($AG4023=1,SUMPRODUCT(--($AK$2:$AK$6001&lt;$AK4023))+1,"")</f>
        <v/>
      </c>
      <c r="AI4023">
        <f>IF($C4023="","",IF(OR($N4023=TRUE(),$N4023="TRUE"),1,0))</f>
        <v/>
      </c>
      <c r="AJ4023">
        <f>IF($C4023="","",IF($T4023="Yes",1,0))</f>
        <v/>
      </c>
      <c r="AK4023">
        <f>IF($AG4023=1,IFERROR(IF(VALUE($C4023)&lt;100000000,VALUE($C4023),1000000000),IFERROR(IF(VALUE(MID($C4023,2,20))&lt;100000000,VALUE(MID($C4023,2,20)),1000000000),1000000000))+ROW()/100000,"")</f>
        <v/>
      </c>
    </row>
    <row r="4024">
      <c r="D4024" s="11" t="n"/>
      <c r="K4024" s="7">
        <f>IF($C4024="","",J4024*W4024/100)</f>
        <v/>
      </c>
      <c r="Q4024" s="7" t="n"/>
      <c r="R4024" s="7" t="n"/>
      <c r="U4024">
        <f>IF($C4024="","",IF($AJ4024=1,0,IF($AI4024=1,Settings!$C$6,Settings!$C$7))*100)</f>
        <v/>
      </c>
      <c r="V4024" s="7">
        <f>IF($C4024="","",R4024*U4024/100)</f>
        <v/>
      </c>
      <c r="W4024" s="7">
        <f>IF($C4024="","",R4024-V4024)</f>
        <v/>
      </c>
      <c r="X4024" s="7">
        <f>IF($C4024="","",W4024-K4024)</f>
        <v/>
      </c>
      <c r="AB4024" s="7" t="n"/>
      <c r="AE4024" s="11" t="n"/>
      <c r="AG4024">
        <f>IF($C4024="","",IF(COUNTIF($C$2:$C4024,$C4024)=1,1,0))</f>
        <v/>
      </c>
      <c r="AH4024">
        <f>IF($AG4024=1,SUMPRODUCT(--($AK$2:$AK$6001&lt;$AK4024))+1,"")</f>
        <v/>
      </c>
      <c r="AI4024">
        <f>IF($C4024="","",IF(OR($N4024=TRUE(),$N4024="TRUE"),1,0))</f>
        <v/>
      </c>
      <c r="AJ4024">
        <f>IF($C4024="","",IF($T4024="Yes",1,0))</f>
        <v/>
      </c>
      <c r="AK4024">
        <f>IF($AG4024=1,IFERROR(IF(VALUE($C4024)&lt;100000000,VALUE($C4024),1000000000),IFERROR(IF(VALUE(MID($C4024,2,20))&lt;100000000,VALUE(MID($C4024,2,20)),1000000000),1000000000))+ROW()/100000,"")</f>
        <v/>
      </c>
    </row>
    <row r="4025">
      <c r="D4025" s="11" t="n"/>
      <c r="K4025" s="7">
        <f>IF($C4025="","",J4025*W4025/100)</f>
        <v/>
      </c>
      <c r="Q4025" s="7" t="n"/>
      <c r="R4025" s="7" t="n"/>
      <c r="U4025">
        <f>IF($C4025="","",IF($AJ4025=1,0,IF($AI4025=1,Settings!$C$6,Settings!$C$7))*100)</f>
        <v/>
      </c>
      <c r="V4025" s="7">
        <f>IF($C4025="","",R4025*U4025/100)</f>
        <v/>
      </c>
      <c r="W4025" s="7">
        <f>IF($C4025="","",R4025-V4025)</f>
        <v/>
      </c>
      <c r="X4025" s="7">
        <f>IF($C4025="","",W4025-K4025)</f>
        <v/>
      </c>
      <c r="AB4025" s="7" t="n"/>
      <c r="AE4025" s="11" t="n"/>
      <c r="AG4025">
        <f>IF($C4025="","",IF(COUNTIF($C$2:$C4025,$C4025)=1,1,0))</f>
        <v/>
      </c>
      <c r="AH4025">
        <f>IF($AG4025=1,SUMPRODUCT(--($AK$2:$AK$6001&lt;$AK4025))+1,"")</f>
        <v/>
      </c>
      <c r="AI4025">
        <f>IF($C4025="","",IF(OR($N4025=TRUE(),$N4025="TRUE"),1,0))</f>
        <v/>
      </c>
      <c r="AJ4025">
        <f>IF($C4025="","",IF($T4025="Yes",1,0))</f>
        <v/>
      </c>
      <c r="AK4025">
        <f>IF($AG4025=1,IFERROR(IF(VALUE($C4025)&lt;100000000,VALUE($C4025),1000000000),IFERROR(IF(VALUE(MID($C4025,2,20))&lt;100000000,VALUE(MID($C4025,2,20)),1000000000),1000000000))+ROW()/100000,"")</f>
        <v/>
      </c>
    </row>
    <row r="4026">
      <c r="D4026" s="11" t="n"/>
      <c r="K4026" s="7">
        <f>IF($C4026="","",J4026*W4026/100)</f>
        <v/>
      </c>
      <c r="Q4026" s="7" t="n"/>
      <c r="R4026" s="7" t="n"/>
      <c r="U4026">
        <f>IF($C4026="","",IF($AJ4026=1,0,IF($AI4026=1,Settings!$C$6,Settings!$C$7))*100)</f>
        <v/>
      </c>
      <c r="V4026" s="7">
        <f>IF($C4026="","",R4026*U4026/100)</f>
        <v/>
      </c>
      <c r="W4026" s="7">
        <f>IF($C4026="","",R4026-V4026)</f>
        <v/>
      </c>
      <c r="X4026" s="7">
        <f>IF($C4026="","",W4026-K4026)</f>
        <v/>
      </c>
      <c r="AB4026" s="7" t="n"/>
      <c r="AE4026" s="11" t="n"/>
      <c r="AG4026">
        <f>IF($C4026="","",IF(COUNTIF($C$2:$C4026,$C4026)=1,1,0))</f>
        <v/>
      </c>
      <c r="AH4026">
        <f>IF($AG4026=1,SUMPRODUCT(--($AK$2:$AK$6001&lt;$AK4026))+1,"")</f>
        <v/>
      </c>
      <c r="AI4026">
        <f>IF($C4026="","",IF(OR($N4026=TRUE(),$N4026="TRUE"),1,0))</f>
        <v/>
      </c>
      <c r="AJ4026">
        <f>IF($C4026="","",IF($T4026="Yes",1,0))</f>
        <v/>
      </c>
      <c r="AK4026">
        <f>IF($AG4026=1,IFERROR(IF(VALUE($C4026)&lt;100000000,VALUE($C4026),1000000000),IFERROR(IF(VALUE(MID($C4026,2,20))&lt;100000000,VALUE(MID($C4026,2,20)),1000000000),1000000000))+ROW()/100000,"")</f>
        <v/>
      </c>
    </row>
    <row r="4027">
      <c r="D4027" s="11" t="n"/>
      <c r="K4027" s="7">
        <f>IF($C4027="","",J4027*W4027/100)</f>
        <v/>
      </c>
      <c r="Q4027" s="7" t="n"/>
      <c r="R4027" s="7" t="n"/>
      <c r="U4027">
        <f>IF($C4027="","",IF($AJ4027=1,0,IF($AI4027=1,Settings!$C$6,Settings!$C$7))*100)</f>
        <v/>
      </c>
      <c r="V4027" s="7">
        <f>IF($C4027="","",R4027*U4027/100)</f>
        <v/>
      </c>
      <c r="W4027" s="7">
        <f>IF($C4027="","",R4027-V4027)</f>
        <v/>
      </c>
      <c r="X4027" s="7">
        <f>IF($C4027="","",W4027-K4027)</f>
        <v/>
      </c>
      <c r="AB4027" s="7" t="n"/>
      <c r="AE4027" s="11" t="n"/>
      <c r="AG4027">
        <f>IF($C4027="","",IF(COUNTIF($C$2:$C4027,$C4027)=1,1,0))</f>
        <v/>
      </c>
      <c r="AH4027">
        <f>IF($AG4027=1,SUMPRODUCT(--($AK$2:$AK$6001&lt;$AK4027))+1,"")</f>
        <v/>
      </c>
      <c r="AI4027">
        <f>IF($C4027="","",IF(OR($N4027=TRUE(),$N4027="TRUE"),1,0))</f>
        <v/>
      </c>
      <c r="AJ4027">
        <f>IF($C4027="","",IF($T4027="Yes",1,0))</f>
        <v/>
      </c>
      <c r="AK4027">
        <f>IF($AG4027=1,IFERROR(IF(VALUE($C4027)&lt;100000000,VALUE($C4027),1000000000),IFERROR(IF(VALUE(MID($C4027,2,20))&lt;100000000,VALUE(MID($C4027,2,20)),1000000000),1000000000))+ROW()/100000,"")</f>
        <v/>
      </c>
    </row>
    <row r="4028">
      <c r="D4028" s="11" t="n"/>
      <c r="K4028" s="7">
        <f>IF($C4028="","",J4028*W4028/100)</f>
        <v/>
      </c>
      <c r="Q4028" s="7" t="n"/>
      <c r="R4028" s="7" t="n"/>
      <c r="U4028">
        <f>IF($C4028="","",IF($AJ4028=1,0,IF($AI4028=1,Settings!$C$6,Settings!$C$7))*100)</f>
        <v/>
      </c>
      <c r="V4028" s="7">
        <f>IF($C4028="","",R4028*U4028/100)</f>
        <v/>
      </c>
      <c r="W4028" s="7">
        <f>IF($C4028="","",R4028-V4028)</f>
        <v/>
      </c>
      <c r="X4028" s="7">
        <f>IF($C4028="","",W4028-K4028)</f>
        <v/>
      </c>
      <c r="AB4028" s="7" t="n"/>
      <c r="AE4028" s="11" t="n"/>
      <c r="AG4028">
        <f>IF($C4028="","",IF(COUNTIF($C$2:$C4028,$C4028)=1,1,0))</f>
        <v/>
      </c>
      <c r="AH4028">
        <f>IF($AG4028=1,SUMPRODUCT(--($AK$2:$AK$6001&lt;$AK4028))+1,"")</f>
        <v/>
      </c>
      <c r="AI4028">
        <f>IF($C4028="","",IF(OR($N4028=TRUE(),$N4028="TRUE"),1,0))</f>
        <v/>
      </c>
      <c r="AJ4028">
        <f>IF($C4028="","",IF($T4028="Yes",1,0))</f>
        <v/>
      </c>
      <c r="AK4028">
        <f>IF($AG4028=1,IFERROR(IF(VALUE($C4028)&lt;100000000,VALUE($C4028),1000000000),IFERROR(IF(VALUE(MID($C4028,2,20))&lt;100000000,VALUE(MID($C4028,2,20)),1000000000),1000000000))+ROW()/100000,"")</f>
        <v/>
      </c>
    </row>
    <row r="4029">
      <c r="D4029" s="11" t="n"/>
      <c r="K4029" s="7">
        <f>IF($C4029="","",J4029*W4029/100)</f>
        <v/>
      </c>
      <c r="Q4029" s="7" t="n"/>
      <c r="R4029" s="7" t="n"/>
      <c r="U4029">
        <f>IF($C4029="","",IF($AJ4029=1,0,IF($AI4029=1,Settings!$C$6,Settings!$C$7))*100)</f>
        <v/>
      </c>
      <c r="V4029" s="7">
        <f>IF($C4029="","",R4029*U4029/100)</f>
        <v/>
      </c>
      <c r="W4029" s="7">
        <f>IF($C4029="","",R4029-V4029)</f>
        <v/>
      </c>
      <c r="X4029" s="7">
        <f>IF($C4029="","",W4029-K4029)</f>
        <v/>
      </c>
      <c r="AB4029" s="7" t="n"/>
      <c r="AE4029" s="11" t="n"/>
      <c r="AG4029">
        <f>IF($C4029="","",IF(COUNTIF($C$2:$C4029,$C4029)=1,1,0))</f>
        <v/>
      </c>
      <c r="AH4029">
        <f>IF($AG4029=1,SUMPRODUCT(--($AK$2:$AK$6001&lt;$AK4029))+1,"")</f>
        <v/>
      </c>
      <c r="AI4029">
        <f>IF($C4029="","",IF(OR($N4029=TRUE(),$N4029="TRUE"),1,0))</f>
        <v/>
      </c>
      <c r="AJ4029">
        <f>IF($C4029="","",IF($T4029="Yes",1,0))</f>
        <v/>
      </c>
      <c r="AK4029">
        <f>IF($AG4029=1,IFERROR(IF(VALUE($C4029)&lt;100000000,VALUE($C4029),1000000000),IFERROR(IF(VALUE(MID($C4029,2,20))&lt;100000000,VALUE(MID($C4029,2,20)),1000000000),1000000000))+ROW()/100000,"")</f>
        <v/>
      </c>
    </row>
    <row r="4030">
      <c r="D4030" s="11" t="n"/>
      <c r="K4030" s="7">
        <f>IF($C4030="","",J4030*W4030/100)</f>
        <v/>
      </c>
      <c r="Q4030" s="7" t="n"/>
      <c r="R4030" s="7" t="n"/>
      <c r="U4030">
        <f>IF($C4030="","",IF($AJ4030=1,0,IF($AI4030=1,Settings!$C$6,Settings!$C$7))*100)</f>
        <v/>
      </c>
      <c r="V4030" s="7">
        <f>IF($C4030="","",R4030*U4030/100)</f>
        <v/>
      </c>
      <c r="W4030" s="7">
        <f>IF($C4030="","",R4030-V4030)</f>
        <v/>
      </c>
      <c r="X4030" s="7">
        <f>IF($C4030="","",W4030-K4030)</f>
        <v/>
      </c>
      <c r="AB4030" s="7" t="n"/>
      <c r="AE4030" s="11" t="n"/>
      <c r="AG4030">
        <f>IF($C4030="","",IF(COUNTIF($C$2:$C4030,$C4030)=1,1,0))</f>
        <v/>
      </c>
      <c r="AH4030">
        <f>IF($AG4030=1,SUMPRODUCT(--($AK$2:$AK$6001&lt;$AK4030))+1,"")</f>
        <v/>
      </c>
      <c r="AI4030">
        <f>IF($C4030="","",IF(OR($N4030=TRUE(),$N4030="TRUE"),1,0))</f>
        <v/>
      </c>
      <c r="AJ4030">
        <f>IF($C4030="","",IF($T4030="Yes",1,0))</f>
        <v/>
      </c>
      <c r="AK4030">
        <f>IF($AG4030=1,IFERROR(IF(VALUE($C4030)&lt;100000000,VALUE($C4030),1000000000),IFERROR(IF(VALUE(MID($C4030,2,20))&lt;100000000,VALUE(MID($C4030,2,20)),1000000000),1000000000))+ROW()/100000,"")</f>
        <v/>
      </c>
    </row>
    <row r="4031">
      <c r="D4031" s="11" t="n"/>
      <c r="K4031" s="7">
        <f>IF($C4031="","",J4031*W4031/100)</f>
        <v/>
      </c>
      <c r="Q4031" s="7" t="n"/>
      <c r="R4031" s="7" t="n"/>
      <c r="U4031">
        <f>IF($C4031="","",IF($AJ4031=1,0,IF($AI4031=1,Settings!$C$6,Settings!$C$7))*100)</f>
        <v/>
      </c>
      <c r="V4031" s="7">
        <f>IF($C4031="","",R4031*U4031/100)</f>
        <v/>
      </c>
      <c r="W4031" s="7">
        <f>IF($C4031="","",R4031-V4031)</f>
        <v/>
      </c>
      <c r="X4031" s="7">
        <f>IF($C4031="","",W4031-K4031)</f>
        <v/>
      </c>
      <c r="AB4031" s="7" t="n"/>
      <c r="AE4031" s="11" t="n"/>
      <c r="AG4031">
        <f>IF($C4031="","",IF(COUNTIF($C$2:$C4031,$C4031)=1,1,0))</f>
        <v/>
      </c>
      <c r="AH4031">
        <f>IF($AG4031=1,SUMPRODUCT(--($AK$2:$AK$6001&lt;$AK4031))+1,"")</f>
        <v/>
      </c>
      <c r="AI4031">
        <f>IF($C4031="","",IF(OR($N4031=TRUE(),$N4031="TRUE"),1,0))</f>
        <v/>
      </c>
      <c r="AJ4031">
        <f>IF($C4031="","",IF($T4031="Yes",1,0))</f>
        <v/>
      </c>
      <c r="AK4031">
        <f>IF($AG4031=1,IFERROR(IF(VALUE($C4031)&lt;100000000,VALUE($C4031),1000000000),IFERROR(IF(VALUE(MID($C4031,2,20))&lt;100000000,VALUE(MID($C4031,2,20)),1000000000),1000000000))+ROW()/100000,"")</f>
        <v/>
      </c>
    </row>
    <row r="4032">
      <c r="D4032" s="11" t="n"/>
      <c r="K4032" s="7">
        <f>IF($C4032="","",J4032*W4032/100)</f>
        <v/>
      </c>
      <c r="Q4032" s="7" t="n"/>
      <c r="R4032" s="7" t="n"/>
      <c r="U4032">
        <f>IF($C4032="","",IF($AJ4032=1,0,IF($AI4032=1,Settings!$C$6,Settings!$C$7))*100)</f>
        <v/>
      </c>
      <c r="V4032" s="7">
        <f>IF($C4032="","",R4032*U4032/100)</f>
        <v/>
      </c>
      <c r="W4032" s="7">
        <f>IF($C4032="","",R4032-V4032)</f>
        <v/>
      </c>
      <c r="X4032" s="7">
        <f>IF($C4032="","",W4032-K4032)</f>
        <v/>
      </c>
      <c r="AB4032" s="7" t="n"/>
      <c r="AE4032" s="11" t="n"/>
      <c r="AG4032">
        <f>IF($C4032="","",IF(COUNTIF($C$2:$C4032,$C4032)=1,1,0))</f>
        <v/>
      </c>
      <c r="AH4032">
        <f>IF($AG4032=1,SUMPRODUCT(--($AK$2:$AK$6001&lt;$AK4032))+1,"")</f>
        <v/>
      </c>
      <c r="AI4032">
        <f>IF($C4032="","",IF(OR($N4032=TRUE(),$N4032="TRUE"),1,0))</f>
        <v/>
      </c>
      <c r="AJ4032">
        <f>IF($C4032="","",IF($T4032="Yes",1,0))</f>
        <v/>
      </c>
      <c r="AK4032">
        <f>IF($AG4032=1,IFERROR(IF(VALUE($C4032)&lt;100000000,VALUE($C4032),1000000000),IFERROR(IF(VALUE(MID($C4032,2,20))&lt;100000000,VALUE(MID($C4032,2,20)),1000000000),1000000000))+ROW()/100000,"")</f>
        <v/>
      </c>
    </row>
    <row r="4033">
      <c r="D4033" s="11" t="n"/>
      <c r="K4033" s="7">
        <f>IF($C4033="","",J4033*W4033/100)</f>
        <v/>
      </c>
      <c r="Q4033" s="7" t="n"/>
      <c r="R4033" s="7" t="n"/>
      <c r="U4033">
        <f>IF($C4033="","",IF($AJ4033=1,0,IF($AI4033=1,Settings!$C$6,Settings!$C$7))*100)</f>
        <v/>
      </c>
      <c r="V4033" s="7">
        <f>IF($C4033="","",R4033*U4033/100)</f>
        <v/>
      </c>
      <c r="W4033" s="7">
        <f>IF($C4033="","",R4033-V4033)</f>
        <v/>
      </c>
      <c r="X4033" s="7">
        <f>IF($C4033="","",W4033-K4033)</f>
        <v/>
      </c>
      <c r="AB4033" s="7" t="n"/>
      <c r="AE4033" s="11" t="n"/>
      <c r="AG4033">
        <f>IF($C4033="","",IF(COUNTIF($C$2:$C4033,$C4033)=1,1,0))</f>
        <v/>
      </c>
      <c r="AH4033">
        <f>IF($AG4033=1,SUMPRODUCT(--($AK$2:$AK$6001&lt;$AK4033))+1,"")</f>
        <v/>
      </c>
      <c r="AI4033">
        <f>IF($C4033="","",IF(OR($N4033=TRUE(),$N4033="TRUE"),1,0))</f>
        <v/>
      </c>
      <c r="AJ4033">
        <f>IF($C4033="","",IF($T4033="Yes",1,0))</f>
        <v/>
      </c>
      <c r="AK4033">
        <f>IF($AG4033=1,IFERROR(IF(VALUE($C4033)&lt;100000000,VALUE($C4033),1000000000),IFERROR(IF(VALUE(MID($C4033,2,20))&lt;100000000,VALUE(MID($C4033,2,20)),1000000000),1000000000))+ROW()/100000,"")</f>
        <v/>
      </c>
    </row>
    <row r="4034">
      <c r="D4034" s="11" t="n"/>
      <c r="K4034" s="7">
        <f>IF($C4034="","",J4034*W4034/100)</f>
        <v/>
      </c>
      <c r="Q4034" s="7" t="n"/>
      <c r="R4034" s="7" t="n"/>
      <c r="U4034">
        <f>IF($C4034="","",IF($AJ4034=1,0,IF($AI4034=1,Settings!$C$6,Settings!$C$7))*100)</f>
        <v/>
      </c>
      <c r="V4034" s="7">
        <f>IF($C4034="","",R4034*U4034/100)</f>
        <v/>
      </c>
      <c r="W4034" s="7">
        <f>IF($C4034="","",R4034-V4034)</f>
        <v/>
      </c>
      <c r="X4034" s="7">
        <f>IF($C4034="","",W4034-K4034)</f>
        <v/>
      </c>
      <c r="AB4034" s="7" t="n"/>
      <c r="AE4034" s="11" t="n"/>
      <c r="AG4034">
        <f>IF($C4034="","",IF(COUNTIF($C$2:$C4034,$C4034)=1,1,0))</f>
        <v/>
      </c>
      <c r="AH4034">
        <f>IF($AG4034=1,SUMPRODUCT(--($AK$2:$AK$6001&lt;$AK4034))+1,"")</f>
        <v/>
      </c>
      <c r="AI4034">
        <f>IF($C4034="","",IF(OR($N4034=TRUE(),$N4034="TRUE"),1,0))</f>
        <v/>
      </c>
      <c r="AJ4034">
        <f>IF($C4034="","",IF($T4034="Yes",1,0))</f>
        <v/>
      </c>
      <c r="AK4034">
        <f>IF($AG4034=1,IFERROR(IF(VALUE($C4034)&lt;100000000,VALUE($C4034),1000000000),IFERROR(IF(VALUE(MID($C4034,2,20))&lt;100000000,VALUE(MID($C4034,2,20)),1000000000),1000000000))+ROW()/100000,"")</f>
        <v/>
      </c>
    </row>
    <row r="4035">
      <c r="D4035" s="11" t="n"/>
      <c r="K4035" s="7">
        <f>IF($C4035="","",J4035*W4035/100)</f>
        <v/>
      </c>
      <c r="Q4035" s="7" t="n"/>
      <c r="R4035" s="7" t="n"/>
      <c r="U4035">
        <f>IF($C4035="","",IF($AJ4035=1,0,IF($AI4035=1,Settings!$C$6,Settings!$C$7))*100)</f>
        <v/>
      </c>
      <c r="V4035" s="7">
        <f>IF($C4035="","",R4035*U4035/100)</f>
        <v/>
      </c>
      <c r="W4035" s="7">
        <f>IF($C4035="","",R4035-V4035)</f>
        <v/>
      </c>
      <c r="X4035" s="7">
        <f>IF($C4035="","",W4035-K4035)</f>
        <v/>
      </c>
      <c r="AB4035" s="7" t="n"/>
      <c r="AE4035" s="11" t="n"/>
      <c r="AG4035">
        <f>IF($C4035="","",IF(COUNTIF($C$2:$C4035,$C4035)=1,1,0))</f>
        <v/>
      </c>
      <c r="AH4035">
        <f>IF($AG4035=1,SUMPRODUCT(--($AK$2:$AK$6001&lt;$AK4035))+1,"")</f>
        <v/>
      </c>
      <c r="AI4035">
        <f>IF($C4035="","",IF(OR($N4035=TRUE(),$N4035="TRUE"),1,0))</f>
        <v/>
      </c>
      <c r="AJ4035">
        <f>IF($C4035="","",IF($T4035="Yes",1,0))</f>
        <v/>
      </c>
      <c r="AK4035">
        <f>IF($AG4035=1,IFERROR(IF(VALUE($C4035)&lt;100000000,VALUE($C4035),1000000000),IFERROR(IF(VALUE(MID($C4035,2,20))&lt;100000000,VALUE(MID($C4035,2,20)),1000000000),1000000000))+ROW()/100000,"")</f>
        <v/>
      </c>
    </row>
    <row r="4036">
      <c r="D4036" s="11" t="n"/>
      <c r="K4036" s="7">
        <f>IF($C4036="","",J4036*W4036/100)</f>
        <v/>
      </c>
      <c r="Q4036" s="7" t="n"/>
      <c r="R4036" s="7" t="n"/>
      <c r="U4036">
        <f>IF($C4036="","",IF($AJ4036=1,0,IF($AI4036=1,Settings!$C$6,Settings!$C$7))*100)</f>
        <v/>
      </c>
      <c r="V4036" s="7">
        <f>IF($C4036="","",R4036*U4036/100)</f>
        <v/>
      </c>
      <c r="W4036" s="7">
        <f>IF($C4036="","",R4036-V4036)</f>
        <v/>
      </c>
      <c r="X4036" s="7">
        <f>IF($C4036="","",W4036-K4036)</f>
        <v/>
      </c>
      <c r="AB4036" s="7" t="n"/>
      <c r="AE4036" s="11" t="n"/>
      <c r="AG4036">
        <f>IF($C4036="","",IF(COUNTIF($C$2:$C4036,$C4036)=1,1,0))</f>
        <v/>
      </c>
      <c r="AH4036">
        <f>IF($AG4036=1,SUMPRODUCT(--($AK$2:$AK$6001&lt;$AK4036))+1,"")</f>
        <v/>
      </c>
      <c r="AI4036">
        <f>IF($C4036="","",IF(OR($N4036=TRUE(),$N4036="TRUE"),1,0))</f>
        <v/>
      </c>
      <c r="AJ4036">
        <f>IF($C4036="","",IF($T4036="Yes",1,0))</f>
        <v/>
      </c>
      <c r="AK4036">
        <f>IF($AG4036=1,IFERROR(IF(VALUE($C4036)&lt;100000000,VALUE($C4036),1000000000),IFERROR(IF(VALUE(MID($C4036,2,20))&lt;100000000,VALUE(MID($C4036,2,20)),1000000000),1000000000))+ROW()/100000,"")</f>
        <v/>
      </c>
    </row>
    <row r="4037">
      <c r="D4037" s="11" t="n"/>
      <c r="K4037" s="7">
        <f>IF($C4037="","",J4037*W4037/100)</f>
        <v/>
      </c>
      <c r="Q4037" s="7" t="n"/>
      <c r="R4037" s="7" t="n"/>
      <c r="U4037">
        <f>IF($C4037="","",IF($AJ4037=1,0,IF($AI4037=1,Settings!$C$6,Settings!$C$7))*100)</f>
        <v/>
      </c>
      <c r="V4037" s="7">
        <f>IF($C4037="","",R4037*U4037/100)</f>
        <v/>
      </c>
      <c r="W4037" s="7">
        <f>IF($C4037="","",R4037-V4037)</f>
        <v/>
      </c>
      <c r="X4037" s="7">
        <f>IF($C4037="","",W4037-K4037)</f>
        <v/>
      </c>
      <c r="AB4037" s="7" t="n"/>
      <c r="AE4037" s="11" t="n"/>
      <c r="AG4037">
        <f>IF($C4037="","",IF(COUNTIF($C$2:$C4037,$C4037)=1,1,0))</f>
        <v/>
      </c>
      <c r="AH4037">
        <f>IF($AG4037=1,SUMPRODUCT(--($AK$2:$AK$6001&lt;$AK4037))+1,"")</f>
        <v/>
      </c>
      <c r="AI4037">
        <f>IF($C4037="","",IF(OR($N4037=TRUE(),$N4037="TRUE"),1,0))</f>
        <v/>
      </c>
      <c r="AJ4037">
        <f>IF($C4037="","",IF($T4037="Yes",1,0))</f>
        <v/>
      </c>
      <c r="AK4037">
        <f>IF($AG4037=1,IFERROR(IF(VALUE($C4037)&lt;100000000,VALUE($C4037),1000000000),IFERROR(IF(VALUE(MID($C4037,2,20))&lt;100000000,VALUE(MID($C4037,2,20)),1000000000),1000000000))+ROW()/100000,"")</f>
        <v/>
      </c>
    </row>
    <row r="4038">
      <c r="D4038" s="11" t="n"/>
      <c r="K4038" s="7">
        <f>IF($C4038="","",J4038*W4038/100)</f>
        <v/>
      </c>
      <c r="Q4038" s="7" t="n"/>
      <c r="R4038" s="7" t="n"/>
      <c r="U4038">
        <f>IF($C4038="","",IF($AJ4038=1,0,IF($AI4038=1,Settings!$C$6,Settings!$C$7))*100)</f>
        <v/>
      </c>
      <c r="V4038" s="7">
        <f>IF($C4038="","",R4038*U4038/100)</f>
        <v/>
      </c>
      <c r="W4038" s="7">
        <f>IF($C4038="","",R4038-V4038)</f>
        <v/>
      </c>
      <c r="X4038" s="7">
        <f>IF($C4038="","",W4038-K4038)</f>
        <v/>
      </c>
      <c r="AB4038" s="7" t="n"/>
      <c r="AE4038" s="11" t="n"/>
      <c r="AG4038">
        <f>IF($C4038="","",IF(COUNTIF($C$2:$C4038,$C4038)=1,1,0))</f>
        <v/>
      </c>
      <c r="AH4038">
        <f>IF($AG4038=1,SUMPRODUCT(--($AK$2:$AK$6001&lt;$AK4038))+1,"")</f>
        <v/>
      </c>
      <c r="AI4038">
        <f>IF($C4038="","",IF(OR($N4038=TRUE(),$N4038="TRUE"),1,0))</f>
        <v/>
      </c>
      <c r="AJ4038">
        <f>IF($C4038="","",IF($T4038="Yes",1,0))</f>
        <v/>
      </c>
      <c r="AK4038">
        <f>IF($AG4038=1,IFERROR(IF(VALUE($C4038)&lt;100000000,VALUE($C4038),1000000000),IFERROR(IF(VALUE(MID($C4038,2,20))&lt;100000000,VALUE(MID($C4038,2,20)),1000000000),1000000000))+ROW()/100000,"")</f>
        <v/>
      </c>
    </row>
    <row r="4039">
      <c r="D4039" s="11" t="n"/>
      <c r="K4039" s="7">
        <f>IF($C4039="","",J4039*W4039/100)</f>
        <v/>
      </c>
      <c r="Q4039" s="7" t="n"/>
      <c r="R4039" s="7" t="n"/>
      <c r="U4039">
        <f>IF($C4039="","",IF($AJ4039=1,0,IF($AI4039=1,Settings!$C$6,Settings!$C$7))*100)</f>
        <v/>
      </c>
      <c r="V4039" s="7">
        <f>IF($C4039="","",R4039*U4039/100)</f>
        <v/>
      </c>
      <c r="W4039" s="7">
        <f>IF($C4039="","",R4039-V4039)</f>
        <v/>
      </c>
      <c r="X4039" s="7">
        <f>IF($C4039="","",W4039-K4039)</f>
        <v/>
      </c>
      <c r="AB4039" s="7" t="n"/>
      <c r="AE4039" s="11" t="n"/>
      <c r="AG4039">
        <f>IF($C4039="","",IF(COUNTIF($C$2:$C4039,$C4039)=1,1,0))</f>
        <v/>
      </c>
      <c r="AH4039">
        <f>IF($AG4039=1,SUMPRODUCT(--($AK$2:$AK$6001&lt;$AK4039))+1,"")</f>
        <v/>
      </c>
      <c r="AI4039">
        <f>IF($C4039="","",IF(OR($N4039=TRUE(),$N4039="TRUE"),1,0))</f>
        <v/>
      </c>
      <c r="AJ4039">
        <f>IF($C4039="","",IF($T4039="Yes",1,0))</f>
        <v/>
      </c>
      <c r="AK4039">
        <f>IF($AG4039=1,IFERROR(IF(VALUE($C4039)&lt;100000000,VALUE($C4039),1000000000),IFERROR(IF(VALUE(MID($C4039,2,20))&lt;100000000,VALUE(MID($C4039,2,20)),1000000000),1000000000))+ROW()/100000,"")</f>
        <v/>
      </c>
    </row>
    <row r="4040">
      <c r="D4040" s="11" t="n"/>
      <c r="K4040" s="7">
        <f>IF($C4040="","",J4040*W4040/100)</f>
        <v/>
      </c>
      <c r="Q4040" s="7" t="n"/>
      <c r="R4040" s="7" t="n"/>
      <c r="U4040">
        <f>IF($C4040="","",IF($AJ4040=1,0,IF($AI4040=1,Settings!$C$6,Settings!$C$7))*100)</f>
        <v/>
      </c>
      <c r="V4040" s="7">
        <f>IF($C4040="","",R4040*U4040/100)</f>
        <v/>
      </c>
      <c r="W4040" s="7">
        <f>IF($C4040="","",R4040-V4040)</f>
        <v/>
      </c>
      <c r="X4040" s="7">
        <f>IF($C4040="","",W4040-K4040)</f>
        <v/>
      </c>
      <c r="AB4040" s="7" t="n"/>
      <c r="AE4040" s="11" t="n"/>
      <c r="AG4040">
        <f>IF($C4040="","",IF(COUNTIF($C$2:$C4040,$C4040)=1,1,0))</f>
        <v/>
      </c>
      <c r="AH4040">
        <f>IF($AG4040=1,SUMPRODUCT(--($AK$2:$AK$6001&lt;$AK4040))+1,"")</f>
        <v/>
      </c>
      <c r="AI4040">
        <f>IF($C4040="","",IF(OR($N4040=TRUE(),$N4040="TRUE"),1,0))</f>
        <v/>
      </c>
      <c r="AJ4040">
        <f>IF($C4040="","",IF($T4040="Yes",1,0))</f>
        <v/>
      </c>
      <c r="AK4040">
        <f>IF($AG4040=1,IFERROR(IF(VALUE($C4040)&lt;100000000,VALUE($C4040),1000000000),IFERROR(IF(VALUE(MID($C4040,2,20))&lt;100000000,VALUE(MID($C4040,2,20)),1000000000),1000000000))+ROW()/100000,"")</f>
        <v/>
      </c>
    </row>
    <row r="4041">
      <c r="D4041" s="11" t="n"/>
      <c r="K4041" s="7">
        <f>IF($C4041="","",J4041*W4041/100)</f>
        <v/>
      </c>
      <c r="Q4041" s="7" t="n"/>
      <c r="R4041" s="7" t="n"/>
      <c r="U4041">
        <f>IF($C4041="","",IF($AJ4041=1,0,IF($AI4041=1,Settings!$C$6,Settings!$C$7))*100)</f>
        <v/>
      </c>
      <c r="V4041" s="7">
        <f>IF($C4041="","",R4041*U4041/100)</f>
        <v/>
      </c>
      <c r="W4041" s="7">
        <f>IF($C4041="","",R4041-V4041)</f>
        <v/>
      </c>
      <c r="X4041" s="7">
        <f>IF($C4041="","",W4041-K4041)</f>
        <v/>
      </c>
      <c r="AB4041" s="7" t="n"/>
      <c r="AE4041" s="11" t="n"/>
      <c r="AG4041">
        <f>IF($C4041="","",IF(COUNTIF($C$2:$C4041,$C4041)=1,1,0))</f>
        <v/>
      </c>
      <c r="AH4041">
        <f>IF($AG4041=1,SUMPRODUCT(--($AK$2:$AK$6001&lt;$AK4041))+1,"")</f>
        <v/>
      </c>
      <c r="AI4041">
        <f>IF($C4041="","",IF(OR($N4041=TRUE(),$N4041="TRUE"),1,0))</f>
        <v/>
      </c>
      <c r="AJ4041">
        <f>IF($C4041="","",IF($T4041="Yes",1,0))</f>
        <v/>
      </c>
      <c r="AK4041">
        <f>IF($AG4041=1,IFERROR(IF(VALUE($C4041)&lt;100000000,VALUE($C4041),1000000000),IFERROR(IF(VALUE(MID($C4041,2,20))&lt;100000000,VALUE(MID($C4041,2,20)),1000000000),1000000000))+ROW()/100000,"")</f>
        <v/>
      </c>
    </row>
    <row r="4042">
      <c r="D4042" s="11" t="n"/>
      <c r="K4042" s="7">
        <f>IF($C4042="","",J4042*W4042/100)</f>
        <v/>
      </c>
      <c r="Q4042" s="7" t="n"/>
      <c r="R4042" s="7" t="n"/>
      <c r="U4042">
        <f>IF($C4042="","",IF($AJ4042=1,0,IF($AI4042=1,Settings!$C$6,Settings!$C$7))*100)</f>
        <v/>
      </c>
      <c r="V4042" s="7">
        <f>IF($C4042="","",R4042*U4042/100)</f>
        <v/>
      </c>
      <c r="W4042" s="7">
        <f>IF($C4042="","",R4042-V4042)</f>
        <v/>
      </c>
      <c r="X4042" s="7">
        <f>IF($C4042="","",W4042-K4042)</f>
        <v/>
      </c>
      <c r="AB4042" s="7" t="n"/>
      <c r="AE4042" s="11" t="n"/>
      <c r="AG4042">
        <f>IF($C4042="","",IF(COUNTIF($C$2:$C4042,$C4042)=1,1,0))</f>
        <v/>
      </c>
      <c r="AH4042">
        <f>IF($AG4042=1,SUMPRODUCT(--($AK$2:$AK$6001&lt;$AK4042))+1,"")</f>
        <v/>
      </c>
      <c r="AI4042">
        <f>IF($C4042="","",IF(OR($N4042=TRUE(),$N4042="TRUE"),1,0))</f>
        <v/>
      </c>
      <c r="AJ4042">
        <f>IF($C4042="","",IF($T4042="Yes",1,0))</f>
        <v/>
      </c>
      <c r="AK4042">
        <f>IF($AG4042=1,IFERROR(IF(VALUE($C4042)&lt;100000000,VALUE($C4042),1000000000),IFERROR(IF(VALUE(MID($C4042,2,20))&lt;100000000,VALUE(MID($C4042,2,20)),1000000000),1000000000))+ROW()/100000,"")</f>
        <v/>
      </c>
    </row>
    <row r="4043">
      <c r="D4043" s="11" t="n"/>
      <c r="K4043" s="7">
        <f>IF($C4043="","",J4043*W4043/100)</f>
        <v/>
      </c>
      <c r="Q4043" s="7" t="n"/>
      <c r="R4043" s="7" t="n"/>
      <c r="U4043">
        <f>IF($C4043="","",IF($AJ4043=1,0,IF($AI4043=1,Settings!$C$6,Settings!$C$7))*100)</f>
        <v/>
      </c>
      <c r="V4043" s="7">
        <f>IF($C4043="","",R4043*U4043/100)</f>
        <v/>
      </c>
      <c r="W4043" s="7">
        <f>IF($C4043="","",R4043-V4043)</f>
        <v/>
      </c>
      <c r="X4043" s="7">
        <f>IF($C4043="","",W4043-K4043)</f>
        <v/>
      </c>
      <c r="AB4043" s="7" t="n"/>
      <c r="AE4043" s="11" t="n"/>
      <c r="AG4043">
        <f>IF($C4043="","",IF(COUNTIF($C$2:$C4043,$C4043)=1,1,0))</f>
        <v/>
      </c>
      <c r="AH4043">
        <f>IF($AG4043=1,SUMPRODUCT(--($AK$2:$AK$6001&lt;$AK4043))+1,"")</f>
        <v/>
      </c>
      <c r="AI4043">
        <f>IF($C4043="","",IF(OR($N4043=TRUE(),$N4043="TRUE"),1,0))</f>
        <v/>
      </c>
      <c r="AJ4043">
        <f>IF($C4043="","",IF($T4043="Yes",1,0))</f>
        <v/>
      </c>
      <c r="AK4043">
        <f>IF($AG4043=1,IFERROR(IF(VALUE($C4043)&lt;100000000,VALUE($C4043),1000000000),IFERROR(IF(VALUE(MID($C4043,2,20))&lt;100000000,VALUE(MID($C4043,2,20)),1000000000),1000000000))+ROW()/100000,"")</f>
        <v/>
      </c>
    </row>
    <row r="4044">
      <c r="D4044" s="11" t="n"/>
      <c r="K4044" s="7">
        <f>IF($C4044="","",J4044*W4044/100)</f>
        <v/>
      </c>
      <c r="Q4044" s="7" t="n"/>
      <c r="R4044" s="7" t="n"/>
      <c r="U4044">
        <f>IF($C4044="","",IF($AJ4044=1,0,IF($AI4044=1,Settings!$C$6,Settings!$C$7))*100)</f>
        <v/>
      </c>
      <c r="V4044" s="7">
        <f>IF($C4044="","",R4044*U4044/100)</f>
        <v/>
      </c>
      <c r="W4044" s="7">
        <f>IF($C4044="","",R4044-V4044)</f>
        <v/>
      </c>
      <c r="X4044" s="7">
        <f>IF($C4044="","",W4044-K4044)</f>
        <v/>
      </c>
      <c r="AB4044" s="7" t="n"/>
      <c r="AE4044" s="11" t="n"/>
      <c r="AG4044">
        <f>IF($C4044="","",IF(COUNTIF($C$2:$C4044,$C4044)=1,1,0))</f>
        <v/>
      </c>
      <c r="AH4044">
        <f>IF($AG4044=1,SUMPRODUCT(--($AK$2:$AK$6001&lt;$AK4044))+1,"")</f>
        <v/>
      </c>
      <c r="AI4044">
        <f>IF($C4044="","",IF(OR($N4044=TRUE(),$N4044="TRUE"),1,0))</f>
        <v/>
      </c>
      <c r="AJ4044">
        <f>IF($C4044="","",IF($T4044="Yes",1,0))</f>
        <v/>
      </c>
      <c r="AK4044">
        <f>IF($AG4044=1,IFERROR(IF(VALUE($C4044)&lt;100000000,VALUE($C4044),1000000000),IFERROR(IF(VALUE(MID($C4044,2,20))&lt;100000000,VALUE(MID($C4044,2,20)),1000000000),1000000000))+ROW()/100000,"")</f>
        <v/>
      </c>
    </row>
    <row r="4045">
      <c r="D4045" s="11" t="n"/>
      <c r="K4045" s="7">
        <f>IF($C4045="","",J4045*W4045/100)</f>
        <v/>
      </c>
      <c r="Q4045" s="7" t="n"/>
      <c r="R4045" s="7" t="n"/>
      <c r="U4045">
        <f>IF($C4045="","",IF($AJ4045=1,0,IF($AI4045=1,Settings!$C$6,Settings!$C$7))*100)</f>
        <v/>
      </c>
      <c r="V4045" s="7">
        <f>IF($C4045="","",R4045*U4045/100)</f>
        <v/>
      </c>
      <c r="W4045" s="7">
        <f>IF($C4045="","",R4045-V4045)</f>
        <v/>
      </c>
      <c r="X4045" s="7">
        <f>IF($C4045="","",W4045-K4045)</f>
        <v/>
      </c>
      <c r="AB4045" s="7" t="n"/>
      <c r="AE4045" s="11" t="n"/>
      <c r="AG4045">
        <f>IF($C4045="","",IF(COUNTIF($C$2:$C4045,$C4045)=1,1,0))</f>
        <v/>
      </c>
      <c r="AH4045">
        <f>IF($AG4045=1,SUMPRODUCT(--($AK$2:$AK$6001&lt;$AK4045))+1,"")</f>
        <v/>
      </c>
      <c r="AI4045">
        <f>IF($C4045="","",IF(OR($N4045=TRUE(),$N4045="TRUE"),1,0))</f>
        <v/>
      </c>
      <c r="AJ4045">
        <f>IF($C4045="","",IF($T4045="Yes",1,0))</f>
        <v/>
      </c>
      <c r="AK4045">
        <f>IF($AG4045=1,IFERROR(IF(VALUE($C4045)&lt;100000000,VALUE($C4045),1000000000),IFERROR(IF(VALUE(MID($C4045,2,20))&lt;100000000,VALUE(MID($C4045,2,20)),1000000000),1000000000))+ROW()/100000,"")</f>
        <v/>
      </c>
    </row>
    <row r="4046">
      <c r="D4046" s="11" t="n"/>
      <c r="K4046" s="7">
        <f>IF($C4046="","",J4046*W4046/100)</f>
        <v/>
      </c>
      <c r="Q4046" s="7" t="n"/>
      <c r="R4046" s="7" t="n"/>
      <c r="U4046">
        <f>IF($C4046="","",IF($AJ4046=1,0,IF($AI4046=1,Settings!$C$6,Settings!$C$7))*100)</f>
        <v/>
      </c>
      <c r="V4046" s="7">
        <f>IF($C4046="","",R4046*U4046/100)</f>
        <v/>
      </c>
      <c r="W4046" s="7">
        <f>IF($C4046="","",R4046-V4046)</f>
        <v/>
      </c>
      <c r="X4046" s="7">
        <f>IF($C4046="","",W4046-K4046)</f>
        <v/>
      </c>
      <c r="AB4046" s="7" t="n"/>
      <c r="AE4046" s="11" t="n"/>
      <c r="AG4046">
        <f>IF($C4046="","",IF(COUNTIF($C$2:$C4046,$C4046)=1,1,0))</f>
        <v/>
      </c>
      <c r="AH4046">
        <f>IF($AG4046=1,SUMPRODUCT(--($AK$2:$AK$6001&lt;$AK4046))+1,"")</f>
        <v/>
      </c>
      <c r="AI4046">
        <f>IF($C4046="","",IF(OR($N4046=TRUE(),$N4046="TRUE"),1,0))</f>
        <v/>
      </c>
      <c r="AJ4046">
        <f>IF($C4046="","",IF($T4046="Yes",1,0))</f>
        <v/>
      </c>
      <c r="AK4046">
        <f>IF($AG4046=1,IFERROR(IF(VALUE($C4046)&lt;100000000,VALUE($C4046),1000000000),IFERROR(IF(VALUE(MID($C4046,2,20))&lt;100000000,VALUE(MID($C4046,2,20)),1000000000),1000000000))+ROW()/100000,"")</f>
        <v/>
      </c>
    </row>
    <row r="4047">
      <c r="D4047" s="11" t="n"/>
      <c r="K4047" s="7">
        <f>IF($C4047="","",J4047*W4047/100)</f>
        <v/>
      </c>
      <c r="Q4047" s="7" t="n"/>
      <c r="R4047" s="7" t="n"/>
      <c r="U4047">
        <f>IF($C4047="","",IF($AJ4047=1,0,IF($AI4047=1,Settings!$C$6,Settings!$C$7))*100)</f>
        <v/>
      </c>
      <c r="V4047" s="7">
        <f>IF($C4047="","",R4047*U4047/100)</f>
        <v/>
      </c>
      <c r="W4047" s="7">
        <f>IF($C4047="","",R4047-V4047)</f>
        <v/>
      </c>
      <c r="X4047" s="7">
        <f>IF($C4047="","",W4047-K4047)</f>
        <v/>
      </c>
      <c r="AB4047" s="7" t="n"/>
      <c r="AE4047" s="11" t="n"/>
      <c r="AG4047">
        <f>IF($C4047="","",IF(COUNTIF($C$2:$C4047,$C4047)=1,1,0))</f>
        <v/>
      </c>
      <c r="AH4047">
        <f>IF($AG4047=1,SUMPRODUCT(--($AK$2:$AK$6001&lt;$AK4047))+1,"")</f>
        <v/>
      </c>
      <c r="AI4047">
        <f>IF($C4047="","",IF(OR($N4047=TRUE(),$N4047="TRUE"),1,0))</f>
        <v/>
      </c>
      <c r="AJ4047">
        <f>IF($C4047="","",IF($T4047="Yes",1,0))</f>
        <v/>
      </c>
      <c r="AK4047">
        <f>IF($AG4047=1,IFERROR(IF(VALUE($C4047)&lt;100000000,VALUE($C4047),1000000000),IFERROR(IF(VALUE(MID($C4047,2,20))&lt;100000000,VALUE(MID($C4047,2,20)),1000000000),1000000000))+ROW()/100000,"")</f>
        <v/>
      </c>
    </row>
    <row r="4048">
      <c r="D4048" s="11" t="n"/>
      <c r="K4048" s="7">
        <f>IF($C4048="","",J4048*W4048/100)</f>
        <v/>
      </c>
      <c r="Q4048" s="7" t="n"/>
      <c r="R4048" s="7" t="n"/>
      <c r="U4048">
        <f>IF($C4048="","",IF($AJ4048=1,0,IF($AI4048=1,Settings!$C$6,Settings!$C$7))*100)</f>
        <v/>
      </c>
      <c r="V4048" s="7">
        <f>IF($C4048="","",R4048*U4048/100)</f>
        <v/>
      </c>
      <c r="W4048" s="7">
        <f>IF($C4048="","",R4048-V4048)</f>
        <v/>
      </c>
      <c r="X4048" s="7">
        <f>IF($C4048="","",W4048-K4048)</f>
        <v/>
      </c>
      <c r="AB4048" s="7" t="n"/>
      <c r="AE4048" s="11" t="n"/>
      <c r="AG4048">
        <f>IF($C4048="","",IF(COUNTIF($C$2:$C4048,$C4048)=1,1,0))</f>
        <v/>
      </c>
      <c r="AH4048">
        <f>IF($AG4048=1,SUMPRODUCT(--($AK$2:$AK$6001&lt;$AK4048))+1,"")</f>
        <v/>
      </c>
      <c r="AI4048">
        <f>IF($C4048="","",IF(OR($N4048=TRUE(),$N4048="TRUE"),1,0))</f>
        <v/>
      </c>
      <c r="AJ4048">
        <f>IF($C4048="","",IF($T4048="Yes",1,0))</f>
        <v/>
      </c>
      <c r="AK4048">
        <f>IF($AG4048=1,IFERROR(IF(VALUE($C4048)&lt;100000000,VALUE($C4048),1000000000),IFERROR(IF(VALUE(MID($C4048,2,20))&lt;100000000,VALUE(MID($C4048,2,20)),1000000000),1000000000))+ROW()/100000,"")</f>
        <v/>
      </c>
    </row>
    <row r="4049">
      <c r="D4049" s="11" t="n"/>
      <c r="K4049" s="7">
        <f>IF($C4049="","",J4049*W4049/100)</f>
        <v/>
      </c>
      <c r="Q4049" s="7" t="n"/>
      <c r="R4049" s="7" t="n"/>
      <c r="U4049">
        <f>IF($C4049="","",IF($AJ4049=1,0,IF($AI4049=1,Settings!$C$6,Settings!$C$7))*100)</f>
        <v/>
      </c>
      <c r="V4049" s="7">
        <f>IF($C4049="","",R4049*U4049/100)</f>
        <v/>
      </c>
      <c r="W4049" s="7">
        <f>IF($C4049="","",R4049-V4049)</f>
        <v/>
      </c>
      <c r="X4049" s="7">
        <f>IF($C4049="","",W4049-K4049)</f>
        <v/>
      </c>
      <c r="AB4049" s="7" t="n"/>
      <c r="AE4049" s="11" t="n"/>
      <c r="AG4049">
        <f>IF($C4049="","",IF(COUNTIF($C$2:$C4049,$C4049)=1,1,0))</f>
        <v/>
      </c>
      <c r="AH4049">
        <f>IF($AG4049=1,SUMPRODUCT(--($AK$2:$AK$6001&lt;$AK4049))+1,"")</f>
        <v/>
      </c>
      <c r="AI4049">
        <f>IF($C4049="","",IF(OR($N4049=TRUE(),$N4049="TRUE"),1,0))</f>
        <v/>
      </c>
      <c r="AJ4049">
        <f>IF($C4049="","",IF($T4049="Yes",1,0))</f>
        <v/>
      </c>
      <c r="AK4049">
        <f>IF($AG4049=1,IFERROR(IF(VALUE($C4049)&lt;100000000,VALUE($C4049),1000000000),IFERROR(IF(VALUE(MID($C4049,2,20))&lt;100000000,VALUE(MID($C4049,2,20)),1000000000),1000000000))+ROW()/100000,"")</f>
        <v/>
      </c>
    </row>
    <row r="4050">
      <c r="D4050" s="11" t="n"/>
      <c r="K4050" s="7">
        <f>IF($C4050="","",J4050*W4050/100)</f>
        <v/>
      </c>
      <c r="Q4050" s="7" t="n"/>
      <c r="R4050" s="7" t="n"/>
      <c r="U4050">
        <f>IF($C4050="","",IF($AJ4050=1,0,IF($AI4050=1,Settings!$C$6,Settings!$C$7))*100)</f>
        <v/>
      </c>
      <c r="V4050" s="7">
        <f>IF($C4050="","",R4050*U4050/100)</f>
        <v/>
      </c>
      <c r="W4050" s="7">
        <f>IF($C4050="","",R4050-V4050)</f>
        <v/>
      </c>
      <c r="X4050" s="7">
        <f>IF($C4050="","",W4050-K4050)</f>
        <v/>
      </c>
      <c r="AB4050" s="7" t="n"/>
      <c r="AE4050" s="11" t="n"/>
      <c r="AG4050">
        <f>IF($C4050="","",IF(COUNTIF($C$2:$C4050,$C4050)=1,1,0))</f>
        <v/>
      </c>
      <c r="AH4050">
        <f>IF($AG4050=1,SUMPRODUCT(--($AK$2:$AK$6001&lt;$AK4050))+1,"")</f>
        <v/>
      </c>
      <c r="AI4050">
        <f>IF($C4050="","",IF(OR($N4050=TRUE(),$N4050="TRUE"),1,0))</f>
        <v/>
      </c>
      <c r="AJ4050">
        <f>IF($C4050="","",IF($T4050="Yes",1,0))</f>
        <v/>
      </c>
      <c r="AK4050">
        <f>IF($AG4050=1,IFERROR(IF(VALUE($C4050)&lt;100000000,VALUE($C4050),1000000000),IFERROR(IF(VALUE(MID($C4050,2,20))&lt;100000000,VALUE(MID($C4050,2,20)),1000000000),1000000000))+ROW()/100000,"")</f>
        <v/>
      </c>
    </row>
    <row r="4051">
      <c r="D4051" s="11" t="n"/>
      <c r="K4051" s="7">
        <f>IF($C4051="","",J4051*W4051/100)</f>
        <v/>
      </c>
      <c r="Q4051" s="7" t="n"/>
      <c r="R4051" s="7" t="n"/>
      <c r="U4051">
        <f>IF($C4051="","",IF($AJ4051=1,0,IF($AI4051=1,Settings!$C$6,Settings!$C$7))*100)</f>
        <v/>
      </c>
      <c r="V4051" s="7">
        <f>IF($C4051="","",R4051*U4051/100)</f>
        <v/>
      </c>
      <c r="W4051" s="7">
        <f>IF($C4051="","",R4051-V4051)</f>
        <v/>
      </c>
      <c r="X4051" s="7">
        <f>IF($C4051="","",W4051-K4051)</f>
        <v/>
      </c>
      <c r="AB4051" s="7" t="n"/>
      <c r="AE4051" s="11" t="n"/>
      <c r="AG4051">
        <f>IF($C4051="","",IF(COUNTIF($C$2:$C4051,$C4051)=1,1,0))</f>
        <v/>
      </c>
      <c r="AH4051">
        <f>IF($AG4051=1,SUMPRODUCT(--($AK$2:$AK$6001&lt;$AK4051))+1,"")</f>
        <v/>
      </c>
      <c r="AI4051">
        <f>IF($C4051="","",IF(OR($N4051=TRUE(),$N4051="TRUE"),1,0))</f>
        <v/>
      </c>
      <c r="AJ4051">
        <f>IF($C4051="","",IF($T4051="Yes",1,0))</f>
        <v/>
      </c>
      <c r="AK4051">
        <f>IF($AG4051=1,IFERROR(IF(VALUE($C4051)&lt;100000000,VALUE($C4051),1000000000),IFERROR(IF(VALUE(MID($C4051,2,20))&lt;100000000,VALUE(MID($C4051,2,20)),1000000000),1000000000))+ROW()/100000,"")</f>
        <v/>
      </c>
    </row>
    <row r="4052">
      <c r="D4052" s="11" t="n"/>
      <c r="K4052" s="7">
        <f>IF($C4052="","",J4052*W4052/100)</f>
        <v/>
      </c>
      <c r="Q4052" s="7" t="n"/>
      <c r="R4052" s="7" t="n"/>
      <c r="U4052">
        <f>IF($C4052="","",IF($AJ4052=1,0,IF($AI4052=1,Settings!$C$6,Settings!$C$7))*100)</f>
        <v/>
      </c>
      <c r="V4052" s="7">
        <f>IF($C4052="","",R4052*U4052/100)</f>
        <v/>
      </c>
      <c r="W4052" s="7">
        <f>IF($C4052="","",R4052-V4052)</f>
        <v/>
      </c>
      <c r="X4052" s="7">
        <f>IF($C4052="","",W4052-K4052)</f>
        <v/>
      </c>
      <c r="AB4052" s="7" t="n"/>
      <c r="AE4052" s="11" t="n"/>
      <c r="AG4052">
        <f>IF($C4052="","",IF(COUNTIF($C$2:$C4052,$C4052)=1,1,0))</f>
        <v/>
      </c>
      <c r="AH4052">
        <f>IF($AG4052=1,SUMPRODUCT(--($AK$2:$AK$6001&lt;$AK4052))+1,"")</f>
        <v/>
      </c>
      <c r="AI4052">
        <f>IF($C4052="","",IF(OR($N4052=TRUE(),$N4052="TRUE"),1,0))</f>
        <v/>
      </c>
      <c r="AJ4052">
        <f>IF($C4052="","",IF($T4052="Yes",1,0))</f>
        <v/>
      </c>
      <c r="AK4052">
        <f>IF($AG4052=1,IFERROR(IF(VALUE($C4052)&lt;100000000,VALUE($C4052),1000000000),IFERROR(IF(VALUE(MID($C4052,2,20))&lt;100000000,VALUE(MID($C4052,2,20)),1000000000),1000000000))+ROW()/100000,"")</f>
        <v/>
      </c>
    </row>
    <row r="4053">
      <c r="D4053" s="11" t="n"/>
      <c r="K4053" s="7">
        <f>IF($C4053="","",J4053*W4053/100)</f>
        <v/>
      </c>
      <c r="Q4053" s="7" t="n"/>
      <c r="R4053" s="7" t="n"/>
      <c r="U4053">
        <f>IF($C4053="","",IF($AJ4053=1,0,IF($AI4053=1,Settings!$C$6,Settings!$C$7))*100)</f>
        <v/>
      </c>
      <c r="V4053" s="7">
        <f>IF($C4053="","",R4053*U4053/100)</f>
        <v/>
      </c>
      <c r="W4053" s="7">
        <f>IF($C4053="","",R4053-V4053)</f>
        <v/>
      </c>
      <c r="X4053" s="7">
        <f>IF($C4053="","",W4053-K4053)</f>
        <v/>
      </c>
      <c r="AB4053" s="7" t="n"/>
      <c r="AE4053" s="11" t="n"/>
      <c r="AG4053">
        <f>IF($C4053="","",IF(COUNTIF($C$2:$C4053,$C4053)=1,1,0))</f>
        <v/>
      </c>
      <c r="AH4053">
        <f>IF($AG4053=1,SUMPRODUCT(--($AK$2:$AK$6001&lt;$AK4053))+1,"")</f>
        <v/>
      </c>
      <c r="AI4053">
        <f>IF($C4053="","",IF(OR($N4053=TRUE(),$N4053="TRUE"),1,0))</f>
        <v/>
      </c>
      <c r="AJ4053">
        <f>IF($C4053="","",IF($T4053="Yes",1,0))</f>
        <v/>
      </c>
      <c r="AK4053">
        <f>IF($AG4053=1,IFERROR(IF(VALUE($C4053)&lt;100000000,VALUE($C4053),1000000000),IFERROR(IF(VALUE(MID($C4053,2,20))&lt;100000000,VALUE(MID($C4053,2,20)),1000000000),1000000000))+ROW()/100000,"")</f>
        <v/>
      </c>
    </row>
    <row r="4054">
      <c r="D4054" s="11" t="n"/>
      <c r="K4054" s="7">
        <f>IF($C4054="","",J4054*W4054/100)</f>
        <v/>
      </c>
      <c r="Q4054" s="7" t="n"/>
      <c r="R4054" s="7" t="n"/>
      <c r="U4054">
        <f>IF($C4054="","",IF($AJ4054=1,0,IF($AI4054=1,Settings!$C$6,Settings!$C$7))*100)</f>
        <v/>
      </c>
      <c r="V4054" s="7">
        <f>IF($C4054="","",R4054*U4054/100)</f>
        <v/>
      </c>
      <c r="W4054" s="7">
        <f>IF($C4054="","",R4054-V4054)</f>
        <v/>
      </c>
      <c r="X4054" s="7">
        <f>IF($C4054="","",W4054-K4054)</f>
        <v/>
      </c>
      <c r="AB4054" s="7" t="n"/>
      <c r="AE4054" s="11" t="n"/>
      <c r="AG4054">
        <f>IF($C4054="","",IF(COUNTIF($C$2:$C4054,$C4054)=1,1,0))</f>
        <v/>
      </c>
      <c r="AH4054">
        <f>IF($AG4054=1,SUMPRODUCT(--($AK$2:$AK$6001&lt;$AK4054))+1,"")</f>
        <v/>
      </c>
      <c r="AI4054">
        <f>IF($C4054="","",IF(OR($N4054=TRUE(),$N4054="TRUE"),1,0))</f>
        <v/>
      </c>
      <c r="AJ4054">
        <f>IF($C4054="","",IF($T4054="Yes",1,0))</f>
        <v/>
      </c>
      <c r="AK4054">
        <f>IF($AG4054=1,IFERROR(IF(VALUE($C4054)&lt;100000000,VALUE($C4054),1000000000),IFERROR(IF(VALUE(MID($C4054,2,20))&lt;100000000,VALUE(MID($C4054,2,20)),1000000000),1000000000))+ROW()/100000,"")</f>
        <v/>
      </c>
    </row>
    <row r="4055">
      <c r="D4055" s="11" t="n"/>
      <c r="K4055" s="7">
        <f>IF($C4055="","",J4055*W4055/100)</f>
        <v/>
      </c>
      <c r="Q4055" s="7" t="n"/>
      <c r="R4055" s="7" t="n"/>
      <c r="U4055">
        <f>IF($C4055="","",IF($AJ4055=1,0,IF($AI4055=1,Settings!$C$6,Settings!$C$7))*100)</f>
        <v/>
      </c>
      <c r="V4055" s="7">
        <f>IF($C4055="","",R4055*U4055/100)</f>
        <v/>
      </c>
      <c r="W4055" s="7">
        <f>IF($C4055="","",R4055-V4055)</f>
        <v/>
      </c>
      <c r="X4055" s="7">
        <f>IF($C4055="","",W4055-K4055)</f>
        <v/>
      </c>
      <c r="AB4055" s="7" t="n"/>
      <c r="AE4055" s="11" t="n"/>
      <c r="AG4055">
        <f>IF($C4055="","",IF(COUNTIF($C$2:$C4055,$C4055)=1,1,0))</f>
        <v/>
      </c>
      <c r="AH4055">
        <f>IF($AG4055=1,SUMPRODUCT(--($AK$2:$AK$6001&lt;$AK4055))+1,"")</f>
        <v/>
      </c>
      <c r="AI4055">
        <f>IF($C4055="","",IF(OR($N4055=TRUE(),$N4055="TRUE"),1,0))</f>
        <v/>
      </c>
      <c r="AJ4055">
        <f>IF($C4055="","",IF($T4055="Yes",1,0))</f>
        <v/>
      </c>
      <c r="AK4055">
        <f>IF($AG4055=1,IFERROR(IF(VALUE($C4055)&lt;100000000,VALUE($C4055),1000000000),IFERROR(IF(VALUE(MID($C4055,2,20))&lt;100000000,VALUE(MID($C4055,2,20)),1000000000),1000000000))+ROW()/100000,"")</f>
        <v/>
      </c>
    </row>
    <row r="4056">
      <c r="D4056" s="11" t="n"/>
      <c r="K4056" s="7">
        <f>IF($C4056="","",J4056*W4056/100)</f>
        <v/>
      </c>
      <c r="Q4056" s="7" t="n"/>
      <c r="R4056" s="7" t="n"/>
      <c r="U4056">
        <f>IF($C4056="","",IF($AJ4056=1,0,IF($AI4056=1,Settings!$C$6,Settings!$C$7))*100)</f>
        <v/>
      </c>
      <c r="V4056" s="7">
        <f>IF($C4056="","",R4056*U4056/100)</f>
        <v/>
      </c>
      <c r="W4056" s="7">
        <f>IF($C4056="","",R4056-V4056)</f>
        <v/>
      </c>
      <c r="X4056" s="7">
        <f>IF($C4056="","",W4056-K4056)</f>
        <v/>
      </c>
      <c r="AB4056" s="7" t="n"/>
      <c r="AE4056" s="11" t="n"/>
      <c r="AG4056">
        <f>IF($C4056="","",IF(COUNTIF($C$2:$C4056,$C4056)=1,1,0))</f>
        <v/>
      </c>
      <c r="AH4056">
        <f>IF($AG4056=1,SUMPRODUCT(--($AK$2:$AK$6001&lt;$AK4056))+1,"")</f>
        <v/>
      </c>
      <c r="AI4056">
        <f>IF($C4056="","",IF(OR($N4056=TRUE(),$N4056="TRUE"),1,0))</f>
        <v/>
      </c>
      <c r="AJ4056">
        <f>IF($C4056="","",IF($T4056="Yes",1,0))</f>
        <v/>
      </c>
      <c r="AK4056">
        <f>IF($AG4056=1,IFERROR(IF(VALUE($C4056)&lt;100000000,VALUE($C4056),1000000000),IFERROR(IF(VALUE(MID($C4056,2,20))&lt;100000000,VALUE(MID($C4056,2,20)),1000000000),1000000000))+ROW()/100000,"")</f>
        <v/>
      </c>
    </row>
    <row r="4057">
      <c r="D4057" s="11" t="n"/>
      <c r="K4057" s="7">
        <f>IF($C4057="","",J4057*W4057/100)</f>
        <v/>
      </c>
      <c r="Q4057" s="7" t="n"/>
      <c r="R4057" s="7" t="n"/>
      <c r="U4057">
        <f>IF($C4057="","",IF($AJ4057=1,0,IF($AI4057=1,Settings!$C$6,Settings!$C$7))*100)</f>
        <v/>
      </c>
      <c r="V4057" s="7">
        <f>IF($C4057="","",R4057*U4057/100)</f>
        <v/>
      </c>
      <c r="W4057" s="7">
        <f>IF($C4057="","",R4057-V4057)</f>
        <v/>
      </c>
      <c r="X4057" s="7">
        <f>IF($C4057="","",W4057-K4057)</f>
        <v/>
      </c>
      <c r="AB4057" s="7" t="n"/>
      <c r="AE4057" s="11" t="n"/>
      <c r="AG4057">
        <f>IF($C4057="","",IF(COUNTIF($C$2:$C4057,$C4057)=1,1,0))</f>
        <v/>
      </c>
      <c r="AH4057">
        <f>IF($AG4057=1,SUMPRODUCT(--($AK$2:$AK$6001&lt;$AK4057))+1,"")</f>
        <v/>
      </c>
      <c r="AI4057">
        <f>IF($C4057="","",IF(OR($N4057=TRUE(),$N4057="TRUE"),1,0))</f>
        <v/>
      </c>
      <c r="AJ4057">
        <f>IF($C4057="","",IF($T4057="Yes",1,0))</f>
        <v/>
      </c>
      <c r="AK4057">
        <f>IF($AG4057=1,IFERROR(IF(VALUE($C4057)&lt;100000000,VALUE($C4057),1000000000),IFERROR(IF(VALUE(MID($C4057,2,20))&lt;100000000,VALUE(MID($C4057,2,20)),1000000000),1000000000))+ROW()/100000,"")</f>
        <v/>
      </c>
    </row>
    <row r="4058">
      <c r="D4058" s="11" t="n"/>
      <c r="K4058" s="7">
        <f>IF($C4058="","",J4058*W4058/100)</f>
        <v/>
      </c>
      <c r="Q4058" s="7" t="n"/>
      <c r="R4058" s="7" t="n"/>
      <c r="U4058">
        <f>IF($C4058="","",IF($AJ4058=1,0,IF($AI4058=1,Settings!$C$6,Settings!$C$7))*100)</f>
        <v/>
      </c>
      <c r="V4058" s="7">
        <f>IF($C4058="","",R4058*U4058/100)</f>
        <v/>
      </c>
      <c r="W4058" s="7">
        <f>IF($C4058="","",R4058-V4058)</f>
        <v/>
      </c>
      <c r="X4058" s="7">
        <f>IF($C4058="","",W4058-K4058)</f>
        <v/>
      </c>
      <c r="AB4058" s="7" t="n"/>
      <c r="AE4058" s="11" t="n"/>
      <c r="AG4058">
        <f>IF($C4058="","",IF(COUNTIF($C$2:$C4058,$C4058)=1,1,0))</f>
        <v/>
      </c>
      <c r="AH4058">
        <f>IF($AG4058=1,SUMPRODUCT(--($AK$2:$AK$6001&lt;$AK4058))+1,"")</f>
        <v/>
      </c>
      <c r="AI4058">
        <f>IF($C4058="","",IF(OR($N4058=TRUE(),$N4058="TRUE"),1,0))</f>
        <v/>
      </c>
      <c r="AJ4058">
        <f>IF($C4058="","",IF($T4058="Yes",1,0))</f>
        <v/>
      </c>
      <c r="AK4058">
        <f>IF($AG4058=1,IFERROR(IF(VALUE($C4058)&lt;100000000,VALUE($C4058),1000000000),IFERROR(IF(VALUE(MID($C4058,2,20))&lt;100000000,VALUE(MID($C4058,2,20)),1000000000),1000000000))+ROW()/100000,"")</f>
        <v/>
      </c>
    </row>
    <row r="4059">
      <c r="D4059" s="11" t="n"/>
      <c r="K4059" s="7">
        <f>IF($C4059="","",J4059*W4059/100)</f>
        <v/>
      </c>
      <c r="Q4059" s="7" t="n"/>
      <c r="R4059" s="7" t="n"/>
      <c r="U4059">
        <f>IF($C4059="","",IF($AJ4059=1,0,IF($AI4059=1,Settings!$C$6,Settings!$C$7))*100)</f>
        <v/>
      </c>
      <c r="V4059" s="7">
        <f>IF($C4059="","",R4059*U4059/100)</f>
        <v/>
      </c>
      <c r="W4059" s="7">
        <f>IF($C4059="","",R4059-V4059)</f>
        <v/>
      </c>
      <c r="X4059" s="7">
        <f>IF($C4059="","",W4059-K4059)</f>
        <v/>
      </c>
      <c r="AB4059" s="7" t="n"/>
      <c r="AE4059" s="11" t="n"/>
      <c r="AG4059">
        <f>IF($C4059="","",IF(COUNTIF($C$2:$C4059,$C4059)=1,1,0))</f>
        <v/>
      </c>
      <c r="AH4059">
        <f>IF($AG4059=1,SUMPRODUCT(--($AK$2:$AK$6001&lt;$AK4059))+1,"")</f>
        <v/>
      </c>
      <c r="AI4059">
        <f>IF($C4059="","",IF(OR($N4059=TRUE(),$N4059="TRUE"),1,0))</f>
        <v/>
      </c>
      <c r="AJ4059">
        <f>IF($C4059="","",IF($T4059="Yes",1,0))</f>
        <v/>
      </c>
      <c r="AK4059">
        <f>IF($AG4059=1,IFERROR(IF(VALUE($C4059)&lt;100000000,VALUE($C4059),1000000000),IFERROR(IF(VALUE(MID($C4059,2,20))&lt;100000000,VALUE(MID($C4059,2,20)),1000000000),1000000000))+ROW()/100000,"")</f>
        <v/>
      </c>
    </row>
    <row r="4060">
      <c r="D4060" s="11" t="n"/>
      <c r="K4060" s="7">
        <f>IF($C4060="","",J4060*W4060/100)</f>
        <v/>
      </c>
      <c r="Q4060" s="7" t="n"/>
      <c r="R4060" s="7" t="n"/>
      <c r="U4060">
        <f>IF($C4060="","",IF($AJ4060=1,0,IF($AI4060=1,Settings!$C$6,Settings!$C$7))*100)</f>
        <v/>
      </c>
      <c r="V4060" s="7">
        <f>IF($C4060="","",R4060*U4060/100)</f>
        <v/>
      </c>
      <c r="W4060" s="7">
        <f>IF($C4060="","",R4060-V4060)</f>
        <v/>
      </c>
      <c r="X4060" s="7">
        <f>IF($C4060="","",W4060-K4060)</f>
        <v/>
      </c>
      <c r="AB4060" s="7" t="n"/>
      <c r="AE4060" s="11" t="n"/>
      <c r="AG4060">
        <f>IF($C4060="","",IF(COUNTIF($C$2:$C4060,$C4060)=1,1,0))</f>
        <v/>
      </c>
      <c r="AH4060">
        <f>IF($AG4060=1,SUMPRODUCT(--($AK$2:$AK$6001&lt;$AK4060))+1,"")</f>
        <v/>
      </c>
      <c r="AI4060">
        <f>IF($C4060="","",IF(OR($N4060=TRUE(),$N4060="TRUE"),1,0))</f>
        <v/>
      </c>
      <c r="AJ4060">
        <f>IF($C4060="","",IF($T4060="Yes",1,0))</f>
        <v/>
      </c>
      <c r="AK4060">
        <f>IF($AG4060=1,IFERROR(IF(VALUE($C4060)&lt;100000000,VALUE($C4060),1000000000),IFERROR(IF(VALUE(MID($C4060,2,20))&lt;100000000,VALUE(MID($C4060,2,20)),1000000000),1000000000))+ROW()/100000,"")</f>
        <v/>
      </c>
    </row>
    <row r="4061">
      <c r="D4061" s="11" t="n"/>
      <c r="K4061" s="7">
        <f>IF($C4061="","",J4061*W4061/100)</f>
        <v/>
      </c>
      <c r="Q4061" s="7" t="n"/>
      <c r="R4061" s="7" t="n"/>
      <c r="U4061">
        <f>IF($C4061="","",IF($AJ4061=1,0,IF($AI4061=1,Settings!$C$6,Settings!$C$7))*100)</f>
        <v/>
      </c>
      <c r="V4061" s="7">
        <f>IF($C4061="","",R4061*U4061/100)</f>
        <v/>
      </c>
      <c r="W4061" s="7">
        <f>IF($C4061="","",R4061-V4061)</f>
        <v/>
      </c>
      <c r="X4061" s="7">
        <f>IF($C4061="","",W4061-K4061)</f>
        <v/>
      </c>
      <c r="AB4061" s="7" t="n"/>
      <c r="AE4061" s="11" t="n"/>
      <c r="AG4061">
        <f>IF($C4061="","",IF(COUNTIF($C$2:$C4061,$C4061)=1,1,0))</f>
        <v/>
      </c>
      <c r="AH4061">
        <f>IF($AG4061=1,SUMPRODUCT(--($AK$2:$AK$6001&lt;$AK4061))+1,"")</f>
        <v/>
      </c>
      <c r="AI4061">
        <f>IF($C4061="","",IF(OR($N4061=TRUE(),$N4061="TRUE"),1,0))</f>
        <v/>
      </c>
      <c r="AJ4061">
        <f>IF($C4061="","",IF($T4061="Yes",1,0))</f>
        <v/>
      </c>
      <c r="AK4061">
        <f>IF($AG4061=1,IFERROR(IF(VALUE($C4061)&lt;100000000,VALUE($C4061),1000000000),IFERROR(IF(VALUE(MID($C4061,2,20))&lt;100000000,VALUE(MID($C4061,2,20)),1000000000),1000000000))+ROW()/100000,"")</f>
        <v/>
      </c>
    </row>
    <row r="4062">
      <c r="D4062" s="11" t="n"/>
      <c r="K4062" s="7">
        <f>IF($C4062="","",J4062*W4062/100)</f>
        <v/>
      </c>
      <c r="Q4062" s="7" t="n"/>
      <c r="R4062" s="7" t="n"/>
      <c r="U4062">
        <f>IF($C4062="","",IF($AJ4062=1,0,IF($AI4062=1,Settings!$C$6,Settings!$C$7))*100)</f>
        <v/>
      </c>
      <c r="V4062" s="7">
        <f>IF($C4062="","",R4062*U4062/100)</f>
        <v/>
      </c>
      <c r="W4062" s="7">
        <f>IF($C4062="","",R4062-V4062)</f>
        <v/>
      </c>
      <c r="X4062" s="7">
        <f>IF($C4062="","",W4062-K4062)</f>
        <v/>
      </c>
      <c r="AB4062" s="7" t="n"/>
      <c r="AE4062" s="11" t="n"/>
      <c r="AG4062">
        <f>IF($C4062="","",IF(COUNTIF($C$2:$C4062,$C4062)=1,1,0))</f>
        <v/>
      </c>
      <c r="AH4062">
        <f>IF($AG4062=1,SUMPRODUCT(--($AK$2:$AK$6001&lt;$AK4062))+1,"")</f>
        <v/>
      </c>
      <c r="AI4062">
        <f>IF($C4062="","",IF(OR($N4062=TRUE(),$N4062="TRUE"),1,0))</f>
        <v/>
      </c>
      <c r="AJ4062">
        <f>IF($C4062="","",IF($T4062="Yes",1,0))</f>
        <v/>
      </c>
      <c r="AK4062">
        <f>IF($AG4062=1,IFERROR(IF(VALUE($C4062)&lt;100000000,VALUE($C4062),1000000000),IFERROR(IF(VALUE(MID($C4062,2,20))&lt;100000000,VALUE(MID($C4062,2,20)),1000000000),1000000000))+ROW()/100000,"")</f>
        <v/>
      </c>
    </row>
    <row r="4063">
      <c r="D4063" s="11" t="n"/>
      <c r="K4063" s="7">
        <f>IF($C4063="","",J4063*W4063/100)</f>
        <v/>
      </c>
      <c r="Q4063" s="7" t="n"/>
      <c r="R4063" s="7" t="n"/>
      <c r="U4063">
        <f>IF($C4063="","",IF($AJ4063=1,0,IF($AI4063=1,Settings!$C$6,Settings!$C$7))*100)</f>
        <v/>
      </c>
      <c r="V4063" s="7">
        <f>IF($C4063="","",R4063*U4063/100)</f>
        <v/>
      </c>
      <c r="W4063" s="7">
        <f>IF($C4063="","",R4063-V4063)</f>
        <v/>
      </c>
      <c r="X4063" s="7">
        <f>IF($C4063="","",W4063-K4063)</f>
        <v/>
      </c>
      <c r="AB4063" s="7" t="n"/>
      <c r="AE4063" s="11" t="n"/>
      <c r="AG4063">
        <f>IF($C4063="","",IF(COUNTIF($C$2:$C4063,$C4063)=1,1,0))</f>
        <v/>
      </c>
      <c r="AH4063">
        <f>IF($AG4063=1,SUMPRODUCT(--($AK$2:$AK$6001&lt;$AK4063))+1,"")</f>
        <v/>
      </c>
      <c r="AI4063">
        <f>IF($C4063="","",IF(OR($N4063=TRUE(),$N4063="TRUE"),1,0))</f>
        <v/>
      </c>
      <c r="AJ4063">
        <f>IF($C4063="","",IF($T4063="Yes",1,0))</f>
        <v/>
      </c>
      <c r="AK4063">
        <f>IF($AG4063=1,IFERROR(IF(VALUE($C4063)&lt;100000000,VALUE($C4063),1000000000),IFERROR(IF(VALUE(MID($C4063,2,20))&lt;100000000,VALUE(MID($C4063,2,20)),1000000000),1000000000))+ROW()/100000,"")</f>
        <v/>
      </c>
    </row>
    <row r="4064">
      <c r="D4064" s="11" t="n"/>
      <c r="K4064" s="7">
        <f>IF($C4064="","",J4064*W4064/100)</f>
        <v/>
      </c>
      <c r="Q4064" s="7" t="n"/>
      <c r="R4064" s="7" t="n"/>
      <c r="U4064">
        <f>IF($C4064="","",IF($AJ4064=1,0,IF($AI4064=1,Settings!$C$6,Settings!$C$7))*100)</f>
        <v/>
      </c>
      <c r="V4064" s="7">
        <f>IF($C4064="","",R4064*U4064/100)</f>
        <v/>
      </c>
      <c r="W4064" s="7">
        <f>IF($C4064="","",R4064-V4064)</f>
        <v/>
      </c>
      <c r="X4064" s="7">
        <f>IF($C4064="","",W4064-K4064)</f>
        <v/>
      </c>
      <c r="AB4064" s="7" t="n"/>
      <c r="AE4064" s="11" t="n"/>
      <c r="AG4064">
        <f>IF($C4064="","",IF(COUNTIF($C$2:$C4064,$C4064)=1,1,0))</f>
        <v/>
      </c>
      <c r="AH4064">
        <f>IF($AG4064=1,SUMPRODUCT(--($AK$2:$AK$6001&lt;$AK4064))+1,"")</f>
        <v/>
      </c>
      <c r="AI4064">
        <f>IF($C4064="","",IF(OR($N4064=TRUE(),$N4064="TRUE"),1,0))</f>
        <v/>
      </c>
      <c r="AJ4064">
        <f>IF($C4064="","",IF($T4064="Yes",1,0))</f>
        <v/>
      </c>
      <c r="AK4064">
        <f>IF($AG4064=1,IFERROR(IF(VALUE($C4064)&lt;100000000,VALUE($C4064),1000000000),IFERROR(IF(VALUE(MID($C4064,2,20))&lt;100000000,VALUE(MID($C4064,2,20)),1000000000),1000000000))+ROW()/100000,"")</f>
        <v/>
      </c>
    </row>
    <row r="4065">
      <c r="D4065" s="11" t="n"/>
      <c r="K4065" s="7">
        <f>IF($C4065="","",J4065*W4065/100)</f>
        <v/>
      </c>
      <c r="Q4065" s="7" t="n"/>
      <c r="R4065" s="7" t="n"/>
      <c r="U4065">
        <f>IF($C4065="","",IF($AJ4065=1,0,IF($AI4065=1,Settings!$C$6,Settings!$C$7))*100)</f>
        <v/>
      </c>
      <c r="V4065" s="7">
        <f>IF($C4065="","",R4065*U4065/100)</f>
        <v/>
      </c>
      <c r="W4065" s="7">
        <f>IF($C4065="","",R4065-V4065)</f>
        <v/>
      </c>
      <c r="X4065" s="7">
        <f>IF($C4065="","",W4065-K4065)</f>
        <v/>
      </c>
      <c r="AB4065" s="7" t="n"/>
      <c r="AE4065" s="11" t="n"/>
      <c r="AG4065">
        <f>IF($C4065="","",IF(COUNTIF($C$2:$C4065,$C4065)=1,1,0))</f>
        <v/>
      </c>
      <c r="AH4065">
        <f>IF($AG4065=1,SUMPRODUCT(--($AK$2:$AK$6001&lt;$AK4065))+1,"")</f>
        <v/>
      </c>
      <c r="AI4065">
        <f>IF($C4065="","",IF(OR($N4065=TRUE(),$N4065="TRUE"),1,0))</f>
        <v/>
      </c>
      <c r="AJ4065">
        <f>IF($C4065="","",IF($T4065="Yes",1,0))</f>
        <v/>
      </c>
      <c r="AK4065">
        <f>IF($AG4065=1,IFERROR(IF(VALUE($C4065)&lt;100000000,VALUE($C4065),1000000000),IFERROR(IF(VALUE(MID($C4065,2,20))&lt;100000000,VALUE(MID($C4065,2,20)),1000000000),1000000000))+ROW()/100000,"")</f>
        <v/>
      </c>
    </row>
    <row r="4066">
      <c r="D4066" s="11" t="n"/>
      <c r="K4066" s="7">
        <f>IF($C4066="","",J4066*W4066/100)</f>
        <v/>
      </c>
      <c r="Q4066" s="7" t="n"/>
      <c r="R4066" s="7" t="n"/>
      <c r="U4066">
        <f>IF($C4066="","",IF($AJ4066=1,0,IF($AI4066=1,Settings!$C$6,Settings!$C$7))*100)</f>
        <v/>
      </c>
      <c r="V4066" s="7">
        <f>IF($C4066="","",R4066*U4066/100)</f>
        <v/>
      </c>
      <c r="W4066" s="7">
        <f>IF($C4066="","",R4066-V4066)</f>
        <v/>
      </c>
      <c r="X4066" s="7">
        <f>IF($C4066="","",W4066-K4066)</f>
        <v/>
      </c>
      <c r="AB4066" s="7" t="n"/>
      <c r="AE4066" s="11" t="n"/>
      <c r="AG4066">
        <f>IF($C4066="","",IF(COUNTIF($C$2:$C4066,$C4066)=1,1,0))</f>
        <v/>
      </c>
      <c r="AH4066">
        <f>IF($AG4066=1,SUMPRODUCT(--($AK$2:$AK$6001&lt;$AK4066))+1,"")</f>
        <v/>
      </c>
      <c r="AI4066">
        <f>IF($C4066="","",IF(OR($N4066=TRUE(),$N4066="TRUE"),1,0))</f>
        <v/>
      </c>
      <c r="AJ4066">
        <f>IF($C4066="","",IF($T4066="Yes",1,0))</f>
        <v/>
      </c>
      <c r="AK4066">
        <f>IF($AG4066=1,IFERROR(IF(VALUE($C4066)&lt;100000000,VALUE($C4066),1000000000),IFERROR(IF(VALUE(MID($C4066,2,20))&lt;100000000,VALUE(MID($C4066,2,20)),1000000000),1000000000))+ROW()/100000,"")</f>
        <v/>
      </c>
    </row>
    <row r="4067">
      <c r="D4067" s="11" t="n"/>
      <c r="K4067" s="7">
        <f>IF($C4067="","",J4067*W4067/100)</f>
        <v/>
      </c>
      <c r="Q4067" s="7" t="n"/>
      <c r="R4067" s="7" t="n"/>
      <c r="U4067">
        <f>IF($C4067="","",IF($AJ4067=1,0,IF($AI4067=1,Settings!$C$6,Settings!$C$7))*100)</f>
        <v/>
      </c>
      <c r="V4067" s="7">
        <f>IF($C4067="","",R4067*U4067/100)</f>
        <v/>
      </c>
      <c r="W4067" s="7">
        <f>IF($C4067="","",R4067-V4067)</f>
        <v/>
      </c>
      <c r="X4067" s="7">
        <f>IF($C4067="","",W4067-K4067)</f>
        <v/>
      </c>
      <c r="AB4067" s="7" t="n"/>
      <c r="AE4067" s="11" t="n"/>
      <c r="AG4067">
        <f>IF($C4067="","",IF(COUNTIF($C$2:$C4067,$C4067)=1,1,0))</f>
        <v/>
      </c>
      <c r="AH4067">
        <f>IF($AG4067=1,SUMPRODUCT(--($AK$2:$AK$6001&lt;$AK4067))+1,"")</f>
        <v/>
      </c>
      <c r="AI4067">
        <f>IF($C4067="","",IF(OR($N4067=TRUE(),$N4067="TRUE"),1,0))</f>
        <v/>
      </c>
      <c r="AJ4067">
        <f>IF($C4067="","",IF($T4067="Yes",1,0))</f>
        <v/>
      </c>
      <c r="AK4067">
        <f>IF($AG4067=1,IFERROR(IF(VALUE($C4067)&lt;100000000,VALUE($C4067),1000000000),IFERROR(IF(VALUE(MID($C4067,2,20))&lt;100000000,VALUE(MID($C4067,2,20)),1000000000),1000000000))+ROW()/100000,"")</f>
        <v/>
      </c>
    </row>
    <row r="4068">
      <c r="D4068" s="11" t="n"/>
      <c r="K4068" s="7">
        <f>IF($C4068="","",J4068*W4068/100)</f>
        <v/>
      </c>
      <c r="Q4068" s="7" t="n"/>
      <c r="R4068" s="7" t="n"/>
      <c r="U4068">
        <f>IF($C4068="","",IF($AJ4068=1,0,IF($AI4068=1,Settings!$C$6,Settings!$C$7))*100)</f>
        <v/>
      </c>
      <c r="V4068" s="7">
        <f>IF($C4068="","",R4068*U4068/100)</f>
        <v/>
      </c>
      <c r="W4068" s="7">
        <f>IF($C4068="","",R4068-V4068)</f>
        <v/>
      </c>
      <c r="X4068" s="7">
        <f>IF($C4068="","",W4068-K4068)</f>
        <v/>
      </c>
      <c r="AB4068" s="7" t="n"/>
      <c r="AE4068" s="11" t="n"/>
      <c r="AG4068">
        <f>IF($C4068="","",IF(COUNTIF($C$2:$C4068,$C4068)=1,1,0))</f>
        <v/>
      </c>
      <c r="AH4068">
        <f>IF($AG4068=1,SUMPRODUCT(--($AK$2:$AK$6001&lt;$AK4068))+1,"")</f>
        <v/>
      </c>
      <c r="AI4068">
        <f>IF($C4068="","",IF(OR($N4068=TRUE(),$N4068="TRUE"),1,0))</f>
        <v/>
      </c>
      <c r="AJ4068">
        <f>IF($C4068="","",IF($T4068="Yes",1,0))</f>
        <v/>
      </c>
      <c r="AK4068">
        <f>IF($AG4068=1,IFERROR(IF(VALUE($C4068)&lt;100000000,VALUE($C4068),1000000000),IFERROR(IF(VALUE(MID($C4068,2,20))&lt;100000000,VALUE(MID($C4068,2,20)),1000000000),1000000000))+ROW()/100000,"")</f>
        <v/>
      </c>
    </row>
    <row r="4069">
      <c r="D4069" s="11" t="n"/>
      <c r="K4069" s="7">
        <f>IF($C4069="","",J4069*W4069/100)</f>
        <v/>
      </c>
      <c r="Q4069" s="7" t="n"/>
      <c r="R4069" s="7" t="n"/>
      <c r="U4069">
        <f>IF($C4069="","",IF($AJ4069=1,0,IF($AI4069=1,Settings!$C$6,Settings!$C$7))*100)</f>
        <v/>
      </c>
      <c r="V4069" s="7">
        <f>IF($C4069="","",R4069*U4069/100)</f>
        <v/>
      </c>
      <c r="W4069" s="7">
        <f>IF($C4069="","",R4069-V4069)</f>
        <v/>
      </c>
      <c r="X4069" s="7">
        <f>IF($C4069="","",W4069-K4069)</f>
        <v/>
      </c>
      <c r="AB4069" s="7" t="n"/>
      <c r="AE4069" s="11" t="n"/>
      <c r="AG4069">
        <f>IF($C4069="","",IF(COUNTIF($C$2:$C4069,$C4069)=1,1,0))</f>
        <v/>
      </c>
      <c r="AH4069">
        <f>IF($AG4069=1,SUMPRODUCT(--($AK$2:$AK$6001&lt;$AK4069))+1,"")</f>
        <v/>
      </c>
      <c r="AI4069">
        <f>IF($C4069="","",IF(OR($N4069=TRUE(),$N4069="TRUE"),1,0))</f>
        <v/>
      </c>
      <c r="AJ4069">
        <f>IF($C4069="","",IF($T4069="Yes",1,0))</f>
        <v/>
      </c>
      <c r="AK4069">
        <f>IF($AG4069=1,IFERROR(IF(VALUE($C4069)&lt;100000000,VALUE($C4069),1000000000),IFERROR(IF(VALUE(MID($C4069,2,20))&lt;100000000,VALUE(MID($C4069,2,20)),1000000000),1000000000))+ROW()/100000,"")</f>
        <v/>
      </c>
    </row>
    <row r="4070">
      <c r="D4070" s="11" t="n"/>
      <c r="K4070" s="7">
        <f>IF($C4070="","",J4070*W4070/100)</f>
        <v/>
      </c>
      <c r="Q4070" s="7" t="n"/>
      <c r="R4070" s="7" t="n"/>
      <c r="U4070">
        <f>IF($C4070="","",IF($AJ4070=1,0,IF($AI4070=1,Settings!$C$6,Settings!$C$7))*100)</f>
        <v/>
      </c>
      <c r="V4070" s="7">
        <f>IF($C4070="","",R4070*U4070/100)</f>
        <v/>
      </c>
      <c r="W4070" s="7">
        <f>IF($C4070="","",R4070-V4070)</f>
        <v/>
      </c>
      <c r="X4070" s="7">
        <f>IF($C4070="","",W4070-K4070)</f>
        <v/>
      </c>
      <c r="AB4070" s="7" t="n"/>
      <c r="AE4070" s="11" t="n"/>
      <c r="AG4070">
        <f>IF($C4070="","",IF(COUNTIF($C$2:$C4070,$C4070)=1,1,0))</f>
        <v/>
      </c>
      <c r="AH4070">
        <f>IF($AG4070=1,SUMPRODUCT(--($AK$2:$AK$6001&lt;$AK4070))+1,"")</f>
        <v/>
      </c>
      <c r="AI4070">
        <f>IF($C4070="","",IF(OR($N4070=TRUE(),$N4070="TRUE"),1,0))</f>
        <v/>
      </c>
      <c r="AJ4070">
        <f>IF($C4070="","",IF($T4070="Yes",1,0))</f>
        <v/>
      </c>
      <c r="AK4070">
        <f>IF($AG4070=1,IFERROR(IF(VALUE($C4070)&lt;100000000,VALUE($C4070),1000000000),IFERROR(IF(VALUE(MID($C4070,2,20))&lt;100000000,VALUE(MID($C4070,2,20)),1000000000),1000000000))+ROW()/100000,"")</f>
        <v/>
      </c>
    </row>
    <row r="4071">
      <c r="D4071" s="11" t="n"/>
      <c r="K4071" s="7">
        <f>IF($C4071="","",J4071*W4071/100)</f>
        <v/>
      </c>
      <c r="Q4071" s="7" t="n"/>
      <c r="R4071" s="7" t="n"/>
      <c r="U4071">
        <f>IF($C4071="","",IF($AJ4071=1,0,IF($AI4071=1,Settings!$C$6,Settings!$C$7))*100)</f>
        <v/>
      </c>
      <c r="V4071" s="7">
        <f>IF($C4071="","",R4071*U4071/100)</f>
        <v/>
      </c>
      <c r="W4071" s="7">
        <f>IF($C4071="","",R4071-V4071)</f>
        <v/>
      </c>
      <c r="X4071" s="7">
        <f>IF($C4071="","",W4071-K4071)</f>
        <v/>
      </c>
      <c r="AB4071" s="7" t="n"/>
      <c r="AE4071" s="11" t="n"/>
      <c r="AG4071">
        <f>IF($C4071="","",IF(COUNTIF($C$2:$C4071,$C4071)=1,1,0))</f>
        <v/>
      </c>
      <c r="AH4071">
        <f>IF($AG4071=1,SUMPRODUCT(--($AK$2:$AK$6001&lt;$AK4071))+1,"")</f>
        <v/>
      </c>
      <c r="AI4071">
        <f>IF($C4071="","",IF(OR($N4071=TRUE(),$N4071="TRUE"),1,0))</f>
        <v/>
      </c>
      <c r="AJ4071">
        <f>IF($C4071="","",IF($T4071="Yes",1,0))</f>
        <v/>
      </c>
      <c r="AK4071">
        <f>IF($AG4071=1,IFERROR(IF(VALUE($C4071)&lt;100000000,VALUE($C4071),1000000000),IFERROR(IF(VALUE(MID($C4071,2,20))&lt;100000000,VALUE(MID($C4071,2,20)),1000000000),1000000000))+ROW()/100000,"")</f>
        <v/>
      </c>
    </row>
    <row r="4072">
      <c r="D4072" s="11" t="n"/>
      <c r="K4072" s="7">
        <f>IF($C4072="","",J4072*W4072/100)</f>
        <v/>
      </c>
      <c r="Q4072" s="7" t="n"/>
      <c r="R4072" s="7" t="n"/>
      <c r="U4072">
        <f>IF($C4072="","",IF($AJ4072=1,0,IF($AI4072=1,Settings!$C$6,Settings!$C$7))*100)</f>
        <v/>
      </c>
      <c r="V4072" s="7">
        <f>IF($C4072="","",R4072*U4072/100)</f>
        <v/>
      </c>
      <c r="W4072" s="7">
        <f>IF($C4072="","",R4072-V4072)</f>
        <v/>
      </c>
      <c r="X4072" s="7">
        <f>IF($C4072="","",W4072-K4072)</f>
        <v/>
      </c>
      <c r="AB4072" s="7" t="n"/>
      <c r="AE4072" s="11" t="n"/>
      <c r="AG4072">
        <f>IF($C4072="","",IF(COUNTIF($C$2:$C4072,$C4072)=1,1,0))</f>
        <v/>
      </c>
      <c r="AH4072">
        <f>IF($AG4072=1,SUMPRODUCT(--($AK$2:$AK$6001&lt;$AK4072))+1,"")</f>
        <v/>
      </c>
      <c r="AI4072">
        <f>IF($C4072="","",IF(OR($N4072=TRUE(),$N4072="TRUE"),1,0))</f>
        <v/>
      </c>
      <c r="AJ4072">
        <f>IF($C4072="","",IF($T4072="Yes",1,0))</f>
        <v/>
      </c>
      <c r="AK4072">
        <f>IF($AG4072=1,IFERROR(IF(VALUE($C4072)&lt;100000000,VALUE($C4072),1000000000),IFERROR(IF(VALUE(MID($C4072,2,20))&lt;100000000,VALUE(MID($C4072,2,20)),1000000000),1000000000))+ROW()/100000,"")</f>
        <v/>
      </c>
    </row>
    <row r="4073">
      <c r="D4073" s="11" t="n"/>
      <c r="K4073" s="7">
        <f>IF($C4073="","",J4073*W4073/100)</f>
        <v/>
      </c>
      <c r="Q4073" s="7" t="n"/>
      <c r="R4073" s="7" t="n"/>
      <c r="U4073">
        <f>IF($C4073="","",IF($AJ4073=1,0,IF($AI4073=1,Settings!$C$6,Settings!$C$7))*100)</f>
        <v/>
      </c>
      <c r="V4073" s="7">
        <f>IF($C4073="","",R4073*U4073/100)</f>
        <v/>
      </c>
      <c r="W4073" s="7">
        <f>IF($C4073="","",R4073-V4073)</f>
        <v/>
      </c>
      <c r="X4073" s="7">
        <f>IF($C4073="","",W4073-K4073)</f>
        <v/>
      </c>
      <c r="AB4073" s="7" t="n"/>
      <c r="AE4073" s="11" t="n"/>
      <c r="AG4073">
        <f>IF($C4073="","",IF(COUNTIF($C$2:$C4073,$C4073)=1,1,0))</f>
        <v/>
      </c>
      <c r="AH4073">
        <f>IF($AG4073=1,SUMPRODUCT(--($AK$2:$AK$6001&lt;$AK4073))+1,"")</f>
        <v/>
      </c>
      <c r="AI4073">
        <f>IF($C4073="","",IF(OR($N4073=TRUE(),$N4073="TRUE"),1,0))</f>
        <v/>
      </c>
      <c r="AJ4073">
        <f>IF($C4073="","",IF($T4073="Yes",1,0))</f>
        <v/>
      </c>
      <c r="AK4073">
        <f>IF($AG4073=1,IFERROR(IF(VALUE($C4073)&lt;100000000,VALUE($C4073),1000000000),IFERROR(IF(VALUE(MID($C4073,2,20))&lt;100000000,VALUE(MID($C4073,2,20)),1000000000),1000000000))+ROW()/100000,"")</f>
        <v/>
      </c>
    </row>
    <row r="4074">
      <c r="D4074" s="11" t="n"/>
      <c r="K4074" s="7">
        <f>IF($C4074="","",J4074*W4074/100)</f>
        <v/>
      </c>
      <c r="Q4074" s="7" t="n"/>
      <c r="R4074" s="7" t="n"/>
      <c r="U4074">
        <f>IF($C4074="","",IF($AJ4074=1,0,IF($AI4074=1,Settings!$C$6,Settings!$C$7))*100)</f>
        <v/>
      </c>
      <c r="V4074" s="7">
        <f>IF($C4074="","",R4074*U4074/100)</f>
        <v/>
      </c>
      <c r="W4074" s="7">
        <f>IF($C4074="","",R4074-V4074)</f>
        <v/>
      </c>
      <c r="X4074" s="7">
        <f>IF($C4074="","",W4074-K4074)</f>
        <v/>
      </c>
      <c r="AB4074" s="7" t="n"/>
      <c r="AE4074" s="11" t="n"/>
      <c r="AG4074">
        <f>IF($C4074="","",IF(COUNTIF($C$2:$C4074,$C4074)=1,1,0))</f>
        <v/>
      </c>
      <c r="AH4074">
        <f>IF($AG4074=1,SUMPRODUCT(--($AK$2:$AK$6001&lt;$AK4074))+1,"")</f>
        <v/>
      </c>
      <c r="AI4074">
        <f>IF($C4074="","",IF(OR($N4074=TRUE(),$N4074="TRUE"),1,0))</f>
        <v/>
      </c>
      <c r="AJ4074">
        <f>IF($C4074="","",IF($T4074="Yes",1,0))</f>
        <v/>
      </c>
      <c r="AK4074">
        <f>IF($AG4074=1,IFERROR(IF(VALUE($C4074)&lt;100000000,VALUE($C4074),1000000000),IFERROR(IF(VALUE(MID($C4074,2,20))&lt;100000000,VALUE(MID($C4074,2,20)),1000000000),1000000000))+ROW()/100000,"")</f>
        <v/>
      </c>
    </row>
    <row r="4075">
      <c r="D4075" s="11" t="n"/>
      <c r="K4075" s="7">
        <f>IF($C4075="","",J4075*W4075/100)</f>
        <v/>
      </c>
      <c r="Q4075" s="7" t="n"/>
      <c r="R4075" s="7" t="n"/>
      <c r="U4075">
        <f>IF($C4075="","",IF($AJ4075=1,0,IF($AI4075=1,Settings!$C$6,Settings!$C$7))*100)</f>
        <v/>
      </c>
      <c r="V4075" s="7">
        <f>IF($C4075="","",R4075*U4075/100)</f>
        <v/>
      </c>
      <c r="W4075" s="7">
        <f>IF($C4075="","",R4075-V4075)</f>
        <v/>
      </c>
      <c r="X4075" s="7">
        <f>IF($C4075="","",W4075-K4075)</f>
        <v/>
      </c>
      <c r="AB4075" s="7" t="n"/>
      <c r="AE4075" s="11" t="n"/>
      <c r="AG4075">
        <f>IF($C4075="","",IF(COUNTIF($C$2:$C4075,$C4075)=1,1,0))</f>
        <v/>
      </c>
      <c r="AH4075">
        <f>IF($AG4075=1,SUMPRODUCT(--($AK$2:$AK$6001&lt;$AK4075))+1,"")</f>
        <v/>
      </c>
      <c r="AI4075">
        <f>IF($C4075="","",IF(OR($N4075=TRUE(),$N4075="TRUE"),1,0))</f>
        <v/>
      </c>
      <c r="AJ4075">
        <f>IF($C4075="","",IF($T4075="Yes",1,0))</f>
        <v/>
      </c>
      <c r="AK4075">
        <f>IF($AG4075=1,IFERROR(IF(VALUE($C4075)&lt;100000000,VALUE($C4075),1000000000),IFERROR(IF(VALUE(MID($C4075,2,20))&lt;100000000,VALUE(MID($C4075,2,20)),1000000000),1000000000))+ROW()/100000,"")</f>
        <v/>
      </c>
    </row>
    <row r="4076">
      <c r="D4076" s="11" t="n"/>
      <c r="K4076" s="7">
        <f>IF($C4076="","",J4076*W4076/100)</f>
        <v/>
      </c>
      <c r="Q4076" s="7" t="n"/>
      <c r="R4076" s="7" t="n"/>
      <c r="U4076">
        <f>IF($C4076="","",IF($AJ4076=1,0,IF($AI4076=1,Settings!$C$6,Settings!$C$7))*100)</f>
        <v/>
      </c>
      <c r="V4076" s="7">
        <f>IF($C4076="","",R4076*U4076/100)</f>
        <v/>
      </c>
      <c r="W4076" s="7">
        <f>IF($C4076="","",R4076-V4076)</f>
        <v/>
      </c>
      <c r="X4076" s="7">
        <f>IF($C4076="","",W4076-K4076)</f>
        <v/>
      </c>
      <c r="AB4076" s="7" t="n"/>
      <c r="AE4076" s="11" t="n"/>
      <c r="AG4076">
        <f>IF($C4076="","",IF(COUNTIF($C$2:$C4076,$C4076)=1,1,0))</f>
        <v/>
      </c>
      <c r="AH4076">
        <f>IF($AG4076=1,SUMPRODUCT(--($AK$2:$AK$6001&lt;$AK4076))+1,"")</f>
        <v/>
      </c>
      <c r="AI4076">
        <f>IF($C4076="","",IF(OR($N4076=TRUE(),$N4076="TRUE"),1,0))</f>
        <v/>
      </c>
      <c r="AJ4076">
        <f>IF($C4076="","",IF($T4076="Yes",1,0))</f>
        <v/>
      </c>
      <c r="AK4076">
        <f>IF($AG4076=1,IFERROR(IF(VALUE($C4076)&lt;100000000,VALUE($C4076),1000000000),IFERROR(IF(VALUE(MID($C4076,2,20))&lt;100000000,VALUE(MID($C4076,2,20)),1000000000),1000000000))+ROW()/100000,"")</f>
        <v/>
      </c>
    </row>
    <row r="4077">
      <c r="D4077" s="11" t="n"/>
      <c r="K4077" s="7">
        <f>IF($C4077="","",J4077*W4077/100)</f>
        <v/>
      </c>
      <c r="Q4077" s="7" t="n"/>
      <c r="R4077" s="7" t="n"/>
      <c r="U4077">
        <f>IF($C4077="","",IF($AJ4077=1,0,IF($AI4077=1,Settings!$C$6,Settings!$C$7))*100)</f>
        <v/>
      </c>
      <c r="V4077" s="7">
        <f>IF($C4077="","",R4077*U4077/100)</f>
        <v/>
      </c>
      <c r="W4077" s="7">
        <f>IF($C4077="","",R4077-V4077)</f>
        <v/>
      </c>
      <c r="X4077" s="7">
        <f>IF($C4077="","",W4077-K4077)</f>
        <v/>
      </c>
      <c r="AB4077" s="7" t="n"/>
      <c r="AE4077" s="11" t="n"/>
      <c r="AG4077">
        <f>IF($C4077="","",IF(COUNTIF($C$2:$C4077,$C4077)=1,1,0))</f>
        <v/>
      </c>
      <c r="AH4077">
        <f>IF($AG4077=1,SUMPRODUCT(--($AK$2:$AK$6001&lt;$AK4077))+1,"")</f>
        <v/>
      </c>
      <c r="AI4077">
        <f>IF($C4077="","",IF(OR($N4077=TRUE(),$N4077="TRUE"),1,0))</f>
        <v/>
      </c>
      <c r="AJ4077">
        <f>IF($C4077="","",IF($T4077="Yes",1,0))</f>
        <v/>
      </c>
      <c r="AK4077">
        <f>IF($AG4077=1,IFERROR(IF(VALUE($C4077)&lt;100000000,VALUE($C4077),1000000000),IFERROR(IF(VALUE(MID($C4077,2,20))&lt;100000000,VALUE(MID($C4077,2,20)),1000000000),1000000000))+ROW()/100000,"")</f>
        <v/>
      </c>
    </row>
    <row r="4078">
      <c r="D4078" s="11" t="n"/>
      <c r="K4078" s="7">
        <f>IF($C4078="","",J4078*W4078/100)</f>
        <v/>
      </c>
      <c r="Q4078" s="7" t="n"/>
      <c r="R4078" s="7" t="n"/>
      <c r="U4078">
        <f>IF($C4078="","",IF($AJ4078=1,0,IF($AI4078=1,Settings!$C$6,Settings!$C$7))*100)</f>
        <v/>
      </c>
      <c r="V4078" s="7">
        <f>IF($C4078="","",R4078*U4078/100)</f>
        <v/>
      </c>
      <c r="W4078" s="7">
        <f>IF($C4078="","",R4078-V4078)</f>
        <v/>
      </c>
      <c r="X4078" s="7">
        <f>IF($C4078="","",W4078-K4078)</f>
        <v/>
      </c>
      <c r="AB4078" s="7" t="n"/>
      <c r="AE4078" s="11" t="n"/>
      <c r="AG4078">
        <f>IF($C4078="","",IF(COUNTIF($C$2:$C4078,$C4078)=1,1,0))</f>
        <v/>
      </c>
      <c r="AH4078">
        <f>IF($AG4078=1,SUMPRODUCT(--($AK$2:$AK$6001&lt;$AK4078))+1,"")</f>
        <v/>
      </c>
      <c r="AI4078">
        <f>IF($C4078="","",IF(OR($N4078=TRUE(),$N4078="TRUE"),1,0))</f>
        <v/>
      </c>
      <c r="AJ4078">
        <f>IF($C4078="","",IF($T4078="Yes",1,0))</f>
        <v/>
      </c>
      <c r="AK4078">
        <f>IF($AG4078=1,IFERROR(IF(VALUE($C4078)&lt;100000000,VALUE($C4078),1000000000),IFERROR(IF(VALUE(MID($C4078,2,20))&lt;100000000,VALUE(MID($C4078,2,20)),1000000000),1000000000))+ROW()/100000,"")</f>
        <v/>
      </c>
    </row>
    <row r="4079">
      <c r="D4079" s="11" t="n"/>
      <c r="K4079" s="7">
        <f>IF($C4079="","",J4079*W4079/100)</f>
        <v/>
      </c>
      <c r="Q4079" s="7" t="n"/>
      <c r="R4079" s="7" t="n"/>
      <c r="U4079">
        <f>IF($C4079="","",IF($AJ4079=1,0,IF($AI4079=1,Settings!$C$6,Settings!$C$7))*100)</f>
        <v/>
      </c>
      <c r="V4079" s="7">
        <f>IF($C4079="","",R4079*U4079/100)</f>
        <v/>
      </c>
      <c r="W4079" s="7">
        <f>IF($C4079="","",R4079-V4079)</f>
        <v/>
      </c>
      <c r="X4079" s="7">
        <f>IF($C4079="","",W4079-K4079)</f>
        <v/>
      </c>
      <c r="AB4079" s="7" t="n"/>
      <c r="AE4079" s="11" t="n"/>
      <c r="AG4079">
        <f>IF($C4079="","",IF(COUNTIF($C$2:$C4079,$C4079)=1,1,0))</f>
        <v/>
      </c>
      <c r="AH4079">
        <f>IF($AG4079=1,SUMPRODUCT(--($AK$2:$AK$6001&lt;$AK4079))+1,"")</f>
        <v/>
      </c>
      <c r="AI4079">
        <f>IF($C4079="","",IF(OR($N4079=TRUE(),$N4079="TRUE"),1,0))</f>
        <v/>
      </c>
      <c r="AJ4079">
        <f>IF($C4079="","",IF($T4079="Yes",1,0))</f>
        <v/>
      </c>
      <c r="AK4079">
        <f>IF($AG4079=1,IFERROR(IF(VALUE($C4079)&lt;100000000,VALUE($C4079),1000000000),IFERROR(IF(VALUE(MID($C4079,2,20))&lt;100000000,VALUE(MID($C4079,2,20)),1000000000),1000000000))+ROW()/100000,"")</f>
        <v/>
      </c>
    </row>
    <row r="4080">
      <c r="D4080" s="11" t="n"/>
      <c r="K4080" s="7">
        <f>IF($C4080="","",J4080*W4080/100)</f>
        <v/>
      </c>
      <c r="Q4080" s="7" t="n"/>
      <c r="R4080" s="7" t="n"/>
      <c r="U4080">
        <f>IF($C4080="","",IF($AJ4080=1,0,IF($AI4080=1,Settings!$C$6,Settings!$C$7))*100)</f>
        <v/>
      </c>
      <c r="V4080" s="7">
        <f>IF($C4080="","",R4080*U4080/100)</f>
        <v/>
      </c>
      <c r="W4080" s="7">
        <f>IF($C4080="","",R4080-V4080)</f>
        <v/>
      </c>
      <c r="X4080" s="7">
        <f>IF($C4080="","",W4080-K4080)</f>
        <v/>
      </c>
      <c r="AB4080" s="7" t="n"/>
      <c r="AE4080" s="11" t="n"/>
      <c r="AG4080">
        <f>IF($C4080="","",IF(COUNTIF($C$2:$C4080,$C4080)=1,1,0))</f>
        <v/>
      </c>
      <c r="AH4080">
        <f>IF($AG4080=1,SUMPRODUCT(--($AK$2:$AK$6001&lt;$AK4080))+1,"")</f>
        <v/>
      </c>
      <c r="AI4080">
        <f>IF($C4080="","",IF(OR($N4080=TRUE(),$N4080="TRUE"),1,0))</f>
        <v/>
      </c>
      <c r="AJ4080">
        <f>IF($C4080="","",IF($T4080="Yes",1,0))</f>
        <v/>
      </c>
      <c r="AK4080">
        <f>IF($AG4080=1,IFERROR(IF(VALUE($C4080)&lt;100000000,VALUE($C4080),1000000000),IFERROR(IF(VALUE(MID($C4080,2,20))&lt;100000000,VALUE(MID($C4080,2,20)),1000000000),1000000000))+ROW()/100000,"")</f>
        <v/>
      </c>
    </row>
    <row r="4081">
      <c r="D4081" s="11" t="n"/>
      <c r="K4081" s="7">
        <f>IF($C4081="","",J4081*W4081/100)</f>
        <v/>
      </c>
      <c r="Q4081" s="7" t="n"/>
      <c r="R4081" s="7" t="n"/>
      <c r="U4081">
        <f>IF($C4081="","",IF($AJ4081=1,0,IF($AI4081=1,Settings!$C$6,Settings!$C$7))*100)</f>
        <v/>
      </c>
      <c r="V4081" s="7">
        <f>IF($C4081="","",R4081*U4081/100)</f>
        <v/>
      </c>
      <c r="W4081" s="7">
        <f>IF($C4081="","",R4081-V4081)</f>
        <v/>
      </c>
      <c r="X4081" s="7">
        <f>IF($C4081="","",W4081-K4081)</f>
        <v/>
      </c>
      <c r="AB4081" s="7" t="n"/>
      <c r="AE4081" s="11" t="n"/>
      <c r="AG4081">
        <f>IF($C4081="","",IF(COUNTIF($C$2:$C4081,$C4081)=1,1,0))</f>
        <v/>
      </c>
      <c r="AH4081">
        <f>IF($AG4081=1,SUMPRODUCT(--($AK$2:$AK$6001&lt;$AK4081))+1,"")</f>
        <v/>
      </c>
      <c r="AI4081">
        <f>IF($C4081="","",IF(OR($N4081=TRUE(),$N4081="TRUE"),1,0))</f>
        <v/>
      </c>
      <c r="AJ4081">
        <f>IF($C4081="","",IF($T4081="Yes",1,0))</f>
        <v/>
      </c>
      <c r="AK4081">
        <f>IF($AG4081=1,IFERROR(IF(VALUE($C4081)&lt;100000000,VALUE($C4081),1000000000),IFERROR(IF(VALUE(MID($C4081,2,20))&lt;100000000,VALUE(MID($C4081,2,20)),1000000000),1000000000))+ROW()/100000,"")</f>
        <v/>
      </c>
    </row>
    <row r="4082">
      <c r="D4082" s="11" t="n"/>
      <c r="K4082" s="7">
        <f>IF($C4082="","",J4082*W4082/100)</f>
        <v/>
      </c>
      <c r="Q4082" s="7" t="n"/>
      <c r="R4082" s="7" t="n"/>
      <c r="U4082">
        <f>IF($C4082="","",IF($AJ4082=1,0,IF($AI4082=1,Settings!$C$6,Settings!$C$7))*100)</f>
        <v/>
      </c>
      <c r="V4082" s="7">
        <f>IF($C4082="","",R4082*U4082/100)</f>
        <v/>
      </c>
      <c r="W4082" s="7">
        <f>IF($C4082="","",R4082-V4082)</f>
        <v/>
      </c>
      <c r="X4082" s="7">
        <f>IF($C4082="","",W4082-K4082)</f>
        <v/>
      </c>
      <c r="AB4082" s="7" t="n"/>
      <c r="AE4082" s="11" t="n"/>
      <c r="AG4082">
        <f>IF($C4082="","",IF(COUNTIF($C$2:$C4082,$C4082)=1,1,0))</f>
        <v/>
      </c>
      <c r="AH4082">
        <f>IF($AG4082=1,SUMPRODUCT(--($AK$2:$AK$6001&lt;$AK4082))+1,"")</f>
        <v/>
      </c>
      <c r="AI4082">
        <f>IF($C4082="","",IF(OR($N4082=TRUE(),$N4082="TRUE"),1,0))</f>
        <v/>
      </c>
      <c r="AJ4082">
        <f>IF($C4082="","",IF($T4082="Yes",1,0))</f>
        <v/>
      </c>
      <c r="AK4082">
        <f>IF($AG4082=1,IFERROR(IF(VALUE($C4082)&lt;100000000,VALUE($C4082),1000000000),IFERROR(IF(VALUE(MID($C4082,2,20))&lt;100000000,VALUE(MID($C4082,2,20)),1000000000),1000000000))+ROW()/100000,"")</f>
        <v/>
      </c>
    </row>
    <row r="4083">
      <c r="D4083" s="11" t="n"/>
      <c r="K4083" s="7">
        <f>IF($C4083="","",J4083*W4083/100)</f>
        <v/>
      </c>
      <c r="Q4083" s="7" t="n"/>
      <c r="R4083" s="7" t="n"/>
      <c r="U4083">
        <f>IF($C4083="","",IF($AJ4083=1,0,IF($AI4083=1,Settings!$C$6,Settings!$C$7))*100)</f>
        <v/>
      </c>
      <c r="V4083" s="7">
        <f>IF($C4083="","",R4083*U4083/100)</f>
        <v/>
      </c>
      <c r="W4083" s="7">
        <f>IF($C4083="","",R4083-V4083)</f>
        <v/>
      </c>
      <c r="X4083" s="7">
        <f>IF($C4083="","",W4083-K4083)</f>
        <v/>
      </c>
      <c r="AB4083" s="7" t="n"/>
      <c r="AE4083" s="11" t="n"/>
      <c r="AG4083">
        <f>IF($C4083="","",IF(COUNTIF($C$2:$C4083,$C4083)=1,1,0))</f>
        <v/>
      </c>
      <c r="AH4083">
        <f>IF($AG4083=1,SUMPRODUCT(--($AK$2:$AK$6001&lt;$AK4083))+1,"")</f>
        <v/>
      </c>
      <c r="AI4083">
        <f>IF($C4083="","",IF(OR($N4083=TRUE(),$N4083="TRUE"),1,0))</f>
        <v/>
      </c>
      <c r="AJ4083">
        <f>IF($C4083="","",IF($T4083="Yes",1,0))</f>
        <v/>
      </c>
      <c r="AK4083">
        <f>IF($AG4083=1,IFERROR(IF(VALUE($C4083)&lt;100000000,VALUE($C4083),1000000000),IFERROR(IF(VALUE(MID($C4083,2,20))&lt;100000000,VALUE(MID($C4083,2,20)),1000000000),1000000000))+ROW()/100000,"")</f>
        <v/>
      </c>
    </row>
    <row r="4084">
      <c r="D4084" s="11" t="n"/>
      <c r="K4084" s="7">
        <f>IF($C4084="","",J4084*W4084/100)</f>
        <v/>
      </c>
      <c r="Q4084" s="7" t="n"/>
      <c r="R4084" s="7" t="n"/>
      <c r="U4084">
        <f>IF($C4084="","",IF($AJ4084=1,0,IF($AI4084=1,Settings!$C$6,Settings!$C$7))*100)</f>
        <v/>
      </c>
      <c r="V4084" s="7">
        <f>IF($C4084="","",R4084*U4084/100)</f>
        <v/>
      </c>
      <c r="W4084" s="7">
        <f>IF($C4084="","",R4084-V4084)</f>
        <v/>
      </c>
      <c r="X4084" s="7">
        <f>IF($C4084="","",W4084-K4084)</f>
        <v/>
      </c>
      <c r="AB4084" s="7" t="n"/>
      <c r="AE4084" s="11" t="n"/>
      <c r="AG4084">
        <f>IF($C4084="","",IF(COUNTIF($C$2:$C4084,$C4084)=1,1,0))</f>
        <v/>
      </c>
      <c r="AH4084">
        <f>IF($AG4084=1,SUMPRODUCT(--($AK$2:$AK$6001&lt;$AK4084))+1,"")</f>
        <v/>
      </c>
      <c r="AI4084">
        <f>IF($C4084="","",IF(OR($N4084=TRUE(),$N4084="TRUE"),1,0))</f>
        <v/>
      </c>
      <c r="AJ4084">
        <f>IF($C4084="","",IF($T4084="Yes",1,0))</f>
        <v/>
      </c>
      <c r="AK4084">
        <f>IF($AG4084=1,IFERROR(IF(VALUE($C4084)&lt;100000000,VALUE($C4084),1000000000),IFERROR(IF(VALUE(MID($C4084,2,20))&lt;100000000,VALUE(MID($C4084,2,20)),1000000000),1000000000))+ROW()/100000,"")</f>
        <v/>
      </c>
    </row>
    <row r="4085">
      <c r="D4085" s="11" t="n"/>
      <c r="K4085" s="7">
        <f>IF($C4085="","",J4085*W4085/100)</f>
        <v/>
      </c>
      <c r="Q4085" s="7" t="n"/>
      <c r="R4085" s="7" t="n"/>
      <c r="U4085">
        <f>IF($C4085="","",IF($AJ4085=1,0,IF($AI4085=1,Settings!$C$6,Settings!$C$7))*100)</f>
        <v/>
      </c>
      <c r="V4085" s="7">
        <f>IF($C4085="","",R4085*U4085/100)</f>
        <v/>
      </c>
      <c r="W4085" s="7">
        <f>IF($C4085="","",R4085-V4085)</f>
        <v/>
      </c>
      <c r="X4085" s="7">
        <f>IF($C4085="","",W4085-K4085)</f>
        <v/>
      </c>
      <c r="AB4085" s="7" t="n"/>
      <c r="AE4085" s="11" t="n"/>
      <c r="AG4085">
        <f>IF($C4085="","",IF(COUNTIF($C$2:$C4085,$C4085)=1,1,0))</f>
        <v/>
      </c>
      <c r="AH4085">
        <f>IF($AG4085=1,SUMPRODUCT(--($AK$2:$AK$6001&lt;$AK4085))+1,"")</f>
        <v/>
      </c>
      <c r="AI4085">
        <f>IF($C4085="","",IF(OR($N4085=TRUE(),$N4085="TRUE"),1,0))</f>
        <v/>
      </c>
      <c r="AJ4085">
        <f>IF($C4085="","",IF($T4085="Yes",1,0))</f>
        <v/>
      </c>
      <c r="AK4085">
        <f>IF($AG4085=1,IFERROR(IF(VALUE($C4085)&lt;100000000,VALUE($C4085),1000000000),IFERROR(IF(VALUE(MID($C4085,2,20))&lt;100000000,VALUE(MID($C4085,2,20)),1000000000),1000000000))+ROW()/100000,"")</f>
        <v/>
      </c>
    </row>
    <row r="4086">
      <c r="D4086" s="11" t="n"/>
      <c r="K4086" s="7">
        <f>IF($C4086="","",J4086*W4086/100)</f>
        <v/>
      </c>
      <c r="Q4086" s="7" t="n"/>
      <c r="R4086" s="7" t="n"/>
      <c r="U4086">
        <f>IF($C4086="","",IF($AJ4086=1,0,IF($AI4086=1,Settings!$C$6,Settings!$C$7))*100)</f>
        <v/>
      </c>
      <c r="V4086" s="7">
        <f>IF($C4086="","",R4086*U4086/100)</f>
        <v/>
      </c>
      <c r="W4086" s="7">
        <f>IF($C4086="","",R4086-V4086)</f>
        <v/>
      </c>
      <c r="X4086" s="7">
        <f>IF($C4086="","",W4086-K4086)</f>
        <v/>
      </c>
      <c r="AB4086" s="7" t="n"/>
      <c r="AE4086" s="11" t="n"/>
      <c r="AG4086">
        <f>IF($C4086="","",IF(COUNTIF($C$2:$C4086,$C4086)=1,1,0))</f>
        <v/>
      </c>
      <c r="AH4086">
        <f>IF($AG4086=1,SUMPRODUCT(--($AK$2:$AK$6001&lt;$AK4086))+1,"")</f>
        <v/>
      </c>
      <c r="AI4086">
        <f>IF($C4086="","",IF(OR($N4086=TRUE(),$N4086="TRUE"),1,0))</f>
        <v/>
      </c>
      <c r="AJ4086">
        <f>IF($C4086="","",IF($T4086="Yes",1,0))</f>
        <v/>
      </c>
      <c r="AK4086">
        <f>IF($AG4086=1,IFERROR(IF(VALUE($C4086)&lt;100000000,VALUE($C4086),1000000000),IFERROR(IF(VALUE(MID($C4086,2,20))&lt;100000000,VALUE(MID($C4086,2,20)),1000000000),1000000000))+ROW()/100000,"")</f>
        <v/>
      </c>
    </row>
    <row r="4087">
      <c r="D4087" s="11" t="n"/>
      <c r="K4087" s="7">
        <f>IF($C4087="","",J4087*W4087/100)</f>
        <v/>
      </c>
      <c r="Q4087" s="7" t="n"/>
      <c r="R4087" s="7" t="n"/>
      <c r="U4087">
        <f>IF($C4087="","",IF($AJ4087=1,0,IF($AI4087=1,Settings!$C$6,Settings!$C$7))*100)</f>
        <v/>
      </c>
      <c r="V4087" s="7">
        <f>IF($C4087="","",R4087*U4087/100)</f>
        <v/>
      </c>
      <c r="W4087" s="7">
        <f>IF($C4087="","",R4087-V4087)</f>
        <v/>
      </c>
      <c r="X4087" s="7">
        <f>IF($C4087="","",W4087-K4087)</f>
        <v/>
      </c>
      <c r="AB4087" s="7" t="n"/>
      <c r="AE4087" s="11" t="n"/>
      <c r="AG4087">
        <f>IF($C4087="","",IF(COUNTIF($C$2:$C4087,$C4087)=1,1,0))</f>
        <v/>
      </c>
      <c r="AH4087">
        <f>IF($AG4087=1,SUMPRODUCT(--($AK$2:$AK$6001&lt;$AK4087))+1,"")</f>
        <v/>
      </c>
      <c r="AI4087">
        <f>IF($C4087="","",IF(OR($N4087=TRUE(),$N4087="TRUE"),1,0))</f>
        <v/>
      </c>
      <c r="AJ4087">
        <f>IF($C4087="","",IF($T4087="Yes",1,0))</f>
        <v/>
      </c>
      <c r="AK4087">
        <f>IF($AG4087=1,IFERROR(IF(VALUE($C4087)&lt;100000000,VALUE($C4087),1000000000),IFERROR(IF(VALUE(MID($C4087,2,20))&lt;100000000,VALUE(MID($C4087,2,20)),1000000000),1000000000))+ROW()/100000,"")</f>
        <v/>
      </c>
    </row>
    <row r="4088">
      <c r="D4088" s="11" t="n"/>
      <c r="K4088" s="7">
        <f>IF($C4088="","",J4088*W4088/100)</f>
        <v/>
      </c>
      <c r="Q4088" s="7" t="n"/>
      <c r="R4088" s="7" t="n"/>
      <c r="U4088">
        <f>IF($C4088="","",IF($AJ4088=1,0,IF($AI4088=1,Settings!$C$6,Settings!$C$7))*100)</f>
        <v/>
      </c>
      <c r="V4088" s="7">
        <f>IF($C4088="","",R4088*U4088/100)</f>
        <v/>
      </c>
      <c r="W4088" s="7">
        <f>IF($C4088="","",R4088-V4088)</f>
        <v/>
      </c>
      <c r="X4088" s="7">
        <f>IF($C4088="","",W4088-K4088)</f>
        <v/>
      </c>
      <c r="AB4088" s="7" t="n"/>
      <c r="AE4088" s="11" t="n"/>
      <c r="AG4088">
        <f>IF($C4088="","",IF(COUNTIF($C$2:$C4088,$C4088)=1,1,0))</f>
        <v/>
      </c>
      <c r="AH4088">
        <f>IF($AG4088=1,SUMPRODUCT(--($AK$2:$AK$6001&lt;$AK4088))+1,"")</f>
        <v/>
      </c>
      <c r="AI4088">
        <f>IF($C4088="","",IF(OR($N4088=TRUE(),$N4088="TRUE"),1,0))</f>
        <v/>
      </c>
      <c r="AJ4088">
        <f>IF($C4088="","",IF($T4088="Yes",1,0))</f>
        <v/>
      </c>
      <c r="AK4088">
        <f>IF($AG4088=1,IFERROR(IF(VALUE($C4088)&lt;100000000,VALUE($C4088),1000000000),IFERROR(IF(VALUE(MID($C4088,2,20))&lt;100000000,VALUE(MID($C4088,2,20)),1000000000),1000000000))+ROW()/100000,"")</f>
        <v/>
      </c>
    </row>
    <row r="4089">
      <c r="D4089" s="11" t="n"/>
      <c r="K4089" s="7">
        <f>IF($C4089="","",J4089*W4089/100)</f>
        <v/>
      </c>
      <c r="Q4089" s="7" t="n"/>
      <c r="R4089" s="7" t="n"/>
      <c r="U4089">
        <f>IF($C4089="","",IF($AJ4089=1,0,IF($AI4089=1,Settings!$C$6,Settings!$C$7))*100)</f>
        <v/>
      </c>
      <c r="V4089" s="7">
        <f>IF($C4089="","",R4089*U4089/100)</f>
        <v/>
      </c>
      <c r="W4089" s="7">
        <f>IF($C4089="","",R4089-V4089)</f>
        <v/>
      </c>
      <c r="X4089" s="7">
        <f>IF($C4089="","",W4089-K4089)</f>
        <v/>
      </c>
      <c r="AB4089" s="7" t="n"/>
      <c r="AE4089" s="11" t="n"/>
      <c r="AG4089">
        <f>IF($C4089="","",IF(COUNTIF($C$2:$C4089,$C4089)=1,1,0))</f>
        <v/>
      </c>
      <c r="AH4089">
        <f>IF($AG4089=1,SUMPRODUCT(--($AK$2:$AK$6001&lt;$AK4089))+1,"")</f>
        <v/>
      </c>
      <c r="AI4089">
        <f>IF($C4089="","",IF(OR($N4089=TRUE(),$N4089="TRUE"),1,0))</f>
        <v/>
      </c>
      <c r="AJ4089">
        <f>IF($C4089="","",IF($T4089="Yes",1,0))</f>
        <v/>
      </c>
      <c r="AK4089">
        <f>IF($AG4089=1,IFERROR(IF(VALUE($C4089)&lt;100000000,VALUE($C4089),1000000000),IFERROR(IF(VALUE(MID($C4089,2,20))&lt;100000000,VALUE(MID($C4089,2,20)),1000000000),1000000000))+ROW()/100000,"")</f>
        <v/>
      </c>
    </row>
    <row r="4090">
      <c r="D4090" s="11" t="n"/>
      <c r="K4090" s="7">
        <f>IF($C4090="","",J4090*W4090/100)</f>
        <v/>
      </c>
      <c r="Q4090" s="7" t="n"/>
      <c r="R4090" s="7" t="n"/>
      <c r="U4090">
        <f>IF($C4090="","",IF($AJ4090=1,0,IF($AI4090=1,Settings!$C$6,Settings!$C$7))*100)</f>
        <v/>
      </c>
      <c r="V4090" s="7">
        <f>IF($C4090="","",R4090*U4090/100)</f>
        <v/>
      </c>
      <c r="W4090" s="7">
        <f>IF($C4090="","",R4090-V4090)</f>
        <v/>
      </c>
      <c r="X4090" s="7">
        <f>IF($C4090="","",W4090-K4090)</f>
        <v/>
      </c>
      <c r="AB4090" s="7" t="n"/>
      <c r="AE4090" s="11" t="n"/>
      <c r="AG4090">
        <f>IF($C4090="","",IF(COUNTIF($C$2:$C4090,$C4090)=1,1,0))</f>
        <v/>
      </c>
      <c r="AH4090">
        <f>IF($AG4090=1,SUMPRODUCT(--($AK$2:$AK$6001&lt;$AK4090))+1,"")</f>
        <v/>
      </c>
      <c r="AI4090">
        <f>IF($C4090="","",IF(OR($N4090=TRUE(),$N4090="TRUE"),1,0))</f>
        <v/>
      </c>
      <c r="AJ4090">
        <f>IF($C4090="","",IF($T4090="Yes",1,0))</f>
        <v/>
      </c>
      <c r="AK4090">
        <f>IF($AG4090=1,IFERROR(IF(VALUE($C4090)&lt;100000000,VALUE($C4090),1000000000),IFERROR(IF(VALUE(MID($C4090,2,20))&lt;100000000,VALUE(MID($C4090,2,20)),1000000000),1000000000))+ROW()/100000,"")</f>
        <v/>
      </c>
    </row>
    <row r="4091">
      <c r="D4091" s="11" t="n"/>
      <c r="K4091" s="7">
        <f>IF($C4091="","",J4091*W4091/100)</f>
        <v/>
      </c>
      <c r="Q4091" s="7" t="n"/>
      <c r="R4091" s="7" t="n"/>
      <c r="U4091">
        <f>IF($C4091="","",IF($AJ4091=1,0,IF($AI4091=1,Settings!$C$6,Settings!$C$7))*100)</f>
        <v/>
      </c>
      <c r="V4091" s="7">
        <f>IF($C4091="","",R4091*U4091/100)</f>
        <v/>
      </c>
      <c r="W4091" s="7">
        <f>IF($C4091="","",R4091-V4091)</f>
        <v/>
      </c>
      <c r="X4091" s="7">
        <f>IF($C4091="","",W4091-K4091)</f>
        <v/>
      </c>
      <c r="AB4091" s="7" t="n"/>
      <c r="AE4091" s="11" t="n"/>
      <c r="AG4091">
        <f>IF($C4091="","",IF(COUNTIF($C$2:$C4091,$C4091)=1,1,0))</f>
        <v/>
      </c>
      <c r="AH4091">
        <f>IF($AG4091=1,SUMPRODUCT(--($AK$2:$AK$6001&lt;$AK4091))+1,"")</f>
        <v/>
      </c>
      <c r="AI4091">
        <f>IF($C4091="","",IF(OR($N4091=TRUE(),$N4091="TRUE"),1,0))</f>
        <v/>
      </c>
      <c r="AJ4091">
        <f>IF($C4091="","",IF($T4091="Yes",1,0))</f>
        <v/>
      </c>
      <c r="AK4091">
        <f>IF($AG4091=1,IFERROR(IF(VALUE($C4091)&lt;100000000,VALUE($C4091),1000000000),IFERROR(IF(VALUE(MID($C4091,2,20))&lt;100000000,VALUE(MID($C4091,2,20)),1000000000),1000000000))+ROW()/100000,"")</f>
        <v/>
      </c>
    </row>
    <row r="4092">
      <c r="D4092" s="11" t="n"/>
      <c r="K4092" s="7">
        <f>IF($C4092="","",J4092*W4092/100)</f>
        <v/>
      </c>
      <c r="Q4092" s="7" t="n"/>
      <c r="R4092" s="7" t="n"/>
      <c r="U4092">
        <f>IF($C4092="","",IF($AJ4092=1,0,IF($AI4092=1,Settings!$C$6,Settings!$C$7))*100)</f>
        <v/>
      </c>
      <c r="V4092" s="7">
        <f>IF($C4092="","",R4092*U4092/100)</f>
        <v/>
      </c>
      <c r="W4092" s="7">
        <f>IF($C4092="","",R4092-V4092)</f>
        <v/>
      </c>
      <c r="X4092" s="7">
        <f>IF($C4092="","",W4092-K4092)</f>
        <v/>
      </c>
      <c r="AB4092" s="7" t="n"/>
      <c r="AE4092" s="11" t="n"/>
      <c r="AG4092">
        <f>IF($C4092="","",IF(COUNTIF($C$2:$C4092,$C4092)=1,1,0))</f>
        <v/>
      </c>
      <c r="AH4092">
        <f>IF($AG4092=1,SUMPRODUCT(--($AK$2:$AK$6001&lt;$AK4092))+1,"")</f>
        <v/>
      </c>
      <c r="AI4092">
        <f>IF($C4092="","",IF(OR($N4092=TRUE(),$N4092="TRUE"),1,0))</f>
        <v/>
      </c>
      <c r="AJ4092">
        <f>IF($C4092="","",IF($T4092="Yes",1,0))</f>
        <v/>
      </c>
      <c r="AK4092">
        <f>IF($AG4092=1,IFERROR(IF(VALUE($C4092)&lt;100000000,VALUE($C4092),1000000000),IFERROR(IF(VALUE(MID($C4092,2,20))&lt;100000000,VALUE(MID($C4092,2,20)),1000000000),1000000000))+ROW()/100000,"")</f>
        <v/>
      </c>
    </row>
    <row r="4093">
      <c r="D4093" s="11" t="n"/>
      <c r="K4093" s="7">
        <f>IF($C4093="","",J4093*W4093/100)</f>
        <v/>
      </c>
      <c r="Q4093" s="7" t="n"/>
      <c r="R4093" s="7" t="n"/>
      <c r="U4093">
        <f>IF($C4093="","",IF($AJ4093=1,0,IF($AI4093=1,Settings!$C$6,Settings!$C$7))*100)</f>
        <v/>
      </c>
      <c r="V4093" s="7">
        <f>IF($C4093="","",R4093*U4093/100)</f>
        <v/>
      </c>
      <c r="W4093" s="7">
        <f>IF($C4093="","",R4093-V4093)</f>
        <v/>
      </c>
      <c r="X4093" s="7">
        <f>IF($C4093="","",W4093-K4093)</f>
        <v/>
      </c>
      <c r="AB4093" s="7" t="n"/>
      <c r="AE4093" s="11" t="n"/>
      <c r="AG4093">
        <f>IF($C4093="","",IF(COUNTIF($C$2:$C4093,$C4093)=1,1,0))</f>
        <v/>
      </c>
      <c r="AH4093">
        <f>IF($AG4093=1,SUMPRODUCT(--($AK$2:$AK$6001&lt;$AK4093))+1,"")</f>
        <v/>
      </c>
      <c r="AI4093">
        <f>IF($C4093="","",IF(OR($N4093=TRUE(),$N4093="TRUE"),1,0))</f>
        <v/>
      </c>
      <c r="AJ4093">
        <f>IF($C4093="","",IF($T4093="Yes",1,0))</f>
        <v/>
      </c>
      <c r="AK4093">
        <f>IF($AG4093=1,IFERROR(IF(VALUE($C4093)&lt;100000000,VALUE($C4093),1000000000),IFERROR(IF(VALUE(MID($C4093,2,20))&lt;100000000,VALUE(MID($C4093,2,20)),1000000000),1000000000))+ROW()/100000,"")</f>
        <v/>
      </c>
    </row>
    <row r="4094">
      <c r="D4094" s="11" t="n"/>
      <c r="K4094" s="7">
        <f>IF($C4094="","",J4094*W4094/100)</f>
        <v/>
      </c>
      <c r="Q4094" s="7" t="n"/>
      <c r="R4094" s="7" t="n"/>
      <c r="U4094">
        <f>IF($C4094="","",IF($AJ4094=1,0,IF($AI4094=1,Settings!$C$6,Settings!$C$7))*100)</f>
        <v/>
      </c>
      <c r="V4094" s="7">
        <f>IF($C4094="","",R4094*U4094/100)</f>
        <v/>
      </c>
      <c r="W4094" s="7">
        <f>IF($C4094="","",R4094-V4094)</f>
        <v/>
      </c>
      <c r="X4094" s="7">
        <f>IF($C4094="","",W4094-K4094)</f>
        <v/>
      </c>
      <c r="AB4094" s="7" t="n"/>
      <c r="AE4094" s="11" t="n"/>
      <c r="AG4094">
        <f>IF($C4094="","",IF(COUNTIF($C$2:$C4094,$C4094)=1,1,0))</f>
        <v/>
      </c>
      <c r="AH4094">
        <f>IF($AG4094=1,SUMPRODUCT(--($AK$2:$AK$6001&lt;$AK4094))+1,"")</f>
        <v/>
      </c>
      <c r="AI4094">
        <f>IF($C4094="","",IF(OR($N4094=TRUE(),$N4094="TRUE"),1,0))</f>
        <v/>
      </c>
      <c r="AJ4094">
        <f>IF($C4094="","",IF($T4094="Yes",1,0))</f>
        <v/>
      </c>
      <c r="AK4094">
        <f>IF($AG4094=1,IFERROR(IF(VALUE($C4094)&lt;100000000,VALUE($C4094),1000000000),IFERROR(IF(VALUE(MID($C4094,2,20))&lt;100000000,VALUE(MID($C4094,2,20)),1000000000),1000000000))+ROW()/100000,"")</f>
        <v/>
      </c>
    </row>
    <row r="4095">
      <c r="D4095" s="11" t="n"/>
      <c r="K4095" s="7">
        <f>IF($C4095="","",J4095*W4095/100)</f>
        <v/>
      </c>
      <c r="Q4095" s="7" t="n"/>
      <c r="R4095" s="7" t="n"/>
      <c r="U4095">
        <f>IF($C4095="","",IF($AJ4095=1,0,IF($AI4095=1,Settings!$C$6,Settings!$C$7))*100)</f>
        <v/>
      </c>
      <c r="V4095" s="7">
        <f>IF($C4095="","",R4095*U4095/100)</f>
        <v/>
      </c>
      <c r="W4095" s="7">
        <f>IF($C4095="","",R4095-V4095)</f>
        <v/>
      </c>
      <c r="X4095" s="7">
        <f>IF($C4095="","",W4095-K4095)</f>
        <v/>
      </c>
      <c r="AB4095" s="7" t="n"/>
      <c r="AE4095" s="11" t="n"/>
      <c r="AG4095">
        <f>IF($C4095="","",IF(COUNTIF($C$2:$C4095,$C4095)=1,1,0))</f>
        <v/>
      </c>
      <c r="AH4095">
        <f>IF($AG4095=1,SUMPRODUCT(--($AK$2:$AK$6001&lt;$AK4095))+1,"")</f>
        <v/>
      </c>
      <c r="AI4095">
        <f>IF($C4095="","",IF(OR($N4095=TRUE(),$N4095="TRUE"),1,0))</f>
        <v/>
      </c>
      <c r="AJ4095">
        <f>IF($C4095="","",IF($T4095="Yes",1,0))</f>
        <v/>
      </c>
      <c r="AK4095">
        <f>IF($AG4095=1,IFERROR(IF(VALUE($C4095)&lt;100000000,VALUE($C4095),1000000000),IFERROR(IF(VALUE(MID($C4095,2,20))&lt;100000000,VALUE(MID($C4095,2,20)),1000000000),1000000000))+ROW()/100000,"")</f>
        <v/>
      </c>
    </row>
    <row r="4096">
      <c r="D4096" s="11" t="n"/>
      <c r="K4096" s="7">
        <f>IF($C4096="","",J4096*W4096/100)</f>
        <v/>
      </c>
      <c r="Q4096" s="7" t="n"/>
      <c r="R4096" s="7" t="n"/>
      <c r="U4096">
        <f>IF($C4096="","",IF($AJ4096=1,0,IF($AI4096=1,Settings!$C$6,Settings!$C$7))*100)</f>
        <v/>
      </c>
      <c r="V4096" s="7">
        <f>IF($C4096="","",R4096*U4096/100)</f>
        <v/>
      </c>
      <c r="W4096" s="7">
        <f>IF($C4096="","",R4096-V4096)</f>
        <v/>
      </c>
      <c r="X4096" s="7">
        <f>IF($C4096="","",W4096-K4096)</f>
        <v/>
      </c>
      <c r="AB4096" s="7" t="n"/>
      <c r="AE4096" s="11" t="n"/>
      <c r="AG4096">
        <f>IF($C4096="","",IF(COUNTIF($C$2:$C4096,$C4096)=1,1,0))</f>
        <v/>
      </c>
      <c r="AH4096">
        <f>IF($AG4096=1,SUMPRODUCT(--($AK$2:$AK$6001&lt;$AK4096))+1,"")</f>
        <v/>
      </c>
      <c r="AI4096">
        <f>IF($C4096="","",IF(OR($N4096=TRUE(),$N4096="TRUE"),1,0))</f>
        <v/>
      </c>
      <c r="AJ4096">
        <f>IF($C4096="","",IF($T4096="Yes",1,0))</f>
        <v/>
      </c>
      <c r="AK4096">
        <f>IF($AG4096=1,IFERROR(IF(VALUE($C4096)&lt;100000000,VALUE($C4096),1000000000),IFERROR(IF(VALUE(MID($C4096,2,20))&lt;100000000,VALUE(MID($C4096,2,20)),1000000000),1000000000))+ROW()/100000,"")</f>
        <v/>
      </c>
    </row>
    <row r="4097">
      <c r="D4097" s="11" t="n"/>
      <c r="K4097" s="7">
        <f>IF($C4097="","",J4097*W4097/100)</f>
        <v/>
      </c>
      <c r="Q4097" s="7" t="n"/>
      <c r="R4097" s="7" t="n"/>
      <c r="U4097">
        <f>IF($C4097="","",IF($AJ4097=1,0,IF($AI4097=1,Settings!$C$6,Settings!$C$7))*100)</f>
        <v/>
      </c>
      <c r="V4097" s="7">
        <f>IF($C4097="","",R4097*U4097/100)</f>
        <v/>
      </c>
      <c r="W4097" s="7">
        <f>IF($C4097="","",R4097-V4097)</f>
        <v/>
      </c>
      <c r="X4097" s="7">
        <f>IF($C4097="","",W4097-K4097)</f>
        <v/>
      </c>
      <c r="AB4097" s="7" t="n"/>
      <c r="AE4097" s="11" t="n"/>
      <c r="AG4097">
        <f>IF($C4097="","",IF(COUNTIF($C$2:$C4097,$C4097)=1,1,0))</f>
        <v/>
      </c>
      <c r="AH4097">
        <f>IF($AG4097=1,SUMPRODUCT(--($AK$2:$AK$6001&lt;$AK4097))+1,"")</f>
        <v/>
      </c>
      <c r="AI4097">
        <f>IF($C4097="","",IF(OR($N4097=TRUE(),$N4097="TRUE"),1,0))</f>
        <v/>
      </c>
      <c r="AJ4097">
        <f>IF($C4097="","",IF($T4097="Yes",1,0))</f>
        <v/>
      </c>
      <c r="AK4097">
        <f>IF($AG4097=1,IFERROR(IF(VALUE($C4097)&lt;100000000,VALUE($C4097),1000000000),IFERROR(IF(VALUE(MID($C4097,2,20))&lt;100000000,VALUE(MID($C4097,2,20)),1000000000),1000000000))+ROW()/100000,"")</f>
        <v/>
      </c>
    </row>
    <row r="4098">
      <c r="D4098" s="11" t="n"/>
      <c r="K4098" s="7">
        <f>IF($C4098="","",J4098*W4098/100)</f>
        <v/>
      </c>
      <c r="Q4098" s="7" t="n"/>
      <c r="R4098" s="7" t="n"/>
      <c r="U4098">
        <f>IF($C4098="","",IF($AJ4098=1,0,IF($AI4098=1,Settings!$C$6,Settings!$C$7))*100)</f>
        <v/>
      </c>
      <c r="V4098" s="7">
        <f>IF($C4098="","",R4098*U4098/100)</f>
        <v/>
      </c>
      <c r="W4098" s="7">
        <f>IF($C4098="","",R4098-V4098)</f>
        <v/>
      </c>
      <c r="X4098" s="7">
        <f>IF($C4098="","",W4098-K4098)</f>
        <v/>
      </c>
      <c r="AB4098" s="7" t="n"/>
      <c r="AE4098" s="11" t="n"/>
      <c r="AG4098">
        <f>IF($C4098="","",IF(COUNTIF($C$2:$C4098,$C4098)=1,1,0))</f>
        <v/>
      </c>
      <c r="AH4098">
        <f>IF($AG4098=1,SUMPRODUCT(--($AK$2:$AK$6001&lt;$AK4098))+1,"")</f>
        <v/>
      </c>
      <c r="AI4098">
        <f>IF($C4098="","",IF(OR($N4098=TRUE(),$N4098="TRUE"),1,0))</f>
        <v/>
      </c>
      <c r="AJ4098">
        <f>IF($C4098="","",IF($T4098="Yes",1,0))</f>
        <v/>
      </c>
      <c r="AK4098">
        <f>IF($AG4098=1,IFERROR(IF(VALUE($C4098)&lt;100000000,VALUE($C4098),1000000000),IFERROR(IF(VALUE(MID($C4098,2,20))&lt;100000000,VALUE(MID($C4098,2,20)),1000000000),1000000000))+ROW()/100000,"")</f>
        <v/>
      </c>
    </row>
    <row r="4099">
      <c r="D4099" s="11" t="n"/>
      <c r="K4099" s="7">
        <f>IF($C4099="","",J4099*W4099/100)</f>
        <v/>
      </c>
      <c r="Q4099" s="7" t="n"/>
      <c r="R4099" s="7" t="n"/>
      <c r="U4099">
        <f>IF($C4099="","",IF($AJ4099=1,0,IF($AI4099=1,Settings!$C$6,Settings!$C$7))*100)</f>
        <v/>
      </c>
      <c r="V4099" s="7">
        <f>IF($C4099="","",R4099*U4099/100)</f>
        <v/>
      </c>
      <c r="W4099" s="7">
        <f>IF($C4099="","",R4099-V4099)</f>
        <v/>
      </c>
      <c r="X4099" s="7">
        <f>IF($C4099="","",W4099-K4099)</f>
        <v/>
      </c>
      <c r="AB4099" s="7" t="n"/>
      <c r="AE4099" s="11" t="n"/>
      <c r="AG4099">
        <f>IF($C4099="","",IF(COUNTIF($C$2:$C4099,$C4099)=1,1,0))</f>
        <v/>
      </c>
      <c r="AH4099">
        <f>IF($AG4099=1,SUMPRODUCT(--($AK$2:$AK$6001&lt;$AK4099))+1,"")</f>
        <v/>
      </c>
      <c r="AI4099">
        <f>IF($C4099="","",IF(OR($N4099=TRUE(),$N4099="TRUE"),1,0))</f>
        <v/>
      </c>
      <c r="AJ4099">
        <f>IF($C4099="","",IF($T4099="Yes",1,0))</f>
        <v/>
      </c>
      <c r="AK4099">
        <f>IF($AG4099=1,IFERROR(IF(VALUE($C4099)&lt;100000000,VALUE($C4099),1000000000),IFERROR(IF(VALUE(MID($C4099,2,20))&lt;100000000,VALUE(MID($C4099,2,20)),1000000000),1000000000))+ROW()/100000,"")</f>
        <v/>
      </c>
    </row>
    <row r="4100">
      <c r="D4100" s="11" t="n"/>
      <c r="K4100" s="7">
        <f>IF($C4100="","",J4100*W4100/100)</f>
        <v/>
      </c>
      <c r="Q4100" s="7" t="n"/>
      <c r="R4100" s="7" t="n"/>
      <c r="U4100">
        <f>IF($C4100="","",IF($AJ4100=1,0,IF($AI4100=1,Settings!$C$6,Settings!$C$7))*100)</f>
        <v/>
      </c>
      <c r="V4100" s="7">
        <f>IF($C4100="","",R4100*U4100/100)</f>
        <v/>
      </c>
      <c r="W4100" s="7">
        <f>IF($C4100="","",R4100-V4100)</f>
        <v/>
      </c>
      <c r="X4100" s="7">
        <f>IF($C4100="","",W4100-K4100)</f>
        <v/>
      </c>
      <c r="AB4100" s="7" t="n"/>
      <c r="AE4100" s="11" t="n"/>
      <c r="AG4100">
        <f>IF($C4100="","",IF(COUNTIF($C$2:$C4100,$C4100)=1,1,0))</f>
        <v/>
      </c>
      <c r="AH4100">
        <f>IF($AG4100=1,SUMPRODUCT(--($AK$2:$AK$6001&lt;$AK4100))+1,"")</f>
        <v/>
      </c>
      <c r="AI4100">
        <f>IF($C4100="","",IF(OR($N4100=TRUE(),$N4100="TRUE"),1,0))</f>
        <v/>
      </c>
      <c r="AJ4100">
        <f>IF($C4100="","",IF($T4100="Yes",1,0))</f>
        <v/>
      </c>
      <c r="AK4100">
        <f>IF($AG4100=1,IFERROR(IF(VALUE($C4100)&lt;100000000,VALUE($C4100),1000000000),IFERROR(IF(VALUE(MID($C4100,2,20))&lt;100000000,VALUE(MID($C4100,2,20)),1000000000),1000000000))+ROW()/100000,"")</f>
        <v/>
      </c>
    </row>
    <row r="4101">
      <c r="D4101" s="11" t="n"/>
      <c r="K4101" s="7">
        <f>IF($C4101="","",J4101*W4101/100)</f>
        <v/>
      </c>
      <c r="Q4101" s="7" t="n"/>
      <c r="R4101" s="7" t="n"/>
      <c r="U4101">
        <f>IF($C4101="","",IF($AJ4101=1,0,IF($AI4101=1,Settings!$C$6,Settings!$C$7))*100)</f>
        <v/>
      </c>
      <c r="V4101" s="7">
        <f>IF($C4101="","",R4101*U4101/100)</f>
        <v/>
      </c>
      <c r="W4101" s="7">
        <f>IF($C4101="","",R4101-V4101)</f>
        <v/>
      </c>
      <c r="X4101" s="7">
        <f>IF($C4101="","",W4101-K4101)</f>
        <v/>
      </c>
      <c r="AB4101" s="7" t="n"/>
      <c r="AE4101" s="11" t="n"/>
      <c r="AG4101">
        <f>IF($C4101="","",IF(COUNTIF($C$2:$C4101,$C4101)=1,1,0))</f>
        <v/>
      </c>
      <c r="AH4101">
        <f>IF($AG4101=1,SUMPRODUCT(--($AK$2:$AK$6001&lt;$AK4101))+1,"")</f>
        <v/>
      </c>
      <c r="AI4101">
        <f>IF($C4101="","",IF(OR($N4101=TRUE(),$N4101="TRUE"),1,0))</f>
        <v/>
      </c>
      <c r="AJ4101">
        <f>IF($C4101="","",IF($T4101="Yes",1,0))</f>
        <v/>
      </c>
      <c r="AK4101">
        <f>IF($AG4101=1,IFERROR(IF(VALUE($C4101)&lt;100000000,VALUE($C4101),1000000000),IFERROR(IF(VALUE(MID($C4101,2,20))&lt;100000000,VALUE(MID($C4101,2,20)),1000000000),1000000000))+ROW()/100000,"")</f>
        <v/>
      </c>
    </row>
    <row r="4102">
      <c r="D4102" s="11" t="n"/>
      <c r="K4102" s="7">
        <f>IF($C4102="","",J4102*W4102/100)</f>
        <v/>
      </c>
      <c r="Q4102" s="7" t="n"/>
      <c r="R4102" s="7" t="n"/>
      <c r="U4102">
        <f>IF($C4102="","",IF($AJ4102=1,0,IF($AI4102=1,Settings!$C$6,Settings!$C$7))*100)</f>
        <v/>
      </c>
      <c r="V4102" s="7">
        <f>IF($C4102="","",R4102*U4102/100)</f>
        <v/>
      </c>
      <c r="W4102" s="7">
        <f>IF($C4102="","",R4102-V4102)</f>
        <v/>
      </c>
      <c r="X4102" s="7">
        <f>IF($C4102="","",W4102-K4102)</f>
        <v/>
      </c>
      <c r="AB4102" s="7" t="n"/>
      <c r="AE4102" s="11" t="n"/>
      <c r="AG4102">
        <f>IF($C4102="","",IF(COUNTIF($C$2:$C4102,$C4102)=1,1,0))</f>
        <v/>
      </c>
      <c r="AH4102">
        <f>IF($AG4102=1,SUMPRODUCT(--($AK$2:$AK$6001&lt;$AK4102))+1,"")</f>
        <v/>
      </c>
      <c r="AI4102">
        <f>IF($C4102="","",IF(OR($N4102=TRUE(),$N4102="TRUE"),1,0))</f>
        <v/>
      </c>
      <c r="AJ4102">
        <f>IF($C4102="","",IF($T4102="Yes",1,0))</f>
        <v/>
      </c>
      <c r="AK4102">
        <f>IF($AG4102=1,IFERROR(IF(VALUE($C4102)&lt;100000000,VALUE($C4102),1000000000),IFERROR(IF(VALUE(MID($C4102,2,20))&lt;100000000,VALUE(MID($C4102,2,20)),1000000000),1000000000))+ROW()/100000,"")</f>
        <v/>
      </c>
    </row>
    <row r="4103">
      <c r="D4103" s="11" t="n"/>
      <c r="K4103" s="7">
        <f>IF($C4103="","",J4103*W4103/100)</f>
        <v/>
      </c>
      <c r="Q4103" s="7" t="n"/>
      <c r="R4103" s="7" t="n"/>
      <c r="U4103">
        <f>IF($C4103="","",IF($AJ4103=1,0,IF($AI4103=1,Settings!$C$6,Settings!$C$7))*100)</f>
        <v/>
      </c>
      <c r="V4103" s="7">
        <f>IF($C4103="","",R4103*U4103/100)</f>
        <v/>
      </c>
      <c r="W4103" s="7">
        <f>IF($C4103="","",R4103-V4103)</f>
        <v/>
      </c>
      <c r="X4103" s="7">
        <f>IF($C4103="","",W4103-K4103)</f>
        <v/>
      </c>
      <c r="AB4103" s="7" t="n"/>
      <c r="AE4103" s="11" t="n"/>
      <c r="AG4103">
        <f>IF($C4103="","",IF(COUNTIF($C$2:$C4103,$C4103)=1,1,0))</f>
        <v/>
      </c>
      <c r="AH4103">
        <f>IF($AG4103=1,SUMPRODUCT(--($AK$2:$AK$6001&lt;$AK4103))+1,"")</f>
        <v/>
      </c>
      <c r="AI4103">
        <f>IF($C4103="","",IF(OR($N4103=TRUE(),$N4103="TRUE"),1,0))</f>
        <v/>
      </c>
      <c r="AJ4103">
        <f>IF($C4103="","",IF($T4103="Yes",1,0))</f>
        <v/>
      </c>
      <c r="AK4103">
        <f>IF($AG4103=1,IFERROR(IF(VALUE($C4103)&lt;100000000,VALUE($C4103),1000000000),IFERROR(IF(VALUE(MID($C4103,2,20))&lt;100000000,VALUE(MID($C4103,2,20)),1000000000),1000000000))+ROW()/100000,"")</f>
        <v/>
      </c>
    </row>
    <row r="4104">
      <c r="D4104" s="11" t="n"/>
      <c r="K4104" s="7">
        <f>IF($C4104="","",J4104*W4104/100)</f>
        <v/>
      </c>
      <c r="Q4104" s="7" t="n"/>
      <c r="R4104" s="7" t="n"/>
      <c r="U4104">
        <f>IF($C4104="","",IF($AJ4104=1,0,IF($AI4104=1,Settings!$C$6,Settings!$C$7))*100)</f>
        <v/>
      </c>
      <c r="V4104" s="7">
        <f>IF($C4104="","",R4104*U4104/100)</f>
        <v/>
      </c>
      <c r="W4104" s="7">
        <f>IF($C4104="","",R4104-V4104)</f>
        <v/>
      </c>
      <c r="X4104" s="7">
        <f>IF($C4104="","",W4104-K4104)</f>
        <v/>
      </c>
      <c r="AB4104" s="7" t="n"/>
      <c r="AE4104" s="11" t="n"/>
      <c r="AG4104">
        <f>IF($C4104="","",IF(COUNTIF($C$2:$C4104,$C4104)=1,1,0))</f>
        <v/>
      </c>
      <c r="AH4104">
        <f>IF($AG4104=1,SUMPRODUCT(--($AK$2:$AK$6001&lt;$AK4104))+1,"")</f>
        <v/>
      </c>
      <c r="AI4104">
        <f>IF($C4104="","",IF(OR($N4104=TRUE(),$N4104="TRUE"),1,0))</f>
        <v/>
      </c>
      <c r="AJ4104">
        <f>IF($C4104="","",IF($T4104="Yes",1,0))</f>
        <v/>
      </c>
      <c r="AK4104">
        <f>IF($AG4104=1,IFERROR(IF(VALUE($C4104)&lt;100000000,VALUE($C4104),1000000000),IFERROR(IF(VALUE(MID($C4104,2,20))&lt;100000000,VALUE(MID($C4104,2,20)),1000000000),1000000000))+ROW()/100000,"")</f>
        <v/>
      </c>
    </row>
    <row r="4105">
      <c r="D4105" s="11" t="n"/>
      <c r="K4105" s="7">
        <f>IF($C4105="","",J4105*W4105/100)</f>
        <v/>
      </c>
      <c r="Q4105" s="7" t="n"/>
      <c r="R4105" s="7" t="n"/>
      <c r="U4105">
        <f>IF($C4105="","",IF($AJ4105=1,0,IF($AI4105=1,Settings!$C$6,Settings!$C$7))*100)</f>
        <v/>
      </c>
      <c r="V4105" s="7">
        <f>IF($C4105="","",R4105*U4105/100)</f>
        <v/>
      </c>
      <c r="W4105" s="7">
        <f>IF($C4105="","",R4105-V4105)</f>
        <v/>
      </c>
      <c r="X4105" s="7">
        <f>IF($C4105="","",W4105-K4105)</f>
        <v/>
      </c>
      <c r="AB4105" s="7" t="n"/>
      <c r="AE4105" s="11" t="n"/>
      <c r="AG4105">
        <f>IF($C4105="","",IF(COUNTIF($C$2:$C4105,$C4105)=1,1,0))</f>
        <v/>
      </c>
      <c r="AH4105">
        <f>IF($AG4105=1,SUMPRODUCT(--($AK$2:$AK$6001&lt;$AK4105))+1,"")</f>
        <v/>
      </c>
      <c r="AI4105">
        <f>IF($C4105="","",IF(OR($N4105=TRUE(),$N4105="TRUE"),1,0))</f>
        <v/>
      </c>
      <c r="AJ4105">
        <f>IF($C4105="","",IF($T4105="Yes",1,0))</f>
        <v/>
      </c>
      <c r="AK4105">
        <f>IF($AG4105=1,IFERROR(IF(VALUE($C4105)&lt;100000000,VALUE($C4105),1000000000),IFERROR(IF(VALUE(MID($C4105,2,20))&lt;100000000,VALUE(MID($C4105,2,20)),1000000000),1000000000))+ROW()/100000,"")</f>
        <v/>
      </c>
    </row>
    <row r="4106">
      <c r="D4106" s="11" t="n"/>
      <c r="K4106" s="7">
        <f>IF($C4106="","",J4106*W4106/100)</f>
        <v/>
      </c>
      <c r="Q4106" s="7" t="n"/>
      <c r="R4106" s="7" t="n"/>
      <c r="U4106">
        <f>IF($C4106="","",IF($AJ4106=1,0,IF($AI4106=1,Settings!$C$6,Settings!$C$7))*100)</f>
        <v/>
      </c>
      <c r="V4106" s="7">
        <f>IF($C4106="","",R4106*U4106/100)</f>
        <v/>
      </c>
      <c r="W4106" s="7">
        <f>IF($C4106="","",R4106-V4106)</f>
        <v/>
      </c>
      <c r="X4106" s="7">
        <f>IF($C4106="","",W4106-K4106)</f>
        <v/>
      </c>
      <c r="AB4106" s="7" t="n"/>
      <c r="AE4106" s="11" t="n"/>
      <c r="AG4106">
        <f>IF($C4106="","",IF(COUNTIF($C$2:$C4106,$C4106)=1,1,0))</f>
        <v/>
      </c>
      <c r="AH4106">
        <f>IF($AG4106=1,SUMPRODUCT(--($AK$2:$AK$6001&lt;$AK4106))+1,"")</f>
        <v/>
      </c>
      <c r="AI4106">
        <f>IF($C4106="","",IF(OR($N4106=TRUE(),$N4106="TRUE"),1,0))</f>
        <v/>
      </c>
      <c r="AJ4106">
        <f>IF($C4106="","",IF($T4106="Yes",1,0))</f>
        <v/>
      </c>
      <c r="AK4106">
        <f>IF($AG4106=1,IFERROR(IF(VALUE($C4106)&lt;100000000,VALUE($C4106),1000000000),IFERROR(IF(VALUE(MID($C4106,2,20))&lt;100000000,VALUE(MID($C4106,2,20)),1000000000),1000000000))+ROW()/100000,"")</f>
        <v/>
      </c>
    </row>
    <row r="4107">
      <c r="D4107" s="11" t="n"/>
      <c r="K4107" s="7">
        <f>IF($C4107="","",J4107*W4107/100)</f>
        <v/>
      </c>
      <c r="Q4107" s="7" t="n"/>
      <c r="R4107" s="7" t="n"/>
      <c r="U4107">
        <f>IF($C4107="","",IF($AJ4107=1,0,IF($AI4107=1,Settings!$C$6,Settings!$C$7))*100)</f>
        <v/>
      </c>
      <c r="V4107" s="7">
        <f>IF($C4107="","",R4107*U4107/100)</f>
        <v/>
      </c>
      <c r="W4107" s="7">
        <f>IF($C4107="","",R4107-V4107)</f>
        <v/>
      </c>
      <c r="X4107" s="7">
        <f>IF($C4107="","",W4107-K4107)</f>
        <v/>
      </c>
      <c r="AB4107" s="7" t="n"/>
      <c r="AE4107" s="11" t="n"/>
      <c r="AG4107">
        <f>IF($C4107="","",IF(COUNTIF($C$2:$C4107,$C4107)=1,1,0))</f>
        <v/>
      </c>
      <c r="AH4107">
        <f>IF($AG4107=1,SUMPRODUCT(--($AK$2:$AK$6001&lt;$AK4107))+1,"")</f>
        <v/>
      </c>
      <c r="AI4107">
        <f>IF($C4107="","",IF(OR($N4107=TRUE(),$N4107="TRUE"),1,0))</f>
        <v/>
      </c>
      <c r="AJ4107">
        <f>IF($C4107="","",IF($T4107="Yes",1,0))</f>
        <v/>
      </c>
      <c r="AK4107">
        <f>IF($AG4107=1,IFERROR(IF(VALUE($C4107)&lt;100000000,VALUE($C4107),1000000000),IFERROR(IF(VALUE(MID($C4107,2,20))&lt;100000000,VALUE(MID($C4107,2,20)),1000000000),1000000000))+ROW()/100000,"")</f>
        <v/>
      </c>
    </row>
    <row r="4108">
      <c r="D4108" s="11" t="n"/>
      <c r="K4108" s="7">
        <f>IF($C4108="","",J4108*W4108/100)</f>
        <v/>
      </c>
      <c r="Q4108" s="7" t="n"/>
      <c r="R4108" s="7" t="n"/>
      <c r="U4108">
        <f>IF($C4108="","",IF($AJ4108=1,0,IF($AI4108=1,Settings!$C$6,Settings!$C$7))*100)</f>
        <v/>
      </c>
      <c r="V4108" s="7">
        <f>IF($C4108="","",R4108*U4108/100)</f>
        <v/>
      </c>
      <c r="W4108" s="7">
        <f>IF($C4108="","",R4108-V4108)</f>
        <v/>
      </c>
      <c r="X4108" s="7">
        <f>IF($C4108="","",W4108-K4108)</f>
        <v/>
      </c>
      <c r="AB4108" s="7" t="n"/>
      <c r="AE4108" s="11" t="n"/>
      <c r="AG4108">
        <f>IF($C4108="","",IF(COUNTIF($C$2:$C4108,$C4108)=1,1,0))</f>
        <v/>
      </c>
      <c r="AH4108">
        <f>IF($AG4108=1,SUMPRODUCT(--($AK$2:$AK$6001&lt;$AK4108))+1,"")</f>
        <v/>
      </c>
      <c r="AI4108">
        <f>IF($C4108="","",IF(OR($N4108=TRUE(),$N4108="TRUE"),1,0))</f>
        <v/>
      </c>
      <c r="AJ4108">
        <f>IF($C4108="","",IF($T4108="Yes",1,0))</f>
        <v/>
      </c>
      <c r="AK4108">
        <f>IF($AG4108=1,IFERROR(IF(VALUE($C4108)&lt;100000000,VALUE($C4108),1000000000),IFERROR(IF(VALUE(MID($C4108,2,20))&lt;100000000,VALUE(MID($C4108,2,20)),1000000000),1000000000))+ROW()/100000,"")</f>
        <v/>
      </c>
    </row>
    <row r="4109">
      <c r="D4109" s="11" t="n"/>
      <c r="K4109" s="7">
        <f>IF($C4109="","",J4109*W4109/100)</f>
        <v/>
      </c>
      <c r="Q4109" s="7" t="n"/>
      <c r="R4109" s="7" t="n"/>
      <c r="U4109">
        <f>IF($C4109="","",IF($AJ4109=1,0,IF($AI4109=1,Settings!$C$6,Settings!$C$7))*100)</f>
        <v/>
      </c>
      <c r="V4109" s="7">
        <f>IF($C4109="","",R4109*U4109/100)</f>
        <v/>
      </c>
      <c r="W4109" s="7">
        <f>IF($C4109="","",R4109-V4109)</f>
        <v/>
      </c>
      <c r="X4109" s="7">
        <f>IF($C4109="","",W4109-K4109)</f>
        <v/>
      </c>
      <c r="AB4109" s="7" t="n"/>
      <c r="AE4109" s="11" t="n"/>
      <c r="AG4109">
        <f>IF($C4109="","",IF(COUNTIF($C$2:$C4109,$C4109)=1,1,0))</f>
        <v/>
      </c>
      <c r="AH4109">
        <f>IF($AG4109=1,SUMPRODUCT(--($AK$2:$AK$6001&lt;$AK4109))+1,"")</f>
        <v/>
      </c>
      <c r="AI4109">
        <f>IF($C4109="","",IF(OR($N4109=TRUE(),$N4109="TRUE"),1,0))</f>
        <v/>
      </c>
      <c r="AJ4109">
        <f>IF($C4109="","",IF($T4109="Yes",1,0))</f>
        <v/>
      </c>
      <c r="AK4109">
        <f>IF($AG4109=1,IFERROR(IF(VALUE($C4109)&lt;100000000,VALUE($C4109),1000000000),IFERROR(IF(VALUE(MID($C4109,2,20))&lt;100000000,VALUE(MID($C4109,2,20)),1000000000),1000000000))+ROW()/100000,"")</f>
        <v/>
      </c>
    </row>
    <row r="4110">
      <c r="D4110" s="11" t="n"/>
      <c r="K4110" s="7">
        <f>IF($C4110="","",J4110*W4110/100)</f>
        <v/>
      </c>
      <c r="Q4110" s="7" t="n"/>
      <c r="R4110" s="7" t="n"/>
      <c r="U4110">
        <f>IF($C4110="","",IF($AJ4110=1,0,IF($AI4110=1,Settings!$C$6,Settings!$C$7))*100)</f>
        <v/>
      </c>
      <c r="V4110" s="7">
        <f>IF($C4110="","",R4110*U4110/100)</f>
        <v/>
      </c>
      <c r="W4110" s="7">
        <f>IF($C4110="","",R4110-V4110)</f>
        <v/>
      </c>
      <c r="X4110" s="7">
        <f>IF($C4110="","",W4110-K4110)</f>
        <v/>
      </c>
      <c r="AB4110" s="7" t="n"/>
      <c r="AE4110" s="11" t="n"/>
      <c r="AG4110">
        <f>IF($C4110="","",IF(COUNTIF($C$2:$C4110,$C4110)=1,1,0))</f>
        <v/>
      </c>
      <c r="AH4110">
        <f>IF($AG4110=1,SUMPRODUCT(--($AK$2:$AK$6001&lt;$AK4110))+1,"")</f>
        <v/>
      </c>
      <c r="AI4110">
        <f>IF($C4110="","",IF(OR($N4110=TRUE(),$N4110="TRUE"),1,0))</f>
        <v/>
      </c>
      <c r="AJ4110">
        <f>IF($C4110="","",IF($T4110="Yes",1,0))</f>
        <v/>
      </c>
      <c r="AK4110">
        <f>IF($AG4110=1,IFERROR(IF(VALUE($C4110)&lt;100000000,VALUE($C4110),1000000000),IFERROR(IF(VALUE(MID($C4110,2,20))&lt;100000000,VALUE(MID($C4110,2,20)),1000000000),1000000000))+ROW()/100000,"")</f>
        <v/>
      </c>
    </row>
    <row r="4111">
      <c r="D4111" s="11" t="n"/>
      <c r="K4111" s="7">
        <f>IF($C4111="","",J4111*W4111/100)</f>
        <v/>
      </c>
      <c r="Q4111" s="7" t="n"/>
      <c r="R4111" s="7" t="n"/>
      <c r="U4111">
        <f>IF($C4111="","",IF($AJ4111=1,0,IF($AI4111=1,Settings!$C$6,Settings!$C$7))*100)</f>
        <v/>
      </c>
      <c r="V4111" s="7">
        <f>IF($C4111="","",R4111*U4111/100)</f>
        <v/>
      </c>
      <c r="W4111" s="7">
        <f>IF($C4111="","",R4111-V4111)</f>
        <v/>
      </c>
      <c r="X4111" s="7">
        <f>IF($C4111="","",W4111-K4111)</f>
        <v/>
      </c>
      <c r="AB4111" s="7" t="n"/>
      <c r="AE4111" s="11" t="n"/>
      <c r="AG4111">
        <f>IF($C4111="","",IF(COUNTIF($C$2:$C4111,$C4111)=1,1,0))</f>
        <v/>
      </c>
      <c r="AH4111">
        <f>IF($AG4111=1,SUMPRODUCT(--($AK$2:$AK$6001&lt;$AK4111))+1,"")</f>
        <v/>
      </c>
      <c r="AI4111">
        <f>IF($C4111="","",IF(OR($N4111=TRUE(),$N4111="TRUE"),1,0))</f>
        <v/>
      </c>
      <c r="AJ4111">
        <f>IF($C4111="","",IF($T4111="Yes",1,0))</f>
        <v/>
      </c>
      <c r="AK4111">
        <f>IF($AG4111=1,IFERROR(IF(VALUE($C4111)&lt;100000000,VALUE($C4111),1000000000),IFERROR(IF(VALUE(MID($C4111,2,20))&lt;100000000,VALUE(MID($C4111,2,20)),1000000000),1000000000))+ROW()/100000,"")</f>
        <v/>
      </c>
    </row>
    <row r="4112">
      <c r="D4112" s="11" t="n"/>
      <c r="K4112" s="7">
        <f>IF($C4112="","",J4112*W4112/100)</f>
        <v/>
      </c>
      <c r="Q4112" s="7" t="n"/>
      <c r="R4112" s="7" t="n"/>
      <c r="U4112">
        <f>IF($C4112="","",IF($AJ4112=1,0,IF($AI4112=1,Settings!$C$6,Settings!$C$7))*100)</f>
        <v/>
      </c>
      <c r="V4112" s="7">
        <f>IF($C4112="","",R4112*U4112/100)</f>
        <v/>
      </c>
      <c r="W4112" s="7">
        <f>IF($C4112="","",R4112-V4112)</f>
        <v/>
      </c>
      <c r="X4112" s="7">
        <f>IF($C4112="","",W4112-K4112)</f>
        <v/>
      </c>
      <c r="AB4112" s="7" t="n"/>
      <c r="AE4112" s="11" t="n"/>
      <c r="AG4112">
        <f>IF($C4112="","",IF(COUNTIF($C$2:$C4112,$C4112)=1,1,0))</f>
        <v/>
      </c>
      <c r="AH4112">
        <f>IF($AG4112=1,SUMPRODUCT(--($AK$2:$AK$6001&lt;$AK4112))+1,"")</f>
        <v/>
      </c>
      <c r="AI4112">
        <f>IF($C4112="","",IF(OR($N4112=TRUE(),$N4112="TRUE"),1,0))</f>
        <v/>
      </c>
      <c r="AJ4112">
        <f>IF($C4112="","",IF($T4112="Yes",1,0))</f>
        <v/>
      </c>
      <c r="AK4112">
        <f>IF($AG4112=1,IFERROR(IF(VALUE($C4112)&lt;100000000,VALUE($C4112),1000000000),IFERROR(IF(VALUE(MID($C4112,2,20))&lt;100000000,VALUE(MID($C4112,2,20)),1000000000),1000000000))+ROW()/100000,"")</f>
        <v/>
      </c>
    </row>
    <row r="4113">
      <c r="D4113" s="11" t="n"/>
      <c r="K4113" s="7">
        <f>IF($C4113="","",J4113*W4113/100)</f>
        <v/>
      </c>
      <c r="Q4113" s="7" t="n"/>
      <c r="R4113" s="7" t="n"/>
      <c r="U4113">
        <f>IF($C4113="","",IF($AJ4113=1,0,IF($AI4113=1,Settings!$C$6,Settings!$C$7))*100)</f>
        <v/>
      </c>
      <c r="V4113" s="7">
        <f>IF($C4113="","",R4113*U4113/100)</f>
        <v/>
      </c>
      <c r="W4113" s="7">
        <f>IF($C4113="","",R4113-V4113)</f>
        <v/>
      </c>
      <c r="X4113" s="7">
        <f>IF($C4113="","",W4113-K4113)</f>
        <v/>
      </c>
      <c r="AB4113" s="7" t="n"/>
      <c r="AE4113" s="11" t="n"/>
      <c r="AG4113">
        <f>IF($C4113="","",IF(COUNTIF($C$2:$C4113,$C4113)=1,1,0))</f>
        <v/>
      </c>
      <c r="AH4113">
        <f>IF($AG4113=1,SUMPRODUCT(--($AK$2:$AK$6001&lt;$AK4113))+1,"")</f>
        <v/>
      </c>
      <c r="AI4113">
        <f>IF($C4113="","",IF(OR($N4113=TRUE(),$N4113="TRUE"),1,0))</f>
        <v/>
      </c>
      <c r="AJ4113">
        <f>IF($C4113="","",IF($T4113="Yes",1,0))</f>
        <v/>
      </c>
      <c r="AK4113">
        <f>IF($AG4113=1,IFERROR(IF(VALUE($C4113)&lt;100000000,VALUE($C4113),1000000000),IFERROR(IF(VALUE(MID($C4113,2,20))&lt;100000000,VALUE(MID($C4113,2,20)),1000000000),1000000000))+ROW()/100000,"")</f>
        <v/>
      </c>
    </row>
    <row r="4114">
      <c r="D4114" s="11" t="n"/>
      <c r="K4114" s="7">
        <f>IF($C4114="","",J4114*W4114/100)</f>
        <v/>
      </c>
      <c r="Q4114" s="7" t="n"/>
      <c r="R4114" s="7" t="n"/>
      <c r="U4114">
        <f>IF($C4114="","",IF($AJ4114=1,0,IF($AI4114=1,Settings!$C$6,Settings!$C$7))*100)</f>
        <v/>
      </c>
      <c r="V4114" s="7">
        <f>IF($C4114="","",R4114*U4114/100)</f>
        <v/>
      </c>
      <c r="W4114" s="7">
        <f>IF($C4114="","",R4114-V4114)</f>
        <v/>
      </c>
      <c r="X4114" s="7">
        <f>IF($C4114="","",W4114-K4114)</f>
        <v/>
      </c>
      <c r="AB4114" s="7" t="n"/>
      <c r="AE4114" s="11" t="n"/>
      <c r="AG4114">
        <f>IF($C4114="","",IF(COUNTIF($C$2:$C4114,$C4114)=1,1,0))</f>
        <v/>
      </c>
      <c r="AH4114">
        <f>IF($AG4114=1,SUMPRODUCT(--($AK$2:$AK$6001&lt;$AK4114))+1,"")</f>
        <v/>
      </c>
      <c r="AI4114">
        <f>IF($C4114="","",IF(OR($N4114=TRUE(),$N4114="TRUE"),1,0))</f>
        <v/>
      </c>
      <c r="AJ4114">
        <f>IF($C4114="","",IF($T4114="Yes",1,0))</f>
        <v/>
      </c>
      <c r="AK4114">
        <f>IF($AG4114=1,IFERROR(IF(VALUE($C4114)&lt;100000000,VALUE($C4114),1000000000),IFERROR(IF(VALUE(MID($C4114,2,20))&lt;100000000,VALUE(MID($C4114,2,20)),1000000000),1000000000))+ROW()/100000,"")</f>
        <v/>
      </c>
    </row>
    <row r="4115">
      <c r="D4115" s="11" t="n"/>
      <c r="K4115" s="7">
        <f>IF($C4115="","",J4115*W4115/100)</f>
        <v/>
      </c>
      <c r="Q4115" s="7" t="n"/>
      <c r="R4115" s="7" t="n"/>
      <c r="U4115">
        <f>IF($C4115="","",IF($AJ4115=1,0,IF($AI4115=1,Settings!$C$6,Settings!$C$7))*100)</f>
        <v/>
      </c>
      <c r="V4115" s="7">
        <f>IF($C4115="","",R4115*U4115/100)</f>
        <v/>
      </c>
      <c r="W4115" s="7">
        <f>IF($C4115="","",R4115-V4115)</f>
        <v/>
      </c>
      <c r="X4115" s="7">
        <f>IF($C4115="","",W4115-K4115)</f>
        <v/>
      </c>
      <c r="AB4115" s="7" t="n"/>
      <c r="AE4115" s="11" t="n"/>
      <c r="AG4115">
        <f>IF($C4115="","",IF(COUNTIF($C$2:$C4115,$C4115)=1,1,0))</f>
        <v/>
      </c>
      <c r="AH4115">
        <f>IF($AG4115=1,SUMPRODUCT(--($AK$2:$AK$6001&lt;$AK4115))+1,"")</f>
        <v/>
      </c>
      <c r="AI4115">
        <f>IF($C4115="","",IF(OR($N4115=TRUE(),$N4115="TRUE"),1,0))</f>
        <v/>
      </c>
      <c r="AJ4115">
        <f>IF($C4115="","",IF($T4115="Yes",1,0))</f>
        <v/>
      </c>
      <c r="AK4115">
        <f>IF($AG4115=1,IFERROR(IF(VALUE($C4115)&lt;100000000,VALUE($C4115),1000000000),IFERROR(IF(VALUE(MID($C4115,2,20))&lt;100000000,VALUE(MID($C4115,2,20)),1000000000),1000000000))+ROW()/100000,"")</f>
        <v/>
      </c>
    </row>
    <row r="4116">
      <c r="D4116" s="11" t="n"/>
      <c r="K4116" s="7">
        <f>IF($C4116="","",J4116*W4116/100)</f>
        <v/>
      </c>
      <c r="Q4116" s="7" t="n"/>
      <c r="R4116" s="7" t="n"/>
      <c r="U4116">
        <f>IF($C4116="","",IF($AJ4116=1,0,IF($AI4116=1,Settings!$C$6,Settings!$C$7))*100)</f>
        <v/>
      </c>
      <c r="V4116" s="7">
        <f>IF($C4116="","",R4116*U4116/100)</f>
        <v/>
      </c>
      <c r="W4116" s="7">
        <f>IF($C4116="","",R4116-V4116)</f>
        <v/>
      </c>
      <c r="X4116" s="7">
        <f>IF($C4116="","",W4116-K4116)</f>
        <v/>
      </c>
      <c r="AB4116" s="7" t="n"/>
      <c r="AE4116" s="11" t="n"/>
      <c r="AG4116">
        <f>IF($C4116="","",IF(COUNTIF($C$2:$C4116,$C4116)=1,1,0))</f>
        <v/>
      </c>
      <c r="AH4116">
        <f>IF($AG4116=1,SUMPRODUCT(--($AK$2:$AK$6001&lt;$AK4116))+1,"")</f>
        <v/>
      </c>
      <c r="AI4116">
        <f>IF($C4116="","",IF(OR($N4116=TRUE(),$N4116="TRUE"),1,0))</f>
        <v/>
      </c>
      <c r="AJ4116">
        <f>IF($C4116="","",IF($T4116="Yes",1,0))</f>
        <v/>
      </c>
      <c r="AK4116">
        <f>IF($AG4116=1,IFERROR(IF(VALUE($C4116)&lt;100000000,VALUE($C4116),1000000000),IFERROR(IF(VALUE(MID($C4116,2,20))&lt;100000000,VALUE(MID($C4116,2,20)),1000000000),1000000000))+ROW()/100000,"")</f>
        <v/>
      </c>
    </row>
    <row r="4117">
      <c r="D4117" s="11" t="n"/>
      <c r="K4117" s="7">
        <f>IF($C4117="","",J4117*W4117/100)</f>
        <v/>
      </c>
      <c r="Q4117" s="7" t="n"/>
      <c r="R4117" s="7" t="n"/>
      <c r="U4117">
        <f>IF($C4117="","",IF($AJ4117=1,0,IF($AI4117=1,Settings!$C$6,Settings!$C$7))*100)</f>
        <v/>
      </c>
      <c r="V4117" s="7">
        <f>IF($C4117="","",R4117*U4117/100)</f>
        <v/>
      </c>
      <c r="W4117" s="7">
        <f>IF($C4117="","",R4117-V4117)</f>
        <v/>
      </c>
      <c r="X4117" s="7">
        <f>IF($C4117="","",W4117-K4117)</f>
        <v/>
      </c>
      <c r="AB4117" s="7" t="n"/>
      <c r="AE4117" s="11" t="n"/>
      <c r="AG4117">
        <f>IF($C4117="","",IF(COUNTIF($C$2:$C4117,$C4117)=1,1,0))</f>
        <v/>
      </c>
      <c r="AH4117">
        <f>IF($AG4117=1,SUMPRODUCT(--($AK$2:$AK$6001&lt;$AK4117))+1,"")</f>
        <v/>
      </c>
      <c r="AI4117">
        <f>IF($C4117="","",IF(OR($N4117=TRUE(),$N4117="TRUE"),1,0))</f>
        <v/>
      </c>
      <c r="AJ4117">
        <f>IF($C4117="","",IF($T4117="Yes",1,0))</f>
        <v/>
      </c>
      <c r="AK4117">
        <f>IF($AG4117=1,IFERROR(IF(VALUE($C4117)&lt;100000000,VALUE($C4117),1000000000),IFERROR(IF(VALUE(MID($C4117,2,20))&lt;100000000,VALUE(MID($C4117,2,20)),1000000000),1000000000))+ROW()/100000,"")</f>
        <v/>
      </c>
    </row>
    <row r="4118">
      <c r="D4118" s="11" t="n"/>
      <c r="K4118" s="7">
        <f>IF($C4118="","",J4118*W4118/100)</f>
        <v/>
      </c>
      <c r="Q4118" s="7" t="n"/>
      <c r="R4118" s="7" t="n"/>
      <c r="U4118">
        <f>IF($C4118="","",IF($AJ4118=1,0,IF($AI4118=1,Settings!$C$6,Settings!$C$7))*100)</f>
        <v/>
      </c>
      <c r="V4118" s="7">
        <f>IF($C4118="","",R4118*U4118/100)</f>
        <v/>
      </c>
      <c r="W4118" s="7">
        <f>IF($C4118="","",R4118-V4118)</f>
        <v/>
      </c>
      <c r="X4118" s="7">
        <f>IF($C4118="","",W4118-K4118)</f>
        <v/>
      </c>
      <c r="AB4118" s="7" t="n"/>
      <c r="AE4118" s="11" t="n"/>
      <c r="AG4118">
        <f>IF($C4118="","",IF(COUNTIF($C$2:$C4118,$C4118)=1,1,0))</f>
        <v/>
      </c>
      <c r="AH4118">
        <f>IF($AG4118=1,SUMPRODUCT(--($AK$2:$AK$6001&lt;$AK4118))+1,"")</f>
        <v/>
      </c>
      <c r="AI4118">
        <f>IF($C4118="","",IF(OR($N4118=TRUE(),$N4118="TRUE"),1,0))</f>
        <v/>
      </c>
      <c r="AJ4118">
        <f>IF($C4118="","",IF($T4118="Yes",1,0))</f>
        <v/>
      </c>
      <c r="AK4118">
        <f>IF($AG4118=1,IFERROR(IF(VALUE($C4118)&lt;100000000,VALUE($C4118),1000000000),IFERROR(IF(VALUE(MID($C4118,2,20))&lt;100000000,VALUE(MID($C4118,2,20)),1000000000),1000000000))+ROW()/100000,"")</f>
        <v/>
      </c>
    </row>
    <row r="4119">
      <c r="D4119" s="11" t="n"/>
      <c r="K4119" s="7">
        <f>IF($C4119="","",J4119*W4119/100)</f>
        <v/>
      </c>
      <c r="Q4119" s="7" t="n"/>
      <c r="R4119" s="7" t="n"/>
      <c r="U4119">
        <f>IF($C4119="","",IF($AJ4119=1,0,IF($AI4119=1,Settings!$C$6,Settings!$C$7))*100)</f>
        <v/>
      </c>
      <c r="V4119" s="7">
        <f>IF($C4119="","",R4119*U4119/100)</f>
        <v/>
      </c>
      <c r="W4119" s="7">
        <f>IF($C4119="","",R4119-V4119)</f>
        <v/>
      </c>
      <c r="X4119" s="7">
        <f>IF($C4119="","",W4119-K4119)</f>
        <v/>
      </c>
      <c r="AB4119" s="7" t="n"/>
      <c r="AE4119" s="11" t="n"/>
      <c r="AG4119">
        <f>IF($C4119="","",IF(COUNTIF($C$2:$C4119,$C4119)=1,1,0))</f>
        <v/>
      </c>
      <c r="AH4119">
        <f>IF($AG4119=1,SUMPRODUCT(--($AK$2:$AK$6001&lt;$AK4119))+1,"")</f>
        <v/>
      </c>
      <c r="AI4119">
        <f>IF($C4119="","",IF(OR($N4119=TRUE(),$N4119="TRUE"),1,0))</f>
        <v/>
      </c>
      <c r="AJ4119">
        <f>IF($C4119="","",IF($T4119="Yes",1,0))</f>
        <v/>
      </c>
      <c r="AK4119">
        <f>IF($AG4119=1,IFERROR(IF(VALUE($C4119)&lt;100000000,VALUE($C4119),1000000000),IFERROR(IF(VALUE(MID($C4119,2,20))&lt;100000000,VALUE(MID($C4119,2,20)),1000000000),1000000000))+ROW()/100000,"")</f>
        <v/>
      </c>
    </row>
    <row r="4120">
      <c r="D4120" s="11" t="n"/>
      <c r="K4120" s="7">
        <f>IF($C4120="","",J4120*W4120/100)</f>
        <v/>
      </c>
      <c r="Q4120" s="7" t="n"/>
      <c r="R4120" s="7" t="n"/>
      <c r="U4120">
        <f>IF($C4120="","",IF($AJ4120=1,0,IF($AI4120=1,Settings!$C$6,Settings!$C$7))*100)</f>
        <v/>
      </c>
      <c r="V4120" s="7">
        <f>IF($C4120="","",R4120*U4120/100)</f>
        <v/>
      </c>
      <c r="W4120" s="7">
        <f>IF($C4120="","",R4120-V4120)</f>
        <v/>
      </c>
      <c r="X4120" s="7">
        <f>IF($C4120="","",W4120-K4120)</f>
        <v/>
      </c>
      <c r="AB4120" s="7" t="n"/>
      <c r="AE4120" s="11" t="n"/>
      <c r="AG4120">
        <f>IF($C4120="","",IF(COUNTIF($C$2:$C4120,$C4120)=1,1,0))</f>
        <v/>
      </c>
      <c r="AH4120">
        <f>IF($AG4120=1,SUMPRODUCT(--($AK$2:$AK$6001&lt;$AK4120))+1,"")</f>
        <v/>
      </c>
      <c r="AI4120">
        <f>IF($C4120="","",IF(OR($N4120=TRUE(),$N4120="TRUE"),1,0))</f>
        <v/>
      </c>
      <c r="AJ4120">
        <f>IF($C4120="","",IF($T4120="Yes",1,0))</f>
        <v/>
      </c>
      <c r="AK4120">
        <f>IF($AG4120=1,IFERROR(IF(VALUE($C4120)&lt;100000000,VALUE($C4120),1000000000),IFERROR(IF(VALUE(MID($C4120,2,20))&lt;100000000,VALUE(MID($C4120,2,20)),1000000000),1000000000))+ROW()/100000,"")</f>
        <v/>
      </c>
    </row>
    <row r="4121">
      <c r="D4121" s="11" t="n"/>
      <c r="K4121" s="7">
        <f>IF($C4121="","",J4121*W4121/100)</f>
        <v/>
      </c>
      <c r="Q4121" s="7" t="n"/>
      <c r="R4121" s="7" t="n"/>
      <c r="U4121">
        <f>IF($C4121="","",IF($AJ4121=1,0,IF($AI4121=1,Settings!$C$6,Settings!$C$7))*100)</f>
        <v/>
      </c>
      <c r="V4121" s="7">
        <f>IF($C4121="","",R4121*U4121/100)</f>
        <v/>
      </c>
      <c r="W4121" s="7">
        <f>IF($C4121="","",R4121-V4121)</f>
        <v/>
      </c>
      <c r="X4121" s="7">
        <f>IF($C4121="","",W4121-K4121)</f>
        <v/>
      </c>
      <c r="AB4121" s="7" t="n"/>
      <c r="AE4121" s="11" t="n"/>
      <c r="AG4121">
        <f>IF($C4121="","",IF(COUNTIF($C$2:$C4121,$C4121)=1,1,0))</f>
        <v/>
      </c>
      <c r="AH4121">
        <f>IF($AG4121=1,SUMPRODUCT(--($AK$2:$AK$6001&lt;$AK4121))+1,"")</f>
        <v/>
      </c>
      <c r="AI4121">
        <f>IF($C4121="","",IF(OR($N4121=TRUE(),$N4121="TRUE"),1,0))</f>
        <v/>
      </c>
      <c r="AJ4121">
        <f>IF($C4121="","",IF($T4121="Yes",1,0))</f>
        <v/>
      </c>
      <c r="AK4121">
        <f>IF($AG4121=1,IFERROR(IF(VALUE($C4121)&lt;100000000,VALUE($C4121),1000000000),IFERROR(IF(VALUE(MID($C4121,2,20))&lt;100000000,VALUE(MID($C4121,2,20)),1000000000),1000000000))+ROW()/100000,"")</f>
        <v/>
      </c>
    </row>
    <row r="4122">
      <c r="D4122" s="11" t="n"/>
      <c r="K4122" s="7">
        <f>IF($C4122="","",J4122*W4122/100)</f>
        <v/>
      </c>
      <c r="Q4122" s="7" t="n"/>
      <c r="R4122" s="7" t="n"/>
      <c r="U4122">
        <f>IF($C4122="","",IF($AJ4122=1,0,IF($AI4122=1,Settings!$C$6,Settings!$C$7))*100)</f>
        <v/>
      </c>
      <c r="V4122" s="7">
        <f>IF($C4122="","",R4122*U4122/100)</f>
        <v/>
      </c>
      <c r="W4122" s="7">
        <f>IF($C4122="","",R4122-V4122)</f>
        <v/>
      </c>
      <c r="X4122" s="7">
        <f>IF($C4122="","",W4122-K4122)</f>
        <v/>
      </c>
      <c r="AB4122" s="7" t="n"/>
      <c r="AE4122" s="11" t="n"/>
      <c r="AG4122">
        <f>IF($C4122="","",IF(COUNTIF($C$2:$C4122,$C4122)=1,1,0))</f>
        <v/>
      </c>
      <c r="AH4122">
        <f>IF($AG4122=1,SUMPRODUCT(--($AK$2:$AK$6001&lt;$AK4122))+1,"")</f>
        <v/>
      </c>
      <c r="AI4122">
        <f>IF($C4122="","",IF(OR($N4122=TRUE(),$N4122="TRUE"),1,0))</f>
        <v/>
      </c>
      <c r="AJ4122">
        <f>IF($C4122="","",IF($T4122="Yes",1,0))</f>
        <v/>
      </c>
      <c r="AK4122">
        <f>IF($AG4122=1,IFERROR(IF(VALUE($C4122)&lt;100000000,VALUE($C4122),1000000000),IFERROR(IF(VALUE(MID($C4122,2,20))&lt;100000000,VALUE(MID($C4122,2,20)),1000000000),1000000000))+ROW()/100000,"")</f>
        <v/>
      </c>
    </row>
    <row r="4123">
      <c r="D4123" s="11" t="n"/>
      <c r="K4123" s="7">
        <f>IF($C4123="","",J4123*W4123/100)</f>
        <v/>
      </c>
      <c r="Q4123" s="7" t="n"/>
      <c r="R4123" s="7" t="n"/>
      <c r="U4123">
        <f>IF($C4123="","",IF($AJ4123=1,0,IF($AI4123=1,Settings!$C$6,Settings!$C$7))*100)</f>
        <v/>
      </c>
      <c r="V4123" s="7">
        <f>IF($C4123="","",R4123*U4123/100)</f>
        <v/>
      </c>
      <c r="W4123" s="7">
        <f>IF($C4123="","",R4123-V4123)</f>
        <v/>
      </c>
      <c r="X4123" s="7">
        <f>IF($C4123="","",W4123-K4123)</f>
        <v/>
      </c>
      <c r="AB4123" s="7" t="n"/>
      <c r="AE4123" s="11" t="n"/>
      <c r="AG4123">
        <f>IF($C4123="","",IF(COUNTIF($C$2:$C4123,$C4123)=1,1,0))</f>
        <v/>
      </c>
      <c r="AH4123">
        <f>IF($AG4123=1,SUMPRODUCT(--($AK$2:$AK$6001&lt;$AK4123))+1,"")</f>
        <v/>
      </c>
      <c r="AI4123">
        <f>IF($C4123="","",IF(OR($N4123=TRUE(),$N4123="TRUE"),1,0))</f>
        <v/>
      </c>
      <c r="AJ4123">
        <f>IF($C4123="","",IF($T4123="Yes",1,0))</f>
        <v/>
      </c>
      <c r="AK4123">
        <f>IF($AG4123=1,IFERROR(IF(VALUE($C4123)&lt;100000000,VALUE($C4123),1000000000),IFERROR(IF(VALUE(MID($C4123,2,20))&lt;100000000,VALUE(MID($C4123,2,20)),1000000000),1000000000))+ROW()/100000,"")</f>
        <v/>
      </c>
    </row>
    <row r="4124">
      <c r="D4124" s="11" t="n"/>
      <c r="K4124" s="7">
        <f>IF($C4124="","",J4124*W4124/100)</f>
        <v/>
      </c>
      <c r="Q4124" s="7" t="n"/>
      <c r="R4124" s="7" t="n"/>
      <c r="U4124">
        <f>IF($C4124="","",IF($AJ4124=1,0,IF($AI4124=1,Settings!$C$6,Settings!$C$7))*100)</f>
        <v/>
      </c>
      <c r="V4124" s="7">
        <f>IF($C4124="","",R4124*U4124/100)</f>
        <v/>
      </c>
      <c r="W4124" s="7">
        <f>IF($C4124="","",R4124-V4124)</f>
        <v/>
      </c>
      <c r="X4124" s="7">
        <f>IF($C4124="","",W4124-K4124)</f>
        <v/>
      </c>
      <c r="AB4124" s="7" t="n"/>
      <c r="AE4124" s="11" t="n"/>
      <c r="AG4124">
        <f>IF($C4124="","",IF(COUNTIF($C$2:$C4124,$C4124)=1,1,0))</f>
        <v/>
      </c>
      <c r="AH4124">
        <f>IF($AG4124=1,SUMPRODUCT(--($AK$2:$AK$6001&lt;$AK4124))+1,"")</f>
        <v/>
      </c>
      <c r="AI4124">
        <f>IF($C4124="","",IF(OR($N4124=TRUE(),$N4124="TRUE"),1,0))</f>
        <v/>
      </c>
      <c r="AJ4124">
        <f>IF($C4124="","",IF($T4124="Yes",1,0))</f>
        <v/>
      </c>
      <c r="AK4124">
        <f>IF($AG4124=1,IFERROR(IF(VALUE($C4124)&lt;100000000,VALUE($C4124),1000000000),IFERROR(IF(VALUE(MID($C4124,2,20))&lt;100000000,VALUE(MID($C4124,2,20)),1000000000),1000000000))+ROW()/100000,"")</f>
        <v/>
      </c>
    </row>
    <row r="4125">
      <c r="D4125" s="11" t="n"/>
      <c r="K4125" s="7">
        <f>IF($C4125="","",J4125*W4125/100)</f>
        <v/>
      </c>
      <c r="Q4125" s="7" t="n"/>
      <c r="R4125" s="7" t="n"/>
      <c r="U4125">
        <f>IF($C4125="","",IF($AJ4125=1,0,IF($AI4125=1,Settings!$C$6,Settings!$C$7))*100)</f>
        <v/>
      </c>
      <c r="V4125" s="7">
        <f>IF($C4125="","",R4125*U4125/100)</f>
        <v/>
      </c>
      <c r="W4125" s="7">
        <f>IF($C4125="","",R4125-V4125)</f>
        <v/>
      </c>
      <c r="X4125" s="7">
        <f>IF($C4125="","",W4125-K4125)</f>
        <v/>
      </c>
      <c r="AB4125" s="7" t="n"/>
      <c r="AE4125" s="11" t="n"/>
      <c r="AG4125">
        <f>IF($C4125="","",IF(COUNTIF($C$2:$C4125,$C4125)=1,1,0))</f>
        <v/>
      </c>
      <c r="AH4125">
        <f>IF($AG4125=1,SUMPRODUCT(--($AK$2:$AK$6001&lt;$AK4125))+1,"")</f>
        <v/>
      </c>
      <c r="AI4125">
        <f>IF($C4125="","",IF(OR($N4125=TRUE(),$N4125="TRUE"),1,0))</f>
        <v/>
      </c>
      <c r="AJ4125">
        <f>IF($C4125="","",IF($T4125="Yes",1,0))</f>
        <v/>
      </c>
      <c r="AK4125">
        <f>IF($AG4125=1,IFERROR(IF(VALUE($C4125)&lt;100000000,VALUE($C4125),1000000000),IFERROR(IF(VALUE(MID($C4125,2,20))&lt;100000000,VALUE(MID($C4125,2,20)),1000000000),1000000000))+ROW()/100000,"")</f>
        <v/>
      </c>
    </row>
    <row r="4126">
      <c r="D4126" s="11" t="n"/>
      <c r="K4126" s="7">
        <f>IF($C4126="","",J4126*W4126/100)</f>
        <v/>
      </c>
      <c r="Q4126" s="7" t="n"/>
      <c r="R4126" s="7" t="n"/>
      <c r="U4126">
        <f>IF($C4126="","",IF($AJ4126=1,0,IF($AI4126=1,Settings!$C$6,Settings!$C$7))*100)</f>
        <v/>
      </c>
      <c r="V4126" s="7">
        <f>IF($C4126="","",R4126*U4126/100)</f>
        <v/>
      </c>
      <c r="W4126" s="7">
        <f>IF($C4126="","",R4126-V4126)</f>
        <v/>
      </c>
      <c r="X4126" s="7">
        <f>IF($C4126="","",W4126-K4126)</f>
        <v/>
      </c>
      <c r="AB4126" s="7" t="n"/>
      <c r="AE4126" s="11" t="n"/>
      <c r="AG4126">
        <f>IF($C4126="","",IF(COUNTIF($C$2:$C4126,$C4126)=1,1,0))</f>
        <v/>
      </c>
      <c r="AH4126">
        <f>IF($AG4126=1,SUMPRODUCT(--($AK$2:$AK$6001&lt;$AK4126))+1,"")</f>
        <v/>
      </c>
      <c r="AI4126">
        <f>IF($C4126="","",IF(OR($N4126=TRUE(),$N4126="TRUE"),1,0))</f>
        <v/>
      </c>
      <c r="AJ4126">
        <f>IF($C4126="","",IF($T4126="Yes",1,0))</f>
        <v/>
      </c>
      <c r="AK4126">
        <f>IF($AG4126=1,IFERROR(IF(VALUE($C4126)&lt;100000000,VALUE($C4126),1000000000),IFERROR(IF(VALUE(MID($C4126,2,20))&lt;100000000,VALUE(MID($C4126,2,20)),1000000000),1000000000))+ROW()/100000,"")</f>
        <v/>
      </c>
    </row>
    <row r="4127">
      <c r="D4127" s="11" t="n"/>
      <c r="K4127" s="7">
        <f>IF($C4127="","",J4127*W4127/100)</f>
        <v/>
      </c>
      <c r="Q4127" s="7" t="n"/>
      <c r="R4127" s="7" t="n"/>
      <c r="U4127">
        <f>IF($C4127="","",IF($AJ4127=1,0,IF($AI4127=1,Settings!$C$6,Settings!$C$7))*100)</f>
        <v/>
      </c>
      <c r="V4127" s="7">
        <f>IF($C4127="","",R4127*U4127/100)</f>
        <v/>
      </c>
      <c r="W4127" s="7">
        <f>IF($C4127="","",R4127-V4127)</f>
        <v/>
      </c>
      <c r="X4127" s="7">
        <f>IF($C4127="","",W4127-K4127)</f>
        <v/>
      </c>
      <c r="AB4127" s="7" t="n"/>
      <c r="AE4127" s="11" t="n"/>
      <c r="AG4127">
        <f>IF($C4127="","",IF(COUNTIF($C$2:$C4127,$C4127)=1,1,0))</f>
        <v/>
      </c>
      <c r="AH4127">
        <f>IF($AG4127=1,SUMPRODUCT(--($AK$2:$AK$6001&lt;$AK4127))+1,"")</f>
        <v/>
      </c>
      <c r="AI4127">
        <f>IF($C4127="","",IF(OR($N4127=TRUE(),$N4127="TRUE"),1,0))</f>
        <v/>
      </c>
      <c r="AJ4127">
        <f>IF($C4127="","",IF($T4127="Yes",1,0))</f>
        <v/>
      </c>
      <c r="AK4127">
        <f>IF($AG4127=1,IFERROR(IF(VALUE($C4127)&lt;100000000,VALUE($C4127),1000000000),IFERROR(IF(VALUE(MID($C4127,2,20))&lt;100000000,VALUE(MID($C4127,2,20)),1000000000),1000000000))+ROW()/100000,"")</f>
        <v/>
      </c>
    </row>
    <row r="4128">
      <c r="D4128" s="11" t="n"/>
      <c r="K4128" s="7">
        <f>IF($C4128="","",J4128*W4128/100)</f>
        <v/>
      </c>
      <c r="Q4128" s="7" t="n"/>
      <c r="R4128" s="7" t="n"/>
      <c r="U4128">
        <f>IF($C4128="","",IF($AJ4128=1,0,IF($AI4128=1,Settings!$C$6,Settings!$C$7))*100)</f>
        <v/>
      </c>
      <c r="V4128" s="7">
        <f>IF($C4128="","",R4128*U4128/100)</f>
        <v/>
      </c>
      <c r="W4128" s="7">
        <f>IF($C4128="","",R4128-V4128)</f>
        <v/>
      </c>
      <c r="X4128" s="7">
        <f>IF($C4128="","",W4128-K4128)</f>
        <v/>
      </c>
      <c r="AB4128" s="7" t="n"/>
      <c r="AE4128" s="11" t="n"/>
      <c r="AG4128">
        <f>IF($C4128="","",IF(COUNTIF($C$2:$C4128,$C4128)=1,1,0))</f>
        <v/>
      </c>
      <c r="AH4128">
        <f>IF($AG4128=1,SUMPRODUCT(--($AK$2:$AK$6001&lt;$AK4128))+1,"")</f>
        <v/>
      </c>
      <c r="AI4128">
        <f>IF($C4128="","",IF(OR($N4128=TRUE(),$N4128="TRUE"),1,0))</f>
        <v/>
      </c>
      <c r="AJ4128">
        <f>IF($C4128="","",IF($T4128="Yes",1,0))</f>
        <v/>
      </c>
      <c r="AK4128">
        <f>IF($AG4128=1,IFERROR(IF(VALUE($C4128)&lt;100000000,VALUE($C4128),1000000000),IFERROR(IF(VALUE(MID($C4128,2,20))&lt;100000000,VALUE(MID($C4128,2,20)),1000000000),1000000000))+ROW()/100000,"")</f>
        <v/>
      </c>
    </row>
    <row r="4129">
      <c r="D4129" s="11" t="n"/>
      <c r="K4129" s="7">
        <f>IF($C4129="","",J4129*W4129/100)</f>
        <v/>
      </c>
      <c r="Q4129" s="7" t="n"/>
      <c r="R4129" s="7" t="n"/>
      <c r="U4129">
        <f>IF($C4129="","",IF($AJ4129=1,0,IF($AI4129=1,Settings!$C$6,Settings!$C$7))*100)</f>
        <v/>
      </c>
      <c r="V4129" s="7">
        <f>IF($C4129="","",R4129*U4129/100)</f>
        <v/>
      </c>
      <c r="W4129" s="7">
        <f>IF($C4129="","",R4129-V4129)</f>
        <v/>
      </c>
      <c r="X4129" s="7">
        <f>IF($C4129="","",W4129-K4129)</f>
        <v/>
      </c>
      <c r="AB4129" s="7" t="n"/>
      <c r="AE4129" s="11" t="n"/>
      <c r="AG4129">
        <f>IF($C4129="","",IF(COUNTIF($C$2:$C4129,$C4129)=1,1,0))</f>
        <v/>
      </c>
      <c r="AH4129">
        <f>IF($AG4129=1,SUMPRODUCT(--($AK$2:$AK$6001&lt;$AK4129))+1,"")</f>
        <v/>
      </c>
      <c r="AI4129">
        <f>IF($C4129="","",IF(OR($N4129=TRUE(),$N4129="TRUE"),1,0))</f>
        <v/>
      </c>
      <c r="AJ4129">
        <f>IF($C4129="","",IF($T4129="Yes",1,0))</f>
        <v/>
      </c>
      <c r="AK4129">
        <f>IF($AG4129=1,IFERROR(IF(VALUE($C4129)&lt;100000000,VALUE($C4129),1000000000),IFERROR(IF(VALUE(MID($C4129,2,20))&lt;100000000,VALUE(MID($C4129,2,20)),1000000000),1000000000))+ROW()/100000,"")</f>
        <v/>
      </c>
    </row>
    <row r="4130">
      <c r="D4130" s="11" t="n"/>
      <c r="K4130" s="7">
        <f>IF($C4130="","",J4130*W4130/100)</f>
        <v/>
      </c>
      <c r="Q4130" s="7" t="n"/>
      <c r="R4130" s="7" t="n"/>
      <c r="U4130">
        <f>IF($C4130="","",IF($AJ4130=1,0,IF($AI4130=1,Settings!$C$6,Settings!$C$7))*100)</f>
        <v/>
      </c>
      <c r="V4130" s="7">
        <f>IF($C4130="","",R4130*U4130/100)</f>
        <v/>
      </c>
      <c r="W4130" s="7">
        <f>IF($C4130="","",R4130-V4130)</f>
        <v/>
      </c>
      <c r="X4130" s="7">
        <f>IF($C4130="","",W4130-K4130)</f>
        <v/>
      </c>
      <c r="AB4130" s="7" t="n"/>
      <c r="AE4130" s="11" t="n"/>
      <c r="AG4130">
        <f>IF($C4130="","",IF(COUNTIF($C$2:$C4130,$C4130)=1,1,0))</f>
        <v/>
      </c>
      <c r="AH4130">
        <f>IF($AG4130=1,SUMPRODUCT(--($AK$2:$AK$6001&lt;$AK4130))+1,"")</f>
        <v/>
      </c>
      <c r="AI4130">
        <f>IF($C4130="","",IF(OR($N4130=TRUE(),$N4130="TRUE"),1,0))</f>
        <v/>
      </c>
      <c r="AJ4130">
        <f>IF($C4130="","",IF($T4130="Yes",1,0))</f>
        <v/>
      </c>
      <c r="AK4130">
        <f>IF($AG4130=1,IFERROR(IF(VALUE($C4130)&lt;100000000,VALUE($C4130),1000000000),IFERROR(IF(VALUE(MID($C4130,2,20))&lt;100000000,VALUE(MID($C4130,2,20)),1000000000),1000000000))+ROW()/100000,"")</f>
        <v/>
      </c>
    </row>
    <row r="4131">
      <c r="D4131" s="11" t="n"/>
      <c r="K4131" s="7">
        <f>IF($C4131="","",J4131*W4131/100)</f>
        <v/>
      </c>
      <c r="Q4131" s="7" t="n"/>
      <c r="R4131" s="7" t="n"/>
      <c r="U4131">
        <f>IF($C4131="","",IF($AJ4131=1,0,IF($AI4131=1,Settings!$C$6,Settings!$C$7))*100)</f>
        <v/>
      </c>
      <c r="V4131" s="7">
        <f>IF($C4131="","",R4131*U4131/100)</f>
        <v/>
      </c>
      <c r="W4131" s="7">
        <f>IF($C4131="","",R4131-V4131)</f>
        <v/>
      </c>
      <c r="X4131" s="7">
        <f>IF($C4131="","",W4131-K4131)</f>
        <v/>
      </c>
      <c r="AB4131" s="7" t="n"/>
      <c r="AE4131" s="11" t="n"/>
      <c r="AG4131">
        <f>IF($C4131="","",IF(COUNTIF($C$2:$C4131,$C4131)=1,1,0))</f>
        <v/>
      </c>
      <c r="AH4131">
        <f>IF($AG4131=1,SUMPRODUCT(--($AK$2:$AK$6001&lt;$AK4131))+1,"")</f>
        <v/>
      </c>
      <c r="AI4131">
        <f>IF($C4131="","",IF(OR($N4131=TRUE(),$N4131="TRUE"),1,0))</f>
        <v/>
      </c>
      <c r="AJ4131">
        <f>IF($C4131="","",IF($T4131="Yes",1,0))</f>
        <v/>
      </c>
      <c r="AK4131">
        <f>IF($AG4131=1,IFERROR(IF(VALUE($C4131)&lt;100000000,VALUE($C4131),1000000000),IFERROR(IF(VALUE(MID($C4131,2,20))&lt;100000000,VALUE(MID($C4131,2,20)),1000000000),1000000000))+ROW()/100000,"")</f>
        <v/>
      </c>
    </row>
    <row r="4132">
      <c r="D4132" s="11" t="n"/>
      <c r="K4132" s="7">
        <f>IF($C4132="","",J4132*W4132/100)</f>
        <v/>
      </c>
      <c r="Q4132" s="7" t="n"/>
      <c r="R4132" s="7" t="n"/>
      <c r="U4132">
        <f>IF($C4132="","",IF($AJ4132=1,0,IF($AI4132=1,Settings!$C$6,Settings!$C$7))*100)</f>
        <v/>
      </c>
      <c r="V4132" s="7">
        <f>IF($C4132="","",R4132*U4132/100)</f>
        <v/>
      </c>
      <c r="W4132" s="7">
        <f>IF($C4132="","",R4132-V4132)</f>
        <v/>
      </c>
      <c r="X4132" s="7">
        <f>IF($C4132="","",W4132-K4132)</f>
        <v/>
      </c>
      <c r="AB4132" s="7" t="n"/>
      <c r="AE4132" s="11" t="n"/>
      <c r="AG4132">
        <f>IF($C4132="","",IF(COUNTIF($C$2:$C4132,$C4132)=1,1,0))</f>
        <v/>
      </c>
      <c r="AH4132">
        <f>IF($AG4132=1,SUMPRODUCT(--($AK$2:$AK$6001&lt;$AK4132))+1,"")</f>
        <v/>
      </c>
      <c r="AI4132">
        <f>IF($C4132="","",IF(OR($N4132=TRUE(),$N4132="TRUE"),1,0))</f>
        <v/>
      </c>
      <c r="AJ4132">
        <f>IF($C4132="","",IF($T4132="Yes",1,0))</f>
        <v/>
      </c>
      <c r="AK4132">
        <f>IF($AG4132=1,IFERROR(IF(VALUE($C4132)&lt;100000000,VALUE($C4132),1000000000),IFERROR(IF(VALUE(MID($C4132,2,20))&lt;100000000,VALUE(MID($C4132,2,20)),1000000000),1000000000))+ROW()/100000,"")</f>
        <v/>
      </c>
    </row>
    <row r="4133">
      <c r="D4133" s="11" t="n"/>
      <c r="K4133" s="7">
        <f>IF($C4133="","",J4133*W4133/100)</f>
        <v/>
      </c>
      <c r="Q4133" s="7" t="n"/>
      <c r="R4133" s="7" t="n"/>
      <c r="U4133">
        <f>IF($C4133="","",IF($AJ4133=1,0,IF($AI4133=1,Settings!$C$6,Settings!$C$7))*100)</f>
        <v/>
      </c>
      <c r="V4133" s="7">
        <f>IF($C4133="","",R4133*U4133/100)</f>
        <v/>
      </c>
      <c r="W4133" s="7">
        <f>IF($C4133="","",R4133-V4133)</f>
        <v/>
      </c>
      <c r="X4133" s="7">
        <f>IF($C4133="","",W4133-K4133)</f>
        <v/>
      </c>
      <c r="AB4133" s="7" t="n"/>
      <c r="AE4133" s="11" t="n"/>
      <c r="AG4133">
        <f>IF($C4133="","",IF(COUNTIF($C$2:$C4133,$C4133)=1,1,0))</f>
        <v/>
      </c>
      <c r="AH4133">
        <f>IF($AG4133=1,SUMPRODUCT(--($AK$2:$AK$6001&lt;$AK4133))+1,"")</f>
        <v/>
      </c>
      <c r="AI4133">
        <f>IF($C4133="","",IF(OR($N4133=TRUE(),$N4133="TRUE"),1,0))</f>
        <v/>
      </c>
      <c r="AJ4133">
        <f>IF($C4133="","",IF($T4133="Yes",1,0))</f>
        <v/>
      </c>
      <c r="AK4133">
        <f>IF($AG4133=1,IFERROR(IF(VALUE($C4133)&lt;100000000,VALUE($C4133),1000000000),IFERROR(IF(VALUE(MID($C4133,2,20))&lt;100000000,VALUE(MID($C4133,2,20)),1000000000),1000000000))+ROW()/100000,"")</f>
        <v/>
      </c>
    </row>
    <row r="4134">
      <c r="D4134" s="11" t="n"/>
      <c r="K4134" s="7">
        <f>IF($C4134="","",J4134*W4134/100)</f>
        <v/>
      </c>
      <c r="Q4134" s="7" t="n"/>
      <c r="R4134" s="7" t="n"/>
      <c r="U4134">
        <f>IF($C4134="","",IF($AJ4134=1,0,IF($AI4134=1,Settings!$C$6,Settings!$C$7))*100)</f>
        <v/>
      </c>
      <c r="V4134" s="7">
        <f>IF($C4134="","",R4134*U4134/100)</f>
        <v/>
      </c>
      <c r="W4134" s="7">
        <f>IF($C4134="","",R4134-V4134)</f>
        <v/>
      </c>
      <c r="X4134" s="7">
        <f>IF($C4134="","",W4134-K4134)</f>
        <v/>
      </c>
      <c r="AB4134" s="7" t="n"/>
      <c r="AE4134" s="11" t="n"/>
      <c r="AG4134">
        <f>IF($C4134="","",IF(COUNTIF($C$2:$C4134,$C4134)=1,1,0))</f>
        <v/>
      </c>
      <c r="AH4134">
        <f>IF($AG4134=1,SUMPRODUCT(--($AK$2:$AK$6001&lt;$AK4134))+1,"")</f>
        <v/>
      </c>
      <c r="AI4134">
        <f>IF($C4134="","",IF(OR($N4134=TRUE(),$N4134="TRUE"),1,0))</f>
        <v/>
      </c>
      <c r="AJ4134">
        <f>IF($C4134="","",IF($T4134="Yes",1,0))</f>
        <v/>
      </c>
      <c r="AK4134">
        <f>IF($AG4134=1,IFERROR(IF(VALUE($C4134)&lt;100000000,VALUE($C4134),1000000000),IFERROR(IF(VALUE(MID($C4134,2,20))&lt;100000000,VALUE(MID($C4134,2,20)),1000000000),1000000000))+ROW()/100000,"")</f>
        <v/>
      </c>
    </row>
    <row r="4135">
      <c r="D4135" s="11" t="n"/>
      <c r="K4135" s="7">
        <f>IF($C4135="","",J4135*W4135/100)</f>
        <v/>
      </c>
      <c r="Q4135" s="7" t="n"/>
      <c r="R4135" s="7" t="n"/>
      <c r="U4135">
        <f>IF($C4135="","",IF($AJ4135=1,0,IF($AI4135=1,Settings!$C$6,Settings!$C$7))*100)</f>
        <v/>
      </c>
      <c r="V4135" s="7">
        <f>IF($C4135="","",R4135*U4135/100)</f>
        <v/>
      </c>
      <c r="W4135" s="7">
        <f>IF($C4135="","",R4135-V4135)</f>
        <v/>
      </c>
      <c r="X4135" s="7">
        <f>IF($C4135="","",W4135-K4135)</f>
        <v/>
      </c>
      <c r="AB4135" s="7" t="n"/>
      <c r="AE4135" s="11" t="n"/>
      <c r="AG4135">
        <f>IF($C4135="","",IF(COUNTIF($C$2:$C4135,$C4135)=1,1,0))</f>
        <v/>
      </c>
      <c r="AH4135">
        <f>IF($AG4135=1,SUMPRODUCT(--($AK$2:$AK$6001&lt;$AK4135))+1,"")</f>
        <v/>
      </c>
      <c r="AI4135">
        <f>IF($C4135="","",IF(OR($N4135=TRUE(),$N4135="TRUE"),1,0))</f>
        <v/>
      </c>
      <c r="AJ4135">
        <f>IF($C4135="","",IF($T4135="Yes",1,0))</f>
        <v/>
      </c>
      <c r="AK4135">
        <f>IF($AG4135=1,IFERROR(IF(VALUE($C4135)&lt;100000000,VALUE($C4135),1000000000),IFERROR(IF(VALUE(MID($C4135,2,20))&lt;100000000,VALUE(MID($C4135,2,20)),1000000000),1000000000))+ROW()/100000,"")</f>
        <v/>
      </c>
    </row>
    <row r="4136">
      <c r="D4136" s="11" t="n"/>
      <c r="K4136" s="7">
        <f>IF($C4136="","",J4136*W4136/100)</f>
        <v/>
      </c>
      <c r="Q4136" s="7" t="n"/>
      <c r="R4136" s="7" t="n"/>
      <c r="U4136">
        <f>IF($C4136="","",IF($AJ4136=1,0,IF($AI4136=1,Settings!$C$6,Settings!$C$7))*100)</f>
        <v/>
      </c>
      <c r="V4136" s="7">
        <f>IF($C4136="","",R4136*U4136/100)</f>
        <v/>
      </c>
      <c r="W4136" s="7">
        <f>IF($C4136="","",R4136-V4136)</f>
        <v/>
      </c>
      <c r="X4136" s="7">
        <f>IF($C4136="","",W4136-K4136)</f>
        <v/>
      </c>
      <c r="AB4136" s="7" t="n"/>
      <c r="AE4136" s="11" t="n"/>
      <c r="AG4136">
        <f>IF($C4136="","",IF(COUNTIF($C$2:$C4136,$C4136)=1,1,0))</f>
        <v/>
      </c>
      <c r="AH4136">
        <f>IF($AG4136=1,SUMPRODUCT(--($AK$2:$AK$6001&lt;$AK4136))+1,"")</f>
        <v/>
      </c>
      <c r="AI4136">
        <f>IF($C4136="","",IF(OR($N4136=TRUE(),$N4136="TRUE"),1,0))</f>
        <v/>
      </c>
      <c r="AJ4136">
        <f>IF($C4136="","",IF($T4136="Yes",1,0))</f>
        <v/>
      </c>
      <c r="AK4136">
        <f>IF($AG4136=1,IFERROR(IF(VALUE($C4136)&lt;100000000,VALUE($C4136),1000000000),IFERROR(IF(VALUE(MID($C4136,2,20))&lt;100000000,VALUE(MID($C4136,2,20)),1000000000),1000000000))+ROW()/100000,"")</f>
        <v/>
      </c>
    </row>
    <row r="4137">
      <c r="D4137" s="11" t="n"/>
      <c r="K4137" s="7">
        <f>IF($C4137="","",J4137*W4137/100)</f>
        <v/>
      </c>
      <c r="Q4137" s="7" t="n"/>
      <c r="R4137" s="7" t="n"/>
      <c r="U4137">
        <f>IF($C4137="","",IF($AJ4137=1,0,IF($AI4137=1,Settings!$C$6,Settings!$C$7))*100)</f>
        <v/>
      </c>
      <c r="V4137" s="7">
        <f>IF($C4137="","",R4137*U4137/100)</f>
        <v/>
      </c>
      <c r="W4137" s="7">
        <f>IF($C4137="","",R4137-V4137)</f>
        <v/>
      </c>
      <c r="X4137" s="7">
        <f>IF($C4137="","",W4137-K4137)</f>
        <v/>
      </c>
      <c r="AB4137" s="7" t="n"/>
      <c r="AE4137" s="11" t="n"/>
      <c r="AG4137">
        <f>IF($C4137="","",IF(COUNTIF($C$2:$C4137,$C4137)=1,1,0))</f>
        <v/>
      </c>
      <c r="AH4137">
        <f>IF($AG4137=1,SUMPRODUCT(--($AK$2:$AK$6001&lt;$AK4137))+1,"")</f>
        <v/>
      </c>
      <c r="AI4137">
        <f>IF($C4137="","",IF(OR($N4137=TRUE(),$N4137="TRUE"),1,0))</f>
        <v/>
      </c>
      <c r="AJ4137">
        <f>IF($C4137="","",IF($T4137="Yes",1,0))</f>
        <v/>
      </c>
      <c r="AK4137">
        <f>IF($AG4137=1,IFERROR(IF(VALUE($C4137)&lt;100000000,VALUE($C4137),1000000000),IFERROR(IF(VALUE(MID($C4137,2,20))&lt;100000000,VALUE(MID($C4137,2,20)),1000000000),1000000000))+ROW()/100000,"")</f>
        <v/>
      </c>
    </row>
    <row r="4138">
      <c r="D4138" s="11" t="n"/>
      <c r="K4138" s="7">
        <f>IF($C4138="","",J4138*W4138/100)</f>
        <v/>
      </c>
      <c r="Q4138" s="7" t="n"/>
      <c r="R4138" s="7" t="n"/>
      <c r="U4138">
        <f>IF($C4138="","",IF($AJ4138=1,0,IF($AI4138=1,Settings!$C$6,Settings!$C$7))*100)</f>
        <v/>
      </c>
      <c r="V4138" s="7">
        <f>IF($C4138="","",R4138*U4138/100)</f>
        <v/>
      </c>
      <c r="W4138" s="7">
        <f>IF($C4138="","",R4138-V4138)</f>
        <v/>
      </c>
      <c r="X4138" s="7">
        <f>IF($C4138="","",W4138-K4138)</f>
        <v/>
      </c>
      <c r="AB4138" s="7" t="n"/>
      <c r="AE4138" s="11" t="n"/>
      <c r="AG4138">
        <f>IF($C4138="","",IF(COUNTIF($C$2:$C4138,$C4138)=1,1,0))</f>
        <v/>
      </c>
      <c r="AH4138">
        <f>IF($AG4138=1,SUMPRODUCT(--($AK$2:$AK$6001&lt;$AK4138))+1,"")</f>
        <v/>
      </c>
      <c r="AI4138">
        <f>IF($C4138="","",IF(OR($N4138=TRUE(),$N4138="TRUE"),1,0))</f>
        <v/>
      </c>
      <c r="AJ4138">
        <f>IF($C4138="","",IF($T4138="Yes",1,0))</f>
        <v/>
      </c>
      <c r="AK4138">
        <f>IF($AG4138=1,IFERROR(IF(VALUE($C4138)&lt;100000000,VALUE($C4138),1000000000),IFERROR(IF(VALUE(MID($C4138,2,20))&lt;100000000,VALUE(MID($C4138,2,20)),1000000000),1000000000))+ROW()/100000,"")</f>
        <v/>
      </c>
    </row>
    <row r="4139">
      <c r="D4139" s="11" t="n"/>
      <c r="K4139" s="7">
        <f>IF($C4139="","",J4139*W4139/100)</f>
        <v/>
      </c>
      <c r="Q4139" s="7" t="n"/>
      <c r="R4139" s="7" t="n"/>
      <c r="U4139">
        <f>IF($C4139="","",IF($AJ4139=1,0,IF($AI4139=1,Settings!$C$6,Settings!$C$7))*100)</f>
        <v/>
      </c>
      <c r="V4139" s="7">
        <f>IF($C4139="","",R4139*U4139/100)</f>
        <v/>
      </c>
      <c r="W4139" s="7">
        <f>IF($C4139="","",R4139-V4139)</f>
        <v/>
      </c>
      <c r="X4139" s="7">
        <f>IF($C4139="","",W4139-K4139)</f>
        <v/>
      </c>
      <c r="AB4139" s="7" t="n"/>
      <c r="AE4139" s="11" t="n"/>
      <c r="AG4139">
        <f>IF($C4139="","",IF(COUNTIF($C$2:$C4139,$C4139)=1,1,0))</f>
        <v/>
      </c>
      <c r="AH4139">
        <f>IF($AG4139=1,SUMPRODUCT(--($AK$2:$AK$6001&lt;$AK4139))+1,"")</f>
        <v/>
      </c>
      <c r="AI4139">
        <f>IF($C4139="","",IF(OR($N4139=TRUE(),$N4139="TRUE"),1,0))</f>
        <v/>
      </c>
      <c r="AJ4139">
        <f>IF($C4139="","",IF($T4139="Yes",1,0))</f>
        <v/>
      </c>
      <c r="AK4139">
        <f>IF($AG4139=1,IFERROR(IF(VALUE($C4139)&lt;100000000,VALUE($C4139),1000000000),IFERROR(IF(VALUE(MID($C4139,2,20))&lt;100000000,VALUE(MID($C4139,2,20)),1000000000),1000000000))+ROW()/100000,"")</f>
        <v/>
      </c>
    </row>
    <row r="4140">
      <c r="D4140" s="11" t="n"/>
      <c r="K4140" s="7">
        <f>IF($C4140="","",J4140*W4140/100)</f>
        <v/>
      </c>
      <c r="Q4140" s="7" t="n"/>
      <c r="R4140" s="7" t="n"/>
      <c r="U4140">
        <f>IF($C4140="","",IF($AJ4140=1,0,IF($AI4140=1,Settings!$C$6,Settings!$C$7))*100)</f>
        <v/>
      </c>
      <c r="V4140" s="7">
        <f>IF($C4140="","",R4140*U4140/100)</f>
        <v/>
      </c>
      <c r="W4140" s="7">
        <f>IF($C4140="","",R4140-V4140)</f>
        <v/>
      </c>
      <c r="X4140" s="7">
        <f>IF($C4140="","",W4140-K4140)</f>
        <v/>
      </c>
      <c r="AB4140" s="7" t="n"/>
      <c r="AE4140" s="11" t="n"/>
      <c r="AG4140">
        <f>IF($C4140="","",IF(COUNTIF($C$2:$C4140,$C4140)=1,1,0))</f>
        <v/>
      </c>
      <c r="AH4140">
        <f>IF($AG4140=1,SUMPRODUCT(--($AK$2:$AK$6001&lt;$AK4140))+1,"")</f>
        <v/>
      </c>
      <c r="AI4140">
        <f>IF($C4140="","",IF(OR($N4140=TRUE(),$N4140="TRUE"),1,0))</f>
        <v/>
      </c>
      <c r="AJ4140">
        <f>IF($C4140="","",IF($T4140="Yes",1,0))</f>
        <v/>
      </c>
      <c r="AK4140">
        <f>IF($AG4140=1,IFERROR(IF(VALUE($C4140)&lt;100000000,VALUE($C4140),1000000000),IFERROR(IF(VALUE(MID($C4140,2,20))&lt;100000000,VALUE(MID($C4140,2,20)),1000000000),1000000000))+ROW()/100000,"")</f>
        <v/>
      </c>
    </row>
    <row r="4141">
      <c r="D4141" s="11" t="n"/>
      <c r="K4141" s="7">
        <f>IF($C4141="","",J4141*W4141/100)</f>
        <v/>
      </c>
      <c r="Q4141" s="7" t="n"/>
      <c r="R4141" s="7" t="n"/>
      <c r="U4141">
        <f>IF($C4141="","",IF($AJ4141=1,0,IF($AI4141=1,Settings!$C$6,Settings!$C$7))*100)</f>
        <v/>
      </c>
      <c r="V4141" s="7">
        <f>IF($C4141="","",R4141*U4141/100)</f>
        <v/>
      </c>
      <c r="W4141" s="7">
        <f>IF($C4141="","",R4141-V4141)</f>
        <v/>
      </c>
      <c r="X4141" s="7">
        <f>IF($C4141="","",W4141-K4141)</f>
        <v/>
      </c>
      <c r="AB4141" s="7" t="n"/>
      <c r="AE4141" s="11" t="n"/>
      <c r="AG4141">
        <f>IF($C4141="","",IF(COUNTIF($C$2:$C4141,$C4141)=1,1,0))</f>
        <v/>
      </c>
      <c r="AH4141">
        <f>IF($AG4141=1,SUMPRODUCT(--($AK$2:$AK$6001&lt;$AK4141))+1,"")</f>
        <v/>
      </c>
      <c r="AI4141">
        <f>IF($C4141="","",IF(OR($N4141=TRUE(),$N4141="TRUE"),1,0))</f>
        <v/>
      </c>
      <c r="AJ4141">
        <f>IF($C4141="","",IF($T4141="Yes",1,0))</f>
        <v/>
      </c>
      <c r="AK4141">
        <f>IF($AG4141=1,IFERROR(IF(VALUE($C4141)&lt;100000000,VALUE($C4141),1000000000),IFERROR(IF(VALUE(MID($C4141,2,20))&lt;100000000,VALUE(MID($C4141,2,20)),1000000000),1000000000))+ROW()/100000,"")</f>
        <v/>
      </c>
    </row>
    <row r="4142">
      <c r="D4142" s="11" t="n"/>
      <c r="K4142" s="7">
        <f>IF($C4142="","",J4142*W4142/100)</f>
        <v/>
      </c>
      <c r="Q4142" s="7" t="n"/>
      <c r="R4142" s="7" t="n"/>
      <c r="U4142">
        <f>IF($C4142="","",IF($AJ4142=1,0,IF($AI4142=1,Settings!$C$6,Settings!$C$7))*100)</f>
        <v/>
      </c>
      <c r="V4142" s="7">
        <f>IF($C4142="","",R4142*U4142/100)</f>
        <v/>
      </c>
      <c r="W4142" s="7">
        <f>IF($C4142="","",R4142-V4142)</f>
        <v/>
      </c>
      <c r="X4142" s="7">
        <f>IF($C4142="","",W4142-K4142)</f>
        <v/>
      </c>
      <c r="AB4142" s="7" t="n"/>
      <c r="AE4142" s="11" t="n"/>
      <c r="AG4142">
        <f>IF($C4142="","",IF(COUNTIF($C$2:$C4142,$C4142)=1,1,0))</f>
        <v/>
      </c>
      <c r="AH4142">
        <f>IF($AG4142=1,SUMPRODUCT(--($AK$2:$AK$6001&lt;$AK4142))+1,"")</f>
        <v/>
      </c>
      <c r="AI4142">
        <f>IF($C4142="","",IF(OR($N4142=TRUE(),$N4142="TRUE"),1,0))</f>
        <v/>
      </c>
      <c r="AJ4142">
        <f>IF($C4142="","",IF($T4142="Yes",1,0))</f>
        <v/>
      </c>
      <c r="AK4142">
        <f>IF($AG4142=1,IFERROR(IF(VALUE($C4142)&lt;100000000,VALUE($C4142),1000000000),IFERROR(IF(VALUE(MID($C4142,2,20))&lt;100000000,VALUE(MID($C4142,2,20)),1000000000),1000000000))+ROW()/100000,"")</f>
        <v/>
      </c>
    </row>
    <row r="4143">
      <c r="D4143" s="11" t="n"/>
      <c r="K4143" s="7">
        <f>IF($C4143="","",J4143*W4143/100)</f>
        <v/>
      </c>
      <c r="Q4143" s="7" t="n"/>
      <c r="R4143" s="7" t="n"/>
      <c r="U4143">
        <f>IF($C4143="","",IF($AJ4143=1,0,IF($AI4143=1,Settings!$C$6,Settings!$C$7))*100)</f>
        <v/>
      </c>
      <c r="V4143" s="7">
        <f>IF($C4143="","",R4143*U4143/100)</f>
        <v/>
      </c>
      <c r="W4143" s="7">
        <f>IF($C4143="","",R4143-V4143)</f>
        <v/>
      </c>
      <c r="X4143" s="7">
        <f>IF($C4143="","",W4143-K4143)</f>
        <v/>
      </c>
      <c r="AB4143" s="7" t="n"/>
      <c r="AE4143" s="11" t="n"/>
      <c r="AG4143">
        <f>IF($C4143="","",IF(COUNTIF($C$2:$C4143,$C4143)=1,1,0))</f>
        <v/>
      </c>
      <c r="AH4143">
        <f>IF($AG4143=1,SUMPRODUCT(--($AK$2:$AK$6001&lt;$AK4143))+1,"")</f>
        <v/>
      </c>
      <c r="AI4143">
        <f>IF($C4143="","",IF(OR($N4143=TRUE(),$N4143="TRUE"),1,0))</f>
        <v/>
      </c>
      <c r="AJ4143">
        <f>IF($C4143="","",IF($T4143="Yes",1,0))</f>
        <v/>
      </c>
      <c r="AK4143">
        <f>IF($AG4143=1,IFERROR(IF(VALUE($C4143)&lt;100000000,VALUE($C4143),1000000000),IFERROR(IF(VALUE(MID($C4143,2,20))&lt;100000000,VALUE(MID($C4143,2,20)),1000000000),1000000000))+ROW()/100000,"")</f>
        <v/>
      </c>
    </row>
    <row r="4144">
      <c r="D4144" s="11" t="n"/>
      <c r="K4144" s="7">
        <f>IF($C4144="","",J4144*W4144/100)</f>
        <v/>
      </c>
      <c r="Q4144" s="7" t="n"/>
      <c r="R4144" s="7" t="n"/>
      <c r="U4144">
        <f>IF($C4144="","",IF($AJ4144=1,0,IF($AI4144=1,Settings!$C$6,Settings!$C$7))*100)</f>
        <v/>
      </c>
      <c r="V4144" s="7">
        <f>IF($C4144="","",R4144*U4144/100)</f>
        <v/>
      </c>
      <c r="W4144" s="7">
        <f>IF($C4144="","",R4144-V4144)</f>
        <v/>
      </c>
      <c r="X4144" s="7">
        <f>IF($C4144="","",W4144-K4144)</f>
        <v/>
      </c>
      <c r="AB4144" s="7" t="n"/>
      <c r="AE4144" s="11" t="n"/>
      <c r="AG4144">
        <f>IF($C4144="","",IF(COUNTIF($C$2:$C4144,$C4144)=1,1,0))</f>
        <v/>
      </c>
      <c r="AH4144">
        <f>IF($AG4144=1,SUMPRODUCT(--($AK$2:$AK$6001&lt;$AK4144))+1,"")</f>
        <v/>
      </c>
      <c r="AI4144">
        <f>IF($C4144="","",IF(OR($N4144=TRUE(),$N4144="TRUE"),1,0))</f>
        <v/>
      </c>
      <c r="AJ4144">
        <f>IF($C4144="","",IF($T4144="Yes",1,0))</f>
        <v/>
      </c>
      <c r="AK4144">
        <f>IF($AG4144=1,IFERROR(IF(VALUE($C4144)&lt;100000000,VALUE($C4144),1000000000),IFERROR(IF(VALUE(MID($C4144,2,20))&lt;100000000,VALUE(MID($C4144,2,20)),1000000000),1000000000))+ROW()/100000,"")</f>
        <v/>
      </c>
    </row>
    <row r="4145">
      <c r="D4145" s="11" t="n"/>
      <c r="K4145" s="7">
        <f>IF($C4145="","",J4145*W4145/100)</f>
        <v/>
      </c>
      <c r="Q4145" s="7" t="n"/>
      <c r="R4145" s="7" t="n"/>
      <c r="U4145">
        <f>IF($C4145="","",IF($AJ4145=1,0,IF($AI4145=1,Settings!$C$6,Settings!$C$7))*100)</f>
        <v/>
      </c>
      <c r="V4145" s="7">
        <f>IF($C4145="","",R4145*U4145/100)</f>
        <v/>
      </c>
      <c r="W4145" s="7">
        <f>IF($C4145="","",R4145-V4145)</f>
        <v/>
      </c>
      <c r="X4145" s="7">
        <f>IF($C4145="","",W4145-K4145)</f>
        <v/>
      </c>
      <c r="AB4145" s="7" t="n"/>
      <c r="AE4145" s="11" t="n"/>
      <c r="AG4145">
        <f>IF($C4145="","",IF(COUNTIF($C$2:$C4145,$C4145)=1,1,0))</f>
        <v/>
      </c>
      <c r="AH4145">
        <f>IF($AG4145=1,SUMPRODUCT(--($AK$2:$AK$6001&lt;$AK4145))+1,"")</f>
        <v/>
      </c>
      <c r="AI4145">
        <f>IF($C4145="","",IF(OR($N4145=TRUE(),$N4145="TRUE"),1,0))</f>
        <v/>
      </c>
      <c r="AJ4145">
        <f>IF($C4145="","",IF($T4145="Yes",1,0))</f>
        <v/>
      </c>
      <c r="AK4145">
        <f>IF($AG4145=1,IFERROR(IF(VALUE($C4145)&lt;100000000,VALUE($C4145),1000000000),IFERROR(IF(VALUE(MID($C4145,2,20))&lt;100000000,VALUE(MID($C4145,2,20)),1000000000),1000000000))+ROW()/100000,"")</f>
        <v/>
      </c>
    </row>
    <row r="4146">
      <c r="D4146" s="11" t="n"/>
      <c r="K4146" s="7">
        <f>IF($C4146="","",J4146*W4146/100)</f>
        <v/>
      </c>
      <c r="Q4146" s="7" t="n"/>
      <c r="R4146" s="7" t="n"/>
      <c r="U4146">
        <f>IF($C4146="","",IF($AJ4146=1,0,IF($AI4146=1,Settings!$C$6,Settings!$C$7))*100)</f>
        <v/>
      </c>
      <c r="V4146" s="7">
        <f>IF($C4146="","",R4146*U4146/100)</f>
        <v/>
      </c>
      <c r="W4146" s="7">
        <f>IF($C4146="","",R4146-V4146)</f>
        <v/>
      </c>
      <c r="X4146" s="7">
        <f>IF($C4146="","",W4146-K4146)</f>
        <v/>
      </c>
      <c r="AB4146" s="7" t="n"/>
      <c r="AE4146" s="11" t="n"/>
      <c r="AG4146">
        <f>IF($C4146="","",IF(COUNTIF($C$2:$C4146,$C4146)=1,1,0))</f>
        <v/>
      </c>
      <c r="AH4146">
        <f>IF($AG4146=1,SUMPRODUCT(--($AK$2:$AK$6001&lt;$AK4146))+1,"")</f>
        <v/>
      </c>
      <c r="AI4146">
        <f>IF($C4146="","",IF(OR($N4146=TRUE(),$N4146="TRUE"),1,0))</f>
        <v/>
      </c>
      <c r="AJ4146">
        <f>IF($C4146="","",IF($T4146="Yes",1,0))</f>
        <v/>
      </c>
      <c r="AK4146">
        <f>IF($AG4146=1,IFERROR(IF(VALUE($C4146)&lt;100000000,VALUE($C4146),1000000000),IFERROR(IF(VALUE(MID($C4146,2,20))&lt;100000000,VALUE(MID($C4146,2,20)),1000000000),1000000000))+ROW()/100000,"")</f>
        <v/>
      </c>
    </row>
    <row r="4147">
      <c r="D4147" s="11" t="n"/>
      <c r="K4147" s="7">
        <f>IF($C4147="","",J4147*W4147/100)</f>
        <v/>
      </c>
      <c r="Q4147" s="7" t="n"/>
      <c r="R4147" s="7" t="n"/>
      <c r="U4147">
        <f>IF($C4147="","",IF($AJ4147=1,0,IF($AI4147=1,Settings!$C$6,Settings!$C$7))*100)</f>
        <v/>
      </c>
      <c r="V4147" s="7">
        <f>IF($C4147="","",R4147*U4147/100)</f>
        <v/>
      </c>
      <c r="W4147" s="7">
        <f>IF($C4147="","",R4147-V4147)</f>
        <v/>
      </c>
      <c r="X4147" s="7">
        <f>IF($C4147="","",W4147-K4147)</f>
        <v/>
      </c>
      <c r="AB4147" s="7" t="n"/>
      <c r="AE4147" s="11" t="n"/>
      <c r="AG4147">
        <f>IF($C4147="","",IF(COUNTIF($C$2:$C4147,$C4147)=1,1,0))</f>
        <v/>
      </c>
      <c r="AH4147">
        <f>IF($AG4147=1,SUMPRODUCT(--($AK$2:$AK$6001&lt;$AK4147))+1,"")</f>
        <v/>
      </c>
      <c r="AI4147">
        <f>IF($C4147="","",IF(OR($N4147=TRUE(),$N4147="TRUE"),1,0))</f>
        <v/>
      </c>
      <c r="AJ4147">
        <f>IF($C4147="","",IF($T4147="Yes",1,0))</f>
        <v/>
      </c>
      <c r="AK4147">
        <f>IF($AG4147=1,IFERROR(IF(VALUE($C4147)&lt;100000000,VALUE($C4147),1000000000),IFERROR(IF(VALUE(MID($C4147,2,20))&lt;100000000,VALUE(MID($C4147,2,20)),1000000000),1000000000))+ROW()/100000,"")</f>
        <v/>
      </c>
    </row>
    <row r="4148">
      <c r="D4148" s="11" t="n"/>
      <c r="K4148" s="7">
        <f>IF($C4148="","",J4148*W4148/100)</f>
        <v/>
      </c>
      <c r="Q4148" s="7" t="n"/>
      <c r="R4148" s="7" t="n"/>
      <c r="U4148">
        <f>IF($C4148="","",IF($AJ4148=1,0,IF($AI4148=1,Settings!$C$6,Settings!$C$7))*100)</f>
        <v/>
      </c>
      <c r="V4148" s="7">
        <f>IF($C4148="","",R4148*U4148/100)</f>
        <v/>
      </c>
      <c r="W4148" s="7">
        <f>IF($C4148="","",R4148-V4148)</f>
        <v/>
      </c>
      <c r="X4148" s="7">
        <f>IF($C4148="","",W4148-K4148)</f>
        <v/>
      </c>
      <c r="AB4148" s="7" t="n"/>
      <c r="AE4148" s="11" t="n"/>
      <c r="AG4148">
        <f>IF($C4148="","",IF(COUNTIF($C$2:$C4148,$C4148)=1,1,0))</f>
        <v/>
      </c>
      <c r="AH4148">
        <f>IF($AG4148=1,SUMPRODUCT(--($AK$2:$AK$6001&lt;$AK4148))+1,"")</f>
        <v/>
      </c>
      <c r="AI4148">
        <f>IF($C4148="","",IF(OR($N4148=TRUE(),$N4148="TRUE"),1,0))</f>
        <v/>
      </c>
      <c r="AJ4148">
        <f>IF($C4148="","",IF($T4148="Yes",1,0))</f>
        <v/>
      </c>
      <c r="AK4148">
        <f>IF($AG4148=1,IFERROR(IF(VALUE($C4148)&lt;100000000,VALUE($C4148),1000000000),IFERROR(IF(VALUE(MID($C4148,2,20))&lt;100000000,VALUE(MID($C4148,2,20)),1000000000),1000000000))+ROW()/100000,"")</f>
        <v/>
      </c>
    </row>
    <row r="4149">
      <c r="D4149" s="11" t="n"/>
      <c r="K4149" s="7">
        <f>IF($C4149="","",J4149*W4149/100)</f>
        <v/>
      </c>
      <c r="Q4149" s="7" t="n"/>
      <c r="R4149" s="7" t="n"/>
      <c r="U4149">
        <f>IF($C4149="","",IF($AJ4149=1,0,IF($AI4149=1,Settings!$C$6,Settings!$C$7))*100)</f>
        <v/>
      </c>
      <c r="V4149" s="7">
        <f>IF($C4149="","",R4149*U4149/100)</f>
        <v/>
      </c>
      <c r="W4149" s="7">
        <f>IF($C4149="","",R4149-V4149)</f>
        <v/>
      </c>
      <c r="X4149" s="7">
        <f>IF($C4149="","",W4149-K4149)</f>
        <v/>
      </c>
      <c r="AB4149" s="7" t="n"/>
      <c r="AE4149" s="11" t="n"/>
      <c r="AG4149">
        <f>IF($C4149="","",IF(COUNTIF($C$2:$C4149,$C4149)=1,1,0))</f>
        <v/>
      </c>
      <c r="AH4149">
        <f>IF($AG4149=1,SUMPRODUCT(--($AK$2:$AK$6001&lt;$AK4149))+1,"")</f>
        <v/>
      </c>
      <c r="AI4149">
        <f>IF($C4149="","",IF(OR($N4149=TRUE(),$N4149="TRUE"),1,0))</f>
        <v/>
      </c>
      <c r="AJ4149">
        <f>IF($C4149="","",IF($T4149="Yes",1,0))</f>
        <v/>
      </c>
      <c r="AK4149">
        <f>IF($AG4149=1,IFERROR(IF(VALUE($C4149)&lt;100000000,VALUE($C4149),1000000000),IFERROR(IF(VALUE(MID($C4149,2,20))&lt;100000000,VALUE(MID($C4149,2,20)),1000000000),1000000000))+ROW()/100000,"")</f>
        <v/>
      </c>
    </row>
    <row r="4150">
      <c r="D4150" s="11" t="n"/>
      <c r="K4150" s="7">
        <f>IF($C4150="","",J4150*W4150/100)</f>
        <v/>
      </c>
      <c r="Q4150" s="7" t="n"/>
      <c r="R4150" s="7" t="n"/>
      <c r="U4150">
        <f>IF($C4150="","",IF($AJ4150=1,0,IF($AI4150=1,Settings!$C$6,Settings!$C$7))*100)</f>
        <v/>
      </c>
      <c r="V4150" s="7">
        <f>IF($C4150="","",R4150*U4150/100)</f>
        <v/>
      </c>
      <c r="W4150" s="7">
        <f>IF($C4150="","",R4150-V4150)</f>
        <v/>
      </c>
      <c r="X4150" s="7">
        <f>IF($C4150="","",W4150-K4150)</f>
        <v/>
      </c>
      <c r="AB4150" s="7" t="n"/>
      <c r="AE4150" s="11" t="n"/>
      <c r="AG4150">
        <f>IF($C4150="","",IF(COUNTIF($C$2:$C4150,$C4150)=1,1,0))</f>
        <v/>
      </c>
      <c r="AH4150">
        <f>IF($AG4150=1,SUMPRODUCT(--($AK$2:$AK$6001&lt;$AK4150))+1,"")</f>
        <v/>
      </c>
      <c r="AI4150">
        <f>IF($C4150="","",IF(OR($N4150=TRUE(),$N4150="TRUE"),1,0))</f>
        <v/>
      </c>
      <c r="AJ4150">
        <f>IF($C4150="","",IF($T4150="Yes",1,0))</f>
        <v/>
      </c>
      <c r="AK4150">
        <f>IF($AG4150=1,IFERROR(IF(VALUE($C4150)&lt;100000000,VALUE($C4150),1000000000),IFERROR(IF(VALUE(MID($C4150,2,20))&lt;100000000,VALUE(MID($C4150,2,20)),1000000000),1000000000))+ROW()/100000,"")</f>
        <v/>
      </c>
    </row>
    <row r="4151">
      <c r="D4151" s="11" t="n"/>
      <c r="K4151" s="7">
        <f>IF($C4151="","",J4151*W4151/100)</f>
        <v/>
      </c>
      <c r="Q4151" s="7" t="n"/>
      <c r="R4151" s="7" t="n"/>
      <c r="U4151">
        <f>IF($C4151="","",IF($AJ4151=1,0,IF($AI4151=1,Settings!$C$6,Settings!$C$7))*100)</f>
        <v/>
      </c>
      <c r="V4151" s="7">
        <f>IF($C4151="","",R4151*U4151/100)</f>
        <v/>
      </c>
      <c r="W4151" s="7">
        <f>IF($C4151="","",R4151-V4151)</f>
        <v/>
      </c>
      <c r="X4151" s="7">
        <f>IF($C4151="","",W4151-K4151)</f>
        <v/>
      </c>
      <c r="AB4151" s="7" t="n"/>
      <c r="AE4151" s="11" t="n"/>
      <c r="AG4151">
        <f>IF($C4151="","",IF(COUNTIF($C$2:$C4151,$C4151)=1,1,0))</f>
        <v/>
      </c>
      <c r="AH4151">
        <f>IF($AG4151=1,SUMPRODUCT(--($AK$2:$AK$6001&lt;$AK4151))+1,"")</f>
        <v/>
      </c>
      <c r="AI4151">
        <f>IF($C4151="","",IF(OR($N4151=TRUE(),$N4151="TRUE"),1,0))</f>
        <v/>
      </c>
      <c r="AJ4151">
        <f>IF($C4151="","",IF($T4151="Yes",1,0))</f>
        <v/>
      </c>
      <c r="AK4151">
        <f>IF($AG4151=1,IFERROR(IF(VALUE($C4151)&lt;100000000,VALUE($C4151),1000000000),IFERROR(IF(VALUE(MID($C4151,2,20))&lt;100000000,VALUE(MID($C4151,2,20)),1000000000),1000000000))+ROW()/100000,"")</f>
        <v/>
      </c>
    </row>
    <row r="4152">
      <c r="D4152" s="11" t="n"/>
      <c r="K4152" s="7">
        <f>IF($C4152="","",J4152*W4152/100)</f>
        <v/>
      </c>
      <c r="Q4152" s="7" t="n"/>
      <c r="R4152" s="7" t="n"/>
      <c r="U4152">
        <f>IF($C4152="","",IF($AJ4152=1,0,IF($AI4152=1,Settings!$C$6,Settings!$C$7))*100)</f>
        <v/>
      </c>
      <c r="V4152" s="7">
        <f>IF($C4152="","",R4152*U4152/100)</f>
        <v/>
      </c>
      <c r="W4152" s="7">
        <f>IF($C4152="","",R4152-V4152)</f>
        <v/>
      </c>
      <c r="X4152" s="7">
        <f>IF($C4152="","",W4152-K4152)</f>
        <v/>
      </c>
      <c r="AB4152" s="7" t="n"/>
      <c r="AE4152" s="11" t="n"/>
      <c r="AG4152">
        <f>IF($C4152="","",IF(COUNTIF($C$2:$C4152,$C4152)=1,1,0))</f>
        <v/>
      </c>
      <c r="AH4152">
        <f>IF($AG4152=1,SUMPRODUCT(--($AK$2:$AK$6001&lt;$AK4152))+1,"")</f>
        <v/>
      </c>
      <c r="AI4152">
        <f>IF($C4152="","",IF(OR($N4152=TRUE(),$N4152="TRUE"),1,0))</f>
        <v/>
      </c>
      <c r="AJ4152">
        <f>IF($C4152="","",IF($T4152="Yes",1,0))</f>
        <v/>
      </c>
      <c r="AK4152">
        <f>IF($AG4152=1,IFERROR(IF(VALUE($C4152)&lt;100000000,VALUE($C4152),1000000000),IFERROR(IF(VALUE(MID($C4152,2,20))&lt;100000000,VALUE(MID($C4152,2,20)),1000000000),1000000000))+ROW()/100000,"")</f>
        <v/>
      </c>
    </row>
    <row r="4153">
      <c r="D4153" s="11" t="n"/>
      <c r="K4153" s="7">
        <f>IF($C4153="","",J4153*W4153/100)</f>
        <v/>
      </c>
      <c r="Q4153" s="7" t="n"/>
      <c r="R4153" s="7" t="n"/>
      <c r="U4153">
        <f>IF($C4153="","",IF($AJ4153=1,0,IF($AI4153=1,Settings!$C$6,Settings!$C$7))*100)</f>
        <v/>
      </c>
      <c r="V4153" s="7">
        <f>IF($C4153="","",R4153*U4153/100)</f>
        <v/>
      </c>
      <c r="W4153" s="7">
        <f>IF($C4153="","",R4153-V4153)</f>
        <v/>
      </c>
      <c r="X4153" s="7">
        <f>IF($C4153="","",W4153-K4153)</f>
        <v/>
      </c>
      <c r="AB4153" s="7" t="n"/>
      <c r="AE4153" s="11" t="n"/>
      <c r="AG4153">
        <f>IF($C4153="","",IF(COUNTIF($C$2:$C4153,$C4153)=1,1,0))</f>
        <v/>
      </c>
      <c r="AH4153">
        <f>IF($AG4153=1,SUMPRODUCT(--($AK$2:$AK$6001&lt;$AK4153))+1,"")</f>
        <v/>
      </c>
      <c r="AI4153">
        <f>IF($C4153="","",IF(OR($N4153=TRUE(),$N4153="TRUE"),1,0))</f>
        <v/>
      </c>
      <c r="AJ4153">
        <f>IF($C4153="","",IF($T4153="Yes",1,0))</f>
        <v/>
      </c>
      <c r="AK4153">
        <f>IF($AG4153=1,IFERROR(IF(VALUE($C4153)&lt;100000000,VALUE($C4153),1000000000),IFERROR(IF(VALUE(MID($C4153,2,20))&lt;100000000,VALUE(MID($C4153,2,20)),1000000000),1000000000))+ROW()/100000,"")</f>
        <v/>
      </c>
    </row>
    <row r="4154">
      <c r="D4154" s="11" t="n"/>
      <c r="K4154" s="7">
        <f>IF($C4154="","",J4154*W4154/100)</f>
        <v/>
      </c>
      <c r="Q4154" s="7" t="n"/>
      <c r="R4154" s="7" t="n"/>
      <c r="U4154">
        <f>IF($C4154="","",IF($AJ4154=1,0,IF($AI4154=1,Settings!$C$6,Settings!$C$7))*100)</f>
        <v/>
      </c>
      <c r="V4154" s="7">
        <f>IF($C4154="","",R4154*U4154/100)</f>
        <v/>
      </c>
      <c r="W4154" s="7">
        <f>IF($C4154="","",R4154-V4154)</f>
        <v/>
      </c>
      <c r="X4154" s="7">
        <f>IF($C4154="","",W4154-K4154)</f>
        <v/>
      </c>
      <c r="AB4154" s="7" t="n"/>
      <c r="AE4154" s="11" t="n"/>
      <c r="AG4154">
        <f>IF($C4154="","",IF(COUNTIF($C$2:$C4154,$C4154)=1,1,0))</f>
        <v/>
      </c>
      <c r="AH4154">
        <f>IF($AG4154=1,SUMPRODUCT(--($AK$2:$AK$6001&lt;$AK4154))+1,"")</f>
        <v/>
      </c>
      <c r="AI4154">
        <f>IF($C4154="","",IF(OR($N4154=TRUE(),$N4154="TRUE"),1,0))</f>
        <v/>
      </c>
      <c r="AJ4154">
        <f>IF($C4154="","",IF($T4154="Yes",1,0))</f>
        <v/>
      </c>
      <c r="AK4154">
        <f>IF($AG4154=1,IFERROR(IF(VALUE($C4154)&lt;100000000,VALUE($C4154),1000000000),IFERROR(IF(VALUE(MID($C4154,2,20))&lt;100000000,VALUE(MID($C4154,2,20)),1000000000),1000000000))+ROW()/100000,"")</f>
        <v/>
      </c>
    </row>
    <row r="4155">
      <c r="D4155" s="11" t="n"/>
      <c r="K4155" s="7">
        <f>IF($C4155="","",J4155*W4155/100)</f>
        <v/>
      </c>
      <c r="Q4155" s="7" t="n"/>
      <c r="R4155" s="7" t="n"/>
      <c r="U4155">
        <f>IF($C4155="","",IF($AJ4155=1,0,IF($AI4155=1,Settings!$C$6,Settings!$C$7))*100)</f>
        <v/>
      </c>
      <c r="V4155" s="7">
        <f>IF($C4155="","",R4155*U4155/100)</f>
        <v/>
      </c>
      <c r="W4155" s="7">
        <f>IF($C4155="","",R4155-V4155)</f>
        <v/>
      </c>
      <c r="X4155" s="7">
        <f>IF($C4155="","",W4155-K4155)</f>
        <v/>
      </c>
      <c r="AB4155" s="7" t="n"/>
      <c r="AE4155" s="11" t="n"/>
      <c r="AG4155">
        <f>IF($C4155="","",IF(COUNTIF($C$2:$C4155,$C4155)=1,1,0))</f>
        <v/>
      </c>
      <c r="AH4155">
        <f>IF($AG4155=1,SUMPRODUCT(--($AK$2:$AK$6001&lt;$AK4155))+1,"")</f>
        <v/>
      </c>
      <c r="AI4155">
        <f>IF($C4155="","",IF(OR($N4155=TRUE(),$N4155="TRUE"),1,0))</f>
        <v/>
      </c>
      <c r="AJ4155">
        <f>IF($C4155="","",IF($T4155="Yes",1,0))</f>
        <v/>
      </c>
      <c r="AK4155">
        <f>IF($AG4155=1,IFERROR(IF(VALUE($C4155)&lt;100000000,VALUE($C4155),1000000000),IFERROR(IF(VALUE(MID($C4155,2,20))&lt;100000000,VALUE(MID($C4155,2,20)),1000000000),1000000000))+ROW()/100000,"")</f>
        <v/>
      </c>
    </row>
    <row r="4156">
      <c r="D4156" s="11" t="n"/>
      <c r="K4156" s="7">
        <f>IF($C4156="","",J4156*W4156/100)</f>
        <v/>
      </c>
      <c r="Q4156" s="7" t="n"/>
      <c r="R4156" s="7" t="n"/>
      <c r="U4156">
        <f>IF($C4156="","",IF($AJ4156=1,0,IF($AI4156=1,Settings!$C$6,Settings!$C$7))*100)</f>
        <v/>
      </c>
      <c r="V4156" s="7">
        <f>IF($C4156="","",R4156*U4156/100)</f>
        <v/>
      </c>
      <c r="W4156" s="7">
        <f>IF($C4156="","",R4156-V4156)</f>
        <v/>
      </c>
      <c r="X4156" s="7">
        <f>IF($C4156="","",W4156-K4156)</f>
        <v/>
      </c>
      <c r="AB4156" s="7" t="n"/>
      <c r="AE4156" s="11" t="n"/>
      <c r="AG4156">
        <f>IF($C4156="","",IF(COUNTIF($C$2:$C4156,$C4156)=1,1,0))</f>
        <v/>
      </c>
      <c r="AH4156">
        <f>IF($AG4156=1,SUMPRODUCT(--($AK$2:$AK$6001&lt;$AK4156))+1,"")</f>
        <v/>
      </c>
      <c r="AI4156">
        <f>IF($C4156="","",IF(OR($N4156=TRUE(),$N4156="TRUE"),1,0))</f>
        <v/>
      </c>
      <c r="AJ4156">
        <f>IF($C4156="","",IF($T4156="Yes",1,0))</f>
        <v/>
      </c>
      <c r="AK4156">
        <f>IF($AG4156=1,IFERROR(IF(VALUE($C4156)&lt;100000000,VALUE($C4156),1000000000),IFERROR(IF(VALUE(MID($C4156,2,20))&lt;100000000,VALUE(MID($C4156,2,20)),1000000000),1000000000))+ROW()/100000,"")</f>
        <v/>
      </c>
    </row>
    <row r="4157">
      <c r="D4157" s="11" t="n"/>
      <c r="K4157" s="7">
        <f>IF($C4157="","",J4157*W4157/100)</f>
        <v/>
      </c>
      <c r="Q4157" s="7" t="n"/>
      <c r="R4157" s="7" t="n"/>
      <c r="U4157">
        <f>IF($C4157="","",IF($AJ4157=1,0,IF($AI4157=1,Settings!$C$6,Settings!$C$7))*100)</f>
        <v/>
      </c>
      <c r="V4157" s="7">
        <f>IF($C4157="","",R4157*U4157/100)</f>
        <v/>
      </c>
      <c r="W4157" s="7">
        <f>IF($C4157="","",R4157-V4157)</f>
        <v/>
      </c>
      <c r="X4157" s="7">
        <f>IF($C4157="","",W4157-K4157)</f>
        <v/>
      </c>
      <c r="AB4157" s="7" t="n"/>
      <c r="AE4157" s="11" t="n"/>
      <c r="AG4157">
        <f>IF($C4157="","",IF(COUNTIF($C$2:$C4157,$C4157)=1,1,0))</f>
        <v/>
      </c>
      <c r="AH4157">
        <f>IF($AG4157=1,SUMPRODUCT(--($AK$2:$AK$6001&lt;$AK4157))+1,"")</f>
        <v/>
      </c>
      <c r="AI4157">
        <f>IF($C4157="","",IF(OR($N4157=TRUE(),$N4157="TRUE"),1,0))</f>
        <v/>
      </c>
      <c r="AJ4157">
        <f>IF($C4157="","",IF($T4157="Yes",1,0))</f>
        <v/>
      </c>
      <c r="AK4157">
        <f>IF($AG4157=1,IFERROR(IF(VALUE($C4157)&lt;100000000,VALUE($C4157),1000000000),IFERROR(IF(VALUE(MID($C4157,2,20))&lt;100000000,VALUE(MID($C4157,2,20)),1000000000),1000000000))+ROW()/100000,"")</f>
        <v/>
      </c>
    </row>
    <row r="4158">
      <c r="D4158" s="11" t="n"/>
      <c r="K4158" s="7">
        <f>IF($C4158="","",J4158*W4158/100)</f>
        <v/>
      </c>
      <c r="Q4158" s="7" t="n"/>
      <c r="R4158" s="7" t="n"/>
      <c r="U4158">
        <f>IF($C4158="","",IF($AJ4158=1,0,IF($AI4158=1,Settings!$C$6,Settings!$C$7))*100)</f>
        <v/>
      </c>
      <c r="V4158" s="7">
        <f>IF($C4158="","",R4158*U4158/100)</f>
        <v/>
      </c>
      <c r="W4158" s="7">
        <f>IF($C4158="","",R4158-V4158)</f>
        <v/>
      </c>
      <c r="X4158" s="7">
        <f>IF($C4158="","",W4158-K4158)</f>
        <v/>
      </c>
      <c r="AB4158" s="7" t="n"/>
      <c r="AE4158" s="11" t="n"/>
      <c r="AG4158">
        <f>IF($C4158="","",IF(COUNTIF($C$2:$C4158,$C4158)=1,1,0))</f>
        <v/>
      </c>
      <c r="AH4158">
        <f>IF($AG4158=1,SUMPRODUCT(--($AK$2:$AK$6001&lt;$AK4158))+1,"")</f>
        <v/>
      </c>
      <c r="AI4158">
        <f>IF($C4158="","",IF(OR($N4158=TRUE(),$N4158="TRUE"),1,0))</f>
        <v/>
      </c>
      <c r="AJ4158">
        <f>IF($C4158="","",IF($T4158="Yes",1,0))</f>
        <v/>
      </c>
      <c r="AK4158">
        <f>IF($AG4158=1,IFERROR(IF(VALUE($C4158)&lt;100000000,VALUE($C4158),1000000000),IFERROR(IF(VALUE(MID($C4158,2,20))&lt;100000000,VALUE(MID($C4158,2,20)),1000000000),1000000000))+ROW()/100000,"")</f>
        <v/>
      </c>
    </row>
    <row r="4159">
      <c r="D4159" s="11" t="n"/>
      <c r="K4159" s="7">
        <f>IF($C4159="","",J4159*W4159/100)</f>
        <v/>
      </c>
      <c r="Q4159" s="7" t="n"/>
      <c r="R4159" s="7" t="n"/>
      <c r="U4159">
        <f>IF($C4159="","",IF($AJ4159=1,0,IF($AI4159=1,Settings!$C$6,Settings!$C$7))*100)</f>
        <v/>
      </c>
      <c r="V4159" s="7">
        <f>IF($C4159="","",R4159*U4159/100)</f>
        <v/>
      </c>
      <c r="W4159" s="7">
        <f>IF($C4159="","",R4159-V4159)</f>
        <v/>
      </c>
      <c r="X4159" s="7">
        <f>IF($C4159="","",W4159-K4159)</f>
        <v/>
      </c>
      <c r="AB4159" s="7" t="n"/>
      <c r="AE4159" s="11" t="n"/>
      <c r="AG4159">
        <f>IF($C4159="","",IF(COUNTIF($C$2:$C4159,$C4159)=1,1,0))</f>
        <v/>
      </c>
      <c r="AH4159">
        <f>IF($AG4159=1,SUMPRODUCT(--($AK$2:$AK$6001&lt;$AK4159))+1,"")</f>
        <v/>
      </c>
      <c r="AI4159">
        <f>IF($C4159="","",IF(OR($N4159=TRUE(),$N4159="TRUE"),1,0))</f>
        <v/>
      </c>
      <c r="AJ4159">
        <f>IF($C4159="","",IF($T4159="Yes",1,0))</f>
        <v/>
      </c>
      <c r="AK4159">
        <f>IF($AG4159=1,IFERROR(IF(VALUE($C4159)&lt;100000000,VALUE($C4159),1000000000),IFERROR(IF(VALUE(MID($C4159,2,20))&lt;100000000,VALUE(MID($C4159,2,20)),1000000000),1000000000))+ROW()/100000,"")</f>
        <v/>
      </c>
    </row>
    <row r="4160">
      <c r="D4160" s="11" t="n"/>
      <c r="K4160" s="7">
        <f>IF($C4160="","",J4160*W4160/100)</f>
        <v/>
      </c>
      <c r="Q4160" s="7" t="n"/>
      <c r="R4160" s="7" t="n"/>
      <c r="U4160">
        <f>IF($C4160="","",IF($AJ4160=1,0,IF($AI4160=1,Settings!$C$6,Settings!$C$7))*100)</f>
        <v/>
      </c>
      <c r="V4160" s="7">
        <f>IF($C4160="","",R4160*U4160/100)</f>
        <v/>
      </c>
      <c r="W4160" s="7">
        <f>IF($C4160="","",R4160-V4160)</f>
        <v/>
      </c>
      <c r="X4160" s="7">
        <f>IF($C4160="","",W4160-K4160)</f>
        <v/>
      </c>
      <c r="AB4160" s="7" t="n"/>
      <c r="AE4160" s="11" t="n"/>
      <c r="AG4160">
        <f>IF($C4160="","",IF(COUNTIF($C$2:$C4160,$C4160)=1,1,0))</f>
        <v/>
      </c>
      <c r="AH4160">
        <f>IF($AG4160=1,SUMPRODUCT(--($AK$2:$AK$6001&lt;$AK4160))+1,"")</f>
        <v/>
      </c>
      <c r="AI4160">
        <f>IF($C4160="","",IF(OR($N4160=TRUE(),$N4160="TRUE"),1,0))</f>
        <v/>
      </c>
      <c r="AJ4160">
        <f>IF($C4160="","",IF($T4160="Yes",1,0))</f>
        <v/>
      </c>
      <c r="AK4160">
        <f>IF($AG4160=1,IFERROR(IF(VALUE($C4160)&lt;100000000,VALUE($C4160),1000000000),IFERROR(IF(VALUE(MID($C4160,2,20))&lt;100000000,VALUE(MID($C4160,2,20)),1000000000),1000000000))+ROW()/100000,"")</f>
        <v/>
      </c>
    </row>
    <row r="4161">
      <c r="D4161" s="11" t="n"/>
      <c r="K4161" s="7">
        <f>IF($C4161="","",J4161*W4161/100)</f>
        <v/>
      </c>
      <c r="Q4161" s="7" t="n"/>
      <c r="R4161" s="7" t="n"/>
      <c r="U4161">
        <f>IF($C4161="","",IF($AJ4161=1,0,IF($AI4161=1,Settings!$C$6,Settings!$C$7))*100)</f>
        <v/>
      </c>
      <c r="V4161" s="7">
        <f>IF($C4161="","",R4161*U4161/100)</f>
        <v/>
      </c>
      <c r="W4161" s="7">
        <f>IF($C4161="","",R4161-V4161)</f>
        <v/>
      </c>
      <c r="X4161" s="7">
        <f>IF($C4161="","",W4161-K4161)</f>
        <v/>
      </c>
      <c r="AB4161" s="7" t="n"/>
      <c r="AE4161" s="11" t="n"/>
      <c r="AG4161">
        <f>IF($C4161="","",IF(COUNTIF($C$2:$C4161,$C4161)=1,1,0))</f>
        <v/>
      </c>
      <c r="AH4161">
        <f>IF($AG4161=1,SUMPRODUCT(--($AK$2:$AK$6001&lt;$AK4161))+1,"")</f>
        <v/>
      </c>
      <c r="AI4161">
        <f>IF($C4161="","",IF(OR($N4161=TRUE(),$N4161="TRUE"),1,0))</f>
        <v/>
      </c>
      <c r="AJ4161">
        <f>IF($C4161="","",IF($T4161="Yes",1,0))</f>
        <v/>
      </c>
      <c r="AK4161">
        <f>IF($AG4161=1,IFERROR(IF(VALUE($C4161)&lt;100000000,VALUE($C4161),1000000000),IFERROR(IF(VALUE(MID($C4161,2,20))&lt;100000000,VALUE(MID($C4161,2,20)),1000000000),1000000000))+ROW()/100000,"")</f>
        <v/>
      </c>
    </row>
    <row r="4162">
      <c r="D4162" s="11" t="n"/>
      <c r="K4162" s="7">
        <f>IF($C4162="","",J4162*W4162/100)</f>
        <v/>
      </c>
      <c r="Q4162" s="7" t="n"/>
      <c r="R4162" s="7" t="n"/>
      <c r="U4162">
        <f>IF($C4162="","",IF($AJ4162=1,0,IF($AI4162=1,Settings!$C$6,Settings!$C$7))*100)</f>
        <v/>
      </c>
      <c r="V4162" s="7">
        <f>IF($C4162="","",R4162*U4162/100)</f>
        <v/>
      </c>
      <c r="W4162" s="7">
        <f>IF($C4162="","",R4162-V4162)</f>
        <v/>
      </c>
      <c r="X4162" s="7">
        <f>IF($C4162="","",W4162-K4162)</f>
        <v/>
      </c>
      <c r="AB4162" s="7" t="n"/>
      <c r="AE4162" s="11" t="n"/>
      <c r="AG4162">
        <f>IF($C4162="","",IF(COUNTIF($C$2:$C4162,$C4162)=1,1,0))</f>
        <v/>
      </c>
      <c r="AH4162">
        <f>IF($AG4162=1,SUMPRODUCT(--($AK$2:$AK$6001&lt;$AK4162))+1,"")</f>
        <v/>
      </c>
      <c r="AI4162">
        <f>IF($C4162="","",IF(OR($N4162=TRUE(),$N4162="TRUE"),1,0))</f>
        <v/>
      </c>
      <c r="AJ4162">
        <f>IF($C4162="","",IF($T4162="Yes",1,0))</f>
        <v/>
      </c>
      <c r="AK4162">
        <f>IF($AG4162=1,IFERROR(IF(VALUE($C4162)&lt;100000000,VALUE($C4162),1000000000),IFERROR(IF(VALUE(MID($C4162,2,20))&lt;100000000,VALUE(MID($C4162,2,20)),1000000000),1000000000))+ROW()/100000,"")</f>
        <v/>
      </c>
    </row>
    <row r="4163">
      <c r="D4163" s="11" t="n"/>
      <c r="K4163" s="7">
        <f>IF($C4163="","",J4163*W4163/100)</f>
        <v/>
      </c>
      <c r="Q4163" s="7" t="n"/>
      <c r="R4163" s="7" t="n"/>
      <c r="U4163">
        <f>IF($C4163="","",IF($AJ4163=1,0,IF($AI4163=1,Settings!$C$6,Settings!$C$7))*100)</f>
        <v/>
      </c>
      <c r="V4163" s="7">
        <f>IF($C4163="","",R4163*U4163/100)</f>
        <v/>
      </c>
      <c r="W4163" s="7">
        <f>IF($C4163="","",R4163-V4163)</f>
        <v/>
      </c>
      <c r="X4163" s="7">
        <f>IF($C4163="","",W4163-K4163)</f>
        <v/>
      </c>
      <c r="AB4163" s="7" t="n"/>
      <c r="AE4163" s="11" t="n"/>
      <c r="AG4163">
        <f>IF($C4163="","",IF(COUNTIF($C$2:$C4163,$C4163)=1,1,0))</f>
        <v/>
      </c>
      <c r="AH4163">
        <f>IF($AG4163=1,SUMPRODUCT(--($AK$2:$AK$6001&lt;$AK4163))+1,"")</f>
        <v/>
      </c>
      <c r="AI4163">
        <f>IF($C4163="","",IF(OR($N4163=TRUE(),$N4163="TRUE"),1,0))</f>
        <v/>
      </c>
      <c r="AJ4163">
        <f>IF($C4163="","",IF($T4163="Yes",1,0))</f>
        <v/>
      </c>
      <c r="AK4163">
        <f>IF($AG4163=1,IFERROR(IF(VALUE($C4163)&lt;100000000,VALUE($C4163),1000000000),IFERROR(IF(VALUE(MID($C4163,2,20))&lt;100000000,VALUE(MID($C4163,2,20)),1000000000),1000000000))+ROW()/100000,"")</f>
        <v/>
      </c>
    </row>
    <row r="4164">
      <c r="D4164" s="11" t="n"/>
      <c r="K4164" s="7">
        <f>IF($C4164="","",J4164*W4164/100)</f>
        <v/>
      </c>
      <c r="Q4164" s="7" t="n"/>
      <c r="R4164" s="7" t="n"/>
      <c r="U4164">
        <f>IF($C4164="","",IF($AJ4164=1,0,IF($AI4164=1,Settings!$C$6,Settings!$C$7))*100)</f>
        <v/>
      </c>
      <c r="V4164" s="7">
        <f>IF($C4164="","",R4164*U4164/100)</f>
        <v/>
      </c>
      <c r="W4164" s="7">
        <f>IF($C4164="","",R4164-V4164)</f>
        <v/>
      </c>
      <c r="X4164" s="7">
        <f>IF($C4164="","",W4164-K4164)</f>
        <v/>
      </c>
      <c r="AB4164" s="7" t="n"/>
      <c r="AE4164" s="11" t="n"/>
      <c r="AG4164">
        <f>IF($C4164="","",IF(COUNTIF($C$2:$C4164,$C4164)=1,1,0))</f>
        <v/>
      </c>
      <c r="AH4164">
        <f>IF($AG4164=1,SUMPRODUCT(--($AK$2:$AK$6001&lt;$AK4164))+1,"")</f>
        <v/>
      </c>
      <c r="AI4164">
        <f>IF($C4164="","",IF(OR($N4164=TRUE(),$N4164="TRUE"),1,0))</f>
        <v/>
      </c>
      <c r="AJ4164">
        <f>IF($C4164="","",IF($T4164="Yes",1,0))</f>
        <v/>
      </c>
      <c r="AK4164">
        <f>IF($AG4164=1,IFERROR(IF(VALUE($C4164)&lt;100000000,VALUE($C4164),1000000000),IFERROR(IF(VALUE(MID($C4164,2,20))&lt;100000000,VALUE(MID($C4164,2,20)),1000000000),1000000000))+ROW()/100000,"")</f>
        <v/>
      </c>
    </row>
    <row r="4165">
      <c r="D4165" s="11" t="n"/>
      <c r="K4165" s="7">
        <f>IF($C4165="","",J4165*W4165/100)</f>
        <v/>
      </c>
      <c r="Q4165" s="7" t="n"/>
      <c r="R4165" s="7" t="n"/>
      <c r="U4165">
        <f>IF($C4165="","",IF($AJ4165=1,0,IF($AI4165=1,Settings!$C$6,Settings!$C$7))*100)</f>
        <v/>
      </c>
      <c r="V4165" s="7">
        <f>IF($C4165="","",R4165*U4165/100)</f>
        <v/>
      </c>
      <c r="W4165" s="7">
        <f>IF($C4165="","",R4165-V4165)</f>
        <v/>
      </c>
      <c r="X4165" s="7">
        <f>IF($C4165="","",W4165-K4165)</f>
        <v/>
      </c>
      <c r="AB4165" s="7" t="n"/>
      <c r="AE4165" s="11" t="n"/>
      <c r="AG4165">
        <f>IF($C4165="","",IF(COUNTIF($C$2:$C4165,$C4165)=1,1,0))</f>
        <v/>
      </c>
      <c r="AH4165">
        <f>IF($AG4165=1,SUMPRODUCT(--($AK$2:$AK$6001&lt;$AK4165))+1,"")</f>
        <v/>
      </c>
      <c r="AI4165">
        <f>IF($C4165="","",IF(OR($N4165=TRUE(),$N4165="TRUE"),1,0))</f>
        <v/>
      </c>
      <c r="AJ4165">
        <f>IF($C4165="","",IF($T4165="Yes",1,0))</f>
        <v/>
      </c>
      <c r="AK4165">
        <f>IF($AG4165=1,IFERROR(IF(VALUE($C4165)&lt;100000000,VALUE($C4165),1000000000),IFERROR(IF(VALUE(MID($C4165,2,20))&lt;100000000,VALUE(MID($C4165,2,20)),1000000000),1000000000))+ROW()/100000,"")</f>
        <v/>
      </c>
    </row>
    <row r="4166">
      <c r="D4166" s="11" t="n"/>
      <c r="K4166" s="7">
        <f>IF($C4166="","",J4166*W4166/100)</f>
        <v/>
      </c>
      <c r="Q4166" s="7" t="n"/>
      <c r="R4166" s="7" t="n"/>
      <c r="U4166">
        <f>IF($C4166="","",IF($AJ4166=1,0,IF($AI4166=1,Settings!$C$6,Settings!$C$7))*100)</f>
        <v/>
      </c>
      <c r="V4166" s="7">
        <f>IF($C4166="","",R4166*U4166/100)</f>
        <v/>
      </c>
      <c r="W4166" s="7">
        <f>IF($C4166="","",R4166-V4166)</f>
        <v/>
      </c>
      <c r="X4166" s="7">
        <f>IF($C4166="","",W4166-K4166)</f>
        <v/>
      </c>
      <c r="AB4166" s="7" t="n"/>
      <c r="AE4166" s="11" t="n"/>
      <c r="AG4166">
        <f>IF($C4166="","",IF(COUNTIF($C$2:$C4166,$C4166)=1,1,0))</f>
        <v/>
      </c>
      <c r="AH4166">
        <f>IF($AG4166=1,SUMPRODUCT(--($AK$2:$AK$6001&lt;$AK4166))+1,"")</f>
        <v/>
      </c>
      <c r="AI4166">
        <f>IF($C4166="","",IF(OR($N4166=TRUE(),$N4166="TRUE"),1,0))</f>
        <v/>
      </c>
      <c r="AJ4166">
        <f>IF($C4166="","",IF($T4166="Yes",1,0))</f>
        <v/>
      </c>
      <c r="AK4166">
        <f>IF($AG4166=1,IFERROR(IF(VALUE($C4166)&lt;100000000,VALUE($C4166),1000000000),IFERROR(IF(VALUE(MID($C4166,2,20))&lt;100000000,VALUE(MID($C4166,2,20)),1000000000),1000000000))+ROW()/100000,"")</f>
        <v/>
      </c>
    </row>
    <row r="4167">
      <c r="D4167" s="11" t="n"/>
      <c r="K4167" s="7">
        <f>IF($C4167="","",J4167*W4167/100)</f>
        <v/>
      </c>
      <c r="Q4167" s="7" t="n"/>
      <c r="R4167" s="7" t="n"/>
      <c r="U4167">
        <f>IF($C4167="","",IF($AJ4167=1,0,IF($AI4167=1,Settings!$C$6,Settings!$C$7))*100)</f>
        <v/>
      </c>
      <c r="V4167" s="7">
        <f>IF($C4167="","",R4167*U4167/100)</f>
        <v/>
      </c>
      <c r="W4167" s="7">
        <f>IF($C4167="","",R4167-V4167)</f>
        <v/>
      </c>
      <c r="X4167" s="7">
        <f>IF($C4167="","",W4167-K4167)</f>
        <v/>
      </c>
      <c r="AB4167" s="7" t="n"/>
      <c r="AE4167" s="11" t="n"/>
      <c r="AG4167">
        <f>IF($C4167="","",IF(COUNTIF($C$2:$C4167,$C4167)=1,1,0))</f>
        <v/>
      </c>
      <c r="AH4167">
        <f>IF($AG4167=1,SUMPRODUCT(--($AK$2:$AK$6001&lt;$AK4167))+1,"")</f>
        <v/>
      </c>
      <c r="AI4167">
        <f>IF($C4167="","",IF(OR($N4167=TRUE(),$N4167="TRUE"),1,0))</f>
        <v/>
      </c>
      <c r="AJ4167">
        <f>IF($C4167="","",IF($T4167="Yes",1,0))</f>
        <v/>
      </c>
      <c r="AK4167">
        <f>IF($AG4167=1,IFERROR(IF(VALUE($C4167)&lt;100000000,VALUE($C4167),1000000000),IFERROR(IF(VALUE(MID($C4167,2,20))&lt;100000000,VALUE(MID($C4167,2,20)),1000000000),1000000000))+ROW()/100000,"")</f>
        <v/>
      </c>
    </row>
    <row r="4168">
      <c r="D4168" s="11" t="n"/>
      <c r="K4168" s="7">
        <f>IF($C4168="","",J4168*W4168/100)</f>
        <v/>
      </c>
      <c r="Q4168" s="7" t="n"/>
      <c r="R4168" s="7" t="n"/>
      <c r="U4168">
        <f>IF($C4168="","",IF($AJ4168=1,0,IF($AI4168=1,Settings!$C$6,Settings!$C$7))*100)</f>
        <v/>
      </c>
      <c r="V4168" s="7">
        <f>IF($C4168="","",R4168*U4168/100)</f>
        <v/>
      </c>
      <c r="W4168" s="7">
        <f>IF($C4168="","",R4168-V4168)</f>
        <v/>
      </c>
      <c r="X4168" s="7">
        <f>IF($C4168="","",W4168-K4168)</f>
        <v/>
      </c>
      <c r="AB4168" s="7" t="n"/>
      <c r="AE4168" s="11" t="n"/>
      <c r="AG4168">
        <f>IF($C4168="","",IF(COUNTIF($C$2:$C4168,$C4168)=1,1,0))</f>
        <v/>
      </c>
      <c r="AH4168">
        <f>IF($AG4168=1,SUMPRODUCT(--($AK$2:$AK$6001&lt;$AK4168))+1,"")</f>
        <v/>
      </c>
      <c r="AI4168">
        <f>IF($C4168="","",IF(OR($N4168=TRUE(),$N4168="TRUE"),1,0))</f>
        <v/>
      </c>
      <c r="AJ4168">
        <f>IF($C4168="","",IF($T4168="Yes",1,0))</f>
        <v/>
      </c>
      <c r="AK4168">
        <f>IF($AG4168=1,IFERROR(IF(VALUE($C4168)&lt;100000000,VALUE($C4168),1000000000),IFERROR(IF(VALUE(MID($C4168,2,20))&lt;100000000,VALUE(MID($C4168,2,20)),1000000000),1000000000))+ROW()/100000,"")</f>
        <v/>
      </c>
    </row>
    <row r="4169">
      <c r="D4169" s="11" t="n"/>
      <c r="K4169" s="7">
        <f>IF($C4169="","",J4169*W4169/100)</f>
        <v/>
      </c>
      <c r="Q4169" s="7" t="n"/>
      <c r="R4169" s="7" t="n"/>
      <c r="U4169">
        <f>IF($C4169="","",IF($AJ4169=1,0,IF($AI4169=1,Settings!$C$6,Settings!$C$7))*100)</f>
        <v/>
      </c>
      <c r="V4169" s="7">
        <f>IF($C4169="","",R4169*U4169/100)</f>
        <v/>
      </c>
      <c r="W4169" s="7">
        <f>IF($C4169="","",R4169-V4169)</f>
        <v/>
      </c>
      <c r="X4169" s="7">
        <f>IF($C4169="","",W4169-K4169)</f>
        <v/>
      </c>
      <c r="AB4169" s="7" t="n"/>
      <c r="AE4169" s="11" t="n"/>
      <c r="AG4169">
        <f>IF($C4169="","",IF(COUNTIF($C$2:$C4169,$C4169)=1,1,0))</f>
        <v/>
      </c>
      <c r="AH4169">
        <f>IF($AG4169=1,SUMPRODUCT(--($AK$2:$AK$6001&lt;$AK4169))+1,"")</f>
        <v/>
      </c>
      <c r="AI4169">
        <f>IF($C4169="","",IF(OR($N4169=TRUE(),$N4169="TRUE"),1,0))</f>
        <v/>
      </c>
      <c r="AJ4169">
        <f>IF($C4169="","",IF($T4169="Yes",1,0))</f>
        <v/>
      </c>
      <c r="AK4169">
        <f>IF($AG4169=1,IFERROR(IF(VALUE($C4169)&lt;100000000,VALUE($C4169),1000000000),IFERROR(IF(VALUE(MID($C4169,2,20))&lt;100000000,VALUE(MID($C4169,2,20)),1000000000),1000000000))+ROW()/100000,"")</f>
        <v/>
      </c>
    </row>
    <row r="4170">
      <c r="D4170" s="11" t="n"/>
      <c r="K4170" s="7">
        <f>IF($C4170="","",J4170*W4170/100)</f>
        <v/>
      </c>
      <c r="Q4170" s="7" t="n"/>
      <c r="R4170" s="7" t="n"/>
      <c r="U4170">
        <f>IF($C4170="","",IF($AJ4170=1,0,IF($AI4170=1,Settings!$C$6,Settings!$C$7))*100)</f>
        <v/>
      </c>
      <c r="V4170" s="7">
        <f>IF($C4170="","",R4170*U4170/100)</f>
        <v/>
      </c>
      <c r="W4170" s="7">
        <f>IF($C4170="","",R4170-V4170)</f>
        <v/>
      </c>
      <c r="X4170" s="7">
        <f>IF($C4170="","",W4170-K4170)</f>
        <v/>
      </c>
      <c r="AB4170" s="7" t="n"/>
      <c r="AE4170" s="11" t="n"/>
      <c r="AG4170">
        <f>IF($C4170="","",IF(COUNTIF($C$2:$C4170,$C4170)=1,1,0))</f>
        <v/>
      </c>
      <c r="AH4170">
        <f>IF($AG4170=1,SUMPRODUCT(--($AK$2:$AK$6001&lt;$AK4170))+1,"")</f>
        <v/>
      </c>
      <c r="AI4170">
        <f>IF($C4170="","",IF(OR($N4170=TRUE(),$N4170="TRUE"),1,0))</f>
        <v/>
      </c>
      <c r="AJ4170">
        <f>IF($C4170="","",IF($T4170="Yes",1,0))</f>
        <v/>
      </c>
      <c r="AK4170">
        <f>IF($AG4170=1,IFERROR(IF(VALUE($C4170)&lt;100000000,VALUE($C4170),1000000000),IFERROR(IF(VALUE(MID($C4170,2,20))&lt;100000000,VALUE(MID($C4170,2,20)),1000000000),1000000000))+ROW()/100000,"")</f>
        <v/>
      </c>
    </row>
    <row r="4171">
      <c r="D4171" s="11" t="n"/>
      <c r="K4171" s="7">
        <f>IF($C4171="","",J4171*W4171/100)</f>
        <v/>
      </c>
      <c r="Q4171" s="7" t="n"/>
      <c r="R4171" s="7" t="n"/>
      <c r="U4171">
        <f>IF($C4171="","",IF($AJ4171=1,0,IF($AI4171=1,Settings!$C$6,Settings!$C$7))*100)</f>
        <v/>
      </c>
      <c r="V4171" s="7">
        <f>IF($C4171="","",R4171*U4171/100)</f>
        <v/>
      </c>
      <c r="W4171" s="7">
        <f>IF($C4171="","",R4171-V4171)</f>
        <v/>
      </c>
      <c r="X4171" s="7">
        <f>IF($C4171="","",W4171-K4171)</f>
        <v/>
      </c>
      <c r="AB4171" s="7" t="n"/>
      <c r="AE4171" s="11" t="n"/>
      <c r="AG4171">
        <f>IF($C4171="","",IF(COUNTIF($C$2:$C4171,$C4171)=1,1,0))</f>
        <v/>
      </c>
      <c r="AH4171">
        <f>IF($AG4171=1,SUMPRODUCT(--($AK$2:$AK$6001&lt;$AK4171))+1,"")</f>
        <v/>
      </c>
      <c r="AI4171">
        <f>IF($C4171="","",IF(OR($N4171=TRUE(),$N4171="TRUE"),1,0))</f>
        <v/>
      </c>
      <c r="AJ4171">
        <f>IF($C4171="","",IF($T4171="Yes",1,0))</f>
        <v/>
      </c>
      <c r="AK4171">
        <f>IF($AG4171=1,IFERROR(IF(VALUE($C4171)&lt;100000000,VALUE($C4171),1000000000),IFERROR(IF(VALUE(MID($C4171,2,20))&lt;100000000,VALUE(MID($C4171,2,20)),1000000000),1000000000))+ROW()/100000,"")</f>
        <v/>
      </c>
    </row>
    <row r="4172">
      <c r="D4172" s="11" t="n"/>
      <c r="K4172" s="7">
        <f>IF($C4172="","",J4172*W4172/100)</f>
        <v/>
      </c>
      <c r="Q4172" s="7" t="n"/>
      <c r="R4172" s="7" t="n"/>
      <c r="U4172">
        <f>IF($C4172="","",IF($AJ4172=1,0,IF($AI4172=1,Settings!$C$6,Settings!$C$7))*100)</f>
        <v/>
      </c>
      <c r="V4172" s="7">
        <f>IF($C4172="","",R4172*U4172/100)</f>
        <v/>
      </c>
      <c r="W4172" s="7">
        <f>IF($C4172="","",R4172-V4172)</f>
        <v/>
      </c>
      <c r="X4172" s="7">
        <f>IF($C4172="","",W4172-K4172)</f>
        <v/>
      </c>
      <c r="AB4172" s="7" t="n"/>
      <c r="AE4172" s="11" t="n"/>
      <c r="AG4172">
        <f>IF($C4172="","",IF(COUNTIF($C$2:$C4172,$C4172)=1,1,0))</f>
        <v/>
      </c>
      <c r="AH4172">
        <f>IF($AG4172=1,SUMPRODUCT(--($AK$2:$AK$6001&lt;$AK4172))+1,"")</f>
        <v/>
      </c>
      <c r="AI4172">
        <f>IF($C4172="","",IF(OR($N4172=TRUE(),$N4172="TRUE"),1,0))</f>
        <v/>
      </c>
      <c r="AJ4172">
        <f>IF($C4172="","",IF($T4172="Yes",1,0))</f>
        <v/>
      </c>
      <c r="AK4172">
        <f>IF($AG4172=1,IFERROR(IF(VALUE($C4172)&lt;100000000,VALUE($C4172),1000000000),IFERROR(IF(VALUE(MID($C4172,2,20))&lt;100000000,VALUE(MID($C4172,2,20)),1000000000),1000000000))+ROW()/100000,"")</f>
        <v/>
      </c>
    </row>
    <row r="4173">
      <c r="D4173" s="11" t="n"/>
      <c r="K4173" s="7">
        <f>IF($C4173="","",J4173*W4173/100)</f>
        <v/>
      </c>
      <c r="Q4173" s="7" t="n"/>
      <c r="R4173" s="7" t="n"/>
      <c r="U4173">
        <f>IF($C4173="","",IF($AJ4173=1,0,IF($AI4173=1,Settings!$C$6,Settings!$C$7))*100)</f>
        <v/>
      </c>
      <c r="V4173" s="7">
        <f>IF($C4173="","",R4173*U4173/100)</f>
        <v/>
      </c>
      <c r="W4173" s="7">
        <f>IF($C4173="","",R4173-V4173)</f>
        <v/>
      </c>
      <c r="X4173" s="7">
        <f>IF($C4173="","",W4173-K4173)</f>
        <v/>
      </c>
      <c r="AB4173" s="7" t="n"/>
      <c r="AE4173" s="11" t="n"/>
      <c r="AG4173">
        <f>IF($C4173="","",IF(COUNTIF($C$2:$C4173,$C4173)=1,1,0))</f>
        <v/>
      </c>
      <c r="AH4173">
        <f>IF($AG4173=1,SUMPRODUCT(--($AK$2:$AK$6001&lt;$AK4173))+1,"")</f>
        <v/>
      </c>
      <c r="AI4173">
        <f>IF($C4173="","",IF(OR($N4173=TRUE(),$N4173="TRUE"),1,0))</f>
        <v/>
      </c>
      <c r="AJ4173">
        <f>IF($C4173="","",IF($T4173="Yes",1,0))</f>
        <v/>
      </c>
      <c r="AK4173">
        <f>IF($AG4173=1,IFERROR(IF(VALUE($C4173)&lt;100000000,VALUE($C4173),1000000000),IFERROR(IF(VALUE(MID($C4173,2,20))&lt;100000000,VALUE(MID($C4173,2,20)),1000000000),1000000000))+ROW()/100000,"")</f>
        <v/>
      </c>
    </row>
    <row r="4174">
      <c r="D4174" s="11" t="n"/>
      <c r="K4174" s="7">
        <f>IF($C4174="","",J4174*W4174/100)</f>
        <v/>
      </c>
      <c r="Q4174" s="7" t="n"/>
      <c r="R4174" s="7" t="n"/>
      <c r="U4174">
        <f>IF($C4174="","",IF($AJ4174=1,0,IF($AI4174=1,Settings!$C$6,Settings!$C$7))*100)</f>
        <v/>
      </c>
      <c r="V4174" s="7">
        <f>IF($C4174="","",R4174*U4174/100)</f>
        <v/>
      </c>
      <c r="W4174" s="7">
        <f>IF($C4174="","",R4174-V4174)</f>
        <v/>
      </c>
      <c r="X4174" s="7">
        <f>IF($C4174="","",W4174-K4174)</f>
        <v/>
      </c>
      <c r="AB4174" s="7" t="n"/>
      <c r="AE4174" s="11" t="n"/>
      <c r="AG4174">
        <f>IF($C4174="","",IF(COUNTIF($C$2:$C4174,$C4174)=1,1,0))</f>
        <v/>
      </c>
      <c r="AH4174">
        <f>IF($AG4174=1,SUMPRODUCT(--($AK$2:$AK$6001&lt;$AK4174))+1,"")</f>
        <v/>
      </c>
      <c r="AI4174">
        <f>IF($C4174="","",IF(OR($N4174=TRUE(),$N4174="TRUE"),1,0))</f>
        <v/>
      </c>
      <c r="AJ4174">
        <f>IF($C4174="","",IF($T4174="Yes",1,0))</f>
        <v/>
      </c>
      <c r="AK4174">
        <f>IF($AG4174=1,IFERROR(IF(VALUE($C4174)&lt;100000000,VALUE($C4174),1000000000),IFERROR(IF(VALUE(MID($C4174,2,20))&lt;100000000,VALUE(MID($C4174,2,20)),1000000000),1000000000))+ROW()/100000,"")</f>
        <v/>
      </c>
    </row>
    <row r="4175">
      <c r="D4175" s="11" t="n"/>
      <c r="K4175" s="7">
        <f>IF($C4175="","",J4175*W4175/100)</f>
        <v/>
      </c>
      <c r="Q4175" s="7" t="n"/>
      <c r="R4175" s="7" t="n"/>
      <c r="U4175">
        <f>IF($C4175="","",IF($AJ4175=1,0,IF($AI4175=1,Settings!$C$6,Settings!$C$7))*100)</f>
        <v/>
      </c>
      <c r="V4175" s="7">
        <f>IF($C4175="","",R4175*U4175/100)</f>
        <v/>
      </c>
      <c r="W4175" s="7">
        <f>IF($C4175="","",R4175-V4175)</f>
        <v/>
      </c>
      <c r="X4175" s="7">
        <f>IF($C4175="","",W4175-K4175)</f>
        <v/>
      </c>
      <c r="AB4175" s="7" t="n"/>
      <c r="AE4175" s="11" t="n"/>
      <c r="AG4175">
        <f>IF($C4175="","",IF(COUNTIF($C$2:$C4175,$C4175)=1,1,0))</f>
        <v/>
      </c>
      <c r="AH4175">
        <f>IF($AG4175=1,SUMPRODUCT(--($AK$2:$AK$6001&lt;$AK4175))+1,"")</f>
        <v/>
      </c>
      <c r="AI4175">
        <f>IF($C4175="","",IF(OR($N4175=TRUE(),$N4175="TRUE"),1,0))</f>
        <v/>
      </c>
      <c r="AJ4175">
        <f>IF($C4175="","",IF($T4175="Yes",1,0))</f>
        <v/>
      </c>
      <c r="AK4175">
        <f>IF($AG4175=1,IFERROR(IF(VALUE($C4175)&lt;100000000,VALUE($C4175),1000000000),IFERROR(IF(VALUE(MID($C4175,2,20))&lt;100000000,VALUE(MID($C4175,2,20)),1000000000),1000000000))+ROW()/100000,"")</f>
        <v/>
      </c>
    </row>
    <row r="4176">
      <c r="D4176" s="11" t="n"/>
      <c r="K4176" s="7">
        <f>IF($C4176="","",J4176*W4176/100)</f>
        <v/>
      </c>
      <c r="Q4176" s="7" t="n"/>
      <c r="R4176" s="7" t="n"/>
      <c r="U4176">
        <f>IF($C4176="","",IF($AJ4176=1,0,IF($AI4176=1,Settings!$C$6,Settings!$C$7))*100)</f>
        <v/>
      </c>
      <c r="V4176" s="7">
        <f>IF($C4176="","",R4176*U4176/100)</f>
        <v/>
      </c>
      <c r="W4176" s="7">
        <f>IF($C4176="","",R4176-V4176)</f>
        <v/>
      </c>
      <c r="X4176" s="7">
        <f>IF($C4176="","",W4176-K4176)</f>
        <v/>
      </c>
      <c r="AB4176" s="7" t="n"/>
      <c r="AE4176" s="11" t="n"/>
      <c r="AG4176">
        <f>IF($C4176="","",IF(COUNTIF($C$2:$C4176,$C4176)=1,1,0))</f>
        <v/>
      </c>
      <c r="AH4176">
        <f>IF($AG4176=1,SUMPRODUCT(--($AK$2:$AK$6001&lt;$AK4176))+1,"")</f>
        <v/>
      </c>
      <c r="AI4176">
        <f>IF($C4176="","",IF(OR($N4176=TRUE(),$N4176="TRUE"),1,0))</f>
        <v/>
      </c>
      <c r="AJ4176">
        <f>IF($C4176="","",IF($T4176="Yes",1,0))</f>
        <v/>
      </c>
      <c r="AK4176">
        <f>IF($AG4176=1,IFERROR(IF(VALUE($C4176)&lt;100000000,VALUE($C4176),1000000000),IFERROR(IF(VALUE(MID($C4176,2,20))&lt;100000000,VALUE(MID($C4176,2,20)),1000000000),1000000000))+ROW()/100000,"")</f>
        <v/>
      </c>
    </row>
    <row r="4177">
      <c r="D4177" s="11" t="n"/>
      <c r="K4177" s="7">
        <f>IF($C4177="","",J4177*W4177/100)</f>
        <v/>
      </c>
      <c r="Q4177" s="7" t="n"/>
      <c r="R4177" s="7" t="n"/>
      <c r="U4177">
        <f>IF($C4177="","",IF($AJ4177=1,0,IF($AI4177=1,Settings!$C$6,Settings!$C$7))*100)</f>
        <v/>
      </c>
      <c r="V4177" s="7">
        <f>IF($C4177="","",R4177*U4177/100)</f>
        <v/>
      </c>
      <c r="W4177" s="7">
        <f>IF($C4177="","",R4177-V4177)</f>
        <v/>
      </c>
      <c r="X4177" s="7">
        <f>IF($C4177="","",W4177-K4177)</f>
        <v/>
      </c>
      <c r="AB4177" s="7" t="n"/>
      <c r="AE4177" s="11" t="n"/>
      <c r="AG4177">
        <f>IF($C4177="","",IF(COUNTIF($C$2:$C4177,$C4177)=1,1,0))</f>
        <v/>
      </c>
      <c r="AH4177">
        <f>IF($AG4177=1,SUMPRODUCT(--($AK$2:$AK$6001&lt;$AK4177))+1,"")</f>
        <v/>
      </c>
      <c r="AI4177">
        <f>IF($C4177="","",IF(OR($N4177=TRUE(),$N4177="TRUE"),1,0))</f>
        <v/>
      </c>
      <c r="AJ4177">
        <f>IF($C4177="","",IF($T4177="Yes",1,0))</f>
        <v/>
      </c>
      <c r="AK4177">
        <f>IF($AG4177=1,IFERROR(IF(VALUE($C4177)&lt;100000000,VALUE($C4177),1000000000),IFERROR(IF(VALUE(MID($C4177,2,20))&lt;100000000,VALUE(MID($C4177,2,20)),1000000000),1000000000))+ROW()/100000,"")</f>
        <v/>
      </c>
    </row>
    <row r="4178">
      <c r="D4178" s="11" t="n"/>
      <c r="K4178" s="7">
        <f>IF($C4178="","",J4178*W4178/100)</f>
        <v/>
      </c>
      <c r="Q4178" s="7" t="n"/>
      <c r="R4178" s="7" t="n"/>
      <c r="U4178">
        <f>IF($C4178="","",IF($AJ4178=1,0,IF($AI4178=1,Settings!$C$6,Settings!$C$7))*100)</f>
        <v/>
      </c>
      <c r="V4178" s="7">
        <f>IF($C4178="","",R4178*U4178/100)</f>
        <v/>
      </c>
      <c r="W4178" s="7">
        <f>IF($C4178="","",R4178-V4178)</f>
        <v/>
      </c>
      <c r="X4178" s="7">
        <f>IF($C4178="","",W4178-K4178)</f>
        <v/>
      </c>
      <c r="AB4178" s="7" t="n"/>
      <c r="AE4178" s="11" t="n"/>
      <c r="AG4178">
        <f>IF($C4178="","",IF(COUNTIF($C$2:$C4178,$C4178)=1,1,0))</f>
        <v/>
      </c>
      <c r="AH4178">
        <f>IF($AG4178=1,SUMPRODUCT(--($AK$2:$AK$6001&lt;$AK4178))+1,"")</f>
        <v/>
      </c>
      <c r="AI4178">
        <f>IF($C4178="","",IF(OR($N4178=TRUE(),$N4178="TRUE"),1,0))</f>
        <v/>
      </c>
      <c r="AJ4178">
        <f>IF($C4178="","",IF($T4178="Yes",1,0))</f>
        <v/>
      </c>
      <c r="AK4178">
        <f>IF($AG4178=1,IFERROR(IF(VALUE($C4178)&lt;100000000,VALUE($C4178),1000000000),IFERROR(IF(VALUE(MID($C4178,2,20))&lt;100000000,VALUE(MID($C4178,2,20)),1000000000),1000000000))+ROW()/100000,"")</f>
        <v/>
      </c>
    </row>
    <row r="4179">
      <c r="D4179" s="11" t="n"/>
      <c r="K4179" s="7">
        <f>IF($C4179="","",J4179*W4179/100)</f>
        <v/>
      </c>
      <c r="Q4179" s="7" t="n"/>
      <c r="R4179" s="7" t="n"/>
      <c r="U4179">
        <f>IF($C4179="","",IF($AJ4179=1,0,IF($AI4179=1,Settings!$C$6,Settings!$C$7))*100)</f>
        <v/>
      </c>
      <c r="V4179" s="7">
        <f>IF($C4179="","",R4179*U4179/100)</f>
        <v/>
      </c>
      <c r="W4179" s="7">
        <f>IF($C4179="","",R4179-V4179)</f>
        <v/>
      </c>
      <c r="X4179" s="7">
        <f>IF($C4179="","",W4179-K4179)</f>
        <v/>
      </c>
      <c r="AB4179" s="7" t="n"/>
      <c r="AE4179" s="11" t="n"/>
      <c r="AG4179">
        <f>IF($C4179="","",IF(COUNTIF($C$2:$C4179,$C4179)=1,1,0))</f>
        <v/>
      </c>
      <c r="AH4179">
        <f>IF($AG4179=1,SUMPRODUCT(--($AK$2:$AK$6001&lt;$AK4179))+1,"")</f>
        <v/>
      </c>
      <c r="AI4179">
        <f>IF($C4179="","",IF(OR($N4179=TRUE(),$N4179="TRUE"),1,0))</f>
        <v/>
      </c>
      <c r="AJ4179">
        <f>IF($C4179="","",IF($T4179="Yes",1,0))</f>
        <v/>
      </c>
      <c r="AK4179">
        <f>IF($AG4179=1,IFERROR(IF(VALUE($C4179)&lt;100000000,VALUE($C4179),1000000000),IFERROR(IF(VALUE(MID($C4179,2,20))&lt;100000000,VALUE(MID($C4179,2,20)),1000000000),1000000000))+ROW()/100000,"")</f>
        <v/>
      </c>
    </row>
    <row r="4180">
      <c r="D4180" s="11" t="n"/>
      <c r="K4180" s="7">
        <f>IF($C4180="","",J4180*W4180/100)</f>
        <v/>
      </c>
      <c r="Q4180" s="7" t="n"/>
      <c r="R4180" s="7" t="n"/>
      <c r="U4180">
        <f>IF($C4180="","",IF($AJ4180=1,0,IF($AI4180=1,Settings!$C$6,Settings!$C$7))*100)</f>
        <v/>
      </c>
      <c r="V4180" s="7">
        <f>IF($C4180="","",R4180*U4180/100)</f>
        <v/>
      </c>
      <c r="W4180" s="7">
        <f>IF($C4180="","",R4180-V4180)</f>
        <v/>
      </c>
      <c r="X4180" s="7">
        <f>IF($C4180="","",W4180-K4180)</f>
        <v/>
      </c>
      <c r="AB4180" s="7" t="n"/>
      <c r="AE4180" s="11" t="n"/>
      <c r="AG4180">
        <f>IF($C4180="","",IF(COUNTIF($C$2:$C4180,$C4180)=1,1,0))</f>
        <v/>
      </c>
      <c r="AH4180">
        <f>IF($AG4180=1,SUMPRODUCT(--($AK$2:$AK$6001&lt;$AK4180))+1,"")</f>
        <v/>
      </c>
      <c r="AI4180">
        <f>IF($C4180="","",IF(OR($N4180=TRUE(),$N4180="TRUE"),1,0))</f>
        <v/>
      </c>
      <c r="AJ4180">
        <f>IF($C4180="","",IF($T4180="Yes",1,0))</f>
        <v/>
      </c>
      <c r="AK4180">
        <f>IF($AG4180=1,IFERROR(IF(VALUE($C4180)&lt;100000000,VALUE($C4180),1000000000),IFERROR(IF(VALUE(MID($C4180,2,20))&lt;100000000,VALUE(MID($C4180,2,20)),1000000000),1000000000))+ROW()/100000,"")</f>
        <v/>
      </c>
    </row>
    <row r="4181">
      <c r="D4181" s="11" t="n"/>
      <c r="K4181" s="7">
        <f>IF($C4181="","",J4181*W4181/100)</f>
        <v/>
      </c>
      <c r="Q4181" s="7" t="n"/>
      <c r="R4181" s="7" t="n"/>
      <c r="U4181">
        <f>IF($C4181="","",IF($AJ4181=1,0,IF($AI4181=1,Settings!$C$6,Settings!$C$7))*100)</f>
        <v/>
      </c>
      <c r="V4181" s="7">
        <f>IF($C4181="","",R4181*U4181/100)</f>
        <v/>
      </c>
      <c r="W4181" s="7">
        <f>IF($C4181="","",R4181-V4181)</f>
        <v/>
      </c>
      <c r="X4181" s="7">
        <f>IF($C4181="","",W4181-K4181)</f>
        <v/>
      </c>
      <c r="AB4181" s="7" t="n"/>
      <c r="AE4181" s="11" t="n"/>
      <c r="AG4181">
        <f>IF($C4181="","",IF(COUNTIF($C$2:$C4181,$C4181)=1,1,0))</f>
        <v/>
      </c>
      <c r="AH4181">
        <f>IF($AG4181=1,SUMPRODUCT(--($AK$2:$AK$6001&lt;$AK4181))+1,"")</f>
        <v/>
      </c>
      <c r="AI4181">
        <f>IF($C4181="","",IF(OR($N4181=TRUE(),$N4181="TRUE"),1,0))</f>
        <v/>
      </c>
      <c r="AJ4181">
        <f>IF($C4181="","",IF($T4181="Yes",1,0))</f>
        <v/>
      </c>
      <c r="AK4181">
        <f>IF($AG4181=1,IFERROR(IF(VALUE($C4181)&lt;100000000,VALUE($C4181),1000000000),IFERROR(IF(VALUE(MID($C4181,2,20))&lt;100000000,VALUE(MID($C4181,2,20)),1000000000),1000000000))+ROW()/100000,"")</f>
        <v/>
      </c>
    </row>
    <row r="4182">
      <c r="D4182" s="11" t="n"/>
      <c r="K4182" s="7">
        <f>IF($C4182="","",J4182*W4182/100)</f>
        <v/>
      </c>
      <c r="Q4182" s="7" t="n"/>
      <c r="R4182" s="7" t="n"/>
      <c r="U4182">
        <f>IF($C4182="","",IF($AJ4182=1,0,IF($AI4182=1,Settings!$C$6,Settings!$C$7))*100)</f>
        <v/>
      </c>
      <c r="V4182" s="7">
        <f>IF($C4182="","",R4182*U4182/100)</f>
        <v/>
      </c>
      <c r="W4182" s="7">
        <f>IF($C4182="","",R4182-V4182)</f>
        <v/>
      </c>
      <c r="X4182" s="7">
        <f>IF($C4182="","",W4182-K4182)</f>
        <v/>
      </c>
      <c r="AB4182" s="7" t="n"/>
      <c r="AE4182" s="11" t="n"/>
      <c r="AG4182">
        <f>IF($C4182="","",IF(COUNTIF($C$2:$C4182,$C4182)=1,1,0))</f>
        <v/>
      </c>
      <c r="AH4182">
        <f>IF($AG4182=1,SUMPRODUCT(--($AK$2:$AK$6001&lt;$AK4182))+1,"")</f>
        <v/>
      </c>
      <c r="AI4182">
        <f>IF($C4182="","",IF(OR($N4182=TRUE(),$N4182="TRUE"),1,0))</f>
        <v/>
      </c>
      <c r="AJ4182">
        <f>IF($C4182="","",IF($T4182="Yes",1,0))</f>
        <v/>
      </c>
      <c r="AK4182">
        <f>IF($AG4182=1,IFERROR(IF(VALUE($C4182)&lt;100000000,VALUE($C4182),1000000000),IFERROR(IF(VALUE(MID($C4182,2,20))&lt;100000000,VALUE(MID($C4182,2,20)),1000000000),1000000000))+ROW()/100000,"")</f>
        <v/>
      </c>
    </row>
    <row r="4183">
      <c r="D4183" s="11" t="n"/>
      <c r="K4183" s="7">
        <f>IF($C4183="","",J4183*W4183/100)</f>
        <v/>
      </c>
      <c r="Q4183" s="7" t="n"/>
      <c r="R4183" s="7" t="n"/>
      <c r="U4183">
        <f>IF($C4183="","",IF($AJ4183=1,0,IF($AI4183=1,Settings!$C$6,Settings!$C$7))*100)</f>
        <v/>
      </c>
      <c r="V4183" s="7">
        <f>IF($C4183="","",R4183*U4183/100)</f>
        <v/>
      </c>
      <c r="W4183" s="7">
        <f>IF($C4183="","",R4183-V4183)</f>
        <v/>
      </c>
      <c r="X4183" s="7">
        <f>IF($C4183="","",W4183-K4183)</f>
        <v/>
      </c>
      <c r="AB4183" s="7" t="n"/>
      <c r="AE4183" s="11" t="n"/>
      <c r="AG4183">
        <f>IF($C4183="","",IF(COUNTIF($C$2:$C4183,$C4183)=1,1,0))</f>
        <v/>
      </c>
      <c r="AH4183">
        <f>IF($AG4183=1,SUMPRODUCT(--($AK$2:$AK$6001&lt;$AK4183))+1,"")</f>
        <v/>
      </c>
      <c r="AI4183">
        <f>IF($C4183="","",IF(OR($N4183=TRUE(),$N4183="TRUE"),1,0))</f>
        <v/>
      </c>
      <c r="AJ4183">
        <f>IF($C4183="","",IF($T4183="Yes",1,0))</f>
        <v/>
      </c>
      <c r="AK4183">
        <f>IF($AG4183=1,IFERROR(IF(VALUE($C4183)&lt;100000000,VALUE($C4183),1000000000),IFERROR(IF(VALUE(MID($C4183,2,20))&lt;100000000,VALUE(MID($C4183,2,20)),1000000000),1000000000))+ROW()/100000,"")</f>
        <v/>
      </c>
    </row>
    <row r="4184">
      <c r="D4184" s="11" t="n"/>
      <c r="K4184" s="7">
        <f>IF($C4184="","",J4184*W4184/100)</f>
        <v/>
      </c>
      <c r="Q4184" s="7" t="n"/>
      <c r="R4184" s="7" t="n"/>
      <c r="U4184">
        <f>IF($C4184="","",IF($AJ4184=1,0,IF($AI4184=1,Settings!$C$6,Settings!$C$7))*100)</f>
        <v/>
      </c>
      <c r="V4184" s="7">
        <f>IF($C4184="","",R4184*U4184/100)</f>
        <v/>
      </c>
      <c r="W4184" s="7">
        <f>IF($C4184="","",R4184-V4184)</f>
        <v/>
      </c>
      <c r="X4184" s="7">
        <f>IF($C4184="","",W4184-K4184)</f>
        <v/>
      </c>
      <c r="AB4184" s="7" t="n"/>
      <c r="AE4184" s="11" t="n"/>
      <c r="AG4184">
        <f>IF($C4184="","",IF(COUNTIF($C$2:$C4184,$C4184)=1,1,0))</f>
        <v/>
      </c>
      <c r="AH4184">
        <f>IF($AG4184=1,SUMPRODUCT(--($AK$2:$AK$6001&lt;$AK4184))+1,"")</f>
        <v/>
      </c>
      <c r="AI4184">
        <f>IF($C4184="","",IF(OR($N4184=TRUE(),$N4184="TRUE"),1,0))</f>
        <v/>
      </c>
      <c r="AJ4184">
        <f>IF($C4184="","",IF($T4184="Yes",1,0))</f>
        <v/>
      </c>
      <c r="AK4184">
        <f>IF($AG4184=1,IFERROR(IF(VALUE($C4184)&lt;100000000,VALUE($C4184),1000000000),IFERROR(IF(VALUE(MID($C4184,2,20))&lt;100000000,VALUE(MID($C4184,2,20)),1000000000),1000000000))+ROW()/100000,"")</f>
        <v/>
      </c>
    </row>
    <row r="4185">
      <c r="D4185" s="11" t="n"/>
      <c r="K4185" s="7">
        <f>IF($C4185="","",J4185*W4185/100)</f>
        <v/>
      </c>
      <c r="Q4185" s="7" t="n"/>
      <c r="R4185" s="7" t="n"/>
      <c r="U4185">
        <f>IF($C4185="","",IF($AJ4185=1,0,IF($AI4185=1,Settings!$C$6,Settings!$C$7))*100)</f>
        <v/>
      </c>
      <c r="V4185" s="7">
        <f>IF($C4185="","",R4185*U4185/100)</f>
        <v/>
      </c>
      <c r="W4185" s="7">
        <f>IF($C4185="","",R4185-V4185)</f>
        <v/>
      </c>
      <c r="X4185" s="7">
        <f>IF($C4185="","",W4185-K4185)</f>
        <v/>
      </c>
      <c r="AB4185" s="7" t="n"/>
      <c r="AE4185" s="11" t="n"/>
      <c r="AG4185">
        <f>IF($C4185="","",IF(COUNTIF($C$2:$C4185,$C4185)=1,1,0))</f>
        <v/>
      </c>
      <c r="AH4185">
        <f>IF($AG4185=1,SUMPRODUCT(--($AK$2:$AK$6001&lt;$AK4185))+1,"")</f>
        <v/>
      </c>
      <c r="AI4185">
        <f>IF($C4185="","",IF(OR($N4185=TRUE(),$N4185="TRUE"),1,0))</f>
        <v/>
      </c>
      <c r="AJ4185">
        <f>IF($C4185="","",IF($T4185="Yes",1,0))</f>
        <v/>
      </c>
      <c r="AK4185">
        <f>IF($AG4185=1,IFERROR(IF(VALUE($C4185)&lt;100000000,VALUE($C4185),1000000000),IFERROR(IF(VALUE(MID($C4185,2,20))&lt;100000000,VALUE(MID($C4185,2,20)),1000000000),1000000000))+ROW()/100000,"")</f>
        <v/>
      </c>
    </row>
    <row r="4186">
      <c r="D4186" s="11" t="n"/>
      <c r="K4186" s="7">
        <f>IF($C4186="","",J4186*W4186/100)</f>
        <v/>
      </c>
      <c r="Q4186" s="7" t="n"/>
      <c r="R4186" s="7" t="n"/>
      <c r="U4186">
        <f>IF($C4186="","",IF($AJ4186=1,0,IF($AI4186=1,Settings!$C$6,Settings!$C$7))*100)</f>
        <v/>
      </c>
      <c r="V4186" s="7">
        <f>IF($C4186="","",R4186*U4186/100)</f>
        <v/>
      </c>
      <c r="W4186" s="7">
        <f>IF($C4186="","",R4186-V4186)</f>
        <v/>
      </c>
      <c r="X4186" s="7">
        <f>IF($C4186="","",W4186-K4186)</f>
        <v/>
      </c>
      <c r="AB4186" s="7" t="n"/>
      <c r="AE4186" s="11" t="n"/>
      <c r="AG4186">
        <f>IF($C4186="","",IF(COUNTIF($C$2:$C4186,$C4186)=1,1,0))</f>
        <v/>
      </c>
      <c r="AH4186">
        <f>IF($AG4186=1,SUMPRODUCT(--($AK$2:$AK$6001&lt;$AK4186))+1,"")</f>
        <v/>
      </c>
      <c r="AI4186">
        <f>IF($C4186="","",IF(OR($N4186=TRUE(),$N4186="TRUE"),1,0))</f>
        <v/>
      </c>
      <c r="AJ4186">
        <f>IF($C4186="","",IF($T4186="Yes",1,0))</f>
        <v/>
      </c>
      <c r="AK4186">
        <f>IF($AG4186=1,IFERROR(IF(VALUE($C4186)&lt;100000000,VALUE($C4186),1000000000),IFERROR(IF(VALUE(MID($C4186,2,20))&lt;100000000,VALUE(MID($C4186,2,20)),1000000000),1000000000))+ROW()/100000,"")</f>
        <v/>
      </c>
    </row>
    <row r="4187">
      <c r="D4187" s="11" t="n"/>
      <c r="K4187" s="7">
        <f>IF($C4187="","",J4187*W4187/100)</f>
        <v/>
      </c>
      <c r="Q4187" s="7" t="n"/>
      <c r="R4187" s="7" t="n"/>
      <c r="U4187">
        <f>IF($C4187="","",IF($AJ4187=1,0,IF($AI4187=1,Settings!$C$6,Settings!$C$7))*100)</f>
        <v/>
      </c>
      <c r="V4187" s="7">
        <f>IF($C4187="","",R4187*U4187/100)</f>
        <v/>
      </c>
      <c r="W4187" s="7">
        <f>IF($C4187="","",R4187-V4187)</f>
        <v/>
      </c>
      <c r="X4187" s="7">
        <f>IF($C4187="","",W4187-K4187)</f>
        <v/>
      </c>
      <c r="AB4187" s="7" t="n"/>
      <c r="AE4187" s="11" t="n"/>
      <c r="AG4187">
        <f>IF($C4187="","",IF(COUNTIF($C$2:$C4187,$C4187)=1,1,0))</f>
        <v/>
      </c>
      <c r="AH4187">
        <f>IF($AG4187=1,SUMPRODUCT(--($AK$2:$AK$6001&lt;$AK4187))+1,"")</f>
        <v/>
      </c>
      <c r="AI4187">
        <f>IF($C4187="","",IF(OR($N4187=TRUE(),$N4187="TRUE"),1,0))</f>
        <v/>
      </c>
      <c r="AJ4187">
        <f>IF($C4187="","",IF($T4187="Yes",1,0))</f>
        <v/>
      </c>
      <c r="AK4187">
        <f>IF($AG4187=1,IFERROR(IF(VALUE($C4187)&lt;100000000,VALUE($C4187),1000000000),IFERROR(IF(VALUE(MID($C4187,2,20))&lt;100000000,VALUE(MID($C4187,2,20)),1000000000),1000000000))+ROW()/100000,"")</f>
        <v/>
      </c>
    </row>
    <row r="4188">
      <c r="D4188" s="11" t="n"/>
      <c r="K4188" s="7">
        <f>IF($C4188="","",J4188*W4188/100)</f>
        <v/>
      </c>
      <c r="Q4188" s="7" t="n"/>
      <c r="R4188" s="7" t="n"/>
      <c r="U4188">
        <f>IF($C4188="","",IF($AJ4188=1,0,IF($AI4188=1,Settings!$C$6,Settings!$C$7))*100)</f>
        <v/>
      </c>
      <c r="V4188" s="7">
        <f>IF($C4188="","",R4188*U4188/100)</f>
        <v/>
      </c>
      <c r="W4188" s="7">
        <f>IF($C4188="","",R4188-V4188)</f>
        <v/>
      </c>
      <c r="X4188" s="7">
        <f>IF($C4188="","",W4188-K4188)</f>
        <v/>
      </c>
      <c r="AB4188" s="7" t="n"/>
      <c r="AE4188" s="11" t="n"/>
      <c r="AG4188">
        <f>IF($C4188="","",IF(COUNTIF($C$2:$C4188,$C4188)=1,1,0))</f>
        <v/>
      </c>
      <c r="AH4188">
        <f>IF($AG4188=1,SUMPRODUCT(--($AK$2:$AK$6001&lt;$AK4188))+1,"")</f>
        <v/>
      </c>
      <c r="AI4188">
        <f>IF($C4188="","",IF(OR($N4188=TRUE(),$N4188="TRUE"),1,0))</f>
        <v/>
      </c>
      <c r="AJ4188">
        <f>IF($C4188="","",IF($T4188="Yes",1,0))</f>
        <v/>
      </c>
      <c r="AK4188">
        <f>IF($AG4188=1,IFERROR(IF(VALUE($C4188)&lt;100000000,VALUE($C4188),1000000000),IFERROR(IF(VALUE(MID($C4188,2,20))&lt;100000000,VALUE(MID($C4188,2,20)),1000000000),1000000000))+ROW()/100000,"")</f>
        <v/>
      </c>
    </row>
    <row r="4189">
      <c r="D4189" s="11" t="n"/>
      <c r="K4189" s="7">
        <f>IF($C4189="","",J4189*W4189/100)</f>
        <v/>
      </c>
      <c r="Q4189" s="7" t="n"/>
      <c r="R4189" s="7" t="n"/>
      <c r="U4189">
        <f>IF($C4189="","",IF($AJ4189=1,0,IF($AI4189=1,Settings!$C$6,Settings!$C$7))*100)</f>
        <v/>
      </c>
      <c r="V4189" s="7">
        <f>IF($C4189="","",R4189*U4189/100)</f>
        <v/>
      </c>
      <c r="W4189" s="7">
        <f>IF($C4189="","",R4189-V4189)</f>
        <v/>
      </c>
      <c r="X4189" s="7">
        <f>IF($C4189="","",W4189-K4189)</f>
        <v/>
      </c>
      <c r="AB4189" s="7" t="n"/>
      <c r="AE4189" s="11" t="n"/>
      <c r="AG4189">
        <f>IF($C4189="","",IF(COUNTIF($C$2:$C4189,$C4189)=1,1,0))</f>
        <v/>
      </c>
      <c r="AH4189">
        <f>IF($AG4189=1,SUMPRODUCT(--($AK$2:$AK$6001&lt;$AK4189))+1,"")</f>
        <v/>
      </c>
      <c r="AI4189">
        <f>IF($C4189="","",IF(OR($N4189=TRUE(),$N4189="TRUE"),1,0))</f>
        <v/>
      </c>
      <c r="AJ4189">
        <f>IF($C4189="","",IF($T4189="Yes",1,0))</f>
        <v/>
      </c>
      <c r="AK4189">
        <f>IF($AG4189=1,IFERROR(IF(VALUE($C4189)&lt;100000000,VALUE($C4189),1000000000),IFERROR(IF(VALUE(MID($C4189,2,20))&lt;100000000,VALUE(MID($C4189,2,20)),1000000000),1000000000))+ROW()/100000,"")</f>
        <v/>
      </c>
    </row>
    <row r="4190">
      <c r="D4190" s="11" t="n"/>
      <c r="K4190" s="7">
        <f>IF($C4190="","",J4190*W4190/100)</f>
        <v/>
      </c>
      <c r="Q4190" s="7" t="n"/>
      <c r="R4190" s="7" t="n"/>
      <c r="U4190">
        <f>IF($C4190="","",IF($AJ4190=1,0,IF($AI4190=1,Settings!$C$6,Settings!$C$7))*100)</f>
        <v/>
      </c>
      <c r="V4190" s="7">
        <f>IF($C4190="","",R4190*U4190/100)</f>
        <v/>
      </c>
      <c r="W4190" s="7">
        <f>IF($C4190="","",R4190-V4190)</f>
        <v/>
      </c>
      <c r="X4190" s="7">
        <f>IF($C4190="","",W4190-K4190)</f>
        <v/>
      </c>
      <c r="AB4190" s="7" t="n"/>
      <c r="AE4190" s="11" t="n"/>
      <c r="AG4190">
        <f>IF($C4190="","",IF(COUNTIF($C$2:$C4190,$C4190)=1,1,0))</f>
        <v/>
      </c>
      <c r="AH4190">
        <f>IF($AG4190=1,SUMPRODUCT(--($AK$2:$AK$6001&lt;$AK4190))+1,"")</f>
        <v/>
      </c>
      <c r="AI4190">
        <f>IF($C4190="","",IF(OR($N4190=TRUE(),$N4190="TRUE"),1,0))</f>
        <v/>
      </c>
      <c r="AJ4190">
        <f>IF($C4190="","",IF($T4190="Yes",1,0))</f>
        <v/>
      </c>
      <c r="AK4190">
        <f>IF($AG4190=1,IFERROR(IF(VALUE($C4190)&lt;100000000,VALUE($C4190),1000000000),IFERROR(IF(VALUE(MID($C4190,2,20))&lt;100000000,VALUE(MID($C4190,2,20)),1000000000),1000000000))+ROW()/100000,"")</f>
        <v/>
      </c>
    </row>
    <row r="4191">
      <c r="D4191" s="11" t="n"/>
      <c r="K4191" s="7">
        <f>IF($C4191="","",J4191*W4191/100)</f>
        <v/>
      </c>
      <c r="Q4191" s="7" t="n"/>
      <c r="R4191" s="7" t="n"/>
      <c r="U4191">
        <f>IF($C4191="","",IF($AJ4191=1,0,IF($AI4191=1,Settings!$C$6,Settings!$C$7))*100)</f>
        <v/>
      </c>
      <c r="V4191" s="7">
        <f>IF($C4191="","",R4191*U4191/100)</f>
        <v/>
      </c>
      <c r="W4191" s="7">
        <f>IF($C4191="","",R4191-V4191)</f>
        <v/>
      </c>
      <c r="X4191" s="7">
        <f>IF($C4191="","",W4191-K4191)</f>
        <v/>
      </c>
      <c r="AB4191" s="7" t="n"/>
      <c r="AE4191" s="11" t="n"/>
      <c r="AG4191">
        <f>IF($C4191="","",IF(COUNTIF($C$2:$C4191,$C4191)=1,1,0))</f>
        <v/>
      </c>
      <c r="AH4191">
        <f>IF($AG4191=1,SUMPRODUCT(--($AK$2:$AK$6001&lt;$AK4191))+1,"")</f>
        <v/>
      </c>
      <c r="AI4191">
        <f>IF($C4191="","",IF(OR($N4191=TRUE(),$N4191="TRUE"),1,0))</f>
        <v/>
      </c>
      <c r="AJ4191">
        <f>IF($C4191="","",IF($T4191="Yes",1,0))</f>
        <v/>
      </c>
      <c r="AK4191">
        <f>IF($AG4191=1,IFERROR(IF(VALUE($C4191)&lt;100000000,VALUE($C4191),1000000000),IFERROR(IF(VALUE(MID($C4191,2,20))&lt;100000000,VALUE(MID($C4191,2,20)),1000000000),1000000000))+ROW()/100000,"")</f>
        <v/>
      </c>
    </row>
    <row r="4192">
      <c r="D4192" s="11" t="n"/>
      <c r="K4192" s="7">
        <f>IF($C4192="","",J4192*W4192/100)</f>
        <v/>
      </c>
      <c r="Q4192" s="7" t="n"/>
      <c r="R4192" s="7" t="n"/>
      <c r="U4192">
        <f>IF($C4192="","",IF($AJ4192=1,0,IF($AI4192=1,Settings!$C$6,Settings!$C$7))*100)</f>
        <v/>
      </c>
      <c r="V4192" s="7">
        <f>IF($C4192="","",R4192*U4192/100)</f>
        <v/>
      </c>
      <c r="W4192" s="7">
        <f>IF($C4192="","",R4192-V4192)</f>
        <v/>
      </c>
      <c r="X4192" s="7">
        <f>IF($C4192="","",W4192-K4192)</f>
        <v/>
      </c>
      <c r="AB4192" s="7" t="n"/>
      <c r="AE4192" s="11" t="n"/>
      <c r="AG4192">
        <f>IF($C4192="","",IF(COUNTIF($C$2:$C4192,$C4192)=1,1,0))</f>
        <v/>
      </c>
      <c r="AH4192">
        <f>IF($AG4192=1,SUMPRODUCT(--($AK$2:$AK$6001&lt;$AK4192))+1,"")</f>
        <v/>
      </c>
      <c r="AI4192">
        <f>IF($C4192="","",IF(OR($N4192=TRUE(),$N4192="TRUE"),1,0))</f>
        <v/>
      </c>
      <c r="AJ4192">
        <f>IF($C4192="","",IF($T4192="Yes",1,0))</f>
        <v/>
      </c>
      <c r="AK4192">
        <f>IF($AG4192=1,IFERROR(IF(VALUE($C4192)&lt;100000000,VALUE($C4192),1000000000),IFERROR(IF(VALUE(MID($C4192,2,20))&lt;100000000,VALUE(MID($C4192,2,20)),1000000000),1000000000))+ROW()/100000,"")</f>
        <v/>
      </c>
    </row>
    <row r="4193">
      <c r="D4193" s="11" t="n"/>
      <c r="K4193" s="7">
        <f>IF($C4193="","",J4193*W4193/100)</f>
        <v/>
      </c>
      <c r="Q4193" s="7" t="n"/>
      <c r="R4193" s="7" t="n"/>
      <c r="U4193">
        <f>IF($C4193="","",IF($AJ4193=1,0,IF($AI4193=1,Settings!$C$6,Settings!$C$7))*100)</f>
        <v/>
      </c>
      <c r="V4193" s="7">
        <f>IF($C4193="","",R4193*U4193/100)</f>
        <v/>
      </c>
      <c r="W4193" s="7">
        <f>IF($C4193="","",R4193-V4193)</f>
        <v/>
      </c>
      <c r="X4193" s="7">
        <f>IF($C4193="","",W4193-K4193)</f>
        <v/>
      </c>
      <c r="AB4193" s="7" t="n"/>
      <c r="AE4193" s="11" t="n"/>
      <c r="AG4193">
        <f>IF($C4193="","",IF(COUNTIF($C$2:$C4193,$C4193)=1,1,0))</f>
        <v/>
      </c>
      <c r="AH4193">
        <f>IF($AG4193=1,SUMPRODUCT(--($AK$2:$AK$6001&lt;$AK4193))+1,"")</f>
        <v/>
      </c>
      <c r="AI4193">
        <f>IF($C4193="","",IF(OR($N4193=TRUE(),$N4193="TRUE"),1,0))</f>
        <v/>
      </c>
      <c r="AJ4193">
        <f>IF($C4193="","",IF($T4193="Yes",1,0))</f>
        <v/>
      </c>
      <c r="AK4193">
        <f>IF($AG4193=1,IFERROR(IF(VALUE($C4193)&lt;100000000,VALUE($C4193),1000000000),IFERROR(IF(VALUE(MID($C4193,2,20))&lt;100000000,VALUE(MID($C4193,2,20)),1000000000),1000000000))+ROW()/100000,"")</f>
        <v/>
      </c>
    </row>
    <row r="4194">
      <c r="D4194" s="11" t="n"/>
      <c r="K4194" s="7">
        <f>IF($C4194="","",J4194*W4194/100)</f>
        <v/>
      </c>
      <c r="Q4194" s="7" t="n"/>
      <c r="R4194" s="7" t="n"/>
      <c r="U4194">
        <f>IF($C4194="","",IF($AJ4194=1,0,IF($AI4194=1,Settings!$C$6,Settings!$C$7))*100)</f>
        <v/>
      </c>
      <c r="V4194" s="7">
        <f>IF($C4194="","",R4194*U4194/100)</f>
        <v/>
      </c>
      <c r="W4194" s="7">
        <f>IF($C4194="","",R4194-V4194)</f>
        <v/>
      </c>
      <c r="X4194" s="7">
        <f>IF($C4194="","",W4194-K4194)</f>
        <v/>
      </c>
      <c r="AB4194" s="7" t="n"/>
      <c r="AE4194" s="11" t="n"/>
      <c r="AG4194">
        <f>IF($C4194="","",IF(COUNTIF($C$2:$C4194,$C4194)=1,1,0))</f>
        <v/>
      </c>
      <c r="AH4194">
        <f>IF($AG4194=1,SUMPRODUCT(--($AK$2:$AK$6001&lt;$AK4194))+1,"")</f>
        <v/>
      </c>
      <c r="AI4194">
        <f>IF($C4194="","",IF(OR($N4194=TRUE(),$N4194="TRUE"),1,0))</f>
        <v/>
      </c>
      <c r="AJ4194">
        <f>IF($C4194="","",IF($T4194="Yes",1,0))</f>
        <v/>
      </c>
      <c r="AK4194">
        <f>IF($AG4194=1,IFERROR(IF(VALUE($C4194)&lt;100000000,VALUE($C4194),1000000000),IFERROR(IF(VALUE(MID($C4194,2,20))&lt;100000000,VALUE(MID($C4194,2,20)),1000000000),1000000000))+ROW()/100000,"")</f>
        <v/>
      </c>
    </row>
    <row r="4195">
      <c r="D4195" s="11" t="n"/>
      <c r="K4195" s="7">
        <f>IF($C4195="","",J4195*W4195/100)</f>
        <v/>
      </c>
      <c r="Q4195" s="7" t="n"/>
      <c r="R4195" s="7" t="n"/>
      <c r="U4195">
        <f>IF($C4195="","",IF($AJ4195=1,0,IF($AI4195=1,Settings!$C$6,Settings!$C$7))*100)</f>
        <v/>
      </c>
      <c r="V4195" s="7">
        <f>IF($C4195="","",R4195*U4195/100)</f>
        <v/>
      </c>
      <c r="W4195" s="7">
        <f>IF($C4195="","",R4195-V4195)</f>
        <v/>
      </c>
      <c r="X4195" s="7">
        <f>IF($C4195="","",W4195-K4195)</f>
        <v/>
      </c>
      <c r="AB4195" s="7" t="n"/>
      <c r="AE4195" s="11" t="n"/>
      <c r="AG4195">
        <f>IF($C4195="","",IF(COUNTIF($C$2:$C4195,$C4195)=1,1,0))</f>
        <v/>
      </c>
      <c r="AH4195">
        <f>IF($AG4195=1,SUMPRODUCT(--($AK$2:$AK$6001&lt;$AK4195))+1,"")</f>
        <v/>
      </c>
      <c r="AI4195">
        <f>IF($C4195="","",IF(OR($N4195=TRUE(),$N4195="TRUE"),1,0))</f>
        <v/>
      </c>
      <c r="AJ4195">
        <f>IF($C4195="","",IF($T4195="Yes",1,0))</f>
        <v/>
      </c>
      <c r="AK4195">
        <f>IF($AG4195=1,IFERROR(IF(VALUE($C4195)&lt;100000000,VALUE($C4195),1000000000),IFERROR(IF(VALUE(MID($C4195,2,20))&lt;100000000,VALUE(MID($C4195,2,20)),1000000000),1000000000))+ROW()/100000,"")</f>
        <v/>
      </c>
    </row>
    <row r="4196">
      <c r="D4196" s="11" t="n"/>
      <c r="K4196" s="7">
        <f>IF($C4196="","",J4196*W4196/100)</f>
        <v/>
      </c>
      <c r="Q4196" s="7" t="n"/>
      <c r="R4196" s="7" t="n"/>
      <c r="U4196">
        <f>IF($C4196="","",IF($AJ4196=1,0,IF($AI4196=1,Settings!$C$6,Settings!$C$7))*100)</f>
        <v/>
      </c>
      <c r="V4196" s="7">
        <f>IF($C4196="","",R4196*U4196/100)</f>
        <v/>
      </c>
      <c r="W4196" s="7">
        <f>IF($C4196="","",R4196-V4196)</f>
        <v/>
      </c>
      <c r="X4196" s="7">
        <f>IF($C4196="","",W4196-K4196)</f>
        <v/>
      </c>
      <c r="AB4196" s="7" t="n"/>
      <c r="AE4196" s="11" t="n"/>
      <c r="AG4196">
        <f>IF($C4196="","",IF(COUNTIF($C$2:$C4196,$C4196)=1,1,0))</f>
        <v/>
      </c>
      <c r="AH4196">
        <f>IF($AG4196=1,SUMPRODUCT(--($AK$2:$AK$6001&lt;$AK4196))+1,"")</f>
        <v/>
      </c>
      <c r="AI4196">
        <f>IF($C4196="","",IF(OR($N4196=TRUE(),$N4196="TRUE"),1,0))</f>
        <v/>
      </c>
      <c r="AJ4196">
        <f>IF($C4196="","",IF($T4196="Yes",1,0))</f>
        <v/>
      </c>
      <c r="AK4196">
        <f>IF($AG4196=1,IFERROR(IF(VALUE($C4196)&lt;100000000,VALUE($C4196),1000000000),IFERROR(IF(VALUE(MID($C4196,2,20))&lt;100000000,VALUE(MID($C4196,2,20)),1000000000),1000000000))+ROW()/100000,"")</f>
        <v/>
      </c>
    </row>
    <row r="4197">
      <c r="D4197" s="11" t="n"/>
      <c r="K4197" s="7">
        <f>IF($C4197="","",J4197*W4197/100)</f>
        <v/>
      </c>
      <c r="Q4197" s="7" t="n"/>
      <c r="R4197" s="7" t="n"/>
      <c r="U4197">
        <f>IF($C4197="","",IF($AJ4197=1,0,IF($AI4197=1,Settings!$C$6,Settings!$C$7))*100)</f>
        <v/>
      </c>
      <c r="V4197" s="7">
        <f>IF($C4197="","",R4197*U4197/100)</f>
        <v/>
      </c>
      <c r="W4197" s="7">
        <f>IF($C4197="","",R4197-V4197)</f>
        <v/>
      </c>
      <c r="X4197" s="7">
        <f>IF($C4197="","",W4197-K4197)</f>
        <v/>
      </c>
      <c r="AB4197" s="7" t="n"/>
      <c r="AE4197" s="11" t="n"/>
      <c r="AG4197">
        <f>IF($C4197="","",IF(COUNTIF($C$2:$C4197,$C4197)=1,1,0))</f>
        <v/>
      </c>
      <c r="AH4197">
        <f>IF($AG4197=1,SUMPRODUCT(--($AK$2:$AK$6001&lt;$AK4197))+1,"")</f>
        <v/>
      </c>
      <c r="AI4197">
        <f>IF($C4197="","",IF(OR($N4197=TRUE(),$N4197="TRUE"),1,0))</f>
        <v/>
      </c>
      <c r="AJ4197">
        <f>IF($C4197="","",IF($T4197="Yes",1,0))</f>
        <v/>
      </c>
      <c r="AK4197">
        <f>IF($AG4197=1,IFERROR(IF(VALUE($C4197)&lt;100000000,VALUE($C4197),1000000000),IFERROR(IF(VALUE(MID($C4197,2,20))&lt;100000000,VALUE(MID($C4197,2,20)),1000000000),1000000000))+ROW()/100000,"")</f>
        <v/>
      </c>
    </row>
    <row r="4198">
      <c r="D4198" s="11" t="n"/>
      <c r="K4198" s="7">
        <f>IF($C4198="","",J4198*W4198/100)</f>
        <v/>
      </c>
      <c r="Q4198" s="7" t="n"/>
      <c r="R4198" s="7" t="n"/>
      <c r="U4198">
        <f>IF($C4198="","",IF($AJ4198=1,0,IF($AI4198=1,Settings!$C$6,Settings!$C$7))*100)</f>
        <v/>
      </c>
      <c r="V4198" s="7">
        <f>IF($C4198="","",R4198*U4198/100)</f>
        <v/>
      </c>
      <c r="W4198" s="7">
        <f>IF($C4198="","",R4198-V4198)</f>
        <v/>
      </c>
      <c r="X4198" s="7">
        <f>IF($C4198="","",W4198-K4198)</f>
        <v/>
      </c>
      <c r="AB4198" s="7" t="n"/>
      <c r="AE4198" s="11" t="n"/>
      <c r="AG4198">
        <f>IF($C4198="","",IF(COUNTIF($C$2:$C4198,$C4198)=1,1,0))</f>
        <v/>
      </c>
      <c r="AH4198">
        <f>IF($AG4198=1,SUMPRODUCT(--($AK$2:$AK$6001&lt;$AK4198))+1,"")</f>
        <v/>
      </c>
      <c r="AI4198">
        <f>IF($C4198="","",IF(OR($N4198=TRUE(),$N4198="TRUE"),1,0))</f>
        <v/>
      </c>
      <c r="AJ4198">
        <f>IF($C4198="","",IF($T4198="Yes",1,0))</f>
        <v/>
      </c>
      <c r="AK4198">
        <f>IF($AG4198=1,IFERROR(IF(VALUE($C4198)&lt;100000000,VALUE($C4198),1000000000),IFERROR(IF(VALUE(MID($C4198,2,20))&lt;100000000,VALUE(MID($C4198,2,20)),1000000000),1000000000))+ROW()/100000,"")</f>
        <v/>
      </c>
    </row>
    <row r="4199">
      <c r="D4199" s="11" t="n"/>
      <c r="K4199" s="7">
        <f>IF($C4199="","",J4199*W4199/100)</f>
        <v/>
      </c>
      <c r="Q4199" s="7" t="n"/>
      <c r="R4199" s="7" t="n"/>
      <c r="U4199">
        <f>IF($C4199="","",IF($AJ4199=1,0,IF($AI4199=1,Settings!$C$6,Settings!$C$7))*100)</f>
        <v/>
      </c>
      <c r="V4199" s="7">
        <f>IF($C4199="","",R4199*U4199/100)</f>
        <v/>
      </c>
      <c r="W4199" s="7">
        <f>IF($C4199="","",R4199-V4199)</f>
        <v/>
      </c>
      <c r="X4199" s="7">
        <f>IF($C4199="","",W4199-K4199)</f>
        <v/>
      </c>
      <c r="AB4199" s="7" t="n"/>
      <c r="AE4199" s="11" t="n"/>
      <c r="AG4199">
        <f>IF($C4199="","",IF(COUNTIF($C$2:$C4199,$C4199)=1,1,0))</f>
        <v/>
      </c>
      <c r="AH4199">
        <f>IF($AG4199=1,SUMPRODUCT(--($AK$2:$AK$6001&lt;$AK4199))+1,"")</f>
        <v/>
      </c>
      <c r="AI4199">
        <f>IF($C4199="","",IF(OR($N4199=TRUE(),$N4199="TRUE"),1,0))</f>
        <v/>
      </c>
      <c r="AJ4199">
        <f>IF($C4199="","",IF($T4199="Yes",1,0))</f>
        <v/>
      </c>
      <c r="AK4199">
        <f>IF($AG4199=1,IFERROR(IF(VALUE($C4199)&lt;100000000,VALUE($C4199),1000000000),IFERROR(IF(VALUE(MID($C4199,2,20))&lt;100000000,VALUE(MID($C4199,2,20)),1000000000),1000000000))+ROW()/100000,"")</f>
        <v/>
      </c>
    </row>
    <row r="4200">
      <c r="D4200" s="11" t="n"/>
      <c r="K4200" s="7">
        <f>IF($C4200="","",J4200*W4200/100)</f>
        <v/>
      </c>
      <c r="Q4200" s="7" t="n"/>
      <c r="R4200" s="7" t="n"/>
      <c r="U4200">
        <f>IF($C4200="","",IF($AJ4200=1,0,IF($AI4200=1,Settings!$C$6,Settings!$C$7))*100)</f>
        <v/>
      </c>
      <c r="V4200" s="7">
        <f>IF($C4200="","",R4200*U4200/100)</f>
        <v/>
      </c>
      <c r="W4200" s="7">
        <f>IF($C4200="","",R4200-V4200)</f>
        <v/>
      </c>
      <c r="X4200" s="7">
        <f>IF($C4200="","",W4200-K4200)</f>
        <v/>
      </c>
      <c r="AB4200" s="7" t="n"/>
      <c r="AE4200" s="11" t="n"/>
      <c r="AG4200">
        <f>IF($C4200="","",IF(COUNTIF($C$2:$C4200,$C4200)=1,1,0))</f>
        <v/>
      </c>
      <c r="AH4200">
        <f>IF($AG4200=1,SUMPRODUCT(--($AK$2:$AK$6001&lt;$AK4200))+1,"")</f>
        <v/>
      </c>
      <c r="AI4200">
        <f>IF($C4200="","",IF(OR($N4200=TRUE(),$N4200="TRUE"),1,0))</f>
        <v/>
      </c>
      <c r="AJ4200">
        <f>IF($C4200="","",IF($T4200="Yes",1,0))</f>
        <v/>
      </c>
      <c r="AK4200">
        <f>IF($AG4200=1,IFERROR(IF(VALUE($C4200)&lt;100000000,VALUE($C4200),1000000000),IFERROR(IF(VALUE(MID($C4200,2,20))&lt;100000000,VALUE(MID($C4200,2,20)),1000000000),1000000000))+ROW()/100000,"")</f>
        <v/>
      </c>
    </row>
    <row r="4201">
      <c r="D4201" s="11" t="n"/>
      <c r="K4201" s="7">
        <f>IF($C4201="","",J4201*W4201/100)</f>
        <v/>
      </c>
      <c r="Q4201" s="7" t="n"/>
      <c r="R4201" s="7" t="n"/>
      <c r="U4201">
        <f>IF($C4201="","",IF($AJ4201=1,0,IF($AI4201=1,Settings!$C$6,Settings!$C$7))*100)</f>
        <v/>
      </c>
      <c r="V4201" s="7">
        <f>IF($C4201="","",R4201*U4201/100)</f>
        <v/>
      </c>
      <c r="W4201" s="7">
        <f>IF($C4201="","",R4201-V4201)</f>
        <v/>
      </c>
      <c r="X4201" s="7">
        <f>IF($C4201="","",W4201-K4201)</f>
        <v/>
      </c>
      <c r="AB4201" s="7" t="n"/>
      <c r="AE4201" s="11" t="n"/>
      <c r="AG4201">
        <f>IF($C4201="","",IF(COUNTIF($C$2:$C4201,$C4201)=1,1,0))</f>
        <v/>
      </c>
      <c r="AH4201">
        <f>IF($AG4201=1,SUMPRODUCT(--($AK$2:$AK$6001&lt;$AK4201))+1,"")</f>
        <v/>
      </c>
      <c r="AI4201">
        <f>IF($C4201="","",IF(OR($N4201=TRUE(),$N4201="TRUE"),1,0))</f>
        <v/>
      </c>
      <c r="AJ4201">
        <f>IF($C4201="","",IF($T4201="Yes",1,0))</f>
        <v/>
      </c>
      <c r="AK4201">
        <f>IF($AG4201=1,IFERROR(IF(VALUE($C4201)&lt;100000000,VALUE($C4201),1000000000),IFERROR(IF(VALUE(MID($C4201,2,20))&lt;100000000,VALUE(MID($C4201,2,20)),1000000000),1000000000))+ROW()/100000,"")</f>
        <v/>
      </c>
    </row>
    <row r="4202">
      <c r="D4202" s="11" t="n"/>
      <c r="K4202" s="7">
        <f>IF($C4202="","",J4202*W4202/100)</f>
        <v/>
      </c>
      <c r="Q4202" s="7" t="n"/>
      <c r="R4202" s="7" t="n"/>
      <c r="U4202">
        <f>IF($C4202="","",IF($AJ4202=1,0,IF($AI4202=1,Settings!$C$6,Settings!$C$7))*100)</f>
        <v/>
      </c>
      <c r="V4202" s="7">
        <f>IF($C4202="","",R4202*U4202/100)</f>
        <v/>
      </c>
      <c r="W4202" s="7">
        <f>IF($C4202="","",R4202-V4202)</f>
        <v/>
      </c>
      <c r="X4202" s="7">
        <f>IF($C4202="","",W4202-K4202)</f>
        <v/>
      </c>
      <c r="AB4202" s="7" t="n"/>
      <c r="AE4202" s="11" t="n"/>
      <c r="AG4202">
        <f>IF($C4202="","",IF(COUNTIF($C$2:$C4202,$C4202)=1,1,0))</f>
        <v/>
      </c>
      <c r="AH4202">
        <f>IF($AG4202=1,SUMPRODUCT(--($AK$2:$AK$6001&lt;$AK4202))+1,"")</f>
        <v/>
      </c>
      <c r="AI4202">
        <f>IF($C4202="","",IF(OR($N4202=TRUE(),$N4202="TRUE"),1,0))</f>
        <v/>
      </c>
      <c r="AJ4202">
        <f>IF($C4202="","",IF($T4202="Yes",1,0))</f>
        <v/>
      </c>
      <c r="AK4202">
        <f>IF($AG4202=1,IFERROR(IF(VALUE($C4202)&lt;100000000,VALUE($C4202),1000000000),IFERROR(IF(VALUE(MID($C4202,2,20))&lt;100000000,VALUE(MID($C4202,2,20)),1000000000),1000000000))+ROW()/100000,"")</f>
        <v/>
      </c>
    </row>
    <row r="4203">
      <c r="D4203" s="11" t="n"/>
      <c r="K4203" s="7">
        <f>IF($C4203="","",J4203*W4203/100)</f>
        <v/>
      </c>
      <c r="Q4203" s="7" t="n"/>
      <c r="R4203" s="7" t="n"/>
      <c r="U4203">
        <f>IF($C4203="","",IF($AJ4203=1,0,IF($AI4203=1,Settings!$C$6,Settings!$C$7))*100)</f>
        <v/>
      </c>
      <c r="V4203" s="7">
        <f>IF($C4203="","",R4203*U4203/100)</f>
        <v/>
      </c>
      <c r="W4203" s="7">
        <f>IF($C4203="","",R4203-V4203)</f>
        <v/>
      </c>
      <c r="X4203" s="7">
        <f>IF($C4203="","",W4203-K4203)</f>
        <v/>
      </c>
      <c r="AB4203" s="7" t="n"/>
      <c r="AE4203" s="11" t="n"/>
      <c r="AG4203">
        <f>IF($C4203="","",IF(COUNTIF($C$2:$C4203,$C4203)=1,1,0))</f>
        <v/>
      </c>
      <c r="AH4203">
        <f>IF($AG4203=1,SUMPRODUCT(--($AK$2:$AK$6001&lt;$AK4203))+1,"")</f>
        <v/>
      </c>
      <c r="AI4203">
        <f>IF($C4203="","",IF(OR($N4203=TRUE(),$N4203="TRUE"),1,0))</f>
        <v/>
      </c>
      <c r="AJ4203">
        <f>IF($C4203="","",IF($T4203="Yes",1,0))</f>
        <v/>
      </c>
      <c r="AK4203">
        <f>IF($AG4203=1,IFERROR(IF(VALUE($C4203)&lt;100000000,VALUE($C4203),1000000000),IFERROR(IF(VALUE(MID($C4203,2,20))&lt;100000000,VALUE(MID($C4203,2,20)),1000000000),1000000000))+ROW()/100000,"")</f>
        <v/>
      </c>
    </row>
    <row r="4204">
      <c r="D4204" s="11" t="n"/>
      <c r="K4204" s="7">
        <f>IF($C4204="","",J4204*W4204/100)</f>
        <v/>
      </c>
      <c r="Q4204" s="7" t="n"/>
      <c r="R4204" s="7" t="n"/>
      <c r="U4204">
        <f>IF($C4204="","",IF($AJ4204=1,0,IF($AI4204=1,Settings!$C$6,Settings!$C$7))*100)</f>
        <v/>
      </c>
      <c r="V4204" s="7">
        <f>IF($C4204="","",R4204*U4204/100)</f>
        <v/>
      </c>
      <c r="W4204" s="7">
        <f>IF($C4204="","",R4204-V4204)</f>
        <v/>
      </c>
      <c r="X4204" s="7">
        <f>IF($C4204="","",W4204-K4204)</f>
        <v/>
      </c>
      <c r="AB4204" s="7" t="n"/>
      <c r="AE4204" s="11" t="n"/>
      <c r="AG4204">
        <f>IF($C4204="","",IF(COUNTIF($C$2:$C4204,$C4204)=1,1,0))</f>
        <v/>
      </c>
      <c r="AH4204">
        <f>IF($AG4204=1,SUMPRODUCT(--($AK$2:$AK$6001&lt;$AK4204))+1,"")</f>
        <v/>
      </c>
      <c r="AI4204">
        <f>IF($C4204="","",IF(OR($N4204=TRUE(),$N4204="TRUE"),1,0))</f>
        <v/>
      </c>
      <c r="AJ4204">
        <f>IF($C4204="","",IF($T4204="Yes",1,0))</f>
        <v/>
      </c>
      <c r="AK4204">
        <f>IF($AG4204=1,IFERROR(IF(VALUE($C4204)&lt;100000000,VALUE($C4204),1000000000),IFERROR(IF(VALUE(MID($C4204,2,20))&lt;100000000,VALUE(MID($C4204,2,20)),1000000000),1000000000))+ROW()/100000,"")</f>
        <v/>
      </c>
    </row>
    <row r="4205">
      <c r="D4205" s="11" t="n"/>
      <c r="K4205" s="7">
        <f>IF($C4205="","",J4205*W4205/100)</f>
        <v/>
      </c>
      <c r="Q4205" s="7" t="n"/>
      <c r="R4205" s="7" t="n"/>
      <c r="U4205">
        <f>IF($C4205="","",IF($AJ4205=1,0,IF($AI4205=1,Settings!$C$6,Settings!$C$7))*100)</f>
        <v/>
      </c>
      <c r="V4205" s="7">
        <f>IF($C4205="","",R4205*U4205/100)</f>
        <v/>
      </c>
      <c r="W4205" s="7">
        <f>IF($C4205="","",R4205-V4205)</f>
        <v/>
      </c>
      <c r="X4205" s="7">
        <f>IF($C4205="","",W4205-K4205)</f>
        <v/>
      </c>
      <c r="AB4205" s="7" t="n"/>
      <c r="AE4205" s="11" t="n"/>
      <c r="AG4205">
        <f>IF($C4205="","",IF(COUNTIF($C$2:$C4205,$C4205)=1,1,0))</f>
        <v/>
      </c>
      <c r="AH4205">
        <f>IF($AG4205=1,SUMPRODUCT(--($AK$2:$AK$6001&lt;$AK4205))+1,"")</f>
        <v/>
      </c>
      <c r="AI4205">
        <f>IF($C4205="","",IF(OR($N4205=TRUE(),$N4205="TRUE"),1,0))</f>
        <v/>
      </c>
      <c r="AJ4205">
        <f>IF($C4205="","",IF($T4205="Yes",1,0))</f>
        <v/>
      </c>
      <c r="AK4205">
        <f>IF($AG4205=1,IFERROR(IF(VALUE($C4205)&lt;100000000,VALUE($C4205),1000000000),IFERROR(IF(VALUE(MID($C4205,2,20))&lt;100000000,VALUE(MID($C4205,2,20)),1000000000),1000000000))+ROW()/100000,"")</f>
        <v/>
      </c>
    </row>
    <row r="4206">
      <c r="D4206" s="11" t="n"/>
      <c r="K4206" s="7">
        <f>IF($C4206="","",J4206*W4206/100)</f>
        <v/>
      </c>
      <c r="Q4206" s="7" t="n"/>
      <c r="R4206" s="7" t="n"/>
      <c r="U4206">
        <f>IF($C4206="","",IF($AJ4206=1,0,IF($AI4206=1,Settings!$C$6,Settings!$C$7))*100)</f>
        <v/>
      </c>
      <c r="V4206" s="7">
        <f>IF($C4206="","",R4206*U4206/100)</f>
        <v/>
      </c>
      <c r="W4206" s="7">
        <f>IF($C4206="","",R4206-V4206)</f>
        <v/>
      </c>
      <c r="X4206" s="7">
        <f>IF($C4206="","",W4206-K4206)</f>
        <v/>
      </c>
      <c r="AB4206" s="7" t="n"/>
      <c r="AE4206" s="11" t="n"/>
      <c r="AG4206">
        <f>IF($C4206="","",IF(COUNTIF($C$2:$C4206,$C4206)=1,1,0))</f>
        <v/>
      </c>
      <c r="AH4206">
        <f>IF($AG4206=1,SUMPRODUCT(--($AK$2:$AK$6001&lt;$AK4206))+1,"")</f>
        <v/>
      </c>
      <c r="AI4206">
        <f>IF($C4206="","",IF(OR($N4206=TRUE(),$N4206="TRUE"),1,0))</f>
        <v/>
      </c>
      <c r="AJ4206">
        <f>IF($C4206="","",IF($T4206="Yes",1,0))</f>
        <v/>
      </c>
      <c r="AK4206">
        <f>IF($AG4206=1,IFERROR(IF(VALUE($C4206)&lt;100000000,VALUE($C4206),1000000000),IFERROR(IF(VALUE(MID($C4206,2,20))&lt;100000000,VALUE(MID($C4206,2,20)),1000000000),1000000000))+ROW()/100000,"")</f>
        <v/>
      </c>
    </row>
    <row r="4207">
      <c r="D4207" s="11" t="n"/>
      <c r="K4207" s="7">
        <f>IF($C4207="","",J4207*W4207/100)</f>
        <v/>
      </c>
      <c r="Q4207" s="7" t="n"/>
      <c r="R4207" s="7" t="n"/>
      <c r="U4207">
        <f>IF($C4207="","",IF($AJ4207=1,0,IF($AI4207=1,Settings!$C$6,Settings!$C$7))*100)</f>
        <v/>
      </c>
      <c r="V4207" s="7">
        <f>IF($C4207="","",R4207*U4207/100)</f>
        <v/>
      </c>
      <c r="W4207" s="7">
        <f>IF($C4207="","",R4207-V4207)</f>
        <v/>
      </c>
      <c r="X4207" s="7">
        <f>IF($C4207="","",W4207-K4207)</f>
        <v/>
      </c>
      <c r="AB4207" s="7" t="n"/>
      <c r="AE4207" s="11" t="n"/>
      <c r="AG4207">
        <f>IF($C4207="","",IF(COUNTIF($C$2:$C4207,$C4207)=1,1,0))</f>
        <v/>
      </c>
      <c r="AH4207">
        <f>IF($AG4207=1,SUMPRODUCT(--($AK$2:$AK$6001&lt;$AK4207))+1,"")</f>
        <v/>
      </c>
      <c r="AI4207">
        <f>IF($C4207="","",IF(OR($N4207=TRUE(),$N4207="TRUE"),1,0))</f>
        <v/>
      </c>
      <c r="AJ4207">
        <f>IF($C4207="","",IF($T4207="Yes",1,0))</f>
        <v/>
      </c>
      <c r="AK4207">
        <f>IF($AG4207=1,IFERROR(IF(VALUE($C4207)&lt;100000000,VALUE($C4207),1000000000),IFERROR(IF(VALUE(MID($C4207,2,20))&lt;100000000,VALUE(MID($C4207,2,20)),1000000000),1000000000))+ROW()/100000,"")</f>
        <v/>
      </c>
    </row>
    <row r="4208">
      <c r="D4208" s="11" t="n"/>
      <c r="K4208" s="7">
        <f>IF($C4208="","",J4208*W4208/100)</f>
        <v/>
      </c>
      <c r="Q4208" s="7" t="n"/>
      <c r="R4208" s="7" t="n"/>
      <c r="U4208">
        <f>IF($C4208="","",IF($AJ4208=1,0,IF($AI4208=1,Settings!$C$6,Settings!$C$7))*100)</f>
        <v/>
      </c>
      <c r="V4208" s="7">
        <f>IF($C4208="","",R4208*U4208/100)</f>
        <v/>
      </c>
      <c r="W4208" s="7">
        <f>IF($C4208="","",R4208-V4208)</f>
        <v/>
      </c>
      <c r="X4208" s="7">
        <f>IF($C4208="","",W4208-K4208)</f>
        <v/>
      </c>
      <c r="AB4208" s="7" t="n"/>
      <c r="AE4208" s="11" t="n"/>
      <c r="AG4208">
        <f>IF($C4208="","",IF(COUNTIF($C$2:$C4208,$C4208)=1,1,0))</f>
        <v/>
      </c>
      <c r="AH4208">
        <f>IF($AG4208=1,SUMPRODUCT(--($AK$2:$AK$6001&lt;$AK4208))+1,"")</f>
        <v/>
      </c>
      <c r="AI4208">
        <f>IF($C4208="","",IF(OR($N4208=TRUE(),$N4208="TRUE"),1,0))</f>
        <v/>
      </c>
      <c r="AJ4208">
        <f>IF($C4208="","",IF($T4208="Yes",1,0))</f>
        <v/>
      </c>
      <c r="AK4208">
        <f>IF($AG4208=1,IFERROR(IF(VALUE($C4208)&lt;100000000,VALUE($C4208),1000000000),IFERROR(IF(VALUE(MID($C4208,2,20))&lt;100000000,VALUE(MID($C4208,2,20)),1000000000),1000000000))+ROW()/100000,"")</f>
        <v/>
      </c>
    </row>
    <row r="4209">
      <c r="D4209" s="11" t="n"/>
      <c r="K4209" s="7">
        <f>IF($C4209="","",J4209*W4209/100)</f>
        <v/>
      </c>
      <c r="Q4209" s="7" t="n"/>
      <c r="R4209" s="7" t="n"/>
      <c r="U4209">
        <f>IF($C4209="","",IF($AJ4209=1,0,IF($AI4209=1,Settings!$C$6,Settings!$C$7))*100)</f>
        <v/>
      </c>
      <c r="V4209" s="7">
        <f>IF($C4209="","",R4209*U4209/100)</f>
        <v/>
      </c>
      <c r="W4209" s="7">
        <f>IF($C4209="","",R4209-V4209)</f>
        <v/>
      </c>
      <c r="X4209" s="7">
        <f>IF($C4209="","",W4209-K4209)</f>
        <v/>
      </c>
      <c r="AB4209" s="7" t="n"/>
      <c r="AE4209" s="11" t="n"/>
      <c r="AG4209">
        <f>IF($C4209="","",IF(COUNTIF($C$2:$C4209,$C4209)=1,1,0))</f>
        <v/>
      </c>
      <c r="AH4209">
        <f>IF($AG4209=1,SUMPRODUCT(--($AK$2:$AK$6001&lt;$AK4209))+1,"")</f>
        <v/>
      </c>
      <c r="AI4209">
        <f>IF($C4209="","",IF(OR($N4209=TRUE(),$N4209="TRUE"),1,0))</f>
        <v/>
      </c>
      <c r="AJ4209">
        <f>IF($C4209="","",IF($T4209="Yes",1,0))</f>
        <v/>
      </c>
      <c r="AK4209">
        <f>IF($AG4209=1,IFERROR(IF(VALUE($C4209)&lt;100000000,VALUE($C4209),1000000000),IFERROR(IF(VALUE(MID($C4209,2,20))&lt;100000000,VALUE(MID($C4209,2,20)),1000000000),1000000000))+ROW()/100000,"")</f>
        <v/>
      </c>
    </row>
    <row r="4210">
      <c r="D4210" s="11" t="n"/>
      <c r="K4210" s="7">
        <f>IF($C4210="","",J4210*W4210/100)</f>
        <v/>
      </c>
      <c r="Q4210" s="7" t="n"/>
      <c r="R4210" s="7" t="n"/>
      <c r="U4210">
        <f>IF($C4210="","",IF($AJ4210=1,0,IF($AI4210=1,Settings!$C$6,Settings!$C$7))*100)</f>
        <v/>
      </c>
      <c r="V4210" s="7">
        <f>IF($C4210="","",R4210*U4210/100)</f>
        <v/>
      </c>
      <c r="W4210" s="7">
        <f>IF($C4210="","",R4210-V4210)</f>
        <v/>
      </c>
      <c r="X4210" s="7">
        <f>IF($C4210="","",W4210-K4210)</f>
        <v/>
      </c>
      <c r="AB4210" s="7" t="n"/>
      <c r="AE4210" s="11" t="n"/>
      <c r="AG4210">
        <f>IF($C4210="","",IF(COUNTIF($C$2:$C4210,$C4210)=1,1,0))</f>
        <v/>
      </c>
      <c r="AH4210">
        <f>IF($AG4210=1,SUMPRODUCT(--($AK$2:$AK$6001&lt;$AK4210))+1,"")</f>
        <v/>
      </c>
      <c r="AI4210">
        <f>IF($C4210="","",IF(OR($N4210=TRUE(),$N4210="TRUE"),1,0))</f>
        <v/>
      </c>
      <c r="AJ4210">
        <f>IF($C4210="","",IF($T4210="Yes",1,0))</f>
        <v/>
      </c>
      <c r="AK4210">
        <f>IF($AG4210=1,IFERROR(IF(VALUE($C4210)&lt;100000000,VALUE($C4210),1000000000),IFERROR(IF(VALUE(MID($C4210,2,20))&lt;100000000,VALUE(MID($C4210,2,20)),1000000000),1000000000))+ROW()/100000,"")</f>
        <v/>
      </c>
    </row>
    <row r="4211">
      <c r="D4211" s="11" t="n"/>
      <c r="K4211" s="7">
        <f>IF($C4211="","",J4211*W4211/100)</f>
        <v/>
      </c>
      <c r="Q4211" s="7" t="n"/>
      <c r="R4211" s="7" t="n"/>
      <c r="U4211">
        <f>IF($C4211="","",IF($AJ4211=1,0,IF($AI4211=1,Settings!$C$6,Settings!$C$7))*100)</f>
        <v/>
      </c>
      <c r="V4211" s="7">
        <f>IF($C4211="","",R4211*U4211/100)</f>
        <v/>
      </c>
      <c r="W4211" s="7">
        <f>IF($C4211="","",R4211-V4211)</f>
        <v/>
      </c>
      <c r="X4211" s="7">
        <f>IF($C4211="","",W4211-K4211)</f>
        <v/>
      </c>
      <c r="AB4211" s="7" t="n"/>
      <c r="AE4211" s="11" t="n"/>
      <c r="AG4211">
        <f>IF($C4211="","",IF(COUNTIF($C$2:$C4211,$C4211)=1,1,0))</f>
        <v/>
      </c>
      <c r="AH4211">
        <f>IF($AG4211=1,SUMPRODUCT(--($AK$2:$AK$6001&lt;$AK4211))+1,"")</f>
        <v/>
      </c>
      <c r="AI4211">
        <f>IF($C4211="","",IF(OR($N4211=TRUE(),$N4211="TRUE"),1,0))</f>
        <v/>
      </c>
      <c r="AJ4211">
        <f>IF($C4211="","",IF($T4211="Yes",1,0))</f>
        <v/>
      </c>
      <c r="AK4211">
        <f>IF($AG4211=1,IFERROR(IF(VALUE($C4211)&lt;100000000,VALUE($C4211),1000000000),IFERROR(IF(VALUE(MID($C4211,2,20))&lt;100000000,VALUE(MID($C4211,2,20)),1000000000),1000000000))+ROW()/100000,"")</f>
        <v/>
      </c>
    </row>
    <row r="4212">
      <c r="D4212" s="11" t="n"/>
      <c r="K4212" s="7">
        <f>IF($C4212="","",J4212*W4212/100)</f>
        <v/>
      </c>
      <c r="Q4212" s="7" t="n"/>
      <c r="R4212" s="7" t="n"/>
      <c r="U4212">
        <f>IF($C4212="","",IF($AJ4212=1,0,IF($AI4212=1,Settings!$C$6,Settings!$C$7))*100)</f>
        <v/>
      </c>
      <c r="V4212" s="7">
        <f>IF($C4212="","",R4212*U4212/100)</f>
        <v/>
      </c>
      <c r="W4212" s="7">
        <f>IF($C4212="","",R4212-V4212)</f>
        <v/>
      </c>
      <c r="X4212" s="7">
        <f>IF($C4212="","",W4212-K4212)</f>
        <v/>
      </c>
      <c r="AB4212" s="7" t="n"/>
      <c r="AE4212" s="11" t="n"/>
      <c r="AG4212">
        <f>IF($C4212="","",IF(COUNTIF($C$2:$C4212,$C4212)=1,1,0))</f>
        <v/>
      </c>
      <c r="AH4212">
        <f>IF($AG4212=1,SUMPRODUCT(--($AK$2:$AK$6001&lt;$AK4212))+1,"")</f>
        <v/>
      </c>
      <c r="AI4212">
        <f>IF($C4212="","",IF(OR($N4212=TRUE(),$N4212="TRUE"),1,0))</f>
        <v/>
      </c>
      <c r="AJ4212">
        <f>IF($C4212="","",IF($T4212="Yes",1,0))</f>
        <v/>
      </c>
      <c r="AK4212">
        <f>IF($AG4212=1,IFERROR(IF(VALUE($C4212)&lt;100000000,VALUE($C4212),1000000000),IFERROR(IF(VALUE(MID($C4212,2,20))&lt;100000000,VALUE(MID($C4212,2,20)),1000000000),1000000000))+ROW()/100000,"")</f>
        <v/>
      </c>
    </row>
    <row r="4213">
      <c r="D4213" s="11" t="n"/>
      <c r="K4213" s="7">
        <f>IF($C4213="","",J4213*W4213/100)</f>
        <v/>
      </c>
      <c r="Q4213" s="7" t="n"/>
      <c r="R4213" s="7" t="n"/>
      <c r="U4213">
        <f>IF($C4213="","",IF($AJ4213=1,0,IF($AI4213=1,Settings!$C$6,Settings!$C$7))*100)</f>
        <v/>
      </c>
      <c r="V4213" s="7">
        <f>IF($C4213="","",R4213*U4213/100)</f>
        <v/>
      </c>
      <c r="W4213" s="7">
        <f>IF($C4213="","",R4213-V4213)</f>
        <v/>
      </c>
      <c r="X4213" s="7">
        <f>IF($C4213="","",W4213-K4213)</f>
        <v/>
      </c>
      <c r="AB4213" s="7" t="n"/>
      <c r="AE4213" s="11" t="n"/>
      <c r="AG4213">
        <f>IF($C4213="","",IF(COUNTIF($C$2:$C4213,$C4213)=1,1,0))</f>
        <v/>
      </c>
      <c r="AH4213">
        <f>IF($AG4213=1,SUMPRODUCT(--($AK$2:$AK$6001&lt;$AK4213))+1,"")</f>
        <v/>
      </c>
      <c r="AI4213">
        <f>IF($C4213="","",IF(OR($N4213=TRUE(),$N4213="TRUE"),1,0))</f>
        <v/>
      </c>
      <c r="AJ4213">
        <f>IF($C4213="","",IF($T4213="Yes",1,0))</f>
        <v/>
      </c>
      <c r="AK4213">
        <f>IF($AG4213=1,IFERROR(IF(VALUE($C4213)&lt;100000000,VALUE($C4213),1000000000),IFERROR(IF(VALUE(MID($C4213,2,20))&lt;100000000,VALUE(MID($C4213,2,20)),1000000000),1000000000))+ROW()/100000,"")</f>
        <v/>
      </c>
    </row>
    <row r="4214">
      <c r="D4214" s="11" t="n"/>
      <c r="K4214" s="7">
        <f>IF($C4214="","",J4214*W4214/100)</f>
        <v/>
      </c>
      <c r="Q4214" s="7" t="n"/>
      <c r="R4214" s="7" t="n"/>
      <c r="U4214">
        <f>IF($C4214="","",IF($AJ4214=1,0,IF($AI4214=1,Settings!$C$6,Settings!$C$7))*100)</f>
        <v/>
      </c>
      <c r="V4214" s="7">
        <f>IF($C4214="","",R4214*U4214/100)</f>
        <v/>
      </c>
      <c r="W4214" s="7">
        <f>IF($C4214="","",R4214-V4214)</f>
        <v/>
      </c>
      <c r="X4214" s="7">
        <f>IF($C4214="","",W4214-K4214)</f>
        <v/>
      </c>
      <c r="AB4214" s="7" t="n"/>
      <c r="AE4214" s="11" t="n"/>
      <c r="AG4214">
        <f>IF($C4214="","",IF(COUNTIF($C$2:$C4214,$C4214)=1,1,0))</f>
        <v/>
      </c>
      <c r="AH4214">
        <f>IF($AG4214=1,SUMPRODUCT(--($AK$2:$AK$6001&lt;$AK4214))+1,"")</f>
        <v/>
      </c>
      <c r="AI4214">
        <f>IF($C4214="","",IF(OR($N4214=TRUE(),$N4214="TRUE"),1,0))</f>
        <v/>
      </c>
      <c r="AJ4214">
        <f>IF($C4214="","",IF($T4214="Yes",1,0))</f>
        <v/>
      </c>
      <c r="AK4214">
        <f>IF($AG4214=1,IFERROR(IF(VALUE($C4214)&lt;100000000,VALUE($C4214),1000000000),IFERROR(IF(VALUE(MID($C4214,2,20))&lt;100000000,VALUE(MID($C4214,2,20)),1000000000),1000000000))+ROW()/100000,"")</f>
        <v/>
      </c>
    </row>
    <row r="4215">
      <c r="D4215" s="11" t="n"/>
      <c r="K4215" s="7">
        <f>IF($C4215="","",J4215*W4215/100)</f>
        <v/>
      </c>
      <c r="Q4215" s="7" t="n"/>
      <c r="R4215" s="7" t="n"/>
      <c r="U4215">
        <f>IF($C4215="","",IF($AJ4215=1,0,IF($AI4215=1,Settings!$C$6,Settings!$C$7))*100)</f>
        <v/>
      </c>
      <c r="V4215" s="7">
        <f>IF($C4215="","",R4215*U4215/100)</f>
        <v/>
      </c>
      <c r="W4215" s="7">
        <f>IF($C4215="","",R4215-V4215)</f>
        <v/>
      </c>
      <c r="X4215" s="7">
        <f>IF($C4215="","",W4215-K4215)</f>
        <v/>
      </c>
      <c r="AB4215" s="7" t="n"/>
      <c r="AE4215" s="11" t="n"/>
      <c r="AG4215">
        <f>IF($C4215="","",IF(COUNTIF($C$2:$C4215,$C4215)=1,1,0))</f>
        <v/>
      </c>
      <c r="AH4215">
        <f>IF($AG4215=1,SUMPRODUCT(--($AK$2:$AK$6001&lt;$AK4215))+1,"")</f>
        <v/>
      </c>
      <c r="AI4215">
        <f>IF($C4215="","",IF(OR($N4215=TRUE(),$N4215="TRUE"),1,0))</f>
        <v/>
      </c>
      <c r="AJ4215">
        <f>IF($C4215="","",IF($T4215="Yes",1,0))</f>
        <v/>
      </c>
      <c r="AK4215">
        <f>IF($AG4215=1,IFERROR(IF(VALUE($C4215)&lt;100000000,VALUE($C4215),1000000000),IFERROR(IF(VALUE(MID($C4215,2,20))&lt;100000000,VALUE(MID($C4215,2,20)),1000000000),1000000000))+ROW()/100000,"")</f>
        <v/>
      </c>
    </row>
    <row r="4216">
      <c r="D4216" s="11" t="n"/>
      <c r="K4216" s="7">
        <f>IF($C4216="","",J4216*W4216/100)</f>
        <v/>
      </c>
      <c r="Q4216" s="7" t="n"/>
      <c r="R4216" s="7" t="n"/>
      <c r="U4216">
        <f>IF($C4216="","",IF($AJ4216=1,0,IF($AI4216=1,Settings!$C$6,Settings!$C$7))*100)</f>
        <v/>
      </c>
      <c r="V4216" s="7">
        <f>IF($C4216="","",R4216*U4216/100)</f>
        <v/>
      </c>
      <c r="W4216" s="7">
        <f>IF($C4216="","",R4216-V4216)</f>
        <v/>
      </c>
      <c r="X4216" s="7">
        <f>IF($C4216="","",W4216-K4216)</f>
        <v/>
      </c>
      <c r="AB4216" s="7" t="n"/>
      <c r="AE4216" s="11" t="n"/>
      <c r="AG4216">
        <f>IF($C4216="","",IF(COUNTIF($C$2:$C4216,$C4216)=1,1,0))</f>
        <v/>
      </c>
      <c r="AH4216">
        <f>IF($AG4216=1,SUMPRODUCT(--($AK$2:$AK$6001&lt;$AK4216))+1,"")</f>
        <v/>
      </c>
      <c r="AI4216">
        <f>IF($C4216="","",IF(OR($N4216=TRUE(),$N4216="TRUE"),1,0))</f>
        <v/>
      </c>
      <c r="AJ4216">
        <f>IF($C4216="","",IF($T4216="Yes",1,0))</f>
        <v/>
      </c>
      <c r="AK4216">
        <f>IF($AG4216=1,IFERROR(IF(VALUE($C4216)&lt;100000000,VALUE($C4216),1000000000),IFERROR(IF(VALUE(MID($C4216,2,20))&lt;100000000,VALUE(MID($C4216,2,20)),1000000000),1000000000))+ROW()/100000,"")</f>
        <v/>
      </c>
    </row>
    <row r="4217">
      <c r="D4217" s="11" t="n"/>
      <c r="K4217" s="7">
        <f>IF($C4217="","",J4217*W4217/100)</f>
        <v/>
      </c>
      <c r="Q4217" s="7" t="n"/>
      <c r="R4217" s="7" t="n"/>
      <c r="U4217">
        <f>IF($C4217="","",IF($AJ4217=1,0,IF($AI4217=1,Settings!$C$6,Settings!$C$7))*100)</f>
        <v/>
      </c>
      <c r="V4217" s="7">
        <f>IF($C4217="","",R4217*U4217/100)</f>
        <v/>
      </c>
      <c r="W4217" s="7">
        <f>IF($C4217="","",R4217-V4217)</f>
        <v/>
      </c>
      <c r="X4217" s="7">
        <f>IF($C4217="","",W4217-K4217)</f>
        <v/>
      </c>
      <c r="AB4217" s="7" t="n"/>
      <c r="AE4217" s="11" t="n"/>
      <c r="AG4217">
        <f>IF($C4217="","",IF(COUNTIF($C$2:$C4217,$C4217)=1,1,0))</f>
        <v/>
      </c>
      <c r="AH4217">
        <f>IF($AG4217=1,SUMPRODUCT(--($AK$2:$AK$6001&lt;$AK4217))+1,"")</f>
        <v/>
      </c>
      <c r="AI4217">
        <f>IF($C4217="","",IF(OR($N4217=TRUE(),$N4217="TRUE"),1,0))</f>
        <v/>
      </c>
      <c r="AJ4217">
        <f>IF($C4217="","",IF($T4217="Yes",1,0))</f>
        <v/>
      </c>
      <c r="AK4217">
        <f>IF($AG4217=1,IFERROR(IF(VALUE($C4217)&lt;100000000,VALUE($C4217),1000000000),IFERROR(IF(VALUE(MID($C4217,2,20))&lt;100000000,VALUE(MID($C4217,2,20)),1000000000),1000000000))+ROW()/100000,"")</f>
        <v/>
      </c>
    </row>
    <row r="4218">
      <c r="D4218" s="11" t="n"/>
      <c r="K4218" s="7">
        <f>IF($C4218="","",J4218*W4218/100)</f>
        <v/>
      </c>
      <c r="Q4218" s="7" t="n"/>
      <c r="R4218" s="7" t="n"/>
      <c r="U4218">
        <f>IF($C4218="","",IF($AJ4218=1,0,IF($AI4218=1,Settings!$C$6,Settings!$C$7))*100)</f>
        <v/>
      </c>
      <c r="V4218" s="7">
        <f>IF($C4218="","",R4218*U4218/100)</f>
        <v/>
      </c>
      <c r="W4218" s="7">
        <f>IF($C4218="","",R4218-V4218)</f>
        <v/>
      </c>
      <c r="X4218" s="7">
        <f>IF($C4218="","",W4218-K4218)</f>
        <v/>
      </c>
      <c r="AB4218" s="7" t="n"/>
      <c r="AE4218" s="11" t="n"/>
      <c r="AG4218">
        <f>IF($C4218="","",IF(COUNTIF($C$2:$C4218,$C4218)=1,1,0))</f>
        <v/>
      </c>
      <c r="AH4218">
        <f>IF($AG4218=1,SUMPRODUCT(--($AK$2:$AK$6001&lt;$AK4218))+1,"")</f>
        <v/>
      </c>
      <c r="AI4218">
        <f>IF($C4218="","",IF(OR($N4218=TRUE(),$N4218="TRUE"),1,0))</f>
        <v/>
      </c>
      <c r="AJ4218">
        <f>IF($C4218="","",IF($T4218="Yes",1,0))</f>
        <v/>
      </c>
      <c r="AK4218">
        <f>IF($AG4218=1,IFERROR(IF(VALUE($C4218)&lt;100000000,VALUE($C4218),1000000000),IFERROR(IF(VALUE(MID($C4218,2,20))&lt;100000000,VALUE(MID($C4218,2,20)),1000000000),1000000000))+ROW()/100000,"")</f>
        <v/>
      </c>
    </row>
    <row r="4219">
      <c r="D4219" s="11" t="n"/>
      <c r="K4219" s="7">
        <f>IF($C4219="","",J4219*W4219/100)</f>
        <v/>
      </c>
      <c r="Q4219" s="7" t="n"/>
      <c r="R4219" s="7" t="n"/>
      <c r="U4219">
        <f>IF($C4219="","",IF($AJ4219=1,0,IF($AI4219=1,Settings!$C$6,Settings!$C$7))*100)</f>
        <v/>
      </c>
      <c r="V4219" s="7">
        <f>IF($C4219="","",R4219*U4219/100)</f>
        <v/>
      </c>
      <c r="W4219" s="7">
        <f>IF($C4219="","",R4219-V4219)</f>
        <v/>
      </c>
      <c r="X4219" s="7">
        <f>IF($C4219="","",W4219-K4219)</f>
        <v/>
      </c>
      <c r="AB4219" s="7" t="n"/>
      <c r="AE4219" s="11" t="n"/>
      <c r="AG4219">
        <f>IF($C4219="","",IF(COUNTIF($C$2:$C4219,$C4219)=1,1,0))</f>
        <v/>
      </c>
      <c r="AH4219">
        <f>IF($AG4219=1,SUMPRODUCT(--($AK$2:$AK$6001&lt;$AK4219))+1,"")</f>
        <v/>
      </c>
      <c r="AI4219">
        <f>IF($C4219="","",IF(OR($N4219=TRUE(),$N4219="TRUE"),1,0))</f>
        <v/>
      </c>
      <c r="AJ4219">
        <f>IF($C4219="","",IF($T4219="Yes",1,0))</f>
        <v/>
      </c>
      <c r="AK4219">
        <f>IF($AG4219=1,IFERROR(IF(VALUE($C4219)&lt;100000000,VALUE($C4219),1000000000),IFERROR(IF(VALUE(MID($C4219,2,20))&lt;100000000,VALUE(MID($C4219,2,20)),1000000000),1000000000))+ROW()/100000,"")</f>
        <v/>
      </c>
    </row>
    <row r="4220">
      <c r="D4220" s="11" t="n"/>
      <c r="K4220" s="7">
        <f>IF($C4220="","",J4220*W4220/100)</f>
        <v/>
      </c>
      <c r="Q4220" s="7" t="n"/>
      <c r="R4220" s="7" t="n"/>
      <c r="U4220">
        <f>IF($C4220="","",IF($AJ4220=1,0,IF($AI4220=1,Settings!$C$6,Settings!$C$7))*100)</f>
        <v/>
      </c>
      <c r="V4220" s="7">
        <f>IF($C4220="","",R4220*U4220/100)</f>
        <v/>
      </c>
      <c r="W4220" s="7">
        <f>IF($C4220="","",R4220-V4220)</f>
        <v/>
      </c>
      <c r="X4220" s="7">
        <f>IF($C4220="","",W4220-K4220)</f>
        <v/>
      </c>
      <c r="AB4220" s="7" t="n"/>
      <c r="AE4220" s="11" t="n"/>
      <c r="AG4220">
        <f>IF($C4220="","",IF(COUNTIF($C$2:$C4220,$C4220)=1,1,0))</f>
        <v/>
      </c>
      <c r="AH4220">
        <f>IF($AG4220=1,SUMPRODUCT(--($AK$2:$AK$6001&lt;$AK4220))+1,"")</f>
        <v/>
      </c>
      <c r="AI4220">
        <f>IF($C4220="","",IF(OR($N4220=TRUE(),$N4220="TRUE"),1,0))</f>
        <v/>
      </c>
      <c r="AJ4220">
        <f>IF($C4220="","",IF($T4220="Yes",1,0))</f>
        <v/>
      </c>
      <c r="AK4220">
        <f>IF($AG4220=1,IFERROR(IF(VALUE($C4220)&lt;100000000,VALUE($C4220),1000000000),IFERROR(IF(VALUE(MID($C4220,2,20))&lt;100000000,VALUE(MID($C4220,2,20)),1000000000),1000000000))+ROW()/100000,"")</f>
        <v/>
      </c>
    </row>
    <row r="4221">
      <c r="D4221" s="11" t="n"/>
      <c r="K4221" s="7">
        <f>IF($C4221="","",J4221*W4221/100)</f>
        <v/>
      </c>
      <c r="Q4221" s="7" t="n"/>
      <c r="R4221" s="7" t="n"/>
      <c r="U4221">
        <f>IF($C4221="","",IF($AJ4221=1,0,IF($AI4221=1,Settings!$C$6,Settings!$C$7))*100)</f>
        <v/>
      </c>
      <c r="V4221" s="7">
        <f>IF($C4221="","",R4221*U4221/100)</f>
        <v/>
      </c>
      <c r="W4221" s="7">
        <f>IF($C4221="","",R4221-V4221)</f>
        <v/>
      </c>
      <c r="X4221" s="7">
        <f>IF($C4221="","",W4221-K4221)</f>
        <v/>
      </c>
      <c r="AB4221" s="7" t="n"/>
      <c r="AE4221" s="11" t="n"/>
      <c r="AG4221">
        <f>IF($C4221="","",IF(COUNTIF($C$2:$C4221,$C4221)=1,1,0))</f>
        <v/>
      </c>
      <c r="AH4221">
        <f>IF($AG4221=1,SUMPRODUCT(--($AK$2:$AK$6001&lt;$AK4221))+1,"")</f>
        <v/>
      </c>
      <c r="AI4221">
        <f>IF($C4221="","",IF(OR($N4221=TRUE(),$N4221="TRUE"),1,0))</f>
        <v/>
      </c>
      <c r="AJ4221">
        <f>IF($C4221="","",IF($T4221="Yes",1,0))</f>
        <v/>
      </c>
      <c r="AK4221">
        <f>IF($AG4221=1,IFERROR(IF(VALUE($C4221)&lt;100000000,VALUE($C4221),1000000000),IFERROR(IF(VALUE(MID($C4221,2,20))&lt;100000000,VALUE(MID($C4221,2,20)),1000000000),1000000000))+ROW()/100000,"")</f>
        <v/>
      </c>
    </row>
    <row r="4222">
      <c r="D4222" s="11" t="n"/>
      <c r="K4222" s="7">
        <f>IF($C4222="","",J4222*W4222/100)</f>
        <v/>
      </c>
      <c r="Q4222" s="7" t="n"/>
      <c r="R4222" s="7" t="n"/>
      <c r="U4222">
        <f>IF($C4222="","",IF($AJ4222=1,0,IF($AI4222=1,Settings!$C$6,Settings!$C$7))*100)</f>
        <v/>
      </c>
      <c r="V4222" s="7">
        <f>IF($C4222="","",R4222*U4222/100)</f>
        <v/>
      </c>
      <c r="W4222" s="7">
        <f>IF($C4222="","",R4222-V4222)</f>
        <v/>
      </c>
      <c r="X4222" s="7">
        <f>IF($C4222="","",W4222-K4222)</f>
        <v/>
      </c>
      <c r="AB4222" s="7" t="n"/>
      <c r="AE4222" s="11" t="n"/>
      <c r="AG4222">
        <f>IF($C4222="","",IF(COUNTIF($C$2:$C4222,$C4222)=1,1,0))</f>
        <v/>
      </c>
      <c r="AH4222">
        <f>IF($AG4222=1,SUMPRODUCT(--($AK$2:$AK$6001&lt;$AK4222))+1,"")</f>
        <v/>
      </c>
      <c r="AI4222">
        <f>IF($C4222="","",IF(OR($N4222=TRUE(),$N4222="TRUE"),1,0))</f>
        <v/>
      </c>
      <c r="AJ4222">
        <f>IF($C4222="","",IF($T4222="Yes",1,0))</f>
        <v/>
      </c>
      <c r="AK4222">
        <f>IF($AG4222=1,IFERROR(IF(VALUE($C4222)&lt;100000000,VALUE($C4222),1000000000),IFERROR(IF(VALUE(MID($C4222,2,20))&lt;100000000,VALUE(MID($C4222,2,20)),1000000000),1000000000))+ROW()/100000,"")</f>
        <v/>
      </c>
    </row>
    <row r="4223">
      <c r="D4223" s="11" t="n"/>
      <c r="K4223" s="7">
        <f>IF($C4223="","",J4223*W4223/100)</f>
        <v/>
      </c>
      <c r="Q4223" s="7" t="n"/>
      <c r="R4223" s="7" t="n"/>
      <c r="U4223">
        <f>IF($C4223="","",IF($AJ4223=1,0,IF($AI4223=1,Settings!$C$6,Settings!$C$7))*100)</f>
        <v/>
      </c>
      <c r="V4223" s="7">
        <f>IF($C4223="","",R4223*U4223/100)</f>
        <v/>
      </c>
      <c r="W4223" s="7">
        <f>IF($C4223="","",R4223-V4223)</f>
        <v/>
      </c>
      <c r="X4223" s="7">
        <f>IF($C4223="","",W4223-K4223)</f>
        <v/>
      </c>
      <c r="AB4223" s="7" t="n"/>
      <c r="AE4223" s="11" t="n"/>
      <c r="AG4223">
        <f>IF($C4223="","",IF(COUNTIF($C$2:$C4223,$C4223)=1,1,0))</f>
        <v/>
      </c>
      <c r="AH4223">
        <f>IF($AG4223=1,SUMPRODUCT(--($AK$2:$AK$6001&lt;$AK4223))+1,"")</f>
        <v/>
      </c>
      <c r="AI4223">
        <f>IF($C4223="","",IF(OR($N4223=TRUE(),$N4223="TRUE"),1,0))</f>
        <v/>
      </c>
      <c r="AJ4223">
        <f>IF($C4223="","",IF($T4223="Yes",1,0))</f>
        <v/>
      </c>
      <c r="AK4223">
        <f>IF($AG4223=1,IFERROR(IF(VALUE($C4223)&lt;100000000,VALUE($C4223),1000000000),IFERROR(IF(VALUE(MID($C4223,2,20))&lt;100000000,VALUE(MID($C4223,2,20)),1000000000),1000000000))+ROW()/100000,"")</f>
        <v/>
      </c>
    </row>
    <row r="4224">
      <c r="D4224" s="11" t="n"/>
      <c r="K4224" s="7">
        <f>IF($C4224="","",J4224*W4224/100)</f>
        <v/>
      </c>
      <c r="Q4224" s="7" t="n"/>
      <c r="R4224" s="7" t="n"/>
      <c r="U4224">
        <f>IF($C4224="","",IF($AJ4224=1,0,IF($AI4224=1,Settings!$C$6,Settings!$C$7))*100)</f>
        <v/>
      </c>
      <c r="V4224" s="7">
        <f>IF($C4224="","",R4224*U4224/100)</f>
        <v/>
      </c>
      <c r="W4224" s="7">
        <f>IF($C4224="","",R4224-V4224)</f>
        <v/>
      </c>
      <c r="X4224" s="7">
        <f>IF($C4224="","",W4224-K4224)</f>
        <v/>
      </c>
      <c r="AB4224" s="7" t="n"/>
      <c r="AE4224" s="11" t="n"/>
      <c r="AG4224">
        <f>IF($C4224="","",IF(COUNTIF($C$2:$C4224,$C4224)=1,1,0))</f>
        <v/>
      </c>
      <c r="AH4224">
        <f>IF($AG4224=1,SUMPRODUCT(--($AK$2:$AK$6001&lt;$AK4224))+1,"")</f>
        <v/>
      </c>
      <c r="AI4224">
        <f>IF($C4224="","",IF(OR($N4224=TRUE(),$N4224="TRUE"),1,0))</f>
        <v/>
      </c>
      <c r="AJ4224">
        <f>IF($C4224="","",IF($T4224="Yes",1,0))</f>
        <v/>
      </c>
      <c r="AK4224">
        <f>IF($AG4224=1,IFERROR(IF(VALUE($C4224)&lt;100000000,VALUE($C4224),1000000000),IFERROR(IF(VALUE(MID($C4224,2,20))&lt;100000000,VALUE(MID($C4224,2,20)),1000000000),1000000000))+ROW()/100000,"")</f>
        <v/>
      </c>
    </row>
    <row r="4225">
      <c r="D4225" s="11" t="n"/>
      <c r="K4225" s="7">
        <f>IF($C4225="","",J4225*W4225/100)</f>
        <v/>
      </c>
      <c r="Q4225" s="7" t="n"/>
      <c r="R4225" s="7" t="n"/>
      <c r="U4225">
        <f>IF($C4225="","",IF($AJ4225=1,0,IF($AI4225=1,Settings!$C$6,Settings!$C$7))*100)</f>
        <v/>
      </c>
      <c r="V4225" s="7">
        <f>IF($C4225="","",R4225*U4225/100)</f>
        <v/>
      </c>
      <c r="W4225" s="7">
        <f>IF($C4225="","",R4225-V4225)</f>
        <v/>
      </c>
      <c r="X4225" s="7">
        <f>IF($C4225="","",W4225-K4225)</f>
        <v/>
      </c>
      <c r="AB4225" s="7" t="n"/>
      <c r="AE4225" s="11" t="n"/>
      <c r="AG4225">
        <f>IF($C4225="","",IF(COUNTIF($C$2:$C4225,$C4225)=1,1,0))</f>
        <v/>
      </c>
      <c r="AH4225">
        <f>IF($AG4225=1,SUMPRODUCT(--($AK$2:$AK$6001&lt;$AK4225))+1,"")</f>
        <v/>
      </c>
      <c r="AI4225">
        <f>IF($C4225="","",IF(OR($N4225=TRUE(),$N4225="TRUE"),1,0))</f>
        <v/>
      </c>
      <c r="AJ4225">
        <f>IF($C4225="","",IF($T4225="Yes",1,0))</f>
        <v/>
      </c>
      <c r="AK4225">
        <f>IF($AG4225=1,IFERROR(IF(VALUE($C4225)&lt;100000000,VALUE($C4225),1000000000),IFERROR(IF(VALUE(MID($C4225,2,20))&lt;100000000,VALUE(MID($C4225,2,20)),1000000000),1000000000))+ROW()/100000,"")</f>
        <v/>
      </c>
    </row>
    <row r="4226">
      <c r="D4226" s="11" t="n"/>
      <c r="K4226" s="7">
        <f>IF($C4226="","",J4226*W4226/100)</f>
        <v/>
      </c>
      <c r="Q4226" s="7" t="n"/>
      <c r="R4226" s="7" t="n"/>
      <c r="U4226">
        <f>IF($C4226="","",IF($AJ4226=1,0,IF($AI4226=1,Settings!$C$6,Settings!$C$7))*100)</f>
        <v/>
      </c>
      <c r="V4226" s="7">
        <f>IF($C4226="","",R4226*U4226/100)</f>
        <v/>
      </c>
      <c r="W4226" s="7">
        <f>IF($C4226="","",R4226-V4226)</f>
        <v/>
      </c>
      <c r="X4226" s="7">
        <f>IF($C4226="","",W4226-K4226)</f>
        <v/>
      </c>
      <c r="AB4226" s="7" t="n"/>
      <c r="AE4226" s="11" t="n"/>
      <c r="AG4226">
        <f>IF($C4226="","",IF(COUNTIF($C$2:$C4226,$C4226)=1,1,0))</f>
        <v/>
      </c>
      <c r="AH4226">
        <f>IF($AG4226=1,SUMPRODUCT(--($AK$2:$AK$6001&lt;$AK4226))+1,"")</f>
        <v/>
      </c>
      <c r="AI4226">
        <f>IF($C4226="","",IF(OR($N4226=TRUE(),$N4226="TRUE"),1,0))</f>
        <v/>
      </c>
      <c r="AJ4226">
        <f>IF($C4226="","",IF($T4226="Yes",1,0))</f>
        <v/>
      </c>
      <c r="AK4226">
        <f>IF($AG4226=1,IFERROR(IF(VALUE($C4226)&lt;100000000,VALUE($C4226),1000000000),IFERROR(IF(VALUE(MID($C4226,2,20))&lt;100000000,VALUE(MID($C4226,2,20)),1000000000),1000000000))+ROW()/100000,"")</f>
        <v/>
      </c>
    </row>
    <row r="4227">
      <c r="D4227" s="11" t="n"/>
      <c r="K4227" s="7">
        <f>IF($C4227="","",J4227*W4227/100)</f>
        <v/>
      </c>
      <c r="Q4227" s="7" t="n"/>
      <c r="R4227" s="7" t="n"/>
      <c r="U4227">
        <f>IF($C4227="","",IF($AJ4227=1,0,IF($AI4227=1,Settings!$C$6,Settings!$C$7))*100)</f>
        <v/>
      </c>
      <c r="V4227" s="7">
        <f>IF($C4227="","",R4227*U4227/100)</f>
        <v/>
      </c>
      <c r="W4227" s="7">
        <f>IF($C4227="","",R4227-V4227)</f>
        <v/>
      </c>
      <c r="X4227" s="7">
        <f>IF($C4227="","",W4227-K4227)</f>
        <v/>
      </c>
      <c r="AB4227" s="7" t="n"/>
      <c r="AE4227" s="11" t="n"/>
      <c r="AG4227">
        <f>IF($C4227="","",IF(COUNTIF($C$2:$C4227,$C4227)=1,1,0))</f>
        <v/>
      </c>
      <c r="AH4227">
        <f>IF($AG4227=1,SUMPRODUCT(--($AK$2:$AK$6001&lt;$AK4227))+1,"")</f>
        <v/>
      </c>
      <c r="AI4227">
        <f>IF($C4227="","",IF(OR($N4227=TRUE(),$N4227="TRUE"),1,0))</f>
        <v/>
      </c>
      <c r="AJ4227">
        <f>IF($C4227="","",IF($T4227="Yes",1,0))</f>
        <v/>
      </c>
      <c r="AK4227">
        <f>IF($AG4227=1,IFERROR(IF(VALUE($C4227)&lt;100000000,VALUE($C4227),1000000000),IFERROR(IF(VALUE(MID($C4227,2,20))&lt;100000000,VALUE(MID($C4227,2,20)),1000000000),1000000000))+ROW()/100000,"")</f>
        <v/>
      </c>
    </row>
    <row r="4228">
      <c r="D4228" s="11" t="n"/>
      <c r="K4228" s="7">
        <f>IF($C4228="","",J4228*W4228/100)</f>
        <v/>
      </c>
      <c r="Q4228" s="7" t="n"/>
      <c r="R4228" s="7" t="n"/>
      <c r="U4228">
        <f>IF($C4228="","",IF($AJ4228=1,0,IF($AI4228=1,Settings!$C$6,Settings!$C$7))*100)</f>
        <v/>
      </c>
      <c r="V4228" s="7">
        <f>IF($C4228="","",R4228*U4228/100)</f>
        <v/>
      </c>
      <c r="W4228" s="7">
        <f>IF($C4228="","",R4228-V4228)</f>
        <v/>
      </c>
      <c r="X4228" s="7">
        <f>IF($C4228="","",W4228-K4228)</f>
        <v/>
      </c>
      <c r="AB4228" s="7" t="n"/>
      <c r="AE4228" s="11" t="n"/>
      <c r="AG4228">
        <f>IF($C4228="","",IF(COUNTIF($C$2:$C4228,$C4228)=1,1,0))</f>
        <v/>
      </c>
      <c r="AH4228">
        <f>IF($AG4228=1,SUMPRODUCT(--($AK$2:$AK$6001&lt;$AK4228))+1,"")</f>
        <v/>
      </c>
      <c r="AI4228">
        <f>IF($C4228="","",IF(OR($N4228=TRUE(),$N4228="TRUE"),1,0))</f>
        <v/>
      </c>
      <c r="AJ4228">
        <f>IF($C4228="","",IF($T4228="Yes",1,0))</f>
        <v/>
      </c>
      <c r="AK4228">
        <f>IF($AG4228=1,IFERROR(IF(VALUE($C4228)&lt;100000000,VALUE($C4228),1000000000),IFERROR(IF(VALUE(MID($C4228,2,20))&lt;100000000,VALUE(MID($C4228,2,20)),1000000000),1000000000))+ROW()/100000,"")</f>
        <v/>
      </c>
    </row>
    <row r="4229">
      <c r="D4229" s="11" t="n"/>
      <c r="K4229" s="7">
        <f>IF($C4229="","",J4229*W4229/100)</f>
        <v/>
      </c>
      <c r="Q4229" s="7" t="n"/>
      <c r="R4229" s="7" t="n"/>
      <c r="U4229">
        <f>IF($C4229="","",IF($AJ4229=1,0,IF($AI4229=1,Settings!$C$6,Settings!$C$7))*100)</f>
        <v/>
      </c>
      <c r="V4229" s="7">
        <f>IF($C4229="","",R4229*U4229/100)</f>
        <v/>
      </c>
      <c r="W4229" s="7">
        <f>IF($C4229="","",R4229-V4229)</f>
        <v/>
      </c>
      <c r="X4229" s="7">
        <f>IF($C4229="","",W4229-K4229)</f>
        <v/>
      </c>
      <c r="AB4229" s="7" t="n"/>
      <c r="AE4229" s="11" t="n"/>
      <c r="AG4229">
        <f>IF($C4229="","",IF(COUNTIF($C$2:$C4229,$C4229)=1,1,0))</f>
        <v/>
      </c>
      <c r="AH4229">
        <f>IF($AG4229=1,SUMPRODUCT(--($AK$2:$AK$6001&lt;$AK4229))+1,"")</f>
        <v/>
      </c>
      <c r="AI4229">
        <f>IF($C4229="","",IF(OR($N4229=TRUE(),$N4229="TRUE"),1,0))</f>
        <v/>
      </c>
      <c r="AJ4229">
        <f>IF($C4229="","",IF($T4229="Yes",1,0))</f>
        <v/>
      </c>
      <c r="AK4229">
        <f>IF($AG4229=1,IFERROR(IF(VALUE($C4229)&lt;100000000,VALUE($C4229),1000000000),IFERROR(IF(VALUE(MID($C4229,2,20))&lt;100000000,VALUE(MID($C4229,2,20)),1000000000),1000000000))+ROW()/100000,"")</f>
        <v/>
      </c>
    </row>
    <row r="4230">
      <c r="D4230" s="11" t="n"/>
      <c r="K4230" s="7">
        <f>IF($C4230="","",J4230*W4230/100)</f>
        <v/>
      </c>
      <c r="Q4230" s="7" t="n"/>
      <c r="R4230" s="7" t="n"/>
      <c r="U4230">
        <f>IF($C4230="","",IF($AJ4230=1,0,IF($AI4230=1,Settings!$C$6,Settings!$C$7))*100)</f>
        <v/>
      </c>
      <c r="V4230" s="7">
        <f>IF($C4230="","",R4230*U4230/100)</f>
        <v/>
      </c>
      <c r="W4230" s="7">
        <f>IF($C4230="","",R4230-V4230)</f>
        <v/>
      </c>
      <c r="X4230" s="7">
        <f>IF($C4230="","",W4230-K4230)</f>
        <v/>
      </c>
      <c r="AB4230" s="7" t="n"/>
      <c r="AE4230" s="11" t="n"/>
      <c r="AG4230">
        <f>IF($C4230="","",IF(COUNTIF($C$2:$C4230,$C4230)=1,1,0))</f>
        <v/>
      </c>
      <c r="AH4230">
        <f>IF($AG4230=1,SUMPRODUCT(--($AK$2:$AK$6001&lt;$AK4230))+1,"")</f>
        <v/>
      </c>
      <c r="AI4230">
        <f>IF($C4230="","",IF(OR($N4230=TRUE(),$N4230="TRUE"),1,0))</f>
        <v/>
      </c>
      <c r="AJ4230">
        <f>IF($C4230="","",IF($T4230="Yes",1,0))</f>
        <v/>
      </c>
      <c r="AK4230">
        <f>IF($AG4230=1,IFERROR(IF(VALUE($C4230)&lt;100000000,VALUE($C4230),1000000000),IFERROR(IF(VALUE(MID($C4230,2,20))&lt;100000000,VALUE(MID($C4230,2,20)),1000000000),1000000000))+ROW()/100000,"")</f>
        <v/>
      </c>
    </row>
    <row r="4231">
      <c r="D4231" s="11" t="n"/>
      <c r="K4231" s="7">
        <f>IF($C4231="","",J4231*W4231/100)</f>
        <v/>
      </c>
      <c r="Q4231" s="7" t="n"/>
      <c r="R4231" s="7" t="n"/>
      <c r="U4231">
        <f>IF($C4231="","",IF($AJ4231=1,0,IF($AI4231=1,Settings!$C$6,Settings!$C$7))*100)</f>
        <v/>
      </c>
      <c r="V4231" s="7">
        <f>IF($C4231="","",R4231*U4231/100)</f>
        <v/>
      </c>
      <c r="W4231" s="7">
        <f>IF($C4231="","",R4231-V4231)</f>
        <v/>
      </c>
      <c r="X4231" s="7">
        <f>IF($C4231="","",W4231-K4231)</f>
        <v/>
      </c>
      <c r="AB4231" s="7" t="n"/>
      <c r="AE4231" s="11" t="n"/>
      <c r="AG4231">
        <f>IF($C4231="","",IF(COUNTIF($C$2:$C4231,$C4231)=1,1,0))</f>
        <v/>
      </c>
      <c r="AH4231">
        <f>IF($AG4231=1,SUMPRODUCT(--($AK$2:$AK$6001&lt;$AK4231))+1,"")</f>
        <v/>
      </c>
      <c r="AI4231">
        <f>IF($C4231="","",IF(OR($N4231=TRUE(),$N4231="TRUE"),1,0))</f>
        <v/>
      </c>
      <c r="AJ4231">
        <f>IF($C4231="","",IF($T4231="Yes",1,0))</f>
        <v/>
      </c>
      <c r="AK4231">
        <f>IF($AG4231=1,IFERROR(IF(VALUE($C4231)&lt;100000000,VALUE($C4231),1000000000),IFERROR(IF(VALUE(MID($C4231,2,20))&lt;100000000,VALUE(MID($C4231,2,20)),1000000000),1000000000))+ROW()/100000,"")</f>
        <v/>
      </c>
    </row>
    <row r="4232">
      <c r="D4232" s="11" t="n"/>
      <c r="K4232" s="7">
        <f>IF($C4232="","",J4232*W4232/100)</f>
        <v/>
      </c>
      <c r="Q4232" s="7" t="n"/>
      <c r="R4232" s="7" t="n"/>
      <c r="U4232">
        <f>IF($C4232="","",IF($AJ4232=1,0,IF($AI4232=1,Settings!$C$6,Settings!$C$7))*100)</f>
        <v/>
      </c>
      <c r="V4232" s="7">
        <f>IF($C4232="","",R4232*U4232/100)</f>
        <v/>
      </c>
      <c r="W4232" s="7">
        <f>IF($C4232="","",R4232-V4232)</f>
        <v/>
      </c>
      <c r="X4232" s="7">
        <f>IF($C4232="","",W4232-K4232)</f>
        <v/>
      </c>
      <c r="AB4232" s="7" t="n"/>
      <c r="AE4232" s="11" t="n"/>
      <c r="AG4232">
        <f>IF($C4232="","",IF(COUNTIF($C$2:$C4232,$C4232)=1,1,0))</f>
        <v/>
      </c>
      <c r="AH4232">
        <f>IF($AG4232=1,SUMPRODUCT(--($AK$2:$AK$6001&lt;$AK4232))+1,"")</f>
        <v/>
      </c>
      <c r="AI4232">
        <f>IF($C4232="","",IF(OR($N4232=TRUE(),$N4232="TRUE"),1,0))</f>
        <v/>
      </c>
      <c r="AJ4232">
        <f>IF($C4232="","",IF($T4232="Yes",1,0))</f>
        <v/>
      </c>
      <c r="AK4232">
        <f>IF($AG4232=1,IFERROR(IF(VALUE($C4232)&lt;100000000,VALUE($C4232),1000000000),IFERROR(IF(VALUE(MID($C4232,2,20))&lt;100000000,VALUE(MID($C4232,2,20)),1000000000),1000000000))+ROW()/100000,"")</f>
        <v/>
      </c>
    </row>
    <row r="4233">
      <c r="D4233" s="11" t="n"/>
      <c r="K4233" s="7">
        <f>IF($C4233="","",J4233*W4233/100)</f>
        <v/>
      </c>
      <c r="Q4233" s="7" t="n"/>
      <c r="R4233" s="7" t="n"/>
      <c r="U4233">
        <f>IF($C4233="","",IF($AJ4233=1,0,IF($AI4233=1,Settings!$C$6,Settings!$C$7))*100)</f>
        <v/>
      </c>
      <c r="V4233" s="7">
        <f>IF($C4233="","",R4233*U4233/100)</f>
        <v/>
      </c>
      <c r="W4233" s="7">
        <f>IF($C4233="","",R4233-V4233)</f>
        <v/>
      </c>
      <c r="X4233" s="7">
        <f>IF($C4233="","",W4233-K4233)</f>
        <v/>
      </c>
      <c r="AB4233" s="7" t="n"/>
      <c r="AE4233" s="11" t="n"/>
      <c r="AG4233">
        <f>IF($C4233="","",IF(COUNTIF($C$2:$C4233,$C4233)=1,1,0))</f>
        <v/>
      </c>
      <c r="AH4233">
        <f>IF($AG4233=1,SUMPRODUCT(--($AK$2:$AK$6001&lt;$AK4233))+1,"")</f>
        <v/>
      </c>
      <c r="AI4233">
        <f>IF($C4233="","",IF(OR($N4233=TRUE(),$N4233="TRUE"),1,0))</f>
        <v/>
      </c>
      <c r="AJ4233">
        <f>IF($C4233="","",IF($T4233="Yes",1,0))</f>
        <v/>
      </c>
      <c r="AK4233">
        <f>IF($AG4233=1,IFERROR(IF(VALUE($C4233)&lt;100000000,VALUE($C4233),1000000000),IFERROR(IF(VALUE(MID($C4233,2,20))&lt;100000000,VALUE(MID($C4233,2,20)),1000000000),1000000000))+ROW()/100000,"")</f>
        <v/>
      </c>
    </row>
    <row r="4234">
      <c r="D4234" s="11" t="n"/>
      <c r="K4234" s="7">
        <f>IF($C4234="","",J4234*W4234/100)</f>
        <v/>
      </c>
      <c r="Q4234" s="7" t="n"/>
      <c r="R4234" s="7" t="n"/>
      <c r="U4234">
        <f>IF($C4234="","",IF($AJ4234=1,0,IF($AI4234=1,Settings!$C$6,Settings!$C$7))*100)</f>
        <v/>
      </c>
      <c r="V4234" s="7">
        <f>IF($C4234="","",R4234*U4234/100)</f>
        <v/>
      </c>
      <c r="W4234" s="7">
        <f>IF($C4234="","",R4234-V4234)</f>
        <v/>
      </c>
      <c r="X4234" s="7">
        <f>IF($C4234="","",W4234-K4234)</f>
        <v/>
      </c>
      <c r="AB4234" s="7" t="n"/>
      <c r="AE4234" s="11" t="n"/>
      <c r="AG4234">
        <f>IF($C4234="","",IF(COUNTIF($C$2:$C4234,$C4234)=1,1,0))</f>
        <v/>
      </c>
      <c r="AH4234">
        <f>IF($AG4234=1,SUMPRODUCT(--($AK$2:$AK$6001&lt;$AK4234))+1,"")</f>
        <v/>
      </c>
      <c r="AI4234">
        <f>IF($C4234="","",IF(OR($N4234=TRUE(),$N4234="TRUE"),1,0))</f>
        <v/>
      </c>
      <c r="AJ4234">
        <f>IF($C4234="","",IF($T4234="Yes",1,0))</f>
        <v/>
      </c>
      <c r="AK4234">
        <f>IF($AG4234=1,IFERROR(IF(VALUE($C4234)&lt;100000000,VALUE($C4234),1000000000),IFERROR(IF(VALUE(MID($C4234,2,20))&lt;100000000,VALUE(MID($C4234,2,20)),1000000000),1000000000))+ROW()/100000,"")</f>
        <v/>
      </c>
    </row>
    <row r="4235">
      <c r="D4235" s="11" t="n"/>
      <c r="K4235" s="7">
        <f>IF($C4235="","",J4235*W4235/100)</f>
        <v/>
      </c>
      <c r="Q4235" s="7" t="n"/>
      <c r="R4235" s="7" t="n"/>
      <c r="U4235">
        <f>IF($C4235="","",IF($AJ4235=1,0,IF($AI4235=1,Settings!$C$6,Settings!$C$7))*100)</f>
        <v/>
      </c>
      <c r="V4235" s="7">
        <f>IF($C4235="","",R4235*U4235/100)</f>
        <v/>
      </c>
      <c r="W4235" s="7">
        <f>IF($C4235="","",R4235-V4235)</f>
        <v/>
      </c>
      <c r="X4235" s="7">
        <f>IF($C4235="","",W4235-K4235)</f>
        <v/>
      </c>
      <c r="AB4235" s="7" t="n"/>
      <c r="AE4235" s="11" t="n"/>
      <c r="AG4235">
        <f>IF($C4235="","",IF(COUNTIF($C$2:$C4235,$C4235)=1,1,0))</f>
        <v/>
      </c>
      <c r="AH4235">
        <f>IF($AG4235=1,SUMPRODUCT(--($AK$2:$AK$6001&lt;$AK4235))+1,"")</f>
        <v/>
      </c>
      <c r="AI4235">
        <f>IF($C4235="","",IF(OR($N4235=TRUE(),$N4235="TRUE"),1,0))</f>
        <v/>
      </c>
      <c r="AJ4235">
        <f>IF($C4235="","",IF($T4235="Yes",1,0))</f>
        <v/>
      </c>
      <c r="AK4235">
        <f>IF($AG4235=1,IFERROR(IF(VALUE($C4235)&lt;100000000,VALUE($C4235),1000000000),IFERROR(IF(VALUE(MID($C4235,2,20))&lt;100000000,VALUE(MID($C4235,2,20)),1000000000),1000000000))+ROW()/100000,"")</f>
        <v/>
      </c>
    </row>
    <row r="4236">
      <c r="D4236" s="11" t="n"/>
      <c r="K4236" s="7">
        <f>IF($C4236="","",J4236*W4236/100)</f>
        <v/>
      </c>
      <c r="Q4236" s="7" t="n"/>
      <c r="R4236" s="7" t="n"/>
      <c r="U4236">
        <f>IF($C4236="","",IF($AJ4236=1,0,IF($AI4236=1,Settings!$C$6,Settings!$C$7))*100)</f>
        <v/>
      </c>
      <c r="V4236" s="7">
        <f>IF($C4236="","",R4236*U4236/100)</f>
        <v/>
      </c>
      <c r="W4236" s="7">
        <f>IF($C4236="","",R4236-V4236)</f>
        <v/>
      </c>
      <c r="X4236" s="7">
        <f>IF($C4236="","",W4236-K4236)</f>
        <v/>
      </c>
      <c r="AB4236" s="7" t="n"/>
      <c r="AE4236" s="11" t="n"/>
      <c r="AG4236">
        <f>IF($C4236="","",IF(COUNTIF($C$2:$C4236,$C4236)=1,1,0))</f>
        <v/>
      </c>
      <c r="AH4236">
        <f>IF($AG4236=1,SUMPRODUCT(--($AK$2:$AK$6001&lt;$AK4236))+1,"")</f>
        <v/>
      </c>
      <c r="AI4236">
        <f>IF($C4236="","",IF(OR($N4236=TRUE(),$N4236="TRUE"),1,0))</f>
        <v/>
      </c>
      <c r="AJ4236">
        <f>IF($C4236="","",IF($T4236="Yes",1,0))</f>
        <v/>
      </c>
      <c r="AK4236">
        <f>IF($AG4236=1,IFERROR(IF(VALUE($C4236)&lt;100000000,VALUE($C4236),1000000000),IFERROR(IF(VALUE(MID($C4236,2,20))&lt;100000000,VALUE(MID($C4236,2,20)),1000000000),1000000000))+ROW()/100000,"")</f>
        <v/>
      </c>
    </row>
    <row r="4237">
      <c r="D4237" s="11" t="n"/>
      <c r="K4237" s="7">
        <f>IF($C4237="","",J4237*W4237/100)</f>
        <v/>
      </c>
      <c r="Q4237" s="7" t="n"/>
      <c r="R4237" s="7" t="n"/>
      <c r="U4237">
        <f>IF($C4237="","",IF($AJ4237=1,0,IF($AI4237=1,Settings!$C$6,Settings!$C$7))*100)</f>
        <v/>
      </c>
      <c r="V4237" s="7">
        <f>IF($C4237="","",R4237*U4237/100)</f>
        <v/>
      </c>
      <c r="W4237" s="7">
        <f>IF($C4237="","",R4237-V4237)</f>
        <v/>
      </c>
      <c r="X4237" s="7">
        <f>IF($C4237="","",W4237-K4237)</f>
        <v/>
      </c>
      <c r="AB4237" s="7" t="n"/>
      <c r="AE4237" s="11" t="n"/>
      <c r="AG4237">
        <f>IF($C4237="","",IF(COUNTIF($C$2:$C4237,$C4237)=1,1,0))</f>
        <v/>
      </c>
      <c r="AH4237">
        <f>IF($AG4237=1,SUMPRODUCT(--($AK$2:$AK$6001&lt;$AK4237))+1,"")</f>
        <v/>
      </c>
      <c r="AI4237">
        <f>IF($C4237="","",IF(OR($N4237=TRUE(),$N4237="TRUE"),1,0))</f>
        <v/>
      </c>
      <c r="AJ4237">
        <f>IF($C4237="","",IF($T4237="Yes",1,0))</f>
        <v/>
      </c>
      <c r="AK4237">
        <f>IF($AG4237=1,IFERROR(IF(VALUE($C4237)&lt;100000000,VALUE($C4237),1000000000),IFERROR(IF(VALUE(MID($C4237,2,20))&lt;100000000,VALUE(MID($C4237,2,20)),1000000000),1000000000))+ROW()/100000,"")</f>
        <v/>
      </c>
    </row>
    <row r="4238">
      <c r="D4238" s="11" t="n"/>
      <c r="K4238" s="7">
        <f>IF($C4238="","",J4238*W4238/100)</f>
        <v/>
      </c>
      <c r="Q4238" s="7" t="n"/>
      <c r="R4238" s="7" t="n"/>
      <c r="U4238">
        <f>IF($C4238="","",IF($AJ4238=1,0,IF($AI4238=1,Settings!$C$6,Settings!$C$7))*100)</f>
        <v/>
      </c>
      <c r="V4238" s="7">
        <f>IF($C4238="","",R4238*U4238/100)</f>
        <v/>
      </c>
      <c r="W4238" s="7">
        <f>IF($C4238="","",R4238-V4238)</f>
        <v/>
      </c>
      <c r="X4238" s="7">
        <f>IF($C4238="","",W4238-K4238)</f>
        <v/>
      </c>
      <c r="AB4238" s="7" t="n"/>
      <c r="AE4238" s="11" t="n"/>
      <c r="AG4238">
        <f>IF($C4238="","",IF(COUNTIF($C$2:$C4238,$C4238)=1,1,0))</f>
        <v/>
      </c>
      <c r="AH4238">
        <f>IF($AG4238=1,SUMPRODUCT(--($AK$2:$AK$6001&lt;$AK4238))+1,"")</f>
        <v/>
      </c>
      <c r="AI4238">
        <f>IF($C4238="","",IF(OR($N4238=TRUE(),$N4238="TRUE"),1,0))</f>
        <v/>
      </c>
      <c r="AJ4238">
        <f>IF($C4238="","",IF($T4238="Yes",1,0))</f>
        <v/>
      </c>
      <c r="AK4238">
        <f>IF($AG4238=1,IFERROR(IF(VALUE($C4238)&lt;100000000,VALUE($C4238),1000000000),IFERROR(IF(VALUE(MID($C4238,2,20))&lt;100000000,VALUE(MID($C4238,2,20)),1000000000),1000000000))+ROW()/100000,"")</f>
        <v/>
      </c>
    </row>
    <row r="4239">
      <c r="D4239" s="11" t="n"/>
      <c r="K4239" s="7">
        <f>IF($C4239="","",J4239*W4239/100)</f>
        <v/>
      </c>
      <c r="Q4239" s="7" t="n"/>
      <c r="R4239" s="7" t="n"/>
      <c r="U4239">
        <f>IF($C4239="","",IF($AJ4239=1,0,IF($AI4239=1,Settings!$C$6,Settings!$C$7))*100)</f>
        <v/>
      </c>
      <c r="V4239" s="7">
        <f>IF($C4239="","",R4239*U4239/100)</f>
        <v/>
      </c>
      <c r="W4239" s="7">
        <f>IF($C4239="","",R4239-V4239)</f>
        <v/>
      </c>
      <c r="X4239" s="7">
        <f>IF($C4239="","",W4239-K4239)</f>
        <v/>
      </c>
      <c r="AB4239" s="7" t="n"/>
      <c r="AE4239" s="11" t="n"/>
      <c r="AG4239">
        <f>IF($C4239="","",IF(COUNTIF($C$2:$C4239,$C4239)=1,1,0))</f>
        <v/>
      </c>
      <c r="AH4239">
        <f>IF($AG4239=1,SUMPRODUCT(--($AK$2:$AK$6001&lt;$AK4239))+1,"")</f>
        <v/>
      </c>
      <c r="AI4239">
        <f>IF($C4239="","",IF(OR($N4239=TRUE(),$N4239="TRUE"),1,0))</f>
        <v/>
      </c>
      <c r="AJ4239">
        <f>IF($C4239="","",IF($T4239="Yes",1,0))</f>
        <v/>
      </c>
      <c r="AK4239">
        <f>IF($AG4239=1,IFERROR(IF(VALUE($C4239)&lt;100000000,VALUE($C4239),1000000000),IFERROR(IF(VALUE(MID($C4239,2,20))&lt;100000000,VALUE(MID($C4239,2,20)),1000000000),1000000000))+ROW()/100000,"")</f>
        <v/>
      </c>
    </row>
    <row r="4240">
      <c r="D4240" s="11" t="n"/>
      <c r="K4240" s="7">
        <f>IF($C4240="","",J4240*W4240/100)</f>
        <v/>
      </c>
      <c r="Q4240" s="7" t="n"/>
      <c r="R4240" s="7" t="n"/>
      <c r="U4240">
        <f>IF($C4240="","",IF($AJ4240=1,0,IF($AI4240=1,Settings!$C$6,Settings!$C$7))*100)</f>
        <v/>
      </c>
      <c r="V4240" s="7">
        <f>IF($C4240="","",R4240*U4240/100)</f>
        <v/>
      </c>
      <c r="W4240" s="7">
        <f>IF($C4240="","",R4240-V4240)</f>
        <v/>
      </c>
      <c r="X4240" s="7">
        <f>IF($C4240="","",W4240-K4240)</f>
        <v/>
      </c>
      <c r="AB4240" s="7" t="n"/>
      <c r="AE4240" s="11" t="n"/>
      <c r="AG4240">
        <f>IF($C4240="","",IF(COUNTIF($C$2:$C4240,$C4240)=1,1,0))</f>
        <v/>
      </c>
      <c r="AH4240">
        <f>IF($AG4240=1,SUMPRODUCT(--($AK$2:$AK$6001&lt;$AK4240))+1,"")</f>
        <v/>
      </c>
      <c r="AI4240">
        <f>IF($C4240="","",IF(OR($N4240=TRUE(),$N4240="TRUE"),1,0))</f>
        <v/>
      </c>
      <c r="AJ4240">
        <f>IF($C4240="","",IF($T4240="Yes",1,0))</f>
        <v/>
      </c>
      <c r="AK4240">
        <f>IF($AG4240=1,IFERROR(IF(VALUE($C4240)&lt;100000000,VALUE($C4240),1000000000),IFERROR(IF(VALUE(MID($C4240,2,20))&lt;100000000,VALUE(MID($C4240,2,20)),1000000000),1000000000))+ROW()/100000,"")</f>
        <v/>
      </c>
    </row>
    <row r="4241">
      <c r="D4241" s="11" t="n"/>
      <c r="K4241" s="7">
        <f>IF($C4241="","",J4241*W4241/100)</f>
        <v/>
      </c>
      <c r="Q4241" s="7" t="n"/>
      <c r="R4241" s="7" t="n"/>
      <c r="U4241">
        <f>IF($C4241="","",IF($AJ4241=1,0,IF($AI4241=1,Settings!$C$6,Settings!$C$7))*100)</f>
        <v/>
      </c>
      <c r="V4241" s="7">
        <f>IF($C4241="","",R4241*U4241/100)</f>
        <v/>
      </c>
      <c r="W4241" s="7">
        <f>IF($C4241="","",R4241-V4241)</f>
        <v/>
      </c>
      <c r="X4241" s="7">
        <f>IF($C4241="","",W4241-K4241)</f>
        <v/>
      </c>
      <c r="AB4241" s="7" t="n"/>
      <c r="AE4241" s="11" t="n"/>
      <c r="AG4241">
        <f>IF($C4241="","",IF(COUNTIF($C$2:$C4241,$C4241)=1,1,0))</f>
        <v/>
      </c>
      <c r="AH4241">
        <f>IF($AG4241=1,SUMPRODUCT(--($AK$2:$AK$6001&lt;$AK4241))+1,"")</f>
        <v/>
      </c>
      <c r="AI4241">
        <f>IF($C4241="","",IF(OR($N4241=TRUE(),$N4241="TRUE"),1,0))</f>
        <v/>
      </c>
      <c r="AJ4241">
        <f>IF($C4241="","",IF($T4241="Yes",1,0))</f>
        <v/>
      </c>
      <c r="AK4241">
        <f>IF($AG4241=1,IFERROR(IF(VALUE($C4241)&lt;100000000,VALUE($C4241),1000000000),IFERROR(IF(VALUE(MID($C4241,2,20))&lt;100000000,VALUE(MID($C4241,2,20)),1000000000),1000000000))+ROW()/100000,"")</f>
        <v/>
      </c>
    </row>
    <row r="4242">
      <c r="D4242" s="11" t="n"/>
      <c r="K4242" s="7">
        <f>IF($C4242="","",J4242*W4242/100)</f>
        <v/>
      </c>
      <c r="Q4242" s="7" t="n"/>
      <c r="R4242" s="7" t="n"/>
      <c r="U4242">
        <f>IF($C4242="","",IF($AJ4242=1,0,IF($AI4242=1,Settings!$C$6,Settings!$C$7))*100)</f>
        <v/>
      </c>
      <c r="V4242" s="7">
        <f>IF($C4242="","",R4242*U4242/100)</f>
        <v/>
      </c>
      <c r="W4242" s="7">
        <f>IF($C4242="","",R4242-V4242)</f>
        <v/>
      </c>
      <c r="X4242" s="7">
        <f>IF($C4242="","",W4242-K4242)</f>
        <v/>
      </c>
      <c r="AB4242" s="7" t="n"/>
      <c r="AE4242" s="11" t="n"/>
      <c r="AG4242">
        <f>IF($C4242="","",IF(COUNTIF($C$2:$C4242,$C4242)=1,1,0))</f>
        <v/>
      </c>
      <c r="AH4242">
        <f>IF($AG4242=1,SUMPRODUCT(--($AK$2:$AK$6001&lt;$AK4242))+1,"")</f>
        <v/>
      </c>
      <c r="AI4242">
        <f>IF($C4242="","",IF(OR($N4242=TRUE(),$N4242="TRUE"),1,0))</f>
        <v/>
      </c>
      <c r="AJ4242">
        <f>IF($C4242="","",IF($T4242="Yes",1,0))</f>
        <v/>
      </c>
      <c r="AK4242">
        <f>IF($AG4242=1,IFERROR(IF(VALUE($C4242)&lt;100000000,VALUE($C4242),1000000000),IFERROR(IF(VALUE(MID($C4242,2,20))&lt;100000000,VALUE(MID($C4242,2,20)),1000000000),1000000000))+ROW()/100000,"")</f>
        <v/>
      </c>
    </row>
    <row r="4243">
      <c r="D4243" s="11" t="n"/>
      <c r="K4243" s="7">
        <f>IF($C4243="","",J4243*W4243/100)</f>
        <v/>
      </c>
      <c r="Q4243" s="7" t="n"/>
      <c r="R4243" s="7" t="n"/>
      <c r="U4243">
        <f>IF($C4243="","",IF($AJ4243=1,0,IF($AI4243=1,Settings!$C$6,Settings!$C$7))*100)</f>
        <v/>
      </c>
      <c r="V4243" s="7">
        <f>IF($C4243="","",R4243*U4243/100)</f>
        <v/>
      </c>
      <c r="W4243" s="7">
        <f>IF($C4243="","",R4243-V4243)</f>
        <v/>
      </c>
      <c r="X4243" s="7">
        <f>IF($C4243="","",W4243-K4243)</f>
        <v/>
      </c>
      <c r="AB4243" s="7" t="n"/>
      <c r="AE4243" s="11" t="n"/>
      <c r="AG4243">
        <f>IF($C4243="","",IF(COUNTIF($C$2:$C4243,$C4243)=1,1,0))</f>
        <v/>
      </c>
      <c r="AH4243">
        <f>IF($AG4243=1,SUMPRODUCT(--($AK$2:$AK$6001&lt;$AK4243))+1,"")</f>
        <v/>
      </c>
      <c r="AI4243">
        <f>IF($C4243="","",IF(OR($N4243=TRUE(),$N4243="TRUE"),1,0))</f>
        <v/>
      </c>
      <c r="AJ4243">
        <f>IF($C4243="","",IF($T4243="Yes",1,0))</f>
        <v/>
      </c>
      <c r="AK4243">
        <f>IF($AG4243=1,IFERROR(IF(VALUE($C4243)&lt;100000000,VALUE($C4243),1000000000),IFERROR(IF(VALUE(MID($C4243,2,20))&lt;100000000,VALUE(MID($C4243,2,20)),1000000000),1000000000))+ROW()/100000,"")</f>
        <v/>
      </c>
    </row>
    <row r="4244">
      <c r="D4244" s="11" t="n"/>
      <c r="K4244" s="7">
        <f>IF($C4244="","",J4244*W4244/100)</f>
        <v/>
      </c>
      <c r="Q4244" s="7" t="n"/>
      <c r="R4244" s="7" t="n"/>
      <c r="U4244">
        <f>IF($C4244="","",IF($AJ4244=1,0,IF($AI4244=1,Settings!$C$6,Settings!$C$7))*100)</f>
        <v/>
      </c>
      <c r="V4244" s="7">
        <f>IF($C4244="","",R4244*U4244/100)</f>
        <v/>
      </c>
      <c r="W4244" s="7">
        <f>IF($C4244="","",R4244-V4244)</f>
        <v/>
      </c>
      <c r="X4244" s="7">
        <f>IF($C4244="","",W4244-K4244)</f>
        <v/>
      </c>
      <c r="AB4244" s="7" t="n"/>
      <c r="AE4244" s="11" t="n"/>
      <c r="AG4244">
        <f>IF($C4244="","",IF(COUNTIF($C$2:$C4244,$C4244)=1,1,0))</f>
        <v/>
      </c>
      <c r="AH4244">
        <f>IF($AG4244=1,SUMPRODUCT(--($AK$2:$AK$6001&lt;$AK4244))+1,"")</f>
        <v/>
      </c>
      <c r="AI4244">
        <f>IF($C4244="","",IF(OR($N4244=TRUE(),$N4244="TRUE"),1,0))</f>
        <v/>
      </c>
      <c r="AJ4244">
        <f>IF($C4244="","",IF($T4244="Yes",1,0))</f>
        <v/>
      </c>
      <c r="AK4244">
        <f>IF($AG4244=1,IFERROR(IF(VALUE($C4244)&lt;100000000,VALUE($C4244),1000000000),IFERROR(IF(VALUE(MID($C4244,2,20))&lt;100000000,VALUE(MID($C4244,2,20)),1000000000),1000000000))+ROW()/100000,"")</f>
        <v/>
      </c>
    </row>
    <row r="4245">
      <c r="D4245" s="11" t="n"/>
      <c r="K4245" s="7">
        <f>IF($C4245="","",J4245*W4245/100)</f>
        <v/>
      </c>
      <c r="Q4245" s="7" t="n"/>
      <c r="R4245" s="7" t="n"/>
      <c r="U4245">
        <f>IF($C4245="","",IF($AJ4245=1,0,IF($AI4245=1,Settings!$C$6,Settings!$C$7))*100)</f>
        <v/>
      </c>
      <c r="V4245" s="7">
        <f>IF($C4245="","",R4245*U4245/100)</f>
        <v/>
      </c>
      <c r="W4245" s="7">
        <f>IF($C4245="","",R4245-V4245)</f>
        <v/>
      </c>
      <c r="X4245" s="7">
        <f>IF($C4245="","",W4245-K4245)</f>
        <v/>
      </c>
      <c r="AB4245" s="7" t="n"/>
      <c r="AE4245" s="11" t="n"/>
      <c r="AG4245">
        <f>IF($C4245="","",IF(COUNTIF($C$2:$C4245,$C4245)=1,1,0))</f>
        <v/>
      </c>
      <c r="AH4245">
        <f>IF($AG4245=1,SUMPRODUCT(--($AK$2:$AK$6001&lt;$AK4245))+1,"")</f>
        <v/>
      </c>
      <c r="AI4245">
        <f>IF($C4245="","",IF(OR($N4245=TRUE(),$N4245="TRUE"),1,0))</f>
        <v/>
      </c>
      <c r="AJ4245">
        <f>IF($C4245="","",IF($T4245="Yes",1,0))</f>
        <v/>
      </c>
      <c r="AK4245">
        <f>IF($AG4245=1,IFERROR(IF(VALUE($C4245)&lt;100000000,VALUE($C4245),1000000000),IFERROR(IF(VALUE(MID($C4245,2,20))&lt;100000000,VALUE(MID($C4245,2,20)),1000000000),1000000000))+ROW()/100000,"")</f>
        <v/>
      </c>
    </row>
    <row r="4246">
      <c r="D4246" s="11" t="n"/>
      <c r="K4246" s="7">
        <f>IF($C4246="","",J4246*W4246/100)</f>
        <v/>
      </c>
      <c r="Q4246" s="7" t="n"/>
      <c r="R4246" s="7" t="n"/>
      <c r="U4246">
        <f>IF($C4246="","",IF($AJ4246=1,0,IF($AI4246=1,Settings!$C$6,Settings!$C$7))*100)</f>
        <v/>
      </c>
      <c r="V4246" s="7">
        <f>IF($C4246="","",R4246*U4246/100)</f>
        <v/>
      </c>
      <c r="W4246" s="7">
        <f>IF($C4246="","",R4246-V4246)</f>
        <v/>
      </c>
      <c r="X4246" s="7">
        <f>IF($C4246="","",W4246-K4246)</f>
        <v/>
      </c>
      <c r="AB4246" s="7" t="n"/>
      <c r="AE4246" s="11" t="n"/>
      <c r="AG4246">
        <f>IF($C4246="","",IF(COUNTIF($C$2:$C4246,$C4246)=1,1,0))</f>
        <v/>
      </c>
      <c r="AH4246">
        <f>IF($AG4246=1,SUMPRODUCT(--($AK$2:$AK$6001&lt;$AK4246))+1,"")</f>
        <v/>
      </c>
      <c r="AI4246">
        <f>IF($C4246="","",IF(OR($N4246=TRUE(),$N4246="TRUE"),1,0))</f>
        <v/>
      </c>
      <c r="AJ4246">
        <f>IF($C4246="","",IF($T4246="Yes",1,0))</f>
        <v/>
      </c>
      <c r="AK4246">
        <f>IF($AG4246=1,IFERROR(IF(VALUE($C4246)&lt;100000000,VALUE($C4246),1000000000),IFERROR(IF(VALUE(MID($C4246,2,20))&lt;100000000,VALUE(MID($C4246,2,20)),1000000000),1000000000))+ROW()/100000,"")</f>
        <v/>
      </c>
    </row>
    <row r="4247">
      <c r="D4247" s="11" t="n"/>
      <c r="K4247" s="7">
        <f>IF($C4247="","",J4247*W4247/100)</f>
        <v/>
      </c>
      <c r="Q4247" s="7" t="n"/>
      <c r="R4247" s="7" t="n"/>
      <c r="U4247">
        <f>IF($C4247="","",IF($AJ4247=1,0,IF($AI4247=1,Settings!$C$6,Settings!$C$7))*100)</f>
        <v/>
      </c>
      <c r="V4247" s="7">
        <f>IF($C4247="","",R4247*U4247/100)</f>
        <v/>
      </c>
      <c r="W4247" s="7">
        <f>IF($C4247="","",R4247-V4247)</f>
        <v/>
      </c>
      <c r="X4247" s="7">
        <f>IF($C4247="","",W4247-K4247)</f>
        <v/>
      </c>
      <c r="AB4247" s="7" t="n"/>
      <c r="AE4247" s="11" t="n"/>
      <c r="AG4247">
        <f>IF($C4247="","",IF(COUNTIF($C$2:$C4247,$C4247)=1,1,0))</f>
        <v/>
      </c>
      <c r="AH4247">
        <f>IF($AG4247=1,SUMPRODUCT(--($AK$2:$AK$6001&lt;$AK4247))+1,"")</f>
        <v/>
      </c>
      <c r="AI4247">
        <f>IF($C4247="","",IF(OR($N4247=TRUE(),$N4247="TRUE"),1,0))</f>
        <v/>
      </c>
      <c r="AJ4247">
        <f>IF($C4247="","",IF($T4247="Yes",1,0))</f>
        <v/>
      </c>
      <c r="AK4247">
        <f>IF($AG4247=1,IFERROR(IF(VALUE($C4247)&lt;100000000,VALUE($C4247),1000000000),IFERROR(IF(VALUE(MID($C4247,2,20))&lt;100000000,VALUE(MID($C4247,2,20)),1000000000),1000000000))+ROW()/100000,"")</f>
        <v/>
      </c>
    </row>
    <row r="4248">
      <c r="D4248" s="11" t="n"/>
      <c r="K4248" s="7">
        <f>IF($C4248="","",J4248*W4248/100)</f>
        <v/>
      </c>
      <c r="Q4248" s="7" t="n"/>
      <c r="R4248" s="7" t="n"/>
      <c r="U4248">
        <f>IF($C4248="","",IF($AJ4248=1,0,IF($AI4248=1,Settings!$C$6,Settings!$C$7))*100)</f>
        <v/>
      </c>
      <c r="V4248" s="7">
        <f>IF($C4248="","",R4248*U4248/100)</f>
        <v/>
      </c>
      <c r="W4248" s="7">
        <f>IF($C4248="","",R4248-V4248)</f>
        <v/>
      </c>
      <c r="X4248" s="7">
        <f>IF($C4248="","",W4248-K4248)</f>
        <v/>
      </c>
      <c r="AB4248" s="7" t="n"/>
      <c r="AE4248" s="11" t="n"/>
      <c r="AG4248">
        <f>IF($C4248="","",IF(COUNTIF($C$2:$C4248,$C4248)=1,1,0))</f>
        <v/>
      </c>
      <c r="AH4248">
        <f>IF($AG4248=1,SUMPRODUCT(--($AK$2:$AK$6001&lt;$AK4248))+1,"")</f>
        <v/>
      </c>
      <c r="AI4248">
        <f>IF($C4248="","",IF(OR($N4248=TRUE(),$N4248="TRUE"),1,0))</f>
        <v/>
      </c>
      <c r="AJ4248">
        <f>IF($C4248="","",IF($T4248="Yes",1,0))</f>
        <v/>
      </c>
      <c r="AK4248">
        <f>IF($AG4248=1,IFERROR(IF(VALUE($C4248)&lt;100000000,VALUE($C4248),1000000000),IFERROR(IF(VALUE(MID($C4248,2,20))&lt;100000000,VALUE(MID($C4248,2,20)),1000000000),1000000000))+ROW()/100000,"")</f>
        <v/>
      </c>
    </row>
    <row r="4249">
      <c r="D4249" s="11" t="n"/>
      <c r="K4249" s="7">
        <f>IF($C4249="","",J4249*W4249/100)</f>
        <v/>
      </c>
      <c r="Q4249" s="7" t="n"/>
      <c r="R4249" s="7" t="n"/>
      <c r="U4249">
        <f>IF($C4249="","",IF($AJ4249=1,0,IF($AI4249=1,Settings!$C$6,Settings!$C$7))*100)</f>
        <v/>
      </c>
      <c r="V4249" s="7">
        <f>IF($C4249="","",R4249*U4249/100)</f>
        <v/>
      </c>
      <c r="W4249" s="7">
        <f>IF($C4249="","",R4249-V4249)</f>
        <v/>
      </c>
      <c r="X4249" s="7">
        <f>IF($C4249="","",W4249-K4249)</f>
        <v/>
      </c>
      <c r="AB4249" s="7" t="n"/>
      <c r="AE4249" s="11" t="n"/>
      <c r="AG4249">
        <f>IF($C4249="","",IF(COUNTIF($C$2:$C4249,$C4249)=1,1,0))</f>
        <v/>
      </c>
      <c r="AH4249">
        <f>IF($AG4249=1,SUMPRODUCT(--($AK$2:$AK$6001&lt;$AK4249))+1,"")</f>
        <v/>
      </c>
      <c r="AI4249">
        <f>IF($C4249="","",IF(OR($N4249=TRUE(),$N4249="TRUE"),1,0))</f>
        <v/>
      </c>
      <c r="AJ4249">
        <f>IF($C4249="","",IF($T4249="Yes",1,0))</f>
        <v/>
      </c>
      <c r="AK4249">
        <f>IF($AG4249=1,IFERROR(IF(VALUE($C4249)&lt;100000000,VALUE($C4249),1000000000),IFERROR(IF(VALUE(MID($C4249,2,20))&lt;100000000,VALUE(MID($C4249,2,20)),1000000000),1000000000))+ROW()/100000,"")</f>
        <v/>
      </c>
    </row>
    <row r="4250">
      <c r="D4250" s="11" t="n"/>
      <c r="K4250" s="7">
        <f>IF($C4250="","",J4250*W4250/100)</f>
        <v/>
      </c>
      <c r="Q4250" s="7" t="n"/>
      <c r="R4250" s="7" t="n"/>
      <c r="U4250">
        <f>IF($C4250="","",IF($AJ4250=1,0,IF($AI4250=1,Settings!$C$6,Settings!$C$7))*100)</f>
        <v/>
      </c>
      <c r="V4250" s="7">
        <f>IF($C4250="","",R4250*U4250/100)</f>
        <v/>
      </c>
      <c r="W4250" s="7">
        <f>IF($C4250="","",R4250-V4250)</f>
        <v/>
      </c>
      <c r="X4250" s="7">
        <f>IF($C4250="","",W4250-K4250)</f>
        <v/>
      </c>
      <c r="AB4250" s="7" t="n"/>
      <c r="AE4250" s="11" t="n"/>
      <c r="AG4250">
        <f>IF($C4250="","",IF(COUNTIF($C$2:$C4250,$C4250)=1,1,0))</f>
        <v/>
      </c>
      <c r="AH4250">
        <f>IF($AG4250=1,SUMPRODUCT(--($AK$2:$AK$6001&lt;$AK4250))+1,"")</f>
        <v/>
      </c>
      <c r="AI4250">
        <f>IF($C4250="","",IF(OR($N4250=TRUE(),$N4250="TRUE"),1,0))</f>
        <v/>
      </c>
      <c r="AJ4250">
        <f>IF($C4250="","",IF($T4250="Yes",1,0))</f>
        <v/>
      </c>
      <c r="AK4250">
        <f>IF($AG4250=1,IFERROR(IF(VALUE($C4250)&lt;100000000,VALUE($C4250),1000000000),IFERROR(IF(VALUE(MID($C4250,2,20))&lt;100000000,VALUE(MID($C4250,2,20)),1000000000),1000000000))+ROW()/100000,"")</f>
        <v/>
      </c>
    </row>
    <row r="4251">
      <c r="D4251" s="11" t="n"/>
      <c r="K4251" s="7">
        <f>IF($C4251="","",J4251*W4251/100)</f>
        <v/>
      </c>
      <c r="Q4251" s="7" t="n"/>
      <c r="R4251" s="7" t="n"/>
      <c r="U4251">
        <f>IF($C4251="","",IF($AJ4251=1,0,IF($AI4251=1,Settings!$C$6,Settings!$C$7))*100)</f>
        <v/>
      </c>
      <c r="V4251" s="7">
        <f>IF($C4251="","",R4251*U4251/100)</f>
        <v/>
      </c>
      <c r="W4251" s="7">
        <f>IF($C4251="","",R4251-V4251)</f>
        <v/>
      </c>
      <c r="X4251" s="7">
        <f>IF($C4251="","",W4251-K4251)</f>
        <v/>
      </c>
      <c r="AB4251" s="7" t="n"/>
      <c r="AE4251" s="11" t="n"/>
      <c r="AG4251">
        <f>IF($C4251="","",IF(COUNTIF($C$2:$C4251,$C4251)=1,1,0))</f>
        <v/>
      </c>
      <c r="AH4251">
        <f>IF($AG4251=1,SUMPRODUCT(--($AK$2:$AK$6001&lt;$AK4251))+1,"")</f>
        <v/>
      </c>
      <c r="AI4251">
        <f>IF($C4251="","",IF(OR($N4251=TRUE(),$N4251="TRUE"),1,0))</f>
        <v/>
      </c>
      <c r="AJ4251">
        <f>IF($C4251="","",IF($T4251="Yes",1,0))</f>
        <v/>
      </c>
      <c r="AK4251">
        <f>IF($AG4251=1,IFERROR(IF(VALUE($C4251)&lt;100000000,VALUE($C4251),1000000000),IFERROR(IF(VALUE(MID($C4251,2,20))&lt;100000000,VALUE(MID($C4251,2,20)),1000000000),1000000000))+ROW()/100000,"")</f>
        <v/>
      </c>
    </row>
    <row r="4252">
      <c r="D4252" s="11" t="n"/>
      <c r="K4252" s="7">
        <f>IF($C4252="","",J4252*W4252/100)</f>
        <v/>
      </c>
      <c r="Q4252" s="7" t="n"/>
      <c r="R4252" s="7" t="n"/>
      <c r="U4252">
        <f>IF($C4252="","",IF($AJ4252=1,0,IF($AI4252=1,Settings!$C$6,Settings!$C$7))*100)</f>
        <v/>
      </c>
      <c r="V4252" s="7">
        <f>IF($C4252="","",R4252*U4252/100)</f>
        <v/>
      </c>
      <c r="W4252" s="7">
        <f>IF($C4252="","",R4252-V4252)</f>
        <v/>
      </c>
      <c r="X4252" s="7">
        <f>IF($C4252="","",W4252-K4252)</f>
        <v/>
      </c>
      <c r="AB4252" s="7" t="n"/>
      <c r="AE4252" s="11" t="n"/>
      <c r="AG4252">
        <f>IF($C4252="","",IF(COUNTIF($C$2:$C4252,$C4252)=1,1,0))</f>
        <v/>
      </c>
      <c r="AH4252">
        <f>IF($AG4252=1,SUMPRODUCT(--($AK$2:$AK$6001&lt;$AK4252))+1,"")</f>
        <v/>
      </c>
      <c r="AI4252">
        <f>IF($C4252="","",IF(OR($N4252=TRUE(),$N4252="TRUE"),1,0))</f>
        <v/>
      </c>
      <c r="AJ4252">
        <f>IF($C4252="","",IF($T4252="Yes",1,0))</f>
        <v/>
      </c>
      <c r="AK4252">
        <f>IF($AG4252=1,IFERROR(IF(VALUE($C4252)&lt;100000000,VALUE($C4252),1000000000),IFERROR(IF(VALUE(MID($C4252,2,20))&lt;100000000,VALUE(MID($C4252,2,20)),1000000000),1000000000))+ROW()/100000,"")</f>
        <v/>
      </c>
    </row>
    <row r="4253">
      <c r="D4253" s="11" t="n"/>
      <c r="K4253" s="7">
        <f>IF($C4253="","",J4253*W4253/100)</f>
        <v/>
      </c>
      <c r="Q4253" s="7" t="n"/>
      <c r="R4253" s="7" t="n"/>
      <c r="U4253">
        <f>IF($C4253="","",IF($AJ4253=1,0,IF($AI4253=1,Settings!$C$6,Settings!$C$7))*100)</f>
        <v/>
      </c>
      <c r="V4253" s="7">
        <f>IF($C4253="","",R4253*U4253/100)</f>
        <v/>
      </c>
      <c r="W4253" s="7">
        <f>IF($C4253="","",R4253-V4253)</f>
        <v/>
      </c>
      <c r="X4253" s="7">
        <f>IF($C4253="","",W4253-K4253)</f>
        <v/>
      </c>
      <c r="AB4253" s="7" t="n"/>
      <c r="AE4253" s="11" t="n"/>
      <c r="AG4253">
        <f>IF($C4253="","",IF(COUNTIF($C$2:$C4253,$C4253)=1,1,0))</f>
        <v/>
      </c>
      <c r="AH4253">
        <f>IF($AG4253=1,SUMPRODUCT(--($AK$2:$AK$6001&lt;$AK4253))+1,"")</f>
        <v/>
      </c>
      <c r="AI4253">
        <f>IF($C4253="","",IF(OR($N4253=TRUE(),$N4253="TRUE"),1,0))</f>
        <v/>
      </c>
      <c r="AJ4253">
        <f>IF($C4253="","",IF($T4253="Yes",1,0))</f>
        <v/>
      </c>
      <c r="AK4253">
        <f>IF($AG4253=1,IFERROR(IF(VALUE($C4253)&lt;100000000,VALUE($C4253),1000000000),IFERROR(IF(VALUE(MID($C4253,2,20))&lt;100000000,VALUE(MID($C4253,2,20)),1000000000),1000000000))+ROW()/100000,"")</f>
        <v/>
      </c>
    </row>
    <row r="4254">
      <c r="D4254" s="11" t="n"/>
      <c r="K4254" s="7">
        <f>IF($C4254="","",J4254*W4254/100)</f>
        <v/>
      </c>
      <c r="Q4254" s="7" t="n"/>
      <c r="R4254" s="7" t="n"/>
      <c r="U4254">
        <f>IF($C4254="","",IF($AJ4254=1,0,IF($AI4254=1,Settings!$C$6,Settings!$C$7))*100)</f>
        <v/>
      </c>
      <c r="V4254" s="7">
        <f>IF($C4254="","",R4254*U4254/100)</f>
        <v/>
      </c>
      <c r="W4254" s="7">
        <f>IF($C4254="","",R4254-V4254)</f>
        <v/>
      </c>
      <c r="X4254" s="7">
        <f>IF($C4254="","",W4254-K4254)</f>
        <v/>
      </c>
      <c r="AB4254" s="7" t="n"/>
      <c r="AE4254" s="11" t="n"/>
      <c r="AG4254">
        <f>IF($C4254="","",IF(COUNTIF($C$2:$C4254,$C4254)=1,1,0))</f>
        <v/>
      </c>
      <c r="AH4254">
        <f>IF($AG4254=1,SUMPRODUCT(--($AK$2:$AK$6001&lt;$AK4254))+1,"")</f>
        <v/>
      </c>
      <c r="AI4254">
        <f>IF($C4254="","",IF(OR($N4254=TRUE(),$N4254="TRUE"),1,0))</f>
        <v/>
      </c>
      <c r="AJ4254">
        <f>IF($C4254="","",IF($T4254="Yes",1,0))</f>
        <v/>
      </c>
      <c r="AK4254">
        <f>IF($AG4254=1,IFERROR(IF(VALUE($C4254)&lt;100000000,VALUE($C4254),1000000000),IFERROR(IF(VALUE(MID($C4254,2,20))&lt;100000000,VALUE(MID($C4254,2,20)),1000000000),1000000000))+ROW()/100000,"")</f>
        <v/>
      </c>
    </row>
    <row r="4255">
      <c r="D4255" s="11" t="n"/>
      <c r="K4255" s="7">
        <f>IF($C4255="","",J4255*W4255/100)</f>
        <v/>
      </c>
      <c r="Q4255" s="7" t="n"/>
      <c r="R4255" s="7" t="n"/>
      <c r="U4255">
        <f>IF($C4255="","",IF($AJ4255=1,0,IF($AI4255=1,Settings!$C$6,Settings!$C$7))*100)</f>
        <v/>
      </c>
      <c r="V4255" s="7">
        <f>IF($C4255="","",R4255*U4255/100)</f>
        <v/>
      </c>
      <c r="W4255" s="7">
        <f>IF($C4255="","",R4255-V4255)</f>
        <v/>
      </c>
      <c r="X4255" s="7">
        <f>IF($C4255="","",W4255-K4255)</f>
        <v/>
      </c>
      <c r="AB4255" s="7" t="n"/>
      <c r="AE4255" s="11" t="n"/>
      <c r="AG4255">
        <f>IF($C4255="","",IF(COUNTIF($C$2:$C4255,$C4255)=1,1,0))</f>
        <v/>
      </c>
      <c r="AH4255">
        <f>IF($AG4255=1,SUMPRODUCT(--($AK$2:$AK$6001&lt;$AK4255))+1,"")</f>
        <v/>
      </c>
      <c r="AI4255">
        <f>IF($C4255="","",IF(OR($N4255=TRUE(),$N4255="TRUE"),1,0))</f>
        <v/>
      </c>
      <c r="AJ4255">
        <f>IF($C4255="","",IF($T4255="Yes",1,0))</f>
        <v/>
      </c>
      <c r="AK4255">
        <f>IF($AG4255=1,IFERROR(IF(VALUE($C4255)&lt;100000000,VALUE($C4255),1000000000),IFERROR(IF(VALUE(MID($C4255,2,20))&lt;100000000,VALUE(MID($C4255,2,20)),1000000000),1000000000))+ROW()/100000,"")</f>
        <v/>
      </c>
    </row>
    <row r="4256">
      <c r="D4256" s="11" t="n"/>
      <c r="K4256" s="7">
        <f>IF($C4256="","",J4256*W4256/100)</f>
        <v/>
      </c>
      <c r="Q4256" s="7" t="n"/>
      <c r="R4256" s="7" t="n"/>
      <c r="U4256">
        <f>IF($C4256="","",IF($AJ4256=1,0,IF($AI4256=1,Settings!$C$6,Settings!$C$7))*100)</f>
        <v/>
      </c>
      <c r="V4256" s="7">
        <f>IF($C4256="","",R4256*U4256/100)</f>
        <v/>
      </c>
      <c r="W4256" s="7">
        <f>IF($C4256="","",R4256-V4256)</f>
        <v/>
      </c>
      <c r="X4256" s="7">
        <f>IF($C4256="","",W4256-K4256)</f>
        <v/>
      </c>
      <c r="AB4256" s="7" t="n"/>
      <c r="AE4256" s="11" t="n"/>
      <c r="AG4256">
        <f>IF($C4256="","",IF(COUNTIF($C$2:$C4256,$C4256)=1,1,0))</f>
        <v/>
      </c>
      <c r="AH4256">
        <f>IF($AG4256=1,SUMPRODUCT(--($AK$2:$AK$6001&lt;$AK4256))+1,"")</f>
        <v/>
      </c>
      <c r="AI4256">
        <f>IF($C4256="","",IF(OR($N4256=TRUE(),$N4256="TRUE"),1,0))</f>
        <v/>
      </c>
      <c r="AJ4256">
        <f>IF($C4256="","",IF($T4256="Yes",1,0))</f>
        <v/>
      </c>
      <c r="AK4256">
        <f>IF($AG4256=1,IFERROR(IF(VALUE($C4256)&lt;100000000,VALUE($C4256),1000000000),IFERROR(IF(VALUE(MID($C4256,2,20))&lt;100000000,VALUE(MID($C4256,2,20)),1000000000),1000000000))+ROW()/100000,"")</f>
        <v/>
      </c>
    </row>
    <row r="4257">
      <c r="D4257" s="11" t="n"/>
      <c r="K4257" s="7">
        <f>IF($C4257="","",J4257*W4257/100)</f>
        <v/>
      </c>
      <c r="Q4257" s="7" t="n"/>
      <c r="R4257" s="7" t="n"/>
      <c r="U4257">
        <f>IF($C4257="","",IF($AJ4257=1,0,IF($AI4257=1,Settings!$C$6,Settings!$C$7))*100)</f>
        <v/>
      </c>
      <c r="V4257" s="7">
        <f>IF($C4257="","",R4257*U4257/100)</f>
        <v/>
      </c>
      <c r="W4257" s="7">
        <f>IF($C4257="","",R4257-V4257)</f>
        <v/>
      </c>
      <c r="X4257" s="7">
        <f>IF($C4257="","",W4257-K4257)</f>
        <v/>
      </c>
      <c r="AB4257" s="7" t="n"/>
      <c r="AE4257" s="11" t="n"/>
      <c r="AG4257">
        <f>IF($C4257="","",IF(COUNTIF($C$2:$C4257,$C4257)=1,1,0))</f>
        <v/>
      </c>
      <c r="AH4257">
        <f>IF($AG4257=1,SUMPRODUCT(--($AK$2:$AK$6001&lt;$AK4257))+1,"")</f>
        <v/>
      </c>
      <c r="AI4257">
        <f>IF($C4257="","",IF(OR($N4257=TRUE(),$N4257="TRUE"),1,0))</f>
        <v/>
      </c>
      <c r="AJ4257">
        <f>IF($C4257="","",IF($T4257="Yes",1,0))</f>
        <v/>
      </c>
      <c r="AK4257">
        <f>IF($AG4257=1,IFERROR(IF(VALUE($C4257)&lt;100000000,VALUE($C4257),1000000000),IFERROR(IF(VALUE(MID($C4257,2,20))&lt;100000000,VALUE(MID($C4257,2,20)),1000000000),1000000000))+ROW()/100000,"")</f>
        <v/>
      </c>
    </row>
    <row r="4258">
      <c r="D4258" s="11" t="n"/>
      <c r="K4258" s="7">
        <f>IF($C4258="","",J4258*W4258/100)</f>
        <v/>
      </c>
      <c r="Q4258" s="7" t="n"/>
      <c r="R4258" s="7" t="n"/>
      <c r="U4258">
        <f>IF($C4258="","",IF($AJ4258=1,0,IF($AI4258=1,Settings!$C$6,Settings!$C$7))*100)</f>
        <v/>
      </c>
      <c r="V4258" s="7">
        <f>IF($C4258="","",R4258*U4258/100)</f>
        <v/>
      </c>
      <c r="W4258" s="7">
        <f>IF($C4258="","",R4258-V4258)</f>
        <v/>
      </c>
      <c r="X4258" s="7">
        <f>IF($C4258="","",W4258-K4258)</f>
        <v/>
      </c>
      <c r="AB4258" s="7" t="n"/>
      <c r="AE4258" s="11" t="n"/>
      <c r="AG4258">
        <f>IF($C4258="","",IF(COUNTIF($C$2:$C4258,$C4258)=1,1,0))</f>
        <v/>
      </c>
      <c r="AH4258">
        <f>IF($AG4258=1,SUMPRODUCT(--($AK$2:$AK$6001&lt;$AK4258))+1,"")</f>
        <v/>
      </c>
      <c r="AI4258">
        <f>IF($C4258="","",IF(OR($N4258=TRUE(),$N4258="TRUE"),1,0))</f>
        <v/>
      </c>
      <c r="AJ4258">
        <f>IF($C4258="","",IF($T4258="Yes",1,0))</f>
        <v/>
      </c>
      <c r="AK4258">
        <f>IF($AG4258=1,IFERROR(IF(VALUE($C4258)&lt;100000000,VALUE($C4258),1000000000),IFERROR(IF(VALUE(MID($C4258,2,20))&lt;100000000,VALUE(MID($C4258,2,20)),1000000000),1000000000))+ROW()/100000,"")</f>
        <v/>
      </c>
    </row>
    <row r="4259">
      <c r="D4259" s="11" t="n"/>
      <c r="K4259" s="7">
        <f>IF($C4259="","",J4259*W4259/100)</f>
        <v/>
      </c>
      <c r="Q4259" s="7" t="n"/>
      <c r="R4259" s="7" t="n"/>
      <c r="U4259">
        <f>IF($C4259="","",IF($AJ4259=1,0,IF($AI4259=1,Settings!$C$6,Settings!$C$7))*100)</f>
        <v/>
      </c>
      <c r="V4259" s="7">
        <f>IF($C4259="","",R4259*U4259/100)</f>
        <v/>
      </c>
      <c r="W4259" s="7">
        <f>IF($C4259="","",R4259-V4259)</f>
        <v/>
      </c>
      <c r="X4259" s="7">
        <f>IF($C4259="","",W4259-K4259)</f>
        <v/>
      </c>
      <c r="AB4259" s="7" t="n"/>
      <c r="AE4259" s="11" t="n"/>
      <c r="AG4259">
        <f>IF($C4259="","",IF(COUNTIF($C$2:$C4259,$C4259)=1,1,0))</f>
        <v/>
      </c>
      <c r="AH4259">
        <f>IF($AG4259=1,SUMPRODUCT(--($AK$2:$AK$6001&lt;$AK4259))+1,"")</f>
        <v/>
      </c>
      <c r="AI4259">
        <f>IF($C4259="","",IF(OR($N4259=TRUE(),$N4259="TRUE"),1,0))</f>
        <v/>
      </c>
      <c r="AJ4259">
        <f>IF($C4259="","",IF($T4259="Yes",1,0))</f>
        <v/>
      </c>
      <c r="AK4259">
        <f>IF($AG4259=1,IFERROR(IF(VALUE($C4259)&lt;100000000,VALUE($C4259),1000000000),IFERROR(IF(VALUE(MID($C4259,2,20))&lt;100000000,VALUE(MID($C4259,2,20)),1000000000),1000000000))+ROW()/100000,"")</f>
        <v/>
      </c>
    </row>
    <row r="4260">
      <c r="D4260" s="11" t="n"/>
      <c r="K4260" s="7">
        <f>IF($C4260="","",J4260*W4260/100)</f>
        <v/>
      </c>
      <c r="Q4260" s="7" t="n"/>
      <c r="R4260" s="7" t="n"/>
      <c r="U4260">
        <f>IF($C4260="","",IF($AJ4260=1,0,IF($AI4260=1,Settings!$C$6,Settings!$C$7))*100)</f>
        <v/>
      </c>
      <c r="V4260" s="7">
        <f>IF($C4260="","",R4260*U4260/100)</f>
        <v/>
      </c>
      <c r="W4260" s="7">
        <f>IF($C4260="","",R4260-V4260)</f>
        <v/>
      </c>
      <c r="X4260" s="7">
        <f>IF($C4260="","",W4260-K4260)</f>
        <v/>
      </c>
      <c r="AB4260" s="7" t="n"/>
      <c r="AE4260" s="11" t="n"/>
      <c r="AG4260">
        <f>IF($C4260="","",IF(COUNTIF($C$2:$C4260,$C4260)=1,1,0))</f>
        <v/>
      </c>
      <c r="AH4260">
        <f>IF($AG4260=1,SUMPRODUCT(--($AK$2:$AK$6001&lt;$AK4260))+1,"")</f>
        <v/>
      </c>
      <c r="AI4260">
        <f>IF($C4260="","",IF(OR($N4260=TRUE(),$N4260="TRUE"),1,0))</f>
        <v/>
      </c>
      <c r="AJ4260">
        <f>IF($C4260="","",IF($T4260="Yes",1,0))</f>
        <v/>
      </c>
      <c r="AK4260">
        <f>IF($AG4260=1,IFERROR(IF(VALUE($C4260)&lt;100000000,VALUE($C4260),1000000000),IFERROR(IF(VALUE(MID($C4260,2,20))&lt;100000000,VALUE(MID($C4260,2,20)),1000000000),1000000000))+ROW()/100000,"")</f>
        <v/>
      </c>
    </row>
    <row r="4261">
      <c r="D4261" s="11" t="n"/>
      <c r="K4261" s="7">
        <f>IF($C4261="","",J4261*W4261/100)</f>
        <v/>
      </c>
      <c r="Q4261" s="7" t="n"/>
      <c r="R4261" s="7" t="n"/>
      <c r="U4261">
        <f>IF($C4261="","",IF($AJ4261=1,0,IF($AI4261=1,Settings!$C$6,Settings!$C$7))*100)</f>
        <v/>
      </c>
      <c r="V4261" s="7">
        <f>IF($C4261="","",R4261*U4261/100)</f>
        <v/>
      </c>
      <c r="W4261" s="7">
        <f>IF($C4261="","",R4261-V4261)</f>
        <v/>
      </c>
      <c r="X4261" s="7">
        <f>IF($C4261="","",W4261-K4261)</f>
        <v/>
      </c>
      <c r="AB4261" s="7" t="n"/>
      <c r="AE4261" s="11" t="n"/>
      <c r="AG4261">
        <f>IF($C4261="","",IF(COUNTIF($C$2:$C4261,$C4261)=1,1,0))</f>
        <v/>
      </c>
      <c r="AH4261">
        <f>IF($AG4261=1,SUMPRODUCT(--($AK$2:$AK$6001&lt;$AK4261))+1,"")</f>
        <v/>
      </c>
      <c r="AI4261">
        <f>IF($C4261="","",IF(OR($N4261=TRUE(),$N4261="TRUE"),1,0))</f>
        <v/>
      </c>
      <c r="AJ4261">
        <f>IF($C4261="","",IF($T4261="Yes",1,0))</f>
        <v/>
      </c>
      <c r="AK4261">
        <f>IF($AG4261=1,IFERROR(IF(VALUE($C4261)&lt;100000000,VALUE($C4261),1000000000),IFERROR(IF(VALUE(MID($C4261,2,20))&lt;100000000,VALUE(MID($C4261,2,20)),1000000000),1000000000))+ROW()/100000,"")</f>
        <v/>
      </c>
    </row>
    <row r="4262">
      <c r="D4262" s="11" t="n"/>
      <c r="K4262" s="7">
        <f>IF($C4262="","",J4262*W4262/100)</f>
        <v/>
      </c>
      <c r="Q4262" s="7" t="n"/>
      <c r="R4262" s="7" t="n"/>
      <c r="U4262">
        <f>IF($C4262="","",IF($AJ4262=1,0,IF($AI4262=1,Settings!$C$6,Settings!$C$7))*100)</f>
        <v/>
      </c>
      <c r="V4262" s="7">
        <f>IF($C4262="","",R4262*U4262/100)</f>
        <v/>
      </c>
      <c r="W4262" s="7">
        <f>IF($C4262="","",R4262-V4262)</f>
        <v/>
      </c>
      <c r="X4262" s="7">
        <f>IF($C4262="","",W4262-K4262)</f>
        <v/>
      </c>
      <c r="AB4262" s="7" t="n"/>
      <c r="AE4262" s="11" t="n"/>
      <c r="AG4262">
        <f>IF($C4262="","",IF(COUNTIF($C$2:$C4262,$C4262)=1,1,0))</f>
        <v/>
      </c>
      <c r="AH4262">
        <f>IF($AG4262=1,SUMPRODUCT(--($AK$2:$AK$6001&lt;$AK4262))+1,"")</f>
        <v/>
      </c>
      <c r="AI4262">
        <f>IF($C4262="","",IF(OR($N4262=TRUE(),$N4262="TRUE"),1,0))</f>
        <v/>
      </c>
      <c r="AJ4262">
        <f>IF($C4262="","",IF($T4262="Yes",1,0))</f>
        <v/>
      </c>
      <c r="AK4262">
        <f>IF($AG4262=1,IFERROR(IF(VALUE($C4262)&lt;100000000,VALUE($C4262),1000000000),IFERROR(IF(VALUE(MID($C4262,2,20))&lt;100000000,VALUE(MID($C4262,2,20)),1000000000),1000000000))+ROW()/100000,"")</f>
        <v/>
      </c>
    </row>
    <row r="4263">
      <c r="D4263" s="11" t="n"/>
      <c r="K4263" s="7">
        <f>IF($C4263="","",J4263*W4263/100)</f>
        <v/>
      </c>
      <c r="Q4263" s="7" t="n"/>
      <c r="R4263" s="7" t="n"/>
      <c r="U4263">
        <f>IF($C4263="","",IF($AJ4263=1,0,IF($AI4263=1,Settings!$C$6,Settings!$C$7))*100)</f>
        <v/>
      </c>
      <c r="V4263" s="7">
        <f>IF($C4263="","",R4263*U4263/100)</f>
        <v/>
      </c>
      <c r="W4263" s="7">
        <f>IF($C4263="","",R4263-V4263)</f>
        <v/>
      </c>
      <c r="X4263" s="7">
        <f>IF($C4263="","",W4263-K4263)</f>
        <v/>
      </c>
      <c r="AB4263" s="7" t="n"/>
      <c r="AE4263" s="11" t="n"/>
      <c r="AG4263">
        <f>IF($C4263="","",IF(COUNTIF($C$2:$C4263,$C4263)=1,1,0))</f>
        <v/>
      </c>
      <c r="AH4263">
        <f>IF($AG4263=1,SUMPRODUCT(--($AK$2:$AK$6001&lt;$AK4263))+1,"")</f>
        <v/>
      </c>
      <c r="AI4263">
        <f>IF($C4263="","",IF(OR($N4263=TRUE(),$N4263="TRUE"),1,0))</f>
        <v/>
      </c>
      <c r="AJ4263">
        <f>IF($C4263="","",IF($T4263="Yes",1,0))</f>
        <v/>
      </c>
      <c r="AK4263">
        <f>IF($AG4263=1,IFERROR(IF(VALUE($C4263)&lt;100000000,VALUE($C4263),1000000000),IFERROR(IF(VALUE(MID($C4263,2,20))&lt;100000000,VALUE(MID($C4263,2,20)),1000000000),1000000000))+ROW()/100000,"")</f>
        <v/>
      </c>
    </row>
    <row r="4264">
      <c r="D4264" s="11" t="n"/>
      <c r="K4264" s="7">
        <f>IF($C4264="","",J4264*W4264/100)</f>
        <v/>
      </c>
      <c r="Q4264" s="7" t="n"/>
      <c r="R4264" s="7" t="n"/>
      <c r="U4264">
        <f>IF($C4264="","",IF($AJ4264=1,0,IF($AI4264=1,Settings!$C$6,Settings!$C$7))*100)</f>
        <v/>
      </c>
      <c r="V4264" s="7">
        <f>IF($C4264="","",R4264*U4264/100)</f>
        <v/>
      </c>
      <c r="W4264" s="7">
        <f>IF($C4264="","",R4264-V4264)</f>
        <v/>
      </c>
      <c r="X4264" s="7">
        <f>IF($C4264="","",W4264-K4264)</f>
        <v/>
      </c>
      <c r="AB4264" s="7" t="n"/>
      <c r="AE4264" s="11" t="n"/>
      <c r="AG4264">
        <f>IF($C4264="","",IF(COUNTIF($C$2:$C4264,$C4264)=1,1,0))</f>
        <v/>
      </c>
      <c r="AH4264">
        <f>IF($AG4264=1,SUMPRODUCT(--($AK$2:$AK$6001&lt;$AK4264))+1,"")</f>
        <v/>
      </c>
      <c r="AI4264">
        <f>IF($C4264="","",IF(OR($N4264=TRUE(),$N4264="TRUE"),1,0))</f>
        <v/>
      </c>
      <c r="AJ4264">
        <f>IF($C4264="","",IF($T4264="Yes",1,0))</f>
        <v/>
      </c>
      <c r="AK4264">
        <f>IF($AG4264=1,IFERROR(IF(VALUE($C4264)&lt;100000000,VALUE($C4264),1000000000),IFERROR(IF(VALUE(MID($C4264,2,20))&lt;100000000,VALUE(MID($C4264,2,20)),1000000000),1000000000))+ROW()/100000,"")</f>
        <v/>
      </c>
    </row>
    <row r="4265">
      <c r="D4265" s="11" t="n"/>
      <c r="K4265" s="7">
        <f>IF($C4265="","",J4265*W4265/100)</f>
        <v/>
      </c>
      <c r="Q4265" s="7" t="n"/>
      <c r="R4265" s="7" t="n"/>
      <c r="U4265">
        <f>IF($C4265="","",IF($AJ4265=1,0,IF($AI4265=1,Settings!$C$6,Settings!$C$7))*100)</f>
        <v/>
      </c>
      <c r="V4265" s="7">
        <f>IF($C4265="","",R4265*U4265/100)</f>
        <v/>
      </c>
      <c r="W4265" s="7">
        <f>IF($C4265="","",R4265-V4265)</f>
        <v/>
      </c>
      <c r="X4265" s="7">
        <f>IF($C4265="","",W4265-K4265)</f>
        <v/>
      </c>
      <c r="AB4265" s="7" t="n"/>
      <c r="AE4265" s="11" t="n"/>
      <c r="AG4265">
        <f>IF($C4265="","",IF(COUNTIF($C$2:$C4265,$C4265)=1,1,0))</f>
        <v/>
      </c>
      <c r="AH4265">
        <f>IF($AG4265=1,SUMPRODUCT(--($AK$2:$AK$6001&lt;$AK4265))+1,"")</f>
        <v/>
      </c>
      <c r="AI4265">
        <f>IF($C4265="","",IF(OR($N4265=TRUE(),$N4265="TRUE"),1,0))</f>
        <v/>
      </c>
      <c r="AJ4265">
        <f>IF($C4265="","",IF($T4265="Yes",1,0))</f>
        <v/>
      </c>
      <c r="AK4265">
        <f>IF($AG4265=1,IFERROR(IF(VALUE($C4265)&lt;100000000,VALUE($C4265),1000000000),IFERROR(IF(VALUE(MID($C4265,2,20))&lt;100000000,VALUE(MID($C4265,2,20)),1000000000),1000000000))+ROW()/100000,"")</f>
        <v/>
      </c>
    </row>
    <row r="4266">
      <c r="D4266" s="11" t="n"/>
      <c r="K4266" s="7">
        <f>IF($C4266="","",J4266*W4266/100)</f>
        <v/>
      </c>
      <c r="Q4266" s="7" t="n"/>
      <c r="R4266" s="7" t="n"/>
      <c r="U4266">
        <f>IF($C4266="","",IF($AJ4266=1,0,IF($AI4266=1,Settings!$C$6,Settings!$C$7))*100)</f>
        <v/>
      </c>
      <c r="V4266" s="7">
        <f>IF($C4266="","",R4266*U4266/100)</f>
        <v/>
      </c>
      <c r="W4266" s="7">
        <f>IF($C4266="","",R4266-V4266)</f>
        <v/>
      </c>
      <c r="X4266" s="7">
        <f>IF($C4266="","",W4266-K4266)</f>
        <v/>
      </c>
      <c r="AB4266" s="7" t="n"/>
      <c r="AE4266" s="11" t="n"/>
      <c r="AG4266">
        <f>IF($C4266="","",IF(COUNTIF($C$2:$C4266,$C4266)=1,1,0))</f>
        <v/>
      </c>
      <c r="AH4266">
        <f>IF($AG4266=1,SUMPRODUCT(--($AK$2:$AK$6001&lt;$AK4266))+1,"")</f>
        <v/>
      </c>
      <c r="AI4266">
        <f>IF($C4266="","",IF(OR($N4266=TRUE(),$N4266="TRUE"),1,0))</f>
        <v/>
      </c>
      <c r="AJ4266">
        <f>IF($C4266="","",IF($T4266="Yes",1,0))</f>
        <v/>
      </c>
      <c r="AK4266">
        <f>IF($AG4266=1,IFERROR(IF(VALUE($C4266)&lt;100000000,VALUE($C4266),1000000000),IFERROR(IF(VALUE(MID($C4266,2,20))&lt;100000000,VALUE(MID($C4266,2,20)),1000000000),1000000000))+ROW()/100000,"")</f>
        <v/>
      </c>
    </row>
    <row r="4267">
      <c r="D4267" s="11" t="n"/>
      <c r="K4267" s="7">
        <f>IF($C4267="","",J4267*W4267/100)</f>
        <v/>
      </c>
      <c r="Q4267" s="7" t="n"/>
      <c r="R4267" s="7" t="n"/>
      <c r="U4267">
        <f>IF($C4267="","",IF($AJ4267=1,0,IF($AI4267=1,Settings!$C$6,Settings!$C$7))*100)</f>
        <v/>
      </c>
      <c r="V4267" s="7">
        <f>IF($C4267="","",R4267*U4267/100)</f>
        <v/>
      </c>
      <c r="W4267" s="7">
        <f>IF($C4267="","",R4267-V4267)</f>
        <v/>
      </c>
      <c r="X4267" s="7">
        <f>IF($C4267="","",W4267-K4267)</f>
        <v/>
      </c>
      <c r="AB4267" s="7" t="n"/>
      <c r="AE4267" s="11" t="n"/>
      <c r="AG4267">
        <f>IF($C4267="","",IF(COUNTIF($C$2:$C4267,$C4267)=1,1,0))</f>
        <v/>
      </c>
      <c r="AH4267">
        <f>IF($AG4267=1,SUMPRODUCT(--($AK$2:$AK$6001&lt;$AK4267))+1,"")</f>
        <v/>
      </c>
      <c r="AI4267">
        <f>IF($C4267="","",IF(OR($N4267=TRUE(),$N4267="TRUE"),1,0))</f>
        <v/>
      </c>
      <c r="AJ4267">
        <f>IF($C4267="","",IF($T4267="Yes",1,0))</f>
        <v/>
      </c>
      <c r="AK4267">
        <f>IF($AG4267=1,IFERROR(IF(VALUE($C4267)&lt;100000000,VALUE($C4267),1000000000),IFERROR(IF(VALUE(MID($C4267,2,20))&lt;100000000,VALUE(MID($C4267,2,20)),1000000000),1000000000))+ROW()/100000,"")</f>
        <v/>
      </c>
    </row>
    <row r="4268">
      <c r="D4268" s="11" t="n"/>
      <c r="K4268" s="7">
        <f>IF($C4268="","",J4268*W4268/100)</f>
        <v/>
      </c>
      <c r="Q4268" s="7" t="n"/>
      <c r="R4268" s="7" t="n"/>
      <c r="U4268">
        <f>IF($C4268="","",IF($AJ4268=1,0,IF($AI4268=1,Settings!$C$6,Settings!$C$7))*100)</f>
        <v/>
      </c>
      <c r="V4268" s="7">
        <f>IF($C4268="","",R4268*U4268/100)</f>
        <v/>
      </c>
      <c r="W4268" s="7">
        <f>IF($C4268="","",R4268-V4268)</f>
        <v/>
      </c>
      <c r="X4268" s="7">
        <f>IF($C4268="","",W4268-K4268)</f>
        <v/>
      </c>
      <c r="AB4268" s="7" t="n"/>
      <c r="AE4268" s="11" t="n"/>
      <c r="AG4268">
        <f>IF($C4268="","",IF(COUNTIF($C$2:$C4268,$C4268)=1,1,0))</f>
        <v/>
      </c>
      <c r="AH4268">
        <f>IF($AG4268=1,SUMPRODUCT(--($AK$2:$AK$6001&lt;$AK4268))+1,"")</f>
        <v/>
      </c>
      <c r="AI4268">
        <f>IF($C4268="","",IF(OR($N4268=TRUE(),$N4268="TRUE"),1,0))</f>
        <v/>
      </c>
      <c r="AJ4268">
        <f>IF($C4268="","",IF($T4268="Yes",1,0))</f>
        <v/>
      </c>
      <c r="AK4268">
        <f>IF($AG4268=1,IFERROR(IF(VALUE($C4268)&lt;100000000,VALUE($C4268),1000000000),IFERROR(IF(VALUE(MID($C4268,2,20))&lt;100000000,VALUE(MID($C4268,2,20)),1000000000),1000000000))+ROW()/100000,"")</f>
        <v/>
      </c>
    </row>
    <row r="4269">
      <c r="D4269" s="11" t="n"/>
      <c r="K4269" s="7">
        <f>IF($C4269="","",J4269*W4269/100)</f>
        <v/>
      </c>
      <c r="Q4269" s="7" t="n"/>
      <c r="R4269" s="7" t="n"/>
      <c r="U4269">
        <f>IF($C4269="","",IF($AJ4269=1,0,IF($AI4269=1,Settings!$C$6,Settings!$C$7))*100)</f>
        <v/>
      </c>
      <c r="V4269" s="7">
        <f>IF($C4269="","",R4269*U4269/100)</f>
        <v/>
      </c>
      <c r="W4269" s="7">
        <f>IF($C4269="","",R4269-V4269)</f>
        <v/>
      </c>
      <c r="X4269" s="7">
        <f>IF($C4269="","",W4269-K4269)</f>
        <v/>
      </c>
      <c r="AB4269" s="7" t="n"/>
      <c r="AE4269" s="11" t="n"/>
      <c r="AG4269">
        <f>IF($C4269="","",IF(COUNTIF($C$2:$C4269,$C4269)=1,1,0))</f>
        <v/>
      </c>
      <c r="AH4269">
        <f>IF($AG4269=1,SUMPRODUCT(--($AK$2:$AK$6001&lt;$AK4269))+1,"")</f>
        <v/>
      </c>
      <c r="AI4269">
        <f>IF($C4269="","",IF(OR($N4269=TRUE(),$N4269="TRUE"),1,0))</f>
        <v/>
      </c>
      <c r="AJ4269">
        <f>IF($C4269="","",IF($T4269="Yes",1,0))</f>
        <v/>
      </c>
      <c r="AK4269">
        <f>IF($AG4269=1,IFERROR(IF(VALUE($C4269)&lt;100000000,VALUE($C4269),1000000000),IFERROR(IF(VALUE(MID($C4269,2,20))&lt;100000000,VALUE(MID($C4269,2,20)),1000000000),1000000000))+ROW()/100000,"")</f>
        <v/>
      </c>
    </row>
    <row r="4270">
      <c r="D4270" s="11" t="n"/>
      <c r="K4270" s="7">
        <f>IF($C4270="","",J4270*W4270/100)</f>
        <v/>
      </c>
      <c r="Q4270" s="7" t="n"/>
      <c r="R4270" s="7" t="n"/>
      <c r="U4270">
        <f>IF($C4270="","",IF($AJ4270=1,0,IF($AI4270=1,Settings!$C$6,Settings!$C$7))*100)</f>
        <v/>
      </c>
      <c r="V4270" s="7">
        <f>IF($C4270="","",R4270*U4270/100)</f>
        <v/>
      </c>
      <c r="W4270" s="7">
        <f>IF($C4270="","",R4270-V4270)</f>
        <v/>
      </c>
      <c r="X4270" s="7">
        <f>IF($C4270="","",W4270-K4270)</f>
        <v/>
      </c>
      <c r="AB4270" s="7" t="n"/>
      <c r="AE4270" s="11" t="n"/>
      <c r="AG4270">
        <f>IF($C4270="","",IF(COUNTIF($C$2:$C4270,$C4270)=1,1,0))</f>
        <v/>
      </c>
      <c r="AH4270">
        <f>IF($AG4270=1,SUMPRODUCT(--($AK$2:$AK$6001&lt;$AK4270))+1,"")</f>
        <v/>
      </c>
      <c r="AI4270">
        <f>IF($C4270="","",IF(OR($N4270=TRUE(),$N4270="TRUE"),1,0))</f>
        <v/>
      </c>
      <c r="AJ4270">
        <f>IF($C4270="","",IF($T4270="Yes",1,0))</f>
        <v/>
      </c>
      <c r="AK4270">
        <f>IF($AG4270=1,IFERROR(IF(VALUE($C4270)&lt;100000000,VALUE($C4270),1000000000),IFERROR(IF(VALUE(MID($C4270,2,20))&lt;100000000,VALUE(MID($C4270,2,20)),1000000000),1000000000))+ROW()/100000,"")</f>
        <v/>
      </c>
    </row>
    <row r="4271">
      <c r="D4271" s="11" t="n"/>
      <c r="K4271" s="7">
        <f>IF($C4271="","",J4271*W4271/100)</f>
        <v/>
      </c>
      <c r="Q4271" s="7" t="n"/>
      <c r="R4271" s="7" t="n"/>
      <c r="U4271">
        <f>IF($C4271="","",IF($AJ4271=1,0,IF($AI4271=1,Settings!$C$6,Settings!$C$7))*100)</f>
        <v/>
      </c>
      <c r="V4271" s="7">
        <f>IF($C4271="","",R4271*U4271/100)</f>
        <v/>
      </c>
      <c r="W4271" s="7">
        <f>IF($C4271="","",R4271-V4271)</f>
        <v/>
      </c>
      <c r="X4271" s="7">
        <f>IF($C4271="","",W4271-K4271)</f>
        <v/>
      </c>
      <c r="AB4271" s="7" t="n"/>
      <c r="AE4271" s="11" t="n"/>
      <c r="AG4271">
        <f>IF($C4271="","",IF(COUNTIF($C$2:$C4271,$C4271)=1,1,0))</f>
        <v/>
      </c>
      <c r="AH4271">
        <f>IF($AG4271=1,SUMPRODUCT(--($AK$2:$AK$6001&lt;$AK4271))+1,"")</f>
        <v/>
      </c>
      <c r="AI4271">
        <f>IF($C4271="","",IF(OR($N4271=TRUE(),$N4271="TRUE"),1,0))</f>
        <v/>
      </c>
      <c r="AJ4271">
        <f>IF($C4271="","",IF($T4271="Yes",1,0))</f>
        <v/>
      </c>
      <c r="AK4271">
        <f>IF($AG4271=1,IFERROR(IF(VALUE($C4271)&lt;100000000,VALUE($C4271),1000000000),IFERROR(IF(VALUE(MID($C4271,2,20))&lt;100000000,VALUE(MID($C4271,2,20)),1000000000),1000000000))+ROW()/100000,"")</f>
        <v/>
      </c>
    </row>
    <row r="4272">
      <c r="D4272" s="11" t="n"/>
      <c r="K4272" s="7">
        <f>IF($C4272="","",J4272*W4272/100)</f>
        <v/>
      </c>
      <c r="Q4272" s="7" t="n"/>
      <c r="R4272" s="7" t="n"/>
      <c r="U4272">
        <f>IF($C4272="","",IF($AJ4272=1,0,IF($AI4272=1,Settings!$C$6,Settings!$C$7))*100)</f>
        <v/>
      </c>
      <c r="V4272" s="7">
        <f>IF($C4272="","",R4272*U4272/100)</f>
        <v/>
      </c>
      <c r="W4272" s="7">
        <f>IF($C4272="","",R4272-V4272)</f>
        <v/>
      </c>
      <c r="X4272" s="7">
        <f>IF($C4272="","",W4272-K4272)</f>
        <v/>
      </c>
      <c r="AB4272" s="7" t="n"/>
      <c r="AE4272" s="11" t="n"/>
      <c r="AG4272">
        <f>IF($C4272="","",IF(COUNTIF($C$2:$C4272,$C4272)=1,1,0))</f>
        <v/>
      </c>
      <c r="AH4272">
        <f>IF($AG4272=1,SUMPRODUCT(--($AK$2:$AK$6001&lt;$AK4272))+1,"")</f>
        <v/>
      </c>
      <c r="AI4272">
        <f>IF($C4272="","",IF(OR($N4272=TRUE(),$N4272="TRUE"),1,0))</f>
        <v/>
      </c>
      <c r="AJ4272">
        <f>IF($C4272="","",IF($T4272="Yes",1,0))</f>
        <v/>
      </c>
      <c r="AK4272">
        <f>IF($AG4272=1,IFERROR(IF(VALUE($C4272)&lt;100000000,VALUE($C4272),1000000000),IFERROR(IF(VALUE(MID($C4272,2,20))&lt;100000000,VALUE(MID($C4272,2,20)),1000000000),1000000000))+ROW()/100000,"")</f>
        <v/>
      </c>
    </row>
    <row r="4273">
      <c r="D4273" s="11" t="n"/>
      <c r="K4273" s="7">
        <f>IF($C4273="","",J4273*W4273/100)</f>
        <v/>
      </c>
      <c r="Q4273" s="7" t="n"/>
      <c r="R4273" s="7" t="n"/>
      <c r="U4273">
        <f>IF($C4273="","",IF($AJ4273=1,0,IF($AI4273=1,Settings!$C$6,Settings!$C$7))*100)</f>
        <v/>
      </c>
      <c r="V4273" s="7">
        <f>IF($C4273="","",R4273*U4273/100)</f>
        <v/>
      </c>
      <c r="W4273" s="7">
        <f>IF($C4273="","",R4273-V4273)</f>
        <v/>
      </c>
      <c r="X4273" s="7">
        <f>IF($C4273="","",W4273-K4273)</f>
        <v/>
      </c>
      <c r="AB4273" s="7" t="n"/>
      <c r="AE4273" s="11" t="n"/>
      <c r="AG4273">
        <f>IF($C4273="","",IF(COUNTIF($C$2:$C4273,$C4273)=1,1,0))</f>
        <v/>
      </c>
      <c r="AH4273">
        <f>IF($AG4273=1,SUMPRODUCT(--($AK$2:$AK$6001&lt;$AK4273))+1,"")</f>
        <v/>
      </c>
      <c r="AI4273">
        <f>IF($C4273="","",IF(OR($N4273=TRUE(),$N4273="TRUE"),1,0))</f>
        <v/>
      </c>
      <c r="AJ4273">
        <f>IF($C4273="","",IF($T4273="Yes",1,0))</f>
        <v/>
      </c>
      <c r="AK4273">
        <f>IF($AG4273=1,IFERROR(IF(VALUE($C4273)&lt;100000000,VALUE($C4273),1000000000),IFERROR(IF(VALUE(MID($C4273,2,20))&lt;100000000,VALUE(MID($C4273,2,20)),1000000000),1000000000))+ROW()/100000,"")</f>
        <v/>
      </c>
    </row>
    <row r="4274">
      <c r="D4274" s="11" t="n"/>
      <c r="K4274" s="7">
        <f>IF($C4274="","",J4274*W4274/100)</f>
        <v/>
      </c>
      <c r="Q4274" s="7" t="n"/>
      <c r="R4274" s="7" t="n"/>
      <c r="U4274">
        <f>IF($C4274="","",IF($AJ4274=1,0,IF($AI4274=1,Settings!$C$6,Settings!$C$7))*100)</f>
        <v/>
      </c>
      <c r="V4274" s="7">
        <f>IF($C4274="","",R4274*U4274/100)</f>
        <v/>
      </c>
      <c r="W4274" s="7">
        <f>IF($C4274="","",R4274-V4274)</f>
        <v/>
      </c>
      <c r="X4274" s="7">
        <f>IF($C4274="","",W4274-K4274)</f>
        <v/>
      </c>
      <c r="AB4274" s="7" t="n"/>
      <c r="AE4274" s="11" t="n"/>
      <c r="AG4274">
        <f>IF($C4274="","",IF(COUNTIF($C$2:$C4274,$C4274)=1,1,0))</f>
        <v/>
      </c>
      <c r="AH4274">
        <f>IF($AG4274=1,SUMPRODUCT(--($AK$2:$AK$6001&lt;$AK4274))+1,"")</f>
        <v/>
      </c>
      <c r="AI4274">
        <f>IF($C4274="","",IF(OR($N4274=TRUE(),$N4274="TRUE"),1,0))</f>
        <v/>
      </c>
      <c r="AJ4274">
        <f>IF($C4274="","",IF($T4274="Yes",1,0))</f>
        <v/>
      </c>
      <c r="AK4274">
        <f>IF($AG4274=1,IFERROR(IF(VALUE($C4274)&lt;100000000,VALUE($C4274),1000000000),IFERROR(IF(VALUE(MID($C4274,2,20))&lt;100000000,VALUE(MID($C4274,2,20)),1000000000),1000000000))+ROW()/100000,"")</f>
        <v/>
      </c>
    </row>
    <row r="4275">
      <c r="D4275" s="11" t="n"/>
      <c r="K4275" s="7">
        <f>IF($C4275="","",J4275*W4275/100)</f>
        <v/>
      </c>
      <c r="Q4275" s="7" t="n"/>
      <c r="R4275" s="7" t="n"/>
      <c r="U4275">
        <f>IF($C4275="","",IF($AJ4275=1,0,IF($AI4275=1,Settings!$C$6,Settings!$C$7))*100)</f>
        <v/>
      </c>
      <c r="V4275" s="7">
        <f>IF($C4275="","",R4275*U4275/100)</f>
        <v/>
      </c>
      <c r="W4275" s="7">
        <f>IF($C4275="","",R4275-V4275)</f>
        <v/>
      </c>
      <c r="X4275" s="7">
        <f>IF($C4275="","",W4275-K4275)</f>
        <v/>
      </c>
      <c r="AB4275" s="7" t="n"/>
      <c r="AE4275" s="11" t="n"/>
      <c r="AG4275">
        <f>IF($C4275="","",IF(COUNTIF($C$2:$C4275,$C4275)=1,1,0))</f>
        <v/>
      </c>
      <c r="AH4275">
        <f>IF($AG4275=1,SUMPRODUCT(--($AK$2:$AK$6001&lt;$AK4275))+1,"")</f>
        <v/>
      </c>
      <c r="AI4275">
        <f>IF($C4275="","",IF(OR($N4275=TRUE(),$N4275="TRUE"),1,0))</f>
        <v/>
      </c>
      <c r="AJ4275">
        <f>IF($C4275="","",IF($T4275="Yes",1,0))</f>
        <v/>
      </c>
      <c r="AK4275">
        <f>IF($AG4275=1,IFERROR(IF(VALUE($C4275)&lt;100000000,VALUE($C4275),1000000000),IFERROR(IF(VALUE(MID($C4275,2,20))&lt;100000000,VALUE(MID($C4275,2,20)),1000000000),1000000000))+ROW()/100000,"")</f>
        <v/>
      </c>
    </row>
    <row r="4276">
      <c r="D4276" s="11" t="n"/>
      <c r="K4276" s="7">
        <f>IF($C4276="","",J4276*W4276/100)</f>
        <v/>
      </c>
      <c r="Q4276" s="7" t="n"/>
      <c r="R4276" s="7" t="n"/>
      <c r="U4276">
        <f>IF($C4276="","",IF($AJ4276=1,0,IF($AI4276=1,Settings!$C$6,Settings!$C$7))*100)</f>
        <v/>
      </c>
      <c r="V4276" s="7">
        <f>IF($C4276="","",R4276*U4276/100)</f>
        <v/>
      </c>
      <c r="W4276" s="7">
        <f>IF($C4276="","",R4276-V4276)</f>
        <v/>
      </c>
      <c r="X4276" s="7">
        <f>IF($C4276="","",W4276-K4276)</f>
        <v/>
      </c>
      <c r="AB4276" s="7" t="n"/>
      <c r="AE4276" s="11" t="n"/>
      <c r="AG4276">
        <f>IF($C4276="","",IF(COUNTIF($C$2:$C4276,$C4276)=1,1,0))</f>
        <v/>
      </c>
      <c r="AH4276">
        <f>IF($AG4276=1,SUMPRODUCT(--($AK$2:$AK$6001&lt;$AK4276))+1,"")</f>
        <v/>
      </c>
      <c r="AI4276">
        <f>IF($C4276="","",IF(OR($N4276=TRUE(),$N4276="TRUE"),1,0))</f>
        <v/>
      </c>
      <c r="AJ4276">
        <f>IF($C4276="","",IF($T4276="Yes",1,0))</f>
        <v/>
      </c>
      <c r="AK4276">
        <f>IF($AG4276=1,IFERROR(IF(VALUE($C4276)&lt;100000000,VALUE($C4276),1000000000),IFERROR(IF(VALUE(MID($C4276,2,20))&lt;100000000,VALUE(MID($C4276,2,20)),1000000000),1000000000))+ROW()/100000,"")</f>
        <v/>
      </c>
    </row>
    <row r="4277">
      <c r="D4277" s="11" t="n"/>
      <c r="K4277" s="7">
        <f>IF($C4277="","",J4277*W4277/100)</f>
        <v/>
      </c>
      <c r="Q4277" s="7" t="n"/>
      <c r="R4277" s="7" t="n"/>
      <c r="U4277">
        <f>IF($C4277="","",IF($AJ4277=1,0,IF($AI4277=1,Settings!$C$6,Settings!$C$7))*100)</f>
        <v/>
      </c>
      <c r="V4277" s="7">
        <f>IF($C4277="","",R4277*U4277/100)</f>
        <v/>
      </c>
      <c r="W4277" s="7">
        <f>IF($C4277="","",R4277-V4277)</f>
        <v/>
      </c>
      <c r="X4277" s="7">
        <f>IF($C4277="","",W4277-K4277)</f>
        <v/>
      </c>
      <c r="AB4277" s="7" t="n"/>
      <c r="AE4277" s="11" t="n"/>
      <c r="AG4277">
        <f>IF($C4277="","",IF(COUNTIF($C$2:$C4277,$C4277)=1,1,0))</f>
        <v/>
      </c>
      <c r="AH4277">
        <f>IF($AG4277=1,SUMPRODUCT(--($AK$2:$AK$6001&lt;$AK4277))+1,"")</f>
        <v/>
      </c>
      <c r="AI4277">
        <f>IF($C4277="","",IF(OR($N4277=TRUE(),$N4277="TRUE"),1,0))</f>
        <v/>
      </c>
      <c r="AJ4277">
        <f>IF($C4277="","",IF($T4277="Yes",1,0))</f>
        <v/>
      </c>
      <c r="AK4277">
        <f>IF($AG4277=1,IFERROR(IF(VALUE($C4277)&lt;100000000,VALUE($C4277),1000000000),IFERROR(IF(VALUE(MID($C4277,2,20))&lt;100000000,VALUE(MID($C4277,2,20)),1000000000),1000000000))+ROW()/100000,"")</f>
        <v/>
      </c>
    </row>
    <row r="4278">
      <c r="D4278" s="11" t="n"/>
      <c r="K4278" s="7">
        <f>IF($C4278="","",J4278*W4278/100)</f>
        <v/>
      </c>
      <c r="Q4278" s="7" t="n"/>
      <c r="R4278" s="7" t="n"/>
      <c r="U4278">
        <f>IF($C4278="","",IF($AJ4278=1,0,IF($AI4278=1,Settings!$C$6,Settings!$C$7))*100)</f>
        <v/>
      </c>
      <c r="V4278" s="7">
        <f>IF($C4278="","",R4278*U4278/100)</f>
        <v/>
      </c>
      <c r="W4278" s="7">
        <f>IF($C4278="","",R4278-V4278)</f>
        <v/>
      </c>
      <c r="X4278" s="7">
        <f>IF($C4278="","",W4278-K4278)</f>
        <v/>
      </c>
      <c r="AB4278" s="7" t="n"/>
      <c r="AE4278" s="11" t="n"/>
      <c r="AG4278">
        <f>IF($C4278="","",IF(COUNTIF($C$2:$C4278,$C4278)=1,1,0))</f>
        <v/>
      </c>
      <c r="AH4278">
        <f>IF($AG4278=1,SUMPRODUCT(--($AK$2:$AK$6001&lt;$AK4278))+1,"")</f>
        <v/>
      </c>
      <c r="AI4278">
        <f>IF($C4278="","",IF(OR($N4278=TRUE(),$N4278="TRUE"),1,0))</f>
        <v/>
      </c>
      <c r="AJ4278">
        <f>IF($C4278="","",IF($T4278="Yes",1,0))</f>
        <v/>
      </c>
      <c r="AK4278">
        <f>IF($AG4278=1,IFERROR(IF(VALUE($C4278)&lt;100000000,VALUE($C4278),1000000000),IFERROR(IF(VALUE(MID($C4278,2,20))&lt;100000000,VALUE(MID($C4278,2,20)),1000000000),1000000000))+ROW()/100000,"")</f>
        <v/>
      </c>
    </row>
    <row r="4279">
      <c r="D4279" s="11" t="n"/>
      <c r="K4279" s="7">
        <f>IF($C4279="","",J4279*W4279/100)</f>
        <v/>
      </c>
      <c r="Q4279" s="7" t="n"/>
      <c r="R4279" s="7" t="n"/>
      <c r="U4279">
        <f>IF($C4279="","",IF($AJ4279=1,0,IF($AI4279=1,Settings!$C$6,Settings!$C$7))*100)</f>
        <v/>
      </c>
      <c r="V4279" s="7">
        <f>IF($C4279="","",R4279*U4279/100)</f>
        <v/>
      </c>
      <c r="W4279" s="7">
        <f>IF($C4279="","",R4279-V4279)</f>
        <v/>
      </c>
      <c r="X4279" s="7">
        <f>IF($C4279="","",W4279-K4279)</f>
        <v/>
      </c>
      <c r="AB4279" s="7" t="n"/>
      <c r="AE4279" s="11" t="n"/>
      <c r="AG4279">
        <f>IF($C4279="","",IF(COUNTIF($C$2:$C4279,$C4279)=1,1,0))</f>
        <v/>
      </c>
      <c r="AH4279">
        <f>IF($AG4279=1,SUMPRODUCT(--($AK$2:$AK$6001&lt;$AK4279))+1,"")</f>
        <v/>
      </c>
      <c r="AI4279">
        <f>IF($C4279="","",IF(OR($N4279=TRUE(),$N4279="TRUE"),1,0))</f>
        <v/>
      </c>
      <c r="AJ4279">
        <f>IF($C4279="","",IF($T4279="Yes",1,0))</f>
        <v/>
      </c>
      <c r="AK4279">
        <f>IF($AG4279=1,IFERROR(IF(VALUE($C4279)&lt;100000000,VALUE($C4279),1000000000),IFERROR(IF(VALUE(MID($C4279,2,20))&lt;100000000,VALUE(MID($C4279,2,20)),1000000000),1000000000))+ROW()/100000,"")</f>
        <v/>
      </c>
    </row>
    <row r="4280">
      <c r="D4280" s="11" t="n"/>
      <c r="K4280" s="7">
        <f>IF($C4280="","",J4280*W4280/100)</f>
        <v/>
      </c>
      <c r="Q4280" s="7" t="n"/>
      <c r="R4280" s="7" t="n"/>
      <c r="U4280">
        <f>IF($C4280="","",IF($AJ4280=1,0,IF($AI4280=1,Settings!$C$6,Settings!$C$7))*100)</f>
        <v/>
      </c>
      <c r="V4280" s="7">
        <f>IF($C4280="","",R4280*U4280/100)</f>
        <v/>
      </c>
      <c r="W4280" s="7">
        <f>IF($C4280="","",R4280-V4280)</f>
        <v/>
      </c>
      <c r="X4280" s="7">
        <f>IF($C4280="","",W4280-K4280)</f>
        <v/>
      </c>
      <c r="AB4280" s="7" t="n"/>
      <c r="AE4280" s="11" t="n"/>
      <c r="AG4280">
        <f>IF($C4280="","",IF(COUNTIF($C$2:$C4280,$C4280)=1,1,0))</f>
        <v/>
      </c>
      <c r="AH4280">
        <f>IF($AG4280=1,SUMPRODUCT(--($AK$2:$AK$6001&lt;$AK4280))+1,"")</f>
        <v/>
      </c>
      <c r="AI4280">
        <f>IF($C4280="","",IF(OR($N4280=TRUE(),$N4280="TRUE"),1,0))</f>
        <v/>
      </c>
      <c r="AJ4280">
        <f>IF($C4280="","",IF($T4280="Yes",1,0))</f>
        <v/>
      </c>
      <c r="AK4280">
        <f>IF($AG4280=1,IFERROR(IF(VALUE($C4280)&lt;100000000,VALUE($C4280),1000000000),IFERROR(IF(VALUE(MID($C4280,2,20))&lt;100000000,VALUE(MID($C4280,2,20)),1000000000),1000000000))+ROW()/100000,"")</f>
        <v/>
      </c>
    </row>
    <row r="4281">
      <c r="D4281" s="11" t="n"/>
      <c r="K4281" s="7">
        <f>IF($C4281="","",J4281*W4281/100)</f>
        <v/>
      </c>
      <c r="Q4281" s="7" t="n"/>
      <c r="R4281" s="7" t="n"/>
      <c r="U4281">
        <f>IF($C4281="","",IF($AJ4281=1,0,IF($AI4281=1,Settings!$C$6,Settings!$C$7))*100)</f>
        <v/>
      </c>
      <c r="V4281" s="7">
        <f>IF($C4281="","",R4281*U4281/100)</f>
        <v/>
      </c>
      <c r="W4281" s="7">
        <f>IF($C4281="","",R4281-V4281)</f>
        <v/>
      </c>
      <c r="X4281" s="7">
        <f>IF($C4281="","",W4281-K4281)</f>
        <v/>
      </c>
      <c r="AB4281" s="7" t="n"/>
      <c r="AE4281" s="11" t="n"/>
      <c r="AG4281">
        <f>IF($C4281="","",IF(COUNTIF($C$2:$C4281,$C4281)=1,1,0))</f>
        <v/>
      </c>
      <c r="AH4281">
        <f>IF($AG4281=1,SUMPRODUCT(--($AK$2:$AK$6001&lt;$AK4281))+1,"")</f>
        <v/>
      </c>
      <c r="AI4281">
        <f>IF($C4281="","",IF(OR($N4281=TRUE(),$N4281="TRUE"),1,0))</f>
        <v/>
      </c>
      <c r="AJ4281">
        <f>IF($C4281="","",IF($T4281="Yes",1,0))</f>
        <v/>
      </c>
      <c r="AK4281">
        <f>IF($AG4281=1,IFERROR(IF(VALUE($C4281)&lt;100000000,VALUE($C4281),1000000000),IFERROR(IF(VALUE(MID($C4281,2,20))&lt;100000000,VALUE(MID($C4281,2,20)),1000000000),1000000000))+ROW()/100000,"")</f>
        <v/>
      </c>
    </row>
    <row r="4282">
      <c r="D4282" s="11" t="n"/>
      <c r="K4282" s="7">
        <f>IF($C4282="","",J4282*W4282/100)</f>
        <v/>
      </c>
      <c r="Q4282" s="7" t="n"/>
      <c r="R4282" s="7" t="n"/>
      <c r="U4282">
        <f>IF($C4282="","",IF($AJ4282=1,0,IF($AI4282=1,Settings!$C$6,Settings!$C$7))*100)</f>
        <v/>
      </c>
      <c r="V4282" s="7">
        <f>IF($C4282="","",R4282*U4282/100)</f>
        <v/>
      </c>
      <c r="W4282" s="7">
        <f>IF($C4282="","",R4282-V4282)</f>
        <v/>
      </c>
      <c r="X4282" s="7">
        <f>IF($C4282="","",W4282-K4282)</f>
        <v/>
      </c>
      <c r="AB4282" s="7" t="n"/>
      <c r="AE4282" s="11" t="n"/>
      <c r="AG4282">
        <f>IF($C4282="","",IF(COUNTIF($C$2:$C4282,$C4282)=1,1,0))</f>
        <v/>
      </c>
      <c r="AH4282">
        <f>IF($AG4282=1,SUMPRODUCT(--($AK$2:$AK$6001&lt;$AK4282))+1,"")</f>
        <v/>
      </c>
      <c r="AI4282">
        <f>IF($C4282="","",IF(OR($N4282=TRUE(),$N4282="TRUE"),1,0))</f>
        <v/>
      </c>
      <c r="AJ4282">
        <f>IF($C4282="","",IF($T4282="Yes",1,0))</f>
        <v/>
      </c>
      <c r="AK4282">
        <f>IF($AG4282=1,IFERROR(IF(VALUE($C4282)&lt;100000000,VALUE($C4282),1000000000),IFERROR(IF(VALUE(MID($C4282,2,20))&lt;100000000,VALUE(MID($C4282,2,20)),1000000000),1000000000))+ROW()/100000,"")</f>
        <v/>
      </c>
    </row>
    <row r="4283">
      <c r="D4283" s="11" t="n"/>
      <c r="K4283" s="7">
        <f>IF($C4283="","",J4283*W4283/100)</f>
        <v/>
      </c>
      <c r="Q4283" s="7" t="n"/>
      <c r="R4283" s="7" t="n"/>
      <c r="U4283">
        <f>IF($C4283="","",IF($AJ4283=1,0,IF($AI4283=1,Settings!$C$6,Settings!$C$7))*100)</f>
        <v/>
      </c>
      <c r="V4283" s="7">
        <f>IF($C4283="","",R4283*U4283/100)</f>
        <v/>
      </c>
      <c r="W4283" s="7">
        <f>IF($C4283="","",R4283-V4283)</f>
        <v/>
      </c>
      <c r="X4283" s="7">
        <f>IF($C4283="","",W4283-K4283)</f>
        <v/>
      </c>
      <c r="AB4283" s="7" t="n"/>
      <c r="AE4283" s="11" t="n"/>
      <c r="AG4283">
        <f>IF($C4283="","",IF(COUNTIF($C$2:$C4283,$C4283)=1,1,0))</f>
        <v/>
      </c>
      <c r="AH4283">
        <f>IF($AG4283=1,SUMPRODUCT(--($AK$2:$AK$6001&lt;$AK4283))+1,"")</f>
        <v/>
      </c>
      <c r="AI4283">
        <f>IF($C4283="","",IF(OR($N4283=TRUE(),$N4283="TRUE"),1,0))</f>
        <v/>
      </c>
      <c r="AJ4283">
        <f>IF($C4283="","",IF($T4283="Yes",1,0))</f>
        <v/>
      </c>
      <c r="AK4283">
        <f>IF($AG4283=1,IFERROR(IF(VALUE($C4283)&lt;100000000,VALUE($C4283),1000000000),IFERROR(IF(VALUE(MID($C4283,2,20))&lt;100000000,VALUE(MID($C4283,2,20)),1000000000),1000000000))+ROW()/100000,"")</f>
        <v/>
      </c>
    </row>
    <row r="4284">
      <c r="D4284" s="11" t="n"/>
      <c r="K4284" s="7">
        <f>IF($C4284="","",J4284*W4284/100)</f>
        <v/>
      </c>
      <c r="Q4284" s="7" t="n"/>
      <c r="R4284" s="7" t="n"/>
      <c r="U4284">
        <f>IF($C4284="","",IF($AJ4284=1,0,IF($AI4284=1,Settings!$C$6,Settings!$C$7))*100)</f>
        <v/>
      </c>
      <c r="V4284" s="7">
        <f>IF($C4284="","",R4284*U4284/100)</f>
        <v/>
      </c>
      <c r="W4284" s="7">
        <f>IF($C4284="","",R4284-V4284)</f>
        <v/>
      </c>
      <c r="X4284" s="7">
        <f>IF($C4284="","",W4284-K4284)</f>
        <v/>
      </c>
      <c r="AB4284" s="7" t="n"/>
      <c r="AE4284" s="11" t="n"/>
      <c r="AG4284">
        <f>IF($C4284="","",IF(COUNTIF($C$2:$C4284,$C4284)=1,1,0))</f>
        <v/>
      </c>
      <c r="AH4284">
        <f>IF($AG4284=1,SUMPRODUCT(--($AK$2:$AK$6001&lt;$AK4284))+1,"")</f>
        <v/>
      </c>
      <c r="AI4284">
        <f>IF($C4284="","",IF(OR($N4284=TRUE(),$N4284="TRUE"),1,0))</f>
        <v/>
      </c>
      <c r="AJ4284">
        <f>IF($C4284="","",IF($T4284="Yes",1,0))</f>
        <v/>
      </c>
      <c r="AK4284">
        <f>IF($AG4284=1,IFERROR(IF(VALUE($C4284)&lt;100000000,VALUE($C4284),1000000000),IFERROR(IF(VALUE(MID($C4284,2,20))&lt;100000000,VALUE(MID($C4284,2,20)),1000000000),1000000000))+ROW()/100000,"")</f>
        <v/>
      </c>
    </row>
    <row r="4285">
      <c r="D4285" s="11" t="n"/>
      <c r="K4285" s="7">
        <f>IF($C4285="","",J4285*W4285/100)</f>
        <v/>
      </c>
      <c r="Q4285" s="7" t="n"/>
      <c r="R4285" s="7" t="n"/>
      <c r="U4285">
        <f>IF($C4285="","",IF($AJ4285=1,0,IF($AI4285=1,Settings!$C$6,Settings!$C$7))*100)</f>
        <v/>
      </c>
      <c r="V4285" s="7">
        <f>IF($C4285="","",R4285*U4285/100)</f>
        <v/>
      </c>
      <c r="W4285" s="7">
        <f>IF($C4285="","",R4285-V4285)</f>
        <v/>
      </c>
      <c r="X4285" s="7">
        <f>IF($C4285="","",W4285-K4285)</f>
        <v/>
      </c>
      <c r="AB4285" s="7" t="n"/>
      <c r="AE4285" s="11" t="n"/>
      <c r="AG4285">
        <f>IF($C4285="","",IF(COUNTIF($C$2:$C4285,$C4285)=1,1,0))</f>
        <v/>
      </c>
      <c r="AH4285">
        <f>IF($AG4285=1,SUMPRODUCT(--($AK$2:$AK$6001&lt;$AK4285))+1,"")</f>
        <v/>
      </c>
      <c r="AI4285">
        <f>IF($C4285="","",IF(OR($N4285=TRUE(),$N4285="TRUE"),1,0))</f>
        <v/>
      </c>
      <c r="AJ4285">
        <f>IF($C4285="","",IF($T4285="Yes",1,0))</f>
        <v/>
      </c>
      <c r="AK4285">
        <f>IF($AG4285=1,IFERROR(IF(VALUE($C4285)&lt;100000000,VALUE($C4285),1000000000),IFERROR(IF(VALUE(MID($C4285,2,20))&lt;100000000,VALUE(MID($C4285,2,20)),1000000000),1000000000))+ROW()/100000,"")</f>
        <v/>
      </c>
    </row>
    <row r="4286">
      <c r="D4286" s="11" t="n"/>
      <c r="K4286" s="7">
        <f>IF($C4286="","",J4286*W4286/100)</f>
        <v/>
      </c>
      <c r="Q4286" s="7" t="n"/>
      <c r="R4286" s="7" t="n"/>
      <c r="U4286">
        <f>IF($C4286="","",IF($AJ4286=1,0,IF($AI4286=1,Settings!$C$6,Settings!$C$7))*100)</f>
        <v/>
      </c>
      <c r="V4286" s="7">
        <f>IF($C4286="","",R4286*U4286/100)</f>
        <v/>
      </c>
      <c r="W4286" s="7">
        <f>IF($C4286="","",R4286-V4286)</f>
        <v/>
      </c>
      <c r="X4286" s="7">
        <f>IF($C4286="","",W4286-K4286)</f>
        <v/>
      </c>
      <c r="AB4286" s="7" t="n"/>
      <c r="AE4286" s="11" t="n"/>
      <c r="AG4286">
        <f>IF($C4286="","",IF(COUNTIF($C$2:$C4286,$C4286)=1,1,0))</f>
        <v/>
      </c>
      <c r="AH4286">
        <f>IF($AG4286=1,SUMPRODUCT(--($AK$2:$AK$6001&lt;$AK4286))+1,"")</f>
        <v/>
      </c>
      <c r="AI4286">
        <f>IF($C4286="","",IF(OR($N4286=TRUE(),$N4286="TRUE"),1,0))</f>
        <v/>
      </c>
      <c r="AJ4286">
        <f>IF($C4286="","",IF($T4286="Yes",1,0))</f>
        <v/>
      </c>
      <c r="AK4286">
        <f>IF($AG4286=1,IFERROR(IF(VALUE($C4286)&lt;100000000,VALUE($C4286),1000000000),IFERROR(IF(VALUE(MID($C4286,2,20))&lt;100000000,VALUE(MID($C4286,2,20)),1000000000),1000000000))+ROW()/100000,"")</f>
        <v/>
      </c>
    </row>
    <row r="4287">
      <c r="D4287" s="11" t="n"/>
      <c r="K4287" s="7">
        <f>IF($C4287="","",J4287*W4287/100)</f>
        <v/>
      </c>
      <c r="Q4287" s="7" t="n"/>
      <c r="R4287" s="7" t="n"/>
      <c r="U4287">
        <f>IF($C4287="","",IF($AJ4287=1,0,IF($AI4287=1,Settings!$C$6,Settings!$C$7))*100)</f>
        <v/>
      </c>
      <c r="V4287" s="7">
        <f>IF($C4287="","",R4287*U4287/100)</f>
        <v/>
      </c>
      <c r="W4287" s="7">
        <f>IF($C4287="","",R4287-V4287)</f>
        <v/>
      </c>
      <c r="X4287" s="7">
        <f>IF($C4287="","",W4287-K4287)</f>
        <v/>
      </c>
      <c r="AB4287" s="7" t="n"/>
      <c r="AE4287" s="11" t="n"/>
      <c r="AG4287">
        <f>IF($C4287="","",IF(COUNTIF($C$2:$C4287,$C4287)=1,1,0))</f>
        <v/>
      </c>
      <c r="AH4287">
        <f>IF($AG4287=1,SUMPRODUCT(--($AK$2:$AK$6001&lt;$AK4287))+1,"")</f>
        <v/>
      </c>
      <c r="AI4287">
        <f>IF($C4287="","",IF(OR($N4287=TRUE(),$N4287="TRUE"),1,0))</f>
        <v/>
      </c>
      <c r="AJ4287">
        <f>IF($C4287="","",IF($T4287="Yes",1,0))</f>
        <v/>
      </c>
      <c r="AK4287">
        <f>IF($AG4287=1,IFERROR(IF(VALUE($C4287)&lt;100000000,VALUE($C4287),1000000000),IFERROR(IF(VALUE(MID($C4287,2,20))&lt;100000000,VALUE(MID($C4287,2,20)),1000000000),1000000000))+ROW()/100000,"")</f>
        <v/>
      </c>
    </row>
    <row r="4288">
      <c r="D4288" s="11" t="n"/>
      <c r="K4288" s="7">
        <f>IF($C4288="","",J4288*W4288/100)</f>
        <v/>
      </c>
      <c r="Q4288" s="7" t="n"/>
      <c r="R4288" s="7" t="n"/>
      <c r="U4288">
        <f>IF($C4288="","",IF($AJ4288=1,0,IF($AI4288=1,Settings!$C$6,Settings!$C$7))*100)</f>
        <v/>
      </c>
      <c r="V4288" s="7">
        <f>IF($C4288="","",R4288*U4288/100)</f>
        <v/>
      </c>
      <c r="W4288" s="7">
        <f>IF($C4288="","",R4288-V4288)</f>
        <v/>
      </c>
      <c r="X4288" s="7">
        <f>IF($C4288="","",W4288-K4288)</f>
        <v/>
      </c>
      <c r="AB4288" s="7" t="n"/>
      <c r="AE4288" s="11" t="n"/>
      <c r="AG4288">
        <f>IF($C4288="","",IF(COUNTIF($C$2:$C4288,$C4288)=1,1,0))</f>
        <v/>
      </c>
      <c r="AH4288">
        <f>IF($AG4288=1,SUMPRODUCT(--($AK$2:$AK$6001&lt;$AK4288))+1,"")</f>
        <v/>
      </c>
      <c r="AI4288">
        <f>IF($C4288="","",IF(OR($N4288=TRUE(),$N4288="TRUE"),1,0))</f>
        <v/>
      </c>
      <c r="AJ4288">
        <f>IF($C4288="","",IF($T4288="Yes",1,0))</f>
        <v/>
      </c>
      <c r="AK4288">
        <f>IF($AG4288=1,IFERROR(IF(VALUE($C4288)&lt;100000000,VALUE($C4288),1000000000),IFERROR(IF(VALUE(MID($C4288,2,20))&lt;100000000,VALUE(MID($C4288,2,20)),1000000000),1000000000))+ROW()/100000,"")</f>
        <v/>
      </c>
    </row>
    <row r="4289">
      <c r="D4289" s="11" t="n"/>
      <c r="K4289" s="7">
        <f>IF($C4289="","",J4289*W4289/100)</f>
        <v/>
      </c>
      <c r="Q4289" s="7" t="n"/>
      <c r="R4289" s="7" t="n"/>
      <c r="U4289">
        <f>IF($C4289="","",IF($AJ4289=1,0,IF($AI4289=1,Settings!$C$6,Settings!$C$7))*100)</f>
        <v/>
      </c>
      <c r="V4289" s="7">
        <f>IF($C4289="","",R4289*U4289/100)</f>
        <v/>
      </c>
      <c r="W4289" s="7">
        <f>IF($C4289="","",R4289-V4289)</f>
        <v/>
      </c>
      <c r="X4289" s="7">
        <f>IF($C4289="","",W4289-K4289)</f>
        <v/>
      </c>
      <c r="AB4289" s="7" t="n"/>
      <c r="AE4289" s="11" t="n"/>
      <c r="AG4289">
        <f>IF($C4289="","",IF(COUNTIF($C$2:$C4289,$C4289)=1,1,0))</f>
        <v/>
      </c>
      <c r="AH4289">
        <f>IF($AG4289=1,SUMPRODUCT(--($AK$2:$AK$6001&lt;$AK4289))+1,"")</f>
        <v/>
      </c>
      <c r="AI4289">
        <f>IF($C4289="","",IF(OR($N4289=TRUE(),$N4289="TRUE"),1,0))</f>
        <v/>
      </c>
      <c r="AJ4289">
        <f>IF($C4289="","",IF($T4289="Yes",1,0))</f>
        <v/>
      </c>
      <c r="AK4289">
        <f>IF($AG4289=1,IFERROR(IF(VALUE($C4289)&lt;100000000,VALUE($C4289),1000000000),IFERROR(IF(VALUE(MID($C4289,2,20))&lt;100000000,VALUE(MID($C4289,2,20)),1000000000),1000000000))+ROW()/100000,"")</f>
        <v/>
      </c>
    </row>
    <row r="4290">
      <c r="D4290" s="11" t="n"/>
      <c r="K4290" s="7">
        <f>IF($C4290="","",J4290*W4290/100)</f>
        <v/>
      </c>
      <c r="Q4290" s="7" t="n"/>
      <c r="R4290" s="7" t="n"/>
      <c r="U4290">
        <f>IF($C4290="","",IF($AJ4290=1,0,IF($AI4290=1,Settings!$C$6,Settings!$C$7))*100)</f>
        <v/>
      </c>
      <c r="V4290" s="7">
        <f>IF($C4290="","",R4290*U4290/100)</f>
        <v/>
      </c>
      <c r="W4290" s="7">
        <f>IF($C4290="","",R4290-V4290)</f>
        <v/>
      </c>
      <c r="X4290" s="7">
        <f>IF($C4290="","",W4290-K4290)</f>
        <v/>
      </c>
      <c r="AB4290" s="7" t="n"/>
      <c r="AE4290" s="11" t="n"/>
      <c r="AG4290">
        <f>IF($C4290="","",IF(COUNTIF($C$2:$C4290,$C4290)=1,1,0))</f>
        <v/>
      </c>
      <c r="AH4290">
        <f>IF($AG4290=1,SUMPRODUCT(--($AK$2:$AK$6001&lt;$AK4290))+1,"")</f>
        <v/>
      </c>
      <c r="AI4290">
        <f>IF($C4290="","",IF(OR($N4290=TRUE(),$N4290="TRUE"),1,0))</f>
        <v/>
      </c>
      <c r="AJ4290">
        <f>IF($C4290="","",IF($T4290="Yes",1,0))</f>
        <v/>
      </c>
      <c r="AK4290">
        <f>IF($AG4290=1,IFERROR(IF(VALUE($C4290)&lt;100000000,VALUE($C4290),1000000000),IFERROR(IF(VALUE(MID($C4290,2,20))&lt;100000000,VALUE(MID($C4290,2,20)),1000000000),1000000000))+ROW()/100000,"")</f>
        <v/>
      </c>
    </row>
    <row r="4291">
      <c r="D4291" s="11" t="n"/>
      <c r="K4291" s="7">
        <f>IF($C4291="","",J4291*W4291/100)</f>
        <v/>
      </c>
      <c r="Q4291" s="7" t="n"/>
      <c r="R4291" s="7" t="n"/>
      <c r="U4291">
        <f>IF($C4291="","",IF($AJ4291=1,0,IF($AI4291=1,Settings!$C$6,Settings!$C$7))*100)</f>
        <v/>
      </c>
      <c r="V4291" s="7">
        <f>IF($C4291="","",R4291*U4291/100)</f>
        <v/>
      </c>
      <c r="W4291" s="7">
        <f>IF($C4291="","",R4291-V4291)</f>
        <v/>
      </c>
      <c r="X4291" s="7">
        <f>IF($C4291="","",W4291-K4291)</f>
        <v/>
      </c>
      <c r="AB4291" s="7" t="n"/>
      <c r="AE4291" s="11" t="n"/>
      <c r="AG4291">
        <f>IF($C4291="","",IF(COUNTIF($C$2:$C4291,$C4291)=1,1,0))</f>
        <v/>
      </c>
      <c r="AH4291">
        <f>IF($AG4291=1,SUMPRODUCT(--($AK$2:$AK$6001&lt;$AK4291))+1,"")</f>
        <v/>
      </c>
      <c r="AI4291">
        <f>IF($C4291="","",IF(OR($N4291=TRUE(),$N4291="TRUE"),1,0))</f>
        <v/>
      </c>
      <c r="AJ4291">
        <f>IF($C4291="","",IF($T4291="Yes",1,0))</f>
        <v/>
      </c>
      <c r="AK4291">
        <f>IF($AG4291=1,IFERROR(IF(VALUE($C4291)&lt;100000000,VALUE($C4291),1000000000),IFERROR(IF(VALUE(MID($C4291,2,20))&lt;100000000,VALUE(MID($C4291,2,20)),1000000000),1000000000))+ROW()/100000,"")</f>
        <v/>
      </c>
    </row>
    <row r="4292">
      <c r="D4292" s="11" t="n"/>
      <c r="K4292" s="7">
        <f>IF($C4292="","",J4292*W4292/100)</f>
        <v/>
      </c>
      <c r="Q4292" s="7" t="n"/>
      <c r="R4292" s="7" t="n"/>
      <c r="U4292">
        <f>IF($C4292="","",IF($AJ4292=1,0,IF($AI4292=1,Settings!$C$6,Settings!$C$7))*100)</f>
        <v/>
      </c>
      <c r="V4292" s="7">
        <f>IF($C4292="","",R4292*U4292/100)</f>
        <v/>
      </c>
      <c r="W4292" s="7">
        <f>IF($C4292="","",R4292-V4292)</f>
        <v/>
      </c>
      <c r="X4292" s="7">
        <f>IF($C4292="","",W4292-K4292)</f>
        <v/>
      </c>
      <c r="AB4292" s="7" t="n"/>
      <c r="AE4292" s="11" t="n"/>
      <c r="AG4292">
        <f>IF($C4292="","",IF(COUNTIF($C$2:$C4292,$C4292)=1,1,0))</f>
        <v/>
      </c>
      <c r="AH4292">
        <f>IF($AG4292=1,SUMPRODUCT(--($AK$2:$AK$6001&lt;$AK4292))+1,"")</f>
        <v/>
      </c>
      <c r="AI4292">
        <f>IF($C4292="","",IF(OR($N4292=TRUE(),$N4292="TRUE"),1,0))</f>
        <v/>
      </c>
      <c r="AJ4292">
        <f>IF($C4292="","",IF($T4292="Yes",1,0))</f>
        <v/>
      </c>
      <c r="AK4292">
        <f>IF($AG4292=1,IFERROR(IF(VALUE($C4292)&lt;100000000,VALUE($C4292),1000000000),IFERROR(IF(VALUE(MID($C4292,2,20))&lt;100000000,VALUE(MID($C4292,2,20)),1000000000),1000000000))+ROW()/100000,"")</f>
        <v/>
      </c>
    </row>
    <row r="4293">
      <c r="D4293" s="11" t="n"/>
      <c r="K4293" s="7">
        <f>IF($C4293="","",J4293*W4293/100)</f>
        <v/>
      </c>
      <c r="Q4293" s="7" t="n"/>
      <c r="R4293" s="7" t="n"/>
      <c r="U4293">
        <f>IF($C4293="","",IF($AJ4293=1,0,IF($AI4293=1,Settings!$C$6,Settings!$C$7))*100)</f>
        <v/>
      </c>
      <c r="V4293" s="7">
        <f>IF($C4293="","",R4293*U4293/100)</f>
        <v/>
      </c>
      <c r="W4293" s="7">
        <f>IF($C4293="","",R4293-V4293)</f>
        <v/>
      </c>
      <c r="X4293" s="7">
        <f>IF($C4293="","",W4293-K4293)</f>
        <v/>
      </c>
      <c r="AB4293" s="7" t="n"/>
      <c r="AE4293" s="11" t="n"/>
      <c r="AG4293">
        <f>IF($C4293="","",IF(COUNTIF($C$2:$C4293,$C4293)=1,1,0))</f>
        <v/>
      </c>
      <c r="AH4293">
        <f>IF($AG4293=1,SUMPRODUCT(--($AK$2:$AK$6001&lt;$AK4293))+1,"")</f>
        <v/>
      </c>
      <c r="AI4293">
        <f>IF($C4293="","",IF(OR($N4293=TRUE(),$N4293="TRUE"),1,0))</f>
        <v/>
      </c>
      <c r="AJ4293">
        <f>IF($C4293="","",IF($T4293="Yes",1,0))</f>
        <v/>
      </c>
      <c r="AK4293">
        <f>IF($AG4293=1,IFERROR(IF(VALUE($C4293)&lt;100000000,VALUE($C4293),1000000000),IFERROR(IF(VALUE(MID($C4293,2,20))&lt;100000000,VALUE(MID($C4293,2,20)),1000000000),1000000000))+ROW()/100000,"")</f>
        <v/>
      </c>
    </row>
    <row r="4294">
      <c r="D4294" s="11" t="n"/>
      <c r="K4294" s="7">
        <f>IF($C4294="","",J4294*W4294/100)</f>
        <v/>
      </c>
      <c r="Q4294" s="7" t="n"/>
      <c r="R4294" s="7" t="n"/>
      <c r="U4294">
        <f>IF($C4294="","",IF($AJ4294=1,0,IF($AI4294=1,Settings!$C$6,Settings!$C$7))*100)</f>
        <v/>
      </c>
      <c r="V4294" s="7">
        <f>IF($C4294="","",R4294*U4294/100)</f>
        <v/>
      </c>
      <c r="W4294" s="7">
        <f>IF($C4294="","",R4294-V4294)</f>
        <v/>
      </c>
      <c r="X4294" s="7">
        <f>IF($C4294="","",W4294-K4294)</f>
        <v/>
      </c>
      <c r="AB4294" s="7" t="n"/>
      <c r="AE4294" s="11" t="n"/>
      <c r="AG4294">
        <f>IF($C4294="","",IF(COUNTIF($C$2:$C4294,$C4294)=1,1,0))</f>
        <v/>
      </c>
      <c r="AH4294">
        <f>IF($AG4294=1,SUMPRODUCT(--($AK$2:$AK$6001&lt;$AK4294))+1,"")</f>
        <v/>
      </c>
      <c r="AI4294">
        <f>IF($C4294="","",IF(OR($N4294=TRUE(),$N4294="TRUE"),1,0))</f>
        <v/>
      </c>
      <c r="AJ4294">
        <f>IF($C4294="","",IF($T4294="Yes",1,0))</f>
        <v/>
      </c>
      <c r="AK4294">
        <f>IF($AG4294=1,IFERROR(IF(VALUE($C4294)&lt;100000000,VALUE($C4294),1000000000),IFERROR(IF(VALUE(MID($C4294,2,20))&lt;100000000,VALUE(MID($C4294,2,20)),1000000000),1000000000))+ROW()/100000,"")</f>
        <v/>
      </c>
    </row>
    <row r="4295">
      <c r="D4295" s="11" t="n"/>
      <c r="K4295" s="7">
        <f>IF($C4295="","",J4295*W4295/100)</f>
        <v/>
      </c>
      <c r="Q4295" s="7" t="n"/>
      <c r="R4295" s="7" t="n"/>
      <c r="U4295">
        <f>IF($C4295="","",IF($AJ4295=1,0,IF($AI4295=1,Settings!$C$6,Settings!$C$7))*100)</f>
        <v/>
      </c>
      <c r="V4295" s="7">
        <f>IF($C4295="","",R4295*U4295/100)</f>
        <v/>
      </c>
      <c r="W4295" s="7">
        <f>IF($C4295="","",R4295-V4295)</f>
        <v/>
      </c>
      <c r="X4295" s="7">
        <f>IF($C4295="","",W4295-K4295)</f>
        <v/>
      </c>
      <c r="AB4295" s="7" t="n"/>
      <c r="AE4295" s="11" t="n"/>
      <c r="AG4295">
        <f>IF($C4295="","",IF(COUNTIF($C$2:$C4295,$C4295)=1,1,0))</f>
        <v/>
      </c>
      <c r="AH4295">
        <f>IF($AG4295=1,SUMPRODUCT(--($AK$2:$AK$6001&lt;$AK4295))+1,"")</f>
        <v/>
      </c>
      <c r="AI4295">
        <f>IF($C4295="","",IF(OR($N4295=TRUE(),$N4295="TRUE"),1,0))</f>
        <v/>
      </c>
      <c r="AJ4295">
        <f>IF($C4295="","",IF($T4295="Yes",1,0))</f>
        <v/>
      </c>
      <c r="AK4295">
        <f>IF($AG4295=1,IFERROR(IF(VALUE($C4295)&lt;100000000,VALUE($C4295),1000000000),IFERROR(IF(VALUE(MID($C4295,2,20))&lt;100000000,VALUE(MID($C4295,2,20)),1000000000),1000000000))+ROW()/100000,"")</f>
        <v/>
      </c>
    </row>
    <row r="4296">
      <c r="D4296" s="11" t="n"/>
      <c r="K4296" s="7">
        <f>IF($C4296="","",J4296*W4296/100)</f>
        <v/>
      </c>
      <c r="Q4296" s="7" t="n"/>
      <c r="R4296" s="7" t="n"/>
      <c r="U4296">
        <f>IF($C4296="","",IF($AJ4296=1,0,IF($AI4296=1,Settings!$C$6,Settings!$C$7))*100)</f>
        <v/>
      </c>
      <c r="V4296" s="7">
        <f>IF($C4296="","",R4296*U4296/100)</f>
        <v/>
      </c>
      <c r="W4296" s="7">
        <f>IF($C4296="","",R4296-V4296)</f>
        <v/>
      </c>
      <c r="X4296" s="7">
        <f>IF($C4296="","",W4296-K4296)</f>
        <v/>
      </c>
      <c r="AB4296" s="7" t="n"/>
      <c r="AE4296" s="11" t="n"/>
      <c r="AG4296">
        <f>IF($C4296="","",IF(COUNTIF($C$2:$C4296,$C4296)=1,1,0))</f>
        <v/>
      </c>
      <c r="AH4296">
        <f>IF($AG4296=1,SUMPRODUCT(--($AK$2:$AK$6001&lt;$AK4296))+1,"")</f>
        <v/>
      </c>
      <c r="AI4296">
        <f>IF($C4296="","",IF(OR($N4296=TRUE(),$N4296="TRUE"),1,0))</f>
        <v/>
      </c>
      <c r="AJ4296">
        <f>IF($C4296="","",IF($T4296="Yes",1,0))</f>
        <v/>
      </c>
      <c r="AK4296">
        <f>IF($AG4296=1,IFERROR(IF(VALUE($C4296)&lt;100000000,VALUE($C4296),1000000000),IFERROR(IF(VALUE(MID($C4296,2,20))&lt;100000000,VALUE(MID($C4296,2,20)),1000000000),1000000000))+ROW()/100000,"")</f>
        <v/>
      </c>
    </row>
    <row r="4297">
      <c r="D4297" s="11" t="n"/>
      <c r="K4297" s="7">
        <f>IF($C4297="","",J4297*W4297/100)</f>
        <v/>
      </c>
      <c r="Q4297" s="7" t="n"/>
      <c r="R4297" s="7" t="n"/>
      <c r="U4297">
        <f>IF($C4297="","",IF($AJ4297=1,0,IF($AI4297=1,Settings!$C$6,Settings!$C$7))*100)</f>
        <v/>
      </c>
      <c r="V4297" s="7">
        <f>IF($C4297="","",R4297*U4297/100)</f>
        <v/>
      </c>
      <c r="W4297" s="7">
        <f>IF($C4297="","",R4297-V4297)</f>
        <v/>
      </c>
      <c r="X4297" s="7">
        <f>IF($C4297="","",W4297-K4297)</f>
        <v/>
      </c>
      <c r="AB4297" s="7" t="n"/>
      <c r="AE4297" s="11" t="n"/>
      <c r="AG4297">
        <f>IF($C4297="","",IF(COUNTIF($C$2:$C4297,$C4297)=1,1,0))</f>
        <v/>
      </c>
      <c r="AH4297">
        <f>IF($AG4297=1,SUMPRODUCT(--($AK$2:$AK$6001&lt;$AK4297))+1,"")</f>
        <v/>
      </c>
      <c r="AI4297">
        <f>IF($C4297="","",IF(OR($N4297=TRUE(),$N4297="TRUE"),1,0))</f>
        <v/>
      </c>
      <c r="AJ4297">
        <f>IF($C4297="","",IF($T4297="Yes",1,0))</f>
        <v/>
      </c>
      <c r="AK4297">
        <f>IF($AG4297=1,IFERROR(IF(VALUE($C4297)&lt;100000000,VALUE($C4297),1000000000),IFERROR(IF(VALUE(MID($C4297,2,20))&lt;100000000,VALUE(MID($C4297,2,20)),1000000000),1000000000))+ROW()/100000,"")</f>
        <v/>
      </c>
    </row>
    <row r="4298">
      <c r="D4298" s="11" t="n"/>
      <c r="K4298" s="7">
        <f>IF($C4298="","",J4298*W4298/100)</f>
        <v/>
      </c>
      <c r="Q4298" s="7" t="n"/>
      <c r="R4298" s="7" t="n"/>
      <c r="U4298">
        <f>IF($C4298="","",IF($AJ4298=1,0,IF($AI4298=1,Settings!$C$6,Settings!$C$7))*100)</f>
        <v/>
      </c>
      <c r="V4298" s="7">
        <f>IF($C4298="","",R4298*U4298/100)</f>
        <v/>
      </c>
      <c r="W4298" s="7">
        <f>IF($C4298="","",R4298-V4298)</f>
        <v/>
      </c>
      <c r="X4298" s="7">
        <f>IF($C4298="","",W4298-K4298)</f>
        <v/>
      </c>
      <c r="AB4298" s="7" t="n"/>
      <c r="AE4298" s="11" t="n"/>
      <c r="AG4298">
        <f>IF($C4298="","",IF(COUNTIF($C$2:$C4298,$C4298)=1,1,0))</f>
        <v/>
      </c>
      <c r="AH4298">
        <f>IF($AG4298=1,SUMPRODUCT(--($AK$2:$AK$6001&lt;$AK4298))+1,"")</f>
        <v/>
      </c>
      <c r="AI4298">
        <f>IF($C4298="","",IF(OR($N4298=TRUE(),$N4298="TRUE"),1,0))</f>
        <v/>
      </c>
      <c r="AJ4298">
        <f>IF($C4298="","",IF($T4298="Yes",1,0))</f>
        <v/>
      </c>
      <c r="AK4298">
        <f>IF($AG4298=1,IFERROR(IF(VALUE($C4298)&lt;100000000,VALUE($C4298),1000000000),IFERROR(IF(VALUE(MID($C4298,2,20))&lt;100000000,VALUE(MID($C4298,2,20)),1000000000),1000000000))+ROW()/100000,"")</f>
        <v/>
      </c>
    </row>
    <row r="4299">
      <c r="D4299" s="11" t="n"/>
      <c r="K4299" s="7">
        <f>IF($C4299="","",J4299*W4299/100)</f>
        <v/>
      </c>
      <c r="Q4299" s="7" t="n"/>
      <c r="R4299" s="7" t="n"/>
      <c r="U4299">
        <f>IF($C4299="","",IF($AJ4299=1,0,IF($AI4299=1,Settings!$C$6,Settings!$C$7))*100)</f>
        <v/>
      </c>
      <c r="V4299" s="7">
        <f>IF($C4299="","",R4299*U4299/100)</f>
        <v/>
      </c>
      <c r="W4299" s="7">
        <f>IF($C4299="","",R4299-V4299)</f>
        <v/>
      </c>
      <c r="X4299" s="7">
        <f>IF($C4299="","",W4299-K4299)</f>
        <v/>
      </c>
      <c r="AB4299" s="7" t="n"/>
      <c r="AE4299" s="11" t="n"/>
      <c r="AG4299">
        <f>IF($C4299="","",IF(COUNTIF($C$2:$C4299,$C4299)=1,1,0))</f>
        <v/>
      </c>
      <c r="AH4299">
        <f>IF($AG4299=1,SUMPRODUCT(--($AK$2:$AK$6001&lt;$AK4299))+1,"")</f>
        <v/>
      </c>
      <c r="AI4299">
        <f>IF($C4299="","",IF(OR($N4299=TRUE(),$N4299="TRUE"),1,0))</f>
        <v/>
      </c>
      <c r="AJ4299">
        <f>IF($C4299="","",IF($T4299="Yes",1,0))</f>
        <v/>
      </c>
      <c r="AK4299">
        <f>IF($AG4299=1,IFERROR(IF(VALUE($C4299)&lt;100000000,VALUE($C4299),1000000000),IFERROR(IF(VALUE(MID($C4299,2,20))&lt;100000000,VALUE(MID($C4299,2,20)),1000000000),1000000000))+ROW()/100000,"")</f>
        <v/>
      </c>
    </row>
    <row r="4300">
      <c r="D4300" s="11" t="n"/>
      <c r="K4300" s="7">
        <f>IF($C4300="","",J4300*W4300/100)</f>
        <v/>
      </c>
      <c r="Q4300" s="7" t="n"/>
      <c r="R4300" s="7" t="n"/>
      <c r="U4300">
        <f>IF($C4300="","",IF($AJ4300=1,0,IF($AI4300=1,Settings!$C$6,Settings!$C$7))*100)</f>
        <v/>
      </c>
      <c r="V4300" s="7">
        <f>IF($C4300="","",R4300*U4300/100)</f>
        <v/>
      </c>
      <c r="W4300" s="7">
        <f>IF($C4300="","",R4300-V4300)</f>
        <v/>
      </c>
      <c r="X4300" s="7">
        <f>IF($C4300="","",W4300-K4300)</f>
        <v/>
      </c>
      <c r="AB4300" s="7" t="n"/>
      <c r="AE4300" s="11" t="n"/>
      <c r="AG4300">
        <f>IF($C4300="","",IF(COUNTIF($C$2:$C4300,$C4300)=1,1,0))</f>
        <v/>
      </c>
      <c r="AH4300">
        <f>IF($AG4300=1,SUMPRODUCT(--($AK$2:$AK$6001&lt;$AK4300))+1,"")</f>
        <v/>
      </c>
      <c r="AI4300">
        <f>IF($C4300="","",IF(OR($N4300=TRUE(),$N4300="TRUE"),1,0))</f>
        <v/>
      </c>
      <c r="AJ4300">
        <f>IF($C4300="","",IF($T4300="Yes",1,0))</f>
        <v/>
      </c>
      <c r="AK4300">
        <f>IF($AG4300=1,IFERROR(IF(VALUE($C4300)&lt;100000000,VALUE($C4300),1000000000),IFERROR(IF(VALUE(MID($C4300,2,20))&lt;100000000,VALUE(MID($C4300,2,20)),1000000000),1000000000))+ROW()/100000,"")</f>
        <v/>
      </c>
    </row>
    <row r="4301">
      <c r="D4301" s="11" t="n"/>
      <c r="K4301" s="7">
        <f>IF($C4301="","",J4301*W4301/100)</f>
        <v/>
      </c>
      <c r="Q4301" s="7" t="n"/>
      <c r="R4301" s="7" t="n"/>
      <c r="U4301">
        <f>IF($C4301="","",IF($AJ4301=1,0,IF($AI4301=1,Settings!$C$6,Settings!$C$7))*100)</f>
        <v/>
      </c>
      <c r="V4301" s="7">
        <f>IF($C4301="","",R4301*U4301/100)</f>
        <v/>
      </c>
      <c r="W4301" s="7">
        <f>IF($C4301="","",R4301-V4301)</f>
        <v/>
      </c>
      <c r="X4301" s="7">
        <f>IF($C4301="","",W4301-K4301)</f>
        <v/>
      </c>
      <c r="AB4301" s="7" t="n"/>
      <c r="AE4301" s="11" t="n"/>
      <c r="AG4301">
        <f>IF($C4301="","",IF(COUNTIF($C$2:$C4301,$C4301)=1,1,0))</f>
        <v/>
      </c>
      <c r="AH4301">
        <f>IF($AG4301=1,SUMPRODUCT(--($AK$2:$AK$6001&lt;$AK4301))+1,"")</f>
        <v/>
      </c>
      <c r="AI4301">
        <f>IF($C4301="","",IF(OR($N4301=TRUE(),$N4301="TRUE"),1,0))</f>
        <v/>
      </c>
      <c r="AJ4301">
        <f>IF($C4301="","",IF($T4301="Yes",1,0))</f>
        <v/>
      </c>
      <c r="AK4301">
        <f>IF($AG4301=1,IFERROR(IF(VALUE($C4301)&lt;100000000,VALUE($C4301),1000000000),IFERROR(IF(VALUE(MID($C4301,2,20))&lt;100000000,VALUE(MID($C4301,2,20)),1000000000),1000000000))+ROW()/100000,"")</f>
        <v/>
      </c>
    </row>
    <row r="4302">
      <c r="D4302" s="11" t="n"/>
      <c r="K4302" s="7">
        <f>IF($C4302="","",J4302*W4302/100)</f>
        <v/>
      </c>
      <c r="Q4302" s="7" t="n"/>
      <c r="R4302" s="7" t="n"/>
      <c r="U4302">
        <f>IF($C4302="","",IF($AJ4302=1,0,IF($AI4302=1,Settings!$C$6,Settings!$C$7))*100)</f>
        <v/>
      </c>
      <c r="V4302" s="7">
        <f>IF($C4302="","",R4302*U4302/100)</f>
        <v/>
      </c>
      <c r="W4302" s="7">
        <f>IF($C4302="","",R4302-V4302)</f>
        <v/>
      </c>
      <c r="X4302" s="7">
        <f>IF($C4302="","",W4302-K4302)</f>
        <v/>
      </c>
      <c r="AB4302" s="7" t="n"/>
      <c r="AE4302" s="11" t="n"/>
      <c r="AG4302">
        <f>IF($C4302="","",IF(COUNTIF($C$2:$C4302,$C4302)=1,1,0))</f>
        <v/>
      </c>
      <c r="AH4302">
        <f>IF($AG4302=1,SUMPRODUCT(--($AK$2:$AK$6001&lt;$AK4302))+1,"")</f>
        <v/>
      </c>
      <c r="AI4302">
        <f>IF($C4302="","",IF(OR($N4302=TRUE(),$N4302="TRUE"),1,0))</f>
        <v/>
      </c>
      <c r="AJ4302">
        <f>IF($C4302="","",IF($T4302="Yes",1,0))</f>
        <v/>
      </c>
      <c r="AK4302">
        <f>IF($AG4302=1,IFERROR(IF(VALUE($C4302)&lt;100000000,VALUE($C4302),1000000000),IFERROR(IF(VALUE(MID($C4302,2,20))&lt;100000000,VALUE(MID($C4302,2,20)),1000000000),1000000000))+ROW()/100000,"")</f>
        <v/>
      </c>
    </row>
    <row r="4303">
      <c r="D4303" s="11" t="n"/>
      <c r="K4303" s="7">
        <f>IF($C4303="","",J4303*W4303/100)</f>
        <v/>
      </c>
      <c r="Q4303" s="7" t="n"/>
      <c r="R4303" s="7" t="n"/>
      <c r="U4303">
        <f>IF($C4303="","",IF($AJ4303=1,0,IF($AI4303=1,Settings!$C$6,Settings!$C$7))*100)</f>
        <v/>
      </c>
      <c r="V4303" s="7">
        <f>IF($C4303="","",R4303*U4303/100)</f>
        <v/>
      </c>
      <c r="W4303" s="7">
        <f>IF($C4303="","",R4303-V4303)</f>
        <v/>
      </c>
      <c r="X4303" s="7">
        <f>IF($C4303="","",W4303-K4303)</f>
        <v/>
      </c>
      <c r="AB4303" s="7" t="n"/>
      <c r="AE4303" s="11" t="n"/>
      <c r="AG4303">
        <f>IF($C4303="","",IF(COUNTIF($C$2:$C4303,$C4303)=1,1,0))</f>
        <v/>
      </c>
      <c r="AH4303">
        <f>IF($AG4303=1,SUMPRODUCT(--($AK$2:$AK$6001&lt;$AK4303))+1,"")</f>
        <v/>
      </c>
      <c r="AI4303">
        <f>IF($C4303="","",IF(OR($N4303=TRUE(),$N4303="TRUE"),1,0))</f>
        <v/>
      </c>
      <c r="AJ4303">
        <f>IF($C4303="","",IF($T4303="Yes",1,0))</f>
        <v/>
      </c>
      <c r="AK4303">
        <f>IF($AG4303=1,IFERROR(IF(VALUE($C4303)&lt;100000000,VALUE($C4303),1000000000),IFERROR(IF(VALUE(MID($C4303,2,20))&lt;100000000,VALUE(MID($C4303,2,20)),1000000000),1000000000))+ROW()/100000,"")</f>
        <v/>
      </c>
    </row>
    <row r="4304">
      <c r="D4304" s="11" t="n"/>
      <c r="K4304" s="7">
        <f>IF($C4304="","",J4304*W4304/100)</f>
        <v/>
      </c>
      <c r="Q4304" s="7" t="n"/>
      <c r="R4304" s="7" t="n"/>
      <c r="U4304">
        <f>IF($C4304="","",IF($AJ4304=1,0,IF($AI4304=1,Settings!$C$6,Settings!$C$7))*100)</f>
        <v/>
      </c>
      <c r="V4304" s="7">
        <f>IF($C4304="","",R4304*U4304/100)</f>
        <v/>
      </c>
      <c r="W4304" s="7">
        <f>IF($C4304="","",R4304-V4304)</f>
        <v/>
      </c>
      <c r="X4304" s="7">
        <f>IF($C4304="","",W4304-K4304)</f>
        <v/>
      </c>
      <c r="AB4304" s="7" t="n"/>
      <c r="AE4304" s="11" t="n"/>
      <c r="AG4304">
        <f>IF($C4304="","",IF(COUNTIF($C$2:$C4304,$C4304)=1,1,0))</f>
        <v/>
      </c>
      <c r="AH4304">
        <f>IF($AG4304=1,SUMPRODUCT(--($AK$2:$AK$6001&lt;$AK4304))+1,"")</f>
        <v/>
      </c>
      <c r="AI4304">
        <f>IF($C4304="","",IF(OR($N4304=TRUE(),$N4304="TRUE"),1,0))</f>
        <v/>
      </c>
      <c r="AJ4304">
        <f>IF($C4304="","",IF($T4304="Yes",1,0))</f>
        <v/>
      </c>
      <c r="AK4304">
        <f>IF($AG4304=1,IFERROR(IF(VALUE($C4304)&lt;100000000,VALUE($C4304),1000000000),IFERROR(IF(VALUE(MID($C4304,2,20))&lt;100000000,VALUE(MID($C4304,2,20)),1000000000),1000000000))+ROW()/100000,"")</f>
        <v/>
      </c>
    </row>
    <row r="4305">
      <c r="D4305" s="11" t="n"/>
      <c r="K4305" s="7">
        <f>IF($C4305="","",J4305*W4305/100)</f>
        <v/>
      </c>
      <c r="Q4305" s="7" t="n"/>
      <c r="R4305" s="7" t="n"/>
      <c r="U4305">
        <f>IF($C4305="","",IF($AJ4305=1,0,IF($AI4305=1,Settings!$C$6,Settings!$C$7))*100)</f>
        <v/>
      </c>
      <c r="V4305" s="7">
        <f>IF($C4305="","",R4305*U4305/100)</f>
        <v/>
      </c>
      <c r="W4305" s="7">
        <f>IF($C4305="","",R4305-V4305)</f>
        <v/>
      </c>
      <c r="X4305" s="7">
        <f>IF($C4305="","",W4305-K4305)</f>
        <v/>
      </c>
      <c r="AB4305" s="7" t="n"/>
      <c r="AE4305" s="11" t="n"/>
      <c r="AG4305">
        <f>IF($C4305="","",IF(COUNTIF($C$2:$C4305,$C4305)=1,1,0))</f>
        <v/>
      </c>
      <c r="AH4305">
        <f>IF($AG4305=1,SUMPRODUCT(--($AK$2:$AK$6001&lt;$AK4305))+1,"")</f>
        <v/>
      </c>
      <c r="AI4305">
        <f>IF($C4305="","",IF(OR($N4305=TRUE(),$N4305="TRUE"),1,0))</f>
        <v/>
      </c>
      <c r="AJ4305">
        <f>IF($C4305="","",IF($T4305="Yes",1,0))</f>
        <v/>
      </c>
      <c r="AK4305">
        <f>IF($AG4305=1,IFERROR(IF(VALUE($C4305)&lt;100000000,VALUE($C4305),1000000000),IFERROR(IF(VALUE(MID($C4305,2,20))&lt;100000000,VALUE(MID($C4305,2,20)),1000000000),1000000000))+ROW()/100000,"")</f>
        <v/>
      </c>
    </row>
    <row r="4306">
      <c r="D4306" s="11" t="n"/>
      <c r="K4306" s="7">
        <f>IF($C4306="","",J4306*W4306/100)</f>
        <v/>
      </c>
      <c r="Q4306" s="7" t="n"/>
      <c r="R4306" s="7" t="n"/>
      <c r="U4306">
        <f>IF($C4306="","",IF($AJ4306=1,0,IF($AI4306=1,Settings!$C$6,Settings!$C$7))*100)</f>
        <v/>
      </c>
      <c r="V4306" s="7">
        <f>IF($C4306="","",R4306*U4306/100)</f>
        <v/>
      </c>
      <c r="W4306" s="7">
        <f>IF($C4306="","",R4306-V4306)</f>
        <v/>
      </c>
      <c r="X4306" s="7">
        <f>IF($C4306="","",W4306-K4306)</f>
        <v/>
      </c>
      <c r="AB4306" s="7" t="n"/>
      <c r="AE4306" s="11" t="n"/>
      <c r="AG4306">
        <f>IF($C4306="","",IF(COUNTIF($C$2:$C4306,$C4306)=1,1,0))</f>
        <v/>
      </c>
      <c r="AH4306">
        <f>IF($AG4306=1,SUMPRODUCT(--($AK$2:$AK$6001&lt;$AK4306))+1,"")</f>
        <v/>
      </c>
      <c r="AI4306">
        <f>IF($C4306="","",IF(OR($N4306=TRUE(),$N4306="TRUE"),1,0))</f>
        <v/>
      </c>
      <c r="AJ4306">
        <f>IF($C4306="","",IF($T4306="Yes",1,0))</f>
        <v/>
      </c>
      <c r="AK4306">
        <f>IF($AG4306=1,IFERROR(IF(VALUE($C4306)&lt;100000000,VALUE($C4306),1000000000),IFERROR(IF(VALUE(MID($C4306,2,20))&lt;100000000,VALUE(MID($C4306,2,20)),1000000000),1000000000))+ROW()/100000,"")</f>
        <v/>
      </c>
    </row>
    <row r="4307">
      <c r="D4307" s="11" t="n"/>
      <c r="K4307" s="7">
        <f>IF($C4307="","",J4307*W4307/100)</f>
        <v/>
      </c>
      <c r="Q4307" s="7" t="n"/>
      <c r="R4307" s="7" t="n"/>
      <c r="U4307">
        <f>IF($C4307="","",IF($AJ4307=1,0,IF($AI4307=1,Settings!$C$6,Settings!$C$7))*100)</f>
        <v/>
      </c>
      <c r="V4307" s="7">
        <f>IF($C4307="","",R4307*U4307/100)</f>
        <v/>
      </c>
      <c r="W4307" s="7">
        <f>IF($C4307="","",R4307-V4307)</f>
        <v/>
      </c>
      <c r="X4307" s="7">
        <f>IF($C4307="","",W4307-K4307)</f>
        <v/>
      </c>
      <c r="AB4307" s="7" t="n"/>
      <c r="AE4307" s="11" t="n"/>
      <c r="AG4307">
        <f>IF($C4307="","",IF(COUNTIF($C$2:$C4307,$C4307)=1,1,0))</f>
        <v/>
      </c>
      <c r="AH4307">
        <f>IF($AG4307=1,SUMPRODUCT(--($AK$2:$AK$6001&lt;$AK4307))+1,"")</f>
        <v/>
      </c>
      <c r="AI4307">
        <f>IF($C4307="","",IF(OR($N4307=TRUE(),$N4307="TRUE"),1,0))</f>
        <v/>
      </c>
      <c r="AJ4307">
        <f>IF($C4307="","",IF($T4307="Yes",1,0))</f>
        <v/>
      </c>
      <c r="AK4307">
        <f>IF($AG4307=1,IFERROR(IF(VALUE($C4307)&lt;100000000,VALUE($C4307),1000000000),IFERROR(IF(VALUE(MID($C4307,2,20))&lt;100000000,VALUE(MID($C4307,2,20)),1000000000),1000000000))+ROW()/100000,"")</f>
        <v/>
      </c>
    </row>
    <row r="4308">
      <c r="D4308" s="11" t="n"/>
      <c r="K4308" s="7">
        <f>IF($C4308="","",J4308*W4308/100)</f>
        <v/>
      </c>
      <c r="Q4308" s="7" t="n"/>
      <c r="R4308" s="7" t="n"/>
      <c r="U4308">
        <f>IF($C4308="","",IF($AJ4308=1,0,IF($AI4308=1,Settings!$C$6,Settings!$C$7))*100)</f>
        <v/>
      </c>
      <c r="V4308" s="7">
        <f>IF($C4308="","",R4308*U4308/100)</f>
        <v/>
      </c>
      <c r="W4308" s="7">
        <f>IF($C4308="","",R4308-V4308)</f>
        <v/>
      </c>
      <c r="X4308" s="7">
        <f>IF($C4308="","",W4308-K4308)</f>
        <v/>
      </c>
      <c r="AB4308" s="7" t="n"/>
      <c r="AE4308" s="11" t="n"/>
      <c r="AG4308">
        <f>IF($C4308="","",IF(COUNTIF($C$2:$C4308,$C4308)=1,1,0))</f>
        <v/>
      </c>
      <c r="AH4308">
        <f>IF($AG4308=1,SUMPRODUCT(--($AK$2:$AK$6001&lt;$AK4308))+1,"")</f>
        <v/>
      </c>
      <c r="AI4308">
        <f>IF($C4308="","",IF(OR($N4308=TRUE(),$N4308="TRUE"),1,0))</f>
        <v/>
      </c>
      <c r="AJ4308">
        <f>IF($C4308="","",IF($T4308="Yes",1,0))</f>
        <v/>
      </c>
      <c r="AK4308">
        <f>IF($AG4308=1,IFERROR(IF(VALUE($C4308)&lt;100000000,VALUE($C4308),1000000000),IFERROR(IF(VALUE(MID($C4308,2,20))&lt;100000000,VALUE(MID($C4308,2,20)),1000000000),1000000000))+ROW()/100000,"")</f>
        <v/>
      </c>
    </row>
    <row r="4309">
      <c r="D4309" s="11" t="n"/>
      <c r="K4309" s="7">
        <f>IF($C4309="","",J4309*W4309/100)</f>
        <v/>
      </c>
      <c r="Q4309" s="7" t="n"/>
      <c r="R4309" s="7" t="n"/>
      <c r="U4309">
        <f>IF($C4309="","",IF($AJ4309=1,0,IF($AI4309=1,Settings!$C$6,Settings!$C$7))*100)</f>
        <v/>
      </c>
      <c r="V4309" s="7">
        <f>IF($C4309="","",R4309*U4309/100)</f>
        <v/>
      </c>
      <c r="W4309" s="7">
        <f>IF($C4309="","",R4309-V4309)</f>
        <v/>
      </c>
      <c r="X4309" s="7">
        <f>IF($C4309="","",W4309-K4309)</f>
        <v/>
      </c>
      <c r="AB4309" s="7" t="n"/>
      <c r="AE4309" s="11" t="n"/>
      <c r="AG4309">
        <f>IF($C4309="","",IF(COUNTIF($C$2:$C4309,$C4309)=1,1,0))</f>
        <v/>
      </c>
      <c r="AH4309">
        <f>IF($AG4309=1,SUMPRODUCT(--($AK$2:$AK$6001&lt;$AK4309))+1,"")</f>
        <v/>
      </c>
      <c r="AI4309">
        <f>IF($C4309="","",IF(OR($N4309=TRUE(),$N4309="TRUE"),1,0))</f>
        <v/>
      </c>
      <c r="AJ4309">
        <f>IF($C4309="","",IF($T4309="Yes",1,0))</f>
        <v/>
      </c>
      <c r="AK4309">
        <f>IF($AG4309=1,IFERROR(IF(VALUE($C4309)&lt;100000000,VALUE($C4309),1000000000),IFERROR(IF(VALUE(MID($C4309,2,20))&lt;100000000,VALUE(MID($C4309,2,20)),1000000000),1000000000))+ROW()/100000,"")</f>
        <v/>
      </c>
    </row>
    <row r="4310">
      <c r="D4310" s="11" t="n"/>
      <c r="K4310" s="7">
        <f>IF($C4310="","",J4310*W4310/100)</f>
        <v/>
      </c>
      <c r="Q4310" s="7" t="n"/>
      <c r="R4310" s="7" t="n"/>
      <c r="U4310">
        <f>IF($C4310="","",IF($AJ4310=1,0,IF($AI4310=1,Settings!$C$6,Settings!$C$7))*100)</f>
        <v/>
      </c>
      <c r="V4310" s="7">
        <f>IF($C4310="","",R4310*U4310/100)</f>
        <v/>
      </c>
      <c r="W4310" s="7">
        <f>IF($C4310="","",R4310-V4310)</f>
        <v/>
      </c>
      <c r="X4310" s="7">
        <f>IF($C4310="","",W4310-K4310)</f>
        <v/>
      </c>
      <c r="AB4310" s="7" t="n"/>
      <c r="AE4310" s="11" t="n"/>
      <c r="AG4310">
        <f>IF($C4310="","",IF(COUNTIF($C$2:$C4310,$C4310)=1,1,0))</f>
        <v/>
      </c>
      <c r="AH4310">
        <f>IF($AG4310=1,SUMPRODUCT(--($AK$2:$AK$6001&lt;$AK4310))+1,"")</f>
        <v/>
      </c>
      <c r="AI4310">
        <f>IF($C4310="","",IF(OR($N4310=TRUE(),$N4310="TRUE"),1,0))</f>
        <v/>
      </c>
      <c r="AJ4310">
        <f>IF($C4310="","",IF($T4310="Yes",1,0))</f>
        <v/>
      </c>
      <c r="AK4310">
        <f>IF($AG4310=1,IFERROR(IF(VALUE($C4310)&lt;100000000,VALUE($C4310),1000000000),IFERROR(IF(VALUE(MID($C4310,2,20))&lt;100000000,VALUE(MID($C4310,2,20)),1000000000),1000000000))+ROW()/100000,"")</f>
        <v/>
      </c>
    </row>
    <row r="4311">
      <c r="D4311" s="11" t="n"/>
      <c r="K4311" s="7">
        <f>IF($C4311="","",J4311*W4311/100)</f>
        <v/>
      </c>
      <c r="Q4311" s="7" t="n"/>
      <c r="R4311" s="7" t="n"/>
      <c r="U4311">
        <f>IF($C4311="","",IF($AJ4311=1,0,IF($AI4311=1,Settings!$C$6,Settings!$C$7))*100)</f>
        <v/>
      </c>
      <c r="V4311" s="7">
        <f>IF($C4311="","",R4311*U4311/100)</f>
        <v/>
      </c>
      <c r="W4311" s="7">
        <f>IF($C4311="","",R4311-V4311)</f>
        <v/>
      </c>
      <c r="X4311" s="7">
        <f>IF($C4311="","",W4311-K4311)</f>
        <v/>
      </c>
      <c r="AB4311" s="7" t="n"/>
      <c r="AE4311" s="11" t="n"/>
      <c r="AG4311">
        <f>IF($C4311="","",IF(COUNTIF($C$2:$C4311,$C4311)=1,1,0))</f>
        <v/>
      </c>
      <c r="AH4311">
        <f>IF($AG4311=1,SUMPRODUCT(--($AK$2:$AK$6001&lt;$AK4311))+1,"")</f>
        <v/>
      </c>
      <c r="AI4311">
        <f>IF($C4311="","",IF(OR($N4311=TRUE(),$N4311="TRUE"),1,0))</f>
        <v/>
      </c>
      <c r="AJ4311">
        <f>IF($C4311="","",IF($T4311="Yes",1,0))</f>
        <v/>
      </c>
      <c r="AK4311">
        <f>IF($AG4311=1,IFERROR(IF(VALUE($C4311)&lt;100000000,VALUE($C4311),1000000000),IFERROR(IF(VALUE(MID($C4311,2,20))&lt;100000000,VALUE(MID($C4311,2,20)),1000000000),1000000000))+ROW()/100000,"")</f>
        <v/>
      </c>
    </row>
    <row r="4312">
      <c r="D4312" s="11" t="n"/>
      <c r="K4312" s="7">
        <f>IF($C4312="","",J4312*W4312/100)</f>
        <v/>
      </c>
      <c r="Q4312" s="7" t="n"/>
      <c r="R4312" s="7" t="n"/>
      <c r="U4312">
        <f>IF($C4312="","",IF($AJ4312=1,0,IF($AI4312=1,Settings!$C$6,Settings!$C$7))*100)</f>
        <v/>
      </c>
      <c r="V4312" s="7">
        <f>IF($C4312="","",R4312*U4312/100)</f>
        <v/>
      </c>
      <c r="W4312" s="7">
        <f>IF($C4312="","",R4312-V4312)</f>
        <v/>
      </c>
      <c r="X4312" s="7">
        <f>IF($C4312="","",W4312-K4312)</f>
        <v/>
      </c>
      <c r="AB4312" s="7" t="n"/>
      <c r="AE4312" s="11" t="n"/>
      <c r="AG4312">
        <f>IF($C4312="","",IF(COUNTIF($C$2:$C4312,$C4312)=1,1,0))</f>
        <v/>
      </c>
      <c r="AH4312">
        <f>IF($AG4312=1,SUMPRODUCT(--($AK$2:$AK$6001&lt;$AK4312))+1,"")</f>
        <v/>
      </c>
      <c r="AI4312">
        <f>IF($C4312="","",IF(OR($N4312=TRUE(),$N4312="TRUE"),1,0))</f>
        <v/>
      </c>
      <c r="AJ4312">
        <f>IF($C4312="","",IF($T4312="Yes",1,0))</f>
        <v/>
      </c>
      <c r="AK4312">
        <f>IF($AG4312=1,IFERROR(IF(VALUE($C4312)&lt;100000000,VALUE($C4312),1000000000),IFERROR(IF(VALUE(MID($C4312,2,20))&lt;100000000,VALUE(MID($C4312,2,20)),1000000000),1000000000))+ROW()/100000,"")</f>
        <v/>
      </c>
    </row>
    <row r="4313">
      <c r="D4313" s="11" t="n"/>
      <c r="K4313" s="7">
        <f>IF($C4313="","",J4313*W4313/100)</f>
        <v/>
      </c>
      <c r="Q4313" s="7" t="n"/>
      <c r="R4313" s="7" t="n"/>
      <c r="U4313">
        <f>IF($C4313="","",IF($AJ4313=1,0,IF($AI4313=1,Settings!$C$6,Settings!$C$7))*100)</f>
        <v/>
      </c>
      <c r="V4313" s="7">
        <f>IF($C4313="","",R4313*U4313/100)</f>
        <v/>
      </c>
      <c r="W4313" s="7">
        <f>IF($C4313="","",R4313-V4313)</f>
        <v/>
      </c>
      <c r="X4313" s="7">
        <f>IF($C4313="","",W4313-K4313)</f>
        <v/>
      </c>
      <c r="AB4313" s="7" t="n"/>
      <c r="AE4313" s="11" t="n"/>
      <c r="AG4313">
        <f>IF($C4313="","",IF(COUNTIF($C$2:$C4313,$C4313)=1,1,0))</f>
        <v/>
      </c>
      <c r="AH4313">
        <f>IF($AG4313=1,SUMPRODUCT(--($AK$2:$AK$6001&lt;$AK4313))+1,"")</f>
        <v/>
      </c>
      <c r="AI4313">
        <f>IF($C4313="","",IF(OR($N4313=TRUE(),$N4313="TRUE"),1,0))</f>
        <v/>
      </c>
      <c r="AJ4313">
        <f>IF($C4313="","",IF($T4313="Yes",1,0))</f>
        <v/>
      </c>
      <c r="AK4313">
        <f>IF($AG4313=1,IFERROR(IF(VALUE($C4313)&lt;100000000,VALUE($C4313),1000000000),IFERROR(IF(VALUE(MID($C4313,2,20))&lt;100000000,VALUE(MID($C4313,2,20)),1000000000),1000000000))+ROW()/100000,"")</f>
        <v/>
      </c>
    </row>
    <row r="4314">
      <c r="D4314" s="11" t="n"/>
      <c r="K4314" s="7">
        <f>IF($C4314="","",J4314*W4314/100)</f>
        <v/>
      </c>
      <c r="Q4314" s="7" t="n"/>
      <c r="R4314" s="7" t="n"/>
      <c r="U4314">
        <f>IF($C4314="","",IF($AJ4314=1,0,IF($AI4314=1,Settings!$C$6,Settings!$C$7))*100)</f>
        <v/>
      </c>
      <c r="V4314" s="7">
        <f>IF($C4314="","",R4314*U4314/100)</f>
        <v/>
      </c>
      <c r="W4314" s="7">
        <f>IF($C4314="","",R4314-V4314)</f>
        <v/>
      </c>
      <c r="X4314" s="7">
        <f>IF($C4314="","",W4314-K4314)</f>
        <v/>
      </c>
      <c r="AB4314" s="7" t="n"/>
      <c r="AE4314" s="11" t="n"/>
      <c r="AG4314">
        <f>IF($C4314="","",IF(COUNTIF($C$2:$C4314,$C4314)=1,1,0))</f>
        <v/>
      </c>
      <c r="AH4314">
        <f>IF($AG4314=1,SUMPRODUCT(--($AK$2:$AK$6001&lt;$AK4314))+1,"")</f>
        <v/>
      </c>
      <c r="AI4314">
        <f>IF($C4314="","",IF(OR($N4314=TRUE(),$N4314="TRUE"),1,0))</f>
        <v/>
      </c>
      <c r="AJ4314">
        <f>IF($C4314="","",IF($T4314="Yes",1,0))</f>
        <v/>
      </c>
      <c r="AK4314">
        <f>IF($AG4314=1,IFERROR(IF(VALUE($C4314)&lt;100000000,VALUE($C4314),1000000000),IFERROR(IF(VALUE(MID($C4314,2,20))&lt;100000000,VALUE(MID($C4314,2,20)),1000000000),1000000000))+ROW()/100000,"")</f>
        <v/>
      </c>
    </row>
    <row r="4315">
      <c r="D4315" s="11" t="n"/>
      <c r="K4315" s="7">
        <f>IF($C4315="","",J4315*W4315/100)</f>
        <v/>
      </c>
      <c r="Q4315" s="7" t="n"/>
      <c r="R4315" s="7" t="n"/>
      <c r="U4315">
        <f>IF($C4315="","",IF($AJ4315=1,0,IF($AI4315=1,Settings!$C$6,Settings!$C$7))*100)</f>
        <v/>
      </c>
      <c r="V4315" s="7">
        <f>IF($C4315="","",R4315*U4315/100)</f>
        <v/>
      </c>
      <c r="W4315" s="7">
        <f>IF($C4315="","",R4315-V4315)</f>
        <v/>
      </c>
      <c r="X4315" s="7">
        <f>IF($C4315="","",W4315-K4315)</f>
        <v/>
      </c>
      <c r="AB4315" s="7" t="n"/>
      <c r="AE4315" s="11" t="n"/>
      <c r="AG4315">
        <f>IF($C4315="","",IF(COUNTIF($C$2:$C4315,$C4315)=1,1,0))</f>
        <v/>
      </c>
      <c r="AH4315">
        <f>IF($AG4315=1,SUMPRODUCT(--($AK$2:$AK$6001&lt;$AK4315))+1,"")</f>
        <v/>
      </c>
      <c r="AI4315">
        <f>IF($C4315="","",IF(OR($N4315=TRUE(),$N4315="TRUE"),1,0))</f>
        <v/>
      </c>
      <c r="AJ4315">
        <f>IF($C4315="","",IF($T4315="Yes",1,0))</f>
        <v/>
      </c>
      <c r="AK4315">
        <f>IF($AG4315=1,IFERROR(IF(VALUE($C4315)&lt;100000000,VALUE($C4315),1000000000),IFERROR(IF(VALUE(MID($C4315,2,20))&lt;100000000,VALUE(MID($C4315,2,20)),1000000000),1000000000))+ROW()/100000,"")</f>
        <v/>
      </c>
    </row>
    <row r="4316">
      <c r="D4316" s="11" t="n"/>
      <c r="K4316" s="7">
        <f>IF($C4316="","",J4316*W4316/100)</f>
        <v/>
      </c>
      <c r="Q4316" s="7" t="n"/>
      <c r="R4316" s="7" t="n"/>
      <c r="U4316">
        <f>IF($C4316="","",IF($AJ4316=1,0,IF($AI4316=1,Settings!$C$6,Settings!$C$7))*100)</f>
        <v/>
      </c>
      <c r="V4316" s="7">
        <f>IF($C4316="","",R4316*U4316/100)</f>
        <v/>
      </c>
      <c r="W4316" s="7">
        <f>IF($C4316="","",R4316-V4316)</f>
        <v/>
      </c>
      <c r="X4316" s="7">
        <f>IF($C4316="","",W4316-K4316)</f>
        <v/>
      </c>
      <c r="AB4316" s="7" t="n"/>
      <c r="AE4316" s="11" t="n"/>
      <c r="AG4316">
        <f>IF($C4316="","",IF(COUNTIF($C$2:$C4316,$C4316)=1,1,0))</f>
        <v/>
      </c>
      <c r="AH4316">
        <f>IF($AG4316=1,SUMPRODUCT(--($AK$2:$AK$6001&lt;$AK4316))+1,"")</f>
        <v/>
      </c>
      <c r="AI4316">
        <f>IF($C4316="","",IF(OR($N4316=TRUE(),$N4316="TRUE"),1,0))</f>
        <v/>
      </c>
      <c r="AJ4316">
        <f>IF($C4316="","",IF($T4316="Yes",1,0))</f>
        <v/>
      </c>
      <c r="AK4316">
        <f>IF($AG4316=1,IFERROR(IF(VALUE($C4316)&lt;100000000,VALUE($C4316),1000000000),IFERROR(IF(VALUE(MID($C4316,2,20))&lt;100000000,VALUE(MID($C4316,2,20)),1000000000),1000000000))+ROW()/100000,"")</f>
        <v/>
      </c>
    </row>
    <row r="4317">
      <c r="D4317" s="11" t="n"/>
      <c r="K4317" s="7">
        <f>IF($C4317="","",J4317*W4317/100)</f>
        <v/>
      </c>
      <c r="Q4317" s="7" t="n"/>
      <c r="R4317" s="7" t="n"/>
      <c r="U4317">
        <f>IF($C4317="","",IF($AJ4317=1,0,IF($AI4317=1,Settings!$C$6,Settings!$C$7))*100)</f>
        <v/>
      </c>
      <c r="V4317" s="7">
        <f>IF($C4317="","",R4317*U4317/100)</f>
        <v/>
      </c>
      <c r="W4317" s="7">
        <f>IF($C4317="","",R4317-V4317)</f>
        <v/>
      </c>
      <c r="X4317" s="7">
        <f>IF($C4317="","",W4317-K4317)</f>
        <v/>
      </c>
      <c r="AB4317" s="7" t="n"/>
      <c r="AE4317" s="11" t="n"/>
      <c r="AG4317">
        <f>IF($C4317="","",IF(COUNTIF($C$2:$C4317,$C4317)=1,1,0))</f>
        <v/>
      </c>
      <c r="AH4317">
        <f>IF($AG4317=1,SUMPRODUCT(--($AK$2:$AK$6001&lt;$AK4317))+1,"")</f>
        <v/>
      </c>
      <c r="AI4317">
        <f>IF($C4317="","",IF(OR($N4317=TRUE(),$N4317="TRUE"),1,0))</f>
        <v/>
      </c>
      <c r="AJ4317">
        <f>IF($C4317="","",IF($T4317="Yes",1,0))</f>
        <v/>
      </c>
      <c r="AK4317">
        <f>IF($AG4317=1,IFERROR(IF(VALUE($C4317)&lt;100000000,VALUE($C4317),1000000000),IFERROR(IF(VALUE(MID($C4317,2,20))&lt;100000000,VALUE(MID($C4317,2,20)),1000000000),1000000000))+ROW()/100000,"")</f>
        <v/>
      </c>
    </row>
    <row r="4318">
      <c r="D4318" s="11" t="n"/>
      <c r="K4318" s="7">
        <f>IF($C4318="","",J4318*W4318/100)</f>
        <v/>
      </c>
      <c r="Q4318" s="7" t="n"/>
      <c r="R4318" s="7" t="n"/>
      <c r="U4318">
        <f>IF($C4318="","",IF($AJ4318=1,0,IF($AI4318=1,Settings!$C$6,Settings!$C$7))*100)</f>
        <v/>
      </c>
      <c r="V4318" s="7">
        <f>IF($C4318="","",R4318*U4318/100)</f>
        <v/>
      </c>
      <c r="W4318" s="7">
        <f>IF($C4318="","",R4318-V4318)</f>
        <v/>
      </c>
      <c r="X4318" s="7">
        <f>IF($C4318="","",W4318-K4318)</f>
        <v/>
      </c>
      <c r="AB4318" s="7" t="n"/>
      <c r="AE4318" s="11" t="n"/>
      <c r="AG4318">
        <f>IF($C4318="","",IF(COUNTIF($C$2:$C4318,$C4318)=1,1,0))</f>
        <v/>
      </c>
      <c r="AH4318">
        <f>IF($AG4318=1,SUMPRODUCT(--($AK$2:$AK$6001&lt;$AK4318))+1,"")</f>
        <v/>
      </c>
      <c r="AI4318">
        <f>IF($C4318="","",IF(OR($N4318=TRUE(),$N4318="TRUE"),1,0))</f>
        <v/>
      </c>
      <c r="AJ4318">
        <f>IF($C4318="","",IF($T4318="Yes",1,0))</f>
        <v/>
      </c>
      <c r="AK4318">
        <f>IF($AG4318=1,IFERROR(IF(VALUE($C4318)&lt;100000000,VALUE($C4318),1000000000),IFERROR(IF(VALUE(MID($C4318,2,20))&lt;100000000,VALUE(MID($C4318,2,20)),1000000000),1000000000))+ROW()/100000,"")</f>
        <v/>
      </c>
    </row>
    <row r="4319">
      <c r="D4319" s="11" t="n"/>
      <c r="K4319" s="7">
        <f>IF($C4319="","",J4319*W4319/100)</f>
        <v/>
      </c>
      <c r="Q4319" s="7" t="n"/>
      <c r="R4319" s="7" t="n"/>
      <c r="U4319">
        <f>IF($C4319="","",IF($AJ4319=1,0,IF($AI4319=1,Settings!$C$6,Settings!$C$7))*100)</f>
        <v/>
      </c>
      <c r="V4319" s="7">
        <f>IF($C4319="","",R4319*U4319/100)</f>
        <v/>
      </c>
      <c r="W4319" s="7">
        <f>IF($C4319="","",R4319-V4319)</f>
        <v/>
      </c>
      <c r="X4319" s="7">
        <f>IF($C4319="","",W4319-K4319)</f>
        <v/>
      </c>
      <c r="AB4319" s="7" t="n"/>
      <c r="AE4319" s="11" t="n"/>
      <c r="AG4319">
        <f>IF($C4319="","",IF(COUNTIF($C$2:$C4319,$C4319)=1,1,0))</f>
        <v/>
      </c>
      <c r="AH4319">
        <f>IF($AG4319=1,SUMPRODUCT(--($AK$2:$AK$6001&lt;$AK4319))+1,"")</f>
        <v/>
      </c>
      <c r="AI4319">
        <f>IF($C4319="","",IF(OR($N4319=TRUE(),$N4319="TRUE"),1,0))</f>
        <v/>
      </c>
      <c r="AJ4319">
        <f>IF($C4319="","",IF($T4319="Yes",1,0))</f>
        <v/>
      </c>
      <c r="AK4319">
        <f>IF($AG4319=1,IFERROR(IF(VALUE($C4319)&lt;100000000,VALUE($C4319),1000000000),IFERROR(IF(VALUE(MID($C4319,2,20))&lt;100000000,VALUE(MID($C4319,2,20)),1000000000),1000000000))+ROW()/100000,"")</f>
        <v/>
      </c>
    </row>
    <row r="4320">
      <c r="D4320" s="11" t="n"/>
      <c r="K4320" s="7">
        <f>IF($C4320="","",J4320*W4320/100)</f>
        <v/>
      </c>
      <c r="Q4320" s="7" t="n"/>
      <c r="R4320" s="7" t="n"/>
      <c r="U4320">
        <f>IF($C4320="","",IF($AJ4320=1,0,IF($AI4320=1,Settings!$C$6,Settings!$C$7))*100)</f>
        <v/>
      </c>
      <c r="V4320" s="7">
        <f>IF($C4320="","",R4320*U4320/100)</f>
        <v/>
      </c>
      <c r="W4320" s="7">
        <f>IF($C4320="","",R4320-V4320)</f>
        <v/>
      </c>
      <c r="X4320" s="7">
        <f>IF($C4320="","",W4320-K4320)</f>
        <v/>
      </c>
      <c r="AB4320" s="7" t="n"/>
      <c r="AE4320" s="11" t="n"/>
      <c r="AG4320">
        <f>IF($C4320="","",IF(COUNTIF($C$2:$C4320,$C4320)=1,1,0))</f>
        <v/>
      </c>
      <c r="AH4320">
        <f>IF($AG4320=1,SUMPRODUCT(--($AK$2:$AK$6001&lt;$AK4320))+1,"")</f>
        <v/>
      </c>
      <c r="AI4320">
        <f>IF($C4320="","",IF(OR($N4320=TRUE(),$N4320="TRUE"),1,0))</f>
        <v/>
      </c>
      <c r="AJ4320">
        <f>IF($C4320="","",IF($T4320="Yes",1,0))</f>
        <v/>
      </c>
      <c r="AK4320">
        <f>IF($AG4320=1,IFERROR(IF(VALUE($C4320)&lt;100000000,VALUE($C4320),1000000000),IFERROR(IF(VALUE(MID($C4320,2,20))&lt;100000000,VALUE(MID($C4320,2,20)),1000000000),1000000000))+ROW()/100000,"")</f>
        <v/>
      </c>
    </row>
    <row r="4321">
      <c r="D4321" s="11" t="n"/>
      <c r="K4321" s="7">
        <f>IF($C4321="","",J4321*W4321/100)</f>
        <v/>
      </c>
      <c r="Q4321" s="7" t="n"/>
      <c r="R4321" s="7" t="n"/>
      <c r="U4321">
        <f>IF($C4321="","",IF($AJ4321=1,0,IF($AI4321=1,Settings!$C$6,Settings!$C$7))*100)</f>
        <v/>
      </c>
      <c r="V4321" s="7">
        <f>IF($C4321="","",R4321*U4321/100)</f>
        <v/>
      </c>
      <c r="W4321" s="7">
        <f>IF($C4321="","",R4321-V4321)</f>
        <v/>
      </c>
      <c r="X4321" s="7">
        <f>IF($C4321="","",W4321-K4321)</f>
        <v/>
      </c>
      <c r="AB4321" s="7" t="n"/>
      <c r="AE4321" s="11" t="n"/>
      <c r="AG4321">
        <f>IF($C4321="","",IF(COUNTIF($C$2:$C4321,$C4321)=1,1,0))</f>
        <v/>
      </c>
      <c r="AH4321">
        <f>IF($AG4321=1,SUMPRODUCT(--($AK$2:$AK$6001&lt;$AK4321))+1,"")</f>
        <v/>
      </c>
      <c r="AI4321">
        <f>IF($C4321="","",IF(OR($N4321=TRUE(),$N4321="TRUE"),1,0))</f>
        <v/>
      </c>
      <c r="AJ4321">
        <f>IF($C4321="","",IF($T4321="Yes",1,0))</f>
        <v/>
      </c>
      <c r="AK4321">
        <f>IF($AG4321=1,IFERROR(IF(VALUE($C4321)&lt;100000000,VALUE($C4321),1000000000),IFERROR(IF(VALUE(MID($C4321,2,20))&lt;100000000,VALUE(MID($C4321,2,20)),1000000000),1000000000))+ROW()/100000,"")</f>
        <v/>
      </c>
    </row>
    <row r="4322">
      <c r="D4322" s="11" t="n"/>
      <c r="K4322" s="7">
        <f>IF($C4322="","",J4322*W4322/100)</f>
        <v/>
      </c>
      <c r="Q4322" s="7" t="n"/>
      <c r="R4322" s="7" t="n"/>
      <c r="U4322">
        <f>IF($C4322="","",IF($AJ4322=1,0,IF($AI4322=1,Settings!$C$6,Settings!$C$7))*100)</f>
        <v/>
      </c>
      <c r="V4322" s="7">
        <f>IF($C4322="","",R4322*U4322/100)</f>
        <v/>
      </c>
      <c r="W4322" s="7">
        <f>IF($C4322="","",R4322-V4322)</f>
        <v/>
      </c>
      <c r="X4322" s="7">
        <f>IF($C4322="","",W4322-K4322)</f>
        <v/>
      </c>
      <c r="AB4322" s="7" t="n"/>
      <c r="AE4322" s="11" t="n"/>
      <c r="AG4322">
        <f>IF($C4322="","",IF(COUNTIF($C$2:$C4322,$C4322)=1,1,0))</f>
        <v/>
      </c>
      <c r="AH4322">
        <f>IF($AG4322=1,SUMPRODUCT(--($AK$2:$AK$6001&lt;$AK4322))+1,"")</f>
        <v/>
      </c>
      <c r="AI4322">
        <f>IF($C4322="","",IF(OR($N4322=TRUE(),$N4322="TRUE"),1,0))</f>
        <v/>
      </c>
      <c r="AJ4322">
        <f>IF($C4322="","",IF($T4322="Yes",1,0))</f>
        <v/>
      </c>
      <c r="AK4322">
        <f>IF($AG4322=1,IFERROR(IF(VALUE($C4322)&lt;100000000,VALUE($C4322),1000000000),IFERROR(IF(VALUE(MID($C4322,2,20))&lt;100000000,VALUE(MID($C4322,2,20)),1000000000),1000000000))+ROW()/100000,"")</f>
        <v/>
      </c>
    </row>
    <row r="4323">
      <c r="D4323" s="11" t="n"/>
      <c r="K4323" s="7">
        <f>IF($C4323="","",J4323*W4323/100)</f>
        <v/>
      </c>
      <c r="Q4323" s="7" t="n"/>
      <c r="R4323" s="7" t="n"/>
      <c r="U4323">
        <f>IF($C4323="","",IF($AJ4323=1,0,IF($AI4323=1,Settings!$C$6,Settings!$C$7))*100)</f>
        <v/>
      </c>
      <c r="V4323" s="7">
        <f>IF($C4323="","",R4323*U4323/100)</f>
        <v/>
      </c>
      <c r="W4323" s="7">
        <f>IF($C4323="","",R4323-V4323)</f>
        <v/>
      </c>
      <c r="X4323" s="7">
        <f>IF($C4323="","",W4323-K4323)</f>
        <v/>
      </c>
      <c r="AB4323" s="7" t="n"/>
      <c r="AE4323" s="11" t="n"/>
      <c r="AG4323">
        <f>IF($C4323="","",IF(COUNTIF($C$2:$C4323,$C4323)=1,1,0))</f>
        <v/>
      </c>
      <c r="AH4323">
        <f>IF($AG4323=1,SUMPRODUCT(--($AK$2:$AK$6001&lt;$AK4323))+1,"")</f>
        <v/>
      </c>
      <c r="AI4323">
        <f>IF($C4323="","",IF(OR($N4323=TRUE(),$N4323="TRUE"),1,0))</f>
        <v/>
      </c>
      <c r="AJ4323">
        <f>IF($C4323="","",IF($T4323="Yes",1,0))</f>
        <v/>
      </c>
      <c r="AK4323">
        <f>IF($AG4323=1,IFERROR(IF(VALUE($C4323)&lt;100000000,VALUE($C4323),1000000000),IFERROR(IF(VALUE(MID($C4323,2,20))&lt;100000000,VALUE(MID($C4323,2,20)),1000000000),1000000000))+ROW()/100000,"")</f>
        <v/>
      </c>
    </row>
    <row r="4324">
      <c r="D4324" s="11" t="n"/>
      <c r="K4324" s="7">
        <f>IF($C4324="","",J4324*W4324/100)</f>
        <v/>
      </c>
      <c r="Q4324" s="7" t="n"/>
      <c r="R4324" s="7" t="n"/>
      <c r="U4324">
        <f>IF($C4324="","",IF($AJ4324=1,0,IF($AI4324=1,Settings!$C$6,Settings!$C$7))*100)</f>
        <v/>
      </c>
      <c r="V4324" s="7">
        <f>IF($C4324="","",R4324*U4324/100)</f>
        <v/>
      </c>
      <c r="W4324" s="7">
        <f>IF($C4324="","",R4324-V4324)</f>
        <v/>
      </c>
      <c r="X4324" s="7">
        <f>IF($C4324="","",W4324-K4324)</f>
        <v/>
      </c>
      <c r="AB4324" s="7" t="n"/>
      <c r="AE4324" s="11" t="n"/>
      <c r="AG4324">
        <f>IF($C4324="","",IF(COUNTIF($C$2:$C4324,$C4324)=1,1,0))</f>
        <v/>
      </c>
      <c r="AH4324">
        <f>IF($AG4324=1,SUMPRODUCT(--($AK$2:$AK$6001&lt;$AK4324))+1,"")</f>
        <v/>
      </c>
      <c r="AI4324">
        <f>IF($C4324="","",IF(OR($N4324=TRUE(),$N4324="TRUE"),1,0))</f>
        <v/>
      </c>
      <c r="AJ4324">
        <f>IF($C4324="","",IF($T4324="Yes",1,0))</f>
        <v/>
      </c>
      <c r="AK4324">
        <f>IF($AG4324=1,IFERROR(IF(VALUE($C4324)&lt;100000000,VALUE($C4324),1000000000),IFERROR(IF(VALUE(MID($C4324,2,20))&lt;100000000,VALUE(MID($C4324,2,20)),1000000000),1000000000))+ROW()/100000,"")</f>
        <v/>
      </c>
    </row>
    <row r="4325">
      <c r="D4325" s="11" t="n"/>
      <c r="K4325" s="7">
        <f>IF($C4325="","",J4325*W4325/100)</f>
        <v/>
      </c>
      <c r="Q4325" s="7" t="n"/>
      <c r="R4325" s="7" t="n"/>
      <c r="U4325">
        <f>IF($C4325="","",IF($AJ4325=1,0,IF($AI4325=1,Settings!$C$6,Settings!$C$7))*100)</f>
        <v/>
      </c>
      <c r="V4325" s="7">
        <f>IF($C4325="","",R4325*U4325/100)</f>
        <v/>
      </c>
      <c r="W4325" s="7">
        <f>IF($C4325="","",R4325-V4325)</f>
        <v/>
      </c>
      <c r="X4325" s="7">
        <f>IF($C4325="","",W4325-K4325)</f>
        <v/>
      </c>
      <c r="AB4325" s="7" t="n"/>
      <c r="AE4325" s="11" t="n"/>
      <c r="AG4325">
        <f>IF($C4325="","",IF(COUNTIF($C$2:$C4325,$C4325)=1,1,0))</f>
        <v/>
      </c>
      <c r="AH4325">
        <f>IF($AG4325=1,SUMPRODUCT(--($AK$2:$AK$6001&lt;$AK4325))+1,"")</f>
        <v/>
      </c>
      <c r="AI4325">
        <f>IF($C4325="","",IF(OR($N4325=TRUE(),$N4325="TRUE"),1,0))</f>
        <v/>
      </c>
      <c r="AJ4325">
        <f>IF($C4325="","",IF($T4325="Yes",1,0))</f>
        <v/>
      </c>
      <c r="AK4325">
        <f>IF($AG4325=1,IFERROR(IF(VALUE($C4325)&lt;100000000,VALUE($C4325),1000000000),IFERROR(IF(VALUE(MID($C4325,2,20))&lt;100000000,VALUE(MID($C4325,2,20)),1000000000),1000000000))+ROW()/100000,"")</f>
        <v/>
      </c>
    </row>
    <row r="4326">
      <c r="D4326" s="11" t="n"/>
      <c r="K4326" s="7">
        <f>IF($C4326="","",J4326*W4326/100)</f>
        <v/>
      </c>
      <c r="Q4326" s="7" t="n"/>
      <c r="R4326" s="7" t="n"/>
      <c r="U4326">
        <f>IF($C4326="","",IF($AJ4326=1,0,IF($AI4326=1,Settings!$C$6,Settings!$C$7))*100)</f>
        <v/>
      </c>
      <c r="V4326" s="7">
        <f>IF($C4326="","",R4326*U4326/100)</f>
        <v/>
      </c>
      <c r="W4326" s="7">
        <f>IF($C4326="","",R4326-V4326)</f>
        <v/>
      </c>
      <c r="X4326" s="7">
        <f>IF($C4326="","",W4326-K4326)</f>
        <v/>
      </c>
      <c r="AB4326" s="7" t="n"/>
      <c r="AE4326" s="11" t="n"/>
      <c r="AG4326">
        <f>IF($C4326="","",IF(COUNTIF($C$2:$C4326,$C4326)=1,1,0))</f>
        <v/>
      </c>
      <c r="AH4326">
        <f>IF($AG4326=1,SUMPRODUCT(--($AK$2:$AK$6001&lt;$AK4326))+1,"")</f>
        <v/>
      </c>
      <c r="AI4326">
        <f>IF($C4326="","",IF(OR($N4326=TRUE(),$N4326="TRUE"),1,0))</f>
        <v/>
      </c>
      <c r="AJ4326">
        <f>IF($C4326="","",IF($T4326="Yes",1,0))</f>
        <v/>
      </c>
      <c r="AK4326">
        <f>IF($AG4326=1,IFERROR(IF(VALUE($C4326)&lt;100000000,VALUE($C4326),1000000000),IFERROR(IF(VALUE(MID($C4326,2,20))&lt;100000000,VALUE(MID($C4326,2,20)),1000000000),1000000000))+ROW()/100000,"")</f>
        <v/>
      </c>
    </row>
    <row r="4327">
      <c r="D4327" s="11" t="n"/>
      <c r="K4327" s="7">
        <f>IF($C4327="","",J4327*W4327/100)</f>
        <v/>
      </c>
      <c r="Q4327" s="7" t="n"/>
      <c r="R4327" s="7" t="n"/>
      <c r="U4327">
        <f>IF($C4327="","",IF($AJ4327=1,0,IF($AI4327=1,Settings!$C$6,Settings!$C$7))*100)</f>
        <v/>
      </c>
      <c r="V4327" s="7">
        <f>IF($C4327="","",R4327*U4327/100)</f>
        <v/>
      </c>
      <c r="W4327" s="7">
        <f>IF($C4327="","",R4327-V4327)</f>
        <v/>
      </c>
      <c r="X4327" s="7">
        <f>IF($C4327="","",W4327-K4327)</f>
        <v/>
      </c>
      <c r="AB4327" s="7" t="n"/>
      <c r="AE4327" s="11" t="n"/>
      <c r="AG4327">
        <f>IF($C4327="","",IF(COUNTIF($C$2:$C4327,$C4327)=1,1,0))</f>
        <v/>
      </c>
      <c r="AH4327">
        <f>IF($AG4327=1,SUMPRODUCT(--($AK$2:$AK$6001&lt;$AK4327))+1,"")</f>
        <v/>
      </c>
      <c r="AI4327">
        <f>IF($C4327="","",IF(OR($N4327=TRUE(),$N4327="TRUE"),1,0))</f>
        <v/>
      </c>
      <c r="AJ4327">
        <f>IF($C4327="","",IF($T4327="Yes",1,0))</f>
        <v/>
      </c>
      <c r="AK4327">
        <f>IF($AG4327=1,IFERROR(IF(VALUE($C4327)&lt;100000000,VALUE($C4327),1000000000),IFERROR(IF(VALUE(MID($C4327,2,20))&lt;100000000,VALUE(MID($C4327,2,20)),1000000000),1000000000))+ROW()/100000,"")</f>
        <v/>
      </c>
    </row>
    <row r="4328">
      <c r="D4328" s="11" t="n"/>
      <c r="K4328" s="7">
        <f>IF($C4328="","",J4328*W4328/100)</f>
        <v/>
      </c>
      <c r="Q4328" s="7" t="n"/>
      <c r="R4328" s="7" t="n"/>
      <c r="U4328">
        <f>IF($C4328="","",IF($AJ4328=1,0,IF($AI4328=1,Settings!$C$6,Settings!$C$7))*100)</f>
        <v/>
      </c>
      <c r="V4328" s="7">
        <f>IF($C4328="","",R4328*U4328/100)</f>
        <v/>
      </c>
      <c r="W4328" s="7">
        <f>IF($C4328="","",R4328-V4328)</f>
        <v/>
      </c>
      <c r="X4328" s="7">
        <f>IF($C4328="","",W4328-K4328)</f>
        <v/>
      </c>
      <c r="AB4328" s="7" t="n"/>
      <c r="AE4328" s="11" t="n"/>
      <c r="AG4328">
        <f>IF($C4328="","",IF(COUNTIF($C$2:$C4328,$C4328)=1,1,0))</f>
        <v/>
      </c>
      <c r="AH4328">
        <f>IF($AG4328=1,SUMPRODUCT(--($AK$2:$AK$6001&lt;$AK4328))+1,"")</f>
        <v/>
      </c>
      <c r="AI4328">
        <f>IF($C4328="","",IF(OR($N4328=TRUE(),$N4328="TRUE"),1,0))</f>
        <v/>
      </c>
      <c r="AJ4328">
        <f>IF($C4328="","",IF($T4328="Yes",1,0))</f>
        <v/>
      </c>
      <c r="AK4328">
        <f>IF($AG4328=1,IFERROR(IF(VALUE($C4328)&lt;100000000,VALUE($C4328),1000000000),IFERROR(IF(VALUE(MID($C4328,2,20))&lt;100000000,VALUE(MID($C4328,2,20)),1000000000),1000000000))+ROW()/100000,"")</f>
        <v/>
      </c>
    </row>
    <row r="4329">
      <c r="D4329" s="11" t="n"/>
      <c r="K4329" s="7">
        <f>IF($C4329="","",J4329*W4329/100)</f>
        <v/>
      </c>
      <c r="Q4329" s="7" t="n"/>
      <c r="R4329" s="7" t="n"/>
      <c r="U4329">
        <f>IF($C4329="","",IF($AJ4329=1,0,IF($AI4329=1,Settings!$C$6,Settings!$C$7))*100)</f>
        <v/>
      </c>
      <c r="V4329" s="7">
        <f>IF($C4329="","",R4329*U4329/100)</f>
        <v/>
      </c>
      <c r="W4329" s="7">
        <f>IF($C4329="","",R4329-V4329)</f>
        <v/>
      </c>
      <c r="X4329" s="7">
        <f>IF($C4329="","",W4329-K4329)</f>
        <v/>
      </c>
      <c r="AB4329" s="7" t="n"/>
      <c r="AE4329" s="11" t="n"/>
      <c r="AG4329">
        <f>IF($C4329="","",IF(COUNTIF($C$2:$C4329,$C4329)=1,1,0))</f>
        <v/>
      </c>
      <c r="AH4329">
        <f>IF($AG4329=1,SUMPRODUCT(--($AK$2:$AK$6001&lt;$AK4329))+1,"")</f>
        <v/>
      </c>
      <c r="AI4329">
        <f>IF($C4329="","",IF(OR($N4329=TRUE(),$N4329="TRUE"),1,0))</f>
        <v/>
      </c>
      <c r="AJ4329">
        <f>IF($C4329="","",IF($T4329="Yes",1,0))</f>
        <v/>
      </c>
      <c r="AK4329">
        <f>IF($AG4329=1,IFERROR(IF(VALUE($C4329)&lt;100000000,VALUE($C4329),1000000000),IFERROR(IF(VALUE(MID($C4329,2,20))&lt;100000000,VALUE(MID($C4329,2,20)),1000000000),1000000000))+ROW()/100000,"")</f>
        <v/>
      </c>
    </row>
    <row r="4330">
      <c r="D4330" s="11" t="n"/>
      <c r="K4330" s="7">
        <f>IF($C4330="","",J4330*W4330/100)</f>
        <v/>
      </c>
      <c r="Q4330" s="7" t="n"/>
      <c r="R4330" s="7" t="n"/>
      <c r="U4330">
        <f>IF($C4330="","",IF($AJ4330=1,0,IF($AI4330=1,Settings!$C$6,Settings!$C$7))*100)</f>
        <v/>
      </c>
      <c r="V4330" s="7">
        <f>IF($C4330="","",R4330*U4330/100)</f>
        <v/>
      </c>
      <c r="W4330" s="7">
        <f>IF($C4330="","",R4330-V4330)</f>
        <v/>
      </c>
      <c r="X4330" s="7">
        <f>IF($C4330="","",W4330-K4330)</f>
        <v/>
      </c>
      <c r="AB4330" s="7" t="n"/>
      <c r="AE4330" s="11" t="n"/>
      <c r="AG4330">
        <f>IF($C4330="","",IF(COUNTIF($C$2:$C4330,$C4330)=1,1,0))</f>
        <v/>
      </c>
      <c r="AH4330">
        <f>IF($AG4330=1,SUMPRODUCT(--($AK$2:$AK$6001&lt;$AK4330))+1,"")</f>
        <v/>
      </c>
      <c r="AI4330">
        <f>IF($C4330="","",IF(OR($N4330=TRUE(),$N4330="TRUE"),1,0))</f>
        <v/>
      </c>
      <c r="AJ4330">
        <f>IF($C4330="","",IF($T4330="Yes",1,0))</f>
        <v/>
      </c>
      <c r="AK4330">
        <f>IF($AG4330=1,IFERROR(IF(VALUE($C4330)&lt;100000000,VALUE($C4330),1000000000),IFERROR(IF(VALUE(MID($C4330,2,20))&lt;100000000,VALUE(MID($C4330,2,20)),1000000000),1000000000))+ROW()/100000,"")</f>
        <v/>
      </c>
    </row>
    <row r="4331">
      <c r="D4331" s="11" t="n"/>
      <c r="K4331" s="7">
        <f>IF($C4331="","",J4331*W4331/100)</f>
        <v/>
      </c>
      <c r="Q4331" s="7" t="n"/>
      <c r="R4331" s="7" t="n"/>
      <c r="U4331">
        <f>IF($C4331="","",IF($AJ4331=1,0,IF($AI4331=1,Settings!$C$6,Settings!$C$7))*100)</f>
        <v/>
      </c>
      <c r="V4331" s="7">
        <f>IF($C4331="","",R4331*U4331/100)</f>
        <v/>
      </c>
      <c r="W4331" s="7">
        <f>IF($C4331="","",R4331-V4331)</f>
        <v/>
      </c>
      <c r="X4331" s="7">
        <f>IF($C4331="","",W4331-K4331)</f>
        <v/>
      </c>
      <c r="AB4331" s="7" t="n"/>
      <c r="AE4331" s="11" t="n"/>
      <c r="AG4331">
        <f>IF($C4331="","",IF(COUNTIF($C$2:$C4331,$C4331)=1,1,0))</f>
        <v/>
      </c>
      <c r="AH4331">
        <f>IF($AG4331=1,SUMPRODUCT(--($AK$2:$AK$6001&lt;$AK4331))+1,"")</f>
        <v/>
      </c>
      <c r="AI4331">
        <f>IF($C4331="","",IF(OR($N4331=TRUE(),$N4331="TRUE"),1,0))</f>
        <v/>
      </c>
      <c r="AJ4331">
        <f>IF($C4331="","",IF($T4331="Yes",1,0))</f>
        <v/>
      </c>
      <c r="AK4331">
        <f>IF($AG4331=1,IFERROR(IF(VALUE($C4331)&lt;100000000,VALUE($C4331),1000000000),IFERROR(IF(VALUE(MID($C4331,2,20))&lt;100000000,VALUE(MID($C4331,2,20)),1000000000),1000000000))+ROW()/100000,"")</f>
        <v/>
      </c>
    </row>
    <row r="4332">
      <c r="D4332" s="11" t="n"/>
      <c r="K4332" s="7">
        <f>IF($C4332="","",J4332*W4332/100)</f>
        <v/>
      </c>
      <c r="Q4332" s="7" t="n"/>
      <c r="R4332" s="7" t="n"/>
      <c r="U4332">
        <f>IF($C4332="","",IF($AJ4332=1,0,IF($AI4332=1,Settings!$C$6,Settings!$C$7))*100)</f>
        <v/>
      </c>
      <c r="V4332" s="7">
        <f>IF($C4332="","",R4332*U4332/100)</f>
        <v/>
      </c>
      <c r="W4332" s="7">
        <f>IF($C4332="","",R4332-V4332)</f>
        <v/>
      </c>
      <c r="X4332" s="7">
        <f>IF($C4332="","",W4332-K4332)</f>
        <v/>
      </c>
      <c r="AB4332" s="7" t="n"/>
      <c r="AE4332" s="11" t="n"/>
      <c r="AG4332">
        <f>IF($C4332="","",IF(COUNTIF($C$2:$C4332,$C4332)=1,1,0))</f>
        <v/>
      </c>
      <c r="AH4332">
        <f>IF($AG4332=1,SUMPRODUCT(--($AK$2:$AK$6001&lt;$AK4332))+1,"")</f>
        <v/>
      </c>
      <c r="AI4332">
        <f>IF($C4332="","",IF(OR($N4332=TRUE(),$N4332="TRUE"),1,0))</f>
        <v/>
      </c>
      <c r="AJ4332">
        <f>IF($C4332="","",IF($T4332="Yes",1,0))</f>
        <v/>
      </c>
      <c r="AK4332">
        <f>IF($AG4332=1,IFERROR(IF(VALUE($C4332)&lt;100000000,VALUE($C4332),1000000000),IFERROR(IF(VALUE(MID($C4332,2,20))&lt;100000000,VALUE(MID($C4332,2,20)),1000000000),1000000000))+ROW()/100000,"")</f>
        <v/>
      </c>
    </row>
    <row r="4333">
      <c r="D4333" s="11" t="n"/>
      <c r="K4333" s="7">
        <f>IF($C4333="","",J4333*W4333/100)</f>
        <v/>
      </c>
      <c r="Q4333" s="7" t="n"/>
      <c r="R4333" s="7" t="n"/>
      <c r="U4333">
        <f>IF($C4333="","",IF($AJ4333=1,0,IF($AI4333=1,Settings!$C$6,Settings!$C$7))*100)</f>
        <v/>
      </c>
      <c r="V4333" s="7">
        <f>IF($C4333="","",R4333*U4333/100)</f>
        <v/>
      </c>
      <c r="W4333" s="7">
        <f>IF($C4333="","",R4333-V4333)</f>
        <v/>
      </c>
      <c r="X4333" s="7">
        <f>IF($C4333="","",W4333-K4333)</f>
        <v/>
      </c>
      <c r="AB4333" s="7" t="n"/>
      <c r="AE4333" s="11" t="n"/>
      <c r="AG4333">
        <f>IF($C4333="","",IF(COUNTIF($C$2:$C4333,$C4333)=1,1,0))</f>
        <v/>
      </c>
      <c r="AH4333">
        <f>IF($AG4333=1,SUMPRODUCT(--($AK$2:$AK$6001&lt;$AK4333))+1,"")</f>
        <v/>
      </c>
      <c r="AI4333">
        <f>IF($C4333="","",IF(OR($N4333=TRUE(),$N4333="TRUE"),1,0))</f>
        <v/>
      </c>
      <c r="AJ4333">
        <f>IF($C4333="","",IF($T4333="Yes",1,0))</f>
        <v/>
      </c>
      <c r="AK4333">
        <f>IF($AG4333=1,IFERROR(IF(VALUE($C4333)&lt;100000000,VALUE($C4333),1000000000),IFERROR(IF(VALUE(MID($C4333,2,20))&lt;100000000,VALUE(MID($C4333,2,20)),1000000000),1000000000))+ROW()/100000,"")</f>
        <v/>
      </c>
    </row>
    <row r="4334">
      <c r="D4334" s="11" t="n"/>
      <c r="K4334" s="7">
        <f>IF($C4334="","",J4334*W4334/100)</f>
        <v/>
      </c>
      <c r="Q4334" s="7" t="n"/>
      <c r="R4334" s="7" t="n"/>
      <c r="U4334">
        <f>IF($C4334="","",IF($AJ4334=1,0,IF($AI4334=1,Settings!$C$6,Settings!$C$7))*100)</f>
        <v/>
      </c>
      <c r="V4334" s="7">
        <f>IF($C4334="","",R4334*U4334/100)</f>
        <v/>
      </c>
      <c r="W4334" s="7">
        <f>IF($C4334="","",R4334-V4334)</f>
        <v/>
      </c>
      <c r="X4334" s="7">
        <f>IF($C4334="","",W4334-K4334)</f>
        <v/>
      </c>
      <c r="AB4334" s="7" t="n"/>
      <c r="AE4334" s="11" t="n"/>
      <c r="AG4334">
        <f>IF($C4334="","",IF(COUNTIF($C$2:$C4334,$C4334)=1,1,0))</f>
        <v/>
      </c>
      <c r="AH4334">
        <f>IF($AG4334=1,SUMPRODUCT(--($AK$2:$AK$6001&lt;$AK4334))+1,"")</f>
        <v/>
      </c>
      <c r="AI4334">
        <f>IF($C4334="","",IF(OR($N4334=TRUE(),$N4334="TRUE"),1,0))</f>
        <v/>
      </c>
      <c r="AJ4334">
        <f>IF($C4334="","",IF($T4334="Yes",1,0))</f>
        <v/>
      </c>
      <c r="AK4334">
        <f>IF($AG4334=1,IFERROR(IF(VALUE($C4334)&lt;100000000,VALUE($C4334),1000000000),IFERROR(IF(VALUE(MID($C4334,2,20))&lt;100000000,VALUE(MID($C4334,2,20)),1000000000),1000000000))+ROW()/100000,"")</f>
        <v/>
      </c>
    </row>
    <row r="4335">
      <c r="D4335" s="11" t="n"/>
      <c r="K4335" s="7">
        <f>IF($C4335="","",J4335*W4335/100)</f>
        <v/>
      </c>
      <c r="Q4335" s="7" t="n"/>
      <c r="R4335" s="7" t="n"/>
      <c r="U4335">
        <f>IF($C4335="","",IF($AJ4335=1,0,IF($AI4335=1,Settings!$C$6,Settings!$C$7))*100)</f>
        <v/>
      </c>
      <c r="V4335" s="7">
        <f>IF($C4335="","",R4335*U4335/100)</f>
        <v/>
      </c>
      <c r="W4335" s="7">
        <f>IF($C4335="","",R4335-V4335)</f>
        <v/>
      </c>
      <c r="X4335" s="7">
        <f>IF($C4335="","",W4335-K4335)</f>
        <v/>
      </c>
      <c r="AB4335" s="7" t="n"/>
      <c r="AE4335" s="11" t="n"/>
      <c r="AG4335">
        <f>IF($C4335="","",IF(COUNTIF($C$2:$C4335,$C4335)=1,1,0))</f>
        <v/>
      </c>
      <c r="AH4335">
        <f>IF($AG4335=1,SUMPRODUCT(--($AK$2:$AK$6001&lt;$AK4335))+1,"")</f>
        <v/>
      </c>
      <c r="AI4335">
        <f>IF($C4335="","",IF(OR($N4335=TRUE(),$N4335="TRUE"),1,0))</f>
        <v/>
      </c>
      <c r="AJ4335">
        <f>IF($C4335="","",IF($T4335="Yes",1,0))</f>
        <v/>
      </c>
      <c r="AK4335">
        <f>IF($AG4335=1,IFERROR(IF(VALUE($C4335)&lt;100000000,VALUE($C4335),1000000000),IFERROR(IF(VALUE(MID($C4335,2,20))&lt;100000000,VALUE(MID($C4335,2,20)),1000000000),1000000000))+ROW()/100000,"")</f>
        <v/>
      </c>
    </row>
    <row r="4336">
      <c r="D4336" s="11" t="n"/>
      <c r="K4336" s="7">
        <f>IF($C4336="","",J4336*W4336/100)</f>
        <v/>
      </c>
      <c r="Q4336" s="7" t="n"/>
      <c r="R4336" s="7" t="n"/>
      <c r="U4336">
        <f>IF($C4336="","",IF($AJ4336=1,0,IF($AI4336=1,Settings!$C$6,Settings!$C$7))*100)</f>
        <v/>
      </c>
      <c r="V4336" s="7">
        <f>IF($C4336="","",R4336*U4336/100)</f>
        <v/>
      </c>
      <c r="W4336" s="7">
        <f>IF($C4336="","",R4336-V4336)</f>
        <v/>
      </c>
      <c r="X4336" s="7">
        <f>IF($C4336="","",W4336-K4336)</f>
        <v/>
      </c>
      <c r="AB4336" s="7" t="n"/>
      <c r="AE4336" s="11" t="n"/>
      <c r="AG4336">
        <f>IF($C4336="","",IF(COUNTIF($C$2:$C4336,$C4336)=1,1,0))</f>
        <v/>
      </c>
      <c r="AH4336">
        <f>IF($AG4336=1,SUMPRODUCT(--($AK$2:$AK$6001&lt;$AK4336))+1,"")</f>
        <v/>
      </c>
      <c r="AI4336">
        <f>IF($C4336="","",IF(OR($N4336=TRUE(),$N4336="TRUE"),1,0))</f>
        <v/>
      </c>
      <c r="AJ4336">
        <f>IF($C4336="","",IF($T4336="Yes",1,0))</f>
        <v/>
      </c>
      <c r="AK4336">
        <f>IF($AG4336=1,IFERROR(IF(VALUE($C4336)&lt;100000000,VALUE($C4336),1000000000),IFERROR(IF(VALUE(MID($C4336,2,20))&lt;100000000,VALUE(MID($C4336,2,20)),1000000000),1000000000))+ROW()/100000,"")</f>
        <v/>
      </c>
    </row>
    <row r="4337">
      <c r="D4337" s="11" t="n"/>
      <c r="K4337" s="7">
        <f>IF($C4337="","",J4337*W4337/100)</f>
        <v/>
      </c>
      <c r="Q4337" s="7" t="n"/>
      <c r="R4337" s="7" t="n"/>
      <c r="U4337">
        <f>IF($C4337="","",IF($AJ4337=1,0,IF($AI4337=1,Settings!$C$6,Settings!$C$7))*100)</f>
        <v/>
      </c>
      <c r="V4337" s="7">
        <f>IF($C4337="","",R4337*U4337/100)</f>
        <v/>
      </c>
      <c r="W4337" s="7">
        <f>IF($C4337="","",R4337-V4337)</f>
        <v/>
      </c>
      <c r="X4337" s="7">
        <f>IF($C4337="","",W4337-K4337)</f>
        <v/>
      </c>
      <c r="AB4337" s="7" t="n"/>
      <c r="AE4337" s="11" t="n"/>
      <c r="AG4337">
        <f>IF($C4337="","",IF(COUNTIF($C$2:$C4337,$C4337)=1,1,0))</f>
        <v/>
      </c>
      <c r="AH4337">
        <f>IF($AG4337=1,SUMPRODUCT(--($AK$2:$AK$6001&lt;$AK4337))+1,"")</f>
        <v/>
      </c>
      <c r="AI4337">
        <f>IF($C4337="","",IF(OR($N4337=TRUE(),$N4337="TRUE"),1,0))</f>
        <v/>
      </c>
      <c r="AJ4337">
        <f>IF($C4337="","",IF($T4337="Yes",1,0))</f>
        <v/>
      </c>
      <c r="AK4337">
        <f>IF($AG4337=1,IFERROR(IF(VALUE($C4337)&lt;100000000,VALUE($C4337),1000000000),IFERROR(IF(VALUE(MID($C4337,2,20))&lt;100000000,VALUE(MID($C4337,2,20)),1000000000),1000000000))+ROW()/100000,"")</f>
        <v/>
      </c>
    </row>
    <row r="4338">
      <c r="D4338" s="11" t="n"/>
      <c r="K4338" s="7">
        <f>IF($C4338="","",J4338*W4338/100)</f>
        <v/>
      </c>
      <c r="Q4338" s="7" t="n"/>
      <c r="R4338" s="7" t="n"/>
      <c r="U4338">
        <f>IF($C4338="","",IF($AJ4338=1,0,IF($AI4338=1,Settings!$C$6,Settings!$C$7))*100)</f>
        <v/>
      </c>
      <c r="V4338" s="7">
        <f>IF($C4338="","",R4338*U4338/100)</f>
        <v/>
      </c>
      <c r="W4338" s="7">
        <f>IF($C4338="","",R4338-V4338)</f>
        <v/>
      </c>
      <c r="X4338" s="7">
        <f>IF($C4338="","",W4338-K4338)</f>
        <v/>
      </c>
      <c r="AB4338" s="7" t="n"/>
      <c r="AE4338" s="11" t="n"/>
      <c r="AG4338">
        <f>IF($C4338="","",IF(COUNTIF($C$2:$C4338,$C4338)=1,1,0))</f>
        <v/>
      </c>
      <c r="AH4338">
        <f>IF($AG4338=1,SUMPRODUCT(--($AK$2:$AK$6001&lt;$AK4338))+1,"")</f>
        <v/>
      </c>
      <c r="AI4338">
        <f>IF($C4338="","",IF(OR($N4338=TRUE(),$N4338="TRUE"),1,0))</f>
        <v/>
      </c>
      <c r="AJ4338">
        <f>IF($C4338="","",IF($T4338="Yes",1,0))</f>
        <v/>
      </c>
      <c r="AK4338">
        <f>IF($AG4338=1,IFERROR(IF(VALUE($C4338)&lt;100000000,VALUE($C4338),1000000000),IFERROR(IF(VALUE(MID($C4338,2,20))&lt;100000000,VALUE(MID($C4338,2,20)),1000000000),1000000000))+ROW()/100000,"")</f>
        <v/>
      </c>
    </row>
    <row r="4339">
      <c r="D4339" s="11" t="n"/>
      <c r="K4339" s="7">
        <f>IF($C4339="","",J4339*W4339/100)</f>
        <v/>
      </c>
      <c r="Q4339" s="7" t="n"/>
      <c r="R4339" s="7" t="n"/>
      <c r="U4339">
        <f>IF($C4339="","",IF($AJ4339=1,0,IF($AI4339=1,Settings!$C$6,Settings!$C$7))*100)</f>
        <v/>
      </c>
      <c r="V4339" s="7">
        <f>IF($C4339="","",R4339*U4339/100)</f>
        <v/>
      </c>
      <c r="W4339" s="7">
        <f>IF($C4339="","",R4339-V4339)</f>
        <v/>
      </c>
      <c r="X4339" s="7">
        <f>IF($C4339="","",W4339-K4339)</f>
        <v/>
      </c>
      <c r="AB4339" s="7" t="n"/>
      <c r="AE4339" s="11" t="n"/>
      <c r="AG4339">
        <f>IF($C4339="","",IF(COUNTIF($C$2:$C4339,$C4339)=1,1,0))</f>
        <v/>
      </c>
      <c r="AH4339">
        <f>IF($AG4339=1,SUMPRODUCT(--($AK$2:$AK$6001&lt;$AK4339))+1,"")</f>
        <v/>
      </c>
      <c r="AI4339">
        <f>IF($C4339="","",IF(OR($N4339=TRUE(),$N4339="TRUE"),1,0))</f>
        <v/>
      </c>
      <c r="AJ4339">
        <f>IF($C4339="","",IF($T4339="Yes",1,0))</f>
        <v/>
      </c>
      <c r="AK4339">
        <f>IF($AG4339=1,IFERROR(IF(VALUE($C4339)&lt;100000000,VALUE($C4339),1000000000),IFERROR(IF(VALUE(MID($C4339,2,20))&lt;100000000,VALUE(MID($C4339,2,20)),1000000000),1000000000))+ROW()/100000,"")</f>
        <v/>
      </c>
    </row>
    <row r="4340">
      <c r="D4340" s="11" t="n"/>
      <c r="K4340" s="7">
        <f>IF($C4340="","",J4340*W4340/100)</f>
        <v/>
      </c>
      <c r="Q4340" s="7" t="n"/>
      <c r="R4340" s="7" t="n"/>
      <c r="U4340">
        <f>IF($C4340="","",IF($AJ4340=1,0,IF($AI4340=1,Settings!$C$6,Settings!$C$7))*100)</f>
        <v/>
      </c>
      <c r="V4340" s="7">
        <f>IF($C4340="","",R4340*U4340/100)</f>
        <v/>
      </c>
      <c r="W4340" s="7">
        <f>IF($C4340="","",R4340-V4340)</f>
        <v/>
      </c>
      <c r="X4340" s="7">
        <f>IF($C4340="","",W4340-K4340)</f>
        <v/>
      </c>
      <c r="AB4340" s="7" t="n"/>
      <c r="AE4340" s="11" t="n"/>
      <c r="AG4340">
        <f>IF($C4340="","",IF(COUNTIF($C$2:$C4340,$C4340)=1,1,0))</f>
        <v/>
      </c>
      <c r="AH4340">
        <f>IF($AG4340=1,SUMPRODUCT(--($AK$2:$AK$6001&lt;$AK4340))+1,"")</f>
        <v/>
      </c>
      <c r="AI4340">
        <f>IF($C4340="","",IF(OR($N4340=TRUE(),$N4340="TRUE"),1,0))</f>
        <v/>
      </c>
      <c r="AJ4340">
        <f>IF($C4340="","",IF($T4340="Yes",1,0))</f>
        <v/>
      </c>
      <c r="AK4340">
        <f>IF($AG4340=1,IFERROR(IF(VALUE($C4340)&lt;100000000,VALUE($C4340),1000000000),IFERROR(IF(VALUE(MID($C4340,2,20))&lt;100000000,VALUE(MID($C4340,2,20)),1000000000),1000000000))+ROW()/100000,"")</f>
        <v/>
      </c>
    </row>
    <row r="4341">
      <c r="D4341" s="11" t="n"/>
      <c r="K4341" s="7">
        <f>IF($C4341="","",J4341*W4341/100)</f>
        <v/>
      </c>
      <c r="Q4341" s="7" t="n"/>
      <c r="R4341" s="7" t="n"/>
      <c r="U4341">
        <f>IF($C4341="","",IF($AJ4341=1,0,IF($AI4341=1,Settings!$C$6,Settings!$C$7))*100)</f>
        <v/>
      </c>
      <c r="V4341" s="7">
        <f>IF($C4341="","",R4341*U4341/100)</f>
        <v/>
      </c>
      <c r="W4341" s="7">
        <f>IF($C4341="","",R4341-V4341)</f>
        <v/>
      </c>
      <c r="X4341" s="7">
        <f>IF($C4341="","",W4341-K4341)</f>
        <v/>
      </c>
      <c r="AB4341" s="7" t="n"/>
      <c r="AE4341" s="11" t="n"/>
      <c r="AG4341">
        <f>IF($C4341="","",IF(COUNTIF($C$2:$C4341,$C4341)=1,1,0))</f>
        <v/>
      </c>
      <c r="AH4341">
        <f>IF($AG4341=1,SUMPRODUCT(--($AK$2:$AK$6001&lt;$AK4341))+1,"")</f>
        <v/>
      </c>
      <c r="AI4341">
        <f>IF($C4341="","",IF(OR($N4341=TRUE(),$N4341="TRUE"),1,0))</f>
        <v/>
      </c>
      <c r="AJ4341">
        <f>IF($C4341="","",IF($T4341="Yes",1,0))</f>
        <v/>
      </c>
      <c r="AK4341">
        <f>IF($AG4341=1,IFERROR(IF(VALUE($C4341)&lt;100000000,VALUE($C4341),1000000000),IFERROR(IF(VALUE(MID($C4341,2,20))&lt;100000000,VALUE(MID($C4341,2,20)),1000000000),1000000000))+ROW()/100000,"")</f>
        <v/>
      </c>
    </row>
    <row r="4342">
      <c r="D4342" s="11" t="n"/>
      <c r="K4342" s="7">
        <f>IF($C4342="","",J4342*W4342/100)</f>
        <v/>
      </c>
      <c r="Q4342" s="7" t="n"/>
      <c r="R4342" s="7" t="n"/>
      <c r="U4342">
        <f>IF($C4342="","",IF($AJ4342=1,0,IF($AI4342=1,Settings!$C$6,Settings!$C$7))*100)</f>
        <v/>
      </c>
      <c r="V4342" s="7">
        <f>IF($C4342="","",R4342*U4342/100)</f>
        <v/>
      </c>
      <c r="W4342" s="7">
        <f>IF($C4342="","",R4342-V4342)</f>
        <v/>
      </c>
      <c r="X4342" s="7">
        <f>IF($C4342="","",W4342-K4342)</f>
        <v/>
      </c>
      <c r="AB4342" s="7" t="n"/>
      <c r="AE4342" s="11" t="n"/>
      <c r="AG4342">
        <f>IF($C4342="","",IF(COUNTIF($C$2:$C4342,$C4342)=1,1,0))</f>
        <v/>
      </c>
      <c r="AH4342">
        <f>IF($AG4342=1,SUMPRODUCT(--($AK$2:$AK$6001&lt;$AK4342))+1,"")</f>
        <v/>
      </c>
      <c r="AI4342">
        <f>IF($C4342="","",IF(OR($N4342=TRUE(),$N4342="TRUE"),1,0))</f>
        <v/>
      </c>
      <c r="AJ4342">
        <f>IF($C4342="","",IF($T4342="Yes",1,0))</f>
        <v/>
      </c>
      <c r="AK4342">
        <f>IF($AG4342=1,IFERROR(IF(VALUE($C4342)&lt;100000000,VALUE($C4342),1000000000),IFERROR(IF(VALUE(MID($C4342,2,20))&lt;100000000,VALUE(MID($C4342,2,20)),1000000000),1000000000))+ROW()/100000,"")</f>
        <v/>
      </c>
    </row>
    <row r="4343">
      <c r="D4343" s="11" t="n"/>
      <c r="K4343" s="7">
        <f>IF($C4343="","",J4343*W4343/100)</f>
        <v/>
      </c>
      <c r="Q4343" s="7" t="n"/>
      <c r="R4343" s="7" t="n"/>
      <c r="U4343">
        <f>IF($C4343="","",IF($AJ4343=1,0,IF($AI4343=1,Settings!$C$6,Settings!$C$7))*100)</f>
        <v/>
      </c>
      <c r="V4343" s="7">
        <f>IF($C4343="","",R4343*U4343/100)</f>
        <v/>
      </c>
      <c r="W4343" s="7">
        <f>IF($C4343="","",R4343-V4343)</f>
        <v/>
      </c>
      <c r="X4343" s="7">
        <f>IF($C4343="","",W4343-K4343)</f>
        <v/>
      </c>
      <c r="AB4343" s="7" t="n"/>
      <c r="AE4343" s="11" t="n"/>
      <c r="AG4343">
        <f>IF($C4343="","",IF(COUNTIF($C$2:$C4343,$C4343)=1,1,0))</f>
        <v/>
      </c>
      <c r="AH4343">
        <f>IF($AG4343=1,SUMPRODUCT(--($AK$2:$AK$6001&lt;$AK4343))+1,"")</f>
        <v/>
      </c>
      <c r="AI4343">
        <f>IF($C4343="","",IF(OR($N4343=TRUE(),$N4343="TRUE"),1,0))</f>
        <v/>
      </c>
      <c r="AJ4343">
        <f>IF($C4343="","",IF($T4343="Yes",1,0))</f>
        <v/>
      </c>
      <c r="AK4343">
        <f>IF($AG4343=1,IFERROR(IF(VALUE($C4343)&lt;100000000,VALUE($C4343),1000000000),IFERROR(IF(VALUE(MID($C4343,2,20))&lt;100000000,VALUE(MID($C4343,2,20)),1000000000),1000000000))+ROW()/100000,"")</f>
        <v/>
      </c>
    </row>
    <row r="4344">
      <c r="D4344" s="11" t="n"/>
      <c r="K4344" s="7">
        <f>IF($C4344="","",J4344*W4344/100)</f>
        <v/>
      </c>
      <c r="Q4344" s="7" t="n"/>
      <c r="R4344" s="7" t="n"/>
      <c r="U4344">
        <f>IF($C4344="","",IF($AJ4344=1,0,IF($AI4344=1,Settings!$C$6,Settings!$C$7))*100)</f>
        <v/>
      </c>
      <c r="V4344" s="7">
        <f>IF($C4344="","",R4344*U4344/100)</f>
        <v/>
      </c>
      <c r="W4344" s="7">
        <f>IF($C4344="","",R4344-V4344)</f>
        <v/>
      </c>
      <c r="X4344" s="7">
        <f>IF($C4344="","",W4344-K4344)</f>
        <v/>
      </c>
      <c r="AB4344" s="7" t="n"/>
      <c r="AE4344" s="11" t="n"/>
      <c r="AG4344">
        <f>IF($C4344="","",IF(COUNTIF($C$2:$C4344,$C4344)=1,1,0))</f>
        <v/>
      </c>
      <c r="AH4344">
        <f>IF($AG4344=1,SUMPRODUCT(--($AK$2:$AK$6001&lt;$AK4344))+1,"")</f>
        <v/>
      </c>
      <c r="AI4344">
        <f>IF($C4344="","",IF(OR($N4344=TRUE(),$N4344="TRUE"),1,0))</f>
        <v/>
      </c>
      <c r="AJ4344">
        <f>IF($C4344="","",IF($T4344="Yes",1,0))</f>
        <v/>
      </c>
      <c r="AK4344">
        <f>IF($AG4344=1,IFERROR(IF(VALUE($C4344)&lt;100000000,VALUE($C4344),1000000000),IFERROR(IF(VALUE(MID($C4344,2,20))&lt;100000000,VALUE(MID($C4344,2,20)),1000000000),1000000000))+ROW()/100000,"")</f>
        <v/>
      </c>
    </row>
    <row r="4345">
      <c r="D4345" s="11" t="n"/>
      <c r="K4345" s="7">
        <f>IF($C4345="","",J4345*W4345/100)</f>
        <v/>
      </c>
      <c r="Q4345" s="7" t="n"/>
      <c r="R4345" s="7" t="n"/>
      <c r="U4345">
        <f>IF($C4345="","",IF($AJ4345=1,0,IF($AI4345=1,Settings!$C$6,Settings!$C$7))*100)</f>
        <v/>
      </c>
      <c r="V4345" s="7">
        <f>IF($C4345="","",R4345*U4345/100)</f>
        <v/>
      </c>
      <c r="W4345" s="7">
        <f>IF($C4345="","",R4345-V4345)</f>
        <v/>
      </c>
      <c r="X4345" s="7">
        <f>IF($C4345="","",W4345-K4345)</f>
        <v/>
      </c>
      <c r="AB4345" s="7" t="n"/>
      <c r="AE4345" s="11" t="n"/>
      <c r="AG4345">
        <f>IF($C4345="","",IF(COUNTIF($C$2:$C4345,$C4345)=1,1,0))</f>
        <v/>
      </c>
      <c r="AH4345">
        <f>IF($AG4345=1,SUMPRODUCT(--($AK$2:$AK$6001&lt;$AK4345))+1,"")</f>
        <v/>
      </c>
      <c r="AI4345">
        <f>IF($C4345="","",IF(OR($N4345=TRUE(),$N4345="TRUE"),1,0))</f>
        <v/>
      </c>
      <c r="AJ4345">
        <f>IF($C4345="","",IF($T4345="Yes",1,0))</f>
        <v/>
      </c>
      <c r="AK4345">
        <f>IF($AG4345=1,IFERROR(IF(VALUE($C4345)&lt;100000000,VALUE($C4345),1000000000),IFERROR(IF(VALUE(MID($C4345,2,20))&lt;100000000,VALUE(MID($C4345,2,20)),1000000000),1000000000))+ROW()/100000,"")</f>
        <v/>
      </c>
    </row>
    <row r="4346">
      <c r="D4346" s="11" t="n"/>
      <c r="K4346" s="7">
        <f>IF($C4346="","",J4346*W4346/100)</f>
        <v/>
      </c>
      <c r="Q4346" s="7" t="n"/>
      <c r="R4346" s="7" t="n"/>
      <c r="U4346">
        <f>IF($C4346="","",IF($AJ4346=1,0,IF($AI4346=1,Settings!$C$6,Settings!$C$7))*100)</f>
        <v/>
      </c>
      <c r="V4346" s="7">
        <f>IF($C4346="","",R4346*U4346/100)</f>
        <v/>
      </c>
      <c r="W4346" s="7">
        <f>IF($C4346="","",R4346-V4346)</f>
        <v/>
      </c>
      <c r="X4346" s="7">
        <f>IF($C4346="","",W4346-K4346)</f>
        <v/>
      </c>
      <c r="AB4346" s="7" t="n"/>
      <c r="AE4346" s="11" t="n"/>
      <c r="AG4346">
        <f>IF($C4346="","",IF(COUNTIF($C$2:$C4346,$C4346)=1,1,0))</f>
        <v/>
      </c>
      <c r="AH4346">
        <f>IF($AG4346=1,SUMPRODUCT(--($AK$2:$AK$6001&lt;$AK4346))+1,"")</f>
        <v/>
      </c>
      <c r="AI4346">
        <f>IF($C4346="","",IF(OR($N4346=TRUE(),$N4346="TRUE"),1,0))</f>
        <v/>
      </c>
      <c r="AJ4346">
        <f>IF($C4346="","",IF($T4346="Yes",1,0))</f>
        <v/>
      </c>
      <c r="AK4346">
        <f>IF($AG4346=1,IFERROR(IF(VALUE($C4346)&lt;100000000,VALUE($C4346),1000000000),IFERROR(IF(VALUE(MID($C4346,2,20))&lt;100000000,VALUE(MID($C4346,2,20)),1000000000),1000000000))+ROW()/100000,"")</f>
        <v/>
      </c>
    </row>
    <row r="4347">
      <c r="D4347" s="11" t="n"/>
      <c r="K4347" s="7">
        <f>IF($C4347="","",J4347*W4347/100)</f>
        <v/>
      </c>
      <c r="Q4347" s="7" t="n"/>
      <c r="R4347" s="7" t="n"/>
      <c r="U4347">
        <f>IF($C4347="","",IF($AJ4347=1,0,IF($AI4347=1,Settings!$C$6,Settings!$C$7))*100)</f>
        <v/>
      </c>
      <c r="V4347" s="7">
        <f>IF($C4347="","",R4347*U4347/100)</f>
        <v/>
      </c>
      <c r="W4347" s="7">
        <f>IF($C4347="","",R4347-V4347)</f>
        <v/>
      </c>
      <c r="X4347" s="7">
        <f>IF($C4347="","",W4347-K4347)</f>
        <v/>
      </c>
      <c r="AB4347" s="7" t="n"/>
      <c r="AE4347" s="11" t="n"/>
      <c r="AG4347">
        <f>IF($C4347="","",IF(COUNTIF($C$2:$C4347,$C4347)=1,1,0))</f>
        <v/>
      </c>
      <c r="AH4347">
        <f>IF($AG4347=1,SUMPRODUCT(--($AK$2:$AK$6001&lt;$AK4347))+1,"")</f>
        <v/>
      </c>
      <c r="AI4347">
        <f>IF($C4347="","",IF(OR($N4347=TRUE(),$N4347="TRUE"),1,0))</f>
        <v/>
      </c>
      <c r="AJ4347">
        <f>IF($C4347="","",IF($T4347="Yes",1,0))</f>
        <v/>
      </c>
      <c r="AK4347">
        <f>IF($AG4347=1,IFERROR(IF(VALUE($C4347)&lt;100000000,VALUE($C4347),1000000000),IFERROR(IF(VALUE(MID($C4347,2,20))&lt;100000000,VALUE(MID($C4347,2,20)),1000000000),1000000000))+ROW()/100000,"")</f>
        <v/>
      </c>
    </row>
    <row r="4348">
      <c r="D4348" s="11" t="n"/>
      <c r="K4348" s="7">
        <f>IF($C4348="","",J4348*W4348/100)</f>
        <v/>
      </c>
      <c r="Q4348" s="7" t="n"/>
      <c r="R4348" s="7" t="n"/>
      <c r="U4348">
        <f>IF($C4348="","",IF($AJ4348=1,0,IF($AI4348=1,Settings!$C$6,Settings!$C$7))*100)</f>
        <v/>
      </c>
      <c r="V4348" s="7">
        <f>IF($C4348="","",R4348*U4348/100)</f>
        <v/>
      </c>
      <c r="W4348" s="7">
        <f>IF($C4348="","",R4348-V4348)</f>
        <v/>
      </c>
      <c r="X4348" s="7">
        <f>IF($C4348="","",W4348-K4348)</f>
        <v/>
      </c>
      <c r="AB4348" s="7" t="n"/>
      <c r="AE4348" s="11" t="n"/>
      <c r="AG4348">
        <f>IF($C4348="","",IF(COUNTIF($C$2:$C4348,$C4348)=1,1,0))</f>
        <v/>
      </c>
      <c r="AH4348">
        <f>IF($AG4348=1,SUMPRODUCT(--($AK$2:$AK$6001&lt;$AK4348))+1,"")</f>
        <v/>
      </c>
      <c r="AI4348">
        <f>IF($C4348="","",IF(OR($N4348=TRUE(),$N4348="TRUE"),1,0))</f>
        <v/>
      </c>
      <c r="AJ4348">
        <f>IF($C4348="","",IF($T4348="Yes",1,0))</f>
        <v/>
      </c>
      <c r="AK4348">
        <f>IF($AG4348=1,IFERROR(IF(VALUE($C4348)&lt;100000000,VALUE($C4348),1000000000),IFERROR(IF(VALUE(MID($C4348,2,20))&lt;100000000,VALUE(MID($C4348,2,20)),1000000000),1000000000))+ROW()/100000,"")</f>
        <v/>
      </c>
    </row>
    <row r="4349">
      <c r="D4349" s="11" t="n"/>
      <c r="K4349" s="7">
        <f>IF($C4349="","",J4349*W4349/100)</f>
        <v/>
      </c>
      <c r="Q4349" s="7" t="n"/>
      <c r="R4349" s="7" t="n"/>
      <c r="U4349">
        <f>IF($C4349="","",IF($AJ4349=1,0,IF($AI4349=1,Settings!$C$6,Settings!$C$7))*100)</f>
        <v/>
      </c>
      <c r="V4349" s="7">
        <f>IF($C4349="","",R4349*U4349/100)</f>
        <v/>
      </c>
      <c r="W4349" s="7">
        <f>IF($C4349="","",R4349-V4349)</f>
        <v/>
      </c>
      <c r="X4349" s="7">
        <f>IF($C4349="","",W4349-K4349)</f>
        <v/>
      </c>
      <c r="AB4349" s="7" t="n"/>
      <c r="AE4349" s="11" t="n"/>
      <c r="AG4349">
        <f>IF($C4349="","",IF(COUNTIF($C$2:$C4349,$C4349)=1,1,0))</f>
        <v/>
      </c>
      <c r="AH4349">
        <f>IF($AG4349=1,SUMPRODUCT(--($AK$2:$AK$6001&lt;$AK4349))+1,"")</f>
        <v/>
      </c>
      <c r="AI4349">
        <f>IF($C4349="","",IF(OR($N4349=TRUE(),$N4349="TRUE"),1,0))</f>
        <v/>
      </c>
      <c r="AJ4349">
        <f>IF($C4349="","",IF($T4349="Yes",1,0))</f>
        <v/>
      </c>
      <c r="AK4349">
        <f>IF($AG4349=1,IFERROR(IF(VALUE($C4349)&lt;100000000,VALUE($C4349),1000000000),IFERROR(IF(VALUE(MID($C4349,2,20))&lt;100000000,VALUE(MID($C4349,2,20)),1000000000),1000000000))+ROW()/100000,"")</f>
        <v/>
      </c>
    </row>
    <row r="4350">
      <c r="D4350" s="11" t="n"/>
      <c r="K4350" s="7">
        <f>IF($C4350="","",J4350*W4350/100)</f>
        <v/>
      </c>
      <c r="Q4350" s="7" t="n"/>
      <c r="R4350" s="7" t="n"/>
      <c r="U4350">
        <f>IF($C4350="","",IF($AJ4350=1,0,IF($AI4350=1,Settings!$C$6,Settings!$C$7))*100)</f>
        <v/>
      </c>
      <c r="V4350" s="7">
        <f>IF($C4350="","",R4350*U4350/100)</f>
        <v/>
      </c>
      <c r="W4350" s="7">
        <f>IF($C4350="","",R4350-V4350)</f>
        <v/>
      </c>
      <c r="X4350" s="7">
        <f>IF($C4350="","",W4350-K4350)</f>
        <v/>
      </c>
      <c r="AB4350" s="7" t="n"/>
      <c r="AE4350" s="11" t="n"/>
      <c r="AG4350">
        <f>IF($C4350="","",IF(COUNTIF($C$2:$C4350,$C4350)=1,1,0))</f>
        <v/>
      </c>
      <c r="AH4350">
        <f>IF($AG4350=1,SUMPRODUCT(--($AK$2:$AK$6001&lt;$AK4350))+1,"")</f>
        <v/>
      </c>
      <c r="AI4350">
        <f>IF($C4350="","",IF(OR($N4350=TRUE(),$N4350="TRUE"),1,0))</f>
        <v/>
      </c>
      <c r="AJ4350">
        <f>IF($C4350="","",IF($T4350="Yes",1,0))</f>
        <v/>
      </c>
      <c r="AK4350">
        <f>IF($AG4350=1,IFERROR(IF(VALUE($C4350)&lt;100000000,VALUE($C4350),1000000000),IFERROR(IF(VALUE(MID($C4350,2,20))&lt;100000000,VALUE(MID($C4350,2,20)),1000000000),1000000000))+ROW()/100000,"")</f>
        <v/>
      </c>
    </row>
    <row r="4351">
      <c r="D4351" s="11" t="n"/>
      <c r="K4351" s="7">
        <f>IF($C4351="","",J4351*W4351/100)</f>
        <v/>
      </c>
      <c r="Q4351" s="7" t="n"/>
      <c r="R4351" s="7" t="n"/>
      <c r="U4351">
        <f>IF($C4351="","",IF($AJ4351=1,0,IF($AI4351=1,Settings!$C$6,Settings!$C$7))*100)</f>
        <v/>
      </c>
      <c r="V4351" s="7">
        <f>IF($C4351="","",R4351*U4351/100)</f>
        <v/>
      </c>
      <c r="W4351" s="7">
        <f>IF($C4351="","",R4351-V4351)</f>
        <v/>
      </c>
      <c r="X4351" s="7">
        <f>IF($C4351="","",W4351-K4351)</f>
        <v/>
      </c>
      <c r="AB4351" s="7" t="n"/>
      <c r="AE4351" s="11" t="n"/>
      <c r="AG4351">
        <f>IF($C4351="","",IF(COUNTIF($C$2:$C4351,$C4351)=1,1,0))</f>
        <v/>
      </c>
      <c r="AH4351">
        <f>IF($AG4351=1,SUMPRODUCT(--($AK$2:$AK$6001&lt;$AK4351))+1,"")</f>
        <v/>
      </c>
      <c r="AI4351">
        <f>IF($C4351="","",IF(OR($N4351=TRUE(),$N4351="TRUE"),1,0))</f>
        <v/>
      </c>
      <c r="AJ4351">
        <f>IF($C4351="","",IF($T4351="Yes",1,0))</f>
        <v/>
      </c>
      <c r="AK4351">
        <f>IF($AG4351=1,IFERROR(IF(VALUE($C4351)&lt;100000000,VALUE($C4351),1000000000),IFERROR(IF(VALUE(MID($C4351,2,20))&lt;100000000,VALUE(MID($C4351,2,20)),1000000000),1000000000))+ROW()/100000,"")</f>
        <v/>
      </c>
    </row>
    <row r="4352">
      <c r="D4352" s="11" t="n"/>
      <c r="K4352" s="7">
        <f>IF($C4352="","",J4352*W4352/100)</f>
        <v/>
      </c>
      <c r="Q4352" s="7" t="n"/>
      <c r="R4352" s="7" t="n"/>
      <c r="U4352">
        <f>IF($C4352="","",IF($AJ4352=1,0,IF($AI4352=1,Settings!$C$6,Settings!$C$7))*100)</f>
        <v/>
      </c>
      <c r="V4352" s="7">
        <f>IF($C4352="","",R4352*U4352/100)</f>
        <v/>
      </c>
      <c r="W4352" s="7">
        <f>IF($C4352="","",R4352-V4352)</f>
        <v/>
      </c>
      <c r="X4352" s="7">
        <f>IF($C4352="","",W4352-K4352)</f>
        <v/>
      </c>
      <c r="AB4352" s="7" t="n"/>
      <c r="AE4352" s="11" t="n"/>
      <c r="AG4352">
        <f>IF($C4352="","",IF(COUNTIF($C$2:$C4352,$C4352)=1,1,0))</f>
        <v/>
      </c>
      <c r="AH4352">
        <f>IF($AG4352=1,SUMPRODUCT(--($AK$2:$AK$6001&lt;$AK4352))+1,"")</f>
        <v/>
      </c>
      <c r="AI4352">
        <f>IF($C4352="","",IF(OR($N4352=TRUE(),$N4352="TRUE"),1,0))</f>
        <v/>
      </c>
      <c r="AJ4352">
        <f>IF($C4352="","",IF($T4352="Yes",1,0))</f>
        <v/>
      </c>
      <c r="AK4352">
        <f>IF($AG4352=1,IFERROR(IF(VALUE($C4352)&lt;100000000,VALUE($C4352),1000000000),IFERROR(IF(VALUE(MID($C4352,2,20))&lt;100000000,VALUE(MID($C4352,2,20)),1000000000),1000000000))+ROW()/100000,"")</f>
        <v/>
      </c>
    </row>
    <row r="4353">
      <c r="D4353" s="11" t="n"/>
      <c r="K4353" s="7">
        <f>IF($C4353="","",J4353*W4353/100)</f>
        <v/>
      </c>
      <c r="Q4353" s="7" t="n"/>
      <c r="R4353" s="7" t="n"/>
      <c r="U4353">
        <f>IF($C4353="","",IF($AJ4353=1,0,IF($AI4353=1,Settings!$C$6,Settings!$C$7))*100)</f>
        <v/>
      </c>
      <c r="V4353" s="7">
        <f>IF($C4353="","",R4353*U4353/100)</f>
        <v/>
      </c>
      <c r="W4353" s="7">
        <f>IF($C4353="","",R4353-V4353)</f>
        <v/>
      </c>
      <c r="X4353" s="7">
        <f>IF($C4353="","",W4353-K4353)</f>
        <v/>
      </c>
      <c r="AB4353" s="7" t="n"/>
      <c r="AE4353" s="11" t="n"/>
      <c r="AG4353">
        <f>IF($C4353="","",IF(COUNTIF($C$2:$C4353,$C4353)=1,1,0))</f>
        <v/>
      </c>
      <c r="AH4353">
        <f>IF($AG4353=1,SUMPRODUCT(--($AK$2:$AK$6001&lt;$AK4353))+1,"")</f>
        <v/>
      </c>
      <c r="AI4353">
        <f>IF($C4353="","",IF(OR($N4353=TRUE(),$N4353="TRUE"),1,0))</f>
        <v/>
      </c>
      <c r="AJ4353">
        <f>IF($C4353="","",IF($T4353="Yes",1,0))</f>
        <v/>
      </c>
      <c r="AK4353">
        <f>IF($AG4353=1,IFERROR(IF(VALUE($C4353)&lt;100000000,VALUE($C4353),1000000000),IFERROR(IF(VALUE(MID($C4353,2,20))&lt;100000000,VALUE(MID($C4353,2,20)),1000000000),1000000000))+ROW()/100000,"")</f>
        <v/>
      </c>
    </row>
    <row r="4354">
      <c r="D4354" s="11" t="n"/>
      <c r="K4354" s="7">
        <f>IF($C4354="","",J4354*W4354/100)</f>
        <v/>
      </c>
      <c r="Q4354" s="7" t="n"/>
      <c r="R4354" s="7" t="n"/>
      <c r="U4354">
        <f>IF($C4354="","",IF($AJ4354=1,0,IF($AI4354=1,Settings!$C$6,Settings!$C$7))*100)</f>
        <v/>
      </c>
      <c r="V4354" s="7">
        <f>IF($C4354="","",R4354*U4354/100)</f>
        <v/>
      </c>
      <c r="W4354" s="7">
        <f>IF($C4354="","",R4354-V4354)</f>
        <v/>
      </c>
      <c r="X4354" s="7">
        <f>IF($C4354="","",W4354-K4354)</f>
        <v/>
      </c>
      <c r="AB4354" s="7" t="n"/>
      <c r="AE4354" s="11" t="n"/>
      <c r="AG4354">
        <f>IF($C4354="","",IF(COUNTIF($C$2:$C4354,$C4354)=1,1,0))</f>
        <v/>
      </c>
      <c r="AH4354">
        <f>IF($AG4354=1,SUMPRODUCT(--($AK$2:$AK$6001&lt;$AK4354))+1,"")</f>
        <v/>
      </c>
      <c r="AI4354">
        <f>IF($C4354="","",IF(OR($N4354=TRUE(),$N4354="TRUE"),1,0))</f>
        <v/>
      </c>
      <c r="AJ4354">
        <f>IF($C4354="","",IF($T4354="Yes",1,0))</f>
        <v/>
      </c>
      <c r="AK4354">
        <f>IF($AG4354=1,IFERROR(IF(VALUE($C4354)&lt;100000000,VALUE($C4354),1000000000),IFERROR(IF(VALUE(MID($C4354,2,20))&lt;100000000,VALUE(MID($C4354,2,20)),1000000000),1000000000))+ROW()/100000,"")</f>
        <v/>
      </c>
    </row>
    <row r="4355">
      <c r="D4355" s="11" t="n"/>
      <c r="K4355" s="7">
        <f>IF($C4355="","",J4355*W4355/100)</f>
        <v/>
      </c>
      <c r="Q4355" s="7" t="n"/>
      <c r="R4355" s="7" t="n"/>
      <c r="U4355">
        <f>IF($C4355="","",IF($AJ4355=1,0,IF($AI4355=1,Settings!$C$6,Settings!$C$7))*100)</f>
        <v/>
      </c>
      <c r="V4355" s="7">
        <f>IF($C4355="","",R4355*U4355/100)</f>
        <v/>
      </c>
      <c r="W4355" s="7">
        <f>IF($C4355="","",R4355-V4355)</f>
        <v/>
      </c>
      <c r="X4355" s="7">
        <f>IF($C4355="","",W4355-K4355)</f>
        <v/>
      </c>
      <c r="AB4355" s="7" t="n"/>
      <c r="AE4355" s="11" t="n"/>
      <c r="AG4355">
        <f>IF($C4355="","",IF(COUNTIF($C$2:$C4355,$C4355)=1,1,0))</f>
        <v/>
      </c>
      <c r="AH4355">
        <f>IF($AG4355=1,SUMPRODUCT(--($AK$2:$AK$6001&lt;$AK4355))+1,"")</f>
        <v/>
      </c>
      <c r="AI4355">
        <f>IF($C4355="","",IF(OR($N4355=TRUE(),$N4355="TRUE"),1,0))</f>
        <v/>
      </c>
      <c r="AJ4355">
        <f>IF($C4355="","",IF($T4355="Yes",1,0))</f>
        <v/>
      </c>
      <c r="AK4355">
        <f>IF($AG4355=1,IFERROR(IF(VALUE($C4355)&lt;100000000,VALUE($C4355),1000000000),IFERROR(IF(VALUE(MID($C4355,2,20))&lt;100000000,VALUE(MID($C4355,2,20)),1000000000),1000000000))+ROW()/100000,"")</f>
        <v/>
      </c>
    </row>
    <row r="4356">
      <c r="D4356" s="11" t="n"/>
      <c r="K4356" s="7">
        <f>IF($C4356="","",J4356*W4356/100)</f>
        <v/>
      </c>
      <c r="Q4356" s="7" t="n"/>
      <c r="R4356" s="7" t="n"/>
      <c r="U4356">
        <f>IF($C4356="","",IF($AJ4356=1,0,IF($AI4356=1,Settings!$C$6,Settings!$C$7))*100)</f>
        <v/>
      </c>
      <c r="V4356" s="7">
        <f>IF($C4356="","",R4356*U4356/100)</f>
        <v/>
      </c>
      <c r="W4356" s="7">
        <f>IF($C4356="","",R4356-V4356)</f>
        <v/>
      </c>
      <c r="X4356" s="7">
        <f>IF($C4356="","",W4356-K4356)</f>
        <v/>
      </c>
      <c r="AB4356" s="7" t="n"/>
      <c r="AE4356" s="11" t="n"/>
      <c r="AG4356">
        <f>IF($C4356="","",IF(COUNTIF($C$2:$C4356,$C4356)=1,1,0))</f>
        <v/>
      </c>
      <c r="AH4356">
        <f>IF($AG4356=1,SUMPRODUCT(--($AK$2:$AK$6001&lt;$AK4356))+1,"")</f>
        <v/>
      </c>
      <c r="AI4356">
        <f>IF($C4356="","",IF(OR($N4356=TRUE(),$N4356="TRUE"),1,0))</f>
        <v/>
      </c>
      <c r="AJ4356">
        <f>IF($C4356="","",IF($T4356="Yes",1,0))</f>
        <v/>
      </c>
      <c r="AK4356">
        <f>IF($AG4356=1,IFERROR(IF(VALUE($C4356)&lt;100000000,VALUE($C4356),1000000000),IFERROR(IF(VALUE(MID($C4356,2,20))&lt;100000000,VALUE(MID($C4356,2,20)),1000000000),1000000000))+ROW()/100000,"")</f>
        <v/>
      </c>
    </row>
    <row r="4357">
      <c r="D4357" s="11" t="n"/>
      <c r="K4357" s="7">
        <f>IF($C4357="","",J4357*W4357/100)</f>
        <v/>
      </c>
      <c r="Q4357" s="7" t="n"/>
      <c r="R4357" s="7" t="n"/>
      <c r="U4357">
        <f>IF($C4357="","",IF($AJ4357=1,0,IF($AI4357=1,Settings!$C$6,Settings!$C$7))*100)</f>
        <v/>
      </c>
      <c r="V4357" s="7">
        <f>IF($C4357="","",R4357*U4357/100)</f>
        <v/>
      </c>
      <c r="W4357" s="7">
        <f>IF($C4357="","",R4357-V4357)</f>
        <v/>
      </c>
      <c r="X4357" s="7">
        <f>IF($C4357="","",W4357-K4357)</f>
        <v/>
      </c>
      <c r="AB4357" s="7" t="n"/>
      <c r="AE4357" s="11" t="n"/>
      <c r="AG4357">
        <f>IF($C4357="","",IF(COUNTIF($C$2:$C4357,$C4357)=1,1,0))</f>
        <v/>
      </c>
      <c r="AH4357">
        <f>IF($AG4357=1,SUMPRODUCT(--($AK$2:$AK$6001&lt;$AK4357))+1,"")</f>
        <v/>
      </c>
      <c r="AI4357">
        <f>IF($C4357="","",IF(OR($N4357=TRUE(),$N4357="TRUE"),1,0))</f>
        <v/>
      </c>
      <c r="AJ4357">
        <f>IF($C4357="","",IF($T4357="Yes",1,0))</f>
        <v/>
      </c>
      <c r="AK4357">
        <f>IF($AG4357=1,IFERROR(IF(VALUE($C4357)&lt;100000000,VALUE($C4357),1000000000),IFERROR(IF(VALUE(MID($C4357,2,20))&lt;100000000,VALUE(MID($C4357,2,20)),1000000000),1000000000))+ROW()/100000,"")</f>
        <v/>
      </c>
    </row>
    <row r="4358">
      <c r="D4358" s="11" t="n"/>
      <c r="K4358" s="7">
        <f>IF($C4358="","",J4358*W4358/100)</f>
        <v/>
      </c>
      <c r="Q4358" s="7" t="n"/>
      <c r="R4358" s="7" t="n"/>
      <c r="U4358">
        <f>IF($C4358="","",IF($AJ4358=1,0,IF($AI4358=1,Settings!$C$6,Settings!$C$7))*100)</f>
        <v/>
      </c>
      <c r="V4358" s="7">
        <f>IF($C4358="","",R4358*U4358/100)</f>
        <v/>
      </c>
      <c r="W4358" s="7">
        <f>IF($C4358="","",R4358-V4358)</f>
        <v/>
      </c>
      <c r="X4358" s="7">
        <f>IF($C4358="","",W4358-K4358)</f>
        <v/>
      </c>
      <c r="AB4358" s="7" t="n"/>
      <c r="AE4358" s="11" t="n"/>
      <c r="AG4358">
        <f>IF($C4358="","",IF(COUNTIF($C$2:$C4358,$C4358)=1,1,0))</f>
        <v/>
      </c>
      <c r="AH4358">
        <f>IF($AG4358=1,SUMPRODUCT(--($AK$2:$AK$6001&lt;$AK4358))+1,"")</f>
        <v/>
      </c>
      <c r="AI4358">
        <f>IF($C4358="","",IF(OR($N4358=TRUE(),$N4358="TRUE"),1,0))</f>
        <v/>
      </c>
      <c r="AJ4358">
        <f>IF($C4358="","",IF($T4358="Yes",1,0))</f>
        <v/>
      </c>
      <c r="AK4358">
        <f>IF($AG4358=1,IFERROR(IF(VALUE($C4358)&lt;100000000,VALUE($C4358),1000000000),IFERROR(IF(VALUE(MID($C4358,2,20))&lt;100000000,VALUE(MID($C4358,2,20)),1000000000),1000000000))+ROW()/100000,"")</f>
        <v/>
      </c>
    </row>
    <row r="4359">
      <c r="D4359" s="11" t="n"/>
      <c r="K4359" s="7">
        <f>IF($C4359="","",J4359*W4359/100)</f>
        <v/>
      </c>
      <c r="Q4359" s="7" t="n"/>
      <c r="R4359" s="7" t="n"/>
      <c r="U4359">
        <f>IF($C4359="","",IF($AJ4359=1,0,IF($AI4359=1,Settings!$C$6,Settings!$C$7))*100)</f>
        <v/>
      </c>
      <c r="V4359" s="7">
        <f>IF($C4359="","",R4359*U4359/100)</f>
        <v/>
      </c>
      <c r="W4359" s="7">
        <f>IF($C4359="","",R4359-V4359)</f>
        <v/>
      </c>
      <c r="X4359" s="7">
        <f>IF($C4359="","",W4359-K4359)</f>
        <v/>
      </c>
      <c r="AB4359" s="7" t="n"/>
      <c r="AE4359" s="11" t="n"/>
      <c r="AG4359">
        <f>IF($C4359="","",IF(COUNTIF($C$2:$C4359,$C4359)=1,1,0))</f>
        <v/>
      </c>
      <c r="AH4359">
        <f>IF($AG4359=1,SUMPRODUCT(--($AK$2:$AK$6001&lt;$AK4359))+1,"")</f>
        <v/>
      </c>
      <c r="AI4359">
        <f>IF($C4359="","",IF(OR($N4359=TRUE(),$N4359="TRUE"),1,0))</f>
        <v/>
      </c>
      <c r="AJ4359">
        <f>IF($C4359="","",IF($T4359="Yes",1,0))</f>
        <v/>
      </c>
      <c r="AK4359">
        <f>IF($AG4359=1,IFERROR(IF(VALUE($C4359)&lt;100000000,VALUE($C4359),1000000000),IFERROR(IF(VALUE(MID($C4359,2,20))&lt;100000000,VALUE(MID($C4359,2,20)),1000000000),1000000000))+ROW()/100000,"")</f>
        <v/>
      </c>
    </row>
    <row r="4360">
      <c r="D4360" s="11" t="n"/>
      <c r="K4360" s="7">
        <f>IF($C4360="","",J4360*W4360/100)</f>
        <v/>
      </c>
      <c r="Q4360" s="7" t="n"/>
      <c r="R4360" s="7" t="n"/>
      <c r="U4360">
        <f>IF($C4360="","",IF($AJ4360=1,0,IF($AI4360=1,Settings!$C$6,Settings!$C$7))*100)</f>
        <v/>
      </c>
      <c r="V4360" s="7">
        <f>IF($C4360="","",R4360*U4360/100)</f>
        <v/>
      </c>
      <c r="W4360" s="7">
        <f>IF($C4360="","",R4360-V4360)</f>
        <v/>
      </c>
      <c r="X4360" s="7">
        <f>IF($C4360="","",W4360-K4360)</f>
        <v/>
      </c>
      <c r="AB4360" s="7" t="n"/>
      <c r="AE4360" s="11" t="n"/>
      <c r="AG4360">
        <f>IF($C4360="","",IF(COUNTIF($C$2:$C4360,$C4360)=1,1,0))</f>
        <v/>
      </c>
      <c r="AH4360">
        <f>IF($AG4360=1,SUMPRODUCT(--($AK$2:$AK$6001&lt;$AK4360))+1,"")</f>
        <v/>
      </c>
      <c r="AI4360">
        <f>IF($C4360="","",IF(OR($N4360=TRUE(),$N4360="TRUE"),1,0))</f>
        <v/>
      </c>
      <c r="AJ4360">
        <f>IF($C4360="","",IF($T4360="Yes",1,0))</f>
        <v/>
      </c>
      <c r="AK4360">
        <f>IF($AG4360=1,IFERROR(IF(VALUE($C4360)&lt;100000000,VALUE($C4360),1000000000),IFERROR(IF(VALUE(MID($C4360,2,20))&lt;100000000,VALUE(MID($C4360,2,20)),1000000000),1000000000))+ROW()/100000,"")</f>
        <v/>
      </c>
    </row>
    <row r="4361">
      <c r="D4361" s="11" t="n"/>
      <c r="K4361" s="7">
        <f>IF($C4361="","",J4361*W4361/100)</f>
        <v/>
      </c>
      <c r="Q4361" s="7" t="n"/>
      <c r="R4361" s="7" t="n"/>
      <c r="U4361">
        <f>IF($C4361="","",IF($AJ4361=1,0,IF($AI4361=1,Settings!$C$6,Settings!$C$7))*100)</f>
        <v/>
      </c>
      <c r="V4361" s="7">
        <f>IF($C4361="","",R4361*U4361/100)</f>
        <v/>
      </c>
      <c r="W4361" s="7">
        <f>IF($C4361="","",R4361-V4361)</f>
        <v/>
      </c>
      <c r="X4361" s="7">
        <f>IF($C4361="","",W4361-K4361)</f>
        <v/>
      </c>
      <c r="AB4361" s="7" t="n"/>
      <c r="AE4361" s="11" t="n"/>
      <c r="AG4361">
        <f>IF($C4361="","",IF(COUNTIF($C$2:$C4361,$C4361)=1,1,0))</f>
        <v/>
      </c>
      <c r="AH4361">
        <f>IF($AG4361=1,SUMPRODUCT(--($AK$2:$AK$6001&lt;$AK4361))+1,"")</f>
        <v/>
      </c>
      <c r="AI4361">
        <f>IF($C4361="","",IF(OR($N4361=TRUE(),$N4361="TRUE"),1,0))</f>
        <v/>
      </c>
      <c r="AJ4361">
        <f>IF($C4361="","",IF($T4361="Yes",1,0))</f>
        <v/>
      </c>
      <c r="AK4361">
        <f>IF($AG4361=1,IFERROR(IF(VALUE($C4361)&lt;100000000,VALUE($C4361),1000000000),IFERROR(IF(VALUE(MID($C4361,2,20))&lt;100000000,VALUE(MID($C4361,2,20)),1000000000),1000000000))+ROW()/100000,"")</f>
        <v/>
      </c>
    </row>
    <row r="4362">
      <c r="D4362" s="11" t="n"/>
      <c r="K4362" s="7">
        <f>IF($C4362="","",J4362*W4362/100)</f>
        <v/>
      </c>
      <c r="Q4362" s="7" t="n"/>
      <c r="R4362" s="7" t="n"/>
      <c r="U4362">
        <f>IF($C4362="","",IF($AJ4362=1,0,IF($AI4362=1,Settings!$C$6,Settings!$C$7))*100)</f>
        <v/>
      </c>
      <c r="V4362" s="7">
        <f>IF($C4362="","",R4362*U4362/100)</f>
        <v/>
      </c>
      <c r="W4362" s="7">
        <f>IF($C4362="","",R4362-V4362)</f>
        <v/>
      </c>
      <c r="X4362" s="7">
        <f>IF($C4362="","",W4362-K4362)</f>
        <v/>
      </c>
      <c r="AB4362" s="7" t="n"/>
      <c r="AE4362" s="11" t="n"/>
      <c r="AG4362">
        <f>IF($C4362="","",IF(COUNTIF($C$2:$C4362,$C4362)=1,1,0))</f>
        <v/>
      </c>
      <c r="AH4362">
        <f>IF($AG4362=1,SUMPRODUCT(--($AK$2:$AK$6001&lt;$AK4362))+1,"")</f>
        <v/>
      </c>
      <c r="AI4362">
        <f>IF($C4362="","",IF(OR($N4362=TRUE(),$N4362="TRUE"),1,0))</f>
        <v/>
      </c>
      <c r="AJ4362">
        <f>IF($C4362="","",IF($T4362="Yes",1,0))</f>
        <v/>
      </c>
      <c r="AK4362">
        <f>IF($AG4362=1,IFERROR(IF(VALUE($C4362)&lt;100000000,VALUE($C4362),1000000000),IFERROR(IF(VALUE(MID($C4362,2,20))&lt;100000000,VALUE(MID($C4362,2,20)),1000000000),1000000000))+ROW()/100000,"")</f>
        <v/>
      </c>
    </row>
    <row r="4363">
      <c r="D4363" s="11" t="n"/>
      <c r="K4363" s="7">
        <f>IF($C4363="","",J4363*W4363/100)</f>
        <v/>
      </c>
      <c r="Q4363" s="7" t="n"/>
      <c r="R4363" s="7" t="n"/>
      <c r="U4363">
        <f>IF($C4363="","",IF($AJ4363=1,0,IF($AI4363=1,Settings!$C$6,Settings!$C$7))*100)</f>
        <v/>
      </c>
      <c r="V4363" s="7">
        <f>IF($C4363="","",R4363*U4363/100)</f>
        <v/>
      </c>
      <c r="W4363" s="7">
        <f>IF($C4363="","",R4363-V4363)</f>
        <v/>
      </c>
      <c r="X4363" s="7">
        <f>IF($C4363="","",W4363-K4363)</f>
        <v/>
      </c>
      <c r="AB4363" s="7" t="n"/>
      <c r="AE4363" s="11" t="n"/>
      <c r="AG4363">
        <f>IF($C4363="","",IF(COUNTIF($C$2:$C4363,$C4363)=1,1,0))</f>
        <v/>
      </c>
      <c r="AH4363">
        <f>IF($AG4363=1,SUMPRODUCT(--($AK$2:$AK$6001&lt;$AK4363))+1,"")</f>
        <v/>
      </c>
      <c r="AI4363">
        <f>IF($C4363="","",IF(OR($N4363=TRUE(),$N4363="TRUE"),1,0))</f>
        <v/>
      </c>
      <c r="AJ4363">
        <f>IF($C4363="","",IF($T4363="Yes",1,0))</f>
        <v/>
      </c>
      <c r="AK4363">
        <f>IF($AG4363=1,IFERROR(IF(VALUE($C4363)&lt;100000000,VALUE($C4363),1000000000),IFERROR(IF(VALUE(MID($C4363,2,20))&lt;100000000,VALUE(MID($C4363,2,20)),1000000000),1000000000))+ROW()/100000,"")</f>
        <v/>
      </c>
    </row>
    <row r="4364">
      <c r="D4364" s="11" t="n"/>
      <c r="K4364" s="7">
        <f>IF($C4364="","",J4364*W4364/100)</f>
        <v/>
      </c>
      <c r="Q4364" s="7" t="n"/>
      <c r="R4364" s="7" t="n"/>
      <c r="U4364">
        <f>IF($C4364="","",IF($AJ4364=1,0,IF($AI4364=1,Settings!$C$6,Settings!$C$7))*100)</f>
        <v/>
      </c>
      <c r="V4364" s="7">
        <f>IF($C4364="","",R4364*U4364/100)</f>
        <v/>
      </c>
      <c r="W4364" s="7">
        <f>IF($C4364="","",R4364-V4364)</f>
        <v/>
      </c>
      <c r="X4364" s="7">
        <f>IF($C4364="","",W4364-K4364)</f>
        <v/>
      </c>
      <c r="AB4364" s="7" t="n"/>
      <c r="AE4364" s="11" t="n"/>
      <c r="AG4364">
        <f>IF($C4364="","",IF(COUNTIF($C$2:$C4364,$C4364)=1,1,0))</f>
        <v/>
      </c>
      <c r="AH4364">
        <f>IF($AG4364=1,SUMPRODUCT(--($AK$2:$AK$6001&lt;$AK4364))+1,"")</f>
        <v/>
      </c>
      <c r="AI4364">
        <f>IF($C4364="","",IF(OR($N4364=TRUE(),$N4364="TRUE"),1,0))</f>
        <v/>
      </c>
      <c r="AJ4364">
        <f>IF($C4364="","",IF($T4364="Yes",1,0))</f>
        <v/>
      </c>
      <c r="AK4364">
        <f>IF($AG4364=1,IFERROR(IF(VALUE($C4364)&lt;100000000,VALUE($C4364),1000000000),IFERROR(IF(VALUE(MID($C4364,2,20))&lt;100000000,VALUE(MID($C4364,2,20)),1000000000),1000000000))+ROW()/100000,"")</f>
        <v/>
      </c>
    </row>
    <row r="4365">
      <c r="D4365" s="11" t="n"/>
      <c r="K4365" s="7">
        <f>IF($C4365="","",J4365*W4365/100)</f>
        <v/>
      </c>
      <c r="Q4365" s="7" t="n"/>
      <c r="R4365" s="7" t="n"/>
      <c r="U4365">
        <f>IF($C4365="","",IF($AJ4365=1,0,IF($AI4365=1,Settings!$C$6,Settings!$C$7))*100)</f>
        <v/>
      </c>
      <c r="V4365" s="7">
        <f>IF($C4365="","",R4365*U4365/100)</f>
        <v/>
      </c>
      <c r="W4365" s="7">
        <f>IF($C4365="","",R4365-V4365)</f>
        <v/>
      </c>
      <c r="X4365" s="7">
        <f>IF($C4365="","",W4365-K4365)</f>
        <v/>
      </c>
      <c r="AB4365" s="7" t="n"/>
      <c r="AE4365" s="11" t="n"/>
      <c r="AG4365">
        <f>IF($C4365="","",IF(COUNTIF($C$2:$C4365,$C4365)=1,1,0))</f>
        <v/>
      </c>
      <c r="AH4365">
        <f>IF($AG4365=1,SUMPRODUCT(--($AK$2:$AK$6001&lt;$AK4365))+1,"")</f>
        <v/>
      </c>
      <c r="AI4365">
        <f>IF($C4365="","",IF(OR($N4365=TRUE(),$N4365="TRUE"),1,0))</f>
        <v/>
      </c>
      <c r="AJ4365">
        <f>IF($C4365="","",IF($T4365="Yes",1,0))</f>
        <v/>
      </c>
      <c r="AK4365">
        <f>IF($AG4365=1,IFERROR(IF(VALUE($C4365)&lt;100000000,VALUE($C4365),1000000000),IFERROR(IF(VALUE(MID($C4365,2,20))&lt;100000000,VALUE(MID($C4365,2,20)),1000000000),1000000000))+ROW()/100000,"")</f>
        <v/>
      </c>
    </row>
    <row r="4366">
      <c r="D4366" s="11" t="n"/>
      <c r="K4366" s="7">
        <f>IF($C4366="","",J4366*W4366/100)</f>
        <v/>
      </c>
      <c r="Q4366" s="7" t="n"/>
      <c r="R4366" s="7" t="n"/>
      <c r="U4366">
        <f>IF($C4366="","",IF($AJ4366=1,0,IF($AI4366=1,Settings!$C$6,Settings!$C$7))*100)</f>
        <v/>
      </c>
      <c r="V4366" s="7">
        <f>IF($C4366="","",R4366*U4366/100)</f>
        <v/>
      </c>
      <c r="W4366" s="7">
        <f>IF($C4366="","",R4366-V4366)</f>
        <v/>
      </c>
      <c r="X4366" s="7">
        <f>IF($C4366="","",W4366-K4366)</f>
        <v/>
      </c>
      <c r="AB4366" s="7" t="n"/>
      <c r="AE4366" s="11" t="n"/>
      <c r="AG4366">
        <f>IF($C4366="","",IF(COUNTIF($C$2:$C4366,$C4366)=1,1,0))</f>
        <v/>
      </c>
      <c r="AH4366">
        <f>IF($AG4366=1,SUMPRODUCT(--($AK$2:$AK$6001&lt;$AK4366))+1,"")</f>
        <v/>
      </c>
      <c r="AI4366">
        <f>IF($C4366="","",IF(OR($N4366=TRUE(),$N4366="TRUE"),1,0))</f>
        <v/>
      </c>
      <c r="AJ4366">
        <f>IF($C4366="","",IF($T4366="Yes",1,0))</f>
        <v/>
      </c>
      <c r="AK4366">
        <f>IF($AG4366=1,IFERROR(IF(VALUE($C4366)&lt;100000000,VALUE($C4366),1000000000),IFERROR(IF(VALUE(MID($C4366,2,20))&lt;100000000,VALUE(MID($C4366,2,20)),1000000000),1000000000))+ROW()/100000,"")</f>
        <v/>
      </c>
    </row>
    <row r="4367">
      <c r="D4367" s="11" t="n"/>
      <c r="K4367" s="7">
        <f>IF($C4367="","",J4367*W4367/100)</f>
        <v/>
      </c>
      <c r="Q4367" s="7" t="n"/>
      <c r="R4367" s="7" t="n"/>
      <c r="U4367">
        <f>IF($C4367="","",IF($AJ4367=1,0,IF($AI4367=1,Settings!$C$6,Settings!$C$7))*100)</f>
        <v/>
      </c>
      <c r="V4367" s="7">
        <f>IF($C4367="","",R4367*U4367/100)</f>
        <v/>
      </c>
      <c r="W4367" s="7">
        <f>IF($C4367="","",R4367-V4367)</f>
        <v/>
      </c>
      <c r="X4367" s="7">
        <f>IF($C4367="","",W4367-K4367)</f>
        <v/>
      </c>
      <c r="AB4367" s="7" t="n"/>
      <c r="AE4367" s="11" t="n"/>
      <c r="AG4367">
        <f>IF($C4367="","",IF(COUNTIF($C$2:$C4367,$C4367)=1,1,0))</f>
        <v/>
      </c>
      <c r="AH4367">
        <f>IF($AG4367=1,SUMPRODUCT(--($AK$2:$AK$6001&lt;$AK4367))+1,"")</f>
        <v/>
      </c>
      <c r="AI4367">
        <f>IF($C4367="","",IF(OR($N4367=TRUE(),$N4367="TRUE"),1,0))</f>
        <v/>
      </c>
      <c r="AJ4367">
        <f>IF($C4367="","",IF($T4367="Yes",1,0))</f>
        <v/>
      </c>
      <c r="AK4367">
        <f>IF($AG4367=1,IFERROR(IF(VALUE($C4367)&lt;100000000,VALUE($C4367),1000000000),IFERROR(IF(VALUE(MID($C4367,2,20))&lt;100000000,VALUE(MID($C4367,2,20)),1000000000),1000000000))+ROW()/100000,"")</f>
        <v/>
      </c>
    </row>
    <row r="4368">
      <c r="D4368" s="11" t="n"/>
      <c r="K4368" s="7">
        <f>IF($C4368="","",J4368*W4368/100)</f>
        <v/>
      </c>
      <c r="Q4368" s="7" t="n"/>
      <c r="R4368" s="7" t="n"/>
      <c r="U4368">
        <f>IF($C4368="","",IF($AJ4368=1,0,IF($AI4368=1,Settings!$C$6,Settings!$C$7))*100)</f>
        <v/>
      </c>
      <c r="V4368" s="7">
        <f>IF($C4368="","",R4368*U4368/100)</f>
        <v/>
      </c>
      <c r="W4368" s="7">
        <f>IF($C4368="","",R4368-V4368)</f>
        <v/>
      </c>
      <c r="X4368" s="7">
        <f>IF($C4368="","",W4368-K4368)</f>
        <v/>
      </c>
      <c r="AB4368" s="7" t="n"/>
      <c r="AE4368" s="11" t="n"/>
      <c r="AG4368">
        <f>IF($C4368="","",IF(COUNTIF($C$2:$C4368,$C4368)=1,1,0))</f>
        <v/>
      </c>
      <c r="AH4368">
        <f>IF($AG4368=1,SUMPRODUCT(--($AK$2:$AK$6001&lt;$AK4368))+1,"")</f>
        <v/>
      </c>
      <c r="AI4368">
        <f>IF($C4368="","",IF(OR($N4368=TRUE(),$N4368="TRUE"),1,0))</f>
        <v/>
      </c>
      <c r="AJ4368">
        <f>IF($C4368="","",IF($T4368="Yes",1,0))</f>
        <v/>
      </c>
      <c r="AK4368">
        <f>IF($AG4368=1,IFERROR(IF(VALUE($C4368)&lt;100000000,VALUE($C4368),1000000000),IFERROR(IF(VALUE(MID($C4368,2,20))&lt;100000000,VALUE(MID($C4368,2,20)),1000000000),1000000000))+ROW()/100000,"")</f>
        <v/>
      </c>
    </row>
    <row r="4369">
      <c r="D4369" s="11" t="n"/>
      <c r="K4369" s="7">
        <f>IF($C4369="","",J4369*W4369/100)</f>
        <v/>
      </c>
      <c r="Q4369" s="7" t="n"/>
      <c r="R4369" s="7" t="n"/>
      <c r="U4369">
        <f>IF($C4369="","",IF($AJ4369=1,0,IF($AI4369=1,Settings!$C$6,Settings!$C$7))*100)</f>
        <v/>
      </c>
      <c r="V4369" s="7">
        <f>IF($C4369="","",R4369*U4369/100)</f>
        <v/>
      </c>
      <c r="W4369" s="7">
        <f>IF($C4369="","",R4369-V4369)</f>
        <v/>
      </c>
      <c r="X4369" s="7">
        <f>IF($C4369="","",W4369-K4369)</f>
        <v/>
      </c>
      <c r="AB4369" s="7" t="n"/>
      <c r="AE4369" s="11" t="n"/>
      <c r="AG4369">
        <f>IF($C4369="","",IF(COUNTIF($C$2:$C4369,$C4369)=1,1,0))</f>
        <v/>
      </c>
      <c r="AH4369">
        <f>IF($AG4369=1,SUMPRODUCT(--($AK$2:$AK$6001&lt;$AK4369))+1,"")</f>
        <v/>
      </c>
      <c r="AI4369">
        <f>IF($C4369="","",IF(OR($N4369=TRUE(),$N4369="TRUE"),1,0))</f>
        <v/>
      </c>
      <c r="AJ4369">
        <f>IF($C4369="","",IF($T4369="Yes",1,0))</f>
        <v/>
      </c>
      <c r="AK4369">
        <f>IF($AG4369=1,IFERROR(IF(VALUE($C4369)&lt;100000000,VALUE($C4369),1000000000),IFERROR(IF(VALUE(MID($C4369,2,20))&lt;100000000,VALUE(MID($C4369,2,20)),1000000000),1000000000))+ROW()/100000,"")</f>
        <v/>
      </c>
    </row>
    <row r="4370">
      <c r="D4370" s="11" t="n"/>
      <c r="K4370" s="7">
        <f>IF($C4370="","",J4370*W4370/100)</f>
        <v/>
      </c>
      <c r="Q4370" s="7" t="n"/>
      <c r="R4370" s="7" t="n"/>
      <c r="U4370">
        <f>IF($C4370="","",IF($AJ4370=1,0,IF($AI4370=1,Settings!$C$6,Settings!$C$7))*100)</f>
        <v/>
      </c>
      <c r="V4370" s="7">
        <f>IF($C4370="","",R4370*U4370/100)</f>
        <v/>
      </c>
      <c r="W4370" s="7">
        <f>IF($C4370="","",R4370-V4370)</f>
        <v/>
      </c>
      <c r="X4370" s="7">
        <f>IF($C4370="","",W4370-K4370)</f>
        <v/>
      </c>
      <c r="AB4370" s="7" t="n"/>
      <c r="AE4370" s="11" t="n"/>
      <c r="AG4370">
        <f>IF($C4370="","",IF(COUNTIF($C$2:$C4370,$C4370)=1,1,0))</f>
        <v/>
      </c>
      <c r="AH4370">
        <f>IF($AG4370=1,SUMPRODUCT(--($AK$2:$AK$6001&lt;$AK4370))+1,"")</f>
        <v/>
      </c>
      <c r="AI4370">
        <f>IF($C4370="","",IF(OR($N4370=TRUE(),$N4370="TRUE"),1,0))</f>
        <v/>
      </c>
      <c r="AJ4370">
        <f>IF($C4370="","",IF($T4370="Yes",1,0))</f>
        <v/>
      </c>
      <c r="AK4370">
        <f>IF($AG4370=1,IFERROR(IF(VALUE($C4370)&lt;100000000,VALUE($C4370),1000000000),IFERROR(IF(VALUE(MID($C4370,2,20))&lt;100000000,VALUE(MID($C4370,2,20)),1000000000),1000000000))+ROW()/100000,"")</f>
        <v/>
      </c>
    </row>
    <row r="4371">
      <c r="D4371" s="11" t="n"/>
      <c r="K4371" s="7">
        <f>IF($C4371="","",J4371*W4371/100)</f>
        <v/>
      </c>
      <c r="Q4371" s="7" t="n"/>
      <c r="R4371" s="7" t="n"/>
      <c r="U4371">
        <f>IF($C4371="","",IF($AJ4371=1,0,IF($AI4371=1,Settings!$C$6,Settings!$C$7))*100)</f>
        <v/>
      </c>
      <c r="V4371" s="7">
        <f>IF($C4371="","",R4371*U4371/100)</f>
        <v/>
      </c>
      <c r="W4371" s="7">
        <f>IF($C4371="","",R4371-V4371)</f>
        <v/>
      </c>
      <c r="X4371" s="7">
        <f>IF($C4371="","",W4371-K4371)</f>
        <v/>
      </c>
      <c r="AB4371" s="7" t="n"/>
      <c r="AE4371" s="11" t="n"/>
      <c r="AG4371">
        <f>IF($C4371="","",IF(COUNTIF($C$2:$C4371,$C4371)=1,1,0))</f>
        <v/>
      </c>
      <c r="AH4371">
        <f>IF($AG4371=1,SUMPRODUCT(--($AK$2:$AK$6001&lt;$AK4371))+1,"")</f>
        <v/>
      </c>
      <c r="AI4371">
        <f>IF($C4371="","",IF(OR($N4371=TRUE(),$N4371="TRUE"),1,0))</f>
        <v/>
      </c>
      <c r="AJ4371">
        <f>IF($C4371="","",IF($T4371="Yes",1,0))</f>
        <v/>
      </c>
      <c r="AK4371">
        <f>IF($AG4371=1,IFERROR(IF(VALUE($C4371)&lt;100000000,VALUE($C4371),1000000000),IFERROR(IF(VALUE(MID($C4371,2,20))&lt;100000000,VALUE(MID($C4371,2,20)),1000000000),1000000000))+ROW()/100000,"")</f>
        <v/>
      </c>
    </row>
    <row r="4372">
      <c r="D4372" s="11" t="n"/>
      <c r="K4372" s="7">
        <f>IF($C4372="","",J4372*W4372/100)</f>
        <v/>
      </c>
      <c r="Q4372" s="7" t="n"/>
      <c r="R4372" s="7" t="n"/>
      <c r="U4372">
        <f>IF($C4372="","",IF($AJ4372=1,0,IF($AI4372=1,Settings!$C$6,Settings!$C$7))*100)</f>
        <v/>
      </c>
      <c r="V4372" s="7">
        <f>IF($C4372="","",R4372*U4372/100)</f>
        <v/>
      </c>
      <c r="W4372" s="7">
        <f>IF($C4372="","",R4372-V4372)</f>
        <v/>
      </c>
      <c r="X4372" s="7">
        <f>IF($C4372="","",W4372-K4372)</f>
        <v/>
      </c>
      <c r="AB4372" s="7" t="n"/>
      <c r="AE4372" s="11" t="n"/>
      <c r="AG4372">
        <f>IF($C4372="","",IF(COUNTIF($C$2:$C4372,$C4372)=1,1,0))</f>
        <v/>
      </c>
      <c r="AH4372">
        <f>IF($AG4372=1,SUMPRODUCT(--($AK$2:$AK$6001&lt;$AK4372))+1,"")</f>
        <v/>
      </c>
      <c r="AI4372">
        <f>IF($C4372="","",IF(OR($N4372=TRUE(),$N4372="TRUE"),1,0))</f>
        <v/>
      </c>
      <c r="AJ4372">
        <f>IF($C4372="","",IF($T4372="Yes",1,0))</f>
        <v/>
      </c>
      <c r="AK4372">
        <f>IF($AG4372=1,IFERROR(IF(VALUE($C4372)&lt;100000000,VALUE($C4372),1000000000),IFERROR(IF(VALUE(MID($C4372,2,20))&lt;100000000,VALUE(MID($C4372,2,20)),1000000000),1000000000))+ROW()/100000,"")</f>
        <v/>
      </c>
    </row>
    <row r="4373">
      <c r="D4373" s="11" t="n"/>
      <c r="K4373" s="7">
        <f>IF($C4373="","",J4373*W4373/100)</f>
        <v/>
      </c>
      <c r="Q4373" s="7" t="n"/>
      <c r="R4373" s="7" t="n"/>
      <c r="U4373">
        <f>IF($C4373="","",IF($AJ4373=1,0,IF($AI4373=1,Settings!$C$6,Settings!$C$7))*100)</f>
        <v/>
      </c>
      <c r="V4373" s="7">
        <f>IF($C4373="","",R4373*U4373/100)</f>
        <v/>
      </c>
      <c r="W4373" s="7">
        <f>IF($C4373="","",R4373-V4373)</f>
        <v/>
      </c>
      <c r="X4373" s="7">
        <f>IF($C4373="","",W4373-K4373)</f>
        <v/>
      </c>
      <c r="AB4373" s="7" t="n"/>
      <c r="AE4373" s="11" t="n"/>
      <c r="AG4373">
        <f>IF($C4373="","",IF(COUNTIF($C$2:$C4373,$C4373)=1,1,0))</f>
        <v/>
      </c>
      <c r="AH4373">
        <f>IF($AG4373=1,SUMPRODUCT(--($AK$2:$AK$6001&lt;$AK4373))+1,"")</f>
        <v/>
      </c>
      <c r="AI4373">
        <f>IF($C4373="","",IF(OR($N4373=TRUE(),$N4373="TRUE"),1,0))</f>
        <v/>
      </c>
      <c r="AJ4373">
        <f>IF($C4373="","",IF($T4373="Yes",1,0))</f>
        <v/>
      </c>
      <c r="AK4373">
        <f>IF($AG4373=1,IFERROR(IF(VALUE($C4373)&lt;100000000,VALUE($C4373),1000000000),IFERROR(IF(VALUE(MID($C4373,2,20))&lt;100000000,VALUE(MID($C4373,2,20)),1000000000),1000000000))+ROW()/100000,"")</f>
        <v/>
      </c>
    </row>
    <row r="4374">
      <c r="D4374" s="11" t="n"/>
      <c r="K4374" s="7">
        <f>IF($C4374="","",J4374*W4374/100)</f>
        <v/>
      </c>
      <c r="Q4374" s="7" t="n"/>
      <c r="R4374" s="7" t="n"/>
      <c r="U4374">
        <f>IF($C4374="","",IF($AJ4374=1,0,IF($AI4374=1,Settings!$C$6,Settings!$C$7))*100)</f>
        <v/>
      </c>
      <c r="V4374" s="7">
        <f>IF($C4374="","",R4374*U4374/100)</f>
        <v/>
      </c>
      <c r="W4374" s="7">
        <f>IF($C4374="","",R4374-V4374)</f>
        <v/>
      </c>
      <c r="X4374" s="7">
        <f>IF($C4374="","",W4374-K4374)</f>
        <v/>
      </c>
      <c r="AB4374" s="7" t="n"/>
      <c r="AE4374" s="11" t="n"/>
      <c r="AG4374">
        <f>IF($C4374="","",IF(COUNTIF($C$2:$C4374,$C4374)=1,1,0))</f>
        <v/>
      </c>
      <c r="AH4374">
        <f>IF($AG4374=1,SUMPRODUCT(--($AK$2:$AK$6001&lt;$AK4374))+1,"")</f>
        <v/>
      </c>
      <c r="AI4374">
        <f>IF($C4374="","",IF(OR($N4374=TRUE(),$N4374="TRUE"),1,0))</f>
        <v/>
      </c>
      <c r="AJ4374">
        <f>IF($C4374="","",IF($T4374="Yes",1,0))</f>
        <v/>
      </c>
      <c r="AK4374">
        <f>IF($AG4374=1,IFERROR(IF(VALUE($C4374)&lt;100000000,VALUE($C4374),1000000000),IFERROR(IF(VALUE(MID($C4374,2,20))&lt;100000000,VALUE(MID($C4374,2,20)),1000000000),1000000000))+ROW()/100000,"")</f>
        <v/>
      </c>
    </row>
    <row r="4375">
      <c r="D4375" s="11" t="n"/>
      <c r="K4375" s="7">
        <f>IF($C4375="","",J4375*W4375/100)</f>
        <v/>
      </c>
      <c r="Q4375" s="7" t="n"/>
      <c r="R4375" s="7" t="n"/>
      <c r="U4375">
        <f>IF($C4375="","",IF($AJ4375=1,0,IF($AI4375=1,Settings!$C$6,Settings!$C$7))*100)</f>
        <v/>
      </c>
      <c r="V4375" s="7">
        <f>IF($C4375="","",R4375*U4375/100)</f>
        <v/>
      </c>
      <c r="W4375" s="7">
        <f>IF($C4375="","",R4375-V4375)</f>
        <v/>
      </c>
      <c r="X4375" s="7">
        <f>IF($C4375="","",W4375-K4375)</f>
        <v/>
      </c>
      <c r="AB4375" s="7" t="n"/>
      <c r="AE4375" s="11" t="n"/>
      <c r="AG4375">
        <f>IF($C4375="","",IF(COUNTIF($C$2:$C4375,$C4375)=1,1,0))</f>
        <v/>
      </c>
      <c r="AH4375">
        <f>IF($AG4375=1,SUMPRODUCT(--($AK$2:$AK$6001&lt;$AK4375))+1,"")</f>
        <v/>
      </c>
      <c r="AI4375">
        <f>IF($C4375="","",IF(OR($N4375=TRUE(),$N4375="TRUE"),1,0))</f>
        <v/>
      </c>
      <c r="AJ4375">
        <f>IF($C4375="","",IF($T4375="Yes",1,0))</f>
        <v/>
      </c>
      <c r="AK4375">
        <f>IF($AG4375=1,IFERROR(IF(VALUE($C4375)&lt;100000000,VALUE($C4375),1000000000),IFERROR(IF(VALUE(MID($C4375,2,20))&lt;100000000,VALUE(MID($C4375,2,20)),1000000000),1000000000))+ROW()/100000,"")</f>
        <v/>
      </c>
    </row>
    <row r="4376">
      <c r="D4376" s="11" t="n"/>
      <c r="K4376" s="7">
        <f>IF($C4376="","",J4376*W4376/100)</f>
        <v/>
      </c>
      <c r="Q4376" s="7" t="n"/>
      <c r="R4376" s="7" t="n"/>
      <c r="U4376">
        <f>IF($C4376="","",IF($AJ4376=1,0,IF($AI4376=1,Settings!$C$6,Settings!$C$7))*100)</f>
        <v/>
      </c>
      <c r="V4376" s="7">
        <f>IF($C4376="","",R4376*U4376/100)</f>
        <v/>
      </c>
      <c r="W4376" s="7">
        <f>IF($C4376="","",R4376-V4376)</f>
        <v/>
      </c>
      <c r="X4376" s="7">
        <f>IF($C4376="","",W4376-K4376)</f>
        <v/>
      </c>
      <c r="AB4376" s="7" t="n"/>
      <c r="AE4376" s="11" t="n"/>
      <c r="AG4376">
        <f>IF($C4376="","",IF(COUNTIF($C$2:$C4376,$C4376)=1,1,0))</f>
        <v/>
      </c>
      <c r="AH4376">
        <f>IF($AG4376=1,SUMPRODUCT(--($AK$2:$AK$6001&lt;$AK4376))+1,"")</f>
        <v/>
      </c>
      <c r="AI4376">
        <f>IF($C4376="","",IF(OR($N4376=TRUE(),$N4376="TRUE"),1,0))</f>
        <v/>
      </c>
      <c r="AJ4376">
        <f>IF($C4376="","",IF($T4376="Yes",1,0))</f>
        <v/>
      </c>
      <c r="AK4376">
        <f>IF($AG4376=1,IFERROR(IF(VALUE($C4376)&lt;100000000,VALUE($C4376),1000000000),IFERROR(IF(VALUE(MID($C4376,2,20))&lt;100000000,VALUE(MID($C4376,2,20)),1000000000),1000000000))+ROW()/100000,"")</f>
        <v/>
      </c>
    </row>
    <row r="4377">
      <c r="D4377" s="11" t="n"/>
      <c r="K4377" s="7">
        <f>IF($C4377="","",J4377*W4377/100)</f>
        <v/>
      </c>
      <c r="Q4377" s="7" t="n"/>
      <c r="R4377" s="7" t="n"/>
      <c r="U4377">
        <f>IF($C4377="","",IF($AJ4377=1,0,IF($AI4377=1,Settings!$C$6,Settings!$C$7))*100)</f>
        <v/>
      </c>
      <c r="V4377" s="7">
        <f>IF($C4377="","",R4377*U4377/100)</f>
        <v/>
      </c>
      <c r="W4377" s="7">
        <f>IF($C4377="","",R4377-V4377)</f>
        <v/>
      </c>
      <c r="X4377" s="7">
        <f>IF($C4377="","",W4377-K4377)</f>
        <v/>
      </c>
      <c r="AB4377" s="7" t="n"/>
      <c r="AE4377" s="11" t="n"/>
      <c r="AG4377">
        <f>IF($C4377="","",IF(COUNTIF($C$2:$C4377,$C4377)=1,1,0))</f>
        <v/>
      </c>
      <c r="AH4377">
        <f>IF($AG4377=1,SUMPRODUCT(--($AK$2:$AK$6001&lt;$AK4377))+1,"")</f>
        <v/>
      </c>
      <c r="AI4377">
        <f>IF($C4377="","",IF(OR($N4377=TRUE(),$N4377="TRUE"),1,0))</f>
        <v/>
      </c>
      <c r="AJ4377">
        <f>IF($C4377="","",IF($T4377="Yes",1,0))</f>
        <v/>
      </c>
      <c r="AK4377">
        <f>IF($AG4377=1,IFERROR(IF(VALUE($C4377)&lt;100000000,VALUE($C4377),1000000000),IFERROR(IF(VALUE(MID($C4377,2,20))&lt;100000000,VALUE(MID($C4377,2,20)),1000000000),1000000000))+ROW()/100000,"")</f>
        <v/>
      </c>
    </row>
    <row r="4378">
      <c r="D4378" s="11" t="n"/>
      <c r="K4378" s="7">
        <f>IF($C4378="","",J4378*W4378/100)</f>
        <v/>
      </c>
      <c r="Q4378" s="7" t="n"/>
      <c r="R4378" s="7" t="n"/>
      <c r="U4378">
        <f>IF($C4378="","",IF($AJ4378=1,0,IF($AI4378=1,Settings!$C$6,Settings!$C$7))*100)</f>
        <v/>
      </c>
      <c r="V4378" s="7">
        <f>IF($C4378="","",R4378*U4378/100)</f>
        <v/>
      </c>
      <c r="W4378" s="7">
        <f>IF($C4378="","",R4378-V4378)</f>
        <v/>
      </c>
      <c r="X4378" s="7">
        <f>IF($C4378="","",W4378-K4378)</f>
        <v/>
      </c>
      <c r="AB4378" s="7" t="n"/>
      <c r="AE4378" s="11" t="n"/>
      <c r="AG4378">
        <f>IF($C4378="","",IF(COUNTIF($C$2:$C4378,$C4378)=1,1,0))</f>
        <v/>
      </c>
      <c r="AH4378">
        <f>IF($AG4378=1,SUMPRODUCT(--($AK$2:$AK$6001&lt;$AK4378))+1,"")</f>
        <v/>
      </c>
      <c r="AI4378">
        <f>IF($C4378="","",IF(OR($N4378=TRUE(),$N4378="TRUE"),1,0))</f>
        <v/>
      </c>
      <c r="AJ4378">
        <f>IF($C4378="","",IF($T4378="Yes",1,0))</f>
        <v/>
      </c>
      <c r="AK4378">
        <f>IF($AG4378=1,IFERROR(IF(VALUE($C4378)&lt;100000000,VALUE($C4378),1000000000),IFERROR(IF(VALUE(MID($C4378,2,20))&lt;100000000,VALUE(MID($C4378,2,20)),1000000000),1000000000))+ROW()/100000,"")</f>
        <v/>
      </c>
    </row>
    <row r="4379">
      <c r="D4379" s="11" t="n"/>
      <c r="K4379" s="7">
        <f>IF($C4379="","",J4379*W4379/100)</f>
        <v/>
      </c>
      <c r="Q4379" s="7" t="n"/>
      <c r="R4379" s="7" t="n"/>
      <c r="U4379">
        <f>IF($C4379="","",IF($AJ4379=1,0,IF($AI4379=1,Settings!$C$6,Settings!$C$7))*100)</f>
        <v/>
      </c>
      <c r="V4379" s="7">
        <f>IF($C4379="","",R4379*U4379/100)</f>
        <v/>
      </c>
      <c r="W4379" s="7">
        <f>IF($C4379="","",R4379-V4379)</f>
        <v/>
      </c>
      <c r="X4379" s="7">
        <f>IF($C4379="","",W4379-K4379)</f>
        <v/>
      </c>
      <c r="AB4379" s="7" t="n"/>
      <c r="AE4379" s="11" t="n"/>
      <c r="AG4379">
        <f>IF($C4379="","",IF(COUNTIF($C$2:$C4379,$C4379)=1,1,0))</f>
        <v/>
      </c>
      <c r="AH4379">
        <f>IF($AG4379=1,SUMPRODUCT(--($AK$2:$AK$6001&lt;$AK4379))+1,"")</f>
        <v/>
      </c>
      <c r="AI4379">
        <f>IF($C4379="","",IF(OR($N4379=TRUE(),$N4379="TRUE"),1,0))</f>
        <v/>
      </c>
      <c r="AJ4379">
        <f>IF($C4379="","",IF($T4379="Yes",1,0))</f>
        <v/>
      </c>
      <c r="AK4379">
        <f>IF($AG4379=1,IFERROR(IF(VALUE($C4379)&lt;100000000,VALUE($C4379),1000000000),IFERROR(IF(VALUE(MID($C4379,2,20))&lt;100000000,VALUE(MID($C4379,2,20)),1000000000),1000000000))+ROW()/100000,"")</f>
        <v/>
      </c>
    </row>
    <row r="4380">
      <c r="D4380" s="11" t="n"/>
      <c r="K4380" s="7">
        <f>IF($C4380="","",J4380*W4380/100)</f>
        <v/>
      </c>
      <c r="Q4380" s="7" t="n"/>
      <c r="R4380" s="7" t="n"/>
      <c r="U4380">
        <f>IF($C4380="","",IF($AJ4380=1,0,IF($AI4380=1,Settings!$C$6,Settings!$C$7))*100)</f>
        <v/>
      </c>
      <c r="V4380" s="7">
        <f>IF($C4380="","",R4380*U4380/100)</f>
        <v/>
      </c>
      <c r="W4380" s="7">
        <f>IF($C4380="","",R4380-V4380)</f>
        <v/>
      </c>
      <c r="X4380" s="7">
        <f>IF($C4380="","",W4380-K4380)</f>
        <v/>
      </c>
      <c r="AB4380" s="7" t="n"/>
      <c r="AE4380" s="11" t="n"/>
      <c r="AG4380">
        <f>IF($C4380="","",IF(COUNTIF($C$2:$C4380,$C4380)=1,1,0))</f>
        <v/>
      </c>
      <c r="AH4380">
        <f>IF($AG4380=1,SUMPRODUCT(--($AK$2:$AK$6001&lt;$AK4380))+1,"")</f>
        <v/>
      </c>
      <c r="AI4380">
        <f>IF($C4380="","",IF(OR($N4380=TRUE(),$N4380="TRUE"),1,0))</f>
        <v/>
      </c>
      <c r="AJ4380">
        <f>IF($C4380="","",IF($T4380="Yes",1,0))</f>
        <v/>
      </c>
      <c r="AK4380">
        <f>IF($AG4380=1,IFERROR(IF(VALUE($C4380)&lt;100000000,VALUE($C4380),1000000000),IFERROR(IF(VALUE(MID($C4380,2,20))&lt;100000000,VALUE(MID($C4380,2,20)),1000000000),1000000000))+ROW()/100000,"")</f>
        <v/>
      </c>
    </row>
    <row r="4381">
      <c r="D4381" s="11" t="n"/>
      <c r="K4381" s="7">
        <f>IF($C4381="","",J4381*W4381/100)</f>
        <v/>
      </c>
      <c r="Q4381" s="7" t="n"/>
      <c r="R4381" s="7" t="n"/>
      <c r="U4381">
        <f>IF($C4381="","",IF($AJ4381=1,0,IF($AI4381=1,Settings!$C$6,Settings!$C$7))*100)</f>
        <v/>
      </c>
      <c r="V4381" s="7">
        <f>IF($C4381="","",R4381*U4381/100)</f>
        <v/>
      </c>
      <c r="W4381" s="7">
        <f>IF($C4381="","",R4381-V4381)</f>
        <v/>
      </c>
      <c r="X4381" s="7">
        <f>IF($C4381="","",W4381-K4381)</f>
        <v/>
      </c>
      <c r="AB4381" s="7" t="n"/>
      <c r="AE4381" s="11" t="n"/>
      <c r="AG4381">
        <f>IF($C4381="","",IF(COUNTIF($C$2:$C4381,$C4381)=1,1,0))</f>
        <v/>
      </c>
      <c r="AH4381">
        <f>IF($AG4381=1,SUMPRODUCT(--($AK$2:$AK$6001&lt;$AK4381))+1,"")</f>
        <v/>
      </c>
      <c r="AI4381">
        <f>IF($C4381="","",IF(OR($N4381=TRUE(),$N4381="TRUE"),1,0))</f>
        <v/>
      </c>
      <c r="AJ4381">
        <f>IF($C4381="","",IF($T4381="Yes",1,0))</f>
        <v/>
      </c>
      <c r="AK4381">
        <f>IF($AG4381=1,IFERROR(IF(VALUE($C4381)&lt;100000000,VALUE($C4381),1000000000),IFERROR(IF(VALUE(MID($C4381,2,20))&lt;100000000,VALUE(MID($C4381,2,20)),1000000000),1000000000))+ROW()/100000,"")</f>
        <v/>
      </c>
    </row>
    <row r="4382">
      <c r="D4382" s="11" t="n"/>
      <c r="K4382" s="7">
        <f>IF($C4382="","",J4382*W4382/100)</f>
        <v/>
      </c>
      <c r="Q4382" s="7" t="n"/>
      <c r="R4382" s="7" t="n"/>
      <c r="U4382">
        <f>IF($C4382="","",IF($AJ4382=1,0,IF($AI4382=1,Settings!$C$6,Settings!$C$7))*100)</f>
        <v/>
      </c>
      <c r="V4382" s="7">
        <f>IF($C4382="","",R4382*U4382/100)</f>
        <v/>
      </c>
      <c r="W4382" s="7">
        <f>IF($C4382="","",R4382-V4382)</f>
        <v/>
      </c>
      <c r="X4382" s="7">
        <f>IF($C4382="","",W4382-K4382)</f>
        <v/>
      </c>
      <c r="AB4382" s="7" t="n"/>
      <c r="AE4382" s="11" t="n"/>
      <c r="AG4382">
        <f>IF($C4382="","",IF(COUNTIF($C$2:$C4382,$C4382)=1,1,0))</f>
        <v/>
      </c>
      <c r="AH4382">
        <f>IF($AG4382=1,SUMPRODUCT(--($AK$2:$AK$6001&lt;$AK4382))+1,"")</f>
        <v/>
      </c>
      <c r="AI4382">
        <f>IF($C4382="","",IF(OR($N4382=TRUE(),$N4382="TRUE"),1,0))</f>
        <v/>
      </c>
      <c r="AJ4382">
        <f>IF($C4382="","",IF($T4382="Yes",1,0))</f>
        <v/>
      </c>
      <c r="AK4382">
        <f>IF($AG4382=1,IFERROR(IF(VALUE($C4382)&lt;100000000,VALUE($C4382),1000000000),IFERROR(IF(VALUE(MID($C4382,2,20))&lt;100000000,VALUE(MID($C4382,2,20)),1000000000),1000000000))+ROW()/100000,"")</f>
        <v/>
      </c>
    </row>
    <row r="4383">
      <c r="D4383" s="11" t="n"/>
      <c r="K4383" s="7">
        <f>IF($C4383="","",J4383*W4383/100)</f>
        <v/>
      </c>
      <c r="Q4383" s="7" t="n"/>
      <c r="R4383" s="7" t="n"/>
      <c r="U4383">
        <f>IF($C4383="","",IF($AJ4383=1,0,IF($AI4383=1,Settings!$C$6,Settings!$C$7))*100)</f>
        <v/>
      </c>
      <c r="V4383" s="7">
        <f>IF($C4383="","",R4383*U4383/100)</f>
        <v/>
      </c>
      <c r="W4383" s="7">
        <f>IF($C4383="","",R4383-V4383)</f>
        <v/>
      </c>
      <c r="X4383" s="7">
        <f>IF($C4383="","",W4383-K4383)</f>
        <v/>
      </c>
      <c r="AB4383" s="7" t="n"/>
      <c r="AE4383" s="11" t="n"/>
      <c r="AG4383">
        <f>IF($C4383="","",IF(COUNTIF($C$2:$C4383,$C4383)=1,1,0))</f>
        <v/>
      </c>
      <c r="AH4383">
        <f>IF($AG4383=1,SUMPRODUCT(--($AK$2:$AK$6001&lt;$AK4383))+1,"")</f>
        <v/>
      </c>
      <c r="AI4383">
        <f>IF($C4383="","",IF(OR($N4383=TRUE(),$N4383="TRUE"),1,0))</f>
        <v/>
      </c>
      <c r="AJ4383">
        <f>IF($C4383="","",IF($T4383="Yes",1,0))</f>
        <v/>
      </c>
      <c r="AK4383">
        <f>IF($AG4383=1,IFERROR(IF(VALUE($C4383)&lt;100000000,VALUE($C4383),1000000000),IFERROR(IF(VALUE(MID($C4383,2,20))&lt;100000000,VALUE(MID($C4383,2,20)),1000000000),1000000000))+ROW()/100000,"")</f>
        <v/>
      </c>
    </row>
    <row r="4384">
      <c r="D4384" s="11" t="n"/>
      <c r="K4384" s="7">
        <f>IF($C4384="","",J4384*W4384/100)</f>
        <v/>
      </c>
      <c r="Q4384" s="7" t="n"/>
      <c r="R4384" s="7" t="n"/>
      <c r="U4384">
        <f>IF($C4384="","",IF($AJ4384=1,0,IF($AI4384=1,Settings!$C$6,Settings!$C$7))*100)</f>
        <v/>
      </c>
      <c r="V4384" s="7">
        <f>IF($C4384="","",R4384*U4384/100)</f>
        <v/>
      </c>
      <c r="W4384" s="7">
        <f>IF($C4384="","",R4384-V4384)</f>
        <v/>
      </c>
      <c r="X4384" s="7">
        <f>IF($C4384="","",W4384-K4384)</f>
        <v/>
      </c>
      <c r="AB4384" s="7" t="n"/>
      <c r="AE4384" s="11" t="n"/>
      <c r="AG4384">
        <f>IF($C4384="","",IF(COUNTIF($C$2:$C4384,$C4384)=1,1,0))</f>
        <v/>
      </c>
      <c r="AH4384">
        <f>IF($AG4384=1,SUMPRODUCT(--($AK$2:$AK$6001&lt;$AK4384))+1,"")</f>
        <v/>
      </c>
      <c r="AI4384">
        <f>IF($C4384="","",IF(OR($N4384=TRUE(),$N4384="TRUE"),1,0))</f>
        <v/>
      </c>
      <c r="AJ4384">
        <f>IF($C4384="","",IF($T4384="Yes",1,0))</f>
        <v/>
      </c>
      <c r="AK4384">
        <f>IF($AG4384=1,IFERROR(IF(VALUE($C4384)&lt;100000000,VALUE($C4384),1000000000),IFERROR(IF(VALUE(MID($C4384,2,20))&lt;100000000,VALUE(MID($C4384,2,20)),1000000000),1000000000))+ROW()/100000,"")</f>
        <v/>
      </c>
    </row>
    <row r="4385">
      <c r="D4385" s="11" t="n"/>
      <c r="K4385" s="7">
        <f>IF($C4385="","",J4385*W4385/100)</f>
        <v/>
      </c>
      <c r="Q4385" s="7" t="n"/>
      <c r="R4385" s="7" t="n"/>
      <c r="U4385">
        <f>IF($C4385="","",IF($AJ4385=1,0,IF($AI4385=1,Settings!$C$6,Settings!$C$7))*100)</f>
        <v/>
      </c>
      <c r="V4385" s="7">
        <f>IF($C4385="","",R4385*U4385/100)</f>
        <v/>
      </c>
      <c r="W4385" s="7">
        <f>IF($C4385="","",R4385-V4385)</f>
        <v/>
      </c>
      <c r="X4385" s="7">
        <f>IF($C4385="","",W4385-K4385)</f>
        <v/>
      </c>
      <c r="AB4385" s="7" t="n"/>
      <c r="AE4385" s="11" t="n"/>
      <c r="AG4385">
        <f>IF($C4385="","",IF(COUNTIF($C$2:$C4385,$C4385)=1,1,0))</f>
        <v/>
      </c>
      <c r="AH4385">
        <f>IF($AG4385=1,SUMPRODUCT(--($AK$2:$AK$6001&lt;$AK4385))+1,"")</f>
        <v/>
      </c>
      <c r="AI4385">
        <f>IF($C4385="","",IF(OR($N4385=TRUE(),$N4385="TRUE"),1,0))</f>
        <v/>
      </c>
      <c r="AJ4385">
        <f>IF($C4385="","",IF($T4385="Yes",1,0))</f>
        <v/>
      </c>
      <c r="AK4385">
        <f>IF($AG4385=1,IFERROR(IF(VALUE($C4385)&lt;100000000,VALUE($C4385),1000000000),IFERROR(IF(VALUE(MID($C4385,2,20))&lt;100000000,VALUE(MID($C4385,2,20)),1000000000),1000000000))+ROW()/100000,"")</f>
        <v/>
      </c>
    </row>
    <row r="4386">
      <c r="D4386" s="11" t="n"/>
      <c r="K4386" s="7">
        <f>IF($C4386="","",J4386*W4386/100)</f>
        <v/>
      </c>
      <c r="Q4386" s="7" t="n"/>
      <c r="R4386" s="7" t="n"/>
      <c r="U4386">
        <f>IF($C4386="","",IF($AJ4386=1,0,IF($AI4386=1,Settings!$C$6,Settings!$C$7))*100)</f>
        <v/>
      </c>
      <c r="V4386" s="7">
        <f>IF($C4386="","",R4386*U4386/100)</f>
        <v/>
      </c>
      <c r="W4386" s="7">
        <f>IF($C4386="","",R4386-V4386)</f>
        <v/>
      </c>
      <c r="X4386" s="7">
        <f>IF($C4386="","",W4386-K4386)</f>
        <v/>
      </c>
      <c r="AB4386" s="7" t="n"/>
      <c r="AE4386" s="11" t="n"/>
      <c r="AG4386">
        <f>IF($C4386="","",IF(COUNTIF($C$2:$C4386,$C4386)=1,1,0))</f>
        <v/>
      </c>
      <c r="AH4386">
        <f>IF($AG4386=1,SUMPRODUCT(--($AK$2:$AK$6001&lt;$AK4386))+1,"")</f>
        <v/>
      </c>
      <c r="AI4386">
        <f>IF($C4386="","",IF(OR($N4386=TRUE(),$N4386="TRUE"),1,0))</f>
        <v/>
      </c>
      <c r="AJ4386">
        <f>IF($C4386="","",IF($T4386="Yes",1,0))</f>
        <v/>
      </c>
      <c r="AK4386">
        <f>IF($AG4386=1,IFERROR(IF(VALUE($C4386)&lt;100000000,VALUE($C4386),1000000000),IFERROR(IF(VALUE(MID($C4386,2,20))&lt;100000000,VALUE(MID($C4386,2,20)),1000000000),1000000000))+ROW()/100000,"")</f>
        <v/>
      </c>
    </row>
    <row r="4387">
      <c r="D4387" s="11" t="n"/>
      <c r="K4387" s="7">
        <f>IF($C4387="","",J4387*W4387/100)</f>
        <v/>
      </c>
      <c r="Q4387" s="7" t="n"/>
      <c r="R4387" s="7" t="n"/>
      <c r="U4387">
        <f>IF($C4387="","",IF($AJ4387=1,0,IF($AI4387=1,Settings!$C$6,Settings!$C$7))*100)</f>
        <v/>
      </c>
      <c r="V4387" s="7">
        <f>IF($C4387="","",R4387*U4387/100)</f>
        <v/>
      </c>
      <c r="W4387" s="7">
        <f>IF($C4387="","",R4387-V4387)</f>
        <v/>
      </c>
      <c r="X4387" s="7">
        <f>IF($C4387="","",W4387-K4387)</f>
        <v/>
      </c>
      <c r="AB4387" s="7" t="n"/>
      <c r="AE4387" s="11" t="n"/>
      <c r="AG4387">
        <f>IF($C4387="","",IF(COUNTIF($C$2:$C4387,$C4387)=1,1,0))</f>
        <v/>
      </c>
      <c r="AH4387">
        <f>IF($AG4387=1,SUMPRODUCT(--($AK$2:$AK$6001&lt;$AK4387))+1,"")</f>
        <v/>
      </c>
      <c r="AI4387">
        <f>IF($C4387="","",IF(OR($N4387=TRUE(),$N4387="TRUE"),1,0))</f>
        <v/>
      </c>
      <c r="AJ4387">
        <f>IF($C4387="","",IF($T4387="Yes",1,0))</f>
        <v/>
      </c>
      <c r="AK4387">
        <f>IF($AG4387=1,IFERROR(IF(VALUE($C4387)&lt;100000000,VALUE($C4387),1000000000),IFERROR(IF(VALUE(MID($C4387,2,20))&lt;100000000,VALUE(MID($C4387,2,20)),1000000000),1000000000))+ROW()/100000,"")</f>
        <v/>
      </c>
    </row>
    <row r="4388">
      <c r="D4388" s="11" t="n"/>
      <c r="K4388" s="7">
        <f>IF($C4388="","",J4388*W4388/100)</f>
        <v/>
      </c>
      <c r="Q4388" s="7" t="n"/>
      <c r="R4388" s="7" t="n"/>
      <c r="U4388">
        <f>IF($C4388="","",IF($AJ4388=1,0,IF($AI4388=1,Settings!$C$6,Settings!$C$7))*100)</f>
        <v/>
      </c>
      <c r="V4388" s="7">
        <f>IF($C4388="","",R4388*U4388/100)</f>
        <v/>
      </c>
      <c r="W4388" s="7">
        <f>IF($C4388="","",R4388-V4388)</f>
        <v/>
      </c>
      <c r="X4388" s="7">
        <f>IF($C4388="","",W4388-K4388)</f>
        <v/>
      </c>
      <c r="AB4388" s="7" t="n"/>
      <c r="AE4388" s="11" t="n"/>
      <c r="AG4388">
        <f>IF($C4388="","",IF(COUNTIF($C$2:$C4388,$C4388)=1,1,0))</f>
        <v/>
      </c>
      <c r="AH4388">
        <f>IF($AG4388=1,SUMPRODUCT(--($AK$2:$AK$6001&lt;$AK4388))+1,"")</f>
        <v/>
      </c>
      <c r="AI4388">
        <f>IF($C4388="","",IF(OR($N4388=TRUE(),$N4388="TRUE"),1,0))</f>
        <v/>
      </c>
      <c r="AJ4388">
        <f>IF($C4388="","",IF($T4388="Yes",1,0))</f>
        <v/>
      </c>
      <c r="AK4388">
        <f>IF($AG4388=1,IFERROR(IF(VALUE($C4388)&lt;100000000,VALUE($C4388),1000000000),IFERROR(IF(VALUE(MID($C4388,2,20))&lt;100000000,VALUE(MID($C4388,2,20)),1000000000),1000000000))+ROW()/100000,"")</f>
        <v/>
      </c>
    </row>
    <row r="4389">
      <c r="D4389" s="11" t="n"/>
      <c r="K4389" s="7">
        <f>IF($C4389="","",J4389*W4389/100)</f>
        <v/>
      </c>
      <c r="Q4389" s="7" t="n"/>
      <c r="R4389" s="7" t="n"/>
      <c r="U4389">
        <f>IF($C4389="","",IF($AJ4389=1,0,IF($AI4389=1,Settings!$C$6,Settings!$C$7))*100)</f>
        <v/>
      </c>
      <c r="V4389" s="7">
        <f>IF($C4389="","",R4389*U4389/100)</f>
        <v/>
      </c>
      <c r="W4389" s="7">
        <f>IF($C4389="","",R4389-V4389)</f>
        <v/>
      </c>
      <c r="X4389" s="7">
        <f>IF($C4389="","",W4389-K4389)</f>
        <v/>
      </c>
      <c r="AB4389" s="7" t="n"/>
      <c r="AE4389" s="11" t="n"/>
      <c r="AG4389">
        <f>IF($C4389="","",IF(COUNTIF($C$2:$C4389,$C4389)=1,1,0))</f>
        <v/>
      </c>
      <c r="AH4389">
        <f>IF($AG4389=1,SUMPRODUCT(--($AK$2:$AK$6001&lt;$AK4389))+1,"")</f>
        <v/>
      </c>
      <c r="AI4389">
        <f>IF($C4389="","",IF(OR($N4389=TRUE(),$N4389="TRUE"),1,0))</f>
        <v/>
      </c>
      <c r="AJ4389">
        <f>IF($C4389="","",IF($T4389="Yes",1,0))</f>
        <v/>
      </c>
      <c r="AK4389">
        <f>IF($AG4389=1,IFERROR(IF(VALUE($C4389)&lt;100000000,VALUE($C4389),1000000000),IFERROR(IF(VALUE(MID($C4389,2,20))&lt;100000000,VALUE(MID($C4389,2,20)),1000000000),1000000000))+ROW()/100000,"")</f>
        <v/>
      </c>
    </row>
    <row r="4390">
      <c r="D4390" s="11" t="n"/>
      <c r="K4390" s="7">
        <f>IF($C4390="","",J4390*W4390/100)</f>
        <v/>
      </c>
      <c r="Q4390" s="7" t="n"/>
      <c r="R4390" s="7" t="n"/>
      <c r="U4390">
        <f>IF($C4390="","",IF($AJ4390=1,0,IF($AI4390=1,Settings!$C$6,Settings!$C$7))*100)</f>
        <v/>
      </c>
      <c r="V4390" s="7">
        <f>IF($C4390="","",R4390*U4390/100)</f>
        <v/>
      </c>
      <c r="W4390" s="7">
        <f>IF($C4390="","",R4390-V4390)</f>
        <v/>
      </c>
      <c r="X4390" s="7">
        <f>IF($C4390="","",W4390-K4390)</f>
        <v/>
      </c>
      <c r="AB4390" s="7" t="n"/>
      <c r="AE4390" s="11" t="n"/>
      <c r="AG4390">
        <f>IF($C4390="","",IF(COUNTIF($C$2:$C4390,$C4390)=1,1,0))</f>
        <v/>
      </c>
      <c r="AH4390">
        <f>IF($AG4390=1,SUMPRODUCT(--($AK$2:$AK$6001&lt;$AK4390))+1,"")</f>
        <v/>
      </c>
      <c r="AI4390">
        <f>IF($C4390="","",IF(OR($N4390=TRUE(),$N4390="TRUE"),1,0))</f>
        <v/>
      </c>
      <c r="AJ4390">
        <f>IF($C4390="","",IF($T4390="Yes",1,0))</f>
        <v/>
      </c>
      <c r="AK4390">
        <f>IF($AG4390=1,IFERROR(IF(VALUE($C4390)&lt;100000000,VALUE($C4390),1000000000),IFERROR(IF(VALUE(MID($C4390,2,20))&lt;100000000,VALUE(MID($C4390,2,20)),1000000000),1000000000))+ROW()/100000,"")</f>
        <v/>
      </c>
    </row>
    <row r="4391">
      <c r="D4391" s="11" t="n"/>
      <c r="K4391" s="7">
        <f>IF($C4391="","",J4391*W4391/100)</f>
        <v/>
      </c>
      <c r="Q4391" s="7" t="n"/>
      <c r="R4391" s="7" t="n"/>
      <c r="U4391">
        <f>IF($C4391="","",IF($AJ4391=1,0,IF($AI4391=1,Settings!$C$6,Settings!$C$7))*100)</f>
        <v/>
      </c>
      <c r="V4391" s="7">
        <f>IF($C4391="","",R4391*U4391/100)</f>
        <v/>
      </c>
      <c r="W4391" s="7">
        <f>IF($C4391="","",R4391-V4391)</f>
        <v/>
      </c>
      <c r="X4391" s="7">
        <f>IF($C4391="","",W4391-K4391)</f>
        <v/>
      </c>
      <c r="AB4391" s="7" t="n"/>
      <c r="AE4391" s="11" t="n"/>
      <c r="AG4391">
        <f>IF($C4391="","",IF(COUNTIF($C$2:$C4391,$C4391)=1,1,0))</f>
        <v/>
      </c>
      <c r="AH4391">
        <f>IF($AG4391=1,SUMPRODUCT(--($AK$2:$AK$6001&lt;$AK4391))+1,"")</f>
        <v/>
      </c>
      <c r="AI4391">
        <f>IF($C4391="","",IF(OR($N4391=TRUE(),$N4391="TRUE"),1,0))</f>
        <v/>
      </c>
      <c r="AJ4391">
        <f>IF($C4391="","",IF($T4391="Yes",1,0))</f>
        <v/>
      </c>
      <c r="AK4391">
        <f>IF($AG4391=1,IFERROR(IF(VALUE($C4391)&lt;100000000,VALUE($C4391),1000000000),IFERROR(IF(VALUE(MID($C4391,2,20))&lt;100000000,VALUE(MID($C4391,2,20)),1000000000),1000000000))+ROW()/100000,"")</f>
        <v/>
      </c>
    </row>
    <row r="4392">
      <c r="D4392" s="11" t="n"/>
      <c r="K4392" s="7">
        <f>IF($C4392="","",J4392*W4392/100)</f>
        <v/>
      </c>
      <c r="Q4392" s="7" t="n"/>
      <c r="R4392" s="7" t="n"/>
      <c r="U4392">
        <f>IF($C4392="","",IF($AJ4392=1,0,IF($AI4392=1,Settings!$C$6,Settings!$C$7))*100)</f>
        <v/>
      </c>
      <c r="V4392" s="7">
        <f>IF($C4392="","",R4392*U4392/100)</f>
        <v/>
      </c>
      <c r="W4392" s="7">
        <f>IF($C4392="","",R4392-V4392)</f>
        <v/>
      </c>
      <c r="X4392" s="7">
        <f>IF($C4392="","",W4392-K4392)</f>
        <v/>
      </c>
      <c r="AB4392" s="7" t="n"/>
      <c r="AE4392" s="11" t="n"/>
      <c r="AG4392">
        <f>IF($C4392="","",IF(COUNTIF($C$2:$C4392,$C4392)=1,1,0))</f>
        <v/>
      </c>
      <c r="AH4392">
        <f>IF($AG4392=1,SUMPRODUCT(--($AK$2:$AK$6001&lt;$AK4392))+1,"")</f>
        <v/>
      </c>
      <c r="AI4392">
        <f>IF($C4392="","",IF(OR($N4392=TRUE(),$N4392="TRUE"),1,0))</f>
        <v/>
      </c>
      <c r="AJ4392">
        <f>IF($C4392="","",IF($T4392="Yes",1,0))</f>
        <v/>
      </c>
      <c r="AK4392">
        <f>IF($AG4392=1,IFERROR(IF(VALUE($C4392)&lt;100000000,VALUE($C4392),1000000000),IFERROR(IF(VALUE(MID($C4392,2,20))&lt;100000000,VALUE(MID($C4392,2,20)),1000000000),1000000000))+ROW()/100000,"")</f>
        <v/>
      </c>
    </row>
    <row r="4393">
      <c r="D4393" s="11" t="n"/>
      <c r="K4393" s="7">
        <f>IF($C4393="","",J4393*W4393/100)</f>
        <v/>
      </c>
      <c r="Q4393" s="7" t="n"/>
      <c r="R4393" s="7" t="n"/>
      <c r="U4393">
        <f>IF($C4393="","",IF($AJ4393=1,0,IF($AI4393=1,Settings!$C$6,Settings!$C$7))*100)</f>
        <v/>
      </c>
      <c r="V4393" s="7">
        <f>IF($C4393="","",R4393*U4393/100)</f>
        <v/>
      </c>
      <c r="W4393" s="7">
        <f>IF($C4393="","",R4393-V4393)</f>
        <v/>
      </c>
      <c r="X4393" s="7">
        <f>IF($C4393="","",W4393-K4393)</f>
        <v/>
      </c>
      <c r="AB4393" s="7" t="n"/>
      <c r="AE4393" s="11" t="n"/>
      <c r="AG4393">
        <f>IF($C4393="","",IF(COUNTIF($C$2:$C4393,$C4393)=1,1,0))</f>
        <v/>
      </c>
      <c r="AH4393">
        <f>IF($AG4393=1,SUMPRODUCT(--($AK$2:$AK$6001&lt;$AK4393))+1,"")</f>
        <v/>
      </c>
      <c r="AI4393">
        <f>IF($C4393="","",IF(OR($N4393=TRUE(),$N4393="TRUE"),1,0))</f>
        <v/>
      </c>
      <c r="AJ4393">
        <f>IF($C4393="","",IF($T4393="Yes",1,0))</f>
        <v/>
      </c>
      <c r="AK4393">
        <f>IF($AG4393=1,IFERROR(IF(VALUE($C4393)&lt;100000000,VALUE($C4393),1000000000),IFERROR(IF(VALUE(MID($C4393,2,20))&lt;100000000,VALUE(MID($C4393,2,20)),1000000000),1000000000))+ROW()/100000,"")</f>
        <v/>
      </c>
    </row>
    <row r="4394">
      <c r="D4394" s="11" t="n"/>
      <c r="K4394" s="7">
        <f>IF($C4394="","",J4394*W4394/100)</f>
        <v/>
      </c>
      <c r="Q4394" s="7" t="n"/>
      <c r="R4394" s="7" t="n"/>
      <c r="U4394">
        <f>IF($C4394="","",IF($AJ4394=1,0,IF($AI4394=1,Settings!$C$6,Settings!$C$7))*100)</f>
        <v/>
      </c>
      <c r="V4394" s="7">
        <f>IF($C4394="","",R4394*U4394/100)</f>
        <v/>
      </c>
      <c r="W4394" s="7">
        <f>IF($C4394="","",R4394-V4394)</f>
        <v/>
      </c>
      <c r="X4394" s="7">
        <f>IF($C4394="","",W4394-K4394)</f>
        <v/>
      </c>
      <c r="AB4394" s="7" t="n"/>
      <c r="AE4394" s="11" t="n"/>
      <c r="AG4394">
        <f>IF($C4394="","",IF(COUNTIF($C$2:$C4394,$C4394)=1,1,0))</f>
        <v/>
      </c>
      <c r="AH4394">
        <f>IF($AG4394=1,SUMPRODUCT(--($AK$2:$AK$6001&lt;$AK4394))+1,"")</f>
        <v/>
      </c>
      <c r="AI4394">
        <f>IF($C4394="","",IF(OR($N4394=TRUE(),$N4394="TRUE"),1,0))</f>
        <v/>
      </c>
      <c r="AJ4394">
        <f>IF($C4394="","",IF($T4394="Yes",1,0))</f>
        <v/>
      </c>
      <c r="AK4394">
        <f>IF($AG4394=1,IFERROR(IF(VALUE($C4394)&lt;100000000,VALUE($C4394),1000000000),IFERROR(IF(VALUE(MID($C4394,2,20))&lt;100000000,VALUE(MID($C4394,2,20)),1000000000),1000000000))+ROW()/100000,"")</f>
        <v/>
      </c>
    </row>
    <row r="4395">
      <c r="D4395" s="11" t="n"/>
      <c r="K4395" s="7">
        <f>IF($C4395="","",J4395*W4395/100)</f>
        <v/>
      </c>
      <c r="Q4395" s="7" t="n"/>
      <c r="R4395" s="7" t="n"/>
      <c r="U4395">
        <f>IF($C4395="","",IF($AJ4395=1,0,IF($AI4395=1,Settings!$C$6,Settings!$C$7))*100)</f>
        <v/>
      </c>
      <c r="V4395" s="7">
        <f>IF($C4395="","",R4395*U4395/100)</f>
        <v/>
      </c>
      <c r="W4395" s="7">
        <f>IF($C4395="","",R4395-V4395)</f>
        <v/>
      </c>
      <c r="X4395" s="7">
        <f>IF($C4395="","",W4395-K4395)</f>
        <v/>
      </c>
      <c r="AB4395" s="7" t="n"/>
      <c r="AE4395" s="11" t="n"/>
      <c r="AG4395">
        <f>IF($C4395="","",IF(COUNTIF($C$2:$C4395,$C4395)=1,1,0))</f>
        <v/>
      </c>
      <c r="AH4395">
        <f>IF($AG4395=1,SUMPRODUCT(--($AK$2:$AK$6001&lt;$AK4395))+1,"")</f>
        <v/>
      </c>
      <c r="AI4395">
        <f>IF($C4395="","",IF(OR($N4395=TRUE(),$N4395="TRUE"),1,0))</f>
        <v/>
      </c>
      <c r="AJ4395">
        <f>IF($C4395="","",IF($T4395="Yes",1,0))</f>
        <v/>
      </c>
      <c r="AK4395">
        <f>IF($AG4395=1,IFERROR(IF(VALUE($C4395)&lt;100000000,VALUE($C4395),1000000000),IFERROR(IF(VALUE(MID($C4395,2,20))&lt;100000000,VALUE(MID($C4395,2,20)),1000000000),1000000000))+ROW()/100000,"")</f>
        <v/>
      </c>
    </row>
    <row r="4396">
      <c r="D4396" s="11" t="n"/>
      <c r="K4396" s="7">
        <f>IF($C4396="","",J4396*W4396/100)</f>
        <v/>
      </c>
      <c r="Q4396" s="7" t="n"/>
      <c r="R4396" s="7" t="n"/>
      <c r="U4396">
        <f>IF($C4396="","",IF($AJ4396=1,0,IF($AI4396=1,Settings!$C$6,Settings!$C$7))*100)</f>
        <v/>
      </c>
      <c r="V4396" s="7">
        <f>IF($C4396="","",R4396*U4396/100)</f>
        <v/>
      </c>
      <c r="W4396" s="7">
        <f>IF($C4396="","",R4396-V4396)</f>
        <v/>
      </c>
      <c r="X4396" s="7">
        <f>IF($C4396="","",W4396-K4396)</f>
        <v/>
      </c>
      <c r="AB4396" s="7" t="n"/>
      <c r="AE4396" s="11" t="n"/>
      <c r="AG4396">
        <f>IF($C4396="","",IF(COUNTIF($C$2:$C4396,$C4396)=1,1,0))</f>
        <v/>
      </c>
      <c r="AH4396">
        <f>IF($AG4396=1,SUMPRODUCT(--($AK$2:$AK$6001&lt;$AK4396))+1,"")</f>
        <v/>
      </c>
      <c r="AI4396">
        <f>IF($C4396="","",IF(OR($N4396=TRUE(),$N4396="TRUE"),1,0))</f>
        <v/>
      </c>
      <c r="AJ4396">
        <f>IF($C4396="","",IF($T4396="Yes",1,0))</f>
        <v/>
      </c>
      <c r="AK4396">
        <f>IF($AG4396=1,IFERROR(IF(VALUE($C4396)&lt;100000000,VALUE($C4396),1000000000),IFERROR(IF(VALUE(MID($C4396,2,20))&lt;100000000,VALUE(MID($C4396,2,20)),1000000000),1000000000))+ROW()/100000,"")</f>
        <v/>
      </c>
    </row>
    <row r="4397">
      <c r="D4397" s="11" t="n"/>
      <c r="K4397" s="7">
        <f>IF($C4397="","",J4397*W4397/100)</f>
        <v/>
      </c>
      <c r="Q4397" s="7" t="n"/>
      <c r="R4397" s="7" t="n"/>
      <c r="U4397">
        <f>IF($C4397="","",IF($AJ4397=1,0,IF($AI4397=1,Settings!$C$6,Settings!$C$7))*100)</f>
        <v/>
      </c>
      <c r="V4397" s="7">
        <f>IF($C4397="","",R4397*U4397/100)</f>
        <v/>
      </c>
      <c r="W4397" s="7">
        <f>IF($C4397="","",R4397-V4397)</f>
        <v/>
      </c>
      <c r="X4397" s="7">
        <f>IF($C4397="","",W4397-K4397)</f>
        <v/>
      </c>
      <c r="AB4397" s="7" t="n"/>
      <c r="AE4397" s="11" t="n"/>
      <c r="AG4397">
        <f>IF($C4397="","",IF(COUNTIF($C$2:$C4397,$C4397)=1,1,0))</f>
        <v/>
      </c>
      <c r="AH4397">
        <f>IF($AG4397=1,SUMPRODUCT(--($AK$2:$AK$6001&lt;$AK4397))+1,"")</f>
        <v/>
      </c>
      <c r="AI4397">
        <f>IF($C4397="","",IF(OR($N4397=TRUE(),$N4397="TRUE"),1,0))</f>
        <v/>
      </c>
      <c r="AJ4397">
        <f>IF($C4397="","",IF($T4397="Yes",1,0))</f>
        <v/>
      </c>
      <c r="AK4397">
        <f>IF($AG4397=1,IFERROR(IF(VALUE($C4397)&lt;100000000,VALUE($C4397),1000000000),IFERROR(IF(VALUE(MID($C4397,2,20))&lt;100000000,VALUE(MID($C4397,2,20)),1000000000),1000000000))+ROW()/100000,"")</f>
        <v/>
      </c>
    </row>
    <row r="4398">
      <c r="D4398" s="11" t="n"/>
      <c r="K4398" s="7">
        <f>IF($C4398="","",J4398*W4398/100)</f>
        <v/>
      </c>
      <c r="Q4398" s="7" t="n"/>
      <c r="R4398" s="7" t="n"/>
      <c r="U4398">
        <f>IF($C4398="","",IF($AJ4398=1,0,IF($AI4398=1,Settings!$C$6,Settings!$C$7))*100)</f>
        <v/>
      </c>
      <c r="V4398" s="7">
        <f>IF($C4398="","",R4398*U4398/100)</f>
        <v/>
      </c>
      <c r="W4398" s="7">
        <f>IF($C4398="","",R4398-V4398)</f>
        <v/>
      </c>
      <c r="X4398" s="7">
        <f>IF($C4398="","",W4398-K4398)</f>
        <v/>
      </c>
      <c r="AB4398" s="7" t="n"/>
      <c r="AE4398" s="11" t="n"/>
      <c r="AG4398">
        <f>IF($C4398="","",IF(COUNTIF($C$2:$C4398,$C4398)=1,1,0))</f>
        <v/>
      </c>
      <c r="AH4398">
        <f>IF($AG4398=1,SUMPRODUCT(--($AK$2:$AK$6001&lt;$AK4398))+1,"")</f>
        <v/>
      </c>
      <c r="AI4398">
        <f>IF($C4398="","",IF(OR($N4398=TRUE(),$N4398="TRUE"),1,0))</f>
        <v/>
      </c>
      <c r="AJ4398">
        <f>IF($C4398="","",IF($T4398="Yes",1,0))</f>
        <v/>
      </c>
      <c r="AK4398">
        <f>IF($AG4398=1,IFERROR(IF(VALUE($C4398)&lt;100000000,VALUE($C4398),1000000000),IFERROR(IF(VALUE(MID($C4398,2,20))&lt;100000000,VALUE(MID($C4398,2,20)),1000000000),1000000000))+ROW()/100000,"")</f>
        <v/>
      </c>
    </row>
    <row r="4399">
      <c r="D4399" s="11" t="n"/>
      <c r="K4399" s="7">
        <f>IF($C4399="","",J4399*W4399/100)</f>
        <v/>
      </c>
      <c r="Q4399" s="7" t="n"/>
      <c r="R4399" s="7" t="n"/>
      <c r="U4399">
        <f>IF($C4399="","",IF($AJ4399=1,0,IF($AI4399=1,Settings!$C$6,Settings!$C$7))*100)</f>
        <v/>
      </c>
      <c r="V4399" s="7">
        <f>IF($C4399="","",R4399*U4399/100)</f>
        <v/>
      </c>
      <c r="W4399" s="7">
        <f>IF($C4399="","",R4399-V4399)</f>
        <v/>
      </c>
      <c r="X4399" s="7">
        <f>IF($C4399="","",W4399-K4399)</f>
        <v/>
      </c>
      <c r="AB4399" s="7" t="n"/>
      <c r="AE4399" s="11" t="n"/>
      <c r="AG4399">
        <f>IF($C4399="","",IF(COUNTIF($C$2:$C4399,$C4399)=1,1,0))</f>
        <v/>
      </c>
      <c r="AH4399">
        <f>IF($AG4399=1,SUMPRODUCT(--($AK$2:$AK$6001&lt;$AK4399))+1,"")</f>
        <v/>
      </c>
      <c r="AI4399">
        <f>IF($C4399="","",IF(OR($N4399=TRUE(),$N4399="TRUE"),1,0))</f>
        <v/>
      </c>
      <c r="AJ4399">
        <f>IF($C4399="","",IF($T4399="Yes",1,0))</f>
        <v/>
      </c>
      <c r="AK4399">
        <f>IF($AG4399=1,IFERROR(IF(VALUE($C4399)&lt;100000000,VALUE($C4399),1000000000),IFERROR(IF(VALUE(MID($C4399,2,20))&lt;100000000,VALUE(MID($C4399,2,20)),1000000000),1000000000))+ROW()/100000,"")</f>
        <v/>
      </c>
    </row>
    <row r="4400">
      <c r="D4400" s="11" t="n"/>
      <c r="K4400" s="7">
        <f>IF($C4400="","",J4400*W4400/100)</f>
        <v/>
      </c>
      <c r="Q4400" s="7" t="n"/>
      <c r="R4400" s="7" t="n"/>
      <c r="U4400">
        <f>IF($C4400="","",IF($AJ4400=1,0,IF($AI4400=1,Settings!$C$6,Settings!$C$7))*100)</f>
        <v/>
      </c>
      <c r="V4400" s="7">
        <f>IF($C4400="","",R4400*U4400/100)</f>
        <v/>
      </c>
      <c r="W4400" s="7">
        <f>IF($C4400="","",R4400-V4400)</f>
        <v/>
      </c>
      <c r="X4400" s="7">
        <f>IF($C4400="","",W4400-K4400)</f>
        <v/>
      </c>
      <c r="AB4400" s="7" t="n"/>
      <c r="AE4400" s="11" t="n"/>
      <c r="AG4400">
        <f>IF($C4400="","",IF(COUNTIF($C$2:$C4400,$C4400)=1,1,0))</f>
        <v/>
      </c>
      <c r="AH4400">
        <f>IF($AG4400=1,SUMPRODUCT(--($AK$2:$AK$6001&lt;$AK4400))+1,"")</f>
        <v/>
      </c>
      <c r="AI4400">
        <f>IF($C4400="","",IF(OR($N4400=TRUE(),$N4400="TRUE"),1,0))</f>
        <v/>
      </c>
      <c r="AJ4400">
        <f>IF($C4400="","",IF($T4400="Yes",1,0))</f>
        <v/>
      </c>
      <c r="AK4400">
        <f>IF($AG4400=1,IFERROR(IF(VALUE($C4400)&lt;100000000,VALUE($C4400),1000000000),IFERROR(IF(VALUE(MID($C4400,2,20))&lt;100000000,VALUE(MID($C4400,2,20)),1000000000),1000000000))+ROW()/100000,"")</f>
        <v/>
      </c>
    </row>
    <row r="4401">
      <c r="D4401" s="11" t="n"/>
      <c r="K4401" s="7">
        <f>IF($C4401="","",J4401*W4401/100)</f>
        <v/>
      </c>
      <c r="Q4401" s="7" t="n"/>
      <c r="R4401" s="7" t="n"/>
      <c r="U4401">
        <f>IF($C4401="","",IF($AJ4401=1,0,IF($AI4401=1,Settings!$C$6,Settings!$C$7))*100)</f>
        <v/>
      </c>
      <c r="V4401" s="7">
        <f>IF($C4401="","",R4401*U4401/100)</f>
        <v/>
      </c>
      <c r="W4401" s="7">
        <f>IF($C4401="","",R4401-V4401)</f>
        <v/>
      </c>
      <c r="X4401" s="7">
        <f>IF($C4401="","",W4401-K4401)</f>
        <v/>
      </c>
      <c r="AB4401" s="7" t="n"/>
      <c r="AE4401" s="11" t="n"/>
      <c r="AG4401">
        <f>IF($C4401="","",IF(COUNTIF($C$2:$C4401,$C4401)=1,1,0))</f>
        <v/>
      </c>
      <c r="AH4401">
        <f>IF($AG4401=1,SUMPRODUCT(--($AK$2:$AK$6001&lt;$AK4401))+1,"")</f>
        <v/>
      </c>
      <c r="AI4401">
        <f>IF($C4401="","",IF(OR($N4401=TRUE(),$N4401="TRUE"),1,0))</f>
        <v/>
      </c>
      <c r="AJ4401">
        <f>IF($C4401="","",IF($T4401="Yes",1,0))</f>
        <v/>
      </c>
      <c r="AK4401">
        <f>IF($AG4401=1,IFERROR(IF(VALUE($C4401)&lt;100000000,VALUE($C4401),1000000000),IFERROR(IF(VALUE(MID($C4401,2,20))&lt;100000000,VALUE(MID($C4401,2,20)),1000000000),1000000000))+ROW()/100000,"")</f>
        <v/>
      </c>
    </row>
    <row r="4402">
      <c r="D4402" s="11" t="n"/>
      <c r="K4402" s="7">
        <f>IF($C4402="","",J4402*W4402/100)</f>
        <v/>
      </c>
      <c r="Q4402" s="7" t="n"/>
      <c r="R4402" s="7" t="n"/>
      <c r="U4402">
        <f>IF($C4402="","",IF($AJ4402=1,0,IF($AI4402=1,Settings!$C$6,Settings!$C$7))*100)</f>
        <v/>
      </c>
      <c r="V4402" s="7">
        <f>IF($C4402="","",R4402*U4402/100)</f>
        <v/>
      </c>
      <c r="W4402" s="7">
        <f>IF($C4402="","",R4402-V4402)</f>
        <v/>
      </c>
      <c r="X4402" s="7">
        <f>IF($C4402="","",W4402-K4402)</f>
        <v/>
      </c>
      <c r="AB4402" s="7" t="n"/>
      <c r="AE4402" s="11" t="n"/>
      <c r="AG4402">
        <f>IF($C4402="","",IF(COUNTIF($C$2:$C4402,$C4402)=1,1,0))</f>
        <v/>
      </c>
      <c r="AH4402">
        <f>IF($AG4402=1,SUMPRODUCT(--($AK$2:$AK$6001&lt;$AK4402))+1,"")</f>
        <v/>
      </c>
      <c r="AI4402">
        <f>IF($C4402="","",IF(OR($N4402=TRUE(),$N4402="TRUE"),1,0))</f>
        <v/>
      </c>
      <c r="AJ4402">
        <f>IF($C4402="","",IF($T4402="Yes",1,0))</f>
        <v/>
      </c>
      <c r="AK4402">
        <f>IF($AG4402=1,IFERROR(IF(VALUE($C4402)&lt;100000000,VALUE($C4402),1000000000),IFERROR(IF(VALUE(MID($C4402,2,20))&lt;100000000,VALUE(MID($C4402,2,20)),1000000000),1000000000))+ROW()/100000,"")</f>
        <v/>
      </c>
    </row>
    <row r="4403">
      <c r="D4403" s="11" t="n"/>
      <c r="K4403" s="7">
        <f>IF($C4403="","",J4403*W4403/100)</f>
        <v/>
      </c>
      <c r="Q4403" s="7" t="n"/>
      <c r="R4403" s="7" t="n"/>
      <c r="U4403">
        <f>IF($C4403="","",IF($AJ4403=1,0,IF($AI4403=1,Settings!$C$6,Settings!$C$7))*100)</f>
        <v/>
      </c>
      <c r="V4403" s="7">
        <f>IF($C4403="","",R4403*U4403/100)</f>
        <v/>
      </c>
      <c r="W4403" s="7">
        <f>IF($C4403="","",R4403-V4403)</f>
        <v/>
      </c>
      <c r="X4403" s="7">
        <f>IF($C4403="","",W4403-K4403)</f>
        <v/>
      </c>
      <c r="AB4403" s="7" t="n"/>
      <c r="AE4403" s="11" t="n"/>
      <c r="AG4403">
        <f>IF($C4403="","",IF(COUNTIF($C$2:$C4403,$C4403)=1,1,0))</f>
        <v/>
      </c>
      <c r="AH4403">
        <f>IF($AG4403=1,SUMPRODUCT(--($AK$2:$AK$6001&lt;$AK4403))+1,"")</f>
        <v/>
      </c>
      <c r="AI4403">
        <f>IF($C4403="","",IF(OR($N4403=TRUE(),$N4403="TRUE"),1,0))</f>
        <v/>
      </c>
      <c r="AJ4403">
        <f>IF($C4403="","",IF($T4403="Yes",1,0))</f>
        <v/>
      </c>
      <c r="AK4403">
        <f>IF($AG4403=1,IFERROR(IF(VALUE($C4403)&lt;100000000,VALUE($C4403),1000000000),IFERROR(IF(VALUE(MID($C4403,2,20))&lt;100000000,VALUE(MID($C4403,2,20)),1000000000),1000000000))+ROW()/100000,"")</f>
        <v/>
      </c>
    </row>
    <row r="4404">
      <c r="D4404" s="11" t="n"/>
      <c r="K4404" s="7">
        <f>IF($C4404="","",J4404*W4404/100)</f>
        <v/>
      </c>
      <c r="Q4404" s="7" t="n"/>
      <c r="R4404" s="7" t="n"/>
      <c r="U4404">
        <f>IF($C4404="","",IF($AJ4404=1,0,IF($AI4404=1,Settings!$C$6,Settings!$C$7))*100)</f>
        <v/>
      </c>
      <c r="V4404" s="7">
        <f>IF($C4404="","",R4404*U4404/100)</f>
        <v/>
      </c>
      <c r="W4404" s="7">
        <f>IF($C4404="","",R4404-V4404)</f>
        <v/>
      </c>
      <c r="X4404" s="7">
        <f>IF($C4404="","",W4404-K4404)</f>
        <v/>
      </c>
      <c r="AB4404" s="7" t="n"/>
      <c r="AE4404" s="11" t="n"/>
      <c r="AG4404">
        <f>IF($C4404="","",IF(COUNTIF($C$2:$C4404,$C4404)=1,1,0))</f>
        <v/>
      </c>
      <c r="AH4404">
        <f>IF($AG4404=1,SUMPRODUCT(--($AK$2:$AK$6001&lt;$AK4404))+1,"")</f>
        <v/>
      </c>
      <c r="AI4404">
        <f>IF($C4404="","",IF(OR($N4404=TRUE(),$N4404="TRUE"),1,0))</f>
        <v/>
      </c>
      <c r="AJ4404">
        <f>IF($C4404="","",IF($T4404="Yes",1,0))</f>
        <v/>
      </c>
      <c r="AK4404">
        <f>IF($AG4404=1,IFERROR(IF(VALUE($C4404)&lt;100000000,VALUE($C4404),1000000000),IFERROR(IF(VALUE(MID($C4404,2,20))&lt;100000000,VALUE(MID($C4404,2,20)),1000000000),1000000000))+ROW()/100000,"")</f>
        <v/>
      </c>
    </row>
    <row r="4405">
      <c r="D4405" s="11" t="n"/>
      <c r="K4405" s="7">
        <f>IF($C4405="","",J4405*W4405/100)</f>
        <v/>
      </c>
      <c r="Q4405" s="7" t="n"/>
      <c r="R4405" s="7" t="n"/>
      <c r="U4405">
        <f>IF($C4405="","",IF($AJ4405=1,0,IF($AI4405=1,Settings!$C$6,Settings!$C$7))*100)</f>
        <v/>
      </c>
      <c r="V4405" s="7">
        <f>IF($C4405="","",R4405*U4405/100)</f>
        <v/>
      </c>
      <c r="W4405" s="7">
        <f>IF($C4405="","",R4405-V4405)</f>
        <v/>
      </c>
      <c r="X4405" s="7">
        <f>IF($C4405="","",W4405-K4405)</f>
        <v/>
      </c>
      <c r="AB4405" s="7" t="n"/>
      <c r="AE4405" s="11" t="n"/>
      <c r="AG4405">
        <f>IF($C4405="","",IF(COUNTIF($C$2:$C4405,$C4405)=1,1,0))</f>
        <v/>
      </c>
      <c r="AH4405">
        <f>IF($AG4405=1,SUMPRODUCT(--($AK$2:$AK$6001&lt;$AK4405))+1,"")</f>
        <v/>
      </c>
      <c r="AI4405">
        <f>IF($C4405="","",IF(OR($N4405=TRUE(),$N4405="TRUE"),1,0))</f>
        <v/>
      </c>
      <c r="AJ4405">
        <f>IF($C4405="","",IF($T4405="Yes",1,0))</f>
        <v/>
      </c>
      <c r="AK4405">
        <f>IF($AG4405=1,IFERROR(IF(VALUE($C4405)&lt;100000000,VALUE($C4405),1000000000),IFERROR(IF(VALUE(MID($C4405,2,20))&lt;100000000,VALUE(MID($C4405,2,20)),1000000000),1000000000))+ROW()/100000,"")</f>
        <v/>
      </c>
    </row>
    <row r="4406">
      <c r="D4406" s="11" t="n"/>
      <c r="K4406" s="7">
        <f>IF($C4406="","",J4406*W4406/100)</f>
        <v/>
      </c>
      <c r="Q4406" s="7" t="n"/>
      <c r="R4406" s="7" t="n"/>
      <c r="U4406">
        <f>IF($C4406="","",IF($AJ4406=1,0,IF($AI4406=1,Settings!$C$6,Settings!$C$7))*100)</f>
        <v/>
      </c>
      <c r="V4406" s="7">
        <f>IF($C4406="","",R4406*U4406/100)</f>
        <v/>
      </c>
      <c r="W4406" s="7">
        <f>IF($C4406="","",R4406-V4406)</f>
        <v/>
      </c>
      <c r="X4406" s="7">
        <f>IF($C4406="","",W4406-K4406)</f>
        <v/>
      </c>
      <c r="AB4406" s="7" t="n"/>
      <c r="AE4406" s="11" t="n"/>
      <c r="AG4406">
        <f>IF($C4406="","",IF(COUNTIF($C$2:$C4406,$C4406)=1,1,0))</f>
        <v/>
      </c>
      <c r="AH4406">
        <f>IF($AG4406=1,SUMPRODUCT(--($AK$2:$AK$6001&lt;$AK4406))+1,"")</f>
        <v/>
      </c>
      <c r="AI4406">
        <f>IF($C4406="","",IF(OR($N4406=TRUE(),$N4406="TRUE"),1,0))</f>
        <v/>
      </c>
      <c r="AJ4406">
        <f>IF($C4406="","",IF($T4406="Yes",1,0))</f>
        <v/>
      </c>
      <c r="AK4406">
        <f>IF($AG4406=1,IFERROR(IF(VALUE($C4406)&lt;100000000,VALUE($C4406),1000000000),IFERROR(IF(VALUE(MID($C4406,2,20))&lt;100000000,VALUE(MID($C4406,2,20)),1000000000),1000000000))+ROW()/100000,"")</f>
        <v/>
      </c>
    </row>
    <row r="4407">
      <c r="D4407" s="11" t="n"/>
      <c r="K4407" s="7">
        <f>IF($C4407="","",J4407*W4407/100)</f>
        <v/>
      </c>
      <c r="Q4407" s="7" t="n"/>
      <c r="R4407" s="7" t="n"/>
      <c r="U4407">
        <f>IF($C4407="","",IF($AJ4407=1,0,IF($AI4407=1,Settings!$C$6,Settings!$C$7))*100)</f>
        <v/>
      </c>
      <c r="V4407" s="7">
        <f>IF($C4407="","",R4407*U4407/100)</f>
        <v/>
      </c>
      <c r="W4407" s="7">
        <f>IF($C4407="","",R4407-V4407)</f>
        <v/>
      </c>
      <c r="X4407" s="7">
        <f>IF($C4407="","",W4407-K4407)</f>
        <v/>
      </c>
      <c r="AB4407" s="7" t="n"/>
      <c r="AE4407" s="11" t="n"/>
      <c r="AG4407">
        <f>IF($C4407="","",IF(COUNTIF($C$2:$C4407,$C4407)=1,1,0))</f>
        <v/>
      </c>
      <c r="AH4407">
        <f>IF($AG4407=1,SUMPRODUCT(--($AK$2:$AK$6001&lt;$AK4407))+1,"")</f>
        <v/>
      </c>
      <c r="AI4407">
        <f>IF($C4407="","",IF(OR($N4407=TRUE(),$N4407="TRUE"),1,0))</f>
        <v/>
      </c>
      <c r="AJ4407">
        <f>IF($C4407="","",IF($T4407="Yes",1,0))</f>
        <v/>
      </c>
      <c r="AK4407">
        <f>IF($AG4407=1,IFERROR(IF(VALUE($C4407)&lt;100000000,VALUE($C4407),1000000000),IFERROR(IF(VALUE(MID($C4407,2,20))&lt;100000000,VALUE(MID($C4407,2,20)),1000000000),1000000000))+ROW()/100000,"")</f>
        <v/>
      </c>
    </row>
    <row r="4408">
      <c r="D4408" s="11" t="n"/>
      <c r="K4408" s="7">
        <f>IF($C4408="","",J4408*W4408/100)</f>
        <v/>
      </c>
      <c r="Q4408" s="7" t="n"/>
      <c r="R4408" s="7" t="n"/>
      <c r="U4408">
        <f>IF($C4408="","",IF($AJ4408=1,0,IF($AI4408=1,Settings!$C$6,Settings!$C$7))*100)</f>
        <v/>
      </c>
      <c r="V4408" s="7">
        <f>IF($C4408="","",R4408*U4408/100)</f>
        <v/>
      </c>
      <c r="W4408" s="7">
        <f>IF($C4408="","",R4408-V4408)</f>
        <v/>
      </c>
      <c r="X4408" s="7">
        <f>IF($C4408="","",W4408-K4408)</f>
        <v/>
      </c>
      <c r="AB4408" s="7" t="n"/>
      <c r="AE4408" s="11" t="n"/>
      <c r="AG4408">
        <f>IF($C4408="","",IF(COUNTIF($C$2:$C4408,$C4408)=1,1,0))</f>
        <v/>
      </c>
      <c r="AH4408">
        <f>IF($AG4408=1,SUMPRODUCT(--($AK$2:$AK$6001&lt;$AK4408))+1,"")</f>
        <v/>
      </c>
      <c r="AI4408">
        <f>IF($C4408="","",IF(OR($N4408=TRUE(),$N4408="TRUE"),1,0))</f>
        <v/>
      </c>
      <c r="AJ4408">
        <f>IF($C4408="","",IF($T4408="Yes",1,0))</f>
        <v/>
      </c>
      <c r="AK4408">
        <f>IF($AG4408=1,IFERROR(IF(VALUE($C4408)&lt;100000000,VALUE($C4408),1000000000),IFERROR(IF(VALUE(MID($C4408,2,20))&lt;100000000,VALUE(MID($C4408,2,20)),1000000000),1000000000))+ROW()/100000,"")</f>
        <v/>
      </c>
    </row>
    <row r="4409">
      <c r="D4409" s="11" t="n"/>
      <c r="K4409" s="7">
        <f>IF($C4409="","",J4409*W4409/100)</f>
        <v/>
      </c>
      <c r="Q4409" s="7" t="n"/>
      <c r="R4409" s="7" t="n"/>
      <c r="U4409">
        <f>IF($C4409="","",IF($AJ4409=1,0,IF($AI4409=1,Settings!$C$6,Settings!$C$7))*100)</f>
        <v/>
      </c>
      <c r="V4409" s="7">
        <f>IF($C4409="","",R4409*U4409/100)</f>
        <v/>
      </c>
      <c r="W4409" s="7">
        <f>IF($C4409="","",R4409-V4409)</f>
        <v/>
      </c>
      <c r="X4409" s="7">
        <f>IF($C4409="","",W4409-K4409)</f>
        <v/>
      </c>
      <c r="AB4409" s="7" t="n"/>
      <c r="AE4409" s="11" t="n"/>
      <c r="AG4409">
        <f>IF($C4409="","",IF(COUNTIF($C$2:$C4409,$C4409)=1,1,0))</f>
        <v/>
      </c>
      <c r="AH4409">
        <f>IF($AG4409=1,SUMPRODUCT(--($AK$2:$AK$6001&lt;$AK4409))+1,"")</f>
        <v/>
      </c>
      <c r="AI4409">
        <f>IF($C4409="","",IF(OR($N4409=TRUE(),$N4409="TRUE"),1,0))</f>
        <v/>
      </c>
      <c r="AJ4409">
        <f>IF($C4409="","",IF($T4409="Yes",1,0))</f>
        <v/>
      </c>
      <c r="AK4409">
        <f>IF($AG4409=1,IFERROR(IF(VALUE($C4409)&lt;100000000,VALUE($C4409),1000000000),IFERROR(IF(VALUE(MID($C4409,2,20))&lt;100000000,VALUE(MID($C4409,2,20)),1000000000),1000000000))+ROW()/100000,"")</f>
        <v/>
      </c>
    </row>
    <row r="4410">
      <c r="D4410" s="11" t="n"/>
      <c r="K4410" s="7">
        <f>IF($C4410="","",J4410*W4410/100)</f>
        <v/>
      </c>
      <c r="Q4410" s="7" t="n"/>
      <c r="R4410" s="7" t="n"/>
      <c r="U4410">
        <f>IF($C4410="","",IF($AJ4410=1,0,IF($AI4410=1,Settings!$C$6,Settings!$C$7))*100)</f>
        <v/>
      </c>
      <c r="V4410" s="7">
        <f>IF($C4410="","",R4410*U4410/100)</f>
        <v/>
      </c>
      <c r="W4410" s="7">
        <f>IF($C4410="","",R4410-V4410)</f>
        <v/>
      </c>
      <c r="X4410" s="7">
        <f>IF($C4410="","",W4410-K4410)</f>
        <v/>
      </c>
      <c r="AB4410" s="7" t="n"/>
      <c r="AE4410" s="11" t="n"/>
      <c r="AG4410">
        <f>IF($C4410="","",IF(COUNTIF($C$2:$C4410,$C4410)=1,1,0))</f>
        <v/>
      </c>
      <c r="AH4410">
        <f>IF($AG4410=1,SUMPRODUCT(--($AK$2:$AK$6001&lt;$AK4410))+1,"")</f>
        <v/>
      </c>
      <c r="AI4410">
        <f>IF($C4410="","",IF(OR($N4410=TRUE(),$N4410="TRUE"),1,0))</f>
        <v/>
      </c>
      <c r="AJ4410">
        <f>IF($C4410="","",IF($T4410="Yes",1,0))</f>
        <v/>
      </c>
      <c r="AK4410">
        <f>IF($AG4410=1,IFERROR(IF(VALUE($C4410)&lt;100000000,VALUE($C4410),1000000000),IFERROR(IF(VALUE(MID($C4410,2,20))&lt;100000000,VALUE(MID($C4410,2,20)),1000000000),1000000000))+ROW()/100000,"")</f>
        <v/>
      </c>
    </row>
    <row r="4411">
      <c r="D4411" s="11" t="n"/>
      <c r="K4411" s="7">
        <f>IF($C4411="","",J4411*W4411/100)</f>
        <v/>
      </c>
      <c r="Q4411" s="7" t="n"/>
      <c r="R4411" s="7" t="n"/>
      <c r="U4411">
        <f>IF($C4411="","",IF($AJ4411=1,0,IF($AI4411=1,Settings!$C$6,Settings!$C$7))*100)</f>
        <v/>
      </c>
      <c r="V4411" s="7">
        <f>IF($C4411="","",R4411*U4411/100)</f>
        <v/>
      </c>
      <c r="W4411" s="7">
        <f>IF($C4411="","",R4411-V4411)</f>
        <v/>
      </c>
      <c r="X4411" s="7">
        <f>IF($C4411="","",W4411-K4411)</f>
        <v/>
      </c>
      <c r="AB4411" s="7" t="n"/>
      <c r="AE4411" s="11" t="n"/>
      <c r="AG4411">
        <f>IF($C4411="","",IF(COUNTIF($C$2:$C4411,$C4411)=1,1,0))</f>
        <v/>
      </c>
      <c r="AH4411">
        <f>IF($AG4411=1,SUMPRODUCT(--($AK$2:$AK$6001&lt;$AK4411))+1,"")</f>
        <v/>
      </c>
      <c r="AI4411">
        <f>IF($C4411="","",IF(OR($N4411=TRUE(),$N4411="TRUE"),1,0))</f>
        <v/>
      </c>
      <c r="AJ4411">
        <f>IF($C4411="","",IF($T4411="Yes",1,0))</f>
        <v/>
      </c>
      <c r="AK4411">
        <f>IF($AG4411=1,IFERROR(IF(VALUE($C4411)&lt;100000000,VALUE($C4411),1000000000),IFERROR(IF(VALUE(MID($C4411,2,20))&lt;100000000,VALUE(MID($C4411,2,20)),1000000000),1000000000))+ROW()/100000,"")</f>
        <v/>
      </c>
    </row>
    <row r="4412">
      <c r="D4412" s="11" t="n"/>
      <c r="K4412" s="7">
        <f>IF($C4412="","",J4412*W4412/100)</f>
        <v/>
      </c>
      <c r="Q4412" s="7" t="n"/>
      <c r="R4412" s="7" t="n"/>
      <c r="U4412">
        <f>IF($C4412="","",IF($AJ4412=1,0,IF($AI4412=1,Settings!$C$6,Settings!$C$7))*100)</f>
        <v/>
      </c>
      <c r="V4412" s="7">
        <f>IF($C4412="","",R4412*U4412/100)</f>
        <v/>
      </c>
      <c r="W4412" s="7">
        <f>IF($C4412="","",R4412-V4412)</f>
        <v/>
      </c>
      <c r="X4412" s="7">
        <f>IF($C4412="","",W4412-K4412)</f>
        <v/>
      </c>
      <c r="AB4412" s="7" t="n"/>
      <c r="AE4412" s="11" t="n"/>
      <c r="AG4412">
        <f>IF($C4412="","",IF(COUNTIF($C$2:$C4412,$C4412)=1,1,0))</f>
        <v/>
      </c>
      <c r="AH4412">
        <f>IF($AG4412=1,SUMPRODUCT(--($AK$2:$AK$6001&lt;$AK4412))+1,"")</f>
        <v/>
      </c>
      <c r="AI4412">
        <f>IF($C4412="","",IF(OR($N4412=TRUE(),$N4412="TRUE"),1,0))</f>
        <v/>
      </c>
      <c r="AJ4412">
        <f>IF($C4412="","",IF($T4412="Yes",1,0))</f>
        <v/>
      </c>
      <c r="AK4412">
        <f>IF($AG4412=1,IFERROR(IF(VALUE($C4412)&lt;100000000,VALUE($C4412),1000000000),IFERROR(IF(VALUE(MID($C4412,2,20))&lt;100000000,VALUE(MID($C4412,2,20)),1000000000),1000000000))+ROW()/100000,"")</f>
        <v/>
      </c>
    </row>
    <row r="4413">
      <c r="D4413" s="11" t="n"/>
      <c r="K4413" s="7">
        <f>IF($C4413="","",J4413*W4413/100)</f>
        <v/>
      </c>
      <c r="Q4413" s="7" t="n"/>
      <c r="R4413" s="7" t="n"/>
      <c r="U4413">
        <f>IF($C4413="","",IF($AJ4413=1,0,IF($AI4413=1,Settings!$C$6,Settings!$C$7))*100)</f>
        <v/>
      </c>
      <c r="V4413" s="7">
        <f>IF($C4413="","",R4413*U4413/100)</f>
        <v/>
      </c>
      <c r="W4413" s="7">
        <f>IF($C4413="","",R4413-V4413)</f>
        <v/>
      </c>
      <c r="X4413" s="7">
        <f>IF($C4413="","",W4413-K4413)</f>
        <v/>
      </c>
      <c r="AB4413" s="7" t="n"/>
      <c r="AE4413" s="11" t="n"/>
      <c r="AG4413">
        <f>IF($C4413="","",IF(COUNTIF($C$2:$C4413,$C4413)=1,1,0))</f>
        <v/>
      </c>
      <c r="AH4413">
        <f>IF($AG4413=1,SUMPRODUCT(--($AK$2:$AK$6001&lt;$AK4413))+1,"")</f>
        <v/>
      </c>
      <c r="AI4413">
        <f>IF($C4413="","",IF(OR($N4413=TRUE(),$N4413="TRUE"),1,0))</f>
        <v/>
      </c>
      <c r="AJ4413">
        <f>IF($C4413="","",IF($T4413="Yes",1,0))</f>
        <v/>
      </c>
      <c r="AK4413">
        <f>IF($AG4413=1,IFERROR(IF(VALUE($C4413)&lt;100000000,VALUE($C4413),1000000000),IFERROR(IF(VALUE(MID($C4413,2,20))&lt;100000000,VALUE(MID($C4413,2,20)),1000000000),1000000000))+ROW()/100000,"")</f>
        <v/>
      </c>
    </row>
    <row r="4414">
      <c r="D4414" s="11" t="n"/>
      <c r="K4414" s="7">
        <f>IF($C4414="","",J4414*W4414/100)</f>
        <v/>
      </c>
      <c r="Q4414" s="7" t="n"/>
      <c r="R4414" s="7" t="n"/>
      <c r="U4414">
        <f>IF($C4414="","",IF($AJ4414=1,0,IF($AI4414=1,Settings!$C$6,Settings!$C$7))*100)</f>
        <v/>
      </c>
      <c r="V4414" s="7">
        <f>IF($C4414="","",R4414*U4414/100)</f>
        <v/>
      </c>
      <c r="W4414" s="7">
        <f>IF($C4414="","",R4414-V4414)</f>
        <v/>
      </c>
      <c r="X4414" s="7">
        <f>IF($C4414="","",W4414-K4414)</f>
        <v/>
      </c>
      <c r="AB4414" s="7" t="n"/>
      <c r="AE4414" s="11" t="n"/>
      <c r="AG4414">
        <f>IF($C4414="","",IF(COUNTIF($C$2:$C4414,$C4414)=1,1,0))</f>
        <v/>
      </c>
      <c r="AH4414">
        <f>IF($AG4414=1,SUMPRODUCT(--($AK$2:$AK$6001&lt;$AK4414))+1,"")</f>
        <v/>
      </c>
      <c r="AI4414">
        <f>IF($C4414="","",IF(OR($N4414=TRUE(),$N4414="TRUE"),1,0))</f>
        <v/>
      </c>
      <c r="AJ4414">
        <f>IF($C4414="","",IF($T4414="Yes",1,0))</f>
        <v/>
      </c>
      <c r="AK4414">
        <f>IF($AG4414=1,IFERROR(IF(VALUE($C4414)&lt;100000000,VALUE($C4414),1000000000),IFERROR(IF(VALUE(MID($C4414,2,20))&lt;100000000,VALUE(MID($C4414,2,20)),1000000000),1000000000))+ROW()/100000,"")</f>
        <v/>
      </c>
    </row>
    <row r="4415">
      <c r="D4415" s="11" t="n"/>
      <c r="K4415" s="7">
        <f>IF($C4415="","",J4415*W4415/100)</f>
        <v/>
      </c>
      <c r="Q4415" s="7" t="n"/>
      <c r="R4415" s="7" t="n"/>
      <c r="U4415">
        <f>IF($C4415="","",IF($AJ4415=1,0,IF($AI4415=1,Settings!$C$6,Settings!$C$7))*100)</f>
        <v/>
      </c>
      <c r="V4415" s="7">
        <f>IF($C4415="","",R4415*U4415/100)</f>
        <v/>
      </c>
      <c r="W4415" s="7">
        <f>IF($C4415="","",R4415-V4415)</f>
        <v/>
      </c>
      <c r="X4415" s="7">
        <f>IF($C4415="","",W4415-K4415)</f>
        <v/>
      </c>
      <c r="AB4415" s="7" t="n"/>
      <c r="AE4415" s="11" t="n"/>
      <c r="AG4415">
        <f>IF($C4415="","",IF(COUNTIF($C$2:$C4415,$C4415)=1,1,0))</f>
        <v/>
      </c>
      <c r="AH4415">
        <f>IF($AG4415=1,SUMPRODUCT(--($AK$2:$AK$6001&lt;$AK4415))+1,"")</f>
        <v/>
      </c>
      <c r="AI4415">
        <f>IF($C4415="","",IF(OR($N4415=TRUE(),$N4415="TRUE"),1,0))</f>
        <v/>
      </c>
      <c r="AJ4415">
        <f>IF($C4415="","",IF($T4415="Yes",1,0))</f>
        <v/>
      </c>
      <c r="AK4415">
        <f>IF($AG4415=1,IFERROR(IF(VALUE($C4415)&lt;100000000,VALUE($C4415),1000000000),IFERROR(IF(VALUE(MID($C4415,2,20))&lt;100000000,VALUE(MID($C4415,2,20)),1000000000),1000000000))+ROW()/100000,"")</f>
        <v/>
      </c>
    </row>
    <row r="4416">
      <c r="D4416" s="11" t="n"/>
      <c r="K4416" s="7">
        <f>IF($C4416="","",J4416*W4416/100)</f>
        <v/>
      </c>
      <c r="Q4416" s="7" t="n"/>
      <c r="R4416" s="7" t="n"/>
      <c r="U4416">
        <f>IF($C4416="","",IF($AJ4416=1,0,IF($AI4416=1,Settings!$C$6,Settings!$C$7))*100)</f>
        <v/>
      </c>
      <c r="V4416" s="7">
        <f>IF($C4416="","",R4416*U4416/100)</f>
        <v/>
      </c>
      <c r="W4416" s="7">
        <f>IF($C4416="","",R4416-V4416)</f>
        <v/>
      </c>
      <c r="X4416" s="7">
        <f>IF($C4416="","",W4416-K4416)</f>
        <v/>
      </c>
      <c r="AB4416" s="7" t="n"/>
      <c r="AE4416" s="11" t="n"/>
      <c r="AG4416">
        <f>IF($C4416="","",IF(COUNTIF($C$2:$C4416,$C4416)=1,1,0))</f>
        <v/>
      </c>
      <c r="AH4416">
        <f>IF($AG4416=1,SUMPRODUCT(--($AK$2:$AK$6001&lt;$AK4416))+1,"")</f>
        <v/>
      </c>
      <c r="AI4416">
        <f>IF($C4416="","",IF(OR($N4416=TRUE(),$N4416="TRUE"),1,0))</f>
        <v/>
      </c>
      <c r="AJ4416">
        <f>IF($C4416="","",IF($T4416="Yes",1,0))</f>
        <v/>
      </c>
      <c r="AK4416">
        <f>IF($AG4416=1,IFERROR(IF(VALUE($C4416)&lt;100000000,VALUE($C4416),1000000000),IFERROR(IF(VALUE(MID($C4416,2,20))&lt;100000000,VALUE(MID($C4416,2,20)),1000000000),1000000000))+ROW()/100000,"")</f>
        <v/>
      </c>
    </row>
    <row r="4417">
      <c r="D4417" s="11" t="n"/>
      <c r="K4417" s="7">
        <f>IF($C4417="","",J4417*W4417/100)</f>
        <v/>
      </c>
      <c r="Q4417" s="7" t="n"/>
      <c r="R4417" s="7" t="n"/>
      <c r="U4417">
        <f>IF($C4417="","",IF($AJ4417=1,0,IF($AI4417=1,Settings!$C$6,Settings!$C$7))*100)</f>
        <v/>
      </c>
      <c r="V4417" s="7">
        <f>IF($C4417="","",R4417*U4417/100)</f>
        <v/>
      </c>
      <c r="W4417" s="7">
        <f>IF($C4417="","",R4417-V4417)</f>
        <v/>
      </c>
      <c r="X4417" s="7">
        <f>IF($C4417="","",W4417-K4417)</f>
        <v/>
      </c>
      <c r="AB4417" s="7" t="n"/>
      <c r="AE4417" s="11" t="n"/>
      <c r="AG4417">
        <f>IF($C4417="","",IF(COUNTIF($C$2:$C4417,$C4417)=1,1,0))</f>
        <v/>
      </c>
      <c r="AH4417">
        <f>IF($AG4417=1,SUMPRODUCT(--($AK$2:$AK$6001&lt;$AK4417))+1,"")</f>
        <v/>
      </c>
      <c r="AI4417">
        <f>IF($C4417="","",IF(OR($N4417=TRUE(),$N4417="TRUE"),1,0))</f>
        <v/>
      </c>
      <c r="AJ4417">
        <f>IF($C4417="","",IF($T4417="Yes",1,0))</f>
        <v/>
      </c>
      <c r="AK4417">
        <f>IF($AG4417=1,IFERROR(IF(VALUE($C4417)&lt;100000000,VALUE($C4417),1000000000),IFERROR(IF(VALUE(MID($C4417,2,20))&lt;100000000,VALUE(MID($C4417,2,20)),1000000000),1000000000))+ROW()/100000,"")</f>
        <v/>
      </c>
    </row>
    <row r="4418">
      <c r="D4418" s="11" t="n"/>
      <c r="K4418" s="7">
        <f>IF($C4418="","",J4418*W4418/100)</f>
        <v/>
      </c>
      <c r="Q4418" s="7" t="n"/>
      <c r="R4418" s="7" t="n"/>
      <c r="U4418">
        <f>IF($C4418="","",IF($AJ4418=1,0,IF($AI4418=1,Settings!$C$6,Settings!$C$7))*100)</f>
        <v/>
      </c>
      <c r="V4418" s="7">
        <f>IF($C4418="","",R4418*U4418/100)</f>
        <v/>
      </c>
      <c r="W4418" s="7">
        <f>IF($C4418="","",R4418-V4418)</f>
        <v/>
      </c>
      <c r="X4418" s="7">
        <f>IF($C4418="","",W4418-K4418)</f>
        <v/>
      </c>
      <c r="AB4418" s="7" t="n"/>
      <c r="AE4418" s="11" t="n"/>
      <c r="AG4418">
        <f>IF($C4418="","",IF(COUNTIF($C$2:$C4418,$C4418)=1,1,0))</f>
        <v/>
      </c>
      <c r="AH4418">
        <f>IF($AG4418=1,SUMPRODUCT(--($AK$2:$AK$6001&lt;$AK4418))+1,"")</f>
        <v/>
      </c>
      <c r="AI4418">
        <f>IF($C4418="","",IF(OR($N4418=TRUE(),$N4418="TRUE"),1,0))</f>
        <v/>
      </c>
      <c r="AJ4418">
        <f>IF($C4418="","",IF($T4418="Yes",1,0))</f>
        <v/>
      </c>
      <c r="AK4418">
        <f>IF($AG4418=1,IFERROR(IF(VALUE($C4418)&lt;100000000,VALUE($C4418),1000000000),IFERROR(IF(VALUE(MID($C4418,2,20))&lt;100000000,VALUE(MID($C4418,2,20)),1000000000),1000000000))+ROW()/100000,"")</f>
        <v/>
      </c>
    </row>
    <row r="4419">
      <c r="D4419" s="11" t="n"/>
      <c r="K4419" s="7">
        <f>IF($C4419="","",J4419*W4419/100)</f>
        <v/>
      </c>
      <c r="Q4419" s="7" t="n"/>
      <c r="R4419" s="7" t="n"/>
      <c r="U4419">
        <f>IF($C4419="","",IF($AJ4419=1,0,IF($AI4419=1,Settings!$C$6,Settings!$C$7))*100)</f>
        <v/>
      </c>
      <c r="V4419" s="7">
        <f>IF($C4419="","",R4419*U4419/100)</f>
        <v/>
      </c>
      <c r="W4419" s="7">
        <f>IF($C4419="","",R4419-V4419)</f>
        <v/>
      </c>
      <c r="X4419" s="7">
        <f>IF($C4419="","",W4419-K4419)</f>
        <v/>
      </c>
      <c r="AB4419" s="7" t="n"/>
      <c r="AE4419" s="11" t="n"/>
      <c r="AG4419">
        <f>IF($C4419="","",IF(COUNTIF($C$2:$C4419,$C4419)=1,1,0))</f>
        <v/>
      </c>
      <c r="AH4419">
        <f>IF($AG4419=1,SUMPRODUCT(--($AK$2:$AK$6001&lt;$AK4419))+1,"")</f>
        <v/>
      </c>
      <c r="AI4419">
        <f>IF($C4419="","",IF(OR($N4419=TRUE(),$N4419="TRUE"),1,0))</f>
        <v/>
      </c>
      <c r="AJ4419">
        <f>IF($C4419="","",IF($T4419="Yes",1,0))</f>
        <v/>
      </c>
      <c r="AK4419">
        <f>IF($AG4419=1,IFERROR(IF(VALUE($C4419)&lt;100000000,VALUE($C4419),1000000000),IFERROR(IF(VALUE(MID($C4419,2,20))&lt;100000000,VALUE(MID($C4419,2,20)),1000000000),1000000000))+ROW()/100000,"")</f>
        <v/>
      </c>
    </row>
    <row r="4420">
      <c r="D4420" s="11" t="n"/>
      <c r="K4420" s="7">
        <f>IF($C4420="","",J4420*W4420/100)</f>
        <v/>
      </c>
      <c r="Q4420" s="7" t="n"/>
      <c r="R4420" s="7" t="n"/>
      <c r="U4420">
        <f>IF($C4420="","",IF($AJ4420=1,0,IF($AI4420=1,Settings!$C$6,Settings!$C$7))*100)</f>
        <v/>
      </c>
      <c r="V4420" s="7">
        <f>IF($C4420="","",R4420*U4420/100)</f>
        <v/>
      </c>
      <c r="W4420" s="7">
        <f>IF($C4420="","",R4420-V4420)</f>
        <v/>
      </c>
      <c r="X4420" s="7">
        <f>IF($C4420="","",W4420-K4420)</f>
        <v/>
      </c>
      <c r="AB4420" s="7" t="n"/>
      <c r="AE4420" s="11" t="n"/>
      <c r="AG4420">
        <f>IF($C4420="","",IF(COUNTIF($C$2:$C4420,$C4420)=1,1,0))</f>
        <v/>
      </c>
      <c r="AH4420">
        <f>IF($AG4420=1,SUMPRODUCT(--($AK$2:$AK$6001&lt;$AK4420))+1,"")</f>
        <v/>
      </c>
      <c r="AI4420">
        <f>IF($C4420="","",IF(OR($N4420=TRUE(),$N4420="TRUE"),1,0))</f>
        <v/>
      </c>
      <c r="AJ4420">
        <f>IF($C4420="","",IF($T4420="Yes",1,0))</f>
        <v/>
      </c>
      <c r="AK4420">
        <f>IF($AG4420=1,IFERROR(IF(VALUE($C4420)&lt;100000000,VALUE($C4420),1000000000),IFERROR(IF(VALUE(MID($C4420,2,20))&lt;100000000,VALUE(MID($C4420,2,20)),1000000000),1000000000))+ROW()/100000,"")</f>
        <v/>
      </c>
    </row>
    <row r="4421">
      <c r="D4421" s="11" t="n"/>
      <c r="K4421" s="7">
        <f>IF($C4421="","",J4421*W4421/100)</f>
        <v/>
      </c>
      <c r="Q4421" s="7" t="n"/>
      <c r="R4421" s="7" t="n"/>
      <c r="U4421">
        <f>IF($C4421="","",IF($AJ4421=1,0,IF($AI4421=1,Settings!$C$6,Settings!$C$7))*100)</f>
        <v/>
      </c>
      <c r="V4421" s="7">
        <f>IF($C4421="","",R4421*U4421/100)</f>
        <v/>
      </c>
      <c r="W4421" s="7">
        <f>IF($C4421="","",R4421-V4421)</f>
        <v/>
      </c>
      <c r="X4421" s="7">
        <f>IF($C4421="","",W4421-K4421)</f>
        <v/>
      </c>
      <c r="AB4421" s="7" t="n"/>
      <c r="AE4421" s="11" t="n"/>
      <c r="AG4421">
        <f>IF($C4421="","",IF(COUNTIF($C$2:$C4421,$C4421)=1,1,0))</f>
        <v/>
      </c>
      <c r="AH4421">
        <f>IF($AG4421=1,SUMPRODUCT(--($AK$2:$AK$6001&lt;$AK4421))+1,"")</f>
        <v/>
      </c>
      <c r="AI4421">
        <f>IF($C4421="","",IF(OR($N4421=TRUE(),$N4421="TRUE"),1,0))</f>
        <v/>
      </c>
      <c r="AJ4421">
        <f>IF($C4421="","",IF($T4421="Yes",1,0))</f>
        <v/>
      </c>
      <c r="AK4421">
        <f>IF($AG4421=1,IFERROR(IF(VALUE($C4421)&lt;100000000,VALUE($C4421),1000000000),IFERROR(IF(VALUE(MID($C4421,2,20))&lt;100000000,VALUE(MID($C4421,2,20)),1000000000),1000000000))+ROW()/100000,"")</f>
        <v/>
      </c>
    </row>
    <row r="4422">
      <c r="D4422" s="11" t="n"/>
      <c r="K4422" s="7">
        <f>IF($C4422="","",J4422*W4422/100)</f>
        <v/>
      </c>
      <c r="Q4422" s="7" t="n"/>
      <c r="R4422" s="7" t="n"/>
      <c r="U4422">
        <f>IF($C4422="","",IF($AJ4422=1,0,IF($AI4422=1,Settings!$C$6,Settings!$C$7))*100)</f>
        <v/>
      </c>
      <c r="V4422" s="7">
        <f>IF($C4422="","",R4422*U4422/100)</f>
        <v/>
      </c>
      <c r="W4422" s="7">
        <f>IF($C4422="","",R4422-V4422)</f>
        <v/>
      </c>
      <c r="X4422" s="7">
        <f>IF($C4422="","",W4422-K4422)</f>
        <v/>
      </c>
      <c r="AB4422" s="7" t="n"/>
      <c r="AE4422" s="11" t="n"/>
      <c r="AG4422">
        <f>IF($C4422="","",IF(COUNTIF($C$2:$C4422,$C4422)=1,1,0))</f>
        <v/>
      </c>
      <c r="AH4422">
        <f>IF($AG4422=1,SUMPRODUCT(--($AK$2:$AK$6001&lt;$AK4422))+1,"")</f>
        <v/>
      </c>
      <c r="AI4422">
        <f>IF($C4422="","",IF(OR($N4422=TRUE(),$N4422="TRUE"),1,0))</f>
        <v/>
      </c>
      <c r="AJ4422">
        <f>IF($C4422="","",IF($T4422="Yes",1,0))</f>
        <v/>
      </c>
      <c r="AK4422">
        <f>IF($AG4422=1,IFERROR(IF(VALUE($C4422)&lt;100000000,VALUE($C4422),1000000000),IFERROR(IF(VALUE(MID($C4422,2,20))&lt;100000000,VALUE(MID($C4422,2,20)),1000000000),1000000000))+ROW()/100000,"")</f>
        <v/>
      </c>
    </row>
    <row r="4423">
      <c r="D4423" s="11" t="n"/>
      <c r="K4423" s="7">
        <f>IF($C4423="","",J4423*W4423/100)</f>
        <v/>
      </c>
      <c r="Q4423" s="7" t="n"/>
      <c r="R4423" s="7" t="n"/>
      <c r="U4423">
        <f>IF($C4423="","",IF($AJ4423=1,0,IF($AI4423=1,Settings!$C$6,Settings!$C$7))*100)</f>
        <v/>
      </c>
      <c r="V4423" s="7">
        <f>IF($C4423="","",R4423*U4423/100)</f>
        <v/>
      </c>
      <c r="W4423" s="7">
        <f>IF($C4423="","",R4423-V4423)</f>
        <v/>
      </c>
      <c r="X4423" s="7">
        <f>IF($C4423="","",W4423-K4423)</f>
        <v/>
      </c>
      <c r="AB4423" s="7" t="n"/>
      <c r="AE4423" s="11" t="n"/>
      <c r="AG4423">
        <f>IF($C4423="","",IF(COUNTIF($C$2:$C4423,$C4423)=1,1,0))</f>
        <v/>
      </c>
      <c r="AH4423">
        <f>IF($AG4423=1,SUMPRODUCT(--($AK$2:$AK$6001&lt;$AK4423))+1,"")</f>
        <v/>
      </c>
      <c r="AI4423">
        <f>IF($C4423="","",IF(OR($N4423=TRUE(),$N4423="TRUE"),1,0))</f>
        <v/>
      </c>
      <c r="AJ4423">
        <f>IF($C4423="","",IF($T4423="Yes",1,0))</f>
        <v/>
      </c>
      <c r="AK4423">
        <f>IF($AG4423=1,IFERROR(IF(VALUE($C4423)&lt;100000000,VALUE($C4423),1000000000),IFERROR(IF(VALUE(MID($C4423,2,20))&lt;100000000,VALUE(MID($C4423,2,20)),1000000000),1000000000))+ROW()/100000,"")</f>
        <v/>
      </c>
    </row>
    <row r="4424">
      <c r="D4424" s="11" t="n"/>
      <c r="K4424" s="7">
        <f>IF($C4424="","",J4424*W4424/100)</f>
        <v/>
      </c>
      <c r="Q4424" s="7" t="n"/>
      <c r="R4424" s="7" t="n"/>
      <c r="U4424">
        <f>IF($C4424="","",IF($AJ4424=1,0,IF($AI4424=1,Settings!$C$6,Settings!$C$7))*100)</f>
        <v/>
      </c>
      <c r="V4424" s="7">
        <f>IF($C4424="","",R4424*U4424/100)</f>
        <v/>
      </c>
      <c r="W4424" s="7">
        <f>IF($C4424="","",R4424-V4424)</f>
        <v/>
      </c>
      <c r="X4424" s="7">
        <f>IF($C4424="","",W4424-K4424)</f>
        <v/>
      </c>
      <c r="AB4424" s="7" t="n"/>
      <c r="AE4424" s="11" t="n"/>
      <c r="AG4424">
        <f>IF($C4424="","",IF(COUNTIF($C$2:$C4424,$C4424)=1,1,0))</f>
        <v/>
      </c>
      <c r="AH4424">
        <f>IF($AG4424=1,SUMPRODUCT(--($AK$2:$AK$6001&lt;$AK4424))+1,"")</f>
        <v/>
      </c>
      <c r="AI4424">
        <f>IF($C4424="","",IF(OR($N4424=TRUE(),$N4424="TRUE"),1,0))</f>
        <v/>
      </c>
      <c r="AJ4424">
        <f>IF($C4424="","",IF($T4424="Yes",1,0))</f>
        <v/>
      </c>
      <c r="AK4424">
        <f>IF($AG4424=1,IFERROR(IF(VALUE($C4424)&lt;100000000,VALUE($C4424),1000000000),IFERROR(IF(VALUE(MID($C4424,2,20))&lt;100000000,VALUE(MID($C4424,2,20)),1000000000),1000000000))+ROW()/100000,"")</f>
        <v/>
      </c>
    </row>
    <row r="4425">
      <c r="D4425" s="11" t="n"/>
      <c r="K4425" s="7">
        <f>IF($C4425="","",J4425*W4425/100)</f>
        <v/>
      </c>
      <c r="Q4425" s="7" t="n"/>
      <c r="R4425" s="7" t="n"/>
      <c r="U4425">
        <f>IF($C4425="","",IF($AJ4425=1,0,IF($AI4425=1,Settings!$C$6,Settings!$C$7))*100)</f>
        <v/>
      </c>
      <c r="V4425" s="7">
        <f>IF($C4425="","",R4425*U4425/100)</f>
        <v/>
      </c>
      <c r="W4425" s="7">
        <f>IF($C4425="","",R4425-V4425)</f>
        <v/>
      </c>
      <c r="X4425" s="7">
        <f>IF($C4425="","",W4425-K4425)</f>
        <v/>
      </c>
      <c r="AB4425" s="7" t="n"/>
      <c r="AE4425" s="11" t="n"/>
      <c r="AG4425">
        <f>IF($C4425="","",IF(COUNTIF($C$2:$C4425,$C4425)=1,1,0))</f>
        <v/>
      </c>
      <c r="AH4425">
        <f>IF($AG4425=1,SUMPRODUCT(--($AK$2:$AK$6001&lt;$AK4425))+1,"")</f>
        <v/>
      </c>
      <c r="AI4425">
        <f>IF($C4425="","",IF(OR($N4425=TRUE(),$N4425="TRUE"),1,0))</f>
        <v/>
      </c>
      <c r="AJ4425">
        <f>IF($C4425="","",IF($T4425="Yes",1,0))</f>
        <v/>
      </c>
      <c r="AK4425">
        <f>IF($AG4425=1,IFERROR(IF(VALUE($C4425)&lt;100000000,VALUE($C4425),1000000000),IFERROR(IF(VALUE(MID($C4425,2,20))&lt;100000000,VALUE(MID($C4425,2,20)),1000000000),1000000000))+ROW()/100000,"")</f>
        <v/>
      </c>
    </row>
    <row r="4426">
      <c r="D4426" s="11" t="n"/>
      <c r="K4426" s="7">
        <f>IF($C4426="","",J4426*W4426/100)</f>
        <v/>
      </c>
      <c r="Q4426" s="7" t="n"/>
      <c r="R4426" s="7" t="n"/>
      <c r="U4426">
        <f>IF($C4426="","",IF($AJ4426=1,0,IF($AI4426=1,Settings!$C$6,Settings!$C$7))*100)</f>
        <v/>
      </c>
      <c r="V4426" s="7">
        <f>IF($C4426="","",R4426*U4426/100)</f>
        <v/>
      </c>
      <c r="W4426" s="7">
        <f>IF($C4426="","",R4426-V4426)</f>
        <v/>
      </c>
      <c r="X4426" s="7">
        <f>IF($C4426="","",W4426-K4426)</f>
        <v/>
      </c>
      <c r="AB4426" s="7" t="n"/>
      <c r="AE4426" s="11" t="n"/>
      <c r="AG4426">
        <f>IF($C4426="","",IF(COUNTIF($C$2:$C4426,$C4426)=1,1,0))</f>
        <v/>
      </c>
      <c r="AH4426">
        <f>IF($AG4426=1,SUMPRODUCT(--($AK$2:$AK$6001&lt;$AK4426))+1,"")</f>
        <v/>
      </c>
      <c r="AI4426">
        <f>IF($C4426="","",IF(OR($N4426=TRUE(),$N4426="TRUE"),1,0))</f>
        <v/>
      </c>
      <c r="AJ4426">
        <f>IF($C4426="","",IF($T4426="Yes",1,0))</f>
        <v/>
      </c>
      <c r="AK4426">
        <f>IF($AG4426=1,IFERROR(IF(VALUE($C4426)&lt;100000000,VALUE($C4426),1000000000),IFERROR(IF(VALUE(MID($C4426,2,20))&lt;100000000,VALUE(MID($C4426,2,20)),1000000000),1000000000))+ROW()/100000,"")</f>
        <v/>
      </c>
    </row>
    <row r="4427">
      <c r="D4427" s="11" t="n"/>
      <c r="K4427" s="7">
        <f>IF($C4427="","",J4427*W4427/100)</f>
        <v/>
      </c>
      <c r="Q4427" s="7" t="n"/>
      <c r="R4427" s="7" t="n"/>
      <c r="U4427">
        <f>IF($C4427="","",IF($AJ4427=1,0,IF($AI4427=1,Settings!$C$6,Settings!$C$7))*100)</f>
        <v/>
      </c>
      <c r="V4427" s="7">
        <f>IF($C4427="","",R4427*U4427/100)</f>
        <v/>
      </c>
      <c r="W4427" s="7">
        <f>IF($C4427="","",R4427-V4427)</f>
        <v/>
      </c>
      <c r="X4427" s="7">
        <f>IF($C4427="","",W4427-K4427)</f>
        <v/>
      </c>
      <c r="AB4427" s="7" t="n"/>
      <c r="AE4427" s="11" t="n"/>
      <c r="AG4427">
        <f>IF($C4427="","",IF(COUNTIF($C$2:$C4427,$C4427)=1,1,0))</f>
        <v/>
      </c>
      <c r="AH4427">
        <f>IF($AG4427=1,SUMPRODUCT(--($AK$2:$AK$6001&lt;$AK4427))+1,"")</f>
        <v/>
      </c>
      <c r="AI4427">
        <f>IF($C4427="","",IF(OR($N4427=TRUE(),$N4427="TRUE"),1,0))</f>
        <v/>
      </c>
      <c r="AJ4427">
        <f>IF($C4427="","",IF($T4427="Yes",1,0))</f>
        <v/>
      </c>
      <c r="AK4427">
        <f>IF($AG4427=1,IFERROR(IF(VALUE($C4427)&lt;100000000,VALUE($C4427),1000000000),IFERROR(IF(VALUE(MID($C4427,2,20))&lt;100000000,VALUE(MID($C4427,2,20)),1000000000),1000000000))+ROW()/100000,"")</f>
        <v/>
      </c>
    </row>
    <row r="4428">
      <c r="D4428" s="11" t="n"/>
      <c r="K4428" s="7">
        <f>IF($C4428="","",J4428*W4428/100)</f>
        <v/>
      </c>
      <c r="Q4428" s="7" t="n"/>
      <c r="R4428" s="7" t="n"/>
      <c r="U4428">
        <f>IF($C4428="","",IF($AJ4428=1,0,IF($AI4428=1,Settings!$C$6,Settings!$C$7))*100)</f>
        <v/>
      </c>
      <c r="V4428" s="7">
        <f>IF($C4428="","",R4428*U4428/100)</f>
        <v/>
      </c>
      <c r="W4428" s="7">
        <f>IF($C4428="","",R4428-V4428)</f>
        <v/>
      </c>
      <c r="X4428" s="7">
        <f>IF($C4428="","",W4428-K4428)</f>
        <v/>
      </c>
      <c r="AB4428" s="7" t="n"/>
      <c r="AE4428" s="11" t="n"/>
      <c r="AG4428">
        <f>IF($C4428="","",IF(COUNTIF($C$2:$C4428,$C4428)=1,1,0))</f>
        <v/>
      </c>
      <c r="AH4428">
        <f>IF($AG4428=1,SUMPRODUCT(--($AK$2:$AK$6001&lt;$AK4428))+1,"")</f>
        <v/>
      </c>
      <c r="AI4428">
        <f>IF($C4428="","",IF(OR($N4428=TRUE(),$N4428="TRUE"),1,0))</f>
        <v/>
      </c>
      <c r="AJ4428">
        <f>IF($C4428="","",IF($T4428="Yes",1,0))</f>
        <v/>
      </c>
      <c r="AK4428">
        <f>IF($AG4428=1,IFERROR(IF(VALUE($C4428)&lt;100000000,VALUE($C4428),1000000000),IFERROR(IF(VALUE(MID($C4428,2,20))&lt;100000000,VALUE(MID($C4428,2,20)),1000000000),1000000000))+ROW()/100000,"")</f>
        <v/>
      </c>
    </row>
    <row r="4429">
      <c r="D4429" s="11" t="n"/>
      <c r="K4429" s="7">
        <f>IF($C4429="","",J4429*W4429/100)</f>
        <v/>
      </c>
      <c r="Q4429" s="7" t="n"/>
      <c r="R4429" s="7" t="n"/>
      <c r="U4429">
        <f>IF($C4429="","",IF($AJ4429=1,0,IF($AI4429=1,Settings!$C$6,Settings!$C$7))*100)</f>
        <v/>
      </c>
      <c r="V4429" s="7">
        <f>IF($C4429="","",R4429*U4429/100)</f>
        <v/>
      </c>
      <c r="W4429" s="7">
        <f>IF($C4429="","",R4429-V4429)</f>
        <v/>
      </c>
      <c r="X4429" s="7">
        <f>IF($C4429="","",W4429-K4429)</f>
        <v/>
      </c>
      <c r="AB4429" s="7" t="n"/>
      <c r="AE4429" s="11" t="n"/>
      <c r="AG4429">
        <f>IF($C4429="","",IF(COUNTIF($C$2:$C4429,$C4429)=1,1,0))</f>
        <v/>
      </c>
      <c r="AH4429">
        <f>IF($AG4429=1,SUMPRODUCT(--($AK$2:$AK$6001&lt;$AK4429))+1,"")</f>
        <v/>
      </c>
      <c r="AI4429">
        <f>IF($C4429="","",IF(OR($N4429=TRUE(),$N4429="TRUE"),1,0))</f>
        <v/>
      </c>
      <c r="AJ4429">
        <f>IF($C4429="","",IF($T4429="Yes",1,0))</f>
        <v/>
      </c>
      <c r="AK4429">
        <f>IF($AG4429=1,IFERROR(IF(VALUE($C4429)&lt;100000000,VALUE($C4429),1000000000),IFERROR(IF(VALUE(MID($C4429,2,20))&lt;100000000,VALUE(MID($C4429,2,20)),1000000000),1000000000))+ROW()/100000,"")</f>
        <v/>
      </c>
    </row>
    <row r="4430">
      <c r="D4430" s="11" t="n"/>
      <c r="K4430" s="7">
        <f>IF($C4430="","",J4430*W4430/100)</f>
        <v/>
      </c>
      <c r="Q4430" s="7" t="n"/>
      <c r="R4430" s="7" t="n"/>
      <c r="U4430">
        <f>IF($C4430="","",IF($AJ4430=1,0,IF($AI4430=1,Settings!$C$6,Settings!$C$7))*100)</f>
        <v/>
      </c>
      <c r="V4430" s="7">
        <f>IF($C4430="","",R4430*U4430/100)</f>
        <v/>
      </c>
      <c r="W4430" s="7">
        <f>IF($C4430="","",R4430-V4430)</f>
        <v/>
      </c>
      <c r="X4430" s="7">
        <f>IF($C4430="","",W4430-K4430)</f>
        <v/>
      </c>
      <c r="AB4430" s="7" t="n"/>
      <c r="AE4430" s="11" t="n"/>
      <c r="AG4430">
        <f>IF($C4430="","",IF(COUNTIF($C$2:$C4430,$C4430)=1,1,0))</f>
        <v/>
      </c>
      <c r="AH4430">
        <f>IF($AG4430=1,SUMPRODUCT(--($AK$2:$AK$6001&lt;$AK4430))+1,"")</f>
        <v/>
      </c>
      <c r="AI4430">
        <f>IF($C4430="","",IF(OR($N4430=TRUE(),$N4430="TRUE"),1,0))</f>
        <v/>
      </c>
      <c r="AJ4430">
        <f>IF($C4430="","",IF($T4430="Yes",1,0))</f>
        <v/>
      </c>
      <c r="AK4430">
        <f>IF($AG4430=1,IFERROR(IF(VALUE($C4430)&lt;100000000,VALUE($C4430),1000000000),IFERROR(IF(VALUE(MID($C4430,2,20))&lt;100000000,VALUE(MID($C4430,2,20)),1000000000),1000000000))+ROW()/100000,"")</f>
        <v/>
      </c>
    </row>
    <row r="4431">
      <c r="D4431" s="11" t="n"/>
      <c r="K4431" s="7">
        <f>IF($C4431="","",J4431*W4431/100)</f>
        <v/>
      </c>
      <c r="Q4431" s="7" t="n"/>
      <c r="R4431" s="7" t="n"/>
      <c r="U4431">
        <f>IF($C4431="","",IF($AJ4431=1,0,IF($AI4431=1,Settings!$C$6,Settings!$C$7))*100)</f>
        <v/>
      </c>
      <c r="V4431" s="7">
        <f>IF($C4431="","",R4431*U4431/100)</f>
        <v/>
      </c>
      <c r="W4431" s="7">
        <f>IF($C4431="","",R4431-V4431)</f>
        <v/>
      </c>
      <c r="X4431" s="7">
        <f>IF($C4431="","",W4431-K4431)</f>
        <v/>
      </c>
      <c r="AB4431" s="7" t="n"/>
      <c r="AE4431" s="11" t="n"/>
      <c r="AG4431">
        <f>IF($C4431="","",IF(COUNTIF($C$2:$C4431,$C4431)=1,1,0))</f>
        <v/>
      </c>
      <c r="AH4431">
        <f>IF($AG4431=1,SUMPRODUCT(--($AK$2:$AK$6001&lt;$AK4431))+1,"")</f>
        <v/>
      </c>
      <c r="AI4431">
        <f>IF($C4431="","",IF(OR($N4431=TRUE(),$N4431="TRUE"),1,0))</f>
        <v/>
      </c>
      <c r="AJ4431">
        <f>IF($C4431="","",IF($T4431="Yes",1,0))</f>
        <v/>
      </c>
      <c r="AK4431">
        <f>IF($AG4431=1,IFERROR(IF(VALUE($C4431)&lt;100000000,VALUE($C4431),1000000000),IFERROR(IF(VALUE(MID($C4431,2,20))&lt;100000000,VALUE(MID($C4431,2,20)),1000000000),1000000000))+ROW()/100000,"")</f>
        <v/>
      </c>
    </row>
    <row r="4432">
      <c r="D4432" s="11" t="n"/>
      <c r="K4432" s="7">
        <f>IF($C4432="","",J4432*W4432/100)</f>
        <v/>
      </c>
      <c r="Q4432" s="7" t="n"/>
      <c r="R4432" s="7" t="n"/>
      <c r="U4432">
        <f>IF($C4432="","",IF($AJ4432=1,0,IF($AI4432=1,Settings!$C$6,Settings!$C$7))*100)</f>
        <v/>
      </c>
      <c r="V4432" s="7">
        <f>IF($C4432="","",R4432*U4432/100)</f>
        <v/>
      </c>
      <c r="W4432" s="7">
        <f>IF($C4432="","",R4432-V4432)</f>
        <v/>
      </c>
      <c r="X4432" s="7">
        <f>IF($C4432="","",W4432-K4432)</f>
        <v/>
      </c>
      <c r="AB4432" s="7" t="n"/>
      <c r="AE4432" s="11" t="n"/>
      <c r="AG4432">
        <f>IF($C4432="","",IF(COUNTIF($C$2:$C4432,$C4432)=1,1,0))</f>
        <v/>
      </c>
      <c r="AH4432">
        <f>IF($AG4432=1,SUMPRODUCT(--($AK$2:$AK$6001&lt;$AK4432))+1,"")</f>
        <v/>
      </c>
      <c r="AI4432">
        <f>IF($C4432="","",IF(OR($N4432=TRUE(),$N4432="TRUE"),1,0))</f>
        <v/>
      </c>
      <c r="AJ4432">
        <f>IF($C4432="","",IF($T4432="Yes",1,0))</f>
        <v/>
      </c>
      <c r="AK4432">
        <f>IF($AG4432=1,IFERROR(IF(VALUE($C4432)&lt;100000000,VALUE($C4432),1000000000),IFERROR(IF(VALUE(MID($C4432,2,20))&lt;100000000,VALUE(MID($C4432,2,20)),1000000000),1000000000))+ROW()/100000,"")</f>
        <v/>
      </c>
    </row>
    <row r="4433">
      <c r="D4433" s="11" t="n"/>
      <c r="K4433" s="7">
        <f>IF($C4433="","",J4433*W4433/100)</f>
        <v/>
      </c>
      <c r="Q4433" s="7" t="n"/>
      <c r="R4433" s="7" t="n"/>
      <c r="U4433">
        <f>IF($C4433="","",IF($AJ4433=1,0,IF($AI4433=1,Settings!$C$6,Settings!$C$7))*100)</f>
        <v/>
      </c>
      <c r="V4433" s="7">
        <f>IF($C4433="","",R4433*U4433/100)</f>
        <v/>
      </c>
      <c r="W4433" s="7">
        <f>IF($C4433="","",R4433-V4433)</f>
        <v/>
      </c>
      <c r="X4433" s="7">
        <f>IF($C4433="","",W4433-K4433)</f>
        <v/>
      </c>
      <c r="AB4433" s="7" t="n"/>
      <c r="AE4433" s="11" t="n"/>
      <c r="AG4433">
        <f>IF($C4433="","",IF(COUNTIF($C$2:$C4433,$C4433)=1,1,0))</f>
        <v/>
      </c>
      <c r="AH4433">
        <f>IF($AG4433=1,SUMPRODUCT(--($AK$2:$AK$6001&lt;$AK4433))+1,"")</f>
        <v/>
      </c>
      <c r="AI4433">
        <f>IF($C4433="","",IF(OR($N4433=TRUE(),$N4433="TRUE"),1,0))</f>
        <v/>
      </c>
      <c r="AJ4433">
        <f>IF($C4433="","",IF($T4433="Yes",1,0))</f>
        <v/>
      </c>
      <c r="AK4433">
        <f>IF($AG4433=1,IFERROR(IF(VALUE($C4433)&lt;100000000,VALUE($C4433),1000000000),IFERROR(IF(VALUE(MID($C4433,2,20))&lt;100000000,VALUE(MID($C4433,2,20)),1000000000),1000000000))+ROW()/100000,"")</f>
        <v/>
      </c>
    </row>
    <row r="4434">
      <c r="D4434" s="11" t="n"/>
      <c r="K4434" s="7">
        <f>IF($C4434="","",J4434*W4434/100)</f>
        <v/>
      </c>
      <c r="Q4434" s="7" t="n"/>
      <c r="R4434" s="7" t="n"/>
      <c r="U4434">
        <f>IF($C4434="","",IF($AJ4434=1,0,IF($AI4434=1,Settings!$C$6,Settings!$C$7))*100)</f>
        <v/>
      </c>
      <c r="V4434" s="7">
        <f>IF($C4434="","",R4434*U4434/100)</f>
        <v/>
      </c>
      <c r="W4434" s="7">
        <f>IF($C4434="","",R4434-V4434)</f>
        <v/>
      </c>
      <c r="X4434" s="7">
        <f>IF($C4434="","",W4434-K4434)</f>
        <v/>
      </c>
      <c r="AB4434" s="7" t="n"/>
      <c r="AE4434" s="11" t="n"/>
      <c r="AG4434">
        <f>IF($C4434="","",IF(COUNTIF($C$2:$C4434,$C4434)=1,1,0))</f>
        <v/>
      </c>
      <c r="AH4434">
        <f>IF($AG4434=1,SUMPRODUCT(--($AK$2:$AK$6001&lt;$AK4434))+1,"")</f>
        <v/>
      </c>
      <c r="AI4434">
        <f>IF($C4434="","",IF(OR($N4434=TRUE(),$N4434="TRUE"),1,0))</f>
        <v/>
      </c>
      <c r="AJ4434">
        <f>IF($C4434="","",IF($T4434="Yes",1,0))</f>
        <v/>
      </c>
      <c r="AK4434">
        <f>IF($AG4434=1,IFERROR(IF(VALUE($C4434)&lt;100000000,VALUE($C4434),1000000000),IFERROR(IF(VALUE(MID($C4434,2,20))&lt;100000000,VALUE(MID($C4434,2,20)),1000000000),1000000000))+ROW()/100000,"")</f>
        <v/>
      </c>
    </row>
    <row r="4435">
      <c r="D4435" s="11" t="n"/>
      <c r="K4435" s="7">
        <f>IF($C4435="","",J4435*W4435/100)</f>
        <v/>
      </c>
      <c r="Q4435" s="7" t="n"/>
      <c r="R4435" s="7" t="n"/>
      <c r="U4435">
        <f>IF($C4435="","",IF($AJ4435=1,0,IF($AI4435=1,Settings!$C$6,Settings!$C$7))*100)</f>
        <v/>
      </c>
      <c r="V4435" s="7">
        <f>IF($C4435="","",R4435*U4435/100)</f>
        <v/>
      </c>
      <c r="W4435" s="7">
        <f>IF($C4435="","",R4435-V4435)</f>
        <v/>
      </c>
      <c r="X4435" s="7">
        <f>IF($C4435="","",W4435-K4435)</f>
        <v/>
      </c>
      <c r="AB4435" s="7" t="n"/>
      <c r="AE4435" s="11" t="n"/>
      <c r="AG4435">
        <f>IF($C4435="","",IF(COUNTIF($C$2:$C4435,$C4435)=1,1,0))</f>
        <v/>
      </c>
      <c r="AH4435">
        <f>IF($AG4435=1,SUMPRODUCT(--($AK$2:$AK$6001&lt;$AK4435))+1,"")</f>
        <v/>
      </c>
      <c r="AI4435">
        <f>IF($C4435="","",IF(OR($N4435=TRUE(),$N4435="TRUE"),1,0))</f>
        <v/>
      </c>
      <c r="AJ4435">
        <f>IF($C4435="","",IF($T4435="Yes",1,0))</f>
        <v/>
      </c>
      <c r="AK4435">
        <f>IF($AG4435=1,IFERROR(IF(VALUE($C4435)&lt;100000000,VALUE($C4435),1000000000),IFERROR(IF(VALUE(MID($C4435,2,20))&lt;100000000,VALUE(MID($C4435,2,20)),1000000000),1000000000))+ROW()/100000,"")</f>
        <v/>
      </c>
    </row>
    <row r="4436">
      <c r="D4436" s="11" t="n"/>
      <c r="K4436" s="7">
        <f>IF($C4436="","",J4436*W4436/100)</f>
        <v/>
      </c>
      <c r="Q4436" s="7" t="n"/>
      <c r="R4436" s="7" t="n"/>
      <c r="U4436">
        <f>IF($C4436="","",IF($AJ4436=1,0,IF($AI4436=1,Settings!$C$6,Settings!$C$7))*100)</f>
        <v/>
      </c>
      <c r="V4436" s="7">
        <f>IF($C4436="","",R4436*U4436/100)</f>
        <v/>
      </c>
      <c r="W4436" s="7">
        <f>IF($C4436="","",R4436-V4436)</f>
        <v/>
      </c>
      <c r="X4436" s="7">
        <f>IF($C4436="","",W4436-K4436)</f>
        <v/>
      </c>
      <c r="AB4436" s="7" t="n"/>
      <c r="AE4436" s="11" t="n"/>
      <c r="AG4436">
        <f>IF($C4436="","",IF(COUNTIF($C$2:$C4436,$C4436)=1,1,0))</f>
        <v/>
      </c>
      <c r="AH4436">
        <f>IF($AG4436=1,SUMPRODUCT(--($AK$2:$AK$6001&lt;$AK4436))+1,"")</f>
        <v/>
      </c>
      <c r="AI4436">
        <f>IF($C4436="","",IF(OR($N4436=TRUE(),$N4436="TRUE"),1,0))</f>
        <v/>
      </c>
      <c r="AJ4436">
        <f>IF($C4436="","",IF($T4436="Yes",1,0))</f>
        <v/>
      </c>
      <c r="AK4436">
        <f>IF($AG4436=1,IFERROR(IF(VALUE($C4436)&lt;100000000,VALUE($C4436),1000000000),IFERROR(IF(VALUE(MID($C4436,2,20))&lt;100000000,VALUE(MID($C4436,2,20)),1000000000),1000000000))+ROW()/100000,"")</f>
        <v/>
      </c>
    </row>
    <row r="4437">
      <c r="D4437" s="11" t="n"/>
      <c r="K4437" s="7">
        <f>IF($C4437="","",J4437*W4437/100)</f>
        <v/>
      </c>
      <c r="Q4437" s="7" t="n"/>
      <c r="R4437" s="7" t="n"/>
      <c r="U4437">
        <f>IF($C4437="","",IF($AJ4437=1,0,IF($AI4437=1,Settings!$C$6,Settings!$C$7))*100)</f>
        <v/>
      </c>
      <c r="V4437" s="7">
        <f>IF($C4437="","",R4437*U4437/100)</f>
        <v/>
      </c>
      <c r="W4437" s="7">
        <f>IF($C4437="","",R4437-V4437)</f>
        <v/>
      </c>
      <c r="X4437" s="7">
        <f>IF($C4437="","",W4437-K4437)</f>
        <v/>
      </c>
      <c r="AB4437" s="7" t="n"/>
      <c r="AE4437" s="11" t="n"/>
      <c r="AG4437">
        <f>IF($C4437="","",IF(COUNTIF($C$2:$C4437,$C4437)=1,1,0))</f>
        <v/>
      </c>
      <c r="AH4437">
        <f>IF($AG4437=1,SUMPRODUCT(--($AK$2:$AK$6001&lt;$AK4437))+1,"")</f>
        <v/>
      </c>
      <c r="AI4437">
        <f>IF($C4437="","",IF(OR($N4437=TRUE(),$N4437="TRUE"),1,0))</f>
        <v/>
      </c>
      <c r="AJ4437">
        <f>IF($C4437="","",IF($T4437="Yes",1,0))</f>
        <v/>
      </c>
      <c r="AK4437">
        <f>IF($AG4437=1,IFERROR(IF(VALUE($C4437)&lt;100000000,VALUE($C4437),1000000000),IFERROR(IF(VALUE(MID($C4437,2,20))&lt;100000000,VALUE(MID($C4437,2,20)),1000000000),1000000000))+ROW()/100000,"")</f>
        <v/>
      </c>
    </row>
    <row r="4438">
      <c r="D4438" s="11" t="n"/>
      <c r="K4438" s="7">
        <f>IF($C4438="","",J4438*W4438/100)</f>
        <v/>
      </c>
      <c r="Q4438" s="7" t="n"/>
      <c r="R4438" s="7" t="n"/>
      <c r="U4438">
        <f>IF($C4438="","",IF($AJ4438=1,0,IF($AI4438=1,Settings!$C$6,Settings!$C$7))*100)</f>
        <v/>
      </c>
      <c r="V4438" s="7">
        <f>IF($C4438="","",R4438*U4438/100)</f>
        <v/>
      </c>
      <c r="W4438" s="7">
        <f>IF($C4438="","",R4438-V4438)</f>
        <v/>
      </c>
      <c r="X4438" s="7">
        <f>IF($C4438="","",W4438-K4438)</f>
        <v/>
      </c>
      <c r="AB4438" s="7" t="n"/>
      <c r="AE4438" s="11" t="n"/>
      <c r="AG4438">
        <f>IF($C4438="","",IF(COUNTIF($C$2:$C4438,$C4438)=1,1,0))</f>
        <v/>
      </c>
      <c r="AH4438">
        <f>IF($AG4438=1,SUMPRODUCT(--($AK$2:$AK$6001&lt;$AK4438))+1,"")</f>
        <v/>
      </c>
      <c r="AI4438">
        <f>IF($C4438="","",IF(OR($N4438=TRUE(),$N4438="TRUE"),1,0))</f>
        <v/>
      </c>
      <c r="AJ4438">
        <f>IF($C4438="","",IF($T4438="Yes",1,0))</f>
        <v/>
      </c>
      <c r="AK4438">
        <f>IF($AG4438=1,IFERROR(IF(VALUE($C4438)&lt;100000000,VALUE($C4438),1000000000),IFERROR(IF(VALUE(MID($C4438,2,20))&lt;100000000,VALUE(MID($C4438,2,20)),1000000000),1000000000))+ROW()/100000,"")</f>
        <v/>
      </c>
    </row>
    <row r="4439">
      <c r="D4439" s="11" t="n"/>
      <c r="K4439" s="7">
        <f>IF($C4439="","",J4439*W4439/100)</f>
        <v/>
      </c>
      <c r="Q4439" s="7" t="n"/>
      <c r="R4439" s="7" t="n"/>
      <c r="U4439">
        <f>IF($C4439="","",IF($AJ4439=1,0,IF($AI4439=1,Settings!$C$6,Settings!$C$7))*100)</f>
        <v/>
      </c>
      <c r="V4439" s="7">
        <f>IF($C4439="","",R4439*U4439/100)</f>
        <v/>
      </c>
      <c r="W4439" s="7">
        <f>IF($C4439="","",R4439-V4439)</f>
        <v/>
      </c>
      <c r="X4439" s="7">
        <f>IF($C4439="","",W4439-K4439)</f>
        <v/>
      </c>
      <c r="AB4439" s="7" t="n"/>
      <c r="AE4439" s="11" t="n"/>
      <c r="AG4439">
        <f>IF($C4439="","",IF(COUNTIF($C$2:$C4439,$C4439)=1,1,0))</f>
        <v/>
      </c>
      <c r="AH4439">
        <f>IF($AG4439=1,SUMPRODUCT(--($AK$2:$AK$6001&lt;$AK4439))+1,"")</f>
        <v/>
      </c>
      <c r="AI4439">
        <f>IF($C4439="","",IF(OR($N4439=TRUE(),$N4439="TRUE"),1,0))</f>
        <v/>
      </c>
      <c r="AJ4439">
        <f>IF($C4439="","",IF($T4439="Yes",1,0))</f>
        <v/>
      </c>
      <c r="AK4439">
        <f>IF($AG4439=1,IFERROR(IF(VALUE($C4439)&lt;100000000,VALUE($C4439),1000000000),IFERROR(IF(VALUE(MID($C4439,2,20))&lt;100000000,VALUE(MID($C4439,2,20)),1000000000),1000000000))+ROW()/100000,"")</f>
        <v/>
      </c>
    </row>
    <row r="4440">
      <c r="D4440" s="11" t="n"/>
      <c r="K4440" s="7">
        <f>IF($C4440="","",J4440*W4440/100)</f>
        <v/>
      </c>
      <c r="Q4440" s="7" t="n"/>
      <c r="R4440" s="7" t="n"/>
      <c r="U4440">
        <f>IF($C4440="","",IF($AJ4440=1,0,IF($AI4440=1,Settings!$C$6,Settings!$C$7))*100)</f>
        <v/>
      </c>
      <c r="V4440" s="7">
        <f>IF($C4440="","",R4440*U4440/100)</f>
        <v/>
      </c>
      <c r="W4440" s="7">
        <f>IF($C4440="","",R4440-V4440)</f>
        <v/>
      </c>
      <c r="X4440" s="7">
        <f>IF($C4440="","",W4440-K4440)</f>
        <v/>
      </c>
      <c r="AB4440" s="7" t="n"/>
      <c r="AE4440" s="11" t="n"/>
      <c r="AG4440">
        <f>IF($C4440="","",IF(COUNTIF($C$2:$C4440,$C4440)=1,1,0))</f>
        <v/>
      </c>
      <c r="AH4440">
        <f>IF($AG4440=1,SUMPRODUCT(--($AK$2:$AK$6001&lt;$AK4440))+1,"")</f>
        <v/>
      </c>
      <c r="AI4440">
        <f>IF($C4440="","",IF(OR($N4440=TRUE(),$N4440="TRUE"),1,0))</f>
        <v/>
      </c>
      <c r="AJ4440">
        <f>IF($C4440="","",IF($T4440="Yes",1,0))</f>
        <v/>
      </c>
      <c r="AK4440">
        <f>IF($AG4440=1,IFERROR(IF(VALUE($C4440)&lt;100000000,VALUE($C4440),1000000000),IFERROR(IF(VALUE(MID($C4440,2,20))&lt;100000000,VALUE(MID($C4440,2,20)),1000000000),1000000000))+ROW()/100000,"")</f>
        <v/>
      </c>
    </row>
    <row r="4441">
      <c r="D4441" s="11" t="n"/>
      <c r="K4441" s="7">
        <f>IF($C4441="","",J4441*W4441/100)</f>
        <v/>
      </c>
      <c r="Q4441" s="7" t="n"/>
      <c r="R4441" s="7" t="n"/>
      <c r="U4441">
        <f>IF($C4441="","",IF($AJ4441=1,0,IF($AI4441=1,Settings!$C$6,Settings!$C$7))*100)</f>
        <v/>
      </c>
      <c r="V4441" s="7">
        <f>IF($C4441="","",R4441*U4441/100)</f>
        <v/>
      </c>
      <c r="W4441" s="7">
        <f>IF($C4441="","",R4441-V4441)</f>
        <v/>
      </c>
      <c r="X4441" s="7">
        <f>IF($C4441="","",W4441-K4441)</f>
        <v/>
      </c>
      <c r="AB4441" s="7" t="n"/>
      <c r="AE4441" s="11" t="n"/>
      <c r="AG4441">
        <f>IF($C4441="","",IF(COUNTIF($C$2:$C4441,$C4441)=1,1,0))</f>
        <v/>
      </c>
      <c r="AH4441">
        <f>IF($AG4441=1,SUMPRODUCT(--($AK$2:$AK$6001&lt;$AK4441))+1,"")</f>
        <v/>
      </c>
      <c r="AI4441">
        <f>IF($C4441="","",IF(OR($N4441=TRUE(),$N4441="TRUE"),1,0))</f>
        <v/>
      </c>
      <c r="AJ4441">
        <f>IF($C4441="","",IF($T4441="Yes",1,0))</f>
        <v/>
      </c>
      <c r="AK4441">
        <f>IF($AG4441=1,IFERROR(IF(VALUE($C4441)&lt;100000000,VALUE($C4441),1000000000),IFERROR(IF(VALUE(MID($C4441,2,20))&lt;100000000,VALUE(MID($C4441,2,20)),1000000000),1000000000))+ROW()/100000,"")</f>
        <v/>
      </c>
    </row>
    <row r="4442">
      <c r="D4442" s="11" t="n"/>
      <c r="K4442" s="7">
        <f>IF($C4442="","",J4442*W4442/100)</f>
        <v/>
      </c>
      <c r="Q4442" s="7" t="n"/>
      <c r="R4442" s="7" t="n"/>
      <c r="U4442">
        <f>IF($C4442="","",IF($AJ4442=1,0,IF($AI4442=1,Settings!$C$6,Settings!$C$7))*100)</f>
        <v/>
      </c>
      <c r="V4442" s="7">
        <f>IF($C4442="","",R4442*U4442/100)</f>
        <v/>
      </c>
      <c r="W4442" s="7">
        <f>IF($C4442="","",R4442-V4442)</f>
        <v/>
      </c>
      <c r="X4442" s="7">
        <f>IF($C4442="","",W4442-K4442)</f>
        <v/>
      </c>
      <c r="AB4442" s="7" t="n"/>
      <c r="AE4442" s="11" t="n"/>
      <c r="AG4442">
        <f>IF($C4442="","",IF(COUNTIF($C$2:$C4442,$C4442)=1,1,0))</f>
        <v/>
      </c>
      <c r="AH4442">
        <f>IF($AG4442=1,SUMPRODUCT(--($AK$2:$AK$6001&lt;$AK4442))+1,"")</f>
        <v/>
      </c>
      <c r="AI4442">
        <f>IF($C4442="","",IF(OR($N4442=TRUE(),$N4442="TRUE"),1,0))</f>
        <v/>
      </c>
      <c r="AJ4442">
        <f>IF($C4442="","",IF($T4442="Yes",1,0))</f>
        <v/>
      </c>
      <c r="AK4442">
        <f>IF($AG4442=1,IFERROR(IF(VALUE($C4442)&lt;100000000,VALUE($C4442),1000000000),IFERROR(IF(VALUE(MID($C4442,2,20))&lt;100000000,VALUE(MID($C4442,2,20)),1000000000),1000000000))+ROW()/100000,"")</f>
        <v/>
      </c>
    </row>
    <row r="4443">
      <c r="D4443" s="11" t="n"/>
      <c r="K4443" s="7">
        <f>IF($C4443="","",J4443*W4443/100)</f>
        <v/>
      </c>
      <c r="Q4443" s="7" t="n"/>
      <c r="R4443" s="7" t="n"/>
      <c r="U4443">
        <f>IF($C4443="","",IF($AJ4443=1,0,IF($AI4443=1,Settings!$C$6,Settings!$C$7))*100)</f>
        <v/>
      </c>
      <c r="V4443" s="7">
        <f>IF($C4443="","",R4443*U4443/100)</f>
        <v/>
      </c>
      <c r="W4443" s="7">
        <f>IF($C4443="","",R4443-V4443)</f>
        <v/>
      </c>
      <c r="X4443" s="7">
        <f>IF($C4443="","",W4443-K4443)</f>
        <v/>
      </c>
      <c r="AB4443" s="7" t="n"/>
      <c r="AE4443" s="11" t="n"/>
      <c r="AG4443">
        <f>IF($C4443="","",IF(COUNTIF($C$2:$C4443,$C4443)=1,1,0))</f>
        <v/>
      </c>
      <c r="AH4443">
        <f>IF($AG4443=1,SUMPRODUCT(--($AK$2:$AK$6001&lt;$AK4443))+1,"")</f>
        <v/>
      </c>
      <c r="AI4443">
        <f>IF($C4443="","",IF(OR($N4443=TRUE(),$N4443="TRUE"),1,0))</f>
        <v/>
      </c>
      <c r="AJ4443">
        <f>IF($C4443="","",IF($T4443="Yes",1,0))</f>
        <v/>
      </c>
      <c r="AK4443">
        <f>IF($AG4443=1,IFERROR(IF(VALUE($C4443)&lt;100000000,VALUE($C4443),1000000000),IFERROR(IF(VALUE(MID($C4443,2,20))&lt;100000000,VALUE(MID($C4443,2,20)),1000000000),1000000000))+ROW()/100000,"")</f>
        <v/>
      </c>
    </row>
    <row r="4444">
      <c r="D4444" s="11" t="n"/>
      <c r="K4444" s="7">
        <f>IF($C4444="","",J4444*W4444/100)</f>
        <v/>
      </c>
      <c r="Q4444" s="7" t="n"/>
      <c r="R4444" s="7" t="n"/>
      <c r="U4444">
        <f>IF($C4444="","",IF($AJ4444=1,0,IF($AI4444=1,Settings!$C$6,Settings!$C$7))*100)</f>
        <v/>
      </c>
      <c r="V4444" s="7">
        <f>IF($C4444="","",R4444*U4444/100)</f>
        <v/>
      </c>
      <c r="W4444" s="7">
        <f>IF($C4444="","",R4444-V4444)</f>
        <v/>
      </c>
      <c r="X4444" s="7">
        <f>IF($C4444="","",W4444-K4444)</f>
        <v/>
      </c>
      <c r="AB4444" s="7" t="n"/>
      <c r="AE4444" s="11" t="n"/>
      <c r="AG4444">
        <f>IF($C4444="","",IF(COUNTIF($C$2:$C4444,$C4444)=1,1,0))</f>
        <v/>
      </c>
      <c r="AH4444">
        <f>IF($AG4444=1,SUMPRODUCT(--($AK$2:$AK$6001&lt;$AK4444))+1,"")</f>
        <v/>
      </c>
      <c r="AI4444">
        <f>IF($C4444="","",IF(OR($N4444=TRUE(),$N4444="TRUE"),1,0))</f>
        <v/>
      </c>
      <c r="AJ4444">
        <f>IF($C4444="","",IF($T4444="Yes",1,0))</f>
        <v/>
      </c>
      <c r="AK4444">
        <f>IF($AG4444=1,IFERROR(IF(VALUE($C4444)&lt;100000000,VALUE($C4444),1000000000),IFERROR(IF(VALUE(MID($C4444,2,20))&lt;100000000,VALUE(MID($C4444,2,20)),1000000000),1000000000))+ROW()/100000,"")</f>
        <v/>
      </c>
    </row>
    <row r="4445">
      <c r="D4445" s="11" t="n"/>
      <c r="K4445" s="7">
        <f>IF($C4445="","",J4445*W4445/100)</f>
        <v/>
      </c>
      <c r="Q4445" s="7" t="n"/>
      <c r="R4445" s="7" t="n"/>
      <c r="U4445">
        <f>IF($C4445="","",IF($AJ4445=1,0,IF($AI4445=1,Settings!$C$6,Settings!$C$7))*100)</f>
        <v/>
      </c>
      <c r="V4445" s="7">
        <f>IF($C4445="","",R4445*U4445/100)</f>
        <v/>
      </c>
      <c r="W4445" s="7">
        <f>IF($C4445="","",R4445-V4445)</f>
        <v/>
      </c>
      <c r="X4445" s="7">
        <f>IF($C4445="","",W4445-K4445)</f>
        <v/>
      </c>
      <c r="AB4445" s="7" t="n"/>
      <c r="AE4445" s="11" t="n"/>
      <c r="AG4445">
        <f>IF($C4445="","",IF(COUNTIF($C$2:$C4445,$C4445)=1,1,0))</f>
        <v/>
      </c>
      <c r="AH4445">
        <f>IF($AG4445=1,SUMPRODUCT(--($AK$2:$AK$6001&lt;$AK4445))+1,"")</f>
        <v/>
      </c>
      <c r="AI4445">
        <f>IF($C4445="","",IF(OR($N4445=TRUE(),$N4445="TRUE"),1,0))</f>
        <v/>
      </c>
      <c r="AJ4445">
        <f>IF($C4445="","",IF($T4445="Yes",1,0))</f>
        <v/>
      </c>
      <c r="AK4445">
        <f>IF($AG4445=1,IFERROR(IF(VALUE($C4445)&lt;100000000,VALUE($C4445),1000000000),IFERROR(IF(VALUE(MID($C4445,2,20))&lt;100000000,VALUE(MID($C4445,2,20)),1000000000),1000000000))+ROW()/100000,"")</f>
        <v/>
      </c>
    </row>
    <row r="4446">
      <c r="D4446" s="11" t="n"/>
      <c r="K4446" s="7">
        <f>IF($C4446="","",J4446*W4446/100)</f>
        <v/>
      </c>
      <c r="Q4446" s="7" t="n"/>
      <c r="R4446" s="7" t="n"/>
      <c r="U4446">
        <f>IF($C4446="","",IF($AJ4446=1,0,IF($AI4446=1,Settings!$C$6,Settings!$C$7))*100)</f>
        <v/>
      </c>
      <c r="V4446" s="7">
        <f>IF($C4446="","",R4446*U4446/100)</f>
        <v/>
      </c>
      <c r="W4446" s="7">
        <f>IF($C4446="","",R4446-V4446)</f>
        <v/>
      </c>
      <c r="X4446" s="7">
        <f>IF($C4446="","",W4446-K4446)</f>
        <v/>
      </c>
      <c r="AB4446" s="7" t="n"/>
      <c r="AE4446" s="11" t="n"/>
      <c r="AG4446">
        <f>IF($C4446="","",IF(COUNTIF($C$2:$C4446,$C4446)=1,1,0))</f>
        <v/>
      </c>
      <c r="AH4446">
        <f>IF($AG4446=1,SUMPRODUCT(--($AK$2:$AK$6001&lt;$AK4446))+1,"")</f>
        <v/>
      </c>
      <c r="AI4446">
        <f>IF($C4446="","",IF(OR($N4446=TRUE(),$N4446="TRUE"),1,0))</f>
        <v/>
      </c>
      <c r="AJ4446">
        <f>IF($C4446="","",IF($T4446="Yes",1,0))</f>
        <v/>
      </c>
      <c r="AK4446">
        <f>IF($AG4446=1,IFERROR(IF(VALUE($C4446)&lt;100000000,VALUE($C4446),1000000000),IFERROR(IF(VALUE(MID($C4446,2,20))&lt;100000000,VALUE(MID($C4446,2,20)),1000000000),1000000000))+ROW()/100000,"")</f>
        <v/>
      </c>
    </row>
    <row r="4447">
      <c r="D4447" s="11" t="n"/>
      <c r="K4447" s="7">
        <f>IF($C4447="","",J4447*W4447/100)</f>
        <v/>
      </c>
      <c r="Q4447" s="7" t="n"/>
      <c r="R4447" s="7" t="n"/>
      <c r="U4447">
        <f>IF($C4447="","",IF($AJ4447=1,0,IF($AI4447=1,Settings!$C$6,Settings!$C$7))*100)</f>
        <v/>
      </c>
      <c r="V4447" s="7">
        <f>IF($C4447="","",R4447*U4447/100)</f>
        <v/>
      </c>
      <c r="W4447" s="7">
        <f>IF($C4447="","",R4447-V4447)</f>
        <v/>
      </c>
      <c r="X4447" s="7">
        <f>IF($C4447="","",W4447-K4447)</f>
        <v/>
      </c>
      <c r="AB4447" s="7" t="n"/>
      <c r="AE4447" s="11" t="n"/>
      <c r="AG4447">
        <f>IF($C4447="","",IF(COUNTIF($C$2:$C4447,$C4447)=1,1,0))</f>
        <v/>
      </c>
      <c r="AH4447">
        <f>IF($AG4447=1,SUMPRODUCT(--($AK$2:$AK$6001&lt;$AK4447))+1,"")</f>
        <v/>
      </c>
      <c r="AI4447">
        <f>IF($C4447="","",IF(OR($N4447=TRUE(),$N4447="TRUE"),1,0))</f>
        <v/>
      </c>
      <c r="AJ4447">
        <f>IF($C4447="","",IF($T4447="Yes",1,0))</f>
        <v/>
      </c>
      <c r="AK4447">
        <f>IF($AG4447=1,IFERROR(IF(VALUE($C4447)&lt;100000000,VALUE($C4447),1000000000),IFERROR(IF(VALUE(MID($C4447,2,20))&lt;100000000,VALUE(MID($C4447,2,20)),1000000000),1000000000))+ROW()/100000,"")</f>
        <v/>
      </c>
    </row>
    <row r="4448">
      <c r="D4448" s="11" t="n"/>
      <c r="K4448" s="7">
        <f>IF($C4448="","",J4448*W4448/100)</f>
        <v/>
      </c>
      <c r="Q4448" s="7" t="n"/>
      <c r="R4448" s="7" t="n"/>
      <c r="U4448">
        <f>IF($C4448="","",IF($AJ4448=1,0,IF($AI4448=1,Settings!$C$6,Settings!$C$7))*100)</f>
        <v/>
      </c>
      <c r="V4448" s="7">
        <f>IF($C4448="","",R4448*U4448/100)</f>
        <v/>
      </c>
      <c r="W4448" s="7">
        <f>IF($C4448="","",R4448-V4448)</f>
        <v/>
      </c>
      <c r="X4448" s="7">
        <f>IF($C4448="","",W4448-K4448)</f>
        <v/>
      </c>
      <c r="AB4448" s="7" t="n"/>
      <c r="AE4448" s="11" t="n"/>
      <c r="AG4448">
        <f>IF($C4448="","",IF(COUNTIF($C$2:$C4448,$C4448)=1,1,0))</f>
        <v/>
      </c>
      <c r="AH4448">
        <f>IF($AG4448=1,SUMPRODUCT(--($AK$2:$AK$6001&lt;$AK4448))+1,"")</f>
        <v/>
      </c>
      <c r="AI4448">
        <f>IF($C4448="","",IF(OR($N4448=TRUE(),$N4448="TRUE"),1,0))</f>
        <v/>
      </c>
      <c r="AJ4448">
        <f>IF($C4448="","",IF($T4448="Yes",1,0))</f>
        <v/>
      </c>
      <c r="AK4448">
        <f>IF($AG4448=1,IFERROR(IF(VALUE($C4448)&lt;100000000,VALUE($C4448),1000000000),IFERROR(IF(VALUE(MID($C4448,2,20))&lt;100000000,VALUE(MID($C4448,2,20)),1000000000),1000000000))+ROW()/100000,"")</f>
        <v/>
      </c>
    </row>
    <row r="4449">
      <c r="D4449" s="11" t="n"/>
      <c r="K4449" s="7">
        <f>IF($C4449="","",J4449*W4449/100)</f>
        <v/>
      </c>
      <c r="Q4449" s="7" t="n"/>
      <c r="R4449" s="7" t="n"/>
      <c r="U4449">
        <f>IF($C4449="","",IF($AJ4449=1,0,IF($AI4449=1,Settings!$C$6,Settings!$C$7))*100)</f>
        <v/>
      </c>
      <c r="V4449" s="7">
        <f>IF($C4449="","",R4449*U4449/100)</f>
        <v/>
      </c>
      <c r="W4449" s="7">
        <f>IF($C4449="","",R4449-V4449)</f>
        <v/>
      </c>
      <c r="X4449" s="7">
        <f>IF($C4449="","",W4449-K4449)</f>
        <v/>
      </c>
      <c r="AB4449" s="7" t="n"/>
      <c r="AE4449" s="11" t="n"/>
      <c r="AG4449">
        <f>IF($C4449="","",IF(COUNTIF($C$2:$C4449,$C4449)=1,1,0))</f>
        <v/>
      </c>
      <c r="AH4449">
        <f>IF($AG4449=1,SUMPRODUCT(--($AK$2:$AK$6001&lt;$AK4449))+1,"")</f>
        <v/>
      </c>
      <c r="AI4449">
        <f>IF($C4449="","",IF(OR($N4449=TRUE(),$N4449="TRUE"),1,0))</f>
        <v/>
      </c>
      <c r="AJ4449">
        <f>IF($C4449="","",IF($T4449="Yes",1,0))</f>
        <v/>
      </c>
      <c r="AK4449">
        <f>IF($AG4449=1,IFERROR(IF(VALUE($C4449)&lt;100000000,VALUE($C4449),1000000000),IFERROR(IF(VALUE(MID($C4449,2,20))&lt;100000000,VALUE(MID($C4449,2,20)),1000000000),1000000000))+ROW()/100000,"")</f>
        <v/>
      </c>
    </row>
    <row r="4450">
      <c r="D4450" s="11" t="n"/>
      <c r="K4450" s="7">
        <f>IF($C4450="","",J4450*W4450/100)</f>
        <v/>
      </c>
      <c r="Q4450" s="7" t="n"/>
      <c r="R4450" s="7" t="n"/>
      <c r="U4450">
        <f>IF($C4450="","",IF($AJ4450=1,0,IF($AI4450=1,Settings!$C$6,Settings!$C$7))*100)</f>
        <v/>
      </c>
      <c r="V4450" s="7">
        <f>IF($C4450="","",R4450*U4450/100)</f>
        <v/>
      </c>
      <c r="W4450" s="7">
        <f>IF($C4450="","",R4450-V4450)</f>
        <v/>
      </c>
      <c r="X4450" s="7">
        <f>IF($C4450="","",W4450-K4450)</f>
        <v/>
      </c>
      <c r="AB4450" s="7" t="n"/>
      <c r="AE4450" s="11" t="n"/>
      <c r="AG4450">
        <f>IF($C4450="","",IF(COUNTIF($C$2:$C4450,$C4450)=1,1,0))</f>
        <v/>
      </c>
      <c r="AH4450">
        <f>IF($AG4450=1,SUMPRODUCT(--($AK$2:$AK$6001&lt;$AK4450))+1,"")</f>
        <v/>
      </c>
      <c r="AI4450">
        <f>IF($C4450="","",IF(OR($N4450=TRUE(),$N4450="TRUE"),1,0))</f>
        <v/>
      </c>
      <c r="AJ4450">
        <f>IF($C4450="","",IF($T4450="Yes",1,0))</f>
        <v/>
      </c>
      <c r="AK4450">
        <f>IF($AG4450=1,IFERROR(IF(VALUE($C4450)&lt;100000000,VALUE($C4450),1000000000),IFERROR(IF(VALUE(MID($C4450,2,20))&lt;100000000,VALUE(MID($C4450,2,20)),1000000000),1000000000))+ROW()/100000,"")</f>
        <v/>
      </c>
    </row>
    <row r="4451">
      <c r="D4451" s="11" t="n"/>
      <c r="K4451" s="7">
        <f>IF($C4451="","",J4451*W4451/100)</f>
        <v/>
      </c>
      <c r="Q4451" s="7" t="n"/>
      <c r="R4451" s="7" t="n"/>
      <c r="U4451">
        <f>IF($C4451="","",IF($AJ4451=1,0,IF($AI4451=1,Settings!$C$6,Settings!$C$7))*100)</f>
        <v/>
      </c>
      <c r="V4451" s="7">
        <f>IF($C4451="","",R4451*U4451/100)</f>
        <v/>
      </c>
      <c r="W4451" s="7">
        <f>IF($C4451="","",R4451-V4451)</f>
        <v/>
      </c>
      <c r="X4451" s="7">
        <f>IF($C4451="","",W4451-K4451)</f>
        <v/>
      </c>
      <c r="AB4451" s="7" t="n"/>
      <c r="AE4451" s="11" t="n"/>
      <c r="AG4451">
        <f>IF($C4451="","",IF(COUNTIF($C$2:$C4451,$C4451)=1,1,0))</f>
        <v/>
      </c>
      <c r="AH4451">
        <f>IF($AG4451=1,SUMPRODUCT(--($AK$2:$AK$6001&lt;$AK4451))+1,"")</f>
        <v/>
      </c>
      <c r="AI4451">
        <f>IF($C4451="","",IF(OR($N4451=TRUE(),$N4451="TRUE"),1,0))</f>
        <v/>
      </c>
      <c r="AJ4451">
        <f>IF($C4451="","",IF($T4451="Yes",1,0))</f>
        <v/>
      </c>
      <c r="AK4451">
        <f>IF($AG4451=1,IFERROR(IF(VALUE($C4451)&lt;100000000,VALUE($C4451),1000000000),IFERROR(IF(VALUE(MID($C4451,2,20))&lt;100000000,VALUE(MID($C4451,2,20)),1000000000),1000000000))+ROW()/100000,"")</f>
        <v/>
      </c>
    </row>
    <row r="4452">
      <c r="D4452" s="11" t="n"/>
      <c r="K4452" s="7">
        <f>IF($C4452="","",J4452*W4452/100)</f>
        <v/>
      </c>
      <c r="Q4452" s="7" t="n"/>
      <c r="R4452" s="7" t="n"/>
      <c r="U4452">
        <f>IF($C4452="","",IF($AJ4452=1,0,IF($AI4452=1,Settings!$C$6,Settings!$C$7))*100)</f>
        <v/>
      </c>
      <c r="V4452" s="7">
        <f>IF($C4452="","",R4452*U4452/100)</f>
        <v/>
      </c>
      <c r="W4452" s="7">
        <f>IF($C4452="","",R4452-V4452)</f>
        <v/>
      </c>
      <c r="X4452" s="7">
        <f>IF($C4452="","",W4452-K4452)</f>
        <v/>
      </c>
      <c r="AB4452" s="7" t="n"/>
      <c r="AE4452" s="11" t="n"/>
      <c r="AG4452">
        <f>IF($C4452="","",IF(COUNTIF($C$2:$C4452,$C4452)=1,1,0))</f>
        <v/>
      </c>
      <c r="AH4452">
        <f>IF($AG4452=1,SUMPRODUCT(--($AK$2:$AK$6001&lt;$AK4452))+1,"")</f>
        <v/>
      </c>
      <c r="AI4452">
        <f>IF($C4452="","",IF(OR($N4452=TRUE(),$N4452="TRUE"),1,0))</f>
        <v/>
      </c>
      <c r="AJ4452">
        <f>IF($C4452="","",IF($T4452="Yes",1,0))</f>
        <v/>
      </c>
      <c r="AK4452">
        <f>IF($AG4452=1,IFERROR(IF(VALUE($C4452)&lt;100000000,VALUE($C4452),1000000000),IFERROR(IF(VALUE(MID($C4452,2,20))&lt;100000000,VALUE(MID($C4452,2,20)),1000000000),1000000000))+ROW()/100000,"")</f>
        <v/>
      </c>
    </row>
    <row r="4453">
      <c r="D4453" s="11" t="n"/>
      <c r="K4453" s="7">
        <f>IF($C4453="","",J4453*W4453/100)</f>
        <v/>
      </c>
      <c r="Q4453" s="7" t="n"/>
      <c r="R4453" s="7" t="n"/>
      <c r="U4453">
        <f>IF($C4453="","",IF($AJ4453=1,0,IF($AI4453=1,Settings!$C$6,Settings!$C$7))*100)</f>
        <v/>
      </c>
      <c r="V4453" s="7">
        <f>IF($C4453="","",R4453*U4453/100)</f>
        <v/>
      </c>
      <c r="W4453" s="7">
        <f>IF($C4453="","",R4453-V4453)</f>
        <v/>
      </c>
      <c r="X4453" s="7">
        <f>IF($C4453="","",W4453-K4453)</f>
        <v/>
      </c>
      <c r="AB4453" s="7" t="n"/>
      <c r="AE4453" s="11" t="n"/>
      <c r="AG4453">
        <f>IF($C4453="","",IF(COUNTIF($C$2:$C4453,$C4453)=1,1,0))</f>
        <v/>
      </c>
      <c r="AH4453">
        <f>IF($AG4453=1,SUMPRODUCT(--($AK$2:$AK$6001&lt;$AK4453))+1,"")</f>
        <v/>
      </c>
      <c r="AI4453">
        <f>IF($C4453="","",IF(OR($N4453=TRUE(),$N4453="TRUE"),1,0))</f>
        <v/>
      </c>
      <c r="AJ4453">
        <f>IF($C4453="","",IF($T4453="Yes",1,0))</f>
        <v/>
      </c>
      <c r="AK4453">
        <f>IF($AG4453=1,IFERROR(IF(VALUE($C4453)&lt;100000000,VALUE($C4453),1000000000),IFERROR(IF(VALUE(MID($C4453,2,20))&lt;100000000,VALUE(MID($C4453,2,20)),1000000000),1000000000))+ROW()/100000,"")</f>
        <v/>
      </c>
    </row>
    <row r="4454">
      <c r="D4454" s="11" t="n"/>
      <c r="K4454" s="7">
        <f>IF($C4454="","",J4454*W4454/100)</f>
        <v/>
      </c>
      <c r="Q4454" s="7" t="n"/>
      <c r="R4454" s="7" t="n"/>
      <c r="U4454">
        <f>IF($C4454="","",IF($AJ4454=1,0,IF($AI4454=1,Settings!$C$6,Settings!$C$7))*100)</f>
        <v/>
      </c>
      <c r="V4454" s="7">
        <f>IF($C4454="","",R4454*U4454/100)</f>
        <v/>
      </c>
      <c r="W4454" s="7">
        <f>IF($C4454="","",R4454-V4454)</f>
        <v/>
      </c>
      <c r="X4454" s="7">
        <f>IF($C4454="","",W4454-K4454)</f>
        <v/>
      </c>
      <c r="AB4454" s="7" t="n"/>
      <c r="AE4454" s="11" t="n"/>
      <c r="AG4454">
        <f>IF($C4454="","",IF(COUNTIF($C$2:$C4454,$C4454)=1,1,0))</f>
        <v/>
      </c>
      <c r="AH4454">
        <f>IF($AG4454=1,SUMPRODUCT(--($AK$2:$AK$6001&lt;$AK4454))+1,"")</f>
        <v/>
      </c>
      <c r="AI4454">
        <f>IF($C4454="","",IF(OR($N4454=TRUE(),$N4454="TRUE"),1,0))</f>
        <v/>
      </c>
      <c r="AJ4454">
        <f>IF($C4454="","",IF($T4454="Yes",1,0))</f>
        <v/>
      </c>
      <c r="AK4454">
        <f>IF($AG4454=1,IFERROR(IF(VALUE($C4454)&lt;100000000,VALUE($C4454),1000000000),IFERROR(IF(VALUE(MID($C4454,2,20))&lt;100000000,VALUE(MID($C4454,2,20)),1000000000),1000000000))+ROW()/100000,"")</f>
        <v/>
      </c>
    </row>
    <row r="4455">
      <c r="D4455" s="11" t="n"/>
      <c r="K4455" s="7">
        <f>IF($C4455="","",J4455*W4455/100)</f>
        <v/>
      </c>
      <c r="Q4455" s="7" t="n"/>
      <c r="R4455" s="7" t="n"/>
      <c r="U4455">
        <f>IF($C4455="","",IF($AJ4455=1,0,IF($AI4455=1,Settings!$C$6,Settings!$C$7))*100)</f>
        <v/>
      </c>
      <c r="V4455" s="7">
        <f>IF($C4455="","",R4455*U4455/100)</f>
        <v/>
      </c>
      <c r="W4455" s="7">
        <f>IF($C4455="","",R4455-V4455)</f>
        <v/>
      </c>
      <c r="X4455" s="7">
        <f>IF($C4455="","",W4455-K4455)</f>
        <v/>
      </c>
      <c r="AB4455" s="7" t="n"/>
      <c r="AE4455" s="11" t="n"/>
      <c r="AG4455">
        <f>IF($C4455="","",IF(COUNTIF($C$2:$C4455,$C4455)=1,1,0))</f>
        <v/>
      </c>
      <c r="AH4455">
        <f>IF($AG4455=1,SUMPRODUCT(--($AK$2:$AK$6001&lt;$AK4455))+1,"")</f>
        <v/>
      </c>
      <c r="AI4455">
        <f>IF($C4455="","",IF(OR($N4455=TRUE(),$N4455="TRUE"),1,0))</f>
        <v/>
      </c>
      <c r="AJ4455">
        <f>IF($C4455="","",IF($T4455="Yes",1,0))</f>
        <v/>
      </c>
      <c r="AK4455">
        <f>IF($AG4455=1,IFERROR(IF(VALUE($C4455)&lt;100000000,VALUE($C4455),1000000000),IFERROR(IF(VALUE(MID($C4455,2,20))&lt;100000000,VALUE(MID($C4455,2,20)),1000000000),1000000000))+ROW()/100000,"")</f>
        <v/>
      </c>
    </row>
    <row r="4456">
      <c r="D4456" s="11" t="n"/>
      <c r="K4456" s="7">
        <f>IF($C4456="","",J4456*W4456/100)</f>
        <v/>
      </c>
      <c r="Q4456" s="7" t="n"/>
      <c r="R4456" s="7" t="n"/>
      <c r="U4456">
        <f>IF($C4456="","",IF($AJ4456=1,0,IF($AI4456=1,Settings!$C$6,Settings!$C$7))*100)</f>
        <v/>
      </c>
      <c r="V4456" s="7">
        <f>IF($C4456="","",R4456*U4456/100)</f>
        <v/>
      </c>
      <c r="W4456" s="7">
        <f>IF($C4456="","",R4456-V4456)</f>
        <v/>
      </c>
      <c r="X4456" s="7">
        <f>IF($C4456="","",W4456-K4456)</f>
        <v/>
      </c>
      <c r="AB4456" s="7" t="n"/>
      <c r="AE4456" s="11" t="n"/>
      <c r="AG4456">
        <f>IF($C4456="","",IF(COUNTIF($C$2:$C4456,$C4456)=1,1,0))</f>
        <v/>
      </c>
      <c r="AH4456">
        <f>IF($AG4456=1,SUMPRODUCT(--($AK$2:$AK$6001&lt;$AK4456))+1,"")</f>
        <v/>
      </c>
      <c r="AI4456">
        <f>IF($C4456="","",IF(OR($N4456=TRUE(),$N4456="TRUE"),1,0))</f>
        <v/>
      </c>
      <c r="AJ4456">
        <f>IF($C4456="","",IF($T4456="Yes",1,0))</f>
        <v/>
      </c>
      <c r="AK4456">
        <f>IF($AG4456=1,IFERROR(IF(VALUE($C4456)&lt;100000000,VALUE($C4456),1000000000),IFERROR(IF(VALUE(MID($C4456,2,20))&lt;100000000,VALUE(MID($C4456,2,20)),1000000000),1000000000))+ROW()/100000,"")</f>
        <v/>
      </c>
    </row>
    <row r="4457">
      <c r="D4457" s="11" t="n"/>
      <c r="K4457" s="7">
        <f>IF($C4457="","",J4457*W4457/100)</f>
        <v/>
      </c>
      <c r="Q4457" s="7" t="n"/>
      <c r="R4457" s="7" t="n"/>
      <c r="U4457">
        <f>IF($C4457="","",IF($AJ4457=1,0,IF($AI4457=1,Settings!$C$6,Settings!$C$7))*100)</f>
        <v/>
      </c>
      <c r="V4457" s="7">
        <f>IF($C4457="","",R4457*U4457/100)</f>
        <v/>
      </c>
      <c r="W4457" s="7">
        <f>IF($C4457="","",R4457-V4457)</f>
        <v/>
      </c>
      <c r="X4457" s="7">
        <f>IF($C4457="","",W4457-K4457)</f>
        <v/>
      </c>
      <c r="AB4457" s="7" t="n"/>
      <c r="AE4457" s="11" t="n"/>
      <c r="AG4457">
        <f>IF($C4457="","",IF(COUNTIF($C$2:$C4457,$C4457)=1,1,0))</f>
        <v/>
      </c>
      <c r="AH4457">
        <f>IF($AG4457=1,SUMPRODUCT(--($AK$2:$AK$6001&lt;$AK4457))+1,"")</f>
        <v/>
      </c>
      <c r="AI4457">
        <f>IF($C4457="","",IF(OR($N4457=TRUE(),$N4457="TRUE"),1,0))</f>
        <v/>
      </c>
      <c r="AJ4457">
        <f>IF($C4457="","",IF($T4457="Yes",1,0))</f>
        <v/>
      </c>
      <c r="AK4457">
        <f>IF($AG4457=1,IFERROR(IF(VALUE($C4457)&lt;100000000,VALUE($C4457),1000000000),IFERROR(IF(VALUE(MID($C4457,2,20))&lt;100000000,VALUE(MID($C4457,2,20)),1000000000),1000000000))+ROW()/100000,"")</f>
        <v/>
      </c>
    </row>
    <row r="4458">
      <c r="D4458" s="11" t="n"/>
      <c r="K4458" s="7">
        <f>IF($C4458="","",J4458*W4458/100)</f>
        <v/>
      </c>
      <c r="Q4458" s="7" t="n"/>
      <c r="R4458" s="7" t="n"/>
      <c r="U4458">
        <f>IF($C4458="","",IF($AJ4458=1,0,IF($AI4458=1,Settings!$C$6,Settings!$C$7))*100)</f>
        <v/>
      </c>
      <c r="V4458" s="7">
        <f>IF($C4458="","",R4458*U4458/100)</f>
        <v/>
      </c>
      <c r="W4458" s="7">
        <f>IF($C4458="","",R4458-V4458)</f>
        <v/>
      </c>
      <c r="X4458" s="7">
        <f>IF($C4458="","",W4458-K4458)</f>
        <v/>
      </c>
      <c r="AB4458" s="7" t="n"/>
      <c r="AE4458" s="11" t="n"/>
      <c r="AG4458">
        <f>IF($C4458="","",IF(COUNTIF($C$2:$C4458,$C4458)=1,1,0))</f>
        <v/>
      </c>
      <c r="AH4458">
        <f>IF($AG4458=1,SUMPRODUCT(--($AK$2:$AK$6001&lt;$AK4458))+1,"")</f>
        <v/>
      </c>
      <c r="AI4458">
        <f>IF($C4458="","",IF(OR($N4458=TRUE(),$N4458="TRUE"),1,0))</f>
        <v/>
      </c>
      <c r="AJ4458">
        <f>IF($C4458="","",IF($T4458="Yes",1,0))</f>
        <v/>
      </c>
      <c r="AK4458">
        <f>IF($AG4458=1,IFERROR(IF(VALUE($C4458)&lt;100000000,VALUE($C4458),1000000000),IFERROR(IF(VALUE(MID($C4458,2,20))&lt;100000000,VALUE(MID($C4458,2,20)),1000000000),1000000000))+ROW()/100000,"")</f>
        <v/>
      </c>
    </row>
    <row r="4459">
      <c r="D4459" s="11" t="n"/>
      <c r="K4459" s="7">
        <f>IF($C4459="","",J4459*W4459/100)</f>
        <v/>
      </c>
      <c r="Q4459" s="7" t="n"/>
      <c r="R4459" s="7" t="n"/>
      <c r="U4459">
        <f>IF($C4459="","",IF($AJ4459=1,0,IF($AI4459=1,Settings!$C$6,Settings!$C$7))*100)</f>
        <v/>
      </c>
      <c r="V4459" s="7">
        <f>IF($C4459="","",R4459*U4459/100)</f>
        <v/>
      </c>
      <c r="W4459" s="7">
        <f>IF($C4459="","",R4459-V4459)</f>
        <v/>
      </c>
      <c r="X4459" s="7">
        <f>IF($C4459="","",W4459-K4459)</f>
        <v/>
      </c>
      <c r="AB4459" s="7" t="n"/>
      <c r="AE4459" s="11" t="n"/>
      <c r="AG4459">
        <f>IF($C4459="","",IF(COUNTIF($C$2:$C4459,$C4459)=1,1,0))</f>
        <v/>
      </c>
      <c r="AH4459">
        <f>IF($AG4459=1,SUMPRODUCT(--($AK$2:$AK$6001&lt;$AK4459))+1,"")</f>
        <v/>
      </c>
      <c r="AI4459">
        <f>IF($C4459="","",IF(OR($N4459=TRUE(),$N4459="TRUE"),1,0))</f>
        <v/>
      </c>
      <c r="AJ4459">
        <f>IF($C4459="","",IF($T4459="Yes",1,0))</f>
        <v/>
      </c>
      <c r="AK4459">
        <f>IF($AG4459=1,IFERROR(IF(VALUE($C4459)&lt;100000000,VALUE($C4459),1000000000),IFERROR(IF(VALUE(MID($C4459,2,20))&lt;100000000,VALUE(MID($C4459,2,20)),1000000000),1000000000))+ROW()/100000,"")</f>
        <v/>
      </c>
    </row>
    <row r="4460">
      <c r="D4460" s="11" t="n"/>
      <c r="K4460" s="7">
        <f>IF($C4460="","",J4460*W4460/100)</f>
        <v/>
      </c>
      <c r="Q4460" s="7" t="n"/>
      <c r="R4460" s="7" t="n"/>
      <c r="U4460">
        <f>IF($C4460="","",IF($AJ4460=1,0,IF($AI4460=1,Settings!$C$6,Settings!$C$7))*100)</f>
        <v/>
      </c>
      <c r="V4460" s="7">
        <f>IF($C4460="","",R4460*U4460/100)</f>
        <v/>
      </c>
      <c r="W4460" s="7">
        <f>IF($C4460="","",R4460-V4460)</f>
        <v/>
      </c>
      <c r="X4460" s="7">
        <f>IF($C4460="","",W4460-K4460)</f>
        <v/>
      </c>
      <c r="AB4460" s="7" t="n"/>
      <c r="AE4460" s="11" t="n"/>
      <c r="AG4460">
        <f>IF($C4460="","",IF(COUNTIF($C$2:$C4460,$C4460)=1,1,0))</f>
        <v/>
      </c>
      <c r="AH4460">
        <f>IF($AG4460=1,SUMPRODUCT(--($AK$2:$AK$6001&lt;$AK4460))+1,"")</f>
        <v/>
      </c>
      <c r="AI4460">
        <f>IF($C4460="","",IF(OR($N4460=TRUE(),$N4460="TRUE"),1,0))</f>
        <v/>
      </c>
      <c r="AJ4460">
        <f>IF($C4460="","",IF($T4460="Yes",1,0))</f>
        <v/>
      </c>
      <c r="AK4460">
        <f>IF($AG4460=1,IFERROR(IF(VALUE($C4460)&lt;100000000,VALUE($C4460),1000000000),IFERROR(IF(VALUE(MID($C4460,2,20))&lt;100000000,VALUE(MID($C4460,2,20)),1000000000),1000000000))+ROW()/100000,"")</f>
        <v/>
      </c>
    </row>
    <row r="4461">
      <c r="D4461" s="11" t="n"/>
      <c r="K4461" s="7">
        <f>IF($C4461="","",J4461*W4461/100)</f>
        <v/>
      </c>
      <c r="Q4461" s="7" t="n"/>
      <c r="R4461" s="7" t="n"/>
      <c r="U4461">
        <f>IF($C4461="","",IF($AJ4461=1,0,IF($AI4461=1,Settings!$C$6,Settings!$C$7))*100)</f>
        <v/>
      </c>
      <c r="V4461" s="7">
        <f>IF($C4461="","",R4461*U4461/100)</f>
        <v/>
      </c>
      <c r="W4461" s="7">
        <f>IF($C4461="","",R4461-V4461)</f>
        <v/>
      </c>
      <c r="X4461" s="7">
        <f>IF($C4461="","",W4461-K4461)</f>
        <v/>
      </c>
      <c r="AB4461" s="7" t="n"/>
      <c r="AE4461" s="11" t="n"/>
      <c r="AG4461">
        <f>IF($C4461="","",IF(COUNTIF($C$2:$C4461,$C4461)=1,1,0))</f>
        <v/>
      </c>
      <c r="AH4461">
        <f>IF($AG4461=1,SUMPRODUCT(--($AK$2:$AK$6001&lt;$AK4461))+1,"")</f>
        <v/>
      </c>
      <c r="AI4461">
        <f>IF($C4461="","",IF(OR($N4461=TRUE(),$N4461="TRUE"),1,0))</f>
        <v/>
      </c>
      <c r="AJ4461">
        <f>IF($C4461="","",IF($T4461="Yes",1,0))</f>
        <v/>
      </c>
      <c r="AK4461">
        <f>IF($AG4461=1,IFERROR(IF(VALUE($C4461)&lt;100000000,VALUE($C4461),1000000000),IFERROR(IF(VALUE(MID($C4461,2,20))&lt;100000000,VALUE(MID($C4461,2,20)),1000000000),1000000000))+ROW()/100000,"")</f>
        <v/>
      </c>
    </row>
    <row r="4462">
      <c r="D4462" s="11" t="n"/>
      <c r="K4462" s="7">
        <f>IF($C4462="","",J4462*W4462/100)</f>
        <v/>
      </c>
      <c r="Q4462" s="7" t="n"/>
      <c r="R4462" s="7" t="n"/>
      <c r="U4462">
        <f>IF($C4462="","",IF($AJ4462=1,0,IF($AI4462=1,Settings!$C$6,Settings!$C$7))*100)</f>
        <v/>
      </c>
      <c r="V4462" s="7">
        <f>IF($C4462="","",R4462*U4462/100)</f>
        <v/>
      </c>
      <c r="W4462" s="7">
        <f>IF($C4462="","",R4462-V4462)</f>
        <v/>
      </c>
      <c r="X4462" s="7">
        <f>IF($C4462="","",W4462-K4462)</f>
        <v/>
      </c>
      <c r="AB4462" s="7" t="n"/>
      <c r="AE4462" s="11" t="n"/>
      <c r="AG4462">
        <f>IF($C4462="","",IF(COUNTIF($C$2:$C4462,$C4462)=1,1,0))</f>
        <v/>
      </c>
      <c r="AH4462">
        <f>IF($AG4462=1,SUMPRODUCT(--($AK$2:$AK$6001&lt;$AK4462))+1,"")</f>
        <v/>
      </c>
      <c r="AI4462">
        <f>IF($C4462="","",IF(OR($N4462=TRUE(),$N4462="TRUE"),1,0))</f>
        <v/>
      </c>
      <c r="AJ4462">
        <f>IF($C4462="","",IF($T4462="Yes",1,0))</f>
        <v/>
      </c>
      <c r="AK4462">
        <f>IF($AG4462=1,IFERROR(IF(VALUE($C4462)&lt;100000000,VALUE($C4462),1000000000),IFERROR(IF(VALUE(MID($C4462,2,20))&lt;100000000,VALUE(MID($C4462,2,20)),1000000000),1000000000))+ROW()/100000,"")</f>
        <v/>
      </c>
    </row>
    <row r="4463">
      <c r="D4463" s="11" t="n"/>
      <c r="K4463" s="7">
        <f>IF($C4463="","",J4463*W4463/100)</f>
        <v/>
      </c>
      <c r="Q4463" s="7" t="n"/>
      <c r="R4463" s="7" t="n"/>
      <c r="U4463">
        <f>IF($C4463="","",IF($AJ4463=1,0,IF($AI4463=1,Settings!$C$6,Settings!$C$7))*100)</f>
        <v/>
      </c>
      <c r="V4463" s="7">
        <f>IF($C4463="","",R4463*U4463/100)</f>
        <v/>
      </c>
      <c r="W4463" s="7">
        <f>IF($C4463="","",R4463-V4463)</f>
        <v/>
      </c>
      <c r="X4463" s="7">
        <f>IF($C4463="","",W4463-K4463)</f>
        <v/>
      </c>
      <c r="AB4463" s="7" t="n"/>
      <c r="AE4463" s="11" t="n"/>
      <c r="AG4463">
        <f>IF($C4463="","",IF(COUNTIF($C$2:$C4463,$C4463)=1,1,0))</f>
        <v/>
      </c>
      <c r="AH4463">
        <f>IF($AG4463=1,SUMPRODUCT(--($AK$2:$AK$6001&lt;$AK4463))+1,"")</f>
        <v/>
      </c>
      <c r="AI4463">
        <f>IF($C4463="","",IF(OR($N4463=TRUE(),$N4463="TRUE"),1,0))</f>
        <v/>
      </c>
      <c r="AJ4463">
        <f>IF($C4463="","",IF($T4463="Yes",1,0))</f>
        <v/>
      </c>
      <c r="AK4463">
        <f>IF($AG4463=1,IFERROR(IF(VALUE($C4463)&lt;100000000,VALUE($C4463),1000000000),IFERROR(IF(VALUE(MID($C4463,2,20))&lt;100000000,VALUE(MID($C4463,2,20)),1000000000),1000000000))+ROW()/100000,"")</f>
        <v/>
      </c>
    </row>
    <row r="4464">
      <c r="D4464" s="11" t="n"/>
      <c r="K4464" s="7">
        <f>IF($C4464="","",J4464*W4464/100)</f>
        <v/>
      </c>
      <c r="Q4464" s="7" t="n"/>
      <c r="R4464" s="7" t="n"/>
      <c r="U4464">
        <f>IF($C4464="","",IF($AJ4464=1,0,IF($AI4464=1,Settings!$C$6,Settings!$C$7))*100)</f>
        <v/>
      </c>
      <c r="V4464" s="7">
        <f>IF($C4464="","",R4464*U4464/100)</f>
        <v/>
      </c>
      <c r="W4464" s="7">
        <f>IF($C4464="","",R4464-V4464)</f>
        <v/>
      </c>
      <c r="X4464" s="7">
        <f>IF($C4464="","",W4464-K4464)</f>
        <v/>
      </c>
      <c r="AB4464" s="7" t="n"/>
      <c r="AE4464" s="11" t="n"/>
      <c r="AG4464">
        <f>IF($C4464="","",IF(COUNTIF($C$2:$C4464,$C4464)=1,1,0))</f>
        <v/>
      </c>
      <c r="AH4464">
        <f>IF($AG4464=1,SUMPRODUCT(--($AK$2:$AK$6001&lt;$AK4464))+1,"")</f>
        <v/>
      </c>
      <c r="AI4464">
        <f>IF($C4464="","",IF(OR($N4464=TRUE(),$N4464="TRUE"),1,0))</f>
        <v/>
      </c>
      <c r="AJ4464">
        <f>IF($C4464="","",IF($T4464="Yes",1,0))</f>
        <v/>
      </c>
      <c r="AK4464">
        <f>IF($AG4464=1,IFERROR(IF(VALUE($C4464)&lt;100000000,VALUE($C4464),1000000000),IFERROR(IF(VALUE(MID($C4464,2,20))&lt;100000000,VALUE(MID($C4464,2,20)),1000000000),1000000000))+ROW()/100000,"")</f>
        <v/>
      </c>
    </row>
    <row r="4465">
      <c r="D4465" s="11" t="n"/>
      <c r="K4465" s="7">
        <f>IF($C4465="","",J4465*W4465/100)</f>
        <v/>
      </c>
      <c r="Q4465" s="7" t="n"/>
      <c r="R4465" s="7" t="n"/>
      <c r="U4465">
        <f>IF($C4465="","",IF($AJ4465=1,0,IF($AI4465=1,Settings!$C$6,Settings!$C$7))*100)</f>
        <v/>
      </c>
      <c r="V4465" s="7">
        <f>IF($C4465="","",R4465*U4465/100)</f>
        <v/>
      </c>
      <c r="W4465" s="7">
        <f>IF($C4465="","",R4465-V4465)</f>
        <v/>
      </c>
      <c r="X4465" s="7">
        <f>IF($C4465="","",W4465-K4465)</f>
        <v/>
      </c>
      <c r="AB4465" s="7" t="n"/>
      <c r="AE4465" s="11" t="n"/>
      <c r="AG4465">
        <f>IF($C4465="","",IF(COUNTIF($C$2:$C4465,$C4465)=1,1,0))</f>
        <v/>
      </c>
      <c r="AH4465">
        <f>IF($AG4465=1,SUMPRODUCT(--($AK$2:$AK$6001&lt;$AK4465))+1,"")</f>
        <v/>
      </c>
      <c r="AI4465">
        <f>IF($C4465="","",IF(OR($N4465=TRUE(),$N4465="TRUE"),1,0))</f>
        <v/>
      </c>
      <c r="AJ4465">
        <f>IF($C4465="","",IF($T4465="Yes",1,0))</f>
        <v/>
      </c>
      <c r="AK4465">
        <f>IF($AG4465=1,IFERROR(IF(VALUE($C4465)&lt;100000000,VALUE($C4465),1000000000),IFERROR(IF(VALUE(MID($C4465,2,20))&lt;100000000,VALUE(MID($C4465,2,20)),1000000000),1000000000))+ROW()/100000,"")</f>
        <v/>
      </c>
    </row>
    <row r="4466">
      <c r="D4466" s="11" t="n"/>
      <c r="K4466" s="7">
        <f>IF($C4466="","",J4466*W4466/100)</f>
        <v/>
      </c>
      <c r="Q4466" s="7" t="n"/>
      <c r="R4466" s="7" t="n"/>
      <c r="U4466">
        <f>IF($C4466="","",IF($AJ4466=1,0,IF($AI4466=1,Settings!$C$6,Settings!$C$7))*100)</f>
        <v/>
      </c>
      <c r="V4466" s="7">
        <f>IF($C4466="","",R4466*U4466/100)</f>
        <v/>
      </c>
      <c r="W4466" s="7">
        <f>IF($C4466="","",R4466-V4466)</f>
        <v/>
      </c>
      <c r="X4466" s="7">
        <f>IF($C4466="","",W4466-K4466)</f>
        <v/>
      </c>
      <c r="AB4466" s="7" t="n"/>
      <c r="AE4466" s="11" t="n"/>
      <c r="AG4466">
        <f>IF($C4466="","",IF(COUNTIF($C$2:$C4466,$C4466)=1,1,0))</f>
        <v/>
      </c>
      <c r="AH4466">
        <f>IF($AG4466=1,SUMPRODUCT(--($AK$2:$AK$6001&lt;$AK4466))+1,"")</f>
        <v/>
      </c>
      <c r="AI4466">
        <f>IF($C4466="","",IF(OR($N4466=TRUE(),$N4466="TRUE"),1,0))</f>
        <v/>
      </c>
      <c r="AJ4466">
        <f>IF($C4466="","",IF($T4466="Yes",1,0))</f>
        <v/>
      </c>
      <c r="AK4466">
        <f>IF($AG4466=1,IFERROR(IF(VALUE($C4466)&lt;100000000,VALUE($C4466),1000000000),IFERROR(IF(VALUE(MID($C4466,2,20))&lt;100000000,VALUE(MID($C4466,2,20)),1000000000),1000000000))+ROW()/100000,"")</f>
        <v/>
      </c>
    </row>
    <row r="4467">
      <c r="D4467" s="11" t="n"/>
      <c r="K4467" s="7">
        <f>IF($C4467="","",J4467*W4467/100)</f>
        <v/>
      </c>
      <c r="Q4467" s="7" t="n"/>
      <c r="R4467" s="7" t="n"/>
      <c r="U4467">
        <f>IF($C4467="","",IF($AJ4467=1,0,IF($AI4467=1,Settings!$C$6,Settings!$C$7))*100)</f>
        <v/>
      </c>
      <c r="V4467" s="7">
        <f>IF($C4467="","",R4467*U4467/100)</f>
        <v/>
      </c>
      <c r="W4467" s="7">
        <f>IF($C4467="","",R4467-V4467)</f>
        <v/>
      </c>
      <c r="X4467" s="7">
        <f>IF($C4467="","",W4467-K4467)</f>
        <v/>
      </c>
      <c r="AB4467" s="7" t="n"/>
      <c r="AE4467" s="11" t="n"/>
      <c r="AG4467">
        <f>IF($C4467="","",IF(COUNTIF($C$2:$C4467,$C4467)=1,1,0))</f>
        <v/>
      </c>
      <c r="AH4467">
        <f>IF($AG4467=1,SUMPRODUCT(--($AK$2:$AK$6001&lt;$AK4467))+1,"")</f>
        <v/>
      </c>
      <c r="AI4467">
        <f>IF($C4467="","",IF(OR($N4467=TRUE(),$N4467="TRUE"),1,0))</f>
        <v/>
      </c>
      <c r="AJ4467">
        <f>IF($C4467="","",IF($T4467="Yes",1,0))</f>
        <v/>
      </c>
      <c r="AK4467">
        <f>IF($AG4467=1,IFERROR(IF(VALUE($C4467)&lt;100000000,VALUE($C4467),1000000000),IFERROR(IF(VALUE(MID($C4467,2,20))&lt;100000000,VALUE(MID($C4467,2,20)),1000000000),1000000000))+ROW()/100000,"")</f>
        <v/>
      </c>
    </row>
    <row r="4468">
      <c r="D4468" s="11" t="n"/>
      <c r="K4468" s="7">
        <f>IF($C4468="","",J4468*W4468/100)</f>
        <v/>
      </c>
      <c r="Q4468" s="7" t="n"/>
      <c r="R4468" s="7" t="n"/>
      <c r="U4468">
        <f>IF($C4468="","",IF($AJ4468=1,0,IF($AI4468=1,Settings!$C$6,Settings!$C$7))*100)</f>
        <v/>
      </c>
      <c r="V4468" s="7">
        <f>IF($C4468="","",R4468*U4468/100)</f>
        <v/>
      </c>
      <c r="W4468" s="7">
        <f>IF($C4468="","",R4468-V4468)</f>
        <v/>
      </c>
      <c r="X4468" s="7">
        <f>IF($C4468="","",W4468-K4468)</f>
        <v/>
      </c>
      <c r="AB4468" s="7" t="n"/>
      <c r="AE4468" s="11" t="n"/>
      <c r="AG4468">
        <f>IF($C4468="","",IF(COUNTIF($C$2:$C4468,$C4468)=1,1,0))</f>
        <v/>
      </c>
      <c r="AH4468">
        <f>IF($AG4468=1,SUMPRODUCT(--($AK$2:$AK$6001&lt;$AK4468))+1,"")</f>
        <v/>
      </c>
      <c r="AI4468">
        <f>IF($C4468="","",IF(OR($N4468=TRUE(),$N4468="TRUE"),1,0))</f>
        <v/>
      </c>
      <c r="AJ4468">
        <f>IF($C4468="","",IF($T4468="Yes",1,0))</f>
        <v/>
      </c>
      <c r="AK4468">
        <f>IF($AG4468=1,IFERROR(IF(VALUE($C4468)&lt;100000000,VALUE($C4468),1000000000),IFERROR(IF(VALUE(MID($C4468,2,20))&lt;100000000,VALUE(MID($C4468,2,20)),1000000000),1000000000))+ROW()/100000,"")</f>
        <v/>
      </c>
    </row>
    <row r="4469">
      <c r="D4469" s="11" t="n"/>
      <c r="K4469" s="7">
        <f>IF($C4469="","",J4469*W4469/100)</f>
        <v/>
      </c>
      <c r="Q4469" s="7" t="n"/>
      <c r="R4469" s="7" t="n"/>
      <c r="U4469">
        <f>IF($C4469="","",IF($AJ4469=1,0,IF($AI4469=1,Settings!$C$6,Settings!$C$7))*100)</f>
        <v/>
      </c>
      <c r="V4469" s="7">
        <f>IF($C4469="","",R4469*U4469/100)</f>
        <v/>
      </c>
      <c r="W4469" s="7">
        <f>IF($C4469="","",R4469-V4469)</f>
        <v/>
      </c>
      <c r="X4469" s="7">
        <f>IF($C4469="","",W4469-K4469)</f>
        <v/>
      </c>
      <c r="AB4469" s="7" t="n"/>
      <c r="AE4469" s="11" t="n"/>
      <c r="AG4469">
        <f>IF($C4469="","",IF(COUNTIF($C$2:$C4469,$C4469)=1,1,0))</f>
        <v/>
      </c>
      <c r="AH4469">
        <f>IF($AG4469=1,SUMPRODUCT(--($AK$2:$AK$6001&lt;$AK4469))+1,"")</f>
        <v/>
      </c>
      <c r="AI4469">
        <f>IF($C4469="","",IF(OR($N4469=TRUE(),$N4469="TRUE"),1,0))</f>
        <v/>
      </c>
      <c r="AJ4469">
        <f>IF($C4469="","",IF($T4469="Yes",1,0))</f>
        <v/>
      </c>
      <c r="AK4469">
        <f>IF($AG4469=1,IFERROR(IF(VALUE($C4469)&lt;100000000,VALUE($C4469),1000000000),IFERROR(IF(VALUE(MID($C4469,2,20))&lt;100000000,VALUE(MID($C4469,2,20)),1000000000),1000000000))+ROW()/100000,"")</f>
        <v/>
      </c>
    </row>
    <row r="4470">
      <c r="D4470" s="11" t="n"/>
      <c r="K4470" s="7">
        <f>IF($C4470="","",J4470*W4470/100)</f>
        <v/>
      </c>
      <c r="Q4470" s="7" t="n"/>
      <c r="R4470" s="7" t="n"/>
      <c r="U4470">
        <f>IF($C4470="","",IF($AJ4470=1,0,IF($AI4470=1,Settings!$C$6,Settings!$C$7))*100)</f>
        <v/>
      </c>
      <c r="V4470" s="7">
        <f>IF($C4470="","",R4470*U4470/100)</f>
        <v/>
      </c>
      <c r="W4470" s="7">
        <f>IF($C4470="","",R4470-V4470)</f>
        <v/>
      </c>
      <c r="X4470" s="7">
        <f>IF($C4470="","",W4470-K4470)</f>
        <v/>
      </c>
      <c r="AB4470" s="7" t="n"/>
      <c r="AE4470" s="11" t="n"/>
      <c r="AG4470">
        <f>IF($C4470="","",IF(COUNTIF($C$2:$C4470,$C4470)=1,1,0))</f>
        <v/>
      </c>
      <c r="AH4470">
        <f>IF($AG4470=1,SUMPRODUCT(--($AK$2:$AK$6001&lt;$AK4470))+1,"")</f>
        <v/>
      </c>
      <c r="AI4470">
        <f>IF($C4470="","",IF(OR($N4470=TRUE(),$N4470="TRUE"),1,0))</f>
        <v/>
      </c>
      <c r="AJ4470">
        <f>IF($C4470="","",IF($T4470="Yes",1,0))</f>
        <v/>
      </c>
      <c r="AK4470">
        <f>IF($AG4470=1,IFERROR(IF(VALUE($C4470)&lt;100000000,VALUE($C4470),1000000000),IFERROR(IF(VALUE(MID($C4470,2,20))&lt;100000000,VALUE(MID($C4470,2,20)),1000000000),1000000000))+ROW()/100000,"")</f>
        <v/>
      </c>
    </row>
    <row r="4471">
      <c r="D4471" s="11" t="n"/>
      <c r="K4471" s="7">
        <f>IF($C4471="","",J4471*W4471/100)</f>
        <v/>
      </c>
      <c r="Q4471" s="7" t="n"/>
      <c r="R4471" s="7" t="n"/>
      <c r="U4471">
        <f>IF($C4471="","",IF($AJ4471=1,0,IF($AI4471=1,Settings!$C$6,Settings!$C$7))*100)</f>
        <v/>
      </c>
      <c r="V4471" s="7">
        <f>IF($C4471="","",R4471*U4471/100)</f>
        <v/>
      </c>
      <c r="W4471" s="7">
        <f>IF($C4471="","",R4471-V4471)</f>
        <v/>
      </c>
      <c r="X4471" s="7">
        <f>IF($C4471="","",W4471-K4471)</f>
        <v/>
      </c>
      <c r="AB4471" s="7" t="n"/>
      <c r="AE4471" s="11" t="n"/>
      <c r="AG4471">
        <f>IF($C4471="","",IF(COUNTIF($C$2:$C4471,$C4471)=1,1,0))</f>
        <v/>
      </c>
      <c r="AH4471">
        <f>IF($AG4471=1,SUMPRODUCT(--($AK$2:$AK$6001&lt;$AK4471))+1,"")</f>
        <v/>
      </c>
      <c r="AI4471">
        <f>IF($C4471="","",IF(OR($N4471=TRUE(),$N4471="TRUE"),1,0))</f>
        <v/>
      </c>
      <c r="AJ4471">
        <f>IF($C4471="","",IF($T4471="Yes",1,0))</f>
        <v/>
      </c>
      <c r="AK4471">
        <f>IF($AG4471=1,IFERROR(IF(VALUE($C4471)&lt;100000000,VALUE($C4471),1000000000),IFERROR(IF(VALUE(MID($C4471,2,20))&lt;100000000,VALUE(MID($C4471,2,20)),1000000000),1000000000))+ROW()/100000,"")</f>
        <v/>
      </c>
    </row>
    <row r="4472">
      <c r="D4472" s="11" t="n"/>
      <c r="K4472" s="7">
        <f>IF($C4472="","",J4472*W4472/100)</f>
        <v/>
      </c>
      <c r="Q4472" s="7" t="n"/>
      <c r="R4472" s="7" t="n"/>
      <c r="U4472">
        <f>IF($C4472="","",IF($AJ4472=1,0,IF($AI4472=1,Settings!$C$6,Settings!$C$7))*100)</f>
        <v/>
      </c>
      <c r="V4472" s="7">
        <f>IF($C4472="","",R4472*U4472/100)</f>
        <v/>
      </c>
      <c r="W4472" s="7">
        <f>IF($C4472="","",R4472-V4472)</f>
        <v/>
      </c>
      <c r="X4472" s="7">
        <f>IF($C4472="","",W4472-K4472)</f>
        <v/>
      </c>
      <c r="AB4472" s="7" t="n"/>
      <c r="AE4472" s="11" t="n"/>
      <c r="AG4472">
        <f>IF($C4472="","",IF(COUNTIF($C$2:$C4472,$C4472)=1,1,0))</f>
        <v/>
      </c>
      <c r="AH4472">
        <f>IF($AG4472=1,SUMPRODUCT(--($AK$2:$AK$6001&lt;$AK4472))+1,"")</f>
        <v/>
      </c>
      <c r="AI4472">
        <f>IF($C4472="","",IF(OR($N4472=TRUE(),$N4472="TRUE"),1,0))</f>
        <v/>
      </c>
      <c r="AJ4472">
        <f>IF($C4472="","",IF($T4472="Yes",1,0))</f>
        <v/>
      </c>
      <c r="AK4472">
        <f>IF($AG4472=1,IFERROR(IF(VALUE($C4472)&lt;100000000,VALUE($C4472),1000000000),IFERROR(IF(VALUE(MID($C4472,2,20))&lt;100000000,VALUE(MID($C4472,2,20)),1000000000),1000000000))+ROW()/100000,"")</f>
        <v/>
      </c>
    </row>
    <row r="4473">
      <c r="D4473" s="11" t="n"/>
      <c r="K4473" s="7">
        <f>IF($C4473="","",J4473*W4473/100)</f>
        <v/>
      </c>
      <c r="Q4473" s="7" t="n"/>
      <c r="R4473" s="7" t="n"/>
      <c r="U4473">
        <f>IF($C4473="","",IF($AJ4473=1,0,IF($AI4473=1,Settings!$C$6,Settings!$C$7))*100)</f>
        <v/>
      </c>
      <c r="V4473" s="7">
        <f>IF($C4473="","",R4473*U4473/100)</f>
        <v/>
      </c>
      <c r="W4473" s="7">
        <f>IF($C4473="","",R4473-V4473)</f>
        <v/>
      </c>
      <c r="X4473" s="7">
        <f>IF($C4473="","",W4473-K4473)</f>
        <v/>
      </c>
      <c r="AB4473" s="7" t="n"/>
      <c r="AE4473" s="11" t="n"/>
      <c r="AG4473">
        <f>IF($C4473="","",IF(COUNTIF($C$2:$C4473,$C4473)=1,1,0))</f>
        <v/>
      </c>
      <c r="AH4473">
        <f>IF($AG4473=1,SUMPRODUCT(--($AK$2:$AK$6001&lt;$AK4473))+1,"")</f>
        <v/>
      </c>
      <c r="AI4473">
        <f>IF($C4473="","",IF(OR($N4473=TRUE(),$N4473="TRUE"),1,0))</f>
        <v/>
      </c>
      <c r="AJ4473">
        <f>IF($C4473="","",IF($T4473="Yes",1,0))</f>
        <v/>
      </c>
      <c r="AK4473">
        <f>IF($AG4473=1,IFERROR(IF(VALUE($C4473)&lt;100000000,VALUE($C4473),1000000000),IFERROR(IF(VALUE(MID($C4473,2,20))&lt;100000000,VALUE(MID($C4473,2,20)),1000000000),1000000000))+ROW()/100000,"")</f>
        <v/>
      </c>
    </row>
    <row r="4474">
      <c r="D4474" s="11" t="n"/>
      <c r="K4474" s="7">
        <f>IF($C4474="","",J4474*W4474/100)</f>
        <v/>
      </c>
      <c r="Q4474" s="7" t="n"/>
      <c r="R4474" s="7" t="n"/>
      <c r="U4474">
        <f>IF($C4474="","",IF($AJ4474=1,0,IF($AI4474=1,Settings!$C$6,Settings!$C$7))*100)</f>
        <v/>
      </c>
      <c r="V4474" s="7">
        <f>IF($C4474="","",R4474*U4474/100)</f>
        <v/>
      </c>
      <c r="W4474" s="7">
        <f>IF($C4474="","",R4474-V4474)</f>
        <v/>
      </c>
      <c r="X4474" s="7">
        <f>IF($C4474="","",W4474-K4474)</f>
        <v/>
      </c>
      <c r="AB4474" s="7" t="n"/>
      <c r="AE4474" s="11" t="n"/>
      <c r="AG4474">
        <f>IF($C4474="","",IF(COUNTIF($C$2:$C4474,$C4474)=1,1,0))</f>
        <v/>
      </c>
      <c r="AH4474">
        <f>IF($AG4474=1,SUMPRODUCT(--($AK$2:$AK$6001&lt;$AK4474))+1,"")</f>
        <v/>
      </c>
      <c r="AI4474">
        <f>IF($C4474="","",IF(OR($N4474=TRUE(),$N4474="TRUE"),1,0))</f>
        <v/>
      </c>
      <c r="AJ4474">
        <f>IF($C4474="","",IF($T4474="Yes",1,0))</f>
        <v/>
      </c>
      <c r="AK4474">
        <f>IF($AG4474=1,IFERROR(IF(VALUE($C4474)&lt;100000000,VALUE($C4474),1000000000),IFERROR(IF(VALUE(MID($C4474,2,20))&lt;100000000,VALUE(MID($C4474,2,20)),1000000000),1000000000))+ROW()/100000,"")</f>
        <v/>
      </c>
    </row>
    <row r="4475">
      <c r="D4475" s="11" t="n"/>
      <c r="K4475" s="7">
        <f>IF($C4475="","",J4475*W4475/100)</f>
        <v/>
      </c>
      <c r="Q4475" s="7" t="n"/>
      <c r="R4475" s="7" t="n"/>
      <c r="U4475">
        <f>IF($C4475="","",IF($AJ4475=1,0,IF($AI4475=1,Settings!$C$6,Settings!$C$7))*100)</f>
        <v/>
      </c>
      <c r="V4475" s="7">
        <f>IF($C4475="","",R4475*U4475/100)</f>
        <v/>
      </c>
      <c r="W4475" s="7">
        <f>IF($C4475="","",R4475-V4475)</f>
        <v/>
      </c>
      <c r="X4475" s="7">
        <f>IF($C4475="","",W4475-K4475)</f>
        <v/>
      </c>
      <c r="AB4475" s="7" t="n"/>
      <c r="AE4475" s="11" t="n"/>
      <c r="AG4475">
        <f>IF($C4475="","",IF(COUNTIF($C$2:$C4475,$C4475)=1,1,0))</f>
        <v/>
      </c>
      <c r="AH4475">
        <f>IF($AG4475=1,SUMPRODUCT(--($AK$2:$AK$6001&lt;$AK4475))+1,"")</f>
        <v/>
      </c>
      <c r="AI4475">
        <f>IF($C4475="","",IF(OR($N4475=TRUE(),$N4475="TRUE"),1,0))</f>
        <v/>
      </c>
      <c r="AJ4475">
        <f>IF($C4475="","",IF($T4475="Yes",1,0))</f>
        <v/>
      </c>
      <c r="AK4475">
        <f>IF($AG4475=1,IFERROR(IF(VALUE($C4475)&lt;100000000,VALUE($C4475),1000000000),IFERROR(IF(VALUE(MID($C4475,2,20))&lt;100000000,VALUE(MID($C4475,2,20)),1000000000),1000000000))+ROW()/100000,"")</f>
        <v/>
      </c>
    </row>
    <row r="4476">
      <c r="D4476" s="11" t="n"/>
      <c r="K4476" s="7">
        <f>IF($C4476="","",J4476*W4476/100)</f>
        <v/>
      </c>
      <c r="Q4476" s="7" t="n"/>
      <c r="R4476" s="7" t="n"/>
      <c r="U4476">
        <f>IF($C4476="","",IF($AJ4476=1,0,IF($AI4476=1,Settings!$C$6,Settings!$C$7))*100)</f>
        <v/>
      </c>
      <c r="V4476" s="7">
        <f>IF($C4476="","",R4476*U4476/100)</f>
        <v/>
      </c>
      <c r="W4476" s="7">
        <f>IF($C4476="","",R4476-V4476)</f>
        <v/>
      </c>
      <c r="X4476" s="7">
        <f>IF($C4476="","",W4476-K4476)</f>
        <v/>
      </c>
      <c r="AB4476" s="7" t="n"/>
      <c r="AE4476" s="11" t="n"/>
      <c r="AG4476">
        <f>IF($C4476="","",IF(COUNTIF($C$2:$C4476,$C4476)=1,1,0))</f>
        <v/>
      </c>
      <c r="AH4476">
        <f>IF($AG4476=1,SUMPRODUCT(--($AK$2:$AK$6001&lt;$AK4476))+1,"")</f>
        <v/>
      </c>
      <c r="AI4476">
        <f>IF($C4476="","",IF(OR($N4476=TRUE(),$N4476="TRUE"),1,0))</f>
        <v/>
      </c>
      <c r="AJ4476">
        <f>IF($C4476="","",IF($T4476="Yes",1,0))</f>
        <v/>
      </c>
      <c r="AK4476">
        <f>IF($AG4476=1,IFERROR(IF(VALUE($C4476)&lt;100000000,VALUE($C4476),1000000000),IFERROR(IF(VALUE(MID($C4476,2,20))&lt;100000000,VALUE(MID($C4476,2,20)),1000000000),1000000000))+ROW()/100000,"")</f>
        <v/>
      </c>
    </row>
    <row r="4477">
      <c r="D4477" s="11" t="n"/>
      <c r="K4477" s="7">
        <f>IF($C4477="","",J4477*W4477/100)</f>
        <v/>
      </c>
      <c r="Q4477" s="7" t="n"/>
      <c r="R4477" s="7" t="n"/>
      <c r="U4477">
        <f>IF($C4477="","",IF($AJ4477=1,0,IF($AI4477=1,Settings!$C$6,Settings!$C$7))*100)</f>
        <v/>
      </c>
      <c r="V4477" s="7">
        <f>IF($C4477="","",R4477*U4477/100)</f>
        <v/>
      </c>
      <c r="W4477" s="7">
        <f>IF($C4477="","",R4477-V4477)</f>
        <v/>
      </c>
      <c r="X4477" s="7">
        <f>IF($C4477="","",W4477-K4477)</f>
        <v/>
      </c>
      <c r="AB4477" s="7" t="n"/>
      <c r="AE4477" s="11" t="n"/>
      <c r="AG4477">
        <f>IF($C4477="","",IF(COUNTIF($C$2:$C4477,$C4477)=1,1,0))</f>
        <v/>
      </c>
      <c r="AH4477">
        <f>IF($AG4477=1,SUMPRODUCT(--($AK$2:$AK$6001&lt;$AK4477))+1,"")</f>
        <v/>
      </c>
      <c r="AI4477">
        <f>IF($C4477="","",IF(OR($N4477=TRUE(),$N4477="TRUE"),1,0))</f>
        <v/>
      </c>
      <c r="AJ4477">
        <f>IF($C4477="","",IF($T4477="Yes",1,0))</f>
        <v/>
      </c>
      <c r="AK4477">
        <f>IF($AG4477=1,IFERROR(IF(VALUE($C4477)&lt;100000000,VALUE($C4477),1000000000),IFERROR(IF(VALUE(MID($C4477,2,20))&lt;100000000,VALUE(MID($C4477,2,20)),1000000000),1000000000))+ROW()/100000,"")</f>
        <v/>
      </c>
    </row>
    <row r="4478">
      <c r="D4478" s="11" t="n"/>
      <c r="K4478" s="7">
        <f>IF($C4478="","",J4478*W4478/100)</f>
        <v/>
      </c>
      <c r="Q4478" s="7" t="n"/>
      <c r="R4478" s="7" t="n"/>
      <c r="U4478">
        <f>IF($C4478="","",IF($AJ4478=1,0,IF($AI4478=1,Settings!$C$6,Settings!$C$7))*100)</f>
        <v/>
      </c>
      <c r="V4478" s="7">
        <f>IF($C4478="","",R4478*U4478/100)</f>
        <v/>
      </c>
      <c r="W4478" s="7">
        <f>IF($C4478="","",R4478-V4478)</f>
        <v/>
      </c>
      <c r="X4478" s="7">
        <f>IF($C4478="","",W4478-K4478)</f>
        <v/>
      </c>
      <c r="AB4478" s="7" t="n"/>
      <c r="AE4478" s="11" t="n"/>
      <c r="AG4478">
        <f>IF($C4478="","",IF(COUNTIF($C$2:$C4478,$C4478)=1,1,0))</f>
        <v/>
      </c>
      <c r="AH4478">
        <f>IF($AG4478=1,SUMPRODUCT(--($AK$2:$AK$6001&lt;$AK4478))+1,"")</f>
        <v/>
      </c>
      <c r="AI4478">
        <f>IF($C4478="","",IF(OR($N4478=TRUE(),$N4478="TRUE"),1,0))</f>
        <v/>
      </c>
      <c r="AJ4478">
        <f>IF($C4478="","",IF($T4478="Yes",1,0))</f>
        <v/>
      </c>
      <c r="AK4478">
        <f>IF($AG4478=1,IFERROR(IF(VALUE($C4478)&lt;100000000,VALUE($C4478),1000000000),IFERROR(IF(VALUE(MID($C4478,2,20))&lt;100000000,VALUE(MID($C4478,2,20)),1000000000),1000000000))+ROW()/100000,"")</f>
        <v/>
      </c>
    </row>
    <row r="4479">
      <c r="D4479" s="11" t="n"/>
      <c r="K4479" s="7">
        <f>IF($C4479="","",J4479*W4479/100)</f>
        <v/>
      </c>
      <c r="Q4479" s="7" t="n"/>
      <c r="R4479" s="7" t="n"/>
      <c r="U4479">
        <f>IF($C4479="","",IF($AJ4479=1,0,IF($AI4479=1,Settings!$C$6,Settings!$C$7))*100)</f>
        <v/>
      </c>
      <c r="V4479" s="7">
        <f>IF($C4479="","",R4479*U4479/100)</f>
        <v/>
      </c>
      <c r="W4479" s="7">
        <f>IF($C4479="","",R4479-V4479)</f>
        <v/>
      </c>
      <c r="X4479" s="7">
        <f>IF($C4479="","",W4479-K4479)</f>
        <v/>
      </c>
      <c r="AB4479" s="7" t="n"/>
      <c r="AE4479" s="11" t="n"/>
      <c r="AG4479">
        <f>IF($C4479="","",IF(COUNTIF($C$2:$C4479,$C4479)=1,1,0))</f>
        <v/>
      </c>
      <c r="AH4479">
        <f>IF($AG4479=1,SUMPRODUCT(--($AK$2:$AK$6001&lt;$AK4479))+1,"")</f>
        <v/>
      </c>
      <c r="AI4479">
        <f>IF($C4479="","",IF(OR($N4479=TRUE(),$N4479="TRUE"),1,0))</f>
        <v/>
      </c>
      <c r="AJ4479">
        <f>IF($C4479="","",IF($T4479="Yes",1,0))</f>
        <v/>
      </c>
      <c r="AK4479">
        <f>IF($AG4479=1,IFERROR(IF(VALUE($C4479)&lt;100000000,VALUE($C4479),1000000000),IFERROR(IF(VALUE(MID($C4479,2,20))&lt;100000000,VALUE(MID($C4479,2,20)),1000000000),1000000000))+ROW()/100000,"")</f>
        <v/>
      </c>
    </row>
    <row r="4480">
      <c r="D4480" s="11" t="n"/>
      <c r="K4480" s="7">
        <f>IF($C4480="","",J4480*W4480/100)</f>
        <v/>
      </c>
      <c r="Q4480" s="7" t="n"/>
      <c r="R4480" s="7" t="n"/>
      <c r="U4480">
        <f>IF($C4480="","",IF($AJ4480=1,0,IF($AI4480=1,Settings!$C$6,Settings!$C$7))*100)</f>
        <v/>
      </c>
      <c r="V4480" s="7">
        <f>IF($C4480="","",R4480*U4480/100)</f>
        <v/>
      </c>
      <c r="W4480" s="7">
        <f>IF($C4480="","",R4480-V4480)</f>
        <v/>
      </c>
      <c r="X4480" s="7">
        <f>IF($C4480="","",W4480-K4480)</f>
        <v/>
      </c>
      <c r="AB4480" s="7" t="n"/>
      <c r="AE4480" s="11" t="n"/>
      <c r="AG4480">
        <f>IF($C4480="","",IF(COUNTIF($C$2:$C4480,$C4480)=1,1,0))</f>
        <v/>
      </c>
      <c r="AH4480">
        <f>IF($AG4480=1,SUMPRODUCT(--($AK$2:$AK$6001&lt;$AK4480))+1,"")</f>
        <v/>
      </c>
      <c r="AI4480">
        <f>IF($C4480="","",IF(OR($N4480=TRUE(),$N4480="TRUE"),1,0))</f>
        <v/>
      </c>
      <c r="AJ4480">
        <f>IF($C4480="","",IF($T4480="Yes",1,0))</f>
        <v/>
      </c>
      <c r="AK4480">
        <f>IF($AG4480=1,IFERROR(IF(VALUE($C4480)&lt;100000000,VALUE($C4480),1000000000),IFERROR(IF(VALUE(MID($C4480,2,20))&lt;100000000,VALUE(MID($C4480,2,20)),1000000000),1000000000))+ROW()/100000,"")</f>
        <v/>
      </c>
    </row>
    <row r="4481">
      <c r="D4481" s="11" t="n"/>
      <c r="K4481" s="7">
        <f>IF($C4481="","",J4481*W4481/100)</f>
        <v/>
      </c>
      <c r="Q4481" s="7" t="n"/>
      <c r="R4481" s="7" t="n"/>
      <c r="U4481">
        <f>IF($C4481="","",IF($AJ4481=1,0,IF($AI4481=1,Settings!$C$6,Settings!$C$7))*100)</f>
        <v/>
      </c>
      <c r="V4481" s="7">
        <f>IF($C4481="","",R4481*U4481/100)</f>
        <v/>
      </c>
      <c r="W4481" s="7">
        <f>IF($C4481="","",R4481-V4481)</f>
        <v/>
      </c>
      <c r="X4481" s="7">
        <f>IF($C4481="","",W4481-K4481)</f>
        <v/>
      </c>
      <c r="AB4481" s="7" t="n"/>
      <c r="AE4481" s="11" t="n"/>
      <c r="AG4481">
        <f>IF($C4481="","",IF(COUNTIF($C$2:$C4481,$C4481)=1,1,0))</f>
        <v/>
      </c>
      <c r="AH4481">
        <f>IF($AG4481=1,SUMPRODUCT(--($AK$2:$AK$6001&lt;$AK4481))+1,"")</f>
        <v/>
      </c>
      <c r="AI4481">
        <f>IF($C4481="","",IF(OR($N4481=TRUE(),$N4481="TRUE"),1,0))</f>
        <v/>
      </c>
      <c r="AJ4481">
        <f>IF($C4481="","",IF($T4481="Yes",1,0))</f>
        <v/>
      </c>
      <c r="AK4481">
        <f>IF($AG4481=1,IFERROR(IF(VALUE($C4481)&lt;100000000,VALUE($C4481),1000000000),IFERROR(IF(VALUE(MID($C4481,2,20))&lt;100000000,VALUE(MID($C4481,2,20)),1000000000),1000000000))+ROW()/100000,"")</f>
        <v/>
      </c>
    </row>
    <row r="4482">
      <c r="D4482" s="11" t="n"/>
      <c r="K4482" s="7">
        <f>IF($C4482="","",J4482*W4482/100)</f>
        <v/>
      </c>
      <c r="Q4482" s="7" t="n"/>
      <c r="R4482" s="7" t="n"/>
      <c r="U4482">
        <f>IF($C4482="","",IF($AJ4482=1,0,IF($AI4482=1,Settings!$C$6,Settings!$C$7))*100)</f>
        <v/>
      </c>
      <c r="V4482" s="7">
        <f>IF($C4482="","",R4482*U4482/100)</f>
        <v/>
      </c>
      <c r="W4482" s="7">
        <f>IF($C4482="","",R4482-V4482)</f>
        <v/>
      </c>
      <c r="X4482" s="7">
        <f>IF($C4482="","",W4482-K4482)</f>
        <v/>
      </c>
      <c r="AB4482" s="7" t="n"/>
      <c r="AE4482" s="11" t="n"/>
      <c r="AG4482">
        <f>IF($C4482="","",IF(COUNTIF($C$2:$C4482,$C4482)=1,1,0))</f>
        <v/>
      </c>
      <c r="AH4482">
        <f>IF($AG4482=1,SUMPRODUCT(--($AK$2:$AK$6001&lt;$AK4482))+1,"")</f>
        <v/>
      </c>
      <c r="AI4482">
        <f>IF($C4482="","",IF(OR($N4482=TRUE(),$N4482="TRUE"),1,0))</f>
        <v/>
      </c>
      <c r="AJ4482">
        <f>IF($C4482="","",IF($T4482="Yes",1,0))</f>
        <v/>
      </c>
      <c r="AK4482">
        <f>IF($AG4482=1,IFERROR(IF(VALUE($C4482)&lt;100000000,VALUE($C4482),1000000000),IFERROR(IF(VALUE(MID($C4482,2,20))&lt;100000000,VALUE(MID($C4482,2,20)),1000000000),1000000000))+ROW()/100000,"")</f>
        <v/>
      </c>
    </row>
    <row r="4483">
      <c r="D4483" s="11" t="n"/>
      <c r="K4483" s="7">
        <f>IF($C4483="","",J4483*W4483/100)</f>
        <v/>
      </c>
      <c r="Q4483" s="7" t="n"/>
      <c r="R4483" s="7" t="n"/>
      <c r="U4483">
        <f>IF($C4483="","",IF($AJ4483=1,0,IF($AI4483=1,Settings!$C$6,Settings!$C$7))*100)</f>
        <v/>
      </c>
      <c r="V4483" s="7">
        <f>IF($C4483="","",R4483*U4483/100)</f>
        <v/>
      </c>
      <c r="W4483" s="7">
        <f>IF($C4483="","",R4483-V4483)</f>
        <v/>
      </c>
      <c r="X4483" s="7">
        <f>IF($C4483="","",W4483-K4483)</f>
        <v/>
      </c>
      <c r="AB4483" s="7" t="n"/>
      <c r="AE4483" s="11" t="n"/>
      <c r="AG4483">
        <f>IF($C4483="","",IF(COUNTIF($C$2:$C4483,$C4483)=1,1,0))</f>
        <v/>
      </c>
      <c r="AH4483">
        <f>IF($AG4483=1,SUMPRODUCT(--($AK$2:$AK$6001&lt;$AK4483))+1,"")</f>
        <v/>
      </c>
      <c r="AI4483">
        <f>IF($C4483="","",IF(OR($N4483=TRUE(),$N4483="TRUE"),1,0))</f>
        <v/>
      </c>
      <c r="AJ4483">
        <f>IF($C4483="","",IF($T4483="Yes",1,0))</f>
        <v/>
      </c>
      <c r="AK4483">
        <f>IF($AG4483=1,IFERROR(IF(VALUE($C4483)&lt;100000000,VALUE($C4483),1000000000),IFERROR(IF(VALUE(MID($C4483,2,20))&lt;100000000,VALUE(MID($C4483,2,20)),1000000000),1000000000))+ROW()/100000,"")</f>
        <v/>
      </c>
    </row>
    <row r="4484">
      <c r="D4484" s="11" t="n"/>
      <c r="K4484" s="7">
        <f>IF($C4484="","",J4484*W4484/100)</f>
        <v/>
      </c>
      <c r="Q4484" s="7" t="n"/>
      <c r="R4484" s="7" t="n"/>
      <c r="U4484">
        <f>IF($C4484="","",IF($AJ4484=1,0,IF($AI4484=1,Settings!$C$6,Settings!$C$7))*100)</f>
        <v/>
      </c>
      <c r="V4484" s="7">
        <f>IF($C4484="","",R4484*U4484/100)</f>
        <v/>
      </c>
      <c r="W4484" s="7">
        <f>IF($C4484="","",R4484-V4484)</f>
        <v/>
      </c>
      <c r="X4484" s="7">
        <f>IF($C4484="","",W4484-K4484)</f>
        <v/>
      </c>
      <c r="AB4484" s="7" t="n"/>
      <c r="AE4484" s="11" t="n"/>
      <c r="AG4484">
        <f>IF($C4484="","",IF(COUNTIF($C$2:$C4484,$C4484)=1,1,0))</f>
        <v/>
      </c>
      <c r="AH4484">
        <f>IF($AG4484=1,SUMPRODUCT(--($AK$2:$AK$6001&lt;$AK4484))+1,"")</f>
        <v/>
      </c>
      <c r="AI4484">
        <f>IF($C4484="","",IF(OR($N4484=TRUE(),$N4484="TRUE"),1,0))</f>
        <v/>
      </c>
      <c r="AJ4484">
        <f>IF($C4484="","",IF($T4484="Yes",1,0))</f>
        <v/>
      </c>
      <c r="AK4484">
        <f>IF($AG4484=1,IFERROR(IF(VALUE($C4484)&lt;100000000,VALUE($C4484),1000000000),IFERROR(IF(VALUE(MID($C4484,2,20))&lt;100000000,VALUE(MID($C4484,2,20)),1000000000),1000000000))+ROW()/100000,"")</f>
        <v/>
      </c>
    </row>
    <row r="4485">
      <c r="D4485" s="11" t="n"/>
      <c r="K4485" s="7">
        <f>IF($C4485="","",J4485*W4485/100)</f>
        <v/>
      </c>
      <c r="Q4485" s="7" t="n"/>
      <c r="R4485" s="7" t="n"/>
      <c r="U4485">
        <f>IF($C4485="","",IF($AJ4485=1,0,IF($AI4485=1,Settings!$C$6,Settings!$C$7))*100)</f>
        <v/>
      </c>
      <c r="V4485" s="7">
        <f>IF($C4485="","",R4485*U4485/100)</f>
        <v/>
      </c>
      <c r="W4485" s="7">
        <f>IF($C4485="","",R4485-V4485)</f>
        <v/>
      </c>
      <c r="X4485" s="7">
        <f>IF($C4485="","",W4485-K4485)</f>
        <v/>
      </c>
      <c r="AB4485" s="7" t="n"/>
      <c r="AE4485" s="11" t="n"/>
      <c r="AG4485">
        <f>IF($C4485="","",IF(COUNTIF($C$2:$C4485,$C4485)=1,1,0))</f>
        <v/>
      </c>
      <c r="AH4485">
        <f>IF($AG4485=1,SUMPRODUCT(--($AK$2:$AK$6001&lt;$AK4485))+1,"")</f>
        <v/>
      </c>
      <c r="AI4485">
        <f>IF($C4485="","",IF(OR($N4485=TRUE(),$N4485="TRUE"),1,0))</f>
        <v/>
      </c>
      <c r="AJ4485">
        <f>IF($C4485="","",IF($T4485="Yes",1,0))</f>
        <v/>
      </c>
      <c r="AK4485">
        <f>IF($AG4485=1,IFERROR(IF(VALUE($C4485)&lt;100000000,VALUE($C4485),1000000000),IFERROR(IF(VALUE(MID($C4485,2,20))&lt;100000000,VALUE(MID($C4485,2,20)),1000000000),1000000000))+ROW()/100000,"")</f>
        <v/>
      </c>
    </row>
    <row r="4486">
      <c r="D4486" s="11" t="n"/>
      <c r="K4486" s="7">
        <f>IF($C4486="","",J4486*W4486/100)</f>
        <v/>
      </c>
      <c r="Q4486" s="7" t="n"/>
      <c r="R4486" s="7" t="n"/>
      <c r="U4486">
        <f>IF($C4486="","",IF($AJ4486=1,0,IF($AI4486=1,Settings!$C$6,Settings!$C$7))*100)</f>
        <v/>
      </c>
      <c r="V4486" s="7">
        <f>IF($C4486="","",R4486*U4486/100)</f>
        <v/>
      </c>
      <c r="W4486" s="7">
        <f>IF($C4486="","",R4486-V4486)</f>
        <v/>
      </c>
      <c r="X4486" s="7">
        <f>IF($C4486="","",W4486-K4486)</f>
        <v/>
      </c>
      <c r="AB4486" s="7" t="n"/>
      <c r="AE4486" s="11" t="n"/>
      <c r="AG4486">
        <f>IF($C4486="","",IF(COUNTIF($C$2:$C4486,$C4486)=1,1,0))</f>
        <v/>
      </c>
      <c r="AH4486">
        <f>IF($AG4486=1,SUMPRODUCT(--($AK$2:$AK$6001&lt;$AK4486))+1,"")</f>
        <v/>
      </c>
      <c r="AI4486">
        <f>IF($C4486="","",IF(OR($N4486=TRUE(),$N4486="TRUE"),1,0))</f>
        <v/>
      </c>
      <c r="AJ4486">
        <f>IF($C4486="","",IF($T4486="Yes",1,0))</f>
        <v/>
      </c>
      <c r="AK4486">
        <f>IF($AG4486=1,IFERROR(IF(VALUE($C4486)&lt;100000000,VALUE($C4486),1000000000),IFERROR(IF(VALUE(MID($C4486,2,20))&lt;100000000,VALUE(MID($C4486,2,20)),1000000000),1000000000))+ROW()/100000,"")</f>
        <v/>
      </c>
    </row>
    <row r="4487">
      <c r="D4487" s="11" t="n"/>
      <c r="K4487" s="7">
        <f>IF($C4487="","",J4487*W4487/100)</f>
        <v/>
      </c>
      <c r="Q4487" s="7" t="n"/>
      <c r="R4487" s="7" t="n"/>
      <c r="U4487">
        <f>IF($C4487="","",IF($AJ4487=1,0,IF($AI4487=1,Settings!$C$6,Settings!$C$7))*100)</f>
        <v/>
      </c>
      <c r="V4487" s="7">
        <f>IF($C4487="","",R4487*U4487/100)</f>
        <v/>
      </c>
      <c r="W4487" s="7">
        <f>IF($C4487="","",R4487-V4487)</f>
        <v/>
      </c>
      <c r="X4487" s="7">
        <f>IF($C4487="","",W4487-K4487)</f>
        <v/>
      </c>
      <c r="AB4487" s="7" t="n"/>
      <c r="AE4487" s="11" t="n"/>
      <c r="AG4487">
        <f>IF($C4487="","",IF(COUNTIF($C$2:$C4487,$C4487)=1,1,0))</f>
        <v/>
      </c>
      <c r="AH4487">
        <f>IF($AG4487=1,SUMPRODUCT(--($AK$2:$AK$6001&lt;$AK4487))+1,"")</f>
        <v/>
      </c>
      <c r="AI4487">
        <f>IF($C4487="","",IF(OR($N4487=TRUE(),$N4487="TRUE"),1,0))</f>
        <v/>
      </c>
      <c r="AJ4487">
        <f>IF($C4487="","",IF($T4487="Yes",1,0))</f>
        <v/>
      </c>
      <c r="AK4487">
        <f>IF($AG4487=1,IFERROR(IF(VALUE($C4487)&lt;100000000,VALUE($C4487),1000000000),IFERROR(IF(VALUE(MID($C4487,2,20))&lt;100000000,VALUE(MID($C4487,2,20)),1000000000),1000000000))+ROW()/100000,"")</f>
        <v/>
      </c>
    </row>
    <row r="4488">
      <c r="D4488" s="11" t="n"/>
      <c r="K4488" s="7">
        <f>IF($C4488="","",J4488*W4488/100)</f>
        <v/>
      </c>
      <c r="Q4488" s="7" t="n"/>
      <c r="R4488" s="7" t="n"/>
      <c r="U4488">
        <f>IF($C4488="","",IF($AJ4488=1,0,IF($AI4488=1,Settings!$C$6,Settings!$C$7))*100)</f>
        <v/>
      </c>
      <c r="V4488" s="7">
        <f>IF($C4488="","",R4488*U4488/100)</f>
        <v/>
      </c>
      <c r="W4488" s="7">
        <f>IF($C4488="","",R4488-V4488)</f>
        <v/>
      </c>
      <c r="X4488" s="7">
        <f>IF($C4488="","",W4488-K4488)</f>
        <v/>
      </c>
      <c r="AB4488" s="7" t="n"/>
      <c r="AE4488" s="11" t="n"/>
      <c r="AG4488">
        <f>IF($C4488="","",IF(COUNTIF($C$2:$C4488,$C4488)=1,1,0))</f>
        <v/>
      </c>
      <c r="AH4488">
        <f>IF($AG4488=1,SUMPRODUCT(--($AK$2:$AK$6001&lt;$AK4488))+1,"")</f>
        <v/>
      </c>
      <c r="AI4488">
        <f>IF($C4488="","",IF(OR($N4488=TRUE(),$N4488="TRUE"),1,0))</f>
        <v/>
      </c>
      <c r="AJ4488">
        <f>IF($C4488="","",IF($T4488="Yes",1,0))</f>
        <v/>
      </c>
      <c r="AK4488">
        <f>IF($AG4488=1,IFERROR(IF(VALUE($C4488)&lt;100000000,VALUE($C4488),1000000000),IFERROR(IF(VALUE(MID($C4488,2,20))&lt;100000000,VALUE(MID($C4488,2,20)),1000000000),1000000000))+ROW()/100000,"")</f>
        <v/>
      </c>
    </row>
    <row r="4489">
      <c r="D4489" s="11" t="n"/>
      <c r="K4489" s="7">
        <f>IF($C4489="","",J4489*W4489/100)</f>
        <v/>
      </c>
      <c r="Q4489" s="7" t="n"/>
      <c r="R4489" s="7" t="n"/>
      <c r="U4489">
        <f>IF($C4489="","",IF($AJ4489=1,0,IF($AI4489=1,Settings!$C$6,Settings!$C$7))*100)</f>
        <v/>
      </c>
      <c r="V4489" s="7">
        <f>IF($C4489="","",R4489*U4489/100)</f>
        <v/>
      </c>
      <c r="W4489" s="7">
        <f>IF($C4489="","",R4489-V4489)</f>
        <v/>
      </c>
      <c r="X4489" s="7">
        <f>IF($C4489="","",W4489-K4489)</f>
        <v/>
      </c>
      <c r="AB4489" s="7" t="n"/>
      <c r="AE4489" s="11" t="n"/>
      <c r="AG4489">
        <f>IF($C4489="","",IF(COUNTIF($C$2:$C4489,$C4489)=1,1,0))</f>
        <v/>
      </c>
      <c r="AH4489">
        <f>IF($AG4489=1,SUMPRODUCT(--($AK$2:$AK$6001&lt;$AK4489))+1,"")</f>
        <v/>
      </c>
      <c r="AI4489">
        <f>IF($C4489="","",IF(OR($N4489=TRUE(),$N4489="TRUE"),1,0))</f>
        <v/>
      </c>
      <c r="AJ4489">
        <f>IF($C4489="","",IF($T4489="Yes",1,0))</f>
        <v/>
      </c>
      <c r="AK4489">
        <f>IF($AG4489=1,IFERROR(IF(VALUE($C4489)&lt;100000000,VALUE($C4489),1000000000),IFERROR(IF(VALUE(MID($C4489,2,20))&lt;100000000,VALUE(MID($C4489,2,20)),1000000000),1000000000))+ROW()/100000,"")</f>
        <v/>
      </c>
    </row>
    <row r="4490">
      <c r="D4490" s="11" t="n"/>
      <c r="K4490" s="7">
        <f>IF($C4490="","",J4490*W4490/100)</f>
        <v/>
      </c>
      <c r="Q4490" s="7" t="n"/>
      <c r="R4490" s="7" t="n"/>
      <c r="U4490">
        <f>IF($C4490="","",IF($AJ4490=1,0,IF($AI4490=1,Settings!$C$6,Settings!$C$7))*100)</f>
        <v/>
      </c>
      <c r="V4490" s="7">
        <f>IF($C4490="","",R4490*U4490/100)</f>
        <v/>
      </c>
      <c r="W4490" s="7">
        <f>IF($C4490="","",R4490-V4490)</f>
        <v/>
      </c>
      <c r="X4490" s="7">
        <f>IF($C4490="","",W4490-K4490)</f>
        <v/>
      </c>
      <c r="AB4490" s="7" t="n"/>
      <c r="AE4490" s="11" t="n"/>
      <c r="AG4490">
        <f>IF($C4490="","",IF(COUNTIF($C$2:$C4490,$C4490)=1,1,0))</f>
        <v/>
      </c>
      <c r="AH4490">
        <f>IF($AG4490=1,SUMPRODUCT(--($AK$2:$AK$6001&lt;$AK4490))+1,"")</f>
        <v/>
      </c>
      <c r="AI4490">
        <f>IF($C4490="","",IF(OR($N4490=TRUE(),$N4490="TRUE"),1,0))</f>
        <v/>
      </c>
      <c r="AJ4490">
        <f>IF($C4490="","",IF($T4490="Yes",1,0))</f>
        <v/>
      </c>
      <c r="AK4490">
        <f>IF($AG4490=1,IFERROR(IF(VALUE($C4490)&lt;100000000,VALUE($C4490),1000000000),IFERROR(IF(VALUE(MID($C4490,2,20))&lt;100000000,VALUE(MID($C4490,2,20)),1000000000),1000000000))+ROW()/100000,"")</f>
        <v/>
      </c>
    </row>
    <row r="4491">
      <c r="D4491" s="11" t="n"/>
      <c r="K4491" s="7">
        <f>IF($C4491="","",J4491*W4491/100)</f>
        <v/>
      </c>
      <c r="Q4491" s="7" t="n"/>
      <c r="R4491" s="7" t="n"/>
      <c r="U4491">
        <f>IF($C4491="","",IF($AJ4491=1,0,IF($AI4491=1,Settings!$C$6,Settings!$C$7))*100)</f>
        <v/>
      </c>
      <c r="V4491" s="7">
        <f>IF($C4491="","",R4491*U4491/100)</f>
        <v/>
      </c>
      <c r="W4491" s="7">
        <f>IF($C4491="","",R4491-V4491)</f>
        <v/>
      </c>
      <c r="X4491" s="7">
        <f>IF($C4491="","",W4491-K4491)</f>
        <v/>
      </c>
      <c r="AB4491" s="7" t="n"/>
      <c r="AE4491" s="11" t="n"/>
      <c r="AG4491">
        <f>IF($C4491="","",IF(COUNTIF($C$2:$C4491,$C4491)=1,1,0))</f>
        <v/>
      </c>
      <c r="AH4491">
        <f>IF($AG4491=1,SUMPRODUCT(--($AK$2:$AK$6001&lt;$AK4491))+1,"")</f>
        <v/>
      </c>
      <c r="AI4491">
        <f>IF($C4491="","",IF(OR($N4491=TRUE(),$N4491="TRUE"),1,0))</f>
        <v/>
      </c>
      <c r="AJ4491">
        <f>IF($C4491="","",IF($T4491="Yes",1,0))</f>
        <v/>
      </c>
      <c r="AK4491">
        <f>IF($AG4491=1,IFERROR(IF(VALUE($C4491)&lt;100000000,VALUE($C4491),1000000000),IFERROR(IF(VALUE(MID($C4491,2,20))&lt;100000000,VALUE(MID($C4491,2,20)),1000000000),1000000000))+ROW()/100000,"")</f>
        <v/>
      </c>
    </row>
    <row r="4492">
      <c r="D4492" s="11" t="n"/>
      <c r="K4492" s="7">
        <f>IF($C4492="","",J4492*W4492/100)</f>
        <v/>
      </c>
      <c r="Q4492" s="7" t="n"/>
      <c r="R4492" s="7" t="n"/>
      <c r="U4492">
        <f>IF($C4492="","",IF($AJ4492=1,0,IF($AI4492=1,Settings!$C$6,Settings!$C$7))*100)</f>
        <v/>
      </c>
      <c r="V4492" s="7">
        <f>IF($C4492="","",R4492*U4492/100)</f>
        <v/>
      </c>
      <c r="W4492" s="7">
        <f>IF($C4492="","",R4492-V4492)</f>
        <v/>
      </c>
      <c r="X4492" s="7">
        <f>IF($C4492="","",W4492-K4492)</f>
        <v/>
      </c>
      <c r="AB4492" s="7" t="n"/>
      <c r="AE4492" s="11" t="n"/>
      <c r="AG4492">
        <f>IF($C4492="","",IF(COUNTIF($C$2:$C4492,$C4492)=1,1,0))</f>
        <v/>
      </c>
      <c r="AH4492">
        <f>IF($AG4492=1,SUMPRODUCT(--($AK$2:$AK$6001&lt;$AK4492))+1,"")</f>
        <v/>
      </c>
      <c r="AI4492">
        <f>IF($C4492="","",IF(OR($N4492=TRUE(),$N4492="TRUE"),1,0))</f>
        <v/>
      </c>
      <c r="AJ4492">
        <f>IF($C4492="","",IF($T4492="Yes",1,0))</f>
        <v/>
      </c>
      <c r="AK4492">
        <f>IF($AG4492=1,IFERROR(IF(VALUE($C4492)&lt;100000000,VALUE($C4492),1000000000),IFERROR(IF(VALUE(MID($C4492,2,20))&lt;100000000,VALUE(MID($C4492,2,20)),1000000000),1000000000))+ROW()/100000,"")</f>
        <v/>
      </c>
    </row>
    <row r="4493">
      <c r="D4493" s="11" t="n"/>
      <c r="K4493" s="7">
        <f>IF($C4493="","",J4493*W4493/100)</f>
        <v/>
      </c>
      <c r="Q4493" s="7" t="n"/>
      <c r="R4493" s="7" t="n"/>
      <c r="U4493">
        <f>IF($C4493="","",IF($AJ4493=1,0,IF($AI4493=1,Settings!$C$6,Settings!$C$7))*100)</f>
        <v/>
      </c>
      <c r="V4493" s="7">
        <f>IF($C4493="","",R4493*U4493/100)</f>
        <v/>
      </c>
      <c r="W4493" s="7">
        <f>IF($C4493="","",R4493-V4493)</f>
        <v/>
      </c>
      <c r="X4493" s="7">
        <f>IF($C4493="","",W4493-K4493)</f>
        <v/>
      </c>
      <c r="AB4493" s="7" t="n"/>
      <c r="AE4493" s="11" t="n"/>
      <c r="AG4493">
        <f>IF($C4493="","",IF(COUNTIF($C$2:$C4493,$C4493)=1,1,0))</f>
        <v/>
      </c>
      <c r="AH4493">
        <f>IF($AG4493=1,SUMPRODUCT(--($AK$2:$AK$6001&lt;$AK4493))+1,"")</f>
        <v/>
      </c>
      <c r="AI4493">
        <f>IF($C4493="","",IF(OR($N4493=TRUE(),$N4493="TRUE"),1,0))</f>
        <v/>
      </c>
      <c r="AJ4493">
        <f>IF($C4493="","",IF($T4493="Yes",1,0))</f>
        <v/>
      </c>
      <c r="AK4493">
        <f>IF($AG4493=1,IFERROR(IF(VALUE($C4493)&lt;100000000,VALUE($C4493),1000000000),IFERROR(IF(VALUE(MID($C4493,2,20))&lt;100000000,VALUE(MID($C4493,2,20)),1000000000),1000000000))+ROW()/100000,"")</f>
        <v/>
      </c>
    </row>
    <row r="4494">
      <c r="D4494" s="11" t="n"/>
      <c r="K4494" s="7">
        <f>IF($C4494="","",J4494*W4494/100)</f>
        <v/>
      </c>
      <c r="Q4494" s="7" t="n"/>
      <c r="R4494" s="7" t="n"/>
      <c r="U4494">
        <f>IF($C4494="","",IF($AJ4494=1,0,IF($AI4494=1,Settings!$C$6,Settings!$C$7))*100)</f>
        <v/>
      </c>
      <c r="V4494" s="7">
        <f>IF($C4494="","",R4494*U4494/100)</f>
        <v/>
      </c>
      <c r="W4494" s="7">
        <f>IF($C4494="","",R4494-V4494)</f>
        <v/>
      </c>
      <c r="X4494" s="7">
        <f>IF($C4494="","",W4494-K4494)</f>
        <v/>
      </c>
      <c r="AB4494" s="7" t="n"/>
      <c r="AE4494" s="11" t="n"/>
      <c r="AG4494">
        <f>IF($C4494="","",IF(COUNTIF($C$2:$C4494,$C4494)=1,1,0))</f>
        <v/>
      </c>
      <c r="AH4494">
        <f>IF($AG4494=1,SUMPRODUCT(--($AK$2:$AK$6001&lt;$AK4494))+1,"")</f>
        <v/>
      </c>
      <c r="AI4494">
        <f>IF($C4494="","",IF(OR($N4494=TRUE(),$N4494="TRUE"),1,0))</f>
        <v/>
      </c>
      <c r="AJ4494">
        <f>IF($C4494="","",IF($T4494="Yes",1,0))</f>
        <v/>
      </c>
      <c r="AK4494">
        <f>IF($AG4494=1,IFERROR(IF(VALUE($C4494)&lt;100000000,VALUE($C4494),1000000000),IFERROR(IF(VALUE(MID($C4494,2,20))&lt;100000000,VALUE(MID($C4494,2,20)),1000000000),1000000000))+ROW()/100000,"")</f>
        <v/>
      </c>
    </row>
    <row r="4495">
      <c r="D4495" s="11" t="n"/>
      <c r="K4495" s="7">
        <f>IF($C4495="","",J4495*W4495/100)</f>
        <v/>
      </c>
      <c r="Q4495" s="7" t="n"/>
      <c r="R4495" s="7" t="n"/>
      <c r="U4495">
        <f>IF($C4495="","",IF($AJ4495=1,0,IF($AI4495=1,Settings!$C$6,Settings!$C$7))*100)</f>
        <v/>
      </c>
      <c r="V4495" s="7">
        <f>IF($C4495="","",R4495*U4495/100)</f>
        <v/>
      </c>
      <c r="W4495" s="7">
        <f>IF($C4495="","",R4495-V4495)</f>
        <v/>
      </c>
      <c r="X4495" s="7">
        <f>IF($C4495="","",W4495-K4495)</f>
        <v/>
      </c>
      <c r="AB4495" s="7" t="n"/>
      <c r="AE4495" s="11" t="n"/>
      <c r="AG4495">
        <f>IF($C4495="","",IF(COUNTIF($C$2:$C4495,$C4495)=1,1,0))</f>
        <v/>
      </c>
      <c r="AH4495">
        <f>IF($AG4495=1,SUMPRODUCT(--($AK$2:$AK$6001&lt;$AK4495))+1,"")</f>
        <v/>
      </c>
      <c r="AI4495">
        <f>IF($C4495="","",IF(OR($N4495=TRUE(),$N4495="TRUE"),1,0))</f>
        <v/>
      </c>
      <c r="AJ4495">
        <f>IF($C4495="","",IF($T4495="Yes",1,0))</f>
        <v/>
      </c>
      <c r="AK4495">
        <f>IF($AG4495=1,IFERROR(IF(VALUE($C4495)&lt;100000000,VALUE($C4495),1000000000),IFERROR(IF(VALUE(MID($C4495,2,20))&lt;100000000,VALUE(MID($C4495,2,20)),1000000000),1000000000))+ROW()/100000,"")</f>
        <v/>
      </c>
    </row>
    <row r="4496">
      <c r="D4496" s="11" t="n"/>
      <c r="K4496" s="7">
        <f>IF($C4496="","",J4496*W4496/100)</f>
        <v/>
      </c>
      <c r="Q4496" s="7" t="n"/>
      <c r="R4496" s="7" t="n"/>
      <c r="U4496">
        <f>IF($C4496="","",IF($AJ4496=1,0,IF($AI4496=1,Settings!$C$6,Settings!$C$7))*100)</f>
        <v/>
      </c>
      <c r="V4496" s="7">
        <f>IF($C4496="","",R4496*U4496/100)</f>
        <v/>
      </c>
      <c r="W4496" s="7">
        <f>IF($C4496="","",R4496-V4496)</f>
        <v/>
      </c>
      <c r="X4496" s="7">
        <f>IF($C4496="","",W4496-K4496)</f>
        <v/>
      </c>
      <c r="AB4496" s="7" t="n"/>
      <c r="AE4496" s="11" t="n"/>
      <c r="AG4496">
        <f>IF($C4496="","",IF(COUNTIF($C$2:$C4496,$C4496)=1,1,0))</f>
        <v/>
      </c>
      <c r="AH4496">
        <f>IF($AG4496=1,SUMPRODUCT(--($AK$2:$AK$6001&lt;$AK4496))+1,"")</f>
        <v/>
      </c>
      <c r="AI4496">
        <f>IF($C4496="","",IF(OR($N4496=TRUE(),$N4496="TRUE"),1,0))</f>
        <v/>
      </c>
      <c r="AJ4496">
        <f>IF($C4496="","",IF($T4496="Yes",1,0))</f>
        <v/>
      </c>
      <c r="AK4496">
        <f>IF($AG4496=1,IFERROR(IF(VALUE($C4496)&lt;100000000,VALUE($C4496),1000000000),IFERROR(IF(VALUE(MID($C4496,2,20))&lt;100000000,VALUE(MID($C4496,2,20)),1000000000),1000000000))+ROW()/100000,"")</f>
        <v/>
      </c>
    </row>
    <row r="4497">
      <c r="D4497" s="11" t="n"/>
      <c r="K4497" s="7">
        <f>IF($C4497="","",J4497*W4497/100)</f>
        <v/>
      </c>
      <c r="Q4497" s="7" t="n"/>
      <c r="R4497" s="7" t="n"/>
      <c r="U4497">
        <f>IF($C4497="","",IF($AJ4497=1,0,IF($AI4497=1,Settings!$C$6,Settings!$C$7))*100)</f>
        <v/>
      </c>
      <c r="V4497" s="7">
        <f>IF($C4497="","",R4497*U4497/100)</f>
        <v/>
      </c>
      <c r="W4497" s="7">
        <f>IF($C4497="","",R4497-V4497)</f>
        <v/>
      </c>
      <c r="X4497" s="7">
        <f>IF($C4497="","",W4497-K4497)</f>
        <v/>
      </c>
      <c r="AB4497" s="7" t="n"/>
      <c r="AE4497" s="11" t="n"/>
      <c r="AG4497">
        <f>IF($C4497="","",IF(COUNTIF($C$2:$C4497,$C4497)=1,1,0))</f>
        <v/>
      </c>
      <c r="AH4497">
        <f>IF($AG4497=1,SUMPRODUCT(--($AK$2:$AK$6001&lt;$AK4497))+1,"")</f>
        <v/>
      </c>
      <c r="AI4497">
        <f>IF($C4497="","",IF(OR($N4497=TRUE(),$N4497="TRUE"),1,0))</f>
        <v/>
      </c>
      <c r="AJ4497">
        <f>IF($C4497="","",IF($T4497="Yes",1,0))</f>
        <v/>
      </c>
      <c r="AK4497">
        <f>IF($AG4497=1,IFERROR(IF(VALUE($C4497)&lt;100000000,VALUE($C4497),1000000000),IFERROR(IF(VALUE(MID($C4497,2,20))&lt;100000000,VALUE(MID($C4497,2,20)),1000000000),1000000000))+ROW()/100000,"")</f>
        <v/>
      </c>
    </row>
    <row r="4498">
      <c r="D4498" s="11" t="n"/>
      <c r="K4498" s="7">
        <f>IF($C4498="","",J4498*W4498/100)</f>
        <v/>
      </c>
      <c r="Q4498" s="7" t="n"/>
      <c r="R4498" s="7" t="n"/>
      <c r="U4498">
        <f>IF($C4498="","",IF($AJ4498=1,0,IF($AI4498=1,Settings!$C$6,Settings!$C$7))*100)</f>
        <v/>
      </c>
      <c r="V4498" s="7">
        <f>IF($C4498="","",R4498*U4498/100)</f>
        <v/>
      </c>
      <c r="W4498" s="7">
        <f>IF($C4498="","",R4498-V4498)</f>
        <v/>
      </c>
      <c r="X4498" s="7">
        <f>IF($C4498="","",W4498-K4498)</f>
        <v/>
      </c>
      <c r="AB4498" s="7" t="n"/>
      <c r="AE4498" s="11" t="n"/>
      <c r="AG4498">
        <f>IF($C4498="","",IF(COUNTIF($C$2:$C4498,$C4498)=1,1,0))</f>
        <v/>
      </c>
      <c r="AH4498">
        <f>IF($AG4498=1,SUMPRODUCT(--($AK$2:$AK$6001&lt;$AK4498))+1,"")</f>
        <v/>
      </c>
      <c r="AI4498">
        <f>IF($C4498="","",IF(OR($N4498=TRUE(),$N4498="TRUE"),1,0))</f>
        <v/>
      </c>
      <c r="AJ4498">
        <f>IF($C4498="","",IF($T4498="Yes",1,0))</f>
        <v/>
      </c>
      <c r="AK4498">
        <f>IF($AG4498=1,IFERROR(IF(VALUE($C4498)&lt;100000000,VALUE($C4498),1000000000),IFERROR(IF(VALUE(MID($C4498,2,20))&lt;100000000,VALUE(MID($C4498,2,20)),1000000000),1000000000))+ROW()/100000,"")</f>
        <v/>
      </c>
    </row>
    <row r="4499">
      <c r="D4499" s="11" t="n"/>
      <c r="K4499" s="7">
        <f>IF($C4499="","",J4499*W4499/100)</f>
        <v/>
      </c>
      <c r="Q4499" s="7" t="n"/>
      <c r="R4499" s="7" t="n"/>
      <c r="U4499">
        <f>IF($C4499="","",IF($AJ4499=1,0,IF($AI4499=1,Settings!$C$6,Settings!$C$7))*100)</f>
        <v/>
      </c>
      <c r="V4499" s="7">
        <f>IF($C4499="","",R4499*U4499/100)</f>
        <v/>
      </c>
      <c r="W4499" s="7">
        <f>IF($C4499="","",R4499-V4499)</f>
        <v/>
      </c>
      <c r="X4499" s="7">
        <f>IF($C4499="","",W4499-K4499)</f>
        <v/>
      </c>
      <c r="AB4499" s="7" t="n"/>
      <c r="AE4499" s="11" t="n"/>
      <c r="AG4499">
        <f>IF($C4499="","",IF(COUNTIF($C$2:$C4499,$C4499)=1,1,0))</f>
        <v/>
      </c>
      <c r="AH4499">
        <f>IF($AG4499=1,SUMPRODUCT(--($AK$2:$AK$6001&lt;$AK4499))+1,"")</f>
        <v/>
      </c>
      <c r="AI4499">
        <f>IF($C4499="","",IF(OR($N4499=TRUE(),$N4499="TRUE"),1,0))</f>
        <v/>
      </c>
      <c r="AJ4499">
        <f>IF($C4499="","",IF($T4499="Yes",1,0))</f>
        <v/>
      </c>
      <c r="AK4499">
        <f>IF($AG4499=1,IFERROR(IF(VALUE($C4499)&lt;100000000,VALUE($C4499),1000000000),IFERROR(IF(VALUE(MID($C4499,2,20))&lt;100000000,VALUE(MID($C4499,2,20)),1000000000),1000000000))+ROW()/100000,"")</f>
        <v/>
      </c>
    </row>
    <row r="4500">
      <c r="D4500" s="11" t="n"/>
      <c r="K4500" s="7">
        <f>IF($C4500="","",J4500*W4500/100)</f>
        <v/>
      </c>
      <c r="Q4500" s="7" t="n"/>
      <c r="R4500" s="7" t="n"/>
      <c r="U4500">
        <f>IF($C4500="","",IF($AJ4500=1,0,IF($AI4500=1,Settings!$C$6,Settings!$C$7))*100)</f>
        <v/>
      </c>
      <c r="V4500" s="7">
        <f>IF($C4500="","",R4500*U4500/100)</f>
        <v/>
      </c>
      <c r="W4500" s="7">
        <f>IF($C4500="","",R4500-V4500)</f>
        <v/>
      </c>
      <c r="X4500" s="7">
        <f>IF($C4500="","",W4500-K4500)</f>
        <v/>
      </c>
      <c r="AB4500" s="7" t="n"/>
      <c r="AE4500" s="11" t="n"/>
      <c r="AG4500">
        <f>IF($C4500="","",IF(COUNTIF($C$2:$C4500,$C4500)=1,1,0))</f>
        <v/>
      </c>
      <c r="AH4500">
        <f>IF($AG4500=1,SUMPRODUCT(--($AK$2:$AK$6001&lt;$AK4500))+1,"")</f>
        <v/>
      </c>
      <c r="AI4500">
        <f>IF($C4500="","",IF(OR($N4500=TRUE(),$N4500="TRUE"),1,0))</f>
        <v/>
      </c>
      <c r="AJ4500">
        <f>IF($C4500="","",IF($T4500="Yes",1,0))</f>
        <v/>
      </c>
      <c r="AK4500">
        <f>IF($AG4500=1,IFERROR(IF(VALUE($C4500)&lt;100000000,VALUE($C4500),1000000000),IFERROR(IF(VALUE(MID($C4500,2,20))&lt;100000000,VALUE(MID($C4500,2,20)),1000000000),1000000000))+ROW()/100000,"")</f>
        <v/>
      </c>
    </row>
    <row r="4501">
      <c r="D4501" s="11" t="n"/>
      <c r="K4501" s="7">
        <f>IF($C4501="","",J4501*W4501/100)</f>
        <v/>
      </c>
      <c r="Q4501" s="7" t="n"/>
      <c r="R4501" s="7" t="n"/>
      <c r="U4501">
        <f>IF($C4501="","",IF($AJ4501=1,0,IF($AI4501=1,Settings!$C$6,Settings!$C$7))*100)</f>
        <v/>
      </c>
      <c r="V4501" s="7">
        <f>IF($C4501="","",R4501*U4501/100)</f>
        <v/>
      </c>
      <c r="W4501" s="7">
        <f>IF($C4501="","",R4501-V4501)</f>
        <v/>
      </c>
      <c r="X4501" s="7">
        <f>IF($C4501="","",W4501-K4501)</f>
        <v/>
      </c>
      <c r="AB4501" s="7" t="n"/>
      <c r="AE4501" s="11" t="n"/>
      <c r="AG4501">
        <f>IF($C4501="","",IF(COUNTIF($C$2:$C4501,$C4501)=1,1,0))</f>
        <v/>
      </c>
      <c r="AH4501">
        <f>IF($AG4501=1,SUMPRODUCT(--($AK$2:$AK$6001&lt;$AK4501))+1,"")</f>
        <v/>
      </c>
      <c r="AI4501">
        <f>IF($C4501="","",IF(OR($N4501=TRUE(),$N4501="TRUE"),1,0))</f>
        <v/>
      </c>
      <c r="AJ4501">
        <f>IF($C4501="","",IF($T4501="Yes",1,0))</f>
        <v/>
      </c>
      <c r="AK4501">
        <f>IF($AG4501=1,IFERROR(IF(VALUE($C4501)&lt;100000000,VALUE($C4501),1000000000),IFERROR(IF(VALUE(MID($C4501,2,20))&lt;100000000,VALUE(MID($C4501,2,20)),1000000000),1000000000))+ROW()/100000,"")</f>
        <v/>
      </c>
    </row>
    <row r="4502">
      <c r="D4502" s="11" t="n"/>
      <c r="K4502" s="7">
        <f>IF($C4502="","",J4502*W4502/100)</f>
        <v/>
      </c>
      <c r="Q4502" s="7" t="n"/>
      <c r="R4502" s="7" t="n"/>
      <c r="U4502">
        <f>IF($C4502="","",IF($AJ4502=1,0,IF($AI4502=1,Settings!$C$6,Settings!$C$7))*100)</f>
        <v/>
      </c>
      <c r="V4502" s="7">
        <f>IF($C4502="","",R4502*U4502/100)</f>
        <v/>
      </c>
      <c r="W4502" s="7">
        <f>IF($C4502="","",R4502-V4502)</f>
        <v/>
      </c>
      <c r="X4502" s="7">
        <f>IF($C4502="","",W4502-K4502)</f>
        <v/>
      </c>
      <c r="AB4502" s="7" t="n"/>
      <c r="AE4502" s="11" t="n"/>
      <c r="AG4502">
        <f>IF($C4502="","",IF(COUNTIF($C$2:$C4502,$C4502)=1,1,0))</f>
        <v/>
      </c>
      <c r="AH4502">
        <f>IF($AG4502=1,SUMPRODUCT(--($AK$2:$AK$6001&lt;$AK4502))+1,"")</f>
        <v/>
      </c>
      <c r="AI4502">
        <f>IF($C4502="","",IF(OR($N4502=TRUE(),$N4502="TRUE"),1,0))</f>
        <v/>
      </c>
      <c r="AJ4502">
        <f>IF($C4502="","",IF($T4502="Yes",1,0))</f>
        <v/>
      </c>
      <c r="AK4502">
        <f>IF($AG4502=1,IFERROR(IF(VALUE($C4502)&lt;100000000,VALUE($C4502),1000000000),IFERROR(IF(VALUE(MID($C4502,2,20))&lt;100000000,VALUE(MID($C4502,2,20)),1000000000),1000000000))+ROW()/100000,"")</f>
        <v/>
      </c>
    </row>
    <row r="4503">
      <c r="D4503" s="11" t="n"/>
      <c r="K4503" s="7">
        <f>IF($C4503="","",J4503*W4503/100)</f>
        <v/>
      </c>
      <c r="Q4503" s="7" t="n"/>
      <c r="R4503" s="7" t="n"/>
      <c r="U4503">
        <f>IF($C4503="","",IF($AJ4503=1,0,IF($AI4503=1,Settings!$C$6,Settings!$C$7))*100)</f>
        <v/>
      </c>
      <c r="V4503" s="7">
        <f>IF($C4503="","",R4503*U4503/100)</f>
        <v/>
      </c>
      <c r="W4503" s="7">
        <f>IF($C4503="","",R4503-V4503)</f>
        <v/>
      </c>
      <c r="X4503" s="7">
        <f>IF($C4503="","",W4503-K4503)</f>
        <v/>
      </c>
      <c r="AB4503" s="7" t="n"/>
      <c r="AE4503" s="11" t="n"/>
      <c r="AG4503">
        <f>IF($C4503="","",IF(COUNTIF($C$2:$C4503,$C4503)=1,1,0))</f>
        <v/>
      </c>
      <c r="AH4503">
        <f>IF($AG4503=1,SUMPRODUCT(--($AK$2:$AK$6001&lt;$AK4503))+1,"")</f>
        <v/>
      </c>
      <c r="AI4503">
        <f>IF($C4503="","",IF(OR($N4503=TRUE(),$N4503="TRUE"),1,0))</f>
        <v/>
      </c>
      <c r="AJ4503">
        <f>IF($C4503="","",IF($T4503="Yes",1,0))</f>
        <v/>
      </c>
      <c r="AK4503">
        <f>IF($AG4503=1,IFERROR(IF(VALUE($C4503)&lt;100000000,VALUE($C4503),1000000000),IFERROR(IF(VALUE(MID($C4503,2,20))&lt;100000000,VALUE(MID($C4503,2,20)),1000000000),1000000000))+ROW()/100000,"")</f>
        <v/>
      </c>
    </row>
    <row r="4504">
      <c r="D4504" s="11" t="n"/>
      <c r="K4504" s="7">
        <f>IF($C4504="","",J4504*W4504/100)</f>
        <v/>
      </c>
      <c r="Q4504" s="7" t="n"/>
      <c r="R4504" s="7" t="n"/>
      <c r="U4504">
        <f>IF($C4504="","",IF($AJ4504=1,0,IF($AI4504=1,Settings!$C$6,Settings!$C$7))*100)</f>
        <v/>
      </c>
      <c r="V4504" s="7">
        <f>IF($C4504="","",R4504*U4504/100)</f>
        <v/>
      </c>
      <c r="W4504" s="7">
        <f>IF($C4504="","",R4504-V4504)</f>
        <v/>
      </c>
      <c r="X4504" s="7">
        <f>IF($C4504="","",W4504-K4504)</f>
        <v/>
      </c>
      <c r="AB4504" s="7" t="n"/>
      <c r="AE4504" s="11" t="n"/>
      <c r="AG4504">
        <f>IF($C4504="","",IF(COUNTIF($C$2:$C4504,$C4504)=1,1,0))</f>
        <v/>
      </c>
      <c r="AH4504">
        <f>IF($AG4504=1,SUMPRODUCT(--($AK$2:$AK$6001&lt;$AK4504))+1,"")</f>
        <v/>
      </c>
      <c r="AI4504">
        <f>IF($C4504="","",IF(OR($N4504=TRUE(),$N4504="TRUE"),1,0))</f>
        <v/>
      </c>
      <c r="AJ4504">
        <f>IF($C4504="","",IF($T4504="Yes",1,0))</f>
        <v/>
      </c>
      <c r="AK4504">
        <f>IF($AG4504=1,IFERROR(IF(VALUE($C4504)&lt;100000000,VALUE($C4504),1000000000),IFERROR(IF(VALUE(MID($C4504,2,20))&lt;100000000,VALUE(MID($C4504,2,20)),1000000000),1000000000))+ROW()/100000,"")</f>
        <v/>
      </c>
    </row>
    <row r="4505">
      <c r="D4505" s="11" t="n"/>
      <c r="K4505" s="7">
        <f>IF($C4505="","",J4505*W4505/100)</f>
        <v/>
      </c>
      <c r="Q4505" s="7" t="n"/>
      <c r="R4505" s="7" t="n"/>
      <c r="U4505">
        <f>IF($C4505="","",IF($AJ4505=1,0,IF($AI4505=1,Settings!$C$6,Settings!$C$7))*100)</f>
        <v/>
      </c>
      <c r="V4505" s="7">
        <f>IF($C4505="","",R4505*U4505/100)</f>
        <v/>
      </c>
      <c r="W4505" s="7">
        <f>IF($C4505="","",R4505-V4505)</f>
        <v/>
      </c>
      <c r="X4505" s="7">
        <f>IF($C4505="","",W4505-K4505)</f>
        <v/>
      </c>
      <c r="AB4505" s="7" t="n"/>
      <c r="AE4505" s="11" t="n"/>
      <c r="AG4505">
        <f>IF($C4505="","",IF(COUNTIF($C$2:$C4505,$C4505)=1,1,0))</f>
        <v/>
      </c>
      <c r="AH4505">
        <f>IF($AG4505=1,SUMPRODUCT(--($AK$2:$AK$6001&lt;$AK4505))+1,"")</f>
        <v/>
      </c>
      <c r="AI4505">
        <f>IF($C4505="","",IF(OR($N4505=TRUE(),$N4505="TRUE"),1,0))</f>
        <v/>
      </c>
      <c r="AJ4505">
        <f>IF($C4505="","",IF($T4505="Yes",1,0))</f>
        <v/>
      </c>
      <c r="AK4505">
        <f>IF($AG4505=1,IFERROR(IF(VALUE($C4505)&lt;100000000,VALUE($C4505),1000000000),IFERROR(IF(VALUE(MID($C4505,2,20))&lt;100000000,VALUE(MID($C4505,2,20)),1000000000),1000000000))+ROW()/100000,"")</f>
        <v/>
      </c>
    </row>
    <row r="4506">
      <c r="D4506" s="11" t="n"/>
      <c r="K4506" s="7">
        <f>IF($C4506="","",J4506*W4506/100)</f>
        <v/>
      </c>
      <c r="Q4506" s="7" t="n"/>
      <c r="R4506" s="7" t="n"/>
      <c r="U4506">
        <f>IF($C4506="","",IF($AJ4506=1,0,IF($AI4506=1,Settings!$C$6,Settings!$C$7))*100)</f>
        <v/>
      </c>
      <c r="V4506" s="7">
        <f>IF($C4506="","",R4506*U4506/100)</f>
        <v/>
      </c>
      <c r="W4506" s="7">
        <f>IF($C4506="","",R4506-V4506)</f>
        <v/>
      </c>
      <c r="X4506" s="7">
        <f>IF($C4506="","",W4506-K4506)</f>
        <v/>
      </c>
      <c r="AB4506" s="7" t="n"/>
      <c r="AE4506" s="11" t="n"/>
      <c r="AG4506">
        <f>IF($C4506="","",IF(COUNTIF($C$2:$C4506,$C4506)=1,1,0))</f>
        <v/>
      </c>
      <c r="AH4506">
        <f>IF($AG4506=1,SUMPRODUCT(--($AK$2:$AK$6001&lt;$AK4506))+1,"")</f>
        <v/>
      </c>
      <c r="AI4506">
        <f>IF($C4506="","",IF(OR($N4506=TRUE(),$N4506="TRUE"),1,0))</f>
        <v/>
      </c>
      <c r="AJ4506">
        <f>IF($C4506="","",IF($T4506="Yes",1,0))</f>
        <v/>
      </c>
      <c r="AK4506">
        <f>IF($AG4506=1,IFERROR(IF(VALUE($C4506)&lt;100000000,VALUE($C4506),1000000000),IFERROR(IF(VALUE(MID($C4506,2,20))&lt;100000000,VALUE(MID($C4506,2,20)),1000000000),1000000000))+ROW()/100000,"")</f>
        <v/>
      </c>
    </row>
    <row r="4507">
      <c r="D4507" s="11" t="n"/>
      <c r="K4507" s="7">
        <f>IF($C4507="","",J4507*W4507/100)</f>
        <v/>
      </c>
      <c r="Q4507" s="7" t="n"/>
      <c r="R4507" s="7" t="n"/>
      <c r="U4507">
        <f>IF($C4507="","",IF($AJ4507=1,0,IF($AI4507=1,Settings!$C$6,Settings!$C$7))*100)</f>
        <v/>
      </c>
      <c r="V4507" s="7">
        <f>IF($C4507="","",R4507*U4507/100)</f>
        <v/>
      </c>
      <c r="W4507" s="7">
        <f>IF($C4507="","",R4507-V4507)</f>
        <v/>
      </c>
      <c r="X4507" s="7">
        <f>IF($C4507="","",W4507-K4507)</f>
        <v/>
      </c>
      <c r="AB4507" s="7" t="n"/>
      <c r="AE4507" s="11" t="n"/>
      <c r="AG4507">
        <f>IF($C4507="","",IF(COUNTIF($C$2:$C4507,$C4507)=1,1,0))</f>
        <v/>
      </c>
      <c r="AH4507">
        <f>IF($AG4507=1,SUMPRODUCT(--($AK$2:$AK$6001&lt;$AK4507))+1,"")</f>
        <v/>
      </c>
      <c r="AI4507">
        <f>IF($C4507="","",IF(OR($N4507=TRUE(),$N4507="TRUE"),1,0))</f>
        <v/>
      </c>
      <c r="AJ4507">
        <f>IF($C4507="","",IF($T4507="Yes",1,0))</f>
        <v/>
      </c>
      <c r="AK4507">
        <f>IF($AG4507=1,IFERROR(IF(VALUE($C4507)&lt;100000000,VALUE($C4507),1000000000),IFERROR(IF(VALUE(MID($C4507,2,20))&lt;100000000,VALUE(MID($C4507,2,20)),1000000000),1000000000))+ROW()/100000,"")</f>
        <v/>
      </c>
    </row>
    <row r="4508">
      <c r="D4508" s="11" t="n"/>
      <c r="K4508" s="7">
        <f>IF($C4508="","",J4508*W4508/100)</f>
        <v/>
      </c>
      <c r="Q4508" s="7" t="n"/>
      <c r="R4508" s="7" t="n"/>
      <c r="U4508">
        <f>IF($C4508="","",IF($AJ4508=1,0,IF($AI4508=1,Settings!$C$6,Settings!$C$7))*100)</f>
        <v/>
      </c>
      <c r="V4508" s="7">
        <f>IF($C4508="","",R4508*U4508/100)</f>
        <v/>
      </c>
      <c r="W4508" s="7">
        <f>IF($C4508="","",R4508-V4508)</f>
        <v/>
      </c>
      <c r="X4508" s="7">
        <f>IF($C4508="","",W4508-K4508)</f>
        <v/>
      </c>
      <c r="AB4508" s="7" t="n"/>
      <c r="AE4508" s="11" t="n"/>
      <c r="AG4508">
        <f>IF($C4508="","",IF(COUNTIF($C$2:$C4508,$C4508)=1,1,0))</f>
        <v/>
      </c>
      <c r="AH4508">
        <f>IF($AG4508=1,SUMPRODUCT(--($AK$2:$AK$6001&lt;$AK4508))+1,"")</f>
        <v/>
      </c>
      <c r="AI4508">
        <f>IF($C4508="","",IF(OR($N4508=TRUE(),$N4508="TRUE"),1,0))</f>
        <v/>
      </c>
      <c r="AJ4508">
        <f>IF($C4508="","",IF($T4508="Yes",1,0))</f>
        <v/>
      </c>
      <c r="AK4508">
        <f>IF($AG4508=1,IFERROR(IF(VALUE($C4508)&lt;100000000,VALUE($C4508),1000000000),IFERROR(IF(VALUE(MID($C4508,2,20))&lt;100000000,VALUE(MID($C4508,2,20)),1000000000),1000000000))+ROW()/100000,"")</f>
        <v/>
      </c>
    </row>
    <row r="4509">
      <c r="D4509" s="11" t="n"/>
      <c r="K4509" s="7">
        <f>IF($C4509="","",J4509*W4509/100)</f>
        <v/>
      </c>
      <c r="Q4509" s="7" t="n"/>
      <c r="R4509" s="7" t="n"/>
      <c r="U4509">
        <f>IF($C4509="","",IF($AJ4509=1,0,IF($AI4509=1,Settings!$C$6,Settings!$C$7))*100)</f>
        <v/>
      </c>
      <c r="V4509" s="7">
        <f>IF($C4509="","",R4509*U4509/100)</f>
        <v/>
      </c>
      <c r="W4509" s="7">
        <f>IF($C4509="","",R4509-V4509)</f>
        <v/>
      </c>
      <c r="X4509" s="7">
        <f>IF($C4509="","",W4509-K4509)</f>
        <v/>
      </c>
      <c r="AB4509" s="7" t="n"/>
      <c r="AE4509" s="11" t="n"/>
      <c r="AG4509">
        <f>IF($C4509="","",IF(COUNTIF($C$2:$C4509,$C4509)=1,1,0))</f>
        <v/>
      </c>
      <c r="AH4509">
        <f>IF($AG4509=1,SUMPRODUCT(--($AK$2:$AK$6001&lt;$AK4509))+1,"")</f>
        <v/>
      </c>
      <c r="AI4509">
        <f>IF($C4509="","",IF(OR($N4509=TRUE(),$N4509="TRUE"),1,0))</f>
        <v/>
      </c>
      <c r="AJ4509">
        <f>IF($C4509="","",IF($T4509="Yes",1,0))</f>
        <v/>
      </c>
      <c r="AK4509">
        <f>IF($AG4509=1,IFERROR(IF(VALUE($C4509)&lt;100000000,VALUE($C4509),1000000000),IFERROR(IF(VALUE(MID($C4509,2,20))&lt;100000000,VALUE(MID($C4509,2,20)),1000000000),1000000000))+ROW()/100000,"")</f>
        <v/>
      </c>
    </row>
    <row r="4510">
      <c r="D4510" s="11" t="n"/>
      <c r="K4510" s="7">
        <f>IF($C4510="","",J4510*W4510/100)</f>
        <v/>
      </c>
      <c r="Q4510" s="7" t="n"/>
      <c r="R4510" s="7" t="n"/>
      <c r="U4510">
        <f>IF($C4510="","",IF($AJ4510=1,0,IF($AI4510=1,Settings!$C$6,Settings!$C$7))*100)</f>
        <v/>
      </c>
      <c r="V4510" s="7">
        <f>IF($C4510="","",R4510*U4510/100)</f>
        <v/>
      </c>
      <c r="W4510" s="7">
        <f>IF($C4510="","",R4510-V4510)</f>
        <v/>
      </c>
      <c r="X4510" s="7">
        <f>IF($C4510="","",W4510-K4510)</f>
        <v/>
      </c>
      <c r="AB4510" s="7" t="n"/>
      <c r="AE4510" s="11" t="n"/>
      <c r="AG4510">
        <f>IF($C4510="","",IF(COUNTIF($C$2:$C4510,$C4510)=1,1,0))</f>
        <v/>
      </c>
      <c r="AH4510">
        <f>IF($AG4510=1,SUMPRODUCT(--($AK$2:$AK$6001&lt;$AK4510))+1,"")</f>
        <v/>
      </c>
      <c r="AI4510">
        <f>IF($C4510="","",IF(OR($N4510=TRUE(),$N4510="TRUE"),1,0))</f>
        <v/>
      </c>
      <c r="AJ4510">
        <f>IF($C4510="","",IF($T4510="Yes",1,0))</f>
        <v/>
      </c>
      <c r="AK4510">
        <f>IF($AG4510=1,IFERROR(IF(VALUE($C4510)&lt;100000000,VALUE($C4510),1000000000),IFERROR(IF(VALUE(MID($C4510,2,20))&lt;100000000,VALUE(MID($C4510,2,20)),1000000000),1000000000))+ROW()/100000,"")</f>
        <v/>
      </c>
    </row>
    <row r="4511">
      <c r="D4511" s="11" t="n"/>
      <c r="K4511" s="7">
        <f>IF($C4511="","",J4511*W4511/100)</f>
        <v/>
      </c>
      <c r="Q4511" s="7" t="n"/>
      <c r="R4511" s="7" t="n"/>
      <c r="U4511">
        <f>IF($C4511="","",IF($AJ4511=1,0,IF($AI4511=1,Settings!$C$6,Settings!$C$7))*100)</f>
        <v/>
      </c>
      <c r="V4511" s="7">
        <f>IF($C4511="","",R4511*U4511/100)</f>
        <v/>
      </c>
      <c r="W4511" s="7">
        <f>IF($C4511="","",R4511-V4511)</f>
        <v/>
      </c>
      <c r="X4511" s="7">
        <f>IF($C4511="","",W4511-K4511)</f>
        <v/>
      </c>
      <c r="AB4511" s="7" t="n"/>
      <c r="AE4511" s="11" t="n"/>
      <c r="AG4511">
        <f>IF($C4511="","",IF(COUNTIF($C$2:$C4511,$C4511)=1,1,0))</f>
        <v/>
      </c>
      <c r="AH4511">
        <f>IF($AG4511=1,SUMPRODUCT(--($AK$2:$AK$6001&lt;$AK4511))+1,"")</f>
        <v/>
      </c>
      <c r="AI4511">
        <f>IF($C4511="","",IF(OR($N4511=TRUE(),$N4511="TRUE"),1,0))</f>
        <v/>
      </c>
      <c r="AJ4511">
        <f>IF($C4511="","",IF($T4511="Yes",1,0))</f>
        <v/>
      </c>
      <c r="AK4511">
        <f>IF($AG4511=1,IFERROR(IF(VALUE($C4511)&lt;100000000,VALUE($C4511),1000000000),IFERROR(IF(VALUE(MID($C4511,2,20))&lt;100000000,VALUE(MID($C4511,2,20)),1000000000),1000000000))+ROW()/100000,"")</f>
        <v/>
      </c>
    </row>
    <row r="4512">
      <c r="D4512" s="11" t="n"/>
      <c r="K4512" s="7">
        <f>IF($C4512="","",J4512*W4512/100)</f>
        <v/>
      </c>
      <c r="Q4512" s="7" t="n"/>
      <c r="R4512" s="7" t="n"/>
      <c r="U4512">
        <f>IF($C4512="","",IF($AJ4512=1,0,IF($AI4512=1,Settings!$C$6,Settings!$C$7))*100)</f>
        <v/>
      </c>
      <c r="V4512" s="7">
        <f>IF($C4512="","",R4512*U4512/100)</f>
        <v/>
      </c>
      <c r="W4512" s="7">
        <f>IF($C4512="","",R4512-V4512)</f>
        <v/>
      </c>
      <c r="X4512" s="7">
        <f>IF($C4512="","",W4512-K4512)</f>
        <v/>
      </c>
      <c r="AB4512" s="7" t="n"/>
      <c r="AE4512" s="11" t="n"/>
      <c r="AG4512">
        <f>IF($C4512="","",IF(COUNTIF($C$2:$C4512,$C4512)=1,1,0))</f>
        <v/>
      </c>
      <c r="AH4512">
        <f>IF($AG4512=1,SUMPRODUCT(--($AK$2:$AK$6001&lt;$AK4512))+1,"")</f>
        <v/>
      </c>
      <c r="AI4512">
        <f>IF($C4512="","",IF(OR($N4512=TRUE(),$N4512="TRUE"),1,0))</f>
        <v/>
      </c>
      <c r="AJ4512">
        <f>IF($C4512="","",IF($T4512="Yes",1,0))</f>
        <v/>
      </c>
      <c r="AK4512">
        <f>IF($AG4512=1,IFERROR(IF(VALUE($C4512)&lt;100000000,VALUE($C4512),1000000000),IFERROR(IF(VALUE(MID($C4512,2,20))&lt;100000000,VALUE(MID($C4512,2,20)),1000000000),1000000000))+ROW()/100000,"")</f>
        <v/>
      </c>
    </row>
    <row r="4513">
      <c r="D4513" s="11" t="n"/>
      <c r="K4513" s="7">
        <f>IF($C4513="","",J4513*W4513/100)</f>
        <v/>
      </c>
      <c r="Q4513" s="7" t="n"/>
      <c r="R4513" s="7" t="n"/>
      <c r="U4513">
        <f>IF($C4513="","",IF($AJ4513=1,0,IF($AI4513=1,Settings!$C$6,Settings!$C$7))*100)</f>
        <v/>
      </c>
      <c r="V4513" s="7">
        <f>IF($C4513="","",R4513*U4513/100)</f>
        <v/>
      </c>
      <c r="W4513" s="7">
        <f>IF($C4513="","",R4513-V4513)</f>
        <v/>
      </c>
      <c r="X4513" s="7">
        <f>IF($C4513="","",W4513-K4513)</f>
        <v/>
      </c>
      <c r="AB4513" s="7" t="n"/>
      <c r="AE4513" s="11" t="n"/>
      <c r="AG4513">
        <f>IF($C4513="","",IF(COUNTIF($C$2:$C4513,$C4513)=1,1,0))</f>
        <v/>
      </c>
      <c r="AH4513">
        <f>IF($AG4513=1,SUMPRODUCT(--($AK$2:$AK$6001&lt;$AK4513))+1,"")</f>
        <v/>
      </c>
      <c r="AI4513">
        <f>IF($C4513="","",IF(OR($N4513=TRUE(),$N4513="TRUE"),1,0))</f>
        <v/>
      </c>
      <c r="AJ4513">
        <f>IF($C4513="","",IF($T4513="Yes",1,0))</f>
        <v/>
      </c>
      <c r="AK4513">
        <f>IF($AG4513=1,IFERROR(IF(VALUE($C4513)&lt;100000000,VALUE($C4513),1000000000),IFERROR(IF(VALUE(MID($C4513,2,20))&lt;100000000,VALUE(MID($C4513,2,20)),1000000000),1000000000))+ROW()/100000,"")</f>
        <v/>
      </c>
    </row>
    <row r="4514">
      <c r="D4514" s="11" t="n"/>
      <c r="K4514" s="7">
        <f>IF($C4514="","",J4514*W4514/100)</f>
        <v/>
      </c>
      <c r="Q4514" s="7" t="n"/>
      <c r="R4514" s="7" t="n"/>
      <c r="U4514">
        <f>IF($C4514="","",IF($AJ4514=1,0,IF($AI4514=1,Settings!$C$6,Settings!$C$7))*100)</f>
        <v/>
      </c>
      <c r="V4514" s="7">
        <f>IF($C4514="","",R4514*U4514/100)</f>
        <v/>
      </c>
      <c r="W4514" s="7">
        <f>IF($C4514="","",R4514-V4514)</f>
        <v/>
      </c>
      <c r="X4514" s="7">
        <f>IF($C4514="","",W4514-K4514)</f>
        <v/>
      </c>
      <c r="AB4514" s="7" t="n"/>
      <c r="AE4514" s="11" t="n"/>
      <c r="AG4514">
        <f>IF($C4514="","",IF(COUNTIF($C$2:$C4514,$C4514)=1,1,0))</f>
        <v/>
      </c>
      <c r="AH4514">
        <f>IF($AG4514=1,SUMPRODUCT(--($AK$2:$AK$6001&lt;$AK4514))+1,"")</f>
        <v/>
      </c>
      <c r="AI4514">
        <f>IF($C4514="","",IF(OR($N4514=TRUE(),$N4514="TRUE"),1,0))</f>
        <v/>
      </c>
      <c r="AJ4514">
        <f>IF($C4514="","",IF($T4514="Yes",1,0))</f>
        <v/>
      </c>
      <c r="AK4514">
        <f>IF($AG4514=1,IFERROR(IF(VALUE($C4514)&lt;100000000,VALUE($C4514),1000000000),IFERROR(IF(VALUE(MID($C4514,2,20))&lt;100000000,VALUE(MID($C4514,2,20)),1000000000),1000000000))+ROW()/100000,"")</f>
        <v/>
      </c>
    </row>
    <row r="4515">
      <c r="D4515" s="11" t="n"/>
      <c r="K4515" s="7">
        <f>IF($C4515="","",J4515*W4515/100)</f>
        <v/>
      </c>
      <c r="Q4515" s="7" t="n"/>
      <c r="R4515" s="7" t="n"/>
      <c r="U4515">
        <f>IF($C4515="","",IF($AJ4515=1,0,IF($AI4515=1,Settings!$C$6,Settings!$C$7))*100)</f>
        <v/>
      </c>
      <c r="V4515" s="7">
        <f>IF($C4515="","",R4515*U4515/100)</f>
        <v/>
      </c>
      <c r="W4515" s="7">
        <f>IF($C4515="","",R4515-V4515)</f>
        <v/>
      </c>
      <c r="X4515" s="7">
        <f>IF($C4515="","",W4515-K4515)</f>
        <v/>
      </c>
      <c r="AB4515" s="7" t="n"/>
      <c r="AE4515" s="11" t="n"/>
      <c r="AG4515">
        <f>IF($C4515="","",IF(COUNTIF($C$2:$C4515,$C4515)=1,1,0))</f>
        <v/>
      </c>
      <c r="AH4515">
        <f>IF($AG4515=1,SUMPRODUCT(--($AK$2:$AK$6001&lt;$AK4515))+1,"")</f>
        <v/>
      </c>
      <c r="AI4515">
        <f>IF($C4515="","",IF(OR($N4515=TRUE(),$N4515="TRUE"),1,0))</f>
        <v/>
      </c>
      <c r="AJ4515">
        <f>IF($C4515="","",IF($T4515="Yes",1,0))</f>
        <v/>
      </c>
      <c r="AK4515">
        <f>IF($AG4515=1,IFERROR(IF(VALUE($C4515)&lt;100000000,VALUE($C4515),1000000000),IFERROR(IF(VALUE(MID($C4515,2,20))&lt;100000000,VALUE(MID($C4515,2,20)),1000000000),1000000000))+ROW()/100000,"")</f>
        <v/>
      </c>
    </row>
    <row r="4516">
      <c r="D4516" s="11" t="n"/>
      <c r="K4516" s="7">
        <f>IF($C4516="","",J4516*W4516/100)</f>
        <v/>
      </c>
      <c r="Q4516" s="7" t="n"/>
      <c r="R4516" s="7" t="n"/>
      <c r="U4516">
        <f>IF($C4516="","",IF($AJ4516=1,0,IF($AI4516=1,Settings!$C$6,Settings!$C$7))*100)</f>
        <v/>
      </c>
      <c r="V4516" s="7">
        <f>IF($C4516="","",R4516*U4516/100)</f>
        <v/>
      </c>
      <c r="W4516" s="7">
        <f>IF($C4516="","",R4516-V4516)</f>
        <v/>
      </c>
      <c r="X4516" s="7">
        <f>IF($C4516="","",W4516-K4516)</f>
        <v/>
      </c>
      <c r="AB4516" s="7" t="n"/>
      <c r="AE4516" s="11" t="n"/>
      <c r="AG4516">
        <f>IF($C4516="","",IF(COUNTIF($C$2:$C4516,$C4516)=1,1,0))</f>
        <v/>
      </c>
      <c r="AH4516">
        <f>IF($AG4516=1,SUMPRODUCT(--($AK$2:$AK$6001&lt;$AK4516))+1,"")</f>
        <v/>
      </c>
      <c r="AI4516">
        <f>IF($C4516="","",IF(OR($N4516=TRUE(),$N4516="TRUE"),1,0))</f>
        <v/>
      </c>
      <c r="AJ4516">
        <f>IF($C4516="","",IF($T4516="Yes",1,0))</f>
        <v/>
      </c>
      <c r="AK4516">
        <f>IF($AG4516=1,IFERROR(IF(VALUE($C4516)&lt;100000000,VALUE($C4516),1000000000),IFERROR(IF(VALUE(MID($C4516,2,20))&lt;100000000,VALUE(MID($C4516,2,20)),1000000000),1000000000))+ROW()/100000,"")</f>
        <v/>
      </c>
    </row>
    <row r="4517">
      <c r="D4517" s="11" t="n"/>
      <c r="K4517" s="7">
        <f>IF($C4517="","",J4517*W4517/100)</f>
        <v/>
      </c>
      <c r="Q4517" s="7" t="n"/>
      <c r="R4517" s="7" t="n"/>
      <c r="U4517">
        <f>IF($C4517="","",IF($AJ4517=1,0,IF($AI4517=1,Settings!$C$6,Settings!$C$7))*100)</f>
        <v/>
      </c>
      <c r="V4517" s="7">
        <f>IF($C4517="","",R4517*U4517/100)</f>
        <v/>
      </c>
      <c r="W4517" s="7">
        <f>IF($C4517="","",R4517-V4517)</f>
        <v/>
      </c>
      <c r="X4517" s="7">
        <f>IF($C4517="","",W4517-K4517)</f>
        <v/>
      </c>
      <c r="AB4517" s="7" t="n"/>
      <c r="AE4517" s="11" t="n"/>
      <c r="AG4517">
        <f>IF($C4517="","",IF(COUNTIF($C$2:$C4517,$C4517)=1,1,0))</f>
        <v/>
      </c>
      <c r="AH4517">
        <f>IF($AG4517=1,SUMPRODUCT(--($AK$2:$AK$6001&lt;$AK4517))+1,"")</f>
        <v/>
      </c>
      <c r="AI4517">
        <f>IF($C4517="","",IF(OR($N4517=TRUE(),$N4517="TRUE"),1,0))</f>
        <v/>
      </c>
      <c r="AJ4517">
        <f>IF($C4517="","",IF($T4517="Yes",1,0))</f>
        <v/>
      </c>
      <c r="AK4517">
        <f>IF($AG4517=1,IFERROR(IF(VALUE($C4517)&lt;100000000,VALUE($C4517),1000000000),IFERROR(IF(VALUE(MID($C4517,2,20))&lt;100000000,VALUE(MID($C4517,2,20)),1000000000),1000000000))+ROW()/100000,"")</f>
        <v/>
      </c>
    </row>
    <row r="4518">
      <c r="D4518" s="11" t="n"/>
      <c r="K4518" s="7">
        <f>IF($C4518="","",J4518*W4518/100)</f>
        <v/>
      </c>
      <c r="Q4518" s="7" t="n"/>
      <c r="R4518" s="7" t="n"/>
      <c r="U4518">
        <f>IF($C4518="","",IF($AJ4518=1,0,IF($AI4518=1,Settings!$C$6,Settings!$C$7))*100)</f>
        <v/>
      </c>
      <c r="V4518" s="7">
        <f>IF($C4518="","",R4518*U4518/100)</f>
        <v/>
      </c>
      <c r="W4518" s="7">
        <f>IF($C4518="","",R4518-V4518)</f>
        <v/>
      </c>
      <c r="X4518" s="7">
        <f>IF($C4518="","",W4518-K4518)</f>
        <v/>
      </c>
      <c r="AB4518" s="7" t="n"/>
      <c r="AE4518" s="11" t="n"/>
      <c r="AG4518">
        <f>IF($C4518="","",IF(COUNTIF($C$2:$C4518,$C4518)=1,1,0))</f>
        <v/>
      </c>
      <c r="AH4518">
        <f>IF($AG4518=1,SUMPRODUCT(--($AK$2:$AK$6001&lt;$AK4518))+1,"")</f>
        <v/>
      </c>
      <c r="AI4518">
        <f>IF($C4518="","",IF(OR($N4518=TRUE(),$N4518="TRUE"),1,0))</f>
        <v/>
      </c>
      <c r="AJ4518">
        <f>IF($C4518="","",IF($T4518="Yes",1,0))</f>
        <v/>
      </c>
      <c r="AK4518">
        <f>IF($AG4518=1,IFERROR(IF(VALUE($C4518)&lt;100000000,VALUE($C4518),1000000000),IFERROR(IF(VALUE(MID($C4518,2,20))&lt;100000000,VALUE(MID($C4518,2,20)),1000000000),1000000000))+ROW()/100000,"")</f>
        <v/>
      </c>
    </row>
    <row r="4519">
      <c r="D4519" s="11" t="n"/>
      <c r="K4519" s="7">
        <f>IF($C4519="","",J4519*W4519/100)</f>
        <v/>
      </c>
      <c r="Q4519" s="7" t="n"/>
      <c r="R4519" s="7" t="n"/>
      <c r="U4519">
        <f>IF($C4519="","",IF($AJ4519=1,0,IF($AI4519=1,Settings!$C$6,Settings!$C$7))*100)</f>
        <v/>
      </c>
      <c r="V4519" s="7">
        <f>IF($C4519="","",R4519*U4519/100)</f>
        <v/>
      </c>
      <c r="W4519" s="7">
        <f>IF($C4519="","",R4519-V4519)</f>
        <v/>
      </c>
      <c r="X4519" s="7">
        <f>IF($C4519="","",W4519-K4519)</f>
        <v/>
      </c>
      <c r="AB4519" s="7" t="n"/>
      <c r="AE4519" s="11" t="n"/>
      <c r="AG4519">
        <f>IF($C4519="","",IF(COUNTIF($C$2:$C4519,$C4519)=1,1,0))</f>
        <v/>
      </c>
      <c r="AH4519">
        <f>IF($AG4519=1,SUMPRODUCT(--($AK$2:$AK$6001&lt;$AK4519))+1,"")</f>
        <v/>
      </c>
      <c r="AI4519">
        <f>IF($C4519="","",IF(OR($N4519=TRUE(),$N4519="TRUE"),1,0))</f>
        <v/>
      </c>
      <c r="AJ4519">
        <f>IF($C4519="","",IF($T4519="Yes",1,0))</f>
        <v/>
      </c>
      <c r="AK4519">
        <f>IF($AG4519=1,IFERROR(IF(VALUE($C4519)&lt;100000000,VALUE($C4519),1000000000),IFERROR(IF(VALUE(MID($C4519,2,20))&lt;100000000,VALUE(MID($C4519,2,20)),1000000000),1000000000))+ROW()/100000,"")</f>
        <v/>
      </c>
    </row>
    <row r="4520">
      <c r="D4520" s="11" t="n"/>
      <c r="K4520" s="7">
        <f>IF($C4520="","",J4520*W4520/100)</f>
        <v/>
      </c>
      <c r="Q4520" s="7" t="n"/>
      <c r="R4520" s="7" t="n"/>
      <c r="U4520">
        <f>IF($C4520="","",IF($AJ4520=1,0,IF($AI4520=1,Settings!$C$6,Settings!$C$7))*100)</f>
        <v/>
      </c>
      <c r="V4520" s="7">
        <f>IF($C4520="","",R4520*U4520/100)</f>
        <v/>
      </c>
      <c r="W4520" s="7">
        <f>IF($C4520="","",R4520-V4520)</f>
        <v/>
      </c>
      <c r="X4520" s="7">
        <f>IF($C4520="","",W4520-K4520)</f>
        <v/>
      </c>
      <c r="AB4520" s="7" t="n"/>
      <c r="AE4520" s="11" t="n"/>
      <c r="AG4520">
        <f>IF($C4520="","",IF(COUNTIF($C$2:$C4520,$C4520)=1,1,0))</f>
        <v/>
      </c>
      <c r="AH4520">
        <f>IF($AG4520=1,SUMPRODUCT(--($AK$2:$AK$6001&lt;$AK4520))+1,"")</f>
        <v/>
      </c>
      <c r="AI4520">
        <f>IF($C4520="","",IF(OR($N4520=TRUE(),$N4520="TRUE"),1,0))</f>
        <v/>
      </c>
      <c r="AJ4520">
        <f>IF($C4520="","",IF($T4520="Yes",1,0))</f>
        <v/>
      </c>
      <c r="AK4520">
        <f>IF($AG4520=1,IFERROR(IF(VALUE($C4520)&lt;100000000,VALUE($C4520),1000000000),IFERROR(IF(VALUE(MID($C4520,2,20))&lt;100000000,VALUE(MID($C4520,2,20)),1000000000),1000000000))+ROW()/100000,"")</f>
        <v/>
      </c>
    </row>
    <row r="4521">
      <c r="D4521" s="11" t="n"/>
      <c r="K4521" s="7">
        <f>IF($C4521="","",J4521*W4521/100)</f>
        <v/>
      </c>
      <c r="Q4521" s="7" t="n"/>
      <c r="R4521" s="7" t="n"/>
      <c r="U4521">
        <f>IF($C4521="","",IF($AJ4521=1,0,IF($AI4521=1,Settings!$C$6,Settings!$C$7))*100)</f>
        <v/>
      </c>
      <c r="V4521" s="7">
        <f>IF($C4521="","",R4521*U4521/100)</f>
        <v/>
      </c>
      <c r="W4521" s="7">
        <f>IF($C4521="","",R4521-V4521)</f>
        <v/>
      </c>
      <c r="X4521" s="7">
        <f>IF($C4521="","",W4521-K4521)</f>
        <v/>
      </c>
      <c r="AB4521" s="7" t="n"/>
      <c r="AE4521" s="11" t="n"/>
      <c r="AG4521">
        <f>IF($C4521="","",IF(COUNTIF($C$2:$C4521,$C4521)=1,1,0))</f>
        <v/>
      </c>
      <c r="AH4521">
        <f>IF($AG4521=1,SUMPRODUCT(--($AK$2:$AK$6001&lt;$AK4521))+1,"")</f>
        <v/>
      </c>
      <c r="AI4521">
        <f>IF($C4521="","",IF(OR($N4521=TRUE(),$N4521="TRUE"),1,0))</f>
        <v/>
      </c>
      <c r="AJ4521">
        <f>IF($C4521="","",IF($T4521="Yes",1,0))</f>
        <v/>
      </c>
      <c r="AK4521">
        <f>IF($AG4521=1,IFERROR(IF(VALUE($C4521)&lt;100000000,VALUE($C4521),1000000000),IFERROR(IF(VALUE(MID($C4521,2,20))&lt;100000000,VALUE(MID($C4521,2,20)),1000000000),1000000000))+ROW()/100000,"")</f>
        <v/>
      </c>
    </row>
    <row r="4522">
      <c r="D4522" s="11" t="n"/>
      <c r="K4522" s="7">
        <f>IF($C4522="","",J4522*W4522/100)</f>
        <v/>
      </c>
      <c r="Q4522" s="7" t="n"/>
      <c r="R4522" s="7" t="n"/>
      <c r="U4522">
        <f>IF($C4522="","",IF($AJ4522=1,0,IF($AI4522=1,Settings!$C$6,Settings!$C$7))*100)</f>
        <v/>
      </c>
      <c r="V4522" s="7">
        <f>IF($C4522="","",R4522*U4522/100)</f>
        <v/>
      </c>
      <c r="W4522" s="7">
        <f>IF($C4522="","",R4522-V4522)</f>
        <v/>
      </c>
      <c r="X4522" s="7">
        <f>IF($C4522="","",W4522-K4522)</f>
        <v/>
      </c>
      <c r="AB4522" s="7" t="n"/>
      <c r="AE4522" s="11" t="n"/>
      <c r="AG4522">
        <f>IF($C4522="","",IF(COUNTIF($C$2:$C4522,$C4522)=1,1,0))</f>
        <v/>
      </c>
      <c r="AH4522">
        <f>IF($AG4522=1,SUMPRODUCT(--($AK$2:$AK$6001&lt;$AK4522))+1,"")</f>
        <v/>
      </c>
      <c r="AI4522">
        <f>IF($C4522="","",IF(OR($N4522=TRUE(),$N4522="TRUE"),1,0))</f>
        <v/>
      </c>
      <c r="AJ4522">
        <f>IF($C4522="","",IF($T4522="Yes",1,0))</f>
        <v/>
      </c>
      <c r="AK4522">
        <f>IF($AG4522=1,IFERROR(IF(VALUE($C4522)&lt;100000000,VALUE($C4522),1000000000),IFERROR(IF(VALUE(MID($C4522,2,20))&lt;100000000,VALUE(MID($C4522,2,20)),1000000000),1000000000))+ROW()/100000,"")</f>
        <v/>
      </c>
    </row>
    <row r="4523">
      <c r="D4523" s="11" t="n"/>
      <c r="K4523" s="7">
        <f>IF($C4523="","",J4523*W4523/100)</f>
        <v/>
      </c>
      <c r="Q4523" s="7" t="n"/>
      <c r="R4523" s="7" t="n"/>
      <c r="U4523">
        <f>IF($C4523="","",IF($AJ4523=1,0,IF($AI4523=1,Settings!$C$6,Settings!$C$7))*100)</f>
        <v/>
      </c>
      <c r="V4523" s="7">
        <f>IF($C4523="","",R4523*U4523/100)</f>
        <v/>
      </c>
      <c r="W4523" s="7">
        <f>IF($C4523="","",R4523-V4523)</f>
        <v/>
      </c>
      <c r="X4523" s="7">
        <f>IF($C4523="","",W4523-K4523)</f>
        <v/>
      </c>
      <c r="AB4523" s="7" t="n"/>
      <c r="AE4523" s="11" t="n"/>
      <c r="AG4523">
        <f>IF($C4523="","",IF(COUNTIF($C$2:$C4523,$C4523)=1,1,0))</f>
        <v/>
      </c>
      <c r="AH4523">
        <f>IF($AG4523=1,SUMPRODUCT(--($AK$2:$AK$6001&lt;$AK4523))+1,"")</f>
        <v/>
      </c>
      <c r="AI4523">
        <f>IF($C4523="","",IF(OR($N4523=TRUE(),$N4523="TRUE"),1,0))</f>
        <v/>
      </c>
      <c r="AJ4523">
        <f>IF($C4523="","",IF($T4523="Yes",1,0))</f>
        <v/>
      </c>
      <c r="AK4523">
        <f>IF($AG4523=1,IFERROR(IF(VALUE($C4523)&lt;100000000,VALUE($C4523),1000000000),IFERROR(IF(VALUE(MID($C4523,2,20))&lt;100000000,VALUE(MID($C4523,2,20)),1000000000),1000000000))+ROW()/100000,"")</f>
        <v/>
      </c>
    </row>
    <row r="4524">
      <c r="D4524" s="11" t="n"/>
      <c r="K4524" s="7">
        <f>IF($C4524="","",J4524*W4524/100)</f>
        <v/>
      </c>
      <c r="Q4524" s="7" t="n"/>
      <c r="R4524" s="7" t="n"/>
      <c r="U4524">
        <f>IF($C4524="","",IF($AJ4524=1,0,IF($AI4524=1,Settings!$C$6,Settings!$C$7))*100)</f>
        <v/>
      </c>
      <c r="V4524" s="7">
        <f>IF($C4524="","",R4524*U4524/100)</f>
        <v/>
      </c>
      <c r="W4524" s="7">
        <f>IF($C4524="","",R4524-V4524)</f>
        <v/>
      </c>
      <c r="X4524" s="7">
        <f>IF($C4524="","",W4524-K4524)</f>
        <v/>
      </c>
      <c r="AB4524" s="7" t="n"/>
      <c r="AE4524" s="11" t="n"/>
      <c r="AG4524">
        <f>IF($C4524="","",IF(COUNTIF($C$2:$C4524,$C4524)=1,1,0))</f>
        <v/>
      </c>
      <c r="AH4524">
        <f>IF($AG4524=1,SUMPRODUCT(--($AK$2:$AK$6001&lt;$AK4524))+1,"")</f>
        <v/>
      </c>
      <c r="AI4524">
        <f>IF($C4524="","",IF(OR($N4524=TRUE(),$N4524="TRUE"),1,0))</f>
        <v/>
      </c>
      <c r="AJ4524">
        <f>IF($C4524="","",IF($T4524="Yes",1,0))</f>
        <v/>
      </c>
      <c r="AK4524">
        <f>IF($AG4524=1,IFERROR(IF(VALUE($C4524)&lt;100000000,VALUE($C4524),1000000000),IFERROR(IF(VALUE(MID($C4524,2,20))&lt;100000000,VALUE(MID($C4524,2,20)),1000000000),1000000000))+ROW()/100000,"")</f>
        <v/>
      </c>
    </row>
    <row r="4525">
      <c r="D4525" s="11" t="n"/>
      <c r="K4525" s="7">
        <f>IF($C4525="","",J4525*W4525/100)</f>
        <v/>
      </c>
      <c r="Q4525" s="7" t="n"/>
      <c r="R4525" s="7" t="n"/>
      <c r="U4525">
        <f>IF($C4525="","",IF($AJ4525=1,0,IF($AI4525=1,Settings!$C$6,Settings!$C$7))*100)</f>
        <v/>
      </c>
      <c r="V4525" s="7">
        <f>IF($C4525="","",R4525*U4525/100)</f>
        <v/>
      </c>
      <c r="W4525" s="7">
        <f>IF($C4525="","",R4525-V4525)</f>
        <v/>
      </c>
      <c r="X4525" s="7">
        <f>IF($C4525="","",W4525-K4525)</f>
        <v/>
      </c>
      <c r="AB4525" s="7" t="n"/>
      <c r="AE4525" s="11" t="n"/>
      <c r="AG4525">
        <f>IF($C4525="","",IF(COUNTIF($C$2:$C4525,$C4525)=1,1,0))</f>
        <v/>
      </c>
      <c r="AH4525">
        <f>IF($AG4525=1,SUMPRODUCT(--($AK$2:$AK$6001&lt;$AK4525))+1,"")</f>
        <v/>
      </c>
      <c r="AI4525">
        <f>IF($C4525="","",IF(OR($N4525=TRUE(),$N4525="TRUE"),1,0))</f>
        <v/>
      </c>
      <c r="AJ4525">
        <f>IF($C4525="","",IF($T4525="Yes",1,0))</f>
        <v/>
      </c>
      <c r="AK4525">
        <f>IF($AG4525=1,IFERROR(IF(VALUE($C4525)&lt;100000000,VALUE($C4525),1000000000),IFERROR(IF(VALUE(MID($C4525,2,20))&lt;100000000,VALUE(MID($C4525,2,20)),1000000000),1000000000))+ROW()/100000,"")</f>
        <v/>
      </c>
    </row>
    <row r="4526">
      <c r="D4526" s="11" t="n"/>
      <c r="K4526" s="7">
        <f>IF($C4526="","",J4526*W4526/100)</f>
        <v/>
      </c>
      <c r="Q4526" s="7" t="n"/>
      <c r="R4526" s="7" t="n"/>
      <c r="U4526">
        <f>IF($C4526="","",IF($AJ4526=1,0,IF($AI4526=1,Settings!$C$6,Settings!$C$7))*100)</f>
        <v/>
      </c>
      <c r="V4526" s="7">
        <f>IF($C4526="","",R4526*U4526/100)</f>
        <v/>
      </c>
      <c r="W4526" s="7">
        <f>IF($C4526="","",R4526-V4526)</f>
        <v/>
      </c>
      <c r="X4526" s="7">
        <f>IF($C4526="","",W4526-K4526)</f>
        <v/>
      </c>
      <c r="AB4526" s="7" t="n"/>
      <c r="AE4526" s="11" t="n"/>
      <c r="AG4526">
        <f>IF($C4526="","",IF(COUNTIF($C$2:$C4526,$C4526)=1,1,0))</f>
        <v/>
      </c>
      <c r="AH4526">
        <f>IF($AG4526=1,SUMPRODUCT(--($AK$2:$AK$6001&lt;$AK4526))+1,"")</f>
        <v/>
      </c>
      <c r="AI4526">
        <f>IF($C4526="","",IF(OR($N4526=TRUE(),$N4526="TRUE"),1,0))</f>
        <v/>
      </c>
      <c r="AJ4526">
        <f>IF($C4526="","",IF($T4526="Yes",1,0))</f>
        <v/>
      </c>
      <c r="AK4526">
        <f>IF($AG4526=1,IFERROR(IF(VALUE($C4526)&lt;100000000,VALUE($C4526),1000000000),IFERROR(IF(VALUE(MID($C4526,2,20))&lt;100000000,VALUE(MID($C4526,2,20)),1000000000),1000000000))+ROW()/100000,"")</f>
        <v/>
      </c>
    </row>
    <row r="4527">
      <c r="D4527" s="11" t="n"/>
      <c r="K4527" s="7">
        <f>IF($C4527="","",J4527*W4527/100)</f>
        <v/>
      </c>
      <c r="Q4527" s="7" t="n"/>
      <c r="R4527" s="7" t="n"/>
      <c r="U4527">
        <f>IF($C4527="","",IF($AJ4527=1,0,IF($AI4527=1,Settings!$C$6,Settings!$C$7))*100)</f>
        <v/>
      </c>
      <c r="V4527" s="7">
        <f>IF($C4527="","",R4527*U4527/100)</f>
        <v/>
      </c>
      <c r="W4527" s="7">
        <f>IF($C4527="","",R4527-V4527)</f>
        <v/>
      </c>
      <c r="X4527" s="7">
        <f>IF($C4527="","",W4527-K4527)</f>
        <v/>
      </c>
      <c r="AB4527" s="7" t="n"/>
      <c r="AE4527" s="11" t="n"/>
      <c r="AG4527">
        <f>IF($C4527="","",IF(COUNTIF($C$2:$C4527,$C4527)=1,1,0))</f>
        <v/>
      </c>
      <c r="AH4527">
        <f>IF($AG4527=1,SUMPRODUCT(--($AK$2:$AK$6001&lt;$AK4527))+1,"")</f>
        <v/>
      </c>
      <c r="AI4527">
        <f>IF($C4527="","",IF(OR($N4527=TRUE(),$N4527="TRUE"),1,0))</f>
        <v/>
      </c>
      <c r="AJ4527">
        <f>IF($C4527="","",IF($T4527="Yes",1,0))</f>
        <v/>
      </c>
      <c r="AK4527">
        <f>IF($AG4527=1,IFERROR(IF(VALUE($C4527)&lt;100000000,VALUE($C4527),1000000000),IFERROR(IF(VALUE(MID($C4527,2,20))&lt;100000000,VALUE(MID($C4527,2,20)),1000000000),1000000000))+ROW()/100000,"")</f>
        <v/>
      </c>
    </row>
    <row r="4528">
      <c r="D4528" s="11" t="n"/>
      <c r="K4528" s="7">
        <f>IF($C4528="","",J4528*W4528/100)</f>
        <v/>
      </c>
      <c r="Q4528" s="7" t="n"/>
      <c r="R4528" s="7" t="n"/>
      <c r="U4528">
        <f>IF($C4528="","",IF($AJ4528=1,0,IF($AI4528=1,Settings!$C$6,Settings!$C$7))*100)</f>
        <v/>
      </c>
      <c r="V4528" s="7">
        <f>IF($C4528="","",R4528*U4528/100)</f>
        <v/>
      </c>
      <c r="W4528" s="7">
        <f>IF($C4528="","",R4528-V4528)</f>
        <v/>
      </c>
      <c r="X4528" s="7">
        <f>IF($C4528="","",W4528-K4528)</f>
        <v/>
      </c>
      <c r="AB4528" s="7" t="n"/>
      <c r="AE4528" s="11" t="n"/>
      <c r="AG4528">
        <f>IF($C4528="","",IF(COUNTIF($C$2:$C4528,$C4528)=1,1,0))</f>
        <v/>
      </c>
      <c r="AH4528">
        <f>IF($AG4528=1,SUMPRODUCT(--($AK$2:$AK$6001&lt;$AK4528))+1,"")</f>
        <v/>
      </c>
      <c r="AI4528">
        <f>IF($C4528="","",IF(OR($N4528=TRUE(),$N4528="TRUE"),1,0))</f>
        <v/>
      </c>
      <c r="AJ4528">
        <f>IF($C4528="","",IF($T4528="Yes",1,0))</f>
        <v/>
      </c>
      <c r="AK4528">
        <f>IF($AG4528=1,IFERROR(IF(VALUE($C4528)&lt;100000000,VALUE($C4528),1000000000),IFERROR(IF(VALUE(MID($C4528,2,20))&lt;100000000,VALUE(MID($C4528,2,20)),1000000000),1000000000))+ROW()/100000,"")</f>
        <v/>
      </c>
    </row>
    <row r="4529">
      <c r="D4529" s="11" t="n"/>
      <c r="K4529" s="7">
        <f>IF($C4529="","",J4529*W4529/100)</f>
        <v/>
      </c>
      <c r="Q4529" s="7" t="n"/>
      <c r="R4529" s="7" t="n"/>
      <c r="U4529">
        <f>IF($C4529="","",IF($AJ4529=1,0,IF($AI4529=1,Settings!$C$6,Settings!$C$7))*100)</f>
        <v/>
      </c>
      <c r="V4529" s="7">
        <f>IF($C4529="","",R4529*U4529/100)</f>
        <v/>
      </c>
      <c r="W4529" s="7">
        <f>IF($C4529="","",R4529-V4529)</f>
        <v/>
      </c>
      <c r="X4529" s="7">
        <f>IF($C4529="","",W4529-K4529)</f>
        <v/>
      </c>
      <c r="AB4529" s="7" t="n"/>
      <c r="AE4529" s="11" t="n"/>
      <c r="AG4529">
        <f>IF($C4529="","",IF(COUNTIF($C$2:$C4529,$C4529)=1,1,0))</f>
        <v/>
      </c>
      <c r="AH4529">
        <f>IF($AG4529=1,SUMPRODUCT(--($AK$2:$AK$6001&lt;$AK4529))+1,"")</f>
        <v/>
      </c>
      <c r="AI4529">
        <f>IF($C4529="","",IF(OR($N4529=TRUE(),$N4529="TRUE"),1,0))</f>
        <v/>
      </c>
      <c r="AJ4529">
        <f>IF($C4529="","",IF($T4529="Yes",1,0))</f>
        <v/>
      </c>
      <c r="AK4529">
        <f>IF($AG4529=1,IFERROR(IF(VALUE($C4529)&lt;100000000,VALUE($C4529),1000000000),IFERROR(IF(VALUE(MID($C4529,2,20))&lt;100000000,VALUE(MID($C4529,2,20)),1000000000),1000000000))+ROW()/100000,"")</f>
        <v/>
      </c>
    </row>
    <row r="4530">
      <c r="D4530" s="11" t="n"/>
      <c r="K4530" s="7">
        <f>IF($C4530="","",J4530*W4530/100)</f>
        <v/>
      </c>
      <c r="Q4530" s="7" t="n"/>
      <c r="R4530" s="7" t="n"/>
      <c r="U4530">
        <f>IF($C4530="","",IF($AJ4530=1,0,IF($AI4530=1,Settings!$C$6,Settings!$C$7))*100)</f>
        <v/>
      </c>
      <c r="V4530" s="7">
        <f>IF($C4530="","",R4530*U4530/100)</f>
        <v/>
      </c>
      <c r="W4530" s="7">
        <f>IF($C4530="","",R4530-V4530)</f>
        <v/>
      </c>
      <c r="X4530" s="7">
        <f>IF($C4530="","",W4530-K4530)</f>
        <v/>
      </c>
      <c r="AB4530" s="7" t="n"/>
      <c r="AE4530" s="11" t="n"/>
      <c r="AG4530">
        <f>IF($C4530="","",IF(COUNTIF($C$2:$C4530,$C4530)=1,1,0))</f>
        <v/>
      </c>
      <c r="AH4530">
        <f>IF($AG4530=1,SUMPRODUCT(--($AK$2:$AK$6001&lt;$AK4530))+1,"")</f>
        <v/>
      </c>
      <c r="AI4530">
        <f>IF($C4530="","",IF(OR($N4530=TRUE(),$N4530="TRUE"),1,0))</f>
        <v/>
      </c>
      <c r="AJ4530">
        <f>IF($C4530="","",IF($T4530="Yes",1,0))</f>
        <v/>
      </c>
      <c r="AK4530">
        <f>IF($AG4530=1,IFERROR(IF(VALUE($C4530)&lt;100000000,VALUE($C4530),1000000000),IFERROR(IF(VALUE(MID($C4530,2,20))&lt;100000000,VALUE(MID($C4530,2,20)),1000000000),1000000000))+ROW()/100000,"")</f>
        <v/>
      </c>
    </row>
    <row r="4531">
      <c r="D4531" s="11" t="n"/>
      <c r="K4531" s="7">
        <f>IF($C4531="","",J4531*W4531/100)</f>
        <v/>
      </c>
      <c r="Q4531" s="7" t="n"/>
      <c r="R4531" s="7" t="n"/>
      <c r="U4531">
        <f>IF($C4531="","",IF($AJ4531=1,0,IF($AI4531=1,Settings!$C$6,Settings!$C$7))*100)</f>
        <v/>
      </c>
      <c r="V4531" s="7">
        <f>IF($C4531="","",R4531*U4531/100)</f>
        <v/>
      </c>
      <c r="W4531" s="7">
        <f>IF($C4531="","",R4531-V4531)</f>
        <v/>
      </c>
      <c r="X4531" s="7">
        <f>IF($C4531="","",W4531-K4531)</f>
        <v/>
      </c>
      <c r="AB4531" s="7" t="n"/>
      <c r="AE4531" s="11" t="n"/>
      <c r="AG4531">
        <f>IF($C4531="","",IF(COUNTIF($C$2:$C4531,$C4531)=1,1,0))</f>
        <v/>
      </c>
      <c r="AH4531">
        <f>IF($AG4531=1,SUMPRODUCT(--($AK$2:$AK$6001&lt;$AK4531))+1,"")</f>
        <v/>
      </c>
      <c r="AI4531">
        <f>IF($C4531="","",IF(OR($N4531=TRUE(),$N4531="TRUE"),1,0))</f>
        <v/>
      </c>
      <c r="AJ4531">
        <f>IF($C4531="","",IF($T4531="Yes",1,0))</f>
        <v/>
      </c>
      <c r="AK4531">
        <f>IF($AG4531=1,IFERROR(IF(VALUE($C4531)&lt;100000000,VALUE($C4531),1000000000),IFERROR(IF(VALUE(MID($C4531,2,20))&lt;100000000,VALUE(MID($C4531,2,20)),1000000000),1000000000))+ROW()/100000,"")</f>
        <v/>
      </c>
    </row>
    <row r="4532">
      <c r="D4532" s="11" t="n"/>
      <c r="K4532" s="7">
        <f>IF($C4532="","",J4532*W4532/100)</f>
        <v/>
      </c>
      <c r="Q4532" s="7" t="n"/>
      <c r="R4532" s="7" t="n"/>
      <c r="U4532">
        <f>IF($C4532="","",IF($AJ4532=1,0,IF($AI4532=1,Settings!$C$6,Settings!$C$7))*100)</f>
        <v/>
      </c>
      <c r="V4532" s="7">
        <f>IF($C4532="","",R4532*U4532/100)</f>
        <v/>
      </c>
      <c r="W4532" s="7">
        <f>IF($C4532="","",R4532-V4532)</f>
        <v/>
      </c>
      <c r="X4532" s="7">
        <f>IF($C4532="","",W4532-K4532)</f>
        <v/>
      </c>
      <c r="AB4532" s="7" t="n"/>
      <c r="AE4532" s="11" t="n"/>
      <c r="AG4532">
        <f>IF($C4532="","",IF(COUNTIF($C$2:$C4532,$C4532)=1,1,0))</f>
        <v/>
      </c>
      <c r="AH4532">
        <f>IF($AG4532=1,SUMPRODUCT(--($AK$2:$AK$6001&lt;$AK4532))+1,"")</f>
        <v/>
      </c>
      <c r="AI4532">
        <f>IF($C4532="","",IF(OR($N4532=TRUE(),$N4532="TRUE"),1,0))</f>
        <v/>
      </c>
      <c r="AJ4532">
        <f>IF($C4532="","",IF($T4532="Yes",1,0))</f>
        <v/>
      </c>
      <c r="AK4532">
        <f>IF($AG4532=1,IFERROR(IF(VALUE($C4532)&lt;100000000,VALUE($C4532),1000000000),IFERROR(IF(VALUE(MID($C4532,2,20))&lt;100000000,VALUE(MID($C4532,2,20)),1000000000),1000000000))+ROW()/100000,"")</f>
        <v/>
      </c>
    </row>
    <row r="4533">
      <c r="D4533" s="11" t="n"/>
      <c r="K4533" s="7">
        <f>IF($C4533="","",J4533*W4533/100)</f>
        <v/>
      </c>
      <c r="Q4533" s="7" t="n"/>
      <c r="R4533" s="7" t="n"/>
      <c r="U4533">
        <f>IF($C4533="","",IF($AJ4533=1,0,IF($AI4533=1,Settings!$C$6,Settings!$C$7))*100)</f>
        <v/>
      </c>
      <c r="V4533" s="7">
        <f>IF($C4533="","",R4533*U4533/100)</f>
        <v/>
      </c>
      <c r="W4533" s="7">
        <f>IF($C4533="","",R4533-V4533)</f>
        <v/>
      </c>
      <c r="X4533" s="7">
        <f>IF($C4533="","",W4533-K4533)</f>
        <v/>
      </c>
      <c r="AB4533" s="7" t="n"/>
      <c r="AE4533" s="11" t="n"/>
      <c r="AG4533">
        <f>IF($C4533="","",IF(COUNTIF($C$2:$C4533,$C4533)=1,1,0))</f>
        <v/>
      </c>
      <c r="AH4533">
        <f>IF($AG4533=1,SUMPRODUCT(--($AK$2:$AK$6001&lt;$AK4533))+1,"")</f>
        <v/>
      </c>
      <c r="AI4533">
        <f>IF($C4533="","",IF(OR($N4533=TRUE(),$N4533="TRUE"),1,0))</f>
        <v/>
      </c>
      <c r="AJ4533">
        <f>IF($C4533="","",IF($T4533="Yes",1,0))</f>
        <v/>
      </c>
      <c r="AK4533">
        <f>IF($AG4533=1,IFERROR(IF(VALUE($C4533)&lt;100000000,VALUE($C4533),1000000000),IFERROR(IF(VALUE(MID($C4533,2,20))&lt;100000000,VALUE(MID($C4533,2,20)),1000000000),1000000000))+ROW()/100000,"")</f>
        <v/>
      </c>
    </row>
    <row r="4534">
      <c r="D4534" s="11" t="n"/>
      <c r="K4534" s="7">
        <f>IF($C4534="","",J4534*W4534/100)</f>
        <v/>
      </c>
      <c r="Q4534" s="7" t="n"/>
      <c r="R4534" s="7" t="n"/>
      <c r="U4534">
        <f>IF($C4534="","",IF($AJ4534=1,0,IF($AI4534=1,Settings!$C$6,Settings!$C$7))*100)</f>
        <v/>
      </c>
      <c r="V4534" s="7">
        <f>IF($C4534="","",R4534*U4534/100)</f>
        <v/>
      </c>
      <c r="W4534" s="7">
        <f>IF($C4534="","",R4534-V4534)</f>
        <v/>
      </c>
      <c r="X4534" s="7">
        <f>IF($C4534="","",W4534-K4534)</f>
        <v/>
      </c>
      <c r="AB4534" s="7" t="n"/>
      <c r="AE4534" s="11" t="n"/>
      <c r="AG4534">
        <f>IF($C4534="","",IF(COUNTIF($C$2:$C4534,$C4534)=1,1,0))</f>
        <v/>
      </c>
      <c r="AH4534">
        <f>IF($AG4534=1,SUMPRODUCT(--($AK$2:$AK$6001&lt;$AK4534))+1,"")</f>
        <v/>
      </c>
      <c r="AI4534">
        <f>IF($C4534="","",IF(OR($N4534=TRUE(),$N4534="TRUE"),1,0))</f>
        <v/>
      </c>
      <c r="AJ4534">
        <f>IF($C4534="","",IF($T4534="Yes",1,0))</f>
        <v/>
      </c>
      <c r="AK4534">
        <f>IF($AG4534=1,IFERROR(IF(VALUE($C4534)&lt;100000000,VALUE($C4534),1000000000),IFERROR(IF(VALUE(MID($C4534,2,20))&lt;100000000,VALUE(MID($C4534,2,20)),1000000000),1000000000))+ROW()/100000,"")</f>
        <v/>
      </c>
    </row>
    <row r="4535">
      <c r="D4535" s="11" t="n"/>
      <c r="K4535" s="7">
        <f>IF($C4535="","",J4535*W4535/100)</f>
        <v/>
      </c>
      <c r="Q4535" s="7" t="n"/>
      <c r="R4535" s="7" t="n"/>
      <c r="U4535">
        <f>IF($C4535="","",IF($AJ4535=1,0,IF($AI4535=1,Settings!$C$6,Settings!$C$7))*100)</f>
        <v/>
      </c>
      <c r="V4535" s="7">
        <f>IF($C4535="","",R4535*U4535/100)</f>
        <v/>
      </c>
      <c r="W4535" s="7">
        <f>IF($C4535="","",R4535-V4535)</f>
        <v/>
      </c>
      <c r="X4535" s="7">
        <f>IF($C4535="","",W4535-K4535)</f>
        <v/>
      </c>
      <c r="AB4535" s="7" t="n"/>
      <c r="AE4535" s="11" t="n"/>
      <c r="AG4535">
        <f>IF($C4535="","",IF(COUNTIF($C$2:$C4535,$C4535)=1,1,0))</f>
        <v/>
      </c>
      <c r="AH4535">
        <f>IF($AG4535=1,SUMPRODUCT(--($AK$2:$AK$6001&lt;$AK4535))+1,"")</f>
        <v/>
      </c>
      <c r="AI4535">
        <f>IF($C4535="","",IF(OR($N4535=TRUE(),$N4535="TRUE"),1,0))</f>
        <v/>
      </c>
      <c r="AJ4535">
        <f>IF($C4535="","",IF($T4535="Yes",1,0))</f>
        <v/>
      </c>
      <c r="AK4535">
        <f>IF($AG4535=1,IFERROR(IF(VALUE($C4535)&lt;100000000,VALUE($C4535),1000000000),IFERROR(IF(VALUE(MID($C4535,2,20))&lt;100000000,VALUE(MID($C4535,2,20)),1000000000),1000000000))+ROW()/100000,"")</f>
        <v/>
      </c>
    </row>
    <row r="4536">
      <c r="D4536" s="11" t="n"/>
      <c r="K4536" s="7">
        <f>IF($C4536="","",J4536*W4536/100)</f>
        <v/>
      </c>
      <c r="Q4536" s="7" t="n"/>
      <c r="R4536" s="7" t="n"/>
      <c r="U4536">
        <f>IF($C4536="","",IF($AJ4536=1,0,IF($AI4536=1,Settings!$C$6,Settings!$C$7))*100)</f>
        <v/>
      </c>
      <c r="V4536" s="7">
        <f>IF($C4536="","",R4536*U4536/100)</f>
        <v/>
      </c>
      <c r="W4536" s="7">
        <f>IF($C4536="","",R4536-V4536)</f>
        <v/>
      </c>
      <c r="X4536" s="7">
        <f>IF($C4536="","",W4536-K4536)</f>
        <v/>
      </c>
      <c r="AB4536" s="7" t="n"/>
      <c r="AE4536" s="11" t="n"/>
      <c r="AG4536">
        <f>IF($C4536="","",IF(COUNTIF($C$2:$C4536,$C4536)=1,1,0))</f>
        <v/>
      </c>
      <c r="AH4536">
        <f>IF($AG4536=1,SUMPRODUCT(--($AK$2:$AK$6001&lt;$AK4536))+1,"")</f>
        <v/>
      </c>
      <c r="AI4536">
        <f>IF($C4536="","",IF(OR($N4536=TRUE(),$N4536="TRUE"),1,0))</f>
        <v/>
      </c>
      <c r="AJ4536">
        <f>IF($C4536="","",IF($T4536="Yes",1,0))</f>
        <v/>
      </c>
      <c r="AK4536">
        <f>IF($AG4536=1,IFERROR(IF(VALUE($C4536)&lt;100000000,VALUE($C4536),1000000000),IFERROR(IF(VALUE(MID($C4536,2,20))&lt;100000000,VALUE(MID($C4536,2,20)),1000000000),1000000000))+ROW()/100000,"")</f>
        <v/>
      </c>
    </row>
    <row r="4537">
      <c r="D4537" s="11" t="n"/>
      <c r="K4537" s="7">
        <f>IF($C4537="","",J4537*W4537/100)</f>
        <v/>
      </c>
      <c r="Q4537" s="7" t="n"/>
      <c r="R4537" s="7" t="n"/>
      <c r="U4537">
        <f>IF($C4537="","",IF($AJ4537=1,0,IF($AI4537=1,Settings!$C$6,Settings!$C$7))*100)</f>
        <v/>
      </c>
      <c r="V4537" s="7">
        <f>IF($C4537="","",R4537*U4537/100)</f>
        <v/>
      </c>
      <c r="W4537" s="7">
        <f>IF($C4537="","",R4537-V4537)</f>
        <v/>
      </c>
      <c r="X4537" s="7">
        <f>IF($C4537="","",W4537-K4537)</f>
        <v/>
      </c>
      <c r="AB4537" s="7" t="n"/>
      <c r="AE4537" s="11" t="n"/>
      <c r="AG4537">
        <f>IF($C4537="","",IF(COUNTIF($C$2:$C4537,$C4537)=1,1,0))</f>
        <v/>
      </c>
      <c r="AH4537">
        <f>IF($AG4537=1,SUMPRODUCT(--($AK$2:$AK$6001&lt;$AK4537))+1,"")</f>
        <v/>
      </c>
      <c r="AI4537">
        <f>IF($C4537="","",IF(OR($N4537=TRUE(),$N4537="TRUE"),1,0))</f>
        <v/>
      </c>
      <c r="AJ4537">
        <f>IF($C4537="","",IF($T4537="Yes",1,0))</f>
        <v/>
      </c>
      <c r="AK4537">
        <f>IF($AG4537=1,IFERROR(IF(VALUE($C4537)&lt;100000000,VALUE($C4537),1000000000),IFERROR(IF(VALUE(MID($C4537,2,20))&lt;100000000,VALUE(MID($C4537,2,20)),1000000000),1000000000))+ROW()/100000,"")</f>
        <v/>
      </c>
    </row>
    <row r="4538">
      <c r="D4538" s="11" t="n"/>
      <c r="K4538" s="7">
        <f>IF($C4538="","",J4538*W4538/100)</f>
        <v/>
      </c>
      <c r="Q4538" s="7" t="n"/>
      <c r="R4538" s="7" t="n"/>
      <c r="U4538">
        <f>IF($C4538="","",IF($AJ4538=1,0,IF($AI4538=1,Settings!$C$6,Settings!$C$7))*100)</f>
        <v/>
      </c>
      <c r="V4538" s="7">
        <f>IF($C4538="","",R4538*U4538/100)</f>
        <v/>
      </c>
      <c r="W4538" s="7">
        <f>IF($C4538="","",R4538-V4538)</f>
        <v/>
      </c>
      <c r="X4538" s="7">
        <f>IF($C4538="","",W4538-K4538)</f>
        <v/>
      </c>
      <c r="AB4538" s="7" t="n"/>
      <c r="AE4538" s="11" t="n"/>
      <c r="AG4538">
        <f>IF($C4538="","",IF(COUNTIF($C$2:$C4538,$C4538)=1,1,0))</f>
        <v/>
      </c>
      <c r="AH4538">
        <f>IF($AG4538=1,SUMPRODUCT(--($AK$2:$AK$6001&lt;$AK4538))+1,"")</f>
        <v/>
      </c>
      <c r="AI4538">
        <f>IF($C4538="","",IF(OR($N4538=TRUE(),$N4538="TRUE"),1,0))</f>
        <v/>
      </c>
      <c r="AJ4538">
        <f>IF($C4538="","",IF($T4538="Yes",1,0))</f>
        <v/>
      </c>
      <c r="AK4538">
        <f>IF($AG4538=1,IFERROR(IF(VALUE($C4538)&lt;100000000,VALUE($C4538),1000000000),IFERROR(IF(VALUE(MID($C4538,2,20))&lt;100000000,VALUE(MID($C4538,2,20)),1000000000),1000000000))+ROW()/100000,"")</f>
        <v/>
      </c>
    </row>
    <row r="4539">
      <c r="D4539" s="11" t="n"/>
      <c r="K4539" s="7">
        <f>IF($C4539="","",J4539*W4539/100)</f>
        <v/>
      </c>
      <c r="Q4539" s="7" t="n"/>
      <c r="R4539" s="7" t="n"/>
      <c r="U4539">
        <f>IF($C4539="","",IF($AJ4539=1,0,IF($AI4539=1,Settings!$C$6,Settings!$C$7))*100)</f>
        <v/>
      </c>
      <c r="V4539" s="7">
        <f>IF($C4539="","",R4539*U4539/100)</f>
        <v/>
      </c>
      <c r="W4539" s="7">
        <f>IF($C4539="","",R4539-V4539)</f>
        <v/>
      </c>
      <c r="X4539" s="7">
        <f>IF($C4539="","",W4539-K4539)</f>
        <v/>
      </c>
      <c r="AB4539" s="7" t="n"/>
      <c r="AE4539" s="11" t="n"/>
      <c r="AG4539">
        <f>IF($C4539="","",IF(COUNTIF($C$2:$C4539,$C4539)=1,1,0))</f>
        <v/>
      </c>
      <c r="AH4539">
        <f>IF($AG4539=1,SUMPRODUCT(--($AK$2:$AK$6001&lt;$AK4539))+1,"")</f>
        <v/>
      </c>
      <c r="AI4539">
        <f>IF($C4539="","",IF(OR($N4539=TRUE(),$N4539="TRUE"),1,0))</f>
        <v/>
      </c>
      <c r="AJ4539">
        <f>IF($C4539="","",IF($T4539="Yes",1,0))</f>
        <v/>
      </c>
      <c r="AK4539">
        <f>IF($AG4539=1,IFERROR(IF(VALUE($C4539)&lt;100000000,VALUE($C4539),1000000000),IFERROR(IF(VALUE(MID($C4539,2,20))&lt;100000000,VALUE(MID($C4539,2,20)),1000000000),1000000000))+ROW()/100000,"")</f>
        <v/>
      </c>
    </row>
    <row r="4540">
      <c r="D4540" s="11" t="n"/>
      <c r="K4540" s="7">
        <f>IF($C4540="","",J4540*W4540/100)</f>
        <v/>
      </c>
      <c r="Q4540" s="7" t="n"/>
      <c r="R4540" s="7" t="n"/>
      <c r="U4540">
        <f>IF($C4540="","",IF($AJ4540=1,0,IF($AI4540=1,Settings!$C$6,Settings!$C$7))*100)</f>
        <v/>
      </c>
      <c r="V4540" s="7">
        <f>IF($C4540="","",R4540*U4540/100)</f>
        <v/>
      </c>
      <c r="W4540" s="7">
        <f>IF($C4540="","",R4540-V4540)</f>
        <v/>
      </c>
      <c r="X4540" s="7">
        <f>IF($C4540="","",W4540-K4540)</f>
        <v/>
      </c>
      <c r="AB4540" s="7" t="n"/>
      <c r="AE4540" s="11" t="n"/>
      <c r="AG4540">
        <f>IF($C4540="","",IF(COUNTIF($C$2:$C4540,$C4540)=1,1,0))</f>
        <v/>
      </c>
      <c r="AH4540">
        <f>IF($AG4540=1,SUMPRODUCT(--($AK$2:$AK$6001&lt;$AK4540))+1,"")</f>
        <v/>
      </c>
      <c r="AI4540">
        <f>IF($C4540="","",IF(OR($N4540=TRUE(),$N4540="TRUE"),1,0))</f>
        <v/>
      </c>
      <c r="AJ4540">
        <f>IF($C4540="","",IF($T4540="Yes",1,0))</f>
        <v/>
      </c>
      <c r="AK4540">
        <f>IF($AG4540=1,IFERROR(IF(VALUE($C4540)&lt;100000000,VALUE($C4540),1000000000),IFERROR(IF(VALUE(MID($C4540,2,20))&lt;100000000,VALUE(MID($C4540,2,20)),1000000000),1000000000))+ROW()/100000,"")</f>
        <v/>
      </c>
    </row>
    <row r="4541">
      <c r="D4541" s="11" t="n"/>
      <c r="K4541" s="7">
        <f>IF($C4541="","",J4541*W4541/100)</f>
        <v/>
      </c>
      <c r="Q4541" s="7" t="n"/>
      <c r="R4541" s="7" t="n"/>
      <c r="U4541">
        <f>IF($C4541="","",IF($AJ4541=1,0,IF($AI4541=1,Settings!$C$6,Settings!$C$7))*100)</f>
        <v/>
      </c>
      <c r="V4541" s="7">
        <f>IF($C4541="","",R4541*U4541/100)</f>
        <v/>
      </c>
      <c r="W4541" s="7">
        <f>IF($C4541="","",R4541-V4541)</f>
        <v/>
      </c>
      <c r="X4541" s="7">
        <f>IF($C4541="","",W4541-K4541)</f>
        <v/>
      </c>
      <c r="AB4541" s="7" t="n"/>
      <c r="AE4541" s="11" t="n"/>
      <c r="AG4541">
        <f>IF($C4541="","",IF(COUNTIF($C$2:$C4541,$C4541)=1,1,0))</f>
        <v/>
      </c>
      <c r="AH4541">
        <f>IF($AG4541=1,SUMPRODUCT(--($AK$2:$AK$6001&lt;$AK4541))+1,"")</f>
        <v/>
      </c>
      <c r="AI4541">
        <f>IF($C4541="","",IF(OR($N4541=TRUE(),$N4541="TRUE"),1,0))</f>
        <v/>
      </c>
      <c r="AJ4541">
        <f>IF($C4541="","",IF($T4541="Yes",1,0))</f>
        <v/>
      </c>
      <c r="AK4541">
        <f>IF($AG4541=1,IFERROR(IF(VALUE($C4541)&lt;100000000,VALUE($C4541),1000000000),IFERROR(IF(VALUE(MID($C4541,2,20))&lt;100000000,VALUE(MID($C4541,2,20)),1000000000),1000000000))+ROW()/100000,"")</f>
        <v/>
      </c>
    </row>
    <row r="4542">
      <c r="D4542" s="11" t="n"/>
      <c r="K4542" s="7">
        <f>IF($C4542="","",J4542*W4542/100)</f>
        <v/>
      </c>
      <c r="Q4542" s="7" t="n"/>
      <c r="R4542" s="7" t="n"/>
      <c r="U4542">
        <f>IF($C4542="","",IF($AJ4542=1,0,IF($AI4542=1,Settings!$C$6,Settings!$C$7))*100)</f>
        <v/>
      </c>
      <c r="V4542" s="7">
        <f>IF($C4542="","",R4542*U4542/100)</f>
        <v/>
      </c>
      <c r="W4542" s="7">
        <f>IF($C4542="","",R4542-V4542)</f>
        <v/>
      </c>
      <c r="X4542" s="7">
        <f>IF($C4542="","",W4542-K4542)</f>
        <v/>
      </c>
      <c r="AB4542" s="7" t="n"/>
      <c r="AE4542" s="11" t="n"/>
      <c r="AG4542">
        <f>IF($C4542="","",IF(COUNTIF($C$2:$C4542,$C4542)=1,1,0))</f>
        <v/>
      </c>
      <c r="AH4542">
        <f>IF($AG4542=1,SUMPRODUCT(--($AK$2:$AK$6001&lt;$AK4542))+1,"")</f>
        <v/>
      </c>
      <c r="AI4542">
        <f>IF($C4542="","",IF(OR($N4542=TRUE(),$N4542="TRUE"),1,0))</f>
        <v/>
      </c>
      <c r="AJ4542">
        <f>IF($C4542="","",IF($T4542="Yes",1,0))</f>
        <v/>
      </c>
      <c r="AK4542">
        <f>IF($AG4542=1,IFERROR(IF(VALUE($C4542)&lt;100000000,VALUE($C4542),1000000000),IFERROR(IF(VALUE(MID($C4542,2,20))&lt;100000000,VALUE(MID($C4542,2,20)),1000000000),1000000000))+ROW()/100000,"")</f>
        <v/>
      </c>
    </row>
    <row r="4543">
      <c r="D4543" s="11" t="n"/>
      <c r="K4543" s="7">
        <f>IF($C4543="","",J4543*W4543/100)</f>
        <v/>
      </c>
      <c r="Q4543" s="7" t="n"/>
      <c r="R4543" s="7" t="n"/>
      <c r="U4543">
        <f>IF($C4543="","",IF($AJ4543=1,0,IF($AI4543=1,Settings!$C$6,Settings!$C$7))*100)</f>
        <v/>
      </c>
      <c r="V4543" s="7">
        <f>IF($C4543="","",R4543*U4543/100)</f>
        <v/>
      </c>
      <c r="W4543" s="7">
        <f>IF($C4543="","",R4543-V4543)</f>
        <v/>
      </c>
      <c r="X4543" s="7">
        <f>IF($C4543="","",W4543-K4543)</f>
        <v/>
      </c>
      <c r="AB4543" s="7" t="n"/>
      <c r="AE4543" s="11" t="n"/>
      <c r="AG4543">
        <f>IF($C4543="","",IF(COUNTIF($C$2:$C4543,$C4543)=1,1,0))</f>
        <v/>
      </c>
      <c r="AH4543">
        <f>IF($AG4543=1,SUMPRODUCT(--($AK$2:$AK$6001&lt;$AK4543))+1,"")</f>
        <v/>
      </c>
      <c r="AI4543">
        <f>IF($C4543="","",IF(OR($N4543=TRUE(),$N4543="TRUE"),1,0))</f>
        <v/>
      </c>
      <c r="AJ4543">
        <f>IF($C4543="","",IF($T4543="Yes",1,0))</f>
        <v/>
      </c>
      <c r="AK4543">
        <f>IF($AG4543=1,IFERROR(IF(VALUE($C4543)&lt;100000000,VALUE($C4543),1000000000),IFERROR(IF(VALUE(MID($C4543,2,20))&lt;100000000,VALUE(MID($C4543,2,20)),1000000000),1000000000))+ROW()/100000,"")</f>
        <v/>
      </c>
    </row>
    <row r="4544">
      <c r="D4544" s="11" t="n"/>
      <c r="K4544" s="7">
        <f>IF($C4544="","",J4544*W4544/100)</f>
        <v/>
      </c>
      <c r="Q4544" s="7" t="n"/>
      <c r="R4544" s="7" t="n"/>
      <c r="U4544">
        <f>IF($C4544="","",IF($AJ4544=1,0,IF($AI4544=1,Settings!$C$6,Settings!$C$7))*100)</f>
        <v/>
      </c>
      <c r="V4544" s="7">
        <f>IF($C4544="","",R4544*U4544/100)</f>
        <v/>
      </c>
      <c r="W4544" s="7">
        <f>IF($C4544="","",R4544-V4544)</f>
        <v/>
      </c>
      <c r="X4544" s="7">
        <f>IF($C4544="","",W4544-K4544)</f>
        <v/>
      </c>
      <c r="AB4544" s="7" t="n"/>
      <c r="AE4544" s="11" t="n"/>
      <c r="AG4544">
        <f>IF($C4544="","",IF(COUNTIF($C$2:$C4544,$C4544)=1,1,0))</f>
        <v/>
      </c>
      <c r="AH4544">
        <f>IF($AG4544=1,SUMPRODUCT(--($AK$2:$AK$6001&lt;$AK4544))+1,"")</f>
        <v/>
      </c>
      <c r="AI4544">
        <f>IF($C4544="","",IF(OR($N4544=TRUE(),$N4544="TRUE"),1,0))</f>
        <v/>
      </c>
      <c r="AJ4544">
        <f>IF($C4544="","",IF($T4544="Yes",1,0))</f>
        <v/>
      </c>
      <c r="AK4544">
        <f>IF($AG4544=1,IFERROR(IF(VALUE($C4544)&lt;100000000,VALUE($C4544),1000000000),IFERROR(IF(VALUE(MID($C4544,2,20))&lt;100000000,VALUE(MID($C4544,2,20)),1000000000),1000000000))+ROW()/100000,"")</f>
        <v/>
      </c>
    </row>
    <row r="4545">
      <c r="D4545" s="11" t="n"/>
      <c r="K4545" s="7">
        <f>IF($C4545="","",J4545*W4545/100)</f>
        <v/>
      </c>
      <c r="Q4545" s="7" t="n"/>
      <c r="R4545" s="7" t="n"/>
      <c r="U4545">
        <f>IF($C4545="","",IF($AJ4545=1,0,IF($AI4545=1,Settings!$C$6,Settings!$C$7))*100)</f>
        <v/>
      </c>
      <c r="V4545" s="7">
        <f>IF($C4545="","",R4545*U4545/100)</f>
        <v/>
      </c>
      <c r="W4545" s="7">
        <f>IF($C4545="","",R4545-V4545)</f>
        <v/>
      </c>
      <c r="X4545" s="7">
        <f>IF($C4545="","",W4545-K4545)</f>
        <v/>
      </c>
      <c r="AB4545" s="7" t="n"/>
      <c r="AE4545" s="11" t="n"/>
      <c r="AG4545">
        <f>IF($C4545="","",IF(COUNTIF($C$2:$C4545,$C4545)=1,1,0))</f>
        <v/>
      </c>
      <c r="AH4545">
        <f>IF($AG4545=1,SUMPRODUCT(--($AK$2:$AK$6001&lt;$AK4545))+1,"")</f>
        <v/>
      </c>
      <c r="AI4545">
        <f>IF($C4545="","",IF(OR($N4545=TRUE(),$N4545="TRUE"),1,0))</f>
        <v/>
      </c>
      <c r="AJ4545">
        <f>IF($C4545="","",IF($T4545="Yes",1,0))</f>
        <v/>
      </c>
      <c r="AK4545">
        <f>IF($AG4545=1,IFERROR(IF(VALUE($C4545)&lt;100000000,VALUE($C4545),1000000000),IFERROR(IF(VALUE(MID($C4545,2,20))&lt;100000000,VALUE(MID($C4545,2,20)),1000000000),1000000000))+ROW()/100000,"")</f>
        <v/>
      </c>
    </row>
    <row r="4546">
      <c r="D4546" s="11" t="n"/>
      <c r="K4546" s="7">
        <f>IF($C4546="","",J4546*W4546/100)</f>
        <v/>
      </c>
      <c r="Q4546" s="7" t="n"/>
      <c r="R4546" s="7" t="n"/>
      <c r="U4546">
        <f>IF($C4546="","",IF($AJ4546=1,0,IF($AI4546=1,Settings!$C$6,Settings!$C$7))*100)</f>
        <v/>
      </c>
      <c r="V4546" s="7">
        <f>IF($C4546="","",R4546*U4546/100)</f>
        <v/>
      </c>
      <c r="W4546" s="7">
        <f>IF($C4546="","",R4546-V4546)</f>
        <v/>
      </c>
      <c r="X4546" s="7">
        <f>IF($C4546="","",W4546-K4546)</f>
        <v/>
      </c>
      <c r="AB4546" s="7" t="n"/>
      <c r="AE4546" s="11" t="n"/>
      <c r="AG4546">
        <f>IF($C4546="","",IF(COUNTIF($C$2:$C4546,$C4546)=1,1,0))</f>
        <v/>
      </c>
      <c r="AH4546">
        <f>IF($AG4546=1,SUMPRODUCT(--($AK$2:$AK$6001&lt;$AK4546))+1,"")</f>
        <v/>
      </c>
      <c r="AI4546">
        <f>IF($C4546="","",IF(OR($N4546=TRUE(),$N4546="TRUE"),1,0))</f>
        <v/>
      </c>
      <c r="AJ4546">
        <f>IF($C4546="","",IF($T4546="Yes",1,0))</f>
        <v/>
      </c>
      <c r="AK4546">
        <f>IF($AG4546=1,IFERROR(IF(VALUE($C4546)&lt;100000000,VALUE($C4546),1000000000),IFERROR(IF(VALUE(MID($C4546,2,20))&lt;100000000,VALUE(MID($C4546,2,20)),1000000000),1000000000))+ROW()/100000,"")</f>
        <v/>
      </c>
    </row>
    <row r="4547">
      <c r="D4547" s="11" t="n"/>
      <c r="K4547" s="7">
        <f>IF($C4547="","",J4547*W4547/100)</f>
        <v/>
      </c>
      <c r="Q4547" s="7" t="n"/>
      <c r="R4547" s="7" t="n"/>
      <c r="U4547">
        <f>IF($C4547="","",IF($AJ4547=1,0,IF($AI4547=1,Settings!$C$6,Settings!$C$7))*100)</f>
        <v/>
      </c>
      <c r="V4547" s="7">
        <f>IF($C4547="","",R4547*U4547/100)</f>
        <v/>
      </c>
      <c r="W4547" s="7">
        <f>IF($C4547="","",R4547-V4547)</f>
        <v/>
      </c>
      <c r="X4547" s="7">
        <f>IF($C4547="","",W4547-K4547)</f>
        <v/>
      </c>
      <c r="AB4547" s="7" t="n"/>
      <c r="AE4547" s="11" t="n"/>
      <c r="AG4547">
        <f>IF($C4547="","",IF(COUNTIF($C$2:$C4547,$C4547)=1,1,0))</f>
        <v/>
      </c>
      <c r="AH4547">
        <f>IF($AG4547=1,SUMPRODUCT(--($AK$2:$AK$6001&lt;$AK4547))+1,"")</f>
        <v/>
      </c>
      <c r="AI4547">
        <f>IF($C4547="","",IF(OR($N4547=TRUE(),$N4547="TRUE"),1,0))</f>
        <v/>
      </c>
      <c r="AJ4547">
        <f>IF($C4547="","",IF($T4547="Yes",1,0))</f>
        <v/>
      </c>
      <c r="AK4547">
        <f>IF($AG4547=1,IFERROR(IF(VALUE($C4547)&lt;100000000,VALUE($C4547),1000000000),IFERROR(IF(VALUE(MID($C4547,2,20))&lt;100000000,VALUE(MID($C4547,2,20)),1000000000),1000000000))+ROW()/100000,"")</f>
        <v/>
      </c>
    </row>
    <row r="4548">
      <c r="D4548" s="11" t="n"/>
      <c r="K4548" s="7">
        <f>IF($C4548="","",J4548*W4548/100)</f>
        <v/>
      </c>
      <c r="Q4548" s="7" t="n"/>
      <c r="R4548" s="7" t="n"/>
      <c r="U4548">
        <f>IF($C4548="","",IF($AJ4548=1,0,IF($AI4548=1,Settings!$C$6,Settings!$C$7))*100)</f>
        <v/>
      </c>
      <c r="V4548" s="7">
        <f>IF($C4548="","",R4548*U4548/100)</f>
        <v/>
      </c>
      <c r="W4548" s="7">
        <f>IF($C4548="","",R4548-V4548)</f>
        <v/>
      </c>
      <c r="X4548" s="7">
        <f>IF($C4548="","",W4548-K4548)</f>
        <v/>
      </c>
      <c r="AB4548" s="7" t="n"/>
      <c r="AE4548" s="11" t="n"/>
      <c r="AG4548">
        <f>IF($C4548="","",IF(COUNTIF($C$2:$C4548,$C4548)=1,1,0))</f>
        <v/>
      </c>
      <c r="AH4548">
        <f>IF($AG4548=1,SUMPRODUCT(--($AK$2:$AK$6001&lt;$AK4548))+1,"")</f>
        <v/>
      </c>
      <c r="AI4548">
        <f>IF($C4548="","",IF(OR($N4548=TRUE(),$N4548="TRUE"),1,0))</f>
        <v/>
      </c>
      <c r="AJ4548">
        <f>IF($C4548="","",IF($T4548="Yes",1,0))</f>
        <v/>
      </c>
      <c r="AK4548">
        <f>IF($AG4548=1,IFERROR(IF(VALUE($C4548)&lt;100000000,VALUE($C4548),1000000000),IFERROR(IF(VALUE(MID($C4548,2,20))&lt;100000000,VALUE(MID($C4548,2,20)),1000000000),1000000000))+ROW()/100000,"")</f>
        <v/>
      </c>
    </row>
    <row r="4549">
      <c r="D4549" s="11" t="n"/>
      <c r="K4549" s="7">
        <f>IF($C4549="","",J4549*W4549/100)</f>
        <v/>
      </c>
      <c r="Q4549" s="7" t="n"/>
      <c r="R4549" s="7" t="n"/>
      <c r="U4549">
        <f>IF($C4549="","",IF($AJ4549=1,0,IF($AI4549=1,Settings!$C$6,Settings!$C$7))*100)</f>
        <v/>
      </c>
      <c r="V4549" s="7">
        <f>IF($C4549="","",R4549*U4549/100)</f>
        <v/>
      </c>
      <c r="W4549" s="7">
        <f>IF($C4549="","",R4549-V4549)</f>
        <v/>
      </c>
      <c r="X4549" s="7">
        <f>IF($C4549="","",W4549-K4549)</f>
        <v/>
      </c>
      <c r="AB4549" s="7" t="n"/>
      <c r="AE4549" s="11" t="n"/>
      <c r="AG4549">
        <f>IF($C4549="","",IF(COUNTIF($C$2:$C4549,$C4549)=1,1,0))</f>
        <v/>
      </c>
      <c r="AH4549">
        <f>IF($AG4549=1,SUMPRODUCT(--($AK$2:$AK$6001&lt;$AK4549))+1,"")</f>
        <v/>
      </c>
      <c r="AI4549">
        <f>IF($C4549="","",IF(OR($N4549=TRUE(),$N4549="TRUE"),1,0))</f>
        <v/>
      </c>
      <c r="AJ4549">
        <f>IF($C4549="","",IF($T4549="Yes",1,0))</f>
        <v/>
      </c>
      <c r="AK4549">
        <f>IF($AG4549=1,IFERROR(IF(VALUE($C4549)&lt;100000000,VALUE($C4549),1000000000),IFERROR(IF(VALUE(MID($C4549,2,20))&lt;100000000,VALUE(MID($C4549,2,20)),1000000000),1000000000))+ROW()/100000,"")</f>
        <v/>
      </c>
    </row>
    <row r="4550">
      <c r="D4550" s="11" t="n"/>
      <c r="K4550" s="7">
        <f>IF($C4550="","",J4550*W4550/100)</f>
        <v/>
      </c>
      <c r="Q4550" s="7" t="n"/>
      <c r="R4550" s="7" t="n"/>
      <c r="U4550">
        <f>IF($C4550="","",IF($AJ4550=1,0,IF($AI4550=1,Settings!$C$6,Settings!$C$7))*100)</f>
        <v/>
      </c>
      <c r="V4550" s="7">
        <f>IF($C4550="","",R4550*U4550/100)</f>
        <v/>
      </c>
      <c r="W4550" s="7">
        <f>IF($C4550="","",R4550-V4550)</f>
        <v/>
      </c>
      <c r="X4550" s="7">
        <f>IF($C4550="","",W4550-K4550)</f>
        <v/>
      </c>
      <c r="AB4550" s="7" t="n"/>
      <c r="AE4550" s="11" t="n"/>
      <c r="AG4550">
        <f>IF($C4550="","",IF(COUNTIF($C$2:$C4550,$C4550)=1,1,0))</f>
        <v/>
      </c>
      <c r="AH4550">
        <f>IF($AG4550=1,SUMPRODUCT(--($AK$2:$AK$6001&lt;$AK4550))+1,"")</f>
        <v/>
      </c>
      <c r="AI4550">
        <f>IF($C4550="","",IF(OR($N4550=TRUE(),$N4550="TRUE"),1,0))</f>
        <v/>
      </c>
      <c r="AJ4550">
        <f>IF($C4550="","",IF($T4550="Yes",1,0))</f>
        <v/>
      </c>
      <c r="AK4550">
        <f>IF($AG4550=1,IFERROR(IF(VALUE($C4550)&lt;100000000,VALUE($C4550),1000000000),IFERROR(IF(VALUE(MID($C4550,2,20))&lt;100000000,VALUE(MID($C4550,2,20)),1000000000),1000000000))+ROW()/100000,"")</f>
        <v/>
      </c>
    </row>
    <row r="4551">
      <c r="D4551" s="11" t="n"/>
      <c r="K4551" s="7">
        <f>IF($C4551="","",J4551*W4551/100)</f>
        <v/>
      </c>
      <c r="Q4551" s="7" t="n"/>
      <c r="R4551" s="7" t="n"/>
      <c r="U4551">
        <f>IF($C4551="","",IF($AJ4551=1,0,IF($AI4551=1,Settings!$C$6,Settings!$C$7))*100)</f>
        <v/>
      </c>
      <c r="V4551" s="7">
        <f>IF($C4551="","",R4551*U4551/100)</f>
        <v/>
      </c>
      <c r="W4551" s="7">
        <f>IF($C4551="","",R4551-V4551)</f>
        <v/>
      </c>
      <c r="X4551" s="7">
        <f>IF($C4551="","",W4551-K4551)</f>
        <v/>
      </c>
      <c r="AB4551" s="7" t="n"/>
      <c r="AE4551" s="11" t="n"/>
      <c r="AG4551">
        <f>IF($C4551="","",IF(COUNTIF($C$2:$C4551,$C4551)=1,1,0))</f>
        <v/>
      </c>
      <c r="AH4551">
        <f>IF($AG4551=1,SUMPRODUCT(--($AK$2:$AK$6001&lt;$AK4551))+1,"")</f>
        <v/>
      </c>
      <c r="AI4551">
        <f>IF($C4551="","",IF(OR($N4551=TRUE(),$N4551="TRUE"),1,0))</f>
        <v/>
      </c>
      <c r="AJ4551">
        <f>IF($C4551="","",IF($T4551="Yes",1,0))</f>
        <v/>
      </c>
      <c r="AK4551">
        <f>IF($AG4551=1,IFERROR(IF(VALUE($C4551)&lt;100000000,VALUE($C4551),1000000000),IFERROR(IF(VALUE(MID($C4551,2,20))&lt;100000000,VALUE(MID($C4551,2,20)),1000000000),1000000000))+ROW()/100000,"")</f>
        <v/>
      </c>
    </row>
    <row r="4552">
      <c r="D4552" s="11" t="n"/>
      <c r="K4552" s="7">
        <f>IF($C4552="","",J4552*W4552/100)</f>
        <v/>
      </c>
      <c r="Q4552" s="7" t="n"/>
      <c r="R4552" s="7" t="n"/>
      <c r="U4552">
        <f>IF($C4552="","",IF($AJ4552=1,0,IF($AI4552=1,Settings!$C$6,Settings!$C$7))*100)</f>
        <v/>
      </c>
      <c r="V4552" s="7">
        <f>IF($C4552="","",R4552*U4552/100)</f>
        <v/>
      </c>
      <c r="W4552" s="7">
        <f>IF($C4552="","",R4552-V4552)</f>
        <v/>
      </c>
      <c r="X4552" s="7">
        <f>IF($C4552="","",W4552-K4552)</f>
        <v/>
      </c>
      <c r="AB4552" s="7" t="n"/>
      <c r="AE4552" s="11" t="n"/>
      <c r="AG4552">
        <f>IF($C4552="","",IF(COUNTIF($C$2:$C4552,$C4552)=1,1,0))</f>
        <v/>
      </c>
      <c r="AH4552">
        <f>IF($AG4552=1,SUMPRODUCT(--($AK$2:$AK$6001&lt;$AK4552))+1,"")</f>
        <v/>
      </c>
      <c r="AI4552">
        <f>IF($C4552="","",IF(OR($N4552=TRUE(),$N4552="TRUE"),1,0))</f>
        <v/>
      </c>
      <c r="AJ4552">
        <f>IF($C4552="","",IF($T4552="Yes",1,0))</f>
        <v/>
      </c>
      <c r="AK4552">
        <f>IF($AG4552=1,IFERROR(IF(VALUE($C4552)&lt;100000000,VALUE($C4552),1000000000),IFERROR(IF(VALUE(MID($C4552,2,20))&lt;100000000,VALUE(MID($C4552,2,20)),1000000000),1000000000))+ROW()/100000,"")</f>
        <v/>
      </c>
    </row>
    <row r="4553">
      <c r="D4553" s="11" t="n"/>
      <c r="K4553" s="7">
        <f>IF($C4553="","",J4553*W4553/100)</f>
        <v/>
      </c>
      <c r="Q4553" s="7" t="n"/>
      <c r="R4553" s="7" t="n"/>
      <c r="U4553">
        <f>IF($C4553="","",IF($AJ4553=1,0,IF($AI4553=1,Settings!$C$6,Settings!$C$7))*100)</f>
        <v/>
      </c>
      <c r="V4553" s="7">
        <f>IF($C4553="","",R4553*U4553/100)</f>
        <v/>
      </c>
      <c r="W4553" s="7">
        <f>IF($C4553="","",R4553-V4553)</f>
        <v/>
      </c>
      <c r="X4553" s="7">
        <f>IF($C4553="","",W4553-K4553)</f>
        <v/>
      </c>
      <c r="AB4553" s="7" t="n"/>
      <c r="AE4553" s="11" t="n"/>
      <c r="AG4553">
        <f>IF($C4553="","",IF(COUNTIF($C$2:$C4553,$C4553)=1,1,0))</f>
        <v/>
      </c>
      <c r="AH4553">
        <f>IF($AG4553=1,SUMPRODUCT(--($AK$2:$AK$6001&lt;$AK4553))+1,"")</f>
        <v/>
      </c>
      <c r="AI4553">
        <f>IF($C4553="","",IF(OR($N4553=TRUE(),$N4553="TRUE"),1,0))</f>
        <v/>
      </c>
      <c r="AJ4553">
        <f>IF($C4553="","",IF($T4553="Yes",1,0))</f>
        <v/>
      </c>
      <c r="AK4553">
        <f>IF($AG4553=1,IFERROR(IF(VALUE($C4553)&lt;100000000,VALUE($C4553),1000000000),IFERROR(IF(VALUE(MID($C4553,2,20))&lt;100000000,VALUE(MID($C4553,2,20)),1000000000),1000000000))+ROW()/100000,"")</f>
        <v/>
      </c>
    </row>
    <row r="4554">
      <c r="D4554" s="11" t="n"/>
      <c r="K4554" s="7">
        <f>IF($C4554="","",J4554*W4554/100)</f>
        <v/>
      </c>
      <c r="Q4554" s="7" t="n"/>
      <c r="R4554" s="7" t="n"/>
      <c r="U4554">
        <f>IF($C4554="","",IF($AJ4554=1,0,IF($AI4554=1,Settings!$C$6,Settings!$C$7))*100)</f>
        <v/>
      </c>
      <c r="V4554" s="7">
        <f>IF($C4554="","",R4554*U4554/100)</f>
        <v/>
      </c>
      <c r="W4554" s="7">
        <f>IF($C4554="","",R4554-V4554)</f>
        <v/>
      </c>
      <c r="X4554" s="7">
        <f>IF($C4554="","",W4554-K4554)</f>
        <v/>
      </c>
      <c r="AB4554" s="7" t="n"/>
      <c r="AE4554" s="11" t="n"/>
      <c r="AG4554">
        <f>IF($C4554="","",IF(COUNTIF($C$2:$C4554,$C4554)=1,1,0))</f>
        <v/>
      </c>
      <c r="AH4554">
        <f>IF($AG4554=1,SUMPRODUCT(--($AK$2:$AK$6001&lt;$AK4554))+1,"")</f>
        <v/>
      </c>
      <c r="AI4554">
        <f>IF($C4554="","",IF(OR($N4554=TRUE(),$N4554="TRUE"),1,0))</f>
        <v/>
      </c>
      <c r="AJ4554">
        <f>IF($C4554="","",IF($T4554="Yes",1,0))</f>
        <v/>
      </c>
      <c r="AK4554">
        <f>IF($AG4554=1,IFERROR(IF(VALUE($C4554)&lt;100000000,VALUE($C4554),1000000000),IFERROR(IF(VALUE(MID($C4554,2,20))&lt;100000000,VALUE(MID($C4554,2,20)),1000000000),1000000000))+ROW()/100000,"")</f>
        <v/>
      </c>
    </row>
    <row r="4555">
      <c r="D4555" s="11" t="n"/>
      <c r="K4555" s="7">
        <f>IF($C4555="","",J4555*W4555/100)</f>
        <v/>
      </c>
      <c r="Q4555" s="7" t="n"/>
      <c r="R4555" s="7" t="n"/>
      <c r="U4555">
        <f>IF($C4555="","",IF($AJ4555=1,0,IF($AI4555=1,Settings!$C$6,Settings!$C$7))*100)</f>
        <v/>
      </c>
      <c r="V4555" s="7">
        <f>IF($C4555="","",R4555*U4555/100)</f>
        <v/>
      </c>
      <c r="W4555" s="7">
        <f>IF($C4555="","",R4555-V4555)</f>
        <v/>
      </c>
      <c r="X4555" s="7">
        <f>IF($C4555="","",W4555-K4555)</f>
        <v/>
      </c>
      <c r="AB4555" s="7" t="n"/>
      <c r="AE4555" s="11" t="n"/>
      <c r="AG4555">
        <f>IF($C4555="","",IF(COUNTIF($C$2:$C4555,$C4555)=1,1,0))</f>
        <v/>
      </c>
      <c r="AH4555">
        <f>IF($AG4555=1,SUMPRODUCT(--($AK$2:$AK$6001&lt;$AK4555))+1,"")</f>
        <v/>
      </c>
      <c r="AI4555">
        <f>IF($C4555="","",IF(OR($N4555=TRUE(),$N4555="TRUE"),1,0))</f>
        <v/>
      </c>
      <c r="AJ4555">
        <f>IF($C4555="","",IF($T4555="Yes",1,0))</f>
        <v/>
      </c>
      <c r="AK4555">
        <f>IF($AG4555=1,IFERROR(IF(VALUE($C4555)&lt;100000000,VALUE($C4555),1000000000),IFERROR(IF(VALUE(MID($C4555,2,20))&lt;100000000,VALUE(MID($C4555,2,20)),1000000000),1000000000))+ROW()/100000,"")</f>
        <v/>
      </c>
    </row>
    <row r="4556">
      <c r="D4556" s="11" t="n"/>
      <c r="K4556" s="7">
        <f>IF($C4556="","",J4556*W4556/100)</f>
        <v/>
      </c>
      <c r="Q4556" s="7" t="n"/>
      <c r="R4556" s="7" t="n"/>
      <c r="U4556">
        <f>IF($C4556="","",IF($AJ4556=1,0,IF($AI4556=1,Settings!$C$6,Settings!$C$7))*100)</f>
        <v/>
      </c>
      <c r="V4556" s="7">
        <f>IF($C4556="","",R4556*U4556/100)</f>
        <v/>
      </c>
      <c r="W4556" s="7">
        <f>IF($C4556="","",R4556-V4556)</f>
        <v/>
      </c>
      <c r="X4556" s="7">
        <f>IF($C4556="","",W4556-K4556)</f>
        <v/>
      </c>
      <c r="AB4556" s="7" t="n"/>
      <c r="AE4556" s="11" t="n"/>
      <c r="AG4556">
        <f>IF($C4556="","",IF(COUNTIF($C$2:$C4556,$C4556)=1,1,0))</f>
        <v/>
      </c>
      <c r="AH4556">
        <f>IF($AG4556=1,SUMPRODUCT(--($AK$2:$AK$6001&lt;$AK4556))+1,"")</f>
        <v/>
      </c>
      <c r="AI4556">
        <f>IF($C4556="","",IF(OR($N4556=TRUE(),$N4556="TRUE"),1,0))</f>
        <v/>
      </c>
      <c r="AJ4556">
        <f>IF($C4556="","",IF($T4556="Yes",1,0))</f>
        <v/>
      </c>
      <c r="AK4556">
        <f>IF($AG4556=1,IFERROR(IF(VALUE($C4556)&lt;100000000,VALUE($C4556),1000000000),IFERROR(IF(VALUE(MID($C4556,2,20))&lt;100000000,VALUE(MID($C4556,2,20)),1000000000),1000000000))+ROW()/100000,"")</f>
        <v/>
      </c>
    </row>
    <row r="4557">
      <c r="D4557" s="11" t="n"/>
      <c r="K4557" s="7">
        <f>IF($C4557="","",J4557*W4557/100)</f>
        <v/>
      </c>
      <c r="Q4557" s="7" t="n"/>
      <c r="R4557" s="7" t="n"/>
      <c r="U4557">
        <f>IF($C4557="","",IF($AJ4557=1,0,IF($AI4557=1,Settings!$C$6,Settings!$C$7))*100)</f>
        <v/>
      </c>
      <c r="V4557" s="7">
        <f>IF($C4557="","",R4557*U4557/100)</f>
        <v/>
      </c>
      <c r="W4557" s="7">
        <f>IF($C4557="","",R4557-V4557)</f>
        <v/>
      </c>
      <c r="X4557" s="7">
        <f>IF($C4557="","",W4557-K4557)</f>
        <v/>
      </c>
      <c r="AB4557" s="7" t="n"/>
      <c r="AE4557" s="11" t="n"/>
      <c r="AG4557">
        <f>IF($C4557="","",IF(COUNTIF($C$2:$C4557,$C4557)=1,1,0))</f>
        <v/>
      </c>
      <c r="AH4557">
        <f>IF($AG4557=1,SUMPRODUCT(--($AK$2:$AK$6001&lt;$AK4557))+1,"")</f>
        <v/>
      </c>
      <c r="AI4557">
        <f>IF($C4557="","",IF(OR($N4557=TRUE(),$N4557="TRUE"),1,0))</f>
        <v/>
      </c>
      <c r="AJ4557">
        <f>IF($C4557="","",IF($T4557="Yes",1,0))</f>
        <v/>
      </c>
      <c r="AK4557">
        <f>IF($AG4557=1,IFERROR(IF(VALUE($C4557)&lt;100000000,VALUE($C4557),1000000000),IFERROR(IF(VALUE(MID($C4557,2,20))&lt;100000000,VALUE(MID($C4557,2,20)),1000000000),1000000000))+ROW()/100000,"")</f>
        <v/>
      </c>
    </row>
    <row r="4558">
      <c r="D4558" s="11" t="n"/>
      <c r="K4558" s="7">
        <f>IF($C4558="","",J4558*W4558/100)</f>
        <v/>
      </c>
      <c r="Q4558" s="7" t="n"/>
      <c r="R4558" s="7" t="n"/>
      <c r="U4558">
        <f>IF($C4558="","",IF($AJ4558=1,0,IF($AI4558=1,Settings!$C$6,Settings!$C$7))*100)</f>
        <v/>
      </c>
      <c r="V4558" s="7">
        <f>IF($C4558="","",R4558*U4558/100)</f>
        <v/>
      </c>
      <c r="W4558" s="7">
        <f>IF($C4558="","",R4558-V4558)</f>
        <v/>
      </c>
      <c r="X4558" s="7">
        <f>IF($C4558="","",W4558-K4558)</f>
        <v/>
      </c>
      <c r="AB4558" s="7" t="n"/>
      <c r="AE4558" s="11" t="n"/>
      <c r="AG4558">
        <f>IF($C4558="","",IF(COUNTIF($C$2:$C4558,$C4558)=1,1,0))</f>
        <v/>
      </c>
      <c r="AH4558">
        <f>IF($AG4558=1,SUMPRODUCT(--($AK$2:$AK$6001&lt;$AK4558))+1,"")</f>
        <v/>
      </c>
      <c r="AI4558">
        <f>IF($C4558="","",IF(OR($N4558=TRUE(),$N4558="TRUE"),1,0))</f>
        <v/>
      </c>
      <c r="AJ4558">
        <f>IF($C4558="","",IF($T4558="Yes",1,0))</f>
        <v/>
      </c>
      <c r="AK4558">
        <f>IF($AG4558=1,IFERROR(IF(VALUE($C4558)&lt;100000000,VALUE($C4558),1000000000),IFERROR(IF(VALUE(MID($C4558,2,20))&lt;100000000,VALUE(MID($C4558,2,20)),1000000000),1000000000))+ROW()/100000,"")</f>
        <v/>
      </c>
    </row>
    <row r="4559">
      <c r="D4559" s="11" t="n"/>
      <c r="K4559" s="7">
        <f>IF($C4559="","",J4559*W4559/100)</f>
        <v/>
      </c>
      <c r="Q4559" s="7" t="n"/>
      <c r="R4559" s="7" t="n"/>
      <c r="U4559">
        <f>IF($C4559="","",IF($AJ4559=1,0,IF($AI4559=1,Settings!$C$6,Settings!$C$7))*100)</f>
        <v/>
      </c>
      <c r="V4559" s="7">
        <f>IF($C4559="","",R4559*U4559/100)</f>
        <v/>
      </c>
      <c r="W4559" s="7">
        <f>IF($C4559="","",R4559-V4559)</f>
        <v/>
      </c>
      <c r="X4559" s="7">
        <f>IF($C4559="","",W4559-K4559)</f>
        <v/>
      </c>
      <c r="AB4559" s="7" t="n"/>
      <c r="AE4559" s="11" t="n"/>
      <c r="AG4559">
        <f>IF($C4559="","",IF(COUNTIF($C$2:$C4559,$C4559)=1,1,0))</f>
        <v/>
      </c>
      <c r="AH4559">
        <f>IF($AG4559=1,SUMPRODUCT(--($AK$2:$AK$6001&lt;$AK4559))+1,"")</f>
        <v/>
      </c>
      <c r="AI4559">
        <f>IF($C4559="","",IF(OR($N4559=TRUE(),$N4559="TRUE"),1,0))</f>
        <v/>
      </c>
      <c r="AJ4559">
        <f>IF($C4559="","",IF($T4559="Yes",1,0))</f>
        <v/>
      </c>
      <c r="AK4559">
        <f>IF($AG4559=1,IFERROR(IF(VALUE($C4559)&lt;100000000,VALUE($C4559),1000000000),IFERROR(IF(VALUE(MID($C4559,2,20))&lt;100000000,VALUE(MID($C4559,2,20)),1000000000),1000000000))+ROW()/100000,"")</f>
        <v/>
      </c>
    </row>
    <row r="4560">
      <c r="D4560" s="11" t="n"/>
      <c r="K4560" s="7">
        <f>IF($C4560="","",J4560*W4560/100)</f>
        <v/>
      </c>
      <c r="Q4560" s="7" t="n"/>
      <c r="R4560" s="7" t="n"/>
      <c r="U4560">
        <f>IF($C4560="","",IF($AJ4560=1,0,IF($AI4560=1,Settings!$C$6,Settings!$C$7))*100)</f>
        <v/>
      </c>
      <c r="V4560" s="7">
        <f>IF($C4560="","",R4560*U4560/100)</f>
        <v/>
      </c>
      <c r="W4560" s="7">
        <f>IF($C4560="","",R4560-V4560)</f>
        <v/>
      </c>
      <c r="X4560" s="7">
        <f>IF($C4560="","",W4560-K4560)</f>
        <v/>
      </c>
      <c r="AB4560" s="7" t="n"/>
      <c r="AE4560" s="11" t="n"/>
      <c r="AG4560">
        <f>IF($C4560="","",IF(COUNTIF($C$2:$C4560,$C4560)=1,1,0))</f>
        <v/>
      </c>
      <c r="AH4560">
        <f>IF($AG4560=1,SUMPRODUCT(--($AK$2:$AK$6001&lt;$AK4560))+1,"")</f>
        <v/>
      </c>
      <c r="AI4560">
        <f>IF($C4560="","",IF(OR($N4560=TRUE(),$N4560="TRUE"),1,0))</f>
        <v/>
      </c>
      <c r="AJ4560">
        <f>IF($C4560="","",IF($T4560="Yes",1,0))</f>
        <v/>
      </c>
      <c r="AK4560">
        <f>IF($AG4560=1,IFERROR(IF(VALUE($C4560)&lt;100000000,VALUE($C4560),1000000000),IFERROR(IF(VALUE(MID($C4560,2,20))&lt;100000000,VALUE(MID($C4560,2,20)),1000000000),1000000000))+ROW()/100000,"")</f>
        <v/>
      </c>
    </row>
    <row r="4561">
      <c r="D4561" s="11" t="n"/>
      <c r="K4561" s="7">
        <f>IF($C4561="","",J4561*W4561/100)</f>
        <v/>
      </c>
      <c r="Q4561" s="7" t="n"/>
      <c r="R4561" s="7" t="n"/>
      <c r="U4561">
        <f>IF($C4561="","",IF($AJ4561=1,0,IF($AI4561=1,Settings!$C$6,Settings!$C$7))*100)</f>
        <v/>
      </c>
      <c r="V4561" s="7">
        <f>IF($C4561="","",R4561*U4561/100)</f>
        <v/>
      </c>
      <c r="W4561" s="7">
        <f>IF($C4561="","",R4561-V4561)</f>
        <v/>
      </c>
      <c r="X4561" s="7">
        <f>IF($C4561="","",W4561-K4561)</f>
        <v/>
      </c>
      <c r="AB4561" s="7" t="n"/>
      <c r="AE4561" s="11" t="n"/>
      <c r="AG4561">
        <f>IF($C4561="","",IF(COUNTIF($C$2:$C4561,$C4561)=1,1,0))</f>
        <v/>
      </c>
      <c r="AH4561">
        <f>IF($AG4561=1,SUMPRODUCT(--($AK$2:$AK$6001&lt;$AK4561))+1,"")</f>
        <v/>
      </c>
      <c r="AI4561">
        <f>IF($C4561="","",IF(OR($N4561=TRUE(),$N4561="TRUE"),1,0))</f>
        <v/>
      </c>
      <c r="AJ4561">
        <f>IF($C4561="","",IF($T4561="Yes",1,0))</f>
        <v/>
      </c>
      <c r="AK4561">
        <f>IF($AG4561=1,IFERROR(IF(VALUE($C4561)&lt;100000000,VALUE($C4561),1000000000),IFERROR(IF(VALUE(MID($C4561,2,20))&lt;100000000,VALUE(MID($C4561,2,20)),1000000000),1000000000))+ROW()/100000,"")</f>
        <v/>
      </c>
    </row>
    <row r="4562">
      <c r="D4562" s="11" t="n"/>
      <c r="K4562" s="7">
        <f>IF($C4562="","",J4562*W4562/100)</f>
        <v/>
      </c>
      <c r="Q4562" s="7" t="n"/>
      <c r="R4562" s="7" t="n"/>
      <c r="U4562">
        <f>IF($C4562="","",IF($AJ4562=1,0,IF($AI4562=1,Settings!$C$6,Settings!$C$7))*100)</f>
        <v/>
      </c>
      <c r="V4562" s="7">
        <f>IF($C4562="","",R4562*U4562/100)</f>
        <v/>
      </c>
      <c r="W4562" s="7">
        <f>IF($C4562="","",R4562-V4562)</f>
        <v/>
      </c>
      <c r="X4562" s="7">
        <f>IF($C4562="","",W4562-K4562)</f>
        <v/>
      </c>
      <c r="AB4562" s="7" t="n"/>
      <c r="AE4562" s="11" t="n"/>
      <c r="AG4562">
        <f>IF($C4562="","",IF(COUNTIF($C$2:$C4562,$C4562)=1,1,0))</f>
        <v/>
      </c>
      <c r="AH4562">
        <f>IF($AG4562=1,SUMPRODUCT(--($AK$2:$AK$6001&lt;$AK4562))+1,"")</f>
        <v/>
      </c>
      <c r="AI4562">
        <f>IF($C4562="","",IF(OR($N4562=TRUE(),$N4562="TRUE"),1,0))</f>
        <v/>
      </c>
      <c r="AJ4562">
        <f>IF($C4562="","",IF($T4562="Yes",1,0))</f>
        <v/>
      </c>
      <c r="AK4562">
        <f>IF($AG4562=1,IFERROR(IF(VALUE($C4562)&lt;100000000,VALUE($C4562),1000000000),IFERROR(IF(VALUE(MID($C4562,2,20))&lt;100000000,VALUE(MID($C4562,2,20)),1000000000),1000000000))+ROW()/100000,"")</f>
        <v/>
      </c>
    </row>
    <row r="4563">
      <c r="D4563" s="11" t="n"/>
      <c r="K4563" s="7">
        <f>IF($C4563="","",J4563*W4563/100)</f>
        <v/>
      </c>
      <c r="Q4563" s="7" t="n"/>
      <c r="R4563" s="7" t="n"/>
      <c r="U4563">
        <f>IF($C4563="","",IF($AJ4563=1,0,IF($AI4563=1,Settings!$C$6,Settings!$C$7))*100)</f>
        <v/>
      </c>
      <c r="V4563" s="7">
        <f>IF($C4563="","",R4563*U4563/100)</f>
        <v/>
      </c>
      <c r="W4563" s="7">
        <f>IF($C4563="","",R4563-V4563)</f>
        <v/>
      </c>
      <c r="X4563" s="7">
        <f>IF($C4563="","",W4563-K4563)</f>
        <v/>
      </c>
      <c r="AB4563" s="7" t="n"/>
      <c r="AE4563" s="11" t="n"/>
      <c r="AG4563">
        <f>IF($C4563="","",IF(COUNTIF($C$2:$C4563,$C4563)=1,1,0))</f>
        <v/>
      </c>
      <c r="AH4563">
        <f>IF($AG4563=1,SUMPRODUCT(--($AK$2:$AK$6001&lt;$AK4563))+1,"")</f>
        <v/>
      </c>
      <c r="AI4563">
        <f>IF($C4563="","",IF(OR($N4563=TRUE(),$N4563="TRUE"),1,0))</f>
        <v/>
      </c>
      <c r="AJ4563">
        <f>IF($C4563="","",IF($T4563="Yes",1,0))</f>
        <v/>
      </c>
      <c r="AK4563">
        <f>IF($AG4563=1,IFERROR(IF(VALUE($C4563)&lt;100000000,VALUE($C4563),1000000000),IFERROR(IF(VALUE(MID($C4563,2,20))&lt;100000000,VALUE(MID($C4563,2,20)),1000000000),1000000000))+ROW()/100000,"")</f>
        <v/>
      </c>
    </row>
    <row r="4564">
      <c r="D4564" s="11" t="n"/>
      <c r="K4564" s="7">
        <f>IF($C4564="","",J4564*W4564/100)</f>
        <v/>
      </c>
      <c r="Q4564" s="7" t="n"/>
      <c r="R4564" s="7" t="n"/>
      <c r="U4564">
        <f>IF($C4564="","",IF($AJ4564=1,0,IF($AI4564=1,Settings!$C$6,Settings!$C$7))*100)</f>
        <v/>
      </c>
      <c r="V4564" s="7">
        <f>IF($C4564="","",R4564*U4564/100)</f>
        <v/>
      </c>
      <c r="W4564" s="7">
        <f>IF($C4564="","",R4564-V4564)</f>
        <v/>
      </c>
      <c r="X4564" s="7">
        <f>IF($C4564="","",W4564-K4564)</f>
        <v/>
      </c>
      <c r="AB4564" s="7" t="n"/>
      <c r="AE4564" s="11" t="n"/>
      <c r="AG4564">
        <f>IF($C4564="","",IF(COUNTIF($C$2:$C4564,$C4564)=1,1,0))</f>
        <v/>
      </c>
      <c r="AH4564">
        <f>IF($AG4564=1,SUMPRODUCT(--($AK$2:$AK$6001&lt;$AK4564))+1,"")</f>
        <v/>
      </c>
      <c r="AI4564">
        <f>IF($C4564="","",IF(OR($N4564=TRUE(),$N4564="TRUE"),1,0))</f>
        <v/>
      </c>
      <c r="AJ4564">
        <f>IF($C4564="","",IF($T4564="Yes",1,0))</f>
        <v/>
      </c>
      <c r="AK4564">
        <f>IF($AG4564=1,IFERROR(IF(VALUE($C4564)&lt;100000000,VALUE($C4564),1000000000),IFERROR(IF(VALUE(MID($C4564,2,20))&lt;100000000,VALUE(MID($C4564,2,20)),1000000000),1000000000))+ROW()/100000,"")</f>
        <v/>
      </c>
    </row>
    <row r="4565">
      <c r="D4565" s="11" t="n"/>
      <c r="K4565" s="7">
        <f>IF($C4565="","",J4565*W4565/100)</f>
        <v/>
      </c>
      <c r="Q4565" s="7" t="n"/>
      <c r="R4565" s="7" t="n"/>
      <c r="U4565">
        <f>IF($C4565="","",IF($AJ4565=1,0,IF($AI4565=1,Settings!$C$6,Settings!$C$7))*100)</f>
        <v/>
      </c>
      <c r="V4565" s="7">
        <f>IF($C4565="","",R4565*U4565/100)</f>
        <v/>
      </c>
      <c r="W4565" s="7">
        <f>IF($C4565="","",R4565-V4565)</f>
        <v/>
      </c>
      <c r="X4565" s="7">
        <f>IF($C4565="","",W4565-K4565)</f>
        <v/>
      </c>
      <c r="AB4565" s="7" t="n"/>
      <c r="AE4565" s="11" t="n"/>
      <c r="AG4565">
        <f>IF($C4565="","",IF(COUNTIF($C$2:$C4565,$C4565)=1,1,0))</f>
        <v/>
      </c>
      <c r="AH4565">
        <f>IF($AG4565=1,SUMPRODUCT(--($AK$2:$AK$6001&lt;$AK4565))+1,"")</f>
        <v/>
      </c>
      <c r="AI4565">
        <f>IF($C4565="","",IF(OR($N4565=TRUE(),$N4565="TRUE"),1,0))</f>
        <v/>
      </c>
      <c r="AJ4565">
        <f>IF($C4565="","",IF($T4565="Yes",1,0))</f>
        <v/>
      </c>
      <c r="AK4565">
        <f>IF($AG4565=1,IFERROR(IF(VALUE($C4565)&lt;100000000,VALUE($C4565),1000000000),IFERROR(IF(VALUE(MID($C4565,2,20))&lt;100000000,VALUE(MID($C4565,2,20)),1000000000),1000000000))+ROW()/100000,"")</f>
        <v/>
      </c>
    </row>
    <row r="4566">
      <c r="D4566" s="11" t="n"/>
      <c r="K4566" s="7">
        <f>IF($C4566="","",J4566*W4566/100)</f>
        <v/>
      </c>
      <c r="Q4566" s="7" t="n"/>
      <c r="R4566" s="7" t="n"/>
      <c r="U4566">
        <f>IF($C4566="","",IF($AJ4566=1,0,IF($AI4566=1,Settings!$C$6,Settings!$C$7))*100)</f>
        <v/>
      </c>
      <c r="V4566" s="7">
        <f>IF($C4566="","",R4566*U4566/100)</f>
        <v/>
      </c>
      <c r="W4566" s="7">
        <f>IF($C4566="","",R4566-V4566)</f>
        <v/>
      </c>
      <c r="X4566" s="7">
        <f>IF($C4566="","",W4566-K4566)</f>
        <v/>
      </c>
      <c r="AB4566" s="7" t="n"/>
      <c r="AE4566" s="11" t="n"/>
      <c r="AG4566">
        <f>IF($C4566="","",IF(COUNTIF($C$2:$C4566,$C4566)=1,1,0))</f>
        <v/>
      </c>
      <c r="AH4566">
        <f>IF($AG4566=1,SUMPRODUCT(--($AK$2:$AK$6001&lt;$AK4566))+1,"")</f>
        <v/>
      </c>
      <c r="AI4566">
        <f>IF($C4566="","",IF(OR($N4566=TRUE(),$N4566="TRUE"),1,0))</f>
        <v/>
      </c>
      <c r="AJ4566">
        <f>IF($C4566="","",IF($T4566="Yes",1,0))</f>
        <v/>
      </c>
      <c r="AK4566">
        <f>IF($AG4566=1,IFERROR(IF(VALUE($C4566)&lt;100000000,VALUE($C4566),1000000000),IFERROR(IF(VALUE(MID($C4566,2,20))&lt;100000000,VALUE(MID($C4566,2,20)),1000000000),1000000000))+ROW()/100000,"")</f>
        <v/>
      </c>
    </row>
    <row r="4567">
      <c r="D4567" s="11" t="n"/>
      <c r="K4567" s="7">
        <f>IF($C4567="","",J4567*W4567/100)</f>
        <v/>
      </c>
      <c r="Q4567" s="7" t="n"/>
      <c r="R4567" s="7" t="n"/>
      <c r="U4567">
        <f>IF($C4567="","",IF($AJ4567=1,0,IF($AI4567=1,Settings!$C$6,Settings!$C$7))*100)</f>
        <v/>
      </c>
      <c r="V4567" s="7">
        <f>IF($C4567="","",R4567*U4567/100)</f>
        <v/>
      </c>
      <c r="W4567" s="7">
        <f>IF($C4567="","",R4567-V4567)</f>
        <v/>
      </c>
      <c r="X4567" s="7">
        <f>IF($C4567="","",W4567-K4567)</f>
        <v/>
      </c>
      <c r="AB4567" s="7" t="n"/>
      <c r="AE4567" s="11" t="n"/>
      <c r="AG4567">
        <f>IF($C4567="","",IF(COUNTIF($C$2:$C4567,$C4567)=1,1,0))</f>
        <v/>
      </c>
      <c r="AH4567">
        <f>IF($AG4567=1,SUMPRODUCT(--($AK$2:$AK$6001&lt;$AK4567))+1,"")</f>
        <v/>
      </c>
      <c r="AI4567">
        <f>IF($C4567="","",IF(OR($N4567=TRUE(),$N4567="TRUE"),1,0))</f>
        <v/>
      </c>
      <c r="AJ4567">
        <f>IF($C4567="","",IF($T4567="Yes",1,0))</f>
        <v/>
      </c>
      <c r="AK4567">
        <f>IF($AG4567=1,IFERROR(IF(VALUE($C4567)&lt;100000000,VALUE($C4567),1000000000),IFERROR(IF(VALUE(MID($C4567,2,20))&lt;100000000,VALUE(MID($C4567,2,20)),1000000000),1000000000))+ROW()/100000,"")</f>
        <v/>
      </c>
    </row>
    <row r="4568">
      <c r="D4568" s="11" t="n"/>
      <c r="K4568" s="7">
        <f>IF($C4568="","",J4568*W4568/100)</f>
        <v/>
      </c>
      <c r="Q4568" s="7" t="n"/>
      <c r="R4568" s="7" t="n"/>
      <c r="U4568">
        <f>IF($C4568="","",IF($AJ4568=1,0,IF($AI4568=1,Settings!$C$6,Settings!$C$7))*100)</f>
        <v/>
      </c>
      <c r="V4568" s="7">
        <f>IF($C4568="","",R4568*U4568/100)</f>
        <v/>
      </c>
      <c r="W4568" s="7">
        <f>IF($C4568="","",R4568-V4568)</f>
        <v/>
      </c>
      <c r="X4568" s="7">
        <f>IF($C4568="","",W4568-K4568)</f>
        <v/>
      </c>
      <c r="AB4568" s="7" t="n"/>
      <c r="AE4568" s="11" t="n"/>
      <c r="AG4568">
        <f>IF($C4568="","",IF(COUNTIF($C$2:$C4568,$C4568)=1,1,0))</f>
        <v/>
      </c>
      <c r="AH4568">
        <f>IF($AG4568=1,SUMPRODUCT(--($AK$2:$AK$6001&lt;$AK4568))+1,"")</f>
        <v/>
      </c>
      <c r="AI4568">
        <f>IF($C4568="","",IF(OR($N4568=TRUE(),$N4568="TRUE"),1,0))</f>
        <v/>
      </c>
      <c r="AJ4568">
        <f>IF($C4568="","",IF($T4568="Yes",1,0))</f>
        <v/>
      </c>
      <c r="AK4568">
        <f>IF($AG4568=1,IFERROR(IF(VALUE($C4568)&lt;100000000,VALUE($C4568),1000000000),IFERROR(IF(VALUE(MID($C4568,2,20))&lt;100000000,VALUE(MID($C4568,2,20)),1000000000),1000000000))+ROW()/100000,"")</f>
        <v/>
      </c>
    </row>
    <row r="4569">
      <c r="D4569" s="11" t="n"/>
      <c r="K4569" s="7">
        <f>IF($C4569="","",J4569*W4569/100)</f>
        <v/>
      </c>
      <c r="Q4569" s="7" t="n"/>
      <c r="R4569" s="7" t="n"/>
      <c r="U4569">
        <f>IF($C4569="","",IF($AJ4569=1,0,IF($AI4569=1,Settings!$C$6,Settings!$C$7))*100)</f>
        <v/>
      </c>
      <c r="V4569" s="7">
        <f>IF($C4569="","",R4569*U4569/100)</f>
        <v/>
      </c>
      <c r="W4569" s="7">
        <f>IF($C4569="","",R4569-V4569)</f>
        <v/>
      </c>
      <c r="X4569" s="7">
        <f>IF($C4569="","",W4569-K4569)</f>
        <v/>
      </c>
      <c r="AB4569" s="7" t="n"/>
      <c r="AE4569" s="11" t="n"/>
      <c r="AG4569">
        <f>IF($C4569="","",IF(COUNTIF($C$2:$C4569,$C4569)=1,1,0))</f>
        <v/>
      </c>
      <c r="AH4569">
        <f>IF($AG4569=1,SUMPRODUCT(--($AK$2:$AK$6001&lt;$AK4569))+1,"")</f>
        <v/>
      </c>
      <c r="AI4569">
        <f>IF($C4569="","",IF(OR($N4569=TRUE(),$N4569="TRUE"),1,0))</f>
        <v/>
      </c>
      <c r="AJ4569">
        <f>IF($C4569="","",IF($T4569="Yes",1,0))</f>
        <v/>
      </c>
      <c r="AK4569">
        <f>IF($AG4569=1,IFERROR(IF(VALUE($C4569)&lt;100000000,VALUE($C4569),1000000000),IFERROR(IF(VALUE(MID($C4569,2,20))&lt;100000000,VALUE(MID($C4569,2,20)),1000000000),1000000000))+ROW()/100000,"")</f>
        <v/>
      </c>
    </row>
    <row r="4570">
      <c r="D4570" s="11" t="n"/>
      <c r="K4570" s="7">
        <f>IF($C4570="","",J4570*W4570/100)</f>
        <v/>
      </c>
      <c r="Q4570" s="7" t="n"/>
      <c r="R4570" s="7" t="n"/>
      <c r="U4570">
        <f>IF($C4570="","",IF($AJ4570=1,0,IF($AI4570=1,Settings!$C$6,Settings!$C$7))*100)</f>
        <v/>
      </c>
      <c r="V4570" s="7">
        <f>IF($C4570="","",R4570*U4570/100)</f>
        <v/>
      </c>
      <c r="W4570" s="7">
        <f>IF($C4570="","",R4570-V4570)</f>
        <v/>
      </c>
      <c r="X4570" s="7">
        <f>IF($C4570="","",W4570-K4570)</f>
        <v/>
      </c>
      <c r="AB4570" s="7" t="n"/>
      <c r="AE4570" s="11" t="n"/>
      <c r="AG4570">
        <f>IF($C4570="","",IF(COUNTIF($C$2:$C4570,$C4570)=1,1,0))</f>
        <v/>
      </c>
      <c r="AH4570">
        <f>IF($AG4570=1,SUMPRODUCT(--($AK$2:$AK$6001&lt;$AK4570))+1,"")</f>
        <v/>
      </c>
      <c r="AI4570">
        <f>IF($C4570="","",IF(OR($N4570=TRUE(),$N4570="TRUE"),1,0))</f>
        <v/>
      </c>
      <c r="AJ4570">
        <f>IF($C4570="","",IF($T4570="Yes",1,0))</f>
        <v/>
      </c>
      <c r="AK4570">
        <f>IF($AG4570=1,IFERROR(IF(VALUE($C4570)&lt;100000000,VALUE($C4570),1000000000),IFERROR(IF(VALUE(MID($C4570,2,20))&lt;100000000,VALUE(MID($C4570,2,20)),1000000000),1000000000))+ROW()/100000,"")</f>
        <v/>
      </c>
    </row>
    <row r="4571">
      <c r="D4571" s="11" t="n"/>
      <c r="K4571" s="7">
        <f>IF($C4571="","",J4571*W4571/100)</f>
        <v/>
      </c>
      <c r="Q4571" s="7" t="n"/>
      <c r="R4571" s="7" t="n"/>
      <c r="U4571">
        <f>IF($C4571="","",IF($AJ4571=1,0,IF($AI4571=1,Settings!$C$6,Settings!$C$7))*100)</f>
        <v/>
      </c>
      <c r="V4571" s="7">
        <f>IF($C4571="","",R4571*U4571/100)</f>
        <v/>
      </c>
      <c r="W4571" s="7">
        <f>IF($C4571="","",R4571-V4571)</f>
        <v/>
      </c>
      <c r="X4571" s="7">
        <f>IF($C4571="","",W4571-K4571)</f>
        <v/>
      </c>
      <c r="AB4571" s="7" t="n"/>
      <c r="AE4571" s="11" t="n"/>
      <c r="AG4571">
        <f>IF($C4571="","",IF(COUNTIF($C$2:$C4571,$C4571)=1,1,0))</f>
        <v/>
      </c>
      <c r="AH4571">
        <f>IF($AG4571=1,SUMPRODUCT(--($AK$2:$AK$6001&lt;$AK4571))+1,"")</f>
        <v/>
      </c>
      <c r="AI4571">
        <f>IF($C4571="","",IF(OR($N4571=TRUE(),$N4571="TRUE"),1,0))</f>
        <v/>
      </c>
      <c r="AJ4571">
        <f>IF($C4571="","",IF($T4571="Yes",1,0))</f>
        <v/>
      </c>
      <c r="AK4571">
        <f>IF($AG4571=1,IFERROR(IF(VALUE($C4571)&lt;100000000,VALUE($C4571),1000000000),IFERROR(IF(VALUE(MID($C4571,2,20))&lt;100000000,VALUE(MID($C4571,2,20)),1000000000),1000000000))+ROW()/100000,"")</f>
        <v/>
      </c>
    </row>
    <row r="4572">
      <c r="D4572" s="11" t="n"/>
      <c r="K4572" s="7">
        <f>IF($C4572="","",J4572*W4572/100)</f>
        <v/>
      </c>
      <c r="Q4572" s="7" t="n"/>
      <c r="R4572" s="7" t="n"/>
      <c r="U4572">
        <f>IF($C4572="","",IF($AJ4572=1,0,IF($AI4572=1,Settings!$C$6,Settings!$C$7))*100)</f>
        <v/>
      </c>
      <c r="V4572" s="7">
        <f>IF($C4572="","",R4572*U4572/100)</f>
        <v/>
      </c>
      <c r="W4572" s="7">
        <f>IF($C4572="","",R4572-V4572)</f>
        <v/>
      </c>
      <c r="X4572" s="7">
        <f>IF($C4572="","",W4572-K4572)</f>
        <v/>
      </c>
      <c r="AB4572" s="7" t="n"/>
      <c r="AE4572" s="11" t="n"/>
      <c r="AG4572">
        <f>IF($C4572="","",IF(COUNTIF($C$2:$C4572,$C4572)=1,1,0))</f>
        <v/>
      </c>
      <c r="AH4572">
        <f>IF($AG4572=1,SUMPRODUCT(--($AK$2:$AK$6001&lt;$AK4572))+1,"")</f>
        <v/>
      </c>
      <c r="AI4572">
        <f>IF($C4572="","",IF(OR($N4572=TRUE(),$N4572="TRUE"),1,0))</f>
        <v/>
      </c>
      <c r="AJ4572">
        <f>IF($C4572="","",IF($T4572="Yes",1,0))</f>
        <v/>
      </c>
      <c r="AK4572">
        <f>IF($AG4572=1,IFERROR(IF(VALUE($C4572)&lt;100000000,VALUE($C4572),1000000000),IFERROR(IF(VALUE(MID($C4572,2,20))&lt;100000000,VALUE(MID($C4572,2,20)),1000000000),1000000000))+ROW()/100000,"")</f>
        <v/>
      </c>
    </row>
    <row r="4573">
      <c r="D4573" s="11" t="n"/>
      <c r="K4573" s="7">
        <f>IF($C4573="","",J4573*W4573/100)</f>
        <v/>
      </c>
      <c r="Q4573" s="7" t="n"/>
      <c r="R4573" s="7" t="n"/>
      <c r="U4573">
        <f>IF($C4573="","",IF($AJ4573=1,0,IF($AI4573=1,Settings!$C$6,Settings!$C$7))*100)</f>
        <v/>
      </c>
      <c r="V4573" s="7">
        <f>IF($C4573="","",R4573*U4573/100)</f>
        <v/>
      </c>
      <c r="W4573" s="7">
        <f>IF($C4573="","",R4573-V4573)</f>
        <v/>
      </c>
      <c r="X4573" s="7">
        <f>IF($C4573="","",W4573-K4573)</f>
        <v/>
      </c>
      <c r="AB4573" s="7" t="n"/>
      <c r="AE4573" s="11" t="n"/>
      <c r="AG4573">
        <f>IF($C4573="","",IF(COUNTIF($C$2:$C4573,$C4573)=1,1,0))</f>
        <v/>
      </c>
      <c r="AH4573">
        <f>IF($AG4573=1,SUMPRODUCT(--($AK$2:$AK$6001&lt;$AK4573))+1,"")</f>
        <v/>
      </c>
      <c r="AI4573">
        <f>IF($C4573="","",IF(OR($N4573=TRUE(),$N4573="TRUE"),1,0))</f>
        <v/>
      </c>
      <c r="AJ4573">
        <f>IF($C4573="","",IF($T4573="Yes",1,0))</f>
        <v/>
      </c>
      <c r="AK4573">
        <f>IF($AG4573=1,IFERROR(IF(VALUE($C4573)&lt;100000000,VALUE($C4573),1000000000),IFERROR(IF(VALUE(MID($C4573,2,20))&lt;100000000,VALUE(MID($C4573,2,20)),1000000000),1000000000))+ROW()/100000,"")</f>
        <v/>
      </c>
    </row>
    <row r="4574">
      <c r="D4574" s="11" t="n"/>
      <c r="K4574" s="7">
        <f>IF($C4574="","",J4574*W4574/100)</f>
        <v/>
      </c>
      <c r="Q4574" s="7" t="n"/>
      <c r="R4574" s="7" t="n"/>
      <c r="U4574">
        <f>IF($C4574="","",IF($AJ4574=1,0,IF($AI4574=1,Settings!$C$6,Settings!$C$7))*100)</f>
        <v/>
      </c>
      <c r="V4574" s="7">
        <f>IF($C4574="","",R4574*U4574/100)</f>
        <v/>
      </c>
      <c r="W4574" s="7">
        <f>IF($C4574="","",R4574-V4574)</f>
        <v/>
      </c>
      <c r="X4574" s="7">
        <f>IF($C4574="","",W4574-K4574)</f>
        <v/>
      </c>
      <c r="AB4574" s="7" t="n"/>
      <c r="AE4574" s="11" t="n"/>
      <c r="AG4574">
        <f>IF($C4574="","",IF(COUNTIF($C$2:$C4574,$C4574)=1,1,0))</f>
        <v/>
      </c>
      <c r="AH4574">
        <f>IF($AG4574=1,SUMPRODUCT(--($AK$2:$AK$6001&lt;$AK4574))+1,"")</f>
        <v/>
      </c>
      <c r="AI4574">
        <f>IF($C4574="","",IF(OR($N4574=TRUE(),$N4574="TRUE"),1,0))</f>
        <v/>
      </c>
      <c r="AJ4574">
        <f>IF($C4574="","",IF($T4574="Yes",1,0))</f>
        <v/>
      </c>
      <c r="AK4574">
        <f>IF($AG4574=1,IFERROR(IF(VALUE($C4574)&lt;100000000,VALUE($C4574),1000000000),IFERROR(IF(VALUE(MID($C4574,2,20))&lt;100000000,VALUE(MID($C4574,2,20)),1000000000),1000000000))+ROW()/100000,"")</f>
        <v/>
      </c>
    </row>
    <row r="4575">
      <c r="D4575" s="11" t="n"/>
      <c r="K4575" s="7">
        <f>IF($C4575="","",J4575*W4575/100)</f>
        <v/>
      </c>
      <c r="Q4575" s="7" t="n"/>
      <c r="R4575" s="7" t="n"/>
      <c r="U4575">
        <f>IF($C4575="","",IF($AJ4575=1,0,IF($AI4575=1,Settings!$C$6,Settings!$C$7))*100)</f>
        <v/>
      </c>
      <c r="V4575" s="7">
        <f>IF($C4575="","",R4575*U4575/100)</f>
        <v/>
      </c>
      <c r="W4575" s="7">
        <f>IF($C4575="","",R4575-V4575)</f>
        <v/>
      </c>
      <c r="X4575" s="7">
        <f>IF($C4575="","",W4575-K4575)</f>
        <v/>
      </c>
      <c r="AB4575" s="7" t="n"/>
      <c r="AE4575" s="11" t="n"/>
      <c r="AG4575">
        <f>IF($C4575="","",IF(COUNTIF($C$2:$C4575,$C4575)=1,1,0))</f>
        <v/>
      </c>
      <c r="AH4575">
        <f>IF($AG4575=1,SUMPRODUCT(--($AK$2:$AK$6001&lt;$AK4575))+1,"")</f>
        <v/>
      </c>
      <c r="AI4575">
        <f>IF($C4575="","",IF(OR($N4575=TRUE(),$N4575="TRUE"),1,0))</f>
        <v/>
      </c>
      <c r="AJ4575">
        <f>IF($C4575="","",IF($T4575="Yes",1,0))</f>
        <v/>
      </c>
      <c r="AK4575">
        <f>IF($AG4575=1,IFERROR(IF(VALUE($C4575)&lt;100000000,VALUE($C4575),1000000000),IFERROR(IF(VALUE(MID($C4575,2,20))&lt;100000000,VALUE(MID($C4575,2,20)),1000000000),1000000000))+ROW()/100000,"")</f>
        <v/>
      </c>
    </row>
    <row r="4576">
      <c r="D4576" s="11" t="n"/>
      <c r="K4576" s="7">
        <f>IF($C4576="","",J4576*W4576/100)</f>
        <v/>
      </c>
      <c r="Q4576" s="7" t="n"/>
      <c r="R4576" s="7" t="n"/>
      <c r="U4576">
        <f>IF($C4576="","",IF($AJ4576=1,0,IF($AI4576=1,Settings!$C$6,Settings!$C$7))*100)</f>
        <v/>
      </c>
      <c r="V4576" s="7">
        <f>IF($C4576="","",R4576*U4576/100)</f>
        <v/>
      </c>
      <c r="W4576" s="7">
        <f>IF($C4576="","",R4576-V4576)</f>
        <v/>
      </c>
      <c r="X4576" s="7">
        <f>IF($C4576="","",W4576-K4576)</f>
        <v/>
      </c>
      <c r="AB4576" s="7" t="n"/>
      <c r="AE4576" s="11" t="n"/>
      <c r="AG4576">
        <f>IF($C4576="","",IF(COUNTIF($C$2:$C4576,$C4576)=1,1,0))</f>
        <v/>
      </c>
      <c r="AH4576">
        <f>IF($AG4576=1,SUMPRODUCT(--($AK$2:$AK$6001&lt;$AK4576))+1,"")</f>
        <v/>
      </c>
      <c r="AI4576">
        <f>IF($C4576="","",IF(OR($N4576=TRUE(),$N4576="TRUE"),1,0))</f>
        <v/>
      </c>
      <c r="AJ4576">
        <f>IF($C4576="","",IF($T4576="Yes",1,0))</f>
        <v/>
      </c>
      <c r="AK4576">
        <f>IF($AG4576=1,IFERROR(IF(VALUE($C4576)&lt;100000000,VALUE($C4576),1000000000),IFERROR(IF(VALUE(MID($C4576,2,20))&lt;100000000,VALUE(MID($C4576,2,20)),1000000000),1000000000))+ROW()/100000,"")</f>
        <v/>
      </c>
    </row>
    <row r="4577">
      <c r="D4577" s="11" t="n"/>
      <c r="K4577" s="7">
        <f>IF($C4577="","",J4577*W4577/100)</f>
        <v/>
      </c>
      <c r="Q4577" s="7" t="n"/>
      <c r="R4577" s="7" t="n"/>
      <c r="U4577">
        <f>IF($C4577="","",IF($AJ4577=1,0,IF($AI4577=1,Settings!$C$6,Settings!$C$7))*100)</f>
        <v/>
      </c>
      <c r="V4577" s="7">
        <f>IF($C4577="","",R4577*U4577/100)</f>
        <v/>
      </c>
      <c r="W4577" s="7">
        <f>IF($C4577="","",R4577-V4577)</f>
        <v/>
      </c>
      <c r="X4577" s="7">
        <f>IF($C4577="","",W4577-K4577)</f>
        <v/>
      </c>
      <c r="AB4577" s="7" t="n"/>
      <c r="AE4577" s="11" t="n"/>
      <c r="AG4577">
        <f>IF($C4577="","",IF(COUNTIF($C$2:$C4577,$C4577)=1,1,0))</f>
        <v/>
      </c>
      <c r="AH4577">
        <f>IF($AG4577=1,SUMPRODUCT(--($AK$2:$AK$6001&lt;$AK4577))+1,"")</f>
        <v/>
      </c>
      <c r="AI4577">
        <f>IF($C4577="","",IF(OR($N4577=TRUE(),$N4577="TRUE"),1,0))</f>
        <v/>
      </c>
      <c r="AJ4577">
        <f>IF($C4577="","",IF($T4577="Yes",1,0))</f>
        <v/>
      </c>
      <c r="AK4577">
        <f>IF($AG4577=1,IFERROR(IF(VALUE($C4577)&lt;100000000,VALUE($C4577),1000000000),IFERROR(IF(VALUE(MID($C4577,2,20))&lt;100000000,VALUE(MID($C4577,2,20)),1000000000),1000000000))+ROW()/100000,"")</f>
        <v/>
      </c>
    </row>
    <row r="4578">
      <c r="D4578" s="11" t="n"/>
      <c r="K4578" s="7">
        <f>IF($C4578="","",J4578*W4578/100)</f>
        <v/>
      </c>
      <c r="Q4578" s="7" t="n"/>
      <c r="R4578" s="7" t="n"/>
      <c r="U4578">
        <f>IF($C4578="","",IF($AJ4578=1,0,IF($AI4578=1,Settings!$C$6,Settings!$C$7))*100)</f>
        <v/>
      </c>
      <c r="V4578" s="7">
        <f>IF($C4578="","",R4578*U4578/100)</f>
        <v/>
      </c>
      <c r="W4578" s="7">
        <f>IF($C4578="","",R4578-V4578)</f>
        <v/>
      </c>
      <c r="X4578" s="7">
        <f>IF($C4578="","",W4578-K4578)</f>
        <v/>
      </c>
      <c r="AB4578" s="7" t="n"/>
      <c r="AE4578" s="11" t="n"/>
      <c r="AG4578">
        <f>IF($C4578="","",IF(COUNTIF($C$2:$C4578,$C4578)=1,1,0))</f>
        <v/>
      </c>
      <c r="AH4578">
        <f>IF($AG4578=1,SUMPRODUCT(--($AK$2:$AK$6001&lt;$AK4578))+1,"")</f>
        <v/>
      </c>
      <c r="AI4578">
        <f>IF($C4578="","",IF(OR($N4578=TRUE(),$N4578="TRUE"),1,0))</f>
        <v/>
      </c>
      <c r="AJ4578">
        <f>IF($C4578="","",IF($T4578="Yes",1,0))</f>
        <v/>
      </c>
      <c r="AK4578">
        <f>IF($AG4578=1,IFERROR(IF(VALUE($C4578)&lt;100000000,VALUE($C4578),1000000000),IFERROR(IF(VALUE(MID($C4578,2,20))&lt;100000000,VALUE(MID($C4578,2,20)),1000000000),1000000000))+ROW()/100000,"")</f>
        <v/>
      </c>
    </row>
    <row r="4579">
      <c r="D4579" s="11" t="n"/>
      <c r="K4579" s="7">
        <f>IF($C4579="","",J4579*W4579/100)</f>
        <v/>
      </c>
      <c r="Q4579" s="7" t="n"/>
      <c r="R4579" s="7" t="n"/>
      <c r="U4579">
        <f>IF($C4579="","",IF($AJ4579=1,0,IF($AI4579=1,Settings!$C$6,Settings!$C$7))*100)</f>
        <v/>
      </c>
      <c r="V4579" s="7">
        <f>IF($C4579="","",R4579*U4579/100)</f>
        <v/>
      </c>
      <c r="W4579" s="7">
        <f>IF($C4579="","",R4579-V4579)</f>
        <v/>
      </c>
      <c r="X4579" s="7">
        <f>IF($C4579="","",W4579-K4579)</f>
        <v/>
      </c>
      <c r="AB4579" s="7" t="n"/>
      <c r="AE4579" s="11" t="n"/>
      <c r="AG4579">
        <f>IF($C4579="","",IF(COUNTIF($C$2:$C4579,$C4579)=1,1,0))</f>
        <v/>
      </c>
      <c r="AH4579">
        <f>IF($AG4579=1,SUMPRODUCT(--($AK$2:$AK$6001&lt;$AK4579))+1,"")</f>
        <v/>
      </c>
      <c r="AI4579">
        <f>IF($C4579="","",IF(OR($N4579=TRUE(),$N4579="TRUE"),1,0))</f>
        <v/>
      </c>
      <c r="AJ4579">
        <f>IF($C4579="","",IF($T4579="Yes",1,0))</f>
        <v/>
      </c>
      <c r="AK4579">
        <f>IF($AG4579=1,IFERROR(IF(VALUE($C4579)&lt;100000000,VALUE($C4579),1000000000),IFERROR(IF(VALUE(MID($C4579,2,20))&lt;100000000,VALUE(MID($C4579,2,20)),1000000000),1000000000))+ROW()/100000,"")</f>
        <v/>
      </c>
    </row>
    <row r="4580">
      <c r="D4580" s="11" t="n"/>
      <c r="K4580" s="7">
        <f>IF($C4580="","",J4580*W4580/100)</f>
        <v/>
      </c>
      <c r="Q4580" s="7" t="n"/>
      <c r="R4580" s="7" t="n"/>
      <c r="U4580">
        <f>IF($C4580="","",IF($AJ4580=1,0,IF($AI4580=1,Settings!$C$6,Settings!$C$7))*100)</f>
        <v/>
      </c>
      <c r="V4580" s="7">
        <f>IF($C4580="","",R4580*U4580/100)</f>
        <v/>
      </c>
      <c r="W4580" s="7">
        <f>IF($C4580="","",R4580-V4580)</f>
        <v/>
      </c>
      <c r="X4580" s="7">
        <f>IF($C4580="","",W4580-K4580)</f>
        <v/>
      </c>
      <c r="AB4580" s="7" t="n"/>
      <c r="AE4580" s="11" t="n"/>
      <c r="AG4580">
        <f>IF($C4580="","",IF(COUNTIF($C$2:$C4580,$C4580)=1,1,0))</f>
        <v/>
      </c>
      <c r="AH4580">
        <f>IF($AG4580=1,SUMPRODUCT(--($AK$2:$AK$6001&lt;$AK4580))+1,"")</f>
        <v/>
      </c>
      <c r="AI4580">
        <f>IF($C4580="","",IF(OR($N4580=TRUE(),$N4580="TRUE"),1,0))</f>
        <v/>
      </c>
      <c r="AJ4580">
        <f>IF($C4580="","",IF($T4580="Yes",1,0))</f>
        <v/>
      </c>
      <c r="AK4580">
        <f>IF($AG4580=1,IFERROR(IF(VALUE($C4580)&lt;100000000,VALUE($C4580),1000000000),IFERROR(IF(VALUE(MID($C4580,2,20))&lt;100000000,VALUE(MID($C4580,2,20)),1000000000),1000000000))+ROW()/100000,"")</f>
        <v/>
      </c>
    </row>
    <row r="4581">
      <c r="D4581" s="11" t="n"/>
      <c r="K4581" s="7">
        <f>IF($C4581="","",J4581*W4581/100)</f>
        <v/>
      </c>
      <c r="Q4581" s="7" t="n"/>
      <c r="R4581" s="7" t="n"/>
      <c r="U4581">
        <f>IF($C4581="","",IF($AJ4581=1,0,IF($AI4581=1,Settings!$C$6,Settings!$C$7))*100)</f>
        <v/>
      </c>
      <c r="V4581" s="7">
        <f>IF($C4581="","",R4581*U4581/100)</f>
        <v/>
      </c>
      <c r="W4581" s="7">
        <f>IF($C4581="","",R4581-V4581)</f>
        <v/>
      </c>
      <c r="X4581" s="7">
        <f>IF($C4581="","",W4581-K4581)</f>
        <v/>
      </c>
      <c r="AB4581" s="7" t="n"/>
      <c r="AE4581" s="11" t="n"/>
      <c r="AG4581">
        <f>IF($C4581="","",IF(COUNTIF($C$2:$C4581,$C4581)=1,1,0))</f>
        <v/>
      </c>
      <c r="AH4581">
        <f>IF($AG4581=1,SUMPRODUCT(--($AK$2:$AK$6001&lt;$AK4581))+1,"")</f>
        <v/>
      </c>
      <c r="AI4581">
        <f>IF($C4581="","",IF(OR($N4581=TRUE(),$N4581="TRUE"),1,0))</f>
        <v/>
      </c>
      <c r="AJ4581">
        <f>IF($C4581="","",IF($T4581="Yes",1,0))</f>
        <v/>
      </c>
      <c r="AK4581">
        <f>IF($AG4581=1,IFERROR(IF(VALUE($C4581)&lt;100000000,VALUE($C4581),1000000000),IFERROR(IF(VALUE(MID($C4581,2,20))&lt;100000000,VALUE(MID($C4581,2,20)),1000000000),1000000000))+ROW()/100000,"")</f>
        <v/>
      </c>
    </row>
    <row r="4582">
      <c r="D4582" s="11" t="n"/>
      <c r="K4582" s="7">
        <f>IF($C4582="","",J4582*W4582/100)</f>
        <v/>
      </c>
      <c r="Q4582" s="7" t="n"/>
      <c r="R4582" s="7" t="n"/>
      <c r="U4582">
        <f>IF($C4582="","",IF($AJ4582=1,0,IF($AI4582=1,Settings!$C$6,Settings!$C$7))*100)</f>
        <v/>
      </c>
      <c r="V4582" s="7">
        <f>IF($C4582="","",R4582*U4582/100)</f>
        <v/>
      </c>
      <c r="W4582" s="7">
        <f>IF($C4582="","",R4582-V4582)</f>
        <v/>
      </c>
      <c r="X4582" s="7">
        <f>IF($C4582="","",W4582-K4582)</f>
        <v/>
      </c>
      <c r="AB4582" s="7" t="n"/>
      <c r="AE4582" s="11" t="n"/>
      <c r="AG4582">
        <f>IF($C4582="","",IF(COUNTIF($C$2:$C4582,$C4582)=1,1,0))</f>
        <v/>
      </c>
      <c r="AH4582">
        <f>IF($AG4582=1,SUMPRODUCT(--($AK$2:$AK$6001&lt;$AK4582))+1,"")</f>
        <v/>
      </c>
      <c r="AI4582">
        <f>IF($C4582="","",IF(OR($N4582=TRUE(),$N4582="TRUE"),1,0))</f>
        <v/>
      </c>
      <c r="AJ4582">
        <f>IF($C4582="","",IF($T4582="Yes",1,0))</f>
        <v/>
      </c>
      <c r="AK4582">
        <f>IF($AG4582=1,IFERROR(IF(VALUE($C4582)&lt;100000000,VALUE($C4582),1000000000),IFERROR(IF(VALUE(MID($C4582,2,20))&lt;100000000,VALUE(MID($C4582,2,20)),1000000000),1000000000))+ROW()/100000,"")</f>
        <v/>
      </c>
    </row>
    <row r="4583">
      <c r="D4583" s="11" t="n"/>
      <c r="K4583" s="7">
        <f>IF($C4583="","",J4583*W4583/100)</f>
        <v/>
      </c>
      <c r="Q4583" s="7" t="n"/>
      <c r="R4583" s="7" t="n"/>
      <c r="U4583">
        <f>IF($C4583="","",IF($AJ4583=1,0,IF($AI4583=1,Settings!$C$6,Settings!$C$7))*100)</f>
        <v/>
      </c>
      <c r="V4583" s="7">
        <f>IF($C4583="","",R4583*U4583/100)</f>
        <v/>
      </c>
      <c r="W4583" s="7">
        <f>IF($C4583="","",R4583-V4583)</f>
        <v/>
      </c>
      <c r="X4583" s="7">
        <f>IF($C4583="","",W4583-K4583)</f>
        <v/>
      </c>
      <c r="AB4583" s="7" t="n"/>
      <c r="AE4583" s="11" t="n"/>
      <c r="AG4583">
        <f>IF($C4583="","",IF(COUNTIF($C$2:$C4583,$C4583)=1,1,0))</f>
        <v/>
      </c>
      <c r="AH4583">
        <f>IF($AG4583=1,SUMPRODUCT(--($AK$2:$AK$6001&lt;$AK4583))+1,"")</f>
        <v/>
      </c>
      <c r="AI4583">
        <f>IF($C4583="","",IF(OR($N4583=TRUE(),$N4583="TRUE"),1,0))</f>
        <v/>
      </c>
      <c r="AJ4583">
        <f>IF($C4583="","",IF($T4583="Yes",1,0))</f>
        <v/>
      </c>
      <c r="AK4583">
        <f>IF($AG4583=1,IFERROR(IF(VALUE($C4583)&lt;100000000,VALUE($C4583),1000000000),IFERROR(IF(VALUE(MID($C4583,2,20))&lt;100000000,VALUE(MID($C4583,2,20)),1000000000),1000000000))+ROW()/100000,"")</f>
        <v/>
      </c>
    </row>
    <row r="4584">
      <c r="D4584" s="11" t="n"/>
      <c r="K4584" s="7">
        <f>IF($C4584="","",J4584*W4584/100)</f>
        <v/>
      </c>
      <c r="Q4584" s="7" t="n"/>
      <c r="R4584" s="7" t="n"/>
      <c r="U4584">
        <f>IF($C4584="","",IF($AJ4584=1,0,IF($AI4584=1,Settings!$C$6,Settings!$C$7))*100)</f>
        <v/>
      </c>
      <c r="V4584" s="7">
        <f>IF($C4584="","",R4584*U4584/100)</f>
        <v/>
      </c>
      <c r="W4584" s="7">
        <f>IF($C4584="","",R4584-V4584)</f>
        <v/>
      </c>
      <c r="X4584" s="7">
        <f>IF($C4584="","",W4584-K4584)</f>
        <v/>
      </c>
      <c r="AB4584" s="7" t="n"/>
      <c r="AE4584" s="11" t="n"/>
      <c r="AG4584">
        <f>IF($C4584="","",IF(COUNTIF($C$2:$C4584,$C4584)=1,1,0))</f>
        <v/>
      </c>
      <c r="AH4584">
        <f>IF($AG4584=1,SUMPRODUCT(--($AK$2:$AK$6001&lt;$AK4584))+1,"")</f>
        <v/>
      </c>
      <c r="AI4584">
        <f>IF($C4584="","",IF(OR($N4584=TRUE(),$N4584="TRUE"),1,0))</f>
        <v/>
      </c>
      <c r="AJ4584">
        <f>IF($C4584="","",IF($T4584="Yes",1,0))</f>
        <v/>
      </c>
      <c r="AK4584">
        <f>IF($AG4584=1,IFERROR(IF(VALUE($C4584)&lt;100000000,VALUE($C4584),1000000000),IFERROR(IF(VALUE(MID($C4584,2,20))&lt;100000000,VALUE(MID($C4584,2,20)),1000000000),1000000000))+ROW()/100000,"")</f>
        <v/>
      </c>
    </row>
    <row r="4585">
      <c r="D4585" s="11" t="n"/>
      <c r="K4585" s="7">
        <f>IF($C4585="","",J4585*W4585/100)</f>
        <v/>
      </c>
      <c r="Q4585" s="7" t="n"/>
      <c r="R4585" s="7" t="n"/>
      <c r="U4585">
        <f>IF($C4585="","",IF($AJ4585=1,0,IF($AI4585=1,Settings!$C$6,Settings!$C$7))*100)</f>
        <v/>
      </c>
      <c r="V4585" s="7">
        <f>IF($C4585="","",R4585*U4585/100)</f>
        <v/>
      </c>
      <c r="W4585" s="7">
        <f>IF($C4585="","",R4585-V4585)</f>
        <v/>
      </c>
      <c r="X4585" s="7">
        <f>IF($C4585="","",W4585-K4585)</f>
        <v/>
      </c>
      <c r="AB4585" s="7" t="n"/>
      <c r="AE4585" s="11" t="n"/>
      <c r="AG4585">
        <f>IF($C4585="","",IF(COUNTIF($C$2:$C4585,$C4585)=1,1,0))</f>
        <v/>
      </c>
      <c r="AH4585">
        <f>IF($AG4585=1,SUMPRODUCT(--($AK$2:$AK$6001&lt;$AK4585))+1,"")</f>
        <v/>
      </c>
      <c r="AI4585">
        <f>IF($C4585="","",IF(OR($N4585=TRUE(),$N4585="TRUE"),1,0))</f>
        <v/>
      </c>
      <c r="AJ4585">
        <f>IF($C4585="","",IF($T4585="Yes",1,0))</f>
        <v/>
      </c>
      <c r="AK4585">
        <f>IF($AG4585=1,IFERROR(IF(VALUE($C4585)&lt;100000000,VALUE($C4585),1000000000),IFERROR(IF(VALUE(MID($C4585,2,20))&lt;100000000,VALUE(MID($C4585,2,20)),1000000000),1000000000))+ROW()/100000,"")</f>
        <v/>
      </c>
    </row>
    <row r="4586">
      <c r="D4586" s="11" t="n"/>
      <c r="K4586" s="7">
        <f>IF($C4586="","",J4586*W4586/100)</f>
        <v/>
      </c>
      <c r="Q4586" s="7" t="n"/>
      <c r="R4586" s="7" t="n"/>
      <c r="U4586">
        <f>IF($C4586="","",IF($AJ4586=1,0,IF($AI4586=1,Settings!$C$6,Settings!$C$7))*100)</f>
        <v/>
      </c>
      <c r="V4586" s="7">
        <f>IF($C4586="","",R4586*U4586/100)</f>
        <v/>
      </c>
      <c r="W4586" s="7">
        <f>IF($C4586="","",R4586-V4586)</f>
        <v/>
      </c>
      <c r="X4586" s="7">
        <f>IF($C4586="","",W4586-K4586)</f>
        <v/>
      </c>
      <c r="AB4586" s="7" t="n"/>
      <c r="AE4586" s="11" t="n"/>
      <c r="AG4586">
        <f>IF($C4586="","",IF(COUNTIF($C$2:$C4586,$C4586)=1,1,0))</f>
        <v/>
      </c>
      <c r="AH4586">
        <f>IF($AG4586=1,SUMPRODUCT(--($AK$2:$AK$6001&lt;$AK4586))+1,"")</f>
        <v/>
      </c>
      <c r="AI4586">
        <f>IF($C4586="","",IF(OR($N4586=TRUE(),$N4586="TRUE"),1,0))</f>
        <v/>
      </c>
      <c r="AJ4586">
        <f>IF($C4586="","",IF($T4586="Yes",1,0))</f>
        <v/>
      </c>
      <c r="AK4586">
        <f>IF($AG4586=1,IFERROR(IF(VALUE($C4586)&lt;100000000,VALUE($C4586),1000000000),IFERROR(IF(VALUE(MID($C4586,2,20))&lt;100000000,VALUE(MID($C4586,2,20)),1000000000),1000000000))+ROW()/100000,"")</f>
        <v/>
      </c>
    </row>
    <row r="4587">
      <c r="D4587" s="11" t="n"/>
      <c r="K4587" s="7">
        <f>IF($C4587="","",J4587*W4587/100)</f>
        <v/>
      </c>
      <c r="Q4587" s="7" t="n"/>
      <c r="R4587" s="7" t="n"/>
      <c r="U4587">
        <f>IF($C4587="","",IF($AJ4587=1,0,IF($AI4587=1,Settings!$C$6,Settings!$C$7))*100)</f>
        <v/>
      </c>
      <c r="V4587" s="7">
        <f>IF($C4587="","",R4587*U4587/100)</f>
        <v/>
      </c>
      <c r="W4587" s="7">
        <f>IF($C4587="","",R4587-V4587)</f>
        <v/>
      </c>
      <c r="X4587" s="7">
        <f>IF($C4587="","",W4587-K4587)</f>
        <v/>
      </c>
      <c r="AB4587" s="7" t="n"/>
      <c r="AE4587" s="11" t="n"/>
      <c r="AG4587">
        <f>IF($C4587="","",IF(COUNTIF($C$2:$C4587,$C4587)=1,1,0))</f>
        <v/>
      </c>
      <c r="AH4587">
        <f>IF($AG4587=1,SUMPRODUCT(--($AK$2:$AK$6001&lt;$AK4587))+1,"")</f>
        <v/>
      </c>
      <c r="AI4587">
        <f>IF($C4587="","",IF(OR($N4587=TRUE(),$N4587="TRUE"),1,0))</f>
        <v/>
      </c>
      <c r="AJ4587">
        <f>IF($C4587="","",IF($T4587="Yes",1,0))</f>
        <v/>
      </c>
      <c r="AK4587">
        <f>IF($AG4587=1,IFERROR(IF(VALUE($C4587)&lt;100000000,VALUE($C4587),1000000000),IFERROR(IF(VALUE(MID($C4587,2,20))&lt;100000000,VALUE(MID($C4587,2,20)),1000000000),1000000000))+ROW()/100000,"")</f>
        <v/>
      </c>
    </row>
    <row r="4588">
      <c r="D4588" s="11" t="n"/>
      <c r="K4588" s="7">
        <f>IF($C4588="","",J4588*W4588/100)</f>
        <v/>
      </c>
      <c r="Q4588" s="7" t="n"/>
      <c r="R4588" s="7" t="n"/>
      <c r="U4588">
        <f>IF($C4588="","",IF($AJ4588=1,0,IF($AI4588=1,Settings!$C$6,Settings!$C$7))*100)</f>
        <v/>
      </c>
      <c r="V4588" s="7">
        <f>IF($C4588="","",R4588*U4588/100)</f>
        <v/>
      </c>
      <c r="W4588" s="7">
        <f>IF($C4588="","",R4588-V4588)</f>
        <v/>
      </c>
      <c r="X4588" s="7">
        <f>IF($C4588="","",W4588-K4588)</f>
        <v/>
      </c>
      <c r="AB4588" s="7" t="n"/>
      <c r="AE4588" s="11" t="n"/>
      <c r="AG4588">
        <f>IF($C4588="","",IF(COUNTIF($C$2:$C4588,$C4588)=1,1,0))</f>
        <v/>
      </c>
      <c r="AH4588">
        <f>IF($AG4588=1,SUMPRODUCT(--($AK$2:$AK$6001&lt;$AK4588))+1,"")</f>
        <v/>
      </c>
      <c r="AI4588">
        <f>IF($C4588="","",IF(OR($N4588=TRUE(),$N4588="TRUE"),1,0))</f>
        <v/>
      </c>
      <c r="AJ4588">
        <f>IF($C4588="","",IF($T4588="Yes",1,0))</f>
        <v/>
      </c>
      <c r="AK4588">
        <f>IF($AG4588=1,IFERROR(IF(VALUE($C4588)&lt;100000000,VALUE($C4588),1000000000),IFERROR(IF(VALUE(MID($C4588,2,20))&lt;100000000,VALUE(MID($C4588,2,20)),1000000000),1000000000))+ROW()/100000,"")</f>
        <v/>
      </c>
    </row>
    <row r="4589">
      <c r="D4589" s="11" t="n"/>
      <c r="K4589" s="7">
        <f>IF($C4589="","",J4589*W4589/100)</f>
        <v/>
      </c>
      <c r="Q4589" s="7" t="n"/>
      <c r="R4589" s="7" t="n"/>
      <c r="U4589">
        <f>IF($C4589="","",IF($AJ4589=1,0,IF($AI4589=1,Settings!$C$6,Settings!$C$7))*100)</f>
        <v/>
      </c>
      <c r="V4589" s="7">
        <f>IF($C4589="","",R4589*U4589/100)</f>
        <v/>
      </c>
      <c r="W4589" s="7">
        <f>IF($C4589="","",R4589-V4589)</f>
        <v/>
      </c>
      <c r="X4589" s="7">
        <f>IF($C4589="","",W4589-K4589)</f>
        <v/>
      </c>
      <c r="AB4589" s="7" t="n"/>
      <c r="AE4589" s="11" t="n"/>
      <c r="AG4589">
        <f>IF($C4589="","",IF(COUNTIF($C$2:$C4589,$C4589)=1,1,0))</f>
        <v/>
      </c>
      <c r="AH4589">
        <f>IF($AG4589=1,SUMPRODUCT(--($AK$2:$AK$6001&lt;$AK4589))+1,"")</f>
        <v/>
      </c>
      <c r="AI4589">
        <f>IF($C4589="","",IF(OR($N4589=TRUE(),$N4589="TRUE"),1,0))</f>
        <v/>
      </c>
      <c r="AJ4589">
        <f>IF($C4589="","",IF($T4589="Yes",1,0))</f>
        <v/>
      </c>
      <c r="AK4589">
        <f>IF($AG4589=1,IFERROR(IF(VALUE($C4589)&lt;100000000,VALUE($C4589),1000000000),IFERROR(IF(VALUE(MID($C4589,2,20))&lt;100000000,VALUE(MID($C4589,2,20)),1000000000),1000000000))+ROW()/100000,"")</f>
        <v/>
      </c>
    </row>
    <row r="4590">
      <c r="D4590" s="11" t="n"/>
      <c r="K4590" s="7">
        <f>IF($C4590="","",J4590*W4590/100)</f>
        <v/>
      </c>
      <c r="Q4590" s="7" t="n"/>
      <c r="R4590" s="7" t="n"/>
      <c r="U4590">
        <f>IF($C4590="","",IF($AJ4590=1,0,IF($AI4590=1,Settings!$C$6,Settings!$C$7))*100)</f>
        <v/>
      </c>
      <c r="V4590" s="7">
        <f>IF($C4590="","",R4590*U4590/100)</f>
        <v/>
      </c>
      <c r="W4590" s="7">
        <f>IF($C4590="","",R4590-V4590)</f>
        <v/>
      </c>
      <c r="X4590" s="7">
        <f>IF($C4590="","",W4590-K4590)</f>
        <v/>
      </c>
      <c r="AB4590" s="7" t="n"/>
      <c r="AE4590" s="11" t="n"/>
      <c r="AG4590">
        <f>IF($C4590="","",IF(COUNTIF($C$2:$C4590,$C4590)=1,1,0))</f>
        <v/>
      </c>
      <c r="AH4590">
        <f>IF($AG4590=1,SUMPRODUCT(--($AK$2:$AK$6001&lt;$AK4590))+1,"")</f>
        <v/>
      </c>
      <c r="AI4590">
        <f>IF($C4590="","",IF(OR($N4590=TRUE(),$N4590="TRUE"),1,0))</f>
        <v/>
      </c>
      <c r="AJ4590">
        <f>IF($C4590="","",IF($T4590="Yes",1,0))</f>
        <v/>
      </c>
      <c r="AK4590">
        <f>IF($AG4590=1,IFERROR(IF(VALUE($C4590)&lt;100000000,VALUE($C4590),1000000000),IFERROR(IF(VALUE(MID($C4590,2,20))&lt;100000000,VALUE(MID($C4590,2,20)),1000000000),1000000000))+ROW()/100000,"")</f>
        <v/>
      </c>
    </row>
    <row r="4591">
      <c r="D4591" s="11" t="n"/>
      <c r="K4591" s="7">
        <f>IF($C4591="","",J4591*W4591/100)</f>
        <v/>
      </c>
      <c r="Q4591" s="7" t="n"/>
      <c r="R4591" s="7" t="n"/>
      <c r="U4591">
        <f>IF($C4591="","",IF($AJ4591=1,0,IF($AI4591=1,Settings!$C$6,Settings!$C$7))*100)</f>
        <v/>
      </c>
      <c r="V4591" s="7">
        <f>IF($C4591="","",R4591*U4591/100)</f>
        <v/>
      </c>
      <c r="W4591" s="7">
        <f>IF($C4591="","",R4591-V4591)</f>
        <v/>
      </c>
      <c r="X4591" s="7">
        <f>IF($C4591="","",W4591-K4591)</f>
        <v/>
      </c>
      <c r="AB4591" s="7" t="n"/>
      <c r="AE4591" s="11" t="n"/>
      <c r="AG4591">
        <f>IF($C4591="","",IF(COUNTIF($C$2:$C4591,$C4591)=1,1,0))</f>
        <v/>
      </c>
      <c r="AH4591">
        <f>IF($AG4591=1,SUMPRODUCT(--($AK$2:$AK$6001&lt;$AK4591))+1,"")</f>
        <v/>
      </c>
      <c r="AI4591">
        <f>IF($C4591="","",IF(OR($N4591=TRUE(),$N4591="TRUE"),1,0))</f>
        <v/>
      </c>
      <c r="AJ4591">
        <f>IF($C4591="","",IF($T4591="Yes",1,0))</f>
        <v/>
      </c>
      <c r="AK4591">
        <f>IF($AG4591=1,IFERROR(IF(VALUE($C4591)&lt;100000000,VALUE($C4591),1000000000),IFERROR(IF(VALUE(MID($C4591,2,20))&lt;100000000,VALUE(MID($C4591,2,20)),1000000000),1000000000))+ROW()/100000,"")</f>
        <v/>
      </c>
    </row>
    <row r="4592">
      <c r="D4592" s="11" t="n"/>
      <c r="K4592" s="7">
        <f>IF($C4592="","",J4592*W4592/100)</f>
        <v/>
      </c>
      <c r="Q4592" s="7" t="n"/>
      <c r="R4592" s="7" t="n"/>
      <c r="U4592">
        <f>IF($C4592="","",IF($AJ4592=1,0,IF($AI4592=1,Settings!$C$6,Settings!$C$7))*100)</f>
        <v/>
      </c>
      <c r="V4592" s="7">
        <f>IF($C4592="","",R4592*U4592/100)</f>
        <v/>
      </c>
      <c r="W4592" s="7">
        <f>IF($C4592="","",R4592-V4592)</f>
        <v/>
      </c>
      <c r="X4592" s="7">
        <f>IF($C4592="","",W4592-K4592)</f>
        <v/>
      </c>
      <c r="AB4592" s="7" t="n"/>
      <c r="AE4592" s="11" t="n"/>
      <c r="AG4592">
        <f>IF($C4592="","",IF(COUNTIF($C$2:$C4592,$C4592)=1,1,0))</f>
        <v/>
      </c>
      <c r="AH4592">
        <f>IF($AG4592=1,SUMPRODUCT(--($AK$2:$AK$6001&lt;$AK4592))+1,"")</f>
        <v/>
      </c>
      <c r="AI4592">
        <f>IF($C4592="","",IF(OR($N4592=TRUE(),$N4592="TRUE"),1,0))</f>
        <v/>
      </c>
      <c r="AJ4592">
        <f>IF($C4592="","",IF($T4592="Yes",1,0))</f>
        <v/>
      </c>
      <c r="AK4592">
        <f>IF($AG4592=1,IFERROR(IF(VALUE($C4592)&lt;100000000,VALUE($C4592),1000000000),IFERROR(IF(VALUE(MID($C4592,2,20))&lt;100000000,VALUE(MID($C4592,2,20)),1000000000),1000000000))+ROW()/100000,"")</f>
        <v/>
      </c>
    </row>
    <row r="4593">
      <c r="D4593" s="11" t="n"/>
      <c r="K4593" s="7">
        <f>IF($C4593="","",J4593*W4593/100)</f>
        <v/>
      </c>
      <c r="Q4593" s="7" t="n"/>
      <c r="R4593" s="7" t="n"/>
      <c r="U4593">
        <f>IF($C4593="","",IF($AJ4593=1,0,IF($AI4593=1,Settings!$C$6,Settings!$C$7))*100)</f>
        <v/>
      </c>
      <c r="V4593" s="7">
        <f>IF($C4593="","",R4593*U4593/100)</f>
        <v/>
      </c>
      <c r="W4593" s="7">
        <f>IF($C4593="","",R4593-V4593)</f>
        <v/>
      </c>
      <c r="X4593" s="7">
        <f>IF($C4593="","",W4593-K4593)</f>
        <v/>
      </c>
      <c r="AB4593" s="7" t="n"/>
      <c r="AE4593" s="11" t="n"/>
      <c r="AG4593">
        <f>IF($C4593="","",IF(COUNTIF($C$2:$C4593,$C4593)=1,1,0))</f>
        <v/>
      </c>
      <c r="AH4593">
        <f>IF($AG4593=1,SUMPRODUCT(--($AK$2:$AK$6001&lt;$AK4593))+1,"")</f>
        <v/>
      </c>
      <c r="AI4593">
        <f>IF($C4593="","",IF(OR($N4593=TRUE(),$N4593="TRUE"),1,0))</f>
        <v/>
      </c>
      <c r="AJ4593">
        <f>IF($C4593="","",IF($T4593="Yes",1,0))</f>
        <v/>
      </c>
      <c r="AK4593">
        <f>IF($AG4593=1,IFERROR(IF(VALUE($C4593)&lt;100000000,VALUE($C4593),1000000000),IFERROR(IF(VALUE(MID($C4593,2,20))&lt;100000000,VALUE(MID($C4593,2,20)),1000000000),1000000000))+ROW()/100000,"")</f>
        <v/>
      </c>
    </row>
    <row r="4594">
      <c r="D4594" s="11" t="n"/>
      <c r="K4594" s="7">
        <f>IF($C4594="","",J4594*W4594/100)</f>
        <v/>
      </c>
      <c r="Q4594" s="7" t="n"/>
      <c r="R4594" s="7" t="n"/>
      <c r="U4594">
        <f>IF($C4594="","",IF($AJ4594=1,0,IF($AI4594=1,Settings!$C$6,Settings!$C$7))*100)</f>
        <v/>
      </c>
      <c r="V4594" s="7">
        <f>IF($C4594="","",R4594*U4594/100)</f>
        <v/>
      </c>
      <c r="W4594" s="7">
        <f>IF($C4594="","",R4594-V4594)</f>
        <v/>
      </c>
      <c r="X4594" s="7">
        <f>IF($C4594="","",W4594-K4594)</f>
        <v/>
      </c>
      <c r="AB4594" s="7" t="n"/>
      <c r="AE4594" s="11" t="n"/>
      <c r="AG4594">
        <f>IF($C4594="","",IF(COUNTIF($C$2:$C4594,$C4594)=1,1,0))</f>
        <v/>
      </c>
      <c r="AH4594">
        <f>IF($AG4594=1,SUMPRODUCT(--($AK$2:$AK$6001&lt;$AK4594))+1,"")</f>
        <v/>
      </c>
      <c r="AI4594">
        <f>IF($C4594="","",IF(OR($N4594=TRUE(),$N4594="TRUE"),1,0))</f>
        <v/>
      </c>
      <c r="AJ4594">
        <f>IF($C4594="","",IF($T4594="Yes",1,0))</f>
        <v/>
      </c>
      <c r="AK4594">
        <f>IF($AG4594=1,IFERROR(IF(VALUE($C4594)&lt;100000000,VALUE($C4594),1000000000),IFERROR(IF(VALUE(MID($C4594,2,20))&lt;100000000,VALUE(MID($C4594,2,20)),1000000000),1000000000))+ROW()/100000,"")</f>
        <v/>
      </c>
    </row>
    <row r="4595">
      <c r="D4595" s="11" t="n"/>
      <c r="K4595" s="7">
        <f>IF($C4595="","",J4595*W4595/100)</f>
        <v/>
      </c>
      <c r="Q4595" s="7" t="n"/>
      <c r="R4595" s="7" t="n"/>
      <c r="U4595">
        <f>IF($C4595="","",IF($AJ4595=1,0,IF($AI4595=1,Settings!$C$6,Settings!$C$7))*100)</f>
        <v/>
      </c>
      <c r="V4595" s="7">
        <f>IF($C4595="","",R4595*U4595/100)</f>
        <v/>
      </c>
      <c r="W4595" s="7">
        <f>IF($C4595="","",R4595-V4595)</f>
        <v/>
      </c>
      <c r="X4595" s="7">
        <f>IF($C4595="","",W4595-K4595)</f>
        <v/>
      </c>
      <c r="AB4595" s="7" t="n"/>
      <c r="AE4595" s="11" t="n"/>
      <c r="AG4595">
        <f>IF($C4595="","",IF(COUNTIF($C$2:$C4595,$C4595)=1,1,0))</f>
        <v/>
      </c>
      <c r="AH4595">
        <f>IF($AG4595=1,SUMPRODUCT(--($AK$2:$AK$6001&lt;$AK4595))+1,"")</f>
        <v/>
      </c>
      <c r="AI4595">
        <f>IF($C4595="","",IF(OR($N4595=TRUE(),$N4595="TRUE"),1,0))</f>
        <v/>
      </c>
      <c r="AJ4595">
        <f>IF($C4595="","",IF($T4595="Yes",1,0))</f>
        <v/>
      </c>
      <c r="AK4595">
        <f>IF($AG4595=1,IFERROR(IF(VALUE($C4595)&lt;100000000,VALUE($C4595),1000000000),IFERROR(IF(VALUE(MID($C4595,2,20))&lt;100000000,VALUE(MID($C4595,2,20)),1000000000),1000000000))+ROW()/100000,"")</f>
        <v/>
      </c>
    </row>
    <row r="4596">
      <c r="D4596" s="11" t="n"/>
      <c r="K4596" s="7">
        <f>IF($C4596="","",J4596*W4596/100)</f>
        <v/>
      </c>
      <c r="Q4596" s="7" t="n"/>
      <c r="R4596" s="7" t="n"/>
      <c r="U4596">
        <f>IF($C4596="","",IF($AJ4596=1,0,IF($AI4596=1,Settings!$C$6,Settings!$C$7))*100)</f>
        <v/>
      </c>
      <c r="V4596" s="7">
        <f>IF($C4596="","",R4596*U4596/100)</f>
        <v/>
      </c>
      <c r="W4596" s="7">
        <f>IF($C4596="","",R4596-V4596)</f>
        <v/>
      </c>
      <c r="X4596" s="7">
        <f>IF($C4596="","",W4596-K4596)</f>
        <v/>
      </c>
      <c r="AB4596" s="7" t="n"/>
      <c r="AE4596" s="11" t="n"/>
      <c r="AG4596">
        <f>IF($C4596="","",IF(COUNTIF($C$2:$C4596,$C4596)=1,1,0))</f>
        <v/>
      </c>
      <c r="AH4596">
        <f>IF($AG4596=1,SUMPRODUCT(--($AK$2:$AK$6001&lt;$AK4596))+1,"")</f>
        <v/>
      </c>
      <c r="AI4596">
        <f>IF($C4596="","",IF(OR($N4596=TRUE(),$N4596="TRUE"),1,0))</f>
        <v/>
      </c>
      <c r="AJ4596">
        <f>IF($C4596="","",IF($T4596="Yes",1,0))</f>
        <v/>
      </c>
      <c r="AK4596">
        <f>IF($AG4596=1,IFERROR(IF(VALUE($C4596)&lt;100000000,VALUE($C4596),1000000000),IFERROR(IF(VALUE(MID($C4596,2,20))&lt;100000000,VALUE(MID($C4596,2,20)),1000000000),1000000000))+ROW()/100000,"")</f>
        <v/>
      </c>
    </row>
    <row r="4597">
      <c r="D4597" s="11" t="n"/>
      <c r="K4597" s="7">
        <f>IF($C4597="","",J4597*W4597/100)</f>
        <v/>
      </c>
      <c r="Q4597" s="7" t="n"/>
      <c r="R4597" s="7" t="n"/>
      <c r="U4597">
        <f>IF($C4597="","",IF($AJ4597=1,0,IF($AI4597=1,Settings!$C$6,Settings!$C$7))*100)</f>
        <v/>
      </c>
      <c r="V4597" s="7">
        <f>IF($C4597="","",R4597*U4597/100)</f>
        <v/>
      </c>
      <c r="W4597" s="7">
        <f>IF($C4597="","",R4597-V4597)</f>
        <v/>
      </c>
      <c r="X4597" s="7">
        <f>IF($C4597="","",W4597-K4597)</f>
        <v/>
      </c>
      <c r="AB4597" s="7" t="n"/>
      <c r="AE4597" s="11" t="n"/>
      <c r="AG4597">
        <f>IF($C4597="","",IF(COUNTIF($C$2:$C4597,$C4597)=1,1,0))</f>
        <v/>
      </c>
      <c r="AH4597">
        <f>IF($AG4597=1,SUMPRODUCT(--($AK$2:$AK$6001&lt;$AK4597))+1,"")</f>
        <v/>
      </c>
      <c r="AI4597">
        <f>IF($C4597="","",IF(OR($N4597=TRUE(),$N4597="TRUE"),1,0))</f>
        <v/>
      </c>
      <c r="AJ4597">
        <f>IF($C4597="","",IF($T4597="Yes",1,0))</f>
        <v/>
      </c>
      <c r="AK4597">
        <f>IF($AG4597=1,IFERROR(IF(VALUE($C4597)&lt;100000000,VALUE($C4597),1000000000),IFERROR(IF(VALUE(MID($C4597,2,20))&lt;100000000,VALUE(MID($C4597,2,20)),1000000000),1000000000))+ROW()/100000,"")</f>
        <v/>
      </c>
    </row>
    <row r="4598">
      <c r="D4598" s="11" t="n"/>
      <c r="K4598" s="7">
        <f>IF($C4598="","",J4598*W4598/100)</f>
        <v/>
      </c>
      <c r="Q4598" s="7" t="n"/>
      <c r="R4598" s="7" t="n"/>
      <c r="U4598">
        <f>IF($C4598="","",IF($AJ4598=1,0,IF($AI4598=1,Settings!$C$6,Settings!$C$7))*100)</f>
        <v/>
      </c>
      <c r="V4598" s="7">
        <f>IF($C4598="","",R4598*U4598/100)</f>
        <v/>
      </c>
      <c r="W4598" s="7">
        <f>IF($C4598="","",R4598-V4598)</f>
        <v/>
      </c>
      <c r="X4598" s="7">
        <f>IF($C4598="","",W4598-K4598)</f>
        <v/>
      </c>
      <c r="AB4598" s="7" t="n"/>
      <c r="AE4598" s="11" t="n"/>
      <c r="AG4598">
        <f>IF($C4598="","",IF(COUNTIF($C$2:$C4598,$C4598)=1,1,0))</f>
        <v/>
      </c>
      <c r="AH4598">
        <f>IF($AG4598=1,SUMPRODUCT(--($AK$2:$AK$6001&lt;$AK4598))+1,"")</f>
        <v/>
      </c>
      <c r="AI4598">
        <f>IF($C4598="","",IF(OR($N4598=TRUE(),$N4598="TRUE"),1,0))</f>
        <v/>
      </c>
      <c r="AJ4598">
        <f>IF($C4598="","",IF($T4598="Yes",1,0))</f>
        <v/>
      </c>
      <c r="AK4598">
        <f>IF($AG4598=1,IFERROR(IF(VALUE($C4598)&lt;100000000,VALUE($C4598),1000000000),IFERROR(IF(VALUE(MID($C4598,2,20))&lt;100000000,VALUE(MID($C4598,2,20)),1000000000),1000000000))+ROW()/100000,"")</f>
        <v/>
      </c>
    </row>
    <row r="4599">
      <c r="D4599" s="11" t="n"/>
      <c r="K4599" s="7">
        <f>IF($C4599="","",J4599*W4599/100)</f>
        <v/>
      </c>
      <c r="Q4599" s="7" t="n"/>
      <c r="R4599" s="7" t="n"/>
      <c r="U4599">
        <f>IF($C4599="","",IF($AJ4599=1,0,IF($AI4599=1,Settings!$C$6,Settings!$C$7))*100)</f>
        <v/>
      </c>
      <c r="V4599" s="7">
        <f>IF($C4599="","",R4599*U4599/100)</f>
        <v/>
      </c>
      <c r="W4599" s="7">
        <f>IF($C4599="","",R4599-V4599)</f>
        <v/>
      </c>
      <c r="X4599" s="7">
        <f>IF($C4599="","",W4599-K4599)</f>
        <v/>
      </c>
      <c r="AB4599" s="7" t="n"/>
      <c r="AE4599" s="11" t="n"/>
      <c r="AG4599">
        <f>IF($C4599="","",IF(COUNTIF($C$2:$C4599,$C4599)=1,1,0))</f>
        <v/>
      </c>
      <c r="AH4599">
        <f>IF($AG4599=1,SUMPRODUCT(--($AK$2:$AK$6001&lt;$AK4599))+1,"")</f>
        <v/>
      </c>
      <c r="AI4599">
        <f>IF($C4599="","",IF(OR($N4599=TRUE(),$N4599="TRUE"),1,0))</f>
        <v/>
      </c>
      <c r="AJ4599">
        <f>IF($C4599="","",IF($T4599="Yes",1,0))</f>
        <v/>
      </c>
      <c r="AK4599">
        <f>IF($AG4599=1,IFERROR(IF(VALUE($C4599)&lt;100000000,VALUE($C4599),1000000000),IFERROR(IF(VALUE(MID($C4599,2,20))&lt;100000000,VALUE(MID($C4599,2,20)),1000000000),1000000000))+ROW()/100000,"")</f>
        <v/>
      </c>
    </row>
    <row r="4600">
      <c r="D4600" s="11" t="n"/>
      <c r="K4600" s="7">
        <f>IF($C4600="","",J4600*W4600/100)</f>
        <v/>
      </c>
      <c r="Q4600" s="7" t="n"/>
      <c r="R4600" s="7" t="n"/>
      <c r="U4600">
        <f>IF($C4600="","",IF($AJ4600=1,0,IF($AI4600=1,Settings!$C$6,Settings!$C$7))*100)</f>
        <v/>
      </c>
      <c r="V4600" s="7">
        <f>IF($C4600="","",R4600*U4600/100)</f>
        <v/>
      </c>
      <c r="W4600" s="7">
        <f>IF($C4600="","",R4600-V4600)</f>
        <v/>
      </c>
      <c r="X4600" s="7">
        <f>IF($C4600="","",W4600-K4600)</f>
        <v/>
      </c>
      <c r="AB4600" s="7" t="n"/>
      <c r="AE4600" s="11" t="n"/>
      <c r="AG4600">
        <f>IF($C4600="","",IF(COUNTIF($C$2:$C4600,$C4600)=1,1,0))</f>
        <v/>
      </c>
      <c r="AH4600">
        <f>IF($AG4600=1,SUMPRODUCT(--($AK$2:$AK$6001&lt;$AK4600))+1,"")</f>
        <v/>
      </c>
      <c r="AI4600">
        <f>IF($C4600="","",IF(OR($N4600=TRUE(),$N4600="TRUE"),1,0))</f>
        <v/>
      </c>
      <c r="AJ4600">
        <f>IF($C4600="","",IF($T4600="Yes",1,0))</f>
        <v/>
      </c>
      <c r="AK4600">
        <f>IF($AG4600=1,IFERROR(IF(VALUE($C4600)&lt;100000000,VALUE($C4600),1000000000),IFERROR(IF(VALUE(MID($C4600,2,20))&lt;100000000,VALUE(MID($C4600,2,20)),1000000000),1000000000))+ROW()/100000,"")</f>
        <v/>
      </c>
    </row>
    <row r="4601">
      <c r="D4601" s="11" t="n"/>
      <c r="K4601" s="7">
        <f>IF($C4601="","",J4601*W4601/100)</f>
        <v/>
      </c>
      <c r="Q4601" s="7" t="n"/>
      <c r="R4601" s="7" t="n"/>
      <c r="U4601">
        <f>IF($C4601="","",IF($AJ4601=1,0,IF($AI4601=1,Settings!$C$6,Settings!$C$7))*100)</f>
        <v/>
      </c>
      <c r="V4601" s="7">
        <f>IF($C4601="","",R4601*U4601/100)</f>
        <v/>
      </c>
      <c r="W4601" s="7">
        <f>IF($C4601="","",R4601-V4601)</f>
        <v/>
      </c>
      <c r="X4601" s="7">
        <f>IF($C4601="","",W4601-K4601)</f>
        <v/>
      </c>
      <c r="AB4601" s="7" t="n"/>
      <c r="AE4601" s="11" t="n"/>
      <c r="AG4601">
        <f>IF($C4601="","",IF(COUNTIF($C$2:$C4601,$C4601)=1,1,0))</f>
        <v/>
      </c>
      <c r="AH4601">
        <f>IF($AG4601=1,SUMPRODUCT(--($AK$2:$AK$6001&lt;$AK4601))+1,"")</f>
        <v/>
      </c>
      <c r="AI4601">
        <f>IF($C4601="","",IF(OR($N4601=TRUE(),$N4601="TRUE"),1,0))</f>
        <v/>
      </c>
      <c r="AJ4601">
        <f>IF($C4601="","",IF($T4601="Yes",1,0))</f>
        <v/>
      </c>
      <c r="AK4601">
        <f>IF($AG4601=1,IFERROR(IF(VALUE($C4601)&lt;100000000,VALUE($C4601),1000000000),IFERROR(IF(VALUE(MID($C4601,2,20))&lt;100000000,VALUE(MID($C4601,2,20)),1000000000),1000000000))+ROW()/100000,"")</f>
        <v/>
      </c>
    </row>
    <row r="4602">
      <c r="D4602" s="11" t="n"/>
      <c r="K4602" s="7">
        <f>IF($C4602="","",J4602*W4602/100)</f>
        <v/>
      </c>
      <c r="Q4602" s="7" t="n"/>
      <c r="R4602" s="7" t="n"/>
      <c r="U4602">
        <f>IF($C4602="","",IF($AJ4602=1,0,IF($AI4602=1,Settings!$C$6,Settings!$C$7))*100)</f>
        <v/>
      </c>
      <c r="V4602" s="7">
        <f>IF($C4602="","",R4602*U4602/100)</f>
        <v/>
      </c>
      <c r="W4602" s="7">
        <f>IF($C4602="","",R4602-V4602)</f>
        <v/>
      </c>
      <c r="X4602" s="7">
        <f>IF($C4602="","",W4602-K4602)</f>
        <v/>
      </c>
      <c r="AB4602" s="7" t="n"/>
      <c r="AE4602" s="11" t="n"/>
      <c r="AG4602">
        <f>IF($C4602="","",IF(COUNTIF($C$2:$C4602,$C4602)=1,1,0))</f>
        <v/>
      </c>
      <c r="AH4602">
        <f>IF($AG4602=1,SUMPRODUCT(--($AK$2:$AK$6001&lt;$AK4602))+1,"")</f>
        <v/>
      </c>
      <c r="AI4602">
        <f>IF($C4602="","",IF(OR($N4602=TRUE(),$N4602="TRUE"),1,0))</f>
        <v/>
      </c>
      <c r="AJ4602">
        <f>IF($C4602="","",IF($T4602="Yes",1,0))</f>
        <v/>
      </c>
      <c r="AK4602">
        <f>IF($AG4602=1,IFERROR(IF(VALUE($C4602)&lt;100000000,VALUE($C4602),1000000000),IFERROR(IF(VALUE(MID($C4602,2,20))&lt;100000000,VALUE(MID($C4602,2,20)),1000000000),1000000000))+ROW()/100000,"")</f>
        <v/>
      </c>
    </row>
    <row r="4603">
      <c r="D4603" s="11" t="n"/>
      <c r="K4603" s="7">
        <f>IF($C4603="","",J4603*W4603/100)</f>
        <v/>
      </c>
      <c r="Q4603" s="7" t="n"/>
      <c r="R4603" s="7" t="n"/>
      <c r="U4603">
        <f>IF($C4603="","",IF($AJ4603=1,0,IF($AI4603=1,Settings!$C$6,Settings!$C$7))*100)</f>
        <v/>
      </c>
      <c r="V4603" s="7">
        <f>IF($C4603="","",R4603*U4603/100)</f>
        <v/>
      </c>
      <c r="W4603" s="7">
        <f>IF($C4603="","",R4603-V4603)</f>
        <v/>
      </c>
      <c r="X4603" s="7">
        <f>IF($C4603="","",W4603-K4603)</f>
        <v/>
      </c>
      <c r="AB4603" s="7" t="n"/>
      <c r="AE4603" s="11" t="n"/>
      <c r="AG4603">
        <f>IF($C4603="","",IF(COUNTIF($C$2:$C4603,$C4603)=1,1,0))</f>
        <v/>
      </c>
      <c r="AH4603">
        <f>IF($AG4603=1,SUMPRODUCT(--($AK$2:$AK$6001&lt;$AK4603))+1,"")</f>
        <v/>
      </c>
      <c r="AI4603">
        <f>IF($C4603="","",IF(OR($N4603=TRUE(),$N4603="TRUE"),1,0))</f>
        <v/>
      </c>
      <c r="AJ4603">
        <f>IF($C4603="","",IF($T4603="Yes",1,0))</f>
        <v/>
      </c>
      <c r="AK4603">
        <f>IF($AG4603=1,IFERROR(IF(VALUE($C4603)&lt;100000000,VALUE($C4603),1000000000),IFERROR(IF(VALUE(MID($C4603,2,20))&lt;100000000,VALUE(MID($C4603,2,20)),1000000000),1000000000))+ROW()/100000,"")</f>
        <v/>
      </c>
    </row>
    <row r="4604">
      <c r="D4604" s="11" t="n"/>
      <c r="K4604" s="7">
        <f>IF($C4604="","",J4604*W4604/100)</f>
        <v/>
      </c>
      <c r="Q4604" s="7" t="n"/>
      <c r="R4604" s="7" t="n"/>
      <c r="U4604">
        <f>IF($C4604="","",IF($AJ4604=1,0,IF($AI4604=1,Settings!$C$6,Settings!$C$7))*100)</f>
        <v/>
      </c>
      <c r="V4604" s="7">
        <f>IF($C4604="","",R4604*U4604/100)</f>
        <v/>
      </c>
      <c r="W4604" s="7">
        <f>IF($C4604="","",R4604-V4604)</f>
        <v/>
      </c>
      <c r="X4604" s="7">
        <f>IF($C4604="","",W4604-K4604)</f>
        <v/>
      </c>
      <c r="AB4604" s="7" t="n"/>
      <c r="AE4604" s="11" t="n"/>
      <c r="AG4604">
        <f>IF($C4604="","",IF(COUNTIF($C$2:$C4604,$C4604)=1,1,0))</f>
        <v/>
      </c>
      <c r="AH4604">
        <f>IF($AG4604=1,SUMPRODUCT(--($AK$2:$AK$6001&lt;$AK4604))+1,"")</f>
        <v/>
      </c>
      <c r="AI4604">
        <f>IF($C4604="","",IF(OR($N4604=TRUE(),$N4604="TRUE"),1,0))</f>
        <v/>
      </c>
      <c r="AJ4604">
        <f>IF($C4604="","",IF($T4604="Yes",1,0))</f>
        <v/>
      </c>
      <c r="AK4604">
        <f>IF($AG4604=1,IFERROR(IF(VALUE($C4604)&lt;100000000,VALUE($C4604),1000000000),IFERROR(IF(VALUE(MID($C4604,2,20))&lt;100000000,VALUE(MID($C4604,2,20)),1000000000),1000000000))+ROW()/100000,"")</f>
        <v/>
      </c>
    </row>
    <row r="4605">
      <c r="D4605" s="11" t="n"/>
      <c r="K4605" s="7">
        <f>IF($C4605="","",J4605*W4605/100)</f>
        <v/>
      </c>
      <c r="Q4605" s="7" t="n"/>
      <c r="R4605" s="7" t="n"/>
      <c r="U4605">
        <f>IF($C4605="","",IF($AJ4605=1,0,IF($AI4605=1,Settings!$C$6,Settings!$C$7))*100)</f>
        <v/>
      </c>
      <c r="V4605" s="7">
        <f>IF($C4605="","",R4605*U4605/100)</f>
        <v/>
      </c>
      <c r="W4605" s="7">
        <f>IF($C4605="","",R4605-V4605)</f>
        <v/>
      </c>
      <c r="X4605" s="7">
        <f>IF($C4605="","",W4605-K4605)</f>
        <v/>
      </c>
      <c r="AB4605" s="7" t="n"/>
      <c r="AE4605" s="11" t="n"/>
      <c r="AG4605">
        <f>IF($C4605="","",IF(COUNTIF($C$2:$C4605,$C4605)=1,1,0))</f>
        <v/>
      </c>
      <c r="AH4605">
        <f>IF($AG4605=1,SUMPRODUCT(--($AK$2:$AK$6001&lt;$AK4605))+1,"")</f>
        <v/>
      </c>
      <c r="AI4605">
        <f>IF($C4605="","",IF(OR($N4605=TRUE(),$N4605="TRUE"),1,0))</f>
        <v/>
      </c>
      <c r="AJ4605">
        <f>IF($C4605="","",IF($T4605="Yes",1,0))</f>
        <v/>
      </c>
      <c r="AK4605">
        <f>IF($AG4605=1,IFERROR(IF(VALUE($C4605)&lt;100000000,VALUE($C4605),1000000000),IFERROR(IF(VALUE(MID($C4605,2,20))&lt;100000000,VALUE(MID($C4605,2,20)),1000000000),1000000000))+ROW()/100000,"")</f>
        <v/>
      </c>
    </row>
    <row r="4606">
      <c r="D4606" s="11" t="n"/>
      <c r="K4606" s="7">
        <f>IF($C4606="","",J4606*W4606/100)</f>
        <v/>
      </c>
      <c r="Q4606" s="7" t="n"/>
      <c r="R4606" s="7" t="n"/>
      <c r="U4606">
        <f>IF($C4606="","",IF($AJ4606=1,0,IF($AI4606=1,Settings!$C$6,Settings!$C$7))*100)</f>
        <v/>
      </c>
      <c r="V4606" s="7">
        <f>IF($C4606="","",R4606*U4606/100)</f>
        <v/>
      </c>
      <c r="W4606" s="7">
        <f>IF($C4606="","",R4606-V4606)</f>
        <v/>
      </c>
      <c r="X4606" s="7">
        <f>IF($C4606="","",W4606-K4606)</f>
        <v/>
      </c>
      <c r="AB4606" s="7" t="n"/>
      <c r="AE4606" s="11" t="n"/>
      <c r="AG4606">
        <f>IF($C4606="","",IF(COUNTIF($C$2:$C4606,$C4606)=1,1,0))</f>
        <v/>
      </c>
      <c r="AH4606">
        <f>IF($AG4606=1,SUMPRODUCT(--($AK$2:$AK$6001&lt;$AK4606))+1,"")</f>
        <v/>
      </c>
      <c r="AI4606">
        <f>IF($C4606="","",IF(OR($N4606=TRUE(),$N4606="TRUE"),1,0))</f>
        <v/>
      </c>
      <c r="AJ4606">
        <f>IF($C4606="","",IF($T4606="Yes",1,0))</f>
        <v/>
      </c>
      <c r="AK4606">
        <f>IF($AG4606=1,IFERROR(IF(VALUE($C4606)&lt;100000000,VALUE($C4606),1000000000),IFERROR(IF(VALUE(MID($C4606,2,20))&lt;100000000,VALUE(MID($C4606,2,20)),1000000000),1000000000))+ROW()/100000,"")</f>
        <v/>
      </c>
    </row>
    <row r="4607">
      <c r="D4607" s="11" t="n"/>
      <c r="K4607" s="7">
        <f>IF($C4607="","",J4607*W4607/100)</f>
        <v/>
      </c>
      <c r="Q4607" s="7" t="n"/>
      <c r="R4607" s="7" t="n"/>
      <c r="U4607">
        <f>IF($C4607="","",IF($AJ4607=1,0,IF($AI4607=1,Settings!$C$6,Settings!$C$7))*100)</f>
        <v/>
      </c>
      <c r="V4607" s="7">
        <f>IF($C4607="","",R4607*U4607/100)</f>
        <v/>
      </c>
      <c r="W4607" s="7">
        <f>IF($C4607="","",R4607-V4607)</f>
        <v/>
      </c>
      <c r="X4607" s="7">
        <f>IF($C4607="","",W4607-K4607)</f>
        <v/>
      </c>
      <c r="AB4607" s="7" t="n"/>
      <c r="AE4607" s="11" t="n"/>
      <c r="AG4607">
        <f>IF($C4607="","",IF(COUNTIF($C$2:$C4607,$C4607)=1,1,0))</f>
        <v/>
      </c>
      <c r="AH4607">
        <f>IF($AG4607=1,SUMPRODUCT(--($AK$2:$AK$6001&lt;$AK4607))+1,"")</f>
        <v/>
      </c>
      <c r="AI4607">
        <f>IF($C4607="","",IF(OR($N4607=TRUE(),$N4607="TRUE"),1,0))</f>
        <v/>
      </c>
      <c r="AJ4607">
        <f>IF($C4607="","",IF($T4607="Yes",1,0))</f>
        <v/>
      </c>
      <c r="AK4607">
        <f>IF($AG4607=1,IFERROR(IF(VALUE($C4607)&lt;100000000,VALUE($C4607),1000000000),IFERROR(IF(VALUE(MID($C4607,2,20))&lt;100000000,VALUE(MID($C4607,2,20)),1000000000),1000000000))+ROW()/100000,"")</f>
        <v/>
      </c>
    </row>
    <row r="4608">
      <c r="D4608" s="11" t="n"/>
      <c r="K4608" s="7">
        <f>IF($C4608="","",J4608*W4608/100)</f>
        <v/>
      </c>
      <c r="Q4608" s="7" t="n"/>
      <c r="R4608" s="7" t="n"/>
      <c r="U4608">
        <f>IF($C4608="","",IF($AJ4608=1,0,IF($AI4608=1,Settings!$C$6,Settings!$C$7))*100)</f>
        <v/>
      </c>
      <c r="V4608" s="7">
        <f>IF($C4608="","",R4608*U4608/100)</f>
        <v/>
      </c>
      <c r="W4608" s="7">
        <f>IF($C4608="","",R4608-V4608)</f>
        <v/>
      </c>
      <c r="X4608" s="7">
        <f>IF($C4608="","",W4608-K4608)</f>
        <v/>
      </c>
      <c r="AB4608" s="7" t="n"/>
      <c r="AE4608" s="11" t="n"/>
      <c r="AG4608">
        <f>IF($C4608="","",IF(COUNTIF($C$2:$C4608,$C4608)=1,1,0))</f>
        <v/>
      </c>
      <c r="AH4608">
        <f>IF($AG4608=1,SUMPRODUCT(--($AK$2:$AK$6001&lt;$AK4608))+1,"")</f>
        <v/>
      </c>
      <c r="AI4608">
        <f>IF($C4608="","",IF(OR($N4608=TRUE(),$N4608="TRUE"),1,0))</f>
        <v/>
      </c>
      <c r="AJ4608">
        <f>IF($C4608="","",IF($T4608="Yes",1,0))</f>
        <v/>
      </c>
      <c r="AK4608">
        <f>IF($AG4608=1,IFERROR(IF(VALUE($C4608)&lt;100000000,VALUE($C4608),1000000000),IFERROR(IF(VALUE(MID($C4608,2,20))&lt;100000000,VALUE(MID($C4608,2,20)),1000000000),1000000000))+ROW()/100000,"")</f>
        <v/>
      </c>
    </row>
    <row r="4609">
      <c r="D4609" s="11" t="n"/>
      <c r="K4609" s="7">
        <f>IF($C4609="","",J4609*W4609/100)</f>
        <v/>
      </c>
      <c r="Q4609" s="7" t="n"/>
      <c r="R4609" s="7" t="n"/>
      <c r="U4609">
        <f>IF($C4609="","",IF($AJ4609=1,0,IF($AI4609=1,Settings!$C$6,Settings!$C$7))*100)</f>
        <v/>
      </c>
      <c r="V4609" s="7">
        <f>IF($C4609="","",R4609*U4609/100)</f>
        <v/>
      </c>
      <c r="W4609" s="7">
        <f>IF($C4609="","",R4609-V4609)</f>
        <v/>
      </c>
      <c r="X4609" s="7">
        <f>IF($C4609="","",W4609-K4609)</f>
        <v/>
      </c>
      <c r="AB4609" s="7" t="n"/>
      <c r="AE4609" s="11" t="n"/>
      <c r="AG4609">
        <f>IF($C4609="","",IF(COUNTIF($C$2:$C4609,$C4609)=1,1,0))</f>
        <v/>
      </c>
      <c r="AH4609">
        <f>IF($AG4609=1,SUMPRODUCT(--($AK$2:$AK$6001&lt;$AK4609))+1,"")</f>
        <v/>
      </c>
      <c r="AI4609">
        <f>IF($C4609="","",IF(OR($N4609=TRUE(),$N4609="TRUE"),1,0))</f>
        <v/>
      </c>
      <c r="AJ4609">
        <f>IF($C4609="","",IF($T4609="Yes",1,0))</f>
        <v/>
      </c>
      <c r="AK4609">
        <f>IF($AG4609=1,IFERROR(IF(VALUE($C4609)&lt;100000000,VALUE($C4609),1000000000),IFERROR(IF(VALUE(MID($C4609,2,20))&lt;100000000,VALUE(MID($C4609,2,20)),1000000000),1000000000))+ROW()/100000,"")</f>
        <v/>
      </c>
    </row>
    <row r="4610">
      <c r="D4610" s="11" t="n"/>
      <c r="K4610" s="7">
        <f>IF($C4610="","",J4610*W4610/100)</f>
        <v/>
      </c>
      <c r="Q4610" s="7" t="n"/>
      <c r="R4610" s="7" t="n"/>
      <c r="U4610">
        <f>IF($C4610="","",IF($AJ4610=1,0,IF($AI4610=1,Settings!$C$6,Settings!$C$7))*100)</f>
        <v/>
      </c>
      <c r="V4610" s="7">
        <f>IF($C4610="","",R4610*U4610/100)</f>
        <v/>
      </c>
      <c r="W4610" s="7">
        <f>IF($C4610="","",R4610-V4610)</f>
        <v/>
      </c>
      <c r="X4610" s="7">
        <f>IF($C4610="","",W4610-K4610)</f>
        <v/>
      </c>
      <c r="AB4610" s="7" t="n"/>
      <c r="AE4610" s="11" t="n"/>
      <c r="AG4610">
        <f>IF($C4610="","",IF(COUNTIF($C$2:$C4610,$C4610)=1,1,0))</f>
        <v/>
      </c>
      <c r="AH4610">
        <f>IF($AG4610=1,SUMPRODUCT(--($AK$2:$AK$6001&lt;$AK4610))+1,"")</f>
        <v/>
      </c>
      <c r="AI4610">
        <f>IF($C4610="","",IF(OR($N4610=TRUE(),$N4610="TRUE"),1,0))</f>
        <v/>
      </c>
      <c r="AJ4610">
        <f>IF($C4610="","",IF($T4610="Yes",1,0))</f>
        <v/>
      </c>
      <c r="AK4610">
        <f>IF($AG4610=1,IFERROR(IF(VALUE($C4610)&lt;100000000,VALUE($C4610),1000000000),IFERROR(IF(VALUE(MID($C4610,2,20))&lt;100000000,VALUE(MID($C4610,2,20)),1000000000),1000000000))+ROW()/100000,"")</f>
        <v/>
      </c>
    </row>
    <row r="4611">
      <c r="D4611" s="11" t="n"/>
      <c r="K4611" s="7">
        <f>IF($C4611="","",J4611*W4611/100)</f>
        <v/>
      </c>
      <c r="Q4611" s="7" t="n"/>
      <c r="R4611" s="7" t="n"/>
      <c r="U4611">
        <f>IF($C4611="","",IF($AJ4611=1,0,IF($AI4611=1,Settings!$C$6,Settings!$C$7))*100)</f>
        <v/>
      </c>
      <c r="V4611" s="7">
        <f>IF($C4611="","",R4611*U4611/100)</f>
        <v/>
      </c>
      <c r="W4611" s="7">
        <f>IF($C4611="","",R4611-V4611)</f>
        <v/>
      </c>
      <c r="X4611" s="7">
        <f>IF($C4611="","",W4611-K4611)</f>
        <v/>
      </c>
      <c r="AB4611" s="7" t="n"/>
      <c r="AE4611" s="11" t="n"/>
      <c r="AG4611">
        <f>IF($C4611="","",IF(COUNTIF($C$2:$C4611,$C4611)=1,1,0))</f>
        <v/>
      </c>
      <c r="AH4611">
        <f>IF($AG4611=1,SUMPRODUCT(--($AK$2:$AK$6001&lt;$AK4611))+1,"")</f>
        <v/>
      </c>
      <c r="AI4611">
        <f>IF($C4611="","",IF(OR($N4611=TRUE(),$N4611="TRUE"),1,0))</f>
        <v/>
      </c>
      <c r="AJ4611">
        <f>IF($C4611="","",IF($T4611="Yes",1,0))</f>
        <v/>
      </c>
      <c r="AK4611">
        <f>IF($AG4611=1,IFERROR(IF(VALUE($C4611)&lt;100000000,VALUE($C4611),1000000000),IFERROR(IF(VALUE(MID($C4611,2,20))&lt;100000000,VALUE(MID($C4611,2,20)),1000000000),1000000000))+ROW()/100000,"")</f>
        <v/>
      </c>
    </row>
    <row r="4612">
      <c r="D4612" s="11" t="n"/>
      <c r="K4612" s="7">
        <f>IF($C4612="","",J4612*W4612/100)</f>
        <v/>
      </c>
      <c r="Q4612" s="7" t="n"/>
      <c r="R4612" s="7" t="n"/>
      <c r="U4612">
        <f>IF($C4612="","",IF($AJ4612=1,0,IF($AI4612=1,Settings!$C$6,Settings!$C$7))*100)</f>
        <v/>
      </c>
      <c r="V4612" s="7">
        <f>IF($C4612="","",R4612*U4612/100)</f>
        <v/>
      </c>
      <c r="W4612" s="7">
        <f>IF($C4612="","",R4612-V4612)</f>
        <v/>
      </c>
      <c r="X4612" s="7">
        <f>IF($C4612="","",W4612-K4612)</f>
        <v/>
      </c>
      <c r="AB4612" s="7" t="n"/>
      <c r="AE4612" s="11" t="n"/>
      <c r="AG4612">
        <f>IF($C4612="","",IF(COUNTIF($C$2:$C4612,$C4612)=1,1,0))</f>
        <v/>
      </c>
      <c r="AH4612">
        <f>IF($AG4612=1,SUMPRODUCT(--($AK$2:$AK$6001&lt;$AK4612))+1,"")</f>
        <v/>
      </c>
      <c r="AI4612">
        <f>IF($C4612="","",IF(OR($N4612=TRUE(),$N4612="TRUE"),1,0))</f>
        <v/>
      </c>
      <c r="AJ4612">
        <f>IF($C4612="","",IF($T4612="Yes",1,0))</f>
        <v/>
      </c>
      <c r="AK4612">
        <f>IF($AG4612=1,IFERROR(IF(VALUE($C4612)&lt;100000000,VALUE($C4612),1000000000),IFERROR(IF(VALUE(MID($C4612,2,20))&lt;100000000,VALUE(MID($C4612,2,20)),1000000000),1000000000))+ROW()/100000,"")</f>
        <v/>
      </c>
    </row>
    <row r="4613">
      <c r="D4613" s="11" t="n"/>
      <c r="K4613" s="7">
        <f>IF($C4613="","",J4613*W4613/100)</f>
        <v/>
      </c>
      <c r="Q4613" s="7" t="n"/>
      <c r="R4613" s="7" t="n"/>
      <c r="U4613">
        <f>IF($C4613="","",IF($AJ4613=1,0,IF($AI4613=1,Settings!$C$6,Settings!$C$7))*100)</f>
        <v/>
      </c>
      <c r="V4613" s="7">
        <f>IF($C4613="","",R4613*U4613/100)</f>
        <v/>
      </c>
      <c r="W4613" s="7">
        <f>IF($C4613="","",R4613-V4613)</f>
        <v/>
      </c>
      <c r="X4613" s="7">
        <f>IF($C4613="","",W4613-K4613)</f>
        <v/>
      </c>
      <c r="AB4613" s="7" t="n"/>
      <c r="AE4613" s="11" t="n"/>
      <c r="AG4613">
        <f>IF($C4613="","",IF(COUNTIF($C$2:$C4613,$C4613)=1,1,0))</f>
        <v/>
      </c>
      <c r="AH4613">
        <f>IF($AG4613=1,SUMPRODUCT(--($AK$2:$AK$6001&lt;$AK4613))+1,"")</f>
        <v/>
      </c>
      <c r="AI4613">
        <f>IF($C4613="","",IF(OR($N4613=TRUE(),$N4613="TRUE"),1,0))</f>
        <v/>
      </c>
      <c r="AJ4613">
        <f>IF($C4613="","",IF($T4613="Yes",1,0))</f>
        <v/>
      </c>
      <c r="AK4613">
        <f>IF($AG4613=1,IFERROR(IF(VALUE($C4613)&lt;100000000,VALUE($C4613),1000000000),IFERROR(IF(VALUE(MID($C4613,2,20))&lt;100000000,VALUE(MID($C4613,2,20)),1000000000),1000000000))+ROW()/100000,"")</f>
        <v/>
      </c>
    </row>
    <row r="4614">
      <c r="D4614" s="11" t="n"/>
      <c r="K4614" s="7">
        <f>IF($C4614="","",J4614*W4614/100)</f>
        <v/>
      </c>
      <c r="Q4614" s="7" t="n"/>
      <c r="R4614" s="7" t="n"/>
      <c r="U4614">
        <f>IF($C4614="","",IF($AJ4614=1,0,IF($AI4614=1,Settings!$C$6,Settings!$C$7))*100)</f>
        <v/>
      </c>
      <c r="V4614" s="7">
        <f>IF($C4614="","",R4614*U4614/100)</f>
        <v/>
      </c>
      <c r="W4614" s="7">
        <f>IF($C4614="","",R4614-V4614)</f>
        <v/>
      </c>
      <c r="X4614" s="7">
        <f>IF($C4614="","",W4614-K4614)</f>
        <v/>
      </c>
      <c r="AB4614" s="7" t="n"/>
      <c r="AE4614" s="11" t="n"/>
      <c r="AG4614">
        <f>IF($C4614="","",IF(COUNTIF($C$2:$C4614,$C4614)=1,1,0))</f>
        <v/>
      </c>
      <c r="AH4614">
        <f>IF($AG4614=1,SUMPRODUCT(--($AK$2:$AK$6001&lt;$AK4614))+1,"")</f>
        <v/>
      </c>
      <c r="AI4614">
        <f>IF($C4614="","",IF(OR($N4614=TRUE(),$N4614="TRUE"),1,0))</f>
        <v/>
      </c>
      <c r="AJ4614">
        <f>IF($C4614="","",IF($T4614="Yes",1,0))</f>
        <v/>
      </c>
      <c r="AK4614">
        <f>IF($AG4614=1,IFERROR(IF(VALUE($C4614)&lt;100000000,VALUE($C4614),1000000000),IFERROR(IF(VALUE(MID($C4614,2,20))&lt;100000000,VALUE(MID($C4614,2,20)),1000000000),1000000000))+ROW()/100000,"")</f>
        <v/>
      </c>
    </row>
    <row r="4615">
      <c r="D4615" s="11" t="n"/>
      <c r="K4615" s="7">
        <f>IF($C4615="","",J4615*W4615/100)</f>
        <v/>
      </c>
      <c r="Q4615" s="7" t="n"/>
      <c r="R4615" s="7" t="n"/>
      <c r="U4615">
        <f>IF($C4615="","",IF($AJ4615=1,0,IF($AI4615=1,Settings!$C$6,Settings!$C$7))*100)</f>
        <v/>
      </c>
      <c r="V4615" s="7">
        <f>IF($C4615="","",R4615*U4615/100)</f>
        <v/>
      </c>
      <c r="W4615" s="7">
        <f>IF($C4615="","",R4615-V4615)</f>
        <v/>
      </c>
      <c r="X4615" s="7">
        <f>IF($C4615="","",W4615-K4615)</f>
        <v/>
      </c>
      <c r="AB4615" s="7" t="n"/>
      <c r="AE4615" s="11" t="n"/>
      <c r="AG4615">
        <f>IF($C4615="","",IF(COUNTIF($C$2:$C4615,$C4615)=1,1,0))</f>
        <v/>
      </c>
      <c r="AH4615">
        <f>IF($AG4615=1,SUMPRODUCT(--($AK$2:$AK$6001&lt;$AK4615))+1,"")</f>
        <v/>
      </c>
      <c r="AI4615">
        <f>IF($C4615="","",IF(OR($N4615=TRUE(),$N4615="TRUE"),1,0))</f>
        <v/>
      </c>
      <c r="AJ4615">
        <f>IF($C4615="","",IF($T4615="Yes",1,0))</f>
        <v/>
      </c>
      <c r="AK4615">
        <f>IF($AG4615=1,IFERROR(IF(VALUE($C4615)&lt;100000000,VALUE($C4615),1000000000),IFERROR(IF(VALUE(MID($C4615,2,20))&lt;100000000,VALUE(MID($C4615,2,20)),1000000000),1000000000))+ROW()/100000,"")</f>
        <v/>
      </c>
    </row>
    <row r="4616">
      <c r="D4616" s="11" t="n"/>
      <c r="K4616" s="7">
        <f>IF($C4616="","",J4616*W4616/100)</f>
        <v/>
      </c>
      <c r="Q4616" s="7" t="n"/>
      <c r="R4616" s="7" t="n"/>
      <c r="U4616">
        <f>IF($C4616="","",IF($AJ4616=1,0,IF($AI4616=1,Settings!$C$6,Settings!$C$7))*100)</f>
        <v/>
      </c>
      <c r="V4616" s="7">
        <f>IF($C4616="","",R4616*U4616/100)</f>
        <v/>
      </c>
      <c r="W4616" s="7">
        <f>IF($C4616="","",R4616-V4616)</f>
        <v/>
      </c>
      <c r="X4616" s="7">
        <f>IF($C4616="","",W4616-K4616)</f>
        <v/>
      </c>
      <c r="AB4616" s="7" t="n"/>
      <c r="AE4616" s="11" t="n"/>
      <c r="AG4616">
        <f>IF($C4616="","",IF(COUNTIF($C$2:$C4616,$C4616)=1,1,0))</f>
        <v/>
      </c>
      <c r="AH4616">
        <f>IF($AG4616=1,SUMPRODUCT(--($AK$2:$AK$6001&lt;$AK4616))+1,"")</f>
        <v/>
      </c>
      <c r="AI4616">
        <f>IF($C4616="","",IF(OR($N4616=TRUE(),$N4616="TRUE"),1,0))</f>
        <v/>
      </c>
      <c r="AJ4616">
        <f>IF($C4616="","",IF($T4616="Yes",1,0))</f>
        <v/>
      </c>
      <c r="AK4616">
        <f>IF($AG4616=1,IFERROR(IF(VALUE($C4616)&lt;100000000,VALUE($C4616),1000000000),IFERROR(IF(VALUE(MID($C4616,2,20))&lt;100000000,VALUE(MID($C4616,2,20)),1000000000),1000000000))+ROW()/100000,"")</f>
        <v/>
      </c>
    </row>
    <row r="4617">
      <c r="D4617" s="11" t="n"/>
      <c r="K4617" s="7">
        <f>IF($C4617="","",J4617*W4617/100)</f>
        <v/>
      </c>
      <c r="Q4617" s="7" t="n"/>
      <c r="R4617" s="7" t="n"/>
      <c r="U4617">
        <f>IF($C4617="","",IF($AJ4617=1,0,IF($AI4617=1,Settings!$C$6,Settings!$C$7))*100)</f>
        <v/>
      </c>
      <c r="V4617" s="7">
        <f>IF($C4617="","",R4617*U4617/100)</f>
        <v/>
      </c>
      <c r="W4617" s="7">
        <f>IF($C4617="","",R4617-V4617)</f>
        <v/>
      </c>
      <c r="X4617" s="7">
        <f>IF($C4617="","",W4617-K4617)</f>
        <v/>
      </c>
      <c r="AB4617" s="7" t="n"/>
      <c r="AE4617" s="11" t="n"/>
      <c r="AG4617">
        <f>IF($C4617="","",IF(COUNTIF($C$2:$C4617,$C4617)=1,1,0))</f>
        <v/>
      </c>
      <c r="AH4617">
        <f>IF($AG4617=1,SUMPRODUCT(--($AK$2:$AK$6001&lt;$AK4617))+1,"")</f>
        <v/>
      </c>
      <c r="AI4617">
        <f>IF($C4617="","",IF(OR($N4617=TRUE(),$N4617="TRUE"),1,0))</f>
        <v/>
      </c>
      <c r="AJ4617">
        <f>IF($C4617="","",IF($T4617="Yes",1,0))</f>
        <v/>
      </c>
      <c r="AK4617">
        <f>IF($AG4617=1,IFERROR(IF(VALUE($C4617)&lt;100000000,VALUE($C4617),1000000000),IFERROR(IF(VALUE(MID($C4617,2,20))&lt;100000000,VALUE(MID($C4617,2,20)),1000000000),1000000000))+ROW()/100000,"")</f>
        <v/>
      </c>
    </row>
    <row r="4618">
      <c r="D4618" s="11" t="n"/>
      <c r="K4618" s="7">
        <f>IF($C4618="","",J4618*W4618/100)</f>
        <v/>
      </c>
      <c r="Q4618" s="7" t="n"/>
      <c r="R4618" s="7" t="n"/>
      <c r="U4618">
        <f>IF($C4618="","",IF($AJ4618=1,0,IF($AI4618=1,Settings!$C$6,Settings!$C$7))*100)</f>
        <v/>
      </c>
      <c r="V4618" s="7">
        <f>IF($C4618="","",R4618*U4618/100)</f>
        <v/>
      </c>
      <c r="W4618" s="7">
        <f>IF($C4618="","",R4618-V4618)</f>
        <v/>
      </c>
      <c r="X4618" s="7">
        <f>IF($C4618="","",W4618-K4618)</f>
        <v/>
      </c>
      <c r="AB4618" s="7" t="n"/>
      <c r="AE4618" s="11" t="n"/>
      <c r="AG4618">
        <f>IF($C4618="","",IF(COUNTIF($C$2:$C4618,$C4618)=1,1,0))</f>
        <v/>
      </c>
      <c r="AH4618">
        <f>IF($AG4618=1,SUMPRODUCT(--($AK$2:$AK$6001&lt;$AK4618))+1,"")</f>
        <v/>
      </c>
      <c r="AI4618">
        <f>IF($C4618="","",IF(OR($N4618=TRUE(),$N4618="TRUE"),1,0))</f>
        <v/>
      </c>
      <c r="AJ4618">
        <f>IF($C4618="","",IF($T4618="Yes",1,0))</f>
        <v/>
      </c>
      <c r="AK4618">
        <f>IF($AG4618=1,IFERROR(IF(VALUE($C4618)&lt;100000000,VALUE($C4618),1000000000),IFERROR(IF(VALUE(MID($C4618,2,20))&lt;100000000,VALUE(MID($C4618,2,20)),1000000000),1000000000))+ROW()/100000,"")</f>
        <v/>
      </c>
    </row>
    <row r="4619">
      <c r="D4619" s="11" t="n"/>
      <c r="K4619" s="7">
        <f>IF($C4619="","",J4619*W4619/100)</f>
        <v/>
      </c>
      <c r="Q4619" s="7" t="n"/>
      <c r="R4619" s="7" t="n"/>
      <c r="U4619">
        <f>IF($C4619="","",IF($AJ4619=1,0,IF($AI4619=1,Settings!$C$6,Settings!$C$7))*100)</f>
        <v/>
      </c>
      <c r="V4619" s="7">
        <f>IF($C4619="","",R4619*U4619/100)</f>
        <v/>
      </c>
      <c r="W4619" s="7">
        <f>IF($C4619="","",R4619-V4619)</f>
        <v/>
      </c>
      <c r="X4619" s="7">
        <f>IF($C4619="","",W4619-K4619)</f>
        <v/>
      </c>
      <c r="AB4619" s="7" t="n"/>
      <c r="AE4619" s="11" t="n"/>
      <c r="AG4619">
        <f>IF($C4619="","",IF(COUNTIF($C$2:$C4619,$C4619)=1,1,0))</f>
        <v/>
      </c>
      <c r="AH4619">
        <f>IF($AG4619=1,SUMPRODUCT(--($AK$2:$AK$6001&lt;$AK4619))+1,"")</f>
        <v/>
      </c>
      <c r="AI4619">
        <f>IF($C4619="","",IF(OR($N4619=TRUE(),$N4619="TRUE"),1,0))</f>
        <v/>
      </c>
      <c r="AJ4619">
        <f>IF($C4619="","",IF($T4619="Yes",1,0))</f>
        <v/>
      </c>
      <c r="AK4619">
        <f>IF($AG4619=1,IFERROR(IF(VALUE($C4619)&lt;100000000,VALUE($C4619),1000000000),IFERROR(IF(VALUE(MID($C4619,2,20))&lt;100000000,VALUE(MID($C4619,2,20)),1000000000),1000000000))+ROW()/100000,"")</f>
        <v/>
      </c>
    </row>
    <row r="4620">
      <c r="D4620" s="11" t="n"/>
      <c r="K4620" s="7">
        <f>IF($C4620="","",J4620*W4620/100)</f>
        <v/>
      </c>
      <c r="Q4620" s="7" t="n"/>
      <c r="R4620" s="7" t="n"/>
      <c r="U4620">
        <f>IF($C4620="","",IF($AJ4620=1,0,IF($AI4620=1,Settings!$C$6,Settings!$C$7))*100)</f>
        <v/>
      </c>
      <c r="V4620" s="7">
        <f>IF($C4620="","",R4620*U4620/100)</f>
        <v/>
      </c>
      <c r="W4620" s="7">
        <f>IF($C4620="","",R4620-V4620)</f>
        <v/>
      </c>
      <c r="X4620" s="7">
        <f>IF($C4620="","",W4620-K4620)</f>
        <v/>
      </c>
      <c r="AB4620" s="7" t="n"/>
      <c r="AE4620" s="11" t="n"/>
      <c r="AG4620">
        <f>IF($C4620="","",IF(COUNTIF($C$2:$C4620,$C4620)=1,1,0))</f>
        <v/>
      </c>
      <c r="AH4620">
        <f>IF($AG4620=1,SUMPRODUCT(--($AK$2:$AK$6001&lt;$AK4620))+1,"")</f>
        <v/>
      </c>
      <c r="AI4620">
        <f>IF($C4620="","",IF(OR($N4620=TRUE(),$N4620="TRUE"),1,0))</f>
        <v/>
      </c>
      <c r="AJ4620">
        <f>IF($C4620="","",IF($T4620="Yes",1,0))</f>
        <v/>
      </c>
      <c r="AK4620">
        <f>IF($AG4620=1,IFERROR(IF(VALUE($C4620)&lt;100000000,VALUE($C4620),1000000000),IFERROR(IF(VALUE(MID($C4620,2,20))&lt;100000000,VALUE(MID($C4620,2,20)),1000000000),1000000000))+ROW()/100000,"")</f>
        <v/>
      </c>
    </row>
    <row r="4621">
      <c r="D4621" s="11" t="n"/>
      <c r="K4621" s="7">
        <f>IF($C4621="","",J4621*W4621/100)</f>
        <v/>
      </c>
      <c r="Q4621" s="7" t="n"/>
      <c r="R4621" s="7" t="n"/>
      <c r="U4621">
        <f>IF($C4621="","",IF($AJ4621=1,0,IF($AI4621=1,Settings!$C$6,Settings!$C$7))*100)</f>
        <v/>
      </c>
      <c r="V4621" s="7">
        <f>IF($C4621="","",R4621*U4621/100)</f>
        <v/>
      </c>
      <c r="W4621" s="7">
        <f>IF($C4621="","",R4621-V4621)</f>
        <v/>
      </c>
      <c r="X4621" s="7">
        <f>IF($C4621="","",W4621-K4621)</f>
        <v/>
      </c>
      <c r="AB4621" s="7" t="n"/>
      <c r="AE4621" s="11" t="n"/>
      <c r="AG4621">
        <f>IF($C4621="","",IF(COUNTIF($C$2:$C4621,$C4621)=1,1,0))</f>
        <v/>
      </c>
      <c r="AH4621">
        <f>IF($AG4621=1,SUMPRODUCT(--($AK$2:$AK$6001&lt;$AK4621))+1,"")</f>
        <v/>
      </c>
      <c r="AI4621">
        <f>IF($C4621="","",IF(OR($N4621=TRUE(),$N4621="TRUE"),1,0))</f>
        <v/>
      </c>
      <c r="AJ4621">
        <f>IF($C4621="","",IF($T4621="Yes",1,0))</f>
        <v/>
      </c>
      <c r="AK4621">
        <f>IF($AG4621=1,IFERROR(IF(VALUE($C4621)&lt;100000000,VALUE($C4621),1000000000),IFERROR(IF(VALUE(MID($C4621,2,20))&lt;100000000,VALUE(MID($C4621,2,20)),1000000000),1000000000))+ROW()/100000,"")</f>
        <v/>
      </c>
    </row>
    <row r="4622">
      <c r="D4622" s="11" t="n"/>
      <c r="K4622" s="7">
        <f>IF($C4622="","",J4622*W4622/100)</f>
        <v/>
      </c>
      <c r="Q4622" s="7" t="n"/>
      <c r="R4622" s="7" t="n"/>
      <c r="U4622">
        <f>IF($C4622="","",IF($AJ4622=1,0,IF($AI4622=1,Settings!$C$6,Settings!$C$7))*100)</f>
        <v/>
      </c>
      <c r="V4622" s="7">
        <f>IF($C4622="","",R4622*U4622/100)</f>
        <v/>
      </c>
      <c r="W4622" s="7">
        <f>IF($C4622="","",R4622-V4622)</f>
        <v/>
      </c>
      <c r="X4622" s="7">
        <f>IF($C4622="","",W4622-K4622)</f>
        <v/>
      </c>
      <c r="AB4622" s="7" t="n"/>
      <c r="AE4622" s="11" t="n"/>
      <c r="AG4622">
        <f>IF($C4622="","",IF(COUNTIF($C$2:$C4622,$C4622)=1,1,0))</f>
        <v/>
      </c>
      <c r="AH4622">
        <f>IF($AG4622=1,SUMPRODUCT(--($AK$2:$AK$6001&lt;$AK4622))+1,"")</f>
        <v/>
      </c>
      <c r="AI4622">
        <f>IF($C4622="","",IF(OR($N4622=TRUE(),$N4622="TRUE"),1,0))</f>
        <v/>
      </c>
      <c r="AJ4622">
        <f>IF($C4622="","",IF($T4622="Yes",1,0))</f>
        <v/>
      </c>
      <c r="AK4622">
        <f>IF($AG4622=1,IFERROR(IF(VALUE($C4622)&lt;100000000,VALUE($C4622),1000000000),IFERROR(IF(VALUE(MID($C4622,2,20))&lt;100000000,VALUE(MID($C4622,2,20)),1000000000),1000000000))+ROW()/100000,"")</f>
        <v/>
      </c>
    </row>
    <row r="4623">
      <c r="D4623" s="11" t="n"/>
      <c r="K4623" s="7">
        <f>IF($C4623="","",J4623*W4623/100)</f>
        <v/>
      </c>
      <c r="Q4623" s="7" t="n"/>
      <c r="R4623" s="7" t="n"/>
      <c r="U4623">
        <f>IF($C4623="","",IF($AJ4623=1,0,IF($AI4623=1,Settings!$C$6,Settings!$C$7))*100)</f>
        <v/>
      </c>
      <c r="V4623" s="7">
        <f>IF($C4623="","",R4623*U4623/100)</f>
        <v/>
      </c>
      <c r="W4623" s="7">
        <f>IF($C4623="","",R4623-V4623)</f>
        <v/>
      </c>
      <c r="X4623" s="7">
        <f>IF($C4623="","",W4623-K4623)</f>
        <v/>
      </c>
      <c r="AB4623" s="7" t="n"/>
      <c r="AE4623" s="11" t="n"/>
      <c r="AG4623">
        <f>IF($C4623="","",IF(COUNTIF($C$2:$C4623,$C4623)=1,1,0))</f>
        <v/>
      </c>
      <c r="AH4623">
        <f>IF($AG4623=1,SUMPRODUCT(--($AK$2:$AK$6001&lt;$AK4623))+1,"")</f>
        <v/>
      </c>
      <c r="AI4623">
        <f>IF($C4623="","",IF(OR($N4623=TRUE(),$N4623="TRUE"),1,0))</f>
        <v/>
      </c>
      <c r="AJ4623">
        <f>IF($C4623="","",IF($T4623="Yes",1,0))</f>
        <v/>
      </c>
      <c r="AK4623">
        <f>IF($AG4623=1,IFERROR(IF(VALUE($C4623)&lt;100000000,VALUE($C4623),1000000000),IFERROR(IF(VALUE(MID($C4623,2,20))&lt;100000000,VALUE(MID($C4623,2,20)),1000000000),1000000000))+ROW()/100000,"")</f>
        <v/>
      </c>
    </row>
    <row r="4624">
      <c r="D4624" s="11" t="n"/>
      <c r="K4624" s="7">
        <f>IF($C4624="","",J4624*W4624/100)</f>
        <v/>
      </c>
      <c r="Q4624" s="7" t="n"/>
      <c r="R4624" s="7" t="n"/>
      <c r="U4624">
        <f>IF($C4624="","",IF($AJ4624=1,0,IF($AI4624=1,Settings!$C$6,Settings!$C$7))*100)</f>
        <v/>
      </c>
      <c r="V4624" s="7">
        <f>IF($C4624="","",R4624*U4624/100)</f>
        <v/>
      </c>
      <c r="W4624" s="7">
        <f>IF($C4624="","",R4624-V4624)</f>
        <v/>
      </c>
      <c r="X4624" s="7">
        <f>IF($C4624="","",W4624-K4624)</f>
        <v/>
      </c>
      <c r="AB4624" s="7" t="n"/>
      <c r="AE4624" s="11" t="n"/>
      <c r="AG4624">
        <f>IF($C4624="","",IF(COUNTIF($C$2:$C4624,$C4624)=1,1,0))</f>
        <v/>
      </c>
      <c r="AH4624">
        <f>IF($AG4624=1,SUMPRODUCT(--($AK$2:$AK$6001&lt;$AK4624))+1,"")</f>
        <v/>
      </c>
      <c r="AI4624">
        <f>IF($C4624="","",IF(OR($N4624=TRUE(),$N4624="TRUE"),1,0))</f>
        <v/>
      </c>
      <c r="AJ4624">
        <f>IF($C4624="","",IF($T4624="Yes",1,0))</f>
        <v/>
      </c>
      <c r="AK4624">
        <f>IF($AG4624=1,IFERROR(IF(VALUE($C4624)&lt;100000000,VALUE($C4624),1000000000),IFERROR(IF(VALUE(MID($C4624,2,20))&lt;100000000,VALUE(MID($C4624,2,20)),1000000000),1000000000))+ROW()/100000,"")</f>
        <v/>
      </c>
    </row>
    <row r="4625">
      <c r="D4625" s="11" t="n"/>
      <c r="K4625" s="7">
        <f>IF($C4625="","",J4625*W4625/100)</f>
        <v/>
      </c>
      <c r="Q4625" s="7" t="n"/>
      <c r="R4625" s="7" t="n"/>
      <c r="U4625">
        <f>IF($C4625="","",IF($AJ4625=1,0,IF($AI4625=1,Settings!$C$6,Settings!$C$7))*100)</f>
        <v/>
      </c>
      <c r="V4625" s="7">
        <f>IF($C4625="","",R4625*U4625/100)</f>
        <v/>
      </c>
      <c r="W4625" s="7">
        <f>IF($C4625="","",R4625-V4625)</f>
        <v/>
      </c>
      <c r="X4625" s="7">
        <f>IF($C4625="","",W4625-K4625)</f>
        <v/>
      </c>
      <c r="AB4625" s="7" t="n"/>
      <c r="AE4625" s="11" t="n"/>
      <c r="AG4625">
        <f>IF($C4625="","",IF(COUNTIF($C$2:$C4625,$C4625)=1,1,0))</f>
        <v/>
      </c>
      <c r="AH4625">
        <f>IF($AG4625=1,SUMPRODUCT(--($AK$2:$AK$6001&lt;$AK4625))+1,"")</f>
        <v/>
      </c>
      <c r="AI4625">
        <f>IF($C4625="","",IF(OR($N4625=TRUE(),$N4625="TRUE"),1,0))</f>
        <v/>
      </c>
      <c r="AJ4625">
        <f>IF($C4625="","",IF($T4625="Yes",1,0))</f>
        <v/>
      </c>
      <c r="AK4625">
        <f>IF($AG4625=1,IFERROR(IF(VALUE($C4625)&lt;100000000,VALUE($C4625),1000000000),IFERROR(IF(VALUE(MID($C4625,2,20))&lt;100000000,VALUE(MID($C4625,2,20)),1000000000),1000000000))+ROW()/100000,"")</f>
        <v/>
      </c>
    </row>
    <row r="4626">
      <c r="D4626" s="11" t="n"/>
      <c r="K4626" s="7">
        <f>IF($C4626="","",J4626*W4626/100)</f>
        <v/>
      </c>
      <c r="Q4626" s="7" t="n"/>
      <c r="R4626" s="7" t="n"/>
      <c r="U4626">
        <f>IF($C4626="","",IF($AJ4626=1,0,IF($AI4626=1,Settings!$C$6,Settings!$C$7))*100)</f>
        <v/>
      </c>
      <c r="V4626" s="7">
        <f>IF($C4626="","",R4626*U4626/100)</f>
        <v/>
      </c>
      <c r="W4626" s="7">
        <f>IF($C4626="","",R4626-V4626)</f>
        <v/>
      </c>
      <c r="X4626" s="7">
        <f>IF($C4626="","",W4626-K4626)</f>
        <v/>
      </c>
      <c r="AB4626" s="7" t="n"/>
      <c r="AE4626" s="11" t="n"/>
      <c r="AG4626">
        <f>IF($C4626="","",IF(COUNTIF($C$2:$C4626,$C4626)=1,1,0))</f>
        <v/>
      </c>
      <c r="AH4626">
        <f>IF($AG4626=1,SUMPRODUCT(--($AK$2:$AK$6001&lt;$AK4626))+1,"")</f>
        <v/>
      </c>
      <c r="AI4626">
        <f>IF($C4626="","",IF(OR($N4626=TRUE(),$N4626="TRUE"),1,0))</f>
        <v/>
      </c>
      <c r="AJ4626">
        <f>IF($C4626="","",IF($T4626="Yes",1,0))</f>
        <v/>
      </c>
      <c r="AK4626">
        <f>IF($AG4626=1,IFERROR(IF(VALUE($C4626)&lt;100000000,VALUE($C4626),1000000000),IFERROR(IF(VALUE(MID($C4626,2,20))&lt;100000000,VALUE(MID($C4626,2,20)),1000000000),1000000000))+ROW()/100000,"")</f>
        <v/>
      </c>
    </row>
    <row r="4627">
      <c r="D4627" s="11" t="n"/>
      <c r="K4627" s="7">
        <f>IF($C4627="","",J4627*W4627/100)</f>
        <v/>
      </c>
      <c r="Q4627" s="7" t="n"/>
      <c r="R4627" s="7" t="n"/>
      <c r="U4627">
        <f>IF($C4627="","",IF($AJ4627=1,0,IF($AI4627=1,Settings!$C$6,Settings!$C$7))*100)</f>
        <v/>
      </c>
      <c r="V4627" s="7">
        <f>IF($C4627="","",R4627*U4627/100)</f>
        <v/>
      </c>
      <c r="W4627" s="7">
        <f>IF($C4627="","",R4627-V4627)</f>
        <v/>
      </c>
      <c r="X4627" s="7">
        <f>IF($C4627="","",W4627-K4627)</f>
        <v/>
      </c>
      <c r="AB4627" s="7" t="n"/>
      <c r="AE4627" s="11" t="n"/>
      <c r="AG4627">
        <f>IF($C4627="","",IF(COUNTIF($C$2:$C4627,$C4627)=1,1,0))</f>
        <v/>
      </c>
      <c r="AH4627">
        <f>IF($AG4627=1,SUMPRODUCT(--($AK$2:$AK$6001&lt;$AK4627))+1,"")</f>
        <v/>
      </c>
      <c r="AI4627">
        <f>IF($C4627="","",IF(OR($N4627=TRUE(),$N4627="TRUE"),1,0))</f>
        <v/>
      </c>
      <c r="AJ4627">
        <f>IF($C4627="","",IF($T4627="Yes",1,0))</f>
        <v/>
      </c>
      <c r="AK4627">
        <f>IF($AG4627=1,IFERROR(IF(VALUE($C4627)&lt;100000000,VALUE($C4627),1000000000),IFERROR(IF(VALUE(MID($C4627,2,20))&lt;100000000,VALUE(MID($C4627,2,20)),1000000000),1000000000))+ROW()/100000,"")</f>
        <v/>
      </c>
    </row>
    <row r="4628">
      <c r="D4628" s="11" t="n"/>
      <c r="K4628" s="7">
        <f>IF($C4628="","",J4628*W4628/100)</f>
        <v/>
      </c>
      <c r="Q4628" s="7" t="n"/>
      <c r="R4628" s="7" t="n"/>
      <c r="U4628">
        <f>IF($C4628="","",IF($AJ4628=1,0,IF($AI4628=1,Settings!$C$6,Settings!$C$7))*100)</f>
        <v/>
      </c>
      <c r="V4628" s="7">
        <f>IF($C4628="","",R4628*U4628/100)</f>
        <v/>
      </c>
      <c r="W4628" s="7">
        <f>IF($C4628="","",R4628-V4628)</f>
        <v/>
      </c>
      <c r="X4628" s="7">
        <f>IF($C4628="","",W4628-K4628)</f>
        <v/>
      </c>
      <c r="AB4628" s="7" t="n"/>
      <c r="AE4628" s="11" t="n"/>
      <c r="AG4628">
        <f>IF($C4628="","",IF(COUNTIF($C$2:$C4628,$C4628)=1,1,0))</f>
        <v/>
      </c>
      <c r="AH4628">
        <f>IF($AG4628=1,SUMPRODUCT(--($AK$2:$AK$6001&lt;$AK4628))+1,"")</f>
        <v/>
      </c>
      <c r="AI4628">
        <f>IF($C4628="","",IF(OR($N4628=TRUE(),$N4628="TRUE"),1,0))</f>
        <v/>
      </c>
      <c r="AJ4628">
        <f>IF($C4628="","",IF($T4628="Yes",1,0))</f>
        <v/>
      </c>
      <c r="AK4628">
        <f>IF($AG4628=1,IFERROR(IF(VALUE($C4628)&lt;100000000,VALUE($C4628),1000000000),IFERROR(IF(VALUE(MID($C4628,2,20))&lt;100000000,VALUE(MID($C4628,2,20)),1000000000),1000000000))+ROW()/100000,"")</f>
        <v/>
      </c>
    </row>
    <row r="4629">
      <c r="D4629" s="11" t="n"/>
      <c r="K4629" s="7">
        <f>IF($C4629="","",J4629*W4629/100)</f>
        <v/>
      </c>
      <c r="Q4629" s="7" t="n"/>
      <c r="R4629" s="7" t="n"/>
      <c r="U4629">
        <f>IF($C4629="","",IF($AJ4629=1,0,IF($AI4629=1,Settings!$C$6,Settings!$C$7))*100)</f>
        <v/>
      </c>
      <c r="V4629" s="7">
        <f>IF($C4629="","",R4629*U4629/100)</f>
        <v/>
      </c>
      <c r="W4629" s="7">
        <f>IF($C4629="","",R4629-V4629)</f>
        <v/>
      </c>
      <c r="X4629" s="7">
        <f>IF($C4629="","",W4629-K4629)</f>
        <v/>
      </c>
      <c r="AB4629" s="7" t="n"/>
      <c r="AE4629" s="11" t="n"/>
      <c r="AG4629">
        <f>IF($C4629="","",IF(COUNTIF($C$2:$C4629,$C4629)=1,1,0))</f>
        <v/>
      </c>
      <c r="AH4629">
        <f>IF($AG4629=1,SUMPRODUCT(--($AK$2:$AK$6001&lt;$AK4629))+1,"")</f>
        <v/>
      </c>
      <c r="AI4629">
        <f>IF($C4629="","",IF(OR($N4629=TRUE(),$N4629="TRUE"),1,0))</f>
        <v/>
      </c>
      <c r="AJ4629">
        <f>IF($C4629="","",IF($T4629="Yes",1,0))</f>
        <v/>
      </c>
      <c r="AK4629">
        <f>IF($AG4629=1,IFERROR(IF(VALUE($C4629)&lt;100000000,VALUE($C4629),1000000000),IFERROR(IF(VALUE(MID($C4629,2,20))&lt;100000000,VALUE(MID($C4629,2,20)),1000000000),1000000000))+ROW()/100000,"")</f>
        <v/>
      </c>
    </row>
    <row r="4630">
      <c r="D4630" s="11" t="n"/>
      <c r="K4630" s="7">
        <f>IF($C4630="","",J4630*W4630/100)</f>
        <v/>
      </c>
      <c r="Q4630" s="7" t="n"/>
      <c r="R4630" s="7" t="n"/>
      <c r="U4630">
        <f>IF($C4630="","",IF($AJ4630=1,0,IF($AI4630=1,Settings!$C$6,Settings!$C$7))*100)</f>
        <v/>
      </c>
      <c r="V4630" s="7">
        <f>IF($C4630="","",R4630*U4630/100)</f>
        <v/>
      </c>
      <c r="W4630" s="7">
        <f>IF($C4630="","",R4630-V4630)</f>
        <v/>
      </c>
      <c r="X4630" s="7">
        <f>IF($C4630="","",W4630-K4630)</f>
        <v/>
      </c>
      <c r="AB4630" s="7" t="n"/>
      <c r="AE4630" s="11" t="n"/>
      <c r="AG4630">
        <f>IF($C4630="","",IF(COUNTIF($C$2:$C4630,$C4630)=1,1,0))</f>
        <v/>
      </c>
      <c r="AH4630">
        <f>IF($AG4630=1,SUMPRODUCT(--($AK$2:$AK$6001&lt;$AK4630))+1,"")</f>
        <v/>
      </c>
      <c r="AI4630">
        <f>IF($C4630="","",IF(OR($N4630=TRUE(),$N4630="TRUE"),1,0))</f>
        <v/>
      </c>
      <c r="AJ4630">
        <f>IF($C4630="","",IF($T4630="Yes",1,0))</f>
        <v/>
      </c>
      <c r="AK4630">
        <f>IF($AG4630=1,IFERROR(IF(VALUE($C4630)&lt;100000000,VALUE($C4630),1000000000),IFERROR(IF(VALUE(MID($C4630,2,20))&lt;100000000,VALUE(MID($C4630,2,20)),1000000000),1000000000))+ROW()/100000,"")</f>
        <v/>
      </c>
    </row>
    <row r="4631">
      <c r="D4631" s="11" t="n"/>
      <c r="K4631" s="7">
        <f>IF($C4631="","",J4631*W4631/100)</f>
        <v/>
      </c>
      <c r="Q4631" s="7" t="n"/>
      <c r="R4631" s="7" t="n"/>
      <c r="U4631">
        <f>IF($C4631="","",IF($AJ4631=1,0,IF($AI4631=1,Settings!$C$6,Settings!$C$7))*100)</f>
        <v/>
      </c>
      <c r="V4631" s="7">
        <f>IF($C4631="","",R4631*U4631/100)</f>
        <v/>
      </c>
      <c r="W4631" s="7">
        <f>IF($C4631="","",R4631-V4631)</f>
        <v/>
      </c>
      <c r="X4631" s="7">
        <f>IF($C4631="","",W4631-K4631)</f>
        <v/>
      </c>
      <c r="AB4631" s="7" t="n"/>
      <c r="AE4631" s="11" t="n"/>
      <c r="AG4631">
        <f>IF($C4631="","",IF(COUNTIF($C$2:$C4631,$C4631)=1,1,0))</f>
        <v/>
      </c>
      <c r="AH4631">
        <f>IF($AG4631=1,SUMPRODUCT(--($AK$2:$AK$6001&lt;$AK4631))+1,"")</f>
        <v/>
      </c>
      <c r="AI4631">
        <f>IF($C4631="","",IF(OR($N4631=TRUE(),$N4631="TRUE"),1,0))</f>
        <v/>
      </c>
      <c r="AJ4631">
        <f>IF($C4631="","",IF($T4631="Yes",1,0))</f>
        <v/>
      </c>
      <c r="AK4631">
        <f>IF($AG4631=1,IFERROR(IF(VALUE($C4631)&lt;100000000,VALUE($C4631),1000000000),IFERROR(IF(VALUE(MID($C4631,2,20))&lt;100000000,VALUE(MID($C4631,2,20)),1000000000),1000000000))+ROW()/100000,"")</f>
        <v/>
      </c>
    </row>
    <row r="4632">
      <c r="D4632" s="11" t="n"/>
      <c r="K4632" s="7">
        <f>IF($C4632="","",J4632*W4632/100)</f>
        <v/>
      </c>
      <c r="Q4632" s="7" t="n"/>
      <c r="R4632" s="7" t="n"/>
      <c r="U4632">
        <f>IF($C4632="","",IF($AJ4632=1,0,IF($AI4632=1,Settings!$C$6,Settings!$C$7))*100)</f>
        <v/>
      </c>
      <c r="V4632" s="7">
        <f>IF($C4632="","",R4632*U4632/100)</f>
        <v/>
      </c>
      <c r="W4632" s="7">
        <f>IF($C4632="","",R4632-V4632)</f>
        <v/>
      </c>
      <c r="X4632" s="7">
        <f>IF($C4632="","",W4632-K4632)</f>
        <v/>
      </c>
      <c r="AB4632" s="7" t="n"/>
      <c r="AE4632" s="11" t="n"/>
      <c r="AG4632">
        <f>IF($C4632="","",IF(COUNTIF($C$2:$C4632,$C4632)=1,1,0))</f>
        <v/>
      </c>
      <c r="AH4632">
        <f>IF($AG4632=1,SUMPRODUCT(--($AK$2:$AK$6001&lt;$AK4632))+1,"")</f>
        <v/>
      </c>
      <c r="AI4632">
        <f>IF($C4632="","",IF(OR($N4632=TRUE(),$N4632="TRUE"),1,0))</f>
        <v/>
      </c>
      <c r="AJ4632">
        <f>IF($C4632="","",IF($T4632="Yes",1,0))</f>
        <v/>
      </c>
      <c r="AK4632">
        <f>IF($AG4632=1,IFERROR(IF(VALUE($C4632)&lt;100000000,VALUE($C4632),1000000000),IFERROR(IF(VALUE(MID($C4632,2,20))&lt;100000000,VALUE(MID($C4632,2,20)),1000000000),1000000000))+ROW()/100000,"")</f>
        <v/>
      </c>
    </row>
    <row r="4633">
      <c r="D4633" s="11" t="n"/>
      <c r="K4633" s="7">
        <f>IF($C4633="","",J4633*W4633/100)</f>
        <v/>
      </c>
      <c r="Q4633" s="7" t="n"/>
      <c r="R4633" s="7" t="n"/>
      <c r="U4633">
        <f>IF($C4633="","",IF($AJ4633=1,0,IF($AI4633=1,Settings!$C$6,Settings!$C$7))*100)</f>
        <v/>
      </c>
      <c r="V4633" s="7">
        <f>IF($C4633="","",R4633*U4633/100)</f>
        <v/>
      </c>
      <c r="W4633" s="7">
        <f>IF($C4633="","",R4633-V4633)</f>
        <v/>
      </c>
      <c r="X4633" s="7">
        <f>IF($C4633="","",W4633-K4633)</f>
        <v/>
      </c>
      <c r="AB4633" s="7" t="n"/>
      <c r="AE4633" s="11" t="n"/>
      <c r="AG4633">
        <f>IF($C4633="","",IF(COUNTIF($C$2:$C4633,$C4633)=1,1,0))</f>
        <v/>
      </c>
      <c r="AH4633">
        <f>IF($AG4633=1,SUMPRODUCT(--($AK$2:$AK$6001&lt;$AK4633))+1,"")</f>
        <v/>
      </c>
      <c r="AI4633">
        <f>IF($C4633="","",IF(OR($N4633=TRUE(),$N4633="TRUE"),1,0))</f>
        <v/>
      </c>
      <c r="AJ4633">
        <f>IF($C4633="","",IF($T4633="Yes",1,0))</f>
        <v/>
      </c>
      <c r="AK4633">
        <f>IF($AG4633=1,IFERROR(IF(VALUE($C4633)&lt;100000000,VALUE($C4633),1000000000),IFERROR(IF(VALUE(MID($C4633,2,20))&lt;100000000,VALUE(MID($C4633,2,20)),1000000000),1000000000))+ROW()/100000,"")</f>
        <v/>
      </c>
    </row>
    <row r="4634">
      <c r="D4634" s="11" t="n"/>
      <c r="K4634" s="7">
        <f>IF($C4634="","",J4634*W4634/100)</f>
        <v/>
      </c>
      <c r="Q4634" s="7" t="n"/>
      <c r="R4634" s="7" t="n"/>
      <c r="U4634">
        <f>IF($C4634="","",IF($AJ4634=1,0,IF($AI4634=1,Settings!$C$6,Settings!$C$7))*100)</f>
        <v/>
      </c>
      <c r="V4634" s="7">
        <f>IF($C4634="","",R4634*U4634/100)</f>
        <v/>
      </c>
      <c r="W4634" s="7">
        <f>IF($C4634="","",R4634-V4634)</f>
        <v/>
      </c>
      <c r="X4634" s="7">
        <f>IF($C4634="","",W4634-K4634)</f>
        <v/>
      </c>
      <c r="AB4634" s="7" t="n"/>
      <c r="AE4634" s="11" t="n"/>
      <c r="AG4634">
        <f>IF($C4634="","",IF(COUNTIF($C$2:$C4634,$C4634)=1,1,0))</f>
        <v/>
      </c>
      <c r="AH4634">
        <f>IF($AG4634=1,SUMPRODUCT(--($AK$2:$AK$6001&lt;$AK4634))+1,"")</f>
        <v/>
      </c>
      <c r="AI4634">
        <f>IF($C4634="","",IF(OR($N4634=TRUE(),$N4634="TRUE"),1,0))</f>
        <v/>
      </c>
      <c r="AJ4634">
        <f>IF($C4634="","",IF($T4634="Yes",1,0))</f>
        <v/>
      </c>
      <c r="AK4634">
        <f>IF($AG4634=1,IFERROR(IF(VALUE($C4634)&lt;100000000,VALUE($C4634),1000000000),IFERROR(IF(VALUE(MID($C4634,2,20))&lt;100000000,VALUE(MID($C4634,2,20)),1000000000),1000000000))+ROW()/100000,"")</f>
        <v/>
      </c>
    </row>
    <row r="4635">
      <c r="D4635" s="11" t="n"/>
      <c r="K4635" s="7">
        <f>IF($C4635="","",J4635*W4635/100)</f>
        <v/>
      </c>
      <c r="Q4635" s="7" t="n"/>
      <c r="R4635" s="7" t="n"/>
      <c r="U4635">
        <f>IF($C4635="","",IF($AJ4635=1,0,IF($AI4635=1,Settings!$C$6,Settings!$C$7))*100)</f>
        <v/>
      </c>
      <c r="V4635" s="7">
        <f>IF($C4635="","",R4635*U4635/100)</f>
        <v/>
      </c>
      <c r="W4635" s="7">
        <f>IF($C4635="","",R4635-V4635)</f>
        <v/>
      </c>
      <c r="X4635" s="7">
        <f>IF($C4635="","",W4635-K4635)</f>
        <v/>
      </c>
      <c r="AB4635" s="7" t="n"/>
      <c r="AE4635" s="11" t="n"/>
      <c r="AG4635">
        <f>IF($C4635="","",IF(COUNTIF($C$2:$C4635,$C4635)=1,1,0))</f>
        <v/>
      </c>
      <c r="AH4635">
        <f>IF($AG4635=1,SUMPRODUCT(--($AK$2:$AK$6001&lt;$AK4635))+1,"")</f>
        <v/>
      </c>
      <c r="AI4635">
        <f>IF($C4635="","",IF(OR($N4635=TRUE(),$N4635="TRUE"),1,0))</f>
        <v/>
      </c>
      <c r="AJ4635">
        <f>IF($C4635="","",IF($T4635="Yes",1,0))</f>
        <v/>
      </c>
      <c r="AK4635">
        <f>IF($AG4635=1,IFERROR(IF(VALUE($C4635)&lt;100000000,VALUE($C4635),1000000000),IFERROR(IF(VALUE(MID($C4635,2,20))&lt;100000000,VALUE(MID($C4635,2,20)),1000000000),1000000000))+ROW()/100000,"")</f>
        <v/>
      </c>
    </row>
    <row r="4636">
      <c r="D4636" s="11" t="n"/>
      <c r="K4636" s="7">
        <f>IF($C4636="","",J4636*W4636/100)</f>
        <v/>
      </c>
      <c r="Q4636" s="7" t="n"/>
      <c r="R4636" s="7" t="n"/>
      <c r="U4636">
        <f>IF($C4636="","",IF($AJ4636=1,0,IF($AI4636=1,Settings!$C$6,Settings!$C$7))*100)</f>
        <v/>
      </c>
      <c r="V4636" s="7">
        <f>IF($C4636="","",R4636*U4636/100)</f>
        <v/>
      </c>
      <c r="W4636" s="7">
        <f>IF($C4636="","",R4636-V4636)</f>
        <v/>
      </c>
      <c r="X4636" s="7">
        <f>IF($C4636="","",W4636-K4636)</f>
        <v/>
      </c>
      <c r="AB4636" s="7" t="n"/>
      <c r="AE4636" s="11" t="n"/>
      <c r="AG4636">
        <f>IF($C4636="","",IF(COUNTIF($C$2:$C4636,$C4636)=1,1,0))</f>
        <v/>
      </c>
      <c r="AH4636">
        <f>IF($AG4636=1,SUMPRODUCT(--($AK$2:$AK$6001&lt;$AK4636))+1,"")</f>
        <v/>
      </c>
      <c r="AI4636">
        <f>IF($C4636="","",IF(OR($N4636=TRUE(),$N4636="TRUE"),1,0))</f>
        <v/>
      </c>
      <c r="AJ4636">
        <f>IF($C4636="","",IF($T4636="Yes",1,0))</f>
        <v/>
      </c>
      <c r="AK4636">
        <f>IF($AG4636=1,IFERROR(IF(VALUE($C4636)&lt;100000000,VALUE($C4636),1000000000),IFERROR(IF(VALUE(MID($C4636,2,20))&lt;100000000,VALUE(MID($C4636,2,20)),1000000000),1000000000))+ROW()/100000,"")</f>
        <v/>
      </c>
    </row>
    <row r="4637">
      <c r="D4637" s="11" t="n"/>
      <c r="K4637" s="7">
        <f>IF($C4637="","",J4637*W4637/100)</f>
        <v/>
      </c>
      <c r="Q4637" s="7" t="n"/>
      <c r="R4637" s="7" t="n"/>
      <c r="U4637">
        <f>IF($C4637="","",IF($AJ4637=1,0,IF($AI4637=1,Settings!$C$6,Settings!$C$7))*100)</f>
        <v/>
      </c>
      <c r="V4637" s="7">
        <f>IF($C4637="","",R4637*U4637/100)</f>
        <v/>
      </c>
      <c r="W4637" s="7">
        <f>IF($C4637="","",R4637-V4637)</f>
        <v/>
      </c>
      <c r="X4637" s="7">
        <f>IF($C4637="","",W4637-K4637)</f>
        <v/>
      </c>
      <c r="AB4637" s="7" t="n"/>
      <c r="AE4637" s="11" t="n"/>
      <c r="AG4637">
        <f>IF($C4637="","",IF(COUNTIF($C$2:$C4637,$C4637)=1,1,0))</f>
        <v/>
      </c>
      <c r="AH4637">
        <f>IF($AG4637=1,SUMPRODUCT(--($AK$2:$AK$6001&lt;$AK4637))+1,"")</f>
        <v/>
      </c>
      <c r="AI4637">
        <f>IF($C4637="","",IF(OR($N4637=TRUE(),$N4637="TRUE"),1,0))</f>
        <v/>
      </c>
      <c r="AJ4637">
        <f>IF($C4637="","",IF($T4637="Yes",1,0))</f>
        <v/>
      </c>
      <c r="AK4637">
        <f>IF($AG4637=1,IFERROR(IF(VALUE($C4637)&lt;100000000,VALUE($C4637),1000000000),IFERROR(IF(VALUE(MID($C4637,2,20))&lt;100000000,VALUE(MID($C4637,2,20)),1000000000),1000000000))+ROW()/100000,"")</f>
        <v/>
      </c>
    </row>
    <row r="4638">
      <c r="D4638" s="11" t="n"/>
      <c r="K4638" s="7">
        <f>IF($C4638="","",J4638*W4638/100)</f>
        <v/>
      </c>
      <c r="Q4638" s="7" t="n"/>
      <c r="R4638" s="7" t="n"/>
      <c r="U4638">
        <f>IF($C4638="","",IF($AJ4638=1,0,IF($AI4638=1,Settings!$C$6,Settings!$C$7))*100)</f>
        <v/>
      </c>
      <c r="V4638" s="7">
        <f>IF($C4638="","",R4638*U4638/100)</f>
        <v/>
      </c>
      <c r="W4638" s="7">
        <f>IF($C4638="","",R4638-V4638)</f>
        <v/>
      </c>
      <c r="X4638" s="7">
        <f>IF($C4638="","",W4638-K4638)</f>
        <v/>
      </c>
      <c r="AB4638" s="7" t="n"/>
      <c r="AE4638" s="11" t="n"/>
      <c r="AG4638">
        <f>IF($C4638="","",IF(COUNTIF($C$2:$C4638,$C4638)=1,1,0))</f>
        <v/>
      </c>
      <c r="AH4638">
        <f>IF($AG4638=1,SUMPRODUCT(--($AK$2:$AK$6001&lt;$AK4638))+1,"")</f>
        <v/>
      </c>
      <c r="AI4638">
        <f>IF($C4638="","",IF(OR($N4638=TRUE(),$N4638="TRUE"),1,0))</f>
        <v/>
      </c>
      <c r="AJ4638">
        <f>IF($C4638="","",IF($T4638="Yes",1,0))</f>
        <v/>
      </c>
      <c r="AK4638">
        <f>IF($AG4638=1,IFERROR(IF(VALUE($C4638)&lt;100000000,VALUE($C4638),1000000000),IFERROR(IF(VALUE(MID($C4638,2,20))&lt;100000000,VALUE(MID($C4638,2,20)),1000000000),1000000000))+ROW()/100000,"")</f>
        <v/>
      </c>
    </row>
    <row r="4639">
      <c r="D4639" s="11" t="n"/>
      <c r="K4639" s="7">
        <f>IF($C4639="","",J4639*W4639/100)</f>
        <v/>
      </c>
      <c r="Q4639" s="7" t="n"/>
      <c r="R4639" s="7" t="n"/>
      <c r="U4639">
        <f>IF($C4639="","",IF($AJ4639=1,0,IF($AI4639=1,Settings!$C$6,Settings!$C$7))*100)</f>
        <v/>
      </c>
      <c r="V4639" s="7">
        <f>IF($C4639="","",R4639*U4639/100)</f>
        <v/>
      </c>
      <c r="W4639" s="7">
        <f>IF($C4639="","",R4639-V4639)</f>
        <v/>
      </c>
      <c r="X4639" s="7">
        <f>IF($C4639="","",W4639-K4639)</f>
        <v/>
      </c>
      <c r="AB4639" s="7" t="n"/>
      <c r="AE4639" s="11" t="n"/>
      <c r="AG4639">
        <f>IF($C4639="","",IF(COUNTIF($C$2:$C4639,$C4639)=1,1,0))</f>
        <v/>
      </c>
      <c r="AH4639">
        <f>IF($AG4639=1,SUMPRODUCT(--($AK$2:$AK$6001&lt;$AK4639))+1,"")</f>
        <v/>
      </c>
      <c r="AI4639">
        <f>IF($C4639="","",IF(OR($N4639=TRUE(),$N4639="TRUE"),1,0))</f>
        <v/>
      </c>
      <c r="AJ4639">
        <f>IF($C4639="","",IF($T4639="Yes",1,0))</f>
        <v/>
      </c>
      <c r="AK4639">
        <f>IF($AG4639=1,IFERROR(IF(VALUE($C4639)&lt;100000000,VALUE($C4639),1000000000),IFERROR(IF(VALUE(MID($C4639,2,20))&lt;100000000,VALUE(MID($C4639,2,20)),1000000000),1000000000))+ROW()/100000,"")</f>
        <v/>
      </c>
    </row>
    <row r="4640">
      <c r="D4640" s="11" t="n"/>
      <c r="K4640" s="7">
        <f>IF($C4640="","",J4640*W4640/100)</f>
        <v/>
      </c>
      <c r="Q4640" s="7" t="n"/>
      <c r="R4640" s="7" t="n"/>
      <c r="U4640">
        <f>IF($C4640="","",IF($AJ4640=1,0,IF($AI4640=1,Settings!$C$6,Settings!$C$7))*100)</f>
        <v/>
      </c>
      <c r="V4640" s="7">
        <f>IF($C4640="","",R4640*U4640/100)</f>
        <v/>
      </c>
      <c r="W4640" s="7">
        <f>IF($C4640="","",R4640-V4640)</f>
        <v/>
      </c>
      <c r="X4640" s="7">
        <f>IF($C4640="","",W4640-K4640)</f>
        <v/>
      </c>
      <c r="AB4640" s="7" t="n"/>
      <c r="AE4640" s="11" t="n"/>
      <c r="AG4640">
        <f>IF($C4640="","",IF(COUNTIF($C$2:$C4640,$C4640)=1,1,0))</f>
        <v/>
      </c>
      <c r="AH4640">
        <f>IF($AG4640=1,SUMPRODUCT(--($AK$2:$AK$6001&lt;$AK4640))+1,"")</f>
        <v/>
      </c>
      <c r="AI4640">
        <f>IF($C4640="","",IF(OR($N4640=TRUE(),$N4640="TRUE"),1,0))</f>
        <v/>
      </c>
      <c r="AJ4640">
        <f>IF($C4640="","",IF($T4640="Yes",1,0))</f>
        <v/>
      </c>
      <c r="AK4640">
        <f>IF($AG4640=1,IFERROR(IF(VALUE($C4640)&lt;100000000,VALUE($C4640),1000000000),IFERROR(IF(VALUE(MID($C4640,2,20))&lt;100000000,VALUE(MID($C4640,2,20)),1000000000),1000000000))+ROW()/100000,"")</f>
        <v/>
      </c>
    </row>
    <row r="4641">
      <c r="D4641" s="11" t="n"/>
      <c r="K4641" s="7">
        <f>IF($C4641="","",J4641*W4641/100)</f>
        <v/>
      </c>
      <c r="Q4641" s="7" t="n"/>
      <c r="R4641" s="7" t="n"/>
      <c r="U4641">
        <f>IF($C4641="","",IF($AJ4641=1,0,IF($AI4641=1,Settings!$C$6,Settings!$C$7))*100)</f>
        <v/>
      </c>
      <c r="V4641" s="7">
        <f>IF($C4641="","",R4641*U4641/100)</f>
        <v/>
      </c>
      <c r="W4641" s="7">
        <f>IF($C4641="","",R4641-V4641)</f>
        <v/>
      </c>
      <c r="X4641" s="7">
        <f>IF($C4641="","",W4641-K4641)</f>
        <v/>
      </c>
      <c r="AB4641" s="7" t="n"/>
      <c r="AE4641" s="11" t="n"/>
      <c r="AG4641">
        <f>IF($C4641="","",IF(COUNTIF($C$2:$C4641,$C4641)=1,1,0))</f>
        <v/>
      </c>
      <c r="AH4641">
        <f>IF($AG4641=1,SUMPRODUCT(--($AK$2:$AK$6001&lt;$AK4641))+1,"")</f>
        <v/>
      </c>
      <c r="AI4641">
        <f>IF($C4641="","",IF(OR($N4641=TRUE(),$N4641="TRUE"),1,0))</f>
        <v/>
      </c>
      <c r="AJ4641">
        <f>IF($C4641="","",IF($T4641="Yes",1,0))</f>
        <v/>
      </c>
      <c r="AK4641">
        <f>IF($AG4641=1,IFERROR(IF(VALUE($C4641)&lt;100000000,VALUE($C4641),1000000000),IFERROR(IF(VALUE(MID($C4641,2,20))&lt;100000000,VALUE(MID($C4641,2,20)),1000000000),1000000000))+ROW()/100000,"")</f>
        <v/>
      </c>
    </row>
    <row r="4642">
      <c r="D4642" s="11" t="n"/>
      <c r="K4642" s="7">
        <f>IF($C4642="","",J4642*W4642/100)</f>
        <v/>
      </c>
      <c r="Q4642" s="7" t="n"/>
      <c r="R4642" s="7" t="n"/>
      <c r="U4642">
        <f>IF($C4642="","",IF($AJ4642=1,0,IF($AI4642=1,Settings!$C$6,Settings!$C$7))*100)</f>
        <v/>
      </c>
      <c r="V4642" s="7">
        <f>IF($C4642="","",R4642*U4642/100)</f>
        <v/>
      </c>
      <c r="W4642" s="7">
        <f>IF($C4642="","",R4642-V4642)</f>
        <v/>
      </c>
      <c r="X4642" s="7">
        <f>IF($C4642="","",W4642-K4642)</f>
        <v/>
      </c>
      <c r="AB4642" s="7" t="n"/>
      <c r="AE4642" s="11" t="n"/>
      <c r="AG4642">
        <f>IF($C4642="","",IF(COUNTIF($C$2:$C4642,$C4642)=1,1,0))</f>
        <v/>
      </c>
      <c r="AH4642">
        <f>IF($AG4642=1,SUMPRODUCT(--($AK$2:$AK$6001&lt;$AK4642))+1,"")</f>
        <v/>
      </c>
      <c r="AI4642">
        <f>IF($C4642="","",IF(OR($N4642=TRUE(),$N4642="TRUE"),1,0))</f>
        <v/>
      </c>
      <c r="AJ4642">
        <f>IF($C4642="","",IF($T4642="Yes",1,0))</f>
        <v/>
      </c>
      <c r="AK4642">
        <f>IF($AG4642=1,IFERROR(IF(VALUE($C4642)&lt;100000000,VALUE($C4642),1000000000),IFERROR(IF(VALUE(MID($C4642,2,20))&lt;100000000,VALUE(MID($C4642,2,20)),1000000000),1000000000))+ROW()/100000,"")</f>
        <v/>
      </c>
    </row>
    <row r="4643">
      <c r="D4643" s="11" t="n"/>
      <c r="K4643" s="7">
        <f>IF($C4643="","",J4643*W4643/100)</f>
        <v/>
      </c>
      <c r="Q4643" s="7" t="n"/>
      <c r="R4643" s="7" t="n"/>
      <c r="U4643">
        <f>IF($C4643="","",IF($AJ4643=1,0,IF($AI4643=1,Settings!$C$6,Settings!$C$7))*100)</f>
        <v/>
      </c>
      <c r="V4643" s="7">
        <f>IF($C4643="","",R4643*U4643/100)</f>
        <v/>
      </c>
      <c r="W4643" s="7">
        <f>IF($C4643="","",R4643-V4643)</f>
        <v/>
      </c>
      <c r="X4643" s="7">
        <f>IF($C4643="","",W4643-K4643)</f>
        <v/>
      </c>
      <c r="AB4643" s="7" t="n"/>
      <c r="AE4643" s="11" t="n"/>
      <c r="AG4643">
        <f>IF($C4643="","",IF(COUNTIF($C$2:$C4643,$C4643)=1,1,0))</f>
        <v/>
      </c>
      <c r="AH4643">
        <f>IF($AG4643=1,SUMPRODUCT(--($AK$2:$AK$6001&lt;$AK4643))+1,"")</f>
        <v/>
      </c>
      <c r="AI4643">
        <f>IF($C4643="","",IF(OR($N4643=TRUE(),$N4643="TRUE"),1,0))</f>
        <v/>
      </c>
      <c r="AJ4643">
        <f>IF($C4643="","",IF($T4643="Yes",1,0))</f>
        <v/>
      </c>
      <c r="AK4643">
        <f>IF($AG4643=1,IFERROR(IF(VALUE($C4643)&lt;100000000,VALUE($C4643),1000000000),IFERROR(IF(VALUE(MID($C4643,2,20))&lt;100000000,VALUE(MID($C4643,2,20)),1000000000),1000000000))+ROW()/100000,"")</f>
        <v/>
      </c>
    </row>
    <row r="4644">
      <c r="D4644" s="11" t="n"/>
      <c r="K4644" s="7">
        <f>IF($C4644="","",J4644*W4644/100)</f>
        <v/>
      </c>
      <c r="Q4644" s="7" t="n"/>
      <c r="R4644" s="7" t="n"/>
      <c r="U4644">
        <f>IF($C4644="","",IF($AJ4644=1,0,IF($AI4644=1,Settings!$C$6,Settings!$C$7))*100)</f>
        <v/>
      </c>
      <c r="V4644" s="7">
        <f>IF($C4644="","",R4644*U4644/100)</f>
        <v/>
      </c>
      <c r="W4644" s="7">
        <f>IF($C4644="","",R4644-V4644)</f>
        <v/>
      </c>
      <c r="X4644" s="7">
        <f>IF($C4644="","",W4644-K4644)</f>
        <v/>
      </c>
      <c r="AB4644" s="7" t="n"/>
      <c r="AE4644" s="11" t="n"/>
      <c r="AG4644">
        <f>IF($C4644="","",IF(COUNTIF($C$2:$C4644,$C4644)=1,1,0))</f>
        <v/>
      </c>
      <c r="AH4644">
        <f>IF($AG4644=1,SUMPRODUCT(--($AK$2:$AK$6001&lt;$AK4644))+1,"")</f>
        <v/>
      </c>
      <c r="AI4644">
        <f>IF($C4644="","",IF(OR($N4644=TRUE(),$N4644="TRUE"),1,0))</f>
        <v/>
      </c>
      <c r="AJ4644">
        <f>IF($C4644="","",IF($T4644="Yes",1,0))</f>
        <v/>
      </c>
      <c r="AK4644">
        <f>IF($AG4644=1,IFERROR(IF(VALUE($C4644)&lt;100000000,VALUE($C4644),1000000000),IFERROR(IF(VALUE(MID($C4644,2,20))&lt;100000000,VALUE(MID($C4644,2,20)),1000000000),1000000000))+ROW()/100000,"")</f>
        <v/>
      </c>
    </row>
    <row r="4645">
      <c r="D4645" s="11" t="n"/>
      <c r="K4645" s="7">
        <f>IF($C4645="","",J4645*W4645/100)</f>
        <v/>
      </c>
      <c r="Q4645" s="7" t="n"/>
      <c r="R4645" s="7" t="n"/>
      <c r="U4645">
        <f>IF($C4645="","",IF($AJ4645=1,0,IF($AI4645=1,Settings!$C$6,Settings!$C$7))*100)</f>
        <v/>
      </c>
      <c r="V4645" s="7">
        <f>IF($C4645="","",R4645*U4645/100)</f>
        <v/>
      </c>
      <c r="W4645" s="7">
        <f>IF($C4645="","",R4645-V4645)</f>
        <v/>
      </c>
      <c r="X4645" s="7">
        <f>IF($C4645="","",W4645-K4645)</f>
        <v/>
      </c>
      <c r="AB4645" s="7" t="n"/>
      <c r="AE4645" s="11" t="n"/>
      <c r="AG4645">
        <f>IF($C4645="","",IF(COUNTIF($C$2:$C4645,$C4645)=1,1,0))</f>
        <v/>
      </c>
      <c r="AH4645">
        <f>IF($AG4645=1,SUMPRODUCT(--($AK$2:$AK$6001&lt;$AK4645))+1,"")</f>
        <v/>
      </c>
      <c r="AI4645">
        <f>IF($C4645="","",IF(OR($N4645=TRUE(),$N4645="TRUE"),1,0))</f>
        <v/>
      </c>
      <c r="AJ4645">
        <f>IF($C4645="","",IF($T4645="Yes",1,0))</f>
        <v/>
      </c>
      <c r="AK4645">
        <f>IF($AG4645=1,IFERROR(IF(VALUE($C4645)&lt;100000000,VALUE($C4645),1000000000),IFERROR(IF(VALUE(MID($C4645,2,20))&lt;100000000,VALUE(MID($C4645,2,20)),1000000000),1000000000))+ROW()/100000,"")</f>
        <v/>
      </c>
    </row>
    <row r="4646">
      <c r="D4646" s="11" t="n"/>
      <c r="K4646" s="7">
        <f>IF($C4646="","",J4646*W4646/100)</f>
        <v/>
      </c>
      <c r="Q4646" s="7" t="n"/>
      <c r="R4646" s="7" t="n"/>
      <c r="U4646">
        <f>IF($C4646="","",IF($AJ4646=1,0,IF($AI4646=1,Settings!$C$6,Settings!$C$7))*100)</f>
        <v/>
      </c>
      <c r="V4646" s="7">
        <f>IF($C4646="","",R4646*U4646/100)</f>
        <v/>
      </c>
      <c r="W4646" s="7">
        <f>IF($C4646="","",R4646-V4646)</f>
        <v/>
      </c>
      <c r="X4646" s="7">
        <f>IF($C4646="","",W4646-K4646)</f>
        <v/>
      </c>
      <c r="AB4646" s="7" t="n"/>
      <c r="AE4646" s="11" t="n"/>
      <c r="AG4646">
        <f>IF($C4646="","",IF(COUNTIF($C$2:$C4646,$C4646)=1,1,0))</f>
        <v/>
      </c>
      <c r="AH4646">
        <f>IF($AG4646=1,SUMPRODUCT(--($AK$2:$AK$6001&lt;$AK4646))+1,"")</f>
        <v/>
      </c>
      <c r="AI4646">
        <f>IF($C4646="","",IF(OR($N4646=TRUE(),$N4646="TRUE"),1,0))</f>
        <v/>
      </c>
      <c r="AJ4646">
        <f>IF($C4646="","",IF($T4646="Yes",1,0))</f>
        <v/>
      </c>
      <c r="AK4646">
        <f>IF($AG4646=1,IFERROR(IF(VALUE($C4646)&lt;100000000,VALUE($C4646),1000000000),IFERROR(IF(VALUE(MID($C4646,2,20))&lt;100000000,VALUE(MID($C4646,2,20)),1000000000),1000000000))+ROW()/100000,"")</f>
        <v/>
      </c>
    </row>
    <row r="4647">
      <c r="D4647" s="11" t="n"/>
      <c r="K4647" s="7">
        <f>IF($C4647="","",J4647*W4647/100)</f>
        <v/>
      </c>
      <c r="Q4647" s="7" t="n"/>
      <c r="R4647" s="7" t="n"/>
      <c r="U4647">
        <f>IF($C4647="","",IF($AJ4647=1,0,IF($AI4647=1,Settings!$C$6,Settings!$C$7))*100)</f>
        <v/>
      </c>
      <c r="V4647" s="7">
        <f>IF($C4647="","",R4647*U4647/100)</f>
        <v/>
      </c>
      <c r="W4647" s="7">
        <f>IF($C4647="","",R4647-V4647)</f>
        <v/>
      </c>
      <c r="X4647" s="7">
        <f>IF($C4647="","",W4647-K4647)</f>
        <v/>
      </c>
      <c r="AB4647" s="7" t="n"/>
      <c r="AE4647" s="11" t="n"/>
      <c r="AG4647">
        <f>IF($C4647="","",IF(COUNTIF($C$2:$C4647,$C4647)=1,1,0))</f>
        <v/>
      </c>
      <c r="AH4647">
        <f>IF($AG4647=1,SUMPRODUCT(--($AK$2:$AK$6001&lt;$AK4647))+1,"")</f>
        <v/>
      </c>
      <c r="AI4647">
        <f>IF($C4647="","",IF(OR($N4647=TRUE(),$N4647="TRUE"),1,0))</f>
        <v/>
      </c>
      <c r="AJ4647">
        <f>IF($C4647="","",IF($T4647="Yes",1,0))</f>
        <v/>
      </c>
      <c r="AK4647">
        <f>IF($AG4647=1,IFERROR(IF(VALUE($C4647)&lt;100000000,VALUE($C4647),1000000000),IFERROR(IF(VALUE(MID($C4647,2,20))&lt;100000000,VALUE(MID($C4647,2,20)),1000000000),1000000000))+ROW()/100000,"")</f>
        <v/>
      </c>
    </row>
    <row r="4648">
      <c r="D4648" s="11" t="n"/>
      <c r="K4648" s="7">
        <f>IF($C4648="","",J4648*W4648/100)</f>
        <v/>
      </c>
      <c r="Q4648" s="7" t="n"/>
      <c r="R4648" s="7" t="n"/>
      <c r="U4648">
        <f>IF($C4648="","",IF($AJ4648=1,0,IF($AI4648=1,Settings!$C$6,Settings!$C$7))*100)</f>
        <v/>
      </c>
      <c r="V4648" s="7">
        <f>IF($C4648="","",R4648*U4648/100)</f>
        <v/>
      </c>
      <c r="W4648" s="7">
        <f>IF($C4648="","",R4648-V4648)</f>
        <v/>
      </c>
      <c r="X4648" s="7">
        <f>IF($C4648="","",W4648-K4648)</f>
        <v/>
      </c>
      <c r="AB4648" s="7" t="n"/>
      <c r="AE4648" s="11" t="n"/>
      <c r="AG4648">
        <f>IF($C4648="","",IF(COUNTIF($C$2:$C4648,$C4648)=1,1,0))</f>
        <v/>
      </c>
      <c r="AH4648">
        <f>IF($AG4648=1,SUMPRODUCT(--($AK$2:$AK$6001&lt;$AK4648))+1,"")</f>
        <v/>
      </c>
      <c r="AI4648">
        <f>IF($C4648="","",IF(OR($N4648=TRUE(),$N4648="TRUE"),1,0))</f>
        <v/>
      </c>
      <c r="AJ4648">
        <f>IF($C4648="","",IF($T4648="Yes",1,0))</f>
        <v/>
      </c>
      <c r="AK4648">
        <f>IF($AG4648=1,IFERROR(IF(VALUE($C4648)&lt;100000000,VALUE($C4648),1000000000),IFERROR(IF(VALUE(MID($C4648,2,20))&lt;100000000,VALUE(MID($C4648,2,20)),1000000000),1000000000))+ROW()/100000,"")</f>
        <v/>
      </c>
    </row>
    <row r="4649">
      <c r="D4649" s="11" t="n"/>
      <c r="K4649" s="7">
        <f>IF($C4649="","",J4649*W4649/100)</f>
        <v/>
      </c>
      <c r="Q4649" s="7" t="n"/>
      <c r="R4649" s="7" t="n"/>
      <c r="U4649">
        <f>IF($C4649="","",IF($AJ4649=1,0,IF($AI4649=1,Settings!$C$6,Settings!$C$7))*100)</f>
        <v/>
      </c>
      <c r="V4649" s="7">
        <f>IF($C4649="","",R4649*U4649/100)</f>
        <v/>
      </c>
      <c r="W4649" s="7">
        <f>IF($C4649="","",R4649-V4649)</f>
        <v/>
      </c>
      <c r="X4649" s="7">
        <f>IF($C4649="","",W4649-K4649)</f>
        <v/>
      </c>
      <c r="AB4649" s="7" t="n"/>
      <c r="AE4649" s="11" t="n"/>
      <c r="AG4649">
        <f>IF($C4649="","",IF(COUNTIF($C$2:$C4649,$C4649)=1,1,0))</f>
        <v/>
      </c>
      <c r="AH4649">
        <f>IF($AG4649=1,SUMPRODUCT(--($AK$2:$AK$6001&lt;$AK4649))+1,"")</f>
        <v/>
      </c>
      <c r="AI4649">
        <f>IF($C4649="","",IF(OR($N4649=TRUE(),$N4649="TRUE"),1,0))</f>
        <v/>
      </c>
      <c r="AJ4649">
        <f>IF($C4649="","",IF($T4649="Yes",1,0))</f>
        <v/>
      </c>
      <c r="AK4649">
        <f>IF($AG4649=1,IFERROR(IF(VALUE($C4649)&lt;100000000,VALUE($C4649),1000000000),IFERROR(IF(VALUE(MID($C4649,2,20))&lt;100000000,VALUE(MID($C4649,2,20)),1000000000),1000000000))+ROW()/100000,"")</f>
        <v/>
      </c>
    </row>
    <row r="4650">
      <c r="D4650" s="11" t="n"/>
      <c r="K4650" s="7">
        <f>IF($C4650="","",J4650*W4650/100)</f>
        <v/>
      </c>
      <c r="Q4650" s="7" t="n"/>
      <c r="R4650" s="7" t="n"/>
      <c r="U4650">
        <f>IF($C4650="","",IF($AJ4650=1,0,IF($AI4650=1,Settings!$C$6,Settings!$C$7))*100)</f>
        <v/>
      </c>
      <c r="V4650" s="7">
        <f>IF($C4650="","",R4650*U4650/100)</f>
        <v/>
      </c>
      <c r="W4650" s="7">
        <f>IF($C4650="","",R4650-V4650)</f>
        <v/>
      </c>
      <c r="X4650" s="7">
        <f>IF($C4650="","",W4650-K4650)</f>
        <v/>
      </c>
      <c r="AB4650" s="7" t="n"/>
      <c r="AE4650" s="11" t="n"/>
      <c r="AG4650">
        <f>IF($C4650="","",IF(COUNTIF($C$2:$C4650,$C4650)=1,1,0))</f>
        <v/>
      </c>
      <c r="AH4650">
        <f>IF($AG4650=1,SUMPRODUCT(--($AK$2:$AK$6001&lt;$AK4650))+1,"")</f>
        <v/>
      </c>
      <c r="AI4650">
        <f>IF($C4650="","",IF(OR($N4650=TRUE(),$N4650="TRUE"),1,0))</f>
        <v/>
      </c>
      <c r="AJ4650">
        <f>IF($C4650="","",IF($T4650="Yes",1,0))</f>
        <v/>
      </c>
      <c r="AK4650">
        <f>IF($AG4650=1,IFERROR(IF(VALUE($C4650)&lt;100000000,VALUE($C4650),1000000000),IFERROR(IF(VALUE(MID($C4650,2,20))&lt;100000000,VALUE(MID($C4650,2,20)),1000000000),1000000000))+ROW()/100000,"")</f>
        <v/>
      </c>
    </row>
    <row r="4651">
      <c r="D4651" s="11" t="n"/>
      <c r="K4651" s="7">
        <f>IF($C4651="","",J4651*W4651/100)</f>
        <v/>
      </c>
      <c r="Q4651" s="7" t="n"/>
      <c r="R4651" s="7" t="n"/>
      <c r="U4651">
        <f>IF($C4651="","",IF($AJ4651=1,0,IF($AI4651=1,Settings!$C$6,Settings!$C$7))*100)</f>
        <v/>
      </c>
      <c r="V4651" s="7">
        <f>IF($C4651="","",R4651*U4651/100)</f>
        <v/>
      </c>
      <c r="W4651" s="7">
        <f>IF($C4651="","",R4651-V4651)</f>
        <v/>
      </c>
      <c r="X4651" s="7">
        <f>IF($C4651="","",W4651-K4651)</f>
        <v/>
      </c>
      <c r="AB4651" s="7" t="n"/>
      <c r="AE4651" s="11" t="n"/>
      <c r="AG4651">
        <f>IF($C4651="","",IF(COUNTIF($C$2:$C4651,$C4651)=1,1,0))</f>
        <v/>
      </c>
      <c r="AH4651">
        <f>IF($AG4651=1,SUMPRODUCT(--($AK$2:$AK$6001&lt;$AK4651))+1,"")</f>
        <v/>
      </c>
      <c r="AI4651">
        <f>IF($C4651="","",IF(OR($N4651=TRUE(),$N4651="TRUE"),1,0))</f>
        <v/>
      </c>
      <c r="AJ4651">
        <f>IF($C4651="","",IF($T4651="Yes",1,0))</f>
        <v/>
      </c>
      <c r="AK4651">
        <f>IF($AG4651=1,IFERROR(IF(VALUE($C4651)&lt;100000000,VALUE($C4651),1000000000),IFERROR(IF(VALUE(MID($C4651,2,20))&lt;100000000,VALUE(MID($C4651,2,20)),1000000000),1000000000))+ROW()/100000,"")</f>
        <v/>
      </c>
    </row>
    <row r="4652">
      <c r="D4652" s="11" t="n"/>
      <c r="K4652" s="7">
        <f>IF($C4652="","",J4652*W4652/100)</f>
        <v/>
      </c>
      <c r="Q4652" s="7" t="n"/>
      <c r="R4652" s="7" t="n"/>
      <c r="U4652">
        <f>IF($C4652="","",IF($AJ4652=1,0,IF($AI4652=1,Settings!$C$6,Settings!$C$7))*100)</f>
        <v/>
      </c>
      <c r="V4652" s="7">
        <f>IF($C4652="","",R4652*U4652/100)</f>
        <v/>
      </c>
      <c r="W4652" s="7">
        <f>IF($C4652="","",R4652-V4652)</f>
        <v/>
      </c>
      <c r="X4652" s="7">
        <f>IF($C4652="","",W4652-K4652)</f>
        <v/>
      </c>
      <c r="AB4652" s="7" t="n"/>
      <c r="AE4652" s="11" t="n"/>
      <c r="AG4652">
        <f>IF($C4652="","",IF(COUNTIF($C$2:$C4652,$C4652)=1,1,0))</f>
        <v/>
      </c>
      <c r="AH4652">
        <f>IF($AG4652=1,SUMPRODUCT(--($AK$2:$AK$6001&lt;$AK4652))+1,"")</f>
        <v/>
      </c>
      <c r="AI4652">
        <f>IF($C4652="","",IF(OR($N4652=TRUE(),$N4652="TRUE"),1,0))</f>
        <v/>
      </c>
      <c r="AJ4652">
        <f>IF($C4652="","",IF($T4652="Yes",1,0))</f>
        <v/>
      </c>
      <c r="AK4652">
        <f>IF($AG4652=1,IFERROR(IF(VALUE($C4652)&lt;100000000,VALUE($C4652),1000000000),IFERROR(IF(VALUE(MID($C4652,2,20))&lt;100000000,VALUE(MID($C4652,2,20)),1000000000),1000000000))+ROW()/100000,"")</f>
        <v/>
      </c>
    </row>
    <row r="4653">
      <c r="D4653" s="11" t="n"/>
      <c r="K4653" s="7">
        <f>IF($C4653="","",J4653*W4653/100)</f>
        <v/>
      </c>
      <c r="Q4653" s="7" t="n"/>
      <c r="R4653" s="7" t="n"/>
      <c r="U4653">
        <f>IF($C4653="","",IF($AJ4653=1,0,IF($AI4653=1,Settings!$C$6,Settings!$C$7))*100)</f>
        <v/>
      </c>
      <c r="V4653" s="7">
        <f>IF($C4653="","",R4653*U4653/100)</f>
        <v/>
      </c>
      <c r="W4653" s="7">
        <f>IF($C4653="","",R4653-V4653)</f>
        <v/>
      </c>
      <c r="X4653" s="7">
        <f>IF($C4653="","",W4653-K4653)</f>
        <v/>
      </c>
      <c r="AB4653" s="7" t="n"/>
      <c r="AE4653" s="11" t="n"/>
      <c r="AG4653">
        <f>IF($C4653="","",IF(COUNTIF($C$2:$C4653,$C4653)=1,1,0))</f>
        <v/>
      </c>
      <c r="AH4653">
        <f>IF($AG4653=1,SUMPRODUCT(--($AK$2:$AK$6001&lt;$AK4653))+1,"")</f>
        <v/>
      </c>
      <c r="AI4653">
        <f>IF($C4653="","",IF(OR($N4653=TRUE(),$N4653="TRUE"),1,0))</f>
        <v/>
      </c>
      <c r="AJ4653">
        <f>IF($C4653="","",IF($T4653="Yes",1,0))</f>
        <v/>
      </c>
      <c r="AK4653">
        <f>IF($AG4653=1,IFERROR(IF(VALUE($C4653)&lt;100000000,VALUE($C4653),1000000000),IFERROR(IF(VALUE(MID($C4653,2,20))&lt;100000000,VALUE(MID($C4653,2,20)),1000000000),1000000000))+ROW()/100000,"")</f>
        <v/>
      </c>
    </row>
    <row r="4654">
      <c r="D4654" s="11" t="n"/>
      <c r="K4654" s="7">
        <f>IF($C4654="","",J4654*W4654/100)</f>
        <v/>
      </c>
      <c r="Q4654" s="7" t="n"/>
      <c r="R4654" s="7" t="n"/>
      <c r="U4654">
        <f>IF($C4654="","",IF($AJ4654=1,0,IF($AI4654=1,Settings!$C$6,Settings!$C$7))*100)</f>
        <v/>
      </c>
      <c r="V4654" s="7">
        <f>IF($C4654="","",R4654*U4654/100)</f>
        <v/>
      </c>
      <c r="W4654" s="7">
        <f>IF($C4654="","",R4654-V4654)</f>
        <v/>
      </c>
      <c r="X4654" s="7">
        <f>IF($C4654="","",W4654-K4654)</f>
        <v/>
      </c>
      <c r="AB4654" s="7" t="n"/>
      <c r="AE4654" s="11" t="n"/>
      <c r="AG4654">
        <f>IF($C4654="","",IF(COUNTIF($C$2:$C4654,$C4654)=1,1,0))</f>
        <v/>
      </c>
      <c r="AH4654">
        <f>IF($AG4654=1,SUMPRODUCT(--($AK$2:$AK$6001&lt;$AK4654))+1,"")</f>
        <v/>
      </c>
      <c r="AI4654">
        <f>IF($C4654="","",IF(OR($N4654=TRUE(),$N4654="TRUE"),1,0))</f>
        <v/>
      </c>
      <c r="AJ4654">
        <f>IF($C4654="","",IF($T4654="Yes",1,0))</f>
        <v/>
      </c>
      <c r="AK4654">
        <f>IF($AG4654=1,IFERROR(IF(VALUE($C4654)&lt;100000000,VALUE($C4654),1000000000),IFERROR(IF(VALUE(MID($C4654,2,20))&lt;100000000,VALUE(MID($C4654,2,20)),1000000000),1000000000))+ROW()/100000,"")</f>
        <v/>
      </c>
    </row>
    <row r="4655">
      <c r="D4655" s="11" t="n"/>
      <c r="K4655" s="7">
        <f>IF($C4655="","",J4655*W4655/100)</f>
        <v/>
      </c>
      <c r="Q4655" s="7" t="n"/>
      <c r="R4655" s="7" t="n"/>
      <c r="U4655">
        <f>IF($C4655="","",IF($AJ4655=1,0,IF($AI4655=1,Settings!$C$6,Settings!$C$7))*100)</f>
        <v/>
      </c>
      <c r="V4655" s="7">
        <f>IF($C4655="","",R4655*U4655/100)</f>
        <v/>
      </c>
      <c r="W4655" s="7">
        <f>IF($C4655="","",R4655-V4655)</f>
        <v/>
      </c>
      <c r="X4655" s="7">
        <f>IF($C4655="","",W4655-K4655)</f>
        <v/>
      </c>
      <c r="AB4655" s="7" t="n"/>
      <c r="AE4655" s="11" t="n"/>
      <c r="AG4655">
        <f>IF($C4655="","",IF(COUNTIF($C$2:$C4655,$C4655)=1,1,0))</f>
        <v/>
      </c>
      <c r="AH4655">
        <f>IF($AG4655=1,SUMPRODUCT(--($AK$2:$AK$6001&lt;$AK4655))+1,"")</f>
        <v/>
      </c>
      <c r="AI4655">
        <f>IF($C4655="","",IF(OR($N4655=TRUE(),$N4655="TRUE"),1,0))</f>
        <v/>
      </c>
      <c r="AJ4655">
        <f>IF($C4655="","",IF($T4655="Yes",1,0))</f>
        <v/>
      </c>
      <c r="AK4655">
        <f>IF($AG4655=1,IFERROR(IF(VALUE($C4655)&lt;100000000,VALUE($C4655),1000000000),IFERROR(IF(VALUE(MID($C4655,2,20))&lt;100000000,VALUE(MID($C4655,2,20)),1000000000),1000000000))+ROW()/100000,"")</f>
        <v/>
      </c>
    </row>
    <row r="4656">
      <c r="D4656" s="11" t="n"/>
      <c r="K4656" s="7">
        <f>IF($C4656="","",J4656*W4656/100)</f>
        <v/>
      </c>
      <c r="Q4656" s="7" t="n"/>
      <c r="R4656" s="7" t="n"/>
      <c r="U4656">
        <f>IF($C4656="","",IF($AJ4656=1,0,IF($AI4656=1,Settings!$C$6,Settings!$C$7))*100)</f>
        <v/>
      </c>
      <c r="V4656" s="7">
        <f>IF($C4656="","",R4656*U4656/100)</f>
        <v/>
      </c>
      <c r="W4656" s="7">
        <f>IF($C4656="","",R4656-V4656)</f>
        <v/>
      </c>
      <c r="X4656" s="7">
        <f>IF($C4656="","",W4656-K4656)</f>
        <v/>
      </c>
      <c r="AB4656" s="7" t="n"/>
      <c r="AE4656" s="11" t="n"/>
      <c r="AG4656">
        <f>IF($C4656="","",IF(COUNTIF($C$2:$C4656,$C4656)=1,1,0))</f>
        <v/>
      </c>
      <c r="AH4656">
        <f>IF($AG4656=1,SUMPRODUCT(--($AK$2:$AK$6001&lt;$AK4656))+1,"")</f>
        <v/>
      </c>
      <c r="AI4656">
        <f>IF($C4656="","",IF(OR($N4656=TRUE(),$N4656="TRUE"),1,0))</f>
        <v/>
      </c>
      <c r="AJ4656">
        <f>IF($C4656="","",IF($T4656="Yes",1,0))</f>
        <v/>
      </c>
      <c r="AK4656">
        <f>IF($AG4656=1,IFERROR(IF(VALUE($C4656)&lt;100000000,VALUE($C4656),1000000000),IFERROR(IF(VALUE(MID($C4656,2,20))&lt;100000000,VALUE(MID($C4656,2,20)),1000000000),1000000000))+ROW()/100000,"")</f>
        <v/>
      </c>
    </row>
    <row r="4657">
      <c r="D4657" s="11" t="n"/>
      <c r="K4657" s="7">
        <f>IF($C4657="","",J4657*W4657/100)</f>
        <v/>
      </c>
      <c r="Q4657" s="7" t="n"/>
      <c r="R4657" s="7" t="n"/>
      <c r="U4657">
        <f>IF($C4657="","",IF($AJ4657=1,0,IF($AI4657=1,Settings!$C$6,Settings!$C$7))*100)</f>
        <v/>
      </c>
      <c r="V4657" s="7">
        <f>IF($C4657="","",R4657*U4657/100)</f>
        <v/>
      </c>
      <c r="W4657" s="7">
        <f>IF($C4657="","",R4657-V4657)</f>
        <v/>
      </c>
      <c r="X4657" s="7">
        <f>IF($C4657="","",W4657-K4657)</f>
        <v/>
      </c>
      <c r="AB4657" s="7" t="n"/>
      <c r="AE4657" s="11" t="n"/>
      <c r="AG4657">
        <f>IF($C4657="","",IF(COUNTIF($C$2:$C4657,$C4657)=1,1,0))</f>
        <v/>
      </c>
      <c r="AH4657">
        <f>IF($AG4657=1,SUMPRODUCT(--($AK$2:$AK$6001&lt;$AK4657))+1,"")</f>
        <v/>
      </c>
      <c r="AI4657">
        <f>IF($C4657="","",IF(OR($N4657=TRUE(),$N4657="TRUE"),1,0))</f>
        <v/>
      </c>
      <c r="AJ4657">
        <f>IF($C4657="","",IF($T4657="Yes",1,0))</f>
        <v/>
      </c>
      <c r="AK4657">
        <f>IF($AG4657=1,IFERROR(IF(VALUE($C4657)&lt;100000000,VALUE($C4657),1000000000),IFERROR(IF(VALUE(MID($C4657,2,20))&lt;100000000,VALUE(MID($C4657,2,20)),1000000000),1000000000))+ROW()/100000,"")</f>
        <v/>
      </c>
    </row>
    <row r="4658">
      <c r="D4658" s="11" t="n"/>
      <c r="K4658" s="7">
        <f>IF($C4658="","",J4658*W4658/100)</f>
        <v/>
      </c>
      <c r="Q4658" s="7" t="n"/>
      <c r="R4658" s="7" t="n"/>
      <c r="U4658">
        <f>IF($C4658="","",IF($AJ4658=1,0,IF($AI4658=1,Settings!$C$6,Settings!$C$7))*100)</f>
        <v/>
      </c>
      <c r="V4658" s="7">
        <f>IF($C4658="","",R4658*U4658/100)</f>
        <v/>
      </c>
      <c r="W4658" s="7">
        <f>IF($C4658="","",R4658-V4658)</f>
        <v/>
      </c>
      <c r="X4658" s="7">
        <f>IF($C4658="","",W4658-K4658)</f>
        <v/>
      </c>
      <c r="AB4658" s="7" t="n"/>
      <c r="AE4658" s="11" t="n"/>
      <c r="AG4658">
        <f>IF($C4658="","",IF(COUNTIF($C$2:$C4658,$C4658)=1,1,0))</f>
        <v/>
      </c>
      <c r="AH4658">
        <f>IF($AG4658=1,SUMPRODUCT(--($AK$2:$AK$6001&lt;$AK4658))+1,"")</f>
        <v/>
      </c>
      <c r="AI4658">
        <f>IF($C4658="","",IF(OR($N4658=TRUE(),$N4658="TRUE"),1,0))</f>
        <v/>
      </c>
      <c r="AJ4658">
        <f>IF($C4658="","",IF($T4658="Yes",1,0))</f>
        <v/>
      </c>
      <c r="AK4658">
        <f>IF($AG4658=1,IFERROR(IF(VALUE($C4658)&lt;100000000,VALUE($C4658),1000000000),IFERROR(IF(VALUE(MID($C4658,2,20))&lt;100000000,VALUE(MID($C4658,2,20)),1000000000),1000000000))+ROW()/100000,"")</f>
        <v/>
      </c>
    </row>
    <row r="4659">
      <c r="D4659" s="11" t="n"/>
      <c r="K4659" s="7">
        <f>IF($C4659="","",J4659*W4659/100)</f>
        <v/>
      </c>
      <c r="Q4659" s="7" t="n"/>
      <c r="R4659" s="7" t="n"/>
      <c r="U4659">
        <f>IF($C4659="","",IF($AJ4659=1,0,IF($AI4659=1,Settings!$C$6,Settings!$C$7))*100)</f>
        <v/>
      </c>
      <c r="V4659" s="7">
        <f>IF($C4659="","",R4659*U4659/100)</f>
        <v/>
      </c>
      <c r="W4659" s="7">
        <f>IF($C4659="","",R4659-V4659)</f>
        <v/>
      </c>
      <c r="X4659" s="7">
        <f>IF($C4659="","",W4659-K4659)</f>
        <v/>
      </c>
      <c r="AB4659" s="7" t="n"/>
      <c r="AE4659" s="11" t="n"/>
      <c r="AG4659">
        <f>IF($C4659="","",IF(COUNTIF($C$2:$C4659,$C4659)=1,1,0))</f>
        <v/>
      </c>
      <c r="AH4659">
        <f>IF($AG4659=1,SUMPRODUCT(--($AK$2:$AK$6001&lt;$AK4659))+1,"")</f>
        <v/>
      </c>
      <c r="AI4659">
        <f>IF($C4659="","",IF(OR($N4659=TRUE(),$N4659="TRUE"),1,0))</f>
        <v/>
      </c>
      <c r="AJ4659">
        <f>IF($C4659="","",IF($T4659="Yes",1,0))</f>
        <v/>
      </c>
      <c r="AK4659">
        <f>IF($AG4659=1,IFERROR(IF(VALUE($C4659)&lt;100000000,VALUE($C4659),1000000000),IFERROR(IF(VALUE(MID($C4659,2,20))&lt;100000000,VALUE(MID($C4659,2,20)),1000000000),1000000000))+ROW()/100000,"")</f>
        <v/>
      </c>
    </row>
    <row r="4660">
      <c r="D4660" s="11" t="n"/>
      <c r="K4660" s="7">
        <f>IF($C4660="","",J4660*W4660/100)</f>
        <v/>
      </c>
      <c r="Q4660" s="7" t="n"/>
      <c r="R4660" s="7" t="n"/>
      <c r="U4660">
        <f>IF($C4660="","",IF($AJ4660=1,0,IF($AI4660=1,Settings!$C$6,Settings!$C$7))*100)</f>
        <v/>
      </c>
      <c r="V4660" s="7">
        <f>IF($C4660="","",R4660*U4660/100)</f>
        <v/>
      </c>
      <c r="W4660" s="7">
        <f>IF($C4660="","",R4660-V4660)</f>
        <v/>
      </c>
      <c r="X4660" s="7">
        <f>IF($C4660="","",W4660-K4660)</f>
        <v/>
      </c>
      <c r="AB4660" s="7" t="n"/>
      <c r="AE4660" s="11" t="n"/>
      <c r="AG4660">
        <f>IF($C4660="","",IF(COUNTIF($C$2:$C4660,$C4660)=1,1,0))</f>
        <v/>
      </c>
      <c r="AH4660">
        <f>IF($AG4660=1,SUMPRODUCT(--($AK$2:$AK$6001&lt;$AK4660))+1,"")</f>
        <v/>
      </c>
      <c r="AI4660">
        <f>IF($C4660="","",IF(OR($N4660=TRUE(),$N4660="TRUE"),1,0))</f>
        <v/>
      </c>
      <c r="AJ4660">
        <f>IF($C4660="","",IF($T4660="Yes",1,0))</f>
        <v/>
      </c>
      <c r="AK4660">
        <f>IF($AG4660=1,IFERROR(IF(VALUE($C4660)&lt;100000000,VALUE($C4660),1000000000),IFERROR(IF(VALUE(MID($C4660,2,20))&lt;100000000,VALUE(MID($C4660,2,20)),1000000000),1000000000))+ROW()/100000,"")</f>
        <v/>
      </c>
    </row>
    <row r="4661">
      <c r="D4661" s="11" t="n"/>
      <c r="K4661" s="7">
        <f>IF($C4661="","",J4661*W4661/100)</f>
        <v/>
      </c>
      <c r="Q4661" s="7" t="n"/>
      <c r="R4661" s="7" t="n"/>
      <c r="U4661">
        <f>IF($C4661="","",IF($AJ4661=1,0,IF($AI4661=1,Settings!$C$6,Settings!$C$7))*100)</f>
        <v/>
      </c>
      <c r="V4661" s="7">
        <f>IF($C4661="","",R4661*U4661/100)</f>
        <v/>
      </c>
      <c r="W4661" s="7">
        <f>IF($C4661="","",R4661-V4661)</f>
        <v/>
      </c>
      <c r="X4661" s="7">
        <f>IF($C4661="","",W4661-K4661)</f>
        <v/>
      </c>
      <c r="AB4661" s="7" t="n"/>
      <c r="AE4661" s="11" t="n"/>
      <c r="AG4661">
        <f>IF($C4661="","",IF(COUNTIF($C$2:$C4661,$C4661)=1,1,0))</f>
        <v/>
      </c>
      <c r="AH4661">
        <f>IF($AG4661=1,SUMPRODUCT(--($AK$2:$AK$6001&lt;$AK4661))+1,"")</f>
        <v/>
      </c>
      <c r="AI4661">
        <f>IF($C4661="","",IF(OR($N4661=TRUE(),$N4661="TRUE"),1,0))</f>
        <v/>
      </c>
      <c r="AJ4661">
        <f>IF($C4661="","",IF($T4661="Yes",1,0))</f>
        <v/>
      </c>
      <c r="AK4661">
        <f>IF($AG4661=1,IFERROR(IF(VALUE($C4661)&lt;100000000,VALUE($C4661),1000000000),IFERROR(IF(VALUE(MID($C4661,2,20))&lt;100000000,VALUE(MID($C4661,2,20)),1000000000),1000000000))+ROW()/100000,"")</f>
        <v/>
      </c>
    </row>
    <row r="4662">
      <c r="D4662" s="11" t="n"/>
      <c r="K4662" s="7">
        <f>IF($C4662="","",J4662*W4662/100)</f>
        <v/>
      </c>
      <c r="Q4662" s="7" t="n"/>
      <c r="R4662" s="7" t="n"/>
      <c r="U4662">
        <f>IF($C4662="","",IF($AJ4662=1,0,IF($AI4662=1,Settings!$C$6,Settings!$C$7))*100)</f>
        <v/>
      </c>
      <c r="V4662" s="7">
        <f>IF($C4662="","",R4662*U4662/100)</f>
        <v/>
      </c>
      <c r="W4662" s="7">
        <f>IF($C4662="","",R4662-V4662)</f>
        <v/>
      </c>
      <c r="X4662" s="7">
        <f>IF($C4662="","",W4662-K4662)</f>
        <v/>
      </c>
      <c r="AB4662" s="7" t="n"/>
      <c r="AE4662" s="11" t="n"/>
      <c r="AG4662">
        <f>IF($C4662="","",IF(COUNTIF($C$2:$C4662,$C4662)=1,1,0))</f>
        <v/>
      </c>
      <c r="AH4662">
        <f>IF($AG4662=1,SUMPRODUCT(--($AK$2:$AK$6001&lt;$AK4662))+1,"")</f>
        <v/>
      </c>
      <c r="AI4662">
        <f>IF($C4662="","",IF(OR($N4662=TRUE(),$N4662="TRUE"),1,0))</f>
        <v/>
      </c>
      <c r="AJ4662">
        <f>IF($C4662="","",IF($T4662="Yes",1,0))</f>
        <v/>
      </c>
      <c r="AK4662">
        <f>IF($AG4662=1,IFERROR(IF(VALUE($C4662)&lt;100000000,VALUE($C4662),1000000000),IFERROR(IF(VALUE(MID($C4662,2,20))&lt;100000000,VALUE(MID($C4662,2,20)),1000000000),1000000000))+ROW()/100000,"")</f>
        <v/>
      </c>
    </row>
    <row r="4663">
      <c r="D4663" s="11" t="n"/>
      <c r="K4663" s="7">
        <f>IF($C4663="","",J4663*W4663/100)</f>
        <v/>
      </c>
      <c r="Q4663" s="7" t="n"/>
      <c r="R4663" s="7" t="n"/>
      <c r="U4663">
        <f>IF($C4663="","",IF($AJ4663=1,0,IF($AI4663=1,Settings!$C$6,Settings!$C$7))*100)</f>
        <v/>
      </c>
      <c r="V4663" s="7">
        <f>IF($C4663="","",R4663*U4663/100)</f>
        <v/>
      </c>
      <c r="W4663" s="7">
        <f>IF($C4663="","",R4663-V4663)</f>
        <v/>
      </c>
      <c r="X4663" s="7">
        <f>IF($C4663="","",W4663-K4663)</f>
        <v/>
      </c>
      <c r="AB4663" s="7" t="n"/>
      <c r="AE4663" s="11" t="n"/>
      <c r="AG4663">
        <f>IF($C4663="","",IF(COUNTIF($C$2:$C4663,$C4663)=1,1,0))</f>
        <v/>
      </c>
      <c r="AH4663">
        <f>IF($AG4663=1,SUMPRODUCT(--($AK$2:$AK$6001&lt;$AK4663))+1,"")</f>
        <v/>
      </c>
      <c r="AI4663">
        <f>IF($C4663="","",IF(OR($N4663=TRUE(),$N4663="TRUE"),1,0))</f>
        <v/>
      </c>
      <c r="AJ4663">
        <f>IF($C4663="","",IF($T4663="Yes",1,0))</f>
        <v/>
      </c>
      <c r="AK4663">
        <f>IF($AG4663=1,IFERROR(IF(VALUE($C4663)&lt;100000000,VALUE($C4663),1000000000),IFERROR(IF(VALUE(MID($C4663,2,20))&lt;100000000,VALUE(MID($C4663,2,20)),1000000000),1000000000))+ROW()/100000,"")</f>
        <v/>
      </c>
    </row>
    <row r="4664">
      <c r="D4664" s="11" t="n"/>
      <c r="K4664" s="7">
        <f>IF($C4664="","",J4664*W4664/100)</f>
        <v/>
      </c>
      <c r="Q4664" s="7" t="n"/>
      <c r="R4664" s="7" t="n"/>
      <c r="U4664">
        <f>IF($C4664="","",IF($AJ4664=1,0,IF($AI4664=1,Settings!$C$6,Settings!$C$7))*100)</f>
        <v/>
      </c>
      <c r="V4664" s="7">
        <f>IF($C4664="","",R4664*U4664/100)</f>
        <v/>
      </c>
      <c r="W4664" s="7">
        <f>IF($C4664="","",R4664-V4664)</f>
        <v/>
      </c>
      <c r="X4664" s="7">
        <f>IF($C4664="","",W4664-K4664)</f>
        <v/>
      </c>
      <c r="AB4664" s="7" t="n"/>
      <c r="AE4664" s="11" t="n"/>
      <c r="AG4664">
        <f>IF($C4664="","",IF(COUNTIF($C$2:$C4664,$C4664)=1,1,0))</f>
        <v/>
      </c>
      <c r="AH4664">
        <f>IF($AG4664=1,SUMPRODUCT(--($AK$2:$AK$6001&lt;$AK4664))+1,"")</f>
        <v/>
      </c>
      <c r="AI4664">
        <f>IF($C4664="","",IF(OR($N4664=TRUE(),$N4664="TRUE"),1,0))</f>
        <v/>
      </c>
      <c r="AJ4664">
        <f>IF($C4664="","",IF($T4664="Yes",1,0))</f>
        <v/>
      </c>
      <c r="AK4664">
        <f>IF($AG4664=1,IFERROR(IF(VALUE($C4664)&lt;100000000,VALUE($C4664),1000000000),IFERROR(IF(VALUE(MID($C4664,2,20))&lt;100000000,VALUE(MID($C4664,2,20)),1000000000),1000000000))+ROW()/100000,"")</f>
        <v/>
      </c>
    </row>
    <row r="4665">
      <c r="D4665" s="11" t="n"/>
      <c r="K4665" s="7">
        <f>IF($C4665="","",J4665*W4665/100)</f>
        <v/>
      </c>
      <c r="Q4665" s="7" t="n"/>
      <c r="R4665" s="7" t="n"/>
      <c r="U4665">
        <f>IF($C4665="","",IF($AJ4665=1,0,IF($AI4665=1,Settings!$C$6,Settings!$C$7))*100)</f>
        <v/>
      </c>
      <c r="V4665" s="7">
        <f>IF($C4665="","",R4665*U4665/100)</f>
        <v/>
      </c>
      <c r="W4665" s="7">
        <f>IF($C4665="","",R4665-V4665)</f>
        <v/>
      </c>
      <c r="X4665" s="7">
        <f>IF($C4665="","",W4665-K4665)</f>
        <v/>
      </c>
      <c r="AB4665" s="7" t="n"/>
      <c r="AE4665" s="11" t="n"/>
      <c r="AG4665">
        <f>IF($C4665="","",IF(COUNTIF($C$2:$C4665,$C4665)=1,1,0))</f>
        <v/>
      </c>
      <c r="AH4665">
        <f>IF($AG4665=1,SUMPRODUCT(--($AK$2:$AK$6001&lt;$AK4665))+1,"")</f>
        <v/>
      </c>
      <c r="AI4665">
        <f>IF($C4665="","",IF(OR($N4665=TRUE(),$N4665="TRUE"),1,0))</f>
        <v/>
      </c>
      <c r="AJ4665">
        <f>IF($C4665="","",IF($T4665="Yes",1,0))</f>
        <v/>
      </c>
      <c r="AK4665">
        <f>IF($AG4665=1,IFERROR(IF(VALUE($C4665)&lt;100000000,VALUE($C4665),1000000000),IFERROR(IF(VALUE(MID($C4665,2,20))&lt;100000000,VALUE(MID($C4665,2,20)),1000000000),1000000000))+ROW()/100000,"")</f>
        <v/>
      </c>
    </row>
    <row r="4666">
      <c r="D4666" s="11" t="n"/>
      <c r="K4666" s="7">
        <f>IF($C4666="","",J4666*W4666/100)</f>
        <v/>
      </c>
      <c r="Q4666" s="7" t="n"/>
      <c r="R4666" s="7" t="n"/>
      <c r="U4666">
        <f>IF($C4666="","",IF($AJ4666=1,0,IF($AI4666=1,Settings!$C$6,Settings!$C$7))*100)</f>
        <v/>
      </c>
      <c r="V4666" s="7">
        <f>IF($C4666="","",R4666*U4666/100)</f>
        <v/>
      </c>
      <c r="W4666" s="7">
        <f>IF($C4666="","",R4666-V4666)</f>
        <v/>
      </c>
      <c r="X4666" s="7">
        <f>IF($C4666="","",W4666-K4666)</f>
        <v/>
      </c>
      <c r="AB4666" s="7" t="n"/>
      <c r="AE4666" s="11" t="n"/>
      <c r="AG4666">
        <f>IF($C4666="","",IF(COUNTIF($C$2:$C4666,$C4666)=1,1,0))</f>
        <v/>
      </c>
      <c r="AH4666">
        <f>IF($AG4666=1,SUMPRODUCT(--($AK$2:$AK$6001&lt;$AK4666))+1,"")</f>
        <v/>
      </c>
      <c r="AI4666">
        <f>IF($C4666="","",IF(OR($N4666=TRUE(),$N4666="TRUE"),1,0))</f>
        <v/>
      </c>
      <c r="AJ4666">
        <f>IF($C4666="","",IF($T4666="Yes",1,0))</f>
        <v/>
      </c>
      <c r="AK4666">
        <f>IF($AG4666=1,IFERROR(IF(VALUE($C4666)&lt;100000000,VALUE($C4666),1000000000),IFERROR(IF(VALUE(MID($C4666,2,20))&lt;100000000,VALUE(MID($C4666,2,20)),1000000000),1000000000))+ROW()/100000,"")</f>
        <v/>
      </c>
    </row>
    <row r="4667">
      <c r="D4667" s="11" t="n"/>
      <c r="K4667" s="7">
        <f>IF($C4667="","",J4667*W4667/100)</f>
        <v/>
      </c>
      <c r="Q4667" s="7" t="n"/>
      <c r="R4667" s="7" t="n"/>
      <c r="U4667">
        <f>IF($C4667="","",IF($AJ4667=1,0,IF($AI4667=1,Settings!$C$6,Settings!$C$7))*100)</f>
        <v/>
      </c>
      <c r="V4667" s="7">
        <f>IF($C4667="","",R4667*U4667/100)</f>
        <v/>
      </c>
      <c r="W4667" s="7">
        <f>IF($C4667="","",R4667-V4667)</f>
        <v/>
      </c>
      <c r="X4667" s="7">
        <f>IF($C4667="","",W4667-K4667)</f>
        <v/>
      </c>
      <c r="AB4667" s="7" t="n"/>
      <c r="AE4667" s="11" t="n"/>
      <c r="AG4667">
        <f>IF($C4667="","",IF(COUNTIF($C$2:$C4667,$C4667)=1,1,0))</f>
        <v/>
      </c>
      <c r="AH4667">
        <f>IF($AG4667=1,SUMPRODUCT(--($AK$2:$AK$6001&lt;$AK4667))+1,"")</f>
        <v/>
      </c>
      <c r="AI4667">
        <f>IF($C4667="","",IF(OR($N4667=TRUE(),$N4667="TRUE"),1,0))</f>
        <v/>
      </c>
      <c r="AJ4667">
        <f>IF($C4667="","",IF($T4667="Yes",1,0))</f>
        <v/>
      </c>
      <c r="AK4667">
        <f>IF($AG4667=1,IFERROR(IF(VALUE($C4667)&lt;100000000,VALUE($C4667),1000000000),IFERROR(IF(VALUE(MID($C4667,2,20))&lt;100000000,VALUE(MID($C4667,2,20)),1000000000),1000000000))+ROW()/100000,"")</f>
        <v/>
      </c>
    </row>
    <row r="4668">
      <c r="D4668" s="11" t="n"/>
      <c r="K4668" s="7">
        <f>IF($C4668="","",J4668*W4668/100)</f>
        <v/>
      </c>
      <c r="Q4668" s="7" t="n"/>
      <c r="R4668" s="7" t="n"/>
      <c r="U4668">
        <f>IF($C4668="","",IF($AJ4668=1,0,IF($AI4668=1,Settings!$C$6,Settings!$C$7))*100)</f>
        <v/>
      </c>
      <c r="V4668" s="7">
        <f>IF($C4668="","",R4668*U4668/100)</f>
        <v/>
      </c>
      <c r="W4668" s="7">
        <f>IF($C4668="","",R4668-V4668)</f>
        <v/>
      </c>
      <c r="X4668" s="7">
        <f>IF($C4668="","",W4668-K4668)</f>
        <v/>
      </c>
      <c r="AB4668" s="7" t="n"/>
      <c r="AE4668" s="11" t="n"/>
      <c r="AG4668">
        <f>IF($C4668="","",IF(COUNTIF($C$2:$C4668,$C4668)=1,1,0))</f>
        <v/>
      </c>
      <c r="AH4668">
        <f>IF($AG4668=1,SUMPRODUCT(--($AK$2:$AK$6001&lt;$AK4668))+1,"")</f>
        <v/>
      </c>
      <c r="AI4668">
        <f>IF($C4668="","",IF(OR($N4668=TRUE(),$N4668="TRUE"),1,0))</f>
        <v/>
      </c>
      <c r="AJ4668">
        <f>IF($C4668="","",IF($T4668="Yes",1,0))</f>
        <v/>
      </c>
      <c r="AK4668">
        <f>IF($AG4668=1,IFERROR(IF(VALUE($C4668)&lt;100000000,VALUE($C4668),1000000000),IFERROR(IF(VALUE(MID($C4668,2,20))&lt;100000000,VALUE(MID($C4668,2,20)),1000000000),1000000000))+ROW()/100000,"")</f>
        <v/>
      </c>
    </row>
    <row r="4669">
      <c r="D4669" s="11" t="n"/>
      <c r="K4669" s="7">
        <f>IF($C4669="","",J4669*W4669/100)</f>
        <v/>
      </c>
      <c r="Q4669" s="7" t="n"/>
      <c r="R4669" s="7" t="n"/>
      <c r="U4669">
        <f>IF($C4669="","",IF($AJ4669=1,0,IF($AI4669=1,Settings!$C$6,Settings!$C$7))*100)</f>
        <v/>
      </c>
      <c r="V4669" s="7">
        <f>IF($C4669="","",R4669*U4669/100)</f>
        <v/>
      </c>
      <c r="W4669" s="7">
        <f>IF($C4669="","",R4669-V4669)</f>
        <v/>
      </c>
      <c r="X4669" s="7">
        <f>IF($C4669="","",W4669-K4669)</f>
        <v/>
      </c>
      <c r="AB4669" s="7" t="n"/>
      <c r="AE4669" s="11" t="n"/>
      <c r="AG4669">
        <f>IF($C4669="","",IF(COUNTIF($C$2:$C4669,$C4669)=1,1,0))</f>
        <v/>
      </c>
      <c r="AH4669">
        <f>IF($AG4669=1,SUMPRODUCT(--($AK$2:$AK$6001&lt;$AK4669))+1,"")</f>
        <v/>
      </c>
      <c r="AI4669">
        <f>IF($C4669="","",IF(OR($N4669=TRUE(),$N4669="TRUE"),1,0))</f>
        <v/>
      </c>
      <c r="AJ4669">
        <f>IF($C4669="","",IF($T4669="Yes",1,0))</f>
        <v/>
      </c>
      <c r="AK4669">
        <f>IF($AG4669=1,IFERROR(IF(VALUE($C4669)&lt;100000000,VALUE($C4669),1000000000),IFERROR(IF(VALUE(MID($C4669,2,20))&lt;100000000,VALUE(MID($C4669,2,20)),1000000000),1000000000))+ROW()/100000,"")</f>
        <v/>
      </c>
    </row>
    <row r="4670">
      <c r="D4670" s="11" t="n"/>
      <c r="K4670" s="7">
        <f>IF($C4670="","",J4670*W4670/100)</f>
        <v/>
      </c>
      <c r="Q4670" s="7" t="n"/>
      <c r="R4670" s="7" t="n"/>
      <c r="U4670">
        <f>IF($C4670="","",IF($AJ4670=1,0,IF($AI4670=1,Settings!$C$6,Settings!$C$7))*100)</f>
        <v/>
      </c>
      <c r="V4670" s="7">
        <f>IF($C4670="","",R4670*U4670/100)</f>
        <v/>
      </c>
      <c r="W4670" s="7">
        <f>IF($C4670="","",R4670-V4670)</f>
        <v/>
      </c>
      <c r="X4670" s="7">
        <f>IF($C4670="","",W4670-K4670)</f>
        <v/>
      </c>
      <c r="AB4670" s="7" t="n"/>
      <c r="AE4670" s="11" t="n"/>
      <c r="AG4670">
        <f>IF($C4670="","",IF(COUNTIF($C$2:$C4670,$C4670)=1,1,0))</f>
        <v/>
      </c>
      <c r="AH4670">
        <f>IF($AG4670=1,SUMPRODUCT(--($AK$2:$AK$6001&lt;$AK4670))+1,"")</f>
        <v/>
      </c>
      <c r="AI4670">
        <f>IF($C4670="","",IF(OR($N4670=TRUE(),$N4670="TRUE"),1,0))</f>
        <v/>
      </c>
      <c r="AJ4670">
        <f>IF($C4670="","",IF($T4670="Yes",1,0))</f>
        <v/>
      </c>
      <c r="AK4670">
        <f>IF($AG4670=1,IFERROR(IF(VALUE($C4670)&lt;100000000,VALUE($C4670),1000000000),IFERROR(IF(VALUE(MID($C4670,2,20))&lt;100000000,VALUE(MID($C4670,2,20)),1000000000),1000000000))+ROW()/100000,"")</f>
        <v/>
      </c>
    </row>
    <row r="4671">
      <c r="D4671" s="11" t="n"/>
      <c r="K4671" s="7">
        <f>IF($C4671="","",J4671*W4671/100)</f>
        <v/>
      </c>
      <c r="Q4671" s="7" t="n"/>
      <c r="R4671" s="7" t="n"/>
      <c r="U4671">
        <f>IF($C4671="","",IF($AJ4671=1,0,IF($AI4671=1,Settings!$C$6,Settings!$C$7))*100)</f>
        <v/>
      </c>
      <c r="V4671" s="7">
        <f>IF($C4671="","",R4671*U4671/100)</f>
        <v/>
      </c>
      <c r="W4671" s="7">
        <f>IF($C4671="","",R4671-V4671)</f>
        <v/>
      </c>
      <c r="X4671" s="7">
        <f>IF($C4671="","",W4671-K4671)</f>
        <v/>
      </c>
      <c r="AB4671" s="7" t="n"/>
      <c r="AE4671" s="11" t="n"/>
      <c r="AG4671">
        <f>IF($C4671="","",IF(COUNTIF($C$2:$C4671,$C4671)=1,1,0))</f>
        <v/>
      </c>
      <c r="AH4671">
        <f>IF($AG4671=1,SUMPRODUCT(--($AK$2:$AK$6001&lt;$AK4671))+1,"")</f>
        <v/>
      </c>
      <c r="AI4671">
        <f>IF($C4671="","",IF(OR($N4671=TRUE(),$N4671="TRUE"),1,0))</f>
        <v/>
      </c>
      <c r="AJ4671">
        <f>IF($C4671="","",IF($T4671="Yes",1,0))</f>
        <v/>
      </c>
      <c r="AK4671">
        <f>IF($AG4671=1,IFERROR(IF(VALUE($C4671)&lt;100000000,VALUE($C4671),1000000000),IFERROR(IF(VALUE(MID($C4671,2,20))&lt;100000000,VALUE(MID($C4671,2,20)),1000000000),1000000000))+ROW()/100000,"")</f>
        <v/>
      </c>
    </row>
    <row r="4672">
      <c r="D4672" s="11" t="n"/>
      <c r="K4672" s="7">
        <f>IF($C4672="","",J4672*W4672/100)</f>
        <v/>
      </c>
      <c r="Q4672" s="7" t="n"/>
      <c r="R4672" s="7" t="n"/>
      <c r="U4672">
        <f>IF($C4672="","",IF($AJ4672=1,0,IF($AI4672=1,Settings!$C$6,Settings!$C$7))*100)</f>
        <v/>
      </c>
      <c r="V4672" s="7">
        <f>IF($C4672="","",R4672*U4672/100)</f>
        <v/>
      </c>
      <c r="W4672" s="7">
        <f>IF($C4672="","",R4672-V4672)</f>
        <v/>
      </c>
      <c r="X4672" s="7">
        <f>IF($C4672="","",W4672-K4672)</f>
        <v/>
      </c>
      <c r="AB4672" s="7" t="n"/>
      <c r="AE4672" s="11" t="n"/>
      <c r="AG4672">
        <f>IF($C4672="","",IF(COUNTIF($C$2:$C4672,$C4672)=1,1,0))</f>
        <v/>
      </c>
      <c r="AH4672">
        <f>IF($AG4672=1,SUMPRODUCT(--($AK$2:$AK$6001&lt;$AK4672))+1,"")</f>
        <v/>
      </c>
      <c r="AI4672">
        <f>IF($C4672="","",IF(OR($N4672=TRUE(),$N4672="TRUE"),1,0))</f>
        <v/>
      </c>
      <c r="AJ4672">
        <f>IF($C4672="","",IF($T4672="Yes",1,0))</f>
        <v/>
      </c>
      <c r="AK4672">
        <f>IF($AG4672=1,IFERROR(IF(VALUE($C4672)&lt;100000000,VALUE($C4672),1000000000),IFERROR(IF(VALUE(MID($C4672,2,20))&lt;100000000,VALUE(MID($C4672,2,20)),1000000000),1000000000))+ROW()/100000,"")</f>
        <v/>
      </c>
    </row>
    <row r="4673">
      <c r="D4673" s="11" t="n"/>
      <c r="K4673" s="7">
        <f>IF($C4673="","",J4673*W4673/100)</f>
        <v/>
      </c>
      <c r="Q4673" s="7" t="n"/>
      <c r="R4673" s="7" t="n"/>
      <c r="U4673">
        <f>IF($C4673="","",IF($AJ4673=1,0,IF($AI4673=1,Settings!$C$6,Settings!$C$7))*100)</f>
        <v/>
      </c>
      <c r="V4673" s="7">
        <f>IF($C4673="","",R4673*U4673/100)</f>
        <v/>
      </c>
      <c r="W4673" s="7">
        <f>IF($C4673="","",R4673-V4673)</f>
        <v/>
      </c>
      <c r="X4673" s="7">
        <f>IF($C4673="","",W4673-K4673)</f>
        <v/>
      </c>
      <c r="AB4673" s="7" t="n"/>
      <c r="AE4673" s="11" t="n"/>
      <c r="AG4673">
        <f>IF($C4673="","",IF(COUNTIF($C$2:$C4673,$C4673)=1,1,0))</f>
        <v/>
      </c>
      <c r="AH4673">
        <f>IF($AG4673=1,SUMPRODUCT(--($AK$2:$AK$6001&lt;$AK4673))+1,"")</f>
        <v/>
      </c>
      <c r="AI4673">
        <f>IF($C4673="","",IF(OR($N4673=TRUE(),$N4673="TRUE"),1,0))</f>
        <v/>
      </c>
      <c r="AJ4673">
        <f>IF($C4673="","",IF($T4673="Yes",1,0))</f>
        <v/>
      </c>
      <c r="AK4673">
        <f>IF($AG4673=1,IFERROR(IF(VALUE($C4673)&lt;100000000,VALUE($C4673),1000000000),IFERROR(IF(VALUE(MID($C4673,2,20))&lt;100000000,VALUE(MID($C4673,2,20)),1000000000),1000000000))+ROW()/100000,"")</f>
        <v/>
      </c>
    </row>
    <row r="4674">
      <c r="D4674" s="11" t="n"/>
      <c r="K4674" s="7">
        <f>IF($C4674="","",J4674*W4674/100)</f>
        <v/>
      </c>
      <c r="Q4674" s="7" t="n"/>
      <c r="R4674" s="7" t="n"/>
      <c r="U4674">
        <f>IF($C4674="","",IF($AJ4674=1,0,IF($AI4674=1,Settings!$C$6,Settings!$C$7))*100)</f>
        <v/>
      </c>
      <c r="V4674" s="7">
        <f>IF($C4674="","",R4674*U4674/100)</f>
        <v/>
      </c>
      <c r="W4674" s="7">
        <f>IF($C4674="","",R4674-V4674)</f>
        <v/>
      </c>
      <c r="X4674" s="7">
        <f>IF($C4674="","",W4674-K4674)</f>
        <v/>
      </c>
      <c r="AB4674" s="7" t="n"/>
      <c r="AE4674" s="11" t="n"/>
      <c r="AG4674">
        <f>IF($C4674="","",IF(COUNTIF($C$2:$C4674,$C4674)=1,1,0))</f>
        <v/>
      </c>
      <c r="AH4674">
        <f>IF($AG4674=1,SUMPRODUCT(--($AK$2:$AK$6001&lt;$AK4674))+1,"")</f>
        <v/>
      </c>
      <c r="AI4674">
        <f>IF($C4674="","",IF(OR($N4674=TRUE(),$N4674="TRUE"),1,0))</f>
        <v/>
      </c>
      <c r="AJ4674">
        <f>IF($C4674="","",IF($T4674="Yes",1,0))</f>
        <v/>
      </c>
      <c r="AK4674">
        <f>IF($AG4674=1,IFERROR(IF(VALUE($C4674)&lt;100000000,VALUE($C4674),1000000000),IFERROR(IF(VALUE(MID($C4674,2,20))&lt;100000000,VALUE(MID($C4674,2,20)),1000000000),1000000000))+ROW()/100000,"")</f>
        <v/>
      </c>
    </row>
    <row r="4675">
      <c r="D4675" s="11" t="n"/>
      <c r="K4675" s="7">
        <f>IF($C4675="","",J4675*W4675/100)</f>
        <v/>
      </c>
      <c r="Q4675" s="7" t="n"/>
      <c r="R4675" s="7" t="n"/>
      <c r="U4675">
        <f>IF($C4675="","",IF($AJ4675=1,0,IF($AI4675=1,Settings!$C$6,Settings!$C$7))*100)</f>
        <v/>
      </c>
      <c r="V4675" s="7">
        <f>IF($C4675="","",R4675*U4675/100)</f>
        <v/>
      </c>
      <c r="W4675" s="7">
        <f>IF($C4675="","",R4675-V4675)</f>
        <v/>
      </c>
      <c r="X4675" s="7">
        <f>IF($C4675="","",W4675-K4675)</f>
        <v/>
      </c>
      <c r="AB4675" s="7" t="n"/>
      <c r="AE4675" s="11" t="n"/>
      <c r="AG4675">
        <f>IF($C4675="","",IF(COUNTIF($C$2:$C4675,$C4675)=1,1,0))</f>
        <v/>
      </c>
      <c r="AH4675">
        <f>IF($AG4675=1,SUMPRODUCT(--($AK$2:$AK$6001&lt;$AK4675))+1,"")</f>
        <v/>
      </c>
      <c r="AI4675">
        <f>IF($C4675="","",IF(OR($N4675=TRUE(),$N4675="TRUE"),1,0))</f>
        <v/>
      </c>
      <c r="AJ4675">
        <f>IF($C4675="","",IF($T4675="Yes",1,0))</f>
        <v/>
      </c>
      <c r="AK4675">
        <f>IF($AG4675=1,IFERROR(IF(VALUE($C4675)&lt;100000000,VALUE($C4675),1000000000),IFERROR(IF(VALUE(MID($C4675,2,20))&lt;100000000,VALUE(MID($C4675,2,20)),1000000000),1000000000))+ROW()/100000,"")</f>
        <v/>
      </c>
    </row>
    <row r="4676">
      <c r="D4676" s="11" t="n"/>
      <c r="K4676" s="7">
        <f>IF($C4676="","",J4676*W4676/100)</f>
        <v/>
      </c>
      <c r="Q4676" s="7" t="n"/>
      <c r="R4676" s="7" t="n"/>
      <c r="U4676">
        <f>IF($C4676="","",IF($AJ4676=1,0,IF($AI4676=1,Settings!$C$6,Settings!$C$7))*100)</f>
        <v/>
      </c>
      <c r="V4676" s="7">
        <f>IF($C4676="","",R4676*U4676/100)</f>
        <v/>
      </c>
      <c r="W4676" s="7">
        <f>IF($C4676="","",R4676-V4676)</f>
        <v/>
      </c>
      <c r="X4676" s="7">
        <f>IF($C4676="","",W4676-K4676)</f>
        <v/>
      </c>
      <c r="AB4676" s="7" t="n"/>
      <c r="AE4676" s="11" t="n"/>
      <c r="AG4676">
        <f>IF($C4676="","",IF(COUNTIF($C$2:$C4676,$C4676)=1,1,0))</f>
        <v/>
      </c>
      <c r="AH4676">
        <f>IF($AG4676=1,SUMPRODUCT(--($AK$2:$AK$6001&lt;$AK4676))+1,"")</f>
        <v/>
      </c>
      <c r="AI4676">
        <f>IF($C4676="","",IF(OR($N4676=TRUE(),$N4676="TRUE"),1,0))</f>
        <v/>
      </c>
      <c r="AJ4676">
        <f>IF($C4676="","",IF($T4676="Yes",1,0))</f>
        <v/>
      </c>
      <c r="AK4676">
        <f>IF($AG4676=1,IFERROR(IF(VALUE($C4676)&lt;100000000,VALUE($C4676),1000000000),IFERROR(IF(VALUE(MID($C4676,2,20))&lt;100000000,VALUE(MID($C4676,2,20)),1000000000),1000000000))+ROW()/100000,"")</f>
        <v/>
      </c>
    </row>
    <row r="4677">
      <c r="D4677" s="11" t="n"/>
      <c r="K4677" s="7">
        <f>IF($C4677="","",J4677*W4677/100)</f>
        <v/>
      </c>
      <c r="Q4677" s="7" t="n"/>
      <c r="R4677" s="7" t="n"/>
      <c r="U4677">
        <f>IF($C4677="","",IF($AJ4677=1,0,IF($AI4677=1,Settings!$C$6,Settings!$C$7))*100)</f>
        <v/>
      </c>
      <c r="V4677" s="7">
        <f>IF($C4677="","",R4677*U4677/100)</f>
        <v/>
      </c>
      <c r="W4677" s="7">
        <f>IF($C4677="","",R4677-V4677)</f>
        <v/>
      </c>
      <c r="X4677" s="7">
        <f>IF($C4677="","",W4677-K4677)</f>
        <v/>
      </c>
      <c r="AB4677" s="7" t="n"/>
      <c r="AE4677" s="11" t="n"/>
      <c r="AG4677">
        <f>IF($C4677="","",IF(COUNTIF($C$2:$C4677,$C4677)=1,1,0))</f>
        <v/>
      </c>
      <c r="AH4677">
        <f>IF($AG4677=1,SUMPRODUCT(--($AK$2:$AK$6001&lt;$AK4677))+1,"")</f>
        <v/>
      </c>
      <c r="AI4677">
        <f>IF($C4677="","",IF(OR($N4677=TRUE(),$N4677="TRUE"),1,0))</f>
        <v/>
      </c>
      <c r="AJ4677">
        <f>IF($C4677="","",IF($T4677="Yes",1,0))</f>
        <v/>
      </c>
      <c r="AK4677">
        <f>IF($AG4677=1,IFERROR(IF(VALUE($C4677)&lt;100000000,VALUE($C4677),1000000000),IFERROR(IF(VALUE(MID($C4677,2,20))&lt;100000000,VALUE(MID($C4677,2,20)),1000000000),1000000000))+ROW()/100000,"")</f>
        <v/>
      </c>
    </row>
    <row r="4678">
      <c r="D4678" s="11" t="n"/>
      <c r="K4678" s="7">
        <f>IF($C4678="","",J4678*W4678/100)</f>
        <v/>
      </c>
      <c r="Q4678" s="7" t="n"/>
      <c r="R4678" s="7" t="n"/>
      <c r="U4678">
        <f>IF($C4678="","",IF($AJ4678=1,0,IF($AI4678=1,Settings!$C$6,Settings!$C$7))*100)</f>
        <v/>
      </c>
      <c r="V4678" s="7">
        <f>IF($C4678="","",R4678*U4678/100)</f>
        <v/>
      </c>
      <c r="W4678" s="7">
        <f>IF($C4678="","",R4678-V4678)</f>
        <v/>
      </c>
      <c r="X4678" s="7">
        <f>IF($C4678="","",W4678-K4678)</f>
        <v/>
      </c>
      <c r="AB4678" s="7" t="n"/>
      <c r="AE4678" s="11" t="n"/>
      <c r="AG4678">
        <f>IF($C4678="","",IF(COUNTIF($C$2:$C4678,$C4678)=1,1,0))</f>
        <v/>
      </c>
      <c r="AH4678">
        <f>IF($AG4678=1,SUMPRODUCT(--($AK$2:$AK$6001&lt;$AK4678))+1,"")</f>
        <v/>
      </c>
      <c r="AI4678">
        <f>IF($C4678="","",IF(OR($N4678=TRUE(),$N4678="TRUE"),1,0))</f>
        <v/>
      </c>
      <c r="AJ4678">
        <f>IF($C4678="","",IF($T4678="Yes",1,0))</f>
        <v/>
      </c>
      <c r="AK4678">
        <f>IF($AG4678=1,IFERROR(IF(VALUE($C4678)&lt;100000000,VALUE($C4678),1000000000),IFERROR(IF(VALUE(MID($C4678,2,20))&lt;100000000,VALUE(MID($C4678,2,20)),1000000000),1000000000))+ROW()/100000,"")</f>
        <v/>
      </c>
    </row>
    <row r="4679">
      <c r="D4679" s="11" t="n"/>
      <c r="K4679" s="7">
        <f>IF($C4679="","",J4679*W4679/100)</f>
        <v/>
      </c>
      <c r="Q4679" s="7" t="n"/>
      <c r="R4679" s="7" t="n"/>
      <c r="U4679">
        <f>IF($C4679="","",IF($AJ4679=1,0,IF($AI4679=1,Settings!$C$6,Settings!$C$7))*100)</f>
        <v/>
      </c>
      <c r="V4679" s="7">
        <f>IF($C4679="","",R4679*U4679/100)</f>
        <v/>
      </c>
      <c r="W4679" s="7">
        <f>IF($C4679="","",R4679-V4679)</f>
        <v/>
      </c>
      <c r="X4679" s="7">
        <f>IF($C4679="","",W4679-K4679)</f>
        <v/>
      </c>
      <c r="AB4679" s="7" t="n"/>
      <c r="AE4679" s="11" t="n"/>
      <c r="AG4679">
        <f>IF($C4679="","",IF(COUNTIF($C$2:$C4679,$C4679)=1,1,0))</f>
        <v/>
      </c>
      <c r="AH4679">
        <f>IF($AG4679=1,SUMPRODUCT(--($AK$2:$AK$6001&lt;$AK4679))+1,"")</f>
        <v/>
      </c>
      <c r="AI4679">
        <f>IF($C4679="","",IF(OR($N4679=TRUE(),$N4679="TRUE"),1,0))</f>
        <v/>
      </c>
      <c r="AJ4679">
        <f>IF($C4679="","",IF($T4679="Yes",1,0))</f>
        <v/>
      </c>
      <c r="AK4679">
        <f>IF($AG4679=1,IFERROR(IF(VALUE($C4679)&lt;100000000,VALUE($C4679),1000000000),IFERROR(IF(VALUE(MID($C4679,2,20))&lt;100000000,VALUE(MID($C4679,2,20)),1000000000),1000000000))+ROW()/100000,"")</f>
        <v/>
      </c>
    </row>
    <row r="4680">
      <c r="D4680" s="11" t="n"/>
      <c r="K4680" s="7">
        <f>IF($C4680="","",J4680*W4680/100)</f>
        <v/>
      </c>
      <c r="Q4680" s="7" t="n"/>
      <c r="R4680" s="7" t="n"/>
      <c r="U4680">
        <f>IF($C4680="","",IF($AJ4680=1,0,IF($AI4680=1,Settings!$C$6,Settings!$C$7))*100)</f>
        <v/>
      </c>
      <c r="V4680" s="7">
        <f>IF($C4680="","",R4680*U4680/100)</f>
        <v/>
      </c>
      <c r="W4680" s="7">
        <f>IF($C4680="","",R4680-V4680)</f>
        <v/>
      </c>
      <c r="X4680" s="7">
        <f>IF($C4680="","",W4680-K4680)</f>
        <v/>
      </c>
      <c r="AB4680" s="7" t="n"/>
      <c r="AE4680" s="11" t="n"/>
      <c r="AG4680">
        <f>IF($C4680="","",IF(COUNTIF($C$2:$C4680,$C4680)=1,1,0))</f>
        <v/>
      </c>
      <c r="AH4680">
        <f>IF($AG4680=1,SUMPRODUCT(--($AK$2:$AK$6001&lt;$AK4680))+1,"")</f>
        <v/>
      </c>
      <c r="AI4680">
        <f>IF($C4680="","",IF(OR($N4680=TRUE(),$N4680="TRUE"),1,0))</f>
        <v/>
      </c>
      <c r="AJ4680">
        <f>IF($C4680="","",IF($T4680="Yes",1,0))</f>
        <v/>
      </c>
      <c r="AK4680">
        <f>IF($AG4680=1,IFERROR(IF(VALUE($C4680)&lt;100000000,VALUE($C4680),1000000000),IFERROR(IF(VALUE(MID($C4680,2,20))&lt;100000000,VALUE(MID($C4680,2,20)),1000000000),1000000000))+ROW()/100000,"")</f>
        <v/>
      </c>
    </row>
    <row r="4681">
      <c r="D4681" s="11" t="n"/>
      <c r="K4681" s="7">
        <f>IF($C4681="","",J4681*W4681/100)</f>
        <v/>
      </c>
      <c r="Q4681" s="7" t="n"/>
      <c r="R4681" s="7" t="n"/>
      <c r="U4681">
        <f>IF($C4681="","",IF($AJ4681=1,0,IF($AI4681=1,Settings!$C$6,Settings!$C$7))*100)</f>
        <v/>
      </c>
      <c r="V4681" s="7">
        <f>IF($C4681="","",R4681*U4681/100)</f>
        <v/>
      </c>
      <c r="W4681" s="7">
        <f>IF($C4681="","",R4681-V4681)</f>
        <v/>
      </c>
      <c r="X4681" s="7">
        <f>IF($C4681="","",W4681-K4681)</f>
        <v/>
      </c>
      <c r="AB4681" s="7" t="n"/>
      <c r="AE4681" s="11" t="n"/>
      <c r="AG4681">
        <f>IF($C4681="","",IF(COUNTIF($C$2:$C4681,$C4681)=1,1,0))</f>
        <v/>
      </c>
      <c r="AH4681">
        <f>IF($AG4681=1,SUMPRODUCT(--($AK$2:$AK$6001&lt;$AK4681))+1,"")</f>
        <v/>
      </c>
      <c r="AI4681">
        <f>IF($C4681="","",IF(OR($N4681=TRUE(),$N4681="TRUE"),1,0))</f>
        <v/>
      </c>
      <c r="AJ4681">
        <f>IF($C4681="","",IF($T4681="Yes",1,0))</f>
        <v/>
      </c>
      <c r="AK4681">
        <f>IF($AG4681=1,IFERROR(IF(VALUE($C4681)&lt;100000000,VALUE($C4681),1000000000),IFERROR(IF(VALUE(MID($C4681,2,20))&lt;100000000,VALUE(MID($C4681,2,20)),1000000000),1000000000))+ROW()/100000,"")</f>
        <v/>
      </c>
    </row>
    <row r="4682">
      <c r="D4682" s="11" t="n"/>
      <c r="K4682" s="7">
        <f>IF($C4682="","",J4682*W4682/100)</f>
        <v/>
      </c>
      <c r="Q4682" s="7" t="n"/>
      <c r="R4682" s="7" t="n"/>
      <c r="U4682">
        <f>IF($C4682="","",IF($AJ4682=1,0,IF($AI4682=1,Settings!$C$6,Settings!$C$7))*100)</f>
        <v/>
      </c>
      <c r="V4682" s="7">
        <f>IF($C4682="","",R4682*U4682/100)</f>
        <v/>
      </c>
      <c r="W4682" s="7">
        <f>IF($C4682="","",R4682-V4682)</f>
        <v/>
      </c>
      <c r="X4682" s="7">
        <f>IF($C4682="","",W4682-K4682)</f>
        <v/>
      </c>
      <c r="AB4682" s="7" t="n"/>
      <c r="AE4682" s="11" t="n"/>
      <c r="AG4682">
        <f>IF($C4682="","",IF(COUNTIF($C$2:$C4682,$C4682)=1,1,0))</f>
        <v/>
      </c>
      <c r="AH4682">
        <f>IF($AG4682=1,SUMPRODUCT(--($AK$2:$AK$6001&lt;$AK4682))+1,"")</f>
        <v/>
      </c>
      <c r="AI4682">
        <f>IF($C4682="","",IF(OR($N4682=TRUE(),$N4682="TRUE"),1,0))</f>
        <v/>
      </c>
      <c r="AJ4682">
        <f>IF($C4682="","",IF($T4682="Yes",1,0))</f>
        <v/>
      </c>
      <c r="AK4682">
        <f>IF($AG4682=1,IFERROR(IF(VALUE($C4682)&lt;100000000,VALUE($C4682),1000000000),IFERROR(IF(VALUE(MID($C4682,2,20))&lt;100000000,VALUE(MID($C4682,2,20)),1000000000),1000000000))+ROW()/100000,"")</f>
        <v/>
      </c>
    </row>
    <row r="4683">
      <c r="D4683" s="11" t="n"/>
      <c r="K4683" s="7">
        <f>IF($C4683="","",J4683*W4683/100)</f>
        <v/>
      </c>
      <c r="Q4683" s="7" t="n"/>
      <c r="R4683" s="7" t="n"/>
      <c r="U4683">
        <f>IF($C4683="","",IF($AJ4683=1,0,IF($AI4683=1,Settings!$C$6,Settings!$C$7))*100)</f>
        <v/>
      </c>
      <c r="V4683" s="7">
        <f>IF($C4683="","",R4683*U4683/100)</f>
        <v/>
      </c>
      <c r="W4683" s="7">
        <f>IF($C4683="","",R4683-V4683)</f>
        <v/>
      </c>
      <c r="X4683" s="7">
        <f>IF($C4683="","",W4683-K4683)</f>
        <v/>
      </c>
      <c r="AB4683" s="7" t="n"/>
      <c r="AE4683" s="11" t="n"/>
      <c r="AG4683">
        <f>IF($C4683="","",IF(COUNTIF($C$2:$C4683,$C4683)=1,1,0))</f>
        <v/>
      </c>
      <c r="AH4683">
        <f>IF($AG4683=1,SUMPRODUCT(--($AK$2:$AK$6001&lt;$AK4683))+1,"")</f>
        <v/>
      </c>
      <c r="AI4683">
        <f>IF($C4683="","",IF(OR($N4683=TRUE(),$N4683="TRUE"),1,0))</f>
        <v/>
      </c>
      <c r="AJ4683">
        <f>IF($C4683="","",IF($T4683="Yes",1,0))</f>
        <v/>
      </c>
      <c r="AK4683">
        <f>IF($AG4683=1,IFERROR(IF(VALUE($C4683)&lt;100000000,VALUE($C4683),1000000000),IFERROR(IF(VALUE(MID($C4683,2,20))&lt;100000000,VALUE(MID($C4683,2,20)),1000000000),1000000000))+ROW()/100000,"")</f>
        <v/>
      </c>
    </row>
    <row r="4684">
      <c r="D4684" s="11" t="n"/>
      <c r="K4684" s="7">
        <f>IF($C4684="","",J4684*W4684/100)</f>
        <v/>
      </c>
      <c r="Q4684" s="7" t="n"/>
      <c r="R4684" s="7" t="n"/>
      <c r="U4684">
        <f>IF($C4684="","",IF($AJ4684=1,0,IF($AI4684=1,Settings!$C$6,Settings!$C$7))*100)</f>
        <v/>
      </c>
      <c r="V4684" s="7">
        <f>IF($C4684="","",R4684*U4684/100)</f>
        <v/>
      </c>
      <c r="W4684" s="7">
        <f>IF($C4684="","",R4684-V4684)</f>
        <v/>
      </c>
      <c r="X4684" s="7">
        <f>IF($C4684="","",W4684-K4684)</f>
        <v/>
      </c>
      <c r="AB4684" s="7" t="n"/>
      <c r="AE4684" s="11" t="n"/>
      <c r="AG4684">
        <f>IF($C4684="","",IF(COUNTIF($C$2:$C4684,$C4684)=1,1,0))</f>
        <v/>
      </c>
      <c r="AH4684">
        <f>IF($AG4684=1,SUMPRODUCT(--($AK$2:$AK$6001&lt;$AK4684))+1,"")</f>
        <v/>
      </c>
      <c r="AI4684">
        <f>IF($C4684="","",IF(OR($N4684=TRUE(),$N4684="TRUE"),1,0))</f>
        <v/>
      </c>
      <c r="AJ4684">
        <f>IF($C4684="","",IF($T4684="Yes",1,0))</f>
        <v/>
      </c>
      <c r="AK4684">
        <f>IF($AG4684=1,IFERROR(IF(VALUE($C4684)&lt;100000000,VALUE($C4684),1000000000),IFERROR(IF(VALUE(MID($C4684,2,20))&lt;100000000,VALUE(MID($C4684,2,20)),1000000000),1000000000))+ROW()/100000,"")</f>
        <v/>
      </c>
    </row>
    <row r="4685">
      <c r="D4685" s="11" t="n"/>
      <c r="K4685" s="7">
        <f>IF($C4685="","",J4685*W4685/100)</f>
        <v/>
      </c>
      <c r="Q4685" s="7" t="n"/>
      <c r="R4685" s="7" t="n"/>
      <c r="U4685">
        <f>IF($C4685="","",IF($AJ4685=1,0,IF($AI4685=1,Settings!$C$6,Settings!$C$7))*100)</f>
        <v/>
      </c>
      <c r="V4685" s="7">
        <f>IF($C4685="","",R4685*U4685/100)</f>
        <v/>
      </c>
      <c r="W4685" s="7">
        <f>IF($C4685="","",R4685-V4685)</f>
        <v/>
      </c>
      <c r="X4685" s="7">
        <f>IF($C4685="","",W4685-K4685)</f>
        <v/>
      </c>
      <c r="AB4685" s="7" t="n"/>
      <c r="AE4685" s="11" t="n"/>
      <c r="AG4685">
        <f>IF($C4685="","",IF(COUNTIF($C$2:$C4685,$C4685)=1,1,0))</f>
        <v/>
      </c>
      <c r="AH4685">
        <f>IF($AG4685=1,SUMPRODUCT(--($AK$2:$AK$6001&lt;$AK4685))+1,"")</f>
        <v/>
      </c>
      <c r="AI4685">
        <f>IF($C4685="","",IF(OR($N4685=TRUE(),$N4685="TRUE"),1,0))</f>
        <v/>
      </c>
      <c r="AJ4685">
        <f>IF($C4685="","",IF($T4685="Yes",1,0))</f>
        <v/>
      </c>
      <c r="AK4685">
        <f>IF($AG4685=1,IFERROR(IF(VALUE($C4685)&lt;100000000,VALUE($C4685),1000000000),IFERROR(IF(VALUE(MID($C4685,2,20))&lt;100000000,VALUE(MID($C4685,2,20)),1000000000),1000000000))+ROW()/100000,"")</f>
        <v/>
      </c>
    </row>
    <row r="4686">
      <c r="D4686" s="11" t="n"/>
      <c r="K4686" s="7">
        <f>IF($C4686="","",J4686*W4686/100)</f>
        <v/>
      </c>
      <c r="Q4686" s="7" t="n"/>
      <c r="R4686" s="7" t="n"/>
      <c r="U4686">
        <f>IF($C4686="","",IF($AJ4686=1,0,IF($AI4686=1,Settings!$C$6,Settings!$C$7))*100)</f>
        <v/>
      </c>
      <c r="V4686" s="7">
        <f>IF($C4686="","",R4686*U4686/100)</f>
        <v/>
      </c>
      <c r="W4686" s="7">
        <f>IF($C4686="","",R4686-V4686)</f>
        <v/>
      </c>
      <c r="X4686" s="7">
        <f>IF($C4686="","",W4686-K4686)</f>
        <v/>
      </c>
      <c r="AB4686" s="7" t="n"/>
      <c r="AE4686" s="11" t="n"/>
      <c r="AG4686">
        <f>IF($C4686="","",IF(COUNTIF($C$2:$C4686,$C4686)=1,1,0))</f>
        <v/>
      </c>
      <c r="AH4686">
        <f>IF($AG4686=1,SUMPRODUCT(--($AK$2:$AK$6001&lt;$AK4686))+1,"")</f>
        <v/>
      </c>
      <c r="AI4686">
        <f>IF($C4686="","",IF(OR($N4686=TRUE(),$N4686="TRUE"),1,0))</f>
        <v/>
      </c>
      <c r="AJ4686">
        <f>IF($C4686="","",IF($T4686="Yes",1,0))</f>
        <v/>
      </c>
      <c r="AK4686">
        <f>IF($AG4686=1,IFERROR(IF(VALUE($C4686)&lt;100000000,VALUE($C4686),1000000000),IFERROR(IF(VALUE(MID($C4686,2,20))&lt;100000000,VALUE(MID($C4686,2,20)),1000000000),1000000000))+ROW()/100000,"")</f>
        <v/>
      </c>
    </row>
    <row r="4687">
      <c r="D4687" s="11" t="n"/>
      <c r="K4687" s="7">
        <f>IF($C4687="","",J4687*W4687/100)</f>
        <v/>
      </c>
      <c r="Q4687" s="7" t="n"/>
      <c r="R4687" s="7" t="n"/>
      <c r="U4687">
        <f>IF($C4687="","",IF($AJ4687=1,0,IF($AI4687=1,Settings!$C$6,Settings!$C$7))*100)</f>
        <v/>
      </c>
      <c r="V4687" s="7">
        <f>IF($C4687="","",R4687*U4687/100)</f>
        <v/>
      </c>
      <c r="W4687" s="7">
        <f>IF($C4687="","",R4687-V4687)</f>
        <v/>
      </c>
      <c r="X4687" s="7">
        <f>IF($C4687="","",W4687-K4687)</f>
        <v/>
      </c>
      <c r="AB4687" s="7" t="n"/>
      <c r="AE4687" s="11" t="n"/>
      <c r="AG4687">
        <f>IF($C4687="","",IF(COUNTIF($C$2:$C4687,$C4687)=1,1,0))</f>
        <v/>
      </c>
      <c r="AH4687">
        <f>IF($AG4687=1,SUMPRODUCT(--($AK$2:$AK$6001&lt;$AK4687))+1,"")</f>
        <v/>
      </c>
      <c r="AI4687">
        <f>IF($C4687="","",IF(OR($N4687=TRUE(),$N4687="TRUE"),1,0))</f>
        <v/>
      </c>
      <c r="AJ4687">
        <f>IF($C4687="","",IF($T4687="Yes",1,0))</f>
        <v/>
      </c>
      <c r="AK4687">
        <f>IF($AG4687=1,IFERROR(IF(VALUE($C4687)&lt;100000000,VALUE($C4687),1000000000),IFERROR(IF(VALUE(MID($C4687,2,20))&lt;100000000,VALUE(MID($C4687,2,20)),1000000000),1000000000))+ROW()/100000,"")</f>
        <v/>
      </c>
    </row>
    <row r="4688">
      <c r="D4688" s="11" t="n"/>
      <c r="K4688" s="7">
        <f>IF($C4688="","",J4688*W4688/100)</f>
        <v/>
      </c>
      <c r="Q4688" s="7" t="n"/>
      <c r="R4688" s="7" t="n"/>
      <c r="U4688">
        <f>IF($C4688="","",IF($AJ4688=1,0,IF($AI4688=1,Settings!$C$6,Settings!$C$7))*100)</f>
        <v/>
      </c>
      <c r="V4688" s="7">
        <f>IF($C4688="","",R4688*U4688/100)</f>
        <v/>
      </c>
      <c r="W4688" s="7">
        <f>IF($C4688="","",R4688-V4688)</f>
        <v/>
      </c>
      <c r="X4688" s="7">
        <f>IF($C4688="","",W4688-K4688)</f>
        <v/>
      </c>
      <c r="AB4688" s="7" t="n"/>
      <c r="AE4688" s="11" t="n"/>
      <c r="AG4688">
        <f>IF($C4688="","",IF(COUNTIF($C$2:$C4688,$C4688)=1,1,0))</f>
        <v/>
      </c>
      <c r="AH4688">
        <f>IF($AG4688=1,SUMPRODUCT(--($AK$2:$AK$6001&lt;$AK4688))+1,"")</f>
        <v/>
      </c>
      <c r="AI4688">
        <f>IF($C4688="","",IF(OR($N4688=TRUE(),$N4688="TRUE"),1,0))</f>
        <v/>
      </c>
      <c r="AJ4688">
        <f>IF($C4688="","",IF($T4688="Yes",1,0))</f>
        <v/>
      </c>
      <c r="AK4688">
        <f>IF($AG4688=1,IFERROR(IF(VALUE($C4688)&lt;100000000,VALUE($C4688),1000000000),IFERROR(IF(VALUE(MID($C4688,2,20))&lt;100000000,VALUE(MID($C4688,2,20)),1000000000),1000000000))+ROW()/100000,"")</f>
        <v/>
      </c>
    </row>
    <row r="4689">
      <c r="D4689" s="11" t="n"/>
      <c r="K4689" s="7">
        <f>IF($C4689="","",J4689*W4689/100)</f>
        <v/>
      </c>
      <c r="Q4689" s="7" t="n"/>
      <c r="R4689" s="7" t="n"/>
      <c r="U4689">
        <f>IF($C4689="","",IF($AJ4689=1,0,IF($AI4689=1,Settings!$C$6,Settings!$C$7))*100)</f>
        <v/>
      </c>
      <c r="V4689" s="7">
        <f>IF($C4689="","",R4689*U4689/100)</f>
        <v/>
      </c>
      <c r="W4689" s="7">
        <f>IF($C4689="","",R4689-V4689)</f>
        <v/>
      </c>
      <c r="X4689" s="7">
        <f>IF($C4689="","",W4689-K4689)</f>
        <v/>
      </c>
      <c r="AB4689" s="7" t="n"/>
      <c r="AE4689" s="11" t="n"/>
      <c r="AG4689">
        <f>IF($C4689="","",IF(COUNTIF($C$2:$C4689,$C4689)=1,1,0))</f>
        <v/>
      </c>
      <c r="AH4689">
        <f>IF($AG4689=1,SUMPRODUCT(--($AK$2:$AK$6001&lt;$AK4689))+1,"")</f>
        <v/>
      </c>
      <c r="AI4689">
        <f>IF($C4689="","",IF(OR($N4689=TRUE(),$N4689="TRUE"),1,0))</f>
        <v/>
      </c>
      <c r="AJ4689">
        <f>IF($C4689="","",IF($T4689="Yes",1,0))</f>
        <v/>
      </c>
      <c r="AK4689">
        <f>IF($AG4689=1,IFERROR(IF(VALUE($C4689)&lt;100000000,VALUE($C4689),1000000000),IFERROR(IF(VALUE(MID($C4689,2,20))&lt;100000000,VALUE(MID($C4689,2,20)),1000000000),1000000000))+ROW()/100000,"")</f>
        <v/>
      </c>
    </row>
    <row r="4690">
      <c r="D4690" s="11" t="n"/>
      <c r="K4690" s="7">
        <f>IF($C4690="","",J4690*W4690/100)</f>
        <v/>
      </c>
      <c r="Q4690" s="7" t="n"/>
      <c r="R4690" s="7" t="n"/>
      <c r="U4690">
        <f>IF($C4690="","",IF($AJ4690=1,0,IF($AI4690=1,Settings!$C$6,Settings!$C$7))*100)</f>
        <v/>
      </c>
      <c r="V4690" s="7">
        <f>IF($C4690="","",R4690*U4690/100)</f>
        <v/>
      </c>
      <c r="W4690" s="7">
        <f>IF($C4690="","",R4690-V4690)</f>
        <v/>
      </c>
      <c r="X4690" s="7">
        <f>IF($C4690="","",W4690-K4690)</f>
        <v/>
      </c>
      <c r="AB4690" s="7" t="n"/>
      <c r="AE4690" s="11" t="n"/>
      <c r="AG4690">
        <f>IF($C4690="","",IF(COUNTIF($C$2:$C4690,$C4690)=1,1,0))</f>
        <v/>
      </c>
      <c r="AH4690">
        <f>IF($AG4690=1,SUMPRODUCT(--($AK$2:$AK$6001&lt;$AK4690))+1,"")</f>
        <v/>
      </c>
      <c r="AI4690">
        <f>IF($C4690="","",IF(OR($N4690=TRUE(),$N4690="TRUE"),1,0))</f>
        <v/>
      </c>
      <c r="AJ4690">
        <f>IF($C4690="","",IF($T4690="Yes",1,0))</f>
        <v/>
      </c>
      <c r="AK4690">
        <f>IF($AG4690=1,IFERROR(IF(VALUE($C4690)&lt;100000000,VALUE($C4690),1000000000),IFERROR(IF(VALUE(MID($C4690,2,20))&lt;100000000,VALUE(MID($C4690,2,20)),1000000000),1000000000))+ROW()/100000,"")</f>
        <v/>
      </c>
    </row>
    <row r="4691">
      <c r="D4691" s="11" t="n"/>
      <c r="K4691" s="7">
        <f>IF($C4691="","",J4691*W4691/100)</f>
        <v/>
      </c>
      <c r="Q4691" s="7" t="n"/>
      <c r="R4691" s="7" t="n"/>
      <c r="U4691">
        <f>IF($C4691="","",IF($AJ4691=1,0,IF($AI4691=1,Settings!$C$6,Settings!$C$7))*100)</f>
        <v/>
      </c>
      <c r="V4691" s="7">
        <f>IF($C4691="","",R4691*U4691/100)</f>
        <v/>
      </c>
      <c r="W4691" s="7">
        <f>IF($C4691="","",R4691-V4691)</f>
        <v/>
      </c>
      <c r="X4691" s="7">
        <f>IF($C4691="","",W4691-K4691)</f>
        <v/>
      </c>
      <c r="AB4691" s="7" t="n"/>
      <c r="AE4691" s="11" t="n"/>
      <c r="AG4691">
        <f>IF($C4691="","",IF(COUNTIF($C$2:$C4691,$C4691)=1,1,0))</f>
        <v/>
      </c>
      <c r="AH4691">
        <f>IF($AG4691=1,SUMPRODUCT(--($AK$2:$AK$6001&lt;$AK4691))+1,"")</f>
        <v/>
      </c>
      <c r="AI4691">
        <f>IF($C4691="","",IF(OR($N4691=TRUE(),$N4691="TRUE"),1,0))</f>
        <v/>
      </c>
      <c r="AJ4691">
        <f>IF($C4691="","",IF($T4691="Yes",1,0))</f>
        <v/>
      </c>
      <c r="AK4691">
        <f>IF($AG4691=1,IFERROR(IF(VALUE($C4691)&lt;100000000,VALUE($C4691),1000000000),IFERROR(IF(VALUE(MID($C4691,2,20))&lt;100000000,VALUE(MID($C4691,2,20)),1000000000),1000000000))+ROW()/100000,"")</f>
        <v/>
      </c>
    </row>
    <row r="4692">
      <c r="D4692" s="11" t="n"/>
      <c r="K4692" s="7">
        <f>IF($C4692="","",J4692*W4692/100)</f>
        <v/>
      </c>
      <c r="Q4692" s="7" t="n"/>
      <c r="R4692" s="7" t="n"/>
      <c r="U4692">
        <f>IF($C4692="","",IF($AJ4692=1,0,IF($AI4692=1,Settings!$C$6,Settings!$C$7))*100)</f>
        <v/>
      </c>
      <c r="V4692" s="7">
        <f>IF($C4692="","",R4692*U4692/100)</f>
        <v/>
      </c>
      <c r="W4692" s="7">
        <f>IF($C4692="","",R4692-V4692)</f>
        <v/>
      </c>
      <c r="X4692" s="7">
        <f>IF($C4692="","",W4692-K4692)</f>
        <v/>
      </c>
      <c r="AB4692" s="7" t="n"/>
      <c r="AE4692" s="11" t="n"/>
      <c r="AG4692">
        <f>IF($C4692="","",IF(COUNTIF($C$2:$C4692,$C4692)=1,1,0))</f>
        <v/>
      </c>
      <c r="AH4692">
        <f>IF($AG4692=1,SUMPRODUCT(--($AK$2:$AK$6001&lt;$AK4692))+1,"")</f>
        <v/>
      </c>
      <c r="AI4692">
        <f>IF($C4692="","",IF(OR($N4692=TRUE(),$N4692="TRUE"),1,0))</f>
        <v/>
      </c>
      <c r="AJ4692">
        <f>IF($C4692="","",IF($T4692="Yes",1,0))</f>
        <v/>
      </c>
      <c r="AK4692">
        <f>IF($AG4692=1,IFERROR(IF(VALUE($C4692)&lt;100000000,VALUE($C4692),1000000000),IFERROR(IF(VALUE(MID($C4692,2,20))&lt;100000000,VALUE(MID($C4692,2,20)),1000000000),1000000000))+ROW()/100000,"")</f>
        <v/>
      </c>
    </row>
    <row r="4693">
      <c r="D4693" s="11" t="n"/>
      <c r="K4693" s="7">
        <f>IF($C4693="","",J4693*W4693/100)</f>
        <v/>
      </c>
      <c r="Q4693" s="7" t="n"/>
      <c r="R4693" s="7" t="n"/>
      <c r="U4693">
        <f>IF($C4693="","",IF($AJ4693=1,0,IF($AI4693=1,Settings!$C$6,Settings!$C$7))*100)</f>
        <v/>
      </c>
      <c r="V4693" s="7">
        <f>IF($C4693="","",R4693*U4693/100)</f>
        <v/>
      </c>
      <c r="W4693" s="7">
        <f>IF($C4693="","",R4693-V4693)</f>
        <v/>
      </c>
      <c r="X4693" s="7">
        <f>IF($C4693="","",W4693-K4693)</f>
        <v/>
      </c>
      <c r="AB4693" s="7" t="n"/>
      <c r="AE4693" s="11" t="n"/>
      <c r="AG4693">
        <f>IF($C4693="","",IF(COUNTIF($C$2:$C4693,$C4693)=1,1,0))</f>
        <v/>
      </c>
      <c r="AH4693">
        <f>IF($AG4693=1,SUMPRODUCT(--($AK$2:$AK$6001&lt;$AK4693))+1,"")</f>
        <v/>
      </c>
      <c r="AI4693">
        <f>IF($C4693="","",IF(OR($N4693=TRUE(),$N4693="TRUE"),1,0))</f>
        <v/>
      </c>
      <c r="AJ4693">
        <f>IF($C4693="","",IF($T4693="Yes",1,0))</f>
        <v/>
      </c>
      <c r="AK4693">
        <f>IF($AG4693=1,IFERROR(IF(VALUE($C4693)&lt;100000000,VALUE($C4693),1000000000),IFERROR(IF(VALUE(MID($C4693,2,20))&lt;100000000,VALUE(MID($C4693,2,20)),1000000000),1000000000))+ROW()/100000,"")</f>
        <v/>
      </c>
    </row>
    <row r="4694">
      <c r="D4694" s="11" t="n"/>
      <c r="K4694" s="7">
        <f>IF($C4694="","",J4694*W4694/100)</f>
        <v/>
      </c>
      <c r="Q4694" s="7" t="n"/>
      <c r="R4694" s="7" t="n"/>
      <c r="U4694">
        <f>IF($C4694="","",IF($AJ4694=1,0,IF($AI4694=1,Settings!$C$6,Settings!$C$7))*100)</f>
        <v/>
      </c>
      <c r="V4694" s="7">
        <f>IF($C4694="","",R4694*U4694/100)</f>
        <v/>
      </c>
      <c r="W4694" s="7">
        <f>IF($C4694="","",R4694-V4694)</f>
        <v/>
      </c>
      <c r="X4694" s="7">
        <f>IF($C4694="","",W4694-K4694)</f>
        <v/>
      </c>
      <c r="AB4694" s="7" t="n"/>
      <c r="AE4694" s="11" t="n"/>
      <c r="AG4694">
        <f>IF($C4694="","",IF(COUNTIF($C$2:$C4694,$C4694)=1,1,0))</f>
        <v/>
      </c>
      <c r="AH4694">
        <f>IF($AG4694=1,SUMPRODUCT(--($AK$2:$AK$6001&lt;$AK4694))+1,"")</f>
        <v/>
      </c>
      <c r="AI4694">
        <f>IF($C4694="","",IF(OR($N4694=TRUE(),$N4694="TRUE"),1,0))</f>
        <v/>
      </c>
      <c r="AJ4694">
        <f>IF($C4694="","",IF($T4694="Yes",1,0))</f>
        <v/>
      </c>
      <c r="AK4694">
        <f>IF($AG4694=1,IFERROR(IF(VALUE($C4694)&lt;100000000,VALUE($C4694),1000000000),IFERROR(IF(VALUE(MID($C4694,2,20))&lt;100000000,VALUE(MID($C4694,2,20)),1000000000),1000000000))+ROW()/100000,"")</f>
        <v/>
      </c>
    </row>
    <row r="4695">
      <c r="D4695" s="11" t="n"/>
      <c r="K4695" s="7">
        <f>IF($C4695="","",J4695*W4695/100)</f>
        <v/>
      </c>
      <c r="Q4695" s="7" t="n"/>
      <c r="R4695" s="7" t="n"/>
      <c r="U4695">
        <f>IF($C4695="","",IF($AJ4695=1,0,IF($AI4695=1,Settings!$C$6,Settings!$C$7))*100)</f>
        <v/>
      </c>
      <c r="V4695" s="7">
        <f>IF($C4695="","",R4695*U4695/100)</f>
        <v/>
      </c>
      <c r="W4695" s="7">
        <f>IF($C4695="","",R4695-V4695)</f>
        <v/>
      </c>
      <c r="X4695" s="7">
        <f>IF($C4695="","",W4695-K4695)</f>
        <v/>
      </c>
      <c r="AB4695" s="7" t="n"/>
      <c r="AE4695" s="11" t="n"/>
      <c r="AG4695">
        <f>IF($C4695="","",IF(COUNTIF($C$2:$C4695,$C4695)=1,1,0))</f>
        <v/>
      </c>
      <c r="AH4695">
        <f>IF($AG4695=1,SUMPRODUCT(--($AK$2:$AK$6001&lt;$AK4695))+1,"")</f>
        <v/>
      </c>
      <c r="AI4695">
        <f>IF($C4695="","",IF(OR($N4695=TRUE(),$N4695="TRUE"),1,0))</f>
        <v/>
      </c>
      <c r="AJ4695">
        <f>IF($C4695="","",IF($T4695="Yes",1,0))</f>
        <v/>
      </c>
      <c r="AK4695">
        <f>IF($AG4695=1,IFERROR(IF(VALUE($C4695)&lt;100000000,VALUE($C4695),1000000000),IFERROR(IF(VALUE(MID($C4695,2,20))&lt;100000000,VALUE(MID($C4695,2,20)),1000000000),1000000000))+ROW()/100000,"")</f>
        <v/>
      </c>
    </row>
    <row r="4696">
      <c r="D4696" s="11" t="n"/>
      <c r="K4696" s="7">
        <f>IF($C4696="","",J4696*W4696/100)</f>
        <v/>
      </c>
      <c r="Q4696" s="7" t="n"/>
      <c r="R4696" s="7" t="n"/>
      <c r="U4696">
        <f>IF($C4696="","",IF($AJ4696=1,0,IF($AI4696=1,Settings!$C$6,Settings!$C$7))*100)</f>
        <v/>
      </c>
      <c r="V4696" s="7">
        <f>IF($C4696="","",R4696*U4696/100)</f>
        <v/>
      </c>
      <c r="W4696" s="7">
        <f>IF($C4696="","",R4696-V4696)</f>
        <v/>
      </c>
      <c r="X4696" s="7">
        <f>IF($C4696="","",W4696-K4696)</f>
        <v/>
      </c>
      <c r="AB4696" s="7" t="n"/>
      <c r="AE4696" s="11" t="n"/>
      <c r="AG4696">
        <f>IF($C4696="","",IF(COUNTIF($C$2:$C4696,$C4696)=1,1,0))</f>
        <v/>
      </c>
      <c r="AH4696">
        <f>IF($AG4696=1,SUMPRODUCT(--($AK$2:$AK$6001&lt;$AK4696))+1,"")</f>
        <v/>
      </c>
      <c r="AI4696">
        <f>IF($C4696="","",IF(OR($N4696=TRUE(),$N4696="TRUE"),1,0))</f>
        <v/>
      </c>
      <c r="AJ4696">
        <f>IF($C4696="","",IF($T4696="Yes",1,0))</f>
        <v/>
      </c>
      <c r="AK4696">
        <f>IF($AG4696=1,IFERROR(IF(VALUE($C4696)&lt;100000000,VALUE($C4696),1000000000),IFERROR(IF(VALUE(MID($C4696,2,20))&lt;100000000,VALUE(MID($C4696,2,20)),1000000000),1000000000))+ROW()/100000,"")</f>
        <v/>
      </c>
    </row>
    <row r="4697">
      <c r="D4697" s="11" t="n"/>
      <c r="K4697" s="7">
        <f>IF($C4697="","",J4697*W4697/100)</f>
        <v/>
      </c>
      <c r="Q4697" s="7" t="n"/>
      <c r="R4697" s="7" t="n"/>
      <c r="U4697">
        <f>IF($C4697="","",IF($AJ4697=1,0,IF($AI4697=1,Settings!$C$6,Settings!$C$7))*100)</f>
        <v/>
      </c>
      <c r="V4697" s="7">
        <f>IF($C4697="","",R4697*U4697/100)</f>
        <v/>
      </c>
      <c r="W4697" s="7">
        <f>IF($C4697="","",R4697-V4697)</f>
        <v/>
      </c>
      <c r="X4697" s="7">
        <f>IF($C4697="","",W4697-K4697)</f>
        <v/>
      </c>
      <c r="AB4697" s="7" t="n"/>
      <c r="AE4697" s="11" t="n"/>
      <c r="AG4697">
        <f>IF($C4697="","",IF(COUNTIF($C$2:$C4697,$C4697)=1,1,0))</f>
        <v/>
      </c>
      <c r="AH4697">
        <f>IF($AG4697=1,SUMPRODUCT(--($AK$2:$AK$6001&lt;$AK4697))+1,"")</f>
        <v/>
      </c>
      <c r="AI4697">
        <f>IF($C4697="","",IF(OR($N4697=TRUE(),$N4697="TRUE"),1,0))</f>
        <v/>
      </c>
      <c r="AJ4697">
        <f>IF($C4697="","",IF($T4697="Yes",1,0))</f>
        <v/>
      </c>
      <c r="AK4697">
        <f>IF($AG4697=1,IFERROR(IF(VALUE($C4697)&lt;100000000,VALUE($C4697),1000000000),IFERROR(IF(VALUE(MID($C4697,2,20))&lt;100000000,VALUE(MID($C4697,2,20)),1000000000),1000000000))+ROW()/100000,"")</f>
        <v/>
      </c>
    </row>
    <row r="4698">
      <c r="D4698" s="11" t="n"/>
      <c r="K4698" s="7">
        <f>IF($C4698="","",J4698*W4698/100)</f>
        <v/>
      </c>
      <c r="Q4698" s="7" t="n"/>
      <c r="R4698" s="7" t="n"/>
      <c r="U4698">
        <f>IF($C4698="","",IF($AJ4698=1,0,IF($AI4698=1,Settings!$C$6,Settings!$C$7))*100)</f>
        <v/>
      </c>
      <c r="V4698" s="7">
        <f>IF($C4698="","",R4698*U4698/100)</f>
        <v/>
      </c>
      <c r="W4698" s="7">
        <f>IF($C4698="","",R4698-V4698)</f>
        <v/>
      </c>
      <c r="X4698" s="7">
        <f>IF($C4698="","",W4698-K4698)</f>
        <v/>
      </c>
      <c r="AB4698" s="7" t="n"/>
      <c r="AE4698" s="11" t="n"/>
      <c r="AG4698">
        <f>IF($C4698="","",IF(COUNTIF($C$2:$C4698,$C4698)=1,1,0))</f>
        <v/>
      </c>
      <c r="AH4698">
        <f>IF($AG4698=1,SUMPRODUCT(--($AK$2:$AK$6001&lt;$AK4698))+1,"")</f>
        <v/>
      </c>
      <c r="AI4698">
        <f>IF($C4698="","",IF(OR($N4698=TRUE(),$N4698="TRUE"),1,0))</f>
        <v/>
      </c>
      <c r="AJ4698">
        <f>IF($C4698="","",IF($T4698="Yes",1,0))</f>
        <v/>
      </c>
      <c r="AK4698">
        <f>IF($AG4698=1,IFERROR(IF(VALUE($C4698)&lt;100000000,VALUE($C4698),1000000000),IFERROR(IF(VALUE(MID($C4698,2,20))&lt;100000000,VALUE(MID($C4698,2,20)),1000000000),1000000000))+ROW()/100000,"")</f>
        <v/>
      </c>
    </row>
    <row r="4699">
      <c r="D4699" s="11" t="n"/>
      <c r="K4699" s="7">
        <f>IF($C4699="","",J4699*W4699/100)</f>
        <v/>
      </c>
      <c r="Q4699" s="7" t="n"/>
      <c r="R4699" s="7" t="n"/>
      <c r="U4699">
        <f>IF($C4699="","",IF($AJ4699=1,0,IF($AI4699=1,Settings!$C$6,Settings!$C$7))*100)</f>
        <v/>
      </c>
      <c r="V4699" s="7">
        <f>IF($C4699="","",R4699*U4699/100)</f>
        <v/>
      </c>
      <c r="W4699" s="7">
        <f>IF($C4699="","",R4699-V4699)</f>
        <v/>
      </c>
      <c r="X4699" s="7">
        <f>IF($C4699="","",W4699-K4699)</f>
        <v/>
      </c>
      <c r="AB4699" s="7" t="n"/>
      <c r="AE4699" s="11" t="n"/>
      <c r="AG4699">
        <f>IF($C4699="","",IF(COUNTIF($C$2:$C4699,$C4699)=1,1,0))</f>
        <v/>
      </c>
      <c r="AH4699">
        <f>IF($AG4699=1,SUMPRODUCT(--($AK$2:$AK$6001&lt;$AK4699))+1,"")</f>
        <v/>
      </c>
      <c r="AI4699">
        <f>IF($C4699="","",IF(OR($N4699=TRUE(),$N4699="TRUE"),1,0))</f>
        <v/>
      </c>
      <c r="AJ4699">
        <f>IF($C4699="","",IF($T4699="Yes",1,0))</f>
        <v/>
      </c>
      <c r="AK4699">
        <f>IF($AG4699=1,IFERROR(IF(VALUE($C4699)&lt;100000000,VALUE($C4699),1000000000),IFERROR(IF(VALUE(MID($C4699,2,20))&lt;100000000,VALUE(MID($C4699,2,20)),1000000000),1000000000))+ROW()/100000,"")</f>
        <v/>
      </c>
    </row>
    <row r="4700">
      <c r="D4700" s="11" t="n"/>
      <c r="K4700" s="7">
        <f>IF($C4700="","",J4700*W4700/100)</f>
        <v/>
      </c>
      <c r="Q4700" s="7" t="n"/>
      <c r="R4700" s="7" t="n"/>
      <c r="U4700">
        <f>IF($C4700="","",IF($AJ4700=1,0,IF($AI4700=1,Settings!$C$6,Settings!$C$7))*100)</f>
        <v/>
      </c>
      <c r="V4700" s="7">
        <f>IF($C4700="","",R4700*U4700/100)</f>
        <v/>
      </c>
      <c r="W4700" s="7">
        <f>IF($C4700="","",R4700-V4700)</f>
        <v/>
      </c>
      <c r="X4700" s="7">
        <f>IF($C4700="","",W4700-K4700)</f>
        <v/>
      </c>
      <c r="AB4700" s="7" t="n"/>
      <c r="AE4700" s="11" t="n"/>
      <c r="AG4700">
        <f>IF($C4700="","",IF(COUNTIF($C$2:$C4700,$C4700)=1,1,0))</f>
        <v/>
      </c>
      <c r="AH4700">
        <f>IF($AG4700=1,SUMPRODUCT(--($AK$2:$AK$6001&lt;$AK4700))+1,"")</f>
        <v/>
      </c>
      <c r="AI4700">
        <f>IF($C4700="","",IF(OR($N4700=TRUE(),$N4700="TRUE"),1,0))</f>
        <v/>
      </c>
      <c r="AJ4700">
        <f>IF($C4700="","",IF($T4700="Yes",1,0))</f>
        <v/>
      </c>
      <c r="AK4700">
        <f>IF($AG4700=1,IFERROR(IF(VALUE($C4700)&lt;100000000,VALUE($C4700),1000000000),IFERROR(IF(VALUE(MID($C4700,2,20))&lt;100000000,VALUE(MID($C4700,2,20)),1000000000),1000000000))+ROW()/100000,"")</f>
        <v/>
      </c>
    </row>
    <row r="4701">
      <c r="D4701" s="11" t="n"/>
      <c r="K4701" s="7">
        <f>IF($C4701="","",J4701*W4701/100)</f>
        <v/>
      </c>
      <c r="Q4701" s="7" t="n"/>
      <c r="R4701" s="7" t="n"/>
      <c r="U4701">
        <f>IF($C4701="","",IF($AJ4701=1,0,IF($AI4701=1,Settings!$C$6,Settings!$C$7))*100)</f>
        <v/>
      </c>
      <c r="V4701" s="7">
        <f>IF($C4701="","",R4701*U4701/100)</f>
        <v/>
      </c>
      <c r="W4701" s="7">
        <f>IF($C4701="","",R4701-V4701)</f>
        <v/>
      </c>
      <c r="X4701" s="7">
        <f>IF($C4701="","",W4701-K4701)</f>
        <v/>
      </c>
      <c r="AB4701" s="7" t="n"/>
      <c r="AE4701" s="11" t="n"/>
      <c r="AG4701">
        <f>IF($C4701="","",IF(COUNTIF($C$2:$C4701,$C4701)=1,1,0))</f>
        <v/>
      </c>
      <c r="AH4701">
        <f>IF($AG4701=1,SUMPRODUCT(--($AK$2:$AK$6001&lt;$AK4701))+1,"")</f>
        <v/>
      </c>
      <c r="AI4701">
        <f>IF($C4701="","",IF(OR($N4701=TRUE(),$N4701="TRUE"),1,0))</f>
        <v/>
      </c>
      <c r="AJ4701">
        <f>IF($C4701="","",IF($T4701="Yes",1,0))</f>
        <v/>
      </c>
      <c r="AK4701">
        <f>IF($AG4701=1,IFERROR(IF(VALUE($C4701)&lt;100000000,VALUE($C4701),1000000000),IFERROR(IF(VALUE(MID($C4701,2,20))&lt;100000000,VALUE(MID($C4701,2,20)),1000000000),1000000000))+ROW()/100000,"")</f>
        <v/>
      </c>
    </row>
    <row r="4702">
      <c r="D4702" s="11" t="n"/>
      <c r="K4702" s="7">
        <f>IF($C4702="","",J4702*W4702/100)</f>
        <v/>
      </c>
      <c r="Q4702" s="7" t="n"/>
      <c r="R4702" s="7" t="n"/>
      <c r="U4702">
        <f>IF($C4702="","",IF($AJ4702=1,0,IF($AI4702=1,Settings!$C$6,Settings!$C$7))*100)</f>
        <v/>
      </c>
      <c r="V4702" s="7">
        <f>IF($C4702="","",R4702*U4702/100)</f>
        <v/>
      </c>
      <c r="W4702" s="7">
        <f>IF($C4702="","",R4702-V4702)</f>
        <v/>
      </c>
      <c r="X4702" s="7">
        <f>IF($C4702="","",W4702-K4702)</f>
        <v/>
      </c>
      <c r="AB4702" s="7" t="n"/>
      <c r="AE4702" s="11" t="n"/>
      <c r="AG4702">
        <f>IF($C4702="","",IF(COUNTIF($C$2:$C4702,$C4702)=1,1,0))</f>
        <v/>
      </c>
      <c r="AH4702">
        <f>IF($AG4702=1,SUMPRODUCT(--($AK$2:$AK$6001&lt;$AK4702))+1,"")</f>
        <v/>
      </c>
      <c r="AI4702">
        <f>IF($C4702="","",IF(OR($N4702=TRUE(),$N4702="TRUE"),1,0))</f>
        <v/>
      </c>
      <c r="AJ4702">
        <f>IF($C4702="","",IF($T4702="Yes",1,0))</f>
        <v/>
      </c>
      <c r="AK4702">
        <f>IF($AG4702=1,IFERROR(IF(VALUE($C4702)&lt;100000000,VALUE($C4702),1000000000),IFERROR(IF(VALUE(MID($C4702,2,20))&lt;100000000,VALUE(MID($C4702,2,20)),1000000000),1000000000))+ROW()/100000,"")</f>
        <v/>
      </c>
    </row>
    <row r="4703">
      <c r="D4703" s="11" t="n"/>
      <c r="K4703" s="7">
        <f>IF($C4703="","",J4703*W4703/100)</f>
        <v/>
      </c>
      <c r="Q4703" s="7" t="n"/>
      <c r="R4703" s="7" t="n"/>
      <c r="U4703">
        <f>IF($C4703="","",IF($AJ4703=1,0,IF($AI4703=1,Settings!$C$6,Settings!$C$7))*100)</f>
        <v/>
      </c>
      <c r="V4703" s="7">
        <f>IF($C4703="","",R4703*U4703/100)</f>
        <v/>
      </c>
      <c r="W4703" s="7">
        <f>IF($C4703="","",R4703-V4703)</f>
        <v/>
      </c>
      <c r="X4703" s="7">
        <f>IF($C4703="","",W4703-K4703)</f>
        <v/>
      </c>
      <c r="AB4703" s="7" t="n"/>
      <c r="AE4703" s="11" t="n"/>
      <c r="AG4703">
        <f>IF($C4703="","",IF(COUNTIF($C$2:$C4703,$C4703)=1,1,0))</f>
        <v/>
      </c>
      <c r="AH4703">
        <f>IF($AG4703=1,SUMPRODUCT(--($AK$2:$AK$6001&lt;$AK4703))+1,"")</f>
        <v/>
      </c>
      <c r="AI4703">
        <f>IF($C4703="","",IF(OR($N4703=TRUE(),$N4703="TRUE"),1,0))</f>
        <v/>
      </c>
      <c r="AJ4703">
        <f>IF($C4703="","",IF($T4703="Yes",1,0))</f>
        <v/>
      </c>
      <c r="AK4703">
        <f>IF($AG4703=1,IFERROR(IF(VALUE($C4703)&lt;100000000,VALUE($C4703),1000000000),IFERROR(IF(VALUE(MID($C4703,2,20))&lt;100000000,VALUE(MID($C4703,2,20)),1000000000),1000000000))+ROW()/100000,"")</f>
        <v/>
      </c>
    </row>
    <row r="4704">
      <c r="D4704" s="11" t="n"/>
      <c r="K4704" s="7">
        <f>IF($C4704="","",J4704*W4704/100)</f>
        <v/>
      </c>
      <c r="Q4704" s="7" t="n"/>
      <c r="R4704" s="7" t="n"/>
      <c r="U4704">
        <f>IF($C4704="","",IF($AJ4704=1,0,IF($AI4704=1,Settings!$C$6,Settings!$C$7))*100)</f>
        <v/>
      </c>
      <c r="V4704" s="7">
        <f>IF($C4704="","",R4704*U4704/100)</f>
        <v/>
      </c>
      <c r="W4704" s="7">
        <f>IF($C4704="","",R4704-V4704)</f>
        <v/>
      </c>
      <c r="X4704" s="7">
        <f>IF($C4704="","",W4704-K4704)</f>
        <v/>
      </c>
      <c r="AB4704" s="7" t="n"/>
      <c r="AE4704" s="11" t="n"/>
      <c r="AG4704">
        <f>IF($C4704="","",IF(COUNTIF($C$2:$C4704,$C4704)=1,1,0))</f>
        <v/>
      </c>
      <c r="AH4704">
        <f>IF($AG4704=1,SUMPRODUCT(--($AK$2:$AK$6001&lt;$AK4704))+1,"")</f>
        <v/>
      </c>
      <c r="AI4704">
        <f>IF($C4704="","",IF(OR($N4704=TRUE(),$N4704="TRUE"),1,0))</f>
        <v/>
      </c>
      <c r="AJ4704">
        <f>IF($C4704="","",IF($T4704="Yes",1,0))</f>
        <v/>
      </c>
      <c r="AK4704">
        <f>IF($AG4704=1,IFERROR(IF(VALUE($C4704)&lt;100000000,VALUE($C4704),1000000000),IFERROR(IF(VALUE(MID($C4704,2,20))&lt;100000000,VALUE(MID($C4704,2,20)),1000000000),1000000000))+ROW()/100000,"")</f>
        <v/>
      </c>
    </row>
    <row r="4705">
      <c r="D4705" s="11" t="n"/>
      <c r="K4705" s="7">
        <f>IF($C4705="","",J4705*W4705/100)</f>
        <v/>
      </c>
      <c r="Q4705" s="7" t="n"/>
      <c r="R4705" s="7" t="n"/>
      <c r="U4705">
        <f>IF($C4705="","",IF($AJ4705=1,0,IF($AI4705=1,Settings!$C$6,Settings!$C$7))*100)</f>
        <v/>
      </c>
      <c r="V4705" s="7">
        <f>IF($C4705="","",R4705*U4705/100)</f>
        <v/>
      </c>
      <c r="W4705" s="7">
        <f>IF($C4705="","",R4705-V4705)</f>
        <v/>
      </c>
      <c r="X4705" s="7">
        <f>IF($C4705="","",W4705-K4705)</f>
        <v/>
      </c>
      <c r="AB4705" s="7" t="n"/>
      <c r="AE4705" s="11" t="n"/>
      <c r="AG4705">
        <f>IF($C4705="","",IF(COUNTIF($C$2:$C4705,$C4705)=1,1,0))</f>
        <v/>
      </c>
      <c r="AH4705">
        <f>IF($AG4705=1,SUMPRODUCT(--($AK$2:$AK$6001&lt;$AK4705))+1,"")</f>
        <v/>
      </c>
      <c r="AI4705">
        <f>IF($C4705="","",IF(OR($N4705=TRUE(),$N4705="TRUE"),1,0))</f>
        <v/>
      </c>
      <c r="AJ4705">
        <f>IF($C4705="","",IF($T4705="Yes",1,0))</f>
        <v/>
      </c>
      <c r="AK4705">
        <f>IF($AG4705=1,IFERROR(IF(VALUE($C4705)&lt;100000000,VALUE($C4705),1000000000),IFERROR(IF(VALUE(MID($C4705,2,20))&lt;100000000,VALUE(MID($C4705,2,20)),1000000000),1000000000))+ROW()/100000,"")</f>
        <v/>
      </c>
    </row>
    <row r="4706">
      <c r="D4706" s="11" t="n"/>
      <c r="K4706" s="7">
        <f>IF($C4706="","",J4706*W4706/100)</f>
        <v/>
      </c>
      <c r="Q4706" s="7" t="n"/>
      <c r="R4706" s="7" t="n"/>
      <c r="U4706">
        <f>IF($C4706="","",IF($AJ4706=1,0,IF($AI4706=1,Settings!$C$6,Settings!$C$7))*100)</f>
        <v/>
      </c>
      <c r="V4706" s="7">
        <f>IF($C4706="","",R4706*U4706/100)</f>
        <v/>
      </c>
      <c r="W4706" s="7">
        <f>IF($C4706="","",R4706-V4706)</f>
        <v/>
      </c>
      <c r="X4706" s="7">
        <f>IF($C4706="","",W4706-K4706)</f>
        <v/>
      </c>
      <c r="AB4706" s="7" t="n"/>
      <c r="AE4706" s="11" t="n"/>
      <c r="AG4706">
        <f>IF($C4706="","",IF(COUNTIF($C$2:$C4706,$C4706)=1,1,0))</f>
        <v/>
      </c>
      <c r="AH4706">
        <f>IF($AG4706=1,SUMPRODUCT(--($AK$2:$AK$6001&lt;$AK4706))+1,"")</f>
        <v/>
      </c>
      <c r="AI4706">
        <f>IF($C4706="","",IF(OR($N4706=TRUE(),$N4706="TRUE"),1,0))</f>
        <v/>
      </c>
      <c r="AJ4706">
        <f>IF($C4706="","",IF($T4706="Yes",1,0))</f>
        <v/>
      </c>
      <c r="AK4706">
        <f>IF($AG4706=1,IFERROR(IF(VALUE($C4706)&lt;100000000,VALUE($C4706),1000000000),IFERROR(IF(VALUE(MID($C4706,2,20))&lt;100000000,VALUE(MID($C4706,2,20)),1000000000),1000000000))+ROW()/100000,"")</f>
        <v/>
      </c>
    </row>
    <row r="4707">
      <c r="D4707" s="11" t="n"/>
      <c r="K4707" s="7">
        <f>IF($C4707="","",J4707*W4707/100)</f>
        <v/>
      </c>
      <c r="Q4707" s="7" t="n"/>
      <c r="R4707" s="7" t="n"/>
      <c r="U4707">
        <f>IF($C4707="","",IF($AJ4707=1,0,IF($AI4707=1,Settings!$C$6,Settings!$C$7))*100)</f>
        <v/>
      </c>
      <c r="V4707" s="7">
        <f>IF($C4707="","",R4707*U4707/100)</f>
        <v/>
      </c>
      <c r="W4707" s="7">
        <f>IF($C4707="","",R4707-V4707)</f>
        <v/>
      </c>
      <c r="X4707" s="7">
        <f>IF($C4707="","",W4707-K4707)</f>
        <v/>
      </c>
      <c r="AB4707" s="7" t="n"/>
      <c r="AE4707" s="11" t="n"/>
      <c r="AG4707">
        <f>IF($C4707="","",IF(COUNTIF($C$2:$C4707,$C4707)=1,1,0))</f>
        <v/>
      </c>
      <c r="AH4707">
        <f>IF($AG4707=1,SUMPRODUCT(--($AK$2:$AK$6001&lt;$AK4707))+1,"")</f>
        <v/>
      </c>
      <c r="AI4707">
        <f>IF($C4707="","",IF(OR($N4707=TRUE(),$N4707="TRUE"),1,0))</f>
        <v/>
      </c>
      <c r="AJ4707">
        <f>IF($C4707="","",IF($T4707="Yes",1,0))</f>
        <v/>
      </c>
      <c r="AK4707">
        <f>IF($AG4707=1,IFERROR(IF(VALUE($C4707)&lt;100000000,VALUE($C4707),1000000000),IFERROR(IF(VALUE(MID($C4707,2,20))&lt;100000000,VALUE(MID($C4707,2,20)),1000000000),1000000000))+ROW()/100000,"")</f>
        <v/>
      </c>
    </row>
    <row r="4708">
      <c r="D4708" s="11" t="n"/>
      <c r="K4708" s="7">
        <f>IF($C4708="","",J4708*W4708/100)</f>
        <v/>
      </c>
      <c r="Q4708" s="7" t="n"/>
      <c r="R4708" s="7" t="n"/>
      <c r="U4708">
        <f>IF($C4708="","",IF($AJ4708=1,0,IF($AI4708=1,Settings!$C$6,Settings!$C$7))*100)</f>
        <v/>
      </c>
      <c r="V4708" s="7">
        <f>IF($C4708="","",R4708*U4708/100)</f>
        <v/>
      </c>
      <c r="W4708" s="7">
        <f>IF($C4708="","",R4708-V4708)</f>
        <v/>
      </c>
      <c r="X4708" s="7">
        <f>IF($C4708="","",W4708-K4708)</f>
        <v/>
      </c>
      <c r="AB4708" s="7" t="n"/>
      <c r="AE4708" s="11" t="n"/>
      <c r="AG4708">
        <f>IF($C4708="","",IF(COUNTIF($C$2:$C4708,$C4708)=1,1,0))</f>
        <v/>
      </c>
      <c r="AH4708">
        <f>IF($AG4708=1,SUMPRODUCT(--($AK$2:$AK$6001&lt;$AK4708))+1,"")</f>
        <v/>
      </c>
      <c r="AI4708">
        <f>IF($C4708="","",IF(OR($N4708=TRUE(),$N4708="TRUE"),1,0))</f>
        <v/>
      </c>
      <c r="AJ4708">
        <f>IF($C4708="","",IF($T4708="Yes",1,0))</f>
        <v/>
      </c>
      <c r="AK4708">
        <f>IF($AG4708=1,IFERROR(IF(VALUE($C4708)&lt;100000000,VALUE($C4708),1000000000),IFERROR(IF(VALUE(MID($C4708,2,20))&lt;100000000,VALUE(MID($C4708,2,20)),1000000000),1000000000))+ROW()/100000,"")</f>
        <v/>
      </c>
    </row>
    <row r="4709">
      <c r="D4709" s="11" t="n"/>
      <c r="K4709" s="7">
        <f>IF($C4709="","",J4709*W4709/100)</f>
        <v/>
      </c>
      <c r="Q4709" s="7" t="n"/>
      <c r="R4709" s="7" t="n"/>
      <c r="U4709">
        <f>IF($C4709="","",IF($AJ4709=1,0,IF($AI4709=1,Settings!$C$6,Settings!$C$7))*100)</f>
        <v/>
      </c>
      <c r="V4709" s="7">
        <f>IF($C4709="","",R4709*U4709/100)</f>
        <v/>
      </c>
      <c r="W4709" s="7">
        <f>IF($C4709="","",R4709-V4709)</f>
        <v/>
      </c>
      <c r="X4709" s="7">
        <f>IF($C4709="","",W4709-K4709)</f>
        <v/>
      </c>
      <c r="AB4709" s="7" t="n"/>
      <c r="AE4709" s="11" t="n"/>
      <c r="AG4709">
        <f>IF($C4709="","",IF(COUNTIF($C$2:$C4709,$C4709)=1,1,0))</f>
        <v/>
      </c>
      <c r="AH4709">
        <f>IF($AG4709=1,SUMPRODUCT(--($AK$2:$AK$6001&lt;$AK4709))+1,"")</f>
        <v/>
      </c>
      <c r="AI4709">
        <f>IF($C4709="","",IF(OR($N4709=TRUE(),$N4709="TRUE"),1,0))</f>
        <v/>
      </c>
      <c r="AJ4709">
        <f>IF($C4709="","",IF($T4709="Yes",1,0))</f>
        <v/>
      </c>
      <c r="AK4709">
        <f>IF($AG4709=1,IFERROR(IF(VALUE($C4709)&lt;100000000,VALUE($C4709),1000000000),IFERROR(IF(VALUE(MID($C4709,2,20))&lt;100000000,VALUE(MID($C4709,2,20)),1000000000),1000000000))+ROW()/100000,"")</f>
        <v/>
      </c>
    </row>
    <row r="4710">
      <c r="D4710" s="11" t="n"/>
      <c r="K4710" s="7">
        <f>IF($C4710="","",J4710*W4710/100)</f>
        <v/>
      </c>
      <c r="Q4710" s="7" t="n"/>
      <c r="R4710" s="7" t="n"/>
      <c r="U4710">
        <f>IF($C4710="","",IF($AJ4710=1,0,IF($AI4710=1,Settings!$C$6,Settings!$C$7))*100)</f>
        <v/>
      </c>
      <c r="V4710" s="7">
        <f>IF($C4710="","",R4710*U4710/100)</f>
        <v/>
      </c>
      <c r="W4710" s="7">
        <f>IF($C4710="","",R4710-V4710)</f>
        <v/>
      </c>
      <c r="X4710" s="7">
        <f>IF($C4710="","",W4710-K4710)</f>
        <v/>
      </c>
      <c r="AB4710" s="7" t="n"/>
      <c r="AE4710" s="11" t="n"/>
      <c r="AG4710">
        <f>IF($C4710="","",IF(COUNTIF($C$2:$C4710,$C4710)=1,1,0))</f>
        <v/>
      </c>
      <c r="AH4710">
        <f>IF($AG4710=1,SUMPRODUCT(--($AK$2:$AK$6001&lt;$AK4710))+1,"")</f>
        <v/>
      </c>
      <c r="AI4710">
        <f>IF($C4710="","",IF(OR($N4710=TRUE(),$N4710="TRUE"),1,0))</f>
        <v/>
      </c>
      <c r="AJ4710">
        <f>IF($C4710="","",IF($T4710="Yes",1,0))</f>
        <v/>
      </c>
      <c r="AK4710">
        <f>IF($AG4710=1,IFERROR(IF(VALUE($C4710)&lt;100000000,VALUE($C4710),1000000000),IFERROR(IF(VALUE(MID($C4710,2,20))&lt;100000000,VALUE(MID($C4710,2,20)),1000000000),1000000000))+ROW()/100000,"")</f>
        <v/>
      </c>
    </row>
    <row r="4711">
      <c r="D4711" s="11" t="n"/>
      <c r="K4711" s="7">
        <f>IF($C4711="","",J4711*W4711/100)</f>
        <v/>
      </c>
      <c r="Q4711" s="7" t="n"/>
      <c r="R4711" s="7" t="n"/>
      <c r="U4711">
        <f>IF($C4711="","",IF($AJ4711=1,0,IF($AI4711=1,Settings!$C$6,Settings!$C$7))*100)</f>
        <v/>
      </c>
      <c r="V4711" s="7">
        <f>IF($C4711="","",R4711*U4711/100)</f>
        <v/>
      </c>
      <c r="W4711" s="7">
        <f>IF($C4711="","",R4711-V4711)</f>
        <v/>
      </c>
      <c r="X4711" s="7">
        <f>IF($C4711="","",W4711-K4711)</f>
        <v/>
      </c>
      <c r="AB4711" s="7" t="n"/>
      <c r="AE4711" s="11" t="n"/>
      <c r="AG4711">
        <f>IF($C4711="","",IF(COUNTIF($C$2:$C4711,$C4711)=1,1,0))</f>
        <v/>
      </c>
      <c r="AH4711">
        <f>IF($AG4711=1,SUMPRODUCT(--($AK$2:$AK$6001&lt;$AK4711))+1,"")</f>
        <v/>
      </c>
      <c r="AI4711">
        <f>IF($C4711="","",IF(OR($N4711=TRUE(),$N4711="TRUE"),1,0))</f>
        <v/>
      </c>
      <c r="AJ4711">
        <f>IF($C4711="","",IF($T4711="Yes",1,0))</f>
        <v/>
      </c>
      <c r="AK4711">
        <f>IF($AG4711=1,IFERROR(IF(VALUE($C4711)&lt;100000000,VALUE($C4711),1000000000),IFERROR(IF(VALUE(MID($C4711,2,20))&lt;100000000,VALUE(MID($C4711,2,20)),1000000000),1000000000))+ROW()/100000,"")</f>
        <v/>
      </c>
    </row>
    <row r="4712">
      <c r="D4712" s="11" t="n"/>
      <c r="K4712" s="7">
        <f>IF($C4712="","",J4712*W4712/100)</f>
        <v/>
      </c>
      <c r="Q4712" s="7" t="n"/>
      <c r="R4712" s="7" t="n"/>
      <c r="U4712">
        <f>IF($C4712="","",IF($AJ4712=1,0,IF($AI4712=1,Settings!$C$6,Settings!$C$7))*100)</f>
        <v/>
      </c>
      <c r="V4712" s="7">
        <f>IF($C4712="","",R4712*U4712/100)</f>
        <v/>
      </c>
      <c r="W4712" s="7">
        <f>IF($C4712="","",R4712-V4712)</f>
        <v/>
      </c>
      <c r="X4712" s="7">
        <f>IF($C4712="","",W4712-K4712)</f>
        <v/>
      </c>
      <c r="AB4712" s="7" t="n"/>
      <c r="AE4712" s="11" t="n"/>
      <c r="AG4712">
        <f>IF($C4712="","",IF(COUNTIF($C$2:$C4712,$C4712)=1,1,0))</f>
        <v/>
      </c>
      <c r="AH4712">
        <f>IF($AG4712=1,SUMPRODUCT(--($AK$2:$AK$6001&lt;$AK4712))+1,"")</f>
        <v/>
      </c>
      <c r="AI4712">
        <f>IF($C4712="","",IF(OR($N4712=TRUE(),$N4712="TRUE"),1,0))</f>
        <v/>
      </c>
      <c r="AJ4712">
        <f>IF($C4712="","",IF($T4712="Yes",1,0))</f>
        <v/>
      </c>
      <c r="AK4712">
        <f>IF($AG4712=1,IFERROR(IF(VALUE($C4712)&lt;100000000,VALUE($C4712),1000000000),IFERROR(IF(VALUE(MID($C4712,2,20))&lt;100000000,VALUE(MID($C4712,2,20)),1000000000),1000000000))+ROW()/100000,"")</f>
        <v/>
      </c>
    </row>
    <row r="4713">
      <c r="D4713" s="11" t="n"/>
      <c r="K4713" s="7">
        <f>IF($C4713="","",J4713*W4713/100)</f>
        <v/>
      </c>
      <c r="Q4713" s="7" t="n"/>
      <c r="R4713" s="7" t="n"/>
      <c r="U4713">
        <f>IF($C4713="","",IF($AJ4713=1,0,IF($AI4713=1,Settings!$C$6,Settings!$C$7))*100)</f>
        <v/>
      </c>
      <c r="V4713" s="7">
        <f>IF($C4713="","",R4713*U4713/100)</f>
        <v/>
      </c>
      <c r="W4713" s="7">
        <f>IF($C4713="","",R4713-V4713)</f>
        <v/>
      </c>
      <c r="X4713" s="7">
        <f>IF($C4713="","",W4713-K4713)</f>
        <v/>
      </c>
      <c r="AB4713" s="7" t="n"/>
      <c r="AE4713" s="11" t="n"/>
      <c r="AG4713">
        <f>IF($C4713="","",IF(COUNTIF($C$2:$C4713,$C4713)=1,1,0))</f>
        <v/>
      </c>
      <c r="AH4713">
        <f>IF($AG4713=1,SUMPRODUCT(--($AK$2:$AK$6001&lt;$AK4713))+1,"")</f>
        <v/>
      </c>
      <c r="AI4713">
        <f>IF($C4713="","",IF(OR($N4713=TRUE(),$N4713="TRUE"),1,0))</f>
        <v/>
      </c>
      <c r="AJ4713">
        <f>IF($C4713="","",IF($T4713="Yes",1,0))</f>
        <v/>
      </c>
      <c r="AK4713">
        <f>IF($AG4713=1,IFERROR(IF(VALUE($C4713)&lt;100000000,VALUE($C4713),1000000000),IFERROR(IF(VALUE(MID($C4713,2,20))&lt;100000000,VALUE(MID($C4713,2,20)),1000000000),1000000000))+ROW()/100000,"")</f>
        <v/>
      </c>
    </row>
    <row r="4714">
      <c r="D4714" s="11" t="n"/>
      <c r="K4714" s="7">
        <f>IF($C4714="","",J4714*W4714/100)</f>
        <v/>
      </c>
      <c r="Q4714" s="7" t="n"/>
      <c r="R4714" s="7" t="n"/>
      <c r="U4714">
        <f>IF($C4714="","",IF($AJ4714=1,0,IF($AI4714=1,Settings!$C$6,Settings!$C$7))*100)</f>
        <v/>
      </c>
      <c r="V4714" s="7">
        <f>IF($C4714="","",R4714*U4714/100)</f>
        <v/>
      </c>
      <c r="W4714" s="7">
        <f>IF($C4714="","",R4714-V4714)</f>
        <v/>
      </c>
      <c r="X4714" s="7">
        <f>IF($C4714="","",W4714-K4714)</f>
        <v/>
      </c>
      <c r="AB4714" s="7" t="n"/>
      <c r="AE4714" s="11" t="n"/>
      <c r="AG4714">
        <f>IF($C4714="","",IF(COUNTIF($C$2:$C4714,$C4714)=1,1,0))</f>
        <v/>
      </c>
      <c r="AH4714">
        <f>IF($AG4714=1,SUMPRODUCT(--($AK$2:$AK$6001&lt;$AK4714))+1,"")</f>
        <v/>
      </c>
      <c r="AI4714">
        <f>IF($C4714="","",IF(OR($N4714=TRUE(),$N4714="TRUE"),1,0))</f>
        <v/>
      </c>
      <c r="AJ4714">
        <f>IF($C4714="","",IF($T4714="Yes",1,0))</f>
        <v/>
      </c>
      <c r="AK4714">
        <f>IF($AG4714=1,IFERROR(IF(VALUE($C4714)&lt;100000000,VALUE($C4714),1000000000),IFERROR(IF(VALUE(MID($C4714,2,20))&lt;100000000,VALUE(MID($C4714,2,20)),1000000000),1000000000))+ROW()/100000,"")</f>
        <v/>
      </c>
    </row>
    <row r="4715">
      <c r="D4715" s="11" t="n"/>
      <c r="K4715" s="7">
        <f>IF($C4715="","",J4715*W4715/100)</f>
        <v/>
      </c>
      <c r="Q4715" s="7" t="n"/>
      <c r="R4715" s="7" t="n"/>
      <c r="U4715">
        <f>IF($C4715="","",IF($AJ4715=1,0,IF($AI4715=1,Settings!$C$6,Settings!$C$7))*100)</f>
        <v/>
      </c>
      <c r="V4715" s="7">
        <f>IF($C4715="","",R4715*U4715/100)</f>
        <v/>
      </c>
      <c r="W4715" s="7">
        <f>IF($C4715="","",R4715-V4715)</f>
        <v/>
      </c>
      <c r="X4715" s="7">
        <f>IF($C4715="","",W4715-K4715)</f>
        <v/>
      </c>
      <c r="AB4715" s="7" t="n"/>
      <c r="AE4715" s="11" t="n"/>
      <c r="AG4715">
        <f>IF($C4715="","",IF(COUNTIF($C$2:$C4715,$C4715)=1,1,0))</f>
        <v/>
      </c>
      <c r="AH4715">
        <f>IF($AG4715=1,SUMPRODUCT(--($AK$2:$AK$6001&lt;$AK4715))+1,"")</f>
        <v/>
      </c>
      <c r="AI4715">
        <f>IF($C4715="","",IF(OR($N4715=TRUE(),$N4715="TRUE"),1,0))</f>
        <v/>
      </c>
      <c r="AJ4715">
        <f>IF($C4715="","",IF($T4715="Yes",1,0))</f>
        <v/>
      </c>
      <c r="AK4715">
        <f>IF($AG4715=1,IFERROR(IF(VALUE($C4715)&lt;100000000,VALUE($C4715),1000000000),IFERROR(IF(VALUE(MID($C4715,2,20))&lt;100000000,VALUE(MID($C4715,2,20)),1000000000),1000000000))+ROW()/100000,"")</f>
        <v/>
      </c>
    </row>
    <row r="4716">
      <c r="D4716" s="11" t="n"/>
      <c r="K4716" s="7">
        <f>IF($C4716="","",J4716*W4716/100)</f>
        <v/>
      </c>
      <c r="Q4716" s="7" t="n"/>
      <c r="R4716" s="7" t="n"/>
      <c r="U4716">
        <f>IF($C4716="","",IF($AJ4716=1,0,IF($AI4716=1,Settings!$C$6,Settings!$C$7))*100)</f>
        <v/>
      </c>
      <c r="V4716" s="7">
        <f>IF($C4716="","",R4716*U4716/100)</f>
        <v/>
      </c>
      <c r="W4716" s="7">
        <f>IF($C4716="","",R4716-V4716)</f>
        <v/>
      </c>
      <c r="X4716" s="7">
        <f>IF($C4716="","",W4716-K4716)</f>
        <v/>
      </c>
      <c r="AB4716" s="7" t="n"/>
      <c r="AE4716" s="11" t="n"/>
      <c r="AG4716">
        <f>IF($C4716="","",IF(COUNTIF($C$2:$C4716,$C4716)=1,1,0))</f>
        <v/>
      </c>
      <c r="AH4716">
        <f>IF($AG4716=1,SUMPRODUCT(--($AK$2:$AK$6001&lt;$AK4716))+1,"")</f>
        <v/>
      </c>
      <c r="AI4716">
        <f>IF($C4716="","",IF(OR($N4716=TRUE(),$N4716="TRUE"),1,0))</f>
        <v/>
      </c>
      <c r="AJ4716">
        <f>IF($C4716="","",IF($T4716="Yes",1,0))</f>
        <v/>
      </c>
      <c r="AK4716">
        <f>IF($AG4716=1,IFERROR(IF(VALUE($C4716)&lt;100000000,VALUE($C4716),1000000000),IFERROR(IF(VALUE(MID($C4716,2,20))&lt;100000000,VALUE(MID($C4716,2,20)),1000000000),1000000000))+ROW()/100000,"")</f>
        <v/>
      </c>
    </row>
    <row r="4717">
      <c r="D4717" s="11" t="n"/>
      <c r="K4717" s="7">
        <f>IF($C4717="","",J4717*W4717/100)</f>
        <v/>
      </c>
      <c r="Q4717" s="7" t="n"/>
      <c r="R4717" s="7" t="n"/>
      <c r="U4717">
        <f>IF($C4717="","",IF($AJ4717=1,0,IF($AI4717=1,Settings!$C$6,Settings!$C$7))*100)</f>
        <v/>
      </c>
      <c r="V4717" s="7">
        <f>IF($C4717="","",R4717*U4717/100)</f>
        <v/>
      </c>
      <c r="W4717" s="7">
        <f>IF($C4717="","",R4717-V4717)</f>
        <v/>
      </c>
      <c r="X4717" s="7">
        <f>IF($C4717="","",W4717-K4717)</f>
        <v/>
      </c>
      <c r="AB4717" s="7" t="n"/>
      <c r="AE4717" s="11" t="n"/>
      <c r="AG4717">
        <f>IF($C4717="","",IF(COUNTIF($C$2:$C4717,$C4717)=1,1,0))</f>
        <v/>
      </c>
      <c r="AH4717">
        <f>IF($AG4717=1,SUMPRODUCT(--($AK$2:$AK$6001&lt;$AK4717))+1,"")</f>
        <v/>
      </c>
      <c r="AI4717">
        <f>IF($C4717="","",IF(OR($N4717=TRUE(),$N4717="TRUE"),1,0))</f>
        <v/>
      </c>
      <c r="AJ4717">
        <f>IF($C4717="","",IF($T4717="Yes",1,0))</f>
        <v/>
      </c>
      <c r="AK4717">
        <f>IF($AG4717=1,IFERROR(IF(VALUE($C4717)&lt;100000000,VALUE($C4717),1000000000),IFERROR(IF(VALUE(MID($C4717,2,20))&lt;100000000,VALUE(MID($C4717,2,20)),1000000000),1000000000))+ROW()/100000,"")</f>
        <v/>
      </c>
    </row>
    <row r="4718">
      <c r="D4718" s="11" t="n"/>
      <c r="K4718" s="7">
        <f>IF($C4718="","",J4718*W4718/100)</f>
        <v/>
      </c>
      <c r="Q4718" s="7" t="n"/>
      <c r="R4718" s="7" t="n"/>
      <c r="U4718">
        <f>IF($C4718="","",IF($AJ4718=1,0,IF($AI4718=1,Settings!$C$6,Settings!$C$7))*100)</f>
        <v/>
      </c>
      <c r="V4718" s="7">
        <f>IF($C4718="","",R4718*U4718/100)</f>
        <v/>
      </c>
      <c r="W4718" s="7">
        <f>IF($C4718="","",R4718-V4718)</f>
        <v/>
      </c>
      <c r="X4718" s="7">
        <f>IF($C4718="","",W4718-K4718)</f>
        <v/>
      </c>
      <c r="AB4718" s="7" t="n"/>
      <c r="AE4718" s="11" t="n"/>
      <c r="AG4718">
        <f>IF($C4718="","",IF(COUNTIF($C$2:$C4718,$C4718)=1,1,0))</f>
        <v/>
      </c>
      <c r="AH4718">
        <f>IF($AG4718=1,SUMPRODUCT(--($AK$2:$AK$6001&lt;$AK4718))+1,"")</f>
        <v/>
      </c>
      <c r="AI4718">
        <f>IF($C4718="","",IF(OR($N4718=TRUE(),$N4718="TRUE"),1,0))</f>
        <v/>
      </c>
      <c r="AJ4718">
        <f>IF($C4718="","",IF($T4718="Yes",1,0))</f>
        <v/>
      </c>
      <c r="AK4718">
        <f>IF($AG4718=1,IFERROR(IF(VALUE($C4718)&lt;100000000,VALUE($C4718),1000000000),IFERROR(IF(VALUE(MID($C4718,2,20))&lt;100000000,VALUE(MID($C4718,2,20)),1000000000),1000000000))+ROW()/100000,"")</f>
        <v/>
      </c>
    </row>
    <row r="4719">
      <c r="D4719" s="11" t="n"/>
      <c r="K4719" s="7">
        <f>IF($C4719="","",J4719*W4719/100)</f>
        <v/>
      </c>
      <c r="Q4719" s="7" t="n"/>
      <c r="R4719" s="7" t="n"/>
      <c r="U4719">
        <f>IF($C4719="","",IF($AJ4719=1,0,IF($AI4719=1,Settings!$C$6,Settings!$C$7))*100)</f>
        <v/>
      </c>
      <c r="V4719" s="7">
        <f>IF($C4719="","",R4719*U4719/100)</f>
        <v/>
      </c>
      <c r="W4719" s="7">
        <f>IF($C4719="","",R4719-V4719)</f>
        <v/>
      </c>
      <c r="X4719" s="7">
        <f>IF($C4719="","",W4719-K4719)</f>
        <v/>
      </c>
      <c r="AB4719" s="7" t="n"/>
      <c r="AE4719" s="11" t="n"/>
      <c r="AG4719">
        <f>IF($C4719="","",IF(COUNTIF($C$2:$C4719,$C4719)=1,1,0))</f>
        <v/>
      </c>
      <c r="AH4719">
        <f>IF($AG4719=1,SUMPRODUCT(--($AK$2:$AK$6001&lt;$AK4719))+1,"")</f>
        <v/>
      </c>
      <c r="AI4719">
        <f>IF($C4719="","",IF(OR($N4719=TRUE(),$N4719="TRUE"),1,0))</f>
        <v/>
      </c>
      <c r="AJ4719">
        <f>IF($C4719="","",IF($T4719="Yes",1,0))</f>
        <v/>
      </c>
      <c r="AK4719">
        <f>IF($AG4719=1,IFERROR(IF(VALUE($C4719)&lt;100000000,VALUE($C4719),1000000000),IFERROR(IF(VALUE(MID($C4719,2,20))&lt;100000000,VALUE(MID($C4719,2,20)),1000000000),1000000000))+ROW()/100000,"")</f>
        <v/>
      </c>
    </row>
    <row r="4720">
      <c r="D4720" s="11" t="n"/>
      <c r="K4720" s="7">
        <f>IF($C4720="","",J4720*W4720/100)</f>
        <v/>
      </c>
      <c r="Q4720" s="7" t="n"/>
      <c r="R4720" s="7" t="n"/>
      <c r="U4720">
        <f>IF($C4720="","",IF($AJ4720=1,0,IF($AI4720=1,Settings!$C$6,Settings!$C$7))*100)</f>
        <v/>
      </c>
      <c r="V4720" s="7">
        <f>IF($C4720="","",R4720*U4720/100)</f>
        <v/>
      </c>
      <c r="W4720" s="7">
        <f>IF($C4720="","",R4720-V4720)</f>
        <v/>
      </c>
      <c r="X4720" s="7">
        <f>IF($C4720="","",W4720-K4720)</f>
        <v/>
      </c>
      <c r="AB4720" s="7" t="n"/>
      <c r="AE4720" s="11" t="n"/>
      <c r="AG4720">
        <f>IF($C4720="","",IF(COUNTIF($C$2:$C4720,$C4720)=1,1,0))</f>
        <v/>
      </c>
      <c r="AH4720">
        <f>IF($AG4720=1,SUMPRODUCT(--($AK$2:$AK$6001&lt;$AK4720))+1,"")</f>
        <v/>
      </c>
      <c r="AI4720">
        <f>IF($C4720="","",IF(OR($N4720=TRUE(),$N4720="TRUE"),1,0))</f>
        <v/>
      </c>
      <c r="AJ4720">
        <f>IF($C4720="","",IF($T4720="Yes",1,0))</f>
        <v/>
      </c>
      <c r="AK4720">
        <f>IF($AG4720=1,IFERROR(IF(VALUE($C4720)&lt;100000000,VALUE($C4720),1000000000),IFERROR(IF(VALUE(MID($C4720,2,20))&lt;100000000,VALUE(MID($C4720,2,20)),1000000000),1000000000))+ROW()/100000,"")</f>
        <v/>
      </c>
    </row>
    <row r="4721">
      <c r="D4721" s="11" t="n"/>
      <c r="K4721" s="7">
        <f>IF($C4721="","",J4721*W4721/100)</f>
        <v/>
      </c>
      <c r="Q4721" s="7" t="n"/>
      <c r="R4721" s="7" t="n"/>
      <c r="U4721">
        <f>IF($C4721="","",IF($AJ4721=1,0,IF($AI4721=1,Settings!$C$6,Settings!$C$7))*100)</f>
        <v/>
      </c>
      <c r="V4721" s="7">
        <f>IF($C4721="","",R4721*U4721/100)</f>
        <v/>
      </c>
      <c r="W4721" s="7">
        <f>IF($C4721="","",R4721-V4721)</f>
        <v/>
      </c>
      <c r="X4721" s="7">
        <f>IF($C4721="","",W4721-K4721)</f>
        <v/>
      </c>
      <c r="AB4721" s="7" t="n"/>
      <c r="AE4721" s="11" t="n"/>
      <c r="AG4721">
        <f>IF($C4721="","",IF(COUNTIF($C$2:$C4721,$C4721)=1,1,0))</f>
        <v/>
      </c>
      <c r="AH4721">
        <f>IF($AG4721=1,SUMPRODUCT(--($AK$2:$AK$6001&lt;$AK4721))+1,"")</f>
        <v/>
      </c>
      <c r="AI4721">
        <f>IF($C4721="","",IF(OR($N4721=TRUE(),$N4721="TRUE"),1,0))</f>
        <v/>
      </c>
      <c r="AJ4721">
        <f>IF($C4721="","",IF($T4721="Yes",1,0))</f>
        <v/>
      </c>
      <c r="AK4721">
        <f>IF($AG4721=1,IFERROR(IF(VALUE($C4721)&lt;100000000,VALUE($C4721),1000000000),IFERROR(IF(VALUE(MID($C4721,2,20))&lt;100000000,VALUE(MID($C4721,2,20)),1000000000),1000000000))+ROW()/100000,"")</f>
        <v/>
      </c>
    </row>
    <row r="4722">
      <c r="D4722" s="11" t="n"/>
      <c r="K4722" s="7">
        <f>IF($C4722="","",J4722*W4722/100)</f>
        <v/>
      </c>
      <c r="Q4722" s="7" t="n"/>
      <c r="R4722" s="7" t="n"/>
      <c r="U4722">
        <f>IF($C4722="","",IF($AJ4722=1,0,IF($AI4722=1,Settings!$C$6,Settings!$C$7))*100)</f>
        <v/>
      </c>
      <c r="V4722" s="7">
        <f>IF($C4722="","",R4722*U4722/100)</f>
        <v/>
      </c>
      <c r="W4722" s="7">
        <f>IF($C4722="","",R4722-V4722)</f>
        <v/>
      </c>
      <c r="X4722" s="7">
        <f>IF($C4722="","",W4722-K4722)</f>
        <v/>
      </c>
      <c r="AB4722" s="7" t="n"/>
      <c r="AE4722" s="11" t="n"/>
      <c r="AG4722">
        <f>IF($C4722="","",IF(COUNTIF($C$2:$C4722,$C4722)=1,1,0))</f>
        <v/>
      </c>
      <c r="AH4722">
        <f>IF($AG4722=1,SUMPRODUCT(--($AK$2:$AK$6001&lt;$AK4722))+1,"")</f>
        <v/>
      </c>
      <c r="AI4722">
        <f>IF($C4722="","",IF(OR($N4722=TRUE(),$N4722="TRUE"),1,0))</f>
        <v/>
      </c>
      <c r="AJ4722">
        <f>IF($C4722="","",IF($T4722="Yes",1,0))</f>
        <v/>
      </c>
      <c r="AK4722">
        <f>IF($AG4722=1,IFERROR(IF(VALUE($C4722)&lt;100000000,VALUE($C4722),1000000000),IFERROR(IF(VALUE(MID($C4722,2,20))&lt;100000000,VALUE(MID($C4722,2,20)),1000000000),1000000000))+ROW()/100000,"")</f>
        <v/>
      </c>
    </row>
    <row r="4723">
      <c r="D4723" s="11" t="n"/>
      <c r="K4723" s="7">
        <f>IF($C4723="","",J4723*W4723/100)</f>
        <v/>
      </c>
      <c r="Q4723" s="7" t="n"/>
      <c r="R4723" s="7" t="n"/>
      <c r="U4723">
        <f>IF($C4723="","",IF($AJ4723=1,0,IF($AI4723=1,Settings!$C$6,Settings!$C$7))*100)</f>
        <v/>
      </c>
      <c r="V4723" s="7">
        <f>IF($C4723="","",R4723*U4723/100)</f>
        <v/>
      </c>
      <c r="W4723" s="7">
        <f>IF($C4723="","",R4723-V4723)</f>
        <v/>
      </c>
      <c r="X4723" s="7">
        <f>IF($C4723="","",W4723-K4723)</f>
        <v/>
      </c>
      <c r="AB4723" s="7" t="n"/>
      <c r="AE4723" s="11" t="n"/>
      <c r="AG4723">
        <f>IF($C4723="","",IF(COUNTIF($C$2:$C4723,$C4723)=1,1,0))</f>
        <v/>
      </c>
      <c r="AH4723">
        <f>IF($AG4723=1,SUMPRODUCT(--($AK$2:$AK$6001&lt;$AK4723))+1,"")</f>
        <v/>
      </c>
      <c r="AI4723">
        <f>IF($C4723="","",IF(OR($N4723=TRUE(),$N4723="TRUE"),1,0))</f>
        <v/>
      </c>
      <c r="AJ4723">
        <f>IF($C4723="","",IF($T4723="Yes",1,0))</f>
        <v/>
      </c>
      <c r="AK4723">
        <f>IF($AG4723=1,IFERROR(IF(VALUE($C4723)&lt;100000000,VALUE($C4723),1000000000),IFERROR(IF(VALUE(MID($C4723,2,20))&lt;100000000,VALUE(MID($C4723,2,20)),1000000000),1000000000))+ROW()/100000,"")</f>
        <v/>
      </c>
    </row>
    <row r="4724">
      <c r="D4724" s="11" t="n"/>
      <c r="K4724" s="7">
        <f>IF($C4724="","",J4724*W4724/100)</f>
        <v/>
      </c>
      <c r="Q4724" s="7" t="n"/>
      <c r="R4724" s="7" t="n"/>
      <c r="U4724">
        <f>IF($C4724="","",IF($AJ4724=1,0,IF($AI4724=1,Settings!$C$6,Settings!$C$7))*100)</f>
        <v/>
      </c>
      <c r="V4724" s="7">
        <f>IF($C4724="","",R4724*U4724/100)</f>
        <v/>
      </c>
      <c r="W4724" s="7">
        <f>IF($C4724="","",R4724-V4724)</f>
        <v/>
      </c>
      <c r="X4724" s="7">
        <f>IF($C4724="","",W4724-K4724)</f>
        <v/>
      </c>
      <c r="AB4724" s="7" t="n"/>
      <c r="AE4724" s="11" t="n"/>
      <c r="AG4724">
        <f>IF($C4724="","",IF(COUNTIF($C$2:$C4724,$C4724)=1,1,0))</f>
        <v/>
      </c>
      <c r="AH4724">
        <f>IF($AG4724=1,SUMPRODUCT(--($AK$2:$AK$6001&lt;$AK4724))+1,"")</f>
        <v/>
      </c>
      <c r="AI4724">
        <f>IF($C4724="","",IF(OR($N4724=TRUE(),$N4724="TRUE"),1,0))</f>
        <v/>
      </c>
      <c r="AJ4724">
        <f>IF($C4724="","",IF($T4724="Yes",1,0))</f>
        <v/>
      </c>
      <c r="AK4724">
        <f>IF($AG4724=1,IFERROR(IF(VALUE($C4724)&lt;100000000,VALUE($C4724),1000000000),IFERROR(IF(VALUE(MID($C4724,2,20))&lt;100000000,VALUE(MID($C4724,2,20)),1000000000),1000000000))+ROW()/100000,"")</f>
        <v/>
      </c>
    </row>
    <row r="4725">
      <c r="D4725" s="11" t="n"/>
      <c r="K4725" s="7">
        <f>IF($C4725="","",J4725*W4725/100)</f>
        <v/>
      </c>
      <c r="Q4725" s="7" t="n"/>
      <c r="R4725" s="7" t="n"/>
      <c r="U4725">
        <f>IF($C4725="","",IF($AJ4725=1,0,IF($AI4725=1,Settings!$C$6,Settings!$C$7))*100)</f>
        <v/>
      </c>
      <c r="V4725" s="7">
        <f>IF($C4725="","",R4725*U4725/100)</f>
        <v/>
      </c>
      <c r="W4725" s="7">
        <f>IF($C4725="","",R4725-V4725)</f>
        <v/>
      </c>
      <c r="X4725" s="7">
        <f>IF($C4725="","",W4725-K4725)</f>
        <v/>
      </c>
      <c r="AB4725" s="7" t="n"/>
      <c r="AE4725" s="11" t="n"/>
      <c r="AG4725">
        <f>IF($C4725="","",IF(COUNTIF($C$2:$C4725,$C4725)=1,1,0))</f>
        <v/>
      </c>
      <c r="AH4725">
        <f>IF($AG4725=1,SUMPRODUCT(--($AK$2:$AK$6001&lt;$AK4725))+1,"")</f>
        <v/>
      </c>
      <c r="AI4725">
        <f>IF($C4725="","",IF(OR($N4725=TRUE(),$N4725="TRUE"),1,0))</f>
        <v/>
      </c>
      <c r="AJ4725">
        <f>IF($C4725="","",IF($T4725="Yes",1,0))</f>
        <v/>
      </c>
      <c r="AK4725">
        <f>IF($AG4725=1,IFERROR(IF(VALUE($C4725)&lt;100000000,VALUE($C4725),1000000000),IFERROR(IF(VALUE(MID($C4725,2,20))&lt;100000000,VALUE(MID($C4725,2,20)),1000000000),1000000000))+ROW()/100000,"")</f>
        <v/>
      </c>
    </row>
    <row r="4726">
      <c r="D4726" s="11" t="n"/>
      <c r="K4726" s="7">
        <f>IF($C4726="","",J4726*W4726/100)</f>
        <v/>
      </c>
      <c r="Q4726" s="7" t="n"/>
      <c r="R4726" s="7" t="n"/>
      <c r="U4726">
        <f>IF($C4726="","",IF($AJ4726=1,0,IF($AI4726=1,Settings!$C$6,Settings!$C$7))*100)</f>
        <v/>
      </c>
      <c r="V4726" s="7">
        <f>IF($C4726="","",R4726*U4726/100)</f>
        <v/>
      </c>
      <c r="W4726" s="7">
        <f>IF($C4726="","",R4726-V4726)</f>
        <v/>
      </c>
      <c r="X4726" s="7">
        <f>IF($C4726="","",W4726-K4726)</f>
        <v/>
      </c>
      <c r="AB4726" s="7" t="n"/>
      <c r="AE4726" s="11" t="n"/>
      <c r="AG4726">
        <f>IF($C4726="","",IF(COUNTIF($C$2:$C4726,$C4726)=1,1,0))</f>
        <v/>
      </c>
      <c r="AH4726">
        <f>IF($AG4726=1,SUMPRODUCT(--($AK$2:$AK$6001&lt;$AK4726))+1,"")</f>
        <v/>
      </c>
      <c r="AI4726">
        <f>IF($C4726="","",IF(OR($N4726=TRUE(),$N4726="TRUE"),1,0))</f>
        <v/>
      </c>
      <c r="AJ4726">
        <f>IF($C4726="","",IF($T4726="Yes",1,0))</f>
        <v/>
      </c>
      <c r="AK4726">
        <f>IF($AG4726=1,IFERROR(IF(VALUE($C4726)&lt;100000000,VALUE($C4726),1000000000),IFERROR(IF(VALUE(MID($C4726,2,20))&lt;100000000,VALUE(MID($C4726,2,20)),1000000000),1000000000))+ROW()/100000,"")</f>
        <v/>
      </c>
    </row>
    <row r="4727">
      <c r="D4727" s="11" t="n"/>
      <c r="K4727" s="7">
        <f>IF($C4727="","",J4727*W4727/100)</f>
        <v/>
      </c>
      <c r="Q4727" s="7" t="n"/>
      <c r="R4727" s="7" t="n"/>
      <c r="U4727">
        <f>IF($C4727="","",IF($AJ4727=1,0,IF($AI4727=1,Settings!$C$6,Settings!$C$7))*100)</f>
        <v/>
      </c>
      <c r="V4727" s="7">
        <f>IF($C4727="","",R4727*U4727/100)</f>
        <v/>
      </c>
      <c r="W4727" s="7">
        <f>IF($C4727="","",R4727-V4727)</f>
        <v/>
      </c>
      <c r="X4727" s="7">
        <f>IF($C4727="","",W4727-K4727)</f>
        <v/>
      </c>
      <c r="AB4727" s="7" t="n"/>
      <c r="AE4727" s="11" t="n"/>
      <c r="AG4727">
        <f>IF($C4727="","",IF(COUNTIF($C$2:$C4727,$C4727)=1,1,0))</f>
        <v/>
      </c>
      <c r="AH4727">
        <f>IF($AG4727=1,SUMPRODUCT(--($AK$2:$AK$6001&lt;$AK4727))+1,"")</f>
        <v/>
      </c>
      <c r="AI4727">
        <f>IF($C4727="","",IF(OR($N4727=TRUE(),$N4727="TRUE"),1,0))</f>
        <v/>
      </c>
      <c r="AJ4727">
        <f>IF($C4727="","",IF($T4727="Yes",1,0))</f>
        <v/>
      </c>
      <c r="AK4727">
        <f>IF($AG4727=1,IFERROR(IF(VALUE($C4727)&lt;100000000,VALUE($C4727),1000000000),IFERROR(IF(VALUE(MID($C4727,2,20))&lt;100000000,VALUE(MID($C4727,2,20)),1000000000),1000000000))+ROW()/100000,"")</f>
        <v/>
      </c>
    </row>
    <row r="4728">
      <c r="D4728" s="11" t="n"/>
      <c r="K4728" s="7">
        <f>IF($C4728="","",J4728*W4728/100)</f>
        <v/>
      </c>
      <c r="Q4728" s="7" t="n"/>
      <c r="R4728" s="7" t="n"/>
      <c r="U4728">
        <f>IF($C4728="","",IF($AJ4728=1,0,IF($AI4728=1,Settings!$C$6,Settings!$C$7))*100)</f>
        <v/>
      </c>
      <c r="V4728" s="7">
        <f>IF($C4728="","",R4728*U4728/100)</f>
        <v/>
      </c>
      <c r="W4728" s="7">
        <f>IF($C4728="","",R4728-V4728)</f>
        <v/>
      </c>
      <c r="X4728" s="7">
        <f>IF($C4728="","",W4728-K4728)</f>
        <v/>
      </c>
      <c r="AB4728" s="7" t="n"/>
      <c r="AE4728" s="11" t="n"/>
      <c r="AG4728">
        <f>IF($C4728="","",IF(COUNTIF($C$2:$C4728,$C4728)=1,1,0))</f>
        <v/>
      </c>
      <c r="AH4728">
        <f>IF($AG4728=1,SUMPRODUCT(--($AK$2:$AK$6001&lt;$AK4728))+1,"")</f>
        <v/>
      </c>
      <c r="AI4728">
        <f>IF($C4728="","",IF(OR($N4728=TRUE(),$N4728="TRUE"),1,0))</f>
        <v/>
      </c>
      <c r="AJ4728">
        <f>IF($C4728="","",IF($T4728="Yes",1,0))</f>
        <v/>
      </c>
      <c r="AK4728">
        <f>IF($AG4728=1,IFERROR(IF(VALUE($C4728)&lt;100000000,VALUE($C4728),1000000000),IFERROR(IF(VALUE(MID($C4728,2,20))&lt;100000000,VALUE(MID($C4728,2,20)),1000000000),1000000000))+ROW()/100000,"")</f>
        <v/>
      </c>
    </row>
    <row r="4729">
      <c r="D4729" s="11" t="n"/>
      <c r="K4729" s="7">
        <f>IF($C4729="","",J4729*W4729/100)</f>
        <v/>
      </c>
      <c r="Q4729" s="7" t="n"/>
      <c r="R4729" s="7" t="n"/>
      <c r="U4729">
        <f>IF($C4729="","",IF($AJ4729=1,0,IF($AI4729=1,Settings!$C$6,Settings!$C$7))*100)</f>
        <v/>
      </c>
      <c r="V4729" s="7">
        <f>IF($C4729="","",R4729*U4729/100)</f>
        <v/>
      </c>
      <c r="W4729" s="7">
        <f>IF($C4729="","",R4729-V4729)</f>
        <v/>
      </c>
      <c r="X4729" s="7">
        <f>IF($C4729="","",W4729-K4729)</f>
        <v/>
      </c>
      <c r="AB4729" s="7" t="n"/>
      <c r="AE4729" s="11" t="n"/>
      <c r="AG4729">
        <f>IF($C4729="","",IF(COUNTIF($C$2:$C4729,$C4729)=1,1,0))</f>
        <v/>
      </c>
      <c r="AH4729">
        <f>IF($AG4729=1,SUMPRODUCT(--($AK$2:$AK$6001&lt;$AK4729))+1,"")</f>
        <v/>
      </c>
      <c r="AI4729">
        <f>IF($C4729="","",IF(OR($N4729=TRUE(),$N4729="TRUE"),1,0))</f>
        <v/>
      </c>
      <c r="AJ4729">
        <f>IF($C4729="","",IF($T4729="Yes",1,0))</f>
        <v/>
      </c>
      <c r="AK4729">
        <f>IF($AG4729=1,IFERROR(IF(VALUE($C4729)&lt;100000000,VALUE($C4729),1000000000),IFERROR(IF(VALUE(MID($C4729,2,20))&lt;100000000,VALUE(MID($C4729,2,20)),1000000000),1000000000))+ROW()/100000,"")</f>
        <v/>
      </c>
    </row>
    <row r="4730">
      <c r="D4730" s="11" t="n"/>
      <c r="K4730" s="7">
        <f>IF($C4730="","",J4730*W4730/100)</f>
        <v/>
      </c>
      <c r="Q4730" s="7" t="n"/>
      <c r="R4730" s="7" t="n"/>
      <c r="U4730">
        <f>IF($C4730="","",IF($AJ4730=1,0,IF($AI4730=1,Settings!$C$6,Settings!$C$7))*100)</f>
        <v/>
      </c>
      <c r="V4730" s="7">
        <f>IF($C4730="","",R4730*U4730/100)</f>
        <v/>
      </c>
      <c r="W4730" s="7">
        <f>IF($C4730="","",R4730-V4730)</f>
        <v/>
      </c>
      <c r="X4730" s="7">
        <f>IF($C4730="","",W4730-K4730)</f>
        <v/>
      </c>
      <c r="AB4730" s="7" t="n"/>
      <c r="AE4730" s="11" t="n"/>
      <c r="AG4730">
        <f>IF($C4730="","",IF(COUNTIF($C$2:$C4730,$C4730)=1,1,0))</f>
        <v/>
      </c>
      <c r="AH4730">
        <f>IF($AG4730=1,SUMPRODUCT(--($AK$2:$AK$6001&lt;$AK4730))+1,"")</f>
        <v/>
      </c>
      <c r="AI4730">
        <f>IF($C4730="","",IF(OR($N4730=TRUE(),$N4730="TRUE"),1,0))</f>
        <v/>
      </c>
      <c r="AJ4730">
        <f>IF($C4730="","",IF($T4730="Yes",1,0))</f>
        <v/>
      </c>
      <c r="AK4730">
        <f>IF($AG4730=1,IFERROR(IF(VALUE($C4730)&lt;100000000,VALUE($C4730),1000000000),IFERROR(IF(VALUE(MID($C4730,2,20))&lt;100000000,VALUE(MID($C4730,2,20)),1000000000),1000000000))+ROW()/100000,"")</f>
        <v/>
      </c>
    </row>
    <row r="4731">
      <c r="D4731" s="11" t="n"/>
      <c r="K4731" s="7">
        <f>IF($C4731="","",J4731*W4731/100)</f>
        <v/>
      </c>
      <c r="Q4731" s="7" t="n"/>
      <c r="R4731" s="7" t="n"/>
      <c r="U4731">
        <f>IF($C4731="","",IF($AJ4731=1,0,IF($AI4731=1,Settings!$C$6,Settings!$C$7))*100)</f>
        <v/>
      </c>
      <c r="V4731" s="7">
        <f>IF($C4731="","",R4731*U4731/100)</f>
        <v/>
      </c>
      <c r="W4731" s="7">
        <f>IF($C4731="","",R4731-V4731)</f>
        <v/>
      </c>
      <c r="X4731" s="7">
        <f>IF($C4731="","",W4731-K4731)</f>
        <v/>
      </c>
      <c r="AB4731" s="7" t="n"/>
      <c r="AE4731" s="11" t="n"/>
      <c r="AG4731">
        <f>IF($C4731="","",IF(COUNTIF($C$2:$C4731,$C4731)=1,1,0))</f>
        <v/>
      </c>
      <c r="AH4731">
        <f>IF($AG4731=1,SUMPRODUCT(--($AK$2:$AK$6001&lt;$AK4731))+1,"")</f>
        <v/>
      </c>
      <c r="AI4731">
        <f>IF($C4731="","",IF(OR($N4731=TRUE(),$N4731="TRUE"),1,0))</f>
        <v/>
      </c>
      <c r="AJ4731">
        <f>IF($C4731="","",IF($T4731="Yes",1,0))</f>
        <v/>
      </c>
      <c r="AK4731">
        <f>IF($AG4731=1,IFERROR(IF(VALUE($C4731)&lt;100000000,VALUE($C4731),1000000000),IFERROR(IF(VALUE(MID($C4731,2,20))&lt;100000000,VALUE(MID($C4731,2,20)),1000000000),1000000000))+ROW()/100000,"")</f>
        <v/>
      </c>
    </row>
    <row r="4732">
      <c r="D4732" s="11" t="n"/>
      <c r="K4732" s="7">
        <f>IF($C4732="","",J4732*W4732/100)</f>
        <v/>
      </c>
      <c r="Q4732" s="7" t="n"/>
      <c r="R4732" s="7" t="n"/>
      <c r="U4732">
        <f>IF($C4732="","",IF($AJ4732=1,0,IF($AI4732=1,Settings!$C$6,Settings!$C$7))*100)</f>
        <v/>
      </c>
      <c r="V4732" s="7">
        <f>IF($C4732="","",R4732*U4732/100)</f>
        <v/>
      </c>
      <c r="W4732" s="7">
        <f>IF($C4732="","",R4732-V4732)</f>
        <v/>
      </c>
      <c r="X4732" s="7">
        <f>IF($C4732="","",W4732-K4732)</f>
        <v/>
      </c>
      <c r="AB4732" s="7" t="n"/>
      <c r="AE4732" s="11" t="n"/>
      <c r="AG4732">
        <f>IF($C4732="","",IF(COUNTIF($C$2:$C4732,$C4732)=1,1,0))</f>
        <v/>
      </c>
      <c r="AH4732">
        <f>IF($AG4732=1,SUMPRODUCT(--($AK$2:$AK$6001&lt;$AK4732))+1,"")</f>
        <v/>
      </c>
      <c r="AI4732">
        <f>IF($C4732="","",IF(OR($N4732=TRUE(),$N4732="TRUE"),1,0))</f>
        <v/>
      </c>
      <c r="AJ4732">
        <f>IF($C4732="","",IF($T4732="Yes",1,0))</f>
        <v/>
      </c>
      <c r="AK4732">
        <f>IF($AG4732=1,IFERROR(IF(VALUE($C4732)&lt;100000000,VALUE($C4732),1000000000),IFERROR(IF(VALUE(MID($C4732,2,20))&lt;100000000,VALUE(MID($C4732,2,20)),1000000000),1000000000))+ROW()/100000,"")</f>
        <v/>
      </c>
    </row>
    <row r="4733">
      <c r="D4733" s="11" t="n"/>
      <c r="K4733" s="7">
        <f>IF($C4733="","",J4733*W4733/100)</f>
        <v/>
      </c>
      <c r="Q4733" s="7" t="n"/>
      <c r="R4733" s="7" t="n"/>
      <c r="U4733">
        <f>IF($C4733="","",IF($AJ4733=1,0,IF($AI4733=1,Settings!$C$6,Settings!$C$7))*100)</f>
        <v/>
      </c>
      <c r="V4733" s="7">
        <f>IF($C4733="","",R4733*U4733/100)</f>
        <v/>
      </c>
      <c r="W4733" s="7">
        <f>IF($C4733="","",R4733-V4733)</f>
        <v/>
      </c>
      <c r="X4733" s="7">
        <f>IF($C4733="","",W4733-K4733)</f>
        <v/>
      </c>
      <c r="AB4733" s="7" t="n"/>
      <c r="AE4733" s="11" t="n"/>
      <c r="AG4733">
        <f>IF($C4733="","",IF(COUNTIF($C$2:$C4733,$C4733)=1,1,0))</f>
        <v/>
      </c>
      <c r="AH4733">
        <f>IF($AG4733=1,SUMPRODUCT(--($AK$2:$AK$6001&lt;$AK4733))+1,"")</f>
        <v/>
      </c>
      <c r="AI4733">
        <f>IF($C4733="","",IF(OR($N4733=TRUE(),$N4733="TRUE"),1,0))</f>
        <v/>
      </c>
      <c r="AJ4733">
        <f>IF($C4733="","",IF($T4733="Yes",1,0))</f>
        <v/>
      </c>
      <c r="AK4733">
        <f>IF($AG4733=1,IFERROR(IF(VALUE($C4733)&lt;100000000,VALUE($C4733),1000000000),IFERROR(IF(VALUE(MID($C4733,2,20))&lt;100000000,VALUE(MID($C4733,2,20)),1000000000),1000000000))+ROW()/100000,"")</f>
        <v/>
      </c>
    </row>
    <row r="4734">
      <c r="D4734" s="11" t="n"/>
      <c r="K4734" s="7">
        <f>IF($C4734="","",J4734*W4734/100)</f>
        <v/>
      </c>
      <c r="Q4734" s="7" t="n"/>
      <c r="R4734" s="7" t="n"/>
      <c r="U4734">
        <f>IF($C4734="","",IF($AJ4734=1,0,IF($AI4734=1,Settings!$C$6,Settings!$C$7))*100)</f>
        <v/>
      </c>
      <c r="V4734" s="7">
        <f>IF($C4734="","",R4734*U4734/100)</f>
        <v/>
      </c>
      <c r="W4734" s="7">
        <f>IF($C4734="","",R4734-V4734)</f>
        <v/>
      </c>
      <c r="X4734" s="7">
        <f>IF($C4734="","",W4734-K4734)</f>
        <v/>
      </c>
      <c r="AB4734" s="7" t="n"/>
      <c r="AE4734" s="11" t="n"/>
      <c r="AG4734">
        <f>IF($C4734="","",IF(COUNTIF($C$2:$C4734,$C4734)=1,1,0))</f>
        <v/>
      </c>
      <c r="AH4734">
        <f>IF($AG4734=1,SUMPRODUCT(--($AK$2:$AK$6001&lt;$AK4734))+1,"")</f>
        <v/>
      </c>
      <c r="AI4734">
        <f>IF($C4734="","",IF(OR($N4734=TRUE(),$N4734="TRUE"),1,0))</f>
        <v/>
      </c>
      <c r="AJ4734">
        <f>IF($C4734="","",IF($T4734="Yes",1,0))</f>
        <v/>
      </c>
      <c r="AK4734">
        <f>IF($AG4734=1,IFERROR(IF(VALUE($C4734)&lt;100000000,VALUE($C4734),1000000000),IFERROR(IF(VALUE(MID($C4734,2,20))&lt;100000000,VALUE(MID($C4734,2,20)),1000000000),1000000000))+ROW()/100000,"")</f>
        <v/>
      </c>
    </row>
    <row r="4735">
      <c r="D4735" s="11" t="n"/>
      <c r="K4735" s="7">
        <f>IF($C4735="","",J4735*W4735/100)</f>
        <v/>
      </c>
      <c r="Q4735" s="7" t="n"/>
      <c r="R4735" s="7" t="n"/>
      <c r="U4735">
        <f>IF($C4735="","",IF($AJ4735=1,0,IF($AI4735=1,Settings!$C$6,Settings!$C$7))*100)</f>
        <v/>
      </c>
      <c r="V4735" s="7">
        <f>IF($C4735="","",R4735*U4735/100)</f>
        <v/>
      </c>
      <c r="W4735" s="7">
        <f>IF($C4735="","",R4735-V4735)</f>
        <v/>
      </c>
      <c r="X4735" s="7">
        <f>IF($C4735="","",W4735-K4735)</f>
        <v/>
      </c>
      <c r="AB4735" s="7" t="n"/>
      <c r="AE4735" s="11" t="n"/>
      <c r="AG4735">
        <f>IF($C4735="","",IF(COUNTIF($C$2:$C4735,$C4735)=1,1,0))</f>
        <v/>
      </c>
      <c r="AH4735">
        <f>IF($AG4735=1,SUMPRODUCT(--($AK$2:$AK$6001&lt;$AK4735))+1,"")</f>
        <v/>
      </c>
      <c r="AI4735">
        <f>IF($C4735="","",IF(OR($N4735=TRUE(),$N4735="TRUE"),1,0))</f>
        <v/>
      </c>
      <c r="AJ4735">
        <f>IF($C4735="","",IF($T4735="Yes",1,0))</f>
        <v/>
      </c>
      <c r="AK4735">
        <f>IF($AG4735=1,IFERROR(IF(VALUE($C4735)&lt;100000000,VALUE($C4735),1000000000),IFERROR(IF(VALUE(MID($C4735,2,20))&lt;100000000,VALUE(MID($C4735,2,20)),1000000000),1000000000))+ROW()/100000,"")</f>
        <v/>
      </c>
    </row>
    <row r="4736">
      <c r="D4736" s="11" t="n"/>
      <c r="K4736" s="7">
        <f>IF($C4736="","",J4736*W4736/100)</f>
        <v/>
      </c>
      <c r="Q4736" s="7" t="n"/>
      <c r="R4736" s="7" t="n"/>
      <c r="U4736">
        <f>IF($C4736="","",IF($AJ4736=1,0,IF($AI4736=1,Settings!$C$6,Settings!$C$7))*100)</f>
        <v/>
      </c>
      <c r="V4736" s="7">
        <f>IF($C4736="","",R4736*U4736/100)</f>
        <v/>
      </c>
      <c r="W4736" s="7">
        <f>IF($C4736="","",R4736-V4736)</f>
        <v/>
      </c>
      <c r="X4736" s="7">
        <f>IF($C4736="","",W4736-K4736)</f>
        <v/>
      </c>
      <c r="AB4736" s="7" t="n"/>
      <c r="AE4736" s="11" t="n"/>
      <c r="AG4736">
        <f>IF($C4736="","",IF(COUNTIF($C$2:$C4736,$C4736)=1,1,0))</f>
        <v/>
      </c>
      <c r="AH4736">
        <f>IF($AG4736=1,SUMPRODUCT(--($AK$2:$AK$6001&lt;$AK4736))+1,"")</f>
        <v/>
      </c>
      <c r="AI4736">
        <f>IF($C4736="","",IF(OR($N4736=TRUE(),$N4736="TRUE"),1,0))</f>
        <v/>
      </c>
      <c r="AJ4736">
        <f>IF($C4736="","",IF($T4736="Yes",1,0))</f>
        <v/>
      </c>
      <c r="AK4736">
        <f>IF($AG4736=1,IFERROR(IF(VALUE($C4736)&lt;100000000,VALUE($C4736),1000000000),IFERROR(IF(VALUE(MID($C4736,2,20))&lt;100000000,VALUE(MID($C4736,2,20)),1000000000),1000000000))+ROW()/100000,"")</f>
        <v/>
      </c>
    </row>
    <row r="4737">
      <c r="D4737" s="11" t="n"/>
      <c r="K4737" s="7">
        <f>IF($C4737="","",J4737*W4737/100)</f>
        <v/>
      </c>
      <c r="Q4737" s="7" t="n"/>
      <c r="R4737" s="7" t="n"/>
      <c r="U4737">
        <f>IF($C4737="","",IF($AJ4737=1,0,IF($AI4737=1,Settings!$C$6,Settings!$C$7))*100)</f>
        <v/>
      </c>
      <c r="V4737" s="7">
        <f>IF($C4737="","",R4737*U4737/100)</f>
        <v/>
      </c>
      <c r="W4737" s="7">
        <f>IF($C4737="","",R4737-V4737)</f>
        <v/>
      </c>
      <c r="X4737" s="7">
        <f>IF($C4737="","",W4737-K4737)</f>
        <v/>
      </c>
      <c r="AB4737" s="7" t="n"/>
      <c r="AE4737" s="11" t="n"/>
      <c r="AG4737">
        <f>IF($C4737="","",IF(COUNTIF($C$2:$C4737,$C4737)=1,1,0))</f>
        <v/>
      </c>
      <c r="AH4737">
        <f>IF($AG4737=1,SUMPRODUCT(--($AK$2:$AK$6001&lt;$AK4737))+1,"")</f>
        <v/>
      </c>
      <c r="AI4737">
        <f>IF($C4737="","",IF(OR($N4737=TRUE(),$N4737="TRUE"),1,0))</f>
        <v/>
      </c>
      <c r="AJ4737">
        <f>IF($C4737="","",IF($T4737="Yes",1,0))</f>
        <v/>
      </c>
      <c r="AK4737">
        <f>IF($AG4737=1,IFERROR(IF(VALUE($C4737)&lt;100000000,VALUE($C4737),1000000000),IFERROR(IF(VALUE(MID($C4737,2,20))&lt;100000000,VALUE(MID($C4737,2,20)),1000000000),1000000000))+ROW()/100000,"")</f>
        <v/>
      </c>
    </row>
    <row r="4738">
      <c r="D4738" s="11" t="n"/>
      <c r="K4738" s="7">
        <f>IF($C4738="","",J4738*W4738/100)</f>
        <v/>
      </c>
      <c r="Q4738" s="7" t="n"/>
      <c r="R4738" s="7" t="n"/>
      <c r="U4738">
        <f>IF($C4738="","",IF($AJ4738=1,0,IF($AI4738=1,Settings!$C$6,Settings!$C$7))*100)</f>
        <v/>
      </c>
      <c r="V4738" s="7">
        <f>IF($C4738="","",R4738*U4738/100)</f>
        <v/>
      </c>
      <c r="W4738" s="7">
        <f>IF($C4738="","",R4738-V4738)</f>
        <v/>
      </c>
      <c r="X4738" s="7">
        <f>IF($C4738="","",W4738-K4738)</f>
        <v/>
      </c>
      <c r="AB4738" s="7" t="n"/>
      <c r="AE4738" s="11" t="n"/>
      <c r="AG4738">
        <f>IF($C4738="","",IF(COUNTIF($C$2:$C4738,$C4738)=1,1,0))</f>
        <v/>
      </c>
      <c r="AH4738">
        <f>IF($AG4738=1,SUMPRODUCT(--($AK$2:$AK$6001&lt;$AK4738))+1,"")</f>
        <v/>
      </c>
      <c r="AI4738">
        <f>IF($C4738="","",IF(OR($N4738=TRUE(),$N4738="TRUE"),1,0))</f>
        <v/>
      </c>
      <c r="AJ4738">
        <f>IF($C4738="","",IF($T4738="Yes",1,0))</f>
        <v/>
      </c>
      <c r="AK4738">
        <f>IF($AG4738=1,IFERROR(IF(VALUE($C4738)&lt;100000000,VALUE($C4738),1000000000),IFERROR(IF(VALUE(MID($C4738,2,20))&lt;100000000,VALUE(MID($C4738,2,20)),1000000000),1000000000))+ROW()/100000,"")</f>
        <v/>
      </c>
    </row>
    <row r="4739">
      <c r="D4739" s="11" t="n"/>
      <c r="K4739" s="7">
        <f>IF($C4739="","",J4739*W4739/100)</f>
        <v/>
      </c>
      <c r="Q4739" s="7" t="n"/>
      <c r="R4739" s="7" t="n"/>
      <c r="U4739">
        <f>IF($C4739="","",IF($AJ4739=1,0,IF($AI4739=1,Settings!$C$6,Settings!$C$7))*100)</f>
        <v/>
      </c>
      <c r="V4739" s="7">
        <f>IF($C4739="","",R4739*U4739/100)</f>
        <v/>
      </c>
      <c r="W4739" s="7">
        <f>IF($C4739="","",R4739-V4739)</f>
        <v/>
      </c>
      <c r="X4739" s="7">
        <f>IF($C4739="","",W4739-K4739)</f>
        <v/>
      </c>
      <c r="AB4739" s="7" t="n"/>
      <c r="AE4739" s="11" t="n"/>
      <c r="AG4739">
        <f>IF($C4739="","",IF(COUNTIF($C$2:$C4739,$C4739)=1,1,0))</f>
        <v/>
      </c>
      <c r="AH4739">
        <f>IF($AG4739=1,SUMPRODUCT(--($AK$2:$AK$6001&lt;$AK4739))+1,"")</f>
        <v/>
      </c>
      <c r="AI4739">
        <f>IF($C4739="","",IF(OR($N4739=TRUE(),$N4739="TRUE"),1,0))</f>
        <v/>
      </c>
      <c r="AJ4739">
        <f>IF($C4739="","",IF($T4739="Yes",1,0))</f>
        <v/>
      </c>
      <c r="AK4739">
        <f>IF($AG4739=1,IFERROR(IF(VALUE($C4739)&lt;100000000,VALUE($C4739),1000000000),IFERROR(IF(VALUE(MID($C4739,2,20))&lt;100000000,VALUE(MID($C4739,2,20)),1000000000),1000000000))+ROW()/100000,"")</f>
        <v/>
      </c>
    </row>
    <row r="4740">
      <c r="D4740" s="11" t="n"/>
      <c r="K4740" s="7">
        <f>IF($C4740="","",J4740*W4740/100)</f>
        <v/>
      </c>
      <c r="Q4740" s="7" t="n"/>
      <c r="R4740" s="7" t="n"/>
      <c r="U4740">
        <f>IF($C4740="","",IF($AJ4740=1,0,IF($AI4740=1,Settings!$C$6,Settings!$C$7))*100)</f>
        <v/>
      </c>
      <c r="V4740" s="7">
        <f>IF($C4740="","",R4740*U4740/100)</f>
        <v/>
      </c>
      <c r="W4740" s="7">
        <f>IF($C4740="","",R4740-V4740)</f>
        <v/>
      </c>
      <c r="X4740" s="7">
        <f>IF($C4740="","",W4740-K4740)</f>
        <v/>
      </c>
      <c r="AB4740" s="7" t="n"/>
      <c r="AE4740" s="11" t="n"/>
      <c r="AG4740">
        <f>IF($C4740="","",IF(COUNTIF($C$2:$C4740,$C4740)=1,1,0))</f>
        <v/>
      </c>
      <c r="AH4740">
        <f>IF($AG4740=1,SUMPRODUCT(--($AK$2:$AK$6001&lt;$AK4740))+1,"")</f>
        <v/>
      </c>
      <c r="AI4740">
        <f>IF($C4740="","",IF(OR($N4740=TRUE(),$N4740="TRUE"),1,0))</f>
        <v/>
      </c>
      <c r="AJ4740">
        <f>IF($C4740="","",IF($T4740="Yes",1,0))</f>
        <v/>
      </c>
      <c r="AK4740">
        <f>IF($AG4740=1,IFERROR(IF(VALUE($C4740)&lt;100000000,VALUE($C4740),1000000000),IFERROR(IF(VALUE(MID($C4740,2,20))&lt;100000000,VALUE(MID($C4740,2,20)),1000000000),1000000000))+ROW()/100000,"")</f>
        <v/>
      </c>
    </row>
    <row r="4741">
      <c r="D4741" s="11" t="n"/>
      <c r="K4741" s="7">
        <f>IF($C4741="","",J4741*W4741/100)</f>
        <v/>
      </c>
      <c r="Q4741" s="7" t="n"/>
      <c r="R4741" s="7" t="n"/>
      <c r="U4741">
        <f>IF($C4741="","",IF($AJ4741=1,0,IF($AI4741=1,Settings!$C$6,Settings!$C$7))*100)</f>
        <v/>
      </c>
      <c r="V4741" s="7">
        <f>IF($C4741="","",R4741*U4741/100)</f>
        <v/>
      </c>
      <c r="W4741" s="7">
        <f>IF($C4741="","",R4741-V4741)</f>
        <v/>
      </c>
      <c r="X4741" s="7">
        <f>IF($C4741="","",W4741-K4741)</f>
        <v/>
      </c>
      <c r="AB4741" s="7" t="n"/>
      <c r="AE4741" s="11" t="n"/>
      <c r="AG4741">
        <f>IF($C4741="","",IF(COUNTIF($C$2:$C4741,$C4741)=1,1,0))</f>
        <v/>
      </c>
      <c r="AH4741">
        <f>IF($AG4741=1,SUMPRODUCT(--($AK$2:$AK$6001&lt;$AK4741))+1,"")</f>
        <v/>
      </c>
      <c r="AI4741">
        <f>IF($C4741="","",IF(OR($N4741=TRUE(),$N4741="TRUE"),1,0))</f>
        <v/>
      </c>
      <c r="AJ4741">
        <f>IF($C4741="","",IF($T4741="Yes",1,0))</f>
        <v/>
      </c>
      <c r="AK4741">
        <f>IF($AG4741=1,IFERROR(IF(VALUE($C4741)&lt;100000000,VALUE($C4741),1000000000),IFERROR(IF(VALUE(MID($C4741,2,20))&lt;100000000,VALUE(MID($C4741,2,20)),1000000000),1000000000))+ROW()/100000,"")</f>
        <v/>
      </c>
    </row>
    <row r="4742">
      <c r="D4742" s="11" t="n"/>
      <c r="K4742" s="7">
        <f>IF($C4742="","",J4742*W4742/100)</f>
        <v/>
      </c>
      <c r="Q4742" s="7" t="n"/>
      <c r="R4742" s="7" t="n"/>
      <c r="U4742">
        <f>IF($C4742="","",IF($AJ4742=1,0,IF($AI4742=1,Settings!$C$6,Settings!$C$7))*100)</f>
        <v/>
      </c>
      <c r="V4742" s="7">
        <f>IF($C4742="","",R4742*U4742/100)</f>
        <v/>
      </c>
      <c r="W4742" s="7">
        <f>IF($C4742="","",R4742-V4742)</f>
        <v/>
      </c>
      <c r="X4742" s="7">
        <f>IF($C4742="","",W4742-K4742)</f>
        <v/>
      </c>
      <c r="AB4742" s="7" t="n"/>
      <c r="AE4742" s="11" t="n"/>
      <c r="AG4742">
        <f>IF($C4742="","",IF(COUNTIF($C$2:$C4742,$C4742)=1,1,0))</f>
        <v/>
      </c>
      <c r="AH4742">
        <f>IF($AG4742=1,SUMPRODUCT(--($AK$2:$AK$6001&lt;$AK4742))+1,"")</f>
        <v/>
      </c>
      <c r="AI4742">
        <f>IF($C4742="","",IF(OR($N4742=TRUE(),$N4742="TRUE"),1,0))</f>
        <v/>
      </c>
      <c r="AJ4742">
        <f>IF($C4742="","",IF($T4742="Yes",1,0))</f>
        <v/>
      </c>
      <c r="AK4742">
        <f>IF($AG4742=1,IFERROR(IF(VALUE($C4742)&lt;100000000,VALUE($C4742),1000000000),IFERROR(IF(VALUE(MID($C4742,2,20))&lt;100000000,VALUE(MID($C4742,2,20)),1000000000),1000000000))+ROW()/100000,"")</f>
        <v/>
      </c>
    </row>
    <row r="4743">
      <c r="D4743" s="11" t="n"/>
      <c r="K4743" s="7">
        <f>IF($C4743="","",J4743*W4743/100)</f>
        <v/>
      </c>
      <c r="Q4743" s="7" t="n"/>
      <c r="R4743" s="7" t="n"/>
      <c r="U4743">
        <f>IF($C4743="","",IF($AJ4743=1,0,IF($AI4743=1,Settings!$C$6,Settings!$C$7))*100)</f>
        <v/>
      </c>
      <c r="V4743" s="7">
        <f>IF($C4743="","",R4743*U4743/100)</f>
        <v/>
      </c>
      <c r="W4743" s="7">
        <f>IF($C4743="","",R4743-V4743)</f>
        <v/>
      </c>
      <c r="X4743" s="7">
        <f>IF($C4743="","",W4743-K4743)</f>
        <v/>
      </c>
      <c r="AB4743" s="7" t="n"/>
      <c r="AE4743" s="11" t="n"/>
      <c r="AG4743">
        <f>IF($C4743="","",IF(COUNTIF($C$2:$C4743,$C4743)=1,1,0))</f>
        <v/>
      </c>
      <c r="AH4743">
        <f>IF($AG4743=1,SUMPRODUCT(--($AK$2:$AK$6001&lt;$AK4743))+1,"")</f>
        <v/>
      </c>
      <c r="AI4743">
        <f>IF($C4743="","",IF(OR($N4743=TRUE(),$N4743="TRUE"),1,0))</f>
        <v/>
      </c>
      <c r="AJ4743">
        <f>IF($C4743="","",IF($T4743="Yes",1,0))</f>
        <v/>
      </c>
      <c r="AK4743">
        <f>IF($AG4743=1,IFERROR(IF(VALUE($C4743)&lt;100000000,VALUE($C4743),1000000000),IFERROR(IF(VALUE(MID($C4743,2,20))&lt;100000000,VALUE(MID($C4743,2,20)),1000000000),1000000000))+ROW()/100000,"")</f>
        <v/>
      </c>
    </row>
    <row r="4744">
      <c r="D4744" s="11" t="n"/>
      <c r="K4744" s="7">
        <f>IF($C4744="","",J4744*W4744/100)</f>
        <v/>
      </c>
      <c r="Q4744" s="7" t="n"/>
      <c r="R4744" s="7" t="n"/>
      <c r="U4744">
        <f>IF($C4744="","",IF($AJ4744=1,0,IF($AI4744=1,Settings!$C$6,Settings!$C$7))*100)</f>
        <v/>
      </c>
      <c r="V4744" s="7">
        <f>IF($C4744="","",R4744*U4744/100)</f>
        <v/>
      </c>
      <c r="W4744" s="7">
        <f>IF($C4744="","",R4744-V4744)</f>
        <v/>
      </c>
      <c r="X4744" s="7">
        <f>IF($C4744="","",W4744-K4744)</f>
        <v/>
      </c>
      <c r="AB4744" s="7" t="n"/>
      <c r="AE4744" s="11" t="n"/>
      <c r="AG4744">
        <f>IF($C4744="","",IF(COUNTIF($C$2:$C4744,$C4744)=1,1,0))</f>
        <v/>
      </c>
      <c r="AH4744">
        <f>IF($AG4744=1,SUMPRODUCT(--($AK$2:$AK$6001&lt;$AK4744))+1,"")</f>
        <v/>
      </c>
      <c r="AI4744">
        <f>IF($C4744="","",IF(OR($N4744=TRUE(),$N4744="TRUE"),1,0))</f>
        <v/>
      </c>
      <c r="AJ4744">
        <f>IF($C4744="","",IF($T4744="Yes",1,0))</f>
        <v/>
      </c>
      <c r="AK4744">
        <f>IF($AG4744=1,IFERROR(IF(VALUE($C4744)&lt;100000000,VALUE($C4744),1000000000),IFERROR(IF(VALUE(MID($C4744,2,20))&lt;100000000,VALUE(MID($C4744,2,20)),1000000000),1000000000))+ROW()/100000,"")</f>
        <v/>
      </c>
    </row>
    <row r="4745">
      <c r="D4745" s="11" t="n"/>
      <c r="K4745" s="7">
        <f>IF($C4745="","",J4745*W4745/100)</f>
        <v/>
      </c>
      <c r="Q4745" s="7" t="n"/>
      <c r="R4745" s="7" t="n"/>
      <c r="U4745">
        <f>IF($C4745="","",IF($AJ4745=1,0,IF($AI4745=1,Settings!$C$6,Settings!$C$7))*100)</f>
        <v/>
      </c>
      <c r="V4745" s="7">
        <f>IF($C4745="","",R4745*U4745/100)</f>
        <v/>
      </c>
      <c r="W4745" s="7">
        <f>IF($C4745="","",R4745-V4745)</f>
        <v/>
      </c>
      <c r="X4745" s="7">
        <f>IF($C4745="","",W4745-K4745)</f>
        <v/>
      </c>
      <c r="AB4745" s="7" t="n"/>
      <c r="AE4745" s="11" t="n"/>
      <c r="AG4745">
        <f>IF($C4745="","",IF(COUNTIF($C$2:$C4745,$C4745)=1,1,0))</f>
        <v/>
      </c>
      <c r="AH4745">
        <f>IF($AG4745=1,SUMPRODUCT(--($AK$2:$AK$6001&lt;$AK4745))+1,"")</f>
        <v/>
      </c>
      <c r="AI4745">
        <f>IF($C4745="","",IF(OR($N4745=TRUE(),$N4745="TRUE"),1,0))</f>
        <v/>
      </c>
      <c r="AJ4745">
        <f>IF($C4745="","",IF($T4745="Yes",1,0))</f>
        <v/>
      </c>
      <c r="AK4745">
        <f>IF($AG4745=1,IFERROR(IF(VALUE($C4745)&lt;100000000,VALUE($C4745),1000000000),IFERROR(IF(VALUE(MID($C4745,2,20))&lt;100000000,VALUE(MID($C4745,2,20)),1000000000),1000000000))+ROW()/100000,"")</f>
        <v/>
      </c>
    </row>
    <row r="4746">
      <c r="D4746" s="11" t="n"/>
      <c r="K4746" s="7">
        <f>IF($C4746="","",J4746*W4746/100)</f>
        <v/>
      </c>
      <c r="Q4746" s="7" t="n"/>
      <c r="R4746" s="7" t="n"/>
      <c r="U4746">
        <f>IF($C4746="","",IF($AJ4746=1,0,IF($AI4746=1,Settings!$C$6,Settings!$C$7))*100)</f>
        <v/>
      </c>
      <c r="V4746" s="7">
        <f>IF($C4746="","",R4746*U4746/100)</f>
        <v/>
      </c>
      <c r="W4746" s="7">
        <f>IF($C4746="","",R4746-V4746)</f>
        <v/>
      </c>
      <c r="X4746" s="7">
        <f>IF($C4746="","",W4746-K4746)</f>
        <v/>
      </c>
      <c r="AB4746" s="7" t="n"/>
      <c r="AE4746" s="11" t="n"/>
      <c r="AG4746">
        <f>IF($C4746="","",IF(COUNTIF($C$2:$C4746,$C4746)=1,1,0))</f>
        <v/>
      </c>
      <c r="AH4746">
        <f>IF($AG4746=1,SUMPRODUCT(--($AK$2:$AK$6001&lt;$AK4746))+1,"")</f>
        <v/>
      </c>
      <c r="AI4746">
        <f>IF($C4746="","",IF(OR($N4746=TRUE(),$N4746="TRUE"),1,0))</f>
        <v/>
      </c>
      <c r="AJ4746">
        <f>IF($C4746="","",IF($T4746="Yes",1,0))</f>
        <v/>
      </c>
      <c r="AK4746">
        <f>IF($AG4746=1,IFERROR(IF(VALUE($C4746)&lt;100000000,VALUE($C4746),1000000000),IFERROR(IF(VALUE(MID($C4746,2,20))&lt;100000000,VALUE(MID($C4746,2,20)),1000000000),1000000000))+ROW()/100000,"")</f>
        <v/>
      </c>
    </row>
    <row r="4747">
      <c r="D4747" s="11" t="n"/>
      <c r="K4747" s="7">
        <f>IF($C4747="","",J4747*W4747/100)</f>
        <v/>
      </c>
      <c r="Q4747" s="7" t="n"/>
      <c r="R4747" s="7" t="n"/>
      <c r="U4747">
        <f>IF($C4747="","",IF($AJ4747=1,0,IF($AI4747=1,Settings!$C$6,Settings!$C$7))*100)</f>
        <v/>
      </c>
      <c r="V4747" s="7">
        <f>IF($C4747="","",R4747*U4747/100)</f>
        <v/>
      </c>
      <c r="W4747" s="7">
        <f>IF($C4747="","",R4747-V4747)</f>
        <v/>
      </c>
      <c r="X4747" s="7">
        <f>IF($C4747="","",W4747-K4747)</f>
        <v/>
      </c>
      <c r="AB4747" s="7" t="n"/>
      <c r="AE4747" s="11" t="n"/>
      <c r="AG4747">
        <f>IF($C4747="","",IF(COUNTIF($C$2:$C4747,$C4747)=1,1,0))</f>
        <v/>
      </c>
      <c r="AH4747">
        <f>IF($AG4747=1,SUMPRODUCT(--($AK$2:$AK$6001&lt;$AK4747))+1,"")</f>
        <v/>
      </c>
      <c r="AI4747">
        <f>IF($C4747="","",IF(OR($N4747=TRUE(),$N4747="TRUE"),1,0))</f>
        <v/>
      </c>
      <c r="AJ4747">
        <f>IF($C4747="","",IF($T4747="Yes",1,0))</f>
        <v/>
      </c>
      <c r="AK4747">
        <f>IF($AG4747=1,IFERROR(IF(VALUE($C4747)&lt;100000000,VALUE($C4747),1000000000),IFERROR(IF(VALUE(MID($C4747,2,20))&lt;100000000,VALUE(MID($C4747,2,20)),1000000000),1000000000))+ROW()/100000,"")</f>
        <v/>
      </c>
    </row>
    <row r="4748">
      <c r="D4748" s="11" t="n"/>
      <c r="K4748" s="7">
        <f>IF($C4748="","",J4748*W4748/100)</f>
        <v/>
      </c>
      <c r="Q4748" s="7" t="n"/>
      <c r="R4748" s="7" t="n"/>
      <c r="U4748">
        <f>IF($C4748="","",IF($AJ4748=1,0,IF($AI4748=1,Settings!$C$6,Settings!$C$7))*100)</f>
        <v/>
      </c>
      <c r="V4748" s="7">
        <f>IF($C4748="","",R4748*U4748/100)</f>
        <v/>
      </c>
      <c r="W4748" s="7">
        <f>IF($C4748="","",R4748-V4748)</f>
        <v/>
      </c>
      <c r="X4748" s="7">
        <f>IF($C4748="","",W4748-K4748)</f>
        <v/>
      </c>
      <c r="AB4748" s="7" t="n"/>
      <c r="AE4748" s="11" t="n"/>
      <c r="AG4748">
        <f>IF($C4748="","",IF(COUNTIF($C$2:$C4748,$C4748)=1,1,0))</f>
        <v/>
      </c>
      <c r="AH4748">
        <f>IF($AG4748=1,SUMPRODUCT(--($AK$2:$AK$6001&lt;$AK4748))+1,"")</f>
        <v/>
      </c>
      <c r="AI4748">
        <f>IF($C4748="","",IF(OR($N4748=TRUE(),$N4748="TRUE"),1,0))</f>
        <v/>
      </c>
      <c r="AJ4748">
        <f>IF($C4748="","",IF($T4748="Yes",1,0))</f>
        <v/>
      </c>
      <c r="AK4748">
        <f>IF($AG4748=1,IFERROR(IF(VALUE($C4748)&lt;100000000,VALUE($C4748),1000000000),IFERROR(IF(VALUE(MID($C4748,2,20))&lt;100000000,VALUE(MID($C4748,2,20)),1000000000),1000000000))+ROW()/100000,"")</f>
        <v/>
      </c>
    </row>
    <row r="4749">
      <c r="D4749" s="11" t="n"/>
      <c r="K4749" s="7">
        <f>IF($C4749="","",J4749*W4749/100)</f>
        <v/>
      </c>
      <c r="Q4749" s="7" t="n"/>
      <c r="R4749" s="7" t="n"/>
      <c r="U4749">
        <f>IF($C4749="","",IF($AJ4749=1,0,IF($AI4749=1,Settings!$C$6,Settings!$C$7))*100)</f>
        <v/>
      </c>
      <c r="V4749" s="7">
        <f>IF($C4749="","",R4749*U4749/100)</f>
        <v/>
      </c>
      <c r="W4749" s="7">
        <f>IF($C4749="","",R4749-V4749)</f>
        <v/>
      </c>
      <c r="X4749" s="7">
        <f>IF($C4749="","",W4749-K4749)</f>
        <v/>
      </c>
      <c r="AB4749" s="7" t="n"/>
      <c r="AE4749" s="11" t="n"/>
      <c r="AG4749">
        <f>IF($C4749="","",IF(COUNTIF($C$2:$C4749,$C4749)=1,1,0))</f>
        <v/>
      </c>
      <c r="AH4749">
        <f>IF($AG4749=1,SUMPRODUCT(--($AK$2:$AK$6001&lt;$AK4749))+1,"")</f>
        <v/>
      </c>
      <c r="AI4749">
        <f>IF($C4749="","",IF(OR($N4749=TRUE(),$N4749="TRUE"),1,0))</f>
        <v/>
      </c>
      <c r="AJ4749">
        <f>IF($C4749="","",IF($T4749="Yes",1,0))</f>
        <v/>
      </c>
      <c r="AK4749">
        <f>IF($AG4749=1,IFERROR(IF(VALUE($C4749)&lt;100000000,VALUE($C4749),1000000000),IFERROR(IF(VALUE(MID($C4749,2,20))&lt;100000000,VALUE(MID($C4749,2,20)),1000000000),1000000000))+ROW()/100000,"")</f>
        <v/>
      </c>
    </row>
    <row r="4750">
      <c r="D4750" s="11" t="n"/>
      <c r="K4750" s="7">
        <f>IF($C4750="","",J4750*W4750/100)</f>
        <v/>
      </c>
      <c r="Q4750" s="7" t="n"/>
      <c r="R4750" s="7" t="n"/>
      <c r="U4750">
        <f>IF($C4750="","",IF($AJ4750=1,0,IF($AI4750=1,Settings!$C$6,Settings!$C$7))*100)</f>
        <v/>
      </c>
      <c r="V4750" s="7">
        <f>IF($C4750="","",R4750*U4750/100)</f>
        <v/>
      </c>
      <c r="W4750" s="7">
        <f>IF($C4750="","",R4750-V4750)</f>
        <v/>
      </c>
      <c r="X4750" s="7">
        <f>IF($C4750="","",W4750-K4750)</f>
        <v/>
      </c>
      <c r="AB4750" s="7" t="n"/>
      <c r="AE4750" s="11" t="n"/>
      <c r="AG4750">
        <f>IF($C4750="","",IF(COUNTIF($C$2:$C4750,$C4750)=1,1,0))</f>
        <v/>
      </c>
      <c r="AH4750">
        <f>IF($AG4750=1,SUMPRODUCT(--($AK$2:$AK$6001&lt;$AK4750))+1,"")</f>
        <v/>
      </c>
      <c r="AI4750">
        <f>IF($C4750="","",IF(OR($N4750=TRUE(),$N4750="TRUE"),1,0))</f>
        <v/>
      </c>
      <c r="AJ4750">
        <f>IF($C4750="","",IF($T4750="Yes",1,0))</f>
        <v/>
      </c>
      <c r="AK4750">
        <f>IF($AG4750=1,IFERROR(IF(VALUE($C4750)&lt;100000000,VALUE($C4750),1000000000),IFERROR(IF(VALUE(MID($C4750,2,20))&lt;100000000,VALUE(MID($C4750,2,20)),1000000000),1000000000))+ROW()/100000,"")</f>
        <v/>
      </c>
    </row>
    <row r="4751">
      <c r="D4751" s="11" t="n"/>
      <c r="K4751" s="7">
        <f>IF($C4751="","",J4751*W4751/100)</f>
        <v/>
      </c>
      <c r="Q4751" s="7" t="n"/>
      <c r="R4751" s="7" t="n"/>
      <c r="U4751">
        <f>IF($C4751="","",IF($AJ4751=1,0,IF($AI4751=1,Settings!$C$6,Settings!$C$7))*100)</f>
        <v/>
      </c>
      <c r="V4751" s="7">
        <f>IF($C4751="","",R4751*U4751/100)</f>
        <v/>
      </c>
      <c r="W4751" s="7">
        <f>IF($C4751="","",R4751-V4751)</f>
        <v/>
      </c>
      <c r="X4751" s="7">
        <f>IF($C4751="","",W4751-K4751)</f>
        <v/>
      </c>
      <c r="AB4751" s="7" t="n"/>
      <c r="AE4751" s="11" t="n"/>
      <c r="AG4751">
        <f>IF($C4751="","",IF(COUNTIF($C$2:$C4751,$C4751)=1,1,0))</f>
        <v/>
      </c>
      <c r="AH4751">
        <f>IF($AG4751=1,SUMPRODUCT(--($AK$2:$AK$6001&lt;$AK4751))+1,"")</f>
        <v/>
      </c>
      <c r="AI4751">
        <f>IF($C4751="","",IF(OR($N4751=TRUE(),$N4751="TRUE"),1,0))</f>
        <v/>
      </c>
      <c r="AJ4751">
        <f>IF($C4751="","",IF($T4751="Yes",1,0))</f>
        <v/>
      </c>
      <c r="AK4751">
        <f>IF($AG4751=1,IFERROR(IF(VALUE($C4751)&lt;100000000,VALUE($C4751),1000000000),IFERROR(IF(VALUE(MID($C4751,2,20))&lt;100000000,VALUE(MID($C4751,2,20)),1000000000),1000000000))+ROW()/100000,"")</f>
        <v/>
      </c>
    </row>
    <row r="4752">
      <c r="D4752" s="11" t="n"/>
      <c r="K4752" s="7">
        <f>IF($C4752="","",J4752*W4752/100)</f>
        <v/>
      </c>
      <c r="Q4752" s="7" t="n"/>
      <c r="R4752" s="7" t="n"/>
      <c r="U4752">
        <f>IF($C4752="","",IF($AJ4752=1,0,IF($AI4752=1,Settings!$C$6,Settings!$C$7))*100)</f>
        <v/>
      </c>
      <c r="V4752" s="7">
        <f>IF($C4752="","",R4752*U4752/100)</f>
        <v/>
      </c>
      <c r="W4752" s="7">
        <f>IF($C4752="","",R4752-V4752)</f>
        <v/>
      </c>
      <c r="X4752" s="7">
        <f>IF($C4752="","",W4752-K4752)</f>
        <v/>
      </c>
      <c r="AB4752" s="7" t="n"/>
      <c r="AE4752" s="11" t="n"/>
      <c r="AG4752">
        <f>IF($C4752="","",IF(COUNTIF($C$2:$C4752,$C4752)=1,1,0))</f>
        <v/>
      </c>
      <c r="AH4752">
        <f>IF($AG4752=1,SUMPRODUCT(--($AK$2:$AK$6001&lt;$AK4752))+1,"")</f>
        <v/>
      </c>
      <c r="AI4752">
        <f>IF($C4752="","",IF(OR($N4752=TRUE(),$N4752="TRUE"),1,0))</f>
        <v/>
      </c>
      <c r="AJ4752">
        <f>IF($C4752="","",IF($T4752="Yes",1,0))</f>
        <v/>
      </c>
      <c r="AK4752">
        <f>IF($AG4752=1,IFERROR(IF(VALUE($C4752)&lt;100000000,VALUE($C4752),1000000000),IFERROR(IF(VALUE(MID($C4752,2,20))&lt;100000000,VALUE(MID($C4752,2,20)),1000000000),1000000000))+ROW()/100000,"")</f>
        <v/>
      </c>
    </row>
    <row r="4753">
      <c r="D4753" s="11" t="n"/>
      <c r="K4753" s="7">
        <f>IF($C4753="","",J4753*W4753/100)</f>
        <v/>
      </c>
      <c r="Q4753" s="7" t="n"/>
      <c r="R4753" s="7" t="n"/>
      <c r="U4753">
        <f>IF($C4753="","",IF($AJ4753=1,0,IF($AI4753=1,Settings!$C$6,Settings!$C$7))*100)</f>
        <v/>
      </c>
      <c r="V4753" s="7">
        <f>IF($C4753="","",R4753*U4753/100)</f>
        <v/>
      </c>
      <c r="W4753" s="7">
        <f>IF($C4753="","",R4753-V4753)</f>
        <v/>
      </c>
      <c r="X4753" s="7">
        <f>IF($C4753="","",W4753-K4753)</f>
        <v/>
      </c>
      <c r="AB4753" s="7" t="n"/>
      <c r="AE4753" s="11" t="n"/>
      <c r="AG4753">
        <f>IF($C4753="","",IF(COUNTIF($C$2:$C4753,$C4753)=1,1,0))</f>
        <v/>
      </c>
      <c r="AH4753">
        <f>IF($AG4753=1,SUMPRODUCT(--($AK$2:$AK$6001&lt;$AK4753))+1,"")</f>
        <v/>
      </c>
      <c r="AI4753">
        <f>IF($C4753="","",IF(OR($N4753=TRUE(),$N4753="TRUE"),1,0))</f>
        <v/>
      </c>
      <c r="AJ4753">
        <f>IF($C4753="","",IF($T4753="Yes",1,0))</f>
        <v/>
      </c>
      <c r="AK4753">
        <f>IF($AG4753=1,IFERROR(IF(VALUE($C4753)&lt;100000000,VALUE($C4753),1000000000),IFERROR(IF(VALUE(MID($C4753,2,20))&lt;100000000,VALUE(MID($C4753,2,20)),1000000000),1000000000))+ROW()/100000,"")</f>
        <v/>
      </c>
    </row>
    <row r="4754">
      <c r="D4754" s="11" t="n"/>
      <c r="K4754" s="7">
        <f>IF($C4754="","",J4754*W4754/100)</f>
        <v/>
      </c>
      <c r="Q4754" s="7" t="n"/>
      <c r="R4754" s="7" t="n"/>
      <c r="U4754">
        <f>IF($C4754="","",IF($AJ4754=1,0,IF($AI4754=1,Settings!$C$6,Settings!$C$7))*100)</f>
        <v/>
      </c>
      <c r="V4754" s="7">
        <f>IF($C4754="","",R4754*U4754/100)</f>
        <v/>
      </c>
      <c r="W4754" s="7">
        <f>IF($C4754="","",R4754-V4754)</f>
        <v/>
      </c>
      <c r="X4754" s="7">
        <f>IF($C4754="","",W4754-K4754)</f>
        <v/>
      </c>
      <c r="AB4754" s="7" t="n"/>
      <c r="AE4754" s="11" t="n"/>
      <c r="AG4754">
        <f>IF($C4754="","",IF(COUNTIF($C$2:$C4754,$C4754)=1,1,0))</f>
        <v/>
      </c>
      <c r="AH4754">
        <f>IF($AG4754=1,SUMPRODUCT(--($AK$2:$AK$6001&lt;$AK4754))+1,"")</f>
        <v/>
      </c>
      <c r="AI4754">
        <f>IF($C4754="","",IF(OR($N4754=TRUE(),$N4754="TRUE"),1,0))</f>
        <v/>
      </c>
      <c r="AJ4754">
        <f>IF($C4754="","",IF($T4754="Yes",1,0))</f>
        <v/>
      </c>
      <c r="AK4754">
        <f>IF($AG4754=1,IFERROR(IF(VALUE($C4754)&lt;100000000,VALUE($C4754),1000000000),IFERROR(IF(VALUE(MID($C4754,2,20))&lt;100000000,VALUE(MID($C4754,2,20)),1000000000),1000000000))+ROW()/100000,"")</f>
        <v/>
      </c>
    </row>
    <row r="4755">
      <c r="D4755" s="11" t="n"/>
      <c r="K4755" s="7">
        <f>IF($C4755="","",J4755*W4755/100)</f>
        <v/>
      </c>
      <c r="Q4755" s="7" t="n"/>
      <c r="R4755" s="7" t="n"/>
      <c r="U4755">
        <f>IF($C4755="","",IF($AJ4755=1,0,IF($AI4755=1,Settings!$C$6,Settings!$C$7))*100)</f>
        <v/>
      </c>
      <c r="V4755" s="7">
        <f>IF($C4755="","",R4755*U4755/100)</f>
        <v/>
      </c>
      <c r="W4755" s="7">
        <f>IF($C4755="","",R4755-V4755)</f>
        <v/>
      </c>
      <c r="X4755" s="7">
        <f>IF($C4755="","",W4755-K4755)</f>
        <v/>
      </c>
      <c r="AB4755" s="7" t="n"/>
      <c r="AE4755" s="11" t="n"/>
      <c r="AG4755">
        <f>IF($C4755="","",IF(COUNTIF($C$2:$C4755,$C4755)=1,1,0))</f>
        <v/>
      </c>
      <c r="AH4755">
        <f>IF($AG4755=1,SUMPRODUCT(--($AK$2:$AK$6001&lt;$AK4755))+1,"")</f>
        <v/>
      </c>
      <c r="AI4755">
        <f>IF($C4755="","",IF(OR($N4755=TRUE(),$N4755="TRUE"),1,0))</f>
        <v/>
      </c>
      <c r="AJ4755">
        <f>IF($C4755="","",IF($T4755="Yes",1,0))</f>
        <v/>
      </c>
      <c r="AK4755">
        <f>IF($AG4755=1,IFERROR(IF(VALUE($C4755)&lt;100000000,VALUE($C4755),1000000000),IFERROR(IF(VALUE(MID($C4755,2,20))&lt;100000000,VALUE(MID($C4755,2,20)),1000000000),1000000000))+ROW()/100000,"")</f>
        <v/>
      </c>
    </row>
    <row r="4756">
      <c r="D4756" s="11" t="n"/>
      <c r="K4756" s="7">
        <f>IF($C4756="","",J4756*W4756/100)</f>
        <v/>
      </c>
      <c r="Q4756" s="7" t="n"/>
      <c r="R4756" s="7" t="n"/>
      <c r="U4756">
        <f>IF($C4756="","",IF($AJ4756=1,0,IF($AI4756=1,Settings!$C$6,Settings!$C$7))*100)</f>
        <v/>
      </c>
      <c r="V4756" s="7">
        <f>IF($C4756="","",R4756*U4756/100)</f>
        <v/>
      </c>
      <c r="W4756" s="7">
        <f>IF($C4756="","",R4756-V4756)</f>
        <v/>
      </c>
      <c r="X4756" s="7">
        <f>IF($C4756="","",W4756-K4756)</f>
        <v/>
      </c>
      <c r="AB4756" s="7" t="n"/>
      <c r="AE4756" s="11" t="n"/>
      <c r="AG4756">
        <f>IF($C4756="","",IF(COUNTIF($C$2:$C4756,$C4756)=1,1,0))</f>
        <v/>
      </c>
      <c r="AH4756">
        <f>IF($AG4756=1,SUMPRODUCT(--($AK$2:$AK$6001&lt;$AK4756))+1,"")</f>
        <v/>
      </c>
      <c r="AI4756">
        <f>IF($C4756="","",IF(OR($N4756=TRUE(),$N4756="TRUE"),1,0))</f>
        <v/>
      </c>
      <c r="AJ4756">
        <f>IF($C4756="","",IF($T4756="Yes",1,0))</f>
        <v/>
      </c>
      <c r="AK4756">
        <f>IF($AG4756=1,IFERROR(IF(VALUE($C4756)&lt;100000000,VALUE($C4756),1000000000),IFERROR(IF(VALUE(MID($C4756,2,20))&lt;100000000,VALUE(MID($C4756,2,20)),1000000000),1000000000))+ROW()/100000,"")</f>
        <v/>
      </c>
    </row>
    <row r="4757">
      <c r="D4757" s="11" t="n"/>
      <c r="K4757" s="7">
        <f>IF($C4757="","",J4757*W4757/100)</f>
        <v/>
      </c>
      <c r="Q4757" s="7" t="n"/>
      <c r="R4757" s="7" t="n"/>
      <c r="U4757">
        <f>IF($C4757="","",IF($AJ4757=1,0,IF($AI4757=1,Settings!$C$6,Settings!$C$7))*100)</f>
        <v/>
      </c>
      <c r="V4757" s="7">
        <f>IF($C4757="","",R4757*U4757/100)</f>
        <v/>
      </c>
      <c r="W4757" s="7">
        <f>IF($C4757="","",R4757-V4757)</f>
        <v/>
      </c>
      <c r="X4757" s="7">
        <f>IF($C4757="","",W4757-K4757)</f>
        <v/>
      </c>
      <c r="AB4757" s="7" t="n"/>
      <c r="AE4757" s="11" t="n"/>
      <c r="AG4757">
        <f>IF($C4757="","",IF(COUNTIF($C$2:$C4757,$C4757)=1,1,0))</f>
        <v/>
      </c>
      <c r="AH4757">
        <f>IF($AG4757=1,SUMPRODUCT(--($AK$2:$AK$6001&lt;$AK4757))+1,"")</f>
        <v/>
      </c>
      <c r="AI4757">
        <f>IF($C4757="","",IF(OR($N4757=TRUE(),$N4757="TRUE"),1,0))</f>
        <v/>
      </c>
      <c r="AJ4757">
        <f>IF($C4757="","",IF($T4757="Yes",1,0))</f>
        <v/>
      </c>
      <c r="AK4757">
        <f>IF($AG4757=1,IFERROR(IF(VALUE($C4757)&lt;100000000,VALUE($C4757),1000000000),IFERROR(IF(VALUE(MID($C4757,2,20))&lt;100000000,VALUE(MID($C4757,2,20)),1000000000),1000000000))+ROW()/100000,"")</f>
        <v/>
      </c>
    </row>
    <row r="4758">
      <c r="D4758" s="11" t="n"/>
      <c r="K4758" s="7">
        <f>IF($C4758="","",J4758*W4758/100)</f>
        <v/>
      </c>
      <c r="Q4758" s="7" t="n"/>
      <c r="R4758" s="7" t="n"/>
      <c r="U4758">
        <f>IF($C4758="","",IF($AJ4758=1,0,IF($AI4758=1,Settings!$C$6,Settings!$C$7))*100)</f>
        <v/>
      </c>
      <c r="V4758" s="7">
        <f>IF($C4758="","",R4758*U4758/100)</f>
        <v/>
      </c>
      <c r="W4758" s="7">
        <f>IF($C4758="","",R4758-V4758)</f>
        <v/>
      </c>
      <c r="X4758" s="7">
        <f>IF($C4758="","",W4758-K4758)</f>
        <v/>
      </c>
      <c r="AB4758" s="7" t="n"/>
      <c r="AE4758" s="11" t="n"/>
      <c r="AG4758">
        <f>IF($C4758="","",IF(COUNTIF($C$2:$C4758,$C4758)=1,1,0))</f>
        <v/>
      </c>
      <c r="AH4758">
        <f>IF($AG4758=1,SUMPRODUCT(--($AK$2:$AK$6001&lt;$AK4758))+1,"")</f>
        <v/>
      </c>
      <c r="AI4758">
        <f>IF($C4758="","",IF(OR($N4758=TRUE(),$N4758="TRUE"),1,0))</f>
        <v/>
      </c>
      <c r="AJ4758">
        <f>IF($C4758="","",IF($T4758="Yes",1,0))</f>
        <v/>
      </c>
      <c r="AK4758">
        <f>IF($AG4758=1,IFERROR(IF(VALUE($C4758)&lt;100000000,VALUE($C4758),1000000000),IFERROR(IF(VALUE(MID($C4758,2,20))&lt;100000000,VALUE(MID($C4758,2,20)),1000000000),1000000000))+ROW()/100000,"")</f>
        <v/>
      </c>
    </row>
    <row r="4759">
      <c r="D4759" s="11" t="n"/>
      <c r="K4759" s="7">
        <f>IF($C4759="","",J4759*W4759/100)</f>
        <v/>
      </c>
      <c r="Q4759" s="7" t="n"/>
      <c r="R4759" s="7" t="n"/>
      <c r="U4759">
        <f>IF($C4759="","",IF($AJ4759=1,0,IF($AI4759=1,Settings!$C$6,Settings!$C$7))*100)</f>
        <v/>
      </c>
      <c r="V4759" s="7">
        <f>IF($C4759="","",R4759*U4759/100)</f>
        <v/>
      </c>
      <c r="W4759" s="7">
        <f>IF($C4759="","",R4759-V4759)</f>
        <v/>
      </c>
      <c r="X4759" s="7">
        <f>IF($C4759="","",W4759-K4759)</f>
        <v/>
      </c>
      <c r="AB4759" s="7" t="n"/>
      <c r="AE4759" s="11" t="n"/>
      <c r="AG4759">
        <f>IF($C4759="","",IF(COUNTIF($C$2:$C4759,$C4759)=1,1,0))</f>
        <v/>
      </c>
      <c r="AH4759">
        <f>IF($AG4759=1,SUMPRODUCT(--($AK$2:$AK$6001&lt;$AK4759))+1,"")</f>
        <v/>
      </c>
      <c r="AI4759">
        <f>IF($C4759="","",IF(OR($N4759=TRUE(),$N4759="TRUE"),1,0))</f>
        <v/>
      </c>
      <c r="AJ4759">
        <f>IF($C4759="","",IF($T4759="Yes",1,0))</f>
        <v/>
      </c>
      <c r="AK4759">
        <f>IF($AG4759=1,IFERROR(IF(VALUE($C4759)&lt;100000000,VALUE($C4759),1000000000),IFERROR(IF(VALUE(MID($C4759,2,20))&lt;100000000,VALUE(MID($C4759,2,20)),1000000000),1000000000))+ROW()/100000,"")</f>
        <v/>
      </c>
    </row>
    <row r="4760">
      <c r="D4760" s="11" t="n"/>
      <c r="K4760" s="7">
        <f>IF($C4760="","",J4760*W4760/100)</f>
        <v/>
      </c>
      <c r="Q4760" s="7" t="n"/>
      <c r="R4760" s="7" t="n"/>
      <c r="U4760">
        <f>IF($C4760="","",IF($AJ4760=1,0,IF($AI4760=1,Settings!$C$6,Settings!$C$7))*100)</f>
        <v/>
      </c>
      <c r="V4760" s="7">
        <f>IF($C4760="","",R4760*U4760/100)</f>
        <v/>
      </c>
      <c r="W4760" s="7">
        <f>IF($C4760="","",R4760-V4760)</f>
        <v/>
      </c>
      <c r="X4760" s="7">
        <f>IF($C4760="","",W4760-K4760)</f>
        <v/>
      </c>
      <c r="AB4760" s="7" t="n"/>
      <c r="AE4760" s="11" t="n"/>
      <c r="AG4760">
        <f>IF($C4760="","",IF(COUNTIF($C$2:$C4760,$C4760)=1,1,0))</f>
        <v/>
      </c>
      <c r="AH4760">
        <f>IF($AG4760=1,SUMPRODUCT(--($AK$2:$AK$6001&lt;$AK4760))+1,"")</f>
        <v/>
      </c>
      <c r="AI4760">
        <f>IF($C4760="","",IF(OR($N4760=TRUE(),$N4760="TRUE"),1,0))</f>
        <v/>
      </c>
      <c r="AJ4760">
        <f>IF($C4760="","",IF($T4760="Yes",1,0))</f>
        <v/>
      </c>
      <c r="AK4760">
        <f>IF($AG4760=1,IFERROR(IF(VALUE($C4760)&lt;100000000,VALUE($C4760),1000000000),IFERROR(IF(VALUE(MID($C4760,2,20))&lt;100000000,VALUE(MID($C4760,2,20)),1000000000),1000000000))+ROW()/100000,"")</f>
        <v/>
      </c>
    </row>
    <row r="4761">
      <c r="D4761" s="11" t="n"/>
      <c r="K4761" s="7">
        <f>IF($C4761="","",J4761*W4761/100)</f>
        <v/>
      </c>
      <c r="Q4761" s="7" t="n"/>
      <c r="R4761" s="7" t="n"/>
      <c r="U4761">
        <f>IF($C4761="","",IF($AJ4761=1,0,IF($AI4761=1,Settings!$C$6,Settings!$C$7))*100)</f>
        <v/>
      </c>
      <c r="V4761" s="7">
        <f>IF($C4761="","",R4761*U4761/100)</f>
        <v/>
      </c>
      <c r="W4761" s="7">
        <f>IF($C4761="","",R4761-V4761)</f>
        <v/>
      </c>
      <c r="X4761" s="7">
        <f>IF($C4761="","",W4761-K4761)</f>
        <v/>
      </c>
      <c r="AB4761" s="7" t="n"/>
      <c r="AE4761" s="11" t="n"/>
      <c r="AG4761">
        <f>IF($C4761="","",IF(COUNTIF($C$2:$C4761,$C4761)=1,1,0))</f>
        <v/>
      </c>
      <c r="AH4761">
        <f>IF($AG4761=1,SUMPRODUCT(--($AK$2:$AK$6001&lt;$AK4761))+1,"")</f>
        <v/>
      </c>
      <c r="AI4761">
        <f>IF($C4761="","",IF(OR($N4761=TRUE(),$N4761="TRUE"),1,0))</f>
        <v/>
      </c>
      <c r="AJ4761">
        <f>IF($C4761="","",IF($T4761="Yes",1,0))</f>
        <v/>
      </c>
      <c r="AK4761">
        <f>IF($AG4761=1,IFERROR(IF(VALUE($C4761)&lt;100000000,VALUE($C4761),1000000000),IFERROR(IF(VALUE(MID($C4761,2,20))&lt;100000000,VALUE(MID($C4761,2,20)),1000000000),1000000000))+ROW()/100000,"")</f>
        <v/>
      </c>
    </row>
    <row r="4762">
      <c r="D4762" s="11" t="n"/>
      <c r="K4762" s="7">
        <f>IF($C4762="","",J4762*W4762/100)</f>
        <v/>
      </c>
      <c r="Q4762" s="7" t="n"/>
      <c r="R4762" s="7" t="n"/>
      <c r="U4762">
        <f>IF($C4762="","",IF($AJ4762=1,0,IF($AI4762=1,Settings!$C$6,Settings!$C$7))*100)</f>
        <v/>
      </c>
      <c r="V4762" s="7">
        <f>IF($C4762="","",R4762*U4762/100)</f>
        <v/>
      </c>
      <c r="W4762" s="7">
        <f>IF($C4762="","",R4762-V4762)</f>
        <v/>
      </c>
      <c r="X4762" s="7">
        <f>IF($C4762="","",W4762-K4762)</f>
        <v/>
      </c>
      <c r="AB4762" s="7" t="n"/>
      <c r="AE4762" s="11" t="n"/>
      <c r="AG4762">
        <f>IF($C4762="","",IF(COUNTIF($C$2:$C4762,$C4762)=1,1,0))</f>
        <v/>
      </c>
      <c r="AH4762">
        <f>IF($AG4762=1,SUMPRODUCT(--($AK$2:$AK$6001&lt;$AK4762))+1,"")</f>
        <v/>
      </c>
      <c r="AI4762">
        <f>IF($C4762="","",IF(OR($N4762=TRUE(),$N4762="TRUE"),1,0))</f>
        <v/>
      </c>
      <c r="AJ4762">
        <f>IF($C4762="","",IF($T4762="Yes",1,0))</f>
        <v/>
      </c>
      <c r="AK4762">
        <f>IF($AG4762=1,IFERROR(IF(VALUE($C4762)&lt;100000000,VALUE($C4762),1000000000),IFERROR(IF(VALUE(MID($C4762,2,20))&lt;100000000,VALUE(MID($C4762,2,20)),1000000000),1000000000))+ROW()/100000,"")</f>
        <v/>
      </c>
    </row>
    <row r="4763">
      <c r="D4763" s="11" t="n"/>
      <c r="K4763" s="7">
        <f>IF($C4763="","",J4763*W4763/100)</f>
        <v/>
      </c>
      <c r="Q4763" s="7" t="n"/>
      <c r="R4763" s="7" t="n"/>
      <c r="U4763">
        <f>IF($C4763="","",IF($AJ4763=1,0,IF($AI4763=1,Settings!$C$6,Settings!$C$7))*100)</f>
        <v/>
      </c>
      <c r="V4763" s="7">
        <f>IF($C4763="","",R4763*U4763/100)</f>
        <v/>
      </c>
      <c r="W4763" s="7">
        <f>IF($C4763="","",R4763-V4763)</f>
        <v/>
      </c>
      <c r="X4763" s="7">
        <f>IF($C4763="","",W4763-K4763)</f>
        <v/>
      </c>
      <c r="AB4763" s="7" t="n"/>
      <c r="AE4763" s="11" t="n"/>
      <c r="AG4763">
        <f>IF($C4763="","",IF(COUNTIF($C$2:$C4763,$C4763)=1,1,0))</f>
        <v/>
      </c>
      <c r="AH4763">
        <f>IF($AG4763=1,SUMPRODUCT(--($AK$2:$AK$6001&lt;$AK4763))+1,"")</f>
        <v/>
      </c>
      <c r="AI4763">
        <f>IF($C4763="","",IF(OR($N4763=TRUE(),$N4763="TRUE"),1,0))</f>
        <v/>
      </c>
      <c r="AJ4763">
        <f>IF($C4763="","",IF($T4763="Yes",1,0))</f>
        <v/>
      </c>
      <c r="AK4763">
        <f>IF($AG4763=1,IFERROR(IF(VALUE($C4763)&lt;100000000,VALUE($C4763),1000000000),IFERROR(IF(VALUE(MID($C4763,2,20))&lt;100000000,VALUE(MID($C4763,2,20)),1000000000),1000000000))+ROW()/100000,"")</f>
        <v/>
      </c>
    </row>
    <row r="4764">
      <c r="D4764" s="11" t="n"/>
      <c r="K4764" s="7">
        <f>IF($C4764="","",J4764*W4764/100)</f>
        <v/>
      </c>
      <c r="Q4764" s="7" t="n"/>
      <c r="R4764" s="7" t="n"/>
      <c r="U4764">
        <f>IF($C4764="","",IF($AJ4764=1,0,IF($AI4764=1,Settings!$C$6,Settings!$C$7))*100)</f>
        <v/>
      </c>
      <c r="V4764" s="7">
        <f>IF($C4764="","",R4764*U4764/100)</f>
        <v/>
      </c>
      <c r="W4764" s="7">
        <f>IF($C4764="","",R4764-V4764)</f>
        <v/>
      </c>
      <c r="X4764" s="7">
        <f>IF($C4764="","",W4764-K4764)</f>
        <v/>
      </c>
      <c r="AB4764" s="7" t="n"/>
      <c r="AE4764" s="11" t="n"/>
      <c r="AG4764">
        <f>IF($C4764="","",IF(COUNTIF($C$2:$C4764,$C4764)=1,1,0))</f>
        <v/>
      </c>
      <c r="AH4764">
        <f>IF($AG4764=1,SUMPRODUCT(--($AK$2:$AK$6001&lt;$AK4764))+1,"")</f>
        <v/>
      </c>
      <c r="AI4764">
        <f>IF($C4764="","",IF(OR($N4764=TRUE(),$N4764="TRUE"),1,0))</f>
        <v/>
      </c>
      <c r="AJ4764">
        <f>IF($C4764="","",IF($T4764="Yes",1,0))</f>
        <v/>
      </c>
      <c r="AK4764">
        <f>IF($AG4764=1,IFERROR(IF(VALUE($C4764)&lt;100000000,VALUE($C4764),1000000000),IFERROR(IF(VALUE(MID($C4764,2,20))&lt;100000000,VALUE(MID($C4764,2,20)),1000000000),1000000000))+ROW()/100000,"")</f>
        <v/>
      </c>
    </row>
    <row r="4765">
      <c r="D4765" s="11" t="n"/>
      <c r="K4765" s="7">
        <f>IF($C4765="","",J4765*W4765/100)</f>
        <v/>
      </c>
      <c r="Q4765" s="7" t="n"/>
      <c r="R4765" s="7" t="n"/>
      <c r="U4765">
        <f>IF($C4765="","",IF($AJ4765=1,0,IF($AI4765=1,Settings!$C$6,Settings!$C$7))*100)</f>
        <v/>
      </c>
      <c r="V4765" s="7">
        <f>IF($C4765="","",R4765*U4765/100)</f>
        <v/>
      </c>
      <c r="W4765" s="7">
        <f>IF($C4765="","",R4765-V4765)</f>
        <v/>
      </c>
      <c r="X4765" s="7">
        <f>IF($C4765="","",W4765-K4765)</f>
        <v/>
      </c>
      <c r="AB4765" s="7" t="n"/>
      <c r="AE4765" s="11" t="n"/>
      <c r="AG4765">
        <f>IF($C4765="","",IF(COUNTIF($C$2:$C4765,$C4765)=1,1,0))</f>
        <v/>
      </c>
      <c r="AH4765">
        <f>IF($AG4765=1,SUMPRODUCT(--($AK$2:$AK$6001&lt;$AK4765))+1,"")</f>
        <v/>
      </c>
      <c r="AI4765">
        <f>IF($C4765="","",IF(OR($N4765=TRUE(),$N4765="TRUE"),1,0))</f>
        <v/>
      </c>
      <c r="AJ4765">
        <f>IF($C4765="","",IF($T4765="Yes",1,0))</f>
        <v/>
      </c>
      <c r="AK4765">
        <f>IF($AG4765=1,IFERROR(IF(VALUE($C4765)&lt;100000000,VALUE($C4765),1000000000),IFERROR(IF(VALUE(MID($C4765,2,20))&lt;100000000,VALUE(MID($C4765,2,20)),1000000000),1000000000))+ROW()/100000,"")</f>
        <v/>
      </c>
    </row>
    <row r="4766">
      <c r="D4766" s="11" t="n"/>
      <c r="K4766" s="7">
        <f>IF($C4766="","",J4766*W4766/100)</f>
        <v/>
      </c>
      <c r="Q4766" s="7" t="n"/>
      <c r="R4766" s="7" t="n"/>
      <c r="U4766">
        <f>IF($C4766="","",IF($AJ4766=1,0,IF($AI4766=1,Settings!$C$6,Settings!$C$7))*100)</f>
        <v/>
      </c>
      <c r="V4766" s="7">
        <f>IF($C4766="","",R4766*U4766/100)</f>
        <v/>
      </c>
      <c r="W4766" s="7">
        <f>IF($C4766="","",R4766-V4766)</f>
        <v/>
      </c>
      <c r="X4766" s="7">
        <f>IF($C4766="","",W4766-K4766)</f>
        <v/>
      </c>
      <c r="AB4766" s="7" t="n"/>
      <c r="AE4766" s="11" t="n"/>
      <c r="AG4766">
        <f>IF($C4766="","",IF(COUNTIF($C$2:$C4766,$C4766)=1,1,0))</f>
        <v/>
      </c>
      <c r="AH4766">
        <f>IF($AG4766=1,SUMPRODUCT(--($AK$2:$AK$6001&lt;$AK4766))+1,"")</f>
        <v/>
      </c>
      <c r="AI4766">
        <f>IF($C4766="","",IF(OR($N4766=TRUE(),$N4766="TRUE"),1,0))</f>
        <v/>
      </c>
      <c r="AJ4766">
        <f>IF($C4766="","",IF($T4766="Yes",1,0))</f>
        <v/>
      </c>
      <c r="AK4766">
        <f>IF($AG4766=1,IFERROR(IF(VALUE($C4766)&lt;100000000,VALUE($C4766),1000000000),IFERROR(IF(VALUE(MID($C4766,2,20))&lt;100000000,VALUE(MID($C4766,2,20)),1000000000),1000000000))+ROW()/100000,"")</f>
        <v/>
      </c>
    </row>
    <row r="4767">
      <c r="D4767" s="11" t="n"/>
      <c r="K4767" s="7">
        <f>IF($C4767="","",J4767*W4767/100)</f>
        <v/>
      </c>
      <c r="Q4767" s="7" t="n"/>
      <c r="R4767" s="7" t="n"/>
      <c r="U4767">
        <f>IF($C4767="","",IF($AJ4767=1,0,IF($AI4767=1,Settings!$C$6,Settings!$C$7))*100)</f>
        <v/>
      </c>
      <c r="V4767" s="7">
        <f>IF($C4767="","",R4767*U4767/100)</f>
        <v/>
      </c>
      <c r="W4767" s="7">
        <f>IF($C4767="","",R4767-V4767)</f>
        <v/>
      </c>
      <c r="X4767" s="7">
        <f>IF($C4767="","",W4767-K4767)</f>
        <v/>
      </c>
      <c r="AB4767" s="7" t="n"/>
      <c r="AE4767" s="11" t="n"/>
      <c r="AG4767">
        <f>IF($C4767="","",IF(COUNTIF($C$2:$C4767,$C4767)=1,1,0))</f>
        <v/>
      </c>
      <c r="AH4767">
        <f>IF($AG4767=1,SUMPRODUCT(--($AK$2:$AK$6001&lt;$AK4767))+1,"")</f>
        <v/>
      </c>
      <c r="AI4767">
        <f>IF($C4767="","",IF(OR($N4767=TRUE(),$N4767="TRUE"),1,0))</f>
        <v/>
      </c>
      <c r="AJ4767">
        <f>IF($C4767="","",IF($T4767="Yes",1,0))</f>
        <v/>
      </c>
      <c r="AK4767">
        <f>IF($AG4767=1,IFERROR(IF(VALUE($C4767)&lt;100000000,VALUE($C4767),1000000000),IFERROR(IF(VALUE(MID($C4767,2,20))&lt;100000000,VALUE(MID($C4767,2,20)),1000000000),1000000000))+ROW()/100000,"")</f>
        <v/>
      </c>
    </row>
    <row r="4768">
      <c r="D4768" s="11" t="n"/>
      <c r="K4768" s="7">
        <f>IF($C4768="","",J4768*W4768/100)</f>
        <v/>
      </c>
      <c r="Q4768" s="7" t="n"/>
      <c r="R4768" s="7" t="n"/>
      <c r="U4768">
        <f>IF($C4768="","",IF($AJ4768=1,0,IF($AI4768=1,Settings!$C$6,Settings!$C$7))*100)</f>
        <v/>
      </c>
      <c r="V4768" s="7">
        <f>IF($C4768="","",R4768*U4768/100)</f>
        <v/>
      </c>
      <c r="W4768" s="7">
        <f>IF($C4768="","",R4768-V4768)</f>
        <v/>
      </c>
      <c r="X4768" s="7">
        <f>IF($C4768="","",W4768-K4768)</f>
        <v/>
      </c>
      <c r="AB4768" s="7" t="n"/>
      <c r="AE4768" s="11" t="n"/>
      <c r="AG4768">
        <f>IF($C4768="","",IF(COUNTIF($C$2:$C4768,$C4768)=1,1,0))</f>
        <v/>
      </c>
      <c r="AH4768">
        <f>IF($AG4768=1,SUMPRODUCT(--($AK$2:$AK$6001&lt;$AK4768))+1,"")</f>
        <v/>
      </c>
      <c r="AI4768">
        <f>IF($C4768="","",IF(OR($N4768=TRUE(),$N4768="TRUE"),1,0))</f>
        <v/>
      </c>
      <c r="AJ4768">
        <f>IF($C4768="","",IF($T4768="Yes",1,0))</f>
        <v/>
      </c>
      <c r="AK4768">
        <f>IF($AG4768=1,IFERROR(IF(VALUE($C4768)&lt;100000000,VALUE($C4768),1000000000),IFERROR(IF(VALUE(MID($C4768,2,20))&lt;100000000,VALUE(MID($C4768,2,20)),1000000000),1000000000))+ROW()/100000,"")</f>
        <v/>
      </c>
    </row>
    <row r="4769">
      <c r="D4769" s="11" t="n"/>
      <c r="K4769" s="7">
        <f>IF($C4769="","",J4769*W4769/100)</f>
        <v/>
      </c>
      <c r="Q4769" s="7" t="n"/>
      <c r="R4769" s="7" t="n"/>
      <c r="U4769">
        <f>IF($C4769="","",IF($AJ4769=1,0,IF($AI4769=1,Settings!$C$6,Settings!$C$7))*100)</f>
        <v/>
      </c>
      <c r="V4769" s="7">
        <f>IF($C4769="","",R4769*U4769/100)</f>
        <v/>
      </c>
      <c r="W4769" s="7">
        <f>IF($C4769="","",R4769-V4769)</f>
        <v/>
      </c>
      <c r="X4769" s="7">
        <f>IF($C4769="","",W4769-K4769)</f>
        <v/>
      </c>
      <c r="AB4769" s="7" t="n"/>
      <c r="AE4769" s="11" t="n"/>
      <c r="AG4769">
        <f>IF($C4769="","",IF(COUNTIF($C$2:$C4769,$C4769)=1,1,0))</f>
        <v/>
      </c>
      <c r="AH4769">
        <f>IF($AG4769=1,SUMPRODUCT(--($AK$2:$AK$6001&lt;$AK4769))+1,"")</f>
        <v/>
      </c>
      <c r="AI4769">
        <f>IF($C4769="","",IF(OR($N4769=TRUE(),$N4769="TRUE"),1,0))</f>
        <v/>
      </c>
      <c r="AJ4769">
        <f>IF($C4769="","",IF($T4769="Yes",1,0))</f>
        <v/>
      </c>
      <c r="AK4769">
        <f>IF($AG4769=1,IFERROR(IF(VALUE($C4769)&lt;100000000,VALUE($C4769),1000000000),IFERROR(IF(VALUE(MID($C4769,2,20))&lt;100000000,VALUE(MID($C4769,2,20)),1000000000),1000000000))+ROW()/100000,"")</f>
        <v/>
      </c>
    </row>
    <row r="4770">
      <c r="D4770" s="11" t="n"/>
      <c r="K4770" s="7">
        <f>IF($C4770="","",J4770*W4770/100)</f>
        <v/>
      </c>
      <c r="Q4770" s="7" t="n"/>
      <c r="R4770" s="7" t="n"/>
      <c r="U4770">
        <f>IF($C4770="","",IF($AJ4770=1,0,IF($AI4770=1,Settings!$C$6,Settings!$C$7))*100)</f>
        <v/>
      </c>
      <c r="V4770" s="7">
        <f>IF($C4770="","",R4770*U4770/100)</f>
        <v/>
      </c>
      <c r="W4770" s="7">
        <f>IF($C4770="","",R4770-V4770)</f>
        <v/>
      </c>
      <c r="X4770" s="7">
        <f>IF($C4770="","",W4770-K4770)</f>
        <v/>
      </c>
      <c r="AB4770" s="7" t="n"/>
      <c r="AE4770" s="11" t="n"/>
      <c r="AG4770">
        <f>IF($C4770="","",IF(COUNTIF($C$2:$C4770,$C4770)=1,1,0))</f>
        <v/>
      </c>
      <c r="AH4770">
        <f>IF($AG4770=1,SUMPRODUCT(--($AK$2:$AK$6001&lt;$AK4770))+1,"")</f>
        <v/>
      </c>
      <c r="AI4770">
        <f>IF($C4770="","",IF(OR($N4770=TRUE(),$N4770="TRUE"),1,0))</f>
        <v/>
      </c>
      <c r="AJ4770">
        <f>IF($C4770="","",IF($T4770="Yes",1,0))</f>
        <v/>
      </c>
      <c r="AK4770">
        <f>IF($AG4770=1,IFERROR(IF(VALUE($C4770)&lt;100000000,VALUE($C4770),1000000000),IFERROR(IF(VALUE(MID($C4770,2,20))&lt;100000000,VALUE(MID($C4770,2,20)),1000000000),1000000000))+ROW()/100000,"")</f>
        <v/>
      </c>
    </row>
    <row r="4771">
      <c r="D4771" s="11" t="n"/>
      <c r="K4771" s="7">
        <f>IF($C4771="","",J4771*W4771/100)</f>
        <v/>
      </c>
      <c r="Q4771" s="7" t="n"/>
      <c r="R4771" s="7" t="n"/>
      <c r="U4771">
        <f>IF($C4771="","",IF($AJ4771=1,0,IF($AI4771=1,Settings!$C$6,Settings!$C$7))*100)</f>
        <v/>
      </c>
      <c r="V4771" s="7">
        <f>IF($C4771="","",R4771*U4771/100)</f>
        <v/>
      </c>
      <c r="W4771" s="7">
        <f>IF($C4771="","",R4771-V4771)</f>
        <v/>
      </c>
      <c r="X4771" s="7">
        <f>IF($C4771="","",W4771-K4771)</f>
        <v/>
      </c>
      <c r="AB4771" s="7" t="n"/>
      <c r="AE4771" s="11" t="n"/>
      <c r="AG4771">
        <f>IF($C4771="","",IF(COUNTIF($C$2:$C4771,$C4771)=1,1,0))</f>
        <v/>
      </c>
      <c r="AH4771">
        <f>IF($AG4771=1,SUMPRODUCT(--($AK$2:$AK$6001&lt;$AK4771))+1,"")</f>
        <v/>
      </c>
      <c r="AI4771">
        <f>IF($C4771="","",IF(OR($N4771=TRUE(),$N4771="TRUE"),1,0))</f>
        <v/>
      </c>
      <c r="AJ4771">
        <f>IF($C4771="","",IF($T4771="Yes",1,0))</f>
        <v/>
      </c>
      <c r="AK4771">
        <f>IF($AG4771=1,IFERROR(IF(VALUE($C4771)&lt;100000000,VALUE($C4771),1000000000),IFERROR(IF(VALUE(MID($C4771,2,20))&lt;100000000,VALUE(MID($C4771,2,20)),1000000000),1000000000))+ROW()/100000,"")</f>
        <v/>
      </c>
    </row>
    <row r="4772">
      <c r="D4772" s="11" t="n"/>
      <c r="K4772" s="7">
        <f>IF($C4772="","",J4772*W4772/100)</f>
        <v/>
      </c>
      <c r="Q4772" s="7" t="n"/>
      <c r="R4772" s="7" t="n"/>
      <c r="U4772">
        <f>IF($C4772="","",IF($AJ4772=1,0,IF($AI4772=1,Settings!$C$6,Settings!$C$7))*100)</f>
        <v/>
      </c>
      <c r="V4772" s="7">
        <f>IF($C4772="","",R4772*U4772/100)</f>
        <v/>
      </c>
      <c r="W4772" s="7">
        <f>IF($C4772="","",R4772-V4772)</f>
        <v/>
      </c>
      <c r="X4772" s="7">
        <f>IF($C4772="","",W4772-K4772)</f>
        <v/>
      </c>
      <c r="AB4772" s="7" t="n"/>
      <c r="AE4772" s="11" t="n"/>
      <c r="AG4772">
        <f>IF($C4772="","",IF(COUNTIF($C$2:$C4772,$C4772)=1,1,0))</f>
        <v/>
      </c>
      <c r="AH4772">
        <f>IF($AG4772=1,SUMPRODUCT(--($AK$2:$AK$6001&lt;$AK4772))+1,"")</f>
        <v/>
      </c>
      <c r="AI4772">
        <f>IF($C4772="","",IF(OR($N4772=TRUE(),$N4772="TRUE"),1,0))</f>
        <v/>
      </c>
      <c r="AJ4772">
        <f>IF($C4772="","",IF($T4772="Yes",1,0))</f>
        <v/>
      </c>
      <c r="AK4772">
        <f>IF($AG4772=1,IFERROR(IF(VALUE($C4772)&lt;100000000,VALUE($C4772),1000000000),IFERROR(IF(VALUE(MID($C4772,2,20))&lt;100000000,VALUE(MID($C4772,2,20)),1000000000),1000000000))+ROW()/100000,"")</f>
        <v/>
      </c>
    </row>
    <row r="4773">
      <c r="D4773" s="11" t="n"/>
      <c r="K4773" s="7">
        <f>IF($C4773="","",J4773*W4773/100)</f>
        <v/>
      </c>
      <c r="Q4773" s="7" t="n"/>
      <c r="R4773" s="7" t="n"/>
      <c r="U4773">
        <f>IF($C4773="","",IF($AJ4773=1,0,IF($AI4773=1,Settings!$C$6,Settings!$C$7))*100)</f>
        <v/>
      </c>
      <c r="V4773" s="7">
        <f>IF($C4773="","",R4773*U4773/100)</f>
        <v/>
      </c>
      <c r="W4773" s="7">
        <f>IF($C4773="","",R4773-V4773)</f>
        <v/>
      </c>
      <c r="X4773" s="7">
        <f>IF($C4773="","",W4773-K4773)</f>
        <v/>
      </c>
      <c r="AB4773" s="7" t="n"/>
      <c r="AE4773" s="11" t="n"/>
      <c r="AG4773">
        <f>IF($C4773="","",IF(COUNTIF($C$2:$C4773,$C4773)=1,1,0))</f>
        <v/>
      </c>
      <c r="AH4773">
        <f>IF($AG4773=1,SUMPRODUCT(--($AK$2:$AK$6001&lt;$AK4773))+1,"")</f>
        <v/>
      </c>
      <c r="AI4773">
        <f>IF($C4773="","",IF(OR($N4773=TRUE(),$N4773="TRUE"),1,0))</f>
        <v/>
      </c>
      <c r="AJ4773">
        <f>IF($C4773="","",IF($T4773="Yes",1,0))</f>
        <v/>
      </c>
      <c r="AK4773">
        <f>IF($AG4773=1,IFERROR(IF(VALUE($C4773)&lt;100000000,VALUE($C4773),1000000000),IFERROR(IF(VALUE(MID($C4773,2,20))&lt;100000000,VALUE(MID($C4773,2,20)),1000000000),1000000000))+ROW()/100000,"")</f>
        <v/>
      </c>
    </row>
    <row r="4774">
      <c r="D4774" s="11" t="n"/>
      <c r="K4774" s="7">
        <f>IF($C4774="","",J4774*W4774/100)</f>
        <v/>
      </c>
      <c r="Q4774" s="7" t="n"/>
      <c r="R4774" s="7" t="n"/>
      <c r="U4774">
        <f>IF($C4774="","",IF($AJ4774=1,0,IF($AI4774=1,Settings!$C$6,Settings!$C$7))*100)</f>
        <v/>
      </c>
      <c r="V4774" s="7">
        <f>IF($C4774="","",R4774*U4774/100)</f>
        <v/>
      </c>
      <c r="W4774" s="7">
        <f>IF($C4774="","",R4774-V4774)</f>
        <v/>
      </c>
      <c r="X4774" s="7">
        <f>IF($C4774="","",W4774-K4774)</f>
        <v/>
      </c>
      <c r="AB4774" s="7" t="n"/>
      <c r="AE4774" s="11" t="n"/>
      <c r="AG4774">
        <f>IF($C4774="","",IF(COUNTIF($C$2:$C4774,$C4774)=1,1,0))</f>
        <v/>
      </c>
      <c r="AH4774">
        <f>IF($AG4774=1,SUMPRODUCT(--($AK$2:$AK$6001&lt;$AK4774))+1,"")</f>
        <v/>
      </c>
      <c r="AI4774">
        <f>IF($C4774="","",IF(OR($N4774=TRUE(),$N4774="TRUE"),1,0))</f>
        <v/>
      </c>
      <c r="AJ4774">
        <f>IF($C4774="","",IF($T4774="Yes",1,0))</f>
        <v/>
      </c>
      <c r="AK4774">
        <f>IF($AG4774=1,IFERROR(IF(VALUE($C4774)&lt;100000000,VALUE($C4774),1000000000),IFERROR(IF(VALUE(MID($C4774,2,20))&lt;100000000,VALUE(MID($C4774,2,20)),1000000000),1000000000))+ROW()/100000,"")</f>
        <v/>
      </c>
    </row>
    <row r="4775">
      <c r="D4775" s="11" t="n"/>
      <c r="K4775" s="7">
        <f>IF($C4775="","",J4775*W4775/100)</f>
        <v/>
      </c>
      <c r="Q4775" s="7" t="n"/>
      <c r="R4775" s="7" t="n"/>
      <c r="U4775">
        <f>IF($C4775="","",IF($AJ4775=1,0,IF($AI4775=1,Settings!$C$6,Settings!$C$7))*100)</f>
        <v/>
      </c>
      <c r="V4775" s="7">
        <f>IF($C4775="","",R4775*U4775/100)</f>
        <v/>
      </c>
      <c r="W4775" s="7">
        <f>IF($C4775="","",R4775-V4775)</f>
        <v/>
      </c>
      <c r="X4775" s="7">
        <f>IF($C4775="","",W4775-K4775)</f>
        <v/>
      </c>
      <c r="AB4775" s="7" t="n"/>
      <c r="AE4775" s="11" t="n"/>
      <c r="AG4775">
        <f>IF($C4775="","",IF(COUNTIF($C$2:$C4775,$C4775)=1,1,0))</f>
        <v/>
      </c>
      <c r="AH4775">
        <f>IF($AG4775=1,SUMPRODUCT(--($AK$2:$AK$6001&lt;$AK4775))+1,"")</f>
        <v/>
      </c>
      <c r="AI4775">
        <f>IF($C4775="","",IF(OR($N4775=TRUE(),$N4775="TRUE"),1,0))</f>
        <v/>
      </c>
      <c r="AJ4775">
        <f>IF($C4775="","",IF($T4775="Yes",1,0))</f>
        <v/>
      </c>
      <c r="AK4775">
        <f>IF($AG4775=1,IFERROR(IF(VALUE($C4775)&lt;100000000,VALUE($C4775),1000000000),IFERROR(IF(VALUE(MID($C4775,2,20))&lt;100000000,VALUE(MID($C4775,2,20)),1000000000),1000000000))+ROW()/100000,"")</f>
        <v/>
      </c>
    </row>
    <row r="4776">
      <c r="D4776" s="11" t="n"/>
      <c r="K4776" s="7">
        <f>IF($C4776="","",J4776*W4776/100)</f>
        <v/>
      </c>
      <c r="Q4776" s="7" t="n"/>
      <c r="R4776" s="7" t="n"/>
      <c r="U4776">
        <f>IF($C4776="","",IF($AJ4776=1,0,IF($AI4776=1,Settings!$C$6,Settings!$C$7))*100)</f>
        <v/>
      </c>
      <c r="V4776" s="7">
        <f>IF($C4776="","",R4776*U4776/100)</f>
        <v/>
      </c>
      <c r="W4776" s="7">
        <f>IF($C4776="","",R4776-V4776)</f>
        <v/>
      </c>
      <c r="X4776" s="7">
        <f>IF($C4776="","",W4776-K4776)</f>
        <v/>
      </c>
      <c r="AB4776" s="7" t="n"/>
      <c r="AE4776" s="11" t="n"/>
      <c r="AG4776">
        <f>IF($C4776="","",IF(COUNTIF($C$2:$C4776,$C4776)=1,1,0))</f>
        <v/>
      </c>
      <c r="AH4776">
        <f>IF($AG4776=1,SUMPRODUCT(--($AK$2:$AK$6001&lt;$AK4776))+1,"")</f>
        <v/>
      </c>
      <c r="AI4776">
        <f>IF($C4776="","",IF(OR($N4776=TRUE(),$N4776="TRUE"),1,0))</f>
        <v/>
      </c>
      <c r="AJ4776">
        <f>IF($C4776="","",IF($T4776="Yes",1,0))</f>
        <v/>
      </c>
      <c r="AK4776">
        <f>IF($AG4776=1,IFERROR(IF(VALUE($C4776)&lt;100000000,VALUE($C4776),1000000000),IFERROR(IF(VALUE(MID($C4776,2,20))&lt;100000000,VALUE(MID($C4776,2,20)),1000000000),1000000000))+ROW()/100000,"")</f>
        <v/>
      </c>
    </row>
    <row r="4777">
      <c r="D4777" s="11" t="n"/>
      <c r="K4777" s="7">
        <f>IF($C4777="","",J4777*W4777/100)</f>
        <v/>
      </c>
      <c r="Q4777" s="7" t="n"/>
      <c r="R4777" s="7" t="n"/>
      <c r="U4777">
        <f>IF($C4777="","",IF($AJ4777=1,0,IF($AI4777=1,Settings!$C$6,Settings!$C$7))*100)</f>
        <v/>
      </c>
      <c r="V4777" s="7">
        <f>IF($C4777="","",R4777*U4777/100)</f>
        <v/>
      </c>
      <c r="W4777" s="7">
        <f>IF($C4777="","",R4777-V4777)</f>
        <v/>
      </c>
      <c r="X4777" s="7">
        <f>IF($C4777="","",W4777-K4777)</f>
        <v/>
      </c>
      <c r="AB4777" s="7" t="n"/>
      <c r="AE4777" s="11" t="n"/>
      <c r="AG4777">
        <f>IF($C4777="","",IF(COUNTIF($C$2:$C4777,$C4777)=1,1,0))</f>
        <v/>
      </c>
      <c r="AH4777">
        <f>IF($AG4777=1,SUMPRODUCT(--($AK$2:$AK$6001&lt;$AK4777))+1,"")</f>
        <v/>
      </c>
      <c r="AI4777">
        <f>IF($C4777="","",IF(OR($N4777=TRUE(),$N4777="TRUE"),1,0))</f>
        <v/>
      </c>
      <c r="AJ4777">
        <f>IF($C4777="","",IF($T4777="Yes",1,0))</f>
        <v/>
      </c>
      <c r="AK4777">
        <f>IF($AG4777=1,IFERROR(IF(VALUE($C4777)&lt;100000000,VALUE($C4777),1000000000),IFERROR(IF(VALUE(MID($C4777,2,20))&lt;100000000,VALUE(MID($C4777,2,20)),1000000000),1000000000))+ROW()/100000,"")</f>
        <v/>
      </c>
    </row>
    <row r="4778">
      <c r="D4778" s="11" t="n"/>
      <c r="K4778" s="7">
        <f>IF($C4778="","",J4778*W4778/100)</f>
        <v/>
      </c>
      <c r="Q4778" s="7" t="n"/>
      <c r="R4778" s="7" t="n"/>
      <c r="U4778">
        <f>IF($C4778="","",IF($AJ4778=1,0,IF($AI4778=1,Settings!$C$6,Settings!$C$7))*100)</f>
        <v/>
      </c>
      <c r="V4778" s="7">
        <f>IF($C4778="","",R4778*U4778/100)</f>
        <v/>
      </c>
      <c r="W4778" s="7">
        <f>IF($C4778="","",R4778-V4778)</f>
        <v/>
      </c>
      <c r="X4778" s="7">
        <f>IF($C4778="","",W4778-K4778)</f>
        <v/>
      </c>
      <c r="AB4778" s="7" t="n"/>
      <c r="AE4778" s="11" t="n"/>
      <c r="AG4778">
        <f>IF($C4778="","",IF(COUNTIF($C$2:$C4778,$C4778)=1,1,0))</f>
        <v/>
      </c>
      <c r="AH4778">
        <f>IF($AG4778=1,SUMPRODUCT(--($AK$2:$AK$6001&lt;$AK4778))+1,"")</f>
        <v/>
      </c>
      <c r="AI4778">
        <f>IF($C4778="","",IF(OR($N4778=TRUE(),$N4778="TRUE"),1,0))</f>
        <v/>
      </c>
      <c r="AJ4778">
        <f>IF($C4778="","",IF($T4778="Yes",1,0))</f>
        <v/>
      </c>
      <c r="AK4778">
        <f>IF($AG4778=1,IFERROR(IF(VALUE($C4778)&lt;100000000,VALUE($C4778),1000000000),IFERROR(IF(VALUE(MID($C4778,2,20))&lt;100000000,VALUE(MID($C4778,2,20)),1000000000),1000000000))+ROW()/100000,"")</f>
        <v/>
      </c>
    </row>
    <row r="4779">
      <c r="D4779" s="11" t="n"/>
      <c r="K4779" s="7">
        <f>IF($C4779="","",J4779*W4779/100)</f>
        <v/>
      </c>
      <c r="Q4779" s="7" t="n"/>
      <c r="R4779" s="7" t="n"/>
      <c r="U4779">
        <f>IF($C4779="","",IF($AJ4779=1,0,IF($AI4779=1,Settings!$C$6,Settings!$C$7))*100)</f>
        <v/>
      </c>
      <c r="V4779" s="7">
        <f>IF($C4779="","",R4779*U4779/100)</f>
        <v/>
      </c>
      <c r="W4779" s="7">
        <f>IF($C4779="","",R4779-V4779)</f>
        <v/>
      </c>
      <c r="X4779" s="7">
        <f>IF($C4779="","",W4779-K4779)</f>
        <v/>
      </c>
      <c r="AB4779" s="7" t="n"/>
      <c r="AE4779" s="11" t="n"/>
      <c r="AG4779">
        <f>IF($C4779="","",IF(COUNTIF($C$2:$C4779,$C4779)=1,1,0))</f>
        <v/>
      </c>
      <c r="AH4779">
        <f>IF($AG4779=1,SUMPRODUCT(--($AK$2:$AK$6001&lt;$AK4779))+1,"")</f>
        <v/>
      </c>
      <c r="AI4779">
        <f>IF($C4779="","",IF(OR($N4779=TRUE(),$N4779="TRUE"),1,0))</f>
        <v/>
      </c>
      <c r="AJ4779">
        <f>IF($C4779="","",IF($T4779="Yes",1,0))</f>
        <v/>
      </c>
      <c r="AK4779">
        <f>IF($AG4779=1,IFERROR(IF(VALUE($C4779)&lt;100000000,VALUE($C4779),1000000000),IFERROR(IF(VALUE(MID($C4779,2,20))&lt;100000000,VALUE(MID($C4779,2,20)),1000000000),1000000000))+ROW()/100000,"")</f>
        <v/>
      </c>
    </row>
    <row r="4780">
      <c r="D4780" s="11" t="n"/>
      <c r="K4780" s="7">
        <f>IF($C4780="","",J4780*W4780/100)</f>
        <v/>
      </c>
      <c r="Q4780" s="7" t="n"/>
      <c r="R4780" s="7" t="n"/>
      <c r="U4780">
        <f>IF($C4780="","",IF($AJ4780=1,0,IF($AI4780=1,Settings!$C$6,Settings!$C$7))*100)</f>
        <v/>
      </c>
      <c r="V4780" s="7">
        <f>IF($C4780="","",R4780*U4780/100)</f>
        <v/>
      </c>
      <c r="W4780" s="7">
        <f>IF($C4780="","",R4780-V4780)</f>
        <v/>
      </c>
      <c r="X4780" s="7">
        <f>IF($C4780="","",W4780-K4780)</f>
        <v/>
      </c>
      <c r="AB4780" s="7" t="n"/>
      <c r="AE4780" s="11" t="n"/>
      <c r="AG4780">
        <f>IF($C4780="","",IF(COUNTIF($C$2:$C4780,$C4780)=1,1,0))</f>
        <v/>
      </c>
      <c r="AH4780">
        <f>IF($AG4780=1,SUMPRODUCT(--($AK$2:$AK$6001&lt;$AK4780))+1,"")</f>
        <v/>
      </c>
      <c r="AI4780">
        <f>IF($C4780="","",IF(OR($N4780=TRUE(),$N4780="TRUE"),1,0))</f>
        <v/>
      </c>
      <c r="AJ4780">
        <f>IF($C4780="","",IF($T4780="Yes",1,0))</f>
        <v/>
      </c>
      <c r="AK4780">
        <f>IF($AG4780=1,IFERROR(IF(VALUE($C4780)&lt;100000000,VALUE($C4780),1000000000),IFERROR(IF(VALUE(MID($C4780,2,20))&lt;100000000,VALUE(MID($C4780,2,20)),1000000000),1000000000))+ROW()/100000,"")</f>
        <v/>
      </c>
    </row>
    <row r="4781">
      <c r="D4781" s="11" t="n"/>
      <c r="K4781" s="7">
        <f>IF($C4781="","",J4781*W4781/100)</f>
        <v/>
      </c>
      <c r="Q4781" s="7" t="n"/>
      <c r="R4781" s="7" t="n"/>
      <c r="U4781">
        <f>IF($C4781="","",IF($AJ4781=1,0,IF($AI4781=1,Settings!$C$6,Settings!$C$7))*100)</f>
        <v/>
      </c>
      <c r="V4781" s="7">
        <f>IF($C4781="","",R4781*U4781/100)</f>
        <v/>
      </c>
      <c r="W4781" s="7">
        <f>IF($C4781="","",R4781-V4781)</f>
        <v/>
      </c>
      <c r="X4781" s="7">
        <f>IF($C4781="","",W4781-K4781)</f>
        <v/>
      </c>
      <c r="AB4781" s="7" t="n"/>
      <c r="AE4781" s="11" t="n"/>
      <c r="AG4781">
        <f>IF($C4781="","",IF(COUNTIF($C$2:$C4781,$C4781)=1,1,0))</f>
        <v/>
      </c>
      <c r="AH4781">
        <f>IF($AG4781=1,SUMPRODUCT(--($AK$2:$AK$6001&lt;$AK4781))+1,"")</f>
        <v/>
      </c>
      <c r="AI4781">
        <f>IF($C4781="","",IF(OR($N4781=TRUE(),$N4781="TRUE"),1,0))</f>
        <v/>
      </c>
      <c r="AJ4781">
        <f>IF($C4781="","",IF($T4781="Yes",1,0))</f>
        <v/>
      </c>
      <c r="AK4781">
        <f>IF($AG4781=1,IFERROR(IF(VALUE($C4781)&lt;100000000,VALUE($C4781),1000000000),IFERROR(IF(VALUE(MID($C4781,2,20))&lt;100000000,VALUE(MID($C4781,2,20)),1000000000),1000000000))+ROW()/100000,"")</f>
        <v/>
      </c>
    </row>
    <row r="4782">
      <c r="D4782" s="11" t="n"/>
      <c r="K4782" s="7">
        <f>IF($C4782="","",J4782*W4782/100)</f>
        <v/>
      </c>
      <c r="Q4782" s="7" t="n"/>
      <c r="R4782" s="7" t="n"/>
      <c r="U4782">
        <f>IF($C4782="","",IF($AJ4782=1,0,IF($AI4782=1,Settings!$C$6,Settings!$C$7))*100)</f>
        <v/>
      </c>
      <c r="V4782" s="7">
        <f>IF($C4782="","",R4782*U4782/100)</f>
        <v/>
      </c>
      <c r="W4782" s="7">
        <f>IF($C4782="","",R4782-V4782)</f>
        <v/>
      </c>
      <c r="X4782" s="7">
        <f>IF($C4782="","",W4782-K4782)</f>
        <v/>
      </c>
      <c r="AB4782" s="7" t="n"/>
      <c r="AE4782" s="11" t="n"/>
      <c r="AG4782">
        <f>IF($C4782="","",IF(COUNTIF($C$2:$C4782,$C4782)=1,1,0))</f>
        <v/>
      </c>
      <c r="AH4782">
        <f>IF($AG4782=1,SUMPRODUCT(--($AK$2:$AK$6001&lt;$AK4782))+1,"")</f>
        <v/>
      </c>
      <c r="AI4782">
        <f>IF($C4782="","",IF(OR($N4782=TRUE(),$N4782="TRUE"),1,0))</f>
        <v/>
      </c>
      <c r="AJ4782">
        <f>IF($C4782="","",IF($T4782="Yes",1,0))</f>
        <v/>
      </c>
      <c r="AK4782">
        <f>IF($AG4782=1,IFERROR(IF(VALUE($C4782)&lt;100000000,VALUE($C4782),1000000000),IFERROR(IF(VALUE(MID($C4782,2,20))&lt;100000000,VALUE(MID($C4782,2,20)),1000000000),1000000000))+ROW()/100000,"")</f>
        <v/>
      </c>
    </row>
    <row r="4783">
      <c r="D4783" s="11" t="n"/>
      <c r="K4783" s="7">
        <f>IF($C4783="","",J4783*W4783/100)</f>
        <v/>
      </c>
      <c r="Q4783" s="7" t="n"/>
      <c r="R4783" s="7" t="n"/>
      <c r="U4783">
        <f>IF($C4783="","",IF($AJ4783=1,0,IF($AI4783=1,Settings!$C$6,Settings!$C$7))*100)</f>
        <v/>
      </c>
      <c r="V4783" s="7">
        <f>IF($C4783="","",R4783*U4783/100)</f>
        <v/>
      </c>
      <c r="W4783" s="7">
        <f>IF($C4783="","",R4783-V4783)</f>
        <v/>
      </c>
      <c r="X4783" s="7">
        <f>IF($C4783="","",W4783-K4783)</f>
        <v/>
      </c>
      <c r="AB4783" s="7" t="n"/>
      <c r="AE4783" s="11" t="n"/>
      <c r="AG4783">
        <f>IF($C4783="","",IF(COUNTIF($C$2:$C4783,$C4783)=1,1,0))</f>
        <v/>
      </c>
      <c r="AH4783">
        <f>IF($AG4783=1,SUMPRODUCT(--($AK$2:$AK$6001&lt;$AK4783))+1,"")</f>
        <v/>
      </c>
      <c r="AI4783">
        <f>IF($C4783="","",IF(OR($N4783=TRUE(),$N4783="TRUE"),1,0))</f>
        <v/>
      </c>
      <c r="AJ4783">
        <f>IF($C4783="","",IF($T4783="Yes",1,0))</f>
        <v/>
      </c>
      <c r="AK4783">
        <f>IF($AG4783=1,IFERROR(IF(VALUE($C4783)&lt;100000000,VALUE($C4783),1000000000),IFERROR(IF(VALUE(MID($C4783,2,20))&lt;100000000,VALUE(MID($C4783,2,20)),1000000000),1000000000))+ROW()/100000,"")</f>
        <v/>
      </c>
    </row>
    <row r="4784">
      <c r="D4784" s="11" t="n"/>
      <c r="K4784" s="7">
        <f>IF($C4784="","",J4784*W4784/100)</f>
        <v/>
      </c>
      <c r="Q4784" s="7" t="n"/>
      <c r="R4784" s="7" t="n"/>
      <c r="U4784">
        <f>IF($C4784="","",IF($AJ4784=1,0,IF($AI4784=1,Settings!$C$6,Settings!$C$7))*100)</f>
        <v/>
      </c>
      <c r="V4784" s="7">
        <f>IF($C4784="","",R4784*U4784/100)</f>
        <v/>
      </c>
      <c r="W4784" s="7">
        <f>IF($C4784="","",R4784-V4784)</f>
        <v/>
      </c>
      <c r="X4784" s="7">
        <f>IF($C4784="","",W4784-K4784)</f>
        <v/>
      </c>
      <c r="AB4784" s="7" t="n"/>
      <c r="AE4784" s="11" t="n"/>
      <c r="AG4784">
        <f>IF($C4784="","",IF(COUNTIF($C$2:$C4784,$C4784)=1,1,0))</f>
        <v/>
      </c>
      <c r="AH4784">
        <f>IF($AG4784=1,SUMPRODUCT(--($AK$2:$AK$6001&lt;$AK4784))+1,"")</f>
        <v/>
      </c>
      <c r="AI4784">
        <f>IF($C4784="","",IF(OR($N4784=TRUE(),$N4784="TRUE"),1,0))</f>
        <v/>
      </c>
      <c r="AJ4784">
        <f>IF($C4784="","",IF($T4784="Yes",1,0))</f>
        <v/>
      </c>
      <c r="AK4784">
        <f>IF($AG4784=1,IFERROR(IF(VALUE($C4784)&lt;100000000,VALUE($C4784),1000000000),IFERROR(IF(VALUE(MID($C4784,2,20))&lt;100000000,VALUE(MID($C4784,2,20)),1000000000),1000000000))+ROW()/100000,"")</f>
        <v/>
      </c>
    </row>
    <row r="4785">
      <c r="D4785" s="11" t="n"/>
      <c r="K4785" s="7">
        <f>IF($C4785="","",J4785*W4785/100)</f>
        <v/>
      </c>
      <c r="Q4785" s="7" t="n"/>
      <c r="R4785" s="7" t="n"/>
      <c r="U4785">
        <f>IF($C4785="","",IF($AJ4785=1,0,IF($AI4785=1,Settings!$C$6,Settings!$C$7))*100)</f>
        <v/>
      </c>
      <c r="V4785" s="7">
        <f>IF($C4785="","",R4785*U4785/100)</f>
        <v/>
      </c>
      <c r="W4785" s="7">
        <f>IF($C4785="","",R4785-V4785)</f>
        <v/>
      </c>
      <c r="X4785" s="7">
        <f>IF($C4785="","",W4785-K4785)</f>
        <v/>
      </c>
      <c r="AB4785" s="7" t="n"/>
      <c r="AE4785" s="11" t="n"/>
      <c r="AG4785">
        <f>IF($C4785="","",IF(COUNTIF($C$2:$C4785,$C4785)=1,1,0))</f>
        <v/>
      </c>
      <c r="AH4785">
        <f>IF($AG4785=1,SUMPRODUCT(--($AK$2:$AK$6001&lt;$AK4785))+1,"")</f>
        <v/>
      </c>
      <c r="AI4785">
        <f>IF($C4785="","",IF(OR($N4785=TRUE(),$N4785="TRUE"),1,0))</f>
        <v/>
      </c>
      <c r="AJ4785">
        <f>IF($C4785="","",IF($T4785="Yes",1,0))</f>
        <v/>
      </c>
      <c r="AK4785">
        <f>IF($AG4785=1,IFERROR(IF(VALUE($C4785)&lt;100000000,VALUE($C4785),1000000000),IFERROR(IF(VALUE(MID($C4785,2,20))&lt;100000000,VALUE(MID($C4785,2,20)),1000000000),1000000000))+ROW()/100000,"")</f>
        <v/>
      </c>
    </row>
    <row r="4786">
      <c r="D4786" s="11" t="n"/>
      <c r="K4786" s="7">
        <f>IF($C4786="","",J4786*W4786/100)</f>
        <v/>
      </c>
      <c r="Q4786" s="7" t="n"/>
      <c r="R4786" s="7" t="n"/>
      <c r="U4786">
        <f>IF($C4786="","",IF($AJ4786=1,0,IF($AI4786=1,Settings!$C$6,Settings!$C$7))*100)</f>
        <v/>
      </c>
      <c r="V4786" s="7">
        <f>IF($C4786="","",R4786*U4786/100)</f>
        <v/>
      </c>
      <c r="W4786" s="7">
        <f>IF($C4786="","",R4786-V4786)</f>
        <v/>
      </c>
      <c r="X4786" s="7">
        <f>IF($C4786="","",W4786-K4786)</f>
        <v/>
      </c>
      <c r="AB4786" s="7" t="n"/>
      <c r="AE4786" s="11" t="n"/>
      <c r="AG4786">
        <f>IF($C4786="","",IF(COUNTIF($C$2:$C4786,$C4786)=1,1,0))</f>
        <v/>
      </c>
      <c r="AH4786">
        <f>IF($AG4786=1,SUMPRODUCT(--($AK$2:$AK$6001&lt;$AK4786))+1,"")</f>
        <v/>
      </c>
      <c r="AI4786">
        <f>IF($C4786="","",IF(OR($N4786=TRUE(),$N4786="TRUE"),1,0))</f>
        <v/>
      </c>
      <c r="AJ4786">
        <f>IF($C4786="","",IF($T4786="Yes",1,0))</f>
        <v/>
      </c>
      <c r="AK4786">
        <f>IF($AG4786=1,IFERROR(IF(VALUE($C4786)&lt;100000000,VALUE($C4786),1000000000),IFERROR(IF(VALUE(MID($C4786,2,20))&lt;100000000,VALUE(MID($C4786,2,20)),1000000000),1000000000))+ROW()/100000,"")</f>
        <v/>
      </c>
    </row>
    <row r="4787">
      <c r="D4787" s="11" t="n"/>
      <c r="K4787" s="7">
        <f>IF($C4787="","",J4787*W4787/100)</f>
        <v/>
      </c>
      <c r="Q4787" s="7" t="n"/>
      <c r="R4787" s="7" t="n"/>
      <c r="U4787">
        <f>IF($C4787="","",IF($AJ4787=1,0,IF($AI4787=1,Settings!$C$6,Settings!$C$7))*100)</f>
        <v/>
      </c>
      <c r="V4787" s="7">
        <f>IF($C4787="","",R4787*U4787/100)</f>
        <v/>
      </c>
      <c r="W4787" s="7">
        <f>IF($C4787="","",R4787-V4787)</f>
        <v/>
      </c>
      <c r="X4787" s="7">
        <f>IF($C4787="","",W4787-K4787)</f>
        <v/>
      </c>
      <c r="AB4787" s="7" t="n"/>
      <c r="AE4787" s="11" t="n"/>
      <c r="AG4787">
        <f>IF($C4787="","",IF(COUNTIF($C$2:$C4787,$C4787)=1,1,0))</f>
        <v/>
      </c>
      <c r="AH4787">
        <f>IF($AG4787=1,SUMPRODUCT(--($AK$2:$AK$6001&lt;$AK4787))+1,"")</f>
        <v/>
      </c>
      <c r="AI4787">
        <f>IF($C4787="","",IF(OR($N4787=TRUE(),$N4787="TRUE"),1,0))</f>
        <v/>
      </c>
      <c r="AJ4787">
        <f>IF($C4787="","",IF($T4787="Yes",1,0))</f>
        <v/>
      </c>
      <c r="AK4787">
        <f>IF($AG4787=1,IFERROR(IF(VALUE($C4787)&lt;100000000,VALUE($C4787),1000000000),IFERROR(IF(VALUE(MID($C4787,2,20))&lt;100000000,VALUE(MID($C4787,2,20)),1000000000),1000000000))+ROW()/100000,"")</f>
        <v/>
      </c>
    </row>
    <row r="4788">
      <c r="D4788" s="11" t="n"/>
      <c r="K4788" s="7">
        <f>IF($C4788="","",J4788*W4788/100)</f>
        <v/>
      </c>
      <c r="Q4788" s="7" t="n"/>
      <c r="R4788" s="7" t="n"/>
      <c r="U4788">
        <f>IF($C4788="","",IF($AJ4788=1,0,IF($AI4788=1,Settings!$C$6,Settings!$C$7))*100)</f>
        <v/>
      </c>
      <c r="V4788" s="7">
        <f>IF($C4788="","",R4788*U4788/100)</f>
        <v/>
      </c>
      <c r="W4788" s="7">
        <f>IF($C4788="","",R4788-V4788)</f>
        <v/>
      </c>
      <c r="X4788" s="7">
        <f>IF($C4788="","",W4788-K4788)</f>
        <v/>
      </c>
      <c r="AB4788" s="7" t="n"/>
      <c r="AE4788" s="11" t="n"/>
      <c r="AG4788">
        <f>IF($C4788="","",IF(COUNTIF($C$2:$C4788,$C4788)=1,1,0))</f>
        <v/>
      </c>
      <c r="AH4788">
        <f>IF($AG4788=1,SUMPRODUCT(--($AK$2:$AK$6001&lt;$AK4788))+1,"")</f>
        <v/>
      </c>
      <c r="AI4788">
        <f>IF($C4788="","",IF(OR($N4788=TRUE(),$N4788="TRUE"),1,0))</f>
        <v/>
      </c>
      <c r="AJ4788">
        <f>IF($C4788="","",IF($T4788="Yes",1,0))</f>
        <v/>
      </c>
      <c r="AK4788">
        <f>IF($AG4788=1,IFERROR(IF(VALUE($C4788)&lt;100000000,VALUE($C4788),1000000000),IFERROR(IF(VALUE(MID($C4788,2,20))&lt;100000000,VALUE(MID($C4788,2,20)),1000000000),1000000000))+ROW()/100000,"")</f>
        <v/>
      </c>
    </row>
    <row r="4789">
      <c r="D4789" s="11" t="n"/>
      <c r="K4789" s="7">
        <f>IF($C4789="","",J4789*W4789/100)</f>
        <v/>
      </c>
      <c r="Q4789" s="7" t="n"/>
      <c r="R4789" s="7" t="n"/>
      <c r="U4789">
        <f>IF($C4789="","",IF($AJ4789=1,0,IF($AI4789=1,Settings!$C$6,Settings!$C$7))*100)</f>
        <v/>
      </c>
      <c r="V4789" s="7">
        <f>IF($C4789="","",R4789*U4789/100)</f>
        <v/>
      </c>
      <c r="W4789" s="7">
        <f>IF($C4789="","",R4789-V4789)</f>
        <v/>
      </c>
      <c r="X4789" s="7">
        <f>IF($C4789="","",W4789-K4789)</f>
        <v/>
      </c>
      <c r="AB4789" s="7" t="n"/>
      <c r="AE4789" s="11" t="n"/>
      <c r="AG4789">
        <f>IF($C4789="","",IF(COUNTIF($C$2:$C4789,$C4789)=1,1,0))</f>
        <v/>
      </c>
      <c r="AH4789">
        <f>IF($AG4789=1,SUMPRODUCT(--($AK$2:$AK$6001&lt;$AK4789))+1,"")</f>
        <v/>
      </c>
      <c r="AI4789">
        <f>IF($C4789="","",IF(OR($N4789=TRUE(),$N4789="TRUE"),1,0))</f>
        <v/>
      </c>
      <c r="AJ4789">
        <f>IF($C4789="","",IF($T4789="Yes",1,0))</f>
        <v/>
      </c>
      <c r="AK4789">
        <f>IF($AG4789=1,IFERROR(IF(VALUE($C4789)&lt;100000000,VALUE($C4789),1000000000),IFERROR(IF(VALUE(MID($C4789,2,20))&lt;100000000,VALUE(MID($C4789,2,20)),1000000000),1000000000))+ROW()/100000,"")</f>
        <v/>
      </c>
    </row>
    <row r="4790">
      <c r="D4790" s="11" t="n"/>
      <c r="K4790" s="7">
        <f>IF($C4790="","",J4790*W4790/100)</f>
        <v/>
      </c>
      <c r="Q4790" s="7" t="n"/>
      <c r="R4790" s="7" t="n"/>
      <c r="U4790">
        <f>IF($C4790="","",IF($AJ4790=1,0,IF($AI4790=1,Settings!$C$6,Settings!$C$7))*100)</f>
        <v/>
      </c>
      <c r="V4790" s="7">
        <f>IF($C4790="","",R4790*U4790/100)</f>
        <v/>
      </c>
      <c r="W4790" s="7">
        <f>IF($C4790="","",R4790-V4790)</f>
        <v/>
      </c>
      <c r="X4790" s="7">
        <f>IF($C4790="","",W4790-K4790)</f>
        <v/>
      </c>
      <c r="AB4790" s="7" t="n"/>
      <c r="AE4790" s="11" t="n"/>
      <c r="AG4790">
        <f>IF($C4790="","",IF(COUNTIF($C$2:$C4790,$C4790)=1,1,0))</f>
        <v/>
      </c>
      <c r="AH4790">
        <f>IF($AG4790=1,SUMPRODUCT(--($AK$2:$AK$6001&lt;$AK4790))+1,"")</f>
        <v/>
      </c>
      <c r="AI4790">
        <f>IF($C4790="","",IF(OR($N4790=TRUE(),$N4790="TRUE"),1,0))</f>
        <v/>
      </c>
      <c r="AJ4790">
        <f>IF($C4790="","",IF($T4790="Yes",1,0))</f>
        <v/>
      </c>
      <c r="AK4790">
        <f>IF($AG4790=1,IFERROR(IF(VALUE($C4790)&lt;100000000,VALUE($C4790),1000000000),IFERROR(IF(VALUE(MID($C4790,2,20))&lt;100000000,VALUE(MID($C4790,2,20)),1000000000),1000000000))+ROW()/100000,"")</f>
        <v/>
      </c>
    </row>
    <row r="4791">
      <c r="D4791" s="11" t="n"/>
      <c r="K4791" s="7">
        <f>IF($C4791="","",J4791*W4791/100)</f>
        <v/>
      </c>
      <c r="Q4791" s="7" t="n"/>
      <c r="R4791" s="7" t="n"/>
      <c r="U4791">
        <f>IF($C4791="","",IF($AJ4791=1,0,IF($AI4791=1,Settings!$C$6,Settings!$C$7))*100)</f>
        <v/>
      </c>
      <c r="V4791" s="7">
        <f>IF($C4791="","",R4791*U4791/100)</f>
        <v/>
      </c>
      <c r="W4791" s="7">
        <f>IF($C4791="","",R4791-V4791)</f>
        <v/>
      </c>
      <c r="X4791" s="7">
        <f>IF($C4791="","",W4791-K4791)</f>
        <v/>
      </c>
      <c r="AB4791" s="7" t="n"/>
      <c r="AE4791" s="11" t="n"/>
      <c r="AG4791">
        <f>IF($C4791="","",IF(COUNTIF($C$2:$C4791,$C4791)=1,1,0))</f>
        <v/>
      </c>
      <c r="AH4791">
        <f>IF($AG4791=1,SUMPRODUCT(--($AK$2:$AK$6001&lt;$AK4791))+1,"")</f>
        <v/>
      </c>
      <c r="AI4791">
        <f>IF($C4791="","",IF(OR($N4791=TRUE(),$N4791="TRUE"),1,0))</f>
        <v/>
      </c>
      <c r="AJ4791">
        <f>IF($C4791="","",IF($T4791="Yes",1,0))</f>
        <v/>
      </c>
      <c r="AK4791">
        <f>IF($AG4791=1,IFERROR(IF(VALUE($C4791)&lt;100000000,VALUE($C4791),1000000000),IFERROR(IF(VALUE(MID($C4791,2,20))&lt;100000000,VALUE(MID($C4791,2,20)),1000000000),1000000000))+ROW()/100000,"")</f>
        <v/>
      </c>
    </row>
    <row r="4792">
      <c r="D4792" s="11" t="n"/>
      <c r="K4792" s="7">
        <f>IF($C4792="","",J4792*W4792/100)</f>
        <v/>
      </c>
      <c r="Q4792" s="7" t="n"/>
      <c r="R4792" s="7" t="n"/>
      <c r="U4792">
        <f>IF($C4792="","",IF($AJ4792=1,0,IF($AI4792=1,Settings!$C$6,Settings!$C$7))*100)</f>
        <v/>
      </c>
      <c r="V4792" s="7">
        <f>IF($C4792="","",R4792*U4792/100)</f>
        <v/>
      </c>
      <c r="W4792" s="7">
        <f>IF($C4792="","",R4792-V4792)</f>
        <v/>
      </c>
      <c r="X4792" s="7">
        <f>IF($C4792="","",W4792-K4792)</f>
        <v/>
      </c>
      <c r="AB4792" s="7" t="n"/>
      <c r="AE4792" s="11" t="n"/>
      <c r="AG4792">
        <f>IF($C4792="","",IF(COUNTIF($C$2:$C4792,$C4792)=1,1,0))</f>
        <v/>
      </c>
      <c r="AH4792">
        <f>IF($AG4792=1,SUMPRODUCT(--($AK$2:$AK$6001&lt;$AK4792))+1,"")</f>
        <v/>
      </c>
      <c r="AI4792">
        <f>IF($C4792="","",IF(OR($N4792=TRUE(),$N4792="TRUE"),1,0))</f>
        <v/>
      </c>
      <c r="AJ4792">
        <f>IF($C4792="","",IF($T4792="Yes",1,0))</f>
        <v/>
      </c>
      <c r="AK4792">
        <f>IF($AG4792=1,IFERROR(IF(VALUE($C4792)&lt;100000000,VALUE($C4792),1000000000),IFERROR(IF(VALUE(MID($C4792,2,20))&lt;100000000,VALUE(MID($C4792,2,20)),1000000000),1000000000))+ROW()/100000,"")</f>
        <v/>
      </c>
    </row>
    <row r="4793">
      <c r="D4793" s="11" t="n"/>
      <c r="K4793" s="7">
        <f>IF($C4793="","",J4793*W4793/100)</f>
        <v/>
      </c>
      <c r="Q4793" s="7" t="n"/>
      <c r="R4793" s="7" t="n"/>
      <c r="U4793">
        <f>IF($C4793="","",IF($AJ4793=1,0,IF($AI4793=1,Settings!$C$6,Settings!$C$7))*100)</f>
        <v/>
      </c>
      <c r="V4793" s="7">
        <f>IF($C4793="","",R4793*U4793/100)</f>
        <v/>
      </c>
      <c r="W4793" s="7">
        <f>IF($C4793="","",R4793-V4793)</f>
        <v/>
      </c>
      <c r="X4793" s="7">
        <f>IF($C4793="","",W4793-K4793)</f>
        <v/>
      </c>
      <c r="AB4793" s="7" t="n"/>
      <c r="AE4793" s="11" t="n"/>
      <c r="AG4793">
        <f>IF($C4793="","",IF(COUNTIF($C$2:$C4793,$C4793)=1,1,0))</f>
        <v/>
      </c>
      <c r="AH4793">
        <f>IF($AG4793=1,SUMPRODUCT(--($AK$2:$AK$6001&lt;$AK4793))+1,"")</f>
        <v/>
      </c>
      <c r="AI4793">
        <f>IF($C4793="","",IF(OR($N4793=TRUE(),$N4793="TRUE"),1,0))</f>
        <v/>
      </c>
      <c r="AJ4793">
        <f>IF($C4793="","",IF($T4793="Yes",1,0))</f>
        <v/>
      </c>
      <c r="AK4793">
        <f>IF($AG4793=1,IFERROR(IF(VALUE($C4793)&lt;100000000,VALUE($C4793),1000000000),IFERROR(IF(VALUE(MID($C4793,2,20))&lt;100000000,VALUE(MID($C4793,2,20)),1000000000),1000000000))+ROW()/100000,"")</f>
        <v/>
      </c>
    </row>
    <row r="4794">
      <c r="D4794" s="11" t="n"/>
      <c r="K4794" s="7">
        <f>IF($C4794="","",J4794*W4794/100)</f>
        <v/>
      </c>
      <c r="Q4794" s="7" t="n"/>
      <c r="R4794" s="7" t="n"/>
      <c r="U4794">
        <f>IF($C4794="","",IF($AJ4794=1,0,IF($AI4794=1,Settings!$C$6,Settings!$C$7))*100)</f>
        <v/>
      </c>
      <c r="V4794" s="7">
        <f>IF($C4794="","",R4794*U4794/100)</f>
        <v/>
      </c>
      <c r="W4794" s="7">
        <f>IF($C4794="","",R4794-V4794)</f>
        <v/>
      </c>
      <c r="X4794" s="7">
        <f>IF($C4794="","",W4794-K4794)</f>
        <v/>
      </c>
      <c r="AB4794" s="7" t="n"/>
      <c r="AE4794" s="11" t="n"/>
      <c r="AG4794">
        <f>IF($C4794="","",IF(COUNTIF($C$2:$C4794,$C4794)=1,1,0))</f>
        <v/>
      </c>
      <c r="AH4794">
        <f>IF($AG4794=1,SUMPRODUCT(--($AK$2:$AK$6001&lt;$AK4794))+1,"")</f>
        <v/>
      </c>
      <c r="AI4794">
        <f>IF($C4794="","",IF(OR($N4794=TRUE(),$N4794="TRUE"),1,0))</f>
        <v/>
      </c>
      <c r="AJ4794">
        <f>IF($C4794="","",IF($T4794="Yes",1,0))</f>
        <v/>
      </c>
      <c r="AK4794">
        <f>IF($AG4794=1,IFERROR(IF(VALUE($C4794)&lt;100000000,VALUE($C4794),1000000000),IFERROR(IF(VALUE(MID($C4794,2,20))&lt;100000000,VALUE(MID($C4794,2,20)),1000000000),1000000000))+ROW()/100000,"")</f>
        <v/>
      </c>
    </row>
    <row r="4795">
      <c r="D4795" s="11" t="n"/>
      <c r="K4795" s="7">
        <f>IF($C4795="","",J4795*W4795/100)</f>
        <v/>
      </c>
      <c r="Q4795" s="7" t="n"/>
      <c r="R4795" s="7" t="n"/>
      <c r="U4795">
        <f>IF($C4795="","",IF($AJ4795=1,0,IF($AI4795=1,Settings!$C$6,Settings!$C$7))*100)</f>
        <v/>
      </c>
      <c r="V4795" s="7">
        <f>IF($C4795="","",R4795*U4795/100)</f>
        <v/>
      </c>
      <c r="W4795" s="7">
        <f>IF($C4795="","",R4795-V4795)</f>
        <v/>
      </c>
      <c r="X4795" s="7">
        <f>IF($C4795="","",W4795-K4795)</f>
        <v/>
      </c>
      <c r="AB4795" s="7" t="n"/>
      <c r="AE4795" s="11" t="n"/>
      <c r="AG4795">
        <f>IF($C4795="","",IF(COUNTIF($C$2:$C4795,$C4795)=1,1,0))</f>
        <v/>
      </c>
      <c r="AH4795">
        <f>IF($AG4795=1,SUMPRODUCT(--($AK$2:$AK$6001&lt;$AK4795))+1,"")</f>
        <v/>
      </c>
      <c r="AI4795">
        <f>IF($C4795="","",IF(OR($N4795=TRUE(),$N4795="TRUE"),1,0))</f>
        <v/>
      </c>
      <c r="AJ4795">
        <f>IF($C4795="","",IF($T4795="Yes",1,0))</f>
        <v/>
      </c>
      <c r="AK4795">
        <f>IF($AG4795=1,IFERROR(IF(VALUE($C4795)&lt;100000000,VALUE($C4795),1000000000),IFERROR(IF(VALUE(MID($C4795,2,20))&lt;100000000,VALUE(MID($C4795,2,20)),1000000000),1000000000))+ROW()/100000,"")</f>
        <v/>
      </c>
    </row>
    <row r="4796">
      <c r="D4796" s="11" t="n"/>
      <c r="K4796" s="7">
        <f>IF($C4796="","",J4796*W4796/100)</f>
        <v/>
      </c>
      <c r="Q4796" s="7" t="n"/>
      <c r="R4796" s="7" t="n"/>
      <c r="U4796">
        <f>IF($C4796="","",IF($AJ4796=1,0,IF($AI4796=1,Settings!$C$6,Settings!$C$7))*100)</f>
        <v/>
      </c>
      <c r="V4796" s="7">
        <f>IF($C4796="","",R4796*U4796/100)</f>
        <v/>
      </c>
      <c r="W4796" s="7">
        <f>IF($C4796="","",R4796-V4796)</f>
        <v/>
      </c>
      <c r="X4796" s="7">
        <f>IF($C4796="","",W4796-K4796)</f>
        <v/>
      </c>
      <c r="AB4796" s="7" t="n"/>
      <c r="AE4796" s="11" t="n"/>
      <c r="AG4796">
        <f>IF($C4796="","",IF(COUNTIF($C$2:$C4796,$C4796)=1,1,0))</f>
        <v/>
      </c>
      <c r="AH4796">
        <f>IF($AG4796=1,SUMPRODUCT(--($AK$2:$AK$6001&lt;$AK4796))+1,"")</f>
        <v/>
      </c>
      <c r="AI4796">
        <f>IF($C4796="","",IF(OR($N4796=TRUE(),$N4796="TRUE"),1,0))</f>
        <v/>
      </c>
      <c r="AJ4796">
        <f>IF($C4796="","",IF($T4796="Yes",1,0))</f>
        <v/>
      </c>
      <c r="AK4796">
        <f>IF($AG4796=1,IFERROR(IF(VALUE($C4796)&lt;100000000,VALUE($C4796),1000000000),IFERROR(IF(VALUE(MID($C4796,2,20))&lt;100000000,VALUE(MID($C4796,2,20)),1000000000),1000000000))+ROW()/100000,"")</f>
        <v/>
      </c>
    </row>
    <row r="4797">
      <c r="D4797" s="11" t="n"/>
      <c r="K4797" s="7">
        <f>IF($C4797="","",J4797*W4797/100)</f>
        <v/>
      </c>
      <c r="Q4797" s="7" t="n"/>
      <c r="R4797" s="7" t="n"/>
      <c r="U4797">
        <f>IF($C4797="","",IF($AJ4797=1,0,IF($AI4797=1,Settings!$C$6,Settings!$C$7))*100)</f>
        <v/>
      </c>
      <c r="V4797" s="7">
        <f>IF($C4797="","",R4797*U4797/100)</f>
        <v/>
      </c>
      <c r="W4797" s="7">
        <f>IF($C4797="","",R4797-V4797)</f>
        <v/>
      </c>
      <c r="X4797" s="7">
        <f>IF($C4797="","",W4797-K4797)</f>
        <v/>
      </c>
      <c r="AB4797" s="7" t="n"/>
      <c r="AE4797" s="11" t="n"/>
      <c r="AG4797">
        <f>IF($C4797="","",IF(COUNTIF($C$2:$C4797,$C4797)=1,1,0))</f>
        <v/>
      </c>
      <c r="AH4797">
        <f>IF($AG4797=1,SUMPRODUCT(--($AK$2:$AK$6001&lt;$AK4797))+1,"")</f>
        <v/>
      </c>
      <c r="AI4797">
        <f>IF($C4797="","",IF(OR($N4797=TRUE(),$N4797="TRUE"),1,0))</f>
        <v/>
      </c>
      <c r="AJ4797">
        <f>IF($C4797="","",IF($T4797="Yes",1,0))</f>
        <v/>
      </c>
      <c r="AK4797">
        <f>IF($AG4797=1,IFERROR(IF(VALUE($C4797)&lt;100000000,VALUE($C4797),1000000000),IFERROR(IF(VALUE(MID($C4797,2,20))&lt;100000000,VALUE(MID($C4797,2,20)),1000000000),1000000000))+ROW()/100000,"")</f>
        <v/>
      </c>
    </row>
    <row r="4798">
      <c r="D4798" s="11" t="n"/>
      <c r="K4798" s="7">
        <f>IF($C4798="","",J4798*W4798/100)</f>
        <v/>
      </c>
      <c r="Q4798" s="7" t="n"/>
      <c r="R4798" s="7" t="n"/>
      <c r="U4798">
        <f>IF($C4798="","",IF($AJ4798=1,0,IF($AI4798=1,Settings!$C$6,Settings!$C$7))*100)</f>
        <v/>
      </c>
      <c r="V4798" s="7">
        <f>IF($C4798="","",R4798*U4798/100)</f>
        <v/>
      </c>
      <c r="W4798" s="7">
        <f>IF($C4798="","",R4798-V4798)</f>
        <v/>
      </c>
      <c r="X4798" s="7">
        <f>IF($C4798="","",W4798-K4798)</f>
        <v/>
      </c>
      <c r="AB4798" s="7" t="n"/>
      <c r="AE4798" s="11" t="n"/>
      <c r="AG4798">
        <f>IF($C4798="","",IF(COUNTIF($C$2:$C4798,$C4798)=1,1,0))</f>
        <v/>
      </c>
      <c r="AH4798">
        <f>IF($AG4798=1,SUMPRODUCT(--($AK$2:$AK$6001&lt;$AK4798))+1,"")</f>
        <v/>
      </c>
      <c r="AI4798">
        <f>IF($C4798="","",IF(OR($N4798=TRUE(),$N4798="TRUE"),1,0))</f>
        <v/>
      </c>
      <c r="AJ4798">
        <f>IF($C4798="","",IF($T4798="Yes",1,0))</f>
        <v/>
      </c>
      <c r="AK4798">
        <f>IF($AG4798=1,IFERROR(IF(VALUE($C4798)&lt;100000000,VALUE($C4798),1000000000),IFERROR(IF(VALUE(MID($C4798,2,20))&lt;100000000,VALUE(MID($C4798,2,20)),1000000000),1000000000))+ROW()/100000,"")</f>
        <v/>
      </c>
    </row>
    <row r="4799">
      <c r="D4799" s="11" t="n"/>
      <c r="K4799" s="7">
        <f>IF($C4799="","",J4799*W4799/100)</f>
        <v/>
      </c>
      <c r="Q4799" s="7" t="n"/>
      <c r="R4799" s="7" t="n"/>
      <c r="U4799">
        <f>IF($C4799="","",IF($AJ4799=1,0,IF($AI4799=1,Settings!$C$6,Settings!$C$7))*100)</f>
        <v/>
      </c>
      <c r="V4799" s="7">
        <f>IF($C4799="","",R4799*U4799/100)</f>
        <v/>
      </c>
      <c r="W4799" s="7">
        <f>IF($C4799="","",R4799-V4799)</f>
        <v/>
      </c>
      <c r="X4799" s="7">
        <f>IF($C4799="","",W4799-K4799)</f>
        <v/>
      </c>
      <c r="AB4799" s="7" t="n"/>
      <c r="AE4799" s="11" t="n"/>
      <c r="AG4799">
        <f>IF($C4799="","",IF(COUNTIF($C$2:$C4799,$C4799)=1,1,0))</f>
        <v/>
      </c>
      <c r="AH4799">
        <f>IF($AG4799=1,SUMPRODUCT(--($AK$2:$AK$6001&lt;$AK4799))+1,"")</f>
        <v/>
      </c>
      <c r="AI4799">
        <f>IF($C4799="","",IF(OR($N4799=TRUE(),$N4799="TRUE"),1,0))</f>
        <v/>
      </c>
      <c r="AJ4799">
        <f>IF($C4799="","",IF($T4799="Yes",1,0))</f>
        <v/>
      </c>
      <c r="AK4799">
        <f>IF($AG4799=1,IFERROR(IF(VALUE($C4799)&lt;100000000,VALUE($C4799),1000000000),IFERROR(IF(VALUE(MID($C4799,2,20))&lt;100000000,VALUE(MID($C4799,2,20)),1000000000),1000000000))+ROW()/100000,"")</f>
        <v/>
      </c>
    </row>
    <row r="4800">
      <c r="D4800" s="11" t="n"/>
      <c r="K4800" s="7">
        <f>IF($C4800="","",J4800*W4800/100)</f>
        <v/>
      </c>
      <c r="Q4800" s="7" t="n"/>
      <c r="R4800" s="7" t="n"/>
      <c r="U4800">
        <f>IF($C4800="","",IF($AJ4800=1,0,IF($AI4800=1,Settings!$C$6,Settings!$C$7))*100)</f>
        <v/>
      </c>
      <c r="V4800" s="7">
        <f>IF($C4800="","",R4800*U4800/100)</f>
        <v/>
      </c>
      <c r="W4800" s="7">
        <f>IF($C4800="","",R4800-V4800)</f>
        <v/>
      </c>
      <c r="X4800" s="7">
        <f>IF($C4800="","",W4800-K4800)</f>
        <v/>
      </c>
      <c r="AB4800" s="7" t="n"/>
      <c r="AE4800" s="11" t="n"/>
      <c r="AG4800">
        <f>IF($C4800="","",IF(COUNTIF($C$2:$C4800,$C4800)=1,1,0))</f>
        <v/>
      </c>
      <c r="AH4800">
        <f>IF($AG4800=1,SUMPRODUCT(--($AK$2:$AK$6001&lt;$AK4800))+1,"")</f>
        <v/>
      </c>
      <c r="AI4800">
        <f>IF($C4800="","",IF(OR($N4800=TRUE(),$N4800="TRUE"),1,0))</f>
        <v/>
      </c>
      <c r="AJ4800">
        <f>IF($C4800="","",IF($T4800="Yes",1,0))</f>
        <v/>
      </c>
      <c r="AK4800">
        <f>IF($AG4800=1,IFERROR(IF(VALUE($C4800)&lt;100000000,VALUE($C4800),1000000000),IFERROR(IF(VALUE(MID($C4800,2,20))&lt;100000000,VALUE(MID($C4800,2,20)),1000000000),1000000000))+ROW()/100000,"")</f>
        <v/>
      </c>
    </row>
    <row r="4801">
      <c r="D4801" s="11" t="n"/>
      <c r="K4801" s="7">
        <f>IF($C4801="","",J4801*W4801/100)</f>
        <v/>
      </c>
      <c r="Q4801" s="7" t="n"/>
      <c r="R4801" s="7" t="n"/>
      <c r="U4801">
        <f>IF($C4801="","",IF($AJ4801=1,0,IF($AI4801=1,Settings!$C$6,Settings!$C$7))*100)</f>
        <v/>
      </c>
      <c r="V4801" s="7">
        <f>IF($C4801="","",R4801*U4801/100)</f>
        <v/>
      </c>
      <c r="W4801" s="7">
        <f>IF($C4801="","",R4801-V4801)</f>
        <v/>
      </c>
      <c r="X4801" s="7">
        <f>IF($C4801="","",W4801-K4801)</f>
        <v/>
      </c>
      <c r="AB4801" s="7" t="n"/>
      <c r="AE4801" s="11" t="n"/>
      <c r="AG4801">
        <f>IF($C4801="","",IF(COUNTIF($C$2:$C4801,$C4801)=1,1,0))</f>
        <v/>
      </c>
      <c r="AH4801">
        <f>IF($AG4801=1,SUMPRODUCT(--($AK$2:$AK$6001&lt;$AK4801))+1,"")</f>
        <v/>
      </c>
      <c r="AI4801">
        <f>IF($C4801="","",IF(OR($N4801=TRUE(),$N4801="TRUE"),1,0))</f>
        <v/>
      </c>
      <c r="AJ4801">
        <f>IF($C4801="","",IF($T4801="Yes",1,0))</f>
        <v/>
      </c>
      <c r="AK4801">
        <f>IF($AG4801=1,IFERROR(IF(VALUE($C4801)&lt;100000000,VALUE($C4801),1000000000),IFERROR(IF(VALUE(MID($C4801,2,20))&lt;100000000,VALUE(MID($C4801,2,20)),1000000000),1000000000))+ROW()/100000,"")</f>
        <v/>
      </c>
    </row>
    <row r="4802">
      <c r="D4802" s="11" t="n"/>
      <c r="K4802" s="7">
        <f>IF($C4802="","",J4802*W4802/100)</f>
        <v/>
      </c>
      <c r="Q4802" s="7" t="n"/>
      <c r="R4802" s="7" t="n"/>
      <c r="U4802">
        <f>IF($C4802="","",IF($AJ4802=1,0,IF($AI4802=1,Settings!$C$6,Settings!$C$7))*100)</f>
        <v/>
      </c>
      <c r="V4802" s="7">
        <f>IF($C4802="","",R4802*U4802/100)</f>
        <v/>
      </c>
      <c r="W4802" s="7">
        <f>IF($C4802="","",R4802-V4802)</f>
        <v/>
      </c>
      <c r="X4802" s="7">
        <f>IF($C4802="","",W4802-K4802)</f>
        <v/>
      </c>
      <c r="AB4802" s="7" t="n"/>
      <c r="AE4802" s="11" t="n"/>
      <c r="AG4802">
        <f>IF($C4802="","",IF(COUNTIF($C$2:$C4802,$C4802)=1,1,0))</f>
        <v/>
      </c>
      <c r="AH4802">
        <f>IF($AG4802=1,SUMPRODUCT(--($AK$2:$AK$6001&lt;$AK4802))+1,"")</f>
        <v/>
      </c>
      <c r="AI4802">
        <f>IF($C4802="","",IF(OR($N4802=TRUE(),$N4802="TRUE"),1,0))</f>
        <v/>
      </c>
      <c r="AJ4802">
        <f>IF($C4802="","",IF($T4802="Yes",1,0))</f>
        <v/>
      </c>
      <c r="AK4802">
        <f>IF($AG4802=1,IFERROR(IF(VALUE($C4802)&lt;100000000,VALUE($C4802),1000000000),IFERROR(IF(VALUE(MID($C4802,2,20))&lt;100000000,VALUE(MID($C4802,2,20)),1000000000),1000000000))+ROW()/100000,"")</f>
        <v/>
      </c>
    </row>
    <row r="4803">
      <c r="D4803" s="11" t="n"/>
      <c r="K4803" s="7">
        <f>IF($C4803="","",J4803*W4803/100)</f>
        <v/>
      </c>
      <c r="Q4803" s="7" t="n"/>
      <c r="R4803" s="7" t="n"/>
      <c r="U4803">
        <f>IF($C4803="","",IF($AJ4803=1,0,IF($AI4803=1,Settings!$C$6,Settings!$C$7))*100)</f>
        <v/>
      </c>
      <c r="V4803" s="7">
        <f>IF($C4803="","",R4803*U4803/100)</f>
        <v/>
      </c>
      <c r="W4803" s="7">
        <f>IF($C4803="","",R4803-V4803)</f>
        <v/>
      </c>
      <c r="X4803" s="7">
        <f>IF($C4803="","",W4803-K4803)</f>
        <v/>
      </c>
      <c r="AB4803" s="7" t="n"/>
      <c r="AE4803" s="11" t="n"/>
      <c r="AG4803">
        <f>IF($C4803="","",IF(COUNTIF($C$2:$C4803,$C4803)=1,1,0))</f>
        <v/>
      </c>
      <c r="AH4803">
        <f>IF($AG4803=1,SUMPRODUCT(--($AK$2:$AK$6001&lt;$AK4803))+1,"")</f>
        <v/>
      </c>
      <c r="AI4803">
        <f>IF($C4803="","",IF(OR($N4803=TRUE(),$N4803="TRUE"),1,0))</f>
        <v/>
      </c>
      <c r="AJ4803">
        <f>IF($C4803="","",IF($T4803="Yes",1,0))</f>
        <v/>
      </c>
      <c r="AK4803">
        <f>IF($AG4803=1,IFERROR(IF(VALUE($C4803)&lt;100000000,VALUE($C4803),1000000000),IFERROR(IF(VALUE(MID($C4803,2,20))&lt;100000000,VALUE(MID($C4803,2,20)),1000000000),1000000000))+ROW()/100000,"")</f>
        <v/>
      </c>
    </row>
    <row r="4804">
      <c r="D4804" s="11" t="n"/>
      <c r="K4804" s="7">
        <f>IF($C4804="","",J4804*W4804/100)</f>
        <v/>
      </c>
      <c r="Q4804" s="7" t="n"/>
      <c r="R4804" s="7" t="n"/>
      <c r="U4804">
        <f>IF($C4804="","",IF($AJ4804=1,0,IF($AI4804=1,Settings!$C$6,Settings!$C$7))*100)</f>
        <v/>
      </c>
      <c r="V4804" s="7">
        <f>IF($C4804="","",R4804*U4804/100)</f>
        <v/>
      </c>
      <c r="W4804" s="7">
        <f>IF($C4804="","",R4804-V4804)</f>
        <v/>
      </c>
      <c r="X4804" s="7">
        <f>IF($C4804="","",W4804-K4804)</f>
        <v/>
      </c>
      <c r="AB4804" s="7" t="n"/>
      <c r="AE4804" s="11" t="n"/>
      <c r="AG4804">
        <f>IF($C4804="","",IF(COUNTIF($C$2:$C4804,$C4804)=1,1,0))</f>
        <v/>
      </c>
      <c r="AH4804">
        <f>IF($AG4804=1,SUMPRODUCT(--($AK$2:$AK$6001&lt;$AK4804))+1,"")</f>
        <v/>
      </c>
      <c r="AI4804">
        <f>IF($C4804="","",IF(OR($N4804=TRUE(),$N4804="TRUE"),1,0))</f>
        <v/>
      </c>
      <c r="AJ4804">
        <f>IF($C4804="","",IF($T4804="Yes",1,0))</f>
        <v/>
      </c>
      <c r="AK4804">
        <f>IF($AG4804=1,IFERROR(IF(VALUE($C4804)&lt;100000000,VALUE($C4804),1000000000),IFERROR(IF(VALUE(MID($C4804,2,20))&lt;100000000,VALUE(MID($C4804,2,20)),1000000000),1000000000))+ROW()/100000,"")</f>
        <v/>
      </c>
    </row>
    <row r="4805">
      <c r="D4805" s="11" t="n"/>
      <c r="K4805" s="7">
        <f>IF($C4805="","",J4805*W4805/100)</f>
        <v/>
      </c>
      <c r="Q4805" s="7" t="n"/>
      <c r="R4805" s="7" t="n"/>
      <c r="U4805">
        <f>IF($C4805="","",IF($AJ4805=1,0,IF($AI4805=1,Settings!$C$6,Settings!$C$7))*100)</f>
        <v/>
      </c>
      <c r="V4805" s="7">
        <f>IF($C4805="","",R4805*U4805/100)</f>
        <v/>
      </c>
      <c r="W4805" s="7">
        <f>IF($C4805="","",R4805-V4805)</f>
        <v/>
      </c>
      <c r="X4805" s="7">
        <f>IF($C4805="","",W4805-K4805)</f>
        <v/>
      </c>
      <c r="AB4805" s="7" t="n"/>
      <c r="AE4805" s="11" t="n"/>
      <c r="AG4805">
        <f>IF($C4805="","",IF(COUNTIF($C$2:$C4805,$C4805)=1,1,0))</f>
        <v/>
      </c>
      <c r="AH4805">
        <f>IF($AG4805=1,SUMPRODUCT(--($AK$2:$AK$6001&lt;$AK4805))+1,"")</f>
        <v/>
      </c>
      <c r="AI4805">
        <f>IF($C4805="","",IF(OR($N4805=TRUE(),$N4805="TRUE"),1,0))</f>
        <v/>
      </c>
      <c r="AJ4805">
        <f>IF($C4805="","",IF($T4805="Yes",1,0))</f>
        <v/>
      </c>
      <c r="AK4805">
        <f>IF($AG4805=1,IFERROR(IF(VALUE($C4805)&lt;100000000,VALUE($C4805),1000000000),IFERROR(IF(VALUE(MID($C4805,2,20))&lt;100000000,VALUE(MID($C4805,2,20)),1000000000),1000000000))+ROW()/100000,"")</f>
        <v/>
      </c>
    </row>
    <row r="4806">
      <c r="D4806" s="11" t="n"/>
      <c r="K4806" s="7">
        <f>IF($C4806="","",J4806*W4806/100)</f>
        <v/>
      </c>
      <c r="Q4806" s="7" t="n"/>
      <c r="R4806" s="7" t="n"/>
      <c r="U4806">
        <f>IF($C4806="","",IF($AJ4806=1,0,IF($AI4806=1,Settings!$C$6,Settings!$C$7))*100)</f>
        <v/>
      </c>
      <c r="V4806" s="7">
        <f>IF($C4806="","",R4806*U4806/100)</f>
        <v/>
      </c>
      <c r="W4806" s="7">
        <f>IF($C4806="","",R4806-V4806)</f>
        <v/>
      </c>
      <c r="X4806" s="7">
        <f>IF($C4806="","",W4806-K4806)</f>
        <v/>
      </c>
      <c r="AB4806" s="7" t="n"/>
      <c r="AE4806" s="11" t="n"/>
      <c r="AG4806">
        <f>IF($C4806="","",IF(COUNTIF($C$2:$C4806,$C4806)=1,1,0))</f>
        <v/>
      </c>
      <c r="AH4806">
        <f>IF($AG4806=1,SUMPRODUCT(--($AK$2:$AK$6001&lt;$AK4806))+1,"")</f>
        <v/>
      </c>
      <c r="AI4806">
        <f>IF($C4806="","",IF(OR($N4806=TRUE(),$N4806="TRUE"),1,0))</f>
        <v/>
      </c>
      <c r="AJ4806">
        <f>IF($C4806="","",IF($T4806="Yes",1,0))</f>
        <v/>
      </c>
      <c r="AK4806">
        <f>IF($AG4806=1,IFERROR(IF(VALUE($C4806)&lt;100000000,VALUE($C4806),1000000000),IFERROR(IF(VALUE(MID($C4806,2,20))&lt;100000000,VALUE(MID($C4806,2,20)),1000000000),1000000000))+ROW()/100000,"")</f>
        <v/>
      </c>
    </row>
    <row r="4807">
      <c r="D4807" s="11" t="n"/>
      <c r="K4807" s="7">
        <f>IF($C4807="","",J4807*W4807/100)</f>
        <v/>
      </c>
      <c r="Q4807" s="7" t="n"/>
      <c r="R4807" s="7" t="n"/>
      <c r="U4807">
        <f>IF($C4807="","",IF($AJ4807=1,0,IF($AI4807=1,Settings!$C$6,Settings!$C$7))*100)</f>
        <v/>
      </c>
      <c r="V4807" s="7">
        <f>IF($C4807="","",R4807*U4807/100)</f>
        <v/>
      </c>
      <c r="W4807" s="7">
        <f>IF($C4807="","",R4807-V4807)</f>
        <v/>
      </c>
      <c r="X4807" s="7">
        <f>IF($C4807="","",W4807-K4807)</f>
        <v/>
      </c>
      <c r="AB4807" s="7" t="n"/>
      <c r="AE4807" s="11" t="n"/>
      <c r="AG4807">
        <f>IF($C4807="","",IF(COUNTIF($C$2:$C4807,$C4807)=1,1,0))</f>
        <v/>
      </c>
      <c r="AH4807">
        <f>IF($AG4807=1,SUMPRODUCT(--($AK$2:$AK$6001&lt;$AK4807))+1,"")</f>
        <v/>
      </c>
      <c r="AI4807">
        <f>IF($C4807="","",IF(OR($N4807=TRUE(),$N4807="TRUE"),1,0))</f>
        <v/>
      </c>
      <c r="AJ4807">
        <f>IF($C4807="","",IF($T4807="Yes",1,0))</f>
        <v/>
      </c>
      <c r="AK4807">
        <f>IF($AG4807=1,IFERROR(IF(VALUE($C4807)&lt;100000000,VALUE($C4807),1000000000),IFERROR(IF(VALUE(MID($C4807,2,20))&lt;100000000,VALUE(MID($C4807,2,20)),1000000000),1000000000))+ROW()/100000,"")</f>
        <v/>
      </c>
    </row>
    <row r="4808">
      <c r="D4808" s="11" t="n"/>
      <c r="K4808" s="7">
        <f>IF($C4808="","",J4808*W4808/100)</f>
        <v/>
      </c>
      <c r="Q4808" s="7" t="n"/>
      <c r="R4808" s="7" t="n"/>
      <c r="U4808">
        <f>IF($C4808="","",IF($AJ4808=1,0,IF($AI4808=1,Settings!$C$6,Settings!$C$7))*100)</f>
        <v/>
      </c>
      <c r="V4808" s="7">
        <f>IF($C4808="","",R4808*U4808/100)</f>
        <v/>
      </c>
      <c r="W4808" s="7">
        <f>IF($C4808="","",R4808-V4808)</f>
        <v/>
      </c>
      <c r="X4808" s="7">
        <f>IF($C4808="","",W4808-K4808)</f>
        <v/>
      </c>
      <c r="AB4808" s="7" t="n"/>
      <c r="AE4808" s="11" t="n"/>
      <c r="AG4808">
        <f>IF($C4808="","",IF(COUNTIF($C$2:$C4808,$C4808)=1,1,0))</f>
        <v/>
      </c>
      <c r="AH4808">
        <f>IF($AG4808=1,SUMPRODUCT(--($AK$2:$AK$6001&lt;$AK4808))+1,"")</f>
        <v/>
      </c>
      <c r="AI4808">
        <f>IF($C4808="","",IF(OR($N4808=TRUE(),$N4808="TRUE"),1,0))</f>
        <v/>
      </c>
      <c r="AJ4808">
        <f>IF($C4808="","",IF($T4808="Yes",1,0))</f>
        <v/>
      </c>
      <c r="AK4808">
        <f>IF($AG4808=1,IFERROR(IF(VALUE($C4808)&lt;100000000,VALUE($C4808),1000000000),IFERROR(IF(VALUE(MID($C4808,2,20))&lt;100000000,VALUE(MID($C4808,2,20)),1000000000),1000000000))+ROW()/100000,"")</f>
        <v/>
      </c>
    </row>
    <row r="4809">
      <c r="D4809" s="11" t="n"/>
      <c r="K4809" s="7">
        <f>IF($C4809="","",J4809*W4809/100)</f>
        <v/>
      </c>
      <c r="Q4809" s="7" t="n"/>
      <c r="R4809" s="7" t="n"/>
      <c r="U4809">
        <f>IF($C4809="","",IF($AJ4809=1,0,IF($AI4809=1,Settings!$C$6,Settings!$C$7))*100)</f>
        <v/>
      </c>
      <c r="V4809" s="7">
        <f>IF($C4809="","",R4809*U4809/100)</f>
        <v/>
      </c>
      <c r="W4809" s="7">
        <f>IF($C4809="","",R4809-V4809)</f>
        <v/>
      </c>
      <c r="X4809" s="7">
        <f>IF($C4809="","",W4809-K4809)</f>
        <v/>
      </c>
      <c r="AB4809" s="7" t="n"/>
      <c r="AE4809" s="11" t="n"/>
      <c r="AG4809">
        <f>IF($C4809="","",IF(COUNTIF($C$2:$C4809,$C4809)=1,1,0))</f>
        <v/>
      </c>
      <c r="AH4809">
        <f>IF($AG4809=1,SUMPRODUCT(--($AK$2:$AK$6001&lt;$AK4809))+1,"")</f>
        <v/>
      </c>
      <c r="AI4809">
        <f>IF($C4809="","",IF(OR($N4809=TRUE(),$N4809="TRUE"),1,0))</f>
        <v/>
      </c>
      <c r="AJ4809">
        <f>IF($C4809="","",IF($T4809="Yes",1,0))</f>
        <v/>
      </c>
      <c r="AK4809">
        <f>IF($AG4809=1,IFERROR(IF(VALUE($C4809)&lt;100000000,VALUE($C4809),1000000000),IFERROR(IF(VALUE(MID($C4809,2,20))&lt;100000000,VALUE(MID($C4809,2,20)),1000000000),1000000000))+ROW()/100000,"")</f>
        <v/>
      </c>
    </row>
    <row r="4810">
      <c r="D4810" s="11" t="n"/>
      <c r="K4810" s="7">
        <f>IF($C4810="","",J4810*W4810/100)</f>
        <v/>
      </c>
      <c r="Q4810" s="7" t="n"/>
      <c r="R4810" s="7" t="n"/>
      <c r="U4810">
        <f>IF($C4810="","",IF($AJ4810=1,0,IF($AI4810=1,Settings!$C$6,Settings!$C$7))*100)</f>
        <v/>
      </c>
      <c r="V4810" s="7">
        <f>IF($C4810="","",R4810*U4810/100)</f>
        <v/>
      </c>
      <c r="W4810" s="7">
        <f>IF($C4810="","",R4810-V4810)</f>
        <v/>
      </c>
      <c r="X4810" s="7">
        <f>IF($C4810="","",W4810-K4810)</f>
        <v/>
      </c>
      <c r="AB4810" s="7" t="n"/>
      <c r="AE4810" s="11" t="n"/>
      <c r="AG4810">
        <f>IF($C4810="","",IF(COUNTIF($C$2:$C4810,$C4810)=1,1,0))</f>
        <v/>
      </c>
      <c r="AH4810">
        <f>IF($AG4810=1,SUMPRODUCT(--($AK$2:$AK$6001&lt;$AK4810))+1,"")</f>
        <v/>
      </c>
      <c r="AI4810">
        <f>IF($C4810="","",IF(OR($N4810=TRUE(),$N4810="TRUE"),1,0))</f>
        <v/>
      </c>
      <c r="AJ4810">
        <f>IF($C4810="","",IF($T4810="Yes",1,0))</f>
        <v/>
      </c>
      <c r="AK4810">
        <f>IF($AG4810=1,IFERROR(IF(VALUE($C4810)&lt;100000000,VALUE($C4810),1000000000),IFERROR(IF(VALUE(MID($C4810,2,20))&lt;100000000,VALUE(MID($C4810,2,20)),1000000000),1000000000))+ROW()/100000,"")</f>
        <v/>
      </c>
    </row>
    <row r="4811">
      <c r="D4811" s="11" t="n"/>
      <c r="K4811" s="7">
        <f>IF($C4811="","",J4811*W4811/100)</f>
        <v/>
      </c>
      <c r="Q4811" s="7" t="n"/>
      <c r="R4811" s="7" t="n"/>
      <c r="U4811">
        <f>IF($C4811="","",IF($AJ4811=1,0,IF($AI4811=1,Settings!$C$6,Settings!$C$7))*100)</f>
        <v/>
      </c>
      <c r="V4811" s="7">
        <f>IF($C4811="","",R4811*U4811/100)</f>
        <v/>
      </c>
      <c r="W4811" s="7">
        <f>IF($C4811="","",R4811-V4811)</f>
        <v/>
      </c>
      <c r="X4811" s="7">
        <f>IF($C4811="","",W4811-K4811)</f>
        <v/>
      </c>
      <c r="AB4811" s="7" t="n"/>
      <c r="AE4811" s="11" t="n"/>
      <c r="AG4811">
        <f>IF($C4811="","",IF(COUNTIF($C$2:$C4811,$C4811)=1,1,0))</f>
        <v/>
      </c>
      <c r="AH4811">
        <f>IF($AG4811=1,SUMPRODUCT(--($AK$2:$AK$6001&lt;$AK4811))+1,"")</f>
        <v/>
      </c>
      <c r="AI4811">
        <f>IF($C4811="","",IF(OR($N4811=TRUE(),$N4811="TRUE"),1,0))</f>
        <v/>
      </c>
      <c r="AJ4811">
        <f>IF($C4811="","",IF($T4811="Yes",1,0))</f>
        <v/>
      </c>
      <c r="AK4811">
        <f>IF($AG4811=1,IFERROR(IF(VALUE($C4811)&lt;100000000,VALUE($C4811),1000000000),IFERROR(IF(VALUE(MID($C4811,2,20))&lt;100000000,VALUE(MID($C4811,2,20)),1000000000),1000000000))+ROW()/100000,"")</f>
        <v/>
      </c>
    </row>
    <row r="4812">
      <c r="D4812" s="11" t="n"/>
      <c r="K4812" s="7">
        <f>IF($C4812="","",J4812*W4812/100)</f>
        <v/>
      </c>
      <c r="Q4812" s="7" t="n"/>
      <c r="R4812" s="7" t="n"/>
      <c r="U4812">
        <f>IF($C4812="","",IF($AJ4812=1,0,IF($AI4812=1,Settings!$C$6,Settings!$C$7))*100)</f>
        <v/>
      </c>
      <c r="V4812" s="7">
        <f>IF($C4812="","",R4812*U4812/100)</f>
        <v/>
      </c>
      <c r="W4812" s="7">
        <f>IF($C4812="","",R4812-V4812)</f>
        <v/>
      </c>
      <c r="X4812" s="7">
        <f>IF($C4812="","",W4812-K4812)</f>
        <v/>
      </c>
      <c r="AB4812" s="7" t="n"/>
      <c r="AE4812" s="11" t="n"/>
      <c r="AG4812">
        <f>IF($C4812="","",IF(COUNTIF($C$2:$C4812,$C4812)=1,1,0))</f>
        <v/>
      </c>
      <c r="AH4812">
        <f>IF($AG4812=1,SUMPRODUCT(--($AK$2:$AK$6001&lt;$AK4812))+1,"")</f>
        <v/>
      </c>
      <c r="AI4812">
        <f>IF($C4812="","",IF(OR($N4812=TRUE(),$N4812="TRUE"),1,0))</f>
        <v/>
      </c>
      <c r="AJ4812">
        <f>IF($C4812="","",IF($T4812="Yes",1,0))</f>
        <v/>
      </c>
      <c r="AK4812">
        <f>IF($AG4812=1,IFERROR(IF(VALUE($C4812)&lt;100000000,VALUE($C4812),1000000000),IFERROR(IF(VALUE(MID($C4812,2,20))&lt;100000000,VALUE(MID($C4812,2,20)),1000000000),1000000000))+ROW()/100000,"")</f>
        <v/>
      </c>
    </row>
    <row r="4813">
      <c r="D4813" s="11" t="n"/>
      <c r="K4813" s="7">
        <f>IF($C4813="","",J4813*W4813/100)</f>
        <v/>
      </c>
      <c r="Q4813" s="7" t="n"/>
      <c r="R4813" s="7" t="n"/>
      <c r="U4813">
        <f>IF($C4813="","",IF($AJ4813=1,0,IF($AI4813=1,Settings!$C$6,Settings!$C$7))*100)</f>
        <v/>
      </c>
      <c r="V4813" s="7">
        <f>IF($C4813="","",R4813*U4813/100)</f>
        <v/>
      </c>
      <c r="W4813" s="7">
        <f>IF($C4813="","",R4813-V4813)</f>
        <v/>
      </c>
      <c r="X4813" s="7">
        <f>IF($C4813="","",W4813-K4813)</f>
        <v/>
      </c>
      <c r="AB4813" s="7" t="n"/>
      <c r="AE4813" s="11" t="n"/>
      <c r="AG4813">
        <f>IF($C4813="","",IF(COUNTIF($C$2:$C4813,$C4813)=1,1,0))</f>
        <v/>
      </c>
      <c r="AH4813">
        <f>IF($AG4813=1,SUMPRODUCT(--($AK$2:$AK$6001&lt;$AK4813))+1,"")</f>
        <v/>
      </c>
      <c r="AI4813">
        <f>IF($C4813="","",IF(OR($N4813=TRUE(),$N4813="TRUE"),1,0))</f>
        <v/>
      </c>
      <c r="AJ4813">
        <f>IF($C4813="","",IF($T4813="Yes",1,0))</f>
        <v/>
      </c>
      <c r="AK4813">
        <f>IF($AG4813=1,IFERROR(IF(VALUE($C4813)&lt;100000000,VALUE($C4813),1000000000),IFERROR(IF(VALUE(MID($C4813,2,20))&lt;100000000,VALUE(MID($C4813,2,20)),1000000000),1000000000))+ROW()/100000,"")</f>
        <v/>
      </c>
    </row>
    <row r="4814">
      <c r="D4814" s="11" t="n"/>
      <c r="K4814" s="7">
        <f>IF($C4814="","",J4814*W4814/100)</f>
        <v/>
      </c>
      <c r="Q4814" s="7" t="n"/>
      <c r="R4814" s="7" t="n"/>
      <c r="U4814">
        <f>IF($C4814="","",IF($AJ4814=1,0,IF($AI4814=1,Settings!$C$6,Settings!$C$7))*100)</f>
        <v/>
      </c>
      <c r="V4814" s="7">
        <f>IF($C4814="","",R4814*U4814/100)</f>
        <v/>
      </c>
      <c r="W4814" s="7">
        <f>IF($C4814="","",R4814-V4814)</f>
        <v/>
      </c>
      <c r="X4814" s="7">
        <f>IF($C4814="","",W4814-K4814)</f>
        <v/>
      </c>
      <c r="AB4814" s="7" t="n"/>
      <c r="AE4814" s="11" t="n"/>
      <c r="AG4814">
        <f>IF($C4814="","",IF(COUNTIF($C$2:$C4814,$C4814)=1,1,0))</f>
        <v/>
      </c>
      <c r="AH4814">
        <f>IF($AG4814=1,SUMPRODUCT(--($AK$2:$AK$6001&lt;$AK4814))+1,"")</f>
        <v/>
      </c>
      <c r="AI4814">
        <f>IF($C4814="","",IF(OR($N4814=TRUE(),$N4814="TRUE"),1,0))</f>
        <v/>
      </c>
      <c r="AJ4814">
        <f>IF($C4814="","",IF($T4814="Yes",1,0))</f>
        <v/>
      </c>
      <c r="AK4814">
        <f>IF($AG4814=1,IFERROR(IF(VALUE($C4814)&lt;100000000,VALUE($C4814),1000000000),IFERROR(IF(VALUE(MID($C4814,2,20))&lt;100000000,VALUE(MID($C4814,2,20)),1000000000),1000000000))+ROW()/100000,"")</f>
        <v/>
      </c>
    </row>
    <row r="4815">
      <c r="D4815" s="11" t="n"/>
      <c r="K4815" s="7">
        <f>IF($C4815="","",J4815*W4815/100)</f>
        <v/>
      </c>
      <c r="Q4815" s="7" t="n"/>
      <c r="R4815" s="7" t="n"/>
      <c r="U4815">
        <f>IF($C4815="","",IF($AJ4815=1,0,IF($AI4815=1,Settings!$C$6,Settings!$C$7))*100)</f>
        <v/>
      </c>
      <c r="V4815" s="7">
        <f>IF($C4815="","",R4815*U4815/100)</f>
        <v/>
      </c>
      <c r="W4815" s="7">
        <f>IF($C4815="","",R4815-V4815)</f>
        <v/>
      </c>
      <c r="X4815" s="7">
        <f>IF($C4815="","",W4815-K4815)</f>
        <v/>
      </c>
      <c r="AB4815" s="7" t="n"/>
      <c r="AE4815" s="11" t="n"/>
      <c r="AG4815">
        <f>IF($C4815="","",IF(COUNTIF($C$2:$C4815,$C4815)=1,1,0))</f>
        <v/>
      </c>
      <c r="AH4815">
        <f>IF($AG4815=1,SUMPRODUCT(--($AK$2:$AK$6001&lt;$AK4815))+1,"")</f>
        <v/>
      </c>
      <c r="AI4815">
        <f>IF($C4815="","",IF(OR($N4815=TRUE(),$N4815="TRUE"),1,0))</f>
        <v/>
      </c>
      <c r="AJ4815">
        <f>IF($C4815="","",IF($T4815="Yes",1,0))</f>
        <v/>
      </c>
      <c r="AK4815">
        <f>IF($AG4815=1,IFERROR(IF(VALUE($C4815)&lt;100000000,VALUE($C4815),1000000000),IFERROR(IF(VALUE(MID($C4815,2,20))&lt;100000000,VALUE(MID($C4815,2,20)),1000000000),1000000000))+ROW()/100000,"")</f>
        <v/>
      </c>
    </row>
    <row r="4816">
      <c r="D4816" s="11" t="n"/>
      <c r="K4816" s="7">
        <f>IF($C4816="","",J4816*W4816/100)</f>
        <v/>
      </c>
      <c r="Q4816" s="7" t="n"/>
      <c r="R4816" s="7" t="n"/>
      <c r="U4816">
        <f>IF($C4816="","",IF($AJ4816=1,0,IF($AI4816=1,Settings!$C$6,Settings!$C$7))*100)</f>
        <v/>
      </c>
      <c r="V4816" s="7">
        <f>IF($C4816="","",R4816*U4816/100)</f>
        <v/>
      </c>
      <c r="W4816" s="7">
        <f>IF($C4816="","",R4816-V4816)</f>
        <v/>
      </c>
      <c r="X4816" s="7">
        <f>IF($C4816="","",W4816-K4816)</f>
        <v/>
      </c>
      <c r="AB4816" s="7" t="n"/>
      <c r="AE4816" s="11" t="n"/>
      <c r="AG4816">
        <f>IF($C4816="","",IF(COUNTIF($C$2:$C4816,$C4816)=1,1,0))</f>
        <v/>
      </c>
      <c r="AH4816">
        <f>IF($AG4816=1,SUMPRODUCT(--($AK$2:$AK$6001&lt;$AK4816))+1,"")</f>
        <v/>
      </c>
      <c r="AI4816">
        <f>IF($C4816="","",IF(OR($N4816=TRUE(),$N4816="TRUE"),1,0))</f>
        <v/>
      </c>
      <c r="AJ4816">
        <f>IF($C4816="","",IF($T4816="Yes",1,0))</f>
        <v/>
      </c>
      <c r="AK4816">
        <f>IF($AG4816=1,IFERROR(IF(VALUE($C4816)&lt;100000000,VALUE($C4816),1000000000),IFERROR(IF(VALUE(MID($C4816,2,20))&lt;100000000,VALUE(MID($C4816,2,20)),1000000000),1000000000))+ROW()/100000,"")</f>
        <v/>
      </c>
    </row>
    <row r="4817">
      <c r="D4817" s="11" t="n"/>
      <c r="K4817" s="7">
        <f>IF($C4817="","",J4817*W4817/100)</f>
        <v/>
      </c>
      <c r="Q4817" s="7" t="n"/>
      <c r="R4817" s="7" t="n"/>
      <c r="U4817">
        <f>IF($C4817="","",IF($AJ4817=1,0,IF($AI4817=1,Settings!$C$6,Settings!$C$7))*100)</f>
        <v/>
      </c>
      <c r="V4817" s="7">
        <f>IF($C4817="","",R4817*U4817/100)</f>
        <v/>
      </c>
      <c r="W4817" s="7">
        <f>IF($C4817="","",R4817-V4817)</f>
        <v/>
      </c>
      <c r="X4817" s="7">
        <f>IF($C4817="","",W4817-K4817)</f>
        <v/>
      </c>
      <c r="AB4817" s="7" t="n"/>
      <c r="AE4817" s="11" t="n"/>
      <c r="AG4817">
        <f>IF($C4817="","",IF(COUNTIF($C$2:$C4817,$C4817)=1,1,0))</f>
        <v/>
      </c>
      <c r="AH4817">
        <f>IF($AG4817=1,SUMPRODUCT(--($AK$2:$AK$6001&lt;$AK4817))+1,"")</f>
        <v/>
      </c>
      <c r="AI4817">
        <f>IF($C4817="","",IF(OR($N4817=TRUE(),$N4817="TRUE"),1,0))</f>
        <v/>
      </c>
      <c r="AJ4817">
        <f>IF($C4817="","",IF($T4817="Yes",1,0))</f>
        <v/>
      </c>
      <c r="AK4817">
        <f>IF($AG4817=1,IFERROR(IF(VALUE($C4817)&lt;100000000,VALUE($C4817),1000000000),IFERROR(IF(VALUE(MID($C4817,2,20))&lt;100000000,VALUE(MID($C4817,2,20)),1000000000),1000000000))+ROW()/100000,"")</f>
        <v/>
      </c>
    </row>
    <row r="4818">
      <c r="D4818" s="11" t="n"/>
      <c r="K4818" s="7">
        <f>IF($C4818="","",J4818*W4818/100)</f>
        <v/>
      </c>
      <c r="Q4818" s="7" t="n"/>
      <c r="R4818" s="7" t="n"/>
      <c r="U4818">
        <f>IF($C4818="","",IF($AJ4818=1,0,IF($AI4818=1,Settings!$C$6,Settings!$C$7))*100)</f>
        <v/>
      </c>
      <c r="V4818" s="7">
        <f>IF($C4818="","",R4818*U4818/100)</f>
        <v/>
      </c>
      <c r="W4818" s="7">
        <f>IF($C4818="","",R4818-V4818)</f>
        <v/>
      </c>
      <c r="X4818" s="7">
        <f>IF($C4818="","",W4818-K4818)</f>
        <v/>
      </c>
      <c r="AB4818" s="7" t="n"/>
      <c r="AE4818" s="11" t="n"/>
      <c r="AG4818">
        <f>IF($C4818="","",IF(COUNTIF($C$2:$C4818,$C4818)=1,1,0))</f>
        <v/>
      </c>
      <c r="AH4818">
        <f>IF($AG4818=1,SUMPRODUCT(--($AK$2:$AK$6001&lt;$AK4818))+1,"")</f>
        <v/>
      </c>
      <c r="AI4818">
        <f>IF($C4818="","",IF(OR($N4818=TRUE(),$N4818="TRUE"),1,0))</f>
        <v/>
      </c>
      <c r="AJ4818">
        <f>IF($C4818="","",IF($T4818="Yes",1,0))</f>
        <v/>
      </c>
      <c r="AK4818">
        <f>IF($AG4818=1,IFERROR(IF(VALUE($C4818)&lt;100000000,VALUE($C4818),1000000000),IFERROR(IF(VALUE(MID($C4818,2,20))&lt;100000000,VALUE(MID($C4818,2,20)),1000000000),1000000000))+ROW()/100000,"")</f>
        <v/>
      </c>
    </row>
    <row r="4819">
      <c r="D4819" s="11" t="n"/>
      <c r="K4819" s="7">
        <f>IF($C4819="","",J4819*W4819/100)</f>
        <v/>
      </c>
      <c r="Q4819" s="7" t="n"/>
      <c r="R4819" s="7" t="n"/>
      <c r="U4819">
        <f>IF($C4819="","",IF($AJ4819=1,0,IF($AI4819=1,Settings!$C$6,Settings!$C$7))*100)</f>
        <v/>
      </c>
      <c r="V4819" s="7">
        <f>IF($C4819="","",R4819*U4819/100)</f>
        <v/>
      </c>
      <c r="W4819" s="7">
        <f>IF($C4819="","",R4819-V4819)</f>
        <v/>
      </c>
      <c r="X4819" s="7">
        <f>IF($C4819="","",W4819-K4819)</f>
        <v/>
      </c>
      <c r="AB4819" s="7" t="n"/>
      <c r="AE4819" s="11" t="n"/>
      <c r="AG4819">
        <f>IF($C4819="","",IF(COUNTIF($C$2:$C4819,$C4819)=1,1,0))</f>
        <v/>
      </c>
      <c r="AH4819">
        <f>IF($AG4819=1,SUMPRODUCT(--($AK$2:$AK$6001&lt;$AK4819))+1,"")</f>
        <v/>
      </c>
      <c r="AI4819">
        <f>IF($C4819="","",IF(OR($N4819=TRUE(),$N4819="TRUE"),1,0))</f>
        <v/>
      </c>
      <c r="AJ4819">
        <f>IF($C4819="","",IF($T4819="Yes",1,0))</f>
        <v/>
      </c>
      <c r="AK4819">
        <f>IF($AG4819=1,IFERROR(IF(VALUE($C4819)&lt;100000000,VALUE($C4819),1000000000),IFERROR(IF(VALUE(MID($C4819,2,20))&lt;100000000,VALUE(MID($C4819,2,20)),1000000000),1000000000))+ROW()/100000,"")</f>
        <v/>
      </c>
    </row>
    <row r="4820">
      <c r="D4820" s="11" t="n"/>
      <c r="K4820" s="7">
        <f>IF($C4820="","",J4820*W4820/100)</f>
        <v/>
      </c>
      <c r="Q4820" s="7" t="n"/>
      <c r="R4820" s="7" t="n"/>
      <c r="U4820">
        <f>IF($C4820="","",IF($AJ4820=1,0,IF($AI4820=1,Settings!$C$6,Settings!$C$7))*100)</f>
        <v/>
      </c>
      <c r="V4820" s="7">
        <f>IF($C4820="","",R4820*U4820/100)</f>
        <v/>
      </c>
      <c r="W4820" s="7">
        <f>IF($C4820="","",R4820-V4820)</f>
        <v/>
      </c>
      <c r="X4820" s="7">
        <f>IF($C4820="","",W4820-K4820)</f>
        <v/>
      </c>
      <c r="AB4820" s="7" t="n"/>
      <c r="AE4820" s="11" t="n"/>
      <c r="AG4820">
        <f>IF($C4820="","",IF(COUNTIF($C$2:$C4820,$C4820)=1,1,0))</f>
        <v/>
      </c>
      <c r="AH4820">
        <f>IF($AG4820=1,SUMPRODUCT(--($AK$2:$AK$6001&lt;$AK4820))+1,"")</f>
        <v/>
      </c>
      <c r="AI4820">
        <f>IF($C4820="","",IF(OR($N4820=TRUE(),$N4820="TRUE"),1,0))</f>
        <v/>
      </c>
      <c r="AJ4820">
        <f>IF($C4820="","",IF($T4820="Yes",1,0))</f>
        <v/>
      </c>
      <c r="AK4820">
        <f>IF($AG4820=1,IFERROR(IF(VALUE($C4820)&lt;100000000,VALUE($C4820),1000000000),IFERROR(IF(VALUE(MID($C4820,2,20))&lt;100000000,VALUE(MID($C4820,2,20)),1000000000),1000000000))+ROW()/100000,"")</f>
        <v/>
      </c>
    </row>
    <row r="4821">
      <c r="D4821" s="11" t="n"/>
      <c r="K4821" s="7">
        <f>IF($C4821="","",J4821*W4821/100)</f>
        <v/>
      </c>
      <c r="Q4821" s="7" t="n"/>
      <c r="R4821" s="7" t="n"/>
      <c r="U4821">
        <f>IF($C4821="","",IF($AJ4821=1,0,IF($AI4821=1,Settings!$C$6,Settings!$C$7))*100)</f>
        <v/>
      </c>
      <c r="V4821" s="7">
        <f>IF($C4821="","",R4821*U4821/100)</f>
        <v/>
      </c>
      <c r="W4821" s="7">
        <f>IF($C4821="","",R4821-V4821)</f>
        <v/>
      </c>
      <c r="X4821" s="7">
        <f>IF($C4821="","",W4821-K4821)</f>
        <v/>
      </c>
      <c r="AB4821" s="7" t="n"/>
      <c r="AE4821" s="11" t="n"/>
      <c r="AG4821">
        <f>IF($C4821="","",IF(COUNTIF($C$2:$C4821,$C4821)=1,1,0))</f>
        <v/>
      </c>
      <c r="AH4821">
        <f>IF($AG4821=1,SUMPRODUCT(--($AK$2:$AK$6001&lt;$AK4821))+1,"")</f>
        <v/>
      </c>
      <c r="AI4821">
        <f>IF($C4821="","",IF(OR($N4821=TRUE(),$N4821="TRUE"),1,0))</f>
        <v/>
      </c>
      <c r="AJ4821">
        <f>IF($C4821="","",IF($T4821="Yes",1,0))</f>
        <v/>
      </c>
      <c r="AK4821">
        <f>IF($AG4821=1,IFERROR(IF(VALUE($C4821)&lt;100000000,VALUE($C4821),1000000000),IFERROR(IF(VALUE(MID($C4821,2,20))&lt;100000000,VALUE(MID($C4821,2,20)),1000000000),1000000000))+ROW()/100000,"")</f>
        <v/>
      </c>
    </row>
    <row r="4822">
      <c r="D4822" s="11" t="n"/>
      <c r="K4822" s="7">
        <f>IF($C4822="","",J4822*W4822/100)</f>
        <v/>
      </c>
      <c r="Q4822" s="7" t="n"/>
      <c r="R4822" s="7" t="n"/>
      <c r="U4822">
        <f>IF($C4822="","",IF($AJ4822=1,0,IF($AI4822=1,Settings!$C$6,Settings!$C$7))*100)</f>
        <v/>
      </c>
      <c r="V4822" s="7">
        <f>IF($C4822="","",R4822*U4822/100)</f>
        <v/>
      </c>
      <c r="W4822" s="7">
        <f>IF($C4822="","",R4822-V4822)</f>
        <v/>
      </c>
      <c r="X4822" s="7">
        <f>IF($C4822="","",W4822-K4822)</f>
        <v/>
      </c>
      <c r="AB4822" s="7" t="n"/>
      <c r="AE4822" s="11" t="n"/>
      <c r="AG4822">
        <f>IF($C4822="","",IF(COUNTIF($C$2:$C4822,$C4822)=1,1,0))</f>
        <v/>
      </c>
      <c r="AH4822">
        <f>IF($AG4822=1,SUMPRODUCT(--($AK$2:$AK$6001&lt;$AK4822))+1,"")</f>
        <v/>
      </c>
      <c r="AI4822">
        <f>IF($C4822="","",IF(OR($N4822=TRUE(),$N4822="TRUE"),1,0))</f>
        <v/>
      </c>
      <c r="AJ4822">
        <f>IF($C4822="","",IF($T4822="Yes",1,0))</f>
        <v/>
      </c>
      <c r="AK4822">
        <f>IF($AG4822=1,IFERROR(IF(VALUE($C4822)&lt;100000000,VALUE($C4822),1000000000),IFERROR(IF(VALUE(MID($C4822,2,20))&lt;100000000,VALUE(MID($C4822,2,20)),1000000000),1000000000))+ROW()/100000,"")</f>
        <v/>
      </c>
    </row>
    <row r="4823">
      <c r="D4823" s="11" t="n"/>
      <c r="K4823" s="7">
        <f>IF($C4823="","",J4823*W4823/100)</f>
        <v/>
      </c>
      <c r="Q4823" s="7" t="n"/>
      <c r="R4823" s="7" t="n"/>
      <c r="U4823">
        <f>IF($C4823="","",IF($AJ4823=1,0,IF($AI4823=1,Settings!$C$6,Settings!$C$7))*100)</f>
        <v/>
      </c>
      <c r="V4823" s="7">
        <f>IF($C4823="","",R4823*U4823/100)</f>
        <v/>
      </c>
      <c r="W4823" s="7">
        <f>IF($C4823="","",R4823-V4823)</f>
        <v/>
      </c>
      <c r="X4823" s="7">
        <f>IF($C4823="","",W4823-K4823)</f>
        <v/>
      </c>
      <c r="AB4823" s="7" t="n"/>
      <c r="AE4823" s="11" t="n"/>
      <c r="AG4823">
        <f>IF($C4823="","",IF(COUNTIF($C$2:$C4823,$C4823)=1,1,0))</f>
        <v/>
      </c>
      <c r="AH4823">
        <f>IF($AG4823=1,SUMPRODUCT(--($AK$2:$AK$6001&lt;$AK4823))+1,"")</f>
        <v/>
      </c>
      <c r="AI4823">
        <f>IF($C4823="","",IF(OR($N4823=TRUE(),$N4823="TRUE"),1,0))</f>
        <v/>
      </c>
      <c r="AJ4823">
        <f>IF($C4823="","",IF($T4823="Yes",1,0))</f>
        <v/>
      </c>
      <c r="AK4823">
        <f>IF($AG4823=1,IFERROR(IF(VALUE($C4823)&lt;100000000,VALUE($C4823),1000000000),IFERROR(IF(VALUE(MID($C4823,2,20))&lt;100000000,VALUE(MID($C4823,2,20)),1000000000),1000000000))+ROW()/100000,"")</f>
        <v/>
      </c>
    </row>
    <row r="4824">
      <c r="D4824" s="11" t="n"/>
      <c r="K4824" s="7">
        <f>IF($C4824="","",J4824*W4824/100)</f>
        <v/>
      </c>
      <c r="Q4824" s="7" t="n"/>
      <c r="R4824" s="7" t="n"/>
      <c r="U4824">
        <f>IF($C4824="","",IF($AJ4824=1,0,IF($AI4824=1,Settings!$C$6,Settings!$C$7))*100)</f>
        <v/>
      </c>
      <c r="V4824" s="7">
        <f>IF($C4824="","",R4824*U4824/100)</f>
        <v/>
      </c>
      <c r="W4824" s="7">
        <f>IF($C4824="","",R4824-V4824)</f>
        <v/>
      </c>
      <c r="X4824" s="7">
        <f>IF($C4824="","",W4824-K4824)</f>
        <v/>
      </c>
      <c r="AB4824" s="7" t="n"/>
      <c r="AE4824" s="11" t="n"/>
      <c r="AG4824">
        <f>IF($C4824="","",IF(COUNTIF($C$2:$C4824,$C4824)=1,1,0))</f>
        <v/>
      </c>
      <c r="AH4824">
        <f>IF($AG4824=1,SUMPRODUCT(--($AK$2:$AK$6001&lt;$AK4824))+1,"")</f>
        <v/>
      </c>
      <c r="AI4824">
        <f>IF($C4824="","",IF(OR($N4824=TRUE(),$N4824="TRUE"),1,0))</f>
        <v/>
      </c>
      <c r="AJ4824">
        <f>IF($C4824="","",IF($T4824="Yes",1,0))</f>
        <v/>
      </c>
      <c r="AK4824">
        <f>IF($AG4824=1,IFERROR(IF(VALUE($C4824)&lt;100000000,VALUE($C4824),1000000000),IFERROR(IF(VALUE(MID($C4824,2,20))&lt;100000000,VALUE(MID($C4824,2,20)),1000000000),1000000000))+ROW()/100000,"")</f>
        <v/>
      </c>
    </row>
    <row r="4825">
      <c r="D4825" s="11" t="n"/>
      <c r="K4825" s="7">
        <f>IF($C4825="","",J4825*W4825/100)</f>
        <v/>
      </c>
      <c r="Q4825" s="7" t="n"/>
      <c r="R4825" s="7" t="n"/>
      <c r="U4825">
        <f>IF($C4825="","",IF($AJ4825=1,0,IF($AI4825=1,Settings!$C$6,Settings!$C$7))*100)</f>
        <v/>
      </c>
      <c r="V4825" s="7">
        <f>IF($C4825="","",R4825*U4825/100)</f>
        <v/>
      </c>
      <c r="W4825" s="7">
        <f>IF($C4825="","",R4825-V4825)</f>
        <v/>
      </c>
      <c r="X4825" s="7">
        <f>IF($C4825="","",W4825-K4825)</f>
        <v/>
      </c>
      <c r="AB4825" s="7" t="n"/>
      <c r="AE4825" s="11" t="n"/>
      <c r="AG4825">
        <f>IF($C4825="","",IF(COUNTIF($C$2:$C4825,$C4825)=1,1,0))</f>
        <v/>
      </c>
      <c r="AH4825">
        <f>IF($AG4825=1,SUMPRODUCT(--($AK$2:$AK$6001&lt;$AK4825))+1,"")</f>
        <v/>
      </c>
      <c r="AI4825">
        <f>IF($C4825="","",IF(OR($N4825=TRUE(),$N4825="TRUE"),1,0))</f>
        <v/>
      </c>
      <c r="AJ4825">
        <f>IF($C4825="","",IF($T4825="Yes",1,0))</f>
        <v/>
      </c>
      <c r="AK4825">
        <f>IF($AG4825=1,IFERROR(IF(VALUE($C4825)&lt;100000000,VALUE($C4825),1000000000),IFERROR(IF(VALUE(MID($C4825,2,20))&lt;100000000,VALUE(MID($C4825,2,20)),1000000000),1000000000))+ROW()/100000,"")</f>
        <v/>
      </c>
    </row>
    <row r="4826">
      <c r="D4826" s="11" t="n"/>
      <c r="K4826" s="7">
        <f>IF($C4826="","",J4826*W4826/100)</f>
        <v/>
      </c>
      <c r="Q4826" s="7" t="n"/>
      <c r="R4826" s="7" t="n"/>
      <c r="U4826">
        <f>IF($C4826="","",IF($AJ4826=1,0,IF($AI4826=1,Settings!$C$6,Settings!$C$7))*100)</f>
        <v/>
      </c>
      <c r="V4826" s="7">
        <f>IF($C4826="","",R4826*U4826/100)</f>
        <v/>
      </c>
      <c r="W4826" s="7">
        <f>IF($C4826="","",R4826-V4826)</f>
        <v/>
      </c>
      <c r="X4826" s="7">
        <f>IF($C4826="","",W4826-K4826)</f>
        <v/>
      </c>
      <c r="AB4826" s="7" t="n"/>
      <c r="AE4826" s="11" t="n"/>
      <c r="AG4826">
        <f>IF($C4826="","",IF(COUNTIF($C$2:$C4826,$C4826)=1,1,0))</f>
        <v/>
      </c>
      <c r="AH4826">
        <f>IF($AG4826=1,SUMPRODUCT(--($AK$2:$AK$6001&lt;$AK4826))+1,"")</f>
        <v/>
      </c>
      <c r="AI4826">
        <f>IF($C4826="","",IF(OR($N4826=TRUE(),$N4826="TRUE"),1,0))</f>
        <v/>
      </c>
      <c r="AJ4826">
        <f>IF($C4826="","",IF($T4826="Yes",1,0))</f>
        <v/>
      </c>
      <c r="AK4826">
        <f>IF($AG4826=1,IFERROR(IF(VALUE($C4826)&lt;100000000,VALUE($C4826),1000000000),IFERROR(IF(VALUE(MID($C4826,2,20))&lt;100000000,VALUE(MID($C4826,2,20)),1000000000),1000000000))+ROW()/100000,"")</f>
        <v/>
      </c>
    </row>
    <row r="4827">
      <c r="D4827" s="11" t="n"/>
      <c r="K4827" s="7">
        <f>IF($C4827="","",J4827*W4827/100)</f>
        <v/>
      </c>
      <c r="Q4827" s="7" t="n"/>
      <c r="R4827" s="7" t="n"/>
      <c r="U4827">
        <f>IF($C4827="","",IF($AJ4827=1,0,IF($AI4827=1,Settings!$C$6,Settings!$C$7))*100)</f>
        <v/>
      </c>
      <c r="V4827" s="7">
        <f>IF($C4827="","",R4827*U4827/100)</f>
        <v/>
      </c>
      <c r="W4827" s="7">
        <f>IF($C4827="","",R4827-V4827)</f>
        <v/>
      </c>
      <c r="X4827" s="7">
        <f>IF($C4827="","",W4827-K4827)</f>
        <v/>
      </c>
      <c r="AB4827" s="7" t="n"/>
      <c r="AE4827" s="11" t="n"/>
      <c r="AG4827">
        <f>IF($C4827="","",IF(COUNTIF($C$2:$C4827,$C4827)=1,1,0))</f>
        <v/>
      </c>
      <c r="AH4827">
        <f>IF($AG4827=1,SUMPRODUCT(--($AK$2:$AK$6001&lt;$AK4827))+1,"")</f>
        <v/>
      </c>
      <c r="AI4827">
        <f>IF($C4827="","",IF(OR($N4827=TRUE(),$N4827="TRUE"),1,0))</f>
        <v/>
      </c>
      <c r="AJ4827">
        <f>IF($C4827="","",IF($T4827="Yes",1,0))</f>
        <v/>
      </c>
      <c r="AK4827">
        <f>IF($AG4827=1,IFERROR(IF(VALUE($C4827)&lt;100000000,VALUE($C4827),1000000000),IFERROR(IF(VALUE(MID($C4827,2,20))&lt;100000000,VALUE(MID($C4827,2,20)),1000000000),1000000000))+ROW()/100000,"")</f>
        <v/>
      </c>
    </row>
    <row r="4828">
      <c r="D4828" s="11" t="n"/>
      <c r="K4828" s="7">
        <f>IF($C4828="","",J4828*W4828/100)</f>
        <v/>
      </c>
      <c r="Q4828" s="7" t="n"/>
      <c r="R4828" s="7" t="n"/>
      <c r="U4828">
        <f>IF($C4828="","",IF($AJ4828=1,0,IF($AI4828=1,Settings!$C$6,Settings!$C$7))*100)</f>
        <v/>
      </c>
      <c r="V4828" s="7">
        <f>IF($C4828="","",R4828*U4828/100)</f>
        <v/>
      </c>
      <c r="W4828" s="7">
        <f>IF($C4828="","",R4828-V4828)</f>
        <v/>
      </c>
      <c r="X4828" s="7">
        <f>IF($C4828="","",W4828-K4828)</f>
        <v/>
      </c>
      <c r="AB4828" s="7" t="n"/>
      <c r="AE4828" s="11" t="n"/>
      <c r="AG4828">
        <f>IF($C4828="","",IF(COUNTIF($C$2:$C4828,$C4828)=1,1,0))</f>
        <v/>
      </c>
      <c r="AH4828">
        <f>IF($AG4828=1,SUMPRODUCT(--($AK$2:$AK$6001&lt;$AK4828))+1,"")</f>
        <v/>
      </c>
      <c r="AI4828">
        <f>IF($C4828="","",IF(OR($N4828=TRUE(),$N4828="TRUE"),1,0))</f>
        <v/>
      </c>
      <c r="AJ4828">
        <f>IF($C4828="","",IF($T4828="Yes",1,0))</f>
        <v/>
      </c>
      <c r="AK4828">
        <f>IF($AG4828=1,IFERROR(IF(VALUE($C4828)&lt;100000000,VALUE($C4828),1000000000),IFERROR(IF(VALUE(MID($C4828,2,20))&lt;100000000,VALUE(MID($C4828,2,20)),1000000000),1000000000))+ROW()/100000,"")</f>
        <v/>
      </c>
    </row>
    <row r="4829">
      <c r="D4829" s="11" t="n"/>
      <c r="K4829" s="7">
        <f>IF($C4829="","",J4829*W4829/100)</f>
        <v/>
      </c>
      <c r="Q4829" s="7" t="n"/>
      <c r="R4829" s="7" t="n"/>
      <c r="U4829">
        <f>IF($C4829="","",IF($AJ4829=1,0,IF($AI4829=1,Settings!$C$6,Settings!$C$7))*100)</f>
        <v/>
      </c>
      <c r="V4829" s="7">
        <f>IF($C4829="","",R4829*U4829/100)</f>
        <v/>
      </c>
      <c r="W4829" s="7">
        <f>IF($C4829="","",R4829-V4829)</f>
        <v/>
      </c>
      <c r="X4829" s="7">
        <f>IF($C4829="","",W4829-K4829)</f>
        <v/>
      </c>
      <c r="AB4829" s="7" t="n"/>
      <c r="AE4829" s="11" t="n"/>
      <c r="AG4829">
        <f>IF($C4829="","",IF(COUNTIF($C$2:$C4829,$C4829)=1,1,0))</f>
        <v/>
      </c>
      <c r="AH4829">
        <f>IF($AG4829=1,SUMPRODUCT(--($AK$2:$AK$6001&lt;$AK4829))+1,"")</f>
        <v/>
      </c>
      <c r="AI4829">
        <f>IF($C4829="","",IF(OR($N4829=TRUE(),$N4829="TRUE"),1,0))</f>
        <v/>
      </c>
      <c r="AJ4829">
        <f>IF($C4829="","",IF($T4829="Yes",1,0))</f>
        <v/>
      </c>
      <c r="AK4829">
        <f>IF($AG4829=1,IFERROR(IF(VALUE($C4829)&lt;100000000,VALUE($C4829),1000000000),IFERROR(IF(VALUE(MID($C4829,2,20))&lt;100000000,VALUE(MID($C4829,2,20)),1000000000),1000000000))+ROW()/100000,"")</f>
        <v/>
      </c>
    </row>
    <row r="4830">
      <c r="D4830" s="11" t="n"/>
      <c r="K4830" s="7">
        <f>IF($C4830="","",J4830*W4830/100)</f>
        <v/>
      </c>
      <c r="Q4830" s="7" t="n"/>
      <c r="R4830" s="7" t="n"/>
      <c r="U4830">
        <f>IF($C4830="","",IF($AJ4830=1,0,IF($AI4830=1,Settings!$C$6,Settings!$C$7))*100)</f>
        <v/>
      </c>
      <c r="V4830" s="7">
        <f>IF($C4830="","",R4830*U4830/100)</f>
        <v/>
      </c>
      <c r="W4830" s="7">
        <f>IF($C4830="","",R4830-V4830)</f>
        <v/>
      </c>
      <c r="X4830" s="7">
        <f>IF($C4830="","",W4830-K4830)</f>
        <v/>
      </c>
      <c r="AB4830" s="7" t="n"/>
      <c r="AE4830" s="11" t="n"/>
      <c r="AG4830">
        <f>IF($C4830="","",IF(COUNTIF($C$2:$C4830,$C4830)=1,1,0))</f>
        <v/>
      </c>
      <c r="AH4830">
        <f>IF($AG4830=1,SUMPRODUCT(--($AK$2:$AK$6001&lt;$AK4830))+1,"")</f>
        <v/>
      </c>
      <c r="AI4830">
        <f>IF($C4830="","",IF(OR($N4830=TRUE(),$N4830="TRUE"),1,0))</f>
        <v/>
      </c>
      <c r="AJ4830">
        <f>IF($C4830="","",IF($T4830="Yes",1,0))</f>
        <v/>
      </c>
      <c r="AK4830">
        <f>IF($AG4830=1,IFERROR(IF(VALUE($C4830)&lt;100000000,VALUE($C4830),1000000000),IFERROR(IF(VALUE(MID($C4830,2,20))&lt;100000000,VALUE(MID($C4830,2,20)),1000000000),1000000000))+ROW()/100000,"")</f>
        <v/>
      </c>
    </row>
    <row r="4831">
      <c r="D4831" s="11" t="n"/>
      <c r="K4831" s="7">
        <f>IF($C4831="","",J4831*W4831/100)</f>
        <v/>
      </c>
      <c r="Q4831" s="7" t="n"/>
      <c r="R4831" s="7" t="n"/>
      <c r="U4831">
        <f>IF($C4831="","",IF($AJ4831=1,0,IF($AI4831=1,Settings!$C$6,Settings!$C$7))*100)</f>
        <v/>
      </c>
      <c r="V4831" s="7">
        <f>IF($C4831="","",R4831*U4831/100)</f>
        <v/>
      </c>
      <c r="W4831" s="7">
        <f>IF($C4831="","",R4831-V4831)</f>
        <v/>
      </c>
      <c r="X4831" s="7">
        <f>IF($C4831="","",W4831-K4831)</f>
        <v/>
      </c>
      <c r="AB4831" s="7" t="n"/>
      <c r="AE4831" s="11" t="n"/>
      <c r="AG4831">
        <f>IF($C4831="","",IF(COUNTIF($C$2:$C4831,$C4831)=1,1,0))</f>
        <v/>
      </c>
      <c r="AH4831">
        <f>IF($AG4831=1,SUMPRODUCT(--($AK$2:$AK$6001&lt;$AK4831))+1,"")</f>
        <v/>
      </c>
      <c r="AI4831">
        <f>IF($C4831="","",IF(OR($N4831=TRUE(),$N4831="TRUE"),1,0))</f>
        <v/>
      </c>
      <c r="AJ4831">
        <f>IF($C4831="","",IF($T4831="Yes",1,0))</f>
        <v/>
      </c>
      <c r="AK4831">
        <f>IF($AG4831=1,IFERROR(IF(VALUE($C4831)&lt;100000000,VALUE($C4831),1000000000),IFERROR(IF(VALUE(MID($C4831,2,20))&lt;100000000,VALUE(MID($C4831,2,20)),1000000000),1000000000))+ROW()/100000,"")</f>
        <v/>
      </c>
    </row>
    <row r="4832">
      <c r="D4832" s="11" t="n"/>
      <c r="K4832" s="7">
        <f>IF($C4832="","",J4832*W4832/100)</f>
        <v/>
      </c>
      <c r="Q4832" s="7" t="n"/>
      <c r="R4832" s="7" t="n"/>
      <c r="U4832">
        <f>IF($C4832="","",IF($AJ4832=1,0,IF($AI4832=1,Settings!$C$6,Settings!$C$7))*100)</f>
        <v/>
      </c>
      <c r="V4832" s="7">
        <f>IF($C4832="","",R4832*U4832/100)</f>
        <v/>
      </c>
      <c r="W4832" s="7">
        <f>IF($C4832="","",R4832-V4832)</f>
        <v/>
      </c>
      <c r="X4832" s="7">
        <f>IF($C4832="","",W4832-K4832)</f>
        <v/>
      </c>
      <c r="AB4832" s="7" t="n"/>
      <c r="AE4832" s="11" t="n"/>
      <c r="AG4832">
        <f>IF($C4832="","",IF(COUNTIF($C$2:$C4832,$C4832)=1,1,0))</f>
        <v/>
      </c>
      <c r="AH4832">
        <f>IF($AG4832=1,SUMPRODUCT(--($AK$2:$AK$6001&lt;$AK4832))+1,"")</f>
        <v/>
      </c>
      <c r="AI4832">
        <f>IF($C4832="","",IF(OR($N4832=TRUE(),$N4832="TRUE"),1,0))</f>
        <v/>
      </c>
      <c r="AJ4832">
        <f>IF($C4832="","",IF($T4832="Yes",1,0))</f>
        <v/>
      </c>
      <c r="AK4832">
        <f>IF($AG4832=1,IFERROR(IF(VALUE($C4832)&lt;100000000,VALUE($C4832),1000000000),IFERROR(IF(VALUE(MID($C4832,2,20))&lt;100000000,VALUE(MID($C4832,2,20)),1000000000),1000000000))+ROW()/100000,"")</f>
        <v/>
      </c>
    </row>
    <row r="4833">
      <c r="D4833" s="11" t="n"/>
      <c r="K4833" s="7">
        <f>IF($C4833="","",J4833*W4833/100)</f>
        <v/>
      </c>
      <c r="Q4833" s="7" t="n"/>
      <c r="R4833" s="7" t="n"/>
      <c r="U4833">
        <f>IF($C4833="","",IF($AJ4833=1,0,IF($AI4833=1,Settings!$C$6,Settings!$C$7))*100)</f>
        <v/>
      </c>
      <c r="V4833" s="7">
        <f>IF($C4833="","",R4833*U4833/100)</f>
        <v/>
      </c>
      <c r="W4833" s="7">
        <f>IF($C4833="","",R4833-V4833)</f>
        <v/>
      </c>
      <c r="X4833" s="7">
        <f>IF($C4833="","",W4833-K4833)</f>
        <v/>
      </c>
      <c r="AB4833" s="7" t="n"/>
      <c r="AE4833" s="11" t="n"/>
      <c r="AG4833">
        <f>IF($C4833="","",IF(COUNTIF($C$2:$C4833,$C4833)=1,1,0))</f>
        <v/>
      </c>
      <c r="AH4833">
        <f>IF($AG4833=1,SUMPRODUCT(--($AK$2:$AK$6001&lt;$AK4833))+1,"")</f>
        <v/>
      </c>
      <c r="AI4833">
        <f>IF($C4833="","",IF(OR($N4833=TRUE(),$N4833="TRUE"),1,0))</f>
        <v/>
      </c>
      <c r="AJ4833">
        <f>IF($C4833="","",IF($T4833="Yes",1,0))</f>
        <v/>
      </c>
      <c r="AK4833">
        <f>IF($AG4833=1,IFERROR(IF(VALUE($C4833)&lt;100000000,VALUE($C4833),1000000000),IFERROR(IF(VALUE(MID($C4833,2,20))&lt;100000000,VALUE(MID($C4833,2,20)),1000000000),1000000000))+ROW()/100000,"")</f>
        <v/>
      </c>
    </row>
    <row r="4834">
      <c r="D4834" s="11" t="n"/>
      <c r="K4834" s="7">
        <f>IF($C4834="","",J4834*W4834/100)</f>
        <v/>
      </c>
      <c r="Q4834" s="7" t="n"/>
      <c r="R4834" s="7" t="n"/>
      <c r="U4834">
        <f>IF($C4834="","",IF($AJ4834=1,0,IF($AI4834=1,Settings!$C$6,Settings!$C$7))*100)</f>
        <v/>
      </c>
      <c r="V4834" s="7">
        <f>IF($C4834="","",R4834*U4834/100)</f>
        <v/>
      </c>
      <c r="W4834" s="7">
        <f>IF($C4834="","",R4834-V4834)</f>
        <v/>
      </c>
      <c r="X4834" s="7">
        <f>IF($C4834="","",W4834-K4834)</f>
        <v/>
      </c>
      <c r="AB4834" s="7" t="n"/>
      <c r="AE4834" s="11" t="n"/>
      <c r="AG4834">
        <f>IF($C4834="","",IF(COUNTIF($C$2:$C4834,$C4834)=1,1,0))</f>
        <v/>
      </c>
      <c r="AH4834">
        <f>IF($AG4834=1,SUMPRODUCT(--($AK$2:$AK$6001&lt;$AK4834))+1,"")</f>
        <v/>
      </c>
      <c r="AI4834">
        <f>IF($C4834="","",IF(OR($N4834=TRUE(),$N4834="TRUE"),1,0))</f>
        <v/>
      </c>
      <c r="AJ4834">
        <f>IF($C4834="","",IF($T4834="Yes",1,0))</f>
        <v/>
      </c>
      <c r="AK4834">
        <f>IF($AG4834=1,IFERROR(IF(VALUE($C4834)&lt;100000000,VALUE($C4834),1000000000),IFERROR(IF(VALUE(MID($C4834,2,20))&lt;100000000,VALUE(MID($C4834,2,20)),1000000000),1000000000))+ROW()/100000,"")</f>
        <v/>
      </c>
    </row>
    <row r="4835">
      <c r="D4835" s="11" t="n"/>
      <c r="K4835" s="7">
        <f>IF($C4835="","",J4835*W4835/100)</f>
        <v/>
      </c>
      <c r="Q4835" s="7" t="n"/>
      <c r="R4835" s="7" t="n"/>
      <c r="U4835">
        <f>IF($C4835="","",IF($AJ4835=1,0,IF($AI4835=1,Settings!$C$6,Settings!$C$7))*100)</f>
        <v/>
      </c>
      <c r="V4835" s="7">
        <f>IF($C4835="","",R4835*U4835/100)</f>
        <v/>
      </c>
      <c r="W4835" s="7">
        <f>IF($C4835="","",R4835-V4835)</f>
        <v/>
      </c>
      <c r="X4835" s="7">
        <f>IF($C4835="","",W4835-K4835)</f>
        <v/>
      </c>
      <c r="AB4835" s="7" t="n"/>
      <c r="AE4835" s="11" t="n"/>
      <c r="AG4835">
        <f>IF($C4835="","",IF(COUNTIF($C$2:$C4835,$C4835)=1,1,0))</f>
        <v/>
      </c>
      <c r="AH4835">
        <f>IF($AG4835=1,SUMPRODUCT(--($AK$2:$AK$6001&lt;$AK4835))+1,"")</f>
        <v/>
      </c>
      <c r="AI4835">
        <f>IF($C4835="","",IF(OR($N4835=TRUE(),$N4835="TRUE"),1,0))</f>
        <v/>
      </c>
      <c r="AJ4835">
        <f>IF($C4835="","",IF($T4835="Yes",1,0))</f>
        <v/>
      </c>
      <c r="AK4835">
        <f>IF($AG4835=1,IFERROR(IF(VALUE($C4835)&lt;100000000,VALUE($C4835),1000000000),IFERROR(IF(VALUE(MID($C4835,2,20))&lt;100000000,VALUE(MID($C4835,2,20)),1000000000),1000000000))+ROW()/100000,"")</f>
        <v/>
      </c>
    </row>
    <row r="4836">
      <c r="D4836" s="11" t="n"/>
      <c r="K4836" s="7">
        <f>IF($C4836="","",J4836*W4836/100)</f>
        <v/>
      </c>
      <c r="Q4836" s="7" t="n"/>
      <c r="R4836" s="7" t="n"/>
      <c r="U4836">
        <f>IF($C4836="","",IF($AJ4836=1,0,IF($AI4836=1,Settings!$C$6,Settings!$C$7))*100)</f>
        <v/>
      </c>
      <c r="V4836" s="7">
        <f>IF($C4836="","",R4836*U4836/100)</f>
        <v/>
      </c>
      <c r="W4836" s="7">
        <f>IF($C4836="","",R4836-V4836)</f>
        <v/>
      </c>
      <c r="X4836" s="7">
        <f>IF($C4836="","",W4836-K4836)</f>
        <v/>
      </c>
      <c r="AB4836" s="7" t="n"/>
      <c r="AE4836" s="11" t="n"/>
      <c r="AG4836">
        <f>IF($C4836="","",IF(COUNTIF($C$2:$C4836,$C4836)=1,1,0))</f>
        <v/>
      </c>
      <c r="AH4836">
        <f>IF($AG4836=1,SUMPRODUCT(--($AK$2:$AK$6001&lt;$AK4836))+1,"")</f>
        <v/>
      </c>
      <c r="AI4836">
        <f>IF($C4836="","",IF(OR($N4836=TRUE(),$N4836="TRUE"),1,0))</f>
        <v/>
      </c>
      <c r="AJ4836">
        <f>IF($C4836="","",IF($T4836="Yes",1,0))</f>
        <v/>
      </c>
      <c r="AK4836">
        <f>IF($AG4836=1,IFERROR(IF(VALUE($C4836)&lt;100000000,VALUE($C4836),1000000000),IFERROR(IF(VALUE(MID($C4836,2,20))&lt;100000000,VALUE(MID($C4836,2,20)),1000000000),1000000000))+ROW()/100000,"")</f>
        <v/>
      </c>
    </row>
    <row r="4837">
      <c r="D4837" s="11" t="n"/>
      <c r="K4837" s="7">
        <f>IF($C4837="","",J4837*W4837/100)</f>
        <v/>
      </c>
      <c r="Q4837" s="7" t="n"/>
      <c r="R4837" s="7" t="n"/>
      <c r="U4837">
        <f>IF($C4837="","",IF($AJ4837=1,0,IF($AI4837=1,Settings!$C$6,Settings!$C$7))*100)</f>
        <v/>
      </c>
      <c r="V4837" s="7">
        <f>IF($C4837="","",R4837*U4837/100)</f>
        <v/>
      </c>
      <c r="W4837" s="7">
        <f>IF($C4837="","",R4837-V4837)</f>
        <v/>
      </c>
      <c r="X4837" s="7">
        <f>IF($C4837="","",W4837-K4837)</f>
        <v/>
      </c>
      <c r="AB4837" s="7" t="n"/>
      <c r="AE4837" s="11" t="n"/>
      <c r="AG4837">
        <f>IF($C4837="","",IF(COUNTIF($C$2:$C4837,$C4837)=1,1,0))</f>
        <v/>
      </c>
      <c r="AH4837">
        <f>IF($AG4837=1,SUMPRODUCT(--($AK$2:$AK$6001&lt;$AK4837))+1,"")</f>
        <v/>
      </c>
      <c r="AI4837">
        <f>IF($C4837="","",IF(OR($N4837=TRUE(),$N4837="TRUE"),1,0))</f>
        <v/>
      </c>
      <c r="AJ4837">
        <f>IF($C4837="","",IF($T4837="Yes",1,0))</f>
        <v/>
      </c>
      <c r="AK4837">
        <f>IF($AG4837=1,IFERROR(IF(VALUE($C4837)&lt;100000000,VALUE($C4837),1000000000),IFERROR(IF(VALUE(MID($C4837,2,20))&lt;100000000,VALUE(MID($C4837,2,20)),1000000000),1000000000))+ROW()/100000,"")</f>
        <v/>
      </c>
    </row>
    <row r="4838">
      <c r="D4838" s="11" t="n"/>
      <c r="K4838" s="7">
        <f>IF($C4838="","",J4838*W4838/100)</f>
        <v/>
      </c>
      <c r="Q4838" s="7" t="n"/>
      <c r="R4838" s="7" t="n"/>
      <c r="U4838">
        <f>IF($C4838="","",IF($AJ4838=1,0,IF($AI4838=1,Settings!$C$6,Settings!$C$7))*100)</f>
        <v/>
      </c>
      <c r="V4838" s="7">
        <f>IF($C4838="","",R4838*U4838/100)</f>
        <v/>
      </c>
      <c r="W4838" s="7">
        <f>IF($C4838="","",R4838-V4838)</f>
        <v/>
      </c>
      <c r="X4838" s="7">
        <f>IF($C4838="","",W4838-K4838)</f>
        <v/>
      </c>
      <c r="AB4838" s="7" t="n"/>
      <c r="AE4838" s="11" t="n"/>
      <c r="AG4838">
        <f>IF($C4838="","",IF(COUNTIF($C$2:$C4838,$C4838)=1,1,0))</f>
        <v/>
      </c>
      <c r="AH4838">
        <f>IF($AG4838=1,SUMPRODUCT(--($AK$2:$AK$6001&lt;$AK4838))+1,"")</f>
        <v/>
      </c>
      <c r="AI4838">
        <f>IF($C4838="","",IF(OR($N4838=TRUE(),$N4838="TRUE"),1,0))</f>
        <v/>
      </c>
      <c r="AJ4838">
        <f>IF($C4838="","",IF($T4838="Yes",1,0))</f>
        <v/>
      </c>
      <c r="AK4838">
        <f>IF($AG4838=1,IFERROR(IF(VALUE($C4838)&lt;100000000,VALUE($C4838),1000000000),IFERROR(IF(VALUE(MID($C4838,2,20))&lt;100000000,VALUE(MID($C4838,2,20)),1000000000),1000000000))+ROW()/100000,"")</f>
        <v/>
      </c>
    </row>
    <row r="4839">
      <c r="D4839" s="11" t="n"/>
      <c r="K4839" s="7">
        <f>IF($C4839="","",J4839*W4839/100)</f>
        <v/>
      </c>
      <c r="Q4839" s="7" t="n"/>
      <c r="R4839" s="7" t="n"/>
      <c r="U4839">
        <f>IF($C4839="","",IF($AJ4839=1,0,IF($AI4839=1,Settings!$C$6,Settings!$C$7))*100)</f>
        <v/>
      </c>
      <c r="V4839" s="7">
        <f>IF($C4839="","",R4839*U4839/100)</f>
        <v/>
      </c>
      <c r="W4839" s="7">
        <f>IF($C4839="","",R4839-V4839)</f>
        <v/>
      </c>
      <c r="X4839" s="7">
        <f>IF($C4839="","",W4839-K4839)</f>
        <v/>
      </c>
      <c r="AB4839" s="7" t="n"/>
      <c r="AE4839" s="11" t="n"/>
      <c r="AG4839">
        <f>IF($C4839="","",IF(COUNTIF($C$2:$C4839,$C4839)=1,1,0))</f>
        <v/>
      </c>
      <c r="AH4839">
        <f>IF($AG4839=1,SUMPRODUCT(--($AK$2:$AK$6001&lt;$AK4839))+1,"")</f>
        <v/>
      </c>
      <c r="AI4839">
        <f>IF($C4839="","",IF(OR($N4839=TRUE(),$N4839="TRUE"),1,0))</f>
        <v/>
      </c>
      <c r="AJ4839">
        <f>IF($C4839="","",IF($T4839="Yes",1,0))</f>
        <v/>
      </c>
      <c r="AK4839">
        <f>IF($AG4839=1,IFERROR(IF(VALUE($C4839)&lt;100000000,VALUE($C4839),1000000000),IFERROR(IF(VALUE(MID($C4839,2,20))&lt;100000000,VALUE(MID($C4839,2,20)),1000000000),1000000000))+ROW()/100000,"")</f>
        <v/>
      </c>
    </row>
    <row r="4840">
      <c r="D4840" s="11" t="n"/>
      <c r="K4840" s="7">
        <f>IF($C4840="","",J4840*W4840/100)</f>
        <v/>
      </c>
      <c r="Q4840" s="7" t="n"/>
      <c r="R4840" s="7" t="n"/>
      <c r="U4840">
        <f>IF($C4840="","",IF($AJ4840=1,0,IF($AI4840=1,Settings!$C$6,Settings!$C$7))*100)</f>
        <v/>
      </c>
      <c r="V4840" s="7">
        <f>IF($C4840="","",R4840*U4840/100)</f>
        <v/>
      </c>
      <c r="W4840" s="7">
        <f>IF($C4840="","",R4840-V4840)</f>
        <v/>
      </c>
      <c r="X4840" s="7">
        <f>IF($C4840="","",W4840-K4840)</f>
        <v/>
      </c>
      <c r="AB4840" s="7" t="n"/>
      <c r="AE4840" s="11" t="n"/>
      <c r="AG4840">
        <f>IF($C4840="","",IF(COUNTIF($C$2:$C4840,$C4840)=1,1,0))</f>
        <v/>
      </c>
      <c r="AH4840">
        <f>IF($AG4840=1,SUMPRODUCT(--($AK$2:$AK$6001&lt;$AK4840))+1,"")</f>
        <v/>
      </c>
      <c r="AI4840">
        <f>IF($C4840="","",IF(OR($N4840=TRUE(),$N4840="TRUE"),1,0))</f>
        <v/>
      </c>
      <c r="AJ4840">
        <f>IF($C4840="","",IF($T4840="Yes",1,0))</f>
        <v/>
      </c>
      <c r="AK4840">
        <f>IF($AG4840=1,IFERROR(IF(VALUE($C4840)&lt;100000000,VALUE($C4840),1000000000),IFERROR(IF(VALUE(MID($C4840,2,20))&lt;100000000,VALUE(MID($C4840,2,20)),1000000000),1000000000))+ROW()/100000,"")</f>
        <v/>
      </c>
    </row>
    <row r="4841">
      <c r="D4841" s="11" t="n"/>
      <c r="K4841" s="7">
        <f>IF($C4841="","",J4841*W4841/100)</f>
        <v/>
      </c>
      <c r="Q4841" s="7" t="n"/>
      <c r="R4841" s="7" t="n"/>
      <c r="U4841">
        <f>IF($C4841="","",IF($AJ4841=1,0,IF($AI4841=1,Settings!$C$6,Settings!$C$7))*100)</f>
        <v/>
      </c>
      <c r="V4841" s="7">
        <f>IF($C4841="","",R4841*U4841/100)</f>
        <v/>
      </c>
      <c r="W4841" s="7">
        <f>IF($C4841="","",R4841-V4841)</f>
        <v/>
      </c>
      <c r="X4841" s="7">
        <f>IF($C4841="","",W4841-K4841)</f>
        <v/>
      </c>
      <c r="AB4841" s="7" t="n"/>
      <c r="AE4841" s="11" t="n"/>
      <c r="AG4841">
        <f>IF($C4841="","",IF(COUNTIF($C$2:$C4841,$C4841)=1,1,0))</f>
        <v/>
      </c>
      <c r="AH4841">
        <f>IF($AG4841=1,SUMPRODUCT(--($AK$2:$AK$6001&lt;$AK4841))+1,"")</f>
        <v/>
      </c>
      <c r="AI4841">
        <f>IF($C4841="","",IF(OR($N4841=TRUE(),$N4841="TRUE"),1,0))</f>
        <v/>
      </c>
      <c r="AJ4841">
        <f>IF($C4841="","",IF($T4841="Yes",1,0))</f>
        <v/>
      </c>
      <c r="AK4841">
        <f>IF($AG4841=1,IFERROR(IF(VALUE($C4841)&lt;100000000,VALUE($C4841),1000000000),IFERROR(IF(VALUE(MID($C4841,2,20))&lt;100000000,VALUE(MID($C4841,2,20)),1000000000),1000000000))+ROW()/100000,"")</f>
        <v/>
      </c>
    </row>
    <row r="4842">
      <c r="D4842" s="11" t="n"/>
      <c r="K4842" s="7">
        <f>IF($C4842="","",J4842*W4842/100)</f>
        <v/>
      </c>
      <c r="Q4842" s="7" t="n"/>
      <c r="R4842" s="7" t="n"/>
      <c r="U4842">
        <f>IF($C4842="","",IF($AJ4842=1,0,IF($AI4842=1,Settings!$C$6,Settings!$C$7))*100)</f>
        <v/>
      </c>
      <c r="V4842" s="7">
        <f>IF($C4842="","",R4842*U4842/100)</f>
        <v/>
      </c>
      <c r="W4842" s="7">
        <f>IF($C4842="","",R4842-V4842)</f>
        <v/>
      </c>
      <c r="X4842" s="7">
        <f>IF($C4842="","",W4842-K4842)</f>
        <v/>
      </c>
      <c r="AB4842" s="7" t="n"/>
      <c r="AE4842" s="11" t="n"/>
      <c r="AG4842">
        <f>IF($C4842="","",IF(COUNTIF($C$2:$C4842,$C4842)=1,1,0))</f>
        <v/>
      </c>
      <c r="AH4842">
        <f>IF($AG4842=1,SUMPRODUCT(--($AK$2:$AK$6001&lt;$AK4842))+1,"")</f>
        <v/>
      </c>
      <c r="AI4842">
        <f>IF($C4842="","",IF(OR($N4842=TRUE(),$N4842="TRUE"),1,0))</f>
        <v/>
      </c>
      <c r="AJ4842">
        <f>IF($C4842="","",IF($T4842="Yes",1,0))</f>
        <v/>
      </c>
      <c r="AK4842">
        <f>IF($AG4842=1,IFERROR(IF(VALUE($C4842)&lt;100000000,VALUE($C4842),1000000000),IFERROR(IF(VALUE(MID($C4842,2,20))&lt;100000000,VALUE(MID($C4842,2,20)),1000000000),1000000000))+ROW()/100000,"")</f>
        <v/>
      </c>
    </row>
    <row r="4843">
      <c r="D4843" s="11" t="n"/>
      <c r="K4843" s="7">
        <f>IF($C4843="","",J4843*W4843/100)</f>
        <v/>
      </c>
      <c r="Q4843" s="7" t="n"/>
      <c r="R4843" s="7" t="n"/>
      <c r="U4843">
        <f>IF($C4843="","",IF($AJ4843=1,0,IF($AI4843=1,Settings!$C$6,Settings!$C$7))*100)</f>
        <v/>
      </c>
      <c r="V4843" s="7">
        <f>IF($C4843="","",R4843*U4843/100)</f>
        <v/>
      </c>
      <c r="W4843" s="7">
        <f>IF($C4843="","",R4843-V4843)</f>
        <v/>
      </c>
      <c r="X4843" s="7">
        <f>IF($C4843="","",W4843-K4843)</f>
        <v/>
      </c>
      <c r="AB4843" s="7" t="n"/>
      <c r="AE4843" s="11" t="n"/>
      <c r="AG4843">
        <f>IF($C4843="","",IF(COUNTIF($C$2:$C4843,$C4843)=1,1,0))</f>
        <v/>
      </c>
      <c r="AH4843">
        <f>IF($AG4843=1,SUMPRODUCT(--($AK$2:$AK$6001&lt;$AK4843))+1,"")</f>
        <v/>
      </c>
      <c r="AI4843">
        <f>IF($C4843="","",IF(OR($N4843=TRUE(),$N4843="TRUE"),1,0))</f>
        <v/>
      </c>
      <c r="AJ4843">
        <f>IF($C4843="","",IF($T4843="Yes",1,0))</f>
        <v/>
      </c>
      <c r="AK4843">
        <f>IF($AG4843=1,IFERROR(IF(VALUE($C4843)&lt;100000000,VALUE($C4843),1000000000),IFERROR(IF(VALUE(MID($C4843,2,20))&lt;100000000,VALUE(MID($C4843,2,20)),1000000000),1000000000))+ROW()/100000,"")</f>
        <v/>
      </c>
    </row>
    <row r="4844">
      <c r="D4844" s="11" t="n"/>
      <c r="K4844" s="7">
        <f>IF($C4844="","",J4844*W4844/100)</f>
        <v/>
      </c>
      <c r="Q4844" s="7" t="n"/>
      <c r="R4844" s="7" t="n"/>
      <c r="U4844">
        <f>IF($C4844="","",IF($AJ4844=1,0,IF($AI4844=1,Settings!$C$6,Settings!$C$7))*100)</f>
        <v/>
      </c>
      <c r="V4844" s="7">
        <f>IF($C4844="","",R4844*U4844/100)</f>
        <v/>
      </c>
      <c r="W4844" s="7">
        <f>IF($C4844="","",R4844-V4844)</f>
        <v/>
      </c>
      <c r="X4844" s="7">
        <f>IF($C4844="","",W4844-K4844)</f>
        <v/>
      </c>
      <c r="AB4844" s="7" t="n"/>
      <c r="AE4844" s="11" t="n"/>
      <c r="AG4844">
        <f>IF($C4844="","",IF(COUNTIF($C$2:$C4844,$C4844)=1,1,0))</f>
        <v/>
      </c>
      <c r="AH4844">
        <f>IF($AG4844=1,SUMPRODUCT(--($AK$2:$AK$6001&lt;$AK4844))+1,"")</f>
        <v/>
      </c>
      <c r="AI4844">
        <f>IF($C4844="","",IF(OR($N4844=TRUE(),$N4844="TRUE"),1,0))</f>
        <v/>
      </c>
      <c r="AJ4844">
        <f>IF($C4844="","",IF($T4844="Yes",1,0))</f>
        <v/>
      </c>
      <c r="AK4844">
        <f>IF($AG4844=1,IFERROR(IF(VALUE($C4844)&lt;100000000,VALUE($C4844),1000000000),IFERROR(IF(VALUE(MID($C4844,2,20))&lt;100000000,VALUE(MID($C4844,2,20)),1000000000),1000000000))+ROW()/100000,"")</f>
        <v/>
      </c>
    </row>
    <row r="4845">
      <c r="D4845" s="11" t="n"/>
      <c r="K4845" s="7">
        <f>IF($C4845="","",J4845*W4845/100)</f>
        <v/>
      </c>
      <c r="Q4845" s="7" t="n"/>
      <c r="R4845" s="7" t="n"/>
      <c r="U4845">
        <f>IF($C4845="","",IF($AJ4845=1,0,IF($AI4845=1,Settings!$C$6,Settings!$C$7))*100)</f>
        <v/>
      </c>
      <c r="V4845" s="7">
        <f>IF($C4845="","",R4845*U4845/100)</f>
        <v/>
      </c>
      <c r="W4845" s="7">
        <f>IF($C4845="","",R4845-V4845)</f>
        <v/>
      </c>
      <c r="X4845" s="7">
        <f>IF($C4845="","",W4845-K4845)</f>
        <v/>
      </c>
      <c r="AB4845" s="7" t="n"/>
      <c r="AE4845" s="11" t="n"/>
      <c r="AG4845">
        <f>IF($C4845="","",IF(COUNTIF($C$2:$C4845,$C4845)=1,1,0))</f>
        <v/>
      </c>
      <c r="AH4845">
        <f>IF($AG4845=1,SUMPRODUCT(--($AK$2:$AK$6001&lt;$AK4845))+1,"")</f>
        <v/>
      </c>
      <c r="AI4845">
        <f>IF($C4845="","",IF(OR($N4845=TRUE(),$N4845="TRUE"),1,0))</f>
        <v/>
      </c>
      <c r="AJ4845">
        <f>IF($C4845="","",IF($T4845="Yes",1,0))</f>
        <v/>
      </c>
      <c r="AK4845">
        <f>IF($AG4845=1,IFERROR(IF(VALUE($C4845)&lt;100000000,VALUE($C4845),1000000000),IFERROR(IF(VALUE(MID($C4845,2,20))&lt;100000000,VALUE(MID($C4845,2,20)),1000000000),1000000000))+ROW()/100000,"")</f>
        <v/>
      </c>
    </row>
    <row r="4846">
      <c r="D4846" s="11" t="n"/>
      <c r="K4846" s="7">
        <f>IF($C4846="","",J4846*W4846/100)</f>
        <v/>
      </c>
      <c r="Q4846" s="7" t="n"/>
      <c r="R4846" s="7" t="n"/>
      <c r="U4846">
        <f>IF($C4846="","",IF($AJ4846=1,0,IF($AI4846=1,Settings!$C$6,Settings!$C$7))*100)</f>
        <v/>
      </c>
      <c r="V4846" s="7">
        <f>IF($C4846="","",R4846*U4846/100)</f>
        <v/>
      </c>
      <c r="W4846" s="7">
        <f>IF($C4846="","",R4846-V4846)</f>
        <v/>
      </c>
      <c r="X4846" s="7">
        <f>IF($C4846="","",W4846-K4846)</f>
        <v/>
      </c>
      <c r="AB4846" s="7" t="n"/>
      <c r="AE4846" s="11" t="n"/>
      <c r="AG4846">
        <f>IF($C4846="","",IF(COUNTIF($C$2:$C4846,$C4846)=1,1,0))</f>
        <v/>
      </c>
      <c r="AH4846">
        <f>IF($AG4846=1,SUMPRODUCT(--($AK$2:$AK$6001&lt;$AK4846))+1,"")</f>
        <v/>
      </c>
      <c r="AI4846">
        <f>IF($C4846="","",IF(OR($N4846=TRUE(),$N4846="TRUE"),1,0))</f>
        <v/>
      </c>
      <c r="AJ4846">
        <f>IF($C4846="","",IF($T4846="Yes",1,0))</f>
        <v/>
      </c>
      <c r="AK4846">
        <f>IF($AG4846=1,IFERROR(IF(VALUE($C4846)&lt;100000000,VALUE($C4846),1000000000),IFERROR(IF(VALUE(MID($C4846,2,20))&lt;100000000,VALUE(MID($C4846,2,20)),1000000000),1000000000))+ROW()/100000,"")</f>
        <v/>
      </c>
    </row>
    <row r="4847">
      <c r="D4847" s="11" t="n"/>
      <c r="K4847" s="7">
        <f>IF($C4847="","",J4847*W4847/100)</f>
        <v/>
      </c>
      <c r="Q4847" s="7" t="n"/>
      <c r="R4847" s="7" t="n"/>
      <c r="U4847">
        <f>IF($C4847="","",IF($AJ4847=1,0,IF($AI4847=1,Settings!$C$6,Settings!$C$7))*100)</f>
        <v/>
      </c>
      <c r="V4847" s="7">
        <f>IF($C4847="","",R4847*U4847/100)</f>
        <v/>
      </c>
      <c r="W4847" s="7">
        <f>IF($C4847="","",R4847-V4847)</f>
        <v/>
      </c>
      <c r="X4847" s="7">
        <f>IF($C4847="","",W4847-K4847)</f>
        <v/>
      </c>
      <c r="AB4847" s="7" t="n"/>
      <c r="AE4847" s="11" t="n"/>
      <c r="AG4847">
        <f>IF($C4847="","",IF(COUNTIF($C$2:$C4847,$C4847)=1,1,0))</f>
        <v/>
      </c>
      <c r="AH4847">
        <f>IF($AG4847=1,SUMPRODUCT(--($AK$2:$AK$6001&lt;$AK4847))+1,"")</f>
        <v/>
      </c>
      <c r="AI4847">
        <f>IF($C4847="","",IF(OR($N4847=TRUE(),$N4847="TRUE"),1,0))</f>
        <v/>
      </c>
      <c r="AJ4847">
        <f>IF($C4847="","",IF($T4847="Yes",1,0))</f>
        <v/>
      </c>
      <c r="AK4847">
        <f>IF($AG4847=1,IFERROR(IF(VALUE($C4847)&lt;100000000,VALUE($C4847),1000000000),IFERROR(IF(VALUE(MID($C4847,2,20))&lt;100000000,VALUE(MID($C4847,2,20)),1000000000),1000000000))+ROW()/100000,"")</f>
        <v/>
      </c>
    </row>
    <row r="4848">
      <c r="D4848" s="11" t="n"/>
      <c r="K4848" s="7">
        <f>IF($C4848="","",J4848*W4848/100)</f>
        <v/>
      </c>
      <c r="Q4848" s="7" t="n"/>
      <c r="R4848" s="7" t="n"/>
      <c r="U4848">
        <f>IF($C4848="","",IF($AJ4848=1,0,IF($AI4848=1,Settings!$C$6,Settings!$C$7))*100)</f>
        <v/>
      </c>
      <c r="V4848" s="7">
        <f>IF($C4848="","",R4848*U4848/100)</f>
        <v/>
      </c>
      <c r="W4848" s="7">
        <f>IF($C4848="","",R4848-V4848)</f>
        <v/>
      </c>
      <c r="X4848" s="7">
        <f>IF($C4848="","",W4848-K4848)</f>
        <v/>
      </c>
      <c r="AB4848" s="7" t="n"/>
      <c r="AE4848" s="11" t="n"/>
      <c r="AG4848">
        <f>IF($C4848="","",IF(COUNTIF($C$2:$C4848,$C4848)=1,1,0))</f>
        <v/>
      </c>
      <c r="AH4848">
        <f>IF($AG4848=1,SUMPRODUCT(--($AK$2:$AK$6001&lt;$AK4848))+1,"")</f>
        <v/>
      </c>
      <c r="AI4848">
        <f>IF($C4848="","",IF(OR($N4848=TRUE(),$N4848="TRUE"),1,0))</f>
        <v/>
      </c>
      <c r="AJ4848">
        <f>IF($C4848="","",IF($T4848="Yes",1,0))</f>
        <v/>
      </c>
      <c r="AK4848">
        <f>IF($AG4848=1,IFERROR(IF(VALUE($C4848)&lt;100000000,VALUE($C4848),1000000000),IFERROR(IF(VALUE(MID($C4848,2,20))&lt;100000000,VALUE(MID($C4848,2,20)),1000000000),1000000000))+ROW()/100000,"")</f>
        <v/>
      </c>
    </row>
    <row r="4849">
      <c r="D4849" s="11" t="n"/>
      <c r="K4849" s="7">
        <f>IF($C4849="","",J4849*W4849/100)</f>
        <v/>
      </c>
      <c r="Q4849" s="7" t="n"/>
      <c r="R4849" s="7" t="n"/>
      <c r="U4849">
        <f>IF($C4849="","",IF($AJ4849=1,0,IF($AI4849=1,Settings!$C$6,Settings!$C$7))*100)</f>
        <v/>
      </c>
      <c r="V4849" s="7">
        <f>IF($C4849="","",R4849*U4849/100)</f>
        <v/>
      </c>
      <c r="W4849" s="7">
        <f>IF($C4849="","",R4849-V4849)</f>
        <v/>
      </c>
      <c r="X4849" s="7">
        <f>IF($C4849="","",W4849-K4849)</f>
        <v/>
      </c>
      <c r="AB4849" s="7" t="n"/>
      <c r="AE4849" s="11" t="n"/>
      <c r="AG4849">
        <f>IF($C4849="","",IF(COUNTIF($C$2:$C4849,$C4849)=1,1,0))</f>
        <v/>
      </c>
      <c r="AH4849">
        <f>IF($AG4849=1,SUMPRODUCT(--($AK$2:$AK$6001&lt;$AK4849))+1,"")</f>
        <v/>
      </c>
      <c r="AI4849">
        <f>IF($C4849="","",IF(OR($N4849=TRUE(),$N4849="TRUE"),1,0))</f>
        <v/>
      </c>
      <c r="AJ4849">
        <f>IF($C4849="","",IF($T4849="Yes",1,0))</f>
        <v/>
      </c>
      <c r="AK4849">
        <f>IF($AG4849=1,IFERROR(IF(VALUE($C4849)&lt;100000000,VALUE($C4849),1000000000),IFERROR(IF(VALUE(MID($C4849,2,20))&lt;100000000,VALUE(MID($C4849,2,20)),1000000000),1000000000))+ROW()/100000,"")</f>
        <v/>
      </c>
    </row>
    <row r="4850">
      <c r="D4850" s="11" t="n"/>
      <c r="K4850" s="7">
        <f>IF($C4850="","",J4850*W4850/100)</f>
        <v/>
      </c>
      <c r="Q4850" s="7" t="n"/>
      <c r="R4850" s="7" t="n"/>
      <c r="U4850">
        <f>IF($C4850="","",IF($AJ4850=1,0,IF($AI4850=1,Settings!$C$6,Settings!$C$7))*100)</f>
        <v/>
      </c>
      <c r="V4850" s="7">
        <f>IF($C4850="","",R4850*U4850/100)</f>
        <v/>
      </c>
      <c r="W4850" s="7">
        <f>IF($C4850="","",R4850-V4850)</f>
        <v/>
      </c>
      <c r="X4850" s="7">
        <f>IF($C4850="","",W4850-K4850)</f>
        <v/>
      </c>
      <c r="AB4850" s="7" t="n"/>
      <c r="AE4850" s="11" t="n"/>
      <c r="AG4850">
        <f>IF($C4850="","",IF(COUNTIF($C$2:$C4850,$C4850)=1,1,0))</f>
        <v/>
      </c>
      <c r="AH4850">
        <f>IF($AG4850=1,SUMPRODUCT(--($AK$2:$AK$6001&lt;$AK4850))+1,"")</f>
        <v/>
      </c>
      <c r="AI4850">
        <f>IF($C4850="","",IF(OR($N4850=TRUE(),$N4850="TRUE"),1,0))</f>
        <v/>
      </c>
      <c r="AJ4850">
        <f>IF($C4850="","",IF($T4850="Yes",1,0))</f>
        <v/>
      </c>
      <c r="AK4850">
        <f>IF($AG4850=1,IFERROR(IF(VALUE($C4850)&lt;100000000,VALUE($C4850),1000000000),IFERROR(IF(VALUE(MID($C4850,2,20))&lt;100000000,VALUE(MID($C4850,2,20)),1000000000),1000000000))+ROW()/100000,"")</f>
        <v/>
      </c>
    </row>
    <row r="4851">
      <c r="D4851" s="11" t="n"/>
      <c r="K4851" s="7">
        <f>IF($C4851="","",J4851*W4851/100)</f>
        <v/>
      </c>
      <c r="Q4851" s="7" t="n"/>
      <c r="R4851" s="7" t="n"/>
      <c r="U4851">
        <f>IF($C4851="","",IF($AJ4851=1,0,IF($AI4851=1,Settings!$C$6,Settings!$C$7))*100)</f>
        <v/>
      </c>
      <c r="V4851" s="7">
        <f>IF($C4851="","",R4851*U4851/100)</f>
        <v/>
      </c>
      <c r="W4851" s="7">
        <f>IF($C4851="","",R4851-V4851)</f>
        <v/>
      </c>
      <c r="X4851" s="7">
        <f>IF($C4851="","",W4851-K4851)</f>
        <v/>
      </c>
      <c r="AB4851" s="7" t="n"/>
      <c r="AE4851" s="11" t="n"/>
      <c r="AG4851">
        <f>IF($C4851="","",IF(COUNTIF($C$2:$C4851,$C4851)=1,1,0))</f>
        <v/>
      </c>
      <c r="AH4851">
        <f>IF($AG4851=1,SUMPRODUCT(--($AK$2:$AK$6001&lt;$AK4851))+1,"")</f>
        <v/>
      </c>
      <c r="AI4851">
        <f>IF($C4851="","",IF(OR($N4851=TRUE(),$N4851="TRUE"),1,0))</f>
        <v/>
      </c>
      <c r="AJ4851">
        <f>IF($C4851="","",IF($T4851="Yes",1,0))</f>
        <v/>
      </c>
      <c r="AK4851">
        <f>IF($AG4851=1,IFERROR(IF(VALUE($C4851)&lt;100000000,VALUE($C4851),1000000000),IFERROR(IF(VALUE(MID($C4851,2,20))&lt;100000000,VALUE(MID($C4851,2,20)),1000000000),1000000000))+ROW()/100000,"")</f>
        <v/>
      </c>
    </row>
    <row r="4852">
      <c r="D4852" s="11" t="n"/>
      <c r="K4852" s="7">
        <f>IF($C4852="","",J4852*W4852/100)</f>
        <v/>
      </c>
      <c r="Q4852" s="7" t="n"/>
      <c r="R4852" s="7" t="n"/>
      <c r="U4852">
        <f>IF($C4852="","",IF($AJ4852=1,0,IF($AI4852=1,Settings!$C$6,Settings!$C$7))*100)</f>
        <v/>
      </c>
      <c r="V4852" s="7">
        <f>IF($C4852="","",R4852*U4852/100)</f>
        <v/>
      </c>
      <c r="W4852" s="7">
        <f>IF($C4852="","",R4852-V4852)</f>
        <v/>
      </c>
      <c r="X4852" s="7">
        <f>IF($C4852="","",W4852-K4852)</f>
        <v/>
      </c>
      <c r="AB4852" s="7" t="n"/>
      <c r="AE4852" s="11" t="n"/>
      <c r="AG4852">
        <f>IF($C4852="","",IF(COUNTIF($C$2:$C4852,$C4852)=1,1,0))</f>
        <v/>
      </c>
      <c r="AH4852">
        <f>IF($AG4852=1,SUMPRODUCT(--($AK$2:$AK$6001&lt;$AK4852))+1,"")</f>
        <v/>
      </c>
      <c r="AI4852">
        <f>IF($C4852="","",IF(OR($N4852=TRUE(),$N4852="TRUE"),1,0))</f>
        <v/>
      </c>
      <c r="AJ4852">
        <f>IF($C4852="","",IF($T4852="Yes",1,0))</f>
        <v/>
      </c>
      <c r="AK4852">
        <f>IF($AG4852=1,IFERROR(IF(VALUE($C4852)&lt;100000000,VALUE($C4852),1000000000),IFERROR(IF(VALUE(MID($C4852,2,20))&lt;100000000,VALUE(MID($C4852,2,20)),1000000000),1000000000))+ROW()/100000,"")</f>
        <v/>
      </c>
    </row>
    <row r="4853">
      <c r="D4853" s="11" t="n"/>
      <c r="K4853" s="7">
        <f>IF($C4853="","",J4853*W4853/100)</f>
        <v/>
      </c>
      <c r="Q4853" s="7" t="n"/>
      <c r="R4853" s="7" t="n"/>
      <c r="U4853">
        <f>IF($C4853="","",IF($AJ4853=1,0,IF($AI4853=1,Settings!$C$6,Settings!$C$7))*100)</f>
        <v/>
      </c>
      <c r="V4853" s="7">
        <f>IF($C4853="","",R4853*U4853/100)</f>
        <v/>
      </c>
      <c r="W4853" s="7">
        <f>IF($C4853="","",R4853-V4853)</f>
        <v/>
      </c>
      <c r="X4853" s="7">
        <f>IF($C4853="","",W4853-K4853)</f>
        <v/>
      </c>
      <c r="AB4853" s="7" t="n"/>
      <c r="AE4853" s="11" t="n"/>
      <c r="AG4853">
        <f>IF($C4853="","",IF(COUNTIF($C$2:$C4853,$C4853)=1,1,0))</f>
        <v/>
      </c>
      <c r="AH4853">
        <f>IF($AG4853=1,SUMPRODUCT(--($AK$2:$AK$6001&lt;$AK4853))+1,"")</f>
        <v/>
      </c>
      <c r="AI4853">
        <f>IF($C4853="","",IF(OR($N4853=TRUE(),$N4853="TRUE"),1,0))</f>
        <v/>
      </c>
      <c r="AJ4853">
        <f>IF($C4853="","",IF($T4853="Yes",1,0))</f>
        <v/>
      </c>
      <c r="AK4853">
        <f>IF($AG4853=1,IFERROR(IF(VALUE($C4853)&lt;100000000,VALUE($C4853),1000000000),IFERROR(IF(VALUE(MID($C4853,2,20))&lt;100000000,VALUE(MID($C4853,2,20)),1000000000),1000000000))+ROW()/100000,"")</f>
        <v/>
      </c>
    </row>
    <row r="4854">
      <c r="D4854" s="11" t="n"/>
      <c r="K4854" s="7">
        <f>IF($C4854="","",J4854*W4854/100)</f>
        <v/>
      </c>
      <c r="Q4854" s="7" t="n"/>
      <c r="R4854" s="7" t="n"/>
      <c r="U4854">
        <f>IF($C4854="","",IF($AJ4854=1,0,IF($AI4854=1,Settings!$C$6,Settings!$C$7))*100)</f>
        <v/>
      </c>
      <c r="V4854" s="7">
        <f>IF($C4854="","",R4854*U4854/100)</f>
        <v/>
      </c>
      <c r="W4854" s="7">
        <f>IF($C4854="","",R4854-V4854)</f>
        <v/>
      </c>
      <c r="X4854" s="7">
        <f>IF($C4854="","",W4854-K4854)</f>
        <v/>
      </c>
      <c r="AB4854" s="7" t="n"/>
      <c r="AE4854" s="11" t="n"/>
      <c r="AG4854">
        <f>IF($C4854="","",IF(COUNTIF($C$2:$C4854,$C4854)=1,1,0))</f>
        <v/>
      </c>
      <c r="AH4854">
        <f>IF($AG4854=1,SUMPRODUCT(--($AK$2:$AK$6001&lt;$AK4854))+1,"")</f>
        <v/>
      </c>
      <c r="AI4854">
        <f>IF($C4854="","",IF(OR($N4854=TRUE(),$N4854="TRUE"),1,0))</f>
        <v/>
      </c>
      <c r="AJ4854">
        <f>IF($C4854="","",IF($T4854="Yes",1,0))</f>
        <v/>
      </c>
      <c r="AK4854">
        <f>IF($AG4854=1,IFERROR(IF(VALUE($C4854)&lt;100000000,VALUE($C4854),1000000000),IFERROR(IF(VALUE(MID($C4854,2,20))&lt;100000000,VALUE(MID($C4854,2,20)),1000000000),1000000000))+ROW()/100000,"")</f>
        <v/>
      </c>
    </row>
    <row r="4855">
      <c r="D4855" s="11" t="n"/>
      <c r="K4855" s="7">
        <f>IF($C4855="","",J4855*W4855/100)</f>
        <v/>
      </c>
      <c r="Q4855" s="7" t="n"/>
      <c r="R4855" s="7" t="n"/>
      <c r="U4855">
        <f>IF($C4855="","",IF($AJ4855=1,0,IF($AI4855=1,Settings!$C$6,Settings!$C$7))*100)</f>
        <v/>
      </c>
      <c r="V4855" s="7">
        <f>IF($C4855="","",R4855*U4855/100)</f>
        <v/>
      </c>
      <c r="W4855" s="7">
        <f>IF($C4855="","",R4855-V4855)</f>
        <v/>
      </c>
      <c r="X4855" s="7">
        <f>IF($C4855="","",W4855-K4855)</f>
        <v/>
      </c>
      <c r="AB4855" s="7" t="n"/>
      <c r="AE4855" s="11" t="n"/>
      <c r="AG4855">
        <f>IF($C4855="","",IF(COUNTIF($C$2:$C4855,$C4855)=1,1,0))</f>
        <v/>
      </c>
      <c r="AH4855">
        <f>IF($AG4855=1,SUMPRODUCT(--($AK$2:$AK$6001&lt;$AK4855))+1,"")</f>
        <v/>
      </c>
      <c r="AI4855">
        <f>IF($C4855="","",IF(OR($N4855=TRUE(),$N4855="TRUE"),1,0))</f>
        <v/>
      </c>
      <c r="AJ4855">
        <f>IF($C4855="","",IF($T4855="Yes",1,0))</f>
        <v/>
      </c>
      <c r="AK4855">
        <f>IF($AG4855=1,IFERROR(IF(VALUE($C4855)&lt;100000000,VALUE($C4855),1000000000),IFERROR(IF(VALUE(MID($C4855,2,20))&lt;100000000,VALUE(MID($C4855,2,20)),1000000000),1000000000))+ROW()/100000,"")</f>
        <v/>
      </c>
    </row>
    <row r="4856">
      <c r="D4856" s="11" t="n"/>
      <c r="K4856" s="7">
        <f>IF($C4856="","",J4856*W4856/100)</f>
        <v/>
      </c>
      <c r="Q4856" s="7" t="n"/>
      <c r="R4856" s="7" t="n"/>
      <c r="U4856">
        <f>IF($C4856="","",IF($AJ4856=1,0,IF($AI4856=1,Settings!$C$6,Settings!$C$7))*100)</f>
        <v/>
      </c>
      <c r="V4856" s="7">
        <f>IF($C4856="","",R4856*U4856/100)</f>
        <v/>
      </c>
      <c r="W4856" s="7">
        <f>IF($C4856="","",R4856-V4856)</f>
        <v/>
      </c>
      <c r="X4856" s="7">
        <f>IF($C4856="","",W4856-K4856)</f>
        <v/>
      </c>
      <c r="AB4856" s="7" t="n"/>
      <c r="AE4856" s="11" t="n"/>
      <c r="AG4856">
        <f>IF($C4856="","",IF(COUNTIF($C$2:$C4856,$C4856)=1,1,0))</f>
        <v/>
      </c>
      <c r="AH4856">
        <f>IF($AG4856=1,SUMPRODUCT(--($AK$2:$AK$6001&lt;$AK4856))+1,"")</f>
        <v/>
      </c>
      <c r="AI4856">
        <f>IF($C4856="","",IF(OR($N4856=TRUE(),$N4856="TRUE"),1,0))</f>
        <v/>
      </c>
      <c r="AJ4856">
        <f>IF($C4856="","",IF($T4856="Yes",1,0))</f>
        <v/>
      </c>
      <c r="AK4856">
        <f>IF($AG4856=1,IFERROR(IF(VALUE($C4856)&lt;100000000,VALUE($C4856),1000000000),IFERROR(IF(VALUE(MID($C4856,2,20))&lt;100000000,VALUE(MID($C4856,2,20)),1000000000),1000000000))+ROW()/100000,"")</f>
        <v/>
      </c>
    </row>
    <row r="4857">
      <c r="D4857" s="11" t="n"/>
      <c r="K4857" s="7">
        <f>IF($C4857="","",J4857*W4857/100)</f>
        <v/>
      </c>
      <c r="Q4857" s="7" t="n"/>
      <c r="R4857" s="7" t="n"/>
      <c r="U4857">
        <f>IF($C4857="","",IF($AJ4857=1,0,IF($AI4857=1,Settings!$C$6,Settings!$C$7))*100)</f>
        <v/>
      </c>
      <c r="V4857" s="7">
        <f>IF($C4857="","",R4857*U4857/100)</f>
        <v/>
      </c>
      <c r="W4857" s="7">
        <f>IF($C4857="","",R4857-V4857)</f>
        <v/>
      </c>
      <c r="X4857" s="7">
        <f>IF($C4857="","",W4857-K4857)</f>
        <v/>
      </c>
      <c r="AB4857" s="7" t="n"/>
      <c r="AE4857" s="11" t="n"/>
      <c r="AG4857">
        <f>IF($C4857="","",IF(COUNTIF($C$2:$C4857,$C4857)=1,1,0))</f>
        <v/>
      </c>
      <c r="AH4857">
        <f>IF($AG4857=1,SUMPRODUCT(--($AK$2:$AK$6001&lt;$AK4857))+1,"")</f>
        <v/>
      </c>
      <c r="AI4857">
        <f>IF($C4857="","",IF(OR($N4857=TRUE(),$N4857="TRUE"),1,0))</f>
        <v/>
      </c>
      <c r="AJ4857">
        <f>IF($C4857="","",IF($T4857="Yes",1,0))</f>
        <v/>
      </c>
      <c r="AK4857">
        <f>IF($AG4857=1,IFERROR(IF(VALUE($C4857)&lt;100000000,VALUE($C4857),1000000000),IFERROR(IF(VALUE(MID($C4857,2,20))&lt;100000000,VALUE(MID($C4857,2,20)),1000000000),1000000000))+ROW()/100000,"")</f>
        <v/>
      </c>
    </row>
    <row r="4858">
      <c r="D4858" s="11" t="n"/>
      <c r="K4858" s="7">
        <f>IF($C4858="","",J4858*W4858/100)</f>
        <v/>
      </c>
      <c r="Q4858" s="7" t="n"/>
      <c r="R4858" s="7" t="n"/>
      <c r="U4858">
        <f>IF($C4858="","",IF($AJ4858=1,0,IF($AI4858=1,Settings!$C$6,Settings!$C$7))*100)</f>
        <v/>
      </c>
      <c r="V4858" s="7">
        <f>IF($C4858="","",R4858*U4858/100)</f>
        <v/>
      </c>
      <c r="W4858" s="7">
        <f>IF($C4858="","",R4858-V4858)</f>
        <v/>
      </c>
      <c r="X4858" s="7">
        <f>IF($C4858="","",W4858-K4858)</f>
        <v/>
      </c>
      <c r="AB4858" s="7" t="n"/>
      <c r="AE4858" s="11" t="n"/>
      <c r="AG4858">
        <f>IF($C4858="","",IF(COUNTIF($C$2:$C4858,$C4858)=1,1,0))</f>
        <v/>
      </c>
      <c r="AH4858">
        <f>IF($AG4858=1,SUMPRODUCT(--($AK$2:$AK$6001&lt;$AK4858))+1,"")</f>
        <v/>
      </c>
      <c r="AI4858">
        <f>IF($C4858="","",IF(OR($N4858=TRUE(),$N4858="TRUE"),1,0))</f>
        <v/>
      </c>
      <c r="AJ4858">
        <f>IF($C4858="","",IF($T4858="Yes",1,0))</f>
        <v/>
      </c>
      <c r="AK4858">
        <f>IF($AG4858=1,IFERROR(IF(VALUE($C4858)&lt;100000000,VALUE($C4858),1000000000),IFERROR(IF(VALUE(MID($C4858,2,20))&lt;100000000,VALUE(MID($C4858,2,20)),1000000000),1000000000))+ROW()/100000,"")</f>
        <v/>
      </c>
    </row>
    <row r="4859">
      <c r="D4859" s="11" t="n"/>
      <c r="K4859" s="7">
        <f>IF($C4859="","",J4859*W4859/100)</f>
        <v/>
      </c>
      <c r="Q4859" s="7" t="n"/>
      <c r="R4859" s="7" t="n"/>
      <c r="U4859">
        <f>IF($C4859="","",IF($AJ4859=1,0,IF($AI4859=1,Settings!$C$6,Settings!$C$7))*100)</f>
        <v/>
      </c>
      <c r="V4859" s="7">
        <f>IF($C4859="","",R4859*U4859/100)</f>
        <v/>
      </c>
      <c r="W4859" s="7">
        <f>IF($C4859="","",R4859-V4859)</f>
        <v/>
      </c>
      <c r="X4859" s="7">
        <f>IF($C4859="","",W4859-K4859)</f>
        <v/>
      </c>
      <c r="AB4859" s="7" t="n"/>
      <c r="AE4859" s="11" t="n"/>
      <c r="AG4859">
        <f>IF($C4859="","",IF(COUNTIF($C$2:$C4859,$C4859)=1,1,0))</f>
        <v/>
      </c>
      <c r="AH4859">
        <f>IF($AG4859=1,SUMPRODUCT(--($AK$2:$AK$6001&lt;$AK4859))+1,"")</f>
        <v/>
      </c>
      <c r="AI4859">
        <f>IF($C4859="","",IF(OR($N4859=TRUE(),$N4859="TRUE"),1,0))</f>
        <v/>
      </c>
      <c r="AJ4859">
        <f>IF($C4859="","",IF($T4859="Yes",1,0))</f>
        <v/>
      </c>
      <c r="AK4859">
        <f>IF($AG4859=1,IFERROR(IF(VALUE($C4859)&lt;100000000,VALUE($C4859),1000000000),IFERROR(IF(VALUE(MID($C4859,2,20))&lt;100000000,VALUE(MID($C4859,2,20)),1000000000),1000000000))+ROW()/100000,"")</f>
        <v/>
      </c>
    </row>
    <row r="4860">
      <c r="D4860" s="11" t="n"/>
      <c r="K4860" s="7">
        <f>IF($C4860="","",J4860*W4860/100)</f>
        <v/>
      </c>
      <c r="Q4860" s="7" t="n"/>
      <c r="R4860" s="7" t="n"/>
      <c r="U4860">
        <f>IF($C4860="","",IF($AJ4860=1,0,IF($AI4860=1,Settings!$C$6,Settings!$C$7))*100)</f>
        <v/>
      </c>
      <c r="V4860" s="7">
        <f>IF($C4860="","",R4860*U4860/100)</f>
        <v/>
      </c>
      <c r="W4860" s="7">
        <f>IF($C4860="","",R4860-V4860)</f>
        <v/>
      </c>
      <c r="X4860" s="7">
        <f>IF($C4860="","",W4860-K4860)</f>
        <v/>
      </c>
      <c r="AB4860" s="7" t="n"/>
      <c r="AE4860" s="11" t="n"/>
      <c r="AG4860">
        <f>IF($C4860="","",IF(COUNTIF($C$2:$C4860,$C4860)=1,1,0))</f>
        <v/>
      </c>
      <c r="AH4860">
        <f>IF($AG4860=1,SUMPRODUCT(--($AK$2:$AK$6001&lt;$AK4860))+1,"")</f>
        <v/>
      </c>
      <c r="AI4860">
        <f>IF($C4860="","",IF(OR($N4860=TRUE(),$N4860="TRUE"),1,0))</f>
        <v/>
      </c>
      <c r="AJ4860">
        <f>IF($C4860="","",IF($T4860="Yes",1,0))</f>
        <v/>
      </c>
      <c r="AK4860">
        <f>IF($AG4860=1,IFERROR(IF(VALUE($C4860)&lt;100000000,VALUE($C4860),1000000000),IFERROR(IF(VALUE(MID($C4860,2,20))&lt;100000000,VALUE(MID($C4860,2,20)),1000000000),1000000000))+ROW()/100000,"")</f>
        <v/>
      </c>
    </row>
    <row r="4861">
      <c r="D4861" s="11" t="n"/>
      <c r="K4861" s="7">
        <f>IF($C4861="","",J4861*W4861/100)</f>
        <v/>
      </c>
      <c r="Q4861" s="7" t="n"/>
      <c r="R4861" s="7" t="n"/>
      <c r="U4861">
        <f>IF($C4861="","",IF($AJ4861=1,0,IF($AI4861=1,Settings!$C$6,Settings!$C$7))*100)</f>
        <v/>
      </c>
      <c r="V4861" s="7">
        <f>IF($C4861="","",R4861*U4861/100)</f>
        <v/>
      </c>
      <c r="W4861" s="7">
        <f>IF($C4861="","",R4861-V4861)</f>
        <v/>
      </c>
      <c r="X4861" s="7">
        <f>IF($C4861="","",W4861-K4861)</f>
        <v/>
      </c>
      <c r="AB4861" s="7" t="n"/>
      <c r="AE4861" s="11" t="n"/>
      <c r="AG4861">
        <f>IF($C4861="","",IF(COUNTIF($C$2:$C4861,$C4861)=1,1,0))</f>
        <v/>
      </c>
      <c r="AH4861">
        <f>IF($AG4861=1,SUMPRODUCT(--($AK$2:$AK$6001&lt;$AK4861))+1,"")</f>
        <v/>
      </c>
      <c r="AI4861">
        <f>IF($C4861="","",IF(OR($N4861=TRUE(),$N4861="TRUE"),1,0))</f>
        <v/>
      </c>
      <c r="AJ4861">
        <f>IF($C4861="","",IF($T4861="Yes",1,0))</f>
        <v/>
      </c>
      <c r="AK4861">
        <f>IF($AG4861=1,IFERROR(IF(VALUE($C4861)&lt;100000000,VALUE($C4861),1000000000),IFERROR(IF(VALUE(MID($C4861,2,20))&lt;100000000,VALUE(MID($C4861,2,20)),1000000000),1000000000))+ROW()/100000,"")</f>
        <v/>
      </c>
    </row>
    <row r="4862">
      <c r="D4862" s="11" t="n"/>
      <c r="K4862" s="7">
        <f>IF($C4862="","",J4862*W4862/100)</f>
        <v/>
      </c>
      <c r="Q4862" s="7" t="n"/>
      <c r="R4862" s="7" t="n"/>
      <c r="U4862">
        <f>IF($C4862="","",IF($AJ4862=1,0,IF($AI4862=1,Settings!$C$6,Settings!$C$7))*100)</f>
        <v/>
      </c>
      <c r="V4862" s="7">
        <f>IF($C4862="","",R4862*U4862/100)</f>
        <v/>
      </c>
      <c r="W4862" s="7">
        <f>IF($C4862="","",R4862-V4862)</f>
        <v/>
      </c>
      <c r="X4862" s="7">
        <f>IF($C4862="","",W4862-K4862)</f>
        <v/>
      </c>
      <c r="AB4862" s="7" t="n"/>
      <c r="AE4862" s="11" t="n"/>
      <c r="AG4862">
        <f>IF($C4862="","",IF(COUNTIF($C$2:$C4862,$C4862)=1,1,0))</f>
        <v/>
      </c>
      <c r="AH4862">
        <f>IF($AG4862=1,SUMPRODUCT(--($AK$2:$AK$6001&lt;$AK4862))+1,"")</f>
        <v/>
      </c>
      <c r="AI4862">
        <f>IF($C4862="","",IF(OR($N4862=TRUE(),$N4862="TRUE"),1,0))</f>
        <v/>
      </c>
      <c r="AJ4862">
        <f>IF($C4862="","",IF($T4862="Yes",1,0))</f>
        <v/>
      </c>
      <c r="AK4862">
        <f>IF($AG4862=1,IFERROR(IF(VALUE($C4862)&lt;100000000,VALUE($C4862),1000000000),IFERROR(IF(VALUE(MID($C4862,2,20))&lt;100000000,VALUE(MID($C4862,2,20)),1000000000),1000000000))+ROW()/100000,"")</f>
        <v/>
      </c>
    </row>
    <row r="4863">
      <c r="D4863" s="11" t="n"/>
      <c r="K4863" s="7">
        <f>IF($C4863="","",J4863*W4863/100)</f>
        <v/>
      </c>
      <c r="Q4863" s="7" t="n"/>
      <c r="R4863" s="7" t="n"/>
      <c r="U4863">
        <f>IF($C4863="","",IF($AJ4863=1,0,IF($AI4863=1,Settings!$C$6,Settings!$C$7))*100)</f>
        <v/>
      </c>
      <c r="V4863" s="7">
        <f>IF($C4863="","",R4863*U4863/100)</f>
        <v/>
      </c>
      <c r="W4863" s="7">
        <f>IF($C4863="","",R4863-V4863)</f>
        <v/>
      </c>
      <c r="X4863" s="7">
        <f>IF($C4863="","",W4863-K4863)</f>
        <v/>
      </c>
      <c r="AB4863" s="7" t="n"/>
      <c r="AE4863" s="11" t="n"/>
      <c r="AG4863">
        <f>IF($C4863="","",IF(COUNTIF($C$2:$C4863,$C4863)=1,1,0))</f>
        <v/>
      </c>
      <c r="AH4863">
        <f>IF($AG4863=1,SUMPRODUCT(--($AK$2:$AK$6001&lt;$AK4863))+1,"")</f>
        <v/>
      </c>
      <c r="AI4863">
        <f>IF($C4863="","",IF(OR($N4863=TRUE(),$N4863="TRUE"),1,0))</f>
        <v/>
      </c>
      <c r="AJ4863">
        <f>IF($C4863="","",IF($T4863="Yes",1,0))</f>
        <v/>
      </c>
      <c r="AK4863">
        <f>IF($AG4863=1,IFERROR(IF(VALUE($C4863)&lt;100000000,VALUE($C4863),1000000000),IFERROR(IF(VALUE(MID($C4863,2,20))&lt;100000000,VALUE(MID($C4863,2,20)),1000000000),1000000000))+ROW()/100000,"")</f>
        <v/>
      </c>
    </row>
    <row r="4864">
      <c r="D4864" s="11" t="n"/>
      <c r="K4864" s="7">
        <f>IF($C4864="","",J4864*W4864/100)</f>
        <v/>
      </c>
      <c r="Q4864" s="7" t="n"/>
      <c r="R4864" s="7" t="n"/>
      <c r="U4864">
        <f>IF($C4864="","",IF($AJ4864=1,0,IF($AI4864=1,Settings!$C$6,Settings!$C$7))*100)</f>
        <v/>
      </c>
      <c r="V4864" s="7">
        <f>IF($C4864="","",R4864*U4864/100)</f>
        <v/>
      </c>
      <c r="W4864" s="7">
        <f>IF($C4864="","",R4864-V4864)</f>
        <v/>
      </c>
      <c r="X4864" s="7">
        <f>IF($C4864="","",W4864-K4864)</f>
        <v/>
      </c>
      <c r="AB4864" s="7" t="n"/>
      <c r="AE4864" s="11" t="n"/>
      <c r="AG4864">
        <f>IF($C4864="","",IF(COUNTIF($C$2:$C4864,$C4864)=1,1,0))</f>
        <v/>
      </c>
      <c r="AH4864">
        <f>IF($AG4864=1,SUMPRODUCT(--($AK$2:$AK$6001&lt;$AK4864))+1,"")</f>
        <v/>
      </c>
      <c r="AI4864">
        <f>IF($C4864="","",IF(OR($N4864=TRUE(),$N4864="TRUE"),1,0))</f>
        <v/>
      </c>
      <c r="AJ4864">
        <f>IF($C4864="","",IF($T4864="Yes",1,0))</f>
        <v/>
      </c>
      <c r="AK4864">
        <f>IF($AG4864=1,IFERROR(IF(VALUE($C4864)&lt;100000000,VALUE($C4864),1000000000),IFERROR(IF(VALUE(MID($C4864,2,20))&lt;100000000,VALUE(MID($C4864,2,20)),1000000000),1000000000))+ROW()/100000,"")</f>
        <v/>
      </c>
    </row>
    <row r="4865">
      <c r="D4865" s="11" t="n"/>
      <c r="K4865" s="7">
        <f>IF($C4865="","",J4865*W4865/100)</f>
        <v/>
      </c>
      <c r="Q4865" s="7" t="n"/>
      <c r="R4865" s="7" t="n"/>
      <c r="U4865">
        <f>IF($C4865="","",IF($AJ4865=1,0,IF($AI4865=1,Settings!$C$6,Settings!$C$7))*100)</f>
        <v/>
      </c>
      <c r="V4865" s="7">
        <f>IF($C4865="","",R4865*U4865/100)</f>
        <v/>
      </c>
      <c r="W4865" s="7">
        <f>IF($C4865="","",R4865-V4865)</f>
        <v/>
      </c>
      <c r="X4865" s="7">
        <f>IF($C4865="","",W4865-K4865)</f>
        <v/>
      </c>
      <c r="AB4865" s="7" t="n"/>
      <c r="AE4865" s="11" t="n"/>
      <c r="AG4865">
        <f>IF($C4865="","",IF(COUNTIF($C$2:$C4865,$C4865)=1,1,0))</f>
        <v/>
      </c>
      <c r="AH4865">
        <f>IF($AG4865=1,SUMPRODUCT(--($AK$2:$AK$6001&lt;$AK4865))+1,"")</f>
        <v/>
      </c>
      <c r="AI4865">
        <f>IF($C4865="","",IF(OR($N4865=TRUE(),$N4865="TRUE"),1,0))</f>
        <v/>
      </c>
      <c r="AJ4865">
        <f>IF($C4865="","",IF($T4865="Yes",1,0))</f>
        <v/>
      </c>
      <c r="AK4865">
        <f>IF($AG4865=1,IFERROR(IF(VALUE($C4865)&lt;100000000,VALUE($C4865),1000000000),IFERROR(IF(VALUE(MID($C4865,2,20))&lt;100000000,VALUE(MID($C4865,2,20)),1000000000),1000000000))+ROW()/100000,"")</f>
        <v/>
      </c>
    </row>
    <row r="4866">
      <c r="D4866" s="11" t="n"/>
      <c r="K4866" s="7">
        <f>IF($C4866="","",J4866*W4866/100)</f>
        <v/>
      </c>
      <c r="Q4866" s="7" t="n"/>
      <c r="R4866" s="7" t="n"/>
      <c r="U4866">
        <f>IF($C4866="","",IF($AJ4866=1,0,IF($AI4866=1,Settings!$C$6,Settings!$C$7))*100)</f>
        <v/>
      </c>
      <c r="V4866" s="7">
        <f>IF($C4866="","",R4866*U4866/100)</f>
        <v/>
      </c>
      <c r="W4866" s="7">
        <f>IF($C4866="","",R4866-V4866)</f>
        <v/>
      </c>
      <c r="X4866" s="7">
        <f>IF($C4866="","",W4866-K4866)</f>
        <v/>
      </c>
      <c r="AB4866" s="7" t="n"/>
      <c r="AE4866" s="11" t="n"/>
      <c r="AG4866">
        <f>IF($C4866="","",IF(COUNTIF($C$2:$C4866,$C4866)=1,1,0))</f>
        <v/>
      </c>
      <c r="AH4866">
        <f>IF($AG4866=1,SUMPRODUCT(--($AK$2:$AK$6001&lt;$AK4866))+1,"")</f>
        <v/>
      </c>
      <c r="AI4866">
        <f>IF($C4866="","",IF(OR($N4866=TRUE(),$N4866="TRUE"),1,0))</f>
        <v/>
      </c>
      <c r="AJ4866">
        <f>IF($C4866="","",IF($T4866="Yes",1,0))</f>
        <v/>
      </c>
      <c r="AK4866">
        <f>IF($AG4866=1,IFERROR(IF(VALUE($C4866)&lt;100000000,VALUE($C4866),1000000000),IFERROR(IF(VALUE(MID($C4866,2,20))&lt;100000000,VALUE(MID($C4866,2,20)),1000000000),1000000000))+ROW()/100000,"")</f>
        <v/>
      </c>
    </row>
    <row r="4867">
      <c r="D4867" s="11" t="n"/>
      <c r="K4867" s="7">
        <f>IF($C4867="","",J4867*W4867/100)</f>
        <v/>
      </c>
      <c r="Q4867" s="7" t="n"/>
      <c r="R4867" s="7" t="n"/>
      <c r="U4867">
        <f>IF($C4867="","",IF($AJ4867=1,0,IF($AI4867=1,Settings!$C$6,Settings!$C$7))*100)</f>
        <v/>
      </c>
      <c r="V4867" s="7">
        <f>IF($C4867="","",R4867*U4867/100)</f>
        <v/>
      </c>
      <c r="W4867" s="7">
        <f>IF($C4867="","",R4867-V4867)</f>
        <v/>
      </c>
      <c r="X4867" s="7">
        <f>IF($C4867="","",W4867-K4867)</f>
        <v/>
      </c>
      <c r="AB4867" s="7" t="n"/>
      <c r="AE4867" s="11" t="n"/>
      <c r="AG4867">
        <f>IF($C4867="","",IF(COUNTIF($C$2:$C4867,$C4867)=1,1,0))</f>
        <v/>
      </c>
      <c r="AH4867">
        <f>IF($AG4867=1,SUMPRODUCT(--($AK$2:$AK$6001&lt;$AK4867))+1,"")</f>
        <v/>
      </c>
      <c r="AI4867">
        <f>IF($C4867="","",IF(OR($N4867=TRUE(),$N4867="TRUE"),1,0))</f>
        <v/>
      </c>
      <c r="AJ4867">
        <f>IF($C4867="","",IF($T4867="Yes",1,0))</f>
        <v/>
      </c>
      <c r="AK4867">
        <f>IF($AG4867=1,IFERROR(IF(VALUE($C4867)&lt;100000000,VALUE($C4867),1000000000),IFERROR(IF(VALUE(MID($C4867,2,20))&lt;100000000,VALUE(MID($C4867,2,20)),1000000000),1000000000))+ROW()/100000,"")</f>
        <v/>
      </c>
    </row>
    <row r="4868">
      <c r="D4868" s="11" t="n"/>
      <c r="K4868" s="7">
        <f>IF($C4868="","",J4868*W4868/100)</f>
        <v/>
      </c>
      <c r="Q4868" s="7" t="n"/>
      <c r="R4868" s="7" t="n"/>
      <c r="U4868">
        <f>IF($C4868="","",IF($AJ4868=1,0,IF($AI4868=1,Settings!$C$6,Settings!$C$7))*100)</f>
        <v/>
      </c>
      <c r="V4868" s="7">
        <f>IF($C4868="","",R4868*U4868/100)</f>
        <v/>
      </c>
      <c r="W4868" s="7">
        <f>IF($C4868="","",R4868-V4868)</f>
        <v/>
      </c>
      <c r="X4868" s="7">
        <f>IF($C4868="","",W4868-K4868)</f>
        <v/>
      </c>
      <c r="AB4868" s="7" t="n"/>
      <c r="AE4868" s="11" t="n"/>
      <c r="AG4868">
        <f>IF($C4868="","",IF(COUNTIF($C$2:$C4868,$C4868)=1,1,0))</f>
        <v/>
      </c>
      <c r="AH4868">
        <f>IF($AG4868=1,SUMPRODUCT(--($AK$2:$AK$6001&lt;$AK4868))+1,"")</f>
        <v/>
      </c>
      <c r="AI4868">
        <f>IF($C4868="","",IF(OR($N4868=TRUE(),$N4868="TRUE"),1,0))</f>
        <v/>
      </c>
      <c r="AJ4868">
        <f>IF($C4868="","",IF($T4868="Yes",1,0))</f>
        <v/>
      </c>
      <c r="AK4868">
        <f>IF($AG4868=1,IFERROR(IF(VALUE($C4868)&lt;100000000,VALUE($C4868),1000000000),IFERROR(IF(VALUE(MID($C4868,2,20))&lt;100000000,VALUE(MID($C4868,2,20)),1000000000),1000000000))+ROW()/100000,"")</f>
        <v/>
      </c>
    </row>
    <row r="4869">
      <c r="D4869" s="11" t="n"/>
      <c r="K4869" s="7">
        <f>IF($C4869="","",J4869*W4869/100)</f>
        <v/>
      </c>
      <c r="Q4869" s="7" t="n"/>
      <c r="R4869" s="7" t="n"/>
      <c r="U4869">
        <f>IF($C4869="","",IF($AJ4869=1,0,IF($AI4869=1,Settings!$C$6,Settings!$C$7))*100)</f>
        <v/>
      </c>
      <c r="V4869" s="7">
        <f>IF($C4869="","",R4869*U4869/100)</f>
        <v/>
      </c>
      <c r="W4869" s="7">
        <f>IF($C4869="","",R4869-V4869)</f>
        <v/>
      </c>
      <c r="X4869" s="7">
        <f>IF($C4869="","",W4869-K4869)</f>
        <v/>
      </c>
      <c r="AB4869" s="7" t="n"/>
      <c r="AE4869" s="11" t="n"/>
      <c r="AG4869">
        <f>IF($C4869="","",IF(COUNTIF($C$2:$C4869,$C4869)=1,1,0))</f>
        <v/>
      </c>
      <c r="AH4869">
        <f>IF($AG4869=1,SUMPRODUCT(--($AK$2:$AK$6001&lt;$AK4869))+1,"")</f>
        <v/>
      </c>
      <c r="AI4869">
        <f>IF($C4869="","",IF(OR($N4869=TRUE(),$N4869="TRUE"),1,0))</f>
        <v/>
      </c>
      <c r="AJ4869">
        <f>IF($C4869="","",IF($T4869="Yes",1,0))</f>
        <v/>
      </c>
      <c r="AK4869">
        <f>IF($AG4869=1,IFERROR(IF(VALUE($C4869)&lt;100000000,VALUE($C4869),1000000000),IFERROR(IF(VALUE(MID($C4869,2,20))&lt;100000000,VALUE(MID($C4869,2,20)),1000000000),1000000000))+ROW()/100000,"")</f>
        <v/>
      </c>
    </row>
    <row r="4870">
      <c r="D4870" s="11" t="n"/>
      <c r="K4870" s="7">
        <f>IF($C4870="","",J4870*W4870/100)</f>
        <v/>
      </c>
      <c r="Q4870" s="7" t="n"/>
      <c r="R4870" s="7" t="n"/>
      <c r="U4870">
        <f>IF($C4870="","",IF($AJ4870=1,0,IF($AI4870=1,Settings!$C$6,Settings!$C$7))*100)</f>
        <v/>
      </c>
      <c r="V4870" s="7">
        <f>IF($C4870="","",R4870*U4870/100)</f>
        <v/>
      </c>
      <c r="W4870" s="7">
        <f>IF($C4870="","",R4870-V4870)</f>
        <v/>
      </c>
      <c r="X4870" s="7">
        <f>IF($C4870="","",W4870-K4870)</f>
        <v/>
      </c>
      <c r="AB4870" s="7" t="n"/>
      <c r="AE4870" s="11" t="n"/>
      <c r="AG4870">
        <f>IF($C4870="","",IF(COUNTIF($C$2:$C4870,$C4870)=1,1,0))</f>
        <v/>
      </c>
      <c r="AH4870">
        <f>IF($AG4870=1,SUMPRODUCT(--($AK$2:$AK$6001&lt;$AK4870))+1,"")</f>
        <v/>
      </c>
      <c r="AI4870">
        <f>IF($C4870="","",IF(OR($N4870=TRUE(),$N4870="TRUE"),1,0))</f>
        <v/>
      </c>
      <c r="AJ4870">
        <f>IF($C4870="","",IF($T4870="Yes",1,0))</f>
        <v/>
      </c>
      <c r="AK4870">
        <f>IF($AG4870=1,IFERROR(IF(VALUE($C4870)&lt;100000000,VALUE($C4870),1000000000),IFERROR(IF(VALUE(MID($C4870,2,20))&lt;100000000,VALUE(MID($C4870,2,20)),1000000000),1000000000))+ROW()/100000,"")</f>
        <v/>
      </c>
    </row>
    <row r="4871">
      <c r="D4871" s="11" t="n"/>
      <c r="K4871" s="7">
        <f>IF($C4871="","",J4871*W4871/100)</f>
        <v/>
      </c>
      <c r="Q4871" s="7" t="n"/>
      <c r="R4871" s="7" t="n"/>
      <c r="U4871">
        <f>IF($C4871="","",IF($AJ4871=1,0,IF($AI4871=1,Settings!$C$6,Settings!$C$7))*100)</f>
        <v/>
      </c>
      <c r="V4871" s="7">
        <f>IF($C4871="","",R4871*U4871/100)</f>
        <v/>
      </c>
      <c r="W4871" s="7">
        <f>IF($C4871="","",R4871-V4871)</f>
        <v/>
      </c>
      <c r="X4871" s="7">
        <f>IF($C4871="","",W4871-K4871)</f>
        <v/>
      </c>
      <c r="AB4871" s="7" t="n"/>
      <c r="AE4871" s="11" t="n"/>
      <c r="AG4871">
        <f>IF($C4871="","",IF(COUNTIF($C$2:$C4871,$C4871)=1,1,0))</f>
        <v/>
      </c>
      <c r="AH4871">
        <f>IF($AG4871=1,SUMPRODUCT(--($AK$2:$AK$6001&lt;$AK4871))+1,"")</f>
        <v/>
      </c>
      <c r="AI4871">
        <f>IF($C4871="","",IF(OR($N4871=TRUE(),$N4871="TRUE"),1,0))</f>
        <v/>
      </c>
      <c r="AJ4871">
        <f>IF($C4871="","",IF($T4871="Yes",1,0))</f>
        <v/>
      </c>
      <c r="AK4871">
        <f>IF($AG4871=1,IFERROR(IF(VALUE($C4871)&lt;100000000,VALUE($C4871),1000000000),IFERROR(IF(VALUE(MID($C4871,2,20))&lt;100000000,VALUE(MID($C4871,2,20)),1000000000),1000000000))+ROW()/100000,"")</f>
        <v/>
      </c>
    </row>
    <row r="4872">
      <c r="D4872" s="11" t="n"/>
      <c r="K4872" s="7">
        <f>IF($C4872="","",J4872*W4872/100)</f>
        <v/>
      </c>
      <c r="Q4872" s="7" t="n"/>
      <c r="R4872" s="7" t="n"/>
      <c r="U4872">
        <f>IF($C4872="","",IF($AJ4872=1,0,IF($AI4872=1,Settings!$C$6,Settings!$C$7))*100)</f>
        <v/>
      </c>
      <c r="V4872" s="7">
        <f>IF($C4872="","",R4872*U4872/100)</f>
        <v/>
      </c>
      <c r="W4872" s="7">
        <f>IF($C4872="","",R4872-V4872)</f>
        <v/>
      </c>
      <c r="X4872" s="7">
        <f>IF($C4872="","",W4872-K4872)</f>
        <v/>
      </c>
      <c r="AB4872" s="7" t="n"/>
      <c r="AE4872" s="11" t="n"/>
      <c r="AG4872">
        <f>IF($C4872="","",IF(COUNTIF($C$2:$C4872,$C4872)=1,1,0))</f>
        <v/>
      </c>
      <c r="AH4872">
        <f>IF($AG4872=1,SUMPRODUCT(--($AK$2:$AK$6001&lt;$AK4872))+1,"")</f>
        <v/>
      </c>
      <c r="AI4872">
        <f>IF($C4872="","",IF(OR($N4872=TRUE(),$N4872="TRUE"),1,0))</f>
        <v/>
      </c>
      <c r="AJ4872">
        <f>IF($C4872="","",IF($T4872="Yes",1,0))</f>
        <v/>
      </c>
      <c r="AK4872">
        <f>IF($AG4872=1,IFERROR(IF(VALUE($C4872)&lt;100000000,VALUE($C4872),1000000000),IFERROR(IF(VALUE(MID($C4872,2,20))&lt;100000000,VALUE(MID($C4872,2,20)),1000000000),1000000000))+ROW()/100000,"")</f>
        <v/>
      </c>
    </row>
    <row r="4873">
      <c r="D4873" s="11" t="n"/>
      <c r="K4873" s="7">
        <f>IF($C4873="","",J4873*W4873/100)</f>
        <v/>
      </c>
      <c r="Q4873" s="7" t="n"/>
      <c r="R4873" s="7" t="n"/>
      <c r="U4873">
        <f>IF($C4873="","",IF($AJ4873=1,0,IF($AI4873=1,Settings!$C$6,Settings!$C$7))*100)</f>
        <v/>
      </c>
      <c r="V4873" s="7">
        <f>IF($C4873="","",R4873*U4873/100)</f>
        <v/>
      </c>
      <c r="W4873" s="7">
        <f>IF($C4873="","",R4873-V4873)</f>
        <v/>
      </c>
      <c r="X4873" s="7">
        <f>IF($C4873="","",W4873-K4873)</f>
        <v/>
      </c>
      <c r="AB4873" s="7" t="n"/>
      <c r="AE4873" s="11" t="n"/>
      <c r="AG4873">
        <f>IF($C4873="","",IF(COUNTIF($C$2:$C4873,$C4873)=1,1,0))</f>
        <v/>
      </c>
      <c r="AH4873">
        <f>IF($AG4873=1,SUMPRODUCT(--($AK$2:$AK$6001&lt;$AK4873))+1,"")</f>
        <v/>
      </c>
      <c r="AI4873">
        <f>IF($C4873="","",IF(OR($N4873=TRUE(),$N4873="TRUE"),1,0))</f>
        <v/>
      </c>
      <c r="AJ4873">
        <f>IF($C4873="","",IF($T4873="Yes",1,0))</f>
        <v/>
      </c>
      <c r="AK4873">
        <f>IF($AG4873=1,IFERROR(IF(VALUE($C4873)&lt;100000000,VALUE($C4873),1000000000),IFERROR(IF(VALUE(MID($C4873,2,20))&lt;100000000,VALUE(MID($C4873,2,20)),1000000000),1000000000))+ROW()/100000,"")</f>
        <v/>
      </c>
    </row>
    <row r="4874">
      <c r="D4874" s="11" t="n"/>
      <c r="K4874" s="7">
        <f>IF($C4874="","",J4874*W4874/100)</f>
        <v/>
      </c>
      <c r="Q4874" s="7" t="n"/>
      <c r="R4874" s="7" t="n"/>
      <c r="U4874">
        <f>IF($C4874="","",IF($AJ4874=1,0,IF($AI4874=1,Settings!$C$6,Settings!$C$7))*100)</f>
        <v/>
      </c>
      <c r="V4874" s="7">
        <f>IF($C4874="","",R4874*U4874/100)</f>
        <v/>
      </c>
      <c r="W4874" s="7">
        <f>IF($C4874="","",R4874-V4874)</f>
        <v/>
      </c>
      <c r="X4874" s="7">
        <f>IF($C4874="","",W4874-K4874)</f>
        <v/>
      </c>
      <c r="AB4874" s="7" t="n"/>
      <c r="AE4874" s="11" t="n"/>
      <c r="AG4874">
        <f>IF($C4874="","",IF(COUNTIF($C$2:$C4874,$C4874)=1,1,0))</f>
        <v/>
      </c>
      <c r="AH4874">
        <f>IF($AG4874=1,SUMPRODUCT(--($AK$2:$AK$6001&lt;$AK4874))+1,"")</f>
        <v/>
      </c>
      <c r="AI4874">
        <f>IF($C4874="","",IF(OR($N4874=TRUE(),$N4874="TRUE"),1,0))</f>
        <v/>
      </c>
      <c r="AJ4874">
        <f>IF($C4874="","",IF($T4874="Yes",1,0))</f>
        <v/>
      </c>
      <c r="AK4874">
        <f>IF($AG4874=1,IFERROR(IF(VALUE($C4874)&lt;100000000,VALUE($C4874),1000000000),IFERROR(IF(VALUE(MID($C4874,2,20))&lt;100000000,VALUE(MID($C4874,2,20)),1000000000),1000000000))+ROW()/100000,"")</f>
        <v/>
      </c>
    </row>
    <row r="4875">
      <c r="D4875" s="11" t="n"/>
      <c r="K4875" s="7">
        <f>IF($C4875="","",J4875*W4875/100)</f>
        <v/>
      </c>
      <c r="Q4875" s="7" t="n"/>
      <c r="R4875" s="7" t="n"/>
      <c r="U4875">
        <f>IF($C4875="","",IF($AJ4875=1,0,IF($AI4875=1,Settings!$C$6,Settings!$C$7))*100)</f>
        <v/>
      </c>
      <c r="V4875" s="7">
        <f>IF($C4875="","",R4875*U4875/100)</f>
        <v/>
      </c>
      <c r="W4875" s="7">
        <f>IF($C4875="","",R4875-V4875)</f>
        <v/>
      </c>
      <c r="X4875" s="7">
        <f>IF($C4875="","",W4875-K4875)</f>
        <v/>
      </c>
      <c r="AB4875" s="7" t="n"/>
      <c r="AE4875" s="11" t="n"/>
      <c r="AG4875">
        <f>IF($C4875="","",IF(COUNTIF($C$2:$C4875,$C4875)=1,1,0))</f>
        <v/>
      </c>
      <c r="AH4875">
        <f>IF($AG4875=1,SUMPRODUCT(--($AK$2:$AK$6001&lt;$AK4875))+1,"")</f>
        <v/>
      </c>
      <c r="AI4875">
        <f>IF($C4875="","",IF(OR($N4875=TRUE(),$N4875="TRUE"),1,0))</f>
        <v/>
      </c>
      <c r="AJ4875">
        <f>IF($C4875="","",IF($T4875="Yes",1,0))</f>
        <v/>
      </c>
      <c r="AK4875">
        <f>IF($AG4875=1,IFERROR(IF(VALUE($C4875)&lt;100000000,VALUE($C4875),1000000000),IFERROR(IF(VALUE(MID($C4875,2,20))&lt;100000000,VALUE(MID($C4875,2,20)),1000000000),1000000000))+ROW()/100000,"")</f>
        <v/>
      </c>
    </row>
    <row r="4876">
      <c r="D4876" s="11" t="n"/>
      <c r="K4876" s="7">
        <f>IF($C4876="","",J4876*W4876/100)</f>
        <v/>
      </c>
      <c r="Q4876" s="7" t="n"/>
      <c r="R4876" s="7" t="n"/>
      <c r="U4876">
        <f>IF($C4876="","",IF($AJ4876=1,0,IF($AI4876=1,Settings!$C$6,Settings!$C$7))*100)</f>
        <v/>
      </c>
      <c r="V4876" s="7">
        <f>IF($C4876="","",R4876*U4876/100)</f>
        <v/>
      </c>
      <c r="W4876" s="7">
        <f>IF($C4876="","",R4876-V4876)</f>
        <v/>
      </c>
      <c r="X4876" s="7">
        <f>IF($C4876="","",W4876-K4876)</f>
        <v/>
      </c>
      <c r="AB4876" s="7" t="n"/>
      <c r="AE4876" s="11" t="n"/>
      <c r="AG4876">
        <f>IF($C4876="","",IF(COUNTIF($C$2:$C4876,$C4876)=1,1,0))</f>
        <v/>
      </c>
      <c r="AH4876">
        <f>IF($AG4876=1,SUMPRODUCT(--($AK$2:$AK$6001&lt;$AK4876))+1,"")</f>
        <v/>
      </c>
      <c r="AI4876">
        <f>IF($C4876="","",IF(OR($N4876=TRUE(),$N4876="TRUE"),1,0))</f>
        <v/>
      </c>
      <c r="AJ4876">
        <f>IF($C4876="","",IF($T4876="Yes",1,0))</f>
        <v/>
      </c>
      <c r="AK4876">
        <f>IF($AG4876=1,IFERROR(IF(VALUE($C4876)&lt;100000000,VALUE($C4876),1000000000),IFERROR(IF(VALUE(MID($C4876,2,20))&lt;100000000,VALUE(MID($C4876,2,20)),1000000000),1000000000))+ROW()/100000,"")</f>
        <v/>
      </c>
    </row>
    <row r="4877">
      <c r="D4877" s="11" t="n"/>
      <c r="K4877" s="7">
        <f>IF($C4877="","",J4877*W4877/100)</f>
        <v/>
      </c>
      <c r="Q4877" s="7" t="n"/>
      <c r="R4877" s="7" t="n"/>
      <c r="U4877">
        <f>IF($C4877="","",IF($AJ4877=1,0,IF($AI4877=1,Settings!$C$6,Settings!$C$7))*100)</f>
        <v/>
      </c>
      <c r="V4877" s="7">
        <f>IF($C4877="","",R4877*U4877/100)</f>
        <v/>
      </c>
      <c r="W4877" s="7">
        <f>IF($C4877="","",R4877-V4877)</f>
        <v/>
      </c>
      <c r="X4877" s="7">
        <f>IF($C4877="","",W4877-K4877)</f>
        <v/>
      </c>
      <c r="AB4877" s="7" t="n"/>
      <c r="AE4877" s="11" t="n"/>
      <c r="AG4877">
        <f>IF($C4877="","",IF(COUNTIF($C$2:$C4877,$C4877)=1,1,0))</f>
        <v/>
      </c>
      <c r="AH4877">
        <f>IF($AG4877=1,SUMPRODUCT(--($AK$2:$AK$6001&lt;$AK4877))+1,"")</f>
        <v/>
      </c>
      <c r="AI4877">
        <f>IF($C4877="","",IF(OR($N4877=TRUE(),$N4877="TRUE"),1,0))</f>
        <v/>
      </c>
      <c r="AJ4877">
        <f>IF($C4877="","",IF($T4877="Yes",1,0))</f>
        <v/>
      </c>
      <c r="AK4877">
        <f>IF($AG4877=1,IFERROR(IF(VALUE($C4877)&lt;100000000,VALUE($C4877),1000000000),IFERROR(IF(VALUE(MID($C4877,2,20))&lt;100000000,VALUE(MID($C4877,2,20)),1000000000),1000000000))+ROW()/100000,"")</f>
        <v/>
      </c>
    </row>
    <row r="4878">
      <c r="D4878" s="11" t="n"/>
      <c r="K4878" s="7">
        <f>IF($C4878="","",J4878*W4878/100)</f>
        <v/>
      </c>
      <c r="Q4878" s="7" t="n"/>
      <c r="R4878" s="7" t="n"/>
      <c r="U4878">
        <f>IF($C4878="","",IF($AJ4878=1,0,IF($AI4878=1,Settings!$C$6,Settings!$C$7))*100)</f>
        <v/>
      </c>
      <c r="V4878" s="7">
        <f>IF($C4878="","",R4878*U4878/100)</f>
        <v/>
      </c>
      <c r="W4878" s="7">
        <f>IF($C4878="","",R4878-V4878)</f>
        <v/>
      </c>
      <c r="X4878" s="7">
        <f>IF($C4878="","",W4878-K4878)</f>
        <v/>
      </c>
      <c r="AB4878" s="7" t="n"/>
      <c r="AE4878" s="11" t="n"/>
      <c r="AG4878">
        <f>IF($C4878="","",IF(COUNTIF($C$2:$C4878,$C4878)=1,1,0))</f>
        <v/>
      </c>
      <c r="AH4878">
        <f>IF($AG4878=1,SUMPRODUCT(--($AK$2:$AK$6001&lt;$AK4878))+1,"")</f>
        <v/>
      </c>
      <c r="AI4878">
        <f>IF($C4878="","",IF(OR($N4878=TRUE(),$N4878="TRUE"),1,0))</f>
        <v/>
      </c>
      <c r="AJ4878">
        <f>IF($C4878="","",IF($T4878="Yes",1,0))</f>
        <v/>
      </c>
      <c r="AK4878">
        <f>IF($AG4878=1,IFERROR(IF(VALUE($C4878)&lt;100000000,VALUE($C4878),1000000000),IFERROR(IF(VALUE(MID($C4878,2,20))&lt;100000000,VALUE(MID($C4878,2,20)),1000000000),1000000000))+ROW()/100000,"")</f>
        <v/>
      </c>
    </row>
    <row r="4879">
      <c r="D4879" s="11" t="n"/>
      <c r="K4879" s="7">
        <f>IF($C4879="","",J4879*W4879/100)</f>
        <v/>
      </c>
      <c r="Q4879" s="7" t="n"/>
      <c r="R4879" s="7" t="n"/>
      <c r="U4879">
        <f>IF($C4879="","",IF($AJ4879=1,0,IF($AI4879=1,Settings!$C$6,Settings!$C$7))*100)</f>
        <v/>
      </c>
      <c r="V4879" s="7">
        <f>IF($C4879="","",R4879*U4879/100)</f>
        <v/>
      </c>
      <c r="W4879" s="7">
        <f>IF($C4879="","",R4879-V4879)</f>
        <v/>
      </c>
      <c r="X4879" s="7">
        <f>IF($C4879="","",W4879-K4879)</f>
        <v/>
      </c>
      <c r="AB4879" s="7" t="n"/>
      <c r="AE4879" s="11" t="n"/>
      <c r="AG4879">
        <f>IF($C4879="","",IF(COUNTIF($C$2:$C4879,$C4879)=1,1,0))</f>
        <v/>
      </c>
      <c r="AH4879">
        <f>IF($AG4879=1,SUMPRODUCT(--($AK$2:$AK$6001&lt;$AK4879))+1,"")</f>
        <v/>
      </c>
      <c r="AI4879">
        <f>IF($C4879="","",IF(OR($N4879=TRUE(),$N4879="TRUE"),1,0))</f>
        <v/>
      </c>
      <c r="AJ4879">
        <f>IF($C4879="","",IF($T4879="Yes",1,0))</f>
        <v/>
      </c>
      <c r="AK4879">
        <f>IF($AG4879=1,IFERROR(IF(VALUE($C4879)&lt;100000000,VALUE($C4879),1000000000),IFERROR(IF(VALUE(MID($C4879,2,20))&lt;100000000,VALUE(MID($C4879,2,20)),1000000000),1000000000))+ROW()/100000,"")</f>
        <v/>
      </c>
    </row>
    <row r="4880">
      <c r="D4880" s="11" t="n"/>
      <c r="K4880" s="7">
        <f>IF($C4880="","",J4880*W4880/100)</f>
        <v/>
      </c>
      <c r="Q4880" s="7" t="n"/>
      <c r="R4880" s="7" t="n"/>
      <c r="U4880">
        <f>IF($C4880="","",IF($AJ4880=1,0,IF($AI4880=1,Settings!$C$6,Settings!$C$7))*100)</f>
        <v/>
      </c>
      <c r="V4880" s="7">
        <f>IF($C4880="","",R4880*U4880/100)</f>
        <v/>
      </c>
      <c r="W4880" s="7">
        <f>IF($C4880="","",R4880-V4880)</f>
        <v/>
      </c>
      <c r="X4880" s="7">
        <f>IF($C4880="","",W4880-K4880)</f>
        <v/>
      </c>
      <c r="AB4880" s="7" t="n"/>
      <c r="AE4880" s="11" t="n"/>
      <c r="AG4880">
        <f>IF($C4880="","",IF(COUNTIF($C$2:$C4880,$C4880)=1,1,0))</f>
        <v/>
      </c>
      <c r="AH4880">
        <f>IF($AG4880=1,SUMPRODUCT(--($AK$2:$AK$6001&lt;$AK4880))+1,"")</f>
        <v/>
      </c>
      <c r="AI4880">
        <f>IF($C4880="","",IF(OR($N4880=TRUE(),$N4880="TRUE"),1,0))</f>
        <v/>
      </c>
      <c r="AJ4880">
        <f>IF($C4880="","",IF($T4880="Yes",1,0))</f>
        <v/>
      </c>
      <c r="AK4880">
        <f>IF($AG4880=1,IFERROR(IF(VALUE($C4880)&lt;100000000,VALUE($C4880),1000000000),IFERROR(IF(VALUE(MID($C4880,2,20))&lt;100000000,VALUE(MID($C4880,2,20)),1000000000),1000000000))+ROW()/100000,"")</f>
        <v/>
      </c>
    </row>
    <row r="4881">
      <c r="D4881" s="11" t="n"/>
      <c r="K4881" s="7">
        <f>IF($C4881="","",J4881*W4881/100)</f>
        <v/>
      </c>
      <c r="Q4881" s="7" t="n"/>
      <c r="R4881" s="7" t="n"/>
      <c r="U4881">
        <f>IF($C4881="","",IF($AJ4881=1,0,IF($AI4881=1,Settings!$C$6,Settings!$C$7))*100)</f>
        <v/>
      </c>
      <c r="V4881" s="7">
        <f>IF($C4881="","",R4881*U4881/100)</f>
        <v/>
      </c>
      <c r="W4881" s="7">
        <f>IF($C4881="","",R4881-V4881)</f>
        <v/>
      </c>
      <c r="X4881" s="7">
        <f>IF($C4881="","",W4881-K4881)</f>
        <v/>
      </c>
      <c r="AB4881" s="7" t="n"/>
      <c r="AE4881" s="11" t="n"/>
      <c r="AG4881">
        <f>IF($C4881="","",IF(COUNTIF($C$2:$C4881,$C4881)=1,1,0))</f>
        <v/>
      </c>
      <c r="AH4881">
        <f>IF($AG4881=1,SUMPRODUCT(--($AK$2:$AK$6001&lt;$AK4881))+1,"")</f>
        <v/>
      </c>
      <c r="AI4881">
        <f>IF($C4881="","",IF(OR($N4881=TRUE(),$N4881="TRUE"),1,0))</f>
        <v/>
      </c>
      <c r="AJ4881">
        <f>IF($C4881="","",IF($T4881="Yes",1,0))</f>
        <v/>
      </c>
      <c r="AK4881">
        <f>IF($AG4881=1,IFERROR(IF(VALUE($C4881)&lt;100000000,VALUE($C4881),1000000000),IFERROR(IF(VALUE(MID($C4881,2,20))&lt;100000000,VALUE(MID($C4881,2,20)),1000000000),1000000000))+ROW()/100000,"")</f>
        <v/>
      </c>
    </row>
    <row r="4882">
      <c r="D4882" s="11" t="n"/>
      <c r="K4882" s="7">
        <f>IF($C4882="","",J4882*W4882/100)</f>
        <v/>
      </c>
      <c r="Q4882" s="7" t="n"/>
      <c r="R4882" s="7" t="n"/>
      <c r="U4882">
        <f>IF($C4882="","",IF($AJ4882=1,0,IF($AI4882=1,Settings!$C$6,Settings!$C$7))*100)</f>
        <v/>
      </c>
      <c r="V4882" s="7">
        <f>IF($C4882="","",R4882*U4882/100)</f>
        <v/>
      </c>
      <c r="W4882" s="7">
        <f>IF($C4882="","",R4882-V4882)</f>
        <v/>
      </c>
      <c r="X4882" s="7">
        <f>IF($C4882="","",W4882-K4882)</f>
        <v/>
      </c>
      <c r="AB4882" s="7" t="n"/>
      <c r="AE4882" s="11" t="n"/>
      <c r="AG4882">
        <f>IF($C4882="","",IF(COUNTIF($C$2:$C4882,$C4882)=1,1,0))</f>
        <v/>
      </c>
      <c r="AH4882">
        <f>IF($AG4882=1,SUMPRODUCT(--($AK$2:$AK$6001&lt;$AK4882))+1,"")</f>
        <v/>
      </c>
      <c r="AI4882">
        <f>IF($C4882="","",IF(OR($N4882=TRUE(),$N4882="TRUE"),1,0))</f>
        <v/>
      </c>
      <c r="AJ4882">
        <f>IF($C4882="","",IF($T4882="Yes",1,0))</f>
        <v/>
      </c>
      <c r="AK4882">
        <f>IF($AG4882=1,IFERROR(IF(VALUE($C4882)&lt;100000000,VALUE($C4882),1000000000),IFERROR(IF(VALUE(MID($C4882,2,20))&lt;100000000,VALUE(MID($C4882,2,20)),1000000000),1000000000))+ROW()/100000,"")</f>
        <v/>
      </c>
    </row>
    <row r="4883">
      <c r="D4883" s="11" t="n"/>
      <c r="K4883" s="7">
        <f>IF($C4883="","",J4883*W4883/100)</f>
        <v/>
      </c>
      <c r="Q4883" s="7" t="n"/>
      <c r="R4883" s="7" t="n"/>
      <c r="U4883">
        <f>IF($C4883="","",IF($AJ4883=1,0,IF($AI4883=1,Settings!$C$6,Settings!$C$7))*100)</f>
        <v/>
      </c>
      <c r="V4883" s="7">
        <f>IF($C4883="","",R4883*U4883/100)</f>
        <v/>
      </c>
      <c r="W4883" s="7">
        <f>IF($C4883="","",R4883-V4883)</f>
        <v/>
      </c>
      <c r="X4883" s="7">
        <f>IF($C4883="","",W4883-K4883)</f>
        <v/>
      </c>
      <c r="AB4883" s="7" t="n"/>
      <c r="AE4883" s="11" t="n"/>
      <c r="AG4883">
        <f>IF($C4883="","",IF(COUNTIF($C$2:$C4883,$C4883)=1,1,0))</f>
        <v/>
      </c>
      <c r="AH4883">
        <f>IF($AG4883=1,SUMPRODUCT(--($AK$2:$AK$6001&lt;$AK4883))+1,"")</f>
        <v/>
      </c>
      <c r="AI4883">
        <f>IF($C4883="","",IF(OR($N4883=TRUE(),$N4883="TRUE"),1,0))</f>
        <v/>
      </c>
      <c r="AJ4883">
        <f>IF($C4883="","",IF($T4883="Yes",1,0))</f>
        <v/>
      </c>
      <c r="AK4883">
        <f>IF($AG4883=1,IFERROR(IF(VALUE($C4883)&lt;100000000,VALUE($C4883),1000000000),IFERROR(IF(VALUE(MID($C4883,2,20))&lt;100000000,VALUE(MID($C4883,2,20)),1000000000),1000000000))+ROW()/100000,"")</f>
        <v/>
      </c>
    </row>
    <row r="4884">
      <c r="D4884" s="11" t="n"/>
      <c r="K4884" s="7">
        <f>IF($C4884="","",J4884*W4884/100)</f>
        <v/>
      </c>
      <c r="Q4884" s="7" t="n"/>
      <c r="R4884" s="7" t="n"/>
      <c r="U4884">
        <f>IF($C4884="","",IF($AJ4884=1,0,IF($AI4884=1,Settings!$C$6,Settings!$C$7))*100)</f>
        <v/>
      </c>
      <c r="V4884" s="7">
        <f>IF($C4884="","",R4884*U4884/100)</f>
        <v/>
      </c>
      <c r="W4884" s="7">
        <f>IF($C4884="","",R4884-V4884)</f>
        <v/>
      </c>
      <c r="X4884" s="7">
        <f>IF($C4884="","",W4884-K4884)</f>
        <v/>
      </c>
      <c r="AB4884" s="7" t="n"/>
      <c r="AE4884" s="11" t="n"/>
      <c r="AG4884">
        <f>IF($C4884="","",IF(COUNTIF($C$2:$C4884,$C4884)=1,1,0))</f>
        <v/>
      </c>
      <c r="AH4884">
        <f>IF($AG4884=1,SUMPRODUCT(--($AK$2:$AK$6001&lt;$AK4884))+1,"")</f>
        <v/>
      </c>
      <c r="AI4884">
        <f>IF($C4884="","",IF(OR($N4884=TRUE(),$N4884="TRUE"),1,0))</f>
        <v/>
      </c>
      <c r="AJ4884">
        <f>IF($C4884="","",IF($T4884="Yes",1,0))</f>
        <v/>
      </c>
      <c r="AK4884">
        <f>IF($AG4884=1,IFERROR(IF(VALUE($C4884)&lt;100000000,VALUE($C4884),1000000000),IFERROR(IF(VALUE(MID($C4884,2,20))&lt;100000000,VALUE(MID($C4884,2,20)),1000000000),1000000000))+ROW()/100000,"")</f>
        <v/>
      </c>
    </row>
    <row r="4885">
      <c r="D4885" s="11" t="n"/>
      <c r="K4885" s="7">
        <f>IF($C4885="","",J4885*W4885/100)</f>
        <v/>
      </c>
      <c r="Q4885" s="7" t="n"/>
      <c r="R4885" s="7" t="n"/>
      <c r="U4885">
        <f>IF($C4885="","",IF($AJ4885=1,0,IF($AI4885=1,Settings!$C$6,Settings!$C$7))*100)</f>
        <v/>
      </c>
      <c r="V4885" s="7">
        <f>IF($C4885="","",R4885*U4885/100)</f>
        <v/>
      </c>
      <c r="W4885" s="7">
        <f>IF($C4885="","",R4885-V4885)</f>
        <v/>
      </c>
      <c r="X4885" s="7">
        <f>IF($C4885="","",W4885-K4885)</f>
        <v/>
      </c>
      <c r="AB4885" s="7" t="n"/>
      <c r="AE4885" s="11" t="n"/>
      <c r="AG4885">
        <f>IF($C4885="","",IF(COUNTIF($C$2:$C4885,$C4885)=1,1,0))</f>
        <v/>
      </c>
      <c r="AH4885">
        <f>IF($AG4885=1,SUMPRODUCT(--($AK$2:$AK$6001&lt;$AK4885))+1,"")</f>
        <v/>
      </c>
      <c r="AI4885">
        <f>IF($C4885="","",IF(OR($N4885=TRUE(),$N4885="TRUE"),1,0))</f>
        <v/>
      </c>
      <c r="AJ4885">
        <f>IF($C4885="","",IF($T4885="Yes",1,0))</f>
        <v/>
      </c>
      <c r="AK4885">
        <f>IF($AG4885=1,IFERROR(IF(VALUE($C4885)&lt;100000000,VALUE($C4885),1000000000),IFERROR(IF(VALUE(MID($C4885,2,20))&lt;100000000,VALUE(MID($C4885,2,20)),1000000000),1000000000))+ROW()/100000,"")</f>
        <v/>
      </c>
    </row>
    <row r="4886">
      <c r="D4886" s="11" t="n"/>
      <c r="K4886" s="7">
        <f>IF($C4886="","",J4886*W4886/100)</f>
        <v/>
      </c>
      <c r="Q4886" s="7" t="n"/>
      <c r="R4886" s="7" t="n"/>
      <c r="U4886">
        <f>IF($C4886="","",IF($AJ4886=1,0,IF($AI4886=1,Settings!$C$6,Settings!$C$7))*100)</f>
        <v/>
      </c>
      <c r="V4886" s="7">
        <f>IF($C4886="","",R4886*U4886/100)</f>
        <v/>
      </c>
      <c r="W4886" s="7">
        <f>IF($C4886="","",R4886-V4886)</f>
        <v/>
      </c>
      <c r="X4886" s="7">
        <f>IF($C4886="","",W4886-K4886)</f>
        <v/>
      </c>
      <c r="AB4886" s="7" t="n"/>
      <c r="AE4886" s="11" t="n"/>
      <c r="AG4886">
        <f>IF($C4886="","",IF(COUNTIF($C$2:$C4886,$C4886)=1,1,0))</f>
        <v/>
      </c>
      <c r="AH4886">
        <f>IF($AG4886=1,SUMPRODUCT(--($AK$2:$AK$6001&lt;$AK4886))+1,"")</f>
        <v/>
      </c>
      <c r="AI4886">
        <f>IF($C4886="","",IF(OR($N4886=TRUE(),$N4886="TRUE"),1,0))</f>
        <v/>
      </c>
      <c r="AJ4886">
        <f>IF($C4886="","",IF($T4886="Yes",1,0))</f>
        <v/>
      </c>
      <c r="AK4886">
        <f>IF($AG4886=1,IFERROR(IF(VALUE($C4886)&lt;100000000,VALUE($C4886),1000000000),IFERROR(IF(VALUE(MID($C4886,2,20))&lt;100000000,VALUE(MID($C4886,2,20)),1000000000),1000000000))+ROW()/100000,"")</f>
        <v/>
      </c>
    </row>
    <row r="4887">
      <c r="D4887" s="11" t="n"/>
      <c r="K4887" s="7">
        <f>IF($C4887="","",J4887*W4887/100)</f>
        <v/>
      </c>
      <c r="Q4887" s="7" t="n"/>
      <c r="R4887" s="7" t="n"/>
      <c r="U4887">
        <f>IF($C4887="","",IF($AJ4887=1,0,IF($AI4887=1,Settings!$C$6,Settings!$C$7))*100)</f>
        <v/>
      </c>
      <c r="V4887" s="7">
        <f>IF($C4887="","",R4887*U4887/100)</f>
        <v/>
      </c>
      <c r="W4887" s="7">
        <f>IF($C4887="","",R4887-V4887)</f>
        <v/>
      </c>
      <c r="X4887" s="7">
        <f>IF($C4887="","",W4887-K4887)</f>
        <v/>
      </c>
      <c r="AB4887" s="7" t="n"/>
      <c r="AE4887" s="11" t="n"/>
      <c r="AG4887">
        <f>IF($C4887="","",IF(COUNTIF($C$2:$C4887,$C4887)=1,1,0))</f>
        <v/>
      </c>
      <c r="AH4887">
        <f>IF($AG4887=1,SUMPRODUCT(--($AK$2:$AK$6001&lt;$AK4887))+1,"")</f>
        <v/>
      </c>
      <c r="AI4887">
        <f>IF($C4887="","",IF(OR($N4887=TRUE(),$N4887="TRUE"),1,0))</f>
        <v/>
      </c>
      <c r="AJ4887">
        <f>IF($C4887="","",IF($T4887="Yes",1,0))</f>
        <v/>
      </c>
      <c r="AK4887">
        <f>IF($AG4887=1,IFERROR(IF(VALUE($C4887)&lt;100000000,VALUE($C4887),1000000000),IFERROR(IF(VALUE(MID($C4887,2,20))&lt;100000000,VALUE(MID($C4887,2,20)),1000000000),1000000000))+ROW()/100000,"")</f>
        <v/>
      </c>
    </row>
    <row r="4888">
      <c r="D4888" s="11" t="n"/>
      <c r="K4888" s="7">
        <f>IF($C4888="","",J4888*W4888/100)</f>
        <v/>
      </c>
      <c r="Q4888" s="7" t="n"/>
      <c r="R4888" s="7" t="n"/>
      <c r="U4888">
        <f>IF($C4888="","",IF($AJ4888=1,0,IF($AI4888=1,Settings!$C$6,Settings!$C$7))*100)</f>
        <v/>
      </c>
      <c r="V4888" s="7">
        <f>IF($C4888="","",R4888*U4888/100)</f>
        <v/>
      </c>
      <c r="W4888" s="7">
        <f>IF($C4888="","",R4888-V4888)</f>
        <v/>
      </c>
      <c r="X4888" s="7">
        <f>IF($C4888="","",W4888-K4888)</f>
        <v/>
      </c>
      <c r="AB4888" s="7" t="n"/>
      <c r="AE4888" s="11" t="n"/>
      <c r="AG4888">
        <f>IF($C4888="","",IF(COUNTIF($C$2:$C4888,$C4888)=1,1,0))</f>
        <v/>
      </c>
      <c r="AH4888">
        <f>IF($AG4888=1,SUMPRODUCT(--($AK$2:$AK$6001&lt;$AK4888))+1,"")</f>
        <v/>
      </c>
      <c r="AI4888">
        <f>IF($C4888="","",IF(OR($N4888=TRUE(),$N4888="TRUE"),1,0))</f>
        <v/>
      </c>
      <c r="AJ4888">
        <f>IF($C4888="","",IF($T4888="Yes",1,0))</f>
        <v/>
      </c>
      <c r="AK4888">
        <f>IF($AG4888=1,IFERROR(IF(VALUE($C4888)&lt;100000000,VALUE($C4888),1000000000),IFERROR(IF(VALUE(MID($C4888,2,20))&lt;100000000,VALUE(MID($C4888,2,20)),1000000000),1000000000))+ROW()/100000,"")</f>
        <v/>
      </c>
    </row>
    <row r="4889">
      <c r="D4889" s="11" t="n"/>
      <c r="K4889" s="7">
        <f>IF($C4889="","",J4889*W4889/100)</f>
        <v/>
      </c>
      <c r="Q4889" s="7" t="n"/>
      <c r="R4889" s="7" t="n"/>
      <c r="U4889">
        <f>IF($C4889="","",IF($AJ4889=1,0,IF($AI4889=1,Settings!$C$6,Settings!$C$7))*100)</f>
        <v/>
      </c>
      <c r="V4889" s="7">
        <f>IF($C4889="","",R4889*U4889/100)</f>
        <v/>
      </c>
      <c r="W4889" s="7">
        <f>IF($C4889="","",R4889-V4889)</f>
        <v/>
      </c>
      <c r="X4889" s="7">
        <f>IF($C4889="","",W4889-K4889)</f>
        <v/>
      </c>
      <c r="AB4889" s="7" t="n"/>
      <c r="AE4889" s="11" t="n"/>
      <c r="AG4889">
        <f>IF($C4889="","",IF(COUNTIF($C$2:$C4889,$C4889)=1,1,0))</f>
        <v/>
      </c>
      <c r="AH4889">
        <f>IF($AG4889=1,SUMPRODUCT(--($AK$2:$AK$6001&lt;$AK4889))+1,"")</f>
        <v/>
      </c>
      <c r="AI4889">
        <f>IF($C4889="","",IF(OR($N4889=TRUE(),$N4889="TRUE"),1,0))</f>
        <v/>
      </c>
      <c r="AJ4889">
        <f>IF($C4889="","",IF($T4889="Yes",1,0))</f>
        <v/>
      </c>
      <c r="AK4889">
        <f>IF($AG4889=1,IFERROR(IF(VALUE($C4889)&lt;100000000,VALUE($C4889),1000000000),IFERROR(IF(VALUE(MID($C4889,2,20))&lt;100000000,VALUE(MID($C4889,2,20)),1000000000),1000000000))+ROW()/100000,"")</f>
        <v/>
      </c>
    </row>
    <row r="4890">
      <c r="D4890" s="11" t="n"/>
      <c r="K4890" s="7">
        <f>IF($C4890="","",J4890*W4890/100)</f>
        <v/>
      </c>
      <c r="Q4890" s="7" t="n"/>
      <c r="R4890" s="7" t="n"/>
      <c r="U4890">
        <f>IF($C4890="","",IF($AJ4890=1,0,IF($AI4890=1,Settings!$C$6,Settings!$C$7))*100)</f>
        <v/>
      </c>
      <c r="V4890" s="7">
        <f>IF($C4890="","",R4890*U4890/100)</f>
        <v/>
      </c>
      <c r="W4890" s="7">
        <f>IF($C4890="","",R4890-V4890)</f>
        <v/>
      </c>
      <c r="X4890" s="7">
        <f>IF($C4890="","",W4890-K4890)</f>
        <v/>
      </c>
      <c r="AB4890" s="7" t="n"/>
      <c r="AE4890" s="11" t="n"/>
      <c r="AG4890">
        <f>IF($C4890="","",IF(COUNTIF($C$2:$C4890,$C4890)=1,1,0))</f>
        <v/>
      </c>
      <c r="AH4890">
        <f>IF($AG4890=1,SUMPRODUCT(--($AK$2:$AK$6001&lt;$AK4890))+1,"")</f>
        <v/>
      </c>
      <c r="AI4890">
        <f>IF($C4890="","",IF(OR($N4890=TRUE(),$N4890="TRUE"),1,0))</f>
        <v/>
      </c>
      <c r="AJ4890">
        <f>IF($C4890="","",IF($T4890="Yes",1,0))</f>
        <v/>
      </c>
      <c r="AK4890">
        <f>IF($AG4890=1,IFERROR(IF(VALUE($C4890)&lt;100000000,VALUE($C4890),1000000000),IFERROR(IF(VALUE(MID($C4890,2,20))&lt;100000000,VALUE(MID($C4890,2,20)),1000000000),1000000000))+ROW()/100000,"")</f>
        <v/>
      </c>
    </row>
    <row r="4891">
      <c r="D4891" s="11" t="n"/>
      <c r="K4891" s="7">
        <f>IF($C4891="","",J4891*W4891/100)</f>
        <v/>
      </c>
      <c r="Q4891" s="7" t="n"/>
      <c r="R4891" s="7" t="n"/>
      <c r="U4891">
        <f>IF($C4891="","",IF($AJ4891=1,0,IF($AI4891=1,Settings!$C$6,Settings!$C$7))*100)</f>
        <v/>
      </c>
      <c r="V4891" s="7">
        <f>IF($C4891="","",R4891*U4891/100)</f>
        <v/>
      </c>
      <c r="W4891" s="7">
        <f>IF($C4891="","",R4891-V4891)</f>
        <v/>
      </c>
      <c r="X4891" s="7">
        <f>IF($C4891="","",W4891-K4891)</f>
        <v/>
      </c>
      <c r="AB4891" s="7" t="n"/>
      <c r="AE4891" s="11" t="n"/>
      <c r="AG4891">
        <f>IF($C4891="","",IF(COUNTIF($C$2:$C4891,$C4891)=1,1,0))</f>
        <v/>
      </c>
      <c r="AH4891">
        <f>IF($AG4891=1,SUMPRODUCT(--($AK$2:$AK$6001&lt;$AK4891))+1,"")</f>
        <v/>
      </c>
      <c r="AI4891">
        <f>IF($C4891="","",IF(OR($N4891=TRUE(),$N4891="TRUE"),1,0))</f>
        <v/>
      </c>
      <c r="AJ4891">
        <f>IF($C4891="","",IF($T4891="Yes",1,0))</f>
        <v/>
      </c>
      <c r="AK4891">
        <f>IF($AG4891=1,IFERROR(IF(VALUE($C4891)&lt;100000000,VALUE($C4891),1000000000),IFERROR(IF(VALUE(MID($C4891,2,20))&lt;100000000,VALUE(MID($C4891,2,20)),1000000000),1000000000))+ROW()/100000,"")</f>
        <v/>
      </c>
    </row>
    <row r="4892">
      <c r="D4892" s="11" t="n"/>
      <c r="K4892" s="7">
        <f>IF($C4892="","",J4892*W4892/100)</f>
        <v/>
      </c>
      <c r="Q4892" s="7" t="n"/>
      <c r="R4892" s="7" t="n"/>
      <c r="U4892">
        <f>IF($C4892="","",IF($AJ4892=1,0,IF($AI4892=1,Settings!$C$6,Settings!$C$7))*100)</f>
        <v/>
      </c>
      <c r="V4892" s="7">
        <f>IF($C4892="","",R4892*U4892/100)</f>
        <v/>
      </c>
      <c r="W4892" s="7">
        <f>IF($C4892="","",R4892-V4892)</f>
        <v/>
      </c>
      <c r="X4892" s="7">
        <f>IF($C4892="","",W4892-K4892)</f>
        <v/>
      </c>
      <c r="AB4892" s="7" t="n"/>
      <c r="AE4892" s="11" t="n"/>
      <c r="AG4892">
        <f>IF($C4892="","",IF(COUNTIF($C$2:$C4892,$C4892)=1,1,0))</f>
        <v/>
      </c>
      <c r="AH4892">
        <f>IF($AG4892=1,SUMPRODUCT(--($AK$2:$AK$6001&lt;$AK4892))+1,"")</f>
        <v/>
      </c>
      <c r="AI4892">
        <f>IF($C4892="","",IF(OR($N4892=TRUE(),$N4892="TRUE"),1,0))</f>
        <v/>
      </c>
      <c r="AJ4892">
        <f>IF($C4892="","",IF($T4892="Yes",1,0))</f>
        <v/>
      </c>
      <c r="AK4892">
        <f>IF($AG4892=1,IFERROR(IF(VALUE($C4892)&lt;100000000,VALUE($C4892),1000000000),IFERROR(IF(VALUE(MID($C4892,2,20))&lt;100000000,VALUE(MID($C4892,2,20)),1000000000),1000000000))+ROW()/100000,"")</f>
        <v/>
      </c>
    </row>
    <row r="4893">
      <c r="D4893" s="11" t="n"/>
      <c r="K4893" s="7">
        <f>IF($C4893="","",J4893*W4893/100)</f>
        <v/>
      </c>
      <c r="Q4893" s="7" t="n"/>
      <c r="R4893" s="7" t="n"/>
      <c r="U4893">
        <f>IF($C4893="","",IF($AJ4893=1,0,IF($AI4893=1,Settings!$C$6,Settings!$C$7))*100)</f>
        <v/>
      </c>
      <c r="V4893" s="7">
        <f>IF($C4893="","",R4893*U4893/100)</f>
        <v/>
      </c>
      <c r="W4893" s="7">
        <f>IF($C4893="","",R4893-V4893)</f>
        <v/>
      </c>
      <c r="X4893" s="7">
        <f>IF($C4893="","",W4893-K4893)</f>
        <v/>
      </c>
      <c r="AB4893" s="7" t="n"/>
      <c r="AE4893" s="11" t="n"/>
      <c r="AG4893">
        <f>IF($C4893="","",IF(COUNTIF($C$2:$C4893,$C4893)=1,1,0))</f>
        <v/>
      </c>
      <c r="AH4893">
        <f>IF($AG4893=1,SUMPRODUCT(--($AK$2:$AK$6001&lt;$AK4893))+1,"")</f>
        <v/>
      </c>
      <c r="AI4893">
        <f>IF($C4893="","",IF(OR($N4893=TRUE(),$N4893="TRUE"),1,0))</f>
        <v/>
      </c>
      <c r="AJ4893">
        <f>IF($C4893="","",IF($T4893="Yes",1,0))</f>
        <v/>
      </c>
      <c r="AK4893">
        <f>IF($AG4893=1,IFERROR(IF(VALUE($C4893)&lt;100000000,VALUE($C4893),1000000000),IFERROR(IF(VALUE(MID($C4893,2,20))&lt;100000000,VALUE(MID($C4893,2,20)),1000000000),1000000000))+ROW()/100000,"")</f>
        <v/>
      </c>
    </row>
    <row r="4894">
      <c r="D4894" s="11" t="n"/>
      <c r="K4894" s="7">
        <f>IF($C4894="","",J4894*W4894/100)</f>
        <v/>
      </c>
      <c r="Q4894" s="7" t="n"/>
      <c r="R4894" s="7" t="n"/>
      <c r="U4894">
        <f>IF($C4894="","",IF($AJ4894=1,0,IF($AI4894=1,Settings!$C$6,Settings!$C$7))*100)</f>
        <v/>
      </c>
      <c r="V4894" s="7">
        <f>IF($C4894="","",R4894*U4894/100)</f>
        <v/>
      </c>
      <c r="W4894" s="7">
        <f>IF($C4894="","",R4894-V4894)</f>
        <v/>
      </c>
      <c r="X4894" s="7">
        <f>IF($C4894="","",W4894-K4894)</f>
        <v/>
      </c>
      <c r="AB4894" s="7" t="n"/>
      <c r="AE4894" s="11" t="n"/>
      <c r="AG4894">
        <f>IF($C4894="","",IF(COUNTIF($C$2:$C4894,$C4894)=1,1,0))</f>
        <v/>
      </c>
      <c r="AH4894">
        <f>IF($AG4894=1,SUMPRODUCT(--($AK$2:$AK$6001&lt;$AK4894))+1,"")</f>
        <v/>
      </c>
      <c r="AI4894">
        <f>IF($C4894="","",IF(OR($N4894=TRUE(),$N4894="TRUE"),1,0))</f>
        <v/>
      </c>
      <c r="AJ4894">
        <f>IF($C4894="","",IF($T4894="Yes",1,0))</f>
        <v/>
      </c>
      <c r="AK4894">
        <f>IF($AG4894=1,IFERROR(IF(VALUE($C4894)&lt;100000000,VALUE($C4894),1000000000),IFERROR(IF(VALUE(MID($C4894,2,20))&lt;100000000,VALUE(MID($C4894,2,20)),1000000000),1000000000))+ROW()/100000,"")</f>
        <v/>
      </c>
    </row>
    <row r="4895">
      <c r="D4895" s="11" t="n"/>
      <c r="K4895" s="7">
        <f>IF($C4895="","",J4895*W4895/100)</f>
        <v/>
      </c>
      <c r="Q4895" s="7" t="n"/>
      <c r="R4895" s="7" t="n"/>
      <c r="U4895">
        <f>IF($C4895="","",IF($AJ4895=1,0,IF($AI4895=1,Settings!$C$6,Settings!$C$7))*100)</f>
        <v/>
      </c>
      <c r="V4895" s="7">
        <f>IF($C4895="","",R4895*U4895/100)</f>
        <v/>
      </c>
      <c r="W4895" s="7">
        <f>IF($C4895="","",R4895-V4895)</f>
        <v/>
      </c>
      <c r="X4895" s="7">
        <f>IF($C4895="","",W4895-K4895)</f>
        <v/>
      </c>
      <c r="AB4895" s="7" t="n"/>
      <c r="AE4895" s="11" t="n"/>
      <c r="AG4895">
        <f>IF($C4895="","",IF(COUNTIF($C$2:$C4895,$C4895)=1,1,0))</f>
        <v/>
      </c>
      <c r="AH4895">
        <f>IF($AG4895=1,SUMPRODUCT(--($AK$2:$AK$6001&lt;$AK4895))+1,"")</f>
        <v/>
      </c>
      <c r="AI4895">
        <f>IF($C4895="","",IF(OR($N4895=TRUE(),$N4895="TRUE"),1,0))</f>
        <v/>
      </c>
      <c r="AJ4895">
        <f>IF($C4895="","",IF($T4895="Yes",1,0))</f>
        <v/>
      </c>
      <c r="AK4895">
        <f>IF($AG4895=1,IFERROR(IF(VALUE($C4895)&lt;100000000,VALUE($C4895),1000000000),IFERROR(IF(VALUE(MID($C4895,2,20))&lt;100000000,VALUE(MID($C4895,2,20)),1000000000),1000000000))+ROW()/100000,"")</f>
        <v/>
      </c>
    </row>
    <row r="4896">
      <c r="D4896" s="11" t="n"/>
      <c r="K4896" s="7">
        <f>IF($C4896="","",J4896*W4896/100)</f>
        <v/>
      </c>
      <c r="Q4896" s="7" t="n"/>
      <c r="R4896" s="7" t="n"/>
      <c r="U4896">
        <f>IF($C4896="","",IF($AJ4896=1,0,IF($AI4896=1,Settings!$C$6,Settings!$C$7))*100)</f>
        <v/>
      </c>
      <c r="V4896" s="7">
        <f>IF($C4896="","",R4896*U4896/100)</f>
        <v/>
      </c>
      <c r="W4896" s="7">
        <f>IF($C4896="","",R4896-V4896)</f>
        <v/>
      </c>
      <c r="X4896" s="7">
        <f>IF($C4896="","",W4896-K4896)</f>
        <v/>
      </c>
      <c r="AB4896" s="7" t="n"/>
      <c r="AE4896" s="11" t="n"/>
      <c r="AG4896">
        <f>IF($C4896="","",IF(COUNTIF($C$2:$C4896,$C4896)=1,1,0))</f>
        <v/>
      </c>
      <c r="AH4896">
        <f>IF($AG4896=1,SUMPRODUCT(--($AK$2:$AK$6001&lt;$AK4896))+1,"")</f>
        <v/>
      </c>
      <c r="AI4896">
        <f>IF($C4896="","",IF(OR($N4896=TRUE(),$N4896="TRUE"),1,0))</f>
        <v/>
      </c>
      <c r="AJ4896">
        <f>IF($C4896="","",IF($T4896="Yes",1,0))</f>
        <v/>
      </c>
      <c r="AK4896">
        <f>IF($AG4896=1,IFERROR(IF(VALUE($C4896)&lt;100000000,VALUE($C4896),1000000000),IFERROR(IF(VALUE(MID($C4896,2,20))&lt;100000000,VALUE(MID($C4896,2,20)),1000000000),1000000000))+ROW()/100000,"")</f>
        <v/>
      </c>
    </row>
    <row r="4897">
      <c r="D4897" s="11" t="n"/>
      <c r="K4897" s="7">
        <f>IF($C4897="","",J4897*W4897/100)</f>
        <v/>
      </c>
      <c r="Q4897" s="7" t="n"/>
      <c r="R4897" s="7" t="n"/>
      <c r="U4897">
        <f>IF($C4897="","",IF($AJ4897=1,0,IF($AI4897=1,Settings!$C$6,Settings!$C$7))*100)</f>
        <v/>
      </c>
      <c r="V4897" s="7">
        <f>IF($C4897="","",R4897*U4897/100)</f>
        <v/>
      </c>
      <c r="W4897" s="7">
        <f>IF($C4897="","",R4897-V4897)</f>
        <v/>
      </c>
      <c r="X4897" s="7">
        <f>IF($C4897="","",W4897-K4897)</f>
        <v/>
      </c>
      <c r="AB4897" s="7" t="n"/>
      <c r="AE4897" s="11" t="n"/>
      <c r="AG4897">
        <f>IF($C4897="","",IF(COUNTIF($C$2:$C4897,$C4897)=1,1,0))</f>
        <v/>
      </c>
      <c r="AH4897">
        <f>IF($AG4897=1,SUMPRODUCT(--($AK$2:$AK$6001&lt;$AK4897))+1,"")</f>
        <v/>
      </c>
      <c r="AI4897">
        <f>IF($C4897="","",IF(OR($N4897=TRUE(),$N4897="TRUE"),1,0))</f>
        <v/>
      </c>
      <c r="AJ4897">
        <f>IF($C4897="","",IF($T4897="Yes",1,0))</f>
        <v/>
      </c>
      <c r="AK4897">
        <f>IF($AG4897=1,IFERROR(IF(VALUE($C4897)&lt;100000000,VALUE($C4897),1000000000),IFERROR(IF(VALUE(MID($C4897,2,20))&lt;100000000,VALUE(MID($C4897,2,20)),1000000000),1000000000))+ROW()/100000,"")</f>
        <v/>
      </c>
    </row>
    <row r="4898">
      <c r="D4898" s="11" t="n"/>
      <c r="K4898" s="7">
        <f>IF($C4898="","",J4898*W4898/100)</f>
        <v/>
      </c>
      <c r="Q4898" s="7" t="n"/>
      <c r="R4898" s="7" t="n"/>
      <c r="U4898">
        <f>IF($C4898="","",IF($AJ4898=1,0,IF($AI4898=1,Settings!$C$6,Settings!$C$7))*100)</f>
        <v/>
      </c>
      <c r="V4898" s="7">
        <f>IF($C4898="","",R4898*U4898/100)</f>
        <v/>
      </c>
      <c r="W4898" s="7">
        <f>IF($C4898="","",R4898-V4898)</f>
        <v/>
      </c>
      <c r="X4898" s="7">
        <f>IF($C4898="","",W4898-K4898)</f>
        <v/>
      </c>
      <c r="AB4898" s="7" t="n"/>
      <c r="AE4898" s="11" t="n"/>
      <c r="AG4898">
        <f>IF($C4898="","",IF(COUNTIF($C$2:$C4898,$C4898)=1,1,0))</f>
        <v/>
      </c>
      <c r="AH4898">
        <f>IF($AG4898=1,SUMPRODUCT(--($AK$2:$AK$6001&lt;$AK4898))+1,"")</f>
        <v/>
      </c>
      <c r="AI4898">
        <f>IF($C4898="","",IF(OR($N4898=TRUE(),$N4898="TRUE"),1,0))</f>
        <v/>
      </c>
      <c r="AJ4898">
        <f>IF($C4898="","",IF($T4898="Yes",1,0))</f>
        <v/>
      </c>
      <c r="AK4898">
        <f>IF($AG4898=1,IFERROR(IF(VALUE($C4898)&lt;100000000,VALUE($C4898),1000000000),IFERROR(IF(VALUE(MID($C4898,2,20))&lt;100000000,VALUE(MID($C4898,2,20)),1000000000),1000000000))+ROW()/100000,"")</f>
        <v/>
      </c>
    </row>
    <row r="4899">
      <c r="D4899" s="11" t="n"/>
      <c r="K4899" s="7">
        <f>IF($C4899="","",J4899*W4899/100)</f>
        <v/>
      </c>
      <c r="Q4899" s="7" t="n"/>
      <c r="R4899" s="7" t="n"/>
      <c r="U4899">
        <f>IF($C4899="","",IF($AJ4899=1,0,IF($AI4899=1,Settings!$C$6,Settings!$C$7))*100)</f>
        <v/>
      </c>
      <c r="V4899" s="7">
        <f>IF($C4899="","",R4899*U4899/100)</f>
        <v/>
      </c>
      <c r="W4899" s="7">
        <f>IF($C4899="","",R4899-V4899)</f>
        <v/>
      </c>
      <c r="X4899" s="7">
        <f>IF($C4899="","",W4899-K4899)</f>
        <v/>
      </c>
      <c r="AB4899" s="7" t="n"/>
      <c r="AE4899" s="11" t="n"/>
      <c r="AG4899">
        <f>IF($C4899="","",IF(COUNTIF($C$2:$C4899,$C4899)=1,1,0))</f>
        <v/>
      </c>
      <c r="AH4899">
        <f>IF($AG4899=1,SUMPRODUCT(--($AK$2:$AK$6001&lt;$AK4899))+1,"")</f>
        <v/>
      </c>
      <c r="AI4899">
        <f>IF($C4899="","",IF(OR($N4899=TRUE(),$N4899="TRUE"),1,0))</f>
        <v/>
      </c>
      <c r="AJ4899">
        <f>IF($C4899="","",IF($T4899="Yes",1,0))</f>
        <v/>
      </c>
      <c r="AK4899">
        <f>IF($AG4899=1,IFERROR(IF(VALUE($C4899)&lt;100000000,VALUE($C4899),1000000000),IFERROR(IF(VALUE(MID($C4899,2,20))&lt;100000000,VALUE(MID($C4899,2,20)),1000000000),1000000000))+ROW()/100000,"")</f>
        <v/>
      </c>
    </row>
    <row r="4900">
      <c r="D4900" s="11" t="n"/>
      <c r="K4900" s="7">
        <f>IF($C4900="","",J4900*W4900/100)</f>
        <v/>
      </c>
      <c r="Q4900" s="7" t="n"/>
      <c r="R4900" s="7" t="n"/>
      <c r="U4900">
        <f>IF($C4900="","",IF($AJ4900=1,0,IF($AI4900=1,Settings!$C$6,Settings!$C$7))*100)</f>
        <v/>
      </c>
      <c r="V4900" s="7">
        <f>IF($C4900="","",R4900*U4900/100)</f>
        <v/>
      </c>
      <c r="W4900" s="7">
        <f>IF($C4900="","",R4900-V4900)</f>
        <v/>
      </c>
      <c r="X4900" s="7">
        <f>IF($C4900="","",W4900-K4900)</f>
        <v/>
      </c>
      <c r="AB4900" s="7" t="n"/>
      <c r="AE4900" s="11" t="n"/>
      <c r="AG4900">
        <f>IF($C4900="","",IF(COUNTIF($C$2:$C4900,$C4900)=1,1,0))</f>
        <v/>
      </c>
      <c r="AH4900">
        <f>IF($AG4900=1,SUMPRODUCT(--($AK$2:$AK$6001&lt;$AK4900))+1,"")</f>
        <v/>
      </c>
      <c r="AI4900">
        <f>IF($C4900="","",IF(OR($N4900=TRUE(),$N4900="TRUE"),1,0))</f>
        <v/>
      </c>
      <c r="AJ4900">
        <f>IF($C4900="","",IF($T4900="Yes",1,0))</f>
        <v/>
      </c>
      <c r="AK4900">
        <f>IF($AG4900=1,IFERROR(IF(VALUE($C4900)&lt;100000000,VALUE($C4900),1000000000),IFERROR(IF(VALUE(MID($C4900,2,20))&lt;100000000,VALUE(MID($C4900,2,20)),1000000000),1000000000))+ROW()/100000,"")</f>
        <v/>
      </c>
    </row>
    <row r="4901">
      <c r="D4901" s="11" t="n"/>
      <c r="K4901" s="7">
        <f>IF($C4901="","",J4901*W4901/100)</f>
        <v/>
      </c>
      <c r="Q4901" s="7" t="n"/>
      <c r="R4901" s="7" t="n"/>
      <c r="U4901">
        <f>IF($C4901="","",IF($AJ4901=1,0,IF($AI4901=1,Settings!$C$6,Settings!$C$7))*100)</f>
        <v/>
      </c>
      <c r="V4901" s="7">
        <f>IF($C4901="","",R4901*U4901/100)</f>
        <v/>
      </c>
      <c r="W4901" s="7">
        <f>IF($C4901="","",R4901-V4901)</f>
        <v/>
      </c>
      <c r="X4901" s="7">
        <f>IF($C4901="","",W4901-K4901)</f>
        <v/>
      </c>
      <c r="AB4901" s="7" t="n"/>
      <c r="AE4901" s="11" t="n"/>
      <c r="AG4901">
        <f>IF($C4901="","",IF(COUNTIF($C$2:$C4901,$C4901)=1,1,0))</f>
        <v/>
      </c>
      <c r="AH4901">
        <f>IF($AG4901=1,SUMPRODUCT(--($AK$2:$AK$6001&lt;$AK4901))+1,"")</f>
        <v/>
      </c>
      <c r="AI4901">
        <f>IF($C4901="","",IF(OR($N4901=TRUE(),$N4901="TRUE"),1,0))</f>
        <v/>
      </c>
      <c r="AJ4901">
        <f>IF($C4901="","",IF($T4901="Yes",1,0))</f>
        <v/>
      </c>
      <c r="AK4901">
        <f>IF($AG4901=1,IFERROR(IF(VALUE($C4901)&lt;100000000,VALUE($C4901),1000000000),IFERROR(IF(VALUE(MID($C4901,2,20))&lt;100000000,VALUE(MID($C4901,2,20)),1000000000),1000000000))+ROW()/100000,"")</f>
        <v/>
      </c>
    </row>
    <row r="4902">
      <c r="D4902" s="11" t="n"/>
      <c r="K4902" s="7">
        <f>IF($C4902="","",J4902*W4902/100)</f>
        <v/>
      </c>
      <c r="Q4902" s="7" t="n"/>
      <c r="R4902" s="7" t="n"/>
      <c r="U4902">
        <f>IF($C4902="","",IF($AJ4902=1,0,IF($AI4902=1,Settings!$C$6,Settings!$C$7))*100)</f>
        <v/>
      </c>
      <c r="V4902" s="7">
        <f>IF($C4902="","",R4902*U4902/100)</f>
        <v/>
      </c>
      <c r="W4902" s="7">
        <f>IF($C4902="","",R4902-V4902)</f>
        <v/>
      </c>
      <c r="X4902" s="7">
        <f>IF($C4902="","",W4902-K4902)</f>
        <v/>
      </c>
      <c r="AB4902" s="7" t="n"/>
      <c r="AE4902" s="11" t="n"/>
      <c r="AG4902">
        <f>IF($C4902="","",IF(COUNTIF($C$2:$C4902,$C4902)=1,1,0))</f>
        <v/>
      </c>
      <c r="AH4902">
        <f>IF($AG4902=1,SUMPRODUCT(--($AK$2:$AK$6001&lt;$AK4902))+1,"")</f>
        <v/>
      </c>
      <c r="AI4902">
        <f>IF($C4902="","",IF(OR($N4902=TRUE(),$N4902="TRUE"),1,0))</f>
        <v/>
      </c>
      <c r="AJ4902">
        <f>IF($C4902="","",IF($T4902="Yes",1,0))</f>
        <v/>
      </c>
      <c r="AK4902">
        <f>IF($AG4902=1,IFERROR(IF(VALUE($C4902)&lt;100000000,VALUE($C4902),1000000000),IFERROR(IF(VALUE(MID($C4902,2,20))&lt;100000000,VALUE(MID($C4902,2,20)),1000000000),1000000000))+ROW()/100000,"")</f>
        <v/>
      </c>
    </row>
    <row r="4903">
      <c r="D4903" s="11" t="n"/>
      <c r="K4903" s="7">
        <f>IF($C4903="","",J4903*W4903/100)</f>
        <v/>
      </c>
      <c r="Q4903" s="7" t="n"/>
      <c r="R4903" s="7" t="n"/>
      <c r="U4903">
        <f>IF($C4903="","",IF($AJ4903=1,0,IF($AI4903=1,Settings!$C$6,Settings!$C$7))*100)</f>
        <v/>
      </c>
      <c r="V4903" s="7">
        <f>IF($C4903="","",R4903*U4903/100)</f>
        <v/>
      </c>
      <c r="W4903" s="7">
        <f>IF($C4903="","",R4903-V4903)</f>
        <v/>
      </c>
      <c r="X4903" s="7">
        <f>IF($C4903="","",W4903-K4903)</f>
        <v/>
      </c>
      <c r="AB4903" s="7" t="n"/>
      <c r="AE4903" s="11" t="n"/>
      <c r="AG4903">
        <f>IF($C4903="","",IF(COUNTIF($C$2:$C4903,$C4903)=1,1,0))</f>
        <v/>
      </c>
      <c r="AH4903">
        <f>IF($AG4903=1,SUMPRODUCT(--($AK$2:$AK$6001&lt;$AK4903))+1,"")</f>
        <v/>
      </c>
      <c r="AI4903">
        <f>IF($C4903="","",IF(OR($N4903=TRUE(),$N4903="TRUE"),1,0))</f>
        <v/>
      </c>
      <c r="AJ4903">
        <f>IF($C4903="","",IF($T4903="Yes",1,0))</f>
        <v/>
      </c>
      <c r="AK4903">
        <f>IF($AG4903=1,IFERROR(IF(VALUE($C4903)&lt;100000000,VALUE($C4903),1000000000),IFERROR(IF(VALUE(MID($C4903,2,20))&lt;100000000,VALUE(MID($C4903,2,20)),1000000000),1000000000))+ROW()/100000,"")</f>
        <v/>
      </c>
    </row>
    <row r="4904">
      <c r="D4904" s="11" t="n"/>
      <c r="K4904" s="7">
        <f>IF($C4904="","",J4904*W4904/100)</f>
        <v/>
      </c>
      <c r="Q4904" s="7" t="n"/>
      <c r="R4904" s="7" t="n"/>
      <c r="U4904">
        <f>IF($C4904="","",IF($AJ4904=1,0,IF($AI4904=1,Settings!$C$6,Settings!$C$7))*100)</f>
        <v/>
      </c>
      <c r="V4904" s="7">
        <f>IF($C4904="","",R4904*U4904/100)</f>
        <v/>
      </c>
      <c r="W4904" s="7">
        <f>IF($C4904="","",R4904-V4904)</f>
        <v/>
      </c>
      <c r="X4904" s="7">
        <f>IF($C4904="","",W4904-K4904)</f>
        <v/>
      </c>
      <c r="AB4904" s="7" t="n"/>
      <c r="AE4904" s="11" t="n"/>
      <c r="AG4904">
        <f>IF($C4904="","",IF(COUNTIF($C$2:$C4904,$C4904)=1,1,0))</f>
        <v/>
      </c>
      <c r="AH4904">
        <f>IF($AG4904=1,SUMPRODUCT(--($AK$2:$AK$6001&lt;$AK4904))+1,"")</f>
        <v/>
      </c>
      <c r="AI4904">
        <f>IF($C4904="","",IF(OR($N4904=TRUE(),$N4904="TRUE"),1,0))</f>
        <v/>
      </c>
      <c r="AJ4904">
        <f>IF($C4904="","",IF($T4904="Yes",1,0))</f>
        <v/>
      </c>
      <c r="AK4904">
        <f>IF($AG4904=1,IFERROR(IF(VALUE($C4904)&lt;100000000,VALUE($C4904),1000000000),IFERROR(IF(VALUE(MID($C4904,2,20))&lt;100000000,VALUE(MID($C4904,2,20)),1000000000),1000000000))+ROW()/100000,"")</f>
        <v/>
      </c>
    </row>
    <row r="4905">
      <c r="D4905" s="11" t="n"/>
      <c r="K4905" s="7">
        <f>IF($C4905="","",J4905*W4905/100)</f>
        <v/>
      </c>
      <c r="Q4905" s="7" t="n"/>
      <c r="R4905" s="7" t="n"/>
      <c r="U4905">
        <f>IF($C4905="","",IF($AJ4905=1,0,IF($AI4905=1,Settings!$C$6,Settings!$C$7))*100)</f>
        <v/>
      </c>
      <c r="V4905" s="7">
        <f>IF($C4905="","",R4905*U4905/100)</f>
        <v/>
      </c>
      <c r="W4905" s="7">
        <f>IF($C4905="","",R4905-V4905)</f>
        <v/>
      </c>
      <c r="X4905" s="7">
        <f>IF($C4905="","",W4905-K4905)</f>
        <v/>
      </c>
      <c r="AB4905" s="7" t="n"/>
      <c r="AE4905" s="11" t="n"/>
      <c r="AG4905">
        <f>IF($C4905="","",IF(COUNTIF($C$2:$C4905,$C4905)=1,1,0))</f>
        <v/>
      </c>
      <c r="AH4905">
        <f>IF($AG4905=1,SUMPRODUCT(--($AK$2:$AK$6001&lt;$AK4905))+1,"")</f>
        <v/>
      </c>
      <c r="AI4905">
        <f>IF($C4905="","",IF(OR($N4905=TRUE(),$N4905="TRUE"),1,0))</f>
        <v/>
      </c>
      <c r="AJ4905">
        <f>IF($C4905="","",IF($T4905="Yes",1,0))</f>
        <v/>
      </c>
      <c r="AK4905">
        <f>IF($AG4905=1,IFERROR(IF(VALUE($C4905)&lt;100000000,VALUE($C4905),1000000000),IFERROR(IF(VALUE(MID($C4905,2,20))&lt;100000000,VALUE(MID($C4905,2,20)),1000000000),1000000000))+ROW()/100000,"")</f>
        <v/>
      </c>
    </row>
    <row r="4906">
      <c r="D4906" s="11" t="n"/>
      <c r="K4906" s="7">
        <f>IF($C4906="","",J4906*W4906/100)</f>
        <v/>
      </c>
      <c r="Q4906" s="7" t="n"/>
      <c r="R4906" s="7" t="n"/>
      <c r="U4906">
        <f>IF($C4906="","",IF($AJ4906=1,0,IF($AI4906=1,Settings!$C$6,Settings!$C$7))*100)</f>
        <v/>
      </c>
      <c r="V4906" s="7">
        <f>IF($C4906="","",R4906*U4906/100)</f>
        <v/>
      </c>
      <c r="W4906" s="7">
        <f>IF($C4906="","",R4906-V4906)</f>
        <v/>
      </c>
      <c r="X4906" s="7">
        <f>IF($C4906="","",W4906-K4906)</f>
        <v/>
      </c>
      <c r="AB4906" s="7" t="n"/>
      <c r="AE4906" s="11" t="n"/>
      <c r="AG4906">
        <f>IF($C4906="","",IF(COUNTIF($C$2:$C4906,$C4906)=1,1,0))</f>
        <v/>
      </c>
      <c r="AH4906">
        <f>IF($AG4906=1,SUMPRODUCT(--($AK$2:$AK$6001&lt;$AK4906))+1,"")</f>
        <v/>
      </c>
      <c r="AI4906">
        <f>IF($C4906="","",IF(OR($N4906=TRUE(),$N4906="TRUE"),1,0))</f>
        <v/>
      </c>
      <c r="AJ4906">
        <f>IF($C4906="","",IF($T4906="Yes",1,0))</f>
        <v/>
      </c>
      <c r="AK4906">
        <f>IF($AG4906=1,IFERROR(IF(VALUE($C4906)&lt;100000000,VALUE($C4906),1000000000),IFERROR(IF(VALUE(MID($C4906,2,20))&lt;100000000,VALUE(MID($C4906,2,20)),1000000000),1000000000))+ROW()/100000,"")</f>
        <v/>
      </c>
    </row>
    <row r="4907">
      <c r="D4907" s="11" t="n"/>
      <c r="K4907" s="7">
        <f>IF($C4907="","",J4907*W4907/100)</f>
        <v/>
      </c>
      <c r="Q4907" s="7" t="n"/>
      <c r="R4907" s="7" t="n"/>
      <c r="U4907">
        <f>IF($C4907="","",IF($AJ4907=1,0,IF($AI4907=1,Settings!$C$6,Settings!$C$7))*100)</f>
        <v/>
      </c>
      <c r="V4907" s="7">
        <f>IF($C4907="","",R4907*U4907/100)</f>
        <v/>
      </c>
      <c r="W4907" s="7">
        <f>IF($C4907="","",R4907-V4907)</f>
        <v/>
      </c>
      <c r="X4907" s="7">
        <f>IF($C4907="","",W4907-K4907)</f>
        <v/>
      </c>
      <c r="AB4907" s="7" t="n"/>
      <c r="AE4907" s="11" t="n"/>
      <c r="AG4907">
        <f>IF($C4907="","",IF(COUNTIF($C$2:$C4907,$C4907)=1,1,0))</f>
        <v/>
      </c>
      <c r="AH4907">
        <f>IF($AG4907=1,SUMPRODUCT(--($AK$2:$AK$6001&lt;$AK4907))+1,"")</f>
        <v/>
      </c>
      <c r="AI4907">
        <f>IF($C4907="","",IF(OR($N4907=TRUE(),$N4907="TRUE"),1,0))</f>
        <v/>
      </c>
      <c r="AJ4907">
        <f>IF($C4907="","",IF($T4907="Yes",1,0))</f>
        <v/>
      </c>
      <c r="AK4907">
        <f>IF($AG4907=1,IFERROR(IF(VALUE($C4907)&lt;100000000,VALUE($C4907),1000000000),IFERROR(IF(VALUE(MID($C4907,2,20))&lt;100000000,VALUE(MID($C4907,2,20)),1000000000),1000000000))+ROW()/100000,"")</f>
        <v/>
      </c>
    </row>
    <row r="4908">
      <c r="D4908" s="11" t="n"/>
      <c r="K4908" s="7">
        <f>IF($C4908="","",J4908*W4908/100)</f>
        <v/>
      </c>
      <c r="Q4908" s="7" t="n"/>
      <c r="R4908" s="7" t="n"/>
      <c r="U4908">
        <f>IF($C4908="","",IF($AJ4908=1,0,IF($AI4908=1,Settings!$C$6,Settings!$C$7))*100)</f>
        <v/>
      </c>
      <c r="V4908" s="7">
        <f>IF($C4908="","",R4908*U4908/100)</f>
        <v/>
      </c>
      <c r="W4908" s="7">
        <f>IF($C4908="","",R4908-V4908)</f>
        <v/>
      </c>
      <c r="X4908" s="7">
        <f>IF($C4908="","",W4908-K4908)</f>
        <v/>
      </c>
      <c r="AB4908" s="7" t="n"/>
      <c r="AE4908" s="11" t="n"/>
      <c r="AG4908">
        <f>IF($C4908="","",IF(COUNTIF($C$2:$C4908,$C4908)=1,1,0))</f>
        <v/>
      </c>
      <c r="AH4908">
        <f>IF($AG4908=1,SUMPRODUCT(--($AK$2:$AK$6001&lt;$AK4908))+1,"")</f>
        <v/>
      </c>
      <c r="AI4908">
        <f>IF($C4908="","",IF(OR($N4908=TRUE(),$N4908="TRUE"),1,0))</f>
        <v/>
      </c>
      <c r="AJ4908">
        <f>IF($C4908="","",IF($T4908="Yes",1,0))</f>
        <v/>
      </c>
      <c r="AK4908">
        <f>IF($AG4908=1,IFERROR(IF(VALUE($C4908)&lt;100000000,VALUE($C4908),1000000000),IFERROR(IF(VALUE(MID($C4908,2,20))&lt;100000000,VALUE(MID($C4908,2,20)),1000000000),1000000000))+ROW()/100000,"")</f>
        <v/>
      </c>
    </row>
    <row r="4909">
      <c r="D4909" s="11" t="n"/>
      <c r="K4909" s="7">
        <f>IF($C4909="","",J4909*W4909/100)</f>
        <v/>
      </c>
      <c r="Q4909" s="7" t="n"/>
      <c r="R4909" s="7" t="n"/>
      <c r="U4909">
        <f>IF($C4909="","",IF($AJ4909=1,0,IF($AI4909=1,Settings!$C$6,Settings!$C$7))*100)</f>
        <v/>
      </c>
      <c r="V4909" s="7">
        <f>IF($C4909="","",R4909*U4909/100)</f>
        <v/>
      </c>
      <c r="W4909" s="7">
        <f>IF($C4909="","",R4909-V4909)</f>
        <v/>
      </c>
      <c r="X4909" s="7">
        <f>IF($C4909="","",W4909-K4909)</f>
        <v/>
      </c>
      <c r="AB4909" s="7" t="n"/>
      <c r="AE4909" s="11" t="n"/>
      <c r="AG4909">
        <f>IF($C4909="","",IF(COUNTIF($C$2:$C4909,$C4909)=1,1,0))</f>
        <v/>
      </c>
      <c r="AH4909">
        <f>IF($AG4909=1,SUMPRODUCT(--($AK$2:$AK$6001&lt;$AK4909))+1,"")</f>
        <v/>
      </c>
      <c r="AI4909">
        <f>IF($C4909="","",IF(OR($N4909=TRUE(),$N4909="TRUE"),1,0))</f>
        <v/>
      </c>
      <c r="AJ4909">
        <f>IF($C4909="","",IF($T4909="Yes",1,0))</f>
        <v/>
      </c>
      <c r="AK4909">
        <f>IF($AG4909=1,IFERROR(IF(VALUE($C4909)&lt;100000000,VALUE($C4909),1000000000),IFERROR(IF(VALUE(MID($C4909,2,20))&lt;100000000,VALUE(MID($C4909,2,20)),1000000000),1000000000))+ROW()/100000,"")</f>
        <v/>
      </c>
    </row>
    <row r="4910">
      <c r="D4910" s="11" t="n"/>
      <c r="K4910" s="7">
        <f>IF($C4910="","",J4910*W4910/100)</f>
        <v/>
      </c>
      <c r="Q4910" s="7" t="n"/>
      <c r="R4910" s="7" t="n"/>
      <c r="U4910">
        <f>IF($C4910="","",IF($AJ4910=1,0,IF($AI4910=1,Settings!$C$6,Settings!$C$7))*100)</f>
        <v/>
      </c>
      <c r="V4910" s="7">
        <f>IF($C4910="","",R4910*U4910/100)</f>
        <v/>
      </c>
      <c r="W4910" s="7">
        <f>IF($C4910="","",R4910-V4910)</f>
        <v/>
      </c>
      <c r="X4910" s="7">
        <f>IF($C4910="","",W4910-K4910)</f>
        <v/>
      </c>
      <c r="AB4910" s="7" t="n"/>
      <c r="AE4910" s="11" t="n"/>
      <c r="AG4910">
        <f>IF($C4910="","",IF(COUNTIF($C$2:$C4910,$C4910)=1,1,0))</f>
        <v/>
      </c>
      <c r="AH4910">
        <f>IF($AG4910=1,SUMPRODUCT(--($AK$2:$AK$6001&lt;$AK4910))+1,"")</f>
        <v/>
      </c>
      <c r="AI4910">
        <f>IF($C4910="","",IF(OR($N4910=TRUE(),$N4910="TRUE"),1,0))</f>
        <v/>
      </c>
      <c r="AJ4910">
        <f>IF($C4910="","",IF($T4910="Yes",1,0))</f>
        <v/>
      </c>
      <c r="AK4910">
        <f>IF($AG4910=1,IFERROR(IF(VALUE($C4910)&lt;100000000,VALUE($C4910),1000000000),IFERROR(IF(VALUE(MID($C4910,2,20))&lt;100000000,VALUE(MID($C4910,2,20)),1000000000),1000000000))+ROW()/100000,"")</f>
        <v/>
      </c>
    </row>
    <row r="4911">
      <c r="D4911" s="11" t="n"/>
      <c r="K4911" s="7">
        <f>IF($C4911="","",J4911*W4911/100)</f>
        <v/>
      </c>
      <c r="Q4911" s="7" t="n"/>
      <c r="R4911" s="7" t="n"/>
      <c r="U4911">
        <f>IF($C4911="","",IF($AJ4911=1,0,IF($AI4911=1,Settings!$C$6,Settings!$C$7))*100)</f>
        <v/>
      </c>
      <c r="V4911" s="7">
        <f>IF($C4911="","",R4911*U4911/100)</f>
        <v/>
      </c>
      <c r="W4911" s="7">
        <f>IF($C4911="","",R4911-V4911)</f>
        <v/>
      </c>
      <c r="X4911" s="7">
        <f>IF($C4911="","",W4911-K4911)</f>
        <v/>
      </c>
      <c r="AB4911" s="7" t="n"/>
      <c r="AE4911" s="11" t="n"/>
      <c r="AG4911">
        <f>IF($C4911="","",IF(COUNTIF($C$2:$C4911,$C4911)=1,1,0))</f>
        <v/>
      </c>
      <c r="AH4911">
        <f>IF($AG4911=1,SUMPRODUCT(--($AK$2:$AK$6001&lt;$AK4911))+1,"")</f>
        <v/>
      </c>
      <c r="AI4911">
        <f>IF($C4911="","",IF(OR($N4911=TRUE(),$N4911="TRUE"),1,0))</f>
        <v/>
      </c>
      <c r="AJ4911">
        <f>IF($C4911="","",IF($T4911="Yes",1,0))</f>
        <v/>
      </c>
      <c r="AK4911">
        <f>IF($AG4911=1,IFERROR(IF(VALUE($C4911)&lt;100000000,VALUE($C4911),1000000000),IFERROR(IF(VALUE(MID($C4911,2,20))&lt;100000000,VALUE(MID($C4911,2,20)),1000000000),1000000000))+ROW()/100000,"")</f>
        <v/>
      </c>
    </row>
    <row r="4912">
      <c r="D4912" s="11" t="n"/>
      <c r="K4912" s="7">
        <f>IF($C4912="","",J4912*W4912/100)</f>
        <v/>
      </c>
      <c r="Q4912" s="7" t="n"/>
      <c r="R4912" s="7" t="n"/>
      <c r="U4912">
        <f>IF($C4912="","",IF($AJ4912=1,0,IF($AI4912=1,Settings!$C$6,Settings!$C$7))*100)</f>
        <v/>
      </c>
      <c r="V4912" s="7">
        <f>IF($C4912="","",R4912*U4912/100)</f>
        <v/>
      </c>
      <c r="W4912" s="7">
        <f>IF($C4912="","",R4912-V4912)</f>
        <v/>
      </c>
      <c r="X4912" s="7">
        <f>IF($C4912="","",W4912-K4912)</f>
        <v/>
      </c>
      <c r="AB4912" s="7" t="n"/>
      <c r="AE4912" s="11" t="n"/>
      <c r="AG4912">
        <f>IF($C4912="","",IF(COUNTIF($C$2:$C4912,$C4912)=1,1,0))</f>
        <v/>
      </c>
      <c r="AH4912">
        <f>IF($AG4912=1,SUMPRODUCT(--($AK$2:$AK$6001&lt;$AK4912))+1,"")</f>
        <v/>
      </c>
      <c r="AI4912">
        <f>IF($C4912="","",IF(OR($N4912=TRUE(),$N4912="TRUE"),1,0))</f>
        <v/>
      </c>
      <c r="AJ4912">
        <f>IF($C4912="","",IF($T4912="Yes",1,0))</f>
        <v/>
      </c>
      <c r="AK4912">
        <f>IF($AG4912=1,IFERROR(IF(VALUE($C4912)&lt;100000000,VALUE($C4912),1000000000),IFERROR(IF(VALUE(MID($C4912,2,20))&lt;100000000,VALUE(MID($C4912,2,20)),1000000000),1000000000))+ROW()/100000,"")</f>
        <v/>
      </c>
    </row>
    <row r="4913">
      <c r="D4913" s="11" t="n"/>
      <c r="K4913" s="7">
        <f>IF($C4913="","",J4913*W4913/100)</f>
        <v/>
      </c>
      <c r="Q4913" s="7" t="n"/>
      <c r="R4913" s="7" t="n"/>
      <c r="U4913">
        <f>IF($C4913="","",IF($AJ4913=1,0,IF($AI4913=1,Settings!$C$6,Settings!$C$7))*100)</f>
        <v/>
      </c>
      <c r="V4913" s="7">
        <f>IF($C4913="","",R4913*U4913/100)</f>
        <v/>
      </c>
      <c r="W4913" s="7">
        <f>IF($C4913="","",R4913-V4913)</f>
        <v/>
      </c>
      <c r="X4913" s="7">
        <f>IF($C4913="","",W4913-K4913)</f>
        <v/>
      </c>
      <c r="AB4913" s="7" t="n"/>
      <c r="AE4913" s="11" t="n"/>
      <c r="AG4913">
        <f>IF($C4913="","",IF(COUNTIF($C$2:$C4913,$C4913)=1,1,0))</f>
        <v/>
      </c>
      <c r="AH4913">
        <f>IF($AG4913=1,SUMPRODUCT(--($AK$2:$AK$6001&lt;$AK4913))+1,"")</f>
        <v/>
      </c>
      <c r="AI4913">
        <f>IF($C4913="","",IF(OR($N4913=TRUE(),$N4913="TRUE"),1,0))</f>
        <v/>
      </c>
      <c r="AJ4913">
        <f>IF($C4913="","",IF($T4913="Yes",1,0))</f>
        <v/>
      </c>
      <c r="AK4913">
        <f>IF($AG4913=1,IFERROR(IF(VALUE($C4913)&lt;100000000,VALUE($C4913),1000000000),IFERROR(IF(VALUE(MID($C4913,2,20))&lt;100000000,VALUE(MID($C4913,2,20)),1000000000),1000000000))+ROW()/100000,"")</f>
        <v/>
      </c>
    </row>
    <row r="4914">
      <c r="D4914" s="11" t="n"/>
      <c r="K4914" s="7">
        <f>IF($C4914="","",J4914*W4914/100)</f>
        <v/>
      </c>
      <c r="Q4914" s="7" t="n"/>
      <c r="R4914" s="7" t="n"/>
      <c r="U4914">
        <f>IF($C4914="","",IF($AJ4914=1,0,IF($AI4914=1,Settings!$C$6,Settings!$C$7))*100)</f>
        <v/>
      </c>
      <c r="V4914" s="7">
        <f>IF($C4914="","",R4914*U4914/100)</f>
        <v/>
      </c>
      <c r="W4914" s="7">
        <f>IF($C4914="","",R4914-V4914)</f>
        <v/>
      </c>
      <c r="X4914" s="7">
        <f>IF($C4914="","",W4914-K4914)</f>
        <v/>
      </c>
      <c r="AB4914" s="7" t="n"/>
      <c r="AE4914" s="11" t="n"/>
      <c r="AG4914">
        <f>IF($C4914="","",IF(COUNTIF($C$2:$C4914,$C4914)=1,1,0))</f>
        <v/>
      </c>
      <c r="AH4914">
        <f>IF($AG4914=1,SUMPRODUCT(--($AK$2:$AK$6001&lt;$AK4914))+1,"")</f>
        <v/>
      </c>
      <c r="AI4914">
        <f>IF($C4914="","",IF(OR($N4914=TRUE(),$N4914="TRUE"),1,0))</f>
        <v/>
      </c>
      <c r="AJ4914">
        <f>IF($C4914="","",IF($T4914="Yes",1,0))</f>
        <v/>
      </c>
      <c r="AK4914">
        <f>IF($AG4914=1,IFERROR(IF(VALUE($C4914)&lt;100000000,VALUE($C4914),1000000000),IFERROR(IF(VALUE(MID($C4914,2,20))&lt;100000000,VALUE(MID($C4914,2,20)),1000000000),1000000000))+ROW()/100000,"")</f>
        <v/>
      </c>
    </row>
    <row r="4915">
      <c r="D4915" s="11" t="n"/>
      <c r="K4915" s="7">
        <f>IF($C4915="","",J4915*W4915/100)</f>
        <v/>
      </c>
      <c r="Q4915" s="7" t="n"/>
      <c r="R4915" s="7" t="n"/>
      <c r="U4915">
        <f>IF($C4915="","",IF($AJ4915=1,0,IF($AI4915=1,Settings!$C$6,Settings!$C$7))*100)</f>
        <v/>
      </c>
      <c r="V4915" s="7">
        <f>IF($C4915="","",R4915*U4915/100)</f>
        <v/>
      </c>
      <c r="W4915" s="7">
        <f>IF($C4915="","",R4915-V4915)</f>
        <v/>
      </c>
      <c r="X4915" s="7">
        <f>IF($C4915="","",W4915-K4915)</f>
        <v/>
      </c>
      <c r="AB4915" s="7" t="n"/>
      <c r="AE4915" s="11" t="n"/>
      <c r="AG4915">
        <f>IF($C4915="","",IF(COUNTIF($C$2:$C4915,$C4915)=1,1,0))</f>
        <v/>
      </c>
      <c r="AH4915">
        <f>IF($AG4915=1,SUMPRODUCT(--($AK$2:$AK$6001&lt;$AK4915))+1,"")</f>
        <v/>
      </c>
      <c r="AI4915">
        <f>IF($C4915="","",IF(OR($N4915=TRUE(),$N4915="TRUE"),1,0))</f>
        <v/>
      </c>
      <c r="AJ4915">
        <f>IF($C4915="","",IF($T4915="Yes",1,0))</f>
        <v/>
      </c>
      <c r="AK4915">
        <f>IF($AG4915=1,IFERROR(IF(VALUE($C4915)&lt;100000000,VALUE($C4915),1000000000),IFERROR(IF(VALUE(MID($C4915,2,20))&lt;100000000,VALUE(MID($C4915,2,20)),1000000000),1000000000))+ROW()/100000,"")</f>
        <v/>
      </c>
    </row>
    <row r="4916">
      <c r="D4916" s="11" t="n"/>
      <c r="K4916" s="7">
        <f>IF($C4916="","",J4916*W4916/100)</f>
        <v/>
      </c>
      <c r="Q4916" s="7" t="n"/>
      <c r="R4916" s="7" t="n"/>
      <c r="U4916">
        <f>IF($C4916="","",IF($AJ4916=1,0,IF($AI4916=1,Settings!$C$6,Settings!$C$7))*100)</f>
        <v/>
      </c>
      <c r="V4916" s="7">
        <f>IF($C4916="","",R4916*U4916/100)</f>
        <v/>
      </c>
      <c r="W4916" s="7">
        <f>IF($C4916="","",R4916-V4916)</f>
        <v/>
      </c>
      <c r="X4916" s="7">
        <f>IF($C4916="","",W4916-K4916)</f>
        <v/>
      </c>
      <c r="AB4916" s="7" t="n"/>
      <c r="AE4916" s="11" t="n"/>
      <c r="AG4916">
        <f>IF($C4916="","",IF(COUNTIF($C$2:$C4916,$C4916)=1,1,0))</f>
        <v/>
      </c>
      <c r="AH4916">
        <f>IF($AG4916=1,SUMPRODUCT(--($AK$2:$AK$6001&lt;$AK4916))+1,"")</f>
        <v/>
      </c>
      <c r="AI4916">
        <f>IF($C4916="","",IF(OR($N4916=TRUE(),$N4916="TRUE"),1,0))</f>
        <v/>
      </c>
      <c r="AJ4916">
        <f>IF($C4916="","",IF($T4916="Yes",1,0))</f>
        <v/>
      </c>
      <c r="AK4916">
        <f>IF($AG4916=1,IFERROR(IF(VALUE($C4916)&lt;100000000,VALUE($C4916),1000000000),IFERROR(IF(VALUE(MID($C4916,2,20))&lt;100000000,VALUE(MID($C4916,2,20)),1000000000),1000000000))+ROW()/100000,"")</f>
        <v/>
      </c>
    </row>
    <row r="4917">
      <c r="D4917" s="11" t="n"/>
      <c r="K4917" s="7">
        <f>IF($C4917="","",J4917*W4917/100)</f>
        <v/>
      </c>
      <c r="Q4917" s="7" t="n"/>
      <c r="R4917" s="7" t="n"/>
      <c r="U4917">
        <f>IF($C4917="","",IF($AJ4917=1,0,IF($AI4917=1,Settings!$C$6,Settings!$C$7))*100)</f>
        <v/>
      </c>
      <c r="V4917" s="7">
        <f>IF($C4917="","",R4917*U4917/100)</f>
        <v/>
      </c>
      <c r="W4917" s="7">
        <f>IF($C4917="","",R4917-V4917)</f>
        <v/>
      </c>
      <c r="X4917" s="7">
        <f>IF($C4917="","",W4917-K4917)</f>
        <v/>
      </c>
      <c r="AB4917" s="7" t="n"/>
      <c r="AE4917" s="11" t="n"/>
      <c r="AG4917">
        <f>IF($C4917="","",IF(COUNTIF($C$2:$C4917,$C4917)=1,1,0))</f>
        <v/>
      </c>
      <c r="AH4917">
        <f>IF($AG4917=1,SUMPRODUCT(--($AK$2:$AK$6001&lt;$AK4917))+1,"")</f>
        <v/>
      </c>
      <c r="AI4917">
        <f>IF($C4917="","",IF(OR($N4917=TRUE(),$N4917="TRUE"),1,0))</f>
        <v/>
      </c>
      <c r="AJ4917">
        <f>IF($C4917="","",IF($T4917="Yes",1,0))</f>
        <v/>
      </c>
      <c r="AK4917">
        <f>IF($AG4917=1,IFERROR(IF(VALUE($C4917)&lt;100000000,VALUE($C4917),1000000000),IFERROR(IF(VALUE(MID($C4917,2,20))&lt;100000000,VALUE(MID($C4917,2,20)),1000000000),1000000000))+ROW()/100000,"")</f>
        <v/>
      </c>
    </row>
    <row r="4918">
      <c r="D4918" s="11" t="n"/>
      <c r="K4918" s="7">
        <f>IF($C4918="","",J4918*W4918/100)</f>
        <v/>
      </c>
      <c r="Q4918" s="7" t="n"/>
      <c r="R4918" s="7" t="n"/>
      <c r="U4918">
        <f>IF($C4918="","",IF($AJ4918=1,0,IF($AI4918=1,Settings!$C$6,Settings!$C$7))*100)</f>
        <v/>
      </c>
      <c r="V4918" s="7">
        <f>IF($C4918="","",R4918*U4918/100)</f>
        <v/>
      </c>
      <c r="W4918" s="7">
        <f>IF($C4918="","",R4918-V4918)</f>
        <v/>
      </c>
      <c r="X4918" s="7">
        <f>IF($C4918="","",W4918-K4918)</f>
        <v/>
      </c>
      <c r="AB4918" s="7" t="n"/>
      <c r="AE4918" s="11" t="n"/>
      <c r="AG4918">
        <f>IF($C4918="","",IF(COUNTIF($C$2:$C4918,$C4918)=1,1,0))</f>
        <v/>
      </c>
      <c r="AH4918">
        <f>IF($AG4918=1,SUMPRODUCT(--($AK$2:$AK$6001&lt;$AK4918))+1,"")</f>
        <v/>
      </c>
      <c r="AI4918">
        <f>IF($C4918="","",IF(OR($N4918=TRUE(),$N4918="TRUE"),1,0))</f>
        <v/>
      </c>
      <c r="AJ4918">
        <f>IF($C4918="","",IF($T4918="Yes",1,0))</f>
        <v/>
      </c>
      <c r="AK4918">
        <f>IF($AG4918=1,IFERROR(IF(VALUE($C4918)&lt;100000000,VALUE($C4918),1000000000),IFERROR(IF(VALUE(MID($C4918,2,20))&lt;100000000,VALUE(MID($C4918,2,20)),1000000000),1000000000))+ROW()/100000,"")</f>
        <v/>
      </c>
    </row>
    <row r="4919">
      <c r="D4919" s="11" t="n"/>
      <c r="K4919" s="7">
        <f>IF($C4919="","",J4919*W4919/100)</f>
        <v/>
      </c>
      <c r="Q4919" s="7" t="n"/>
      <c r="R4919" s="7" t="n"/>
      <c r="U4919">
        <f>IF($C4919="","",IF($AJ4919=1,0,IF($AI4919=1,Settings!$C$6,Settings!$C$7))*100)</f>
        <v/>
      </c>
      <c r="V4919" s="7">
        <f>IF($C4919="","",R4919*U4919/100)</f>
        <v/>
      </c>
      <c r="W4919" s="7">
        <f>IF($C4919="","",R4919-V4919)</f>
        <v/>
      </c>
      <c r="X4919" s="7">
        <f>IF($C4919="","",W4919-K4919)</f>
        <v/>
      </c>
      <c r="AB4919" s="7" t="n"/>
      <c r="AE4919" s="11" t="n"/>
      <c r="AG4919">
        <f>IF($C4919="","",IF(COUNTIF($C$2:$C4919,$C4919)=1,1,0))</f>
        <v/>
      </c>
      <c r="AH4919">
        <f>IF($AG4919=1,SUMPRODUCT(--($AK$2:$AK$6001&lt;$AK4919))+1,"")</f>
        <v/>
      </c>
      <c r="AI4919">
        <f>IF($C4919="","",IF(OR($N4919=TRUE(),$N4919="TRUE"),1,0))</f>
        <v/>
      </c>
      <c r="AJ4919">
        <f>IF($C4919="","",IF($T4919="Yes",1,0))</f>
        <v/>
      </c>
      <c r="AK4919">
        <f>IF($AG4919=1,IFERROR(IF(VALUE($C4919)&lt;100000000,VALUE($C4919),1000000000),IFERROR(IF(VALUE(MID($C4919,2,20))&lt;100000000,VALUE(MID($C4919,2,20)),1000000000),1000000000))+ROW()/100000,"")</f>
        <v/>
      </c>
    </row>
    <row r="4920">
      <c r="D4920" s="11" t="n"/>
      <c r="K4920" s="7">
        <f>IF($C4920="","",J4920*W4920/100)</f>
        <v/>
      </c>
      <c r="Q4920" s="7" t="n"/>
      <c r="R4920" s="7" t="n"/>
      <c r="U4920">
        <f>IF($C4920="","",IF($AJ4920=1,0,IF($AI4920=1,Settings!$C$6,Settings!$C$7))*100)</f>
        <v/>
      </c>
      <c r="V4920" s="7">
        <f>IF($C4920="","",R4920*U4920/100)</f>
        <v/>
      </c>
      <c r="W4920" s="7">
        <f>IF($C4920="","",R4920-V4920)</f>
        <v/>
      </c>
      <c r="X4920" s="7">
        <f>IF($C4920="","",W4920-K4920)</f>
        <v/>
      </c>
      <c r="AB4920" s="7" t="n"/>
      <c r="AE4920" s="11" t="n"/>
      <c r="AG4920">
        <f>IF($C4920="","",IF(COUNTIF($C$2:$C4920,$C4920)=1,1,0))</f>
        <v/>
      </c>
      <c r="AH4920">
        <f>IF($AG4920=1,SUMPRODUCT(--($AK$2:$AK$6001&lt;$AK4920))+1,"")</f>
        <v/>
      </c>
      <c r="AI4920">
        <f>IF($C4920="","",IF(OR($N4920=TRUE(),$N4920="TRUE"),1,0))</f>
        <v/>
      </c>
      <c r="AJ4920">
        <f>IF($C4920="","",IF($T4920="Yes",1,0))</f>
        <v/>
      </c>
      <c r="AK4920">
        <f>IF($AG4920=1,IFERROR(IF(VALUE($C4920)&lt;100000000,VALUE($C4920),1000000000),IFERROR(IF(VALUE(MID($C4920,2,20))&lt;100000000,VALUE(MID($C4920,2,20)),1000000000),1000000000))+ROW()/100000,"")</f>
        <v/>
      </c>
    </row>
    <row r="4921">
      <c r="D4921" s="11" t="n"/>
      <c r="K4921" s="7">
        <f>IF($C4921="","",J4921*W4921/100)</f>
        <v/>
      </c>
      <c r="Q4921" s="7" t="n"/>
      <c r="R4921" s="7" t="n"/>
      <c r="U4921">
        <f>IF($C4921="","",IF($AJ4921=1,0,IF($AI4921=1,Settings!$C$6,Settings!$C$7))*100)</f>
        <v/>
      </c>
      <c r="V4921" s="7">
        <f>IF($C4921="","",R4921*U4921/100)</f>
        <v/>
      </c>
      <c r="W4921" s="7">
        <f>IF($C4921="","",R4921-V4921)</f>
        <v/>
      </c>
      <c r="X4921" s="7">
        <f>IF($C4921="","",W4921-K4921)</f>
        <v/>
      </c>
      <c r="AB4921" s="7" t="n"/>
      <c r="AE4921" s="11" t="n"/>
      <c r="AG4921">
        <f>IF($C4921="","",IF(COUNTIF($C$2:$C4921,$C4921)=1,1,0))</f>
        <v/>
      </c>
      <c r="AH4921">
        <f>IF($AG4921=1,SUMPRODUCT(--($AK$2:$AK$6001&lt;$AK4921))+1,"")</f>
        <v/>
      </c>
      <c r="AI4921">
        <f>IF($C4921="","",IF(OR($N4921=TRUE(),$N4921="TRUE"),1,0))</f>
        <v/>
      </c>
      <c r="AJ4921">
        <f>IF($C4921="","",IF($T4921="Yes",1,0))</f>
        <v/>
      </c>
      <c r="AK4921">
        <f>IF($AG4921=1,IFERROR(IF(VALUE($C4921)&lt;100000000,VALUE($C4921),1000000000),IFERROR(IF(VALUE(MID($C4921,2,20))&lt;100000000,VALUE(MID($C4921,2,20)),1000000000),1000000000))+ROW()/100000,"")</f>
        <v/>
      </c>
    </row>
    <row r="4922">
      <c r="D4922" s="11" t="n"/>
      <c r="K4922" s="7">
        <f>IF($C4922="","",J4922*W4922/100)</f>
        <v/>
      </c>
      <c r="Q4922" s="7" t="n"/>
      <c r="R4922" s="7" t="n"/>
      <c r="U4922">
        <f>IF($C4922="","",IF($AJ4922=1,0,IF($AI4922=1,Settings!$C$6,Settings!$C$7))*100)</f>
        <v/>
      </c>
      <c r="V4922" s="7">
        <f>IF($C4922="","",R4922*U4922/100)</f>
        <v/>
      </c>
      <c r="W4922" s="7">
        <f>IF($C4922="","",R4922-V4922)</f>
        <v/>
      </c>
      <c r="X4922" s="7">
        <f>IF($C4922="","",W4922-K4922)</f>
        <v/>
      </c>
      <c r="AB4922" s="7" t="n"/>
      <c r="AE4922" s="11" t="n"/>
      <c r="AG4922">
        <f>IF($C4922="","",IF(COUNTIF($C$2:$C4922,$C4922)=1,1,0))</f>
        <v/>
      </c>
      <c r="AH4922">
        <f>IF($AG4922=1,SUMPRODUCT(--($AK$2:$AK$6001&lt;$AK4922))+1,"")</f>
        <v/>
      </c>
      <c r="AI4922">
        <f>IF($C4922="","",IF(OR($N4922=TRUE(),$N4922="TRUE"),1,0))</f>
        <v/>
      </c>
      <c r="AJ4922">
        <f>IF($C4922="","",IF($T4922="Yes",1,0))</f>
        <v/>
      </c>
      <c r="AK4922">
        <f>IF($AG4922=1,IFERROR(IF(VALUE($C4922)&lt;100000000,VALUE($C4922),1000000000),IFERROR(IF(VALUE(MID($C4922,2,20))&lt;100000000,VALUE(MID($C4922,2,20)),1000000000),1000000000))+ROW()/100000,"")</f>
        <v/>
      </c>
    </row>
    <row r="4923">
      <c r="D4923" s="11" t="n"/>
      <c r="K4923" s="7">
        <f>IF($C4923="","",J4923*W4923/100)</f>
        <v/>
      </c>
      <c r="Q4923" s="7" t="n"/>
      <c r="R4923" s="7" t="n"/>
      <c r="U4923">
        <f>IF($C4923="","",IF($AJ4923=1,0,IF($AI4923=1,Settings!$C$6,Settings!$C$7))*100)</f>
        <v/>
      </c>
      <c r="V4923" s="7">
        <f>IF($C4923="","",R4923*U4923/100)</f>
        <v/>
      </c>
      <c r="W4923" s="7">
        <f>IF($C4923="","",R4923-V4923)</f>
        <v/>
      </c>
      <c r="X4923" s="7">
        <f>IF($C4923="","",W4923-K4923)</f>
        <v/>
      </c>
      <c r="AB4923" s="7" t="n"/>
      <c r="AE4923" s="11" t="n"/>
      <c r="AG4923">
        <f>IF($C4923="","",IF(COUNTIF($C$2:$C4923,$C4923)=1,1,0))</f>
        <v/>
      </c>
      <c r="AH4923">
        <f>IF($AG4923=1,SUMPRODUCT(--($AK$2:$AK$6001&lt;$AK4923))+1,"")</f>
        <v/>
      </c>
      <c r="AI4923">
        <f>IF($C4923="","",IF(OR($N4923=TRUE(),$N4923="TRUE"),1,0))</f>
        <v/>
      </c>
      <c r="AJ4923">
        <f>IF($C4923="","",IF($T4923="Yes",1,0))</f>
        <v/>
      </c>
      <c r="AK4923">
        <f>IF($AG4923=1,IFERROR(IF(VALUE($C4923)&lt;100000000,VALUE($C4923),1000000000),IFERROR(IF(VALUE(MID($C4923,2,20))&lt;100000000,VALUE(MID($C4923,2,20)),1000000000),1000000000))+ROW()/100000,"")</f>
        <v/>
      </c>
    </row>
    <row r="4924">
      <c r="D4924" s="11" t="n"/>
      <c r="K4924" s="7">
        <f>IF($C4924="","",J4924*W4924/100)</f>
        <v/>
      </c>
      <c r="Q4924" s="7" t="n"/>
      <c r="R4924" s="7" t="n"/>
      <c r="U4924">
        <f>IF($C4924="","",IF($AJ4924=1,0,IF($AI4924=1,Settings!$C$6,Settings!$C$7))*100)</f>
        <v/>
      </c>
      <c r="V4924" s="7">
        <f>IF($C4924="","",R4924*U4924/100)</f>
        <v/>
      </c>
      <c r="W4924" s="7">
        <f>IF($C4924="","",R4924-V4924)</f>
        <v/>
      </c>
      <c r="X4924" s="7">
        <f>IF($C4924="","",W4924-K4924)</f>
        <v/>
      </c>
      <c r="AB4924" s="7" t="n"/>
      <c r="AE4924" s="11" t="n"/>
      <c r="AG4924">
        <f>IF($C4924="","",IF(COUNTIF($C$2:$C4924,$C4924)=1,1,0))</f>
        <v/>
      </c>
      <c r="AH4924">
        <f>IF($AG4924=1,SUMPRODUCT(--($AK$2:$AK$6001&lt;$AK4924))+1,"")</f>
        <v/>
      </c>
      <c r="AI4924">
        <f>IF($C4924="","",IF(OR($N4924=TRUE(),$N4924="TRUE"),1,0))</f>
        <v/>
      </c>
      <c r="AJ4924">
        <f>IF($C4924="","",IF($T4924="Yes",1,0))</f>
        <v/>
      </c>
      <c r="AK4924">
        <f>IF($AG4924=1,IFERROR(IF(VALUE($C4924)&lt;100000000,VALUE($C4924),1000000000),IFERROR(IF(VALUE(MID($C4924,2,20))&lt;100000000,VALUE(MID($C4924,2,20)),1000000000),1000000000))+ROW()/100000,"")</f>
        <v/>
      </c>
    </row>
    <row r="4925">
      <c r="D4925" s="11" t="n"/>
      <c r="K4925" s="7">
        <f>IF($C4925="","",J4925*W4925/100)</f>
        <v/>
      </c>
      <c r="Q4925" s="7" t="n"/>
      <c r="R4925" s="7" t="n"/>
      <c r="U4925">
        <f>IF($C4925="","",IF($AJ4925=1,0,IF($AI4925=1,Settings!$C$6,Settings!$C$7))*100)</f>
        <v/>
      </c>
      <c r="V4925" s="7">
        <f>IF($C4925="","",R4925*U4925/100)</f>
        <v/>
      </c>
      <c r="W4925" s="7">
        <f>IF($C4925="","",R4925-V4925)</f>
        <v/>
      </c>
      <c r="X4925" s="7">
        <f>IF($C4925="","",W4925-K4925)</f>
        <v/>
      </c>
      <c r="AB4925" s="7" t="n"/>
      <c r="AE4925" s="11" t="n"/>
      <c r="AG4925">
        <f>IF($C4925="","",IF(COUNTIF($C$2:$C4925,$C4925)=1,1,0))</f>
        <v/>
      </c>
      <c r="AH4925">
        <f>IF($AG4925=1,SUMPRODUCT(--($AK$2:$AK$6001&lt;$AK4925))+1,"")</f>
        <v/>
      </c>
      <c r="AI4925">
        <f>IF($C4925="","",IF(OR($N4925=TRUE(),$N4925="TRUE"),1,0))</f>
        <v/>
      </c>
      <c r="AJ4925">
        <f>IF($C4925="","",IF($T4925="Yes",1,0))</f>
        <v/>
      </c>
      <c r="AK4925">
        <f>IF($AG4925=1,IFERROR(IF(VALUE($C4925)&lt;100000000,VALUE($C4925),1000000000),IFERROR(IF(VALUE(MID($C4925,2,20))&lt;100000000,VALUE(MID($C4925,2,20)),1000000000),1000000000))+ROW()/100000,"")</f>
        <v/>
      </c>
    </row>
    <row r="4926">
      <c r="D4926" s="11" t="n"/>
      <c r="K4926" s="7">
        <f>IF($C4926="","",J4926*W4926/100)</f>
        <v/>
      </c>
      <c r="Q4926" s="7" t="n"/>
      <c r="R4926" s="7" t="n"/>
      <c r="U4926">
        <f>IF($C4926="","",IF($AJ4926=1,0,IF($AI4926=1,Settings!$C$6,Settings!$C$7))*100)</f>
        <v/>
      </c>
      <c r="V4926" s="7">
        <f>IF($C4926="","",R4926*U4926/100)</f>
        <v/>
      </c>
      <c r="W4926" s="7">
        <f>IF($C4926="","",R4926-V4926)</f>
        <v/>
      </c>
      <c r="X4926" s="7">
        <f>IF($C4926="","",W4926-K4926)</f>
        <v/>
      </c>
      <c r="AB4926" s="7" t="n"/>
      <c r="AE4926" s="11" t="n"/>
      <c r="AG4926">
        <f>IF($C4926="","",IF(COUNTIF($C$2:$C4926,$C4926)=1,1,0))</f>
        <v/>
      </c>
      <c r="AH4926">
        <f>IF($AG4926=1,SUMPRODUCT(--($AK$2:$AK$6001&lt;$AK4926))+1,"")</f>
        <v/>
      </c>
      <c r="AI4926">
        <f>IF($C4926="","",IF(OR($N4926=TRUE(),$N4926="TRUE"),1,0))</f>
        <v/>
      </c>
      <c r="AJ4926">
        <f>IF($C4926="","",IF($T4926="Yes",1,0))</f>
        <v/>
      </c>
      <c r="AK4926">
        <f>IF($AG4926=1,IFERROR(IF(VALUE($C4926)&lt;100000000,VALUE($C4926),1000000000),IFERROR(IF(VALUE(MID($C4926,2,20))&lt;100000000,VALUE(MID($C4926,2,20)),1000000000),1000000000))+ROW()/100000,"")</f>
        <v/>
      </c>
    </row>
    <row r="4927">
      <c r="D4927" s="11" t="n"/>
      <c r="K4927" s="7">
        <f>IF($C4927="","",J4927*W4927/100)</f>
        <v/>
      </c>
      <c r="Q4927" s="7" t="n"/>
      <c r="R4927" s="7" t="n"/>
      <c r="U4927">
        <f>IF($C4927="","",IF($AJ4927=1,0,IF($AI4927=1,Settings!$C$6,Settings!$C$7))*100)</f>
        <v/>
      </c>
      <c r="V4927" s="7">
        <f>IF($C4927="","",R4927*U4927/100)</f>
        <v/>
      </c>
      <c r="W4927" s="7">
        <f>IF($C4927="","",R4927-V4927)</f>
        <v/>
      </c>
      <c r="X4927" s="7">
        <f>IF($C4927="","",W4927-K4927)</f>
        <v/>
      </c>
      <c r="AB4927" s="7" t="n"/>
      <c r="AE4927" s="11" t="n"/>
      <c r="AG4927">
        <f>IF($C4927="","",IF(COUNTIF($C$2:$C4927,$C4927)=1,1,0))</f>
        <v/>
      </c>
      <c r="AH4927">
        <f>IF($AG4927=1,SUMPRODUCT(--($AK$2:$AK$6001&lt;$AK4927))+1,"")</f>
        <v/>
      </c>
      <c r="AI4927">
        <f>IF($C4927="","",IF(OR($N4927=TRUE(),$N4927="TRUE"),1,0))</f>
        <v/>
      </c>
      <c r="AJ4927">
        <f>IF($C4927="","",IF($T4927="Yes",1,0))</f>
        <v/>
      </c>
      <c r="AK4927">
        <f>IF($AG4927=1,IFERROR(IF(VALUE($C4927)&lt;100000000,VALUE($C4927),1000000000),IFERROR(IF(VALUE(MID($C4927,2,20))&lt;100000000,VALUE(MID($C4927,2,20)),1000000000),1000000000))+ROW()/100000,"")</f>
        <v/>
      </c>
    </row>
    <row r="4928">
      <c r="D4928" s="11" t="n"/>
      <c r="K4928" s="7">
        <f>IF($C4928="","",J4928*W4928/100)</f>
        <v/>
      </c>
      <c r="Q4928" s="7" t="n"/>
      <c r="R4928" s="7" t="n"/>
      <c r="U4928">
        <f>IF($C4928="","",IF($AJ4928=1,0,IF($AI4928=1,Settings!$C$6,Settings!$C$7))*100)</f>
        <v/>
      </c>
      <c r="V4928" s="7">
        <f>IF($C4928="","",R4928*U4928/100)</f>
        <v/>
      </c>
      <c r="W4928" s="7">
        <f>IF($C4928="","",R4928-V4928)</f>
        <v/>
      </c>
      <c r="X4928" s="7">
        <f>IF($C4928="","",W4928-K4928)</f>
        <v/>
      </c>
      <c r="AB4928" s="7" t="n"/>
      <c r="AE4928" s="11" t="n"/>
      <c r="AG4928">
        <f>IF($C4928="","",IF(COUNTIF($C$2:$C4928,$C4928)=1,1,0))</f>
        <v/>
      </c>
      <c r="AH4928">
        <f>IF($AG4928=1,SUMPRODUCT(--($AK$2:$AK$6001&lt;$AK4928))+1,"")</f>
        <v/>
      </c>
      <c r="AI4928">
        <f>IF($C4928="","",IF(OR($N4928=TRUE(),$N4928="TRUE"),1,0))</f>
        <v/>
      </c>
      <c r="AJ4928">
        <f>IF($C4928="","",IF($T4928="Yes",1,0))</f>
        <v/>
      </c>
      <c r="AK4928">
        <f>IF($AG4928=1,IFERROR(IF(VALUE($C4928)&lt;100000000,VALUE($C4928),1000000000),IFERROR(IF(VALUE(MID($C4928,2,20))&lt;100000000,VALUE(MID($C4928,2,20)),1000000000),1000000000))+ROW()/100000,"")</f>
        <v/>
      </c>
    </row>
    <row r="4929">
      <c r="D4929" s="11" t="n"/>
      <c r="K4929" s="7">
        <f>IF($C4929="","",J4929*W4929/100)</f>
        <v/>
      </c>
      <c r="Q4929" s="7" t="n"/>
      <c r="R4929" s="7" t="n"/>
      <c r="U4929">
        <f>IF($C4929="","",IF($AJ4929=1,0,IF($AI4929=1,Settings!$C$6,Settings!$C$7))*100)</f>
        <v/>
      </c>
      <c r="V4929" s="7">
        <f>IF($C4929="","",R4929*U4929/100)</f>
        <v/>
      </c>
      <c r="W4929" s="7">
        <f>IF($C4929="","",R4929-V4929)</f>
        <v/>
      </c>
      <c r="X4929" s="7">
        <f>IF($C4929="","",W4929-K4929)</f>
        <v/>
      </c>
      <c r="AB4929" s="7" t="n"/>
      <c r="AE4929" s="11" t="n"/>
      <c r="AG4929">
        <f>IF($C4929="","",IF(COUNTIF($C$2:$C4929,$C4929)=1,1,0))</f>
        <v/>
      </c>
      <c r="AH4929">
        <f>IF($AG4929=1,SUMPRODUCT(--($AK$2:$AK$6001&lt;$AK4929))+1,"")</f>
        <v/>
      </c>
      <c r="AI4929">
        <f>IF($C4929="","",IF(OR($N4929=TRUE(),$N4929="TRUE"),1,0))</f>
        <v/>
      </c>
      <c r="AJ4929">
        <f>IF($C4929="","",IF($T4929="Yes",1,0))</f>
        <v/>
      </c>
      <c r="AK4929">
        <f>IF($AG4929=1,IFERROR(IF(VALUE($C4929)&lt;100000000,VALUE($C4929),1000000000),IFERROR(IF(VALUE(MID($C4929,2,20))&lt;100000000,VALUE(MID($C4929,2,20)),1000000000),1000000000))+ROW()/100000,"")</f>
        <v/>
      </c>
    </row>
    <row r="4930">
      <c r="D4930" s="11" t="n"/>
      <c r="K4930" s="7">
        <f>IF($C4930="","",J4930*W4930/100)</f>
        <v/>
      </c>
      <c r="Q4930" s="7" t="n"/>
      <c r="R4930" s="7" t="n"/>
      <c r="U4930">
        <f>IF($C4930="","",IF($AJ4930=1,0,IF($AI4930=1,Settings!$C$6,Settings!$C$7))*100)</f>
        <v/>
      </c>
      <c r="V4930" s="7">
        <f>IF($C4930="","",R4930*U4930/100)</f>
        <v/>
      </c>
      <c r="W4930" s="7">
        <f>IF($C4930="","",R4930-V4930)</f>
        <v/>
      </c>
      <c r="X4930" s="7">
        <f>IF($C4930="","",W4930-K4930)</f>
        <v/>
      </c>
      <c r="AB4930" s="7" t="n"/>
      <c r="AE4930" s="11" t="n"/>
      <c r="AG4930">
        <f>IF($C4930="","",IF(COUNTIF($C$2:$C4930,$C4930)=1,1,0))</f>
        <v/>
      </c>
      <c r="AH4930">
        <f>IF($AG4930=1,SUMPRODUCT(--($AK$2:$AK$6001&lt;$AK4930))+1,"")</f>
        <v/>
      </c>
      <c r="AI4930">
        <f>IF($C4930="","",IF(OR($N4930=TRUE(),$N4930="TRUE"),1,0))</f>
        <v/>
      </c>
      <c r="AJ4930">
        <f>IF($C4930="","",IF($T4930="Yes",1,0))</f>
        <v/>
      </c>
      <c r="AK4930">
        <f>IF($AG4930=1,IFERROR(IF(VALUE($C4930)&lt;100000000,VALUE($C4930),1000000000),IFERROR(IF(VALUE(MID($C4930,2,20))&lt;100000000,VALUE(MID($C4930,2,20)),1000000000),1000000000))+ROW()/100000,"")</f>
        <v/>
      </c>
    </row>
    <row r="4931">
      <c r="D4931" s="11" t="n"/>
      <c r="K4931" s="7">
        <f>IF($C4931="","",J4931*W4931/100)</f>
        <v/>
      </c>
      <c r="Q4931" s="7" t="n"/>
      <c r="R4931" s="7" t="n"/>
      <c r="U4931">
        <f>IF($C4931="","",IF($AJ4931=1,0,IF($AI4931=1,Settings!$C$6,Settings!$C$7))*100)</f>
        <v/>
      </c>
      <c r="V4931" s="7">
        <f>IF($C4931="","",R4931*U4931/100)</f>
        <v/>
      </c>
      <c r="W4931" s="7">
        <f>IF($C4931="","",R4931-V4931)</f>
        <v/>
      </c>
      <c r="X4931" s="7">
        <f>IF($C4931="","",W4931-K4931)</f>
        <v/>
      </c>
      <c r="AB4931" s="7" t="n"/>
      <c r="AE4931" s="11" t="n"/>
      <c r="AG4931">
        <f>IF($C4931="","",IF(COUNTIF($C$2:$C4931,$C4931)=1,1,0))</f>
        <v/>
      </c>
      <c r="AH4931">
        <f>IF($AG4931=1,SUMPRODUCT(--($AK$2:$AK$6001&lt;$AK4931))+1,"")</f>
        <v/>
      </c>
      <c r="AI4931">
        <f>IF($C4931="","",IF(OR($N4931=TRUE(),$N4931="TRUE"),1,0))</f>
        <v/>
      </c>
      <c r="AJ4931">
        <f>IF($C4931="","",IF($T4931="Yes",1,0))</f>
        <v/>
      </c>
      <c r="AK4931">
        <f>IF($AG4931=1,IFERROR(IF(VALUE($C4931)&lt;100000000,VALUE($C4931),1000000000),IFERROR(IF(VALUE(MID($C4931,2,20))&lt;100000000,VALUE(MID($C4931,2,20)),1000000000),1000000000))+ROW()/100000,"")</f>
        <v/>
      </c>
    </row>
    <row r="4932">
      <c r="D4932" s="11" t="n"/>
      <c r="K4932" s="7">
        <f>IF($C4932="","",J4932*W4932/100)</f>
        <v/>
      </c>
      <c r="Q4932" s="7" t="n"/>
      <c r="R4932" s="7" t="n"/>
      <c r="U4932">
        <f>IF($C4932="","",IF($AJ4932=1,0,IF($AI4932=1,Settings!$C$6,Settings!$C$7))*100)</f>
        <v/>
      </c>
      <c r="V4932" s="7">
        <f>IF($C4932="","",R4932*U4932/100)</f>
        <v/>
      </c>
      <c r="W4932" s="7">
        <f>IF($C4932="","",R4932-V4932)</f>
        <v/>
      </c>
      <c r="X4932" s="7">
        <f>IF($C4932="","",W4932-K4932)</f>
        <v/>
      </c>
      <c r="AB4932" s="7" t="n"/>
      <c r="AE4932" s="11" t="n"/>
      <c r="AG4932">
        <f>IF($C4932="","",IF(COUNTIF($C$2:$C4932,$C4932)=1,1,0))</f>
        <v/>
      </c>
      <c r="AH4932">
        <f>IF($AG4932=1,SUMPRODUCT(--($AK$2:$AK$6001&lt;$AK4932))+1,"")</f>
        <v/>
      </c>
      <c r="AI4932">
        <f>IF($C4932="","",IF(OR($N4932=TRUE(),$N4932="TRUE"),1,0))</f>
        <v/>
      </c>
      <c r="AJ4932">
        <f>IF($C4932="","",IF($T4932="Yes",1,0))</f>
        <v/>
      </c>
      <c r="AK4932">
        <f>IF($AG4932=1,IFERROR(IF(VALUE($C4932)&lt;100000000,VALUE($C4932),1000000000),IFERROR(IF(VALUE(MID($C4932,2,20))&lt;100000000,VALUE(MID($C4932,2,20)),1000000000),1000000000))+ROW()/100000,"")</f>
        <v/>
      </c>
    </row>
    <row r="4933">
      <c r="D4933" s="11" t="n"/>
      <c r="K4933" s="7">
        <f>IF($C4933="","",J4933*W4933/100)</f>
        <v/>
      </c>
      <c r="Q4933" s="7" t="n"/>
      <c r="R4933" s="7" t="n"/>
      <c r="U4933">
        <f>IF($C4933="","",IF($AJ4933=1,0,IF($AI4933=1,Settings!$C$6,Settings!$C$7))*100)</f>
        <v/>
      </c>
      <c r="V4933" s="7">
        <f>IF($C4933="","",R4933*U4933/100)</f>
        <v/>
      </c>
      <c r="W4933" s="7">
        <f>IF($C4933="","",R4933-V4933)</f>
        <v/>
      </c>
      <c r="X4933" s="7">
        <f>IF($C4933="","",W4933-K4933)</f>
        <v/>
      </c>
      <c r="AB4933" s="7" t="n"/>
      <c r="AE4933" s="11" t="n"/>
      <c r="AG4933">
        <f>IF($C4933="","",IF(COUNTIF($C$2:$C4933,$C4933)=1,1,0))</f>
        <v/>
      </c>
      <c r="AH4933">
        <f>IF($AG4933=1,SUMPRODUCT(--($AK$2:$AK$6001&lt;$AK4933))+1,"")</f>
        <v/>
      </c>
      <c r="AI4933">
        <f>IF($C4933="","",IF(OR($N4933=TRUE(),$N4933="TRUE"),1,0))</f>
        <v/>
      </c>
      <c r="AJ4933">
        <f>IF($C4933="","",IF($T4933="Yes",1,0))</f>
        <v/>
      </c>
      <c r="AK4933">
        <f>IF($AG4933=1,IFERROR(IF(VALUE($C4933)&lt;100000000,VALUE($C4933),1000000000),IFERROR(IF(VALUE(MID($C4933,2,20))&lt;100000000,VALUE(MID($C4933,2,20)),1000000000),1000000000))+ROW()/100000,"")</f>
        <v/>
      </c>
    </row>
    <row r="4934">
      <c r="D4934" s="11" t="n"/>
      <c r="K4934" s="7">
        <f>IF($C4934="","",J4934*W4934/100)</f>
        <v/>
      </c>
      <c r="Q4934" s="7" t="n"/>
      <c r="R4934" s="7" t="n"/>
      <c r="U4934">
        <f>IF($C4934="","",IF($AJ4934=1,0,IF($AI4934=1,Settings!$C$6,Settings!$C$7))*100)</f>
        <v/>
      </c>
      <c r="V4934" s="7">
        <f>IF($C4934="","",R4934*U4934/100)</f>
        <v/>
      </c>
      <c r="W4934" s="7">
        <f>IF($C4934="","",R4934-V4934)</f>
        <v/>
      </c>
      <c r="X4934" s="7">
        <f>IF($C4934="","",W4934-K4934)</f>
        <v/>
      </c>
      <c r="AB4934" s="7" t="n"/>
      <c r="AE4934" s="11" t="n"/>
      <c r="AG4934">
        <f>IF($C4934="","",IF(COUNTIF($C$2:$C4934,$C4934)=1,1,0))</f>
        <v/>
      </c>
      <c r="AH4934">
        <f>IF($AG4934=1,SUMPRODUCT(--($AK$2:$AK$6001&lt;$AK4934))+1,"")</f>
        <v/>
      </c>
      <c r="AI4934">
        <f>IF($C4934="","",IF(OR($N4934=TRUE(),$N4934="TRUE"),1,0))</f>
        <v/>
      </c>
      <c r="AJ4934">
        <f>IF($C4934="","",IF($T4934="Yes",1,0))</f>
        <v/>
      </c>
      <c r="AK4934">
        <f>IF($AG4934=1,IFERROR(IF(VALUE($C4934)&lt;100000000,VALUE($C4934),1000000000),IFERROR(IF(VALUE(MID($C4934,2,20))&lt;100000000,VALUE(MID($C4934,2,20)),1000000000),1000000000))+ROW()/100000,"")</f>
        <v/>
      </c>
    </row>
    <row r="4935">
      <c r="D4935" s="11" t="n"/>
      <c r="K4935" s="7">
        <f>IF($C4935="","",J4935*W4935/100)</f>
        <v/>
      </c>
      <c r="Q4935" s="7" t="n"/>
      <c r="R4935" s="7" t="n"/>
      <c r="U4935">
        <f>IF($C4935="","",IF($AJ4935=1,0,IF($AI4935=1,Settings!$C$6,Settings!$C$7))*100)</f>
        <v/>
      </c>
      <c r="V4935" s="7">
        <f>IF($C4935="","",R4935*U4935/100)</f>
        <v/>
      </c>
      <c r="W4935" s="7">
        <f>IF($C4935="","",R4935-V4935)</f>
        <v/>
      </c>
      <c r="X4935" s="7">
        <f>IF($C4935="","",W4935-K4935)</f>
        <v/>
      </c>
      <c r="AB4935" s="7" t="n"/>
      <c r="AE4935" s="11" t="n"/>
      <c r="AG4935">
        <f>IF($C4935="","",IF(COUNTIF($C$2:$C4935,$C4935)=1,1,0))</f>
        <v/>
      </c>
      <c r="AH4935">
        <f>IF($AG4935=1,SUMPRODUCT(--($AK$2:$AK$6001&lt;$AK4935))+1,"")</f>
        <v/>
      </c>
      <c r="AI4935">
        <f>IF($C4935="","",IF(OR($N4935=TRUE(),$N4935="TRUE"),1,0))</f>
        <v/>
      </c>
      <c r="AJ4935">
        <f>IF($C4935="","",IF($T4935="Yes",1,0))</f>
        <v/>
      </c>
      <c r="AK4935">
        <f>IF($AG4935=1,IFERROR(IF(VALUE($C4935)&lt;100000000,VALUE($C4935),1000000000),IFERROR(IF(VALUE(MID($C4935,2,20))&lt;100000000,VALUE(MID($C4935,2,20)),1000000000),1000000000))+ROW()/100000,"")</f>
        <v/>
      </c>
    </row>
    <row r="4936">
      <c r="D4936" s="11" t="n"/>
      <c r="K4936" s="7">
        <f>IF($C4936="","",J4936*W4936/100)</f>
        <v/>
      </c>
      <c r="Q4936" s="7" t="n"/>
      <c r="R4936" s="7" t="n"/>
      <c r="U4936">
        <f>IF($C4936="","",IF($AJ4936=1,0,IF($AI4936=1,Settings!$C$6,Settings!$C$7))*100)</f>
        <v/>
      </c>
      <c r="V4936" s="7">
        <f>IF($C4936="","",R4936*U4936/100)</f>
        <v/>
      </c>
      <c r="W4936" s="7">
        <f>IF($C4936="","",R4936-V4936)</f>
        <v/>
      </c>
      <c r="X4936" s="7">
        <f>IF($C4936="","",W4936-K4936)</f>
        <v/>
      </c>
      <c r="AB4936" s="7" t="n"/>
      <c r="AE4936" s="11" t="n"/>
      <c r="AG4936">
        <f>IF($C4936="","",IF(COUNTIF($C$2:$C4936,$C4936)=1,1,0))</f>
        <v/>
      </c>
      <c r="AH4936">
        <f>IF($AG4936=1,SUMPRODUCT(--($AK$2:$AK$6001&lt;$AK4936))+1,"")</f>
        <v/>
      </c>
      <c r="AI4936">
        <f>IF($C4936="","",IF(OR($N4936=TRUE(),$N4936="TRUE"),1,0))</f>
        <v/>
      </c>
      <c r="AJ4936">
        <f>IF($C4936="","",IF($T4936="Yes",1,0))</f>
        <v/>
      </c>
      <c r="AK4936">
        <f>IF($AG4936=1,IFERROR(IF(VALUE($C4936)&lt;100000000,VALUE($C4936),1000000000),IFERROR(IF(VALUE(MID($C4936,2,20))&lt;100000000,VALUE(MID($C4936,2,20)),1000000000),1000000000))+ROW()/100000,"")</f>
        <v/>
      </c>
    </row>
    <row r="4937">
      <c r="D4937" s="11" t="n"/>
      <c r="K4937" s="7">
        <f>IF($C4937="","",J4937*W4937/100)</f>
        <v/>
      </c>
      <c r="Q4937" s="7" t="n"/>
      <c r="R4937" s="7" t="n"/>
      <c r="U4937">
        <f>IF($C4937="","",IF($AJ4937=1,0,IF($AI4937=1,Settings!$C$6,Settings!$C$7))*100)</f>
        <v/>
      </c>
      <c r="V4937" s="7">
        <f>IF($C4937="","",R4937*U4937/100)</f>
        <v/>
      </c>
      <c r="W4937" s="7">
        <f>IF($C4937="","",R4937-V4937)</f>
        <v/>
      </c>
      <c r="X4937" s="7">
        <f>IF($C4937="","",W4937-K4937)</f>
        <v/>
      </c>
      <c r="AB4937" s="7" t="n"/>
      <c r="AE4937" s="11" t="n"/>
      <c r="AG4937">
        <f>IF($C4937="","",IF(COUNTIF($C$2:$C4937,$C4937)=1,1,0))</f>
        <v/>
      </c>
      <c r="AH4937">
        <f>IF($AG4937=1,SUMPRODUCT(--($AK$2:$AK$6001&lt;$AK4937))+1,"")</f>
        <v/>
      </c>
      <c r="AI4937">
        <f>IF($C4937="","",IF(OR($N4937=TRUE(),$N4937="TRUE"),1,0))</f>
        <v/>
      </c>
      <c r="AJ4937">
        <f>IF($C4937="","",IF($T4937="Yes",1,0))</f>
        <v/>
      </c>
      <c r="AK4937">
        <f>IF($AG4937=1,IFERROR(IF(VALUE($C4937)&lt;100000000,VALUE($C4937),1000000000),IFERROR(IF(VALUE(MID($C4937,2,20))&lt;100000000,VALUE(MID($C4937,2,20)),1000000000),1000000000))+ROW()/100000,"")</f>
        <v/>
      </c>
    </row>
    <row r="4938">
      <c r="D4938" s="11" t="n"/>
      <c r="K4938" s="7">
        <f>IF($C4938="","",J4938*W4938/100)</f>
        <v/>
      </c>
      <c r="Q4938" s="7" t="n"/>
      <c r="R4938" s="7" t="n"/>
      <c r="U4938">
        <f>IF($C4938="","",IF($AJ4938=1,0,IF($AI4938=1,Settings!$C$6,Settings!$C$7))*100)</f>
        <v/>
      </c>
      <c r="V4938" s="7">
        <f>IF($C4938="","",R4938*U4938/100)</f>
        <v/>
      </c>
      <c r="W4938" s="7">
        <f>IF($C4938="","",R4938-V4938)</f>
        <v/>
      </c>
      <c r="X4938" s="7">
        <f>IF($C4938="","",W4938-K4938)</f>
        <v/>
      </c>
      <c r="AB4938" s="7" t="n"/>
      <c r="AE4938" s="11" t="n"/>
      <c r="AG4938">
        <f>IF($C4938="","",IF(COUNTIF($C$2:$C4938,$C4938)=1,1,0))</f>
        <v/>
      </c>
      <c r="AH4938">
        <f>IF($AG4938=1,SUMPRODUCT(--($AK$2:$AK$6001&lt;$AK4938))+1,"")</f>
        <v/>
      </c>
      <c r="AI4938">
        <f>IF($C4938="","",IF(OR($N4938=TRUE(),$N4938="TRUE"),1,0))</f>
        <v/>
      </c>
      <c r="AJ4938">
        <f>IF($C4938="","",IF($T4938="Yes",1,0))</f>
        <v/>
      </c>
      <c r="AK4938">
        <f>IF($AG4938=1,IFERROR(IF(VALUE($C4938)&lt;100000000,VALUE($C4938),1000000000),IFERROR(IF(VALUE(MID($C4938,2,20))&lt;100000000,VALUE(MID($C4938,2,20)),1000000000),1000000000))+ROW()/100000,"")</f>
        <v/>
      </c>
    </row>
    <row r="4939">
      <c r="D4939" s="11" t="n"/>
      <c r="K4939" s="7">
        <f>IF($C4939="","",J4939*W4939/100)</f>
        <v/>
      </c>
      <c r="Q4939" s="7" t="n"/>
      <c r="R4939" s="7" t="n"/>
      <c r="U4939">
        <f>IF($C4939="","",IF($AJ4939=1,0,IF($AI4939=1,Settings!$C$6,Settings!$C$7))*100)</f>
        <v/>
      </c>
      <c r="V4939" s="7">
        <f>IF($C4939="","",R4939*U4939/100)</f>
        <v/>
      </c>
      <c r="W4939" s="7">
        <f>IF($C4939="","",R4939-V4939)</f>
        <v/>
      </c>
      <c r="X4939" s="7">
        <f>IF($C4939="","",W4939-K4939)</f>
        <v/>
      </c>
      <c r="AB4939" s="7" t="n"/>
      <c r="AE4939" s="11" t="n"/>
      <c r="AG4939">
        <f>IF($C4939="","",IF(COUNTIF($C$2:$C4939,$C4939)=1,1,0))</f>
        <v/>
      </c>
      <c r="AH4939">
        <f>IF($AG4939=1,SUMPRODUCT(--($AK$2:$AK$6001&lt;$AK4939))+1,"")</f>
        <v/>
      </c>
      <c r="AI4939">
        <f>IF($C4939="","",IF(OR($N4939=TRUE(),$N4939="TRUE"),1,0))</f>
        <v/>
      </c>
      <c r="AJ4939">
        <f>IF($C4939="","",IF($T4939="Yes",1,0))</f>
        <v/>
      </c>
      <c r="AK4939">
        <f>IF($AG4939=1,IFERROR(IF(VALUE($C4939)&lt;100000000,VALUE($C4939),1000000000),IFERROR(IF(VALUE(MID($C4939,2,20))&lt;100000000,VALUE(MID($C4939,2,20)),1000000000),1000000000))+ROW()/100000,"")</f>
        <v/>
      </c>
    </row>
    <row r="4940">
      <c r="D4940" s="11" t="n"/>
      <c r="K4940" s="7">
        <f>IF($C4940="","",J4940*W4940/100)</f>
        <v/>
      </c>
      <c r="Q4940" s="7" t="n"/>
      <c r="R4940" s="7" t="n"/>
      <c r="U4940">
        <f>IF($C4940="","",IF($AJ4940=1,0,IF($AI4940=1,Settings!$C$6,Settings!$C$7))*100)</f>
        <v/>
      </c>
      <c r="V4940" s="7">
        <f>IF($C4940="","",R4940*U4940/100)</f>
        <v/>
      </c>
      <c r="W4940" s="7">
        <f>IF($C4940="","",R4940-V4940)</f>
        <v/>
      </c>
      <c r="X4940" s="7">
        <f>IF($C4940="","",W4940-K4940)</f>
        <v/>
      </c>
      <c r="AB4940" s="7" t="n"/>
      <c r="AE4940" s="11" t="n"/>
      <c r="AG4940">
        <f>IF($C4940="","",IF(COUNTIF($C$2:$C4940,$C4940)=1,1,0))</f>
        <v/>
      </c>
      <c r="AH4940">
        <f>IF($AG4940=1,SUMPRODUCT(--($AK$2:$AK$6001&lt;$AK4940))+1,"")</f>
        <v/>
      </c>
      <c r="AI4940">
        <f>IF($C4940="","",IF(OR($N4940=TRUE(),$N4940="TRUE"),1,0))</f>
        <v/>
      </c>
      <c r="AJ4940">
        <f>IF($C4940="","",IF($T4940="Yes",1,0))</f>
        <v/>
      </c>
      <c r="AK4940">
        <f>IF($AG4940=1,IFERROR(IF(VALUE($C4940)&lt;100000000,VALUE($C4940),1000000000),IFERROR(IF(VALUE(MID($C4940,2,20))&lt;100000000,VALUE(MID($C4940,2,20)),1000000000),1000000000))+ROW()/100000,"")</f>
        <v/>
      </c>
    </row>
    <row r="4941">
      <c r="D4941" s="11" t="n"/>
      <c r="K4941" s="7">
        <f>IF($C4941="","",J4941*W4941/100)</f>
        <v/>
      </c>
      <c r="Q4941" s="7" t="n"/>
      <c r="R4941" s="7" t="n"/>
      <c r="U4941">
        <f>IF($C4941="","",IF($AJ4941=1,0,IF($AI4941=1,Settings!$C$6,Settings!$C$7))*100)</f>
        <v/>
      </c>
      <c r="V4941" s="7">
        <f>IF($C4941="","",R4941*U4941/100)</f>
        <v/>
      </c>
      <c r="W4941" s="7">
        <f>IF($C4941="","",R4941-V4941)</f>
        <v/>
      </c>
      <c r="X4941" s="7">
        <f>IF($C4941="","",W4941-K4941)</f>
        <v/>
      </c>
      <c r="AB4941" s="7" t="n"/>
      <c r="AE4941" s="11" t="n"/>
      <c r="AG4941">
        <f>IF($C4941="","",IF(COUNTIF($C$2:$C4941,$C4941)=1,1,0))</f>
        <v/>
      </c>
      <c r="AH4941">
        <f>IF($AG4941=1,SUMPRODUCT(--($AK$2:$AK$6001&lt;$AK4941))+1,"")</f>
        <v/>
      </c>
      <c r="AI4941">
        <f>IF($C4941="","",IF(OR($N4941=TRUE(),$N4941="TRUE"),1,0))</f>
        <v/>
      </c>
      <c r="AJ4941">
        <f>IF($C4941="","",IF($T4941="Yes",1,0))</f>
        <v/>
      </c>
      <c r="AK4941">
        <f>IF($AG4941=1,IFERROR(IF(VALUE($C4941)&lt;100000000,VALUE($C4941),1000000000),IFERROR(IF(VALUE(MID($C4941,2,20))&lt;100000000,VALUE(MID($C4941,2,20)),1000000000),1000000000))+ROW()/100000,"")</f>
        <v/>
      </c>
    </row>
    <row r="4942">
      <c r="D4942" s="11" t="n"/>
      <c r="K4942" s="7">
        <f>IF($C4942="","",J4942*W4942/100)</f>
        <v/>
      </c>
      <c r="Q4942" s="7" t="n"/>
      <c r="R4942" s="7" t="n"/>
      <c r="U4942">
        <f>IF($C4942="","",IF($AJ4942=1,0,IF($AI4942=1,Settings!$C$6,Settings!$C$7))*100)</f>
        <v/>
      </c>
      <c r="V4942" s="7">
        <f>IF($C4942="","",R4942*U4942/100)</f>
        <v/>
      </c>
      <c r="W4942" s="7">
        <f>IF($C4942="","",R4942-V4942)</f>
        <v/>
      </c>
      <c r="X4942" s="7">
        <f>IF($C4942="","",W4942-K4942)</f>
        <v/>
      </c>
      <c r="AB4942" s="7" t="n"/>
      <c r="AE4942" s="11" t="n"/>
      <c r="AG4942">
        <f>IF($C4942="","",IF(COUNTIF($C$2:$C4942,$C4942)=1,1,0))</f>
        <v/>
      </c>
      <c r="AH4942">
        <f>IF($AG4942=1,SUMPRODUCT(--($AK$2:$AK$6001&lt;$AK4942))+1,"")</f>
        <v/>
      </c>
      <c r="AI4942">
        <f>IF($C4942="","",IF(OR($N4942=TRUE(),$N4942="TRUE"),1,0))</f>
        <v/>
      </c>
      <c r="AJ4942">
        <f>IF($C4942="","",IF($T4942="Yes",1,0))</f>
        <v/>
      </c>
      <c r="AK4942">
        <f>IF($AG4942=1,IFERROR(IF(VALUE($C4942)&lt;100000000,VALUE($C4942),1000000000),IFERROR(IF(VALUE(MID($C4942,2,20))&lt;100000000,VALUE(MID($C4942,2,20)),1000000000),1000000000))+ROW()/100000,"")</f>
        <v/>
      </c>
    </row>
    <row r="4943">
      <c r="D4943" s="11" t="n"/>
      <c r="K4943" s="7">
        <f>IF($C4943="","",J4943*W4943/100)</f>
        <v/>
      </c>
      <c r="Q4943" s="7" t="n"/>
      <c r="R4943" s="7" t="n"/>
      <c r="U4943">
        <f>IF($C4943="","",IF($AJ4943=1,0,IF($AI4943=1,Settings!$C$6,Settings!$C$7))*100)</f>
        <v/>
      </c>
      <c r="V4943" s="7">
        <f>IF($C4943="","",R4943*U4943/100)</f>
        <v/>
      </c>
      <c r="W4943" s="7">
        <f>IF($C4943="","",R4943-V4943)</f>
        <v/>
      </c>
      <c r="X4943" s="7">
        <f>IF($C4943="","",W4943-K4943)</f>
        <v/>
      </c>
      <c r="AB4943" s="7" t="n"/>
      <c r="AE4943" s="11" t="n"/>
      <c r="AG4943">
        <f>IF($C4943="","",IF(COUNTIF($C$2:$C4943,$C4943)=1,1,0))</f>
        <v/>
      </c>
      <c r="AH4943">
        <f>IF($AG4943=1,SUMPRODUCT(--($AK$2:$AK$6001&lt;$AK4943))+1,"")</f>
        <v/>
      </c>
      <c r="AI4943">
        <f>IF($C4943="","",IF(OR($N4943=TRUE(),$N4943="TRUE"),1,0))</f>
        <v/>
      </c>
      <c r="AJ4943">
        <f>IF($C4943="","",IF($T4943="Yes",1,0))</f>
        <v/>
      </c>
      <c r="AK4943">
        <f>IF($AG4943=1,IFERROR(IF(VALUE($C4943)&lt;100000000,VALUE($C4943),1000000000),IFERROR(IF(VALUE(MID($C4943,2,20))&lt;100000000,VALUE(MID($C4943,2,20)),1000000000),1000000000))+ROW()/100000,"")</f>
        <v/>
      </c>
    </row>
    <row r="4944">
      <c r="D4944" s="11" t="n"/>
      <c r="K4944" s="7">
        <f>IF($C4944="","",J4944*W4944/100)</f>
        <v/>
      </c>
      <c r="Q4944" s="7" t="n"/>
      <c r="R4944" s="7" t="n"/>
      <c r="U4944">
        <f>IF($C4944="","",IF($AJ4944=1,0,IF($AI4944=1,Settings!$C$6,Settings!$C$7))*100)</f>
        <v/>
      </c>
      <c r="V4944" s="7">
        <f>IF($C4944="","",R4944*U4944/100)</f>
        <v/>
      </c>
      <c r="W4944" s="7">
        <f>IF($C4944="","",R4944-V4944)</f>
        <v/>
      </c>
      <c r="X4944" s="7">
        <f>IF($C4944="","",W4944-K4944)</f>
        <v/>
      </c>
      <c r="AB4944" s="7" t="n"/>
      <c r="AE4944" s="11" t="n"/>
      <c r="AG4944">
        <f>IF($C4944="","",IF(COUNTIF($C$2:$C4944,$C4944)=1,1,0))</f>
        <v/>
      </c>
      <c r="AH4944">
        <f>IF($AG4944=1,SUMPRODUCT(--($AK$2:$AK$6001&lt;$AK4944))+1,"")</f>
        <v/>
      </c>
      <c r="AI4944">
        <f>IF($C4944="","",IF(OR($N4944=TRUE(),$N4944="TRUE"),1,0))</f>
        <v/>
      </c>
      <c r="AJ4944">
        <f>IF($C4944="","",IF($T4944="Yes",1,0))</f>
        <v/>
      </c>
      <c r="AK4944">
        <f>IF($AG4944=1,IFERROR(IF(VALUE($C4944)&lt;100000000,VALUE($C4944),1000000000),IFERROR(IF(VALUE(MID($C4944,2,20))&lt;100000000,VALUE(MID($C4944,2,20)),1000000000),1000000000))+ROW()/100000,"")</f>
        <v/>
      </c>
    </row>
    <row r="4945">
      <c r="D4945" s="11" t="n"/>
      <c r="K4945" s="7">
        <f>IF($C4945="","",J4945*W4945/100)</f>
        <v/>
      </c>
      <c r="Q4945" s="7" t="n"/>
      <c r="R4945" s="7" t="n"/>
      <c r="U4945">
        <f>IF($C4945="","",IF($AJ4945=1,0,IF($AI4945=1,Settings!$C$6,Settings!$C$7))*100)</f>
        <v/>
      </c>
      <c r="V4945" s="7">
        <f>IF($C4945="","",R4945*U4945/100)</f>
        <v/>
      </c>
      <c r="W4945" s="7">
        <f>IF($C4945="","",R4945-V4945)</f>
        <v/>
      </c>
      <c r="X4945" s="7">
        <f>IF($C4945="","",W4945-K4945)</f>
        <v/>
      </c>
      <c r="AB4945" s="7" t="n"/>
      <c r="AE4945" s="11" t="n"/>
      <c r="AG4945">
        <f>IF($C4945="","",IF(COUNTIF($C$2:$C4945,$C4945)=1,1,0))</f>
        <v/>
      </c>
      <c r="AH4945">
        <f>IF($AG4945=1,SUMPRODUCT(--($AK$2:$AK$6001&lt;$AK4945))+1,"")</f>
        <v/>
      </c>
      <c r="AI4945">
        <f>IF($C4945="","",IF(OR($N4945=TRUE(),$N4945="TRUE"),1,0))</f>
        <v/>
      </c>
      <c r="AJ4945">
        <f>IF($C4945="","",IF($T4945="Yes",1,0))</f>
        <v/>
      </c>
      <c r="AK4945">
        <f>IF($AG4945=1,IFERROR(IF(VALUE($C4945)&lt;100000000,VALUE($C4945),1000000000),IFERROR(IF(VALUE(MID($C4945,2,20))&lt;100000000,VALUE(MID($C4945,2,20)),1000000000),1000000000))+ROW()/100000,"")</f>
        <v/>
      </c>
    </row>
    <row r="4946">
      <c r="D4946" s="11" t="n"/>
      <c r="K4946" s="7">
        <f>IF($C4946="","",J4946*W4946/100)</f>
        <v/>
      </c>
      <c r="Q4946" s="7" t="n"/>
      <c r="R4946" s="7" t="n"/>
      <c r="U4946">
        <f>IF($C4946="","",IF($AJ4946=1,0,IF($AI4946=1,Settings!$C$6,Settings!$C$7))*100)</f>
        <v/>
      </c>
      <c r="V4946" s="7">
        <f>IF($C4946="","",R4946*U4946/100)</f>
        <v/>
      </c>
      <c r="W4946" s="7">
        <f>IF($C4946="","",R4946-V4946)</f>
        <v/>
      </c>
      <c r="X4946" s="7">
        <f>IF($C4946="","",W4946-K4946)</f>
        <v/>
      </c>
      <c r="AB4946" s="7" t="n"/>
      <c r="AE4946" s="11" t="n"/>
      <c r="AG4946">
        <f>IF($C4946="","",IF(COUNTIF($C$2:$C4946,$C4946)=1,1,0))</f>
        <v/>
      </c>
      <c r="AH4946">
        <f>IF($AG4946=1,SUMPRODUCT(--($AK$2:$AK$6001&lt;$AK4946))+1,"")</f>
        <v/>
      </c>
      <c r="AI4946">
        <f>IF($C4946="","",IF(OR($N4946=TRUE(),$N4946="TRUE"),1,0))</f>
        <v/>
      </c>
      <c r="AJ4946">
        <f>IF($C4946="","",IF($T4946="Yes",1,0))</f>
        <v/>
      </c>
      <c r="AK4946">
        <f>IF($AG4946=1,IFERROR(IF(VALUE($C4946)&lt;100000000,VALUE($C4946),1000000000),IFERROR(IF(VALUE(MID($C4946,2,20))&lt;100000000,VALUE(MID($C4946,2,20)),1000000000),1000000000))+ROW()/100000,"")</f>
        <v/>
      </c>
    </row>
    <row r="4947">
      <c r="D4947" s="11" t="n"/>
      <c r="K4947" s="7">
        <f>IF($C4947="","",J4947*W4947/100)</f>
        <v/>
      </c>
      <c r="Q4947" s="7" t="n"/>
      <c r="R4947" s="7" t="n"/>
      <c r="U4947">
        <f>IF($C4947="","",IF($AJ4947=1,0,IF($AI4947=1,Settings!$C$6,Settings!$C$7))*100)</f>
        <v/>
      </c>
      <c r="V4947" s="7">
        <f>IF($C4947="","",R4947*U4947/100)</f>
        <v/>
      </c>
      <c r="W4947" s="7">
        <f>IF($C4947="","",R4947-V4947)</f>
        <v/>
      </c>
      <c r="X4947" s="7">
        <f>IF($C4947="","",W4947-K4947)</f>
        <v/>
      </c>
      <c r="AB4947" s="7" t="n"/>
      <c r="AE4947" s="11" t="n"/>
      <c r="AG4947">
        <f>IF($C4947="","",IF(COUNTIF($C$2:$C4947,$C4947)=1,1,0))</f>
        <v/>
      </c>
      <c r="AH4947">
        <f>IF($AG4947=1,SUMPRODUCT(--($AK$2:$AK$6001&lt;$AK4947))+1,"")</f>
        <v/>
      </c>
      <c r="AI4947">
        <f>IF($C4947="","",IF(OR($N4947=TRUE(),$N4947="TRUE"),1,0))</f>
        <v/>
      </c>
      <c r="AJ4947">
        <f>IF($C4947="","",IF($T4947="Yes",1,0))</f>
        <v/>
      </c>
      <c r="AK4947">
        <f>IF($AG4947=1,IFERROR(IF(VALUE($C4947)&lt;100000000,VALUE($C4947),1000000000),IFERROR(IF(VALUE(MID($C4947,2,20))&lt;100000000,VALUE(MID($C4947,2,20)),1000000000),1000000000))+ROW()/100000,"")</f>
        <v/>
      </c>
    </row>
    <row r="4948">
      <c r="D4948" s="11" t="n"/>
      <c r="K4948" s="7">
        <f>IF($C4948="","",J4948*W4948/100)</f>
        <v/>
      </c>
      <c r="Q4948" s="7" t="n"/>
      <c r="R4948" s="7" t="n"/>
      <c r="U4948">
        <f>IF($C4948="","",IF($AJ4948=1,0,IF($AI4948=1,Settings!$C$6,Settings!$C$7))*100)</f>
        <v/>
      </c>
      <c r="V4948" s="7">
        <f>IF($C4948="","",R4948*U4948/100)</f>
        <v/>
      </c>
      <c r="W4948" s="7">
        <f>IF($C4948="","",R4948-V4948)</f>
        <v/>
      </c>
      <c r="X4948" s="7">
        <f>IF($C4948="","",W4948-K4948)</f>
        <v/>
      </c>
      <c r="AB4948" s="7" t="n"/>
      <c r="AE4948" s="11" t="n"/>
      <c r="AG4948">
        <f>IF($C4948="","",IF(COUNTIF($C$2:$C4948,$C4948)=1,1,0))</f>
        <v/>
      </c>
      <c r="AH4948">
        <f>IF($AG4948=1,SUMPRODUCT(--($AK$2:$AK$6001&lt;$AK4948))+1,"")</f>
        <v/>
      </c>
      <c r="AI4948">
        <f>IF($C4948="","",IF(OR($N4948=TRUE(),$N4948="TRUE"),1,0))</f>
        <v/>
      </c>
      <c r="AJ4948">
        <f>IF($C4948="","",IF($T4948="Yes",1,0))</f>
        <v/>
      </c>
      <c r="AK4948">
        <f>IF($AG4948=1,IFERROR(IF(VALUE($C4948)&lt;100000000,VALUE($C4948),1000000000),IFERROR(IF(VALUE(MID($C4948,2,20))&lt;100000000,VALUE(MID($C4948,2,20)),1000000000),1000000000))+ROW()/100000,"")</f>
        <v/>
      </c>
    </row>
    <row r="4949">
      <c r="D4949" s="11" t="n"/>
      <c r="K4949" s="7">
        <f>IF($C4949="","",J4949*W4949/100)</f>
        <v/>
      </c>
      <c r="Q4949" s="7" t="n"/>
      <c r="R4949" s="7" t="n"/>
      <c r="U4949">
        <f>IF($C4949="","",IF($AJ4949=1,0,IF($AI4949=1,Settings!$C$6,Settings!$C$7))*100)</f>
        <v/>
      </c>
      <c r="V4949" s="7">
        <f>IF($C4949="","",R4949*U4949/100)</f>
        <v/>
      </c>
      <c r="W4949" s="7">
        <f>IF($C4949="","",R4949-V4949)</f>
        <v/>
      </c>
      <c r="X4949" s="7">
        <f>IF($C4949="","",W4949-K4949)</f>
        <v/>
      </c>
      <c r="AB4949" s="7" t="n"/>
      <c r="AE4949" s="11" t="n"/>
      <c r="AG4949">
        <f>IF($C4949="","",IF(COUNTIF($C$2:$C4949,$C4949)=1,1,0))</f>
        <v/>
      </c>
      <c r="AH4949">
        <f>IF($AG4949=1,SUMPRODUCT(--($AK$2:$AK$6001&lt;$AK4949))+1,"")</f>
        <v/>
      </c>
      <c r="AI4949">
        <f>IF($C4949="","",IF(OR($N4949=TRUE(),$N4949="TRUE"),1,0))</f>
        <v/>
      </c>
      <c r="AJ4949">
        <f>IF($C4949="","",IF($T4949="Yes",1,0))</f>
        <v/>
      </c>
      <c r="AK4949">
        <f>IF($AG4949=1,IFERROR(IF(VALUE($C4949)&lt;100000000,VALUE($C4949),1000000000),IFERROR(IF(VALUE(MID($C4949,2,20))&lt;100000000,VALUE(MID($C4949,2,20)),1000000000),1000000000))+ROW()/100000,"")</f>
        <v/>
      </c>
    </row>
    <row r="4950">
      <c r="D4950" s="11" t="n"/>
      <c r="K4950" s="7">
        <f>IF($C4950="","",J4950*W4950/100)</f>
        <v/>
      </c>
      <c r="Q4950" s="7" t="n"/>
      <c r="R4950" s="7" t="n"/>
      <c r="U4950">
        <f>IF($C4950="","",IF($AJ4950=1,0,IF($AI4950=1,Settings!$C$6,Settings!$C$7))*100)</f>
        <v/>
      </c>
      <c r="V4950" s="7">
        <f>IF($C4950="","",R4950*U4950/100)</f>
        <v/>
      </c>
      <c r="W4950" s="7">
        <f>IF($C4950="","",R4950-V4950)</f>
        <v/>
      </c>
      <c r="X4950" s="7">
        <f>IF($C4950="","",W4950-K4950)</f>
        <v/>
      </c>
      <c r="AB4950" s="7" t="n"/>
      <c r="AE4950" s="11" t="n"/>
      <c r="AG4950">
        <f>IF($C4950="","",IF(COUNTIF($C$2:$C4950,$C4950)=1,1,0))</f>
        <v/>
      </c>
      <c r="AH4950">
        <f>IF($AG4950=1,SUMPRODUCT(--($AK$2:$AK$6001&lt;$AK4950))+1,"")</f>
        <v/>
      </c>
      <c r="AI4950">
        <f>IF($C4950="","",IF(OR($N4950=TRUE(),$N4950="TRUE"),1,0))</f>
        <v/>
      </c>
      <c r="AJ4950">
        <f>IF($C4950="","",IF($T4950="Yes",1,0))</f>
        <v/>
      </c>
      <c r="AK4950">
        <f>IF($AG4950=1,IFERROR(IF(VALUE($C4950)&lt;100000000,VALUE($C4950),1000000000),IFERROR(IF(VALUE(MID($C4950,2,20))&lt;100000000,VALUE(MID($C4950,2,20)),1000000000),1000000000))+ROW()/100000,"")</f>
        <v/>
      </c>
    </row>
    <row r="4951">
      <c r="D4951" s="11" t="n"/>
      <c r="K4951" s="7">
        <f>IF($C4951="","",J4951*W4951/100)</f>
        <v/>
      </c>
      <c r="Q4951" s="7" t="n"/>
      <c r="R4951" s="7" t="n"/>
      <c r="U4951">
        <f>IF($C4951="","",IF($AJ4951=1,0,IF($AI4951=1,Settings!$C$6,Settings!$C$7))*100)</f>
        <v/>
      </c>
      <c r="V4951" s="7">
        <f>IF($C4951="","",R4951*U4951/100)</f>
        <v/>
      </c>
      <c r="W4951" s="7">
        <f>IF($C4951="","",R4951-V4951)</f>
        <v/>
      </c>
      <c r="X4951" s="7">
        <f>IF($C4951="","",W4951-K4951)</f>
        <v/>
      </c>
      <c r="AB4951" s="7" t="n"/>
      <c r="AE4951" s="11" t="n"/>
      <c r="AG4951">
        <f>IF($C4951="","",IF(COUNTIF($C$2:$C4951,$C4951)=1,1,0))</f>
        <v/>
      </c>
      <c r="AH4951">
        <f>IF($AG4951=1,SUMPRODUCT(--($AK$2:$AK$6001&lt;$AK4951))+1,"")</f>
        <v/>
      </c>
      <c r="AI4951">
        <f>IF($C4951="","",IF(OR($N4951=TRUE(),$N4951="TRUE"),1,0))</f>
        <v/>
      </c>
      <c r="AJ4951">
        <f>IF($C4951="","",IF($T4951="Yes",1,0))</f>
        <v/>
      </c>
      <c r="AK4951">
        <f>IF($AG4951=1,IFERROR(IF(VALUE($C4951)&lt;100000000,VALUE($C4951),1000000000),IFERROR(IF(VALUE(MID($C4951,2,20))&lt;100000000,VALUE(MID($C4951,2,20)),1000000000),1000000000))+ROW()/100000,"")</f>
        <v/>
      </c>
    </row>
    <row r="4952">
      <c r="D4952" s="11" t="n"/>
      <c r="K4952" s="7">
        <f>IF($C4952="","",J4952*W4952/100)</f>
        <v/>
      </c>
      <c r="Q4952" s="7" t="n"/>
      <c r="R4952" s="7" t="n"/>
      <c r="U4952">
        <f>IF($C4952="","",IF($AJ4952=1,0,IF($AI4952=1,Settings!$C$6,Settings!$C$7))*100)</f>
        <v/>
      </c>
      <c r="V4952" s="7">
        <f>IF($C4952="","",R4952*U4952/100)</f>
        <v/>
      </c>
      <c r="W4952" s="7">
        <f>IF($C4952="","",R4952-V4952)</f>
        <v/>
      </c>
      <c r="X4952" s="7">
        <f>IF($C4952="","",W4952-K4952)</f>
        <v/>
      </c>
      <c r="AB4952" s="7" t="n"/>
      <c r="AE4952" s="11" t="n"/>
      <c r="AG4952">
        <f>IF($C4952="","",IF(COUNTIF($C$2:$C4952,$C4952)=1,1,0))</f>
        <v/>
      </c>
      <c r="AH4952">
        <f>IF($AG4952=1,SUMPRODUCT(--($AK$2:$AK$6001&lt;$AK4952))+1,"")</f>
        <v/>
      </c>
      <c r="AI4952">
        <f>IF($C4952="","",IF(OR($N4952=TRUE(),$N4952="TRUE"),1,0))</f>
        <v/>
      </c>
      <c r="AJ4952">
        <f>IF($C4952="","",IF($T4952="Yes",1,0))</f>
        <v/>
      </c>
      <c r="AK4952">
        <f>IF($AG4952=1,IFERROR(IF(VALUE($C4952)&lt;100000000,VALUE($C4952),1000000000),IFERROR(IF(VALUE(MID($C4952,2,20))&lt;100000000,VALUE(MID($C4952,2,20)),1000000000),1000000000))+ROW()/100000,"")</f>
        <v/>
      </c>
    </row>
    <row r="4953">
      <c r="D4953" s="11" t="n"/>
      <c r="K4953" s="7">
        <f>IF($C4953="","",J4953*W4953/100)</f>
        <v/>
      </c>
      <c r="Q4953" s="7" t="n"/>
      <c r="R4953" s="7" t="n"/>
      <c r="U4953">
        <f>IF($C4953="","",IF($AJ4953=1,0,IF($AI4953=1,Settings!$C$6,Settings!$C$7))*100)</f>
        <v/>
      </c>
      <c r="V4953" s="7">
        <f>IF($C4953="","",R4953*U4953/100)</f>
        <v/>
      </c>
      <c r="W4953" s="7">
        <f>IF($C4953="","",R4953-V4953)</f>
        <v/>
      </c>
      <c r="X4953" s="7">
        <f>IF($C4953="","",W4953-K4953)</f>
        <v/>
      </c>
      <c r="AB4953" s="7" t="n"/>
      <c r="AE4953" s="11" t="n"/>
      <c r="AG4953">
        <f>IF($C4953="","",IF(COUNTIF($C$2:$C4953,$C4953)=1,1,0))</f>
        <v/>
      </c>
      <c r="AH4953">
        <f>IF($AG4953=1,SUMPRODUCT(--($AK$2:$AK$6001&lt;$AK4953))+1,"")</f>
        <v/>
      </c>
      <c r="AI4953">
        <f>IF($C4953="","",IF(OR($N4953=TRUE(),$N4953="TRUE"),1,0))</f>
        <v/>
      </c>
      <c r="AJ4953">
        <f>IF($C4953="","",IF($T4953="Yes",1,0))</f>
        <v/>
      </c>
      <c r="AK4953">
        <f>IF($AG4953=1,IFERROR(IF(VALUE($C4953)&lt;100000000,VALUE($C4953),1000000000),IFERROR(IF(VALUE(MID($C4953,2,20))&lt;100000000,VALUE(MID($C4953,2,20)),1000000000),1000000000))+ROW()/100000,"")</f>
        <v/>
      </c>
    </row>
    <row r="4954">
      <c r="D4954" s="11" t="n"/>
      <c r="K4954" s="7">
        <f>IF($C4954="","",J4954*W4954/100)</f>
        <v/>
      </c>
      <c r="Q4954" s="7" t="n"/>
      <c r="R4954" s="7" t="n"/>
      <c r="U4954">
        <f>IF($C4954="","",IF($AJ4954=1,0,IF($AI4954=1,Settings!$C$6,Settings!$C$7))*100)</f>
        <v/>
      </c>
      <c r="V4954" s="7">
        <f>IF($C4954="","",R4954*U4954/100)</f>
        <v/>
      </c>
      <c r="W4954" s="7">
        <f>IF($C4954="","",R4954-V4954)</f>
        <v/>
      </c>
      <c r="X4954" s="7">
        <f>IF($C4954="","",W4954-K4954)</f>
        <v/>
      </c>
      <c r="AB4954" s="7" t="n"/>
      <c r="AE4954" s="11" t="n"/>
      <c r="AG4954">
        <f>IF($C4954="","",IF(COUNTIF($C$2:$C4954,$C4954)=1,1,0))</f>
        <v/>
      </c>
      <c r="AH4954">
        <f>IF($AG4954=1,SUMPRODUCT(--($AK$2:$AK$6001&lt;$AK4954))+1,"")</f>
        <v/>
      </c>
      <c r="AI4954">
        <f>IF($C4954="","",IF(OR($N4954=TRUE(),$N4954="TRUE"),1,0))</f>
        <v/>
      </c>
      <c r="AJ4954">
        <f>IF($C4954="","",IF($T4954="Yes",1,0))</f>
        <v/>
      </c>
      <c r="AK4954">
        <f>IF($AG4954=1,IFERROR(IF(VALUE($C4954)&lt;100000000,VALUE($C4954),1000000000),IFERROR(IF(VALUE(MID($C4954,2,20))&lt;100000000,VALUE(MID($C4954,2,20)),1000000000),1000000000))+ROW()/100000,"")</f>
        <v/>
      </c>
    </row>
    <row r="4955">
      <c r="D4955" s="11" t="n"/>
      <c r="K4955" s="7">
        <f>IF($C4955="","",J4955*W4955/100)</f>
        <v/>
      </c>
      <c r="Q4955" s="7" t="n"/>
      <c r="R4955" s="7" t="n"/>
      <c r="U4955">
        <f>IF($C4955="","",IF($AJ4955=1,0,IF($AI4955=1,Settings!$C$6,Settings!$C$7))*100)</f>
        <v/>
      </c>
      <c r="V4955" s="7">
        <f>IF($C4955="","",R4955*U4955/100)</f>
        <v/>
      </c>
      <c r="W4955" s="7">
        <f>IF($C4955="","",R4955-V4955)</f>
        <v/>
      </c>
      <c r="X4955" s="7">
        <f>IF($C4955="","",W4955-K4955)</f>
        <v/>
      </c>
      <c r="AB4955" s="7" t="n"/>
      <c r="AE4955" s="11" t="n"/>
      <c r="AG4955">
        <f>IF($C4955="","",IF(COUNTIF($C$2:$C4955,$C4955)=1,1,0))</f>
        <v/>
      </c>
      <c r="AH4955">
        <f>IF($AG4955=1,SUMPRODUCT(--($AK$2:$AK$6001&lt;$AK4955))+1,"")</f>
        <v/>
      </c>
      <c r="AI4955">
        <f>IF($C4955="","",IF(OR($N4955=TRUE(),$N4955="TRUE"),1,0))</f>
        <v/>
      </c>
      <c r="AJ4955">
        <f>IF($C4955="","",IF($T4955="Yes",1,0))</f>
        <v/>
      </c>
      <c r="AK4955">
        <f>IF($AG4955=1,IFERROR(IF(VALUE($C4955)&lt;100000000,VALUE($C4955),1000000000),IFERROR(IF(VALUE(MID($C4955,2,20))&lt;100000000,VALUE(MID($C4955,2,20)),1000000000),1000000000))+ROW()/100000,"")</f>
        <v/>
      </c>
    </row>
    <row r="4956">
      <c r="D4956" s="11" t="n"/>
      <c r="K4956" s="7">
        <f>IF($C4956="","",J4956*W4956/100)</f>
        <v/>
      </c>
      <c r="Q4956" s="7" t="n"/>
      <c r="R4956" s="7" t="n"/>
      <c r="U4956">
        <f>IF($C4956="","",IF($AJ4956=1,0,IF($AI4956=1,Settings!$C$6,Settings!$C$7))*100)</f>
        <v/>
      </c>
      <c r="V4956" s="7">
        <f>IF($C4956="","",R4956*U4956/100)</f>
        <v/>
      </c>
      <c r="W4956" s="7">
        <f>IF($C4956="","",R4956-V4956)</f>
        <v/>
      </c>
      <c r="X4956" s="7">
        <f>IF($C4956="","",W4956-K4956)</f>
        <v/>
      </c>
      <c r="AB4956" s="7" t="n"/>
      <c r="AE4956" s="11" t="n"/>
      <c r="AG4956">
        <f>IF($C4956="","",IF(COUNTIF($C$2:$C4956,$C4956)=1,1,0))</f>
        <v/>
      </c>
      <c r="AH4956">
        <f>IF($AG4956=1,SUMPRODUCT(--($AK$2:$AK$6001&lt;$AK4956))+1,"")</f>
        <v/>
      </c>
      <c r="AI4956">
        <f>IF($C4956="","",IF(OR($N4956=TRUE(),$N4956="TRUE"),1,0))</f>
        <v/>
      </c>
      <c r="AJ4956">
        <f>IF($C4956="","",IF($T4956="Yes",1,0))</f>
        <v/>
      </c>
      <c r="AK4956">
        <f>IF($AG4956=1,IFERROR(IF(VALUE($C4956)&lt;100000000,VALUE($C4956),1000000000),IFERROR(IF(VALUE(MID($C4956,2,20))&lt;100000000,VALUE(MID($C4956,2,20)),1000000000),1000000000))+ROW()/100000,"")</f>
        <v/>
      </c>
    </row>
    <row r="4957">
      <c r="D4957" s="11" t="n"/>
      <c r="K4957" s="7">
        <f>IF($C4957="","",J4957*W4957/100)</f>
        <v/>
      </c>
      <c r="Q4957" s="7" t="n"/>
      <c r="R4957" s="7" t="n"/>
      <c r="U4957">
        <f>IF($C4957="","",IF($AJ4957=1,0,IF($AI4957=1,Settings!$C$6,Settings!$C$7))*100)</f>
        <v/>
      </c>
      <c r="V4957" s="7">
        <f>IF($C4957="","",R4957*U4957/100)</f>
        <v/>
      </c>
      <c r="W4957" s="7">
        <f>IF($C4957="","",R4957-V4957)</f>
        <v/>
      </c>
      <c r="X4957" s="7">
        <f>IF($C4957="","",W4957-K4957)</f>
        <v/>
      </c>
      <c r="AB4957" s="7" t="n"/>
      <c r="AE4957" s="11" t="n"/>
      <c r="AG4957">
        <f>IF($C4957="","",IF(COUNTIF($C$2:$C4957,$C4957)=1,1,0))</f>
        <v/>
      </c>
      <c r="AH4957">
        <f>IF($AG4957=1,SUMPRODUCT(--($AK$2:$AK$6001&lt;$AK4957))+1,"")</f>
        <v/>
      </c>
      <c r="AI4957">
        <f>IF($C4957="","",IF(OR($N4957=TRUE(),$N4957="TRUE"),1,0))</f>
        <v/>
      </c>
      <c r="AJ4957">
        <f>IF($C4957="","",IF($T4957="Yes",1,0))</f>
        <v/>
      </c>
      <c r="AK4957">
        <f>IF($AG4957=1,IFERROR(IF(VALUE($C4957)&lt;100000000,VALUE($C4957),1000000000),IFERROR(IF(VALUE(MID($C4957,2,20))&lt;100000000,VALUE(MID($C4957,2,20)),1000000000),1000000000))+ROW()/100000,"")</f>
        <v/>
      </c>
    </row>
    <row r="4958">
      <c r="D4958" s="11" t="n"/>
      <c r="K4958" s="7">
        <f>IF($C4958="","",J4958*W4958/100)</f>
        <v/>
      </c>
      <c r="Q4958" s="7" t="n"/>
      <c r="R4958" s="7" t="n"/>
      <c r="U4958">
        <f>IF($C4958="","",IF($AJ4958=1,0,IF($AI4958=1,Settings!$C$6,Settings!$C$7))*100)</f>
        <v/>
      </c>
      <c r="V4958" s="7">
        <f>IF($C4958="","",R4958*U4958/100)</f>
        <v/>
      </c>
      <c r="W4958" s="7">
        <f>IF($C4958="","",R4958-V4958)</f>
        <v/>
      </c>
      <c r="X4958" s="7">
        <f>IF($C4958="","",W4958-K4958)</f>
        <v/>
      </c>
      <c r="AB4958" s="7" t="n"/>
      <c r="AE4958" s="11" t="n"/>
      <c r="AG4958">
        <f>IF($C4958="","",IF(COUNTIF($C$2:$C4958,$C4958)=1,1,0))</f>
        <v/>
      </c>
      <c r="AH4958">
        <f>IF($AG4958=1,SUMPRODUCT(--($AK$2:$AK$6001&lt;$AK4958))+1,"")</f>
        <v/>
      </c>
      <c r="AI4958">
        <f>IF($C4958="","",IF(OR($N4958=TRUE(),$N4958="TRUE"),1,0))</f>
        <v/>
      </c>
      <c r="AJ4958">
        <f>IF($C4958="","",IF($T4958="Yes",1,0))</f>
        <v/>
      </c>
      <c r="AK4958">
        <f>IF($AG4958=1,IFERROR(IF(VALUE($C4958)&lt;100000000,VALUE($C4958),1000000000),IFERROR(IF(VALUE(MID($C4958,2,20))&lt;100000000,VALUE(MID($C4958,2,20)),1000000000),1000000000))+ROW()/100000,"")</f>
        <v/>
      </c>
    </row>
    <row r="4959">
      <c r="D4959" s="11" t="n"/>
      <c r="K4959" s="7">
        <f>IF($C4959="","",J4959*W4959/100)</f>
        <v/>
      </c>
      <c r="Q4959" s="7" t="n"/>
      <c r="R4959" s="7" t="n"/>
      <c r="U4959">
        <f>IF($C4959="","",IF($AJ4959=1,0,IF($AI4959=1,Settings!$C$6,Settings!$C$7))*100)</f>
        <v/>
      </c>
      <c r="V4959" s="7">
        <f>IF($C4959="","",R4959*U4959/100)</f>
        <v/>
      </c>
      <c r="W4959" s="7">
        <f>IF($C4959="","",R4959-V4959)</f>
        <v/>
      </c>
      <c r="X4959" s="7">
        <f>IF($C4959="","",W4959-K4959)</f>
        <v/>
      </c>
      <c r="AB4959" s="7" t="n"/>
      <c r="AE4959" s="11" t="n"/>
      <c r="AG4959">
        <f>IF($C4959="","",IF(COUNTIF($C$2:$C4959,$C4959)=1,1,0))</f>
        <v/>
      </c>
      <c r="AH4959">
        <f>IF($AG4959=1,SUMPRODUCT(--($AK$2:$AK$6001&lt;$AK4959))+1,"")</f>
        <v/>
      </c>
      <c r="AI4959">
        <f>IF($C4959="","",IF(OR($N4959=TRUE(),$N4959="TRUE"),1,0))</f>
        <v/>
      </c>
      <c r="AJ4959">
        <f>IF($C4959="","",IF($T4959="Yes",1,0))</f>
        <v/>
      </c>
      <c r="AK4959">
        <f>IF($AG4959=1,IFERROR(IF(VALUE($C4959)&lt;100000000,VALUE($C4959),1000000000),IFERROR(IF(VALUE(MID($C4959,2,20))&lt;100000000,VALUE(MID($C4959,2,20)),1000000000),1000000000))+ROW()/100000,"")</f>
        <v/>
      </c>
    </row>
    <row r="4960">
      <c r="D4960" s="11" t="n"/>
      <c r="K4960" s="7">
        <f>IF($C4960="","",J4960*W4960/100)</f>
        <v/>
      </c>
      <c r="Q4960" s="7" t="n"/>
      <c r="R4960" s="7" t="n"/>
      <c r="U4960">
        <f>IF($C4960="","",IF($AJ4960=1,0,IF($AI4960=1,Settings!$C$6,Settings!$C$7))*100)</f>
        <v/>
      </c>
      <c r="V4960" s="7">
        <f>IF($C4960="","",R4960*U4960/100)</f>
        <v/>
      </c>
      <c r="W4960" s="7">
        <f>IF($C4960="","",R4960-V4960)</f>
        <v/>
      </c>
      <c r="X4960" s="7">
        <f>IF($C4960="","",W4960-K4960)</f>
        <v/>
      </c>
      <c r="AB4960" s="7" t="n"/>
      <c r="AE4960" s="11" t="n"/>
      <c r="AG4960">
        <f>IF($C4960="","",IF(COUNTIF($C$2:$C4960,$C4960)=1,1,0))</f>
        <v/>
      </c>
      <c r="AH4960">
        <f>IF($AG4960=1,SUMPRODUCT(--($AK$2:$AK$6001&lt;$AK4960))+1,"")</f>
        <v/>
      </c>
      <c r="AI4960">
        <f>IF($C4960="","",IF(OR($N4960=TRUE(),$N4960="TRUE"),1,0))</f>
        <v/>
      </c>
      <c r="AJ4960">
        <f>IF($C4960="","",IF($T4960="Yes",1,0))</f>
        <v/>
      </c>
      <c r="AK4960">
        <f>IF($AG4960=1,IFERROR(IF(VALUE($C4960)&lt;100000000,VALUE($C4960),1000000000),IFERROR(IF(VALUE(MID($C4960,2,20))&lt;100000000,VALUE(MID($C4960,2,20)),1000000000),1000000000))+ROW()/100000,"")</f>
        <v/>
      </c>
    </row>
    <row r="4961">
      <c r="D4961" s="11" t="n"/>
      <c r="K4961" s="7">
        <f>IF($C4961="","",J4961*W4961/100)</f>
        <v/>
      </c>
      <c r="Q4961" s="7" t="n"/>
      <c r="R4961" s="7" t="n"/>
      <c r="U4961">
        <f>IF($C4961="","",IF($AJ4961=1,0,IF($AI4961=1,Settings!$C$6,Settings!$C$7))*100)</f>
        <v/>
      </c>
      <c r="V4961" s="7">
        <f>IF($C4961="","",R4961*U4961/100)</f>
        <v/>
      </c>
      <c r="W4961" s="7">
        <f>IF($C4961="","",R4961-V4961)</f>
        <v/>
      </c>
      <c r="X4961" s="7">
        <f>IF($C4961="","",W4961-K4961)</f>
        <v/>
      </c>
      <c r="AB4961" s="7" t="n"/>
      <c r="AE4961" s="11" t="n"/>
      <c r="AG4961">
        <f>IF($C4961="","",IF(COUNTIF($C$2:$C4961,$C4961)=1,1,0))</f>
        <v/>
      </c>
      <c r="AH4961">
        <f>IF($AG4961=1,SUMPRODUCT(--($AK$2:$AK$6001&lt;$AK4961))+1,"")</f>
        <v/>
      </c>
      <c r="AI4961">
        <f>IF($C4961="","",IF(OR($N4961=TRUE(),$N4961="TRUE"),1,0))</f>
        <v/>
      </c>
      <c r="AJ4961">
        <f>IF($C4961="","",IF($T4961="Yes",1,0))</f>
        <v/>
      </c>
      <c r="AK4961">
        <f>IF($AG4961=1,IFERROR(IF(VALUE($C4961)&lt;100000000,VALUE($C4961),1000000000),IFERROR(IF(VALUE(MID($C4961,2,20))&lt;100000000,VALUE(MID($C4961,2,20)),1000000000),1000000000))+ROW()/100000,"")</f>
        <v/>
      </c>
    </row>
    <row r="4962">
      <c r="D4962" s="11" t="n"/>
      <c r="K4962" s="7">
        <f>IF($C4962="","",J4962*W4962/100)</f>
        <v/>
      </c>
      <c r="Q4962" s="7" t="n"/>
      <c r="R4962" s="7" t="n"/>
      <c r="U4962">
        <f>IF($C4962="","",IF($AJ4962=1,0,IF($AI4962=1,Settings!$C$6,Settings!$C$7))*100)</f>
        <v/>
      </c>
      <c r="V4962" s="7">
        <f>IF($C4962="","",R4962*U4962/100)</f>
        <v/>
      </c>
      <c r="W4962" s="7">
        <f>IF($C4962="","",R4962-V4962)</f>
        <v/>
      </c>
      <c r="X4962" s="7">
        <f>IF($C4962="","",W4962-K4962)</f>
        <v/>
      </c>
      <c r="AB4962" s="7" t="n"/>
      <c r="AE4962" s="11" t="n"/>
      <c r="AG4962">
        <f>IF($C4962="","",IF(COUNTIF($C$2:$C4962,$C4962)=1,1,0))</f>
        <v/>
      </c>
      <c r="AH4962">
        <f>IF($AG4962=1,SUMPRODUCT(--($AK$2:$AK$6001&lt;$AK4962))+1,"")</f>
        <v/>
      </c>
      <c r="AI4962">
        <f>IF($C4962="","",IF(OR($N4962=TRUE(),$N4962="TRUE"),1,0))</f>
        <v/>
      </c>
      <c r="AJ4962">
        <f>IF($C4962="","",IF($T4962="Yes",1,0))</f>
        <v/>
      </c>
      <c r="AK4962">
        <f>IF($AG4962=1,IFERROR(IF(VALUE($C4962)&lt;100000000,VALUE($C4962),1000000000),IFERROR(IF(VALUE(MID($C4962,2,20))&lt;100000000,VALUE(MID($C4962,2,20)),1000000000),1000000000))+ROW()/100000,"")</f>
        <v/>
      </c>
    </row>
    <row r="4963">
      <c r="D4963" s="11" t="n"/>
      <c r="K4963" s="7">
        <f>IF($C4963="","",J4963*W4963/100)</f>
        <v/>
      </c>
      <c r="Q4963" s="7" t="n"/>
      <c r="R4963" s="7" t="n"/>
      <c r="U4963">
        <f>IF($C4963="","",IF($AJ4963=1,0,IF($AI4963=1,Settings!$C$6,Settings!$C$7))*100)</f>
        <v/>
      </c>
      <c r="V4963" s="7">
        <f>IF($C4963="","",R4963*U4963/100)</f>
        <v/>
      </c>
      <c r="W4963" s="7">
        <f>IF($C4963="","",R4963-V4963)</f>
        <v/>
      </c>
      <c r="X4963" s="7">
        <f>IF($C4963="","",W4963-K4963)</f>
        <v/>
      </c>
      <c r="AB4963" s="7" t="n"/>
      <c r="AE4963" s="11" t="n"/>
      <c r="AG4963">
        <f>IF($C4963="","",IF(COUNTIF($C$2:$C4963,$C4963)=1,1,0))</f>
        <v/>
      </c>
      <c r="AH4963">
        <f>IF($AG4963=1,SUMPRODUCT(--($AK$2:$AK$6001&lt;$AK4963))+1,"")</f>
        <v/>
      </c>
      <c r="AI4963">
        <f>IF($C4963="","",IF(OR($N4963=TRUE(),$N4963="TRUE"),1,0))</f>
        <v/>
      </c>
      <c r="AJ4963">
        <f>IF($C4963="","",IF($T4963="Yes",1,0))</f>
        <v/>
      </c>
      <c r="AK4963">
        <f>IF($AG4963=1,IFERROR(IF(VALUE($C4963)&lt;100000000,VALUE($C4963),1000000000),IFERROR(IF(VALUE(MID($C4963,2,20))&lt;100000000,VALUE(MID($C4963,2,20)),1000000000),1000000000))+ROW()/100000,"")</f>
        <v/>
      </c>
    </row>
    <row r="4964">
      <c r="D4964" s="11" t="n"/>
      <c r="K4964" s="7">
        <f>IF($C4964="","",J4964*W4964/100)</f>
        <v/>
      </c>
      <c r="Q4964" s="7" t="n"/>
      <c r="R4964" s="7" t="n"/>
      <c r="U4964">
        <f>IF($C4964="","",IF($AJ4964=1,0,IF($AI4964=1,Settings!$C$6,Settings!$C$7))*100)</f>
        <v/>
      </c>
      <c r="V4964" s="7">
        <f>IF($C4964="","",R4964*U4964/100)</f>
        <v/>
      </c>
      <c r="W4964" s="7">
        <f>IF($C4964="","",R4964-V4964)</f>
        <v/>
      </c>
      <c r="X4964" s="7">
        <f>IF($C4964="","",W4964-K4964)</f>
        <v/>
      </c>
      <c r="AB4964" s="7" t="n"/>
      <c r="AE4964" s="11" t="n"/>
      <c r="AG4964">
        <f>IF($C4964="","",IF(COUNTIF($C$2:$C4964,$C4964)=1,1,0))</f>
        <v/>
      </c>
      <c r="AH4964">
        <f>IF($AG4964=1,SUMPRODUCT(--($AK$2:$AK$6001&lt;$AK4964))+1,"")</f>
        <v/>
      </c>
      <c r="AI4964">
        <f>IF($C4964="","",IF(OR($N4964=TRUE(),$N4964="TRUE"),1,0))</f>
        <v/>
      </c>
      <c r="AJ4964">
        <f>IF($C4964="","",IF($T4964="Yes",1,0))</f>
        <v/>
      </c>
      <c r="AK4964">
        <f>IF($AG4964=1,IFERROR(IF(VALUE($C4964)&lt;100000000,VALUE($C4964),1000000000),IFERROR(IF(VALUE(MID($C4964,2,20))&lt;100000000,VALUE(MID($C4964,2,20)),1000000000),1000000000))+ROW()/100000,"")</f>
        <v/>
      </c>
    </row>
    <row r="4965">
      <c r="D4965" s="11" t="n"/>
      <c r="K4965" s="7">
        <f>IF($C4965="","",J4965*W4965/100)</f>
        <v/>
      </c>
      <c r="Q4965" s="7" t="n"/>
      <c r="R4965" s="7" t="n"/>
      <c r="U4965">
        <f>IF($C4965="","",IF($AJ4965=1,0,IF($AI4965=1,Settings!$C$6,Settings!$C$7))*100)</f>
        <v/>
      </c>
      <c r="V4965" s="7">
        <f>IF($C4965="","",R4965*U4965/100)</f>
        <v/>
      </c>
      <c r="W4965" s="7">
        <f>IF($C4965="","",R4965-V4965)</f>
        <v/>
      </c>
      <c r="X4965" s="7">
        <f>IF($C4965="","",W4965-K4965)</f>
        <v/>
      </c>
      <c r="AB4965" s="7" t="n"/>
      <c r="AE4965" s="11" t="n"/>
      <c r="AG4965">
        <f>IF($C4965="","",IF(COUNTIF($C$2:$C4965,$C4965)=1,1,0))</f>
        <v/>
      </c>
      <c r="AH4965">
        <f>IF($AG4965=1,SUMPRODUCT(--($AK$2:$AK$6001&lt;$AK4965))+1,"")</f>
        <v/>
      </c>
      <c r="AI4965">
        <f>IF($C4965="","",IF(OR($N4965=TRUE(),$N4965="TRUE"),1,0))</f>
        <v/>
      </c>
      <c r="AJ4965">
        <f>IF($C4965="","",IF($T4965="Yes",1,0))</f>
        <v/>
      </c>
      <c r="AK4965">
        <f>IF($AG4965=1,IFERROR(IF(VALUE($C4965)&lt;100000000,VALUE($C4965),1000000000),IFERROR(IF(VALUE(MID($C4965,2,20))&lt;100000000,VALUE(MID($C4965,2,20)),1000000000),1000000000))+ROW()/100000,"")</f>
        <v/>
      </c>
    </row>
    <row r="4966">
      <c r="D4966" s="11" t="n"/>
      <c r="K4966" s="7">
        <f>IF($C4966="","",J4966*W4966/100)</f>
        <v/>
      </c>
      <c r="Q4966" s="7" t="n"/>
      <c r="R4966" s="7" t="n"/>
      <c r="U4966">
        <f>IF($C4966="","",IF($AJ4966=1,0,IF($AI4966=1,Settings!$C$6,Settings!$C$7))*100)</f>
        <v/>
      </c>
      <c r="V4966" s="7">
        <f>IF($C4966="","",R4966*U4966/100)</f>
        <v/>
      </c>
      <c r="W4966" s="7">
        <f>IF($C4966="","",R4966-V4966)</f>
        <v/>
      </c>
      <c r="X4966" s="7">
        <f>IF($C4966="","",W4966-K4966)</f>
        <v/>
      </c>
      <c r="AB4966" s="7" t="n"/>
      <c r="AE4966" s="11" t="n"/>
      <c r="AG4966">
        <f>IF($C4966="","",IF(COUNTIF($C$2:$C4966,$C4966)=1,1,0))</f>
        <v/>
      </c>
      <c r="AH4966">
        <f>IF($AG4966=1,SUMPRODUCT(--($AK$2:$AK$6001&lt;$AK4966))+1,"")</f>
        <v/>
      </c>
      <c r="AI4966">
        <f>IF($C4966="","",IF(OR($N4966=TRUE(),$N4966="TRUE"),1,0))</f>
        <v/>
      </c>
      <c r="AJ4966">
        <f>IF($C4966="","",IF($T4966="Yes",1,0))</f>
        <v/>
      </c>
      <c r="AK4966">
        <f>IF($AG4966=1,IFERROR(IF(VALUE($C4966)&lt;100000000,VALUE($C4966),1000000000),IFERROR(IF(VALUE(MID($C4966,2,20))&lt;100000000,VALUE(MID($C4966,2,20)),1000000000),1000000000))+ROW()/100000,"")</f>
        <v/>
      </c>
    </row>
    <row r="4967">
      <c r="D4967" s="11" t="n"/>
      <c r="K4967" s="7">
        <f>IF($C4967="","",J4967*W4967/100)</f>
        <v/>
      </c>
      <c r="Q4967" s="7" t="n"/>
      <c r="R4967" s="7" t="n"/>
      <c r="U4967">
        <f>IF($C4967="","",IF($AJ4967=1,0,IF($AI4967=1,Settings!$C$6,Settings!$C$7))*100)</f>
        <v/>
      </c>
      <c r="V4967" s="7">
        <f>IF($C4967="","",R4967*U4967/100)</f>
        <v/>
      </c>
      <c r="W4967" s="7">
        <f>IF($C4967="","",R4967-V4967)</f>
        <v/>
      </c>
      <c r="X4967" s="7">
        <f>IF($C4967="","",W4967-K4967)</f>
        <v/>
      </c>
      <c r="AB4967" s="7" t="n"/>
      <c r="AE4967" s="11" t="n"/>
      <c r="AG4967">
        <f>IF($C4967="","",IF(COUNTIF($C$2:$C4967,$C4967)=1,1,0))</f>
        <v/>
      </c>
      <c r="AH4967">
        <f>IF($AG4967=1,SUMPRODUCT(--($AK$2:$AK$6001&lt;$AK4967))+1,"")</f>
        <v/>
      </c>
      <c r="AI4967">
        <f>IF($C4967="","",IF(OR($N4967=TRUE(),$N4967="TRUE"),1,0))</f>
        <v/>
      </c>
      <c r="AJ4967">
        <f>IF($C4967="","",IF($T4967="Yes",1,0))</f>
        <v/>
      </c>
      <c r="AK4967">
        <f>IF($AG4967=1,IFERROR(IF(VALUE($C4967)&lt;100000000,VALUE($C4967),1000000000),IFERROR(IF(VALUE(MID($C4967,2,20))&lt;100000000,VALUE(MID($C4967,2,20)),1000000000),1000000000))+ROW()/100000,"")</f>
        <v/>
      </c>
    </row>
    <row r="4968">
      <c r="D4968" s="11" t="n"/>
      <c r="K4968" s="7">
        <f>IF($C4968="","",J4968*W4968/100)</f>
        <v/>
      </c>
      <c r="Q4968" s="7" t="n"/>
      <c r="R4968" s="7" t="n"/>
      <c r="U4968">
        <f>IF($C4968="","",IF($AJ4968=1,0,IF($AI4968=1,Settings!$C$6,Settings!$C$7))*100)</f>
        <v/>
      </c>
      <c r="V4968" s="7">
        <f>IF($C4968="","",R4968*U4968/100)</f>
        <v/>
      </c>
      <c r="W4968" s="7">
        <f>IF($C4968="","",R4968-V4968)</f>
        <v/>
      </c>
      <c r="X4968" s="7">
        <f>IF($C4968="","",W4968-K4968)</f>
        <v/>
      </c>
      <c r="AB4968" s="7" t="n"/>
      <c r="AE4968" s="11" t="n"/>
      <c r="AG4968">
        <f>IF($C4968="","",IF(COUNTIF($C$2:$C4968,$C4968)=1,1,0))</f>
        <v/>
      </c>
      <c r="AH4968">
        <f>IF($AG4968=1,SUMPRODUCT(--($AK$2:$AK$6001&lt;$AK4968))+1,"")</f>
        <v/>
      </c>
      <c r="AI4968">
        <f>IF($C4968="","",IF(OR($N4968=TRUE(),$N4968="TRUE"),1,0))</f>
        <v/>
      </c>
      <c r="AJ4968">
        <f>IF($C4968="","",IF($T4968="Yes",1,0))</f>
        <v/>
      </c>
      <c r="AK4968">
        <f>IF($AG4968=1,IFERROR(IF(VALUE($C4968)&lt;100000000,VALUE($C4968),1000000000),IFERROR(IF(VALUE(MID($C4968,2,20))&lt;100000000,VALUE(MID($C4968,2,20)),1000000000),1000000000))+ROW()/100000,"")</f>
        <v/>
      </c>
    </row>
    <row r="4969">
      <c r="D4969" s="11" t="n"/>
      <c r="K4969" s="7">
        <f>IF($C4969="","",J4969*W4969/100)</f>
        <v/>
      </c>
      <c r="Q4969" s="7" t="n"/>
      <c r="R4969" s="7" t="n"/>
      <c r="U4969">
        <f>IF($C4969="","",IF($AJ4969=1,0,IF($AI4969=1,Settings!$C$6,Settings!$C$7))*100)</f>
        <v/>
      </c>
      <c r="V4969" s="7">
        <f>IF($C4969="","",R4969*U4969/100)</f>
        <v/>
      </c>
      <c r="W4969" s="7">
        <f>IF($C4969="","",R4969-V4969)</f>
        <v/>
      </c>
      <c r="X4969" s="7">
        <f>IF($C4969="","",W4969-K4969)</f>
        <v/>
      </c>
      <c r="AB4969" s="7" t="n"/>
      <c r="AE4969" s="11" t="n"/>
      <c r="AG4969">
        <f>IF($C4969="","",IF(COUNTIF($C$2:$C4969,$C4969)=1,1,0))</f>
        <v/>
      </c>
      <c r="AH4969">
        <f>IF($AG4969=1,SUMPRODUCT(--($AK$2:$AK$6001&lt;$AK4969))+1,"")</f>
        <v/>
      </c>
      <c r="AI4969">
        <f>IF($C4969="","",IF(OR($N4969=TRUE(),$N4969="TRUE"),1,0))</f>
        <v/>
      </c>
      <c r="AJ4969">
        <f>IF($C4969="","",IF($T4969="Yes",1,0))</f>
        <v/>
      </c>
      <c r="AK4969">
        <f>IF($AG4969=1,IFERROR(IF(VALUE($C4969)&lt;100000000,VALUE($C4969),1000000000),IFERROR(IF(VALUE(MID($C4969,2,20))&lt;100000000,VALUE(MID($C4969,2,20)),1000000000),1000000000))+ROW()/100000,"")</f>
        <v/>
      </c>
    </row>
    <row r="4970">
      <c r="D4970" s="11" t="n"/>
      <c r="K4970" s="7">
        <f>IF($C4970="","",J4970*W4970/100)</f>
        <v/>
      </c>
      <c r="Q4970" s="7" t="n"/>
      <c r="R4970" s="7" t="n"/>
      <c r="U4970">
        <f>IF($C4970="","",IF($AJ4970=1,0,IF($AI4970=1,Settings!$C$6,Settings!$C$7))*100)</f>
        <v/>
      </c>
      <c r="V4970" s="7">
        <f>IF($C4970="","",R4970*U4970/100)</f>
        <v/>
      </c>
      <c r="W4970" s="7">
        <f>IF($C4970="","",R4970-V4970)</f>
        <v/>
      </c>
      <c r="X4970" s="7">
        <f>IF($C4970="","",W4970-K4970)</f>
        <v/>
      </c>
      <c r="AB4970" s="7" t="n"/>
      <c r="AE4970" s="11" t="n"/>
      <c r="AG4970">
        <f>IF($C4970="","",IF(COUNTIF($C$2:$C4970,$C4970)=1,1,0))</f>
        <v/>
      </c>
      <c r="AH4970">
        <f>IF($AG4970=1,SUMPRODUCT(--($AK$2:$AK$6001&lt;$AK4970))+1,"")</f>
        <v/>
      </c>
      <c r="AI4970">
        <f>IF($C4970="","",IF(OR($N4970=TRUE(),$N4970="TRUE"),1,0))</f>
        <v/>
      </c>
      <c r="AJ4970">
        <f>IF($C4970="","",IF($T4970="Yes",1,0))</f>
        <v/>
      </c>
      <c r="AK4970">
        <f>IF($AG4970=1,IFERROR(IF(VALUE($C4970)&lt;100000000,VALUE($C4970),1000000000),IFERROR(IF(VALUE(MID($C4970,2,20))&lt;100000000,VALUE(MID($C4970,2,20)),1000000000),1000000000))+ROW()/100000,"")</f>
        <v/>
      </c>
    </row>
    <row r="4971">
      <c r="D4971" s="11" t="n"/>
      <c r="K4971" s="7">
        <f>IF($C4971="","",J4971*W4971/100)</f>
        <v/>
      </c>
      <c r="Q4971" s="7" t="n"/>
      <c r="R4971" s="7" t="n"/>
      <c r="U4971">
        <f>IF($C4971="","",IF($AJ4971=1,0,IF($AI4971=1,Settings!$C$6,Settings!$C$7))*100)</f>
        <v/>
      </c>
      <c r="V4971" s="7">
        <f>IF($C4971="","",R4971*U4971/100)</f>
        <v/>
      </c>
      <c r="W4971" s="7">
        <f>IF($C4971="","",R4971-V4971)</f>
        <v/>
      </c>
      <c r="X4971" s="7">
        <f>IF($C4971="","",W4971-K4971)</f>
        <v/>
      </c>
      <c r="AB4971" s="7" t="n"/>
      <c r="AE4971" s="11" t="n"/>
      <c r="AG4971">
        <f>IF($C4971="","",IF(COUNTIF($C$2:$C4971,$C4971)=1,1,0))</f>
        <v/>
      </c>
      <c r="AH4971">
        <f>IF($AG4971=1,SUMPRODUCT(--($AK$2:$AK$6001&lt;$AK4971))+1,"")</f>
        <v/>
      </c>
      <c r="AI4971">
        <f>IF($C4971="","",IF(OR($N4971=TRUE(),$N4971="TRUE"),1,0))</f>
        <v/>
      </c>
      <c r="AJ4971">
        <f>IF($C4971="","",IF($T4971="Yes",1,0))</f>
        <v/>
      </c>
      <c r="AK4971">
        <f>IF($AG4971=1,IFERROR(IF(VALUE($C4971)&lt;100000000,VALUE($C4971),1000000000),IFERROR(IF(VALUE(MID($C4971,2,20))&lt;100000000,VALUE(MID($C4971,2,20)),1000000000),1000000000))+ROW()/100000,"")</f>
        <v/>
      </c>
    </row>
    <row r="4972">
      <c r="D4972" s="11" t="n"/>
      <c r="K4972" s="7">
        <f>IF($C4972="","",J4972*W4972/100)</f>
        <v/>
      </c>
      <c r="Q4972" s="7" t="n"/>
      <c r="R4972" s="7" t="n"/>
      <c r="U4972">
        <f>IF($C4972="","",IF($AJ4972=1,0,IF($AI4972=1,Settings!$C$6,Settings!$C$7))*100)</f>
        <v/>
      </c>
      <c r="V4972" s="7">
        <f>IF($C4972="","",R4972*U4972/100)</f>
        <v/>
      </c>
      <c r="W4972" s="7">
        <f>IF($C4972="","",R4972-V4972)</f>
        <v/>
      </c>
      <c r="X4972" s="7">
        <f>IF($C4972="","",W4972-K4972)</f>
        <v/>
      </c>
      <c r="AB4972" s="7" t="n"/>
      <c r="AE4972" s="11" t="n"/>
      <c r="AG4972">
        <f>IF($C4972="","",IF(COUNTIF($C$2:$C4972,$C4972)=1,1,0))</f>
        <v/>
      </c>
      <c r="AH4972">
        <f>IF($AG4972=1,SUMPRODUCT(--($AK$2:$AK$6001&lt;$AK4972))+1,"")</f>
        <v/>
      </c>
      <c r="AI4972">
        <f>IF($C4972="","",IF(OR($N4972=TRUE(),$N4972="TRUE"),1,0))</f>
        <v/>
      </c>
      <c r="AJ4972">
        <f>IF($C4972="","",IF($T4972="Yes",1,0))</f>
        <v/>
      </c>
      <c r="AK4972">
        <f>IF($AG4972=1,IFERROR(IF(VALUE($C4972)&lt;100000000,VALUE($C4972),1000000000),IFERROR(IF(VALUE(MID($C4972,2,20))&lt;100000000,VALUE(MID($C4972,2,20)),1000000000),1000000000))+ROW()/100000,"")</f>
        <v/>
      </c>
    </row>
    <row r="4973">
      <c r="D4973" s="11" t="n"/>
      <c r="K4973" s="7">
        <f>IF($C4973="","",J4973*W4973/100)</f>
        <v/>
      </c>
      <c r="Q4973" s="7" t="n"/>
      <c r="R4973" s="7" t="n"/>
      <c r="U4973">
        <f>IF($C4973="","",IF($AJ4973=1,0,IF($AI4973=1,Settings!$C$6,Settings!$C$7))*100)</f>
        <v/>
      </c>
      <c r="V4973" s="7">
        <f>IF($C4973="","",R4973*U4973/100)</f>
        <v/>
      </c>
      <c r="W4973" s="7">
        <f>IF($C4973="","",R4973-V4973)</f>
        <v/>
      </c>
      <c r="X4973" s="7">
        <f>IF($C4973="","",W4973-K4973)</f>
        <v/>
      </c>
      <c r="AB4973" s="7" t="n"/>
      <c r="AE4973" s="11" t="n"/>
      <c r="AG4973">
        <f>IF($C4973="","",IF(COUNTIF($C$2:$C4973,$C4973)=1,1,0))</f>
        <v/>
      </c>
      <c r="AH4973">
        <f>IF($AG4973=1,SUMPRODUCT(--($AK$2:$AK$6001&lt;$AK4973))+1,"")</f>
        <v/>
      </c>
      <c r="AI4973">
        <f>IF($C4973="","",IF(OR($N4973=TRUE(),$N4973="TRUE"),1,0))</f>
        <v/>
      </c>
      <c r="AJ4973">
        <f>IF($C4973="","",IF($T4973="Yes",1,0))</f>
        <v/>
      </c>
      <c r="AK4973">
        <f>IF($AG4973=1,IFERROR(IF(VALUE($C4973)&lt;100000000,VALUE($C4973),1000000000),IFERROR(IF(VALUE(MID($C4973,2,20))&lt;100000000,VALUE(MID($C4973,2,20)),1000000000),1000000000))+ROW()/100000,"")</f>
        <v/>
      </c>
    </row>
    <row r="4974">
      <c r="D4974" s="11" t="n"/>
      <c r="K4974" s="7">
        <f>IF($C4974="","",J4974*W4974/100)</f>
        <v/>
      </c>
      <c r="Q4974" s="7" t="n"/>
      <c r="R4974" s="7" t="n"/>
      <c r="U4974">
        <f>IF($C4974="","",IF($AJ4974=1,0,IF($AI4974=1,Settings!$C$6,Settings!$C$7))*100)</f>
        <v/>
      </c>
      <c r="V4974" s="7">
        <f>IF($C4974="","",R4974*U4974/100)</f>
        <v/>
      </c>
      <c r="W4974" s="7">
        <f>IF($C4974="","",R4974-V4974)</f>
        <v/>
      </c>
      <c r="X4974" s="7">
        <f>IF($C4974="","",W4974-K4974)</f>
        <v/>
      </c>
      <c r="AB4974" s="7" t="n"/>
      <c r="AE4974" s="11" t="n"/>
      <c r="AG4974">
        <f>IF($C4974="","",IF(COUNTIF($C$2:$C4974,$C4974)=1,1,0))</f>
        <v/>
      </c>
      <c r="AH4974">
        <f>IF($AG4974=1,SUMPRODUCT(--($AK$2:$AK$6001&lt;$AK4974))+1,"")</f>
        <v/>
      </c>
      <c r="AI4974">
        <f>IF($C4974="","",IF(OR($N4974=TRUE(),$N4974="TRUE"),1,0))</f>
        <v/>
      </c>
      <c r="AJ4974">
        <f>IF($C4974="","",IF($T4974="Yes",1,0))</f>
        <v/>
      </c>
      <c r="AK4974">
        <f>IF($AG4974=1,IFERROR(IF(VALUE($C4974)&lt;100000000,VALUE($C4974),1000000000),IFERROR(IF(VALUE(MID($C4974,2,20))&lt;100000000,VALUE(MID($C4974,2,20)),1000000000),1000000000))+ROW()/100000,"")</f>
        <v/>
      </c>
    </row>
    <row r="4975">
      <c r="D4975" s="11" t="n"/>
      <c r="K4975" s="7">
        <f>IF($C4975="","",J4975*W4975/100)</f>
        <v/>
      </c>
      <c r="Q4975" s="7" t="n"/>
      <c r="R4975" s="7" t="n"/>
      <c r="U4975">
        <f>IF($C4975="","",IF($AJ4975=1,0,IF($AI4975=1,Settings!$C$6,Settings!$C$7))*100)</f>
        <v/>
      </c>
      <c r="V4975" s="7">
        <f>IF($C4975="","",R4975*U4975/100)</f>
        <v/>
      </c>
      <c r="W4975" s="7">
        <f>IF($C4975="","",R4975-V4975)</f>
        <v/>
      </c>
      <c r="X4975" s="7">
        <f>IF($C4975="","",W4975-K4975)</f>
        <v/>
      </c>
      <c r="AB4975" s="7" t="n"/>
      <c r="AE4975" s="11" t="n"/>
      <c r="AG4975">
        <f>IF($C4975="","",IF(COUNTIF($C$2:$C4975,$C4975)=1,1,0))</f>
        <v/>
      </c>
      <c r="AH4975">
        <f>IF($AG4975=1,SUMPRODUCT(--($AK$2:$AK$6001&lt;$AK4975))+1,"")</f>
        <v/>
      </c>
      <c r="AI4975">
        <f>IF($C4975="","",IF(OR($N4975=TRUE(),$N4975="TRUE"),1,0))</f>
        <v/>
      </c>
      <c r="AJ4975">
        <f>IF($C4975="","",IF($T4975="Yes",1,0))</f>
        <v/>
      </c>
      <c r="AK4975">
        <f>IF($AG4975=1,IFERROR(IF(VALUE($C4975)&lt;100000000,VALUE($C4975),1000000000),IFERROR(IF(VALUE(MID($C4975,2,20))&lt;100000000,VALUE(MID($C4975,2,20)),1000000000),1000000000))+ROW()/100000,"")</f>
        <v/>
      </c>
    </row>
    <row r="4976">
      <c r="D4976" s="11" t="n"/>
      <c r="K4976" s="7">
        <f>IF($C4976="","",J4976*W4976/100)</f>
        <v/>
      </c>
      <c r="Q4976" s="7" t="n"/>
      <c r="R4976" s="7" t="n"/>
      <c r="U4976">
        <f>IF($C4976="","",IF($AJ4976=1,0,IF($AI4976=1,Settings!$C$6,Settings!$C$7))*100)</f>
        <v/>
      </c>
      <c r="V4976" s="7">
        <f>IF($C4976="","",R4976*U4976/100)</f>
        <v/>
      </c>
      <c r="W4976" s="7">
        <f>IF($C4976="","",R4976-V4976)</f>
        <v/>
      </c>
      <c r="X4976" s="7">
        <f>IF($C4976="","",W4976-K4976)</f>
        <v/>
      </c>
      <c r="AB4976" s="7" t="n"/>
      <c r="AE4976" s="11" t="n"/>
      <c r="AG4976">
        <f>IF($C4976="","",IF(COUNTIF($C$2:$C4976,$C4976)=1,1,0))</f>
        <v/>
      </c>
      <c r="AH4976">
        <f>IF($AG4976=1,SUMPRODUCT(--($AK$2:$AK$6001&lt;$AK4976))+1,"")</f>
        <v/>
      </c>
      <c r="AI4976">
        <f>IF($C4976="","",IF(OR($N4976=TRUE(),$N4976="TRUE"),1,0))</f>
        <v/>
      </c>
      <c r="AJ4976">
        <f>IF($C4976="","",IF($T4976="Yes",1,0))</f>
        <v/>
      </c>
      <c r="AK4976">
        <f>IF($AG4976=1,IFERROR(IF(VALUE($C4976)&lt;100000000,VALUE($C4976),1000000000),IFERROR(IF(VALUE(MID($C4976,2,20))&lt;100000000,VALUE(MID($C4976,2,20)),1000000000),1000000000))+ROW()/100000,"")</f>
        <v/>
      </c>
    </row>
    <row r="4977">
      <c r="D4977" s="11" t="n"/>
      <c r="K4977" s="7">
        <f>IF($C4977="","",J4977*W4977/100)</f>
        <v/>
      </c>
      <c r="Q4977" s="7" t="n"/>
      <c r="R4977" s="7" t="n"/>
      <c r="U4977">
        <f>IF($C4977="","",IF($AJ4977=1,0,IF($AI4977=1,Settings!$C$6,Settings!$C$7))*100)</f>
        <v/>
      </c>
      <c r="V4977" s="7">
        <f>IF($C4977="","",R4977*U4977/100)</f>
        <v/>
      </c>
      <c r="W4977" s="7">
        <f>IF($C4977="","",R4977-V4977)</f>
        <v/>
      </c>
      <c r="X4977" s="7">
        <f>IF($C4977="","",W4977-K4977)</f>
        <v/>
      </c>
      <c r="AB4977" s="7" t="n"/>
      <c r="AE4977" s="11" t="n"/>
      <c r="AG4977">
        <f>IF($C4977="","",IF(COUNTIF($C$2:$C4977,$C4977)=1,1,0))</f>
        <v/>
      </c>
      <c r="AH4977">
        <f>IF($AG4977=1,SUMPRODUCT(--($AK$2:$AK$6001&lt;$AK4977))+1,"")</f>
        <v/>
      </c>
      <c r="AI4977">
        <f>IF($C4977="","",IF(OR($N4977=TRUE(),$N4977="TRUE"),1,0))</f>
        <v/>
      </c>
      <c r="AJ4977">
        <f>IF($C4977="","",IF($T4977="Yes",1,0))</f>
        <v/>
      </c>
      <c r="AK4977">
        <f>IF($AG4977=1,IFERROR(IF(VALUE($C4977)&lt;100000000,VALUE($C4977),1000000000),IFERROR(IF(VALUE(MID($C4977,2,20))&lt;100000000,VALUE(MID($C4977,2,20)),1000000000),1000000000))+ROW()/100000,"")</f>
        <v/>
      </c>
    </row>
    <row r="4978">
      <c r="D4978" s="11" t="n"/>
      <c r="K4978" s="7">
        <f>IF($C4978="","",J4978*W4978/100)</f>
        <v/>
      </c>
      <c r="Q4978" s="7" t="n"/>
      <c r="R4978" s="7" t="n"/>
      <c r="U4978">
        <f>IF($C4978="","",IF($AJ4978=1,0,IF($AI4978=1,Settings!$C$6,Settings!$C$7))*100)</f>
        <v/>
      </c>
      <c r="V4978" s="7">
        <f>IF($C4978="","",R4978*U4978/100)</f>
        <v/>
      </c>
      <c r="W4978" s="7">
        <f>IF($C4978="","",R4978-V4978)</f>
        <v/>
      </c>
      <c r="X4978" s="7">
        <f>IF($C4978="","",W4978-K4978)</f>
        <v/>
      </c>
      <c r="AB4978" s="7" t="n"/>
      <c r="AE4978" s="11" t="n"/>
      <c r="AG4978">
        <f>IF($C4978="","",IF(COUNTIF($C$2:$C4978,$C4978)=1,1,0))</f>
        <v/>
      </c>
      <c r="AH4978">
        <f>IF($AG4978=1,SUMPRODUCT(--($AK$2:$AK$6001&lt;$AK4978))+1,"")</f>
        <v/>
      </c>
      <c r="AI4978">
        <f>IF($C4978="","",IF(OR($N4978=TRUE(),$N4978="TRUE"),1,0))</f>
        <v/>
      </c>
      <c r="AJ4978">
        <f>IF($C4978="","",IF($T4978="Yes",1,0))</f>
        <v/>
      </c>
      <c r="AK4978">
        <f>IF($AG4978=1,IFERROR(IF(VALUE($C4978)&lt;100000000,VALUE($C4978),1000000000),IFERROR(IF(VALUE(MID($C4978,2,20))&lt;100000000,VALUE(MID($C4978,2,20)),1000000000),1000000000))+ROW()/100000,"")</f>
        <v/>
      </c>
    </row>
    <row r="4979">
      <c r="D4979" s="11" t="n"/>
      <c r="K4979" s="7">
        <f>IF($C4979="","",J4979*W4979/100)</f>
        <v/>
      </c>
      <c r="Q4979" s="7" t="n"/>
      <c r="R4979" s="7" t="n"/>
      <c r="U4979">
        <f>IF($C4979="","",IF($AJ4979=1,0,IF($AI4979=1,Settings!$C$6,Settings!$C$7))*100)</f>
        <v/>
      </c>
      <c r="V4979" s="7">
        <f>IF($C4979="","",R4979*U4979/100)</f>
        <v/>
      </c>
      <c r="W4979" s="7">
        <f>IF($C4979="","",R4979-V4979)</f>
        <v/>
      </c>
      <c r="X4979" s="7">
        <f>IF($C4979="","",W4979-K4979)</f>
        <v/>
      </c>
      <c r="AB4979" s="7" t="n"/>
      <c r="AE4979" s="11" t="n"/>
      <c r="AG4979">
        <f>IF($C4979="","",IF(COUNTIF($C$2:$C4979,$C4979)=1,1,0))</f>
        <v/>
      </c>
      <c r="AH4979">
        <f>IF($AG4979=1,SUMPRODUCT(--($AK$2:$AK$6001&lt;$AK4979))+1,"")</f>
        <v/>
      </c>
      <c r="AI4979">
        <f>IF($C4979="","",IF(OR($N4979=TRUE(),$N4979="TRUE"),1,0))</f>
        <v/>
      </c>
      <c r="AJ4979">
        <f>IF($C4979="","",IF($T4979="Yes",1,0))</f>
        <v/>
      </c>
      <c r="AK4979">
        <f>IF($AG4979=1,IFERROR(IF(VALUE($C4979)&lt;100000000,VALUE($C4979),1000000000),IFERROR(IF(VALUE(MID($C4979,2,20))&lt;100000000,VALUE(MID($C4979,2,20)),1000000000),1000000000))+ROW()/100000,"")</f>
        <v/>
      </c>
    </row>
    <row r="4980">
      <c r="D4980" s="11" t="n"/>
      <c r="K4980" s="7">
        <f>IF($C4980="","",J4980*W4980/100)</f>
        <v/>
      </c>
      <c r="Q4980" s="7" t="n"/>
      <c r="R4980" s="7" t="n"/>
      <c r="U4980">
        <f>IF($C4980="","",IF($AJ4980=1,0,IF($AI4980=1,Settings!$C$6,Settings!$C$7))*100)</f>
        <v/>
      </c>
      <c r="V4980" s="7">
        <f>IF($C4980="","",R4980*U4980/100)</f>
        <v/>
      </c>
      <c r="W4980" s="7">
        <f>IF($C4980="","",R4980-V4980)</f>
        <v/>
      </c>
      <c r="X4980" s="7">
        <f>IF($C4980="","",W4980-K4980)</f>
        <v/>
      </c>
      <c r="AB4980" s="7" t="n"/>
      <c r="AE4980" s="11" t="n"/>
      <c r="AG4980">
        <f>IF($C4980="","",IF(COUNTIF($C$2:$C4980,$C4980)=1,1,0))</f>
        <v/>
      </c>
      <c r="AH4980">
        <f>IF($AG4980=1,SUMPRODUCT(--($AK$2:$AK$6001&lt;$AK4980))+1,"")</f>
        <v/>
      </c>
      <c r="AI4980">
        <f>IF($C4980="","",IF(OR($N4980=TRUE(),$N4980="TRUE"),1,0))</f>
        <v/>
      </c>
      <c r="AJ4980">
        <f>IF($C4980="","",IF($T4980="Yes",1,0))</f>
        <v/>
      </c>
      <c r="AK4980">
        <f>IF($AG4980=1,IFERROR(IF(VALUE($C4980)&lt;100000000,VALUE($C4980),1000000000),IFERROR(IF(VALUE(MID($C4980,2,20))&lt;100000000,VALUE(MID($C4980,2,20)),1000000000),1000000000))+ROW()/100000,"")</f>
        <v/>
      </c>
    </row>
    <row r="4981">
      <c r="D4981" s="11" t="n"/>
      <c r="K4981" s="7">
        <f>IF($C4981="","",J4981*W4981/100)</f>
        <v/>
      </c>
      <c r="Q4981" s="7" t="n"/>
      <c r="R4981" s="7" t="n"/>
      <c r="U4981">
        <f>IF($C4981="","",IF($AJ4981=1,0,IF($AI4981=1,Settings!$C$6,Settings!$C$7))*100)</f>
        <v/>
      </c>
      <c r="V4981" s="7">
        <f>IF($C4981="","",R4981*U4981/100)</f>
        <v/>
      </c>
      <c r="W4981" s="7">
        <f>IF($C4981="","",R4981-V4981)</f>
        <v/>
      </c>
      <c r="X4981" s="7">
        <f>IF($C4981="","",W4981-K4981)</f>
        <v/>
      </c>
      <c r="AB4981" s="7" t="n"/>
      <c r="AE4981" s="11" t="n"/>
      <c r="AG4981">
        <f>IF($C4981="","",IF(COUNTIF($C$2:$C4981,$C4981)=1,1,0))</f>
        <v/>
      </c>
      <c r="AH4981">
        <f>IF($AG4981=1,SUMPRODUCT(--($AK$2:$AK$6001&lt;$AK4981))+1,"")</f>
        <v/>
      </c>
      <c r="AI4981">
        <f>IF($C4981="","",IF(OR($N4981=TRUE(),$N4981="TRUE"),1,0))</f>
        <v/>
      </c>
      <c r="AJ4981">
        <f>IF($C4981="","",IF($T4981="Yes",1,0))</f>
        <v/>
      </c>
      <c r="AK4981">
        <f>IF($AG4981=1,IFERROR(IF(VALUE($C4981)&lt;100000000,VALUE($C4981),1000000000),IFERROR(IF(VALUE(MID($C4981,2,20))&lt;100000000,VALUE(MID($C4981,2,20)),1000000000),1000000000))+ROW()/100000,"")</f>
        <v/>
      </c>
    </row>
    <row r="4982">
      <c r="D4982" s="11" t="n"/>
      <c r="K4982" s="7">
        <f>IF($C4982="","",J4982*W4982/100)</f>
        <v/>
      </c>
      <c r="Q4982" s="7" t="n"/>
      <c r="R4982" s="7" t="n"/>
      <c r="U4982">
        <f>IF($C4982="","",IF($AJ4982=1,0,IF($AI4982=1,Settings!$C$6,Settings!$C$7))*100)</f>
        <v/>
      </c>
      <c r="V4982" s="7">
        <f>IF($C4982="","",R4982*U4982/100)</f>
        <v/>
      </c>
      <c r="W4982" s="7">
        <f>IF($C4982="","",R4982-V4982)</f>
        <v/>
      </c>
      <c r="X4982" s="7">
        <f>IF($C4982="","",W4982-K4982)</f>
        <v/>
      </c>
      <c r="AB4982" s="7" t="n"/>
      <c r="AE4982" s="11" t="n"/>
      <c r="AG4982">
        <f>IF($C4982="","",IF(COUNTIF($C$2:$C4982,$C4982)=1,1,0))</f>
        <v/>
      </c>
      <c r="AH4982">
        <f>IF($AG4982=1,SUMPRODUCT(--($AK$2:$AK$6001&lt;$AK4982))+1,"")</f>
        <v/>
      </c>
      <c r="AI4982">
        <f>IF($C4982="","",IF(OR($N4982=TRUE(),$N4982="TRUE"),1,0))</f>
        <v/>
      </c>
      <c r="AJ4982">
        <f>IF($C4982="","",IF($T4982="Yes",1,0))</f>
        <v/>
      </c>
      <c r="AK4982">
        <f>IF($AG4982=1,IFERROR(IF(VALUE($C4982)&lt;100000000,VALUE($C4982),1000000000),IFERROR(IF(VALUE(MID($C4982,2,20))&lt;100000000,VALUE(MID($C4982,2,20)),1000000000),1000000000))+ROW()/100000,"")</f>
        <v/>
      </c>
    </row>
    <row r="4983">
      <c r="D4983" s="11" t="n"/>
      <c r="K4983" s="7">
        <f>IF($C4983="","",J4983*W4983/100)</f>
        <v/>
      </c>
      <c r="Q4983" s="7" t="n"/>
      <c r="R4983" s="7" t="n"/>
      <c r="U4983">
        <f>IF($C4983="","",IF($AJ4983=1,0,IF($AI4983=1,Settings!$C$6,Settings!$C$7))*100)</f>
        <v/>
      </c>
      <c r="V4983" s="7">
        <f>IF($C4983="","",R4983*U4983/100)</f>
        <v/>
      </c>
      <c r="W4983" s="7">
        <f>IF($C4983="","",R4983-V4983)</f>
        <v/>
      </c>
      <c r="X4983" s="7">
        <f>IF($C4983="","",W4983-K4983)</f>
        <v/>
      </c>
      <c r="AB4983" s="7" t="n"/>
      <c r="AE4983" s="11" t="n"/>
      <c r="AG4983">
        <f>IF($C4983="","",IF(COUNTIF($C$2:$C4983,$C4983)=1,1,0))</f>
        <v/>
      </c>
      <c r="AH4983">
        <f>IF($AG4983=1,SUMPRODUCT(--($AK$2:$AK$6001&lt;$AK4983))+1,"")</f>
        <v/>
      </c>
      <c r="AI4983">
        <f>IF($C4983="","",IF(OR($N4983=TRUE(),$N4983="TRUE"),1,0))</f>
        <v/>
      </c>
      <c r="AJ4983">
        <f>IF($C4983="","",IF($T4983="Yes",1,0))</f>
        <v/>
      </c>
      <c r="AK4983">
        <f>IF($AG4983=1,IFERROR(IF(VALUE($C4983)&lt;100000000,VALUE($C4983),1000000000),IFERROR(IF(VALUE(MID($C4983,2,20))&lt;100000000,VALUE(MID($C4983,2,20)),1000000000),1000000000))+ROW()/100000,"")</f>
        <v/>
      </c>
    </row>
    <row r="4984">
      <c r="D4984" s="11" t="n"/>
      <c r="K4984" s="7">
        <f>IF($C4984="","",J4984*W4984/100)</f>
        <v/>
      </c>
      <c r="Q4984" s="7" t="n"/>
      <c r="R4984" s="7" t="n"/>
      <c r="U4984">
        <f>IF($C4984="","",IF($AJ4984=1,0,IF($AI4984=1,Settings!$C$6,Settings!$C$7))*100)</f>
        <v/>
      </c>
      <c r="V4984" s="7">
        <f>IF($C4984="","",R4984*U4984/100)</f>
        <v/>
      </c>
      <c r="W4984" s="7">
        <f>IF($C4984="","",R4984-V4984)</f>
        <v/>
      </c>
      <c r="X4984" s="7">
        <f>IF($C4984="","",W4984-K4984)</f>
        <v/>
      </c>
      <c r="AB4984" s="7" t="n"/>
      <c r="AE4984" s="11" t="n"/>
      <c r="AG4984">
        <f>IF($C4984="","",IF(COUNTIF($C$2:$C4984,$C4984)=1,1,0))</f>
        <v/>
      </c>
      <c r="AH4984">
        <f>IF($AG4984=1,SUMPRODUCT(--($AK$2:$AK$6001&lt;$AK4984))+1,"")</f>
        <v/>
      </c>
      <c r="AI4984">
        <f>IF($C4984="","",IF(OR($N4984=TRUE(),$N4984="TRUE"),1,0))</f>
        <v/>
      </c>
      <c r="AJ4984">
        <f>IF($C4984="","",IF($T4984="Yes",1,0))</f>
        <v/>
      </c>
      <c r="AK4984">
        <f>IF($AG4984=1,IFERROR(IF(VALUE($C4984)&lt;100000000,VALUE($C4984),1000000000),IFERROR(IF(VALUE(MID($C4984,2,20))&lt;100000000,VALUE(MID($C4984,2,20)),1000000000),1000000000))+ROW()/100000,"")</f>
        <v/>
      </c>
    </row>
    <row r="4985">
      <c r="D4985" s="11" t="n"/>
      <c r="K4985" s="7">
        <f>IF($C4985="","",J4985*W4985/100)</f>
        <v/>
      </c>
      <c r="Q4985" s="7" t="n"/>
      <c r="R4985" s="7" t="n"/>
      <c r="U4985">
        <f>IF($C4985="","",IF($AJ4985=1,0,IF($AI4985=1,Settings!$C$6,Settings!$C$7))*100)</f>
        <v/>
      </c>
      <c r="V4985" s="7">
        <f>IF($C4985="","",R4985*U4985/100)</f>
        <v/>
      </c>
      <c r="W4985" s="7">
        <f>IF($C4985="","",R4985-V4985)</f>
        <v/>
      </c>
      <c r="X4985" s="7">
        <f>IF($C4985="","",W4985-K4985)</f>
        <v/>
      </c>
      <c r="AB4985" s="7" t="n"/>
      <c r="AE4985" s="11" t="n"/>
      <c r="AG4985">
        <f>IF($C4985="","",IF(COUNTIF($C$2:$C4985,$C4985)=1,1,0))</f>
        <v/>
      </c>
      <c r="AH4985">
        <f>IF($AG4985=1,SUMPRODUCT(--($AK$2:$AK$6001&lt;$AK4985))+1,"")</f>
        <v/>
      </c>
      <c r="AI4985">
        <f>IF($C4985="","",IF(OR($N4985=TRUE(),$N4985="TRUE"),1,0))</f>
        <v/>
      </c>
      <c r="AJ4985">
        <f>IF($C4985="","",IF($T4985="Yes",1,0))</f>
        <v/>
      </c>
      <c r="AK4985">
        <f>IF($AG4985=1,IFERROR(IF(VALUE($C4985)&lt;100000000,VALUE($C4985),1000000000),IFERROR(IF(VALUE(MID($C4985,2,20))&lt;100000000,VALUE(MID($C4985,2,20)),1000000000),1000000000))+ROW()/100000,"")</f>
        <v/>
      </c>
    </row>
    <row r="4986">
      <c r="D4986" s="11" t="n"/>
      <c r="K4986" s="7">
        <f>IF($C4986="","",J4986*W4986/100)</f>
        <v/>
      </c>
      <c r="Q4986" s="7" t="n"/>
      <c r="R4986" s="7" t="n"/>
      <c r="U4986">
        <f>IF($C4986="","",IF($AJ4986=1,0,IF($AI4986=1,Settings!$C$6,Settings!$C$7))*100)</f>
        <v/>
      </c>
      <c r="V4986" s="7">
        <f>IF($C4986="","",R4986*U4986/100)</f>
        <v/>
      </c>
      <c r="W4986" s="7">
        <f>IF($C4986="","",R4986-V4986)</f>
        <v/>
      </c>
      <c r="X4986" s="7">
        <f>IF($C4986="","",W4986-K4986)</f>
        <v/>
      </c>
      <c r="AB4986" s="7" t="n"/>
      <c r="AE4986" s="11" t="n"/>
      <c r="AG4986">
        <f>IF($C4986="","",IF(COUNTIF($C$2:$C4986,$C4986)=1,1,0))</f>
        <v/>
      </c>
      <c r="AH4986">
        <f>IF($AG4986=1,SUMPRODUCT(--($AK$2:$AK$6001&lt;$AK4986))+1,"")</f>
        <v/>
      </c>
      <c r="AI4986">
        <f>IF($C4986="","",IF(OR($N4986=TRUE(),$N4986="TRUE"),1,0))</f>
        <v/>
      </c>
      <c r="AJ4986">
        <f>IF($C4986="","",IF($T4986="Yes",1,0))</f>
        <v/>
      </c>
      <c r="AK4986">
        <f>IF($AG4986=1,IFERROR(IF(VALUE($C4986)&lt;100000000,VALUE($C4986),1000000000),IFERROR(IF(VALUE(MID($C4986,2,20))&lt;100000000,VALUE(MID($C4986,2,20)),1000000000),1000000000))+ROW()/100000,"")</f>
        <v/>
      </c>
    </row>
    <row r="4987">
      <c r="D4987" s="11" t="n"/>
      <c r="K4987" s="7">
        <f>IF($C4987="","",J4987*W4987/100)</f>
        <v/>
      </c>
      <c r="Q4987" s="7" t="n"/>
      <c r="R4987" s="7" t="n"/>
      <c r="U4987">
        <f>IF($C4987="","",IF($AJ4987=1,0,IF($AI4987=1,Settings!$C$6,Settings!$C$7))*100)</f>
        <v/>
      </c>
      <c r="V4987" s="7">
        <f>IF($C4987="","",R4987*U4987/100)</f>
        <v/>
      </c>
      <c r="W4987" s="7">
        <f>IF($C4987="","",R4987-V4987)</f>
        <v/>
      </c>
      <c r="X4987" s="7">
        <f>IF($C4987="","",W4987-K4987)</f>
        <v/>
      </c>
      <c r="AB4987" s="7" t="n"/>
      <c r="AE4987" s="11" t="n"/>
      <c r="AG4987">
        <f>IF($C4987="","",IF(COUNTIF($C$2:$C4987,$C4987)=1,1,0))</f>
        <v/>
      </c>
      <c r="AH4987">
        <f>IF($AG4987=1,SUMPRODUCT(--($AK$2:$AK$6001&lt;$AK4987))+1,"")</f>
        <v/>
      </c>
      <c r="AI4987">
        <f>IF($C4987="","",IF(OR($N4987=TRUE(),$N4987="TRUE"),1,0))</f>
        <v/>
      </c>
      <c r="AJ4987">
        <f>IF($C4987="","",IF($T4987="Yes",1,0))</f>
        <v/>
      </c>
      <c r="AK4987">
        <f>IF($AG4987=1,IFERROR(IF(VALUE($C4987)&lt;100000000,VALUE($C4987),1000000000),IFERROR(IF(VALUE(MID($C4987,2,20))&lt;100000000,VALUE(MID($C4987,2,20)),1000000000),1000000000))+ROW()/100000,"")</f>
        <v/>
      </c>
    </row>
    <row r="4988">
      <c r="D4988" s="11" t="n"/>
      <c r="K4988" s="7">
        <f>IF($C4988="","",J4988*W4988/100)</f>
        <v/>
      </c>
      <c r="Q4988" s="7" t="n"/>
      <c r="R4988" s="7" t="n"/>
      <c r="U4988">
        <f>IF($C4988="","",IF($AJ4988=1,0,IF($AI4988=1,Settings!$C$6,Settings!$C$7))*100)</f>
        <v/>
      </c>
      <c r="V4988" s="7">
        <f>IF($C4988="","",R4988*U4988/100)</f>
        <v/>
      </c>
      <c r="W4988" s="7">
        <f>IF($C4988="","",R4988-V4988)</f>
        <v/>
      </c>
      <c r="X4988" s="7">
        <f>IF($C4988="","",W4988-K4988)</f>
        <v/>
      </c>
      <c r="AB4988" s="7" t="n"/>
      <c r="AE4988" s="11" t="n"/>
      <c r="AG4988">
        <f>IF($C4988="","",IF(COUNTIF($C$2:$C4988,$C4988)=1,1,0))</f>
        <v/>
      </c>
      <c r="AH4988">
        <f>IF($AG4988=1,SUMPRODUCT(--($AK$2:$AK$6001&lt;$AK4988))+1,"")</f>
        <v/>
      </c>
      <c r="AI4988">
        <f>IF($C4988="","",IF(OR($N4988=TRUE(),$N4988="TRUE"),1,0))</f>
        <v/>
      </c>
      <c r="AJ4988">
        <f>IF($C4988="","",IF($T4988="Yes",1,0))</f>
        <v/>
      </c>
      <c r="AK4988">
        <f>IF($AG4988=1,IFERROR(IF(VALUE($C4988)&lt;100000000,VALUE($C4988),1000000000),IFERROR(IF(VALUE(MID($C4988,2,20))&lt;100000000,VALUE(MID($C4988,2,20)),1000000000),1000000000))+ROW()/100000,"")</f>
        <v/>
      </c>
    </row>
    <row r="4989">
      <c r="D4989" s="11" t="n"/>
      <c r="K4989" s="7">
        <f>IF($C4989="","",J4989*W4989/100)</f>
        <v/>
      </c>
      <c r="Q4989" s="7" t="n"/>
      <c r="R4989" s="7" t="n"/>
      <c r="U4989">
        <f>IF($C4989="","",IF($AJ4989=1,0,IF($AI4989=1,Settings!$C$6,Settings!$C$7))*100)</f>
        <v/>
      </c>
      <c r="V4989" s="7">
        <f>IF($C4989="","",R4989*U4989/100)</f>
        <v/>
      </c>
      <c r="W4989" s="7">
        <f>IF($C4989="","",R4989-V4989)</f>
        <v/>
      </c>
      <c r="X4989" s="7">
        <f>IF($C4989="","",W4989-K4989)</f>
        <v/>
      </c>
      <c r="AB4989" s="7" t="n"/>
      <c r="AE4989" s="11" t="n"/>
      <c r="AG4989">
        <f>IF($C4989="","",IF(COUNTIF($C$2:$C4989,$C4989)=1,1,0))</f>
        <v/>
      </c>
      <c r="AH4989">
        <f>IF($AG4989=1,SUMPRODUCT(--($AK$2:$AK$6001&lt;$AK4989))+1,"")</f>
        <v/>
      </c>
      <c r="AI4989">
        <f>IF($C4989="","",IF(OR($N4989=TRUE(),$N4989="TRUE"),1,0))</f>
        <v/>
      </c>
      <c r="AJ4989">
        <f>IF($C4989="","",IF($T4989="Yes",1,0))</f>
        <v/>
      </c>
      <c r="AK4989">
        <f>IF($AG4989=1,IFERROR(IF(VALUE($C4989)&lt;100000000,VALUE($C4989),1000000000),IFERROR(IF(VALUE(MID($C4989,2,20))&lt;100000000,VALUE(MID($C4989,2,20)),1000000000),1000000000))+ROW()/100000,"")</f>
        <v/>
      </c>
    </row>
    <row r="4990">
      <c r="D4990" s="11" t="n"/>
      <c r="K4990" s="7">
        <f>IF($C4990="","",J4990*W4990/100)</f>
        <v/>
      </c>
      <c r="Q4990" s="7" t="n"/>
      <c r="R4990" s="7" t="n"/>
      <c r="U4990">
        <f>IF($C4990="","",IF($AJ4990=1,0,IF($AI4990=1,Settings!$C$6,Settings!$C$7))*100)</f>
        <v/>
      </c>
      <c r="V4990" s="7">
        <f>IF($C4990="","",R4990*U4990/100)</f>
        <v/>
      </c>
      <c r="W4990" s="7">
        <f>IF($C4990="","",R4990-V4990)</f>
        <v/>
      </c>
      <c r="X4990" s="7">
        <f>IF($C4990="","",W4990-K4990)</f>
        <v/>
      </c>
      <c r="AB4990" s="7" t="n"/>
      <c r="AE4990" s="11" t="n"/>
      <c r="AG4990">
        <f>IF($C4990="","",IF(COUNTIF($C$2:$C4990,$C4990)=1,1,0))</f>
        <v/>
      </c>
      <c r="AH4990">
        <f>IF($AG4990=1,SUMPRODUCT(--($AK$2:$AK$6001&lt;$AK4990))+1,"")</f>
        <v/>
      </c>
      <c r="AI4990">
        <f>IF($C4990="","",IF(OR($N4990=TRUE(),$N4990="TRUE"),1,0))</f>
        <v/>
      </c>
      <c r="AJ4990">
        <f>IF($C4990="","",IF($T4990="Yes",1,0))</f>
        <v/>
      </c>
      <c r="AK4990">
        <f>IF($AG4990=1,IFERROR(IF(VALUE($C4990)&lt;100000000,VALUE($C4990),1000000000),IFERROR(IF(VALUE(MID($C4990,2,20))&lt;100000000,VALUE(MID($C4990,2,20)),1000000000),1000000000))+ROW()/100000,"")</f>
        <v/>
      </c>
    </row>
    <row r="4991">
      <c r="D4991" s="11" t="n"/>
      <c r="K4991" s="7">
        <f>IF($C4991="","",J4991*W4991/100)</f>
        <v/>
      </c>
      <c r="Q4991" s="7" t="n"/>
      <c r="R4991" s="7" t="n"/>
      <c r="U4991">
        <f>IF($C4991="","",IF($AJ4991=1,0,IF($AI4991=1,Settings!$C$6,Settings!$C$7))*100)</f>
        <v/>
      </c>
      <c r="V4991" s="7">
        <f>IF($C4991="","",R4991*U4991/100)</f>
        <v/>
      </c>
      <c r="W4991" s="7">
        <f>IF($C4991="","",R4991-V4991)</f>
        <v/>
      </c>
      <c r="X4991" s="7">
        <f>IF($C4991="","",W4991-K4991)</f>
        <v/>
      </c>
      <c r="AB4991" s="7" t="n"/>
      <c r="AE4991" s="11" t="n"/>
      <c r="AG4991">
        <f>IF($C4991="","",IF(COUNTIF($C$2:$C4991,$C4991)=1,1,0))</f>
        <v/>
      </c>
      <c r="AH4991">
        <f>IF($AG4991=1,SUMPRODUCT(--($AK$2:$AK$6001&lt;$AK4991))+1,"")</f>
        <v/>
      </c>
      <c r="AI4991">
        <f>IF($C4991="","",IF(OR($N4991=TRUE(),$N4991="TRUE"),1,0))</f>
        <v/>
      </c>
      <c r="AJ4991">
        <f>IF($C4991="","",IF($T4991="Yes",1,0))</f>
        <v/>
      </c>
      <c r="AK4991">
        <f>IF($AG4991=1,IFERROR(IF(VALUE($C4991)&lt;100000000,VALUE($C4991),1000000000),IFERROR(IF(VALUE(MID($C4991,2,20))&lt;100000000,VALUE(MID($C4991,2,20)),1000000000),1000000000))+ROW()/100000,"")</f>
        <v/>
      </c>
    </row>
    <row r="4992">
      <c r="D4992" s="11" t="n"/>
      <c r="K4992" s="7">
        <f>IF($C4992="","",J4992*W4992/100)</f>
        <v/>
      </c>
      <c r="Q4992" s="7" t="n"/>
      <c r="R4992" s="7" t="n"/>
      <c r="U4992">
        <f>IF($C4992="","",IF($AJ4992=1,0,IF($AI4992=1,Settings!$C$6,Settings!$C$7))*100)</f>
        <v/>
      </c>
      <c r="V4992" s="7">
        <f>IF($C4992="","",R4992*U4992/100)</f>
        <v/>
      </c>
      <c r="W4992" s="7">
        <f>IF($C4992="","",R4992-V4992)</f>
        <v/>
      </c>
      <c r="X4992" s="7">
        <f>IF($C4992="","",W4992-K4992)</f>
        <v/>
      </c>
      <c r="AB4992" s="7" t="n"/>
      <c r="AE4992" s="11" t="n"/>
      <c r="AG4992">
        <f>IF($C4992="","",IF(COUNTIF($C$2:$C4992,$C4992)=1,1,0))</f>
        <v/>
      </c>
      <c r="AH4992">
        <f>IF($AG4992=1,SUMPRODUCT(--($AK$2:$AK$6001&lt;$AK4992))+1,"")</f>
        <v/>
      </c>
      <c r="AI4992">
        <f>IF($C4992="","",IF(OR($N4992=TRUE(),$N4992="TRUE"),1,0))</f>
        <v/>
      </c>
      <c r="AJ4992">
        <f>IF($C4992="","",IF($T4992="Yes",1,0))</f>
        <v/>
      </c>
      <c r="AK4992">
        <f>IF($AG4992=1,IFERROR(IF(VALUE($C4992)&lt;100000000,VALUE($C4992),1000000000),IFERROR(IF(VALUE(MID($C4992,2,20))&lt;100000000,VALUE(MID($C4992,2,20)),1000000000),1000000000))+ROW()/100000,"")</f>
        <v/>
      </c>
    </row>
    <row r="4993">
      <c r="D4993" s="11" t="n"/>
      <c r="K4993" s="7">
        <f>IF($C4993="","",J4993*W4993/100)</f>
        <v/>
      </c>
      <c r="Q4993" s="7" t="n"/>
      <c r="R4993" s="7" t="n"/>
      <c r="U4993">
        <f>IF($C4993="","",IF($AJ4993=1,0,IF($AI4993=1,Settings!$C$6,Settings!$C$7))*100)</f>
        <v/>
      </c>
      <c r="V4993" s="7">
        <f>IF($C4993="","",R4993*U4993/100)</f>
        <v/>
      </c>
      <c r="W4993" s="7">
        <f>IF($C4993="","",R4993-V4993)</f>
        <v/>
      </c>
      <c r="X4993" s="7">
        <f>IF($C4993="","",W4993-K4993)</f>
        <v/>
      </c>
      <c r="AB4993" s="7" t="n"/>
      <c r="AE4993" s="11" t="n"/>
      <c r="AG4993">
        <f>IF($C4993="","",IF(COUNTIF($C$2:$C4993,$C4993)=1,1,0))</f>
        <v/>
      </c>
      <c r="AH4993">
        <f>IF($AG4993=1,SUMPRODUCT(--($AK$2:$AK$6001&lt;$AK4993))+1,"")</f>
        <v/>
      </c>
      <c r="AI4993">
        <f>IF($C4993="","",IF(OR($N4993=TRUE(),$N4993="TRUE"),1,0))</f>
        <v/>
      </c>
      <c r="AJ4993">
        <f>IF($C4993="","",IF($T4993="Yes",1,0))</f>
        <v/>
      </c>
      <c r="AK4993">
        <f>IF($AG4993=1,IFERROR(IF(VALUE($C4993)&lt;100000000,VALUE($C4993),1000000000),IFERROR(IF(VALUE(MID($C4993,2,20))&lt;100000000,VALUE(MID($C4993,2,20)),1000000000),1000000000))+ROW()/100000,"")</f>
        <v/>
      </c>
    </row>
    <row r="4994">
      <c r="D4994" s="11" t="n"/>
      <c r="K4994" s="7">
        <f>IF($C4994="","",J4994*W4994/100)</f>
        <v/>
      </c>
      <c r="Q4994" s="7" t="n"/>
      <c r="R4994" s="7" t="n"/>
      <c r="U4994">
        <f>IF($C4994="","",IF($AJ4994=1,0,IF($AI4994=1,Settings!$C$6,Settings!$C$7))*100)</f>
        <v/>
      </c>
      <c r="V4994" s="7">
        <f>IF($C4994="","",R4994*U4994/100)</f>
        <v/>
      </c>
      <c r="W4994" s="7">
        <f>IF($C4994="","",R4994-V4994)</f>
        <v/>
      </c>
      <c r="X4994" s="7">
        <f>IF($C4994="","",W4994-K4994)</f>
        <v/>
      </c>
      <c r="AB4994" s="7" t="n"/>
      <c r="AE4994" s="11" t="n"/>
      <c r="AG4994">
        <f>IF($C4994="","",IF(COUNTIF($C$2:$C4994,$C4994)=1,1,0))</f>
        <v/>
      </c>
      <c r="AH4994">
        <f>IF($AG4994=1,SUMPRODUCT(--($AK$2:$AK$6001&lt;$AK4994))+1,"")</f>
        <v/>
      </c>
      <c r="AI4994">
        <f>IF($C4994="","",IF(OR($N4994=TRUE(),$N4994="TRUE"),1,0))</f>
        <v/>
      </c>
      <c r="AJ4994">
        <f>IF($C4994="","",IF($T4994="Yes",1,0))</f>
        <v/>
      </c>
      <c r="AK4994">
        <f>IF($AG4994=1,IFERROR(IF(VALUE($C4994)&lt;100000000,VALUE($C4994),1000000000),IFERROR(IF(VALUE(MID($C4994,2,20))&lt;100000000,VALUE(MID($C4994,2,20)),1000000000),1000000000))+ROW()/100000,"")</f>
        <v/>
      </c>
    </row>
    <row r="4995">
      <c r="D4995" s="11" t="n"/>
      <c r="K4995" s="7">
        <f>IF($C4995="","",J4995*W4995/100)</f>
        <v/>
      </c>
      <c r="Q4995" s="7" t="n"/>
      <c r="R4995" s="7" t="n"/>
      <c r="U4995">
        <f>IF($C4995="","",IF($AJ4995=1,0,IF($AI4995=1,Settings!$C$6,Settings!$C$7))*100)</f>
        <v/>
      </c>
      <c r="V4995" s="7">
        <f>IF($C4995="","",R4995*U4995/100)</f>
        <v/>
      </c>
      <c r="W4995" s="7">
        <f>IF($C4995="","",R4995-V4995)</f>
        <v/>
      </c>
      <c r="X4995" s="7">
        <f>IF($C4995="","",W4995-K4995)</f>
        <v/>
      </c>
      <c r="AB4995" s="7" t="n"/>
      <c r="AE4995" s="11" t="n"/>
      <c r="AG4995">
        <f>IF($C4995="","",IF(COUNTIF($C$2:$C4995,$C4995)=1,1,0))</f>
        <v/>
      </c>
      <c r="AH4995">
        <f>IF($AG4995=1,SUMPRODUCT(--($AK$2:$AK$6001&lt;$AK4995))+1,"")</f>
        <v/>
      </c>
      <c r="AI4995">
        <f>IF($C4995="","",IF(OR($N4995=TRUE(),$N4995="TRUE"),1,0))</f>
        <v/>
      </c>
      <c r="AJ4995">
        <f>IF($C4995="","",IF($T4995="Yes",1,0))</f>
        <v/>
      </c>
      <c r="AK4995">
        <f>IF($AG4995=1,IFERROR(IF(VALUE($C4995)&lt;100000000,VALUE($C4995),1000000000),IFERROR(IF(VALUE(MID($C4995,2,20))&lt;100000000,VALUE(MID($C4995,2,20)),1000000000),1000000000))+ROW()/100000,"")</f>
        <v/>
      </c>
    </row>
    <row r="4996">
      <c r="D4996" s="11" t="n"/>
      <c r="K4996" s="7">
        <f>IF($C4996="","",J4996*W4996/100)</f>
        <v/>
      </c>
      <c r="Q4996" s="7" t="n"/>
      <c r="R4996" s="7" t="n"/>
      <c r="U4996">
        <f>IF($C4996="","",IF($AJ4996=1,0,IF($AI4996=1,Settings!$C$6,Settings!$C$7))*100)</f>
        <v/>
      </c>
      <c r="V4996" s="7">
        <f>IF($C4996="","",R4996*U4996/100)</f>
        <v/>
      </c>
      <c r="W4996" s="7">
        <f>IF($C4996="","",R4996-V4996)</f>
        <v/>
      </c>
      <c r="X4996" s="7">
        <f>IF($C4996="","",W4996-K4996)</f>
        <v/>
      </c>
      <c r="AB4996" s="7" t="n"/>
      <c r="AE4996" s="11" t="n"/>
      <c r="AG4996">
        <f>IF($C4996="","",IF(COUNTIF($C$2:$C4996,$C4996)=1,1,0))</f>
        <v/>
      </c>
      <c r="AH4996">
        <f>IF($AG4996=1,SUMPRODUCT(--($AK$2:$AK$6001&lt;$AK4996))+1,"")</f>
        <v/>
      </c>
      <c r="AI4996">
        <f>IF($C4996="","",IF(OR($N4996=TRUE(),$N4996="TRUE"),1,0))</f>
        <v/>
      </c>
      <c r="AJ4996">
        <f>IF($C4996="","",IF($T4996="Yes",1,0))</f>
        <v/>
      </c>
      <c r="AK4996">
        <f>IF($AG4996=1,IFERROR(IF(VALUE($C4996)&lt;100000000,VALUE($C4996),1000000000),IFERROR(IF(VALUE(MID($C4996,2,20))&lt;100000000,VALUE(MID($C4996,2,20)),1000000000),1000000000))+ROW()/100000,"")</f>
        <v/>
      </c>
    </row>
    <row r="4997">
      <c r="D4997" s="11" t="n"/>
      <c r="K4997" s="7">
        <f>IF($C4997="","",J4997*W4997/100)</f>
        <v/>
      </c>
      <c r="Q4997" s="7" t="n"/>
      <c r="R4997" s="7" t="n"/>
      <c r="U4997">
        <f>IF($C4997="","",IF($AJ4997=1,0,IF($AI4997=1,Settings!$C$6,Settings!$C$7))*100)</f>
        <v/>
      </c>
      <c r="V4997" s="7">
        <f>IF($C4997="","",R4997*U4997/100)</f>
        <v/>
      </c>
      <c r="W4997" s="7">
        <f>IF($C4997="","",R4997-V4997)</f>
        <v/>
      </c>
      <c r="X4997" s="7">
        <f>IF($C4997="","",W4997-K4997)</f>
        <v/>
      </c>
      <c r="AB4997" s="7" t="n"/>
      <c r="AE4997" s="11" t="n"/>
      <c r="AG4997">
        <f>IF($C4997="","",IF(COUNTIF($C$2:$C4997,$C4997)=1,1,0))</f>
        <v/>
      </c>
      <c r="AH4997">
        <f>IF($AG4997=1,SUMPRODUCT(--($AK$2:$AK$6001&lt;$AK4997))+1,"")</f>
        <v/>
      </c>
      <c r="AI4997">
        <f>IF($C4997="","",IF(OR($N4997=TRUE(),$N4997="TRUE"),1,0))</f>
        <v/>
      </c>
      <c r="AJ4997">
        <f>IF($C4997="","",IF($T4997="Yes",1,0))</f>
        <v/>
      </c>
      <c r="AK4997">
        <f>IF($AG4997=1,IFERROR(IF(VALUE($C4997)&lt;100000000,VALUE($C4997),1000000000),IFERROR(IF(VALUE(MID($C4997,2,20))&lt;100000000,VALUE(MID($C4997,2,20)),1000000000),1000000000))+ROW()/100000,"")</f>
        <v/>
      </c>
    </row>
    <row r="4998">
      <c r="D4998" s="11" t="n"/>
      <c r="K4998" s="7">
        <f>IF($C4998="","",J4998*W4998/100)</f>
        <v/>
      </c>
      <c r="Q4998" s="7" t="n"/>
      <c r="R4998" s="7" t="n"/>
      <c r="U4998">
        <f>IF($C4998="","",IF($AJ4998=1,0,IF($AI4998=1,Settings!$C$6,Settings!$C$7))*100)</f>
        <v/>
      </c>
      <c r="V4998" s="7">
        <f>IF($C4998="","",R4998*U4998/100)</f>
        <v/>
      </c>
      <c r="W4998" s="7">
        <f>IF($C4998="","",R4998-V4998)</f>
        <v/>
      </c>
      <c r="X4998" s="7">
        <f>IF($C4998="","",W4998-K4998)</f>
        <v/>
      </c>
      <c r="AB4998" s="7" t="n"/>
      <c r="AE4998" s="11" t="n"/>
      <c r="AG4998">
        <f>IF($C4998="","",IF(COUNTIF($C$2:$C4998,$C4998)=1,1,0))</f>
        <v/>
      </c>
      <c r="AH4998">
        <f>IF($AG4998=1,SUMPRODUCT(--($AK$2:$AK$6001&lt;$AK4998))+1,"")</f>
        <v/>
      </c>
      <c r="AI4998">
        <f>IF($C4998="","",IF(OR($N4998=TRUE(),$N4998="TRUE"),1,0))</f>
        <v/>
      </c>
      <c r="AJ4998">
        <f>IF($C4998="","",IF($T4998="Yes",1,0))</f>
        <v/>
      </c>
      <c r="AK4998">
        <f>IF($AG4998=1,IFERROR(IF(VALUE($C4998)&lt;100000000,VALUE($C4998),1000000000),IFERROR(IF(VALUE(MID($C4998,2,20))&lt;100000000,VALUE(MID($C4998,2,20)),1000000000),1000000000))+ROW()/100000,"")</f>
        <v/>
      </c>
    </row>
    <row r="4999">
      <c r="D4999" s="11" t="n"/>
      <c r="K4999" s="7">
        <f>IF($C4999="","",J4999*W4999/100)</f>
        <v/>
      </c>
      <c r="Q4999" s="7" t="n"/>
      <c r="R4999" s="7" t="n"/>
      <c r="U4999">
        <f>IF($C4999="","",IF($AJ4999=1,0,IF($AI4999=1,Settings!$C$6,Settings!$C$7))*100)</f>
        <v/>
      </c>
      <c r="V4999" s="7">
        <f>IF($C4999="","",R4999*U4999/100)</f>
        <v/>
      </c>
      <c r="W4999" s="7">
        <f>IF($C4999="","",R4999-V4999)</f>
        <v/>
      </c>
      <c r="X4999" s="7">
        <f>IF($C4999="","",W4999-K4999)</f>
        <v/>
      </c>
      <c r="AB4999" s="7" t="n"/>
      <c r="AE4999" s="11" t="n"/>
      <c r="AG4999">
        <f>IF($C4999="","",IF(COUNTIF($C$2:$C4999,$C4999)=1,1,0))</f>
        <v/>
      </c>
      <c r="AH4999">
        <f>IF($AG4999=1,SUMPRODUCT(--($AK$2:$AK$6001&lt;$AK4999))+1,"")</f>
        <v/>
      </c>
      <c r="AI4999">
        <f>IF($C4999="","",IF(OR($N4999=TRUE(),$N4999="TRUE"),1,0))</f>
        <v/>
      </c>
      <c r="AJ4999">
        <f>IF($C4999="","",IF($T4999="Yes",1,0))</f>
        <v/>
      </c>
      <c r="AK4999">
        <f>IF($AG4999=1,IFERROR(IF(VALUE($C4999)&lt;100000000,VALUE($C4999),1000000000),IFERROR(IF(VALUE(MID($C4999,2,20))&lt;100000000,VALUE(MID($C4999,2,20)),1000000000),1000000000))+ROW()/100000,"")</f>
        <v/>
      </c>
    </row>
    <row r="5000">
      <c r="D5000" s="11" t="n"/>
      <c r="K5000" s="7">
        <f>IF($C5000="","",J5000*W5000/100)</f>
        <v/>
      </c>
      <c r="Q5000" s="7" t="n"/>
      <c r="R5000" s="7" t="n"/>
      <c r="U5000">
        <f>IF($C5000="","",IF($AJ5000=1,0,IF($AI5000=1,Settings!$C$6,Settings!$C$7))*100)</f>
        <v/>
      </c>
      <c r="V5000" s="7">
        <f>IF($C5000="","",R5000*U5000/100)</f>
        <v/>
      </c>
      <c r="W5000" s="7">
        <f>IF($C5000="","",R5000-V5000)</f>
        <v/>
      </c>
      <c r="X5000" s="7">
        <f>IF($C5000="","",W5000-K5000)</f>
        <v/>
      </c>
      <c r="AB5000" s="7" t="n"/>
      <c r="AE5000" s="11" t="n"/>
      <c r="AG5000">
        <f>IF($C5000="","",IF(COUNTIF($C$2:$C5000,$C5000)=1,1,0))</f>
        <v/>
      </c>
      <c r="AH5000">
        <f>IF($AG5000=1,SUMPRODUCT(--($AK$2:$AK$6001&lt;$AK5000))+1,"")</f>
        <v/>
      </c>
      <c r="AI5000">
        <f>IF($C5000="","",IF(OR($N5000=TRUE(),$N5000="TRUE"),1,0))</f>
        <v/>
      </c>
      <c r="AJ5000">
        <f>IF($C5000="","",IF($T5000="Yes",1,0))</f>
        <v/>
      </c>
      <c r="AK5000">
        <f>IF($AG5000=1,IFERROR(IF(VALUE($C5000)&lt;100000000,VALUE($C5000),1000000000),IFERROR(IF(VALUE(MID($C5000,2,20))&lt;100000000,VALUE(MID($C5000,2,20)),1000000000),1000000000))+ROW()/100000,"")</f>
        <v/>
      </c>
    </row>
    <row r="5001">
      <c r="D5001" s="11" t="n"/>
      <c r="K5001" s="7">
        <f>IF($C5001="","",J5001*W5001/100)</f>
        <v/>
      </c>
      <c r="Q5001" s="7" t="n"/>
      <c r="R5001" s="7" t="n"/>
      <c r="U5001">
        <f>IF($C5001="","",IF($AJ5001=1,0,IF($AI5001=1,Settings!$C$6,Settings!$C$7))*100)</f>
        <v/>
      </c>
      <c r="V5001" s="7">
        <f>IF($C5001="","",R5001*U5001/100)</f>
        <v/>
      </c>
      <c r="W5001" s="7">
        <f>IF($C5001="","",R5001-V5001)</f>
        <v/>
      </c>
      <c r="X5001" s="7">
        <f>IF($C5001="","",W5001-K5001)</f>
        <v/>
      </c>
      <c r="AB5001" s="7" t="n"/>
      <c r="AE5001" s="11" t="n"/>
      <c r="AG5001">
        <f>IF($C5001="","",IF(COUNTIF($C$2:$C5001,$C5001)=1,1,0))</f>
        <v/>
      </c>
      <c r="AH5001">
        <f>IF($AG5001=1,SUMPRODUCT(--($AK$2:$AK$6001&lt;$AK5001))+1,"")</f>
        <v/>
      </c>
      <c r="AI5001">
        <f>IF($C5001="","",IF(OR($N5001=TRUE(),$N5001="TRUE"),1,0))</f>
        <v/>
      </c>
      <c r="AJ5001">
        <f>IF($C5001="","",IF($T5001="Yes",1,0))</f>
        <v/>
      </c>
      <c r="AK5001">
        <f>IF($AG5001=1,IFERROR(IF(VALUE($C5001)&lt;100000000,VALUE($C5001),1000000000),IFERROR(IF(VALUE(MID($C5001,2,20))&lt;100000000,VALUE(MID($C5001,2,20)),1000000000),1000000000))+ROW()/100000,"")</f>
        <v/>
      </c>
    </row>
    <row r="5002">
      <c r="D5002" s="11" t="n"/>
      <c r="K5002" s="7">
        <f>IF($C5002="","",J5002*W5002/100)</f>
        <v/>
      </c>
      <c r="Q5002" s="7" t="n"/>
      <c r="R5002" s="7" t="n"/>
      <c r="U5002">
        <f>IF($C5002="","",IF($AJ5002=1,0,IF($AI5002=1,Settings!$C$6,Settings!$C$7))*100)</f>
        <v/>
      </c>
      <c r="V5002" s="7">
        <f>IF($C5002="","",R5002*U5002/100)</f>
        <v/>
      </c>
      <c r="W5002" s="7">
        <f>IF($C5002="","",R5002-V5002)</f>
        <v/>
      </c>
      <c r="X5002" s="7">
        <f>IF($C5002="","",W5002-K5002)</f>
        <v/>
      </c>
      <c r="AB5002" s="7" t="n"/>
      <c r="AE5002" s="11" t="n"/>
      <c r="AG5002">
        <f>IF($C5002="","",IF(COUNTIF($C$2:$C5002,$C5002)=1,1,0))</f>
        <v/>
      </c>
      <c r="AH5002">
        <f>IF($AG5002=1,SUMPRODUCT(--($AK$2:$AK$6001&lt;$AK5002))+1,"")</f>
        <v/>
      </c>
      <c r="AI5002">
        <f>IF($C5002="","",IF(OR($N5002=TRUE(),$N5002="TRUE"),1,0))</f>
        <v/>
      </c>
      <c r="AJ5002">
        <f>IF($C5002="","",IF($T5002="Yes",1,0))</f>
        <v/>
      </c>
      <c r="AK5002">
        <f>IF($AG5002=1,IFERROR(IF(VALUE($C5002)&lt;100000000,VALUE($C5002),1000000000),IFERROR(IF(VALUE(MID($C5002,2,20))&lt;100000000,VALUE(MID($C5002,2,20)),1000000000),1000000000))+ROW()/100000,"")</f>
        <v/>
      </c>
    </row>
    <row r="5003">
      <c r="D5003" s="11" t="n"/>
      <c r="K5003" s="7">
        <f>IF($C5003="","",J5003*W5003/100)</f>
        <v/>
      </c>
      <c r="Q5003" s="7" t="n"/>
      <c r="R5003" s="7" t="n"/>
      <c r="U5003">
        <f>IF($C5003="","",IF($AJ5003=1,0,IF($AI5003=1,Settings!$C$6,Settings!$C$7))*100)</f>
        <v/>
      </c>
      <c r="V5003" s="7">
        <f>IF($C5003="","",R5003*U5003/100)</f>
        <v/>
      </c>
      <c r="W5003" s="7">
        <f>IF($C5003="","",R5003-V5003)</f>
        <v/>
      </c>
      <c r="X5003" s="7">
        <f>IF($C5003="","",W5003-K5003)</f>
        <v/>
      </c>
      <c r="AB5003" s="7" t="n"/>
      <c r="AE5003" s="11" t="n"/>
      <c r="AG5003">
        <f>IF($C5003="","",IF(COUNTIF($C$2:$C5003,$C5003)=1,1,0))</f>
        <v/>
      </c>
      <c r="AH5003">
        <f>IF($AG5003=1,SUMPRODUCT(--($AK$2:$AK$6001&lt;$AK5003))+1,"")</f>
        <v/>
      </c>
      <c r="AI5003">
        <f>IF($C5003="","",IF(OR($N5003=TRUE(),$N5003="TRUE"),1,0))</f>
        <v/>
      </c>
      <c r="AJ5003">
        <f>IF($C5003="","",IF($T5003="Yes",1,0))</f>
        <v/>
      </c>
      <c r="AK5003">
        <f>IF($AG5003=1,IFERROR(IF(VALUE($C5003)&lt;100000000,VALUE($C5003),1000000000),IFERROR(IF(VALUE(MID($C5003,2,20))&lt;100000000,VALUE(MID($C5003,2,20)),1000000000),1000000000))+ROW()/100000,"")</f>
        <v/>
      </c>
    </row>
    <row r="5004">
      <c r="D5004" s="11" t="n"/>
      <c r="K5004" s="7">
        <f>IF($C5004="","",J5004*W5004/100)</f>
        <v/>
      </c>
      <c r="Q5004" s="7" t="n"/>
      <c r="R5004" s="7" t="n"/>
      <c r="U5004">
        <f>IF($C5004="","",IF($AJ5004=1,0,IF($AI5004=1,Settings!$C$6,Settings!$C$7))*100)</f>
        <v/>
      </c>
      <c r="V5004" s="7">
        <f>IF($C5004="","",R5004*U5004/100)</f>
        <v/>
      </c>
      <c r="W5004" s="7">
        <f>IF($C5004="","",R5004-V5004)</f>
        <v/>
      </c>
      <c r="X5004" s="7">
        <f>IF($C5004="","",W5004-K5004)</f>
        <v/>
      </c>
      <c r="AB5004" s="7" t="n"/>
      <c r="AE5004" s="11" t="n"/>
      <c r="AG5004">
        <f>IF($C5004="","",IF(COUNTIF($C$2:$C5004,$C5004)=1,1,0))</f>
        <v/>
      </c>
      <c r="AH5004">
        <f>IF($AG5004=1,SUMPRODUCT(--($AK$2:$AK$6001&lt;$AK5004))+1,"")</f>
        <v/>
      </c>
      <c r="AI5004">
        <f>IF($C5004="","",IF(OR($N5004=TRUE(),$N5004="TRUE"),1,0))</f>
        <v/>
      </c>
      <c r="AJ5004">
        <f>IF($C5004="","",IF($T5004="Yes",1,0))</f>
        <v/>
      </c>
      <c r="AK5004">
        <f>IF($AG5004=1,IFERROR(IF(VALUE($C5004)&lt;100000000,VALUE($C5004),1000000000),IFERROR(IF(VALUE(MID($C5004,2,20))&lt;100000000,VALUE(MID($C5004,2,20)),1000000000),1000000000))+ROW()/100000,"")</f>
        <v/>
      </c>
    </row>
    <row r="5005">
      <c r="D5005" s="11" t="n"/>
      <c r="K5005" s="7">
        <f>IF($C5005="","",J5005*W5005/100)</f>
        <v/>
      </c>
      <c r="Q5005" s="7" t="n"/>
      <c r="R5005" s="7" t="n"/>
      <c r="U5005">
        <f>IF($C5005="","",IF($AJ5005=1,0,IF($AI5005=1,Settings!$C$6,Settings!$C$7))*100)</f>
        <v/>
      </c>
      <c r="V5005" s="7">
        <f>IF($C5005="","",R5005*U5005/100)</f>
        <v/>
      </c>
      <c r="W5005" s="7">
        <f>IF($C5005="","",R5005-V5005)</f>
        <v/>
      </c>
      <c r="X5005" s="7">
        <f>IF($C5005="","",W5005-K5005)</f>
        <v/>
      </c>
      <c r="AB5005" s="7" t="n"/>
      <c r="AE5005" s="11" t="n"/>
      <c r="AG5005">
        <f>IF($C5005="","",IF(COUNTIF($C$2:$C5005,$C5005)=1,1,0))</f>
        <v/>
      </c>
      <c r="AH5005">
        <f>IF($AG5005=1,SUMPRODUCT(--($AK$2:$AK$6001&lt;$AK5005))+1,"")</f>
        <v/>
      </c>
      <c r="AI5005">
        <f>IF($C5005="","",IF(OR($N5005=TRUE(),$N5005="TRUE"),1,0))</f>
        <v/>
      </c>
      <c r="AJ5005">
        <f>IF($C5005="","",IF($T5005="Yes",1,0))</f>
        <v/>
      </c>
      <c r="AK5005">
        <f>IF($AG5005=1,IFERROR(IF(VALUE($C5005)&lt;100000000,VALUE($C5005),1000000000),IFERROR(IF(VALUE(MID($C5005,2,20))&lt;100000000,VALUE(MID($C5005,2,20)),1000000000),1000000000))+ROW()/100000,"")</f>
        <v/>
      </c>
    </row>
    <row r="5006">
      <c r="D5006" s="11" t="n"/>
      <c r="K5006" s="7">
        <f>IF($C5006="","",J5006*W5006/100)</f>
        <v/>
      </c>
      <c r="Q5006" s="7" t="n"/>
      <c r="R5006" s="7" t="n"/>
      <c r="U5006">
        <f>IF($C5006="","",IF($AJ5006=1,0,IF($AI5006=1,Settings!$C$6,Settings!$C$7))*100)</f>
        <v/>
      </c>
      <c r="V5006" s="7">
        <f>IF($C5006="","",R5006*U5006/100)</f>
        <v/>
      </c>
      <c r="W5006" s="7">
        <f>IF($C5006="","",R5006-V5006)</f>
        <v/>
      </c>
      <c r="X5006" s="7">
        <f>IF($C5006="","",W5006-K5006)</f>
        <v/>
      </c>
      <c r="AB5006" s="7" t="n"/>
      <c r="AE5006" s="11" t="n"/>
      <c r="AG5006">
        <f>IF($C5006="","",IF(COUNTIF($C$2:$C5006,$C5006)=1,1,0))</f>
        <v/>
      </c>
      <c r="AH5006">
        <f>IF($AG5006=1,SUMPRODUCT(--($AK$2:$AK$6001&lt;$AK5006))+1,"")</f>
        <v/>
      </c>
      <c r="AI5006">
        <f>IF($C5006="","",IF(OR($N5006=TRUE(),$N5006="TRUE"),1,0))</f>
        <v/>
      </c>
      <c r="AJ5006">
        <f>IF($C5006="","",IF($T5006="Yes",1,0))</f>
        <v/>
      </c>
      <c r="AK5006">
        <f>IF($AG5006=1,IFERROR(IF(VALUE($C5006)&lt;100000000,VALUE($C5006),1000000000),IFERROR(IF(VALUE(MID($C5006,2,20))&lt;100000000,VALUE(MID($C5006,2,20)),1000000000),1000000000))+ROW()/100000,"")</f>
        <v/>
      </c>
    </row>
    <row r="5007">
      <c r="D5007" s="11" t="n"/>
      <c r="K5007" s="7">
        <f>IF($C5007="","",J5007*W5007/100)</f>
        <v/>
      </c>
      <c r="Q5007" s="7" t="n"/>
      <c r="R5007" s="7" t="n"/>
      <c r="U5007">
        <f>IF($C5007="","",IF($AJ5007=1,0,IF($AI5007=1,Settings!$C$6,Settings!$C$7))*100)</f>
        <v/>
      </c>
      <c r="V5007" s="7">
        <f>IF($C5007="","",R5007*U5007/100)</f>
        <v/>
      </c>
      <c r="W5007" s="7">
        <f>IF($C5007="","",R5007-V5007)</f>
        <v/>
      </c>
      <c r="X5007" s="7">
        <f>IF($C5007="","",W5007-K5007)</f>
        <v/>
      </c>
      <c r="AB5007" s="7" t="n"/>
      <c r="AE5007" s="11" t="n"/>
      <c r="AG5007">
        <f>IF($C5007="","",IF(COUNTIF($C$2:$C5007,$C5007)=1,1,0))</f>
        <v/>
      </c>
      <c r="AH5007">
        <f>IF($AG5007=1,SUMPRODUCT(--($AK$2:$AK$6001&lt;$AK5007))+1,"")</f>
        <v/>
      </c>
      <c r="AI5007">
        <f>IF($C5007="","",IF(OR($N5007=TRUE(),$N5007="TRUE"),1,0))</f>
        <v/>
      </c>
      <c r="AJ5007">
        <f>IF($C5007="","",IF($T5007="Yes",1,0))</f>
        <v/>
      </c>
      <c r="AK5007">
        <f>IF($AG5007=1,IFERROR(IF(VALUE($C5007)&lt;100000000,VALUE($C5007),1000000000),IFERROR(IF(VALUE(MID($C5007,2,20))&lt;100000000,VALUE(MID($C5007,2,20)),1000000000),1000000000))+ROW()/100000,"")</f>
        <v/>
      </c>
    </row>
    <row r="5008">
      <c r="D5008" s="11" t="n"/>
      <c r="K5008" s="7">
        <f>IF($C5008="","",J5008*W5008/100)</f>
        <v/>
      </c>
      <c r="Q5008" s="7" t="n"/>
      <c r="R5008" s="7" t="n"/>
      <c r="U5008">
        <f>IF($C5008="","",IF($AJ5008=1,0,IF($AI5008=1,Settings!$C$6,Settings!$C$7))*100)</f>
        <v/>
      </c>
      <c r="V5008" s="7">
        <f>IF($C5008="","",R5008*U5008/100)</f>
        <v/>
      </c>
      <c r="W5008" s="7">
        <f>IF($C5008="","",R5008-V5008)</f>
        <v/>
      </c>
      <c r="X5008" s="7">
        <f>IF($C5008="","",W5008-K5008)</f>
        <v/>
      </c>
      <c r="AB5008" s="7" t="n"/>
      <c r="AE5008" s="11" t="n"/>
      <c r="AG5008">
        <f>IF($C5008="","",IF(COUNTIF($C$2:$C5008,$C5008)=1,1,0))</f>
        <v/>
      </c>
      <c r="AH5008">
        <f>IF($AG5008=1,SUMPRODUCT(--($AK$2:$AK$6001&lt;$AK5008))+1,"")</f>
        <v/>
      </c>
      <c r="AI5008">
        <f>IF($C5008="","",IF(OR($N5008=TRUE(),$N5008="TRUE"),1,0))</f>
        <v/>
      </c>
      <c r="AJ5008">
        <f>IF($C5008="","",IF($T5008="Yes",1,0))</f>
        <v/>
      </c>
      <c r="AK5008">
        <f>IF($AG5008=1,IFERROR(IF(VALUE($C5008)&lt;100000000,VALUE($C5008),1000000000),IFERROR(IF(VALUE(MID($C5008,2,20))&lt;100000000,VALUE(MID($C5008,2,20)),1000000000),1000000000))+ROW()/100000,"")</f>
        <v/>
      </c>
    </row>
    <row r="5009">
      <c r="D5009" s="11" t="n"/>
      <c r="K5009" s="7">
        <f>IF($C5009="","",J5009*W5009/100)</f>
        <v/>
      </c>
      <c r="Q5009" s="7" t="n"/>
      <c r="R5009" s="7" t="n"/>
      <c r="U5009">
        <f>IF($C5009="","",IF($AJ5009=1,0,IF($AI5009=1,Settings!$C$6,Settings!$C$7))*100)</f>
        <v/>
      </c>
      <c r="V5009" s="7">
        <f>IF($C5009="","",R5009*U5009/100)</f>
        <v/>
      </c>
      <c r="W5009" s="7">
        <f>IF($C5009="","",R5009-V5009)</f>
        <v/>
      </c>
      <c r="X5009" s="7">
        <f>IF($C5009="","",W5009-K5009)</f>
        <v/>
      </c>
      <c r="AB5009" s="7" t="n"/>
      <c r="AE5009" s="11" t="n"/>
      <c r="AG5009">
        <f>IF($C5009="","",IF(COUNTIF($C$2:$C5009,$C5009)=1,1,0))</f>
        <v/>
      </c>
      <c r="AH5009">
        <f>IF($AG5009=1,SUMPRODUCT(--($AK$2:$AK$6001&lt;$AK5009))+1,"")</f>
        <v/>
      </c>
      <c r="AI5009">
        <f>IF($C5009="","",IF(OR($N5009=TRUE(),$N5009="TRUE"),1,0))</f>
        <v/>
      </c>
      <c r="AJ5009">
        <f>IF($C5009="","",IF($T5009="Yes",1,0))</f>
        <v/>
      </c>
      <c r="AK5009">
        <f>IF($AG5009=1,IFERROR(IF(VALUE($C5009)&lt;100000000,VALUE($C5009),1000000000),IFERROR(IF(VALUE(MID($C5009,2,20))&lt;100000000,VALUE(MID($C5009,2,20)),1000000000),1000000000))+ROW()/100000,"")</f>
        <v/>
      </c>
    </row>
    <row r="5010">
      <c r="D5010" s="11" t="n"/>
      <c r="K5010" s="7">
        <f>IF($C5010="","",J5010*W5010/100)</f>
        <v/>
      </c>
      <c r="Q5010" s="7" t="n"/>
      <c r="R5010" s="7" t="n"/>
      <c r="U5010">
        <f>IF($C5010="","",IF($AJ5010=1,0,IF($AI5010=1,Settings!$C$6,Settings!$C$7))*100)</f>
        <v/>
      </c>
      <c r="V5010" s="7">
        <f>IF($C5010="","",R5010*U5010/100)</f>
        <v/>
      </c>
      <c r="W5010" s="7">
        <f>IF($C5010="","",R5010-V5010)</f>
        <v/>
      </c>
      <c r="X5010" s="7">
        <f>IF($C5010="","",W5010-K5010)</f>
        <v/>
      </c>
      <c r="AB5010" s="7" t="n"/>
      <c r="AE5010" s="11" t="n"/>
      <c r="AG5010">
        <f>IF($C5010="","",IF(COUNTIF($C$2:$C5010,$C5010)=1,1,0))</f>
        <v/>
      </c>
      <c r="AH5010">
        <f>IF($AG5010=1,SUMPRODUCT(--($AK$2:$AK$6001&lt;$AK5010))+1,"")</f>
        <v/>
      </c>
      <c r="AI5010">
        <f>IF($C5010="","",IF(OR($N5010=TRUE(),$N5010="TRUE"),1,0))</f>
        <v/>
      </c>
      <c r="AJ5010">
        <f>IF($C5010="","",IF($T5010="Yes",1,0))</f>
        <v/>
      </c>
      <c r="AK5010">
        <f>IF($AG5010=1,IFERROR(IF(VALUE($C5010)&lt;100000000,VALUE($C5010),1000000000),IFERROR(IF(VALUE(MID($C5010,2,20))&lt;100000000,VALUE(MID($C5010,2,20)),1000000000),1000000000))+ROW()/100000,"")</f>
        <v/>
      </c>
    </row>
    <row r="5011">
      <c r="D5011" s="11" t="n"/>
      <c r="K5011" s="7">
        <f>IF($C5011="","",J5011*W5011/100)</f>
        <v/>
      </c>
      <c r="Q5011" s="7" t="n"/>
      <c r="R5011" s="7" t="n"/>
      <c r="U5011">
        <f>IF($C5011="","",IF($AJ5011=1,0,IF($AI5011=1,Settings!$C$6,Settings!$C$7))*100)</f>
        <v/>
      </c>
      <c r="V5011" s="7">
        <f>IF($C5011="","",R5011*U5011/100)</f>
        <v/>
      </c>
      <c r="W5011" s="7">
        <f>IF($C5011="","",R5011-V5011)</f>
        <v/>
      </c>
      <c r="X5011" s="7">
        <f>IF($C5011="","",W5011-K5011)</f>
        <v/>
      </c>
      <c r="AB5011" s="7" t="n"/>
      <c r="AE5011" s="11" t="n"/>
      <c r="AG5011">
        <f>IF($C5011="","",IF(COUNTIF($C$2:$C5011,$C5011)=1,1,0))</f>
        <v/>
      </c>
      <c r="AH5011">
        <f>IF($AG5011=1,SUMPRODUCT(--($AK$2:$AK$6001&lt;$AK5011))+1,"")</f>
        <v/>
      </c>
      <c r="AI5011">
        <f>IF($C5011="","",IF(OR($N5011=TRUE(),$N5011="TRUE"),1,0))</f>
        <v/>
      </c>
      <c r="AJ5011">
        <f>IF($C5011="","",IF($T5011="Yes",1,0))</f>
        <v/>
      </c>
      <c r="AK5011">
        <f>IF($AG5011=1,IFERROR(IF(VALUE($C5011)&lt;100000000,VALUE($C5011),1000000000),IFERROR(IF(VALUE(MID($C5011,2,20))&lt;100000000,VALUE(MID($C5011,2,20)),1000000000),1000000000))+ROW()/100000,"")</f>
        <v/>
      </c>
    </row>
    <row r="5012">
      <c r="D5012" s="11" t="n"/>
      <c r="K5012" s="7">
        <f>IF($C5012="","",J5012*W5012/100)</f>
        <v/>
      </c>
      <c r="Q5012" s="7" t="n"/>
      <c r="R5012" s="7" t="n"/>
      <c r="U5012">
        <f>IF($C5012="","",IF($AJ5012=1,0,IF($AI5012=1,Settings!$C$6,Settings!$C$7))*100)</f>
        <v/>
      </c>
      <c r="V5012" s="7">
        <f>IF($C5012="","",R5012*U5012/100)</f>
        <v/>
      </c>
      <c r="W5012" s="7">
        <f>IF($C5012="","",R5012-V5012)</f>
        <v/>
      </c>
      <c r="X5012" s="7">
        <f>IF($C5012="","",W5012-K5012)</f>
        <v/>
      </c>
      <c r="AB5012" s="7" t="n"/>
      <c r="AE5012" s="11" t="n"/>
      <c r="AG5012">
        <f>IF($C5012="","",IF(COUNTIF($C$2:$C5012,$C5012)=1,1,0))</f>
        <v/>
      </c>
      <c r="AH5012">
        <f>IF($AG5012=1,SUMPRODUCT(--($AK$2:$AK$6001&lt;$AK5012))+1,"")</f>
        <v/>
      </c>
      <c r="AI5012">
        <f>IF($C5012="","",IF(OR($N5012=TRUE(),$N5012="TRUE"),1,0))</f>
        <v/>
      </c>
      <c r="AJ5012">
        <f>IF($C5012="","",IF($T5012="Yes",1,0))</f>
        <v/>
      </c>
      <c r="AK5012">
        <f>IF($AG5012=1,IFERROR(IF(VALUE($C5012)&lt;100000000,VALUE($C5012),1000000000),IFERROR(IF(VALUE(MID($C5012,2,20))&lt;100000000,VALUE(MID($C5012,2,20)),1000000000),1000000000))+ROW()/100000,"")</f>
        <v/>
      </c>
    </row>
    <row r="5013">
      <c r="D5013" s="11" t="n"/>
      <c r="K5013" s="7">
        <f>IF($C5013="","",J5013*W5013/100)</f>
        <v/>
      </c>
      <c r="Q5013" s="7" t="n"/>
      <c r="R5013" s="7" t="n"/>
      <c r="U5013">
        <f>IF($C5013="","",IF($AJ5013=1,0,IF($AI5013=1,Settings!$C$6,Settings!$C$7))*100)</f>
        <v/>
      </c>
      <c r="V5013" s="7">
        <f>IF($C5013="","",R5013*U5013/100)</f>
        <v/>
      </c>
      <c r="W5013" s="7">
        <f>IF($C5013="","",R5013-V5013)</f>
        <v/>
      </c>
      <c r="X5013" s="7">
        <f>IF($C5013="","",W5013-K5013)</f>
        <v/>
      </c>
      <c r="AB5013" s="7" t="n"/>
      <c r="AE5013" s="11" t="n"/>
      <c r="AG5013">
        <f>IF($C5013="","",IF(COUNTIF($C$2:$C5013,$C5013)=1,1,0))</f>
        <v/>
      </c>
      <c r="AH5013">
        <f>IF($AG5013=1,SUMPRODUCT(--($AK$2:$AK$6001&lt;$AK5013))+1,"")</f>
        <v/>
      </c>
      <c r="AI5013">
        <f>IF($C5013="","",IF(OR($N5013=TRUE(),$N5013="TRUE"),1,0))</f>
        <v/>
      </c>
      <c r="AJ5013">
        <f>IF($C5013="","",IF($T5013="Yes",1,0))</f>
        <v/>
      </c>
      <c r="AK5013">
        <f>IF($AG5013=1,IFERROR(IF(VALUE($C5013)&lt;100000000,VALUE($C5013),1000000000),IFERROR(IF(VALUE(MID($C5013,2,20))&lt;100000000,VALUE(MID($C5013,2,20)),1000000000),1000000000))+ROW()/100000,"")</f>
        <v/>
      </c>
    </row>
    <row r="5014">
      <c r="D5014" s="11" t="n"/>
      <c r="K5014" s="7">
        <f>IF($C5014="","",J5014*W5014/100)</f>
        <v/>
      </c>
      <c r="Q5014" s="7" t="n"/>
      <c r="R5014" s="7" t="n"/>
      <c r="U5014">
        <f>IF($C5014="","",IF($AJ5014=1,0,IF($AI5014=1,Settings!$C$6,Settings!$C$7))*100)</f>
        <v/>
      </c>
      <c r="V5014" s="7">
        <f>IF($C5014="","",R5014*U5014/100)</f>
        <v/>
      </c>
      <c r="W5014" s="7">
        <f>IF($C5014="","",R5014-V5014)</f>
        <v/>
      </c>
      <c r="X5014" s="7">
        <f>IF($C5014="","",W5014-K5014)</f>
        <v/>
      </c>
      <c r="AB5014" s="7" t="n"/>
      <c r="AE5014" s="11" t="n"/>
      <c r="AG5014">
        <f>IF($C5014="","",IF(COUNTIF($C$2:$C5014,$C5014)=1,1,0))</f>
        <v/>
      </c>
      <c r="AH5014">
        <f>IF($AG5014=1,SUMPRODUCT(--($AK$2:$AK$6001&lt;$AK5014))+1,"")</f>
        <v/>
      </c>
      <c r="AI5014">
        <f>IF($C5014="","",IF(OR($N5014=TRUE(),$N5014="TRUE"),1,0))</f>
        <v/>
      </c>
      <c r="AJ5014">
        <f>IF($C5014="","",IF($T5014="Yes",1,0))</f>
        <v/>
      </c>
      <c r="AK5014">
        <f>IF($AG5014=1,IFERROR(IF(VALUE($C5014)&lt;100000000,VALUE($C5014),1000000000),IFERROR(IF(VALUE(MID($C5014,2,20))&lt;100000000,VALUE(MID($C5014,2,20)),1000000000),1000000000))+ROW()/100000,"")</f>
        <v/>
      </c>
    </row>
    <row r="5015">
      <c r="D5015" s="11" t="n"/>
      <c r="K5015" s="7">
        <f>IF($C5015="","",J5015*W5015/100)</f>
        <v/>
      </c>
      <c r="Q5015" s="7" t="n"/>
      <c r="R5015" s="7" t="n"/>
      <c r="U5015">
        <f>IF($C5015="","",IF($AJ5015=1,0,IF($AI5015=1,Settings!$C$6,Settings!$C$7))*100)</f>
        <v/>
      </c>
      <c r="V5015" s="7">
        <f>IF($C5015="","",R5015*U5015/100)</f>
        <v/>
      </c>
      <c r="W5015" s="7">
        <f>IF($C5015="","",R5015-V5015)</f>
        <v/>
      </c>
      <c r="X5015" s="7">
        <f>IF($C5015="","",W5015-K5015)</f>
        <v/>
      </c>
      <c r="AB5015" s="7" t="n"/>
      <c r="AE5015" s="11" t="n"/>
      <c r="AG5015">
        <f>IF($C5015="","",IF(COUNTIF($C$2:$C5015,$C5015)=1,1,0))</f>
        <v/>
      </c>
      <c r="AH5015">
        <f>IF($AG5015=1,SUMPRODUCT(--($AK$2:$AK$6001&lt;$AK5015))+1,"")</f>
        <v/>
      </c>
      <c r="AI5015">
        <f>IF($C5015="","",IF(OR($N5015=TRUE(),$N5015="TRUE"),1,0))</f>
        <v/>
      </c>
      <c r="AJ5015">
        <f>IF($C5015="","",IF($T5015="Yes",1,0))</f>
        <v/>
      </c>
      <c r="AK5015">
        <f>IF($AG5015=1,IFERROR(IF(VALUE($C5015)&lt;100000000,VALUE($C5015),1000000000),IFERROR(IF(VALUE(MID($C5015,2,20))&lt;100000000,VALUE(MID($C5015,2,20)),1000000000),1000000000))+ROW()/100000,"")</f>
        <v/>
      </c>
    </row>
    <row r="5016">
      <c r="D5016" s="11" t="n"/>
      <c r="K5016" s="7">
        <f>IF($C5016="","",J5016*W5016/100)</f>
        <v/>
      </c>
      <c r="Q5016" s="7" t="n"/>
      <c r="R5016" s="7" t="n"/>
      <c r="U5016">
        <f>IF($C5016="","",IF($AJ5016=1,0,IF($AI5016=1,Settings!$C$6,Settings!$C$7))*100)</f>
        <v/>
      </c>
      <c r="V5016" s="7">
        <f>IF($C5016="","",R5016*U5016/100)</f>
        <v/>
      </c>
      <c r="W5016" s="7">
        <f>IF($C5016="","",R5016-V5016)</f>
        <v/>
      </c>
      <c r="X5016" s="7">
        <f>IF($C5016="","",W5016-K5016)</f>
        <v/>
      </c>
      <c r="AB5016" s="7" t="n"/>
      <c r="AE5016" s="11" t="n"/>
      <c r="AG5016">
        <f>IF($C5016="","",IF(COUNTIF($C$2:$C5016,$C5016)=1,1,0))</f>
        <v/>
      </c>
      <c r="AH5016">
        <f>IF($AG5016=1,SUMPRODUCT(--($AK$2:$AK$6001&lt;$AK5016))+1,"")</f>
        <v/>
      </c>
      <c r="AI5016">
        <f>IF($C5016="","",IF(OR($N5016=TRUE(),$N5016="TRUE"),1,0))</f>
        <v/>
      </c>
      <c r="AJ5016">
        <f>IF($C5016="","",IF($T5016="Yes",1,0))</f>
        <v/>
      </c>
      <c r="AK5016">
        <f>IF($AG5016=1,IFERROR(IF(VALUE($C5016)&lt;100000000,VALUE($C5016),1000000000),IFERROR(IF(VALUE(MID($C5016,2,20))&lt;100000000,VALUE(MID($C5016,2,20)),1000000000),1000000000))+ROW()/100000,"")</f>
        <v/>
      </c>
    </row>
    <row r="5017">
      <c r="D5017" s="11" t="n"/>
      <c r="K5017" s="7">
        <f>IF($C5017="","",J5017*W5017/100)</f>
        <v/>
      </c>
      <c r="Q5017" s="7" t="n"/>
      <c r="R5017" s="7" t="n"/>
      <c r="U5017">
        <f>IF($C5017="","",IF($AJ5017=1,0,IF($AI5017=1,Settings!$C$6,Settings!$C$7))*100)</f>
        <v/>
      </c>
      <c r="V5017" s="7">
        <f>IF($C5017="","",R5017*U5017/100)</f>
        <v/>
      </c>
      <c r="W5017" s="7">
        <f>IF($C5017="","",R5017-V5017)</f>
        <v/>
      </c>
      <c r="X5017" s="7">
        <f>IF($C5017="","",W5017-K5017)</f>
        <v/>
      </c>
      <c r="AB5017" s="7" t="n"/>
      <c r="AE5017" s="11" t="n"/>
      <c r="AG5017">
        <f>IF($C5017="","",IF(COUNTIF($C$2:$C5017,$C5017)=1,1,0))</f>
        <v/>
      </c>
      <c r="AH5017">
        <f>IF($AG5017=1,SUMPRODUCT(--($AK$2:$AK$6001&lt;$AK5017))+1,"")</f>
        <v/>
      </c>
      <c r="AI5017">
        <f>IF($C5017="","",IF(OR($N5017=TRUE(),$N5017="TRUE"),1,0))</f>
        <v/>
      </c>
      <c r="AJ5017">
        <f>IF($C5017="","",IF($T5017="Yes",1,0))</f>
        <v/>
      </c>
      <c r="AK5017">
        <f>IF($AG5017=1,IFERROR(IF(VALUE($C5017)&lt;100000000,VALUE($C5017),1000000000),IFERROR(IF(VALUE(MID($C5017,2,20))&lt;100000000,VALUE(MID($C5017,2,20)),1000000000),1000000000))+ROW()/100000,"")</f>
        <v/>
      </c>
    </row>
    <row r="5018">
      <c r="D5018" s="11" t="n"/>
      <c r="K5018" s="7">
        <f>IF($C5018="","",J5018*W5018/100)</f>
        <v/>
      </c>
      <c r="Q5018" s="7" t="n"/>
      <c r="R5018" s="7" t="n"/>
      <c r="U5018">
        <f>IF($C5018="","",IF($AJ5018=1,0,IF($AI5018=1,Settings!$C$6,Settings!$C$7))*100)</f>
        <v/>
      </c>
      <c r="V5018" s="7">
        <f>IF($C5018="","",R5018*U5018/100)</f>
        <v/>
      </c>
      <c r="W5018" s="7">
        <f>IF($C5018="","",R5018-V5018)</f>
        <v/>
      </c>
      <c r="X5018" s="7">
        <f>IF($C5018="","",W5018-K5018)</f>
        <v/>
      </c>
      <c r="AB5018" s="7" t="n"/>
      <c r="AE5018" s="11" t="n"/>
      <c r="AG5018">
        <f>IF($C5018="","",IF(COUNTIF($C$2:$C5018,$C5018)=1,1,0))</f>
        <v/>
      </c>
      <c r="AH5018">
        <f>IF($AG5018=1,SUMPRODUCT(--($AK$2:$AK$6001&lt;$AK5018))+1,"")</f>
        <v/>
      </c>
      <c r="AI5018">
        <f>IF($C5018="","",IF(OR($N5018=TRUE(),$N5018="TRUE"),1,0))</f>
        <v/>
      </c>
      <c r="AJ5018">
        <f>IF($C5018="","",IF($T5018="Yes",1,0))</f>
        <v/>
      </c>
      <c r="AK5018">
        <f>IF($AG5018=1,IFERROR(IF(VALUE($C5018)&lt;100000000,VALUE($C5018),1000000000),IFERROR(IF(VALUE(MID($C5018,2,20))&lt;100000000,VALUE(MID($C5018,2,20)),1000000000),1000000000))+ROW()/100000,"")</f>
        <v/>
      </c>
    </row>
    <row r="5019">
      <c r="D5019" s="11" t="n"/>
      <c r="K5019" s="7">
        <f>IF($C5019="","",J5019*W5019/100)</f>
        <v/>
      </c>
      <c r="Q5019" s="7" t="n"/>
      <c r="R5019" s="7" t="n"/>
      <c r="U5019">
        <f>IF($C5019="","",IF($AJ5019=1,0,IF($AI5019=1,Settings!$C$6,Settings!$C$7))*100)</f>
        <v/>
      </c>
      <c r="V5019" s="7">
        <f>IF($C5019="","",R5019*U5019/100)</f>
        <v/>
      </c>
      <c r="W5019" s="7">
        <f>IF($C5019="","",R5019-V5019)</f>
        <v/>
      </c>
      <c r="X5019" s="7">
        <f>IF($C5019="","",W5019-K5019)</f>
        <v/>
      </c>
      <c r="AB5019" s="7" t="n"/>
      <c r="AE5019" s="11" t="n"/>
      <c r="AG5019">
        <f>IF($C5019="","",IF(COUNTIF($C$2:$C5019,$C5019)=1,1,0))</f>
        <v/>
      </c>
      <c r="AH5019">
        <f>IF($AG5019=1,SUMPRODUCT(--($AK$2:$AK$6001&lt;$AK5019))+1,"")</f>
        <v/>
      </c>
      <c r="AI5019">
        <f>IF($C5019="","",IF(OR($N5019=TRUE(),$N5019="TRUE"),1,0))</f>
        <v/>
      </c>
      <c r="AJ5019">
        <f>IF($C5019="","",IF($T5019="Yes",1,0))</f>
        <v/>
      </c>
      <c r="AK5019">
        <f>IF($AG5019=1,IFERROR(IF(VALUE($C5019)&lt;100000000,VALUE($C5019),1000000000),IFERROR(IF(VALUE(MID($C5019,2,20))&lt;100000000,VALUE(MID($C5019,2,20)),1000000000),1000000000))+ROW()/100000,"")</f>
        <v/>
      </c>
    </row>
    <row r="5020">
      <c r="D5020" s="11" t="n"/>
      <c r="K5020" s="7">
        <f>IF($C5020="","",J5020*W5020/100)</f>
        <v/>
      </c>
      <c r="Q5020" s="7" t="n"/>
      <c r="R5020" s="7" t="n"/>
      <c r="U5020">
        <f>IF($C5020="","",IF($AJ5020=1,0,IF($AI5020=1,Settings!$C$6,Settings!$C$7))*100)</f>
        <v/>
      </c>
      <c r="V5020" s="7">
        <f>IF($C5020="","",R5020*U5020/100)</f>
        <v/>
      </c>
      <c r="W5020" s="7">
        <f>IF($C5020="","",R5020-V5020)</f>
        <v/>
      </c>
      <c r="X5020" s="7">
        <f>IF($C5020="","",W5020-K5020)</f>
        <v/>
      </c>
      <c r="AB5020" s="7" t="n"/>
      <c r="AE5020" s="11" t="n"/>
      <c r="AG5020">
        <f>IF($C5020="","",IF(COUNTIF($C$2:$C5020,$C5020)=1,1,0))</f>
        <v/>
      </c>
      <c r="AH5020">
        <f>IF($AG5020=1,SUMPRODUCT(--($AK$2:$AK$6001&lt;$AK5020))+1,"")</f>
        <v/>
      </c>
      <c r="AI5020">
        <f>IF($C5020="","",IF(OR($N5020=TRUE(),$N5020="TRUE"),1,0))</f>
        <v/>
      </c>
      <c r="AJ5020">
        <f>IF($C5020="","",IF($T5020="Yes",1,0))</f>
        <v/>
      </c>
      <c r="AK5020">
        <f>IF($AG5020=1,IFERROR(IF(VALUE($C5020)&lt;100000000,VALUE($C5020),1000000000),IFERROR(IF(VALUE(MID($C5020,2,20))&lt;100000000,VALUE(MID($C5020,2,20)),1000000000),1000000000))+ROW()/100000,"")</f>
        <v/>
      </c>
    </row>
    <row r="5021">
      <c r="D5021" s="11" t="n"/>
      <c r="K5021" s="7">
        <f>IF($C5021="","",J5021*W5021/100)</f>
        <v/>
      </c>
      <c r="Q5021" s="7" t="n"/>
      <c r="R5021" s="7" t="n"/>
      <c r="U5021">
        <f>IF($C5021="","",IF($AJ5021=1,0,IF($AI5021=1,Settings!$C$6,Settings!$C$7))*100)</f>
        <v/>
      </c>
      <c r="V5021" s="7">
        <f>IF($C5021="","",R5021*U5021/100)</f>
        <v/>
      </c>
      <c r="W5021" s="7">
        <f>IF($C5021="","",R5021-V5021)</f>
        <v/>
      </c>
      <c r="X5021" s="7">
        <f>IF($C5021="","",W5021-K5021)</f>
        <v/>
      </c>
      <c r="AB5021" s="7" t="n"/>
      <c r="AE5021" s="11" t="n"/>
      <c r="AG5021">
        <f>IF($C5021="","",IF(COUNTIF($C$2:$C5021,$C5021)=1,1,0))</f>
        <v/>
      </c>
      <c r="AH5021">
        <f>IF($AG5021=1,SUMPRODUCT(--($AK$2:$AK$6001&lt;$AK5021))+1,"")</f>
        <v/>
      </c>
      <c r="AI5021">
        <f>IF($C5021="","",IF(OR($N5021=TRUE(),$N5021="TRUE"),1,0))</f>
        <v/>
      </c>
      <c r="AJ5021">
        <f>IF($C5021="","",IF($T5021="Yes",1,0))</f>
        <v/>
      </c>
      <c r="AK5021">
        <f>IF($AG5021=1,IFERROR(IF(VALUE($C5021)&lt;100000000,VALUE($C5021),1000000000),IFERROR(IF(VALUE(MID($C5021,2,20))&lt;100000000,VALUE(MID($C5021,2,20)),1000000000),1000000000))+ROW()/100000,"")</f>
        <v/>
      </c>
    </row>
    <row r="5022">
      <c r="D5022" s="11" t="n"/>
      <c r="K5022" s="7">
        <f>IF($C5022="","",J5022*W5022/100)</f>
        <v/>
      </c>
      <c r="Q5022" s="7" t="n"/>
      <c r="R5022" s="7" t="n"/>
      <c r="U5022">
        <f>IF($C5022="","",IF($AJ5022=1,0,IF($AI5022=1,Settings!$C$6,Settings!$C$7))*100)</f>
        <v/>
      </c>
      <c r="V5022" s="7">
        <f>IF($C5022="","",R5022*U5022/100)</f>
        <v/>
      </c>
      <c r="W5022" s="7">
        <f>IF($C5022="","",R5022-V5022)</f>
        <v/>
      </c>
      <c r="X5022" s="7">
        <f>IF($C5022="","",W5022-K5022)</f>
        <v/>
      </c>
      <c r="AB5022" s="7" t="n"/>
      <c r="AE5022" s="11" t="n"/>
      <c r="AG5022">
        <f>IF($C5022="","",IF(COUNTIF($C$2:$C5022,$C5022)=1,1,0))</f>
        <v/>
      </c>
      <c r="AH5022">
        <f>IF($AG5022=1,SUMPRODUCT(--($AK$2:$AK$6001&lt;$AK5022))+1,"")</f>
        <v/>
      </c>
      <c r="AI5022">
        <f>IF($C5022="","",IF(OR($N5022=TRUE(),$N5022="TRUE"),1,0))</f>
        <v/>
      </c>
      <c r="AJ5022">
        <f>IF($C5022="","",IF($T5022="Yes",1,0))</f>
        <v/>
      </c>
      <c r="AK5022">
        <f>IF($AG5022=1,IFERROR(IF(VALUE($C5022)&lt;100000000,VALUE($C5022),1000000000),IFERROR(IF(VALUE(MID($C5022,2,20))&lt;100000000,VALUE(MID($C5022,2,20)),1000000000),1000000000))+ROW()/100000,"")</f>
        <v/>
      </c>
    </row>
    <row r="5023">
      <c r="D5023" s="11" t="n"/>
      <c r="K5023" s="7">
        <f>IF($C5023="","",J5023*W5023/100)</f>
        <v/>
      </c>
      <c r="Q5023" s="7" t="n"/>
      <c r="R5023" s="7" t="n"/>
      <c r="U5023">
        <f>IF($C5023="","",IF($AJ5023=1,0,IF($AI5023=1,Settings!$C$6,Settings!$C$7))*100)</f>
        <v/>
      </c>
      <c r="V5023" s="7">
        <f>IF($C5023="","",R5023*U5023/100)</f>
        <v/>
      </c>
      <c r="W5023" s="7">
        <f>IF($C5023="","",R5023-V5023)</f>
        <v/>
      </c>
      <c r="X5023" s="7">
        <f>IF($C5023="","",W5023-K5023)</f>
        <v/>
      </c>
      <c r="AB5023" s="7" t="n"/>
      <c r="AE5023" s="11" t="n"/>
      <c r="AG5023">
        <f>IF($C5023="","",IF(COUNTIF($C$2:$C5023,$C5023)=1,1,0))</f>
        <v/>
      </c>
      <c r="AH5023">
        <f>IF($AG5023=1,SUMPRODUCT(--($AK$2:$AK$6001&lt;$AK5023))+1,"")</f>
        <v/>
      </c>
      <c r="AI5023">
        <f>IF($C5023="","",IF(OR($N5023=TRUE(),$N5023="TRUE"),1,0))</f>
        <v/>
      </c>
      <c r="AJ5023">
        <f>IF($C5023="","",IF($T5023="Yes",1,0))</f>
        <v/>
      </c>
      <c r="AK5023">
        <f>IF($AG5023=1,IFERROR(IF(VALUE($C5023)&lt;100000000,VALUE($C5023),1000000000),IFERROR(IF(VALUE(MID($C5023,2,20))&lt;100000000,VALUE(MID($C5023,2,20)),1000000000),1000000000))+ROW()/100000,"")</f>
        <v/>
      </c>
    </row>
    <row r="5024">
      <c r="D5024" s="11" t="n"/>
      <c r="K5024" s="7">
        <f>IF($C5024="","",J5024*W5024/100)</f>
        <v/>
      </c>
      <c r="Q5024" s="7" t="n"/>
      <c r="R5024" s="7" t="n"/>
      <c r="U5024">
        <f>IF($C5024="","",IF($AJ5024=1,0,IF($AI5024=1,Settings!$C$6,Settings!$C$7))*100)</f>
        <v/>
      </c>
      <c r="V5024" s="7">
        <f>IF($C5024="","",R5024*U5024/100)</f>
        <v/>
      </c>
      <c r="W5024" s="7">
        <f>IF($C5024="","",R5024-V5024)</f>
        <v/>
      </c>
      <c r="X5024" s="7">
        <f>IF($C5024="","",W5024-K5024)</f>
        <v/>
      </c>
      <c r="AB5024" s="7" t="n"/>
      <c r="AE5024" s="11" t="n"/>
      <c r="AG5024">
        <f>IF($C5024="","",IF(COUNTIF($C$2:$C5024,$C5024)=1,1,0))</f>
        <v/>
      </c>
      <c r="AH5024">
        <f>IF($AG5024=1,SUMPRODUCT(--($AK$2:$AK$6001&lt;$AK5024))+1,"")</f>
        <v/>
      </c>
      <c r="AI5024">
        <f>IF($C5024="","",IF(OR($N5024=TRUE(),$N5024="TRUE"),1,0))</f>
        <v/>
      </c>
      <c r="AJ5024">
        <f>IF($C5024="","",IF($T5024="Yes",1,0))</f>
        <v/>
      </c>
      <c r="AK5024">
        <f>IF($AG5024=1,IFERROR(IF(VALUE($C5024)&lt;100000000,VALUE($C5024),1000000000),IFERROR(IF(VALUE(MID($C5024,2,20))&lt;100000000,VALUE(MID($C5024,2,20)),1000000000),1000000000))+ROW()/100000,"")</f>
        <v/>
      </c>
    </row>
    <row r="5025">
      <c r="D5025" s="11" t="n"/>
      <c r="K5025" s="7">
        <f>IF($C5025="","",J5025*W5025/100)</f>
        <v/>
      </c>
      <c r="Q5025" s="7" t="n"/>
      <c r="R5025" s="7" t="n"/>
      <c r="U5025">
        <f>IF($C5025="","",IF($AJ5025=1,0,IF($AI5025=1,Settings!$C$6,Settings!$C$7))*100)</f>
        <v/>
      </c>
      <c r="V5025" s="7">
        <f>IF($C5025="","",R5025*U5025/100)</f>
        <v/>
      </c>
      <c r="W5025" s="7">
        <f>IF($C5025="","",R5025-V5025)</f>
        <v/>
      </c>
      <c r="X5025" s="7">
        <f>IF($C5025="","",W5025-K5025)</f>
        <v/>
      </c>
      <c r="AB5025" s="7" t="n"/>
      <c r="AE5025" s="11" t="n"/>
      <c r="AG5025">
        <f>IF($C5025="","",IF(COUNTIF($C$2:$C5025,$C5025)=1,1,0))</f>
        <v/>
      </c>
      <c r="AH5025">
        <f>IF($AG5025=1,SUMPRODUCT(--($AK$2:$AK$6001&lt;$AK5025))+1,"")</f>
        <v/>
      </c>
      <c r="AI5025">
        <f>IF($C5025="","",IF(OR($N5025=TRUE(),$N5025="TRUE"),1,0))</f>
        <v/>
      </c>
      <c r="AJ5025">
        <f>IF($C5025="","",IF($T5025="Yes",1,0))</f>
        <v/>
      </c>
      <c r="AK5025">
        <f>IF($AG5025=1,IFERROR(IF(VALUE($C5025)&lt;100000000,VALUE($C5025),1000000000),IFERROR(IF(VALUE(MID($C5025,2,20))&lt;100000000,VALUE(MID($C5025,2,20)),1000000000),1000000000))+ROW()/100000,"")</f>
        <v/>
      </c>
    </row>
    <row r="5026">
      <c r="D5026" s="11" t="n"/>
      <c r="K5026" s="7">
        <f>IF($C5026="","",J5026*W5026/100)</f>
        <v/>
      </c>
      <c r="Q5026" s="7" t="n"/>
      <c r="R5026" s="7" t="n"/>
      <c r="U5026">
        <f>IF($C5026="","",IF($AJ5026=1,0,IF($AI5026=1,Settings!$C$6,Settings!$C$7))*100)</f>
        <v/>
      </c>
      <c r="V5026" s="7">
        <f>IF($C5026="","",R5026*U5026/100)</f>
        <v/>
      </c>
      <c r="W5026" s="7">
        <f>IF($C5026="","",R5026-V5026)</f>
        <v/>
      </c>
      <c r="X5026" s="7">
        <f>IF($C5026="","",W5026-K5026)</f>
        <v/>
      </c>
      <c r="AB5026" s="7" t="n"/>
      <c r="AE5026" s="11" t="n"/>
      <c r="AG5026">
        <f>IF($C5026="","",IF(COUNTIF($C$2:$C5026,$C5026)=1,1,0))</f>
        <v/>
      </c>
      <c r="AH5026">
        <f>IF($AG5026=1,SUMPRODUCT(--($AK$2:$AK$6001&lt;$AK5026))+1,"")</f>
        <v/>
      </c>
      <c r="AI5026">
        <f>IF($C5026="","",IF(OR($N5026=TRUE(),$N5026="TRUE"),1,0))</f>
        <v/>
      </c>
      <c r="AJ5026">
        <f>IF($C5026="","",IF($T5026="Yes",1,0))</f>
        <v/>
      </c>
      <c r="AK5026">
        <f>IF($AG5026=1,IFERROR(IF(VALUE($C5026)&lt;100000000,VALUE($C5026),1000000000),IFERROR(IF(VALUE(MID($C5026,2,20))&lt;100000000,VALUE(MID($C5026,2,20)),1000000000),1000000000))+ROW()/100000,"")</f>
        <v/>
      </c>
    </row>
    <row r="5027">
      <c r="D5027" s="11" t="n"/>
      <c r="K5027" s="7">
        <f>IF($C5027="","",J5027*W5027/100)</f>
        <v/>
      </c>
      <c r="Q5027" s="7" t="n"/>
      <c r="R5027" s="7" t="n"/>
      <c r="U5027">
        <f>IF($C5027="","",IF($AJ5027=1,0,IF($AI5027=1,Settings!$C$6,Settings!$C$7))*100)</f>
        <v/>
      </c>
      <c r="V5027" s="7">
        <f>IF($C5027="","",R5027*U5027/100)</f>
        <v/>
      </c>
      <c r="W5027" s="7">
        <f>IF($C5027="","",R5027-V5027)</f>
        <v/>
      </c>
      <c r="X5027" s="7">
        <f>IF($C5027="","",W5027-K5027)</f>
        <v/>
      </c>
      <c r="AB5027" s="7" t="n"/>
      <c r="AE5027" s="11" t="n"/>
      <c r="AG5027">
        <f>IF($C5027="","",IF(COUNTIF($C$2:$C5027,$C5027)=1,1,0))</f>
        <v/>
      </c>
      <c r="AH5027">
        <f>IF($AG5027=1,SUMPRODUCT(--($AK$2:$AK$6001&lt;$AK5027))+1,"")</f>
        <v/>
      </c>
      <c r="AI5027">
        <f>IF($C5027="","",IF(OR($N5027=TRUE(),$N5027="TRUE"),1,0))</f>
        <v/>
      </c>
      <c r="AJ5027">
        <f>IF($C5027="","",IF($T5027="Yes",1,0))</f>
        <v/>
      </c>
      <c r="AK5027">
        <f>IF($AG5027=1,IFERROR(IF(VALUE($C5027)&lt;100000000,VALUE($C5027),1000000000),IFERROR(IF(VALUE(MID($C5027,2,20))&lt;100000000,VALUE(MID($C5027,2,20)),1000000000),1000000000))+ROW()/100000,"")</f>
        <v/>
      </c>
    </row>
    <row r="5028">
      <c r="D5028" s="11" t="n"/>
      <c r="K5028" s="7">
        <f>IF($C5028="","",J5028*W5028/100)</f>
        <v/>
      </c>
      <c r="Q5028" s="7" t="n"/>
      <c r="R5028" s="7" t="n"/>
      <c r="U5028">
        <f>IF($C5028="","",IF($AJ5028=1,0,IF($AI5028=1,Settings!$C$6,Settings!$C$7))*100)</f>
        <v/>
      </c>
      <c r="V5028" s="7">
        <f>IF($C5028="","",R5028*U5028/100)</f>
        <v/>
      </c>
      <c r="W5028" s="7">
        <f>IF($C5028="","",R5028-V5028)</f>
        <v/>
      </c>
      <c r="X5028" s="7">
        <f>IF($C5028="","",W5028-K5028)</f>
        <v/>
      </c>
      <c r="AB5028" s="7" t="n"/>
      <c r="AE5028" s="11" t="n"/>
      <c r="AG5028">
        <f>IF($C5028="","",IF(COUNTIF($C$2:$C5028,$C5028)=1,1,0))</f>
        <v/>
      </c>
      <c r="AH5028">
        <f>IF($AG5028=1,SUMPRODUCT(--($AK$2:$AK$6001&lt;$AK5028))+1,"")</f>
        <v/>
      </c>
      <c r="AI5028">
        <f>IF($C5028="","",IF(OR($N5028=TRUE(),$N5028="TRUE"),1,0))</f>
        <v/>
      </c>
      <c r="AJ5028">
        <f>IF($C5028="","",IF($T5028="Yes",1,0))</f>
        <v/>
      </c>
      <c r="AK5028">
        <f>IF($AG5028=1,IFERROR(IF(VALUE($C5028)&lt;100000000,VALUE($C5028),1000000000),IFERROR(IF(VALUE(MID($C5028,2,20))&lt;100000000,VALUE(MID($C5028,2,20)),1000000000),1000000000))+ROW()/100000,"")</f>
        <v/>
      </c>
    </row>
    <row r="5029">
      <c r="D5029" s="11" t="n"/>
      <c r="K5029" s="7">
        <f>IF($C5029="","",J5029*W5029/100)</f>
        <v/>
      </c>
      <c r="Q5029" s="7" t="n"/>
      <c r="R5029" s="7" t="n"/>
      <c r="U5029">
        <f>IF($C5029="","",IF($AJ5029=1,0,IF($AI5029=1,Settings!$C$6,Settings!$C$7))*100)</f>
        <v/>
      </c>
      <c r="V5029" s="7">
        <f>IF($C5029="","",R5029*U5029/100)</f>
        <v/>
      </c>
      <c r="W5029" s="7">
        <f>IF($C5029="","",R5029-V5029)</f>
        <v/>
      </c>
      <c r="X5029" s="7">
        <f>IF($C5029="","",W5029-K5029)</f>
        <v/>
      </c>
      <c r="AB5029" s="7" t="n"/>
      <c r="AE5029" s="11" t="n"/>
      <c r="AG5029">
        <f>IF($C5029="","",IF(COUNTIF($C$2:$C5029,$C5029)=1,1,0))</f>
        <v/>
      </c>
      <c r="AH5029">
        <f>IF($AG5029=1,SUMPRODUCT(--($AK$2:$AK$6001&lt;$AK5029))+1,"")</f>
        <v/>
      </c>
      <c r="AI5029">
        <f>IF($C5029="","",IF(OR($N5029=TRUE(),$N5029="TRUE"),1,0))</f>
        <v/>
      </c>
      <c r="AJ5029">
        <f>IF($C5029="","",IF($T5029="Yes",1,0))</f>
        <v/>
      </c>
      <c r="AK5029">
        <f>IF($AG5029=1,IFERROR(IF(VALUE($C5029)&lt;100000000,VALUE($C5029),1000000000),IFERROR(IF(VALUE(MID($C5029,2,20))&lt;100000000,VALUE(MID($C5029,2,20)),1000000000),1000000000))+ROW()/100000,"")</f>
        <v/>
      </c>
    </row>
    <row r="5030">
      <c r="D5030" s="11" t="n"/>
      <c r="K5030" s="7">
        <f>IF($C5030="","",J5030*W5030/100)</f>
        <v/>
      </c>
      <c r="Q5030" s="7" t="n"/>
      <c r="R5030" s="7" t="n"/>
      <c r="U5030">
        <f>IF($C5030="","",IF($AJ5030=1,0,IF($AI5030=1,Settings!$C$6,Settings!$C$7))*100)</f>
        <v/>
      </c>
      <c r="V5030" s="7">
        <f>IF($C5030="","",R5030*U5030/100)</f>
        <v/>
      </c>
      <c r="W5030" s="7">
        <f>IF($C5030="","",R5030-V5030)</f>
        <v/>
      </c>
      <c r="X5030" s="7">
        <f>IF($C5030="","",W5030-K5030)</f>
        <v/>
      </c>
      <c r="AB5030" s="7" t="n"/>
      <c r="AE5030" s="11" t="n"/>
      <c r="AG5030">
        <f>IF($C5030="","",IF(COUNTIF($C$2:$C5030,$C5030)=1,1,0))</f>
        <v/>
      </c>
      <c r="AH5030">
        <f>IF($AG5030=1,SUMPRODUCT(--($AK$2:$AK$6001&lt;$AK5030))+1,"")</f>
        <v/>
      </c>
      <c r="AI5030">
        <f>IF($C5030="","",IF(OR($N5030=TRUE(),$N5030="TRUE"),1,0))</f>
        <v/>
      </c>
      <c r="AJ5030">
        <f>IF($C5030="","",IF($T5030="Yes",1,0))</f>
        <v/>
      </c>
      <c r="AK5030">
        <f>IF($AG5030=1,IFERROR(IF(VALUE($C5030)&lt;100000000,VALUE($C5030),1000000000),IFERROR(IF(VALUE(MID($C5030,2,20))&lt;100000000,VALUE(MID($C5030,2,20)),1000000000),1000000000))+ROW()/100000,"")</f>
        <v/>
      </c>
    </row>
    <row r="5031">
      <c r="D5031" s="11" t="n"/>
      <c r="K5031" s="7">
        <f>IF($C5031="","",J5031*W5031/100)</f>
        <v/>
      </c>
      <c r="Q5031" s="7" t="n"/>
      <c r="R5031" s="7" t="n"/>
      <c r="U5031">
        <f>IF($C5031="","",IF($AJ5031=1,0,IF($AI5031=1,Settings!$C$6,Settings!$C$7))*100)</f>
        <v/>
      </c>
      <c r="V5031" s="7">
        <f>IF($C5031="","",R5031*U5031/100)</f>
        <v/>
      </c>
      <c r="W5031" s="7">
        <f>IF($C5031="","",R5031-V5031)</f>
        <v/>
      </c>
      <c r="X5031" s="7">
        <f>IF($C5031="","",W5031-K5031)</f>
        <v/>
      </c>
      <c r="AB5031" s="7" t="n"/>
      <c r="AE5031" s="11" t="n"/>
      <c r="AG5031">
        <f>IF($C5031="","",IF(COUNTIF($C$2:$C5031,$C5031)=1,1,0))</f>
        <v/>
      </c>
      <c r="AH5031">
        <f>IF($AG5031=1,SUMPRODUCT(--($AK$2:$AK$6001&lt;$AK5031))+1,"")</f>
        <v/>
      </c>
      <c r="AI5031">
        <f>IF($C5031="","",IF(OR($N5031=TRUE(),$N5031="TRUE"),1,0))</f>
        <v/>
      </c>
      <c r="AJ5031">
        <f>IF($C5031="","",IF($T5031="Yes",1,0))</f>
        <v/>
      </c>
      <c r="AK5031">
        <f>IF($AG5031=1,IFERROR(IF(VALUE($C5031)&lt;100000000,VALUE($C5031),1000000000),IFERROR(IF(VALUE(MID($C5031,2,20))&lt;100000000,VALUE(MID($C5031,2,20)),1000000000),1000000000))+ROW()/100000,"")</f>
        <v/>
      </c>
    </row>
    <row r="5032">
      <c r="D5032" s="11" t="n"/>
      <c r="K5032" s="7">
        <f>IF($C5032="","",J5032*W5032/100)</f>
        <v/>
      </c>
      <c r="Q5032" s="7" t="n"/>
      <c r="R5032" s="7" t="n"/>
      <c r="U5032">
        <f>IF($C5032="","",IF($AJ5032=1,0,IF($AI5032=1,Settings!$C$6,Settings!$C$7))*100)</f>
        <v/>
      </c>
      <c r="V5032" s="7">
        <f>IF($C5032="","",R5032*U5032/100)</f>
        <v/>
      </c>
      <c r="W5032" s="7">
        <f>IF($C5032="","",R5032-V5032)</f>
        <v/>
      </c>
      <c r="X5032" s="7">
        <f>IF($C5032="","",W5032-K5032)</f>
        <v/>
      </c>
      <c r="AB5032" s="7" t="n"/>
      <c r="AE5032" s="11" t="n"/>
      <c r="AG5032">
        <f>IF($C5032="","",IF(COUNTIF($C$2:$C5032,$C5032)=1,1,0))</f>
        <v/>
      </c>
      <c r="AH5032">
        <f>IF($AG5032=1,SUMPRODUCT(--($AK$2:$AK$6001&lt;$AK5032))+1,"")</f>
        <v/>
      </c>
      <c r="AI5032">
        <f>IF($C5032="","",IF(OR($N5032=TRUE(),$N5032="TRUE"),1,0))</f>
        <v/>
      </c>
      <c r="AJ5032">
        <f>IF($C5032="","",IF($T5032="Yes",1,0))</f>
        <v/>
      </c>
      <c r="AK5032">
        <f>IF($AG5032=1,IFERROR(IF(VALUE($C5032)&lt;100000000,VALUE($C5032),1000000000),IFERROR(IF(VALUE(MID($C5032,2,20))&lt;100000000,VALUE(MID($C5032,2,20)),1000000000),1000000000))+ROW()/100000,"")</f>
        <v/>
      </c>
    </row>
    <row r="5033">
      <c r="D5033" s="11" t="n"/>
      <c r="K5033" s="7">
        <f>IF($C5033="","",J5033*W5033/100)</f>
        <v/>
      </c>
      <c r="Q5033" s="7" t="n"/>
      <c r="R5033" s="7" t="n"/>
      <c r="U5033">
        <f>IF($C5033="","",IF($AJ5033=1,0,IF($AI5033=1,Settings!$C$6,Settings!$C$7))*100)</f>
        <v/>
      </c>
      <c r="V5033" s="7">
        <f>IF($C5033="","",R5033*U5033/100)</f>
        <v/>
      </c>
      <c r="W5033" s="7">
        <f>IF($C5033="","",R5033-V5033)</f>
        <v/>
      </c>
      <c r="X5033" s="7">
        <f>IF($C5033="","",W5033-K5033)</f>
        <v/>
      </c>
      <c r="AB5033" s="7" t="n"/>
      <c r="AE5033" s="11" t="n"/>
      <c r="AG5033">
        <f>IF($C5033="","",IF(COUNTIF($C$2:$C5033,$C5033)=1,1,0))</f>
        <v/>
      </c>
      <c r="AH5033">
        <f>IF($AG5033=1,SUMPRODUCT(--($AK$2:$AK$6001&lt;$AK5033))+1,"")</f>
        <v/>
      </c>
      <c r="AI5033">
        <f>IF($C5033="","",IF(OR($N5033=TRUE(),$N5033="TRUE"),1,0))</f>
        <v/>
      </c>
      <c r="AJ5033">
        <f>IF($C5033="","",IF($T5033="Yes",1,0))</f>
        <v/>
      </c>
      <c r="AK5033">
        <f>IF($AG5033=1,IFERROR(IF(VALUE($C5033)&lt;100000000,VALUE($C5033),1000000000),IFERROR(IF(VALUE(MID($C5033,2,20))&lt;100000000,VALUE(MID($C5033,2,20)),1000000000),1000000000))+ROW()/100000,"")</f>
        <v/>
      </c>
    </row>
    <row r="5034">
      <c r="D5034" s="11" t="n"/>
      <c r="K5034" s="7">
        <f>IF($C5034="","",J5034*W5034/100)</f>
        <v/>
      </c>
      <c r="Q5034" s="7" t="n"/>
      <c r="R5034" s="7" t="n"/>
      <c r="U5034">
        <f>IF($C5034="","",IF($AJ5034=1,0,IF($AI5034=1,Settings!$C$6,Settings!$C$7))*100)</f>
        <v/>
      </c>
      <c r="V5034" s="7">
        <f>IF($C5034="","",R5034*U5034/100)</f>
        <v/>
      </c>
      <c r="W5034" s="7">
        <f>IF($C5034="","",R5034-V5034)</f>
        <v/>
      </c>
      <c r="X5034" s="7">
        <f>IF($C5034="","",W5034-K5034)</f>
        <v/>
      </c>
      <c r="AB5034" s="7" t="n"/>
      <c r="AE5034" s="11" t="n"/>
      <c r="AG5034">
        <f>IF($C5034="","",IF(COUNTIF($C$2:$C5034,$C5034)=1,1,0))</f>
        <v/>
      </c>
      <c r="AH5034">
        <f>IF($AG5034=1,SUMPRODUCT(--($AK$2:$AK$6001&lt;$AK5034))+1,"")</f>
        <v/>
      </c>
      <c r="AI5034">
        <f>IF($C5034="","",IF(OR($N5034=TRUE(),$N5034="TRUE"),1,0))</f>
        <v/>
      </c>
      <c r="AJ5034">
        <f>IF($C5034="","",IF($T5034="Yes",1,0))</f>
        <v/>
      </c>
      <c r="AK5034">
        <f>IF($AG5034=1,IFERROR(IF(VALUE($C5034)&lt;100000000,VALUE($C5034),1000000000),IFERROR(IF(VALUE(MID($C5034,2,20))&lt;100000000,VALUE(MID($C5034,2,20)),1000000000),1000000000))+ROW()/100000,"")</f>
        <v/>
      </c>
    </row>
    <row r="5035">
      <c r="D5035" s="11" t="n"/>
      <c r="K5035" s="7">
        <f>IF($C5035="","",J5035*W5035/100)</f>
        <v/>
      </c>
      <c r="Q5035" s="7" t="n"/>
      <c r="R5035" s="7" t="n"/>
      <c r="U5035">
        <f>IF($C5035="","",IF($AJ5035=1,0,IF($AI5035=1,Settings!$C$6,Settings!$C$7))*100)</f>
        <v/>
      </c>
      <c r="V5035" s="7">
        <f>IF($C5035="","",R5035*U5035/100)</f>
        <v/>
      </c>
      <c r="W5035" s="7">
        <f>IF($C5035="","",R5035-V5035)</f>
        <v/>
      </c>
      <c r="X5035" s="7">
        <f>IF($C5035="","",W5035-K5035)</f>
        <v/>
      </c>
      <c r="AB5035" s="7" t="n"/>
      <c r="AE5035" s="11" t="n"/>
      <c r="AG5035">
        <f>IF($C5035="","",IF(COUNTIF($C$2:$C5035,$C5035)=1,1,0))</f>
        <v/>
      </c>
      <c r="AH5035">
        <f>IF($AG5035=1,SUMPRODUCT(--($AK$2:$AK$6001&lt;$AK5035))+1,"")</f>
        <v/>
      </c>
      <c r="AI5035">
        <f>IF($C5035="","",IF(OR($N5035=TRUE(),$N5035="TRUE"),1,0))</f>
        <v/>
      </c>
      <c r="AJ5035">
        <f>IF($C5035="","",IF($T5035="Yes",1,0))</f>
        <v/>
      </c>
      <c r="AK5035">
        <f>IF($AG5035=1,IFERROR(IF(VALUE($C5035)&lt;100000000,VALUE($C5035),1000000000),IFERROR(IF(VALUE(MID($C5035,2,20))&lt;100000000,VALUE(MID($C5035,2,20)),1000000000),1000000000))+ROW()/100000,"")</f>
        <v/>
      </c>
    </row>
    <row r="5036">
      <c r="D5036" s="11" t="n"/>
      <c r="K5036" s="7">
        <f>IF($C5036="","",J5036*W5036/100)</f>
        <v/>
      </c>
      <c r="Q5036" s="7" t="n"/>
      <c r="R5036" s="7" t="n"/>
      <c r="U5036">
        <f>IF($C5036="","",IF($AJ5036=1,0,IF($AI5036=1,Settings!$C$6,Settings!$C$7))*100)</f>
        <v/>
      </c>
      <c r="V5036" s="7">
        <f>IF($C5036="","",R5036*U5036/100)</f>
        <v/>
      </c>
      <c r="W5036" s="7">
        <f>IF($C5036="","",R5036-V5036)</f>
        <v/>
      </c>
      <c r="X5036" s="7">
        <f>IF($C5036="","",W5036-K5036)</f>
        <v/>
      </c>
      <c r="AB5036" s="7" t="n"/>
      <c r="AE5036" s="11" t="n"/>
      <c r="AG5036">
        <f>IF($C5036="","",IF(COUNTIF($C$2:$C5036,$C5036)=1,1,0))</f>
        <v/>
      </c>
      <c r="AH5036">
        <f>IF($AG5036=1,SUMPRODUCT(--($AK$2:$AK$6001&lt;$AK5036))+1,"")</f>
        <v/>
      </c>
      <c r="AI5036">
        <f>IF($C5036="","",IF(OR($N5036=TRUE(),$N5036="TRUE"),1,0))</f>
        <v/>
      </c>
      <c r="AJ5036">
        <f>IF($C5036="","",IF($T5036="Yes",1,0))</f>
        <v/>
      </c>
      <c r="AK5036">
        <f>IF($AG5036=1,IFERROR(IF(VALUE($C5036)&lt;100000000,VALUE($C5036),1000000000),IFERROR(IF(VALUE(MID($C5036,2,20))&lt;100000000,VALUE(MID($C5036,2,20)),1000000000),1000000000))+ROW()/100000,"")</f>
        <v/>
      </c>
    </row>
    <row r="5037">
      <c r="D5037" s="11" t="n"/>
      <c r="K5037" s="7">
        <f>IF($C5037="","",J5037*W5037/100)</f>
        <v/>
      </c>
      <c r="Q5037" s="7" t="n"/>
      <c r="R5037" s="7" t="n"/>
      <c r="U5037">
        <f>IF($C5037="","",IF($AJ5037=1,0,IF($AI5037=1,Settings!$C$6,Settings!$C$7))*100)</f>
        <v/>
      </c>
      <c r="V5037" s="7">
        <f>IF($C5037="","",R5037*U5037/100)</f>
        <v/>
      </c>
      <c r="W5037" s="7">
        <f>IF($C5037="","",R5037-V5037)</f>
        <v/>
      </c>
      <c r="X5037" s="7">
        <f>IF($C5037="","",W5037-K5037)</f>
        <v/>
      </c>
      <c r="AB5037" s="7" t="n"/>
      <c r="AE5037" s="11" t="n"/>
      <c r="AG5037">
        <f>IF($C5037="","",IF(COUNTIF($C$2:$C5037,$C5037)=1,1,0))</f>
        <v/>
      </c>
      <c r="AH5037">
        <f>IF($AG5037=1,SUMPRODUCT(--($AK$2:$AK$6001&lt;$AK5037))+1,"")</f>
        <v/>
      </c>
      <c r="AI5037">
        <f>IF($C5037="","",IF(OR($N5037=TRUE(),$N5037="TRUE"),1,0))</f>
        <v/>
      </c>
      <c r="AJ5037">
        <f>IF($C5037="","",IF($T5037="Yes",1,0))</f>
        <v/>
      </c>
      <c r="AK5037">
        <f>IF($AG5037=1,IFERROR(IF(VALUE($C5037)&lt;100000000,VALUE($C5037),1000000000),IFERROR(IF(VALUE(MID($C5037,2,20))&lt;100000000,VALUE(MID($C5037,2,20)),1000000000),1000000000))+ROW()/100000,"")</f>
        <v/>
      </c>
    </row>
    <row r="5038">
      <c r="D5038" s="11" t="n"/>
      <c r="K5038" s="7">
        <f>IF($C5038="","",J5038*W5038/100)</f>
        <v/>
      </c>
      <c r="Q5038" s="7" t="n"/>
      <c r="R5038" s="7" t="n"/>
      <c r="U5038">
        <f>IF($C5038="","",IF($AJ5038=1,0,IF($AI5038=1,Settings!$C$6,Settings!$C$7))*100)</f>
        <v/>
      </c>
      <c r="V5038" s="7">
        <f>IF($C5038="","",R5038*U5038/100)</f>
        <v/>
      </c>
      <c r="W5038" s="7">
        <f>IF($C5038="","",R5038-V5038)</f>
        <v/>
      </c>
      <c r="X5038" s="7">
        <f>IF($C5038="","",W5038-K5038)</f>
        <v/>
      </c>
      <c r="AB5038" s="7" t="n"/>
      <c r="AE5038" s="11" t="n"/>
      <c r="AG5038">
        <f>IF($C5038="","",IF(COUNTIF($C$2:$C5038,$C5038)=1,1,0))</f>
        <v/>
      </c>
      <c r="AH5038">
        <f>IF($AG5038=1,SUMPRODUCT(--($AK$2:$AK$6001&lt;$AK5038))+1,"")</f>
        <v/>
      </c>
      <c r="AI5038">
        <f>IF($C5038="","",IF(OR($N5038=TRUE(),$N5038="TRUE"),1,0))</f>
        <v/>
      </c>
      <c r="AJ5038">
        <f>IF($C5038="","",IF($T5038="Yes",1,0))</f>
        <v/>
      </c>
      <c r="AK5038">
        <f>IF($AG5038=1,IFERROR(IF(VALUE($C5038)&lt;100000000,VALUE($C5038),1000000000),IFERROR(IF(VALUE(MID($C5038,2,20))&lt;100000000,VALUE(MID($C5038,2,20)),1000000000),1000000000))+ROW()/100000,"")</f>
        <v/>
      </c>
    </row>
    <row r="5039">
      <c r="D5039" s="11" t="n"/>
      <c r="K5039" s="7">
        <f>IF($C5039="","",J5039*W5039/100)</f>
        <v/>
      </c>
      <c r="Q5039" s="7" t="n"/>
      <c r="R5039" s="7" t="n"/>
      <c r="U5039">
        <f>IF($C5039="","",IF($AJ5039=1,0,IF($AI5039=1,Settings!$C$6,Settings!$C$7))*100)</f>
        <v/>
      </c>
      <c r="V5039" s="7">
        <f>IF($C5039="","",R5039*U5039/100)</f>
        <v/>
      </c>
      <c r="W5039" s="7">
        <f>IF($C5039="","",R5039-V5039)</f>
        <v/>
      </c>
      <c r="X5039" s="7">
        <f>IF($C5039="","",W5039-K5039)</f>
        <v/>
      </c>
      <c r="AB5039" s="7" t="n"/>
      <c r="AE5039" s="11" t="n"/>
      <c r="AG5039">
        <f>IF($C5039="","",IF(COUNTIF($C$2:$C5039,$C5039)=1,1,0))</f>
        <v/>
      </c>
      <c r="AH5039">
        <f>IF($AG5039=1,SUMPRODUCT(--($AK$2:$AK$6001&lt;$AK5039))+1,"")</f>
        <v/>
      </c>
      <c r="AI5039">
        <f>IF($C5039="","",IF(OR($N5039=TRUE(),$N5039="TRUE"),1,0))</f>
        <v/>
      </c>
      <c r="AJ5039">
        <f>IF($C5039="","",IF($T5039="Yes",1,0))</f>
        <v/>
      </c>
      <c r="AK5039">
        <f>IF($AG5039=1,IFERROR(IF(VALUE($C5039)&lt;100000000,VALUE($C5039),1000000000),IFERROR(IF(VALUE(MID($C5039,2,20))&lt;100000000,VALUE(MID($C5039,2,20)),1000000000),1000000000))+ROW()/100000,"")</f>
        <v/>
      </c>
    </row>
    <row r="5040">
      <c r="D5040" s="11" t="n"/>
      <c r="K5040" s="7">
        <f>IF($C5040="","",J5040*W5040/100)</f>
        <v/>
      </c>
      <c r="Q5040" s="7" t="n"/>
      <c r="R5040" s="7" t="n"/>
      <c r="U5040">
        <f>IF($C5040="","",IF($AJ5040=1,0,IF($AI5040=1,Settings!$C$6,Settings!$C$7))*100)</f>
        <v/>
      </c>
      <c r="V5040" s="7">
        <f>IF($C5040="","",R5040*U5040/100)</f>
        <v/>
      </c>
      <c r="W5040" s="7">
        <f>IF($C5040="","",R5040-V5040)</f>
        <v/>
      </c>
      <c r="X5040" s="7">
        <f>IF($C5040="","",W5040-K5040)</f>
        <v/>
      </c>
      <c r="AB5040" s="7" t="n"/>
      <c r="AE5040" s="11" t="n"/>
      <c r="AG5040">
        <f>IF($C5040="","",IF(COUNTIF($C$2:$C5040,$C5040)=1,1,0))</f>
        <v/>
      </c>
      <c r="AH5040">
        <f>IF($AG5040=1,SUMPRODUCT(--($AK$2:$AK$6001&lt;$AK5040))+1,"")</f>
        <v/>
      </c>
      <c r="AI5040">
        <f>IF($C5040="","",IF(OR($N5040=TRUE(),$N5040="TRUE"),1,0))</f>
        <v/>
      </c>
      <c r="AJ5040">
        <f>IF($C5040="","",IF($T5040="Yes",1,0))</f>
        <v/>
      </c>
      <c r="AK5040">
        <f>IF($AG5040=1,IFERROR(IF(VALUE($C5040)&lt;100000000,VALUE($C5040),1000000000),IFERROR(IF(VALUE(MID($C5040,2,20))&lt;100000000,VALUE(MID($C5040,2,20)),1000000000),1000000000))+ROW()/100000,"")</f>
        <v/>
      </c>
    </row>
    <row r="5041">
      <c r="D5041" s="11" t="n"/>
      <c r="K5041" s="7">
        <f>IF($C5041="","",J5041*W5041/100)</f>
        <v/>
      </c>
      <c r="Q5041" s="7" t="n"/>
      <c r="R5041" s="7" t="n"/>
      <c r="U5041">
        <f>IF($C5041="","",IF($AJ5041=1,0,IF($AI5041=1,Settings!$C$6,Settings!$C$7))*100)</f>
        <v/>
      </c>
      <c r="V5041" s="7">
        <f>IF($C5041="","",R5041*U5041/100)</f>
        <v/>
      </c>
      <c r="W5041" s="7">
        <f>IF($C5041="","",R5041-V5041)</f>
        <v/>
      </c>
      <c r="X5041" s="7">
        <f>IF($C5041="","",W5041-K5041)</f>
        <v/>
      </c>
      <c r="AB5041" s="7" t="n"/>
      <c r="AE5041" s="11" t="n"/>
      <c r="AG5041">
        <f>IF($C5041="","",IF(COUNTIF($C$2:$C5041,$C5041)=1,1,0))</f>
        <v/>
      </c>
      <c r="AH5041">
        <f>IF($AG5041=1,SUMPRODUCT(--($AK$2:$AK$6001&lt;$AK5041))+1,"")</f>
        <v/>
      </c>
      <c r="AI5041">
        <f>IF($C5041="","",IF(OR($N5041=TRUE(),$N5041="TRUE"),1,0))</f>
        <v/>
      </c>
      <c r="AJ5041">
        <f>IF($C5041="","",IF($T5041="Yes",1,0))</f>
        <v/>
      </c>
      <c r="AK5041">
        <f>IF($AG5041=1,IFERROR(IF(VALUE($C5041)&lt;100000000,VALUE($C5041),1000000000),IFERROR(IF(VALUE(MID($C5041,2,20))&lt;100000000,VALUE(MID($C5041,2,20)),1000000000),1000000000))+ROW()/100000,"")</f>
        <v/>
      </c>
    </row>
    <row r="5042">
      <c r="D5042" s="11" t="n"/>
      <c r="K5042" s="7">
        <f>IF($C5042="","",J5042*W5042/100)</f>
        <v/>
      </c>
      <c r="Q5042" s="7" t="n"/>
      <c r="R5042" s="7" t="n"/>
      <c r="U5042">
        <f>IF($C5042="","",IF($AJ5042=1,0,IF($AI5042=1,Settings!$C$6,Settings!$C$7))*100)</f>
        <v/>
      </c>
      <c r="V5042" s="7">
        <f>IF($C5042="","",R5042*U5042/100)</f>
        <v/>
      </c>
      <c r="W5042" s="7">
        <f>IF($C5042="","",R5042-V5042)</f>
        <v/>
      </c>
      <c r="X5042" s="7">
        <f>IF($C5042="","",W5042-K5042)</f>
        <v/>
      </c>
      <c r="AB5042" s="7" t="n"/>
      <c r="AE5042" s="11" t="n"/>
      <c r="AG5042">
        <f>IF($C5042="","",IF(COUNTIF($C$2:$C5042,$C5042)=1,1,0))</f>
        <v/>
      </c>
      <c r="AH5042">
        <f>IF($AG5042=1,SUMPRODUCT(--($AK$2:$AK$6001&lt;$AK5042))+1,"")</f>
        <v/>
      </c>
      <c r="AI5042">
        <f>IF($C5042="","",IF(OR($N5042=TRUE(),$N5042="TRUE"),1,0))</f>
        <v/>
      </c>
      <c r="AJ5042">
        <f>IF($C5042="","",IF($T5042="Yes",1,0))</f>
        <v/>
      </c>
      <c r="AK5042">
        <f>IF($AG5042=1,IFERROR(IF(VALUE($C5042)&lt;100000000,VALUE($C5042),1000000000),IFERROR(IF(VALUE(MID($C5042,2,20))&lt;100000000,VALUE(MID($C5042,2,20)),1000000000),1000000000))+ROW()/100000,"")</f>
        <v/>
      </c>
    </row>
    <row r="5043">
      <c r="D5043" s="11" t="n"/>
      <c r="K5043" s="7">
        <f>IF($C5043="","",J5043*W5043/100)</f>
        <v/>
      </c>
      <c r="Q5043" s="7" t="n"/>
      <c r="R5043" s="7" t="n"/>
      <c r="U5043">
        <f>IF($C5043="","",IF($AJ5043=1,0,IF($AI5043=1,Settings!$C$6,Settings!$C$7))*100)</f>
        <v/>
      </c>
      <c r="V5043" s="7">
        <f>IF($C5043="","",R5043*U5043/100)</f>
        <v/>
      </c>
      <c r="W5043" s="7">
        <f>IF($C5043="","",R5043-V5043)</f>
        <v/>
      </c>
      <c r="X5043" s="7">
        <f>IF($C5043="","",W5043-K5043)</f>
        <v/>
      </c>
      <c r="AB5043" s="7" t="n"/>
      <c r="AE5043" s="11" t="n"/>
      <c r="AG5043">
        <f>IF($C5043="","",IF(COUNTIF($C$2:$C5043,$C5043)=1,1,0))</f>
        <v/>
      </c>
      <c r="AH5043">
        <f>IF($AG5043=1,SUMPRODUCT(--($AK$2:$AK$6001&lt;$AK5043))+1,"")</f>
        <v/>
      </c>
      <c r="AI5043">
        <f>IF($C5043="","",IF(OR($N5043=TRUE(),$N5043="TRUE"),1,0))</f>
        <v/>
      </c>
      <c r="AJ5043">
        <f>IF($C5043="","",IF($T5043="Yes",1,0))</f>
        <v/>
      </c>
      <c r="AK5043">
        <f>IF($AG5043=1,IFERROR(IF(VALUE($C5043)&lt;100000000,VALUE($C5043),1000000000),IFERROR(IF(VALUE(MID($C5043,2,20))&lt;100000000,VALUE(MID($C5043,2,20)),1000000000),1000000000))+ROW()/100000,"")</f>
        <v/>
      </c>
    </row>
    <row r="5044">
      <c r="D5044" s="11" t="n"/>
      <c r="K5044" s="7">
        <f>IF($C5044="","",J5044*W5044/100)</f>
        <v/>
      </c>
      <c r="Q5044" s="7" t="n"/>
      <c r="R5044" s="7" t="n"/>
      <c r="U5044">
        <f>IF($C5044="","",IF($AJ5044=1,0,IF($AI5044=1,Settings!$C$6,Settings!$C$7))*100)</f>
        <v/>
      </c>
      <c r="V5044" s="7">
        <f>IF($C5044="","",R5044*U5044/100)</f>
        <v/>
      </c>
      <c r="W5044" s="7">
        <f>IF($C5044="","",R5044-V5044)</f>
        <v/>
      </c>
      <c r="X5044" s="7">
        <f>IF($C5044="","",W5044-K5044)</f>
        <v/>
      </c>
      <c r="AB5044" s="7" t="n"/>
      <c r="AE5044" s="11" t="n"/>
      <c r="AG5044">
        <f>IF($C5044="","",IF(COUNTIF($C$2:$C5044,$C5044)=1,1,0))</f>
        <v/>
      </c>
      <c r="AH5044">
        <f>IF($AG5044=1,SUMPRODUCT(--($AK$2:$AK$6001&lt;$AK5044))+1,"")</f>
        <v/>
      </c>
      <c r="AI5044">
        <f>IF($C5044="","",IF(OR($N5044=TRUE(),$N5044="TRUE"),1,0))</f>
        <v/>
      </c>
      <c r="AJ5044">
        <f>IF($C5044="","",IF($T5044="Yes",1,0))</f>
        <v/>
      </c>
      <c r="AK5044">
        <f>IF($AG5044=1,IFERROR(IF(VALUE($C5044)&lt;100000000,VALUE($C5044),1000000000),IFERROR(IF(VALUE(MID($C5044,2,20))&lt;100000000,VALUE(MID($C5044,2,20)),1000000000),1000000000))+ROW()/100000,"")</f>
        <v/>
      </c>
    </row>
    <row r="5045">
      <c r="D5045" s="11" t="n"/>
      <c r="K5045" s="7">
        <f>IF($C5045="","",J5045*W5045/100)</f>
        <v/>
      </c>
      <c r="Q5045" s="7" t="n"/>
      <c r="R5045" s="7" t="n"/>
      <c r="U5045">
        <f>IF($C5045="","",IF($AJ5045=1,0,IF($AI5045=1,Settings!$C$6,Settings!$C$7))*100)</f>
        <v/>
      </c>
      <c r="V5045" s="7">
        <f>IF($C5045="","",R5045*U5045/100)</f>
        <v/>
      </c>
      <c r="W5045" s="7">
        <f>IF($C5045="","",R5045-V5045)</f>
        <v/>
      </c>
      <c r="X5045" s="7">
        <f>IF($C5045="","",W5045-K5045)</f>
        <v/>
      </c>
      <c r="AB5045" s="7" t="n"/>
      <c r="AE5045" s="11" t="n"/>
      <c r="AG5045">
        <f>IF($C5045="","",IF(COUNTIF($C$2:$C5045,$C5045)=1,1,0))</f>
        <v/>
      </c>
      <c r="AH5045">
        <f>IF($AG5045=1,SUMPRODUCT(--($AK$2:$AK$6001&lt;$AK5045))+1,"")</f>
        <v/>
      </c>
      <c r="AI5045">
        <f>IF($C5045="","",IF(OR($N5045=TRUE(),$N5045="TRUE"),1,0))</f>
        <v/>
      </c>
      <c r="AJ5045">
        <f>IF($C5045="","",IF($T5045="Yes",1,0))</f>
        <v/>
      </c>
      <c r="AK5045">
        <f>IF($AG5045=1,IFERROR(IF(VALUE($C5045)&lt;100000000,VALUE($C5045),1000000000),IFERROR(IF(VALUE(MID($C5045,2,20))&lt;100000000,VALUE(MID($C5045,2,20)),1000000000),1000000000))+ROW()/100000,"")</f>
        <v/>
      </c>
    </row>
    <row r="5046">
      <c r="D5046" s="11" t="n"/>
      <c r="K5046" s="7">
        <f>IF($C5046="","",J5046*W5046/100)</f>
        <v/>
      </c>
      <c r="Q5046" s="7" t="n"/>
      <c r="R5046" s="7" t="n"/>
      <c r="U5046">
        <f>IF($C5046="","",IF($AJ5046=1,0,IF($AI5046=1,Settings!$C$6,Settings!$C$7))*100)</f>
        <v/>
      </c>
      <c r="V5046" s="7">
        <f>IF($C5046="","",R5046*U5046/100)</f>
        <v/>
      </c>
      <c r="W5046" s="7">
        <f>IF($C5046="","",R5046-V5046)</f>
        <v/>
      </c>
      <c r="X5046" s="7">
        <f>IF($C5046="","",W5046-K5046)</f>
        <v/>
      </c>
      <c r="AB5046" s="7" t="n"/>
      <c r="AE5046" s="11" t="n"/>
      <c r="AG5046">
        <f>IF($C5046="","",IF(COUNTIF($C$2:$C5046,$C5046)=1,1,0))</f>
        <v/>
      </c>
      <c r="AH5046">
        <f>IF($AG5046=1,SUMPRODUCT(--($AK$2:$AK$6001&lt;$AK5046))+1,"")</f>
        <v/>
      </c>
      <c r="AI5046">
        <f>IF($C5046="","",IF(OR($N5046=TRUE(),$N5046="TRUE"),1,0))</f>
        <v/>
      </c>
      <c r="AJ5046">
        <f>IF($C5046="","",IF($T5046="Yes",1,0))</f>
        <v/>
      </c>
      <c r="AK5046">
        <f>IF($AG5046=1,IFERROR(IF(VALUE($C5046)&lt;100000000,VALUE($C5046),1000000000),IFERROR(IF(VALUE(MID($C5046,2,20))&lt;100000000,VALUE(MID($C5046,2,20)),1000000000),1000000000))+ROW()/100000,"")</f>
        <v/>
      </c>
    </row>
    <row r="5047">
      <c r="D5047" s="11" t="n"/>
      <c r="K5047" s="7">
        <f>IF($C5047="","",J5047*W5047/100)</f>
        <v/>
      </c>
      <c r="Q5047" s="7" t="n"/>
      <c r="R5047" s="7" t="n"/>
      <c r="U5047">
        <f>IF($C5047="","",IF($AJ5047=1,0,IF($AI5047=1,Settings!$C$6,Settings!$C$7))*100)</f>
        <v/>
      </c>
      <c r="V5047" s="7">
        <f>IF($C5047="","",R5047*U5047/100)</f>
        <v/>
      </c>
      <c r="W5047" s="7">
        <f>IF($C5047="","",R5047-V5047)</f>
        <v/>
      </c>
      <c r="X5047" s="7">
        <f>IF($C5047="","",W5047-K5047)</f>
        <v/>
      </c>
      <c r="AB5047" s="7" t="n"/>
      <c r="AE5047" s="11" t="n"/>
      <c r="AG5047">
        <f>IF($C5047="","",IF(COUNTIF($C$2:$C5047,$C5047)=1,1,0))</f>
        <v/>
      </c>
      <c r="AH5047">
        <f>IF($AG5047=1,SUMPRODUCT(--($AK$2:$AK$6001&lt;$AK5047))+1,"")</f>
        <v/>
      </c>
      <c r="AI5047">
        <f>IF($C5047="","",IF(OR($N5047=TRUE(),$N5047="TRUE"),1,0))</f>
        <v/>
      </c>
      <c r="AJ5047">
        <f>IF($C5047="","",IF($T5047="Yes",1,0))</f>
        <v/>
      </c>
      <c r="AK5047">
        <f>IF($AG5047=1,IFERROR(IF(VALUE($C5047)&lt;100000000,VALUE($C5047),1000000000),IFERROR(IF(VALUE(MID($C5047,2,20))&lt;100000000,VALUE(MID($C5047,2,20)),1000000000),1000000000))+ROW()/100000,"")</f>
        <v/>
      </c>
    </row>
    <row r="5048">
      <c r="D5048" s="11" t="n"/>
      <c r="K5048" s="7">
        <f>IF($C5048="","",J5048*W5048/100)</f>
        <v/>
      </c>
      <c r="Q5048" s="7" t="n"/>
      <c r="R5048" s="7" t="n"/>
      <c r="U5048">
        <f>IF($C5048="","",IF($AJ5048=1,0,IF($AI5048=1,Settings!$C$6,Settings!$C$7))*100)</f>
        <v/>
      </c>
      <c r="V5048" s="7">
        <f>IF($C5048="","",R5048*U5048/100)</f>
        <v/>
      </c>
      <c r="W5048" s="7">
        <f>IF($C5048="","",R5048-V5048)</f>
        <v/>
      </c>
      <c r="X5048" s="7">
        <f>IF($C5048="","",W5048-K5048)</f>
        <v/>
      </c>
      <c r="AB5048" s="7" t="n"/>
      <c r="AE5048" s="11" t="n"/>
      <c r="AG5048">
        <f>IF($C5048="","",IF(COUNTIF($C$2:$C5048,$C5048)=1,1,0))</f>
        <v/>
      </c>
      <c r="AH5048">
        <f>IF($AG5048=1,SUMPRODUCT(--($AK$2:$AK$6001&lt;$AK5048))+1,"")</f>
        <v/>
      </c>
      <c r="AI5048">
        <f>IF($C5048="","",IF(OR($N5048=TRUE(),$N5048="TRUE"),1,0))</f>
        <v/>
      </c>
      <c r="AJ5048">
        <f>IF($C5048="","",IF($T5048="Yes",1,0))</f>
        <v/>
      </c>
      <c r="AK5048">
        <f>IF($AG5048=1,IFERROR(IF(VALUE($C5048)&lt;100000000,VALUE($C5048),1000000000),IFERROR(IF(VALUE(MID($C5048,2,20))&lt;100000000,VALUE(MID($C5048,2,20)),1000000000),1000000000))+ROW()/100000,"")</f>
        <v/>
      </c>
    </row>
    <row r="5049">
      <c r="D5049" s="11" t="n"/>
      <c r="K5049" s="7">
        <f>IF($C5049="","",J5049*W5049/100)</f>
        <v/>
      </c>
      <c r="Q5049" s="7" t="n"/>
      <c r="R5049" s="7" t="n"/>
      <c r="U5049">
        <f>IF($C5049="","",IF($AJ5049=1,0,IF($AI5049=1,Settings!$C$6,Settings!$C$7))*100)</f>
        <v/>
      </c>
      <c r="V5049" s="7">
        <f>IF($C5049="","",R5049*U5049/100)</f>
        <v/>
      </c>
      <c r="W5049" s="7">
        <f>IF($C5049="","",R5049-V5049)</f>
        <v/>
      </c>
      <c r="X5049" s="7">
        <f>IF($C5049="","",W5049-K5049)</f>
        <v/>
      </c>
      <c r="AB5049" s="7" t="n"/>
      <c r="AE5049" s="11" t="n"/>
      <c r="AG5049">
        <f>IF($C5049="","",IF(COUNTIF($C$2:$C5049,$C5049)=1,1,0))</f>
        <v/>
      </c>
      <c r="AH5049">
        <f>IF($AG5049=1,SUMPRODUCT(--($AK$2:$AK$6001&lt;$AK5049))+1,"")</f>
        <v/>
      </c>
      <c r="AI5049">
        <f>IF($C5049="","",IF(OR($N5049=TRUE(),$N5049="TRUE"),1,0))</f>
        <v/>
      </c>
      <c r="AJ5049">
        <f>IF($C5049="","",IF($T5049="Yes",1,0))</f>
        <v/>
      </c>
      <c r="AK5049">
        <f>IF($AG5049=1,IFERROR(IF(VALUE($C5049)&lt;100000000,VALUE($C5049),1000000000),IFERROR(IF(VALUE(MID($C5049,2,20))&lt;100000000,VALUE(MID($C5049,2,20)),1000000000),1000000000))+ROW()/100000,"")</f>
        <v/>
      </c>
    </row>
    <row r="5050">
      <c r="D5050" s="11" t="n"/>
      <c r="K5050" s="7">
        <f>IF($C5050="","",J5050*W5050/100)</f>
        <v/>
      </c>
      <c r="Q5050" s="7" t="n"/>
      <c r="R5050" s="7" t="n"/>
      <c r="U5050">
        <f>IF($C5050="","",IF($AJ5050=1,0,IF($AI5050=1,Settings!$C$6,Settings!$C$7))*100)</f>
        <v/>
      </c>
      <c r="V5050" s="7">
        <f>IF($C5050="","",R5050*U5050/100)</f>
        <v/>
      </c>
      <c r="W5050" s="7">
        <f>IF($C5050="","",R5050-V5050)</f>
        <v/>
      </c>
      <c r="X5050" s="7">
        <f>IF($C5050="","",W5050-K5050)</f>
        <v/>
      </c>
      <c r="AB5050" s="7" t="n"/>
      <c r="AE5050" s="11" t="n"/>
      <c r="AG5050">
        <f>IF($C5050="","",IF(COUNTIF($C$2:$C5050,$C5050)=1,1,0))</f>
        <v/>
      </c>
      <c r="AH5050">
        <f>IF($AG5050=1,SUMPRODUCT(--($AK$2:$AK$6001&lt;$AK5050))+1,"")</f>
        <v/>
      </c>
      <c r="AI5050">
        <f>IF($C5050="","",IF(OR($N5050=TRUE(),$N5050="TRUE"),1,0))</f>
        <v/>
      </c>
      <c r="AJ5050">
        <f>IF($C5050="","",IF($T5050="Yes",1,0))</f>
        <v/>
      </c>
      <c r="AK5050">
        <f>IF($AG5050=1,IFERROR(IF(VALUE($C5050)&lt;100000000,VALUE($C5050),1000000000),IFERROR(IF(VALUE(MID($C5050,2,20))&lt;100000000,VALUE(MID($C5050,2,20)),1000000000),1000000000))+ROW()/100000,"")</f>
        <v/>
      </c>
    </row>
    <row r="5051">
      <c r="D5051" s="11" t="n"/>
      <c r="K5051" s="7">
        <f>IF($C5051="","",J5051*W5051/100)</f>
        <v/>
      </c>
      <c r="Q5051" s="7" t="n"/>
      <c r="R5051" s="7" t="n"/>
      <c r="U5051">
        <f>IF($C5051="","",IF($AJ5051=1,0,IF($AI5051=1,Settings!$C$6,Settings!$C$7))*100)</f>
        <v/>
      </c>
      <c r="V5051" s="7">
        <f>IF($C5051="","",R5051*U5051/100)</f>
        <v/>
      </c>
      <c r="W5051" s="7">
        <f>IF($C5051="","",R5051-V5051)</f>
        <v/>
      </c>
      <c r="X5051" s="7">
        <f>IF($C5051="","",W5051-K5051)</f>
        <v/>
      </c>
      <c r="AB5051" s="7" t="n"/>
      <c r="AE5051" s="11" t="n"/>
      <c r="AG5051">
        <f>IF($C5051="","",IF(COUNTIF($C$2:$C5051,$C5051)=1,1,0))</f>
        <v/>
      </c>
      <c r="AH5051">
        <f>IF($AG5051=1,SUMPRODUCT(--($AK$2:$AK$6001&lt;$AK5051))+1,"")</f>
        <v/>
      </c>
      <c r="AI5051">
        <f>IF($C5051="","",IF(OR($N5051=TRUE(),$N5051="TRUE"),1,0))</f>
        <v/>
      </c>
      <c r="AJ5051">
        <f>IF($C5051="","",IF($T5051="Yes",1,0))</f>
        <v/>
      </c>
      <c r="AK5051">
        <f>IF($AG5051=1,IFERROR(IF(VALUE($C5051)&lt;100000000,VALUE($C5051),1000000000),IFERROR(IF(VALUE(MID($C5051,2,20))&lt;100000000,VALUE(MID($C5051,2,20)),1000000000),1000000000))+ROW()/100000,"")</f>
        <v/>
      </c>
    </row>
    <row r="5052">
      <c r="D5052" s="11" t="n"/>
      <c r="K5052" s="7">
        <f>IF($C5052="","",J5052*W5052/100)</f>
        <v/>
      </c>
      <c r="Q5052" s="7" t="n"/>
      <c r="R5052" s="7" t="n"/>
      <c r="U5052">
        <f>IF($C5052="","",IF($AJ5052=1,0,IF($AI5052=1,Settings!$C$6,Settings!$C$7))*100)</f>
        <v/>
      </c>
      <c r="V5052" s="7">
        <f>IF($C5052="","",R5052*U5052/100)</f>
        <v/>
      </c>
      <c r="W5052" s="7">
        <f>IF($C5052="","",R5052-V5052)</f>
        <v/>
      </c>
      <c r="X5052" s="7">
        <f>IF($C5052="","",W5052-K5052)</f>
        <v/>
      </c>
      <c r="AB5052" s="7" t="n"/>
      <c r="AE5052" s="11" t="n"/>
      <c r="AG5052">
        <f>IF($C5052="","",IF(COUNTIF($C$2:$C5052,$C5052)=1,1,0))</f>
        <v/>
      </c>
      <c r="AH5052">
        <f>IF($AG5052=1,SUMPRODUCT(--($AK$2:$AK$6001&lt;$AK5052))+1,"")</f>
        <v/>
      </c>
      <c r="AI5052">
        <f>IF($C5052="","",IF(OR($N5052=TRUE(),$N5052="TRUE"),1,0))</f>
        <v/>
      </c>
      <c r="AJ5052">
        <f>IF($C5052="","",IF($T5052="Yes",1,0))</f>
        <v/>
      </c>
      <c r="AK5052">
        <f>IF($AG5052=1,IFERROR(IF(VALUE($C5052)&lt;100000000,VALUE($C5052),1000000000),IFERROR(IF(VALUE(MID($C5052,2,20))&lt;100000000,VALUE(MID($C5052,2,20)),1000000000),1000000000))+ROW()/100000,"")</f>
        <v/>
      </c>
    </row>
    <row r="5053">
      <c r="D5053" s="11" t="n"/>
      <c r="K5053" s="7">
        <f>IF($C5053="","",J5053*W5053/100)</f>
        <v/>
      </c>
      <c r="Q5053" s="7" t="n"/>
      <c r="R5053" s="7" t="n"/>
      <c r="U5053">
        <f>IF($C5053="","",IF($AJ5053=1,0,IF($AI5053=1,Settings!$C$6,Settings!$C$7))*100)</f>
        <v/>
      </c>
      <c r="V5053" s="7">
        <f>IF($C5053="","",R5053*U5053/100)</f>
        <v/>
      </c>
      <c r="W5053" s="7">
        <f>IF($C5053="","",R5053-V5053)</f>
        <v/>
      </c>
      <c r="X5053" s="7">
        <f>IF($C5053="","",W5053-K5053)</f>
        <v/>
      </c>
      <c r="AB5053" s="7" t="n"/>
      <c r="AE5053" s="11" t="n"/>
      <c r="AG5053">
        <f>IF($C5053="","",IF(COUNTIF($C$2:$C5053,$C5053)=1,1,0))</f>
        <v/>
      </c>
      <c r="AH5053">
        <f>IF($AG5053=1,SUMPRODUCT(--($AK$2:$AK$6001&lt;$AK5053))+1,"")</f>
        <v/>
      </c>
      <c r="AI5053">
        <f>IF($C5053="","",IF(OR($N5053=TRUE(),$N5053="TRUE"),1,0))</f>
        <v/>
      </c>
      <c r="AJ5053">
        <f>IF($C5053="","",IF($T5053="Yes",1,0))</f>
        <v/>
      </c>
      <c r="AK5053">
        <f>IF($AG5053=1,IFERROR(IF(VALUE($C5053)&lt;100000000,VALUE($C5053),1000000000),IFERROR(IF(VALUE(MID($C5053,2,20))&lt;100000000,VALUE(MID($C5053,2,20)),1000000000),1000000000))+ROW()/100000,"")</f>
        <v/>
      </c>
    </row>
    <row r="5054">
      <c r="D5054" s="11" t="n"/>
      <c r="K5054" s="7">
        <f>IF($C5054="","",J5054*W5054/100)</f>
        <v/>
      </c>
      <c r="Q5054" s="7" t="n"/>
      <c r="R5054" s="7" t="n"/>
      <c r="U5054">
        <f>IF($C5054="","",IF($AJ5054=1,0,IF($AI5054=1,Settings!$C$6,Settings!$C$7))*100)</f>
        <v/>
      </c>
      <c r="V5054" s="7">
        <f>IF($C5054="","",R5054*U5054/100)</f>
        <v/>
      </c>
      <c r="W5054" s="7">
        <f>IF($C5054="","",R5054-V5054)</f>
        <v/>
      </c>
      <c r="X5054" s="7">
        <f>IF($C5054="","",W5054-K5054)</f>
        <v/>
      </c>
      <c r="AB5054" s="7" t="n"/>
      <c r="AE5054" s="11" t="n"/>
      <c r="AG5054">
        <f>IF($C5054="","",IF(COUNTIF($C$2:$C5054,$C5054)=1,1,0))</f>
        <v/>
      </c>
      <c r="AH5054">
        <f>IF($AG5054=1,SUMPRODUCT(--($AK$2:$AK$6001&lt;$AK5054))+1,"")</f>
        <v/>
      </c>
      <c r="AI5054">
        <f>IF($C5054="","",IF(OR($N5054=TRUE(),$N5054="TRUE"),1,0))</f>
        <v/>
      </c>
      <c r="AJ5054">
        <f>IF($C5054="","",IF($T5054="Yes",1,0))</f>
        <v/>
      </c>
      <c r="AK5054">
        <f>IF($AG5054=1,IFERROR(IF(VALUE($C5054)&lt;100000000,VALUE($C5054),1000000000),IFERROR(IF(VALUE(MID($C5054,2,20))&lt;100000000,VALUE(MID($C5054,2,20)),1000000000),1000000000))+ROW()/100000,"")</f>
        <v/>
      </c>
    </row>
    <row r="5055">
      <c r="D5055" s="11" t="n"/>
      <c r="K5055" s="7">
        <f>IF($C5055="","",J5055*W5055/100)</f>
        <v/>
      </c>
      <c r="Q5055" s="7" t="n"/>
      <c r="R5055" s="7" t="n"/>
      <c r="U5055">
        <f>IF($C5055="","",IF($AJ5055=1,0,IF($AI5055=1,Settings!$C$6,Settings!$C$7))*100)</f>
        <v/>
      </c>
      <c r="V5055" s="7">
        <f>IF($C5055="","",R5055*U5055/100)</f>
        <v/>
      </c>
      <c r="W5055" s="7">
        <f>IF($C5055="","",R5055-V5055)</f>
        <v/>
      </c>
      <c r="X5055" s="7">
        <f>IF($C5055="","",W5055-K5055)</f>
        <v/>
      </c>
      <c r="AB5055" s="7" t="n"/>
      <c r="AE5055" s="11" t="n"/>
      <c r="AG5055">
        <f>IF($C5055="","",IF(COUNTIF($C$2:$C5055,$C5055)=1,1,0))</f>
        <v/>
      </c>
      <c r="AH5055">
        <f>IF($AG5055=1,SUMPRODUCT(--($AK$2:$AK$6001&lt;$AK5055))+1,"")</f>
        <v/>
      </c>
      <c r="AI5055">
        <f>IF($C5055="","",IF(OR($N5055=TRUE(),$N5055="TRUE"),1,0))</f>
        <v/>
      </c>
      <c r="AJ5055">
        <f>IF($C5055="","",IF($T5055="Yes",1,0))</f>
        <v/>
      </c>
      <c r="AK5055">
        <f>IF($AG5055=1,IFERROR(IF(VALUE($C5055)&lt;100000000,VALUE($C5055),1000000000),IFERROR(IF(VALUE(MID($C5055,2,20))&lt;100000000,VALUE(MID($C5055,2,20)),1000000000),1000000000))+ROW()/100000,"")</f>
        <v/>
      </c>
    </row>
    <row r="5056">
      <c r="D5056" s="11" t="n"/>
      <c r="K5056" s="7">
        <f>IF($C5056="","",J5056*W5056/100)</f>
        <v/>
      </c>
      <c r="Q5056" s="7" t="n"/>
      <c r="R5056" s="7" t="n"/>
      <c r="U5056">
        <f>IF($C5056="","",IF($AJ5056=1,0,IF($AI5056=1,Settings!$C$6,Settings!$C$7))*100)</f>
        <v/>
      </c>
      <c r="V5056" s="7">
        <f>IF($C5056="","",R5056*U5056/100)</f>
        <v/>
      </c>
      <c r="W5056" s="7">
        <f>IF($C5056="","",R5056-V5056)</f>
        <v/>
      </c>
      <c r="X5056" s="7">
        <f>IF($C5056="","",W5056-K5056)</f>
        <v/>
      </c>
      <c r="AB5056" s="7" t="n"/>
      <c r="AE5056" s="11" t="n"/>
      <c r="AG5056">
        <f>IF($C5056="","",IF(COUNTIF($C$2:$C5056,$C5056)=1,1,0))</f>
        <v/>
      </c>
      <c r="AH5056">
        <f>IF($AG5056=1,SUMPRODUCT(--($AK$2:$AK$6001&lt;$AK5056))+1,"")</f>
        <v/>
      </c>
      <c r="AI5056">
        <f>IF($C5056="","",IF(OR($N5056=TRUE(),$N5056="TRUE"),1,0))</f>
        <v/>
      </c>
      <c r="AJ5056">
        <f>IF($C5056="","",IF($T5056="Yes",1,0))</f>
        <v/>
      </c>
      <c r="AK5056">
        <f>IF($AG5056=1,IFERROR(IF(VALUE($C5056)&lt;100000000,VALUE($C5056),1000000000),IFERROR(IF(VALUE(MID($C5056,2,20))&lt;100000000,VALUE(MID($C5056,2,20)),1000000000),1000000000))+ROW()/100000,"")</f>
        <v/>
      </c>
    </row>
    <row r="5057">
      <c r="D5057" s="11" t="n"/>
      <c r="K5057" s="7">
        <f>IF($C5057="","",J5057*W5057/100)</f>
        <v/>
      </c>
      <c r="Q5057" s="7" t="n"/>
      <c r="R5057" s="7" t="n"/>
      <c r="U5057">
        <f>IF($C5057="","",IF($AJ5057=1,0,IF($AI5057=1,Settings!$C$6,Settings!$C$7))*100)</f>
        <v/>
      </c>
      <c r="V5057" s="7">
        <f>IF($C5057="","",R5057*U5057/100)</f>
        <v/>
      </c>
      <c r="W5057" s="7">
        <f>IF($C5057="","",R5057-V5057)</f>
        <v/>
      </c>
      <c r="X5057" s="7">
        <f>IF($C5057="","",W5057-K5057)</f>
        <v/>
      </c>
      <c r="AB5057" s="7" t="n"/>
      <c r="AE5057" s="11" t="n"/>
      <c r="AG5057">
        <f>IF($C5057="","",IF(COUNTIF($C$2:$C5057,$C5057)=1,1,0))</f>
        <v/>
      </c>
      <c r="AH5057">
        <f>IF($AG5057=1,SUMPRODUCT(--($AK$2:$AK$6001&lt;$AK5057))+1,"")</f>
        <v/>
      </c>
      <c r="AI5057">
        <f>IF($C5057="","",IF(OR($N5057=TRUE(),$N5057="TRUE"),1,0))</f>
        <v/>
      </c>
      <c r="AJ5057">
        <f>IF($C5057="","",IF($T5057="Yes",1,0))</f>
        <v/>
      </c>
      <c r="AK5057">
        <f>IF($AG5057=1,IFERROR(IF(VALUE($C5057)&lt;100000000,VALUE($C5057),1000000000),IFERROR(IF(VALUE(MID($C5057,2,20))&lt;100000000,VALUE(MID($C5057,2,20)),1000000000),1000000000))+ROW()/100000,"")</f>
        <v/>
      </c>
    </row>
    <row r="5058">
      <c r="D5058" s="11" t="n"/>
      <c r="K5058" s="7">
        <f>IF($C5058="","",J5058*W5058/100)</f>
        <v/>
      </c>
      <c r="Q5058" s="7" t="n"/>
      <c r="R5058" s="7" t="n"/>
      <c r="U5058">
        <f>IF($C5058="","",IF($AJ5058=1,0,IF($AI5058=1,Settings!$C$6,Settings!$C$7))*100)</f>
        <v/>
      </c>
      <c r="V5058" s="7">
        <f>IF($C5058="","",R5058*U5058/100)</f>
        <v/>
      </c>
      <c r="W5058" s="7">
        <f>IF($C5058="","",R5058-V5058)</f>
        <v/>
      </c>
      <c r="X5058" s="7">
        <f>IF($C5058="","",W5058-K5058)</f>
        <v/>
      </c>
      <c r="AB5058" s="7" t="n"/>
      <c r="AE5058" s="11" t="n"/>
      <c r="AG5058">
        <f>IF($C5058="","",IF(COUNTIF($C$2:$C5058,$C5058)=1,1,0))</f>
        <v/>
      </c>
      <c r="AH5058">
        <f>IF($AG5058=1,SUMPRODUCT(--($AK$2:$AK$6001&lt;$AK5058))+1,"")</f>
        <v/>
      </c>
      <c r="AI5058">
        <f>IF($C5058="","",IF(OR($N5058=TRUE(),$N5058="TRUE"),1,0))</f>
        <v/>
      </c>
      <c r="AJ5058">
        <f>IF($C5058="","",IF($T5058="Yes",1,0))</f>
        <v/>
      </c>
      <c r="AK5058">
        <f>IF($AG5058=1,IFERROR(IF(VALUE($C5058)&lt;100000000,VALUE($C5058),1000000000),IFERROR(IF(VALUE(MID($C5058,2,20))&lt;100000000,VALUE(MID($C5058,2,20)),1000000000),1000000000))+ROW()/100000,"")</f>
        <v/>
      </c>
    </row>
    <row r="5059">
      <c r="D5059" s="11" t="n"/>
      <c r="K5059" s="7">
        <f>IF($C5059="","",J5059*W5059/100)</f>
        <v/>
      </c>
      <c r="Q5059" s="7" t="n"/>
      <c r="R5059" s="7" t="n"/>
      <c r="U5059">
        <f>IF($C5059="","",IF($AJ5059=1,0,IF($AI5059=1,Settings!$C$6,Settings!$C$7))*100)</f>
        <v/>
      </c>
      <c r="V5059" s="7">
        <f>IF($C5059="","",R5059*U5059/100)</f>
        <v/>
      </c>
      <c r="W5059" s="7">
        <f>IF($C5059="","",R5059-V5059)</f>
        <v/>
      </c>
      <c r="X5059" s="7">
        <f>IF($C5059="","",W5059-K5059)</f>
        <v/>
      </c>
      <c r="AB5059" s="7" t="n"/>
      <c r="AE5059" s="11" t="n"/>
      <c r="AG5059">
        <f>IF($C5059="","",IF(COUNTIF($C$2:$C5059,$C5059)=1,1,0))</f>
        <v/>
      </c>
      <c r="AH5059">
        <f>IF($AG5059=1,SUMPRODUCT(--($AK$2:$AK$6001&lt;$AK5059))+1,"")</f>
        <v/>
      </c>
      <c r="AI5059">
        <f>IF($C5059="","",IF(OR($N5059=TRUE(),$N5059="TRUE"),1,0))</f>
        <v/>
      </c>
      <c r="AJ5059">
        <f>IF($C5059="","",IF($T5059="Yes",1,0))</f>
        <v/>
      </c>
      <c r="AK5059">
        <f>IF($AG5059=1,IFERROR(IF(VALUE($C5059)&lt;100000000,VALUE($C5059),1000000000),IFERROR(IF(VALUE(MID($C5059,2,20))&lt;100000000,VALUE(MID($C5059,2,20)),1000000000),1000000000))+ROW()/100000,"")</f>
        <v/>
      </c>
    </row>
    <row r="5060">
      <c r="D5060" s="11" t="n"/>
      <c r="K5060" s="7">
        <f>IF($C5060="","",J5060*W5060/100)</f>
        <v/>
      </c>
      <c r="Q5060" s="7" t="n"/>
      <c r="R5060" s="7" t="n"/>
      <c r="U5060">
        <f>IF($C5060="","",IF($AJ5060=1,0,IF($AI5060=1,Settings!$C$6,Settings!$C$7))*100)</f>
        <v/>
      </c>
      <c r="V5060" s="7">
        <f>IF($C5060="","",R5060*U5060/100)</f>
        <v/>
      </c>
      <c r="W5060" s="7">
        <f>IF($C5060="","",R5060-V5060)</f>
        <v/>
      </c>
      <c r="X5060" s="7">
        <f>IF($C5060="","",W5060-K5060)</f>
        <v/>
      </c>
      <c r="AB5060" s="7" t="n"/>
      <c r="AE5060" s="11" t="n"/>
      <c r="AG5060">
        <f>IF($C5060="","",IF(COUNTIF($C$2:$C5060,$C5060)=1,1,0))</f>
        <v/>
      </c>
      <c r="AH5060">
        <f>IF($AG5060=1,SUMPRODUCT(--($AK$2:$AK$6001&lt;$AK5060))+1,"")</f>
        <v/>
      </c>
      <c r="AI5060">
        <f>IF($C5060="","",IF(OR($N5060=TRUE(),$N5060="TRUE"),1,0))</f>
        <v/>
      </c>
      <c r="AJ5060">
        <f>IF($C5060="","",IF($T5060="Yes",1,0))</f>
        <v/>
      </c>
      <c r="AK5060">
        <f>IF($AG5060=1,IFERROR(IF(VALUE($C5060)&lt;100000000,VALUE($C5060),1000000000),IFERROR(IF(VALUE(MID($C5060,2,20))&lt;100000000,VALUE(MID($C5060,2,20)),1000000000),1000000000))+ROW()/100000,"")</f>
        <v/>
      </c>
    </row>
    <row r="5061">
      <c r="D5061" s="11" t="n"/>
      <c r="K5061" s="7">
        <f>IF($C5061="","",J5061*W5061/100)</f>
        <v/>
      </c>
      <c r="Q5061" s="7" t="n"/>
      <c r="R5061" s="7" t="n"/>
      <c r="U5061">
        <f>IF($C5061="","",IF($AJ5061=1,0,IF($AI5061=1,Settings!$C$6,Settings!$C$7))*100)</f>
        <v/>
      </c>
      <c r="V5061" s="7">
        <f>IF($C5061="","",R5061*U5061/100)</f>
        <v/>
      </c>
      <c r="W5061" s="7">
        <f>IF($C5061="","",R5061-V5061)</f>
        <v/>
      </c>
      <c r="X5061" s="7">
        <f>IF($C5061="","",W5061-K5061)</f>
        <v/>
      </c>
      <c r="AB5061" s="7" t="n"/>
      <c r="AE5061" s="11" t="n"/>
      <c r="AG5061">
        <f>IF($C5061="","",IF(COUNTIF($C$2:$C5061,$C5061)=1,1,0))</f>
        <v/>
      </c>
      <c r="AH5061">
        <f>IF($AG5061=1,SUMPRODUCT(--($AK$2:$AK$6001&lt;$AK5061))+1,"")</f>
        <v/>
      </c>
      <c r="AI5061">
        <f>IF($C5061="","",IF(OR($N5061=TRUE(),$N5061="TRUE"),1,0))</f>
        <v/>
      </c>
      <c r="AJ5061">
        <f>IF($C5061="","",IF($T5061="Yes",1,0))</f>
        <v/>
      </c>
      <c r="AK5061">
        <f>IF($AG5061=1,IFERROR(IF(VALUE($C5061)&lt;100000000,VALUE($C5061),1000000000),IFERROR(IF(VALUE(MID($C5061,2,20))&lt;100000000,VALUE(MID($C5061,2,20)),1000000000),1000000000))+ROW()/100000,"")</f>
        <v/>
      </c>
    </row>
    <row r="5062">
      <c r="D5062" s="11" t="n"/>
      <c r="K5062" s="7">
        <f>IF($C5062="","",J5062*W5062/100)</f>
        <v/>
      </c>
      <c r="Q5062" s="7" t="n"/>
      <c r="R5062" s="7" t="n"/>
      <c r="U5062">
        <f>IF($C5062="","",IF($AJ5062=1,0,IF($AI5062=1,Settings!$C$6,Settings!$C$7))*100)</f>
        <v/>
      </c>
      <c r="V5062" s="7">
        <f>IF($C5062="","",R5062*U5062/100)</f>
        <v/>
      </c>
      <c r="W5062" s="7">
        <f>IF($C5062="","",R5062-V5062)</f>
        <v/>
      </c>
      <c r="X5062" s="7">
        <f>IF($C5062="","",W5062-K5062)</f>
        <v/>
      </c>
      <c r="AB5062" s="7" t="n"/>
      <c r="AE5062" s="11" t="n"/>
      <c r="AG5062">
        <f>IF($C5062="","",IF(COUNTIF($C$2:$C5062,$C5062)=1,1,0))</f>
        <v/>
      </c>
      <c r="AH5062">
        <f>IF($AG5062=1,SUMPRODUCT(--($AK$2:$AK$6001&lt;$AK5062))+1,"")</f>
        <v/>
      </c>
      <c r="AI5062">
        <f>IF($C5062="","",IF(OR($N5062=TRUE(),$N5062="TRUE"),1,0))</f>
        <v/>
      </c>
      <c r="AJ5062">
        <f>IF($C5062="","",IF($T5062="Yes",1,0))</f>
        <v/>
      </c>
      <c r="AK5062">
        <f>IF($AG5062=1,IFERROR(IF(VALUE($C5062)&lt;100000000,VALUE($C5062),1000000000),IFERROR(IF(VALUE(MID($C5062,2,20))&lt;100000000,VALUE(MID($C5062,2,20)),1000000000),1000000000))+ROW()/100000,"")</f>
        <v/>
      </c>
    </row>
    <row r="5063">
      <c r="D5063" s="11" t="n"/>
      <c r="K5063" s="7">
        <f>IF($C5063="","",J5063*W5063/100)</f>
        <v/>
      </c>
      <c r="Q5063" s="7" t="n"/>
      <c r="R5063" s="7" t="n"/>
      <c r="U5063">
        <f>IF($C5063="","",IF($AJ5063=1,0,IF($AI5063=1,Settings!$C$6,Settings!$C$7))*100)</f>
        <v/>
      </c>
      <c r="V5063" s="7">
        <f>IF($C5063="","",R5063*U5063/100)</f>
        <v/>
      </c>
      <c r="W5063" s="7">
        <f>IF($C5063="","",R5063-V5063)</f>
        <v/>
      </c>
      <c r="X5063" s="7">
        <f>IF($C5063="","",W5063-K5063)</f>
        <v/>
      </c>
      <c r="AB5063" s="7" t="n"/>
      <c r="AE5063" s="11" t="n"/>
      <c r="AG5063">
        <f>IF($C5063="","",IF(COUNTIF($C$2:$C5063,$C5063)=1,1,0))</f>
        <v/>
      </c>
      <c r="AH5063">
        <f>IF($AG5063=1,SUMPRODUCT(--($AK$2:$AK$6001&lt;$AK5063))+1,"")</f>
        <v/>
      </c>
      <c r="AI5063">
        <f>IF($C5063="","",IF(OR($N5063=TRUE(),$N5063="TRUE"),1,0))</f>
        <v/>
      </c>
      <c r="AJ5063">
        <f>IF($C5063="","",IF($T5063="Yes",1,0))</f>
        <v/>
      </c>
      <c r="AK5063">
        <f>IF($AG5063=1,IFERROR(IF(VALUE($C5063)&lt;100000000,VALUE($C5063),1000000000),IFERROR(IF(VALUE(MID($C5063,2,20))&lt;100000000,VALUE(MID($C5063,2,20)),1000000000),1000000000))+ROW()/100000,"")</f>
        <v/>
      </c>
    </row>
    <row r="5064">
      <c r="D5064" s="11" t="n"/>
      <c r="K5064" s="7">
        <f>IF($C5064="","",J5064*W5064/100)</f>
        <v/>
      </c>
      <c r="Q5064" s="7" t="n"/>
      <c r="R5064" s="7" t="n"/>
      <c r="U5064">
        <f>IF($C5064="","",IF($AJ5064=1,0,IF($AI5064=1,Settings!$C$6,Settings!$C$7))*100)</f>
        <v/>
      </c>
      <c r="V5064" s="7">
        <f>IF($C5064="","",R5064*U5064/100)</f>
        <v/>
      </c>
      <c r="W5064" s="7">
        <f>IF($C5064="","",R5064-V5064)</f>
        <v/>
      </c>
      <c r="X5064" s="7">
        <f>IF($C5064="","",W5064-K5064)</f>
        <v/>
      </c>
      <c r="AB5064" s="7" t="n"/>
      <c r="AE5064" s="11" t="n"/>
      <c r="AG5064">
        <f>IF($C5064="","",IF(COUNTIF($C$2:$C5064,$C5064)=1,1,0))</f>
        <v/>
      </c>
      <c r="AH5064">
        <f>IF($AG5064=1,SUMPRODUCT(--($AK$2:$AK$6001&lt;$AK5064))+1,"")</f>
        <v/>
      </c>
      <c r="AI5064">
        <f>IF($C5064="","",IF(OR($N5064=TRUE(),$N5064="TRUE"),1,0))</f>
        <v/>
      </c>
      <c r="AJ5064">
        <f>IF($C5064="","",IF($T5064="Yes",1,0))</f>
        <v/>
      </c>
      <c r="AK5064">
        <f>IF($AG5064=1,IFERROR(IF(VALUE($C5064)&lt;100000000,VALUE($C5064),1000000000),IFERROR(IF(VALUE(MID($C5064,2,20))&lt;100000000,VALUE(MID($C5064,2,20)),1000000000),1000000000))+ROW()/100000,"")</f>
        <v/>
      </c>
    </row>
    <row r="5065">
      <c r="D5065" s="11" t="n"/>
      <c r="K5065" s="7">
        <f>IF($C5065="","",J5065*W5065/100)</f>
        <v/>
      </c>
      <c r="Q5065" s="7" t="n"/>
      <c r="R5065" s="7" t="n"/>
      <c r="U5065">
        <f>IF($C5065="","",IF($AJ5065=1,0,IF($AI5065=1,Settings!$C$6,Settings!$C$7))*100)</f>
        <v/>
      </c>
      <c r="V5065" s="7">
        <f>IF($C5065="","",R5065*U5065/100)</f>
        <v/>
      </c>
      <c r="W5065" s="7">
        <f>IF($C5065="","",R5065-V5065)</f>
        <v/>
      </c>
      <c r="X5065" s="7">
        <f>IF($C5065="","",W5065-K5065)</f>
        <v/>
      </c>
      <c r="AB5065" s="7" t="n"/>
      <c r="AE5065" s="11" t="n"/>
      <c r="AG5065">
        <f>IF($C5065="","",IF(COUNTIF($C$2:$C5065,$C5065)=1,1,0))</f>
        <v/>
      </c>
      <c r="AH5065">
        <f>IF($AG5065=1,SUMPRODUCT(--($AK$2:$AK$6001&lt;$AK5065))+1,"")</f>
        <v/>
      </c>
      <c r="AI5065">
        <f>IF($C5065="","",IF(OR($N5065=TRUE(),$N5065="TRUE"),1,0))</f>
        <v/>
      </c>
      <c r="AJ5065">
        <f>IF($C5065="","",IF($T5065="Yes",1,0))</f>
        <v/>
      </c>
      <c r="AK5065">
        <f>IF($AG5065=1,IFERROR(IF(VALUE($C5065)&lt;100000000,VALUE($C5065),1000000000),IFERROR(IF(VALUE(MID($C5065,2,20))&lt;100000000,VALUE(MID($C5065,2,20)),1000000000),1000000000))+ROW()/100000,"")</f>
        <v/>
      </c>
    </row>
    <row r="5066">
      <c r="D5066" s="11" t="n"/>
      <c r="K5066" s="7">
        <f>IF($C5066="","",J5066*W5066/100)</f>
        <v/>
      </c>
      <c r="Q5066" s="7" t="n"/>
      <c r="R5066" s="7" t="n"/>
      <c r="U5066">
        <f>IF($C5066="","",IF($AJ5066=1,0,IF($AI5066=1,Settings!$C$6,Settings!$C$7))*100)</f>
        <v/>
      </c>
      <c r="V5066" s="7">
        <f>IF($C5066="","",R5066*U5066/100)</f>
        <v/>
      </c>
      <c r="W5066" s="7">
        <f>IF($C5066="","",R5066-V5066)</f>
        <v/>
      </c>
      <c r="X5066" s="7">
        <f>IF($C5066="","",W5066-K5066)</f>
        <v/>
      </c>
      <c r="AB5066" s="7" t="n"/>
      <c r="AE5066" s="11" t="n"/>
      <c r="AG5066">
        <f>IF($C5066="","",IF(COUNTIF($C$2:$C5066,$C5066)=1,1,0))</f>
        <v/>
      </c>
      <c r="AH5066">
        <f>IF($AG5066=1,SUMPRODUCT(--($AK$2:$AK$6001&lt;$AK5066))+1,"")</f>
        <v/>
      </c>
      <c r="AI5066">
        <f>IF($C5066="","",IF(OR($N5066=TRUE(),$N5066="TRUE"),1,0))</f>
        <v/>
      </c>
      <c r="AJ5066">
        <f>IF($C5066="","",IF($T5066="Yes",1,0))</f>
        <v/>
      </c>
      <c r="AK5066">
        <f>IF($AG5066=1,IFERROR(IF(VALUE($C5066)&lt;100000000,VALUE($C5066),1000000000),IFERROR(IF(VALUE(MID($C5066,2,20))&lt;100000000,VALUE(MID($C5066,2,20)),1000000000),1000000000))+ROW()/100000,"")</f>
        <v/>
      </c>
    </row>
    <row r="5067">
      <c r="D5067" s="11" t="n"/>
      <c r="K5067" s="7">
        <f>IF($C5067="","",J5067*W5067/100)</f>
        <v/>
      </c>
      <c r="Q5067" s="7" t="n"/>
      <c r="R5067" s="7" t="n"/>
      <c r="U5067">
        <f>IF($C5067="","",IF($AJ5067=1,0,IF($AI5067=1,Settings!$C$6,Settings!$C$7))*100)</f>
        <v/>
      </c>
      <c r="V5067" s="7">
        <f>IF($C5067="","",R5067*U5067/100)</f>
        <v/>
      </c>
      <c r="W5067" s="7">
        <f>IF($C5067="","",R5067-V5067)</f>
        <v/>
      </c>
      <c r="X5067" s="7">
        <f>IF($C5067="","",W5067-K5067)</f>
        <v/>
      </c>
      <c r="AB5067" s="7" t="n"/>
      <c r="AE5067" s="11" t="n"/>
      <c r="AG5067">
        <f>IF($C5067="","",IF(COUNTIF($C$2:$C5067,$C5067)=1,1,0))</f>
        <v/>
      </c>
      <c r="AH5067">
        <f>IF($AG5067=1,SUMPRODUCT(--($AK$2:$AK$6001&lt;$AK5067))+1,"")</f>
        <v/>
      </c>
      <c r="AI5067">
        <f>IF($C5067="","",IF(OR($N5067=TRUE(),$N5067="TRUE"),1,0))</f>
        <v/>
      </c>
      <c r="AJ5067">
        <f>IF($C5067="","",IF($T5067="Yes",1,0))</f>
        <v/>
      </c>
      <c r="AK5067">
        <f>IF($AG5067=1,IFERROR(IF(VALUE($C5067)&lt;100000000,VALUE($C5067),1000000000),IFERROR(IF(VALUE(MID($C5067,2,20))&lt;100000000,VALUE(MID($C5067,2,20)),1000000000),1000000000))+ROW()/100000,"")</f>
        <v/>
      </c>
    </row>
    <row r="5068">
      <c r="D5068" s="11" t="n"/>
      <c r="K5068" s="7">
        <f>IF($C5068="","",J5068*W5068/100)</f>
        <v/>
      </c>
      <c r="Q5068" s="7" t="n"/>
      <c r="R5068" s="7" t="n"/>
      <c r="U5068">
        <f>IF($C5068="","",IF($AJ5068=1,0,IF($AI5068=1,Settings!$C$6,Settings!$C$7))*100)</f>
        <v/>
      </c>
      <c r="V5068" s="7">
        <f>IF($C5068="","",R5068*U5068/100)</f>
        <v/>
      </c>
      <c r="W5068" s="7">
        <f>IF($C5068="","",R5068-V5068)</f>
        <v/>
      </c>
      <c r="X5068" s="7">
        <f>IF($C5068="","",W5068-K5068)</f>
        <v/>
      </c>
      <c r="AB5068" s="7" t="n"/>
      <c r="AE5068" s="11" t="n"/>
      <c r="AG5068">
        <f>IF($C5068="","",IF(COUNTIF($C$2:$C5068,$C5068)=1,1,0))</f>
        <v/>
      </c>
      <c r="AH5068">
        <f>IF($AG5068=1,SUMPRODUCT(--($AK$2:$AK$6001&lt;$AK5068))+1,"")</f>
        <v/>
      </c>
      <c r="AI5068">
        <f>IF($C5068="","",IF(OR($N5068=TRUE(),$N5068="TRUE"),1,0))</f>
        <v/>
      </c>
      <c r="AJ5068">
        <f>IF($C5068="","",IF($T5068="Yes",1,0))</f>
        <v/>
      </c>
      <c r="AK5068">
        <f>IF($AG5068=1,IFERROR(IF(VALUE($C5068)&lt;100000000,VALUE($C5068),1000000000),IFERROR(IF(VALUE(MID($C5068,2,20))&lt;100000000,VALUE(MID($C5068,2,20)),1000000000),1000000000))+ROW()/100000,"")</f>
        <v/>
      </c>
    </row>
    <row r="5069">
      <c r="D5069" s="11" t="n"/>
      <c r="K5069" s="7">
        <f>IF($C5069="","",J5069*W5069/100)</f>
        <v/>
      </c>
      <c r="Q5069" s="7" t="n"/>
      <c r="R5069" s="7" t="n"/>
      <c r="U5069">
        <f>IF($C5069="","",IF($AJ5069=1,0,IF($AI5069=1,Settings!$C$6,Settings!$C$7))*100)</f>
        <v/>
      </c>
      <c r="V5069" s="7">
        <f>IF($C5069="","",R5069*U5069/100)</f>
        <v/>
      </c>
      <c r="W5069" s="7">
        <f>IF($C5069="","",R5069-V5069)</f>
        <v/>
      </c>
      <c r="X5069" s="7">
        <f>IF($C5069="","",W5069-K5069)</f>
        <v/>
      </c>
      <c r="AB5069" s="7" t="n"/>
      <c r="AE5069" s="11" t="n"/>
      <c r="AG5069">
        <f>IF($C5069="","",IF(COUNTIF($C$2:$C5069,$C5069)=1,1,0))</f>
        <v/>
      </c>
      <c r="AH5069">
        <f>IF($AG5069=1,SUMPRODUCT(--($AK$2:$AK$6001&lt;$AK5069))+1,"")</f>
        <v/>
      </c>
      <c r="AI5069">
        <f>IF($C5069="","",IF(OR($N5069=TRUE(),$N5069="TRUE"),1,0))</f>
        <v/>
      </c>
      <c r="AJ5069">
        <f>IF($C5069="","",IF($T5069="Yes",1,0))</f>
        <v/>
      </c>
      <c r="AK5069">
        <f>IF($AG5069=1,IFERROR(IF(VALUE($C5069)&lt;100000000,VALUE($C5069),1000000000),IFERROR(IF(VALUE(MID($C5069,2,20))&lt;100000000,VALUE(MID($C5069,2,20)),1000000000),1000000000))+ROW()/100000,"")</f>
        <v/>
      </c>
    </row>
    <row r="5070">
      <c r="D5070" s="11" t="n"/>
      <c r="K5070" s="7">
        <f>IF($C5070="","",J5070*W5070/100)</f>
        <v/>
      </c>
      <c r="Q5070" s="7" t="n"/>
      <c r="R5070" s="7" t="n"/>
      <c r="U5070">
        <f>IF($C5070="","",IF($AJ5070=1,0,IF($AI5070=1,Settings!$C$6,Settings!$C$7))*100)</f>
        <v/>
      </c>
      <c r="V5070" s="7">
        <f>IF($C5070="","",R5070*U5070/100)</f>
        <v/>
      </c>
      <c r="W5070" s="7">
        <f>IF($C5070="","",R5070-V5070)</f>
        <v/>
      </c>
      <c r="X5070" s="7">
        <f>IF($C5070="","",W5070-K5070)</f>
        <v/>
      </c>
      <c r="AB5070" s="7" t="n"/>
      <c r="AE5070" s="11" t="n"/>
      <c r="AG5070">
        <f>IF($C5070="","",IF(COUNTIF($C$2:$C5070,$C5070)=1,1,0))</f>
        <v/>
      </c>
      <c r="AH5070">
        <f>IF($AG5070=1,SUMPRODUCT(--($AK$2:$AK$6001&lt;$AK5070))+1,"")</f>
        <v/>
      </c>
      <c r="AI5070">
        <f>IF($C5070="","",IF(OR($N5070=TRUE(),$N5070="TRUE"),1,0))</f>
        <v/>
      </c>
      <c r="AJ5070">
        <f>IF($C5070="","",IF($T5070="Yes",1,0))</f>
        <v/>
      </c>
      <c r="AK5070">
        <f>IF($AG5070=1,IFERROR(IF(VALUE($C5070)&lt;100000000,VALUE($C5070),1000000000),IFERROR(IF(VALUE(MID($C5070,2,20))&lt;100000000,VALUE(MID($C5070,2,20)),1000000000),1000000000))+ROW()/100000,"")</f>
        <v/>
      </c>
    </row>
    <row r="5071">
      <c r="D5071" s="11" t="n"/>
      <c r="K5071" s="7">
        <f>IF($C5071="","",J5071*W5071/100)</f>
        <v/>
      </c>
      <c r="Q5071" s="7" t="n"/>
      <c r="R5071" s="7" t="n"/>
      <c r="U5071">
        <f>IF($C5071="","",IF($AJ5071=1,0,IF($AI5071=1,Settings!$C$6,Settings!$C$7))*100)</f>
        <v/>
      </c>
      <c r="V5071" s="7">
        <f>IF($C5071="","",R5071*U5071/100)</f>
        <v/>
      </c>
      <c r="W5071" s="7">
        <f>IF($C5071="","",R5071-V5071)</f>
        <v/>
      </c>
      <c r="X5071" s="7">
        <f>IF($C5071="","",W5071-K5071)</f>
        <v/>
      </c>
      <c r="AB5071" s="7" t="n"/>
      <c r="AE5071" s="11" t="n"/>
      <c r="AG5071">
        <f>IF($C5071="","",IF(COUNTIF($C$2:$C5071,$C5071)=1,1,0))</f>
        <v/>
      </c>
      <c r="AH5071">
        <f>IF($AG5071=1,SUMPRODUCT(--($AK$2:$AK$6001&lt;$AK5071))+1,"")</f>
        <v/>
      </c>
      <c r="AI5071">
        <f>IF($C5071="","",IF(OR($N5071=TRUE(),$N5071="TRUE"),1,0))</f>
        <v/>
      </c>
      <c r="AJ5071">
        <f>IF($C5071="","",IF($T5071="Yes",1,0))</f>
        <v/>
      </c>
      <c r="AK5071">
        <f>IF($AG5071=1,IFERROR(IF(VALUE($C5071)&lt;100000000,VALUE($C5071),1000000000),IFERROR(IF(VALUE(MID($C5071,2,20))&lt;100000000,VALUE(MID($C5071,2,20)),1000000000),1000000000))+ROW()/100000,"")</f>
        <v/>
      </c>
    </row>
    <row r="5072">
      <c r="D5072" s="11" t="n"/>
      <c r="K5072" s="7">
        <f>IF($C5072="","",J5072*W5072/100)</f>
        <v/>
      </c>
      <c r="Q5072" s="7" t="n"/>
      <c r="R5072" s="7" t="n"/>
      <c r="U5072">
        <f>IF($C5072="","",IF($AJ5072=1,0,IF($AI5072=1,Settings!$C$6,Settings!$C$7))*100)</f>
        <v/>
      </c>
      <c r="V5072" s="7">
        <f>IF($C5072="","",R5072*U5072/100)</f>
        <v/>
      </c>
      <c r="W5072" s="7">
        <f>IF($C5072="","",R5072-V5072)</f>
        <v/>
      </c>
      <c r="X5072" s="7">
        <f>IF($C5072="","",W5072-K5072)</f>
        <v/>
      </c>
      <c r="AB5072" s="7" t="n"/>
      <c r="AE5072" s="11" t="n"/>
      <c r="AG5072">
        <f>IF($C5072="","",IF(COUNTIF($C$2:$C5072,$C5072)=1,1,0))</f>
        <v/>
      </c>
      <c r="AH5072">
        <f>IF($AG5072=1,SUMPRODUCT(--($AK$2:$AK$6001&lt;$AK5072))+1,"")</f>
        <v/>
      </c>
      <c r="AI5072">
        <f>IF($C5072="","",IF(OR($N5072=TRUE(),$N5072="TRUE"),1,0))</f>
        <v/>
      </c>
      <c r="AJ5072">
        <f>IF($C5072="","",IF($T5072="Yes",1,0))</f>
        <v/>
      </c>
      <c r="AK5072">
        <f>IF($AG5072=1,IFERROR(IF(VALUE($C5072)&lt;100000000,VALUE($C5072),1000000000),IFERROR(IF(VALUE(MID($C5072,2,20))&lt;100000000,VALUE(MID($C5072,2,20)),1000000000),1000000000))+ROW()/100000,"")</f>
        <v/>
      </c>
    </row>
    <row r="5073">
      <c r="D5073" s="11" t="n"/>
      <c r="K5073" s="7">
        <f>IF($C5073="","",J5073*W5073/100)</f>
        <v/>
      </c>
      <c r="Q5073" s="7" t="n"/>
      <c r="R5073" s="7" t="n"/>
      <c r="U5073">
        <f>IF($C5073="","",IF($AJ5073=1,0,IF($AI5073=1,Settings!$C$6,Settings!$C$7))*100)</f>
        <v/>
      </c>
      <c r="V5073" s="7">
        <f>IF($C5073="","",R5073*U5073/100)</f>
        <v/>
      </c>
      <c r="W5073" s="7">
        <f>IF($C5073="","",R5073-V5073)</f>
        <v/>
      </c>
      <c r="X5073" s="7">
        <f>IF($C5073="","",W5073-K5073)</f>
        <v/>
      </c>
      <c r="AB5073" s="7" t="n"/>
      <c r="AE5073" s="11" t="n"/>
      <c r="AG5073">
        <f>IF($C5073="","",IF(COUNTIF($C$2:$C5073,$C5073)=1,1,0))</f>
        <v/>
      </c>
      <c r="AH5073">
        <f>IF($AG5073=1,SUMPRODUCT(--($AK$2:$AK$6001&lt;$AK5073))+1,"")</f>
        <v/>
      </c>
      <c r="AI5073">
        <f>IF($C5073="","",IF(OR($N5073=TRUE(),$N5073="TRUE"),1,0))</f>
        <v/>
      </c>
      <c r="AJ5073">
        <f>IF($C5073="","",IF($T5073="Yes",1,0))</f>
        <v/>
      </c>
      <c r="AK5073">
        <f>IF($AG5073=1,IFERROR(IF(VALUE($C5073)&lt;100000000,VALUE($C5073),1000000000),IFERROR(IF(VALUE(MID($C5073,2,20))&lt;100000000,VALUE(MID($C5073,2,20)),1000000000),1000000000))+ROW()/100000,"")</f>
        <v/>
      </c>
    </row>
    <row r="5074">
      <c r="D5074" s="11" t="n"/>
      <c r="K5074" s="7">
        <f>IF($C5074="","",J5074*W5074/100)</f>
        <v/>
      </c>
      <c r="Q5074" s="7" t="n"/>
      <c r="R5074" s="7" t="n"/>
      <c r="U5074">
        <f>IF($C5074="","",IF($AJ5074=1,0,IF($AI5074=1,Settings!$C$6,Settings!$C$7))*100)</f>
        <v/>
      </c>
      <c r="V5074" s="7">
        <f>IF($C5074="","",R5074*U5074/100)</f>
        <v/>
      </c>
      <c r="W5074" s="7">
        <f>IF($C5074="","",R5074-V5074)</f>
        <v/>
      </c>
      <c r="X5074" s="7">
        <f>IF($C5074="","",W5074-K5074)</f>
        <v/>
      </c>
      <c r="AB5074" s="7" t="n"/>
      <c r="AE5074" s="11" t="n"/>
      <c r="AG5074">
        <f>IF($C5074="","",IF(COUNTIF($C$2:$C5074,$C5074)=1,1,0))</f>
        <v/>
      </c>
      <c r="AH5074">
        <f>IF($AG5074=1,SUMPRODUCT(--($AK$2:$AK$6001&lt;$AK5074))+1,"")</f>
        <v/>
      </c>
      <c r="AI5074">
        <f>IF($C5074="","",IF(OR($N5074=TRUE(),$N5074="TRUE"),1,0))</f>
        <v/>
      </c>
      <c r="AJ5074">
        <f>IF($C5074="","",IF($T5074="Yes",1,0))</f>
        <v/>
      </c>
      <c r="AK5074">
        <f>IF($AG5074=1,IFERROR(IF(VALUE($C5074)&lt;100000000,VALUE($C5074),1000000000),IFERROR(IF(VALUE(MID($C5074,2,20))&lt;100000000,VALUE(MID($C5074,2,20)),1000000000),1000000000))+ROW()/100000,"")</f>
        <v/>
      </c>
    </row>
    <row r="5075">
      <c r="D5075" s="11" t="n"/>
      <c r="K5075" s="7">
        <f>IF($C5075="","",J5075*W5075/100)</f>
        <v/>
      </c>
      <c r="Q5075" s="7" t="n"/>
      <c r="R5075" s="7" t="n"/>
      <c r="U5075">
        <f>IF($C5075="","",IF($AJ5075=1,0,IF($AI5075=1,Settings!$C$6,Settings!$C$7))*100)</f>
        <v/>
      </c>
      <c r="V5075" s="7">
        <f>IF($C5075="","",R5075*U5075/100)</f>
        <v/>
      </c>
      <c r="W5075" s="7">
        <f>IF($C5075="","",R5075-V5075)</f>
        <v/>
      </c>
      <c r="X5075" s="7">
        <f>IF($C5075="","",W5075-K5075)</f>
        <v/>
      </c>
      <c r="AB5075" s="7" t="n"/>
      <c r="AE5075" s="11" t="n"/>
      <c r="AG5075">
        <f>IF($C5075="","",IF(COUNTIF($C$2:$C5075,$C5075)=1,1,0))</f>
        <v/>
      </c>
      <c r="AH5075">
        <f>IF($AG5075=1,SUMPRODUCT(--($AK$2:$AK$6001&lt;$AK5075))+1,"")</f>
        <v/>
      </c>
      <c r="AI5075">
        <f>IF($C5075="","",IF(OR($N5075=TRUE(),$N5075="TRUE"),1,0))</f>
        <v/>
      </c>
      <c r="AJ5075">
        <f>IF($C5075="","",IF($T5075="Yes",1,0))</f>
        <v/>
      </c>
      <c r="AK5075">
        <f>IF($AG5075=1,IFERROR(IF(VALUE($C5075)&lt;100000000,VALUE($C5075),1000000000),IFERROR(IF(VALUE(MID($C5075,2,20))&lt;100000000,VALUE(MID($C5075,2,20)),1000000000),1000000000))+ROW()/100000,"")</f>
        <v/>
      </c>
    </row>
    <row r="5076">
      <c r="D5076" s="11" t="n"/>
      <c r="K5076" s="7">
        <f>IF($C5076="","",J5076*W5076/100)</f>
        <v/>
      </c>
      <c r="Q5076" s="7" t="n"/>
      <c r="R5076" s="7" t="n"/>
      <c r="U5076">
        <f>IF($C5076="","",IF($AJ5076=1,0,IF($AI5076=1,Settings!$C$6,Settings!$C$7))*100)</f>
        <v/>
      </c>
      <c r="V5076" s="7">
        <f>IF($C5076="","",R5076*U5076/100)</f>
        <v/>
      </c>
      <c r="W5076" s="7">
        <f>IF($C5076="","",R5076-V5076)</f>
        <v/>
      </c>
      <c r="X5076" s="7">
        <f>IF($C5076="","",W5076-K5076)</f>
        <v/>
      </c>
      <c r="AB5076" s="7" t="n"/>
      <c r="AE5076" s="11" t="n"/>
      <c r="AG5076">
        <f>IF($C5076="","",IF(COUNTIF($C$2:$C5076,$C5076)=1,1,0))</f>
        <v/>
      </c>
      <c r="AH5076">
        <f>IF($AG5076=1,SUMPRODUCT(--($AK$2:$AK$6001&lt;$AK5076))+1,"")</f>
        <v/>
      </c>
      <c r="AI5076">
        <f>IF($C5076="","",IF(OR($N5076=TRUE(),$N5076="TRUE"),1,0))</f>
        <v/>
      </c>
      <c r="AJ5076">
        <f>IF($C5076="","",IF($T5076="Yes",1,0))</f>
        <v/>
      </c>
      <c r="AK5076">
        <f>IF($AG5076=1,IFERROR(IF(VALUE($C5076)&lt;100000000,VALUE($C5076),1000000000),IFERROR(IF(VALUE(MID($C5076,2,20))&lt;100000000,VALUE(MID($C5076,2,20)),1000000000),1000000000))+ROW()/100000,"")</f>
        <v/>
      </c>
    </row>
    <row r="5077">
      <c r="D5077" s="11" t="n"/>
      <c r="K5077" s="7">
        <f>IF($C5077="","",J5077*W5077/100)</f>
        <v/>
      </c>
      <c r="Q5077" s="7" t="n"/>
      <c r="R5077" s="7" t="n"/>
      <c r="U5077">
        <f>IF($C5077="","",IF($AJ5077=1,0,IF($AI5077=1,Settings!$C$6,Settings!$C$7))*100)</f>
        <v/>
      </c>
      <c r="V5077" s="7">
        <f>IF($C5077="","",R5077*U5077/100)</f>
        <v/>
      </c>
      <c r="W5077" s="7">
        <f>IF($C5077="","",R5077-V5077)</f>
        <v/>
      </c>
      <c r="X5077" s="7">
        <f>IF($C5077="","",W5077-K5077)</f>
        <v/>
      </c>
      <c r="AB5077" s="7" t="n"/>
      <c r="AE5077" s="11" t="n"/>
      <c r="AG5077">
        <f>IF($C5077="","",IF(COUNTIF($C$2:$C5077,$C5077)=1,1,0))</f>
        <v/>
      </c>
      <c r="AH5077">
        <f>IF($AG5077=1,SUMPRODUCT(--($AK$2:$AK$6001&lt;$AK5077))+1,"")</f>
        <v/>
      </c>
      <c r="AI5077">
        <f>IF($C5077="","",IF(OR($N5077=TRUE(),$N5077="TRUE"),1,0))</f>
        <v/>
      </c>
      <c r="AJ5077">
        <f>IF($C5077="","",IF($T5077="Yes",1,0))</f>
        <v/>
      </c>
      <c r="AK5077">
        <f>IF($AG5077=1,IFERROR(IF(VALUE($C5077)&lt;100000000,VALUE($C5077),1000000000),IFERROR(IF(VALUE(MID($C5077,2,20))&lt;100000000,VALUE(MID($C5077,2,20)),1000000000),1000000000))+ROW()/100000,"")</f>
        <v/>
      </c>
    </row>
    <row r="5078">
      <c r="D5078" s="11" t="n"/>
      <c r="K5078" s="7">
        <f>IF($C5078="","",J5078*W5078/100)</f>
        <v/>
      </c>
      <c r="Q5078" s="7" t="n"/>
      <c r="R5078" s="7" t="n"/>
      <c r="U5078">
        <f>IF($C5078="","",IF($AJ5078=1,0,IF($AI5078=1,Settings!$C$6,Settings!$C$7))*100)</f>
        <v/>
      </c>
      <c r="V5078" s="7">
        <f>IF($C5078="","",R5078*U5078/100)</f>
        <v/>
      </c>
      <c r="W5078" s="7">
        <f>IF($C5078="","",R5078-V5078)</f>
        <v/>
      </c>
      <c r="X5078" s="7">
        <f>IF($C5078="","",W5078-K5078)</f>
        <v/>
      </c>
      <c r="AB5078" s="7" t="n"/>
      <c r="AE5078" s="11" t="n"/>
      <c r="AG5078">
        <f>IF($C5078="","",IF(COUNTIF($C$2:$C5078,$C5078)=1,1,0))</f>
        <v/>
      </c>
      <c r="AH5078">
        <f>IF($AG5078=1,SUMPRODUCT(--($AK$2:$AK$6001&lt;$AK5078))+1,"")</f>
        <v/>
      </c>
      <c r="AI5078">
        <f>IF($C5078="","",IF(OR($N5078=TRUE(),$N5078="TRUE"),1,0))</f>
        <v/>
      </c>
      <c r="AJ5078">
        <f>IF($C5078="","",IF($T5078="Yes",1,0))</f>
        <v/>
      </c>
      <c r="AK5078">
        <f>IF($AG5078=1,IFERROR(IF(VALUE($C5078)&lt;100000000,VALUE($C5078),1000000000),IFERROR(IF(VALUE(MID($C5078,2,20))&lt;100000000,VALUE(MID($C5078,2,20)),1000000000),1000000000))+ROW()/100000,"")</f>
        <v/>
      </c>
    </row>
    <row r="5079">
      <c r="D5079" s="11" t="n"/>
      <c r="K5079" s="7">
        <f>IF($C5079="","",J5079*W5079/100)</f>
        <v/>
      </c>
      <c r="Q5079" s="7" t="n"/>
      <c r="R5079" s="7" t="n"/>
      <c r="U5079">
        <f>IF($C5079="","",IF($AJ5079=1,0,IF($AI5079=1,Settings!$C$6,Settings!$C$7))*100)</f>
        <v/>
      </c>
      <c r="V5079" s="7">
        <f>IF($C5079="","",R5079*U5079/100)</f>
        <v/>
      </c>
      <c r="W5079" s="7">
        <f>IF($C5079="","",R5079-V5079)</f>
        <v/>
      </c>
      <c r="X5079" s="7">
        <f>IF($C5079="","",W5079-K5079)</f>
        <v/>
      </c>
      <c r="AB5079" s="7" t="n"/>
      <c r="AE5079" s="11" t="n"/>
      <c r="AG5079">
        <f>IF($C5079="","",IF(COUNTIF($C$2:$C5079,$C5079)=1,1,0))</f>
        <v/>
      </c>
      <c r="AH5079">
        <f>IF($AG5079=1,SUMPRODUCT(--($AK$2:$AK$6001&lt;$AK5079))+1,"")</f>
        <v/>
      </c>
      <c r="AI5079">
        <f>IF($C5079="","",IF(OR($N5079=TRUE(),$N5079="TRUE"),1,0))</f>
        <v/>
      </c>
      <c r="AJ5079">
        <f>IF($C5079="","",IF($T5079="Yes",1,0))</f>
        <v/>
      </c>
      <c r="AK5079">
        <f>IF($AG5079=1,IFERROR(IF(VALUE($C5079)&lt;100000000,VALUE($C5079),1000000000),IFERROR(IF(VALUE(MID($C5079,2,20))&lt;100000000,VALUE(MID($C5079,2,20)),1000000000),1000000000))+ROW()/100000,"")</f>
        <v/>
      </c>
    </row>
    <row r="5080">
      <c r="D5080" s="11" t="n"/>
      <c r="K5080" s="7">
        <f>IF($C5080="","",J5080*W5080/100)</f>
        <v/>
      </c>
      <c r="Q5080" s="7" t="n"/>
      <c r="R5080" s="7" t="n"/>
      <c r="U5080">
        <f>IF($C5080="","",IF($AJ5080=1,0,IF($AI5080=1,Settings!$C$6,Settings!$C$7))*100)</f>
        <v/>
      </c>
      <c r="V5080" s="7">
        <f>IF($C5080="","",R5080*U5080/100)</f>
        <v/>
      </c>
      <c r="W5080" s="7">
        <f>IF($C5080="","",R5080-V5080)</f>
        <v/>
      </c>
      <c r="X5080" s="7">
        <f>IF($C5080="","",W5080-K5080)</f>
        <v/>
      </c>
      <c r="AB5080" s="7" t="n"/>
      <c r="AE5080" s="11" t="n"/>
      <c r="AG5080">
        <f>IF($C5080="","",IF(COUNTIF($C$2:$C5080,$C5080)=1,1,0))</f>
        <v/>
      </c>
      <c r="AH5080">
        <f>IF($AG5080=1,SUMPRODUCT(--($AK$2:$AK$6001&lt;$AK5080))+1,"")</f>
        <v/>
      </c>
      <c r="AI5080">
        <f>IF($C5080="","",IF(OR($N5080=TRUE(),$N5080="TRUE"),1,0))</f>
        <v/>
      </c>
      <c r="AJ5080">
        <f>IF($C5080="","",IF($T5080="Yes",1,0))</f>
        <v/>
      </c>
      <c r="AK5080">
        <f>IF($AG5080=1,IFERROR(IF(VALUE($C5080)&lt;100000000,VALUE($C5080),1000000000),IFERROR(IF(VALUE(MID($C5080,2,20))&lt;100000000,VALUE(MID($C5080,2,20)),1000000000),1000000000))+ROW()/100000,"")</f>
        <v/>
      </c>
    </row>
    <row r="5081">
      <c r="D5081" s="11" t="n"/>
      <c r="K5081" s="7">
        <f>IF($C5081="","",J5081*W5081/100)</f>
        <v/>
      </c>
      <c r="Q5081" s="7" t="n"/>
      <c r="R5081" s="7" t="n"/>
      <c r="U5081">
        <f>IF($C5081="","",IF($AJ5081=1,0,IF($AI5081=1,Settings!$C$6,Settings!$C$7))*100)</f>
        <v/>
      </c>
      <c r="V5081" s="7">
        <f>IF($C5081="","",R5081*U5081/100)</f>
        <v/>
      </c>
      <c r="W5081" s="7">
        <f>IF($C5081="","",R5081-V5081)</f>
        <v/>
      </c>
      <c r="X5081" s="7">
        <f>IF($C5081="","",W5081-K5081)</f>
        <v/>
      </c>
      <c r="AB5081" s="7" t="n"/>
      <c r="AE5081" s="11" t="n"/>
      <c r="AG5081">
        <f>IF($C5081="","",IF(COUNTIF($C$2:$C5081,$C5081)=1,1,0))</f>
        <v/>
      </c>
      <c r="AH5081">
        <f>IF($AG5081=1,SUMPRODUCT(--($AK$2:$AK$6001&lt;$AK5081))+1,"")</f>
        <v/>
      </c>
      <c r="AI5081">
        <f>IF($C5081="","",IF(OR($N5081=TRUE(),$N5081="TRUE"),1,0))</f>
        <v/>
      </c>
      <c r="AJ5081">
        <f>IF($C5081="","",IF($T5081="Yes",1,0))</f>
        <v/>
      </c>
      <c r="AK5081">
        <f>IF($AG5081=1,IFERROR(IF(VALUE($C5081)&lt;100000000,VALUE($C5081),1000000000),IFERROR(IF(VALUE(MID($C5081,2,20))&lt;100000000,VALUE(MID($C5081,2,20)),1000000000),1000000000))+ROW()/100000,"")</f>
        <v/>
      </c>
    </row>
    <row r="5082">
      <c r="D5082" s="11" t="n"/>
      <c r="K5082" s="7">
        <f>IF($C5082="","",J5082*W5082/100)</f>
        <v/>
      </c>
      <c r="Q5082" s="7" t="n"/>
      <c r="R5082" s="7" t="n"/>
      <c r="U5082">
        <f>IF($C5082="","",IF($AJ5082=1,0,IF($AI5082=1,Settings!$C$6,Settings!$C$7))*100)</f>
        <v/>
      </c>
      <c r="V5082" s="7">
        <f>IF($C5082="","",R5082*U5082/100)</f>
        <v/>
      </c>
      <c r="W5082" s="7">
        <f>IF($C5082="","",R5082-V5082)</f>
        <v/>
      </c>
      <c r="X5082" s="7">
        <f>IF($C5082="","",W5082-K5082)</f>
        <v/>
      </c>
      <c r="AB5082" s="7" t="n"/>
      <c r="AE5082" s="11" t="n"/>
      <c r="AG5082">
        <f>IF($C5082="","",IF(COUNTIF($C$2:$C5082,$C5082)=1,1,0))</f>
        <v/>
      </c>
      <c r="AH5082">
        <f>IF($AG5082=1,SUMPRODUCT(--($AK$2:$AK$6001&lt;$AK5082))+1,"")</f>
        <v/>
      </c>
      <c r="AI5082">
        <f>IF($C5082="","",IF(OR($N5082=TRUE(),$N5082="TRUE"),1,0))</f>
        <v/>
      </c>
      <c r="AJ5082">
        <f>IF($C5082="","",IF($T5082="Yes",1,0))</f>
        <v/>
      </c>
      <c r="AK5082">
        <f>IF($AG5082=1,IFERROR(IF(VALUE($C5082)&lt;100000000,VALUE($C5082),1000000000),IFERROR(IF(VALUE(MID($C5082,2,20))&lt;100000000,VALUE(MID($C5082,2,20)),1000000000),1000000000))+ROW()/100000,"")</f>
        <v/>
      </c>
    </row>
    <row r="5083">
      <c r="D5083" s="11" t="n"/>
      <c r="K5083" s="7">
        <f>IF($C5083="","",J5083*W5083/100)</f>
        <v/>
      </c>
      <c r="Q5083" s="7" t="n"/>
      <c r="R5083" s="7" t="n"/>
      <c r="U5083">
        <f>IF($C5083="","",IF($AJ5083=1,0,IF($AI5083=1,Settings!$C$6,Settings!$C$7))*100)</f>
        <v/>
      </c>
      <c r="V5083" s="7">
        <f>IF($C5083="","",R5083*U5083/100)</f>
        <v/>
      </c>
      <c r="W5083" s="7">
        <f>IF($C5083="","",R5083-V5083)</f>
        <v/>
      </c>
      <c r="X5083" s="7">
        <f>IF($C5083="","",W5083-K5083)</f>
        <v/>
      </c>
      <c r="AB5083" s="7" t="n"/>
      <c r="AE5083" s="11" t="n"/>
      <c r="AG5083">
        <f>IF($C5083="","",IF(COUNTIF($C$2:$C5083,$C5083)=1,1,0))</f>
        <v/>
      </c>
      <c r="AH5083">
        <f>IF($AG5083=1,SUMPRODUCT(--($AK$2:$AK$6001&lt;$AK5083))+1,"")</f>
        <v/>
      </c>
      <c r="AI5083">
        <f>IF($C5083="","",IF(OR($N5083=TRUE(),$N5083="TRUE"),1,0))</f>
        <v/>
      </c>
      <c r="AJ5083">
        <f>IF($C5083="","",IF($T5083="Yes",1,0))</f>
        <v/>
      </c>
      <c r="AK5083">
        <f>IF($AG5083=1,IFERROR(IF(VALUE($C5083)&lt;100000000,VALUE($C5083),1000000000),IFERROR(IF(VALUE(MID($C5083,2,20))&lt;100000000,VALUE(MID($C5083,2,20)),1000000000),1000000000))+ROW()/100000,"")</f>
        <v/>
      </c>
    </row>
    <row r="5084">
      <c r="D5084" s="11" t="n"/>
      <c r="K5084" s="7">
        <f>IF($C5084="","",J5084*W5084/100)</f>
        <v/>
      </c>
      <c r="Q5084" s="7" t="n"/>
      <c r="R5084" s="7" t="n"/>
      <c r="U5084">
        <f>IF($C5084="","",IF($AJ5084=1,0,IF($AI5084=1,Settings!$C$6,Settings!$C$7))*100)</f>
        <v/>
      </c>
      <c r="V5084" s="7">
        <f>IF($C5084="","",R5084*U5084/100)</f>
        <v/>
      </c>
      <c r="W5084" s="7">
        <f>IF($C5084="","",R5084-V5084)</f>
        <v/>
      </c>
      <c r="X5084" s="7">
        <f>IF($C5084="","",W5084-K5084)</f>
        <v/>
      </c>
      <c r="AB5084" s="7" t="n"/>
      <c r="AE5084" s="11" t="n"/>
      <c r="AG5084">
        <f>IF($C5084="","",IF(COUNTIF($C$2:$C5084,$C5084)=1,1,0))</f>
        <v/>
      </c>
      <c r="AH5084">
        <f>IF($AG5084=1,SUMPRODUCT(--($AK$2:$AK$6001&lt;$AK5084))+1,"")</f>
        <v/>
      </c>
      <c r="AI5084">
        <f>IF($C5084="","",IF(OR($N5084=TRUE(),$N5084="TRUE"),1,0))</f>
        <v/>
      </c>
      <c r="AJ5084">
        <f>IF($C5084="","",IF($T5084="Yes",1,0))</f>
        <v/>
      </c>
      <c r="AK5084">
        <f>IF($AG5084=1,IFERROR(IF(VALUE($C5084)&lt;100000000,VALUE($C5084),1000000000),IFERROR(IF(VALUE(MID($C5084,2,20))&lt;100000000,VALUE(MID($C5084,2,20)),1000000000),1000000000))+ROW()/100000,"")</f>
        <v/>
      </c>
    </row>
    <row r="5085">
      <c r="D5085" s="11" t="n"/>
      <c r="K5085" s="7">
        <f>IF($C5085="","",J5085*W5085/100)</f>
        <v/>
      </c>
      <c r="Q5085" s="7" t="n"/>
      <c r="R5085" s="7" t="n"/>
      <c r="U5085">
        <f>IF($C5085="","",IF($AJ5085=1,0,IF($AI5085=1,Settings!$C$6,Settings!$C$7))*100)</f>
        <v/>
      </c>
      <c r="V5085" s="7">
        <f>IF($C5085="","",R5085*U5085/100)</f>
        <v/>
      </c>
      <c r="W5085" s="7">
        <f>IF($C5085="","",R5085-V5085)</f>
        <v/>
      </c>
      <c r="X5085" s="7">
        <f>IF($C5085="","",W5085-K5085)</f>
        <v/>
      </c>
      <c r="AB5085" s="7" t="n"/>
      <c r="AE5085" s="11" t="n"/>
      <c r="AG5085">
        <f>IF($C5085="","",IF(COUNTIF($C$2:$C5085,$C5085)=1,1,0))</f>
        <v/>
      </c>
      <c r="AH5085">
        <f>IF($AG5085=1,SUMPRODUCT(--($AK$2:$AK$6001&lt;$AK5085))+1,"")</f>
        <v/>
      </c>
      <c r="AI5085">
        <f>IF($C5085="","",IF(OR($N5085=TRUE(),$N5085="TRUE"),1,0))</f>
        <v/>
      </c>
      <c r="AJ5085">
        <f>IF($C5085="","",IF($T5085="Yes",1,0))</f>
        <v/>
      </c>
      <c r="AK5085">
        <f>IF($AG5085=1,IFERROR(IF(VALUE($C5085)&lt;100000000,VALUE($C5085),1000000000),IFERROR(IF(VALUE(MID($C5085,2,20))&lt;100000000,VALUE(MID($C5085,2,20)),1000000000),1000000000))+ROW()/100000,"")</f>
        <v/>
      </c>
    </row>
    <row r="5086">
      <c r="D5086" s="11" t="n"/>
      <c r="K5086" s="7">
        <f>IF($C5086="","",J5086*W5086/100)</f>
        <v/>
      </c>
      <c r="Q5086" s="7" t="n"/>
      <c r="R5086" s="7" t="n"/>
      <c r="U5086">
        <f>IF($C5086="","",IF($AJ5086=1,0,IF($AI5086=1,Settings!$C$6,Settings!$C$7))*100)</f>
        <v/>
      </c>
      <c r="V5086" s="7">
        <f>IF($C5086="","",R5086*U5086/100)</f>
        <v/>
      </c>
      <c r="W5086" s="7">
        <f>IF($C5086="","",R5086-V5086)</f>
        <v/>
      </c>
      <c r="X5086" s="7">
        <f>IF($C5086="","",W5086-K5086)</f>
        <v/>
      </c>
      <c r="AB5086" s="7" t="n"/>
      <c r="AE5086" s="11" t="n"/>
      <c r="AG5086">
        <f>IF($C5086="","",IF(COUNTIF($C$2:$C5086,$C5086)=1,1,0))</f>
        <v/>
      </c>
      <c r="AH5086">
        <f>IF($AG5086=1,SUMPRODUCT(--($AK$2:$AK$6001&lt;$AK5086))+1,"")</f>
        <v/>
      </c>
      <c r="AI5086">
        <f>IF($C5086="","",IF(OR($N5086=TRUE(),$N5086="TRUE"),1,0))</f>
        <v/>
      </c>
      <c r="AJ5086">
        <f>IF($C5086="","",IF($T5086="Yes",1,0))</f>
        <v/>
      </c>
      <c r="AK5086">
        <f>IF($AG5086=1,IFERROR(IF(VALUE($C5086)&lt;100000000,VALUE($C5086),1000000000),IFERROR(IF(VALUE(MID($C5086,2,20))&lt;100000000,VALUE(MID($C5086,2,20)),1000000000),1000000000))+ROW()/100000,"")</f>
        <v/>
      </c>
    </row>
    <row r="5087">
      <c r="D5087" s="11" t="n"/>
      <c r="K5087" s="7">
        <f>IF($C5087="","",J5087*W5087/100)</f>
        <v/>
      </c>
      <c r="Q5087" s="7" t="n"/>
      <c r="R5087" s="7" t="n"/>
      <c r="U5087">
        <f>IF($C5087="","",IF($AJ5087=1,0,IF($AI5087=1,Settings!$C$6,Settings!$C$7))*100)</f>
        <v/>
      </c>
      <c r="V5087" s="7">
        <f>IF($C5087="","",R5087*U5087/100)</f>
        <v/>
      </c>
      <c r="W5087" s="7">
        <f>IF($C5087="","",R5087-V5087)</f>
        <v/>
      </c>
      <c r="X5087" s="7">
        <f>IF($C5087="","",W5087-K5087)</f>
        <v/>
      </c>
      <c r="AB5087" s="7" t="n"/>
      <c r="AE5087" s="11" t="n"/>
      <c r="AG5087">
        <f>IF($C5087="","",IF(COUNTIF($C$2:$C5087,$C5087)=1,1,0))</f>
        <v/>
      </c>
      <c r="AH5087">
        <f>IF($AG5087=1,SUMPRODUCT(--($AK$2:$AK$6001&lt;$AK5087))+1,"")</f>
        <v/>
      </c>
      <c r="AI5087">
        <f>IF($C5087="","",IF(OR($N5087=TRUE(),$N5087="TRUE"),1,0))</f>
        <v/>
      </c>
      <c r="AJ5087">
        <f>IF($C5087="","",IF($T5087="Yes",1,0))</f>
        <v/>
      </c>
      <c r="AK5087">
        <f>IF($AG5087=1,IFERROR(IF(VALUE($C5087)&lt;100000000,VALUE($C5087),1000000000),IFERROR(IF(VALUE(MID($C5087,2,20))&lt;100000000,VALUE(MID($C5087,2,20)),1000000000),1000000000))+ROW()/100000,"")</f>
        <v/>
      </c>
    </row>
    <row r="5088">
      <c r="D5088" s="11" t="n"/>
      <c r="K5088" s="7">
        <f>IF($C5088="","",J5088*W5088/100)</f>
        <v/>
      </c>
      <c r="Q5088" s="7" t="n"/>
      <c r="R5088" s="7" t="n"/>
      <c r="U5088">
        <f>IF($C5088="","",IF($AJ5088=1,0,IF($AI5088=1,Settings!$C$6,Settings!$C$7))*100)</f>
        <v/>
      </c>
      <c r="V5088" s="7">
        <f>IF($C5088="","",R5088*U5088/100)</f>
        <v/>
      </c>
      <c r="W5088" s="7">
        <f>IF($C5088="","",R5088-V5088)</f>
        <v/>
      </c>
      <c r="X5088" s="7">
        <f>IF($C5088="","",W5088-K5088)</f>
        <v/>
      </c>
      <c r="AB5088" s="7" t="n"/>
      <c r="AE5088" s="11" t="n"/>
      <c r="AG5088">
        <f>IF($C5088="","",IF(COUNTIF($C$2:$C5088,$C5088)=1,1,0))</f>
        <v/>
      </c>
      <c r="AH5088">
        <f>IF($AG5088=1,SUMPRODUCT(--($AK$2:$AK$6001&lt;$AK5088))+1,"")</f>
        <v/>
      </c>
      <c r="AI5088">
        <f>IF($C5088="","",IF(OR($N5088=TRUE(),$N5088="TRUE"),1,0))</f>
        <v/>
      </c>
      <c r="AJ5088">
        <f>IF($C5088="","",IF($T5088="Yes",1,0))</f>
        <v/>
      </c>
      <c r="AK5088">
        <f>IF($AG5088=1,IFERROR(IF(VALUE($C5088)&lt;100000000,VALUE($C5088),1000000000),IFERROR(IF(VALUE(MID($C5088,2,20))&lt;100000000,VALUE(MID($C5088,2,20)),1000000000),1000000000))+ROW()/100000,"")</f>
        <v/>
      </c>
    </row>
    <row r="5089">
      <c r="D5089" s="11" t="n"/>
      <c r="K5089" s="7">
        <f>IF($C5089="","",J5089*W5089/100)</f>
        <v/>
      </c>
      <c r="Q5089" s="7" t="n"/>
      <c r="R5089" s="7" t="n"/>
      <c r="U5089">
        <f>IF($C5089="","",IF($AJ5089=1,0,IF($AI5089=1,Settings!$C$6,Settings!$C$7))*100)</f>
        <v/>
      </c>
      <c r="V5089" s="7">
        <f>IF($C5089="","",R5089*U5089/100)</f>
        <v/>
      </c>
      <c r="W5089" s="7">
        <f>IF($C5089="","",R5089-V5089)</f>
        <v/>
      </c>
      <c r="X5089" s="7">
        <f>IF($C5089="","",W5089-K5089)</f>
        <v/>
      </c>
      <c r="AB5089" s="7" t="n"/>
      <c r="AE5089" s="11" t="n"/>
      <c r="AG5089">
        <f>IF($C5089="","",IF(COUNTIF($C$2:$C5089,$C5089)=1,1,0))</f>
        <v/>
      </c>
      <c r="AH5089">
        <f>IF($AG5089=1,SUMPRODUCT(--($AK$2:$AK$6001&lt;$AK5089))+1,"")</f>
        <v/>
      </c>
      <c r="AI5089">
        <f>IF($C5089="","",IF(OR($N5089=TRUE(),$N5089="TRUE"),1,0))</f>
        <v/>
      </c>
      <c r="AJ5089">
        <f>IF($C5089="","",IF($T5089="Yes",1,0))</f>
        <v/>
      </c>
      <c r="AK5089">
        <f>IF($AG5089=1,IFERROR(IF(VALUE($C5089)&lt;100000000,VALUE($C5089),1000000000),IFERROR(IF(VALUE(MID($C5089,2,20))&lt;100000000,VALUE(MID($C5089,2,20)),1000000000),1000000000))+ROW()/100000,"")</f>
        <v/>
      </c>
    </row>
    <row r="5090">
      <c r="D5090" s="11" t="n"/>
      <c r="K5090" s="7">
        <f>IF($C5090="","",J5090*W5090/100)</f>
        <v/>
      </c>
      <c r="Q5090" s="7" t="n"/>
      <c r="R5090" s="7" t="n"/>
      <c r="U5090">
        <f>IF($C5090="","",IF($AJ5090=1,0,IF($AI5090=1,Settings!$C$6,Settings!$C$7))*100)</f>
        <v/>
      </c>
      <c r="V5090" s="7">
        <f>IF($C5090="","",R5090*U5090/100)</f>
        <v/>
      </c>
      <c r="W5090" s="7">
        <f>IF($C5090="","",R5090-V5090)</f>
        <v/>
      </c>
      <c r="X5090" s="7">
        <f>IF($C5090="","",W5090-K5090)</f>
        <v/>
      </c>
      <c r="AB5090" s="7" t="n"/>
      <c r="AE5090" s="11" t="n"/>
      <c r="AG5090">
        <f>IF($C5090="","",IF(COUNTIF($C$2:$C5090,$C5090)=1,1,0))</f>
        <v/>
      </c>
      <c r="AH5090">
        <f>IF($AG5090=1,SUMPRODUCT(--($AK$2:$AK$6001&lt;$AK5090))+1,"")</f>
        <v/>
      </c>
      <c r="AI5090">
        <f>IF($C5090="","",IF(OR($N5090=TRUE(),$N5090="TRUE"),1,0))</f>
        <v/>
      </c>
      <c r="AJ5090">
        <f>IF($C5090="","",IF($T5090="Yes",1,0))</f>
        <v/>
      </c>
      <c r="AK5090">
        <f>IF($AG5090=1,IFERROR(IF(VALUE($C5090)&lt;100000000,VALUE($C5090),1000000000),IFERROR(IF(VALUE(MID($C5090,2,20))&lt;100000000,VALUE(MID($C5090,2,20)),1000000000),1000000000))+ROW()/100000,"")</f>
        <v/>
      </c>
    </row>
    <row r="5091">
      <c r="D5091" s="11" t="n"/>
      <c r="K5091" s="7">
        <f>IF($C5091="","",J5091*W5091/100)</f>
        <v/>
      </c>
      <c r="Q5091" s="7" t="n"/>
      <c r="R5091" s="7" t="n"/>
      <c r="U5091">
        <f>IF($C5091="","",IF($AJ5091=1,0,IF($AI5091=1,Settings!$C$6,Settings!$C$7))*100)</f>
        <v/>
      </c>
      <c r="V5091" s="7">
        <f>IF($C5091="","",R5091*U5091/100)</f>
        <v/>
      </c>
      <c r="W5091" s="7">
        <f>IF($C5091="","",R5091-V5091)</f>
        <v/>
      </c>
      <c r="X5091" s="7">
        <f>IF($C5091="","",W5091-K5091)</f>
        <v/>
      </c>
      <c r="AB5091" s="7" t="n"/>
      <c r="AE5091" s="11" t="n"/>
      <c r="AG5091">
        <f>IF($C5091="","",IF(COUNTIF($C$2:$C5091,$C5091)=1,1,0))</f>
        <v/>
      </c>
      <c r="AH5091">
        <f>IF($AG5091=1,SUMPRODUCT(--($AK$2:$AK$6001&lt;$AK5091))+1,"")</f>
        <v/>
      </c>
      <c r="AI5091">
        <f>IF($C5091="","",IF(OR($N5091=TRUE(),$N5091="TRUE"),1,0))</f>
        <v/>
      </c>
      <c r="AJ5091">
        <f>IF($C5091="","",IF($T5091="Yes",1,0))</f>
        <v/>
      </c>
      <c r="AK5091">
        <f>IF($AG5091=1,IFERROR(IF(VALUE($C5091)&lt;100000000,VALUE($C5091),1000000000),IFERROR(IF(VALUE(MID($C5091,2,20))&lt;100000000,VALUE(MID($C5091,2,20)),1000000000),1000000000))+ROW()/100000,"")</f>
        <v/>
      </c>
    </row>
    <row r="5092">
      <c r="D5092" s="11" t="n"/>
      <c r="K5092" s="7">
        <f>IF($C5092="","",J5092*W5092/100)</f>
        <v/>
      </c>
      <c r="Q5092" s="7" t="n"/>
      <c r="R5092" s="7" t="n"/>
      <c r="U5092">
        <f>IF($C5092="","",IF($AJ5092=1,0,IF($AI5092=1,Settings!$C$6,Settings!$C$7))*100)</f>
        <v/>
      </c>
      <c r="V5092" s="7">
        <f>IF($C5092="","",R5092*U5092/100)</f>
        <v/>
      </c>
      <c r="W5092" s="7">
        <f>IF($C5092="","",R5092-V5092)</f>
        <v/>
      </c>
      <c r="X5092" s="7">
        <f>IF($C5092="","",W5092-K5092)</f>
        <v/>
      </c>
      <c r="AB5092" s="7" t="n"/>
      <c r="AE5092" s="11" t="n"/>
      <c r="AG5092">
        <f>IF($C5092="","",IF(COUNTIF($C$2:$C5092,$C5092)=1,1,0))</f>
        <v/>
      </c>
      <c r="AH5092">
        <f>IF($AG5092=1,SUMPRODUCT(--($AK$2:$AK$6001&lt;$AK5092))+1,"")</f>
        <v/>
      </c>
      <c r="AI5092">
        <f>IF($C5092="","",IF(OR($N5092=TRUE(),$N5092="TRUE"),1,0))</f>
        <v/>
      </c>
      <c r="AJ5092">
        <f>IF($C5092="","",IF($T5092="Yes",1,0))</f>
        <v/>
      </c>
      <c r="AK5092">
        <f>IF($AG5092=1,IFERROR(IF(VALUE($C5092)&lt;100000000,VALUE($C5092),1000000000),IFERROR(IF(VALUE(MID($C5092,2,20))&lt;100000000,VALUE(MID($C5092,2,20)),1000000000),1000000000))+ROW()/100000,"")</f>
        <v/>
      </c>
    </row>
    <row r="5093">
      <c r="D5093" s="11" t="n"/>
      <c r="K5093" s="7">
        <f>IF($C5093="","",J5093*W5093/100)</f>
        <v/>
      </c>
      <c r="Q5093" s="7" t="n"/>
      <c r="R5093" s="7" t="n"/>
      <c r="U5093">
        <f>IF($C5093="","",IF($AJ5093=1,0,IF($AI5093=1,Settings!$C$6,Settings!$C$7))*100)</f>
        <v/>
      </c>
      <c r="V5093" s="7">
        <f>IF($C5093="","",R5093*U5093/100)</f>
        <v/>
      </c>
      <c r="W5093" s="7">
        <f>IF($C5093="","",R5093-V5093)</f>
        <v/>
      </c>
      <c r="X5093" s="7">
        <f>IF($C5093="","",W5093-K5093)</f>
        <v/>
      </c>
      <c r="AB5093" s="7" t="n"/>
      <c r="AE5093" s="11" t="n"/>
      <c r="AG5093">
        <f>IF($C5093="","",IF(COUNTIF($C$2:$C5093,$C5093)=1,1,0))</f>
        <v/>
      </c>
      <c r="AH5093">
        <f>IF($AG5093=1,SUMPRODUCT(--($AK$2:$AK$6001&lt;$AK5093))+1,"")</f>
        <v/>
      </c>
      <c r="AI5093">
        <f>IF($C5093="","",IF(OR($N5093=TRUE(),$N5093="TRUE"),1,0))</f>
        <v/>
      </c>
      <c r="AJ5093">
        <f>IF($C5093="","",IF($T5093="Yes",1,0))</f>
        <v/>
      </c>
      <c r="AK5093">
        <f>IF($AG5093=1,IFERROR(IF(VALUE($C5093)&lt;100000000,VALUE($C5093),1000000000),IFERROR(IF(VALUE(MID($C5093,2,20))&lt;100000000,VALUE(MID($C5093,2,20)),1000000000),1000000000))+ROW()/100000,"")</f>
        <v/>
      </c>
    </row>
    <row r="5094">
      <c r="D5094" s="11" t="n"/>
      <c r="K5094" s="7">
        <f>IF($C5094="","",J5094*W5094/100)</f>
        <v/>
      </c>
      <c r="Q5094" s="7" t="n"/>
      <c r="R5094" s="7" t="n"/>
      <c r="U5094">
        <f>IF($C5094="","",IF($AJ5094=1,0,IF($AI5094=1,Settings!$C$6,Settings!$C$7))*100)</f>
        <v/>
      </c>
      <c r="V5094" s="7">
        <f>IF($C5094="","",R5094*U5094/100)</f>
        <v/>
      </c>
      <c r="W5094" s="7">
        <f>IF($C5094="","",R5094-V5094)</f>
        <v/>
      </c>
      <c r="X5094" s="7">
        <f>IF($C5094="","",W5094-K5094)</f>
        <v/>
      </c>
      <c r="AB5094" s="7" t="n"/>
      <c r="AE5094" s="11" t="n"/>
      <c r="AG5094">
        <f>IF($C5094="","",IF(COUNTIF($C$2:$C5094,$C5094)=1,1,0))</f>
        <v/>
      </c>
      <c r="AH5094">
        <f>IF($AG5094=1,SUMPRODUCT(--($AK$2:$AK$6001&lt;$AK5094))+1,"")</f>
        <v/>
      </c>
      <c r="AI5094">
        <f>IF($C5094="","",IF(OR($N5094=TRUE(),$N5094="TRUE"),1,0))</f>
        <v/>
      </c>
      <c r="AJ5094">
        <f>IF($C5094="","",IF($T5094="Yes",1,0))</f>
        <v/>
      </c>
      <c r="AK5094">
        <f>IF($AG5094=1,IFERROR(IF(VALUE($C5094)&lt;100000000,VALUE($C5094),1000000000),IFERROR(IF(VALUE(MID($C5094,2,20))&lt;100000000,VALUE(MID($C5094,2,20)),1000000000),1000000000))+ROW()/100000,"")</f>
        <v/>
      </c>
    </row>
    <row r="5095">
      <c r="D5095" s="11" t="n"/>
      <c r="K5095" s="7">
        <f>IF($C5095="","",J5095*W5095/100)</f>
        <v/>
      </c>
      <c r="Q5095" s="7" t="n"/>
      <c r="R5095" s="7" t="n"/>
      <c r="U5095">
        <f>IF($C5095="","",IF($AJ5095=1,0,IF($AI5095=1,Settings!$C$6,Settings!$C$7))*100)</f>
        <v/>
      </c>
      <c r="V5095" s="7">
        <f>IF($C5095="","",R5095*U5095/100)</f>
        <v/>
      </c>
      <c r="W5095" s="7">
        <f>IF($C5095="","",R5095-V5095)</f>
        <v/>
      </c>
      <c r="X5095" s="7">
        <f>IF($C5095="","",W5095-K5095)</f>
        <v/>
      </c>
      <c r="AB5095" s="7" t="n"/>
      <c r="AE5095" s="11" t="n"/>
      <c r="AG5095">
        <f>IF($C5095="","",IF(COUNTIF($C$2:$C5095,$C5095)=1,1,0))</f>
        <v/>
      </c>
      <c r="AH5095">
        <f>IF($AG5095=1,SUMPRODUCT(--($AK$2:$AK$6001&lt;$AK5095))+1,"")</f>
        <v/>
      </c>
      <c r="AI5095">
        <f>IF($C5095="","",IF(OR($N5095=TRUE(),$N5095="TRUE"),1,0))</f>
        <v/>
      </c>
      <c r="AJ5095">
        <f>IF($C5095="","",IF($T5095="Yes",1,0))</f>
        <v/>
      </c>
      <c r="AK5095">
        <f>IF($AG5095=1,IFERROR(IF(VALUE($C5095)&lt;100000000,VALUE($C5095),1000000000),IFERROR(IF(VALUE(MID($C5095,2,20))&lt;100000000,VALUE(MID($C5095,2,20)),1000000000),1000000000))+ROW()/100000,"")</f>
        <v/>
      </c>
    </row>
    <row r="5096">
      <c r="D5096" s="11" t="n"/>
      <c r="K5096" s="7">
        <f>IF($C5096="","",J5096*W5096/100)</f>
        <v/>
      </c>
      <c r="Q5096" s="7" t="n"/>
      <c r="R5096" s="7" t="n"/>
      <c r="U5096">
        <f>IF($C5096="","",IF($AJ5096=1,0,IF($AI5096=1,Settings!$C$6,Settings!$C$7))*100)</f>
        <v/>
      </c>
      <c r="V5096" s="7">
        <f>IF($C5096="","",R5096*U5096/100)</f>
        <v/>
      </c>
      <c r="W5096" s="7">
        <f>IF($C5096="","",R5096-V5096)</f>
        <v/>
      </c>
      <c r="X5096" s="7">
        <f>IF($C5096="","",W5096-K5096)</f>
        <v/>
      </c>
      <c r="AB5096" s="7" t="n"/>
      <c r="AE5096" s="11" t="n"/>
      <c r="AG5096">
        <f>IF($C5096="","",IF(COUNTIF($C$2:$C5096,$C5096)=1,1,0))</f>
        <v/>
      </c>
      <c r="AH5096">
        <f>IF($AG5096=1,SUMPRODUCT(--($AK$2:$AK$6001&lt;$AK5096))+1,"")</f>
        <v/>
      </c>
      <c r="AI5096">
        <f>IF($C5096="","",IF(OR($N5096=TRUE(),$N5096="TRUE"),1,0))</f>
        <v/>
      </c>
      <c r="AJ5096">
        <f>IF($C5096="","",IF($T5096="Yes",1,0))</f>
        <v/>
      </c>
      <c r="AK5096">
        <f>IF($AG5096=1,IFERROR(IF(VALUE($C5096)&lt;100000000,VALUE($C5096),1000000000),IFERROR(IF(VALUE(MID($C5096,2,20))&lt;100000000,VALUE(MID($C5096,2,20)),1000000000),1000000000))+ROW()/100000,"")</f>
        <v/>
      </c>
    </row>
    <row r="5097">
      <c r="D5097" s="11" t="n"/>
      <c r="K5097" s="7">
        <f>IF($C5097="","",J5097*W5097/100)</f>
        <v/>
      </c>
      <c r="Q5097" s="7" t="n"/>
      <c r="R5097" s="7" t="n"/>
      <c r="U5097">
        <f>IF($C5097="","",IF($AJ5097=1,0,IF($AI5097=1,Settings!$C$6,Settings!$C$7))*100)</f>
        <v/>
      </c>
      <c r="V5097" s="7">
        <f>IF($C5097="","",R5097*U5097/100)</f>
        <v/>
      </c>
      <c r="W5097" s="7">
        <f>IF($C5097="","",R5097-V5097)</f>
        <v/>
      </c>
      <c r="X5097" s="7">
        <f>IF($C5097="","",W5097-K5097)</f>
        <v/>
      </c>
      <c r="AB5097" s="7" t="n"/>
      <c r="AE5097" s="11" t="n"/>
      <c r="AG5097">
        <f>IF($C5097="","",IF(COUNTIF($C$2:$C5097,$C5097)=1,1,0))</f>
        <v/>
      </c>
      <c r="AH5097">
        <f>IF($AG5097=1,SUMPRODUCT(--($AK$2:$AK$6001&lt;$AK5097))+1,"")</f>
        <v/>
      </c>
      <c r="AI5097">
        <f>IF($C5097="","",IF(OR($N5097=TRUE(),$N5097="TRUE"),1,0))</f>
        <v/>
      </c>
      <c r="AJ5097">
        <f>IF($C5097="","",IF($T5097="Yes",1,0))</f>
        <v/>
      </c>
      <c r="AK5097">
        <f>IF($AG5097=1,IFERROR(IF(VALUE($C5097)&lt;100000000,VALUE($C5097),1000000000),IFERROR(IF(VALUE(MID($C5097,2,20))&lt;100000000,VALUE(MID($C5097,2,20)),1000000000),1000000000))+ROW()/100000,"")</f>
        <v/>
      </c>
    </row>
    <row r="5098">
      <c r="D5098" s="11" t="n"/>
      <c r="K5098" s="7">
        <f>IF($C5098="","",J5098*W5098/100)</f>
        <v/>
      </c>
      <c r="Q5098" s="7" t="n"/>
      <c r="R5098" s="7" t="n"/>
      <c r="U5098">
        <f>IF($C5098="","",IF($AJ5098=1,0,IF($AI5098=1,Settings!$C$6,Settings!$C$7))*100)</f>
        <v/>
      </c>
      <c r="V5098" s="7">
        <f>IF($C5098="","",R5098*U5098/100)</f>
        <v/>
      </c>
      <c r="W5098" s="7">
        <f>IF($C5098="","",R5098-V5098)</f>
        <v/>
      </c>
      <c r="X5098" s="7">
        <f>IF($C5098="","",W5098-K5098)</f>
        <v/>
      </c>
      <c r="AB5098" s="7" t="n"/>
      <c r="AE5098" s="11" t="n"/>
      <c r="AG5098">
        <f>IF($C5098="","",IF(COUNTIF($C$2:$C5098,$C5098)=1,1,0))</f>
        <v/>
      </c>
      <c r="AH5098">
        <f>IF($AG5098=1,SUMPRODUCT(--($AK$2:$AK$6001&lt;$AK5098))+1,"")</f>
        <v/>
      </c>
      <c r="AI5098">
        <f>IF($C5098="","",IF(OR($N5098=TRUE(),$N5098="TRUE"),1,0))</f>
        <v/>
      </c>
      <c r="AJ5098">
        <f>IF($C5098="","",IF($T5098="Yes",1,0))</f>
        <v/>
      </c>
      <c r="AK5098">
        <f>IF($AG5098=1,IFERROR(IF(VALUE($C5098)&lt;100000000,VALUE($C5098),1000000000),IFERROR(IF(VALUE(MID($C5098,2,20))&lt;100000000,VALUE(MID($C5098,2,20)),1000000000),1000000000))+ROW()/100000,"")</f>
        <v/>
      </c>
    </row>
    <row r="5099">
      <c r="D5099" s="11" t="n"/>
      <c r="K5099" s="7">
        <f>IF($C5099="","",J5099*W5099/100)</f>
        <v/>
      </c>
      <c r="Q5099" s="7" t="n"/>
      <c r="R5099" s="7" t="n"/>
      <c r="U5099">
        <f>IF($C5099="","",IF($AJ5099=1,0,IF($AI5099=1,Settings!$C$6,Settings!$C$7))*100)</f>
        <v/>
      </c>
      <c r="V5099" s="7">
        <f>IF($C5099="","",R5099*U5099/100)</f>
        <v/>
      </c>
      <c r="W5099" s="7">
        <f>IF($C5099="","",R5099-V5099)</f>
        <v/>
      </c>
      <c r="X5099" s="7">
        <f>IF($C5099="","",W5099-K5099)</f>
        <v/>
      </c>
      <c r="AB5099" s="7" t="n"/>
      <c r="AE5099" s="11" t="n"/>
      <c r="AG5099">
        <f>IF($C5099="","",IF(COUNTIF($C$2:$C5099,$C5099)=1,1,0))</f>
        <v/>
      </c>
      <c r="AH5099">
        <f>IF($AG5099=1,SUMPRODUCT(--($AK$2:$AK$6001&lt;$AK5099))+1,"")</f>
        <v/>
      </c>
      <c r="AI5099">
        <f>IF($C5099="","",IF(OR($N5099=TRUE(),$N5099="TRUE"),1,0))</f>
        <v/>
      </c>
      <c r="AJ5099">
        <f>IF($C5099="","",IF($T5099="Yes",1,0))</f>
        <v/>
      </c>
      <c r="AK5099">
        <f>IF($AG5099=1,IFERROR(IF(VALUE($C5099)&lt;100000000,VALUE($C5099),1000000000),IFERROR(IF(VALUE(MID($C5099,2,20))&lt;100000000,VALUE(MID($C5099,2,20)),1000000000),1000000000))+ROW()/100000,"")</f>
        <v/>
      </c>
    </row>
    <row r="5100">
      <c r="D5100" s="11" t="n"/>
      <c r="K5100" s="7">
        <f>IF($C5100="","",J5100*W5100/100)</f>
        <v/>
      </c>
      <c r="Q5100" s="7" t="n"/>
      <c r="R5100" s="7" t="n"/>
      <c r="U5100">
        <f>IF($C5100="","",IF($AJ5100=1,0,IF($AI5100=1,Settings!$C$6,Settings!$C$7))*100)</f>
        <v/>
      </c>
      <c r="V5100" s="7">
        <f>IF($C5100="","",R5100*U5100/100)</f>
        <v/>
      </c>
      <c r="W5100" s="7">
        <f>IF($C5100="","",R5100-V5100)</f>
        <v/>
      </c>
      <c r="X5100" s="7">
        <f>IF($C5100="","",W5100-K5100)</f>
        <v/>
      </c>
      <c r="AB5100" s="7" t="n"/>
      <c r="AE5100" s="11" t="n"/>
      <c r="AG5100">
        <f>IF($C5100="","",IF(COUNTIF($C$2:$C5100,$C5100)=1,1,0))</f>
        <v/>
      </c>
      <c r="AH5100">
        <f>IF($AG5100=1,SUMPRODUCT(--($AK$2:$AK$6001&lt;$AK5100))+1,"")</f>
        <v/>
      </c>
      <c r="AI5100">
        <f>IF($C5100="","",IF(OR($N5100=TRUE(),$N5100="TRUE"),1,0))</f>
        <v/>
      </c>
      <c r="AJ5100">
        <f>IF($C5100="","",IF($T5100="Yes",1,0))</f>
        <v/>
      </c>
      <c r="AK5100">
        <f>IF($AG5100=1,IFERROR(IF(VALUE($C5100)&lt;100000000,VALUE($C5100),1000000000),IFERROR(IF(VALUE(MID($C5100,2,20))&lt;100000000,VALUE(MID($C5100,2,20)),1000000000),1000000000))+ROW()/100000,"")</f>
        <v/>
      </c>
    </row>
    <row r="5101">
      <c r="D5101" s="11" t="n"/>
      <c r="K5101" s="7">
        <f>IF($C5101="","",J5101*W5101/100)</f>
        <v/>
      </c>
      <c r="Q5101" s="7" t="n"/>
      <c r="R5101" s="7" t="n"/>
      <c r="U5101">
        <f>IF($C5101="","",IF($AJ5101=1,0,IF($AI5101=1,Settings!$C$6,Settings!$C$7))*100)</f>
        <v/>
      </c>
      <c r="V5101" s="7">
        <f>IF($C5101="","",R5101*U5101/100)</f>
        <v/>
      </c>
      <c r="W5101" s="7">
        <f>IF($C5101="","",R5101-V5101)</f>
        <v/>
      </c>
      <c r="X5101" s="7">
        <f>IF($C5101="","",W5101-K5101)</f>
        <v/>
      </c>
      <c r="AB5101" s="7" t="n"/>
      <c r="AE5101" s="11" t="n"/>
      <c r="AG5101">
        <f>IF($C5101="","",IF(COUNTIF($C$2:$C5101,$C5101)=1,1,0))</f>
        <v/>
      </c>
      <c r="AH5101">
        <f>IF($AG5101=1,SUMPRODUCT(--($AK$2:$AK$6001&lt;$AK5101))+1,"")</f>
        <v/>
      </c>
      <c r="AI5101">
        <f>IF($C5101="","",IF(OR($N5101=TRUE(),$N5101="TRUE"),1,0))</f>
        <v/>
      </c>
      <c r="AJ5101">
        <f>IF($C5101="","",IF($T5101="Yes",1,0))</f>
        <v/>
      </c>
      <c r="AK5101">
        <f>IF($AG5101=1,IFERROR(IF(VALUE($C5101)&lt;100000000,VALUE($C5101),1000000000),IFERROR(IF(VALUE(MID($C5101,2,20))&lt;100000000,VALUE(MID($C5101,2,20)),1000000000),1000000000))+ROW()/100000,"")</f>
        <v/>
      </c>
    </row>
    <row r="5102">
      <c r="D5102" s="11" t="n"/>
      <c r="K5102" s="7">
        <f>IF($C5102="","",J5102*W5102/100)</f>
        <v/>
      </c>
      <c r="Q5102" s="7" t="n"/>
      <c r="R5102" s="7" t="n"/>
      <c r="U5102">
        <f>IF($C5102="","",IF($AJ5102=1,0,IF($AI5102=1,Settings!$C$6,Settings!$C$7))*100)</f>
        <v/>
      </c>
      <c r="V5102" s="7">
        <f>IF($C5102="","",R5102*U5102/100)</f>
        <v/>
      </c>
      <c r="W5102" s="7">
        <f>IF($C5102="","",R5102-V5102)</f>
        <v/>
      </c>
      <c r="X5102" s="7">
        <f>IF($C5102="","",W5102-K5102)</f>
        <v/>
      </c>
      <c r="AB5102" s="7" t="n"/>
      <c r="AE5102" s="11" t="n"/>
      <c r="AG5102">
        <f>IF($C5102="","",IF(COUNTIF($C$2:$C5102,$C5102)=1,1,0))</f>
        <v/>
      </c>
      <c r="AH5102">
        <f>IF($AG5102=1,SUMPRODUCT(--($AK$2:$AK$6001&lt;$AK5102))+1,"")</f>
        <v/>
      </c>
      <c r="AI5102">
        <f>IF($C5102="","",IF(OR($N5102=TRUE(),$N5102="TRUE"),1,0))</f>
        <v/>
      </c>
      <c r="AJ5102">
        <f>IF($C5102="","",IF($T5102="Yes",1,0))</f>
        <v/>
      </c>
      <c r="AK5102">
        <f>IF($AG5102=1,IFERROR(IF(VALUE($C5102)&lt;100000000,VALUE($C5102),1000000000),IFERROR(IF(VALUE(MID($C5102,2,20))&lt;100000000,VALUE(MID($C5102,2,20)),1000000000),1000000000))+ROW()/100000,"")</f>
        <v/>
      </c>
    </row>
    <row r="5103">
      <c r="D5103" s="11" t="n"/>
      <c r="K5103" s="7">
        <f>IF($C5103="","",J5103*W5103/100)</f>
        <v/>
      </c>
      <c r="Q5103" s="7" t="n"/>
      <c r="R5103" s="7" t="n"/>
      <c r="U5103">
        <f>IF($C5103="","",IF($AJ5103=1,0,IF($AI5103=1,Settings!$C$6,Settings!$C$7))*100)</f>
        <v/>
      </c>
      <c r="V5103" s="7">
        <f>IF($C5103="","",R5103*U5103/100)</f>
        <v/>
      </c>
      <c r="W5103" s="7">
        <f>IF($C5103="","",R5103-V5103)</f>
        <v/>
      </c>
      <c r="X5103" s="7">
        <f>IF($C5103="","",W5103-K5103)</f>
        <v/>
      </c>
      <c r="AB5103" s="7" t="n"/>
      <c r="AE5103" s="11" t="n"/>
      <c r="AG5103">
        <f>IF($C5103="","",IF(COUNTIF($C$2:$C5103,$C5103)=1,1,0))</f>
        <v/>
      </c>
      <c r="AH5103">
        <f>IF($AG5103=1,SUMPRODUCT(--($AK$2:$AK$6001&lt;$AK5103))+1,"")</f>
        <v/>
      </c>
      <c r="AI5103">
        <f>IF($C5103="","",IF(OR($N5103=TRUE(),$N5103="TRUE"),1,0))</f>
        <v/>
      </c>
      <c r="AJ5103">
        <f>IF($C5103="","",IF($T5103="Yes",1,0))</f>
        <v/>
      </c>
      <c r="AK5103">
        <f>IF($AG5103=1,IFERROR(IF(VALUE($C5103)&lt;100000000,VALUE($C5103),1000000000),IFERROR(IF(VALUE(MID($C5103,2,20))&lt;100000000,VALUE(MID($C5103,2,20)),1000000000),1000000000))+ROW()/100000,"")</f>
        <v/>
      </c>
    </row>
    <row r="5104">
      <c r="D5104" s="11" t="n"/>
      <c r="K5104" s="7">
        <f>IF($C5104="","",J5104*W5104/100)</f>
        <v/>
      </c>
      <c r="Q5104" s="7" t="n"/>
      <c r="R5104" s="7" t="n"/>
      <c r="U5104">
        <f>IF($C5104="","",IF($AJ5104=1,0,IF($AI5104=1,Settings!$C$6,Settings!$C$7))*100)</f>
        <v/>
      </c>
      <c r="V5104" s="7">
        <f>IF($C5104="","",R5104*U5104/100)</f>
        <v/>
      </c>
      <c r="W5104" s="7">
        <f>IF($C5104="","",R5104-V5104)</f>
        <v/>
      </c>
      <c r="X5104" s="7">
        <f>IF($C5104="","",W5104-K5104)</f>
        <v/>
      </c>
      <c r="AB5104" s="7" t="n"/>
      <c r="AE5104" s="11" t="n"/>
      <c r="AG5104">
        <f>IF($C5104="","",IF(COUNTIF($C$2:$C5104,$C5104)=1,1,0))</f>
        <v/>
      </c>
      <c r="AH5104">
        <f>IF($AG5104=1,SUMPRODUCT(--($AK$2:$AK$6001&lt;$AK5104))+1,"")</f>
        <v/>
      </c>
      <c r="AI5104">
        <f>IF($C5104="","",IF(OR($N5104=TRUE(),$N5104="TRUE"),1,0))</f>
        <v/>
      </c>
      <c r="AJ5104">
        <f>IF($C5104="","",IF($T5104="Yes",1,0))</f>
        <v/>
      </c>
      <c r="AK5104">
        <f>IF($AG5104=1,IFERROR(IF(VALUE($C5104)&lt;100000000,VALUE($C5104),1000000000),IFERROR(IF(VALUE(MID($C5104,2,20))&lt;100000000,VALUE(MID($C5104,2,20)),1000000000),1000000000))+ROW()/100000,"")</f>
        <v/>
      </c>
    </row>
    <row r="5105">
      <c r="D5105" s="11" t="n"/>
      <c r="K5105" s="7">
        <f>IF($C5105="","",J5105*W5105/100)</f>
        <v/>
      </c>
      <c r="Q5105" s="7" t="n"/>
      <c r="R5105" s="7" t="n"/>
      <c r="U5105">
        <f>IF($C5105="","",IF($AJ5105=1,0,IF($AI5105=1,Settings!$C$6,Settings!$C$7))*100)</f>
        <v/>
      </c>
      <c r="V5105" s="7">
        <f>IF($C5105="","",R5105*U5105/100)</f>
        <v/>
      </c>
      <c r="W5105" s="7">
        <f>IF($C5105="","",R5105-V5105)</f>
        <v/>
      </c>
      <c r="X5105" s="7">
        <f>IF($C5105="","",W5105-K5105)</f>
        <v/>
      </c>
      <c r="AB5105" s="7" t="n"/>
      <c r="AE5105" s="11" t="n"/>
      <c r="AG5105">
        <f>IF($C5105="","",IF(COUNTIF($C$2:$C5105,$C5105)=1,1,0))</f>
        <v/>
      </c>
      <c r="AH5105">
        <f>IF($AG5105=1,SUMPRODUCT(--($AK$2:$AK$6001&lt;$AK5105))+1,"")</f>
        <v/>
      </c>
      <c r="AI5105">
        <f>IF($C5105="","",IF(OR($N5105=TRUE(),$N5105="TRUE"),1,0))</f>
        <v/>
      </c>
      <c r="AJ5105">
        <f>IF($C5105="","",IF($T5105="Yes",1,0))</f>
        <v/>
      </c>
      <c r="AK5105">
        <f>IF($AG5105=1,IFERROR(IF(VALUE($C5105)&lt;100000000,VALUE($C5105),1000000000),IFERROR(IF(VALUE(MID($C5105,2,20))&lt;100000000,VALUE(MID($C5105,2,20)),1000000000),1000000000))+ROW()/100000,"")</f>
        <v/>
      </c>
    </row>
    <row r="5106">
      <c r="D5106" s="11" t="n"/>
      <c r="K5106" s="7">
        <f>IF($C5106="","",J5106*W5106/100)</f>
        <v/>
      </c>
      <c r="Q5106" s="7" t="n"/>
      <c r="R5106" s="7" t="n"/>
      <c r="U5106">
        <f>IF($C5106="","",IF($AJ5106=1,0,IF($AI5106=1,Settings!$C$6,Settings!$C$7))*100)</f>
        <v/>
      </c>
      <c r="V5106" s="7">
        <f>IF($C5106="","",R5106*U5106/100)</f>
        <v/>
      </c>
      <c r="W5106" s="7">
        <f>IF($C5106="","",R5106-V5106)</f>
        <v/>
      </c>
      <c r="X5106" s="7">
        <f>IF($C5106="","",W5106-K5106)</f>
        <v/>
      </c>
      <c r="AB5106" s="7" t="n"/>
      <c r="AE5106" s="11" t="n"/>
      <c r="AG5106">
        <f>IF($C5106="","",IF(COUNTIF($C$2:$C5106,$C5106)=1,1,0))</f>
        <v/>
      </c>
      <c r="AH5106">
        <f>IF($AG5106=1,SUMPRODUCT(--($AK$2:$AK$6001&lt;$AK5106))+1,"")</f>
        <v/>
      </c>
      <c r="AI5106">
        <f>IF($C5106="","",IF(OR($N5106=TRUE(),$N5106="TRUE"),1,0))</f>
        <v/>
      </c>
      <c r="AJ5106">
        <f>IF($C5106="","",IF($T5106="Yes",1,0))</f>
        <v/>
      </c>
      <c r="AK5106">
        <f>IF($AG5106=1,IFERROR(IF(VALUE($C5106)&lt;100000000,VALUE($C5106),1000000000),IFERROR(IF(VALUE(MID($C5106,2,20))&lt;100000000,VALUE(MID($C5106,2,20)),1000000000),1000000000))+ROW()/100000,"")</f>
        <v/>
      </c>
    </row>
    <row r="5107">
      <c r="D5107" s="11" t="n"/>
      <c r="K5107" s="7">
        <f>IF($C5107="","",J5107*W5107/100)</f>
        <v/>
      </c>
      <c r="Q5107" s="7" t="n"/>
      <c r="R5107" s="7" t="n"/>
      <c r="U5107">
        <f>IF($C5107="","",IF($AJ5107=1,0,IF($AI5107=1,Settings!$C$6,Settings!$C$7))*100)</f>
        <v/>
      </c>
      <c r="V5107" s="7">
        <f>IF($C5107="","",R5107*U5107/100)</f>
        <v/>
      </c>
      <c r="W5107" s="7">
        <f>IF($C5107="","",R5107-V5107)</f>
        <v/>
      </c>
      <c r="X5107" s="7">
        <f>IF($C5107="","",W5107-K5107)</f>
        <v/>
      </c>
      <c r="AB5107" s="7" t="n"/>
      <c r="AE5107" s="11" t="n"/>
      <c r="AG5107">
        <f>IF($C5107="","",IF(COUNTIF($C$2:$C5107,$C5107)=1,1,0))</f>
        <v/>
      </c>
      <c r="AH5107">
        <f>IF($AG5107=1,SUMPRODUCT(--($AK$2:$AK$6001&lt;$AK5107))+1,"")</f>
        <v/>
      </c>
      <c r="AI5107">
        <f>IF($C5107="","",IF(OR($N5107=TRUE(),$N5107="TRUE"),1,0))</f>
        <v/>
      </c>
      <c r="AJ5107">
        <f>IF($C5107="","",IF($T5107="Yes",1,0))</f>
        <v/>
      </c>
      <c r="AK5107">
        <f>IF($AG5107=1,IFERROR(IF(VALUE($C5107)&lt;100000000,VALUE($C5107),1000000000),IFERROR(IF(VALUE(MID($C5107,2,20))&lt;100000000,VALUE(MID($C5107,2,20)),1000000000),1000000000))+ROW()/100000,"")</f>
        <v/>
      </c>
    </row>
    <row r="5108">
      <c r="D5108" s="11" t="n"/>
      <c r="K5108" s="7">
        <f>IF($C5108="","",J5108*W5108/100)</f>
        <v/>
      </c>
      <c r="Q5108" s="7" t="n"/>
      <c r="R5108" s="7" t="n"/>
      <c r="U5108">
        <f>IF($C5108="","",IF($AJ5108=1,0,IF($AI5108=1,Settings!$C$6,Settings!$C$7))*100)</f>
        <v/>
      </c>
      <c r="V5108" s="7">
        <f>IF($C5108="","",R5108*U5108/100)</f>
        <v/>
      </c>
      <c r="W5108" s="7">
        <f>IF($C5108="","",R5108-V5108)</f>
        <v/>
      </c>
      <c r="X5108" s="7">
        <f>IF($C5108="","",W5108-K5108)</f>
        <v/>
      </c>
      <c r="AB5108" s="7" t="n"/>
      <c r="AE5108" s="11" t="n"/>
      <c r="AG5108">
        <f>IF($C5108="","",IF(COUNTIF($C$2:$C5108,$C5108)=1,1,0))</f>
        <v/>
      </c>
      <c r="AH5108">
        <f>IF($AG5108=1,SUMPRODUCT(--($AK$2:$AK$6001&lt;$AK5108))+1,"")</f>
        <v/>
      </c>
      <c r="AI5108">
        <f>IF($C5108="","",IF(OR($N5108=TRUE(),$N5108="TRUE"),1,0))</f>
        <v/>
      </c>
      <c r="AJ5108">
        <f>IF($C5108="","",IF($T5108="Yes",1,0))</f>
        <v/>
      </c>
      <c r="AK5108">
        <f>IF($AG5108=1,IFERROR(IF(VALUE($C5108)&lt;100000000,VALUE($C5108),1000000000),IFERROR(IF(VALUE(MID($C5108,2,20))&lt;100000000,VALUE(MID($C5108,2,20)),1000000000),1000000000))+ROW()/100000,"")</f>
        <v/>
      </c>
    </row>
    <row r="5109">
      <c r="D5109" s="11" t="n"/>
      <c r="K5109" s="7">
        <f>IF($C5109="","",J5109*W5109/100)</f>
        <v/>
      </c>
      <c r="Q5109" s="7" t="n"/>
      <c r="R5109" s="7" t="n"/>
      <c r="U5109">
        <f>IF($C5109="","",IF($AJ5109=1,0,IF($AI5109=1,Settings!$C$6,Settings!$C$7))*100)</f>
        <v/>
      </c>
      <c r="V5109" s="7">
        <f>IF($C5109="","",R5109*U5109/100)</f>
        <v/>
      </c>
      <c r="W5109" s="7">
        <f>IF($C5109="","",R5109-V5109)</f>
        <v/>
      </c>
      <c r="X5109" s="7">
        <f>IF($C5109="","",W5109-K5109)</f>
        <v/>
      </c>
      <c r="AB5109" s="7" t="n"/>
      <c r="AE5109" s="11" t="n"/>
      <c r="AG5109">
        <f>IF($C5109="","",IF(COUNTIF($C$2:$C5109,$C5109)=1,1,0))</f>
        <v/>
      </c>
      <c r="AH5109">
        <f>IF($AG5109=1,SUMPRODUCT(--($AK$2:$AK$6001&lt;$AK5109))+1,"")</f>
        <v/>
      </c>
      <c r="AI5109">
        <f>IF($C5109="","",IF(OR($N5109=TRUE(),$N5109="TRUE"),1,0))</f>
        <v/>
      </c>
      <c r="AJ5109">
        <f>IF($C5109="","",IF($T5109="Yes",1,0))</f>
        <v/>
      </c>
      <c r="AK5109">
        <f>IF($AG5109=1,IFERROR(IF(VALUE($C5109)&lt;100000000,VALUE($C5109),1000000000),IFERROR(IF(VALUE(MID($C5109,2,20))&lt;100000000,VALUE(MID($C5109,2,20)),1000000000),1000000000))+ROW()/100000,"")</f>
        <v/>
      </c>
    </row>
    <row r="5110">
      <c r="D5110" s="11" t="n"/>
      <c r="K5110" s="7">
        <f>IF($C5110="","",J5110*W5110/100)</f>
        <v/>
      </c>
      <c r="Q5110" s="7" t="n"/>
      <c r="R5110" s="7" t="n"/>
      <c r="U5110">
        <f>IF($C5110="","",IF($AJ5110=1,0,IF($AI5110=1,Settings!$C$6,Settings!$C$7))*100)</f>
        <v/>
      </c>
      <c r="V5110" s="7">
        <f>IF($C5110="","",R5110*U5110/100)</f>
        <v/>
      </c>
      <c r="W5110" s="7">
        <f>IF($C5110="","",R5110-V5110)</f>
        <v/>
      </c>
      <c r="X5110" s="7">
        <f>IF($C5110="","",W5110-K5110)</f>
        <v/>
      </c>
      <c r="AB5110" s="7" t="n"/>
      <c r="AE5110" s="11" t="n"/>
      <c r="AG5110">
        <f>IF($C5110="","",IF(COUNTIF($C$2:$C5110,$C5110)=1,1,0))</f>
        <v/>
      </c>
      <c r="AH5110">
        <f>IF($AG5110=1,SUMPRODUCT(--($AK$2:$AK$6001&lt;$AK5110))+1,"")</f>
        <v/>
      </c>
      <c r="AI5110">
        <f>IF($C5110="","",IF(OR($N5110=TRUE(),$N5110="TRUE"),1,0))</f>
        <v/>
      </c>
      <c r="AJ5110">
        <f>IF($C5110="","",IF($T5110="Yes",1,0))</f>
        <v/>
      </c>
      <c r="AK5110">
        <f>IF($AG5110=1,IFERROR(IF(VALUE($C5110)&lt;100000000,VALUE($C5110),1000000000),IFERROR(IF(VALUE(MID($C5110,2,20))&lt;100000000,VALUE(MID($C5110,2,20)),1000000000),1000000000))+ROW()/100000,"")</f>
        <v/>
      </c>
    </row>
    <row r="5111">
      <c r="D5111" s="11" t="n"/>
      <c r="K5111" s="7">
        <f>IF($C5111="","",J5111*W5111/100)</f>
        <v/>
      </c>
      <c r="Q5111" s="7" t="n"/>
      <c r="R5111" s="7" t="n"/>
      <c r="U5111">
        <f>IF($C5111="","",IF($AJ5111=1,0,IF($AI5111=1,Settings!$C$6,Settings!$C$7))*100)</f>
        <v/>
      </c>
      <c r="V5111" s="7">
        <f>IF($C5111="","",R5111*U5111/100)</f>
        <v/>
      </c>
      <c r="W5111" s="7">
        <f>IF($C5111="","",R5111-V5111)</f>
        <v/>
      </c>
      <c r="X5111" s="7">
        <f>IF($C5111="","",W5111-K5111)</f>
        <v/>
      </c>
      <c r="AB5111" s="7" t="n"/>
      <c r="AE5111" s="11" t="n"/>
      <c r="AG5111">
        <f>IF($C5111="","",IF(COUNTIF($C$2:$C5111,$C5111)=1,1,0))</f>
        <v/>
      </c>
      <c r="AH5111">
        <f>IF($AG5111=1,SUMPRODUCT(--($AK$2:$AK$6001&lt;$AK5111))+1,"")</f>
        <v/>
      </c>
      <c r="AI5111">
        <f>IF($C5111="","",IF(OR($N5111=TRUE(),$N5111="TRUE"),1,0))</f>
        <v/>
      </c>
      <c r="AJ5111">
        <f>IF($C5111="","",IF($T5111="Yes",1,0))</f>
        <v/>
      </c>
      <c r="AK5111">
        <f>IF($AG5111=1,IFERROR(IF(VALUE($C5111)&lt;100000000,VALUE($C5111),1000000000),IFERROR(IF(VALUE(MID($C5111,2,20))&lt;100000000,VALUE(MID($C5111,2,20)),1000000000),1000000000))+ROW()/100000,"")</f>
        <v/>
      </c>
    </row>
    <row r="5112">
      <c r="D5112" s="11" t="n"/>
      <c r="K5112" s="7">
        <f>IF($C5112="","",J5112*W5112/100)</f>
        <v/>
      </c>
      <c r="Q5112" s="7" t="n"/>
      <c r="R5112" s="7" t="n"/>
      <c r="U5112">
        <f>IF($C5112="","",IF($AJ5112=1,0,IF($AI5112=1,Settings!$C$6,Settings!$C$7))*100)</f>
        <v/>
      </c>
      <c r="V5112" s="7">
        <f>IF($C5112="","",R5112*U5112/100)</f>
        <v/>
      </c>
      <c r="W5112" s="7">
        <f>IF($C5112="","",R5112-V5112)</f>
        <v/>
      </c>
      <c r="X5112" s="7">
        <f>IF($C5112="","",W5112-K5112)</f>
        <v/>
      </c>
      <c r="AB5112" s="7" t="n"/>
      <c r="AE5112" s="11" t="n"/>
      <c r="AG5112">
        <f>IF($C5112="","",IF(COUNTIF($C$2:$C5112,$C5112)=1,1,0))</f>
        <v/>
      </c>
      <c r="AH5112">
        <f>IF($AG5112=1,SUMPRODUCT(--($AK$2:$AK$6001&lt;$AK5112))+1,"")</f>
        <v/>
      </c>
      <c r="AI5112">
        <f>IF($C5112="","",IF(OR($N5112=TRUE(),$N5112="TRUE"),1,0))</f>
        <v/>
      </c>
      <c r="AJ5112">
        <f>IF($C5112="","",IF($T5112="Yes",1,0))</f>
        <v/>
      </c>
      <c r="AK5112">
        <f>IF($AG5112=1,IFERROR(IF(VALUE($C5112)&lt;100000000,VALUE($C5112),1000000000),IFERROR(IF(VALUE(MID($C5112,2,20))&lt;100000000,VALUE(MID($C5112,2,20)),1000000000),1000000000))+ROW()/100000,"")</f>
        <v/>
      </c>
    </row>
    <row r="5113">
      <c r="D5113" s="11" t="n"/>
      <c r="K5113" s="7">
        <f>IF($C5113="","",J5113*W5113/100)</f>
        <v/>
      </c>
      <c r="Q5113" s="7" t="n"/>
      <c r="R5113" s="7" t="n"/>
      <c r="U5113">
        <f>IF($C5113="","",IF($AJ5113=1,0,IF($AI5113=1,Settings!$C$6,Settings!$C$7))*100)</f>
        <v/>
      </c>
      <c r="V5113" s="7">
        <f>IF($C5113="","",R5113*U5113/100)</f>
        <v/>
      </c>
      <c r="W5113" s="7">
        <f>IF($C5113="","",R5113-V5113)</f>
        <v/>
      </c>
      <c r="X5113" s="7">
        <f>IF($C5113="","",W5113-K5113)</f>
        <v/>
      </c>
      <c r="AB5113" s="7" t="n"/>
      <c r="AE5113" s="11" t="n"/>
      <c r="AG5113">
        <f>IF($C5113="","",IF(COUNTIF($C$2:$C5113,$C5113)=1,1,0))</f>
        <v/>
      </c>
      <c r="AH5113">
        <f>IF($AG5113=1,SUMPRODUCT(--($AK$2:$AK$6001&lt;$AK5113))+1,"")</f>
        <v/>
      </c>
      <c r="AI5113">
        <f>IF($C5113="","",IF(OR($N5113=TRUE(),$N5113="TRUE"),1,0))</f>
        <v/>
      </c>
      <c r="AJ5113">
        <f>IF($C5113="","",IF($T5113="Yes",1,0))</f>
        <v/>
      </c>
      <c r="AK5113">
        <f>IF($AG5113=1,IFERROR(IF(VALUE($C5113)&lt;100000000,VALUE($C5113),1000000000),IFERROR(IF(VALUE(MID($C5113,2,20))&lt;100000000,VALUE(MID($C5113,2,20)),1000000000),1000000000))+ROW()/100000,"")</f>
        <v/>
      </c>
    </row>
    <row r="5114">
      <c r="D5114" s="11" t="n"/>
      <c r="K5114" s="7">
        <f>IF($C5114="","",J5114*W5114/100)</f>
        <v/>
      </c>
      <c r="Q5114" s="7" t="n"/>
      <c r="R5114" s="7" t="n"/>
      <c r="U5114">
        <f>IF($C5114="","",IF($AJ5114=1,0,IF($AI5114=1,Settings!$C$6,Settings!$C$7))*100)</f>
        <v/>
      </c>
      <c r="V5114" s="7">
        <f>IF($C5114="","",R5114*U5114/100)</f>
        <v/>
      </c>
      <c r="W5114" s="7">
        <f>IF($C5114="","",R5114-V5114)</f>
        <v/>
      </c>
      <c r="X5114" s="7">
        <f>IF($C5114="","",W5114-K5114)</f>
        <v/>
      </c>
      <c r="AB5114" s="7" t="n"/>
      <c r="AE5114" s="11" t="n"/>
      <c r="AG5114">
        <f>IF($C5114="","",IF(COUNTIF($C$2:$C5114,$C5114)=1,1,0))</f>
        <v/>
      </c>
      <c r="AH5114">
        <f>IF($AG5114=1,SUMPRODUCT(--($AK$2:$AK$6001&lt;$AK5114))+1,"")</f>
        <v/>
      </c>
      <c r="AI5114">
        <f>IF($C5114="","",IF(OR($N5114=TRUE(),$N5114="TRUE"),1,0))</f>
        <v/>
      </c>
      <c r="AJ5114">
        <f>IF($C5114="","",IF($T5114="Yes",1,0))</f>
        <v/>
      </c>
      <c r="AK5114">
        <f>IF($AG5114=1,IFERROR(IF(VALUE($C5114)&lt;100000000,VALUE($C5114),1000000000),IFERROR(IF(VALUE(MID($C5114,2,20))&lt;100000000,VALUE(MID($C5114,2,20)),1000000000),1000000000))+ROW()/100000,"")</f>
        <v/>
      </c>
    </row>
    <row r="5115">
      <c r="D5115" s="11" t="n"/>
      <c r="K5115" s="7">
        <f>IF($C5115="","",J5115*W5115/100)</f>
        <v/>
      </c>
      <c r="Q5115" s="7" t="n"/>
      <c r="R5115" s="7" t="n"/>
      <c r="U5115">
        <f>IF($C5115="","",IF($AJ5115=1,0,IF($AI5115=1,Settings!$C$6,Settings!$C$7))*100)</f>
        <v/>
      </c>
      <c r="V5115" s="7">
        <f>IF($C5115="","",R5115*U5115/100)</f>
        <v/>
      </c>
      <c r="W5115" s="7">
        <f>IF($C5115="","",R5115-V5115)</f>
        <v/>
      </c>
      <c r="X5115" s="7">
        <f>IF($C5115="","",W5115-K5115)</f>
        <v/>
      </c>
      <c r="AB5115" s="7" t="n"/>
      <c r="AE5115" s="11" t="n"/>
      <c r="AG5115">
        <f>IF($C5115="","",IF(COUNTIF($C$2:$C5115,$C5115)=1,1,0))</f>
        <v/>
      </c>
      <c r="AH5115">
        <f>IF($AG5115=1,SUMPRODUCT(--($AK$2:$AK$6001&lt;$AK5115))+1,"")</f>
        <v/>
      </c>
      <c r="AI5115">
        <f>IF($C5115="","",IF(OR($N5115=TRUE(),$N5115="TRUE"),1,0))</f>
        <v/>
      </c>
      <c r="AJ5115">
        <f>IF($C5115="","",IF($T5115="Yes",1,0))</f>
        <v/>
      </c>
      <c r="AK5115">
        <f>IF($AG5115=1,IFERROR(IF(VALUE($C5115)&lt;100000000,VALUE($C5115),1000000000),IFERROR(IF(VALUE(MID($C5115,2,20))&lt;100000000,VALUE(MID($C5115,2,20)),1000000000),1000000000))+ROW()/100000,"")</f>
        <v/>
      </c>
    </row>
    <row r="5116">
      <c r="D5116" s="11" t="n"/>
      <c r="K5116" s="7">
        <f>IF($C5116="","",J5116*W5116/100)</f>
        <v/>
      </c>
      <c r="Q5116" s="7" t="n"/>
      <c r="R5116" s="7" t="n"/>
      <c r="U5116">
        <f>IF($C5116="","",IF($AJ5116=1,0,IF($AI5116=1,Settings!$C$6,Settings!$C$7))*100)</f>
        <v/>
      </c>
      <c r="V5116" s="7">
        <f>IF($C5116="","",R5116*U5116/100)</f>
        <v/>
      </c>
      <c r="W5116" s="7">
        <f>IF($C5116="","",R5116-V5116)</f>
        <v/>
      </c>
      <c r="X5116" s="7">
        <f>IF($C5116="","",W5116-K5116)</f>
        <v/>
      </c>
      <c r="AB5116" s="7" t="n"/>
      <c r="AE5116" s="11" t="n"/>
      <c r="AG5116">
        <f>IF($C5116="","",IF(COUNTIF($C$2:$C5116,$C5116)=1,1,0))</f>
        <v/>
      </c>
      <c r="AH5116">
        <f>IF($AG5116=1,SUMPRODUCT(--($AK$2:$AK$6001&lt;$AK5116))+1,"")</f>
        <v/>
      </c>
      <c r="AI5116">
        <f>IF($C5116="","",IF(OR($N5116=TRUE(),$N5116="TRUE"),1,0))</f>
        <v/>
      </c>
      <c r="AJ5116">
        <f>IF($C5116="","",IF($T5116="Yes",1,0))</f>
        <v/>
      </c>
      <c r="AK5116">
        <f>IF($AG5116=1,IFERROR(IF(VALUE($C5116)&lt;100000000,VALUE($C5116),1000000000),IFERROR(IF(VALUE(MID($C5116,2,20))&lt;100000000,VALUE(MID($C5116,2,20)),1000000000),1000000000))+ROW()/100000,"")</f>
        <v/>
      </c>
    </row>
    <row r="5117">
      <c r="D5117" s="11" t="n"/>
      <c r="K5117" s="7">
        <f>IF($C5117="","",J5117*W5117/100)</f>
        <v/>
      </c>
      <c r="Q5117" s="7" t="n"/>
      <c r="R5117" s="7" t="n"/>
      <c r="U5117">
        <f>IF($C5117="","",IF($AJ5117=1,0,IF($AI5117=1,Settings!$C$6,Settings!$C$7))*100)</f>
        <v/>
      </c>
      <c r="V5117" s="7">
        <f>IF($C5117="","",R5117*U5117/100)</f>
        <v/>
      </c>
      <c r="W5117" s="7">
        <f>IF($C5117="","",R5117-V5117)</f>
        <v/>
      </c>
      <c r="X5117" s="7">
        <f>IF($C5117="","",W5117-K5117)</f>
        <v/>
      </c>
      <c r="AB5117" s="7" t="n"/>
      <c r="AE5117" s="11" t="n"/>
      <c r="AG5117">
        <f>IF($C5117="","",IF(COUNTIF($C$2:$C5117,$C5117)=1,1,0))</f>
        <v/>
      </c>
      <c r="AH5117">
        <f>IF($AG5117=1,SUMPRODUCT(--($AK$2:$AK$6001&lt;$AK5117))+1,"")</f>
        <v/>
      </c>
      <c r="AI5117">
        <f>IF($C5117="","",IF(OR($N5117=TRUE(),$N5117="TRUE"),1,0))</f>
        <v/>
      </c>
      <c r="AJ5117">
        <f>IF($C5117="","",IF($T5117="Yes",1,0))</f>
        <v/>
      </c>
      <c r="AK5117">
        <f>IF($AG5117=1,IFERROR(IF(VALUE($C5117)&lt;100000000,VALUE($C5117),1000000000),IFERROR(IF(VALUE(MID($C5117,2,20))&lt;100000000,VALUE(MID($C5117,2,20)),1000000000),1000000000))+ROW()/100000,"")</f>
        <v/>
      </c>
    </row>
    <row r="5118">
      <c r="D5118" s="11" t="n"/>
      <c r="K5118" s="7">
        <f>IF($C5118="","",J5118*W5118/100)</f>
        <v/>
      </c>
      <c r="Q5118" s="7" t="n"/>
      <c r="R5118" s="7" t="n"/>
      <c r="U5118">
        <f>IF($C5118="","",IF($AJ5118=1,0,IF($AI5118=1,Settings!$C$6,Settings!$C$7))*100)</f>
        <v/>
      </c>
      <c r="V5118" s="7">
        <f>IF($C5118="","",R5118*U5118/100)</f>
        <v/>
      </c>
      <c r="W5118" s="7">
        <f>IF($C5118="","",R5118-V5118)</f>
        <v/>
      </c>
      <c r="X5118" s="7">
        <f>IF($C5118="","",W5118-K5118)</f>
        <v/>
      </c>
      <c r="AB5118" s="7" t="n"/>
      <c r="AE5118" s="11" t="n"/>
      <c r="AG5118">
        <f>IF($C5118="","",IF(COUNTIF($C$2:$C5118,$C5118)=1,1,0))</f>
        <v/>
      </c>
      <c r="AH5118">
        <f>IF($AG5118=1,SUMPRODUCT(--($AK$2:$AK$6001&lt;$AK5118))+1,"")</f>
        <v/>
      </c>
      <c r="AI5118">
        <f>IF($C5118="","",IF(OR($N5118=TRUE(),$N5118="TRUE"),1,0))</f>
        <v/>
      </c>
      <c r="AJ5118">
        <f>IF($C5118="","",IF($T5118="Yes",1,0))</f>
        <v/>
      </c>
      <c r="AK5118">
        <f>IF($AG5118=1,IFERROR(IF(VALUE($C5118)&lt;100000000,VALUE($C5118),1000000000),IFERROR(IF(VALUE(MID($C5118,2,20))&lt;100000000,VALUE(MID($C5118,2,20)),1000000000),1000000000))+ROW()/100000,"")</f>
        <v/>
      </c>
    </row>
    <row r="5119">
      <c r="D5119" s="11" t="n"/>
      <c r="K5119" s="7">
        <f>IF($C5119="","",J5119*W5119/100)</f>
        <v/>
      </c>
      <c r="Q5119" s="7" t="n"/>
      <c r="R5119" s="7" t="n"/>
      <c r="U5119">
        <f>IF($C5119="","",IF($AJ5119=1,0,IF($AI5119=1,Settings!$C$6,Settings!$C$7))*100)</f>
        <v/>
      </c>
      <c r="V5119" s="7">
        <f>IF($C5119="","",R5119*U5119/100)</f>
        <v/>
      </c>
      <c r="W5119" s="7">
        <f>IF($C5119="","",R5119-V5119)</f>
        <v/>
      </c>
      <c r="X5119" s="7">
        <f>IF($C5119="","",W5119-K5119)</f>
        <v/>
      </c>
      <c r="AB5119" s="7" t="n"/>
      <c r="AE5119" s="11" t="n"/>
      <c r="AG5119">
        <f>IF($C5119="","",IF(COUNTIF($C$2:$C5119,$C5119)=1,1,0))</f>
        <v/>
      </c>
      <c r="AH5119">
        <f>IF($AG5119=1,SUMPRODUCT(--($AK$2:$AK$6001&lt;$AK5119))+1,"")</f>
        <v/>
      </c>
      <c r="AI5119">
        <f>IF($C5119="","",IF(OR($N5119=TRUE(),$N5119="TRUE"),1,0))</f>
        <v/>
      </c>
      <c r="AJ5119">
        <f>IF($C5119="","",IF($T5119="Yes",1,0))</f>
        <v/>
      </c>
      <c r="AK5119">
        <f>IF($AG5119=1,IFERROR(IF(VALUE($C5119)&lt;100000000,VALUE($C5119),1000000000),IFERROR(IF(VALUE(MID($C5119,2,20))&lt;100000000,VALUE(MID($C5119,2,20)),1000000000),1000000000))+ROW()/100000,"")</f>
        <v/>
      </c>
    </row>
    <row r="5120">
      <c r="D5120" s="11" t="n"/>
      <c r="K5120" s="7">
        <f>IF($C5120="","",J5120*W5120/100)</f>
        <v/>
      </c>
      <c r="Q5120" s="7" t="n"/>
      <c r="R5120" s="7" t="n"/>
      <c r="U5120">
        <f>IF($C5120="","",IF($AJ5120=1,0,IF($AI5120=1,Settings!$C$6,Settings!$C$7))*100)</f>
        <v/>
      </c>
      <c r="V5120" s="7">
        <f>IF($C5120="","",R5120*U5120/100)</f>
        <v/>
      </c>
      <c r="W5120" s="7">
        <f>IF($C5120="","",R5120-V5120)</f>
        <v/>
      </c>
      <c r="X5120" s="7">
        <f>IF($C5120="","",W5120-K5120)</f>
        <v/>
      </c>
      <c r="AB5120" s="7" t="n"/>
      <c r="AE5120" s="11" t="n"/>
      <c r="AG5120">
        <f>IF($C5120="","",IF(COUNTIF($C$2:$C5120,$C5120)=1,1,0))</f>
        <v/>
      </c>
      <c r="AH5120">
        <f>IF($AG5120=1,SUMPRODUCT(--($AK$2:$AK$6001&lt;$AK5120))+1,"")</f>
        <v/>
      </c>
      <c r="AI5120">
        <f>IF($C5120="","",IF(OR($N5120=TRUE(),$N5120="TRUE"),1,0))</f>
        <v/>
      </c>
      <c r="AJ5120">
        <f>IF($C5120="","",IF($T5120="Yes",1,0))</f>
        <v/>
      </c>
      <c r="AK5120">
        <f>IF($AG5120=1,IFERROR(IF(VALUE($C5120)&lt;100000000,VALUE($C5120),1000000000),IFERROR(IF(VALUE(MID($C5120,2,20))&lt;100000000,VALUE(MID($C5120,2,20)),1000000000),1000000000))+ROW()/100000,"")</f>
        <v/>
      </c>
    </row>
    <row r="5121">
      <c r="D5121" s="11" t="n"/>
      <c r="K5121" s="7">
        <f>IF($C5121="","",J5121*W5121/100)</f>
        <v/>
      </c>
      <c r="Q5121" s="7" t="n"/>
      <c r="R5121" s="7" t="n"/>
      <c r="U5121">
        <f>IF($C5121="","",IF($AJ5121=1,0,IF($AI5121=1,Settings!$C$6,Settings!$C$7))*100)</f>
        <v/>
      </c>
      <c r="V5121" s="7">
        <f>IF($C5121="","",R5121*U5121/100)</f>
        <v/>
      </c>
      <c r="W5121" s="7">
        <f>IF($C5121="","",R5121-V5121)</f>
        <v/>
      </c>
      <c r="X5121" s="7">
        <f>IF($C5121="","",W5121-K5121)</f>
        <v/>
      </c>
      <c r="AB5121" s="7" t="n"/>
      <c r="AE5121" s="11" t="n"/>
      <c r="AG5121">
        <f>IF($C5121="","",IF(COUNTIF($C$2:$C5121,$C5121)=1,1,0))</f>
        <v/>
      </c>
      <c r="AH5121">
        <f>IF($AG5121=1,SUMPRODUCT(--($AK$2:$AK$6001&lt;$AK5121))+1,"")</f>
        <v/>
      </c>
      <c r="AI5121">
        <f>IF($C5121="","",IF(OR($N5121=TRUE(),$N5121="TRUE"),1,0))</f>
        <v/>
      </c>
      <c r="AJ5121">
        <f>IF($C5121="","",IF($T5121="Yes",1,0))</f>
        <v/>
      </c>
      <c r="AK5121">
        <f>IF($AG5121=1,IFERROR(IF(VALUE($C5121)&lt;100000000,VALUE($C5121),1000000000),IFERROR(IF(VALUE(MID($C5121,2,20))&lt;100000000,VALUE(MID($C5121,2,20)),1000000000),1000000000))+ROW()/100000,"")</f>
        <v/>
      </c>
    </row>
    <row r="5122">
      <c r="D5122" s="11" t="n"/>
      <c r="K5122" s="7">
        <f>IF($C5122="","",J5122*W5122/100)</f>
        <v/>
      </c>
      <c r="Q5122" s="7" t="n"/>
      <c r="R5122" s="7" t="n"/>
      <c r="U5122">
        <f>IF($C5122="","",IF($AJ5122=1,0,IF($AI5122=1,Settings!$C$6,Settings!$C$7))*100)</f>
        <v/>
      </c>
      <c r="V5122" s="7">
        <f>IF($C5122="","",R5122*U5122/100)</f>
        <v/>
      </c>
      <c r="W5122" s="7">
        <f>IF($C5122="","",R5122-V5122)</f>
        <v/>
      </c>
      <c r="X5122" s="7">
        <f>IF($C5122="","",W5122-K5122)</f>
        <v/>
      </c>
      <c r="AB5122" s="7" t="n"/>
      <c r="AE5122" s="11" t="n"/>
      <c r="AG5122">
        <f>IF($C5122="","",IF(COUNTIF($C$2:$C5122,$C5122)=1,1,0))</f>
        <v/>
      </c>
      <c r="AH5122">
        <f>IF($AG5122=1,SUMPRODUCT(--($AK$2:$AK$6001&lt;$AK5122))+1,"")</f>
        <v/>
      </c>
      <c r="AI5122">
        <f>IF($C5122="","",IF(OR($N5122=TRUE(),$N5122="TRUE"),1,0))</f>
        <v/>
      </c>
      <c r="AJ5122">
        <f>IF($C5122="","",IF($T5122="Yes",1,0))</f>
        <v/>
      </c>
      <c r="AK5122">
        <f>IF($AG5122=1,IFERROR(IF(VALUE($C5122)&lt;100000000,VALUE($C5122),1000000000),IFERROR(IF(VALUE(MID($C5122,2,20))&lt;100000000,VALUE(MID($C5122,2,20)),1000000000),1000000000))+ROW()/100000,"")</f>
        <v/>
      </c>
    </row>
    <row r="5123">
      <c r="D5123" s="11" t="n"/>
      <c r="K5123" s="7">
        <f>IF($C5123="","",J5123*W5123/100)</f>
        <v/>
      </c>
      <c r="Q5123" s="7" t="n"/>
      <c r="R5123" s="7" t="n"/>
      <c r="U5123">
        <f>IF($C5123="","",IF($AJ5123=1,0,IF($AI5123=1,Settings!$C$6,Settings!$C$7))*100)</f>
        <v/>
      </c>
      <c r="V5123" s="7">
        <f>IF($C5123="","",R5123*U5123/100)</f>
        <v/>
      </c>
      <c r="W5123" s="7">
        <f>IF($C5123="","",R5123-V5123)</f>
        <v/>
      </c>
      <c r="X5123" s="7">
        <f>IF($C5123="","",W5123-K5123)</f>
        <v/>
      </c>
      <c r="AB5123" s="7" t="n"/>
      <c r="AE5123" s="11" t="n"/>
      <c r="AG5123">
        <f>IF($C5123="","",IF(COUNTIF($C$2:$C5123,$C5123)=1,1,0))</f>
        <v/>
      </c>
      <c r="AH5123">
        <f>IF($AG5123=1,SUMPRODUCT(--($AK$2:$AK$6001&lt;$AK5123))+1,"")</f>
        <v/>
      </c>
      <c r="AI5123">
        <f>IF($C5123="","",IF(OR($N5123=TRUE(),$N5123="TRUE"),1,0))</f>
        <v/>
      </c>
      <c r="AJ5123">
        <f>IF($C5123="","",IF($T5123="Yes",1,0))</f>
        <v/>
      </c>
      <c r="AK5123">
        <f>IF($AG5123=1,IFERROR(IF(VALUE($C5123)&lt;100000000,VALUE($C5123),1000000000),IFERROR(IF(VALUE(MID($C5123,2,20))&lt;100000000,VALUE(MID($C5123,2,20)),1000000000),1000000000))+ROW()/100000,"")</f>
        <v/>
      </c>
    </row>
    <row r="5124">
      <c r="D5124" s="11" t="n"/>
      <c r="K5124" s="7">
        <f>IF($C5124="","",J5124*W5124/100)</f>
        <v/>
      </c>
      <c r="Q5124" s="7" t="n"/>
      <c r="R5124" s="7" t="n"/>
      <c r="U5124">
        <f>IF($C5124="","",IF($AJ5124=1,0,IF($AI5124=1,Settings!$C$6,Settings!$C$7))*100)</f>
        <v/>
      </c>
      <c r="V5124" s="7">
        <f>IF($C5124="","",R5124*U5124/100)</f>
        <v/>
      </c>
      <c r="W5124" s="7">
        <f>IF($C5124="","",R5124-V5124)</f>
        <v/>
      </c>
      <c r="X5124" s="7">
        <f>IF($C5124="","",W5124-K5124)</f>
        <v/>
      </c>
      <c r="AB5124" s="7" t="n"/>
      <c r="AE5124" s="11" t="n"/>
      <c r="AG5124">
        <f>IF($C5124="","",IF(COUNTIF($C$2:$C5124,$C5124)=1,1,0))</f>
        <v/>
      </c>
      <c r="AH5124">
        <f>IF($AG5124=1,SUMPRODUCT(--($AK$2:$AK$6001&lt;$AK5124))+1,"")</f>
        <v/>
      </c>
      <c r="AI5124">
        <f>IF($C5124="","",IF(OR($N5124=TRUE(),$N5124="TRUE"),1,0))</f>
        <v/>
      </c>
      <c r="AJ5124">
        <f>IF($C5124="","",IF($T5124="Yes",1,0))</f>
        <v/>
      </c>
      <c r="AK5124">
        <f>IF($AG5124=1,IFERROR(IF(VALUE($C5124)&lt;100000000,VALUE($C5124),1000000000),IFERROR(IF(VALUE(MID($C5124,2,20))&lt;100000000,VALUE(MID($C5124,2,20)),1000000000),1000000000))+ROW()/100000,"")</f>
        <v/>
      </c>
    </row>
    <row r="5125">
      <c r="D5125" s="11" t="n"/>
      <c r="K5125" s="7">
        <f>IF($C5125="","",J5125*W5125/100)</f>
        <v/>
      </c>
      <c r="Q5125" s="7" t="n"/>
      <c r="R5125" s="7" t="n"/>
      <c r="U5125">
        <f>IF($C5125="","",IF($AJ5125=1,0,IF($AI5125=1,Settings!$C$6,Settings!$C$7))*100)</f>
        <v/>
      </c>
      <c r="V5125" s="7">
        <f>IF($C5125="","",R5125*U5125/100)</f>
        <v/>
      </c>
      <c r="W5125" s="7">
        <f>IF($C5125="","",R5125-V5125)</f>
        <v/>
      </c>
      <c r="X5125" s="7">
        <f>IF($C5125="","",W5125-K5125)</f>
        <v/>
      </c>
      <c r="AB5125" s="7" t="n"/>
      <c r="AE5125" s="11" t="n"/>
      <c r="AG5125">
        <f>IF($C5125="","",IF(COUNTIF($C$2:$C5125,$C5125)=1,1,0))</f>
        <v/>
      </c>
      <c r="AH5125">
        <f>IF($AG5125=1,SUMPRODUCT(--($AK$2:$AK$6001&lt;$AK5125))+1,"")</f>
        <v/>
      </c>
      <c r="AI5125">
        <f>IF($C5125="","",IF(OR($N5125=TRUE(),$N5125="TRUE"),1,0))</f>
        <v/>
      </c>
      <c r="AJ5125">
        <f>IF($C5125="","",IF($T5125="Yes",1,0))</f>
        <v/>
      </c>
      <c r="AK5125">
        <f>IF($AG5125=1,IFERROR(IF(VALUE($C5125)&lt;100000000,VALUE($C5125),1000000000),IFERROR(IF(VALUE(MID($C5125,2,20))&lt;100000000,VALUE(MID($C5125,2,20)),1000000000),1000000000))+ROW()/100000,"")</f>
        <v/>
      </c>
    </row>
    <row r="5126">
      <c r="D5126" s="11" t="n"/>
      <c r="K5126" s="7">
        <f>IF($C5126="","",J5126*W5126/100)</f>
        <v/>
      </c>
      <c r="Q5126" s="7" t="n"/>
      <c r="R5126" s="7" t="n"/>
      <c r="U5126">
        <f>IF($C5126="","",IF($AJ5126=1,0,IF($AI5126=1,Settings!$C$6,Settings!$C$7))*100)</f>
        <v/>
      </c>
      <c r="V5126" s="7">
        <f>IF($C5126="","",R5126*U5126/100)</f>
        <v/>
      </c>
      <c r="W5126" s="7">
        <f>IF($C5126="","",R5126-V5126)</f>
        <v/>
      </c>
      <c r="X5126" s="7">
        <f>IF($C5126="","",W5126-K5126)</f>
        <v/>
      </c>
      <c r="AB5126" s="7" t="n"/>
      <c r="AE5126" s="11" t="n"/>
      <c r="AG5126">
        <f>IF($C5126="","",IF(COUNTIF($C$2:$C5126,$C5126)=1,1,0))</f>
        <v/>
      </c>
      <c r="AH5126">
        <f>IF($AG5126=1,SUMPRODUCT(--($AK$2:$AK$6001&lt;$AK5126))+1,"")</f>
        <v/>
      </c>
      <c r="AI5126">
        <f>IF($C5126="","",IF(OR($N5126=TRUE(),$N5126="TRUE"),1,0))</f>
        <v/>
      </c>
      <c r="AJ5126">
        <f>IF($C5126="","",IF($T5126="Yes",1,0))</f>
        <v/>
      </c>
      <c r="AK5126">
        <f>IF($AG5126=1,IFERROR(IF(VALUE($C5126)&lt;100000000,VALUE($C5126),1000000000),IFERROR(IF(VALUE(MID($C5126,2,20))&lt;100000000,VALUE(MID($C5126,2,20)),1000000000),1000000000))+ROW()/100000,"")</f>
        <v/>
      </c>
    </row>
    <row r="5127">
      <c r="D5127" s="11" t="n"/>
      <c r="K5127" s="7">
        <f>IF($C5127="","",J5127*W5127/100)</f>
        <v/>
      </c>
      <c r="Q5127" s="7" t="n"/>
      <c r="R5127" s="7" t="n"/>
      <c r="U5127">
        <f>IF($C5127="","",IF($AJ5127=1,0,IF($AI5127=1,Settings!$C$6,Settings!$C$7))*100)</f>
        <v/>
      </c>
      <c r="V5127" s="7">
        <f>IF($C5127="","",R5127*U5127/100)</f>
        <v/>
      </c>
      <c r="W5127" s="7">
        <f>IF($C5127="","",R5127-V5127)</f>
        <v/>
      </c>
      <c r="X5127" s="7">
        <f>IF($C5127="","",W5127-K5127)</f>
        <v/>
      </c>
      <c r="AB5127" s="7" t="n"/>
      <c r="AE5127" s="11" t="n"/>
      <c r="AG5127">
        <f>IF($C5127="","",IF(COUNTIF($C$2:$C5127,$C5127)=1,1,0))</f>
        <v/>
      </c>
      <c r="AH5127">
        <f>IF($AG5127=1,SUMPRODUCT(--($AK$2:$AK$6001&lt;$AK5127))+1,"")</f>
        <v/>
      </c>
      <c r="AI5127">
        <f>IF($C5127="","",IF(OR($N5127=TRUE(),$N5127="TRUE"),1,0))</f>
        <v/>
      </c>
      <c r="AJ5127">
        <f>IF($C5127="","",IF($T5127="Yes",1,0))</f>
        <v/>
      </c>
      <c r="AK5127">
        <f>IF($AG5127=1,IFERROR(IF(VALUE($C5127)&lt;100000000,VALUE($C5127),1000000000),IFERROR(IF(VALUE(MID($C5127,2,20))&lt;100000000,VALUE(MID($C5127,2,20)),1000000000),1000000000))+ROW()/100000,"")</f>
        <v/>
      </c>
    </row>
    <row r="5128">
      <c r="D5128" s="11" t="n"/>
      <c r="K5128" s="7">
        <f>IF($C5128="","",J5128*W5128/100)</f>
        <v/>
      </c>
      <c r="Q5128" s="7" t="n"/>
      <c r="R5128" s="7" t="n"/>
      <c r="U5128">
        <f>IF($C5128="","",IF($AJ5128=1,0,IF($AI5128=1,Settings!$C$6,Settings!$C$7))*100)</f>
        <v/>
      </c>
      <c r="V5128" s="7">
        <f>IF($C5128="","",R5128*U5128/100)</f>
        <v/>
      </c>
      <c r="W5128" s="7">
        <f>IF($C5128="","",R5128-V5128)</f>
        <v/>
      </c>
      <c r="X5128" s="7">
        <f>IF($C5128="","",W5128-K5128)</f>
        <v/>
      </c>
      <c r="AB5128" s="7" t="n"/>
      <c r="AE5128" s="11" t="n"/>
      <c r="AG5128">
        <f>IF($C5128="","",IF(COUNTIF($C$2:$C5128,$C5128)=1,1,0))</f>
        <v/>
      </c>
      <c r="AH5128">
        <f>IF($AG5128=1,SUMPRODUCT(--($AK$2:$AK$6001&lt;$AK5128))+1,"")</f>
        <v/>
      </c>
      <c r="AI5128">
        <f>IF($C5128="","",IF(OR($N5128=TRUE(),$N5128="TRUE"),1,0))</f>
        <v/>
      </c>
      <c r="AJ5128">
        <f>IF($C5128="","",IF($T5128="Yes",1,0))</f>
        <v/>
      </c>
      <c r="AK5128">
        <f>IF($AG5128=1,IFERROR(IF(VALUE($C5128)&lt;100000000,VALUE($C5128),1000000000),IFERROR(IF(VALUE(MID($C5128,2,20))&lt;100000000,VALUE(MID($C5128,2,20)),1000000000),1000000000))+ROW()/100000,"")</f>
        <v/>
      </c>
    </row>
    <row r="5129">
      <c r="D5129" s="11" t="n"/>
      <c r="K5129" s="7">
        <f>IF($C5129="","",J5129*W5129/100)</f>
        <v/>
      </c>
      <c r="Q5129" s="7" t="n"/>
      <c r="R5129" s="7" t="n"/>
      <c r="U5129">
        <f>IF($C5129="","",IF($AJ5129=1,0,IF($AI5129=1,Settings!$C$6,Settings!$C$7))*100)</f>
        <v/>
      </c>
      <c r="V5129" s="7">
        <f>IF($C5129="","",R5129*U5129/100)</f>
        <v/>
      </c>
      <c r="W5129" s="7">
        <f>IF($C5129="","",R5129-V5129)</f>
        <v/>
      </c>
      <c r="X5129" s="7">
        <f>IF($C5129="","",W5129-K5129)</f>
        <v/>
      </c>
      <c r="AB5129" s="7" t="n"/>
      <c r="AE5129" s="11" t="n"/>
      <c r="AG5129">
        <f>IF($C5129="","",IF(COUNTIF($C$2:$C5129,$C5129)=1,1,0))</f>
        <v/>
      </c>
      <c r="AH5129">
        <f>IF($AG5129=1,SUMPRODUCT(--($AK$2:$AK$6001&lt;$AK5129))+1,"")</f>
        <v/>
      </c>
      <c r="AI5129">
        <f>IF($C5129="","",IF(OR($N5129=TRUE(),$N5129="TRUE"),1,0))</f>
        <v/>
      </c>
      <c r="AJ5129">
        <f>IF($C5129="","",IF($T5129="Yes",1,0))</f>
        <v/>
      </c>
      <c r="AK5129">
        <f>IF($AG5129=1,IFERROR(IF(VALUE($C5129)&lt;100000000,VALUE($C5129),1000000000),IFERROR(IF(VALUE(MID($C5129,2,20))&lt;100000000,VALUE(MID($C5129,2,20)),1000000000),1000000000))+ROW()/100000,"")</f>
        <v/>
      </c>
    </row>
    <row r="5130">
      <c r="D5130" s="11" t="n"/>
      <c r="K5130" s="7">
        <f>IF($C5130="","",J5130*W5130/100)</f>
        <v/>
      </c>
      <c r="Q5130" s="7" t="n"/>
      <c r="R5130" s="7" t="n"/>
      <c r="U5130">
        <f>IF($C5130="","",IF($AJ5130=1,0,IF($AI5130=1,Settings!$C$6,Settings!$C$7))*100)</f>
        <v/>
      </c>
      <c r="V5130" s="7">
        <f>IF($C5130="","",R5130*U5130/100)</f>
        <v/>
      </c>
      <c r="W5130" s="7">
        <f>IF($C5130="","",R5130-V5130)</f>
        <v/>
      </c>
      <c r="X5130" s="7">
        <f>IF($C5130="","",W5130-K5130)</f>
        <v/>
      </c>
      <c r="AB5130" s="7" t="n"/>
      <c r="AE5130" s="11" t="n"/>
      <c r="AG5130">
        <f>IF($C5130="","",IF(COUNTIF($C$2:$C5130,$C5130)=1,1,0))</f>
        <v/>
      </c>
      <c r="AH5130">
        <f>IF($AG5130=1,SUMPRODUCT(--($AK$2:$AK$6001&lt;$AK5130))+1,"")</f>
        <v/>
      </c>
      <c r="AI5130">
        <f>IF($C5130="","",IF(OR($N5130=TRUE(),$N5130="TRUE"),1,0))</f>
        <v/>
      </c>
      <c r="AJ5130">
        <f>IF($C5130="","",IF($T5130="Yes",1,0))</f>
        <v/>
      </c>
      <c r="AK5130">
        <f>IF($AG5130=1,IFERROR(IF(VALUE($C5130)&lt;100000000,VALUE($C5130),1000000000),IFERROR(IF(VALUE(MID($C5130,2,20))&lt;100000000,VALUE(MID($C5130,2,20)),1000000000),1000000000))+ROW()/100000,"")</f>
        <v/>
      </c>
    </row>
    <row r="5131">
      <c r="D5131" s="11" t="n"/>
      <c r="K5131" s="7">
        <f>IF($C5131="","",J5131*W5131/100)</f>
        <v/>
      </c>
      <c r="Q5131" s="7" t="n"/>
      <c r="R5131" s="7" t="n"/>
      <c r="U5131">
        <f>IF($C5131="","",IF($AJ5131=1,0,IF($AI5131=1,Settings!$C$6,Settings!$C$7))*100)</f>
        <v/>
      </c>
      <c r="V5131" s="7">
        <f>IF($C5131="","",R5131*U5131/100)</f>
        <v/>
      </c>
      <c r="W5131" s="7">
        <f>IF($C5131="","",R5131-V5131)</f>
        <v/>
      </c>
      <c r="X5131" s="7">
        <f>IF($C5131="","",W5131-K5131)</f>
        <v/>
      </c>
      <c r="AB5131" s="7" t="n"/>
      <c r="AE5131" s="11" t="n"/>
      <c r="AG5131">
        <f>IF($C5131="","",IF(COUNTIF($C$2:$C5131,$C5131)=1,1,0))</f>
        <v/>
      </c>
      <c r="AH5131">
        <f>IF($AG5131=1,SUMPRODUCT(--($AK$2:$AK$6001&lt;$AK5131))+1,"")</f>
        <v/>
      </c>
      <c r="AI5131">
        <f>IF($C5131="","",IF(OR($N5131=TRUE(),$N5131="TRUE"),1,0))</f>
        <v/>
      </c>
      <c r="AJ5131">
        <f>IF($C5131="","",IF($T5131="Yes",1,0))</f>
        <v/>
      </c>
      <c r="AK5131">
        <f>IF($AG5131=1,IFERROR(IF(VALUE($C5131)&lt;100000000,VALUE($C5131),1000000000),IFERROR(IF(VALUE(MID($C5131,2,20))&lt;100000000,VALUE(MID($C5131,2,20)),1000000000),1000000000))+ROW()/100000,"")</f>
        <v/>
      </c>
    </row>
    <row r="5132">
      <c r="D5132" s="11" t="n"/>
      <c r="K5132" s="7">
        <f>IF($C5132="","",J5132*W5132/100)</f>
        <v/>
      </c>
      <c r="Q5132" s="7" t="n"/>
      <c r="R5132" s="7" t="n"/>
      <c r="U5132">
        <f>IF($C5132="","",IF($AJ5132=1,0,IF($AI5132=1,Settings!$C$6,Settings!$C$7))*100)</f>
        <v/>
      </c>
      <c r="V5132" s="7">
        <f>IF($C5132="","",R5132*U5132/100)</f>
        <v/>
      </c>
      <c r="W5132" s="7">
        <f>IF($C5132="","",R5132-V5132)</f>
        <v/>
      </c>
      <c r="X5132" s="7">
        <f>IF($C5132="","",W5132-K5132)</f>
        <v/>
      </c>
      <c r="AB5132" s="7" t="n"/>
      <c r="AE5132" s="11" t="n"/>
      <c r="AG5132">
        <f>IF($C5132="","",IF(COUNTIF($C$2:$C5132,$C5132)=1,1,0))</f>
        <v/>
      </c>
      <c r="AH5132">
        <f>IF($AG5132=1,SUMPRODUCT(--($AK$2:$AK$6001&lt;$AK5132))+1,"")</f>
        <v/>
      </c>
      <c r="AI5132">
        <f>IF($C5132="","",IF(OR($N5132=TRUE(),$N5132="TRUE"),1,0))</f>
        <v/>
      </c>
      <c r="AJ5132">
        <f>IF($C5132="","",IF($T5132="Yes",1,0))</f>
        <v/>
      </c>
      <c r="AK5132">
        <f>IF($AG5132=1,IFERROR(IF(VALUE($C5132)&lt;100000000,VALUE($C5132),1000000000),IFERROR(IF(VALUE(MID($C5132,2,20))&lt;100000000,VALUE(MID($C5132,2,20)),1000000000),1000000000))+ROW()/100000,"")</f>
        <v/>
      </c>
    </row>
    <row r="5133">
      <c r="D5133" s="11" t="n"/>
      <c r="K5133" s="7">
        <f>IF($C5133="","",J5133*W5133/100)</f>
        <v/>
      </c>
      <c r="Q5133" s="7" t="n"/>
      <c r="R5133" s="7" t="n"/>
      <c r="U5133">
        <f>IF($C5133="","",IF($AJ5133=1,0,IF($AI5133=1,Settings!$C$6,Settings!$C$7))*100)</f>
        <v/>
      </c>
      <c r="V5133" s="7">
        <f>IF($C5133="","",R5133*U5133/100)</f>
        <v/>
      </c>
      <c r="W5133" s="7">
        <f>IF($C5133="","",R5133-V5133)</f>
        <v/>
      </c>
      <c r="X5133" s="7">
        <f>IF($C5133="","",W5133-K5133)</f>
        <v/>
      </c>
      <c r="AB5133" s="7" t="n"/>
      <c r="AE5133" s="11" t="n"/>
      <c r="AG5133">
        <f>IF($C5133="","",IF(COUNTIF($C$2:$C5133,$C5133)=1,1,0))</f>
        <v/>
      </c>
      <c r="AH5133">
        <f>IF($AG5133=1,SUMPRODUCT(--($AK$2:$AK$6001&lt;$AK5133))+1,"")</f>
        <v/>
      </c>
      <c r="AI5133">
        <f>IF($C5133="","",IF(OR($N5133=TRUE(),$N5133="TRUE"),1,0))</f>
        <v/>
      </c>
      <c r="AJ5133">
        <f>IF($C5133="","",IF($T5133="Yes",1,0))</f>
        <v/>
      </c>
      <c r="AK5133">
        <f>IF($AG5133=1,IFERROR(IF(VALUE($C5133)&lt;100000000,VALUE($C5133),1000000000),IFERROR(IF(VALUE(MID($C5133,2,20))&lt;100000000,VALUE(MID($C5133,2,20)),1000000000),1000000000))+ROW()/100000,"")</f>
        <v/>
      </c>
    </row>
    <row r="5134">
      <c r="D5134" s="11" t="n"/>
      <c r="K5134" s="7">
        <f>IF($C5134="","",J5134*W5134/100)</f>
        <v/>
      </c>
      <c r="Q5134" s="7" t="n"/>
      <c r="R5134" s="7" t="n"/>
      <c r="U5134">
        <f>IF($C5134="","",IF($AJ5134=1,0,IF($AI5134=1,Settings!$C$6,Settings!$C$7))*100)</f>
        <v/>
      </c>
      <c r="V5134" s="7">
        <f>IF($C5134="","",R5134*U5134/100)</f>
        <v/>
      </c>
      <c r="W5134" s="7">
        <f>IF($C5134="","",R5134-V5134)</f>
        <v/>
      </c>
      <c r="X5134" s="7">
        <f>IF($C5134="","",W5134-K5134)</f>
        <v/>
      </c>
      <c r="AB5134" s="7" t="n"/>
      <c r="AE5134" s="11" t="n"/>
      <c r="AG5134">
        <f>IF($C5134="","",IF(COUNTIF($C$2:$C5134,$C5134)=1,1,0))</f>
        <v/>
      </c>
      <c r="AH5134">
        <f>IF($AG5134=1,SUMPRODUCT(--($AK$2:$AK$6001&lt;$AK5134))+1,"")</f>
        <v/>
      </c>
      <c r="AI5134">
        <f>IF($C5134="","",IF(OR($N5134=TRUE(),$N5134="TRUE"),1,0))</f>
        <v/>
      </c>
      <c r="AJ5134">
        <f>IF($C5134="","",IF($T5134="Yes",1,0))</f>
        <v/>
      </c>
      <c r="AK5134">
        <f>IF($AG5134=1,IFERROR(IF(VALUE($C5134)&lt;100000000,VALUE($C5134),1000000000),IFERROR(IF(VALUE(MID($C5134,2,20))&lt;100000000,VALUE(MID($C5134,2,20)),1000000000),1000000000))+ROW()/100000,"")</f>
        <v/>
      </c>
    </row>
    <row r="5135">
      <c r="D5135" s="11" t="n"/>
      <c r="K5135" s="7">
        <f>IF($C5135="","",J5135*W5135/100)</f>
        <v/>
      </c>
      <c r="Q5135" s="7" t="n"/>
      <c r="R5135" s="7" t="n"/>
      <c r="U5135">
        <f>IF($C5135="","",IF($AJ5135=1,0,IF($AI5135=1,Settings!$C$6,Settings!$C$7))*100)</f>
        <v/>
      </c>
      <c r="V5135" s="7">
        <f>IF($C5135="","",R5135*U5135/100)</f>
        <v/>
      </c>
      <c r="W5135" s="7">
        <f>IF($C5135="","",R5135-V5135)</f>
        <v/>
      </c>
      <c r="X5135" s="7">
        <f>IF($C5135="","",W5135-K5135)</f>
        <v/>
      </c>
      <c r="AB5135" s="7" t="n"/>
      <c r="AE5135" s="11" t="n"/>
      <c r="AG5135">
        <f>IF($C5135="","",IF(COUNTIF($C$2:$C5135,$C5135)=1,1,0))</f>
        <v/>
      </c>
      <c r="AH5135">
        <f>IF($AG5135=1,SUMPRODUCT(--($AK$2:$AK$6001&lt;$AK5135))+1,"")</f>
        <v/>
      </c>
      <c r="AI5135">
        <f>IF($C5135="","",IF(OR($N5135=TRUE(),$N5135="TRUE"),1,0))</f>
        <v/>
      </c>
      <c r="AJ5135">
        <f>IF($C5135="","",IF($T5135="Yes",1,0))</f>
        <v/>
      </c>
      <c r="AK5135">
        <f>IF($AG5135=1,IFERROR(IF(VALUE($C5135)&lt;100000000,VALUE($C5135),1000000000),IFERROR(IF(VALUE(MID($C5135,2,20))&lt;100000000,VALUE(MID($C5135,2,20)),1000000000),1000000000))+ROW()/100000,"")</f>
        <v/>
      </c>
    </row>
    <row r="5136">
      <c r="D5136" s="11" t="n"/>
      <c r="K5136" s="7">
        <f>IF($C5136="","",J5136*W5136/100)</f>
        <v/>
      </c>
      <c r="Q5136" s="7" t="n"/>
      <c r="R5136" s="7" t="n"/>
      <c r="U5136">
        <f>IF($C5136="","",IF($AJ5136=1,0,IF($AI5136=1,Settings!$C$6,Settings!$C$7))*100)</f>
        <v/>
      </c>
      <c r="V5136" s="7">
        <f>IF($C5136="","",R5136*U5136/100)</f>
        <v/>
      </c>
      <c r="W5136" s="7">
        <f>IF($C5136="","",R5136-V5136)</f>
        <v/>
      </c>
      <c r="X5136" s="7">
        <f>IF($C5136="","",W5136-K5136)</f>
        <v/>
      </c>
      <c r="AB5136" s="7" t="n"/>
      <c r="AE5136" s="11" t="n"/>
      <c r="AG5136">
        <f>IF($C5136="","",IF(COUNTIF($C$2:$C5136,$C5136)=1,1,0))</f>
        <v/>
      </c>
      <c r="AH5136">
        <f>IF($AG5136=1,SUMPRODUCT(--($AK$2:$AK$6001&lt;$AK5136))+1,"")</f>
        <v/>
      </c>
      <c r="AI5136">
        <f>IF($C5136="","",IF(OR($N5136=TRUE(),$N5136="TRUE"),1,0))</f>
        <v/>
      </c>
      <c r="AJ5136">
        <f>IF($C5136="","",IF($T5136="Yes",1,0))</f>
        <v/>
      </c>
      <c r="AK5136">
        <f>IF($AG5136=1,IFERROR(IF(VALUE($C5136)&lt;100000000,VALUE($C5136),1000000000),IFERROR(IF(VALUE(MID($C5136,2,20))&lt;100000000,VALUE(MID($C5136,2,20)),1000000000),1000000000))+ROW()/100000,"")</f>
        <v/>
      </c>
    </row>
    <row r="5137">
      <c r="D5137" s="11" t="n"/>
      <c r="K5137" s="7">
        <f>IF($C5137="","",J5137*W5137/100)</f>
        <v/>
      </c>
      <c r="Q5137" s="7" t="n"/>
      <c r="R5137" s="7" t="n"/>
      <c r="U5137">
        <f>IF($C5137="","",IF($AJ5137=1,0,IF($AI5137=1,Settings!$C$6,Settings!$C$7))*100)</f>
        <v/>
      </c>
      <c r="V5137" s="7">
        <f>IF($C5137="","",R5137*U5137/100)</f>
        <v/>
      </c>
      <c r="W5137" s="7">
        <f>IF($C5137="","",R5137-V5137)</f>
        <v/>
      </c>
      <c r="X5137" s="7">
        <f>IF($C5137="","",W5137-K5137)</f>
        <v/>
      </c>
      <c r="AB5137" s="7" t="n"/>
      <c r="AE5137" s="11" t="n"/>
      <c r="AG5137">
        <f>IF($C5137="","",IF(COUNTIF($C$2:$C5137,$C5137)=1,1,0))</f>
        <v/>
      </c>
      <c r="AH5137">
        <f>IF($AG5137=1,SUMPRODUCT(--($AK$2:$AK$6001&lt;$AK5137))+1,"")</f>
        <v/>
      </c>
      <c r="AI5137">
        <f>IF($C5137="","",IF(OR($N5137=TRUE(),$N5137="TRUE"),1,0))</f>
        <v/>
      </c>
      <c r="AJ5137">
        <f>IF($C5137="","",IF($T5137="Yes",1,0))</f>
        <v/>
      </c>
      <c r="AK5137">
        <f>IF($AG5137=1,IFERROR(IF(VALUE($C5137)&lt;100000000,VALUE($C5137),1000000000),IFERROR(IF(VALUE(MID($C5137,2,20))&lt;100000000,VALUE(MID($C5137,2,20)),1000000000),1000000000))+ROW()/100000,"")</f>
        <v/>
      </c>
    </row>
    <row r="5138">
      <c r="D5138" s="11" t="n"/>
      <c r="K5138" s="7">
        <f>IF($C5138="","",J5138*W5138/100)</f>
        <v/>
      </c>
      <c r="Q5138" s="7" t="n"/>
      <c r="R5138" s="7" t="n"/>
      <c r="U5138">
        <f>IF($C5138="","",IF($AJ5138=1,0,IF($AI5138=1,Settings!$C$6,Settings!$C$7))*100)</f>
        <v/>
      </c>
      <c r="V5138" s="7">
        <f>IF($C5138="","",R5138*U5138/100)</f>
        <v/>
      </c>
      <c r="W5138" s="7">
        <f>IF($C5138="","",R5138-V5138)</f>
        <v/>
      </c>
      <c r="X5138" s="7">
        <f>IF($C5138="","",W5138-K5138)</f>
        <v/>
      </c>
      <c r="AB5138" s="7" t="n"/>
      <c r="AE5138" s="11" t="n"/>
      <c r="AG5138">
        <f>IF($C5138="","",IF(COUNTIF($C$2:$C5138,$C5138)=1,1,0))</f>
        <v/>
      </c>
      <c r="AH5138">
        <f>IF($AG5138=1,SUMPRODUCT(--($AK$2:$AK$6001&lt;$AK5138))+1,"")</f>
        <v/>
      </c>
      <c r="AI5138">
        <f>IF($C5138="","",IF(OR($N5138=TRUE(),$N5138="TRUE"),1,0))</f>
        <v/>
      </c>
      <c r="AJ5138">
        <f>IF($C5138="","",IF($T5138="Yes",1,0))</f>
        <v/>
      </c>
      <c r="AK5138">
        <f>IF($AG5138=1,IFERROR(IF(VALUE($C5138)&lt;100000000,VALUE($C5138),1000000000),IFERROR(IF(VALUE(MID($C5138,2,20))&lt;100000000,VALUE(MID($C5138,2,20)),1000000000),1000000000))+ROW()/100000,"")</f>
        <v/>
      </c>
    </row>
    <row r="5139">
      <c r="D5139" s="11" t="n"/>
      <c r="K5139" s="7">
        <f>IF($C5139="","",J5139*W5139/100)</f>
        <v/>
      </c>
      <c r="Q5139" s="7" t="n"/>
      <c r="R5139" s="7" t="n"/>
      <c r="U5139">
        <f>IF($C5139="","",IF($AJ5139=1,0,IF($AI5139=1,Settings!$C$6,Settings!$C$7))*100)</f>
        <v/>
      </c>
      <c r="V5139" s="7">
        <f>IF($C5139="","",R5139*U5139/100)</f>
        <v/>
      </c>
      <c r="W5139" s="7">
        <f>IF($C5139="","",R5139-V5139)</f>
        <v/>
      </c>
      <c r="X5139" s="7">
        <f>IF($C5139="","",W5139-K5139)</f>
        <v/>
      </c>
      <c r="AB5139" s="7" t="n"/>
      <c r="AE5139" s="11" t="n"/>
      <c r="AG5139">
        <f>IF($C5139="","",IF(COUNTIF($C$2:$C5139,$C5139)=1,1,0))</f>
        <v/>
      </c>
      <c r="AH5139">
        <f>IF($AG5139=1,SUMPRODUCT(--($AK$2:$AK$6001&lt;$AK5139))+1,"")</f>
        <v/>
      </c>
      <c r="AI5139">
        <f>IF($C5139="","",IF(OR($N5139=TRUE(),$N5139="TRUE"),1,0))</f>
        <v/>
      </c>
      <c r="AJ5139">
        <f>IF($C5139="","",IF($T5139="Yes",1,0))</f>
        <v/>
      </c>
      <c r="AK5139">
        <f>IF($AG5139=1,IFERROR(IF(VALUE($C5139)&lt;100000000,VALUE($C5139),1000000000),IFERROR(IF(VALUE(MID($C5139,2,20))&lt;100000000,VALUE(MID($C5139,2,20)),1000000000),1000000000))+ROW()/100000,"")</f>
        <v/>
      </c>
    </row>
    <row r="5140">
      <c r="D5140" s="11" t="n"/>
      <c r="K5140" s="7">
        <f>IF($C5140="","",J5140*W5140/100)</f>
        <v/>
      </c>
      <c r="Q5140" s="7" t="n"/>
      <c r="R5140" s="7" t="n"/>
      <c r="U5140">
        <f>IF($C5140="","",IF($AJ5140=1,0,IF($AI5140=1,Settings!$C$6,Settings!$C$7))*100)</f>
        <v/>
      </c>
      <c r="V5140" s="7">
        <f>IF($C5140="","",R5140*U5140/100)</f>
        <v/>
      </c>
      <c r="W5140" s="7">
        <f>IF($C5140="","",R5140-V5140)</f>
        <v/>
      </c>
      <c r="X5140" s="7">
        <f>IF($C5140="","",W5140-K5140)</f>
        <v/>
      </c>
      <c r="AB5140" s="7" t="n"/>
      <c r="AE5140" s="11" t="n"/>
      <c r="AG5140">
        <f>IF($C5140="","",IF(COUNTIF($C$2:$C5140,$C5140)=1,1,0))</f>
        <v/>
      </c>
      <c r="AH5140">
        <f>IF($AG5140=1,SUMPRODUCT(--($AK$2:$AK$6001&lt;$AK5140))+1,"")</f>
        <v/>
      </c>
      <c r="AI5140">
        <f>IF($C5140="","",IF(OR($N5140=TRUE(),$N5140="TRUE"),1,0))</f>
        <v/>
      </c>
      <c r="AJ5140">
        <f>IF($C5140="","",IF($T5140="Yes",1,0))</f>
        <v/>
      </c>
      <c r="AK5140">
        <f>IF($AG5140=1,IFERROR(IF(VALUE($C5140)&lt;100000000,VALUE($C5140),1000000000),IFERROR(IF(VALUE(MID($C5140,2,20))&lt;100000000,VALUE(MID($C5140,2,20)),1000000000),1000000000))+ROW()/100000,"")</f>
        <v/>
      </c>
    </row>
    <row r="5141">
      <c r="D5141" s="11" t="n"/>
      <c r="K5141" s="7">
        <f>IF($C5141="","",J5141*W5141/100)</f>
        <v/>
      </c>
      <c r="Q5141" s="7" t="n"/>
      <c r="R5141" s="7" t="n"/>
      <c r="U5141">
        <f>IF($C5141="","",IF($AJ5141=1,0,IF($AI5141=1,Settings!$C$6,Settings!$C$7))*100)</f>
        <v/>
      </c>
      <c r="V5141" s="7">
        <f>IF($C5141="","",R5141*U5141/100)</f>
        <v/>
      </c>
      <c r="W5141" s="7">
        <f>IF($C5141="","",R5141-V5141)</f>
        <v/>
      </c>
      <c r="X5141" s="7">
        <f>IF($C5141="","",W5141-K5141)</f>
        <v/>
      </c>
      <c r="AB5141" s="7" t="n"/>
      <c r="AE5141" s="11" t="n"/>
      <c r="AG5141">
        <f>IF($C5141="","",IF(COUNTIF($C$2:$C5141,$C5141)=1,1,0))</f>
        <v/>
      </c>
      <c r="AH5141">
        <f>IF($AG5141=1,SUMPRODUCT(--($AK$2:$AK$6001&lt;$AK5141))+1,"")</f>
        <v/>
      </c>
      <c r="AI5141">
        <f>IF($C5141="","",IF(OR($N5141=TRUE(),$N5141="TRUE"),1,0))</f>
        <v/>
      </c>
      <c r="AJ5141">
        <f>IF($C5141="","",IF($T5141="Yes",1,0))</f>
        <v/>
      </c>
      <c r="AK5141">
        <f>IF($AG5141=1,IFERROR(IF(VALUE($C5141)&lt;100000000,VALUE($C5141),1000000000),IFERROR(IF(VALUE(MID($C5141,2,20))&lt;100000000,VALUE(MID($C5141,2,20)),1000000000),1000000000))+ROW()/100000,"")</f>
        <v/>
      </c>
    </row>
    <row r="5142">
      <c r="D5142" s="11" t="n"/>
      <c r="K5142" s="7">
        <f>IF($C5142="","",J5142*W5142/100)</f>
        <v/>
      </c>
      <c r="Q5142" s="7" t="n"/>
      <c r="R5142" s="7" t="n"/>
      <c r="U5142">
        <f>IF($C5142="","",IF($AJ5142=1,0,IF($AI5142=1,Settings!$C$6,Settings!$C$7))*100)</f>
        <v/>
      </c>
      <c r="V5142" s="7">
        <f>IF($C5142="","",R5142*U5142/100)</f>
        <v/>
      </c>
      <c r="W5142" s="7">
        <f>IF($C5142="","",R5142-V5142)</f>
        <v/>
      </c>
      <c r="X5142" s="7">
        <f>IF($C5142="","",W5142-K5142)</f>
        <v/>
      </c>
      <c r="AB5142" s="7" t="n"/>
      <c r="AE5142" s="11" t="n"/>
      <c r="AG5142">
        <f>IF($C5142="","",IF(COUNTIF($C$2:$C5142,$C5142)=1,1,0))</f>
        <v/>
      </c>
      <c r="AH5142">
        <f>IF($AG5142=1,SUMPRODUCT(--($AK$2:$AK$6001&lt;$AK5142))+1,"")</f>
        <v/>
      </c>
      <c r="AI5142">
        <f>IF($C5142="","",IF(OR($N5142=TRUE(),$N5142="TRUE"),1,0))</f>
        <v/>
      </c>
      <c r="AJ5142">
        <f>IF($C5142="","",IF($T5142="Yes",1,0))</f>
        <v/>
      </c>
      <c r="AK5142">
        <f>IF($AG5142=1,IFERROR(IF(VALUE($C5142)&lt;100000000,VALUE($C5142),1000000000),IFERROR(IF(VALUE(MID($C5142,2,20))&lt;100000000,VALUE(MID($C5142,2,20)),1000000000),1000000000))+ROW()/100000,"")</f>
        <v/>
      </c>
    </row>
    <row r="5143">
      <c r="D5143" s="11" t="n"/>
      <c r="K5143" s="7">
        <f>IF($C5143="","",J5143*W5143/100)</f>
        <v/>
      </c>
      <c r="Q5143" s="7" t="n"/>
      <c r="R5143" s="7" t="n"/>
      <c r="U5143">
        <f>IF($C5143="","",IF($AJ5143=1,0,IF($AI5143=1,Settings!$C$6,Settings!$C$7))*100)</f>
        <v/>
      </c>
      <c r="V5143" s="7">
        <f>IF($C5143="","",R5143*U5143/100)</f>
        <v/>
      </c>
      <c r="W5143" s="7">
        <f>IF($C5143="","",R5143-V5143)</f>
        <v/>
      </c>
      <c r="X5143" s="7">
        <f>IF($C5143="","",W5143-K5143)</f>
        <v/>
      </c>
      <c r="AB5143" s="7" t="n"/>
      <c r="AE5143" s="11" t="n"/>
      <c r="AG5143">
        <f>IF($C5143="","",IF(COUNTIF($C$2:$C5143,$C5143)=1,1,0))</f>
        <v/>
      </c>
      <c r="AH5143">
        <f>IF($AG5143=1,SUMPRODUCT(--($AK$2:$AK$6001&lt;$AK5143))+1,"")</f>
        <v/>
      </c>
      <c r="AI5143">
        <f>IF($C5143="","",IF(OR($N5143=TRUE(),$N5143="TRUE"),1,0))</f>
        <v/>
      </c>
      <c r="AJ5143">
        <f>IF($C5143="","",IF($T5143="Yes",1,0))</f>
        <v/>
      </c>
      <c r="AK5143">
        <f>IF($AG5143=1,IFERROR(IF(VALUE($C5143)&lt;100000000,VALUE($C5143),1000000000),IFERROR(IF(VALUE(MID($C5143,2,20))&lt;100000000,VALUE(MID($C5143,2,20)),1000000000),1000000000))+ROW()/100000,"")</f>
        <v/>
      </c>
    </row>
    <row r="5144">
      <c r="D5144" s="11" t="n"/>
      <c r="K5144" s="7">
        <f>IF($C5144="","",J5144*W5144/100)</f>
        <v/>
      </c>
      <c r="Q5144" s="7" t="n"/>
      <c r="R5144" s="7" t="n"/>
      <c r="U5144">
        <f>IF($C5144="","",IF($AJ5144=1,0,IF($AI5144=1,Settings!$C$6,Settings!$C$7))*100)</f>
        <v/>
      </c>
      <c r="V5144" s="7">
        <f>IF($C5144="","",R5144*U5144/100)</f>
        <v/>
      </c>
      <c r="W5144" s="7">
        <f>IF($C5144="","",R5144-V5144)</f>
        <v/>
      </c>
      <c r="X5144" s="7">
        <f>IF($C5144="","",W5144-K5144)</f>
        <v/>
      </c>
      <c r="AB5144" s="7" t="n"/>
      <c r="AE5144" s="11" t="n"/>
      <c r="AG5144">
        <f>IF($C5144="","",IF(COUNTIF($C$2:$C5144,$C5144)=1,1,0))</f>
        <v/>
      </c>
      <c r="AH5144">
        <f>IF($AG5144=1,SUMPRODUCT(--($AK$2:$AK$6001&lt;$AK5144))+1,"")</f>
        <v/>
      </c>
      <c r="AI5144">
        <f>IF($C5144="","",IF(OR($N5144=TRUE(),$N5144="TRUE"),1,0))</f>
        <v/>
      </c>
      <c r="AJ5144">
        <f>IF($C5144="","",IF($T5144="Yes",1,0))</f>
        <v/>
      </c>
      <c r="AK5144">
        <f>IF($AG5144=1,IFERROR(IF(VALUE($C5144)&lt;100000000,VALUE($C5144),1000000000),IFERROR(IF(VALUE(MID($C5144,2,20))&lt;100000000,VALUE(MID($C5144,2,20)),1000000000),1000000000))+ROW()/100000,"")</f>
        <v/>
      </c>
    </row>
    <row r="5145">
      <c r="D5145" s="11" t="n"/>
      <c r="K5145" s="7">
        <f>IF($C5145="","",J5145*W5145/100)</f>
        <v/>
      </c>
      <c r="Q5145" s="7" t="n"/>
      <c r="R5145" s="7" t="n"/>
      <c r="U5145">
        <f>IF($C5145="","",IF($AJ5145=1,0,IF($AI5145=1,Settings!$C$6,Settings!$C$7))*100)</f>
        <v/>
      </c>
      <c r="V5145" s="7">
        <f>IF($C5145="","",R5145*U5145/100)</f>
        <v/>
      </c>
      <c r="W5145" s="7">
        <f>IF($C5145="","",R5145-V5145)</f>
        <v/>
      </c>
      <c r="X5145" s="7">
        <f>IF($C5145="","",W5145-K5145)</f>
        <v/>
      </c>
      <c r="AB5145" s="7" t="n"/>
      <c r="AE5145" s="11" t="n"/>
      <c r="AG5145">
        <f>IF($C5145="","",IF(COUNTIF($C$2:$C5145,$C5145)=1,1,0))</f>
        <v/>
      </c>
      <c r="AH5145">
        <f>IF($AG5145=1,SUMPRODUCT(--($AK$2:$AK$6001&lt;$AK5145))+1,"")</f>
        <v/>
      </c>
      <c r="AI5145">
        <f>IF($C5145="","",IF(OR($N5145=TRUE(),$N5145="TRUE"),1,0))</f>
        <v/>
      </c>
      <c r="AJ5145">
        <f>IF($C5145="","",IF($T5145="Yes",1,0))</f>
        <v/>
      </c>
      <c r="AK5145">
        <f>IF($AG5145=1,IFERROR(IF(VALUE($C5145)&lt;100000000,VALUE($C5145),1000000000),IFERROR(IF(VALUE(MID($C5145,2,20))&lt;100000000,VALUE(MID($C5145,2,20)),1000000000),1000000000))+ROW()/100000,"")</f>
        <v/>
      </c>
    </row>
    <row r="5146">
      <c r="D5146" s="11" t="n"/>
      <c r="K5146" s="7">
        <f>IF($C5146="","",J5146*W5146/100)</f>
        <v/>
      </c>
      <c r="Q5146" s="7" t="n"/>
      <c r="R5146" s="7" t="n"/>
      <c r="U5146">
        <f>IF($C5146="","",IF($AJ5146=1,0,IF($AI5146=1,Settings!$C$6,Settings!$C$7))*100)</f>
        <v/>
      </c>
      <c r="V5146" s="7">
        <f>IF($C5146="","",R5146*U5146/100)</f>
        <v/>
      </c>
      <c r="W5146" s="7">
        <f>IF($C5146="","",R5146-V5146)</f>
        <v/>
      </c>
      <c r="X5146" s="7">
        <f>IF($C5146="","",W5146-K5146)</f>
        <v/>
      </c>
      <c r="AB5146" s="7" t="n"/>
      <c r="AE5146" s="11" t="n"/>
      <c r="AG5146">
        <f>IF($C5146="","",IF(COUNTIF($C$2:$C5146,$C5146)=1,1,0))</f>
        <v/>
      </c>
      <c r="AH5146">
        <f>IF($AG5146=1,SUMPRODUCT(--($AK$2:$AK$6001&lt;$AK5146))+1,"")</f>
        <v/>
      </c>
      <c r="AI5146">
        <f>IF($C5146="","",IF(OR($N5146=TRUE(),$N5146="TRUE"),1,0))</f>
        <v/>
      </c>
      <c r="AJ5146">
        <f>IF($C5146="","",IF($T5146="Yes",1,0))</f>
        <v/>
      </c>
      <c r="AK5146">
        <f>IF($AG5146=1,IFERROR(IF(VALUE($C5146)&lt;100000000,VALUE($C5146),1000000000),IFERROR(IF(VALUE(MID($C5146,2,20))&lt;100000000,VALUE(MID($C5146,2,20)),1000000000),1000000000))+ROW()/100000,"")</f>
        <v/>
      </c>
    </row>
    <row r="5147">
      <c r="D5147" s="11" t="n"/>
      <c r="K5147" s="7">
        <f>IF($C5147="","",J5147*W5147/100)</f>
        <v/>
      </c>
      <c r="Q5147" s="7" t="n"/>
      <c r="R5147" s="7" t="n"/>
      <c r="U5147">
        <f>IF($C5147="","",IF($AJ5147=1,0,IF($AI5147=1,Settings!$C$6,Settings!$C$7))*100)</f>
        <v/>
      </c>
      <c r="V5147" s="7">
        <f>IF($C5147="","",R5147*U5147/100)</f>
        <v/>
      </c>
      <c r="W5147" s="7">
        <f>IF($C5147="","",R5147-V5147)</f>
        <v/>
      </c>
      <c r="X5147" s="7">
        <f>IF($C5147="","",W5147-K5147)</f>
        <v/>
      </c>
      <c r="AB5147" s="7" t="n"/>
      <c r="AE5147" s="11" t="n"/>
      <c r="AG5147">
        <f>IF($C5147="","",IF(COUNTIF($C$2:$C5147,$C5147)=1,1,0))</f>
        <v/>
      </c>
      <c r="AH5147">
        <f>IF($AG5147=1,SUMPRODUCT(--($AK$2:$AK$6001&lt;$AK5147))+1,"")</f>
        <v/>
      </c>
      <c r="AI5147">
        <f>IF($C5147="","",IF(OR($N5147=TRUE(),$N5147="TRUE"),1,0))</f>
        <v/>
      </c>
      <c r="AJ5147">
        <f>IF($C5147="","",IF($T5147="Yes",1,0))</f>
        <v/>
      </c>
      <c r="AK5147">
        <f>IF($AG5147=1,IFERROR(IF(VALUE($C5147)&lt;100000000,VALUE($C5147),1000000000),IFERROR(IF(VALUE(MID($C5147,2,20))&lt;100000000,VALUE(MID($C5147,2,20)),1000000000),1000000000))+ROW()/100000,"")</f>
        <v/>
      </c>
    </row>
    <row r="5148">
      <c r="D5148" s="11" t="n"/>
      <c r="K5148" s="7">
        <f>IF($C5148="","",J5148*W5148/100)</f>
        <v/>
      </c>
      <c r="Q5148" s="7" t="n"/>
      <c r="R5148" s="7" t="n"/>
      <c r="U5148">
        <f>IF($C5148="","",IF($AJ5148=1,0,IF($AI5148=1,Settings!$C$6,Settings!$C$7))*100)</f>
        <v/>
      </c>
      <c r="V5148" s="7">
        <f>IF($C5148="","",R5148*U5148/100)</f>
        <v/>
      </c>
      <c r="W5148" s="7">
        <f>IF($C5148="","",R5148-V5148)</f>
        <v/>
      </c>
      <c r="X5148" s="7">
        <f>IF($C5148="","",W5148-K5148)</f>
        <v/>
      </c>
      <c r="AB5148" s="7" t="n"/>
      <c r="AE5148" s="11" t="n"/>
      <c r="AG5148">
        <f>IF($C5148="","",IF(COUNTIF($C$2:$C5148,$C5148)=1,1,0))</f>
        <v/>
      </c>
      <c r="AH5148">
        <f>IF($AG5148=1,SUMPRODUCT(--($AK$2:$AK$6001&lt;$AK5148))+1,"")</f>
        <v/>
      </c>
      <c r="AI5148">
        <f>IF($C5148="","",IF(OR($N5148=TRUE(),$N5148="TRUE"),1,0))</f>
        <v/>
      </c>
      <c r="AJ5148">
        <f>IF($C5148="","",IF($T5148="Yes",1,0))</f>
        <v/>
      </c>
      <c r="AK5148">
        <f>IF($AG5148=1,IFERROR(IF(VALUE($C5148)&lt;100000000,VALUE($C5148),1000000000),IFERROR(IF(VALUE(MID($C5148,2,20))&lt;100000000,VALUE(MID($C5148,2,20)),1000000000),1000000000))+ROW()/100000,"")</f>
        <v/>
      </c>
    </row>
    <row r="5149">
      <c r="D5149" s="11" t="n"/>
      <c r="K5149" s="7">
        <f>IF($C5149="","",J5149*W5149/100)</f>
        <v/>
      </c>
      <c r="Q5149" s="7" t="n"/>
      <c r="R5149" s="7" t="n"/>
      <c r="U5149">
        <f>IF($C5149="","",IF($AJ5149=1,0,IF($AI5149=1,Settings!$C$6,Settings!$C$7))*100)</f>
        <v/>
      </c>
      <c r="V5149" s="7">
        <f>IF($C5149="","",R5149*U5149/100)</f>
        <v/>
      </c>
      <c r="W5149" s="7">
        <f>IF($C5149="","",R5149-V5149)</f>
        <v/>
      </c>
      <c r="X5149" s="7">
        <f>IF($C5149="","",W5149-K5149)</f>
        <v/>
      </c>
      <c r="AB5149" s="7" t="n"/>
      <c r="AE5149" s="11" t="n"/>
      <c r="AG5149">
        <f>IF($C5149="","",IF(COUNTIF($C$2:$C5149,$C5149)=1,1,0))</f>
        <v/>
      </c>
      <c r="AH5149">
        <f>IF($AG5149=1,SUMPRODUCT(--($AK$2:$AK$6001&lt;$AK5149))+1,"")</f>
        <v/>
      </c>
      <c r="AI5149">
        <f>IF($C5149="","",IF(OR($N5149=TRUE(),$N5149="TRUE"),1,0))</f>
        <v/>
      </c>
      <c r="AJ5149">
        <f>IF($C5149="","",IF($T5149="Yes",1,0))</f>
        <v/>
      </c>
      <c r="AK5149">
        <f>IF($AG5149=1,IFERROR(IF(VALUE($C5149)&lt;100000000,VALUE($C5149),1000000000),IFERROR(IF(VALUE(MID($C5149,2,20))&lt;100000000,VALUE(MID($C5149,2,20)),1000000000),1000000000))+ROW()/100000,"")</f>
        <v/>
      </c>
    </row>
    <row r="5150">
      <c r="D5150" s="11" t="n"/>
      <c r="K5150" s="7">
        <f>IF($C5150="","",J5150*W5150/100)</f>
        <v/>
      </c>
      <c r="Q5150" s="7" t="n"/>
      <c r="R5150" s="7" t="n"/>
      <c r="U5150">
        <f>IF($C5150="","",IF($AJ5150=1,0,IF($AI5150=1,Settings!$C$6,Settings!$C$7))*100)</f>
        <v/>
      </c>
      <c r="V5150" s="7">
        <f>IF($C5150="","",R5150*U5150/100)</f>
        <v/>
      </c>
      <c r="W5150" s="7">
        <f>IF($C5150="","",R5150-V5150)</f>
        <v/>
      </c>
      <c r="X5150" s="7">
        <f>IF($C5150="","",W5150-K5150)</f>
        <v/>
      </c>
      <c r="AB5150" s="7" t="n"/>
      <c r="AE5150" s="11" t="n"/>
      <c r="AG5150">
        <f>IF($C5150="","",IF(COUNTIF($C$2:$C5150,$C5150)=1,1,0))</f>
        <v/>
      </c>
      <c r="AH5150">
        <f>IF($AG5150=1,SUMPRODUCT(--($AK$2:$AK$6001&lt;$AK5150))+1,"")</f>
        <v/>
      </c>
      <c r="AI5150">
        <f>IF($C5150="","",IF(OR($N5150=TRUE(),$N5150="TRUE"),1,0))</f>
        <v/>
      </c>
      <c r="AJ5150">
        <f>IF($C5150="","",IF($T5150="Yes",1,0))</f>
        <v/>
      </c>
      <c r="AK5150">
        <f>IF($AG5150=1,IFERROR(IF(VALUE($C5150)&lt;100000000,VALUE($C5150),1000000000),IFERROR(IF(VALUE(MID($C5150,2,20))&lt;100000000,VALUE(MID($C5150,2,20)),1000000000),1000000000))+ROW()/100000,"")</f>
        <v/>
      </c>
    </row>
    <row r="5151">
      <c r="D5151" s="11" t="n"/>
      <c r="K5151" s="7">
        <f>IF($C5151="","",J5151*W5151/100)</f>
        <v/>
      </c>
      <c r="Q5151" s="7" t="n"/>
      <c r="R5151" s="7" t="n"/>
      <c r="U5151">
        <f>IF($C5151="","",IF($AJ5151=1,0,IF($AI5151=1,Settings!$C$6,Settings!$C$7))*100)</f>
        <v/>
      </c>
      <c r="V5151" s="7">
        <f>IF($C5151="","",R5151*U5151/100)</f>
        <v/>
      </c>
      <c r="W5151" s="7">
        <f>IF($C5151="","",R5151-V5151)</f>
        <v/>
      </c>
      <c r="X5151" s="7">
        <f>IF($C5151="","",W5151-K5151)</f>
        <v/>
      </c>
      <c r="AB5151" s="7" t="n"/>
      <c r="AE5151" s="11" t="n"/>
      <c r="AG5151">
        <f>IF($C5151="","",IF(COUNTIF($C$2:$C5151,$C5151)=1,1,0))</f>
        <v/>
      </c>
      <c r="AH5151">
        <f>IF($AG5151=1,SUMPRODUCT(--($AK$2:$AK$6001&lt;$AK5151))+1,"")</f>
        <v/>
      </c>
      <c r="AI5151">
        <f>IF($C5151="","",IF(OR($N5151=TRUE(),$N5151="TRUE"),1,0))</f>
        <v/>
      </c>
      <c r="AJ5151">
        <f>IF($C5151="","",IF($T5151="Yes",1,0))</f>
        <v/>
      </c>
      <c r="AK5151">
        <f>IF($AG5151=1,IFERROR(IF(VALUE($C5151)&lt;100000000,VALUE($C5151),1000000000),IFERROR(IF(VALUE(MID($C5151,2,20))&lt;100000000,VALUE(MID($C5151,2,20)),1000000000),1000000000))+ROW()/100000,"")</f>
        <v/>
      </c>
    </row>
    <row r="5152">
      <c r="D5152" s="11" t="n"/>
      <c r="K5152" s="7">
        <f>IF($C5152="","",J5152*W5152/100)</f>
        <v/>
      </c>
      <c r="Q5152" s="7" t="n"/>
      <c r="R5152" s="7" t="n"/>
      <c r="U5152">
        <f>IF($C5152="","",IF($AJ5152=1,0,IF($AI5152=1,Settings!$C$6,Settings!$C$7))*100)</f>
        <v/>
      </c>
      <c r="V5152" s="7">
        <f>IF($C5152="","",R5152*U5152/100)</f>
        <v/>
      </c>
      <c r="W5152" s="7">
        <f>IF($C5152="","",R5152-V5152)</f>
        <v/>
      </c>
      <c r="X5152" s="7">
        <f>IF($C5152="","",W5152-K5152)</f>
        <v/>
      </c>
      <c r="AB5152" s="7" t="n"/>
      <c r="AE5152" s="11" t="n"/>
      <c r="AG5152">
        <f>IF($C5152="","",IF(COUNTIF($C$2:$C5152,$C5152)=1,1,0))</f>
        <v/>
      </c>
      <c r="AH5152">
        <f>IF($AG5152=1,SUMPRODUCT(--($AK$2:$AK$6001&lt;$AK5152))+1,"")</f>
        <v/>
      </c>
      <c r="AI5152">
        <f>IF($C5152="","",IF(OR($N5152=TRUE(),$N5152="TRUE"),1,0))</f>
        <v/>
      </c>
      <c r="AJ5152">
        <f>IF($C5152="","",IF($T5152="Yes",1,0))</f>
        <v/>
      </c>
      <c r="AK5152">
        <f>IF($AG5152=1,IFERROR(IF(VALUE($C5152)&lt;100000000,VALUE($C5152),1000000000),IFERROR(IF(VALUE(MID($C5152,2,20))&lt;100000000,VALUE(MID($C5152,2,20)),1000000000),1000000000))+ROW()/100000,"")</f>
        <v/>
      </c>
    </row>
    <row r="5153">
      <c r="D5153" s="11" t="n"/>
      <c r="K5153" s="7">
        <f>IF($C5153="","",J5153*W5153/100)</f>
        <v/>
      </c>
      <c r="Q5153" s="7" t="n"/>
      <c r="R5153" s="7" t="n"/>
      <c r="U5153">
        <f>IF($C5153="","",IF($AJ5153=1,0,IF($AI5153=1,Settings!$C$6,Settings!$C$7))*100)</f>
        <v/>
      </c>
      <c r="V5153" s="7">
        <f>IF($C5153="","",R5153*U5153/100)</f>
        <v/>
      </c>
      <c r="W5153" s="7">
        <f>IF($C5153="","",R5153-V5153)</f>
        <v/>
      </c>
      <c r="X5153" s="7">
        <f>IF($C5153="","",W5153-K5153)</f>
        <v/>
      </c>
      <c r="AB5153" s="7" t="n"/>
      <c r="AE5153" s="11" t="n"/>
      <c r="AG5153">
        <f>IF($C5153="","",IF(COUNTIF($C$2:$C5153,$C5153)=1,1,0))</f>
        <v/>
      </c>
      <c r="AH5153">
        <f>IF($AG5153=1,SUMPRODUCT(--($AK$2:$AK$6001&lt;$AK5153))+1,"")</f>
        <v/>
      </c>
      <c r="AI5153">
        <f>IF($C5153="","",IF(OR($N5153=TRUE(),$N5153="TRUE"),1,0))</f>
        <v/>
      </c>
      <c r="AJ5153">
        <f>IF($C5153="","",IF($T5153="Yes",1,0))</f>
        <v/>
      </c>
      <c r="AK5153">
        <f>IF($AG5153=1,IFERROR(IF(VALUE($C5153)&lt;100000000,VALUE($C5153),1000000000),IFERROR(IF(VALUE(MID($C5153,2,20))&lt;100000000,VALUE(MID($C5153,2,20)),1000000000),1000000000))+ROW()/100000,"")</f>
        <v/>
      </c>
    </row>
    <row r="5154">
      <c r="D5154" s="11" t="n"/>
      <c r="K5154" s="7">
        <f>IF($C5154="","",J5154*W5154/100)</f>
        <v/>
      </c>
      <c r="Q5154" s="7" t="n"/>
      <c r="R5154" s="7" t="n"/>
      <c r="U5154">
        <f>IF($C5154="","",IF($AJ5154=1,0,IF($AI5154=1,Settings!$C$6,Settings!$C$7))*100)</f>
        <v/>
      </c>
      <c r="V5154" s="7">
        <f>IF($C5154="","",R5154*U5154/100)</f>
        <v/>
      </c>
      <c r="W5154" s="7">
        <f>IF($C5154="","",R5154-V5154)</f>
        <v/>
      </c>
      <c r="X5154" s="7">
        <f>IF($C5154="","",W5154-K5154)</f>
        <v/>
      </c>
      <c r="AB5154" s="7" t="n"/>
      <c r="AE5154" s="11" t="n"/>
      <c r="AG5154">
        <f>IF($C5154="","",IF(COUNTIF($C$2:$C5154,$C5154)=1,1,0))</f>
        <v/>
      </c>
      <c r="AH5154">
        <f>IF($AG5154=1,SUMPRODUCT(--($AK$2:$AK$6001&lt;$AK5154))+1,"")</f>
        <v/>
      </c>
      <c r="AI5154">
        <f>IF($C5154="","",IF(OR($N5154=TRUE(),$N5154="TRUE"),1,0))</f>
        <v/>
      </c>
      <c r="AJ5154">
        <f>IF($C5154="","",IF($T5154="Yes",1,0))</f>
        <v/>
      </c>
      <c r="AK5154">
        <f>IF($AG5154=1,IFERROR(IF(VALUE($C5154)&lt;100000000,VALUE($C5154),1000000000),IFERROR(IF(VALUE(MID($C5154,2,20))&lt;100000000,VALUE(MID($C5154,2,20)),1000000000),1000000000))+ROW()/100000,"")</f>
        <v/>
      </c>
    </row>
    <row r="5155">
      <c r="D5155" s="11" t="n"/>
      <c r="K5155" s="7">
        <f>IF($C5155="","",J5155*W5155/100)</f>
        <v/>
      </c>
      <c r="Q5155" s="7" t="n"/>
      <c r="R5155" s="7" t="n"/>
      <c r="U5155">
        <f>IF($C5155="","",IF($AJ5155=1,0,IF($AI5155=1,Settings!$C$6,Settings!$C$7))*100)</f>
        <v/>
      </c>
      <c r="V5155" s="7">
        <f>IF($C5155="","",R5155*U5155/100)</f>
        <v/>
      </c>
      <c r="W5155" s="7">
        <f>IF($C5155="","",R5155-V5155)</f>
        <v/>
      </c>
      <c r="X5155" s="7">
        <f>IF($C5155="","",W5155-K5155)</f>
        <v/>
      </c>
      <c r="AB5155" s="7" t="n"/>
      <c r="AE5155" s="11" t="n"/>
      <c r="AG5155">
        <f>IF($C5155="","",IF(COUNTIF($C$2:$C5155,$C5155)=1,1,0))</f>
        <v/>
      </c>
      <c r="AH5155">
        <f>IF($AG5155=1,SUMPRODUCT(--($AK$2:$AK$6001&lt;$AK5155))+1,"")</f>
        <v/>
      </c>
      <c r="AI5155">
        <f>IF($C5155="","",IF(OR($N5155=TRUE(),$N5155="TRUE"),1,0))</f>
        <v/>
      </c>
      <c r="AJ5155">
        <f>IF($C5155="","",IF($T5155="Yes",1,0))</f>
        <v/>
      </c>
      <c r="AK5155">
        <f>IF($AG5155=1,IFERROR(IF(VALUE($C5155)&lt;100000000,VALUE($C5155),1000000000),IFERROR(IF(VALUE(MID($C5155,2,20))&lt;100000000,VALUE(MID($C5155,2,20)),1000000000),1000000000))+ROW()/100000,"")</f>
        <v/>
      </c>
    </row>
    <row r="5156">
      <c r="D5156" s="11" t="n"/>
      <c r="K5156" s="7">
        <f>IF($C5156="","",J5156*W5156/100)</f>
        <v/>
      </c>
      <c r="Q5156" s="7" t="n"/>
      <c r="R5156" s="7" t="n"/>
      <c r="U5156">
        <f>IF($C5156="","",IF($AJ5156=1,0,IF($AI5156=1,Settings!$C$6,Settings!$C$7))*100)</f>
        <v/>
      </c>
      <c r="V5156" s="7">
        <f>IF($C5156="","",R5156*U5156/100)</f>
        <v/>
      </c>
      <c r="W5156" s="7">
        <f>IF($C5156="","",R5156-V5156)</f>
        <v/>
      </c>
      <c r="X5156" s="7">
        <f>IF($C5156="","",W5156-K5156)</f>
        <v/>
      </c>
      <c r="AB5156" s="7" t="n"/>
      <c r="AE5156" s="11" t="n"/>
      <c r="AG5156">
        <f>IF($C5156="","",IF(COUNTIF($C$2:$C5156,$C5156)=1,1,0))</f>
        <v/>
      </c>
      <c r="AH5156">
        <f>IF($AG5156=1,SUMPRODUCT(--($AK$2:$AK$6001&lt;$AK5156))+1,"")</f>
        <v/>
      </c>
      <c r="AI5156">
        <f>IF($C5156="","",IF(OR($N5156=TRUE(),$N5156="TRUE"),1,0))</f>
        <v/>
      </c>
      <c r="AJ5156">
        <f>IF($C5156="","",IF($T5156="Yes",1,0))</f>
        <v/>
      </c>
      <c r="AK5156">
        <f>IF($AG5156=1,IFERROR(IF(VALUE($C5156)&lt;100000000,VALUE($C5156),1000000000),IFERROR(IF(VALUE(MID($C5156,2,20))&lt;100000000,VALUE(MID($C5156,2,20)),1000000000),1000000000))+ROW()/100000,"")</f>
        <v/>
      </c>
    </row>
    <row r="5157">
      <c r="D5157" s="11" t="n"/>
      <c r="K5157" s="7">
        <f>IF($C5157="","",J5157*W5157/100)</f>
        <v/>
      </c>
      <c r="Q5157" s="7" t="n"/>
      <c r="R5157" s="7" t="n"/>
      <c r="U5157">
        <f>IF($C5157="","",IF($AJ5157=1,0,IF($AI5157=1,Settings!$C$6,Settings!$C$7))*100)</f>
        <v/>
      </c>
      <c r="V5157" s="7">
        <f>IF($C5157="","",R5157*U5157/100)</f>
        <v/>
      </c>
      <c r="W5157" s="7">
        <f>IF($C5157="","",R5157-V5157)</f>
        <v/>
      </c>
      <c r="X5157" s="7">
        <f>IF($C5157="","",W5157-K5157)</f>
        <v/>
      </c>
      <c r="AB5157" s="7" t="n"/>
      <c r="AE5157" s="11" t="n"/>
      <c r="AG5157">
        <f>IF($C5157="","",IF(COUNTIF($C$2:$C5157,$C5157)=1,1,0))</f>
        <v/>
      </c>
      <c r="AH5157">
        <f>IF($AG5157=1,SUMPRODUCT(--($AK$2:$AK$6001&lt;$AK5157))+1,"")</f>
        <v/>
      </c>
      <c r="AI5157">
        <f>IF($C5157="","",IF(OR($N5157=TRUE(),$N5157="TRUE"),1,0))</f>
        <v/>
      </c>
      <c r="AJ5157">
        <f>IF($C5157="","",IF($T5157="Yes",1,0))</f>
        <v/>
      </c>
      <c r="AK5157">
        <f>IF($AG5157=1,IFERROR(IF(VALUE($C5157)&lt;100000000,VALUE($C5157),1000000000),IFERROR(IF(VALUE(MID($C5157,2,20))&lt;100000000,VALUE(MID($C5157,2,20)),1000000000),1000000000))+ROW()/100000,"")</f>
        <v/>
      </c>
    </row>
    <row r="5158">
      <c r="D5158" s="11" t="n"/>
      <c r="K5158" s="7">
        <f>IF($C5158="","",J5158*W5158/100)</f>
        <v/>
      </c>
      <c r="Q5158" s="7" t="n"/>
      <c r="R5158" s="7" t="n"/>
      <c r="U5158">
        <f>IF($C5158="","",IF($AJ5158=1,0,IF($AI5158=1,Settings!$C$6,Settings!$C$7))*100)</f>
        <v/>
      </c>
      <c r="V5158" s="7">
        <f>IF($C5158="","",R5158*U5158/100)</f>
        <v/>
      </c>
      <c r="W5158" s="7">
        <f>IF($C5158="","",R5158-V5158)</f>
        <v/>
      </c>
      <c r="X5158" s="7">
        <f>IF($C5158="","",W5158-K5158)</f>
        <v/>
      </c>
      <c r="AB5158" s="7" t="n"/>
      <c r="AE5158" s="11" t="n"/>
      <c r="AG5158">
        <f>IF($C5158="","",IF(COUNTIF($C$2:$C5158,$C5158)=1,1,0))</f>
        <v/>
      </c>
      <c r="AH5158">
        <f>IF($AG5158=1,SUMPRODUCT(--($AK$2:$AK$6001&lt;$AK5158))+1,"")</f>
        <v/>
      </c>
      <c r="AI5158">
        <f>IF($C5158="","",IF(OR($N5158=TRUE(),$N5158="TRUE"),1,0))</f>
        <v/>
      </c>
      <c r="AJ5158">
        <f>IF($C5158="","",IF($T5158="Yes",1,0))</f>
        <v/>
      </c>
      <c r="AK5158">
        <f>IF($AG5158=1,IFERROR(IF(VALUE($C5158)&lt;100000000,VALUE($C5158),1000000000),IFERROR(IF(VALUE(MID($C5158,2,20))&lt;100000000,VALUE(MID($C5158,2,20)),1000000000),1000000000))+ROW()/100000,"")</f>
        <v/>
      </c>
    </row>
    <row r="5159">
      <c r="D5159" s="11" t="n"/>
      <c r="K5159" s="7">
        <f>IF($C5159="","",J5159*W5159/100)</f>
        <v/>
      </c>
      <c r="Q5159" s="7" t="n"/>
      <c r="R5159" s="7" t="n"/>
      <c r="U5159">
        <f>IF($C5159="","",IF($AJ5159=1,0,IF($AI5159=1,Settings!$C$6,Settings!$C$7))*100)</f>
        <v/>
      </c>
      <c r="V5159" s="7">
        <f>IF($C5159="","",R5159*U5159/100)</f>
        <v/>
      </c>
      <c r="W5159" s="7">
        <f>IF($C5159="","",R5159-V5159)</f>
        <v/>
      </c>
      <c r="X5159" s="7">
        <f>IF($C5159="","",W5159-K5159)</f>
        <v/>
      </c>
      <c r="AB5159" s="7" t="n"/>
      <c r="AE5159" s="11" t="n"/>
      <c r="AG5159">
        <f>IF($C5159="","",IF(COUNTIF($C$2:$C5159,$C5159)=1,1,0))</f>
        <v/>
      </c>
      <c r="AH5159">
        <f>IF($AG5159=1,SUMPRODUCT(--($AK$2:$AK$6001&lt;$AK5159))+1,"")</f>
        <v/>
      </c>
      <c r="AI5159">
        <f>IF($C5159="","",IF(OR($N5159=TRUE(),$N5159="TRUE"),1,0))</f>
        <v/>
      </c>
      <c r="AJ5159">
        <f>IF($C5159="","",IF($T5159="Yes",1,0))</f>
        <v/>
      </c>
      <c r="AK5159">
        <f>IF($AG5159=1,IFERROR(IF(VALUE($C5159)&lt;100000000,VALUE($C5159),1000000000),IFERROR(IF(VALUE(MID($C5159,2,20))&lt;100000000,VALUE(MID($C5159,2,20)),1000000000),1000000000))+ROW()/100000,"")</f>
        <v/>
      </c>
    </row>
    <row r="5160">
      <c r="D5160" s="11" t="n"/>
      <c r="K5160" s="7">
        <f>IF($C5160="","",J5160*W5160/100)</f>
        <v/>
      </c>
      <c r="Q5160" s="7" t="n"/>
      <c r="R5160" s="7" t="n"/>
      <c r="U5160">
        <f>IF($C5160="","",IF($AJ5160=1,0,IF($AI5160=1,Settings!$C$6,Settings!$C$7))*100)</f>
        <v/>
      </c>
      <c r="V5160" s="7">
        <f>IF($C5160="","",R5160*U5160/100)</f>
        <v/>
      </c>
      <c r="W5160" s="7">
        <f>IF($C5160="","",R5160-V5160)</f>
        <v/>
      </c>
      <c r="X5160" s="7">
        <f>IF($C5160="","",W5160-K5160)</f>
        <v/>
      </c>
      <c r="AB5160" s="7" t="n"/>
      <c r="AE5160" s="11" t="n"/>
      <c r="AG5160">
        <f>IF($C5160="","",IF(COUNTIF($C$2:$C5160,$C5160)=1,1,0))</f>
        <v/>
      </c>
      <c r="AH5160">
        <f>IF($AG5160=1,SUMPRODUCT(--($AK$2:$AK$6001&lt;$AK5160))+1,"")</f>
        <v/>
      </c>
      <c r="AI5160">
        <f>IF($C5160="","",IF(OR($N5160=TRUE(),$N5160="TRUE"),1,0))</f>
        <v/>
      </c>
      <c r="AJ5160">
        <f>IF($C5160="","",IF($T5160="Yes",1,0))</f>
        <v/>
      </c>
      <c r="AK5160">
        <f>IF($AG5160=1,IFERROR(IF(VALUE($C5160)&lt;100000000,VALUE($C5160),1000000000),IFERROR(IF(VALUE(MID($C5160,2,20))&lt;100000000,VALUE(MID($C5160,2,20)),1000000000),1000000000))+ROW()/100000,"")</f>
        <v/>
      </c>
    </row>
    <row r="5161">
      <c r="D5161" s="11" t="n"/>
      <c r="K5161" s="7">
        <f>IF($C5161="","",J5161*W5161/100)</f>
        <v/>
      </c>
      <c r="Q5161" s="7" t="n"/>
      <c r="R5161" s="7" t="n"/>
      <c r="U5161">
        <f>IF($C5161="","",IF($AJ5161=1,0,IF($AI5161=1,Settings!$C$6,Settings!$C$7))*100)</f>
        <v/>
      </c>
      <c r="V5161" s="7">
        <f>IF($C5161="","",R5161*U5161/100)</f>
        <v/>
      </c>
      <c r="W5161" s="7">
        <f>IF($C5161="","",R5161-V5161)</f>
        <v/>
      </c>
      <c r="X5161" s="7">
        <f>IF($C5161="","",W5161-K5161)</f>
        <v/>
      </c>
      <c r="AB5161" s="7" t="n"/>
      <c r="AE5161" s="11" t="n"/>
      <c r="AG5161">
        <f>IF($C5161="","",IF(COUNTIF($C$2:$C5161,$C5161)=1,1,0))</f>
        <v/>
      </c>
      <c r="AH5161">
        <f>IF($AG5161=1,SUMPRODUCT(--($AK$2:$AK$6001&lt;$AK5161))+1,"")</f>
        <v/>
      </c>
      <c r="AI5161">
        <f>IF($C5161="","",IF(OR($N5161=TRUE(),$N5161="TRUE"),1,0))</f>
        <v/>
      </c>
      <c r="AJ5161">
        <f>IF($C5161="","",IF($T5161="Yes",1,0))</f>
        <v/>
      </c>
      <c r="AK5161">
        <f>IF($AG5161=1,IFERROR(IF(VALUE($C5161)&lt;100000000,VALUE($C5161),1000000000),IFERROR(IF(VALUE(MID($C5161,2,20))&lt;100000000,VALUE(MID($C5161,2,20)),1000000000),1000000000))+ROW()/100000,"")</f>
        <v/>
      </c>
    </row>
    <row r="5162">
      <c r="D5162" s="11" t="n"/>
      <c r="K5162" s="7">
        <f>IF($C5162="","",J5162*W5162/100)</f>
        <v/>
      </c>
      <c r="Q5162" s="7" t="n"/>
      <c r="R5162" s="7" t="n"/>
      <c r="U5162">
        <f>IF($C5162="","",IF($AJ5162=1,0,IF($AI5162=1,Settings!$C$6,Settings!$C$7))*100)</f>
        <v/>
      </c>
      <c r="V5162" s="7">
        <f>IF($C5162="","",R5162*U5162/100)</f>
        <v/>
      </c>
      <c r="W5162" s="7">
        <f>IF($C5162="","",R5162-V5162)</f>
        <v/>
      </c>
      <c r="X5162" s="7">
        <f>IF($C5162="","",W5162-K5162)</f>
        <v/>
      </c>
      <c r="AB5162" s="7" t="n"/>
      <c r="AE5162" s="11" t="n"/>
      <c r="AG5162">
        <f>IF($C5162="","",IF(COUNTIF($C$2:$C5162,$C5162)=1,1,0))</f>
        <v/>
      </c>
      <c r="AH5162">
        <f>IF($AG5162=1,SUMPRODUCT(--($AK$2:$AK$6001&lt;$AK5162))+1,"")</f>
        <v/>
      </c>
      <c r="AI5162">
        <f>IF($C5162="","",IF(OR($N5162=TRUE(),$N5162="TRUE"),1,0))</f>
        <v/>
      </c>
      <c r="AJ5162">
        <f>IF($C5162="","",IF($T5162="Yes",1,0))</f>
        <v/>
      </c>
      <c r="AK5162">
        <f>IF($AG5162=1,IFERROR(IF(VALUE($C5162)&lt;100000000,VALUE($C5162),1000000000),IFERROR(IF(VALUE(MID($C5162,2,20))&lt;100000000,VALUE(MID($C5162,2,20)),1000000000),1000000000))+ROW()/100000,"")</f>
        <v/>
      </c>
    </row>
    <row r="5163">
      <c r="D5163" s="11" t="n"/>
      <c r="K5163" s="7">
        <f>IF($C5163="","",J5163*W5163/100)</f>
        <v/>
      </c>
      <c r="Q5163" s="7" t="n"/>
      <c r="R5163" s="7" t="n"/>
      <c r="U5163">
        <f>IF($C5163="","",IF($AJ5163=1,0,IF($AI5163=1,Settings!$C$6,Settings!$C$7))*100)</f>
        <v/>
      </c>
      <c r="V5163" s="7">
        <f>IF($C5163="","",R5163*U5163/100)</f>
        <v/>
      </c>
      <c r="W5163" s="7">
        <f>IF($C5163="","",R5163-V5163)</f>
        <v/>
      </c>
      <c r="X5163" s="7">
        <f>IF($C5163="","",W5163-K5163)</f>
        <v/>
      </c>
      <c r="AB5163" s="7" t="n"/>
      <c r="AE5163" s="11" t="n"/>
      <c r="AG5163">
        <f>IF($C5163="","",IF(COUNTIF($C$2:$C5163,$C5163)=1,1,0))</f>
        <v/>
      </c>
      <c r="AH5163">
        <f>IF($AG5163=1,SUMPRODUCT(--($AK$2:$AK$6001&lt;$AK5163))+1,"")</f>
        <v/>
      </c>
      <c r="AI5163">
        <f>IF($C5163="","",IF(OR($N5163=TRUE(),$N5163="TRUE"),1,0))</f>
        <v/>
      </c>
      <c r="AJ5163">
        <f>IF($C5163="","",IF($T5163="Yes",1,0))</f>
        <v/>
      </c>
      <c r="AK5163">
        <f>IF($AG5163=1,IFERROR(IF(VALUE($C5163)&lt;100000000,VALUE($C5163),1000000000),IFERROR(IF(VALUE(MID($C5163,2,20))&lt;100000000,VALUE(MID($C5163,2,20)),1000000000),1000000000))+ROW()/100000,"")</f>
        <v/>
      </c>
    </row>
    <row r="5164">
      <c r="D5164" s="11" t="n"/>
      <c r="K5164" s="7">
        <f>IF($C5164="","",J5164*W5164/100)</f>
        <v/>
      </c>
      <c r="Q5164" s="7" t="n"/>
      <c r="R5164" s="7" t="n"/>
      <c r="U5164">
        <f>IF($C5164="","",IF($AJ5164=1,0,IF($AI5164=1,Settings!$C$6,Settings!$C$7))*100)</f>
        <v/>
      </c>
      <c r="V5164" s="7">
        <f>IF($C5164="","",R5164*U5164/100)</f>
        <v/>
      </c>
      <c r="W5164" s="7">
        <f>IF($C5164="","",R5164-V5164)</f>
        <v/>
      </c>
      <c r="X5164" s="7">
        <f>IF($C5164="","",W5164-K5164)</f>
        <v/>
      </c>
      <c r="AB5164" s="7" t="n"/>
      <c r="AE5164" s="11" t="n"/>
      <c r="AG5164">
        <f>IF($C5164="","",IF(COUNTIF($C$2:$C5164,$C5164)=1,1,0))</f>
        <v/>
      </c>
      <c r="AH5164">
        <f>IF($AG5164=1,SUMPRODUCT(--($AK$2:$AK$6001&lt;$AK5164))+1,"")</f>
        <v/>
      </c>
      <c r="AI5164">
        <f>IF($C5164="","",IF(OR($N5164=TRUE(),$N5164="TRUE"),1,0))</f>
        <v/>
      </c>
      <c r="AJ5164">
        <f>IF($C5164="","",IF($T5164="Yes",1,0))</f>
        <v/>
      </c>
      <c r="AK5164">
        <f>IF($AG5164=1,IFERROR(IF(VALUE($C5164)&lt;100000000,VALUE($C5164),1000000000),IFERROR(IF(VALUE(MID($C5164,2,20))&lt;100000000,VALUE(MID($C5164,2,20)),1000000000),1000000000))+ROW()/100000,"")</f>
        <v/>
      </c>
    </row>
    <row r="5165">
      <c r="D5165" s="11" t="n"/>
      <c r="K5165" s="7">
        <f>IF($C5165="","",J5165*W5165/100)</f>
        <v/>
      </c>
      <c r="Q5165" s="7" t="n"/>
      <c r="R5165" s="7" t="n"/>
      <c r="U5165">
        <f>IF($C5165="","",IF($AJ5165=1,0,IF($AI5165=1,Settings!$C$6,Settings!$C$7))*100)</f>
        <v/>
      </c>
      <c r="V5165" s="7">
        <f>IF($C5165="","",R5165*U5165/100)</f>
        <v/>
      </c>
      <c r="W5165" s="7">
        <f>IF($C5165="","",R5165-V5165)</f>
        <v/>
      </c>
      <c r="X5165" s="7">
        <f>IF($C5165="","",W5165-K5165)</f>
        <v/>
      </c>
      <c r="AB5165" s="7" t="n"/>
      <c r="AE5165" s="11" t="n"/>
      <c r="AG5165">
        <f>IF($C5165="","",IF(COUNTIF($C$2:$C5165,$C5165)=1,1,0))</f>
        <v/>
      </c>
      <c r="AH5165">
        <f>IF($AG5165=1,SUMPRODUCT(--($AK$2:$AK$6001&lt;$AK5165))+1,"")</f>
        <v/>
      </c>
      <c r="AI5165">
        <f>IF($C5165="","",IF(OR($N5165=TRUE(),$N5165="TRUE"),1,0))</f>
        <v/>
      </c>
      <c r="AJ5165">
        <f>IF($C5165="","",IF($T5165="Yes",1,0))</f>
        <v/>
      </c>
      <c r="AK5165">
        <f>IF($AG5165=1,IFERROR(IF(VALUE($C5165)&lt;100000000,VALUE($C5165),1000000000),IFERROR(IF(VALUE(MID($C5165,2,20))&lt;100000000,VALUE(MID($C5165,2,20)),1000000000),1000000000))+ROW()/100000,"")</f>
        <v/>
      </c>
    </row>
    <row r="5166">
      <c r="D5166" s="11" t="n"/>
      <c r="K5166" s="7">
        <f>IF($C5166="","",J5166*W5166/100)</f>
        <v/>
      </c>
      <c r="Q5166" s="7" t="n"/>
      <c r="R5166" s="7" t="n"/>
      <c r="U5166">
        <f>IF($C5166="","",IF($AJ5166=1,0,IF($AI5166=1,Settings!$C$6,Settings!$C$7))*100)</f>
        <v/>
      </c>
      <c r="V5166" s="7">
        <f>IF($C5166="","",R5166*U5166/100)</f>
        <v/>
      </c>
      <c r="W5166" s="7">
        <f>IF($C5166="","",R5166-V5166)</f>
        <v/>
      </c>
      <c r="X5166" s="7">
        <f>IF($C5166="","",W5166-K5166)</f>
        <v/>
      </c>
      <c r="AB5166" s="7" t="n"/>
      <c r="AE5166" s="11" t="n"/>
      <c r="AG5166">
        <f>IF($C5166="","",IF(COUNTIF($C$2:$C5166,$C5166)=1,1,0))</f>
        <v/>
      </c>
      <c r="AH5166">
        <f>IF($AG5166=1,SUMPRODUCT(--($AK$2:$AK$6001&lt;$AK5166))+1,"")</f>
        <v/>
      </c>
      <c r="AI5166">
        <f>IF($C5166="","",IF(OR($N5166=TRUE(),$N5166="TRUE"),1,0))</f>
        <v/>
      </c>
      <c r="AJ5166">
        <f>IF($C5166="","",IF($T5166="Yes",1,0))</f>
        <v/>
      </c>
      <c r="AK5166">
        <f>IF($AG5166=1,IFERROR(IF(VALUE($C5166)&lt;100000000,VALUE($C5166),1000000000),IFERROR(IF(VALUE(MID($C5166,2,20))&lt;100000000,VALUE(MID($C5166,2,20)),1000000000),1000000000))+ROW()/100000,"")</f>
        <v/>
      </c>
    </row>
    <row r="5167">
      <c r="D5167" s="11" t="n"/>
      <c r="K5167" s="7">
        <f>IF($C5167="","",J5167*W5167/100)</f>
        <v/>
      </c>
      <c r="Q5167" s="7" t="n"/>
      <c r="R5167" s="7" t="n"/>
      <c r="U5167">
        <f>IF($C5167="","",IF($AJ5167=1,0,IF($AI5167=1,Settings!$C$6,Settings!$C$7))*100)</f>
        <v/>
      </c>
      <c r="V5167" s="7">
        <f>IF($C5167="","",R5167*U5167/100)</f>
        <v/>
      </c>
      <c r="W5167" s="7">
        <f>IF($C5167="","",R5167-V5167)</f>
        <v/>
      </c>
      <c r="X5167" s="7">
        <f>IF($C5167="","",W5167-K5167)</f>
        <v/>
      </c>
      <c r="AB5167" s="7" t="n"/>
      <c r="AE5167" s="11" t="n"/>
      <c r="AG5167">
        <f>IF($C5167="","",IF(COUNTIF($C$2:$C5167,$C5167)=1,1,0))</f>
        <v/>
      </c>
      <c r="AH5167">
        <f>IF($AG5167=1,SUMPRODUCT(--($AK$2:$AK$6001&lt;$AK5167))+1,"")</f>
        <v/>
      </c>
      <c r="AI5167">
        <f>IF($C5167="","",IF(OR($N5167=TRUE(),$N5167="TRUE"),1,0))</f>
        <v/>
      </c>
      <c r="AJ5167">
        <f>IF($C5167="","",IF($T5167="Yes",1,0))</f>
        <v/>
      </c>
      <c r="AK5167">
        <f>IF($AG5167=1,IFERROR(IF(VALUE($C5167)&lt;100000000,VALUE($C5167),1000000000),IFERROR(IF(VALUE(MID($C5167,2,20))&lt;100000000,VALUE(MID($C5167,2,20)),1000000000),1000000000))+ROW()/100000,"")</f>
        <v/>
      </c>
    </row>
    <row r="5168">
      <c r="D5168" s="11" t="n"/>
      <c r="K5168" s="7">
        <f>IF($C5168="","",J5168*W5168/100)</f>
        <v/>
      </c>
      <c r="Q5168" s="7" t="n"/>
      <c r="R5168" s="7" t="n"/>
      <c r="U5168">
        <f>IF($C5168="","",IF($AJ5168=1,0,IF($AI5168=1,Settings!$C$6,Settings!$C$7))*100)</f>
        <v/>
      </c>
      <c r="V5168" s="7">
        <f>IF($C5168="","",R5168*U5168/100)</f>
        <v/>
      </c>
      <c r="W5168" s="7">
        <f>IF($C5168="","",R5168-V5168)</f>
        <v/>
      </c>
      <c r="X5168" s="7">
        <f>IF($C5168="","",W5168-K5168)</f>
        <v/>
      </c>
      <c r="AB5168" s="7" t="n"/>
      <c r="AE5168" s="11" t="n"/>
      <c r="AG5168">
        <f>IF($C5168="","",IF(COUNTIF($C$2:$C5168,$C5168)=1,1,0))</f>
        <v/>
      </c>
      <c r="AH5168">
        <f>IF($AG5168=1,SUMPRODUCT(--($AK$2:$AK$6001&lt;$AK5168))+1,"")</f>
        <v/>
      </c>
      <c r="AI5168">
        <f>IF($C5168="","",IF(OR($N5168=TRUE(),$N5168="TRUE"),1,0))</f>
        <v/>
      </c>
      <c r="AJ5168">
        <f>IF($C5168="","",IF($T5168="Yes",1,0))</f>
        <v/>
      </c>
      <c r="AK5168">
        <f>IF($AG5168=1,IFERROR(IF(VALUE($C5168)&lt;100000000,VALUE($C5168),1000000000),IFERROR(IF(VALUE(MID($C5168,2,20))&lt;100000000,VALUE(MID($C5168,2,20)),1000000000),1000000000))+ROW()/100000,"")</f>
        <v/>
      </c>
    </row>
    <row r="5169">
      <c r="D5169" s="11" t="n"/>
      <c r="K5169" s="7">
        <f>IF($C5169="","",J5169*W5169/100)</f>
        <v/>
      </c>
      <c r="Q5169" s="7" t="n"/>
      <c r="R5169" s="7" t="n"/>
      <c r="U5169">
        <f>IF($C5169="","",IF($AJ5169=1,0,IF($AI5169=1,Settings!$C$6,Settings!$C$7))*100)</f>
        <v/>
      </c>
      <c r="V5169" s="7">
        <f>IF($C5169="","",R5169*U5169/100)</f>
        <v/>
      </c>
      <c r="W5169" s="7">
        <f>IF($C5169="","",R5169-V5169)</f>
        <v/>
      </c>
      <c r="X5169" s="7">
        <f>IF($C5169="","",W5169-K5169)</f>
        <v/>
      </c>
      <c r="AB5169" s="7" t="n"/>
      <c r="AE5169" s="11" t="n"/>
      <c r="AG5169">
        <f>IF($C5169="","",IF(COUNTIF($C$2:$C5169,$C5169)=1,1,0))</f>
        <v/>
      </c>
      <c r="AH5169">
        <f>IF($AG5169=1,SUMPRODUCT(--($AK$2:$AK$6001&lt;$AK5169))+1,"")</f>
        <v/>
      </c>
      <c r="AI5169">
        <f>IF($C5169="","",IF(OR($N5169=TRUE(),$N5169="TRUE"),1,0))</f>
        <v/>
      </c>
      <c r="AJ5169">
        <f>IF($C5169="","",IF($T5169="Yes",1,0))</f>
        <v/>
      </c>
      <c r="AK5169">
        <f>IF($AG5169=1,IFERROR(IF(VALUE($C5169)&lt;100000000,VALUE($C5169),1000000000),IFERROR(IF(VALUE(MID($C5169,2,20))&lt;100000000,VALUE(MID($C5169,2,20)),1000000000),1000000000))+ROW()/100000,"")</f>
        <v/>
      </c>
    </row>
    <row r="5170">
      <c r="D5170" s="11" t="n"/>
      <c r="K5170" s="7">
        <f>IF($C5170="","",J5170*W5170/100)</f>
        <v/>
      </c>
      <c r="Q5170" s="7" t="n"/>
      <c r="R5170" s="7" t="n"/>
      <c r="U5170">
        <f>IF($C5170="","",IF($AJ5170=1,0,IF($AI5170=1,Settings!$C$6,Settings!$C$7))*100)</f>
        <v/>
      </c>
      <c r="V5170" s="7">
        <f>IF($C5170="","",R5170*U5170/100)</f>
        <v/>
      </c>
      <c r="W5170" s="7">
        <f>IF($C5170="","",R5170-V5170)</f>
        <v/>
      </c>
      <c r="X5170" s="7">
        <f>IF($C5170="","",W5170-K5170)</f>
        <v/>
      </c>
      <c r="AB5170" s="7" t="n"/>
      <c r="AE5170" s="11" t="n"/>
      <c r="AG5170">
        <f>IF($C5170="","",IF(COUNTIF($C$2:$C5170,$C5170)=1,1,0))</f>
        <v/>
      </c>
      <c r="AH5170">
        <f>IF($AG5170=1,SUMPRODUCT(--($AK$2:$AK$6001&lt;$AK5170))+1,"")</f>
        <v/>
      </c>
      <c r="AI5170">
        <f>IF($C5170="","",IF(OR($N5170=TRUE(),$N5170="TRUE"),1,0))</f>
        <v/>
      </c>
      <c r="AJ5170">
        <f>IF($C5170="","",IF($T5170="Yes",1,0))</f>
        <v/>
      </c>
      <c r="AK5170">
        <f>IF($AG5170=1,IFERROR(IF(VALUE($C5170)&lt;100000000,VALUE($C5170),1000000000),IFERROR(IF(VALUE(MID($C5170,2,20))&lt;100000000,VALUE(MID($C5170,2,20)),1000000000),1000000000))+ROW()/100000,"")</f>
        <v/>
      </c>
    </row>
    <row r="5171">
      <c r="D5171" s="11" t="n"/>
      <c r="K5171" s="7">
        <f>IF($C5171="","",J5171*W5171/100)</f>
        <v/>
      </c>
      <c r="Q5171" s="7" t="n"/>
      <c r="R5171" s="7" t="n"/>
      <c r="U5171">
        <f>IF($C5171="","",IF($AJ5171=1,0,IF($AI5171=1,Settings!$C$6,Settings!$C$7))*100)</f>
        <v/>
      </c>
      <c r="V5171" s="7">
        <f>IF($C5171="","",R5171*U5171/100)</f>
        <v/>
      </c>
      <c r="W5171" s="7">
        <f>IF($C5171="","",R5171-V5171)</f>
        <v/>
      </c>
      <c r="X5171" s="7">
        <f>IF($C5171="","",W5171-K5171)</f>
        <v/>
      </c>
      <c r="AB5171" s="7" t="n"/>
      <c r="AE5171" s="11" t="n"/>
      <c r="AG5171">
        <f>IF($C5171="","",IF(COUNTIF($C$2:$C5171,$C5171)=1,1,0))</f>
        <v/>
      </c>
      <c r="AH5171">
        <f>IF($AG5171=1,SUMPRODUCT(--($AK$2:$AK$6001&lt;$AK5171))+1,"")</f>
        <v/>
      </c>
      <c r="AI5171">
        <f>IF($C5171="","",IF(OR($N5171=TRUE(),$N5171="TRUE"),1,0))</f>
        <v/>
      </c>
      <c r="AJ5171">
        <f>IF($C5171="","",IF($T5171="Yes",1,0))</f>
        <v/>
      </c>
      <c r="AK5171">
        <f>IF($AG5171=1,IFERROR(IF(VALUE($C5171)&lt;100000000,VALUE($C5171),1000000000),IFERROR(IF(VALUE(MID($C5171,2,20))&lt;100000000,VALUE(MID($C5171,2,20)),1000000000),1000000000))+ROW()/100000,"")</f>
        <v/>
      </c>
    </row>
    <row r="5172">
      <c r="D5172" s="11" t="n"/>
      <c r="K5172" s="7">
        <f>IF($C5172="","",J5172*W5172/100)</f>
        <v/>
      </c>
      <c r="Q5172" s="7" t="n"/>
      <c r="R5172" s="7" t="n"/>
      <c r="U5172">
        <f>IF($C5172="","",IF($AJ5172=1,0,IF($AI5172=1,Settings!$C$6,Settings!$C$7))*100)</f>
        <v/>
      </c>
      <c r="V5172" s="7">
        <f>IF($C5172="","",R5172*U5172/100)</f>
        <v/>
      </c>
      <c r="W5172" s="7">
        <f>IF($C5172="","",R5172-V5172)</f>
        <v/>
      </c>
      <c r="X5172" s="7">
        <f>IF($C5172="","",W5172-K5172)</f>
        <v/>
      </c>
      <c r="AB5172" s="7" t="n"/>
      <c r="AE5172" s="11" t="n"/>
      <c r="AG5172">
        <f>IF($C5172="","",IF(COUNTIF($C$2:$C5172,$C5172)=1,1,0))</f>
        <v/>
      </c>
      <c r="AH5172">
        <f>IF($AG5172=1,SUMPRODUCT(--($AK$2:$AK$6001&lt;$AK5172))+1,"")</f>
        <v/>
      </c>
      <c r="AI5172">
        <f>IF($C5172="","",IF(OR($N5172=TRUE(),$N5172="TRUE"),1,0))</f>
        <v/>
      </c>
      <c r="AJ5172">
        <f>IF($C5172="","",IF($T5172="Yes",1,0))</f>
        <v/>
      </c>
      <c r="AK5172">
        <f>IF($AG5172=1,IFERROR(IF(VALUE($C5172)&lt;100000000,VALUE($C5172),1000000000),IFERROR(IF(VALUE(MID($C5172,2,20))&lt;100000000,VALUE(MID($C5172,2,20)),1000000000),1000000000))+ROW()/100000,"")</f>
        <v/>
      </c>
    </row>
    <row r="5173">
      <c r="D5173" s="11" t="n"/>
      <c r="K5173" s="7">
        <f>IF($C5173="","",J5173*W5173/100)</f>
        <v/>
      </c>
      <c r="Q5173" s="7" t="n"/>
      <c r="R5173" s="7" t="n"/>
      <c r="U5173">
        <f>IF($C5173="","",IF($AJ5173=1,0,IF($AI5173=1,Settings!$C$6,Settings!$C$7))*100)</f>
        <v/>
      </c>
      <c r="V5173" s="7">
        <f>IF($C5173="","",R5173*U5173/100)</f>
        <v/>
      </c>
      <c r="W5173" s="7">
        <f>IF($C5173="","",R5173-V5173)</f>
        <v/>
      </c>
      <c r="X5173" s="7">
        <f>IF($C5173="","",W5173-K5173)</f>
        <v/>
      </c>
      <c r="AB5173" s="7" t="n"/>
      <c r="AE5173" s="11" t="n"/>
      <c r="AG5173">
        <f>IF($C5173="","",IF(COUNTIF($C$2:$C5173,$C5173)=1,1,0))</f>
        <v/>
      </c>
      <c r="AH5173">
        <f>IF($AG5173=1,SUMPRODUCT(--($AK$2:$AK$6001&lt;$AK5173))+1,"")</f>
        <v/>
      </c>
      <c r="AI5173">
        <f>IF($C5173="","",IF(OR($N5173=TRUE(),$N5173="TRUE"),1,0))</f>
        <v/>
      </c>
      <c r="AJ5173">
        <f>IF($C5173="","",IF($T5173="Yes",1,0))</f>
        <v/>
      </c>
      <c r="AK5173">
        <f>IF($AG5173=1,IFERROR(IF(VALUE($C5173)&lt;100000000,VALUE($C5173),1000000000),IFERROR(IF(VALUE(MID($C5173,2,20))&lt;100000000,VALUE(MID($C5173,2,20)),1000000000),1000000000))+ROW()/100000,"")</f>
        <v/>
      </c>
    </row>
    <row r="5174">
      <c r="D5174" s="11" t="n"/>
      <c r="K5174" s="7">
        <f>IF($C5174="","",J5174*W5174/100)</f>
        <v/>
      </c>
      <c r="Q5174" s="7" t="n"/>
      <c r="R5174" s="7" t="n"/>
      <c r="U5174">
        <f>IF($C5174="","",IF($AJ5174=1,0,IF($AI5174=1,Settings!$C$6,Settings!$C$7))*100)</f>
        <v/>
      </c>
      <c r="V5174" s="7">
        <f>IF($C5174="","",R5174*U5174/100)</f>
        <v/>
      </c>
      <c r="W5174" s="7">
        <f>IF($C5174="","",R5174-V5174)</f>
        <v/>
      </c>
      <c r="X5174" s="7">
        <f>IF($C5174="","",W5174-K5174)</f>
        <v/>
      </c>
      <c r="AB5174" s="7" t="n"/>
      <c r="AE5174" s="11" t="n"/>
      <c r="AG5174">
        <f>IF($C5174="","",IF(COUNTIF($C$2:$C5174,$C5174)=1,1,0))</f>
        <v/>
      </c>
      <c r="AH5174">
        <f>IF($AG5174=1,SUMPRODUCT(--($AK$2:$AK$6001&lt;$AK5174))+1,"")</f>
        <v/>
      </c>
      <c r="AI5174">
        <f>IF($C5174="","",IF(OR($N5174=TRUE(),$N5174="TRUE"),1,0))</f>
        <v/>
      </c>
      <c r="AJ5174">
        <f>IF($C5174="","",IF($T5174="Yes",1,0))</f>
        <v/>
      </c>
      <c r="AK5174">
        <f>IF($AG5174=1,IFERROR(IF(VALUE($C5174)&lt;100000000,VALUE($C5174),1000000000),IFERROR(IF(VALUE(MID($C5174,2,20))&lt;100000000,VALUE(MID($C5174,2,20)),1000000000),1000000000))+ROW()/100000,"")</f>
        <v/>
      </c>
    </row>
    <row r="5175">
      <c r="D5175" s="11" t="n"/>
      <c r="K5175" s="7">
        <f>IF($C5175="","",J5175*W5175/100)</f>
        <v/>
      </c>
      <c r="Q5175" s="7" t="n"/>
      <c r="R5175" s="7" t="n"/>
      <c r="U5175">
        <f>IF($C5175="","",IF($AJ5175=1,0,IF($AI5175=1,Settings!$C$6,Settings!$C$7))*100)</f>
        <v/>
      </c>
      <c r="V5175" s="7">
        <f>IF($C5175="","",R5175*U5175/100)</f>
        <v/>
      </c>
      <c r="W5175" s="7">
        <f>IF($C5175="","",R5175-V5175)</f>
        <v/>
      </c>
      <c r="X5175" s="7">
        <f>IF($C5175="","",W5175-K5175)</f>
        <v/>
      </c>
      <c r="AB5175" s="7" t="n"/>
      <c r="AE5175" s="11" t="n"/>
      <c r="AG5175">
        <f>IF($C5175="","",IF(COUNTIF($C$2:$C5175,$C5175)=1,1,0))</f>
        <v/>
      </c>
      <c r="AH5175">
        <f>IF($AG5175=1,SUMPRODUCT(--($AK$2:$AK$6001&lt;$AK5175))+1,"")</f>
        <v/>
      </c>
      <c r="AI5175">
        <f>IF($C5175="","",IF(OR($N5175=TRUE(),$N5175="TRUE"),1,0))</f>
        <v/>
      </c>
      <c r="AJ5175">
        <f>IF($C5175="","",IF($T5175="Yes",1,0))</f>
        <v/>
      </c>
      <c r="AK5175">
        <f>IF($AG5175=1,IFERROR(IF(VALUE($C5175)&lt;100000000,VALUE($C5175),1000000000),IFERROR(IF(VALUE(MID($C5175,2,20))&lt;100000000,VALUE(MID($C5175,2,20)),1000000000),1000000000))+ROW()/100000,"")</f>
        <v/>
      </c>
    </row>
    <row r="5176">
      <c r="D5176" s="11" t="n"/>
      <c r="K5176" s="7">
        <f>IF($C5176="","",J5176*W5176/100)</f>
        <v/>
      </c>
      <c r="Q5176" s="7" t="n"/>
      <c r="R5176" s="7" t="n"/>
      <c r="U5176">
        <f>IF($C5176="","",IF($AJ5176=1,0,IF($AI5176=1,Settings!$C$6,Settings!$C$7))*100)</f>
        <v/>
      </c>
      <c r="V5176" s="7">
        <f>IF($C5176="","",R5176*U5176/100)</f>
        <v/>
      </c>
      <c r="W5176" s="7">
        <f>IF($C5176="","",R5176-V5176)</f>
        <v/>
      </c>
      <c r="X5176" s="7">
        <f>IF($C5176="","",W5176-K5176)</f>
        <v/>
      </c>
      <c r="AB5176" s="7" t="n"/>
      <c r="AE5176" s="11" t="n"/>
      <c r="AG5176">
        <f>IF($C5176="","",IF(COUNTIF($C$2:$C5176,$C5176)=1,1,0))</f>
        <v/>
      </c>
      <c r="AH5176">
        <f>IF($AG5176=1,SUMPRODUCT(--($AK$2:$AK$6001&lt;$AK5176))+1,"")</f>
        <v/>
      </c>
      <c r="AI5176">
        <f>IF($C5176="","",IF(OR($N5176=TRUE(),$N5176="TRUE"),1,0))</f>
        <v/>
      </c>
      <c r="AJ5176">
        <f>IF($C5176="","",IF($T5176="Yes",1,0))</f>
        <v/>
      </c>
      <c r="AK5176">
        <f>IF($AG5176=1,IFERROR(IF(VALUE($C5176)&lt;100000000,VALUE($C5176),1000000000),IFERROR(IF(VALUE(MID($C5176,2,20))&lt;100000000,VALUE(MID($C5176,2,20)),1000000000),1000000000))+ROW()/100000,"")</f>
        <v/>
      </c>
    </row>
    <row r="5177">
      <c r="D5177" s="11" t="n"/>
      <c r="K5177" s="7">
        <f>IF($C5177="","",J5177*W5177/100)</f>
        <v/>
      </c>
      <c r="Q5177" s="7" t="n"/>
      <c r="R5177" s="7" t="n"/>
      <c r="U5177">
        <f>IF($C5177="","",IF($AJ5177=1,0,IF($AI5177=1,Settings!$C$6,Settings!$C$7))*100)</f>
        <v/>
      </c>
      <c r="V5177" s="7">
        <f>IF($C5177="","",R5177*U5177/100)</f>
        <v/>
      </c>
      <c r="W5177" s="7">
        <f>IF($C5177="","",R5177-V5177)</f>
        <v/>
      </c>
      <c r="X5177" s="7">
        <f>IF($C5177="","",W5177-K5177)</f>
        <v/>
      </c>
      <c r="AB5177" s="7" t="n"/>
      <c r="AE5177" s="11" t="n"/>
      <c r="AG5177">
        <f>IF($C5177="","",IF(COUNTIF($C$2:$C5177,$C5177)=1,1,0))</f>
        <v/>
      </c>
      <c r="AH5177">
        <f>IF($AG5177=1,SUMPRODUCT(--($AK$2:$AK$6001&lt;$AK5177))+1,"")</f>
        <v/>
      </c>
      <c r="AI5177">
        <f>IF($C5177="","",IF(OR($N5177=TRUE(),$N5177="TRUE"),1,0))</f>
        <v/>
      </c>
      <c r="AJ5177">
        <f>IF($C5177="","",IF($T5177="Yes",1,0))</f>
        <v/>
      </c>
      <c r="AK5177">
        <f>IF($AG5177=1,IFERROR(IF(VALUE($C5177)&lt;100000000,VALUE($C5177),1000000000),IFERROR(IF(VALUE(MID($C5177,2,20))&lt;100000000,VALUE(MID($C5177,2,20)),1000000000),1000000000))+ROW()/100000,"")</f>
        <v/>
      </c>
    </row>
    <row r="5178">
      <c r="D5178" s="11" t="n"/>
      <c r="K5178" s="7">
        <f>IF($C5178="","",J5178*W5178/100)</f>
        <v/>
      </c>
      <c r="Q5178" s="7" t="n"/>
      <c r="R5178" s="7" t="n"/>
      <c r="U5178">
        <f>IF($C5178="","",IF($AJ5178=1,0,IF($AI5178=1,Settings!$C$6,Settings!$C$7))*100)</f>
        <v/>
      </c>
      <c r="V5178" s="7">
        <f>IF($C5178="","",R5178*U5178/100)</f>
        <v/>
      </c>
      <c r="W5178" s="7">
        <f>IF($C5178="","",R5178-V5178)</f>
        <v/>
      </c>
      <c r="X5178" s="7">
        <f>IF($C5178="","",W5178-K5178)</f>
        <v/>
      </c>
      <c r="AB5178" s="7" t="n"/>
      <c r="AE5178" s="11" t="n"/>
      <c r="AG5178">
        <f>IF($C5178="","",IF(COUNTIF($C$2:$C5178,$C5178)=1,1,0))</f>
        <v/>
      </c>
      <c r="AH5178">
        <f>IF($AG5178=1,SUMPRODUCT(--($AK$2:$AK$6001&lt;$AK5178))+1,"")</f>
        <v/>
      </c>
      <c r="AI5178">
        <f>IF($C5178="","",IF(OR($N5178=TRUE(),$N5178="TRUE"),1,0))</f>
        <v/>
      </c>
      <c r="AJ5178">
        <f>IF($C5178="","",IF($T5178="Yes",1,0))</f>
        <v/>
      </c>
      <c r="AK5178">
        <f>IF($AG5178=1,IFERROR(IF(VALUE($C5178)&lt;100000000,VALUE($C5178),1000000000),IFERROR(IF(VALUE(MID($C5178,2,20))&lt;100000000,VALUE(MID($C5178,2,20)),1000000000),1000000000))+ROW()/100000,"")</f>
        <v/>
      </c>
    </row>
    <row r="5179">
      <c r="D5179" s="11" t="n"/>
      <c r="K5179" s="7">
        <f>IF($C5179="","",J5179*W5179/100)</f>
        <v/>
      </c>
      <c r="Q5179" s="7" t="n"/>
      <c r="R5179" s="7" t="n"/>
      <c r="U5179">
        <f>IF($C5179="","",IF($AJ5179=1,0,IF($AI5179=1,Settings!$C$6,Settings!$C$7))*100)</f>
        <v/>
      </c>
      <c r="V5179" s="7">
        <f>IF($C5179="","",R5179*U5179/100)</f>
        <v/>
      </c>
      <c r="W5179" s="7">
        <f>IF($C5179="","",R5179-V5179)</f>
        <v/>
      </c>
      <c r="X5179" s="7">
        <f>IF($C5179="","",W5179-K5179)</f>
        <v/>
      </c>
      <c r="AB5179" s="7" t="n"/>
      <c r="AE5179" s="11" t="n"/>
      <c r="AG5179">
        <f>IF($C5179="","",IF(COUNTIF($C$2:$C5179,$C5179)=1,1,0))</f>
        <v/>
      </c>
      <c r="AH5179">
        <f>IF($AG5179=1,SUMPRODUCT(--($AK$2:$AK$6001&lt;$AK5179))+1,"")</f>
        <v/>
      </c>
      <c r="AI5179">
        <f>IF($C5179="","",IF(OR($N5179=TRUE(),$N5179="TRUE"),1,0))</f>
        <v/>
      </c>
      <c r="AJ5179">
        <f>IF($C5179="","",IF($T5179="Yes",1,0))</f>
        <v/>
      </c>
      <c r="AK5179">
        <f>IF($AG5179=1,IFERROR(IF(VALUE($C5179)&lt;100000000,VALUE($C5179),1000000000),IFERROR(IF(VALUE(MID($C5179,2,20))&lt;100000000,VALUE(MID($C5179,2,20)),1000000000),1000000000))+ROW()/100000,"")</f>
        <v/>
      </c>
    </row>
    <row r="5180">
      <c r="D5180" s="11" t="n"/>
      <c r="K5180" s="7">
        <f>IF($C5180="","",J5180*W5180/100)</f>
        <v/>
      </c>
      <c r="Q5180" s="7" t="n"/>
      <c r="R5180" s="7" t="n"/>
      <c r="U5180">
        <f>IF($C5180="","",IF($AJ5180=1,0,IF($AI5180=1,Settings!$C$6,Settings!$C$7))*100)</f>
        <v/>
      </c>
      <c r="V5180" s="7">
        <f>IF($C5180="","",R5180*U5180/100)</f>
        <v/>
      </c>
      <c r="W5180" s="7">
        <f>IF($C5180="","",R5180-V5180)</f>
        <v/>
      </c>
      <c r="X5180" s="7">
        <f>IF($C5180="","",W5180-K5180)</f>
        <v/>
      </c>
      <c r="AB5180" s="7" t="n"/>
      <c r="AE5180" s="11" t="n"/>
      <c r="AG5180">
        <f>IF($C5180="","",IF(COUNTIF($C$2:$C5180,$C5180)=1,1,0))</f>
        <v/>
      </c>
      <c r="AH5180">
        <f>IF($AG5180=1,SUMPRODUCT(--($AK$2:$AK$6001&lt;$AK5180))+1,"")</f>
        <v/>
      </c>
      <c r="AI5180">
        <f>IF($C5180="","",IF(OR($N5180=TRUE(),$N5180="TRUE"),1,0))</f>
        <v/>
      </c>
      <c r="AJ5180">
        <f>IF($C5180="","",IF($T5180="Yes",1,0))</f>
        <v/>
      </c>
      <c r="AK5180">
        <f>IF($AG5180=1,IFERROR(IF(VALUE($C5180)&lt;100000000,VALUE($C5180),1000000000),IFERROR(IF(VALUE(MID($C5180,2,20))&lt;100000000,VALUE(MID($C5180,2,20)),1000000000),1000000000))+ROW()/100000,"")</f>
        <v/>
      </c>
    </row>
    <row r="5181">
      <c r="D5181" s="11" t="n"/>
      <c r="K5181" s="7">
        <f>IF($C5181="","",J5181*W5181/100)</f>
        <v/>
      </c>
      <c r="Q5181" s="7" t="n"/>
      <c r="R5181" s="7" t="n"/>
      <c r="U5181">
        <f>IF($C5181="","",IF($AJ5181=1,0,IF($AI5181=1,Settings!$C$6,Settings!$C$7))*100)</f>
        <v/>
      </c>
      <c r="V5181" s="7">
        <f>IF($C5181="","",R5181*U5181/100)</f>
        <v/>
      </c>
      <c r="W5181" s="7">
        <f>IF($C5181="","",R5181-V5181)</f>
        <v/>
      </c>
      <c r="X5181" s="7">
        <f>IF($C5181="","",W5181-K5181)</f>
        <v/>
      </c>
      <c r="AB5181" s="7" t="n"/>
      <c r="AE5181" s="11" t="n"/>
      <c r="AG5181">
        <f>IF($C5181="","",IF(COUNTIF($C$2:$C5181,$C5181)=1,1,0))</f>
        <v/>
      </c>
      <c r="AH5181">
        <f>IF($AG5181=1,SUMPRODUCT(--($AK$2:$AK$6001&lt;$AK5181))+1,"")</f>
        <v/>
      </c>
      <c r="AI5181">
        <f>IF($C5181="","",IF(OR($N5181=TRUE(),$N5181="TRUE"),1,0))</f>
        <v/>
      </c>
      <c r="AJ5181">
        <f>IF($C5181="","",IF($T5181="Yes",1,0))</f>
        <v/>
      </c>
      <c r="AK5181">
        <f>IF($AG5181=1,IFERROR(IF(VALUE($C5181)&lt;100000000,VALUE($C5181),1000000000),IFERROR(IF(VALUE(MID($C5181,2,20))&lt;100000000,VALUE(MID($C5181,2,20)),1000000000),1000000000))+ROW()/100000,"")</f>
        <v/>
      </c>
    </row>
    <row r="5182">
      <c r="D5182" s="11" t="n"/>
      <c r="K5182" s="7">
        <f>IF($C5182="","",J5182*W5182/100)</f>
        <v/>
      </c>
      <c r="Q5182" s="7" t="n"/>
      <c r="R5182" s="7" t="n"/>
      <c r="U5182">
        <f>IF($C5182="","",IF($AJ5182=1,0,IF($AI5182=1,Settings!$C$6,Settings!$C$7))*100)</f>
        <v/>
      </c>
      <c r="V5182" s="7">
        <f>IF($C5182="","",R5182*U5182/100)</f>
        <v/>
      </c>
      <c r="W5182" s="7">
        <f>IF($C5182="","",R5182-V5182)</f>
        <v/>
      </c>
      <c r="X5182" s="7">
        <f>IF($C5182="","",W5182-K5182)</f>
        <v/>
      </c>
      <c r="AB5182" s="7" t="n"/>
      <c r="AE5182" s="11" t="n"/>
      <c r="AG5182">
        <f>IF($C5182="","",IF(COUNTIF($C$2:$C5182,$C5182)=1,1,0))</f>
        <v/>
      </c>
      <c r="AH5182">
        <f>IF($AG5182=1,SUMPRODUCT(--($AK$2:$AK$6001&lt;$AK5182))+1,"")</f>
        <v/>
      </c>
      <c r="AI5182">
        <f>IF($C5182="","",IF(OR($N5182=TRUE(),$N5182="TRUE"),1,0))</f>
        <v/>
      </c>
      <c r="AJ5182">
        <f>IF($C5182="","",IF($T5182="Yes",1,0))</f>
        <v/>
      </c>
      <c r="AK5182">
        <f>IF($AG5182=1,IFERROR(IF(VALUE($C5182)&lt;100000000,VALUE($C5182),1000000000),IFERROR(IF(VALUE(MID($C5182,2,20))&lt;100000000,VALUE(MID($C5182,2,20)),1000000000),1000000000))+ROW()/100000,"")</f>
        <v/>
      </c>
    </row>
    <row r="5183">
      <c r="D5183" s="11" t="n"/>
      <c r="K5183" s="7">
        <f>IF($C5183="","",J5183*W5183/100)</f>
        <v/>
      </c>
      <c r="Q5183" s="7" t="n"/>
      <c r="R5183" s="7" t="n"/>
      <c r="U5183">
        <f>IF($C5183="","",IF($AJ5183=1,0,IF($AI5183=1,Settings!$C$6,Settings!$C$7))*100)</f>
        <v/>
      </c>
      <c r="V5183" s="7">
        <f>IF($C5183="","",R5183*U5183/100)</f>
        <v/>
      </c>
      <c r="W5183" s="7">
        <f>IF($C5183="","",R5183-V5183)</f>
        <v/>
      </c>
      <c r="X5183" s="7">
        <f>IF($C5183="","",W5183-K5183)</f>
        <v/>
      </c>
      <c r="AB5183" s="7" t="n"/>
      <c r="AE5183" s="11" t="n"/>
      <c r="AG5183">
        <f>IF($C5183="","",IF(COUNTIF($C$2:$C5183,$C5183)=1,1,0))</f>
        <v/>
      </c>
      <c r="AH5183">
        <f>IF($AG5183=1,SUMPRODUCT(--($AK$2:$AK$6001&lt;$AK5183))+1,"")</f>
        <v/>
      </c>
      <c r="AI5183">
        <f>IF($C5183="","",IF(OR($N5183=TRUE(),$N5183="TRUE"),1,0))</f>
        <v/>
      </c>
      <c r="AJ5183">
        <f>IF($C5183="","",IF($T5183="Yes",1,0))</f>
        <v/>
      </c>
      <c r="AK5183">
        <f>IF($AG5183=1,IFERROR(IF(VALUE($C5183)&lt;100000000,VALUE($C5183),1000000000),IFERROR(IF(VALUE(MID($C5183,2,20))&lt;100000000,VALUE(MID($C5183,2,20)),1000000000),1000000000))+ROW()/100000,"")</f>
        <v/>
      </c>
    </row>
    <row r="5184">
      <c r="D5184" s="11" t="n"/>
      <c r="K5184" s="7">
        <f>IF($C5184="","",J5184*W5184/100)</f>
        <v/>
      </c>
      <c r="Q5184" s="7" t="n"/>
      <c r="R5184" s="7" t="n"/>
      <c r="U5184">
        <f>IF($C5184="","",IF($AJ5184=1,0,IF($AI5184=1,Settings!$C$6,Settings!$C$7))*100)</f>
        <v/>
      </c>
      <c r="V5184" s="7">
        <f>IF($C5184="","",R5184*U5184/100)</f>
        <v/>
      </c>
      <c r="W5184" s="7">
        <f>IF($C5184="","",R5184-V5184)</f>
        <v/>
      </c>
      <c r="X5184" s="7">
        <f>IF($C5184="","",W5184-K5184)</f>
        <v/>
      </c>
      <c r="AB5184" s="7" t="n"/>
      <c r="AE5184" s="11" t="n"/>
      <c r="AG5184">
        <f>IF($C5184="","",IF(COUNTIF($C$2:$C5184,$C5184)=1,1,0))</f>
        <v/>
      </c>
      <c r="AH5184">
        <f>IF($AG5184=1,SUMPRODUCT(--($AK$2:$AK$6001&lt;$AK5184))+1,"")</f>
        <v/>
      </c>
      <c r="AI5184">
        <f>IF($C5184="","",IF(OR($N5184=TRUE(),$N5184="TRUE"),1,0))</f>
        <v/>
      </c>
      <c r="AJ5184">
        <f>IF($C5184="","",IF($T5184="Yes",1,0))</f>
        <v/>
      </c>
      <c r="AK5184">
        <f>IF($AG5184=1,IFERROR(IF(VALUE($C5184)&lt;100000000,VALUE($C5184),1000000000),IFERROR(IF(VALUE(MID($C5184,2,20))&lt;100000000,VALUE(MID($C5184,2,20)),1000000000),1000000000))+ROW()/100000,"")</f>
        <v/>
      </c>
    </row>
    <row r="5185">
      <c r="D5185" s="11" t="n"/>
      <c r="K5185" s="7">
        <f>IF($C5185="","",J5185*W5185/100)</f>
        <v/>
      </c>
      <c r="Q5185" s="7" t="n"/>
      <c r="R5185" s="7" t="n"/>
      <c r="U5185">
        <f>IF($C5185="","",IF($AJ5185=1,0,IF($AI5185=1,Settings!$C$6,Settings!$C$7))*100)</f>
        <v/>
      </c>
      <c r="V5185" s="7">
        <f>IF($C5185="","",R5185*U5185/100)</f>
        <v/>
      </c>
      <c r="W5185" s="7">
        <f>IF($C5185="","",R5185-V5185)</f>
        <v/>
      </c>
      <c r="X5185" s="7">
        <f>IF($C5185="","",W5185-K5185)</f>
        <v/>
      </c>
      <c r="AB5185" s="7" t="n"/>
      <c r="AE5185" s="11" t="n"/>
      <c r="AG5185">
        <f>IF($C5185="","",IF(COUNTIF($C$2:$C5185,$C5185)=1,1,0))</f>
        <v/>
      </c>
      <c r="AH5185">
        <f>IF($AG5185=1,SUMPRODUCT(--($AK$2:$AK$6001&lt;$AK5185))+1,"")</f>
        <v/>
      </c>
      <c r="AI5185">
        <f>IF($C5185="","",IF(OR($N5185=TRUE(),$N5185="TRUE"),1,0))</f>
        <v/>
      </c>
      <c r="AJ5185">
        <f>IF($C5185="","",IF($T5185="Yes",1,0))</f>
        <v/>
      </c>
      <c r="AK5185">
        <f>IF($AG5185=1,IFERROR(IF(VALUE($C5185)&lt;100000000,VALUE($C5185),1000000000),IFERROR(IF(VALUE(MID($C5185,2,20))&lt;100000000,VALUE(MID($C5185,2,20)),1000000000),1000000000))+ROW()/100000,"")</f>
        <v/>
      </c>
    </row>
    <row r="5186">
      <c r="D5186" s="11" t="n"/>
      <c r="K5186" s="7">
        <f>IF($C5186="","",J5186*W5186/100)</f>
        <v/>
      </c>
      <c r="Q5186" s="7" t="n"/>
      <c r="R5186" s="7" t="n"/>
      <c r="U5186">
        <f>IF($C5186="","",IF($AJ5186=1,0,IF($AI5186=1,Settings!$C$6,Settings!$C$7))*100)</f>
        <v/>
      </c>
      <c r="V5186" s="7">
        <f>IF($C5186="","",R5186*U5186/100)</f>
        <v/>
      </c>
      <c r="W5186" s="7">
        <f>IF($C5186="","",R5186-V5186)</f>
        <v/>
      </c>
      <c r="X5186" s="7">
        <f>IF($C5186="","",W5186-K5186)</f>
        <v/>
      </c>
      <c r="AB5186" s="7" t="n"/>
      <c r="AE5186" s="11" t="n"/>
      <c r="AG5186">
        <f>IF($C5186="","",IF(COUNTIF($C$2:$C5186,$C5186)=1,1,0))</f>
        <v/>
      </c>
      <c r="AH5186">
        <f>IF($AG5186=1,SUMPRODUCT(--($AK$2:$AK$6001&lt;$AK5186))+1,"")</f>
        <v/>
      </c>
      <c r="AI5186">
        <f>IF($C5186="","",IF(OR($N5186=TRUE(),$N5186="TRUE"),1,0))</f>
        <v/>
      </c>
      <c r="AJ5186">
        <f>IF($C5186="","",IF($T5186="Yes",1,0))</f>
        <v/>
      </c>
      <c r="AK5186">
        <f>IF($AG5186=1,IFERROR(IF(VALUE($C5186)&lt;100000000,VALUE($C5186),1000000000),IFERROR(IF(VALUE(MID($C5186,2,20))&lt;100000000,VALUE(MID($C5186,2,20)),1000000000),1000000000))+ROW()/100000,"")</f>
        <v/>
      </c>
    </row>
    <row r="5187">
      <c r="D5187" s="11" t="n"/>
      <c r="K5187" s="7">
        <f>IF($C5187="","",J5187*W5187/100)</f>
        <v/>
      </c>
      <c r="Q5187" s="7" t="n"/>
      <c r="R5187" s="7" t="n"/>
      <c r="U5187">
        <f>IF($C5187="","",IF($AJ5187=1,0,IF($AI5187=1,Settings!$C$6,Settings!$C$7))*100)</f>
        <v/>
      </c>
      <c r="V5187" s="7">
        <f>IF($C5187="","",R5187*U5187/100)</f>
        <v/>
      </c>
      <c r="W5187" s="7">
        <f>IF($C5187="","",R5187-V5187)</f>
        <v/>
      </c>
      <c r="X5187" s="7">
        <f>IF($C5187="","",W5187-K5187)</f>
        <v/>
      </c>
      <c r="AB5187" s="7" t="n"/>
      <c r="AE5187" s="11" t="n"/>
      <c r="AG5187">
        <f>IF($C5187="","",IF(COUNTIF($C$2:$C5187,$C5187)=1,1,0))</f>
        <v/>
      </c>
      <c r="AH5187">
        <f>IF($AG5187=1,SUMPRODUCT(--($AK$2:$AK$6001&lt;$AK5187))+1,"")</f>
        <v/>
      </c>
      <c r="AI5187">
        <f>IF($C5187="","",IF(OR($N5187=TRUE(),$N5187="TRUE"),1,0))</f>
        <v/>
      </c>
      <c r="AJ5187">
        <f>IF($C5187="","",IF($T5187="Yes",1,0))</f>
        <v/>
      </c>
      <c r="AK5187">
        <f>IF($AG5187=1,IFERROR(IF(VALUE($C5187)&lt;100000000,VALUE($C5187),1000000000),IFERROR(IF(VALUE(MID($C5187,2,20))&lt;100000000,VALUE(MID($C5187,2,20)),1000000000),1000000000))+ROW()/100000,"")</f>
        <v/>
      </c>
    </row>
    <row r="5188">
      <c r="D5188" s="11" t="n"/>
      <c r="K5188" s="7">
        <f>IF($C5188="","",J5188*W5188/100)</f>
        <v/>
      </c>
      <c r="Q5188" s="7" t="n"/>
      <c r="R5188" s="7" t="n"/>
      <c r="U5188">
        <f>IF($C5188="","",IF($AJ5188=1,0,IF($AI5188=1,Settings!$C$6,Settings!$C$7))*100)</f>
        <v/>
      </c>
      <c r="V5188" s="7">
        <f>IF($C5188="","",R5188*U5188/100)</f>
        <v/>
      </c>
      <c r="W5188" s="7">
        <f>IF($C5188="","",R5188-V5188)</f>
        <v/>
      </c>
      <c r="X5188" s="7">
        <f>IF($C5188="","",W5188-K5188)</f>
        <v/>
      </c>
      <c r="AB5188" s="7" t="n"/>
      <c r="AE5188" s="11" t="n"/>
      <c r="AG5188">
        <f>IF($C5188="","",IF(COUNTIF($C$2:$C5188,$C5188)=1,1,0))</f>
        <v/>
      </c>
      <c r="AH5188">
        <f>IF($AG5188=1,SUMPRODUCT(--($AK$2:$AK$6001&lt;$AK5188))+1,"")</f>
        <v/>
      </c>
      <c r="AI5188">
        <f>IF($C5188="","",IF(OR($N5188=TRUE(),$N5188="TRUE"),1,0))</f>
        <v/>
      </c>
      <c r="AJ5188">
        <f>IF($C5188="","",IF($T5188="Yes",1,0))</f>
        <v/>
      </c>
      <c r="AK5188">
        <f>IF($AG5188=1,IFERROR(IF(VALUE($C5188)&lt;100000000,VALUE($C5188),1000000000),IFERROR(IF(VALUE(MID($C5188,2,20))&lt;100000000,VALUE(MID($C5188,2,20)),1000000000),1000000000))+ROW()/100000,"")</f>
        <v/>
      </c>
    </row>
    <row r="5189">
      <c r="D5189" s="11" t="n"/>
      <c r="K5189" s="7">
        <f>IF($C5189="","",J5189*W5189/100)</f>
        <v/>
      </c>
      <c r="Q5189" s="7" t="n"/>
      <c r="R5189" s="7" t="n"/>
      <c r="U5189">
        <f>IF($C5189="","",IF($AJ5189=1,0,IF($AI5189=1,Settings!$C$6,Settings!$C$7))*100)</f>
        <v/>
      </c>
      <c r="V5189" s="7">
        <f>IF($C5189="","",R5189*U5189/100)</f>
        <v/>
      </c>
      <c r="W5189" s="7">
        <f>IF($C5189="","",R5189-V5189)</f>
        <v/>
      </c>
      <c r="X5189" s="7">
        <f>IF($C5189="","",W5189-K5189)</f>
        <v/>
      </c>
      <c r="AB5189" s="7" t="n"/>
      <c r="AE5189" s="11" t="n"/>
      <c r="AG5189">
        <f>IF($C5189="","",IF(COUNTIF($C$2:$C5189,$C5189)=1,1,0))</f>
        <v/>
      </c>
      <c r="AH5189">
        <f>IF($AG5189=1,SUMPRODUCT(--($AK$2:$AK$6001&lt;$AK5189))+1,"")</f>
        <v/>
      </c>
      <c r="AI5189">
        <f>IF($C5189="","",IF(OR($N5189=TRUE(),$N5189="TRUE"),1,0))</f>
        <v/>
      </c>
      <c r="AJ5189">
        <f>IF($C5189="","",IF($T5189="Yes",1,0))</f>
        <v/>
      </c>
      <c r="AK5189">
        <f>IF($AG5189=1,IFERROR(IF(VALUE($C5189)&lt;100000000,VALUE($C5189),1000000000),IFERROR(IF(VALUE(MID($C5189,2,20))&lt;100000000,VALUE(MID($C5189,2,20)),1000000000),1000000000))+ROW()/100000,"")</f>
        <v/>
      </c>
    </row>
    <row r="5190">
      <c r="D5190" s="11" t="n"/>
      <c r="K5190" s="7">
        <f>IF($C5190="","",J5190*W5190/100)</f>
        <v/>
      </c>
      <c r="Q5190" s="7" t="n"/>
      <c r="R5190" s="7" t="n"/>
      <c r="U5190">
        <f>IF($C5190="","",IF($AJ5190=1,0,IF($AI5190=1,Settings!$C$6,Settings!$C$7))*100)</f>
        <v/>
      </c>
      <c r="V5190" s="7">
        <f>IF($C5190="","",R5190*U5190/100)</f>
        <v/>
      </c>
      <c r="W5190" s="7">
        <f>IF($C5190="","",R5190-V5190)</f>
        <v/>
      </c>
      <c r="X5190" s="7">
        <f>IF($C5190="","",W5190-K5190)</f>
        <v/>
      </c>
      <c r="AB5190" s="7" t="n"/>
      <c r="AE5190" s="11" t="n"/>
      <c r="AG5190">
        <f>IF($C5190="","",IF(COUNTIF($C$2:$C5190,$C5190)=1,1,0))</f>
        <v/>
      </c>
      <c r="AH5190">
        <f>IF($AG5190=1,SUMPRODUCT(--($AK$2:$AK$6001&lt;$AK5190))+1,"")</f>
        <v/>
      </c>
      <c r="AI5190">
        <f>IF($C5190="","",IF(OR($N5190=TRUE(),$N5190="TRUE"),1,0))</f>
        <v/>
      </c>
      <c r="AJ5190">
        <f>IF($C5190="","",IF($T5190="Yes",1,0))</f>
        <v/>
      </c>
      <c r="AK5190">
        <f>IF($AG5190=1,IFERROR(IF(VALUE($C5190)&lt;100000000,VALUE($C5190),1000000000),IFERROR(IF(VALUE(MID($C5190,2,20))&lt;100000000,VALUE(MID($C5190,2,20)),1000000000),1000000000))+ROW()/100000,"")</f>
        <v/>
      </c>
    </row>
    <row r="5191">
      <c r="D5191" s="11" t="n"/>
      <c r="K5191" s="7">
        <f>IF($C5191="","",J5191*W5191/100)</f>
        <v/>
      </c>
      <c r="Q5191" s="7" t="n"/>
      <c r="R5191" s="7" t="n"/>
      <c r="U5191">
        <f>IF($C5191="","",IF($AJ5191=1,0,IF($AI5191=1,Settings!$C$6,Settings!$C$7))*100)</f>
        <v/>
      </c>
      <c r="V5191" s="7">
        <f>IF($C5191="","",R5191*U5191/100)</f>
        <v/>
      </c>
      <c r="W5191" s="7">
        <f>IF($C5191="","",R5191-V5191)</f>
        <v/>
      </c>
      <c r="X5191" s="7">
        <f>IF($C5191="","",W5191-K5191)</f>
        <v/>
      </c>
      <c r="AB5191" s="7" t="n"/>
      <c r="AE5191" s="11" t="n"/>
      <c r="AG5191">
        <f>IF($C5191="","",IF(COUNTIF($C$2:$C5191,$C5191)=1,1,0))</f>
        <v/>
      </c>
      <c r="AH5191">
        <f>IF($AG5191=1,SUMPRODUCT(--($AK$2:$AK$6001&lt;$AK5191))+1,"")</f>
        <v/>
      </c>
      <c r="AI5191">
        <f>IF($C5191="","",IF(OR($N5191=TRUE(),$N5191="TRUE"),1,0))</f>
        <v/>
      </c>
      <c r="AJ5191">
        <f>IF($C5191="","",IF($T5191="Yes",1,0))</f>
        <v/>
      </c>
      <c r="AK5191">
        <f>IF($AG5191=1,IFERROR(IF(VALUE($C5191)&lt;100000000,VALUE($C5191),1000000000),IFERROR(IF(VALUE(MID($C5191,2,20))&lt;100000000,VALUE(MID($C5191,2,20)),1000000000),1000000000))+ROW()/100000,"")</f>
        <v/>
      </c>
    </row>
    <row r="5192">
      <c r="D5192" s="11" t="n"/>
      <c r="K5192" s="7">
        <f>IF($C5192="","",J5192*W5192/100)</f>
        <v/>
      </c>
      <c r="Q5192" s="7" t="n"/>
      <c r="R5192" s="7" t="n"/>
      <c r="U5192">
        <f>IF($C5192="","",IF($AJ5192=1,0,IF($AI5192=1,Settings!$C$6,Settings!$C$7))*100)</f>
        <v/>
      </c>
      <c r="V5192" s="7">
        <f>IF($C5192="","",R5192*U5192/100)</f>
        <v/>
      </c>
      <c r="W5192" s="7">
        <f>IF($C5192="","",R5192-V5192)</f>
        <v/>
      </c>
      <c r="X5192" s="7">
        <f>IF($C5192="","",W5192-K5192)</f>
        <v/>
      </c>
      <c r="AB5192" s="7" t="n"/>
      <c r="AE5192" s="11" t="n"/>
      <c r="AG5192">
        <f>IF($C5192="","",IF(COUNTIF($C$2:$C5192,$C5192)=1,1,0))</f>
        <v/>
      </c>
      <c r="AH5192">
        <f>IF($AG5192=1,SUMPRODUCT(--($AK$2:$AK$6001&lt;$AK5192))+1,"")</f>
        <v/>
      </c>
      <c r="AI5192">
        <f>IF($C5192="","",IF(OR($N5192=TRUE(),$N5192="TRUE"),1,0))</f>
        <v/>
      </c>
      <c r="AJ5192">
        <f>IF($C5192="","",IF($T5192="Yes",1,0))</f>
        <v/>
      </c>
      <c r="AK5192">
        <f>IF($AG5192=1,IFERROR(IF(VALUE($C5192)&lt;100000000,VALUE($C5192),1000000000),IFERROR(IF(VALUE(MID($C5192,2,20))&lt;100000000,VALUE(MID($C5192,2,20)),1000000000),1000000000))+ROW()/100000,"")</f>
        <v/>
      </c>
    </row>
    <row r="5193">
      <c r="D5193" s="11" t="n"/>
      <c r="K5193" s="7">
        <f>IF($C5193="","",J5193*W5193/100)</f>
        <v/>
      </c>
      <c r="Q5193" s="7" t="n"/>
      <c r="R5193" s="7" t="n"/>
      <c r="U5193">
        <f>IF($C5193="","",IF($AJ5193=1,0,IF($AI5193=1,Settings!$C$6,Settings!$C$7))*100)</f>
        <v/>
      </c>
      <c r="V5193" s="7">
        <f>IF($C5193="","",R5193*U5193/100)</f>
        <v/>
      </c>
      <c r="W5193" s="7">
        <f>IF($C5193="","",R5193-V5193)</f>
        <v/>
      </c>
      <c r="X5193" s="7">
        <f>IF($C5193="","",W5193-K5193)</f>
        <v/>
      </c>
      <c r="AB5193" s="7" t="n"/>
      <c r="AE5193" s="11" t="n"/>
      <c r="AG5193">
        <f>IF($C5193="","",IF(COUNTIF($C$2:$C5193,$C5193)=1,1,0))</f>
        <v/>
      </c>
      <c r="AH5193">
        <f>IF($AG5193=1,SUMPRODUCT(--($AK$2:$AK$6001&lt;$AK5193))+1,"")</f>
        <v/>
      </c>
      <c r="AI5193">
        <f>IF($C5193="","",IF(OR($N5193=TRUE(),$N5193="TRUE"),1,0))</f>
        <v/>
      </c>
      <c r="AJ5193">
        <f>IF($C5193="","",IF($T5193="Yes",1,0))</f>
        <v/>
      </c>
      <c r="AK5193">
        <f>IF($AG5193=1,IFERROR(IF(VALUE($C5193)&lt;100000000,VALUE($C5193),1000000000),IFERROR(IF(VALUE(MID($C5193,2,20))&lt;100000000,VALUE(MID($C5193,2,20)),1000000000),1000000000))+ROW()/100000,"")</f>
        <v/>
      </c>
    </row>
    <row r="5194">
      <c r="D5194" s="11" t="n"/>
      <c r="K5194" s="7">
        <f>IF($C5194="","",J5194*W5194/100)</f>
        <v/>
      </c>
      <c r="Q5194" s="7" t="n"/>
      <c r="R5194" s="7" t="n"/>
      <c r="U5194">
        <f>IF($C5194="","",IF($AJ5194=1,0,IF($AI5194=1,Settings!$C$6,Settings!$C$7))*100)</f>
        <v/>
      </c>
      <c r="V5194" s="7">
        <f>IF($C5194="","",R5194*U5194/100)</f>
        <v/>
      </c>
      <c r="W5194" s="7">
        <f>IF($C5194="","",R5194-V5194)</f>
        <v/>
      </c>
      <c r="X5194" s="7">
        <f>IF($C5194="","",W5194-K5194)</f>
        <v/>
      </c>
      <c r="AB5194" s="7" t="n"/>
      <c r="AE5194" s="11" t="n"/>
      <c r="AG5194">
        <f>IF($C5194="","",IF(COUNTIF($C$2:$C5194,$C5194)=1,1,0))</f>
        <v/>
      </c>
      <c r="AH5194">
        <f>IF($AG5194=1,SUMPRODUCT(--($AK$2:$AK$6001&lt;$AK5194))+1,"")</f>
        <v/>
      </c>
      <c r="AI5194">
        <f>IF($C5194="","",IF(OR($N5194=TRUE(),$N5194="TRUE"),1,0))</f>
        <v/>
      </c>
      <c r="AJ5194">
        <f>IF($C5194="","",IF($T5194="Yes",1,0))</f>
        <v/>
      </c>
      <c r="AK5194">
        <f>IF($AG5194=1,IFERROR(IF(VALUE($C5194)&lt;100000000,VALUE($C5194),1000000000),IFERROR(IF(VALUE(MID($C5194,2,20))&lt;100000000,VALUE(MID($C5194,2,20)),1000000000),1000000000))+ROW()/100000,"")</f>
        <v/>
      </c>
    </row>
    <row r="5195">
      <c r="D5195" s="11" t="n"/>
      <c r="K5195" s="7">
        <f>IF($C5195="","",J5195*W5195/100)</f>
        <v/>
      </c>
      <c r="Q5195" s="7" t="n"/>
      <c r="R5195" s="7" t="n"/>
      <c r="U5195">
        <f>IF($C5195="","",IF($AJ5195=1,0,IF($AI5195=1,Settings!$C$6,Settings!$C$7))*100)</f>
        <v/>
      </c>
      <c r="V5195" s="7">
        <f>IF($C5195="","",R5195*U5195/100)</f>
        <v/>
      </c>
      <c r="W5195" s="7">
        <f>IF($C5195="","",R5195-V5195)</f>
        <v/>
      </c>
      <c r="X5195" s="7">
        <f>IF($C5195="","",W5195-K5195)</f>
        <v/>
      </c>
      <c r="AB5195" s="7" t="n"/>
      <c r="AE5195" s="11" t="n"/>
      <c r="AG5195">
        <f>IF($C5195="","",IF(COUNTIF($C$2:$C5195,$C5195)=1,1,0))</f>
        <v/>
      </c>
      <c r="AH5195">
        <f>IF($AG5195=1,SUMPRODUCT(--($AK$2:$AK$6001&lt;$AK5195))+1,"")</f>
        <v/>
      </c>
      <c r="AI5195">
        <f>IF($C5195="","",IF(OR($N5195=TRUE(),$N5195="TRUE"),1,0))</f>
        <v/>
      </c>
      <c r="AJ5195">
        <f>IF($C5195="","",IF($T5195="Yes",1,0))</f>
        <v/>
      </c>
      <c r="AK5195">
        <f>IF($AG5195=1,IFERROR(IF(VALUE($C5195)&lt;100000000,VALUE($C5195),1000000000),IFERROR(IF(VALUE(MID($C5195,2,20))&lt;100000000,VALUE(MID($C5195,2,20)),1000000000),1000000000))+ROW()/100000,"")</f>
        <v/>
      </c>
    </row>
    <row r="5196">
      <c r="D5196" s="11" t="n"/>
      <c r="K5196" s="7">
        <f>IF($C5196="","",J5196*W5196/100)</f>
        <v/>
      </c>
      <c r="Q5196" s="7" t="n"/>
      <c r="R5196" s="7" t="n"/>
      <c r="U5196">
        <f>IF($C5196="","",IF($AJ5196=1,0,IF($AI5196=1,Settings!$C$6,Settings!$C$7))*100)</f>
        <v/>
      </c>
      <c r="V5196" s="7">
        <f>IF($C5196="","",R5196*U5196/100)</f>
        <v/>
      </c>
      <c r="W5196" s="7">
        <f>IF($C5196="","",R5196-V5196)</f>
        <v/>
      </c>
      <c r="X5196" s="7">
        <f>IF($C5196="","",W5196-K5196)</f>
        <v/>
      </c>
      <c r="AB5196" s="7" t="n"/>
      <c r="AE5196" s="11" t="n"/>
      <c r="AG5196">
        <f>IF($C5196="","",IF(COUNTIF($C$2:$C5196,$C5196)=1,1,0))</f>
        <v/>
      </c>
      <c r="AH5196">
        <f>IF($AG5196=1,SUMPRODUCT(--($AK$2:$AK$6001&lt;$AK5196))+1,"")</f>
        <v/>
      </c>
      <c r="AI5196">
        <f>IF($C5196="","",IF(OR($N5196=TRUE(),$N5196="TRUE"),1,0))</f>
        <v/>
      </c>
      <c r="AJ5196">
        <f>IF($C5196="","",IF($T5196="Yes",1,0))</f>
        <v/>
      </c>
      <c r="AK5196">
        <f>IF($AG5196=1,IFERROR(IF(VALUE($C5196)&lt;100000000,VALUE($C5196),1000000000),IFERROR(IF(VALUE(MID($C5196,2,20))&lt;100000000,VALUE(MID($C5196,2,20)),1000000000),1000000000))+ROW()/100000,"")</f>
        <v/>
      </c>
    </row>
    <row r="5197">
      <c r="D5197" s="11" t="n"/>
      <c r="K5197" s="7">
        <f>IF($C5197="","",J5197*W5197/100)</f>
        <v/>
      </c>
      <c r="Q5197" s="7" t="n"/>
      <c r="R5197" s="7" t="n"/>
      <c r="U5197">
        <f>IF($C5197="","",IF($AJ5197=1,0,IF($AI5197=1,Settings!$C$6,Settings!$C$7))*100)</f>
        <v/>
      </c>
      <c r="V5197" s="7">
        <f>IF($C5197="","",R5197*U5197/100)</f>
        <v/>
      </c>
      <c r="W5197" s="7">
        <f>IF($C5197="","",R5197-V5197)</f>
        <v/>
      </c>
      <c r="X5197" s="7">
        <f>IF($C5197="","",W5197-K5197)</f>
        <v/>
      </c>
      <c r="AB5197" s="7" t="n"/>
      <c r="AE5197" s="11" t="n"/>
      <c r="AG5197">
        <f>IF($C5197="","",IF(COUNTIF($C$2:$C5197,$C5197)=1,1,0))</f>
        <v/>
      </c>
      <c r="AH5197">
        <f>IF($AG5197=1,SUMPRODUCT(--($AK$2:$AK$6001&lt;$AK5197))+1,"")</f>
        <v/>
      </c>
      <c r="AI5197">
        <f>IF($C5197="","",IF(OR($N5197=TRUE(),$N5197="TRUE"),1,0))</f>
        <v/>
      </c>
      <c r="AJ5197">
        <f>IF($C5197="","",IF($T5197="Yes",1,0))</f>
        <v/>
      </c>
      <c r="AK5197">
        <f>IF($AG5197=1,IFERROR(IF(VALUE($C5197)&lt;100000000,VALUE($C5197),1000000000),IFERROR(IF(VALUE(MID($C5197,2,20))&lt;100000000,VALUE(MID($C5197,2,20)),1000000000),1000000000))+ROW()/100000,"")</f>
        <v/>
      </c>
    </row>
    <row r="5198">
      <c r="D5198" s="11" t="n"/>
      <c r="K5198" s="7">
        <f>IF($C5198="","",J5198*W5198/100)</f>
        <v/>
      </c>
      <c r="Q5198" s="7" t="n"/>
      <c r="R5198" s="7" t="n"/>
      <c r="U5198">
        <f>IF($C5198="","",IF($AJ5198=1,0,IF($AI5198=1,Settings!$C$6,Settings!$C$7))*100)</f>
        <v/>
      </c>
      <c r="V5198" s="7">
        <f>IF($C5198="","",R5198*U5198/100)</f>
        <v/>
      </c>
      <c r="W5198" s="7">
        <f>IF($C5198="","",R5198-V5198)</f>
        <v/>
      </c>
      <c r="X5198" s="7">
        <f>IF($C5198="","",W5198-K5198)</f>
        <v/>
      </c>
      <c r="AB5198" s="7" t="n"/>
      <c r="AE5198" s="11" t="n"/>
      <c r="AG5198">
        <f>IF($C5198="","",IF(COUNTIF($C$2:$C5198,$C5198)=1,1,0))</f>
        <v/>
      </c>
      <c r="AH5198">
        <f>IF($AG5198=1,SUMPRODUCT(--($AK$2:$AK$6001&lt;$AK5198))+1,"")</f>
        <v/>
      </c>
      <c r="AI5198">
        <f>IF($C5198="","",IF(OR($N5198=TRUE(),$N5198="TRUE"),1,0))</f>
        <v/>
      </c>
      <c r="AJ5198">
        <f>IF($C5198="","",IF($T5198="Yes",1,0))</f>
        <v/>
      </c>
      <c r="AK5198">
        <f>IF($AG5198=1,IFERROR(IF(VALUE($C5198)&lt;100000000,VALUE($C5198),1000000000),IFERROR(IF(VALUE(MID($C5198,2,20))&lt;100000000,VALUE(MID($C5198,2,20)),1000000000),1000000000))+ROW()/100000,"")</f>
        <v/>
      </c>
    </row>
    <row r="5199">
      <c r="D5199" s="11" t="n"/>
      <c r="K5199" s="7">
        <f>IF($C5199="","",J5199*W5199/100)</f>
        <v/>
      </c>
      <c r="Q5199" s="7" t="n"/>
      <c r="R5199" s="7" t="n"/>
      <c r="U5199">
        <f>IF($C5199="","",IF($AJ5199=1,0,IF($AI5199=1,Settings!$C$6,Settings!$C$7))*100)</f>
        <v/>
      </c>
      <c r="V5199" s="7">
        <f>IF($C5199="","",R5199*U5199/100)</f>
        <v/>
      </c>
      <c r="W5199" s="7">
        <f>IF($C5199="","",R5199-V5199)</f>
        <v/>
      </c>
      <c r="X5199" s="7">
        <f>IF($C5199="","",W5199-K5199)</f>
        <v/>
      </c>
      <c r="AB5199" s="7" t="n"/>
      <c r="AE5199" s="11" t="n"/>
      <c r="AG5199">
        <f>IF($C5199="","",IF(COUNTIF($C$2:$C5199,$C5199)=1,1,0))</f>
        <v/>
      </c>
      <c r="AH5199">
        <f>IF($AG5199=1,SUMPRODUCT(--($AK$2:$AK$6001&lt;$AK5199))+1,"")</f>
        <v/>
      </c>
      <c r="AI5199">
        <f>IF($C5199="","",IF(OR($N5199=TRUE(),$N5199="TRUE"),1,0))</f>
        <v/>
      </c>
      <c r="AJ5199">
        <f>IF($C5199="","",IF($T5199="Yes",1,0))</f>
        <v/>
      </c>
      <c r="AK5199">
        <f>IF($AG5199=1,IFERROR(IF(VALUE($C5199)&lt;100000000,VALUE($C5199),1000000000),IFERROR(IF(VALUE(MID($C5199,2,20))&lt;100000000,VALUE(MID($C5199,2,20)),1000000000),1000000000))+ROW()/100000,"")</f>
        <v/>
      </c>
    </row>
    <row r="5200">
      <c r="D5200" s="11" t="n"/>
      <c r="K5200" s="7">
        <f>IF($C5200="","",J5200*W5200/100)</f>
        <v/>
      </c>
      <c r="Q5200" s="7" t="n"/>
      <c r="R5200" s="7" t="n"/>
      <c r="U5200">
        <f>IF($C5200="","",IF($AJ5200=1,0,IF($AI5200=1,Settings!$C$6,Settings!$C$7))*100)</f>
        <v/>
      </c>
      <c r="V5200" s="7">
        <f>IF($C5200="","",R5200*U5200/100)</f>
        <v/>
      </c>
      <c r="W5200" s="7">
        <f>IF($C5200="","",R5200-V5200)</f>
        <v/>
      </c>
      <c r="X5200" s="7">
        <f>IF($C5200="","",W5200-K5200)</f>
        <v/>
      </c>
      <c r="AB5200" s="7" t="n"/>
      <c r="AE5200" s="11" t="n"/>
      <c r="AG5200">
        <f>IF($C5200="","",IF(COUNTIF($C$2:$C5200,$C5200)=1,1,0))</f>
        <v/>
      </c>
      <c r="AH5200">
        <f>IF($AG5200=1,SUMPRODUCT(--($AK$2:$AK$6001&lt;$AK5200))+1,"")</f>
        <v/>
      </c>
      <c r="AI5200">
        <f>IF($C5200="","",IF(OR($N5200=TRUE(),$N5200="TRUE"),1,0))</f>
        <v/>
      </c>
      <c r="AJ5200">
        <f>IF($C5200="","",IF($T5200="Yes",1,0))</f>
        <v/>
      </c>
      <c r="AK5200">
        <f>IF($AG5200=1,IFERROR(IF(VALUE($C5200)&lt;100000000,VALUE($C5200),1000000000),IFERROR(IF(VALUE(MID($C5200,2,20))&lt;100000000,VALUE(MID($C5200,2,20)),1000000000),1000000000))+ROW()/100000,"")</f>
        <v/>
      </c>
    </row>
    <row r="5201">
      <c r="D5201" s="11" t="n"/>
      <c r="K5201" s="7">
        <f>IF($C5201="","",J5201*W5201/100)</f>
        <v/>
      </c>
      <c r="Q5201" s="7" t="n"/>
      <c r="R5201" s="7" t="n"/>
      <c r="U5201">
        <f>IF($C5201="","",IF($AJ5201=1,0,IF($AI5201=1,Settings!$C$6,Settings!$C$7))*100)</f>
        <v/>
      </c>
      <c r="V5201" s="7">
        <f>IF($C5201="","",R5201*U5201/100)</f>
        <v/>
      </c>
      <c r="W5201" s="7">
        <f>IF($C5201="","",R5201-V5201)</f>
        <v/>
      </c>
      <c r="X5201" s="7">
        <f>IF($C5201="","",W5201-K5201)</f>
        <v/>
      </c>
      <c r="AB5201" s="7" t="n"/>
      <c r="AE5201" s="11" t="n"/>
      <c r="AG5201">
        <f>IF($C5201="","",IF(COUNTIF($C$2:$C5201,$C5201)=1,1,0))</f>
        <v/>
      </c>
      <c r="AH5201">
        <f>IF($AG5201=1,SUMPRODUCT(--($AK$2:$AK$6001&lt;$AK5201))+1,"")</f>
        <v/>
      </c>
      <c r="AI5201">
        <f>IF($C5201="","",IF(OR($N5201=TRUE(),$N5201="TRUE"),1,0))</f>
        <v/>
      </c>
      <c r="AJ5201">
        <f>IF($C5201="","",IF($T5201="Yes",1,0))</f>
        <v/>
      </c>
      <c r="AK5201">
        <f>IF($AG5201=1,IFERROR(IF(VALUE($C5201)&lt;100000000,VALUE($C5201),1000000000),IFERROR(IF(VALUE(MID($C5201,2,20))&lt;100000000,VALUE(MID($C5201,2,20)),1000000000),1000000000))+ROW()/100000,"")</f>
        <v/>
      </c>
    </row>
    <row r="5202">
      <c r="D5202" s="11" t="n"/>
      <c r="K5202" s="7">
        <f>IF($C5202="","",J5202*W5202/100)</f>
        <v/>
      </c>
      <c r="Q5202" s="7" t="n"/>
      <c r="R5202" s="7" t="n"/>
      <c r="U5202">
        <f>IF($C5202="","",IF($AJ5202=1,0,IF($AI5202=1,Settings!$C$6,Settings!$C$7))*100)</f>
        <v/>
      </c>
      <c r="V5202" s="7">
        <f>IF($C5202="","",R5202*U5202/100)</f>
        <v/>
      </c>
      <c r="W5202" s="7">
        <f>IF($C5202="","",R5202-V5202)</f>
        <v/>
      </c>
      <c r="X5202" s="7">
        <f>IF($C5202="","",W5202-K5202)</f>
        <v/>
      </c>
      <c r="AB5202" s="7" t="n"/>
      <c r="AE5202" s="11" t="n"/>
      <c r="AG5202">
        <f>IF($C5202="","",IF(COUNTIF($C$2:$C5202,$C5202)=1,1,0))</f>
        <v/>
      </c>
      <c r="AH5202">
        <f>IF($AG5202=1,SUMPRODUCT(--($AK$2:$AK$6001&lt;$AK5202))+1,"")</f>
        <v/>
      </c>
      <c r="AI5202">
        <f>IF($C5202="","",IF(OR($N5202=TRUE(),$N5202="TRUE"),1,0))</f>
        <v/>
      </c>
      <c r="AJ5202">
        <f>IF($C5202="","",IF($T5202="Yes",1,0))</f>
        <v/>
      </c>
      <c r="AK5202">
        <f>IF($AG5202=1,IFERROR(IF(VALUE($C5202)&lt;100000000,VALUE($C5202),1000000000),IFERROR(IF(VALUE(MID($C5202,2,20))&lt;100000000,VALUE(MID($C5202,2,20)),1000000000),1000000000))+ROW()/100000,"")</f>
        <v/>
      </c>
    </row>
    <row r="5203">
      <c r="D5203" s="11" t="n"/>
      <c r="K5203" s="7">
        <f>IF($C5203="","",J5203*W5203/100)</f>
        <v/>
      </c>
      <c r="Q5203" s="7" t="n"/>
      <c r="R5203" s="7" t="n"/>
      <c r="U5203">
        <f>IF($C5203="","",IF($AJ5203=1,0,IF($AI5203=1,Settings!$C$6,Settings!$C$7))*100)</f>
        <v/>
      </c>
      <c r="V5203" s="7">
        <f>IF($C5203="","",R5203*U5203/100)</f>
        <v/>
      </c>
      <c r="W5203" s="7">
        <f>IF($C5203="","",R5203-V5203)</f>
        <v/>
      </c>
      <c r="X5203" s="7">
        <f>IF($C5203="","",W5203-K5203)</f>
        <v/>
      </c>
      <c r="AB5203" s="7" t="n"/>
      <c r="AE5203" s="11" t="n"/>
      <c r="AG5203">
        <f>IF($C5203="","",IF(COUNTIF($C$2:$C5203,$C5203)=1,1,0))</f>
        <v/>
      </c>
      <c r="AH5203">
        <f>IF($AG5203=1,SUMPRODUCT(--($AK$2:$AK$6001&lt;$AK5203))+1,"")</f>
        <v/>
      </c>
      <c r="AI5203">
        <f>IF($C5203="","",IF(OR($N5203=TRUE(),$N5203="TRUE"),1,0))</f>
        <v/>
      </c>
      <c r="AJ5203">
        <f>IF($C5203="","",IF($T5203="Yes",1,0))</f>
        <v/>
      </c>
      <c r="AK5203">
        <f>IF($AG5203=1,IFERROR(IF(VALUE($C5203)&lt;100000000,VALUE($C5203),1000000000),IFERROR(IF(VALUE(MID($C5203,2,20))&lt;100000000,VALUE(MID($C5203,2,20)),1000000000),1000000000))+ROW()/100000,"")</f>
        <v/>
      </c>
    </row>
    <row r="5204">
      <c r="D5204" s="11" t="n"/>
      <c r="K5204" s="7">
        <f>IF($C5204="","",J5204*W5204/100)</f>
        <v/>
      </c>
      <c r="Q5204" s="7" t="n"/>
      <c r="R5204" s="7" t="n"/>
      <c r="U5204">
        <f>IF($C5204="","",IF($AJ5204=1,0,IF($AI5204=1,Settings!$C$6,Settings!$C$7))*100)</f>
        <v/>
      </c>
      <c r="V5204" s="7">
        <f>IF($C5204="","",R5204*U5204/100)</f>
        <v/>
      </c>
      <c r="W5204" s="7">
        <f>IF($C5204="","",R5204-V5204)</f>
        <v/>
      </c>
      <c r="X5204" s="7">
        <f>IF($C5204="","",W5204-K5204)</f>
        <v/>
      </c>
      <c r="AB5204" s="7" t="n"/>
      <c r="AE5204" s="11" t="n"/>
      <c r="AG5204">
        <f>IF($C5204="","",IF(COUNTIF($C$2:$C5204,$C5204)=1,1,0))</f>
        <v/>
      </c>
      <c r="AH5204">
        <f>IF($AG5204=1,SUMPRODUCT(--($AK$2:$AK$6001&lt;$AK5204))+1,"")</f>
        <v/>
      </c>
      <c r="AI5204">
        <f>IF($C5204="","",IF(OR($N5204=TRUE(),$N5204="TRUE"),1,0))</f>
        <v/>
      </c>
      <c r="AJ5204">
        <f>IF($C5204="","",IF($T5204="Yes",1,0))</f>
        <v/>
      </c>
      <c r="AK5204">
        <f>IF($AG5204=1,IFERROR(IF(VALUE($C5204)&lt;100000000,VALUE($C5204),1000000000),IFERROR(IF(VALUE(MID($C5204,2,20))&lt;100000000,VALUE(MID($C5204,2,20)),1000000000),1000000000))+ROW()/100000,"")</f>
        <v/>
      </c>
    </row>
    <row r="5205">
      <c r="D5205" s="11" t="n"/>
      <c r="K5205" s="7">
        <f>IF($C5205="","",J5205*W5205/100)</f>
        <v/>
      </c>
      <c r="Q5205" s="7" t="n"/>
      <c r="R5205" s="7" t="n"/>
      <c r="U5205">
        <f>IF($C5205="","",IF($AJ5205=1,0,IF($AI5205=1,Settings!$C$6,Settings!$C$7))*100)</f>
        <v/>
      </c>
      <c r="V5205" s="7">
        <f>IF($C5205="","",R5205*U5205/100)</f>
        <v/>
      </c>
      <c r="W5205" s="7">
        <f>IF($C5205="","",R5205-V5205)</f>
        <v/>
      </c>
      <c r="X5205" s="7">
        <f>IF($C5205="","",W5205-K5205)</f>
        <v/>
      </c>
      <c r="AB5205" s="7" t="n"/>
      <c r="AE5205" s="11" t="n"/>
      <c r="AG5205">
        <f>IF($C5205="","",IF(COUNTIF($C$2:$C5205,$C5205)=1,1,0))</f>
        <v/>
      </c>
      <c r="AH5205">
        <f>IF($AG5205=1,SUMPRODUCT(--($AK$2:$AK$6001&lt;$AK5205))+1,"")</f>
        <v/>
      </c>
      <c r="AI5205">
        <f>IF($C5205="","",IF(OR($N5205=TRUE(),$N5205="TRUE"),1,0))</f>
        <v/>
      </c>
      <c r="AJ5205">
        <f>IF($C5205="","",IF($T5205="Yes",1,0))</f>
        <v/>
      </c>
      <c r="AK5205">
        <f>IF($AG5205=1,IFERROR(IF(VALUE($C5205)&lt;100000000,VALUE($C5205),1000000000),IFERROR(IF(VALUE(MID($C5205,2,20))&lt;100000000,VALUE(MID($C5205,2,20)),1000000000),1000000000))+ROW()/100000,"")</f>
        <v/>
      </c>
    </row>
    <row r="5206">
      <c r="D5206" s="11" t="n"/>
      <c r="K5206" s="7">
        <f>IF($C5206="","",J5206*W5206/100)</f>
        <v/>
      </c>
      <c r="Q5206" s="7" t="n"/>
      <c r="R5206" s="7" t="n"/>
      <c r="U5206">
        <f>IF($C5206="","",IF($AJ5206=1,0,IF($AI5206=1,Settings!$C$6,Settings!$C$7))*100)</f>
        <v/>
      </c>
      <c r="V5206" s="7">
        <f>IF($C5206="","",R5206*U5206/100)</f>
        <v/>
      </c>
      <c r="W5206" s="7">
        <f>IF($C5206="","",R5206-V5206)</f>
        <v/>
      </c>
      <c r="X5206" s="7">
        <f>IF($C5206="","",W5206-K5206)</f>
        <v/>
      </c>
      <c r="AB5206" s="7" t="n"/>
      <c r="AE5206" s="11" t="n"/>
      <c r="AG5206">
        <f>IF($C5206="","",IF(COUNTIF($C$2:$C5206,$C5206)=1,1,0))</f>
        <v/>
      </c>
      <c r="AH5206">
        <f>IF($AG5206=1,SUMPRODUCT(--($AK$2:$AK$6001&lt;$AK5206))+1,"")</f>
        <v/>
      </c>
      <c r="AI5206">
        <f>IF($C5206="","",IF(OR($N5206=TRUE(),$N5206="TRUE"),1,0))</f>
        <v/>
      </c>
      <c r="AJ5206">
        <f>IF($C5206="","",IF($T5206="Yes",1,0))</f>
        <v/>
      </c>
      <c r="AK5206">
        <f>IF($AG5206=1,IFERROR(IF(VALUE($C5206)&lt;100000000,VALUE($C5206),1000000000),IFERROR(IF(VALUE(MID($C5206,2,20))&lt;100000000,VALUE(MID($C5206,2,20)),1000000000),1000000000))+ROW()/100000,"")</f>
        <v/>
      </c>
    </row>
    <row r="5207">
      <c r="D5207" s="11" t="n"/>
      <c r="K5207" s="7">
        <f>IF($C5207="","",J5207*W5207/100)</f>
        <v/>
      </c>
      <c r="Q5207" s="7" t="n"/>
      <c r="R5207" s="7" t="n"/>
      <c r="U5207">
        <f>IF($C5207="","",IF($AJ5207=1,0,IF($AI5207=1,Settings!$C$6,Settings!$C$7))*100)</f>
        <v/>
      </c>
      <c r="V5207" s="7">
        <f>IF($C5207="","",R5207*U5207/100)</f>
        <v/>
      </c>
      <c r="W5207" s="7">
        <f>IF($C5207="","",R5207-V5207)</f>
        <v/>
      </c>
      <c r="X5207" s="7">
        <f>IF($C5207="","",W5207-K5207)</f>
        <v/>
      </c>
      <c r="AB5207" s="7" t="n"/>
      <c r="AE5207" s="11" t="n"/>
      <c r="AG5207">
        <f>IF($C5207="","",IF(COUNTIF($C$2:$C5207,$C5207)=1,1,0))</f>
        <v/>
      </c>
      <c r="AH5207">
        <f>IF($AG5207=1,SUMPRODUCT(--($AK$2:$AK$6001&lt;$AK5207))+1,"")</f>
        <v/>
      </c>
      <c r="AI5207">
        <f>IF($C5207="","",IF(OR($N5207=TRUE(),$N5207="TRUE"),1,0))</f>
        <v/>
      </c>
      <c r="AJ5207">
        <f>IF($C5207="","",IF($T5207="Yes",1,0))</f>
        <v/>
      </c>
      <c r="AK5207">
        <f>IF($AG5207=1,IFERROR(IF(VALUE($C5207)&lt;100000000,VALUE($C5207),1000000000),IFERROR(IF(VALUE(MID($C5207,2,20))&lt;100000000,VALUE(MID($C5207,2,20)),1000000000),1000000000))+ROW()/100000,"")</f>
        <v/>
      </c>
    </row>
    <row r="5208">
      <c r="D5208" s="11" t="n"/>
      <c r="K5208" s="7">
        <f>IF($C5208="","",J5208*W5208/100)</f>
        <v/>
      </c>
      <c r="Q5208" s="7" t="n"/>
      <c r="R5208" s="7" t="n"/>
      <c r="U5208">
        <f>IF($C5208="","",IF($AJ5208=1,0,IF($AI5208=1,Settings!$C$6,Settings!$C$7))*100)</f>
        <v/>
      </c>
      <c r="V5208" s="7">
        <f>IF($C5208="","",R5208*U5208/100)</f>
        <v/>
      </c>
      <c r="W5208" s="7">
        <f>IF($C5208="","",R5208-V5208)</f>
        <v/>
      </c>
      <c r="X5208" s="7">
        <f>IF($C5208="","",W5208-K5208)</f>
        <v/>
      </c>
      <c r="AB5208" s="7" t="n"/>
      <c r="AE5208" s="11" t="n"/>
      <c r="AG5208">
        <f>IF($C5208="","",IF(COUNTIF($C$2:$C5208,$C5208)=1,1,0))</f>
        <v/>
      </c>
      <c r="AH5208">
        <f>IF($AG5208=1,SUMPRODUCT(--($AK$2:$AK$6001&lt;$AK5208))+1,"")</f>
        <v/>
      </c>
      <c r="AI5208">
        <f>IF($C5208="","",IF(OR($N5208=TRUE(),$N5208="TRUE"),1,0))</f>
        <v/>
      </c>
      <c r="AJ5208">
        <f>IF($C5208="","",IF($T5208="Yes",1,0))</f>
        <v/>
      </c>
      <c r="AK5208">
        <f>IF($AG5208=1,IFERROR(IF(VALUE($C5208)&lt;100000000,VALUE($C5208),1000000000),IFERROR(IF(VALUE(MID($C5208,2,20))&lt;100000000,VALUE(MID($C5208,2,20)),1000000000),1000000000))+ROW()/100000,"")</f>
        <v/>
      </c>
    </row>
    <row r="5209">
      <c r="D5209" s="11" t="n"/>
      <c r="K5209" s="7">
        <f>IF($C5209="","",J5209*W5209/100)</f>
        <v/>
      </c>
      <c r="Q5209" s="7" t="n"/>
      <c r="R5209" s="7" t="n"/>
      <c r="U5209">
        <f>IF($C5209="","",IF($AJ5209=1,0,IF($AI5209=1,Settings!$C$6,Settings!$C$7))*100)</f>
        <v/>
      </c>
      <c r="V5209" s="7">
        <f>IF($C5209="","",R5209*U5209/100)</f>
        <v/>
      </c>
      <c r="W5209" s="7">
        <f>IF($C5209="","",R5209-V5209)</f>
        <v/>
      </c>
      <c r="X5209" s="7">
        <f>IF($C5209="","",W5209-K5209)</f>
        <v/>
      </c>
      <c r="AB5209" s="7" t="n"/>
      <c r="AE5209" s="11" t="n"/>
      <c r="AG5209">
        <f>IF($C5209="","",IF(COUNTIF($C$2:$C5209,$C5209)=1,1,0))</f>
        <v/>
      </c>
      <c r="AH5209">
        <f>IF($AG5209=1,SUMPRODUCT(--($AK$2:$AK$6001&lt;$AK5209))+1,"")</f>
        <v/>
      </c>
      <c r="AI5209">
        <f>IF($C5209="","",IF(OR($N5209=TRUE(),$N5209="TRUE"),1,0))</f>
        <v/>
      </c>
      <c r="AJ5209">
        <f>IF($C5209="","",IF($T5209="Yes",1,0))</f>
        <v/>
      </c>
      <c r="AK5209">
        <f>IF($AG5209=1,IFERROR(IF(VALUE($C5209)&lt;100000000,VALUE($C5209),1000000000),IFERROR(IF(VALUE(MID($C5209,2,20))&lt;100000000,VALUE(MID($C5209,2,20)),1000000000),1000000000))+ROW()/100000,"")</f>
        <v/>
      </c>
    </row>
    <row r="5210">
      <c r="D5210" s="11" t="n"/>
      <c r="K5210" s="7">
        <f>IF($C5210="","",J5210*W5210/100)</f>
        <v/>
      </c>
      <c r="Q5210" s="7" t="n"/>
      <c r="R5210" s="7" t="n"/>
      <c r="U5210">
        <f>IF($C5210="","",IF($AJ5210=1,0,IF($AI5210=1,Settings!$C$6,Settings!$C$7))*100)</f>
        <v/>
      </c>
      <c r="V5210" s="7">
        <f>IF($C5210="","",R5210*U5210/100)</f>
        <v/>
      </c>
      <c r="W5210" s="7">
        <f>IF($C5210="","",R5210-V5210)</f>
        <v/>
      </c>
      <c r="X5210" s="7">
        <f>IF($C5210="","",W5210-K5210)</f>
        <v/>
      </c>
      <c r="AB5210" s="7" t="n"/>
      <c r="AE5210" s="11" t="n"/>
      <c r="AG5210">
        <f>IF($C5210="","",IF(COUNTIF($C$2:$C5210,$C5210)=1,1,0))</f>
        <v/>
      </c>
      <c r="AH5210">
        <f>IF($AG5210=1,SUMPRODUCT(--($AK$2:$AK$6001&lt;$AK5210))+1,"")</f>
        <v/>
      </c>
      <c r="AI5210">
        <f>IF($C5210="","",IF(OR($N5210=TRUE(),$N5210="TRUE"),1,0))</f>
        <v/>
      </c>
      <c r="AJ5210">
        <f>IF($C5210="","",IF($T5210="Yes",1,0))</f>
        <v/>
      </c>
      <c r="AK5210">
        <f>IF($AG5210=1,IFERROR(IF(VALUE($C5210)&lt;100000000,VALUE($C5210),1000000000),IFERROR(IF(VALUE(MID($C5210,2,20))&lt;100000000,VALUE(MID($C5210,2,20)),1000000000),1000000000))+ROW()/100000,"")</f>
        <v/>
      </c>
    </row>
    <row r="5211">
      <c r="D5211" s="11" t="n"/>
      <c r="K5211" s="7">
        <f>IF($C5211="","",J5211*W5211/100)</f>
        <v/>
      </c>
      <c r="Q5211" s="7" t="n"/>
      <c r="R5211" s="7" t="n"/>
      <c r="U5211">
        <f>IF($C5211="","",IF($AJ5211=1,0,IF($AI5211=1,Settings!$C$6,Settings!$C$7))*100)</f>
        <v/>
      </c>
      <c r="V5211" s="7">
        <f>IF($C5211="","",R5211*U5211/100)</f>
        <v/>
      </c>
      <c r="W5211" s="7">
        <f>IF($C5211="","",R5211-V5211)</f>
        <v/>
      </c>
      <c r="X5211" s="7">
        <f>IF($C5211="","",W5211-K5211)</f>
        <v/>
      </c>
      <c r="AB5211" s="7" t="n"/>
      <c r="AE5211" s="11" t="n"/>
      <c r="AG5211">
        <f>IF($C5211="","",IF(COUNTIF($C$2:$C5211,$C5211)=1,1,0))</f>
        <v/>
      </c>
      <c r="AH5211">
        <f>IF($AG5211=1,SUMPRODUCT(--($AK$2:$AK$6001&lt;$AK5211))+1,"")</f>
        <v/>
      </c>
      <c r="AI5211">
        <f>IF($C5211="","",IF(OR($N5211=TRUE(),$N5211="TRUE"),1,0))</f>
        <v/>
      </c>
      <c r="AJ5211">
        <f>IF($C5211="","",IF($T5211="Yes",1,0))</f>
        <v/>
      </c>
      <c r="AK5211">
        <f>IF($AG5211=1,IFERROR(IF(VALUE($C5211)&lt;100000000,VALUE($C5211),1000000000),IFERROR(IF(VALUE(MID($C5211,2,20))&lt;100000000,VALUE(MID($C5211,2,20)),1000000000),1000000000))+ROW()/100000,"")</f>
        <v/>
      </c>
    </row>
    <row r="5212">
      <c r="D5212" s="11" t="n"/>
      <c r="K5212" s="7">
        <f>IF($C5212="","",J5212*W5212/100)</f>
        <v/>
      </c>
      <c r="Q5212" s="7" t="n"/>
      <c r="R5212" s="7" t="n"/>
      <c r="U5212">
        <f>IF($C5212="","",IF($AJ5212=1,0,IF($AI5212=1,Settings!$C$6,Settings!$C$7))*100)</f>
        <v/>
      </c>
      <c r="V5212" s="7">
        <f>IF($C5212="","",R5212*U5212/100)</f>
        <v/>
      </c>
      <c r="W5212" s="7">
        <f>IF($C5212="","",R5212-V5212)</f>
        <v/>
      </c>
      <c r="X5212" s="7">
        <f>IF($C5212="","",W5212-K5212)</f>
        <v/>
      </c>
      <c r="AB5212" s="7" t="n"/>
      <c r="AE5212" s="11" t="n"/>
      <c r="AG5212">
        <f>IF($C5212="","",IF(COUNTIF($C$2:$C5212,$C5212)=1,1,0))</f>
        <v/>
      </c>
      <c r="AH5212">
        <f>IF($AG5212=1,SUMPRODUCT(--($AK$2:$AK$6001&lt;$AK5212))+1,"")</f>
        <v/>
      </c>
      <c r="AI5212">
        <f>IF($C5212="","",IF(OR($N5212=TRUE(),$N5212="TRUE"),1,0))</f>
        <v/>
      </c>
      <c r="AJ5212">
        <f>IF($C5212="","",IF($T5212="Yes",1,0))</f>
        <v/>
      </c>
      <c r="AK5212">
        <f>IF($AG5212=1,IFERROR(IF(VALUE($C5212)&lt;100000000,VALUE($C5212),1000000000),IFERROR(IF(VALUE(MID($C5212,2,20))&lt;100000000,VALUE(MID($C5212,2,20)),1000000000),1000000000))+ROW()/100000,"")</f>
        <v/>
      </c>
    </row>
    <row r="5213">
      <c r="D5213" s="11" t="n"/>
      <c r="K5213" s="7">
        <f>IF($C5213="","",J5213*W5213/100)</f>
        <v/>
      </c>
      <c r="Q5213" s="7" t="n"/>
      <c r="R5213" s="7" t="n"/>
      <c r="U5213">
        <f>IF($C5213="","",IF($AJ5213=1,0,IF($AI5213=1,Settings!$C$6,Settings!$C$7))*100)</f>
        <v/>
      </c>
      <c r="V5213" s="7">
        <f>IF($C5213="","",R5213*U5213/100)</f>
        <v/>
      </c>
      <c r="W5213" s="7">
        <f>IF($C5213="","",R5213-V5213)</f>
        <v/>
      </c>
      <c r="X5213" s="7">
        <f>IF($C5213="","",W5213-K5213)</f>
        <v/>
      </c>
      <c r="AB5213" s="7" t="n"/>
      <c r="AE5213" s="11" t="n"/>
      <c r="AG5213">
        <f>IF($C5213="","",IF(COUNTIF($C$2:$C5213,$C5213)=1,1,0))</f>
        <v/>
      </c>
      <c r="AH5213">
        <f>IF($AG5213=1,SUMPRODUCT(--($AK$2:$AK$6001&lt;$AK5213))+1,"")</f>
        <v/>
      </c>
      <c r="AI5213">
        <f>IF($C5213="","",IF(OR($N5213=TRUE(),$N5213="TRUE"),1,0))</f>
        <v/>
      </c>
      <c r="AJ5213">
        <f>IF($C5213="","",IF($T5213="Yes",1,0))</f>
        <v/>
      </c>
      <c r="AK5213">
        <f>IF($AG5213=1,IFERROR(IF(VALUE($C5213)&lt;100000000,VALUE($C5213),1000000000),IFERROR(IF(VALUE(MID($C5213,2,20))&lt;100000000,VALUE(MID($C5213,2,20)),1000000000),1000000000))+ROW()/100000,"")</f>
        <v/>
      </c>
    </row>
    <row r="5214">
      <c r="D5214" s="11" t="n"/>
      <c r="K5214" s="7">
        <f>IF($C5214="","",J5214*W5214/100)</f>
        <v/>
      </c>
      <c r="Q5214" s="7" t="n"/>
      <c r="R5214" s="7" t="n"/>
      <c r="U5214">
        <f>IF($C5214="","",IF($AJ5214=1,0,IF($AI5214=1,Settings!$C$6,Settings!$C$7))*100)</f>
        <v/>
      </c>
      <c r="V5214" s="7">
        <f>IF($C5214="","",R5214*U5214/100)</f>
        <v/>
      </c>
      <c r="W5214" s="7">
        <f>IF($C5214="","",R5214-V5214)</f>
        <v/>
      </c>
      <c r="X5214" s="7">
        <f>IF($C5214="","",W5214-K5214)</f>
        <v/>
      </c>
      <c r="AB5214" s="7" t="n"/>
      <c r="AE5214" s="11" t="n"/>
      <c r="AG5214">
        <f>IF($C5214="","",IF(COUNTIF($C$2:$C5214,$C5214)=1,1,0))</f>
        <v/>
      </c>
      <c r="AH5214">
        <f>IF($AG5214=1,SUMPRODUCT(--($AK$2:$AK$6001&lt;$AK5214))+1,"")</f>
        <v/>
      </c>
      <c r="AI5214">
        <f>IF($C5214="","",IF(OR($N5214=TRUE(),$N5214="TRUE"),1,0))</f>
        <v/>
      </c>
      <c r="AJ5214">
        <f>IF($C5214="","",IF($T5214="Yes",1,0))</f>
        <v/>
      </c>
      <c r="AK5214">
        <f>IF($AG5214=1,IFERROR(IF(VALUE($C5214)&lt;100000000,VALUE($C5214),1000000000),IFERROR(IF(VALUE(MID($C5214,2,20))&lt;100000000,VALUE(MID($C5214,2,20)),1000000000),1000000000))+ROW()/100000,"")</f>
        <v/>
      </c>
    </row>
    <row r="5215">
      <c r="D5215" s="11" t="n"/>
      <c r="K5215" s="7">
        <f>IF($C5215="","",J5215*W5215/100)</f>
        <v/>
      </c>
      <c r="Q5215" s="7" t="n"/>
      <c r="R5215" s="7" t="n"/>
      <c r="U5215">
        <f>IF($C5215="","",IF($AJ5215=1,0,IF($AI5215=1,Settings!$C$6,Settings!$C$7))*100)</f>
        <v/>
      </c>
      <c r="V5215" s="7">
        <f>IF($C5215="","",R5215*U5215/100)</f>
        <v/>
      </c>
      <c r="W5215" s="7">
        <f>IF($C5215="","",R5215-V5215)</f>
        <v/>
      </c>
      <c r="X5215" s="7">
        <f>IF($C5215="","",W5215-K5215)</f>
        <v/>
      </c>
      <c r="AB5215" s="7" t="n"/>
      <c r="AE5215" s="11" t="n"/>
      <c r="AG5215">
        <f>IF($C5215="","",IF(COUNTIF($C$2:$C5215,$C5215)=1,1,0))</f>
        <v/>
      </c>
      <c r="AH5215">
        <f>IF($AG5215=1,SUMPRODUCT(--($AK$2:$AK$6001&lt;$AK5215))+1,"")</f>
        <v/>
      </c>
      <c r="AI5215">
        <f>IF($C5215="","",IF(OR($N5215=TRUE(),$N5215="TRUE"),1,0))</f>
        <v/>
      </c>
      <c r="AJ5215">
        <f>IF($C5215="","",IF($T5215="Yes",1,0))</f>
        <v/>
      </c>
      <c r="AK5215">
        <f>IF($AG5215=1,IFERROR(IF(VALUE($C5215)&lt;100000000,VALUE($C5215),1000000000),IFERROR(IF(VALUE(MID($C5215,2,20))&lt;100000000,VALUE(MID($C5215,2,20)),1000000000),1000000000))+ROW()/100000,"")</f>
        <v/>
      </c>
    </row>
    <row r="5216">
      <c r="D5216" s="11" t="n"/>
      <c r="K5216" s="7">
        <f>IF($C5216="","",J5216*W5216/100)</f>
        <v/>
      </c>
      <c r="Q5216" s="7" t="n"/>
      <c r="R5216" s="7" t="n"/>
      <c r="U5216">
        <f>IF($C5216="","",IF($AJ5216=1,0,IF($AI5216=1,Settings!$C$6,Settings!$C$7))*100)</f>
        <v/>
      </c>
      <c r="V5216" s="7">
        <f>IF($C5216="","",R5216*U5216/100)</f>
        <v/>
      </c>
      <c r="W5216" s="7">
        <f>IF($C5216="","",R5216-V5216)</f>
        <v/>
      </c>
      <c r="X5216" s="7">
        <f>IF($C5216="","",W5216-K5216)</f>
        <v/>
      </c>
      <c r="AB5216" s="7" t="n"/>
      <c r="AE5216" s="11" t="n"/>
      <c r="AG5216">
        <f>IF($C5216="","",IF(COUNTIF($C$2:$C5216,$C5216)=1,1,0))</f>
        <v/>
      </c>
      <c r="AH5216">
        <f>IF($AG5216=1,SUMPRODUCT(--($AK$2:$AK$6001&lt;$AK5216))+1,"")</f>
        <v/>
      </c>
      <c r="AI5216">
        <f>IF($C5216="","",IF(OR($N5216=TRUE(),$N5216="TRUE"),1,0))</f>
        <v/>
      </c>
      <c r="AJ5216">
        <f>IF($C5216="","",IF($T5216="Yes",1,0))</f>
        <v/>
      </c>
      <c r="AK5216">
        <f>IF($AG5216=1,IFERROR(IF(VALUE($C5216)&lt;100000000,VALUE($C5216),1000000000),IFERROR(IF(VALUE(MID($C5216,2,20))&lt;100000000,VALUE(MID($C5216,2,20)),1000000000),1000000000))+ROW()/100000,"")</f>
        <v/>
      </c>
    </row>
    <row r="5217">
      <c r="D5217" s="11" t="n"/>
      <c r="K5217" s="7">
        <f>IF($C5217="","",J5217*W5217/100)</f>
        <v/>
      </c>
      <c r="Q5217" s="7" t="n"/>
      <c r="R5217" s="7" t="n"/>
      <c r="U5217">
        <f>IF($C5217="","",IF($AJ5217=1,0,IF($AI5217=1,Settings!$C$6,Settings!$C$7))*100)</f>
        <v/>
      </c>
      <c r="V5217" s="7">
        <f>IF($C5217="","",R5217*U5217/100)</f>
        <v/>
      </c>
      <c r="W5217" s="7">
        <f>IF($C5217="","",R5217-V5217)</f>
        <v/>
      </c>
      <c r="X5217" s="7">
        <f>IF($C5217="","",W5217-K5217)</f>
        <v/>
      </c>
      <c r="AB5217" s="7" t="n"/>
      <c r="AE5217" s="11" t="n"/>
      <c r="AG5217">
        <f>IF($C5217="","",IF(COUNTIF($C$2:$C5217,$C5217)=1,1,0))</f>
        <v/>
      </c>
      <c r="AH5217">
        <f>IF($AG5217=1,SUMPRODUCT(--($AK$2:$AK$6001&lt;$AK5217))+1,"")</f>
        <v/>
      </c>
      <c r="AI5217">
        <f>IF($C5217="","",IF(OR($N5217=TRUE(),$N5217="TRUE"),1,0))</f>
        <v/>
      </c>
      <c r="AJ5217">
        <f>IF($C5217="","",IF($T5217="Yes",1,0))</f>
        <v/>
      </c>
      <c r="AK5217">
        <f>IF($AG5217=1,IFERROR(IF(VALUE($C5217)&lt;100000000,VALUE($C5217),1000000000),IFERROR(IF(VALUE(MID($C5217,2,20))&lt;100000000,VALUE(MID($C5217,2,20)),1000000000),1000000000))+ROW()/100000,"")</f>
        <v/>
      </c>
    </row>
    <row r="5218">
      <c r="D5218" s="11" t="n"/>
      <c r="K5218" s="7">
        <f>IF($C5218="","",J5218*W5218/100)</f>
        <v/>
      </c>
      <c r="Q5218" s="7" t="n"/>
      <c r="R5218" s="7" t="n"/>
      <c r="U5218">
        <f>IF($C5218="","",IF($AJ5218=1,0,IF($AI5218=1,Settings!$C$6,Settings!$C$7))*100)</f>
        <v/>
      </c>
      <c r="V5218" s="7">
        <f>IF($C5218="","",R5218*U5218/100)</f>
        <v/>
      </c>
      <c r="W5218" s="7">
        <f>IF($C5218="","",R5218-V5218)</f>
        <v/>
      </c>
      <c r="X5218" s="7">
        <f>IF($C5218="","",W5218-K5218)</f>
        <v/>
      </c>
      <c r="AB5218" s="7" t="n"/>
      <c r="AE5218" s="11" t="n"/>
      <c r="AG5218">
        <f>IF($C5218="","",IF(COUNTIF($C$2:$C5218,$C5218)=1,1,0))</f>
        <v/>
      </c>
      <c r="AH5218">
        <f>IF($AG5218=1,SUMPRODUCT(--($AK$2:$AK$6001&lt;$AK5218))+1,"")</f>
        <v/>
      </c>
      <c r="AI5218">
        <f>IF($C5218="","",IF(OR($N5218=TRUE(),$N5218="TRUE"),1,0))</f>
        <v/>
      </c>
      <c r="AJ5218">
        <f>IF($C5218="","",IF($T5218="Yes",1,0))</f>
        <v/>
      </c>
      <c r="AK5218">
        <f>IF($AG5218=1,IFERROR(IF(VALUE($C5218)&lt;100000000,VALUE($C5218),1000000000),IFERROR(IF(VALUE(MID($C5218,2,20))&lt;100000000,VALUE(MID($C5218,2,20)),1000000000),1000000000))+ROW()/100000,"")</f>
        <v/>
      </c>
    </row>
    <row r="5219">
      <c r="D5219" s="11" t="n"/>
      <c r="K5219" s="7">
        <f>IF($C5219="","",J5219*W5219/100)</f>
        <v/>
      </c>
      <c r="Q5219" s="7" t="n"/>
      <c r="R5219" s="7" t="n"/>
      <c r="U5219">
        <f>IF($C5219="","",IF($AJ5219=1,0,IF($AI5219=1,Settings!$C$6,Settings!$C$7))*100)</f>
        <v/>
      </c>
      <c r="V5219" s="7">
        <f>IF($C5219="","",R5219*U5219/100)</f>
        <v/>
      </c>
      <c r="W5219" s="7">
        <f>IF($C5219="","",R5219-V5219)</f>
        <v/>
      </c>
      <c r="X5219" s="7">
        <f>IF($C5219="","",W5219-K5219)</f>
        <v/>
      </c>
      <c r="AB5219" s="7" t="n"/>
      <c r="AE5219" s="11" t="n"/>
      <c r="AG5219">
        <f>IF($C5219="","",IF(COUNTIF($C$2:$C5219,$C5219)=1,1,0))</f>
        <v/>
      </c>
      <c r="AH5219">
        <f>IF($AG5219=1,SUMPRODUCT(--($AK$2:$AK$6001&lt;$AK5219))+1,"")</f>
        <v/>
      </c>
      <c r="AI5219">
        <f>IF($C5219="","",IF(OR($N5219=TRUE(),$N5219="TRUE"),1,0))</f>
        <v/>
      </c>
      <c r="AJ5219">
        <f>IF($C5219="","",IF($T5219="Yes",1,0))</f>
        <v/>
      </c>
      <c r="AK5219">
        <f>IF($AG5219=1,IFERROR(IF(VALUE($C5219)&lt;100000000,VALUE($C5219),1000000000),IFERROR(IF(VALUE(MID($C5219,2,20))&lt;100000000,VALUE(MID($C5219,2,20)),1000000000),1000000000))+ROW()/100000,"")</f>
        <v/>
      </c>
    </row>
    <row r="5220">
      <c r="D5220" s="11" t="n"/>
      <c r="K5220" s="7">
        <f>IF($C5220="","",J5220*W5220/100)</f>
        <v/>
      </c>
      <c r="Q5220" s="7" t="n"/>
      <c r="R5220" s="7" t="n"/>
      <c r="U5220">
        <f>IF($C5220="","",IF($AJ5220=1,0,IF($AI5220=1,Settings!$C$6,Settings!$C$7))*100)</f>
        <v/>
      </c>
      <c r="V5220" s="7">
        <f>IF($C5220="","",R5220*U5220/100)</f>
        <v/>
      </c>
      <c r="W5220" s="7">
        <f>IF($C5220="","",R5220-V5220)</f>
        <v/>
      </c>
      <c r="X5220" s="7">
        <f>IF($C5220="","",W5220-K5220)</f>
        <v/>
      </c>
      <c r="AB5220" s="7" t="n"/>
      <c r="AE5220" s="11" t="n"/>
      <c r="AG5220">
        <f>IF($C5220="","",IF(COUNTIF($C$2:$C5220,$C5220)=1,1,0))</f>
        <v/>
      </c>
      <c r="AH5220">
        <f>IF($AG5220=1,SUMPRODUCT(--($AK$2:$AK$6001&lt;$AK5220))+1,"")</f>
        <v/>
      </c>
      <c r="AI5220">
        <f>IF($C5220="","",IF(OR($N5220=TRUE(),$N5220="TRUE"),1,0))</f>
        <v/>
      </c>
      <c r="AJ5220">
        <f>IF($C5220="","",IF($T5220="Yes",1,0))</f>
        <v/>
      </c>
      <c r="AK5220">
        <f>IF($AG5220=1,IFERROR(IF(VALUE($C5220)&lt;100000000,VALUE($C5220),1000000000),IFERROR(IF(VALUE(MID($C5220,2,20))&lt;100000000,VALUE(MID($C5220,2,20)),1000000000),1000000000))+ROW()/100000,"")</f>
        <v/>
      </c>
    </row>
    <row r="5221">
      <c r="D5221" s="11" t="n"/>
      <c r="K5221" s="7">
        <f>IF($C5221="","",J5221*W5221/100)</f>
        <v/>
      </c>
      <c r="Q5221" s="7" t="n"/>
      <c r="R5221" s="7" t="n"/>
      <c r="U5221">
        <f>IF($C5221="","",IF($AJ5221=1,0,IF($AI5221=1,Settings!$C$6,Settings!$C$7))*100)</f>
        <v/>
      </c>
      <c r="V5221" s="7">
        <f>IF($C5221="","",R5221*U5221/100)</f>
        <v/>
      </c>
      <c r="W5221" s="7">
        <f>IF($C5221="","",R5221-V5221)</f>
        <v/>
      </c>
      <c r="X5221" s="7">
        <f>IF($C5221="","",W5221-K5221)</f>
        <v/>
      </c>
      <c r="AB5221" s="7" t="n"/>
      <c r="AE5221" s="11" t="n"/>
      <c r="AG5221">
        <f>IF($C5221="","",IF(COUNTIF($C$2:$C5221,$C5221)=1,1,0))</f>
        <v/>
      </c>
      <c r="AH5221">
        <f>IF($AG5221=1,SUMPRODUCT(--($AK$2:$AK$6001&lt;$AK5221))+1,"")</f>
        <v/>
      </c>
      <c r="AI5221">
        <f>IF($C5221="","",IF(OR($N5221=TRUE(),$N5221="TRUE"),1,0))</f>
        <v/>
      </c>
      <c r="AJ5221">
        <f>IF($C5221="","",IF($T5221="Yes",1,0))</f>
        <v/>
      </c>
      <c r="AK5221">
        <f>IF($AG5221=1,IFERROR(IF(VALUE($C5221)&lt;100000000,VALUE($C5221),1000000000),IFERROR(IF(VALUE(MID($C5221,2,20))&lt;100000000,VALUE(MID($C5221,2,20)),1000000000),1000000000))+ROW()/100000,"")</f>
        <v/>
      </c>
    </row>
    <row r="5222">
      <c r="D5222" s="11" t="n"/>
      <c r="K5222" s="7">
        <f>IF($C5222="","",J5222*W5222/100)</f>
        <v/>
      </c>
      <c r="Q5222" s="7" t="n"/>
      <c r="R5222" s="7" t="n"/>
      <c r="U5222">
        <f>IF($C5222="","",IF($AJ5222=1,0,IF($AI5222=1,Settings!$C$6,Settings!$C$7))*100)</f>
        <v/>
      </c>
      <c r="V5222" s="7">
        <f>IF($C5222="","",R5222*U5222/100)</f>
        <v/>
      </c>
      <c r="W5222" s="7">
        <f>IF($C5222="","",R5222-V5222)</f>
        <v/>
      </c>
      <c r="X5222" s="7">
        <f>IF($C5222="","",W5222-K5222)</f>
        <v/>
      </c>
      <c r="AB5222" s="7" t="n"/>
      <c r="AE5222" s="11" t="n"/>
      <c r="AG5222">
        <f>IF($C5222="","",IF(COUNTIF($C$2:$C5222,$C5222)=1,1,0))</f>
        <v/>
      </c>
      <c r="AH5222">
        <f>IF($AG5222=1,SUMPRODUCT(--($AK$2:$AK$6001&lt;$AK5222))+1,"")</f>
        <v/>
      </c>
      <c r="AI5222">
        <f>IF($C5222="","",IF(OR($N5222=TRUE(),$N5222="TRUE"),1,0))</f>
        <v/>
      </c>
      <c r="AJ5222">
        <f>IF($C5222="","",IF($T5222="Yes",1,0))</f>
        <v/>
      </c>
      <c r="AK5222">
        <f>IF($AG5222=1,IFERROR(IF(VALUE($C5222)&lt;100000000,VALUE($C5222),1000000000),IFERROR(IF(VALUE(MID($C5222,2,20))&lt;100000000,VALUE(MID($C5222,2,20)),1000000000),1000000000))+ROW()/100000,"")</f>
        <v/>
      </c>
    </row>
    <row r="5223">
      <c r="D5223" s="11" t="n"/>
      <c r="K5223" s="7">
        <f>IF($C5223="","",J5223*W5223/100)</f>
        <v/>
      </c>
      <c r="Q5223" s="7" t="n"/>
      <c r="R5223" s="7" t="n"/>
      <c r="U5223">
        <f>IF($C5223="","",IF($AJ5223=1,0,IF($AI5223=1,Settings!$C$6,Settings!$C$7))*100)</f>
        <v/>
      </c>
      <c r="V5223" s="7">
        <f>IF($C5223="","",R5223*U5223/100)</f>
        <v/>
      </c>
      <c r="W5223" s="7">
        <f>IF($C5223="","",R5223-V5223)</f>
        <v/>
      </c>
      <c r="X5223" s="7">
        <f>IF($C5223="","",W5223-K5223)</f>
        <v/>
      </c>
      <c r="AB5223" s="7" t="n"/>
      <c r="AE5223" s="11" t="n"/>
      <c r="AG5223">
        <f>IF($C5223="","",IF(COUNTIF($C$2:$C5223,$C5223)=1,1,0))</f>
        <v/>
      </c>
      <c r="AH5223">
        <f>IF($AG5223=1,SUMPRODUCT(--($AK$2:$AK$6001&lt;$AK5223))+1,"")</f>
        <v/>
      </c>
      <c r="AI5223">
        <f>IF($C5223="","",IF(OR($N5223=TRUE(),$N5223="TRUE"),1,0))</f>
        <v/>
      </c>
      <c r="AJ5223">
        <f>IF($C5223="","",IF($T5223="Yes",1,0))</f>
        <v/>
      </c>
      <c r="AK5223">
        <f>IF($AG5223=1,IFERROR(IF(VALUE($C5223)&lt;100000000,VALUE($C5223),1000000000),IFERROR(IF(VALUE(MID($C5223,2,20))&lt;100000000,VALUE(MID($C5223,2,20)),1000000000),1000000000))+ROW()/100000,"")</f>
        <v/>
      </c>
    </row>
    <row r="5224">
      <c r="D5224" s="11" t="n"/>
      <c r="K5224" s="7">
        <f>IF($C5224="","",J5224*W5224/100)</f>
        <v/>
      </c>
      <c r="Q5224" s="7" t="n"/>
      <c r="R5224" s="7" t="n"/>
      <c r="U5224">
        <f>IF($C5224="","",IF($AJ5224=1,0,IF($AI5224=1,Settings!$C$6,Settings!$C$7))*100)</f>
        <v/>
      </c>
      <c r="V5224" s="7">
        <f>IF($C5224="","",R5224*U5224/100)</f>
        <v/>
      </c>
      <c r="W5224" s="7">
        <f>IF($C5224="","",R5224-V5224)</f>
        <v/>
      </c>
      <c r="X5224" s="7">
        <f>IF($C5224="","",W5224-K5224)</f>
        <v/>
      </c>
      <c r="AB5224" s="7" t="n"/>
      <c r="AE5224" s="11" t="n"/>
      <c r="AG5224">
        <f>IF($C5224="","",IF(COUNTIF($C$2:$C5224,$C5224)=1,1,0))</f>
        <v/>
      </c>
      <c r="AH5224">
        <f>IF($AG5224=1,SUMPRODUCT(--($AK$2:$AK$6001&lt;$AK5224))+1,"")</f>
        <v/>
      </c>
      <c r="AI5224">
        <f>IF($C5224="","",IF(OR($N5224=TRUE(),$N5224="TRUE"),1,0))</f>
        <v/>
      </c>
      <c r="AJ5224">
        <f>IF($C5224="","",IF($T5224="Yes",1,0))</f>
        <v/>
      </c>
      <c r="AK5224">
        <f>IF($AG5224=1,IFERROR(IF(VALUE($C5224)&lt;100000000,VALUE($C5224),1000000000),IFERROR(IF(VALUE(MID($C5224,2,20))&lt;100000000,VALUE(MID($C5224,2,20)),1000000000),1000000000))+ROW()/100000,"")</f>
        <v/>
      </c>
    </row>
    <row r="5225">
      <c r="D5225" s="11" t="n"/>
      <c r="K5225" s="7">
        <f>IF($C5225="","",J5225*W5225/100)</f>
        <v/>
      </c>
      <c r="Q5225" s="7" t="n"/>
      <c r="R5225" s="7" t="n"/>
      <c r="U5225">
        <f>IF($C5225="","",IF($AJ5225=1,0,IF($AI5225=1,Settings!$C$6,Settings!$C$7))*100)</f>
        <v/>
      </c>
      <c r="V5225" s="7">
        <f>IF($C5225="","",R5225*U5225/100)</f>
        <v/>
      </c>
      <c r="W5225" s="7">
        <f>IF($C5225="","",R5225-V5225)</f>
        <v/>
      </c>
      <c r="X5225" s="7">
        <f>IF($C5225="","",W5225-K5225)</f>
        <v/>
      </c>
      <c r="AB5225" s="7" t="n"/>
      <c r="AE5225" s="11" t="n"/>
      <c r="AG5225">
        <f>IF($C5225="","",IF(COUNTIF($C$2:$C5225,$C5225)=1,1,0))</f>
        <v/>
      </c>
      <c r="AH5225">
        <f>IF($AG5225=1,SUMPRODUCT(--($AK$2:$AK$6001&lt;$AK5225))+1,"")</f>
        <v/>
      </c>
      <c r="AI5225">
        <f>IF($C5225="","",IF(OR($N5225=TRUE(),$N5225="TRUE"),1,0))</f>
        <v/>
      </c>
      <c r="AJ5225">
        <f>IF($C5225="","",IF($T5225="Yes",1,0))</f>
        <v/>
      </c>
      <c r="AK5225">
        <f>IF($AG5225=1,IFERROR(IF(VALUE($C5225)&lt;100000000,VALUE($C5225),1000000000),IFERROR(IF(VALUE(MID($C5225,2,20))&lt;100000000,VALUE(MID($C5225,2,20)),1000000000),1000000000))+ROW()/100000,"")</f>
        <v/>
      </c>
    </row>
    <row r="5226">
      <c r="D5226" s="11" t="n"/>
      <c r="K5226" s="7">
        <f>IF($C5226="","",J5226*W5226/100)</f>
        <v/>
      </c>
      <c r="Q5226" s="7" t="n"/>
      <c r="R5226" s="7" t="n"/>
      <c r="U5226">
        <f>IF($C5226="","",IF($AJ5226=1,0,IF($AI5226=1,Settings!$C$6,Settings!$C$7))*100)</f>
        <v/>
      </c>
      <c r="V5226" s="7">
        <f>IF($C5226="","",R5226*U5226/100)</f>
        <v/>
      </c>
      <c r="W5226" s="7">
        <f>IF($C5226="","",R5226-V5226)</f>
        <v/>
      </c>
      <c r="X5226" s="7">
        <f>IF($C5226="","",W5226-K5226)</f>
        <v/>
      </c>
      <c r="AB5226" s="7" t="n"/>
      <c r="AE5226" s="11" t="n"/>
      <c r="AG5226">
        <f>IF($C5226="","",IF(COUNTIF($C$2:$C5226,$C5226)=1,1,0))</f>
        <v/>
      </c>
      <c r="AH5226">
        <f>IF($AG5226=1,SUMPRODUCT(--($AK$2:$AK$6001&lt;$AK5226))+1,"")</f>
        <v/>
      </c>
      <c r="AI5226">
        <f>IF($C5226="","",IF(OR($N5226=TRUE(),$N5226="TRUE"),1,0))</f>
        <v/>
      </c>
      <c r="AJ5226">
        <f>IF($C5226="","",IF($T5226="Yes",1,0))</f>
        <v/>
      </c>
      <c r="AK5226">
        <f>IF($AG5226=1,IFERROR(IF(VALUE($C5226)&lt;100000000,VALUE($C5226),1000000000),IFERROR(IF(VALUE(MID($C5226,2,20))&lt;100000000,VALUE(MID($C5226,2,20)),1000000000),1000000000))+ROW()/100000,"")</f>
        <v/>
      </c>
    </row>
    <row r="5227">
      <c r="D5227" s="11" t="n"/>
      <c r="K5227" s="7">
        <f>IF($C5227="","",J5227*W5227/100)</f>
        <v/>
      </c>
      <c r="Q5227" s="7" t="n"/>
      <c r="R5227" s="7" t="n"/>
      <c r="U5227">
        <f>IF($C5227="","",IF($AJ5227=1,0,IF($AI5227=1,Settings!$C$6,Settings!$C$7))*100)</f>
        <v/>
      </c>
      <c r="V5227" s="7">
        <f>IF($C5227="","",R5227*U5227/100)</f>
        <v/>
      </c>
      <c r="W5227" s="7">
        <f>IF($C5227="","",R5227-V5227)</f>
        <v/>
      </c>
      <c r="X5227" s="7">
        <f>IF($C5227="","",W5227-K5227)</f>
        <v/>
      </c>
      <c r="AB5227" s="7" t="n"/>
      <c r="AE5227" s="11" t="n"/>
      <c r="AG5227">
        <f>IF($C5227="","",IF(COUNTIF($C$2:$C5227,$C5227)=1,1,0))</f>
        <v/>
      </c>
      <c r="AH5227">
        <f>IF($AG5227=1,SUMPRODUCT(--($AK$2:$AK$6001&lt;$AK5227))+1,"")</f>
        <v/>
      </c>
      <c r="AI5227">
        <f>IF($C5227="","",IF(OR($N5227=TRUE(),$N5227="TRUE"),1,0))</f>
        <v/>
      </c>
      <c r="AJ5227">
        <f>IF($C5227="","",IF($T5227="Yes",1,0))</f>
        <v/>
      </c>
      <c r="AK5227">
        <f>IF($AG5227=1,IFERROR(IF(VALUE($C5227)&lt;100000000,VALUE($C5227),1000000000),IFERROR(IF(VALUE(MID($C5227,2,20))&lt;100000000,VALUE(MID($C5227,2,20)),1000000000),1000000000))+ROW()/100000,"")</f>
        <v/>
      </c>
    </row>
    <row r="5228">
      <c r="D5228" s="11" t="n"/>
      <c r="K5228" s="7">
        <f>IF($C5228="","",J5228*W5228/100)</f>
        <v/>
      </c>
      <c r="Q5228" s="7" t="n"/>
      <c r="R5228" s="7" t="n"/>
      <c r="U5228">
        <f>IF($C5228="","",IF($AJ5228=1,0,IF($AI5228=1,Settings!$C$6,Settings!$C$7))*100)</f>
        <v/>
      </c>
      <c r="V5228" s="7">
        <f>IF($C5228="","",R5228*U5228/100)</f>
        <v/>
      </c>
      <c r="W5228" s="7">
        <f>IF($C5228="","",R5228-V5228)</f>
        <v/>
      </c>
      <c r="X5228" s="7">
        <f>IF($C5228="","",W5228-K5228)</f>
        <v/>
      </c>
      <c r="AB5228" s="7" t="n"/>
      <c r="AE5228" s="11" t="n"/>
      <c r="AG5228">
        <f>IF($C5228="","",IF(COUNTIF($C$2:$C5228,$C5228)=1,1,0))</f>
        <v/>
      </c>
      <c r="AH5228">
        <f>IF($AG5228=1,SUMPRODUCT(--($AK$2:$AK$6001&lt;$AK5228))+1,"")</f>
        <v/>
      </c>
      <c r="AI5228">
        <f>IF($C5228="","",IF(OR($N5228=TRUE(),$N5228="TRUE"),1,0))</f>
        <v/>
      </c>
      <c r="AJ5228">
        <f>IF($C5228="","",IF($T5228="Yes",1,0))</f>
        <v/>
      </c>
      <c r="AK5228">
        <f>IF($AG5228=1,IFERROR(IF(VALUE($C5228)&lt;100000000,VALUE($C5228),1000000000),IFERROR(IF(VALUE(MID($C5228,2,20))&lt;100000000,VALUE(MID($C5228,2,20)),1000000000),1000000000))+ROW()/100000,"")</f>
        <v/>
      </c>
    </row>
    <row r="5229">
      <c r="D5229" s="11" t="n"/>
      <c r="K5229" s="7">
        <f>IF($C5229="","",J5229*W5229/100)</f>
        <v/>
      </c>
      <c r="Q5229" s="7" t="n"/>
      <c r="R5229" s="7" t="n"/>
      <c r="U5229">
        <f>IF($C5229="","",IF($AJ5229=1,0,IF($AI5229=1,Settings!$C$6,Settings!$C$7))*100)</f>
        <v/>
      </c>
      <c r="V5229" s="7">
        <f>IF($C5229="","",R5229*U5229/100)</f>
        <v/>
      </c>
      <c r="W5229" s="7">
        <f>IF($C5229="","",R5229-V5229)</f>
        <v/>
      </c>
      <c r="X5229" s="7">
        <f>IF($C5229="","",W5229-K5229)</f>
        <v/>
      </c>
      <c r="AB5229" s="7" t="n"/>
      <c r="AE5229" s="11" t="n"/>
      <c r="AG5229">
        <f>IF($C5229="","",IF(COUNTIF($C$2:$C5229,$C5229)=1,1,0))</f>
        <v/>
      </c>
      <c r="AH5229">
        <f>IF($AG5229=1,SUMPRODUCT(--($AK$2:$AK$6001&lt;$AK5229))+1,"")</f>
        <v/>
      </c>
      <c r="AI5229">
        <f>IF($C5229="","",IF(OR($N5229=TRUE(),$N5229="TRUE"),1,0))</f>
        <v/>
      </c>
      <c r="AJ5229">
        <f>IF($C5229="","",IF($T5229="Yes",1,0))</f>
        <v/>
      </c>
      <c r="AK5229">
        <f>IF($AG5229=1,IFERROR(IF(VALUE($C5229)&lt;100000000,VALUE($C5229),1000000000),IFERROR(IF(VALUE(MID($C5229,2,20))&lt;100000000,VALUE(MID($C5229,2,20)),1000000000),1000000000))+ROW()/100000,"")</f>
        <v/>
      </c>
    </row>
    <row r="5230">
      <c r="D5230" s="11" t="n"/>
      <c r="K5230" s="7">
        <f>IF($C5230="","",J5230*W5230/100)</f>
        <v/>
      </c>
      <c r="Q5230" s="7" t="n"/>
      <c r="R5230" s="7" t="n"/>
      <c r="U5230">
        <f>IF($C5230="","",IF($AJ5230=1,0,IF($AI5230=1,Settings!$C$6,Settings!$C$7))*100)</f>
        <v/>
      </c>
      <c r="V5230" s="7">
        <f>IF($C5230="","",R5230*U5230/100)</f>
        <v/>
      </c>
      <c r="W5230" s="7">
        <f>IF($C5230="","",R5230-V5230)</f>
        <v/>
      </c>
      <c r="X5230" s="7">
        <f>IF($C5230="","",W5230-K5230)</f>
        <v/>
      </c>
      <c r="AB5230" s="7" t="n"/>
      <c r="AE5230" s="11" t="n"/>
      <c r="AG5230">
        <f>IF($C5230="","",IF(COUNTIF($C$2:$C5230,$C5230)=1,1,0))</f>
        <v/>
      </c>
      <c r="AH5230">
        <f>IF($AG5230=1,SUMPRODUCT(--($AK$2:$AK$6001&lt;$AK5230))+1,"")</f>
        <v/>
      </c>
      <c r="AI5230">
        <f>IF($C5230="","",IF(OR($N5230=TRUE(),$N5230="TRUE"),1,0))</f>
        <v/>
      </c>
      <c r="AJ5230">
        <f>IF($C5230="","",IF($T5230="Yes",1,0))</f>
        <v/>
      </c>
      <c r="AK5230">
        <f>IF($AG5230=1,IFERROR(IF(VALUE($C5230)&lt;100000000,VALUE($C5230),1000000000),IFERROR(IF(VALUE(MID($C5230,2,20))&lt;100000000,VALUE(MID($C5230,2,20)),1000000000),1000000000))+ROW()/100000,"")</f>
        <v/>
      </c>
    </row>
    <row r="5231">
      <c r="D5231" s="11" t="n"/>
      <c r="K5231" s="7">
        <f>IF($C5231="","",J5231*W5231/100)</f>
        <v/>
      </c>
      <c r="Q5231" s="7" t="n"/>
      <c r="R5231" s="7" t="n"/>
      <c r="U5231">
        <f>IF($C5231="","",IF($AJ5231=1,0,IF($AI5231=1,Settings!$C$6,Settings!$C$7))*100)</f>
        <v/>
      </c>
      <c r="V5231" s="7">
        <f>IF($C5231="","",R5231*U5231/100)</f>
        <v/>
      </c>
      <c r="W5231" s="7">
        <f>IF($C5231="","",R5231-V5231)</f>
        <v/>
      </c>
      <c r="X5231" s="7">
        <f>IF($C5231="","",W5231-K5231)</f>
        <v/>
      </c>
      <c r="AB5231" s="7" t="n"/>
      <c r="AE5231" s="11" t="n"/>
      <c r="AG5231">
        <f>IF($C5231="","",IF(COUNTIF($C$2:$C5231,$C5231)=1,1,0))</f>
        <v/>
      </c>
      <c r="AH5231">
        <f>IF($AG5231=1,SUMPRODUCT(--($AK$2:$AK$6001&lt;$AK5231))+1,"")</f>
        <v/>
      </c>
      <c r="AI5231">
        <f>IF($C5231="","",IF(OR($N5231=TRUE(),$N5231="TRUE"),1,0))</f>
        <v/>
      </c>
      <c r="AJ5231">
        <f>IF($C5231="","",IF($T5231="Yes",1,0))</f>
        <v/>
      </c>
      <c r="AK5231">
        <f>IF($AG5231=1,IFERROR(IF(VALUE($C5231)&lt;100000000,VALUE($C5231),1000000000),IFERROR(IF(VALUE(MID($C5231,2,20))&lt;100000000,VALUE(MID($C5231,2,20)),1000000000),1000000000))+ROW()/100000,"")</f>
        <v/>
      </c>
    </row>
    <row r="5232">
      <c r="D5232" s="11" t="n"/>
      <c r="K5232" s="7">
        <f>IF($C5232="","",J5232*W5232/100)</f>
        <v/>
      </c>
      <c r="Q5232" s="7" t="n"/>
      <c r="R5232" s="7" t="n"/>
      <c r="U5232">
        <f>IF($C5232="","",IF($AJ5232=1,0,IF($AI5232=1,Settings!$C$6,Settings!$C$7))*100)</f>
        <v/>
      </c>
      <c r="V5232" s="7">
        <f>IF($C5232="","",R5232*U5232/100)</f>
        <v/>
      </c>
      <c r="W5232" s="7">
        <f>IF($C5232="","",R5232-V5232)</f>
        <v/>
      </c>
      <c r="X5232" s="7">
        <f>IF($C5232="","",W5232-K5232)</f>
        <v/>
      </c>
      <c r="AB5232" s="7" t="n"/>
      <c r="AE5232" s="11" t="n"/>
      <c r="AG5232">
        <f>IF($C5232="","",IF(COUNTIF($C$2:$C5232,$C5232)=1,1,0))</f>
        <v/>
      </c>
      <c r="AH5232">
        <f>IF($AG5232=1,SUMPRODUCT(--($AK$2:$AK$6001&lt;$AK5232))+1,"")</f>
        <v/>
      </c>
      <c r="AI5232">
        <f>IF($C5232="","",IF(OR($N5232=TRUE(),$N5232="TRUE"),1,0))</f>
        <v/>
      </c>
      <c r="AJ5232">
        <f>IF($C5232="","",IF($T5232="Yes",1,0))</f>
        <v/>
      </c>
      <c r="AK5232">
        <f>IF($AG5232=1,IFERROR(IF(VALUE($C5232)&lt;100000000,VALUE($C5232),1000000000),IFERROR(IF(VALUE(MID($C5232,2,20))&lt;100000000,VALUE(MID($C5232,2,20)),1000000000),1000000000))+ROW()/100000,"")</f>
        <v/>
      </c>
    </row>
    <row r="5233">
      <c r="D5233" s="11" t="n"/>
      <c r="K5233" s="7">
        <f>IF($C5233="","",J5233*W5233/100)</f>
        <v/>
      </c>
      <c r="Q5233" s="7" t="n"/>
      <c r="R5233" s="7" t="n"/>
      <c r="U5233">
        <f>IF($C5233="","",IF($AJ5233=1,0,IF($AI5233=1,Settings!$C$6,Settings!$C$7))*100)</f>
        <v/>
      </c>
      <c r="V5233" s="7">
        <f>IF($C5233="","",R5233*U5233/100)</f>
        <v/>
      </c>
      <c r="W5233" s="7">
        <f>IF($C5233="","",R5233-V5233)</f>
        <v/>
      </c>
      <c r="X5233" s="7">
        <f>IF($C5233="","",W5233-K5233)</f>
        <v/>
      </c>
      <c r="AB5233" s="7" t="n"/>
      <c r="AE5233" s="11" t="n"/>
      <c r="AG5233">
        <f>IF($C5233="","",IF(COUNTIF($C$2:$C5233,$C5233)=1,1,0))</f>
        <v/>
      </c>
      <c r="AH5233">
        <f>IF($AG5233=1,SUMPRODUCT(--($AK$2:$AK$6001&lt;$AK5233))+1,"")</f>
        <v/>
      </c>
      <c r="AI5233">
        <f>IF($C5233="","",IF(OR($N5233=TRUE(),$N5233="TRUE"),1,0))</f>
        <v/>
      </c>
      <c r="AJ5233">
        <f>IF($C5233="","",IF($T5233="Yes",1,0))</f>
        <v/>
      </c>
      <c r="AK5233">
        <f>IF($AG5233=1,IFERROR(IF(VALUE($C5233)&lt;100000000,VALUE($C5233),1000000000),IFERROR(IF(VALUE(MID($C5233,2,20))&lt;100000000,VALUE(MID($C5233,2,20)),1000000000),1000000000))+ROW()/100000,"")</f>
        <v/>
      </c>
    </row>
    <row r="5234">
      <c r="D5234" s="11" t="n"/>
      <c r="K5234" s="7">
        <f>IF($C5234="","",J5234*W5234/100)</f>
        <v/>
      </c>
      <c r="Q5234" s="7" t="n"/>
      <c r="R5234" s="7" t="n"/>
      <c r="U5234">
        <f>IF($C5234="","",IF($AJ5234=1,0,IF($AI5234=1,Settings!$C$6,Settings!$C$7))*100)</f>
        <v/>
      </c>
      <c r="V5234" s="7">
        <f>IF($C5234="","",R5234*U5234/100)</f>
        <v/>
      </c>
      <c r="W5234" s="7">
        <f>IF($C5234="","",R5234-V5234)</f>
        <v/>
      </c>
      <c r="X5234" s="7">
        <f>IF($C5234="","",W5234-K5234)</f>
        <v/>
      </c>
      <c r="AB5234" s="7" t="n"/>
      <c r="AE5234" s="11" t="n"/>
      <c r="AG5234">
        <f>IF($C5234="","",IF(COUNTIF($C$2:$C5234,$C5234)=1,1,0))</f>
        <v/>
      </c>
      <c r="AH5234">
        <f>IF($AG5234=1,SUMPRODUCT(--($AK$2:$AK$6001&lt;$AK5234))+1,"")</f>
        <v/>
      </c>
      <c r="AI5234">
        <f>IF($C5234="","",IF(OR($N5234=TRUE(),$N5234="TRUE"),1,0))</f>
        <v/>
      </c>
      <c r="AJ5234">
        <f>IF($C5234="","",IF($T5234="Yes",1,0))</f>
        <v/>
      </c>
      <c r="AK5234">
        <f>IF($AG5234=1,IFERROR(IF(VALUE($C5234)&lt;100000000,VALUE($C5234),1000000000),IFERROR(IF(VALUE(MID($C5234,2,20))&lt;100000000,VALUE(MID($C5234,2,20)),1000000000),1000000000))+ROW()/100000,"")</f>
        <v/>
      </c>
    </row>
    <row r="5235">
      <c r="D5235" s="11" t="n"/>
      <c r="K5235" s="7">
        <f>IF($C5235="","",J5235*W5235/100)</f>
        <v/>
      </c>
      <c r="Q5235" s="7" t="n"/>
      <c r="R5235" s="7" t="n"/>
      <c r="U5235">
        <f>IF($C5235="","",IF($AJ5235=1,0,IF($AI5235=1,Settings!$C$6,Settings!$C$7))*100)</f>
        <v/>
      </c>
      <c r="V5235" s="7">
        <f>IF($C5235="","",R5235*U5235/100)</f>
        <v/>
      </c>
      <c r="W5235" s="7">
        <f>IF($C5235="","",R5235-V5235)</f>
        <v/>
      </c>
      <c r="X5235" s="7">
        <f>IF($C5235="","",W5235-K5235)</f>
        <v/>
      </c>
      <c r="AB5235" s="7" t="n"/>
      <c r="AE5235" s="11" t="n"/>
      <c r="AG5235">
        <f>IF($C5235="","",IF(COUNTIF($C$2:$C5235,$C5235)=1,1,0))</f>
        <v/>
      </c>
      <c r="AH5235">
        <f>IF($AG5235=1,SUMPRODUCT(--($AK$2:$AK$6001&lt;$AK5235))+1,"")</f>
        <v/>
      </c>
      <c r="AI5235">
        <f>IF($C5235="","",IF(OR($N5235=TRUE(),$N5235="TRUE"),1,0))</f>
        <v/>
      </c>
      <c r="AJ5235">
        <f>IF($C5235="","",IF($T5235="Yes",1,0))</f>
        <v/>
      </c>
      <c r="AK5235">
        <f>IF($AG5235=1,IFERROR(IF(VALUE($C5235)&lt;100000000,VALUE($C5235),1000000000),IFERROR(IF(VALUE(MID($C5235,2,20))&lt;100000000,VALUE(MID($C5235,2,20)),1000000000),1000000000))+ROW()/100000,"")</f>
        <v/>
      </c>
    </row>
    <row r="5236">
      <c r="D5236" s="11" t="n"/>
      <c r="K5236" s="7">
        <f>IF($C5236="","",J5236*W5236/100)</f>
        <v/>
      </c>
      <c r="Q5236" s="7" t="n"/>
      <c r="R5236" s="7" t="n"/>
      <c r="U5236">
        <f>IF($C5236="","",IF($AJ5236=1,0,IF($AI5236=1,Settings!$C$6,Settings!$C$7))*100)</f>
        <v/>
      </c>
      <c r="V5236" s="7">
        <f>IF($C5236="","",R5236*U5236/100)</f>
        <v/>
      </c>
      <c r="W5236" s="7">
        <f>IF($C5236="","",R5236-V5236)</f>
        <v/>
      </c>
      <c r="X5236" s="7">
        <f>IF($C5236="","",W5236-K5236)</f>
        <v/>
      </c>
      <c r="AB5236" s="7" t="n"/>
      <c r="AE5236" s="11" t="n"/>
      <c r="AG5236">
        <f>IF($C5236="","",IF(COUNTIF($C$2:$C5236,$C5236)=1,1,0))</f>
        <v/>
      </c>
      <c r="AH5236">
        <f>IF($AG5236=1,SUMPRODUCT(--($AK$2:$AK$6001&lt;$AK5236))+1,"")</f>
        <v/>
      </c>
      <c r="AI5236">
        <f>IF($C5236="","",IF(OR($N5236=TRUE(),$N5236="TRUE"),1,0))</f>
        <v/>
      </c>
      <c r="AJ5236">
        <f>IF($C5236="","",IF($T5236="Yes",1,0))</f>
        <v/>
      </c>
      <c r="AK5236">
        <f>IF($AG5236=1,IFERROR(IF(VALUE($C5236)&lt;100000000,VALUE($C5236),1000000000),IFERROR(IF(VALUE(MID($C5236,2,20))&lt;100000000,VALUE(MID($C5236,2,20)),1000000000),1000000000))+ROW()/100000,"")</f>
        <v/>
      </c>
    </row>
    <row r="5237">
      <c r="D5237" s="11" t="n"/>
      <c r="K5237" s="7">
        <f>IF($C5237="","",J5237*W5237/100)</f>
        <v/>
      </c>
      <c r="Q5237" s="7" t="n"/>
      <c r="R5237" s="7" t="n"/>
      <c r="U5237">
        <f>IF($C5237="","",IF($AJ5237=1,0,IF($AI5237=1,Settings!$C$6,Settings!$C$7))*100)</f>
        <v/>
      </c>
      <c r="V5237" s="7">
        <f>IF($C5237="","",R5237*U5237/100)</f>
        <v/>
      </c>
      <c r="W5237" s="7">
        <f>IF($C5237="","",R5237-V5237)</f>
        <v/>
      </c>
      <c r="X5237" s="7">
        <f>IF($C5237="","",W5237-K5237)</f>
        <v/>
      </c>
      <c r="AB5237" s="7" t="n"/>
      <c r="AE5237" s="11" t="n"/>
      <c r="AG5237">
        <f>IF($C5237="","",IF(COUNTIF($C$2:$C5237,$C5237)=1,1,0))</f>
        <v/>
      </c>
      <c r="AH5237">
        <f>IF($AG5237=1,SUMPRODUCT(--($AK$2:$AK$6001&lt;$AK5237))+1,"")</f>
        <v/>
      </c>
      <c r="AI5237">
        <f>IF($C5237="","",IF(OR($N5237=TRUE(),$N5237="TRUE"),1,0))</f>
        <v/>
      </c>
      <c r="AJ5237">
        <f>IF($C5237="","",IF($T5237="Yes",1,0))</f>
        <v/>
      </c>
      <c r="AK5237">
        <f>IF($AG5237=1,IFERROR(IF(VALUE($C5237)&lt;100000000,VALUE($C5237),1000000000),IFERROR(IF(VALUE(MID($C5237,2,20))&lt;100000000,VALUE(MID($C5237,2,20)),1000000000),1000000000))+ROW()/100000,"")</f>
        <v/>
      </c>
    </row>
    <row r="5238">
      <c r="D5238" s="11" t="n"/>
      <c r="K5238" s="7">
        <f>IF($C5238="","",J5238*W5238/100)</f>
        <v/>
      </c>
      <c r="Q5238" s="7" t="n"/>
      <c r="R5238" s="7" t="n"/>
      <c r="U5238">
        <f>IF($C5238="","",IF($AJ5238=1,0,IF($AI5238=1,Settings!$C$6,Settings!$C$7))*100)</f>
        <v/>
      </c>
      <c r="V5238" s="7">
        <f>IF($C5238="","",R5238*U5238/100)</f>
        <v/>
      </c>
      <c r="W5238" s="7">
        <f>IF($C5238="","",R5238-V5238)</f>
        <v/>
      </c>
      <c r="X5238" s="7">
        <f>IF($C5238="","",W5238-K5238)</f>
        <v/>
      </c>
      <c r="AB5238" s="7" t="n"/>
      <c r="AE5238" s="11" t="n"/>
      <c r="AG5238">
        <f>IF($C5238="","",IF(COUNTIF($C$2:$C5238,$C5238)=1,1,0))</f>
        <v/>
      </c>
      <c r="AH5238">
        <f>IF($AG5238=1,SUMPRODUCT(--($AK$2:$AK$6001&lt;$AK5238))+1,"")</f>
        <v/>
      </c>
      <c r="AI5238">
        <f>IF($C5238="","",IF(OR($N5238=TRUE(),$N5238="TRUE"),1,0))</f>
        <v/>
      </c>
      <c r="AJ5238">
        <f>IF($C5238="","",IF($T5238="Yes",1,0))</f>
        <v/>
      </c>
      <c r="AK5238">
        <f>IF($AG5238=1,IFERROR(IF(VALUE($C5238)&lt;100000000,VALUE($C5238),1000000000),IFERROR(IF(VALUE(MID($C5238,2,20))&lt;100000000,VALUE(MID($C5238,2,20)),1000000000),1000000000))+ROW()/100000,"")</f>
        <v/>
      </c>
    </row>
    <row r="5239">
      <c r="D5239" s="11" t="n"/>
      <c r="K5239" s="7">
        <f>IF($C5239="","",J5239*W5239/100)</f>
        <v/>
      </c>
      <c r="Q5239" s="7" t="n"/>
      <c r="R5239" s="7" t="n"/>
      <c r="U5239">
        <f>IF($C5239="","",IF($AJ5239=1,0,IF($AI5239=1,Settings!$C$6,Settings!$C$7))*100)</f>
        <v/>
      </c>
      <c r="V5239" s="7">
        <f>IF($C5239="","",R5239*U5239/100)</f>
        <v/>
      </c>
      <c r="W5239" s="7">
        <f>IF($C5239="","",R5239-V5239)</f>
        <v/>
      </c>
      <c r="X5239" s="7">
        <f>IF($C5239="","",W5239-K5239)</f>
        <v/>
      </c>
      <c r="AB5239" s="7" t="n"/>
      <c r="AE5239" s="11" t="n"/>
      <c r="AG5239">
        <f>IF($C5239="","",IF(COUNTIF($C$2:$C5239,$C5239)=1,1,0))</f>
        <v/>
      </c>
      <c r="AH5239">
        <f>IF($AG5239=1,SUMPRODUCT(--($AK$2:$AK$6001&lt;$AK5239))+1,"")</f>
        <v/>
      </c>
      <c r="AI5239">
        <f>IF($C5239="","",IF(OR($N5239=TRUE(),$N5239="TRUE"),1,0))</f>
        <v/>
      </c>
      <c r="AJ5239">
        <f>IF($C5239="","",IF($T5239="Yes",1,0))</f>
        <v/>
      </c>
      <c r="AK5239">
        <f>IF($AG5239=1,IFERROR(IF(VALUE($C5239)&lt;100000000,VALUE($C5239),1000000000),IFERROR(IF(VALUE(MID($C5239,2,20))&lt;100000000,VALUE(MID($C5239,2,20)),1000000000),1000000000))+ROW()/100000,"")</f>
        <v/>
      </c>
    </row>
    <row r="5240">
      <c r="D5240" s="11" t="n"/>
      <c r="K5240" s="7">
        <f>IF($C5240="","",J5240*W5240/100)</f>
        <v/>
      </c>
      <c r="Q5240" s="7" t="n"/>
      <c r="R5240" s="7" t="n"/>
      <c r="U5240">
        <f>IF($C5240="","",IF($AJ5240=1,0,IF($AI5240=1,Settings!$C$6,Settings!$C$7))*100)</f>
        <v/>
      </c>
      <c r="V5240" s="7">
        <f>IF($C5240="","",R5240*U5240/100)</f>
        <v/>
      </c>
      <c r="W5240" s="7">
        <f>IF($C5240="","",R5240-V5240)</f>
        <v/>
      </c>
      <c r="X5240" s="7">
        <f>IF($C5240="","",W5240-K5240)</f>
        <v/>
      </c>
      <c r="AB5240" s="7" t="n"/>
      <c r="AE5240" s="11" t="n"/>
      <c r="AG5240">
        <f>IF($C5240="","",IF(COUNTIF($C$2:$C5240,$C5240)=1,1,0))</f>
        <v/>
      </c>
      <c r="AH5240">
        <f>IF($AG5240=1,SUMPRODUCT(--($AK$2:$AK$6001&lt;$AK5240))+1,"")</f>
        <v/>
      </c>
      <c r="AI5240">
        <f>IF($C5240="","",IF(OR($N5240=TRUE(),$N5240="TRUE"),1,0))</f>
        <v/>
      </c>
      <c r="AJ5240">
        <f>IF($C5240="","",IF($T5240="Yes",1,0))</f>
        <v/>
      </c>
      <c r="AK5240">
        <f>IF($AG5240=1,IFERROR(IF(VALUE($C5240)&lt;100000000,VALUE($C5240),1000000000),IFERROR(IF(VALUE(MID($C5240,2,20))&lt;100000000,VALUE(MID($C5240,2,20)),1000000000),1000000000))+ROW()/100000,"")</f>
        <v/>
      </c>
    </row>
    <row r="5241">
      <c r="D5241" s="11" t="n"/>
      <c r="K5241" s="7">
        <f>IF($C5241="","",J5241*W5241/100)</f>
        <v/>
      </c>
      <c r="Q5241" s="7" t="n"/>
      <c r="R5241" s="7" t="n"/>
      <c r="U5241">
        <f>IF($C5241="","",IF($AJ5241=1,0,IF($AI5241=1,Settings!$C$6,Settings!$C$7))*100)</f>
        <v/>
      </c>
      <c r="V5241" s="7">
        <f>IF($C5241="","",R5241*U5241/100)</f>
        <v/>
      </c>
      <c r="W5241" s="7">
        <f>IF($C5241="","",R5241-V5241)</f>
        <v/>
      </c>
      <c r="X5241" s="7">
        <f>IF($C5241="","",W5241-K5241)</f>
        <v/>
      </c>
      <c r="AB5241" s="7" t="n"/>
      <c r="AE5241" s="11" t="n"/>
      <c r="AG5241">
        <f>IF($C5241="","",IF(COUNTIF($C$2:$C5241,$C5241)=1,1,0))</f>
        <v/>
      </c>
      <c r="AH5241">
        <f>IF($AG5241=1,SUMPRODUCT(--($AK$2:$AK$6001&lt;$AK5241))+1,"")</f>
        <v/>
      </c>
      <c r="AI5241">
        <f>IF($C5241="","",IF(OR($N5241=TRUE(),$N5241="TRUE"),1,0))</f>
        <v/>
      </c>
      <c r="AJ5241">
        <f>IF($C5241="","",IF($T5241="Yes",1,0))</f>
        <v/>
      </c>
      <c r="AK5241">
        <f>IF($AG5241=1,IFERROR(IF(VALUE($C5241)&lt;100000000,VALUE($C5241),1000000000),IFERROR(IF(VALUE(MID($C5241,2,20))&lt;100000000,VALUE(MID($C5241,2,20)),1000000000),1000000000))+ROW()/100000,"")</f>
        <v/>
      </c>
    </row>
    <row r="5242">
      <c r="D5242" s="11" t="n"/>
      <c r="K5242" s="7">
        <f>IF($C5242="","",J5242*W5242/100)</f>
        <v/>
      </c>
      <c r="Q5242" s="7" t="n"/>
      <c r="R5242" s="7" t="n"/>
      <c r="U5242">
        <f>IF($C5242="","",IF($AJ5242=1,0,IF($AI5242=1,Settings!$C$6,Settings!$C$7))*100)</f>
        <v/>
      </c>
      <c r="V5242" s="7">
        <f>IF($C5242="","",R5242*U5242/100)</f>
        <v/>
      </c>
      <c r="W5242" s="7">
        <f>IF($C5242="","",R5242-V5242)</f>
        <v/>
      </c>
      <c r="X5242" s="7">
        <f>IF($C5242="","",W5242-K5242)</f>
        <v/>
      </c>
      <c r="AB5242" s="7" t="n"/>
      <c r="AE5242" s="11" t="n"/>
      <c r="AG5242">
        <f>IF($C5242="","",IF(COUNTIF($C$2:$C5242,$C5242)=1,1,0))</f>
        <v/>
      </c>
      <c r="AH5242">
        <f>IF($AG5242=1,SUMPRODUCT(--($AK$2:$AK$6001&lt;$AK5242))+1,"")</f>
        <v/>
      </c>
      <c r="AI5242">
        <f>IF($C5242="","",IF(OR($N5242=TRUE(),$N5242="TRUE"),1,0))</f>
        <v/>
      </c>
      <c r="AJ5242">
        <f>IF($C5242="","",IF($T5242="Yes",1,0))</f>
        <v/>
      </c>
      <c r="AK5242">
        <f>IF($AG5242=1,IFERROR(IF(VALUE($C5242)&lt;100000000,VALUE($C5242),1000000000),IFERROR(IF(VALUE(MID($C5242,2,20))&lt;100000000,VALUE(MID($C5242,2,20)),1000000000),1000000000))+ROW()/100000,"")</f>
        <v/>
      </c>
    </row>
    <row r="5243">
      <c r="D5243" s="11" t="n"/>
      <c r="K5243" s="7">
        <f>IF($C5243="","",J5243*W5243/100)</f>
        <v/>
      </c>
      <c r="Q5243" s="7" t="n"/>
      <c r="R5243" s="7" t="n"/>
      <c r="U5243">
        <f>IF($C5243="","",IF($AJ5243=1,0,IF($AI5243=1,Settings!$C$6,Settings!$C$7))*100)</f>
        <v/>
      </c>
      <c r="V5243" s="7">
        <f>IF($C5243="","",R5243*U5243/100)</f>
        <v/>
      </c>
      <c r="W5243" s="7">
        <f>IF($C5243="","",R5243-V5243)</f>
        <v/>
      </c>
      <c r="X5243" s="7">
        <f>IF($C5243="","",W5243-K5243)</f>
        <v/>
      </c>
      <c r="AB5243" s="7" t="n"/>
      <c r="AE5243" s="11" t="n"/>
      <c r="AG5243">
        <f>IF($C5243="","",IF(COUNTIF($C$2:$C5243,$C5243)=1,1,0))</f>
        <v/>
      </c>
      <c r="AH5243">
        <f>IF($AG5243=1,SUMPRODUCT(--($AK$2:$AK$6001&lt;$AK5243))+1,"")</f>
        <v/>
      </c>
      <c r="AI5243">
        <f>IF($C5243="","",IF(OR($N5243=TRUE(),$N5243="TRUE"),1,0))</f>
        <v/>
      </c>
      <c r="AJ5243">
        <f>IF($C5243="","",IF($T5243="Yes",1,0))</f>
        <v/>
      </c>
      <c r="AK5243">
        <f>IF($AG5243=1,IFERROR(IF(VALUE($C5243)&lt;100000000,VALUE($C5243),1000000000),IFERROR(IF(VALUE(MID($C5243,2,20))&lt;100000000,VALUE(MID($C5243,2,20)),1000000000),1000000000))+ROW()/100000,"")</f>
        <v/>
      </c>
    </row>
    <row r="5244">
      <c r="D5244" s="11" t="n"/>
      <c r="K5244" s="7">
        <f>IF($C5244="","",J5244*W5244/100)</f>
        <v/>
      </c>
      <c r="Q5244" s="7" t="n"/>
      <c r="R5244" s="7" t="n"/>
      <c r="U5244">
        <f>IF($C5244="","",IF($AJ5244=1,0,IF($AI5244=1,Settings!$C$6,Settings!$C$7))*100)</f>
        <v/>
      </c>
      <c r="V5244" s="7">
        <f>IF($C5244="","",R5244*U5244/100)</f>
        <v/>
      </c>
      <c r="W5244" s="7">
        <f>IF($C5244="","",R5244-V5244)</f>
        <v/>
      </c>
      <c r="X5244" s="7">
        <f>IF($C5244="","",W5244-K5244)</f>
        <v/>
      </c>
      <c r="AB5244" s="7" t="n"/>
      <c r="AE5244" s="11" t="n"/>
      <c r="AG5244">
        <f>IF($C5244="","",IF(COUNTIF($C$2:$C5244,$C5244)=1,1,0))</f>
        <v/>
      </c>
      <c r="AH5244">
        <f>IF($AG5244=1,SUMPRODUCT(--($AK$2:$AK$6001&lt;$AK5244))+1,"")</f>
        <v/>
      </c>
      <c r="AI5244">
        <f>IF($C5244="","",IF(OR($N5244=TRUE(),$N5244="TRUE"),1,0))</f>
        <v/>
      </c>
      <c r="AJ5244">
        <f>IF($C5244="","",IF($T5244="Yes",1,0))</f>
        <v/>
      </c>
      <c r="AK5244">
        <f>IF($AG5244=1,IFERROR(IF(VALUE($C5244)&lt;100000000,VALUE($C5244),1000000000),IFERROR(IF(VALUE(MID($C5244,2,20))&lt;100000000,VALUE(MID($C5244,2,20)),1000000000),1000000000))+ROW()/100000,"")</f>
        <v/>
      </c>
    </row>
    <row r="5245">
      <c r="D5245" s="11" t="n"/>
      <c r="K5245" s="7">
        <f>IF($C5245="","",J5245*W5245/100)</f>
        <v/>
      </c>
      <c r="Q5245" s="7" t="n"/>
      <c r="R5245" s="7" t="n"/>
      <c r="U5245">
        <f>IF($C5245="","",IF($AJ5245=1,0,IF($AI5245=1,Settings!$C$6,Settings!$C$7))*100)</f>
        <v/>
      </c>
      <c r="V5245" s="7">
        <f>IF($C5245="","",R5245*U5245/100)</f>
        <v/>
      </c>
      <c r="W5245" s="7">
        <f>IF($C5245="","",R5245-V5245)</f>
        <v/>
      </c>
      <c r="X5245" s="7">
        <f>IF($C5245="","",W5245-K5245)</f>
        <v/>
      </c>
      <c r="AB5245" s="7" t="n"/>
      <c r="AE5245" s="11" t="n"/>
      <c r="AG5245">
        <f>IF($C5245="","",IF(COUNTIF($C$2:$C5245,$C5245)=1,1,0))</f>
        <v/>
      </c>
      <c r="AH5245">
        <f>IF($AG5245=1,SUMPRODUCT(--($AK$2:$AK$6001&lt;$AK5245))+1,"")</f>
        <v/>
      </c>
      <c r="AI5245">
        <f>IF($C5245="","",IF(OR($N5245=TRUE(),$N5245="TRUE"),1,0))</f>
        <v/>
      </c>
      <c r="AJ5245">
        <f>IF($C5245="","",IF($T5245="Yes",1,0))</f>
        <v/>
      </c>
      <c r="AK5245">
        <f>IF($AG5245=1,IFERROR(IF(VALUE($C5245)&lt;100000000,VALUE($C5245),1000000000),IFERROR(IF(VALUE(MID($C5245,2,20))&lt;100000000,VALUE(MID($C5245,2,20)),1000000000),1000000000))+ROW()/100000,"")</f>
        <v/>
      </c>
    </row>
    <row r="5246">
      <c r="D5246" s="11" t="n"/>
      <c r="K5246" s="7">
        <f>IF($C5246="","",J5246*W5246/100)</f>
        <v/>
      </c>
      <c r="Q5246" s="7" t="n"/>
      <c r="R5246" s="7" t="n"/>
      <c r="U5246">
        <f>IF($C5246="","",IF($AJ5246=1,0,IF($AI5246=1,Settings!$C$6,Settings!$C$7))*100)</f>
        <v/>
      </c>
      <c r="V5246" s="7">
        <f>IF($C5246="","",R5246*U5246/100)</f>
        <v/>
      </c>
      <c r="W5246" s="7">
        <f>IF($C5246="","",R5246-V5246)</f>
        <v/>
      </c>
      <c r="X5246" s="7">
        <f>IF($C5246="","",W5246-K5246)</f>
        <v/>
      </c>
      <c r="AB5246" s="7" t="n"/>
      <c r="AE5246" s="11" t="n"/>
      <c r="AG5246">
        <f>IF($C5246="","",IF(COUNTIF($C$2:$C5246,$C5246)=1,1,0))</f>
        <v/>
      </c>
      <c r="AH5246">
        <f>IF($AG5246=1,SUMPRODUCT(--($AK$2:$AK$6001&lt;$AK5246))+1,"")</f>
        <v/>
      </c>
      <c r="AI5246">
        <f>IF($C5246="","",IF(OR($N5246=TRUE(),$N5246="TRUE"),1,0))</f>
        <v/>
      </c>
      <c r="AJ5246">
        <f>IF($C5246="","",IF($T5246="Yes",1,0))</f>
        <v/>
      </c>
      <c r="AK5246">
        <f>IF($AG5246=1,IFERROR(IF(VALUE($C5246)&lt;100000000,VALUE($C5246),1000000000),IFERROR(IF(VALUE(MID($C5246,2,20))&lt;100000000,VALUE(MID($C5246,2,20)),1000000000),1000000000))+ROW()/100000,"")</f>
        <v/>
      </c>
    </row>
    <row r="5247">
      <c r="D5247" s="11" t="n"/>
      <c r="K5247" s="7">
        <f>IF($C5247="","",J5247*W5247/100)</f>
        <v/>
      </c>
      <c r="Q5247" s="7" t="n"/>
      <c r="R5247" s="7" t="n"/>
      <c r="U5247">
        <f>IF($C5247="","",IF($AJ5247=1,0,IF($AI5247=1,Settings!$C$6,Settings!$C$7))*100)</f>
        <v/>
      </c>
      <c r="V5247" s="7">
        <f>IF($C5247="","",R5247*U5247/100)</f>
        <v/>
      </c>
      <c r="W5247" s="7">
        <f>IF($C5247="","",R5247-V5247)</f>
        <v/>
      </c>
      <c r="X5247" s="7">
        <f>IF($C5247="","",W5247-K5247)</f>
        <v/>
      </c>
      <c r="AB5247" s="7" t="n"/>
      <c r="AE5247" s="11" t="n"/>
      <c r="AG5247">
        <f>IF($C5247="","",IF(COUNTIF($C$2:$C5247,$C5247)=1,1,0))</f>
        <v/>
      </c>
      <c r="AH5247">
        <f>IF($AG5247=1,SUMPRODUCT(--($AK$2:$AK$6001&lt;$AK5247))+1,"")</f>
        <v/>
      </c>
      <c r="AI5247">
        <f>IF($C5247="","",IF(OR($N5247=TRUE(),$N5247="TRUE"),1,0))</f>
        <v/>
      </c>
      <c r="AJ5247">
        <f>IF($C5247="","",IF($T5247="Yes",1,0))</f>
        <v/>
      </c>
      <c r="AK5247">
        <f>IF($AG5247=1,IFERROR(IF(VALUE($C5247)&lt;100000000,VALUE($C5247),1000000000),IFERROR(IF(VALUE(MID($C5247,2,20))&lt;100000000,VALUE(MID($C5247,2,20)),1000000000),1000000000))+ROW()/100000,"")</f>
        <v/>
      </c>
    </row>
    <row r="5248">
      <c r="D5248" s="11" t="n"/>
      <c r="K5248" s="7">
        <f>IF($C5248="","",J5248*W5248/100)</f>
        <v/>
      </c>
      <c r="Q5248" s="7" t="n"/>
      <c r="R5248" s="7" t="n"/>
      <c r="U5248">
        <f>IF($C5248="","",IF($AJ5248=1,0,IF($AI5248=1,Settings!$C$6,Settings!$C$7))*100)</f>
        <v/>
      </c>
      <c r="V5248" s="7">
        <f>IF($C5248="","",R5248*U5248/100)</f>
        <v/>
      </c>
      <c r="W5248" s="7">
        <f>IF($C5248="","",R5248-V5248)</f>
        <v/>
      </c>
      <c r="X5248" s="7">
        <f>IF($C5248="","",W5248-K5248)</f>
        <v/>
      </c>
      <c r="AB5248" s="7" t="n"/>
      <c r="AE5248" s="11" t="n"/>
      <c r="AG5248">
        <f>IF($C5248="","",IF(COUNTIF($C$2:$C5248,$C5248)=1,1,0))</f>
        <v/>
      </c>
      <c r="AH5248">
        <f>IF($AG5248=1,SUMPRODUCT(--($AK$2:$AK$6001&lt;$AK5248))+1,"")</f>
        <v/>
      </c>
      <c r="AI5248">
        <f>IF($C5248="","",IF(OR($N5248=TRUE(),$N5248="TRUE"),1,0))</f>
        <v/>
      </c>
      <c r="AJ5248">
        <f>IF($C5248="","",IF($T5248="Yes",1,0))</f>
        <v/>
      </c>
      <c r="AK5248">
        <f>IF($AG5248=1,IFERROR(IF(VALUE($C5248)&lt;100000000,VALUE($C5248),1000000000),IFERROR(IF(VALUE(MID($C5248,2,20))&lt;100000000,VALUE(MID($C5248,2,20)),1000000000),1000000000))+ROW()/100000,"")</f>
        <v/>
      </c>
    </row>
    <row r="5249">
      <c r="D5249" s="11" t="n"/>
      <c r="K5249" s="7">
        <f>IF($C5249="","",J5249*W5249/100)</f>
        <v/>
      </c>
      <c r="Q5249" s="7" t="n"/>
      <c r="R5249" s="7" t="n"/>
      <c r="U5249">
        <f>IF($C5249="","",IF($AJ5249=1,0,IF($AI5249=1,Settings!$C$6,Settings!$C$7))*100)</f>
        <v/>
      </c>
      <c r="V5249" s="7">
        <f>IF($C5249="","",R5249*U5249/100)</f>
        <v/>
      </c>
      <c r="W5249" s="7">
        <f>IF($C5249="","",R5249-V5249)</f>
        <v/>
      </c>
      <c r="X5249" s="7">
        <f>IF($C5249="","",W5249-K5249)</f>
        <v/>
      </c>
      <c r="AB5249" s="7" t="n"/>
      <c r="AE5249" s="11" t="n"/>
      <c r="AG5249">
        <f>IF($C5249="","",IF(COUNTIF($C$2:$C5249,$C5249)=1,1,0))</f>
        <v/>
      </c>
      <c r="AH5249">
        <f>IF($AG5249=1,SUMPRODUCT(--($AK$2:$AK$6001&lt;$AK5249))+1,"")</f>
        <v/>
      </c>
      <c r="AI5249">
        <f>IF($C5249="","",IF(OR($N5249=TRUE(),$N5249="TRUE"),1,0))</f>
        <v/>
      </c>
      <c r="AJ5249">
        <f>IF($C5249="","",IF($T5249="Yes",1,0))</f>
        <v/>
      </c>
      <c r="AK5249">
        <f>IF($AG5249=1,IFERROR(IF(VALUE($C5249)&lt;100000000,VALUE($C5249),1000000000),IFERROR(IF(VALUE(MID($C5249,2,20))&lt;100000000,VALUE(MID($C5249,2,20)),1000000000),1000000000))+ROW()/100000,"")</f>
        <v/>
      </c>
    </row>
    <row r="5250">
      <c r="D5250" s="11" t="n"/>
      <c r="K5250" s="7">
        <f>IF($C5250="","",J5250*W5250/100)</f>
        <v/>
      </c>
      <c r="Q5250" s="7" t="n"/>
      <c r="R5250" s="7" t="n"/>
      <c r="U5250">
        <f>IF($C5250="","",IF($AJ5250=1,0,IF($AI5250=1,Settings!$C$6,Settings!$C$7))*100)</f>
        <v/>
      </c>
      <c r="V5250" s="7">
        <f>IF($C5250="","",R5250*U5250/100)</f>
        <v/>
      </c>
      <c r="W5250" s="7">
        <f>IF($C5250="","",R5250-V5250)</f>
        <v/>
      </c>
      <c r="X5250" s="7">
        <f>IF($C5250="","",W5250-K5250)</f>
        <v/>
      </c>
      <c r="AB5250" s="7" t="n"/>
      <c r="AE5250" s="11" t="n"/>
      <c r="AG5250">
        <f>IF($C5250="","",IF(COUNTIF($C$2:$C5250,$C5250)=1,1,0))</f>
        <v/>
      </c>
      <c r="AH5250">
        <f>IF($AG5250=1,SUMPRODUCT(--($AK$2:$AK$6001&lt;$AK5250))+1,"")</f>
        <v/>
      </c>
      <c r="AI5250">
        <f>IF($C5250="","",IF(OR($N5250=TRUE(),$N5250="TRUE"),1,0))</f>
        <v/>
      </c>
      <c r="AJ5250">
        <f>IF($C5250="","",IF($T5250="Yes",1,0))</f>
        <v/>
      </c>
      <c r="AK5250">
        <f>IF($AG5250=1,IFERROR(IF(VALUE($C5250)&lt;100000000,VALUE($C5250),1000000000),IFERROR(IF(VALUE(MID($C5250,2,20))&lt;100000000,VALUE(MID($C5250,2,20)),1000000000),1000000000))+ROW()/100000,"")</f>
        <v/>
      </c>
    </row>
    <row r="5251">
      <c r="D5251" s="11" t="n"/>
      <c r="K5251" s="7">
        <f>IF($C5251="","",J5251*W5251/100)</f>
        <v/>
      </c>
      <c r="Q5251" s="7" t="n"/>
      <c r="R5251" s="7" t="n"/>
      <c r="U5251">
        <f>IF($C5251="","",IF($AJ5251=1,0,IF($AI5251=1,Settings!$C$6,Settings!$C$7))*100)</f>
        <v/>
      </c>
      <c r="V5251" s="7">
        <f>IF($C5251="","",R5251*U5251/100)</f>
        <v/>
      </c>
      <c r="W5251" s="7">
        <f>IF($C5251="","",R5251-V5251)</f>
        <v/>
      </c>
      <c r="X5251" s="7">
        <f>IF($C5251="","",W5251-K5251)</f>
        <v/>
      </c>
      <c r="AB5251" s="7" t="n"/>
      <c r="AE5251" s="11" t="n"/>
      <c r="AG5251">
        <f>IF($C5251="","",IF(COUNTIF($C$2:$C5251,$C5251)=1,1,0))</f>
        <v/>
      </c>
      <c r="AH5251">
        <f>IF($AG5251=1,SUMPRODUCT(--($AK$2:$AK$6001&lt;$AK5251))+1,"")</f>
        <v/>
      </c>
      <c r="AI5251">
        <f>IF($C5251="","",IF(OR($N5251=TRUE(),$N5251="TRUE"),1,0))</f>
        <v/>
      </c>
      <c r="AJ5251">
        <f>IF($C5251="","",IF($T5251="Yes",1,0))</f>
        <v/>
      </c>
      <c r="AK5251">
        <f>IF($AG5251=1,IFERROR(IF(VALUE($C5251)&lt;100000000,VALUE($C5251),1000000000),IFERROR(IF(VALUE(MID($C5251,2,20))&lt;100000000,VALUE(MID($C5251,2,20)),1000000000),1000000000))+ROW()/100000,"")</f>
        <v/>
      </c>
    </row>
    <row r="5252">
      <c r="D5252" s="11" t="n"/>
      <c r="K5252" s="7">
        <f>IF($C5252="","",J5252*W5252/100)</f>
        <v/>
      </c>
      <c r="Q5252" s="7" t="n"/>
      <c r="R5252" s="7" t="n"/>
      <c r="U5252">
        <f>IF($C5252="","",IF($AJ5252=1,0,IF($AI5252=1,Settings!$C$6,Settings!$C$7))*100)</f>
        <v/>
      </c>
      <c r="V5252" s="7">
        <f>IF($C5252="","",R5252*U5252/100)</f>
        <v/>
      </c>
      <c r="W5252" s="7">
        <f>IF($C5252="","",R5252-V5252)</f>
        <v/>
      </c>
      <c r="X5252" s="7">
        <f>IF($C5252="","",W5252-K5252)</f>
        <v/>
      </c>
      <c r="AB5252" s="7" t="n"/>
      <c r="AE5252" s="11" t="n"/>
      <c r="AG5252">
        <f>IF($C5252="","",IF(COUNTIF($C$2:$C5252,$C5252)=1,1,0))</f>
        <v/>
      </c>
      <c r="AH5252">
        <f>IF($AG5252=1,SUMPRODUCT(--($AK$2:$AK$6001&lt;$AK5252))+1,"")</f>
        <v/>
      </c>
      <c r="AI5252">
        <f>IF($C5252="","",IF(OR($N5252=TRUE(),$N5252="TRUE"),1,0))</f>
        <v/>
      </c>
      <c r="AJ5252">
        <f>IF($C5252="","",IF($T5252="Yes",1,0))</f>
        <v/>
      </c>
      <c r="AK5252">
        <f>IF($AG5252=1,IFERROR(IF(VALUE($C5252)&lt;100000000,VALUE($C5252),1000000000),IFERROR(IF(VALUE(MID($C5252,2,20))&lt;100000000,VALUE(MID($C5252,2,20)),1000000000),1000000000))+ROW()/100000,"")</f>
        <v/>
      </c>
    </row>
    <row r="5253">
      <c r="D5253" s="11" t="n"/>
      <c r="K5253" s="7">
        <f>IF($C5253="","",J5253*W5253/100)</f>
        <v/>
      </c>
      <c r="Q5253" s="7" t="n"/>
      <c r="R5253" s="7" t="n"/>
      <c r="U5253">
        <f>IF($C5253="","",IF($AJ5253=1,0,IF($AI5253=1,Settings!$C$6,Settings!$C$7))*100)</f>
        <v/>
      </c>
      <c r="V5253" s="7">
        <f>IF($C5253="","",R5253*U5253/100)</f>
        <v/>
      </c>
      <c r="W5253" s="7">
        <f>IF($C5253="","",R5253-V5253)</f>
        <v/>
      </c>
      <c r="X5253" s="7">
        <f>IF($C5253="","",W5253-K5253)</f>
        <v/>
      </c>
      <c r="AB5253" s="7" t="n"/>
      <c r="AE5253" s="11" t="n"/>
      <c r="AG5253">
        <f>IF($C5253="","",IF(COUNTIF($C$2:$C5253,$C5253)=1,1,0))</f>
        <v/>
      </c>
      <c r="AH5253">
        <f>IF($AG5253=1,SUMPRODUCT(--($AK$2:$AK$6001&lt;$AK5253))+1,"")</f>
        <v/>
      </c>
      <c r="AI5253">
        <f>IF($C5253="","",IF(OR($N5253=TRUE(),$N5253="TRUE"),1,0))</f>
        <v/>
      </c>
      <c r="AJ5253">
        <f>IF($C5253="","",IF($T5253="Yes",1,0))</f>
        <v/>
      </c>
      <c r="AK5253">
        <f>IF($AG5253=1,IFERROR(IF(VALUE($C5253)&lt;100000000,VALUE($C5253),1000000000),IFERROR(IF(VALUE(MID($C5253,2,20))&lt;100000000,VALUE(MID($C5253,2,20)),1000000000),1000000000))+ROW()/100000,"")</f>
        <v/>
      </c>
    </row>
    <row r="5254">
      <c r="D5254" s="11" t="n"/>
      <c r="K5254" s="7">
        <f>IF($C5254="","",J5254*W5254/100)</f>
        <v/>
      </c>
      <c r="Q5254" s="7" t="n"/>
      <c r="R5254" s="7" t="n"/>
      <c r="U5254">
        <f>IF($C5254="","",IF($AJ5254=1,0,IF($AI5254=1,Settings!$C$6,Settings!$C$7))*100)</f>
        <v/>
      </c>
      <c r="V5254" s="7">
        <f>IF($C5254="","",R5254*U5254/100)</f>
        <v/>
      </c>
      <c r="W5254" s="7">
        <f>IF($C5254="","",R5254-V5254)</f>
        <v/>
      </c>
      <c r="X5254" s="7">
        <f>IF($C5254="","",W5254-K5254)</f>
        <v/>
      </c>
      <c r="AB5254" s="7" t="n"/>
      <c r="AE5254" s="11" t="n"/>
      <c r="AG5254">
        <f>IF($C5254="","",IF(COUNTIF($C$2:$C5254,$C5254)=1,1,0))</f>
        <v/>
      </c>
      <c r="AH5254">
        <f>IF($AG5254=1,SUMPRODUCT(--($AK$2:$AK$6001&lt;$AK5254))+1,"")</f>
        <v/>
      </c>
      <c r="AI5254">
        <f>IF($C5254="","",IF(OR($N5254=TRUE(),$N5254="TRUE"),1,0))</f>
        <v/>
      </c>
      <c r="AJ5254">
        <f>IF($C5254="","",IF($T5254="Yes",1,0))</f>
        <v/>
      </c>
      <c r="AK5254">
        <f>IF($AG5254=1,IFERROR(IF(VALUE($C5254)&lt;100000000,VALUE($C5254),1000000000),IFERROR(IF(VALUE(MID($C5254,2,20))&lt;100000000,VALUE(MID($C5254,2,20)),1000000000),1000000000))+ROW()/100000,"")</f>
        <v/>
      </c>
    </row>
    <row r="5255">
      <c r="D5255" s="11" t="n"/>
      <c r="K5255" s="7">
        <f>IF($C5255="","",J5255*W5255/100)</f>
        <v/>
      </c>
      <c r="Q5255" s="7" t="n"/>
      <c r="R5255" s="7" t="n"/>
      <c r="U5255">
        <f>IF($C5255="","",IF($AJ5255=1,0,IF($AI5255=1,Settings!$C$6,Settings!$C$7))*100)</f>
        <v/>
      </c>
      <c r="V5255" s="7">
        <f>IF($C5255="","",R5255*U5255/100)</f>
        <v/>
      </c>
      <c r="W5255" s="7">
        <f>IF($C5255="","",R5255-V5255)</f>
        <v/>
      </c>
      <c r="X5255" s="7">
        <f>IF($C5255="","",W5255-K5255)</f>
        <v/>
      </c>
      <c r="AB5255" s="7" t="n"/>
      <c r="AE5255" s="11" t="n"/>
      <c r="AG5255">
        <f>IF($C5255="","",IF(COUNTIF($C$2:$C5255,$C5255)=1,1,0))</f>
        <v/>
      </c>
      <c r="AH5255">
        <f>IF($AG5255=1,SUMPRODUCT(--($AK$2:$AK$6001&lt;$AK5255))+1,"")</f>
        <v/>
      </c>
      <c r="AI5255">
        <f>IF($C5255="","",IF(OR($N5255=TRUE(),$N5255="TRUE"),1,0))</f>
        <v/>
      </c>
      <c r="AJ5255">
        <f>IF($C5255="","",IF($T5255="Yes",1,0))</f>
        <v/>
      </c>
      <c r="AK5255">
        <f>IF($AG5255=1,IFERROR(IF(VALUE($C5255)&lt;100000000,VALUE($C5255),1000000000),IFERROR(IF(VALUE(MID($C5255,2,20))&lt;100000000,VALUE(MID($C5255,2,20)),1000000000),1000000000))+ROW()/100000,"")</f>
        <v/>
      </c>
    </row>
    <row r="5256">
      <c r="D5256" s="11" t="n"/>
      <c r="K5256" s="7">
        <f>IF($C5256="","",J5256*W5256/100)</f>
        <v/>
      </c>
      <c r="Q5256" s="7" t="n"/>
      <c r="R5256" s="7" t="n"/>
      <c r="U5256">
        <f>IF($C5256="","",IF($AJ5256=1,0,IF($AI5256=1,Settings!$C$6,Settings!$C$7))*100)</f>
        <v/>
      </c>
      <c r="V5256" s="7">
        <f>IF($C5256="","",R5256*U5256/100)</f>
        <v/>
      </c>
      <c r="W5256" s="7">
        <f>IF($C5256="","",R5256-V5256)</f>
        <v/>
      </c>
      <c r="X5256" s="7">
        <f>IF($C5256="","",W5256-K5256)</f>
        <v/>
      </c>
      <c r="AB5256" s="7" t="n"/>
      <c r="AE5256" s="11" t="n"/>
      <c r="AG5256">
        <f>IF($C5256="","",IF(COUNTIF($C$2:$C5256,$C5256)=1,1,0))</f>
        <v/>
      </c>
      <c r="AH5256">
        <f>IF($AG5256=1,SUMPRODUCT(--($AK$2:$AK$6001&lt;$AK5256))+1,"")</f>
        <v/>
      </c>
      <c r="AI5256">
        <f>IF($C5256="","",IF(OR($N5256=TRUE(),$N5256="TRUE"),1,0))</f>
        <v/>
      </c>
      <c r="AJ5256">
        <f>IF($C5256="","",IF($T5256="Yes",1,0))</f>
        <v/>
      </c>
      <c r="AK5256">
        <f>IF($AG5256=1,IFERROR(IF(VALUE($C5256)&lt;100000000,VALUE($C5256),1000000000),IFERROR(IF(VALUE(MID($C5256,2,20))&lt;100000000,VALUE(MID($C5256,2,20)),1000000000),1000000000))+ROW()/100000,"")</f>
        <v/>
      </c>
    </row>
    <row r="5257">
      <c r="D5257" s="11" t="n"/>
      <c r="K5257" s="7">
        <f>IF($C5257="","",J5257*W5257/100)</f>
        <v/>
      </c>
      <c r="Q5257" s="7" t="n"/>
      <c r="R5257" s="7" t="n"/>
      <c r="U5257">
        <f>IF($C5257="","",IF($AJ5257=1,0,IF($AI5257=1,Settings!$C$6,Settings!$C$7))*100)</f>
        <v/>
      </c>
      <c r="V5257" s="7">
        <f>IF($C5257="","",R5257*U5257/100)</f>
        <v/>
      </c>
      <c r="W5257" s="7">
        <f>IF($C5257="","",R5257-V5257)</f>
        <v/>
      </c>
      <c r="X5257" s="7">
        <f>IF($C5257="","",W5257-K5257)</f>
        <v/>
      </c>
      <c r="AB5257" s="7" t="n"/>
      <c r="AE5257" s="11" t="n"/>
      <c r="AG5257">
        <f>IF($C5257="","",IF(COUNTIF($C$2:$C5257,$C5257)=1,1,0))</f>
        <v/>
      </c>
      <c r="AH5257">
        <f>IF($AG5257=1,SUMPRODUCT(--($AK$2:$AK$6001&lt;$AK5257))+1,"")</f>
        <v/>
      </c>
      <c r="AI5257">
        <f>IF($C5257="","",IF(OR($N5257=TRUE(),$N5257="TRUE"),1,0))</f>
        <v/>
      </c>
      <c r="AJ5257">
        <f>IF($C5257="","",IF($T5257="Yes",1,0))</f>
        <v/>
      </c>
      <c r="AK5257">
        <f>IF($AG5257=1,IFERROR(IF(VALUE($C5257)&lt;100000000,VALUE($C5257),1000000000),IFERROR(IF(VALUE(MID($C5257,2,20))&lt;100000000,VALUE(MID($C5257,2,20)),1000000000),1000000000))+ROW()/100000,"")</f>
        <v/>
      </c>
    </row>
    <row r="5258">
      <c r="D5258" s="11" t="n"/>
      <c r="K5258" s="7">
        <f>IF($C5258="","",J5258*W5258/100)</f>
        <v/>
      </c>
      <c r="Q5258" s="7" t="n"/>
      <c r="R5258" s="7" t="n"/>
      <c r="U5258">
        <f>IF($C5258="","",IF($AJ5258=1,0,IF($AI5258=1,Settings!$C$6,Settings!$C$7))*100)</f>
        <v/>
      </c>
      <c r="V5258" s="7">
        <f>IF($C5258="","",R5258*U5258/100)</f>
        <v/>
      </c>
      <c r="W5258" s="7">
        <f>IF($C5258="","",R5258-V5258)</f>
        <v/>
      </c>
      <c r="X5258" s="7">
        <f>IF($C5258="","",W5258-K5258)</f>
        <v/>
      </c>
      <c r="AB5258" s="7" t="n"/>
      <c r="AE5258" s="11" t="n"/>
      <c r="AG5258">
        <f>IF($C5258="","",IF(COUNTIF($C$2:$C5258,$C5258)=1,1,0))</f>
        <v/>
      </c>
      <c r="AH5258">
        <f>IF($AG5258=1,SUMPRODUCT(--($AK$2:$AK$6001&lt;$AK5258))+1,"")</f>
        <v/>
      </c>
      <c r="AI5258">
        <f>IF($C5258="","",IF(OR($N5258=TRUE(),$N5258="TRUE"),1,0))</f>
        <v/>
      </c>
      <c r="AJ5258">
        <f>IF($C5258="","",IF($T5258="Yes",1,0))</f>
        <v/>
      </c>
      <c r="AK5258">
        <f>IF($AG5258=1,IFERROR(IF(VALUE($C5258)&lt;100000000,VALUE($C5258),1000000000),IFERROR(IF(VALUE(MID($C5258,2,20))&lt;100000000,VALUE(MID($C5258,2,20)),1000000000),1000000000))+ROW()/100000,"")</f>
        <v/>
      </c>
    </row>
    <row r="5259">
      <c r="D5259" s="11" t="n"/>
      <c r="K5259" s="7">
        <f>IF($C5259="","",J5259*W5259/100)</f>
        <v/>
      </c>
      <c r="Q5259" s="7" t="n"/>
      <c r="R5259" s="7" t="n"/>
      <c r="U5259">
        <f>IF($C5259="","",IF($AJ5259=1,0,IF($AI5259=1,Settings!$C$6,Settings!$C$7))*100)</f>
        <v/>
      </c>
      <c r="V5259" s="7">
        <f>IF($C5259="","",R5259*U5259/100)</f>
        <v/>
      </c>
      <c r="W5259" s="7">
        <f>IF($C5259="","",R5259-V5259)</f>
        <v/>
      </c>
      <c r="X5259" s="7">
        <f>IF($C5259="","",W5259-K5259)</f>
        <v/>
      </c>
      <c r="AB5259" s="7" t="n"/>
      <c r="AE5259" s="11" t="n"/>
      <c r="AG5259">
        <f>IF($C5259="","",IF(COUNTIF($C$2:$C5259,$C5259)=1,1,0))</f>
        <v/>
      </c>
      <c r="AH5259">
        <f>IF($AG5259=1,SUMPRODUCT(--($AK$2:$AK$6001&lt;$AK5259))+1,"")</f>
        <v/>
      </c>
      <c r="AI5259">
        <f>IF($C5259="","",IF(OR($N5259=TRUE(),$N5259="TRUE"),1,0))</f>
        <v/>
      </c>
      <c r="AJ5259">
        <f>IF($C5259="","",IF($T5259="Yes",1,0))</f>
        <v/>
      </c>
      <c r="AK5259">
        <f>IF($AG5259=1,IFERROR(IF(VALUE($C5259)&lt;100000000,VALUE($C5259),1000000000),IFERROR(IF(VALUE(MID($C5259,2,20))&lt;100000000,VALUE(MID($C5259,2,20)),1000000000),1000000000))+ROW()/100000,"")</f>
        <v/>
      </c>
    </row>
    <row r="5260">
      <c r="D5260" s="11" t="n"/>
      <c r="K5260" s="7">
        <f>IF($C5260="","",J5260*W5260/100)</f>
        <v/>
      </c>
      <c r="Q5260" s="7" t="n"/>
      <c r="R5260" s="7" t="n"/>
      <c r="U5260">
        <f>IF($C5260="","",IF($AJ5260=1,0,IF($AI5260=1,Settings!$C$6,Settings!$C$7))*100)</f>
        <v/>
      </c>
      <c r="V5260" s="7">
        <f>IF($C5260="","",R5260*U5260/100)</f>
        <v/>
      </c>
      <c r="W5260" s="7">
        <f>IF($C5260="","",R5260-V5260)</f>
        <v/>
      </c>
      <c r="X5260" s="7">
        <f>IF($C5260="","",W5260-K5260)</f>
        <v/>
      </c>
      <c r="AB5260" s="7" t="n"/>
      <c r="AE5260" s="11" t="n"/>
      <c r="AG5260">
        <f>IF($C5260="","",IF(COUNTIF($C$2:$C5260,$C5260)=1,1,0))</f>
        <v/>
      </c>
      <c r="AH5260">
        <f>IF($AG5260=1,SUMPRODUCT(--($AK$2:$AK$6001&lt;$AK5260))+1,"")</f>
        <v/>
      </c>
      <c r="AI5260">
        <f>IF($C5260="","",IF(OR($N5260=TRUE(),$N5260="TRUE"),1,0))</f>
        <v/>
      </c>
      <c r="AJ5260">
        <f>IF($C5260="","",IF($T5260="Yes",1,0))</f>
        <v/>
      </c>
      <c r="AK5260">
        <f>IF($AG5260=1,IFERROR(IF(VALUE($C5260)&lt;100000000,VALUE($C5260),1000000000),IFERROR(IF(VALUE(MID($C5260,2,20))&lt;100000000,VALUE(MID($C5260,2,20)),1000000000),1000000000))+ROW()/100000,"")</f>
        <v/>
      </c>
    </row>
    <row r="5261">
      <c r="D5261" s="11" t="n"/>
      <c r="K5261" s="7">
        <f>IF($C5261="","",J5261*W5261/100)</f>
        <v/>
      </c>
      <c r="Q5261" s="7" t="n"/>
      <c r="R5261" s="7" t="n"/>
      <c r="U5261">
        <f>IF($C5261="","",IF($AJ5261=1,0,IF($AI5261=1,Settings!$C$6,Settings!$C$7))*100)</f>
        <v/>
      </c>
      <c r="V5261" s="7">
        <f>IF($C5261="","",R5261*U5261/100)</f>
        <v/>
      </c>
      <c r="W5261" s="7">
        <f>IF($C5261="","",R5261-V5261)</f>
        <v/>
      </c>
      <c r="X5261" s="7">
        <f>IF($C5261="","",W5261-K5261)</f>
        <v/>
      </c>
      <c r="AB5261" s="7" t="n"/>
      <c r="AE5261" s="11" t="n"/>
      <c r="AG5261">
        <f>IF($C5261="","",IF(COUNTIF($C$2:$C5261,$C5261)=1,1,0))</f>
        <v/>
      </c>
      <c r="AH5261">
        <f>IF($AG5261=1,SUMPRODUCT(--($AK$2:$AK$6001&lt;$AK5261))+1,"")</f>
        <v/>
      </c>
      <c r="AI5261">
        <f>IF($C5261="","",IF(OR($N5261=TRUE(),$N5261="TRUE"),1,0))</f>
        <v/>
      </c>
      <c r="AJ5261">
        <f>IF($C5261="","",IF($T5261="Yes",1,0))</f>
        <v/>
      </c>
      <c r="AK5261">
        <f>IF($AG5261=1,IFERROR(IF(VALUE($C5261)&lt;100000000,VALUE($C5261),1000000000),IFERROR(IF(VALUE(MID($C5261,2,20))&lt;100000000,VALUE(MID($C5261,2,20)),1000000000),1000000000))+ROW()/100000,"")</f>
        <v/>
      </c>
    </row>
    <row r="5262">
      <c r="D5262" s="11" t="n"/>
      <c r="K5262" s="7">
        <f>IF($C5262="","",J5262*W5262/100)</f>
        <v/>
      </c>
      <c r="Q5262" s="7" t="n"/>
      <c r="R5262" s="7" t="n"/>
      <c r="U5262">
        <f>IF($C5262="","",IF($AJ5262=1,0,IF($AI5262=1,Settings!$C$6,Settings!$C$7))*100)</f>
        <v/>
      </c>
      <c r="V5262" s="7">
        <f>IF($C5262="","",R5262*U5262/100)</f>
        <v/>
      </c>
      <c r="W5262" s="7">
        <f>IF($C5262="","",R5262-V5262)</f>
        <v/>
      </c>
      <c r="X5262" s="7">
        <f>IF($C5262="","",W5262-K5262)</f>
        <v/>
      </c>
      <c r="AB5262" s="7" t="n"/>
      <c r="AE5262" s="11" t="n"/>
      <c r="AG5262">
        <f>IF($C5262="","",IF(COUNTIF($C$2:$C5262,$C5262)=1,1,0))</f>
        <v/>
      </c>
      <c r="AH5262">
        <f>IF($AG5262=1,SUMPRODUCT(--($AK$2:$AK$6001&lt;$AK5262))+1,"")</f>
        <v/>
      </c>
      <c r="AI5262">
        <f>IF($C5262="","",IF(OR($N5262=TRUE(),$N5262="TRUE"),1,0))</f>
        <v/>
      </c>
      <c r="AJ5262">
        <f>IF($C5262="","",IF($T5262="Yes",1,0))</f>
        <v/>
      </c>
      <c r="AK5262">
        <f>IF($AG5262=1,IFERROR(IF(VALUE($C5262)&lt;100000000,VALUE($C5262),1000000000),IFERROR(IF(VALUE(MID($C5262,2,20))&lt;100000000,VALUE(MID($C5262,2,20)),1000000000),1000000000))+ROW()/100000,"")</f>
        <v/>
      </c>
    </row>
    <row r="5263">
      <c r="D5263" s="11" t="n"/>
      <c r="K5263" s="7">
        <f>IF($C5263="","",J5263*W5263/100)</f>
        <v/>
      </c>
      <c r="Q5263" s="7" t="n"/>
      <c r="R5263" s="7" t="n"/>
      <c r="U5263">
        <f>IF($C5263="","",IF($AJ5263=1,0,IF($AI5263=1,Settings!$C$6,Settings!$C$7))*100)</f>
        <v/>
      </c>
      <c r="V5263" s="7">
        <f>IF($C5263="","",R5263*U5263/100)</f>
        <v/>
      </c>
      <c r="W5263" s="7">
        <f>IF($C5263="","",R5263-V5263)</f>
        <v/>
      </c>
      <c r="X5263" s="7">
        <f>IF($C5263="","",W5263-K5263)</f>
        <v/>
      </c>
      <c r="AB5263" s="7" t="n"/>
      <c r="AE5263" s="11" t="n"/>
      <c r="AG5263">
        <f>IF($C5263="","",IF(COUNTIF($C$2:$C5263,$C5263)=1,1,0))</f>
        <v/>
      </c>
      <c r="AH5263">
        <f>IF($AG5263=1,SUMPRODUCT(--($AK$2:$AK$6001&lt;$AK5263))+1,"")</f>
        <v/>
      </c>
      <c r="AI5263">
        <f>IF($C5263="","",IF(OR($N5263=TRUE(),$N5263="TRUE"),1,0))</f>
        <v/>
      </c>
      <c r="AJ5263">
        <f>IF($C5263="","",IF($T5263="Yes",1,0))</f>
        <v/>
      </c>
      <c r="AK5263">
        <f>IF($AG5263=1,IFERROR(IF(VALUE($C5263)&lt;100000000,VALUE($C5263),1000000000),IFERROR(IF(VALUE(MID($C5263,2,20))&lt;100000000,VALUE(MID($C5263,2,20)),1000000000),1000000000))+ROW()/100000,"")</f>
        <v/>
      </c>
    </row>
    <row r="5264">
      <c r="D5264" s="11" t="n"/>
      <c r="K5264" s="7">
        <f>IF($C5264="","",J5264*W5264/100)</f>
        <v/>
      </c>
      <c r="Q5264" s="7" t="n"/>
      <c r="R5264" s="7" t="n"/>
      <c r="U5264">
        <f>IF($C5264="","",IF($AJ5264=1,0,IF($AI5264=1,Settings!$C$6,Settings!$C$7))*100)</f>
        <v/>
      </c>
      <c r="V5264" s="7">
        <f>IF($C5264="","",R5264*U5264/100)</f>
        <v/>
      </c>
      <c r="W5264" s="7">
        <f>IF($C5264="","",R5264-V5264)</f>
        <v/>
      </c>
      <c r="X5264" s="7">
        <f>IF($C5264="","",W5264-K5264)</f>
        <v/>
      </c>
      <c r="AB5264" s="7" t="n"/>
      <c r="AE5264" s="11" t="n"/>
      <c r="AG5264">
        <f>IF($C5264="","",IF(COUNTIF($C$2:$C5264,$C5264)=1,1,0))</f>
        <v/>
      </c>
      <c r="AH5264">
        <f>IF($AG5264=1,SUMPRODUCT(--($AK$2:$AK$6001&lt;$AK5264))+1,"")</f>
        <v/>
      </c>
      <c r="AI5264">
        <f>IF($C5264="","",IF(OR($N5264=TRUE(),$N5264="TRUE"),1,0))</f>
        <v/>
      </c>
      <c r="AJ5264">
        <f>IF($C5264="","",IF($T5264="Yes",1,0))</f>
        <v/>
      </c>
      <c r="AK5264">
        <f>IF($AG5264=1,IFERROR(IF(VALUE($C5264)&lt;100000000,VALUE($C5264),1000000000),IFERROR(IF(VALUE(MID($C5264,2,20))&lt;100000000,VALUE(MID($C5264,2,20)),1000000000),1000000000))+ROW()/100000,"")</f>
        <v/>
      </c>
    </row>
    <row r="5265">
      <c r="D5265" s="11" t="n"/>
      <c r="K5265" s="7">
        <f>IF($C5265="","",J5265*W5265/100)</f>
        <v/>
      </c>
      <c r="Q5265" s="7" t="n"/>
      <c r="R5265" s="7" t="n"/>
      <c r="U5265">
        <f>IF($C5265="","",IF($AJ5265=1,0,IF($AI5265=1,Settings!$C$6,Settings!$C$7))*100)</f>
        <v/>
      </c>
      <c r="V5265" s="7">
        <f>IF($C5265="","",R5265*U5265/100)</f>
        <v/>
      </c>
      <c r="W5265" s="7">
        <f>IF($C5265="","",R5265-V5265)</f>
        <v/>
      </c>
      <c r="X5265" s="7">
        <f>IF($C5265="","",W5265-K5265)</f>
        <v/>
      </c>
      <c r="AB5265" s="7" t="n"/>
      <c r="AE5265" s="11" t="n"/>
      <c r="AG5265">
        <f>IF($C5265="","",IF(COUNTIF($C$2:$C5265,$C5265)=1,1,0))</f>
        <v/>
      </c>
      <c r="AH5265">
        <f>IF($AG5265=1,SUMPRODUCT(--($AK$2:$AK$6001&lt;$AK5265))+1,"")</f>
        <v/>
      </c>
      <c r="AI5265">
        <f>IF($C5265="","",IF(OR($N5265=TRUE(),$N5265="TRUE"),1,0))</f>
        <v/>
      </c>
      <c r="AJ5265">
        <f>IF($C5265="","",IF($T5265="Yes",1,0))</f>
        <v/>
      </c>
      <c r="AK5265">
        <f>IF($AG5265=1,IFERROR(IF(VALUE($C5265)&lt;100000000,VALUE($C5265),1000000000),IFERROR(IF(VALUE(MID($C5265,2,20))&lt;100000000,VALUE(MID($C5265,2,20)),1000000000),1000000000))+ROW()/100000,"")</f>
        <v/>
      </c>
    </row>
    <row r="5266">
      <c r="D5266" s="11" t="n"/>
      <c r="K5266" s="7">
        <f>IF($C5266="","",J5266*W5266/100)</f>
        <v/>
      </c>
      <c r="Q5266" s="7" t="n"/>
      <c r="R5266" s="7" t="n"/>
      <c r="U5266">
        <f>IF($C5266="","",IF($AJ5266=1,0,IF($AI5266=1,Settings!$C$6,Settings!$C$7))*100)</f>
        <v/>
      </c>
      <c r="V5266" s="7">
        <f>IF($C5266="","",R5266*U5266/100)</f>
        <v/>
      </c>
      <c r="W5266" s="7">
        <f>IF($C5266="","",R5266-V5266)</f>
        <v/>
      </c>
      <c r="X5266" s="7">
        <f>IF($C5266="","",W5266-K5266)</f>
        <v/>
      </c>
      <c r="AB5266" s="7" t="n"/>
      <c r="AE5266" s="11" t="n"/>
      <c r="AG5266">
        <f>IF($C5266="","",IF(COUNTIF($C$2:$C5266,$C5266)=1,1,0))</f>
        <v/>
      </c>
      <c r="AH5266">
        <f>IF($AG5266=1,SUMPRODUCT(--($AK$2:$AK$6001&lt;$AK5266))+1,"")</f>
        <v/>
      </c>
      <c r="AI5266">
        <f>IF($C5266="","",IF(OR($N5266=TRUE(),$N5266="TRUE"),1,0))</f>
        <v/>
      </c>
      <c r="AJ5266">
        <f>IF($C5266="","",IF($T5266="Yes",1,0))</f>
        <v/>
      </c>
      <c r="AK5266">
        <f>IF($AG5266=1,IFERROR(IF(VALUE($C5266)&lt;100000000,VALUE($C5266),1000000000),IFERROR(IF(VALUE(MID($C5266,2,20))&lt;100000000,VALUE(MID($C5266,2,20)),1000000000),1000000000))+ROW()/100000,"")</f>
        <v/>
      </c>
    </row>
    <row r="5267">
      <c r="D5267" s="11" t="n"/>
      <c r="K5267" s="7">
        <f>IF($C5267="","",J5267*W5267/100)</f>
        <v/>
      </c>
      <c r="Q5267" s="7" t="n"/>
      <c r="R5267" s="7" t="n"/>
      <c r="U5267">
        <f>IF($C5267="","",IF($AJ5267=1,0,IF($AI5267=1,Settings!$C$6,Settings!$C$7))*100)</f>
        <v/>
      </c>
      <c r="V5267" s="7">
        <f>IF($C5267="","",R5267*U5267/100)</f>
        <v/>
      </c>
      <c r="W5267" s="7">
        <f>IF($C5267="","",R5267-V5267)</f>
        <v/>
      </c>
      <c r="X5267" s="7">
        <f>IF($C5267="","",W5267-K5267)</f>
        <v/>
      </c>
      <c r="AB5267" s="7" t="n"/>
      <c r="AE5267" s="11" t="n"/>
      <c r="AG5267">
        <f>IF($C5267="","",IF(COUNTIF($C$2:$C5267,$C5267)=1,1,0))</f>
        <v/>
      </c>
      <c r="AH5267">
        <f>IF($AG5267=1,SUMPRODUCT(--($AK$2:$AK$6001&lt;$AK5267))+1,"")</f>
        <v/>
      </c>
      <c r="AI5267">
        <f>IF($C5267="","",IF(OR($N5267=TRUE(),$N5267="TRUE"),1,0))</f>
        <v/>
      </c>
      <c r="AJ5267">
        <f>IF($C5267="","",IF($T5267="Yes",1,0))</f>
        <v/>
      </c>
      <c r="AK5267">
        <f>IF($AG5267=1,IFERROR(IF(VALUE($C5267)&lt;100000000,VALUE($C5267),1000000000),IFERROR(IF(VALUE(MID($C5267,2,20))&lt;100000000,VALUE(MID($C5267,2,20)),1000000000),1000000000))+ROW()/100000,"")</f>
        <v/>
      </c>
    </row>
    <row r="5268">
      <c r="D5268" s="11" t="n"/>
      <c r="K5268" s="7">
        <f>IF($C5268="","",J5268*W5268/100)</f>
        <v/>
      </c>
      <c r="Q5268" s="7" t="n"/>
      <c r="R5268" s="7" t="n"/>
      <c r="U5268">
        <f>IF($C5268="","",IF($AJ5268=1,0,IF($AI5268=1,Settings!$C$6,Settings!$C$7))*100)</f>
        <v/>
      </c>
      <c r="V5268" s="7">
        <f>IF($C5268="","",R5268*U5268/100)</f>
        <v/>
      </c>
      <c r="W5268" s="7">
        <f>IF($C5268="","",R5268-V5268)</f>
        <v/>
      </c>
      <c r="X5268" s="7">
        <f>IF($C5268="","",W5268-K5268)</f>
        <v/>
      </c>
      <c r="AB5268" s="7" t="n"/>
      <c r="AE5268" s="11" t="n"/>
      <c r="AG5268">
        <f>IF($C5268="","",IF(COUNTIF($C$2:$C5268,$C5268)=1,1,0))</f>
        <v/>
      </c>
      <c r="AH5268">
        <f>IF($AG5268=1,SUMPRODUCT(--($AK$2:$AK$6001&lt;$AK5268))+1,"")</f>
        <v/>
      </c>
      <c r="AI5268">
        <f>IF($C5268="","",IF(OR($N5268=TRUE(),$N5268="TRUE"),1,0))</f>
        <v/>
      </c>
      <c r="AJ5268">
        <f>IF($C5268="","",IF($T5268="Yes",1,0))</f>
        <v/>
      </c>
      <c r="AK5268">
        <f>IF($AG5268=1,IFERROR(IF(VALUE($C5268)&lt;100000000,VALUE($C5268),1000000000),IFERROR(IF(VALUE(MID($C5268,2,20))&lt;100000000,VALUE(MID($C5268,2,20)),1000000000),1000000000))+ROW()/100000,"")</f>
        <v/>
      </c>
    </row>
    <row r="5269">
      <c r="D5269" s="11" t="n"/>
      <c r="K5269" s="7">
        <f>IF($C5269="","",J5269*W5269/100)</f>
        <v/>
      </c>
      <c r="Q5269" s="7" t="n"/>
      <c r="R5269" s="7" t="n"/>
      <c r="U5269">
        <f>IF($C5269="","",IF($AJ5269=1,0,IF($AI5269=1,Settings!$C$6,Settings!$C$7))*100)</f>
        <v/>
      </c>
      <c r="V5269" s="7">
        <f>IF($C5269="","",R5269*U5269/100)</f>
        <v/>
      </c>
      <c r="W5269" s="7">
        <f>IF($C5269="","",R5269-V5269)</f>
        <v/>
      </c>
      <c r="X5269" s="7">
        <f>IF($C5269="","",W5269-K5269)</f>
        <v/>
      </c>
      <c r="AB5269" s="7" t="n"/>
      <c r="AE5269" s="11" t="n"/>
      <c r="AG5269">
        <f>IF($C5269="","",IF(COUNTIF($C$2:$C5269,$C5269)=1,1,0))</f>
        <v/>
      </c>
      <c r="AH5269">
        <f>IF($AG5269=1,SUMPRODUCT(--($AK$2:$AK$6001&lt;$AK5269))+1,"")</f>
        <v/>
      </c>
      <c r="AI5269">
        <f>IF($C5269="","",IF(OR($N5269=TRUE(),$N5269="TRUE"),1,0))</f>
        <v/>
      </c>
      <c r="AJ5269">
        <f>IF($C5269="","",IF($T5269="Yes",1,0))</f>
        <v/>
      </c>
      <c r="AK5269">
        <f>IF($AG5269=1,IFERROR(IF(VALUE($C5269)&lt;100000000,VALUE($C5269),1000000000),IFERROR(IF(VALUE(MID($C5269,2,20))&lt;100000000,VALUE(MID($C5269,2,20)),1000000000),1000000000))+ROW()/100000,"")</f>
        <v/>
      </c>
    </row>
    <row r="5270">
      <c r="D5270" s="11" t="n"/>
      <c r="K5270" s="7">
        <f>IF($C5270="","",J5270*W5270/100)</f>
        <v/>
      </c>
      <c r="Q5270" s="7" t="n"/>
      <c r="R5270" s="7" t="n"/>
      <c r="U5270">
        <f>IF($C5270="","",IF($AJ5270=1,0,IF($AI5270=1,Settings!$C$6,Settings!$C$7))*100)</f>
        <v/>
      </c>
      <c r="V5270" s="7">
        <f>IF($C5270="","",R5270*U5270/100)</f>
        <v/>
      </c>
      <c r="W5270" s="7">
        <f>IF($C5270="","",R5270-V5270)</f>
        <v/>
      </c>
      <c r="X5270" s="7">
        <f>IF($C5270="","",W5270-K5270)</f>
        <v/>
      </c>
      <c r="AB5270" s="7" t="n"/>
      <c r="AE5270" s="11" t="n"/>
      <c r="AG5270">
        <f>IF($C5270="","",IF(COUNTIF($C$2:$C5270,$C5270)=1,1,0))</f>
        <v/>
      </c>
      <c r="AH5270">
        <f>IF($AG5270=1,SUMPRODUCT(--($AK$2:$AK$6001&lt;$AK5270))+1,"")</f>
        <v/>
      </c>
      <c r="AI5270">
        <f>IF($C5270="","",IF(OR($N5270=TRUE(),$N5270="TRUE"),1,0))</f>
        <v/>
      </c>
      <c r="AJ5270">
        <f>IF($C5270="","",IF($T5270="Yes",1,0))</f>
        <v/>
      </c>
      <c r="AK5270">
        <f>IF($AG5270=1,IFERROR(IF(VALUE($C5270)&lt;100000000,VALUE($C5270),1000000000),IFERROR(IF(VALUE(MID($C5270,2,20))&lt;100000000,VALUE(MID($C5270,2,20)),1000000000),1000000000))+ROW()/100000,"")</f>
        <v/>
      </c>
    </row>
    <row r="5271">
      <c r="D5271" s="11" t="n"/>
      <c r="K5271" s="7">
        <f>IF($C5271="","",J5271*W5271/100)</f>
        <v/>
      </c>
      <c r="Q5271" s="7" t="n"/>
      <c r="R5271" s="7" t="n"/>
      <c r="U5271">
        <f>IF($C5271="","",IF($AJ5271=1,0,IF($AI5271=1,Settings!$C$6,Settings!$C$7))*100)</f>
        <v/>
      </c>
      <c r="V5271" s="7">
        <f>IF($C5271="","",R5271*U5271/100)</f>
        <v/>
      </c>
      <c r="W5271" s="7">
        <f>IF($C5271="","",R5271-V5271)</f>
        <v/>
      </c>
      <c r="X5271" s="7">
        <f>IF($C5271="","",W5271-K5271)</f>
        <v/>
      </c>
      <c r="AB5271" s="7" t="n"/>
      <c r="AE5271" s="11" t="n"/>
      <c r="AG5271">
        <f>IF($C5271="","",IF(COUNTIF($C$2:$C5271,$C5271)=1,1,0))</f>
        <v/>
      </c>
      <c r="AH5271">
        <f>IF($AG5271=1,SUMPRODUCT(--($AK$2:$AK$6001&lt;$AK5271))+1,"")</f>
        <v/>
      </c>
      <c r="AI5271">
        <f>IF($C5271="","",IF(OR($N5271=TRUE(),$N5271="TRUE"),1,0))</f>
        <v/>
      </c>
      <c r="AJ5271">
        <f>IF($C5271="","",IF($T5271="Yes",1,0))</f>
        <v/>
      </c>
      <c r="AK5271">
        <f>IF($AG5271=1,IFERROR(IF(VALUE($C5271)&lt;100000000,VALUE($C5271),1000000000),IFERROR(IF(VALUE(MID($C5271,2,20))&lt;100000000,VALUE(MID($C5271,2,20)),1000000000),1000000000))+ROW()/100000,"")</f>
        <v/>
      </c>
    </row>
    <row r="5272">
      <c r="D5272" s="11" t="n"/>
      <c r="K5272" s="7">
        <f>IF($C5272="","",J5272*W5272/100)</f>
        <v/>
      </c>
      <c r="Q5272" s="7" t="n"/>
      <c r="R5272" s="7" t="n"/>
      <c r="U5272">
        <f>IF($C5272="","",IF($AJ5272=1,0,IF($AI5272=1,Settings!$C$6,Settings!$C$7))*100)</f>
        <v/>
      </c>
      <c r="V5272" s="7">
        <f>IF($C5272="","",R5272*U5272/100)</f>
        <v/>
      </c>
      <c r="W5272" s="7">
        <f>IF($C5272="","",R5272-V5272)</f>
        <v/>
      </c>
      <c r="X5272" s="7">
        <f>IF($C5272="","",W5272-K5272)</f>
        <v/>
      </c>
      <c r="AB5272" s="7" t="n"/>
      <c r="AE5272" s="11" t="n"/>
      <c r="AG5272">
        <f>IF($C5272="","",IF(COUNTIF($C$2:$C5272,$C5272)=1,1,0))</f>
        <v/>
      </c>
      <c r="AH5272">
        <f>IF($AG5272=1,SUMPRODUCT(--($AK$2:$AK$6001&lt;$AK5272))+1,"")</f>
        <v/>
      </c>
      <c r="AI5272">
        <f>IF($C5272="","",IF(OR($N5272=TRUE(),$N5272="TRUE"),1,0))</f>
        <v/>
      </c>
      <c r="AJ5272">
        <f>IF($C5272="","",IF($T5272="Yes",1,0))</f>
        <v/>
      </c>
      <c r="AK5272">
        <f>IF($AG5272=1,IFERROR(IF(VALUE($C5272)&lt;100000000,VALUE($C5272),1000000000),IFERROR(IF(VALUE(MID($C5272,2,20))&lt;100000000,VALUE(MID($C5272,2,20)),1000000000),1000000000))+ROW()/100000,"")</f>
        <v/>
      </c>
    </row>
    <row r="5273">
      <c r="D5273" s="11" t="n"/>
      <c r="K5273" s="7">
        <f>IF($C5273="","",J5273*W5273/100)</f>
        <v/>
      </c>
      <c r="Q5273" s="7" t="n"/>
      <c r="R5273" s="7" t="n"/>
      <c r="U5273">
        <f>IF($C5273="","",IF($AJ5273=1,0,IF($AI5273=1,Settings!$C$6,Settings!$C$7))*100)</f>
        <v/>
      </c>
      <c r="V5273" s="7">
        <f>IF($C5273="","",R5273*U5273/100)</f>
        <v/>
      </c>
      <c r="W5273" s="7">
        <f>IF($C5273="","",R5273-V5273)</f>
        <v/>
      </c>
      <c r="X5273" s="7">
        <f>IF($C5273="","",W5273-K5273)</f>
        <v/>
      </c>
      <c r="AB5273" s="7" t="n"/>
      <c r="AE5273" s="11" t="n"/>
      <c r="AG5273">
        <f>IF($C5273="","",IF(COUNTIF($C$2:$C5273,$C5273)=1,1,0))</f>
        <v/>
      </c>
      <c r="AH5273">
        <f>IF($AG5273=1,SUMPRODUCT(--($AK$2:$AK$6001&lt;$AK5273))+1,"")</f>
        <v/>
      </c>
      <c r="AI5273">
        <f>IF($C5273="","",IF(OR($N5273=TRUE(),$N5273="TRUE"),1,0))</f>
        <v/>
      </c>
      <c r="AJ5273">
        <f>IF($C5273="","",IF($T5273="Yes",1,0))</f>
        <v/>
      </c>
      <c r="AK5273">
        <f>IF($AG5273=1,IFERROR(IF(VALUE($C5273)&lt;100000000,VALUE($C5273),1000000000),IFERROR(IF(VALUE(MID($C5273,2,20))&lt;100000000,VALUE(MID($C5273,2,20)),1000000000),1000000000))+ROW()/100000,"")</f>
        <v/>
      </c>
    </row>
    <row r="5274">
      <c r="D5274" s="11" t="n"/>
      <c r="K5274" s="7">
        <f>IF($C5274="","",J5274*W5274/100)</f>
        <v/>
      </c>
      <c r="Q5274" s="7" t="n"/>
      <c r="R5274" s="7" t="n"/>
      <c r="U5274">
        <f>IF($C5274="","",IF($AJ5274=1,0,IF($AI5274=1,Settings!$C$6,Settings!$C$7))*100)</f>
        <v/>
      </c>
      <c r="V5274" s="7">
        <f>IF($C5274="","",R5274*U5274/100)</f>
        <v/>
      </c>
      <c r="W5274" s="7">
        <f>IF($C5274="","",R5274-V5274)</f>
        <v/>
      </c>
      <c r="X5274" s="7">
        <f>IF($C5274="","",W5274-K5274)</f>
        <v/>
      </c>
      <c r="AB5274" s="7" t="n"/>
      <c r="AE5274" s="11" t="n"/>
      <c r="AG5274">
        <f>IF($C5274="","",IF(COUNTIF($C$2:$C5274,$C5274)=1,1,0))</f>
        <v/>
      </c>
      <c r="AH5274">
        <f>IF($AG5274=1,SUMPRODUCT(--($AK$2:$AK$6001&lt;$AK5274))+1,"")</f>
        <v/>
      </c>
      <c r="AI5274">
        <f>IF($C5274="","",IF(OR($N5274=TRUE(),$N5274="TRUE"),1,0))</f>
        <v/>
      </c>
      <c r="AJ5274">
        <f>IF($C5274="","",IF($T5274="Yes",1,0))</f>
        <v/>
      </c>
      <c r="AK5274">
        <f>IF($AG5274=1,IFERROR(IF(VALUE($C5274)&lt;100000000,VALUE($C5274),1000000000),IFERROR(IF(VALUE(MID($C5274,2,20))&lt;100000000,VALUE(MID($C5274,2,20)),1000000000),1000000000))+ROW()/100000,"")</f>
        <v/>
      </c>
    </row>
    <row r="5275">
      <c r="D5275" s="11" t="n"/>
      <c r="K5275" s="7">
        <f>IF($C5275="","",J5275*W5275/100)</f>
        <v/>
      </c>
      <c r="Q5275" s="7" t="n"/>
      <c r="R5275" s="7" t="n"/>
      <c r="U5275">
        <f>IF($C5275="","",IF($AJ5275=1,0,IF($AI5275=1,Settings!$C$6,Settings!$C$7))*100)</f>
        <v/>
      </c>
      <c r="V5275" s="7">
        <f>IF($C5275="","",R5275*U5275/100)</f>
        <v/>
      </c>
      <c r="W5275" s="7">
        <f>IF($C5275="","",R5275-V5275)</f>
        <v/>
      </c>
      <c r="X5275" s="7">
        <f>IF($C5275="","",W5275-K5275)</f>
        <v/>
      </c>
      <c r="AB5275" s="7" t="n"/>
      <c r="AE5275" s="11" t="n"/>
      <c r="AG5275">
        <f>IF($C5275="","",IF(COUNTIF($C$2:$C5275,$C5275)=1,1,0))</f>
        <v/>
      </c>
      <c r="AH5275">
        <f>IF($AG5275=1,SUMPRODUCT(--($AK$2:$AK$6001&lt;$AK5275))+1,"")</f>
        <v/>
      </c>
      <c r="AI5275">
        <f>IF($C5275="","",IF(OR($N5275=TRUE(),$N5275="TRUE"),1,0))</f>
        <v/>
      </c>
      <c r="AJ5275">
        <f>IF($C5275="","",IF($T5275="Yes",1,0))</f>
        <v/>
      </c>
      <c r="AK5275">
        <f>IF($AG5275=1,IFERROR(IF(VALUE($C5275)&lt;100000000,VALUE($C5275),1000000000),IFERROR(IF(VALUE(MID($C5275,2,20))&lt;100000000,VALUE(MID($C5275,2,20)),1000000000),1000000000))+ROW()/100000,"")</f>
        <v/>
      </c>
    </row>
    <row r="5276">
      <c r="D5276" s="11" t="n"/>
      <c r="K5276" s="7">
        <f>IF($C5276="","",J5276*W5276/100)</f>
        <v/>
      </c>
      <c r="Q5276" s="7" t="n"/>
      <c r="R5276" s="7" t="n"/>
      <c r="U5276">
        <f>IF($C5276="","",IF($AJ5276=1,0,IF($AI5276=1,Settings!$C$6,Settings!$C$7))*100)</f>
        <v/>
      </c>
      <c r="V5276" s="7">
        <f>IF($C5276="","",R5276*U5276/100)</f>
        <v/>
      </c>
      <c r="W5276" s="7">
        <f>IF($C5276="","",R5276-V5276)</f>
        <v/>
      </c>
      <c r="X5276" s="7">
        <f>IF($C5276="","",W5276-K5276)</f>
        <v/>
      </c>
      <c r="AB5276" s="7" t="n"/>
      <c r="AE5276" s="11" t="n"/>
      <c r="AG5276">
        <f>IF($C5276="","",IF(COUNTIF($C$2:$C5276,$C5276)=1,1,0))</f>
        <v/>
      </c>
      <c r="AH5276">
        <f>IF($AG5276=1,SUMPRODUCT(--($AK$2:$AK$6001&lt;$AK5276))+1,"")</f>
        <v/>
      </c>
      <c r="AI5276">
        <f>IF($C5276="","",IF(OR($N5276=TRUE(),$N5276="TRUE"),1,0))</f>
        <v/>
      </c>
      <c r="AJ5276">
        <f>IF($C5276="","",IF($T5276="Yes",1,0))</f>
        <v/>
      </c>
      <c r="AK5276">
        <f>IF($AG5276=1,IFERROR(IF(VALUE($C5276)&lt;100000000,VALUE($C5276),1000000000),IFERROR(IF(VALUE(MID($C5276,2,20))&lt;100000000,VALUE(MID($C5276,2,20)),1000000000),1000000000))+ROW()/100000,"")</f>
        <v/>
      </c>
    </row>
    <row r="5277">
      <c r="D5277" s="11" t="n"/>
      <c r="K5277" s="7">
        <f>IF($C5277="","",J5277*W5277/100)</f>
        <v/>
      </c>
      <c r="Q5277" s="7" t="n"/>
      <c r="R5277" s="7" t="n"/>
      <c r="U5277">
        <f>IF($C5277="","",IF($AJ5277=1,0,IF($AI5277=1,Settings!$C$6,Settings!$C$7))*100)</f>
        <v/>
      </c>
      <c r="V5277" s="7">
        <f>IF($C5277="","",R5277*U5277/100)</f>
        <v/>
      </c>
      <c r="W5277" s="7">
        <f>IF($C5277="","",R5277-V5277)</f>
        <v/>
      </c>
      <c r="X5277" s="7">
        <f>IF($C5277="","",W5277-K5277)</f>
        <v/>
      </c>
      <c r="AB5277" s="7" t="n"/>
      <c r="AE5277" s="11" t="n"/>
      <c r="AG5277">
        <f>IF($C5277="","",IF(COUNTIF($C$2:$C5277,$C5277)=1,1,0))</f>
        <v/>
      </c>
      <c r="AH5277">
        <f>IF($AG5277=1,SUMPRODUCT(--($AK$2:$AK$6001&lt;$AK5277))+1,"")</f>
        <v/>
      </c>
      <c r="AI5277">
        <f>IF($C5277="","",IF(OR($N5277=TRUE(),$N5277="TRUE"),1,0))</f>
        <v/>
      </c>
      <c r="AJ5277">
        <f>IF($C5277="","",IF($T5277="Yes",1,0))</f>
        <v/>
      </c>
      <c r="AK5277">
        <f>IF($AG5277=1,IFERROR(IF(VALUE($C5277)&lt;100000000,VALUE($C5277),1000000000),IFERROR(IF(VALUE(MID($C5277,2,20))&lt;100000000,VALUE(MID($C5277,2,20)),1000000000),1000000000))+ROW()/100000,"")</f>
        <v/>
      </c>
    </row>
    <row r="5278">
      <c r="D5278" s="11" t="n"/>
      <c r="K5278" s="7">
        <f>IF($C5278="","",J5278*W5278/100)</f>
        <v/>
      </c>
      <c r="Q5278" s="7" t="n"/>
      <c r="R5278" s="7" t="n"/>
      <c r="U5278">
        <f>IF($C5278="","",IF($AJ5278=1,0,IF($AI5278=1,Settings!$C$6,Settings!$C$7))*100)</f>
        <v/>
      </c>
      <c r="V5278" s="7">
        <f>IF($C5278="","",R5278*U5278/100)</f>
        <v/>
      </c>
      <c r="W5278" s="7">
        <f>IF($C5278="","",R5278-V5278)</f>
        <v/>
      </c>
      <c r="X5278" s="7">
        <f>IF($C5278="","",W5278-K5278)</f>
        <v/>
      </c>
      <c r="AB5278" s="7" t="n"/>
      <c r="AE5278" s="11" t="n"/>
      <c r="AG5278">
        <f>IF($C5278="","",IF(COUNTIF($C$2:$C5278,$C5278)=1,1,0))</f>
        <v/>
      </c>
      <c r="AH5278">
        <f>IF($AG5278=1,SUMPRODUCT(--($AK$2:$AK$6001&lt;$AK5278))+1,"")</f>
        <v/>
      </c>
      <c r="AI5278">
        <f>IF($C5278="","",IF(OR($N5278=TRUE(),$N5278="TRUE"),1,0))</f>
        <v/>
      </c>
      <c r="AJ5278">
        <f>IF($C5278="","",IF($T5278="Yes",1,0))</f>
        <v/>
      </c>
      <c r="AK5278">
        <f>IF($AG5278=1,IFERROR(IF(VALUE($C5278)&lt;100000000,VALUE($C5278),1000000000),IFERROR(IF(VALUE(MID($C5278,2,20))&lt;100000000,VALUE(MID($C5278,2,20)),1000000000),1000000000))+ROW()/100000,"")</f>
        <v/>
      </c>
    </row>
    <row r="5279">
      <c r="D5279" s="11" t="n"/>
      <c r="K5279" s="7">
        <f>IF($C5279="","",J5279*W5279/100)</f>
        <v/>
      </c>
      <c r="Q5279" s="7" t="n"/>
      <c r="R5279" s="7" t="n"/>
      <c r="U5279">
        <f>IF($C5279="","",IF($AJ5279=1,0,IF($AI5279=1,Settings!$C$6,Settings!$C$7))*100)</f>
        <v/>
      </c>
      <c r="V5279" s="7">
        <f>IF($C5279="","",R5279*U5279/100)</f>
        <v/>
      </c>
      <c r="W5279" s="7">
        <f>IF($C5279="","",R5279-V5279)</f>
        <v/>
      </c>
      <c r="X5279" s="7">
        <f>IF($C5279="","",W5279-K5279)</f>
        <v/>
      </c>
      <c r="AB5279" s="7" t="n"/>
      <c r="AE5279" s="11" t="n"/>
      <c r="AG5279">
        <f>IF($C5279="","",IF(COUNTIF($C$2:$C5279,$C5279)=1,1,0))</f>
        <v/>
      </c>
      <c r="AH5279">
        <f>IF($AG5279=1,SUMPRODUCT(--($AK$2:$AK$6001&lt;$AK5279))+1,"")</f>
        <v/>
      </c>
      <c r="AI5279">
        <f>IF($C5279="","",IF(OR($N5279=TRUE(),$N5279="TRUE"),1,0))</f>
        <v/>
      </c>
      <c r="AJ5279">
        <f>IF($C5279="","",IF($T5279="Yes",1,0))</f>
        <v/>
      </c>
      <c r="AK5279">
        <f>IF($AG5279=1,IFERROR(IF(VALUE($C5279)&lt;100000000,VALUE($C5279),1000000000),IFERROR(IF(VALUE(MID($C5279,2,20))&lt;100000000,VALUE(MID($C5279,2,20)),1000000000),1000000000))+ROW()/100000,"")</f>
        <v/>
      </c>
    </row>
    <row r="5280">
      <c r="D5280" s="11" t="n"/>
      <c r="K5280" s="7">
        <f>IF($C5280="","",J5280*W5280/100)</f>
        <v/>
      </c>
      <c r="Q5280" s="7" t="n"/>
      <c r="R5280" s="7" t="n"/>
      <c r="U5280">
        <f>IF($C5280="","",IF($AJ5280=1,0,IF($AI5280=1,Settings!$C$6,Settings!$C$7))*100)</f>
        <v/>
      </c>
      <c r="V5280" s="7">
        <f>IF($C5280="","",R5280*U5280/100)</f>
        <v/>
      </c>
      <c r="W5280" s="7">
        <f>IF($C5280="","",R5280-V5280)</f>
        <v/>
      </c>
      <c r="X5280" s="7">
        <f>IF($C5280="","",W5280-K5280)</f>
        <v/>
      </c>
      <c r="AB5280" s="7" t="n"/>
      <c r="AE5280" s="11" t="n"/>
      <c r="AG5280">
        <f>IF($C5280="","",IF(COUNTIF($C$2:$C5280,$C5280)=1,1,0))</f>
        <v/>
      </c>
      <c r="AH5280">
        <f>IF($AG5280=1,SUMPRODUCT(--($AK$2:$AK$6001&lt;$AK5280))+1,"")</f>
        <v/>
      </c>
      <c r="AI5280">
        <f>IF($C5280="","",IF(OR($N5280=TRUE(),$N5280="TRUE"),1,0))</f>
        <v/>
      </c>
      <c r="AJ5280">
        <f>IF($C5280="","",IF($T5280="Yes",1,0))</f>
        <v/>
      </c>
      <c r="AK5280">
        <f>IF($AG5280=1,IFERROR(IF(VALUE($C5280)&lt;100000000,VALUE($C5280),1000000000),IFERROR(IF(VALUE(MID($C5280,2,20))&lt;100000000,VALUE(MID($C5280,2,20)),1000000000),1000000000))+ROW()/100000,"")</f>
        <v/>
      </c>
    </row>
    <row r="5281">
      <c r="D5281" s="11" t="n"/>
      <c r="K5281" s="7">
        <f>IF($C5281="","",J5281*W5281/100)</f>
        <v/>
      </c>
      <c r="Q5281" s="7" t="n"/>
      <c r="R5281" s="7" t="n"/>
      <c r="U5281">
        <f>IF($C5281="","",IF($AJ5281=1,0,IF($AI5281=1,Settings!$C$6,Settings!$C$7))*100)</f>
        <v/>
      </c>
      <c r="V5281" s="7">
        <f>IF($C5281="","",R5281*U5281/100)</f>
        <v/>
      </c>
      <c r="W5281" s="7">
        <f>IF($C5281="","",R5281-V5281)</f>
        <v/>
      </c>
      <c r="X5281" s="7">
        <f>IF($C5281="","",W5281-K5281)</f>
        <v/>
      </c>
      <c r="AB5281" s="7" t="n"/>
      <c r="AE5281" s="11" t="n"/>
      <c r="AG5281">
        <f>IF($C5281="","",IF(COUNTIF($C$2:$C5281,$C5281)=1,1,0))</f>
        <v/>
      </c>
      <c r="AH5281">
        <f>IF($AG5281=1,SUMPRODUCT(--($AK$2:$AK$6001&lt;$AK5281))+1,"")</f>
        <v/>
      </c>
      <c r="AI5281">
        <f>IF($C5281="","",IF(OR($N5281=TRUE(),$N5281="TRUE"),1,0))</f>
        <v/>
      </c>
      <c r="AJ5281">
        <f>IF($C5281="","",IF($T5281="Yes",1,0))</f>
        <v/>
      </c>
      <c r="AK5281">
        <f>IF($AG5281=1,IFERROR(IF(VALUE($C5281)&lt;100000000,VALUE($C5281),1000000000),IFERROR(IF(VALUE(MID($C5281,2,20))&lt;100000000,VALUE(MID($C5281,2,20)),1000000000),1000000000))+ROW()/100000,"")</f>
        <v/>
      </c>
    </row>
    <row r="5282">
      <c r="D5282" s="11" t="n"/>
      <c r="K5282" s="7">
        <f>IF($C5282="","",J5282*W5282/100)</f>
        <v/>
      </c>
      <c r="Q5282" s="7" t="n"/>
      <c r="R5282" s="7" t="n"/>
      <c r="U5282">
        <f>IF($C5282="","",IF($AJ5282=1,0,IF($AI5282=1,Settings!$C$6,Settings!$C$7))*100)</f>
        <v/>
      </c>
      <c r="V5282" s="7">
        <f>IF($C5282="","",R5282*U5282/100)</f>
        <v/>
      </c>
      <c r="W5282" s="7">
        <f>IF($C5282="","",R5282-V5282)</f>
        <v/>
      </c>
      <c r="X5282" s="7">
        <f>IF($C5282="","",W5282-K5282)</f>
        <v/>
      </c>
      <c r="AB5282" s="7" t="n"/>
      <c r="AE5282" s="11" t="n"/>
      <c r="AG5282">
        <f>IF($C5282="","",IF(COUNTIF($C$2:$C5282,$C5282)=1,1,0))</f>
        <v/>
      </c>
      <c r="AH5282">
        <f>IF($AG5282=1,SUMPRODUCT(--($AK$2:$AK$6001&lt;$AK5282))+1,"")</f>
        <v/>
      </c>
      <c r="AI5282">
        <f>IF($C5282="","",IF(OR($N5282=TRUE(),$N5282="TRUE"),1,0))</f>
        <v/>
      </c>
      <c r="AJ5282">
        <f>IF($C5282="","",IF($T5282="Yes",1,0))</f>
        <v/>
      </c>
      <c r="AK5282">
        <f>IF($AG5282=1,IFERROR(IF(VALUE($C5282)&lt;100000000,VALUE($C5282),1000000000),IFERROR(IF(VALUE(MID($C5282,2,20))&lt;100000000,VALUE(MID($C5282,2,20)),1000000000),1000000000))+ROW()/100000,"")</f>
        <v/>
      </c>
    </row>
    <row r="5283">
      <c r="D5283" s="11" t="n"/>
      <c r="K5283" s="7">
        <f>IF($C5283="","",J5283*W5283/100)</f>
        <v/>
      </c>
      <c r="Q5283" s="7" t="n"/>
      <c r="R5283" s="7" t="n"/>
      <c r="U5283">
        <f>IF($C5283="","",IF($AJ5283=1,0,IF($AI5283=1,Settings!$C$6,Settings!$C$7))*100)</f>
        <v/>
      </c>
      <c r="V5283" s="7">
        <f>IF($C5283="","",R5283*U5283/100)</f>
        <v/>
      </c>
      <c r="W5283" s="7">
        <f>IF($C5283="","",R5283-V5283)</f>
        <v/>
      </c>
      <c r="X5283" s="7">
        <f>IF($C5283="","",W5283-K5283)</f>
        <v/>
      </c>
      <c r="AB5283" s="7" t="n"/>
      <c r="AE5283" s="11" t="n"/>
      <c r="AG5283">
        <f>IF($C5283="","",IF(COUNTIF($C$2:$C5283,$C5283)=1,1,0))</f>
        <v/>
      </c>
      <c r="AH5283">
        <f>IF($AG5283=1,SUMPRODUCT(--($AK$2:$AK$6001&lt;$AK5283))+1,"")</f>
        <v/>
      </c>
      <c r="AI5283">
        <f>IF($C5283="","",IF(OR($N5283=TRUE(),$N5283="TRUE"),1,0))</f>
        <v/>
      </c>
      <c r="AJ5283">
        <f>IF($C5283="","",IF($T5283="Yes",1,0))</f>
        <v/>
      </c>
      <c r="AK5283">
        <f>IF($AG5283=1,IFERROR(IF(VALUE($C5283)&lt;100000000,VALUE($C5283),1000000000),IFERROR(IF(VALUE(MID($C5283,2,20))&lt;100000000,VALUE(MID($C5283,2,20)),1000000000),1000000000))+ROW()/100000,"")</f>
        <v/>
      </c>
    </row>
    <row r="5284">
      <c r="D5284" s="11" t="n"/>
      <c r="K5284" s="7">
        <f>IF($C5284="","",J5284*W5284/100)</f>
        <v/>
      </c>
      <c r="Q5284" s="7" t="n"/>
      <c r="R5284" s="7" t="n"/>
      <c r="U5284">
        <f>IF($C5284="","",IF($AJ5284=1,0,IF($AI5284=1,Settings!$C$6,Settings!$C$7))*100)</f>
        <v/>
      </c>
      <c r="V5284" s="7">
        <f>IF($C5284="","",R5284*U5284/100)</f>
        <v/>
      </c>
      <c r="W5284" s="7">
        <f>IF($C5284="","",R5284-V5284)</f>
        <v/>
      </c>
      <c r="X5284" s="7">
        <f>IF($C5284="","",W5284-K5284)</f>
        <v/>
      </c>
      <c r="AB5284" s="7" t="n"/>
      <c r="AE5284" s="11" t="n"/>
      <c r="AG5284">
        <f>IF($C5284="","",IF(COUNTIF($C$2:$C5284,$C5284)=1,1,0))</f>
        <v/>
      </c>
      <c r="AH5284">
        <f>IF($AG5284=1,SUMPRODUCT(--($AK$2:$AK$6001&lt;$AK5284))+1,"")</f>
        <v/>
      </c>
      <c r="AI5284">
        <f>IF($C5284="","",IF(OR($N5284=TRUE(),$N5284="TRUE"),1,0))</f>
        <v/>
      </c>
      <c r="AJ5284">
        <f>IF($C5284="","",IF($T5284="Yes",1,0))</f>
        <v/>
      </c>
      <c r="AK5284">
        <f>IF($AG5284=1,IFERROR(IF(VALUE($C5284)&lt;100000000,VALUE($C5284),1000000000),IFERROR(IF(VALUE(MID($C5284,2,20))&lt;100000000,VALUE(MID($C5284,2,20)),1000000000),1000000000))+ROW()/100000,"")</f>
        <v/>
      </c>
    </row>
    <row r="5285">
      <c r="D5285" s="11" t="n"/>
      <c r="K5285" s="7">
        <f>IF($C5285="","",J5285*W5285/100)</f>
        <v/>
      </c>
      <c r="Q5285" s="7" t="n"/>
      <c r="R5285" s="7" t="n"/>
      <c r="U5285">
        <f>IF($C5285="","",IF($AJ5285=1,0,IF($AI5285=1,Settings!$C$6,Settings!$C$7))*100)</f>
        <v/>
      </c>
      <c r="V5285" s="7">
        <f>IF($C5285="","",R5285*U5285/100)</f>
        <v/>
      </c>
      <c r="W5285" s="7">
        <f>IF($C5285="","",R5285-V5285)</f>
        <v/>
      </c>
      <c r="X5285" s="7">
        <f>IF($C5285="","",W5285-K5285)</f>
        <v/>
      </c>
      <c r="AB5285" s="7" t="n"/>
      <c r="AE5285" s="11" t="n"/>
      <c r="AG5285">
        <f>IF($C5285="","",IF(COUNTIF($C$2:$C5285,$C5285)=1,1,0))</f>
        <v/>
      </c>
      <c r="AH5285">
        <f>IF($AG5285=1,SUMPRODUCT(--($AK$2:$AK$6001&lt;$AK5285))+1,"")</f>
        <v/>
      </c>
      <c r="AI5285">
        <f>IF($C5285="","",IF(OR($N5285=TRUE(),$N5285="TRUE"),1,0))</f>
        <v/>
      </c>
      <c r="AJ5285">
        <f>IF($C5285="","",IF($T5285="Yes",1,0))</f>
        <v/>
      </c>
      <c r="AK5285">
        <f>IF($AG5285=1,IFERROR(IF(VALUE($C5285)&lt;100000000,VALUE($C5285),1000000000),IFERROR(IF(VALUE(MID($C5285,2,20))&lt;100000000,VALUE(MID($C5285,2,20)),1000000000),1000000000))+ROW()/100000,"")</f>
        <v/>
      </c>
    </row>
    <row r="5286">
      <c r="D5286" s="11" t="n"/>
      <c r="K5286" s="7">
        <f>IF($C5286="","",J5286*W5286/100)</f>
        <v/>
      </c>
      <c r="Q5286" s="7" t="n"/>
      <c r="R5286" s="7" t="n"/>
      <c r="U5286">
        <f>IF($C5286="","",IF($AJ5286=1,0,IF($AI5286=1,Settings!$C$6,Settings!$C$7))*100)</f>
        <v/>
      </c>
      <c r="V5286" s="7">
        <f>IF($C5286="","",R5286*U5286/100)</f>
        <v/>
      </c>
      <c r="W5286" s="7">
        <f>IF($C5286="","",R5286-V5286)</f>
        <v/>
      </c>
      <c r="X5286" s="7">
        <f>IF($C5286="","",W5286-K5286)</f>
        <v/>
      </c>
      <c r="AB5286" s="7" t="n"/>
      <c r="AE5286" s="11" t="n"/>
      <c r="AG5286">
        <f>IF($C5286="","",IF(COUNTIF($C$2:$C5286,$C5286)=1,1,0))</f>
        <v/>
      </c>
      <c r="AH5286">
        <f>IF($AG5286=1,SUMPRODUCT(--($AK$2:$AK$6001&lt;$AK5286))+1,"")</f>
        <v/>
      </c>
      <c r="AI5286">
        <f>IF($C5286="","",IF(OR($N5286=TRUE(),$N5286="TRUE"),1,0))</f>
        <v/>
      </c>
      <c r="AJ5286">
        <f>IF($C5286="","",IF($T5286="Yes",1,0))</f>
        <v/>
      </c>
      <c r="AK5286">
        <f>IF($AG5286=1,IFERROR(IF(VALUE($C5286)&lt;100000000,VALUE($C5286),1000000000),IFERROR(IF(VALUE(MID($C5286,2,20))&lt;100000000,VALUE(MID($C5286,2,20)),1000000000),1000000000))+ROW()/100000,"")</f>
        <v/>
      </c>
    </row>
    <row r="5287">
      <c r="D5287" s="11" t="n"/>
      <c r="K5287" s="7">
        <f>IF($C5287="","",J5287*W5287/100)</f>
        <v/>
      </c>
      <c r="Q5287" s="7" t="n"/>
      <c r="R5287" s="7" t="n"/>
      <c r="U5287">
        <f>IF($C5287="","",IF($AJ5287=1,0,IF($AI5287=1,Settings!$C$6,Settings!$C$7))*100)</f>
        <v/>
      </c>
      <c r="V5287" s="7">
        <f>IF($C5287="","",R5287*U5287/100)</f>
        <v/>
      </c>
      <c r="W5287" s="7">
        <f>IF($C5287="","",R5287-V5287)</f>
        <v/>
      </c>
      <c r="X5287" s="7">
        <f>IF($C5287="","",W5287-K5287)</f>
        <v/>
      </c>
      <c r="AB5287" s="7" t="n"/>
      <c r="AE5287" s="11" t="n"/>
      <c r="AG5287">
        <f>IF($C5287="","",IF(COUNTIF($C$2:$C5287,$C5287)=1,1,0))</f>
        <v/>
      </c>
      <c r="AH5287">
        <f>IF($AG5287=1,SUMPRODUCT(--($AK$2:$AK$6001&lt;$AK5287))+1,"")</f>
        <v/>
      </c>
      <c r="AI5287">
        <f>IF($C5287="","",IF(OR($N5287=TRUE(),$N5287="TRUE"),1,0))</f>
        <v/>
      </c>
      <c r="AJ5287">
        <f>IF($C5287="","",IF($T5287="Yes",1,0))</f>
        <v/>
      </c>
      <c r="AK5287">
        <f>IF($AG5287=1,IFERROR(IF(VALUE($C5287)&lt;100000000,VALUE($C5287),1000000000),IFERROR(IF(VALUE(MID($C5287,2,20))&lt;100000000,VALUE(MID($C5287,2,20)),1000000000),1000000000))+ROW()/100000,"")</f>
        <v/>
      </c>
    </row>
    <row r="5288">
      <c r="D5288" s="11" t="n"/>
      <c r="K5288" s="7">
        <f>IF($C5288="","",J5288*W5288/100)</f>
        <v/>
      </c>
      <c r="Q5288" s="7" t="n"/>
      <c r="R5288" s="7" t="n"/>
      <c r="U5288">
        <f>IF($C5288="","",IF($AJ5288=1,0,IF($AI5288=1,Settings!$C$6,Settings!$C$7))*100)</f>
        <v/>
      </c>
      <c r="V5288" s="7">
        <f>IF($C5288="","",R5288*U5288/100)</f>
        <v/>
      </c>
      <c r="W5288" s="7">
        <f>IF($C5288="","",R5288-V5288)</f>
        <v/>
      </c>
      <c r="X5288" s="7">
        <f>IF($C5288="","",W5288-K5288)</f>
        <v/>
      </c>
      <c r="AB5288" s="7" t="n"/>
      <c r="AE5288" s="11" t="n"/>
      <c r="AG5288">
        <f>IF($C5288="","",IF(COUNTIF($C$2:$C5288,$C5288)=1,1,0))</f>
        <v/>
      </c>
      <c r="AH5288">
        <f>IF($AG5288=1,SUMPRODUCT(--($AK$2:$AK$6001&lt;$AK5288))+1,"")</f>
        <v/>
      </c>
      <c r="AI5288">
        <f>IF($C5288="","",IF(OR($N5288=TRUE(),$N5288="TRUE"),1,0))</f>
        <v/>
      </c>
      <c r="AJ5288">
        <f>IF($C5288="","",IF($T5288="Yes",1,0))</f>
        <v/>
      </c>
      <c r="AK5288">
        <f>IF($AG5288=1,IFERROR(IF(VALUE($C5288)&lt;100000000,VALUE($C5288),1000000000),IFERROR(IF(VALUE(MID($C5288,2,20))&lt;100000000,VALUE(MID($C5288,2,20)),1000000000),1000000000))+ROW()/100000,"")</f>
        <v/>
      </c>
    </row>
    <row r="5289">
      <c r="D5289" s="11" t="n"/>
      <c r="K5289" s="7">
        <f>IF($C5289="","",J5289*W5289/100)</f>
        <v/>
      </c>
      <c r="Q5289" s="7" t="n"/>
      <c r="R5289" s="7" t="n"/>
      <c r="U5289">
        <f>IF($C5289="","",IF($AJ5289=1,0,IF($AI5289=1,Settings!$C$6,Settings!$C$7))*100)</f>
        <v/>
      </c>
      <c r="V5289" s="7">
        <f>IF($C5289="","",R5289*U5289/100)</f>
        <v/>
      </c>
      <c r="W5289" s="7">
        <f>IF($C5289="","",R5289-V5289)</f>
        <v/>
      </c>
      <c r="X5289" s="7">
        <f>IF($C5289="","",W5289-K5289)</f>
        <v/>
      </c>
      <c r="AB5289" s="7" t="n"/>
      <c r="AE5289" s="11" t="n"/>
      <c r="AG5289">
        <f>IF($C5289="","",IF(COUNTIF($C$2:$C5289,$C5289)=1,1,0))</f>
        <v/>
      </c>
      <c r="AH5289">
        <f>IF($AG5289=1,SUMPRODUCT(--($AK$2:$AK$6001&lt;$AK5289))+1,"")</f>
        <v/>
      </c>
      <c r="AI5289">
        <f>IF($C5289="","",IF(OR($N5289=TRUE(),$N5289="TRUE"),1,0))</f>
        <v/>
      </c>
      <c r="AJ5289">
        <f>IF($C5289="","",IF($T5289="Yes",1,0))</f>
        <v/>
      </c>
      <c r="AK5289">
        <f>IF($AG5289=1,IFERROR(IF(VALUE($C5289)&lt;100000000,VALUE($C5289),1000000000),IFERROR(IF(VALUE(MID($C5289,2,20))&lt;100000000,VALUE(MID($C5289,2,20)),1000000000),1000000000))+ROW()/100000,"")</f>
        <v/>
      </c>
    </row>
    <row r="5290">
      <c r="D5290" s="11" t="n"/>
      <c r="K5290" s="7">
        <f>IF($C5290="","",J5290*W5290/100)</f>
        <v/>
      </c>
      <c r="Q5290" s="7" t="n"/>
      <c r="R5290" s="7" t="n"/>
      <c r="U5290">
        <f>IF($C5290="","",IF($AJ5290=1,0,IF($AI5290=1,Settings!$C$6,Settings!$C$7))*100)</f>
        <v/>
      </c>
      <c r="V5290" s="7">
        <f>IF($C5290="","",R5290*U5290/100)</f>
        <v/>
      </c>
      <c r="W5290" s="7">
        <f>IF($C5290="","",R5290-V5290)</f>
        <v/>
      </c>
      <c r="X5290" s="7">
        <f>IF($C5290="","",W5290-K5290)</f>
        <v/>
      </c>
      <c r="AB5290" s="7" t="n"/>
      <c r="AE5290" s="11" t="n"/>
      <c r="AG5290">
        <f>IF($C5290="","",IF(COUNTIF($C$2:$C5290,$C5290)=1,1,0))</f>
        <v/>
      </c>
      <c r="AH5290">
        <f>IF($AG5290=1,SUMPRODUCT(--($AK$2:$AK$6001&lt;$AK5290))+1,"")</f>
        <v/>
      </c>
      <c r="AI5290">
        <f>IF($C5290="","",IF(OR($N5290=TRUE(),$N5290="TRUE"),1,0))</f>
        <v/>
      </c>
      <c r="AJ5290">
        <f>IF($C5290="","",IF($T5290="Yes",1,0))</f>
        <v/>
      </c>
      <c r="AK5290">
        <f>IF($AG5290=1,IFERROR(IF(VALUE($C5290)&lt;100000000,VALUE($C5290),1000000000),IFERROR(IF(VALUE(MID($C5290,2,20))&lt;100000000,VALUE(MID($C5290,2,20)),1000000000),1000000000))+ROW()/100000,"")</f>
        <v/>
      </c>
    </row>
    <row r="5291">
      <c r="D5291" s="11" t="n"/>
      <c r="K5291" s="7">
        <f>IF($C5291="","",J5291*W5291/100)</f>
        <v/>
      </c>
      <c r="Q5291" s="7" t="n"/>
      <c r="R5291" s="7" t="n"/>
      <c r="U5291">
        <f>IF($C5291="","",IF($AJ5291=1,0,IF($AI5291=1,Settings!$C$6,Settings!$C$7))*100)</f>
        <v/>
      </c>
      <c r="V5291" s="7">
        <f>IF($C5291="","",R5291*U5291/100)</f>
        <v/>
      </c>
      <c r="W5291" s="7">
        <f>IF($C5291="","",R5291-V5291)</f>
        <v/>
      </c>
      <c r="X5291" s="7">
        <f>IF($C5291="","",W5291-K5291)</f>
        <v/>
      </c>
      <c r="AB5291" s="7" t="n"/>
      <c r="AE5291" s="11" t="n"/>
      <c r="AG5291">
        <f>IF($C5291="","",IF(COUNTIF($C$2:$C5291,$C5291)=1,1,0))</f>
        <v/>
      </c>
      <c r="AH5291">
        <f>IF($AG5291=1,SUMPRODUCT(--($AK$2:$AK$6001&lt;$AK5291))+1,"")</f>
        <v/>
      </c>
      <c r="AI5291">
        <f>IF($C5291="","",IF(OR($N5291=TRUE(),$N5291="TRUE"),1,0))</f>
        <v/>
      </c>
      <c r="AJ5291">
        <f>IF($C5291="","",IF($T5291="Yes",1,0))</f>
        <v/>
      </c>
      <c r="AK5291">
        <f>IF($AG5291=1,IFERROR(IF(VALUE($C5291)&lt;100000000,VALUE($C5291),1000000000),IFERROR(IF(VALUE(MID($C5291,2,20))&lt;100000000,VALUE(MID($C5291,2,20)),1000000000),1000000000))+ROW()/100000,"")</f>
        <v/>
      </c>
    </row>
    <row r="5292">
      <c r="D5292" s="11" t="n"/>
      <c r="K5292" s="7">
        <f>IF($C5292="","",J5292*W5292/100)</f>
        <v/>
      </c>
      <c r="Q5292" s="7" t="n"/>
      <c r="R5292" s="7" t="n"/>
      <c r="U5292">
        <f>IF($C5292="","",IF($AJ5292=1,0,IF($AI5292=1,Settings!$C$6,Settings!$C$7))*100)</f>
        <v/>
      </c>
      <c r="V5292" s="7">
        <f>IF($C5292="","",R5292*U5292/100)</f>
        <v/>
      </c>
      <c r="W5292" s="7">
        <f>IF($C5292="","",R5292-V5292)</f>
        <v/>
      </c>
      <c r="X5292" s="7">
        <f>IF($C5292="","",W5292-K5292)</f>
        <v/>
      </c>
      <c r="AB5292" s="7" t="n"/>
      <c r="AE5292" s="11" t="n"/>
      <c r="AG5292">
        <f>IF($C5292="","",IF(COUNTIF($C$2:$C5292,$C5292)=1,1,0))</f>
        <v/>
      </c>
      <c r="AH5292">
        <f>IF($AG5292=1,SUMPRODUCT(--($AK$2:$AK$6001&lt;$AK5292))+1,"")</f>
        <v/>
      </c>
      <c r="AI5292">
        <f>IF($C5292="","",IF(OR($N5292=TRUE(),$N5292="TRUE"),1,0))</f>
        <v/>
      </c>
      <c r="AJ5292">
        <f>IF($C5292="","",IF($T5292="Yes",1,0))</f>
        <v/>
      </c>
      <c r="AK5292">
        <f>IF($AG5292=1,IFERROR(IF(VALUE($C5292)&lt;100000000,VALUE($C5292),1000000000),IFERROR(IF(VALUE(MID($C5292,2,20))&lt;100000000,VALUE(MID($C5292,2,20)),1000000000),1000000000))+ROW()/100000,"")</f>
        <v/>
      </c>
    </row>
    <row r="5293">
      <c r="D5293" s="11" t="n"/>
      <c r="K5293" s="7">
        <f>IF($C5293="","",J5293*W5293/100)</f>
        <v/>
      </c>
      <c r="Q5293" s="7" t="n"/>
      <c r="R5293" s="7" t="n"/>
      <c r="U5293">
        <f>IF($C5293="","",IF($AJ5293=1,0,IF($AI5293=1,Settings!$C$6,Settings!$C$7))*100)</f>
        <v/>
      </c>
      <c r="V5293" s="7">
        <f>IF($C5293="","",R5293*U5293/100)</f>
        <v/>
      </c>
      <c r="W5293" s="7">
        <f>IF($C5293="","",R5293-V5293)</f>
        <v/>
      </c>
      <c r="X5293" s="7">
        <f>IF($C5293="","",W5293-K5293)</f>
        <v/>
      </c>
      <c r="AB5293" s="7" t="n"/>
      <c r="AE5293" s="11" t="n"/>
      <c r="AG5293">
        <f>IF($C5293="","",IF(COUNTIF($C$2:$C5293,$C5293)=1,1,0))</f>
        <v/>
      </c>
      <c r="AH5293">
        <f>IF($AG5293=1,SUMPRODUCT(--($AK$2:$AK$6001&lt;$AK5293))+1,"")</f>
        <v/>
      </c>
      <c r="AI5293">
        <f>IF($C5293="","",IF(OR($N5293=TRUE(),$N5293="TRUE"),1,0))</f>
        <v/>
      </c>
      <c r="AJ5293">
        <f>IF($C5293="","",IF($T5293="Yes",1,0))</f>
        <v/>
      </c>
      <c r="AK5293">
        <f>IF($AG5293=1,IFERROR(IF(VALUE($C5293)&lt;100000000,VALUE($C5293),1000000000),IFERROR(IF(VALUE(MID($C5293,2,20))&lt;100000000,VALUE(MID($C5293,2,20)),1000000000),1000000000))+ROW()/100000,"")</f>
        <v/>
      </c>
    </row>
    <row r="5294">
      <c r="D5294" s="11" t="n"/>
      <c r="K5294" s="7">
        <f>IF($C5294="","",J5294*W5294/100)</f>
        <v/>
      </c>
      <c r="Q5294" s="7" t="n"/>
      <c r="R5294" s="7" t="n"/>
      <c r="U5294">
        <f>IF($C5294="","",IF($AJ5294=1,0,IF($AI5294=1,Settings!$C$6,Settings!$C$7))*100)</f>
        <v/>
      </c>
      <c r="V5294" s="7">
        <f>IF($C5294="","",R5294*U5294/100)</f>
        <v/>
      </c>
      <c r="W5294" s="7">
        <f>IF($C5294="","",R5294-V5294)</f>
        <v/>
      </c>
      <c r="X5294" s="7">
        <f>IF($C5294="","",W5294-K5294)</f>
        <v/>
      </c>
      <c r="AB5294" s="7" t="n"/>
      <c r="AE5294" s="11" t="n"/>
      <c r="AG5294">
        <f>IF($C5294="","",IF(COUNTIF($C$2:$C5294,$C5294)=1,1,0))</f>
        <v/>
      </c>
      <c r="AH5294">
        <f>IF($AG5294=1,SUMPRODUCT(--($AK$2:$AK$6001&lt;$AK5294))+1,"")</f>
        <v/>
      </c>
      <c r="AI5294">
        <f>IF($C5294="","",IF(OR($N5294=TRUE(),$N5294="TRUE"),1,0))</f>
        <v/>
      </c>
      <c r="AJ5294">
        <f>IF($C5294="","",IF($T5294="Yes",1,0))</f>
        <v/>
      </c>
      <c r="AK5294">
        <f>IF($AG5294=1,IFERROR(IF(VALUE($C5294)&lt;100000000,VALUE($C5294),1000000000),IFERROR(IF(VALUE(MID($C5294,2,20))&lt;100000000,VALUE(MID($C5294,2,20)),1000000000),1000000000))+ROW()/100000,"")</f>
        <v/>
      </c>
    </row>
    <row r="5295">
      <c r="D5295" s="11" t="n"/>
      <c r="K5295" s="7">
        <f>IF($C5295="","",J5295*W5295/100)</f>
        <v/>
      </c>
      <c r="Q5295" s="7" t="n"/>
      <c r="R5295" s="7" t="n"/>
      <c r="U5295">
        <f>IF($C5295="","",IF($AJ5295=1,0,IF($AI5295=1,Settings!$C$6,Settings!$C$7))*100)</f>
        <v/>
      </c>
      <c r="V5295" s="7">
        <f>IF($C5295="","",R5295*U5295/100)</f>
        <v/>
      </c>
      <c r="W5295" s="7">
        <f>IF($C5295="","",R5295-V5295)</f>
        <v/>
      </c>
      <c r="X5295" s="7">
        <f>IF($C5295="","",W5295-K5295)</f>
        <v/>
      </c>
      <c r="AB5295" s="7" t="n"/>
      <c r="AE5295" s="11" t="n"/>
      <c r="AG5295">
        <f>IF($C5295="","",IF(COUNTIF($C$2:$C5295,$C5295)=1,1,0))</f>
        <v/>
      </c>
      <c r="AH5295">
        <f>IF($AG5295=1,SUMPRODUCT(--($AK$2:$AK$6001&lt;$AK5295))+1,"")</f>
        <v/>
      </c>
      <c r="AI5295">
        <f>IF($C5295="","",IF(OR($N5295=TRUE(),$N5295="TRUE"),1,0))</f>
        <v/>
      </c>
      <c r="AJ5295">
        <f>IF($C5295="","",IF($T5295="Yes",1,0))</f>
        <v/>
      </c>
      <c r="AK5295">
        <f>IF($AG5295=1,IFERROR(IF(VALUE($C5295)&lt;100000000,VALUE($C5295),1000000000),IFERROR(IF(VALUE(MID($C5295,2,20))&lt;100000000,VALUE(MID($C5295,2,20)),1000000000),1000000000))+ROW()/100000,"")</f>
        <v/>
      </c>
    </row>
    <row r="5296">
      <c r="D5296" s="11" t="n"/>
      <c r="K5296" s="7">
        <f>IF($C5296="","",J5296*W5296/100)</f>
        <v/>
      </c>
      <c r="Q5296" s="7" t="n"/>
      <c r="R5296" s="7" t="n"/>
      <c r="U5296">
        <f>IF($C5296="","",IF($AJ5296=1,0,IF($AI5296=1,Settings!$C$6,Settings!$C$7))*100)</f>
        <v/>
      </c>
      <c r="V5296" s="7">
        <f>IF($C5296="","",R5296*U5296/100)</f>
        <v/>
      </c>
      <c r="W5296" s="7">
        <f>IF($C5296="","",R5296-V5296)</f>
        <v/>
      </c>
      <c r="X5296" s="7">
        <f>IF($C5296="","",W5296-K5296)</f>
        <v/>
      </c>
      <c r="AB5296" s="7" t="n"/>
      <c r="AE5296" s="11" t="n"/>
      <c r="AG5296">
        <f>IF($C5296="","",IF(COUNTIF($C$2:$C5296,$C5296)=1,1,0))</f>
        <v/>
      </c>
      <c r="AH5296">
        <f>IF($AG5296=1,SUMPRODUCT(--($AK$2:$AK$6001&lt;$AK5296))+1,"")</f>
        <v/>
      </c>
      <c r="AI5296">
        <f>IF($C5296="","",IF(OR($N5296=TRUE(),$N5296="TRUE"),1,0))</f>
        <v/>
      </c>
      <c r="AJ5296">
        <f>IF($C5296="","",IF($T5296="Yes",1,0))</f>
        <v/>
      </c>
      <c r="AK5296">
        <f>IF($AG5296=1,IFERROR(IF(VALUE($C5296)&lt;100000000,VALUE($C5296),1000000000),IFERROR(IF(VALUE(MID($C5296,2,20))&lt;100000000,VALUE(MID($C5296,2,20)),1000000000),1000000000))+ROW()/100000,"")</f>
        <v/>
      </c>
    </row>
    <row r="5297">
      <c r="D5297" s="11" t="n"/>
      <c r="K5297" s="7">
        <f>IF($C5297="","",J5297*W5297/100)</f>
        <v/>
      </c>
      <c r="Q5297" s="7" t="n"/>
      <c r="R5297" s="7" t="n"/>
      <c r="U5297">
        <f>IF($C5297="","",IF($AJ5297=1,0,IF($AI5297=1,Settings!$C$6,Settings!$C$7))*100)</f>
        <v/>
      </c>
      <c r="V5297" s="7">
        <f>IF($C5297="","",R5297*U5297/100)</f>
        <v/>
      </c>
      <c r="W5297" s="7">
        <f>IF($C5297="","",R5297-V5297)</f>
        <v/>
      </c>
      <c r="X5297" s="7">
        <f>IF($C5297="","",W5297-K5297)</f>
        <v/>
      </c>
      <c r="AB5297" s="7" t="n"/>
      <c r="AE5297" s="11" t="n"/>
      <c r="AG5297">
        <f>IF($C5297="","",IF(COUNTIF($C$2:$C5297,$C5297)=1,1,0))</f>
        <v/>
      </c>
      <c r="AH5297">
        <f>IF($AG5297=1,SUMPRODUCT(--($AK$2:$AK$6001&lt;$AK5297))+1,"")</f>
        <v/>
      </c>
      <c r="AI5297">
        <f>IF($C5297="","",IF(OR($N5297=TRUE(),$N5297="TRUE"),1,0))</f>
        <v/>
      </c>
      <c r="AJ5297">
        <f>IF($C5297="","",IF($T5297="Yes",1,0))</f>
        <v/>
      </c>
      <c r="AK5297">
        <f>IF($AG5297=1,IFERROR(IF(VALUE($C5297)&lt;100000000,VALUE($C5297),1000000000),IFERROR(IF(VALUE(MID($C5297,2,20))&lt;100000000,VALUE(MID($C5297,2,20)),1000000000),1000000000))+ROW()/100000,"")</f>
        <v/>
      </c>
    </row>
    <row r="5298">
      <c r="D5298" s="11" t="n"/>
      <c r="K5298" s="7">
        <f>IF($C5298="","",J5298*W5298/100)</f>
        <v/>
      </c>
      <c r="Q5298" s="7" t="n"/>
      <c r="R5298" s="7" t="n"/>
      <c r="U5298">
        <f>IF($C5298="","",IF($AJ5298=1,0,IF($AI5298=1,Settings!$C$6,Settings!$C$7))*100)</f>
        <v/>
      </c>
      <c r="V5298" s="7">
        <f>IF($C5298="","",R5298*U5298/100)</f>
        <v/>
      </c>
      <c r="W5298" s="7">
        <f>IF($C5298="","",R5298-V5298)</f>
        <v/>
      </c>
      <c r="X5298" s="7">
        <f>IF($C5298="","",W5298-K5298)</f>
        <v/>
      </c>
      <c r="AB5298" s="7" t="n"/>
      <c r="AE5298" s="11" t="n"/>
      <c r="AG5298">
        <f>IF($C5298="","",IF(COUNTIF($C$2:$C5298,$C5298)=1,1,0))</f>
        <v/>
      </c>
      <c r="AH5298">
        <f>IF($AG5298=1,SUMPRODUCT(--($AK$2:$AK$6001&lt;$AK5298))+1,"")</f>
        <v/>
      </c>
      <c r="AI5298">
        <f>IF($C5298="","",IF(OR($N5298=TRUE(),$N5298="TRUE"),1,0))</f>
        <v/>
      </c>
      <c r="AJ5298">
        <f>IF($C5298="","",IF($T5298="Yes",1,0))</f>
        <v/>
      </c>
      <c r="AK5298">
        <f>IF($AG5298=1,IFERROR(IF(VALUE($C5298)&lt;100000000,VALUE($C5298),1000000000),IFERROR(IF(VALUE(MID($C5298,2,20))&lt;100000000,VALUE(MID($C5298,2,20)),1000000000),1000000000))+ROW()/100000,"")</f>
        <v/>
      </c>
    </row>
    <row r="5299">
      <c r="D5299" s="11" t="n"/>
      <c r="K5299" s="7">
        <f>IF($C5299="","",J5299*W5299/100)</f>
        <v/>
      </c>
      <c r="Q5299" s="7" t="n"/>
      <c r="R5299" s="7" t="n"/>
      <c r="U5299">
        <f>IF($C5299="","",IF($AJ5299=1,0,IF($AI5299=1,Settings!$C$6,Settings!$C$7))*100)</f>
        <v/>
      </c>
      <c r="V5299" s="7">
        <f>IF($C5299="","",R5299*U5299/100)</f>
        <v/>
      </c>
      <c r="W5299" s="7">
        <f>IF($C5299="","",R5299-V5299)</f>
        <v/>
      </c>
      <c r="X5299" s="7">
        <f>IF($C5299="","",W5299-K5299)</f>
        <v/>
      </c>
      <c r="AB5299" s="7" t="n"/>
      <c r="AE5299" s="11" t="n"/>
      <c r="AG5299">
        <f>IF($C5299="","",IF(COUNTIF($C$2:$C5299,$C5299)=1,1,0))</f>
        <v/>
      </c>
      <c r="AH5299">
        <f>IF($AG5299=1,SUMPRODUCT(--($AK$2:$AK$6001&lt;$AK5299))+1,"")</f>
        <v/>
      </c>
      <c r="AI5299">
        <f>IF($C5299="","",IF(OR($N5299=TRUE(),$N5299="TRUE"),1,0))</f>
        <v/>
      </c>
      <c r="AJ5299">
        <f>IF($C5299="","",IF($T5299="Yes",1,0))</f>
        <v/>
      </c>
      <c r="AK5299">
        <f>IF($AG5299=1,IFERROR(IF(VALUE($C5299)&lt;100000000,VALUE($C5299),1000000000),IFERROR(IF(VALUE(MID($C5299,2,20))&lt;100000000,VALUE(MID($C5299,2,20)),1000000000),1000000000))+ROW()/100000,"")</f>
        <v/>
      </c>
    </row>
    <row r="5300">
      <c r="D5300" s="11" t="n"/>
      <c r="K5300" s="7">
        <f>IF($C5300="","",J5300*W5300/100)</f>
        <v/>
      </c>
      <c r="Q5300" s="7" t="n"/>
      <c r="R5300" s="7" t="n"/>
      <c r="U5300">
        <f>IF($C5300="","",IF($AJ5300=1,0,IF($AI5300=1,Settings!$C$6,Settings!$C$7))*100)</f>
        <v/>
      </c>
      <c r="V5300" s="7">
        <f>IF($C5300="","",R5300*U5300/100)</f>
        <v/>
      </c>
      <c r="W5300" s="7">
        <f>IF($C5300="","",R5300-V5300)</f>
        <v/>
      </c>
      <c r="X5300" s="7">
        <f>IF($C5300="","",W5300-K5300)</f>
        <v/>
      </c>
      <c r="AB5300" s="7" t="n"/>
      <c r="AE5300" s="11" t="n"/>
      <c r="AG5300">
        <f>IF($C5300="","",IF(COUNTIF($C$2:$C5300,$C5300)=1,1,0))</f>
        <v/>
      </c>
      <c r="AH5300">
        <f>IF($AG5300=1,SUMPRODUCT(--($AK$2:$AK$6001&lt;$AK5300))+1,"")</f>
        <v/>
      </c>
      <c r="AI5300">
        <f>IF($C5300="","",IF(OR($N5300=TRUE(),$N5300="TRUE"),1,0))</f>
        <v/>
      </c>
      <c r="AJ5300">
        <f>IF($C5300="","",IF($T5300="Yes",1,0))</f>
        <v/>
      </c>
      <c r="AK5300">
        <f>IF($AG5300=1,IFERROR(IF(VALUE($C5300)&lt;100000000,VALUE($C5300),1000000000),IFERROR(IF(VALUE(MID($C5300,2,20))&lt;100000000,VALUE(MID($C5300,2,20)),1000000000),1000000000))+ROW()/100000,"")</f>
        <v/>
      </c>
    </row>
    <row r="5301">
      <c r="D5301" s="11" t="n"/>
      <c r="K5301" s="7">
        <f>IF($C5301="","",J5301*W5301/100)</f>
        <v/>
      </c>
      <c r="Q5301" s="7" t="n"/>
      <c r="R5301" s="7" t="n"/>
      <c r="U5301">
        <f>IF($C5301="","",IF($AJ5301=1,0,IF($AI5301=1,Settings!$C$6,Settings!$C$7))*100)</f>
        <v/>
      </c>
      <c r="V5301" s="7">
        <f>IF($C5301="","",R5301*U5301/100)</f>
        <v/>
      </c>
      <c r="W5301" s="7">
        <f>IF($C5301="","",R5301-V5301)</f>
        <v/>
      </c>
      <c r="X5301" s="7">
        <f>IF($C5301="","",W5301-K5301)</f>
        <v/>
      </c>
      <c r="AB5301" s="7" t="n"/>
      <c r="AE5301" s="11" t="n"/>
      <c r="AG5301">
        <f>IF($C5301="","",IF(COUNTIF($C$2:$C5301,$C5301)=1,1,0))</f>
        <v/>
      </c>
      <c r="AH5301">
        <f>IF($AG5301=1,SUMPRODUCT(--($AK$2:$AK$6001&lt;$AK5301))+1,"")</f>
        <v/>
      </c>
      <c r="AI5301">
        <f>IF($C5301="","",IF(OR($N5301=TRUE(),$N5301="TRUE"),1,0))</f>
        <v/>
      </c>
      <c r="AJ5301">
        <f>IF($C5301="","",IF($T5301="Yes",1,0))</f>
        <v/>
      </c>
      <c r="AK5301">
        <f>IF($AG5301=1,IFERROR(IF(VALUE($C5301)&lt;100000000,VALUE($C5301),1000000000),IFERROR(IF(VALUE(MID($C5301,2,20))&lt;100000000,VALUE(MID($C5301,2,20)),1000000000),1000000000))+ROW()/100000,"")</f>
        <v/>
      </c>
    </row>
    <row r="5302">
      <c r="D5302" s="11" t="n"/>
      <c r="K5302" s="7">
        <f>IF($C5302="","",J5302*W5302/100)</f>
        <v/>
      </c>
      <c r="Q5302" s="7" t="n"/>
      <c r="R5302" s="7" t="n"/>
      <c r="U5302">
        <f>IF($C5302="","",IF($AJ5302=1,0,IF($AI5302=1,Settings!$C$6,Settings!$C$7))*100)</f>
        <v/>
      </c>
      <c r="V5302" s="7">
        <f>IF($C5302="","",R5302*U5302/100)</f>
        <v/>
      </c>
      <c r="W5302" s="7">
        <f>IF($C5302="","",R5302-V5302)</f>
        <v/>
      </c>
      <c r="X5302" s="7">
        <f>IF($C5302="","",W5302-K5302)</f>
        <v/>
      </c>
      <c r="AB5302" s="7" t="n"/>
      <c r="AE5302" s="11" t="n"/>
      <c r="AG5302">
        <f>IF($C5302="","",IF(COUNTIF($C$2:$C5302,$C5302)=1,1,0))</f>
        <v/>
      </c>
      <c r="AH5302">
        <f>IF($AG5302=1,SUMPRODUCT(--($AK$2:$AK$6001&lt;$AK5302))+1,"")</f>
        <v/>
      </c>
      <c r="AI5302">
        <f>IF($C5302="","",IF(OR($N5302=TRUE(),$N5302="TRUE"),1,0))</f>
        <v/>
      </c>
      <c r="AJ5302">
        <f>IF($C5302="","",IF($T5302="Yes",1,0))</f>
        <v/>
      </c>
      <c r="AK5302">
        <f>IF($AG5302=1,IFERROR(IF(VALUE($C5302)&lt;100000000,VALUE($C5302),1000000000),IFERROR(IF(VALUE(MID($C5302,2,20))&lt;100000000,VALUE(MID($C5302,2,20)),1000000000),1000000000))+ROW()/100000,"")</f>
        <v/>
      </c>
    </row>
    <row r="5303">
      <c r="D5303" s="11" t="n"/>
      <c r="K5303" s="7">
        <f>IF($C5303="","",J5303*W5303/100)</f>
        <v/>
      </c>
      <c r="Q5303" s="7" t="n"/>
      <c r="R5303" s="7" t="n"/>
      <c r="U5303">
        <f>IF($C5303="","",IF($AJ5303=1,0,IF($AI5303=1,Settings!$C$6,Settings!$C$7))*100)</f>
        <v/>
      </c>
      <c r="V5303" s="7">
        <f>IF($C5303="","",R5303*U5303/100)</f>
        <v/>
      </c>
      <c r="W5303" s="7">
        <f>IF($C5303="","",R5303-V5303)</f>
        <v/>
      </c>
      <c r="X5303" s="7">
        <f>IF($C5303="","",W5303-K5303)</f>
        <v/>
      </c>
      <c r="AB5303" s="7" t="n"/>
      <c r="AE5303" s="11" t="n"/>
      <c r="AG5303">
        <f>IF($C5303="","",IF(COUNTIF($C$2:$C5303,$C5303)=1,1,0))</f>
        <v/>
      </c>
      <c r="AH5303">
        <f>IF($AG5303=1,SUMPRODUCT(--($AK$2:$AK$6001&lt;$AK5303))+1,"")</f>
        <v/>
      </c>
      <c r="AI5303">
        <f>IF($C5303="","",IF(OR($N5303=TRUE(),$N5303="TRUE"),1,0))</f>
        <v/>
      </c>
      <c r="AJ5303">
        <f>IF($C5303="","",IF($T5303="Yes",1,0))</f>
        <v/>
      </c>
      <c r="AK5303">
        <f>IF($AG5303=1,IFERROR(IF(VALUE($C5303)&lt;100000000,VALUE($C5303),1000000000),IFERROR(IF(VALUE(MID($C5303,2,20))&lt;100000000,VALUE(MID($C5303,2,20)),1000000000),1000000000))+ROW()/100000,"")</f>
        <v/>
      </c>
    </row>
    <row r="5304">
      <c r="D5304" s="11" t="n"/>
      <c r="K5304" s="7">
        <f>IF($C5304="","",J5304*W5304/100)</f>
        <v/>
      </c>
      <c r="Q5304" s="7" t="n"/>
      <c r="R5304" s="7" t="n"/>
      <c r="U5304">
        <f>IF($C5304="","",IF($AJ5304=1,0,IF($AI5304=1,Settings!$C$6,Settings!$C$7))*100)</f>
        <v/>
      </c>
      <c r="V5304" s="7">
        <f>IF($C5304="","",R5304*U5304/100)</f>
        <v/>
      </c>
      <c r="W5304" s="7">
        <f>IF($C5304="","",R5304-V5304)</f>
        <v/>
      </c>
      <c r="X5304" s="7">
        <f>IF($C5304="","",W5304-K5304)</f>
        <v/>
      </c>
      <c r="AB5304" s="7" t="n"/>
      <c r="AE5304" s="11" t="n"/>
      <c r="AG5304">
        <f>IF($C5304="","",IF(COUNTIF($C$2:$C5304,$C5304)=1,1,0))</f>
        <v/>
      </c>
      <c r="AH5304">
        <f>IF($AG5304=1,SUMPRODUCT(--($AK$2:$AK$6001&lt;$AK5304))+1,"")</f>
        <v/>
      </c>
      <c r="AI5304">
        <f>IF($C5304="","",IF(OR($N5304=TRUE(),$N5304="TRUE"),1,0))</f>
        <v/>
      </c>
      <c r="AJ5304">
        <f>IF($C5304="","",IF($T5304="Yes",1,0))</f>
        <v/>
      </c>
      <c r="AK5304">
        <f>IF($AG5304=1,IFERROR(IF(VALUE($C5304)&lt;100000000,VALUE($C5304),1000000000),IFERROR(IF(VALUE(MID($C5304,2,20))&lt;100000000,VALUE(MID($C5304,2,20)),1000000000),1000000000))+ROW()/100000,"")</f>
        <v/>
      </c>
    </row>
    <row r="5305">
      <c r="D5305" s="11" t="n"/>
      <c r="K5305" s="7">
        <f>IF($C5305="","",J5305*W5305/100)</f>
        <v/>
      </c>
      <c r="Q5305" s="7" t="n"/>
      <c r="R5305" s="7" t="n"/>
      <c r="U5305">
        <f>IF($C5305="","",IF($AJ5305=1,0,IF($AI5305=1,Settings!$C$6,Settings!$C$7))*100)</f>
        <v/>
      </c>
      <c r="V5305" s="7">
        <f>IF($C5305="","",R5305*U5305/100)</f>
        <v/>
      </c>
      <c r="W5305" s="7">
        <f>IF($C5305="","",R5305-V5305)</f>
        <v/>
      </c>
      <c r="X5305" s="7">
        <f>IF($C5305="","",W5305-K5305)</f>
        <v/>
      </c>
      <c r="AB5305" s="7" t="n"/>
      <c r="AE5305" s="11" t="n"/>
      <c r="AG5305">
        <f>IF($C5305="","",IF(COUNTIF($C$2:$C5305,$C5305)=1,1,0))</f>
        <v/>
      </c>
      <c r="AH5305">
        <f>IF($AG5305=1,SUMPRODUCT(--($AK$2:$AK$6001&lt;$AK5305))+1,"")</f>
        <v/>
      </c>
      <c r="AI5305">
        <f>IF($C5305="","",IF(OR($N5305=TRUE(),$N5305="TRUE"),1,0))</f>
        <v/>
      </c>
      <c r="AJ5305">
        <f>IF($C5305="","",IF($T5305="Yes",1,0))</f>
        <v/>
      </c>
      <c r="AK5305">
        <f>IF($AG5305=1,IFERROR(IF(VALUE($C5305)&lt;100000000,VALUE($C5305),1000000000),IFERROR(IF(VALUE(MID($C5305,2,20))&lt;100000000,VALUE(MID($C5305,2,20)),1000000000),1000000000))+ROW()/100000,"")</f>
        <v/>
      </c>
    </row>
    <row r="5306">
      <c r="D5306" s="11" t="n"/>
      <c r="K5306" s="7">
        <f>IF($C5306="","",J5306*W5306/100)</f>
        <v/>
      </c>
      <c r="Q5306" s="7" t="n"/>
      <c r="R5306" s="7" t="n"/>
      <c r="U5306">
        <f>IF($C5306="","",IF($AJ5306=1,0,IF($AI5306=1,Settings!$C$6,Settings!$C$7))*100)</f>
        <v/>
      </c>
      <c r="V5306" s="7">
        <f>IF($C5306="","",R5306*U5306/100)</f>
        <v/>
      </c>
      <c r="W5306" s="7">
        <f>IF($C5306="","",R5306-V5306)</f>
        <v/>
      </c>
      <c r="X5306" s="7">
        <f>IF($C5306="","",W5306-K5306)</f>
        <v/>
      </c>
      <c r="AB5306" s="7" t="n"/>
      <c r="AE5306" s="11" t="n"/>
      <c r="AG5306">
        <f>IF($C5306="","",IF(COUNTIF($C$2:$C5306,$C5306)=1,1,0))</f>
        <v/>
      </c>
      <c r="AH5306">
        <f>IF($AG5306=1,SUMPRODUCT(--($AK$2:$AK$6001&lt;$AK5306))+1,"")</f>
        <v/>
      </c>
      <c r="AI5306">
        <f>IF($C5306="","",IF(OR($N5306=TRUE(),$N5306="TRUE"),1,0))</f>
        <v/>
      </c>
      <c r="AJ5306">
        <f>IF($C5306="","",IF($T5306="Yes",1,0))</f>
        <v/>
      </c>
      <c r="AK5306">
        <f>IF($AG5306=1,IFERROR(IF(VALUE($C5306)&lt;100000000,VALUE($C5306),1000000000),IFERROR(IF(VALUE(MID($C5306,2,20))&lt;100000000,VALUE(MID($C5306,2,20)),1000000000),1000000000))+ROW()/100000,"")</f>
        <v/>
      </c>
    </row>
    <row r="5307">
      <c r="D5307" s="11" t="n"/>
      <c r="K5307" s="7">
        <f>IF($C5307="","",J5307*W5307/100)</f>
        <v/>
      </c>
      <c r="Q5307" s="7" t="n"/>
      <c r="R5307" s="7" t="n"/>
      <c r="U5307">
        <f>IF($C5307="","",IF($AJ5307=1,0,IF($AI5307=1,Settings!$C$6,Settings!$C$7))*100)</f>
        <v/>
      </c>
      <c r="V5307" s="7">
        <f>IF($C5307="","",R5307*U5307/100)</f>
        <v/>
      </c>
      <c r="W5307" s="7">
        <f>IF($C5307="","",R5307-V5307)</f>
        <v/>
      </c>
      <c r="X5307" s="7">
        <f>IF($C5307="","",W5307-K5307)</f>
        <v/>
      </c>
      <c r="AB5307" s="7" t="n"/>
      <c r="AE5307" s="11" t="n"/>
      <c r="AG5307">
        <f>IF($C5307="","",IF(COUNTIF($C$2:$C5307,$C5307)=1,1,0))</f>
        <v/>
      </c>
      <c r="AH5307">
        <f>IF($AG5307=1,SUMPRODUCT(--($AK$2:$AK$6001&lt;$AK5307))+1,"")</f>
        <v/>
      </c>
      <c r="AI5307">
        <f>IF($C5307="","",IF(OR($N5307=TRUE(),$N5307="TRUE"),1,0))</f>
        <v/>
      </c>
      <c r="AJ5307">
        <f>IF($C5307="","",IF($T5307="Yes",1,0))</f>
        <v/>
      </c>
      <c r="AK5307">
        <f>IF($AG5307=1,IFERROR(IF(VALUE($C5307)&lt;100000000,VALUE($C5307),1000000000),IFERROR(IF(VALUE(MID($C5307,2,20))&lt;100000000,VALUE(MID($C5307,2,20)),1000000000),1000000000))+ROW()/100000,"")</f>
        <v/>
      </c>
    </row>
    <row r="5308">
      <c r="D5308" s="11" t="n"/>
      <c r="K5308" s="7">
        <f>IF($C5308="","",J5308*W5308/100)</f>
        <v/>
      </c>
      <c r="Q5308" s="7" t="n"/>
      <c r="R5308" s="7" t="n"/>
      <c r="U5308">
        <f>IF($C5308="","",IF($AJ5308=1,0,IF($AI5308=1,Settings!$C$6,Settings!$C$7))*100)</f>
        <v/>
      </c>
      <c r="V5308" s="7">
        <f>IF($C5308="","",R5308*U5308/100)</f>
        <v/>
      </c>
      <c r="W5308" s="7">
        <f>IF($C5308="","",R5308-V5308)</f>
        <v/>
      </c>
      <c r="X5308" s="7">
        <f>IF($C5308="","",W5308-K5308)</f>
        <v/>
      </c>
      <c r="AB5308" s="7" t="n"/>
      <c r="AE5308" s="11" t="n"/>
      <c r="AG5308">
        <f>IF($C5308="","",IF(COUNTIF($C$2:$C5308,$C5308)=1,1,0))</f>
        <v/>
      </c>
      <c r="AH5308">
        <f>IF($AG5308=1,SUMPRODUCT(--($AK$2:$AK$6001&lt;$AK5308))+1,"")</f>
        <v/>
      </c>
      <c r="AI5308">
        <f>IF($C5308="","",IF(OR($N5308=TRUE(),$N5308="TRUE"),1,0))</f>
        <v/>
      </c>
      <c r="AJ5308">
        <f>IF($C5308="","",IF($T5308="Yes",1,0))</f>
        <v/>
      </c>
      <c r="AK5308">
        <f>IF($AG5308=1,IFERROR(IF(VALUE($C5308)&lt;100000000,VALUE($C5308),1000000000),IFERROR(IF(VALUE(MID($C5308,2,20))&lt;100000000,VALUE(MID($C5308,2,20)),1000000000),1000000000))+ROW()/100000,"")</f>
        <v/>
      </c>
    </row>
    <row r="5309">
      <c r="D5309" s="11" t="n"/>
      <c r="K5309" s="7">
        <f>IF($C5309="","",J5309*W5309/100)</f>
        <v/>
      </c>
      <c r="Q5309" s="7" t="n"/>
      <c r="R5309" s="7" t="n"/>
      <c r="U5309">
        <f>IF($C5309="","",IF($AJ5309=1,0,IF($AI5309=1,Settings!$C$6,Settings!$C$7))*100)</f>
        <v/>
      </c>
      <c r="V5309" s="7">
        <f>IF($C5309="","",R5309*U5309/100)</f>
        <v/>
      </c>
      <c r="W5309" s="7">
        <f>IF($C5309="","",R5309-V5309)</f>
        <v/>
      </c>
      <c r="X5309" s="7">
        <f>IF($C5309="","",W5309-K5309)</f>
        <v/>
      </c>
      <c r="AB5309" s="7" t="n"/>
      <c r="AE5309" s="11" t="n"/>
      <c r="AG5309">
        <f>IF($C5309="","",IF(COUNTIF($C$2:$C5309,$C5309)=1,1,0))</f>
        <v/>
      </c>
      <c r="AH5309">
        <f>IF($AG5309=1,SUMPRODUCT(--($AK$2:$AK$6001&lt;$AK5309))+1,"")</f>
        <v/>
      </c>
      <c r="AI5309">
        <f>IF($C5309="","",IF(OR($N5309=TRUE(),$N5309="TRUE"),1,0))</f>
        <v/>
      </c>
      <c r="AJ5309">
        <f>IF($C5309="","",IF($T5309="Yes",1,0))</f>
        <v/>
      </c>
      <c r="AK5309">
        <f>IF($AG5309=1,IFERROR(IF(VALUE($C5309)&lt;100000000,VALUE($C5309),1000000000),IFERROR(IF(VALUE(MID($C5309,2,20))&lt;100000000,VALUE(MID($C5309,2,20)),1000000000),1000000000))+ROW()/100000,"")</f>
        <v/>
      </c>
    </row>
    <row r="5310">
      <c r="D5310" s="11" t="n"/>
      <c r="K5310" s="7">
        <f>IF($C5310="","",J5310*W5310/100)</f>
        <v/>
      </c>
      <c r="Q5310" s="7" t="n"/>
      <c r="R5310" s="7" t="n"/>
      <c r="U5310">
        <f>IF($C5310="","",IF($AJ5310=1,0,IF($AI5310=1,Settings!$C$6,Settings!$C$7))*100)</f>
        <v/>
      </c>
      <c r="V5310" s="7">
        <f>IF($C5310="","",R5310*U5310/100)</f>
        <v/>
      </c>
      <c r="W5310" s="7">
        <f>IF($C5310="","",R5310-V5310)</f>
        <v/>
      </c>
      <c r="X5310" s="7">
        <f>IF($C5310="","",W5310-K5310)</f>
        <v/>
      </c>
      <c r="AB5310" s="7" t="n"/>
      <c r="AE5310" s="11" t="n"/>
      <c r="AG5310">
        <f>IF($C5310="","",IF(COUNTIF($C$2:$C5310,$C5310)=1,1,0))</f>
        <v/>
      </c>
      <c r="AH5310">
        <f>IF($AG5310=1,SUMPRODUCT(--($AK$2:$AK$6001&lt;$AK5310))+1,"")</f>
        <v/>
      </c>
      <c r="AI5310">
        <f>IF($C5310="","",IF(OR($N5310=TRUE(),$N5310="TRUE"),1,0))</f>
        <v/>
      </c>
      <c r="AJ5310">
        <f>IF($C5310="","",IF($T5310="Yes",1,0))</f>
        <v/>
      </c>
      <c r="AK5310">
        <f>IF($AG5310=1,IFERROR(IF(VALUE($C5310)&lt;100000000,VALUE($C5310),1000000000),IFERROR(IF(VALUE(MID($C5310,2,20))&lt;100000000,VALUE(MID($C5310,2,20)),1000000000),1000000000))+ROW()/100000,"")</f>
        <v/>
      </c>
    </row>
    <row r="5311">
      <c r="D5311" s="11" t="n"/>
      <c r="K5311" s="7">
        <f>IF($C5311="","",J5311*W5311/100)</f>
        <v/>
      </c>
      <c r="Q5311" s="7" t="n"/>
      <c r="R5311" s="7" t="n"/>
      <c r="U5311">
        <f>IF($C5311="","",IF($AJ5311=1,0,IF($AI5311=1,Settings!$C$6,Settings!$C$7))*100)</f>
        <v/>
      </c>
      <c r="V5311" s="7">
        <f>IF($C5311="","",R5311*U5311/100)</f>
        <v/>
      </c>
      <c r="W5311" s="7">
        <f>IF($C5311="","",R5311-V5311)</f>
        <v/>
      </c>
      <c r="X5311" s="7">
        <f>IF($C5311="","",W5311-K5311)</f>
        <v/>
      </c>
      <c r="AB5311" s="7" t="n"/>
      <c r="AE5311" s="11" t="n"/>
      <c r="AG5311">
        <f>IF($C5311="","",IF(COUNTIF($C$2:$C5311,$C5311)=1,1,0))</f>
        <v/>
      </c>
      <c r="AH5311">
        <f>IF($AG5311=1,SUMPRODUCT(--($AK$2:$AK$6001&lt;$AK5311))+1,"")</f>
        <v/>
      </c>
      <c r="AI5311">
        <f>IF($C5311="","",IF(OR($N5311=TRUE(),$N5311="TRUE"),1,0))</f>
        <v/>
      </c>
      <c r="AJ5311">
        <f>IF($C5311="","",IF($T5311="Yes",1,0))</f>
        <v/>
      </c>
      <c r="AK5311">
        <f>IF($AG5311=1,IFERROR(IF(VALUE($C5311)&lt;100000000,VALUE($C5311),1000000000),IFERROR(IF(VALUE(MID($C5311,2,20))&lt;100000000,VALUE(MID($C5311,2,20)),1000000000),1000000000))+ROW()/100000,"")</f>
        <v/>
      </c>
    </row>
    <row r="5312">
      <c r="D5312" s="11" t="n"/>
      <c r="K5312" s="7">
        <f>IF($C5312="","",J5312*W5312/100)</f>
        <v/>
      </c>
      <c r="Q5312" s="7" t="n"/>
      <c r="R5312" s="7" t="n"/>
      <c r="U5312">
        <f>IF($C5312="","",IF($AJ5312=1,0,IF($AI5312=1,Settings!$C$6,Settings!$C$7))*100)</f>
        <v/>
      </c>
      <c r="V5312" s="7">
        <f>IF($C5312="","",R5312*U5312/100)</f>
        <v/>
      </c>
      <c r="W5312" s="7">
        <f>IF($C5312="","",R5312-V5312)</f>
        <v/>
      </c>
      <c r="X5312" s="7">
        <f>IF($C5312="","",W5312-K5312)</f>
        <v/>
      </c>
      <c r="AB5312" s="7" t="n"/>
      <c r="AE5312" s="11" t="n"/>
      <c r="AG5312">
        <f>IF($C5312="","",IF(COUNTIF($C$2:$C5312,$C5312)=1,1,0))</f>
        <v/>
      </c>
      <c r="AH5312">
        <f>IF($AG5312=1,SUMPRODUCT(--($AK$2:$AK$6001&lt;$AK5312))+1,"")</f>
        <v/>
      </c>
      <c r="AI5312">
        <f>IF($C5312="","",IF(OR($N5312=TRUE(),$N5312="TRUE"),1,0))</f>
        <v/>
      </c>
      <c r="AJ5312">
        <f>IF($C5312="","",IF($T5312="Yes",1,0))</f>
        <v/>
      </c>
      <c r="AK5312">
        <f>IF($AG5312=1,IFERROR(IF(VALUE($C5312)&lt;100000000,VALUE($C5312),1000000000),IFERROR(IF(VALUE(MID($C5312,2,20))&lt;100000000,VALUE(MID($C5312,2,20)),1000000000),1000000000))+ROW()/100000,"")</f>
        <v/>
      </c>
    </row>
    <row r="5313">
      <c r="D5313" s="11" t="n"/>
      <c r="K5313" s="7">
        <f>IF($C5313="","",J5313*W5313/100)</f>
        <v/>
      </c>
      <c r="Q5313" s="7" t="n"/>
      <c r="R5313" s="7" t="n"/>
      <c r="U5313">
        <f>IF($C5313="","",IF($AJ5313=1,0,IF($AI5313=1,Settings!$C$6,Settings!$C$7))*100)</f>
        <v/>
      </c>
      <c r="V5313" s="7">
        <f>IF($C5313="","",R5313*U5313/100)</f>
        <v/>
      </c>
      <c r="W5313" s="7">
        <f>IF($C5313="","",R5313-V5313)</f>
        <v/>
      </c>
      <c r="X5313" s="7">
        <f>IF($C5313="","",W5313-K5313)</f>
        <v/>
      </c>
      <c r="AB5313" s="7" t="n"/>
      <c r="AE5313" s="11" t="n"/>
      <c r="AG5313">
        <f>IF($C5313="","",IF(COUNTIF($C$2:$C5313,$C5313)=1,1,0))</f>
        <v/>
      </c>
      <c r="AH5313">
        <f>IF($AG5313=1,SUMPRODUCT(--($AK$2:$AK$6001&lt;$AK5313))+1,"")</f>
        <v/>
      </c>
      <c r="AI5313">
        <f>IF($C5313="","",IF(OR($N5313=TRUE(),$N5313="TRUE"),1,0))</f>
        <v/>
      </c>
      <c r="AJ5313">
        <f>IF($C5313="","",IF($T5313="Yes",1,0))</f>
        <v/>
      </c>
      <c r="AK5313">
        <f>IF($AG5313=1,IFERROR(IF(VALUE($C5313)&lt;100000000,VALUE($C5313),1000000000),IFERROR(IF(VALUE(MID($C5313,2,20))&lt;100000000,VALUE(MID($C5313,2,20)),1000000000),1000000000))+ROW()/100000,"")</f>
        <v/>
      </c>
    </row>
    <row r="5314">
      <c r="D5314" s="11" t="n"/>
      <c r="K5314" s="7">
        <f>IF($C5314="","",J5314*W5314/100)</f>
        <v/>
      </c>
      <c r="Q5314" s="7" t="n"/>
      <c r="R5314" s="7" t="n"/>
      <c r="U5314">
        <f>IF($C5314="","",IF($AJ5314=1,0,IF($AI5314=1,Settings!$C$6,Settings!$C$7))*100)</f>
        <v/>
      </c>
      <c r="V5314" s="7">
        <f>IF($C5314="","",R5314*U5314/100)</f>
        <v/>
      </c>
      <c r="W5314" s="7">
        <f>IF($C5314="","",R5314-V5314)</f>
        <v/>
      </c>
      <c r="X5314" s="7">
        <f>IF($C5314="","",W5314-K5314)</f>
        <v/>
      </c>
      <c r="AB5314" s="7" t="n"/>
      <c r="AE5314" s="11" t="n"/>
      <c r="AG5314">
        <f>IF($C5314="","",IF(COUNTIF($C$2:$C5314,$C5314)=1,1,0))</f>
        <v/>
      </c>
      <c r="AH5314">
        <f>IF($AG5314=1,SUMPRODUCT(--($AK$2:$AK$6001&lt;$AK5314))+1,"")</f>
        <v/>
      </c>
      <c r="AI5314">
        <f>IF($C5314="","",IF(OR($N5314=TRUE(),$N5314="TRUE"),1,0))</f>
        <v/>
      </c>
      <c r="AJ5314">
        <f>IF($C5314="","",IF($T5314="Yes",1,0))</f>
        <v/>
      </c>
      <c r="AK5314">
        <f>IF($AG5314=1,IFERROR(IF(VALUE($C5314)&lt;100000000,VALUE($C5314),1000000000),IFERROR(IF(VALUE(MID($C5314,2,20))&lt;100000000,VALUE(MID($C5314,2,20)),1000000000),1000000000))+ROW()/100000,"")</f>
        <v/>
      </c>
    </row>
    <row r="5315">
      <c r="D5315" s="11" t="n"/>
      <c r="K5315" s="7">
        <f>IF($C5315="","",J5315*W5315/100)</f>
        <v/>
      </c>
      <c r="Q5315" s="7" t="n"/>
      <c r="R5315" s="7" t="n"/>
      <c r="U5315">
        <f>IF($C5315="","",IF($AJ5315=1,0,IF($AI5315=1,Settings!$C$6,Settings!$C$7))*100)</f>
        <v/>
      </c>
      <c r="V5315" s="7">
        <f>IF($C5315="","",R5315*U5315/100)</f>
        <v/>
      </c>
      <c r="W5315" s="7">
        <f>IF($C5315="","",R5315-V5315)</f>
        <v/>
      </c>
      <c r="X5315" s="7">
        <f>IF($C5315="","",W5315-K5315)</f>
        <v/>
      </c>
      <c r="AB5315" s="7" t="n"/>
      <c r="AE5315" s="11" t="n"/>
      <c r="AG5315">
        <f>IF($C5315="","",IF(COUNTIF($C$2:$C5315,$C5315)=1,1,0))</f>
        <v/>
      </c>
      <c r="AH5315">
        <f>IF($AG5315=1,SUMPRODUCT(--($AK$2:$AK$6001&lt;$AK5315))+1,"")</f>
        <v/>
      </c>
      <c r="AI5315">
        <f>IF($C5315="","",IF(OR($N5315=TRUE(),$N5315="TRUE"),1,0))</f>
        <v/>
      </c>
      <c r="AJ5315">
        <f>IF($C5315="","",IF($T5315="Yes",1,0))</f>
        <v/>
      </c>
      <c r="AK5315">
        <f>IF($AG5315=1,IFERROR(IF(VALUE($C5315)&lt;100000000,VALUE($C5315),1000000000),IFERROR(IF(VALUE(MID($C5315,2,20))&lt;100000000,VALUE(MID($C5315,2,20)),1000000000),1000000000))+ROW()/100000,"")</f>
        <v/>
      </c>
    </row>
    <row r="5316">
      <c r="D5316" s="11" t="n"/>
      <c r="K5316" s="7">
        <f>IF($C5316="","",J5316*W5316/100)</f>
        <v/>
      </c>
      <c r="Q5316" s="7" t="n"/>
      <c r="R5316" s="7" t="n"/>
      <c r="U5316">
        <f>IF($C5316="","",IF($AJ5316=1,0,IF($AI5316=1,Settings!$C$6,Settings!$C$7))*100)</f>
        <v/>
      </c>
      <c r="V5316" s="7">
        <f>IF($C5316="","",R5316*U5316/100)</f>
        <v/>
      </c>
      <c r="W5316" s="7">
        <f>IF($C5316="","",R5316-V5316)</f>
        <v/>
      </c>
      <c r="X5316" s="7">
        <f>IF($C5316="","",W5316-K5316)</f>
        <v/>
      </c>
      <c r="AB5316" s="7" t="n"/>
      <c r="AE5316" s="11" t="n"/>
      <c r="AG5316">
        <f>IF($C5316="","",IF(COUNTIF($C$2:$C5316,$C5316)=1,1,0))</f>
        <v/>
      </c>
      <c r="AH5316">
        <f>IF($AG5316=1,SUMPRODUCT(--($AK$2:$AK$6001&lt;$AK5316))+1,"")</f>
        <v/>
      </c>
      <c r="AI5316">
        <f>IF($C5316="","",IF(OR($N5316=TRUE(),$N5316="TRUE"),1,0))</f>
        <v/>
      </c>
      <c r="AJ5316">
        <f>IF($C5316="","",IF($T5316="Yes",1,0))</f>
        <v/>
      </c>
      <c r="AK5316">
        <f>IF($AG5316=1,IFERROR(IF(VALUE($C5316)&lt;100000000,VALUE($C5316),1000000000),IFERROR(IF(VALUE(MID($C5316,2,20))&lt;100000000,VALUE(MID($C5316,2,20)),1000000000),1000000000))+ROW()/100000,"")</f>
        <v/>
      </c>
    </row>
    <row r="5317">
      <c r="D5317" s="11" t="n"/>
      <c r="K5317" s="7">
        <f>IF($C5317="","",J5317*W5317/100)</f>
        <v/>
      </c>
      <c r="Q5317" s="7" t="n"/>
      <c r="R5317" s="7" t="n"/>
      <c r="U5317">
        <f>IF($C5317="","",IF($AJ5317=1,0,IF($AI5317=1,Settings!$C$6,Settings!$C$7))*100)</f>
        <v/>
      </c>
      <c r="V5317" s="7">
        <f>IF($C5317="","",R5317*U5317/100)</f>
        <v/>
      </c>
      <c r="W5317" s="7">
        <f>IF($C5317="","",R5317-V5317)</f>
        <v/>
      </c>
      <c r="X5317" s="7">
        <f>IF($C5317="","",W5317-K5317)</f>
        <v/>
      </c>
      <c r="AB5317" s="7" t="n"/>
      <c r="AE5317" s="11" t="n"/>
      <c r="AG5317">
        <f>IF($C5317="","",IF(COUNTIF($C$2:$C5317,$C5317)=1,1,0))</f>
        <v/>
      </c>
      <c r="AH5317">
        <f>IF($AG5317=1,SUMPRODUCT(--($AK$2:$AK$6001&lt;$AK5317))+1,"")</f>
        <v/>
      </c>
      <c r="AI5317">
        <f>IF($C5317="","",IF(OR($N5317=TRUE(),$N5317="TRUE"),1,0))</f>
        <v/>
      </c>
      <c r="AJ5317">
        <f>IF($C5317="","",IF($T5317="Yes",1,0))</f>
        <v/>
      </c>
      <c r="AK5317">
        <f>IF($AG5317=1,IFERROR(IF(VALUE($C5317)&lt;100000000,VALUE($C5317),1000000000),IFERROR(IF(VALUE(MID($C5317,2,20))&lt;100000000,VALUE(MID($C5317,2,20)),1000000000),1000000000))+ROW()/100000,"")</f>
        <v/>
      </c>
    </row>
    <row r="5318">
      <c r="D5318" s="11" t="n"/>
      <c r="K5318" s="7">
        <f>IF($C5318="","",J5318*W5318/100)</f>
        <v/>
      </c>
      <c r="Q5318" s="7" t="n"/>
      <c r="R5318" s="7" t="n"/>
      <c r="U5318">
        <f>IF($C5318="","",IF($AJ5318=1,0,IF($AI5318=1,Settings!$C$6,Settings!$C$7))*100)</f>
        <v/>
      </c>
      <c r="V5318" s="7">
        <f>IF($C5318="","",R5318*U5318/100)</f>
        <v/>
      </c>
      <c r="W5318" s="7">
        <f>IF($C5318="","",R5318-V5318)</f>
        <v/>
      </c>
      <c r="X5318" s="7">
        <f>IF($C5318="","",W5318-K5318)</f>
        <v/>
      </c>
      <c r="AB5318" s="7" t="n"/>
      <c r="AE5318" s="11" t="n"/>
      <c r="AG5318">
        <f>IF($C5318="","",IF(COUNTIF($C$2:$C5318,$C5318)=1,1,0))</f>
        <v/>
      </c>
      <c r="AH5318">
        <f>IF($AG5318=1,SUMPRODUCT(--($AK$2:$AK$6001&lt;$AK5318))+1,"")</f>
        <v/>
      </c>
      <c r="AI5318">
        <f>IF($C5318="","",IF(OR($N5318=TRUE(),$N5318="TRUE"),1,0))</f>
        <v/>
      </c>
      <c r="AJ5318">
        <f>IF($C5318="","",IF($T5318="Yes",1,0))</f>
        <v/>
      </c>
      <c r="AK5318">
        <f>IF($AG5318=1,IFERROR(IF(VALUE($C5318)&lt;100000000,VALUE($C5318),1000000000),IFERROR(IF(VALUE(MID($C5318,2,20))&lt;100000000,VALUE(MID($C5318,2,20)),1000000000),1000000000))+ROW()/100000,"")</f>
        <v/>
      </c>
    </row>
    <row r="5319">
      <c r="D5319" s="11" t="n"/>
      <c r="K5319" s="7">
        <f>IF($C5319="","",J5319*W5319/100)</f>
        <v/>
      </c>
      <c r="Q5319" s="7" t="n"/>
      <c r="R5319" s="7" t="n"/>
      <c r="U5319">
        <f>IF($C5319="","",IF($AJ5319=1,0,IF($AI5319=1,Settings!$C$6,Settings!$C$7))*100)</f>
        <v/>
      </c>
      <c r="V5319" s="7">
        <f>IF($C5319="","",R5319*U5319/100)</f>
        <v/>
      </c>
      <c r="W5319" s="7">
        <f>IF($C5319="","",R5319-V5319)</f>
        <v/>
      </c>
      <c r="X5319" s="7">
        <f>IF($C5319="","",W5319-K5319)</f>
        <v/>
      </c>
      <c r="AB5319" s="7" t="n"/>
      <c r="AE5319" s="11" t="n"/>
      <c r="AG5319">
        <f>IF($C5319="","",IF(COUNTIF($C$2:$C5319,$C5319)=1,1,0))</f>
        <v/>
      </c>
      <c r="AH5319">
        <f>IF($AG5319=1,SUMPRODUCT(--($AK$2:$AK$6001&lt;$AK5319))+1,"")</f>
        <v/>
      </c>
      <c r="AI5319">
        <f>IF($C5319="","",IF(OR($N5319=TRUE(),$N5319="TRUE"),1,0))</f>
        <v/>
      </c>
      <c r="AJ5319">
        <f>IF($C5319="","",IF($T5319="Yes",1,0))</f>
        <v/>
      </c>
      <c r="AK5319">
        <f>IF($AG5319=1,IFERROR(IF(VALUE($C5319)&lt;100000000,VALUE($C5319),1000000000),IFERROR(IF(VALUE(MID($C5319,2,20))&lt;100000000,VALUE(MID($C5319,2,20)),1000000000),1000000000))+ROW()/100000,"")</f>
        <v/>
      </c>
    </row>
    <row r="5320">
      <c r="D5320" s="11" t="n"/>
      <c r="K5320" s="7">
        <f>IF($C5320="","",J5320*W5320/100)</f>
        <v/>
      </c>
      <c r="Q5320" s="7" t="n"/>
      <c r="R5320" s="7" t="n"/>
      <c r="U5320">
        <f>IF($C5320="","",IF($AJ5320=1,0,IF($AI5320=1,Settings!$C$6,Settings!$C$7))*100)</f>
        <v/>
      </c>
      <c r="V5320" s="7">
        <f>IF($C5320="","",R5320*U5320/100)</f>
        <v/>
      </c>
      <c r="W5320" s="7">
        <f>IF($C5320="","",R5320-V5320)</f>
        <v/>
      </c>
      <c r="X5320" s="7">
        <f>IF($C5320="","",W5320-K5320)</f>
        <v/>
      </c>
      <c r="AB5320" s="7" t="n"/>
      <c r="AE5320" s="11" t="n"/>
      <c r="AG5320">
        <f>IF($C5320="","",IF(COUNTIF($C$2:$C5320,$C5320)=1,1,0))</f>
        <v/>
      </c>
      <c r="AH5320">
        <f>IF($AG5320=1,SUMPRODUCT(--($AK$2:$AK$6001&lt;$AK5320))+1,"")</f>
        <v/>
      </c>
      <c r="AI5320">
        <f>IF($C5320="","",IF(OR($N5320=TRUE(),$N5320="TRUE"),1,0))</f>
        <v/>
      </c>
      <c r="AJ5320">
        <f>IF($C5320="","",IF($T5320="Yes",1,0))</f>
        <v/>
      </c>
      <c r="AK5320">
        <f>IF($AG5320=1,IFERROR(IF(VALUE($C5320)&lt;100000000,VALUE($C5320),1000000000),IFERROR(IF(VALUE(MID($C5320,2,20))&lt;100000000,VALUE(MID($C5320,2,20)),1000000000),1000000000))+ROW()/100000,"")</f>
        <v/>
      </c>
    </row>
    <row r="5321">
      <c r="D5321" s="11" t="n"/>
      <c r="K5321" s="7">
        <f>IF($C5321="","",J5321*W5321/100)</f>
        <v/>
      </c>
      <c r="Q5321" s="7" t="n"/>
      <c r="R5321" s="7" t="n"/>
      <c r="U5321">
        <f>IF($C5321="","",IF($AJ5321=1,0,IF($AI5321=1,Settings!$C$6,Settings!$C$7))*100)</f>
        <v/>
      </c>
      <c r="V5321" s="7">
        <f>IF($C5321="","",R5321*U5321/100)</f>
        <v/>
      </c>
      <c r="W5321" s="7">
        <f>IF($C5321="","",R5321-V5321)</f>
        <v/>
      </c>
      <c r="X5321" s="7">
        <f>IF($C5321="","",W5321-K5321)</f>
        <v/>
      </c>
      <c r="AB5321" s="7" t="n"/>
      <c r="AE5321" s="11" t="n"/>
      <c r="AG5321">
        <f>IF($C5321="","",IF(COUNTIF($C$2:$C5321,$C5321)=1,1,0))</f>
        <v/>
      </c>
      <c r="AH5321">
        <f>IF($AG5321=1,SUMPRODUCT(--($AK$2:$AK$6001&lt;$AK5321))+1,"")</f>
        <v/>
      </c>
      <c r="AI5321">
        <f>IF($C5321="","",IF(OR($N5321=TRUE(),$N5321="TRUE"),1,0))</f>
        <v/>
      </c>
      <c r="AJ5321">
        <f>IF($C5321="","",IF($T5321="Yes",1,0))</f>
        <v/>
      </c>
      <c r="AK5321">
        <f>IF($AG5321=1,IFERROR(IF(VALUE($C5321)&lt;100000000,VALUE($C5321),1000000000),IFERROR(IF(VALUE(MID($C5321,2,20))&lt;100000000,VALUE(MID($C5321,2,20)),1000000000),1000000000))+ROW()/100000,"")</f>
        <v/>
      </c>
    </row>
    <row r="5322">
      <c r="D5322" s="11" t="n"/>
      <c r="K5322" s="7">
        <f>IF($C5322="","",J5322*W5322/100)</f>
        <v/>
      </c>
      <c r="Q5322" s="7" t="n"/>
      <c r="R5322" s="7" t="n"/>
      <c r="U5322">
        <f>IF($C5322="","",IF($AJ5322=1,0,IF($AI5322=1,Settings!$C$6,Settings!$C$7))*100)</f>
        <v/>
      </c>
      <c r="V5322" s="7">
        <f>IF($C5322="","",R5322*U5322/100)</f>
        <v/>
      </c>
      <c r="W5322" s="7">
        <f>IF($C5322="","",R5322-V5322)</f>
        <v/>
      </c>
      <c r="X5322" s="7">
        <f>IF($C5322="","",W5322-K5322)</f>
        <v/>
      </c>
      <c r="AB5322" s="7" t="n"/>
      <c r="AE5322" s="11" t="n"/>
      <c r="AG5322">
        <f>IF($C5322="","",IF(COUNTIF($C$2:$C5322,$C5322)=1,1,0))</f>
        <v/>
      </c>
      <c r="AH5322">
        <f>IF($AG5322=1,SUMPRODUCT(--($AK$2:$AK$6001&lt;$AK5322))+1,"")</f>
        <v/>
      </c>
      <c r="AI5322">
        <f>IF($C5322="","",IF(OR($N5322=TRUE(),$N5322="TRUE"),1,0))</f>
        <v/>
      </c>
      <c r="AJ5322">
        <f>IF($C5322="","",IF($T5322="Yes",1,0))</f>
        <v/>
      </c>
      <c r="AK5322">
        <f>IF($AG5322=1,IFERROR(IF(VALUE($C5322)&lt;100000000,VALUE($C5322),1000000000),IFERROR(IF(VALUE(MID($C5322,2,20))&lt;100000000,VALUE(MID($C5322,2,20)),1000000000),1000000000))+ROW()/100000,"")</f>
        <v/>
      </c>
    </row>
    <row r="5323">
      <c r="D5323" s="11" t="n"/>
      <c r="K5323" s="7">
        <f>IF($C5323="","",J5323*W5323/100)</f>
        <v/>
      </c>
      <c r="Q5323" s="7" t="n"/>
      <c r="R5323" s="7" t="n"/>
      <c r="U5323">
        <f>IF($C5323="","",IF($AJ5323=1,0,IF($AI5323=1,Settings!$C$6,Settings!$C$7))*100)</f>
        <v/>
      </c>
      <c r="V5323" s="7">
        <f>IF($C5323="","",R5323*U5323/100)</f>
        <v/>
      </c>
      <c r="W5323" s="7">
        <f>IF($C5323="","",R5323-V5323)</f>
        <v/>
      </c>
      <c r="X5323" s="7">
        <f>IF($C5323="","",W5323-K5323)</f>
        <v/>
      </c>
      <c r="AB5323" s="7" t="n"/>
      <c r="AE5323" s="11" t="n"/>
      <c r="AG5323">
        <f>IF($C5323="","",IF(COUNTIF($C$2:$C5323,$C5323)=1,1,0))</f>
        <v/>
      </c>
      <c r="AH5323">
        <f>IF($AG5323=1,SUMPRODUCT(--($AK$2:$AK$6001&lt;$AK5323))+1,"")</f>
        <v/>
      </c>
      <c r="AI5323">
        <f>IF($C5323="","",IF(OR($N5323=TRUE(),$N5323="TRUE"),1,0))</f>
        <v/>
      </c>
      <c r="AJ5323">
        <f>IF($C5323="","",IF($T5323="Yes",1,0))</f>
        <v/>
      </c>
      <c r="AK5323">
        <f>IF($AG5323=1,IFERROR(IF(VALUE($C5323)&lt;100000000,VALUE($C5323),1000000000),IFERROR(IF(VALUE(MID($C5323,2,20))&lt;100000000,VALUE(MID($C5323,2,20)),1000000000),1000000000))+ROW()/100000,"")</f>
        <v/>
      </c>
    </row>
    <row r="5324">
      <c r="D5324" s="11" t="n"/>
      <c r="K5324" s="7">
        <f>IF($C5324="","",J5324*W5324/100)</f>
        <v/>
      </c>
      <c r="Q5324" s="7" t="n"/>
      <c r="R5324" s="7" t="n"/>
      <c r="U5324">
        <f>IF($C5324="","",IF($AJ5324=1,0,IF($AI5324=1,Settings!$C$6,Settings!$C$7))*100)</f>
        <v/>
      </c>
      <c r="V5324" s="7">
        <f>IF($C5324="","",R5324*U5324/100)</f>
        <v/>
      </c>
      <c r="W5324" s="7">
        <f>IF($C5324="","",R5324-V5324)</f>
        <v/>
      </c>
      <c r="X5324" s="7">
        <f>IF($C5324="","",W5324-K5324)</f>
        <v/>
      </c>
      <c r="AB5324" s="7" t="n"/>
      <c r="AE5324" s="11" t="n"/>
      <c r="AG5324">
        <f>IF($C5324="","",IF(COUNTIF($C$2:$C5324,$C5324)=1,1,0))</f>
        <v/>
      </c>
      <c r="AH5324">
        <f>IF($AG5324=1,SUMPRODUCT(--($AK$2:$AK$6001&lt;$AK5324))+1,"")</f>
        <v/>
      </c>
      <c r="AI5324">
        <f>IF($C5324="","",IF(OR($N5324=TRUE(),$N5324="TRUE"),1,0))</f>
        <v/>
      </c>
      <c r="AJ5324">
        <f>IF($C5324="","",IF($T5324="Yes",1,0))</f>
        <v/>
      </c>
      <c r="AK5324">
        <f>IF($AG5324=1,IFERROR(IF(VALUE($C5324)&lt;100000000,VALUE($C5324),1000000000),IFERROR(IF(VALUE(MID($C5324,2,20))&lt;100000000,VALUE(MID($C5324,2,20)),1000000000),1000000000))+ROW()/100000,"")</f>
        <v/>
      </c>
    </row>
    <row r="5325">
      <c r="D5325" s="11" t="n"/>
      <c r="K5325" s="7">
        <f>IF($C5325="","",J5325*W5325/100)</f>
        <v/>
      </c>
      <c r="Q5325" s="7" t="n"/>
      <c r="R5325" s="7" t="n"/>
      <c r="U5325">
        <f>IF($C5325="","",IF($AJ5325=1,0,IF($AI5325=1,Settings!$C$6,Settings!$C$7))*100)</f>
        <v/>
      </c>
      <c r="V5325" s="7">
        <f>IF($C5325="","",R5325*U5325/100)</f>
        <v/>
      </c>
      <c r="W5325" s="7">
        <f>IF($C5325="","",R5325-V5325)</f>
        <v/>
      </c>
      <c r="X5325" s="7">
        <f>IF($C5325="","",W5325-K5325)</f>
        <v/>
      </c>
      <c r="AB5325" s="7" t="n"/>
      <c r="AE5325" s="11" t="n"/>
      <c r="AG5325">
        <f>IF($C5325="","",IF(COUNTIF($C$2:$C5325,$C5325)=1,1,0))</f>
        <v/>
      </c>
      <c r="AH5325">
        <f>IF($AG5325=1,SUMPRODUCT(--($AK$2:$AK$6001&lt;$AK5325))+1,"")</f>
        <v/>
      </c>
      <c r="AI5325">
        <f>IF($C5325="","",IF(OR($N5325=TRUE(),$N5325="TRUE"),1,0))</f>
        <v/>
      </c>
      <c r="AJ5325">
        <f>IF($C5325="","",IF($T5325="Yes",1,0))</f>
        <v/>
      </c>
      <c r="AK5325">
        <f>IF($AG5325=1,IFERROR(IF(VALUE($C5325)&lt;100000000,VALUE($C5325),1000000000),IFERROR(IF(VALUE(MID($C5325,2,20))&lt;100000000,VALUE(MID($C5325,2,20)),1000000000),1000000000))+ROW()/100000,"")</f>
        <v/>
      </c>
    </row>
    <row r="5326">
      <c r="D5326" s="11" t="n"/>
      <c r="K5326" s="7">
        <f>IF($C5326="","",J5326*W5326/100)</f>
        <v/>
      </c>
      <c r="Q5326" s="7" t="n"/>
      <c r="R5326" s="7" t="n"/>
      <c r="U5326">
        <f>IF($C5326="","",IF($AJ5326=1,0,IF($AI5326=1,Settings!$C$6,Settings!$C$7))*100)</f>
        <v/>
      </c>
      <c r="V5326" s="7">
        <f>IF($C5326="","",R5326*U5326/100)</f>
        <v/>
      </c>
      <c r="W5326" s="7">
        <f>IF($C5326="","",R5326-V5326)</f>
        <v/>
      </c>
      <c r="X5326" s="7">
        <f>IF($C5326="","",W5326-K5326)</f>
        <v/>
      </c>
      <c r="AB5326" s="7" t="n"/>
      <c r="AE5326" s="11" t="n"/>
      <c r="AG5326">
        <f>IF($C5326="","",IF(COUNTIF($C$2:$C5326,$C5326)=1,1,0))</f>
        <v/>
      </c>
      <c r="AH5326">
        <f>IF($AG5326=1,SUMPRODUCT(--($AK$2:$AK$6001&lt;$AK5326))+1,"")</f>
        <v/>
      </c>
      <c r="AI5326">
        <f>IF($C5326="","",IF(OR($N5326=TRUE(),$N5326="TRUE"),1,0))</f>
        <v/>
      </c>
      <c r="AJ5326">
        <f>IF($C5326="","",IF($T5326="Yes",1,0))</f>
        <v/>
      </c>
      <c r="AK5326">
        <f>IF($AG5326=1,IFERROR(IF(VALUE($C5326)&lt;100000000,VALUE($C5326),1000000000),IFERROR(IF(VALUE(MID($C5326,2,20))&lt;100000000,VALUE(MID($C5326,2,20)),1000000000),1000000000))+ROW()/100000,"")</f>
        <v/>
      </c>
    </row>
    <row r="5327">
      <c r="D5327" s="11" t="n"/>
      <c r="K5327" s="7">
        <f>IF($C5327="","",J5327*W5327/100)</f>
        <v/>
      </c>
      <c r="Q5327" s="7" t="n"/>
      <c r="R5327" s="7" t="n"/>
      <c r="U5327">
        <f>IF($C5327="","",IF($AJ5327=1,0,IF($AI5327=1,Settings!$C$6,Settings!$C$7))*100)</f>
        <v/>
      </c>
      <c r="V5327" s="7">
        <f>IF($C5327="","",R5327*U5327/100)</f>
        <v/>
      </c>
      <c r="W5327" s="7">
        <f>IF($C5327="","",R5327-V5327)</f>
        <v/>
      </c>
      <c r="X5327" s="7">
        <f>IF($C5327="","",W5327-K5327)</f>
        <v/>
      </c>
      <c r="AB5327" s="7" t="n"/>
      <c r="AE5327" s="11" t="n"/>
      <c r="AG5327">
        <f>IF($C5327="","",IF(COUNTIF($C$2:$C5327,$C5327)=1,1,0))</f>
        <v/>
      </c>
      <c r="AH5327">
        <f>IF($AG5327=1,SUMPRODUCT(--($AK$2:$AK$6001&lt;$AK5327))+1,"")</f>
        <v/>
      </c>
      <c r="AI5327">
        <f>IF($C5327="","",IF(OR($N5327=TRUE(),$N5327="TRUE"),1,0))</f>
        <v/>
      </c>
      <c r="AJ5327">
        <f>IF($C5327="","",IF($T5327="Yes",1,0))</f>
        <v/>
      </c>
      <c r="AK5327">
        <f>IF($AG5327=1,IFERROR(IF(VALUE($C5327)&lt;100000000,VALUE($C5327),1000000000),IFERROR(IF(VALUE(MID($C5327,2,20))&lt;100000000,VALUE(MID($C5327,2,20)),1000000000),1000000000))+ROW()/100000,"")</f>
        <v/>
      </c>
    </row>
    <row r="5328">
      <c r="D5328" s="11" t="n"/>
      <c r="K5328" s="7">
        <f>IF($C5328="","",J5328*W5328/100)</f>
        <v/>
      </c>
      <c r="Q5328" s="7" t="n"/>
      <c r="R5328" s="7" t="n"/>
      <c r="U5328">
        <f>IF($C5328="","",IF($AJ5328=1,0,IF($AI5328=1,Settings!$C$6,Settings!$C$7))*100)</f>
        <v/>
      </c>
      <c r="V5328" s="7">
        <f>IF($C5328="","",R5328*U5328/100)</f>
        <v/>
      </c>
      <c r="W5328" s="7">
        <f>IF($C5328="","",R5328-V5328)</f>
        <v/>
      </c>
      <c r="X5328" s="7">
        <f>IF($C5328="","",W5328-K5328)</f>
        <v/>
      </c>
      <c r="AB5328" s="7" t="n"/>
      <c r="AE5328" s="11" t="n"/>
      <c r="AG5328">
        <f>IF($C5328="","",IF(COUNTIF($C$2:$C5328,$C5328)=1,1,0))</f>
        <v/>
      </c>
      <c r="AH5328">
        <f>IF($AG5328=1,SUMPRODUCT(--($AK$2:$AK$6001&lt;$AK5328))+1,"")</f>
        <v/>
      </c>
      <c r="AI5328">
        <f>IF($C5328="","",IF(OR($N5328=TRUE(),$N5328="TRUE"),1,0))</f>
        <v/>
      </c>
      <c r="AJ5328">
        <f>IF($C5328="","",IF($T5328="Yes",1,0))</f>
        <v/>
      </c>
      <c r="AK5328">
        <f>IF($AG5328=1,IFERROR(IF(VALUE($C5328)&lt;100000000,VALUE($C5328),1000000000),IFERROR(IF(VALUE(MID($C5328,2,20))&lt;100000000,VALUE(MID($C5328,2,20)),1000000000),1000000000))+ROW()/100000,"")</f>
        <v/>
      </c>
    </row>
    <row r="5329">
      <c r="D5329" s="11" t="n"/>
      <c r="K5329" s="7">
        <f>IF($C5329="","",J5329*W5329/100)</f>
        <v/>
      </c>
      <c r="Q5329" s="7" t="n"/>
      <c r="R5329" s="7" t="n"/>
      <c r="U5329">
        <f>IF($C5329="","",IF($AJ5329=1,0,IF($AI5329=1,Settings!$C$6,Settings!$C$7))*100)</f>
        <v/>
      </c>
      <c r="V5329" s="7">
        <f>IF($C5329="","",R5329*U5329/100)</f>
        <v/>
      </c>
      <c r="W5329" s="7">
        <f>IF($C5329="","",R5329-V5329)</f>
        <v/>
      </c>
      <c r="X5329" s="7">
        <f>IF($C5329="","",W5329-K5329)</f>
        <v/>
      </c>
      <c r="AB5329" s="7" t="n"/>
      <c r="AE5329" s="11" t="n"/>
      <c r="AG5329">
        <f>IF($C5329="","",IF(COUNTIF($C$2:$C5329,$C5329)=1,1,0))</f>
        <v/>
      </c>
      <c r="AH5329">
        <f>IF($AG5329=1,SUMPRODUCT(--($AK$2:$AK$6001&lt;$AK5329))+1,"")</f>
        <v/>
      </c>
      <c r="AI5329">
        <f>IF($C5329="","",IF(OR($N5329=TRUE(),$N5329="TRUE"),1,0))</f>
        <v/>
      </c>
      <c r="AJ5329">
        <f>IF($C5329="","",IF($T5329="Yes",1,0))</f>
        <v/>
      </c>
      <c r="AK5329">
        <f>IF($AG5329=1,IFERROR(IF(VALUE($C5329)&lt;100000000,VALUE($C5329),1000000000),IFERROR(IF(VALUE(MID($C5329,2,20))&lt;100000000,VALUE(MID($C5329,2,20)),1000000000),1000000000))+ROW()/100000,"")</f>
        <v/>
      </c>
    </row>
    <row r="5330">
      <c r="D5330" s="11" t="n"/>
      <c r="K5330" s="7">
        <f>IF($C5330="","",J5330*W5330/100)</f>
        <v/>
      </c>
      <c r="Q5330" s="7" t="n"/>
      <c r="R5330" s="7" t="n"/>
      <c r="U5330">
        <f>IF($C5330="","",IF($AJ5330=1,0,IF($AI5330=1,Settings!$C$6,Settings!$C$7))*100)</f>
        <v/>
      </c>
      <c r="V5330" s="7">
        <f>IF($C5330="","",R5330*U5330/100)</f>
        <v/>
      </c>
      <c r="W5330" s="7">
        <f>IF($C5330="","",R5330-V5330)</f>
        <v/>
      </c>
      <c r="X5330" s="7">
        <f>IF($C5330="","",W5330-K5330)</f>
        <v/>
      </c>
      <c r="AB5330" s="7" t="n"/>
      <c r="AE5330" s="11" t="n"/>
      <c r="AG5330">
        <f>IF($C5330="","",IF(COUNTIF($C$2:$C5330,$C5330)=1,1,0))</f>
        <v/>
      </c>
      <c r="AH5330">
        <f>IF($AG5330=1,SUMPRODUCT(--($AK$2:$AK$6001&lt;$AK5330))+1,"")</f>
        <v/>
      </c>
      <c r="AI5330">
        <f>IF($C5330="","",IF(OR($N5330=TRUE(),$N5330="TRUE"),1,0))</f>
        <v/>
      </c>
      <c r="AJ5330">
        <f>IF($C5330="","",IF($T5330="Yes",1,0))</f>
        <v/>
      </c>
      <c r="AK5330">
        <f>IF($AG5330=1,IFERROR(IF(VALUE($C5330)&lt;100000000,VALUE($C5330),1000000000),IFERROR(IF(VALUE(MID($C5330,2,20))&lt;100000000,VALUE(MID($C5330,2,20)),1000000000),1000000000))+ROW()/100000,"")</f>
        <v/>
      </c>
    </row>
    <row r="5331">
      <c r="D5331" s="11" t="n"/>
      <c r="K5331" s="7">
        <f>IF($C5331="","",J5331*W5331/100)</f>
        <v/>
      </c>
      <c r="Q5331" s="7" t="n"/>
      <c r="R5331" s="7" t="n"/>
      <c r="U5331">
        <f>IF($C5331="","",IF($AJ5331=1,0,IF($AI5331=1,Settings!$C$6,Settings!$C$7))*100)</f>
        <v/>
      </c>
      <c r="V5331" s="7">
        <f>IF($C5331="","",R5331*U5331/100)</f>
        <v/>
      </c>
      <c r="W5331" s="7">
        <f>IF($C5331="","",R5331-V5331)</f>
        <v/>
      </c>
      <c r="X5331" s="7">
        <f>IF($C5331="","",W5331-K5331)</f>
        <v/>
      </c>
      <c r="AB5331" s="7" t="n"/>
      <c r="AE5331" s="11" t="n"/>
      <c r="AG5331">
        <f>IF($C5331="","",IF(COUNTIF($C$2:$C5331,$C5331)=1,1,0))</f>
        <v/>
      </c>
      <c r="AH5331">
        <f>IF($AG5331=1,SUMPRODUCT(--($AK$2:$AK$6001&lt;$AK5331))+1,"")</f>
        <v/>
      </c>
      <c r="AI5331">
        <f>IF($C5331="","",IF(OR($N5331=TRUE(),$N5331="TRUE"),1,0))</f>
        <v/>
      </c>
      <c r="AJ5331">
        <f>IF($C5331="","",IF($T5331="Yes",1,0))</f>
        <v/>
      </c>
      <c r="AK5331">
        <f>IF($AG5331=1,IFERROR(IF(VALUE($C5331)&lt;100000000,VALUE($C5331),1000000000),IFERROR(IF(VALUE(MID($C5331,2,20))&lt;100000000,VALUE(MID($C5331,2,20)),1000000000),1000000000))+ROW()/100000,"")</f>
        <v/>
      </c>
    </row>
    <row r="5332">
      <c r="D5332" s="11" t="n"/>
      <c r="K5332" s="7">
        <f>IF($C5332="","",J5332*W5332/100)</f>
        <v/>
      </c>
      <c r="Q5332" s="7" t="n"/>
      <c r="R5332" s="7" t="n"/>
      <c r="U5332">
        <f>IF($C5332="","",IF($AJ5332=1,0,IF($AI5332=1,Settings!$C$6,Settings!$C$7))*100)</f>
        <v/>
      </c>
      <c r="V5332" s="7">
        <f>IF($C5332="","",R5332*U5332/100)</f>
        <v/>
      </c>
      <c r="W5332" s="7">
        <f>IF($C5332="","",R5332-V5332)</f>
        <v/>
      </c>
      <c r="X5332" s="7">
        <f>IF($C5332="","",W5332-K5332)</f>
        <v/>
      </c>
      <c r="AB5332" s="7" t="n"/>
      <c r="AE5332" s="11" t="n"/>
      <c r="AG5332">
        <f>IF($C5332="","",IF(COUNTIF($C$2:$C5332,$C5332)=1,1,0))</f>
        <v/>
      </c>
      <c r="AH5332">
        <f>IF($AG5332=1,SUMPRODUCT(--($AK$2:$AK$6001&lt;$AK5332))+1,"")</f>
        <v/>
      </c>
      <c r="AI5332">
        <f>IF($C5332="","",IF(OR($N5332=TRUE(),$N5332="TRUE"),1,0))</f>
        <v/>
      </c>
      <c r="AJ5332">
        <f>IF($C5332="","",IF($T5332="Yes",1,0))</f>
        <v/>
      </c>
      <c r="AK5332">
        <f>IF($AG5332=1,IFERROR(IF(VALUE($C5332)&lt;100000000,VALUE($C5332),1000000000),IFERROR(IF(VALUE(MID($C5332,2,20))&lt;100000000,VALUE(MID($C5332,2,20)),1000000000),1000000000))+ROW()/100000,"")</f>
        <v/>
      </c>
    </row>
    <row r="5333">
      <c r="D5333" s="11" t="n"/>
      <c r="K5333" s="7">
        <f>IF($C5333="","",J5333*W5333/100)</f>
        <v/>
      </c>
      <c r="Q5333" s="7" t="n"/>
      <c r="R5333" s="7" t="n"/>
      <c r="U5333">
        <f>IF($C5333="","",IF($AJ5333=1,0,IF($AI5333=1,Settings!$C$6,Settings!$C$7))*100)</f>
        <v/>
      </c>
      <c r="V5333" s="7">
        <f>IF($C5333="","",R5333*U5333/100)</f>
        <v/>
      </c>
      <c r="W5333" s="7">
        <f>IF($C5333="","",R5333-V5333)</f>
        <v/>
      </c>
      <c r="X5333" s="7">
        <f>IF($C5333="","",W5333-K5333)</f>
        <v/>
      </c>
      <c r="AB5333" s="7" t="n"/>
      <c r="AE5333" s="11" t="n"/>
      <c r="AG5333">
        <f>IF($C5333="","",IF(COUNTIF($C$2:$C5333,$C5333)=1,1,0))</f>
        <v/>
      </c>
      <c r="AH5333">
        <f>IF($AG5333=1,SUMPRODUCT(--($AK$2:$AK$6001&lt;$AK5333))+1,"")</f>
        <v/>
      </c>
      <c r="AI5333">
        <f>IF($C5333="","",IF(OR($N5333=TRUE(),$N5333="TRUE"),1,0))</f>
        <v/>
      </c>
      <c r="AJ5333">
        <f>IF($C5333="","",IF($T5333="Yes",1,0))</f>
        <v/>
      </c>
      <c r="AK5333">
        <f>IF($AG5333=1,IFERROR(IF(VALUE($C5333)&lt;100000000,VALUE($C5333),1000000000),IFERROR(IF(VALUE(MID($C5333,2,20))&lt;100000000,VALUE(MID($C5333,2,20)),1000000000),1000000000))+ROW()/100000,"")</f>
        <v/>
      </c>
    </row>
    <row r="5334">
      <c r="D5334" s="11" t="n"/>
      <c r="K5334" s="7">
        <f>IF($C5334="","",J5334*W5334/100)</f>
        <v/>
      </c>
      <c r="Q5334" s="7" t="n"/>
      <c r="R5334" s="7" t="n"/>
      <c r="U5334">
        <f>IF($C5334="","",IF($AJ5334=1,0,IF($AI5334=1,Settings!$C$6,Settings!$C$7))*100)</f>
        <v/>
      </c>
      <c r="V5334" s="7">
        <f>IF($C5334="","",R5334*U5334/100)</f>
        <v/>
      </c>
      <c r="W5334" s="7">
        <f>IF($C5334="","",R5334-V5334)</f>
        <v/>
      </c>
      <c r="X5334" s="7">
        <f>IF($C5334="","",W5334-K5334)</f>
        <v/>
      </c>
      <c r="AB5334" s="7" t="n"/>
      <c r="AE5334" s="11" t="n"/>
      <c r="AG5334">
        <f>IF($C5334="","",IF(COUNTIF($C$2:$C5334,$C5334)=1,1,0))</f>
        <v/>
      </c>
      <c r="AH5334">
        <f>IF($AG5334=1,SUMPRODUCT(--($AK$2:$AK$6001&lt;$AK5334))+1,"")</f>
        <v/>
      </c>
      <c r="AI5334">
        <f>IF($C5334="","",IF(OR($N5334=TRUE(),$N5334="TRUE"),1,0))</f>
        <v/>
      </c>
      <c r="AJ5334">
        <f>IF($C5334="","",IF($T5334="Yes",1,0))</f>
        <v/>
      </c>
      <c r="AK5334">
        <f>IF($AG5334=1,IFERROR(IF(VALUE($C5334)&lt;100000000,VALUE($C5334),1000000000),IFERROR(IF(VALUE(MID($C5334,2,20))&lt;100000000,VALUE(MID($C5334,2,20)),1000000000),1000000000))+ROW()/100000,"")</f>
        <v/>
      </c>
    </row>
    <row r="5335">
      <c r="D5335" s="11" t="n"/>
      <c r="K5335" s="7">
        <f>IF($C5335="","",J5335*W5335/100)</f>
        <v/>
      </c>
      <c r="Q5335" s="7" t="n"/>
      <c r="R5335" s="7" t="n"/>
      <c r="U5335">
        <f>IF($C5335="","",IF($AJ5335=1,0,IF($AI5335=1,Settings!$C$6,Settings!$C$7))*100)</f>
        <v/>
      </c>
      <c r="V5335" s="7">
        <f>IF($C5335="","",R5335*U5335/100)</f>
        <v/>
      </c>
      <c r="W5335" s="7">
        <f>IF($C5335="","",R5335-V5335)</f>
        <v/>
      </c>
      <c r="X5335" s="7">
        <f>IF($C5335="","",W5335-K5335)</f>
        <v/>
      </c>
      <c r="AB5335" s="7" t="n"/>
      <c r="AE5335" s="11" t="n"/>
      <c r="AG5335">
        <f>IF($C5335="","",IF(COUNTIF($C$2:$C5335,$C5335)=1,1,0))</f>
        <v/>
      </c>
      <c r="AH5335">
        <f>IF($AG5335=1,SUMPRODUCT(--($AK$2:$AK$6001&lt;$AK5335))+1,"")</f>
        <v/>
      </c>
      <c r="AI5335">
        <f>IF($C5335="","",IF(OR($N5335=TRUE(),$N5335="TRUE"),1,0))</f>
        <v/>
      </c>
      <c r="AJ5335">
        <f>IF($C5335="","",IF($T5335="Yes",1,0))</f>
        <v/>
      </c>
      <c r="AK5335">
        <f>IF($AG5335=1,IFERROR(IF(VALUE($C5335)&lt;100000000,VALUE($C5335),1000000000),IFERROR(IF(VALUE(MID($C5335,2,20))&lt;100000000,VALUE(MID($C5335,2,20)),1000000000),1000000000))+ROW()/100000,"")</f>
        <v/>
      </c>
    </row>
    <row r="5336">
      <c r="D5336" s="11" t="n"/>
      <c r="K5336" s="7">
        <f>IF($C5336="","",J5336*W5336/100)</f>
        <v/>
      </c>
      <c r="Q5336" s="7" t="n"/>
      <c r="R5336" s="7" t="n"/>
      <c r="U5336">
        <f>IF($C5336="","",IF($AJ5336=1,0,IF($AI5336=1,Settings!$C$6,Settings!$C$7))*100)</f>
        <v/>
      </c>
      <c r="V5336" s="7">
        <f>IF($C5336="","",R5336*U5336/100)</f>
        <v/>
      </c>
      <c r="W5336" s="7">
        <f>IF($C5336="","",R5336-V5336)</f>
        <v/>
      </c>
      <c r="X5336" s="7">
        <f>IF($C5336="","",W5336-K5336)</f>
        <v/>
      </c>
      <c r="AB5336" s="7" t="n"/>
      <c r="AE5336" s="11" t="n"/>
      <c r="AG5336">
        <f>IF($C5336="","",IF(COUNTIF($C$2:$C5336,$C5336)=1,1,0))</f>
        <v/>
      </c>
      <c r="AH5336">
        <f>IF($AG5336=1,SUMPRODUCT(--($AK$2:$AK$6001&lt;$AK5336))+1,"")</f>
        <v/>
      </c>
      <c r="AI5336">
        <f>IF($C5336="","",IF(OR($N5336=TRUE(),$N5336="TRUE"),1,0))</f>
        <v/>
      </c>
      <c r="AJ5336">
        <f>IF($C5336="","",IF($T5336="Yes",1,0))</f>
        <v/>
      </c>
      <c r="AK5336">
        <f>IF($AG5336=1,IFERROR(IF(VALUE($C5336)&lt;100000000,VALUE($C5336),1000000000),IFERROR(IF(VALUE(MID($C5336,2,20))&lt;100000000,VALUE(MID($C5336,2,20)),1000000000),1000000000))+ROW()/100000,"")</f>
        <v/>
      </c>
    </row>
    <row r="5337">
      <c r="D5337" s="11" t="n"/>
      <c r="K5337" s="7">
        <f>IF($C5337="","",J5337*W5337/100)</f>
        <v/>
      </c>
      <c r="Q5337" s="7" t="n"/>
      <c r="R5337" s="7" t="n"/>
      <c r="U5337">
        <f>IF($C5337="","",IF($AJ5337=1,0,IF($AI5337=1,Settings!$C$6,Settings!$C$7))*100)</f>
        <v/>
      </c>
      <c r="V5337" s="7">
        <f>IF($C5337="","",R5337*U5337/100)</f>
        <v/>
      </c>
      <c r="W5337" s="7">
        <f>IF($C5337="","",R5337-V5337)</f>
        <v/>
      </c>
      <c r="X5337" s="7">
        <f>IF($C5337="","",W5337-K5337)</f>
        <v/>
      </c>
      <c r="AB5337" s="7" t="n"/>
      <c r="AE5337" s="11" t="n"/>
      <c r="AG5337">
        <f>IF($C5337="","",IF(COUNTIF($C$2:$C5337,$C5337)=1,1,0))</f>
        <v/>
      </c>
      <c r="AH5337">
        <f>IF($AG5337=1,SUMPRODUCT(--($AK$2:$AK$6001&lt;$AK5337))+1,"")</f>
        <v/>
      </c>
      <c r="AI5337">
        <f>IF($C5337="","",IF(OR($N5337=TRUE(),$N5337="TRUE"),1,0))</f>
        <v/>
      </c>
      <c r="AJ5337">
        <f>IF($C5337="","",IF($T5337="Yes",1,0))</f>
        <v/>
      </c>
      <c r="AK5337">
        <f>IF($AG5337=1,IFERROR(IF(VALUE($C5337)&lt;100000000,VALUE($C5337),1000000000),IFERROR(IF(VALUE(MID($C5337,2,20))&lt;100000000,VALUE(MID($C5337,2,20)),1000000000),1000000000))+ROW()/100000,"")</f>
        <v/>
      </c>
    </row>
    <row r="5338">
      <c r="D5338" s="11" t="n"/>
      <c r="K5338" s="7">
        <f>IF($C5338="","",J5338*W5338/100)</f>
        <v/>
      </c>
      <c r="Q5338" s="7" t="n"/>
      <c r="R5338" s="7" t="n"/>
      <c r="U5338">
        <f>IF($C5338="","",IF($AJ5338=1,0,IF($AI5338=1,Settings!$C$6,Settings!$C$7))*100)</f>
        <v/>
      </c>
      <c r="V5338" s="7">
        <f>IF($C5338="","",R5338*U5338/100)</f>
        <v/>
      </c>
      <c r="W5338" s="7">
        <f>IF($C5338="","",R5338-V5338)</f>
        <v/>
      </c>
      <c r="X5338" s="7">
        <f>IF($C5338="","",W5338-K5338)</f>
        <v/>
      </c>
      <c r="AB5338" s="7" t="n"/>
      <c r="AE5338" s="11" t="n"/>
      <c r="AG5338">
        <f>IF($C5338="","",IF(COUNTIF($C$2:$C5338,$C5338)=1,1,0))</f>
        <v/>
      </c>
      <c r="AH5338">
        <f>IF($AG5338=1,SUMPRODUCT(--($AK$2:$AK$6001&lt;$AK5338))+1,"")</f>
        <v/>
      </c>
      <c r="AI5338">
        <f>IF($C5338="","",IF(OR($N5338=TRUE(),$N5338="TRUE"),1,0))</f>
        <v/>
      </c>
      <c r="AJ5338">
        <f>IF($C5338="","",IF($T5338="Yes",1,0))</f>
        <v/>
      </c>
      <c r="AK5338">
        <f>IF($AG5338=1,IFERROR(IF(VALUE($C5338)&lt;100000000,VALUE($C5338),1000000000),IFERROR(IF(VALUE(MID($C5338,2,20))&lt;100000000,VALUE(MID($C5338,2,20)),1000000000),1000000000))+ROW()/100000,"")</f>
        <v/>
      </c>
    </row>
    <row r="5339">
      <c r="D5339" s="11" t="n"/>
      <c r="K5339" s="7">
        <f>IF($C5339="","",J5339*W5339/100)</f>
        <v/>
      </c>
      <c r="Q5339" s="7" t="n"/>
      <c r="R5339" s="7" t="n"/>
      <c r="U5339">
        <f>IF($C5339="","",IF($AJ5339=1,0,IF($AI5339=1,Settings!$C$6,Settings!$C$7))*100)</f>
        <v/>
      </c>
      <c r="V5339" s="7">
        <f>IF($C5339="","",R5339*U5339/100)</f>
        <v/>
      </c>
      <c r="W5339" s="7">
        <f>IF($C5339="","",R5339-V5339)</f>
        <v/>
      </c>
      <c r="X5339" s="7">
        <f>IF($C5339="","",W5339-K5339)</f>
        <v/>
      </c>
      <c r="AB5339" s="7" t="n"/>
      <c r="AE5339" s="11" t="n"/>
      <c r="AG5339">
        <f>IF($C5339="","",IF(COUNTIF($C$2:$C5339,$C5339)=1,1,0))</f>
        <v/>
      </c>
      <c r="AH5339">
        <f>IF($AG5339=1,SUMPRODUCT(--($AK$2:$AK$6001&lt;$AK5339))+1,"")</f>
        <v/>
      </c>
      <c r="AI5339">
        <f>IF($C5339="","",IF(OR($N5339=TRUE(),$N5339="TRUE"),1,0))</f>
        <v/>
      </c>
      <c r="AJ5339">
        <f>IF($C5339="","",IF($T5339="Yes",1,0))</f>
        <v/>
      </c>
      <c r="AK5339">
        <f>IF($AG5339=1,IFERROR(IF(VALUE($C5339)&lt;100000000,VALUE($C5339),1000000000),IFERROR(IF(VALUE(MID($C5339,2,20))&lt;100000000,VALUE(MID($C5339,2,20)),1000000000),1000000000))+ROW()/100000,"")</f>
        <v/>
      </c>
    </row>
    <row r="5340">
      <c r="D5340" s="11" t="n"/>
      <c r="K5340" s="7">
        <f>IF($C5340="","",J5340*W5340/100)</f>
        <v/>
      </c>
      <c r="Q5340" s="7" t="n"/>
      <c r="R5340" s="7" t="n"/>
      <c r="U5340">
        <f>IF($C5340="","",IF($AJ5340=1,0,IF($AI5340=1,Settings!$C$6,Settings!$C$7))*100)</f>
        <v/>
      </c>
      <c r="V5340" s="7">
        <f>IF($C5340="","",R5340*U5340/100)</f>
        <v/>
      </c>
      <c r="W5340" s="7">
        <f>IF($C5340="","",R5340-V5340)</f>
        <v/>
      </c>
      <c r="X5340" s="7">
        <f>IF($C5340="","",W5340-K5340)</f>
        <v/>
      </c>
      <c r="AB5340" s="7" t="n"/>
      <c r="AE5340" s="11" t="n"/>
      <c r="AG5340">
        <f>IF($C5340="","",IF(COUNTIF($C$2:$C5340,$C5340)=1,1,0))</f>
        <v/>
      </c>
      <c r="AH5340">
        <f>IF($AG5340=1,SUMPRODUCT(--($AK$2:$AK$6001&lt;$AK5340))+1,"")</f>
        <v/>
      </c>
      <c r="AI5340">
        <f>IF($C5340="","",IF(OR($N5340=TRUE(),$N5340="TRUE"),1,0))</f>
        <v/>
      </c>
      <c r="AJ5340">
        <f>IF($C5340="","",IF($T5340="Yes",1,0))</f>
        <v/>
      </c>
      <c r="AK5340">
        <f>IF($AG5340=1,IFERROR(IF(VALUE($C5340)&lt;100000000,VALUE($C5340),1000000000),IFERROR(IF(VALUE(MID($C5340,2,20))&lt;100000000,VALUE(MID($C5340,2,20)),1000000000),1000000000))+ROW()/100000,"")</f>
        <v/>
      </c>
    </row>
    <row r="5341">
      <c r="D5341" s="11" t="n"/>
      <c r="K5341" s="7">
        <f>IF($C5341="","",J5341*W5341/100)</f>
        <v/>
      </c>
      <c r="Q5341" s="7" t="n"/>
      <c r="R5341" s="7" t="n"/>
      <c r="U5341">
        <f>IF($C5341="","",IF($AJ5341=1,0,IF($AI5341=1,Settings!$C$6,Settings!$C$7))*100)</f>
        <v/>
      </c>
      <c r="V5341" s="7">
        <f>IF($C5341="","",R5341*U5341/100)</f>
        <v/>
      </c>
      <c r="W5341" s="7">
        <f>IF($C5341="","",R5341-V5341)</f>
        <v/>
      </c>
      <c r="X5341" s="7">
        <f>IF($C5341="","",W5341-K5341)</f>
        <v/>
      </c>
      <c r="AB5341" s="7" t="n"/>
      <c r="AE5341" s="11" t="n"/>
      <c r="AG5341">
        <f>IF($C5341="","",IF(COUNTIF($C$2:$C5341,$C5341)=1,1,0))</f>
        <v/>
      </c>
      <c r="AH5341">
        <f>IF($AG5341=1,SUMPRODUCT(--($AK$2:$AK$6001&lt;$AK5341))+1,"")</f>
        <v/>
      </c>
      <c r="AI5341">
        <f>IF($C5341="","",IF(OR($N5341=TRUE(),$N5341="TRUE"),1,0))</f>
        <v/>
      </c>
      <c r="AJ5341">
        <f>IF($C5341="","",IF($T5341="Yes",1,0))</f>
        <v/>
      </c>
      <c r="AK5341">
        <f>IF($AG5341=1,IFERROR(IF(VALUE($C5341)&lt;100000000,VALUE($C5341),1000000000),IFERROR(IF(VALUE(MID($C5341,2,20))&lt;100000000,VALUE(MID($C5341,2,20)),1000000000),1000000000))+ROW()/100000,"")</f>
        <v/>
      </c>
    </row>
    <row r="5342">
      <c r="D5342" s="11" t="n"/>
      <c r="K5342" s="7">
        <f>IF($C5342="","",J5342*W5342/100)</f>
        <v/>
      </c>
      <c r="Q5342" s="7" t="n"/>
      <c r="R5342" s="7" t="n"/>
      <c r="U5342">
        <f>IF($C5342="","",IF($AJ5342=1,0,IF($AI5342=1,Settings!$C$6,Settings!$C$7))*100)</f>
        <v/>
      </c>
      <c r="V5342" s="7">
        <f>IF($C5342="","",R5342*U5342/100)</f>
        <v/>
      </c>
      <c r="W5342" s="7">
        <f>IF($C5342="","",R5342-V5342)</f>
        <v/>
      </c>
      <c r="X5342" s="7">
        <f>IF($C5342="","",W5342-K5342)</f>
        <v/>
      </c>
      <c r="AB5342" s="7" t="n"/>
      <c r="AE5342" s="11" t="n"/>
      <c r="AG5342">
        <f>IF($C5342="","",IF(COUNTIF($C$2:$C5342,$C5342)=1,1,0))</f>
        <v/>
      </c>
      <c r="AH5342">
        <f>IF($AG5342=1,SUMPRODUCT(--($AK$2:$AK$6001&lt;$AK5342))+1,"")</f>
        <v/>
      </c>
      <c r="AI5342">
        <f>IF($C5342="","",IF(OR($N5342=TRUE(),$N5342="TRUE"),1,0))</f>
        <v/>
      </c>
      <c r="AJ5342">
        <f>IF($C5342="","",IF($T5342="Yes",1,0))</f>
        <v/>
      </c>
      <c r="AK5342">
        <f>IF($AG5342=1,IFERROR(IF(VALUE($C5342)&lt;100000000,VALUE($C5342),1000000000),IFERROR(IF(VALUE(MID($C5342,2,20))&lt;100000000,VALUE(MID($C5342,2,20)),1000000000),1000000000))+ROW()/100000,"")</f>
        <v/>
      </c>
    </row>
    <row r="5343">
      <c r="D5343" s="11" t="n"/>
      <c r="K5343" s="7">
        <f>IF($C5343="","",J5343*W5343/100)</f>
        <v/>
      </c>
      <c r="Q5343" s="7" t="n"/>
      <c r="R5343" s="7" t="n"/>
      <c r="U5343">
        <f>IF($C5343="","",IF($AJ5343=1,0,IF($AI5343=1,Settings!$C$6,Settings!$C$7))*100)</f>
        <v/>
      </c>
      <c r="V5343" s="7">
        <f>IF($C5343="","",R5343*U5343/100)</f>
        <v/>
      </c>
      <c r="W5343" s="7">
        <f>IF($C5343="","",R5343-V5343)</f>
        <v/>
      </c>
      <c r="X5343" s="7">
        <f>IF($C5343="","",W5343-K5343)</f>
        <v/>
      </c>
      <c r="AB5343" s="7" t="n"/>
      <c r="AE5343" s="11" t="n"/>
      <c r="AG5343">
        <f>IF($C5343="","",IF(COUNTIF($C$2:$C5343,$C5343)=1,1,0))</f>
        <v/>
      </c>
      <c r="AH5343">
        <f>IF($AG5343=1,SUMPRODUCT(--($AK$2:$AK$6001&lt;$AK5343))+1,"")</f>
        <v/>
      </c>
      <c r="AI5343">
        <f>IF($C5343="","",IF(OR($N5343=TRUE(),$N5343="TRUE"),1,0))</f>
        <v/>
      </c>
      <c r="AJ5343">
        <f>IF($C5343="","",IF($T5343="Yes",1,0))</f>
        <v/>
      </c>
      <c r="AK5343">
        <f>IF($AG5343=1,IFERROR(IF(VALUE($C5343)&lt;100000000,VALUE($C5343),1000000000),IFERROR(IF(VALUE(MID($C5343,2,20))&lt;100000000,VALUE(MID($C5343,2,20)),1000000000),1000000000))+ROW()/100000,"")</f>
        <v/>
      </c>
    </row>
    <row r="5344">
      <c r="D5344" s="11" t="n"/>
      <c r="K5344" s="7">
        <f>IF($C5344="","",J5344*W5344/100)</f>
        <v/>
      </c>
      <c r="Q5344" s="7" t="n"/>
      <c r="R5344" s="7" t="n"/>
      <c r="U5344">
        <f>IF($C5344="","",IF($AJ5344=1,0,IF($AI5344=1,Settings!$C$6,Settings!$C$7))*100)</f>
        <v/>
      </c>
      <c r="V5344" s="7">
        <f>IF($C5344="","",R5344*U5344/100)</f>
        <v/>
      </c>
      <c r="W5344" s="7">
        <f>IF($C5344="","",R5344-V5344)</f>
        <v/>
      </c>
      <c r="X5344" s="7">
        <f>IF($C5344="","",W5344-K5344)</f>
        <v/>
      </c>
      <c r="AB5344" s="7" t="n"/>
      <c r="AE5344" s="11" t="n"/>
      <c r="AG5344">
        <f>IF($C5344="","",IF(COUNTIF($C$2:$C5344,$C5344)=1,1,0))</f>
        <v/>
      </c>
      <c r="AH5344">
        <f>IF($AG5344=1,SUMPRODUCT(--($AK$2:$AK$6001&lt;$AK5344))+1,"")</f>
        <v/>
      </c>
      <c r="AI5344">
        <f>IF($C5344="","",IF(OR($N5344=TRUE(),$N5344="TRUE"),1,0))</f>
        <v/>
      </c>
      <c r="AJ5344">
        <f>IF($C5344="","",IF($T5344="Yes",1,0))</f>
        <v/>
      </c>
      <c r="AK5344">
        <f>IF($AG5344=1,IFERROR(IF(VALUE($C5344)&lt;100000000,VALUE($C5344),1000000000),IFERROR(IF(VALUE(MID($C5344,2,20))&lt;100000000,VALUE(MID($C5344,2,20)),1000000000),1000000000))+ROW()/100000,"")</f>
        <v/>
      </c>
    </row>
    <row r="5345">
      <c r="D5345" s="11" t="n"/>
      <c r="K5345" s="7">
        <f>IF($C5345="","",J5345*W5345/100)</f>
        <v/>
      </c>
      <c r="Q5345" s="7" t="n"/>
      <c r="R5345" s="7" t="n"/>
      <c r="U5345">
        <f>IF($C5345="","",IF($AJ5345=1,0,IF($AI5345=1,Settings!$C$6,Settings!$C$7))*100)</f>
        <v/>
      </c>
      <c r="V5345" s="7">
        <f>IF($C5345="","",R5345*U5345/100)</f>
        <v/>
      </c>
      <c r="W5345" s="7">
        <f>IF($C5345="","",R5345-V5345)</f>
        <v/>
      </c>
      <c r="X5345" s="7">
        <f>IF($C5345="","",W5345-K5345)</f>
        <v/>
      </c>
      <c r="AB5345" s="7" t="n"/>
      <c r="AE5345" s="11" t="n"/>
      <c r="AG5345">
        <f>IF($C5345="","",IF(COUNTIF($C$2:$C5345,$C5345)=1,1,0))</f>
        <v/>
      </c>
      <c r="AH5345">
        <f>IF($AG5345=1,SUMPRODUCT(--($AK$2:$AK$6001&lt;$AK5345))+1,"")</f>
        <v/>
      </c>
      <c r="AI5345">
        <f>IF($C5345="","",IF(OR($N5345=TRUE(),$N5345="TRUE"),1,0))</f>
        <v/>
      </c>
      <c r="AJ5345">
        <f>IF($C5345="","",IF($T5345="Yes",1,0))</f>
        <v/>
      </c>
      <c r="AK5345">
        <f>IF($AG5345=1,IFERROR(IF(VALUE($C5345)&lt;100000000,VALUE($C5345),1000000000),IFERROR(IF(VALUE(MID($C5345,2,20))&lt;100000000,VALUE(MID($C5345,2,20)),1000000000),1000000000))+ROW()/100000,"")</f>
        <v/>
      </c>
    </row>
    <row r="5346">
      <c r="D5346" s="11" t="n"/>
      <c r="K5346" s="7">
        <f>IF($C5346="","",J5346*W5346/100)</f>
        <v/>
      </c>
      <c r="Q5346" s="7" t="n"/>
      <c r="R5346" s="7" t="n"/>
      <c r="U5346">
        <f>IF($C5346="","",IF($AJ5346=1,0,IF($AI5346=1,Settings!$C$6,Settings!$C$7))*100)</f>
        <v/>
      </c>
      <c r="V5346" s="7">
        <f>IF($C5346="","",R5346*U5346/100)</f>
        <v/>
      </c>
      <c r="W5346" s="7">
        <f>IF($C5346="","",R5346-V5346)</f>
        <v/>
      </c>
      <c r="X5346" s="7">
        <f>IF($C5346="","",W5346-K5346)</f>
        <v/>
      </c>
      <c r="AB5346" s="7" t="n"/>
      <c r="AE5346" s="11" t="n"/>
      <c r="AG5346">
        <f>IF($C5346="","",IF(COUNTIF($C$2:$C5346,$C5346)=1,1,0))</f>
        <v/>
      </c>
      <c r="AH5346">
        <f>IF($AG5346=1,SUMPRODUCT(--($AK$2:$AK$6001&lt;$AK5346))+1,"")</f>
        <v/>
      </c>
      <c r="AI5346">
        <f>IF($C5346="","",IF(OR($N5346=TRUE(),$N5346="TRUE"),1,0))</f>
        <v/>
      </c>
      <c r="AJ5346">
        <f>IF($C5346="","",IF($T5346="Yes",1,0))</f>
        <v/>
      </c>
      <c r="AK5346">
        <f>IF($AG5346=1,IFERROR(IF(VALUE($C5346)&lt;100000000,VALUE($C5346),1000000000),IFERROR(IF(VALUE(MID($C5346,2,20))&lt;100000000,VALUE(MID($C5346,2,20)),1000000000),1000000000))+ROW()/100000,"")</f>
        <v/>
      </c>
    </row>
    <row r="5347">
      <c r="D5347" s="11" t="n"/>
      <c r="K5347" s="7">
        <f>IF($C5347="","",J5347*W5347/100)</f>
        <v/>
      </c>
      <c r="Q5347" s="7" t="n"/>
      <c r="R5347" s="7" t="n"/>
      <c r="U5347">
        <f>IF($C5347="","",IF($AJ5347=1,0,IF($AI5347=1,Settings!$C$6,Settings!$C$7))*100)</f>
        <v/>
      </c>
      <c r="V5347" s="7">
        <f>IF($C5347="","",R5347*U5347/100)</f>
        <v/>
      </c>
      <c r="W5347" s="7">
        <f>IF($C5347="","",R5347-V5347)</f>
        <v/>
      </c>
      <c r="X5347" s="7">
        <f>IF($C5347="","",W5347-K5347)</f>
        <v/>
      </c>
      <c r="AB5347" s="7" t="n"/>
      <c r="AE5347" s="11" t="n"/>
      <c r="AG5347">
        <f>IF($C5347="","",IF(COUNTIF($C$2:$C5347,$C5347)=1,1,0))</f>
        <v/>
      </c>
      <c r="AH5347">
        <f>IF($AG5347=1,SUMPRODUCT(--($AK$2:$AK$6001&lt;$AK5347))+1,"")</f>
        <v/>
      </c>
      <c r="AI5347">
        <f>IF($C5347="","",IF(OR($N5347=TRUE(),$N5347="TRUE"),1,0))</f>
        <v/>
      </c>
      <c r="AJ5347">
        <f>IF($C5347="","",IF($T5347="Yes",1,0))</f>
        <v/>
      </c>
      <c r="AK5347">
        <f>IF($AG5347=1,IFERROR(IF(VALUE($C5347)&lt;100000000,VALUE($C5347),1000000000),IFERROR(IF(VALUE(MID($C5347,2,20))&lt;100000000,VALUE(MID($C5347,2,20)),1000000000),1000000000))+ROW()/100000,"")</f>
        <v/>
      </c>
    </row>
    <row r="5348">
      <c r="D5348" s="11" t="n"/>
      <c r="K5348" s="7">
        <f>IF($C5348="","",J5348*W5348/100)</f>
        <v/>
      </c>
      <c r="Q5348" s="7" t="n"/>
      <c r="R5348" s="7" t="n"/>
      <c r="U5348">
        <f>IF($C5348="","",IF($AJ5348=1,0,IF($AI5348=1,Settings!$C$6,Settings!$C$7))*100)</f>
        <v/>
      </c>
      <c r="V5348" s="7">
        <f>IF($C5348="","",R5348*U5348/100)</f>
        <v/>
      </c>
      <c r="W5348" s="7">
        <f>IF($C5348="","",R5348-V5348)</f>
        <v/>
      </c>
      <c r="X5348" s="7">
        <f>IF($C5348="","",W5348-K5348)</f>
        <v/>
      </c>
      <c r="AB5348" s="7" t="n"/>
      <c r="AE5348" s="11" t="n"/>
      <c r="AG5348">
        <f>IF($C5348="","",IF(COUNTIF($C$2:$C5348,$C5348)=1,1,0))</f>
        <v/>
      </c>
      <c r="AH5348">
        <f>IF($AG5348=1,SUMPRODUCT(--($AK$2:$AK$6001&lt;$AK5348))+1,"")</f>
        <v/>
      </c>
      <c r="AI5348">
        <f>IF($C5348="","",IF(OR($N5348=TRUE(),$N5348="TRUE"),1,0))</f>
        <v/>
      </c>
      <c r="AJ5348">
        <f>IF($C5348="","",IF($T5348="Yes",1,0))</f>
        <v/>
      </c>
      <c r="AK5348">
        <f>IF($AG5348=1,IFERROR(IF(VALUE($C5348)&lt;100000000,VALUE($C5348),1000000000),IFERROR(IF(VALUE(MID($C5348,2,20))&lt;100000000,VALUE(MID($C5348,2,20)),1000000000),1000000000))+ROW()/100000,"")</f>
        <v/>
      </c>
    </row>
    <row r="5349">
      <c r="D5349" s="11" t="n"/>
      <c r="K5349" s="7">
        <f>IF($C5349="","",J5349*W5349/100)</f>
        <v/>
      </c>
      <c r="Q5349" s="7" t="n"/>
      <c r="R5349" s="7" t="n"/>
      <c r="U5349">
        <f>IF($C5349="","",IF($AJ5349=1,0,IF($AI5349=1,Settings!$C$6,Settings!$C$7))*100)</f>
        <v/>
      </c>
      <c r="V5349" s="7">
        <f>IF($C5349="","",R5349*U5349/100)</f>
        <v/>
      </c>
      <c r="W5349" s="7">
        <f>IF($C5349="","",R5349-V5349)</f>
        <v/>
      </c>
      <c r="X5349" s="7">
        <f>IF($C5349="","",W5349-K5349)</f>
        <v/>
      </c>
      <c r="AB5349" s="7" t="n"/>
      <c r="AE5349" s="11" t="n"/>
      <c r="AG5349">
        <f>IF($C5349="","",IF(COUNTIF($C$2:$C5349,$C5349)=1,1,0))</f>
        <v/>
      </c>
      <c r="AH5349">
        <f>IF($AG5349=1,SUMPRODUCT(--($AK$2:$AK$6001&lt;$AK5349))+1,"")</f>
        <v/>
      </c>
      <c r="AI5349">
        <f>IF($C5349="","",IF(OR($N5349=TRUE(),$N5349="TRUE"),1,0))</f>
        <v/>
      </c>
      <c r="AJ5349">
        <f>IF($C5349="","",IF($T5349="Yes",1,0))</f>
        <v/>
      </c>
      <c r="AK5349">
        <f>IF($AG5349=1,IFERROR(IF(VALUE($C5349)&lt;100000000,VALUE($C5349),1000000000),IFERROR(IF(VALUE(MID($C5349,2,20))&lt;100000000,VALUE(MID($C5349,2,20)),1000000000),1000000000))+ROW()/100000,"")</f>
        <v/>
      </c>
    </row>
    <row r="5350">
      <c r="D5350" s="11" t="n"/>
      <c r="K5350" s="7">
        <f>IF($C5350="","",J5350*W5350/100)</f>
        <v/>
      </c>
      <c r="Q5350" s="7" t="n"/>
      <c r="R5350" s="7" t="n"/>
      <c r="U5350">
        <f>IF($C5350="","",IF($AJ5350=1,0,IF($AI5350=1,Settings!$C$6,Settings!$C$7))*100)</f>
        <v/>
      </c>
      <c r="V5350" s="7">
        <f>IF($C5350="","",R5350*U5350/100)</f>
        <v/>
      </c>
      <c r="W5350" s="7">
        <f>IF($C5350="","",R5350-V5350)</f>
        <v/>
      </c>
      <c r="X5350" s="7">
        <f>IF($C5350="","",W5350-K5350)</f>
        <v/>
      </c>
      <c r="AB5350" s="7" t="n"/>
      <c r="AE5350" s="11" t="n"/>
      <c r="AG5350">
        <f>IF($C5350="","",IF(COUNTIF($C$2:$C5350,$C5350)=1,1,0))</f>
        <v/>
      </c>
      <c r="AH5350">
        <f>IF($AG5350=1,SUMPRODUCT(--($AK$2:$AK$6001&lt;$AK5350))+1,"")</f>
        <v/>
      </c>
      <c r="AI5350">
        <f>IF($C5350="","",IF(OR($N5350=TRUE(),$N5350="TRUE"),1,0))</f>
        <v/>
      </c>
      <c r="AJ5350">
        <f>IF($C5350="","",IF($T5350="Yes",1,0))</f>
        <v/>
      </c>
      <c r="AK5350">
        <f>IF($AG5350=1,IFERROR(IF(VALUE($C5350)&lt;100000000,VALUE($C5350),1000000000),IFERROR(IF(VALUE(MID($C5350,2,20))&lt;100000000,VALUE(MID($C5350,2,20)),1000000000),1000000000))+ROW()/100000,"")</f>
        <v/>
      </c>
    </row>
    <row r="5351">
      <c r="D5351" s="11" t="n"/>
      <c r="K5351" s="7">
        <f>IF($C5351="","",J5351*W5351/100)</f>
        <v/>
      </c>
      <c r="Q5351" s="7" t="n"/>
      <c r="R5351" s="7" t="n"/>
      <c r="U5351">
        <f>IF($C5351="","",IF($AJ5351=1,0,IF($AI5351=1,Settings!$C$6,Settings!$C$7))*100)</f>
        <v/>
      </c>
      <c r="V5351" s="7">
        <f>IF($C5351="","",R5351*U5351/100)</f>
        <v/>
      </c>
      <c r="W5351" s="7">
        <f>IF($C5351="","",R5351-V5351)</f>
        <v/>
      </c>
      <c r="X5351" s="7">
        <f>IF($C5351="","",W5351-K5351)</f>
        <v/>
      </c>
      <c r="AB5351" s="7" t="n"/>
      <c r="AE5351" s="11" t="n"/>
      <c r="AG5351">
        <f>IF($C5351="","",IF(COUNTIF($C$2:$C5351,$C5351)=1,1,0))</f>
        <v/>
      </c>
      <c r="AH5351">
        <f>IF($AG5351=1,SUMPRODUCT(--($AK$2:$AK$6001&lt;$AK5351))+1,"")</f>
        <v/>
      </c>
      <c r="AI5351">
        <f>IF($C5351="","",IF(OR($N5351=TRUE(),$N5351="TRUE"),1,0))</f>
        <v/>
      </c>
      <c r="AJ5351">
        <f>IF($C5351="","",IF($T5351="Yes",1,0))</f>
        <v/>
      </c>
      <c r="AK5351">
        <f>IF($AG5351=1,IFERROR(IF(VALUE($C5351)&lt;100000000,VALUE($C5351),1000000000),IFERROR(IF(VALUE(MID($C5351,2,20))&lt;100000000,VALUE(MID($C5351,2,20)),1000000000),1000000000))+ROW()/100000,"")</f>
        <v/>
      </c>
    </row>
    <row r="5352">
      <c r="D5352" s="11" t="n"/>
      <c r="K5352" s="7">
        <f>IF($C5352="","",J5352*W5352/100)</f>
        <v/>
      </c>
      <c r="Q5352" s="7" t="n"/>
      <c r="R5352" s="7" t="n"/>
      <c r="U5352">
        <f>IF($C5352="","",IF($AJ5352=1,0,IF($AI5352=1,Settings!$C$6,Settings!$C$7))*100)</f>
        <v/>
      </c>
      <c r="V5352" s="7">
        <f>IF($C5352="","",R5352*U5352/100)</f>
        <v/>
      </c>
      <c r="W5352" s="7">
        <f>IF($C5352="","",R5352-V5352)</f>
        <v/>
      </c>
      <c r="X5352" s="7">
        <f>IF($C5352="","",W5352-K5352)</f>
        <v/>
      </c>
      <c r="AB5352" s="7" t="n"/>
      <c r="AE5352" s="11" t="n"/>
      <c r="AG5352">
        <f>IF($C5352="","",IF(COUNTIF($C$2:$C5352,$C5352)=1,1,0))</f>
        <v/>
      </c>
      <c r="AH5352">
        <f>IF($AG5352=1,SUMPRODUCT(--($AK$2:$AK$6001&lt;$AK5352))+1,"")</f>
        <v/>
      </c>
      <c r="AI5352">
        <f>IF($C5352="","",IF(OR($N5352=TRUE(),$N5352="TRUE"),1,0))</f>
        <v/>
      </c>
      <c r="AJ5352">
        <f>IF($C5352="","",IF($T5352="Yes",1,0))</f>
        <v/>
      </c>
      <c r="AK5352">
        <f>IF($AG5352=1,IFERROR(IF(VALUE($C5352)&lt;100000000,VALUE($C5352),1000000000),IFERROR(IF(VALUE(MID($C5352,2,20))&lt;100000000,VALUE(MID($C5352,2,20)),1000000000),1000000000))+ROW()/100000,"")</f>
        <v/>
      </c>
    </row>
    <row r="5353">
      <c r="D5353" s="11" t="n"/>
      <c r="K5353" s="7">
        <f>IF($C5353="","",J5353*W5353/100)</f>
        <v/>
      </c>
      <c r="Q5353" s="7" t="n"/>
      <c r="R5353" s="7" t="n"/>
      <c r="U5353">
        <f>IF($C5353="","",IF($AJ5353=1,0,IF($AI5353=1,Settings!$C$6,Settings!$C$7))*100)</f>
        <v/>
      </c>
      <c r="V5353" s="7">
        <f>IF($C5353="","",R5353*U5353/100)</f>
        <v/>
      </c>
      <c r="W5353" s="7">
        <f>IF($C5353="","",R5353-V5353)</f>
        <v/>
      </c>
      <c r="X5353" s="7">
        <f>IF($C5353="","",W5353-K5353)</f>
        <v/>
      </c>
      <c r="AB5353" s="7" t="n"/>
      <c r="AE5353" s="11" t="n"/>
      <c r="AG5353">
        <f>IF($C5353="","",IF(COUNTIF($C$2:$C5353,$C5353)=1,1,0))</f>
        <v/>
      </c>
      <c r="AH5353">
        <f>IF($AG5353=1,SUMPRODUCT(--($AK$2:$AK$6001&lt;$AK5353))+1,"")</f>
        <v/>
      </c>
      <c r="AI5353">
        <f>IF($C5353="","",IF(OR($N5353=TRUE(),$N5353="TRUE"),1,0))</f>
        <v/>
      </c>
      <c r="AJ5353">
        <f>IF($C5353="","",IF($T5353="Yes",1,0))</f>
        <v/>
      </c>
      <c r="AK5353">
        <f>IF($AG5353=1,IFERROR(IF(VALUE($C5353)&lt;100000000,VALUE($C5353),1000000000),IFERROR(IF(VALUE(MID($C5353,2,20))&lt;100000000,VALUE(MID($C5353,2,20)),1000000000),1000000000))+ROW()/100000,"")</f>
        <v/>
      </c>
    </row>
    <row r="5354">
      <c r="D5354" s="11" t="n"/>
      <c r="K5354" s="7">
        <f>IF($C5354="","",J5354*W5354/100)</f>
        <v/>
      </c>
      <c r="Q5354" s="7" t="n"/>
      <c r="R5354" s="7" t="n"/>
      <c r="U5354">
        <f>IF($C5354="","",IF($AJ5354=1,0,IF($AI5354=1,Settings!$C$6,Settings!$C$7))*100)</f>
        <v/>
      </c>
      <c r="V5354" s="7">
        <f>IF($C5354="","",R5354*U5354/100)</f>
        <v/>
      </c>
      <c r="W5354" s="7">
        <f>IF($C5354="","",R5354-V5354)</f>
        <v/>
      </c>
      <c r="X5354" s="7">
        <f>IF($C5354="","",W5354-K5354)</f>
        <v/>
      </c>
      <c r="AB5354" s="7" t="n"/>
      <c r="AE5354" s="11" t="n"/>
      <c r="AG5354">
        <f>IF($C5354="","",IF(COUNTIF($C$2:$C5354,$C5354)=1,1,0))</f>
        <v/>
      </c>
      <c r="AH5354">
        <f>IF($AG5354=1,SUMPRODUCT(--($AK$2:$AK$6001&lt;$AK5354))+1,"")</f>
        <v/>
      </c>
      <c r="AI5354">
        <f>IF($C5354="","",IF(OR($N5354=TRUE(),$N5354="TRUE"),1,0))</f>
        <v/>
      </c>
      <c r="AJ5354">
        <f>IF($C5354="","",IF($T5354="Yes",1,0))</f>
        <v/>
      </c>
      <c r="AK5354">
        <f>IF($AG5354=1,IFERROR(IF(VALUE($C5354)&lt;100000000,VALUE($C5354),1000000000),IFERROR(IF(VALUE(MID($C5354,2,20))&lt;100000000,VALUE(MID($C5354,2,20)),1000000000),1000000000))+ROW()/100000,"")</f>
        <v/>
      </c>
    </row>
    <row r="5355">
      <c r="D5355" s="11" t="n"/>
      <c r="K5355" s="7">
        <f>IF($C5355="","",J5355*W5355/100)</f>
        <v/>
      </c>
      <c r="Q5355" s="7" t="n"/>
      <c r="R5355" s="7" t="n"/>
      <c r="U5355">
        <f>IF($C5355="","",IF($AJ5355=1,0,IF($AI5355=1,Settings!$C$6,Settings!$C$7))*100)</f>
        <v/>
      </c>
      <c r="V5355" s="7">
        <f>IF($C5355="","",R5355*U5355/100)</f>
        <v/>
      </c>
      <c r="W5355" s="7">
        <f>IF($C5355="","",R5355-V5355)</f>
        <v/>
      </c>
      <c r="X5355" s="7">
        <f>IF($C5355="","",W5355-K5355)</f>
        <v/>
      </c>
      <c r="AB5355" s="7" t="n"/>
      <c r="AE5355" s="11" t="n"/>
      <c r="AG5355">
        <f>IF($C5355="","",IF(COUNTIF($C$2:$C5355,$C5355)=1,1,0))</f>
        <v/>
      </c>
      <c r="AH5355">
        <f>IF($AG5355=1,SUMPRODUCT(--($AK$2:$AK$6001&lt;$AK5355))+1,"")</f>
        <v/>
      </c>
      <c r="AI5355">
        <f>IF($C5355="","",IF(OR($N5355=TRUE(),$N5355="TRUE"),1,0))</f>
        <v/>
      </c>
      <c r="AJ5355">
        <f>IF($C5355="","",IF($T5355="Yes",1,0))</f>
        <v/>
      </c>
      <c r="AK5355">
        <f>IF($AG5355=1,IFERROR(IF(VALUE($C5355)&lt;100000000,VALUE($C5355),1000000000),IFERROR(IF(VALUE(MID($C5355,2,20))&lt;100000000,VALUE(MID($C5355,2,20)),1000000000),1000000000))+ROW()/100000,"")</f>
        <v/>
      </c>
    </row>
    <row r="5356">
      <c r="D5356" s="11" t="n"/>
      <c r="K5356" s="7">
        <f>IF($C5356="","",J5356*W5356/100)</f>
        <v/>
      </c>
      <c r="Q5356" s="7" t="n"/>
      <c r="R5356" s="7" t="n"/>
      <c r="U5356">
        <f>IF($C5356="","",IF($AJ5356=1,0,IF($AI5356=1,Settings!$C$6,Settings!$C$7))*100)</f>
        <v/>
      </c>
      <c r="V5356" s="7">
        <f>IF($C5356="","",R5356*U5356/100)</f>
        <v/>
      </c>
      <c r="W5356" s="7">
        <f>IF($C5356="","",R5356-V5356)</f>
        <v/>
      </c>
      <c r="X5356" s="7">
        <f>IF($C5356="","",W5356-K5356)</f>
        <v/>
      </c>
      <c r="AB5356" s="7" t="n"/>
      <c r="AE5356" s="11" t="n"/>
      <c r="AG5356">
        <f>IF($C5356="","",IF(COUNTIF($C$2:$C5356,$C5356)=1,1,0))</f>
        <v/>
      </c>
      <c r="AH5356">
        <f>IF($AG5356=1,SUMPRODUCT(--($AK$2:$AK$6001&lt;$AK5356))+1,"")</f>
        <v/>
      </c>
      <c r="AI5356">
        <f>IF($C5356="","",IF(OR($N5356=TRUE(),$N5356="TRUE"),1,0))</f>
        <v/>
      </c>
      <c r="AJ5356">
        <f>IF($C5356="","",IF($T5356="Yes",1,0))</f>
        <v/>
      </c>
      <c r="AK5356">
        <f>IF($AG5356=1,IFERROR(IF(VALUE($C5356)&lt;100000000,VALUE($C5356),1000000000),IFERROR(IF(VALUE(MID($C5356,2,20))&lt;100000000,VALUE(MID($C5356,2,20)),1000000000),1000000000))+ROW()/100000,"")</f>
        <v/>
      </c>
    </row>
    <row r="5357">
      <c r="D5357" s="11" t="n"/>
      <c r="K5357" s="7">
        <f>IF($C5357="","",J5357*W5357/100)</f>
        <v/>
      </c>
      <c r="Q5357" s="7" t="n"/>
      <c r="R5357" s="7" t="n"/>
      <c r="U5357">
        <f>IF($C5357="","",IF($AJ5357=1,0,IF($AI5357=1,Settings!$C$6,Settings!$C$7))*100)</f>
        <v/>
      </c>
      <c r="V5357" s="7">
        <f>IF($C5357="","",R5357*U5357/100)</f>
        <v/>
      </c>
      <c r="W5357" s="7">
        <f>IF($C5357="","",R5357-V5357)</f>
        <v/>
      </c>
      <c r="X5357" s="7">
        <f>IF($C5357="","",W5357-K5357)</f>
        <v/>
      </c>
      <c r="AB5357" s="7" t="n"/>
      <c r="AE5357" s="11" t="n"/>
      <c r="AG5357">
        <f>IF($C5357="","",IF(COUNTIF($C$2:$C5357,$C5357)=1,1,0))</f>
        <v/>
      </c>
      <c r="AH5357">
        <f>IF($AG5357=1,SUMPRODUCT(--($AK$2:$AK$6001&lt;$AK5357))+1,"")</f>
        <v/>
      </c>
      <c r="AI5357">
        <f>IF($C5357="","",IF(OR($N5357=TRUE(),$N5357="TRUE"),1,0))</f>
        <v/>
      </c>
      <c r="AJ5357">
        <f>IF($C5357="","",IF($T5357="Yes",1,0))</f>
        <v/>
      </c>
      <c r="AK5357">
        <f>IF($AG5357=1,IFERROR(IF(VALUE($C5357)&lt;100000000,VALUE($C5357),1000000000),IFERROR(IF(VALUE(MID($C5357,2,20))&lt;100000000,VALUE(MID($C5357,2,20)),1000000000),1000000000))+ROW()/100000,"")</f>
        <v/>
      </c>
    </row>
    <row r="5358">
      <c r="D5358" s="11" t="n"/>
      <c r="K5358" s="7">
        <f>IF($C5358="","",J5358*W5358/100)</f>
        <v/>
      </c>
      <c r="Q5358" s="7" t="n"/>
      <c r="R5358" s="7" t="n"/>
      <c r="U5358">
        <f>IF($C5358="","",IF($AJ5358=1,0,IF($AI5358=1,Settings!$C$6,Settings!$C$7))*100)</f>
        <v/>
      </c>
      <c r="V5358" s="7">
        <f>IF($C5358="","",R5358*U5358/100)</f>
        <v/>
      </c>
      <c r="W5358" s="7">
        <f>IF($C5358="","",R5358-V5358)</f>
        <v/>
      </c>
      <c r="X5358" s="7">
        <f>IF($C5358="","",W5358-K5358)</f>
        <v/>
      </c>
      <c r="AB5358" s="7" t="n"/>
      <c r="AE5358" s="11" t="n"/>
      <c r="AG5358">
        <f>IF($C5358="","",IF(COUNTIF($C$2:$C5358,$C5358)=1,1,0))</f>
        <v/>
      </c>
      <c r="AH5358">
        <f>IF($AG5358=1,SUMPRODUCT(--($AK$2:$AK$6001&lt;$AK5358))+1,"")</f>
        <v/>
      </c>
      <c r="AI5358">
        <f>IF($C5358="","",IF(OR($N5358=TRUE(),$N5358="TRUE"),1,0))</f>
        <v/>
      </c>
      <c r="AJ5358">
        <f>IF($C5358="","",IF($T5358="Yes",1,0))</f>
        <v/>
      </c>
      <c r="AK5358">
        <f>IF($AG5358=1,IFERROR(IF(VALUE($C5358)&lt;100000000,VALUE($C5358),1000000000),IFERROR(IF(VALUE(MID($C5358,2,20))&lt;100000000,VALUE(MID($C5358,2,20)),1000000000),1000000000))+ROW()/100000,"")</f>
        <v/>
      </c>
    </row>
    <row r="5359">
      <c r="D5359" s="11" t="n"/>
      <c r="K5359" s="7">
        <f>IF($C5359="","",J5359*W5359/100)</f>
        <v/>
      </c>
      <c r="Q5359" s="7" t="n"/>
      <c r="R5359" s="7" t="n"/>
      <c r="U5359">
        <f>IF($C5359="","",IF($AJ5359=1,0,IF($AI5359=1,Settings!$C$6,Settings!$C$7))*100)</f>
        <v/>
      </c>
      <c r="V5359" s="7">
        <f>IF($C5359="","",R5359*U5359/100)</f>
        <v/>
      </c>
      <c r="W5359" s="7">
        <f>IF($C5359="","",R5359-V5359)</f>
        <v/>
      </c>
      <c r="X5359" s="7">
        <f>IF($C5359="","",W5359-K5359)</f>
        <v/>
      </c>
      <c r="AB5359" s="7" t="n"/>
      <c r="AE5359" s="11" t="n"/>
      <c r="AG5359">
        <f>IF($C5359="","",IF(COUNTIF($C$2:$C5359,$C5359)=1,1,0))</f>
        <v/>
      </c>
      <c r="AH5359">
        <f>IF($AG5359=1,SUMPRODUCT(--($AK$2:$AK$6001&lt;$AK5359))+1,"")</f>
        <v/>
      </c>
      <c r="AI5359">
        <f>IF($C5359="","",IF(OR($N5359=TRUE(),$N5359="TRUE"),1,0))</f>
        <v/>
      </c>
      <c r="AJ5359">
        <f>IF($C5359="","",IF($T5359="Yes",1,0))</f>
        <v/>
      </c>
      <c r="AK5359">
        <f>IF($AG5359=1,IFERROR(IF(VALUE($C5359)&lt;100000000,VALUE($C5359),1000000000),IFERROR(IF(VALUE(MID($C5359,2,20))&lt;100000000,VALUE(MID($C5359,2,20)),1000000000),1000000000))+ROW()/100000,"")</f>
        <v/>
      </c>
    </row>
    <row r="5360">
      <c r="D5360" s="11" t="n"/>
      <c r="K5360" s="7">
        <f>IF($C5360="","",J5360*W5360/100)</f>
        <v/>
      </c>
      <c r="Q5360" s="7" t="n"/>
      <c r="R5360" s="7" t="n"/>
      <c r="U5360">
        <f>IF($C5360="","",IF($AJ5360=1,0,IF($AI5360=1,Settings!$C$6,Settings!$C$7))*100)</f>
        <v/>
      </c>
      <c r="V5360" s="7">
        <f>IF($C5360="","",R5360*U5360/100)</f>
        <v/>
      </c>
      <c r="W5360" s="7">
        <f>IF($C5360="","",R5360-V5360)</f>
        <v/>
      </c>
      <c r="X5360" s="7">
        <f>IF($C5360="","",W5360-K5360)</f>
        <v/>
      </c>
      <c r="AB5360" s="7" t="n"/>
      <c r="AE5360" s="11" t="n"/>
      <c r="AG5360">
        <f>IF($C5360="","",IF(COUNTIF($C$2:$C5360,$C5360)=1,1,0))</f>
        <v/>
      </c>
      <c r="AH5360">
        <f>IF($AG5360=1,SUMPRODUCT(--($AK$2:$AK$6001&lt;$AK5360))+1,"")</f>
        <v/>
      </c>
      <c r="AI5360">
        <f>IF($C5360="","",IF(OR($N5360=TRUE(),$N5360="TRUE"),1,0))</f>
        <v/>
      </c>
      <c r="AJ5360">
        <f>IF($C5360="","",IF($T5360="Yes",1,0))</f>
        <v/>
      </c>
      <c r="AK5360">
        <f>IF($AG5360=1,IFERROR(IF(VALUE($C5360)&lt;100000000,VALUE($C5360),1000000000),IFERROR(IF(VALUE(MID($C5360,2,20))&lt;100000000,VALUE(MID($C5360,2,20)),1000000000),1000000000))+ROW()/100000,"")</f>
        <v/>
      </c>
    </row>
    <row r="5361">
      <c r="D5361" s="11" t="n"/>
      <c r="K5361" s="7">
        <f>IF($C5361="","",J5361*W5361/100)</f>
        <v/>
      </c>
      <c r="Q5361" s="7" t="n"/>
      <c r="R5361" s="7" t="n"/>
      <c r="U5361">
        <f>IF($C5361="","",IF($AJ5361=1,0,IF($AI5361=1,Settings!$C$6,Settings!$C$7))*100)</f>
        <v/>
      </c>
      <c r="V5361" s="7">
        <f>IF($C5361="","",R5361*U5361/100)</f>
        <v/>
      </c>
      <c r="W5361" s="7">
        <f>IF($C5361="","",R5361-V5361)</f>
        <v/>
      </c>
      <c r="X5361" s="7">
        <f>IF($C5361="","",W5361-K5361)</f>
        <v/>
      </c>
      <c r="AB5361" s="7" t="n"/>
      <c r="AE5361" s="11" t="n"/>
      <c r="AG5361">
        <f>IF($C5361="","",IF(COUNTIF($C$2:$C5361,$C5361)=1,1,0))</f>
        <v/>
      </c>
      <c r="AH5361">
        <f>IF($AG5361=1,SUMPRODUCT(--($AK$2:$AK$6001&lt;$AK5361))+1,"")</f>
        <v/>
      </c>
      <c r="AI5361">
        <f>IF($C5361="","",IF(OR($N5361=TRUE(),$N5361="TRUE"),1,0))</f>
        <v/>
      </c>
      <c r="AJ5361">
        <f>IF($C5361="","",IF($T5361="Yes",1,0))</f>
        <v/>
      </c>
      <c r="AK5361">
        <f>IF($AG5361=1,IFERROR(IF(VALUE($C5361)&lt;100000000,VALUE($C5361),1000000000),IFERROR(IF(VALUE(MID($C5361,2,20))&lt;100000000,VALUE(MID($C5361,2,20)),1000000000),1000000000))+ROW()/100000,"")</f>
        <v/>
      </c>
    </row>
    <row r="5362">
      <c r="D5362" s="11" t="n"/>
      <c r="K5362" s="7">
        <f>IF($C5362="","",J5362*W5362/100)</f>
        <v/>
      </c>
      <c r="Q5362" s="7" t="n"/>
      <c r="R5362" s="7" t="n"/>
      <c r="U5362">
        <f>IF($C5362="","",IF($AJ5362=1,0,IF($AI5362=1,Settings!$C$6,Settings!$C$7))*100)</f>
        <v/>
      </c>
      <c r="V5362" s="7">
        <f>IF($C5362="","",R5362*U5362/100)</f>
        <v/>
      </c>
      <c r="W5362" s="7">
        <f>IF($C5362="","",R5362-V5362)</f>
        <v/>
      </c>
      <c r="X5362" s="7">
        <f>IF($C5362="","",W5362-K5362)</f>
        <v/>
      </c>
      <c r="AB5362" s="7" t="n"/>
      <c r="AE5362" s="11" t="n"/>
      <c r="AG5362">
        <f>IF($C5362="","",IF(COUNTIF($C$2:$C5362,$C5362)=1,1,0))</f>
        <v/>
      </c>
      <c r="AH5362">
        <f>IF($AG5362=1,SUMPRODUCT(--($AK$2:$AK$6001&lt;$AK5362))+1,"")</f>
        <v/>
      </c>
      <c r="AI5362">
        <f>IF($C5362="","",IF(OR($N5362=TRUE(),$N5362="TRUE"),1,0))</f>
        <v/>
      </c>
      <c r="AJ5362">
        <f>IF($C5362="","",IF($T5362="Yes",1,0))</f>
        <v/>
      </c>
      <c r="AK5362">
        <f>IF($AG5362=1,IFERROR(IF(VALUE($C5362)&lt;100000000,VALUE($C5362),1000000000),IFERROR(IF(VALUE(MID($C5362,2,20))&lt;100000000,VALUE(MID($C5362,2,20)),1000000000),1000000000))+ROW()/100000,"")</f>
        <v/>
      </c>
    </row>
    <row r="5363">
      <c r="D5363" s="11" t="n"/>
      <c r="K5363" s="7">
        <f>IF($C5363="","",J5363*W5363/100)</f>
        <v/>
      </c>
      <c r="Q5363" s="7" t="n"/>
      <c r="R5363" s="7" t="n"/>
      <c r="U5363">
        <f>IF($C5363="","",IF($AJ5363=1,0,IF($AI5363=1,Settings!$C$6,Settings!$C$7))*100)</f>
        <v/>
      </c>
      <c r="V5363" s="7">
        <f>IF($C5363="","",R5363*U5363/100)</f>
        <v/>
      </c>
      <c r="W5363" s="7">
        <f>IF($C5363="","",R5363-V5363)</f>
        <v/>
      </c>
      <c r="X5363" s="7">
        <f>IF($C5363="","",W5363-K5363)</f>
        <v/>
      </c>
      <c r="AB5363" s="7" t="n"/>
      <c r="AE5363" s="11" t="n"/>
      <c r="AG5363">
        <f>IF($C5363="","",IF(COUNTIF($C$2:$C5363,$C5363)=1,1,0))</f>
        <v/>
      </c>
      <c r="AH5363">
        <f>IF($AG5363=1,SUMPRODUCT(--($AK$2:$AK$6001&lt;$AK5363))+1,"")</f>
        <v/>
      </c>
      <c r="AI5363">
        <f>IF($C5363="","",IF(OR($N5363=TRUE(),$N5363="TRUE"),1,0))</f>
        <v/>
      </c>
      <c r="AJ5363">
        <f>IF($C5363="","",IF($T5363="Yes",1,0))</f>
        <v/>
      </c>
      <c r="AK5363">
        <f>IF($AG5363=1,IFERROR(IF(VALUE($C5363)&lt;100000000,VALUE($C5363),1000000000),IFERROR(IF(VALUE(MID($C5363,2,20))&lt;100000000,VALUE(MID($C5363,2,20)),1000000000),1000000000))+ROW()/100000,"")</f>
        <v/>
      </c>
    </row>
    <row r="5364">
      <c r="D5364" s="11" t="n"/>
      <c r="K5364" s="7">
        <f>IF($C5364="","",J5364*W5364/100)</f>
        <v/>
      </c>
      <c r="Q5364" s="7" t="n"/>
      <c r="R5364" s="7" t="n"/>
      <c r="U5364">
        <f>IF($C5364="","",IF($AJ5364=1,0,IF($AI5364=1,Settings!$C$6,Settings!$C$7))*100)</f>
        <v/>
      </c>
      <c r="V5364" s="7">
        <f>IF($C5364="","",R5364*U5364/100)</f>
        <v/>
      </c>
      <c r="W5364" s="7">
        <f>IF($C5364="","",R5364-V5364)</f>
        <v/>
      </c>
      <c r="X5364" s="7">
        <f>IF($C5364="","",W5364-K5364)</f>
        <v/>
      </c>
      <c r="AB5364" s="7" t="n"/>
      <c r="AE5364" s="11" t="n"/>
      <c r="AG5364">
        <f>IF($C5364="","",IF(COUNTIF($C$2:$C5364,$C5364)=1,1,0))</f>
        <v/>
      </c>
      <c r="AH5364">
        <f>IF($AG5364=1,SUMPRODUCT(--($AK$2:$AK$6001&lt;$AK5364))+1,"")</f>
        <v/>
      </c>
      <c r="AI5364">
        <f>IF($C5364="","",IF(OR($N5364=TRUE(),$N5364="TRUE"),1,0))</f>
        <v/>
      </c>
      <c r="AJ5364">
        <f>IF($C5364="","",IF($T5364="Yes",1,0))</f>
        <v/>
      </c>
      <c r="AK5364">
        <f>IF($AG5364=1,IFERROR(IF(VALUE($C5364)&lt;100000000,VALUE($C5364),1000000000),IFERROR(IF(VALUE(MID($C5364,2,20))&lt;100000000,VALUE(MID($C5364,2,20)),1000000000),1000000000))+ROW()/100000,"")</f>
        <v/>
      </c>
    </row>
    <row r="5365">
      <c r="D5365" s="11" t="n"/>
      <c r="K5365" s="7">
        <f>IF($C5365="","",J5365*W5365/100)</f>
        <v/>
      </c>
      <c r="Q5365" s="7" t="n"/>
      <c r="R5365" s="7" t="n"/>
      <c r="U5365">
        <f>IF($C5365="","",IF($AJ5365=1,0,IF($AI5365=1,Settings!$C$6,Settings!$C$7))*100)</f>
        <v/>
      </c>
      <c r="V5365" s="7">
        <f>IF($C5365="","",R5365*U5365/100)</f>
        <v/>
      </c>
      <c r="W5365" s="7">
        <f>IF($C5365="","",R5365-V5365)</f>
        <v/>
      </c>
      <c r="X5365" s="7">
        <f>IF($C5365="","",W5365-K5365)</f>
        <v/>
      </c>
      <c r="AB5365" s="7" t="n"/>
      <c r="AE5365" s="11" t="n"/>
      <c r="AG5365">
        <f>IF($C5365="","",IF(COUNTIF($C$2:$C5365,$C5365)=1,1,0))</f>
        <v/>
      </c>
      <c r="AH5365">
        <f>IF($AG5365=1,SUMPRODUCT(--($AK$2:$AK$6001&lt;$AK5365))+1,"")</f>
        <v/>
      </c>
      <c r="AI5365">
        <f>IF($C5365="","",IF(OR($N5365=TRUE(),$N5365="TRUE"),1,0))</f>
        <v/>
      </c>
      <c r="AJ5365">
        <f>IF($C5365="","",IF($T5365="Yes",1,0))</f>
        <v/>
      </c>
      <c r="AK5365">
        <f>IF($AG5365=1,IFERROR(IF(VALUE($C5365)&lt;100000000,VALUE($C5365),1000000000),IFERROR(IF(VALUE(MID($C5365,2,20))&lt;100000000,VALUE(MID($C5365,2,20)),1000000000),1000000000))+ROW()/100000,"")</f>
        <v/>
      </c>
    </row>
    <row r="5366">
      <c r="D5366" s="11" t="n"/>
      <c r="K5366" s="7">
        <f>IF($C5366="","",J5366*W5366/100)</f>
        <v/>
      </c>
      <c r="Q5366" s="7" t="n"/>
      <c r="R5366" s="7" t="n"/>
      <c r="U5366">
        <f>IF($C5366="","",IF($AJ5366=1,0,IF($AI5366=1,Settings!$C$6,Settings!$C$7))*100)</f>
        <v/>
      </c>
      <c r="V5366" s="7">
        <f>IF($C5366="","",R5366*U5366/100)</f>
        <v/>
      </c>
      <c r="W5366" s="7">
        <f>IF($C5366="","",R5366-V5366)</f>
        <v/>
      </c>
      <c r="X5366" s="7">
        <f>IF($C5366="","",W5366-K5366)</f>
        <v/>
      </c>
      <c r="AB5366" s="7" t="n"/>
      <c r="AE5366" s="11" t="n"/>
      <c r="AG5366">
        <f>IF($C5366="","",IF(COUNTIF($C$2:$C5366,$C5366)=1,1,0))</f>
        <v/>
      </c>
      <c r="AH5366">
        <f>IF($AG5366=1,SUMPRODUCT(--($AK$2:$AK$6001&lt;$AK5366))+1,"")</f>
        <v/>
      </c>
      <c r="AI5366">
        <f>IF($C5366="","",IF(OR($N5366=TRUE(),$N5366="TRUE"),1,0))</f>
        <v/>
      </c>
      <c r="AJ5366">
        <f>IF($C5366="","",IF($T5366="Yes",1,0))</f>
        <v/>
      </c>
      <c r="AK5366">
        <f>IF($AG5366=1,IFERROR(IF(VALUE($C5366)&lt;100000000,VALUE($C5366),1000000000),IFERROR(IF(VALUE(MID($C5366,2,20))&lt;100000000,VALUE(MID($C5366,2,20)),1000000000),1000000000))+ROW()/100000,"")</f>
        <v/>
      </c>
    </row>
    <row r="5367">
      <c r="D5367" s="11" t="n"/>
      <c r="K5367" s="7">
        <f>IF($C5367="","",J5367*W5367/100)</f>
        <v/>
      </c>
      <c r="Q5367" s="7" t="n"/>
      <c r="R5367" s="7" t="n"/>
      <c r="U5367">
        <f>IF($C5367="","",IF($AJ5367=1,0,IF($AI5367=1,Settings!$C$6,Settings!$C$7))*100)</f>
        <v/>
      </c>
      <c r="V5367" s="7">
        <f>IF($C5367="","",R5367*U5367/100)</f>
        <v/>
      </c>
      <c r="W5367" s="7">
        <f>IF($C5367="","",R5367-V5367)</f>
        <v/>
      </c>
      <c r="X5367" s="7">
        <f>IF($C5367="","",W5367-K5367)</f>
        <v/>
      </c>
      <c r="AB5367" s="7" t="n"/>
      <c r="AE5367" s="11" t="n"/>
      <c r="AG5367">
        <f>IF($C5367="","",IF(COUNTIF($C$2:$C5367,$C5367)=1,1,0))</f>
        <v/>
      </c>
      <c r="AH5367">
        <f>IF($AG5367=1,SUMPRODUCT(--($AK$2:$AK$6001&lt;$AK5367))+1,"")</f>
        <v/>
      </c>
      <c r="AI5367">
        <f>IF($C5367="","",IF(OR($N5367=TRUE(),$N5367="TRUE"),1,0))</f>
        <v/>
      </c>
      <c r="AJ5367">
        <f>IF($C5367="","",IF($T5367="Yes",1,0))</f>
        <v/>
      </c>
      <c r="AK5367">
        <f>IF($AG5367=1,IFERROR(IF(VALUE($C5367)&lt;100000000,VALUE($C5367),1000000000),IFERROR(IF(VALUE(MID($C5367,2,20))&lt;100000000,VALUE(MID($C5367,2,20)),1000000000),1000000000))+ROW()/100000,"")</f>
        <v/>
      </c>
    </row>
    <row r="5368">
      <c r="D5368" s="11" t="n"/>
      <c r="K5368" s="7">
        <f>IF($C5368="","",J5368*W5368/100)</f>
        <v/>
      </c>
      <c r="Q5368" s="7" t="n"/>
      <c r="R5368" s="7" t="n"/>
      <c r="U5368">
        <f>IF($C5368="","",IF($AJ5368=1,0,IF($AI5368=1,Settings!$C$6,Settings!$C$7))*100)</f>
        <v/>
      </c>
      <c r="V5368" s="7">
        <f>IF($C5368="","",R5368*U5368/100)</f>
        <v/>
      </c>
      <c r="W5368" s="7">
        <f>IF($C5368="","",R5368-V5368)</f>
        <v/>
      </c>
      <c r="X5368" s="7">
        <f>IF($C5368="","",W5368-K5368)</f>
        <v/>
      </c>
      <c r="AB5368" s="7" t="n"/>
      <c r="AE5368" s="11" t="n"/>
      <c r="AG5368">
        <f>IF($C5368="","",IF(COUNTIF($C$2:$C5368,$C5368)=1,1,0))</f>
        <v/>
      </c>
      <c r="AH5368">
        <f>IF($AG5368=1,SUMPRODUCT(--($AK$2:$AK$6001&lt;$AK5368))+1,"")</f>
        <v/>
      </c>
      <c r="AI5368">
        <f>IF($C5368="","",IF(OR($N5368=TRUE(),$N5368="TRUE"),1,0))</f>
        <v/>
      </c>
      <c r="AJ5368">
        <f>IF($C5368="","",IF($T5368="Yes",1,0))</f>
        <v/>
      </c>
      <c r="AK5368">
        <f>IF($AG5368=1,IFERROR(IF(VALUE($C5368)&lt;100000000,VALUE($C5368),1000000000),IFERROR(IF(VALUE(MID($C5368,2,20))&lt;100000000,VALUE(MID($C5368,2,20)),1000000000),1000000000))+ROW()/100000,"")</f>
        <v/>
      </c>
    </row>
    <row r="5369">
      <c r="D5369" s="11" t="n"/>
      <c r="K5369" s="7">
        <f>IF($C5369="","",J5369*W5369/100)</f>
        <v/>
      </c>
      <c r="Q5369" s="7" t="n"/>
      <c r="R5369" s="7" t="n"/>
      <c r="U5369">
        <f>IF($C5369="","",IF($AJ5369=1,0,IF($AI5369=1,Settings!$C$6,Settings!$C$7))*100)</f>
        <v/>
      </c>
      <c r="V5369" s="7">
        <f>IF($C5369="","",R5369*U5369/100)</f>
        <v/>
      </c>
      <c r="W5369" s="7">
        <f>IF($C5369="","",R5369-V5369)</f>
        <v/>
      </c>
      <c r="X5369" s="7">
        <f>IF($C5369="","",W5369-K5369)</f>
        <v/>
      </c>
      <c r="AB5369" s="7" t="n"/>
      <c r="AE5369" s="11" t="n"/>
      <c r="AG5369">
        <f>IF($C5369="","",IF(COUNTIF($C$2:$C5369,$C5369)=1,1,0))</f>
        <v/>
      </c>
      <c r="AH5369">
        <f>IF($AG5369=1,SUMPRODUCT(--($AK$2:$AK$6001&lt;$AK5369))+1,"")</f>
        <v/>
      </c>
      <c r="AI5369">
        <f>IF($C5369="","",IF(OR($N5369=TRUE(),$N5369="TRUE"),1,0))</f>
        <v/>
      </c>
      <c r="AJ5369">
        <f>IF($C5369="","",IF($T5369="Yes",1,0))</f>
        <v/>
      </c>
      <c r="AK5369">
        <f>IF($AG5369=1,IFERROR(IF(VALUE($C5369)&lt;100000000,VALUE($C5369),1000000000),IFERROR(IF(VALUE(MID($C5369,2,20))&lt;100000000,VALUE(MID($C5369,2,20)),1000000000),1000000000))+ROW()/100000,"")</f>
        <v/>
      </c>
    </row>
    <row r="5370">
      <c r="D5370" s="11" t="n"/>
      <c r="K5370" s="7">
        <f>IF($C5370="","",J5370*W5370/100)</f>
        <v/>
      </c>
      <c r="Q5370" s="7" t="n"/>
      <c r="R5370" s="7" t="n"/>
      <c r="U5370">
        <f>IF($C5370="","",IF($AJ5370=1,0,IF($AI5370=1,Settings!$C$6,Settings!$C$7))*100)</f>
        <v/>
      </c>
      <c r="V5370" s="7">
        <f>IF($C5370="","",R5370*U5370/100)</f>
        <v/>
      </c>
      <c r="W5370" s="7">
        <f>IF($C5370="","",R5370-V5370)</f>
        <v/>
      </c>
      <c r="X5370" s="7">
        <f>IF($C5370="","",W5370-K5370)</f>
        <v/>
      </c>
      <c r="AB5370" s="7" t="n"/>
      <c r="AE5370" s="11" t="n"/>
      <c r="AG5370">
        <f>IF($C5370="","",IF(COUNTIF($C$2:$C5370,$C5370)=1,1,0))</f>
        <v/>
      </c>
      <c r="AH5370">
        <f>IF($AG5370=1,SUMPRODUCT(--($AK$2:$AK$6001&lt;$AK5370))+1,"")</f>
        <v/>
      </c>
      <c r="AI5370">
        <f>IF($C5370="","",IF(OR($N5370=TRUE(),$N5370="TRUE"),1,0))</f>
        <v/>
      </c>
      <c r="AJ5370">
        <f>IF($C5370="","",IF($T5370="Yes",1,0))</f>
        <v/>
      </c>
      <c r="AK5370">
        <f>IF($AG5370=1,IFERROR(IF(VALUE($C5370)&lt;100000000,VALUE($C5370),1000000000),IFERROR(IF(VALUE(MID($C5370,2,20))&lt;100000000,VALUE(MID($C5370,2,20)),1000000000),1000000000))+ROW()/100000,"")</f>
        <v/>
      </c>
    </row>
    <row r="5371">
      <c r="D5371" s="11" t="n"/>
      <c r="K5371" s="7">
        <f>IF($C5371="","",J5371*W5371/100)</f>
        <v/>
      </c>
      <c r="Q5371" s="7" t="n"/>
      <c r="R5371" s="7" t="n"/>
      <c r="U5371">
        <f>IF($C5371="","",IF($AJ5371=1,0,IF($AI5371=1,Settings!$C$6,Settings!$C$7))*100)</f>
        <v/>
      </c>
      <c r="V5371" s="7">
        <f>IF($C5371="","",R5371*U5371/100)</f>
        <v/>
      </c>
      <c r="W5371" s="7">
        <f>IF($C5371="","",R5371-V5371)</f>
        <v/>
      </c>
      <c r="X5371" s="7">
        <f>IF($C5371="","",W5371-K5371)</f>
        <v/>
      </c>
      <c r="AB5371" s="7" t="n"/>
      <c r="AE5371" s="11" t="n"/>
      <c r="AG5371">
        <f>IF($C5371="","",IF(COUNTIF($C$2:$C5371,$C5371)=1,1,0))</f>
        <v/>
      </c>
      <c r="AH5371">
        <f>IF($AG5371=1,SUMPRODUCT(--($AK$2:$AK$6001&lt;$AK5371))+1,"")</f>
        <v/>
      </c>
      <c r="AI5371">
        <f>IF($C5371="","",IF(OR($N5371=TRUE(),$N5371="TRUE"),1,0))</f>
        <v/>
      </c>
      <c r="AJ5371">
        <f>IF($C5371="","",IF($T5371="Yes",1,0))</f>
        <v/>
      </c>
      <c r="AK5371">
        <f>IF($AG5371=1,IFERROR(IF(VALUE($C5371)&lt;100000000,VALUE($C5371),1000000000),IFERROR(IF(VALUE(MID($C5371,2,20))&lt;100000000,VALUE(MID($C5371,2,20)),1000000000),1000000000))+ROW()/100000,"")</f>
        <v/>
      </c>
    </row>
    <row r="5372">
      <c r="D5372" s="11" t="n"/>
      <c r="K5372" s="7">
        <f>IF($C5372="","",J5372*W5372/100)</f>
        <v/>
      </c>
      <c r="Q5372" s="7" t="n"/>
      <c r="R5372" s="7" t="n"/>
      <c r="U5372">
        <f>IF($C5372="","",IF($AJ5372=1,0,IF($AI5372=1,Settings!$C$6,Settings!$C$7))*100)</f>
        <v/>
      </c>
      <c r="V5372" s="7">
        <f>IF($C5372="","",R5372*U5372/100)</f>
        <v/>
      </c>
      <c r="W5372" s="7">
        <f>IF($C5372="","",R5372-V5372)</f>
        <v/>
      </c>
      <c r="X5372" s="7">
        <f>IF($C5372="","",W5372-K5372)</f>
        <v/>
      </c>
      <c r="AB5372" s="7" t="n"/>
      <c r="AE5372" s="11" t="n"/>
      <c r="AG5372">
        <f>IF($C5372="","",IF(COUNTIF($C$2:$C5372,$C5372)=1,1,0))</f>
        <v/>
      </c>
      <c r="AH5372">
        <f>IF($AG5372=1,SUMPRODUCT(--($AK$2:$AK$6001&lt;$AK5372))+1,"")</f>
        <v/>
      </c>
      <c r="AI5372">
        <f>IF($C5372="","",IF(OR($N5372=TRUE(),$N5372="TRUE"),1,0))</f>
        <v/>
      </c>
      <c r="AJ5372">
        <f>IF($C5372="","",IF($T5372="Yes",1,0))</f>
        <v/>
      </c>
      <c r="AK5372">
        <f>IF($AG5372=1,IFERROR(IF(VALUE($C5372)&lt;100000000,VALUE($C5372),1000000000),IFERROR(IF(VALUE(MID($C5372,2,20))&lt;100000000,VALUE(MID($C5372,2,20)),1000000000),1000000000))+ROW()/100000,"")</f>
        <v/>
      </c>
    </row>
    <row r="5373">
      <c r="D5373" s="11" t="n"/>
      <c r="K5373" s="7">
        <f>IF($C5373="","",J5373*W5373/100)</f>
        <v/>
      </c>
      <c r="Q5373" s="7" t="n"/>
      <c r="R5373" s="7" t="n"/>
      <c r="U5373">
        <f>IF($C5373="","",IF($AJ5373=1,0,IF($AI5373=1,Settings!$C$6,Settings!$C$7))*100)</f>
        <v/>
      </c>
      <c r="V5373" s="7">
        <f>IF($C5373="","",R5373*U5373/100)</f>
        <v/>
      </c>
      <c r="W5373" s="7">
        <f>IF($C5373="","",R5373-V5373)</f>
        <v/>
      </c>
      <c r="X5373" s="7">
        <f>IF($C5373="","",W5373-K5373)</f>
        <v/>
      </c>
      <c r="AB5373" s="7" t="n"/>
      <c r="AE5373" s="11" t="n"/>
      <c r="AG5373">
        <f>IF($C5373="","",IF(COUNTIF($C$2:$C5373,$C5373)=1,1,0))</f>
        <v/>
      </c>
      <c r="AH5373">
        <f>IF($AG5373=1,SUMPRODUCT(--($AK$2:$AK$6001&lt;$AK5373))+1,"")</f>
        <v/>
      </c>
      <c r="AI5373">
        <f>IF($C5373="","",IF(OR($N5373=TRUE(),$N5373="TRUE"),1,0))</f>
        <v/>
      </c>
      <c r="AJ5373">
        <f>IF($C5373="","",IF($T5373="Yes",1,0))</f>
        <v/>
      </c>
      <c r="AK5373">
        <f>IF($AG5373=1,IFERROR(IF(VALUE($C5373)&lt;100000000,VALUE($C5373),1000000000),IFERROR(IF(VALUE(MID($C5373,2,20))&lt;100000000,VALUE(MID($C5373,2,20)),1000000000),1000000000))+ROW()/100000,"")</f>
        <v/>
      </c>
    </row>
    <row r="5374">
      <c r="D5374" s="11" t="n"/>
      <c r="K5374" s="7">
        <f>IF($C5374="","",J5374*W5374/100)</f>
        <v/>
      </c>
      <c r="Q5374" s="7" t="n"/>
      <c r="R5374" s="7" t="n"/>
      <c r="U5374">
        <f>IF($C5374="","",IF($AJ5374=1,0,IF($AI5374=1,Settings!$C$6,Settings!$C$7))*100)</f>
        <v/>
      </c>
      <c r="V5374" s="7">
        <f>IF($C5374="","",R5374*U5374/100)</f>
        <v/>
      </c>
      <c r="W5374" s="7">
        <f>IF($C5374="","",R5374-V5374)</f>
        <v/>
      </c>
      <c r="X5374" s="7">
        <f>IF($C5374="","",W5374-K5374)</f>
        <v/>
      </c>
      <c r="AB5374" s="7" t="n"/>
      <c r="AE5374" s="11" t="n"/>
      <c r="AG5374">
        <f>IF($C5374="","",IF(COUNTIF($C$2:$C5374,$C5374)=1,1,0))</f>
        <v/>
      </c>
      <c r="AH5374">
        <f>IF($AG5374=1,SUMPRODUCT(--($AK$2:$AK$6001&lt;$AK5374))+1,"")</f>
        <v/>
      </c>
      <c r="AI5374">
        <f>IF($C5374="","",IF(OR($N5374=TRUE(),$N5374="TRUE"),1,0))</f>
        <v/>
      </c>
      <c r="AJ5374">
        <f>IF($C5374="","",IF($T5374="Yes",1,0))</f>
        <v/>
      </c>
      <c r="AK5374">
        <f>IF($AG5374=1,IFERROR(IF(VALUE($C5374)&lt;100000000,VALUE($C5374),1000000000),IFERROR(IF(VALUE(MID($C5374,2,20))&lt;100000000,VALUE(MID($C5374,2,20)),1000000000),1000000000))+ROW()/100000,"")</f>
        <v/>
      </c>
    </row>
    <row r="5375">
      <c r="D5375" s="11" t="n"/>
      <c r="K5375" s="7">
        <f>IF($C5375="","",J5375*W5375/100)</f>
        <v/>
      </c>
      <c r="Q5375" s="7" t="n"/>
      <c r="R5375" s="7" t="n"/>
      <c r="U5375">
        <f>IF($C5375="","",IF($AJ5375=1,0,IF($AI5375=1,Settings!$C$6,Settings!$C$7))*100)</f>
        <v/>
      </c>
      <c r="V5375" s="7">
        <f>IF($C5375="","",R5375*U5375/100)</f>
        <v/>
      </c>
      <c r="W5375" s="7">
        <f>IF($C5375="","",R5375-V5375)</f>
        <v/>
      </c>
      <c r="X5375" s="7">
        <f>IF($C5375="","",W5375-K5375)</f>
        <v/>
      </c>
      <c r="AB5375" s="7" t="n"/>
      <c r="AE5375" s="11" t="n"/>
      <c r="AG5375">
        <f>IF($C5375="","",IF(COUNTIF($C$2:$C5375,$C5375)=1,1,0))</f>
        <v/>
      </c>
      <c r="AH5375">
        <f>IF($AG5375=1,SUMPRODUCT(--($AK$2:$AK$6001&lt;$AK5375))+1,"")</f>
        <v/>
      </c>
      <c r="AI5375">
        <f>IF($C5375="","",IF(OR($N5375=TRUE(),$N5375="TRUE"),1,0))</f>
        <v/>
      </c>
      <c r="AJ5375">
        <f>IF($C5375="","",IF($T5375="Yes",1,0))</f>
        <v/>
      </c>
      <c r="AK5375">
        <f>IF($AG5375=1,IFERROR(IF(VALUE($C5375)&lt;100000000,VALUE($C5375),1000000000),IFERROR(IF(VALUE(MID($C5375,2,20))&lt;100000000,VALUE(MID($C5375,2,20)),1000000000),1000000000))+ROW()/100000,"")</f>
        <v/>
      </c>
    </row>
    <row r="5376">
      <c r="D5376" s="11" t="n"/>
      <c r="K5376" s="7">
        <f>IF($C5376="","",J5376*W5376/100)</f>
        <v/>
      </c>
      <c r="Q5376" s="7" t="n"/>
      <c r="R5376" s="7" t="n"/>
      <c r="U5376">
        <f>IF($C5376="","",IF($AJ5376=1,0,IF($AI5376=1,Settings!$C$6,Settings!$C$7))*100)</f>
        <v/>
      </c>
      <c r="V5376" s="7">
        <f>IF($C5376="","",R5376*U5376/100)</f>
        <v/>
      </c>
      <c r="W5376" s="7">
        <f>IF($C5376="","",R5376-V5376)</f>
        <v/>
      </c>
      <c r="X5376" s="7">
        <f>IF($C5376="","",W5376-K5376)</f>
        <v/>
      </c>
      <c r="AB5376" s="7" t="n"/>
      <c r="AE5376" s="11" t="n"/>
      <c r="AG5376">
        <f>IF($C5376="","",IF(COUNTIF($C$2:$C5376,$C5376)=1,1,0))</f>
        <v/>
      </c>
      <c r="AH5376">
        <f>IF($AG5376=1,SUMPRODUCT(--($AK$2:$AK$6001&lt;$AK5376))+1,"")</f>
        <v/>
      </c>
      <c r="AI5376">
        <f>IF($C5376="","",IF(OR($N5376=TRUE(),$N5376="TRUE"),1,0))</f>
        <v/>
      </c>
      <c r="AJ5376">
        <f>IF($C5376="","",IF($T5376="Yes",1,0))</f>
        <v/>
      </c>
      <c r="AK5376">
        <f>IF($AG5376=1,IFERROR(IF(VALUE($C5376)&lt;100000000,VALUE($C5376),1000000000),IFERROR(IF(VALUE(MID($C5376,2,20))&lt;100000000,VALUE(MID($C5376,2,20)),1000000000),1000000000))+ROW()/100000,"")</f>
        <v/>
      </c>
    </row>
    <row r="5377">
      <c r="D5377" s="11" t="n"/>
      <c r="K5377" s="7">
        <f>IF($C5377="","",J5377*W5377/100)</f>
        <v/>
      </c>
      <c r="Q5377" s="7" t="n"/>
      <c r="R5377" s="7" t="n"/>
      <c r="U5377">
        <f>IF($C5377="","",IF($AJ5377=1,0,IF($AI5377=1,Settings!$C$6,Settings!$C$7))*100)</f>
        <v/>
      </c>
      <c r="V5377" s="7">
        <f>IF($C5377="","",R5377*U5377/100)</f>
        <v/>
      </c>
      <c r="W5377" s="7">
        <f>IF($C5377="","",R5377-V5377)</f>
        <v/>
      </c>
      <c r="X5377" s="7">
        <f>IF($C5377="","",W5377-K5377)</f>
        <v/>
      </c>
      <c r="AB5377" s="7" t="n"/>
      <c r="AE5377" s="11" t="n"/>
      <c r="AG5377">
        <f>IF($C5377="","",IF(COUNTIF($C$2:$C5377,$C5377)=1,1,0))</f>
        <v/>
      </c>
      <c r="AH5377">
        <f>IF($AG5377=1,SUMPRODUCT(--($AK$2:$AK$6001&lt;$AK5377))+1,"")</f>
        <v/>
      </c>
      <c r="AI5377">
        <f>IF($C5377="","",IF(OR($N5377=TRUE(),$N5377="TRUE"),1,0))</f>
        <v/>
      </c>
      <c r="AJ5377">
        <f>IF($C5377="","",IF($T5377="Yes",1,0))</f>
        <v/>
      </c>
      <c r="AK5377">
        <f>IF($AG5377=1,IFERROR(IF(VALUE($C5377)&lt;100000000,VALUE($C5377),1000000000),IFERROR(IF(VALUE(MID($C5377,2,20))&lt;100000000,VALUE(MID($C5377,2,20)),1000000000),1000000000))+ROW()/100000,"")</f>
        <v/>
      </c>
    </row>
    <row r="5378">
      <c r="D5378" s="11" t="n"/>
      <c r="K5378" s="7">
        <f>IF($C5378="","",J5378*W5378/100)</f>
        <v/>
      </c>
      <c r="Q5378" s="7" t="n"/>
      <c r="R5378" s="7" t="n"/>
      <c r="U5378">
        <f>IF($C5378="","",IF($AJ5378=1,0,IF($AI5378=1,Settings!$C$6,Settings!$C$7))*100)</f>
        <v/>
      </c>
      <c r="V5378" s="7">
        <f>IF($C5378="","",R5378*U5378/100)</f>
        <v/>
      </c>
      <c r="W5378" s="7">
        <f>IF($C5378="","",R5378-V5378)</f>
        <v/>
      </c>
      <c r="X5378" s="7">
        <f>IF($C5378="","",W5378-K5378)</f>
        <v/>
      </c>
      <c r="AB5378" s="7" t="n"/>
      <c r="AE5378" s="11" t="n"/>
      <c r="AG5378">
        <f>IF($C5378="","",IF(COUNTIF($C$2:$C5378,$C5378)=1,1,0))</f>
        <v/>
      </c>
      <c r="AH5378">
        <f>IF($AG5378=1,SUMPRODUCT(--($AK$2:$AK$6001&lt;$AK5378))+1,"")</f>
        <v/>
      </c>
      <c r="AI5378">
        <f>IF($C5378="","",IF(OR($N5378=TRUE(),$N5378="TRUE"),1,0))</f>
        <v/>
      </c>
      <c r="AJ5378">
        <f>IF($C5378="","",IF($T5378="Yes",1,0))</f>
        <v/>
      </c>
      <c r="AK5378">
        <f>IF($AG5378=1,IFERROR(IF(VALUE($C5378)&lt;100000000,VALUE($C5378),1000000000),IFERROR(IF(VALUE(MID($C5378,2,20))&lt;100000000,VALUE(MID($C5378,2,20)),1000000000),1000000000))+ROW()/100000,"")</f>
        <v/>
      </c>
    </row>
    <row r="5379">
      <c r="D5379" s="11" t="n"/>
      <c r="K5379" s="7">
        <f>IF($C5379="","",J5379*W5379/100)</f>
        <v/>
      </c>
      <c r="Q5379" s="7" t="n"/>
      <c r="R5379" s="7" t="n"/>
      <c r="U5379">
        <f>IF($C5379="","",IF($AJ5379=1,0,IF($AI5379=1,Settings!$C$6,Settings!$C$7))*100)</f>
        <v/>
      </c>
      <c r="V5379" s="7">
        <f>IF($C5379="","",R5379*U5379/100)</f>
        <v/>
      </c>
      <c r="W5379" s="7">
        <f>IF($C5379="","",R5379-V5379)</f>
        <v/>
      </c>
      <c r="X5379" s="7">
        <f>IF($C5379="","",W5379-K5379)</f>
        <v/>
      </c>
      <c r="AB5379" s="7" t="n"/>
      <c r="AE5379" s="11" t="n"/>
      <c r="AG5379">
        <f>IF($C5379="","",IF(COUNTIF($C$2:$C5379,$C5379)=1,1,0))</f>
        <v/>
      </c>
      <c r="AH5379">
        <f>IF($AG5379=1,SUMPRODUCT(--($AK$2:$AK$6001&lt;$AK5379))+1,"")</f>
        <v/>
      </c>
      <c r="AI5379">
        <f>IF($C5379="","",IF(OR($N5379=TRUE(),$N5379="TRUE"),1,0))</f>
        <v/>
      </c>
      <c r="AJ5379">
        <f>IF($C5379="","",IF($T5379="Yes",1,0))</f>
        <v/>
      </c>
      <c r="AK5379">
        <f>IF($AG5379=1,IFERROR(IF(VALUE($C5379)&lt;100000000,VALUE($C5379),1000000000),IFERROR(IF(VALUE(MID($C5379,2,20))&lt;100000000,VALUE(MID($C5379,2,20)),1000000000),1000000000))+ROW()/100000,"")</f>
        <v/>
      </c>
    </row>
    <row r="5380">
      <c r="D5380" s="11" t="n"/>
      <c r="K5380" s="7">
        <f>IF($C5380="","",J5380*W5380/100)</f>
        <v/>
      </c>
      <c r="Q5380" s="7" t="n"/>
      <c r="R5380" s="7" t="n"/>
      <c r="U5380">
        <f>IF($C5380="","",IF($AJ5380=1,0,IF($AI5380=1,Settings!$C$6,Settings!$C$7))*100)</f>
        <v/>
      </c>
      <c r="V5380" s="7">
        <f>IF($C5380="","",R5380*U5380/100)</f>
        <v/>
      </c>
      <c r="W5380" s="7">
        <f>IF($C5380="","",R5380-V5380)</f>
        <v/>
      </c>
      <c r="X5380" s="7">
        <f>IF($C5380="","",W5380-K5380)</f>
        <v/>
      </c>
      <c r="AB5380" s="7" t="n"/>
      <c r="AE5380" s="11" t="n"/>
      <c r="AG5380">
        <f>IF($C5380="","",IF(COUNTIF($C$2:$C5380,$C5380)=1,1,0))</f>
        <v/>
      </c>
      <c r="AH5380">
        <f>IF($AG5380=1,SUMPRODUCT(--($AK$2:$AK$6001&lt;$AK5380))+1,"")</f>
        <v/>
      </c>
      <c r="AI5380">
        <f>IF($C5380="","",IF(OR($N5380=TRUE(),$N5380="TRUE"),1,0))</f>
        <v/>
      </c>
      <c r="AJ5380">
        <f>IF($C5380="","",IF($T5380="Yes",1,0))</f>
        <v/>
      </c>
      <c r="AK5380">
        <f>IF($AG5380=1,IFERROR(IF(VALUE($C5380)&lt;100000000,VALUE($C5380),1000000000),IFERROR(IF(VALUE(MID($C5380,2,20))&lt;100000000,VALUE(MID($C5380,2,20)),1000000000),1000000000))+ROW()/100000,"")</f>
        <v/>
      </c>
    </row>
    <row r="5381">
      <c r="D5381" s="11" t="n"/>
      <c r="K5381" s="7">
        <f>IF($C5381="","",J5381*W5381/100)</f>
        <v/>
      </c>
      <c r="Q5381" s="7" t="n"/>
      <c r="R5381" s="7" t="n"/>
      <c r="U5381">
        <f>IF($C5381="","",IF($AJ5381=1,0,IF($AI5381=1,Settings!$C$6,Settings!$C$7))*100)</f>
        <v/>
      </c>
      <c r="V5381" s="7">
        <f>IF($C5381="","",R5381*U5381/100)</f>
        <v/>
      </c>
      <c r="W5381" s="7">
        <f>IF($C5381="","",R5381-V5381)</f>
        <v/>
      </c>
      <c r="X5381" s="7">
        <f>IF($C5381="","",W5381-K5381)</f>
        <v/>
      </c>
      <c r="AB5381" s="7" t="n"/>
      <c r="AE5381" s="11" t="n"/>
      <c r="AG5381">
        <f>IF($C5381="","",IF(COUNTIF($C$2:$C5381,$C5381)=1,1,0))</f>
        <v/>
      </c>
      <c r="AH5381">
        <f>IF($AG5381=1,SUMPRODUCT(--($AK$2:$AK$6001&lt;$AK5381))+1,"")</f>
        <v/>
      </c>
      <c r="AI5381">
        <f>IF($C5381="","",IF(OR($N5381=TRUE(),$N5381="TRUE"),1,0))</f>
        <v/>
      </c>
      <c r="AJ5381">
        <f>IF($C5381="","",IF($T5381="Yes",1,0))</f>
        <v/>
      </c>
      <c r="AK5381">
        <f>IF($AG5381=1,IFERROR(IF(VALUE($C5381)&lt;100000000,VALUE($C5381),1000000000),IFERROR(IF(VALUE(MID($C5381,2,20))&lt;100000000,VALUE(MID($C5381,2,20)),1000000000),1000000000))+ROW()/100000,"")</f>
        <v/>
      </c>
    </row>
    <row r="5382">
      <c r="D5382" s="11" t="n"/>
      <c r="K5382" s="7">
        <f>IF($C5382="","",J5382*W5382/100)</f>
        <v/>
      </c>
      <c r="Q5382" s="7" t="n"/>
      <c r="R5382" s="7" t="n"/>
      <c r="U5382">
        <f>IF($C5382="","",IF($AJ5382=1,0,IF($AI5382=1,Settings!$C$6,Settings!$C$7))*100)</f>
        <v/>
      </c>
      <c r="V5382" s="7">
        <f>IF($C5382="","",R5382*U5382/100)</f>
        <v/>
      </c>
      <c r="W5382" s="7">
        <f>IF($C5382="","",R5382-V5382)</f>
        <v/>
      </c>
      <c r="X5382" s="7">
        <f>IF($C5382="","",W5382-K5382)</f>
        <v/>
      </c>
      <c r="AB5382" s="7" t="n"/>
      <c r="AE5382" s="11" t="n"/>
      <c r="AG5382">
        <f>IF($C5382="","",IF(COUNTIF($C$2:$C5382,$C5382)=1,1,0))</f>
        <v/>
      </c>
      <c r="AH5382">
        <f>IF($AG5382=1,SUMPRODUCT(--($AK$2:$AK$6001&lt;$AK5382))+1,"")</f>
        <v/>
      </c>
      <c r="AI5382">
        <f>IF($C5382="","",IF(OR($N5382=TRUE(),$N5382="TRUE"),1,0))</f>
        <v/>
      </c>
      <c r="AJ5382">
        <f>IF($C5382="","",IF($T5382="Yes",1,0))</f>
        <v/>
      </c>
      <c r="AK5382">
        <f>IF($AG5382=1,IFERROR(IF(VALUE($C5382)&lt;100000000,VALUE($C5382),1000000000),IFERROR(IF(VALUE(MID($C5382,2,20))&lt;100000000,VALUE(MID($C5382,2,20)),1000000000),1000000000))+ROW()/100000,"")</f>
        <v/>
      </c>
    </row>
    <row r="5383">
      <c r="D5383" s="11" t="n"/>
      <c r="K5383" s="7">
        <f>IF($C5383="","",J5383*W5383/100)</f>
        <v/>
      </c>
      <c r="Q5383" s="7" t="n"/>
      <c r="R5383" s="7" t="n"/>
      <c r="U5383">
        <f>IF($C5383="","",IF($AJ5383=1,0,IF($AI5383=1,Settings!$C$6,Settings!$C$7))*100)</f>
        <v/>
      </c>
      <c r="V5383" s="7">
        <f>IF($C5383="","",R5383*U5383/100)</f>
        <v/>
      </c>
      <c r="W5383" s="7">
        <f>IF($C5383="","",R5383-V5383)</f>
        <v/>
      </c>
      <c r="X5383" s="7">
        <f>IF($C5383="","",W5383-K5383)</f>
        <v/>
      </c>
      <c r="AB5383" s="7" t="n"/>
      <c r="AE5383" s="11" t="n"/>
      <c r="AG5383">
        <f>IF($C5383="","",IF(COUNTIF($C$2:$C5383,$C5383)=1,1,0))</f>
        <v/>
      </c>
      <c r="AH5383">
        <f>IF($AG5383=1,SUMPRODUCT(--($AK$2:$AK$6001&lt;$AK5383))+1,"")</f>
        <v/>
      </c>
      <c r="AI5383">
        <f>IF($C5383="","",IF(OR($N5383=TRUE(),$N5383="TRUE"),1,0))</f>
        <v/>
      </c>
      <c r="AJ5383">
        <f>IF($C5383="","",IF($T5383="Yes",1,0))</f>
        <v/>
      </c>
      <c r="AK5383">
        <f>IF($AG5383=1,IFERROR(IF(VALUE($C5383)&lt;100000000,VALUE($C5383),1000000000),IFERROR(IF(VALUE(MID($C5383,2,20))&lt;100000000,VALUE(MID($C5383,2,20)),1000000000),1000000000))+ROW()/100000,"")</f>
        <v/>
      </c>
    </row>
    <row r="5384">
      <c r="D5384" s="11" t="n"/>
      <c r="K5384" s="7">
        <f>IF($C5384="","",J5384*W5384/100)</f>
        <v/>
      </c>
      <c r="Q5384" s="7" t="n"/>
      <c r="R5384" s="7" t="n"/>
      <c r="U5384">
        <f>IF($C5384="","",IF($AJ5384=1,0,IF($AI5384=1,Settings!$C$6,Settings!$C$7))*100)</f>
        <v/>
      </c>
      <c r="V5384" s="7">
        <f>IF($C5384="","",R5384*U5384/100)</f>
        <v/>
      </c>
      <c r="W5384" s="7">
        <f>IF($C5384="","",R5384-V5384)</f>
        <v/>
      </c>
      <c r="X5384" s="7">
        <f>IF($C5384="","",W5384-K5384)</f>
        <v/>
      </c>
      <c r="AB5384" s="7" t="n"/>
      <c r="AE5384" s="11" t="n"/>
      <c r="AG5384">
        <f>IF($C5384="","",IF(COUNTIF($C$2:$C5384,$C5384)=1,1,0))</f>
        <v/>
      </c>
      <c r="AH5384">
        <f>IF($AG5384=1,SUMPRODUCT(--($AK$2:$AK$6001&lt;$AK5384))+1,"")</f>
        <v/>
      </c>
      <c r="AI5384">
        <f>IF($C5384="","",IF(OR($N5384=TRUE(),$N5384="TRUE"),1,0))</f>
        <v/>
      </c>
      <c r="AJ5384">
        <f>IF($C5384="","",IF($T5384="Yes",1,0))</f>
        <v/>
      </c>
      <c r="AK5384">
        <f>IF($AG5384=1,IFERROR(IF(VALUE($C5384)&lt;100000000,VALUE($C5384),1000000000),IFERROR(IF(VALUE(MID($C5384,2,20))&lt;100000000,VALUE(MID($C5384,2,20)),1000000000),1000000000))+ROW()/100000,"")</f>
        <v/>
      </c>
    </row>
    <row r="5385">
      <c r="D5385" s="11" t="n"/>
      <c r="K5385" s="7">
        <f>IF($C5385="","",J5385*W5385/100)</f>
        <v/>
      </c>
      <c r="Q5385" s="7" t="n"/>
      <c r="R5385" s="7" t="n"/>
      <c r="U5385">
        <f>IF($C5385="","",IF($AJ5385=1,0,IF($AI5385=1,Settings!$C$6,Settings!$C$7))*100)</f>
        <v/>
      </c>
      <c r="V5385" s="7">
        <f>IF($C5385="","",R5385*U5385/100)</f>
        <v/>
      </c>
      <c r="W5385" s="7">
        <f>IF($C5385="","",R5385-V5385)</f>
        <v/>
      </c>
      <c r="X5385" s="7">
        <f>IF($C5385="","",W5385-K5385)</f>
        <v/>
      </c>
      <c r="AB5385" s="7" t="n"/>
      <c r="AE5385" s="11" t="n"/>
      <c r="AG5385">
        <f>IF($C5385="","",IF(COUNTIF($C$2:$C5385,$C5385)=1,1,0))</f>
        <v/>
      </c>
      <c r="AH5385">
        <f>IF($AG5385=1,SUMPRODUCT(--($AK$2:$AK$6001&lt;$AK5385))+1,"")</f>
        <v/>
      </c>
      <c r="AI5385">
        <f>IF($C5385="","",IF(OR($N5385=TRUE(),$N5385="TRUE"),1,0))</f>
        <v/>
      </c>
      <c r="AJ5385">
        <f>IF($C5385="","",IF($T5385="Yes",1,0))</f>
        <v/>
      </c>
      <c r="AK5385">
        <f>IF($AG5385=1,IFERROR(IF(VALUE($C5385)&lt;100000000,VALUE($C5385),1000000000),IFERROR(IF(VALUE(MID($C5385,2,20))&lt;100000000,VALUE(MID($C5385,2,20)),1000000000),1000000000))+ROW()/100000,"")</f>
        <v/>
      </c>
    </row>
    <row r="5386">
      <c r="D5386" s="11" t="n"/>
      <c r="K5386" s="7">
        <f>IF($C5386="","",J5386*W5386/100)</f>
        <v/>
      </c>
      <c r="Q5386" s="7" t="n"/>
      <c r="R5386" s="7" t="n"/>
      <c r="U5386">
        <f>IF($C5386="","",IF($AJ5386=1,0,IF($AI5386=1,Settings!$C$6,Settings!$C$7))*100)</f>
        <v/>
      </c>
      <c r="V5386" s="7">
        <f>IF($C5386="","",R5386*U5386/100)</f>
        <v/>
      </c>
      <c r="W5386" s="7">
        <f>IF($C5386="","",R5386-V5386)</f>
        <v/>
      </c>
      <c r="X5386" s="7">
        <f>IF($C5386="","",W5386-K5386)</f>
        <v/>
      </c>
      <c r="AB5386" s="7" t="n"/>
      <c r="AE5386" s="11" t="n"/>
      <c r="AG5386">
        <f>IF($C5386="","",IF(COUNTIF($C$2:$C5386,$C5386)=1,1,0))</f>
        <v/>
      </c>
      <c r="AH5386">
        <f>IF($AG5386=1,SUMPRODUCT(--($AK$2:$AK$6001&lt;$AK5386))+1,"")</f>
        <v/>
      </c>
      <c r="AI5386">
        <f>IF($C5386="","",IF(OR($N5386=TRUE(),$N5386="TRUE"),1,0))</f>
        <v/>
      </c>
      <c r="AJ5386">
        <f>IF($C5386="","",IF($T5386="Yes",1,0))</f>
        <v/>
      </c>
      <c r="AK5386">
        <f>IF($AG5386=1,IFERROR(IF(VALUE($C5386)&lt;100000000,VALUE($C5386),1000000000),IFERROR(IF(VALUE(MID($C5386,2,20))&lt;100000000,VALUE(MID($C5386,2,20)),1000000000),1000000000))+ROW()/100000,"")</f>
        <v/>
      </c>
    </row>
    <row r="5387">
      <c r="D5387" s="11" t="n"/>
      <c r="K5387" s="7">
        <f>IF($C5387="","",J5387*W5387/100)</f>
        <v/>
      </c>
      <c r="Q5387" s="7" t="n"/>
      <c r="R5387" s="7" t="n"/>
      <c r="U5387">
        <f>IF($C5387="","",IF($AJ5387=1,0,IF($AI5387=1,Settings!$C$6,Settings!$C$7))*100)</f>
        <v/>
      </c>
      <c r="V5387" s="7">
        <f>IF($C5387="","",R5387*U5387/100)</f>
        <v/>
      </c>
      <c r="W5387" s="7">
        <f>IF($C5387="","",R5387-V5387)</f>
        <v/>
      </c>
      <c r="X5387" s="7">
        <f>IF($C5387="","",W5387-K5387)</f>
        <v/>
      </c>
      <c r="AB5387" s="7" t="n"/>
      <c r="AE5387" s="11" t="n"/>
      <c r="AG5387">
        <f>IF($C5387="","",IF(COUNTIF($C$2:$C5387,$C5387)=1,1,0))</f>
        <v/>
      </c>
      <c r="AH5387">
        <f>IF($AG5387=1,SUMPRODUCT(--($AK$2:$AK$6001&lt;$AK5387))+1,"")</f>
        <v/>
      </c>
      <c r="AI5387">
        <f>IF($C5387="","",IF(OR($N5387=TRUE(),$N5387="TRUE"),1,0))</f>
        <v/>
      </c>
      <c r="AJ5387">
        <f>IF($C5387="","",IF($T5387="Yes",1,0))</f>
        <v/>
      </c>
      <c r="AK5387">
        <f>IF($AG5387=1,IFERROR(IF(VALUE($C5387)&lt;100000000,VALUE($C5387),1000000000),IFERROR(IF(VALUE(MID($C5387,2,20))&lt;100000000,VALUE(MID($C5387,2,20)),1000000000),1000000000))+ROW()/100000,"")</f>
        <v/>
      </c>
    </row>
    <row r="5388">
      <c r="D5388" s="11" t="n"/>
      <c r="K5388" s="7">
        <f>IF($C5388="","",J5388*W5388/100)</f>
        <v/>
      </c>
      <c r="Q5388" s="7" t="n"/>
      <c r="R5388" s="7" t="n"/>
      <c r="U5388">
        <f>IF($C5388="","",IF($AJ5388=1,0,IF($AI5388=1,Settings!$C$6,Settings!$C$7))*100)</f>
        <v/>
      </c>
      <c r="V5388" s="7">
        <f>IF($C5388="","",R5388*U5388/100)</f>
        <v/>
      </c>
      <c r="W5388" s="7">
        <f>IF($C5388="","",R5388-V5388)</f>
        <v/>
      </c>
      <c r="X5388" s="7">
        <f>IF($C5388="","",W5388-K5388)</f>
        <v/>
      </c>
      <c r="AB5388" s="7" t="n"/>
      <c r="AE5388" s="11" t="n"/>
      <c r="AG5388">
        <f>IF($C5388="","",IF(COUNTIF($C$2:$C5388,$C5388)=1,1,0))</f>
        <v/>
      </c>
      <c r="AH5388">
        <f>IF($AG5388=1,SUMPRODUCT(--($AK$2:$AK$6001&lt;$AK5388))+1,"")</f>
        <v/>
      </c>
      <c r="AI5388">
        <f>IF($C5388="","",IF(OR($N5388=TRUE(),$N5388="TRUE"),1,0))</f>
        <v/>
      </c>
      <c r="AJ5388">
        <f>IF($C5388="","",IF($T5388="Yes",1,0))</f>
        <v/>
      </c>
      <c r="AK5388">
        <f>IF($AG5388=1,IFERROR(IF(VALUE($C5388)&lt;100000000,VALUE($C5388),1000000000),IFERROR(IF(VALUE(MID($C5388,2,20))&lt;100000000,VALUE(MID($C5388,2,20)),1000000000),1000000000))+ROW()/100000,"")</f>
        <v/>
      </c>
    </row>
    <row r="5389">
      <c r="D5389" s="11" t="n"/>
      <c r="K5389" s="7">
        <f>IF($C5389="","",J5389*W5389/100)</f>
        <v/>
      </c>
      <c r="Q5389" s="7" t="n"/>
      <c r="R5389" s="7" t="n"/>
      <c r="U5389">
        <f>IF($C5389="","",IF($AJ5389=1,0,IF($AI5389=1,Settings!$C$6,Settings!$C$7))*100)</f>
        <v/>
      </c>
      <c r="V5389" s="7">
        <f>IF($C5389="","",R5389*U5389/100)</f>
        <v/>
      </c>
      <c r="W5389" s="7">
        <f>IF($C5389="","",R5389-V5389)</f>
        <v/>
      </c>
      <c r="X5389" s="7">
        <f>IF($C5389="","",W5389-K5389)</f>
        <v/>
      </c>
      <c r="AB5389" s="7" t="n"/>
      <c r="AE5389" s="11" t="n"/>
      <c r="AG5389">
        <f>IF($C5389="","",IF(COUNTIF($C$2:$C5389,$C5389)=1,1,0))</f>
        <v/>
      </c>
      <c r="AH5389">
        <f>IF($AG5389=1,SUMPRODUCT(--($AK$2:$AK$6001&lt;$AK5389))+1,"")</f>
        <v/>
      </c>
      <c r="AI5389">
        <f>IF($C5389="","",IF(OR($N5389=TRUE(),$N5389="TRUE"),1,0))</f>
        <v/>
      </c>
      <c r="AJ5389">
        <f>IF($C5389="","",IF($T5389="Yes",1,0))</f>
        <v/>
      </c>
      <c r="AK5389">
        <f>IF($AG5389=1,IFERROR(IF(VALUE($C5389)&lt;100000000,VALUE($C5389),1000000000),IFERROR(IF(VALUE(MID($C5389,2,20))&lt;100000000,VALUE(MID($C5389,2,20)),1000000000),1000000000))+ROW()/100000,"")</f>
        <v/>
      </c>
    </row>
    <row r="5390">
      <c r="D5390" s="11" t="n"/>
      <c r="K5390" s="7">
        <f>IF($C5390="","",J5390*W5390/100)</f>
        <v/>
      </c>
      <c r="Q5390" s="7" t="n"/>
      <c r="R5390" s="7" t="n"/>
      <c r="U5390">
        <f>IF($C5390="","",IF($AJ5390=1,0,IF($AI5390=1,Settings!$C$6,Settings!$C$7))*100)</f>
        <v/>
      </c>
      <c r="V5390" s="7">
        <f>IF($C5390="","",R5390*U5390/100)</f>
        <v/>
      </c>
      <c r="W5390" s="7">
        <f>IF($C5390="","",R5390-V5390)</f>
        <v/>
      </c>
      <c r="X5390" s="7">
        <f>IF($C5390="","",W5390-K5390)</f>
        <v/>
      </c>
      <c r="AB5390" s="7" t="n"/>
      <c r="AE5390" s="11" t="n"/>
      <c r="AG5390">
        <f>IF($C5390="","",IF(COUNTIF($C$2:$C5390,$C5390)=1,1,0))</f>
        <v/>
      </c>
      <c r="AH5390">
        <f>IF($AG5390=1,SUMPRODUCT(--($AK$2:$AK$6001&lt;$AK5390))+1,"")</f>
        <v/>
      </c>
      <c r="AI5390">
        <f>IF($C5390="","",IF(OR($N5390=TRUE(),$N5390="TRUE"),1,0))</f>
        <v/>
      </c>
      <c r="AJ5390">
        <f>IF($C5390="","",IF($T5390="Yes",1,0))</f>
        <v/>
      </c>
      <c r="AK5390">
        <f>IF($AG5390=1,IFERROR(IF(VALUE($C5390)&lt;100000000,VALUE($C5390),1000000000),IFERROR(IF(VALUE(MID($C5390,2,20))&lt;100000000,VALUE(MID($C5390,2,20)),1000000000),1000000000))+ROW()/100000,"")</f>
        <v/>
      </c>
    </row>
    <row r="5391">
      <c r="D5391" s="11" t="n"/>
      <c r="K5391" s="7">
        <f>IF($C5391="","",J5391*W5391/100)</f>
        <v/>
      </c>
      <c r="Q5391" s="7" t="n"/>
      <c r="R5391" s="7" t="n"/>
      <c r="U5391">
        <f>IF($C5391="","",IF($AJ5391=1,0,IF($AI5391=1,Settings!$C$6,Settings!$C$7))*100)</f>
        <v/>
      </c>
      <c r="V5391" s="7">
        <f>IF($C5391="","",R5391*U5391/100)</f>
        <v/>
      </c>
      <c r="W5391" s="7">
        <f>IF($C5391="","",R5391-V5391)</f>
        <v/>
      </c>
      <c r="X5391" s="7">
        <f>IF($C5391="","",W5391-K5391)</f>
        <v/>
      </c>
      <c r="AB5391" s="7" t="n"/>
      <c r="AE5391" s="11" t="n"/>
      <c r="AG5391">
        <f>IF($C5391="","",IF(COUNTIF($C$2:$C5391,$C5391)=1,1,0))</f>
        <v/>
      </c>
      <c r="AH5391">
        <f>IF($AG5391=1,SUMPRODUCT(--($AK$2:$AK$6001&lt;$AK5391))+1,"")</f>
        <v/>
      </c>
      <c r="AI5391">
        <f>IF($C5391="","",IF(OR($N5391=TRUE(),$N5391="TRUE"),1,0))</f>
        <v/>
      </c>
      <c r="AJ5391">
        <f>IF($C5391="","",IF($T5391="Yes",1,0))</f>
        <v/>
      </c>
      <c r="AK5391">
        <f>IF($AG5391=1,IFERROR(IF(VALUE($C5391)&lt;100000000,VALUE($C5391),1000000000),IFERROR(IF(VALUE(MID($C5391,2,20))&lt;100000000,VALUE(MID($C5391,2,20)),1000000000),1000000000))+ROW()/100000,"")</f>
        <v/>
      </c>
    </row>
    <row r="5392">
      <c r="D5392" s="11" t="n"/>
      <c r="K5392" s="7">
        <f>IF($C5392="","",J5392*W5392/100)</f>
        <v/>
      </c>
      <c r="Q5392" s="7" t="n"/>
      <c r="R5392" s="7" t="n"/>
      <c r="U5392">
        <f>IF($C5392="","",IF($AJ5392=1,0,IF($AI5392=1,Settings!$C$6,Settings!$C$7))*100)</f>
        <v/>
      </c>
      <c r="V5392" s="7">
        <f>IF($C5392="","",R5392*U5392/100)</f>
        <v/>
      </c>
      <c r="W5392" s="7">
        <f>IF($C5392="","",R5392-V5392)</f>
        <v/>
      </c>
      <c r="X5392" s="7">
        <f>IF($C5392="","",W5392-K5392)</f>
        <v/>
      </c>
      <c r="AB5392" s="7" t="n"/>
      <c r="AE5392" s="11" t="n"/>
      <c r="AG5392">
        <f>IF($C5392="","",IF(COUNTIF($C$2:$C5392,$C5392)=1,1,0))</f>
        <v/>
      </c>
      <c r="AH5392">
        <f>IF($AG5392=1,SUMPRODUCT(--($AK$2:$AK$6001&lt;$AK5392))+1,"")</f>
        <v/>
      </c>
      <c r="AI5392">
        <f>IF($C5392="","",IF(OR($N5392=TRUE(),$N5392="TRUE"),1,0))</f>
        <v/>
      </c>
      <c r="AJ5392">
        <f>IF($C5392="","",IF($T5392="Yes",1,0))</f>
        <v/>
      </c>
      <c r="AK5392">
        <f>IF($AG5392=1,IFERROR(IF(VALUE($C5392)&lt;100000000,VALUE($C5392),1000000000),IFERROR(IF(VALUE(MID($C5392,2,20))&lt;100000000,VALUE(MID($C5392,2,20)),1000000000),1000000000))+ROW()/100000,"")</f>
        <v/>
      </c>
    </row>
    <row r="5393">
      <c r="D5393" s="11" t="n"/>
      <c r="K5393" s="7">
        <f>IF($C5393="","",J5393*W5393/100)</f>
        <v/>
      </c>
      <c r="Q5393" s="7" t="n"/>
      <c r="R5393" s="7" t="n"/>
      <c r="U5393">
        <f>IF($C5393="","",IF($AJ5393=1,0,IF($AI5393=1,Settings!$C$6,Settings!$C$7))*100)</f>
        <v/>
      </c>
      <c r="V5393" s="7">
        <f>IF($C5393="","",R5393*U5393/100)</f>
        <v/>
      </c>
      <c r="W5393" s="7">
        <f>IF($C5393="","",R5393-V5393)</f>
        <v/>
      </c>
      <c r="X5393" s="7">
        <f>IF($C5393="","",W5393-K5393)</f>
        <v/>
      </c>
      <c r="AB5393" s="7" t="n"/>
      <c r="AE5393" s="11" t="n"/>
      <c r="AG5393">
        <f>IF($C5393="","",IF(COUNTIF($C$2:$C5393,$C5393)=1,1,0))</f>
        <v/>
      </c>
      <c r="AH5393">
        <f>IF($AG5393=1,SUMPRODUCT(--($AK$2:$AK$6001&lt;$AK5393))+1,"")</f>
        <v/>
      </c>
      <c r="AI5393">
        <f>IF($C5393="","",IF(OR($N5393=TRUE(),$N5393="TRUE"),1,0))</f>
        <v/>
      </c>
      <c r="AJ5393">
        <f>IF($C5393="","",IF($T5393="Yes",1,0))</f>
        <v/>
      </c>
      <c r="AK5393">
        <f>IF($AG5393=1,IFERROR(IF(VALUE($C5393)&lt;100000000,VALUE($C5393),1000000000),IFERROR(IF(VALUE(MID($C5393,2,20))&lt;100000000,VALUE(MID($C5393,2,20)),1000000000),1000000000))+ROW()/100000,"")</f>
        <v/>
      </c>
    </row>
    <row r="5394">
      <c r="D5394" s="11" t="n"/>
      <c r="K5394" s="7">
        <f>IF($C5394="","",J5394*W5394/100)</f>
        <v/>
      </c>
      <c r="Q5394" s="7" t="n"/>
      <c r="R5394" s="7" t="n"/>
      <c r="U5394">
        <f>IF($C5394="","",IF($AJ5394=1,0,IF($AI5394=1,Settings!$C$6,Settings!$C$7))*100)</f>
        <v/>
      </c>
      <c r="V5394" s="7">
        <f>IF($C5394="","",R5394*U5394/100)</f>
        <v/>
      </c>
      <c r="W5394" s="7">
        <f>IF($C5394="","",R5394-V5394)</f>
        <v/>
      </c>
      <c r="X5394" s="7">
        <f>IF($C5394="","",W5394-K5394)</f>
        <v/>
      </c>
      <c r="AB5394" s="7" t="n"/>
      <c r="AE5394" s="11" t="n"/>
      <c r="AG5394">
        <f>IF($C5394="","",IF(COUNTIF($C$2:$C5394,$C5394)=1,1,0))</f>
        <v/>
      </c>
      <c r="AH5394">
        <f>IF($AG5394=1,SUMPRODUCT(--($AK$2:$AK$6001&lt;$AK5394))+1,"")</f>
        <v/>
      </c>
      <c r="AI5394">
        <f>IF($C5394="","",IF(OR($N5394=TRUE(),$N5394="TRUE"),1,0))</f>
        <v/>
      </c>
      <c r="AJ5394">
        <f>IF($C5394="","",IF($T5394="Yes",1,0))</f>
        <v/>
      </c>
      <c r="AK5394">
        <f>IF($AG5394=1,IFERROR(IF(VALUE($C5394)&lt;100000000,VALUE($C5394),1000000000),IFERROR(IF(VALUE(MID($C5394,2,20))&lt;100000000,VALUE(MID($C5394,2,20)),1000000000),1000000000))+ROW()/100000,"")</f>
        <v/>
      </c>
    </row>
    <row r="5395">
      <c r="D5395" s="11" t="n"/>
      <c r="K5395" s="7">
        <f>IF($C5395="","",J5395*W5395/100)</f>
        <v/>
      </c>
      <c r="Q5395" s="7" t="n"/>
      <c r="R5395" s="7" t="n"/>
      <c r="U5395">
        <f>IF($C5395="","",IF($AJ5395=1,0,IF($AI5395=1,Settings!$C$6,Settings!$C$7))*100)</f>
        <v/>
      </c>
      <c r="V5395" s="7">
        <f>IF($C5395="","",R5395*U5395/100)</f>
        <v/>
      </c>
      <c r="W5395" s="7">
        <f>IF($C5395="","",R5395-V5395)</f>
        <v/>
      </c>
      <c r="X5395" s="7">
        <f>IF($C5395="","",W5395-K5395)</f>
        <v/>
      </c>
      <c r="AB5395" s="7" t="n"/>
      <c r="AE5395" s="11" t="n"/>
      <c r="AG5395">
        <f>IF($C5395="","",IF(COUNTIF($C$2:$C5395,$C5395)=1,1,0))</f>
        <v/>
      </c>
      <c r="AH5395">
        <f>IF($AG5395=1,SUMPRODUCT(--($AK$2:$AK$6001&lt;$AK5395))+1,"")</f>
        <v/>
      </c>
      <c r="AI5395">
        <f>IF($C5395="","",IF(OR($N5395=TRUE(),$N5395="TRUE"),1,0))</f>
        <v/>
      </c>
      <c r="AJ5395">
        <f>IF($C5395="","",IF($T5395="Yes",1,0))</f>
        <v/>
      </c>
      <c r="AK5395">
        <f>IF($AG5395=1,IFERROR(IF(VALUE($C5395)&lt;100000000,VALUE($C5395),1000000000),IFERROR(IF(VALUE(MID($C5395,2,20))&lt;100000000,VALUE(MID($C5395,2,20)),1000000000),1000000000))+ROW()/100000,"")</f>
        <v/>
      </c>
    </row>
    <row r="5396">
      <c r="D5396" s="11" t="n"/>
      <c r="K5396" s="7">
        <f>IF($C5396="","",J5396*W5396/100)</f>
        <v/>
      </c>
      <c r="Q5396" s="7" t="n"/>
      <c r="R5396" s="7" t="n"/>
      <c r="U5396">
        <f>IF($C5396="","",IF($AJ5396=1,0,IF($AI5396=1,Settings!$C$6,Settings!$C$7))*100)</f>
        <v/>
      </c>
      <c r="V5396" s="7">
        <f>IF($C5396="","",R5396*U5396/100)</f>
        <v/>
      </c>
      <c r="W5396" s="7">
        <f>IF($C5396="","",R5396-V5396)</f>
        <v/>
      </c>
      <c r="X5396" s="7">
        <f>IF($C5396="","",W5396-K5396)</f>
        <v/>
      </c>
      <c r="AB5396" s="7" t="n"/>
      <c r="AE5396" s="11" t="n"/>
      <c r="AG5396">
        <f>IF($C5396="","",IF(COUNTIF($C$2:$C5396,$C5396)=1,1,0))</f>
        <v/>
      </c>
      <c r="AH5396">
        <f>IF($AG5396=1,SUMPRODUCT(--($AK$2:$AK$6001&lt;$AK5396))+1,"")</f>
        <v/>
      </c>
      <c r="AI5396">
        <f>IF($C5396="","",IF(OR($N5396=TRUE(),$N5396="TRUE"),1,0))</f>
        <v/>
      </c>
      <c r="AJ5396">
        <f>IF($C5396="","",IF($T5396="Yes",1,0))</f>
        <v/>
      </c>
      <c r="AK5396">
        <f>IF($AG5396=1,IFERROR(IF(VALUE($C5396)&lt;100000000,VALUE($C5396),1000000000),IFERROR(IF(VALUE(MID($C5396,2,20))&lt;100000000,VALUE(MID($C5396,2,20)),1000000000),1000000000))+ROW()/100000,"")</f>
        <v/>
      </c>
    </row>
    <row r="5397">
      <c r="D5397" s="11" t="n"/>
      <c r="K5397" s="7">
        <f>IF($C5397="","",J5397*W5397/100)</f>
        <v/>
      </c>
      <c r="Q5397" s="7" t="n"/>
      <c r="R5397" s="7" t="n"/>
      <c r="U5397">
        <f>IF($C5397="","",IF($AJ5397=1,0,IF($AI5397=1,Settings!$C$6,Settings!$C$7))*100)</f>
        <v/>
      </c>
      <c r="V5397" s="7">
        <f>IF($C5397="","",R5397*U5397/100)</f>
        <v/>
      </c>
      <c r="W5397" s="7">
        <f>IF($C5397="","",R5397-V5397)</f>
        <v/>
      </c>
      <c r="X5397" s="7">
        <f>IF($C5397="","",W5397-K5397)</f>
        <v/>
      </c>
      <c r="AB5397" s="7" t="n"/>
      <c r="AE5397" s="11" t="n"/>
      <c r="AG5397">
        <f>IF($C5397="","",IF(COUNTIF($C$2:$C5397,$C5397)=1,1,0))</f>
        <v/>
      </c>
      <c r="AH5397">
        <f>IF($AG5397=1,SUMPRODUCT(--($AK$2:$AK$6001&lt;$AK5397))+1,"")</f>
        <v/>
      </c>
      <c r="AI5397">
        <f>IF($C5397="","",IF(OR($N5397=TRUE(),$N5397="TRUE"),1,0))</f>
        <v/>
      </c>
      <c r="AJ5397">
        <f>IF($C5397="","",IF($T5397="Yes",1,0))</f>
        <v/>
      </c>
      <c r="AK5397">
        <f>IF($AG5397=1,IFERROR(IF(VALUE($C5397)&lt;100000000,VALUE($C5397),1000000000),IFERROR(IF(VALUE(MID($C5397,2,20))&lt;100000000,VALUE(MID($C5397,2,20)),1000000000),1000000000))+ROW()/100000,"")</f>
        <v/>
      </c>
    </row>
    <row r="5398">
      <c r="D5398" s="11" t="n"/>
      <c r="K5398" s="7">
        <f>IF($C5398="","",J5398*W5398/100)</f>
        <v/>
      </c>
      <c r="Q5398" s="7" t="n"/>
      <c r="R5398" s="7" t="n"/>
      <c r="U5398">
        <f>IF($C5398="","",IF($AJ5398=1,0,IF($AI5398=1,Settings!$C$6,Settings!$C$7))*100)</f>
        <v/>
      </c>
      <c r="V5398" s="7">
        <f>IF($C5398="","",R5398*U5398/100)</f>
        <v/>
      </c>
      <c r="W5398" s="7">
        <f>IF($C5398="","",R5398-V5398)</f>
        <v/>
      </c>
      <c r="X5398" s="7">
        <f>IF($C5398="","",W5398-K5398)</f>
        <v/>
      </c>
      <c r="AB5398" s="7" t="n"/>
      <c r="AE5398" s="11" t="n"/>
      <c r="AG5398">
        <f>IF($C5398="","",IF(COUNTIF($C$2:$C5398,$C5398)=1,1,0))</f>
        <v/>
      </c>
      <c r="AH5398">
        <f>IF($AG5398=1,SUMPRODUCT(--($AK$2:$AK$6001&lt;$AK5398))+1,"")</f>
        <v/>
      </c>
      <c r="AI5398">
        <f>IF($C5398="","",IF(OR($N5398=TRUE(),$N5398="TRUE"),1,0))</f>
        <v/>
      </c>
      <c r="AJ5398">
        <f>IF($C5398="","",IF($T5398="Yes",1,0))</f>
        <v/>
      </c>
      <c r="AK5398">
        <f>IF($AG5398=1,IFERROR(IF(VALUE($C5398)&lt;100000000,VALUE($C5398),1000000000),IFERROR(IF(VALUE(MID($C5398,2,20))&lt;100000000,VALUE(MID($C5398,2,20)),1000000000),1000000000))+ROW()/100000,"")</f>
        <v/>
      </c>
    </row>
    <row r="5399">
      <c r="D5399" s="11" t="n"/>
      <c r="K5399" s="7">
        <f>IF($C5399="","",J5399*W5399/100)</f>
        <v/>
      </c>
      <c r="Q5399" s="7" t="n"/>
      <c r="R5399" s="7" t="n"/>
      <c r="U5399">
        <f>IF($C5399="","",IF($AJ5399=1,0,IF($AI5399=1,Settings!$C$6,Settings!$C$7))*100)</f>
        <v/>
      </c>
      <c r="V5399" s="7">
        <f>IF($C5399="","",R5399*U5399/100)</f>
        <v/>
      </c>
      <c r="W5399" s="7">
        <f>IF($C5399="","",R5399-V5399)</f>
        <v/>
      </c>
      <c r="X5399" s="7">
        <f>IF($C5399="","",W5399-K5399)</f>
        <v/>
      </c>
      <c r="AB5399" s="7" t="n"/>
      <c r="AE5399" s="11" t="n"/>
      <c r="AG5399">
        <f>IF($C5399="","",IF(COUNTIF($C$2:$C5399,$C5399)=1,1,0))</f>
        <v/>
      </c>
      <c r="AH5399">
        <f>IF($AG5399=1,SUMPRODUCT(--($AK$2:$AK$6001&lt;$AK5399))+1,"")</f>
        <v/>
      </c>
      <c r="AI5399">
        <f>IF($C5399="","",IF(OR($N5399=TRUE(),$N5399="TRUE"),1,0))</f>
        <v/>
      </c>
      <c r="AJ5399">
        <f>IF($C5399="","",IF($T5399="Yes",1,0))</f>
        <v/>
      </c>
      <c r="AK5399">
        <f>IF($AG5399=1,IFERROR(IF(VALUE($C5399)&lt;100000000,VALUE($C5399),1000000000),IFERROR(IF(VALUE(MID($C5399,2,20))&lt;100000000,VALUE(MID($C5399,2,20)),1000000000),1000000000))+ROW()/100000,"")</f>
        <v/>
      </c>
    </row>
    <row r="5400">
      <c r="D5400" s="11" t="n"/>
      <c r="K5400" s="7">
        <f>IF($C5400="","",J5400*W5400/100)</f>
        <v/>
      </c>
      <c r="Q5400" s="7" t="n"/>
      <c r="R5400" s="7" t="n"/>
      <c r="U5400">
        <f>IF($C5400="","",IF($AJ5400=1,0,IF($AI5400=1,Settings!$C$6,Settings!$C$7))*100)</f>
        <v/>
      </c>
      <c r="V5400" s="7">
        <f>IF($C5400="","",R5400*U5400/100)</f>
        <v/>
      </c>
      <c r="W5400" s="7">
        <f>IF($C5400="","",R5400-V5400)</f>
        <v/>
      </c>
      <c r="X5400" s="7">
        <f>IF($C5400="","",W5400-K5400)</f>
        <v/>
      </c>
      <c r="AB5400" s="7" t="n"/>
      <c r="AE5400" s="11" t="n"/>
      <c r="AG5400">
        <f>IF($C5400="","",IF(COUNTIF($C$2:$C5400,$C5400)=1,1,0))</f>
        <v/>
      </c>
      <c r="AH5400">
        <f>IF($AG5400=1,SUMPRODUCT(--($AK$2:$AK$6001&lt;$AK5400))+1,"")</f>
        <v/>
      </c>
      <c r="AI5400">
        <f>IF($C5400="","",IF(OR($N5400=TRUE(),$N5400="TRUE"),1,0))</f>
        <v/>
      </c>
      <c r="AJ5400">
        <f>IF($C5400="","",IF($T5400="Yes",1,0))</f>
        <v/>
      </c>
      <c r="AK5400">
        <f>IF($AG5400=1,IFERROR(IF(VALUE($C5400)&lt;100000000,VALUE($C5400),1000000000),IFERROR(IF(VALUE(MID($C5400,2,20))&lt;100000000,VALUE(MID($C5400,2,20)),1000000000),1000000000))+ROW()/100000,"")</f>
        <v/>
      </c>
    </row>
    <row r="5401">
      <c r="D5401" s="11" t="n"/>
      <c r="K5401" s="7">
        <f>IF($C5401="","",J5401*W5401/100)</f>
        <v/>
      </c>
      <c r="Q5401" s="7" t="n"/>
      <c r="R5401" s="7" t="n"/>
      <c r="U5401">
        <f>IF($C5401="","",IF($AJ5401=1,0,IF($AI5401=1,Settings!$C$6,Settings!$C$7))*100)</f>
        <v/>
      </c>
      <c r="V5401" s="7">
        <f>IF($C5401="","",R5401*U5401/100)</f>
        <v/>
      </c>
      <c r="W5401" s="7">
        <f>IF($C5401="","",R5401-V5401)</f>
        <v/>
      </c>
      <c r="X5401" s="7">
        <f>IF($C5401="","",W5401-K5401)</f>
        <v/>
      </c>
      <c r="AB5401" s="7" t="n"/>
      <c r="AE5401" s="11" t="n"/>
      <c r="AG5401">
        <f>IF($C5401="","",IF(COUNTIF($C$2:$C5401,$C5401)=1,1,0))</f>
        <v/>
      </c>
      <c r="AH5401">
        <f>IF($AG5401=1,SUMPRODUCT(--($AK$2:$AK$6001&lt;$AK5401))+1,"")</f>
        <v/>
      </c>
      <c r="AI5401">
        <f>IF($C5401="","",IF(OR($N5401=TRUE(),$N5401="TRUE"),1,0))</f>
        <v/>
      </c>
      <c r="AJ5401">
        <f>IF($C5401="","",IF($T5401="Yes",1,0))</f>
        <v/>
      </c>
      <c r="AK5401">
        <f>IF($AG5401=1,IFERROR(IF(VALUE($C5401)&lt;100000000,VALUE($C5401),1000000000),IFERROR(IF(VALUE(MID($C5401,2,20))&lt;100000000,VALUE(MID($C5401,2,20)),1000000000),1000000000))+ROW()/100000,"")</f>
        <v/>
      </c>
    </row>
    <row r="5402">
      <c r="D5402" s="11" t="n"/>
      <c r="K5402" s="7">
        <f>IF($C5402="","",J5402*W5402/100)</f>
        <v/>
      </c>
      <c r="Q5402" s="7" t="n"/>
      <c r="R5402" s="7" t="n"/>
      <c r="U5402">
        <f>IF($C5402="","",IF($AJ5402=1,0,IF($AI5402=1,Settings!$C$6,Settings!$C$7))*100)</f>
        <v/>
      </c>
      <c r="V5402" s="7">
        <f>IF($C5402="","",R5402*U5402/100)</f>
        <v/>
      </c>
      <c r="W5402" s="7">
        <f>IF($C5402="","",R5402-V5402)</f>
        <v/>
      </c>
      <c r="X5402" s="7">
        <f>IF($C5402="","",W5402-K5402)</f>
        <v/>
      </c>
      <c r="AB5402" s="7" t="n"/>
      <c r="AE5402" s="11" t="n"/>
      <c r="AG5402">
        <f>IF($C5402="","",IF(COUNTIF($C$2:$C5402,$C5402)=1,1,0))</f>
        <v/>
      </c>
      <c r="AH5402">
        <f>IF($AG5402=1,SUMPRODUCT(--($AK$2:$AK$6001&lt;$AK5402))+1,"")</f>
        <v/>
      </c>
      <c r="AI5402">
        <f>IF($C5402="","",IF(OR($N5402=TRUE(),$N5402="TRUE"),1,0))</f>
        <v/>
      </c>
      <c r="AJ5402">
        <f>IF($C5402="","",IF($T5402="Yes",1,0))</f>
        <v/>
      </c>
      <c r="AK5402">
        <f>IF($AG5402=1,IFERROR(IF(VALUE($C5402)&lt;100000000,VALUE($C5402),1000000000),IFERROR(IF(VALUE(MID($C5402,2,20))&lt;100000000,VALUE(MID($C5402,2,20)),1000000000),1000000000))+ROW()/100000,"")</f>
        <v/>
      </c>
    </row>
    <row r="5403">
      <c r="D5403" s="11" t="n"/>
      <c r="K5403" s="7">
        <f>IF($C5403="","",J5403*W5403/100)</f>
        <v/>
      </c>
      <c r="Q5403" s="7" t="n"/>
      <c r="R5403" s="7" t="n"/>
      <c r="U5403">
        <f>IF($C5403="","",IF($AJ5403=1,0,IF($AI5403=1,Settings!$C$6,Settings!$C$7))*100)</f>
        <v/>
      </c>
      <c r="V5403" s="7">
        <f>IF($C5403="","",R5403*U5403/100)</f>
        <v/>
      </c>
      <c r="W5403" s="7">
        <f>IF($C5403="","",R5403-V5403)</f>
        <v/>
      </c>
      <c r="X5403" s="7">
        <f>IF($C5403="","",W5403-K5403)</f>
        <v/>
      </c>
      <c r="AB5403" s="7" t="n"/>
      <c r="AE5403" s="11" t="n"/>
      <c r="AG5403">
        <f>IF($C5403="","",IF(COUNTIF($C$2:$C5403,$C5403)=1,1,0))</f>
        <v/>
      </c>
      <c r="AH5403">
        <f>IF($AG5403=1,SUMPRODUCT(--($AK$2:$AK$6001&lt;$AK5403))+1,"")</f>
        <v/>
      </c>
      <c r="AI5403">
        <f>IF($C5403="","",IF(OR($N5403=TRUE(),$N5403="TRUE"),1,0))</f>
        <v/>
      </c>
      <c r="AJ5403">
        <f>IF($C5403="","",IF($T5403="Yes",1,0))</f>
        <v/>
      </c>
      <c r="AK5403">
        <f>IF($AG5403=1,IFERROR(IF(VALUE($C5403)&lt;100000000,VALUE($C5403),1000000000),IFERROR(IF(VALUE(MID($C5403,2,20))&lt;100000000,VALUE(MID($C5403,2,20)),1000000000),1000000000))+ROW()/100000,"")</f>
        <v/>
      </c>
    </row>
    <row r="5404">
      <c r="D5404" s="11" t="n"/>
      <c r="K5404" s="7">
        <f>IF($C5404="","",J5404*W5404/100)</f>
        <v/>
      </c>
      <c r="Q5404" s="7" t="n"/>
      <c r="R5404" s="7" t="n"/>
      <c r="U5404">
        <f>IF($C5404="","",IF($AJ5404=1,0,IF($AI5404=1,Settings!$C$6,Settings!$C$7))*100)</f>
        <v/>
      </c>
      <c r="V5404" s="7">
        <f>IF($C5404="","",R5404*U5404/100)</f>
        <v/>
      </c>
      <c r="W5404" s="7">
        <f>IF($C5404="","",R5404-V5404)</f>
        <v/>
      </c>
      <c r="X5404" s="7">
        <f>IF($C5404="","",W5404-K5404)</f>
        <v/>
      </c>
      <c r="AB5404" s="7" t="n"/>
      <c r="AE5404" s="11" t="n"/>
      <c r="AG5404">
        <f>IF($C5404="","",IF(COUNTIF($C$2:$C5404,$C5404)=1,1,0))</f>
        <v/>
      </c>
      <c r="AH5404">
        <f>IF($AG5404=1,SUMPRODUCT(--($AK$2:$AK$6001&lt;$AK5404))+1,"")</f>
        <v/>
      </c>
      <c r="AI5404">
        <f>IF($C5404="","",IF(OR($N5404=TRUE(),$N5404="TRUE"),1,0))</f>
        <v/>
      </c>
      <c r="AJ5404">
        <f>IF($C5404="","",IF($T5404="Yes",1,0))</f>
        <v/>
      </c>
      <c r="AK5404">
        <f>IF($AG5404=1,IFERROR(IF(VALUE($C5404)&lt;100000000,VALUE($C5404),1000000000),IFERROR(IF(VALUE(MID($C5404,2,20))&lt;100000000,VALUE(MID($C5404,2,20)),1000000000),1000000000))+ROW()/100000,"")</f>
        <v/>
      </c>
    </row>
    <row r="5405">
      <c r="D5405" s="11" t="n"/>
      <c r="K5405" s="7">
        <f>IF($C5405="","",J5405*W5405/100)</f>
        <v/>
      </c>
      <c r="Q5405" s="7" t="n"/>
      <c r="R5405" s="7" t="n"/>
      <c r="U5405">
        <f>IF($C5405="","",IF($AJ5405=1,0,IF($AI5405=1,Settings!$C$6,Settings!$C$7))*100)</f>
        <v/>
      </c>
      <c r="V5405" s="7">
        <f>IF($C5405="","",R5405*U5405/100)</f>
        <v/>
      </c>
      <c r="W5405" s="7">
        <f>IF($C5405="","",R5405-V5405)</f>
        <v/>
      </c>
      <c r="X5405" s="7">
        <f>IF($C5405="","",W5405-K5405)</f>
        <v/>
      </c>
      <c r="AB5405" s="7" t="n"/>
      <c r="AE5405" s="11" t="n"/>
      <c r="AG5405">
        <f>IF($C5405="","",IF(COUNTIF($C$2:$C5405,$C5405)=1,1,0))</f>
        <v/>
      </c>
      <c r="AH5405">
        <f>IF($AG5405=1,SUMPRODUCT(--($AK$2:$AK$6001&lt;$AK5405))+1,"")</f>
        <v/>
      </c>
      <c r="AI5405">
        <f>IF($C5405="","",IF(OR($N5405=TRUE(),$N5405="TRUE"),1,0))</f>
        <v/>
      </c>
      <c r="AJ5405">
        <f>IF($C5405="","",IF($T5405="Yes",1,0))</f>
        <v/>
      </c>
      <c r="AK5405">
        <f>IF($AG5405=1,IFERROR(IF(VALUE($C5405)&lt;100000000,VALUE($C5405),1000000000),IFERROR(IF(VALUE(MID($C5405,2,20))&lt;100000000,VALUE(MID($C5405,2,20)),1000000000),1000000000))+ROW()/100000,"")</f>
        <v/>
      </c>
    </row>
    <row r="5406">
      <c r="D5406" s="11" t="n"/>
      <c r="K5406" s="7">
        <f>IF($C5406="","",J5406*W5406/100)</f>
        <v/>
      </c>
      <c r="Q5406" s="7" t="n"/>
      <c r="R5406" s="7" t="n"/>
      <c r="U5406">
        <f>IF($C5406="","",IF($AJ5406=1,0,IF($AI5406=1,Settings!$C$6,Settings!$C$7))*100)</f>
        <v/>
      </c>
      <c r="V5406" s="7">
        <f>IF($C5406="","",R5406*U5406/100)</f>
        <v/>
      </c>
      <c r="W5406" s="7">
        <f>IF($C5406="","",R5406-V5406)</f>
        <v/>
      </c>
      <c r="X5406" s="7">
        <f>IF($C5406="","",W5406-K5406)</f>
        <v/>
      </c>
      <c r="AB5406" s="7" t="n"/>
      <c r="AE5406" s="11" t="n"/>
      <c r="AG5406">
        <f>IF($C5406="","",IF(COUNTIF($C$2:$C5406,$C5406)=1,1,0))</f>
        <v/>
      </c>
      <c r="AH5406">
        <f>IF($AG5406=1,SUMPRODUCT(--($AK$2:$AK$6001&lt;$AK5406))+1,"")</f>
        <v/>
      </c>
      <c r="AI5406">
        <f>IF($C5406="","",IF(OR($N5406=TRUE(),$N5406="TRUE"),1,0))</f>
        <v/>
      </c>
      <c r="AJ5406">
        <f>IF($C5406="","",IF($T5406="Yes",1,0))</f>
        <v/>
      </c>
      <c r="AK5406">
        <f>IF($AG5406=1,IFERROR(IF(VALUE($C5406)&lt;100000000,VALUE($C5406),1000000000),IFERROR(IF(VALUE(MID($C5406,2,20))&lt;100000000,VALUE(MID($C5406,2,20)),1000000000),1000000000))+ROW()/100000,"")</f>
        <v/>
      </c>
    </row>
    <row r="5407">
      <c r="D5407" s="11" t="n"/>
      <c r="K5407" s="7">
        <f>IF($C5407="","",J5407*W5407/100)</f>
        <v/>
      </c>
      <c r="Q5407" s="7" t="n"/>
      <c r="R5407" s="7" t="n"/>
      <c r="U5407">
        <f>IF($C5407="","",IF($AJ5407=1,0,IF($AI5407=1,Settings!$C$6,Settings!$C$7))*100)</f>
        <v/>
      </c>
      <c r="V5407" s="7">
        <f>IF($C5407="","",R5407*U5407/100)</f>
        <v/>
      </c>
      <c r="W5407" s="7">
        <f>IF($C5407="","",R5407-V5407)</f>
        <v/>
      </c>
      <c r="X5407" s="7">
        <f>IF($C5407="","",W5407-K5407)</f>
        <v/>
      </c>
      <c r="AB5407" s="7" t="n"/>
      <c r="AE5407" s="11" t="n"/>
      <c r="AG5407">
        <f>IF($C5407="","",IF(COUNTIF($C$2:$C5407,$C5407)=1,1,0))</f>
        <v/>
      </c>
      <c r="AH5407">
        <f>IF($AG5407=1,SUMPRODUCT(--($AK$2:$AK$6001&lt;$AK5407))+1,"")</f>
        <v/>
      </c>
      <c r="AI5407">
        <f>IF($C5407="","",IF(OR($N5407=TRUE(),$N5407="TRUE"),1,0))</f>
        <v/>
      </c>
      <c r="AJ5407">
        <f>IF($C5407="","",IF($T5407="Yes",1,0))</f>
        <v/>
      </c>
      <c r="AK5407">
        <f>IF($AG5407=1,IFERROR(IF(VALUE($C5407)&lt;100000000,VALUE($C5407),1000000000),IFERROR(IF(VALUE(MID($C5407,2,20))&lt;100000000,VALUE(MID($C5407,2,20)),1000000000),1000000000))+ROW()/100000,"")</f>
        <v/>
      </c>
    </row>
    <row r="5408">
      <c r="D5408" s="11" t="n"/>
      <c r="K5408" s="7">
        <f>IF($C5408="","",J5408*W5408/100)</f>
        <v/>
      </c>
      <c r="Q5408" s="7" t="n"/>
      <c r="R5408" s="7" t="n"/>
      <c r="U5408">
        <f>IF($C5408="","",IF($AJ5408=1,0,IF($AI5408=1,Settings!$C$6,Settings!$C$7))*100)</f>
        <v/>
      </c>
      <c r="V5408" s="7">
        <f>IF($C5408="","",R5408*U5408/100)</f>
        <v/>
      </c>
      <c r="W5408" s="7">
        <f>IF($C5408="","",R5408-V5408)</f>
        <v/>
      </c>
      <c r="X5408" s="7">
        <f>IF($C5408="","",W5408-K5408)</f>
        <v/>
      </c>
      <c r="AB5408" s="7" t="n"/>
      <c r="AE5408" s="11" t="n"/>
      <c r="AG5408">
        <f>IF($C5408="","",IF(COUNTIF($C$2:$C5408,$C5408)=1,1,0))</f>
        <v/>
      </c>
      <c r="AH5408">
        <f>IF($AG5408=1,SUMPRODUCT(--($AK$2:$AK$6001&lt;$AK5408))+1,"")</f>
        <v/>
      </c>
      <c r="AI5408">
        <f>IF($C5408="","",IF(OR($N5408=TRUE(),$N5408="TRUE"),1,0))</f>
        <v/>
      </c>
      <c r="AJ5408">
        <f>IF($C5408="","",IF($T5408="Yes",1,0))</f>
        <v/>
      </c>
      <c r="AK5408">
        <f>IF($AG5408=1,IFERROR(IF(VALUE($C5408)&lt;100000000,VALUE($C5408),1000000000),IFERROR(IF(VALUE(MID($C5408,2,20))&lt;100000000,VALUE(MID($C5408,2,20)),1000000000),1000000000))+ROW()/100000,"")</f>
        <v/>
      </c>
    </row>
    <row r="5409">
      <c r="D5409" s="11" t="n"/>
      <c r="K5409" s="7">
        <f>IF($C5409="","",J5409*W5409/100)</f>
        <v/>
      </c>
      <c r="Q5409" s="7" t="n"/>
      <c r="R5409" s="7" t="n"/>
      <c r="U5409">
        <f>IF($C5409="","",IF($AJ5409=1,0,IF($AI5409=1,Settings!$C$6,Settings!$C$7))*100)</f>
        <v/>
      </c>
      <c r="V5409" s="7">
        <f>IF($C5409="","",R5409*U5409/100)</f>
        <v/>
      </c>
      <c r="W5409" s="7">
        <f>IF($C5409="","",R5409-V5409)</f>
        <v/>
      </c>
      <c r="X5409" s="7">
        <f>IF($C5409="","",W5409-K5409)</f>
        <v/>
      </c>
      <c r="AB5409" s="7" t="n"/>
      <c r="AE5409" s="11" t="n"/>
      <c r="AG5409">
        <f>IF($C5409="","",IF(COUNTIF($C$2:$C5409,$C5409)=1,1,0))</f>
        <v/>
      </c>
      <c r="AH5409">
        <f>IF($AG5409=1,SUMPRODUCT(--($AK$2:$AK$6001&lt;$AK5409))+1,"")</f>
        <v/>
      </c>
      <c r="AI5409">
        <f>IF($C5409="","",IF(OR($N5409=TRUE(),$N5409="TRUE"),1,0))</f>
        <v/>
      </c>
      <c r="AJ5409">
        <f>IF($C5409="","",IF($T5409="Yes",1,0))</f>
        <v/>
      </c>
      <c r="AK5409">
        <f>IF($AG5409=1,IFERROR(IF(VALUE($C5409)&lt;100000000,VALUE($C5409),1000000000),IFERROR(IF(VALUE(MID($C5409,2,20))&lt;100000000,VALUE(MID($C5409,2,20)),1000000000),1000000000))+ROW()/100000,"")</f>
        <v/>
      </c>
    </row>
    <row r="5410">
      <c r="D5410" s="11" t="n"/>
      <c r="K5410" s="7">
        <f>IF($C5410="","",J5410*W5410/100)</f>
        <v/>
      </c>
      <c r="Q5410" s="7" t="n"/>
      <c r="R5410" s="7" t="n"/>
      <c r="U5410">
        <f>IF($C5410="","",IF($AJ5410=1,0,IF($AI5410=1,Settings!$C$6,Settings!$C$7))*100)</f>
        <v/>
      </c>
      <c r="V5410" s="7">
        <f>IF($C5410="","",R5410*U5410/100)</f>
        <v/>
      </c>
      <c r="W5410" s="7">
        <f>IF($C5410="","",R5410-V5410)</f>
        <v/>
      </c>
      <c r="X5410" s="7">
        <f>IF($C5410="","",W5410-K5410)</f>
        <v/>
      </c>
      <c r="AB5410" s="7" t="n"/>
      <c r="AE5410" s="11" t="n"/>
      <c r="AG5410">
        <f>IF($C5410="","",IF(COUNTIF($C$2:$C5410,$C5410)=1,1,0))</f>
        <v/>
      </c>
      <c r="AH5410">
        <f>IF($AG5410=1,SUMPRODUCT(--($AK$2:$AK$6001&lt;$AK5410))+1,"")</f>
        <v/>
      </c>
      <c r="AI5410">
        <f>IF($C5410="","",IF(OR($N5410=TRUE(),$N5410="TRUE"),1,0))</f>
        <v/>
      </c>
      <c r="AJ5410">
        <f>IF($C5410="","",IF($T5410="Yes",1,0))</f>
        <v/>
      </c>
      <c r="AK5410">
        <f>IF($AG5410=1,IFERROR(IF(VALUE($C5410)&lt;100000000,VALUE($C5410),1000000000),IFERROR(IF(VALUE(MID($C5410,2,20))&lt;100000000,VALUE(MID($C5410,2,20)),1000000000),1000000000))+ROW()/100000,"")</f>
        <v/>
      </c>
    </row>
    <row r="5411">
      <c r="D5411" s="11" t="n"/>
      <c r="K5411" s="7">
        <f>IF($C5411="","",J5411*W5411/100)</f>
        <v/>
      </c>
      <c r="Q5411" s="7" t="n"/>
      <c r="R5411" s="7" t="n"/>
      <c r="U5411">
        <f>IF($C5411="","",IF($AJ5411=1,0,IF($AI5411=1,Settings!$C$6,Settings!$C$7))*100)</f>
        <v/>
      </c>
      <c r="V5411" s="7">
        <f>IF($C5411="","",R5411*U5411/100)</f>
        <v/>
      </c>
      <c r="W5411" s="7">
        <f>IF($C5411="","",R5411-V5411)</f>
        <v/>
      </c>
      <c r="X5411" s="7">
        <f>IF($C5411="","",W5411-K5411)</f>
        <v/>
      </c>
      <c r="AB5411" s="7" t="n"/>
      <c r="AE5411" s="11" t="n"/>
      <c r="AG5411">
        <f>IF($C5411="","",IF(COUNTIF($C$2:$C5411,$C5411)=1,1,0))</f>
        <v/>
      </c>
      <c r="AH5411">
        <f>IF($AG5411=1,SUMPRODUCT(--($AK$2:$AK$6001&lt;$AK5411))+1,"")</f>
        <v/>
      </c>
      <c r="AI5411">
        <f>IF($C5411="","",IF(OR($N5411=TRUE(),$N5411="TRUE"),1,0))</f>
        <v/>
      </c>
      <c r="AJ5411">
        <f>IF($C5411="","",IF($T5411="Yes",1,0))</f>
        <v/>
      </c>
      <c r="AK5411">
        <f>IF($AG5411=1,IFERROR(IF(VALUE($C5411)&lt;100000000,VALUE($C5411),1000000000),IFERROR(IF(VALUE(MID($C5411,2,20))&lt;100000000,VALUE(MID($C5411,2,20)),1000000000),1000000000))+ROW()/100000,"")</f>
        <v/>
      </c>
    </row>
    <row r="5412">
      <c r="D5412" s="11" t="n"/>
      <c r="K5412" s="7">
        <f>IF($C5412="","",J5412*W5412/100)</f>
        <v/>
      </c>
      <c r="Q5412" s="7" t="n"/>
      <c r="R5412" s="7" t="n"/>
      <c r="U5412">
        <f>IF($C5412="","",IF($AJ5412=1,0,IF($AI5412=1,Settings!$C$6,Settings!$C$7))*100)</f>
        <v/>
      </c>
      <c r="V5412" s="7">
        <f>IF($C5412="","",R5412*U5412/100)</f>
        <v/>
      </c>
      <c r="W5412" s="7">
        <f>IF($C5412="","",R5412-V5412)</f>
        <v/>
      </c>
      <c r="X5412" s="7">
        <f>IF($C5412="","",W5412-K5412)</f>
        <v/>
      </c>
      <c r="AB5412" s="7" t="n"/>
      <c r="AE5412" s="11" t="n"/>
      <c r="AG5412">
        <f>IF($C5412="","",IF(COUNTIF($C$2:$C5412,$C5412)=1,1,0))</f>
        <v/>
      </c>
      <c r="AH5412">
        <f>IF($AG5412=1,SUMPRODUCT(--($AK$2:$AK$6001&lt;$AK5412))+1,"")</f>
        <v/>
      </c>
      <c r="AI5412">
        <f>IF($C5412="","",IF(OR($N5412=TRUE(),$N5412="TRUE"),1,0))</f>
        <v/>
      </c>
      <c r="AJ5412">
        <f>IF($C5412="","",IF($T5412="Yes",1,0))</f>
        <v/>
      </c>
      <c r="AK5412">
        <f>IF($AG5412=1,IFERROR(IF(VALUE($C5412)&lt;100000000,VALUE($C5412),1000000000),IFERROR(IF(VALUE(MID($C5412,2,20))&lt;100000000,VALUE(MID($C5412,2,20)),1000000000),1000000000))+ROW()/100000,"")</f>
        <v/>
      </c>
    </row>
    <row r="5413">
      <c r="D5413" s="11" t="n"/>
      <c r="K5413" s="7">
        <f>IF($C5413="","",J5413*W5413/100)</f>
        <v/>
      </c>
      <c r="Q5413" s="7" t="n"/>
      <c r="R5413" s="7" t="n"/>
      <c r="U5413">
        <f>IF($C5413="","",IF($AJ5413=1,0,IF($AI5413=1,Settings!$C$6,Settings!$C$7))*100)</f>
        <v/>
      </c>
      <c r="V5413" s="7">
        <f>IF($C5413="","",R5413*U5413/100)</f>
        <v/>
      </c>
      <c r="W5413" s="7">
        <f>IF($C5413="","",R5413-V5413)</f>
        <v/>
      </c>
      <c r="X5413" s="7">
        <f>IF($C5413="","",W5413-K5413)</f>
        <v/>
      </c>
      <c r="AB5413" s="7" t="n"/>
      <c r="AE5413" s="11" t="n"/>
      <c r="AG5413">
        <f>IF($C5413="","",IF(COUNTIF($C$2:$C5413,$C5413)=1,1,0))</f>
        <v/>
      </c>
      <c r="AH5413">
        <f>IF($AG5413=1,SUMPRODUCT(--($AK$2:$AK$6001&lt;$AK5413))+1,"")</f>
        <v/>
      </c>
      <c r="AI5413">
        <f>IF($C5413="","",IF(OR($N5413=TRUE(),$N5413="TRUE"),1,0))</f>
        <v/>
      </c>
      <c r="AJ5413">
        <f>IF($C5413="","",IF($T5413="Yes",1,0))</f>
        <v/>
      </c>
      <c r="AK5413">
        <f>IF($AG5413=1,IFERROR(IF(VALUE($C5413)&lt;100000000,VALUE($C5413),1000000000),IFERROR(IF(VALUE(MID($C5413,2,20))&lt;100000000,VALUE(MID($C5413,2,20)),1000000000),1000000000))+ROW()/100000,"")</f>
        <v/>
      </c>
    </row>
    <row r="5414">
      <c r="D5414" s="11" t="n"/>
      <c r="K5414" s="7">
        <f>IF($C5414="","",J5414*W5414/100)</f>
        <v/>
      </c>
      <c r="Q5414" s="7" t="n"/>
      <c r="R5414" s="7" t="n"/>
      <c r="U5414">
        <f>IF($C5414="","",IF($AJ5414=1,0,IF($AI5414=1,Settings!$C$6,Settings!$C$7))*100)</f>
        <v/>
      </c>
      <c r="V5414" s="7">
        <f>IF($C5414="","",R5414*U5414/100)</f>
        <v/>
      </c>
      <c r="W5414" s="7">
        <f>IF($C5414="","",R5414-V5414)</f>
        <v/>
      </c>
      <c r="X5414" s="7">
        <f>IF($C5414="","",W5414-K5414)</f>
        <v/>
      </c>
      <c r="AB5414" s="7" t="n"/>
      <c r="AE5414" s="11" t="n"/>
      <c r="AG5414">
        <f>IF($C5414="","",IF(COUNTIF($C$2:$C5414,$C5414)=1,1,0))</f>
        <v/>
      </c>
      <c r="AH5414">
        <f>IF($AG5414=1,SUMPRODUCT(--($AK$2:$AK$6001&lt;$AK5414))+1,"")</f>
        <v/>
      </c>
      <c r="AI5414">
        <f>IF($C5414="","",IF(OR($N5414=TRUE(),$N5414="TRUE"),1,0))</f>
        <v/>
      </c>
      <c r="AJ5414">
        <f>IF($C5414="","",IF($T5414="Yes",1,0))</f>
        <v/>
      </c>
      <c r="AK5414">
        <f>IF($AG5414=1,IFERROR(IF(VALUE($C5414)&lt;100000000,VALUE($C5414),1000000000),IFERROR(IF(VALUE(MID($C5414,2,20))&lt;100000000,VALUE(MID($C5414,2,20)),1000000000),1000000000))+ROW()/100000,"")</f>
        <v/>
      </c>
    </row>
    <row r="5415">
      <c r="D5415" s="11" t="n"/>
      <c r="K5415" s="7">
        <f>IF($C5415="","",J5415*W5415/100)</f>
        <v/>
      </c>
      <c r="Q5415" s="7" t="n"/>
      <c r="R5415" s="7" t="n"/>
      <c r="U5415">
        <f>IF($C5415="","",IF($AJ5415=1,0,IF($AI5415=1,Settings!$C$6,Settings!$C$7))*100)</f>
        <v/>
      </c>
      <c r="V5415" s="7">
        <f>IF($C5415="","",R5415*U5415/100)</f>
        <v/>
      </c>
      <c r="W5415" s="7">
        <f>IF($C5415="","",R5415-V5415)</f>
        <v/>
      </c>
      <c r="X5415" s="7">
        <f>IF($C5415="","",W5415-K5415)</f>
        <v/>
      </c>
      <c r="AB5415" s="7" t="n"/>
      <c r="AE5415" s="11" t="n"/>
      <c r="AG5415">
        <f>IF($C5415="","",IF(COUNTIF($C$2:$C5415,$C5415)=1,1,0))</f>
        <v/>
      </c>
      <c r="AH5415">
        <f>IF($AG5415=1,SUMPRODUCT(--($AK$2:$AK$6001&lt;$AK5415))+1,"")</f>
        <v/>
      </c>
      <c r="AI5415">
        <f>IF($C5415="","",IF(OR($N5415=TRUE(),$N5415="TRUE"),1,0))</f>
        <v/>
      </c>
      <c r="AJ5415">
        <f>IF($C5415="","",IF($T5415="Yes",1,0))</f>
        <v/>
      </c>
      <c r="AK5415">
        <f>IF($AG5415=1,IFERROR(IF(VALUE($C5415)&lt;100000000,VALUE($C5415),1000000000),IFERROR(IF(VALUE(MID($C5415,2,20))&lt;100000000,VALUE(MID($C5415,2,20)),1000000000),1000000000))+ROW()/100000,"")</f>
        <v/>
      </c>
    </row>
    <row r="5416">
      <c r="D5416" s="11" t="n"/>
      <c r="K5416" s="7">
        <f>IF($C5416="","",J5416*W5416/100)</f>
        <v/>
      </c>
      <c r="Q5416" s="7" t="n"/>
      <c r="R5416" s="7" t="n"/>
      <c r="U5416">
        <f>IF($C5416="","",IF($AJ5416=1,0,IF($AI5416=1,Settings!$C$6,Settings!$C$7))*100)</f>
        <v/>
      </c>
      <c r="V5416" s="7">
        <f>IF($C5416="","",R5416*U5416/100)</f>
        <v/>
      </c>
      <c r="W5416" s="7">
        <f>IF($C5416="","",R5416-V5416)</f>
        <v/>
      </c>
      <c r="X5416" s="7">
        <f>IF($C5416="","",W5416-K5416)</f>
        <v/>
      </c>
      <c r="AB5416" s="7" t="n"/>
      <c r="AE5416" s="11" t="n"/>
      <c r="AG5416">
        <f>IF($C5416="","",IF(COUNTIF($C$2:$C5416,$C5416)=1,1,0))</f>
        <v/>
      </c>
      <c r="AH5416">
        <f>IF($AG5416=1,SUMPRODUCT(--($AK$2:$AK$6001&lt;$AK5416))+1,"")</f>
        <v/>
      </c>
      <c r="AI5416">
        <f>IF($C5416="","",IF(OR($N5416=TRUE(),$N5416="TRUE"),1,0))</f>
        <v/>
      </c>
      <c r="AJ5416">
        <f>IF($C5416="","",IF($T5416="Yes",1,0))</f>
        <v/>
      </c>
      <c r="AK5416">
        <f>IF($AG5416=1,IFERROR(IF(VALUE($C5416)&lt;100000000,VALUE($C5416),1000000000),IFERROR(IF(VALUE(MID($C5416,2,20))&lt;100000000,VALUE(MID($C5416,2,20)),1000000000),1000000000))+ROW()/100000,"")</f>
        <v/>
      </c>
    </row>
    <row r="5417">
      <c r="D5417" s="11" t="n"/>
      <c r="K5417" s="7">
        <f>IF($C5417="","",J5417*W5417/100)</f>
        <v/>
      </c>
      <c r="Q5417" s="7" t="n"/>
      <c r="R5417" s="7" t="n"/>
      <c r="U5417">
        <f>IF($C5417="","",IF($AJ5417=1,0,IF($AI5417=1,Settings!$C$6,Settings!$C$7))*100)</f>
        <v/>
      </c>
      <c r="V5417" s="7">
        <f>IF($C5417="","",R5417*U5417/100)</f>
        <v/>
      </c>
      <c r="W5417" s="7">
        <f>IF($C5417="","",R5417-V5417)</f>
        <v/>
      </c>
      <c r="X5417" s="7">
        <f>IF($C5417="","",W5417-K5417)</f>
        <v/>
      </c>
      <c r="AB5417" s="7" t="n"/>
      <c r="AE5417" s="11" t="n"/>
      <c r="AG5417">
        <f>IF($C5417="","",IF(COUNTIF($C$2:$C5417,$C5417)=1,1,0))</f>
        <v/>
      </c>
      <c r="AH5417">
        <f>IF($AG5417=1,SUMPRODUCT(--($AK$2:$AK$6001&lt;$AK5417))+1,"")</f>
        <v/>
      </c>
      <c r="AI5417">
        <f>IF($C5417="","",IF(OR($N5417=TRUE(),$N5417="TRUE"),1,0))</f>
        <v/>
      </c>
      <c r="AJ5417">
        <f>IF($C5417="","",IF($T5417="Yes",1,0))</f>
        <v/>
      </c>
      <c r="AK5417">
        <f>IF($AG5417=1,IFERROR(IF(VALUE($C5417)&lt;100000000,VALUE($C5417),1000000000),IFERROR(IF(VALUE(MID($C5417,2,20))&lt;100000000,VALUE(MID($C5417,2,20)),1000000000),1000000000))+ROW()/100000,"")</f>
        <v/>
      </c>
    </row>
    <row r="5418">
      <c r="D5418" s="11" t="n"/>
      <c r="K5418" s="7">
        <f>IF($C5418="","",J5418*W5418/100)</f>
        <v/>
      </c>
      <c r="Q5418" s="7" t="n"/>
      <c r="R5418" s="7" t="n"/>
      <c r="U5418">
        <f>IF($C5418="","",IF($AJ5418=1,0,IF($AI5418=1,Settings!$C$6,Settings!$C$7))*100)</f>
        <v/>
      </c>
      <c r="V5418" s="7">
        <f>IF($C5418="","",R5418*U5418/100)</f>
        <v/>
      </c>
      <c r="W5418" s="7">
        <f>IF($C5418="","",R5418-V5418)</f>
        <v/>
      </c>
      <c r="X5418" s="7">
        <f>IF($C5418="","",W5418-K5418)</f>
        <v/>
      </c>
      <c r="AB5418" s="7" t="n"/>
      <c r="AE5418" s="11" t="n"/>
      <c r="AG5418">
        <f>IF($C5418="","",IF(COUNTIF($C$2:$C5418,$C5418)=1,1,0))</f>
        <v/>
      </c>
      <c r="AH5418">
        <f>IF($AG5418=1,SUMPRODUCT(--($AK$2:$AK$6001&lt;$AK5418))+1,"")</f>
        <v/>
      </c>
      <c r="AI5418">
        <f>IF($C5418="","",IF(OR($N5418=TRUE(),$N5418="TRUE"),1,0))</f>
        <v/>
      </c>
      <c r="AJ5418">
        <f>IF($C5418="","",IF($T5418="Yes",1,0))</f>
        <v/>
      </c>
      <c r="AK5418">
        <f>IF($AG5418=1,IFERROR(IF(VALUE($C5418)&lt;100000000,VALUE($C5418),1000000000),IFERROR(IF(VALUE(MID($C5418,2,20))&lt;100000000,VALUE(MID($C5418,2,20)),1000000000),1000000000))+ROW()/100000,"")</f>
        <v/>
      </c>
    </row>
    <row r="5419">
      <c r="D5419" s="11" t="n"/>
      <c r="K5419" s="7">
        <f>IF($C5419="","",J5419*W5419/100)</f>
        <v/>
      </c>
      <c r="Q5419" s="7" t="n"/>
      <c r="R5419" s="7" t="n"/>
      <c r="U5419">
        <f>IF($C5419="","",IF($AJ5419=1,0,IF($AI5419=1,Settings!$C$6,Settings!$C$7))*100)</f>
        <v/>
      </c>
      <c r="V5419" s="7">
        <f>IF($C5419="","",R5419*U5419/100)</f>
        <v/>
      </c>
      <c r="W5419" s="7">
        <f>IF($C5419="","",R5419-V5419)</f>
        <v/>
      </c>
      <c r="X5419" s="7">
        <f>IF($C5419="","",W5419-K5419)</f>
        <v/>
      </c>
      <c r="AB5419" s="7" t="n"/>
      <c r="AE5419" s="11" t="n"/>
      <c r="AG5419">
        <f>IF($C5419="","",IF(COUNTIF($C$2:$C5419,$C5419)=1,1,0))</f>
        <v/>
      </c>
      <c r="AH5419">
        <f>IF($AG5419=1,SUMPRODUCT(--($AK$2:$AK$6001&lt;$AK5419))+1,"")</f>
        <v/>
      </c>
      <c r="AI5419">
        <f>IF($C5419="","",IF(OR($N5419=TRUE(),$N5419="TRUE"),1,0))</f>
        <v/>
      </c>
      <c r="AJ5419">
        <f>IF($C5419="","",IF($T5419="Yes",1,0))</f>
        <v/>
      </c>
      <c r="AK5419">
        <f>IF($AG5419=1,IFERROR(IF(VALUE($C5419)&lt;100000000,VALUE($C5419),1000000000),IFERROR(IF(VALUE(MID($C5419,2,20))&lt;100000000,VALUE(MID($C5419,2,20)),1000000000),1000000000))+ROW()/100000,"")</f>
        <v/>
      </c>
    </row>
    <row r="5420">
      <c r="D5420" s="11" t="n"/>
      <c r="K5420" s="7">
        <f>IF($C5420="","",J5420*W5420/100)</f>
        <v/>
      </c>
      <c r="Q5420" s="7" t="n"/>
      <c r="R5420" s="7" t="n"/>
      <c r="U5420">
        <f>IF($C5420="","",IF($AJ5420=1,0,IF($AI5420=1,Settings!$C$6,Settings!$C$7))*100)</f>
        <v/>
      </c>
      <c r="V5420" s="7">
        <f>IF($C5420="","",R5420*U5420/100)</f>
        <v/>
      </c>
      <c r="W5420" s="7">
        <f>IF($C5420="","",R5420-V5420)</f>
        <v/>
      </c>
      <c r="X5420" s="7">
        <f>IF($C5420="","",W5420-K5420)</f>
        <v/>
      </c>
      <c r="AB5420" s="7" t="n"/>
      <c r="AE5420" s="11" t="n"/>
      <c r="AG5420">
        <f>IF($C5420="","",IF(COUNTIF($C$2:$C5420,$C5420)=1,1,0))</f>
        <v/>
      </c>
      <c r="AH5420">
        <f>IF($AG5420=1,SUMPRODUCT(--($AK$2:$AK$6001&lt;$AK5420))+1,"")</f>
        <v/>
      </c>
      <c r="AI5420">
        <f>IF($C5420="","",IF(OR($N5420=TRUE(),$N5420="TRUE"),1,0))</f>
        <v/>
      </c>
      <c r="AJ5420">
        <f>IF($C5420="","",IF($T5420="Yes",1,0))</f>
        <v/>
      </c>
      <c r="AK5420">
        <f>IF($AG5420=1,IFERROR(IF(VALUE($C5420)&lt;100000000,VALUE($C5420),1000000000),IFERROR(IF(VALUE(MID($C5420,2,20))&lt;100000000,VALUE(MID($C5420,2,20)),1000000000),1000000000))+ROW()/100000,"")</f>
        <v/>
      </c>
    </row>
    <row r="5421">
      <c r="D5421" s="11" t="n"/>
      <c r="K5421" s="7">
        <f>IF($C5421="","",J5421*W5421/100)</f>
        <v/>
      </c>
      <c r="Q5421" s="7" t="n"/>
      <c r="R5421" s="7" t="n"/>
      <c r="U5421">
        <f>IF($C5421="","",IF($AJ5421=1,0,IF($AI5421=1,Settings!$C$6,Settings!$C$7))*100)</f>
        <v/>
      </c>
      <c r="V5421" s="7">
        <f>IF($C5421="","",R5421*U5421/100)</f>
        <v/>
      </c>
      <c r="W5421" s="7">
        <f>IF($C5421="","",R5421-V5421)</f>
        <v/>
      </c>
      <c r="X5421" s="7">
        <f>IF($C5421="","",W5421-K5421)</f>
        <v/>
      </c>
      <c r="AB5421" s="7" t="n"/>
      <c r="AE5421" s="11" t="n"/>
      <c r="AG5421">
        <f>IF($C5421="","",IF(COUNTIF($C$2:$C5421,$C5421)=1,1,0))</f>
        <v/>
      </c>
      <c r="AH5421">
        <f>IF($AG5421=1,SUMPRODUCT(--($AK$2:$AK$6001&lt;$AK5421))+1,"")</f>
        <v/>
      </c>
      <c r="AI5421">
        <f>IF($C5421="","",IF(OR($N5421=TRUE(),$N5421="TRUE"),1,0))</f>
        <v/>
      </c>
      <c r="AJ5421">
        <f>IF($C5421="","",IF($T5421="Yes",1,0))</f>
        <v/>
      </c>
      <c r="AK5421">
        <f>IF($AG5421=1,IFERROR(IF(VALUE($C5421)&lt;100000000,VALUE($C5421),1000000000),IFERROR(IF(VALUE(MID($C5421,2,20))&lt;100000000,VALUE(MID($C5421,2,20)),1000000000),1000000000))+ROW()/100000,"")</f>
        <v/>
      </c>
    </row>
    <row r="5422">
      <c r="D5422" s="11" t="n"/>
      <c r="K5422" s="7">
        <f>IF($C5422="","",J5422*W5422/100)</f>
        <v/>
      </c>
      <c r="Q5422" s="7" t="n"/>
      <c r="R5422" s="7" t="n"/>
      <c r="U5422">
        <f>IF($C5422="","",IF($AJ5422=1,0,IF($AI5422=1,Settings!$C$6,Settings!$C$7))*100)</f>
        <v/>
      </c>
      <c r="V5422" s="7">
        <f>IF($C5422="","",R5422*U5422/100)</f>
        <v/>
      </c>
      <c r="W5422" s="7">
        <f>IF($C5422="","",R5422-V5422)</f>
        <v/>
      </c>
      <c r="X5422" s="7">
        <f>IF($C5422="","",W5422-K5422)</f>
        <v/>
      </c>
      <c r="AB5422" s="7" t="n"/>
      <c r="AE5422" s="11" t="n"/>
      <c r="AG5422">
        <f>IF($C5422="","",IF(COUNTIF($C$2:$C5422,$C5422)=1,1,0))</f>
        <v/>
      </c>
      <c r="AH5422">
        <f>IF($AG5422=1,SUMPRODUCT(--($AK$2:$AK$6001&lt;$AK5422))+1,"")</f>
        <v/>
      </c>
      <c r="AI5422">
        <f>IF($C5422="","",IF(OR($N5422=TRUE(),$N5422="TRUE"),1,0))</f>
        <v/>
      </c>
      <c r="AJ5422">
        <f>IF($C5422="","",IF($T5422="Yes",1,0))</f>
        <v/>
      </c>
      <c r="AK5422">
        <f>IF($AG5422=1,IFERROR(IF(VALUE($C5422)&lt;100000000,VALUE($C5422),1000000000),IFERROR(IF(VALUE(MID($C5422,2,20))&lt;100000000,VALUE(MID($C5422,2,20)),1000000000),1000000000))+ROW()/100000,"")</f>
        <v/>
      </c>
    </row>
    <row r="5423">
      <c r="D5423" s="11" t="n"/>
      <c r="K5423" s="7">
        <f>IF($C5423="","",J5423*W5423/100)</f>
        <v/>
      </c>
      <c r="Q5423" s="7" t="n"/>
      <c r="R5423" s="7" t="n"/>
      <c r="U5423">
        <f>IF($C5423="","",IF($AJ5423=1,0,IF($AI5423=1,Settings!$C$6,Settings!$C$7))*100)</f>
        <v/>
      </c>
      <c r="V5423" s="7">
        <f>IF($C5423="","",R5423*U5423/100)</f>
        <v/>
      </c>
      <c r="W5423" s="7">
        <f>IF($C5423="","",R5423-V5423)</f>
        <v/>
      </c>
      <c r="X5423" s="7">
        <f>IF($C5423="","",W5423-K5423)</f>
        <v/>
      </c>
      <c r="AB5423" s="7" t="n"/>
      <c r="AE5423" s="11" t="n"/>
      <c r="AG5423">
        <f>IF($C5423="","",IF(COUNTIF($C$2:$C5423,$C5423)=1,1,0))</f>
        <v/>
      </c>
      <c r="AH5423">
        <f>IF($AG5423=1,SUMPRODUCT(--($AK$2:$AK$6001&lt;$AK5423))+1,"")</f>
        <v/>
      </c>
      <c r="AI5423">
        <f>IF($C5423="","",IF(OR($N5423=TRUE(),$N5423="TRUE"),1,0))</f>
        <v/>
      </c>
      <c r="AJ5423">
        <f>IF($C5423="","",IF($T5423="Yes",1,0))</f>
        <v/>
      </c>
      <c r="AK5423">
        <f>IF($AG5423=1,IFERROR(IF(VALUE($C5423)&lt;100000000,VALUE($C5423),1000000000),IFERROR(IF(VALUE(MID($C5423,2,20))&lt;100000000,VALUE(MID($C5423,2,20)),1000000000),1000000000))+ROW()/100000,"")</f>
        <v/>
      </c>
    </row>
    <row r="5424">
      <c r="D5424" s="11" t="n"/>
      <c r="K5424" s="7">
        <f>IF($C5424="","",J5424*W5424/100)</f>
        <v/>
      </c>
      <c r="Q5424" s="7" t="n"/>
      <c r="R5424" s="7" t="n"/>
      <c r="U5424">
        <f>IF($C5424="","",IF($AJ5424=1,0,IF($AI5424=1,Settings!$C$6,Settings!$C$7))*100)</f>
        <v/>
      </c>
      <c r="V5424" s="7">
        <f>IF($C5424="","",R5424*U5424/100)</f>
        <v/>
      </c>
      <c r="W5424" s="7">
        <f>IF($C5424="","",R5424-V5424)</f>
        <v/>
      </c>
      <c r="X5424" s="7">
        <f>IF($C5424="","",W5424-K5424)</f>
        <v/>
      </c>
      <c r="AB5424" s="7" t="n"/>
      <c r="AE5424" s="11" t="n"/>
      <c r="AG5424">
        <f>IF($C5424="","",IF(COUNTIF($C$2:$C5424,$C5424)=1,1,0))</f>
        <v/>
      </c>
      <c r="AH5424">
        <f>IF($AG5424=1,SUMPRODUCT(--($AK$2:$AK$6001&lt;$AK5424))+1,"")</f>
        <v/>
      </c>
      <c r="AI5424">
        <f>IF($C5424="","",IF(OR($N5424=TRUE(),$N5424="TRUE"),1,0))</f>
        <v/>
      </c>
      <c r="AJ5424">
        <f>IF($C5424="","",IF($T5424="Yes",1,0))</f>
        <v/>
      </c>
      <c r="AK5424">
        <f>IF($AG5424=1,IFERROR(IF(VALUE($C5424)&lt;100000000,VALUE($C5424),1000000000),IFERROR(IF(VALUE(MID($C5424,2,20))&lt;100000000,VALUE(MID($C5424,2,20)),1000000000),1000000000))+ROW()/100000,"")</f>
        <v/>
      </c>
    </row>
    <row r="5425">
      <c r="D5425" s="11" t="n"/>
      <c r="K5425" s="7">
        <f>IF($C5425="","",J5425*W5425/100)</f>
        <v/>
      </c>
      <c r="Q5425" s="7" t="n"/>
      <c r="R5425" s="7" t="n"/>
      <c r="U5425">
        <f>IF($C5425="","",IF($AJ5425=1,0,IF($AI5425=1,Settings!$C$6,Settings!$C$7))*100)</f>
        <v/>
      </c>
      <c r="V5425" s="7">
        <f>IF($C5425="","",R5425*U5425/100)</f>
        <v/>
      </c>
      <c r="W5425" s="7">
        <f>IF($C5425="","",R5425-V5425)</f>
        <v/>
      </c>
      <c r="X5425" s="7">
        <f>IF($C5425="","",W5425-K5425)</f>
        <v/>
      </c>
      <c r="AB5425" s="7" t="n"/>
      <c r="AE5425" s="11" t="n"/>
      <c r="AG5425">
        <f>IF($C5425="","",IF(COUNTIF($C$2:$C5425,$C5425)=1,1,0))</f>
        <v/>
      </c>
      <c r="AH5425">
        <f>IF($AG5425=1,SUMPRODUCT(--($AK$2:$AK$6001&lt;$AK5425))+1,"")</f>
        <v/>
      </c>
      <c r="AI5425">
        <f>IF($C5425="","",IF(OR($N5425=TRUE(),$N5425="TRUE"),1,0))</f>
        <v/>
      </c>
      <c r="AJ5425">
        <f>IF($C5425="","",IF($T5425="Yes",1,0))</f>
        <v/>
      </c>
      <c r="AK5425">
        <f>IF($AG5425=1,IFERROR(IF(VALUE($C5425)&lt;100000000,VALUE($C5425),1000000000),IFERROR(IF(VALUE(MID($C5425,2,20))&lt;100000000,VALUE(MID($C5425,2,20)),1000000000),1000000000))+ROW()/100000,"")</f>
        <v/>
      </c>
    </row>
    <row r="5426">
      <c r="D5426" s="11" t="n"/>
      <c r="K5426" s="7">
        <f>IF($C5426="","",J5426*W5426/100)</f>
        <v/>
      </c>
      <c r="Q5426" s="7" t="n"/>
      <c r="R5426" s="7" t="n"/>
      <c r="U5426">
        <f>IF($C5426="","",IF($AJ5426=1,0,IF($AI5426=1,Settings!$C$6,Settings!$C$7))*100)</f>
        <v/>
      </c>
      <c r="V5426" s="7">
        <f>IF($C5426="","",R5426*U5426/100)</f>
        <v/>
      </c>
      <c r="W5426" s="7">
        <f>IF($C5426="","",R5426-V5426)</f>
        <v/>
      </c>
      <c r="X5426" s="7">
        <f>IF($C5426="","",W5426-K5426)</f>
        <v/>
      </c>
      <c r="AB5426" s="7" t="n"/>
      <c r="AE5426" s="11" t="n"/>
      <c r="AG5426">
        <f>IF($C5426="","",IF(COUNTIF($C$2:$C5426,$C5426)=1,1,0))</f>
        <v/>
      </c>
      <c r="AH5426">
        <f>IF($AG5426=1,SUMPRODUCT(--($AK$2:$AK$6001&lt;$AK5426))+1,"")</f>
        <v/>
      </c>
      <c r="AI5426">
        <f>IF($C5426="","",IF(OR($N5426=TRUE(),$N5426="TRUE"),1,0))</f>
        <v/>
      </c>
      <c r="AJ5426">
        <f>IF($C5426="","",IF($T5426="Yes",1,0))</f>
        <v/>
      </c>
      <c r="AK5426">
        <f>IF($AG5426=1,IFERROR(IF(VALUE($C5426)&lt;100000000,VALUE($C5426),1000000000),IFERROR(IF(VALUE(MID($C5426,2,20))&lt;100000000,VALUE(MID($C5426,2,20)),1000000000),1000000000))+ROW()/100000,"")</f>
        <v/>
      </c>
    </row>
    <row r="5427">
      <c r="D5427" s="11" t="n"/>
      <c r="K5427" s="7">
        <f>IF($C5427="","",J5427*W5427/100)</f>
        <v/>
      </c>
      <c r="Q5427" s="7" t="n"/>
      <c r="R5427" s="7" t="n"/>
      <c r="U5427">
        <f>IF($C5427="","",IF($AJ5427=1,0,IF($AI5427=1,Settings!$C$6,Settings!$C$7))*100)</f>
        <v/>
      </c>
      <c r="V5427" s="7">
        <f>IF($C5427="","",R5427*U5427/100)</f>
        <v/>
      </c>
      <c r="W5427" s="7">
        <f>IF($C5427="","",R5427-V5427)</f>
        <v/>
      </c>
      <c r="X5427" s="7">
        <f>IF($C5427="","",W5427-K5427)</f>
        <v/>
      </c>
      <c r="AB5427" s="7" t="n"/>
      <c r="AE5427" s="11" t="n"/>
      <c r="AG5427">
        <f>IF($C5427="","",IF(COUNTIF($C$2:$C5427,$C5427)=1,1,0))</f>
        <v/>
      </c>
      <c r="AH5427">
        <f>IF($AG5427=1,SUMPRODUCT(--($AK$2:$AK$6001&lt;$AK5427))+1,"")</f>
        <v/>
      </c>
      <c r="AI5427">
        <f>IF($C5427="","",IF(OR($N5427=TRUE(),$N5427="TRUE"),1,0))</f>
        <v/>
      </c>
      <c r="AJ5427">
        <f>IF($C5427="","",IF($T5427="Yes",1,0))</f>
        <v/>
      </c>
      <c r="AK5427">
        <f>IF($AG5427=1,IFERROR(IF(VALUE($C5427)&lt;100000000,VALUE($C5427),1000000000),IFERROR(IF(VALUE(MID($C5427,2,20))&lt;100000000,VALUE(MID($C5427,2,20)),1000000000),1000000000))+ROW()/100000,"")</f>
        <v/>
      </c>
    </row>
    <row r="5428">
      <c r="D5428" s="11" t="n"/>
      <c r="K5428" s="7">
        <f>IF($C5428="","",J5428*W5428/100)</f>
        <v/>
      </c>
      <c r="Q5428" s="7" t="n"/>
      <c r="R5428" s="7" t="n"/>
      <c r="U5428">
        <f>IF($C5428="","",IF($AJ5428=1,0,IF($AI5428=1,Settings!$C$6,Settings!$C$7))*100)</f>
        <v/>
      </c>
      <c r="V5428" s="7">
        <f>IF($C5428="","",R5428*U5428/100)</f>
        <v/>
      </c>
      <c r="W5428" s="7">
        <f>IF($C5428="","",R5428-V5428)</f>
        <v/>
      </c>
      <c r="X5428" s="7">
        <f>IF($C5428="","",W5428-K5428)</f>
        <v/>
      </c>
      <c r="AB5428" s="7" t="n"/>
      <c r="AE5428" s="11" t="n"/>
      <c r="AG5428">
        <f>IF($C5428="","",IF(COUNTIF($C$2:$C5428,$C5428)=1,1,0))</f>
        <v/>
      </c>
      <c r="AH5428">
        <f>IF($AG5428=1,SUMPRODUCT(--($AK$2:$AK$6001&lt;$AK5428))+1,"")</f>
        <v/>
      </c>
      <c r="AI5428">
        <f>IF($C5428="","",IF(OR($N5428=TRUE(),$N5428="TRUE"),1,0))</f>
        <v/>
      </c>
      <c r="AJ5428">
        <f>IF($C5428="","",IF($T5428="Yes",1,0))</f>
        <v/>
      </c>
      <c r="AK5428">
        <f>IF($AG5428=1,IFERROR(IF(VALUE($C5428)&lt;100000000,VALUE($C5428),1000000000),IFERROR(IF(VALUE(MID($C5428,2,20))&lt;100000000,VALUE(MID($C5428,2,20)),1000000000),1000000000))+ROW()/100000,"")</f>
        <v/>
      </c>
    </row>
    <row r="5429">
      <c r="D5429" s="11" t="n"/>
      <c r="K5429" s="7">
        <f>IF($C5429="","",J5429*W5429/100)</f>
        <v/>
      </c>
      <c r="Q5429" s="7" t="n"/>
      <c r="R5429" s="7" t="n"/>
      <c r="U5429">
        <f>IF($C5429="","",IF($AJ5429=1,0,IF($AI5429=1,Settings!$C$6,Settings!$C$7))*100)</f>
        <v/>
      </c>
      <c r="V5429" s="7">
        <f>IF($C5429="","",R5429*U5429/100)</f>
        <v/>
      </c>
      <c r="W5429" s="7">
        <f>IF($C5429="","",R5429-V5429)</f>
        <v/>
      </c>
      <c r="X5429" s="7">
        <f>IF($C5429="","",W5429-K5429)</f>
        <v/>
      </c>
      <c r="AB5429" s="7" t="n"/>
      <c r="AE5429" s="11" t="n"/>
      <c r="AG5429">
        <f>IF($C5429="","",IF(COUNTIF($C$2:$C5429,$C5429)=1,1,0))</f>
        <v/>
      </c>
      <c r="AH5429">
        <f>IF($AG5429=1,SUMPRODUCT(--($AK$2:$AK$6001&lt;$AK5429))+1,"")</f>
        <v/>
      </c>
      <c r="AI5429">
        <f>IF($C5429="","",IF(OR($N5429=TRUE(),$N5429="TRUE"),1,0))</f>
        <v/>
      </c>
      <c r="AJ5429">
        <f>IF($C5429="","",IF($T5429="Yes",1,0))</f>
        <v/>
      </c>
      <c r="AK5429">
        <f>IF($AG5429=1,IFERROR(IF(VALUE($C5429)&lt;100000000,VALUE($C5429),1000000000),IFERROR(IF(VALUE(MID($C5429,2,20))&lt;100000000,VALUE(MID($C5429,2,20)),1000000000),1000000000))+ROW()/100000,"")</f>
        <v/>
      </c>
    </row>
    <row r="5430">
      <c r="D5430" s="11" t="n"/>
      <c r="K5430" s="7">
        <f>IF($C5430="","",J5430*W5430/100)</f>
        <v/>
      </c>
      <c r="Q5430" s="7" t="n"/>
      <c r="R5430" s="7" t="n"/>
      <c r="U5430">
        <f>IF($C5430="","",IF($AJ5430=1,0,IF($AI5430=1,Settings!$C$6,Settings!$C$7))*100)</f>
        <v/>
      </c>
      <c r="V5430" s="7">
        <f>IF($C5430="","",R5430*U5430/100)</f>
        <v/>
      </c>
      <c r="W5430" s="7">
        <f>IF($C5430="","",R5430-V5430)</f>
        <v/>
      </c>
      <c r="X5430" s="7">
        <f>IF($C5430="","",W5430-K5430)</f>
        <v/>
      </c>
      <c r="AB5430" s="7" t="n"/>
      <c r="AE5430" s="11" t="n"/>
      <c r="AG5430">
        <f>IF($C5430="","",IF(COUNTIF($C$2:$C5430,$C5430)=1,1,0))</f>
        <v/>
      </c>
      <c r="AH5430">
        <f>IF($AG5430=1,SUMPRODUCT(--($AK$2:$AK$6001&lt;$AK5430))+1,"")</f>
        <v/>
      </c>
      <c r="AI5430">
        <f>IF($C5430="","",IF(OR($N5430=TRUE(),$N5430="TRUE"),1,0))</f>
        <v/>
      </c>
      <c r="AJ5430">
        <f>IF($C5430="","",IF($T5430="Yes",1,0))</f>
        <v/>
      </c>
      <c r="AK5430">
        <f>IF($AG5430=1,IFERROR(IF(VALUE($C5430)&lt;100000000,VALUE($C5430),1000000000),IFERROR(IF(VALUE(MID($C5430,2,20))&lt;100000000,VALUE(MID($C5430,2,20)),1000000000),1000000000))+ROW()/100000,"")</f>
        <v/>
      </c>
    </row>
    <row r="5431">
      <c r="D5431" s="11" t="n"/>
      <c r="K5431" s="7">
        <f>IF($C5431="","",J5431*W5431/100)</f>
        <v/>
      </c>
      <c r="Q5431" s="7" t="n"/>
      <c r="R5431" s="7" t="n"/>
      <c r="U5431">
        <f>IF($C5431="","",IF($AJ5431=1,0,IF($AI5431=1,Settings!$C$6,Settings!$C$7))*100)</f>
        <v/>
      </c>
      <c r="V5431" s="7">
        <f>IF($C5431="","",R5431*U5431/100)</f>
        <v/>
      </c>
      <c r="W5431" s="7">
        <f>IF($C5431="","",R5431-V5431)</f>
        <v/>
      </c>
      <c r="X5431" s="7">
        <f>IF($C5431="","",W5431-K5431)</f>
        <v/>
      </c>
      <c r="AB5431" s="7" t="n"/>
      <c r="AE5431" s="11" t="n"/>
      <c r="AG5431">
        <f>IF($C5431="","",IF(COUNTIF($C$2:$C5431,$C5431)=1,1,0))</f>
        <v/>
      </c>
      <c r="AH5431">
        <f>IF($AG5431=1,SUMPRODUCT(--($AK$2:$AK$6001&lt;$AK5431))+1,"")</f>
        <v/>
      </c>
      <c r="AI5431">
        <f>IF($C5431="","",IF(OR($N5431=TRUE(),$N5431="TRUE"),1,0))</f>
        <v/>
      </c>
      <c r="AJ5431">
        <f>IF($C5431="","",IF($T5431="Yes",1,0))</f>
        <v/>
      </c>
      <c r="AK5431">
        <f>IF($AG5431=1,IFERROR(IF(VALUE($C5431)&lt;100000000,VALUE($C5431),1000000000),IFERROR(IF(VALUE(MID($C5431,2,20))&lt;100000000,VALUE(MID($C5431,2,20)),1000000000),1000000000))+ROW()/100000,"")</f>
        <v/>
      </c>
    </row>
    <row r="5432">
      <c r="D5432" s="11" t="n"/>
      <c r="K5432" s="7">
        <f>IF($C5432="","",J5432*W5432/100)</f>
        <v/>
      </c>
      <c r="Q5432" s="7" t="n"/>
      <c r="R5432" s="7" t="n"/>
      <c r="U5432">
        <f>IF($C5432="","",IF($AJ5432=1,0,IF($AI5432=1,Settings!$C$6,Settings!$C$7))*100)</f>
        <v/>
      </c>
      <c r="V5432" s="7">
        <f>IF($C5432="","",R5432*U5432/100)</f>
        <v/>
      </c>
      <c r="W5432" s="7">
        <f>IF($C5432="","",R5432-V5432)</f>
        <v/>
      </c>
      <c r="X5432" s="7">
        <f>IF($C5432="","",W5432-K5432)</f>
        <v/>
      </c>
      <c r="AB5432" s="7" t="n"/>
      <c r="AE5432" s="11" t="n"/>
      <c r="AG5432">
        <f>IF($C5432="","",IF(COUNTIF($C$2:$C5432,$C5432)=1,1,0))</f>
        <v/>
      </c>
      <c r="AH5432">
        <f>IF($AG5432=1,SUMPRODUCT(--($AK$2:$AK$6001&lt;$AK5432))+1,"")</f>
        <v/>
      </c>
      <c r="AI5432">
        <f>IF($C5432="","",IF(OR($N5432=TRUE(),$N5432="TRUE"),1,0))</f>
        <v/>
      </c>
      <c r="AJ5432">
        <f>IF($C5432="","",IF($T5432="Yes",1,0))</f>
        <v/>
      </c>
      <c r="AK5432">
        <f>IF($AG5432=1,IFERROR(IF(VALUE($C5432)&lt;100000000,VALUE($C5432),1000000000),IFERROR(IF(VALUE(MID($C5432,2,20))&lt;100000000,VALUE(MID($C5432,2,20)),1000000000),1000000000))+ROW()/100000,"")</f>
        <v/>
      </c>
    </row>
    <row r="5433">
      <c r="D5433" s="11" t="n"/>
      <c r="K5433" s="7">
        <f>IF($C5433="","",J5433*W5433/100)</f>
        <v/>
      </c>
      <c r="Q5433" s="7" t="n"/>
      <c r="R5433" s="7" t="n"/>
      <c r="U5433">
        <f>IF($C5433="","",IF($AJ5433=1,0,IF($AI5433=1,Settings!$C$6,Settings!$C$7))*100)</f>
        <v/>
      </c>
      <c r="V5433" s="7">
        <f>IF($C5433="","",R5433*U5433/100)</f>
        <v/>
      </c>
      <c r="W5433" s="7">
        <f>IF($C5433="","",R5433-V5433)</f>
        <v/>
      </c>
      <c r="X5433" s="7">
        <f>IF($C5433="","",W5433-K5433)</f>
        <v/>
      </c>
      <c r="AB5433" s="7" t="n"/>
      <c r="AE5433" s="11" t="n"/>
      <c r="AG5433">
        <f>IF($C5433="","",IF(COUNTIF($C$2:$C5433,$C5433)=1,1,0))</f>
        <v/>
      </c>
      <c r="AH5433">
        <f>IF($AG5433=1,SUMPRODUCT(--($AK$2:$AK$6001&lt;$AK5433))+1,"")</f>
        <v/>
      </c>
      <c r="AI5433">
        <f>IF($C5433="","",IF(OR($N5433=TRUE(),$N5433="TRUE"),1,0))</f>
        <v/>
      </c>
      <c r="AJ5433">
        <f>IF($C5433="","",IF($T5433="Yes",1,0))</f>
        <v/>
      </c>
      <c r="AK5433">
        <f>IF($AG5433=1,IFERROR(IF(VALUE($C5433)&lt;100000000,VALUE($C5433),1000000000),IFERROR(IF(VALUE(MID($C5433,2,20))&lt;100000000,VALUE(MID($C5433,2,20)),1000000000),1000000000))+ROW()/100000,"")</f>
        <v/>
      </c>
    </row>
    <row r="5434">
      <c r="D5434" s="11" t="n"/>
      <c r="K5434" s="7">
        <f>IF($C5434="","",J5434*W5434/100)</f>
        <v/>
      </c>
      <c r="Q5434" s="7" t="n"/>
      <c r="R5434" s="7" t="n"/>
      <c r="U5434">
        <f>IF($C5434="","",IF($AJ5434=1,0,IF($AI5434=1,Settings!$C$6,Settings!$C$7))*100)</f>
        <v/>
      </c>
      <c r="V5434" s="7">
        <f>IF($C5434="","",R5434*U5434/100)</f>
        <v/>
      </c>
      <c r="W5434" s="7">
        <f>IF($C5434="","",R5434-V5434)</f>
        <v/>
      </c>
      <c r="X5434" s="7">
        <f>IF($C5434="","",W5434-K5434)</f>
        <v/>
      </c>
      <c r="AB5434" s="7" t="n"/>
      <c r="AE5434" s="11" t="n"/>
      <c r="AG5434">
        <f>IF($C5434="","",IF(COUNTIF($C$2:$C5434,$C5434)=1,1,0))</f>
        <v/>
      </c>
      <c r="AH5434">
        <f>IF($AG5434=1,SUMPRODUCT(--($AK$2:$AK$6001&lt;$AK5434))+1,"")</f>
        <v/>
      </c>
      <c r="AI5434">
        <f>IF($C5434="","",IF(OR($N5434=TRUE(),$N5434="TRUE"),1,0))</f>
        <v/>
      </c>
      <c r="AJ5434">
        <f>IF($C5434="","",IF($T5434="Yes",1,0))</f>
        <v/>
      </c>
      <c r="AK5434">
        <f>IF($AG5434=1,IFERROR(IF(VALUE($C5434)&lt;100000000,VALUE($C5434),1000000000),IFERROR(IF(VALUE(MID($C5434,2,20))&lt;100000000,VALUE(MID($C5434,2,20)),1000000000),1000000000))+ROW()/100000,"")</f>
        <v/>
      </c>
    </row>
    <row r="5435">
      <c r="D5435" s="11" t="n"/>
      <c r="K5435" s="7">
        <f>IF($C5435="","",J5435*W5435/100)</f>
        <v/>
      </c>
      <c r="Q5435" s="7" t="n"/>
      <c r="R5435" s="7" t="n"/>
      <c r="U5435">
        <f>IF($C5435="","",IF($AJ5435=1,0,IF($AI5435=1,Settings!$C$6,Settings!$C$7))*100)</f>
        <v/>
      </c>
      <c r="V5435" s="7">
        <f>IF($C5435="","",R5435*U5435/100)</f>
        <v/>
      </c>
      <c r="W5435" s="7">
        <f>IF($C5435="","",R5435-V5435)</f>
        <v/>
      </c>
      <c r="X5435" s="7">
        <f>IF($C5435="","",W5435-K5435)</f>
        <v/>
      </c>
      <c r="AB5435" s="7" t="n"/>
      <c r="AE5435" s="11" t="n"/>
      <c r="AG5435">
        <f>IF($C5435="","",IF(COUNTIF($C$2:$C5435,$C5435)=1,1,0))</f>
        <v/>
      </c>
      <c r="AH5435">
        <f>IF($AG5435=1,SUMPRODUCT(--($AK$2:$AK$6001&lt;$AK5435))+1,"")</f>
        <v/>
      </c>
      <c r="AI5435">
        <f>IF($C5435="","",IF(OR($N5435=TRUE(),$N5435="TRUE"),1,0))</f>
        <v/>
      </c>
      <c r="AJ5435">
        <f>IF($C5435="","",IF($T5435="Yes",1,0))</f>
        <v/>
      </c>
      <c r="AK5435">
        <f>IF($AG5435=1,IFERROR(IF(VALUE($C5435)&lt;100000000,VALUE($C5435),1000000000),IFERROR(IF(VALUE(MID($C5435,2,20))&lt;100000000,VALUE(MID($C5435,2,20)),1000000000),1000000000))+ROW()/100000,"")</f>
        <v/>
      </c>
    </row>
    <row r="5436">
      <c r="D5436" s="11" t="n"/>
      <c r="K5436" s="7">
        <f>IF($C5436="","",J5436*W5436/100)</f>
        <v/>
      </c>
      <c r="Q5436" s="7" t="n"/>
      <c r="R5436" s="7" t="n"/>
      <c r="U5436">
        <f>IF($C5436="","",IF($AJ5436=1,0,IF($AI5436=1,Settings!$C$6,Settings!$C$7))*100)</f>
        <v/>
      </c>
      <c r="V5436" s="7">
        <f>IF($C5436="","",R5436*U5436/100)</f>
        <v/>
      </c>
      <c r="W5436" s="7">
        <f>IF($C5436="","",R5436-V5436)</f>
        <v/>
      </c>
      <c r="X5436" s="7">
        <f>IF($C5436="","",W5436-K5436)</f>
        <v/>
      </c>
      <c r="AB5436" s="7" t="n"/>
      <c r="AE5436" s="11" t="n"/>
      <c r="AG5436">
        <f>IF($C5436="","",IF(COUNTIF($C$2:$C5436,$C5436)=1,1,0))</f>
        <v/>
      </c>
      <c r="AH5436">
        <f>IF($AG5436=1,SUMPRODUCT(--($AK$2:$AK$6001&lt;$AK5436))+1,"")</f>
        <v/>
      </c>
      <c r="AI5436">
        <f>IF($C5436="","",IF(OR($N5436=TRUE(),$N5436="TRUE"),1,0))</f>
        <v/>
      </c>
      <c r="AJ5436">
        <f>IF($C5436="","",IF($T5436="Yes",1,0))</f>
        <v/>
      </c>
      <c r="AK5436">
        <f>IF($AG5436=1,IFERROR(IF(VALUE($C5436)&lt;100000000,VALUE($C5436),1000000000),IFERROR(IF(VALUE(MID($C5436,2,20))&lt;100000000,VALUE(MID($C5436,2,20)),1000000000),1000000000))+ROW()/100000,"")</f>
        <v/>
      </c>
    </row>
    <row r="5437">
      <c r="D5437" s="11" t="n"/>
      <c r="K5437" s="7">
        <f>IF($C5437="","",J5437*W5437/100)</f>
        <v/>
      </c>
      <c r="Q5437" s="7" t="n"/>
      <c r="R5437" s="7" t="n"/>
      <c r="U5437">
        <f>IF($C5437="","",IF($AJ5437=1,0,IF($AI5437=1,Settings!$C$6,Settings!$C$7))*100)</f>
        <v/>
      </c>
      <c r="V5437" s="7">
        <f>IF($C5437="","",R5437*U5437/100)</f>
        <v/>
      </c>
      <c r="W5437" s="7">
        <f>IF($C5437="","",R5437-V5437)</f>
        <v/>
      </c>
      <c r="X5437" s="7">
        <f>IF($C5437="","",W5437-K5437)</f>
        <v/>
      </c>
      <c r="AB5437" s="7" t="n"/>
      <c r="AE5437" s="11" t="n"/>
      <c r="AG5437">
        <f>IF($C5437="","",IF(COUNTIF($C$2:$C5437,$C5437)=1,1,0))</f>
        <v/>
      </c>
      <c r="AH5437">
        <f>IF($AG5437=1,SUMPRODUCT(--($AK$2:$AK$6001&lt;$AK5437))+1,"")</f>
        <v/>
      </c>
      <c r="AI5437">
        <f>IF($C5437="","",IF(OR($N5437=TRUE(),$N5437="TRUE"),1,0))</f>
        <v/>
      </c>
      <c r="AJ5437">
        <f>IF($C5437="","",IF($T5437="Yes",1,0))</f>
        <v/>
      </c>
      <c r="AK5437">
        <f>IF($AG5437=1,IFERROR(IF(VALUE($C5437)&lt;100000000,VALUE($C5437),1000000000),IFERROR(IF(VALUE(MID($C5437,2,20))&lt;100000000,VALUE(MID($C5437,2,20)),1000000000),1000000000))+ROW()/100000,"")</f>
        <v/>
      </c>
    </row>
    <row r="5438">
      <c r="D5438" s="11" t="n"/>
      <c r="K5438" s="7">
        <f>IF($C5438="","",J5438*W5438/100)</f>
        <v/>
      </c>
      <c r="Q5438" s="7" t="n"/>
      <c r="R5438" s="7" t="n"/>
      <c r="U5438">
        <f>IF($C5438="","",IF($AJ5438=1,0,IF($AI5438=1,Settings!$C$6,Settings!$C$7))*100)</f>
        <v/>
      </c>
      <c r="V5438" s="7">
        <f>IF($C5438="","",R5438*U5438/100)</f>
        <v/>
      </c>
      <c r="W5438" s="7">
        <f>IF($C5438="","",R5438-V5438)</f>
        <v/>
      </c>
      <c r="X5438" s="7">
        <f>IF($C5438="","",W5438-K5438)</f>
        <v/>
      </c>
      <c r="AB5438" s="7" t="n"/>
      <c r="AE5438" s="11" t="n"/>
      <c r="AG5438">
        <f>IF($C5438="","",IF(COUNTIF($C$2:$C5438,$C5438)=1,1,0))</f>
        <v/>
      </c>
      <c r="AH5438">
        <f>IF($AG5438=1,SUMPRODUCT(--($AK$2:$AK$6001&lt;$AK5438))+1,"")</f>
        <v/>
      </c>
      <c r="AI5438">
        <f>IF($C5438="","",IF(OR($N5438=TRUE(),$N5438="TRUE"),1,0))</f>
        <v/>
      </c>
      <c r="AJ5438">
        <f>IF($C5438="","",IF($T5438="Yes",1,0))</f>
        <v/>
      </c>
      <c r="AK5438">
        <f>IF($AG5438=1,IFERROR(IF(VALUE($C5438)&lt;100000000,VALUE($C5438),1000000000),IFERROR(IF(VALUE(MID($C5438,2,20))&lt;100000000,VALUE(MID($C5438,2,20)),1000000000),1000000000))+ROW()/100000,"")</f>
        <v/>
      </c>
    </row>
    <row r="5439">
      <c r="D5439" s="11" t="n"/>
      <c r="K5439" s="7">
        <f>IF($C5439="","",J5439*W5439/100)</f>
        <v/>
      </c>
      <c r="Q5439" s="7" t="n"/>
      <c r="R5439" s="7" t="n"/>
      <c r="U5439">
        <f>IF($C5439="","",IF($AJ5439=1,0,IF($AI5439=1,Settings!$C$6,Settings!$C$7))*100)</f>
        <v/>
      </c>
      <c r="V5439" s="7">
        <f>IF($C5439="","",R5439*U5439/100)</f>
        <v/>
      </c>
      <c r="W5439" s="7">
        <f>IF($C5439="","",R5439-V5439)</f>
        <v/>
      </c>
      <c r="X5439" s="7">
        <f>IF($C5439="","",W5439-K5439)</f>
        <v/>
      </c>
      <c r="AB5439" s="7" t="n"/>
      <c r="AE5439" s="11" t="n"/>
      <c r="AG5439">
        <f>IF($C5439="","",IF(COUNTIF($C$2:$C5439,$C5439)=1,1,0))</f>
        <v/>
      </c>
      <c r="AH5439">
        <f>IF($AG5439=1,SUMPRODUCT(--($AK$2:$AK$6001&lt;$AK5439))+1,"")</f>
        <v/>
      </c>
      <c r="AI5439">
        <f>IF($C5439="","",IF(OR($N5439=TRUE(),$N5439="TRUE"),1,0))</f>
        <v/>
      </c>
      <c r="AJ5439">
        <f>IF($C5439="","",IF($T5439="Yes",1,0))</f>
        <v/>
      </c>
      <c r="AK5439">
        <f>IF($AG5439=1,IFERROR(IF(VALUE($C5439)&lt;100000000,VALUE($C5439),1000000000),IFERROR(IF(VALUE(MID($C5439,2,20))&lt;100000000,VALUE(MID($C5439,2,20)),1000000000),1000000000))+ROW()/100000,"")</f>
        <v/>
      </c>
    </row>
    <row r="5440">
      <c r="D5440" s="11" t="n"/>
      <c r="K5440" s="7">
        <f>IF($C5440="","",J5440*W5440/100)</f>
        <v/>
      </c>
      <c r="Q5440" s="7" t="n"/>
      <c r="R5440" s="7" t="n"/>
      <c r="U5440">
        <f>IF($C5440="","",IF($AJ5440=1,0,IF($AI5440=1,Settings!$C$6,Settings!$C$7))*100)</f>
        <v/>
      </c>
      <c r="V5440" s="7">
        <f>IF($C5440="","",R5440*U5440/100)</f>
        <v/>
      </c>
      <c r="W5440" s="7">
        <f>IF($C5440="","",R5440-V5440)</f>
        <v/>
      </c>
      <c r="X5440" s="7">
        <f>IF($C5440="","",W5440-K5440)</f>
        <v/>
      </c>
      <c r="AB5440" s="7" t="n"/>
      <c r="AE5440" s="11" t="n"/>
      <c r="AG5440">
        <f>IF($C5440="","",IF(COUNTIF($C$2:$C5440,$C5440)=1,1,0))</f>
        <v/>
      </c>
      <c r="AH5440">
        <f>IF($AG5440=1,SUMPRODUCT(--($AK$2:$AK$6001&lt;$AK5440))+1,"")</f>
        <v/>
      </c>
      <c r="AI5440">
        <f>IF($C5440="","",IF(OR($N5440=TRUE(),$N5440="TRUE"),1,0))</f>
        <v/>
      </c>
      <c r="AJ5440">
        <f>IF($C5440="","",IF($T5440="Yes",1,0))</f>
        <v/>
      </c>
      <c r="AK5440">
        <f>IF($AG5440=1,IFERROR(IF(VALUE($C5440)&lt;100000000,VALUE($C5440),1000000000),IFERROR(IF(VALUE(MID($C5440,2,20))&lt;100000000,VALUE(MID($C5440,2,20)),1000000000),1000000000))+ROW()/100000,"")</f>
        <v/>
      </c>
    </row>
    <row r="5441">
      <c r="D5441" s="11" t="n"/>
      <c r="K5441" s="7">
        <f>IF($C5441="","",J5441*W5441/100)</f>
        <v/>
      </c>
      <c r="Q5441" s="7" t="n"/>
      <c r="R5441" s="7" t="n"/>
      <c r="U5441">
        <f>IF($C5441="","",IF($AJ5441=1,0,IF($AI5441=1,Settings!$C$6,Settings!$C$7))*100)</f>
        <v/>
      </c>
      <c r="V5441" s="7">
        <f>IF($C5441="","",R5441*U5441/100)</f>
        <v/>
      </c>
      <c r="W5441" s="7">
        <f>IF($C5441="","",R5441-V5441)</f>
        <v/>
      </c>
      <c r="X5441" s="7">
        <f>IF($C5441="","",W5441-K5441)</f>
        <v/>
      </c>
      <c r="AB5441" s="7" t="n"/>
      <c r="AE5441" s="11" t="n"/>
      <c r="AG5441">
        <f>IF($C5441="","",IF(COUNTIF($C$2:$C5441,$C5441)=1,1,0))</f>
        <v/>
      </c>
      <c r="AH5441">
        <f>IF($AG5441=1,SUMPRODUCT(--($AK$2:$AK$6001&lt;$AK5441))+1,"")</f>
        <v/>
      </c>
      <c r="AI5441">
        <f>IF($C5441="","",IF(OR($N5441=TRUE(),$N5441="TRUE"),1,0))</f>
        <v/>
      </c>
      <c r="AJ5441">
        <f>IF($C5441="","",IF($T5441="Yes",1,0))</f>
        <v/>
      </c>
      <c r="AK5441">
        <f>IF($AG5441=1,IFERROR(IF(VALUE($C5441)&lt;100000000,VALUE($C5441),1000000000),IFERROR(IF(VALUE(MID($C5441,2,20))&lt;100000000,VALUE(MID($C5441,2,20)),1000000000),1000000000))+ROW()/100000,"")</f>
        <v/>
      </c>
    </row>
    <row r="5442">
      <c r="D5442" s="11" t="n"/>
      <c r="K5442" s="7">
        <f>IF($C5442="","",J5442*W5442/100)</f>
        <v/>
      </c>
      <c r="Q5442" s="7" t="n"/>
      <c r="R5442" s="7" t="n"/>
      <c r="U5442">
        <f>IF($C5442="","",IF($AJ5442=1,0,IF($AI5442=1,Settings!$C$6,Settings!$C$7))*100)</f>
        <v/>
      </c>
      <c r="V5442" s="7">
        <f>IF($C5442="","",R5442*U5442/100)</f>
        <v/>
      </c>
      <c r="W5442" s="7">
        <f>IF($C5442="","",R5442-V5442)</f>
        <v/>
      </c>
      <c r="X5442" s="7">
        <f>IF($C5442="","",W5442-K5442)</f>
        <v/>
      </c>
      <c r="AB5442" s="7" t="n"/>
      <c r="AE5442" s="11" t="n"/>
      <c r="AG5442">
        <f>IF($C5442="","",IF(COUNTIF($C$2:$C5442,$C5442)=1,1,0))</f>
        <v/>
      </c>
      <c r="AH5442">
        <f>IF($AG5442=1,SUMPRODUCT(--($AK$2:$AK$6001&lt;$AK5442))+1,"")</f>
        <v/>
      </c>
      <c r="AI5442">
        <f>IF($C5442="","",IF(OR($N5442=TRUE(),$N5442="TRUE"),1,0))</f>
        <v/>
      </c>
      <c r="AJ5442">
        <f>IF($C5442="","",IF($T5442="Yes",1,0))</f>
        <v/>
      </c>
      <c r="AK5442">
        <f>IF($AG5442=1,IFERROR(IF(VALUE($C5442)&lt;100000000,VALUE($C5442),1000000000),IFERROR(IF(VALUE(MID($C5442,2,20))&lt;100000000,VALUE(MID($C5442,2,20)),1000000000),1000000000))+ROW()/100000,"")</f>
        <v/>
      </c>
    </row>
    <row r="5443">
      <c r="D5443" s="11" t="n"/>
      <c r="K5443" s="7">
        <f>IF($C5443="","",J5443*W5443/100)</f>
        <v/>
      </c>
      <c r="Q5443" s="7" t="n"/>
      <c r="R5443" s="7" t="n"/>
      <c r="U5443">
        <f>IF($C5443="","",IF($AJ5443=1,0,IF($AI5443=1,Settings!$C$6,Settings!$C$7))*100)</f>
        <v/>
      </c>
      <c r="V5443" s="7">
        <f>IF($C5443="","",R5443*U5443/100)</f>
        <v/>
      </c>
      <c r="W5443" s="7">
        <f>IF($C5443="","",R5443-V5443)</f>
        <v/>
      </c>
      <c r="X5443" s="7">
        <f>IF($C5443="","",W5443-K5443)</f>
        <v/>
      </c>
      <c r="AB5443" s="7" t="n"/>
      <c r="AE5443" s="11" t="n"/>
      <c r="AG5443">
        <f>IF($C5443="","",IF(COUNTIF($C$2:$C5443,$C5443)=1,1,0))</f>
        <v/>
      </c>
      <c r="AH5443">
        <f>IF($AG5443=1,SUMPRODUCT(--($AK$2:$AK$6001&lt;$AK5443))+1,"")</f>
        <v/>
      </c>
      <c r="AI5443">
        <f>IF($C5443="","",IF(OR($N5443=TRUE(),$N5443="TRUE"),1,0))</f>
        <v/>
      </c>
      <c r="AJ5443">
        <f>IF($C5443="","",IF($T5443="Yes",1,0))</f>
        <v/>
      </c>
      <c r="AK5443">
        <f>IF($AG5443=1,IFERROR(IF(VALUE($C5443)&lt;100000000,VALUE($C5443),1000000000),IFERROR(IF(VALUE(MID($C5443,2,20))&lt;100000000,VALUE(MID($C5443,2,20)),1000000000),1000000000))+ROW()/100000,"")</f>
        <v/>
      </c>
    </row>
    <row r="5444">
      <c r="D5444" s="11" t="n"/>
      <c r="K5444" s="7">
        <f>IF($C5444="","",J5444*W5444/100)</f>
        <v/>
      </c>
      <c r="Q5444" s="7" t="n"/>
      <c r="R5444" s="7" t="n"/>
      <c r="U5444">
        <f>IF($C5444="","",IF($AJ5444=1,0,IF($AI5444=1,Settings!$C$6,Settings!$C$7))*100)</f>
        <v/>
      </c>
      <c r="V5444" s="7">
        <f>IF($C5444="","",R5444*U5444/100)</f>
        <v/>
      </c>
      <c r="W5444" s="7">
        <f>IF($C5444="","",R5444-V5444)</f>
        <v/>
      </c>
      <c r="X5444" s="7">
        <f>IF($C5444="","",W5444-K5444)</f>
        <v/>
      </c>
      <c r="AB5444" s="7" t="n"/>
      <c r="AE5444" s="11" t="n"/>
      <c r="AG5444">
        <f>IF($C5444="","",IF(COUNTIF($C$2:$C5444,$C5444)=1,1,0))</f>
        <v/>
      </c>
      <c r="AH5444">
        <f>IF($AG5444=1,SUMPRODUCT(--($AK$2:$AK$6001&lt;$AK5444))+1,"")</f>
        <v/>
      </c>
      <c r="AI5444">
        <f>IF($C5444="","",IF(OR($N5444=TRUE(),$N5444="TRUE"),1,0))</f>
        <v/>
      </c>
      <c r="AJ5444">
        <f>IF($C5444="","",IF($T5444="Yes",1,0))</f>
        <v/>
      </c>
      <c r="AK5444">
        <f>IF($AG5444=1,IFERROR(IF(VALUE($C5444)&lt;100000000,VALUE($C5444),1000000000),IFERROR(IF(VALUE(MID($C5444,2,20))&lt;100000000,VALUE(MID($C5444,2,20)),1000000000),1000000000))+ROW()/100000,"")</f>
        <v/>
      </c>
    </row>
    <row r="5445">
      <c r="D5445" s="11" t="n"/>
      <c r="K5445" s="7">
        <f>IF($C5445="","",J5445*W5445/100)</f>
        <v/>
      </c>
      <c r="Q5445" s="7" t="n"/>
      <c r="R5445" s="7" t="n"/>
      <c r="U5445">
        <f>IF($C5445="","",IF($AJ5445=1,0,IF($AI5445=1,Settings!$C$6,Settings!$C$7))*100)</f>
        <v/>
      </c>
      <c r="V5445" s="7">
        <f>IF($C5445="","",R5445*U5445/100)</f>
        <v/>
      </c>
      <c r="W5445" s="7">
        <f>IF($C5445="","",R5445-V5445)</f>
        <v/>
      </c>
      <c r="X5445" s="7">
        <f>IF($C5445="","",W5445-K5445)</f>
        <v/>
      </c>
      <c r="AB5445" s="7" t="n"/>
      <c r="AE5445" s="11" t="n"/>
      <c r="AG5445">
        <f>IF($C5445="","",IF(COUNTIF($C$2:$C5445,$C5445)=1,1,0))</f>
        <v/>
      </c>
      <c r="AH5445">
        <f>IF($AG5445=1,SUMPRODUCT(--($AK$2:$AK$6001&lt;$AK5445))+1,"")</f>
        <v/>
      </c>
      <c r="AI5445">
        <f>IF($C5445="","",IF(OR($N5445=TRUE(),$N5445="TRUE"),1,0))</f>
        <v/>
      </c>
      <c r="AJ5445">
        <f>IF($C5445="","",IF($T5445="Yes",1,0))</f>
        <v/>
      </c>
      <c r="AK5445">
        <f>IF($AG5445=1,IFERROR(IF(VALUE($C5445)&lt;100000000,VALUE($C5445),1000000000),IFERROR(IF(VALUE(MID($C5445,2,20))&lt;100000000,VALUE(MID($C5445,2,20)),1000000000),1000000000))+ROW()/100000,"")</f>
        <v/>
      </c>
    </row>
    <row r="5446">
      <c r="D5446" s="11" t="n"/>
      <c r="K5446" s="7">
        <f>IF($C5446="","",J5446*W5446/100)</f>
        <v/>
      </c>
      <c r="Q5446" s="7" t="n"/>
      <c r="R5446" s="7" t="n"/>
      <c r="U5446">
        <f>IF($C5446="","",IF($AJ5446=1,0,IF($AI5446=1,Settings!$C$6,Settings!$C$7))*100)</f>
        <v/>
      </c>
      <c r="V5446" s="7">
        <f>IF($C5446="","",R5446*U5446/100)</f>
        <v/>
      </c>
      <c r="W5446" s="7">
        <f>IF($C5446="","",R5446-V5446)</f>
        <v/>
      </c>
      <c r="X5446" s="7">
        <f>IF($C5446="","",W5446-K5446)</f>
        <v/>
      </c>
      <c r="AB5446" s="7" t="n"/>
      <c r="AE5446" s="11" t="n"/>
      <c r="AG5446">
        <f>IF($C5446="","",IF(COUNTIF($C$2:$C5446,$C5446)=1,1,0))</f>
        <v/>
      </c>
      <c r="AH5446">
        <f>IF($AG5446=1,SUMPRODUCT(--($AK$2:$AK$6001&lt;$AK5446))+1,"")</f>
        <v/>
      </c>
      <c r="AI5446">
        <f>IF($C5446="","",IF(OR($N5446=TRUE(),$N5446="TRUE"),1,0))</f>
        <v/>
      </c>
      <c r="AJ5446">
        <f>IF($C5446="","",IF($T5446="Yes",1,0))</f>
        <v/>
      </c>
      <c r="AK5446">
        <f>IF($AG5446=1,IFERROR(IF(VALUE($C5446)&lt;100000000,VALUE($C5446),1000000000),IFERROR(IF(VALUE(MID($C5446,2,20))&lt;100000000,VALUE(MID($C5446,2,20)),1000000000),1000000000))+ROW()/100000,"")</f>
        <v/>
      </c>
    </row>
    <row r="5447">
      <c r="D5447" s="11" t="n"/>
      <c r="K5447" s="7">
        <f>IF($C5447="","",J5447*W5447/100)</f>
        <v/>
      </c>
      <c r="Q5447" s="7" t="n"/>
      <c r="R5447" s="7" t="n"/>
      <c r="U5447">
        <f>IF($C5447="","",IF($AJ5447=1,0,IF($AI5447=1,Settings!$C$6,Settings!$C$7))*100)</f>
        <v/>
      </c>
      <c r="V5447" s="7">
        <f>IF($C5447="","",R5447*U5447/100)</f>
        <v/>
      </c>
      <c r="W5447" s="7">
        <f>IF($C5447="","",R5447-V5447)</f>
        <v/>
      </c>
      <c r="X5447" s="7">
        <f>IF($C5447="","",W5447-K5447)</f>
        <v/>
      </c>
      <c r="AB5447" s="7" t="n"/>
      <c r="AE5447" s="11" t="n"/>
      <c r="AG5447">
        <f>IF($C5447="","",IF(COUNTIF($C$2:$C5447,$C5447)=1,1,0))</f>
        <v/>
      </c>
      <c r="AH5447">
        <f>IF($AG5447=1,SUMPRODUCT(--($AK$2:$AK$6001&lt;$AK5447))+1,"")</f>
        <v/>
      </c>
      <c r="AI5447">
        <f>IF($C5447="","",IF(OR($N5447=TRUE(),$N5447="TRUE"),1,0))</f>
        <v/>
      </c>
      <c r="AJ5447">
        <f>IF($C5447="","",IF($T5447="Yes",1,0))</f>
        <v/>
      </c>
      <c r="AK5447">
        <f>IF($AG5447=1,IFERROR(IF(VALUE($C5447)&lt;100000000,VALUE($C5447),1000000000),IFERROR(IF(VALUE(MID($C5447,2,20))&lt;100000000,VALUE(MID($C5447,2,20)),1000000000),1000000000))+ROW()/100000,"")</f>
        <v/>
      </c>
    </row>
    <row r="5448">
      <c r="D5448" s="11" t="n"/>
      <c r="K5448" s="7">
        <f>IF($C5448="","",J5448*W5448/100)</f>
        <v/>
      </c>
      <c r="Q5448" s="7" t="n"/>
      <c r="R5448" s="7" t="n"/>
      <c r="U5448">
        <f>IF($C5448="","",IF($AJ5448=1,0,IF($AI5448=1,Settings!$C$6,Settings!$C$7))*100)</f>
        <v/>
      </c>
      <c r="V5448" s="7">
        <f>IF($C5448="","",R5448*U5448/100)</f>
        <v/>
      </c>
      <c r="W5448" s="7">
        <f>IF($C5448="","",R5448-V5448)</f>
        <v/>
      </c>
      <c r="X5448" s="7">
        <f>IF($C5448="","",W5448-K5448)</f>
        <v/>
      </c>
      <c r="AB5448" s="7" t="n"/>
      <c r="AE5448" s="11" t="n"/>
      <c r="AG5448">
        <f>IF($C5448="","",IF(COUNTIF($C$2:$C5448,$C5448)=1,1,0))</f>
        <v/>
      </c>
      <c r="AH5448">
        <f>IF($AG5448=1,SUMPRODUCT(--($AK$2:$AK$6001&lt;$AK5448))+1,"")</f>
        <v/>
      </c>
      <c r="AI5448">
        <f>IF($C5448="","",IF(OR($N5448=TRUE(),$N5448="TRUE"),1,0))</f>
        <v/>
      </c>
      <c r="AJ5448">
        <f>IF($C5448="","",IF($T5448="Yes",1,0))</f>
        <v/>
      </c>
      <c r="AK5448">
        <f>IF($AG5448=1,IFERROR(IF(VALUE($C5448)&lt;100000000,VALUE($C5448),1000000000),IFERROR(IF(VALUE(MID($C5448,2,20))&lt;100000000,VALUE(MID($C5448,2,20)),1000000000),1000000000))+ROW()/100000,"")</f>
        <v/>
      </c>
    </row>
    <row r="5449">
      <c r="D5449" s="11" t="n"/>
      <c r="K5449" s="7">
        <f>IF($C5449="","",J5449*W5449/100)</f>
        <v/>
      </c>
      <c r="Q5449" s="7" t="n"/>
      <c r="R5449" s="7" t="n"/>
      <c r="U5449">
        <f>IF($C5449="","",IF($AJ5449=1,0,IF($AI5449=1,Settings!$C$6,Settings!$C$7))*100)</f>
        <v/>
      </c>
      <c r="V5449" s="7">
        <f>IF($C5449="","",R5449*U5449/100)</f>
        <v/>
      </c>
      <c r="W5449" s="7">
        <f>IF($C5449="","",R5449-V5449)</f>
        <v/>
      </c>
      <c r="X5449" s="7">
        <f>IF($C5449="","",W5449-K5449)</f>
        <v/>
      </c>
      <c r="AB5449" s="7" t="n"/>
      <c r="AE5449" s="11" t="n"/>
      <c r="AG5449">
        <f>IF($C5449="","",IF(COUNTIF($C$2:$C5449,$C5449)=1,1,0))</f>
        <v/>
      </c>
      <c r="AH5449">
        <f>IF($AG5449=1,SUMPRODUCT(--($AK$2:$AK$6001&lt;$AK5449))+1,"")</f>
        <v/>
      </c>
      <c r="AI5449">
        <f>IF($C5449="","",IF(OR($N5449=TRUE(),$N5449="TRUE"),1,0))</f>
        <v/>
      </c>
      <c r="AJ5449">
        <f>IF($C5449="","",IF($T5449="Yes",1,0))</f>
        <v/>
      </c>
      <c r="AK5449">
        <f>IF($AG5449=1,IFERROR(IF(VALUE($C5449)&lt;100000000,VALUE($C5449),1000000000),IFERROR(IF(VALUE(MID($C5449,2,20))&lt;100000000,VALUE(MID($C5449,2,20)),1000000000),1000000000))+ROW()/100000,"")</f>
        <v/>
      </c>
    </row>
    <row r="5450">
      <c r="D5450" s="11" t="n"/>
      <c r="K5450" s="7">
        <f>IF($C5450="","",J5450*W5450/100)</f>
        <v/>
      </c>
      <c r="Q5450" s="7" t="n"/>
      <c r="R5450" s="7" t="n"/>
      <c r="U5450">
        <f>IF($C5450="","",IF($AJ5450=1,0,IF($AI5450=1,Settings!$C$6,Settings!$C$7))*100)</f>
        <v/>
      </c>
      <c r="V5450" s="7">
        <f>IF($C5450="","",R5450*U5450/100)</f>
        <v/>
      </c>
      <c r="W5450" s="7">
        <f>IF($C5450="","",R5450-V5450)</f>
        <v/>
      </c>
      <c r="X5450" s="7">
        <f>IF($C5450="","",W5450-K5450)</f>
        <v/>
      </c>
      <c r="AB5450" s="7" t="n"/>
      <c r="AE5450" s="11" t="n"/>
      <c r="AG5450">
        <f>IF($C5450="","",IF(COUNTIF($C$2:$C5450,$C5450)=1,1,0))</f>
        <v/>
      </c>
      <c r="AH5450">
        <f>IF($AG5450=1,SUMPRODUCT(--($AK$2:$AK$6001&lt;$AK5450))+1,"")</f>
        <v/>
      </c>
      <c r="AI5450">
        <f>IF($C5450="","",IF(OR($N5450=TRUE(),$N5450="TRUE"),1,0))</f>
        <v/>
      </c>
      <c r="AJ5450">
        <f>IF($C5450="","",IF($T5450="Yes",1,0))</f>
        <v/>
      </c>
      <c r="AK5450">
        <f>IF($AG5450=1,IFERROR(IF(VALUE($C5450)&lt;100000000,VALUE($C5450),1000000000),IFERROR(IF(VALUE(MID($C5450,2,20))&lt;100000000,VALUE(MID($C5450,2,20)),1000000000),1000000000))+ROW()/100000,"")</f>
        <v/>
      </c>
    </row>
    <row r="5451">
      <c r="D5451" s="11" t="n"/>
      <c r="K5451" s="7">
        <f>IF($C5451="","",J5451*W5451/100)</f>
        <v/>
      </c>
      <c r="Q5451" s="7" t="n"/>
      <c r="R5451" s="7" t="n"/>
      <c r="U5451">
        <f>IF($C5451="","",IF($AJ5451=1,0,IF($AI5451=1,Settings!$C$6,Settings!$C$7))*100)</f>
        <v/>
      </c>
      <c r="V5451" s="7">
        <f>IF($C5451="","",R5451*U5451/100)</f>
        <v/>
      </c>
      <c r="W5451" s="7">
        <f>IF($C5451="","",R5451-V5451)</f>
        <v/>
      </c>
      <c r="X5451" s="7">
        <f>IF($C5451="","",W5451-K5451)</f>
        <v/>
      </c>
      <c r="AB5451" s="7" t="n"/>
      <c r="AE5451" s="11" t="n"/>
      <c r="AG5451">
        <f>IF($C5451="","",IF(COUNTIF($C$2:$C5451,$C5451)=1,1,0))</f>
        <v/>
      </c>
      <c r="AH5451">
        <f>IF($AG5451=1,SUMPRODUCT(--($AK$2:$AK$6001&lt;$AK5451))+1,"")</f>
        <v/>
      </c>
      <c r="AI5451">
        <f>IF($C5451="","",IF(OR($N5451=TRUE(),$N5451="TRUE"),1,0))</f>
        <v/>
      </c>
      <c r="AJ5451">
        <f>IF($C5451="","",IF($T5451="Yes",1,0))</f>
        <v/>
      </c>
      <c r="AK5451">
        <f>IF($AG5451=1,IFERROR(IF(VALUE($C5451)&lt;100000000,VALUE($C5451),1000000000),IFERROR(IF(VALUE(MID($C5451,2,20))&lt;100000000,VALUE(MID($C5451,2,20)),1000000000),1000000000))+ROW()/100000,"")</f>
        <v/>
      </c>
    </row>
    <row r="5452">
      <c r="D5452" s="11" t="n"/>
      <c r="K5452" s="7">
        <f>IF($C5452="","",J5452*W5452/100)</f>
        <v/>
      </c>
      <c r="Q5452" s="7" t="n"/>
      <c r="R5452" s="7" t="n"/>
      <c r="U5452">
        <f>IF($C5452="","",IF($AJ5452=1,0,IF($AI5452=1,Settings!$C$6,Settings!$C$7))*100)</f>
        <v/>
      </c>
      <c r="V5452" s="7">
        <f>IF($C5452="","",R5452*U5452/100)</f>
        <v/>
      </c>
      <c r="W5452" s="7">
        <f>IF($C5452="","",R5452-V5452)</f>
        <v/>
      </c>
      <c r="X5452" s="7">
        <f>IF($C5452="","",W5452-K5452)</f>
        <v/>
      </c>
      <c r="AB5452" s="7" t="n"/>
      <c r="AE5452" s="11" t="n"/>
      <c r="AG5452">
        <f>IF($C5452="","",IF(COUNTIF($C$2:$C5452,$C5452)=1,1,0))</f>
        <v/>
      </c>
      <c r="AH5452">
        <f>IF($AG5452=1,SUMPRODUCT(--($AK$2:$AK$6001&lt;$AK5452))+1,"")</f>
        <v/>
      </c>
      <c r="AI5452">
        <f>IF($C5452="","",IF(OR($N5452=TRUE(),$N5452="TRUE"),1,0))</f>
        <v/>
      </c>
      <c r="AJ5452">
        <f>IF($C5452="","",IF($T5452="Yes",1,0))</f>
        <v/>
      </c>
      <c r="AK5452">
        <f>IF($AG5452=1,IFERROR(IF(VALUE($C5452)&lt;100000000,VALUE($C5452),1000000000),IFERROR(IF(VALUE(MID($C5452,2,20))&lt;100000000,VALUE(MID($C5452,2,20)),1000000000),1000000000))+ROW()/100000,"")</f>
        <v/>
      </c>
    </row>
    <row r="5453">
      <c r="D5453" s="11" t="n"/>
      <c r="K5453" s="7">
        <f>IF($C5453="","",J5453*W5453/100)</f>
        <v/>
      </c>
      <c r="Q5453" s="7" t="n"/>
      <c r="R5453" s="7" t="n"/>
      <c r="U5453">
        <f>IF($C5453="","",IF($AJ5453=1,0,IF($AI5453=1,Settings!$C$6,Settings!$C$7))*100)</f>
        <v/>
      </c>
      <c r="V5453" s="7">
        <f>IF($C5453="","",R5453*U5453/100)</f>
        <v/>
      </c>
      <c r="W5453" s="7">
        <f>IF($C5453="","",R5453-V5453)</f>
        <v/>
      </c>
      <c r="X5453" s="7">
        <f>IF($C5453="","",W5453-K5453)</f>
        <v/>
      </c>
      <c r="AB5453" s="7" t="n"/>
      <c r="AE5453" s="11" t="n"/>
      <c r="AG5453">
        <f>IF($C5453="","",IF(COUNTIF($C$2:$C5453,$C5453)=1,1,0))</f>
        <v/>
      </c>
      <c r="AH5453">
        <f>IF($AG5453=1,SUMPRODUCT(--($AK$2:$AK$6001&lt;$AK5453))+1,"")</f>
        <v/>
      </c>
      <c r="AI5453">
        <f>IF($C5453="","",IF(OR($N5453=TRUE(),$N5453="TRUE"),1,0))</f>
        <v/>
      </c>
      <c r="AJ5453">
        <f>IF($C5453="","",IF($T5453="Yes",1,0))</f>
        <v/>
      </c>
      <c r="AK5453">
        <f>IF($AG5453=1,IFERROR(IF(VALUE($C5453)&lt;100000000,VALUE($C5453),1000000000),IFERROR(IF(VALUE(MID($C5453,2,20))&lt;100000000,VALUE(MID($C5453,2,20)),1000000000),1000000000))+ROW()/100000,"")</f>
        <v/>
      </c>
    </row>
    <row r="5454">
      <c r="D5454" s="11" t="n"/>
      <c r="K5454" s="7">
        <f>IF($C5454="","",J5454*W5454/100)</f>
        <v/>
      </c>
      <c r="Q5454" s="7" t="n"/>
      <c r="R5454" s="7" t="n"/>
      <c r="U5454">
        <f>IF($C5454="","",IF($AJ5454=1,0,IF($AI5454=1,Settings!$C$6,Settings!$C$7))*100)</f>
        <v/>
      </c>
      <c r="V5454" s="7">
        <f>IF($C5454="","",R5454*U5454/100)</f>
        <v/>
      </c>
      <c r="W5454" s="7">
        <f>IF($C5454="","",R5454-V5454)</f>
        <v/>
      </c>
      <c r="X5454" s="7">
        <f>IF($C5454="","",W5454-K5454)</f>
        <v/>
      </c>
      <c r="AB5454" s="7" t="n"/>
      <c r="AE5454" s="11" t="n"/>
      <c r="AG5454">
        <f>IF($C5454="","",IF(COUNTIF($C$2:$C5454,$C5454)=1,1,0))</f>
        <v/>
      </c>
      <c r="AH5454">
        <f>IF($AG5454=1,SUMPRODUCT(--($AK$2:$AK$6001&lt;$AK5454))+1,"")</f>
        <v/>
      </c>
      <c r="AI5454">
        <f>IF($C5454="","",IF(OR($N5454=TRUE(),$N5454="TRUE"),1,0))</f>
        <v/>
      </c>
      <c r="AJ5454">
        <f>IF($C5454="","",IF($T5454="Yes",1,0))</f>
        <v/>
      </c>
      <c r="AK5454">
        <f>IF($AG5454=1,IFERROR(IF(VALUE($C5454)&lt;100000000,VALUE($C5454),1000000000),IFERROR(IF(VALUE(MID($C5454,2,20))&lt;100000000,VALUE(MID($C5454,2,20)),1000000000),1000000000))+ROW()/100000,"")</f>
        <v/>
      </c>
    </row>
    <row r="5455">
      <c r="D5455" s="11" t="n"/>
      <c r="K5455" s="7">
        <f>IF($C5455="","",J5455*W5455/100)</f>
        <v/>
      </c>
      <c r="Q5455" s="7" t="n"/>
      <c r="R5455" s="7" t="n"/>
      <c r="U5455">
        <f>IF($C5455="","",IF($AJ5455=1,0,IF($AI5455=1,Settings!$C$6,Settings!$C$7))*100)</f>
        <v/>
      </c>
      <c r="V5455" s="7">
        <f>IF($C5455="","",R5455*U5455/100)</f>
        <v/>
      </c>
      <c r="W5455" s="7">
        <f>IF($C5455="","",R5455-V5455)</f>
        <v/>
      </c>
      <c r="X5455" s="7">
        <f>IF($C5455="","",W5455-K5455)</f>
        <v/>
      </c>
      <c r="AB5455" s="7" t="n"/>
      <c r="AE5455" s="11" t="n"/>
      <c r="AG5455">
        <f>IF($C5455="","",IF(COUNTIF($C$2:$C5455,$C5455)=1,1,0))</f>
        <v/>
      </c>
      <c r="AH5455">
        <f>IF($AG5455=1,SUMPRODUCT(--($AK$2:$AK$6001&lt;$AK5455))+1,"")</f>
        <v/>
      </c>
      <c r="AI5455">
        <f>IF($C5455="","",IF(OR($N5455=TRUE(),$N5455="TRUE"),1,0))</f>
        <v/>
      </c>
      <c r="AJ5455">
        <f>IF($C5455="","",IF($T5455="Yes",1,0))</f>
        <v/>
      </c>
      <c r="AK5455">
        <f>IF($AG5455=1,IFERROR(IF(VALUE($C5455)&lt;100000000,VALUE($C5455),1000000000),IFERROR(IF(VALUE(MID($C5455,2,20))&lt;100000000,VALUE(MID($C5455,2,20)),1000000000),1000000000))+ROW()/100000,"")</f>
        <v/>
      </c>
    </row>
    <row r="5456">
      <c r="D5456" s="11" t="n"/>
      <c r="K5456" s="7">
        <f>IF($C5456="","",J5456*W5456/100)</f>
        <v/>
      </c>
      <c r="Q5456" s="7" t="n"/>
      <c r="R5456" s="7" t="n"/>
      <c r="U5456">
        <f>IF($C5456="","",IF($AJ5456=1,0,IF($AI5456=1,Settings!$C$6,Settings!$C$7))*100)</f>
        <v/>
      </c>
      <c r="V5456" s="7">
        <f>IF($C5456="","",R5456*U5456/100)</f>
        <v/>
      </c>
      <c r="W5456" s="7">
        <f>IF($C5456="","",R5456-V5456)</f>
        <v/>
      </c>
      <c r="X5456" s="7">
        <f>IF($C5456="","",W5456-K5456)</f>
        <v/>
      </c>
      <c r="AB5456" s="7" t="n"/>
      <c r="AE5456" s="11" t="n"/>
      <c r="AG5456">
        <f>IF($C5456="","",IF(COUNTIF($C$2:$C5456,$C5456)=1,1,0))</f>
        <v/>
      </c>
      <c r="AH5456">
        <f>IF($AG5456=1,SUMPRODUCT(--($AK$2:$AK$6001&lt;$AK5456))+1,"")</f>
        <v/>
      </c>
      <c r="AI5456">
        <f>IF($C5456="","",IF(OR($N5456=TRUE(),$N5456="TRUE"),1,0))</f>
        <v/>
      </c>
      <c r="AJ5456">
        <f>IF($C5456="","",IF($T5456="Yes",1,0))</f>
        <v/>
      </c>
      <c r="AK5456">
        <f>IF($AG5456=1,IFERROR(IF(VALUE($C5456)&lt;100000000,VALUE($C5456),1000000000),IFERROR(IF(VALUE(MID($C5456,2,20))&lt;100000000,VALUE(MID($C5456,2,20)),1000000000),1000000000))+ROW()/100000,"")</f>
        <v/>
      </c>
    </row>
    <row r="5457">
      <c r="D5457" s="11" t="n"/>
      <c r="K5457" s="7">
        <f>IF($C5457="","",J5457*W5457/100)</f>
        <v/>
      </c>
      <c r="Q5457" s="7" t="n"/>
      <c r="R5457" s="7" t="n"/>
      <c r="U5457">
        <f>IF($C5457="","",IF($AJ5457=1,0,IF($AI5457=1,Settings!$C$6,Settings!$C$7))*100)</f>
        <v/>
      </c>
      <c r="V5457" s="7">
        <f>IF($C5457="","",R5457*U5457/100)</f>
        <v/>
      </c>
      <c r="W5457" s="7">
        <f>IF($C5457="","",R5457-V5457)</f>
        <v/>
      </c>
      <c r="X5457" s="7">
        <f>IF($C5457="","",W5457-K5457)</f>
        <v/>
      </c>
      <c r="AB5457" s="7" t="n"/>
      <c r="AE5457" s="11" t="n"/>
      <c r="AG5457">
        <f>IF($C5457="","",IF(COUNTIF($C$2:$C5457,$C5457)=1,1,0))</f>
        <v/>
      </c>
      <c r="AH5457">
        <f>IF($AG5457=1,SUMPRODUCT(--($AK$2:$AK$6001&lt;$AK5457))+1,"")</f>
        <v/>
      </c>
      <c r="AI5457">
        <f>IF($C5457="","",IF(OR($N5457=TRUE(),$N5457="TRUE"),1,0))</f>
        <v/>
      </c>
      <c r="AJ5457">
        <f>IF($C5457="","",IF($T5457="Yes",1,0))</f>
        <v/>
      </c>
      <c r="AK5457">
        <f>IF($AG5457=1,IFERROR(IF(VALUE($C5457)&lt;100000000,VALUE($C5457),1000000000),IFERROR(IF(VALUE(MID($C5457,2,20))&lt;100000000,VALUE(MID($C5457,2,20)),1000000000),1000000000))+ROW()/100000,"")</f>
        <v/>
      </c>
    </row>
    <row r="5458">
      <c r="D5458" s="11" t="n"/>
      <c r="K5458" s="7">
        <f>IF($C5458="","",J5458*W5458/100)</f>
        <v/>
      </c>
      <c r="Q5458" s="7" t="n"/>
      <c r="R5458" s="7" t="n"/>
      <c r="U5458">
        <f>IF($C5458="","",IF($AJ5458=1,0,IF($AI5458=1,Settings!$C$6,Settings!$C$7))*100)</f>
        <v/>
      </c>
      <c r="V5458" s="7">
        <f>IF($C5458="","",R5458*U5458/100)</f>
        <v/>
      </c>
      <c r="W5458" s="7">
        <f>IF($C5458="","",R5458-V5458)</f>
        <v/>
      </c>
      <c r="X5458" s="7">
        <f>IF($C5458="","",W5458-K5458)</f>
        <v/>
      </c>
      <c r="AB5458" s="7" t="n"/>
      <c r="AE5458" s="11" t="n"/>
      <c r="AG5458">
        <f>IF($C5458="","",IF(COUNTIF($C$2:$C5458,$C5458)=1,1,0))</f>
        <v/>
      </c>
      <c r="AH5458">
        <f>IF($AG5458=1,SUMPRODUCT(--($AK$2:$AK$6001&lt;$AK5458))+1,"")</f>
        <v/>
      </c>
      <c r="AI5458">
        <f>IF($C5458="","",IF(OR($N5458=TRUE(),$N5458="TRUE"),1,0))</f>
        <v/>
      </c>
      <c r="AJ5458">
        <f>IF($C5458="","",IF($T5458="Yes",1,0))</f>
        <v/>
      </c>
      <c r="AK5458">
        <f>IF($AG5458=1,IFERROR(IF(VALUE($C5458)&lt;100000000,VALUE($C5458),1000000000),IFERROR(IF(VALUE(MID($C5458,2,20))&lt;100000000,VALUE(MID($C5458,2,20)),1000000000),1000000000))+ROW()/100000,"")</f>
        <v/>
      </c>
    </row>
    <row r="5459">
      <c r="D5459" s="11" t="n"/>
      <c r="K5459" s="7">
        <f>IF($C5459="","",J5459*W5459/100)</f>
        <v/>
      </c>
      <c r="Q5459" s="7" t="n"/>
      <c r="R5459" s="7" t="n"/>
      <c r="U5459">
        <f>IF($C5459="","",IF($AJ5459=1,0,IF($AI5459=1,Settings!$C$6,Settings!$C$7))*100)</f>
        <v/>
      </c>
      <c r="V5459" s="7">
        <f>IF($C5459="","",R5459*U5459/100)</f>
        <v/>
      </c>
      <c r="W5459" s="7">
        <f>IF($C5459="","",R5459-V5459)</f>
        <v/>
      </c>
      <c r="X5459" s="7">
        <f>IF($C5459="","",W5459-K5459)</f>
        <v/>
      </c>
      <c r="AB5459" s="7" t="n"/>
      <c r="AE5459" s="11" t="n"/>
      <c r="AG5459">
        <f>IF($C5459="","",IF(COUNTIF($C$2:$C5459,$C5459)=1,1,0))</f>
        <v/>
      </c>
      <c r="AH5459">
        <f>IF($AG5459=1,SUMPRODUCT(--($AK$2:$AK$6001&lt;$AK5459))+1,"")</f>
        <v/>
      </c>
      <c r="AI5459">
        <f>IF($C5459="","",IF(OR($N5459=TRUE(),$N5459="TRUE"),1,0))</f>
        <v/>
      </c>
      <c r="AJ5459">
        <f>IF($C5459="","",IF($T5459="Yes",1,0))</f>
        <v/>
      </c>
      <c r="AK5459">
        <f>IF($AG5459=1,IFERROR(IF(VALUE($C5459)&lt;100000000,VALUE($C5459),1000000000),IFERROR(IF(VALUE(MID($C5459,2,20))&lt;100000000,VALUE(MID($C5459,2,20)),1000000000),1000000000))+ROW()/100000,"")</f>
        <v/>
      </c>
    </row>
    <row r="5460">
      <c r="D5460" s="11" t="n"/>
      <c r="K5460" s="7">
        <f>IF($C5460="","",J5460*W5460/100)</f>
        <v/>
      </c>
      <c r="Q5460" s="7" t="n"/>
      <c r="R5460" s="7" t="n"/>
      <c r="U5460">
        <f>IF($C5460="","",IF($AJ5460=1,0,IF($AI5460=1,Settings!$C$6,Settings!$C$7))*100)</f>
        <v/>
      </c>
      <c r="V5460" s="7">
        <f>IF($C5460="","",R5460*U5460/100)</f>
        <v/>
      </c>
      <c r="W5460" s="7">
        <f>IF($C5460="","",R5460-V5460)</f>
        <v/>
      </c>
      <c r="X5460" s="7">
        <f>IF($C5460="","",W5460-K5460)</f>
        <v/>
      </c>
      <c r="AB5460" s="7" t="n"/>
      <c r="AE5460" s="11" t="n"/>
      <c r="AG5460">
        <f>IF($C5460="","",IF(COUNTIF($C$2:$C5460,$C5460)=1,1,0))</f>
        <v/>
      </c>
      <c r="AH5460">
        <f>IF($AG5460=1,SUMPRODUCT(--($AK$2:$AK$6001&lt;$AK5460))+1,"")</f>
        <v/>
      </c>
      <c r="AI5460">
        <f>IF($C5460="","",IF(OR($N5460=TRUE(),$N5460="TRUE"),1,0))</f>
        <v/>
      </c>
      <c r="AJ5460">
        <f>IF($C5460="","",IF($T5460="Yes",1,0))</f>
        <v/>
      </c>
      <c r="AK5460">
        <f>IF($AG5460=1,IFERROR(IF(VALUE($C5460)&lt;100000000,VALUE($C5460),1000000000),IFERROR(IF(VALUE(MID($C5460,2,20))&lt;100000000,VALUE(MID($C5460,2,20)),1000000000),1000000000))+ROW()/100000,"")</f>
        <v/>
      </c>
    </row>
    <row r="5461">
      <c r="D5461" s="11" t="n"/>
      <c r="K5461" s="7">
        <f>IF($C5461="","",J5461*W5461/100)</f>
        <v/>
      </c>
      <c r="Q5461" s="7" t="n"/>
      <c r="R5461" s="7" t="n"/>
      <c r="U5461">
        <f>IF($C5461="","",IF($AJ5461=1,0,IF($AI5461=1,Settings!$C$6,Settings!$C$7))*100)</f>
        <v/>
      </c>
      <c r="V5461" s="7">
        <f>IF($C5461="","",R5461*U5461/100)</f>
        <v/>
      </c>
      <c r="W5461" s="7">
        <f>IF($C5461="","",R5461-V5461)</f>
        <v/>
      </c>
      <c r="X5461" s="7">
        <f>IF($C5461="","",W5461-K5461)</f>
        <v/>
      </c>
      <c r="AB5461" s="7" t="n"/>
      <c r="AE5461" s="11" t="n"/>
      <c r="AG5461">
        <f>IF($C5461="","",IF(COUNTIF($C$2:$C5461,$C5461)=1,1,0))</f>
        <v/>
      </c>
      <c r="AH5461">
        <f>IF($AG5461=1,SUMPRODUCT(--($AK$2:$AK$6001&lt;$AK5461))+1,"")</f>
        <v/>
      </c>
      <c r="AI5461">
        <f>IF($C5461="","",IF(OR($N5461=TRUE(),$N5461="TRUE"),1,0))</f>
        <v/>
      </c>
      <c r="AJ5461">
        <f>IF($C5461="","",IF($T5461="Yes",1,0))</f>
        <v/>
      </c>
      <c r="AK5461">
        <f>IF($AG5461=1,IFERROR(IF(VALUE($C5461)&lt;100000000,VALUE($C5461),1000000000),IFERROR(IF(VALUE(MID($C5461,2,20))&lt;100000000,VALUE(MID($C5461,2,20)),1000000000),1000000000))+ROW()/100000,"")</f>
        <v/>
      </c>
    </row>
    <row r="5462">
      <c r="D5462" s="11" t="n"/>
      <c r="K5462" s="7">
        <f>IF($C5462="","",J5462*W5462/100)</f>
        <v/>
      </c>
      <c r="Q5462" s="7" t="n"/>
      <c r="R5462" s="7" t="n"/>
      <c r="U5462">
        <f>IF($C5462="","",IF($AJ5462=1,0,IF($AI5462=1,Settings!$C$6,Settings!$C$7))*100)</f>
        <v/>
      </c>
      <c r="V5462" s="7">
        <f>IF($C5462="","",R5462*U5462/100)</f>
        <v/>
      </c>
      <c r="W5462" s="7">
        <f>IF($C5462="","",R5462-V5462)</f>
        <v/>
      </c>
      <c r="X5462" s="7">
        <f>IF($C5462="","",W5462-K5462)</f>
        <v/>
      </c>
      <c r="AB5462" s="7" t="n"/>
      <c r="AE5462" s="11" t="n"/>
      <c r="AG5462">
        <f>IF($C5462="","",IF(COUNTIF($C$2:$C5462,$C5462)=1,1,0))</f>
        <v/>
      </c>
      <c r="AH5462">
        <f>IF($AG5462=1,SUMPRODUCT(--($AK$2:$AK$6001&lt;$AK5462))+1,"")</f>
        <v/>
      </c>
      <c r="AI5462">
        <f>IF($C5462="","",IF(OR($N5462=TRUE(),$N5462="TRUE"),1,0))</f>
        <v/>
      </c>
      <c r="AJ5462">
        <f>IF($C5462="","",IF($T5462="Yes",1,0))</f>
        <v/>
      </c>
      <c r="AK5462">
        <f>IF($AG5462=1,IFERROR(IF(VALUE($C5462)&lt;100000000,VALUE($C5462),1000000000),IFERROR(IF(VALUE(MID($C5462,2,20))&lt;100000000,VALUE(MID($C5462,2,20)),1000000000),1000000000))+ROW()/100000,"")</f>
        <v/>
      </c>
    </row>
    <row r="5463">
      <c r="D5463" s="11" t="n"/>
      <c r="K5463" s="7">
        <f>IF($C5463="","",J5463*W5463/100)</f>
        <v/>
      </c>
      <c r="Q5463" s="7" t="n"/>
      <c r="R5463" s="7" t="n"/>
      <c r="U5463">
        <f>IF($C5463="","",IF($AJ5463=1,0,IF($AI5463=1,Settings!$C$6,Settings!$C$7))*100)</f>
        <v/>
      </c>
      <c r="V5463" s="7">
        <f>IF($C5463="","",R5463*U5463/100)</f>
        <v/>
      </c>
      <c r="W5463" s="7">
        <f>IF($C5463="","",R5463-V5463)</f>
        <v/>
      </c>
      <c r="X5463" s="7">
        <f>IF($C5463="","",W5463-K5463)</f>
        <v/>
      </c>
      <c r="AB5463" s="7" t="n"/>
      <c r="AE5463" s="11" t="n"/>
      <c r="AG5463">
        <f>IF($C5463="","",IF(COUNTIF($C$2:$C5463,$C5463)=1,1,0))</f>
        <v/>
      </c>
      <c r="AH5463">
        <f>IF($AG5463=1,SUMPRODUCT(--($AK$2:$AK$6001&lt;$AK5463))+1,"")</f>
        <v/>
      </c>
      <c r="AI5463">
        <f>IF($C5463="","",IF(OR($N5463=TRUE(),$N5463="TRUE"),1,0))</f>
        <v/>
      </c>
      <c r="AJ5463">
        <f>IF($C5463="","",IF($T5463="Yes",1,0))</f>
        <v/>
      </c>
      <c r="AK5463">
        <f>IF($AG5463=1,IFERROR(IF(VALUE($C5463)&lt;100000000,VALUE($C5463),1000000000),IFERROR(IF(VALUE(MID($C5463,2,20))&lt;100000000,VALUE(MID($C5463,2,20)),1000000000),1000000000))+ROW()/100000,"")</f>
        <v/>
      </c>
    </row>
    <row r="5464">
      <c r="D5464" s="11" t="n"/>
      <c r="K5464" s="7">
        <f>IF($C5464="","",J5464*W5464/100)</f>
        <v/>
      </c>
      <c r="Q5464" s="7" t="n"/>
      <c r="R5464" s="7" t="n"/>
      <c r="U5464">
        <f>IF($C5464="","",IF($AJ5464=1,0,IF($AI5464=1,Settings!$C$6,Settings!$C$7))*100)</f>
        <v/>
      </c>
      <c r="V5464" s="7">
        <f>IF($C5464="","",R5464*U5464/100)</f>
        <v/>
      </c>
      <c r="W5464" s="7">
        <f>IF($C5464="","",R5464-V5464)</f>
        <v/>
      </c>
      <c r="X5464" s="7">
        <f>IF($C5464="","",W5464-K5464)</f>
        <v/>
      </c>
      <c r="AB5464" s="7" t="n"/>
      <c r="AE5464" s="11" t="n"/>
      <c r="AG5464">
        <f>IF($C5464="","",IF(COUNTIF($C$2:$C5464,$C5464)=1,1,0))</f>
        <v/>
      </c>
      <c r="AH5464">
        <f>IF($AG5464=1,SUMPRODUCT(--($AK$2:$AK$6001&lt;$AK5464))+1,"")</f>
        <v/>
      </c>
      <c r="AI5464">
        <f>IF($C5464="","",IF(OR($N5464=TRUE(),$N5464="TRUE"),1,0))</f>
        <v/>
      </c>
      <c r="AJ5464">
        <f>IF($C5464="","",IF($T5464="Yes",1,0))</f>
        <v/>
      </c>
      <c r="AK5464">
        <f>IF($AG5464=1,IFERROR(IF(VALUE($C5464)&lt;100000000,VALUE($C5464),1000000000),IFERROR(IF(VALUE(MID($C5464,2,20))&lt;100000000,VALUE(MID($C5464,2,20)),1000000000),1000000000))+ROW()/100000,"")</f>
        <v/>
      </c>
    </row>
    <row r="5465">
      <c r="D5465" s="11" t="n"/>
      <c r="K5465" s="7">
        <f>IF($C5465="","",J5465*W5465/100)</f>
        <v/>
      </c>
      <c r="Q5465" s="7" t="n"/>
      <c r="R5465" s="7" t="n"/>
      <c r="U5465">
        <f>IF($C5465="","",IF($AJ5465=1,0,IF($AI5465=1,Settings!$C$6,Settings!$C$7))*100)</f>
        <v/>
      </c>
      <c r="V5465" s="7">
        <f>IF($C5465="","",R5465*U5465/100)</f>
        <v/>
      </c>
      <c r="W5465" s="7">
        <f>IF($C5465="","",R5465-V5465)</f>
        <v/>
      </c>
      <c r="X5465" s="7">
        <f>IF($C5465="","",W5465-K5465)</f>
        <v/>
      </c>
      <c r="AB5465" s="7" t="n"/>
      <c r="AE5465" s="11" t="n"/>
      <c r="AG5465">
        <f>IF($C5465="","",IF(COUNTIF($C$2:$C5465,$C5465)=1,1,0))</f>
        <v/>
      </c>
      <c r="AH5465">
        <f>IF($AG5465=1,SUMPRODUCT(--($AK$2:$AK$6001&lt;$AK5465))+1,"")</f>
        <v/>
      </c>
      <c r="AI5465">
        <f>IF($C5465="","",IF(OR($N5465=TRUE(),$N5465="TRUE"),1,0))</f>
        <v/>
      </c>
      <c r="AJ5465">
        <f>IF($C5465="","",IF($T5465="Yes",1,0))</f>
        <v/>
      </c>
      <c r="AK5465">
        <f>IF($AG5465=1,IFERROR(IF(VALUE($C5465)&lt;100000000,VALUE($C5465),1000000000),IFERROR(IF(VALUE(MID($C5465,2,20))&lt;100000000,VALUE(MID($C5465,2,20)),1000000000),1000000000))+ROW()/100000,"")</f>
        <v/>
      </c>
    </row>
    <row r="5466">
      <c r="D5466" s="11" t="n"/>
      <c r="K5466" s="7">
        <f>IF($C5466="","",J5466*W5466/100)</f>
        <v/>
      </c>
      <c r="Q5466" s="7" t="n"/>
      <c r="R5466" s="7" t="n"/>
      <c r="U5466">
        <f>IF($C5466="","",IF($AJ5466=1,0,IF($AI5466=1,Settings!$C$6,Settings!$C$7))*100)</f>
        <v/>
      </c>
      <c r="V5466" s="7">
        <f>IF($C5466="","",R5466*U5466/100)</f>
        <v/>
      </c>
      <c r="W5466" s="7">
        <f>IF($C5466="","",R5466-V5466)</f>
        <v/>
      </c>
      <c r="X5466" s="7">
        <f>IF($C5466="","",W5466-K5466)</f>
        <v/>
      </c>
      <c r="AB5466" s="7" t="n"/>
      <c r="AE5466" s="11" t="n"/>
      <c r="AG5466">
        <f>IF($C5466="","",IF(COUNTIF($C$2:$C5466,$C5466)=1,1,0))</f>
        <v/>
      </c>
      <c r="AH5466">
        <f>IF($AG5466=1,SUMPRODUCT(--($AK$2:$AK$6001&lt;$AK5466))+1,"")</f>
        <v/>
      </c>
      <c r="AI5466">
        <f>IF($C5466="","",IF(OR($N5466=TRUE(),$N5466="TRUE"),1,0))</f>
        <v/>
      </c>
      <c r="AJ5466">
        <f>IF($C5466="","",IF($T5466="Yes",1,0))</f>
        <v/>
      </c>
      <c r="AK5466">
        <f>IF($AG5466=1,IFERROR(IF(VALUE($C5466)&lt;100000000,VALUE($C5466),1000000000),IFERROR(IF(VALUE(MID($C5466,2,20))&lt;100000000,VALUE(MID($C5466,2,20)),1000000000),1000000000))+ROW()/100000,"")</f>
        <v/>
      </c>
    </row>
    <row r="5467">
      <c r="D5467" s="11" t="n"/>
      <c r="K5467" s="7">
        <f>IF($C5467="","",J5467*W5467/100)</f>
        <v/>
      </c>
      <c r="Q5467" s="7" t="n"/>
      <c r="R5467" s="7" t="n"/>
      <c r="U5467">
        <f>IF($C5467="","",IF($AJ5467=1,0,IF($AI5467=1,Settings!$C$6,Settings!$C$7))*100)</f>
        <v/>
      </c>
      <c r="V5467" s="7">
        <f>IF($C5467="","",R5467*U5467/100)</f>
        <v/>
      </c>
      <c r="W5467" s="7">
        <f>IF($C5467="","",R5467-V5467)</f>
        <v/>
      </c>
      <c r="X5467" s="7">
        <f>IF($C5467="","",W5467-K5467)</f>
        <v/>
      </c>
      <c r="AB5467" s="7" t="n"/>
      <c r="AE5467" s="11" t="n"/>
      <c r="AG5467">
        <f>IF($C5467="","",IF(COUNTIF($C$2:$C5467,$C5467)=1,1,0))</f>
        <v/>
      </c>
      <c r="AH5467">
        <f>IF($AG5467=1,SUMPRODUCT(--($AK$2:$AK$6001&lt;$AK5467))+1,"")</f>
        <v/>
      </c>
      <c r="AI5467">
        <f>IF($C5467="","",IF(OR($N5467=TRUE(),$N5467="TRUE"),1,0))</f>
        <v/>
      </c>
      <c r="AJ5467">
        <f>IF($C5467="","",IF($T5467="Yes",1,0))</f>
        <v/>
      </c>
      <c r="AK5467">
        <f>IF($AG5467=1,IFERROR(IF(VALUE($C5467)&lt;100000000,VALUE($C5467),1000000000),IFERROR(IF(VALUE(MID($C5467,2,20))&lt;100000000,VALUE(MID($C5467,2,20)),1000000000),1000000000))+ROW()/100000,"")</f>
        <v/>
      </c>
    </row>
    <row r="5468">
      <c r="D5468" s="11" t="n"/>
      <c r="K5468" s="7">
        <f>IF($C5468="","",J5468*W5468/100)</f>
        <v/>
      </c>
      <c r="Q5468" s="7" t="n"/>
      <c r="R5468" s="7" t="n"/>
      <c r="U5468">
        <f>IF($C5468="","",IF($AJ5468=1,0,IF($AI5468=1,Settings!$C$6,Settings!$C$7))*100)</f>
        <v/>
      </c>
      <c r="V5468" s="7">
        <f>IF($C5468="","",R5468*U5468/100)</f>
        <v/>
      </c>
      <c r="W5468" s="7">
        <f>IF($C5468="","",R5468-V5468)</f>
        <v/>
      </c>
      <c r="X5468" s="7">
        <f>IF($C5468="","",W5468-K5468)</f>
        <v/>
      </c>
      <c r="AB5468" s="7" t="n"/>
      <c r="AE5468" s="11" t="n"/>
      <c r="AG5468">
        <f>IF($C5468="","",IF(COUNTIF($C$2:$C5468,$C5468)=1,1,0))</f>
        <v/>
      </c>
      <c r="AH5468">
        <f>IF($AG5468=1,SUMPRODUCT(--($AK$2:$AK$6001&lt;$AK5468))+1,"")</f>
        <v/>
      </c>
      <c r="AI5468">
        <f>IF($C5468="","",IF(OR($N5468=TRUE(),$N5468="TRUE"),1,0))</f>
        <v/>
      </c>
      <c r="AJ5468">
        <f>IF($C5468="","",IF($T5468="Yes",1,0))</f>
        <v/>
      </c>
      <c r="AK5468">
        <f>IF($AG5468=1,IFERROR(IF(VALUE($C5468)&lt;100000000,VALUE($C5468),1000000000),IFERROR(IF(VALUE(MID($C5468,2,20))&lt;100000000,VALUE(MID($C5468,2,20)),1000000000),1000000000))+ROW()/100000,"")</f>
        <v/>
      </c>
    </row>
    <row r="5469">
      <c r="D5469" s="11" t="n"/>
      <c r="K5469" s="7">
        <f>IF($C5469="","",J5469*W5469/100)</f>
        <v/>
      </c>
      <c r="Q5469" s="7" t="n"/>
      <c r="R5469" s="7" t="n"/>
      <c r="U5469">
        <f>IF($C5469="","",IF($AJ5469=1,0,IF($AI5469=1,Settings!$C$6,Settings!$C$7))*100)</f>
        <v/>
      </c>
      <c r="V5469" s="7">
        <f>IF($C5469="","",R5469*U5469/100)</f>
        <v/>
      </c>
      <c r="W5469" s="7">
        <f>IF($C5469="","",R5469-V5469)</f>
        <v/>
      </c>
      <c r="X5469" s="7">
        <f>IF($C5469="","",W5469-K5469)</f>
        <v/>
      </c>
      <c r="AB5469" s="7" t="n"/>
      <c r="AE5469" s="11" t="n"/>
      <c r="AG5469">
        <f>IF($C5469="","",IF(COUNTIF($C$2:$C5469,$C5469)=1,1,0))</f>
        <v/>
      </c>
      <c r="AH5469">
        <f>IF($AG5469=1,SUMPRODUCT(--($AK$2:$AK$6001&lt;$AK5469))+1,"")</f>
        <v/>
      </c>
      <c r="AI5469">
        <f>IF($C5469="","",IF(OR($N5469=TRUE(),$N5469="TRUE"),1,0))</f>
        <v/>
      </c>
      <c r="AJ5469">
        <f>IF($C5469="","",IF($T5469="Yes",1,0))</f>
        <v/>
      </c>
      <c r="AK5469">
        <f>IF($AG5469=1,IFERROR(IF(VALUE($C5469)&lt;100000000,VALUE($C5469),1000000000),IFERROR(IF(VALUE(MID($C5469,2,20))&lt;100000000,VALUE(MID($C5469,2,20)),1000000000),1000000000))+ROW()/100000,"")</f>
        <v/>
      </c>
    </row>
    <row r="5470">
      <c r="D5470" s="11" t="n"/>
      <c r="K5470" s="7">
        <f>IF($C5470="","",J5470*W5470/100)</f>
        <v/>
      </c>
      <c r="Q5470" s="7" t="n"/>
      <c r="R5470" s="7" t="n"/>
      <c r="U5470">
        <f>IF($C5470="","",IF($AJ5470=1,0,IF($AI5470=1,Settings!$C$6,Settings!$C$7))*100)</f>
        <v/>
      </c>
      <c r="V5470" s="7">
        <f>IF($C5470="","",R5470*U5470/100)</f>
        <v/>
      </c>
      <c r="W5470" s="7">
        <f>IF($C5470="","",R5470-V5470)</f>
        <v/>
      </c>
      <c r="X5470" s="7">
        <f>IF($C5470="","",W5470-K5470)</f>
        <v/>
      </c>
      <c r="AB5470" s="7" t="n"/>
      <c r="AE5470" s="11" t="n"/>
      <c r="AG5470">
        <f>IF($C5470="","",IF(COUNTIF($C$2:$C5470,$C5470)=1,1,0))</f>
        <v/>
      </c>
      <c r="AH5470">
        <f>IF($AG5470=1,SUMPRODUCT(--($AK$2:$AK$6001&lt;$AK5470))+1,"")</f>
        <v/>
      </c>
      <c r="AI5470">
        <f>IF($C5470="","",IF(OR($N5470=TRUE(),$N5470="TRUE"),1,0))</f>
        <v/>
      </c>
      <c r="AJ5470">
        <f>IF($C5470="","",IF($T5470="Yes",1,0))</f>
        <v/>
      </c>
      <c r="AK5470">
        <f>IF($AG5470=1,IFERROR(IF(VALUE($C5470)&lt;100000000,VALUE($C5470),1000000000),IFERROR(IF(VALUE(MID($C5470,2,20))&lt;100000000,VALUE(MID($C5470,2,20)),1000000000),1000000000))+ROW()/100000,"")</f>
        <v/>
      </c>
    </row>
    <row r="5471">
      <c r="D5471" s="11" t="n"/>
      <c r="K5471" s="7">
        <f>IF($C5471="","",J5471*W5471/100)</f>
        <v/>
      </c>
      <c r="Q5471" s="7" t="n"/>
      <c r="R5471" s="7" t="n"/>
      <c r="U5471">
        <f>IF($C5471="","",IF($AJ5471=1,0,IF($AI5471=1,Settings!$C$6,Settings!$C$7))*100)</f>
        <v/>
      </c>
      <c r="V5471" s="7">
        <f>IF($C5471="","",R5471*U5471/100)</f>
        <v/>
      </c>
      <c r="W5471" s="7">
        <f>IF($C5471="","",R5471-V5471)</f>
        <v/>
      </c>
      <c r="X5471" s="7">
        <f>IF($C5471="","",W5471-K5471)</f>
        <v/>
      </c>
      <c r="AB5471" s="7" t="n"/>
      <c r="AE5471" s="11" t="n"/>
      <c r="AG5471">
        <f>IF($C5471="","",IF(COUNTIF($C$2:$C5471,$C5471)=1,1,0))</f>
        <v/>
      </c>
      <c r="AH5471">
        <f>IF($AG5471=1,SUMPRODUCT(--($AK$2:$AK$6001&lt;$AK5471))+1,"")</f>
        <v/>
      </c>
      <c r="AI5471">
        <f>IF($C5471="","",IF(OR($N5471=TRUE(),$N5471="TRUE"),1,0))</f>
        <v/>
      </c>
      <c r="AJ5471">
        <f>IF($C5471="","",IF($T5471="Yes",1,0))</f>
        <v/>
      </c>
      <c r="AK5471">
        <f>IF($AG5471=1,IFERROR(IF(VALUE($C5471)&lt;100000000,VALUE($C5471),1000000000),IFERROR(IF(VALUE(MID($C5471,2,20))&lt;100000000,VALUE(MID($C5471,2,20)),1000000000),1000000000))+ROW()/100000,"")</f>
        <v/>
      </c>
    </row>
    <row r="5472">
      <c r="D5472" s="11" t="n"/>
      <c r="K5472" s="7">
        <f>IF($C5472="","",J5472*W5472/100)</f>
        <v/>
      </c>
      <c r="Q5472" s="7" t="n"/>
      <c r="R5472" s="7" t="n"/>
      <c r="U5472">
        <f>IF($C5472="","",IF($AJ5472=1,0,IF($AI5472=1,Settings!$C$6,Settings!$C$7))*100)</f>
        <v/>
      </c>
      <c r="V5472" s="7">
        <f>IF($C5472="","",R5472*U5472/100)</f>
        <v/>
      </c>
      <c r="W5472" s="7">
        <f>IF($C5472="","",R5472-V5472)</f>
        <v/>
      </c>
      <c r="X5472" s="7">
        <f>IF($C5472="","",W5472-K5472)</f>
        <v/>
      </c>
      <c r="AB5472" s="7" t="n"/>
      <c r="AE5472" s="11" t="n"/>
      <c r="AG5472">
        <f>IF($C5472="","",IF(COUNTIF($C$2:$C5472,$C5472)=1,1,0))</f>
        <v/>
      </c>
      <c r="AH5472">
        <f>IF($AG5472=1,SUMPRODUCT(--($AK$2:$AK$6001&lt;$AK5472))+1,"")</f>
        <v/>
      </c>
      <c r="AI5472">
        <f>IF($C5472="","",IF(OR($N5472=TRUE(),$N5472="TRUE"),1,0))</f>
        <v/>
      </c>
      <c r="AJ5472">
        <f>IF($C5472="","",IF($T5472="Yes",1,0))</f>
        <v/>
      </c>
      <c r="AK5472">
        <f>IF($AG5472=1,IFERROR(IF(VALUE($C5472)&lt;100000000,VALUE($C5472),1000000000),IFERROR(IF(VALUE(MID($C5472,2,20))&lt;100000000,VALUE(MID($C5472,2,20)),1000000000),1000000000))+ROW()/100000,"")</f>
        <v/>
      </c>
    </row>
    <row r="5473">
      <c r="D5473" s="11" t="n"/>
      <c r="K5473" s="7">
        <f>IF($C5473="","",J5473*W5473/100)</f>
        <v/>
      </c>
      <c r="Q5473" s="7" t="n"/>
      <c r="R5473" s="7" t="n"/>
      <c r="U5473">
        <f>IF($C5473="","",IF($AJ5473=1,0,IF($AI5473=1,Settings!$C$6,Settings!$C$7))*100)</f>
        <v/>
      </c>
      <c r="V5473" s="7">
        <f>IF($C5473="","",R5473*U5473/100)</f>
        <v/>
      </c>
      <c r="W5473" s="7">
        <f>IF($C5473="","",R5473-V5473)</f>
        <v/>
      </c>
      <c r="X5473" s="7">
        <f>IF($C5473="","",W5473-K5473)</f>
        <v/>
      </c>
      <c r="AB5473" s="7" t="n"/>
      <c r="AE5473" s="11" t="n"/>
      <c r="AG5473">
        <f>IF($C5473="","",IF(COUNTIF($C$2:$C5473,$C5473)=1,1,0))</f>
        <v/>
      </c>
      <c r="AH5473">
        <f>IF($AG5473=1,SUMPRODUCT(--($AK$2:$AK$6001&lt;$AK5473))+1,"")</f>
        <v/>
      </c>
      <c r="AI5473">
        <f>IF($C5473="","",IF(OR($N5473=TRUE(),$N5473="TRUE"),1,0))</f>
        <v/>
      </c>
      <c r="AJ5473">
        <f>IF($C5473="","",IF($T5473="Yes",1,0))</f>
        <v/>
      </c>
      <c r="AK5473">
        <f>IF($AG5473=1,IFERROR(IF(VALUE($C5473)&lt;100000000,VALUE($C5473),1000000000),IFERROR(IF(VALUE(MID($C5473,2,20))&lt;100000000,VALUE(MID($C5473,2,20)),1000000000),1000000000))+ROW()/100000,"")</f>
        <v/>
      </c>
    </row>
    <row r="5474">
      <c r="D5474" s="11" t="n"/>
      <c r="K5474" s="7">
        <f>IF($C5474="","",J5474*W5474/100)</f>
        <v/>
      </c>
      <c r="Q5474" s="7" t="n"/>
      <c r="R5474" s="7" t="n"/>
      <c r="U5474">
        <f>IF($C5474="","",IF($AJ5474=1,0,IF($AI5474=1,Settings!$C$6,Settings!$C$7))*100)</f>
        <v/>
      </c>
      <c r="V5474" s="7">
        <f>IF($C5474="","",R5474*U5474/100)</f>
        <v/>
      </c>
      <c r="W5474" s="7">
        <f>IF($C5474="","",R5474-V5474)</f>
        <v/>
      </c>
      <c r="X5474" s="7">
        <f>IF($C5474="","",W5474-K5474)</f>
        <v/>
      </c>
      <c r="AB5474" s="7" t="n"/>
      <c r="AE5474" s="11" t="n"/>
      <c r="AG5474">
        <f>IF($C5474="","",IF(COUNTIF($C$2:$C5474,$C5474)=1,1,0))</f>
        <v/>
      </c>
      <c r="AH5474">
        <f>IF($AG5474=1,SUMPRODUCT(--($AK$2:$AK$6001&lt;$AK5474))+1,"")</f>
        <v/>
      </c>
      <c r="AI5474">
        <f>IF($C5474="","",IF(OR($N5474=TRUE(),$N5474="TRUE"),1,0))</f>
        <v/>
      </c>
      <c r="AJ5474">
        <f>IF($C5474="","",IF($T5474="Yes",1,0))</f>
        <v/>
      </c>
      <c r="AK5474">
        <f>IF($AG5474=1,IFERROR(IF(VALUE($C5474)&lt;100000000,VALUE($C5474),1000000000),IFERROR(IF(VALUE(MID($C5474,2,20))&lt;100000000,VALUE(MID($C5474,2,20)),1000000000),1000000000))+ROW()/100000,"")</f>
        <v/>
      </c>
    </row>
    <row r="5475">
      <c r="D5475" s="11" t="n"/>
      <c r="K5475" s="7">
        <f>IF($C5475="","",J5475*W5475/100)</f>
        <v/>
      </c>
      <c r="Q5475" s="7" t="n"/>
      <c r="R5475" s="7" t="n"/>
      <c r="U5475">
        <f>IF($C5475="","",IF($AJ5475=1,0,IF($AI5475=1,Settings!$C$6,Settings!$C$7))*100)</f>
        <v/>
      </c>
      <c r="V5475" s="7">
        <f>IF($C5475="","",R5475*U5475/100)</f>
        <v/>
      </c>
      <c r="W5475" s="7">
        <f>IF($C5475="","",R5475-V5475)</f>
        <v/>
      </c>
      <c r="X5475" s="7">
        <f>IF($C5475="","",W5475-K5475)</f>
        <v/>
      </c>
      <c r="AB5475" s="7" t="n"/>
      <c r="AE5475" s="11" t="n"/>
      <c r="AG5475">
        <f>IF($C5475="","",IF(COUNTIF($C$2:$C5475,$C5475)=1,1,0))</f>
        <v/>
      </c>
      <c r="AH5475">
        <f>IF($AG5475=1,SUMPRODUCT(--($AK$2:$AK$6001&lt;$AK5475))+1,"")</f>
        <v/>
      </c>
      <c r="AI5475">
        <f>IF($C5475="","",IF(OR($N5475=TRUE(),$N5475="TRUE"),1,0))</f>
        <v/>
      </c>
      <c r="AJ5475">
        <f>IF($C5475="","",IF($T5475="Yes",1,0))</f>
        <v/>
      </c>
      <c r="AK5475">
        <f>IF($AG5475=1,IFERROR(IF(VALUE($C5475)&lt;100000000,VALUE($C5475),1000000000),IFERROR(IF(VALUE(MID($C5475,2,20))&lt;100000000,VALUE(MID($C5475,2,20)),1000000000),1000000000))+ROW()/100000,"")</f>
        <v/>
      </c>
    </row>
    <row r="5476">
      <c r="D5476" s="11" t="n"/>
      <c r="K5476" s="7">
        <f>IF($C5476="","",J5476*W5476/100)</f>
        <v/>
      </c>
      <c r="Q5476" s="7" t="n"/>
      <c r="R5476" s="7" t="n"/>
      <c r="U5476">
        <f>IF($C5476="","",IF($AJ5476=1,0,IF($AI5476=1,Settings!$C$6,Settings!$C$7))*100)</f>
        <v/>
      </c>
      <c r="V5476" s="7">
        <f>IF($C5476="","",R5476*U5476/100)</f>
        <v/>
      </c>
      <c r="W5476" s="7">
        <f>IF($C5476="","",R5476-V5476)</f>
        <v/>
      </c>
      <c r="X5476" s="7">
        <f>IF($C5476="","",W5476-K5476)</f>
        <v/>
      </c>
      <c r="AB5476" s="7" t="n"/>
      <c r="AE5476" s="11" t="n"/>
      <c r="AG5476">
        <f>IF($C5476="","",IF(COUNTIF($C$2:$C5476,$C5476)=1,1,0))</f>
        <v/>
      </c>
      <c r="AH5476">
        <f>IF($AG5476=1,SUMPRODUCT(--($AK$2:$AK$6001&lt;$AK5476))+1,"")</f>
        <v/>
      </c>
      <c r="AI5476">
        <f>IF($C5476="","",IF(OR($N5476=TRUE(),$N5476="TRUE"),1,0))</f>
        <v/>
      </c>
      <c r="AJ5476">
        <f>IF($C5476="","",IF($T5476="Yes",1,0))</f>
        <v/>
      </c>
      <c r="AK5476">
        <f>IF($AG5476=1,IFERROR(IF(VALUE($C5476)&lt;100000000,VALUE($C5476),1000000000),IFERROR(IF(VALUE(MID($C5476,2,20))&lt;100000000,VALUE(MID($C5476,2,20)),1000000000),1000000000))+ROW()/100000,"")</f>
        <v/>
      </c>
    </row>
    <row r="5477">
      <c r="D5477" s="11" t="n"/>
      <c r="K5477" s="7">
        <f>IF($C5477="","",J5477*W5477/100)</f>
        <v/>
      </c>
      <c r="Q5477" s="7" t="n"/>
      <c r="R5477" s="7" t="n"/>
      <c r="U5477">
        <f>IF($C5477="","",IF($AJ5477=1,0,IF($AI5477=1,Settings!$C$6,Settings!$C$7))*100)</f>
        <v/>
      </c>
      <c r="V5477" s="7">
        <f>IF($C5477="","",R5477*U5477/100)</f>
        <v/>
      </c>
      <c r="W5477" s="7">
        <f>IF($C5477="","",R5477-V5477)</f>
        <v/>
      </c>
      <c r="X5477" s="7">
        <f>IF($C5477="","",W5477-K5477)</f>
        <v/>
      </c>
      <c r="AB5477" s="7" t="n"/>
      <c r="AE5477" s="11" t="n"/>
      <c r="AG5477">
        <f>IF($C5477="","",IF(COUNTIF($C$2:$C5477,$C5477)=1,1,0))</f>
        <v/>
      </c>
      <c r="AH5477">
        <f>IF($AG5477=1,SUMPRODUCT(--($AK$2:$AK$6001&lt;$AK5477))+1,"")</f>
        <v/>
      </c>
      <c r="AI5477">
        <f>IF($C5477="","",IF(OR($N5477=TRUE(),$N5477="TRUE"),1,0))</f>
        <v/>
      </c>
      <c r="AJ5477">
        <f>IF($C5477="","",IF($T5477="Yes",1,0))</f>
        <v/>
      </c>
      <c r="AK5477">
        <f>IF($AG5477=1,IFERROR(IF(VALUE($C5477)&lt;100000000,VALUE($C5477),1000000000),IFERROR(IF(VALUE(MID($C5477,2,20))&lt;100000000,VALUE(MID($C5477,2,20)),1000000000),1000000000))+ROW()/100000,"")</f>
        <v/>
      </c>
    </row>
    <row r="5478">
      <c r="D5478" s="11" t="n"/>
      <c r="K5478" s="7">
        <f>IF($C5478="","",J5478*W5478/100)</f>
        <v/>
      </c>
      <c r="Q5478" s="7" t="n"/>
      <c r="R5478" s="7" t="n"/>
      <c r="U5478">
        <f>IF($C5478="","",IF($AJ5478=1,0,IF($AI5478=1,Settings!$C$6,Settings!$C$7))*100)</f>
        <v/>
      </c>
      <c r="V5478" s="7">
        <f>IF($C5478="","",R5478*U5478/100)</f>
        <v/>
      </c>
      <c r="W5478" s="7">
        <f>IF($C5478="","",R5478-V5478)</f>
        <v/>
      </c>
      <c r="X5478" s="7">
        <f>IF($C5478="","",W5478-K5478)</f>
        <v/>
      </c>
      <c r="AB5478" s="7" t="n"/>
      <c r="AE5478" s="11" t="n"/>
      <c r="AG5478">
        <f>IF($C5478="","",IF(COUNTIF($C$2:$C5478,$C5478)=1,1,0))</f>
        <v/>
      </c>
      <c r="AH5478">
        <f>IF($AG5478=1,SUMPRODUCT(--($AK$2:$AK$6001&lt;$AK5478))+1,"")</f>
        <v/>
      </c>
      <c r="AI5478">
        <f>IF($C5478="","",IF(OR($N5478=TRUE(),$N5478="TRUE"),1,0))</f>
        <v/>
      </c>
      <c r="AJ5478">
        <f>IF($C5478="","",IF($T5478="Yes",1,0))</f>
        <v/>
      </c>
      <c r="AK5478">
        <f>IF($AG5478=1,IFERROR(IF(VALUE($C5478)&lt;100000000,VALUE($C5478),1000000000),IFERROR(IF(VALUE(MID($C5478,2,20))&lt;100000000,VALUE(MID($C5478,2,20)),1000000000),1000000000))+ROW()/100000,"")</f>
        <v/>
      </c>
    </row>
    <row r="5479">
      <c r="D5479" s="11" t="n"/>
      <c r="K5479" s="7">
        <f>IF($C5479="","",J5479*W5479/100)</f>
        <v/>
      </c>
      <c r="Q5479" s="7" t="n"/>
      <c r="R5479" s="7" t="n"/>
      <c r="U5479">
        <f>IF($C5479="","",IF($AJ5479=1,0,IF($AI5479=1,Settings!$C$6,Settings!$C$7))*100)</f>
        <v/>
      </c>
      <c r="V5479" s="7">
        <f>IF($C5479="","",R5479*U5479/100)</f>
        <v/>
      </c>
      <c r="W5479" s="7">
        <f>IF($C5479="","",R5479-V5479)</f>
        <v/>
      </c>
      <c r="X5479" s="7">
        <f>IF($C5479="","",W5479-K5479)</f>
        <v/>
      </c>
      <c r="AB5479" s="7" t="n"/>
      <c r="AE5479" s="11" t="n"/>
      <c r="AG5479">
        <f>IF($C5479="","",IF(COUNTIF($C$2:$C5479,$C5479)=1,1,0))</f>
        <v/>
      </c>
      <c r="AH5479">
        <f>IF($AG5479=1,SUMPRODUCT(--($AK$2:$AK$6001&lt;$AK5479))+1,"")</f>
        <v/>
      </c>
      <c r="AI5479">
        <f>IF($C5479="","",IF(OR($N5479=TRUE(),$N5479="TRUE"),1,0))</f>
        <v/>
      </c>
      <c r="AJ5479">
        <f>IF($C5479="","",IF($T5479="Yes",1,0))</f>
        <v/>
      </c>
      <c r="AK5479">
        <f>IF($AG5479=1,IFERROR(IF(VALUE($C5479)&lt;100000000,VALUE($C5479),1000000000),IFERROR(IF(VALUE(MID($C5479,2,20))&lt;100000000,VALUE(MID($C5479,2,20)),1000000000),1000000000))+ROW()/100000,"")</f>
        <v/>
      </c>
    </row>
    <row r="5480">
      <c r="D5480" s="11" t="n"/>
      <c r="K5480" s="7">
        <f>IF($C5480="","",J5480*W5480/100)</f>
        <v/>
      </c>
      <c r="Q5480" s="7" t="n"/>
      <c r="R5480" s="7" t="n"/>
      <c r="U5480">
        <f>IF($C5480="","",IF($AJ5480=1,0,IF($AI5480=1,Settings!$C$6,Settings!$C$7))*100)</f>
        <v/>
      </c>
      <c r="V5480" s="7">
        <f>IF($C5480="","",R5480*U5480/100)</f>
        <v/>
      </c>
      <c r="W5480" s="7">
        <f>IF($C5480="","",R5480-V5480)</f>
        <v/>
      </c>
      <c r="X5480" s="7">
        <f>IF($C5480="","",W5480-K5480)</f>
        <v/>
      </c>
      <c r="AB5480" s="7" t="n"/>
      <c r="AE5480" s="11" t="n"/>
      <c r="AG5480">
        <f>IF($C5480="","",IF(COUNTIF($C$2:$C5480,$C5480)=1,1,0))</f>
        <v/>
      </c>
      <c r="AH5480">
        <f>IF($AG5480=1,SUMPRODUCT(--($AK$2:$AK$6001&lt;$AK5480))+1,"")</f>
        <v/>
      </c>
      <c r="AI5480">
        <f>IF($C5480="","",IF(OR($N5480=TRUE(),$N5480="TRUE"),1,0))</f>
        <v/>
      </c>
      <c r="AJ5480">
        <f>IF($C5480="","",IF($T5480="Yes",1,0))</f>
        <v/>
      </c>
      <c r="AK5480">
        <f>IF($AG5480=1,IFERROR(IF(VALUE($C5480)&lt;100000000,VALUE($C5480),1000000000),IFERROR(IF(VALUE(MID($C5480,2,20))&lt;100000000,VALUE(MID($C5480,2,20)),1000000000),1000000000))+ROW()/100000,"")</f>
        <v/>
      </c>
    </row>
    <row r="5481">
      <c r="D5481" s="11" t="n"/>
      <c r="K5481" s="7">
        <f>IF($C5481="","",J5481*W5481/100)</f>
        <v/>
      </c>
      <c r="Q5481" s="7" t="n"/>
      <c r="R5481" s="7" t="n"/>
      <c r="U5481">
        <f>IF($C5481="","",IF($AJ5481=1,0,IF($AI5481=1,Settings!$C$6,Settings!$C$7))*100)</f>
        <v/>
      </c>
      <c r="V5481" s="7">
        <f>IF($C5481="","",R5481*U5481/100)</f>
        <v/>
      </c>
      <c r="W5481" s="7">
        <f>IF($C5481="","",R5481-V5481)</f>
        <v/>
      </c>
      <c r="X5481" s="7">
        <f>IF($C5481="","",W5481-K5481)</f>
        <v/>
      </c>
      <c r="AB5481" s="7" t="n"/>
      <c r="AE5481" s="11" t="n"/>
      <c r="AG5481">
        <f>IF($C5481="","",IF(COUNTIF($C$2:$C5481,$C5481)=1,1,0))</f>
        <v/>
      </c>
      <c r="AH5481">
        <f>IF($AG5481=1,SUMPRODUCT(--($AK$2:$AK$6001&lt;$AK5481))+1,"")</f>
        <v/>
      </c>
      <c r="AI5481">
        <f>IF($C5481="","",IF(OR($N5481=TRUE(),$N5481="TRUE"),1,0))</f>
        <v/>
      </c>
      <c r="AJ5481">
        <f>IF($C5481="","",IF($T5481="Yes",1,0))</f>
        <v/>
      </c>
      <c r="AK5481">
        <f>IF($AG5481=1,IFERROR(IF(VALUE($C5481)&lt;100000000,VALUE($C5481),1000000000),IFERROR(IF(VALUE(MID($C5481,2,20))&lt;100000000,VALUE(MID($C5481,2,20)),1000000000),1000000000))+ROW()/100000,"")</f>
        <v/>
      </c>
    </row>
    <row r="5482">
      <c r="D5482" s="11" t="n"/>
      <c r="K5482" s="7">
        <f>IF($C5482="","",J5482*W5482/100)</f>
        <v/>
      </c>
      <c r="Q5482" s="7" t="n"/>
      <c r="R5482" s="7" t="n"/>
      <c r="U5482">
        <f>IF($C5482="","",IF($AJ5482=1,0,IF($AI5482=1,Settings!$C$6,Settings!$C$7))*100)</f>
        <v/>
      </c>
      <c r="V5482" s="7">
        <f>IF($C5482="","",R5482*U5482/100)</f>
        <v/>
      </c>
      <c r="W5482" s="7">
        <f>IF($C5482="","",R5482-V5482)</f>
        <v/>
      </c>
      <c r="X5482" s="7">
        <f>IF($C5482="","",W5482-K5482)</f>
        <v/>
      </c>
      <c r="AB5482" s="7" t="n"/>
      <c r="AE5482" s="11" t="n"/>
      <c r="AG5482">
        <f>IF($C5482="","",IF(COUNTIF($C$2:$C5482,$C5482)=1,1,0))</f>
        <v/>
      </c>
      <c r="AH5482">
        <f>IF($AG5482=1,SUMPRODUCT(--($AK$2:$AK$6001&lt;$AK5482))+1,"")</f>
        <v/>
      </c>
      <c r="AI5482">
        <f>IF($C5482="","",IF(OR($N5482=TRUE(),$N5482="TRUE"),1,0))</f>
        <v/>
      </c>
      <c r="AJ5482">
        <f>IF($C5482="","",IF($T5482="Yes",1,0))</f>
        <v/>
      </c>
      <c r="AK5482">
        <f>IF($AG5482=1,IFERROR(IF(VALUE($C5482)&lt;100000000,VALUE($C5482),1000000000),IFERROR(IF(VALUE(MID($C5482,2,20))&lt;100000000,VALUE(MID($C5482,2,20)),1000000000),1000000000))+ROW()/100000,"")</f>
        <v/>
      </c>
    </row>
    <row r="5483">
      <c r="D5483" s="11" t="n"/>
      <c r="K5483" s="7">
        <f>IF($C5483="","",J5483*W5483/100)</f>
        <v/>
      </c>
      <c r="Q5483" s="7" t="n"/>
      <c r="R5483" s="7" t="n"/>
      <c r="U5483">
        <f>IF($C5483="","",IF($AJ5483=1,0,IF($AI5483=1,Settings!$C$6,Settings!$C$7))*100)</f>
        <v/>
      </c>
      <c r="V5483" s="7">
        <f>IF($C5483="","",R5483*U5483/100)</f>
        <v/>
      </c>
      <c r="W5483" s="7">
        <f>IF($C5483="","",R5483-V5483)</f>
        <v/>
      </c>
      <c r="X5483" s="7">
        <f>IF($C5483="","",W5483-K5483)</f>
        <v/>
      </c>
      <c r="AB5483" s="7" t="n"/>
      <c r="AE5483" s="11" t="n"/>
      <c r="AG5483">
        <f>IF($C5483="","",IF(COUNTIF($C$2:$C5483,$C5483)=1,1,0))</f>
        <v/>
      </c>
      <c r="AH5483">
        <f>IF($AG5483=1,SUMPRODUCT(--($AK$2:$AK$6001&lt;$AK5483))+1,"")</f>
        <v/>
      </c>
      <c r="AI5483">
        <f>IF($C5483="","",IF(OR($N5483=TRUE(),$N5483="TRUE"),1,0))</f>
        <v/>
      </c>
      <c r="AJ5483">
        <f>IF($C5483="","",IF($T5483="Yes",1,0))</f>
        <v/>
      </c>
      <c r="AK5483">
        <f>IF($AG5483=1,IFERROR(IF(VALUE($C5483)&lt;100000000,VALUE($C5483),1000000000),IFERROR(IF(VALUE(MID($C5483,2,20))&lt;100000000,VALUE(MID($C5483,2,20)),1000000000),1000000000))+ROW()/100000,"")</f>
        <v/>
      </c>
    </row>
    <row r="5484">
      <c r="D5484" s="11" t="n"/>
      <c r="K5484" s="7">
        <f>IF($C5484="","",J5484*W5484/100)</f>
        <v/>
      </c>
      <c r="Q5484" s="7" t="n"/>
      <c r="R5484" s="7" t="n"/>
      <c r="U5484">
        <f>IF($C5484="","",IF($AJ5484=1,0,IF($AI5484=1,Settings!$C$6,Settings!$C$7))*100)</f>
        <v/>
      </c>
      <c r="V5484" s="7">
        <f>IF($C5484="","",R5484*U5484/100)</f>
        <v/>
      </c>
      <c r="W5484" s="7">
        <f>IF($C5484="","",R5484-V5484)</f>
        <v/>
      </c>
      <c r="X5484" s="7">
        <f>IF($C5484="","",W5484-K5484)</f>
        <v/>
      </c>
      <c r="AB5484" s="7" t="n"/>
      <c r="AE5484" s="11" t="n"/>
      <c r="AG5484">
        <f>IF($C5484="","",IF(COUNTIF($C$2:$C5484,$C5484)=1,1,0))</f>
        <v/>
      </c>
      <c r="AH5484">
        <f>IF($AG5484=1,SUMPRODUCT(--($AK$2:$AK$6001&lt;$AK5484))+1,"")</f>
        <v/>
      </c>
      <c r="AI5484">
        <f>IF($C5484="","",IF(OR($N5484=TRUE(),$N5484="TRUE"),1,0))</f>
        <v/>
      </c>
      <c r="AJ5484">
        <f>IF($C5484="","",IF($T5484="Yes",1,0))</f>
        <v/>
      </c>
      <c r="AK5484">
        <f>IF($AG5484=1,IFERROR(IF(VALUE($C5484)&lt;100000000,VALUE($C5484),1000000000),IFERROR(IF(VALUE(MID($C5484,2,20))&lt;100000000,VALUE(MID($C5484,2,20)),1000000000),1000000000))+ROW()/100000,"")</f>
        <v/>
      </c>
    </row>
    <row r="5485">
      <c r="D5485" s="11" t="n"/>
      <c r="K5485" s="7">
        <f>IF($C5485="","",J5485*W5485/100)</f>
        <v/>
      </c>
      <c r="Q5485" s="7" t="n"/>
      <c r="R5485" s="7" t="n"/>
      <c r="U5485">
        <f>IF($C5485="","",IF($AJ5485=1,0,IF($AI5485=1,Settings!$C$6,Settings!$C$7))*100)</f>
        <v/>
      </c>
      <c r="V5485" s="7">
        <f>IF($C5485="","",R5485*U5485/100)</f>
        <v/>
      </c>
      <c r="W5485" s="7">
        <f>IF($C5485="","",R5485-V5485)</f>
        <v/>
      </c>
      <c r="X5485" s="7">
        <f>IF($C5485="","",W5485-K5485)</f>
        <v/>
      </c>
      <c r="AB5485" s="7" t="n"/>
      <c r="AE5485" s="11" t="n"/>
      <c r="AG5485">
        <f>IF($C5485="","",IF(COUNTIF($C$2:$C5485,$C5485)=1,1,0))</f>
        <v/>
      </c>
      <c r="AH5485">
        <f>IF($AG5485=1,SUMPRODUCT(--($AK$2:$AK$6001&lt;$AK5485))+1,"")</f>
        <v/>
      </c>
      <c r="AI5485">
        <f>IF($C5485="","",IF(OR($N5485=TRUE(),$N5485="TRUE"),1,0))</f>
        <v/>
      </c>
      <c r="AJ5485">
        <f>IF($C5485="","",IF($T5485="Yes",1,0))</f>
        <v/>
      </c>
      <c r="AK5485">
        <f>IF($AG5485=1,IFERROR(IF(VALUE($C5485)&lt;100000000,VALUE($C5485),1000000000),IFERROR(IF(VALUE(MID($C5485,2,20))&lt;100000000,VALUE(MID($C5485,2,20)),1000000000),1000000000))+ROW()/100000,"")</f>
        <v/>
      </c>
    </row>
    <row r="5486">
      <c r="D5486" s="11" t="n"/>
      <c r="K5486" s="7">
        <f>IF($C5486="","",J5486*W5486/100)</f>
        <v/>
      </c>
      <c r="Q5486" s="7" t="n"/>
      <c r="R5486" s="7" t="n"/>
      <c r="U5486">
        <f>IF($C5486="","",IF($AJ5486=1,0,IF($AI5486=1,Settings!$C$6,Settings!$C$7))*100)</f>
        <v/>
      </c>
      <c r="V5486" s="7">
        <f>IF($C5486="","",R5486*U5486/100)</f>
        <v/>
      </c>
      <c r="W5486" s="7">
        <f>IF($C5486="","",R5486-V5486)</f>
        <v/>
      </c>
      <c r="X5486" s="7">
        <f>IF($C5486="","",W5486-K5486)</f>
        <v/>
      </c>
      <c r="AB5486" s="7" t="n"/>
      <c r="AE5486" s="11" t="n"/>
      <c r="AG5486">
        <f>IF($C5486="","",IF(COUNTIF($C$2:$C5486,$C5486)=1,1,0))</f>
        <v/>
      </c>
      <c r="AH5486">
        <f>IF($AG5486=1,SUMPRODUCT(--($AK$2:$AK$6001&lt;$AK5486))+1,"")</f>
        <v/>
      </c>
      <c r="AI5486">
        <f>IF($C5486="","",IF(OR($N5486=TRUE(),$N5486="TRUE"),1,0))</f>
        <v/>
      </c>
      <c r="AJ5486">
        <f>IF($C5486="","",IF($T5486="Yes",1,0))</f>
        <v/>
      </c>
      <c r="AK5486">
        <f>IF($AG5486=1,IFERROR(IF(VALUE($C5486)&lt;100000000,VALUE($C5486),1000000000),IFERROR(IF(VALUE(MID($C5486,2,20))&lt;100000000,VALUE(MID($C5486,2,20)),1000000000),1000000000))+ROW()/100000,"")</f>
        <v/>
      </c>
    </row>
    <row r="5487">
      <c r="D5487" s="11" t="n"/>
      <c r="K5487" s="7">
        <f>IF($C5487="","",J5487*W5487/100)</f>
        <v/>
      </c>
      <c r="Q5487" s="7" t="n"/>
      <c r="R5487" s="7" t="n"/>
      <c r="U5487">
        <f>IF($C5487="","",IF($AJ5487=1,0,IF($AI5487=1,Settings!$C$6,Settings!$C$7))*100)</f>
        <v/>
      </c>
      <c r="V5487" s="7">
        <f>IF($C5487="","",R5487*U5487/100)</f>
        <v/>
      </c>
      <c r="W5487" s="7">
        <f>IF($C5487="","",R5487-V5487)</f>
        <v/>
      </c>
      <c r="X5487" s="7">
        <f>IF($C5487="","",W5487-K5487)</f>
        <v/>
      </c>
      <c r="AB5487" s="7" t="n"/>
      <c r="AE5487" s="11" t="n"/>
      <c r="AG5487">
        <f>IF($C5487="","",IF(COUNTIF($C$2:$C5487,$C5487)=1,1,0))</f>
        <v/>
      </c>
      <c r="AH5487">
        <f>IF($AG5487=1,SUMPRODUCT(--($AK$2:$AK$6001&lt;$AK5487))+1,"")</f>
        <v/>
      </c>
      <c r="AI5487">
        <f>IF($C5487="","",IF(OR($N5487=TRUE(),$N5487="TRUE"),1,0))</f>
        <v/>
      </c>
      <c r="AJ5487">
        <f>IF($C5487="","",IF($T5487="Yes",1,0))</f>
        <v/>
      </c>
      <c r="AK5487">
        <f>IF($AG5487=1,IFERROR(IF(VALUE($C5487)&lt;100000000,VALUE($C5487),1000000000),IFERROR(IF(VALUE(MID($C5487,2,20))&lt;100000000,VALUE(MID($C5487,2,20)),1000000000),1000000000))+ROW()/100000,"")</f>
        <v/>
      </c>
    </row>
    <row r="5488">
      <c r="D5488" s="11" t="n"/>
      <c r="K5488" s="7">
        <f>IF($C5488="","",J5488*W5488/100)</f>
        <v/>
      </c>
      <c r="Q5488" s="7" t="n"/>
      <c r="R5488" s="7" t="n"/>
      <c r="U5488">
        <f>IF($C5488="","",IF($AJ5488=1,0,IF($AI5488=1,Settings!$C$6,Settings!$C$7))*100)</f>
        <v/>
      </c>
      <c r="V5488" s="7">
        <f>IF($C5488="","",R5488*U5488/100)</f>
        <v/>
      </c>
      <c r="W5488" s="7">
        <f>IF($C5488="","",R5488-V5488)</f>
        <v/>
      </c>
      <c r="X5488" s="7">
        <f>IF($C5488="","",W5488-K5488)</f>
        <v/>
      </c>
      <c r="AB5488" s="7" t="n"/>
      <c r="AE5488" s="11" t="n"/>
      <c r="AG5488">
        <f>IF($C5488="","",IF(COUNTIF($C$2:$C5488,$C5488)=1,1,0))</f>
        <v/>
      </c>
      <c r="AH5488">
        <f>IF($AG5488=1,SUMPRODUCT(--($AK$2:$AK$6001&lt;$AK5488))+1,"")</f>
        <v/>
      </c>
      <c r="AI5488">
        <f>IF($C5488="","",IF(OR($N5488=TRUE(),$N5488="TRUE"),1,0))</f>
        <v/>
      </c>
      <c r="AJ5488">
        <f>IF($C5488="","",IF($T5488="Yes",1,0))</f>
        <v/>
      </c>
      <c r="AK5488">
        <f>IF($AG5488=1,IFERROR(IF(VALUE($C5488)&lt;100000000,VALUE($C5488),1000000000),IFERROR(IF(VALUE(MID($C5488,2,20))&lt;100000000,VALUE(MID($C5488,2,20)),1000000000),1000000000))+ROW()/100000,"")</f>
        <v/>
      </c>
    </row>
    <row r="5489">
      <c r="D5489" s="11" t="n"/>
      <c r="K5489" s="7">
        <f>IF($C5489="","",J5489*W5489/100)</f>
        <v/>
      </c>
      <c r="Q5489" s="7" t="n"/>
      <c r="R5489" s="7" t="n"/>
      <c r="U5489">
        <f>IF($C5489="","",IF($AJ5489=1,0,IF($AI5489=1,Settings!$C$6,Settings!$C$7))*100)</f>
        <v/>
      </c>
      <c r="V5489" s="7">
        <f>IF($C5489="","",R5489*U5489/100)</f>
        <v/>
      </c>
      <c r="W5489" s="7">
        <f>IF($C5489="","",R5489-V5489)</f>
        <v/>
      </c>
      <c r="X5489" s="7">
        <f>IF($C5489="","",W5489-K5489)</f>
        <v/>
      </c>
      <c r="AB5489" s="7" t="n"/>
      <c r="AE5489" s="11" t="n"/>
      <c r="AG5489">
        <f>IF($C5489="","",IF(COUNTIF($C$2:$C5489,$C5489)=1,1,0))</f>
        <v/>
      </c>
      <c r="AH5489">
        <f>IF($AG5489=1,SUMPRODUCT(--($AK$2:$AK$6001&lt;$AK5489))+1,"")</f>
        <v/>
      </c>
      <c r="AI5489">
        <f>IF($C5489="","",IF(OR($N5489=TRUE(),$N5489="TRUE"),1,0))</f>
        <v/>
      </c>
      <c r="AJ5489">
        <f>IF($C5489="","",IF($T5489="Yes",1,0))</f>
        <v/>
      </c>
      <c r="AK5489">
        <f>IF($AG5489=1,IFERROR(IF(VALUE($C5489)&lt;100000000,VALUE($C5489),1000000000),IFERROR(IF(VALUE(MID($C5489,2,20))&lt;100000000,VALUE(MID($C5489,2,20)),1000000000),1000000000))+ROW()/100000,"")</f>
        <v/>
      </c>
    </row>
    <row r="5490">
      <c r="D5490" s="11" t="n"/>
      <c r="K5490" s="7">
        <f>IF($C5490="","",J5490*W5490/100)</f>
        <v/>
      </c>
      <c r="Q5490" s="7" t="n"/>
      <c r="R5490" s="7" t="n"/>
      <c r="U5490">
        <f>IF($C5490="","",IF($AJ5490=1,0,IF($AI5490=1,Settings!$C$6,Settings!$C$7))*100)</f>
        <v/>
      </c>
      <c r="V5490" s="7">
        <f>IF($C5490="","",R5490*U5490/100)</f>
        <v/>
      </c>
      <c r="W5490" s="7">
        <f>IF($C5490="","",R5490-V5490)</f>
        <v/>
      </c>
      <c r="X5490" s="7">
        <f>IF($C5490="","",W5490-K5490)</f>
        <v/>
      </c>
      <c r="AB5490" s="7" t="n"/>
      <c r="AE5490" s="11" t="n"/>
      <c r="AG5490">
        <f>IF($C5490="","",IF(COUNTIF($C$2:$C5490,$C5490)=1,1,0))</f>
        <v/>
      </c>
      <c r="AH5490">
        <f>IF($AG5490=1,SUMPRODUCT(--($AK$2:$AK$6001&lt;$AK5490))+1,"")</f>
        <v/>
      </c>
      <c r="AI5490">
        <f>IF($C5490="","",IF(OR($N5490=TRUE(),$N5490="TRUE"),1,0))</f>
        <v/>
      </c>
      <c r="AJ5490">
        <f>IF($C5490="","",IF($T5490="Yes",1,0))</f>
        <v/>
      </c>
      <c r="AK5490">
        <f>IF($AG5490=1,IFERROR(IF(VALUE($C5490)&lt;100000000,VALUE($C5490),1000000000),IFERROR(IF(VALUE(MID($C5490,2,20))&lt;100000000,VALUE(MID($C5490,2,20)),1000000000),1000000000))+ROW()/100000,"")</f>
        <v/>
      </c>
    </row>
    <row r="5491">
      <c r="D5491" s="11" t="n"/>
      <c r="K5491" s="7">
        <f>IF($C5491="","",J5491*W5491/100)</f>
        <v/>
      </c>
      <c r="Q5491" s="7" t="n"/>
      <c r="R5491" s="7" t="n"/>
      <c r="U5491">
        <f>IF($C5491="","",IF($AJ5491=1,0,IF($AI5491=1,Settings!$C$6,Settings!$C$7))*100)</f>
        <v/>
      </c>
      <c r="V5491" s="7">
        <f>IF($C5491="","",R5491*U5491/100)</f>
        <v/>
      </c>
      <c r="W5491" s="7">
        <f>IF($C5491="","",R5491-V5491)</f>
        <v/>
      </c>
      <c r="X5491" s="7">
        <f>IF($C5491="","",W5491-K5491)</f>
        <v/>
      </c>
      <c r="AB5491" s="7" t="n"/>
      <c r="AE5491" s="11" t="n"/>
      <c r="AG5491">
        <f>IF($C5491="","",IF(COUNTIF($C$2:$C5491,$C5491)=1,1,0))</f>
        <v/>
      </c>
      <c r="AH5491">
        <f>IF($AG5491=1,SUMPRODUCT(--($AK$2:$AK$6001&lt;$AK5491))+1,"")</f>
        <v/>
      </c>
      <c r="AI5491">
        <f>IF($C5491="","",IF(OR($N5491=TRUE(),$N5491="TRUE"),1,0))</f>
        <v/>
      </c>
      <c r="AJ5491">
        <f>IF($C5491="","",IF($T5491="Yes",1,0))</f>
        <v/>
      </c>
      <c r="AK5491">
        <f>IF($AG5491=1,IFERROR(IF(VALUE($C5491)&lt;100000000,VALUE($C5491),1000000000),IFERROR(IF(VALUE(MID($C5491,2,20))&lt;100000000,VALUE(MID($C5491,2,20)),1000000000),1000000000))+ROW()/100000,"")</f>
        <v/>
      </c>
    </row>
    <row r="5492">
      <c r="D5492" s="11" t="n"/>
      <c r="K5492" s="7">
        <f>IF($C5492="","",J5492*W5492/100)</f>
        <v/>
      </c>
      <c r="Q5492" s="7" t="n"/>
      <c r="R5492" s="7" t="n"/>
      <c r="U5492">
        <f>IF($C5492="","",IF($AJ5492=1,0,IF($AI5492=1,Settings!$C$6,Settings!$C$7))*100)</f>
        <v/>
      </c>
      <c r="V5492" s="7">
        <f>IF($C5492="","",R5492*U5492/100)</f>
        <v/>
      </c>
      <c r="W5492" s="7">
        <f>IF($C5492="","",R5492-V5492)</f>
        <v/>
      </c>
      <c r="X5492" s="7">
        <f>IF($C5492="","",W5492-K5492)</f>
        <v/>
      </c>
      <c r="AB5492" s="7" t="n"/>
      <c r="AE5492" s="11" t="n"/>
      <c r="AG5492">
        <f>IF($C5492="","",IF(COUNTIF($C$2:$C5492,$C5492)=1,1,0))</f>
        <v/>
      </c>
      <c r="AH5492">
        <f>IF($AG5492=1,SUMPRODUCT(--($AK$2:$AK$6001&lt;$AK5492))+1,"")</f>
        <v/>
      </c>
      <c r="AI5492">
        <f>IF($C5492="","",IF(OR($N5492=TRUE(),$N5492="TRUE"),1,0))</f>
        <v/>
      </c>
      <c r="AJ5492">
        <f>IF($C5492="","",IF($T5492="Yes",1,0))</f>
        <v/>
      </c>
      <c r="AK5492">
        <f>IF($AG5492=1,IFERROR(IF(VALUE($C5492)&lt;100000000,VALUE($C5492),1000000000),IFERROR(IF(VALUE(MID($C5492,2,20))&lt;100000000,VALUE(MID($C5492,2,20)),1000000000),1000000000))+ROW()/100000,"")</f>
        <v/>
      </c>
    </row>
    <row r="5493">
      <c r="D5493" s="11" t="n"/>
      <c r="K5493" s="7">
        <f>IF($C5493="","",J5493*W5493/100)</f>
        <v/>
      </c>
      <c r="Q5493" s="7" t="n"/>
      <c r="R5493" s="7" t="n"/>
      <c r="U5493">
        <f>IF($C5493="","",IF($AJ5493=1,0,IF($AI5493=1,Settings!$C$6,Settings!$C$7))*100)</f>
        <v/>
      </c>
      <c r="V5493" s="7">
        <f>IF($C5493="","",R5493*U5493/100)</f>
        <v/>
      </c>
      <c r="W5493" s="7">
        <f>IF($C5493="","",R5493-V5493)</f>
        <v/>
      </c>
      <c r="X5493" s="7">
        <f>IF($C5493="","",W5493-K5493)</f>
        <v/>
      </c>
      <c r="AB5493" s="7" t="n"/>
      <c r="AE5493" s="11" t="n"/>
      <c r="AG5493">
        <f>IF($C5493="","",IF(COUNTIF($C$2:$C5493,$C5493)=1,1,0))</f>
        <v/>
      </c>
      <c r="AH5493">
        <f>IF($AG5493=1,SUMPRODUCT(--($AK$2:$AK$6001&lt;$AK5493))+1,"")</f>
        <v/>
      </c>
      <c r="AI5493">
        <f>IF($C5493="","",IF(OR($N5493=TRUE(),$N5493="TRUE"),1,0))</f>
        <v/>
      </c>
      <c r="AJ5493">
        <f>IF($C5493="","",IF($T5493="Yes",1,0))</f>
        <v/>
      </c>
      <c r="AK5493">
        <f>IF($AG5493=1,IFERROR(IF(VALUE($C5493)&lt;100000000,VALUE($C5493),1000000000),IFERROR(IF(VALUE(MID($C5493,2,20))&lt;100000000,VALUE(MID($C5493,2,20)),1000000000),1000000000))+ROW()/100000,"")</f>
        <v/>
      </c>
    </row>
    <row r="5494">
      <c r="D5494" s="11" t="n"/>
      <c r="K5494" s="7">
        <f>IF($C5494="","",J5494*W5494/100)</f>
        <v/>
      </c>
      <c r="Q5494" s="7" t="n"/>
      <c r="R5494" s="7" t="n"/>
      <c r="U5494">
        <f>IF($C5494="","",IF($AJ5494=1,0,IF($AI5494=1,Settings!$C$6,Settings!$C$7))*100)</f>
        <v/>
      </c>
      <c r="V5494" s="7">
        <f>IF($C5494="","",R5494*U5494/100)</f>
        <v/>
      </c>
      <c r="W5494" s="7">
        <f>IF($C5494="","",R5494-V5494)</f>
        <v/>
      </c>
      <c r="X5494" s="7">
        <f>IF($C5494="","",W5494-K5494)</f>
        <v/>
      </c>
      <c r="AB5494" s="7" t="n"/>
      <c r="AE5494" s="11" t="n"/>
      <c r="AG5494">
        <f>IF($C5494="","",IF(COUNTIF($C$2:$C5494,$C5494)=1,1,0))</f>
        <v/>
      </c>
      <c r="AH5494">
        <f>IF($AG5494=1,SUMPRODUCT(--($AK$2:$AK$6001&lt;$AK5494))+1,"")</f>
        <v/>
      </c>
      <c r="AI5494">
        <f>IF($C5494="","",IF(OR($N5494=TRUE(),$N5494="TRUE"),1,0))</f>
        <v/>
      </c>
      <c r="AJ5494">
        <f>IF($C5494="","",IF($T5494="Yes",1,0))</f>
        <v/>
      </c>
      <c r="AK5494">
        <f>IF($AG5494=1,IFERROR(IF(VALUE($C5494)&lt;100000000,VALUE($C5494),1000000000),IFERROR(IF(VALUE(MID($C5494,2,20))&lt;100000000,VALUE(MID($C5494,2,20)),1000000000),1000000000))+ROW()/100000,"")</f>
        <v/>
      </c>
    </row>
    <row r="5495">
      <c r="D5495" s="11" t="n"/>
      <c r="K5495" s="7">
        <f>IF($C5495="","",J5495*W5495/100)</f>
        <v/>
      </c>
      <c r="Q5495" s="7" t="n"/>
      <c r="R5495" s="7" t="n"/>
      <c r="U5495">
        <f>IF($C5495="","",IF($AJ5495=1,0,IF($AI5495=1,Settings!$C$6,Settings!$C$7))*100)</f>
        <v/>
      </c>
      <c r="V5495" s="7">
        <f>IF($C5495="","",R5495*U5495/100)</f>
        <v/>
      </c>
      <c r="W5495" s="7">
        <f>IF($C5495="","",R5495-V5495)</f>
        <v/>
      </c>
      <c r="X5495" s="7">
        <f>IF($C5495="","",W5495-K5495)</f>
        <v/>
      </c>
      <c r="AB5495" s="7" t="n"/>
      <c r="AE5495" s="11" t="n"/>
      <c r="AG5495">
        <f>IF($C5495="","",IF(COUNTIF($C$2:$C5495,$C5495)=1,1,0))</f>
        <v/>
      </c>
      <c r="AH5495">
        <f>IF($AG5495=1,SUMPRODUCT(--($AK$2:$AK$6001&lt;$AK5495))+1,"")</f>
        <v/>
      </c>
      <c r="AI5495">
        <f>IF($C5495="","",IF(OR($N5495=TRUE(),$N5495="TRUE"),1,0))</f>
        <v/>
      </c>
      <c r="AJ5495">
        <f>IF($C5495="","",IF($T5495="Yes",1,0))</f>
        <v/>
      </c>
      <c r="AK5495">
        <f>IF($AG5495=1,IFERROR(IF(VALUE($C5495)&lt;100000000,VALUE($C5495),1000000000),IFERROR(IF(VALUE(MID($C5495,2,20))&lt;100000000,VALUE(MID($C5495,2,20)),1000000000),1000000000))+ROW()/100000,"")</f>
        <v/>
      </c>
    </row>
    <row r="5496">
      <c r="D5496" s="11" t="n"/>
      <c r="K5496" s="7">
        <f>IF($C5496="","",J5496*W5496/100)</f>
        <v/>
      </c>
      <c r="Q5496" s="7" t="n"/>
      <c r="R5496" s="7" t="n"/>
      <c r="U5496">
        <f>IF($C5496="","",IF($AJ5496=1,0,IF($AI5496=1,Settings!$C$6,Settings!$C$7))*100)</f>
        <v/>
      </c>
      <c r="V5496" s="7">
        <f>IF($C5496="","",R5496*U5496/100)</f>
        <v/>
      </c>
      <c r="W5496" s="7">
        <f>IF($C5496="","",R5496-V5496)</f>
        <v/>
      </c>
      <c r="X5496" s="7">
        <f>IF($C5496="","",W5496-K5496)</f>
        <v/>
      </c>
      <c r="AB5496" s="7" t="n"/>
      <c r="AE5496" s="11" t="n"/>
      <c r="AG5496">
        <f>IF($C5496="","",IF(COUNTIF($C$2:$C5496,$C5496)=1,1,0))</f>
        <v/>
      </c>
      <c r="AH5496">
        <f>IF($AG5496=1,SUMPRODUCT(--($AK$2:$AK$6001&lt;$AK5496))+1,"")</f>
        <v/>
      </c>
      <c r="AI5496">
        <f>IF($C5496="","",IF(OR($N5496=TRUE(),$N5496="TRUE"),1,0))</f>
        <v/>
      </c>
      <c r="AJ5496">
        <f>IF($C5496="","",IF($T5496="Yes",1,0))</f>
        <v/>
      </c>
      <c r="AK5496">
        <f>IF($AG5496=1,IFERROR(IF(VALUE($C5496)&lt;100000000,VALUE($C5496),1000000000),IFERROR(IF(VALUE(MID($C5496,2,20))&lt;100000000,VALUE(MID($C5496,2,20)),1000000000),1000000000))+ROW()/100000,"")</f>
        <v/>
      </c>
    </row>
    <row r="5497">
      <c r="D5497" s="11" t="n"/>
      <c r="K5497" s="7">
        <f>IF($C5497="","",J5497*W5497/100)</f>
        <v/>
      </c>
      <c r="Q5497" s="7" t="n"/>
      <c r="R5497" s="7" t="n"/>
      <c r="U5497">
        <f>IF($C5497="","",IF($AJ5497=1,0,IF($AI5497=1,Settings!$C$6,Settings!$C$7))*100)</f>
        <v/>
      </c>
      <c r="V5497" s="7">
        <f>IF($C5497="","",R5497*U5497/100)</f>
        <v/>
      </c>
      <c r="W5497" s="7">
        <f>IF($C5497="","",R5497-V5497)</f>
        <v/>
      </c>
      <c r="X5497" s="7">
        <f>IF($C5497="","",W5497-K5497)</f>
        <v/>
      </c>
      <c r="AB5497" s="7" t="n"/>
      <c r="AE5497" s="11" t="n"/>
      <c r="AG5497">
        <f>IF($C5497="","",IF(COUNTIF($C$2:$C5497,$C5497)=1,1,0))</f>
        <v/>
      </c>
      <c r="AH5497">
        <f>IF($AG5497=1,SUMPRODUCT(--($AK$2:$AK$6001&lt;$AK5497))+1,"")</f>
        <v/>
      </c>
      <c r="AI5497">
        <f>IF($C5497="","",IF(OR($N5497=TRUE(),$N5497="TRUE"),1,0))</f>
        <v/>
      </c>
      <c r="AJ5497">
        <f>IF($C5497="","",IF($T5497="Yes",1,0))</f>
        <v/>
      </c>
      <c r="AK5497">
        <f>IF($AG5497=1,IFERROR(IF(VALUE($C5497)&lt;100000000,VALUE($C5497),1000000000),IFERROR(IF(VALUE(MID($C5497,2,20))&lt;100000000,VALUE(MID($C5497,2,20)),1000000000),1000000000))+ROW()/100000,"")</f>
        <v/>
      </c>
    </row>
    <row r="5498">
      <c r="D5498" s="11" t="n"/>
      <c r="K5498" s="7">
        <f>IF($C5498="","",J5498*W5498/100)</f>
        <v/>
      </c>
      <c r="Q5498" s="7" t="n"/>
      <c r="R5498" s="7" t="n"/>
      <c r="U5498">
        <f>IF($C5498="","",IF($AJ5498=1,0,IF($AI5498=1,Settings!$C$6,Settings!$C$7))*100)</f>
        <v/>
      </c>
      <c r="V5498" s="7">
        <f>IF($C5498="","",R5498*U5498/100)</f>
        <v/>
      </c>
      <c r="W5498" s="7">
        <f>IF($C5498="","",R5498-V5498)</f>
        <v/>
      </c>
      <c r="X5498" s="7">
        <f>IF($C5498="","",W5498-K5498)</f>
        <v/>
      </c>
      <c r="AB5498" s="7" t="n"/>
      <c r="AE5498" s="11" t="n"/>
      <c r="AG5498">
        <f>IF($C5498="","",IF(COUNTIF($C$2:$C5498,$C5498)=1,1,0))</f>
        <v/>
      </c>
      <c r="AH5498">
        <f>IF($AG5498=1,SUMPRODUCT(--($AK$2:$AK$6001&lt;$AK5498))+1,"")</f>
        <v/>
      </c>
      <c r="AI5498">
        <f>IF($C5498="","",IF(OR($N5498=TRUE(),$N5498="TRUE"),1,0))</f>
        <v/>
      </c>
      <c r="AJ5498">
        <f>IF($C5498="","",IF($T5498="Yes",1,0))</f>
        <v/>
      </c>
      <c r="AK5498">
        <f>IF($AG5498=1,IFERROR(IF(VALUE($C5498)&lt;100000000,VALUE($C5498),1000000000),IFERROR(IF(VALUE(MID($C5498,2,20))&lt;100000000,VALUE(MID($C5498,2,20)),1000000000),1000000000))+ROW()/100000,"")</f>
        <v/>
      </c>
    </row>
    <row r="5499">
      <c r="D5499" s="11" t="n"/>
      <c r="K5499" s="7">
        <f>IF($C5499="","",J5499*W5499/100)</f>
        <v/>
      </c>
      <c r="Q5499" s="7" t="n"/>
      <c r="R5499" s="7" t="n"/>
      <c r="U5499">
        <f>IF($C5499="","",IF($AJ5499=1,0,IF($AI5499=1,Settings!$C$6,Settings!$C$7))*100)</f>
        <v/>
      </c>
      <c r="V5499" s="7">
        <f>IF($C5499="","",R5499*U5499/100)</f>
        <v/>
      </c>
      <c r="W5499" s="7">
        <f>IF($C5499="","",R5499-V5499)</f>
        <v/>
      </c>
      <c r="X5499" s="7">
        <f>IF($C5499="","",W5499-K5499)</f>
        <v/>
      </c>
      <c r="AB5499" s="7" t="n"/>
      <c r="AE5499" s="11" t="n"/>
      <c r="AG5499">
        <f>IF($C5499="","",IF(COUNTIF($C$2:$C5499,$C5499)=1,1,0))</f>
        <v/>
      </c>
      <c r="AH5499">
        <f>IF($AG5499=1,SUMPRODUCT(--($AK$2:$AK$6001&lt;$AK5499))+1,"")</f>
        <v/>
      </c>
      <c r="AI5499">
        <f>IF($C5499="","",IF(OR($N5499=TRUE(),$N5499="TRUE"),1,0))</f>
        <v/>
      </c>
      <c r="AJ5499">
        <f>IF($C5499="","",IF($T5499="Yes",1,0))</f>
        <v/>
      </c>
      <c r="AK5499">
        <f>IF($AG5499=1,IFERROR(IF(VALUE($C5499)&lt;100000000,VALUE($C5499),1000000000),IFERROR(IF(VALUE(MID($C5499,2,20))&lt;100000000,VALUE(MID($C5499,2,20)),1000000000),1000000000))+ROW()/100000,"")</f>
        <v/>
      </c>
    </row>
    <row r="5500">
      <c r="D5500" s="11" t="n"/>
      <c r="K5500" s="7">
        <f>IF($C5500="","",J5500*W5500/100)</f>
        <v/>
      </c>
      <c r="Q5500" s="7" t="n"/>
      <c r="R5500" s="7" t="n"/>
      <c r="U5500">
        <f>IF($C5500="","",IF($AJ5500=1,0,IF($AI5500=1,Settings!$C$6,Settings!$C$7))*100)</f>
        <v/>
      </c>
      <c r="V5500" s="7">
        <f>IF($C5500="","",R5500*U5500/100)</f>
        <v/>
      </c>
      <c r="W5500" s="7">
        <f>IF($C5500="","",R5500-V5500)</f>
        <v/>
      </c>
      <c r="X5500" s="7">
        <f>IF($C5500="","",W5500-K5500)</f>
        <v/>
      </c>
      <c r="AB5500" s="7" t="n"/>
      <c r="AE5500" s="11" t="n"/>
      <c r="AG5500">
        <f>IF($C5500="","",IF(COUNTIF($C$2:$C5500,$C5500)=1,1,0))</f>
        <v/>
      </c>
      <c r="AH5500">
        <f>IF($AG5500=1,SUMPRODUCT(--($AK$2:$AK$6001&lt;$AK5500))+1,"")</f>
        <v/>
      </c>
      <c r="AI5500">
        <f>IF($C5500="","",IF(OR($N5500=TRUE(),$N5500="TRUE"),1,0))</f>
        <v/>
      </c>
      <c r="AJ5500">
        <f>IF($C5500="","",IF($T5500="Yes",1,0))</f>
        <v/>
      </c>
      <c r="AK5500">
        <f>IF($AG5500=1,IFERROR(IF(VALUE($C5500)&lt;100000000,VALUE($C5500),1000000000),IFERROR(IF(VALUE(MID($C5500,2,20))&lt;100000000,VALUE(MID($C5500,2,20)),1000000000),1000000000))+ROW()/100000,"")</f>
        <v/>
      </c>
    </row>
    <row r="5501">
      <c r="D5501" s="11" t="n"/>
      <c r="K5501" s="7">
        <f>IF($C5501="","",J5501*W5501/100)</f>
        <v/>
      </c>
      <c r="Q5501" s="7" t="n"/>
      <c r="R5501" s="7" t="n"/>
      <c r="U5501">
        <f>IF($C5501="","",IF($AJ5501=1,0,IF($AI5501=1,Settings!$C$6,Settings!$C$7))*100)</f>
        <v/>
      </c>
      <c r="V5501" s="7">
        <f>IF($C5501="","",R5501*U5501/100)</f>
        <v/>
      </c>
      <c r="W5501" s="7">
        <f>IF($C5501="","",R5501-V5501)</f>
        <v/>
      </c>
      <c r="X5501" s="7">
        <f>IF($C5501="","",W5501-K5501)</f>
        <v/>
      </c>
      <c r="AB5501" s="7" t="n"/>
      <c r="AE5501" s="11" t="n"/>
      <c r="AG5501">
        <f>IF($C5501="","",IF(COUNTIF($C$2:$C5501,$C5501)=1,1,0))</f>
        <v/>
      </c>
      <c r="AH5501">
        <f>IF($AG5501=1,SUMPRODUCT(--($AK$2:$AK$6001&lt;$AK5501))+1,"")</f>
        <v/>
      </c>
      <c r="AI5501">
        <f>IF($C5501="","",IF(OR($N5501=TRUE(),$N5501="TRUE"),1,0))</f>
        <v/>
      </c>
      <c r="AJ5501">
        <f>IF($C5501="","",IF($T5501="Yes",1,0))</f>
        <v/>
      </c>
      <c r="AK5501">
        <f>IF($AG5501=1,IFERROR(IF(VALUE($C5501)&lt;100000000,VALUE($C5501),1000000000),IFERROR(IF(VALUE(MID($C5501,2,20))&lt;100000000,VALUE(MID($C5501,2,20)),1000000000),1000000000))+ROW()/100000,"")</f>
        <v/>
      </c>
    </row>
    <row r="5502">
      <c r="D5502" s="11" t="n"/>
      <c r="K5502" s="7">
        <f>IF($C5502="","",J5502*W5502/100)</f>
        <v/>
      </c>
      <c r="Q5502" s="7" t="n"/>
      <c r="R5502" s="7" t="n"/>
      <c r="U5502">
        <f>IF($C5502="","",IF($AJ5502=1,0,IF($AI5502=1,Settings!$C$6,Settings!$C$7))*100)</f>
        <v/>
      </c>
      <c r="V5502" s="7">
        <f>IF($C5502="","",R5502*U5502/100)</f>
        <v/>
      </c>
      <c r="W5502" s="7">
        <f>IF($C5502="","",R5502-V5502)</f>
        <v/>
      </c>
      <c r="X5502" s="7">
        <f>IF($C5502="","",W5502-K5502)</f>
        <v/>
      </c>
      <c r="AB5502" s="7" t="n"/>
      <c r="AE5502" s="11" t="n"/>
      <c r="AG5502">
        <f>IF($C5502="","",IF(COUNTIF($C$2:$C5502,$C5502)=1,1,0))</f>
        <v/>
      </c>
      <c r="AH5502">
        <f>IF($AG5502=1,SUMPRODUCT(--($AK$2:$AK$6001&lt;$AK5502))+1,"")</f>
        <v/>
      </c>
      <c r="AI5502">
        <f>IF($C5502="","",IF(OR($N5502=TRUE(),$N5502="TRUE"),1,0))</f>
        <v/>
      </c>
      <c r="AJ5502">
        <f>IF($C5502="","",IF($T5502="Yes",1,0))</f>
        <v/>
      </c>
      <c r="AK5502">
        <f>IF($AG5502=1,IFERROR(IF(VALUE($C5502)&lt;100000000,VALUE($C5502),1000000000),IFERROR(IF(VALUE(MID($C5502,2,20))&lt;100000000,VALUE(MID($C5502,2,20)),1000000000),1000000000))+ROW()/100000,"")</f>
        <v/>
      </c>
    </row>
    <row r="5503">
      <c r="D5503" s="11" t="n"/>
      <c r="K5503" s="7">
        <f>IF($C5503="","",J5503*W5503/100)</f>
        <v/>
      </c>
      <c r="Q5503" s="7" t="n"/>
      <c r="R5503" s="7" t="n"/>
      <c r="U5503">
        <f>IF($C5503="","",IF($AJ5503=1,0,IF($AI5503=1,Settings!$C$6,Settings!$C$7))*100)</f>
        <v/>
      </c>
      <c r="V5503" s="7">
        <f>IF($C5503="","",R5503*U5503/100)</f>
        <v/>
      </c>
      <c r="W5503" s="7">
        <f>IF($C5503="","",R5503-V5503)</f>
        <v/>
      </c>
      <c r="X5503" s="7">
        <f>IF($C5503="","",W5503-K5503)</f>
        <v/>
      </c>
      <c r="AB5503" s="7" t="n"/>
      <c r="AE5503" s="11" t="n"/>
      <c r="AG5503">
        <f>IF($C5503="","",IF(COUNTIF($C$2:$C5503,$C5503)=1,1,0))</f>
        <v/>
      </c>
      <c r="AH5503">
        <f>IF($AG5503=1,SUMPRODUCT(--($AK$2:$AK$6001&lt;$AK5503))+1,"")</f>
        <v/>
      </c>
      <c r="AI5503">
        <f>IF($C5503="","",IF(OR($N5503=TRUE(),$N5503="TRUE"),1,0))</f>
        <v/>
      </c>
      <c r="AJ5503">
        <f>IF($C5503="","",IF($T5503="Yes",1,0))</f>
        <v/>
      </c>
      <c r="AK5503">
        <f>IF($AG5503=1,IFERROR(IF(VALUE($C5503)&lt;100000000,VALUE($C5503),1000000000),IFERROR(IF(VALUE(MID($C5503,2,20))&lt;100000000,VALUE(MID($C5503,2,20)),1000000000),1000000000))+ROW()/100000,"")</f>
        <v/>
      </c>
    </row>
    <row r="5504">
      <c r="D5504" s="11" t="n"/>
      <c r="K5504" s="7">
        <f>IF($C5504="","",J5504*W5504/100)</f>
        <v/>
      </c>
      <c r="Q5504" s="7" t="n"/>
      <c r="R5504" s="7" t="n"/>
      <c r="U5504">
        <f>IF($C5504="","",IF($AJ5504=1,0,IF($AI5504=1,Settings!$C$6,Settings!$C$7))*100)</f>
        <v/>
      </c>
      <c r="V5504" s="7">
        <f>IF($C5504="","",R5504*U5504/100)</f>
        <v/>
      </c>
      <c r="W5504" s="7">
        <f>IF($C5504="","",R5504-V5504)</f>
        <v/>
      </c>
      <c r="X5504" s="7">
        <f>IF($C5504="","",W5504-K5504)</f>
        <v/>
      </c>
      <c r="AB5504" s="7" t="n"/>
      <c r="AE5504" s="11" t="n"/>
      <c r="AG5504">
        <f>IF($C5504="","",IF(COUNTIF($C$2:$C5504,$C5504)=1,1,0))</f>
        <v/>
      </c>
      <c r="AH5504">
        <f>IF($AG5504=1,SUMPRODUCT(--($AK$2:$AK$6001&lt;$AK5504))+1,"")</f>
        <v/>
      </c>
      <c r="AI5504">
        <f>IF($C5504="","",IF(OR($N5504=TRUE(),$N5504="TRUE"),1,0))</f>
        <v/>
      </c>
      <c r="AJ5504">
        <f>IF($C5504="","",IF($T5504="Yes",1,0))</f>
        <v/>
      </c>
      <c r="AK5504">
        <f>IF($AG5504=1,IFERROR(IF(VALUE($C5504)&lt;100000000,VALUE($C5504),1000000000),IFERROR(IF(VALUE(MID($C5504,2,20))&lt;100000000,VALUE(MID($C5504,2,20)),1000000000),1000000000))+ROW()/100000,"")</f>
        <v/>
      </c>
    </row>
    <row r="5505">
      <c r="D5505" s="11" t="n"/>
      <c r="K5505" s="7">
        <f>IF($C5505="","",J5505*W5505/100)</f>
        <v/>
      </c>
      <c r="Q5505" s="7" t="n"/>
      <c r="R5505" s="7" t="n"/>
      <c r="U5505">
        <f>IF($C5505="","",IF($AJ5505=1,0,IF($AI5505=1,Settings!$C$6,Settings!$C$7))*100)</f>
        <v/>
      </c>
      <c r="V5505" s="7">
        <f>IF($C5505="","",R5505*U5505/100)</f>
        <v/>
      </c>
      <c r="W5505" s="7">
        <f>IF($C5505="","",R5505-V5505)</f>
        <v/>
      </c>
      <c r="X5505" s="7">
        <f>IF($C5505="","",W5505-K5505)</f>
        <v/>
      </c>
      <c r="AB5505" s="7" t="n"/>
      <c r="AE5505" s="11" t="n"/>
      <c r="AG5505">
        <f>IF($C5505="","",IF(COUNTIF($C$2:$C5505,$C5505)=1,1,0))</f>
        <v/>
      </c>
      <c r="AH5505">
        <f>IF($AG5505=1,SUMPRODUCT(--($AK$2:$AK$6001&lt;$AK5505))+1,"")</f>
        <v/>
      </c>
      <c r="AI5505">
        <f>IF($C5505="","",IF(OR($N5505=TRUE(),$N5505="TRUE"),1,0))</f>
        <v/>
      </c>
      <c r="AJ5505">
        <f>IF($C5505="","",IF($T5505="Yes",1,0))</f>
        <v/>
      </c>
      <c r="AK5505">
        <f>IF($AG5505=1,IFERROR(IF(VALUE($C5505)&lt;100000000,VALUE($C5505),1000000000),IFERROR(IF(VALUE(MID($C5505,2,20))&lt;100000000,VALUE(MID($C5505,2,20)),1000000000),1000000000))+ROW()/100000,"")</f>
        <v/>
      </c>
    </row>
    <row r="5506">
      <c r="D5506" s="11" t="n"/>
      <c r="K5506" s="7">
        <f>IF($C5506="","",J5506*W5506/100)</f>
        <v/>
      </c>
      <c r="Q5506" s="7" t="n"/>
      <c r="R5506" s="7" t="n"/>
      <c r="U5506">
        <f>IF($C5506="","",IF($AJ5506=1,0,IF($AI5506=1,Settings!$C$6,Settings!$C$7))*100)</f>
        <v/>
      </c>
      <c r="V5506" s="7">
        <f>IF($C5506="","",R5506*U5506/100)</f>
        <v/>
      </c>
      <c r="W5506" s="7">
        <f>IF($C5506="","",R5506-V5506)</f>
        <v/>
      </c>
      <c r="X5506" s="7">
        <f>IF($C5506="","",W5506-K5506)</f>
        <v/>
      </c>
      <c r="AB5506" s="7" t="n"/>
      <c r="AE5506" s="11" t="n"/>
      <c r="AG5506">
        <f>IF($C5506="","",IF(COUNTIF($C$2:$C5506,$C5506)=1,1,0))</f>
        <v/>
      </c>
      <c r="AH5506">
        <f>IF($AG5506=1,SUMPRODUCT(--($AK$2:$AK$6001&lt;$AK5506))+1,"")</f>
        <v/>
      </c>
      <c r="AI5506">
        <f>IF($C5506="","",IF(OR($N5506=TRUE(),$N5506="TRUE"),1,0))</f>
        <v/>
      </c>
      <c r="AJ5506">
        <f>IF($C5506="","",IF($T5506="Yes",1,0))</f>
        <v/>
      </c>
      <c r="AK5506">
        <f>IF($AG5506=1,IFERROR(IF(VALUE($C5506)&lt;100000000,VALUE($C5506),1000000000),IFERROR(IF(VALUE(MID($C5506,2,20))&lt;100000000,VALUE(MID($C5506,2,20)),1000000000),1000000000))+ROW()/100000,"")</f>
        <v/>
      </c>
    </row>
    <row r="5507">
      <c r="D5507" s="11" t="n"/>
      <c r="K5507" s="7">
        <f>IF($C5507="","",J5507*W5507/100)</f>
        <v/>
      </c>
      <c r="Q5507" s="7" t="n"/>
      <c r="R5507" s="7" t="n"/>
      <c r="U5507">
        <f>IF($C5507="","",IF($AJ5507=1,0,IF($AI5507=1,Settings!$C$6,Settings!$C$7))*100)</f>
        <v/>
      </c>
      <c r="V5507" s="7">
        <f>IF($C5507="","",R5507*U5507/100)</f>
        <v/>
      </c>
      <c r="W5507" s="7">
        <f>IF($C5507="","",R5507-V5507)</f>
        <v/>
      </c>
      <c r="X5507" s="7">
        <f>IF($C5507="","",W5507-K5507)</f>
        <v/>
      </c>
      <c r="AB5507" s="7" t="n"/>
      <c r="AE5507" s="11" t="n"/>
      <c r="AG5507">
        <f>IF($C5507="","",IF(COUNTIF($C$2:$C5507,$C5507)=1,1,0))</f>
        <v/>
      </c>
      <c r="AH5507">
        <f>IF($AG5507=1,SUMPRODUCT(--($AK$2:$AK$6001&lt;$AK5507))+1,"")</f>
        <v/>
      </c>
      <c r="AI5507">
        <f>IF($C5507="","",IF(OR($N5507=TRUE(),$N5507="TRUE"),1,0))</f>
        <v/>
      </c>
      <c r="AJ5507">
        <f>IF($C5507="","",IF($T5507="Yes",1,0))</f>
        <v/>
      </c>
      <c r="AK5507">
        <f>IF($AG5507=1,IFERROR(IF(VALUE($C5507)&lt;100000000,VALUE($C5507),1000000000),IFERROR(IF(VALUE(MID($C5507,2,20))&lt;100000000,VALUE(MID($C5507,2,20)),1000000000),1000000000))+ROW()/100000,"")</f>
        <v/>
      </c>
    </row>
    <row r="5508">
      <c r="D5508" s="11" t="n"/>
      <c r="K5508" s="7">
        <f>IF($C5508="","",J5508*W5508/100)</f>
        <v/>
      </c>
      <c r="Q5508" s="7" t="n"/>
      <c r="R5508" s="7" t="n"/>
      <c r="U5508">
        <f>IF($C5508="","",IF($AJ5508=1,0,IF($AI5508=1,Settings!$C$6,Settings!$C$7))*100)</f>
        <v/>
      </c>
      <c r="V5508" s="7">
        <f>IF($C5508="","",R5508*U5508/100)</f>
        <v/>
      </c>
      <c r="W5508" s="7">
        <f>IF($C5508="","",R5508-V5508)</f>
        <v/>
      </c>
      <c r="X5508" s="7">
        <f>IF($C5508="","",W5508-K5508)</f>
        <v/>
      </c>
      <c r="AB5508" s="7" t="n"/>
      <c r="AE5508" s="11" t="n"/>
      <c r="AG5508">
        <f>IF($C5508="","",IF(COUNTIF($C$2:$C5508,$C5508)=1,1,0))</f>
        <v/>
      </c>
      <c r="AH5508">
        <f>IF($AG5508=1,SUMPRODUCT(--($AK$2:$AK$6001&lt;$AK5508))+1,"")</f>
        <v/>
      </c>
      <c r="AI5508">
        <f>IF($C5508="","",IF(OR($N5508=TRUE(),$N5508="TRUE"),1,0))</f>
        <v/>
      </c>
      <c r="AJ5508">
        <f>IF($C5508="","",IF($T5508="Yes",1,0))</f>
        <v/>
      </c>
      <c r="AK5508">
        <f>IF($AG5508=1,IFERROR(IF(VALUE($C5508)&lt;100000000,VALUE($C5508),1000000000),IFERROR(IF(VALUE(MID($C5508,2,20))&lt;100000000,VALUE(MID($C5508,2,20)),1000000000),1000000000))+ROW()/100000,"")</f>
        <v/>
      </c>
    </row>
    <row r="5509">
      <c r="D5509" s="11" t="n"/>
      <c r="K5509" s="7">
        <f>IF($C5509="","",J5509*W5509/100)</f>
        <v/>
      </c>
      <c r="Q5509" s="7" t="n"/>
      <c r="R5509" s="7" t="n"/>
      <c r="U5509">
        <f>IF($C5509="","",IF($AJ5509=1,0,IF($AI5509=1,Settings!$C$6,Settings!$C$7))*100)</f>
        <v/>
      </c>
      <c r="V5509" s="7">
        <f>IF($C5509="","",R5509*U5509/100)</f>
        <v/>
      </c>
      <c r="W5509" s="7">
        <f>IF($C5509="","",R5509-V5509)</f>
        <v/>
      </c>
      <c r="X5509" s="7">
        <f>IF($C5509="","",W5509-K5509)</f>
        <v/>
      </c>
      <c r="AB5509" s="7" t="n"/>
      <c r="AE5509" s="11" t="n"/>
      <c r="AG5509">
        <f>IF($C5509="","",IF(COUNTIF($C$2:$C5509,$C5509)=1,1,0))</f>
        <v/>
      </c>
      <c r="AH5509">
        <f>IF($AG5509=1,SUMPRODUCT(--($AK$2:$AK$6001&lt;$AK5509))+1,"")</f>
        <v/>
      </c>
      <c r="AI5509">
        <f>IF($C5509="","",IF(OR($N5509=TRUE(),$N5509="TRUE"),1,0))</f>
        <v/>
      </c>
      <c r="AJ5509">
        <f>IF($C5509="","",IF($T5509="Yes",1,0))</f>
        <v/>
      </c>
      <c r="AK5509">
        <f>IF($AG5509=1,IFERROR(IF(VALUE($C5509)&lt;100000000,VALUE($C5509),1000000000),IFERROR(IF(VALUE(MID($C5509,2,20))&lt;100000000,VALUE(MID($C5509,2,20)),1000000000),1000000000))+ROW()/100000,"")</f>
        <v/>
      </c>
    </row>
    <row r="5510">
      <c r="D5510" s="11" t="n"/>
      <c r="K5510" s="7">
        <f>IF($C5510="","",J5510*W5510/100)</f>
        <v/>
      </c>
      <c r="Q5510" s="7" t="n"/>
      <c r="R5510" s="7" t="n"/>
      <c r="U5510">
        <f>IF($C5510="","",IF($AJ5510=1,0,IF($AI5510=1,Settings!$C$6,Settings!$C$7))*100)</f>
        <v/>
      </c>
      <c r="V5510" s="7">
        <f>IF($C5510="","",R5510*U5510/100)</f>
        <v/>
      </c>
      <c r="W5510" s="7">
        <f>IF($C5510="","",R5510-V5510)</f>
        <v/>
      </c>
      <c r="X5510" s="7">
        <f>IF($C5510="","",W5510-K5510)</f>
        <v/>
      </c>
      <c r="AB5510" s="7" t="n"/>
      <c r="AE5510" s="11" t="n"/>
      <c r="AG5510">
        <f>IF($C5510="","",IF(COUNTIF($C$2:$C5510,$C5510)=1,1,0))</f>
        <v/>
      </c>
      <c r="AH5510">
        <f>IF($AG5510=1,SUMPRODUCT(--($AK$2:$AK$6001&lt;$AK5510))+1,"")</f>
        <v/>
      </c>
      <c r="AI5510">
        <f>IF($C5510="","",IF(OR($N5510=TRUE(),$N5510="TRUE"),1,0))</f>
        <v/>
      </c>
      <c r="AJ5510">
        <f>IF($C5510="","",IF($T5510="Yes",1,0))</f>
        <v/>
      </c>
      <c r="AK5510">
        <f>IF($AG5510=1,IFERROR(IF(VALUE($C5510)&lt;100000000,VALUE($C5510),1000000000),IFERROR(IF(VALUE(MID($C5510,2,20))&lt;100000000,VALUE(MID($C5510,2,20)),1000000000),1000000000))+ROW()/100000,"")</f>
        <v/>
      </c>
    </row>
    <row r="5511">
      <c r="D5511" s="11" t="n"/>
      <c r="K5511" s="7">
        <f>IF($C5511="","",J5511*W5511/100)</f>
        <v/>
      </c>
      <c r="Q5511" s="7" t="n"/>
      <c r="R5511" s="7" t="n"/>
      <c r="U5511">
        <f>IF($C5511="","",IF($AJ5511=1,0,IF($AI5511=1,Settings!$C$6,Settings!$C$7))*100)</f>
        <v/>
      </c>
      <c r="V5511" s="7">
        <f>IF($C5511="","",R5511*U5511/100)</f>
        <v/>
      </c>
      <c r="W5511" s="7">
        <f>IF($C5511="","",R5511-V5511)</f>
        <v/>
      </c>
      <c r="X5511" s="7">
        <f>IF($C5511="","",W5511-K5511)</f>
        <v/>
      </c>
      <c r="AB5511" s="7" t="n"/>
      <c r="AE5511" s="11" t="n"/>
      <c r="AG5511">
        <f>IF($C5511="","",IF(COUNTIF($C$2:$C5511,$C5511)=1,1,0))</f>
        <v/>
      </c>
      <c r="AH5511">
        <f>IF($AG5511=1,SUMPRODUCT(--($AK$2:$AK$6001&lt;$AK5511))+1,"")</f>
        <v/>
      </c>
      <c r="AI5511">
        <f>IF($C5511="","",IF(OR($N5511=TRUE(),$N5511="TRUE"),1,0))</f>
        <v/>
      </c>
      <c r="AJ5511">
        <f>IF($C5511="","",IF($T5511="Yes",1,0))</f>
        <v/>
      </c>
      <c r="AK5511">
        <f>IF($AG5511=1,IFERROR(IF(VALUE($C5511)&lt;100000000,VALUE($C5511),1000000000),IFERROR(IF(VALUE(MID($C5511,2,20))&lt;100000000,VALUE(MID($C5511,2,20)),1000000000),1000000000))+ROW()/100000,"")</f>
        <v/>
      </c>
    </row>
    <row r="5512">
      <c r="D5512" s="11" t="n"/>
      <c r="K5512" s="7">
        <f>IF($C5512="","",J5512*W5512/100)</f>
        <v/>
      </c>
      <c r="Q5512" s="7" t="n"/>
      <c r="R5512" s="7" t="n"/>
      <c r="U5512">
        <f>IF($C5512="","",IF($AJ5512=1,0,IF($AI5512=1,Settings!$C$6,Settings!$C$7))*100)</f>
        <v/>
      </c>
      <c r="V5512" s="7">
        <f>IF($C5512="","",R5512*U5512/100)</f>
        <v/>
      </c>
      <c r="W5512" s="7">
        <f>IF($C5512="","",R5512-V5512)</f>
        <v/>
      </c>
      <c r="X5512" s="7">
        <f>IF($C5512="","",W5512-K5512)</f>
        <v/>
      </c>
      <c r="AB5512" s="7" t="n"/>
      <c r="AE5512" s="11" t="n"/>
      <c r="AG5512">
        <f>IF($C5512="","",IF(COUNTIF($C$2:$C5512,$C5512)=1,1,0))</f>
        <v/>
      </c>
      <c r="AH5512">
        <f>IF($AG5512=1,SUMPRODUCT(--($AK$2:$AK$6001&lt;$AK5512))+1,"")</f>
        <v/>
      </c>
      <c r="AI5512">
        <f>IF($C5512="","",IF(OR($N5512=TRUE(),$N5512="TRUE"),1,0))</f>
        <v/>
      </c>
      <c r="AJ5512">
        <f>IF($C5512="","",IF($T5512="Yes",1,0))</f>
        <v/>
      </c>
      <c r="AK5512">
        <f>IF($AG5512=1,IFERROR(IF(VALUE($C5512)&lt;100000000,VALUE($C5512),1000000000),IFERROR(IF(VALUE(MID($C5512,2,20))&lt;100000000,VALUE(MID($C5512,2,20)),1000000000),1000000000))+ROW()/100000,"")</f>
        <v/>
      </c>
    </row>
    <row r="5513">
      <c r="D5513" s="11" t="n"/>
      <c r="K5513" s="7">
        <f>IF($C5513="","",J5513*W5513/100)</f>
        <v/>
      </c>
      <c r="Q5513" s="7" t="n"/>
      <c r="R5513" s="7" t="n"/>
      <c r="U5513">
        <f>IF($C5513="","",IF($AJ5513=1,0,IF($AI5513=1,Settings!$C$6,Settings!$C$7))*100)</f>
        <v/>
      </c>
      <c r="V5513" s="7">
        <f>IF($C5513="","",R5513*U5513/100)</f>
        <v/>
      </c>
      <c r="W5513" s="7">
        <f>IF($C5513="","",R5513-V5513)</f>
        <v/>
      </c>
      <c r="X5513" s="7">
        <f>IF($C5513="","",W5513-K5513)</f>
        <v/>
      </c>
      <c r="AB5513" s="7" t="n"/>
      <c r="AE5513" s="11" t="n"/>
      <c r="AG5513">
        <f>IF($C5513="","",IF(COUNTIF($C$2:$C5513,$C5513)=1,1,0))</f>
        <v/>
      </c>
      <c r="AH5513">
        <f>IF($AG5513=1,SUMPRODUCT(--($AK$2:$AK$6001&lt;$AK5513))+1,"")</f>
        <v/>
      </c>
      <c r="AI5513">
        <f>IF($C5513="","",IF(OR($N5513=TRUE(),$N5513="TRUE"),1,0))</f>
        <v/>
      </c>
      <c r="AJ5513">
        <f>IF($C5513="","",IF($T5513="Yes",1,0))</f>
        <v/>
      </c>
      <c r="AK5513">
        <f>IF($AG5513=1,IFERROR(IF(VALUE($C5513)&lt;100000000,VALUE($C5513),1000000000),IFERROR(IF(VALUE(MID($C5513,2,20))&lt;100000000,VALUE(MID($C5513,2,20)),1000000000),1000000000))+ROW()/100000,"")</f>
        <v/>
      </c>
    </row>
    <row r="5514">
      <c r="D5514" s="11" t="n"/>
      <c r="K5514" s="7">
        <f>IF($C5514="","",J5514*W5514/100)</f>
        <v/>
      </c>
      <c r="Q5514" s="7" t="n"/>
      <c r="R5514" s="7" t="n"/>
      <c r="U5514">
        <f>IF($C5514="","",IF($AJ5514=1,0,IF($AI5514=1,Settings!$C$6,Settings!$C$7))*100)</f>
        <v/>
      </c>
      <c r="V5514" s="7">
        <f>IF($C5514="","",R5514*U5514/100)</f>
        <v/>
      </c>
      <c r="W5514" s="7">
        <f>IF($C5514="","",R5514-V5514)</f>
        <v/>
      </c>
      <c r="X5514" s="7">
        <f>IF($C5514="","",W5514-K5514)</f>
        <v/>
      </c>
      <c r="AB5514" s="7" t="n"/>
      <c r="AE5514" s="11" t="n"/>
      <c r="AG5514">
        <f>IF($C5514="","",IF(COUNTIF($C$2:$C5514,$C5514)=1,1,0))</f>
        <v/>
      </c>
      <c r="AH5514">
        <f>IF($AG5514=1,SUMPRODUCT(--($AK$2:$AK$6001&lt;$AK5514))+1,"")</f>
        <v/>
      </c>
      <c r="AI5514">
        <f>IF($C5514="","",IF(OR($N5514=TRUE(),$N5514="TRUE"),1,0))</f>
        <v/>
      </c>
      <c r="AJ5514">
        <f>IF($C5514="","",IF($T5514="Yes",1,0))</f>
        <v/>
      </c>
      <c r="AK5514">
        <f>IF($AG5514=1,IFERROR(IF(VALUE($C5514)&lt;100000000,VALUE($C5514),1000000000),IFERROR(IF(VALUE(MID($C5514,2,20))&lt;100000000,VALUE(MID($C5514,2,20)),1000000000),1000000000))+ROW()/100000,"")</f>
        <v/>
      </c>
    </row>
    <row r="5515">
      <c r="D5515" s="11" t="n"/>
      <c r="K5515" s="7">
        <f>IF($C5515="","",J5515*W5515/100)</f>
        <v/>
      </c>
      <c r="Q5515" s="7" t="n"/>
      <c r="R5515" s="7" t="n"/>
      <c r="U5515">
        <f>IF($C5515="","",IF($AJ5515=1,0,IF($AI5515=1,Settings!$C$6,Settings!$C$7))*100)</f>
        <v/>
      </c>
      <c r="V5515" s="7">
        <f>IF($C5515="","",R5515*U5515/100)</f>
        <v/>
      </c>
      <c r="W5515" s="7">
        <f>IF($C5515="","",R5515-V5515)</f>
        <v/>
      </c>
      <c r="X5515" s="7">
        <f>IF($C5515="","",W5515-K5515)</f>
        <v/>
      </c>
      <c r="AB5515" s="7" t="n"/>
      <c r="AE5515" s="11" t="n"/>
      <c r="AG5515">
        <f>IF($C5515="","",IF(COUNTIF($C$2:$C5515,$C5515)=1,1,0))</f>
        <v/>
      </c>
      <c r="AH5515">
        <f>IF($AG5515=1,SUMPRODUCT(--($AK$2:$AK$6001&lt;$AK5515))+1,"")</f>
        <v/>
      </c>
      <c r="AI5515">
        <f>IF($C5515="","",IF(OR($N5515=TRUE(),$N5515="TRUE"),1,0))</f>
        <v/>
      </c>
      <c r="AJ5515">
        <f>IF($C5515="","",IF($T5515="Yes",1,0))</f>
        <v/>
      </c>
      <c r="AK5515">
        <f>IF($AG5515=1,IFERROR(IF(VALUE($C5515)&lt;100000000,VALUE($C5515),1000000000),IFERROR(IF(VALUE(MID($C5515,2,20))&lt;100000000,VALUE(MID($C5515,2,20)),1000000000),1000000000))+ROW()/100000,"")</f>
        <v/>
      </c>
    </row>
    <row r="5516">
      <c r="D5516" s="11" t="n"/>
      <c r="K5516" s="7">
        <f>IF($C5516="","",J5516*W5516/100)</f>
        <v/>
      </c>
      <c r="Q5516" s="7" t="n"/>
      <c r="R5516" s="7" t="n"/>
      <c r="U5516">
        <f>IF($C5516="","",IF($AJ5516=1,0,IF($AI5516=1,Settings!$C$6,Settings!$C$7))*100)</f>
        <v/>
      </c>
      <c r="V5516" s="7">
        <f>IF($C5516="","",R5516*U5516/100)</f>
        <v/>
      </c>
      <c r="W5516" s="7">
        <f>IF($C5516="","",R5516-V5516)</f>
        <v/>
      </c>
      <c r="X5516" s="7">
        <f>IF($C5516="","",W5516-K5516)</f>
        <v/>
      </c>
      <c r="AB5516" s="7" t="n"/>
      <c r="AE5516" s="11" t="n"/>
      <c r="AG5516">
        <f>IF($C5516="","",IF(COUNTIF($C$2:$C5516,$C5516)=1,1,0))</f>
        <v/>
      </c>
      <c r="AH5516">
        <f>IF($AG5516=1,SUMPRODUCT(--($AK$2:$AK$6001&lt;$AK5516))+1,"")</f>
        <v/>
      </c>
      <c r="AI5516">
        <f>IF($C5516="","",IF(OR($N5516=TRUE(),$N5516="TRUE"),1,0))</f>
        <v/>
      </c>
      <c r="AJ5516">
        <f>IF($C5516="","",IF($T5516="Yes",1,0))</f>
        <v/>
      </c>
      <c r="AK5516">
        <f>IF($AG5516=1,IFERROR(IF(VALUE($C5516)&lt;100000000,VALUE($C5516),1000000000),IFERROR(IF(VALUE(MID($C5516,2,20))&lt;100000000,VALUE(MID($C5516,2,20)),1000000000),1000000000))+ROW()/100000,"")</f>
        <v/>
      </c>
    </row>
    <row r="5517">
      <c r="D5517" s="11" t="n"/>
      <c r="K5517" s="7">
        <f>IF($C5517="","",J5517*W5517/100)</f>
        <v/>
      </c>
      <c r="Q5517" s="7" t="n"/>
      <c r="R5517" s="7" t="n"/>
      <c r="U5517">
        <f>IF($C5517="","",IF($AJ5517=1,0,IF($AI5517=1,Settings!$C$6,Settings!$C$7))*100)</f>
        <v/>
      </c>
      <c r="V5517" s="7">
        <f>IF($C5517="","",R5517*U5517/100)</f>
        <v/>
      </c>
      <c r="W5517" s="7">
        <f>IF($C5517="","",R5517-V5517)</f>
        <v/>
      </c>
      <c r="X5517" s="7">
        <f>IF($C5517="","",W5517-K5517)</f>
        <v/>
      </c>
      <c r="AB5517" s="7" t="n"/>
      <c r="AE5517" s="11" t="n"/>
      <c r="AG5517">
        <f>IF($C5517="","",IF(COUNTIF($C$2:$C5517,$C5517)=1,1,0))</f>
        <v/>
      </c>
      <c r="AH5517">
        <f>IF($AG5517=1,SUMPRODUCT(--($AK$2:$AK$6001&lt;$AK5517))+1,"")</f>
        <v/>
      </c>
      <c r="AI5517">
        <f>IF($C5517="","",IF(OR($N5517=TRUE(),$N5517="TRUE"),1,0))</f>
        <v/>
      </c>
      <c r="AJ5517">
        <f>IF($C5517="","",IF($T5517="Yes",1,0))</f>
        <v/>
      </c>
      <c r="AK5517">
        <f>IF($AG5517=1,IFERROR(IF(VALUE($C5517)&lt;100000000,VALUE($C5517),1000000000),IFERROR(IF(VALUE(MID($C5517,2,20))&lt;100000000,VALUE(MID($C5517,2,20)),1000000000),1000000000))+ROW()/100000,"")</f>
        <v/>
      </c>
    </row>
    <row r="5518">
      <c r="D5518" s="11" t="n"/>
      <c r="K5518" s="7">
        <f>IF($C5518="","",J5518*W5518/100)</f>
        <v/>
      </c>
      <c r="Q5518" s="7" t="n"/>
      <c r="R5518" s="7" t="n"/>
      <c r="U5518">
        <f>IF($C5518="","",IF($AJ5518=1,0,IF($AI5518=1,Settings!$C$6,Settings!$C$7))*100)</f>
        <v/>
      </c>
      <c r="V5518" s="7">
        <f>IF($C5518="","",R5518*U5518/100)</f>
        <v/>
      </c>
      <c r="W5518" s="7">
        <f>IF($C5518="","",R5518-V5518)</f>
        <v/>
      </c>
      <c r="X5518" s="7">
        <f>IF($C5518="","",W5518-K5518)</f>
        <v/>
      </c>
      <c r="AB5518" s="7" t="n"/>
      <c r="AE5518" s="11" t="n"/>
      <c r="AG5518">
        <f>IF($C5518="","",IF(COUNTIF($C$2:$C5518,$C5518)=1,1,0))</f>
        <v/>
      </c>
      <c r="AH5518">
        <f>IF($AG5518=1,SUMPRODUCT(--($AK$2:$AK$6001&lt;$AK5518))+1,"")</f>
        <v/>
      </c>
      <c r="AI5518">
        <f>IF($C5518="","",IF(OR($N5518=TRUE(),$N5518="TRUE"),1,0))</f>
        <v/>
      </c>
      <c r="AJ5518">
        <f>IF($C5518="","",IF($T5518="Yes",1,0))</f>
        <v/>
      </c>
      <c r="AK5518">
        <f>IF($AG5518=1,IFERROR(IF(VALUE($C5518)&lt;100000000,VALUE($C5518),1000000000),IFERROR(IF(VALUE(MID($C5518,2,20))&lt;100000000,VALUE(MID($C5518,2,20)),1000000000),1000000000))+ROW()/100000,"")</f>
        <v/>
      </c>
    </row>
    <row r="5519">
      <c r="D5519" s="11" t="n"/>
      <c r="K5519" s="7">
        <f>IF($C5519="","",J5519*W5519/100)</f>
        <v/>
      </c>
      <c r="Q5519" s="7" t="n"/>
      <c r="R5519" s="7" t="n"/>
      <c r="U5519">
        <f>IF($C5519="","",IF($AJ5519=1,0,IF($AI5519=1,Settings!$C$6,Settings!$C$7))*100)</f>
        <v/>
      </c>
      <c r="V5519" s="7">
        <f>IF($C5519="","",R5519*U5519/100)</f>
        <v/>
      </c>
      <c r="W5519" s="7">
        <f>IF($C5519="","",R5519-V5519)</f>
        <v/>
      </c>
      <c r="X5519" s="7">
        <f>IF($C5519="","",W5519-K5519)</f>
        <v/>
      </c>
      <c r="AB5519" s="7" t="n"/>
      <c r="AE5519" s="11" t="n"/>
      <c r="AG5519">
        <f>IF($C5519="","",IF(COUNTIF($C$2:$C5519,$C5519)=1,1,0))</f>
        <v/>
      </c>
      <c r="AH5519">
        <f>IF($AG5519=1,SUMPRODUCT(--($AK$2:$AK$6001&lt;$AK5519))+1,"")</f>
        <v/>
      </c>
      <c r="AI5519">
        <f>IF($C5519="","",IF(OR($N5519=TRUE(),$N5519="TRUE"),1,0))</f>
        <v/>
      </c>
      <c r="AJ5519">
        <f>IF($C5519="","",IF($T5519="Yes",1,0))</f>
        <v/>
      </c>
      <c r="AK5519">
        <f>IF($AG5519=1,IFERROR(IF(VALUE($C5519)&lt;100000000,VALUE($C5519),1000000000),IFERROR(IF(VALUE(MID($C5519,2,20))&lt;100000000,VALUE(MID($C5519,2,20)),1000000000),1000000000))+ROW()/100000,"")</f>
        <v/>
      </c>
    </row>
    <row r="5520">
      <c r="D5520" s="11" t="n"/>
      <c r="K5520" s="7">
        <f>IF($C5520="","",J5520*W5520/100)</f>
        <v/>
      </c>
      <c r="Q5520" s="7" t="n"/>
      <c r="R5520" s="7" t="n"/>
      <c r="U5520">
        <f>IF($C5520="","",IF($AJ5520=1,0,IF($AI5520=1,Settings!$C$6,Settings!$C$7))*100)</f>
        <v/>
      </c>
      <c r="V5520" s="7">
        <f>IF($C5520="","",R5520*U5520/100)</f>
        <v/>
      </c>
      <c r="W5520" s="7">
        <f>IF($C5520="","",R5520-V5520)</f>
        <v/>
      </c>
      <c r="X5520" s="7">
        <f>IF($C5520="","",W5520-K5520)</f>
        <v/>
      </c>
      <c r="AB5520" s="7" t="n"/>
      <c r="AE5520" s="11" t="n"/>
      <c r="AG5520">
        <f>IF($C5520="","",IF(COUNTIF($C$2:$C5520,$C5520)=1,1,0))</f>
        <v/>
      </c>
      <c r="AH5520">
        <f>IF($AG5520=1,SUMPRODUCT(--($AK$2:$AK$6001&lt;$AK5520))+1,"")</f>
        <v/>
      </c>
      <c r="AI5520">
        <f>IF($C5520="","",IF(OR($N5520=TRUE(),$N5520="TRUE"),1,0))</f>
        <v/>
      </c>
      <c r="AJ5520">
        <f>IF($C5520="","",IF($T5520="Yes",1,0))</f>
        <v/>
      </c>
      <c r="AK5520">
        <f>IF($AG5520=1,IFERROR(IF(VALUE($C5520)&lt;100000000,VALUE($C5520),1000000000),IFERROR(IF(VALUE(MID($C5520,2,20))&lt;100000000,VALUE(MID($C5520,2,20)),1000000000),1000000000))+ROW()/100000,"")</f>
        <v/>
      </c>
    </row>
    <row r="5521">
      <c r="D5521" s="11" t="n"/>
      <c r="K5521" s="7">
        <f>IF($C5521="","",J5521*W5521/100)</f>
        <v/>
      </c>
      <c r="Q5521" s="7" t="n"/>
      <c r="R5521" s="7" t="n"/>
      <c r="U5521">
        <f>IF($C5521="","",IF($AJ5521=1,0,IF($AI5521=1,Settings!$C$6,Settings!$C$7))*100)</f>
        <v/>
      </c>
      <c r="V5521" s="7">
        <f>IF($C5521="","",R5521*U5521/100)</f>
        <v/>
      </c>
      <c r="W5521" s="7">
        <f>IF($C5521="","",R5521-V5521)</f>
        <v/>
      </c>
      <c r="X5521" s="7">
        <f>IF($C5521="","",W5521-K5521)</f>
        <v/>
      </c>
      <c r="AB5521" s="7" t="n"/>
      <c r="AE5521" s="11" t="n"/>
      <c r="AG5521">
        <f>IF($C5521="","",IF(COUNTIF($C$2:$C5521,$C5521)=1,1,0))</f>
        <v/>
      </c>
      <c r="AH5521">
        <f>IF($AG5521=1,SUMPRODUCT(--($AK$2:$AK$6001&lt;$AK5521))+1,"")</f>
        <v/>
      </c>
      <c r="AI5521">
        <f>IF($C5521="","",IF(OR($N5521=TRUE(),$N5521="TRUE"),1,0))</f>
        <v/>
      </c>
      <c r="AJ5521">
        <f>IF($C5521="","",IF($T5521="Yes",1,0))</f>
        <v/>
      </c>
      <c r="AK5521">
        <f>IF($AG5521=1,IFERROR(IF(VALUE($C5521)&lt;100000000,VALUE($C5521),1000000000),IFERROR(IF(VALUE(MID($C5521,2,20))&lt;100000000,VALUE(MID($C5521,2,20)),1000000000),1000000000))+ROW()/100000,"")</f>
        <v/>
      </c>
    </row>
    <row r="5522">
      <c r="D5522" s="11" t="n"/>
      <c r="K5522" s="7">
        <f>IF($C5522="","",J5522*W5522/100)</f>
        <v/>
      </c>
      <c r="Q5522" s="7" t="n"/>
      <c r="R5522" s="7" t="n"/>
      <c r="U5522">
        <f>IF($C5522="","",IF($AJ5522=1,0,IF($AI5522=1,Settings!$C$6,Settings!$C$7))*100)</f>
        <v/>
      </c>
      <c r="V5522" s="7">
        <f>IF($C5522="","",R5522*U5522/100)</f>
        <v/>
      </c>
      <c r="W5522" s="7">
        <f>IF($C5522="","",R5522-V5522)</f>
        <v/>
      </c>
      <c r="X5522" s="7">
        <f>IF($C5522="","",W5522-K5522)</f>
        <v/>
      </c>
      <c r="AB5522" s="7" t="n"/>
      <c r="AE5522" s="11" t="n"/>
      <c r="AG5522">
        <f>IF($C5522="","",IF(COUNTIF($C$2:$C5522,$C5522)=1,1,0))</f>
        <v/>
      </c>
      <c r="AH5522">
        <f>IF($AG5522=1,SUMPRODUCT(--($AK$2:$AK$6001&lt;$AK5522))+1,"")</f>
        <v/>
      </c>
      <c r="AI5522">
        <f>IF($C5522="","",IF(OR($N5522=TRUE(),$N5522="TRUE"),1,0))</f>
        <v/>
      </c>
      <c r="AJ5522">
        <f>IF($C5522="","",IF($T5522="Yes",1,0))</f>
        <v/>
      </c>
      <c r="AK5522">
        <f>IF($AG5522=1,IFERROR(IF(VALUE($C5522)&lt;100000000,VALUE($C5522),1000000000),IFERROR(IF(VALUE(MID($C5522,2,20))&lt;100000000,VALUE(MID($C5522,2,20)),1000000000),1000000000))+ROW()/100000,"")</f>
        <v/>
      </c>
    </row>
    <row r="5523">
      <c r="D5523" s="11" t="n"/>
      <c r="K5523" s="7">
        <f>IF($C5523="","",J5523*W5523/100)</f>
        <v/>
      </c>
      <c r="Q5523" s="7" t="n"/>
      <c r="R5523" s="7" t="n"/>
      <c r="U5523">
        <f>IF($C5523="","",IF($AJ5523=1,0,IF($AI5523=1,Settings!$C$6,Settings!$C$7))*100)</f>
        <v/>
      </c>
      <c r="V5523" s="7">
        <f>IF($C5523="","",R5523*U5523/100)</f>
        <v/>
      </c>
      <c r="W5523" s="7">
        <f>IF($C5523="","",R5523-V5523)</f>
        <v/>
      </c>
      <c r="X5523" s="7">
        <f>IF($C5523="","",W5523-K5523)</f>
        <v/>
      </c>
      <c r="AB5523" s="7" t="n"/>
      <c r="AE5523" s="11" t="n"/>
      <c r="AG5523">
        <f>IF($C5523="","",IF(COUNTIF($C$2:$C5523,$C5523)=1,1,0))</f>
        <v/>
      </c>
      <c r="AH5523">
        <f>IF($AG5523=1,SUMPRODUCT(--($AK$2:$AK$6001&lt;$AK5523))+1,"")</f>
        <v/>
      </c>
      <c r="AI5523">
        <f>IF($C5523="","",IF(OR($N5523=TRUE(),$N5523="TRUE"),1,0))</f>
        <v/>
      </c>
      <c r="AJ5523">
        <f>IF($C5523="","",IF($T5523="Yes",1,0))</f>
        <v/>
      </c>
      <c r="AK5523">
        <f>IF($AG5523=1,IFERROR(IF(VALUE($C5523)&lt;100000000,VALUE($C5523),1000000000),IFERROR(IF(VALUE(MID($C5523,2,20))&lt;100000000,VALUE(MID($C5523,2,20)),1000000000),1000000000))+ROW()/100000,"")</f>
        <v/>
      </c>
    </row>
    <row r="5524">
      <c r="D5524" s="11" t="n"/>
      <c r="K5524" s="7">
        <f>IF($C5524="","",J5524*W5524/100)</f>
        <v/>
      </c>
      <c r="Q5524" s="7" t="n"/>
      <c r="R5524" s="7" t="n"/>
      <c r="U5524">
        <f>IF($C5524="","",IF($AJ5524=1,0,IF($AI5524=1,Settings!$C$6,Settings!$C$7))*100)</f>
        <v/>
      </c>
      <c r="V5524" s="7">
        <f>IF($C5524="","",R5524*U5524/100)</f>
        <v/>
      </c>
      <c r="W5524" s="7">
        <f>IF($C5524="","",R5524-V5524)</f>
        <v/>
      </c>
      <c r="X5524" s="7">
        <f>IF($C5524="","",W5524-K5524)</f>
        <v/>
      </c>
      <c r="AB5524" s="7" t="n"/>
      <c r="AE5524" s="11" t="n"/>
      <c r="AG5524">
        <f>IF($C5524="","",IF(COUNTIF($C$2:$C5524,$C5524)=1,1,0))</f>
        <v/>
      </c>
      <c r="AH5524">
        <f>IF($AG5524=1,SUMPRODUCT(--($AK$2:$AK$6001&lt;$AK5524))+1,"")</f>
        <v/>
      </c>
      <c r="AI5524">
        <f>IF($C5524="","",IF(OR($N5524=TRUE(),$N5524="TRUE"),1,0))</f>
        <v/>
      </c>
      <c r="AJ5524">
        <f>IF($C5524="","",IF($T5524="Yes",1,0))</f>
        <v/>
      </c>
      <c r="AK5524">
        <f>IF($AG5524=1,IFERROR(IF(VALUE($C5524)&lt;100000000,VALUE($C5524),1000000000),IFERROR(IF(VALUE(MID($C5524,2,20))&lt;100000000,VALUE(MID($C5524,2,20)),1000000000),1000000000))+ROW()/100000,"")</f>
        <v/>
      </c>
    </row>
    <row r="5525">
      <c r="D5525" s="11" t="n"/>
      <c r="K5525" s="7">
        <f>IF($C5525="","",J5525*W5525/100)</f>
        <v/>
      </c>
      <c r="Q5525" s="7" t="n"/>
      <c r="R5525" s="7" t="n"/>
      <c r="U5525">
        <f>IF($C5525="","",IF($AJ5525=1,0,IF($AI5525=1,Settings!$C$6,Settings!$C$7))*100)</f>
        <v/>
      </c>
      <c r="V5525" s="7">
        <f>IF($C5525="","",R5525*U5525/100)</f>
        <v/>
      </c>
      <c r="W5525" s="7">
        <f>IF($C5525="","",R5525-V5525)</f>
        <v/>
      </c>
      <c r="X5525" s="7">
        <f>IF($C5525="","",W5525-K5525)</f>
        <v/>
      </c>
      <c r="AB5525" s="7" t="n"/>
      <c r="AE5525" s="11" t="n"/>
      <c r="AG5525">
        <f>IF($C5525="","",IF(COUNTIF($C$2:$C5525,$C5525)=1,1,0))</f>
        <v/>
      </c>
      <c r="AH5525">
        <f>IF($AG5525=1,SUMPRODUCT(--($AK$2:$AK$6001&lt;$AK5525))+1,"")</f>
        <v/>
      </c>
      <c r="AI5525">
        <f>IF($C5525="","",IF(OR($N5525=TRUE(),$N5525="TRUE"),1,0))</f>
        <v/>
      </c>
      <c r="AJ5525">
        <f>IF($C5525="","",IF($T5525="Yes",1,0))</f>
        <v/>
      </c>
      <c r="AK5525">
        <f>IF($AG5525=1,IFERROR(IF(VALUE($C5525)&lt;100000000,VALUE($C5525),1000000000),IFERROR(IF(VALUE(MID($C5525,2,20))&lt;100000000,VALUE(MID($C5525,2,20)),1000000000),1000000000))+ROW()/100000,"")</f>
        <v/>
      </c>
    </row>
    <row r="5526">
      <c r="D5526" s="11" t="n"/>
      <c r="K5526" s="7">
        <f>IF($C5526="","",J5526*W5526/100)</f>
        <v/>
      </c>
      <c r="Q5526" s="7" t="n"/>
      <c r="R5526" s="7" t="n"/>
      <c r="U5526">
        <f>IF($C5526="","",IF($AJ5526=1,0,IF($AI5526=1,Settings!$C$6,Settings!$C$7))*100)</f>
        <v/>
      </c>
      <c r="V5526" s="7">
        <f>IF($C5526="","",R5526*U5526/100)</f>
        <v/>
      </c>
      <c r="W5526" s="7">
        <f>IF($C5526="","",R5526-V5526)</f>
        <v/>
      </c>
      <c r="X5526" s="7">
        <f>IF($C5526="","",W5526-K5526)</f>
        <v/>
      </c>
      <c r="AB5526" s="7" t="n"/>
      <c r="AE5526" s="11" t="n"/>
      <c r="AG5526">
        <f>IF($C5526="","",IF(COUNTIF($C$2:$C5526,$C5526)=1,1,0))</f>
        <v/>
      </c>
      <c r="AH5526">
        <f>IF($AG5526=1,SUMPRODUCT(--($AK$2:$AK$6001&lt;$AK5526))+1,"")</f>
        <v/>
      </c>
      <c r="AI5526">
        <f>IF($C5526="","",IF(OR($N5526=TRUE(),$N5526="TRUE"),1,0))</f>
        <v/>
      </c>
      <c r="AJ5526">
        <f>IF($C5526="","",IF($T5526="Yes",1,0))</f>
        <v/>
      </c>
      <c r="AK5526">
        <f>IF($AG5526=1,IFERROR(IF(VALUE($C5526)&lt;100000000,VALUE($C5526),1000000000),IFERROR(IF(VALUE(MID($C5526,2,20))&lt;100000000,VALUE(MID($C5526,2,20)),1000000000),1000000000))+ROW()/100000,"")</f>
        <v/>
      </c>
    </row>
    <row r="5527">
      <c r="D5527" s="11" t="n"/>
      <c r="K5527" s="7">
        <f>IF($C5527="","",J5527*W5527/100)</f>
        <v/>
      </c>
      <c r="Q5527" s="7" t="n"/>
      <c r="R5527" s="7" t="n"/>
      <c r="U5527">
        <f>IF($C5527="","",IF($AJ5527=1,0,IF($AI5527=1,Settings!$C$6,Settings!$C$7))*100)</f>
        <v/>
      </c>
      <c r="V5527" s="7">
        <f>IF($C5527="","",R5527*U5527/100)</f>
        <v/>
      </c>
      <c r="W5527" s="7">
        <f>IF($C5527="","",R5527-V5527)</f>
        <v/>
      </c>
      <c r="X5527" s="7">
        <f>IF($C5527="","",W5527-K5527)</f>
        <v/>
      </c>
      <c r="AB5527" s="7" t="n"/>
      <c r="AE5527" s="11" t="n"/>
      <c r="AG5527">
        <f>IF($C5527="","",IF(COUNTIF($C$2:$C5527,$C5527)=1,1,0))</f>
        <v/>
      </c>
      <c r="AH5527">
        <f>IF($AG5527=1,SUMPRODUCT(--($AK$2:$AK$6001&lt;$AK5527))+1,"")</f>
        <v/>
      </c>
      <c r="AI5527">
        <f>IF($C5527="","",IF(OR($N5527=TRUE(),$N5527="TRUE"),1,0))</f>
        <v/>
      </c>
      <c r="AJ5527">
        <f>IF($C5527="","",IF($T5527="Yes",1,0))</f>
        <v/>
      </c>
      <c r="AK5527">
        <f>IF($AG5527=1,IFERROR(IF(VALUE($C5527)&lt;100000000,VALUE($C5527),1000000000),IFERROR(IF(VALUE(MID($C5527,2,20))&lt;100000000,VALUE(MID($C5527,2,20)),1000000000),1000000000))+ROW()/100000,"")</f>
        <v/>
      </c>
    </row>
    <row r="5528">
      <c r="D5528" s="11" t="n"/>
      <c r="K5528" s="7">
        <f>IF($C5528="","",J5528*W5528/100)</f>
        <v/>
      </c>
      <c r="Q5528" s="7" t="n"/>
      <c r="R5528" s="7" t="n"/>
      <c r="U5528">
        <f>IF($C5528="","",IF($AJ5528=1,0,IF($AI5528=1,Settings!$C$6,Settings!$C$7))*100)</f>
        <v/>
      </c>
      <c r="V5528" s="7">
        <f>IF($C5528="","",R5528*U5528/100)</f>
        <v/>
      </c>
      <c r="W5528" s="7">
        <f>IF($C5528="","",R5528-V5528)</f>
        <v/>
      </c>
      <c r="X5528" s="7">
        <f>IF($C5528="","",W5528-K5528)</f>
        <v/>
      </c>
      <c r="AB5528" s="7" t="n"/>
      <c r="AE5528" s="11" t="n"/>
      <c r="AG5528">
        <f>IF($C5528="","",IF(COUNTIF($C$2:$C5528,$C5528)=1,1,0))</f>
        <v/>
      </c>
      <c r="AH5528">
        <f>IF($AG5528=1,SUMPRODUCT(--($AK$2:$AK$6001&lt;$AK5528))+1,"")</f>
        <v/>
      </c>
      <c r="AI5528">
        <f>IF($C5528="","",IF(OR($N5528=TRUE(),$N5528="TRUE"),1,0))</f>
        <v/>
      </c>
      <c r="AJ5528">
        <f>IF($C5528="","",IF($T5528="Yes",1,0))</f>
        <v/>
      </c>
      <c r="AK5528">
        <f>IF($AG5528=1,IFERROR(IF(VALUE($C5528)&lt;100000000,VALUE($C5528),1000000000),IFERROR(IF(VALUE(MID($C5528,2,20))&lt;100000000,VALUE(MID($C5528,2,20)),1000000000),1000000000))+ROW()/100000,"")</f>
        <v/>
      </c>
    </row>
    <row r="5529">
      <c r="D5529" s="11" t="n"/>
      <c r="K5529" s="7">
        <f>IF($C5529="","",J5529*W5529/100)</f>
        <v/>
      </c>
      <c r="Q5529" s="7" t="n"/>
      <c r="R5529" s="7" t="n"/>
      <c r="U5529">
        <f>IF($C5529="","",IF($AJ5529=1,0,IF($AI5529=1,Settings!$C$6,Settings!$C$7))*100)</f>
        <v/>
      </c>
      <c r="V5529" s="7">
        <f>IF($C5529="","",R5529*U5529/100)</f>
        <v/>
      </c>
      <c r="W5529" s="7">
        <f>IF($C5529="","",R5529-V5529)</f>
        <v/>
      </c>
      <c r="X5529" s="7">
        <f>IF($C5529="","",W5529-K5529)</f>
        <v/>
      </c>
      <c r="AB5529" s="7" t="n"/>
      <c r="AE5529" s="11" t="n"/>
      <c r="AG5529">
        <f>IF($C5529="","",IF(COUNTIF($C$2:$C5529,$C5529)=1,1,0))</f>
        <v/>
      </c>
      <c r="AH5529">
        <f>IF($AG5529=1,SUMPRODUCT(--($AK$2:$AK$6001&lt;$AK5529))+1,"")</f>
        <v/>
      </c>
      <c r="AI5529">
        <f>IF($C5529="","",IF(OR($N5529=TRUE(),$N5529="TRUE"),1,0))</f>
        <v/>
      </c>
      <c r="AJ5529">
        <f>IF($C5529="","",IF($T5529="Yes",1,0))</f>
        <v/>
      </c>
      <c r="AK5529">
        <f>IF($AG5529=1,IFERROR(IF(VALUE($C5529)&lt;100000000,VALUE($C5529),1000000000),IFERROR(IF(VALUE(MID($C5529,2,20))&lt;100000000,VALUE(MID($C5529,2,20)),1000000000),1000000000))+ROW()/100000,"")</f>
        <v/>
      </c>
    </row>
    <row r="5530">
      <c r="D5530" s="11" t="n"/>
      <c r="K5530" s="7">
        <f>IF($C5530="","",J5530*W5530/100)</f>
        <v/>
      </c>
      <c r="Q5530" s="7" t="n"/>
      <c r="R5530" s="7" t="n"/>
      <c r="U5530">
        <f>IF($C5530="","",IF($AJ5530=1,0,IF($AI5530=1,Settings!$C$6,Settings!$C$7))*100)</f>
        <v/>
      </c>
      <c r="V5530" s="7">
        <f>IF($C5530="","",R5530*U5530/100)</f>
        <v/>
      </c>
      <c r="W5530" s="7">
        <f>IF($C5530="","",R5530-V5530)</f>
        <v/>
      </c>
      <c r="X5530" s="7">
        <f>IF($C5530="","",W5530-K5530)</f>
        <v/>
      </c>
      <c r="AB5530" s="7" t="n"/>
      <c r="AE5530" s="11" t="n"/>
      <c r="AG5530">
        <f>IF($C5530="","",IF(COUNTIF($C$2:$C5530,$C5530)=1,1,0))</f>
        <v/>
      </c>
      <c r="AH5530">
        <f>IF($AG5530=1,SUMPRODUCT(--($AK$2:$AK$6001&lt;$AK5530))+1,"")</f>
        <v/>
      </c>
      <c r="AI5530">
        <f>IF($C5530="","",IF(OR($N5530=TRUE(),$N5530="TRUE"),1,0))</f>
        <v/>
      </c>
      <c r="AJ5530">
        <f>IF($C5530="","",IF($T5530="Yes",1,0))</f>
        <v/>
      </c>
      <c r="AK5530">
        <f>IF($AG5530=1,IFERROR(IF(VALUE($C5530)&lt;100000000,VALUE($C5530),1000000000),IFERROR(IF(VALUE(MID($C5530,2,20))&lt;100000000,VALUE(MID($C5530,2,20)),1000000000),1000000000))+ROW()/100000,"")</f>
        <v/>
      </c>
    </row>
    <row r="5531">
      <c r="D5531" s="11" t="n"/>
      <c r="K5531" s="7">
        <f>IF($C5531="","",J5531*W5531/100)</f>
        <v/>
      </c>
      <c r="Q5531" s="7" t="n"/>
      <c r="R5531" s="7" t="n"/>
      <c r="U5531">
        <f>IF($C5531="","",IF($AJ5531=1,0,IF($AI5531=1,Settings!$C$6,Settings!$C$7))*100)</f>
        <v/>
      </c>
      <c r="V5531" s="7">
        <f>IF($C5531="","",R5531*U5531/100)</f>
        <v/>
      </c>
      <c r="W5531" s="7">
        <f>IF($C5531="","",R5531-V5531)</f>
        <v/>
      </c>
      <c r="X5531" s="7">
        <f>IF($C5531="","",W5531-K5531)</f>
        <v/>
      </c>
      <c r="AB5531" s="7" t="n"/>
      <c r="AE5531" s="11" t="n"/>
      <c r="AG5531">
        <f>IF($C5531="","",IF(COUNTIF($C$2:$C5531,$C5531)=1,1,0))</f>
        <v/>
      </c>
      <c r="AH5531">
        <f>IF($AG5531=1,SUMPRODUCT(--($AK$2:$AK$6001&lt;$AK5531))+1,"")</f>
        <v/>
      </c>
      <c r="AI5531">
        <f>IF($C5531="","",IF(OR($N5531=TRUE(),$N5531="TRUE"),1,0))</f>
        <v/>
      </c>
      <c r="AJ5531">
        <f>IF($C5531="","",IF($T5531="Yes",1,0))</f>
        <v/>
      </c>
      <c r="AK5531">
        <f>IF($AG5531=1,IFERROR(IF(VALUE($C5531)&lt;100000000,VALUE($C5531),1000000000),IFERROR(IF(VALUE(MID($C5531,2,20))&lt;100000000,VALUE(MID($C5531,2,20)),1000000000),1000000000))+ROW()/100000,"")</f>
        <v/>
      </c>
    </row>
    <row r="5532">
      <c r="D5532" s="11" t="n"/>
      <c r="K5532" s="7">
        <f>IF($C5532="","",J5532*W5532/100)</f>
        <v/>
      </c>
      <c r="Q5532" s="7" t="n"/>
      <c r="R5532" s="7" t="n"/>
      <c r="U5532">
        <f>IF($C5532="","",IF($AJ5532=1,0,IF($AI5532=1,Settings!$C$6,Settings!$C$7))*100)</f>
        <v/>
      </c>
      <c r="V5532" s="7">
        <f>IF($C5532="","",R5532*U5532/100)</f>
        <v/>
      </c>
      <c r="W5532" s="7">
        <f>IF($C5532="","",R5532-V5532)</f>
        <v/>
      </c>
      <c r="X5532" s="7">
        <f>IF($C5532="","",W5532-K5532)</f>
        <v/>
      </c>
      <c r="AB5532" s="7" t="n"/>
      <c r="AE5532" s="11" t="n"/>
      <c r="AG5532">
        <f>IF($C5532="","",IF(COUNTIF($C$2:$C5532,$C5532)=1,1,0))</f>
        <v/>
      </c>
      <c r="AH5532">
        <f>IF($AG5532=1,SUMPRODUCT(--($AK$2:$AK$6001&lt;$AK5532))+1,"")</f>
        <v/>
      </c>
      <c r="AI5532">
        <f>IF($C5532="","",IF(OR($N5532=TRUE(),$N5532="TRUE"),1,0))</f>
        <v/>
      </c>
      <c r="AJ5532">
        <f>IF($C5532="","",IF($T5532="Yes",1,0))</f>
        <v/>
      </c>
      <c r="AK5532">
        <f>IF($AG5532=1,IFERROR(IF(VALUE($C5532)&lt;100000000,VALUE($C5532),1000000000),IFERROR(IF(VALUE(MID($C5532,2,20))&lt;100000000,VALUE(MID($C5532,2,20)),1000000000),1000000000))+ROW()/100000,"")</f>
        <v/>
      </c>
    </row>
    <row r="5533">
      <c r="D5533" s="11" t="n"/>
      <c r="K5533" s="7">
        <f>IF($C5533="","",J5533*W5533/100)</f>
        <v/>
      </c>
      <c r="Q5533" s="7" t="n"/>
      <c r="R5533" s="7" t="n"/>
      <c r="U5533">
        <f>IF($C5533="","",IF($AJ5533=1,0,IF($AI5533=1,Settings!$C$6,Settings!$C$7))*100)</f>
        <v/>
      </c>
      <c r="V5533" s="7">
        <f>IF($C5533="","",R5533*U5533/100)</f>
        <v/>
      </c>
      <c r="W5533" s="7">
        <f>IF($C5533="","",R5533-V5533)</f>
        <v/>
      </c>
      <c r="X5533" s="7">
        <f>IF($C5533="","",W5533-K5533)</f>
        <v/>
      </c>
      <c r="AB5533" s="7" t="n"/>
      <c r="AE5533" s="11" t="n"/>
      <c r="AG5533">
        <f>IF($C5533="","",IF(COUNTIF($C$2:$C5533,$C5533)=1,1,0))</f>
        <v/>
      </c>
      <c r="AH5533">
        <f>IF($AG5533=1,SUMPRODUCT(--($AK$2:$AK$6001&lt;$AK5533))+1,"")</f>
        <v/>
      </c>
      <c r="AI5533">
        <f>IF($C5533="","",IF(OR($N5533=TRUE(),$N5533="TRUE"),1,0))</f>
        <v/>
      </c>
      <c r="AJ5533">
        <f>IF($C5533="","",IF($T5533="Yes",1,0))</f>
        <v/>
      </c>
      <c r="AK5533">
        <f>IF($AG5533=1,IFERROR(IF(VALUE($C5533)&lt;100000000,VALUE($C5533),1000000000),IFERROR(IF(VALUE(MID($C5533,2,20))&lt;100000000,VALUE(MID($C5533,2,20)),1000000000),1000000000))+ROW()/100000,"")</f>
        <v/>
      </c>
    </row>
    <row r="5534">
      <c r="D5534" s="11" t="n"/>
      <c r="K5534" s="7">
        <f>IF($C5534="","",J5534*W5534/100)</f>
        <v/>
      </c>
      <c r="Q5534" s="7" t="n"/>
      <c r="R5534" s="7" t="n"/>
      <c r="U5534">
        <f>IF($C5534="","",IF($AJ5534=1,0,IF($AI5534=1,Settings!$C$6,Settings!$C$7))*100)</f>
        <v/>
      </c>
      <c r="V5534" s="7">
        <f>IF($C5534="","",R5534*U5534/100)</f>
        <v/>
      </c>
      <c r="W5534" s="7">
        <f>IF($C5534="","",R5534-V5534)</f>
        <v/>
      </c>
      <c r="X5534" s="7">
        <f>IF($C5534="","",W5534-K5534)</f>
        <v/>
      </c>
      <c r="AB5534" s="7" t="n"/>
      <c r="AE5534" s="11" t="n"/>
      <c r="AG5534">
        <f>IF($C5534="","",IF(COUNTIF($C$2:$C5534,$C5534)=1,1,0))</f>
        <v/>
      </c>
      <c r="AH5534">
        <f>IF($AG5534=1,SUMPRODUCT(--($AK$2:$AK$6001&lt;$AK5534))+1,"")</f>
        <v/>
      </c>
      <c r="AI5534">
        <f>IF($C5534="","",IF(OR($N5534=TRUE(),$N5534="TRUE"),1,0))</f>
        <v/>
      </c>
      <c r="AJ5534">
        <f>IF($C5534="","",IF($T5534="Yes",1,0))</f>
        <v/>
      </c>
      <c r="AK5534">
        <f>IF($AG5534=1,IFERROR(IF(VALUE($C5534)&lt;100000000,VALUE($C5534),1000000000),IFERROR(IF(VALUE(MID($C5534,2,20))&lt;100000000,VALUE(MID($C5534,2,20)),1000000000),1000000000))+ROW()/100000,"")</f>
        <v/>
      </c>
    </row>
    <row r="5535">
      <c r="D5535" s="11" t="n"/>
      <c r="K5535" s="7">
        <f>IF($C5535="","",J5535*W5535/100)</f>
        <v/>
      </c>
      <c r="Q5535" s="7" t="n"/>
      <c r="R5535" s="7" t="n"/>
      <c r="U5535">
        <f>IF($C5535="","",IF($AJ5535=1,0,IF($AI5535=1,Settings!$C$6,Settings!$C$7))*100)</f>
        <v/>
      </c>
      <c r="V5535" s="7">
        <f>IF($C5535="","",R5535*U5535/100)</f>
        <v/>
      </c>
      <c r="W5535" s="7">
        <f>IF($C5535="","",R5535-V5535)</f>
        <v/>
      </c>
      <c r="X5535" s="7">
        <f>IF($C5535="","",W5535-K5535)</f>
        <v/>
      </c>
      <c r="AB5535" s="7" t="n"/>
      <c r="AE5535" s="11" t="n"/>
      <c r="AG5535">
        <f>IF($C5535="","",IF(COUNTIF($C$2:$C5535,$C5535)=1,1,0))</f>
        <v/>
      </c>
      <c r="AH5535">
        <f>IF($AG5535=1,SUMPRODUCT(--($AK$2:$AK$6001&lt;$AK5535))+1,"")</f>
        <v/>
      </c>
      <c r="AI5535">
        <f>IF($C5535="","",IF(OR($N5535=TRUE(),$N5535="TRUE"),1,0))</f>
        <v/>
      </c>
      <c r="AJ5535">
        <f>IF($C5535="","",IF($T5535="Yes",1,0))</f>
        <v/>
      </c>
      <c r="AK5535">
        <f>IF($AG5535=1,IFERROR(IF(VALUE($C5535)&lt;100000000,VALUE($C5535),1000000000),IFERROR(IF(VALUE(MID($C5535,2,20))&lt;100000000,VALUE(MID($C5535,2,20)),1000000000),1000000000))+ROW()/100000,"")</f>
        <v/>
      </c>
    </row>
    <row r="5536">
      <c r="D5536" s="11" t="n"/>
      <c r="K5536" s="7">
        <f>IF($C5536="","",J5536*W5536/100)</f>
        <v/>
      </c>
      <c r="Q5536" s="7" t="n"/>
      <c r="R5536" s="7" t="n"/>
      <c r="U5536">
        <f>IF($C5536="","",IF($AJ5536=1,0,IF($AI5536=1,Settings!$C$6,Settings!$C$7))*100)</f>
        <v/>
      </c>
      <c r="V5536" s="7">
        <f>IF($C5536="","",R5536*U5536/100)</f>
        <v/>
      </c>
      <c r="W5536" s="7">
        <f>IF($C5536="","",R5536-V5536)</f>
        <v/>
      </c>
      <c r="X5536" s="7">
        <f>IF($C5536="","",W5536-K5536)</f>
        <v/>
      </c>
      <c r="AB5536" s="7" t="n"/>
      <c r="AE5536" s="11" t="n"/>
      <c r="AG5536">
        <f>IF($C5536="","",IF(COUNTIF($C$2:$C5536,$C5536)=1,1,0))</f>
        <v/>
      </c>
      <c r="AH5536">
        <f>IF($AG5536=1,SUMPRODUCT(--($AK$2:$AK$6001&lt;$AK5536))+1,"")</f>
        <v/>
      </c>
      <c r="AI5536">
        <f>IF($C5536="","",IF(OR($N5536=TRUE(),$N5536="TRUE"),1,0))</f>
        <v/>
      </c>
      <c r="AJ5536">
        <f>IF($C5536="","",IF($T5536="Yes",1,0))</f>
        <v/>
      </c>
      <c r="AK5536">
        <f>IF($AG5536=1,IFERROR(IF(VALUE($C5536)&lt;100000000,VALUE($C5536),1000000000),IFERROR(IF(VALUE(MID($C5536,2,20))&lt;100000000,VALUE(MID($C5536,2,20)),1000000000),1000000000))+ROW()/100000,"")</f>
        <v/>
      </c>
    </row>
    <row r="5537">
      <c r="D5537" s="11" t="n"/>
      <c r="K5537" s="7">
        <f>IF($C5537="","",J5537*W5537/100)</f>
        <v/>
      </c>
      <c r="Q5537" s="7" t="n"/>
      <c r="R5537" s="7" t="n"/>
      <c r="U5537">
        <f>IF($C5537="","",IF($AJ5537=1,0,IF($AI5537=1,Settings!$C$6,Settings!$C$7))*100)</f>
        <v/>
      </c>
      <c r="V5537" s="7">
        <f>IF($C5537="","",R5537*U5537/100)</f>
        <v/>
      </c>
      <c r="W5537" s="7">
        <f>IF($C5537="","",R5537-V5537)</f>
        <v/>
      </c>
      <c r="X5537" s="7">
        <f>IF($C5537="","",W5537-K5537)</f>
        <v/>
      </c>
      <c r="AB5537" s="7" t="n"/>
      <c r="AE5537" s="11" t="n"/>
      <c r="AG5537">
        <f>IF($C5537="","",IF(COUNTIF($C$2:$C5537,$C5537)=1,1,0))</f>
        <v/>
      </c>
      <c r="AH5537">
        <f>IF($AG5537=1,SUMPRODUCT(--($AK$2:$AK$6001&lt;$AK5537))+1,"")</f>
        <v/>
      </c>
      <c r="AI5537">
        <f>IF($C5537="","",IF(OR($N5537=TRUE(),$N5537="TRUE"),1,0))</f>
        <v/>
      </c>
      <c r="AJ5537">
        <f>IF($C5537="","",IF($T5537="Yes",1,0))</f>
        <v/>
      </c>
      <c r="AK5537">
        <f>IF($AG5537=1,IFERROR(IF(VALUE($C5537)&lt;100000000,VALUE($C5537),1000000000),IFERROR(IF(VALUE(MID($C5537,2,20))&lt;100000000,VALUE(MID($C5537,2,20)),1000000000),1000000000))+ROW()/100000,"")</f>
        <v/>
      </c>
    </row>
    <row r="5538">
      <c r="D5538" s="11" t="n"/>
      <c r="K5538" s="7">
        <f>IF($C5538="","",J5538*W5538/100)</f>
        <v/>
      </c>
      <c r="Q5538" s="7" t="n"/>
      <c r="R5538" s="7" t="n"/>
      <c r="U5538">
        <f>IF($C5538="","",IF($AJ5538=1,0,IF($AI5538=1,Settings!$C$6,Settings!$C$7))*100)</f>
        <v/>
      </c>
      <c r="V5538" s="7">
        <f>IF($C5538="","",R5538*U5538/100)</f>
        <v/>
      </c>
      <c r="W5538" s="7">
        <f>IF($C5538="","",R5538-V5538)</f>
        <v/>
      </c>
      <c r="X5538" s="7">
        <f>IF($C5538="","",W5538-K5538)</f>
        <v/>
      </c>
      <c r="AB5538" s="7" t="n"/>
      <c r="AE5538" s="11" t="n"/>
      <c r="AG5538">
        <f>IF($C5538="","",IF(COUNTIF($C$2:$C5538,$C5538)=1,1,0))</f>
        <v/>
      </c>
      <c r="AH5538">
        <f>IF($AG5538=1,SUMPRODUCT(--($AK$2:$AK$6001&lt;$AK5538))+1,"")</f>
        <v/>
      </c>
      <c r="AI5538">
        <f>IF($C5538="","",IF(OR($N5538=TRUE(),$N5538="TRUE"),1,0))</f>
        <v/>
      </c>
      <c r="AJ5538">
        <f>IF($C5538="","",IF($T5538="Yes",1,0))</f>
        <v/>
      </c>
      <c r="AK5538">
        <f>IF($AG5538=1,IFERROR(IF(VALUE($C5538)&lt;100000000,VALUE($C5538),1000000000),IFERROR(IF(VALUE(MID($C5538,2,20))&lt;100000000,VALUE(MID($C5538,2,20)),1000000000),1000000000))+ROW()/100000,"")</f>
        <v/>
      </c>
    </row>
    <row r="5539">
      <c r="D5539" s="11" t="n"/>
      <c r="K5539" s="7">
        <f>IF($C5539="","",J5539*W5539/100)</f>
        <v/>
      </c>
      <c r="Q5539" s="7" t="n"/>
      <c r="R5539" s="7" t="n"/>
      <c r="U5539">
        <f>IF($C5539="","",IF($AJ5539=1,0,IF($AI5539=1,Settings!$C$6,Settings!$C$7))*100)</f>
        <v/>
      </c>
      <c r="V5539" s="7">
        <f>IF($C5539="","",R5539*U5539/100)</f>
        <v/>
      </c>
      <c r="W5539" s="7">
        <f>IF($C5539="","",R5539-V5539)</f>
        <v/>
      </c>
      <c r="X5539" s="7">
        <f>IF($C5539="","",W5539-K5539)</f>
        <v/>
      </c>
      <c r="AB5539" s="7" t="n"/>
      <c r="AE5539" s="11" t="n"/>
      <c r="AG5539">
        <f>IF($C5539="","",IF(COUNTIF($C$2:$C5539,$C5539)=1,1,0))</f>
        <v/>
      </c>
      <c r="AH5539">
        <f>IF($AG5539=1,SUMPRODUCT(--($AK$2:$AK$6001&lt;$AK5539))+1,"")</f>
        <v/>
      </c>
      <c r="AI5539">
        <f>IF($C5539="","",IF(OR($N5539=TRUE(),$N5539="TRUE"),1,0))</f>
        <v/>
      </c>
      <c r="AJ5539">
        <f>IF($C5539="","",IF($T5539="Yes",1,0))</f>
        <v/>
      </c>
      <c r="AK5539">
        <f>IF($AG5539=1,IFERROR(IF(VALUE($C5539)&lt;100000000,VALUE($C5539),1000000000),IFERROR(IF(VALUE(MID($C5539,2,20))&lt;100000000,VALUE(MID($C5539,2,20)),1000000000),1000000000))+ROW()/100000,"")</f>
        <v/>
      </c>
    </row>
    <row r="5540">
      <c r="D5540" s="11" t="n"/>
      <c r="K5540" s="7">
        <f>IF($C5540="","",J5540*W5540/100)</f>
        <v/>
      </c>
      <c r="Q5540" s="7" t="n"/>
      <c r="R5540" s="7" t="n"/>
      <c r="U5540">
        <f>IF($C5540="","",IF($AJ5540=1,0,IF($AI5540=1,Settings!$C$6,Settings!$C$7))*100)</f>
        <v/>
      </c>
      <c r="V5540" s="7">
        <f>IF($C5540="","",R5540*U5540/100)</f>
        <v/>
      </c>
      <c r="W5540" s="7">
        <f>IF($C5540="","",R5540-V5540)</f>
        <v/>
      </c>
      <c r="X5540" s="7">
        <f>IF($C5540="","",W5540-K5540)</f>
        <v/>
      </c>
      <c r="AB5540" s="7" t="n"/>
      <c r="AE5540" s="11" t="n"/>
      <c r="AG5540">
        <f>IF($C5540="","",IF(COUNTIF($C$2:$C5540,$C5540)=1,1,0))</f>
        <v/>
      </c>
      <c r="AH5540">
        <f>IF($AG5540=1,SUMPRODUCT(--($AK$2:$AK$6001&lt;$AK5540))+1,"")</f>
        <v/>
      </c>
      <c r="AI5540">
        <f>IF($C5540="","",IF(OR($N5540=TRUE(),$N5540="TRUE"),1,0))</f>
        <v/>
      </c>
      <c r="AJ5540">
        <f>IF($C5540="","",IF($T5540="Yes",1,0))</f>
        <v/>
      </c>
      <c r="AK5540">
        <f>IF($AG5540=1,IFERROR(IF(VALUE($C5540)&lt;100000000,VALUE($C5540),1000000000),IFERROR(IF(VALUE(MID($C5540,2,20))&lt;100000000,VALUE(MID($C5540,2,20)),1000000000),1000000000))+ROW()/100000,"")</f>
        <v/>
      </c>
    </row>
    <row r="5541">
      <c r="D5541" s="11" t="n"/>
      <c r="K5541" s="7">
        <f>IF($C5541="","",J5541*W5541/100)</f>
        <v/>
      </c>
      <c r="Q5541" s="7" t="n"/>
      <c r="R5541" s="7" t="n"/>
      <c r="U5541">
        <f>IF($C5541="","",IF($AJ5541=1,0,IF($AI5541=1,Settings!$C$6,Settings!$C$7))*100)</f>
        <v/>
      </c>
      <c r="V5541" s="7">
        <f>IF($C5541="","",R5541*U5541/100)</f>
        <v/>
      </c>
      <c r="W5541" s="7">
        <f>IF($C5541="","",R5541-V5541)</f>
        <v/>
      </c>
      <c r="X5541" s="7">
        <f>IF($C5541="","",W5541-K5541)</f>
        <v/>
      </c>
      <c r="AB5541" s="7" t="n"/>
      <c r="AE5541" s="11" t="n"/>
      <c r="AG5541">
        <f>IF($C5541="","",IF(COUNTIF($C$2:$C5541,$C5541)=1,1,0))</f>
        <v/>
      </c>
      <c r="AH5541">
        <f>IF($AG5541=1,SUMPRODUCT(--($AK$2:$AK$6001&lt;$AK5541))+1,"")</f>
        <v/>
      </c>
      <c r="AI5541">
        <f>IF($C5541="","",IF(OR($N5541=TRUE(),$N5541="TRUE"),1,0))</f>
        <v/>
      </c>
      <c r="AJ5541">
        <f>IF($C5541="","",IF($T5541="Yes",1,0))</f>
        <v/>
      </c>
      <c r="AK5541">
        <f>IF($AG5541=1,IFERROR(IF(VALUE($C5541)&lt;100000000,VALUE($C5541),1000000000),IFERROR(IF(VALUE(MID($C5541,2,20))&lt;100000000,VALUE(MID($C5541,2,20)),1000000000),1000000000))+ROW()/100000,"")</f>
        <v/>
      </c>
    </row>
    <row r="5542">
      <c r="D5542" s="11" t="n"/>
      <c r="K5542" s="7">
        <f>IF($C5542="","",J5542*W5542/100)</f>
        <v/>
      </c>
      <c r="Q5542" s="7" t="n"/>
      <c r="R5542" s="7" t="n"/>
      <c r="U5542">
        <f>IF($C5542="","",IF($AJ5542=1,0,IF($AI5542=1,Settings!$C$6,Settings!$C$7))*100)</f>
        <v/>
      </c>
      <c r="V5542" s="7">
        <f>IF($C5542="","",R5542*U5542/100)</f>
        <v/>
      </c>
      <c r="W5542" s="7">
        <f>IF($C5542="","",R5542-V5542)</f>
        <v/>
      </c>
      <c r="X5542" s="7">
        <f>IF($C5542="","",W5542-K5542)</f>
        <v/>
      </c>
      <c r="AB5542" s="7" t="n"/>
      <c r="AE5542" s="11" t="n"/>
      <c r="AG5542">
        <f>IF($C5542="","",IF(COUNTIF($C$2:$C5542,$C5542)=1,1,0))</f>
        <v/>
      </c>
      <c r="AH5542">
        <f>IF($AG5542=1,SUMPRODUCT(--($AK$2:$AK$6001&lt;$AK5542))+1,"")</f>
        <v/>
      </c>
      <c r="AI5542">
        <f>IF($C5542="","",IF(OR($N5542=TRUE(),$N5542="TRUE"),1,0))</f>
        <v/>
      </c>
      <c r="AJ5542">
        <f>IF($C5542="","",IF($T5542="Yes",1,0))</f>
        <v/>
      </c>
      <c r="AK5542">
        <f>IF($AG5542=1,IFERROR(IF(VALUE($C5542)&lt;100000000,VALUE($C5542),1000000000),IFERROR(IF(VALUE(MID($C5542,2,20))&lt;100000000,VALUE(MID($C5542,2,20)),1000000000),1000000000))+ROW()/100000,"")</f>
        <v/>
      </c>
    </row>
    <row r="5543">
      <c r="D5543" s="11" t="n"/>
      <c r="K5543" s="7">
        <f>IF($C5543="","",J5543*W5543/100)</f>
        <v/>
      </c>
      <c r="Q5543" s="7" t="n"/>
      <c r="R5543" s="7" t="n"/>
      <c r="U5543">
        <f>IF($C5543="","",IF($AJ5543=1,0,IF($AI5543=1,Settings!$C$6,Settings!$C$7))*100)</f>
        <v/>
      </c>
      <c r="V5543" s="7">
        <f>IF($C5543="","",R5543*U5543/100)</f>
        <v/>
      </c>
      <c r="W5543" s="7">
        <f>IF($C5543="","",R5543-V5543)</f>
        <v/>
      </c>
      <c r="X5543" s="7">
        <f>IF($C5543="","",W5543-K5543)</f>
        <v/>
      </c>
      <c r="AB5543" s="7" t="n"/>
      <c r="AE5543" s="11" t="n"/>
      <c r="AG5543">
        <f>IF($C5543="","",IF(COUNTIF($C$2:$C5543,$C5543)=1,1,0))</f>
        <v/>
      </c>
      <c r="AH5543">
        <f>IF($AG5543=1,SUMPRODUCT(--($AK$2:$AK$6001&lt;$AK5543))+1,"")</f>
        <v/>
      </c>
      <c r="AI5543">
        <f>IF($C5543="","",IF(OR($N5543=TRUE(),$N5543="TRUE"),1,0))</f>
        <v/>
      </c>
      <c r="AJ5543">
        <f>IF($C5543="","",IF($T5543="Yes",1,0))</f>
        <v/>
      </c>
      <c r="AK5543">
        <f>IF($AG5543=1,IFERROR(IF(VALUE($C5543)&lt;100000000,VALUE($C5543),1000000000),IFERROR(IF(VALUE(MID($C5543,2,20))&lt;100000000,VALUE(MID($C5543,2,20)),1000000000),1000000000))+ROW()/100000,"")</f>
        <v/>
      </c>
    </row>
    <row r="5544">
      <c r="D5544" s="11" t="n"/>
      <c r="K5544" s="7">
        <f>IF($C5544="","",J5544*W5544/100)</f>
        <v/>
      </c>
      <c r="Q5544" s="7" t="n"/>
      <c r="R5544" s="7" t="n"/>
      <c r="U5544">
        <f>IF($C5544="","",IF($AJ5544=1,0,IF($AI5544=1,Settings!$C$6,Settings!$C$7))*100)</f>
        <v/>
      </c>
      <c r="V5544" s="7">
        <f>IF($C5544="","",R5544*U5544/100)</f>
        <v/>
      </c>
      <c r="W5544" s="7">
        <f>IF($C5544="","",R5544-V5544)</f>
        <v/>
      </c>
      <c r="X5544" s="7">
        <f>IF($C5544="","",W5544-K5544)</f>
        <v/>
      </c>
      <c r="AB5544" s="7" t="n"/>
      <c r="AE5544" s="11" t="n"/>
      <c r="AG5544">
        <f>IF($C5544="","",IF(COUNTIF($C$2:$C5544,$C5544)=1,1,0))</f>
        <v/>
      </c>
      <c r="AH5544">
        <f>IF($AG5544=1,SUMPRODUCT(--($AK$2:$AK$6001&lt;$AK5544))+1,"")</f>
        <v/>
      </c>
      <c r="AI5544">
        <f>IF($C5544="","",IF(OR($N5544=TRUE(),$N5544="TRUE"),1,0))</f>
        <v/>
      </c>
      <c r="AJ5544">
        <f>IF($C5544="","",IF($T5544="Yes",1,0))</f>
        <v/>
      </c>
      <c r="AK5544">
        <f>IF($AG5544=1,IFERROR(IF(VALUE($C5544)&lt;100000000,VALUE($C5544),1000000000),IFERROR(IF(VALUE(MID($C5544,2,20))&lt;100000000,VALUE(MID($C5544,2,20)),1000000000),1000000000))+ROW()/100000,"")</f>
        <v/>
      </c>
    </row>
    <row r="5545">
      <c r="D5545" s="11" t="n"/>
      <c r="K5545" s="7">
        <f>IF($C5545="","",J5545*W5545/100)</f>
        <v/>
      </c>
      <c r="Q5545" s="7" t="n"/>
      <c r="R5545" s="7" t="n"/>
      <c r="U5545">
        <f>IF($C5545="","",IF($AJ5545=1,0,IF($AI5545=1,Settings!$C$6,Settings!$C$7))*100)</f>
        <v/>
      </c>
      <c r="V5545" s="7">
        <f>IF($C5545="","",R5545*U5545/100)</f>
        <v/>
      </c>
      <c r="W5545" s="7">
        <f>IF($C5545="","",R5545-V5545)</f>
        <v/>
      </c>
      <c r="X5545" s="7">
        <f>IF($C5545="","",W5545-K5545)</f>
        <v/>
      </c>
      <c r="AB5545" s="7" t="n"/>
      <c r="AE5545" s="11" t="n"/>
      <c r="AG5545">
        <f>IF($C5545="","",IF(COUNTIF($C$2:$C5545,$C5545)=1,1,0))</f>
        <v/>
      </c>
      <c r="AH5545">
        <f>IF($AG5545=1,SUMPRODUCT(--($AK$2:$AK$6001&lt;$AK5545))+1,"")</f>
        <v/>
      </c>
      <c r="AI5545">
        <f>IF($C5545="","",IF(OR($N5545=TRUE(),$N5545="TRUE"),1,0))</f>
        <v/>
      </c>
      <c r="AJ5545">
        <f>IF($C5545="","",IF($T5545="Yes",1,0))</f>
        <v/>
      </c>
      <c r="AK5545">
        <f>IF($AG5545=1,IFERROR(IF(VALUE($C5545)&lt;100000000,VALUE($C5545),1000000000),IFERROR(IF(VALUE(MID($C5545,2,20))&lt;100000000,VALUE(MID($C5545,2,20)),1000000000),1000000000))+ROW()/100000,"")</f>
        <v/>
      </c>
    </row>
    <row r="5546">
      <c r="D5546" s="11" t="n"/>
      <c r="K5546" s="7">
        <f>IF($C5546="","",J5546*W5546/100)</f>
        <v/>
      </c>
      <c r="Q5546" s="7" t="n"/>
      <c r="R5546" s="7" t="n"/>
      <c r="U5546">
        <f>IF($C5546="","",IF($AJ5546=1,0,IF($AI5546=1,Settings!$C$6,Settings!$C$7))*100)</f>
        <v/>
      </c>
      <c r="V5546" s="7">
        <f>IF($C5546="","",R5546*U5546/100)</f>
        <v/>
      </c>
      <c r="W5546" s="7">
        <f>IF($C5546="","",R5546-V5546)</f>
        <v/>
      </c>
      <c r="X5546" s="7">
        <f>IF($C5546="","",W5546-K5546)</f>
        <v/>
      </c>
      <c r="AB5546" s="7" t="n"/>
      <c r="AE5546" s="11" t="n"/>
      <c r="AG5546">
        <f>IF($C5546="","",IF(COUNTIF($C$2:$C5546,$C5546)=1,1,0))</f>
        <v/>
      </c>
      <c r="AH5546">
        <f>IF($AG5546=1,SUMPRODUCT(--($AK$2:$AK$6001&lt;$AK5546))+1,"")</f>
        <v/>
      </c>
      <c r="AI5546">
        <f>IF($C5546="","",IF(OR($N5546=TRUE(),$N5546="TRUE"),1,0))</f>
        <v/>
      </c>
      <c r="AJ5546">
        <f>IF($C5546="","",IF($T5546="Yes",1,0))</f>
        <v/>
      </c>
      <c r="AK5546">
        <f>IF($AG5546=1,IFERROR(IF(VALUE($C5546)&lt;100000000,VALUE($C5546),1000000000),IFERROR(IF(VALUE(MID($C5546,2,20))&lt;100000000,VALUE(MID($C5546,2,20)),1000000000),1000000000))+ROW()/100000,"")</f>
        <v/>
      </c>
    </row>
    <row r="5547">
      <c r="D5547" s="11" t="n"/>
      <c r="K5547" s="7">
        <f>IF($C5547="","",J5547*W5547/100)</f>
        <v/>
      </c>
      <c r="Q5547" s="7" t="n"/>
      <c r="R5547" s="7" t="n"/>
      <c r="U5547">
        <f>IF($C5547="","",IF($AJ5547=1,0,IF($AI5547=1,Settings!$C$6,Settings!$C$7))*100)</f>
        <v/>
      </c>
      <c r="V5547" s="7">
        <f>IF($C5547="","",R5547*U5547/100)</f>
        <v/>
      </c>
      <c r="W5547" s="7">
        <f>IF($C5547="","",R5547-V5547)</f>
        <v/>
      </c>
      <c r="X5547" s="7">
        <f>IF($C5547="","",W5547-K5547)</f>
        <v/>
      </c>
      <c r="AB5547" s="7" t="n"/>
      <c r="AE5547" s="11" t="n"/>
      <c r="AG5547">
        <f>IF($C5547="","",IF(COUNTIF($C$2:$C5547,$C5547)=1,1,0))</f>
        <v/>
      </c>
      <c r="AH5547">
        <f>IF($AG5547=1,SUMPRODUCT(--($AK$2:$AK$6001&lt;$AK5547))+1,"")</f>
        <v/>
      </c>
      <c r="AI5547">
        <f>IF($C5547="","",IF(OR($N5547=TRUE(),$N5547="TRUE"),1,0))</f>
        <v/>
      </c>
      <c r="AJ5547">
        <f>IF($C5547="","",IF($T5547="Yes",1,0))</f>
        <v/>
      </c>
      <c r="AK5547">
        <f>IF($AG5547=1,IFERROR(IF(VALUE($C5547)&lt;100000000,VALUE($C5547),1000000000),IFERROR(IF(VALUE(MID($C5547,2,20))&lt;100000000,VALUE(MID($C5547,2,20)),1000000000),1000000000))+ROW()/100000,"")</f>
        <v/>
      </c>
    </row>
    <row r="5548">
      <c r="D5548" s="11" t="n"/>
      <c r="K5548" s="7">
        <f>IF($C5548="","",J5548*W5548/100)</f>
        <v/>
      </c>
      <c r="Q5548" s="7" t="n"/>
      <c r="R5548" s="7" t="n"/>
      <c r="U5548">
        <f>IF($C5548="","",IF($AJ5548=1,0,IF($AI5548=1,Settings!$C$6,Settings!$C$7))*100)</f>
        <v/>
      </c>
      <c r="V5548" s="7">
        <f>IF($C5548="","",R5548*U5548/100)</f>
        <v/>
      </c>
      <c r="W5548" s="7">
        <f>IF($C5548="","",R5548-V5548)</f>
        <v/>
      </c>
      <c r="X5548" s="7">
        <f>IF($C5548="","",W5548-K5548)</f>
        <v/>
      </c>
      <c r="AB5548" s="7" t="n"/>
      <c r="AE5548" s="11" t="n"/>
      <c r="AG5548">
        <f>IF($C5548="","",IF(COUNTIF($C$2:$C5548,$C5548)=1,1,0))</f>
        <v/>
      </c>
      <c r="AH5548">
        <f>IF($AG5548=1,SUMPRODUCT(--($AK$2:$AK$6001&lt;$AK5548))+1,"")</f>
        <v/>
      </c>
      <c r="AI5548">
        <f>IF($C5548="","",IF(OR($N5548=TRUE(),$N5548="TRUE"),1,0))</f>
        <v/>
      </c>
      <c r="AJ5548">
        <f>IF($C5548="","",IF($T5548="Yes",1,0))</f>
        <v/>
      </c>
      <c r="AK5548">
        <f>IF($AG5548=1,IFERROR(IF(VALUE($C5548)&lt;100000000,VALUE($C5548),1000000000),IFERROR(IF(VALUE(MID($C5548,2,20))&lt;100000000,VALUE(MID($C5548,2,20)),1000000000),1000000000))+ROW()/100000,"")</f>
        <v/>
      </c>
    </row>
    <row r="5549">
      <c r="D5549" s="11" t="n"/>
      <c r="K5549" s="7">
        <f>IF($C5549="","",J5549*W5549/100)</f>
        <v/>
      </c>
      <c r="Q5549" s="7" t="n"/>
      <c r="R5549" s="7" t="n"/>
      <c r="U5549">
        <f>IF($C5549="","",IF($AJ5549=1,0,IF($AI5549=1,Settings!$C$6,Settings!$C$7))*100)</f>
        <v/>
      </c>
      <c r="V5549" s="7">
        <f>IF($C5549="","",R5549*U5549/100)</f>
        <v/>
      </c>
      <c r="W5549" s="7">
        <f>IF($C5549="","",R5549-V5549)</f>
        <v/>
      </c>
      <c r="X5549" s="7">
        <f>IF($C5549="","",W5549-K5549)</f>
        <v/>
      </c>
      <c r="AB5549" s="7" t="n"/>
      <c r="AE5549" s="11" t="n"/>
      <c r="AG5549">
        <f>IF($C5549="","",IF(COUNTIF($C$2:$C5549,$C5549)=1,1,0))</f>
        <v/>
      </c>
      <c r="AH5549">
        <f>IF($AG5549=1,SUMPRODUCT(--($AK$2:$AK$6001&lt;$AK5549))+1,"")</f>
        <v/>
      </c>
      <c r="AI5549">
        <f>IF($C5549="","",IF(OR($N5549=TRUE(),$N5549="TRUE"),1,0))</f>
        <v/>
      </c>
      <c r="AJ5549">
        <f>IF($C5549="","",IF($T5549="Yes",1,0))</f>
        <v/>
      </c>
      <c r="AK5549">
        <f>IF($AG5549=1,IFERROR(IF(VALUE($C5549)&lt;100000000,VALUE($C5549),1000000000),IFERROR(IF(VALUE(MID($C5549,2,20))&lt;100000000,VALUE(MID($C5549,2,20)),1000000000),1000000000))+ROW()/100000,"")</f>
        <v/>
      </c>
    </row>
    <row r="5550">
      <c r="D5550" s="11" t="n"/>
      <c r="K5550" s="7">
        <f>IF($C5550="","",J5550*W5550/100)</f>
        <v/>
      </c>
      <c r="Q5550" s="7" t="n"/>
      <c r="R5550" s="7" t="n"/>
      <c r="U5550">
        <f>IF($C5550="","",IF($AJ5550=1,0,IF($AI5550=1,Settings!$C$6,Settings!$C$7))*100)</f>
        <v/>
      </c>
      <c r="V5550" s="7">
        <f>IF($C5550="","",R5550*U5550/100)</f>
        <v/>
      </c>
      <c r="W5550" s="7">
        <f>IF($C5550="","",R5550-V5550)</f>
        <v/>
      </c>
      <c r="X5550" s="7">
        <f>IF($C5550="","",W5550-K5550)</f>
        <v/>
      </c>
      <c r="AB5550" s="7" t="n"/>
      <c r="AE5550" s="11" t="n"/>
      <c r="AG5550">
        <f>IF($C5550="","",IF(COUNTIF($C$2:$C5550,$C5550)=1,1,0))</f>
        <v/>
      </c>
      <c r="AH5550">
        <f>IF($AG5550=1,SUMPRODUCT(--($AK$2:$AK$6001&lt;$AK5550))+1,"")</f>
        <v/>
      </c>
      <c r="AI5550">
        <f>IF($C5550="","",IF(OR($N5550=TRUE(),$N5550="TRUE"),1,0))</f>
        <v/>
      </c>
      <c r="AJ5550">
        <f>IF($C5550="","",IF($T5550="Yes",1,0))</f>
        <v/>
      </c>
      <c r="AK5550">
        <f>IF($AG5550=1,IFERROR(IF(VALUE($C5550)&lt;100000000,VALUE($C5550),1000000000),IFERROR(IF(VALUE(MID($C5550,2,20))&lt;100000000,VALUE(MID($C5550,2,20)),1000000000),1000000000))+ROW()/100000,"")</f>
        <v/>
      </c>
    </row>
    <row r="5551">
      <c r="D5551" s="11" t="n"/>
      <c r="K5551" s="7">
        <f>IF($C5551="","",J5551*W5551/100)</f>
        <v/>
      </c>
      <c r="Q5551" s="7" t="n"/>
      <c r="R5551" s="7" t="n"/>
      <c r="U5551">
        <f>IF($C5551="","",IF($AJ5551=1,0,IF($AI5551=1,Settings!$C$6,Settings!$C$7))*100)</f>
        <v/>
      </c>
      <c r="V5551" s="7">
        <f>IF($C5551="","",R5551*U5551/100)</f>
        <v/>
      </c>
      <c r="W5551" s="7">
        <f>IF($C5551="","",R5551-V5551)</f>
        <v/>
      </c>
      <c r="X5551" s="7">
        <f>IF($C5551="","",W5551-K5551)</f>
        <v/>
      </c>
      <c r="AB5551" s="7" t="n"/>
      <c r="AE5551" s="11" t="n"/>
      <c r="AG5551">
        <f>IF($C5551="","",IF(COUNTIF($C$2:$C5551,$C5551)=1,1,0))</f>
        <v/>
      </c>
      <c r="AH5551">
        <f>IF($AG5551=1,SUMPRODUCT(--($AK$2:$AK$6001&lt;$AK5551))+1,"")</f>
        <v/>
      </c>
      <c r="AI5551">
        <f>IF($C5551="","",IF(OR($N5551=TRUE(),$N5551="TRUE"),1,0))</f>
        <v/>
      </c>
      <c r="AJ5551">
        <f>IF($C5551="","",IF($T5551="Yes",1,0))</f>
        <v/>
      </c>
      <c r="AK5551">
        <f>IF($AG5551=1,IFERROR(IF(VALUE($C5551)&lt;100000000,VALUE($C5551),1000000000),IFERROR(IF(VALUE(MID($C5551,2,20))&lt;100000000,VALUE(MID($C5551,2,20)),1000000000),1000000000))+ROW()/100000,"")</f>
        <v/>
      </c>
    </row>
    <row r="5552">
      <c r="D5552" s="11" t="n"/>
      <c r="K5552" s="7">
        <f>IF($C5552="","",J5552*W5552/100)</f>
        <v/>
      </c>
      <c r="Q5552" s="7" t="n"/>
      <c r="R5552" s="7" t="n"/>
      <c r="U5552">
        <f>IF($C5552="","",IF($AJ5552=1,0,IF($AI5552=1,Settings!$C$6,Settings!$C$7))*100)</f>
        <v/>
      </c>
      <c r="V5552" s="7">
        <f>IF($C5552="","",R5552*U5552/100)</f>
        <v/>
      </c>
      <c r="W5552" s="7">
        <f>IF($C5552="","",R5552-V5552)</f>
        <v/>
      </c>
      <c r="X5552" s="7">
        <f>IF($C5552="","",W5552-K5552)</f>
        <v/>
      </c>
      <c r="AB5552" s="7" t="n"/>
      <c r="AE5552" s="11" t="n"/>
      <c r="AG5552">
        <f>IF($C5552="","",IF(COUNTIF($C$2:$C5552,$C5552)=1,1,0))</f>
        <v/>
      </c>
      <c r="AH5552">
        <f>IF($AG5552=1,SUMPRODUCT(--($AK$2:$AK$6001&lt;$AK5552))+1,"")</f>
        <v/>
      </c>
      <c r="AI5552">
        <f>IF($C5552="","",IF(OR($N5552=TRUE(),$N5552="TRUE"),1,0))</f>
        <v/>
      </c>
      <c r="AJ5552">
        <f>IF($C5552="","",IF($T5552="Yes",1,0))</f>
        <v/>
      </c>
      <c r="AK5552">
        <f>IF($AG5552=1,IFERROR(IF(VALUE($C5552)&lt;100000000,VALUE($C5552),1000000000),IFERROR(IF(VALUE(MID($C5552,2,20))&lt;100000000,VALUE(MID($C5552,2,20)),1000000000),1000000000))+ROW()/100000,"")</f>
        <v/>
      </c>
    </row>
    <row r="5553">
      <c r="D5553" s="11" t="n"/>
      <c r="K5553" s="7">
        <f>IF($C5553="","",J5553*W5553/100)</f>
        <v/>
      </c>
      <c r="Q5553" s="7" t="n"/>
      <c r="R5553" s="7" t="n"/>
      <c r="U5553">
        <f>IF($C5553="","",IF($AJ5553=1,0,IF($AI5553=1,Settings!$C$6,Settings!$C$7))*100)</f>
        <v/>
      </c>
      <c r="V5553" s="7">
        <f>IF($C5553="","",R5553*U5553/100)</f>
        <v/>
      </c>
      <c r="W5553" s="7">
        <f>IF($C5553="","",R5553-V5553)</f>
        <v/>
      </c>
      <c r="X5553" s="7">
        <f>IF($C5553="","",W5553-K5553)</f>
        <v/>
      </c>
      <c r="AB5553" s="7" t="n"/>
      <c r="AE5553" s="11" t="n"/>
      <c r="AG5553">
        <f>IF($C5553="","",IF(COUNTIF($C$2:$C5553,$C5553)=1,1,0))</f>
        <v/>
      </c>
      <c r="AH5553">
        <f>IF($AG5553=1,SUMPRODUCT(--($AK$2:$AK$6001&lt;$AK5553))+1,"")</f>
        <v/>
      </c>
      <c r="AI5553">
        <f>IF($C5553="","",IF(OR($N5553=TRUE(),$N5553="TRUE"),1,0))</f>
        <v/>
      </c>
      <c r="AJ5553">
        <f>IF($C5553="","",IF($T5553="Yes",1,0))</f>
        <v/>
      </c>
      <c r="AK5553">
        <f>IF($AG5553=1,IFERROR(IF(VALUE($C5553)&lt;100000000,VALUE($C5553),1000000000),IFERROR(IF(VALUE(MID($C5553,2,20))&lt;100000000,VALUE(MID($C5553,2,20)),1000000000),1000000000))+ROW()/100000,"")</f>
        <v/>
      </c>
    </row>
    <row r="5554">
      <c r="D5554" s="11" t="n"/>
      <c r="K5554" s="7">
        <f>IF($C5554="","",J5554*W5554/100)</f>
        <v/>
      </c>
      <c r="Q5554" s="7" t="n"/>
      <c r="R5554" s="7" t="n"/>
      <c r="U5554">
        <f>IF($C5554="","",IF($AJ5554=1,0,IF($AI5554=1,Settings!$C$6,Settings!$C$7))*100)</f>
        <v/>
      </c>
      <c r="V5554" s="7">
        <f>IF($C5554="","",R5554*U5554/100)</f>
        <v/>
      </c>
      <c r="W5554" s="7">
        <f>IF($C5554="","",R5554-V5554)</f>
        <v/>
      </c>
      <c r="X5554" s="7">
        <f>IF($C5554="","",W5554-K5554)</f>
        <v/>
      </c>
      <c r="AB5554" s="7" t="n"/>
      <c r="AE5554" s="11" t="n"/>
      <c r="AG5554">
        <f>IF($C5554="","",IF(COUNTIF($C$2:$C5554,$C5554)=1,1,0))</f>
        <v/>
      </c>
      <c r="AH5554">
        <f>IF($AG5554=1,SUMPRODUCT(--($AK$2:$AK$6001&lt;$AK5554))+1,"")</f>
        <v/>
      </c>
      <c r="AI5554">
        <f>IF($C5554="","",IF(OR($N5554=TRUE(),$N5554="TRUE"),1,0))</f>
        <v/>
      </c>
      <c r="AJ5554">
        <f>IF($C5554="","",IF($T5554="Yes",1,0))</f>
        <v/>
      </c>
      <c r="AK5554">
        <f>IF($AG5554=1,IFERROR(IF(VALUE($C5554)&lt;100000000,VALUE($C5554),1000000000),IFERROR(IF(VALUE(MID($C5554,2,20))&lt;100000000,VALUE(MID($C5554,2,20)),1000000000),1000000000))+ROW()/100000,"")</f>
        <v/>
      </c>
    </row>
    <row r="5555">
      <c r="D5555" s="11" t="n"/>
      <c r="K5555" s="7">
        <f>IF($C5555="","",J5555*W5555/100)</f>
        <v/>
      </c>
      <c r="Q5555" s="7" t="n"/>
      <c r="R5555" s="7" t="n"/>
      <c r="U5555">
        <f>IF($C5555="","",IF($AJ5555=1,0,IF($AI5555=1,Settings!$C$6,Settings!$C$7))*100)</f>
        <v/>
      </c>
      <c r="V5555" s="7">
        <f>IF($C5555="","",R5555*U5555/100)</f>
        <v/>
      </c>
      <c r="W5555" s="7">
        <f>IF($C5555="","",R5555-V5555)</f>
        <v/>
      </c>
      <c r="X5555" s="7">
        <f>IF($C5555="","",W5555-K5555)</f>
        <v/>
      </c>
      <c r="AB5555" s="7" t="n"/>
      <c r="AE5555" s="11" t="n"/>
      <c r="AG5555">
        <f>IF($C5555="","",IF(COUNTIF($C$2:$C5555,$C5555)=1,1,0))</f>
        <v/>
      </c>
      <c r="AH5555">
        <f>IF($AG5555=1,SUMPRODUCT(--($AK$2:$AK$6001&lt;$AK5555))+1,"")</f>
        <v/>
      </c>
      <c r="AI5555">
        <f>IF($C5555="","",IF(OR($N5555=TRUE(),$N5555="TRUE"),1,0))</f>
        <v/>
      </c>
      <c r="AJ5555">
        <f>IF($C5555="","",IF($T5555="Yes",1,0))</f>
        <v/>
      </c>
      <c r="AK5555">
        <f>IF($AG5555=1,IFERROR(IF(VALUE($C5555)&lt;100000000,VALUE($C5555),1000000000),IFERROR(IF(VALUE(MID($C5555,2,20))&lt;100000000,VALUE(MID($C5555,2,20)),1000000000),1000000000))+ROW()/100000,"")</f>
        <v/>
      </c>
    </row>
    <row r="5556">
      <c r="D5556" s="11" t="n"/>
      <c r="K5556" s="7">
        <f>IF($C5556="","",J5556*W5556/100)</f>
        <v/>
      </c>
      <c r="Q5556" s="7" t="n"/>
      <c r="R5556" s="7" t="n"/>
      <c r="U5556">
        <f>IF($C5556="","",IF($AJ5556=1,0,IF($AI5556=1,Settings!$C$6,Settings!$C$7))*100)</f>
        <v/>
      </c>
      <c r="V5556" s="7">
        <f>IF($C5556="","",R5556*U5556/100)</f>
        <v/>
      </c>
      <c r="W5556" s="7">
        <f>IF($C5556="","",R5556-V5556)</f>
        <v/>
      </c>
      <c r="X5556" s="7">
        <f>IF($C5556="","",W5556-K5556)</f>
        <v/>
      </c>
      <c r="AB5556" s="7" t="n"/>
      <c r="AE5556" s="11" t="n"/>
      <c r="AG5556">
        <f>IF($C5556="","",IF(COUNTIF($C$2:$C5556,$C5556)=1,1,0))</f>
        <v/>
      </c>
      <c r="AH5556">
        <f>IF($AG5556=1,SUMPRODUCT(--($AK$2:$AK$6001&lt;$AK5556))+1,"")</f>
        <v/>
      </c>
      <c r="AI5556">
        <f>IF($C5556="","",IF(OR($N5556=TRUE(),$N5556="TRUE"),1,0))</f>
        <v/>
      </c>
      <c r="AJ5556">
        <f>IF($C5556="","",IF($T5556="Yes",1,0))</f>
        <v/>
      </c>
      <c r="AK5556">
        <f>IF($AG5556=1,IFERROR(IF(VALUE($C5556)&lt;100000000,VALUE($C5556),1000000000),IFERROR(IF(VALUE(MID($C5556,2,20))&lt;100000000,VALUE(MID($C5556,2,20)),1000000000),1000000000))+ROW()/100000,"")</f>
        <v/>
      </c>
    </row>
    <row r="5557">
      <c r="D5557" s="11" t="n"/>
      <c r="K5557" s="7">
        <f>IF($C5557="","",J5557*W5557/100)</f>
        <v/>
      </c>
      <c r="Q5557" s="7" t="n"/>
      <c r="R5557" s="7" t="n"/>
      <c r="U5557">
        <f>IF($C5557="","",IF($AJ5557=1,0,IF($AI5557=1,Settings!$C$6,Settings!$C$7))*100)</f>
        <v/>
      </c>
      <c r="V5557" s="7">
        <f>IF($C5557="","",R5557*U5557/100)</f>
        <v/>
      </c>
      <c r="W5557" s="7">
        <f>IF($C5557="","",R5557-V5557)</f>
        <v/>
      </c>
      <c r="X5557" s="7">
        <f>IF($C5557="","",W5557-K5557)</f>
        <v/>
      </c>
      <c r="AB5557" s="7" t="n"/>
      <c r="AE5557" s="11" t="n"/>
      <c r="AG5557">
        <f>IF($C5557="","",IF(COUNTIF($C$2:$C5557,$C5557)=1,1,0))</f>
        <v/>
      </c>
      <c r="AH5557">
        <f>IF($AG5557=1,SUMPRODUCT(--($AK$2:$AK$6001&lt;$AK5557))+1,"")</f>
        <v/>
      </c>
      <c r="AI5557">
        <f>IF($C5557="","",IF(OR($N5557=TRUE(),$N5557="TRUE"),1,0))</f>
        <v/>
      </c>
      <c r="AJ5557">
        <f>IF($C5557="","",IF($T5557="Yes",1,0))</f>
        <v/>
      </c>
      <c r="AK5557">
        <f>IF($AG5557=1,IFERROR(IF(VALUE($C5557)&lt;100000000,VALUE($C5557),1000000000),IFERROR(IF(VALUE(MID($C5557,2,20))&lt;100000000,VALUE(MID($C5557,2,20)),1000000000),1000000000))+ROW()/100000,"")</f>
        <v/>
      </c>
    </row>
    <row r="5558">
      <c r="D5558" s="11" t="n"/>
      <c r="K5558" s="7">
        <f>IF($C5558="","",J5558*W5558/100)</f>
        <v/>
      </c>
      <c r="Q5558" s="7" t="n"/>
      <c r="R5558" s="7" t="n"/>
      <c r="U5558">
        <f>IF($C5558="","",IF($AJ5558=1,0,IF($AI5558=1,Settings!$C$6,Settings!$C$7))*100)</f>
        <v/>
      </c>
      <c r="V5558" s="7">
        <f>IF($C5558="","",R5558*U5558/100)</f>
        <v/>
      </c>
      <c r="W5558" s="7">
        <f>IF($C5558="","",R5558-V5558)</f>
        <v/>
      </c>
      <c r="X5558" s="7">
        <f>IF($C5558="","",W5558-K5558)</f>
        <v/>
      </c>
      <c r="AB5558" s="7" t="n"/>
      <c r="AE5558" s="11" t="n"/>
      <c r="AG5558">
        <f>IF($C5558="","",IF(COUNTIF($C$2:$C5558,$C5558)=1,1,0))</f>
        <v/>
      </c>
      <c r="AH5558">
        <f>IF($AG5558=1,SUMPRODUCT(--($AK$2:$AK$6001&lt;$AK5558))+1,"")</f>
        <v/>
      </c>
      <c r="AI5558">
        <f>IF($C5558="","",IF(OR($N5558=TRUE(),$N5558="TRUE"),1,0))</f>
        <v/>
      </c>
      <c r="AJ5558">
        <f>IF($C5558="","",IF($T5558="Yes",1,0))</f>
        <v/>
      </c>
      <c r="AK5558">
        <f>IF($AG5558=1,IFERROR(IF(VALUE($C5558)&lt;100000000,VALUE($C5558),1000000000),IFERROR(IF(VALUE(MID($C5558,2,20))&lt;100000000,VALUE(MID($C5558,2,20)),1000000000),1000000000))+ROW()/100000,"")</f>
        <v/>
      </c>
    </row>
    <row r="5559">
      <c r="D5559" s="11" t="n"/>
      <c r="K5559" s="7">
        <f>IF($C5559="","",J5559*W5559/100)</f>
        <v/>
      </c>
      <c r="Q5559" s="7" t="n"/>
      <c r="R5559" s="7" t="n"/>
      <c r="U5559">
        <f>IF($C5559="","",IF($AJ5559=1,0,IF($AI5559=1,Settings!$C$6,Settings!$C$7))*100)</f>
        <v/>
      </c>
      <c r="V5559" s="7">
        <f>IF($C5559="","",R5559*U5559/100)</f>
        <v/>
      </c>
      <c r="W5559" s="7">
        <f>IF($C5559="","",R5559-V5559)</f>
        <v/>
      </c>
      <c r="X5559" s="7">
        <f>IF($C5559="","",W5559-K5559)</f>
        <v/>
      </c>
      <c r="AB5559" s="7" t="n"/>
      <c r="AE5559" s="11" t="n"/>
      <c r="AG5559">
        <f>IF($C5559="","",IF(COUNTIF($C$2:$C5559,$C5559)=1,1,0))</f>
        <v/>
      </c>
      <c r="AH5559">
        <f>IF($AG5559=1,SUMPRODUCT(--($AK$2:$AK$6001&lt;$AK5559))+1,"")</f>
        <v/>
      </c>
      <c r="AI5559">
        <f>IF($C5559="","",IF(OR($N5559=TRUE(),$N5559="TRUE"),1,0))</f>
        <v/>
      </c>
      <c r="AJ5559">
        <f>IF($C5559="","",IF($T5559="Yes",1,0))</f>
        <v/>
      </c>
      <c r="AK5559">
        <f>IF($AG5559=1,IFERROR(IF(VALUE($C5559)&lt;100000000,VALUE($C5559),1000000000),IFERROR(IF(VALUE(MID($C5559,2,20))&lt;100000000,VALUE(MID($C5559,2,20)),1000000000),1000000000))+ROW()/100000,"")</f>
        <v/>
      </c>
    </row>
    <row r="5560">
      <c r="D5560" s="11" t="n"/>
      <c r="K5560" s="7">
        <f>IF($C5560="","",J5560*W5560/100)</f>
        <v/>
      </c>
      <c r="Q5560" s="7" t="n"/>
      <c r="R5560" s="7" t="n"/>
      <c r="U5560">
        <f>IF($C5560="","",IF($AJ5560=1,0,IF($AI5560=1,Settings!$C$6,Settings!$C$7))*100)</f>
        <v/>
      </c>
      <c r="V5560" s="7">
        <f>IF($C5560="","",R5560*U5560/100)</f>
        <v/>
      </c>
      <c r="W5560" s="7">
        <f>IF($C5560="","",R5560-V5560)</f>
        <v/>
      </c>
      <c r="X5560" s="7">
        <f>IF($C5560="","",W5560-K5560)</f>
        <v/>
      </c>
      <c r="AB5560" s="7" t="n"/>
      <c r="AE5560" s="11" t="n"/>
      <c r="AG5560">
        <f>IF($C5560="","",IF(COUNTIF($C$2:$C5560,$C5560)=1,1,0))</f>
        <v/>
      </c>
      <c r="AH5560">
        <f>IF($AG5560=1,SUMPRODUCT(--($AK$2:$AK$6001&lt;$AK5560))+1,"")</f>
        <v/>
      </c>
      <c r="AI5560">
        <f>IF($C5560="","",IF(OR($N5560=TRUE(),$N5560="TRUE"),1,0))</f>
        <v/>
      </c>
      <c r="AJ5560">
        <f>IF($C5560="","",IF($T5560="Yes",1,0))</f>
        <v/>
      </c>
      <c r="AK5560">
        <f>IF($AG5560=1,IFERROR(IF(VALUE($C5560)&lt;100000000,VALUE($C5560),1000000000),IFERROR(IF(VALUE(MID($C5560,2,20))&lt;100000000,VALUE(MID($C5560,2,20)),1000000000),1000000000))+ROW()/100000,"")</f>
        <v/>
      </c>
    </row>
    <row r="5561">
      <c r="D5561" s="11" t="n"/>
      <c r="K5561" s="7">
        <f>IF($C5561="","",J5561*W5561/100)</f>
        <v/>
      </c>
      <c r="Q5561" s="7" t="n"/>
      <c r="R5561" s="7" t="n"/>
      <c r="U5561">
        <f>IF($C5561="","",IF($AJ5561=1,0,IF($AI5561=1,Settings!$C$6,Settings!$C$7))*100)</f>
        <v/>
      </c>
      <c r="V5561" s="7">
        <f>IF($C5561="","",R5561*U5561/100)</f>
        <v/>
      </c>
      <c r="W5561" s="7">
        <f>IF($C5561="","",R5561-V5561)</f>
        <v/>
      </c>
      <c r="X5561" s="7">
        <f>IF($C5561="","",W5561-K5561)</f>
        <v/>
      </c>
      <c r="AB5561" s="7" t="n"/>
      <c r="AE5561" s="11" t="n"/>
      <c r="AG5561">
        <f>IF($C5561="","",IF(COUNTIF($C$2:$C5561,$C5561)=1,1,0))</f>
        <v/>
      </c>
      <c r="AH5561">
        <f>IF($AG5561=1,SUMPRODUCT(--($AK$2:$AK$6001&lt;$AK5561))+1,"")</f>
        <v/>
      </c>
      <c r="AI5561">
        <f>IF($C5561="","",IF(OR($N5561=TRUE(),$N5561="TRUE"),1,0))</f>
        <v/>
      </c>
      <c r="AJ5561">
        <f>IF($C5561="","",IF($T5561="Yes",1,0))</f>
        <v/>
      </c>
      <c r="AK5561">
        <f>IF($AG5561=1,IFERROR(IF(VALUE($C5561)&lt;100000000,VALUE($C5561),1000000000),IFERROR(IF(VALUE(MID($C5561,2,20))&lt;100000000,VALUE(MID($C5561,2,20)),1000000000),1000000000))+ROW()/100000,"")</f>
        <v/>
      </c>
    </row>
    <row r="5562">
      <c r="D5562" s="11" t="n"/>
      <c r="K5562" s="7">
        <f>IF($C5562="","",J5562*W5562/100)</f>
        <v/>
      </c>
      <c r="Q5562" s="7" t="n"/>
      <c r="R5562" s="7" t="n"/>
      <c r="U5562">
        <f>IF($C5562="","",IF($AJ5562=1,0,IF($AI5562=1,Settings!$C$6,Settings!$C$7))*100)</f>
        <v/>
      </c>
      <c r="V5562" s="7">
        <f>IF($C5562="","",R5562*U5562/100)</f>
        <v/>
      </c>
      <c r="W5562" s="7">
        <f>IF($C5562="","",R5562-V5562)</f>
        <v/>
      </c>
      <c r="X5562" s="7">
        <f>IF($C5562="","",W5562-K5562)</f>
        <v/>
      </c>
      <c r="AB5562" s="7" t="n"/>
      <c r="AE5562" s="11" t="n"/>
      <c r="AG5562">
        <f>IF($C5562="","",IF(COUNTIF($C$2:$C5562,$C5562)=1,1,0))</f>
        <v/>
      </c>
      <c r="AH5562">
        <f>IF($AG5562=1,SUMPRODUCT(--($AK$2:$AK$6001&lt;$AK5562))+1,"")</f>
        <v/>
      </c>
      <c r="AI5562">
        <f>IF($C5562="","",IF(OR($N5562=TRUE(),$N5562="TRUE"),1,0))</f>
        <v/>
      </c>
      <c r="AJ5562">
        <f>IF($C5562="","",IF($T5562="Yes",1,0))</f>
        <v/>
      </c>
      <c r="AK5562">
        <f>IF($AG5562=1,IFERROR(IF(VALUE($C5562)&lt;100000000,VALUE($C5562),1000000000),IFERROR(IF(VALUE(MID($C5562,2,20))&lt;100000000,VALUE(MID($C5562,2,20)),1000000000),1000000000))+ROW()/100000,"")</f>
        <v/>
      </c>
    </row>
    <row r="5563">
      <c r="D5563" s="11" t="n"/>
      <c r="K5563" s="7">
        <f>IF($C5563="","",J5563*W5563/100)</f>
        <v/>
      </c>
      <c r="Q5563" s="7" t="n"/>
      <c r="R5563" s="7" t="n"/>
      <c r="U5563">
        <f>IF($C5563="","",IF($AJ5563=1,0,IF($AI5563=1,Settings!$C$6,Settings!$C$7))*100)</f>
        <v/>
      </c>
      <c r="V5563" s="7">
        <f>IF($C5563="","",R5563*U5563/100)</f>
        <v/>
      </c>
      <c r="W5563" s="7">
        <f>IF($C5563="","",R5563-V5563)</f>
        <v/>
      </c>
      <c r="X5563" s="7">
        <f>IF($C5563="","",W5563-K5563)</f>
        <v/>
      </c>
      <c r="AB5563" s="7" t="n"/>
      <c r="AE5563" s="11" t="n"/>
      <c r="AG5563">
        <f>IF($C5563="","",IF(COUNTIF($C$2:$C5563,$C5563)=1,1,0))</f>
        <v/>
      </c>
      <c r="AH5563">
        <f>IF($AG5563=1,SUMPRODUCT(--($AK$2:$AK$6001&lt;$AK5563))+1,"")</f>
        <v/>
      </c>
      <c r="AI5563">
        <f>IF($C5563="","",IF(OR($N5563=TRUE(),$N5563="TRUE"),1,0))</f>
        <v/>
      </c>
      <c r="AJ5563">
        <f>IF($C5563="","",IF($T5563="Yes",1,0))</f>
        <v/>
      </c>
      <c r="AK5563">
        <f>IF($AG5563=1,IFERROR(IF(VALUE($C5563)&lt;100000000,VALUE($C5563),1000000000),IFERROR(IF(VALUE(MID($C5563,2,20))&lt;100000000,VALUE(MID($C5563,2,20)),1000000000),1000000000))+ROW()/100000,"")</f>
        <v/>
      </c>
    </row>
    <row r="5564">
      <c r="D5564" s="11" t="n"/>
      <c r="K5564" s="7">
        <f>IF($C5564="","",J5564*W5564/100)</f>
        <v/>
      </c>
      <c r="Q5564" s="7" t="n"/>
      <c r="R5564" s="7" t="n"/>
      <c r="U5564">
        <f>IF($C5564="","",IF($AJ5564=1,0,IF($AI5564=1,Settings!$C$6,Settings!$C$7))*100)</f>
        <v/>
      </c>
      <c r="V5564" s="7">
        <f>IF($C5564="","",R5564*U5564/100)</f>
        <v/>
      </c>
      <c r="W5564" s="7">
        <f>IF($C5564="","",R5564-V5564)</f>
        <v/>
      </c>
      <c r="X5564" s="7">
        <f>IF($C5564="","",W5564-K5564)</f>
        <v/>
      </c>
      <c r="AB5564" s="7" t="n"/>
      <c r="AE5564" s="11" t="n"/>
      <c r="AG5564">
        <f>IF($C5564="","",IF(COUNTIF($C$2:$C5564,$C5564)=1,1,0))</f>
        <v/>
      </c>
      <c r="AH5564">
        <f>IF($AG5564=1,SUMPRODUCT(--($AK$2:$AK$6001&lt;$AK5564))+1,"")</f>
        <v/>
      </c>
      <c r="AI5564">
        <f>IF($C5564="","",IF(OR($N5564=TRUE(),$N5564="TRUE"),1,0))</f>
        <v/>
      </c>
      <c r="AJ5564">
        <f>IF($C5564="","",IF($T5564="Yes",1,0))</f>
        <v/>
      </c>
      <c r="AK5564">
        <f>IF($AG5564=1,IFERROR(IF(VALUE($C5564)&lt;100000000,VALUE($C5564),1000000000),IFERROR(IF(VALUE(MID($C5564,2,20))&lt;100000000,VALUE(MID($C5564,2,20)),1000000000),1000000000))+ROW()/100000,"")</f>
        <v/>
      </c>
    </row>
    <row r="5565">
      <c r="D5565" s="11" t="n"/>
      <c r="K5565" s="7">
        <f>IF($C5565="","",J5565*W5565/100)</f>
        <v/>
      </c>
      <c r="Q5565" s="7" t="n"/>
      <c r="R5565" s="7" t="n"/>
      <c r="U5565">
        <f>IF($C5565="","",IF($AJ5565=1,0,IF($AI5565=1,Settings!$C$6,Settings!$C$7))*100)</f>
        <v/>
      </c>
      <c r="V5565" s="7">
        <f>IF($C5565="","",R5565*U5565/100)</f>
        <v/>
      </c>
      <c r="W5565" s="7">
        <f>IF($C5565="","",R5565-V5565)</f>
        <v/>
      </c>
      <c r="X5565" s="7">
        <f>IF($C5565="","",W5565-K5565)</f>
        <v/>
      </c>
      <c r="AB5565" s="7" t="n"/>
      <c r="AE5565" s="11" t="n"/>
      <c r="AG5565">
        <f>IF($C5565="","",IF(COUNTIF($C$2:$C5565,$C5565)=1,1,0))</f>
        <v/>
      </c>
      <c r="AH5565">
        <f>IF($AG5565=1,SUMPRODUCT(--($AK$2:$AK$6001&lt;$AK5565))+1,"")</f>
        <v/>
      </c>
      <c r="AI5565">
        <f>IF($C5565="","",IF(OR($N5565=TRUE(),$N5565="TRUE"),1,0))</f>
        <v/>
      </c>
      <c r="AJ5565">
        <f>IF($C5565="","",IF($T5565="Yes",1,0))</f>
        <v/>
      </c>
      <c r="AK5565">
        <f>IF($AG5565=1,IFERROR(IF(VALUE($C5565)&lt;100000000,VALUE($C5565),1000000000),IFERROR(IF(VALUE(MID($C5565,2,20))&lt;100000000,VALUE(MID($C5565,2,20)),1000000000),1000000000))+ROW()/100000,"")</f>
        <v/>
      </c>
    </row>
    <row r="5566">
      <c r="D5566" s="11" t="n"/>
      <c r="K5566" s="7">
        <f>IF($C5566="","",J5566*W5566/100)</f>
        <v/>
      </c>
      <c r="Q5566" s="7" t="n"/>
      <c r="R5566" s="7" t="n"/>
      <c r="U5566">
        <f>IF($C5566="","",IF($AJ5566=1,0,IF($AI5566=1,Settings!$C$6,Settings!$C$7))*100)</f>
        <v/>
      </c>
      <c r="V5566" s="7">
        <f>IF($C5566="","",R5566*U5566/100)</f>
        <v/>
      </c>
      <c r="W5566" s="7">
        <f>IF($C5566="","",R5566-V5566)</f>
        <v/>
      </c>
      <c r="X5566" s="7">
        <f>IF($C5566="","",W5566-K5566)</f>
        <v/>
      </c>
      <c r="AB5566" s="7" t="n"/>
      <c r="AE5566" s="11" t="n"/>
      <c r="AG5566">
        <f>IF($C5566="","",IF(COUNTIF($C$2:$C5566,$C5566)=1,1,0))</f>
        <v/>
      </c>
      <c r="AH5566">
        <f>IF($AG5566=1,SUMPRODUCT(--($AK$2:$AK$6001&lt;$AK5566))+1,"")</f>
        <v/>
      </c>
      <c r="AI5566">
        <f>IF($C5566="","",IF(OR($N5566=TRUE(),$N5566="TRUE"),1,0))</f>
        <v/>
      </c>
      <c r="AJ5566">
        <f>IF($C5566="","",IF($T5566="Yes",1,0))</f>
        <v/>
      </c>
      <c r="AK5566">
        <f>IF($AG5566=1,IFERROR(IF(VALUE($C5566)&lt;100000000,VALUE($C5566),1000000000),IFERROR(IF(VALUE(MID($C5566,2,20))&lt;100000000,VALUE(MID($C5566,2,20)),1000000000),1000000000))+ROW()/100000,"")</f>
        <v/>
      </c>
    </row>
    <row r="5567">
      <c r="D5567" s="11" t="n"/>
      <c r="K5567" s="7">
        <f>IF($C5567="","",J5567*W5567/100)</f>
        <v/>
      </c>
      <c r="Q5567" s="7" t="n"/>
      <c r="R5567" s="7" t="n"/>
      <c r="U5567">
        <f>IF($C5567="","",IF($AJ5567=1,0,IF($AI5567=1,Settings!$C$6,Settings!$C$7))*100)</f>
        <v/>
      </c>
      <c r="V5567" s="7">
        <f>IF($C5567="","",R5567*U5567/100)</f>
        <v/>
      </c>
      <c r="W5567" s="7">
        <f>IF($C5567="","",R5567-V5567)</f>
        <v/>
      </c>
      <c r="X5567" s="7">
        <f>IF($C5567="","",W5567-K5567)</f>
        <v/>
      </c>
      <c r="AB5567" s="7" t="n"/>
      <c r="AE5567" s="11" t="n"/>
      <c r="AG5567">
        <f>IF($C5567="","",IF(COUNTIF($C$2:$C5567,$C5567)=1,1,0))</f>
        <v/>
      </c>
      <c r="AH5567">
        <f>IF($AG5567=1,SUMPRODUCT(--($AK$2:$AK$6001&lt;$AK5567))+1,"")</f>
        <v/>
      </c>
      <c r="AI5567">
        <f>IF($C5567="","",IF(OR($N5567=TRUE(),$N5567="TRUE"),1,0))</f>
        <v/>
      </c>
      <c r="AJ5567">
        <f>IF($C5567="","",IF($T5567="Yes",1,0))</f>
        <v/>
      </c>
      <c r="AK5567">
        <f>IF($AG5567=1,IFERROR(IF(VALUE($C5567)&lt;100000000,VALUE($C5567),1000000000),IFERROR(IF(VALUE(MID($C5567,2,20))&lt;100000000,VALUE(MID($C5567,2,20)),1000000000),1000000000))+ROW()/100000,"")</f>
        <v/>
      </c>
    </row>
    <row r="5568">
      <c r="D5568" s="11" t="n"/>
      <c r="K5568" s="7">
        <f>IF($C5568="","",J5568*W5568/100)</f>
        <v/>
      </c>
      <c r="Q5568" s="7" t="n"/>
      <c r="R5568" s="7" t="n"/>
      <c r="U5568">
        <f>IF($C5568="","",IF($AJ5568=1,0,IF($AI5568=1,Settings!$C$6,Settings!$C$7))*100)</f>
        <v/>
      </c>
      <c r="V5568" s="7">
        <f>IF($C5568="","",R5568*U5568/100)</f>
        <v/>
      </c>
      <c r="W5568" s="7">
        <f>IF($C5568="","",R5568-V5568)</f>
        <v/>
      </c>
      <c r="X5568" s="7">
        <f>IF($C5568="","",W5568-K5568)</f>
        <v/>
      </c>
      <c r="AB5568" s="7" t="n"/>
      <c r="AE5568" s="11" t="n"/>
      <c r="AG5568">
        <f>IF($C5568="","",IF(COUNTIF($C$2:$C5568,$C5568)=1,1,0))</f>
        <v/>
      </c>
      <c r="AH5568">
        <f>IF($AG5568=1,SUMPRODUCT(--($AK$2:$AK$6001&lt;$AK5568))+1,"")</f>
        <v/>
      </c>
      <c r="AI5568">
        <f>IF($C5568="","",IF(OR($N5568=TRUE(),$N5568="TRUE"),1,0))</f>
        <v/>
      </c>
      <c r="AJ5568">
        <f>IF($C5568="","",IF($T5568="Yes",1,0))</f>
        <v/>
      </c>
      <c r="AK5568">
        <f>IF($AG5568=1,IFERROR(IF(VALUE($C5568)&lt;100000000,VALUE($C5568),1000000000),IFERROR(IF(VALUE(MID($C5568,2,20))&lt;100000000,VALUE(MID($C5568,2,20)),1000000000),1000000000))+ROW()/100000,"")</f>
        <v/>
      </c>
    </row>
    <row r="5569">
      <c r="D5569" s="11" t="n"/>
      <c r="K5569" s="7">
        <f>IF($C5569="","",J5569*W5569/100)</f>
        <v/>
      </c>
      <c r="Q5569" s="7" t="n"/>
      <c r="R5569" s="7" t="n"/>
      <c r="U5569">
        <f>IF($C5569="","",IF($AJ5569=1,0,IF($AI5569=1,Settings!$C$6,Settings!$C$7))*100)</f>
        <v/>
      </c>
      <c r="V5569" s="7">
        <f>IF($C5569="","",R5569*U5569/100)</f>
        <v/>
      </c>
      <c r="W5569" s="7">
        <f>IF($C5569="","",R5569-V5569)</f>
        <v/>
      </c>
      <c r="X5569" s="7">
        <f>IF($C5569="","",W5569-K5569)</f>
        <v/>
      </c>
      <c r="AB5569" s="7" t="n"/>
      <c r="AE5569" s="11" t="n"/>
      <c r="AG5569">
        <f>IF($C5569="","",IF(COUNTIF($C$2:$C5569,$C5569)=1,1,0))</f>
        <v/>
      </c>
      <c r="AH5569">
        <f>IF($AG5569=1,SUMPRODUCT(--($AK$2:$AK$6001&lt;$AK5569))+1,"")</f>
        <v/>
      </c>
      <c r="AI5569">
        <f>IF($C5569="","",IF(OR($N5569=TRUE(),$N5569="TRUE"),1,0))</f>
        <v/>
      </c>
      <c r="AJ5569">
        <f>IF($C5569="","",IF($T5569="Yes",1,0))</f>
        <v/>
      </c>
      <c r="AK5569">
        <f>IF($AG5569=1,IFERROR(IF(VALUE($C5569)&lt;100000000,VALUE($C5569),1000000000),IFERROR(IF(VALUE(MID($C5569,2,20))&lt;100000000,VALUE(MID($C5569,2,20)),1000000000),1000000000))+ROW()/100000,"")</f>
        <v/>
      </c>
    </row>
    <row r="5570">
      <c r="D5570" s="11" t="n"/>
      <c r="K5570" s="7">
        <f>IF($C5570="","",J5570*W5570/100)</f>
        <v/>
      </c>
      <c r="Q5570" s="7" t="n"/>
      <c r="R5570" s="7" t="n"/>
      <c r="U5570">
        <f>IF($C5570="","",IF($AJ5570=1,0,IF($AI5570=1,Settings!$C$6,Settings!$C$7))*100)</f>
        <v/>
      </c>
      <c r="V5570" s="7">
        <f>IF($C5570="","",R5570*U5570/100)</f>
        <v/>
      </c>
      <c r="W5570" s="7">
        <f>IF($C5570="","",R5570-V5570)</f>
        <v/>
      </c>
      <c r="X5570" s="7">
        <f>IF($C5570="","",W5570-K5570)</f>
        <v/>
      </c>
      <c r="AB5570" s="7" t="n"/>
      <c r="AE5570" s="11" t="n"/>
      <c r="AG5570">
        <f>IF($C5570="","",IF(COUNTIF($C$2:$C5570,$C5570)=1,1,0))</f>
        <v/>
      </c>
      <c r="AH5570">
        <f>IF($AG5570=1,SUMPRODUCT(--($AK$2:$AK$6001&lt;$AK5570))+1,"")</f>
        <v/>
      </c>
      <c r="AI5570">
        <f>IF($C5570="","",IF(OR($N5570=TRUE(),$N5570="TRUE"),1,0))</f>
        <v/>
      </c>
      <c r="AJ5570">
        <f>IF($C5570="","",IF($T5570="Yes",1,0))</f>
        <v/>
      </c>
      <c r="AK5570">
        <f>IF($AG5570=1,IFERROR(IF(VALUE($C5570)&lt;100000000,VALUE($C5570),1000000000),IFERROR(IF(VALUE(MID($C5570,2,20))&lt;100000000,VALUE(MID($C5570,2,20)),1000000000),1000000000))+ROW()/100000,"")</f>
        <v/>
      </c>
    </row>
    <row r="5571">
      <c r="D5571" s="11" t="n"/>
      <c r="K5571" s="7">
        <f>IF($C5571="","",J5571*W5571/100)</f>
        <v/>
      </c>
      <c r="Q5571" s="7" t="n"/>
      <c r="R5571" s="7" t="n"/>
      <c r="U5571">
        <f>IF($C5571="","",IF($AJ5571=1,0,IF($AI5571=1,Settings!$C$6,Settings!$C$7))*100)</f>
        <v/>
      </c>
      <c r="V5571" s="7">
        <f>IF($C5571="","",R5571*U5571/100)</f>
        <v/>
      </c>
      <c r="W5571" s="7">
        <f>IF($C5571="","",R5571-V5571)</f>
        <v/>
      </c>
      <c r="X5571" s="7">
        <f>IF($C5571="","",W5571-K5571)</f>
        <v/>
      </c>
      <c r="AB5571" s="7" t="n"/>
      <c r="AE5571" s="11" t="n"/>
      <c r="AG5571">
        <f>IF($C5571="","",IF(COUNTIF($C$2:$C5571,$C5571)=1,1,0))</f>
        <v/>
      </c>
      <c r="AH5571">
        <f>IF($AG5571=1,SUMPRODUCT(--($AK$2:$AK$6001&lt;$AK5571))+1,"")</f>
        <v/>
      </c>
      <c r="AI5571">
        <f>IF($C5571="","",IF(OR($N5571=TRUE(),$N5571="TRUE"),1,0))</f>
        <v/>
      </c>
      <c r="AJ5571">
        <f>IF($C5571="","",IF($T5571="Yes",1,0))</f>
        <v/>
      </c>
      <c r="AK5571">
        <f>IF($AG5571=1,IFERROR(IF(VALUE($C5571)&lt;100000000,VALUE($C5571),1000000000),IFERROR(IF(VALUE(MID($C5571,2,20))&lt;100000000,VALUE(MID($C5571,2,20)),1000000000),1000000000))+ROW()/100000,"")</f>
        <v/>
      </c>
    </row>
    <row r="5572">
      <c r="D5572" s="11" t="n"/>
      <c r="K5572" s="7">
        <f>IF($C5572="","",J5572*W5572/100)</f>
        <v/>
      </c>
      <c r="Q5572" s="7" t="n"/>
      <c r="R5572" s="7" t="n"/>
      <c r="U5572">
        <f>IF($C5572="","",IF($AJ5572=1,0,IF($AI5572=1,Settings!$C$6,Settings!$C$7))*100)</f>
        <v/>
      </c>
      <c r="V5572" s="7">
        <f>IF($C5572="","",R5572*U5572/100)</f>
        <v/>
      </c>
      <c r="W5572" s="7">
        <f>IF($C5572="","",R5572-V5572)</f>
        <v/>
      </c>
      <c r="X5572" s="7">
        <f>IF($C5572="","",W5572-K5572)</f>
        <v/>
      </c>
      <c r="AB5572" s="7" t="n"/>
      <c r="AE5572" s="11" t="n"/>
      <c r="AG5572">
        <f>IF($C5572="","",IF(COUNTIF($C$2:$C5572,$C5572)=1,1,0))</f>
        <v/>
      </c>
      <c r="AH5572">
        <f>IF($AG5572=1,SUMPRODUCT(--($AK$2:$AK$6001&lt;$AK5572))+1,"")</f>
        <v/>
      </c>
      <c r="AI5572">
        <f>IF($C5572="","",IF(OR($N5572=TRUE(),$N5572="TRUE"),1,0))</f>
        <v/>
      </c>
      <c r="AJ5572">
        <f>IF($C5572="","",IF($T5572="Yes",1,0))</f>
        <v/>
      </c>
      <c r="AK5572">
        <f>IF($AG5572=1,IFERROR(IF(VALUE($C5572)&lt;100000000,VALUE($C5572),1000000000),IFERROR(IF(VALUE(MID($C5572,2,20))&lt;100000000,VALUE(MID($C5572,2,20)),1000000000),1000000000))+ROW()/100000,"")</f>
        <v/>
      </c>
    </row>
    <row r="5573">
      <c r="D5573" s="11" t="n"/>
      <c r="K5573" s="7">
        <f>IF($C5573="","",J5573*W5573/100)</f>
        <v/>
      </c>
      <c r="Q5573" s="7" t="n"/>
      <c r="R5573" s="7" t="n"/>
      <c r="U5573">
        <f>IF($C5573="","",IF($AJ5573=1,0,IF($AI5573=1,Settings!$C$6,Settings!$C$7))*100)</f>
        <v/>
      </c>
      <c r="V5573" s="7">
        <f>IF($C5573="","",R5573*U5573/100)</f>
        <v/>
      </c>
      <c r="W5573" s="7">
        <f>IF($C5573="","",R5573-V5573)</f>
        <v/>
      </c>
      <c r="X5573" s="7">
        <f>IF($C5573="","",W5573-K5573)</f>
        <v/>
      </c>
      <c r="AB5573" s="7" t="n"/>
      <c r="AE5573" s="11" t="n"/>
      <c r="AG5573">
        <f>IF($C5573="","",IF(COUNTIF($C$2:$C5573,$C5573)=1,1,0))</f>
        <v/>
      </c>
      <c r="AH5573">
        <f>IF($AG5573=1,SUMPRODUCT(--($AK$2:$AK$6001&lt;$AK5573))+1,"")</f>
        <v/>
      </c>
      <c r="AI5573">
        <f>IF($C5573="","",IF(OR($N5573=TRUE(),$N5573="TRUE"),1,0))</f>
        <v/>
      </c>
      <c r="AJ5573">
        <f>IF($C5573="","",IF($T5573="Yes",1,0))</f>
        <v/>
      </c>
      <c r="AK5573">
        <f>IF($AG5573=1,IFERROR(IF(VALUE($C5573)&lt;100000000,VALUE($C5573),1000000000),IFERROR(IF(VALUE(MID($C5573,2,20))&lt;100000000,VALUE(MID($C5573,2,20)),1000000000),1000000000))+ROW()/100000,"")</f>
        <v/>
      </c>
    </row>
    <row r="5574">
      <c r="D5574" s="11" t="n"/>
      <c r="K5574" s="7">
        <f>IF($C5574="","",J5574*W5574/100)</f>
        <v/>
      </c>
      <c r="Q5574" s="7" t="n"/>
      <c r="R5574" s="7" t="n"/>
      <c r="U5574">
        <f>IF($C5574="","",IF($AJ5574=1,0,IF($AI5574=1,Settings!$C$6,Settings!$C$7))*100)</f>
        <v/>
      </c>
      <c r="V5574" s="7">
        <f>IF($C5574="","",R5574*U5574/100)</f>
        <v/>
      </c>
      <c r="W5574" s="7">
        <f>IF($C5574="","",R5574-V5574)</f>
        <v/>
      </c>
      <c r="X5574" s="7">
        <f>IF($C5574="","",W5574-K5574)</f>
        <v/>
      </c>
      <c r="AB5574" s="7" t="n"/>
      <c r="AE5574" s="11" t="n"/>
      <c r="AG5574">
        <f>IF($C5574="","",IF(COUNTIF($C$2:$C5574,$C5574)=1,1,0))</f>
        <v/>
      </c>
      <c r="AH5574">
        <f>IF($AG5574=1,SUMPRODUCT(--($AK$2:$AK$6001&lt;$AK5574))+1,"")</f>
        <v/>
      </c>
      <c r="AI5574">
        <f>IF($C5574="","",IF(OR($N5574=TRUE(),$N5574="TRUE"),1,0))</f>
        <v/>
      </c>
      <c r="AJ5574">
        <f>IF($C5574="","",IF($T5574="Yes",1,0))</f>
        <v/>
      </c>
      <c r="AK5574">
        <f>IF($AG5574=1,IFERROR(IF(VALUE($C5574)&lt;100000000,VALUE($C5574),1000000000),IFERROR(IF(VALUE(MID($C5574,2,20))&lt;100000000,VALUE(MID($C5574,2,20)),1000000000),1000000000))+ROW()/100000,"")</f>
        <v/>
      </c>
    </row>
    <row r="5575">
      <c r="D5575" s="11" t="n"/>
      <c r="K5575" s="7">
        <f>IF($C5575="","",J5575*W5575/100)</f>
        <v/>
      </c>
      <c r="Q5575" s="7" t="n"/>
      <c r="R5575" s="7" t="n"/>
      <c r="U5575">
        <f>IF($C5575="","",IF($AJ5575=1,0,IF($AI5575=1,Settings!$C$6,Settings!$C$7))*100)</f>
        <v/>
      </c>
      <c r="V5575" s="7">
        <f>IF($C5575="","",R5575*U5575/100)</f>
        <v/>
      </c>
      <c r="W5575" s="7">
        <f>IF($C5575="","",R5575-V5575)</f>
        <v/>
      </c>
      <c r="X5575" s="7">
        <f>IF($C5575="","",W5575-K5575)</f>
        <v/>
      </c>
      <c r="AB5575" s="7" t="n"/>
      <c r="AE5575" s="11" t="n"/>
      <c r="AG5575">
        <f>IF($C5575="","",IF(COUNTIF($C$2:$C5575,$C5575)=1,1,0))</f>
        <v/>
      </c>
      <c r="AH5575">
        <f>IF($AG5575=1,SUMPRODUCT(--($AK$2:$AK$6001&lt;$AK5575))+1,"")</f>
        <v/>
      </c>
      <c r="AI5575">
        <f>IF($C5575="","",IF(OR($N5575=TRUE(),$N5575="TRUE"),1,0))</f>
        <v/>
      </c>
      <c r="AJ5575">
        <f>IF($C5575="","",IF($T5575="Yes",1,0))</f>
        <v/>
      </c>
      <c r="AK5575">
        <f>IF($AG5575=1,IFERROR(IF(VALUE($C5575)&lt;100000000,VALUE($C5575),1000000000),IFERROR(IF(VALUE(MID($C5575,2,20))&lt;100000000,VALUE(MID($C5575,2,20)),1000000000),1000000000))+ROW()/100000,"")</f>
        <v/>
      </c>
    </row>
    <row r="5576">
      <c r="D5576" s="11" t="n"/>
      <c r="K5576" s="7">
        <f>IF($C5576="","",J5576*W5576/100)</f>
        <v/>
      </c>
      <c r="Q5576" s="7" t="n"/>
      <c r="R5576" s="7" t="n"/>
      <c r="U5576">
        <f>IF($C5576="","",IF($AJ5576=1,0,IF($AI5576=1,Settings!$C$6,Settings!$C$7))*100)</f>
        <v/>
      </c>
      <c r="V5576" s="7">
        <f>IF($C5576="","",R5576*U5576/100)</f>
        <v/>
      </c>
      <c r="W5576" s="7">
        <f>IF($C5576="","",R5576-V5576)</f>
        <v/>
      </c>
      <c r="X5576" s="7">
        <f>IF($C5576="","",W5576-K5576)</f>
        <v/>
      </c>
      <c r="AB5576" s="7" t="n"/>
      <c r="AE5576" s="11" t="n"/>
      <c r="AG5576">
        <f>IF($C5576="","",IF(COUNTIF($C$2:$C5576,$C5576)=1,1,0))</f>
        <v/>
      </c>
      <c r="AH5576">
        <f>IF($AG5576=1,SUMPRODUCT(--($AK$2:$AK$6001&lt;$AK5576))+1,"")</f>
        <v/>
      </c>
      <c r="AI5576">
        <f>IF($C5576="","",IF(OR($N5576=TRUE(),$N5576="TRUE"),1,0))</f>
        <v/>
      </c>
      <c r="AJ5576">
        <f>IF($C5576="","",IF($T5576="Yes",1,0))</f>
        <v/>
      </c>
      <c r="AK5576">
        <f>IF($AG5576=1,IFERROR(IF(VALUE($C5576)&lt;100000000,VALUE($C5576),1000000000),IFERROR(IF(VALUE(MID($C5576,2,20))&lt;100000000,VALUE(MID($C5576,2,20)),1000000000),1000000000))+ROW()/100000,"")</f>
        <v/>
      </c>
    </row>
    <row r="5577">
      <c r="D5577" s="11" t="n"/>
      <c r="K5577" s="7">
        <f>IF($C5577="","",J5577*W5577/100)</f>
        <v/>
      </c>
      <c r="Q5577" s="7" t="n"/>
      <c r="R5577" s="7" t="n"/>
      <c r="U5577">
        <f>IF($C5577="","",IF($AJ5577=1,0,IF($AI5577=1,Settings!$C$6,Settings!$C$7))*100)</f>
        <v/>
      </c>
      <c r="V5577" s="7">
        <f>IF($C5577="","",R5577*U5577/100)</f>
        <v/>
      </c>
      <c r="W5577" s="7">
        <f>IF($C5577="","",R5577-V5577)</f>
        <v/>
      </c>
      <c r="X5577" s="7">
        <f>IF($C5577="","",W5577-K5577)</f>
        <v/>
      </c>
      <c r="AB5577" s="7" t="n"/>
      <c r="AE5577" s="11" t="n"/>
      <c r="AG5577">
        <f>IF($C5577="","",IF(COUNTIF($C$2:$C5577,$C5577)=1,1,0))</f>
        <v/>
      </c>
      <c r="AH5577">
        <f>IF($AG5577=1,SUMPRODUCT(--($AK$2:$AK$6001&lt;$AK5577))+1,"")</f>
        <v/>
      </c>
      <c r="AI5577">
        <f>IF($C5577="","",IF(OR($N5577=TRUE(),$N5577="TRUE"),1,0))</f>
        <v/>
      </c>
      <c r="AJ5577">
        <f>IF($C5577="","",IF($T5577="Yes",1,0))</f>
        <v/>
      </c>
      <c r="AK5577">
        <f>IF($AG5577=1,IFERROR(IF(VALUE($C5577)&lt;100000000,VALUE($C5577),1000000000),IFERROR(IF(VALUE(MID($C5577,2,20))&lt;100000000,VALUE(MID($C5577,2,20)),1000000000),1000000000))+ROW()/100000,"")</f>
        <v/>
      </c>
    </row>
    <row r="5578">
      <c r="D5578" s="11" t="n"/>
      <c r="K5578" s="7">
        <f>IF($C5578="","",J5578*W5578/100)</f>
        <v/>
      </c>
      <c r="Q5578" s="7" t="n"/>
      <c r="R5578" s="7" t="n"/>
      <c r="U5578">
        <f>IF($C5578="","",IF($AJ5578=1,0,IF($AI5578=1,Settings!$C$6,Settings!$C$7))*100)</f>
        <v/>
      </c>
      <c r="V5578" s="7">
        <f>IF($C5578="","",R5578*U5578/100)</f>
        <v/>
      </c>
      <c r="W5578" s="7">
        <f>IF($C5578="","",R5578-V5578)</f>
        <v/>
      </c>
      <c r="X5578" s="7">
        <f>IF($C5578="","",W5578-K5578)</f>
        <v/>
      </c>
      <c r="AB5578" s="7" t="n"/>
      <c r="AE5578" s="11" t="n"/>
      <c r="AG5578">
        <f>IF($C5578="","",IF(COUNTIF($C$2:$C5578,$C5578)=1,1,0))</f>
        <v/>
      </c>
      <c r="AH5578">
        <f>IF($AG5578=1,SUMPRODUCT(--($AK$2:$AK$6001&lt;$AK5578))+1,"")</f>
        <v/>
      </c>
      <c r="AI5578">
        <f>IF($C5578="","",IF(OR($N5578=TRUE(),$N5578="TRUE"),1,0))</f>
        <v/>
      </c>
      <c r="AJ5578">
        <f>IF($C5578="","",IF($T5578="Yes",1,0))</f>
        <v/>
      </c>
      <c r="AK5578">
        <f>IF($AG5578=1,IFERROR(IF(VALUE($C5578)&lt;100000000,VALUE($C5578),1000000000),IFERROR(IF(VALUE(MID($C5578,2,20))&lt;100000000,VALUE(MID($C5578,2,20)),1000000000),1000000000))+ROW()/100000,"")</f>
        <v/>
      </c>
    </row>
    <row r="5579">
      <c r="D5579" s="11" t="n"/>
      <c r="K5579" s="7">
        <f>IF($C5579="","",J5579*W5579/100)</f>
        <v/>
      </c>
      <c r="Q5579" s="7" t="n"/>
      <c r="R5579" s="7" t="n"/>
      <c r="U5579">
        <f>IF($C5579="","",IF($AJ5579=1,0,IF($AI5579=1,Settings!$C$6,Settings!$C$7))*100)</f>
        <v/>
      </c>
      <c r="V5579" s="7">
        <f>IF($C5579="","",R5579*U5579/100)</f>
        <v/>
      </c>
      <c r="W5579" s="7">
        <f>IF($C5579="","",R5579-V5579)</f>
        <v/>
      </c>
      <c r="X5579" s="7">
        <f>IF($C5579="","",W5579-K5579)</f>
        <v/>
      </c>
      <c r="AB5579" s="7" t="n"/>
      <c r="AE5579" s="11" t="n"/>
      <c r="AG5579">
        <f>IF($C5579="","",IF(COUNTIF($C$2:$C5579,$C5579)=1,1,0))</f>
        <v/>
      </c>
      <c r="AH5579">
        <f>IF($AG5579=1,SUMPRODUCT(--($AK$2:$AK$6001&lt;$AK5579))+1,"")</f>
        <v/>
      </c>
      <c r="AI5579">
        <f>IF($C5579="","",IF(OR($N5579=TRUE(),$N5579="TRUE"),1,0))</f>
        <v/>
      </c>
      <c r="AJ5579">
        <f>IF($C5579="","",IF($T5579="Yes",1,0))</f>
        <v/>
      </c>
      <c r="AK5579">
        <f>IF($AG5579=1,IFERROR(IF(VALUE($C5579)&lt;100000000,VALUE($C5579),1000000000),IFERROR(IF(VALUE(MID($C5579,2,20))&lt;100000000,VALUE(MID($C5579,2,20)),1000000000),1000000000))+ROW()/100000,"")</f>
        <v/>
      </c>
    </row>
    <row r="5580">
      <c r="D5580" s="11" t="n"/>
      <c r="K5580" s="7">
        <f>IF($C5580="","",J5580*W5580/100)</f>
        <v/>
      </c>
      <c r="Q5580" s="7" t="n"/>
      <c r="R5580" s="7" t="n"/>
      <c r="U5580">
        <f>IF($C5580="","",IF($AJ5580=1,0,IF($AI5580=1,Settings!$C$6,Settings!$C$7))*100)</f>
        <v/>
      </c>
      <c r="V5580" s="7">
        <f>IF($C5580="","",R5580*U5580/100)</f>
        <v/>
      </c>
      <c r="W5580" s="7">
        <f>IF($C5580="","",R5580-V5580)</f>
        <v/>
      </c>
      <c r="X5580" s="7">
        <f>IF($C5580="","",W5580-K5580)</f>
        <v/>
      </c>
      <c r="AB5580" s="7" t="n"/>
      <c r="AE5580" s="11" t="n"/>
      <c r="AG5580">
        <f>IF($C5580="","",IF(COUNTIF($C$2:$C5580,$C5580)=1,1,0))</f>
        <v/>
      </c>
      <c r="AH5580">
        <f>IF($AG5580=1,SUMPRODUCT(--($AK$2:$AK$6001&lt;$AK5580))+1,"")</f>
        <v/>
      </c>
      <c r="AI5580">
        <f>IF($C5580="","",IF(OR($N5580=TRUE(),$N5580="TRUE"),1,0))</f>
        <v/>
      </c>
      <c r="AJ5580">
        <f>IF($C5580="","",IF($T5580="Yes",1,0))</f>
        <v/>
      </c>
      <c r="AK5580">
        <f>IF($AG5580=1,IFERROR(IF(VALUE($C5580)&lt;100000000,VALUE($C5580),1000000000),IFERROR(IF(VALUE(MID($C5580,2,20))&lt;100000000,VALUE(MID($C5580,2,20)),1000000000),1000000000))+ROW()/100000,"")</f>
        <v/>
      </c>
    </row>
    <row r="5581">
      <c r="D5581" s="11" t="n"/>
      <c r="K5581" s="7">
        <f>IF($C5581="","",J5581*W5581/100)</f>
        <v/>
      </c>
      <c r="Q5581" s="7" t="n"/>
      <c r="R5581" s="7" t="n"/>
      <c r="U5581">
        <f>IF($C5581="","",IF($AJ5581=1,0,IF($AI5581=1,Settings!$C$6,Settings!$C$7))*100)</f>
        <v/>
      </c>
      <c r="V5581" s="7">
        <f>IF($C5581="","",R5581*U5581/100)</f>
        <v/>
      </c>
      <c r="W5581" s="7">
        <f>IF($C5581="","",R5581-V5581)</f>
        <v/>
      </c>
      <c r="X5581" s="7">
        <f>IF($C5581="","",W5581-K5581)</f>
        <v/>
      </c>
      <c r="AB5581" s="7" t="n"/>
      <c r="AE5581" s="11" t="n"/>
      <c r="AG5581">
        <f>IF($C5581="","",IF(COUNTIF($C$2:$C5581,$C5581)=1,1,0))</f>
        <v/>
      </c>
      <c r="AH5581">
        <f>IF($AG5581=1,SUMPRODUCT(--($AK$2:$AK$6001&lt;$AK5581))+1,"")</f>
        <v/>
      </c>
      <c r="AI5581">
        <f>IF($C5581="","",IF(OR($N5581=TRUE(),$N5581="TRUE"),1,0))</f>
        <v/>
      </c>
      <c r="AJ5581">
        <f>IF($C5581="","",IF($T5581="Yes",1,0))</f>
        <v/>
      </c>
      <c r="AK5581">
        <f>IF($AG5581=1,IFERROR(IF(VALUE($C5581)&lt;100000000,VALUE($C5581),1000000000),IFERROR(IF(VALUE(MID($C5581,2,20))&lt;100000000,VALUE(MID($C5581,2,20)),1000000000),1000000000))+ROW()/100000,"")</f>
        <v/>
      </c>
    </row>
    <row r="5582">
      <c r="D5582" s="11" t="n"/>
      <c r="K5582" s="7">
        <f>IF($C5582="","",J5582*W5582/100)</f>
        <v/>
      </c>
      <c r="Q5582" s="7" t="n"/>
      <c r="R5582" s="7" t="n"/>
      <c r="U5582">
        <f>IF($C5582="","",IF($AJ5582=1,0,IF($AI5582=1,Settings!$C$6,Settings!$C$7))*100)</f>
        <v/>
      </c>
      <c r="V5582" s="7">
        <f>IF($C5582="","",R5582*U5582/100)</f>
        <v/>
      </c>
      <c r="W5582" s="7">
        <f>IF($C5582="","",R5582-V5582)</f>
        <v/>
      </c>
      <c r="X5582" s="7">
        <f>IF($C5582="","",W5582-K5582)</f>
        <v/>
      </c>
      <c r="AB5582" s="7" t="n"/>
      <c r="AE5582" s="11" t="n"/>
      <c r="AG5582">
        <f>IF($C5582="","",IF(COUNTIF($C$2:$C5582,$C5582)=1,1,0))</f>
        <v/>
      </c>
      <c r="AH5582">
        <f>IF($AG5582=1,SUMPRODUCT(--($AK$2:$AK$6001&lt;$AK5582))+1,"")</f>
        <v/>
      </c>
      <c r="AI5582">
        <f>IF($C5582="","",IF(OR($N5582=TRUE(),$N5582="TRUE"),1,0))</f>
        <v/>
      </c>
      <c r="AJ5582">
        <f>IF($C5582="","",IF($T5582="Yes",1,0))</f>
        <v/>
      </c>
      <c r="AK5582">
        <f>IF($AG5582=1,IFERROR(IF(VALUE($C5582)&lt;100000000,VALUE($C5582),1000000000),IFERROR(IF(VALUE(MID($C5582,2,20))&lt;100000000,VALUE(MID($C5582,2,20)),1000000000),1000000000))+ROW()/100000,"")</f>
        <v/>
      </c>
    </row>
    <row r="5583">
      <c r="D5583" s="11" t="n"/>
      <c r="K5583" s="7">
        <f>IF($C5583="","",J5583*W5583/100)</f>
        <v/>
      </c>
      <c r="Q5583" s="7" t="n"/>
      <c r="R5583" s="7" t="n"/>
      <c r="U5583">
        <f>IF($C5583="","",IF($AJ5583=1,0,IF($AI5583=1,Settings!$C$6,Settings!$C$7))*100)</f>
        <v/>
      </c>
      <c r="V5583" s="7">
        <f>IF($C5583="","",R5583*U5583/100)</f>
        <v/>
      </c>
      <c r="W5583" s="7">
        <f>IF($C5583="","",R5583-V5583)</f>
        <v/>
      </c>
      <c r="X5583" s="7">
        <f>IF($C5583="","",W5583-K5583)</f>
        <v/>
      </c>
      <c r="AB5583" s="7" t="n"/>
      <c r="AE5583" s="11" t="n"/>
      <c r="AG5583">
        <f>IF($C5583="","",IF(COUNTIF($C$2:$C5583,$C5583)=1,1,0))</f>
        <v/>
      </c>
      <c r="AH5583">
        <f>IF($AG5583=1,SUMPRODUCT(--($AK$2:$AK$6001&lt;$AK5583))+1,"")</f>
        <v/>
      </c>
      <c r="AI5583">
        <f>IF($C5583="","",IF(OR($N5583=TRUE(),$N5583="TRUE"),1,0))</f>
        <v/>
      </c>
      <c r="AJ5583">
        <f>IF($C5583="","",IF($T5583="Yes",1,0))</f>
        <v/>
      </c>
      <c r="AK5583">
        <f>IF($AG5583=1,IFERROR(IF(VALUE($C5583)&lt;100000000,VALUE($C5583),1000000000),IFERROR(IF(VALUE(MID($C5583,2,20))&lt;100000000,VALUE(MID($C5583,2,20)),1000000000),1000000000))+ROW()/100000,"")</f>
        <v/>
      </c>
    </row>
    <row r="5584">
      <c r="D5584" s="11" t="n"/>
      <c r="K5584" s="7">
        <f>IF($C5584="","",J5584*W5584/100)</f>
        <v/>
      </c>
      <c r="Q5584" s="7" t="n"/>
      <c r="R5584" s="7" t="n"/>
      <c r="U5584">
        <f>IF($C5584="","",IF($AJ5584=1,0,IF($AI5584=1,Settings!$C$6,Settings!$C$7))*100)</f>
        <v/>
      </c>
      <c r="V5584" s="7">
        <f>IF($C5584="","",R5584*U5584/100)</f>
        <v/>
      </c>
      <c r="W5584" s="7">
        <f>IF($C5584="","",R5584-V5584)</f>
        <v/>
      </c>
      <c r="X5584" s="7">
        <f>IF($C5584="","",W5584-K5584)</f>
        <v/>
      </c>
      <c r="AB5584" s="7" t="n"/>
      <c r="AE5584" s="11" t="n"/>
      <c r="AG5584">
        <f>IF($C5584="","",IF(COUNTIF($C$2:$C5584,$C5584)=1,1,0))</f>
        <v/>
      </c>
      <c r="AH5584">
        <f>IF($AG5584=1,SUMPRODUCT(--($AK$2:$AK$6001&lt;$AK5584))+1,"")</f>
        <v/>
      </c>
      <c r="AI5584">
        <f>IF($C5584="","",IF(OR($N5584=TRUE(),$N5584="TRUE"),1,0))</f>
        <v/>
      </c>
      <c r="AJ5584">
        <f>IF($C5584="","",IF($T5584="Yes",1,0))</f>
        <v/>
      </c>
      <c r="AK5584">
        <f>IF($AG5584=1,IFERROR(IF(VALUE($C5584)&lt;100000000,VALUE($C5584),1000000000),IFERROR(IF(VALUE(MID($C5584,2,20))&lt;100000000,VALUE(MID($C5584,2,20)),1000000000),1000000000))+ROW()/100000,"")</f>
        <v/>
      </c>
    </row>
    <row r="5585">
      <c r="D5585" s="11" t="n"/>
      <c r="K5585" s="7">
        <f>IF($C5585="","",J5585*W5585/100)</f>
        <v/>
      </c>
      <c r="Q5585" s="7" t="n"/>
      <c r="R5585" s="7" t="n"/>
      <c r="U5585">
        <f>IF($C5585="","",IF($AJ5585=1,0,IF($AI5585=1,Settings!$C$6,Settings!$C$7))*100)</f>
        <v/>
      </c>
      <c r="V5585" s="7">
        <f>IF($C5585="","",R5585*U5585/100)</f>
        <v/>
      </c>
      <c r="W5585" s="7">
        <f>IF($C5585="","",R5585-V5585)</f>
        <v/>
      </c>
      <c r="X5585" s="7">
        <f>IF($C5585="","",W5585-K5585)</f>
        <v/>
      </c>
      <c r="AB5585" s="7" t="n"/>
      <c r="AE5585" s="11" t="n"/>
      <c r="AG5585">
        <f>IF($C5585="","",IF(COUNTIF($C$2:$C5585,$C5585)=1,1,0))</f>
        <v/>
      </c>
      <c r="AH5585">
        <f>IF($AG5585=1,SUMPRODUCT(--($AK$2:$AK$6001&lt;$AK5585))+1,"")</f>
        <v/>
      </c>
      <c r="AI5585">
        <f>IF($C5585="","",IF(OR($N5585=TRUE(),$N5585="TRUE"),1,0))</f>
        <v/>
      </c>
      <c r="AJ5585">
        <f>IF($C5585="","",IF($T5585="Yes",1,0))</f>
        <v/>
      </c>
      <c r="AK5585">
        <f>IF($AG5585=1,IFERROR(IF(VALUE($C5585)&lt;100000000,VALUE($C5585),1000000000),IFERROR(IF(VALUE(MID($C5585,2,20))&lt;100000000,VALUE(MID($C5585,2,20)),1000000000),1000000000))+ROW()/100000,"")</f>
        <v/>
      </c>
    </row>
    <row r="5586">
      <c r="D5586" s="11" t="n"/>
      <c r="K5586" s="7">
        <f>IF($C5586="","",J5586*W5586/100)</f>
        <v/>
      </c>
      <c r="Q5586" s="7" t="n"/>
      <c r="R5586" s="7" t="n"/>
      <c r="U5586">
        <f>IF($C5586="","",IF($AJ5586=1,0,IF($AI5586=1,Settings!$C$6,Settings!$C$7))*100)</f>
        <v/>
      </c>
      <c r="V5586" s="7">
        <f>IF($C5586="","",R5586*U5586/100)</f>
        <v/>
      </c>
      <c r="W5586" s="7">
        <f>IF($C5586="","",R5586-V5586)</f>
        <v/>
      </c>
      <c r="X5586" s="7">
        <f>IF($C5586="","",W5586-K5586)</f>
        <v/>
      </c>
      <c r="AB5586" s="7" t="n"/>
      <c r="AE5586" s="11" t="n"/>
      <c r="AG5586">
        <f>IF($C5586="","",IF(COUNTIF($C$2:$C5586,$C5586)=1,1,0))</f>
        <v/>
      </c>
      <c r="AH5586">
        <f>IF($AG5586=1,SUMPRODUCT(--($AK$2:$AK$6001&lt;$AK5586))+1,"")</f>
        <v/>
      </c>
      <c r="AI5586">
        <f>IF($C5586="","",IF(OR($N5586=TRUE(),$N5586="TRUE"),1,0))</f>
        <v/>
      </c>
      <c r="AJ5586">
        <f>IF($C5586="","",IF($T5586="Yes",1,0))</f>
        <v/>
      </c>
      <c r="AK5586">
        <f>IF($AG5586=1,IFERROR(IF(VALUE($C5586)&lt;100000000,VALUE($C5586),1000000000),IFERROR(IF(VALUE(MID($C5586,2,20))&lt;100000000,VALUE(MID($C5586,2,20)),1000000000),1000000000))+ROW()/100000,"")</f>
        <v/>
      </c>
    </row>
    <row r="5587">
      <c r="D5587" s="11" t="n"/>
      <c r="K5587" s="7">
        <f>IF($C5587="","",J5587*W5587/100)</f>
        <v/>
      </c>
      <c r="Q5587" s="7" t="n"/>
      <c r="R5587" s="7" t="n"/>
      <c r="U5587">
        <f>IF($C5587="","",IF($AJ5587=1,0,IF($AI5587=1,Settings!$C$6,Settings!$C$7))*100)</f>
        <v/>
      </c>
      <c r="V5587" s="7">
        <f>IF($C5587="","",R5587*U5587/100)</f>
        <v/>
      </c>
      <c r="W5587" s="7">
        <f>IF($C5587="","",R5587-V5587)</f>
        <v/>
      </c>
      <c r="X5587" s="7">
        <f>IF($C5587="","",W5587-K5587)</f>
        <v/>
      </c>
      <c r="AB5587" s="7" t="n"/>
      <c r="AE5587" s="11" t="n"/>
      <c r="AG5587">
        <f>IF($C5587="","",IF(COUNTIF($C$2:$C5587,$C5587)=1,1,0))</f>
        <v/>
      </c>
      <c r="AH5587">
        <f>IF($AG5587=1,SUMPRODUCT(--($AK$2:$AK$6001&lt;$AK5587))+1,"")</f>
        <v/>
      </c>
      <c r="AI5587">
        <f>IF($C5587="","",IF(OR($N5587=TRUE(),$N5587="TRUE"),1,0))</f>
        <v/>
      </c>
      <c r="AJ5587">
        <f>IF($C5587="","",IF($T5587="Yes",1,0))</f>
        <v/>
      </c>
      <c r="AK5587">
        <f>IF($AG5587=1,IFERROR(IF(VALUE($C5587)&lt;100000000,VALUE($C5587),1000000000),IFERROR(IF(VALUE(MID($C5587,2,20))&lt;100000000,VALUE(MID($C5587,2,20)),1000000000),1000000000))+ROW()/100000,"")</f>
        <v/>
      </c>
    </row>
    <row r="5588">
      <c r="D5588" s="11" t="n"/>
      <c r="K5588" s="7">
        <f>IF($C5588="","",J5588*W5588/100)</f>
        <v/>
      </c>
      <c r="Q5588" s="7" t="n"/>
      <c r="R5588" s="7" t="n"/>
      <c r="U5588">
        <f>IF($C5588="","",IF($AJ5588=1,0,IF($AI5588=1,Settings!$C$6,Settings!$C$7))*100)</f>
        <v/>
      </c>
      <c r="V5588" s="7">
        <f>IF($C5588="","",R5588*U5588/100)</f>
        <v/>
      </c>
      <c r="W5588" s="7">
        <f>IF($C5588="","",R5588-V5588)</f>
        <v/>
      </c>
      <c r="X5588" s="7">
        <f>IF($C5588="","",W5588-K5588)</f>
        <v/>
      </c>
      <c r="AB5588" s="7" t="n"/>
      <c r="AE5588" s="11" t="n"/>
      <c r="AG5588">
        <f>IF($C5588="","",IF(COUNTIF($C$2:$C5588,$C5588)=1,1,0))</f>
        <v/>
      </c>
      <c r="AH5588">
        <f>IF($AG5588=1,SUMPRODUCT(--($AK$2:$AK$6001&lt;$AK5588))+1,"")</f>
        <v/>
      </c>
      <c r="AI5588">
        <f>IF($C5588="","",IF(OR($N5588=TRUE(),$N5588="TRUE"),1,0))</f>
        <v/>
      </c>
      <c r="AJ5588">
        <f>IF($C5588="","",IF($T5588="Yes",1,0))</f>
        <v/>
      </c>
      <c r="AK5588">
        <f>IF($AG5588=1,IFERROR(IF(VALUE($C5588)&lt;100000000,VALUE($C5588),1000000000),IFERROR(IF(VALUE(MID($C5588,2,20))&lt;100000000,VALUE(MID($C5588,2,20)),1000000000),1000000000))+ROW()/100000,"")</f>
        <v/>
      </c>
    </row>
    <row r="5589">
      <c r="D5589" s="11" t="n"/>
      <c r="K5589" s="7">
        <f>IF($C5589="","",J5589*W5589/100)</f>
        <v/>
      </c>
      <c r="Q5589" s="7" t="n"/>
      <c r="R5589" s="7" t="n"/>
      <c r="U5589">
        <f>IF($C5589="","",IF($AJ5589=1,0,IF($AI5589=1,Settings!$C$6,Settings!$C$7))*100)</f>
        <v/>
      </c>
      <c r="V5589" s="7">
        <f>IF($C5589="","",R5589*U5589/100)</f>
        <v/>
      </c>
      <c r="W5589" s="7">
        <f>IF($C5589="","",R5589-V5589)</f>
        <v/>
      </c>
      <c r="X5589" s="7">
        <f>IF($C5589="","",W5589-K5589)</f>
        <v/>
      </c>
      <c r="AB5589" s="7" t="n"/>
      <c r="AE5589" s="11" t="n"/>
      <c r="AG5589">
        <f>IF($C5589="","",IF(COUNTIF($C$2:$C5589,$C5589)=1,1,0))</f>
        <v/>
      </c>
      <c r="AH5589">
        <f>IF($AG5589=1,SUMPRODUCT(--($AK$2:$AK$6001&lt;$AK5589))+1,"")</f>
        <v/>
      </c>
      <c r="AI5589">
        <f>IF($C5589="","",IF(OR($N5589=TRUE(),$N5589="TRUE"),1,0))</f>
        <v/>
      </c>
      <c r="AJ5589">
        <f>IF($C5589="","",IF($T5589="Yes",1,0))</f>
        <v/>
      </c>
      <c r="AK5589">
        <f>IF($AG5589=1,IFERROR(IF(VALUE($C5589)&lt;100000000,VALUE($C5589),1000000000),IFERROR(IF(VALUE(MID($C5589,2,20))&lt;100000000,VALUE(MID($C5589,2,20)),1000000000),1000000000))+ROW()/100000,"")</f>
        <v/>
      </c>
    </row>
    <row r="5590">
      <c r="D5590" s="11" t="n"/>
      <c r="K5590" s="7">
        <f>IF($C5590="","",J5590*W5590/100)</f>
        <v/>
      </c>
      <c r="Q5590" s="7" t="n"/>
      <c r="R5590" s="7" t="n"/>
      <c r="U5590">
        <f>IF($C5590="","",IF($AJ5590=1,0,IF($AI5590=1,Settings!$C$6,Settings!$C$7))*100)</f>
        <v/>
      </c>
      <c r="V5590" s="7">
        <f>IF($C5590="","",R5590*U5590/100)</f>
        <v/>
      </c>
      <c r="W5590" s="7">
        <f>IF($C5590="","",R5590-V5590)</f>
        <v/>
      </c>
      <c r="X5590" s="7">
        <f>IF($C5590="","",W5590-K5590)</f>
        <v/>
      </c>
      <c r="AB5590" s="7" t="n"/>
      <c r="AE5590" s="11" t="n"/>
      <c r="AG5590">
        <f>IF($C5590="","",IF(COUNTIF($C$2:$C5590,$C5590)=1,1,0))</f>
        <v/>
      </c>
      <c r="AH5590">
        <f>IF($AG5590=1,SUMPRODUCT(--($AK$2:$AK$6001&lt;$AK5590))+1,"")</f>
        <v/>
      </c>
      <c r="AI5590">
        <f>IF($C5590="","",IF(OR($N5590=TRUE(),$N5590="TRUE"),1,0))</f>
        <v/>
      </c>
      <c r="AJ5590">
        <f>IF($C5590="","",IF($T5590="Yes",1,0))</f>
        <v/>
      </c>
      <c r="AK5590">
        <f>IF($AG5590=1,IFERROR(IF(VALUE($C5590)&lt;100000000,VALUE($C5590),1000000000),IFERROR(IF(VALUE(MID($C5590,2,20))&lt;100000000,VALUE(MID($C5590,2,20)),1000000000),1000000000))+ROW()/100000,"")</f>
        <v/>
      </c>
    </row>
    <row r="5591">
      <c r="D5591" s="11" t="n"/>
      <c r="K5591" s="7">
        <f>IF($C5591="","",J5591*W5591/100)</f>
        <v/>
      </c>
      <c r="Q5591" s="7" t="n"/>
      <c r="R5591" s="7" t="n"/>
      <c r="U5591">
        <f>IF($C5591="","",IF($AJ5591=1,0,IF($AI5591=1,Settings!$C$6,Settings!$C$7))*100)</f>
        <v/>
      </c>
      <c r="V5591" s="7">
        <f>IF($C5591="","",R5591*U5591/100)</f>
        <v/>
      </c>
      <c r="W5591" s="7">
        <f>IF($C5591="","",R5591-V5591)</f>
        <v/>
      </c>
      <c r="X5591" s="7">
        <f>IF($C5591="","",W5591-K5591)</f>
        <v/>
      </c>
      <c r="AB5591" s="7" t="n"/>
      <c r="AE5591" s="11" t="n"/>
      <c r="AG5591">
        <f>IF($C5591="","",IF(COUNTIF($C$2:$C5591,$C5591)=1,1,0))</f>
        <v/>
      </c>
      <c r="AH5591">
        <f>IF($AG5591=1,SUMPRODUCT(--($AK$2:$AK$6001&lt;$AK5591))+1,"")</f>
        <v/>
      </c>
      <c r="AI5591">
        <f>IF($C5591="","",IF(OR($N5591=TRUE(),$N5591="TRUE"),1,0))</f>
        <v/>
      </c>
      <c r="AJ5591">
        <f>IF($C5591="","",IF($T5591="Yes",1,0))</f>
        <v/>
      </c>
      <c r="AK5591">
        <f>IF($AG5591=1,IFERROR(IF(VALUE($C5591)&lt;100000000,VALUE($C5591),1000000000),IFERROR(IF(VALUE(MID($C5591,2,20))&lt;100000000,VALUE(MID($C5591,2,20)),1000000000),1000000000))+ROW()/100000,"")</f>
        <v/>
      </c>
    </row>
    <row r="5592">
      <c r="D5592" s="11" t="n"/>
      <c r="K5592" s="7">
        <f>IF($C5592="","",J5592*W5592/100)</f>
        <v/>
      </c>
      <c r="Q5592" s="7" t="n"/>
      <c r="R5592" s="7" t="n"/>
      <c r="U5592">
        <f>IF($C5592="","",IF($AJ5592=1,0,IF($AI5592=1,Settings!$C$6,Settings!$C$7))*100)</f>
        <v/>
      </c>
      <c r="V5592" s="7">
        <f>IF($C5592="","",R5592*U5592/100)</f>
        <v/>
      </c>
      <c r="W5592" s="7">
        <f>IF($C5592="","",R5592-V5592)</f>
        <v/>
      </c>
      <c r="X5592" s="7">
        <f>IF($C5592="","",W5592-K5592)</f>
        <v/>
      </c>
      <c r="AB5592" s="7" t="n"/>
      <c r="AE5592" s="11" t="n"/>
      <c r="AG5592">
        <f>IF($C5592="","",IF(COUNTIF($C$2:$C5592,$C5592)=1,1,0))</f>
        <v/>
      </c>
      <c r="AH5592">
        <f>IF($AG5592=1,SUMPRODUCT(--($AK$2:$AK$6001&lt;$AK5592))+1,"")</f>
        <v/>
      </c>
      <c r="AI5592">
        <f>IF($C5592="","",IF(OR($N5592=TRUE(),$N5592="TRUE"),1,0))</f>
        <v/>
      </c>
      <c r="AJ5592">
        <f>IF($C5592="","",IF($T5592="Yes",1,0))</f>
        <v/>
      </c>
      <c r="AK5592">
        <f>IF($AG5592=1,IFERROR(IF(VALUE($C5592)&lt;100000000,VALUE($C5592),1000000000),IFERROR(IF(VALUE(MID($C5592,2,20))&lt;100000000,VALUE(MID($C5592,2,20)),1000000000),1000000000))+ROW()/100000,"")</f>
        <v/>
      </c>
    </row>
    <row r="5593">
      <c r="D5593" s="11" t="n"/>
      <c r="K5593" s="7">
        <f>IF($C5593="","",J5593*W5593/100)</f>
        <v/>
      </c>
      <c r="Q5593" s="7" t="n"/>
      <c r="R5593" s="7" t="n"/>
      <c r="U5593">
        <f>IF($C5593="","",IF($AJ5593=1,0,IF($AI5593=1,Settings!$C$6,Settings!$C$7))*100)</f>
        <v/>
      </c>
      <c r="V5593" s="7">
        <f>IF($C5593="","",R5593*U5593/100)</f>
        <v/>
      </c>
      <c r="W5593" s="7">
        <f>IF($C5593="","",R5593-V5593)</f>
        <v/>
      </c>
      <c r="X5593" s="7">
        <f>IF($C5593="","",W5593-K5593)</f>
        <v/>
      </c>
      <c r="AB5593" s="7" t="n"/>
      <c r="AE5593" s="11" t="n"/>
      <c r="AG5593">
        <f>IF($C5593="","",IF(COUNTIF($C$2:$C5593,$C5593)=1,1,0))</f>
        <v/>
      </c>
      <c r="AH5593">
        <f>IF($AG5593=1,SUMPRODUCT(--($AK$2:$AK$6001&lt;$AK5593))+1,"")</f>
        <v/>
      </c>
      <c r="AI5593">
        <f>IF($C5593="","",IF(OR($N5593=TRUE(),$N5593="TRUE"),1,0))</f>
        <v/>
      </c>
      <c r="AJ5593">
        <f>IF($C5593="","",IF($T5593="Yes",1,0))</f>
        <v/>
      </c>
      <c r="AK5593">
        <f>IF($AG5593=1,IFERROR(IF(VALUE($C5593)&lt;100000000,VALUE($C5593),1000000000),IFERROR(IF(VALUE(MID($C5593,2,20))&lt;100000000,VALUE(MID($C5593,2,20)),1000000000),1000000000))+ROW()/100000,"")</f>
        <v/>
      </c>
    </row>
    <row r="5594">
      <c r="D5594" s="11" t="n"/>
      <c r="K5594" s="7">
        <f>IF($C5594="","",J5594*W5594/100)</f>
        <v/>
      </c>
      <c r="Q5594" s="7" t="n"/>
      <c r="R5594" s="7" t="n"/>
      <c r="U5594">
        <f>IF($C5594="","",IF($AJ5594=1,0,IF($AI5594=1,Settings!$C$6,Settings!$C$7))*100)</f>
        <v/>
      </c>
      <c r="V5594" s="7">
        <f>IF($C5594="","",R5594*U5594/100)</f>
        <v/>
      </c>
      <c r="W5594" s="7">
        <f>IF($C5594="","",R5594-V5594)</f>
        <v/>
      </c>
      <c r="X5594" s="7">
        <f>IF($C5594="","",W5594-K5594)</f>
        <v/>
      </c>
      <c r="AB5594" s="7" t="n"/>
      <c r="AE5594" s="11" t="n"/>
      <c r="AG5594">
        <f>IF($C5594="","",IF(COUNTIF($C$2:$C5594,$C5594)=1,1,0))</f>
        <v/>
      </c>
      <c r="AH5594">
        <f>IF($AG5594=1,SUMPRODUCT(--($AK$2:$AK$6001&lt;$AK5594))+1,"")</f>
        <v/>
      </c>
      <c r="AI5594">
        <f>IF($C5594="","",IF(OR($N5594=TRUE(),$N5594="TRUE"),1,0))</f>
        <v/>
      </c>
      <c r="AJ5594">
        <f>IF($C5594="","",IF($T5594="Yes",1,0))</f>
        <v/>
      </c>
      <c r="AK5594">
        <f>IF($AG5594=1,IFERROR(IF(VALUE($C5594)&lt;100000000,VALUE($C5594),1000000000),IFERROR(IF(VALUE(MID($C5594,2,20))&lt;100000000,VALUE(MID($C5594,2,20)),1000000000),1000000000))+ROW()/100000,"")</f>
        <v/>
      </c>
    </row>
    <row r="5595">
      <c r="D5595" s="11" t="n"/>
      <c r="K5595" s="7">
        <f>IF($C5595="","",J5595*W5595/100)</f>
        <v/>
      </c>
      <c r="Q5595" s="7" t="n"/>
      <c r="R5595" s="7" t="n"/>
      <c r="U5595">
        <f>IF($C5595="","",IF($AJ5595=1,0,IF($AI5595=1,Settings!$C$6,Settings!$C$7))*100)</f>
        <v/>
      </c>
      <c r="V5595" s="7">
        <f>IF($C5595="","",R5595*U5595/100)</f>
        <v/>
      </c>
      <c r="W5595" s="7">
        <f>IF($C5595="","",R5595-V5595)</f>
        <v/>
      </c>
      <c r="X5595" s="7">
        <f>IF($C5595="","",W5595-K5595)</f>
        <v/>
      </c>
      <c r="AB5595" s="7" t="n"/>
      <c r="AE5595" s="11" t="n"/>
      <c r="AG5595">
        <f>IF($C5595="","",IF(COUNTIF($C$2:$C5595,$C5595)=1,1,0))</f>
        <v/>
      </c>
      <c r="AH5595">
        <f>IF($AG5595=1,SUMPRODUCT(--($AK$2:$AK$6001&lt;$AK5595))+1,"")</f>
        <v/>
      </c>
      <c r="AI5595">
        <f>IF($C5595="","",IF(OR($N5595=TRUE(),$N5595="TRUE"),1,0))</f>
        <v/>
      </c>
      <c r="AJ5595">
        <f>IF($C5595="","",IF($T5595="Yes",1,0))</f>
        <v/>
      </c>
      <c r="AK5595">
        <f>IF($AG5595=1,IFERROR(IF(VALUE($C5595)&lt;100000000,VALUE($C5595),1000000000),IFERROR(IF(VALUE(MID($C5595,2,20))&lt;100000000,VALUE(MID($C5595,2,20)),1000000000),1000000000))+ROW()/100000,"")</f>
        <v/>
      </c>
    </row>
    <row r="5596">
      <c r="D5596" s="11" t="n"/>
      <c r="K5596" s="7">
        <f>IF($C5596="","",J5596*W5596/100)</f>
        <v/>
      </c>
      <c r="Q5596" s="7" t="n"/>
      <c r="R5596" s="7" t="n"/>
      <c r="U5596">
        <f>IF($C5596="","",IF($AJ5596=1,0,IF($AI5596=1,Settings!$C$6,Settings!$C$7))*100)</f>
        <v/>
      </c>
      <c r="V5596" s="7">
        <f>IF($C5596="","",R5596*U5596/100)</f>
        <v/>
      </c>
      <c r="W5596" s="7">
        <f>IF($C5596="","",R5596-V5596)</f>
        <v/>
      </c>
      <c r="X5596" s="7">
        <f>IF($C5596="","",W5596-K5596)</f>
        <v/>
      </c>
      <c r="AB5596" s="7" t="n"/>
      <c r="AE5596" s="11" t="n"/>
      <c r="AG5596">
        <f>IF($C5596="","",IF(COUNTIF($C$2:$C5596,$C5596)=1,1,0))</f>
        <v/>
      </c>
      <c r="AH5596">
        <f>IF($AG5596=1,SUMPRODUCT(--($AK$2:$AK$6001&lt;$AK5596))+1,"")</f>
        <v/>
      </c>
      <c r="AI5596">
        <f>IF($C5596="","",IF(OR($N5596=TRUE(),$N5596="TRUE"),1,0))</f>
        <v/>
      </c>
      <c r="AJ5596">
        <f>IF($C5596="","",IF($T5596="Yes",1,0))</f>
        <v/>
      </c>
      <c r="AK5596">
        <f>IF($AG5596=1,IFERROR(IF(VALUE($C5596)&lt;100000000,VALUE($C5596),1000000000),IFERROR(IF(VALUE(MID($C5596,2,20))&lt;100000000,VALUE(MID($C5596,2,20)),1000000000),1000000000))+ROW()/100000,"")</f>
        <v/>
      </c>
    </row>
    <row r="5597">
      <c r="D5597" s="11" t="n"/>
      <c r="K5597" s="7">
        <f>IF($C5597="","",J5597*W5597/100)</f>
        <v/>
      </c>
      <c r="Q5597" s="7" t="n"/>
      <c r="R5597" s="7" t="n"/>
      <c r="U5597">
        <f>IF($C5597="","",IF($AJ5597=1,0,IF($AI5597=1,Settings!$C$6,Settings!$C$7))*100)</f>
        <v/>
      </c>
      <c r="V5597" s="7">
        <f>IF($C5597="","",R5597*U5597/100)</f>
        <v/>
      </c>
      <c r="W5597" s="7">
        <f>IF($C5597="","",R5597-V5597)</f>
        <v/>
      </c>
      <c r="X5597" s="7">
        <f>IF($C5597="","",W5597-K5597)</f>
        <v/>
      </c>
      <c r="AB5597" s="7" t="n"/>
      <c r="AE5597" s="11" t="n"/>
      <c r="AG5597">
        <f>IF($C5597="","",IF(COUNTIF($C$2:$C5597,$C5597)=1,1,0))</f>
        <v/>
      </c>
      <c r="AH5597">
        <f>IF($AG5597=1,SUMPRODUCT(--($AK$2:$AK$6001&lt;$AK5597))+1,"")</f>
        <v/>
      </c>
      <c r="AI5597">
        <f>IF($C5597="","",IF(OR($N5597=TRUE(),$N5597="TRUE"),1,0))</f>
        <v/>
      </c>
      <c r="AJ5597">
        <f>IF($C5597="","",IF($T5597="Yes",1,0))</f>
        <v/>
      </c>
      <c r="AK5597">
        <f>IF($AG5597=1,IFERROR(IF(VALUE($C5597)&lt;100000000,VALUE($C5597),1000000000),IFERROR(IF(VALUE(MID($C5597,2,20))&lt;100000000,VALUE(MID($C5597,2,20)),1000000000),1000000000))+ROW()/100000,"")</f>
        <v/>
      </c>
    </row>
    <row r="5598">
      <c r="D5598" s="11" t="n"/>
      <c r="K5598" s="7">
        <f>IF($C5598="","",J5598*W5598/100)</f>
        <v/>
      </c>
      <c r="Q5598" s="7" t="n"/>
      <c r="R5598" s="7" t="n"/>
      <c r="U5598">
        <f>IF($C5598="","",IF($AJ5598=1,0,IF($AI5598=1,Settings!$C$6,Settings!$C$7))*100)</f>
        <v/>
      </c>
      <c r="V5598" s="7">
        <f>IF($C5598="","",R5598*U5598/100)</f>
        <v/>
      </c>
      <c r="W5598" s="7">
        <f>IF($C5598="","",R5598-V5598)</f>
        <v/>
      </c>
      <c r="X5598" s="7">
        <f>IF($C5598="","",W5598-K5598)</f>
        <v/>
      </c>
      <c r="AB5598" s="7" t="n"/>
      <c r="AE5598" s="11" t="n"/>
      <c r="AG5598">
        <f>IF($C5598="","",IF(COUNTIF($C$2:$C5598,$C5598)=1,1,0))</f>
        <v/>
      </c>
      <c r="AH5598">
        <f>IF($AG5598=1,SUMPRODUCT(--($AK$2:$AK$6001&lt;$AK5598))+1,"")</f>
        <v/>
      </c>
      <c r="AI5598">
        <f>IF($C5598="","",IF(OR($N5598=TRUE(),$N5598="TRUE"),1,0))</f>
        <v/>
      </c>
      <c r="AJ5598">
        <f>IF($C5598="","",IF($T5598="Yes",1,0))</f>
        <v/>
      </c>
      <c r="AK5598">
        <f>IF($AG5598=1,IFERROR(IF(VALUE($C5598)&lt;100000000,VALUE($C5598),1000000000),IFERROR(IF(VALUE(MID($C5598,2,20))&lt;100000000,VALUE(MID($C5598,2,20)),1000000000),1000000000))+ROW()/100000,"")</f>
        <v/>
      </c>
    </row>
    <row r="5599">
      <c r="D5599" s="11" t="n"/>
      <c r="K5599" s="7">
        <f>IF($C5599="","",J5599*W5599/100)</f>
        <v/>
      </c>
      <c r="Q5599" s="7" t="n"/>
      <c r="R5599" s="7" t="n"/>
      <c r="U5599">
        <f>IF($C5599="","",IF($AJ5599=1,0,IF($AI5599=1,Settings!$C$6,Settings!$C$7))*100)</f>
        <v/>
      </c>
      <c r="V5599" s="7">
        <f>IF($C5599="","",R5599*U5599/100)</f>
        <v/>
      </c>
      <c r="W5599" s="7">
        <f>IF($C5599="","",R5599-V5599)</f>
        <v/>
      </c>
      <c r="X5599" s="7">
        <f>IF($C5599="","",W5599-K5599)</f>
        <v/>
      </c>
      <c r="AB5599" s="7" t="n"/>
      <c r="AE5599" s="11" t="n"/>
      <c r="AG5599">
        <f>IF($C5599="","",IF(COUNTIF($C$2:$C5599,$C5599)=1,1,0))</f>
        <v/>
      </c>
      <c r="AH5599">
        <f>IF($AG5599=1,SUMPRODUCT(--($AK$2:$AK$6001&lt;$AK5599))+1,"")</f>
        <v/>
      </c>
      <c r="AI5599">
        <f>IF($C5599="","",IF(OR($N5599=TRUE(),$N5599="TRUE"),1,0))</f>
        <v/>
      </c>
      <c r="AJ5599">
        <f>IF($C5599="","",IF($T5599="Yes",1,0))</f>
        <v/>
      </c>
      <c r="AK5599">
        <f>IF($AG5599=1,IFERROR(IF(VALUE($C5599)&lt;100000000,VALUE($C5599),1000000000),IFERROR(IF(VALUE(MID($C5599,2,20))&lt;100000000,VALUE(MID($C5599,2,20)),1000000000),1000000000))+ROW()/100000,"")</f>
        <v/>
      </c>
    </row>
    <row r="5600">
      <c r="D5600" s="11" t="n"/>
      <c r="K5600" s="7">
        <f>IF($C5600="","",J5600*W5600/100)</f>
        <v/>
      </c>
      <c r="Q5600" s="7" t="n"/>
      <c r="R5600" s="7" t="n"/>
      <c r="U5600">
        <f>IF($C5600="","",IF($AJ5600=1,0,IF($AI5600=1,Settings!$C$6,Settings!$C$7))*100)</f>
        <v/>
      </c>
      <c r="V5600" s="7">
        <f>IF($C5600="","",R5600*U5600/100)</f>
        <v/>
      </c>
      <c r="W5600" s="7">
        <f>IF($C5600="","",R5600-V5600)</f>
        <v/>
      </c>
      <c r="X5600" s="7">
        <f>IF($C5600="","",W5600-K5600)</f>
        <v/>
      </c>
      <c r="AB5600" s="7" t="n"/>
      <c r="AE5600" s="11" t="n"/>
      <c r="AG5600">
        <f>IF($C5600="","",IF(COUNTIF($C$2:$C5600,$C5600)=1,1,0))</f>
        <v/>
      </c>
      <c r="AH5600">
        <f>IF($AG5600=1,SUMPRODUCT(--($AK$2:$AK$6001&lt;$AK5600))+1,"")</f>
        <v/>
      </c>
      <c r="AI5600">
        <f>IF($C5600="","",IF(OR($N5600=TRUE(),$N5600="TRUE"),1,0))</f>
        <v/>
      </c>
      <c r="AJ5600">
        <f>IF($C5600="","",IF($T5600="Yes",1,0))</f>
        <v/>
      </c>
      <c r="AK5600">
        <f>IF($AG5600=1,IFERROR(IF(VALUE($C5600)&lt;100000000,VALUE($C5600),1000000000),IFERROR(IF(VALUE(MID($C5600,2,20))&lt;100000000,VALUE(MID($C5600,2,20)),1000000000),1000000000))+ROW()/100000,"")</f>
        <v/>
      </c>
    </row>
    <row r="5601">
      <c r="D5601" s="11" t="n"/>
      <c r="K5601" s="7">
        <f>IF($C5601="","",J5601*W5601/100)</f>
        <v/>
      </c>
      <c r="Q5601" s="7" t="n"/>
      <c r="R5601" s="7" t="n"/>
      <c r="U5601">
        <f>IF($C5601="","",IF($AJ5601=1,0,IF($AI5601=1,Settings!$C$6,Settings!$C$7))*100)</f>
        <v/>
      </c>
      <c r="V5601" s="7">
        <f>IF($C5601="","",R5601*U5601/100)</f>
        <v/>
      </c>
      <c r="W5601" s="7">
        <f>IF($C5601="","",R5601-V5601)</f>
        <v/>
      </c>
      <c r="X5601" s="7">
        <f>IF($C5601="","",W5601-K5601)</f>
        <v/>
      </c>
      <c r="AB5601" s="7" t="n"/>
      <c r="AE5601" s="11" t="n"/>
      <c r="AG5601">
        <f>IF($C5601="","",IF(COUNTIF($C$2:$C5601,$C5601)=1,1,0))</f>
        <v/>
      </c>
      <c r="AH5601">
        <f>IF($AG5601=1,SUMPRODUCT(--($AK$2:$AK$6001&lt;$AK5601))+1,"")</f>
        <v/>
      </c>
      <c r="AI5601">
        <f>IF($C5601="","",IF(OR($N5601=TRUE(),$N5601="TRUE"),1,0))</f>
        <v/>
      </c>
      <c r="AJ5601">
        <f>IF($C5601="","",IF($T5601="Yes",1,0))</f>
        <v/>
      </c>
      <c r="AK5601">
        <f>IF($AG5601=1,IFERROR(IF(VALUE($C5601)&lt;100000000,VALUE($C5601),1000000000),IFERROR(IF(VALUE(MID($C5601,2,20))&lt;100000000,VALUE(MID($C5601,2,20)),1000000000),1000000000))+ROW()/100000,"")</f>
        <v/>
      </c>
    </row>
    <row r="5602">
      <c r="D5602" s="11" t="n"/>
      <c r="K5602" s="7">
        <f>IF($C5602="","",J5602*W5602/100)</f>
        <v/>
      </c>
      <c r="Q5602" s="7" t="n"/>
      <c r="R5602" s="7" t="n"/>
      <c r="U5602">
        <f>IF($C5602="","",IF($AJ5602=1,0,IF($AI5602=1,Settings!$C$6,Settings!$C$7))*100)</f>
        <v/>
      </c>
      <c r="V5602" s="7">
        <f>IF($C5602="","",R5602*U5602/100)</f>
        <v/>
      </c>
      <c r="W5602" s="7">
        <f>IF($C5602="","",R5602-V5602)</f>
        <v/>
      </c>
      <c r="X5602" s="7">
        <f>IF($C5602="","",W5602-K5602)</f>
        <v/>
      </c>
      <c r="AB5602" s="7" t="n"/>
      <c r="AE5602" s="11" t="n"/>
      <c r="AG5602">
        <f>IF($C5602="","",IF(COUNTIF($C$2:$C5602,$C5602)=1,1,0))</f>
        <v/>
      </c>
      <c r="AH5602">
        <f>IF($AG5602=1,SUMPRODUCT(--($AK$2:$AK$6001&lt;$AK5602))+1,"")</f>
        <v/>
      </c>
      <c r="AI5602">
        <f>IF($C5602="","",IF(OR($N5602=TRUE(),$N5602="TRUE"),1,0))</f>
        <v/>
      </c>
      <c r="AJ5602">
        <f>IF($C5602="","",IF($T5602="Yes",1,0))</f>
        <v/>
      </c>
      <c r="AK5602">
        <f>IF($AG5602=1,IFERROR(IF(VALUE($C5602)&lt;100000000,VALUE($C5602),1000000000),IFERROR(IF(VALUE(MID($C5602,2,20))&lt;100000000,VALUE(MID($C5602,2,20)),1000000000),1000000000))+ROW()/100000,"")</f>
        <v/>
      </c>
    </row>
    <row r="5603">
      <c r="D5603" s="11" t="n"/>
      <c r="K5603" s="7">
        <f>IF($C5603="","",J5603*W5603/100)</f>
        <v/>
      </c>
      <c r="Q5603" s="7" t="n"/>
      <c r="R5603" s="7" t="n"/>
      <c r="U5603">
        <f>IF($C5603="","",IF($AJ5603=1,0,IF($AI5603=1,Settings!$C$6,Settings!$C$7))*100)</f>
        <v/>
      </c>
      <c r="V5603" s="7">
        <f>IF($C5603="","",R5603*U5603/100)</f>
        <v/>
      </c>
      <c r="W5603" s="7">
        <f>IF($C5603="","",R5603-V5603)</f>
        <v/>
      </c>
      <c r="X5603" s="7">
        <f>IF($C5603="","",W5603-K5603)</f>
        <v/>
      </c>
      <c r="AB5603" s="7" t="n"/>
      <c r="AE5603" s="11" t="n"/>
      <c r="AG5603">
        <f>IF($C5603="","",IF(COUNTIF($C$2:$C5603,$C5603)=1,1,0))</f>
        <v/>
      </c>
      <c r="AH5603">
        <f>IF($AG5603=1,SUMPRODUCT(--($AK$2:$AK$6001&lt;$AK5603))+1,"")</f>
        <v/>
      </c>
      <c r="AI5603">
        <f>IF($C5603="","",IF(OR($N5603=TRUE(),$N5603="TRUE"),1,0))</f>
        <v/>
      </c>
      <c r="AJ5603">
        <f>IF($C5603="","",IF($T5603="Yes",1,0))</f>
        <v/>
      </c>
      <c r="AK5603">
        <f>IF($AG5603=1,IFERROR(IF(VALUE($C5603)&lt;100000000,VALUE($C5603),1000000000),IFERROR(IF(VALUE(MID($C5603,2,20))&lt;100000000,VALUE(MID($C5603,2,20)),1000000000),1000000000))+ROW()/100000,"")</f>
        <v/>
      </c>
    </row>
    <row r="5604">
      <c r="D5604" s="11" t="n"/>
      <c r="K5604" s="7">
        <f>IF($C5604="","",J5604*W5604/100)</f>
        <v/>
      </c>
      <c r="Q5604" s="7" t="n"/>
      <c r="R5604" s="7" t="n"/>
      <c r="U5604">
        <f>IF($C5604="","",IF($AJ5604=1,0,IF($AI5604=1,Settings!$C$6,Settings!$C$7))*100)</f>
        <v/>
      </c>
      <c r="V5604" s="7">
        <f>IF($C5604="","",R5604*U5604/100)</f>
        <v/>
      </c>
      <c r="W5604" s="7">
        <f>IF($C5604="","",R5604-V5604)</f>
        <v/>
      </c>
      <c r="X5604" s="7">
        <f>IF($C5604="","",W5604-K5604)</f>
        <v/>
      </c>
      <c r="AB5604" s="7" t="n"/>
      <c r="AE5604" s="11" t="n"/>
      <c r="AG5604">
        <f>IF($C5604="","",IF(COUNTIF($C$2:$C5604,$C5604)=1,1,0))</f>
        <v/>
      </c>
      <c r="AH5604">
        <f>IF($AG5604=1,SUMPRODUCT(--($AK$2:$AK$6001&lt;$AK5604))+1,"")</f>
        <v/>
      </c>
      <c r="AI5604">
        <f>IF($C5604="","",IF(OR($N5604=TRUE(),$N5604="TRUE"),1,0))</f>
        <v/>
      </c>
      <c r="AJ5604">
        <f>IF($C5604="","",IF($T5604="Yes",1,0))</f>
        <v/>
      </c>
      <c r="AK5604">
        <f>IF($AG5604=1,IFERROR(IF(VALUE($C5604)&lt;100000000,VALUE($C5604),1000000000),IFERROR(IF(VALUE(MID($C5604,2,20))&lt;100000000,VALUE(MID($C5604,2,20)),1000000000),1000000000))+ROW()/100000,"")</f>
        <v/>
      </c>
    </row>
    <row r="5605">
      <c r="D5605" s="11" t="n"/>
      <c r="K5605" s="7">
        <f>IF($C5605="","",J5605*W5605/100)</f>
        <v/>
      </c>
      <c r="Q5605" s="7" t="n"/>
      <c r="R5605" s="7" t="n"/>
      <c r="U5605">
        <f>IF($C5605="","",IF($AJ5605=1,0,IF($AI5605=1,Settings!$C$6,Settings!$C$7))*100)</f>
        <v/>
      </c>
      <c r="V5605" s="7">
        <f>IF($C5605="","",R5605*U5605/100)</f>
        <v/>
      </c>
      <c r="W5605" s="7">
        <f>IF($C5605="","",R5605-V5605)</f>
        <v/>
      </c>
      <c r="X5605" s="7">
        <f>IF($C5605="","",W5605-K5605)</f>
        <v/>
      </c>
      <c r="AB5605" s="7" t="n"/>
      <c r="AE5605" s="11" t="n"/>
      <c r="AG5605">
        <f>IF($C5605="","",IF(COUNTIF($C$2:$C5605,$C5605)=1,1,0))</f>
        <v/>
      </c>
      <c r="AH5605">
        <f>IF($AG5605=1,SUMPRODUCT(--($AK$2:$AK$6001&lt;$AK5605))+1,"")</f>
        <v/>
      </c>
      <c r="AI5605">
        <f>IF($C5605="","",IF(OR($N5605=TRUE(),$N5605="TRUE"),1,0))</f>
        <v/>
      </c>
      <c r="AJ5605">
        <f>IF($C5605="","",IF($T5605="Yes",1,0))</f>
        <v/>
      </c>
      <c r="AK5605">
        <f>IF($AG5605=1,IFERROR(IF(VALUE($C5605)&lt;100000000,VALUE($C5605),1000000000),IFERROR(IF(VALUE(MID($C5605,2,20))&lt;100000000,VALUE(MID($C5605,2,20)),1000000000),1000000000))+ROW()/100000,"")</f>
        <v/>
      </c>
    </row>
    <row r="5606">
      <c r="D5606" s="11" t="n"/>
      <c r="K5606" s="7">
        <f>IF($C5606="","",J5606*W5606/100)</f>
        <v/>
      </c>
      <c r="Q5606" s="7" t="n"/>
      <c r="R5606" s="7" t="n"/>
      <c r="U5606">
        <f>IF($C5606="","",IF($AJ5606=1,0,IF($AI5606=1,Settings!$C$6,Settings!$C$7))*100)</f>
        <v/>
      </c>
      <c r="V5606" s="7">
        <f>IF($C5606="","",R5606*U5606/100)</f>
        <v/>
      </c>
      <c r="W5606" s="7">
        <f>IF($C5606="","",R5606-V5606)</f>
        <v/>
      </c>
      <c r="X5606" s="7">
        <f>IF($C5606="","",W5606-K5606)</f>
        <v/>
      </c>
      <c r="AB5606" s="7" t="n"/>
      <c r="AE5606" s="11" t="n"/>
      <c r="AG5606">
        <f>IF($C5606="","",IF(COUNTIF($C$2:$C5606,$C5606)=1,1,0))</f>
        <v/>
      </c>
      <c r="AH5606">
        <f>IF($AG5606=1,SUMPRODUCT(--($AK$2:$AK$6001&lt;$AK5606))+1,"")</f>
        <v/>
      </c>
      <c r="AI5606">
        <f>IF($C5606="","",IF(OR($N5606=TRUE(),$N5606="TRUE"),1,0))</f>
        <v/>
      </c>
      <c r="AJ5606">
        <f>IF($C5606="","",IF($T5606="Yes",1,0))</f>
        <v/>
      </c>
      <c r="AK5606">
        <f>IF($AG5606=1,IFERROR(IF(VALUE($C5606)&lt;100000000,VALUE($C5606),1000000000),IFERROR(IF(VALUE(MID($C5606,2,20))&lt;100000000,VALUE(MID($C5606,2,20)),1000000000),1000000000))+ROW()/100000,"")</f>
        <v/>
      </c>
    </row>
    <row r="5607">
      <c r="D5607" s="11" t="n"/>
      <c r="K5607" s="7">
        <f>IF($C5607="","",J5607*W5607/100)</f>
        <v/>
      </c>
      <c r="Q5607" s="7" t="n"/>
      <c r="R5607" s="7" t="n"/>
      <c r="U5607">
        <f>IF($C5607="","",IF($AJ5607=1,0,IF($AI5607=1,Settings!$C$6,Settings!$C$7))*100)</f>
        <v/>
      </c>
      <c r="V5607" s="7">
        <f>IF($C5607="","",R5607*U5607/100)</f>
        <v/>
      </c>
      <c r="W5607" s="7">
        <f>IF($C5607="","",R5607-V5607)</f>
        <v/>
      </c>
      <c r="X5607" s="7">
        <f>IF($C5607="","",W5607-K5607)</f>
        <v/>
      </c>
      <c r="AB5607" s="7" t="n"/>
      <c r="AE5607" s="11" t="n"/>
      <c r="AG5607">
        <f>IF($C5607="","",IF(COUNTIF($C$2:$C5607,$C5607)=1,1,0))</f>
        <v/>
      </c>
      <c r="AH5607">
        <f>IF($AG5607=1,SUMPRODUCT(--($AK$2:$AK$6001&lt;$AK5607))+1,"")</f>
        <v/>
      </c>
      <c r="AI5607">
        <f>IF($C5607="","",IF(OR($N5607=TRUE(),$N5607="TRUE"),1,0))</f>
        <v/>
      </c>
      <c r="AJ5607">
        <f>IF($C5607="","",IF($T5607="Yes",1,0))</f>
        <v/>
      </c>
      <c r="AK5607">
        <f>IF($AG5607=1,IFERROR(IF(VALUE($C5607)&lt;100000000,VALUE($C5607),1000000000),IFERROR(IF(VALUE(MID($C5607,2,20))&lt;100000000,VALUE(MID($C5607,2,20)),1000000000),1000000000))+ROW()/100000,"")</f>
        <v/>
      </c>
    </row>
    <row r="5608">
      <c r="D5608" s="11" t="n"/>
      <c r="K5608" s="7">
        <f>IF($C5608="","",J5608*W5608/100)</f>
        <v/>
      </c>
      <c r="Q5608" s="7" t="n"/>
      <c r="R5608" s="7" t="n"/>
      <c r="U5608">
        <f>IF($C5608="","",IF($AJ5608=1,0,IF($AI5608=1,Settings!$C$6,Settings!$C$7))*100)</f>
        <v/>
      </c>
      <c r="V5608" s="7">
        <f>IF($C5608="","",R5608*U5608/100)</f>
        <v/>
      </c>
      <c r="W5608" s="7">
        <f>IF($C5608="","",R5608-V5608)</f>
        <v/>
      </c>
      <c r="X5608" s="7">
        <f>IF($C5608="","",W5608-K5608)</f>
        <v/>
      </c>
      <c r="AB5608" s="7" t="n"/>
      <c r="AE5608" s="11" t="n"/>
      <c r="AG5608">
        <f>IF($C5608="","",IF(COUNTIF($C$2:$C5608,$C5608)=1,1,0))</f>
        <v/>
      </c>
      <c r="AH5608">
        <f>IF($AG5608=1,SUMPRODUCT(--($AK$2:$AK$6001&lt;$AK5608))+1,"")</f>
        <v/>
      </c>
      <c r="AI5608">
        <f>IF($C5608="","",IF(OR($N5608=TRUE(),$N5608="TRUE"),1,0))</f>
        <v/>
      </c>
      <c r="AJ5608">
        <f>IF($C5608="","",IF($T5608="Yes",1,0))</f>
        <v/>
      </c>
      <c r="AK5608">
        <f>IF($AG5608=1,IFERROR(IF(VALUE($C5608)&lt;100000000,VALUE($C5608),1000000000),IFERROR(IF(VALUE(MID($C5608,2,20))&lt;100000000,VALUE(MID($C5608,2,20)),1000000000),1000000000))+ROW()/100000,"")</f>
        <v/>
      </c>
    </row>
    <row r="5609">
      <c r="D5609" s="11" t="n"/>
      <c r="K5609" s="7">
        <f>IF($C5609="","",J5609*W5609/100)</f>
        <v/>
      </c>
      <c r="Q5609" s="7" t="n"/>
      <c r="R5609" s="7" t="n"/>
      <c r="U5609">
        <f>IF($C5609="","",IF($AJ5609=1,0,IF($AI5609=1,Settings!$C$6,Settings!$C$7))*100)</f>
        <v/>
      </c>
      <c r="V5609" s="7">
        <f>IF($C5609="","",R5609*U5609/100)</f>
        <v/>
      </c>
      <c r="W5609" s="7">
        <f>IF($C5609="","",R5609-V5609)</f>
        <v/>
      </c>
      <c r="X5609" s="7">
        <f>IF($C5609="","",W5609-K5609)</f>
        <v/>
      </c>
      <c r="AB5609" s="7" t="n"/>
      <c r="AE5609" s="11" t="n"/>
      <c r="AG5609">
        <f>IF($C5609="","",IF(COUNTIF($C$2:$C5609,$C5609)=1,1,0))</f>
        <v/>
      </c>
      <c r="AH5609">
        <f>IF($AG5609=1,SUMPRODUCT(--($AK$2:$AK$6001&lt;$AK5609))+1,"")</f>
        <v/>
      </c>
      <c r="AI5609">
        <f>IF($C5609="","",IF(OR($N5609=TRUE(),$N5609="TRUE"),1,0))</f>
        <v/>
      </c>
      <c r="AJ5609">
        <f>IF($C5609="","",IF($T5609="Yes",1,0))</f>
        <v/>
      </c>
      <c r="AK5609">
        <f>IF($AG5609=1,IFERROR(IF(VALUE($C5609)&lt;100000000,VALUE($C5609),1000000000),IFERROR(IF(VALUE(MID($C5609,2,20))&lt;100000000,VALUE(MID($C5609,2,20)),1000000000),1000000000))+ROW()/100000,"")</f>
        <v/>
      </c>
    </row>
    <row r="5610">
      <c r="D5610" s="11" t="n"/>
      <c r="K5610" s="7">
        <f>IF($C5610="","",J5610*W5610/100)</f>
        <v/>
      </c>
      <c r="Q5610" s="7" t="n"/>
      <c r="R5610" s="7" t="n"/>
      <c r="U5610">
        <f>IF($C5610="","",IF($AJ5610=1,0,IF($AI5610=1,Settings!$C$6,Settings!$C$7))*100)</f>
        <v/>
      </c>
      <c r="V5610" s="7">
        <f>IF($C5610="","",R5610*U5610/100)</f>
        <v/>
      </c>
      <c r="W5610" s="7">
        <f>IF($C5610="","",R5610-V5610)</f>
        <v/>
      </c>
      <c r="X5610" s="7">
        <f>IF($C5610="","",W5610-K5610)</f>
        <v/>
      </c>
      <c r="AB5610" s="7" t="n"/>
      <c r="AE5610" s="11" t="n"/>
      <c r="AG5610">
        <f>IF($C5610="","",IF(COUNTIF($C$2:$C5610,$C5610)=1,1,0))</f>
        <v/>
      </c>
      <c r="AH5610">
        <f>IF($AG5610=1,SUMPRODUCT(--($AK$2:$AK$6001&lt;$AK5610))+1,"")</f>
        <v/>
      </c>
      <c r="AI5610">
        <f>IF($C5610="","",IF(OR($N5610=TRUE(),$N5610="TRUE"),1,0))</f>
        <v/>
      </c>
      <c r="AJ5610">
        <f>IF($C5610="","",IF($T5610="Yes",1,0))</f>
        <v/>
      </c>
      <c r="AK5610">
        <f>IF($AG5610=1,IFERROR(IF(VALUE($C5610)&lt;100000000,VALUE($C5610),1000000000),IFERROR(IF(VALUE(MID($C5610,2,20))&lt;100000000,VALUE(MID($C5610,2,20)),1000000000),1000000000))+ROW()/100000,"")</f>
        <v/>
      </c>
    </row>
    <row r="5611">
      <c r="D5611" s="11" t="n"/>
      <c r="K5611" s="7">
        <f>IF($C5611="","",J5611*W5611/100)</f>
        <v/>
      </c>
      <c r="Q5611" s="7" t="n"/>
      <c r="R5611" s="7" t="n"/>
      <c r="U5611">
        <f>IF($C5611="","",IF($AJ5611=1,0,IF($AI5611=1,Settings!$C$6,Settings!$C$7))*100)</f>
        <v/>
      </c>
      <c r="V5611" s="7">
        <f>IF($C5611="","",R5611*U5611/100)</f>
        <v/>
      </c>
      <c r="W5611" s="7">
        <f>IF($C5611="","",R5611-V5611)</f>
        <v/>
      </c>
      <c r="X5611" s="7">
        <f>IF($C5611="","",W5611-K5611)</f>
        <v/>
      </c>
      <c r="AB5611" s="7" t="n"/>
      <c r="AE5611" s="11" t="n"/>
      <c r="AG5611">
        <f>IF($C5611="","",IF(COUNTIF($C$2:$C5611,$C5611)=1,1,0))</f>
        <v/>
      </c>
      <c r="AH5611">
        <f>IF($AG5611=1,SUMPRODUCT(--($AK$2:$AK$6001&lt;$AK5611))+1,"")</f>
        <v/>
      </c>
      <c r="AI5611">
        <f>IF($C5611="","",IF(OR($N5611=TRUE(),$N5611="TRUE"),1,0))</f>
        <v/>
      </c>
      <c r="AJ5611">
        <f>IF($C5611="","",IF($T5611="Yes",1,0))</f>
        <v/>
      </c>
      <c r="AK5611">
        <f>IF($AG5611=1,IFERROR(IF(VALUE($C5611)&lt;100000000,VALUE($C5611),1000000000),IFERROR(IF(VALUE(MID($C5611,2,20))&lt;100000000,VALUE(MID($C5611,2,20)),1000000000),1000000000))+ROW()/100000,"")</f>
        <v/>
      </c>
    </row>
    <row r="5612">
      <c r="D5612" s="11" t="n"/>
      <c r="K5612" s="7">
        <f>IF($C5612="","",J5612*W5612/100)</f>
        <v/>
      </c>
      <c r="Q5612" s="7" t="n"/>
      <c r="R5612" s="7" t="n"/>
      <c r="U5612">
        <f>IF($C5612="","",IF($AJ5612=1,0,IF($AI5612=1,Settings!$C$6,Settings!$C$7))*100)</f>
        <v/>
      </c>
      <c r="V5612" s="7">
        <f>IF($C5612="","",R5612*U5612/100)</f>
        <v/>
      </c>
      <c r="W5612" s="7">
        <f>IF($C5612="","",R5612-V5612)</f>
        <v/>
      </c>
      <c r="X5612" s="7">
        <f>IF($C5612="","",W5612-K5612)</f>
        <v/>
      </c>
      <c r="AB5612" s="7" t="n"/>
      <c r="AE5612" s="11" t="n"/>
      <c r="AG5612">
        <f>IF($C5612="","",IF(COUNTIF($C$2:$C5612,$C5612)=1,1,0))</f>
        <v/>
      </c>
      <c r="AH5612">
        <f>IF($AG5612=1,SUMPRODUCT(--($AK$2:$AK$6001&lt;$AK5612))+1,"")</f>
        <v/>
      </c>
      <c r="AI5612">
        <f>IF($C5612="","",IF(OR($N5612=TRUE(),$N5612="TRUE"),1,0))</f>
        <v/>
      </c>
      <c r="AJ5612">
        <f>IF($C5612="","",IF($T5612="Yes",1,0))</f>
        <v/>
      </c>
      <c r="AK5612">
        <f>IF($AG5612=1,IFERROR(IF(VALUE($C5612)&lt;100000000,VALUE($C5612),1000000000),IFERROR(IF(VALUE(MID($C5612,2,20))&lt;100000000,VALUE(MID($C5612,2,20)),1000000000),1000000000))+ROW()/100000,"")</f>
        <v/>
      </c>
    </row>
    <row r="5613">
      <c r="D5613" s="11" t="n"/>
      <c r="K5613" s="7">
        <f>IF($C5613="","",J5613*W5613/100)</f>
        <v/>
      </c>
      <c r="Q5613" s="7" t="n"/>
      <c r="R5613" s="7" t="n"/>
      <c r="U5613">
        <f>IF($C5613="","",IF($AJ5613=1,0,IF($AI5613=1,Settings!$C$6,Settings!$C$7))*100)</f>
        <v/>
      </c>
      <c r="V5613" s="7">
        <f>IF($C5613="","",R5613*U5613/100)</f>
        <v/>
      </c>
      <c r="W5613" s="7">
        <f>IF($C5613="","",R5613-V5613)</f>
        <v/>
      </c>
      <c r="X5613" s="7">
        <f>IF($C5613="","",W5613-K5613)</f>
        <v/>
      </c>
      <c r="AB5613" s="7" t="n"/>
      <c r="AE5613" s="11" t="n"/>
      <c r="AG5613">
        <f>IF($C5613="","",IF(COUNTIF($C$2:$C5613,$C5613)=1,1,0))</f>
        <v/>
      </c>
      <c r="AH5613">
        <f>IF($AG5613=1,SUMPRODUCT(--($AK$2:$AK$6001&lt;$AK5613))+1,"")</f>
        <v/>
      </c>
      <c r="AI5613">
        <f>IF($C5613="","",IF(OR($N5613=TRUE(),$N5613="TRUE"),1,0))</f>
        <v/>
      </c>
      <c r="AJ5613">
        <f>IF($C5613="","",IF($T5613="Yes",1,0))</f>
        <v/>
      </c>
      <c r="AK5613">
        <f>IF($AG5613=1,IFERROR(IF(VALUE($C5613)&lt;100000000,VALUE($C5613),1000000000),IFERROR(IF(VALUE(MID($C5613,2,20))&lt;100000000,VALUE(MID($C5613,2,20)),1000000000),1000000000))+ROW()/100000,"")</f>
        <v/>
      </c>
    </row>
    <row r="5614">
      <c r="D5614" s="11" t="n"/>
      <c r="K5614" s="7">
        <f>IF($C5614="","",J5614*W5614/100)</f>
        <v/>
      </c>
      <c r="Q5614" s="7" t="n"/>
      <c r="R5614" s="7" t="n"/>
      <c r="U5614">
        <f>IF($C5614="","",IF($AJ5614=1,0,IF($AI5614=1,Settings!$C$6,Settings!$C$7))*100)</f>
        <v/>
      </c>
      <c r="V5614" s="7">
        <f>IF($C5614="","",R5614*U5614/100)</f>
        <v/>
      </c>
      <c r="W5614" s="7">
        <f>IF($C5614="","",R5614-V5614)</f>
        <v/>
      </c>
      <c r="X5614" s="7">
        <f>IF($C5614="","",W5614-K5614)</f>
        <v/>
      </c>
      <c r="AB5614" s="7" t="n"/>
      <c r="AE5614" s="11" t="n"/>
      <c r="AG5614">
        <f>IF($C5614="","",IF(COUNTIF($C$2:$C5614,$C5614)=1,1,0))</f>
        <v/>
      </c>
      <c r="AH5614">
        <f>IF($AG5614=1,SUMPRODUCT(--($AK$2:$AK$6001&lt;$AK5614))+1,"")</f>
        <v/>
      </c>
      <c r="AI5614">
        <f>IF($C5614="","",IF(OR($N5614=TRUE(),$N5614="TRUE"),1,0))</f>
        <v/>
      </c>
      <c r="AJ5614">
        <f>IF($C5614="","",IF($T5614="Yes",1,0))</f>
        <v/>
      </c>
      <c r="AK5614">
        <f>IF($AG5614=1,IFERROR(IF(VALUE($C5614)&lt;100000000,VALUE($C5614),1000000000),IFERROR(IF(VALUE(MID($C5614,2,20))&lt;100000000,VALUE(MID($C5614,2,20)),1000000000),1000000000))+ROW()/100000,"")</f>
        <v/>
      </c>
    </row>
    <row r="5615">
      <c r="D5615" s="11" t="n"/>
      <c r="K5615" s="7">
        <f>IF($C5615="","",J5615*W5615/100)</f>
        <v/>
      </c>
      <c r="Q5615" s="7" t="n"/>
      <c r="R5615" s="7" t="n"/>
      <c r="U5615">
        <f>IF($C5615="","",IF($AJ5615=1,0,IF($AI5615=1,Settings!$C$6,Settings!$C$7))*100)</f>
        <v/>
      </c>
      <c r="V5615" s="7">
        <f>IF($C5615="","",R5615*U5615/100)</f>
        <v/>
      </c>
      <c r="W5615" s="7">
        <f>IF($C5615="","",R5615-V5615)</f>
        <v/>
      </c>
      <c r="X5615" s="7">
        <f>IF($C5615="","",W5615-K5615)</f>
        <v/>
      </c>
      <c r="AB5615" s="7" t="n"/>
      <c r="AE5615" s="11" t="n"/>
      <c r="AG5615">
        <f>IF($C5615="","",IF(COUNTIF($C$2:$C5615,$C5615)=1,1,0))</f>
        <v/>
      </c>
      <c r="AH5615">
        <f>IF($AG5615=1,SUMPRODUCT(--($AK$2:$AK$6001&lt;$AK5615))+1,"")</f>
        <v/>
      </c>
      <c r="AI5615">
        <f>IF($C5615="","",IF(OR($N5615=TRUE(),$N5615="TRUE"),1,0))</f>
        <v/>
      </c>
      <c r="AJ5615">
        <f>IF($C5615="","",IF($T5615="Yes",1,0))</f>
        <v/>
      </c>
      <c r="AK5615">
        <f>IF($AG5615=1,IFERROR(IF(VALUE($C5615)&lt;100000000,VALUE($C5615),1000000000),IFERROR(IF(VALUE(MID($C5615,2,20))&lt;100000000,VALUE(MID($C5615,2,20)),1000000000),1000000000))+ROW()/100000,"")</f>
        <v/>
      </c>
    </row>
    <row r="5616">
      <c r="D5616" s="11" t="n"/>
      <c r="K5616" s="7">
        <f>IF($C5616="","",J5616*W5616/100)</f>
        <v/>
      </c>
      <c r="Q5616" s="7" t="n"/>
      <c r="R5616" s="7" t="n"/>
      <c r="U5616">
        <f>IF($C5616="","",IF($AJ5616=1,0,IF($AI5616=1,Settings!$C$6,Settings!$C$7))*100)</f>
        <v/>
      </c>
      <c r="V5616" s="7">
        <f>IF($C5616="","",R5616*U5616/100)</f>
        <v/>
      </c>
      <c r="W5616" s="7">
        <f>IF($C5616="","",R5616-V5616)</f>
        <v/>
      </c>
      <c r="X5616" s="7">
        <f>IF($C5616="","",W5616-K5616)</f>
        <v/>
      </c>
      <c r="AB5616" s="7" t="n"/>
      <c r="AE5616" s="11" t="n"/>
      <c r="AG5616">
        <f>IF($C5616="","",IF(COUNTIF($C$2:$C5616,$C5616)=1,1,0))</f>
        <v/>
      </c>
      <c r="AH5616">
        <f>IF($AG5616=1,SUMPRODUCT(--($AK$2:$AK$6001&lt;$AK5616))+1,"")</f>
        <v/>
      </c>
      <c r="AI5616">
        <f>IF($C5616="","",IF(OR($N5616=TRUE(),$N5616="TRUE"),1,0))</f>
        <v/>
      </c>
      <c r="AJ5616">
        <f>IF($C5616="","",IF($T5616="Yes",1,0))</f>
        <v/>
      </c>
      <c r="AK5616">
        <f>IF($AG5616=1,IFERROR(IF(VALUE($C5616)&lt;100000000,VALUE($C5616),1000000000),IFERROR(IF(VALUE(MID($C5616,2,20))&lt;100000000,VALUE(MID($C5616,2,20)),1000000000),1000000000))+ROW()/100000,"")</f>
        <v/>
      </c>
    </row>
    <row r="5617">
      <c r="D5617" s="11" t="n"/>
      <c r="K5617" s="7">
        <f>IF($C5617="","",J5617*W5617/100)</f>
        <v/>
      </c>
      <c r="Q5617" s="7" t="n"/>
      <c r="R5617" s="7" t="n"/>
      <c r="U5617">
        <f>IF($C5617="","",IF($AJ5617=1,0,IF($AI5617=1,Settings!$C$6,Settings!$C$7))*100)</f>
        <v/>
      </c>
      <c r="V5617" s="7">
        <f>IF($C5617="","",R5617*U5617/100)</f>
        <v/>
      </c>
      <c r="W5617" s="7">
        <f>IF($C5617="","",R5617-V5617)</f>
        <v/>
      </c>
      <c r="X5617" s="7">
        <f>IF($C5617="","",W5617-K5617)</f>
        <v/>
      </c>
      <c r="AB5617" s="7" t="n"/>
      <c r="AE5617" s="11" t="n"/>
      <c r="AG5617">
        <f>IF($C5617="","",IF(COUNTIF($C$2:$C5617,$C5617)=1,1,0))</f>
        <v/>
      </c>
      <c r="AH5617">
        <f>IF($AG5617=1,SUMPRODUCT(--($AK$2:$AK$6001&lt;$AK5617))+1,"")</f>
        <v/>
      </c>
      <c r="AI5617">
        <f>IF($C5617="","",IF(OR($N5617=TRUE(),$N5617="TRUE"),1,0))</f>
        <v/>
      </c>
      <c r="AJ5617">
        <f>IF($C5617="","",IF($T5617="Yes",1,0))</f>
        <v/>
      </c>
      <c r="AK5617">
        <f>IF($AG5617=1,IFERROR(IF(VALUE($C5617)&lt;100000000,VALUE($C5617),1000000000),IFERROR(IF(VALUE(MID($C5617,2,20))&lt;100000000,VALUE(MID($C5617,2,20)),1000000000),1000000000))+ROW()/100000,"")</f>
        <v/>
      </c>
    </row>
    <row r="5618">
      <c r="D5618" s="11" t="n"/>
      <c r="K5618" s="7">
        <f>IF($C5618="","",J5618*W5618/100)</f>
        <v/>
      </c>
      <c r="Q5618" s="7" t="n"/>
      <c r="R5618" s="7" t="n"/>
      <c r="U5618">
        <f>IF($C5618="","",IF($AJ5618=1,0,IF($AI5618=1,Settings!$C$6,Settings!$C$7))*100)</f>
        <v/>
      </c>
      <c r="V5618" s="7">
        <f>IF($C5618="","",R5618*U5618/100)</f>
        <v/>
      </c>
      <c r="W5618" s="7">
        <f>IF($C5618="","",R5618-V5618)</f>
        <v/>
      </c>
      <c r="X5618" s="7">
        <f>IF($C5618="","",W5618-K5618)</f>
        <v/>
      </c>
      <c r="AB5618" s="7" t="n"/>
      <c r="AE5618" s="11" t="n"/>
      <c r="AG5618">
        <f>IF($C5618="","",IF(COUNTIF($C$2:$C5618,$C5618)=1,1,0))</f>
        <v/>
      </c>
      <c r="AH5618">
        <f>IF($AG5618=1,SUMPRODUCT(--($AK$2:$AK$6001&lt;$AK5618))+1,"")</f>
        <v/>
      </c>
      <c r="AI5618">
        <f>IF($C5618="","",IF(OR($N5618=TRUE(),$N5618="TRUE"),1,0))</f>
        <v/>
      </c>
      <c r="AJ5618">
        <f>IF($C5618="","",IF($T5618="Yes",1,0))</f>
        <v/>
      </c>
      <c r="AK5618">
        <f>IF($AG5618=1,IFERROR(IF(VALUE($C5618)&lt;100000000,VALUE($C5618),1000000000),IFERROR(IF(VALUE(MID($C5618,2,20))&lt;100000000,VALUE(MID($C5618,2,20)),1000000000),1000000000))+ROW()/100000,"")</f>
        <v/>
      </c>
    </row>
    <row r="5619">
      <c r="D5619" s="11" t="n"/>
      <c r="K5619" s="7">
        <f>IF($C5619="","",J5619*W5619/100)</f>
        <v/>
      </c>
      <c r="Q5619" s="7" t="n"/>
      <c r="R5619" s="7" t="n"/>
      <c r="U5619">
        <f>IF($C5619="","",IF($AJ5619=1,0,IF($AI5619=1,Settings!$C$6,Settings!$C$7))*100)</f>
        <v/>
      </c>
      <c r="V5619" s="7">
        <f>IF($C5619="","",R5619*U5619/100)</f>
        <v/>
      </c>
      <c r="W5619" s="7">
        <f>IF($C5619="","",R5619-V5619)</f>
        <v/>
      </c>
      <c r="X5619" s="7">
        <f>IF($C5619="","",W5619-K5619)</f>
        <v/>
      </c>
      <c r="AB5619" s="7" t="n"/>
      <c r="AE5619" s="11" t="n"/>
      <c r="AG5619">
        <f>IF($C5619="","",IF(COUNTIF($C$2:$C5619,$C5619)=1,1,0))</f>
        <v/>
      </c>
      <c r="AH5619">
        <f>IF($AG5619=1,SUMPRODUCT(--($AK$2:$AK$6001&lt;$AK5619))+1,"")</f>
        <v/>
      </c>
      <c r="AI5619">
        <f>IF($C5619="","",IF(OR($N5619=TRUE(),$N5619="TRUE"),1,0))</f>
        <v/>
      </c>
      <c r="AJ5619">
        <f>IF($C5619="","",IF($T5619="Yes",1,0))</f>
        <v/>
      </c>
      <c r="AK5619">
        <f>IF($AG5619=1,IFERROR(IF(VALUE($C5619)&lt;100000000,VALUE($C5619),1000000000),IFERROR(IF(VALUE(MID($C5619,2,20))&lt;100000000,VALUE(MID($C5619,2,20)),1000000000),1000000000))+ROW()/100000,"")</f>
        <v/>
      </c>
    </row>
    <row r="5620">
      <c r="D5620" s="11" t="n"/>
      <c r="K5620" s="7">
        <f>IF($C5620="","",J5620*W5620/100)</f>
        <v/>
      </c>
      <c r="Q5620" s="7" t="n"/>
      <c r="R5620" s="7" t="n"/>
      <c r="U5620">
        <f>IF($C5620="","",IF($AJ5620=1,0,IF($AI5620=1,Settings!$C$6,Settings!$C$7))*100)</f>
        <v/>
      </c>
      <c r="V5620" s="7">
        <f>IF($C5620="","",R5620*U5620/100)</f>
        <v/>
      </c>
      <c r="W5620" s="7">
        <f>IF($C5620="","",R5620-V5620)</f>
        <v/>
      </c>
      <c r="X5620" s="7">
        <f>IF($C5620="","",W5620-K5620)</f>
        <v/>
      </c>
      <c r="AB5620" s="7" t="n"/>
      <c r="AE5620" s="11" t="n"/>
      <c r="AG5620">
        <f>IF($C5620="","",IF(COUNTIF($C$2:$C5620,$C5620)=1,1,0))</f>
        <v/>
      </c>
      <c r="AH5620">
        <f>IF($AG5620=1,SUMPRODUCT(--($AK$2:$AK$6001&lt;$AK5620))+1,"")</f>
        <v/>
      </c>
      <c r="AI5620">
        <f>IF($C5620="","",IF(OR($N5620=TRUE(),$N5620="TRUE"),1,0))</f>
        <v/>
      </c>
      <c r="AJ5620">
        <f>IF($C5620="","",IF($T5620="Yes",1,0))</f>
        <v/>
      </c>
      <c r="AK5620">
        <f>IF($AG5620=1,IFERROR(IF(VALUE($C5620)&lt;100000000,VALUE($C5620),1000000000),IFERROR(IF(VALUE(MID($C5620,2,20))&lt;100000000,VALUE(MID($C5620,2,20)),1000000000),1000000000))+ROW()/100000,"")</f>
        <v/>
      </c>
    </row>
    <row r="5621">
      <c r="D5621" s="11" t="n"/>
      <c r="K5621" s="7">
        <f>IF($C5621="","",J5621*W5621/100)</f>
        <v/>
      </c>
      <c r="Q5621" s="7" t="n"/>
      <c r="R5621" s="7" t="n"/>
      <c r="U5621">
        <f>IF($C5621="","",IF($AJ5621=1,0,IF($AI5621=1,Settings!$C$6,Settings!$C$7))*100)</f>
        <v/>
      </c>
      <c r="V5621" s="7">
        <f>IF($C5621="","",R5621*U5621/100)</f>
        <v/>
      </c>
      <c r="W5621" s="7">
        <f>IF($C5621="","",R5621-V5621)</f>
        <v/>
      </c>
      <c r="X5621" s="7">
        <f>IF($C5621="","",W5621-K5621)</f>
        <v/>
      </c>
      <c r="AB5621" s="7" t="n"/>
      <c r="AE5621" s="11" t="n"/>
      <c r="AG5621">
        <f>IF($C5621="","",IF(COUNTIF($C$2:$C5621,$C5621)=1,1,0))</f>
        <v/>
      </c>
      <c r="AH5621">
        <f>IF($AG5621=1,SUMPRODUCT(--($AK$2:$AK$6001&lt;$AK5621))+1,"")</f>
        <v/>
      </c>
      <c r="AI5621">
        <f>IF($C5621="","",IF(OR($N5621=TRUE(),$N5621="TRUE"),1,0))</f>
        <v/>
      </c>
      <c r="AJ5621">
        <f>IF($C5621="","",IF($T5621="Yes",1,0))</f>
        <v/>
      </c>
      <c r="AK5621">
        <f>IF($AG5621=1,IFERROR(IF(VALUE($C5621)&lt;100000000,VALUE($C5621),1000000000),IFERROR(IF(VALUE(MID($C5621,2,20))&lt;100000000,VALUE(MID($C5621,2,20)),1000000000),1000000000))+ROW()/100000,"")</f>
        <v/>
      </c>
    </row>
    <row r="5622">
      <c r="D5622" s="11" t="n"/>
      <c r="K5622" s="7">
        <f>IF($C5622="","",J5622*W5622/100)</f>
        <v/>
      </c>
      <c r="Q5622" s="7" t="n"/>
      <c r="R5622" s="7" t="n"/>
      <c r="U5622">
        <f>IF($C5622="","",IF($AJ5622=1,0,IF($AI5622=1,Settings!$C$6,Settings!$C$7))*100)</f>
        <v/>
      </c>
      <c r="V5622" s="7">
        <f>IF($C5622="","",R5622*U5622/100)</f>
        <v/>
      </c>
      <c r="W5622" s="7">
        <f>IF($C5622="","",R5622-V5622)</f>
        <v/>
      </c>
      <c r="X5622" s="7">
        <f>IF($C5622="","",W5622-K5622)</f>
        <v/>
      </c>
      <c r="AB5622" s="7" t="n"/>
      <c r="AE5622" s="11" t="n"/>
      <c r="AG5622">
        <f>IF($C5622="","",IF(COUNTIF($C$2:$C5622,$C5622)=1,1,0))</f>
        <v/>
      </c>
      <c r="AH5622">
        <f>IF($AG5622=1,SUMPRODUCT(--($AK$2:$AK$6001&lt;$AK5622))+1,"")</f>
        <v/>
      </c>
      <c r="AI5622">
        <f>IF($C5622="","",IF(OR($N5622=TRUE(),$N5622="TRUE"),1,0))</f>
        <v/>
      </c>
      <c r="AJ5622">
        <f>IF($C5622="","",IF($T5622="Yes",1,0))</f>
        <v/>
      </c>
      <c r="AK5622">
        <f>IF($AG5622=1,IFERROR(IF(VALUE($C5622)&lt;100000000,VALUE($C5622),1000000000),IFERROR(IF(VALUE(MID($C5622,2,20))&lt;100000000,VALUE(MID($C5622,2,20)),1000000000),1000000000))+ROW()/100000,"")</f>
        <v/>
      </c>
    </row>
    <row r="5623">
      <c r="D5623" s="11" t="n"/>
      <c r="K5623" s="7">
        <f>IF($C5623="","",J5623*W5623/100)</f>
        <v/>
      </c>
      <c r="Q5623" s="7" t="n"/>
      <c r="R5623" s="7" t="n"/>
      <c r="U5623">
        <f>IF($C5623="","",IF($AJ5623=1,0,IF($AI5623=1,Settings!$C$6,Settings!$C$7))*100)</f>
        <v/>
      </c>
      <c r="V5623" s="7">
        <f>IF($C5623="","",R5623*U5623/100)</f>
        <v/>
      </c>
      <c r="W5623" s="7">
        <f>IF($C5623="","",R5623-V5623)</f>
        <v/>
      </c>
      <c r="X5623" s="7">
        <f>IF($C5623="","",W5623-K5623)</f>
        <v/>
      </c>
      <c r="AB5623" s="7" t="n"/>
      <c r="AE5623" s="11" t="n"/>
      <c r="AG5623">
        <f>IF($C5623="","",IF(COUNTIF($C$2:$C5623,$C5623)=1,1,0))</f>
        <v/>
      </c>
      <c r="AH5623">
        <f>IF($AG5623=1,SUMPRODUCT(--($AK$2:$AK$6001&lt;$AK5623))+1,"")</f>
        <v/>
      </c>
      <c r="AI5623">
        <f>IF($C5623="","",IF(OR($N5623=TRUE(),$N5623="TRUE"),1,0))</f>
        <v/>
      </c>
      <c r="AJ5623">
        <f>IF($C5623="","",IF($T5623="Yes",1,0))</f>
        <v/>
      </c>
      <c r="AK5623">
        <f>IF($AG5623=1,IFERROR(IF(VALUE($C5623)&lt;100000000,VALUE($C5623),1000000000),IFERROR(IF(VALUE(MID($C5623,2,20))&lt;100000000,VALUE(MID($C5623,2,20)),1000000000),1000000000))+ROW()/100000,"")</f>
        <v/>
      </c>
    </row>
    <row r="5624">
      <c r="D5624" s="11" t="n"/>
      <c r="K5624" s="7">
        <f>IF($C5624="","",J5624*W5624/100)</f>
        <v/>
      </c>
      <c r="Q5624" s="7" t="n"/>
      <c r="R5624" s="7" t="n"/>
      <c r="U5624">
        <f>IF($C5624="","",IF($AJ5624=1,0,IF($AI5624=1,Settings!$C$6,Settings!$C$7))*100)</f>
        <v/>
      </c>
      <c r="V5624" s="7">
        <f>IF($C5624="","",R5624*U5624/100)</f>
        <v/>
      </c>
      <c r="W5624" s="7">
        <f>IF($C5624="","",R5624-V5624)</f>
        <v/>
      </c>
      <c r="X5624" s="7">
        <f>IF($C5624="","",W5624-K5624)</f>
        <v/>
      </c>
      <c r="AB5624" s="7" t="n"/>
      <c r="AE5624" s="11" t="n"/>
      <c r="AG5624">
        <f>IF($C5624="","",IF(COUNTIF($C$2:$C5624,$C5624)=1,1,0))</f>
        <v/>
      </c>
      <c r="AH5624">
        <f>IF($AG5624=1,SUMPRODUCT(--($AK$2:$AK$6001&lt;$AK5624))+1,"")</f>
        <v/>
      </c>
      <c r="AI5624">
        <f>IF($C5624="","",IF(OR($N5624=TRUE(),$N5624="TRUE"),1,0))</f>
        <v/>
      </c>
      <c r="AJ5624">
        <f>IF($C5624="","",IF($T5624="Yes",1,0))</f>
        <v/>
      </c>
      <c r="AK5624">
        <f>IF($AG5624=1,IFERROR(IF(VALUE($C5624)&lt;100000000,VALUE($C5624),1000000000),IFERROR(IF(VALUE(MID($C5624,2,20))&lt;100000000,VALUE(MID($C5624,2,20)),1000000000),1000000000))+ROW()/100000,"")</f>
        <v/>
      </c>
    </row>
    <row r="5625">
      <c r="D5625" s="11" t="n"/>
      <c r="K5625" s="7">
        <f>IF($C5625="","",J5625*W5625/100)</f>
        <v/>
      </c>
      <c r="Q5625" s="7" t="n"/>
      <c r="R5625" s="7" t="n"/>
      <c r="U5625">
        <f>IF($C5625="","",IF($AJ5625=1,0,IF($AI5625=1,Settings!$C$6,Settings!$C$7))*100)</f>
        <v/>
      </c>
      <c r="V5625" s="7">
        <f>IF($C5625="","",R5625*U5625/100)</f>
        <v/>
      </c>
      <c r="W5625" s="7">
        <f>IF($C5625="","",R5625-V5625)</f>
        <v/>
      </c>
      <c r="X5625" s="7">
        <f>IF($C5625="","",W5625-K5625)</f>
        <v/>
      </c>
      <c r="AB5625" s="7" t="n"/>
      <c r="AE5625" s="11" t="n"/>
      <c r="AG5625">
        <f>IF($C5625="","",IF(COUNTIF($C$2:$C5625,$C5625)=1,1,0))</f>
        <v/>
      </c>
      <c r="AH5625">
        <f>IF($AG5625=1,SUMPRODUCT(--($AK$2:$AK$6001&lt;$AK5625))+1,"")</f>
        <v/>
      </c>
      <c r="AI5625">
        <f>IF($C5625="","",IF(OR($N5625=TRUE(),$N5625="TRUE"),1,0))</f>
        <v/>
      </c>
      <c r="AJ5625">
        <f>IF($C5625="","",IF($T5625="Yes",1,0))</f>
        <v/>
      </c>
      <c r="AK5625">
        <f>IF($AG5625=1,IFERROR(IF(VALUE($C5625)&lt;100000000,VALUE($C5625),1000000000),IFERROR(IF(VALUE(MID($C5625,2,20))&lt;100000000,VALUE(MID($C5625,2,20)),1000000000),1000000000))+ROW()/100000,"")</f>
        <v/>
      </c>
    </row>
    <row r="5626">
      <c r="D5626" s="11" t="n"/>
      <c r="K5626" s="7">
        <f>IF($C5626="","",J5626*W5626/100)</f>
        <v/>
      </c>
      <c r="Q5626" s="7" t="n"/>
      <c r="R5626" s="7" t="n"/>
      <c r="U5626">
        <f>IF($C5626="","",IF($AJ5626=1,0,IF($AI5626=1,Settings!$C$6,Settings!$C$7))*100)</f>
        <v/>
      </c>
      <c r="V5626" s="7">
        <f>IF($C5626="","",R5626*U5626/100)</f>
        <v/>
      </c>
      <c r="W5626" s="7">
        <f>IF($C5626="","",R5626-V5626)</f>
        <v/>
      </c>
      <c r="X5626" s="7">
        <f>IF($C5626="","",W5626-K5626)</f>
        <v/>
      </c>
      <c r="AB5626" s="7" t="n"/>
      <c r="AE5626" s="11" t="n"/>
      <c r="AG5626">
        <f>IF($C5626="","",IF(COUNTIF($C$2:$C5626,$C5626)=1,1,0))</f>
        <v/>
      </c>
      <c r="AH5626">
        <f>IF($AG5626=1,SUMPRODUCT(--($AK$2:$AK$6001&lt;$AK5626))+1,"")</f>
        <v/>
      </c>
      <c r="AI5626">
        <f>IF($C5626="","",IF(OR($N5626=TRUE(),$N5626="TRUE"),1,0))</f>
        <v/>
      </c>
      <c r="AJ5626">
        <f>IF($C5626="","",IF($T5626="Yes",1,0))</f>
        <v/>
      </c>
      <c r="AK5626">
        <f>IF($AG5626=1,IFERROR(IF(VALUE($C5626)&lt;100000000,VALUE($C5626),1000000000),IFERROR(IF(VALUE(MID($C5626,2,20))&lt;100000000,VALUE(MID($C5626,2,20)),1000000000),1000000000))+ROW()/100000,"")</f>
        <v/>
      </c>
    </row>
    <row r="5627">
      <c r="D5627" s="11" t="n"/>
      <c r="K5627" s="7">
        <f>IF($C5627="","",J5627*W5627/100)</f>
        <v/>
      </c>
      <c r="Q5627" s="7" t="n"/>
      <c r="R5627" s="7" t="n"/>
      <c r="U5627">
        <f>IF($C5627="","",IF($AJ5627=1,0,IF($AI5627=1,Settings!$C$6,Settings!$C$7))*100)</f>
        <v/>
      </c>
      <c r="V5627" s="7">
        <f>IF($C5627="","",R5627*U5627/100)</f>
        <v/>
      </c>
      <c r="W5627" s="7">
        <f>IF($C5627="","",R5627-V5627)</f>
        <v/>
      </c>
      <c r="X5627" s="7">
        <f>IF($C5627="","",W5627-K5627)</f>
        <v/>
      </c>
      <c r="AB5627" s="7" t="n"/>
      <c r="AE5627" s="11" t="n"/>
      <c r="AG5627">
        <f>IF($C5627="","",IF(COUNTIF($C$2:$C5627,$C5627)=1,1,0))</f>
        <v/>
      </c>
      <c r="AH5627">
        <f>IF($AG5627=1,SUMPRODUCT(--($AK$2:$AK$6001&lt;$AK5627))+1,"")</f>
        <v/>
      </c>
      <c r="AI5627">
        <f>IF($C5627="","",IF(OR($N5627=TRUE(),$N5627="TRUE"),1,0))</f>
        <v/>
      </c>
      <c r="AJ5627">
        <f>IF($C5627="","",IF($T5627="Yes",1,0))</f>
        <v/>
      </c>
      <c r="AK5627">
        <f>IF($AG5627=1,IFERROR(IF(VALUE($C5627)&lt;100000000,VALUE($C5627),1000000000),IFERROR(IF(VALUE(MID($C5627,2,20))&lt;100000000,VALUE(MID($C5627,2,20)),1000000000),1000000000))+ROW()/100000,"")</f>
        <v/>
      </c>
    </row>
    <row r="5628">
      <c r="D5628" s="11" t="n"/>
      <c r="K5628" s="7">
        <f>IF($C5628="","",J5628*W5628/100)</f>
        <v/>
      </c>
      <c r="Q5628" s="7" t="n"/>
      <c r="R5628" s="7" t="n"/>
      <c r="U5628">
        <f>IF($C5628="","",IF($AJ5628=1,0,IF($AI5628=1,Settings!$C$6,Settings!$C$7))*100)</f>
        <v/>
      </c>
      <c r="V5628" s="7">
        <f>IF($C5628="","",R5628*U5628/100)</f>
        <v/>
      </c>
      <c r="W5628" s="7">
        <f>IF($C5628="","",R5628-V5628)</f>
        <v/>
      </c>
      <c r="X5628" s="7">
        <f>IF($C5628="","",W5628-K5628)</f>
        <v/>
      </c>
      <c r="AB5628" s="7" t="n"/>
      <c r="AE5628" s="11" t="n"/>
      <c r="AG5628">
        <f>IF($C5628="","",IF(COUNTIF($C$2:$C5628,$C5628)=1,1,0))</f>
        <v/>
      </c>
      <c r="AH5628">
        <f>IF($AG5628=1,SUMPRODUCT(--($AK$2:$AK$6001&lt;$AK5628))+1,"")</f>
        <v/>
      </c>
      <c r="AI5628">
        <f>IF($C5628="","",IF(OR($N5628=TRUE(),$N5628="TRUE"),1,0))</f>
        <v/>
      </c>
      <c r="AJ5628">
        <f>IF($C5628="","",IF($T5628="Yes",1,0))</f>
        <v/>
      </c>
      <c r="AK5628">
        <f>IF($AG5628=1,IFERROR(IF(VALUE($C5628)&lt;100000000,VALUE($C5628),1000000000),IFERROR(IF(VALUE(MID($C5628,2,20))&lt;100000000,VALUE(MID($C5628,2,20)),1000000000),1000000000))+ROW()/100000,"")</f>
        <v/>
      </c>
    </row>
    <row r="5629">
      <c r="D5629" s="11" t="n"/>
      <c r="K5629" s="7">
        <f>IF($C5629="","",J5629*W5629/100)</f>
        <v/>
      </c>
      <c r="Q5629" s="7" t="n"/>
      <c r="R5629" s="7" t="n"/>
      <c r="U5629">
        <f>IF($C5629="","",IF($AJ5629=1,0,IF($AI5629=1,Settings!$C$6,Settings!$C$7))*100)</f>
        <v/>
      </c>
      <c r="V5629" s="7">
        <f>IF($C5629="","",R5629*U5629/100)</f>
        <v/>
      </c>
      <c r="W5629" s="7">
        <f>IF($C5629="","",R5629-V5629)</f>
        <v/>
      </c>
      <c r="X5629" s="7">
        <f>IF($C5629="","",W5629-K5629)</f>
        <v/>
      </c>
      <c r="AB5629" s="7" t="n"/>
      <c r="AE5629" s="11" t="n"/>
      <c r="AG5629">
        <f>IF($C5629="","",IF(COUNTIF($C$2:$C5629,$C5629)=1,1,0))</f>
        <v/>
      </c>
      <c r="AH5629">
        <f>IF($AG5629=1,SUMPRODUCT(--($AK$2:$AK$6001&lt;$AK5629))+1,"")</f>
        <v/>
      </c>
      <c r="AI5629">
        <f>IF($C5629="","",IF(OR($N5629=TRUE(),$N5629="TRUE"),1,0))</f>
        <v/>
      </c>
      <c r="AJ5629">
        <f>IF($C5629="","",IF($T5629="Yes",1,0))</f>
        <v/>
      </c>
      <c r="AK5629">
        <f>IF($AG5629=1,IFERROR(IF(VALUE($C5629)&lt;100000000,VALUE($C5629),1000000000),IFERROR(IF(VALUE(MID($C5629,2,20))&lt;100000000,VALUE(MID($C5629,2,20)),1000000000),1000000000))+ROW()/100000,"")</f>
        <v/>
      </c>
    </row>
    <row r="5630">
      <c r="D5630" s="11" t="n"/>
      <c r="K5630" s="7">
        <f>IF($C5630="","",J5630*W5630/100)</f>
        <v/>
      </c>
      <c r="Q5630" s="7" t="n"/>
      <c r="R5630" s="7" t="n"/>
      <c r="U5630">
        <f>IF($C5630="","",IF($AJ5630=1,0,IF($AI5630=1,Settings!$C$6,Settings!$C$7))*100)</f>
        <v/>
      </c>
      <c r="V5630" s="7">
        <f>IF($C5630="","",R5630*U5630/100)</f>
        <v/>
      </c>
      <c r="W5630" s="7">
        <f>IF($C5630="","",R5630-V5630)</f>
        <v/>
      </c>
      <c r="X5630" s="7">
        <f>IF($C5630="","",W5630-K5630)</f>
        <v/>
      </c>
      <c r="AB5630" s="7" t="n"/>
      <c r="AE5630" s="11" t="n"/>
      <c r="AG5630">
        <f>IF($C5630="","",IF(COUNTIF($C$2:$C5630,$C5630)=1,1,0))</f>
        <v/>
      </c>
      <c r="AH5630">
        <f>IF($AG5630=1,SUMPRODUCT(--($AK$2:$AK$6001&lt;$AK5630))+1,"")</f>
        <v/>
      </c>
      <c r="AI5630">
        <f>IF($C5630="","",IF(OR($N5630=TRUE(),$N5630="TRUE"),1,0))</f>
        <v/>
      </c>
      <c r="AJ5630">
        <f>IF($C5630="","",IF($T5630="Yes",1,0))</f>
        <v/>
      </c>
      <c r="AK5630">
        <f>IF($AG5630=1,IFERROR(IF(VALUE($C5630)&lt;100000000,VALUE($C5630),1000000000),IFERROR(IF(VALUE(MID($C5630,2,20))&lt;100000000,VALUE(MID($C5630,2,20)),1000000000),1000000000))+ROW()/100000,"")</f>
        <v/>
      </c>
    </row>
    <row r="5631">
      <c r="D5631" s="11" t="n"/>
      <c r="K5631" s="7">
        <f>IF($C5631="","",J5631*W5631/100)</f>
        <v/>
      </c>
      <c r="Q5631" s="7" t="n"/>
      <c r="R5631" s="7" t="n"/>
      <c r="U5631">
        <f>IF($C5631="","",IF($AJ5631=1,0,IF($AI5631=1,Settings!$C$6,Settings!$C$7))*100)</f>
        <v/>
      </c>
      <c r="V5631" s="7">
        <f>IF($C5631="","",R5631*U5631/100)</f>
        <v/>
      </c>
      <c r="W5631" s="7">
        <f>IF($C5631="","",R5631-V5631)</f>
        <v/>
      </c>
      <c r="X5631" s="7">
        <f>IF($C5631="","",W5631-K5631)</f>
        <v/>
      </c>
      <c r="AB5631" s="7" t="n"/>
      <c r="AE5631" s="11" t="n"/>
      <c r="AG5631">
        <f>IF($C5631="","",IF(COUNTIF($C$2:$C5631,$C5631)=1,1,0))</f>
        <v/>
      </c>
      <c r="AH5631">
        <f>IF($AG5631=1,SUMPRODUCT(--($AK$2:$AK$6001&lt;$AK5631))+1,"")</f>
        <v/>
      </c>
      <c r="AI5631">
        <f>IF($C5631="","",IF(OR($N5631=TRUE(),$N5631="TRUE"),1,0))</f>
        <v/>
      </c>
      <c r="AJ5631">
        <f>IF($C5631="","",IF($T5631="Yes",1,0))</f>
        <v/>
      </c>
      <c r="AK5631">
        <f>IF($AG5631=1,IFERROR(IF(VALUE($C5631)&lt;100000000,VALUE($C5631),1000000000),IFERROR(IF(VALUE(MID($C5631,2,20))&lt;100000000,VALUE(MID($C5631,2,20)),1000000000),1000000000))+ROW()/100000,"")</f>
        <v/>
      </c>
    </row>
    <row r="5632">
      <c r="D5632" s="11" t="n"/>
      <c r="K5632" s="7">
        <f>IF($C5632="","",J5632*W5632/100)</f>
        <v/>
      </c>
      <c r="Q5632" s="7" t="n"/>
      <c r="R5632" s="7" t="n"/>
      <c r="U5632">
        <f>IF($C5632="","",IF($AJ5632=1,0,IF($AI5632=1,Settings!$C$6,Settings!$C$7))*100)</f>
        <v/>
      </c>
      <c r="V5632" s="7">
        <f>IF($C5632="","",R5632*U5632/100)</f>
        <v/>
      </c>
      <c r="W5632" s="7">
        <f>IF($C5632="","",R5632-V5632)</f>
        <v/>
      </c>
      <c r="X5632" s="7">
        <f>IF($C5632="","",W5632-K5632)</f>
        <v/>
      </c>
      <c r="AB5632" s="7" t="n"/>
      <c r="AE5632" s="11" t="n"/>
      <c r="AG5632">
        <f>IF($C5632="","",IF(COUNTIF($C$2:$C5632,$C5632)=1,1,0))</f>
        <v/>
      </c>
      <c r="AH5632">
        <f>IF($AG5632=1,SUMPRODUCT(--($AK$2:$AK$6001&lt;$AK5632))+1,"")</f>
        <v/>
      </c>
      <c r="AI5632">
        <f>IF($C5632="","",IF(OR($N5632=TRUE(),$N5632="TRUE"),1,0))</f>
        <v/>
      </c>
      <c r="AJ5632">
        <f>IF($C5632="","",IF($T5632="Yes",1,0))</f>
        <v/>
      </c>
      <c r="AK5632">
        <f>IF($AG5632=1,IFERROR(IF(VALUE($C5632)&lt;100000000,VALUE($C5632),1000000000),IFERROR(IF(VALUE(MID($C5632,2,20))&lt;100000000,VALUE(MID($C5632,2,20)),1000000000),1000000000))+ROW()/100000,"")</f>
        <v/>
      </c>
    </row>
    <row r="5633">
      <c r="D5633" s="11" t="n"/>
      <c r="K5633" s="7">
        <f>IF($C5633="","",J5633*W5633/100)</f>
        <v/>
      </c>
      <c r="Q5633" s="7" t="n"/>
      <c r="R5633" s="7" t="n"/>
      <c r="U5633">
        <f>IF($C5633="","",IF($AJ5633=1,0,IF($AI5633=1,Settings!$C$6,Settings!$C$7))*100)</f>
        <v/>
      </c>
      <c r="V5633" s="7">
        <f>IF($C5633="","",R5633*U5633/100)</f>
        <v/>
      </c>
      <c r="W5633" s="7">
        <f>IF($C5633="","",R5633-V5633)</f>
        <v/>
      </c>
      <c r="X5633" s="7">
        <f>IF($C5633="","",W5633-K5633)</f>
        <v/>
      </c>
      <c r="AB5633" s="7" t="n"/>
      <c r="AE5633" s="11" t="n"/>
      <c r="AG5633">
        <f>IF($C5633="","",IF(COUNTIF($C$2:$C5633,$C5633)=1,1,0))</f>
        <v/>
      </c>
      <c r="AH5633">
        <f>IF($AG5633=1,SUMPRODUCT(--($AK$2:$AK$6001&lt;$AK5633))+1,"")</f>
        <v/>
      </c>
      <c r="AI5633">
        <f>IF($C5633="","",IF(OR($N5633=TRUE(),$N5633="TRUE"),1,0))</f>
        <v/>
      </c>
      <c r="AJ5633">
        <f>IF($C5633="","",IF($T5633="Yes",1,0))</f>
        <v/>
      </c>
      <c r="AK5633">
        <f>IF($AG5633=1,IFERROR(IF(VALUE($C5633)&lt;100000000,VALUE($C5633),1000000000),IFERROR(IF(VALUE(MID($C5633,2,20))&lt;100000000,VALUE(MID($C5633,2,20)),1000000000),1000000000))+ROW()/100000,"")</f>
        <v/>
      </c>
    </row>
    <row r="5634">
      <c r="D5634" s="11" t="n"/>
      <c r="K5634" s="7">
        <f>IF($C5634="","",J5634*W5634/100)</f>
        <v/>
      </c>
      <c r="Q5634" s="7" t="n"/>
      <c r="R5634" s="7" t="n"/>
      <c r="U5634">
        <f>IF($C5634="","",IF($AJ5634=1,0,IF($AI5634=1,Settings!$C$6,Settings!$C$7))*100)</f>
        <v/>
      </c>
      <c r="V5634" s="7">
        <f>IF($C5634="","",R5634*U5634/100)</f>
        <v/>
      </c>
      <c r="W5634" s="7">
        <f>IF($C5634="","",R5634-V5634)</f>
        <v/>
      </c>
      <c r="X5634" s="7">
        <f>IF($C5634="","",W5634-K5634)</f>
        <v/>
      </c>
      <c r="AB5634" s="7" t="n"/>
      <c r="AE5634" s="11" t="n"/>
      <c r="AG5634">
        <f>IF($C5634="","",IF(COUNTIF($C$2:$C5634,$C5634)=1,1,0))</f>
        <v/>
      </c>
      <c r="AH5634">
        <f>IF($AG5634=1,SUMPRODUCT(--($AK$2:$AK$6001&lt;$AK5634))+1,"")</f>
        <v/>
      </c>
      <c r="AI5634">
        <f>IF($C5634="","",IF(OR($N5634=TRUE(),$N5634="TRUE"),1,0))</f>
        <v/>
      </c>
      <c r="AJ5634">
        <f>IF($C5634="","",IF($T5634="Yes",1,0))</f>
        <v/>
      </c>
      <c r="AK5634">
        <f>IF($AG5634=1,IFERROR(IF(VALUE($C5634)&lt;100000000,VALUE($C5634),1000000000),IFERROR(IF(VALUE(MID($C5634,2,20))&lt;100000000,VALUE(MID($C5634,2,20)),1000000000),1000000000))+ROW()/100000,"")</f>
        <v/>
      </c>
    </row>
    <row r="5635">
      <c r="D5635" s="11" t="n"/>
      <c r="K5635" s="7">
        <f>IF($C5635="","",J5635*W5635/100)</f>
        <v/>
      </c>
      <c r="Q5635" s="7" t="n"/>
      <c r="R5635" s="7" t="n"/>
      <c r="U5635">
        <f>IF($C5635="","",IF($AJ5635=1,0,IF($AI5635=1,Settings!$C$6,Settings!$C$7))*100)</f>
        <v/>
      </c>
      <c r="V5635" s="7">
        <f>IF($C5635="","",R5635*U5635/100)</f>
        <v/>
      </c>
      <c r="W5635" s="7">
        <f>IF($C5635="","",R5635-V5635)</f>
        <v/>
      </c>
      <c r="X5635" s="7">
        <f>IF($C5635="","",W5635-K5635)</f>
        <v/>
      </c>
      <c r="AB5635" s="7" t="n"/>
      <c r="AE5635" s="11" t="n"/>
      <c r="AG5635">
        <f>IF($C5635="","",IF(COUNTIF($C$2:$C5635,$C5635)=1,1,0))</f>
        <v/>
      </c>
      <c r="AH5635">
        <f>IF($AG5635=1,SUMPRODUCT(--($AK$2:$AK$6001&lt;$AK5635))+1,"")</f>
        <v/>
      </c>
      <c r="AI5635">
        <f>IF($C5635="","",IF(OR($N5635=TRUE(),$N5635="TRUE"),1,0))</f>
        <v/>
      </c>
      <c r="AJ5635">
        <f>IF($C5635="","",IF($T5635="Yes",1,0))</f>
        <v/>
      </c>
      <c r="AK5635">
        <f>IF($AG5635=1,IFERROR(IF(VALUE($C5635)&lt;100000000,VALUE($C5635),1000000000),IFERROR(IF(VALUE(MID($C5635,2,20))&lt;100000000,VALUE(MID($C5635,2,20)),1000000000),1000000000))+ROW()/100000,"")</f>
        <v/>
      </c>
    </row>
    <row r="5636">
      <c r="D5636" s="11" t="n"/>
      <c r="K5636" s="7">
        <f>IF($C5636="","",J5636*W5636/100)</f>
        <v/>
      </c>
      <c r="Q5636" s="7" t="n"/>
      <c r="R5636" s="7" t="n"/>
      <c r="U5636">
        <f>IF($C5636="","",IF($AJ5636=1,0,IF($AI5636=1,Settings!$C$6,Settings!$C$7))*100)</f>
        <v/>
      </c>
      <c r="V5636" s="7">
        <f>IF($C5636="","",R5636*U5636/100)</f>
        <v/>
      </c>
      <c r="W5636" s="7">
        <f>IF($C5636="","",R5636-V5636)</f>
        <v/>
      </c>
      <c r="X5636" s="7">
        <f>IF($C5636="","",W5636-K5636)</f>
        <v/>
      </c>
      <c r="AB5636" s="7" t="n"/>
      <c r="AE5636" s="11" t="n"/>
      <c r="AG5636">
        <f>IF($C5636="","",IF(COUNTIF($C$2:$C5636,$C5636)=1,1,0))</f>
        <v/>
      </c>
      <c r="AH5636">
        <f>IF($AG5636=1,SUMPRODUCT(--($AK$2:$AK$6001&lt;$AK5636))+1,"")</f>
        <v/>
      </c>
      <c r="AI5636">
        <f>IF($C5636="","",IF(OR($N5636=TRUE(),$N5636="TRUE"),1,0))</f>
        <v/>
      </c>
      <c r="AJ5636">
        <f>IF($C5636="","",IF($T5636="Yes",1,0))</f>
        <v/>
      </c>
      <c r="AK5636">
        <f>IF($AG5636=1,IFERROR(IF(VALUE($C5636)&lt;100000000,VALUE($C5636),1000000000),IFERROR(IF(VALUE(MID($C5636,2,20))&lt;100000000,VALUE(MID($C5636,2,20)),1000000000),1000000000))+ROW()/100000,"")</f>
        <v/>
      </c>
    </row>
    <row r="5637">
      <c r="D5637" s="11" t="n"/>
      <c r="K5637" s="7">
        <f>IF($C5637="","",J5637*W5637/100)</f>
        <v/>
      </c>
      <c r="Q5637" s="7" t="n"/>
      <c r="R5637" s="7" t="n"/>
      <c r="U5637">
        <f>IF($C5637="","",IF($AJ5637=1,0,IF($AI5637=1,Settings!$C$6,Settings!$C$7))*100)</f>
        <v/>
      </c>
      <c r="V5637" s="7">
        <f>IF($C5637="","",R5637*U5637/100)</f>
        <v/>
      </c>
      <c r="W5637" s="7">
        <f>IF($C5637="","",R5637-V5637)</f>
        <v/>
      </c>
      <c r="X5637" s="7">
        <f>IF($C5637="","",W5637-K5637)</f>
        <v/>
      </c>
      <c r="AB5637" s="7" t="n"/>
      <c r="AE5637" s="11" t="n"/>
      <c r="AG5637">
        <f>IF($C5637="","",IF(COUNTIF($C$2:$C5637,$C5637)=1,1,0))</f>
        <v/>
      </c>
      <c r="AH5637">
        <f>IF($AG5637=1,SUMPRODUCT(--($AK$2:$AK$6001&lt;$AK5637))+1,"")</f>
        <v/>
      </c>
      <c r="AI5637">
        <f>IF($C5637="","",IF(OR($N5637=TRUE(),$N5637="TRUE"),1,0))</f>
        <v/>
      </c>
      <c r="AJ5637">
        <f>IF($C5637="","",IF($T5637="Yes",1,0))</f>
        <v/>
      </c>
      <c r="AK5637">
        <f>IF($AG5637=1,IFERROR(IF(VALUE($C5637)&lt;100000000,VALUE($C5637),1000000000),IFERROR(IF(VALUE(MID($C5637,2,20))&lt;100000000,VALUE(MID($C5637,2,20)),1000000000),1000000000))+ROW()/100000,"")</f>
        <v/>
      </c>
    </row>
    <row r="5638">
      <c r="D5638" s="11" t="n"/>
      <c r="K5638" s="7">
        <f>IF($C5638="","",J5638*W5638/100)</f>
        <v/>
      </c>
      <c r="Q5638" s="7" t="n"/>
      <c r="R5638" s="7" t="n"/>
      <c r="U5638">
        <f>IF($C5638="","",IF($AJ5638=1,0,IF($AI5638=1,Settings!$C$6,Settings!$C$7))*100)</f>
        <v/>
      </c>
      <c r="V5638" s="7">
        <f>IF($C5638="","",R5638*U5638/100)</f>
        <v/>
      </c>
      <c r="W5638" s="7">
        <f>IF($C5638="","",R5638-V5638)</f>
        <v/>
      </c>
      <c r="X5638" s="7">
        <f>IF($C5638="","",W5638-K5638)</f>
        <v/>
      </c>
      <c r="AB5638" s="7" t="n"/>
      <c r="AE5638" s="11" t="n"/>
      <c r="AG5638">
        <f>IF($C5638="","",IF(COUNTIF($C$2:$C5638,$C5638)=1,1,0))</f>
        <v/>
      </c>
      <c r="AH5638">
        <f>IF($AG5638=1,SUMPRODUCT(--($AK$2:$AK$6001&lt;$AK5638))+1,"")</f>
        <v/>
      </c>
      <c r="AI5638">
        <f>IF($C5638="","",IF(OR($N5638=TRUE(),$N5638="TRUE"),1,0))</f>
        <v/>
      </c>
      <c r="AJ5638">
        <f>IF($C5638="","",IF($T5638="Yes",1,0))</f>
        <v/>
      </c>
      <c r="AK5638">
        <f>IF($AG5638=1,IFERROR(IF(VALUE($C5638)&lt;100000000,VALUE($C5638),1000000000),IFERROR(IF(VALUE(MID($C5638,2,20))&lt;100000000,VALUE(MID($C5638,2,20)),1000000000),1000000000))+ROW()/100000,"")</f>
        <v/>
      </c>
    </row>
    <row r="5639">
      <c r="D5639" s="11" t="n"/>
      <c r="K5639" s="7">
        <f>IF($C5639="","",J5639*W5639/100)</f>
        <v/>
      </c>
      <c r="Q5639" s="7" t="n"/>
      <c r="R5639" s="7" t="n"/>
      <c r="U5639">
        <f>IF($C5639="","",IF($AJ5639=1,0,IF($AI5639=1,Settings!$C$6,Settings!$C$7))*100)</f>
        <v/>
      </c>
      <c r="V5639" s="7">
        <f>IF($C5639="","",R5639*U5639/100)</f>
        <v/>
      </c>
      <c r="W5639" s="7">
        <f>IF($C5639="","",R5639-V5639)</f>
        <v/>
      </c>
      <c r="X5639" s="7">
        <f>IF($C5639="","",W5639-K5639)</f>
        <v/>
      </c>
      <c r="AB5639" s="7" t="n"/>
      <c r="AE5639" s="11" t="n"/>
      <c r="AG5639">
        <f>IF($C5639="","",IF(COUNTIF($C$2:$C5639,$C5639)=1,1,0))</f>
        <v/>
      </c>
      <c r="AH5639">
        <f>IF($AG5639=1,SUMPRODUCT(--($AK$2:$AK$6001&lt;$AK5639))+1,"")</f>
        <v/>
      </c>
      <c r="AI5639">
        <f>IF($C5639="","",IF(OR($N5639=TRUE(),$N5639="TRUE"),1,0))</f>
        <v/>
      </c>
      <c r="AJ5639">
        <f>IF($C5639="","",IF($T5639="Yes",1,0))</f>
        <v/>
      </c>
      <c r="AK5639">
        <f>IF($AG5639=1,IFERROR(IF(VALUE($C5639)&lt;100000000,VALUE($C5639),1000000000),IFERROR(IF(VALUE(MID($C5639,2,20))&lt;100000000,VALUE(MID($C5639,2,20)),1000000000),1000000000))+ROW()/100000,"")</f>
        <v/>
      </c>
    </row>
    <row r="5640">
      <c r="D5640" s="11" t="n"/>
      <c r="K5640" s="7">
        <f>IF($C5640="","",J5640*W5640/100)</f>
        <v/>
      </c>
      <c r="Q5640" s="7" t="n"/>
      <c r="R5640" s="7" t="n"/>
      <c r="U5640">
        <f>IF($C5640="","",IF($AJ5640=1,0,IF($AI5640=1,Settings!$C$6,Settings!$C$7))*100)</f>
        <v/>
      </c>
      <c r="V5640" s="7">
        <f>IF($C5640="","",R5640*U5640/100)</f>
        <v/>
      </c>
      <c r="W5640" s="7">
        <f>IF($C5640="","",R5640-V5640)</f>
        <v/>
      </c>
      <c r="X5640" s="7">
        <f>IF($C5640="","",W5640-K5640)</f>
        <v/>
      </c>
      <c r="AB5640" s="7" t="n"/>
      <c r="AE5640" s="11" t="n"/>
      <c r="AG5640">
        <f>IF($C5640="","",IF(COUNTIF($C$2:$C5640,$C5640)=1,1,0))</f>
        <v/>
      </c>
      <c r="AH5640">
        <f>IF($AG5640=1,SUMPRODUCT(--($AK$2:$AK$6001&lt;$AK5640))+1,"")</f>
        <v/>
      </c>
      <c r="AI5640">
        <f>IF($C5640="","",IF(OR($N5640=TRUE(),$N5640="TRUE"),1,0))</f>
        <v/>
      </c>
      <c r="AJ5640">
        <f>IF($C5640="","",IF($T5640="Yes",1,0))</f>
        <v/>
      </c>
      <c r="AK5640">
        <f>IF($AG5640=1,IFERROR(IF(VALUE($C5640)&lt;100000000,VALUE($C5640),1000000000),IFERROR(IF(VALUE(MID($C5640,2,20))&lt;100000000,VALUE(MID($C5640,2,20)),1000000000),1000000000))+ROW()/100000,"")</f>
        <v/>
      </c>
    </row>
    <row r="5641">
      <c r="D5641" s="11" t="n"/>
      <c r="K5641" s="7">
        <f>IF($C5641="","",J5641*W5641/100)</f>
        <v/>
      </c>
      <c r="Q5641" s="7" t="n"/>
      <c r="R5641" s="7" t="n"/>
      <c r="U5641">
        <f>IF($C5641="","",IF($AJ5641=1,0,IF($AI5641=1,Settings!$C$6,Settings!$C$7))*100)</f>
        <v/>
      </c>
      <c r="V5641" s="7">
        <f>IF($C5641="","",R5641*U5641/100)</f>
        <v/>
      </c>
      <c r="W5641" s="7">
        <f>IF($C5641="","",R5641-V5641)</f>
        <v/>
      </c>
      <c r="X5641" s="7">
        <f>IF($C5641="","",W5641-K5641)</f>
        <v/>
      </c>
      <c r="AB5641" s="7" t="n"/>
      <c r="AE5641" s="11" t="n"/>
      <c r="AG5641">
        <f>IF($C5641="","",IF(COUNTIF($C$2:$C5641,$C5641)=1,1,0))</f>
        <v/>
      </c>
      <c r="AH5641">
        <f>IF($AG5641=1,SUMPRODUCT(--($AK$2:$AK$6001&lt;$AK5641))+1,"")</f>
        <v/>
      </c>
      <c r="AI5641">
        <f>IF($C5641="","",IF(OR($N5641=TRUE(),$N5641="TRUE"),1,0))</f>
        <v/>
      </c>
      <c r="AJ5641">
        <f>IF($C5641="","",IF($T5641="Yes",1,0))</f>
        <v/>
      </c>
      <c r="AK5641">
        <f>IF($AG5641=1,IFERROR(IF(VALUE($C5641)&lt;100000000,VALUE($C5641),1000000000),IFERROR(IF(VALUE(MID($C5641,2,20))&lt;100000000,VALUE(MID($C5641,2,20)),1000000000),1000000000))+ROW()/100000,"")</f>
        <v/>
      </c>
    </row>
    <row r="5642">
      <c r="D5642" s="11" t="n"/>
      <c r="K5642" s="7">
        <f>IF($C5642="","",J5642*W5642/100)</f>
        <v/>
      </c>
      <c r="Q5642" s="7" t="n"/>
      <c r="R5642" s="7" t="n"/>
      <c r="U5642">
        <f>IF($C5642="","",IF($AJ5642=1,0,IF($AI5642=1,Settings!$C$6,Settings!$C$7))*100)</f>
        <v/>
      </c>
      <c r="V5642" s="7">
        <f>IF($C5642="","",R5642*U5642/100)</f>
        <v/>
      </c>
      <c r="W5642" s="7">
        <f>IF($C5642="","",R5642-V5642)</f>
        <v/>
      </c>
      <c r="X5642" s="7">
        <f>IF($C5642="","",W5642-K5642)</f>
        <v/>
      </c>
      <c r="AB5642" s="7" t="n"/>
      <c r="AE5642" s="11" t="n"/>
      <c r="AG5642">
        <f>IF($C5642="","",IF(COUNTIF($C$2:$C5642,$C5642)=1,1,0))</f>
        <v/>
      </c>
      <c r="AH5642">
        <f>IF($AG5642=1,SUMPRODUCT(--($AK$2:$AK$6001&lt;$AK5642))+1,"")</f>
        <v/>
      </c>
      <c r="AI5642">
        <f>IF($C5642="","",IF(OR($N5642=TRUE(),$N5642="TRUE"),1,0))</f>
        <v/>
      </c>
      <c r="AJ5642">
        <f>IF($C5642="","",IF($T5642="Yes",1,0))</f>
        <v/>
      </c>
      <c r="AK5642">
        <f>IF($AG5642=1,IFERROR(IF(VALUE($C5642)&lt;100000000,VALUE($C5642),1000000000),IFERROR(IF(VALUE(MID($C5642,2,20))&lt;100000000,VALUE(MID($C5642,2,20)),1000000000),1000000000))+ROW()/100000,"")</f>
        <v/>
      </c>
    </row>
    <row r="5643">
      <c r="D5643" s="11" t="n"/>
      <c r="K5643" s="7">
        <f>IF($C5643="","",J5643*W5643/100)</f>
        <v/>
      </c>
      <c r="Q5643" s="7" t="n"/>
      <c r="R5643" s="7" t="n"/>
      <c r="U5643">
        <f>IF($C5643="","",IF($AJ5643=1,0,IF($AI5643=1,Settings!$C$6,Settings!$C$7))*100)</f>
        <v/>
      </c>
      <c r="V5643" s="7">
        <f>IF($C5643="","",R5643*U5643/100)</f>
        <v/>
      </c>
      <c r="W5643" s="7">
        <f>IF($C5643="","",R5643-V5643)</f>
        <v/>
      </c>
      <c r="X5643" s="7">
        <f>IF($C5643="","",W5643-K5643)</f>
        <v/>
      </c>
      <c r="AB5643" s="7" t="n"/>
      <c r="AE5643" s="11" t="n"/>
      <c r="AG5643">
        <f>IF($C5643="","",IF(COUNTIF($C$2:$C5643,$C5643)=1,1,0))</f>
        <v/>
      </c>
      <c r="AH5643">
        <f>IF($AG5643=1,SUMPRODUCT(--($AK$2:$AK$6001&lt;$AK5643))+1,"")</f>
        <v/>
      </c>
      <c r="AI5643">
        <f>IF($C5643="","",IF(OR($N5643=TRUE(),$N5643="TRUE"),1,0))</f>
        <v/>
      </c>
      <c r="AJ5643">
        <f>IF($C5643="","",IF($T5643="Yes",1,0))</f>
        <v/>
      </c>
      <c r="AK5643">
        <f>IF($AG5643=1,IFERROR(IF(VALUE($C5643)&lt;100000000,VALUE($C5643),1000000000),IFERROR(IF(VALUE(MID($C5643,2,20))&lt;100000000,VALUE(MID($C5643,2,20)),1000000000),1000000000))+ROW()/100000,"")</f>
        <v/>
      </c>
    </row>
    <row r="5644">
      <c r="D5644" s="11" t="n"/>
      <c r="K5644" s="7">
        <f>IF($C5644="","",J5644*W5644/100)</f>
        <v/>
      </c>
      <c r="Q5644" s="7" t="n"/>
      <c r="R5644" s="7" t="n"/>
      <c r="U5644">
        <f>IF($C5644="","",IF($AJ5644=1,0,IF($AI5644=1,Settings!$C$6,Settings!$C$7))*100)</f>
        <v/>
      </c>
      <c r="V5644" s="7">
        <f>IF($C5644="","",R5644*U5644/100)</f>
        <v/>
      </c>
      <c r="W5644" s="7">
        <f>IF($C5644="","",R5644-V5644)</f>
        <v/>
      </c>
      <c r="X5644" s="7">
        <f>IF($C5644="","",W5644-K5644)</f>
        <v/>
      </c>
      <c r="AB5644" s="7" t="n"/>
      <c r="AE5644" s="11" t="n"/>
      <c r="AG5644">
        <f>IF($C5644="","",IF(COUNTIF($C$2:$C5644,$C5644)=1,1,0))</f>
        <v/>
      </c>
      <c r="AH5644">
        <f>IF($AG5644=1,SUMPRODUCT(--($AK$2:$AK$6001&lt;$AK5644))+1,"")</f>
        <v/>
      </c>
      <c r="AI5644">
        <f>IF($C5644="","",IF(OR($N5644=TRUE(),$N5644="TRUE"),1,0))</f>
        <v/>
      </c>
      <c r="AJ5644">
        <f>IF($C5644="","",IF($T5644="Yes",1,0))</f>
        <v/>
      </c>
      <c r="AK5644">
        <f>IF($AG5644=1,IFERROR(IF(VALUE($C5644)&lt;100000000,VALUE($C5644),1000000000),IFERROR(IF(VALUE(MID($C5644,2,20))&lt;100000000,VALUE(MID($C5644,2,20)),1000000000),1000000000))+ROW()/100000,"")</f>
        <v/>
      </c>
    </row>
    <row r="5645">
      <c r="D5645" s="11" t="n"/>
      <c r="K5645" s="7">
        <f>IF($C5645="","",J5645*W5645/100)</f>
        <v/>
      </c>
      <c r="Q5645" s="7" t="n"/>
      <c r="R5645" s="7" t="n"/>
      <c r="U5645">
        <f>IF($C5645="","",IF($AJ5645=1,0,IF($AI5645=1,Settings!$C$6,Settings!$C$7))*100)</f>
        <v/>
      </c>
      <c r="V5645" s="7">
        <f>IF($C5645="","",R5645*U5645/100)</f>
        <v/>
      </c>
      <c r="W5645" s="7">
        <f>IF($C5645="","",R5645-V5645)</f>
        <v/>
      </c>
      <c r="X5645" s="7">
        <f>IF($C5645="","",W5645-K5645)</f>
        <v/>
      </c>
      <c r="AB5645" s="7" t="n"/>
      <c r="AE5645" s="11" t="n"/>
      <c r="AG5645">
        <f>IF($C5645="","",IF(COUNTIF($C$2:$C5645,$C5645)=1,1,0))</f>
        <v/>
      </c>
      <c r="AH5645">
        <f>IF($AG5645=1,SUMPRODUCT(--($AK$2:$AK$6001&lt;$AK5645))+1,"")</f>
        <v/>
      </c>
      <c r="AI5645">
        <f>IF($C5645="","",IF(OR($N5645=TRUE(),$N5645="TRUE"),1,0))</f>
        <v/>
      </c>
      <c r="AJ5645">
        <f>IF($C5645="","",IF($T5645="Yes",1,0))</f>
        <v/>
      </c>
      <c r="AK5645">
        <f>IF($AG5645=1,IFERROR(IF(VALUE($C5645)&lt;100000000,VALUE($C5645),1000000000),IFERROR(IF(VALUE(MID($C5645,2,20))&lt;100000000,VALUE(MID($C5645,2,20)),1000000000),1000000000))+ROW()/100000,"")</f>
        <v/>
      </c>
    </row>
    <row r="5646">
      <c r="D5646" s="11" t="n"/>
      <c r="K5646" s="7">
        <f>IF($C5646="","",J5646*W5646/100)</f>
        <v/>
      </c>
      <c r="Q5646" s="7" t="n"/>
      <c r="R5646" s="7" t="n"/>
      <c r="U5646">
        <f>IF($C5646="","",IF($AJ5646=1,0,IF($AI5646=1,Settings!$C$6,Settings!$C$7))*100)</f>
        <v/>
      </c>
      <c r="V5646" s="7">
        <f>IF($C5646="","",R5646*U5646/100)</f>
        <v/>
      </c>
      <c r="W5646" s="7">
        <f>IF($C5646="","",R5646-V5646)</f>
        <v/>
      </c>
      <c r="X5646" s="7">
        <f>IF($C5646="","",W5646-K5646)</f>
        <v/>
      </c>
      <c r="AB5646" s="7" t="n"/>
      <c r="AE5646" s="11" t="n"/>
      <c r="AG5646">
        <f>IF($C5646="","",IF(COUNTIF($C$2:$C5646,$C5646)=1,1,0))</f>
        <v/>
      </c>
      <c r="AH5646">
        <f>IF($AG5646=1,SUMPRODUCT(--($AK$2:$AK$6001&lt;$AK5646))+1,"")</f>
        <v/>
      </c>
      <c r="AI5646">
        <f>IF($C5646="","",IF(OR($N5646=TRUE(),$N5646="TRUE"),1,0))</f>
        <v/>
      </c>
      <c r="AJ5646">
        <f>IF($C5646="","",IF($T5646="Yes",1,0))</f>
        <v/>
      </c>
      <c r="AK5646">
        <f>IF($AG5646=1,IFERROR(IF(VALUE($C5646)&lt;100000000,VALUE($C5646),1000000000),IFERROR(IF(VALUE(MID($C5646,2,20))&lt;100000000,VALUE(MID($C5646,2,20)),1000000000),1000000000))+ROW()/100000,"")</f>
        <v/>
      </c>
    </row>
    <row r="5647">
      <c r="D5647" s="11" t="n"/>
      <c r="K5647" s="7">
        <f>IF($C5647="","",J5647*W5647/100)</f>
        <v/>
      </c>
      <c r="Q5647" s="7" t="n"/>
      <c r="R5647" s="7" t="n"/>
      <c r="U5647">
        <f>IF($C5647="","",IF($AJ5647=1,0,IF($AI5647=1,Settings!$C$6,Settings!$C$7))*100)</f>
        <v/>
      </c>
      <c r="V5647" s="7">
        <f>IF($C5647="","",R5647*U5647/100)</f>
        <v/>
      </c>
      <c r="W5647" s="7">
        <f>IF($C5647="","",R5647-V5647)</f>
        <v/>
      </c>
      <c r="X5647" s="7">
        <f>IF($C5647="","",W5647-K5647)</f>
        <v/>
      </c>
      <c r="AB5647" s="7" t="n"/>
      <c r="AE5647" s="11" t="n"/>
      <c r="AG5647">
        <f>IF($C5647="","",IF(COUNTIF($C$2:$C5647,$C5647)=1,1,0))</f>
        <v/>
      </c>
      <c r="AH5647">
        <f>IF($AG5647=1,SUMPRODUCT(--($AK$2:$AK$6001&lt;$AK5647))+1,"")</f>
        <v/>
      </c>
      <c r="AI5647">
        <f>IF($C5647="","",IF(OR($N5647=TRUE(),$N5647="TRUE"),1,0))</f>
        <v/>
      </c>
      <c r="AJ5647">
        <f>IF($C5647="","",IF($T5647="Yes",1,0))</f>
        <v/>
      </c>
      <c r="AK5647">
        <f>IF($AG5647=1,IFERROR(IF(VALUE($C5647)&lt;100000000,VALUE($C5647),1000000000),IFERROR(IF(VALUE(MID($C5647,2,20))&lt;100000000,VALUE(MID($C5647,2,20)),1000000000),1000000000))+ROW()/100000,"")</f>
        <v/>
      </c>
    </row>
    <row r="5648">
      <c r="D5648" s="11" t="n"/>
      <c r="K5648" s="7">
        <f>IF($C5648="","",J5648*W5648/100)</f>
        <v/>
      </c>
      <c r="Q5648" s="7" t="n"/>
      <c r="R5648" s="7" t="n"/>
      <c r="U5648">
        <f>IF($C5648="","",IF($AJ5648=1,0,IF($AI5648=1,Settings!$C$6,Settings!$C$7))*100)</f>
        <v/>
      </c>
      <c r="V5648" s="7">
        <f>IF($C5648="","",R5648*U5648/100)</f>
        <v/>
      </c>
      <c r="W5648" s="7">
        <f>IF($C5648="","",R5648-V5648)</f>
        <v/>
      </c>
      <c r="X5648" s="7">
        <f>IF($C5648="","",W5648-K5648)</f>
        <v/>
      </c>
      <c r="AB5648" s="7" t="n"/>
      <c r="AE5648" s="11" t="n"/>
      <c r="AG5648">
        <f>IF($C5648="","",IF(COUNTIF($C$2:$C5648,$C5648)=1,1,0))</f>
        <v/>
      </c>
      <c r="AH5648">
        <f>IF($AG5648=1,SUMPRODUCT(--($AK$2:$AK$6001&lt;$AK5648))+1,"")</f>
        <v/>
      </c>
      <c r="AI5648">
        <f>IF($C5648="","",IF(OR($N5648=TRUE(),$N5648="TRUE"),1,0))</f>
        <v/>
      </c>
      <c r="AJ5648">
        <f>IF($C5648="","",IF($T5648="Yes",1,0))</f>
        <v/>
      </c>
      <c r="AK5648">
        <f>IF($AG5648=1,IFERROR(IF(VALUE($C5648)&lt;100000000,VALUE($C5648),1000000000),IFERROR(IF(VALUE(MID($C5648,2,20))&lt;100000000,VALUE(MID($C5648,2,20)),1000000000),1000000000))+ROW()/100000,"")</f>
        <v/>
      </c>
    </row>
    <row r="5649">
      <c r="D5649" s="11" t="n"/>
      <c r="K5649" s="7">
        <f>IF($C5649="","",J5649*W5649/100)</f>
        <v/>
      </c>
      <c r="Q5649" s="7" t="n"/>
      <c r="R5649" s="7" t="n"/>
      <c r="U5649">
        <f>IF($C5649="","",IF($AJ5649=1,0,IF($AI5649=1,Settings!$C$6,Settings!$C$7))*100)</f>
        <v/>
      </c>
      <c r="V5649" s="7">
        <f>IF($C5649="","",R5649*U5649/100)</f>
        <v/>
      </c>
      <c r="W5649" s="7">
        <f>IF($C5649="","",R5649-V5649)</f>
        <v/>
      </c>
      <c r="X5649" s="7">
        <f>IF($C5649="","",W5649-K5649)</f>
        <v/>
      </c>
      <c r="AB5649" s="7" t="n"/>
      <c r="AE5649" s="11" t="n"/>
      <c r="AG5649">
        <f>IF($C5649="","",IF(COUNTIF($C$2:$C5649,$C5649)=1,1,0))</f>
        <v/>
      </c>
      <c r="AH5649">
        <f>IF($AG5649=1,SUMPRODUCT(--($AK$2:$AK$6001&lt;$AK5649))+1,"")</f>
        <v/>
      </c>
      <c r="AI5649">
        <f>IF($C5649="","",IF(OR($N5649=TRUE(),$N5649="TRUE"),1,0))</f>
        <v/>
      </c>
      <c r="AJ5649">
        <f>IF($C5649="","",IF($T5649="Yes",1,0))</f>
        <v/>
      </c>
      <c r="AK5649">
        <f>IF($AG5649=1,IFERROR(IF(VALUE($C5649)&lt;100000000,VALUE($C5649),1000000000),IFERROR(IF(VALUE(MID($C5649,2,20))&lt;100000000,VALUE(MID($C5649,2,20)),1000000000),1000000000))+ROW()/100000,"")</f>
        <v/>
      </c>
    </row>
    <row r="5650">
      <c r="D5650" s="11" t="n"/>
      <c r="K5650" s="7">
        <f>IF($C5650="","",J5650*W5650/100)</f>
        <v/>
      </c>
      <c r="Q5650" s="7" t="n"/>
      <c r="R5650" s="7" t="n"/>
      <c r="U5650">
        <f>IF($C5650="","",IF($AJ5650=1,0,IF($AI5650=1,Settings!$C$6,Settings!$C$7))*100)</f>
        <v/>
      </c>
      <c r="V5650" s="7">
        <f>IF($C5650="","",R5650*U5650/100)</f>
        <v/>
      </c>
      <c r="W5650" s="7">
        <f>IF($C5650="","",R5650-V5650)</f>
        <v/>
      </c>
      <c r="X5650" s="7">
        <f>IF($C5650="","",W5650-K5650)</f>
        <v/>
      </c>
      <c r="AB5650" s="7" t="n"/>
      <c r="AE5650" s="11" t="n"/>
      <c r="AG5650">
        <f>IF($C5650="","",IF(COUNTIF($C$2:$C5650,$C5650)=1,1,0))</f>
        <v/>
      </c>
      <c r="AH5650">
        <f>IF($AG5650=1,SUMPRODUCT(--($AK$2:$AK$6001&lt;$AK5650))+1,"")</f>
        <v/>
      </c>
      <c r="AI5650">
        <f>IF($C5650="","",IF(OR($N5650=TRUE(),$N5650="TRUE"),1,0))</f>
        <v/>
      </c>
      <c r="AJ5650">
        <f>IF($C5650="","",IF($T5650="Yes",1,0))</f>
        <v/>
      </c>
      <c r="AK5650">
        <f>IF($AG5650=1,IFERROR(IF(VALUE($C5650)&lt;100000000,VALUE($C5650),1000000000),IFERROR(IF(VALUE(MID($C5650,2,20))&lt;100000000,VALUE(MID($C5650,2,20)),1000000000),1000000000))+ROW()/100000,"")</f>
        <v/>
      </c>
    </row>
    <row r="5651">
      <c r="D5651" s="11" t="n"/>
      <c r="K5651" s="7">
        <f>IF($C5651="","",J5651*W5651/100)</f>
        <v/>
      </c>
      <c r="Q5651" s="7" t="n"/>
      <c r="R5651" s="7" t="n"/>
      <c r="U5651">
        <f>IF($C5651="","",IF($AJ5651=1,0,IF($AI5651=1,Settings!$C$6,Settings!$C$7))*100)</f>
        <v/>
      </c>
      <c r="V5651" s="7">
        <f>IF($C5651="","",R5651*U5651/100)</f>
        <v/>
      </c>
      <c r="W5651" s="7">
        <f>IF($C5651="","",R5651-V5651)</f>
        <v/>
      </c>
      <c r="X5651" s="7">
        <f>IF($C5651="","",W5651-K5651)</f>
        <v/>
      </c>
      <c r="AB5651" s="7" t="n"/>
      <c r="AE5651" s="11" t="n"/>
      <c r="AG5651">
        <f>IF($C5651="","",IF(COUNTIF($C$2:$C5651,$C5651)=1,1,0))</f>
        <v/>
      </c>
      <c r="AH5651">
        <f>IF($AG5651=1,SUMPRODUCT(--($AK$2:$AK$6001&lt;$AK5651))+1,"")</f>
        <v/>
      </c>
      <c r="AI5651">
        <f>IF($C5651="","",IF(OR($N5651=TRUE(),$N5651="TRUE"),1,0))</f>
        <v/>
      </c>
      <c r="AJ5651">
        <f>IF($C5651="","",IF($T5651="Yes",1,0))</f>
        <v/>
      </c>
      <c r="AK5651">
        <f>IF($AG5651=1,IFERROR(IF(VALUE($C5651)&lt;100000000,VALUE($C5651),1000000000),IFERROR(IF(VALUE(MID($C5651,2,20))&lt;100000000,VALUE(MID($C5651,2,20)),1000000000),1000000000))+ROW()/100000,"")</f>
        <v/>
      </c>
    </row>
    <row r="5652">
      <c r="D5652" s="11" t="n"/>
      <c r="K5652" s="7">
        <f>IF($C5652="","",J5652*W5652/100)</f>
        <v/>
      </c>
      <c r="Q5652" s="7" t="n"/>
      <c r="R5652" s="7" t="n"/>
      <c r="U5652">
        <f>IF($C5652="","",IF($AJ5652=1,0,IF($AI5652=1,Settings!$C$6,Settings!$C$7))*100)</f>
        <v/>
      </c>
      <c r="V5652" s="7">
        <f>IF($C5652="","",R5652*U5652/100)</f>
        <v/>
      </c>
      <c r="W5652" s="7">
        <f>IF($C5652="","",R5652-V5652)</f>
        <v/>
      </c>
      <c r="X5652" s="7">
        <f>IF($C5652="","",W5652-K5652)</f>
        <v/>
      </c>
      <c r="AB5652" s="7" t="n"/>
      <c r="AE5652" s="11" t="n"/>
      <c r="AG5652">
        <f>IF($C5652="","",IF(COUNTIF($C$2:$C5652,$C5652)=1,1,0))</f>
        <v/>
      </c>
      <c r="AH5652">
        <f>IF($AG5652=1,SUMPRODUCT(--($AK$2:$AK$6001&lt;$AK5652))+1,"")</f>
        <v/>
      </c>
      <c r="AI5652">
        <f>IF($C5652="","",IF(OR($N5652=TRUE(),$N5652="TRUE"),1,0))</f>
        <v/>
      </c>
      <c r="AJ5652">
        <f>IF($C5652="","",IF($T5652="Yes",1,0))</f>
        <v/>
      </c>
      <c r="AK5652">
        <f>IF($AG5652=1,IFERROR(IF(VALUE($C5652)&lt;100000000,VALUE($C5652),1000000000),IFERROR(IF(VALUE(MID($C5652,2,20))&lt;100000000,VALUE(MID($C5652,2,20)),1000000000),1000000000))+ROW()/100000,"")</f>
        <v/>
      </c>
    </row>
    <row r="5653">
      <c r="D5653" s="11" t="n"/>
      <c r="K5653" s="7">
        <f>IF($C5653="","",J5653*W5653/100)</f>
        <v/>
      </c>
      <c r="Q5653" s="7" t="n"/>
      <c r="R5653" s="7" t="n"/>
      <c r="U5653">
        <f>IF($C5653="","",IF($AJ5653=1,0,IF($AI5653=1,Settings!$C$6,Settings!$C$7))*100)</f>
        <v/>
      </c>
      <c r="V5653" s="7">
        <f>IF($C5653="","",R5653*U5653/100)</f>
        <v/>
      </c>
      <c r="W5653" s="7">
        <f>IF($C5653="","",R5653-V5653)</f>
        <v/>
      </c>
      <c r="X5653" s="7">
        <f>IF($C5653="","",W5653-K5653)</f>
        <v/>
      </c>
      <c r="AB5653" s="7" t="n"/>
      <c r="AE5653" s="11" t="n"/>
      <c r="AG5653">
        <f>IF($C5653="","",IF(COUNTIF($C$2:$C5653,$C5653)=1,1,0))</f>
        <v/>
      </c>
      <c r="AH5653">
        <f>IF($AG5653=1,SUMPRODUCT(--($AK$2:$AK$6001&lt;$AK5653))+1,"")</f>
        <v/>
      </c>
      <c r="AI5653">
        <f>IF($C5653="","",IF(OR($N5653=TRUE(),$N5653="TRUE"),1,0))</f>
        <v/>
      </c>
      <c r="AJ5653">
        <f>IF($C5653="","",IF($T5653="Yes",1,0))</f>
        <v/>
      </c>
      <c r="AK5653">
        <f>IF($AG5653=1,IFERROR(IF(VALUE($C5653)&lt;100000000,VALUE($C5653),1000000000),IFERROR(IF(VALUE(MID($C5653,2,20))&lt;100000000,VALUE(MID($C5653,2,20)),1000000000),1000000000))+ROW()/100000,"")</f>
        <v/>
      </c>
    </row>
    <row r="5654">
      <c r="D5654" s="11" t="n"/>
      <c r="K5654" s="7">
        <f>IF($C5654="","",J5654*W5654/100)</f>
        <v/>
      </c>
      <c r="Q5654" s="7" t="n"/>
      <c r="R5654" s="7" t="n"/>
      <c r="U5654">
        <f>IF($C5654="","",IF($AJ5654=1,0,IF($AI5654=1,Settings!$C$6,Settings!$C$7))*100)</f>
        <v/>
      </c>
      <c r="V5654" s="7">
        <f>IF($C5654="","",R5654*U5654/100)</f>
        <v/>
      </c>
      <c r="W5654" s="7">
        <f>IF($C5654="","",R5654-V5654)</f>
        <v/>
      </c>
      <c r="X5654" s="7">
        <f>IF($C5654="","",W5654-K5654)</f>
        <v/>
      </c>
      <c r="AB5654" s="7" t="n"/>
      <c r="AE5654" s="11" t="n"/>
      <c r="AG5654">
        <f>IF($C5654="","",IF(COUNTIF($C$2:$C5654,$C5654)=1,1,0))</f>
        <v/>
      </c>
      <c r="AH5654">
        <f>IF($AG5654=1,SUMPRODUCT(--($AK$2:$AK$6001&lt;$AK5654))+1,"")</f>
        <v/>
      </c>
      <c r="AI5654">
        <f>IF($C5654="","",IF(OR($N5654=TRUE(),$N5654="TRUE"),1,0))</f>
        <v/>
      </c>
      <c r="AJ5654">
        <f>IF($C5654="","",IF($T5654="Yes",1,0))</f>
        <v/>
      </c>
      <c r="AK5654">
        <f>IF($AG5654=1,IFERROR(IF(VALUE($C5654)&lt;100000000,VALUE($C5654),1000000000),IFERROR(IF(VALUE(MID($C5654,2,20))&lt;100000000,VALUE(MID($C5654,2,20)),1000000000),1000000000))+ROW()/100000,"")</f>
        <v/>
      </c>
    </row>
    <row r="5655">
      <c r="D5655" s="11" t="n"/>
      <c r="K5655" s="7">
        <f>IF($C5655="","",J5655*W5655/100)</f>
        <v/>
      </c>
      <c r="Q5655" s="7" t="n"/>
      <c r="R5655" s="7" t="n"/>
      <c r="U5655">
        <f>IF($C5655="","",IF($AJ5655=1,0,IF($AI5655=1,Settings!$C$6,Settings!$C$7))*100)</f>
        <v/>
      </c>
      <c r="V5655" s="7">
        <f>IF($C5655="","",R5655*U5655/100)</f>
        <v/>
      </c>
      <c r="W5655" s="7">
        <f>IF($C5655="","",R5655-V5655)</f>
        <v/>
      </c>
      <c r="X5655" s="7">
        <f>IF($C5655="","",W5655-K5655)</f>
        <v/>
      </c>
      <c r="AB5655" s="7" t="n"/>
      <c r="AE5655" s="11" t="n"/>
      <c r="AG5655">
        <f>IF($C5655="","",IF(COUNTIF($C$2:$C5655,$C5655)=1,1,0))</f>
        <v/>
      </c>
      <c r="AH5655">
        <f>IF($AG5655=1,SUMPRODUCT(--($AK$2:$AK$6001&lt;$AK5655))+1,"")</f>
        <v/>
      </c>
      <c r="AI5655">
        <f>IF($C5655="","",IF(OR($N5655=TRUE(),$N5655="TRUE"),1,0))</f>
        <v/>
      </c>
      <c r="AJ5655">
        <f>IF($C5655="","",IF($T5655="Yes",1,0))</f>
        <v/>
      </c>
      <c r="AK5655">
        <f>IF($AG5655=1,IFERROR(IF(VALUE($C5655)&lt;100000000,VALUE($C5655),1000000000),IFERROR(IF(VALUE(MID($C5655,2,20))&lt;100000000,VALUE(MID($C5655,2,20)),1000000000),1000000000))+ROW()/100000,"")</f>
        <v/>
      </c>
    </row>
    <row r="5656">
      <c r="D5656" s="11" t="n"/>
      <c r="K5656" s="7">
        <f>IF($C5656="","",J5656*W5656/100)</f>
        <v/>
      </c>
      <c r="Q5656" s="7" t="n"/>
      <c r="R5656" s="7" t="n"/>
      <c r="U5656">
        <f>IF($C5656="","",IF($AJ5656=1,0,IF($AI5656=1,Settings!$C$6,Settings!$C$7))*100)</f>
        <v/>
      </c>
      <c r="V5656" s="7">
        <f>IF($C5656="","",R5656*U5656/100)</f>
        <v/>
      </c>
      <c r="W5656" s="7">
        <f>IF($C5656="","",R5656-V5656)</f>
        <v/>
      </c>
      <c r="X5656" s="7">
        <f>IF($C5656="","",W5656-K5656)</f>
        <v/>
      </c>
      <c r="AB5656" s="7" t="n"/>
      <c r="AE5656" s="11" t="n"/>
      <c r="AG5656">
        <f>IF($C5656="","",IF(COUNTIF($C$2:$C5656,$C5656)=1,1,0))</f>
        <v/>
      </c>
      <c r="AH5656">
        <f>IF($AG5656=1,SUMPRODUCT(--($AK$2:$AK$6001&lt;$AK5656))+1,"")</f>
        <v/>
      </c>
      <c r="AI5656">
        <f>IF($C5656="","",IF(OR($N5656=TRUE(),$N5656="TRUE"),1,0))</f>
        <v/>
      </c>
      <c r="AJ5656">
        <f>IF($C5656="","",IF($T5656="Yes",1,0))</f>
        <v/>
      </c>
      <c r="AK5656">
        <f>IF($AG5656=1,IFERROR(IF(VALUE($C5656)&lt;100000000,VALUE($C5656),1000000000),IFERROR(IF(VALUE(MID($C5656,2,20))&lt;100000000,VALUE(MID($C5656,2,20)),1000000000),1000000000))+ROW()/100000,"")</f>
        <v/>
      </c>
    </row>
    <row r="5657">
      <c r="D5657" s="11" t="n"/>
      <c r="K5657" s="7">
        <f>IF($C5657="","",J5657*W5657/100)</f>
        <v/>
      </c>
      <c r="Q5657" s="7" t="n"/>
      <c r="R5657" s="7" t="n"/>
      <c r="U5657">
        <f>IF($C5657="","",IF($AJ5657=1,0,IF($AI5657=1,Settings!$C$6,Settings!$C$7))*100)</f>
        <v/>
      </c>
      <c r="V5657" s="7">
        <f>IF($C5657="","",R5657*U5657/100)</f>
        <v/>
      </c>
      <c r="W5657" s="7">
        <f>IF($C5657="","",R5657-V5657)</f>
        <v/>
      </c>
      <c r="X5657" s="7">
        <f>IF($C5657="","",W5657-K5657)</f>
        <v/>
      </c>
      <c r="AB5657" s="7" t="n"/>
      <c r="AE5657" s="11" t="n"/>
      <c r="AG5657">
        <f>IF($C5657="","",IF(COUNTIF($C$2:$C5657,$C5657)=1,1,0))</f>
        <v/>
      </c>
      <c r="AH5657">
        <f>IF($AG5657=1,SUMPRODUCT(--($AK$2:$AK$6001&lt;$AK5657))+1,"")</f>
        <v/>
      </c>
      <c r="AI5657">
        <f>IF($C5657="","",IF(OR($N5657=TRUE(),$N5657="TRUE"),1,0))</f>
        <v/>
      </c>
      <c r="AJ5657">
        <f>IF($C5657="","",IF($T5657="Yes",1,0))</f>
        <v/>
      </c>
      <c r="AK5657">
        <f>IF($AG5657=1,IFERROR(IF(VALUE($C5657)&lt;100000000,VALUE($C5657),1000000000),IFERROR(IF(VALUE(MID($C5657,2,20))&lt;100000000,VALUE(MID($C5657,2,20)),1000000000),1000000000))+ROW()/100000,"")</f>
        <v/>
      </c>
    </row>
    <row r="5658">
      <c r="D5658" s="11" t="n"/>
      <c r="K5658" s="7">
        <f>IF($C5658="","",J5658*W5658/100)</f>
        <v/>
      </c>
      <c r="Q5658" s="7" t="n"/>
      <c r="R5658" s="7" t="n"/>
      <c r="U5658">
        <f>IF($C5658="","",IF($AJ5658=1,0,IF($AI5658=1,Settings!$C$6,Settings!$C$7))*100)</f>
        <v/>
      </c>
      <c r="V5658" s="7">
        <f>IF($C5658="","",R5658*U5658/100)</f>
        <v/>
      </c>
      <c r="W5658" s="7">
        <f>IF($C5658="","",R5658-V5658)</f>
        <v/>
      </c>
      <c r="X5658" s="7">
        <f>IF($C5658="","",W5658-K5658)</f>
        <v/>
      </c>
      <c r="AB5658" s="7" t="n"/>
      <c r="AE5658" s="11" t="n"/>
      <c r="AG5658">
        <f>IF($C5658="","",IF(COUNTIF($C$2:$C5658,$C5658)=1,1,0))</f>
        <v/>
      </c>
      <c r="AH5658">
        <f>IF($AG5658=1,SUMPRODUCT(--($AK$2:$AK$6001&lt;$AK5658))+1,"")</f>
        <v/>
      </c>
      <c r="AI5658">
        <f>IF($C5658="","",IF(OR($N5658=TRUE(),$N5658="TRUE"),1,0))</f>
        <v/>
      </c>
      <c r="AJ5658">
        <f>IF($C5658="","",IF($T5658="Yes",1,0))</f>
        <v/>
      </c>
      <c r="AK5658">
        <f>IF($AG5658=1,IFERROR(IF(VALUE($C5658)&lt;100000000,VALUE($C5658),1000000000),IFERROR(IF(VALUE(MID($C5658,2,20))&lt;100000000,VALUE(MID($C5658,2,20)),1000000000),1000000000))+ROW()/100000,"")</f>
        <v/>
      </c>
    </row>
    <row r="5659">
      <c r="D5659" s="11" t="n"/>
      <c r="K5659" s="7">
        <f>IF($C5659="","",J5659*W5659/100)</f>
        <v/>
      </c>
      <c r="Q5659" s="7" t="n"/>
      <c r="R5659" s="7" t="n"/>
      <c r="U5659">
        <f>IF($C5659="","",IF($AJ5659=1,0,IF($AI5659=1,Settings!$C$6,Settings!$C$7))*100)</f>
        <v/>
      </c>
      <c r="V5659" s="7">
        <f>IF($C5659="","",R5659*U5659/100)</f>
        <v/>
      </c>
      <c r="W5659" s="7">
        <f>IF($C5659="","",R5659-V5659)</f>
        <v/>
      </c>
      <c r="X5659" s="7">
        <f>IF($C5659="","",W5659-K5659)</f>
        <v/>
      </c>
      <c r="AB5659" s="7" t="n"/>
      <c r="AE5659" s="11" t="n"/>
      <c r="AG5659">
        <f>IF($C5659="","",IF(COUNTIF($C$2:$C5659,$C5659)=1,1,0))</f>
        <v/>
      </c>
      <c r="AH5659">
        <f>IF($AG5659=1,SUMPRODUCT(--($AK$2:$AK$6001&lt;$AK5659))+1,"")</f>
        <v/>
      </c>
      <c r="AI5659">
        <f>IF($C5659="","",IF(OR($N5659=TRUE(),$N5659="TRUE"),1,0))</f>
        <v/>
      </c>
      <c r="AJ5659">
        <f>IF($C5659="","",IF($T5659="Yes",1,0))</f>
        <v/>
      </c>
      <c r="AK5659">
        <f>IF($AG5659=1,IFERROR(IF(VALUE($C5659)&lt;100000000,VALUE($C5659),1000000000),IFERROR(IF(VALUE(MID($C5659,2,20))&lt;100000000,VALUE(MID($C5659,2,20)),1000000000),1000000000))+ROW()/100000,"")</f>
        <v/>
      </c>
    </row>
    <row r="5660">
      <c r="D5660" s="11" t="n"/>
      <c r="K5660" s="7">
        <f>IF($C5660="","",J5660*W5660/100)</f>
        <v/>
      </c>
      <c r="Q5660" s="7" t="n"/>
      <c r="R5660" s="7" t="n"/>
      <c r="U5660">
        <f>IF($C5660="","",IF($AJ5660=1,0,IF($AI5660=1,Settings!$C$6,Settings!$C$7))*100)</f>
        <v/>
      </c>
      <c r="V5660" s="7">
        <f>IF($C5660="","",R5660*U5660/100)</f>
        <v/>
      </c>
      <c r="W5660" s="7">
        <f>IF($C5660="","",R5660-V5660)</f>
        <v/>
      </c>
      <c r="X5660" s="7">
        <f>IF($C5660="","",W5660-K5660)</f>
        <v/>
      </c>
      <c r="AB5660" s="7" t="n"/>
      <c r="AE5660" s="11" t="n"/>
      <c r="AG5660">
        <f>IF($C5660="","",IF(COUNTIF($C$2:$C5660,$C5660)=1,1,0))</f>
        <v/>
      </c>
      <c r="AH5660">
        <f>IF($AG5660=1,SUMPRODUCT(--($AK$2:$AK$6001&lt;$AK5660))+1,"")</f>
        <v/>
      </c>
      <c r="AI5660">
        <f>IF($C5660="","",IF(OR($N5660=TRUE(),$N5660="TRUE"),1,0))</f>
        <v/>
      </c>
      <c r="AJ5660">
        <f>IF($C5660="","",IF($T5660="Yes",1,0))</f>
        <v/>
      </c>
      <c r="AK5660">
        <f>IF($AG5660=1,IFERROR(IF(VALUE($C5660)&lt;100000000,VALUE($C5660),1000000000),IFERROR(IF(VALUE(MID($C5660,2,20))&lt;100000000,VALUE(MID($C5660,2,20)),1000000000),1000000000))+ROW()/100000,"")</f>
        <v/>
      </c>
    </row>
    <row r="5661">
      <c r="D5661" s="11" t="n"/>
      <c r="K5661" s="7">
        <f>IF($C5661="","",J5661*W5661/100)</f>
        <v/>
      </c>
      <c r="Q5661" s="7" t="n"/>
      <c r="R5661" s="7" t="n"/>
      <c r="U5661">
        <f>IF($C5661="","",IF($AJ5661=1,0,IF($AI5661=1,Settings!$C$6,Settings!$C$7))*100)</f>
        <v/>
      </c>
      <c r="V5661" s="7">
        <f>IF($C5661="","",R5661*U5661/100)</f>
        <v/>
      </c>
      <c r="W5661" s="7">
        <f>IF($C5661="","",R5661-V5661)</f>
        <v/>
      </c>
      <c r="X5661" s="7">
        <f>IF($C5661="","",W5661-K5661)</f>
        <v/>
      </c>
      <c r="AB5661" s="7" t="n"/>
      <c r="AE5661" s="11" t="n"/>
      <c r="AG5661">
        <f>IF($C5661="","",IF(COUNTIF($C$2:$C5661,$C5661)=1,1,0))</f>
        <v/>
      </c>
      <c r="AH5661">
        <f>IF($AG5661=1,SUMPRODUCT(--($AK$2:$AK$6001&lt;$AK5661))+1,"")</f>
        <v/>
      </c>
      <c r="AI5661">
        <f>IF($C5661="","",IF(OR($N5661=TRUE(),$N5661="TRUE"),1,0))</f>
        <v/>
      </c>
      <c r="AJ5661">
        <f>IF($C5661="","",IF($T5661="Yes",1,0))</f>
        <v/>
      </c>
      <c r="AK5661">
        <f>IF($AG5661=1,IFERROR(IF(VALUE($C5661)&lt;100000000,VALUE($C5661),1000000000),IFERROR(IF(VALUE(MID($C5661,2,20))&lt;100000000,VALUE(MID($C5661,2,20)),1000000000),1000000000))+ROW()/100000,"")</f>
        <v/>
      </c>
    </row>
    <row r="5662">
      <c r="D5662" s="11" t="n"/>
      <c r="K5662" s="7">
        <f>IF($C5662="","",J5662*W5662/100)</f>
        <v/>
      </c>
      <c r="Q5662" s="7" t="n"/>
      <c r="R5662" s="7" t="n"/>
      <c r="U5662">
        <f>IF($C5662="","",IF($AJ5662=1,0,IF($AI5662=1,Settings!$C$6,Settings!$C$7))*100)</f>
        <v/>
      </c>
      <c r="V5662" s="7">
        <f>IF($C5662="","",R5662*U5662/100)</f>
        <v/>
      </c>
      <c r="W5662" s="7">
        <f>IF($C5662="","",R5662-V5662)</f>
        <v/>
      </c>
      <c r="X5662" s="7">
        <f>IF($C5662="","",W5662-K5662)</f>
        <v/>
      </c>
      <c r="AB5662" s="7" t="n"/>
      <c r="AE5662" s="11" t="n"/>
      <c r="AG5662">
        <f>IF($C5662="","",IF(COUNTIF($C$2:$C5662,$C5662)=1,1,0))</f>
        <v/>
      </c>
      <c r="AH5662">
        <f>IF($AG5662=1,SUMPRODUCT(--($AK$2:$AK$6001&lt;$AK5662))+1,"")</f>
        <v/>
      </c>
      <c r="AI5662">
        <f>IF($C5662="","",IF(OR($N5662=TRUE(),$N5662="TRUE"),1,0))</f>
        <v/>
      </c>
      <c r="AJ5662">
        <f>IF($C5662="","",IF($T5662="Yes",1,0))</f>
        <v/>
      </c>
      <c r="AK5662">
        <f>IF($AG5662=1,IFERROR(IF(VALUE($C5662)&lt;100000000,VALUE($C5662),1000000000),IFERROR(IF(VALUE(MID($C5662,2,20))&lt;100000000,VALUE(MID($C5662,2,20)),1000000000),1000000000))+ROW()/100000,"")</f>
        <v/>
      </c>
    </row>
    <row r="5663">
      <c r="D5663" s="11" t="n"/>
      <c r="K5663" s="7">
        <f>IF($C5663="","",J5663*W5663/100)</f>
        <v/>
      </c>
      <c r="Q5663" s="7" t="n"/>
      <c r="R5663" s="7" t="n"/>
      <c r="U5663">
        <f>IF($C5663="","",IF($AJ5663=1,0,IF($AI5663=1,Settings!$C$6,Settings!$C$7))*100)</f>
        <v/>
      </c>
      <c r="V5663" s="7">
        <f>IF($C5663="","",R5663*U5663/100)</f>
        <v/>
      </c>
      <c r="W5663" s="7">
        <f>IF($C5663="","",R5663-V5663)</f>
        <v/>
      </c>
      <c r="X5663" s="7">
        <f>IF($C5663="","",W5663-K5663)</f>
        <v/>
      </c>
      <c r="AB5663" s="7" t="n"/>
      <c r="AE5663" s="11" t="n"/>
      <c r="AG5663">
        <f>IF($C5663="","",IF(COUNTIF($C$2:$C5663,$C5663)=1,1,0))</f>
        <v/>
      </c>
      <c r="AH5663">
        <f>IF($AG5663=1,SUMPRODUCT(--($AK$2:$AK$6001&lt;$AK5663))+1,"")</f>
        <v/>
      </c>
      <c r="AI5663">
        <f>IF($C5663="","",IF(OR($N5663=TRUE(),$N5663="TRUE"),1,0))</f>
        <v/>
      </c>
      <c r="AJ5663">
        <f>IF($C5663="","",IF($T5663="Yes",1,0))</f>
        <v/>
      </c>
      <c r="AK5663">
        <f>IF($AG5663=1,IFERROR(IF(VALUE($C5663)&lt;100000000,VALUE($C5663),1000000000),IFERROR(IF(VALUE(MID($C5663,2,20))&lt;100000000,VALUE(MID($C5663,2,20)),1000000000),1000000000))+ROW()/100000,"")</f>
        <v/>
      </c>
    </row>
    <row r="5664">
      <c r="D5664" s="11" t="n"/>
      <c r="K5664" s="7">
        <f>IF($C5664="","",J5664*W5664/100)</f>
        <v/>
      </c>
      <c r="Q5664" s="7" t="n"/>
      <c r="R5664" s="7" t="n"/>
      <c r="U5664">
        <f>IF($C5664="","",IF($AJ5664=1,0,IF($AI5664=1,Settings!$C$6,Settings!$C$7))*100)</f>
        <v/>
      </c>
      <c r="V5664" s="7">
        <f>IF($C5664="","",R5664*U5664/100)</f>
        <v/>
      </c>
      <c r="W5664" s="7">
        <f>IF($C5664="","",R5664-V5664)</f>
        <v/>
      </c>
      <c r="X5664" s="7">
        <f>IF($C5664="","",W5664-K5664)</f>
        <v/>
      </c>
      <c r="AB5664" s="7" t="n"/>
      <c r="AE5664" s="11" t="n"/>
      <c r="AG5664">
        <f>IF($C5664="","",IF(COUNTIF($C$2:$C5664,$C5664)=1,1,0))</f>
        <v/>
      </c>
      <c r="AH5664">
        <f>IF($AG5664=1,SUMPRODUCT(--($AK$2:$AK$6001&lt;$AK5664))+1,"")</f>
        <v/>
      </c>
      <c r="AI5664">
        <f>IF($C5664="","",IF(OR($N5664=TRUE(),$N5664="TRUE"),1,0))</f>
        <v/>
      </c>
      <c r="AJ5664">
        <f>IF($C5664="","",IF($T5664="Yes",1,0))</f>
        <v/>
      </c>
      <c r="AK5664">
        <f>IF($AG5664=1,IFERROR(IF(VALUE($C5664)&lt;100000000,VALUE($C5664),1000000000),IFERROR(IF(VALUE(MID($C5664,2,20))&lt;100000000,VALUE(MID($C5664,2,20)),1000000000),1000000000))+ROW()/100000,"")</f>
        <v/>
      </c>
    </row>
    <row r="5665">
      <c r="D5665" s="11" t="n"/>
      <c r="K5665" s="7">
        <f>IF($C5665="","",J5665*W5665/100)</f>
        <v/>
      </c>
      <c r="Q5665" s="7" t="n"/>
      <c r="R5665" s="7" t="n"/>
      <c r="U5665">
        <f>IF($C5665="","",IF($AJ5665=1,0,IF($AI5665=1,Settings!$C$6,Settings!$C$7))*100)</f>
        <v/>
      </c>
      <c r="V5665" s="7">
        <f>IF($C5665="","",R5665*U5665/100)</f>
        <v/>
      </c>
      <c r="W5665" s="7">
        <f>IF($C5665="","",R5665-V5665)</f>
        <v/>
      </c>
      <c r="X5665" s="7">
        <f>IF($C5665="","",W5665-K5665)</f>
        <v/>
      </c>
      <c r="AB5665" s="7" t="n"/>
      <c r="AE5665" s="11" t="n"/>
      <c r="AG5665">
        <f>IF($C5665="","",IF(COUNTIF($C$2:$C5665,$C5665)=1,1,0))</f>
        <v/>
      </c>
      <c r="AH5665">
        <f>IF($AG5665=1,SUMPRODUCT(--($AK$2:$AK$6001&lt;$AK5665))+1,"")</f>
        <v/>
      </c>
      <c r="AI5665">
        <f>IF($C5665="","",IF(OR($N5665=TRUE(),$N5665="TRUE"),1,0))</f>
        <v/>
      </c>
      <c r="AJ5665">
        <f>IF($C5665="","",IF($T5665="Yes",1,0))</f>
        <v/>
      </c>
      <c r="AK5665">
        <f>IF($AG5665=1,IFERROR(IF(VALUE($C5665)&lt;100000000,VALUE($C5665),1000000000),IFERROR(IF(VALUE(MID($C5665,2,20))&lt;100000000,VALUE(MID($C5665,2,20)),1000000000),1000000000))+ROW()/100000,"")</f>
        <v/>
      </c>
    </row>
    <row r="5666">
      <c r="D5666" s="11" t="n"/>
      <c r="K5666" s="7">
        <f>IF($C5666="","",J5666*W5666/100)</f>
        <v/>
      </c>
      <c r="Q5666" s="7" t="n"/>
      <c r="R5666" s="7" t="n"/>
      <c r="U5666">
        <f>IF($C5666="","",IF($AJ5666=1,0,IF($AI5666=1,Settings!$C$6,Settings!$C$7))*100)</f>
        <v/>
      </c>
      <c r="V5666" s="7">
        <f>IF($C5666="","",R5666*U5666/100)</f>
        <v/>
      </c>
      <c r="W5666" s="7">
        <f>IF($C5666="","",R5666-V5666)</f>
        <v/>
      </c>
      <c r="X5666" s="7">
        <f>IF($C5666="","",W5666-K5666)</f>
        <v/>
      </c>
      <c r="AB5666" s="7" t="n"/>
      <c r="AE5666" s="11" t="n"/>
      <c r="AG5666">
        <f>IF($C5666="","",IF(COUNTIF($C$2:$C5666,$C5666)=1,1,0))</f>
        <v/>
      </c>
      <c r="AH5666">
        <f>IF($AG5666=1,SUMPRODUCT(--($AK$2:$AK$6001&lt;$AK5666))+1,"")</f>
        <v/>
      </c>
      <c r="AI5666">
        <f>IF($C5666="","",IF(OR($N5666=TRUE(),$N5666="TRUE"),1,0))</f>
        <v/>
      </c>
      <c r="AJ5666">
        <f>IF($C5666="","",IF($T5666="Yes",1,0))</f>
        <v/>
      </c>
      <c r="AK5666">
        <f>IF($AG5666=1,IFERROR(IF(VALUE($C5666)&lt;100000000,VALUE($C5666),1000000000),IFERROR(IF(VALUE(MID($C5666,2,20))&lt;100000000,VALUE(MID($C5666,2,20)),1000000000),1000000000))+ROW()/100000,"")</f>
        <v/>
      </c>
    </row>
    <row r="5667">
      <c r="D5667" s="11" t="n"/>
      <c r="K5667" s="7">
        <f>IF($C5667="","",J5667*W5667/100)</f>
        <v/>
      </c>
      <c r="Q5667" s="7" t="n"/>
      <c r="R5667" s="7" t="n"/>
      <c r="U5667">
        <f>IF($C5667="","",IF($AJ5667=1,0,IF($AI5667=1,Settings!$C$6,Settings!$C$7))*100)</f>
        <v/>
      </c>
      <c r="V5667" s="7">
        <f>IF($C5667="","",R5667*U5667/100)</f>
        <v/>
      </c>
      <c r="W5667" s="7">
        <f>IF($C5667="","",R5667-V5667)</f>
        <v/>
      </c>
      <c r="X5667" s="7">
        <f>IF($C5667="","",W5667-K5667)</f>
        <v/>
      </c>
      <c r="AB5667" s="7" t="n"/>
      <c r="AE5667" s="11" t="n"/>
      <c r="AG5667">
        <f>IF($C5667="","",IF(COUNTIF($C$2:$C5667,$C5667)=1,1,0))</f>
        <v/>
      </c>
      <c r="AH5667">
        <f>IF($AG5667=1,SUMPRODUCT(--($AK$2:$AK$6001&lt;$AK5667))+1,"")</f>
        <v/>
      </c>
      <c r="AI5667">
        <f>IF($C5667="","",IF(OR($N5667=TRUE(),$N5667="TRUE"),1,0))</f>
        <v/>
      </c>
      <c r="AJ5667">
        <f>IF($C5667="","",IF($T5667="Yes",1,0))</f>
        <v/>
      </c>
      <c r="AK5667">
        <f>IF($AG5667=1,IFERROR(IF(VALUE($C5667)&lt;100000000,VALUE($C5667),1000000000),IFERROR(IF(VALUE(MID($C5667,2,20))&lt;100000000,VALUE(MID($C5667,2,20)),1000000000),1000000000))+ROW()/100000,"")</f>
        <v/>
      </c>
    </row>
    <row r="5668">
      <c r="D5668" s="11" t="n"/>
      <c r="K5668" s="7">
        <f>IF($C5668="","",J5668*W5668/100)</f>
        <v/>
      </c>
      <c r="Q5668" s="7" t="n"/>
      <c r="R5668" s="7" t="n"/>
      <c r="U5668">
        <f>IF($C5668="","",IF($AJ5668=1,0,IF($AI5668=1,Settings!$C$6,Settings!$C$7))*100)</f>
        <v/>
      </c>
      <c r="V5668" s="7">
        <f>IF($C5668="","",R5668*U5668/100)</f>
        <v/>
      </c>
      <c r="W5668" s="7">
        <f>IF($C5668="","",R5668-V5668)</f>
        <v/>
      </c>
      <c r="X5668" s="7">
        <f>IF($C5668="","",W5668-K5668)</f>
        <v/>
      </c>
      <c r="AB5668" s="7" t="n"/>
      <c r="AE5668" s="11" t="n"/>
      <c r="AG5668">
        <f>IF($C5668="","",IF(COUNTIF($C$2:$C5668,$C5668)=1,1,0))</f>
        <v/>
      </c>
      <c r="AH5668">
        <f>IF($AG5668=1,SUMPRODUCT(--($AK$2:$AK$6001&lt;$AK5668))+1,"")</f>
        <v/>
      </c>
      <c r="AI5668">
        <f>IF($C5668="","",IF(OR($N5668=TRUE(),$N5668="TRUE"),1,0))</f>
        <v/>
      </c>
      <c r="AJ5668">
        <f>IF($C5668="","",IF($T5668="Yes",1,0))</f>
        <v/>
      </c>
      <c r="AK5668">
        <f>IF($AG5668=1,IFERROR(IF(VALUE($C5668)&lt;100000000,VALUE($C5668),1000000000),IFERROR(IF(VALUE(MID($C5668,2,20))&lt;100000000,VALUE(MID($C5668,2,20)),1000000000),1000000000))+ROW()/100000,"")</f>
        <v/>
      </c>
    </row>
    <row r="5669">
      <c r="D5669" s="11" t="n"/>
      <c r="K5669" s="7">
        <f>IF($C5669="","",J5669*W5669/100)</f>
        <v/>
      </c>
      <c r="Q5669" s="7" t="n"/>
      <c r="R5669" s="7" t="n"/>
      <c r="U5669">
        <f>IF($C5669="","",IF($AJ5669=1,0,IF($AI5669=1,Settings!$C$6,Settings!$C$7))*100)</f>
        <v/>
      </c>
      <c r="V5669" s="7">
        <f>IF($C5669="","",R5669*U5669/100)</f>
        <v/>
      </c>
      <c r="W5669" s="7">
        <f>IF($C5669="","",R5669-V5669)</f>
        <v/>
      </c>
      <c r="X5669" s="7">
        <f>IF($C5669="","",W5669-K5669)</f>
        <v/>
      </c>
      <c r="AB5669" s="7" t="n"/>
      <c r="AE5669" s="11" t="n"/>
      <c r="AG5669">
        <f>IF($C5669="","",IF(COUNTIF($C$2:$C5669,$C5669)=1,1,0))</f>
        <v/>
      </c>
      <c r="AH5669">
        <f>IF($AG5669=1,SUMPRODUCT(--($AK$2:$AK$6001&lt;$AK5669))+1,"")</f>
        <v/>
      </c>
      <c r="AI5669">
        <f>IF($C5669="","",IF(OR($N5669=TRUE(),$N5669="TRUE"),1,0))</f>
        <v/>
      </c>
      <c r="AJ5669">
        <f>IF($C5669="","",IF($T5669="Yes",1,0))</f>
        <v/>
      </c>
      <c r="AK5669">
        <f>IF($AG5669=1,IFERROR(IF(VALUE($C5669)&lt;100000000,VALUE($C5669),1000000000),IFERROR(IF(VALUE(MID($C5669,2,20))&lt;100000000,VALUE(MID($C5669,2,20)),1000000000),1000000000))+ROW()/100000,"")</f>
        <v/>
      </c>
    </row>
    <row r="5670">
      <c r="D5670" s="11" t="n"/>
      <c r="K5670" s="7">
        <f>IF($C5670="","",J5670*W5670/100)</f>
        <v/>
      </c>
      <c r="Q5670" s="7" t="n"/>
      <c r="R5670" s="7" t="n"/>
      <c r="U5670">
        <f>IF($C5670="","",IF($AJ5670=1,0,IF($AI5670=1,Settings!$C$6,Settings!$C$7))*100)</f>
        <v/>
      </c>
      <c r="V5670" s="7">
        <f>IF($C5670="","",R5670*U5670/100)</f>
        <v/>
      </c>
      <c r="W5670" s="7">
        <f>IF($C5670="","",R5670-V5670)</f>
        <v/>
      </c>
      <c r="X5670" s="7">
        <f>IF($C5670="","",W5670-K5670)</f>
        <v/>
      </c>
      <c r="AB5670" s="7" t="n"/>
      <c r="AE5670" s="11" t="n"/>
      <c r="AG5670">
        <f>IF($C5670="","",IF(COUNTIF($C$2:$C5670,$C5670)=1,1,0))</f>
        <v/>
      </c>
      <c r="AH5670">
        <f>IF($AG5670=1,SUMPRODUCT(--($AK$2:$AK$6001&lt;$AK5670))+1,"")</f>
        <v/>
      </c>
      <c r="AI5670">
        <f>IF($C5670="","",IF(OR($N5670=TRUE(),$N5670="TRUE"),1,0))</f>
        <v/>
      </c>
      <c r="AJ5670">
        <f>IF($C5670="","",IF($T5670="Yes",1,0))</f>
        <v/>
      </c>
      <c r="AK5670">
        <f>IF($AG5670=1,IFERROR(IF(VALUE($C5670)&lt;100000000,VALUE($C5670),1000000000),IFERROR(IF(VALUE(MID($C5670,2,20))&lt;100000000,VALUE(MID($C5670,2,20)),1000000000),1000000000))+ROW()/100000,"")</f>
        <v/>
      </c>
    </row>
    <row r="5671">
      <c r="D5671" s="11" t="n"/>
      <c r="K5671" s="7">
        <f>IF($C5671="","",J5671*W5671/100)</f>
        <v/>
      </c>
      <c r="Q5671" s="7" t="n"/>
      <c r="R5671" s="7" t="n"/>
      <c r="U5671">
        <f>IF($C5671="","",IF($AJ5671=1,0,IF($AI5671=1,Settings!$C$6,Settings!$C$7))*100)</f>
        <v/>
      </c>
      <c r="V5671" s="7">
        <f>IF($C5671="","",R5671*U5671/100)</f>
        <v/>
      </c>
      <c r="W5671" s="7">
        <f>IF($C5671="","",R5671-V5671)</f>
        <v/>
      </c>
      <c r="X5671" s="7">
        <f>IF($C5671="","",W5671-K5671)</f>
        <v/>
      </c>
      <c r="AB5671" s="7" t="n"/>
      <c r="AE5671" s="11" t="n"/>
      <c r="AG5671">
        <f>IF($C5671="","",IF(COUNTIF($C$2:$C5671,$C5671)=1,1,0))</f>
        <v/>
      </c>
      <c r="AH5671">
        <f>IF($AG5671=1,SUMPRODUCT(--($AK$2:$AK$6001&lt;$AK5671))+1,"")</f>
        <v/>
      </c>
      <c r="AI5671">
        <f>IF($C5671="","",IF(OR($N5671=TRUE(),$N5671="TRUE"),1,0))</f>
        <v/>
      </c>
      <c r="AJ5671">
        <f>IF($C5671="","",IF($T5671="Yes",1,0))</f>
        <v/>
      </c>
      <c r="AK5671">
        <f>IF($AG5671=1,IFERROR(IF(VALUE($C5671)&lt;100000000,VALUE($C5671),1000000000),IFERROR(IF(VALUE(MID($C5671,2,20))&lt;100000000,VALUE(MID($C5671,2,20)),1000000000),1000000000))+ROW()/100000,"")</f>
        <v/>
      </c>
    </row>
    <row r="5672">
      <c r="D5672" s="11" t="n"/>
      <c r="K5672" s="7">
        <f>IF($C5672="","",J5672*W5672/100)</f>
        <v/>
      </c>
      <c r="Q5672" s="7" t="n"/>
      <c r="R5672" s="7" t="n"/>
      <c r="U5672">
        <f>IF($C5672="","",IF($AJ5672=1,0,IF($AI5672=1,Settings!$C$6,Settings!$C$7))*100)</f>
        <v/>
      </c>
      <c r="V5672" s="7">
        <f>IF($C5672="","",R5672*U5672/100)</f>
        <v/>
      </c>
      <c r="W5672" s="7">
        <f>IF($C5672="","",R5672-V5672)</f>
        <v/>
      </c>
      <c r="X5672" s="7">
        <f>IF($C5672="","",W5672-K5672)</f>
        <v/>
      </c>
      <c r="AB5672" s="7" t="n"/>
      <c r="AE5672" s="11" t="n"/>
      <c r="AG5672">
        <f>IF($C5672="","",IF(COUNTIF($C$2:$C5672,$C5672)=1,1,0))</f>
        <v/>
      </c>
      <c r="AH5672">
        <f>IF($AG5672=1,SUMPRODUCT(--($AK$2:$AK$6001&lt;$AK5672))+1,"")</f>
        <v/>
      </c>
      <c r="AI5672">
        <f>IF($C5672="","",IF(OR($N5672=TRUE(),$N5672="TRUE"),1,0))</f>
        <v/>
      </c>
      <c r="AJ5672">
        <f>IF($C5672="","",IF($T5672="Yes",1,0))</f>
        <v/>
      </c>
      <c r="AK5672">
        <f>IF($AG5672=1,IFERROR(IF(VALUE($C5672)&lt;100000000,VALUE($C5672),1000000000),IFERROR(IF(VALUE(MID($C5672,2,20))&lt;100000000,VALUE(MID($C5672,2,20)),1000000000),1000000000))+ROW()/100000,"")</f>
        <v/>
      </c>
    </row>
    <row r="5673">
      <c r="D5673" s="11" t="n"/>
      <c r="K5673" s="7">
        <f>IF($C5673="","",J5673*W5673/100)</f>
        <v/>
      </c>
      <c r="Q5673" s="7" t="n"/>
      <c r="R5673" s="7" t="n"/>
      <c r="U5673">
        <f>IF($C5673="","",IF($AJ5673=1,0,IF($AI5673=1,Settings!$C$6,Settings!$C$7))*100)</f>
        <v/>
      </c>
      <c r="V5673" s="7">
        <f>IF($C5673="","",R5673*U5673/100)</f>
        <v/>
      </c>
      <c r="W5673" s="7">
        <f>IF($C5673="","",R5673-V5673)</f>
        <v/>
      </c>
      <c r="X5673" s="7">
        <f>IF($C5673="","",W5673-K5673)</f>
        <v/>
      </c>
      <c r="AB5673" s="7" t="n"/>
      <c r="AE5673" s="11" t="n"/>
      <c r="AG5673">
        <f>IF($C5673="","",IF(COUNTIF($C$2:$C5673,$C5673)=1,1,0))</f>
        <v/>
      </c>
      <c r="AH5673">
        <f>IF($AG5673=1,SUMPRODUCT(--($AK$2:$AK$6001&lt;$AK5673))+1,"")</f>
        <v/>
      </c>
      <c r="AI5673">
        <f>IF($C5673="","",IF(OR($N5673=TRUE(),$N5673="TRUE"),1,0))</f>
        <v/>
      </c>
      <c r="AJ5673">
        <f>IF($C5673="","",IF($T5673="Yes",1,0))</f>
        <v/>
      </c>
      <c r="AK5673">
        <f>IF($AG5673=1,IFERROR(IF(VALUE($C5673)&lt;100000000,VALUE($C5673),1000000000),IFERROR(IF(VALUE(MID($C5673,2,20))&lt;100000000,VALUE(MID($C5673,2,20)),1000000000),1000000000))+ROW()/100000,"")</f>
        <v/>
      </c>
    </row>
    <row r="5674">
      <c r="D5674" s="11" t="n"/>
      <c r="K5674" s="7">
        <f>IF($C5674="","",J5674*W5674/100)</f>
        <v/>
      </c>
      <c r="Q5674" s="7" t="n"/>
      <c r="R5674" s="7" t="n"/>
      <c r="U5674">
        <f>IF($C5674="","",IF($AJ5674=1,0,IF($AI5674=1,Settings!$C$6,Settings!$C$7))*100)</f>
        <v/>
      </c>
      <c r="V5674" s="7">
        <f>IF($C5674="","",R5674*U5674/100)</f>
        <v/>
      </c>
      <c r="W5674" s="7">
        <f>IF($C5674="","",R5674-V5674)</f>
        <v/>
      </c>
      <c r="X5674" s="7">
        <f>IF($C5674="","",W5674-K5674)</f>
        <v/>
      </c>
      <c r="AB5674" s="7" t="n"/>
      <c r="AE5674" s="11" t="n"/>
      <c r="AG5674">
        <f>IF($C5674="","",IF(COUNTIF($C$2:$C5674,$C5674)=1,1,0))</f>
        <v/>
      </c>
      <c r="AH5674">
        <f>IF($AG5674=1,SUMPRODUCT(--($AK$2:$AK$6001&lt;$AK5674))+1,"")</f>
        <v/>
      </c>
      <c r="AI5674">
        <f>IF($C5674="","",IF(OR($N5674=TRUE(),$N5674="TRUE"),1,0))</f>
        <v/>
      </c>
      <c r="AJ5674">
        <f>IF($C5674="","",IF($T5674="Yes",1,0))</f>
        <v/>
      </c>
      <c r="AK5674">
        <f>IF($AG5674=1,IFERROR(IF(VALUE($C5674)&lt;100000000,VALUE($C5674),1000000000),IFERROR(IF(VALUE(MID($C5674,2,20))&lt;100000000,VALUE(MID($C5674,2,20)),1000000000),1000000000))+ROW()/100000,"")</f>
        <v/>
      </c>
    </row>
    <row r="5675">
      <c r="D5675" s="11" t="n"/>
      <c r="K5675" s="7">
        <f>IF($C5675="","",J5675*W5675/100)</f>
        <v/>
      </c>
      <c r="Q5675" s="7" t="n"/>
      <c r="R5675" s="7" t="n"/>
      <c r="U5675">
        <f>IF($C5675="","",IF($AJ5675=1,0,IF($AI5675=1,Settings!$C$6,Settings!$C$7))*100)</f>
        <v/>
      </c>
      <c r="V5675" s="7">
        <f>IF($C5675="","",R5675*U5675/100)</f>
        <v/>
      </c>
      <c r="W5675" s="7">
        <f>IF($C5675="","",R5675-V5675)</f>
        <v/>
      </c>
      <c r="X5675" s="7">
        <f>IF($C5675="","",W5675-K5675)</f>
        <v/>
      </c>
      <c r="AB5675" s="7" t="n"/>
      <c r="AE5675" s="11" t="n"/>
      <c r="AG5675">
        <f>IF($C5675="","",IF(COUNTIF($C$2:$C5675,$C5675)=1,1,0))</f>
        <v/>
      </c>
      <c r="AH5675">
        <f>IF($AG5675=1,SUMPRODUCT(--($AK$2:$AK$6001&lt;$AK5675))+1,"")</f>
        <v/>
      </c>
      <c r="AI5675">
        <f>IF($C5675="","",IF(OR($N5675=TRUE(),$N5675="TRUE"),1,0))</f>
        <v/>
      </c>
      <c r="AJ5675">
        <f>IF($C5675="","",IF($T5675="Yes",1,0))</f>
        <v/>
      </c>
      <c r="AK5675">
        <f>IF($AG5675=1,IFERROR(IF(VALUE($C5675)&lt;100000000,VALUE($C5675),1000000000),IFERROR(IF(VALUE(MID($C5675,2,20))&lt;100000000,VALUE(MID($C5675,2,20)),1000000000),1000000000))+ROW()/100000,"")</f>
        <v/>
      </c>
    </row>
    <row r="5676">
      <c r="D5676" s="11" t="n"/>
      <c r="K5676" s="7">
        <f>IF($C5676="","",J5676*W5676/100)</f>
        <v/>
      </c>
      <c r="Q5676" s="7" t="n"/>
      <c r="R5676" s="7" t="n"/>
      <c r="U5676">
        <f>IF($C5676="","",IF($AJ5676=1,0,IF($AI5676=1,Settings!$C$6,Settings!$C$7))*100)</f>
        <v/>
      </c>
      <c r="V5676" s="7">
        <f>IF($C5676="","",R5676*U5676/100)</f>
        <v/>
      </c>
      <c r="W5676" s="7">
        <f>IF($C5676="","",R5676-V5676)</f>
        <v/>
      </c>
      <c r="X5676" s="7">
        <f>IF($C5676="","",W5676-K5676)</f>
        <v/>
      </c>
      <c r="AB5676" s="7" t="n"/>
      <c r="AE5676" s="11" t="n"/>
      <c r="AG5676">
        <f>IF($C5676="","",IF(COUNTIF($C$2:$C5676,$C5676)=1,1,0))</f>
        <v/>
      </c>
      <c r="AH5676">
        <f>IF($AG5676=1,SUMPRODUCT(--($AK$2:$AK$6001&lt;$AK5676))+1,"")</f>
        <v/>
      </c>
      <c r="AI5676">
        <f>IF($C5676="","",IF(OR($N5676=TRUE(),$N5676="TRUE"),1,0))</f>
        <v/>
      </c>
      <c r="AJ5676">
        <f>IF($C5676="","",IF($T5676="Yes",1,0))</f>
        <v/>
      </c>
      <c r="AK5676">
        <f>IF($AG5676=1,IFERROR(IF(VALUE($C5676)&lt;100000000,VALUE($C5676),1000000000),IFERROR(IF(VALUE(MID($C5676,2,20))&lt;100000000,VALUE(MID($C5676,2,20)),1000000000),1000000000))+ROW()/100000,"")</f>
        <v/>
      </c>
    </row>
    <row r="5677">
      <c r="D5677" s="11" t="n"/>
      <c r="K5677" s="7">
        <f>IF($C5677="","",J5677*W5677/100)</f>
        <v/>
      </c>
      <c r="Q5677" s="7" t="n"/>
      <c r="R5677" s="7" t="n"/>
      <c r="U5677">
        <f>IF($C5677="","",IF($AJ5677=1,0,IF($AI5677=1,Settings!$C$6,Settings!$C$7))*100)</f>
        <v/>
      </c>
      <c r="V5677" s="7">
        <f>IF($C5677="","",R5677*U5677/100)</f>
        <v/>
      </c>
      <c r="W5677" s="7">
        <f>IF($C5677="","",R5677-V5677)</f>
        <v/>
      </c>
      <c r="X5677" s="7">
        <f>IF($C5677="","",W5677-K5677)</f>
        <v/>
      </c>
      <c r="AB5677" s="7" t="n"/>
      <c r="AE5677" s="11" t="n"/>
      <c r="AG5677">
        <f>IF($C5677="","",IF(COUNTIF($C$2:$C5677,$C5677)=1,1,0))</f>
        <v/>
      </c>
      <c r="AH5677">
        <f>IF($AG5677=1,SUMPRODUCT(--($AK$2:$AK$6001&lt;$AK5677))+1,"")</f>
        <v/>
      </c>
      <c r="AI5677">
        <f>IF($C5677="","",IF(OR($N5677=TRUE(),$N5677="TRUE"),1,0))</f>
        <v/>
      </c>
      <c r="AJ5677">
        <f>IF($C5677="","",IF($T5677="Yes",1,0))</f>
        <v/>
      </c>
      <c r="AK5677">
        <f>IF($AG5677=1,IFERROR(IF(VALUE($C5677)&lt;100000000,VALUE($C5677),1000000000),IFERROR(IF(VALUE(MID($C5677,2,20))&lt;100000000,VALUE(MID($C5677,2,20)),1000000000),1000000000))+ROW()/100000,"")</f>
        <v/>
      </c>
    </row>
    <row r="5678">
      <c r="D5678" s="11" t="n"/>
      <c r="K5678" s="7">
        <f>IF($C5678="","",J5678*W5678/100)</f>
        <v/>
      </c>
      <c r="Q5678" s="7" t="n"/>
      <c r="R5678" s="7" t="n"/>
      <c r="U5678">
        <f>IF($C5678="","",IF($AJ5678=1,0,IF($AI5678=1,Settings!$C$6,Settings!$C$7))*100)</f>
        <v/>
      </c>
      <c r="V5678" s="7">
        <f>IF($C5678="","",R5678*U5678/100)</f>
        <v/>
      </c>
      <c r="W5678" s="7">
        <f>IF($C5678="","",R5678-V5678)</f>
        <v/>
      </c>
      <c r="X5678" s="7">
        <f>IF($C5678="","",W5678-K5678)</f>
        <v/>
      </c>
      <c r="AB5678" s="7" t="n"/>
      <c r="AE5678" s="11" t="n"/>
      <c r="AG5678">
        <f>IF($C5678="","",IF(COUNTIF($C$2:$C5678,$C5678)=1,1,0))</f>
        <v/>
      </c>
      <c r="AH5678">
        <f>IF($AG5678=1,SUMPRODUCT(--($AK$2:$AK$6001&lt;$AK5678))+1,"")</f>
        <v/>
      </c>
      <c r="AI5678">
        <f>IF($C5678="","",IF(OR($N5678=TRUE(),$N5678="TRUE"),1,0))</f>
        <v/>
      </c>
      <c r="AJ5678">
        <f>IF($C5678="","",IF($T5678="Yes",1,0))</f>
        <v/>
      </c>
      <c r="AK5678">
        <f>IF($AG5678=1,IFERROR(IF(VALUE($C5678)&lt;100000000,VALUE($C5678),1000000000),IFERROR(IF(VALUE(MID($C5678,2,20))&lt;100000000,VALUE(MID($C5678,2,20)),1000000000),1000000000))+ROW()/100000,"")</f>
        <v/>
      </c>
    </row>
    <row r="5679">
      <c r="D5679" s="11" t="n"/>
      <c r="K5679" s="7">
        <f>IF($C5679="","",J5679*W5679/100)</f>
        <v/>
      </c>
      <c r="Q5679" s="7" t="n"/>
      <c r="R5679" s="7" t="n"/>
      <c r="U5679">
        <f>IF($C5679="","",IF($AJ5679=1,0,IF($AI5679=1,Settings!$C$6,Settings!$C$7))*100)</f>
        <v/>
      </c>
      <c r="V5679" s="7">
        <f>IF($C5679="","",R5679*U5679/100)</f>
        <v/>
      </c>
      <c r="W5679" s="7">
        <f>IF($C5679="","",R5679-V5679)</f>
        <v/>
      </c>
      <c r="X5679" s="7">
        <f>IF($C5679="","",W5679-K5679)</f>
        <v/>
      </c>
      <c r="AB5679" s="7" t="n"/>
      <c r="AE5679" s="11" t="n"/>
      <c r="AG5679">
        <f>IF($C5679="","",IF(COUNTIF($C$2:$C5679,$C5679)=1,1,0))</f>
        <v/>
      </c>
      <c r="AH5679">
        <f>IF($AG5679=1,SUMPRODUCT(--($AK$2:$AK$6001&lt;$AK5679))+1,"")</f>
        <v/>
      </c>
      <c r="AI5679">
        <f>IF($C5679="","",IF(OR($N5679=TRUE(),$N5679="TRUE"),1,0))</f>
        <v/>
      </c>
      <c r="AJ5679">
        <f>IF($C5679="","",IF($T5679="Yes",1,0))</f>
        <v/>
      </c>
      <c r="AK5679">
        <f>IF($AG5679=1,IFERROR(IF(VALUE($C5679)&lt;100000000,VALUE($C5679),1000000000),IFERROR(IF(VALUE(MID($C5679,2,20))&lt;100000000,VALUE(MID($C5679,2,20)),1000000000),1000000000))+ROW()/100000,"")</f>
        <v/>
      </c>
    </row>
    <row r="5680">
      <c r="D5680" s="11" t="n"/>
      <c r="K5680" s="7">
        <f>IF($C5680="","",J5680*W5680/100)</f>
        <v/>
      </c>
      <c r="Q5680" s="7" t="n"/>
      <c r="R5680" s="7" t="n"/>
      <c r="U5680">
        <f>IF($C5680="","",IF($AJ5680=1,0,IF($AI5680=1,Settings!$C$6,Settings!$C$7))*100)</f>
        <v/>
      </c>
      <c r="V5680" s="7">
        <f>IF($C5680="","",R5680*U5680/100)</f>
        <v/>
      </c>
      <c r="W5680" s="7">
        <f>IF($C5680="","",R5680-V5680)</f>
        <v/>
      </c>
      <c r="X5680" s="7">
        <f>IF($C5680="","",W5680-K5680)</f>
        <v/>
      </c>
      <c r="AB5680" s="7" t="n"/>
      <c r="AE5680" s="11" t="n"/>
      <c r="AG5680">
        <f>IF($C5680="","",IF(COUNTIF($C$2:$C5680,$C5680)=1,1,0))</f>
        <v/>
      </c>
      <c r="AH5680">
        <f>IF($AG5680=1,SUMPRODUCT(--($AK$2:$AK$6001&lt;$AK5680))+1,"")</f>
        <v/>
      </c>
      <c r="AI5680">
        <f>IF($C5680="","",IF(OR($N5680=TRUE(),$N5680="TRUE"),1,0))</f>
        <v/>
      </c>
      <c r="AJ5680">
        <f>IF($C5680="","",IF($T5680="Yes",1,0))</f>
        <v/>
      </c>
      <c r="AK5680">
        <f>IF($AG5680=1,IFERROR(IF(VALUE($C5680)&lt;100000000,VALUE($C5680),1000000000),IFERROR(IF(VALUE(MID($C5680,2,20))&lt;100000000,VALUE(MID($C5680,2,20)),1000000000),1000000000))+ROW()/100000,"")</f>
        <v/>
      </c>
    </row>
    <row r="5681">
      <c r="D5681" s="11" t="n"/>
      <c r="K5681" s="7">
        <f>IF($C5681="","",J5681*W5681/100)</f>
        <v/>
      </c>
      <c r="Q5681" s="7" t="n"/>
      <c r="R5681" s="7" t="n"/>
      <c r="U5681">
        <f>IF($C5681="","",IF($AJ5681=1,0,IF($AI5681=1,Settings!$C$6,Settings!$C$7))*100)</f>
        <v/>
      </c>
      <c r="V5681" s="7">
        <f>IF($C5681="","",R5681*U5681/100)</f>
        <v/>
      </c>
      <c r="W5681" s="7">
        <f>IF($C5681="","",R5681-V5681)</f>
        <v/>
      </c>
      <c r="X5681" s="7">
        <f>IF($C5681="","",W5681-K5681)</f>
        <v/>
      </c>
      <c r="AB5681" s="7" t="n"/>
      <c r="AE5681" s="11" t="n"/>
      <c r="AG5681">
        <f>IF($C5681="","",IF(COUNTIF($C$2:$C5681,$C5681)=1,1,0))</f>
        <v/>
      </c>
      <c r="AH5681">
        <f>IF($AG5681=1,SUMPRODUCT(--($AK$2:$AK$6001&lt;$AK5681))+1,"")</f>
        <v/>
      </c>
      <c r="AI5681">
        <f>IF($C5681="","",IF(OR($N5681=TRUE(),$N5681="TRUE"),1,0))</f>
        <v/>
      </c>
      <c r="AJ5681">
        <f>IF($C5681="","",IF($T5681="Yes",1,0))</f>
        <v/>
      </c>
      <c r="AK5681">
        <f>IF($AG5681=1,IFERROR(IF(VALUE($C5681)&lt;100000000,VALUE($C5681),1000000000),IFERROR(IF(VALUE(MID($C5681,2,20))&lt;100000000,VALUE(MID($C5681,2,20)),1000000000),1000000000))+ROW()/100000,"")</f>
        <v/>
      </c>
    </row>
    <row r="5682">
      <c r="D5682" s="11" t="n"/>
      <c r="K5682" s="7">
        <f>IF($C5682="","",J5682*W5682/100)</f>
        <v/>
      </c>
      <c r="Q5682" s="7" t="n"/>
      <c r="R5682" s="7" t="n"/>
      <c r="U5682">
        <f>IF($C5682="","",IF($AJ5682=1,0,IF($AI5682=1,Settings!$C$6,Settings!$C$7))*100)</f>
        <v/>
      </c>
      <c r="V5682" s="7">
        <f>IF($C5682="","",R5682*U5682/100)</f>
        <v/>
      </c>
      <c r="W5682" s="7">
        <f>IF($C5682="","",R5682-V5682)</f>
        <v/>
      </c>
      <c r="X5682" s="7">
        <f>IF($C5682="","",W5682-K5682)</f>
        <v/>
      </c>
      <c r="AB5682" s="7" t="n"/>
      <c r="AE5682" s="11" t="n"/>
      <c r="AG5682">
        <f>IF($C5682="","",IF(COUNTIF($C$2:$C5682,$C5682)=1,1,0))</f>
        <v/>
      </c>
      <c r="AH5682">
        <f>IF($AG5682=1,SUMPRODUCT(--($AK$2:$AK$6001&lt;$AK5682))+1,"")</f>
        <v/>
      </c>
      <c r="AI5682">
        <f>IF($C5682="","",IF(OR($N5682=TRUE(),$N5682="TRUE"),1,0))</f>
        <v/>
      </c>
      <c r="AJ5682">
        <f>IF($C5682="","",IF($T5682="Yes",1,0))</f>
        <v/>
      </c>
      <c r="AK5682">
        <f>IF($AG5682=1,IFERROR(IF(VALUE($C5682)&lt;100000000,VALUE($C5682),1000000000),IFERROR(IF(VALUE(MID($C5682,2,20))&lt;100000000,VALUE(MID($C5682,2,20)),1000000000),1000000000))+ROW()/100000,"")</f>
        <v/>
      </c>
    </row>
    <row r="5683">
      <c r="D5683" s="11" t="n"/>
      <c r="K5683" s="7">
        <f>IF($C5683="","",J5683*W5683/100)</f>
        <v/>
      </c>
      <c r="Q5683" s="7" t="n"/>
      <c r="R5683" s="7" t="n"/>
      <c r="U5683">
        <f>IF($C5683="","",IF($AJ5683=1,0,IF($AI5683=1,Settings!$C$6,Settings!$C$7))*100)</f>
        <v/>
      </c>
      <c r="V5683" s="7">
        <f>IF($C5683="","",R5683*U5683/100)</f>
        <v/>
      </c>
      <c r="W5683" s="7">
        <f>IF($C5683="","",R5683-V5683)</f>
        <v/>
      </c>
      <c r="X5683" s="7">
        <f>IF($C5683="","",W5683-K5683)</f>
        <v/>
      </c>
      <c r="AB5683" s="7" t="n"/>
      <c r="AE5683" s="11" t="n"/>
      <c r="AG5683">
        <f>IF($C5683="","",IF(COUNTIF($C$2:$C5683,$C5683)=1,1,0))</f>
        <v/>
      </c>
      <c r="AH5683">
        <f>IF($AG5683=1,SUMPRODUCT(--($AK$2:$AK$6001&lt;$AK5683))+1,"")</f>
        <v/>
      </c>
      <c r="AI5683">
        <f>IF($C5683="","",IF(OR($N5683=TRUE(),$N5683="TRUE"),1,0))</f>
        <v/>
      </c>
      <c r="AJ5683">
        <f>IF($C5683="","",IF($T5683="Yes",1,0))</f>
        <v/>
      </c>
      <c r="AK5683">
        <f>IF($AG5683=1,IFERROR(IF(VALUE($C5683)&lt;100000000,VALUE($C5683),1000000000),IFERROR(IF(VALUE(MID($C5683,2,20))&lt;100000000,VALUE(MID($C5683,2,20)),1000000000),1000000000))+ROW()/100000,"")</f>
        <v/>
      </c>
    </row>
    <row r="5684">
      <c r="D5684" s="11" t="n"/>
      <c r="K5684" s="7">
        <f>IF($C5684="","",J5684*W5684/100)</f>
        <v/>
      </c>
      <c r="Q5684" s="7" t="n"/>
      <c r="R5684" s="7" t="n"/>
      <c r="U5684">
        <f>IF($C5684="","",IF($AJ5684=1,0,IF($AI5684=1,Settings!$C$6,Settings!$C$7))*100)</f>
        <v/>
      </c>
      <c r="V5684" s="7">
        <f>IF($C5684="","",R5684*U5684/100)</f>
        <v/>
      </c>
      <c r="W5684" s="7">
        <f>IF($C5684="","",R5684-V5684)</f>
        <v/>
      </c>
      <c r="X5684" s="7">
        <f>IF($C5684="","",W5684-K5684)</f>
        <v/>
      </c>
      <c r="AB5684" s="7" t="n"/>
      <c r="AE5684" s="11" t="n"/>
      <c r="AG5684">
        <f>IF($C5684="","",IF(COUNTIF($C$2:$C5684,$C5684)=1,1,0))</f>
        <v/>
      </c>
      <c r="AH5684">
        <f>IF($AG5684=1,SUMPRODUCT(--($AK$2:$AK$6001&lt;$AK5684))+1,"")</f>
        <v/>
      </c>
      <c r="AI5684">
        <f>IF($C5684="","",IF(OR($N5684=TRUE(),$N5684="TRUE"),1,0))</f>
        <v/>
      </c>
      <c r="AJ5684">
        <f>IF($C5684="","",IF($T5684="Yes",1,0))</f>
        <v/>
      </c>
      <c r="AK5684">
        <f>IF($AG5684=1,IFERROR(IF(VALUE($C5684)&lt;100000000,VALUE($C5684),1000000000),IFERROR(IF(VALUE(MID($C5684,2,20))&lt;100000000,VALUE(MID($C5684,2,20)),1000000000),1000000000))+ROW()/100000,"")</f>
        <v/>
      </c>
    </row>
    <row r="5685">
      <c r="D5685" s="11" t="n"/>
      <c r="K5685" s="7">
        <f>IF($C5685="","",J5685*W5685/100)</f>
        <v/>
      </c>
      <c r="Q5685" s="7" t="n"/>
      <c r="R5685" s="7" t="n"/>
      <c r="U5685">
        <f>IF($C5685="","",IF($AJ5685=1,0,IF($AI5685=1,Settings!$C$6,Settings!$C$7))*100)</f>
        <v/>
      </c>
      <c r="V5685" s="7">
        <f>IF($C5685="","",R5685*U5685/100)</f>
        <v/>
      </c>
      <c r="W5685" s="7">
        <f>IF($C5685="","",R5685-V5685)</f>
        <v/>
      </c>
      <c r="X5685" s="7">
        <f>IF($C5685="","",W5685-K5685)</f>
        <v/>
      </c>
      <c r="AB5685" s="7" t="n"/>
      <c r="AE5685" s="11" t="n"/>
      <c r="AG5685">
        <f>IF($C5685="","",IF(COUNTIF($C$2:$C5685,$C5685)=1,1,0))</f>
        <v/>
      </c>
      <c r="AH5685">
        <f>IF($AG5685=1,SUMPRODUCT(--($AK$2:$AK$6001&lt;$AK5685))+1,"")</f>
        <v/>
      </c>
      <c r="AI5685">
        <f>IF($C5685="","",IF(OR($N5685=TRUE(),$N5685="TRUE"),1,0))</f>
        <v/>
      </c>
      <c r="AJ5685">
        <f>IF($C5685="","",IF($T5685="Yes",1,0))</f>
        <v/>
      </c>
      <c r="AK5685">
        <f>IF($AG5685=1,IFERROR(IF(VALUE($C5685)&lt;100000000,VALUE($C5685),1000000000),IFERROR(IF(VALUE(MID($C5685,2,20))&lt;100000000,VALUE(MID($C5685,2,20)),1000000000),1000000000))+ROW()/100000,"")</f>
        <v/>
      </c>
    </row>
    <row r="5686">
      <c r="D5686" s="11" t="n"/>
      <c r="K5686" s="7">
        <f>IF($C5686="","",J5686*W5686/100)</f>
        <v/>
      </c>
      <c r="Q5686" s="7" t="n"/>
      <c r="R5686" s="7" t="n"/>
      <c r="U5686">
        <f>IF($C5686="","",IF($AJ5686=1,0,IF($AI5686=1,Settings!$C$6,Settings!$C$7))*100)</f>
        <v/>
      </c>
      <c r="V5686" s="7">
        <f>IF($C5686="","",R5686*U5686/100)</f>
        <v/>
      </c>
      <c r="W5686" s="7">
        <f>IF($C5686="","",R5686-V5686)</f>
        <v/>
      </c>
      <c r="X5686" s="7">
        <f>IF($C5686="","",W5686-K5686)</f>
        <v/>
      </c>
      <c r="AB5686" s="7" t="n"/>
      <c r="AE5686" s="11" t="n"/>
      <c r="AG5686">
        <f>IF($C5686="","",IF(COUNTIF($C$2:$C5686,$C5686)=1,1,0))</f>
        <v/>
      </c>
      <c r="AH5686">
        <f>IF($AG5686=1,SUMPRODUCT(--($AK$2:$AK$6001&lt;$AK5686))+1,"")</f>
        <v/>
      </c>
      <c r="AI5686">
        <f>IF($C5686="","",IF(OR($N5686=TRUE(),$N5686="TRUE"),1,0))</f>
        <v/>
      </c>
      <c r="AJ5686">
        <f>IF($C5686="","",IF($T5686="Yes",1,0))</f>
        <v/>
      </c>
      <c r="AK5686">
        <f>IF($AG5686=1,IFERROR(IF(VALUE($C5686)&lt;100000000,VALUE($C5686),1000000000),IFERROR(IF(VALUE(MID($C5686,2,20))&lt;100000000,VALUE(MID($C5686,2,20)),1000000000),1000000000))+ROW()/100000,"")</f>
        <v/>
      </c>
    </row>
    <row r="5687">
      <c r="D5687" s="11" t="n"/>
      <c r="K5687" s="7">
        <f>IF($C5687="","",J5687*W5687/100)</f>
        <v/>
      </c>
      <c r="Q5687" s="7" t="n"/>
      <c r="R5687" s="7" t="n"/>
      <c r="U5687">
        <f>IF($C5687="","",IF($AJ5687=1,0,IF($AI5687=1,Settings!$C$6,Settings!$C$7))*100)</f>
        <v/>
      </c>
      <c r="V5687" s="7">
        <f>IF($C5687="","",R5687*U5687/100)</f>
        <v/>
      </c>
      <c r="W5687" s="7">
        <f>IF($C5687="","",R5687-V5687)</f>
        <v/>
      </c>
      <c r="X5687" s="7">
        <f>IF($C5687="","",W5687-K5687)</f>
        <v/>
      </c>
      <c r="AB5687" s="7" t="n"/>
      <c r="AE5687" s="11" t="n"/>
      <c r="AG5687">
        <f>IF($C5687="","",IF(COUNTIF($C$2:$C5687,$C5687)=1,1,0))</f>
        <v/>
      </c>
      <c r="AH5687">
        <f>IF($AG5687=1,SUMPRODUCT(--($AK$2:$AK$6001&lt;$AK5687))+1,"")</f>
        <v/>
      </c>
      <c r="AI5687">
        <f>IF($C5687="","",IF(OR($N5687=TRUE(),$N5687="TRUE"),1,0))</f>
        <v/>
      </c>
      <c r="AJ5687">
        <f>IF($C5687="","",IF($T5687="Yes",1,0))</f>
        <v/>
      </c>
      <c r="AK5687">
        <f>IF($AG5687=1,IFERROR(IF(VALUE($C5687)&lt;100000000,VALUE($C5687),1000000000),IFERROR(IF(VALUE(MID($C5687,2,20))&lt;100000000,VALUE(MID($C5687,2,20)),1000000000),1000000000))+ROW()/100000,"")</f>
        <v/>
      </c>
    </row>
    <row r="5688">
      <c r="D5688" s="11" t="n"/>
      <c r="K5688" s="7">
        <f>IF($C5688="","",J5688*W5688/100)</f>
        <v/>
      </c>
      <c r="Q5688" s="7" t="n"/>
      <c r="R5688" s="7" t="n"/>
      <c r="U5688">
        <f>IF($C5688="","",IF($AJ5688=1,0,IF($AI5688=1,Settings!$C$6,Settings!$C$7))*100)</f>
        <v/>
      </c>
      <c r="V5688" s="7">
        <f>IF($C5688="","",R5688*U5688/100)</f>
        <v/>
      </c>
      <c r="W5688" s="7">
        <f>IF($C5688="","",R5688-V5688)</f>
        <v/>
      </c>
      <c r="X5688" s="7">
        <f>IF($C5688="","",W5688-K5688)</f>
        <v/>
      </c>
      <c r="AB5688" s="7" t="n"/>
      <c r="AE5688" s="11" t="n"/>
      <c r="AG5688">
        <f>IF($C5688="","",IF(COUNTIF($C$2:$C5688,$C5688)=1,1,0))</f>
        <v/>
      </c>
      <c r="AH5688">
        <f>IF($AG5688=1,SUMPRODUCT(--($AK$2:$AK$6001&lt;$AK5688))+1,"")</f>
        <v/>
      </c>
      <c r="AI5688">
        <f>IF($C5688="","",IF(OR($N5688=TRUE(),$N5688="TRUE"),1,0))</f>
        <v/>
      </c>
      <c r="AJ5688">
        <f>IF($C5688="","",IF($T5688="Yes",1,0))</f>
        <v/>
      </c>
      <c r="AK5688">
        <f>IF($AG5688=1,IFERROR(IF(VALUE($C5688)&lt;100000000,VALUE($C5688),1000000000),IFERROR(IF(VALUE(MID($C5688,2,20))&lt;100000000,VALUE(MID($C5688,2,20)),1000000000),1000000000))+ROW()/100000,"")</f>
        <v/>
      </c>
    </row>
    <row r="5689">
      <c r="D5689" s="11" t="n"/>
      <c r="K5689" s="7">
        <f>IF($C5689="","",J5689*W5689/100)</f>
        <v/>
      </c>
      <c r="Q5689" s="7" t="n"/>
      <c r="R5689" s="7" t="n"/>
      <c r="U5689">
        <f>IF($C5689="","",IF($AJ5689=1,0,IF($AI5689=1,Settings!$C$6,Settings!$C$7))*100)</f>
        <v/>
      </c>
      <c r="V5689" s="7">
        <f>IF($C5689="","",R5689*U5689/100)</f>
        <v/>
      </c>
      <c r="W5689" s="7">
        <f>IF($C5689="","",R5689-V5689)</f>
        <v/>
      </c>
      <c r="X5689" s="7">
        <f>IF($C5689="","",W5689-K5689)</f>
        <v/>
      </c>
      <c r="AB5689" s="7" t="n"/>
      <c r="AE5689" s="11" t="n"/>
      <c r="AG5689">
        <f>IF($C5689="","",IF(COUNTIF($C$2:$C5689,$C5689)=1,1,0))</f>
        <v/>
      </c>
      <c r="AH5689">
        <f>IF($AG5689=1,SUMPRODUCT(--($AK$2:$AK$6001&lt;$AK5689))+1,"")</f>
        <v/>
      </c>
      <c r="AI5689">
        <f>IF($C5689="","",IF(OR($N5689=TRUE(),$N5689="TRUE"),1,0))</f>
        <v/>
      </c>
      <c r="AJ5689">
        <f>IF($C5689="","",IF($T5689="Yes",1,0))</f>
        <v/>
      </c>
      <c r="AK5689">
        <f>IF($AG5689=1,IFERROR(IF(VALUE($C5689)&lt;100000000,VALUE($C5689),1000000000),IFERROR(IF(VALUE(MID($C5689,2,20))&lt;100000000,VALUE(MID($C5689,2,20)),1000000000),1000000000))+ROW()/100000,"")</f>
        <v/>
      </c>
    </row>
    <row r="5690">
      <c r="D5690" s="11" t="n"/>
      <c r="K5690" s="7">
        <f>IF($C5690="","",J5690*W5690/100)</f>
        <v/>
      </c>
      <c r="Q5690" s="7" t="n"/>
      <c r="R5690" s="7" t="n"/>
      <c r="U5690">
        <f>IF($C5690="","",IF($AJ5690=1,0,IF($AI5690=1,Settings!$C$6,Settings!$C$7))*100)</f>
        <v/>
      </c>
      <c r="V5690" s="7">
        <f>IF($C5690="","",R5690*U5690/100)</f>
        <v/>
      </c>
      <c r="W5690" s="7">
        <f>IF($C5690="","",R5690-V5690)</f>
        <v/>
      </c>
      <c r="X5690" s="7">
        <f>IF($C5690="","",W5690-K5690)</f>
        <v/>
      </c>
      <c r="AB5690" s="7" t="n"/>
      <c r="AE5690" s="11" t="n"/>
      <c r="AG5690">
        <f>IF($C5690="","",IF(COUNTIF($C$2:$C5690,$C5690)=1,1,0))</f>
        <v/>
      </c>
      <c r="AH5690">
        <f>IF($AG5690=1,SUMPRODUCT(--($AK$2:$AK$6001&lt;$AK5690))+1,"")</f>
        <v/>
      </c>
      <c r="AI5690">
        <f>IF($C5690="","",IF(OR($N5690=TRUE(),$N5690="TRUE"),1,0))</f>
        <v/>
      </c>
      <c r="AJ5690">
        <f>IF($C5690="","",IF($T5690="Yes",1,0))</f>
        <v/>
      </c>
      <c r="AK5690">
        <f>IF($AG5690=1,IFERROR(IF(VALUE($C5690)&lt;100000000,VALUE($C5690),1000000000),IFERROR(IF(VALUE(MID($C5690,2,20))&lt;100000000,VALUE(MID($C5690,2,20)),1000000000),1000000000))+ROW()/100000,"")</f>
        <v/>
      </c>
    </row>
    <row r="5691">
      <c r="D5691" s="11" t="n"/>
      <c r="K5691" s="7">
        <f>IF($C5691="","",J5691*W5691/100)</f>
        <v/>
      </c>
      <c r="Q5691" s="7" t="n"/>
      <c r="R5691" s="7" t="n"/>
      <c r="U5691">
        <f>IF($C5691="","",IF($AJ5691=1,0,IF($AI5691=1,Settings!$C$6,Settings!$C$7))*100)</f>
        <v/>
      </c>
      <c r="V5691" s="7">
        <f>IF($C5691="","",R5691*U5691/100)</f>
        <v/>
      </c>
      <c r="W5691" s="7">
        <f>IF($C5691="","",R5691-V5691)</f>
        <v/>
      </c>
      <c r="X5691" s="7">
        <f>IF($C5691="","",W5691-K5691)</f>
        <v/>
      </c>
      <c r="AB5691" s="7" t="n"/>
      <c r="AE5691" s="11" t="n"/>
      <c r="AG5691">
        <f>IF($C5691="","",IF(COUNTIF($C$2:$C5691,$C5691)=1,1,0))</f>
        <v/>
      </c>
      <c r="AH5691">
        <f>IF($AG5691=1,SUMPRODUCT(--($AK$2:$AK$6001&lt;$AK5691))+1,"")</f>
        <v/>
      </c>
      <c r="AI5691">
        <f>IF($C5691="","",IF(OR($N5691=TRUE(),$N5691="TRUE"),1,0))</f>
        <v/>
      </c>
      <c r="AJ5691">
        <f>IF($C5691="","",IF($T5691="Yes",1,0))</f>
        <v/>
      </c>
      <c r="AK5691">
        <f>IF($AG5691=1,IFERROR(IF(VALUE($C5691)&lt;100000000,VALUE($C5691),1000000000),IFERROR(IF(VALUE(MID($C5691,2,20))&lt;100000000,VALUE(MID($C5691,2,20)),1000000000),1000000000))+ROW()/100000,"")</f>
        <v/>
      </c>
    </row>
    <row r="5692">
      <c r="D5692" s="11" t="n"/>
      <c r="K5692" s="7">
        <f>IF($C5692="","",J5692*W5692/100)</f>
        <v/>
      </c>
      <c r="Q5692" s="7" t="n"/>
      <c r="R5692" s="7" t="n"/>
      <c r="U5692">
        <f>IF($C5692="","",IF($AJ5692=1,0,IF($AI5692=1,Settings!$C$6,Settings!$C$7))*100)</f>
        <v/>
      </c>
      <c r="V5692" s="7">
        <f>IF($C5692="","",R5692*U5692/100)</f>
        <v/>
      </c>
      <c r="W5692" s="7">
        <f>IF($C5692="","",R5692-V5692)</f>
        <v/>
      </c>
      <c r="X5692" s="7">
        <f>IF($C5692="","",W5692-K5692)</f>
        <v/>
      </c>
      <c r="AB5692" s="7" t="n"/>
      <c r="AE5692" s="11" t="n"/>
      <c r="AG5692">
        <f>IF($C5692="","",IF(COUNTIF($C$2:$C5692,$C5692)=1,1,0))</f>
        <v/>
      </c>
      <c r="AH5692">
        <f>IF($AG5692=1,SUMPRODUCT(--($AK$2:$AK$6001&lt;$AK5692))+1,"")</f>
        <v/>
      </c>
      <c r="AI5692">
        <f>IF($C5692="","",IF(OR($N5692=TRUE(),$N5692="TRUE"),1,0))</f>
        <v/>
      </c>
      <c r="AJ5692">
        <f>IF($C5692="","",IF($T5692="Yes",1,0))</f>
        <v/>
      </c>
      <c r="AK5692">
        <f>IF($AG5692=1,IFERROR(IF(VALUE($C5692)&lt;100000000,VALUE($C5692),1000000000),IFERROR(IF(VALUE(MID($C5692,2,20))&lt;100000000,VALUE(MID($C5692,2,20)),1000000000),1000000000))+ROW()/100000,"")</f>
        <v/>
      </c>
    </row>
    <row r="5693">
      <c r="D5693" s="11" t="n"/>
      <c r="K5693" s="7">
        <f>IF($C5693="","",J5693*W5693/100)</f>
        <v/>
      </c>
      <c r="Q5693" s="7" t="n"/>
      <c r="R5693" s="7" t="n"/>
      <c r="U5693">
        <f>IF($C5693="","",IF($AJ5693=1,0,IF($AI5693=1,Settings!$C$6,Settings!$C$7))*100)</f>
        <v/>
      </c>
      <c r="V5693" s="7">
        <f>IF($C5693="","",R5693*U5693/100)</f>
        <v/>
      </c>
      <c r="W5693" s="7">
        <f>IF($C5693="","",R5693-V5693)</f>
        <v/>
      </c>
      <c r="X5693" s="7">
        <f>IF($C5693="","",W5693-K5693)</f>
        <v/>
      </c>
      <c r="AB5693" s="7" t="n"/>
      <c r="AE5693" s="11" t="n"/>
      <c r="AG5693">
        <f>IF($C5693="","",IF(COUNTIF($C$2:$C5693,$C5693)=1,1,0))</f>
        <v/>
      </c>
      <c r="AH5693">
        <f>IF($AG5693=1,SUMPRODUCT(--($AK$2:$AK$6001&lt;$AK5693))+1,"")</f>
        <v/>
      </c>
      <c r="AI5693">
        <f>IF($C5693="","",IF(OR($N5693=TRUE(),$N5693="TRUE"),1,0))</f>
        <v/>
      </c>
      <c r="AJ5693">
        <f>IF($C5693="","",IF($T5693="Yes",1,0))</f>
        <v/>
      </c>
      <c r="AK5693">
        <f>IF($AG5693=1,IFERROR(IF(VALUE($C5693)&lt;100000000,VALUE($C5693),1000000000),IFERROR(IF(VALUE(MID($C5693,2,20))&lt;100000000,VALUE(MID($C5693,2,20)),1000000000),1000000000))+ROW()/100000,"")</f>
        <v/>
      </c>
    </row>
    <row r="5694">
      <c r="D5694" s="11" t="n"/>
      <c r="K5694" s="7">
        <f>IF($C5694="","",J5694*W5694/100)</f>
        <v/>
      </c>
      <c r="Q5694" s="7" t="n"/>
      <c r="R5694" s="7" t="n"/>
      <c r="U5694">
        <f>IF($C5694="","",IF($AJ5694=1,0,IF($AI5694=1,Settings!$C$6,Settings!$C$7))*100)</f>
        <v/>
      </c>
      <c r="V5694" s="7">
        <f>IF($C5694="","",R5694*U5694/100)</f>
        <v/>
      </c>
      <c r="W5694" s="7">
        <f>IF($C5694="","",R5694-V5694)</f>
        <v/>
      </c>
      <c r="X5694" s="7">
        <f>IF($C5694="","",W5694-K5694)</f>
        <v/>
      </c>
      <c r="AB5694" s="7" t="n"/>
      <c r="AE5694" s="11" t="n"/>
      <c r="AG5694">
        <f>IF($C5694="","",IF(COUNTIF($C$2:$C5694,$C5694)=1,1,0))</f>
        <v/>
      </c>
      <c r="AH5694">
        <f>IF($AG5694=1,SUMPRODUCT(--($AK$2:$AK$6001&lt;$AK5694))+1,"")</f>
        <v/>
      </c>
      <c r="AI5694">
        <f>IF($C5694="","",IF(OR($N5694=TRUE(),$N5694="TRUE"),1,0))</f>
        <v/>
      </c>
      <c r="AJ5694">
        <f>IF($C5694="","",IF($T5694="Yes",1,0))</f>
        <v/>
      </c>
      <c r="AK5694">
        <f>IF($AG5694=1,IFERROR(IF(VALUE($C5694)&lt;100000000,VALUE($C5694),1000000000),IFERROR(IF(VALUE(MID($C5694,2,20))&lt;100000000,VALUE(MID($C5694,2,20)),1000000000),1000000000))+ROW()/100000,"")</f>
        <v/>
      </c>
    </row>
    <row r="5695">
      <c r="D5695" s="11" t="n"/>
      <c r="K5695" s="7">
        <f>IF($C5695="","",J5695*W5695/100)</f>
        <v/>
      </c>
      <c r="Q5695" s="7" t="n"/>
      <c r="R5695" s="7" t="n"/>
      <c r="U5695">
        <f>IF($C5695="","",IF($AJ5695=1,0,IF($AI5695=1,Settings!$C$6,Settings!$C$7))*100)</f>
        <v/>
      </c>
      <c r="V5695" s="7">
        <f>IF($C5695="","",R5695*U5695/100)</f>
        <v/>
      </c>
      <c r="W5695" s="7">
        <f>IF($C5695="","",R5695-V5695)</f>
        <v/>
      </c>
      <c r="X5695" s="7">
        <f>IF($C5695="","",W5695-K5695)</f>
        <v/>
      </c>
      <c r="AB5695" s="7" t="n"/>
      <c r="AE5695" s="11" t="n"/>
      <c r="AG5695">
        <f>IF($C5695="","",IF(COUNTIF($C$2:$C5695,$C5695)=1,1,0))</f>
        <v/>
      </c>
      <c r="AH5695">
        <f>IF($AG5695=1,SUMPRODUCT(--($AK$2:$AK$6001&lt;$AK5695))+1,"")</f>
        <v/>
      </c>
      <c r="AI5695">
        <f>IF($C5695="","",IF(OR($N5695=TRUE(),$N5695="TRUE"),1,0))</f>
        <v/>
      </c>
      <c r="AJ5695">
        <f>IF($C5695="","",IF($T5695="Yes",1,0))</f>
        <v/>
      </c>
      <c r="AK5695">
        <f>IF($AG5695=1,IFERROR(IF(VALUE($C5695)&lt;100000000,VALUE($C5695),1000000000),IFERROR(IF(VALUE(MID($C5695,2,20))&lt;100000000,VALUE(MID($C5695,2,20)),1000000000),1000000000))+ROW()/100000,"")</f>
        <v/>
      </c>
    </row>
    <row r="5696">
      <c r="D5696" s="11" t="n"/>
      <c r="K5696" s="7">
        <f>IF($C5696="","",J5696*W5696/100)</f>
        <v/>
      </c>
      <c r="Q5696" s="7" t="n"/>
      <c r="R5696" s="7" t="n"/>
      <c r="U5696">
        <f>IF($C5696="","",IF($AJ5696=1,0,IF($AI5696=1,Settings!$C$6,Settings!$C$7))*100)</f>
        <v/>
      </c>
      <c r="V5696" s="7">
        <f>IF($C5696="","",R5696*U5696/100)</f>
        <v/>
      </c>
      <c r="W5696" s="7">
        <f>IF($C5696="","",R5696-V5696)</f>
        <v/>
      </c>
      <c r="X5696" s="7">
        <f>IF($C5696="","",W5696-K5696)</f>
        <v/>
      </c>
      <c r="AB5696" s="7" t="n"/>
      <c r="AE5696" s="11" t="n"/>
      <c r="AG5696">
        <f>IF($C5696="","",IF(COUNTIF($C$2:$C5696,$C5696)=1,1,0))</f>
        <v/>
      </c>
      <c r="AH5696">
        <f>IF($AG5696=1,SUMPRODUCT(--($AK$2:$AK$6001&lt;$AK5696))+1,"")</f>
        <v/>
      </c>
      <c r="AI5696">
        <f>IF($C5696="","",IF(OR($N5696=TRUE(),$N5696="TRUE"),1,0))</f>
        <v/>
      </c>
      <c r="AJ5696">
        <f>IF($C5696="","",IF($T5696="Yes",1,0))</f>
        <v/>
      </c>
      <c r="AK5696">
        <f>IF($AG5696=1,IFERROR(IF(VALUE($C5696)&lt;100000000,VALUE($C5696),1000000000),IFERROR(IF(VALUE(MID($C5696,2,20))&lt;100000000,VALUE(MID($C5696,2,20)),1000000000),1000000000))+ROW()/100000,"")</f>
        <v/>
      </c>
    </row>
    <row r="5697">
      <c r="D5697" s="11" t="n"/>
      <c r="K5697" s="7">
        <f>IF($C5697="","",J5697*W5697/100)</f>
        <v/>
      </c>
      <c r="Q5697" s="7" t="n"/>
      <c r="R5697" s="7" t="n"/>
      <c r="U5697">
        <f>IF($C5697="","",IF($AJ5697=1,0,IF($AI5697=1,Settings!$C$6,Settings!$C$7))*100)</f>
        <v/>
      </c>
      <c r="V5697" s="7">
        <f>IF($C5697="","",R5697*U5697/100)</f>
        <v/>
      </c>
      <c r="W5697" s="7">
        <f>IF($C5697="","",R5697-V5697)</f>
        <v/>
      </c>
      <c r="X5697" s="7">
        <f>IF($C5697="","",W5697-K5697)</f>
        <v/>
      </c>
      <c r="AB5697" s="7" t="n"/>
      <c r="AE5697" s="11" t="n"/>
      <c r="AG5697">
        <f>IF($C5697="","",IF(COUNTIF($C$2:$C5697,$C5697)=1,1,0))</f>
        <v/>
      </c>
      <c r="AH5697">
        <f>IF($AG5697=1,SUMPRODUCT(--($AK$2:$AK$6001&lt;$AK5697))+1,"")</f>
        <v/>
      </c>
      <c r="AI5697">
        <f>IF($C5697="","",IF(OR($N5697=TRUE(),$N5697="TRUE"),1,0))</f>
        <v/>
      </c>
      <c r="AJ5697">
        <f>IF($C5697="","",IF($T5697="Yes",1,0))</f>
        <v/>
      </c>
      <c r="AK5697">
        <f>IF($AG5697=1,IFERROR(IF(VALUE($C5697)&lt;100000000,VALUE($C5697),1000000000),IFERROR(IF(VALUE(MID($C5697,2,20))&lt;100000000,VALUE(MID($C5697,2,20)),1000000000),1000000000))+ROW()/100000,"")</f>
        <v/>
      </c>
    </row>
    <row r="5698">
      <c r="D5698" s="11" t="n"/>
      <c r="K5698" s="7">
        <f>IF($C5698="","",J5698*W5698/100)</f>
        <v/>
      </c>
      <c r="Q5698" s="7" t="n"/>
      <c r="R5698" s="7" t="n"/>
      <c r="U5698">
        <f>IF($C5698="","",IF($AJ5698=1,0,IF($AI5698=1,Settings!$C$6,Settings!$C$7))*100)</f>
        <v/>
      </c>
      <c r="V5698" s="7">
        <f>IF($C5698="","",R5698*U5698/100)</f>
        <v/>
      </c>
      <c r="W5698" s="7">
        <f>IF($C5698="","",R5698-V5698)</f>
        <v/>
      </c>
      <c r="X5698" s="7">
        <f>IF($C5698="","",W5698-K5698)</f>
        <v/>
      </c>
      <c r="AB5698" s="7" t="n"/>
      <c r="AE5698" s="11" t="n"/>
      <c r="AG5698">
        <f>IF($C5698="","",IF(COUNTIF($C$2:$C5698,$C5698)=1,1,0))</f>
        <v/>
      </c>
      <c r="AH5698">
        <f>IF($AG5698=1,SUMPRODUCT(--($AK$2:$AK$6001&lt;$AK5698))+1,"")</f>
        <v/>
      </c>
      <c r="AI5698">
        <f>IF($C5698="","",IF(OR($N5698=TRUE(),$N5698="TRUE"),1,0))</f>
        <v/>
      </c>
      <c r="AJ5698">
        <f>IF($C5698="","",IF($T5698="Yes",1,0))</f>
        <v/>
      </c>
      <c r="AK5698">
        <f>IF($AG5698=1,IFERROR(IF(VALUE($C5698)&lt;100000000,VALUE($C5698),1000000000),IFERROR(IF(VALUE(MID($C5698,2,20))&lt;100000000,VALUE(MID($C5698,2,20)),1000000000),1000000000))+ROW()/100000,"")</f>
        <v/>
      </c>
    </row>
    <row r="5699">
      <c r="D5699" s="11" t="n"/>
      <c r="K5699" s="7">
        <f>IF($C5699="","",J5699*W5699/100)</f>
        <v/>
      </c>
      <c r="Q5699" s="7" t="n"/>
      <c r="R5699" s="7" t="n"/>
      <c r="U5699">
        <f>IF($C5699="","",IF($AJ5699=1,0,IF($AI5699=1,Settings!$C$6,Settings!$C$7))*100)</f>
        <v/>
      </c>
      <c r="V5699" s="7">
        <f>IF($C5699="","",R5699*U5699/100)</f>
        <v/>
      </c>
      <c r="W5699" s="7">
        <f>IF($C5699="","",R5699-V5699)</f>
        <v/>
      </c>
      <c r="X5699" s="7">
        <f>IF($C5699="","",W5699-K5699)</f>
        <v/>
      </c>
      <c r="AB5699" s="7" t="n"/>
      <c r="AE5699" s="11" t="n"/>
      <c r="AG5699">
        <f>IF($C5699="","",IF(COUNTIF($C$2:$C5699,$C5699)=1,1,0))</f>
        <v/>
      </c>
      <c r="AH5699">
        <f>IF($AG5699=1,SUMPRODUCT(--($AK$2:$AK$6001&lt;$AK5699))+1,"")</f>
        <v/>
      </c>
      <c r="AI5699">
        <f>IF($C5699="","",IF(OR($N5699=TRUE(),$N5699="TRUE"),1,0))</f>
        <v/>
      </c>
      <c r="AJ5699">
        <f>IF($C5699="","",IF($T5699="Yes",1,0))</f>
        <v/>
      </c>
      <c r="AK5699">
        <f>IF($AG5699=1,IFERROR(IF(VALUE($C5699)&lt;100000000,VALUE($C5699),1000000000),IFERROR(IF(VALUE(MID($C5699,2,20))&lt;100000000,VALUE(MID($C5699,2,20)),1000000000),1000000000))+ROW()/100000,"")</f>
        <v/>
      </c>
    </row>
    <row r="5700">
      <c r="D5700" s="11" t="n"/>
      <c r="K5700" s="7">
        <f>IF($C5700="","",J5700*W5700/100)</f>
        <v/>
      </c>
      <c r="Q5700" s="7" t="n"/>
      <c r="R5700" s="7" t="n"/>
      <c r="U5700">
        <f>IF($C5700="","",IF($AJ5700=1,0,IF($AI5700=1,Settings!$C$6,Settings!$C$7))*100)</f>
        <v/>
      </c>
      <c r="V5700" s="7">
        <f>IF($C5700="","",R5700*U5700/100)</f>
        <v/>
      </c>
      <c r="W5700" s="7">
        <f>IF($C5700="","",R5700-V5700)</f>
        <v/>
      </c>
      <c r="X5700" s="7">
        <f>IF($C5700="","",W5700-K5700)</f>
        <v/>
      </c>
      <c r="AB5700" s="7" t="n"/>
      <c r="AE5700" s="11" t="n"/>
      <c r="AG5700">
        <f>IF($C5700="","",IF(COUNTIF($C$2:$C5700,$C5700)=1,1,0))</f>
        <v/>
      </c>
      <c r="AH5700">
        <f>IF($AG5700=1,SUMPRODUCT(--($AK$2:$AK$6001&lt;$AK5700))+1,"")</f>
        <v/>
      </c>
      <c r="AI5700">
        <f>IF($C5700="","",IF(OR($N5700=TRUE(),$N5700="TRUE"),1,0))</f>
        <v/>
      </c>
      <c r="AJ5700">
        <f>IF($C5700="","",IF($T5700="Yes",1,0))</f>
        <v/>
      </c>
      <c r="AK5700">
        <f>IF($AG5700=1,IFERROR(IF(VALUE($C5700)&lt;100000000,VALUE($C5700),1000000000),IFERROR(IF(VALUE(MID($C5700,2,20))&lt;100000000,VALUE(MID($C5700,2,20)),1000000000),1000000000))+ROW()/100000,"")</f>
        <v/>
      </c>
    </row>
    <row r="5701">
      <c r="D5701" s="11" t="n"/>
      <c r="K5701" s="7">
        <f>IF($C5701="","",J5701*W5701/100)</f>
        <v/>
      </c>
      <c r="Q5701" s="7" t="n"/>
      <c r="R5701" s="7" t="n"/>
      <c r="U5701">
        <f>IF($C5701="","",IF($AJ5701=1,0,IF($AI5701=1,Settings!$C$6,Settings!$C$7))*100)</f>
        <v/>
      </c>
      <c r="V5701" s="7">
        <f>IF($C5701="","",R5701*U5701/100)</f>
        <v/>
      </c>
      <c r="W5701" s="7">
        <f>IF($C5701="","",R5701-V5701)</f>
        <v/>
      </c>
      <c r="X5701" s="7">
        <f>IF($C5701="","",W5701-K5701)</f>
        <v/>
      </c>
      <c r="AB5701" s="7" t="n"/>
      <c r="AE5701" s="11" t="n"/>
      <c r="AG5701">
        <f>IF($C5701="","",IF(COUNTIF($C$2:$C5701,$C5701)=1,1,0))</f>
        <v/>
      </c>
      <c r="AH5701">
        <f>IF($AG5701=1,SUMPRODUCT(--($AK$2:$AK$6001&lt;$AK5701))+1,"")</f>
        <v/>
      </c>
      <c r="AI5701">
        <f>IF($C5701="","",IF(OR($N5701=TRUE(),$N5701="TRUE"),1,0))</f>
        <v/>
      </c>
      <c r="AJ5701">
        <f>IF($C5701="","",IF($T5701="Yes",1,0))</f>
        <v/>
      </c>
      <c r="AK5701">
        <f>IF($AG5701=1,IFERROR(IF(VALUE($C5701)&lt;100000000,VALUE($C5701),1000000000),IFERROR(IF(VALUE(MID($C5701,2,20))&lt;100000000,VALUE(MID($C5701,2,20)),1000000000),1000000000))+ROW()/100000,"")</f>
        <v/>
      </c>
    </row>
    <row r="5702">
      <c r="D5702" s="11" t="n"/>
      <c r="K5702" s="7">
        <f>IF($C5702="","",J5702*W5702/100)</f>
        <v/>
      </c>
      <c r="Q5702" s="7" t="n"/>
      <c r="R5702" s="7" t="n"/>
      <c r="U5702">
        <f>IF($C5702="","",IF($AJ5702=1,0,IF($AI5702=1,Settings!$C$6,Settings!$C$7))*100)</f>
        <v/>
      </c>
      <c r="V5702" s="7">
        <f>IF($C5702="","",R5702*U5702/100)</f>
        <v/>
      </c>
      <c r="W5702" s="7">
        <f>IF($C5702="","",R5702-V5702)</f>
        <v/>
      </c>
      <c r="X5702" s="7">
        <f>IF($C5702="","",W5702-K5702)</f>
        <v/>
      </c>
      <c r="AB5702" s="7" t="n"/>
      <c r="AE5702" s="11" t="n"/>
      <c r="AG5702">
        <f>IF($C5702="","",IF(COUNTIF($C$2:$C5702,$C5702)=1,1,0))</f>
        <v/>
      </c>
      <c r="AH5702">
        <f>IF($AG5702=1,SUMPRODUCT(--($AK$2:$AK$6001&lt;$AK5702))+1,"")</f>
        <v/>
      </c>
      <c r="AI5702">
        <f>IF($C5702="","",IF(OR($N5702=TRUE(),$N5702="TRUE"),1,0))</f>
        <v/>
      </c>
      <c r="AJ5702">
        <f>IF($C5702="","",IF($T5702="Yes",1,0))</f>
        <v/>
      </c>
      <c r="AK5702">
        <f>IF($AG5702=1,IFERROR(IF(VALUE($C5702)&lt;100000000,VALUE($C5702),1000000000),IFERROR(IF(VALUE(MID($C5702,2,20))&lt;100000000,VALUE(MID($C5702,2,20)),1000000000),1000000000))+ROW()/100000,"")</f>
        <v/>
      </c>
    </row>
    <row r="5703">
      <c r="D5703" s="11" t="n"/>
      <c r="K5703" s="7">
        <f>IF($C5703="","",J5703*W5703/100)</f>
        <v/>
      </c>
      <c r="Q5703" s="7" t="n"/>
      <c r="R5703" s="7" t="n"/>
      <c r="U5703">
        <f>IF($C5703="","",IF($AJ5703=1,0,IF($AI5703=1,Settings!$C$6,Settings!$C$7))*100)</f>
        <v/>
      </c>
      <c r="V5703" s="7">
        <f>IF($C5703="","",R5703*U5703/100)</f>
        <v/>
      </c>
      <c r="W5703" s="7">
        <f>IF($C5703="","",R5703-V5703)</f>
        <v/>
      </c>
      <c r="X5703" s="7">
        <f>IF($C5703="","",W5703-K5703)</f>
        <v/>
      </c>
      <c r="AB5703" s="7" t="n"/>
      <c r="AE5703" s="11" t="n"/>
      <c r="AG5703">
        <f>IF($C5703="","",IF(COUNTIF($C$2:$C5703,$C5703)=1,1,0))</f>
        <v/>
      </c>
      <c r="AH5703">
        <f>IF($AG5703=1,SUMPRODUCT(--($AK$2:$AK$6001&lt;$AK5703))+1,"")</f>
        <v/>
      </c>
      <c r="AI5703">
        <f>IF($C5703="","",IF(OR($N5703=TRUE(),$N5703="TRUE"),1,0))</f>
        <v/>
      </c>
      <c r="AJ5703">
        <f>IF($C5703="","",IF($T5703="Yes",1,0))</f>
        <v/>
      </c>
      <c r="AK5703">
        <f>IF($AG5703=1,IFERROR(IF(VALUE($C5703)&lt;100000000,VALUE($C5703),1000000000),IFERROR(IF(VALUE(MID($C5703,2,20))&lt;100000000,VALUE(MID($C5703,2,20)),1000000000),1000000000))+ROW()/100000,"")</f>
        <v/>
      </c>
    </row>
    <row r="5704">
      <c r="D5704" s="11" t="n"/>
      <c r="K5704" s="7">
        <f>IF($C5704="","",J5704*W5704/100)</f>
        <v/>
      </c>
      <c r="Q5704" s="7" t="n"/>
      <c r="R5704" s="7" t="n"/>
      <c r="U5704">
        <f>IF($C5704="","",IF($AJ5704=1,0,IF($AI5704=1,Settings!$C$6,Settings!$C$7))*100)</f>
        <v/>
      </c>
      <c r="V5704" s="7">
        <f>IF($C5704="","",R5704*U5704/100)</f>
        <v/>
      </c>
      <c r="W5704" s="7">
        <f>IF($C5704="","",R5704-V5704)</f>
        <v/>
      </c>
      <c r="X5704" s="7">
        <f>IF($C5704="","",W5704-K5704)</f>
        <v/>
      </c>
      <c r="AB5704" s="7" t="n"/>
      <c r="AE5704" s="11" t="n"/>
      <c r="AG5704">
        <f>IF($C5704="","",IF(COUNTIF($C$2:$C5704,$C5704)=1,1,0))</f>
        <v/>
      </c>
      <c r="AH5704">
        <f>IF($AG5704=1,SUMPRODUCT(--($AK$2:$AK$6001&lt;$AK5704))+1,"")</f>
        <v/>
      </c>
      <c r="AI5704">
        <f>IF($C5704="","",IF(OR($N5704=TRUE(),$N5704="TRUE"),1,0))</f>
        <v/>
      </c>
      <c r="AJ5704">
        <f>IF($C5704="","",IF($T5704="Yes",1,0))</f>
        <v/>
      </c>
      <c r="AK5704">
        <f>IF($AG5704=1,IFERROR(IF(VALUE($C5704)&lt;100000000,VALUE($C5704),1000000000),IFERROR(IF(VALUE(MID($C5704,2,20))&lt;100000000,VALUE(MID($C5704,2,20)),1000000000),1000000000))+ROW()/100000,"")</f>
        <v/>
      </c>
    </row>
    <row r="5705">
      <c r="D5705" s="11" t="n"/>
      <c r="K5705" s="7">
        <f>IF($C5705="","",J5705*W5705/100)</f>
        <v/>
      </c>
      <c r="Q5705" s="7" t="n"/>
      <c r="R5705" s="7" t="n"/>
      <c r="U5705">
        <f>IF($C5705="","",IF($AJ5705=1,0,IF($AI5705=1,Settings!$C$6,Settings!$C$7))*100)</f>
        <v/>
      </c>
      <c r="V5705" s="7">
        <f>IF($C5705="","",R5705*U5705/100)</f>
        <v/>
      </c>
      <c r="W5705" s="7">
        <f>IF($C5705="","",R5705-V5705)</f>
        <v/>
      </c>
      <c r="X5705" s="7">
        <f>IF($C5705="","",W5705-K5705)</f>
        <v/>
      </c>
      <c r="AB5705" s="7" t="n"/>
      <c r="AE5705" s="11" t="n"/>
      <c r="AG5705">
        <f>IF($C5705="","",IF(COUNTIF($C$2:$C5705,$C5705)=1,1,0))</f>
        <v/>
      </c>
      <c r="AH5705">
        <f>IF($AG5705=1,SUMPRODUCT(--($AK$2:$AK$6001&lt;$AK5705))+1,"")</f>
        <v/>
      </c>
      <c r="AI5705">
        <f>IF($C5705="","",IF(OR($N5705=TRUE(),$N5705="TRUE"),1,0))</f>
        <v/>
      </c>
      <c r="AJ5705">
        <f>IF($C5705="","",IF($T5705="Yes",1,0))</f>
        <v/>
      </c>
      <c r="AK5705">
        <f>IF($AG5705=1,IFERROR(IF(VALUE($C5705)&lt;100000000,VALUE($C5705),1000000000),IFERROR(IF(VALUE(MID($C5705,2,20))&lt;100000000,VALUE(MID($C5705,2,20)),1000000000),1000000000))+ROW()/100000,"")</f>
        <v/>
      </c>
    </row>
    <row r="5706">
      <c r="D5706" s="11" t="n"/>
      <c r="K5706" s="7">
        <f>IF($C5706="","",J5706*W5706/100)</f>
        <v/>
      </c>
      <c r="Q5706" s="7" t="n"/>
      <c r="R5706" s="7" t="n"/>
      <c r="U5706">
        <f>IF($C5706="","",IF($AJ5706=1,0,IF($AI5706=1,Settings!$C$6,Settings!$C$7))*100)</f>
        <v/>
      </c>
      <c r="V5706" s="7">
        <f>IF($C5706="","",R5706*U5706/100)</f>
        <v/>
      </c>
      <c r="W5706" s="7">
        <f>IF($C5706="","",R5706-V5706)</f>
        <v/>
      </c>
      <c r="X5706" s="7">
        <f>IF($C5706="","",W5706-K5706)</f>
        <v/>
      </c>
      <c r="AB5706" s="7" t="n"/>
      <c r="AE5706" s="11" t="n"/>
      <c r="AG5706">
        <f>IF($C5706="","",IF(COUNTIF($C$2:$C5706,$C5706)=1,1,0))</f>
        <v/>
      </c>
      <c r="AH5706">
        <f>IF($AG5706=1,SUMPRODUCT(--($AK$2:$AK$6001&lt;$AK5706))+1,"")</f>
        <v/>
      </c>
      <c r="AI5706">
        <f>IF($C5706="","",IF(OR($N5706=TRUE(),$N5706="TRUE"),1,0))</f>
        <v/>
      </c>
      <c r="AJ5706">
        <f>IF($C5706="","",IF($T5706="Yes",1,0))</f>
        <v/>
      </c>
      <c r="AK5706">
        <f>IF($AG5706=1,IFERROR(IF(VALUE($C5706)&lt;100000000,VALUE($C5706),1000000000),IFERROR(IF(VALUE(MID($C5706,2,20))&lt;100000000,VALUE(MID($C5706,2,20)),1000000000),1000000000))+ROW()/100000,"")</f>
        <v/>
      </c>
    </row>
    <row r="5707">
      <c r="D5707" s="11" t="n"/>
      <c r="K5707" s="7">
        <f>IF($C5707="","",J5707*W5707/100)</f>
        <v/>
      </c>
      <c r="Q5707" s="7" t="n"/>
      <c r="R5707" s="7" t="n"/>
      <c r="U5707">
        <f>IF($C5707="","",IF($AJ5707=1,0,IF($AI5707=1,Settings!$C$6,Settings!$C$7))*100)</f>
        <v/>
      </c>
      <c r="V5707" s="7">
        <f>IF($C5707="","",R5707*U5707/100)</f>
        <v/>
      </c>
      <c r="W5707" s="7">
        <f>IF($C5707="","",R5707-V5707)</f>
        <v/>
      </c>
      <c r="X5707" s="7">
        <f>IF($C5707="","",W5707-K5707)</f>
        <v/>
      </c>
      <c r="AB5707" s="7" t="n"/>
      <c r="AE5707" s="11" t="n"/>
      <c r="AG5707">
        <f>IF($C5707="","",IF(COUNTIF($C$2:$C5707,$C5707)=1,1,0))</f>
        <v/>
      </c>
      <c r="AH5707">
        <f>IF($AG5707=1,SUMPRODUCT(--($AK$2:$AK$6001&lt;$AK5707))+1,"")</f>
        <v/>
      </c>
      <c r="AI5707">
        <f>IF($C5707="","",IF(OR($N5707=TRUE(),$N5707="TRUE"),1,0))</f>
        <v/>
      </c>
      <c r="AJ5707">
        <f>IF($C5707="","",IF($T5707="Yes",1,0))</f>
        <v/>
      </c>
      <c r="AK5707">
        <f>IF($AG5707=1,IFERROR(IF(VALUE($C5707)&lt;100000000,VALUE($C5707),1000000000),IFERROR(IF(VALUE(MID($C5707,2,20))&lt;100000000,VALUE(MID($C5707,2,20)),1000000000),1000000000))+ROW()/100000,"")</f>
        <v/>
      </c>
    </row>
    <row r="5708">
      <c r="D5708" s="11" t="n"/>
      <c r="K5708" s="7">
        <f>IF($C5708="","",J5708*W5708/100)</f>
        <v/>
      </c>
      <c r="Q5708" s="7" t="n"/>
      <c r="R5708" s="7" t="n"/>
      <c r="U5708">
        <f>IF($C5708="","",IF($AJ5708=1,0,IF($AI5708=1,Settings!$C$6,Settings!$C$7))*100)</f>
        <v/>
      </c>
      <c r="V5708" s="7">
        <f>IF($C5708="","",R5708*U5708/100)</f>
        <v/>
      </c>
      <c r="W5708" s="7">
        <f>IF($C5708="","",R5708-V5708)</f>
        <v/>
      </c>
      <c r="X5708" s="7">
        <f>IF($C5708="","",W5708-K5708)</f>
        <v/>
      </c>
      <c r="AB5708" s="7" t="n"/>
      <c r="AE5708" s="11" t="n"/>
      <c r="AG5708">
        <f>IF($C5708="","",IF(COUNTIF($C$2:$C5708,$C5708)=1,1,0))</f>
        <v/>
      </c>
      <c r="AH5708">
        <f>IF($AG5708=1,SUMPRODUCT(--($AK$2:$AK$6001&lt;$AK5708))+1,"")</f>
        <v/>
      </c>
      <c r="AI5708">
        <f>IF($C5708="","",IF(OR($N5708=TRUE(),$N5708="TRUE"),1,0))</f>
        <v/>
      </c>
      <c r="AJ5708">
        <f>IF($C5708="","",IF($T5708="Yes",1,0))</f>
        <v/>
      </c>
      <c r="AK5708">
        <f>IF($AG5708=1,IFERROR(IF(VALUE($C5708)&lt;100000000,VALUE($C5708),1000000000),IFERROR(IF(VALUE(MID($C5708,2,20))&lt;100000000,VALUE(MID($C5708,2,20)),1000000000),1000000000))+ROW()/100000,"")</f>
        <v/>
      </c>
    </row>
    <row r="5709">
      <c r="D5709" s="11" t="n"/>
      <c r="K5709" s="7">
        <f>IF($C5709="","",J5709*W5709/100)</f>
        <v/>
      </c>
      <c r="Q5709" s="7" t="n"/>
      <c r="R5709" s="7" t="n"/>
      <c r="U5709">
        <f>IF($C5709="","",IF($AJ5709=1,0,IF($AI5709=1,Settings!$C$6,Settings!$C$7))*100)</f>
        <v/>
      </c>
      <c r="V5709" s="7">
        <f>IF($C5709="","",R5709*U5709/100)</f>
        <v/>
      </c>
      <c r="W5709" s="7">
        <f>IF($C5709="","",R5709-V5709)</f>
        <v/>
      </c>
      <c r="X5709" s="7">
        <f>IF($C5709="","",W5709-K5709)</f>
        <v/>
      </c>
      <c r="AB5709" s="7" t="n"/>
      <c r="AE5709" s="11" t="n"/>
      <c r="AG5709">
        <f>IF($C5709="","",IF(COUNTIF($C$2:$C5709,$C5709)=1,1,0))</f>
        <v/>
      </c>
      <c r="AH5709">
        <f>IF($AG5709=1,SUMPRODUCT(--($AK$2:$AK$6001&lt;$AK5709))+1,"")</f>
        <v/>
      </c>
      <c r="AI5709">
        <f>IF($C5709="","",IF(OR($N5709=TRUE(),$N5709="TRUE"),1,0))</f>
        <v/>
      </c>
      <c r="AJ5709">
        <f>IF($C5709="","",IF($T5709="Yes",1,0))</f>
        <v/>
      </c>
      <c r="AK5709">
        <f>IF($AG5709=1,IFERROR(IF(VALUE($C5709)&lt;100000000,VALUE($C5709),1000000000),IFERROR(IF(VALUE(MID($C5709,2,20))&lt;100000000,VALUE(MID($C5709,2,20)),1000000000),1000000000))+ROW()/100000,"")</f>
        <v/>
      </c>
    </row>
    <row r="5710">
      <c r="D5710" s="11" t="n"/>
      <c r="K5710" s="7">
        <f>IF($C5710="","",J5710*W5710/100)</f>
        <v/>
      </c>
      <c r="Q5710" s="7" t="n"/>
      <c r="R5710" s="7" t="n"/>
      <c r="U5710">
        <f>IF($C5710="","",IF($AJ5710=1,0,IF($AI5710=1,Settings!$C$6,Settings!$C$7))*100)</f>
        <v/>
      </c>
      <c r="V5710" s="7">
        <f>IF($C5710="","",R5710*U5710/100)</f>
        <v/>
      </c>
      <c r="W5710" s="7">
        <f>IF($C5710="","",R5710-V5710)</f>
        <v/>
      </c>
      <c r="X5710" s="7">
        <f>IF($C5710="","",W5710-K5710)</f>
        <v/>
      </c>
      <c r="AB5710" s="7" t="n"/>
      <c r="AE5710" s="11" t="n"/>
      <c r="AG5710">
        <f>IF($C5710="","",IF(COUNTIF($C$2:$C5710,$C5710)=1,1,0))</f>
        <v/>
      </c>
      <c r="AH5710">
        <f>IF($AG5710=1,SUMPRODUCT(--($AK$2:$AK$6001&lt;$AK5710))+1,"")</f>
        <v/>
      </c>
      <c r="AI5710">
        <f>IF($C5710="","",IF(OR($N5710=TRUE(),$N5710="TRUE"),1,0))</f>
        <v/>
      </c>
      <c r="AJ5710">
        <f>IF($C5710="","",IF($T5710="Yes",1,0))</f>
        <v/>
      </c>
      <c r="AK5710">
        <f>IF($AG5710=1,IFERROR(IF(VALUE($C5710)&lt;100000000,VALUE($C5710),1000000000),IFERROR(IF(VALUE(MID($C5710,2,20))&lt;100000000,VALUE(MID($C5710,2,20)),1000000000),1000000000))+ROW()/100000,"")</f>
        <v/>
      </c>
    </row>
    <row r="5711">
      <c r="D5711" s="11" t="n"/>
      <c r="K5711" s="7">
        <f>IF($C5711="","",J5711*W5711/100)</f>
        <v/>
      </c>
      <c r="Q5711" s="7" t="n"/>
      <c r="R5711" s="7" t="n"/>
      <c r="U5711">
        <f>IF($C5711="","",IF($AJ5711=1,0,IF($AI5711=1,Settings!$C$6,Settings!$C$7))*100)</f>
        <v/>
      </c>
      <c r="V5711" s="7">
        <f>IF($C5711="","",R5711*U5711/100)</f>
        <v/>
      </c>
      <c r="W5711" s="7">
        <f>IF($C5711="","",R5711-V5711)</f>
        <v/>
      </c>
      <c r="X5711" s="7">
        <f>IF($C5711="","",W5711-K5711)</f>
        <v/>
      </c>
      <c r="AB5711" s="7" t="n"/>
      <c r="AE5711" s="11" t="n"/>
      <c r="AG5711">
        <f>IF($C5711="","",IF(COUNTIF($C$2:$C5711,$C5711)=1,1,0))</f>
        <v/>
      </c>
      <c r="AH5711">
        <f>IF($AG5711=1,SUMPRODUCT(--($AK$2:$AK$6001&lt;$AK5711))+1,"")</f>
        <v/>
      </c>
      <c r="AI5711">
        <f>IF($C5711="","",IF(OR($N5711=TRUE(),$N5711="TRUE"),1,0))</f>
        <v/>
      </c>
      <c r="AJ5711">
        <f>IF($C5711="","",IF($T5711="Yes",1,0))</f>
        <v/>
      </c>
      <c r="AK5711">
        <f>IF($AG5711=1,IFERROR(IF(VALUE($C5711)&lt;100000000,VALUE($C5711),1000000000),IFERROR(IF(VALUE(MID($C5711,2,20))&lt;100000000,VALUE(MID($C5711,2,20)),1000000000),1000000000))+ROW()/100000,"")</f>
        <v/>
      </c>
    </row>
    <row r="5712">
      <c r="D5712" s="11" t="n"/>
      <c r="K5712" s="7">
        <f>IF($C5712="","",J5712*W5712/100)</f>
        <v/>
      </c>
      <c r="Q5712" s="7" t="n"/>
      <c r="R5712" s="7" t="n"/>
      <c r="U5712">
        <f>IF($C5712="","",IF($AJ5712=1,0,IF($AI5712=1,Settings!$C$6,Settings!$C$7))*100)</f>
        <v/>
      </c>
      <c r="V5712" s="7">
        <f>IF($C5712="","",R5712*U5712/100)</f>
        <v/>
      </c>
      <c r="W5712" s="7">
        <f>IF($C5712="","",R5712-V5712)</f>
        <v/>
      </c>
      <c r="X5712" s="7">
        <f>IF($C5712="","",W5712-K5712)</f>
        <v/>
      </c>
      <c r="AB5712" s="7" t="n"/>
      <c r="AE5712" s="11" t="n"/>
      <c r="AG5712">
        <f>IF($C5712="","",IF(COUNTIF($C$2:$C5712,$C5712)=1,1,0))</f>
        <v/>
      </c>
      <c r="AH5712">
        <f>IF($AG5712=1,SUMPRODUCT(--($AK$2:$AK$6001&lt;$AK5712))+1,"")</f>
        <v/>
      </c>
      <c r="AI5712">
        <f>IF($C5712="","",IF(OR($N5712=TRUE(),$N5712="TRUE"),1,0))</f>
        <v/>
      </c>
      <c r="AJ5712">
        <f>IF($C5712="","",IF($T5712="Yes",1,0))</f>
        <v/>
      </c>
      <c r="AK5712">
        <f>IF($AG5712=1,IFERROR(IF(VALUE($C5712)&lt;100000000,VALUE($C5712),1000000000),IFERROR(IF(VALUE(MID($C5712,2,20))&lt;100000000,VALUE(MID($C5712,2,20)),1000000000),1000000000))+ROW()/100000,"")</f>
        <v/>
      </c>
    </row>
    <row r="5713">
      <c r="D5713" s="11" t="n"/>
      <c r="K5713" s="7">
        <f>IF($C5713="","",J5713*W5713/100)</f>
        <v/>
      </c>
      <c r="Q5713" s="7" t="n"/>
      <c r="R5713" s="7" t="n"/>
      <c r="U5713">
        <f>IF($C5713="","",IF($AJ5713=1,0,IF($AI5713=1,Settings!$C$6,Settings!$C$7))*100)</f>
        <v/>
      </c>
      <c r="V5713" s="7">
        <f>IF($C5713="","",R5713*U5713/100)</f>
        <v/>
      </c>
      <c r="W5713" s="7">
        <f>IF($C5713="","",R5713-V5713)</f>
        <v/>
      </c>
      <c r="X5713" s="7">
        <f>IF($C5713="","",W5713-K5713)</f>
        <v/>
      </c>
      <c r="AB5713" s="7" t="n"/>
      <c r="AE5713" s="11" t="n"/>
      <c r="AG5713">
        <f>IF($C5713="","",IF(COUNTIF($C$2:$C5713,$C5713)=1,1,0))</f>
        <v/>
      </c>
      <c r="AH5713">
        <f>IF($AG5713=1,SUMPRODUCT(--($AK$2:$AK$6001&lt;$AK5713))+1,"")</f>
        <v/>
      </c>
      <c r="AI5713">
        <f>IF($C5713="","",IF(OR($N5713=TRUE(),$N5713="TRUE"),1,0))</f>
        <v/>
      </c>
      <c r="AJ5713">
        <f>IF($C5713="","",IF($T5713="Yes",1,0))</f>
        <v/>
      </c>
      <c r="AK5713">
        <f>IF($AG5713=1,IFERROR(IF(VALUE($C5713)&lt;100000000,VALUE($C5713),1000000000),IFERROR(IF(VALUE(MID($C5713,2,20))&lt;100000000,VALUE(MID($C5713,2,20)),1000000000),1000000000))+ROW()/100000,"")</f>
        <v/>
      </c>
    </row>
    <row r="5714">
      <c r="D5714" s="11" t="n"/>
      <c r="K5714" s="7">
        <f>IF($C5714="","",J5714*W5714/100)</f>
        <v/>
      </c>
      <c r="Q5714" s="7" t="n"/>
      <c r="R5714" s="7" t="n"/>
      <c r="U5714">
        <f>IF($C5714="","",IF($AJ5714=1,0,IF($AI5714=1,Settings!$C$6,Settings!$C$7))*100)</f>
        <v/>
      </c>
      <c r="V5714" s="7">
        <f>IF($C5714="","",R5714*U5714/100)</f>
        <v/>
      </c>
      <c r="W5714" s="7">
        <f>IF($C5714="","",R5714-V5714)</f>
        <v/>
      </c>
      <c r="X5714" s="7">
        <f>IF($C5714="","",W5714-K5714)</f>
        <v/>
      </c>
      <c r="AB5714" s="7" t="n"/>
      <c r="AE5714" s="11" t="n"/>
      <c r="AG5714">
        <f>IF($C5714="","",IF(COUNTIF($C$2:$C5714,$C5714)=1,1,0))</f>
        <v/>
      </c>
      <c r="AH5714">
        <f>IF($AG5714=1,SUMPRODUCT(--($AK$2:$AK$6001&lt;$AK5714))+1,"")</f>
        <v/>
      </c>
      <c r="AI5714">
        <f>IF($C5714="","",IF(OR($N5714=TRUE(),$N5714="TRUE"),1,0))</f>
        <v/>
      </c>
      <c r="AJ5714">
        <f>IF($C5714="","",IF($T5714="Yes",1,0))</f>
        <v/>
      </c>
      <c r="AK5714">
        <f>IF($AG5714=1,IFERROR(IF(VALUE($C5714)&lt;100000000,VALUE($C5714),1000000000),IFERROR(IF(VALUE(MID($C5714,2,20))&lt;100000000,VALUE(MID($C5714,2,20)),1000000000),1000000000))+ROW()/100000,"")</f>
        <v/>
      </c>
    </row>
    <row r="5715">
      <c r="D5715" s="11" t="n"/>
      <c r="K5715" s="7">
        <f>IF($C5715="","",J5715*W5715/100)</f>
        <v/>
      </c>
      <c r="Q5715" s="7" t="n"/>
      <c r="R5715" s="7" t="n"/>
      <c r="U5715">
        <f>IF($C5715="","",IF($AJ5715=1,0,IF($AI5715=1,Settings!$C$6,Settings!$C$7))*100)</f>
        <v/>
      </c>
      <c r="V5715" s="7">
        <f>IF($C5715="","",R5715*U5715/100)</f>
        <v/>
      </c>
      <c r="W5715" s="7">
        <f>IF($C5715="","",R5715-V5715)</f>
        <v/>
      </c>
      <c r="X5715" s="7">
        <f>IF($C5715="","",W5715-K5715)</f>
        <v/>
      </c>
      <c r="AB5715" s="7" t="n"/>
      <c r="AE5715" s="11" t="n"/>
      <c r="AG5715">
        <f>IF($C5715="","",IF(COUNTIF($C$2:$C5715,$C5715)=1,1,0))</f>
        <v/>
      </c>
      <c r="AH5715">
        <f>IF($AG5715=1,SUMPRODUCT(--($AK$2:$AK$6001&lt;$AK5715))+1,"")</f>
        <v/>
      </c>
      <c r="AI5715">
        <f>IF($C5715="","",IF(OR($N5715=TRUE(),$N5715="TRUE"),1,0))</f>
        <v/>
      </c>
      <c r="AJ5715">
        <f>IF($C5715="","",IF($T5715="Yes",1,0))</f>
        <v/>
      </c>
      <c r="AK5715">
        <f>IF($AG5715=1,IFERROR(IF(VALUE($C5715)&lt;100000000,VALUE($C5715),1000000000),IFERROR(IF(VALUE(MID($C5715,2,20))&lt;100000000,VALUE(MID($C5715,2,20)),1000000000),1000000000))+ROW()/100000,"")</f>
        <v/>
      </c>
    </row>
    <row r="5716">
      <c r="D5716" s="11" t="n"/>
      <c r="K5716" s="7">
        <f>IF($C5716="","",J5716*W5716/100)</f>
        <v/>
      </c>
      <c r="Q5716" s="7" t="n"/>
      <c r="R5716" s="7" t="n"/>
      <c r="U5716">
        <f>IF($C5716="","",IF($AJ5716=1,0,IF($AI5716=1,Settings!$C$6,Settings!$C$7))*100)</f>
        <v/>
      </c>
      <c r="V5716" s="7">
        <f>IF($C5716="","",R5716*U5716/100)</f>
        <v/>
      </c>
      <c r="W5716" s="7">
        <f>IF($C5716="","",R5716-V5716)</f>
        <v/>
      </c>
      <c r="X5716" s="7">
        <f>IF($C5716="","",W5716-K5716)</f>
        <v/>
      </c>
      <c r="AB5716" s="7" t="n"/>
      <c r="AE5716" s="11" t="n"/>
      <c r="AG5716">
        <f>IF($C5716="","",IF(COUNTIF($C$2:$C5716,$C5716)=1,1,0))</f>
        <v/>
      </c>
      <c r="AH5716">
        <f>IF($AG5716=1,SUMPRODUCT(--($AK$2:$AK$6001&lt;$AK5716))+1,"")</f>
        <v/>
      </c>
      <c r="AI5716">
        <f>IF($C5716="","",IF(OR($N5716=TRUE(),$N5716="TRUE"),1,0))</f>
        <v/>
      </c>
      <c r="AJ5716">
        <f>IF($C5716="","",IF($T5716="Yes",1,0))</f>
        <v/>
      </c>
      <c r="AK5716">
        <f>IF($AG5716=1,IFERROR(IF(VALUE($C5716)&lt;100000000,VALUE($C5716),1000000000),IFERROR(IF(VALUE(MID($C5716,2,20))&lt;100000000,VALUE(MID($C5716,2,20)),1000000000),1000000000))+ROW()/100000,"")</f>
        <v/>
      </c>
    </row>
    <row r="5717">
      <c r="D5717" s="11" t="n"/>
      <c r="K5717" s="7">
        <f>IF($C5717="","",J5717*W5717/100)</f>
        <v/>
      </c>
      <c r="Q5717" s="7" t="n"/>
      <c r="R5717" s="7" t="n"/>
      <c r="U5717">
        <f>IF($C5717="","",IF($AJ5717=1,0,IF($AI5717=1,Settings!$C$6,Settings!$C$7))*100)</f>
        <v/>
      </c>
      <c r="V5717" s="7">
        <f>IF($C5717="","",R5717*U5717/100)</f>
        <v/>
      </c>
      <c r="W5717" s="7">
        <f>IF($C5717="","",R5717-V5717)</f>
        <v/>
      </c>
      <c r="X5717" s="7">
        <f>IF($C5717="","",W5717-K5717)</f>
        <v/>
      </c>
      <c r="AB5717" s="7" t="n"/>
      <c r="AE5717" s="11" t="n"/>
      <c r="AG5717">
        <f>IF($C5717="","",IF(COUNTIF($C$2:$C5717,$C5717)=1,1,0))</f>
        <v/>
      </c>
      <c r="AH5717">
        <f>IF($AG5717=1,SUMPRODUCT(--($AK$2:$AK$6001&lt;$AK5717))+1,"")</f>
        <v/>
      </c>
      <c r="AI5717">
        <f>IF($C5717="","",IF(OR($N5717=TRUE(),$N5717="TRUE"),1,0))</f>
        <v/>
      </c>
      <c r="AJ5717">
        <f>IF($C5717="","",IF($T5717="Yes",1,0))</f>
        <v/>
      </c>
      <c r="AK5717">
        <f>IF($AG5717=1,IFERROR(IF(VALUE($C5717)&lt;100000000,VALUE($C5717),1000000000),IFERROR(IF(VALUE(MID($C5717,2,20))&lt;100000000,VALUE(MID($C5717,2,20)),1000000000),1000000000))+ROW()/100000,"")</f>
        <v/>
      </c>
    </row>
    <row r="5718">
      <c r="D5718" s="11" t="n"/>
      <c r="K5718" s="7">
        <f>IF($C5718="","",J5718*W5718/100)</f>
        <v/>
      </c>
      <c r="Q5718" s="7" t="n"/>
      <c r="R5718" s="7" t="n"/>
      <c r="U5718">
        <f>IF($C5718="","",IF($AJ5718=1,0,IF($AI5718=1,Settings!$C$6,Settings!$C$7))*100)</f>
        <v/>
      </c>
      <c r="V5718" s="7">
        <f>IF($C5718="","",R5718*U5718/100)</f>
        <v/>
      </c>
      <c r="W5718" s="7">
        <f>IF($C5718="","",R5718-V5718)</f>
        <v/>
      </c>
      <c r="X5718" s="7">
        <f>IF($C5718="","",W5718-K5718)</f>
        <v/>
      </c>
      <c r="AB5718" s="7" t="n"/>
      <c r="AE5718" s="11" t="n"/>
      <c r="AG5718">
        <f>IF($C5718="","",IF(COUNTIF($C$2:$C5718,$C5718)=1,1,0))</f>
        <v/>
      </c>
      <c r="AH5718">
        <f>IF($AG5718=1,SUMPRODUCT(--($AK$2:$AK$6001&lt;$AK5718))+1,"")</f>
        <v/>
      </c>
      <c r="AI5718">
        <f>IF($C5718="","",IF(OR($N5718=TRUE(),$N5718="TRUE"),1,0))</f>
        <v/>
      </c>
      <c r="AJ5718">
        <f>IF($C5718="","",IF($T5718="Yes",1,0))</f>
        <v/>
      </c>
      <c r="AK5718">
        <f>IF($AG5718=1,IFERROR(IF(VALUE($C5718)&lt;100000000,VALUE($C5718),1000000000),IFERROR(IF(VALUE(MID($C5718,2,20))&lt;100000000,VALUE(MID($C5718,2,20)),1000000000),1000000000))+ROW()/100000,"")</f>
        <v/>
      </c>
    </row>
    <row r="5719">
      <c r="D5719" s="11" t="n"/>
      <c r="K5719" s="7">
        <f>IF($C5719="","",J5719*W5719/100)</f>
        <v/>
      </c>
      <c r="Q5719" s="7" t="n"/>
      <c r="R5719" s="7" t="n"/>
      <c r="U5719">
        <f>IF($C5719="","",IF($AJ5719=1,0,IF($AI5719=1,Settings!$C$6,Settings!$C$7))*100)</f>
        <v/>
      </c>
      <c r="V5719" s="7">
        <f>IF($C5719="","",R5719*U5719/100)</f>
        <v/>
      </c>
      <c r="W5719" s="7">
        <f>IF($C5719="","",R5719-V5719)</f>
        <v/>
      </c>
      <c r="X5719" s="7">
        <f>IF($C5719="","",W5719-K5719)</f>
        <v/>
      </c>
      <c r="AB5719" s="7" t="n"/>
      <c r="AE5719" s="11" t="n"/>
      <c r="AG5719">
        <f>IF($C5719="","",IF(COUNTIF($C$2:$C5719,$C5719)=1,1,0))</f>
        <v/>
      </c>
      <c r="AH5719">
        <f>IF($AG5719=1,SUMPRODUCT(--($AK$2:$AK$6001&lt;$AK5719))+1,"")</f>
        <v/>
      </c>
      <c r="AI5719">
        <f>IF($C5719="","",IF(OR($N5719=TRUE(),$N5719="TRUE"),1,0))</f>
        <v/>
      </c>
      <c r="AJ5719">
        <f>IF($C5719="","",IF($T5719="Yes",1,0))</f>
        <v/>
      </c>
      <c r="AK5719">
        <f>IF($AG5719=1,IFERROR(IF(VALUE($C5719)&lt;100000000,VALUE($C5719),1000000000),IFERROR(IF(VALUE(MID($C5719,2,20))&lt;100000000,VALUE(MID($C5719,2,20)),1000000000),1000000000))+ROW()/100000,"")</f>
        <v/>
      </c>
    </row>
    <row r="5720">
      <c r="D5720" s="11" t="n"/>
      <c r="K5720" s="7">
        <f>IF($C5720="","",J5720*W5720/100)</f>
        <v/>
      </c>
      <c r="Q5720" s="7" t="n"/>
      <c r="R5720" s="7" t="n"/>
      <c r="U5720">
        <f>IF($C5720="","",IF($AJ5720=1,0,IF($AI5720=1,Settings!$C$6,Settings!$C$7))*100)</f>
        <v/>
      </c>
      <c r="V5720" s="7">
        <f>IF($C5720="","",R5720*U5720/100)</f>
        <v/>
      </c>
      <c r="W5720" s="7">
        <f>IF($C5720="","",R5720-V5720)</f>
        <v/>
      </c>
      <c r="X5720" s="7">
        <f>IF($C5720="","",W5720-K5720)</f>
        <v/>
      </c>
      <c r="AB5720" s="7" t="n"/>
      <c r="AE5720" s="11" t="n"/>
      <c r="AG5720">
        <f>IF($C5720="","",IF(COUNTIF($C$2:$C5720,$C5720)=1,1,0))</f>
        <v/>
      </c>
      <c r="AH5720">
        <f>IF($AG5720=1,SUMPRODUCT(--($AK$2:$AK$6001&lt;$AK5720))+1,"")</f>
        <v/>
      </c>
      <c r="AI5720">
        <f>IF($C5720="","",IF(OR($N5720=TRUE(),$N5720="TRUE"),1,0))</f>
        <v/>
      </c>
      <c r="AJ5720">
        <f>IF($C5720="","",IF($T5720="Yes",1,0))</f>
        <v/>
      </c>
      <c r="AK5720">
        <f>IF($AG5720=1,IFERROR(IF(VALUE($C5720)&lt;100000000,VALUE($C5720),1000000000),IFERROR(IF(VALUE(MID($C5720,2,20))&lt;100000000,VALUE(MID($C5720,2,20)),1000000000),1000000000))+ROW()/100000,"")</f>
        <v/>
      </c>
    </row>
    <row r="5721">
      <c r="D5721" s="11" t="n"/>
      <c r="K5721" s="7">
        <f>IF($C5721="","",J5721*W5721/100)</f>
        <v/>
      </c>
      <c r="Q5721" s="7" t="n"/>
      <c r="R5721" s="7" t="n"/>
      <c r="U5721">
        <f>IF($C5721="","",IF($AJ5721=1,0,IF($AI5721=1,Settings!$C$6,Settings!$C$7))*100)</f>
        <v/>
      </c>
      <c r="V5721" s="7">
        <f>IF($C5721="","",R5721*U5721/100)</f>
        <v/>
      </c>
      <c r="W5721" s="7">
        <f>IF($C5721="","",R5721-V5721)</f>
        <v/>
      </c>
      <c r="X5721" s="7">
        <f>IF($C5721="","",W5721-K5721)</f>
        <v/>
      </c>
      <c r="AB5721" s="7" t="n"/>
      <c r="AE5721" s="11" t="n"/>
      <c r="AG5721">
        <f>IF($C5721="","",IF(COUNTIF($C$2:$C5721,$C5721)=1,1,0))</f>
        <v/>
      </c>
      <c r="AH5721">
        <f>IF($AG5721=1,SUMPRODUCT(--($AK$2:$AK$6001&lt;$AK5721))+1,"")</f>
        <v/>
      </c>
      <c r="AI5721">
        <f>IF($C5721="","",IF(OR($N5721=TRUE(),$N5721="TRUE"),1,0))</f>
        <v/>
      </c>
      <c r="AJ5721">
        <f>IF($C5721="","",IF($T5721="Yes",1,0))</f>
        <v/>
      </c>
      <c r="AK5721">
        <f>IF($AG5721=1,IFERROR(IF(VALUE($C5721)&lt;100000000,VALUE($C5721),1000000000),IFERROR(IF(VALUE(MID($C5721,2,20))&lt;100000000,VALUE(MID($C5721,2,20)),1000000000),1000000000))+ROW()/100000,"")</f>
        <v/>
      </c>
    </row>
    <row r="5722">
      <c r="D5722" s="11" t="n"/>
      <c r="K5722" s="7">
        <f>IF($C5722="","",J5722*W5722/100)</f>
        <v/>
      </c>
      <c r="Q5722" s="7" t="n"/>
      <c r="R5722" s="7" t="n"/>
      <c r="U5722">
        <f>IF($C5722="","",IF($AJ5722=1,0,IF($AI5722=1,Settings!$C$6,Settings!$C$7))*100)</f>
        <v/>
      </c>
      <c r="V5722" s="7">
        <f>IF($C5722="","",R5722*U5722/100)</f>
        <v/>
      </c>
      <c r="W5722" s="7">
        <f>IF($C5722="","",R5722-V5722)</f>
        <v/>
      </c>
      <c r="X5722" s="7">
        <f>IF($C5722="","",W5722-K5722)</f>
        <v/>
      </c>
      <c r="AB5722" s="7" t="n"/>
      <c r="AE5722" s="11" t="n"/>
      <c r="AG5722">
        <f>IF($C5722="","",IF(COUNTIF($C$2:$C5722,$C5722)=1,1,0))</f>
        <v/>
      </c>
      <c r="AH5722">
        <f>IF($AG5722=1,SUMPRODUCT(--($AK$2:$AK$6001&lt;$AK5722))+1,"")</f>
        <v/>
      </c>
      <c r="AI5722">
        <f>IF($C5722="","",IF(OR($N5722=TRUE(),$N5722="TRUE"),1,0))</f>
        <v/>
      </c>
      <c r="AJ5722">
        <f>IF($C5722="","",IF($T5722="Yes",1,0))</f>
        <v/>
      </c>
      <c r="AK5722">
        <f>IF($AG5722=1,IFERROR(IF(VALUE($C5722)&lt;100000000,VALUE($C5722),1000000000),IFERROR(IF(VALUE(MID($C5722,2,20))&lt;100000000,VALUE(MID($C5722,2,20)),1000000000),1000000000))+ROW()/100000,"")</f>
        <v/>
      </c>
    </row>
    <row r="5723">
      <c r="D5723" s="11" t="n"/>
      <c r="K5723" s="7">
        <f>IF($C5723="","",J5723*W5723/100)</f>
        <v/>
      </c>
      <c r="Q5723" s="7" t="n"/>
      <c r="R5723" s="7" t="n"/>
      <c r="U5723">
        <f>IF($C5723="","",IF($AJ5723=1,0,IF($AI5723=1,Settings!$C$6,Settings!$C$7))*100)</f>
        <v/>
      </c>
      <c r="V5723" s="7">
        <f>IF($C5723="","",R5723*U5723/100)</f>
        <v/>
      </c>
      <c r="W5723" s="7">
        <f>IF($C5723="","",R5723-V5723)</f>
        <v/>
      </c>
      <c r="X5723" s="7">
        <f>IF($C5723="","",W5723-K5723)</f>
        <v/>
      </c>
      <c r="AB5723" s="7" t="n"/>
      <c r="AE5723" s="11" t="n"/>
      <c r="AG5723">
        <f>IF($C5723="","",IF(COUNTIF($C$2:$C5723,$C5723)=1,1,0))</f>
        <v/>
      </c>
      <c r="AH5723">
        <f>IF($AG5723=1,SUMPRODUCT(--($AK$2:$AK$6001&lt;$AK5723))+1,"")</f>
        <v/>
      </c>
      <c r="AI5723">
        <f>IF($C5723="","",IF(OR($N5723=TRUE(),$N5723="TRUE"),1,0))</f>
        <v/>
      </c>
      <c r="AJ5723">
        <f>IF($C5723="","",IF($T5723="Yes",1,0))</f>
        <v/>
      </c>
      <c r="AK5723">
        <f>IF($AG5723=1,IFERROR(IF(VALUE($C5723)&lt;100000000,VALUE($C5723),1000000000),IFERROR(IF(VALUE(MID($C5723,2,20))&lt;100000000,VALUE(MID($C5723,2,20)),1000000000),1000000000))+ROW()/100000,"")</f>
        <v/>
      </c>
    </row>
    <row r="5724">
      <c r="D5724" s="11" t="n"/>
      <c r="K5724" s="7">
        <f>IF($C5724="","",J5724*W5724/100)</f>
        <v/>
      </c>
      <c r="Q5724" s="7" t="n"/>
      <c r="R5724" s="7" t="n"/>
      <c r="U5724">
        <f>IF($C5724="","",IF($AJ5724=1,0,IF($AI5724=1,Settings!$C$6,Settings!$C$7))*100)</f>
        <v/>
      </c>
      <c r="V5724" s="7">
        <f>IF($C5724="","",R5724*U5724/100)</f>
        <v/>
      </c>
      <c r="W5724" s="7">
        <f>IF($C5724="","",R5724-V5724)</f>
        <v/>
      </c>
      <c r="X5724" s="7">
        <f>IF($C5724="","",W5724-K5724)</f>
        <v/>
      </c>
      <c r="AB5724" s="7" t="n"/>
      <c r="AE5724" s="11" t="n"/>
      <c r="AG5724">
        <f>IF($C5724="","",IF(COUNTIF($C$2:$C5724,$C5724)=1,1,0))</f>
        <v/>
      </c>
      <c r="AH5724">
        <f>IF($AG5724=1,SUMPRODUCT(--($AK$2:$AK$6001&lt;$AK5724))+1,"")</f>
        <v/>
      </c>
      <c r="AI5724">
        <f>IF($C5724="","",IF(OR($N5724=TRUE(),$N5724="TRUE"),1,0))</f>
        <v/>
      </c>
      <c r="AJ5724">
        <f>IF($C5724="","",IF($T5724="Yes",1,0))</f>
        <v/>
      </c>
      <c r="AK5724">
        <f>IF($AG5724=1,IFERROR(IF(VALUE($C5724)&lt;100000000,VALUE($C5724),1000000000),IFERROR(IF(VALUE(MID($C5724,2,20))&lt;100000000,VALUE(MID($C5724,2,20)),1000000000),1000000000))+ROW()/100000,"")</f>
        <v/>
      </c>
    </row>
    <row r="5725">
      <c r="D5725" s="11" t="n"/>
      <c r="K5725" s="7">
        <f>IF($C5725="","",J5725*W5725/100)</f>
        <v/>
      </c>
      <c r="Q5725" s="7" t="n"/>
      <c r="R5725" s="7" t="n"/>
      <c r="U5725">
        <f>IF($C5725="","",IF($AJ5725=1,0,IF($AI5725=1,Settings!$C$6,Settings!$C$7))*100)</f>
        <v/>
      </c>
      <c r="V5725" s="7">
        <f>IF($C5725="","",R5725*U5725/100)</f>
        <v/>
      </c>
      <c r="W5725" s="7">
        <f>IF($C5725="","",R5725-V5725)</f>
        <v/>
      </c>
      <c r="X5725" s="7">
        <f>IF($C5725="","",W5725-K5725)</f>
        <v/>
      </c>
      <c r="AB5725" s="7" t="n"/>
      <c r="AE5725" s="11" t="n"/>
      <c r="AG5725">
        <f>IF($C5725="","",IF(COUNTIF($C$2:$C5725,$C5725)=1,1,0))</f>
        <v/>
      </c>
      <c r="AH5725">
        <f>IF($AG5725=1,SUMPRODUCT(--($AK$2:$AK$6001&lt;$AK5725))+1,"")</f>
        <v/>
      </c>
      <c r="AI5725">
        <f>IF($C5725="","",IF(OR($N5725=TRUE(),$N5725="TRUE"),1,0))</f>
        <v/>
      </c>
      <c r="AJ5725">
        <f>IF($C5725="","",IF($T5725="Yes",1,0))</f>
        <v/>
      </c>
      <c r="AK5725">
        <f>IF($AG5725=1,IFERROR(IF(VALUE($C5725)&lt;100000000,VALUE($C5725),1000000000),IFERROR(IF(VALUE(MID($C5725,2,20))&lt;100000000,VALUE(MID($C5725,2,20)),1000000000),1000000000))+ROW()/100000,"")</f>
        <v/>
      </c>
    </row>
    <row r="5726">
      <c r="D5726" s="11" t="n"/>
      <c r="K5726" s="7">
        <f>IF($C5726="","",J5726*W5726/100)</f>
        <v/>
      </c>
      <c r="Q5726" s="7" t="n"/>
      <c r="R5726" s="7" t="n"/>
      <c r="U5726">
        <f>IF($C5726="","",IF($AJ5726=1,0,IF($AI5726=1,Settings!$C$6,Settings!$C$7))*100)</f>
        <v/>
      </c>
      <c r="V5726" s="7">
        <f>IF($C5726="","",R5726*U5726/100)</f>
        <v/>
      </c>
      <c r="W5726" s="7">
        <f>IF($C5726="","",R5726-V5726)</f>
        <v/>
      </c>
      <c r="X5726" s="7">
        <f>IF($C5726="","",W5726-K5726)</f>
        <v/>
      </c>
      <c r="AB5726" s="7" t="n"/>
      <c r="AE5726" s="11" t="n"/>
      <c r="AG5726">
        <f>IF($C5726="","",IF(COUNTIF($C$2:$C5726,$C5726)=1,1,0))</f>
        <v/>
      </c>
      <c r="AH5726">
        <f>IF($AG5726=1,SUMPRODUCT(--($AK$2:$AK$6001&lt;$AK5726))+1,"")</f>
        <v/>
      </c>
      <c r="AI5726">
        <f>IF($C5726="","",IF(OR($N5726=TRUE(),$N5726="TRUE"),1,0))</f>
        <v/>
      </c>
      <c r="AJ5726">
        <f>IF($C5726="","",IF($T5726="Yes",1,0))</f>
        <v/>
      </c>
      <c r="AK5726">
        <f>IF($AG5726=1,IFERROR(IF(VALUE($C5726)&lt;100000000,VALUE($C5726),1000000000),IFERROR(IF(VALUE(MID($C5726,2,20))&lt;100000000,VALUE(MID($C5726,2,20)),1000000000),1000000000))+ROW()/100000,"")</f>
        <v/>
      </c>
    </row>
    <row r="5727">
      <c r="D5727" s="11" t="n"/>
      <c r="K5727" s="7">
        <f>IF($C5727="","",J5727*W5727/100)</f>
        <v/>
      </c>
      <c r="Q5727" s="7" t="n"/>
      <c r="R5727" s="7" t="n"/>
      <c r="U5727">
        <f>IF($C5727="","",IF($AJ5727=1,0,IF($AI5727=1,Settings!$C$6,Settings!$C$7))*100)</f>
        <v/>
      </c>
      <c r="V5727" s="7">
        <f>IF($C5727="","",R5727*U5727/100)</f>
        <v/>
      </c>
      <c r="W5727" s="7">
        <f>IF($C5727="","",R5727-V5727)</f>
        <v/>
      </c>
      <c r="X5727" s="7">
        <f>IF($C5727="","",W5727-K5727)</f>
        <v/>
      </c>
      <c r="AB5727" s="7" t="n"/>
      <c r="AE5727" s="11" t="n"/>
      <c r="AG5727">
        <f>IF($C5727="","",IF(COUNTIF($C$2:$C5727,$C5727)=1,1,0))</f>
        <v/>
      </c>
      <c r="AH5727">
        <f>IF($AG5727=1,SUMPRODUCT(--($AK$2:$AK$6001&lt;$AK5727))+1,"")</f>
        <v/>
      </c>
      <c r="AI5727">
        <f>IF($C5727="","",IF(OR($N5727=TRUE(),$N5727="TRUE"),1,0))</f>
        <v/>
      </c>
      <c r="AJ5727">
        <f>IF($C5727="","",IF($T5727="Yes",1,0))</f>
        <v/>
      </c>
      <c r="AK5727">
        <f>IF($AG5727=1,IFERROR(IF(VALUE($C5727)&lt;100000000,VALUE($C5727),1000000000),IFERROR(IF(VALUE(MID($C5727,2,20))&lt;100000000,VALUE(MID($C5727,2,20)),1000000000),1000000000))+ROW()/100000,"")</f>
        <v/>
      </c>
    </row>
    <row r="5728">
      <c r="D5728" s="11" t="n"/>
      <c r="K5728" s="7">
        <f>IF($C5728="","",J5728*W5728/100)</f>
        <v/>
      </c>
      <c r="Q5728" s="7" t="n"/>
      <c r="R5728" s="7" t="n"/>
      <c r="U5728">
        <f>IF($C5728="","",IF($AJ5728=1,0,IF($AI5728=1,Settings!$C$6,Settings!$C$7))*100)</f>
        <v/>
      </c>
      <c r="V5728" s="7">
        <f>IF($C5728="","",R5728*U5728/100)</f>
        <v/>
      </c>
      <c r="W5728" s="7">
        <f>IF($C5728="","",R5728-V5728)</f>
        <v/>
      </c>
      <c r="X5728" s="7">
        <f>IF($C5728="","",W5728-K5728)</f>
        <v/>
      </c>
      <c r="AB5728" s="7" t="n"/>
      <c r="AE5728" s="11" t="n"/>
      <c r="AG5728">
        <f>IF($C5728="","",IF(COUNTIF($C$2:$C5728,$C5728)=1,1,0))</f>
        <v/>
      </c>
      <c r="AH5728">
        <f>IF($AG5728=1,SUMPRODUCT(--($AK$2:$AK$6001&lt;$AK5728))+1,"")</f>
        <v/>
      </c>
      <c r="AI5728">
        <f>IF($C5728="","",IF(OR($N5728=TRUE(),$N5728="TRUE"),1,0))</f>
        <v/>
      </c>
      <c r="AJ5728">
        <f>IF($C5728="","",IF($T5728="Yes",1,0))</f>
        <v/>
      </c>
      <c r="AK5728">
        <f>IF($AG5728=1,IFERROR(IF(VALUE($C5728)&lt;100000000,VALUE($C5728),1000000000),IFERROR(IF(VALUE(MID($C5728,2,20))&lt;100000000,VALUE(MID($C5728,2,20)),1000000000),1000000000))+ROW()/100000,"")</f>
        <v/>
      </c>
    </row>
    <row r="5729">
      <c r="D5729" s="11" t="n"/>
      <c r="K5729" s="7">
        <f>IF($C5729="","",J5729*W5729/100)</f>
        <v/>
      </c>
      <c r="Q5729" s="7" t="n"/>
      <c r="R5729" s="7" t="n"/>
      <c r="U5729">
        <f>IF($C5729="","",IF($AJ5729=1,0,IF($AI5729=1,Settings!$C$6,Settings!$C$7))*100)</f>
        <v/>
      </c>
      <c r="V5729" s="7">
        <f>IF($C5729="","",R5729*U5729/100)</f>
        <v/>
      </c>
      <c r="W5729" s="7">
        <f>IF($C5729="","",R5729-V5729)</f>
        <v/>
      </c>
      <c r="X5729" s="7">
        <f>IF($C5729="","",W5729-K5729)</f>
        <v/>
      </c>
      <c r="AB5729" s="7" t="n"/>
      <c r="AE5729" s="11" t="n"/>
      <c r="AG5729">
        <f>IF($C5729="","",IF(COUNTIF($C$2:$C5729,$C5729)=1,1,0))</f>
        <v/>
      </c>
      <c r="AH5729">
        <f>IF($AG5729=1,SUMPRODUCT(--($AK$2:$AK$6001&lt;$AK5729))+1,"")</f>
        <v/>
      </c>
      <c r="AI5729">
        <f>IF($C5729="","",IF(OR($N5729=TRUE(),$N5729="TRUE"),1,0))</f>
        <v/>
      </c>
      <c r="AJ5729">
        <f>IF($C5729="","",IF($T5729="Yes",1,0))</f>
        <v/>
      </c>
      <c r="AK5729">
        <f>IF($AG5729=1,IFERROR(IF(VALUE($C5729)&lt;100000000,VALUE($C5729),1000000000),IFERROR(IF(VALUE(MID($C5729,2,20))&lt;100000000,VALUE(MID($C5729,2,20)),1000000000),1000000000))+ROW()/100000,"")</f>
        <v/>
      </c>
    </row>
    <row r="5730">
      <c r="D5730" s="11" t="n"/>
      <c r="K5730" s="7">
        <f>IF($C5730="","",J5730*W5730/100)</f>
        <v/>
      </c>
      <c r="Q5730" s="7" t="n"/>
      <c r="R5730" s="7" t="n"/>
      <c r="U5730">
        <f>IF($C5730="","",IF($AJ5730=1,0,IF($AI5730=1,Settings!$C$6,Settings!$C$7))*100)</f>
        <v/>
      </c>
      <c r="V5730" s="7">
        <f>IF($C5730="","",R5730*U5730/100)</f>
        <v/>
      </c>
      <c r="W5730" s="7">
        <f>IF($C5730="","",R5730-V5730)</f>
        <v/>
      </c>
      <c r="X5730" s="7">
        <f>IF($C5730="","",W5730-K5730)</f>
        <v/>
      </c>
      <c r="AB5730" s="7" t="n"/>
      <c r="AE5730" s="11" t="n"/>
      <c r="AG5730">
        <f>IF($C5730="","",IF(COUNTIF($C$2:$C5730,$C5730)=1,1,0))</f>
        <v/>
      </c>
      <c r="AH5730">
        <f>IF($AG5730=1,SUMPRODUCT(--($AK$2:$AK$6001&lt;$AK5730))+1,"")</f>
        <v/>
      </c>
      <c r="AI5730">
        <f>IF($C5730="","",IF(OR($N5730=TRUE(),$N5730="TRUE"),1,0))</f>
        <v/>
      </c>
      <c r="AJ5730">
        <f>IF($C5730="","",IF($T5730="Yes",1,0))</f>
        <v/>
      </c>
      <c r="AK5730">
        <f>IF($AG5730=1,IFERROR(IF(VALUE($C5730)&lt;100000000,VALUE($C5730),1000000000),IFERROR(IF(VALUE(MID($C5730,2,20))&lt;100000000,VALUE(MID($C5730,2,20)),1000000000),1000000000))+ROW()/100000,"")</f>
        <v/>
      </c>
    </row>
    <row r="5731">
      <c r="D5731" s="11" t="n"/>
      <c r="K5731" s="7">
        <f>IF($C5731="","",J5731*W5731/100)</f>
        <v/>
      </c>
      <c r="Q5731" s="7" t="n"/>
      <c r="R5731" s="7" t="n"/>
      <c r="U5731">
        <f>IF($C5731="","",IF($AJ5731=1,0,IF($AI5731=1,Settings!$C$6,Settings!$C$7))*100)</f>
        <v/>
      </c>
      <c r="V5731" s="7">
        <f>IF($C5731="","",R5731*U5731/100)</f>
        <v/>
      </c>
      <c r="W5731" s="7">
        <f>IF($C5731="","",R5731-V5731)</f>
        <v/>
      </c>
      <c r="X5731" s="7">
        <f>IF($C5731="","",W5731-K5731)</f>
        <v/>
      </c>
      <c r="AB5731" s="7" t="n"/>
      <c r="AE5731" s="11" t="n"/>
      <c r="AG5731">
        <f>IF($C5731="","",IF(COUNTIF($C$2:$C5731,$C5731)=1,1,0))</f>
        <v/>
      </c>
      <c r="AH5731">
        <f>IF($AG5731=1,SUMPRODUCT(--($AK$2:$AK$6001&lt;$AK5731))+1,"")</f>
        <v/>
      </c>
      <c r="AI5731">
        <f>IF($C5731="","",IF(OR($N5731=TRUE(),$N5731="TRUE"),1,0))</f>
        <v/>
      </c>
      <c r="AJ5731">
        <f>IF($C5731="","",IF($T5731="Yes",1,0))</f>
        <v/>
      </c>
      <c r="AK5731">
        <f>IF($AG5731=1,IFERROR(IF(VALUE($C5731)&lt;100000000,VALUE($C5731),1000000000),IFERROR(IF(VALUE(MID($C5731,2,20))&lt;100000000,VALUE(MID($C5731,2,20)),1000000000),1000000000))+ROW()/100000,"")</f>
        <v/>
      </c>
    </row>
    <row r="5732">
      <c r="D5732" s="11" t="n"/>
      <c r="K5732" s="7">
        <f>IF($C5732="","",J5732*W5732/100)</f>
        <v/>
      </c>
      <c r="Q5732" s="7" t="n"/>
      <c r="R5732" s="7" t="n"/>
      <c r="U5732">
        <f>IF($C5732="","",IF($AJ5732=1,0,IF($AI5732=1,Settings!$C$6,Settings!$C$7))*100)</f>
        <v/>
      </c>
      <c r="V5732" s="7">
        <f>IF($C5732="","",R5732*U5732/100)</f>
        <v/>
      </c>
      <c r="W5732" s="7">
        <f>IF($C5732="","",R5732-V5732)</f>
        <v/>
      </c>
      <c r="X5732" s="7">
        <f>IF($C5732="","",W5732-K5732)</f>
        <v/>
      </c>
      <c r="AB5732" s="7" t="n"/>
      <c r="AE5732" s="11" t="n"/>
      <c r="AG5732">
        <f>IF($C5732="","",IF(COUNTIF($C$2:$C5732,$C5732)=1,1,0))</f>
        <v/>
      </c>
      <c r="AH5732">
        <f>IF($AG5732=1,SUMPRODUCT(--($AK$2:$AK$6001&lt;$AK5732))+1,"")</f>
        <v/>
      </c>
      <c r="AI5732">
        <f>IF($C5732="","",IF(OR($N5732=TRUE(),$N5732="TRUE"),1,0))</f>
        <v/>
      </c>
      <c r="AJ5732">
        <f>IF($C5732="","",IF($T5732="Yes",1,0))</f>
        <v/>
      </c>
      <c r="AK5732">
        <f>IF($AG5732=1,IFERROR(IF(VALUE($C5732)&lt;100000000,VALUE($C5732),1000000000),IFERROR(IF(VALUE(MID($C5732,2,20))&lt;100000000,VALUE(MID($C5732,2,20)),1000000000),1000000000))+ROW()/100000,"")</f>
        <v/>
      </c>
    </row>
    <row r="5733">
      <c r="D5733" s="11" t="n"/>
      <c r="K5733" s="7">
        <f>IF($C5733="","",J5733*W5733/100)</f>
        <v/>
      </c>
      <c r="Q5733" s="7" t="n"/>
      <c r="R5733" s="7" t="n"/>
      <c r="U5733">
        <f>IF($C5733="","",IF($AJ5733=1,0,IF($AI5733=1,Settings!$C$6,Settings!$C$7))*100)</f>
        <v/>
      </c>
      <c r="V5733" s="7">
        <f>IF($C5733="","",R5733*U5733/100)</f>
        <v/>
      </c>
      <c r="W5733" s="7">
        <f>IF($C5733="","",R5733-V5733)</f>
        <v/>
      </c>
      <c r="X5733" s="7">
        <f>IF($C5733="","",W5733-K5733)</f>
        <v/>
      </c>
      <c r="AB5733" s="7" t="n"/>
      <c r="AE5733" s="11" t="n"/>
      <c r="AG5733">
        <f>IF($C5733="","",IF(COUNTIF($C$2:$C5733,$C5733)=1,1,0))</f>
        <v/>
      </c>
      <c r="AH5733">
        <f>IF($AG5733=1,SUMPRODUCT(--($AK$2:$AK$6001&lt;$AK5733))+1,"")</f>
        <v/>
      </c>
      <c r="AI5733">
        <f>IF($C5733="","",IF(OR($N5733=TRUE(),$N5733="TRUE"),1,0))</f>
        <v/>
      </c>
      <c r="AJ5733">
        <f>IF($C5733="","",IF($T5733="Yes",1,0))</f>
        <v/>
      </c>
      <c r="AK5733">
        <f>IF($AG5733=1,IFERROR(IF(VALUE($C5733)&lt;100000000,VALUE($C5733),1000000000),IFERROR(IF(VALUE(MID($C5733,2,20))&lt;100000000,VALUE(MID($C5733,2,20)),1000000000),1000000000))+ROW()/100000,"")</f>
        <v/>
      </c>
    </row>
    <row r="5734">
      <c r="D5734" s="11" t="n"/>
      <c r="K5734" s="7">
        <f>IF($C5734="","",J5734*W5734/100)</f>
        <v/>
      </c>
      <c r="Q5734" s="7" t="n"/>
      <c r="R5734" s="7" t="n"/>
      <c r="U5734">
        <f>IF($C5734="","",IF($AJ5734=1,0,IF($AI5734=1,Settings!$C$6,Settings!$C$7))*100)</f>
        <v/>
      </c>
      <c r="V5734" s="7">
        <f>IF($C5734="","",R5734*U5734/100)</f>
        <v/>
      </c>
      <c r="W5734" s="7">
        <f>IF($C5734="","",R5734-V5734)</f>
        <v/>
      </c>
      <c r="X5734" s="7">
        <f>IF($C5734="","",W5734-K5734)</f>
        <v/>
      </c>
      <c r="AB5734" s="7" t="n"/>
      <c r="AE5734" s="11" t="n"/>
      <c r="AG5734">
        <f>IF($C5734="","",IF(COUNTIF($C$2:$C5734,$C5734)=1,1,0))</f>
        <v/>
      </c>
      <c r="AH5734">
        <f>IF($AG5734=1,SUMPRODUCT(--($AK$2:$AK$6001&lt;$AK5734))+1,"")</f>
        <v/>
      </c>
      <c r="AI5734">
        <f>IF($C5734="","",IF(OR($N5734=TRUE(),$N5734="TRUE"),1,0))</f>
        <v/>
      </c>
      <c r="AJ5734">
        <f>IF($C5734="","",IF($T5734="Yes",1,0))</f>
        <v/>
      </c>
      <c r="AK5734">
        <f>IF($AG5734=1,IFERROR(IF(VALUE($C5734)&lt;100000000,VALUE($C5734),1000000000),IFERROR(IF(VALUE(MID($C5734,2,20))&lt;100000000,VALUE(MID($C5734,2,20)),1000000000),1000000000))+ROW()/100000,"")</f>
        <v/>
      </c>
    </row>
    <row r="5735">
      <c r="D5735" s="11" t="n"/>
      <c r="K5735" s="7">
        <f>IF($C5735="","",J5735*W5735/100)</f>
        <v/>
      </c>
      <c r="Q5735" s="7" t="n"/>
      <c r="R5735" s="7" t="n"/>
      <c r="U5735">
        <f>IF($C5735="","",IF($AJ5735=1,0,IF($AI5735=1,Settings!$C$6,Settings!$C$7))*100)</f>
        <v/>
      </c>
      <c r="V5735" s="7">
        <f>IF($C5735="","",R5735*U5735/100)</f>
        <v/>
      </c>
      <c r="W5735" s="7">
        <f>IF($C5735="","",R5735-V5735)</f>
        <v/>
      </c>
      <c r="X5735" s="7">
        <f>IF($C5735="","",W5735-K5735)</f>
        <v/>
      </c>
      <c r="AB5735" s="7" t="n"/>
      <c r="AE5735" s="11" t="n"/>
      <c r="AG5735">
        <f>IF($C5735="","",IF(COUNTIF($C$2:$C5735,$C5735)=1,1,0))</f>
        <v/>
      </c>
      <c r="AH5735">
        <f>IF($AG5735=1,SUMPRODUCT(--($AK$2:$AK$6001&lt;$AK5735))+1,"")</f>
        <v/>
      </c>
      <c r="AI5735">
        <f>IF($C5735="","",IF(OR($N5735=TRUE(),$N5735="TRUE"),1,0))</f>
        <v/>
      </c>
      <c r="AJ5735">
        <f>IF($C5735="","",IF($T5735="Yes",1,0))</f>
        <v/>
      </c>
      <c r="AK5735">
        <f>IF($AG5735=1,IFERROR(IF(VALUE($C5735)&lt;100000000,VALUE($C5735),1000000000),IFERROR(IF(VALUE(MID($C5735,2,20))&lt;100000000,VALUE(MID($C5735,2,20)),1000000000),1000000000))+ROW()/100000,"")</f>
        <v/>
      </c>
    </row>
    <row r="5736">
      <c r="D5736" s="11" t="n"/>
      <c r="K5736" s="7">
        <f>IF($C5736="","",J5736*W5736/100)</f>
        <v/>
      </c>
      <c r="Q5736" s="7" t="n"/>
      <c r="R5736" s="7" t="n"/>
      <c r="U5736">
        <f>IF($C5736="","",IF($AJ5736=1,0,IF($AI5736=1,Settings!$C$6,Settings!$C$7))*100)</f>
        <v/>
      </c>
      <c r="V5736" s="7">
        <f>IF($C5736="","",R5736*U5736/100)</f>
        <v/>
      </c>
      <c r="W5736" s="7">
        <f>IF($C5736="","",R5736-V5736)</f>
        <v/>
      </c>
      <c r="X5736" s="7">
        <f>IF($C5736="","",W5736-K5736)</f>
        <v/>
      </c>
      <c r="AB5736" s="7" t="n"/>
      <c r="AE5736" s="11" t="n"/>
      <c r="AG5736">
        <f>IF($C5736="","",IF(COUNTIF($C$2:$C5736,$C5736)=1,1,0))</f>
        <v/>
      </c>
      <c r="AH5736">
        <f>IF($AG5736=1,SUMPRODUCT(--($AK$2:$AK$6001&lt;$AK5736))+1,"")</f>
        <v/>
      </c>
      <c r="AI5736">
        <f>IF($C5736="","",IF(OR($N5736=TRUE(),$N5736="TRUE"),1,0))</f>
        <v/>
      </c>
      <c r="AJ5736">
        <f>IF($C5736="","",IF($T5736="Yes",1,0))</f>
        <v/>
      </c>
      <c r="AK5736">
        <f>IF($AG5736=1,IFERROR(IF(VALUE($C5736)&lt;100000000,VALUE($C5736),1000000000),IFERROR(IF(VALUE(MID($C5736,2,20))&lt;100000000,VALUE(MID($C5736,2,20)),1000000000),1000000000))+ROW()/100000,"")</f>
        <v/>
      </c>
    </row>
    <row r="5737">
      <c r="D5737" s="11" t="n"/>
      <c r="K5737" s="7">
        <f>IF($C5737="","",J5737*W5737/100)</f>
        <v/>
      </c>
      <c r="Q5737" s="7" t="n"/>
      <c r="R5737" s="7" t="n"/>
      <c r="U5737">
        <f>IF($C5737="","",IF($AJ5737=1,0,IF($AI5737=1,Settings!$C$6,Settings!$C$7))*100)</f>
        <v/>
      </c>
      <c r="V5737" s="7">
        <f>IF($C5737="","",R5737*U5737/100)</f>
        <v/>
      </c>
      <c r="W5737" s="7">
        <f>IF($C5737="","",R5737-V5737)</f>
        <v/>
      </c>
      <c r="X5737" s="7">
        <f>IF($C5737="","",W5737-K5737)</f>
        <v/>
      </c>
      <c r="AB5737" s="7" t="n"/>
      <c r="AE5737" s="11" t="n"/>
      <c r="AG5737">
        <f>IF($C5737="","",IF(COUNTIF($C$2:$C5737,$C5737)=1,1,0))</f>
        <v/>
      </c>
      <c r="AH5737">
        <f>IF($AG5737=1,SUMPRODUCT(--($AK$2:$AK$6001&lt;$AK5737))+1,"")</f>
        <v/>
      </c>
      <c r="AI5737">
        <f>IF($C5737="","",IF(OR($N5737=TRUE(),$N5737="TRUE"),1,0))</f>
        <v/>
      </c>
      <c r="AJ5737">
        <f>IF($C5737="","",IF($T5737="Yes",1,0))</f>
        <v/>
      </c>
      <c r="AK5737">
        <f>IF($AG5737=1,IFERROR(IF(VALUE($C5737)&lt;100000000,VALUE($C5737),1000000000),IFERROR(IF(VALUE(MID($C5737,2,20))&lt;100000000,VALUE(MID($C5737,2,20)),1000000000),1000000000))+ROW()/100000,"")</f>
        <v/>
      </c>
    </row>
    <row r="5738">
      <c r="D5738" s="11" t="n"/>
      <c r="K5738" s="7">
        <f>IF($C5738="","",J5738*W5738/100)</f>
        <v/>
      </c>
      <c r="Q5738" s="7" t="n"/>
      <c r="R5738" s="7" t="n"/>
      <c r="U5738">
        <f>IF($C5738="","",IF($AJ5738=1,0,IF($AI5738=1,Settings!$C$6,Settings!$C$7))*100)</f>
        <v/>
      </c>
      <c r="V5738" s="7">
        <f>IF($C5738="","",R5738*U5738/100)</f>
        <v/>
      </c>
      <c r="W5738" s="7">
        <f>IF($C5738="","",R5738-V5738)</f>
        <v/>
      </c>
      <c r="X5738" s="7">
        <f>IF($C5738="","",W5738-K5738)</f>
        <v/>
      </c>
      <c r="AB5738" s="7" t="n"/>
      <c r="AE5738" s="11" t="n"/>
      <c r="AG5738">
        <f>IF($C5738="","",IF(COUNTIF($C$2:$C5738,$C5738)=1,1,0))</f>
        <v/>
      </c>
      <c r="AH5738">
        <f>IF($AG5738=1,SUMPRODUCT(--($AK$2:$AK$6001&lt;$AK5738))+1,"")</f>
        <v/>
      </c>
      <c r="AI5738">
        <f>IF($C5738="","",IF(OR($N5738=TRUE(),$N5738="TRUE"),1,0))</f>
        <v/>
      </c>
      <c r="AJ5738">
        <f>IF($C5738="","",IF($T5738="Yes",1,0))</f>
        <v/>
      </c>
      <c r="AK5738">
        <f>IF($AG5738=1,IFERROR(IF(VALUE($C5738)&lt;100000000,VALUE($C5738),1000000000),IFERROR(IF(VALUE(MID($C5738,2,20))&lt;100000000,VALUE(MID($C5738,2,20)),1000000000),1000000000))+ROW()/100000,"")</f>
        <v/>
      </c>
    </row>
    <row r="5739">
      <c r="D5739" s="11" t="n"/>
      <c r="K5739" s="7">
        <f>IF($C5739="","",J5739*W5739/100)</f>
        <v/>
      </c>
      <c r="Q5739" s="7" t="n"/>
      <c r="R5739" s="7" t="n"/>
      <c r="U5739">
        <f>IF($C5739="","",IF($AJ5739=1,0,IF($AI5739=1,Settings!$C$6,Settings!$C$7))*100)</f>
        <v/>
      </c>
      <c r="V5739" s="7">
        <f>IF($C5739="","",R5739*U5739/100)</f>
        <v/>
      </c>
      <c r="W5739" s="7">
        <f>IF($C5739="","",R5739-V5739)</f>
        <v/>
      </c>
      <c r="X5739" s="7">
        <f>IF($C5739="","",W5739-K5739)</f>
        <v/>
      </c>
      <c r="AB5739" s="7" t="n"/>
      <c r="AE5739" s="11" t="n"/>
      <c r="AG5739">
        <f>IF($C5739="","",IF(COUNTIF($C$2:$C5739,$C5739)=1,1,0))</f>
        <v/>
      </c>
      <c r="AH5739">
        <f>IF($AG5739=1,SUMPRODUCT(--($AK$2:$AK$6001&lt;$AK5739))+1,"")</f>
        <v/>
      </c>
      <c r="AI5739">
        <f>IF($C5739="","",IF(OR($N5739=TRUE(),$N5739="TRUE"),1,0))</f>
        <v/>
      </c>
      <c r="AJ5739">
        <f>IF($C5739="","",IF($T5739="Yes",1,0))</f>
        <v/>
      </c>
      <c r="AK5739">
        <f>IF($AG5739=1,IFERROR(IF(VALUE($C5739)&lt;100000000,VALUE($C5739),1000000000),IFERROR(IF(VALUE(MID($C5739,2,20))&lt;100000000,VALUE(MID($C5739,2,20)),1000000000),1000000000))+ROW()/100000,"")</f>
        <v/>
      </c>
    </row>
    <row r="5740">
      <c r="D5740" s="11" t="n"/>
      <c r="K5740" s="7">
        <f>IF($C5740="","",J5740*W5740/100)</f>
        <v/>
      </c>
      <c r="Q5740" s="7" t="n"/>
      <c r="R5740" s="7" t="n"/>
      <c r="U5740">
        <f>IF($C5740="","",IF($AJ5740=1,0,IF($AI5740=1,Settings!$C$6,Settings!$C$7))*100)</f>
        <v/>
      </c>
      <c r="V5740" s="7">
        <f>IF($C5740="","",R5740*U5740/100)</f>
        <v/>
      </c>
      <c r="W5740" s="7">
        <f>IF($C5740="","",R5740-V5740)</f>
        <v/>
      </c>
      <c r="X5740" s="7">
        <f>IF($C5740="","",W5740-K5740)</f>
        <v/>
      </c>
      <c r="AB5740" s="7" t="n"/>
      <c r="AE5740" s="11" t="n"/>
      <c r="AG5740">
        <f>IF($C5740="","",IF(COUNTIF($C$2:$C5740,$C5740)=1,1,0))</f>
        <v/>
      </c>
      <c r="AH5740">
        <f>IF($AG5740=1,SUMPRODUCT(--($AK$2:$AK$6001&lt;$AK5740))+1,"")</f>
        <v/>
      </c>
      <c r="AI5740">
        <f>IF($C5740="","",IF(OR($N5740=TRUE(),$N5740="TRUE"),1,0))</f>
        <v/>
      </c>
      <c r="AJ5740">
        <f>IF($C5740="","",IF($T5740="Yes",1,0))</f>
        <v/>
      </c>
      <c r="AK5740">
        <f>IF($AG5740=1,IFERROR(IF(VALUE($C5740)&lt;100000000,VALUE($C5740),1000000000),IFERROR(IF(VALUE(MID($C5740,2,20))&lt;100000000,VALUE(MID($C5740,2,20)),1000000000),1000000000))+ROW()/100000,"")</f>
        <v/>
      </c>
    </row>
    <row r="5741">
      <c r="D5741" s="11" t="n"/>
      <c r="K5741" s="7">
        <f>IF($C5741="","",J5741*W5741/100)</f>
        <v/>
      </c>
      <c r="Q5741" s="7" t="n"/>
      <c r="R5741" s="7" t="n"/>
      <c r="U5741">
        <f>IF($C5741="","",IF($AJ5741=1,0,IF($AI5741=1,Settings!$C$6,Settings!$C$7))*100)</f>
        <v/>
      </c>
      <c r="V5741" s="7">
        <f>IF($C5741="","",R5741*U5741/100)</f>
        <v/>
      </c>
      <c r="W5741" s="7">
        <f>IF($C5741="","",R5741-V5741)</f>
        <v/>
      </c>
      <c r="X5741" s="7">
        <f>IF($C5741="","",W5741-K5741)</f>
        <v/>
      </c>
      <c r="AB5741" s="7" t="n"/>
      <c r="AE5741" s="11" t="n"/>
      <c r="AG5741">
        <f>IF($C5741="","",IF(COUNTIF($C$2:$C5741,$C5741)=1,1,0))</f>
        <v/>
      </c>
      <c r="AH5741">
        <f>IF($AG5741=1,SUMPRODUCT(--($AK$2:$AK$6001&lt;$AK5741))+1,"")</f>
        <v/>
      </c>
      <c r="AI5741">
        <f>IF($C5741="","",IF(OR($N5741=TRUE(),$N5741="TRUE"),1,0))</f>
        <v/>
      </c>
      <c r="AJ5741">
        <f>IF($C5741="","",IF($T5741="Yes",1,0))</f>
        <v/>
      </c>
      <c r="AK5741">
        <f>IF($AG5741=1,IFERROR(IF(VALUE($C5741)&lt;100000000,VALUE($C5741),1000000000),IFERROR(IF(VALUE(MID($C5741,2,20))&lt;100000000,VALUE(MID($C5741,2,20)),1000000000),1000000000))+ROW()/100000,"")</f>
        <v/>
      </c>
    </row>
    <row r="5742">
      <c r="D5742" s="11" t="n"/>
      <c r="K5742" s="7">
        <f>IF($C5742="","",J5742*W5742/100)</f>
        <v/>
      </c>
      <c r="Q5742" s="7" t="n"/>
      <c r="R5742" s="7" t="n"/>
      <c r="U5742">
        <f>IF($C5742="","",IF($AJ5742=1,0,IF($AI5742=1,Settings!$C$6,Settings!$C$7))*100)</f>
        <v/>
      </c>
      <c r="V5742" s="7">
        <f>IF($C5742="","",R5742*U5742/100)</f>
        <v/>
      </c>
      <c r="W5742" s="7">
        <f>IF($C5742="","",R5742-V5742)</f>
        <v/>
      </c>
      <c r="X5742" s="7">
        <f>IF($C5742="","",W5742-K5742)</f>
        <v/>
      </c>
      <c r="AB5742" s="7" t="n"/>
      <c r="AE5742" s="11" t="n"/>
      <c r="AG5742">
        <f>IF($C5742="","",IF(COUNTIF($C$2:$C5742,$C5742)=1,1,0))</f>
        <v/>
      </c>
      <c r="AH5742">
        <f>IF($AG5742=1,SUMPRODUCT(--($AK$2:$AK$6001&lt;$AK5742))+1,"")</f>
        <v/>
      </c>
      <c r="AI5742">
        <f>IF($C5742="","",IF(OR($N5742=TRUE(),$N5742="TRUE"),1,0))</f>
        <v/>
      </c>
      <c r="AJ5742">
        <f>IF($C5742="","",IF($T5742="Yes",1,0))</f>
        <v/>
      </c>
      <c r="AK5742">
        <f>IF($AG5742=1,IFERROR(IF(VALUE($C5742)&lt;100000000,VALUE($C5742),1000000000),IFERROR(IF(VALUE(MID($C5742,2,20))&lt;100000000,VALUE(MID($C5742,2,20)),1000000000),1000000000))+ROW()/100000,"")</f>
        <v/>
      </c>
    </row>
    <row r="5743">
      <c r="D5743" s="11" t="n"/>
      <c r="K5743" s="7">
        <f>IF($C5743="","",J5743*W5743/100)</f>
        <v/>
      </c>
      <c r="Q5743" s="7" t="n"/>
      <c r="R5743" s="7" t="n"/>
      <c r="U5743">
        <f>IF($C5743="","",IF($AJ5743=1,0,IF($AI5743=1,Settings!$C$6,Settings!$C$7))*100)</f>
        <v/>
      </c>
      <c r="V5743" s="7">
        <f>IF($C5743="","",R5743*U5743/100)</f>
        <v/>
      </c>
      <c r="W5743" s="7">
        <f>IF($C5743="","",R5743-V5743)</f>
        <v/>
      </c>
      <c r="X5743" s="7">
        <f>IF($C5743="","",W5743-K5743)</f>
        <v/>
      </c>
      <c r="AB5743" s="7" t="n"/>
      <c r="AE5743" s="11" t="n"/>
      <c r="AG5743">
        <f>IF($C5743="","",IF(COUNTIF($C$2:$C5743,$C5743)=1,1,0))</f>
        <v/>
      </c>
      <c r="AH5743">
        <f>IF($AG5743=1,SUMPRODUCT(--($AK$2:$AK$6001&lt;$AK5743))+1,"")</f>
        <v/>
      </c>
      <c r="AI5743">
        <f>IF($C5743="","",IF(OR($N5743=TRUE(),$N5743="TRUE"),1,0))</f>
        <v/>
      </c>
      <c r="AJ5743">
        <f>IF($C5743="","",IF($T5743="Yes",1,0))</f>
        <v/>
      </c>
      <c r="AK5743">
        <f>IF($AG5743=1,IFERROR(IF(VALUE($C5743)&lt;100000000,VALUE($C5743),1000000000),IFERROR(IF(VALUE(MID($C5743,2,20))&lt;100000000,VALUE(MID($C5743,2,20)),1000000000),1000000000))+ROW()/100000,"")</f>
        <v/>
      </c>
    </row>
    <row r="5744">
      <c r="D5744" s="11" t="n"/>
      <c r="K5744" s="7">
        <f>IF($C5744="","",J5744*W5744/100)</f>
        <v/>
      </c>
      <c r="Q5744" s="7" t="n"/>
      <c r="R5744" s="7" t="n"/>
      <c r="U5744">
        <f>IF($C5744="","",IF($AJ5744=1,0,IF($AI5744=1,Settings!$C$6,Settings!$C$7))*100)</f>
        <v/>
      </c>
      <c r="V5744" s="7">
        <f>IF($C5744="","",R5744*U5744/100)</f>
        <v/>
      </c>
      <c r="W5744" s="7">
        <f>IF($C5744="","",R5744-V5744)</f>
        <v/>
      </c>
      <c r="X5744" s="7">
        <f>IF($C5744="","",W5744-K5744)</f>
        <v/>
      </c>
      <c r="AB5744" s="7" t="n"/>
      <c r="AE5744" s="11" t="n"/>
      <c r="AG5744">
        <f>IF($C5744="","",IF(COUNTIF($C$2:$C5744,$C5744)=1,1,0))</f>
        <v/>
      </c>
      <c r="AH5744">
        <f>IF($AG5744=1,SUMPRODUCT(--($AK$2:$AK$6001&lt;$AK5744))+1,"")</f>
        <v/>
      </c>
      <c r="AI5744">
        <f>IF($C5744="","",IF(OR($N5744=TRUE(),$N5744="TRUE"),1,0))</f>
        <v/>
      </c>
      <c r="AJ5744">
        <f>IF($C5744="","",IF($T5744="Yes",1,0))</f>
        <v/>
      </c>
      <c r="AK5744">
        <f>IF($AG5744=1,IFERROR(IF(VALUE($C5744)&lt;100000000,VALUE($C5744),1000000000),IFERROR(IF(VALUE(MID($C5744,2,20))&lt;100000000,VALUE(MID($C5744,2,20)),1000000000),1000000000))+ROW()/100000,"")</f>
        <v/>
      </c>
    </row>
    <row r="5745">
      <c r="D5745" s="11" t="n"/>
      <c r="K5745" s="7">
        <f>IF($C5745="","",J5745*W5745/100)</f>
        <v/>
      </c>
      <c r="Q5745" s="7" t="n"/>
      <c r="R5745" s="7" t="n"/>
      <c r="U5745">
        <f>IF($C5745="","",IF($AJ5745=1,0,IF($AI5745=1,Settings!$C$6,Settings!$C$7))*100)</f>
        <v/>
      </c>
      <c r="V5745" s="7">
        <f>IF($C5745="","",R5745*U5745/100)</f>
        <v/>
      </c>
      <c r="W5745" s="7">
        <f>IF($C5745="","",R5745-V5745)</f>
        <v/>
      </c>
      <c r="X5745" s="7">
        <f>IF($C5745="","",W5745-K5745)</f>
        <v/>
      </c>
      <c r="AB5745" s="7" t="n"/>
      <c r="AE5745" s="11" t="n"/>
      <c r="AG5745">
        <f>IF($C5745="","",IF(COUNTIF($C$2:$C5745,$C5745)=1,1,0))</f>
        <v/>
      </c>
      <c r="AH5745">
        <f>IF($AG5745=1,SUMPRODUCT(--($AK$2:$AK$6001&lt;$AK5745))+1,"")</f>
        <v/>
      </c>
      <c r="AI5745">
        <f>IF($C5745="","",IF(OR($N5745=TRUE(),$N5745="TRUE"),1,0))</f>
        <v/>
      </c>
      <c r="AJ5745">
        <f>IF($C5745="","",IF($T5745="Yes",1,0))</f>
        <v/>
      </c>
      <c r="AK5745">
        <f>IF($AG5745=1,IFERROR(IF(VALUE($C5745)&lt;100000000,VALUE($C5745),1000000000),IFERROR(IF(VALUE(MID($C5745,2,20))&lt;100000000,VALUE(MID($C5745,2,20)),1000000000),1000000000))+ROW()/100000,"")</f>
        <v/>
      </c>
    </row>
    <row r="5746">
      <c r="D5746" s="11" t="n"/>
      <c r="K5746" s="7">
        <f>IF($C5746="","",J5746*W5746/100)</f>
        <v/>
      </c>
      <c r="Q5746" s="7" t="n"/>
      <c r="R5746" s="7" t="n"/>
      <c r="U5746">
        <f>IF($C5746="","",IF($AJ5746=1,0,IF($AI5746=1,Settings!$C$6,Settings!$C$7))*100)</f>
        <v/>
      </c>
      <c r="V5746" s="7">
        <f>IF($C5746="","",R5746*U5746/100)</f>
        <v/>
      </c>
      <c r="W5746" s="7">
        <f>IF($C5746="","",R5746-V5746)</f>
        <v/>
      </c>
      <c r="X5746" s="7">
        <f>IF($C5746="","",W5746-K5746)</f>
        <v/>
      </c>
      <c r="AB5746" s="7" t="n"/>
      <c r="AE5746" s="11" t="n"/>
      <c r="AG5746">
        <f>IF($C5746="","",IF(COUNTIF($C$2:$C5746,$C5746)=1,1,0))</f>
        <v/>
      </c>
      <c r="AH5746">
        <f>IF($AG5746=1,SUMPRODUCT(--($AK$2:$AK$6001&lt;$AK5746))+1,"")</f>
        <v/>
      </c>
      <c r="AI5746">
        <f>IF($C5746="","",IF(OR($N5746=TRUE(),$N5746="TRUE"),1,0))</f>
        <v/>
      </c>
      <c r="AJ5746">
        <f>IF($C5746="","",IF($T5746="Yes",1,0))</f>
        <v/>
      </c>
      <c r="AK5746">
        <f>IF($AG5746=1,IFERROR(IF(VALUE($C5746)&lt;100000000,VALUE($C5746),1000000000),IFERROR(IF(VALUE(MID($C5746,2,20))&lt;100000000,VALUE(MID($C5746,2,20)),1000000000),1000000000))+ROW()/100000,"")</f>
        <v/>
      </c>
    </row>
    <row r="5747">
      <c r="D5747" s="11" t="n"/>
      <c r="K5747" s="7">
        <f>IF($C5747="","",J5747*W5747/100)</f>
        <v/>
      </c>
      <c r="Q5747" s="7" t="n"/>
      <c r="R5747" s="7" t="n"/>
      <c r="U5747">
        <f>IF($C5747="","",IF($AJ5747=1,0,IF($AI5747=1,Settings!$C$6,Settings!$C$7))*100)</f>
        <v/>
      </c>
      <c r="V5747" s="7">
        <f>IF($C5747="","",R5747*U5747/100)</f>
        <v/>
      </c>
      <c r="W5747" s="7">
        <f>IF($C5747="","",R5747-V5747)</f>
        <v/>
      </c>
      <c r="X5747" s="7">
        <f>IF($C5747="","",W5747-K5747)</f>
        <v/>
      </c>
      <c r="AB5747" s="7" t="n"/>
      <c r="AE5747" s="11" t="n"/>
      <c r="AG5747">
        <f>IF($C5747="","",IF(COUNTIF($C$2:$C5747,$C5747)=1,1,0))</f>
        <v/>
      </c>
      <c r="AH5747">
        <f>IF($AG5747=1,SUMPRODUCT(--($AK$2:$AK$6001&lt;$AK5747))+1,"")</f>
        <v/>
      </c>
      <c r="AI5747">
        <f>IF($C5747="","",IF(OR($N5747=TRUE(),$N5747="TRUE"),1,0))</f>
        <v/>
      </c>
      <c r="AJ5747">
        <f>IF($C5747="","",IF($T5747="Yes",1,0))</f>
        <v/>
      </c>
      <c r="AK5747">
        <f>IF($AG5747=1,IFERROR(IF(VALUE($C5747)&lt;100000000,VALUE($C5747),1000000000),IFERROR(IF(VALUE(MID($C5747,2,20))&lt;100000000,VALUE(MID($C5747,2,20)),1000000000),1000000000))+ROW()/100000,"")</f>
        <v/>
      </c>
    </row>
    <row r="5748">
      <c r="D5748" s="11" t="n"/>
      <c r="K5748" s="7">
        <f>IF($C5748="","",J5748*W5748/100)</f>
        <v/>
      </c>
      <c r="Q5748" s="7" t="n"/>
      <c r="R5748" s="7" t="n"/>
      <c r="U5748">
        <f>IF($C5748="","",IF($AJ5748=1,0,IF($AI5748=1,Settings!$C$6,Settings!$C$7))*100)</f>
        <v/>
      </c>
      <c r="V5748" s="7">
        <f>IF($C5748="","",R5748*U5748/100)</f>
        <v/>
      </c>
      <c r="W5748" s="7">
        <f>IF($C5748="","",R5748-V5748)</f>
        <v/>
      </c>
      <c r="X5748" s="7">
        <f>IF($C5748="","",W5748-K5748)</f>
        <v/>
      </c>
      <c r="AB5748" s="7" t="n"/>
      <c r="AE5748" s="11" t="n"/>
      <c r="AG5748">
        <f>IF($C5748="","",IF(COUNTIF($C$2:$C5748,$C5748)=1,1,0))</f>
        <v/>
      </c>
      <c r="AH5748">
        <f>IF($AG5748=1,SUMPRODUCT(--($AK$2:$AK$6001&lt;$AK5748))+1,"")</f>
        <v/>
      </c>
      <c r="AI5748">
        <f>IF($C5748="","",IF(OR($N5748=TRUE(),$N5748="TRUE"),1,0))</f>
        <v/>
      </c>
      <c r="AJ5748">
        <f>IF($C5748="","",IF($T5748="Yes",1,0))</f>
        <v/>
      </c>
      <c r="AK5748">
        <f>IF($AG5748=1,IFERROR(IF(VALUE($C5748)&lt;100000000,VALUE($C5748),1000000000),IFERROR(IF(VALUE(MID($C5748,2,20))&lt;100000000,VALUE(MID($C5748,2,20)),1000000000),1000000000))+ROW()/100000,"")</f>
        <v/>
      </c>
    </row>
    <row r="5749">
      <c r="D5749" s="11" t="n"/>
      <c r="K5749" s="7">
        <f>IF($C5749="","",J5749*W5749/100)</f>
        <v/>
      </c>
      <c r="Q5749" s="7" t="n"/>
      <c r="R5749" s="7" t="n"/>
      <c r="U5749">
        <f>IF($C5749="","",IF($AJ5749=1,0,IF($AI5749=1,Settings!$C$6,Settings!$C$7))*100)</f>
        <v/>
      </c>
      <c r="V5749" s="7">
        <f>IF($C5749="","",R5749*U5749/100)</f>
        <v/>
      </c>
      <c r="W5749" s="7">
        <f>IF($C5749="","",R5749-V5749)</f>
        <v/>
      </c>
      <c r="X5749" s="7">
        <f>IF($C5749="","",W5749-K5749)</f>
        <v/>
      </c>
      <c r="AB5749" s="7" t="n"/>
      <c r="AE5749" s="11" t="n"/>
      <c r="AG5749">
        <f>IF($C5749="","",IF(COUNTIF($C$2:$C5749,$C5749)=1,1,0))</f>
        <v/>
      </c>
      <c r="AH5749">
        <f>IF($AG5749=1,SUMPRODUCT(--($AK$2:$AK$6001&lt;$AK5749))+1,"")</f>
        <v/>
      </c>
      <c r="AI5749">
        <f>IF($C5749="","",IF(OR($N5749=TRUE(),$N5749="TRUE"),1,0))</f>
        <v/>
      </c>
      <c r="AJ5749">
        <f>IF($C5749="","",IF($T5749="Yes",1,0))</f>
        <v/>
      </c>
      <c r="AK5749">
        <f>IF($AG5749=1,IFERROR(IF(VALUE($C5749)&lt;100000000,VALUE($C5749),1000000000),IFERROR(IF(VALUE(MID($C5749,2,20))&lt;100000000,VALUE(MID($C5749,2,20)),1000000000),1000000000))+ROW()/100000,"")</f>
        <v/>
      </c>
    </row>
    <row r="5750">
      <c r="D5750" s="11" t="n"/>
      <c r="K5750" s="7">
        <f>IF($C5750="","",J5750*W5750/100)</f>
        <v/>
      </c>
      <c r="Q5750" s="7" t="n"/>
      <c r="R5750" s="7" t="n"/>
      <c r="U5750">
        <f>IF($C5750="","",IF($AJ5750=1,0,IF($AI5750=1,Settings!$C$6,Settings!$C$7))*100)</f>
        <v/>
      </c>
      <c r="V5750" s="7">
        <f>IF($C5750="","",R5750*U5750/100)</f>
        <v/>
      </c>
      <c r="W5750" s="7">
        <f>IF($C5750="","",R5750-V5750)</f>
        <v/>
      </c>
      <c r="X5750" s="7">
        <f>IF($C5750="","",W5750-K5750)</f>
        <v/>
      </c>
      <c r="AB5750" s="7" t="n"/>
      <c r="AE5750" s="11" t="n"/>
      <c r="AG5750">
        <f>IF($C5750="","",IF(COUNTIF($C$2:$C5750,$C5750)=1,1,0))</f>
        <v/>
      </c>
      <c r="AH5750">
        <f>IF($AG5750=1,SUMPRODUCT(--($AK$2:$AK$6001&lt;$AK5750))+1,"")</f>
        <v/>
      </c>
      <c r="AI5750">
        <f>IF($C5750="","",IF(OR($N5750=TRUE(),$N5750="TRUE"),1,0))</f>
        <v/>
      </c>
      <c r="AJ5750">
        <f>IF($C5750="","",IF($T5750="Yes",1,0))</f>
        <v/>
      </c>
      <c r="AK5750">
        <f>IF($AG5750=1,IFERROR(IF(VALUE($C5750)&lt;100000000,VALUE($C5750),1000000000),IFERROR(IF(VALUE(MID($C5750,2,20))&lt;100000000,VALUE(MID($C5750,2,20)),1000000000),1000000000))+ROW()/100000,"")</f>
        <v/>
      </c>
    </row>
    <row r="5751">
      <c r="D5751" s="11" t="n"/>
      <c r="K5751" s="7">
        <f>IF($C5751="","",J5751*W5751/100)</f>
        <v/>
      </c>
      <c r="Q5751" s="7" t="n"/>
      <c r="R5751" s="7" t="n"/>
      <c r="U5751">
        <f>IF($C5751="","",IF($AJ5751=1,0,IF($AI5751=1,Settings!$C$6,Settings!$C$7))*100)</f>
        <v/>
      </c>
      <c r="V5751" s="7">
        <f>IF($C5751="","",R5751*U5751/100)</f>
        <v/>
      </c>
      <c r="W5751" s="7">
        <f>IF($C5751="","",R5751-V5751)</f>
        <v/>
      </c>
      <c r="X5751" s="7">
        <f>IF($C5751="","",W5751-K5751)</f>
        <v/>
      </c>
      <c r="AB5751" s="7" t="n"/>
      <c r="AE5751" s="11" t="n"/>
      <c r="AG5751">
        <f>IF($C5751="","",IF(COUNTIF($C$2:$C5751,$C5751)=1,1,0))</f>
        <v/>
      </c>
      <c r="AH5751">
        <f>IF($AG5751=1,SUMPRODUCT(--($AK$2:$AK$6001&lt;$AK5751))+1,"")</f>
        <v/>
      </c>
      <c r="AI5751">
        <f>IF($C5751="","",IF(OR($N5751=TRUE(),$N5751="TRUE"),1,0))</f>
        <v/>
      </c>
      <c r="AJ5751">
        <f>IF($C5751="","",IF($T5751="Yes",1,0))</f>
        <v/>
      </c>
      <c r="AK5751">
        <f>IF($AG5751=1,IFERROR(IF(VALUE($C5751)&lt;100000000,VALUE($C5751),1000000000),IFERROR(IF(VALUE(MID($C5751,2,20))&lt;100000000,VALUE(MID($C5751,2,20)),1000000000),1000000000))+ROW()/100000,"")</f>
        <v/>
      </c>
    </row>
    <row r="5752">
      <c r="D5752" s="11" t="n"/>
      <c r="K5752" s="7">
        <f>IF($C5752="","",J5752*W5752/100)</f>
        <v/>
      </c>
      <c r="Q5752" s="7" t="n"/>
      <c r="R5752" s="7" t="n"/>
      <c r="U5752">
        <f>IF($C5752="","",IF($AJ5752=1,0,IF($AI5752=1,Settings!$C$6,Settings!$C$7))*100)</f>
        <v/>
      </c>
      <c r="V5752" s="7">
        <f>IF($C5752="","",R5752*U5752/100)</f>
        <v/>
      </c>
      <c r="W5752" s="7">
        <f>IF($C5752="","",R5752-V5752)</f>
        <v/>
      </c>
      <c r="X5752" s="7">
        <f>IF($C5752="","",W5752-K5752)</f>
        <v/>
      </c>
      <c r="AB5752" s="7" t="n"/>
      <c r="AE5752" s="11" t="n"/>
      <c r="AG5752">
        <f>IF($C5752="","",IF(COUNTIF($C$2:$C5752,$C5752)=1,1,0))</f>
        <v/>
      </c>
      <c r="AH5752">
        <f>IF($AG5752=1,SUMPRODUCT(--($AK$2:$AK$6001&lt;$AK5752))+1,"")</f>
        <v/>
      </c>
      <c r="AI5752">
        <f>IF($C5752="","",IF(OR($N5752=TRUE(),$N5752="TRUE"),1,0))</f>
        <v/>
      </c>
      <c r="AJ5752">
        <f>IF($C5752="","",IF($T5752="Yes",1,0))</f>
        <v/>
      </c>
      <c r="AK5752">
        <f>IF($AG5752=1,IFERROR(IF(VALUE($C5752)&lt;100000000,VALUE($C5752),1000000000),IFERROR(IF(VALUE(MID($C5752,2,20))&lt;100000000,VALUE(MID($C5752,2,20)),1000000000),1000000000))+ROW()/100000,"")</f>
        <v/>
      </c>
    </row>
    <row r="5753">
      <c r="D5753" s="11" t="n"/>
      <c r="K5753" s="7">
        <f>IF($C5753="","",J5753*W5753/100)</f>
        <v/>
      </c>
      <c r="Q5753" s="7" t="n"/>
      <c r="R5753" s="7" t="n"/>
      <c r="U5753">
        <f>IF($C5753="","",IF($AJ5753=1,0,IF($AI5753=1,Settings!$C$6,Settings!$C$7))*100)</f>
        <v/>
      </c>
      <c r="V5753" s="7">
        <f>IF($C5753="","",R5753*U5753/100)</f>
        <v/>
      </c>
      <c r="W5753" s="7">
        <f>IF($C5753="","",R5753-V5753)</f>
        <v/>
      </c>
      <c r="X5753" s="7">
        <f>IF($C5753="","",W5753-K5753)</f>
        <v/>
      </c>
      <c r="AB5753" s="7" t="n"/>
      <c r="AE5753" s="11" t="n"/>
      <c r="AG5753">
        <f>IF($C5753="","",IF(COUNTIF($C$2:$C5753,$C5753)=1,1,0))</f>
        <v/>
      </c>
      <c r="AH5753">
        <f>IF($AG5753=1,SUMPRODUCT(--($AK$2:$AK$6001&lt;$AK5753))+1,"")</f>
        <v/>
      </c>
      <c r="AI5753">
        <f>IF($C5753="","",IF(OR($N5753=TRUE(),$N5753="TRUE"),1,0))</f>
        <v/>
      </c>
      <c r="AJ5753">
        <f>IF($C5753="","",IF($T5753="Yes",1,0))</f>
        <v/>
      </c>
      <c r="AK5753">
        <f>IF($AG5753=1,IFERROR(IF(VALUE($C5753)&lt;100000000,VALUE($C5753),1000000000),IFERROR(IF(VALUE(MID($C5753,2,20))&lt;100000000,VALUE(MID($C5753,2,20)),1000000000),1000000000))+ROW()/100000,"")</f>
        <v/>
      </c>
    </row>
    <row r="5754">
      <c r="D5754" s="11" t="n"/>
      <c r="K5754" s="7">
        <f>IF($C5754="","",J5754*W5754/100)</f>
        <v/>
      </c>
      <c r="Q5754" s="7" t="n"/>
      <c r="R5754" s="7" t="n"/>
      <c r="U5754">
        <f>IF($C5754="","",IF($AJ5754=1,0,IF($AI5754=1,Settings!$C$6,Settings!$C$7))*100)</f>
        <v/>
      </c>
      <c r="V5754" s="7">
        <f>IF($C5754="","",R5754*U5754/100)</f>
        <v/>
      </c>
      <c r="W5754" s="7">
        <f>IF($C5754="","",R5754-V5754)</f>
        <v/>
      </c>
      <c r="X5754" s="7">
        <f>IF($C5754="","",W5754-K5754)</f>
        <v/>
      </c>
      <c r="AB5754" s="7" t="n"/>
      <c r="AE5754" s="11" t="n"/>
      <c r="AG5754">
        <f>IF($C5754="","",IF(COUNTIF($C$2:$C5754,$C5754)=1,1,0))</f>
        <v/>
      </c>
      <c r="AH5754">
        <f>IF($AG5754=1,SUMPRODUCT(--($AK$2:$AK$6001&lt;$AK5754))+1,"")</f>
        <v/>
      </c>
      <c r="AI5754">
        <f>IF($C5754="","",IF(OR($N5754=TRUE(),$N5754="TRUE"),1,0))</f>
        <v/>
      </c>
      <c r="AJ5754">
        <f>IF($C5754="","",IF($T5754="Yes",1,0))</f>
        <v/>
      </c>
      <c r="AK5754">
        <f>IF($AG5754=1,IFERROR(IF(VALUE($C5754)&lt;100000000,VALUE($C5754),1000000000),IFERROR(IF(VALUE(MID($C5754,2,20))&lt;100000000,VALUE(MID($C5754,2,20)),1000000000),1000000000))+ROW()/100000,"")</f>
        <v/>
      </c>
    </row>
    <row r="5755">
      <c r="D5755" s="11" t="n"/>
      <c r="K5755" s="7">
        <f>IF($C5755="","",J5755*W5755/100)</f>
        <v/>
      </c>
      <c r="Q5755" s="7" t="n"/>
      <c r="R5755" s="7" t="n"/>
      <c r="U5755">
        <f>IF($C5755="","",IF($AJ5755=1,0,IF($AI5755=1,Settings!$C$6,Settings!$C$7))*100)</f>
        <v/>
      </c>
      <c r="V5755" s="7">
        <f>IF($C5755="","",R5755*U5755/100)</f>
        <v/>
      </c>
      <c r="W5755" s="7">
        <f>IF($C5755="","",R5755-V5755)</f>
        <v/>
      </c>
      <c r="X5755" s="7">
        <f>IF($C5755="","",W5755-K5755)</f>
        <v/>
      </c>
      <c r="AB5755" s="7" t="n"/>
      <c r="AE5755" s="11" t="n"/>
      <c r="AG5755">
        <f>IF($C5755="","",IF(COUNTIF($C$2:$C5755,$C5755)=1,1,0))</f>
        <v/>
      </c>
      <c r="AH5755">
        <f>IF($AG5755=1,SUMPRODUCT(--($AK$2:$AK$6001&lt;$AK5755))+1,"")</f>
        <v/>
      </c>
      <c r="AI5755">
        <f>IF($C5755="","",IF(OR($N5755=TRUE(),$N5755="TRUE"),1,0))</f>
        <v/>
      </c>
      <c r="AJ5755">
        <f>IF($C5755="","",IF($T5755="Yes",1,0))</f>
        <v/>
      </c>
      <c r="AK5755">
        <f>IF($AG5755=1,IFERROR(IF(VALUE($C5755)&lt;100000000,VALUE($C5755),1000000000),IFERROR(IF(VALUE(MID($C5755,2,20))&lt;100000000,VALUE(MID($C5755,2,20)),1000000000),1000000000))+ROW()/100000,"")</f>
        <v/>
      </c>
    </row>
    <row r="5756">
      <c r="D5756" s="11" t="n"/>
      <c r="K5756" s="7">
        <f>IF($C5756="","",J5756*W5756/100)</f>
        <v/>
      </c>
      <c r="Q5756" s="7" t="n"/>
      <c r="R5756" s="7" t="n"/>
      <c r="U5756">
        <f>IF($C5756="","",IF($AJ5756=1,0,IF($AI5756=1,Settings!$C$6,Settings!$C$7))*100)</f>
        <v/>
      </c>
      <c r="V5756" s="7">
        <f>IF($C5756="","",R5756*U5756/100)</f>
        <v/>
      </c>
      <c r="W5756" s="7">
        <f>IF($C5756="","",R5756-V5756)</f>
        <v/>
      </c>
      <c r="X5756" s="7">
        <f>IF($C5756="","",W5756-K5756)</f>
        <v/>
      </c>
      <c r="AB5756" s="7" t="n"/>
      <c r="AE5756" s="11" t="n"/>
      <c r="AG5756">
        <f>IF($C5756="","",IF(COUNTIF($C$2:$C5756,$C5756)=1,1,0))</f>
        <v/>
      </c>
      <c r="AH5756">
        <f>IF($AG5756=1,SUMPRODUCT(--($AK$2:$AK$6001&lt;$AK5756))+1,"")</f>
        <v/>
      </c>
      <c r="AI5756">
        <f>IF($C5756="","",IF(OR($N5756=TRUE(),$N5756="TRUE"),1,0))</f>
        <v/>
      </c>
      <c r="AJ5756">
        <f>IF($C5756="","",IF($T5756="Yes",1,0))</f>
        <v/>
      </c>
      <c r="AK5756">
        <f>IF($AG5756=1,IFERROR(IF(VALUE($C5756)&lt;100000000,VALUE($C5756),1000000000),IFERROR(IF(VALUE(MID($C5756,2,20))&lt;100000000,VALUE(MID($C5756,2,20)),1000000000),1000000000))+ROW()/100000,"")</f>
        <v/>
      </c>
    </row>
    <row r="5757">
      <c r="D5757" s="11" t="n"/>
      <c r="K5757" s="7">
        <f>IF($C5757="","",J5757*W5757/100)</f>
        <v/>
      </c>
      <c r="Q5757" s="7" t="n"/>
      <c r="R5757" s="7" t="n"/>
      <c r="U5757">
        <f>IF($C5757="","",IF($AJ5757=1,0,IF($AI5757=1,Settings!$C$6,Settings!$C$7))*100)</f>
        <v/>
      </c>
      <c r="V5757" s="7">
        <f>IF($C5757="","",R5757*U5757/100)</f>
        <v/>
      </c>
      <c r="W5757" s="7">
        <f>IF($C5757="","",R5757-V5757)</f>
        <v/>
      </c>
      <c r="X5757" s="7">
        <f>IF($C5757="","",W5757-K5757)</f>
        <v/>
      </c>
      <c r="AB5757" s="7" t="n"/>
      <c r="AE5757" s="11" t="n"/>
      <c r="AG5757">
        <f>IF($C5757="","",IF(COUNTIF($C$2:$C5757,$C5757)=1,1,0))</f>
        <v/>
      </c>
      <c r="AH5757">
        <f>IF($AG5757=1,SUMPRODUCT(--($AK$2:$AK$6001&lt;$AK5757))+1,"")</f>
        <v/>
      </c>
      <c r="AI5757">
        <f>IF($C5757="","",IF(OR($N5757=TRUE(),$N5757="TRUE"),1,0))</f>
        <v/>
      </c>
      <c r="AJ5757">
        <f>IF($C5757="","",IF($T5757="Yes",1,0))</f>
        <v/>
      </c>
      <c r="AK5757">
        <f>IF($AG5757=1,IFERROR(IF(VALUE($C5757)&lt;100000000,VALUE($C5757),1000000000),IFERROR(IF(VALUE(MID($C5757,2,20))&lt;100000000,VALUE(MID($C5757,2,20)),1000000000),1000000000))+ROW()/100000,"")</f>
        <v/>
      </c>
    </row>
    <row r="5758">
      <c r="D5758" s="11" t="n"/>
      <c r="K5758" s="7">
        <f>IF($C5758="","",J5758*W5758/100)</f>
        <v/>
      </c>
      <c r="Q5758" s="7" t="n"/>
      <c r="R5758" s="7" t="n"/>
      <c r="U5758">
        <f>IF($C5758="","",IF($AJ5758=1,0,IF($AI5758=1,Settings!$C$6,Settings!$C$7))*100)</f>
        <v/>
      </c>
      <c r="V5758" s="7">
        <f>IF($C5758="","",R5758*U5758/100)</f>
        <v/>
      </c>
      <c r="W5758" s="7">
        <f>IF($C5758="","",R5758-V5758)</f>
        <v/>
      </c>
      <c r="X5758" s="7">
        <f>IF($C5758="","",W5758-K5758)</f>
        <v/>
      </c>
      <c r="AB5758" s="7" t="n"/>
      <c r="AE5758" s="11" t="n"/>
      <c r="AG5758">
        <f>IF($C5758="","",IF(COUNTIF($C$2:$C5758,$C5758)=1,1,0))</f>
        <v/>
      </c>
      <c r="AH5758">
        <f>IF($AG5758=1,SUMPRODUCT(--($AK$2:$AK$6001&lt;$AK5758))+1,"")</f>
        <v/>
      </c>
      <c r="AI5758">
        <f>IF($C5758="","",IF(OR($N5758=TRUE(),$N5758="TRUE"),1,0))</f>
        <v/>
      </c>
      <c r="AJ5758">
        <f>IF($C5758="","",IF($T5758="Yes",1,0))</f>
        <v/>
      </c>
      <c r="AK5758">
        <f>IF($AG5758=1,IFERROR(IF(VALUE($C5758)&lt;100000000,VALUE($C5758),1000000000),IFERROR(IF(VALUE(MID($C5758,2,20))&lt;100000000,VALUE(MID($C5758,2,20)),1000000000),1000000000))+ROW()/100000,"")</f>
        <v/>
      </c>
    </row>
    <row r="5759">
      <c r="D5759" s="11" t="n"/>
      <c r="K5759" s="7">
        <f>IF($C5759="","",J5759*W5759/100)</f>
        <v/>
      </c>
      <c r="Q5759" s="7" t="n"/>
      <c r="R5759" s="7" t="n"/>
      <c r="U5759">
        <f>IF($C5759="","",IF($AJ5759=1,0,IF($AI5759=1,Settings!$C$6,Settings!$C$7))*100)</f>
        <v/>
      </c>
      <c r="V5759" s="7">
        <f>IF($C5759="","",R5759*U5759/100)</f>
        <v/>
      </c>
      <c r="W5759" s="7">
        <f>IF($C5759="","",R5759-V5759)</f>
        <v/>
      </c>
      <c r="X5759" s="7">
        <f>IF($C5759="","",W5759-K5759)</f>
        <v/>
      </c>
      <c r="AB5759" s="7" t="n"/>
      <c r="AE5759" s="11" t="n"/>
      <c r="AG5759">
        <f>IF($C5759="","",IF(COUNTIF($C$2:$C5759,$C5759)=1,1,0))</f>
        <v/>
      </c>
      <c r="AH5759">
        <f>IF($AG5759=1,SUMPRODUCT(--($AK$2:$AK$6001&lt;$AK5759))+1,"")</f>
        <v/>
      </c>
      <c r="AI5759">
        <f>IF($C5759="","",IF(OR($N5759=TRUE(),$N5759="TRUE"),1,0))</f>
        <v/>
      </c>
      <c r="AJ5759">
        <f>IF($C5759="","",IF($T5759="Yes",1,0))</f>
        <v/>
      </c>
      <c r="AK5759">
        <f>IF($AG5759=1,IFERROR(IF(VALUE($C5759)&lt;100000000,VALUE($C5759),1000000000),IFERROR(IF(VALUE(MID($C5759,2,20))&lt;100000000,VALUE(MID($C5759,2,20)),1000000000),1000000000))+ROW()/100000,"")</f>
        <v/>
      </c>
    </row>
    <row r="5760">
      <c r="D5760" s="11" t="n"/>
      <c r="K5760" s="7">
        <f>IF($C5760="","",J5760*W5760/100)</f>
        <v/>
      </c>
      <c r="Q5760" s="7" t="n"/>
      <c r="R5760" s="7" t="n"/>
      <c r="U5760">
        <f>IF($C5760="","",IF($AJ5760=1,0,IF($AI5760=1,Settings!$C$6,Settings!$C$7))*100)</f>
        <v/>
      </c>
      <c r="V5760" s="7">
        <f>IF($C5760="","",R5760*U5760/100)</f>
        <v/>
      </c>
      <c r="W5760" s="7">
        <f>IF($C5760="","",R5760-V5760)</f>
        <v/>
      </c>
      <c r="X5760" s="7">
        <f>IF($C5760="","",W5760-K5760)</f>
        <v/>
      </c>
      <c r="AB5760" s="7" t="n"/>
      <c r="AE5760" s="11" t="n"/>
      <c r="AG5760">
        <f>IF($C5760="","",IF(COUNTIF($C$2:$C5760,$C5760)=1,1,0))</f>
        <v/>
      </c>
      <c r="AH5760">
        <f>IF($AG5760=1,SUMPRODUCT(--($AK$2:$AK$6001&lt;$AK5760))+1,"")</f>
        <v/>
      </c>
      <c r="AI5760">
        <f>IF($C5760="","",IF(OR($N5760=TRUE(),$N5760="TRUE"),1,0))</f>
        <v/>
      </c>
      <c r="AJ5760">
        <f>IF($C5760="","",IF($T5760="Yes",1,0))</f>
        <v/>
      </c>
      <c r="AK5760">
        <f>IF($AG5760=1,IFERROR(IF(VALUE($C5760)&lt;100000000,VALUE($C5760),1000000000),IFERROR(IF(VALUE(MID($C5760,2,20))&lt;100000000,VALUE(MID($C5760,2,20)),1000000000),1000000000))+ROW()/100000,"")</f>
        <v/>
      </c>
    </row>
    <row r="5761">
      <c r="D5761" s="11" t="n"/>
      <c r="K5761" s="7">
        <f>IF($C5761="","",J5761*W5761/100)</f>
        <v/>
      </c>
      <c r="Q5761" s="7" t="n"/>
      <c r="R5761" s="7" t="n"/>
      <c r="U5761">
        <f>IF($C5761="","",IF($AJ5761=1,0,IF($AI5761=1,Settings!$C$6,Settings!$C$7))*100)</f>
        <v/>
      </c>
      <c r="V5761" s="7">
        <f>IF($C5761="","",R5761*U5761/100)</f>
        <v/>
      </c>
      <c r="W5761" s="7">
        <f>IF($C5761="","",R5761-V5761)</f>
        <v/>
      </c>
      <c r="X5761" s="7">
        <f>IF($C5761="","",W5761-K5761)</f>
        <v/>
      </c>
      <c r="AB5761" s="7" t="n"/>
      <c r="AE5761" s="11" t="n"/>
      <c r="AG5761">
        <f>IF($C5761="","",IF(COUNTIF($C$2:$C5761,$C5761)=1,1,0))</f>
        <v/>
      </c>
      <c r="AH5761">
        <f>IF($AG5761=1,SUMPRODUCT(--($AK$2:$AK$6001&lt;$AK5761))+1,"")</f>
        <v/>
      </c>
      <c r="AI5761">
        <f>IF($C5761="","",IF(OR($N5761=TRUE(),$N5761="TRUE"),1,0))</f>
        <v/>
      </c>
      <c r="AJ5761">
        <f>IF($C5761="","",IF($T5761="Yes",1,0))</f>
        <v/>
      </c>
      <c r="AK5761">
        <f>IF($AG5761=1,IFERROR(IF(VALUE($C5761)&lt;100000000,VALUE($C5761),1000000000),IFERROR(IF(VALUE(MID($C5761,2,20))&lt;100000000,VALUE(MID($C5761,2,20)),1000000000),1000000000))+ROW()/100000,"")</f>
        <v/>
      </c>
    </row>
    <row r="5762">
      <c r="D5762" s="11" t="n"/>
      <c r="K5762" s="7">
        <f>IF($C5762="","",J5762*W5762/100)</f>
        <v/>
      </c>
      <c r="Q5762" s="7" t="n"/>
      <c r="R5762" s="7" t="n"/>
      <c r="U5762">
        <f>IF($C5762="","",IF($AJ5762=1,0,IF($AI5762=1,Settings!$C$6,Settings!$C$7))*100)</f>
        <v/>
      </c>
      <c r="V5762" s="7">
        <f>IF($C5762="","",R5762*U5762/100)</f>
        <v/>
      </c>
      <c r="W5762" s="7">
        <f>IF($C5762="","",R5762-V5762)</f>
        <v/>
      </c>
      <c r="X5762" s="7">
        <f>IF($C5762="","",W5762-K5762)</f>
        <v/>
      </c>
      <c r="AB5762" s="7" t="n"/>
      <c r="AE5762" s="11" t="n"/>
      <c r="AG5762">
        <f>IF($C5762="","",IF(COUNTIF($C$2:$C5762,$C5762)=1,1,0))</f>
        <v/>
      </c>
      <c r="AH5762">
        <f>IF($AG5762=1,SUMPRODUCT(--($AK$2:$AK$6001&lt;$AK5762))+1,"")</f>
        <v/>
      </c>
      <c r="AI5762">
        <f>IF($C5762="","",IF(OR($N5762=TRUE(),$N5762="TRUE"),1,0))</f>
        <v/>
      </c>
      <c r="AJ5762">
        <f>IF($C5762="","",IF($T5762="Yes",1,0))</f>
        <v/>
      </c>
      <c r="AK5762">
        <f>IF($AG5762=1,IFERROR(IF(VALUE($C5762)&lt;100000000,VALUE($C5762),1000000000),IFERROR(IF(VALUE(MID($C5762,2,20))&lt;100000000,VALUE(MID($C5762,2,20)),1000000000),1000000000))+ROW()/100000,"")</f>
        <v/>
      </c>
    </row>
    <row r="5763">
      <c r="D5763" s="11" t="n"/>
      <c r="K5763" s="7">
        <f>IF($C5763="","",J5763*W5763/100)</f>
        <v/>
      </c>
      <c r="Q5763" s="7" t="n"/>
      <c r="R5763" s="7" t="n"/>
      <c r="U5763">
        <f>IF($C5763="","",IF($AJ5763=1,0,IF($AI5763=1,Settings!$C$6,Settings!$C$7))*100)</f>
        <v/>
      </c>
      <c r="V5763" s="7">
        <f>IF($C5763="","",R5763*U5763/100)</f>
        <v/>
      </c>
      <c r="W5763" s="7">
        <f>IF($C5763="","",R5763-V5763)</f>
        <v/>
      </c>
      <c r="X5763" s="7">
        <f>IF($C5763="","",W5763-K5763)</f>
        <v/>
      </c>
      <c r="AB5763" s="7" t="n"/>
      <c r="AE5763" s="11" t="n"/>
      <c r="AG5763">
        <f>IF($C5763="","",IF(COUNTIF($C$2:$C5763,$C5763)=1,1,0))</f>
        <v/>
      </c>
      <c r="AH5763">
        <f>IF($AG5763=1,SUMPRODUCT(--($AK$2:$AK$6001&lt;$AK5763))+1,"")</f>
        <v/>
      </c>
      <c r="AI5763">
        <f>IF($C5763="","",IF(OR($N5763=TRUE(),$N5763="TRUE"),1,0))</f>
        <v/>
      </c>
      <c r="AJ5763">
        <f>IF($C5763="","",IF($T5763="Yes",1,0))</f>
        <v/>
      </c>
      <c r="AK5763">
        <f>IF($AG5763=1,IFERROR(IF(VALUE($C5763)&lt;100000000,VALUE($C5763),1000000000),IFERROR(IF(VALUE(MID($C5763,2,20))&lt;100000000,VALUE(MID($C5763,2,20)),1000000000),1000000000))+ROW()/100000,"")</f>
        <v/>
      </c>
    </row>
    <row r="5764">
      <c r="D5764" s="11" t="n"/>
      <c r="K5764" s="7">
        <f>IF($C5764="","",J5764*W5764/100)</f>
        <v/>
      </c>
      <c r="Q5764" s="7" t="n"/>
      <c r="R5764" s="7" t="n"/>
      <c r="U5764">
        <f>IF($C5764="","",IF($AJ5764=1,0,IF($AI5764=1,Settings!$C$6,Settings!$C$7))*100)</f>
        <v/>
      </c>
      <c r="V5764" s="7">
        <f>IF($C5764="","",R5764*U5764/100)</f>
        <v/>
      </c>
      <c r="W5764" s="7">
        <f>IF($C5764="","",R5764-V5764)</f>
        <v/>
      </c>
      <c r="X5764" s="7">
        <f>IF($C5764="","",W5764-K5764)</f>
        <v/>
      </c>
      <c r="AB5764" s="7" t="n"/>
      <c r="AE5764" s="11" t="n"/>
      <c r="AG5764">
        <f>IF($C5764="","",IF(COUNTIF($C$2:$C5764,$C5764)=1,1,0))</f>
        <v/>
      </c>
      <c r="AH5764">
        <f>IF($AG5764=1,SUMPRODUCT(--($AK$2:$AK$6001&lt;$AK5764))+1,"")</f>
        <v/>
      </c>
      <c r="AI5764">
        <f>IF($C5764="","",IF(OR($N5764=TRUE(),$N5764="TRUE"),1,0))</f>
        <v/>
      </c>
      <c r="AJ5764">
        <f>IF($C5764="","",IF($T5764="Yes",1,0))</f>
        <v/>
      </c>
      <c r="AK5764">
        <f>IF($AG5764=1,IFERROR(IF(VALUE($C5764)&lt;100000000,VALUE($C5764),1000000000),IFERROR(IF(VALUE(MID($C5764,2,20))&lt;100000000,VALUE(MID($C5764,2,20)),1000000000),1000000000))+ROW()/100000,"")</f>
        <v/>
      </c>
    </row>
    <row r="5765">
      <c r="D5765" s="11" t="n"/>
      <c r="K5765" s="7">
        <f>IF($C5765="","",J5765*W5765/100)</f>
        <v/>
      </c>
      <c r="Q5765" s="7" t="n"/>
      <c r="R5765" s="7" t="n"/>
      <c r="U5765">
        <f>IF($C5765="","",IF($AJ5765=1,0,IF($AI5765=1,Settings!$C$6,Settings!$C$7))*100)</f>
        <v/>
      </c>
      <c r="V5765" s="7">
        <f>IF($C5765="","",R5765*U5765/100)</f>
        <v/>
      </c>
      <c r="W5765" s="7">
        <f>IF($C5765="","",R5765-V5765)</f>
        <v/>
      </c>
      <c r="X5765" s="7">
        <f>IF($C5765="","",W5765-K5765)</f>
        <v/>
      </c>
      <c r="AB5765" s="7" t="n"/>
      <c r="AE5765" s="11" t="n"/>
      <c r="AG5765">
        <f>IF($C5765="","",IF(COUNTIF($C$2:$C5765,$C5765)=1,1,0))</f>
        <v/>
      </c>
      <c r="AH5765">
        <f>IF($AG5765=1,SUMPRODUCT(--($AK$2:$AK$6001&lt;$AK5765))+1,"")</f>
        <v/>
      </c>
      <c r="AI5765">
        <f>IF($C5765="","",IF(OR($N5765=TRUE(),$N5765="TRUE"),1,0))</f>
        <v/>
      </c>
      <c r="AJ5765">
        <f>IF($C5765="","",IF($T5765="Yes",1,0))</f>
        <v/>
      </c>
      <c r="AK5765">
        <f>IF($AG5765=1,IFERROR(IF(VALUE($C5765)&lt;100000000,VALUE($C5765),1000000000),IFERROR(IF(VALUE(MID($C5765,2,20))&lt;100000000,VALUE(MID($C5765,2,20)),1000000000),1000000000))+ROW()/100000,"")</f>
        <v/>
      </c>
    </row>
    <row r="5766">
      <c r="D5766" s="11" t="n"/>
      <c r="K5766" s="7">
        <f>IF($C5766="","",J5766*W5766/100)</f>
        <v/>
      </c>
      <c r="Q5766" s="7" t="n"/>
      <c r="R5766" s="7" t="n"/>
      <c r="U5766">
        <f>IF($C5766="","",IF($AJ5766=1,0,IF($AI5766=1,Settings!$C$6,Settings!$C$7))*100)</f>
        <v/>
      </c>
      <c r="V5766" s="7">
        <f>IF($C5766="","",R5766*U5766/100)</f>
        <v/>
      </c>
      <c r="W5766" s="7">
        <f>IF($C5766="","",R5766-V5766)</f>
        <v/>
      </c>
      <c r="X5766" s="7">
        <f>IF($C5766="","",W5766-K5766)</f>
        <v/>
      </c>
      <c r="AB5766" s="7" t="n"/>
      <c r="AE5766" s="11" t="n"/>
      <c r="AG5766">
        <f>IF($C5766="","",IF(COUNTIF($C$2:$C5766,$C5766)=1,1,0))</f>
        <v/>
      </c>
      <c r="AH5766">
        <f>IF($AG5766=1,SUMPRODUCT(--($AK$2:$AK$6001&lt;$AK5766))+1,"")</f>
        <v/>
      </c>
      <c r="AI5766">
        <f>IF($C5766="","",IF(OR($N5766=TRUE(),$N5766="TRUE"),1,0))</f>
        <v/>
      </c>
      <c r="AJ5766">
        <f>IF($C5766="","",IF($T5766="Yes",1,0))</f>
        <v/>
      </c>
      <c r="AK5766">
        <f>IF($AG5766=1,IFERROR(IF(VALUE($C5766)&lt;100000000,VALUE($C5766),1000000000),IFERROR(IF(VALUE(MID($C5766,2,20))&lt;100000000,VALUE(MID($C5766,2,20)),1000000000),1000000000))+ROW()/100000,"")</f>
        <v/>
      </c>
    </row>
    <row r="5767">
      <c r="D5767" s="11" t="n"/>
      <c r="K5767" s="7">
        <f>IF($C5767="","",J5767*W5767/100)</f>
        <v/>
      </c>
      <c r="Q5767" s="7" t="n"/>
      <c r="R5767" s="7" t="n"/>
      <c r="U5767">
        <f>IF($C5767="","",IF($AJ5767=1,0,IF($AI5767=1,Settings!$C$6,Settings!$C$7))*100)</f>
        <v/>
      </c>
      <c r="V5767" s="7">
        <f>IF($C5767="","",R5767*U5767/100)</f>
        <v/>
      </c>
      <c r="W5767" s="7">
        <f>IF($C5767="","",R5767-V5767)</f>
        <v/>
      </c>
      <c r="X5767" s="7">
        <f>IF($C5767="","",W5767-K5767)</f>
        <v/>
      </c>
      <c r="AB5767" s="7" t="n"/>
      <c r="AE5767" s="11" t="n"/>
      <c r="AG5767">
        <f>IF($C5767="","",IF(COUNTIF($C$2:$C5767,$C5767)=1,1,0))</f>
        <v/>
      </c>
      <c r="AH5767">
        <f>IF($AG5767=1,SUMPRODUCT(--($AK$2:$AK$6001&lt;$AK5767))+1,"")</f>
        <v/>
      </c>
      <c r="AI5767">
        <f>IF($C5767="","",IF(OR($N5767=TRUE(),$N5767="TRUE"),1,0))</f>
        <v/>
      </c>
      <c r="AJ5767">
        <f>IF($C5767="","",IF($T5767="Yes",1,0))</f>
        <v/>
      </c>
      <c r="AK5767">
        <f>IF($AG5767=1,IFERROR(IF(VALUE($C5767)&lt;100000000,VALUE($C5767),1000000000),IFERROR(IF(VALUE(MID($C5767,2,20))&lt;100000000,VALUE(MID($C5767,2,20)),1000000000),1000000000))+ROW()/100000,"")</f>
        <v/>
      </c>
    </row>
    <row r="5768">
      <c r="D5768" s="11" t="n"/>
      <c r="K5768" s="7">
        <f>IF($C5768="","",J5768*W5768/100)</f>
        <v/>
      </c>
      <c r="Q5768" s="7" t="n"/>
      <c r="R5768" s="7" t="n"/>
      <c r="U5768">
        <f>IF($C5768="","",IF($AJ5768=1,0,IF($AI5768=1,Settings!$C$6,Settings!$C$7))*100)</f>
        <v/>
      </c>
      <c r="V5768" s="7">
        <f>IF($C5768="","",R5768*U5768/100)</f>
        <v/>
      </c>
      <c r="W5768" s="7">
        <f>IF($C5768="","",R5768-V5768)</f>
        <v/>
      </c>
      <c r="X5768" s="7">
        <f>IF($C5768="","",W5768-K5768)</f>
        <v/>
      </c>
      <c r="AB5768" s="7" t="n"/>
      <c r="AE5768" s="11" t="n"/>
      <c r="AG5768">
        <f>IF($C5768="","",IF(COUNTIF($C$2:$C5768,$C5768)=1,1,0))</f>
        <v/>
      </c>
      <c r="AH5768">
        <f>IF($AG5768=1,SUMPRODUCT(--($AK$2:$AK$6001&lt;$AK5768))+1,"")</f>
        <v/>
      </c>
      <c r="AI5768">
        <f>IF($C5768="","",IF(OR($N5768=TRUE(),$N5768="TRUE"),1,0))</f>
        <v/>
      </c>
      <c r="AJ5768">
        <f>IF($C5768="","",IF($T5768="Yes",1,0))</f>
        <v/>
      </c>
      <c r="AK5768">
        <f>IF($AG5768=1,IFERROR(IF(VALUE($C5768)&lt;100000000,VALUE($C5768),1000000000),IFERROR(IF(VALUE(MID($C5768,2,20))&lt;100000000,VALUE(MID($C5768,2,20)),1000000000),1000000000))+ROW()/100000,"")</f>
        <v/>
      </c>
    </row>
    <row r="5769">
      <c r="D5769" s="11" t="n"/>
      <c r="K5769" s="7">
        <f>IF($C5769="","",J5769*W5769/100)</f>
        <v/>
      </c>
      <c r="Q5769" s="7" t="n"/>
      <c r="R5769" s="7" t="n"/>
      <c r="U5769">
        <f>IF($C5769="","",IF($AJ5769=1,0,IF($AI5769=1,Settings!$C$6,Settings!$C$7))*100)</f>
        <v/>
      </c>
      <c r="V5769" s="7">
        <f>IF($C5769="","",R5769*U5769/100)</f>
        <v/>
      </c>
      <c r="W5769" s="7">
        <f>IF($C5769="","",R5769-V5769)</f>
        <v/>
      </c>
      <c r="X5769" s="7">
        <f>IF($C5769="","",W5769-K5769)</f>
        <v/>
      </c>
      <c r="AB5769" s="7" t="n"/>
      <c r="AE5769" s="11" t="n"/>
      <c r="AG5769">
        <f>IF($C5769="","",IF(COUNTIF($C$2:$C5769,$C5769)=1,1,0))</f>
        <v/>
      </c>
      <c r="AH5769">
        <f>IF($AG5769=1,SUMPRODUCT(--($AK$2:$AK$6001&lt;$AK5769))+1,"")</f>
        <v/>
      </c>
      <c r="AI5769">
        <f>IF($C5769="","",IF(OR($N5769=TRUE(),$N5769="TRUE"),1,0))</f>
        <v/>
      </c>
      <c r="AJ5769">
        <f>IF($C5769="","",IF($T5769="Yes",1,0))</f>
        <v/>
      </c>
      <c r="AK5769">
        <f>IF($AG5769=1,IFERROR(IF(VALUE($C5769)&lt;100000000,VALUE($C5769),1000000000),IFERROR(IF(VALUE(MID($C5769,2,20))&lt;100000000,VALUE(MID($C5769,2,20)),1000000000),1000000000))+ROW()/100000,"")</f>
        <v/>
      </c>
    </row>
    <row r="5770">
      <c r="D5770" s="11" t="n"/>
      <c r="K5770" s="7">
        <f>IF($C5770="","",J5770*W5770/100)</f>
        <v/>
      </c>
      <c r="Q5770" s="7" t="n"/>
      <c r="R5770" s="7" t="n"/>
      <c r="U5770">
        <f>IF($C5770="","",IF($AJ5770=1,0,IF($AI5770=1,Settings!$C$6,Settings!$C$7))*100)</f>
        <v/>
      </c>
      <c r="V5770" s="7">
        <f>IF($C5770="","",R5770*U5770/100)</f>
        <v/>
      </c>
      <c r="W5770" s="7">
        <f>IF($C5770="","",R5770-V5770)</f>
        <v/>
      </c>
      <c r="X5770" s="7">
        <f>IF($C5770="","",W5770-K5770)</f>
        <v/>
      </c>
      <c r="AB5770" s="7" t="n"/>
      <c r="AE5770" s="11" t="n"/>
      <c r="AG5770">
        <f>IF($C5770="","",IF(COUNTIF($C$2:$C5770,$C5770)=1,1,0))</f>
        <v/>
      </c>
      <c r="AH5770">
        <f>IF($AG5770=1,SUMPRODUCT(--($AK$2:$AK$6001&lt;$AK5770))+1,"")</f>
        <v/>
      </c>
      <c r="AI5770">
        <f>IF($C5770="","",IF(OR($N5770=TRUE(),$N5770="TRUE"),1,0))</f>
        <v/>
      </c>
      <c r="AJ5770">
        <f>IF($C5770="","",IF($T5770="Yes",1,0))</f>
        <v/>
      </c>
      <c r="AK5770">
        <f>IF($AG5770=1,IFERROR(IF(VALUE($C5770)&lt;100000000,VALUE($C5770),1000000000),IFERROR(IF(VALUE(MID($C5770,2,20))&lt;100000000,VALUE(MID($C5770,2,20)),1000000000),1000000000))+ROW()/100000,"")</f>
        <v/>
      </c>
    </row>
    <row r="5771">
      <c r="D5771" s="11" t="n"/>
      <c r="K5771" s="7">
        <f>IF($C5771="","",J5771*W5771/100)</f>
        <v/>
      </c>
      <c r="Q5771" s="7" t="n"/>
      <c r="R5771" s="7" t="n"/>
      <c r="U5771">
        <f>IF($C5771="","",IF($AJ5771=1,0,IF($AI5771=1,Settings!$C$6,Settings!$C$7))*100)</f>
        <v/>
      </c>
      <c r="V5771" s="7">
        <f>IF($C5771="","",R5771*U5771/100)</f>
        <v/>
      </c>
      <c r="W5771" s="7">
        <f>IF($C5771="","",R5771-V5771)</f>
        <v/>
      </c>
      <c r="X5771" s="7">
        <f>IF($C5771="","",W5771-K5771)</f>
        <v/>
      </c>
      <c r="AB5771" s="7" t="n"/>
      <c r="AE5771" s="11" t="n"/>
      <c r="AG5771">
        <f>IF($C5771="","",IF(COUNTIF($C$2:$C5771,$C5771)=1,1,0))</f>
        <v/>
      </c>
      <c r="AH5771">
        <f>IF($AG5771=1,SUMPRODUCT(--($AK$2:$AK$6001&lt;$AK5771))+1,"")</f>
        <v/>
      </c>
      <c r="AI5771">
        <f>IF($C5771="","",IF(OR($N5771=TRUE(),$N5771="TRUE"),1,0))</f>
        <v/>
      </c>
      <c r="AJ5771">
        <f>IF($C5771="","",IF($T5771="Yes",1,0))</f>
        <v/>
      </c>
      <c r="AK5771">
        <f>IF($AG5771=1,IFERROR(IF(VALUE($C5771)&lt;100000000,VALUE($C5771),1000000000),IFERROR(IF(VALUE(MID($C5771,2,20))&lt;100000000,VALUE(MID($C5771,2,20)),1000000000),1000000000))+ROW()/100000,"")</f>
        <v/>
      </c>
    </row>
    <row r="5772">
      <c r="D5772" s="11" t="n"/>
      <c r="K5772" s="7">
        <f>IF($C5772="","",J5772*W5772/100)</f>
        <v/>
      </c>
      <c r="Q5772" s="7" t="n"/>
      <c r="R5772" s="7" t="n"/>
      <c r="U5772">
        <f>IF($C5772="","",IF($AJ5772=1,0,IF($AI5772=1,Settings!$C$6,Settings!$C$7))*100)</f>
        <v/>
      </c>
      <c r="V5772" s="7">
        <f>IF($C5772="","",R5772*U5772/100)</f>
        <v/>
      </c>
      <c r="W5772" s="7">
        <f>IF($C5772="","",R5772-V5772)</f>
        <v/>
      </c>
      <c r="X5772" s="7">
        <f>IF($C5772="","",W5772-K5772)</f>
        <v/>
      </c>
      <c r="AB5772" s="7" t="n"/>
      <c r="AE5772" s="11" t="n"/>
      <c r="AG5772">
        <f>IF($C5772="","",IF(COUNTIF($C$2:$C5772,$C5772)=1,1,0))</f>
        <v/>
      </c>
      <c r="AH5772">
        <f>IF($AG5772=1,SUMPRODUCT(--($AK$2:$AK$6001&lt;$AK5772))+1,"")</f>
        <v/>
      </c>
      <c r="AI5772">
        <f>IF($C5772="","",IF(OR($N5772=TRUE(),$N5772="TRUE"),1,0))</f>
        <v/>
      </c>
      <c r="AJ5772">
        <f>IF($C5772="","",IF($T5772="Yes",1,0))</f>
        <v/>
      </c>
      <c r="AK5772">
        <f>IF($AG5772=1,IFERROR(IF(VALUE($C5772)&lt;100000000,VALUE($C5772),1000000000),IFERROR(IF(VALUE(MID($C5772,2,20))&lt;100000000,VALUE(MID($C5772,2,20)),1000000000),1000000000))+ROW()/100000,"")</f>
        <v/>
      </c>
    </row>
    <row r="5773">
      <c r="D5773" s="11" t="n"/>
      <c r="K5773" s="7">
        <f>IF($C5773="","",J5773*W5773/100)</f>
        <v/>
      </c>
      <c r="Q5773" s="7" t="n"/>
      <c r="R5773" s="7" t="n"/>
      <c r="U5773">
        <f>IF($C5773="","",IF($AJ5773=1,0,IF($AI5773=1,Settings!$C$6,Settings!$C$7))*100)</f>
        <v/>
      </c>
      <c r="V5773" s="7">
        <f>IF($C5773="","",R5773*U5773/100)</f>
        <v/>
      </c>
      <c r="W5773" s="7">
        <f>IF($C5773="","",R5773-V5773)</f>
        <v/>
      </c>
      <c r="X5773" s="7">
        <f>IF($C5773="","",W5773-K5773)</f>
        <v/>
      </c>
      <c r="AB5773" s="7" t="n"/>
      <c r="AE5773" s="11" t="n"/>
      <c r="AG5773">
        <f>IF($C5773="","",IF(COUNTIF($C$2:$C5773,$C5773)=1,1,0))</f>
        <v/>
      </c>
      <c r="AH5773">
        <f>IF($AG5773=1,SUMPRODUCT(--($AK$2:$AK$6001&lt;$AK5773))+1,"")</f>
        <v/>
      </c>
      <c r="AI5773">
        <f>IF($C5773="","",IF(OR($N5773=TRUE(),$N5773="TRUE"),1,0))</f>
        <v/>
      </c>
      <c r="AJ5773">
        <f>IF($C5773="","",IF($T5773="Yes",1,0))</f>
        <v/>
      </c>
      <c r="AK5773">
        <f>IF($AG5773=1,IFERROR(IF(VALUE($C5773)&lt;100000000,VALUE($C5773),1000000000),IFERROR(IF(VALUE(MID($C5773,2,20))&lt;100000000,VALUE(MID($C5773,2,20)),1000000000),1000000000))+ROW()/100000,"")</f>
        <v/>
      </c>
    </row>
    <row r="5774">
      <c r="D5774" s="11" t="n"/>
      <c r="K5774" s="7">
        <f>IF($C5774="","",J5774*W5774/100)</f>
        <v/>
      </c>
      <c r="Q5774" s="7" t="n"/>
      <c r="R5774" s="7" t="n"/>
      <c r="U5774">
        <f>IF($C5774="","",IF($AJ5774=1,0,IF($AI5774=1,Settings!$C$6,Settings!$C$7))*100)</f>
        <v/>
      </c>
      <c r="V5774" s="7">
        <f>IF($C5774="","",R5774*U5774/100)</f>
        <v/>
      </c>
      <c r="W5774" s="7">
        <f>IF($C5774="","",R5774-V5774)</f>
        <v/>
      </c>
      <c r="X5774" s="7">
        <f>IF($C5774="","",W5774-K5774)</f>
        <v/>
      </c>
      <c r="AB5774" s="7" t="n"/>
      <c r="AE5774" s="11" t="n"/>
      <c r="AG5774">
        <f>IF($C5774="","",IF(COUNTIF($C$2:$C5774,$C5774)=1,1,0))</f>
        <v/>
      </c>
      <c r="AH5774">
        <f>IF($AG5774=1,SUMPRODUCT(--($AK$2:$AK$6001&lt;$AK5774))+1,"")</f>
        <v/>
      </c>
      <c r="AI5774">
        <f>IF($C5774="","",IF(OR($N5774=TRUE(),$N5774="TRUE"),1,0))</f>
        <v/>
      </c>
      <c r="AJ5774">
        <f>IF($C5774="","",IF($T5774="Yes",1,0))</f>
        <v/>
      </c>
      <c r="AK5774">
        <f>IF($AG5774=1,IFERROR(IF(VALUE($C5774)&lt;100000000,VALUE($C5774),1000000000),IFERROR(IF(VALUE(MID($C5774,2,20))&lt;100000000,VALUE(MID($C5774,2,20)),1000000000),1000000000))+ROW()/100000,"")</f>
        <v/>
      </c>
    </row>
    <row r="5775">
      <c r="D5775" s="11" t="n"/>
      <c r="K5775" s="7">
        <f>IF($C5775="","",J5775*W5775/100)</f>
        <v/>
      </c>
      <c r="Q5775" s="7" t="n"/>
      <c r="R5775" s="7" t="n"/>
      <c r="U5775">
        <f>IF($C5775="","",IF($AJ5775=1,0,IF($AI5775=1,Settings!$C$6,Settings!$C$7))*100)</f>
        <v/>
      </c>
      <c r="V5775" s="7">
        <f>IF($C5775="","",R5775*U5775/100)</f>
        <v/>
      </c>
      <c r="W5775" s="7">
        <f>IF($C5775="","",R5775-V5775)</f>
        <v/>
      </c>
      <c r="X5775" s="7">
        <f>IF($C5775="","",W5775-K5775)</f>
        <v/>
      </c>
      <c r="AB5775" s="7" t="n"/>
      <c r="AE5775" s="11" t="n"/>
      <c r="AG5775">
        <f>IF($C5775="","",IF(COUNTIF($C$2:$C5775,$C5775)=1,1,0))</f>
        <v/>
      </c>
      <c r="AH5775">
        <f>IF($AG5775=1,SUMPRODUCT(--($AK$2:$AK$6001&lt;$AK5775))+1,"")</f>
        <v/>
      </c>
      <c r="AI5775">
        <f>IF($C5775="","",IF(OR($N5775=TRUE(),$N5775="TRUE"),1,0))</f>
        <v/>
      </c>
      <c r="AJ5775">
        <f>IF($C5775="","",IF($T5775="Yes",1,0))</f>
        <v/>
      </c>
      <c r="AK5775">
        <f>IF($AG5775=1,IFERROR(IF(VALUE($C5775)&lt;100000000,VALUE($C5775),1000000000),IFERROR(IF(VALUE(MID($C5775,2,20))&lt;100000000,VALUE(MID($C5775,2,20)),1000000000),1000000000))+ROW()/100000,"")</f>
        <v/>
      </c>
    </row>
    <row r="5776">
      <c r="D5776" s="11" t="n"/>
      <c r="K5776" s="7">
        <f>IF($C5776="","",J5776*W5776/100)</f>
        <v/>
      </c>
      <c r="Q5776" s="7" t="n"/>
      <c r="R5776" s="7" t="n"/>
      <c r="U5776">
        <f>IF($C5776="","",IF($AJ5776=1,0,IF($AI5776=1,Settings!$C$6,Settings!$C$7))*100)</f>
        <v/>
      </c>
      <c r="V5776" s="7">
        <f>IF($C5776="","",R5776*U5776/100)</f>
        <v/>
      </c>
      <c r="W5776" s="7">
        <f>IF($C5776="","",R5776-V5776)</f>
        <v/>
      </c>
      <c r="X5776" s="7">
        <f>IF($C5776="","",W5776-K5776)</f>
        <v/>
      </c>
      <c r="AB5776" s="7" t="n"/>
      <c r="AE5776" s="11" t="n"/>
      <c r="AG5776">
        <f>IF($C5776="","",IF(COUNTIF($C$2:$C5776,$C5776)=1,1,0))</f>
        <v/>
      </c>
      <c r="AH5776">
        <f>IF($AG5776=1,SUMPRODUCT(--($AK$2:$AK$6001&lt;$AK5776))+1,"")</f>
        <v/>
      </c>
      <c r="AI5776">
        <f>IF($C5776="","",IF(OR($N5776=TRUE(),$N5776="TRUE"),1,0))</f>
        <v/>
      </c>
      <c r="AJ5776">
        <f>IF($C5776="","",IF($T5776="Yes",1,0))</f>
        <v/>
      </c>
      <c r="AK5776">
        <f>IF($AG5776=1,IFERROR(IF(VALUE($C5776)&lt;100000000,VALUE($C5776),1000000000),IFERROR(IF(VALUE(MID($C5776,2,20))&lt;100000000,VALUE(MID($C5776,2,20)),1000000000),1000000000))+ROW()/100000,"")</f>
        <v/>
      </c>
    </row>
    <row r="5777">
      <c r="D5777" s="11" t="n"/>
      <c r="K5777" s="7">
        <f>IF($C5777="","",J5777*W5777/100)</f>
        <v/>
      </c>
      <c r="Q5777" s="7" t="n"/>
      <c r="R5777" s="7" t="n"/>
      <c r="U5777">
        <f>IF($C5777="","",IF($AJ5777=1,0,IF($AI5777=1,Settings!$C$6,Settings!$C$7))*100)</f>
        <v/>
      </c>
      <c r="V5777" s="7">
        <f>IF($C5777="","",R5777*U5777/100)</f>
        <v/>
      </c>
      <c r="W5777" s="7">
        <f>IF($C5777="","",R5777-V5777)</f>
        <v/>
      </c>
      <c r="X5777" s="7">
        <f>IF($C5777="","",W5777-K5777)</f>
        <v/>
      </c>
      <c r="AB5777" s="7" t="n"/>
      <c r="AE5777" s="11" t="n"/>
      <c r="AG5777">
        <f>IF($C5777="","",IF(COUNTIF($C$2:$C5777,$C5777)=1,1,0))</f>
        <v/>
      </c>
      <c r="AH5777">
        <f>IF($AG5777=1,SUMPRODUCT(--($AK$2:$AK$6001&lt;$AK5777))+1,"")</f>
        <v/>
      </c>
      <c r="AI5777">
        <f>IF($C5777="","",IF(OR($N5777=TRUE(),$N5777="TRUE"),1,0))</f>
        <v/>
      </c>
      <c r="AJ5777">
        <f>IF($C5777="","",IF($T5777="Yes",1,0))</f>
        <v/>
      </c>
      <c r="AK5777">
        <f>IF($AG5777=1,IFERROR(IF(VALUE($C5777)&lt;100000000,VALUE($C5777),1000000000),IFERROR(IF(VALUE(MID($C5777,2,20))&lt;100000000,VALUE(MID($C5777,2,20)),1000000000),1000000000))+ROW()/100000,"")</f>
        <v/>
      </c>
    </row>
    <row r="5778">
      <c r="D5778" s="11" t="n"/>
      <c r="K5778" s="7">
        <f>IF($C5778="","",J5778*W5778/100)</f>
        <v/>
      </c>
      <c r="Q5778" s="7" t="n"/>
      <c r="R5778" s="7" t="n"/>
      <c r="U5778">
        <f>IF($C5778="","",IF($AJ5778=1,0,IF($AI5778=1,Settings!$C$6,Settings!$C$7))*100)</f>
        <v/>
      </c>
      <c r="V5778" s="7">
        <f>IF($C5778="","",R5778*U5778/100)</f>
        <v/>
      </c>
      <c r="W5778" s="7">
        <f>IF($C5778="","",R5778-V5778)</f>
        <v/>
      </c>
      <c r="X5778" s="7">
        <f>IF($C5778="","",W5778-K5778)</f>
        <v/>
      </c>
      <c r="AB5778" s="7" t="n"/>
      <c r="AE5778" s="11" t="n"/>
      <c r="AG5778">
        <f>IF($C5778="","",IF(COUNTIF($C$2:$C5778,$C5778)=1,1,0))</f>
        <v/>
      </c>
      <c r="AH5778">
        <f>IF($AG5778=1,SUMPRODUCT(--($AK$2:$AK$6001&lt;$AK5778))+1,"")</f>
        <v/>
      </c>
      <c r="AI5778">
        <f>IF($C5778="","",IF(OR($N5778=TRUE(),$N5778="TRUE"),1,0))</f>
        <v/>
      </c>
      <c r="AJ5778">
        <f>IF($C5778="","",IF($T5778="Yes",1,0))</f>
        <v/>
      </c>
      <c r="AK5778">
        <f>IF($AG5778=1,IFERROR(IF(VALUE($C5778)&lt;100000000,VALUE($C5778),1000000000),IFERROR(IF(VALUE(MID($C5778,2,20))&lt;100000000,VALUE(MID($C5778,2,20)),1000000000),1000000000))+ROW()/100000,"")</f>
        <v/>
      </c>
    </row>
    <row r="5779">
      <c r="D5779" s="11" t="n"/>
      <c r="K5779" s="7">
        <f>IF($C5779="","",J5779*W5779/100)</f>
        <v/>
      </c>
      <c r="Q5779" s="7" t="n"/>
      <c r="R5779" s="7" t="n"/>
      <c r="U5779">
        <f>IF($C5779="","",IF($AJ5779=1,0,IF($AI5779=1,Settings!$C$6,Settings!$C$7))*100)</f>
        <v/>
      </c>
      <c r="V5779" s="7">
        <f>IF($C5779="","",R5779*U5779/100)</f>
        <v/>
      </c>
      <c r="W5779" s="7">
        <f>IF($C5779="","",R5779-V5779)</f>
        <v/>
      </c>
      <c r="X5779" s="7">
        <f>IF($C5779="","",W5779-K5779)</f>
        <v/>
      </c>
      <c r="AB5779" s="7" t="n"/>
      <c r="AE5779" s="11" t="n"/>
      <c r="AG5779">
        <f>IF($C5779="","",IF(COUNTIF($C$2:$C5779,$C5779)=1,1,0))</f>
        <v/>
      </c>
      <c r="AH5779">
        <f>IF($AG5779=1,SUMPRODUCT(--($AK$2:$AK$6001&lt;$AK5779))+1,"")</f>
        <v/>
      </c>
      <c r="AI5779">
        <f>IF($C5779="","",IF(OR($N5779=TRUE(),$N5779="TRUE"),1,0))</f>
        <v/>
      </c>
      <c r="AJ5779">
        <f>IF($C5779="","",IF($T5779="Yes",1,0))</f>
        <v/>
      </c>
      <c r="AK5779">
        <f>IF($AG5779=1,IFERROR(IF(VALUE($C5779)&lt;100000000,VALUE($C5779),1000000000),IFERROR(IF(VALUE(MID($C5779,2,20))&lt;100000000,VALUE(MID($C5779,2,20)),1000000000),1000000000))+ROW()/100000,"")</f>
        <v/>
      </c>
    </row>
    <row r="5780">
      <c r="D5780" s="11" t="n"/>
      <c r="K5780" s="7">
        <f>IF($C5780="","",J5780*W5780/100)</f>
        <v/>
      </c>
      <c r="Q5780" s="7" t="n"/>
      <c r="R5780" s="7" t="n"/>
      <c r="U5780">
        <f>IF($C5780="","",IF($AJ5780=1,0,IF($AI5780=1,Settings!$C$6,Settings!$C$7))*100)</f>
        <v/>
      </c>
      <c r="V5780" s="7">
        <f>IF($C5780="","",R5780*U5780/100)</f>
        <v/>
      </c>
      <c r="W5780" s="7">
        <f>IF($C5780="","",R5780-V5780)</f>
        <v/>
      </c>
      <c r="X5780" s="7">
        <f>IF($C5780="","",W5780-K5780)</f>
        <v/>
      </c>
      <c r="AB5780" s="7" t="n"/>
      <c r="AE5780" s="11" t="n"/>
      <c r="AG5780">
        <f>IF($C5780="","",IF(COUNTIF($C$2:$C5780,$C5780)=1,1,0))</f>
        <v/>
      </c>
      <c r="AH5780">
        <f>IF($AG5780=1,SUMPRODUCT(--($AK$2:$AK$6001&lt;$AK5780))+1,"")</f>
        <v/>
      </c>
      <c r="AI5780">
        <f>IF($C5780="","",IF(OR($N5780=TRUE(),$N5780="TRUE"),1,0))</f>
        <v/>
      </c>
      <c r="AJ5780">
        <f>IF($C5780="","",IF($T5780="Yes",1,0))</f>
        <v/>
      </c>
      <c r="AK5780">
        <f>IF($AG5780=1,IFERROR(IF(VALUE($C5780)&lt;100000000,VALUE($C5780),1000000000),IFERROR(IF(VALUE(MID($C5780,2,20))&lt;100000000,VALUE(MID($C5780,2,20)),1000000000),1000000000))+ROW()/100000,"")</f>
        <v/>
      </c>
    </row>
    <row r="5781">
      <c r="D5781" s="11" t="n"/>
      <c r="K5781" s="7">
        <f>IF($C5781="","",J5781*W5781/100)</f>
        <v/>
      </c>
      <c r="Q5781" s="7" t="n"/>
      <c r="R5781" s="7" t="n"/>
      <c r="U5781">
        <f>IF($C5781="","",IF($AJ5781=1,0,IF($AI5781=1,Settings!$C$6,Settings!$C$7))*100)</f>
        <v/>
      </c>
      <c r="V5781" s="7">
        <f>IF($C5781="","",R5781*U5781/100)</f>
        <v/>
      </c>
      <c r="W5781" s="7">
        <f>IF($C5781="","",R5781-V5781)</f>
        <v/>
      </c>
      <c r="X5781" s="7">
        <f>IF($C5781="","",W5781-K5781)</f>
        <v/>
      </c>
      <c r="AB5781" s="7" t="n"/>
      <c r="AE5781" s="11" t="n"/>
      <c r="AG5781">
        <f>IF($C5781="","",IF(COUNTIF($C$2:$C5781,$C5781)=1,1,0))</f>
        <v/>
      </c>
      <c r="AH5781">
        <f>IF($AG5781=1,SUMPRODUCT(--($AK$2:$AK$6001&lt;$AK5781))+1,"")</f>
        <v/>
      </c>
      <c r="AI5781">
        <f>IF($C5781="","",IF(OR($N5781=TRUE(),$N5781="TRUE"),1,0))</f>
        <v/>
      </c>
      <c r="AJ5781">
        <f>IF($C5781="","",IF($T5781="Yes",1,0))</f>
        <v/>
      </c>
      <c r="AK5781">
        <f>IF($AG5781=1,IFERROR(IF(VALUE($C5781)&lt;100000000,VALUE($C5781),1000000000),IFERROR(IF(VALUE(MID($C5781,2,20))&lt;100000000,VALUE(MID($C5781,2,20)),1000000000),1000000000))+ROW()/100000,"")</f>
        <v/>
      </c>
    </row>
    <row r="5782">
      <c r="D5782" s="11" t="n"/>
      <c r="K5782" s="7">
        <f>IF($C5782="","",J5782*W5782/100)</f>
        <v/>
      </c>
      <c r="Q5782" s="7" t="n"/>
      <c r="R5782" s="7" t="n"/>
      <c r="U5782">
        <f>IF($C5782="","",IF($AJ5782=1,0,IF($AI5782=1,Settings!$C$6,Settings!$C$7))*100)</f>
        <v/>
      </c>
      <c r="V5782" s="7">
        <f>IF($C5782="","",R5782*U5782/100)</f>
        <v/>
      </c>
      <c r="W5782" s="7">
        <f>IF($C5782="","",R5782-V5782)</f>
        <v/>
      </c>
      <c r="X5782" s="7">
        <f>IF($C5782="","",W5782-K5782)</f>
        <v/>
      </c>
      <c r="AB5782" s="7" t="n"/>
      <c r="AE5782" s="11" t="n"/>
      <c r="AG5782">
        <f>IF($C5782="","",IF(COUNTIF($C$2:$C5782,$C5782)=1,1,0))</f>
        <v/>
      </c>
      <c r="AH5782">
        <f>IF($AG5782=1,SUMPRODUCT(--($AK$2:$AK$6001&lt;$AK5782))+1,"")</f>
        <v/>
      </c>
      <c r="AI5782">
        <f>IF($C5782="","",IF(OR($N5782=TRUE(),$N5782="TRUE"),1,0))</f>
        <v/>
      </c>
      <c r="AJ5782">
        <f>IF($C5782="","",IF($T5782="Yes",1,0))</f>
        <v/>
      </c>
      <c r="AK5782">
        <f>IF($AG5782=1,IFERROR(IF(VALUE($C5782)&lt;100000000,VALUE($C5782),1000000000),IFERROR(IF(VALUE(MID($C5782,2,20))&lt;100000000,VALUE(MID($C5782,2,20)),1000000000),1000000000))+ROW()/100000,"")</f>
        <v/>
      </c>
    </row>
    <row r="5783">
      <c r="D5783" s="11" t="n"/>
      <c r="K5783" s="7">
        <f>IF($C5783="","",J5783*W5783/100)</f>
        <v/>
      </c>
      <c r="Q5783" s="7" t="n"/>
      <c r="R5783" s="7" t="n"/>
      <c r="U5783">
        <f>IF($C5783="","",IF($AJ5783=1,0,IF($AI5783=1,Settings!$C$6,Settings!$C$7))*100)</f>
        <v/>
      </c>
      <c r="V5783" s="7">
        <f>IF($C5783="","",R5783*U5783/100)</f>
        <v/>
      </c>
      <c r="W5783" s="7">
        <f>IF($C5783="","",R5783-V5783)</f>
        <v/>
      </c>
      <c r="X5783" s="7">
        <f>IF($C5783="","",W5783-K5783)</f>
        <v/>
      </c>
      <c r="AB5783" s="7" t="n"/>
      <c r="AE5783" s="11" t="n"/>
      <c r="AG5783">
        <f>IF($C5783="","",IF(COUNTIF($C$2:$C5783,$C5783)=1,1,0))</f>
        <v/>
      </c>
      <c r="AH5783">
        <f>IF($AG5783=1,SUMPRODUCT(--($AK$2:$AK$6001&lt;$AK5783))+1,"")</f>
        <v/>
      </c>
      <c r="AI5783">
        <f>IF($C5783="","",IF(OR($N5783=TRUE(),$N5783="TRUE"),1,0))</f>
        <v/>
      </c>
      <c r="AJ5783">
        <f>IF($C5783="","",IF($T5783="Yes",1,0))</f>
        <v/>
      </c>
      <c r="AK5783">
        <f>IF($AG5783=1,IFERROR(IF(VALUE($C5783)&lt;100000000,VALUE($C5783),1000000000),IFERROR(IF(VALUE(MID($C5783,2,20))&lt;100000000,VALUE(MID($C5783,2,20)),1000000000),1000000000))+ROW()/100000,"")</f>
        <v/>
      </c>
    </row>
    <row r="5784">
      <c r="D5784" s="11" t="n"/>
      <c r="K5784" s="7">
        <f>IF($C5784="","",J5784*W5784/100)</f>
        <v/>
      </c>
      <c r="Q5784" s="7" t="n"/>
      <c r="R5784" s="7" t="n"/>
      <c r="U5784">
        <f>IF($C5784="","",IF($AJ5784=1,0,IF($AI5784=1,Settings!$C$6,Settings!$C$7))*100)</f>
        <v/>
      </c>
      <c r="V5784" s="7">
        <f>IF($C5784="","",R5784*U5784/100)</f>
        <v/>
      </c>
      <c r="W5784" s="7">
        <f>IF($C5784="","",R5784-V5784)</f>
        <v/>
      </c>
      <c r="X5784" s="7">
        <f>IF($C5784="","",W5784-K5784)</f>
        <v/>
      </c>
      <c r="AB5784" s="7" t="n"/>
      <c r="AE5784" s="11" t="n"/>
      <c r="AG5784">
        <f>IF($C5784="","",IF(COUNTIF($C$2:$C5784,$C5784)=1,1,0))</f>
        <v/>
      </c>
      <c r="AH5784">
        <f>IF($AG5784=1,SUMPRODUCT(--($AK$2:$AK$6001&lt;$AK5784))+1,"")</f>
        <v/>
      </c>
      <c r="AI5784">
        <f>IF($C5784="","",IF(OR($N5784=TRUE(),$N5784="TRUE"),1,0))</f>
        <v/>
      </c>
      <c r="AJ5784">
        <f>IF($C5784="","",IF($T5784="Yes",1,0))</f>
        <v/>
      </c>
      <c r="AK5784">
        <f>IF($AG5784=1,IFERROR(IF(VALUE($C5784)&lt;100000000,VALUE($C5784),1000000000),IFERROR(IF(VALUE(MID($C5784,2,20))&lt;100000000,VALUE(MID($C5784,2,20)),1000000000),1000000000))+ROW()/100000,"")</f>
        <v/>
      </c>
    </row>
    <row r="5785">
      <c r="D5785" s="11" t="n"/>
      <c r="K5785" s="7">
        <f>IF($C5785="","",J5785*W5785/100)</f>
        <v/>
      </c>
      <c r="Q5785" s="7" t="n"/>
      <c r="R5785" s="7" t="n"/>
      <c r="U5785">
        <f>IF($C5785="","",IF($AJ5785=1,0,IF($AI5785=1,Settings!$C$6,Settings!$C$7))*100)</f>
        <v/>
      </c>
      <c r="V5785" s="7">
        <f>IF($C5785="","",R5785*U5785/100)</f>
        <v/>
      </c>
      <c r="W5785" s="7">
        <f>IF($C5785="","",R5785-V5785)</f>
        <v/>
      </c>
      <c r="X5785" s="7">
        <f>IF($C5785="","",W5785-K5785)</f>
        <v/>
      </c>
      <c r="AB5785" s="7" t="n"/>
      <c r="AE5785" s="11" t="n"/>
      <c r="AG5785">
        <f>IF($C5785="","",IF(COUNTIF($C$2:$C5785,$C5785)=1,1,0))</f>
        <v/>
      </c>
      <c r="AH5785">
        <f>IF($AG5785=1,SUMPRODUCT(--($AK$2:$AK$6001&lt;$AK5785))+1,"")</f>
        <v/>
      </c>
      <c r="AI5785">
        <f>IF($C5785="","",IF(OR($N5785=TRUE(),$N5785="TRUE"),1,0))</f>
        <v/>
      </c>
      <c r="AJ5785">
        <f>IF($C5785="","",IF($T5785="Yes",1,0))</f>
        <v/>
      </c>
      <c r="AK5785">
        <f>IF($AG5785=1,IFERROR(IF(VALUE($C5785)&lt;100000000,VALUE($C5785),1000000000),IFERROR(IF(VALUE(MID($C5785,2,20))&lt;100000000,VALUE(MID($C5785,2,20)),1000000000),1000000000))+ROW()/100000,"")</f>
        <v/>
      </c>
    </row>
    <row r="5786">
      <c r="D5786" s="11" t="n"/>
      <c r="K5786" s="7">
        <f>IF($C5786="","",J5786*W5786/100)</f>
        <v/>
      </c>
      <c r="Q5786" s="7" t="n"/>
      <c r="R5786" s="7" t="n"/>
      <c r="U5786">
        <f>IF($C5786="","",IF($AJ5786=1,0,IF($AI5786=1,Settings!$C$6,Settings!$C$7))*100)</f>
        <v/>
      </c>
      <c r="V5786" s="7">
        <f>IF($C5786="","",R5786*U5786/100)</f>
        <v/>
      </c>
      <c r="W5786" s="7">
        <f>IF($C5786="","",R5786-V5786)</f>
        <v/>
      </c>
      <c r="X5786" s="7">
        <f>IF($C5786="","",W5786-K5786)</f>
        <v/>
      </c>
      <c r="AB5786" s="7" t="n"/>
      <c r="AE5786" s="11" t="n"/>
      <c r="AG5786">
        <f>IF($C5786="","",IF(COUNTIF($C$2:$C5786,$C5786)=1,1,0))</f>
        <v/>
      </c>
      <c r="AH5786">
        <f>IF($AG5786=1,SUMPRODUCT(--($AK$2:$AK$6001&lt;$AK5786))+1,"")</f>
        <v/>
      </c>
      <c r="AI5786">
        <f>IF($C5786="","",IF(OR($N5786=TRUE(),$N5786="TRUE"),1,0))</f>
        <v/>
      </c>
      <c r="AJ5786">
        <f>IF($C5786="","",IF($T5786="Yes",1,0))</f>
        <v/>
      </c>
      <c r="AK5786">
        <f>IF($AG5786=1,IFERROR(IF(VALUE($C5786)&lt;100000000,VALUE($C5786),1000000000),IFERROR(IF(VALUE(MID($C5786,2,20))&lt;100000000,VALUE(MID($C5786,2,20)),1000000000),1000000000))+ROW()/100000,"")</f>
        <v/>
      </c>
    </row>
    <row r="5787">
      <c r="D5787" s="11" t="n"/>
      <c r="K5787" s="7">
        <f>IF($C5787="","",J5787*W5787/100)</f>
        <v/>
      </c>
      <c r="Q5787" s="7" t="n"/>
      <c r="R5787" s="7" t="n"/>
      <c r="U5787">
        <f>IF($C5787="","",IF($AJ5787=1,0,IF($AI5787=1,Settings!$C$6,Settings!$C$7))*100)</f>
        <v/>
      </c>
      <c r="V5787" s="7">
        <f>IF($C5787="","",R5787*U5787/100)</f>
        <v/>
      </c>
      <c r="W5787" s="7">
        <f>IF($C5787="","",R5787-V5787)</f>
        <v/>
      </c>
      <c r="X5787" s="7">
        <f>IF($C5787="","",W5787-K5787)</f>
        <v/>
      </c>
      <c r="AB5787" s="7" t="n"/>
      <c r="AE5787" s="11" t="n"/>
      <c r="AG5787">
        <f>IF($C5787="","",IF(COUNTIF($C$2:$C5787,$C5787)=1,1,0))</f>
        <v/>
      </c>
      <c r="AH5787">
        <f>IF($AG5787=1,SUMPRODUCT(--($AK$2:$AK$6001&lt;$AK5787))+1,"")</f>
        <v/>
      </c>
      <c r="AI5787">
        <f>IF($C5787="","",IF(OR($N5787=TRUE(),$N5787="TRUE"),1,0))</f>
        <v/>
      </c>
      <c r="AJ5787">
        <f>IF($C5787="","",IF($T5787="Yes",1,0))</f>
        <v/>
      </c>
      <c r="AK5787">
        <f>IF($AG5787=1,IFERROR(IF(VALUE($C5787)&lt;100000000,VALUE($C5787),1000000000),IFERROR(IF(VALUE(MID($C5787,2,20))&lt;100000000,VALUE(MID($C5787,2,20)),1000000000),1000000000))+ROW()/100000,"")</f>
        <v/>
      </c>
    </row>
    <row r="5788">
      <c r="D5788" s="11" t="n"/>
      <c r="K5788" s="7">
        <f>IF($C5788="","",J5788*W5788/100)</f>
        <v/>
      </c>
      <c r="Q5788" s="7" t="n"/>
      <c r="R5788" s="7" t="n"/>
      <c r="U5788">
        <f>IF($C5788="","",IF($AJ5788=1,0,IF($AI5788=1,Settings!$C$6,Settings!$C$7))*100)</f>
        <v/>
      </c>
      <c r="V5788" s="7">
        <f>IF($C5788="","",R5788*U5788/100)</f>
        <v/>
      </c>
      <c r="W5788" s="7">
        <f>IF($C5788="","",R5788-V5788)</f>
        <v/>
      </c>
      <c r="X5788" s="7">
        <f>IF($C5788="","",W5788-K5788)</f>
        <v/>
      </c>
      <c r="AB5788" s="7" t="n"/>
      <c r="AE5788" s="11" t="n"/>
      <c r="AG5788">
        <f>IF($C5788="","",IF(COUNTIF($C$2:$C5788,$C5788)=1,1,0))</f>
        <v/>
      </c>
      <c r="AH5788">
        <f>IF($AG5788=1,SUMPRODUCT(--($AK$2:$AK$6001&lt;$AK5788))+1,"")</f>
        <v/>
      </c>
      <c r="AI5788">
        <f>IF($C5788="","",IF(OR($N5788=TRUE(),$N5788="TRUE"),1,0))</f>
        <v/>
      </c>
      <c r="AJ5788">
        <f>IF($C5788="","",IF($T5788="Yes",1,0))</f>
        <v/>
      </c>
      <c r="AK5788">
        <f>IF($AG5788=1,IFERROR(IF(VALUE($C5788)&lt;100000000,VALUE($C5788),1000000000),IFERROR(IF(VALUE(MID($C5788,2,20))&lt;100000000,VALUE(MID($C5788,2,20)),1000000000),1000000000))+ROW()/100000,"")</f>
        <v/>
      </c>
    </row>
    <row r="5789">
      <c r="D5789" s="11" t="n"/>
      <c r="K5789" s="7">
        <f>IF($C5789="","",J5789*W5789/100)</f>
        <v/>
      </c>
      <c r="Q5789" s="7" t="n"/>
      <c r="R5789" s="7" t="n"/>
      <c r="U5789">
        <f>IF($C5789="","",IF($AJ5789=1,0,IF($AI5789=1,Settings!$C$6,Settings!$C$7))*100)</f>
        <v/>
      </c>
      <c r="V5789" s="7">
        <f>IF($C5789="","",R5789*U5789/100)</f>
        <v/>
      </c>
      <c r="W5789" s="7">
        <f>IF($C5789="","",R5789-V5789)</f>
        <v/>
      </c>
      <c r="X5789" s="7">
        <f>IF($C5789="","",W5789-K5789)</f>
        <v/>
      </c>
      <c r="AB5789" s="7" t="n"/>
      <c r="AE5789" s="11" t="n"/>
      <c r="AG5789">
        <f>IF($C5789="","",IF(COUNTIF($C$2:$C5789,$C5789)=1,1,0))</f>
        <v/>
      </c>
      <c r="AH5789">
        <f>IF($AG5789=1,SUMPRODUCT(--($AK$2:$AK$6001&lt;$AK5789))+1,"")</f>
        <v/>
      </c>
      <c r="AI5789">
        <f>IF($C5789="","",IF(OR($N5789=TRUE(),$N5789="TRUE"),1,0))</f>
        <v/>
      </c>
      <c r="AJ5789">
        <f>IF($C5789="","",IF($T5789="Yes",1,0))</f>
        <v/>
      </c>
      <c r="AK5789">
        <f>IF($AG5789=1,IFERROR(IF(VALUE($C5789)&lt;100000000,VALUE($C5789),1000000000),IFERROR(IF(VALUE(MID($C5789,2,20))&lt;100000000,VALUE(MID($C5789,2,20)),1000000000),1000000000))+ROW()/100000,"")</f>
        <v/>
      </c>
    </row>
    <row r="5790">
      <c r="D5790" s="11" t="n"/>
      <c r="K5790" s="7">
        <f>IF($C5790="","",J5790*W5790/100)</f>
        <v/>
      </c>
      <c r="Q5790" s="7" t="n"/>
      <c r="R5790" s="7" t="n"/>
      <c r="U5790">
        <f>IF($C5790="","",IF($AJ5790=1,0,IF($AI5790=1,Settings!$C$6,Settings!$C$7))*100)</f>
        <v/>
      </c>
      <c r="V5790" s="7">
        <f>IF($C5790="","",R5790*U5790/100)</f>
        <v/>
      </c>
      <c r="W5790" s="7">
        <f>IF($C5790="","",R5790-V5790)</f>
        <v/>
      </c>
      <c r="X5790" s="7">
        <f>IF($C5790="","",W5790-K5790)</f>
        <v/>
      </c>
      <c r="AB5790" s="7" t="n"/>
      <c r="AE5790" s="11" t="n"/>
      <c r="AG5790">
        <f>IF($C5790="","",IF(COUNTIF($C$2:$C5790,$C5790)=1,1,0))</f>
        <v/>
      </c>
      <c r="AH5790">
        <f>IF($AG5790=1,SUMPRODUCT(--($AK$2:$AK$6001&lt;$AK5790))+1,"")</f>
        <v/>
      </c>
      <c r="AI5790">
        <f>IF($C5790="","",IF(OR($N5790=TRUE(),$N5790="TRUE"),1,0))</f>
        <v/>
      </c>
      <c r="AJ5790">
        <f>IF($C5790="","",IF($T5790="Yes",1,0))</f>
        <v/>
      </c>
      <c r="AK5790">
        <f>IF($AG5790=1,IFERROR(IF(VALUE($C5790)&lt;100000000,VALUE($C5790),1000000000),IFERROR(IF(VALUE(MID($C5790,2,20))&lt;100000000,VALUE(MID($C5790,2,20)),1000000000),1000000000))+ROW()/100000,"")</f>
        <v/>
      </c>
    </row>
    <row r="5791">
      <c r="D5791" s="11" t="n"/>
      <c r="K5791" s="7">
        <f>IF($C5791="","",J5791*W5791/100)</f>
        <v/>
      </c>
      <c r="Q5791" s="7" t="n"/>
      <c r="R5791" s="7" t="n"/>
      <c r="U5791">
        <f>IF($C5791="","",IF($AJ5791=1,0,IF($AI5791=1,Settings!$C$6,Settings!$C$7))*100)</f>
        <v/>
      </c>
      <c r="V5791" s="7">
        <f>IF($C5791="","",R5791*U5791/100)</f>
        <v/>
      </c>
      <c r="W5791" s="7">
        <f>IF($C5791="","",R5791-V5791)</f>
        <v/>
      </c>
      <c r="X5791" s="7">
        <f>IF($C5791="","",W5791-K5791)</f>
        <v/>
      </c>
      <c r="AB5791" s="7" t="n"/>
      <c r="AE5791" s="11" t="n"/>
      <c r="AG5791">
        <f>IF($C5791="","",IF(COUNTIF($C$2:$C5791,$C5791)=1,1,0))</f>
        <v/>
      </c>
      <c r="AH5791">
        <f>IF($AG5791=1,SUMPRODUCT(--($AK$2:$AK$6001&lt;$AK5791))+1,"")</f>
        <v/>
      </c>
      <c r="AI5791">
        <f>IF($C5791="","",IF(OR($N5791=TRUE(),$N5791="TRUE"),1,0))</f>
        <v/>
      </c>
      <c r="AJ5791">
        <f>IF($C5791="","",IF($T5791="Yes",1,0))</f>
        <v/>
      </c>
      <c r="AK5791">
        <f>IF($AG5791=1,IFERROR(IF(VALUE($C5791)&lt;100000000,VALUE($C5791),1000000000),IFERROR(IF(VALUE(MID($C5791,2,20))&lt;100000000,VALUE(MID($C5791,2,20)),1000000000),1000000000))+ROW()/100000,"")</f>
        <v/>
      </c>
    </row>
    <row r="5792">
      <c r="D5792" s="11" t="n"/>
      <c r="K5792" s="7">
        <f>IF($C5792="","",J5792*W5792/100)</f>
        <v/>
      </c>
      <c r="Q5792" s="7" t="n"/>
      <c r="R5792" s="7" t="n"/>
      <c r="U5792">
        <f>IF($C5792="","",IF($AJ5792=1,0,IF($AI5792=1,Settings!$C$6,Settings!$C$7))*100)</f>
        <v/>
      </c>
      <c r="V5792" s="7">
        <f>IF($C5792="","",R5792*U5792/100)</f>
        <v/>
      </c>
      <c r="W5792" s="7">
        <f>IF($C5792="","",R5792-V5792)</f>
        <v/>
      </c>
      <c r="X5792" s="7">
        <f>IF($C5792="","",W5792-K5792)</f>
        <v/>
      </c>
      <c r="AB5792" s="7" t="n"/>
      <c r="AE5792" s="11" t="n"/>
      <c r="AG5792">
        <f>IF($C5792="","",IF(COUNTIF($C$2:$C5792,$C5792)=1,1,0))</f>
        <v/>
      </c>
      <c r="AH5792">
        <f>IF($AG5792=1,SUMPRODUCT(--($AK$2:$AK$6001&lt;$AK5792))+1,"")</f>
        <v/>
      </c>
      <c r="AI5792">
        <f>IF($C5792="","",IF(OR($N5792=TRUE(),$N5792="TRUE"),1,0))</f>
        <v/>
      </c>
      <c r="AJ5792">
        <f>IF($C5792="","",IF($T5792="Yes",1,0))</f>
        <v/>
      </c>
      <c r="AK5792">
        <f>IF($AG5792=1,IFERROR(IF(VALUE($C5792)&lt;100000000,VALUE($C5792),1000000000),IFERROR(IF(VALUE(MID($C5792,2,20))&lt;100000000,VALUE(MID($C5792,2,20)),1000000000),1000000000))+ROW()/100000,"")</f>
        <v/>
      </c>
    </row>
    <row r="5793">
      <c r="D5793" s="11" t="n"/>
      <c r="K5793" s="7">
        <f>IF($C5793="","",J5793*W5793/100)</f>
        <v/>
      </c>
      <c r="Q5793" s="7" t="n"/>
      <c r="R5793" s="7" t="n"/>
      <c r="U5793">
        <f>IF($C5793="","",IF($AJ5793=1,0,IF($AI5793=1,Settings!$C$6,Settings!$C$7))*100)</f>
        <v/>
      </c>
      <c r="V5793" s="7">
        <f>IF($C5793="","",R5793*U5793/100)</f>
        <v/>
      </c>
      <c r="W5793" s="7">
        <f>IF($C5793="","",R5793-V5793)</f>
        <v/>
      </c>
      <c r="X5793" s="7">
        <f>IF($C5793="","",W5793-K5793)</f>
        <v/>
      </c>
      <c r="AB5793" s="7" t="n"/>
      <c r="AE5793" s="11" t="n"/>
      <c r="AG5793">
        <f>IF($C5793="","",IF(COUNTIF($C$2:$C5793,$C5793)=1,1,0))</f>
        <v/>
      </c>
      <c r="AH5793">
        <f>IF($AG5793=1,SUMPRODUCT(--($AK$2:$AK$6001&lt;$AK5793))+1,"")</f>
        <v/>
      </c>
      <c r="AI5793">
        <f>IF($C5793="","",IF(OR($N5793=TRUE(),$N5793="TRUE"),1,0))</f>
        <v/>
      </c>
      <c r="AJ5793">
        <f>IF($C5793="","",IF($T5793="Yes",1,0))</f>
        <v/>
      </c>
      <c r="AK5793">
        <f>IF($AG5793=1,IFERROR(IF(VALUE($C5793)&lt;100000000,VALUE($C5793),1000000000),IFERROR(IF(VALUE(MID($C5793,2,20))&lt;100000000,VALUE(MID($C5793,2,20)),1000000000),1000000000))+ROW()/100000,"")</f>
        <v/>
      </c>
    </row>
    <row r="5794">
      <c r="D5794" s="11" t="n"/>
      <c r="K5794" s="7">
        <f>IF($C5794="","",J5794*W5794/100)</f>
        <v/>
      </c>
      <c r="Q5794" s="7" t="n"/>
      <c r="R5794" s="7" t="n"/>
      <c r="U5794">
        <f>IF($C5794="","",IF($AJ5794=1,0,IF($AI5794=1,Settings!$C$6,Settings!$C$7))*100)</f>
        <v/>
      </c>
      <c r="V5794" s="7">
        <f>IF($C5794="","",R5794*U5794/100)</f>
        <v/>
      </c>
      <c r="W5794" s="7">
        <f>IF($C5794="","",R5794-V5794)</f>
        <v/>
      </c>
      <c r="X5794" s="7">
        <f>IF($C5794="","",W5794-K5794)</f>
        <v/>
      </c>
      <c r="AB5794" s="7" t="n"/>
      <c r="AE5794" s="11" t="n"/>
      <c r="AG5794">
        <f>IF($C5794="","",IF(COUNTIF($C$2:$C5794,$C5794)=1,1,0))</f>
        <v/>
      </c>
      <c r="AH5794">
        <f>IF($AG5794=1,SUMPRODUCT(--($AK$2:$AK$6001&lt;$AK5794))+1,"")</f>
        <v/>
      </c>
      <c r="AI5794">
        <f>IF($C5794="","",IF(OR($N5794=TRUE(),$N5794="TRUE"),1,0))</f>
        <v/>
      </c>
      <c r="AJ5794">
        <f>IF($C5794="","",IF($T5794="Yes",1,0))</f>
        <v/>
      </c>
      <c r="AK5794">
        <f>IF($AG5794=1,IFERROR(IF(VALUE($C5794)&lt;100000000,VALUE($C5794),1000000000),IFERROR(IF(VALUE(MID($C5794,2,20))&lt;100000000,VALUE(MID($C5794,2,20)),1000000000),1000000000))+ROW()/100000,"")</f>
        <v/>
      </c>
    </row>
    <row r="5795">
      <c r="D5795" s="11" t="n"/>
      <c r="K5795" s="7">
        <f>IF($C5795="","",J5795*W5795/100)</f>
        <v/>
      </c>
      <c r="Q5795" s="7" t="n"/>
      <c r="R5795" s="7" t="n"/>
      <c r="U5795">
        <f>IF($C5795="","",IF($AJ5795=1,0,IF($AI5795=1,Settings!$C$6,Settings!$C$7))*100)</f>
        <v/>
      </c>
      <c r="V5795" s="7">
        <f>IF($C5795="","",R5795*U5795/100)</f>
        <v/>
      </c>
      <c r="W5795" s="7">
        <f>IF($C5795="","",R5795-V5795)</f>
        <v/>
      </c>
      <c r="X5795" s="7">
        <f>IF($C5795="","",W5795-K5795)</f>
        <v/>
      </c>
      <c r="AB5795" s="7" t="n"/>
      <c r="AE5795" s="11" t="n"/>
      <c r="AG5795">
        <f>IF($C5795="","",IF(COUNTIF($C$2:$C5795,$C5795)=1,1,0))</f>
        <v/>
      </c>
      <c r="AH5795">
        <f>IF($AG5795=1,SUMPRODUCT(--($AK$2:$AK$6001&lt;$AK5795))+1,"")</f>
        <v/>
      </c>
      <c r="AI5795">
        <f>IF($C5795="","",IF(OR($N5795=TRUE(),$N5795="TRUE"),1,0))</f>
        <v/>
      </c>
      <c r="AJ5795">
        <f>IF($C5795="","",IF($T5795="Yes",1,0))</f>
        <v/>
      </c>
      <c r="AK5795">
        <f>IF($AG5795=1,IFERROR(IF(VALUE($C5795)&lt;100000000,VALUE($C5795),1000000000),IFERROR(IF(VALUE(MID($C5795,2,20))&lt;100000000,VALUE(MID($C5795,2,20)),1000000000),1000000000))+ROW()/100000,"")</f>
        <v/>
      </c>
    </row>
    <row r="5796">
      <c r="D5796" s="11" t="n"/>
      <c r="K5796" s="7">
        <f>IF($C5796="","",J5796*W5796/100)</f>
        <v/>
      </c>
      <c r="Q5796" s="7" t="n"/>
      <c r="R5796" s="7" t="n"/>
      <c r="U5796">
        <f>IF($C5796="","",IF($AJ5796=1,0,IF($AI5796=1,Settings!$C$6,Settings!$C$7))*100)</f>
        <v/>
      </c>
      <c r="V5796" s="7">
        <f>IF($C5796="","",R5796*U5796/100)</f>
        <v/>
      </c>
      <c r="W5796" s="7">
        <f>IF($C5796="","",R5796-V5796)</f>
        <v/>
      </c>
      <c r="X5796" s="7">
        <f>IF($C5796="","",W5796-K5796)</f>
        <v/>
      </c>
      <c r="AB5796" s="7" t="n"/>
      <c r="AE5796" s="11" t="n"/>
      <c r="AG5796">
        <f>IF($C5796="","",IF(COUNTIF($C$2:$C5796,$C5796)=1,1,0))</f>
        <v/>
      </c>
      <c r="AH5796">
        <f>IF($AG5796=1,SUMPRODUCT(--($AK$2:$AK$6001&lt;$AK5796))+1,"")</f>
        <v/>
      </c>
      <c r="AI5796">
        <f>IF($C5796="","",IF(OR($N5796=TRUE(),$N5796="TRUE"),1,0))</f>
        <v/>
      </c>
      <c r="AJ5796">
        <f>IF($C5796="","",IF($T5796="Yes",1,0))</f>
        <v/>
      </c>
      <c r="AK5796">
        <f>IF($AG5796=1,IFERROR(IF(VALUE($C5796)&lt;100000000,VALUE($C5796),1000000000),IFERROR(IF(VALUE(MID($C5796,2,20))&lt;100000000,VALUE(MID($C5796,2,20)),1000000000),1000000000))+ROW()/100000,"")</f>
        <v/>
      </c>
    </row>
    <row r="5797">
      <c r="D5797" s="11" t="n"/>
      <c r="K5797" s="7">
        <f>IF($C5797="","",J5797*W5797/100)</f>
        <v/>
      </c>
      <c r="Q5797" s="7" t="n"/>
      <c r="R5797" s="7" t="n"/>
      <c r="U5797">
        <f>IF($C5797="","",IF($AJ5797=1,0,IF($AI5797=1,Settings!$C$6,Settings!$C$7))*100)</f>
        <v/>
      </c>
      <c r="V5797" s="7">
        <f>IF($C5797="","",R5797*U5797/100)</f>
        <v/>
      </c>
      <c r="W5797" s="7">
        <f>IF($C5797="","",R5797-V5797)</f>
        <v/>
      </c>
      <c r="X5797" s="7">
        <f>IF($C5797="","",W5797-K5797)</f>
        <v/>
      </c>
      <c r="AB5797" s="7" t="n"/>
      <c r="AE5797" s="11" t="n"/>
      <c r="AG5797">
        <f>IF($C5797="","",IF(COUNTIF($C$2:$C5797,$C5797)=1,1,0))</f>
        <v/>
      </c>
      <c r="AH5797">
        <f>IF($AG5797=1,SUMPRODUCT(--($AK$2:$AK$6001&lt;$AK5797))+1,"")</f>
        <v/>
      </c>
      <c r="AI5797">
        <f>IF($C5797="","",IF(OR($N5797=TRUE(),$N5797="TRUE"),1,0))</f>
        <v/>
      </c>
      <c r="AJ5797">
        <f>IF($C5797="","",IF($T5797="Yes",1,0))</f>
        <v/>
      </c>
      <c r="AK5797">
        <f>IF($AG5797=1,IFERROR(IF(VALUE($C5797)&lt;100000000,VALUE($C5797),1000000000),IFERROR(IF(VALUE(MID($C5797,2,20))&lt;100000000,VALUE(MID($C5797,2,20)),1000000000),1000000000))+ROW()/100000,"")</f>
        <v/>
      </c>
    </row>
    <row r="5798">
      <c r="D5798" s="11" t="n"/>
      <c r="K5798" s="7">
        <f>IF($C5798="","",J5798*W5798/100)</f>
        <v/>
      </c>
      <c r="Q5798" s="7" t="n"/>
      <c r="R5798" s="7" t="n"/>
      <c r="U5798">
        <f>IF($C5798="","",IF($AJ5798=1,0,IF($AI5798=1,Settings!$C$6,Settings!$C$7))*100)</f>
        <v/>
      </c>
      <c r="V5798" s="7">
        <f>IF($C5798="","",R5798*U5798/100)</f>
        <v/>
      </c>
      <c r="W5798" s="7">
        <f>IF($C5798="","",R5798-V5798)</f>
        <v/>
      </c>
      <c r="X5798" s="7">
        <f>IF($C5798="","",W5798-K5798)</f>
        <v/>
      </c>
      <c r="AB5798" s="7" t="n"/>
      <c r="AE5798" s="11" t="n"/>
      <c r="AG5798">
        <f>IF($C5798="","",IF(COUNTIF($C$2:$C5798,$C5798)=1,1,0))</f>
        <v/>
      </c>
      <c r="AH5798">
        <f>IF($AG5798=1,SUMPRODUCT(--($AK$2:$AK$6001&lt;$AK5798))+1,"")</f>
        <v/>
      </c>
      <c r="AI5798">
        <f>IF($C5798="","",IF(OR($N5798=TRUE(),$N5798="TRUE"),1,0))</f>
        <v/>
      </c>
      <c r="AJ5798">
        <f>IF($C5798="","",IF($T5798="Yes",1,0))</f>
        <v/>
      </c>
      <c r="AK5798">
        <f>IF($AG5798=1,IFERROR(IF(VALUE($C5798)&lt;100000000,VALUE($C5798),1000000000),IFERROR(IF(VALUE(MID($C5798,2,20))&lt;100000000,VALUE(MID($C5798,2,20)),1000000000),1000000000))+ROW()/100000,"")</f>
        <v/>
      </c>
    </row>
    <row r="5799">
      <c r="D5799" s="11" t="n"/>
      <c r="K5799" s="7">
        <f>IF($C5799="","",J5799*W5799/100)</f>
        <v/>
      </c>
      <c r="Q5799" s="7" t="n"/>
      <c r="R5799" s="7" t="n"/>
      <c r="U5799">
        <f>IF($C5799="","",IF($AJ5799=1,0,IF($AI5799=1,Settings!$C$6,Settings!$C$7))*100)</f>
        <v/>
      </c>
      <c r="V5799" s="7">
        <f>IF($C5799="","",R5799*U5799/100)</f>
        <v/>
      </c>
      <c r="W5799" s="7">
        <f>IF($C5799="","",R5799-V5799)</f>
        <v/>
      </c>
      <c r="X5799" s="7">
        <f>IF($C5799="","",W5799-K5799)</f>
        <v/>
      </c>
      <c r="AB5799" s="7" t="n"/>
      <c r="AE5799" s="11" t="n"/>
      <c r="AG5799">
        <f>IF($C5799="","",IF(COUNTIF($C$2:$C5799,$C5799)=1,1,0))</f>
        <v/>
      </c>
      <c r="AH5799">
        <f>IF($AG5799=1,SUMPRODUCT(--($AK$2:$AK$6001&lt;$AK5799))+1,"")</f>
        <v/>
      </c>
      <c r="AI5799">
        <f>IF($C5799="","",IF(OR($N5799=TRUE(),$N5799="TRUE"),1,0))</f>
        <v/>
      </c>
      <c r="AJ5799">
        <f>IF($C5799="","",IF($T5799="Yes",1,0))</f>
        <v/>
      </c>
      <c r="AK5799">
        <f>IF($AG5799=1,IFERROR(IF(VALUE($C5799)&lt;100000000,VALUE($C5799),1000000000),IFERROR(IF(VALUE(MID($C5799,2,20))&lt;100000000,VALUE(MID($C5799,2,20)),1000000000),1000000000))+ROW()/100000,"")</f>
        <v/>
      </c>
    </row>
    <row r="5800">
      <c r="D5800" s="11" t="n"/>
      <c r="K5800" s="7">
        <f>IF($C5800="","",J5800*W5800/100)</f>
        <v/>
      </c>
      <c r="Q5800" s="7" t="n"/>
      <c r="R5800" s="7" t="n"/>
      <c r="U5800">
        <f>IF($C5800="","",IF($AJ5800=1,0,IF($AI5800=1,Settings!$C$6,Settings!$C$7))*100)</f>
        <v/>
      </c>
      <c r="V5800" s="7">
        <f>IF($C5800="","",R5800*U5800/100)</f>
        <v/>
      </c>
      <c r="W5800" s="7">
        <f>IF($C5800="","",R5800-V5800)</f>
        <v/>
      </c>
      <c r="X5800" s="7">
        <f>IF($C5800="","",W5800-K5800)</f>
        <v/>
      </c>
      <c r="AB5800" s="7" t="n"/>
      <c r="AE5800" s="11" t="n"/>
      <c r="AG5800">
        <f>IF($C5800="","",IF(COUNTIF($C$2:$C5800,$C5800)=1,1,0))</f>
        <v/>
      </c>
      <c r="AH5800">
        <f>IF($AG5800=1,SUMPRODUCT(--($AK$2:$AK$6001&lt;$AK5800))+1,"")</f>
        <v/>
      </c>
      <c r="AI5800">
        <f>IF($C5800="","",IF(OR($N5800=TRUE(),$N5800="TRUE"),1,0))</f>
        <v/>
      </c>
      <c r="AJ5800">
        <f>IF($C5800="","",IF($T5800="Yes",1,0))</f>
        <v/>
      </c>
      <c r="AK5800">
        <f>IF($AG5800=1,IFERROR(IF(VALUE($C5800)&lt;100000000,VALUE($C5800),1000000000),IFERROR(IF(VALUE(MID($C5800,2,20))&lt;100000000,VALUE(MID($C5800,2,20)),1000000000),1000000000))+ROW()/100000,"")</f>
        <v/>
      </c>
    </row>
    <row r="5801">
      <c r="D5801" s="11" t="n"/>
      <c r="K5801" s="7">
        <f>IF($C5801="","",J5801*W5801/100)</f>
        <v/>
      </c>
      <c r="Q5801" s="7" t="n"/>
      <c r="R5801" s="7" t="n"/>
      <c r="U5801">
        <f>IF($C5801="","",IF($AJ5801=1,0,IF($AI5801=1,Settings!$C$6,Settings!$C$7))*100)</f>
        <v/>
      </c>
      <c r="V5801" s="7">
        <f>IF($C5801="","",R5801*U5801/100)</f>
        <v/>
      </c>
      <c r="W5801" s="7">
        <f>IF($C5801="","",R5801-V5801)</f>
        <v/>
      </c>
      <c r="X5801" s="7">
        <f>IF($C5801="","",W5801-K5801)</f>
        <v/>
      </c>
      <c r="AB5801" s="7" t="n"/>
      <c r="AE5801" s="11" t="n"/>
      <c r="AG5801">
        <f>IF($C5801="","",IF(COUNTIF($C$2:$C5801,$C5801)=1,1,0))</f>
        <v/>
      </c>
      <c r="AH5801">
        <f>IF($AG5801=1,SUMPRODUCT(--($AK$2:$AK$6001&lt;$AK5801))+1,"")</f>
        <v/>
      </c>
      <c r="AI5801">
        <f>IF($C5801="","",IF(OR($N5801=TRUE(),$N5801="TRUE"),1,0))</f>
        <v/>
      </c>
      <c r="AJ5801">
        <f>IF($C5801="","",IF($T5801="Yes",1,0))</f>
        <v/>
      </c>
      <c r="AK5801">
        <f>IF($AG5801=1,IFERROR(IF(VALUE($C5801)&lt;100000000,VALUE($C5801),1000000000),IFERROR(IF(VALUE(MID($C5801,2,20))&lt;100000000,VALUE(MID($C5801,2,20)),1000000000),1000000000))+ROW()/100000,"")</f>
        <v/>
      </c>
    </row>
    <row r="5802">
      <c r="D5802" s="11" t="n"/>
      <c r="K5802" s="7">
        <f>IF($C5802="","",J5802*W5802/100)</f>
        <v/>
      </c>
      <c r="Q5802" s="7" t="n"/>
      <c r="R5802" s="7" t="n"/>
      <c r="U5802">
        <f>IF($C5802="","",IF($AJ5802=1,0,IF($AI5802=1,Settings!$C$6,Settings!$C$7))*100)</f>
        <v/>
      </c>
      <c r="V5802" s="7">
        <f>IF($C5802="","",R5802*U5802/100)</f>
        <v/>
      </c>
      <c r="W5802" s="7">
        <f>IF($C5802="","",R5802-V5802)</f>
        <v/>
      </c>
      <c r="X5802" s="7">
        <f>IF($C5802="","",W5802-K5802)</f>
        <v/>
      </c>
      <c r="AB5802" s="7" t="n"/>
      <c r="AE5802" s="11" t="n"/>
      <c r="AG5802">
        <f>IF($C5802="","",IF(COUNTIF($C$2:$C5802,$C5802)=1,1,0))</f>
        <v/>
      </c>
      <c r="AH5802">
        <f>IF($AG5802=1,SUMPRODUCT(--($AK$2:$AK$6001&lt;$AK5802))+1,"")</f>
        <v/>
      </c>
      <c r="AI5802">
        <f>IF($C5802="","",IF(OR($N5802=TRUE(),$N5802="TRUE"),1,0))</f>
        <v/>
      </c>
      <c r="AJ5802">
        <f>IF($C5802="","",IF($T5802="Yes",1,0))</f>
        <v/>
      </c>
      <c r="AK5802">
        <f>IF($AG5802=1,IFERROR(IF(VALUE($C5802)&lt;100000000,VALUE($C5802),1000000000),IFERROR(IF(VALUE(MID($C5802,2,20))&lt;100000000,VALUE(MID($C5802,2,20)),1000000000),1000000000))+ROW()/100000,"")</f>
        <v/>
      </c>
    </row>
    <row r="5803">
      <c r="D5803" s="11" t="n"/>
      <c r="K5803" s="7">
        <f>IF($C5803="","",J5803*W5803/100)</f>
        <v/>
      </c>
      <c r="Q5803" s="7" t="n"/>
      <c r="R5803" s="7" t="n"/>
      <c r="U5803">
        <f>IF($C5803="","",IF($AJ5803=1,0,IF($AI5803=1,Settings!$C$6,Settings!$C$7))*100)</f>
        <v/>
      </c>
      <c r="V5803" s="7">
        <f>IF($C5803="","",R5803*U5803/100)</f>
        <v/>
      </c>
      <c r="W5803" s="7">
        <f>IF($C5803="","",R5803-V5803)</f>
        <v/>
      </c>
      <c r="X5803" s="7">
        <f>IF($C5803="","",W5803-K5803)</f>
        <v/>
      </c>
      <c r="AB5803" s="7" t="n"/>
      <c r="AE5803" s="11" t="n"/>
      <c r="AG5803">
        <f>IF($C5803="","",IF(COUNTIF($C$2:$C5803,$C5803)=1,1,0))</f>
        <v/>
      </c>
      <c r="AH5803">
        <f>IF($AG5803=1,SUMPRODUCT(--($AK$2:$AK$6001&lt;$AK5803))+1,"")</f>
        <v/>
      </c>
      <c r="AI5803">
        <f>IF($C5803="","",IF(OR($N5803=TRUE(),$N5803="TRUE"),1,0))</f>
        <v/>
      </c>
      <c r="AJ5803">
        <f>IF($C5803="","",IF($T5803="Yes",1,0))</f>
        <v/>
      </c>
      <c r="AK5803">
        <f>IF($AG5803=1,IFERROR(IF(VALUE($C5803)&lt;100000000,VALUE($C5803),1000000000),IFERROR(IF(VALUE(MID($C5803,2,20))&lt;100000000,VALUE(MID($C5803,2,20)),1000000000),1000000000))+ROW()/100000,"")</f>
        <v/>
      </c>
    </row>
    <row r="5804">
      <c r="D5804" s="11" t="n"/>
      <c r="K5804" s="7">
        <f>IF($C5804="","",J5804*W5804/100)</f>
        <v/>
      </c>
      <c r="Q5804" s="7" t="n"/>
      <c r="R5804" s="7" t="n"/>
      <c r="U5804">
        <f>IF($C5804="","",IF($AJ5804=1,0,IF($AI5804=1,Settings!$C$6,Settings!$C$7))*100)</f>
        <v/>
      </c>
      <c r="V5804" s="7">
        <f>IF($C5804="","",R5804*U5804/100)</f>
        <v/>
      </c>
      <c r="W5804" s="7">
        <f>IF($C5804="","",R5804-V5804)</f>
        <v/>
      </c>
      <c r="X5804" s="7">
        <f>IF($C5804="","",W5804-K5804)</f>
        <v/>
      </c>
      <c r="AB5804" s="7" t="n"/>
      <c r="AE5804" s="11" t="n"/>
      <c r="AG5804">
        <f>IF($C5804="","",IF(COUNTIF($C$2:$C5804,$C5804)=1,1,0))</f>
        <v/>
      </c>
      <c r="AH5804">
        <f>IF($AG5804=1,SUMPRODUCT(--($AK$2:$AK$6001&lt;$AK5804))+1,"")</f>
        <v/>
      </c>
      <c r="AI5804">
        <f>IF($C5804="","",IF(OR($N5804=TRUE(),$N5804="TRUE"),1,0))</f>
        <v/>
      </c>
      <c r="AJ5804">
        <f>IF($C5804="","",IF($T5804="Yes",1,0))</f>
        <v/>
      </c>
      <c r="AK5804">
        <f>IF($AG5804=1,IFERROR(IF(VALUE($C5804)&lt;100000000,VALUE($C5804),1000000000),IFERROR(IF(VALUE(MID($C5804,2,20))&lt;100000000,VALUE(MID($C5804,2,20)),1000000000),1000000000))+ROW()/100000,"")</f>
        <v/>
      </c>
    </row>
    <row r="5805">
      <c r="D5805" s="11" t="n"/>
      <c r="K5805" s="7">
        <f>IF($C5805="","",J5805*W5805/100)</f>
        <v/>
      </c>
      <c r="Q5805" s="7" t="n"/>
      <c r="R5805" s="7" t="n"/>
      <c r="U5805">
        <f>IF($C5805="","",IF($AJ5805=1,0,IF($AI5805=1,Settings!$C$6,Settings!$C$7))*100)</f>
        <v/>
      </c>
      <c r="V5805" s="7">
        <f>IF($C5805="","",R5805*U5805/100)</f>
        <v/>
      </c>
      <c r="W5805" s="7">
        <f>IF($C5805="","",R5805-V5805)</f>
        <v/>
      </c>
      <c r="X5805" s="7">
        <f>IF($C5805="","",W5805-K5805)</f>
        <v/>
      </c>
      <c r="AB5805" s="7" t="n"/>
      <c r="AE5805" s="11" t="n"/>
      <c r="AG5805">
        <f>IF($C5805="","",IF(COUNTIF($C$2:$C5805,$C5805)=1,1,0))</f>
        <v/>
      </c>
      <c r="AH5805">
        <f>IF($AG5805=1,SUMPRODUCT(--($AK$2:$AK$6001&lt;$AK5805))+1,"")</f>
        <v/>
      </c>
      <c r="AI5805">
        <f>IF($C5805="","",IF(OR($N5805=TRUE(),$N5805="TRUE"),1,0))</f>
        <v/>
      </c>
      <c r="AJ5805">
        <f>IF($C5805="","",IF($T5805="Yes",1,0))</f>
        <v/>
      </c>
      <c r="AK5805">
        <f>IF($AG5805=1,IFERROR(IF(VALUE($C5805)&lt;100000000,VALUE($C5805),1000000000),IFERROR(IF(VALUE(MID($C5805,2,20))&lt;100000000,VALUE(MID($C5805,2,20)),1000000000),1000000000))+ROW()/100000,"")</f>
        <v/>
      </c>
    </row>
    <row r="5806">
      <c r="D5806" s="11" t="n"/>
      <c r="K5806" s="7">
        <f>IF($C5806="","",J5806*W5806/100)</f>
        <v/>
      </c>
      <c r="Q5806" s="7" t="n"/>
      <c r="R5806" s="7" t="n"/>
      <c r="U5806">
        <f>IF($C5806="","",IF($AJ5806=1,0,IF($AI5806=1,Settings!$C$6,Settings!$C$7))*100)</f>
        <v/>
      </c>
      <c r="V5806" s="7">
        <f>IF($C5806="","",R5806*U5806/100)</f>
        <v/>
      </c>
      <c r="W5806" s="7">
        <f>IF($C5806="","",R5806-V5806)</f>
        <v/>
      </c>
      <c r="X5806" s="7">
        <f>IF($C5806="","",W5806-K5806)</f>
        <v/>
      </c>
      <c r="AB5806" s="7" t="n"/>
      <c r="AE5806" s="11" t="n"/>
      <c r="AG5806">
        <f>IF($C5806="","",IF(COUNTIF($C$2:$C5806,$C5806)=1,1,0))</f>
        <v/>
      </c>
      <c r="AH5806">
        <f>IF($AG5806=1,SUMPRODUCT(--($AK$2:$AK$6001&lt;$AK5806))+1,"")</f>
        <v/>
      </c>
      <c r="AI5806">
        <f>IF($C5806="","",IF(OR($N5806=TRUE(),$N5806="TRUE"),1,0))</f>
        <v/>
      </c>
      <c r="AJ5806">
        <f>IF($C5806="","",IF($T5806="Yes",1,0))</f>
        <v/>
      </c>
      <c r="AK5806">
        <f>IF($AG5806=1,IFERROR(IF(VALUE($C5806)&lt;100000000,VALUE($C5806),1000000000),IFERROR(IF(VALUE(MID($C5806,2,20))&lt;100000000,VALUE(MID($C5806,2,20)),1000000000),1000000000))+ROW()/100000,"")</f>
        <v/>
      </c>
    </row>
    <row r="5807">
      <c r="D5807" s="11" t="n"/>
      <c r="K5807" s="7">
        <f>IF($C5807="","",J5807*W5807/100)</f>
        <v/>
      </c>
      <c r="Q5807" s="7" t="n"/>
      <c r="R5807" s="7" t="n"/>
      <c r="U5807">
        <f>IF($C5807="","",IF($AJ5807=1,0,IF($AI5807=1,Settings!$C$6,Settings!$C$7))*100)</f>
        <v/>
      </c>
      <c r="V5807" s="7">
        <f>IF($C5807="","",R5807*U5807/100)</f>
        <v/>
      </c>
      <c r="W5807" s="7">
        <f>IF($C5807="","",R5807-V5807)</f>
        <v/>
      </c>
      <c r="X5807" s="7">
        <f>IF($C5807="","",W5807-K5807)</f>
        <v/>
      </c>
      <c r="AB5807" s="7" t="n"/>
      <c r="AE5807" s="11" t="n"/>
      <c r="AG5807">
        <f>IF($C5807="","",IF(COUNTIF($C$2:$C5807,$C5807)=1,1,0))</f>
        <v/>
      </c>
      <c r="AH5807">
        <f>IF($AG5807=1,SUMPRODUCT(--($AK$2:$AK$6001&lt;$AK5807))+1,"")</f>
        <v/>
      </c>
      <c r="AI5807">
        <f>IF($C5807="","",IF(OR($N5807=TRUE(),$N5807="TRUE"),1,0))</f>
        <v/>
      </c>
      <c r="AJ5807">
        <f>IF($C5807="","",IF($T5807="Yes",1,0))</f>
        <v/>
      </c>
      <c r="AK5807">
        <f>IF($AG5807=1,IFERROR(IF(VALUE($C5807)&lt;100000000,VALUE($C5807),1000000000),IFERROR(IF(VALUE(MID($C5807,2,20))&lt;100000000,VALUE(MID($C5807,2,20)),1000000000),1000000000))+ROW()/100000,"")</f>
        <v/>
      </c>
    </row>
    <row r="5808">
      <c r="D5808" s="11" t="n"/>
      <c r="K5808" s="7">
        <f>IF($C5808="","",J5808*W5808/100)</f>
        <v/>
      </c>
      <c r="Q5808" s="7" t="n"/>
      <c r="R5808" s="7" t="n"/>
      <c r="U5808">
        <f>IF($C5808="","",IF($AJ5808=1,0,IF($AI5808=1,Settings!$C$6,Settings!$C$7))*100)</f>
        <v/>
      </c>
      <c r="V5808" s="7">
        <f>IF($C5808="","",R5808*U5808/100)</f>
        <v/>
      </c>
      <c r="W5808" s="7">
        <f>IF($C5808="","",R5808-V5808)</f>
        <v/>
      </c>
      <c r="X5808" s="7">
        <f>IF($C5808="","",W5808-K5808)</f>
        <v/>
      </c>
      <c r="AB5808" s="7" t="n"/>
      <c r="AE5808" s="11" t="n"/>
      <c r="AG5808">
        <f>IF($C5808="","",IF(COUNTIF($C$2:$C5808,$C5808)=1,1,0))</f>
        <v/>
      </c>
      <c r="AH5808">
        <f>IF($AG5808=1,SUMPRODUCT(--($AK$2:$AK$6001&lt;$AK5808))+1,"")</f>
        <v/>
      </c>
      <c r="AI5808">
        <f>IF($C5808="","",IF(OR($N5808=TRUE(),$N5808="TRUE"),1,0))</f>
        <v/>
      </c>
      <c r="AJ5808">
        <f>IF($C5808="","",IF($T5808="Yes",1,0))</f>
        <v/>
      </c>
      <c r="AK5808">
        <f>IF($AG5808=1,IFERROR(IF(VALUE($C5808)&lt;100000000,VALUE($C5808),1000000000),IFERROR(IF(VALUE(MID($C5808,2,20))&lt;100000000,VALUE(MID($C5808,2,20)),1000000000),1000000000))+ROW()/100000,"")</f>
        <v/>
      </c>
    </row>
    <row r="5809">
      <c r="D5809" s="11" t="n"/>
      <c r="K5809" s="7">
        <f>IF($C5809="","",J5809*W5809/100)</f>
        <v/>
      </c>
      <c r="Q5809" s="7" t="n"/>
      <c r="R5809" s="7" t="n"/>
      <c r="U5809">
        <f>IF($C5809="","",IF($AJ5809=1,0,IF($AI5809=1,Settings!$C$6,Settings!$C$7))*100)</f>
        <v/>
      </c>
      <c r="V5809" s="7">
        <f>IF($C5809="","",R5809*U5809/100)</f>
        <v/>
      </c>
      <c r="W5809" s="7">
        <f>IF($C5809="","",R5809-V5809)</f>
        <v/>
      </c>
      <c r="X5809" s="7">
        <f>IF($C5809="","",W5809-K5809)</f>
        <v/>
      </c>
      <c r="AB5809" s="7" t="n"/>
      <c r="AE5809" s="11" t="n"/>
      <c r="AG5809">
        <f>IF($C5809="","",IF(COUNTIF($C$2:$C5809,$C5809)=1,1,0))</f>
        <v/>
      </c>
      <c r="AH5809">
        <f>IF($AG5809=1,SUMPRODUCT(--($AK$2:$AK$6001&lt;$AK5809))+1,"")</f>
        <v/>
      </c>
      <c r="AI5809">
        <f>IF($C5809="","",IF(OR($N5809=TRUE(),$N5809="TRUE"),1,0))</f>
        <v/>
      </c>
      <c r="AJ5809">
        <f>IF($C5809="","",IF($T5809="Yes",1,0))</f>
        <v/>
      </c>
      <c r="AK5809">
        <f>IF($AG5809=1,IFERROR(IF(VALUE($C5809)&lt;100000000,VALUE($C5809),1000000000),IFERROR(IF(VALUE(MID($C5809,2,20))&lt;100000000,VALUE(MID($C5809,2,20)),1000000000),1000000000))+ROW()/100000,"")</f>
        <v/>
      </c>
    </row>
    <row r="5810">
      <c r="D5810" s="11" t="n"/>
      <c r="K5810" s="7">
        <f>IF($C5810="","",J5810*W5810/100)</f>
        <v/>
      </c>
      <c r="Q5810" s="7" t="n"/>
      <c r="R5810" s="7" t="n"/>
      <c r="U5810">
        <f>IF($C5810="","",IF($AJ5810=1,0,IF($AI5810=1,Settings!$C$6,Settings!$C$7))*100)</f>
        <v/>
      </c>
      <c r="V5810" s="7">
        <f>IF($C5810="","",R5810*U5810/100)</f>
        <v/>
      </c>
      <c r="W5810" s="7">
        <f>IF($C5810="","",R5810-V5810)</f>
        <v/>
      </c>
      <c r="X5810" s="7">
        <f>IF($C5810="","",W5810-K5810)</f>
        <v/>
      </c>
      <c r="AB5810" s="7" t="n"/>
      <c r="AE5810" s="11" t="n"/>
      <c r="AG5810">
        <f>IF($C5810="","",IF(COUNTIF($C$2:$C5810,$C5810)=1,1,0))</f>
        <v/>
      </c>
      <c r="AH5810">
        <f>IF($AG5810=1,SUMPRODUCT(--($AK$2:$AK$6001&lt;$AK5810))+1,"")</f>
        <v/>
      </c>
      <c r="AI5810">
        <f>IF($C5810="","",IF(OR($N5810=TRUE(),$N5810="TRUE"),1,0))</f>
        <v/>
      </c>
      <c r="AJ5810">
        <f>IF($C5810="","",IF($T5810="Yes",1,0))</f>
        <v/>
      </c>
      <c r="AK5810">
        <f>IF($AG5810=1,IFERROR(IF(VALUE($C5810)&lt;100000000,VALUE($C5810),1000000000),IFERROR(IF(VALUE(MID($C5810,2,20))&lt;100000000,VALUE(MID($C5810,2,20)),1000000000),1000000000))+ROW()/100000,"")</f>
        <v/>
      </c>
    </row>
    <row r="5811">
      <c r="D5811" s="11" t="n"/>
      <c r="K5811" s="7">
        <f>IF($C5811="","",J5811*W5811/100)</f>
        <v/>
      </c>
      <c r="Q5811" s="7" t="n"/>
      <c r="R5811" s="7" t="n"/>
      <c r="U5811">
        <f>IF($C5811="","",IF($AJ5811=1,0,IF($AI5811=1,Settings!$C$6,Settings!$C$7))*100)</f>
        <v/>
      </c>
      <c r="V5811" s="7">
        <f>IF($C5811="","",R5811*U5811/100)</f>
        <v/>
      </c>
      <c r="W5811" s="7">
        <f>IF($C5811="","",R5811-V5811)</f>
        <v/>
      </c>
      <c r="X5811" s="7">
        <f>IF($C5811="","",W5811-K5811)</f>
        <v/>
      </c>
      <c r="AB5811" s="7" t="n"/>
      <c r="AE5811" s="11" t="n"/>
      <c r="AG5811">
        <f>IF($C5811="","",IF(COUNTIF($C$2:$C5811,$C5811)=1,1,0))</f>
        <v/>
      </c>
      <c r="AH5811">
        <f>IF($AG5811=1,SUMPRODUCT(--($AK$2:$AK$6001&lt;$AK5811))+1,"")</f>
        <v/>
      </c>
      <c r="AI5811">
        <f>IF($C5811="","",IF(OR($N5811=TRUE(),$N5811="TRUE"),1,0))</f>
        <v/>
      </c>
      <c r="AJ5811">
        <f>IF($C5811="","",IF($T5811="Yes",1,0))</f>
        <v/>
      </c>
      <c r="AK5811">
        <f>IF($AG5811=1,IFERROR(IF(VALUE($C5811)&lt;100000000,VALUE($C5811),1000000000),IFERROR(IF(VALUE(MID($C5811,2,20))&lt;100000000,VALUE(MID($C5811,2,20)),1000000000),1000000000))+ROW()/100000,"")</f>
        <v/>
      </c>
    </row>
    <row r="5812">
      <c r="D5812" s="11" t="n"/>
      <c r="K5812" s="7">
        <f>IF($C5812="","",J5812*W5812/100)</f>
        <v/>
      </c>
      <c r="Q5812" s="7" t="n"/>
      <c r="R5812" s="7" t="n"/>
      <c r="U5812">
        <f>IF($C5812="","",IF($AJ5812=1,0,IF($AI5812=1,Settings!$C$6,Settings!$C$7))*100)</f>
        <v/>
      </c>
      <c r="V5812" s="7">
        <f>IF($C5812="","",R5812*U5812/100)</f>
        <v/>
      </c>
      <c r="W5812" s="7">
        <f>IF($C5812="","",R5812-V5812)</f>
        <v/>
      </c>
      <c r="X5812" s="7">
        <f>IF($C5812="","",W5812-K5812)</f>
        <v/>
      </c>
      <c r="AB5812" s="7" t="n"/>
      <c r="AE5812" s="11" t="n"/>
      <c r="AG5812">
        <f>IF($C5812="","",IF(COUNTIF($C$2:$C5812,$C5812)=1,1,0))</f>
        <v/>
      </c>
      <c r="AH5812">
        <f>IF($AG5812=1,SUMPRODUCT(--($AK$2:$AK$6001&lt;$AK5812))+1,"")</f>
        <v/>
      </c>
      <c r="AI5812">
        <f>IF($C5812="","",IF(OR($N5812=TRUE(),$N5812="TRUE"),1,0))</f>
        <v/>
      </c>
      <c r="AJ5812">
        <f>IF($C5812="","",IF($T5812="Yes",1,0))</f>
        <v/>
      </c>
      <c r="AK5812">
        <f>IF($AG5812=1,IFERROR(IF(VALUE($C5812)&lt;100000000,VALUE($C5812),1000000000),IFERROR(IF(VALUE(MID($C5812,2,20))&lt;100000000,VALUE(MID($C5812,2,20)),1000000000),1000000000))+ROW()/100000,"")</f>
        <v/>
      </c>
    </row>
    <row r="5813">
      <c r="D5813" s="11" t="n"/>
      <c r="K5813" s="7">
        <f>IF($C5813="","",J5813*W5813/100)</f>
        <v/>
      </c>
      <c r="Q5813" s="7" t="n"/>
      <c r="R5813" s="7" t="n"/>
      <c r="U5813">
        <f>IF($C5813="","",IF($AJ5813=1,0,IF($AI5813=1,Settings!$C$6,Settings!$C$7))*100)</f>
        <v/>
      </c>
      <c r="V5813" s="7">
        <f>IF($C5813="","",R5813*U5813/100)</f>
        <v/>
      </c>
      <c r="W5813" s="7">
        <f>IF($C5813="","",R5813-V5813)</f>
        <v/>
      </c>
      <c r="X5813" s="7">
        <f>IF($C5813="","",W5813-K5813)</f>
        <v/>
      </c>
      <c r="AB5813" s="7" t="n"/>
      <c r="AE5813" s="11" t="n"/>
      <c r="AG5813">
        <f>IF($C5813="","",IF(COUNTIF($C$2:$C5813,$C5813)=1,1,0))</f>
        <v/>
      </c>
      <c r="AH5813">
        <f>IF($AG5813=1,SUMPRODUCT(--($AK$2:$AK$6001&lt;$AK5813))+1,"")</f>
        <v/>
      </c>
      <c r="AI5813">
        <f>IF($C5813="","",IF(OR($N5813=TRUE(),$N5813="TRUE"),1,0))</f>
        <v/>
      </c>
      <c r="AJ5813">
        <f>IF($C5813="","",IF($T5813="Yes",1,0))</f>
        <v/>
      </c>
      <c r="AK5813">
        <f>IF($AG5813=1,IFERROR(IF(VALUE($C5813)&lt;100000000,VALUE($C5813),1000000000),IFERROR(IF(VALUE(MID($C5813,2,20))&lt;100000000,VALUE(MID($C5813,2,20)),1000000000),1000000000))+ROW()/100000,"")</f>
        <v/>
      </c>
    </row>
    <row r="5814">
      <c r="D5814" s="11" t="n"/>
      <c r="K5814" s="7">
        <f>IF($C5814="","",J5814*W5814/100)</f>
        <v/>
      </c>
      <c r="Q5814" s="7" t="n"/>
      <c r="R5814" s="7" t="n"/>
      <c r="U5814">
        <f>IF($C5814="","",IF($AJ5814=1,0,IF($AI5814=1,Settings!$C$6,Settings!$C$7))*100)</f>
        <v/>
      </c>
      <c r="V5814" s="7">
        <f>IF($C5814="","",R5814*U5814/100)</f>
        <v/>
      </c>
      <c r="W5814" s="7">
        <f>IF($C5814="","",R5814-V5814)</f>
        <v/>
      </c>
      <c r="X5814" s="7">
        <f>IF($C5814="","",W5814-K5814)</f>
        <v/>
      </c>
      <c r="AB5814" s="7" t="n"/>
      <c r="AE5814" s="11" t="n"/>
      <c r="AG5814">
        <f>IF($C5814="","",IF(COUNTIF($C$2:$C5814,$C5814)=1,1,0))</f>
        <v/>
      </c>
      <c r="AH5814">
        <f>IF($AG5814=1,SUMPRODUCT(--($AK$2:$AK$6001&lt;$AK5814))+1,"")</f>
        <v/>
      </c>
      <c r="AI5814">
        <f>IF($C5814="","",IF(OR($N5814=TRUE(),$N5814="TRUE"),1,0))</f>
        <v/>
      </c>
      <c r="AJ5814">
        <f>IF($C5814="","",IF($T5814="Yes",1,0))</f>
        <v/>
      </c>
      <c r="AK5814">
        <f>IF($AG5814=1,IFERROR(IF(VALUE($C5814)&lt;100000000,VALUE($C5814),1000000000),IFERROR(IF(VALUE(MID($C5814,2,20))&lt;100000000,VALUE(MID($C5814,2,20)),1000000000),1000000000))+ROW()/100000,"")</f>
        <v/>
      </c>
    </row>
    <row r="5815">
      <c r="D5815" s="11" t="n"/>
      <c r="K5815" s="7">
        <f>IF($C5815="","",J5815*W5815/100)</f>
        <v/>
      </c>
      <c r="Q5815" s="7" t="n"/>
      <c r="R5815" s="7" t="n"/>
      <c r="U5815">
        <f>IF($C5815="","",IF($AJ5815=1,0,IF($AI5815=1,Settings!$C$6,Settings!$C$7))*100)</f>
        <v/>
      </c>
      <c r="V5815" s="7">
        <f>IF($C5815="","",R5815*U5815/100)</f>
        <v/>
      </c>
      <c r="W5815" s="7">
        <f>IF($C5815="","",R5815-V5815)</f>
        <v/>
      </c>
      <c r="X5815" s="7">
        <f>IF($C5815="","",W5815-K5815)</f>
        <v/>
      </c>
      <c r="AB5815" s="7" t="n"/>
      <c r="AE5815" s="11" t="n"/>
      <c r="AG5815">
        <f>IF($C5815="","",IF(COUNTIF($C$2:$C5815,$C5815)=1,1,0))</f>
        <v/>
      </c>
      <c r="AH5815">
        <f>IF($AG5815=1,SUMPRODUCT(--($AK$2:$AK$6001&lt;$AK5815))+1,"")</f>
        <v/>
      </c>
      <c r="AI5815">
        <f>IF($C5815="","",IF(OR($N5815=TRUE(),$N5815="TRUE"),1,0))</f>
        <v/>
      </c>
      <c r="AJ5815">
        <f>IF($C5815="","",IF($T5815="Yes",1,0))</f>
        <v/>
      </c>
      <c r="AK5815">
        <f>IF($AG5815=1,IFERROR(IF(VALUE($C5815)&lt;100000000,VALUE($C5815),1000000000),IFERROR(IF(VALUE(MID($C5815,2,20))&lt;100000000,VALUE(MID($C5815,2,20)),1000000000),1000000000))+ROW()/100000,"")</f>
        <v/>
      </c>
    </row>
    <row r="5816">
      <c r="D5816" s="11" t="n"/>
      <c r="K5816" s="7">
        <f>IF($C5816="","",J5816*W5816/100)</f>
        <v/>
      </c>
      <c r="Q5816" s="7" t="n"/>
      <c r="R5816" s="7" t="n"/>
      <c r="U5816">
        <f>IF($C5816="","",IF($AJ5816=1,0,IF($AI5816=1,Settings!$C$6,Settings!$C$7))*100)</f>
        <v/>
      </c>
      <c r="V5816" s="7">
        <f>IF($C5816="","",R5816*U5816/100)</f>
        <v/>
      </c>
      <c r="W5816" s="7">
        <f>IF($C5816="","",R5816-V5816)</f>
        <v/>
      </c>
      <c r="X5816" s="7">
        <f>IF($C5816="","",W5816-K5816)</f>
        <v/>
      </c>
      <c r="AB5816" s="7" t="n"/>
      <c r="AE5816" s="11" t="n"/>
      <c r="AG5816">
        <f>IF($C5816="","",IF(COUNTIF($C$2:$C5816,$C5816)=1,1,0))</f>
        <v/>
      </c>
      <c r="AH5816">
        <f>IF($AG5816=1,SUMPRODUCT(--($AK$2:$AK$6001&lt;$AK5816))+1,"")</f>
        <v/>
      </c>
      <c r="AI5816">
        <f>IF($C5816="","",IF(OR($N5816=TRUE(),$N5816="TRUE"),1,0))</f>
        <v/>
      </c>
      <c r="AJ5816">
        <f>IF($C5816="","",IF($T5816="Yes",1,0))</f>
        <v/>
      </c>
      <c r="AK5816">
        <f>IF($AG5816=1,IFERROR(IF(VALUE($C5816)&lt;100000000,VALUE($C5816),1000000000),IFERROR(IF(VALUE(MID($C5816,2,20))&lt;100000000,VALUE(MID($C5816,2,20)),1000000000),1000000000))+ROW()/100000,"")</f>
        <v/>
      </c>
    </row>
    <row r="5817">
      <c r="D5817" s="11" t="n"/>
      <c r="K5817" s="7">
        <f>IF($C5817="","",J5817*W5817/100)</f>
        <v/>
      </c>
      <c r="Q5817" s="7" t="n"/>
      <c r="R5817" s="7" t="n"/>
      <c r="U5817">
        <f>IF($C5817="","",IF($AJ5817=1,0,IF($AI5817=1,Settings!$C$6,Settings!$C$7))*100)</f>
        <v/>
      </c>
      <c r="V5817" s="7">
        <f>IF($C5817="","",R5817*U5817/100)</f>
        <v/>
      </c>
      <c r="W5817" s="7">
        <f>IF($C5817="","",R5817-V5817)</f>
        <v/>
      </c>
      <c r="X5817" s="7">
        <f>IF($C5817="","",W5817-K5817)</f>
        <v/>
      </c>
      <c r="AB5817" s="7" t="n"/>
      <c r="AE5817" s="11" t="n"/>
      <c r="AG5817">
        <f>IF($C5817="","",IF(COUNTIF($C$2:$C5817,$C5817)=1,1,0))</f>
        <v/>
      </c>
      <c r="AH5817">
        <f>IF($AG5817=1,SUMPRODUCT(--($AK$2:$AK$6001&lt;$AK5817))+1,"")</f>
        <v/>
      </c>
      <c r="AI5817">
        <f>IF($C5817="","",IF(OR($N5817=TRUE(),$N5817="TRUE"),1,0))</f>
        <v/>
      </c>
      <c r="AJ5817">
        <f>IF($C5817="","",IF($T5817="Yes",1,0))</f>
        <v/>
      </c>
      <c r="AK5817">
        <f>IF($AG5817=1,IFERROR(IF(VALUE($C5817)&lt;100000000,VALUE($C5817),1000000000),IFERROR(IF(VALUE(MID($C5817,2,20))&lt;100000000,VALUE(MID($C5817,2,20)),1000000000),1000000000))+ROW()/100000,"")</f>
        <v/>
      </c>
    </row>
    <row r="5818">
      <c r="D5818" s="11" t="n"/>
      <c r="K5818" s="7">
        <f>IF($C5818="","",J5818*W5818/100)</f>
        <v/>
      </c>
      <c r="Q5818" s="7" t="n"/>
      <c r="R5818" s="7" t="n"/>
      <c r="U5818">
        <f>IF($C5818="","",IF($AJ5818=1,0,IF($AI5818=1,Settings!$C$6,Settings!$C$7))*100)</f>
        <v/>
      </c>
      <c r="V5818" s="7">
        <f>IF($C5818="","",R5818*U5818/100)</f>
        <v/>
      </c>
      <c r="W5818" s="7">
        <f>IF($C5818="","",R5818-V5818)</f>
        <v/>
      </c>
      <c r="X5818" s="7">
        <f>IF($C5818="","",W5818-K5818)</f>
        <v/>
      </c>
      <c r="AB5818" s="7" t="n"/>
      <c r="AE5818" s="11" t="n"/>
      <c r="AG5818">
        <f>IF($C5818="","",IF(COUNTIF($C$2:$C5818,$C5818)=1,1,0))</f>
        <v/>
      </c>
      <c r="AH5818">
        <f>IF($AG5818=1,SUMPRODUCT(--($AK$2:$AK$6001&lt;$AK5818))+1,"")</f>
        <v/>
      </c>
      <c r="AI5818">
        <f>IF($C5818="","",IF(OR($N5818=TRUE(),$N5818="TRUE"),1,0))</f>
        <v/>
      </c>
      <c r="AJ5818">
        <f>IF($C5818="","",IF($T5818="Yes",1,0))</f>
        <v/>
      </c>
      <c r="AK5818">
        <f>IF($AG5818=1,IFERROR(IF(VALUE($C5818)&lt;100000000,VALUE($C5818),1000000000),IFERROR(IF(VALUE(MID($C5818,2,20))&lt;100000000,VALUE(MID($C5818,2,20)),1000000000),1000000000))+ROW()/100000,"")</f>
        <v/>
      </c>
    </row>
    <row r="5819">
      <c r="D5819" s="11" t="n"/>
      <c r="K5819" s="7">
        <f>IF($C5819="","",J5819*W5819/100)</f>
        <v/>
      </c>
      <c r="Q5819" s="7" t="n"/>
      <c r="R5819" s="7" t="n"/>
      <c r="U5819">
        <f>IF($C5819="","",IF($AJ5819=1,0,IF($AI5819=1,Settings!$C$6,Settings!$C$7))*100)</f>
        <v/>
      </c>
      <c r="V5819" s="7">
        <f>IF($C5819="","",R5819*U5819/100)</f>
        <v/>
      </c>
      <c r="W5819" s="7">
        <f>IF($C5819="","",R5819-V5819)</f>
        <v/>
      </c>
      <c r="X5819" s="7">
        <f>IF($C5819="","",W5819-K5819)</f>
        <v/>
      </c>
      <c r="AB5819" s="7" t="n"/>
      <c r="AE5819" s="11" t="n"/>
      <c r="AG5819">
        <f>IF($C5819="","",IF(COUNTIF($C$2:$C5819,$C5819)=1,1,0))</f>
        <v/>
      </c>
      <c r="AH5819">
        <f>IF($AG5819=1,SUMPRODUCT(--($AK$2:$AK$6001&lt;$AK5819))+1,"")</f>
        <v/>
      </c>
      <c r="AI5819">
        <f>IF($C5819="","",IF(OR($N5819=TRUE(),$N5819="TRUE"),1,0))</f>
        <v/>
      </c>
      <c r="AJ5819">
        <f>IF($C5819="","",IF($T5819="Yes",1,0))</f>
        <v/>
      </c>
      <c r="AK5819">
        <f>IF($AG5819=1,IFERROR(IF(VALUE($C5819)&lt;100000000,VALUE($C5819),1000000000),IFERROR(IF(VALUE(MID($C5819,2,20))&lt;100000000,VALUE(MID($C5819,2,20)),1000000000),1000000000))+ROW()/100000,"")</f>
        <v/>
      </c>
    </row>
    <row r="5820">
      <c r="D5820" s="11" t="n"/>
      <c r="K5820" s="7">
        <f>IF($C5820="","",J5820*W5820/100)</f>
        <v/>
      </c>
      <c r="Q5820" s="7" t="n"/>
      <c r="R5820" s="7" t="n"/>
      <c r="U5820">
        <f>IF($C5820="","",IF($AJ5820=1,0,IF($AI5820=1,Settings!$C$6,Settings!$C$7))*100)</f>
        <v/>
      </c>
      <c r="V5820" s="7">
        <f>IF($C5820="","",R5820*U5820/100)</f>
        <v/>
      </c>
      <c r="W5820" s="7">
        <f>IF($C5820="","",R5820-V5820)</f>
        <v/>
      </c>
      <c r="X5820" s="7">
        <f>IF($C5820="","",W5820-K5820)</f>
        <v/>
      </c>
      <c r="AB5820" s="7" t="n"/>
      <c r="AE5820" s="11" t="n"/>
      <c r="AG5820">
        <f>IF($C5820="","",IF(COUNTIF($C$2:$C5820,$C5820)=1,1,0))</f>
        <v/>
      </c>
      <c r="AH5820">
        <f>IF($AG5820=1,SUMPRODUCT(--($AK$2:$AK$6001&lt;$AK5820))+1,"")</f>
        <v/>
      </c>
      <c r="AI5820">
        <f>IF($C5820="","",IF(OR($N5820=TRUE(),$N5820="TRUE"),1,0))</f>
        <v/>
      </c>
      <c r="AJ5820">
        <f>IF($C5820="","",IF($T5820="Yes",1,0))</f>
        <v/>
      </c>
      <c r="AK5820">
        <f>IF($AG5820=1,IFERROR(IF(VALUE($C5820)&lt;100000000,VALUE($C5820),1000000000),IFERROR(IF(VALUE(MID($C5820,2,20))&lt;100000000,VALUE(MID($C5820,2,20)),1000000000),1000000000))+ROW()/100000,"")</f>
        <v/>
      </c>
    </row>
    <row r="5821">
      <c r="D5821" s="11" t="n"/>
      <c r="K5821" s="7">
        <f>IF($C5821="","",J5821*W5821/100)</f>
        <v/>
      </c>
      <c r="Q5821" s="7" t="n"/>
      <c r="R5821" s="7" t="n"/>
      <c r="U5821">
        <f>IF($C5821="","",IF($AJ5821=1,0,IF($AI5821=1,Settings!$C$6,Settings!$C$7))*100)</f>
        <v/>
      </c>
      <c r="V5821" s="7">
        <f>IF($C5821="","",R5821*U5821/100)</f>
        <v/>
      </c>
      <c r="W5821" s="7">
        <f>IF($C5821="","",R5821-V5821)</f>
        <v/>
      </c>
      <c r="X5821" s="7">
        <f>IF($C5821="","",W5821-K5821)</f>
        <v/>
      </c>
      <c r="AB5821" s="7" t="n"/>
      <c r="AE5821" s="11" t="n"/>
      <c r="AG5821">
        <f>IF($C5821="","",IF(COUNTIF($C$2:$C5821,$C5821)=1,1,0))</f>
        <v/>
      </c>
      <c r="AH5821">
        <f>IF($AG5821=1,SUMPRODUCT(--($AK$2:$AK$6001&lt;$AK5821))+1,"")</f>
        <v/>
      </c>
      <c r="AI5821">
        <f>IF($C5821="","",IF(OR($N5821=TRUE(),$N5821="TRUE"),1,0))</f>
        <v/>
      </c>
      <c r="AJ5821">
        <f>IF($C5821="","",IF($T5821="Yes",1,0))</f>
        <v/>
      </c>
      <c r="AK5821">
        <f>IF($AG5821=1,IFERROR(IF(VALUE($C5821)&lt;100000000,VALUE($C5821),1000000000),IFERROR(IF(VALUE(MID($C5821,2,20))&lt;100000000,VALUE(MID($C5821,2,20)),1000000000),1000000000))+ROW()/100000,"")</f>
        <v/>
      </c>
    </row>
    <row r="5822">
      <c r="D5822" s="11" t="n"/>
      <c r="K5822" s="7">
        <f>IF($C5822="","",J5822*W5822/100)</f>
        <v/>
      </c>
      <c r="Q5822" s="7" t="n"/>
      <c r="R5822" s="7" t="n"/>
      <c r="U5822">
        <f>IF($C5822="","",IF($AJ5822=1,0,IF($AI5822=1,Settings!$C$6,Settings!$C$7))*100)</f>
        <v/>
      </c>
      <c r="V5822" s="7">
        <f>IF($C5822="","",R5822*U5822/100)</f>
        <v/>
      </c>
      <c r="W5822" s="7">
        <f>IF($C5822="","",R5822-V5822)</f>
        <v/>
      </c>
      <c r="X5822" s="7">
        <f>IF($C5822="","",W5822-K5822)</f>
        <v/>
      </c>
      <c r="AB5822" s="7" t="n"/>
      <c r="AE5822" s="11" t="n"/>
      <c r="AG5822">
        <f>IF($C5822="","",IF(COUNTIF($C$2:$C5822,$C5822)=1,1,0))</f>
        <v/>
      </c>
      <c r="AH5822">
        <f>IF($AG5822=1,SUMPRODUCT(--($AK$2:$AK$6001&lt;$AK5822))+1,"")</f>
        <v/>
      </c>
      <c r="AI5822">
        <f>IF($C5822="","",IF(OR($N5822=TRUE(),$N5822="TRUE"),1,0))</f>
        <v/>
      </c>
      <c r="AJ5822">
        <f>IF($C5822="","",IF($T5822="Yes",1,0))</f>
        <v/>
      </c>
      <c r="AK5822">
        <f>IF($AG5822=1,IFERROR(IF(VALUE($C5822)&lt;100000000,VALUE($C5822),1000000000),IFERROR(IF(VALUE(MID($C5822,2,20))&lt;100000000,VALUE(MID($C5822,2,20)),1000000000),1000000000))+ROW()/100000,"")</f>
        <v/>
      </c>
    </row>
    <row r="5823">
      <c r="D5823" s="11" t="n"/>
      <c r="K5823" s="7">
        <f>IF($C5823="","",J5823*W5823/100)</f>
        <v/>
      </c>
      <c r="Q5823" s="7" t="n"/>
      <c r="R5823" s="7" t="n"/>
      <c r="U5823">
        <f>IF($C5823="","",IF($AJ5823=1,0,IF($AI5823=1,Settings!$C$6,Settings!$C$7))*100)</f>
        <v/>
      </c>
      <c r="V5823" s="7">
        <f>IF($C5823="","",R5823*U5823/100)</f>
        <v/>
      </c>
      <c r="W5823" s="7">
        <f>IF($C5823="","",R5823-V5823)</f>
        <v/>
      </c>
      <c r="X5823" s="7">
        <f>IF($C5823="","",W5823-K5823)</f>
        <v/>
      </c>
      <c r="AB5823" s="7" t="n"/>
      <c r="AE5823" s="11" t="n"/>
      <c r="AG5823">
        <f>IF($C5823="","",IF(COUNTIF($C$2:$C5823,$C5823)=1,1,0))</f>
        <v/>
      </c>
      <c r="AH5823">
        <f>IF($AG5823=1,SUMPRODUCT(--($AK$2:$AK$6001&lt;$AK5823))+1,"")</f>
        <v/>
      </c>
      <c r="AI5823">
        <f>IF($C5823="","",IF(OR($N5823=TRUE(),$N5823="TRUE"),1,0))</f>
        <v/>
      </c>
      <c r="AJ5823">
        <f>IF($C5823="","",IF($T5823="Yes",1,0))</f>
        <v/>
      </c>
      <c r="AK5823">
        <f>IF($AG5823=1,IFERROR(IF(VALUE($C5823)&lt;100000000,VALUE($C5823),1000000000),IFERROR(IF(VALUE(MID($C5823,2,20))&lt;100000000,VALUE(MID($C5823,2,20)),1000000000),1000000000))+ROW()/100000,"")</f>
        <v/>
      </c>
    </row>
    <row r="5824">
      <c r="D5824" s="11" t="n"/>
      <c r="K5824" s="7">
        <f>IF($C5824="","",J5824*W5824/100)</f>
        <v/>
      </c>
      <c r="Q5824" s="7" t="n"/>
      <c r="R5824" s="7" t="n"/>
      <c r="U5824">
        <f>IF($C5824="","",IF($AJ5824=1,0,IF($AI5824=1,Settings!$C$6,Settings!$C$7))*100)</f>
        <v/>
      </c>
      <c r="V5824" s="7">
        <f>IF($C5824="","",R5824*U5824/100)</f>
        <v/>
      </c>
      <c r="W5824" s="7">
        <f>IF($C5824="","",R5824-V5824)</f>
        <v/>
      </c>
      <c r="X5824" s="7">
        <f>IF($C5824="","",W5824-K5824)</f>
        <v/>
      </c>
      <c r="AB5824" s="7" t="n"/>
      <c r="AE5824" s="11" t="n"/>
      <c r="AG5824">
        <f>IF($C5824="","",IF(COUNTIF($C$2:$C5824,$C5824)=1,1,0))</f>
        <v/>
      </c>
      <c r="AH5824">
        <f>IF($AG5824=1,SUMPRODUCT(--($AK$2:$AK$6001&lt;$AK5824))+1,"")</f>
        <v/>
      </c>
      <c r="AI5824">
        <f>IF($C5824="","",IF(OR($N5824=TRUE(),$N5824="TRUE"),1,0))</f>
        <v/>
      </c>
      <c r="AJ5824">
        <f>IF($C5824="","",IF($T5824="Yes",1,0))</f>
        <v/>
      </c>
      <c r="AK5824">
        <f>IF($AG5824=1,IFERROR(IF(VALUE($C5824)&lt;100000000,VALUE($C5824),1000000000),IFERROR(IF(VALUE(MID($C5824,2,20))&lt;100000000,VALUE(MID($C5824,2,20)),1000000000),1000000000))+ROW()/100000,"")</f>
        <v/>
      </c>
    </row>
    <row r="5825">
      <c r="D5825" s="11" t="n"/>
      <c r="K5825" s="7">
        <f>IF($C5825="","",J5825*W5825/100)</f>
        <v/>
      </c>
      <c r="Q5825" s="7" t="n"/>
      <c r="R5825" s="7" t="n"/>
      <c r="U5825">
        <f>IF($C5825="","",IF($AJ5825=1,0,IF($AI5825=1,Settings!$C$6,Settings!$C$7))*100)</f>
        <v/>
      </c>
      <c r="V5825" s="7">
        <f>IF($C5825="","",R5825*U5825/100)</f>
        <v/>
      </c>
      <c r="W5825" s="7">
        <f>IF($C5825="","",R5825-V5825)</f>
        <v/>
      </c>
      <c r="X5825" s="7">
        <f>IF($C5825="","",W5825-K5825)</f>
        <v/>
      </c>
      <c r="AB5825" s="7" t="n"/>
      <c r="AE5825" s="11" t="n"/>
      <c r="AG5825">
        <f>IF($C5825="","",IF(COUNTIF($C$2:$C5825,$C5825)=1,1,0))</f>
        <v/>
      </c>
      <c r="AH5825">
        <f>IF($AG5825=1,SUMPRODUCT(--($AK$2:$AK$6001&lt;$AK5825))+1,"")</f>
        <v/>
      </c>
      <c r="AI5825">
        <f>IF($C5825="","",IF(OR($N5825=TRUE(),$N5825="TRUE"),1,0))</f>
        <v/>
      </c>
      <c r="AJ5825">
        <f>IF($C5825="","",IF($T5825="Yes",1,0))</f>
        <v/>
      </c>
      <c r="AK5825">
        <f>IF($AG5825=1,IFERROR(IF(VALUE($C5825)&lt;100000000,VALUE($C5825),1000000000),IFERROR(IF(VALUE(MID($C5825,2,20))&lt;100000000,VALUE(MID($C5825,2,20)),1000000000),1000000000))+ROW()/100000,"")</f>
        <v/>
      </c>
    </row>
    <row r="5826">
      <c r="D5826" s="11" t="n"/>
      <c r="K5826" s="7">
        <f>IF($C5826="","",J5826*W5826/100)</f>
        <v/>
      </c>
      <c r="Q5826" s="7" t="n"/>
      <c r="R5826" s="7" t="n"/>
      <c r="U5826">
        <f>IF($C5826="","",IF($AJ5826=1,0,IF($AI5826=1,Settings!$C$6,Settings!$C$7))*100)</f>
        <v/>
      </c>
      <c r="V5826" s="7">
        <f>IF($C5826="","",R5826*U5826/100)</f>
        <v/>
      </c>
      <c r="W5826" s="7">
        <f>IF($C5826="","",R5826-V5826)</f>
        <v/>
      </c>
      <c r="X5826" s="7">
        <f>IF($C5826="","",W5826-K5826)</f>
        <v/>
      </c>
      <c r="AB5826" s="7" t="n"/>
      <c r="AE5826" s="11" t="n"/>
      <c r="AG5826">
        <f>IF($C5826="","",IF(COUNTIF($C$2:$C5826,$C5826)=1,1,0))</f>
        <v/>
      </c>
      <c r="AH5826">
        <f>IF($AG5826=1,SUMPRODUCT(--($AK$2:$AK$6001&lt;$AK5826))+1,"")</f>
        <v/>
      </c>
      <c r="AI5826">
        <f>IF($C5826="","",IF(OR($N5826=TRUE(),$N5826="TRUE"),1,0))</f>
        <v/>
      </c>
      <c r="AJ5826">
        <f>IF($C5826="","",IF($T5826="Yes",1,0))</f>
        <v/>
      </c>
      <c r="AK5826">
        <f>IF($AG5826=1,IFERROR(IF(VALUE($C5826)&lt;100000000,VALUE($C5826),1000000000),IFERROR(IF(VALUE(MID($C5826,2,20))&lt;100000000,VALUE(MID($C5826,2,20)),1000000000),1000000000))+ROW()/100000,"")</f>
        <v/>
      </c>
    </row>
    <row r="5827">
      <c r="D5827" s="11" t="n"/>
      <c r="K5827" s="7">
        <f>IF($C5827="","",J5827*W5827/100)</f>
        <v/>
      </c>
      <c r="Q5827" s="7" t="n"/>
      <c r="R5827" s="7" t="n"/>
      <c r="U5827">
        <f>IF($C5827="","",IF($AJ5827=1,0,IF($AI5827=1,Settings!$C$6,Settings!$C$7))*100)</f>
        <v/>
      </c>
      <c r="V5827" s="7">
        <f>IF($C5827="","",R5827*U5827/100)</f>
        <v/>
      </c>
      <c r="W5827" s="7">
        <f>IF($C5827="","",R5827-V5827)</f>
        <v/>
      </c>
      <c r="X5827" s="7">
        <f>IF($C5827="","",W5827-K5827)</f>
        <v/>
      </c>
      <c r="AB5827" s="7" t="n"/>
      <c r="AE5827" s="11" t="n"/>
      <c r="AG5827">
        <f>IF($C5827="","",IF(COUNTIF($C$2:$C5827,$C5827)=1,1,0))</f>
        <v/>
      </c>
      <c r="AH5827">
        <f>IF($AG5827=1,SUMPRODUCT(--($AK$2:$AK$6001&lt;$AK5827))+1,"")</f>
        <v/>
      </c>
      <c r="AI5827">
        <f>IF($C5827="","",IF(OR($N5827=TRUE(),$N5827="TRUE"),1,0))</f>
        <v/>
      </c>
      <c r="AJ5827">
        <f>IF($C5827="","",IF($T5827="Yes",1,0))</f>
        <v/>
      </c>
      <c r="AK5827">
        <f>IF($AG5827=1,IFERROR(IF(VALUE($C5827)&lt;100000000,VALUE($C5827),1000000000),IFERROR(IF(VALUE(MID($C5827,2,20))&lt;100000000,VALUE(MID($C5827,2,20)),1000000000),1000000000))+ROW()/100000,"")</f>
        <v/>
      </c>
    </row>
    <row r="5828">
      <c r="D5828" s="11" t="n"/>
      <c r="K5828" s="7">
        <f>IF($C5828="","",J5828*W5828/100)</f>
        <v/>
      </c>
      <c r="Q5828" s="7" t="n"/>
      <c r="R5828" s="7" t="n"/>
      <c r="U5828">
        <f>IF($C5828="","",IF($AJ5828=1,0,IF($AI5828=1,Settings!$C$6,Settings!$C$7))*100)</f>
        <v/>
      </c>
      <c r="V5828" s="7">
        <f>IF($C5828="","",R5828*U5828/100)</f>
        <v/>
      </c>
      <c r="W5828" s="7">
        <f>IF($C5828="","",R5828-V5828)</f>
        <v/>
      </c>
      <c r="X5828" s="7">
        <f>IF($C5828="","",W5828-K5828)</f>
        <v/>
      </c>
      <c r="AB5828" s="7" t="n"/>
      <c r="AE5828" s="11" t="n"/>
      <c r="AG5828">
        <f>IF($C5828="","",IF(COUNTIF($C$2:$C5828,$C5828)=1,1,0))</f>
        <v/>
      </c>
      <c r="AH5828">
        <f>IF($AG5828=1,SUMPRODUCT(--($AK$2:$AK$6001&lt;$AK5828))+1,"")</f>
        <v/>
      </c>
      <c r="AI5828">
        <f>IF($C5828="","",IF(OR($N5828=TRUE(),$N5828="TRUE"),1,0))</f>
        <v/>
      </c>
      <c r="AJ5828">
        <f>IF($C5828="","",IF($T5828="Yes",1,0))</f>
        <v/>
      </c>
      <c r="AK5828">
        <f>IF($AG5828=1,IFERROR(IF(VALUE($C5828)&lt;100000000,VALUE($C5828),1000000000),IFERROR(IF(VALUE(MID($C5828,2,20))&lt;100000000,VALUE(MID($C5828,2,20)),1000000000),1000000000))+ROW()/100000,"")</f>
        <v/>
      </c>
    </row>
    <row r="5829">
      <c r="D5829" s="11" t="n"/>
      <c r="K5829" s="7">
        <f>IF($C5829="","",J5829*W5829/100)</f>
        <v/>
      </c>
      <c r="Q5829" s="7" t="n"/>
      <c r="R5829" s="7" t="n"/>
      <c r="U5829">
        <f>IF($C5829="","",IF($AJ5829=1,0,IF($AI5829=1,Settings!$C$6,Settings!$C$7))*100)</f>
        <v/>
      </c>
      <c r="V5829" s="7">
        <f>IF($C5829="","",R5829*U5829/100)</f>
        <v/>
      </c>
      <c r="W5829" s="7">
        <f>IF($C5829="","",R5829-V5829)</f>
        <v/>
      </c>
      <c r="X5829" s="7">
        <f>IF($C5829="","",W5829-K5829)</f>
        <v/>
      </c>
      <c r="AB5829" s="7" t="n"/>
      <c r="AE5829" s="11" t="n"/>
      <c r="AG5829">
        <f>IF($C5829="","",IF(COUNTIF($C$2:$C5829,$C5829)=1,1,0))</f>
        <v/>
      </c>
      <c r="AH5829">
        <f>IF($AG5829=1,SUMPRODUCT(--($AK$2:$AK$6001&lt;$AK5829))+1,"")</f>
        <v/>
      </c>
      <c r="AI5829">
        <f>IF($C5829="","",IF(OR($N5829=TRUE(),$N5829="TRUE"),1,0))</f>
        <v/>
      </c>
      <c r="AJ5829">
        <f>IF($C5829="","",IF($T5829="Yes",1,0))</f>
        <v/>
      </c>
      <c r="AK5829">
        <f>IF($AG5829=1,IFERROR(IF(VALUE($C5829)&lt;100000000,VALUE($C5829),1000000000),IFERROR(IF(VALUE(MID($C5829,2,20))&lt;100000000,VALUE(MID($C5829,2,20)),1000000000),1000000000))+ROW()/100000,"")</f>
        <v/>
      </c>
    </row>
    <row r="5830">
      <c r="D5830" s="11" t="n"/>
      <c r="K5830" s="7">
        <f>IF($C5830="","",J5830*W5830/100)</f>
        <v/>
      </c>
      <c r="Q5830" s="7" t="n"/>
      <c r="R5830" s="7" t="n"/>
      <c r="U5830">
        <f>IF($C5830="","",IF($AJ5830=1,0,IF($AI5830=1,Settings!$C$6,Settings!$C$7))*100)</f>
        <v/>
      </c>
      <c r="V5830" s="7">
        <f>IF($C5830="","",R5830*U5830/100)</f>
        <v/>
      </c>
      <c r="W5830" s="7">
        <f>IF($C5830="","",R5830-V5830)</f>
        <v/>
      </c>
      <c r="X5830" s="7">
        <f>IF($C5830="","",W5830-K5830)</f>
        <v/>
      </c>
      <c r="AB5830" s="7" t="n"/>
      <c r="AE5830" s="11" t="n"/>
      <c r="AG5830">
        <f>IF($C5830="","",IF(COUNTIF($C$2:$C5830,$C5830)=1,1,0))</f>
        <v/>
      </c>
      <c r="AH5830">
        <f>IF($AG5830=1,SUMPRODUCT(--($AK$2:$AK$6001&lt;$AK5830))+1,"")</f>
        <v/>
      </c>
      <c r="AI5830">
        <f>IF($C5830="","",IF(OR($N5830=TRUE(),$N5830="TRUE"),1,0))</f>
        <v/>
      </c>
      <c r="AJ5830">
        <f>IF($C5830="","",IF($T5830="Yes",1,0))</f>
        <v/>
      </c>
      <c r="AK5830">
        <f>IF($AG5830=1,IFERROR(IF(VALUE($C5830)&lt;100000000,VALUE($C5830),1000000000),IFERROR(IF(VALUE(MID($C5830,2,20))&lt;100000000,VALUE(MID($C5830,2,20)),1000000000),1000000000))+ROW()/100000,"")</f>
        <v/>
      </c>
    </row>
    <row r="5831">
      <c r="D5831" s="11" t="n"/>
      <c r="K5831" s="7">
        <f>IF($C5831="","",J5831*W5831/100)</f>
        <v/>
      </c>
      <c r="Q5831" s="7" t="n"/>
      <c r="R5831" s="7" t="n"/>
      <c r="U5831">
        <f>IF($C5831="","",IF($AJ5831=1,0,IF($AI5831=1,Settings!$C$6,Settings!$C$7))*100)</f>
        <v/>
      </c>
      <c r="V5831" s="7">
        <f>IF($C5831="","",R5831*U5831/100)</f>
        <v/>
      </c>
      <c r="W5831" s="7">
        <f>IF($C5831="","",R5831-V5831)</f>
        <v/>
      </c>
      <c r="X5831" s="7">
        <f>IF($C5831="","",W5831-K5831)</f>
        <v/>
      </c>
      <c r="AB5831" s="7" t="n"/>
      <c r="AE5831" s="11" t="n"/>
      <c r="AG5831">
        <f>IF($C5831="","",IF(COUNTIF($C$2:$C5831,$C5831)=1,1,0))</f>
        <v/>
      </c>
      <c r="AH5831">
        <f>IF($AG5831=1,SUMPRODUCT(--($AK$2:$AK$6001&lt;$AK5831))+1,"")</f>
        <v/>
      </c>
      <c r="AI5831">
        <f>IF($C5831="","",IF(OR($N5831=TRUE(),$N5831="TRUE"),1,0))</f>
        <v/>
      </c>
      <c r="AJ5831">
        <f>IF($C5831="","",IF($T5831="Yes",1,0))</f>
        <v/>
      </c>
      <c r="AK5831">
        <f>IF($AG5831=1,IFERROR(IF(VALUE($C5831)&lt;100000000,VALUE($C5831),1000000000),IFERROR(IF(VALUE(MID($C5831,2,20))&lt;100000000,VALUE(MID($C5831,2,20)),1000000000),1000000000))+ROW()/100000,"")</f>
        <v/>
      </c>
    </row>
    <row r="5832">
      <c r="D5832" s="11" t="n"/>
      <c r="K5832" s="7">
        <f>IF($C5832="","",J5832*W5832/100)</f>
        <v/>
      </c>
      <c r="Q5832" s="7" t="n"/>
      <c r="R5832" s="7" t="n"/>
      <c r="U5832">
        <f>IF($C5832="","",IF($AJ5832=1,0,IF($AI5832=1,Settings!$C$6,Settings!$C$7))*100)</f>
        <v/>
      </c>
      <c r="V5832" s="7">
        <f>IF($C5832="","",R5832*U5832/100)</f>
        <v/>
      </c>
      <c r="W5832" s="7">
        <f>IF($C5832="","",R5832-V5832)</f>
        <v/>
      </c>
      <c r="X5832" s="7">
        <f>IF($C5832="","",W5832-K5832)</f>
        <v/>
      </c>
      <c r="AB5832" s="7" t="n"/>
      <c r="AE5832" s="11" t="n"/>
      <c r="AG5832">
        <f>IF($C5832="","",IF(COUNTIF($C$2:$C5832,$C5832)=1,1,0))</f>
        <v/>
      </c>
      <c r="AH5832">
        <f>IF($AG5832=1,SUMPRODUCT(--($AK$2:$AK$6001&lt;$AK5832))+1,"")</f>
        <v/>
      </c>
      <c r="AI5832">
        <f>IF($C5832="","",IF(OR($N5832=TRUE(),$N5832="TRUE"),1,0))</f>
        <v/>
      </c>
      <c r="AJ5832">
        <f>IF($C5832="","",IF($T5832="Yes",1,0))</f>
        <v/>
      </c>
      <c r="AK5832">
        <f>IF($AG5832=1,IFERROR(IF(VALUE($C5832)&lt;100000000,VALUE($C5832),1000000000),IFERROR(IF(VALUE(MID($C5832,2,20))&lt;100000000,VALUE(MID($C5832,2,20)),1000000000),1000000000))+ROW()/100000,"")</f>
        <v/>
      </c>
    </row>
    <row r="5833">
      <c r="D5833" s="11" t="n"/>
      <c r="K5833" s="7">
        <f>IF($C5833="","",J5833*W5833/100)</f>
        <v/>
      </c>
      <c r="Q5833" s="7" t="n"/>
      <c r="R5833" s="7" t="n"/>
      <c r="U5833">
        <f>IF($C5833="","",IF($AJ5833=1,0,IF($AI5833=1,Settings!$C$6,Settings!$C$7))*100)</f>
        <v/>
      </c>
      <c r="V5833" s="7">
        <f>IF($C5833="","",R5833*U5833/100)</f>
        <v/>
      </c>
      <c r="W5833" s="7">
        <f>IF($C5833="","",R5833-V5833)</f>
        <v/>
      </c>
      <c r="X5833" s="7">
        <f>IF($C5833="","",W5833-K5833)</f>
        <v/>
      </c>
      <c r="AB5833" s="7" t="n"/>
      <c r="AE5833" s="11" t="n"/>
      <c r="AG5833">
        <f>IF($C5833="","",IF(COUNTIF($C$2:$C5833,$C5833)=1,1,0))</f>
        <v/>
      </c>
      <c r="AH5833">
        <f>IF($AG5833=1,SUMPRODUCT(--($AK$2:$AK$6001&lt;$AK5833))+1,"")</f>
        <v/>
      </c>
      <c r="AI5833">
        <f>IF($C5833="","",IF(OR($N5833=TRUE(),$N5833="TRUE"),1,0))</f>
        <v/>
      </c>
      <c r="AJ5833">
        <f>IF($C5833="","",IF($T5833="Yes",1,0))</f>
        <v/>
      </c>
      <c r="AK5833">
        <f>IF($AG5833=1,IFERROR(IF(VALUE($C5833)&lt;100000000,VALUE($C5833),1000000000),IFERROR(IF(VALUE(MID($C5833,2,20))&lt;100000000,VALUE(MID($C5833,2,20)),1000000000),1000000000))+ROW()/100000,"")</f>
        <v/>
      </c>
    </row>
    <row r="5834">
      <c r="D5834" s="11" t="n"/>
      <c r="K5834" s="7">
        <f>IF($C5834="","",J5834*W5834/100)</f>
        <v/>
      </c>
      <c r="Q5834" s="7" t="n"/>
      <c r="R5834" s="7" t="n"/>
      <c r="U5834">
        <f>IF($C5834="","",IF($AJ5834=1,0,IF($AI5834=1,Settings!$C$6,Settings!$C$7))*100)</f>
        <v/>
      </c>
      <c r="V5834" s="7">
        <f>IF($C5834="","",R5834*U5834/100)</f>
        <v/>
      </c>
      <c r="W5834" s="7">
        <f>IF($C5834="","",R5834-V5834)</f>
        <v/>
      </c>
      <c r="X5834" s="7">
        <f>IF($C5834="","",W5834-K5834)</f>
        <v/>
      </c>
      <c r="AB5834" s="7" t="n"/>
      <c r="AE5834" s="11" t="n"/>
      <c r="AG5834">
        <f>IF($C5834="","",IF(COUNTIF($C$2:$C5834,$C5834)=1,1,0))</f>
        <v/>
      </c>
      <c r="AH5834">
        <f>IF($AG5834=1,SUMPRODUCT(--($AK$2:$AK$6001&lt;$AK5834))+1,"")</f>
        <v/>
      </c>
      <c r="AI5834">
        <f>IF($C5834="","",IF(OR($N5834=TRUE(),$N5834="TRUE"),1,0))</f>
        <v/>
      </c>
      <c r="AJ5834">
        <f>IF($C5834="","",IF($T5834="Yes",1,0))</f>
        <v/>
      </c>
      <c r="AK5834">
        <f>IF($AG5834=1,IFERROR(IF(VALUE($C5834)&lt;100000000,VALUE($C5834),1000000000),IFERROR(IF(VALUE(MID($C5834,2,20))&lt;100000000,VALUE(MID($C5834,2,20)),1000000000),1000000000))+ROW()/100000,"")</f>
        <v/>
      </c>
    </row>
    <row r="5835">
      <c r="D5835" s="11" t="n"/>
      <c r="K5835" s="7">
        <f>IF($C5835="","",J5835*W5835/100)</f>
        <v/>
      </c>
      <c r="Q5835" s="7" t="n"/>
      <c r="R5835" s="7" t="n"/>
      <c r="U5835">
        <f>IF($C5835="","",IF($AJ5835=1,0,IF($AI5835=1,Settings!$C$6,Settings!$C$7))*100)</f>
        <v/>
      </c>
      <c r="V5835" s="7">
        <f>IF($C5835="","",R5835*U5835/100)</f>
        <v/>
      </c>
      <c r="W5835" s="7">
        <f>IF($C5835="","",R5835-V5835)</f>
        <v/>
      </c>
      <c r="X5835" s="7">
        <f>IF($C5835="","",W5835-K5835)</f>
        <v/>
      </c>
      <c r="AB5835" s="7" t="n"/>
      <c r="AE5835" s="11" t="n"/>
      <c r="AG5835">
        <f>IF($C5835="","",IF(COUNTIF($C$2:$C5835,$C5835)=1,1,0))</f>
        <v/>
      </c>
      <c r="AH5835">
        <f>IF($AG5835=1,SUMPRODUCT(--($AK$2:$AK$6001&lt;$AK5835))+1,"")</f>
        <v/>
      </c>
      <c r="AI5835">
        <f>IF($C5835="","",IF(OR($N5835=TRUE(),$N5835="TRUE"),1,0))</f>
        <v/>
      </c>
      <c r="AJ5835">
        <f>IF($C5835="","",IF($T5835="Yes",1,0))</f>
        <v/>
      </c>
      <c r="AK5835">
        <f>IF($AG5835=1,IFERROR(IF(VALUE($C5835)&lt;100000000,VALUE($C5835),1000000000),IFERROR(IF(VALUE(MID($C5835,2,20))&lt;100000000,VALUE(MID($C5835,2,20)),1000000000),1000000000))+ROW()/100000,"")</f>
        <v/>
      </c>
    </row>
    <row r="5836">
      <c r="D5836" s="11" t="n"/>
      <c r="K5836" s="7">
        <f>IF($C5836="","",J5836*W5836/100)</f>
        <v/>
      </c>
      <c r="Q5836" s="7" t="n"/>
      <c r="R5836" s="7" t="n"/>
      <c r="U5836">
        <f>IF($C5836="","",IF($AJ5836=1,0,IF($AI5836=1,Settings!$C$6,Settings!$C$7))*100)</f>
        <v/>
      </c>
      <c r="V5836" s="7">
        <f>IF($C5836="","",R5836*U5836/100)</f>
        <v/>
      </c>
      <c r="W5836" s="7">
        <f>IF($C5836="","",R5836-V5836)</f>
        <v/>
      </c>
      <c r="X5836" s="7">
        <f>IF($C5836="","",W5836-K5836)</f>
        <v/>
      </c>
      <c r="AB5836" s="7" t="n"/>
      <c r="AE5836" s="11" t="n"/>
      <c r="AG5836">
        <f>IF($C5836="","",IF(COUNTIF($C$2:$C5836,$C5836)=1,1,0))</f>
        <v/>
      </c>
      <c r="AH5836">
        <f>IF($AG5836=1,SUMPRODUCT(--($AK$2:$AK$6001&lt;$AK5836))+1,"")</f>
        <v/>
      </c>
      <c r="AI5836">
        <f>IF($C5836="","",IF(OR($N5836=TRUE(),$N5836="TRUE"),1,0))</f>
        <v/>
      </c>
      <c r="AJ5836">
        <f>IF($C5836="","",IF($T5836="Yes",1,0))</f>
        <v/>
      </c>
      <c r="AK5836">
        <f>IF($AG5836=1,IFERROR(IF(VALUE($C5836)&lt;100000000,VALUE($C5836),1000000000),IFERROR(IF(VALUE(MID($C5836,2,20))&lt;100000000,VALUE(MID($C5836,2,20)),1000000000),1000000000))+ROW()/100000,"")</f>
        <v/>
      </c>
    </row>
    <row r="5837">
      <c r="D5837" s="11" t="n"/>
      <c r="K5837" s="7">
        <f>IF($C5837="","",J5837*W5837/100)</f>
        <v/>
      </c>
      <c r="Q5837" s="7" t="n"/>
      <c r="R5837" s="7" t="n"/>
      <c r="U5837">
        <f>IF($C5837="","",IF($AJ5837=1,0,IF($AI5837=1,Settings!$C$6,Settings!$C$7))*100)</f>
        <v/>
      </c>
      <c r="V5837" s="7">
        <f>IF($C5837="","",R5837*U5837/100)</f>
        <v/>
      </c>
      <c r="W5837" s="7">
        <f>IF($C5837="","",R5837-V5837)</f>
        <v/>
      </c>
      <c r="X5837" s="7">
        <f>IF($C5837="","",W5837-K5837)</f>
        <v/>
      </c>
      <c r="AB5837" s="7" t="n"/>
      <c r="AE5837" s="11" t="n"/>
      <c r="AG5837">
        <f>IF($C5837="","",IF(COUNTIF($C$2:$C5837,$C5837)=1,1,0))</f>
        <v/>
      </c>
      <c r="AH5837">
        <f>IF($AG5837=1,SUMPRODUCT(--($AK$2:$AK$6001&lt;$AK5837))+1,"")</f>
        <v/>
      </c>
      <c r="AI5837">
        <f>IF($C5837="","",IF(OR($N5837=TRUE(),$N5837="TRUE"),1,0))</f>
        <v/>
      </c>
      <c r="AJ5837">
        <f>IF($C5837="","",IF($T5837="Yes",1,0))</f>
        <v/>
      </c>
      <c r="AK5837">
        <f>IF($AG5837=1,IFERROR(IF(VALUE($C5837)&lt;100000000,VALUE($C5837),1000000000),IFERROR(IF(VALUE(MID($C5837,2,20))&lt;100000000,VALUE(MID($C5837,2,20)),1000000000),1000000000))+ROW()/100000,"")</f>
        <v/>
      </c>
    </row>
    <row r="5838">
      <c r="D5838" s="11" t="n"/>
      <c r="K5838" s="7">
        <f>IF($C5838="","",J5838*W5838/100)</f>
        <v/>
      </c>
      <c r="Q5838" s="7" t="n"/>
      <c r="R5838" s="7" t="n"/>
      <c r="U5838">
        <f>IF($C5838="","",IF($AJ5838=1,0,IF($AI5838=1,Settings!$C$6,Settings!$C$7))*100)</f>
        <v/>
      </c>
      <c r="V5838" s="7">
        <f>IF($C5838="","",R5838*U5838/100)</f>
        <v/>
      </c>
      <c r="W5838" s="7">
        <f>IF($C5838="","",R5838-V5838)</f>
        <v/>
      </c>
      <c r="X5838" s="7">
        <f>IF($C5838="","",W5838-K5838)</f>
        <v/>
      </c>
      <c r="AB5838" s="7" t="n"/>
      <c r="AE5838" s="11" t="n"/>
      <c r="AG5838">
        <f>IF($C5838="","",IF(COUNTIF($C$2:$C5838,$C5838)=1,1,0))</f>
        <v/>
      </c>
      <c r="AH5838">
        <f>IF($AG5838=1,SUMPRODUCT(--($AK$2:$AK$6001&lt;$AK5838))+1,"")</f>
        <v/>
      </c>
      <c r="AI5838">
        <f>IF($C5838="","",IF(OR($N5838=TRUE(),$N5838="TRUE"),1,0))</f>
        <v/>
      </c>
      <c r="AJ5838">
        <f>IF($C5838="","",IF($T5838="Yes",1,0))</f>
        <v/>
      </c>
      <c r="AK5838">
        <f>IF($AG5838=1,IFERROR(IF(VALUE($C5838)&lt;100000000,VALUE($C5838),1000000000),IFERROR(IF(VALUE(MID($C5838,2,20))&lt;100000000,VALUE(MID($C5838,2,20)),1000000000),1000000000))+ROW()/100000,"")</f>
        <v/>
      </c>
    </row>
    <row r="5839">
      <c r="D5839" s="11" t="n"/>
      <c r="K5839" s="7">
        <f>IF($C5839="","",J5839*W5839/100)</f>
        <v/>
      </c>
      <c r="Q5839" s="7" t="n"/>
      <c r="R5839" s="7" t="n"/>
      <c r="U5839">
        <f>IF($C5839="","",IF($AJ5839=1,0,IF($AI5839=1,Settings!$C$6,Settings!$C$7))*100)</f>
        <v/>
      </c>
      <c r="V5839" s="7">
        <f>IF($C5839="","",R5839*U5839/100)</f>
        <v/>
      </c>
      <c r="W5839" s="7">
        <f>IF($C5839="","",R5839-V5839)</f>
        <v/>
      </c>
      <c r="X5839" s="7">
        <f>IF($C5839="","",W5839-K5839)</f>
        <v/>
      </c>
      <c r="AB5839" s="7" t="n"/>
      <c r="AE5839" s="11" t="n"/>
      <c r="AG5839">
        <f>IF($C5839="","",IF(COUNTIF($C$2:$C5839,$C5839)=1,1,0))</f>
        <v/>
      </c>
      <c r="AH5839">
        <f>IF($AG5839=1,SUMPRODUCT(--($AK$2:$AK$6001&lt;$AK5839))+1,"")</f>
        <v/>
      </c>
      <c r="AI5839">
        <f>IF($C5839="","",IF(OR($N5839=TRUE(),$N5839="TRUE"),1,0))</f>
        <v/>
      </c>
      <c r="AJ5839">
        <f>IF($C5839="","",IF($T5839="Yes",1,0))</f>
        <v/>
      </c>
      <c r="AK5839">
        <f>IF($AG5839=1,IFERROR(IF(VALUE($C5839)&lt;100000000,VALUE($C5839),1000000000),IFERROR(IF(VALUE(MID($C5839,2,20))&lt;100000000,VALUE(MID($C5839,2,20)),1000000000),1000000000))+ROW()/100000,"")</f>
        <v/>
      </c>
    </row>
    <row r="5840">
      <c r="D5840" s="11" t="n"/>
      <c r="K5840" s="7">
        <f>IF($C5840="","",J5840*W5840/100)</f>
        <v/>
      </c>
      <c r="Q5840" s="7" t="n"/>
      <c r="R5840" s="7" t="n"/>
      <c r="U5840">
        <f>IF($C5840="","",IF($AJ5840=1,0,IF($AI5840=1,Settings!$C$6,Settings!$C$7))*100)</f>
        <v/>
      </c>
      <c r="V5840" s="7">
        <f>IF($C5840="","",R5840*U5840/100)</f>
        <v/>
      </c>
      <c r="W5840" s="7">
        <f>IF($C5840="","",R5840-V5840)</f>
        <v/>
      </c>
      <c r="X5840" s="7">
        <f>IF($C5840="","",W5840-K5840)</f>
        <v/>
      </c>
      <c r="AB5840" s="7" t="n"/>
      <c r="AE5840" s="11" t="n"/>
      <c r="AG5840">
        <f>IF($C5840="","",IF(COUNTIF($C$2:$C5840,$C5840)=1,1,0))</f>
        <v/>
      </c>
      <c r="AH5840">
        <f>IF($AG5840=1,SUMPRODUCT(--($AK$2:$AK$6001&lt;$AK5840))+1,"")</f>
        <v/>
      </c>
      <c r="AI5840">
        <f>IF($C5840="","",IF(OR($N5840=TRUE(),$N5840="TRUE"),1,0))</f>
        <v/>
      </c>
      <c r="AJ5840">
        <f>IF($C5840="","",IF($T5840="Yes",1,0))</f>
        <v/>
      </c>
      <c r="AK5840">
        <f>IF($AG5840=1,IFERROR(IF(VALUE($C5840)&lt;100000000,VALUE($C5840),1000000000),IFERROR(IF(VALUE(MID($C5840,2,20))&lt;100000000,VALUE(MID($C5840,2,20)),1000000000),1000000000))+ROW()/100000,"")</f>
        <v/>
      </c>
    </row>
    <row r="5841">
      <c r="D5841" s="11" t="n"/>
      <c r="K5841" s="7">
        <f>IF($C5841="","",J5841*W5841/100)</f>
        <v/>
      </c>
      <c r="Q5841" s="7" t="n"/>
      <c r="R5841" s="7" t="n"/>
      <c r="U5841">
        <f>IF($C5841="","",IF($AJ5841=1,0,IF($AI5841=1,Settings!$C$6,Settings!$C$7))*100)</f>
        <v/>
      </c>
      <c r="V5841" s="7">
        <f>IF($C5841="","",R5841*U5841/100)</f>
        <v/>
      </c>
      <c r="W5841" s="7">
        <f>IF($C5841="","",R5841-V5841)</f>
        <v/>
      </c>
      <c r="X5841" s="7">
        <f>IF($C5841="","",W5841-K5841)</f>
        <v/>
      </c>
      <c r="AB5841" s="7" t="n"/>
      <c r="AE5841" s="11" t="n"/>
      <c r="AG5841">
        <f>IF($C5841="","",IF(COUNTIF($C$2:$C5841,$C5841)=1,1,0))</f>
        <v/>
      </c>
      <c r="AH5841">
        <f>IF($AG5841=1,SUMPRODUCT(--($AK$2:$AK$6001&lt;$AK5841))+1,"")</f>
        <v/>
      </c>
      <c r="AI5841">
        <f>IF($C5841="","",IF(OR($N5841=TRUE(),$N5841="TRUE"),1,0))</f>
        <v/>
      </c>
      <c r="AJ5841">
        <f>IF($C5841="","",IF($T5841="Yes",1,0))</f>
        <v/>
      </c>
      <c r="AK5841">
        <f>IF($AG5841=1,IFERROR(IF(VALUE($C5841)&lt;100000000,VALUE($C5841),1000000000),IFERROR(IF(VALUE(MID($C5841,2,20))&lt;100000000,VALUE(MID($C5841,2,20)),1000000000),1000000000))+ROW()/100000,"")</f>
        <v/>
      </c>
    </row>
    <row r="5842">
      <c r="D5842" s="11" t="n"/>
      <c r="K5842" s="7">
        <f>IF($C5842="","",J5842*W5842/100)</f>
        <v/>
      </c>
      <c r="Q5842" s="7" t="n"/>
      <c r="R5842" s="7" t="n"/>
      <c r="U5842">
        <f>IF($C5842="","",IF($AJ5842=1,0,IF($AI5842=1,Settings!$C$6,Settings!$C$7))*100)</f>
        <v/>
      </c>
      <c r="V5842" s="7">
        <f>IF($C5842="","",R5842*U5842/100)</f>
        <v/>
      </c>
      <c r="W5842" s="7">
        <f>IF($C5842="","",R5842-V5842)</f>
        <v/>
      </c>
      <c r="X5842" s="7">
        <f>IF($C5842="","",W5842-K5842)</f>
        <v/>
      </c>
      <c r="AB5842" s="7" t="n"/>
      <c r="AE5842" s="11" t="n"/>
      <c r="AG5842">
        <f>IF($C5842="","",IF(COUNTIF($C$2:$C5842,$C5842)=1,1,0))</f>
        <v/>
      </c>
      <c r="AH5842">
        <f>IF($AG5842=1,SUMPRODUCT(--($AK$2:$AK$6001&lt;$AK5842))+1,"")</f>
        <v/>
      </c>
      <c r="AI5842">
        <f>IF($C5842="","",IF(OR($N5842=TRUE(),$N5842="TRUE"),1,0))</f>
        <v/>
      </c>
      <c r="AJ5842">
        <f>IF($C5842="","",IF($T5842="Yes",1,0))</f>
        <v/>
      </c>
      <c r="AK5842">
        <f>IF($AG5842=1,IFERROR(IF(VALUE($C5842)&lt;100000000,VALUE($C5842),1000000000),IFERROR(IF(VALUE(MID($C5842,2,20))&lt;100000000,VALUE(MID($C5842,2,20)),1000000000),1000000000))+ROW()/100000,"")</f>
        <v/>
      </c>
    </row>
    <row r="5843">
      <c r="D5843" s="11" t="n"/>
      <c r="K5843" s="7">
        <f>IF($C5843="","",J5843*W5843/100)</f>
        <v/>
      </c>
      <c r="Q5843" s="7" t="n"/>
      <c r="R5843" s="7" t="n"/>
      <c r="U5843">
        <f>IF($C5843="","",IF($AJ5843=1,0,IF($AI5843=1,Settings!$C$6,Settings!$C$7))*100)</f>
        <v/>
      </c>
      <c r="V5843" s="7">
        <f>IF($C5843="","",R5843*U5843/100)</f>
        <v/>
      </c>
      <c r="W5843" s="7">
        <f>IF($C5843="","",R5843-V5843)</f>
        <v/>
      </c>
      <c r="X5843" s="7">
        <f>IF($C5843="","",W5843-K5843)</f>
        <v/>
      </c>
      <c r="AB5843" s="7" t="n"/>
      <c r="AE5843" s="11" t="n"/>
      <c r="AG5843">
        <f>IF($C5843="","",IF(COUNTIF($C$2:$C5843,$C5843)=1,1,0))</f>
        <v/>
      </c>
      <c r="AH5843">
        <f>IF($AG5843=1,SUMPRODUCT(--($AK$2:$AK$6001&lt;$AK5843))+1,"")</f>
        <v/>
      </c>
      <c r="AI5843">
        <f>IF($C5843="","",IF(OR($N5843=TRUE(),$N5843="TRUE"),1,0))</f>
        <v/>
      </c>
      <c r="AJ5843">
        <f>IF($C5843="","",IF($T5843="Yes",1,0))</f>
        <v/>
      </c>
      <c r="AK5843">
        <f>IF($AG5843=1,IFERROR(IF(VALUE($C5843)&lt;100000000,VALUE($C5843),1000000000),IFERROR(IF(VALUE(MID($C5843,2,20))&lt;100000000,VALUE(MID($C5843,2,20)),1000000000),1000000000))+ROW()/100000,"")</f>
        <v/>
      </c>
    </row>
    <row r="5844">
      <c r="D5844" s="11" t="n"/>
      <c r="K5844" s="7">
        <f>IF($C5844="","",J5844*W5844/100)</f>
        <v/>
      </c>
      <c r="Q5844" s="7" t="n"/>
      <c r="R5844" s="7" t="n"/>
      <c r="U5844">
        <f>IF($C5844="","",IF($AJ5844=1,0,IF($AI5844=1,Settings!$C$6,Settings!$C$7))*100)</f>
        <v/>
      </c>
      <c r="V5844" s="7">
        <f>IF($C5844="","",R5844*U5844/100)</f>
        <v/>
      </c>
      <c r="W5844" s="7">
        <f>IF($C5844="","",R5844-V5844)</f>
        <v/>
      </c>
      <c r="X5844" s="7">
        <f>IF($C5844="","",W5844-K5844)</f>
        <v/>
      </c>
      <c r="AB5844" s="7" t="n"/>
      <c r="AE5844" s="11" t="n"/>
      <c r="AG5844">
        <f>IF($C5844="","",IF(COUNTIF($C$2:$C5844,$C5844)=1,1,0))</f>
        <v/>
      </c>
      <c r="AH5844">
        <f>IF($AG5844=1,SUMPRODUCT(--($AK$2:$AK$6001&lt;$AK5844))+1,"")</f>
        <v/>
      </c>
      <c r="AI5844">
        <f>IF($C5844="","",IF(OR($N5844=TRUE(),$N5844="TRUE"),1,0))</f>
        <v/>
      </c>
      <c r="AJ5844">
        <f>IF($C5844="","",IF($T5844="Yes",1,0))</f>
        <v/>
      </c>
      <c r="AK5844">
        <f>IF($AG5844=1,IFERROR(IF(VALUE($C5844)&lt;100000000,VALUE($C5844),1000000000),IFERROR(IF(VALUE(MID($C5844,2,20))&lt;100000000,VALUE(MID($C5844,2,20)),1000000000),1000000000))+ROW()/100000,"")</f>
        <v/>
      </c>
    </row>
    <row r="5845">
      <c r="D5845" s="11" t="n"/>
      <c r="K5845" s="7">
        <f>IF($C5845="","",J5845*W5845/100)</f>
        <v/>
      </c>
      <c r="Q5845" s="7" t="n"/>
      <c r="R5845" s="7" t="n"/>
      <c r="U5845">
        <f>IF($C5845="","",IF($AJ5845=1,0,IF($AI5845=1,Settings!$C$6,Settings!$C$7))*100)</f>
        <v/>
      </c>
      <c r="V5845" s="7">
        <f>IF($C5845="","",R5845*U5845/100)</f>
        <v/>
      </c>
      <c r="W5845" s="7">
        <f>IF($C5845="","",R5845-V5845)</f>
        <v/>
      </c>
      <c r="X5845" s="7">
        <f>IF($C5845="","",W5845-K5845)</f>
        <v/>
      </c>
      <c r="AB5845" s="7" t="n"/>
      <c r="AE5845" s="11" t="n"/>
      <c r="AG5845">
        <f>IF($C5845="","",IF(COUNTIF($C$2:$C5845,$C5845)=1,1,0))</f>
        <v/>
      </c>
      <c r="AH5845">
        <f>IF($AG5845=1,SUMPRODUCT(--($AK$2:$AK$6001&lt;$AK5845))+1,"")</f>
        <v/>
      </c>
      <c r="AI5845">
        <f>IF($C5845="","",IF(OR($N5845=TRUE(),$N5845="TRUE"),1,0))</f>
        <v/>
      </c>
      <c r="AJ5845">
        <f>IF($C5845="","",IF($T5845="Yes",1,0))</f>
        <v/>
      </c>
      <c r="AK5845">
        <f>IF($AG5845=1,IFERROR(IF(VALUE($C5845)&lt;100000000,VALUE($C5845),1000000000),IFERROR(IF(VALUE(MID($C5845,2,20))&lt;100000000,VALUE(MID($C5845,2,20)),1000000000),1000000000))+ROW()/100000,"")</f>
        <v/>
      </c>
    </row>
    <row r="5846">
      <c r="D5846" s="11" t="n"/>
      <c r="K5846" s="7">
        <f>IF($C5846="","",J5846*W5846/100)</f>
        <v/>
      </c>
      <c r="Q5846" s="7" t="n"/>
      <c r="R5846" s="7" t="n"/>
      <c r="U5846">
        <f>IF($C5846="","",IF($AJ5846=1,0,IF($AI5846=1,Settings!$C$6,Settings!$C$7))*100)</f>
        <v/>
      </c>
      <c r="V5846" s="7">
        <f>IF($C5846="","",R5846*U5846/100)</f>
        <v/>
      </c>
      <c r="W5846" s="7">
        <f>IF($C5846="","",R5846-V5846)</f>
        <v/>
      </c>
      <c r="X5846" s="7">
        <f>IF($C5846="","",W5846-K5846)</f>
        <v/>
      </c>
      <c r="AB5846" s="7" t="n"/>
      <c r="AE5846" s="11" t="n"/>
      <c r="AG5846">
        <f>IF($C5846="","",IF(COUNTIF($C$2:$C5846,$C5846)=1,1,0))</f>
        <v/>
      </c>
      <c r="AH5846">
        <f>IF($AG5846=1,SUMPRODUCT(--($AK$2:$AK$6001&lt;$AK5846))+1,"")</f>
        <v/>
      </c>
      <c r="AI5846">
        <f>IF($C5846="","",IF(OR($N5846=TRUE(),$N5846="TRUE"),1,0))</f>
        <v/>
      </c>
      <c r="AJ5846">
        <f>IF($C5846="","",IF($T5846="Yes",1,0))</f>
        <v/>
      </c>
      <c r="AK5846">
        <f>IF($AG5846=1,IFERROR(IF(VALUE($C5846)&lt;100000000,VALUE($C5846),1000000000),IFERROR(IF(VALUE(MID($C5846,2,20))&lt;100000000,VALUE(MID($C5846,2,20)),1000000000),1000000000))+ROW()/100000,"")</f>
        <v/>
      </c>
    </row>
    <row r="5847">
      <c r="D5847" s="11" t="n"/>
      <c r="K5847" s="7">
        <f>IF($C5847="","",J5847*W5847/100)</f>
        <v/>
      </c>
      <c r="Q5847" s="7" t="n"/>
      <c r="R5847" s="7" t="n"/>
      <c r="U5847">
        <f>IF($C5847="","",IF($AJ5847=1,0,IF($AI5847=1,Settings!$C$6,Settings!$C$7))*100)</f>
        <v/>
      </c>
      <c r="V5847" s="7">
        <f>IF($C5847="","",R5847*U5847/100)</f>
        <v/>
      </c>
      <c r="W5847" s="7">
        <f>IF($C5847="","",R5847-V5847)</f>
        <v/>
      </c>
      <c r="X5847" s="7">
        <f>IF($C5847="","",W5847-K5847)</f>
        <v/>
      </c>
      <c r="AB5847" s="7" t="n"/>
      <c r="AE5847" s="11" t="n"/>
      <c r="AG5847">
        <f>IF($C5847="","",IF(COUNTIF($C$2:$C5847,$C5847)=1,1,0))</f>
        <v/>
      </c>
      <c r="AH5847">
        <f>IF($AG5847=1,SUMPRODUCT(--($AK$2:$AK$6001&lt;$AK5847))+1,"")</f>
        <v/>
      </c>
      <c r="AI5847">
        <f>IF($C5847="","",IF(OR($N5847=TRUE(),$N5847="TRUE"),1,0))</f>
        <v/>
      </c>
      <c r="AJ5847">
        <f>IF($C5847="","",IF($T5847="Yes",1,0))</f>
        <v/>
      </c>
      <c r="AK5847">
        <f>IF($AG5847=1,IFERROR(IF(VALUE($C5847)&lt;100000000,VALUE($C5847),1000000000),IFERROR(IF(VALUE(MID($C5847,2,20))&lt;100000000,VALUE(MID($C5847,2,20)),1000000000),1000000000))+ROW()/100000,"")</f>
        <v/>
      </c>
    </row>
    <row r="5848">
      <c r="D5848" s="11" t="n"/>
      <c r="K5848" s="7">
        <f>IF($C5848="","",J5848*W5848/100)</f>
        <v/>
      </c>
      <c r="Q5848" s="7" t="n"/>
      <c r="R5848" s="7" t="n"/>
      <c r="U5848">
        <f>IF($C5848="","",IF($AJ5848=1,0,IF($AI5848=1,Settings!$C$6,Settings!$C$7))*100)</f>
        <v/>
      </c>
      <c r="V5848" s="7">
        <f>IF($C5848="","",R5848*U5848/100)</f>
        <v/>
      </c>
      <c r="W5848" s="7">
        <f>IF($C5848="","",R5848-V5848)</f>
        <v/>
      </c>
      <c r="X5848" s="7">
        <f>IF($C5848="","",W5848-K5848)</f>
        <v/>
      </c>
      <c r="AB5848" s="7" t="n"/>
      <c r="AE5848" s="11" t="n"/>
      <c r="AG5848">
        <f>IF($C5848="","",IF(COUNTIF($C$2:$C5848,$C5848)=1,1,0))</f>
        <v/>
      </c>
      <c r="AH5848">
        <f>IF($AG5848=1,SUMPRODUCT(--($AK$2:$AK$6001&lt;$AK5848))+1,"")</f>
        <v/>
      </c>
      <c r="AI5848">
        <f>IF($C5848="","",IF(OR($N5848=TRUE(),$N5848="TRUE"),1,0))</f>
        <v/>
      </c>
      <c r="AJ5848">
        <f>IF($C5848="","",IF($T5848="Yes",1,0))</f>
        <v/>
      </c>
      <c r="AK5848">
        <f>IF($AG5848=1,IFERROR(IF(VALUE($C5848)&lt;100000000,VALUE($C5848),1000000000),IFERROR(IF(VALUE(MID($C5848,2,20))&lt;100000000,VALUE(MID($C5848,2,20)),1000000000),1000000000))+ROW()/100000,"")</f>
        <v/>
      </c>
    </row>
    <row r="5849">
      <c r="D5849" s="11" t="n"/>
      <c r="K5849" s="7">
        <f>IF($C5849="","",J5849*W5849/100)</f>
        <v/>
      </c>
      <c r="Q5849" s="7" t="n"/>
      <c r="R5849" s="7" t="n"/>
      <c r="U5849">
        <f>IF($C5849="","",IF($AJ5849=1,0,IF($AI5849=1,Settings!$C$6,Settings!$C$7))*100)</f>
        <v/>
      </c>
      <c r="V5849" s="7">
        <f>IF($C5849="","",R5849*U5849/100)</f>
        <v/>
      </c>
      <c r="W5849" s="7">
        <f>IF($C5849="","",R5849-V5849)</f>
        <v/>
      </c>
      <c r="X5849" s="7">
        <f>IF($C5849="","",W5849-K5849)</f>
        <v/>
      </c>
      <c r="AB5849" s="7" t="n"/>
      <c r="AE5849" s="11" t="n"/>
      <c r="AG5849">
        <f>IF($C5849="","",IF(COUNTIF($C$2:$C5849,$C5849)=1,1,0))</f>
        <v/>
      </c>
      <c r="AH5849">
        <f>IF($AG5849=1,SUMPRODUCT(--($AK$2:$AK$6001&lt;$AK5849))+1,"")</f>
        <v/>
      </c>
      <c r="AI5849">
        <f>IF($C5849="","",IF(OR($N5849=TRUE(),$N5849="TRUE"),1,0))</f>
        <v/>
      </c>
      <c r="AJ5849">
        <f>IF($C5849="","",IF($T5849="Yes",1,0))</f>
        <v/>
      </c>
      <c r="AK5849">
        <f>IF($AG5849=1,IFERROR(IF(VALUE($C5849)&lt;100000000,VALUE($C5849),1000000000),IFERROR(IF(VALUE(MID($C5849,2,20))&lt;100000000,VALUE(MID($C5849,2,20)),1000000000),1000000000))+ROW()/100000,"")</f>
        <v/>
      </c>
    </row>
    <row r="5850">
      <c r="D5850" s="11" t="n"/>
      <c r="K5850" s="7">
        <f>IF($C5850="","",J5850*W5850/100)</f>
        <v/>
      </c>
      <c r="Q5850" s="7" t="n"/>
      <c r="R5850" s="7" t="n"/>
      <c r="U5850">
        <f>IF($C5850="","",IF($AJ5850=1,0,IF($AI5850=1,Settings!$C$6,Settings!$C$7))*100)</f>
        <v/>
      </c>
      <c r="V5850" s="7">
        <f>IF($C5850="","",R5850*U5850/100)</f>
        <v/>
      </c>
      <c r="W5850" s="7">
        <f>IF($C5850="","",R5850-V5850)</f>
        <v/>
      </c>
      <c r="X5850" s="7">
        <f>IF($C5850="","",W5850-K5850)</f>
        <v/>
      </c>
      <c r="AB5850" s="7" t="n"/>
      <c r="AE5850" s="11" t="n"/>
      <c r="AG5850">
        <f>IF($C5850="","",IF(COUNTIF($C$2:$C5850,$C5850)=1,1,0))</f>
        <v/>
      </c>
      <c r="AH5850">
        <f>IF($AG5850=1,SUMPRODUCT(--($AK$2:$AK$6001&lt;$AK5850))+1,"")</f>
        <v/>
      </c>
      <c r="AI5850">
        <f>IF($C5850="","",IF(OR($N5850=TRUE(),$N5850="TRUE"),1,0))</f>
        <v/>
      </c>
      <c r="AJ5850">
        <f>IF($C5850="","",IF($T5850="Yes",1,0))</f>
        <v/>
      </c>
      <c r="AK5850">
        <f>IF($AG5850=1,IFERROR(IF(VALUE($C5850)&lt;100000000,VALUE($C5850),1000000000),IFERROR(IF(VALUE(MID($C5850,2,20))&lt;100000000,VALUE(MID($C5850,2,20)),1000000000),1000000000))+ROW()/100000,"")</f>
        <v/>
      </c>
    </row>
    <row r="5851">
      <c r="D5851" s="11" t="n"/>
      <c r="K5851" s="7">
        <f>IF($C5851="","",J5851*W5851/100)</f>
        <v/>
      </c>
      <c r="Q5851" s="7" t="n"/>
      <c r="R5851" s="7" t="n"/>
      <c r="U5851">
        <f>IF($C5851="","",IF($AJ5851=1,0,IF($AI5851=1,Settings!$C$6,Settings!$C$7))*100)</f>
        <v/>
      </c>
      <c r="V5851" s="7">
        <f>IF($C5851="","",R5851*U5851/100)</f>
        <v/>
      </c>
      <c r="W5851" s="7">
        <f>IF($C5851="","",R5851-V5851)</f>
        <v/>
      </c>
      <c r="X5851" s="7">
        <f>IF($C5851="","",W5851-K5851)</f>
        <v/>
      </c>
      <c r="AB5851" s="7" t="n"/>
      <c r="AE5851" s="11" t="n"/>
      <c r="AG5851">
        <f>IF($C5851="","",IF(COUNTIF($C$2:$C5851,$C5851)=1,1,0))</f>
        <v/>
      </c>
      <c r="AH5851">
        <f>IF($AG5851=1,SUMPRODUCT(--($AK$2:$AK$6001&lt;$AK5851))+1,"")</f>
        <v/>
      </c>
      <c r="AI5851">
        <f>IF($C5851="","",IF(OR($N5851=TRUE(),$N5851="TRUE"),1,0))</f>
        <v/>
      </c>
      <c r="AJ5851">
        <f>IF($C5851="","",IF($T5851="Yes",1,0))</f>
        <v/>
      </c>
      <c r="AK5851">
        <f>IF($AG5851=1,IFERROR(IF(VALUE($C5851)&lt;100000000,VALUE($C5851),1000000000),IFERROR(IF(VALUE(MID($C5851,2,20))&lt;100000000,VALUE(MID($C5851,2,20)),1000000000),1000000000))+ROW()/100000,"")</f>
        <v/>
      </c>
    </row>
    <row r="5852">
      <c r="D5852" s="11" t="n"/>
      <c r="K5852" s="7">
        <f>IF($C5852="","",J5852*W5852/100)</f>
        <v/>
      </c>
      <c r="Q5852" s="7" t="n"/>
      <c r="R5852" s="7" t="n"/>
      <c r="U5852">
        <f>IF($C5852="","",IF($AJ5852=1,0,IF($AI5852=1,Settings!$C$6,Settings!$C$7))*100)</f>
        <v/>
      </c>
      <c r="V5852" s="7">
        <f>IF($C5852="","",R5852*U5852/100)</f>
        <v/>
      </c>
      <c r="W5852" s="7">
        <f>IF($C5852="","",R5852-V5852)</f>
        <v/>
      </c>
      <c r="X5852" s="7">
        <f>IF($C5852="","",W5852-K5852)</f>
        <v/>
      </c>
      <c r="AB5852" s="7" t="n"/>
      <c r="AE5852" s="11" t="n"/>
      <c r="AG5852">
        <f>IF($C5852="","",IF(COUNTIF($C$2:$C5852,$C5852)=1,1,0))</f>
        <v/>
      </c>
      <c r="AH5852">
        <f>IF($AG5852=1,SUMPRODUCT(--($AK$2:$AK$6001&lt;$AK5852))+1,"")</f>
        <v/>
      </c>
      <c r="AI5852">
        <f>IF($C5852="","",IF(OR($N5852=TRUE(),$N5852="TRUE"),1,0))</f>
        <v/>
      </c>
      <c r="AJ5852">
        <f>IF($C5852="","",IF($T5852="Yes",1,0))</f>
        <v/>
      </c>
      <c r="AK5852">
        <f>IF($AG5852=1,IFERROR(IF(VALUE($C5852)&lt;100000000,VALUE($C5852),1000000000),IFERROR(IF(VALUE(MID($C5852,2,20))&lt;100000000,VALUE(MID($C5852,2,20)),1000000000),1000000000))+ROW()/100000,"")</f>
        <v/>
      </c>
    </row>
    <row r="5853">
      <c r="D5853" s="11" t="n"/>
      <c r="K5853" s="7">
        <f>IF($C5853="","",J5853*W5853/100)</f>
        <v/>
      </c>
      <c r="Q5853" s="7" t="n"/>
      <c r="R5853" s="7" t="n"/>
      <c r="U5853">
        <f>IF($C5853="","",IF($AJ5853=1,0,IF($AI5853=1,Settings!$C$6,Settings!$C$7))*100)</f>
        <v/>
      </c>
      <c r="V5853" s="7">
        <f>IF($C5853="","",R5853*U5853/100)</f>
        <v/>
      </c>
      <c r="W5853" s="7">
        <f>IF($C5853="","",R5853-V5853)</f>
        <v/>
      </c>
      <c r="X5853" s="7">
        <f>IF($C5853="","",W5853-K5853)</f>
        <v/>
      </c>
      <c r="AB5853" s="7" t="n"/>
      <c r="AE5853" s="11" t="n"/>
      <c r="AG5853">
        <f>IF($C5853="","",IF(COUNTIF($C$2:$C5853,$C5853)=1,1,0))</f>
        <v/>
      </c>
      <c r="AH5853">
        <f>IF($AG5853=1,SUMPRODUCT(--($AK$2:$AK$6001&lt;$AK5853))+1,"")</f>
        <v/>
      </c>
      <c r="AI5853">
        <f>IF($C5853="","",IF(OR($N5853=TRUE(),$N5853="TRUE"),1,0))</f>
        <v/>
      </c>
      <c r="AJ5853">
        <f>IF($C5853="","",IF($T5853="Yes",1,0))</f>
        <v/>
      </c>
      <c r="AK5853">
        <f>IF($AG5853=1,IFERROR(IF(VALUE($C5853)&lt;100000000,VALUE($C5853),1000000000),IFERROR(IF(VALUE(MID($C5853,2,20))&lt;100000000,VALUE(MID($C5853,2,20)),1000000000),1000000000))+ROW()/100000,"")</f>
        <v/>
      </c>
    </row>
    <row r="5854">
      <c r="D5854" s="11" t="n"/>
      <c r="K5854" s="7">
        <f>IF($C5854="","",J5854*W5854/100)</f>
        <v/>
      </c>
      <c r="Q5854" s="7" t="n"/>
      <c r="R5854" s="7" t="n"/>
      <c r="U5854">
        <f>IF($C5854="","",IF($AJ5854=1,0,IF($AI5854=1,Settings!$C$6,Settings!$C$7))*100)</f>
        <v/>
      </c>
      <c r="V5854" s="7">
        <f>IF($C5854="","",R5854*U5854/100)</f>
        <v/>
      </c>
      <c r="W5854" s="7">
        <f>IF($C5854="","",R5854-V5854)</f>
        <v/>
      </c>
      <c r="X5854" s="7">
        <f>IF($C5854="","",W5854-K5854)</f>
        <v/>
      </c>
      <c r="AB5854" s="7" t="n"/>
      <c r="AE5854" s="11" t="n"/>
      <c r="AG5854">
        <f>IF($C5854="","",IF(COUNTIF($C$2:$C5854,$C5854)=1,1,0))</f>
        <v/>
      </c>
      <c r="AH5854">
        <f>IF($AG5854=1,SUMPRODUCT(--($AK$2:$AK$6001&lt;$AK5854))+1,"")</f>
        <v/>
      </c>
      <c r="AI5854">
        <f>IF($C5854="","",IF(OR($N5854=TRUE(),$N5854="TRUE"),1,0))</f>
        <v/>
      </c>
      <c r="AJ5854">
        <f>IF($C5854="","",IF($T5854="Yes",1,0))</f>
        <v/>
      </c>
      <c r="AK5854">
        <f>IF($AG5854=1,IFERROR(IF(VALUE($C5854)&lt;100000000,VALUE($C5854),1000000000),IFERROR(IF(VALUE(MID($C5854,2,20))&lt;100000000,VALUE(MID($C5854,2,20)),1000000000),1000000000))+ROW()/100000,"")</f>
        <v/>
      </c>
    </row>
    <row r="5855">
      <c r="D5855" s="11" t="n"/>
      <c r="K5855" s="7">
        <f>IF($C5855="","",J5855*W5855/100)</f>
        <v/>
      </c>
      <c r="Q5855" s="7" t="n"/>
      <c r="R5855" s="7" t="n"/>
      <c r="U5855">
        <f>IF($C5855="","",IF($AJ5855=1,0,IF($AI5855=1,Settings!$C$6,Settings!$C$7))*100)</f>
        <v/>
      </c>
      <c r="V5855" s="7">
        <f>IF($C5855="","",R5855*U5855/100)</f>
        <v/>
      </c>
      <c r="W5855" s="7">
        <f>IF($C5855="","",R5855-V5855)</f>
        <v/>
      </c>
      <c r="X5855" s="7">
        <f>IF($C5855="","",W5855-K5855)</f>
        <v/>
      </c>
      <c r="AB5855" s="7" t="n"/>
      <c r="AE5855" s="11" t="n"/>
      <c r="AG5855">
        <f>IF($C5855="","",IF(COUNTIF($C$2:$C5855,$C5855)=1,1,0))</f>
        <v/>
      </c>
      <c r="AH5855">
        <f>IF($AG5855=1,SUMPRODUCT(--($AK$2:$AK$6001&lt;$AK5855))+1,"")</f>
        <v/>
      </c>
      <c r="AI5855">
        <f>IF($C5855="","",IF(OR($N5855=TRUE(),$N5855="TRUE"),1,0))</f>
        <v/>
      </c>
      <c r="AJ5855">
        <f>IF($C5855="","",IF($T5855="Yes",1,0))</f>
        <v/>
      </c>
      <c r="AK5855">
        <f>IF($AG5855=1,IFERROR(IF(VALUE($C5855)&lt;100000000,VALUE($C5855),1000000000),IFERROR(IF(VALUE(MID($C5855,2,20))&lt;100000000,VALUE(MID($C5855,2,20)),1000000000),1000000000))+ROW()/100000,"")</f>
        <v/>
      </c>
    </row>
    <row r="5856">
      <c r="D5856" s="11" t="n"/>
      <c r="K5856" s="7">
        <f>IF($C5856="","",J5856*W5856/100)</f>
        <v/>
      </c>
      <c r="Q5856" s="7" t="n"/>
      <c r="R5856" s="7" t="n"/>
      <c r="U5856">
        <f>IF($C5856="","",IF($AJ5856=1,0,IF($AI5856=1,Settings!$C$6,Settings!$C$7))*100)</f>
        <v/>
      </c>
      <c r="V5856" s="7">
        <f>IF($C5856="","",R5856*U5856/100)</f>
        <v/>
      </c>
      <c r="W5856" s="7">
        <f>IF($C5856="","",R5856-V5856)</f>
        <v/>
      </c>
      <c r="X5856" s="7">
        <f>IF($C5856="","",W5856-K5856)</f>
        <v/>
      </c>
      <c r="AB5856" s="7" t="n"/>
      <c r="AE5856" s="11" t="n"/>
      <c r="AG5856">
        <f>IF($C5856="","",IF(COUNTIF($C$2:$C5856,$C5856)=1,1,0))</f>
        <v/>
      </c>
      <c r="AH5856">
        <f>IF($AG5856=1,SUMPRODUCT(--($AK$2:$AK$6001&lt;$AK5856))+1,"")</f>
        <v/>
      </c>
      <c r="AI5856">
        <f>IF($C5856="","",IF(OR($N5856=TRUE(),$N5856="TRUE"),1,0))</f>
        <v/>
      </c>
      <c r="AJ5856">
        <f>IF($C5856="","",IF($T5856="Yes",1,0))</f>
        <v/>
      </c>
      <c r="AK5856">
        <f>IF($AG5856=1,IFERROR(IF(VALUE($C5856)&lt;100000000,VALUE($C5856),1000000000),IFERROR(IF(VALUE(MID($C5856,2,20))&lt;100000000,VALUE(MID($C5856,2,20)),1000000000),1000000000))+ROW()/100000,"")</f>
        <v/>
      </c>
    </row>
    <row r="5857">
      <c r="D5857" s="11" t="n"/>
      <c r="K5857" s="7">
        <f>IF($C5857="","",J5857*W5857/100)</f>
        <v/>
      </c>
      <c r="Q5857" s="7" t="n"/>
      <c r="R5857" s="7" t="n"/>
      <c r="U5857">
        <f>IF($C5857="","",IF($AJ5857=1,0,IF($AI5857=1,Settings!$C$6,Settings!$C$7))*100)</f>
        <v/>
      </c>
      <c r="V5857" s="7">
        <f>IF($C5857="","",R5857*U5857/100)</f>
        <v/>
      </c>
      <c r="W5857" s="7">
        <f>IF($C5857="","",R5857-V5857)</f>
        <v/>
      </c>
      <c r="X5857" s="7">
        <f>IF($C5857="","",W5857-K5857)</f>
        <v/>
      </c>
      <c r="AB5857" s="7" t="n"/>
      <c r="AE5857" s="11" t="n"/>
      <c r="AG5857">
        <f>IF($C5857="","",IF(COUNTIF($C$2:$C5857,$C5857)=1,1,0))</f>
        <v/>
      </c>
      <c r="AH5857">
        <f>IF($AG5857=1,SUMPRODUCT(--($AK$2:$AK$6001&lt;$AK5857))+1,"")</f>
        <v/>
      </c>
      <c r="AI5857">
        <f>IF($C5857="","",IF(OR($N5857=TRUE(),$N5857="TRUE"),1,0))</f>
        <v/>
      </c>
      <c r="AJ5857">
        <f>IF($C5857="","",IF($T5857="Yes",1,0))</f>
        <v/>
      </c>
      <c r="AK5857">
        <f>IF($AG5857=1,IFERROR(IF(VALUE($C5857)&lt;100000000,VALUE($C5857),1000000000),IFERROR(IF(VALUE(MID($C5857,2,20))&lt;100000000,VALUE(MID($C5857,2,20)),1000000000),1000000000))+ROW()/100000,"")</f>
        <v/>
      </c>
    </row>
    <row r="5858">
      <c r="D5858" s="11" t="n"/>
      <c r="K5858" s="7">
        <f>IF($C5858="","",J5858*W5858/100)</f>
        <v/>
      </c>
      <c r="Q5858" s="7" t="n"/>
      <c r="R5858" s="7" t="n"/>
      <c r="U5858">
        <f>IF($C5858="","",IF($AJ5858=1,0,IF($AI5858=1,Settings!$C$6,Settings!$C$7))*100)</f>
        <v/>
      </c>
      <c r="V5858" s="7">
        <f>IF($C5858="","",R5858*U5858/100)</f>
        <v/>
      </c>
      <c r="W5858" s="7">
        <f>IF($C5858="","",R5858-V5858)</f>
        <v/>
      </c>
      <c r="X5858" s="7">
        <f>IF($C5858="","",W5858-K5858)</f>
        <v/>
      </c>
      <c r="AB5858" s="7" t="n"/>
      <c r="AE5858" s="11" t="n"/>
      <c r="AG5858">
        <f>IF($C5858="","",IF(COUNTIF($C$2:$C5858,$C5858)=1,1,0))</f>
        <v/>
      </c>
      <c r="AH5858">
        <f>IF($AG5858=1,SUMPRODUCT(--($AK$2:$AK$6001&lt;$AK5858))+1,"")</f>
        <v/>
      </c>
      <c r="AI5858">
        <f>IF($C5858="","",IF(OR($N5858=TRUE(),$N5858="TRUE"),1,0))</f>
        <v/>
      </c>
      <c r="AJ5858">
        <f>IF($C5858="","",IF($T5858="Yes",1,0))</f>
        <v/>
      </c>
      <c r="AK5858">
        <f>IF($AG5858=1,IFERROR(IF(VALUE($C5858)&lt;100000000,VALUE($C5858),1000000000),IFERROR(IF(VALUE(MID($C5858,2,20))&lt;100000000,VALUE(MID($C5858,2,20)),1000000000),1000000000))+ROW()/100000,"")</f>
        <v/>
      </c>
    </row>
    <row r="5859">
      <c r="D5859" s="11" t="n"/>
      <c r="K5859" s="7">
        <f>IF($C5859="","",J5859*W5859/100)</f>
        <v/>
      </c>
      <c r="Q5859" s="7" t="n"/>
      <c r="R5859" s="7" t="n"/>
      <c r="U5859">
        <f>IF($C5859="","",IF($AJ5859=1,0,IF($AI5859=1,Settings!$C$6,Settings!$C$7))*100)</f>
        <v/>
      </c>
      <c r="V5859" s="7">
        <f>IF($C5859="","",R5859*U5859/100)</f>
        <v/>
      </c>
      <c r="W5859" s="7">
        <f>IF($C5859="","",R5859-V5859)</f>
        <v/>
      </c>
      <c r="X5859" s="7">
        <f>IF($C5859="","",W5859-K5859)</f>
        <v/>
      </c>
      <c r="AB5859" s="7" t="n"/>
      <c r="AE5859" s="11" t="n"/>
      <c r="AG5859">
        <f>IF($C5859="","",IF(COUNTIF($C$2:$C5859,$C5859)=1,1,0))</f>
        <v/>
      </c>
      <c r="AH5859">
        <f>IF($AG5859=1,SUMPRODUCT(--($AK$2:$AK$6001&lt;$AK5859))+1,"")</f>
        <v/>
      </c>
      <c r="AI5859">
        <f>IF($C5859="","",IF(OR($N5859=TRUE(),$N5859="TRUE"),1,0))</f>
        <v/>
      </c>
      <c r="AJ5859">
        <f>IF($C5859="","",IF($T5859="Yes",1,0))</f>
        <v/>
      </c>
      <c r="AK5859">
        <f>IF($AG5859=1,IFERROR(IF(VALUE($C5859)&lt;100000000,VALUE($C5859),1000000000),IFERROR(IF(VALUE(MID($C5859,2,20))&lt;100000000,VALUE(MID($C5859,2,20)),1000000000),1000000000))+ROW()/100000,"")</f>
        <v/>
      </c>
    </row>
    <row r="5860">
      <c r="D5860" s="11" t="n"/>
      <c r="K5860" s="7">
        <f>IF($C5860="","",J5860*W5860/100)</f>
        <v/>
      </c>
      <c r="Q5860" s="7" t="n"/>
      <c r="R5860" s="7" t="n"/>
      <c r="U5860">
        <f>IF($C5860="","",IF($AJ5860=1,0,IF($AI5860=1,Settings!$C$6,Settings!$C$7))*100)</f>
        <v/>
      </c>
      <c r="V5860" s="7">
        <f>IF($C5860="","",R5860*U5860/100)</f>
        <v/>
      </c>
      <c r="W5860" s="7">
        <f>IF($C5860="","",R5860-V5860)</f>
        <v/>
      </c>
      <c r="X5860" s="7">
        <f>IF($C5860="","",W5860-K5860)</f>
        <v/>
      </c>
      <c r="AB5860" s="7" t="n"/>
      <c r="AE5860" s="11" t="n"/>
      <c r="AG5860">
        <f>IF($C5860="","",IF(COUNTIF($C$2:$C5860,$C5860)=1,1,0))</f>
        <v/>
      </c>
      <c r="AH5860">
        <f>IF($AG5860=1,SUMPRODUCT(--($AK$2:$AK$6001&lt;$AK5860))+1,"")</f>
        <v/>
      </c>
      <c r="AI5860">
        <f>IF($C5860="","",IF(OR($N5860=TRUE(),$N5860="TRUE"),1,0))</f>
        <v/>
      </c>
      <c r="AJ5860">
        <f>IF($C5860="","",IF($T5860="Yes",1,0))</f>
        <v/>
      </c>
      <c r="AK5860">
        <f>IF($AG5860=1,IFERROR(IF(VALUE($C5860)&lt;100000000,VALUE($C5860),1000000000),IFERROR(IF(VALUE(MID($C5860,2,20))&lt;100000000,VALUE(MID($C5860,2,20)),1000000000),1000000000))+ROW()/100000,"")</f>
        <v/>
      </c>
    </row>
    <row r="5861">
      <c r="D5861" s="11" t="n"/>
      <c r="K5861" s="7">
        <f>IF($C5861="","",J5861*W5861/100)</f>
        <v/>
      </c>
      <c r="Q5861" s="7" t="n"/>
      <c r="R5861" s="7" t="n"/>
      <c r="U5861">
        <f>IF($C5861="","",IF($AJ5861=1,0,IF($AI5861=1,Settings!$C$6,Settings!$C$7))*100)</f>
        <v/>
      </c>
      <c r="V5861" s="7">
        <f>IF($C5861="","",R5861*U5861/100)</f>
        <v/>
      </c>
      <c r="W5861" s="7">
        <f>IF($C5861="","",R5861-V5861)</f>
        <v/>
      </c>
      <c r="X5861" s="7">
        <f>IF($C5861="","",W5861-K5861)</f>
        <v/>
      </c>
      <c r="AB5861" s="7" t="n"/>
      <c r="AE5861" s="11" t="n"/>
      <c r="AG5861">
        <f>IF($C5861="","",IF(COUNTIF($C$2:$C5861,$C5861)=1,1,0))</f>
        <v/>
      </c>
      <c r="AH5861">
        <f>IF($AG5861=1,SUMPRODUCT(--($AK$2:$AK$6001&lt;$AK5861))+1,"")</f>
        <v/>
      </c>
      <c r="AI5861">
        <f>IF($C5861="","",IF(OR($N5861=TRUE(),$N5861="TRUE"),1,0))</f>
        <v/>
      </c>
      <c r="AJ5861">
        <f>IF($C5861="","",IF($T5861="Yes",1,0))</f>
        <v/>
      </c>
      <c r="AK5861">
        <f>IF($AG5861=1,IFERROR(IF(VALUE($C5861)&lt;100000000,VALUE($C5861),1000000000),IFERROR(IF(VALUE(MID($C5861,2,20))&lt;100000000,VALUE(MID($C5861,2,20)),1000000000),1000000000))+ROW()/100000,"")</f>
        <v/>
      </c>
    </row>
    <row r="5862">
      <c r="D5862" s="11" t="n"/>
      <c r="K5862" s="7">
        <f>IF($C5862="","",J5862*W5862/100)</f>
        <v/>
      </c>
      <c r="Q5862" s="7" t="n"/>
      <c r="R5862" s="7" t="n"/>
      <c r="U5862">
        <f>IF($C5862="","",IF($AJ5862=1,0,IF($AI5862=1,Settings!$C$6,Settings!$C$7))*100)</f>
        <v/>
      </c>
      <c r="V5862" s="7">
        <f>IF($C5862="","",R5862*U5862/100)</f>
        <v/>
      </c>
      <c r="W5862" s="7">
        <f>IF($C5862="","",R5862-V5862)</f>
        <v/>
      </c>
      <c r="X5862" s="7">
        <f>IF($C5862="","",W5862-K5862)</f>
        <v/>
      </c>
      <c r="AB5862" s="7" t="n"/>
      <c r="AE5862" s="11" t="n"/>
      <c r="AG5862">
        <f>IF($C5862="","",IF(COUNTIF($C$2:$C5862,$C5862)=1,1,0))</f>
        <v/>
      </c>
      <c r="AH5862">
        <f>IF($AG5862=1,SUMPRODUCT(--($AK$2:$AK$6001&lt;$AK5862))+1,"")</f>
        <v/>
      </c>
      <c r="AI5862">
        <f>IF($C5862="","",IF(OR($N5862=TRUE(),$N5862="TRUE"),1,0))</f>
        <v/>
      </c>
      <c r="AJ5862">
        <f>IF($C5862="","",IF($T5862="Yes",1,0))</f>
        <v/>
      </c>
      <c r="AK5862">
        <f>IF($AG5862=1,IFERROR(IF(VALUE($C5862)&lt;100000000,VALUE($C5862),1000000000),IFERROR(IF(VALUE(MID($C5862,2,20))&lt;100000000,VALUE(MID($C5862,2,20)),1000000000),1000000000))+ROW()/100000,"")</f>
        <v/>
      </c>
    </row>
    <row r="5863">
      <c r="D5863" s="11" t="n"/>
      <c r="K5863" s="7">
        <f>IF($C5863="","",J5863*W5863/100)</f>
        <v/>
      </c>
      <c r="Q5863" s="7" t="n"/>
      <c r="R5863" s="7" t="n"/>
      <c r="U5863">
        <f>IF($C5863="","",IF($AJ5863=1,0,IF($AI5863=1,Settings!$C$6,Settings!$C$7))*100)</f>
        <v/>
      </c>
      <c r="V5863" s="7">
        <f>IF($C5863="","",R5863*U5863/100)</f>
        <v/>
      </c>
      <c r="W5863" s="7">
        <f>IF($C5863="","",R5863-V5863)</f>
        <v/>
      </c>
      <c r="X5863" s="7">
        <f>IF($C5863="","",W5863-K5863)</f>
        <v/>
      </c>
      <c r="AB5863" s="7" t="n"/>
      <c r="AE5863" s="11" t="n"/>
      <c r="AG5863">
        <f>IF($C5863="","",IF(COUNTIF($C$2:$C5863,$C5863)=1,1,0))</f>
        <v/>
      </c>
      <c r="AH5863">
        <f>IF($AG5863=1,SUMPRODUCT(--($AK$2:$AK$6001&lt;$AK5863))+1,"")</f>
        <v/>
      </c>
      <c r="AI5863">
        <f>IF($C5863="","",IF(OR($N5863=TRUE(),$N5863="TRUE"),1,0))</f>
        <v/>
      </c>
      <c r="AJ5863">
        <f>IF($C5863="","",IF($T5863="Yes",1,0))</f>
        <v/>
      </c>
      <c r="AK5863">
        <f>IF($AG5863=1,IFERROR(IF(VALUE($C5863)&lt;100000000,VALUE($C5863),1000000000),IFERROR(IF(VALUE(MID($C5863,2,20))&lt;100000000,VALUE(MID($C5863,2,20)),1000000000),1000000000))+ROW()/100000,"")</f>
        <v/>
      </c>
    </row>
    <row r="5864">
      <c r="D5864" s="11" t="n"/>
      <c r="K5864" s="7">
        <f>IF($C5864="","",J5864*W5864/100)</f>
        <v/>
      </c>
      <c r="Q5864" s="7" t="n"/>
      <c r="R5864" s="7" t="n"/>
      <c r="U5864">
        <f>IF($C5864="","",IF($AJ5864=1,0,IF($AI5864=1,Settings!$C$6,Settings!$C$7))*100)</f>
        <v/>
      </c>
      <c r="V5864" s="7">
        <f>IF($C5864="","",R5864*U5864/100)</f>
        <v/>
      </c>
      <c r="W5864" s="7">
        <f>IF($C5864="","",R5864-V5864)</f>
        <v/>
      </c>
      <c r="X5864" s="7">
        <f>IF($C5864="","",W5864-K5864)</f>
        <v/>
      </c>
      <c r="AB5864" s="7" t="n"/>
      <c r="AE5864" s="11" t="n"/>
      <c r="AG5864">
        <f>IF($C5864="","",IF(COUNTIF($C$2:$C5864,$C5864)=1,1,0))</f>
        <v/>
      </c>
      <c r="AH5864">
        <f>IF($AG5864=1,SUMPRODUCT(--($AK$2:$AK$6001&lt;$AK5864))+1,"")</f>
        <v/>
      </c>
      <c r="AI5864">
        <f>IF($C5864="","",IF(OR($N5864=TRUE(),$N5864="TRUE"),1,0))</f>
        <v/>
      </c>
      <c r="AJ5864">
        <f>IF($C5864="","",IF($T5864="Yes",1,0))</f>
        <v/>
      </c>
      <c r="AK5864">
        <f>IF($AG5864=1,IFERROR(IF(VALUE($C5864)&lt;100000000,VALUE($C5864),1000000000),IFERROR(IF(VALUE(MID($C5864,2,20))&lt;100000000,VALUE(MID($C5864,2,20)),1000000000),1000000000))+ROW()/100000,"")</f>
        <v/>
      </c>
    </row>
    <row r="5865">
      <c r="D5865" s="11" t="n"/>
      <c r="K5865" s="7">
        <f>IF($C5865="","",J5865*W5865/100)</f>
        <v/>
      </c>
      <c r="Q5865" s="7" t="n"/>
      <c r="R5865" s="7" t="n"/>
      <c r="U5865">
        <f>IF($C5865="","",IF($AJ5865=1,0,IF($AI5865=1,Settings!$C$6,Settings!$C$7))*100)</f>
        <v/>
      </c>
      <c r="V5865" s="7">
        <f>IF($C5865="","",R5865*U5865/100)</f>
        <v/>
      </c>
      <c r="W5865" s="7">
        <f>IF($C5865="","",R5865-V5865)</f>
        <v/>
      </c>
      <c r="X5865" s="7">
        <f>IF($C5865="","",W5865-K5865)</f>
        <v/>
      </c>
      <c r="AB5865" s="7" t="n"/>
      <c r="AE5865" s="11" t="n"/>
      <c r="AG5865">
        <f>IF($C5865="","",IF(COUNTIF($C$2:$C5865,$C5865)=1,1,0))</f>
        <v/>
      </c>
      <c r="AH5865">
        <f>IF($AG5865=1,SUMPRODUCT(--($AK$2:$AK$6001&lt;$AK5865))+1,"")</f>
        <v/>
      </c>
      <c r="AI5865">
        <f>IF($C5865="","",IF(OR($N5865=TRUE(),$N5865="TRUE"),1,0))</f>
        <v/>
      </c>
      <c r="AJ5865">
        <f>IF($C5865="","",IF($T5865="Yes",1,0))</f>
        <v/>
      </c>
      <c r="AK5865">
        <f>IF($AG5865=1,IFERROR(IF(VALUE($C5865)&lt;100000000,VALUE($C5865),1000000000),IFERROR(IF(VALUE(MID($C5865,2,20))&lt;100000000,VALUE(MID($C5865,2,20)),1000000000),1000000000))+ROW()/100000,"")</f>
        <v/>
      </c>
    </row>
    <row r="5866">
      <c r="D5866" s="11" t="n"/>
      <c r="K5866" s="7">
        <f>IF($C5866="","",J5866*W5866/100)</f>
        <v/>
      </c>
      <c r="Q5866" s="7" t="n"/>
      <c r="R5866" s="7" t="n"/>
      <c r="U5866">
        <f>IF($C5866="","",IF($AJ5866=1,0,IF($AI5866=1,Settings!$C$6,Settings!$C$7))*100)</f>
        <v/>
      </c>
      <c r="V5866" s="7">
        <f>IF($C5866="","",R5866*U5866/100)</f>
        <v/>
      </c>
      <c r="W5866" s="7">
        <f>IF($C5866="","",R5866-V5866)</f>
        <v/>
      </c>
      <c r="X5866" s="7">
        <f>IF($C5866="","",W5866-K5866)</f>
        <v/>
      </c>
      <c r="AB5866" s="7" t="n"/>
      <c r="AE5866" s="11" t="n"/>
      <c r="AG5866">
        <f>IF($C5866="","",IF(COUNTIF($C$2:$C5866,$C5866)=1,1,0))</f>
        <v/>
      </c>
      <c r="AH5866">
        <f>IF($AG5866=1,SUMPRODUCT(--($AK$2:$AK$6001&lt;$AK5866))+1,"")</f>
        <v/>
      </c>
      <c r="AI5866">
        <f>IF($C5866="","",IF(OR($N5866=TRUE(),$N5866="TRUE"),1,0))</f>
        <v/>
      </c>
      <c r="AJ5866">
        <f>IF($C5866="","",IF($T5866="Yes",1,0))</f>
        <v/>
      </c>
      <c r="AK5866">
        <f>IF($AG5866=1,IFERROR(IF(VALUE($C5866)&lt;100000000,VALUE($C5866),1000000000),IFERROR(IF(VALUE(MID($C5866,2,20))&lt;100000000,VALUE(MID($C5866,2,20)),1000000000),1000000000))+ROW()/100000,"")</f>
        <v/>
      </c>
    </row>
    <row r="5867">
      <c r="D5867" s="11" t="n"/>
      <c r="K5867" s="7">
        <f>IF($C5867="","",J5867*W5867/100)</f>
        <v/>
      </c>
      <c r="Q5867" s="7" t="n"/>
      <c r="R5867" s="7" t="n"/>
      <c r="U5867">
        <f>IF($C5867="","",IF($AJ5867=1,0,IF($AI5867=1,Settings!$C$6,Settings!$C$7))*100)</f>
        <v/>
      </c>
      <c r="V5867" s="7">
        <f>IF($C5867="","",R5867*U5867/100)</f>
        <v/>
      </c>
      <c r="W5867" s="7">
        <f>IF($C5867="","",R5867-V5867)</f>
        <v/>
      </c>
      <c r="X5867" s="7">
        <f>IF($C5867="","",W5867-K5867)</f>
        <v/>
      </c>
      <c r="AB5867" s="7" t="n"/>
      <c r="AE5867" s="11" t="n"/>
      <c r="AG5867">
        <f>IF($C5867="","",IF(COUNTIF($C$2:$C5867,$C5867)=1,1,0))</f>
        <v/>
      </c>
      <c r="AH5867">
        <f>IF($AG5867=1,SUMPRODUCT(--($AK$2:$AK$6001&lt;$AK5867))+1,"")</f>
        <v/>
      </c>
      <c r="AI5867">
        <f>IF($C5867="","",IF(OR($N5867=TRUE(),$N5867="TRUE"),1,0))</f>
        <v/>
      </c>
      <c r="AJ5867">
        <f>IF($C5867="","",IF($T5867="Yes",1,0))</f>
        <v/>
      </c>
      <c r="AK5867">
        <f>IF($AG5867=1,IFERROR(IF(VALUE($C5867)&lt;100000000,VALUE($C5867),1000000000),IFERROR(IF(VALUE(MID($C5867,2,20))&lt;100000000,VALUE(MID($C5867,2,20)),1000000000),1000000000))+ROW()/100000,"")</f>
        <v/>
      </c>
    </row>
    <row r="5868">
      <c r="D5868" s="11" t="n"/>
      <c r="K5868" s="7">
        <f>IF($C5868="","",J5868*W5868/100)</f>
        <v/>
      </c>
      <c r="Q5868" s="7" t="n"/>
      <c r="R5868" s="7" t="n"/>
      <c r="U5868">
        <f>IF($C5868="","",IF($AJ5868=1,0,IF($AI5868=1,Settings!$C$6,Settings!$C$7))*100)</f>
        <v/>
      </c>
      <c r="V5868" s="7">
        <f>IF($C5868="","",R5868*U5868/100)</f>
        <v/>
      </c>
      <c r="W5868" s="7">
        <f>IF($C5868="","",R5868-V5868)</f>
        <v/>
      </c>
      <c r="X5868" s="7">
        <f>IF($C5868="","",W5868-K5868)</f>
        <v/>
      </c>
      <c r="AB5868" s="7" t="n"/>
      <c r="AE5868" s="11" t="n"/>
      <c r="AG5868">
        <f>IF($C5868="","",IF(COUNTIF($C$2:$C5868,$C5868)=1,1,0))</f>
        <v/>
      </c>
      <c r="AH5868">
        <f>IF($AG5868=1,SUMPRODUCT(--($AK$2:$AK$6001&lt;$AK5868))+1,"")</f>
        <v/>
      </c>
      <c r="AI5868">
        <f>IF($C5868="","",IF(OR($N5868=TRUE(),$N5868="TRUE"),1,0))</f>
        <v/>
      </c>
      <c r="AJ5868">
        <f>IF($C5868="","",IF($T5868="Yes",1,0))</f>
        <v/>
      </c>
      <c r="AK5868">
        <f>IF($AG5868=1,IFERROR(IF(VALUE($C5868)&lt;100000000,VALUE($C5868),1000000000),IFERROR(IF(VALUE(MID($C5868,2,20))&lt;100000000,VALUE(MID($C5868,2,20)),1000000000),1000000000))+ROW()/100000,"")</f>
        <v/>
      </c>
    </row>
    <row r="5869">
      <c r="D5869" s="11" t="n"/>
      <c r="K5869" s="7">
        <f>IF($C5869="","",J5869*W5869/100)</f>
        <v/>
      </c>
      <c r="Q5869" s="7" t="n"/>
      <c r="R5869" s="7" t="n"/>
      <c r="U5869">
        <f>IF($C5869="","",IF($AJ5869=1,0,IF($AI5869=1,Settings!$C$6,Settings!$C$7))*100)</f>
        <v/>
      </c>
      <c r="V5869" s="7">
        <f>IF($C5869="","",R5869*U5869/100)</f>
        <v/>
      </c>
      <c r="W5869" s="7">
        <f>IF($C5869="","",R5869-V5869)</f>
        <v/>
      </c>
      <c r="X5869" s="7">
        <f>IF($C5869="","",W5869-K5869)</f>
        <v/>
      </c>
      <c r="AB5869" s="7" t="n"/>
      <c r="AE5869" s="11" t="n"/>
      <c r="AG5869">
        <f>IF($C5869="","",IF(COUNTIF($C$2:$C5869,$C5869)=1,1,0))</f>
        <v/>
      </c>
      <c r="AH5869">
        <f>IF($AG5869=1,SUMPRODUCT(--($AK$2:$AK$6001&lt;$AK5869))+1,"")</f>
        <v/>
      </c>
      <c r="AI5869">
        <f>IF($C5869="","",IF(OR($N5869=TRUE(),$N5869="TRUE"),1,0))</f>
        <v/>
      </c>
      <c r="AJ5869">
        <f>IF($C5869="","",IF($T5869="Yes",1,0))</f>
        <v/>
      </c>
      <c r="AK5869">
        <f>IF($AG5869=1,IFERROR(IF(VALUE($C5869)&lt;100000000,VALUE($C5869),1000000000),IFERROR(IF(VALUE(MID($C5869,2,20))&lt;100000000,VALUE(MID($C5869,2,20)),1000000000),1000000000))+ROW()/100000,"")</f>
        <v/>
      </c>
    </row>
    <row r="5870">
      <c r="D5870" s="11" t="n"/>
      <c r="K5870" s="7">
        <f>IF($C5870="","",J5870*W5870/100)</f>
        <v/>
      </c>
      <c r="Q5870" s="7" t="n"/>
      <c r="R5870" s="7" t="n"/>
      <c r="U5870">
        <f>IF($C5870="","",IF($AJ5870=1,0,IF($AI5870=1,Settings!$C$6,Settings!$C$7))*100)</f>
        <v/>
      </c>
      <c r="V5870" s="7">
        <f>IF($C5870="","",R5870*U5870/100)</f>
        <v/>
      </c>
      <c r="W5870" s="7">
        <f>IF($C5870="","",R5870-V5870)</f>
        <v/>
      </c>
      <c r="X5870" s="7">
        <f>IF($C5870="","",W5870-K5870)</f>
        <v/>
      </c>
      <c r="AB5870" s="7" t="n"/>
      <c r="AE5870" s="11" t="n"/>
      <c r="AG5870">
        <f>IF($C5870="","",IF(COUNTIF($C$2:$C5870,$C5870)=1,1,0))</f>
        <v/>
      </c>
      <c r="AH5870">
        <f>IF($AG5870=1,SUMPRODUCT(--($AK$2:$AK$6001&lt;$AK5870))+1,"")</f>
        <v/>
      </c>
      <c r="AI5870">
        <f>IF($C5870="","",IF(OR($N5870=TRUE(),$N5870="TRUE"),1,0))</f>
        <v/>
      </c>
      <c r="AJ5870">
        <f>IF($C5870="","",IF($T5870="Yes",1,0))</f>
        <v/>
      </c>
      <c r="AK5870">
        <f>IF($AG5870=1,IFERROR(IF(VALUE($C5870)&lt;100000000,VALUE($C5870),1000000000),IFERROR(IF(VALUE(MID($C5870,2,20))&lt;100000000,VALUE(MID($C5870,2,20)),1000000000),1000000000))+ROW()/100000,"")</f>
        <v/>
      </c>
    </row>
    <row r="5871">
      <c r="D5871" s="11" t="n"/>
      <c r="K5871" s="7">
        <f>IF($C5871="","",J5871*W5871/100)</f>
        <v/>
      </c>
      <c r="Q5871" s="7" t="n"/>
      <c r="R5871" s="7" t="n"/>
      <c r="U5871">
        <f>IF($C5871="","",IF($AJ5871=1,0,IF($AI5871=1,Settings!$C$6,Settings!$C$7))*100)</f>
        <v/>
      </c>
      <c r="V5871" s="7">
        <f>IF($C5871="","",R5871*U5871/100)</f>
        <v/>
      </c>
      <c r="W5871" s="7">
        <f>IF($C5871="","",R5871-V5871)</f>
        <v/>
      </c>
      <c r="X5871" s="7">
        <f>IF($C5871="","",W5871-K5871)</f>
        <v/>
      </c>
      <c r="AB5871" s="7" t="n"/>
      <c r="AE5871" s="11" t="n"/>
      <c r="AG5871">
        <f>IF($C5871="","",IF(COUNTIF($C$2:$C5871,$C5871)=1,1,0))</f>
        <v/>
      </c>
      <c r="AH5871">
        <f>IF($AG5871=1,SUMPRODUCT(--($AK$2:$AK$6001&lt;$AK5871))+1,"")</f>
        <v/>
      </c>
      <c r="AI5871">
        <f>IF($C5871="","",IF(OR($N5871=TRUE(),$N5871="TRUE"),1,0))</f>
        <v/>
      </c>
      <c r="AJ5871">
        <f>IF($C5871="","",IF($T5871="Yes",1,0))</f>
        <v/>
      </c>
      <c r="AK5871">
        <f>IF($AG5871=1,IFERROR(IF(VALUE($C5871)&lt;100000000,VALUE($C5871),1000000000),IFERROR(IF(VALUE(MID($C5871,2,20))&lt;100000000,VALUE(MID($C5871,2,20)),1000000000),1000000000))+ROW()/100000,"")</f>
        <v/>
      </c>
    </row>
    <row r="5872">
      <c r="D5872" s="11" t="n"/>
      <c r="K5872" s="7">
        <f>IF($C5872="","",J5872*W5872/100)</f>
        <v/>
      </c>
      <c r="Q5872" s="7" t="n"/>
      <c r="R5872" s="7" t="n"/>
      <c r="U5872">
        <f>IF($C5872="","",IF($AJ5872=1,0,IF($AI5872=1,Settings!$C$6,Settings!$C$7))*100)</f>
        <v/>
      </c>
      <c r="V5872" s="7">
        <f>IF($C5872="","",R5872*U5872/100)</f>
        <v/>
      </c>
      <c r="W5872" s="7">
        <f>IF($C5872="","",R5872-V5872)</f>
        <v/>
      </c>
      <c r="X5872" s="7">
        <f>IF($C5872="","",W5872-K5872)</f>
        <v/>
      </c>
      <c r="AB5872" s="7" t="n"/>
      <c r="AE5872" s="11" t="n"/>
      <c r="AG5872">
        <f>IF($C5872="","",IF(COUNTIF($C$2:$C5872,$C5872)=1,1,0))</f>
        <v/>
      </c>
      <c r="AH5872">
        <f>IF($AG5872=1,SUMPRODUCT(--($AK$2:$AK$6001&lt;$AK5872))+1,"")</f>
        <v/>
      </c>
      <c r="AI5872">
        <f>IF($C5872="","",IF(OR($N5872=TRUE(),$N5872="TRUE"),1,0))</f>
        <v/>
      </c>
      <c r="AJ5872">
        <f>IF($C5872="","",IF($T5872="Yes",1,0))</f>
        <v/>
      </c>
      <c r="AK5872">
        <f>IF($AG5872=1,IFERROR(IF(VALUE($C5872)&lt;100000000,VALUE($C5872),1000000000),IFERROR(IF(VALUE(MID($C5872,2,20))&lt;100000000,VALUE(MID($C5872,2,20)),1000000000),1000000000))+ROW()/100000,"")</f>
        <v/>
      </c>
    </row>
    <row r="5873">
      <c r="D5873" s="11" t="n"/>
      <c r="K5873" s="7">
        <f>IF($C5873="","",J5873*W5873/100)</f>
        <v/>
      </c>
      <c r="Q5873" s="7" t="n"/>
      <c r="R5873" s="7" t="n"/>
      <c r="U5873">
        <f>IF($C5873="","",IF($AJ5873=1,0,IF($AI5873=1,Settings!$C$6,Settings!$C$7))*100)</f>
        <v/>
      </c>
      <c r="V5873" s="7">
        <f>IF($C5873="","",R5873*U5873/100)</f>
        <v/>
      </c>
      <c r="W5873" s="7">
        <f>IF($C5873="","",R5873-V5873)</f>
        <v/>
      </c>
      <c r="X5873" s="7">
        <f>IF($C5873="","",W5873-K5873)</f>
        <v/>
      </c>
      <c r="AB5873" s="7" t="n"/>
      <c r="AE5873" s="11" t="n"/>
      <c r="AG5873">
        <f>IF($C5873="","",IF(COUNTIF($C$2:$C5873,$C5873)=1,1,0))</f>
        <v/>
      </c>
      <c r="AH5873">
        <f>IF($AG5873=1,SUMPRODUCT(--($AK$2:$AK$6001&lt;$AK5873))+1,"")</f>
        <v/>
      </c>
      <c r="AI5873">
        <f>IF($C5873="","",IF(OR($N5873=TRUE(),$N5873="TRUE"),1,0))</f>
        <v/>
      </c>
      <c r="AJ5873">
        <f>IF($C5873="","",IF($T5873="Yes",1,0))</f>
        <v/>
      </c>
      <c r="AK5873">
        <f>IF($AG5873=1,IFERROR(IF(VALUE($C5873)&lt;100000000,VALUE($C5873),1000000000),IFERROR(IF(VALUE(MID($C5873,2,20))&lt;100000000,VALUE(MID($C5873,2,20)),1000000000),1000000000))+ROW()/100000,"")</f>
        <v/>
      </c>
    </row>
    <row r="5874">
      <c r="D5874" s="11" t="n"/>
      <c r="K5874" s="7">
        <f>IF($C5874="","",J5874*W5874/100)</f>
        <v/>
      </c>
      <c r="Q5874" s="7" t="n"/>
      <c r="R5874" s="7" t="n"/>
      <c r="U5874">
        <f>IF($C5874="","",IF($AJ5874=1,0,IF($AI5874=1,Settings!$C$6,Settings!$C$7))*100)</f>
        <v/>
      </c>
      <c r="V5874" s="7">
        <f>IF($C5874="","",R5874*U5874/100)</f>
        <v/>
      </c>
      <c r="W5874" s="7">
        <f>IF($C5874="","",R5874-V5874)</f>
        <v/>
      </c>
      <c r="X5874" s="7">
        <f>IF($C5874="","",W5874-K5874)</f>
        <v/>
      </c>
      <c r="AB5874" s="7" t="n"/>
      <c r="AE5874" s="11" t="n"/>
      <c r="AG5874">
        <f>IF($C5874="","",IF(COUNTIF($C$2:$C5874,$C5874)=1,1,0))</f>
        <v/>
      </c>
      <c r="AH5874">
        <f>IF($AG5874=1,SUMPRODUCT(--($AK$2:$AK$6001&lt;$AK5874))+1,"")</f>
        <v/>
      </c>
      <c r="AI5874">
        <f>IF($C5874="","",IF(OR($N5874=TRUE(),$N5874="TRUE"),1,0))</f>
        <v/>
      </c>
      <c r="AJ5874">
        <f>IF($C5874="","",IF($T5874="Yes",1,0))</f>
        <v/>
      </c>
      <c r="AK5874">
        <f>IF($AG5874=1,IFERROR(IF(VALUE($C5874)&lt;100000000,VALUE($C5874),1000000000),IFERROR(IF(VALUE(MID($C5874,2,20))&lt;100000000,VALUE(MID($C5874,2,20)),1000000000),1000000000))+ROW()/100000,"")</f>
        <v/>
      </c>
    </row>
    <row r="5875">
      <c r="D5875" s="11" t="n"/>
      <c r="K5875" s="7">
        <f>IF($C5875="","",J5875*W5875/100)</f>
        <v/>
      </c>
      <c r="Q5875" s="7" t="n"/>
      <c r="R5875" s="7" t="n"/>
      <c r="U5875">
        <f>IF($C5875="","",IF($AJ5875=1,0,IF($AI5875=1,Settings!$C$6,Settings!$C$7))*100)</f>
        <v/>
      </c>
      <c r="V5875" s="7">
        <f>IF($C5875="","",R5875*U5875/100)</f>
        <v/>
      </c>
      <c r="W5875" s="7">
        <f>IF($C5875="","",R5875-V5875)</f>
        <v/>
      </c>
      <c r="X5875" s="7">
        <f>IF($C5875="","",W5875-K5875)</f>
        <v/>
      </c>
      <c r="AB5875" s="7" t="n"/>
      <c r="AE5875" s="11" t="n"/>
      <c r="AG5875">
        <f>IF($C5875="","",IF(COUNTIF($C$2:$C5875,$C5875)=1,1,0))</f>
        <v/>
      </c>
      <c r="AH5875">
        <f>IF($AG5875=1,SUMPRODUCT(--($AK$2:$AK$6001&lt;$AK5875))+1,"")</f>
        <v/>
      </c>
      <c r="AI5875">
        <f>IF($C5875="","",IF(OR($N5875=TRUE(),$N5875="TRUE"),1,0))</f>
        <v/>
      </c>
      <c r="AJ5875">
        <f>IF($C5875="","",IF($T5875="Yes",1,0))</f>
        <v/>
      </c>
      <c r="AK5875">
        <f>IF($AG5875=1,IFERROR(IF(VALUE($C5875)&lt;100000000,VALUE($C5875),1000000000),IFERROR(IF(VALUE(MID($C5875,2,20))&lt;100000000,VALUE(MID($C5875,2,20)),1000000000),1000000000))+ROW()/100000,"")</f>
        <v/>
      </c>
    </row>
    <row r="5876">
      <c r="D5876" s="11" t="n"/>
      <c r="K5876" s="7">
        <f>IF($C5876="","",J5876*W5876/100)</f>
        <v/>
      </c>
      <c r="Q5876" s="7" t="n"/>
      <c r="R5876" s="7" t="n"/>
      <c r="U5876">
        <f>IF($C5876="","",IF($AJ5876=1,0,IF($AI5876=1,Settings!$C$6,Settings!$C$7))*100)</f>
        <v/>
      </c>
      <c r="V5876" s="7">
        <f>IF($C5876="","",R5876*U5876/100)</f>
        <v/>
      </c>
      <c r="W5876" s="7">
        <f>IF($C5876="","",R5876-V5876)</f>
        <v/>
      </c>
      <c r="X5876" s="7">
        <f>IF($C5876="","",W5876-K5876)</f>
        <v/>
      </c>
      <c r="AB5876" s="7" t="n"/>
      <c r="AE5876" s="11" t="n"/>
      <c r="AG5876">
        <f>IF($C5876="","",IF(COUNTIF($C$2:$C5876,$C5876)=1,1,0))</f>
        <v/>
      </c>
      <c r="AH5876">
        <f>IF($AG5876=1,SUMPRODUCT(--($AK$2:$AK$6001&lt;$AK5876))+1,"")</f>
        <v/>
      </c>
      <c r="AI5876">
        <f>IF($C5876="","",IF(OR($N5876=TRUE(),$N5876="TRUE"),1,0))</f>
        <v/>
      </c>
      <c r="AJ5876">
        <f>IF($C5876="","",IF($T5876="Yes",1,0))</f>
        <v/>
      </c>
      <c r="AK5876">
        <f>IF($AG5876=1,IFERROR(IF(VALUE($C5876)&lt;100000000,VALUE($C5876),1000000000),IFERROR(IF(VALUE(MID($C5876,2,20))&lt;100000000,VALUE(MID($C5876,2,20)),1000000000),1000000000))+ROW()/100000,"")</f>
        <v/>
      </c>
    </row>
    <row r="5877">
      <c r="D5877" s="11" t="n"/>
      <c r="K5877" s="7">
        <f>IF($C5877="","",J5877*W5877/100)</f>
        <v/>
      </c>
      <c r="Q5877" s="7" t="n"/>
      <c r="R5877" s="7" t="n"/>
      <c r="U5877">
        <f>IF($C5877="","",IF($AJ5877=1,0,IF($AI5877=1,Settings!$C$6,Settings!$C$7))*100)</f>
        <v/>
      </c>
      <c r="V5877" s="7">
        <f>IF($C5877="","",R5877*U5877/100)</f>
        <v/>
      </c>
      <c r="W5877" s="7">
        <f>IF($C5877="","",R5877-V5877)</f>
        <v/>
      </c>
      <c r="X5877" s="7">
        <f>IF($C5877="","",W5877-K5877)</f>
        <v/>
      </c>
      <c r="AB5877" s="7" t="n"/>
      <c r="AE5877" s="11" t="n"/>
      <c r="AG5877">
        <f>IF($C5877="","",IF(COUNTIF($C$2:$C5877,$C5877)=1,1,0))</f>
        <v/>
      </c>
      <c r="AH5877">
        <f>IF($AG5877=1,SUMPRODUCT(--($AK$2:$AK$6001&lt;$AK5877))+1,"")</f>
        <v/>
      </c>
      <c r="AI5877">
        <f>IF($C5877="","",IF(OR($N5877=TRUE(),$N5877="TRUE"),1,0))</f>
        <v/>
      </c>
      <c r="AJ5877">
        <f>IF($C5877="","",IF($T5877="Yes",1,0))</f>
        <v/>
      </c>
      <c r="AK5877">
        <f>IF($AG5877=1,IFERROR(IF(VALUE($C5877)&lt;100000000,VALUE($C5877),1000000000),IFERROR(IF(VALUE(MID($C5877,2,20))&lt;100000000,VALUE(MID($C5877,2,20)),1000000000),1000000000))+ROW()/100000,"")</f>
        <v/>
      </c>
    </row>
    <row r="5878">
      <c r="D5878" s="11" t="n"/>
      <c r="K5878" s="7">
        <f>IF($C5878="","",J5878*W5878/100)</f>
        <v/>
      </c>
      <c r="Q5878" s="7" t="n"/>
      <c r="R5878" s="7" t="n"/>
      <c r="U5878">
        <f>IF($C5878="","",IF($AJ5878=1,0,IF($AI5878=1,Settings!$C$6,Settings!$C$7))*100)</f>
        <v/>
      </c>
      <c r="V5878" s="7">
        <f>IF($C5878="","",R5878*U5878/100)</f>
        <v/>
      </c>
      <c r="W5878" s="7">
        <f>IF($C5878="","",R5878-V5878)</f>
        <v/>
      </c>
      <c r="X5878" s="7">
        <f>IF($C5878="","",W5878-K5878)</f>
        <v/>
      </c>
      <c r="AB5878" s="7" t="n"/>
      <c r="AE5878" s="11" t="n"/>
      <c r="AG5878">
        <f>IF($C5878="","",IF(COUNTIF($C$2:$C5878,$C5878)=1,1,0))</f>
        <v/>
      </c>
      <c r="AH5878">
        <f>IF($AG5878=1,SUMPRODUCT(--($AK$2:$AK$6001&lt;$AK5878))+1,"")</f>
        <v/>
      </c>
      <c r="AI5878">
        <f>IF($C5878="","",IF(OR($N5878=TRUE(),$N5878="TRUE"),1,0))</f>
        <v/>
      </c>
      <c r="AJ5878">
        <f>IF($C5878="","",IF($T5878="Yes",1,0))</f>
        <v/>
      </c>
      <c r="AK5878">
        <f>IF($AG5878=1,IFERROR(IF(VALUE($C5878)&lt;100000000,VALUE($C5878),1000000000),IFERROR(IF(VALUE(MID($C5878,2,20))&lt;100000000,VALUE(MID($C5878,2,20)),1000000000),1000000000))+ROW()/100000,"")</f>
        <v/>
      </c>
    </row>
    <row r="5879">
      <c r="D5879" s="11" t="n"/>
      <c r="K5879" s="7">
        <f>IF($C5879="","",J5879*W5879/100)</f>
        <v/>
      </c>
      <c r="Q5879" s="7" t="n"/>
      <c r="R5879" s="7" t="n"/>
      <c r="U5879">
        <f>IF($C5879="","",IF($AJ5879=1,0,IF($AI5879=1,Settings!$C$6,Settings!$C$7))*100)</f>
        <v/>
      </c>
      <c r="V5879" s="7">
        <f>IF($C5879="","",R5879*U5879/100)</f>
        <v/>
      </c>
      <c r="W5879" s="7">
        <f>IF($C5879="","",R5879-V5879)</f>
        <v/>
      </c>
      <c r="X5879" s="7">
        <f>IF($C5879="","",W5879-K5879)</f>
        <v/>
      </c>
      <c r="AB5879" s="7" t="n"/>
      <c r="AE5879" s="11" t="n"/>
      <c r="AG5879">
        <f>IF($C5879="","",IF(COUNTIF($C$2:$C5879,$C5879)=1,1,0))</f>
        <v/>
      </c>
      <c r="AH5879">
        <f>IF($AG5879=1,SUMPRODUCT(--($AK$2:$AK$6001&lt;$AK5879))+1,"")</f>
        <v/>
      </c>
      <c r="AI5879">
        <f>IF($C5879="","",IF(OR($N5879=TRUE(),$N5879="TRUE"),1,0))</f>
        <v/>
      </c>
      <c r="AJ5879">
        <f>IF($C5879="","",IF($T5879="Yes",1,0))</f>
        <v/>
      </c>
      <c r="AK5879">
        <f>IF($AG5879=1,IFERROR(IF(VALUE($C5879)&lt;100000000,VALUE($C5879),1000000000),IFERROR(IF(VALUE(MID($C5879,2,20))&lt;100000000,VALUE(MID($C5879,2,20)),1000000000),1000000000))+ROW()/100000,"")</f>
        <v/>
      </c>
    </row>
    <row r="5880">
      <c r="D5880" s="11" t="n"/>
      <c r="K5880" s="7">
        <f>IF($C5880="","",J5880*W5880/100)</f>
        <v/>
      </c>
      <c r="Q5880" s="7" t="n"/>
      <c r="R5880" s="7" t="n"/>
      <c r="U5880">
        <f>IF($C5880="","",IF($AJ5880=1,0,IF($AI5880=1,Settings!$C$6,Settings!$C$7))*100)</f>
        <v/>
      </c>
      <c r="V5880" s="7">
        <f>IF($C5880="","",R5880*U5880/100)</f>
        <v/>
      </c>
      <c r="W5880" s="7">
        <f>IF($C5880="","",R5880-V5880)</f>
        <v/>
      </c>
      <c r="X5880" s="7">
        <f>IF($C5880="","",W5880-K5880)</f>
        <v/>
      </c>
      <c r="AB5880" s="7" t="n"/>
      <c r="AE5880" s="11" t="n"/>
      <c r="AG5880">
        <f>IF($C5880="","",IF(COUNTIF($C$2:$C5880,$C5880)=1,1,0))</f>
        <v/>
      </c>
      <c r="AH5880">
        <f>IF($AG5880=1,SUMPRODUCT(--($AK$2:$AK$6001&lt;$AK5880))+1,"")</f>
        <v/>
      </c>
      <c r="AI5880">
        <f>IF($C5880="","",IF(OR($N5880=TRUE(),$N5880="TRUE"),1,0))</f>
        <v/>
      </c>
      <c r="AJ5880">
        <f>IF($C5880="","",IF($T5880="Yes",1,0))</f>
        <v/>
      </c>
      <c r="AK5880">
        <f>IF($AG5880=1,IFERROR(IF(VALUE($C5880)&lt;100000000,VALUE($C5880),1000000000),IFERROR(IF(VALUE(MID($C5880,2,20))&lt;100000000,VALUE(MID($C5880,2,20)),1000000000),1000000000))+ROW()/100000,"")</f>
        <v/>
      </c>
    </row>
    <row r="5881">
      <c r="D5881" s="11" t="n"/>
      <c r="K5881" s="7">
        <f>IF($C5881="","",J5881*W5881/100)</f>
        <v/>
      </c>
      <c r="Q5881" s="7" t="n"/>
      <c r="R5881" s="7" t="n"/>
      <c r="U5881">
        <f>IF($C5881="","",IF($AJ5881=1,0,IF($AI5881=1,Settings!$C$6,Settings!$C$7))*100)</f>
        <v/>
      </c>
      <c r="V5881" s="7">
        <f>IF($C5881="","",R5881*U5881/100)</f>
        <v/>
      </c>
      <c r="W5881" s="7">
        <f>IF($C5881="","",R5881-V5881)</f>
        <v/>
      </c>
      <c r="X5881" s="7">
        <f>IF($C5881="","",W5881-K5881)</f>
        <v/>
      </c>
      <c r="AB5881" s="7" t="n"/>
      <c r="AE5881" s="11" t="n"/>
      <c r="AG5881">
        <f>IF($C5881="","",IF(COUNTIF($C$2:$C5881,$C5881)=1,1,0))</f>
        <v/>
      </c>
      <c r="AH5881">
        <f>IF($AG5881=1,SUMPRODUCT(--($AK$2:$AK$6001&lt;$AK5881))+1,"")</f>
        <v/>
      </c>
      <c r="AI5881">
        <f>IF($C5881="","",IF(OR($N5881=TRUE(),$N5881="TRUE"),1,0))</f>
        <v/>
      </c>
      <c r="AJ5881">
        <f>IF($C5881="","",IF($T5881="Yes",1,0))</f>
        <v/>
      </c>
      <c r="AK5881">
        <f>IF($AG5881=1,IFERROR(IF(VALUE($C5881)&lt;100000000,VALUE($C5881),1000000000),IFERROR(IF(VALUE(MID($C5881,2,20))&lt;100000000,VALUE(MID($C5881,2,20)),1000000000),1000000000))+ROW()/100000,"")</f>
        <v/>
      </c>
    </row>
    <row r="5882">
      <c r="D5882" s="11" t="n"/>
      <c r="K5882" s="7">
        <f>IF($C5882="","",J5882*W5882/100)</f>
        <v/>
      </c>
      <c r="Q5882" s="7" t="n"/>
      <c r="R5882" s="7" t="n"/>
      <c r="U5882">
        <f>IF($C5882="","",IF($AJ5882=1,0,IF($AI5882=1,Settings!$C$6,Settings!$C$7))*100)</f>
        <v/>
      </c>
      <c r="V5882" s="7">
        <f>IF($C5882="","",R5882*U5882/100)</f>
        <v/>
      </c>
      <c r="W5882" s="7">
        <f>IF($C5882="","",R5882-V5882)</f>
        <v/>
      </c>
      <c r="X5882" s="7">
        <f>IF($C5882="","",W5882-K5882)</f>
        <v/>
      </c>
      <c r="AB5882" s="7" t="n"/>
      <c r="AE5882" s="11" t="n"/>
      <c r="AG5882">
        <f>IF($C5882="","",IF(COUNTIF($C$2:$C5882,$C5882)=1,1,0))</f>
        <v/>
      </c>
      <c r="AH5882">
        <f>IF($AG5882=1,SUMPRODUCT(--($AK$2:$AK$6001&lt;$AK5882))+1,"")</f>
        <v/>
      </c>
      <c r="AI5882">
        <f>IF($C5882="","",IF(OR($N5882=TRUE(),$N5882="TRUE"),1,0))</f>
        <v/>
      </c>
      <c r="AJ5882">
        <f>IF($C5882="","",IF($T5882="Yes",1,0))</f>
        <v/>
      </c>
      <c r="AK5882">
        <f>IF($AG5882=1,IFERROR(IF(VALUE($C5882)&lt;100000000,VALUE($C5882),1000000000),IFERROR(IF(VALUE(MID($C5882,2,20))&lt;100000000,VALUE(MID($C5882,2,20)),1000000000),1000000000))+ROW()/100000,"")</f>
        <v/>
      </c>
    </row>
    <row r="5883">
      <c r="D5883" s="11" t="n"/>
      <c r="K5883" s="7">
        <f>IF($C5883="","",J5883*W5883/100)</f>
        <v/>
      </c>
      <c r="Q5883" s="7" t="n"/>
      <c r="R5883" s="7" t="n"/>
      <c r="U5883">
        <f>IF($C5883="","",IF($AJ5883=1,0,IF($AI5883=1,Settings!$C$6,Settings!$C$7))*100)</f>
        <v/>
      </c>
      <c r="V5883" s="7">
        <f>IF($C5883="","",R5883*U5883/100)</f>
        <v/>
      </c>
      <c r="W5883" s="7">
        <f>IF($C5883="","",R5883-V5883)</f>
        <v/>
      </c>
      <c r="X5883" s="7">
        <f>IF($C5883="","",W5883-K5883)</f>
        <v/>
      </c>
      <c r="AB5883" s="7" t="n"/>
      <c r="AE5883" s="11" t="n"/>
      <c r="AG5883">
        <f>IF($C5883="","",IF(COUNTIF($C$2:$C5883,$C5883)=1,1,0))</f>
        <v/>
      </c>
      <c r="AH5883">
        <f>IF($AG5883=1,SUMPRODUCT(--($AK$2:$AK$6001&lt;$AK5883))+1,"")</f>
        <v/>
      </c>
      <c r="AI5883">
        <f>IF($C5883="","",IF(OR($N5883=TRUE(),$N5883="TRUE"),1,0))</f>
        <v/>
      </c>
      <c r="AJ5883">
        <f>IF($C5883="","",IF($T5883="Yes",1,0))</f>
        <v/>
      </c>
      <c r="AK5883">
        <f>IF($AG5883=1,IFERROR(IF(VALUE($C5883)&lt;100000000,VALUE($C5883),1000000000),IFERROR(IF(VALUE(MID($C5883,2,20))&lt;100000000,VALUE(MID($C5883,2,20)),1000000000),1000000000))+ROW()/100000,"")</f>
        <v/>
      </c>
    </row>
    <row r="5884">
      <c r="D5884" s="11" t="n"/>
      <c r="K5884" s="7">
        <f>IF($C5884="","",J5884*W5884/100)</f>
        <v/>
      </c>
      <c r="Q5884" s="7" t="n"/>
      <c r="R5884" s="7" t="n"/>
      <c r="U5884">
        <f>IF($C5884="","",IF($AJ5884=1,0,IF($AI5884=1,Settings!$C$6,Settings!$C$7))*100)</f>
        <v/>
      </c>
      <c r="V5884" s="7">
        <f>IF($C5884="","",R5884*U5884/100)</f>
        <v/>
      </c>
      <c r="W5884" s="7">
        <f>IF($C5884="","",R5884-V5884)</f>
        <v/>
      </c>
      <c r="X5884" s="7">
        <f>IF($C5884="","",W5884-K5884)</f>
        <v/>
      </c>
      <c r="AB5884" s="7" t="n"/>
      <c r="AE5884" s="11" t="n"/>
      <c r="AG5884">
        <f>IF($C5884="","",IF(COUNTIF($C$2:$C5884,$C5884)=1,1,0))</f>
        <v/>
      </c>
      <c r="AH5884">
        <f>IF($AG5884=1,SUMPRODUCT(--($AK$2:$AK$6001&lt;$AK5884))+1,"")</f>
        <v/>
      </c>
      <c r="AI5884">
        <f>IF($C5884="","",IF(OR($N5884=TRUE(),$N5884="TRUE"),1,0))</f>
        <v/>
      </c>
      <c r="AJ5884">
        <f>IF($C5884="","",IF($T5884="Yes",1,0))</f>
        <v/>
      </c>
      <c r="AK5884">
        <f>IF($AG5884=1,IFERROR(IF(VALUE($C5884)&lt;100000000,VALUE($C5884),1000000000),IFERROR(IF(VALUE(MID($C5884,2,20))&lt;100000000,VALUE(MID($C5884,2,20)),1000000000),1000000000))+ROW()/100000,"")</f>
        <v/>
      </c>
    </row>
    <row r="5885">
      <c r="D5885" s="11" t="n"/>
      <c r="K5885" s="7">
        <f>IF($C5885="","",J5885*W5885/100)</f>
        <v/>
      </c>
      <c r="Q5885" s="7" t="n"/>
      <c r="R5885" s="7" t="n"/>
      <c r="U5885">
        <f>IF($C5885="","",IF($AJ5885=1,0,IF($AI5885=1,Settings!$C$6,Settings!$C$7))*100)</f>
        <v/>
      </c>
      <c r="V5885" s="7">
        <f>IF($C5885="","",R5885*U5885/100)</f>
        <v/>
      </c>
      <c r="W5885" s="7">
        <f>IF($C5885="","",R5885-V5885)</f>
        <v/>
      </c>
      <c r="X5885" s="7">
        <f>IF($C5885="","",W5885-K5885)</f>
        <v/>
      </c>
      <c r="AB5885" s="7" t="n"/>
      <c r="AE5885" s="11" t="n"/>
      <c r="AG5885">
        <f>IF($C5885="","",IF(COUNTIF($C$2:$C5885,$C5885)=1,1,0))</f>
        <v/>
      </c>
      <c r="AH5885">
        <f>IF($AG5885=1,SUMPRODUCT(--($AK$2:$AK$6001&lt;$AK5885))+1,"")</f>
        <v/>
      </c>
      <c r="AI5885">
        <f>IF($C5885="","",IF(OR($N5885=TRUE(),$N5885="TRUE"),1,0))</f>
        <v/>
      </c>
      <c r="AJ5885">
        <f>IF($C5885="","",IF($T5885="Yes",1,0))</f>
        <v/>
      </c>
      <c r="AK5885">
        <f>IF($AG5885=1,IFERROR(IF(VALUE($C5885)&lt;100000000,VALUE($C5885),1000000000),IFERROR(IF(VALUE(MID($C5885,2,20))&lt;100000000,VALUE(MID($C5885,2,20)),1000000000),1000000000))+ROW()/100000,"")</f>
        <v/>
      </c>
    </row>
    <row r="5886">
      <c r="D5886" s="11" t="n"/>
      <c r="K5886" s="7">
        <f>IF($C5886="","",J5886*W5886/100)</f>
        <v/>
      </c>
      <c r="Q5886" s="7" t="n"/>
      <c r="R5886" s="7" t="n"/>
      <c r="U5886">
        <f>IF($C5886="","",IF($AJ5886=1,0,IF($AI5886=1,Settings!$C$6,Settings!$C$7))*100)</f>
        <v/>
      </c>
      <c r="V5886" s="7">
        <f>IF($C5886="","",R5886*U5886/100)</f>
        <v/>
      </c>
      <c r="W5886" s="7">
        <f>IF($C5886="","",R5886-V5886)</f>
        <v/>
      </c>
      <c r="X5886" s="7">
        <f>IF($C5886="","",W5886-K5886)</f>
        <v/>
      </c>
      <c r="AB5886" s="7" t="n"/>
      <c r="AE5886" s="11" t="n"/>
      <c r="AG5886">
        <f>IF($C5886="","",IF(COUNTIF($C$2:$C5886,$C5886)=1,1,0))</f>
        <v/>
      </c>
      <c r="AH5886">
        <f>IF($AG5886=1,SUMPRODUCT(--($AK$2:$AK$6001&lt;$AK5886))+1,"")</f>
        <v/>
      </c>
      <c r="AI5886">
        <f>IF($C5886="","",IF(OR($N5886=TRUE(),$N5886="TRUE"),1,0))</f>
        <v/>
      </c>
      <c r="AJ5886">
        <f>IF($C5886="","",IF($T5886="Yes",1,0))</f>
        <v/>
      </c>
      <c r="AK5886">
        <f>IF($AG5886=1,IFERROR(IF(VALUE($C5886)&lt;100000000,VALUE($C5886),1000000000),IFERROR(IF(VALUE(MID($C5886,2,20))&lt;100000000,VALUE(MID($C5886,2,20)),1000000000),1000000000))+ROW()/100000,"")</f>
        <v/>
      </c>
    </row>
    <row r="5887">
      <c r="D5887" s="11" t="n"/>
      <c r="K5887" s="7">
        <f>IF($C5887="","",J5887*W5887/100)</f>
        <v/>
      </c>
      <c r="Q5887" s="7" t="n"/>
      <c r="R5887" s="7" t="n"/>
      <c r="U5887">
        <f>IF($C5887="","",IF($AJ5887=1,0,IF($AI5887=1,Settings!$C$6,Settings!$C$7))*100)</f>
        <v/>
      </c>
      <c r="V5887" s="7">
        <f>IF($C5887="","",R5887*U5887/100)</f>
        <v/>
      </c>
      <c r="W5887" s="7">
        <f>IF($C5887="","",R5887-V5887)</f>
        <v/>
      </c>
      <c r="X5887" s="7">
        <f>IF($C5887="","",W5887-K5887)</f>
        <v/>
      </c>
      <c r="AB5887" s="7" t="n"/>
      <c r="AE5887" s="11" t="n"/>
      <c r="AG5887">
        <f>IF($C5887="","",IF(COUNTIF($C$2:$C5887,$C5887)=1,1,0))</f>
        <v/>
      </c>
      <c r="AH5887">
        <f>IF($AG5887=1,SUMPRODUCT(--($AK$2:$AK$6001&lt;$AK5887))+1,"")</f>
        <v/>
      </c>
      <c r="AI5887">
        <f>IF($C5887="","",IF(OR($N5887=TRUE(),$N5887="TRUE"),1,0))</f>
        <v/>
      </c>
      <c r="AJ5887">
        <f>IF($C5887="","",IF($T5887="Yes",1,0))</f>
        <v/>
      </c>
      <c r="AK5887">
        <f>IF($AG5887=1,IFERROR(IF(VALUE($C5887)&lt;100000000,VALUE($C5887),1000000000),IFERROR(IF(VALUE(MID($C5887,2,20))&lt;100000000,VALUE(MID($C5887,2,20)),1000000000),1000000000))+ROW()/100000,"")</f>
        <v/>
      </c>
    </row>
    <row r="5888">
      <c r="D5888" s="11" t="n"/>
      <c r="K5888" s="7">
        <f>IF($C5888="","",J5888*W5888/100)</f>
        <v/>
      </c>
      <c r="Q5888" s="7" t="n"/>
      <c r="R5888" s="7" t="n"/>
      <c r="U5888">
        <f>IF($C5888="","",IF($AJ5888=1,0,IF($AI5888=1,Settings!$C$6,Settings!$C$7))*100)</f>
        <v/>
      </c>
      <c r="V5888" s="7">
        <f>IF($C5888="","",R5888*U5888/100)</f>
        <v/>
      </c>
      <c r="W5888" s="7">
        <f>IF($C5888="","",R5888-V5888)</f>
        <v/>
      </c>
      <c r="X5888" s="7">
        <f>IF($C5888="","",W5888-K5888)</f>
        <v/>
      </c>
      <c r="AB5888" s="7" t="n"/>
      <c r="AE5888" s="11" t="n"/>
      <c r="AG5888">
        <f>IF($C5888="","",IF(COUNTIF($C$2:$C5888,$C5888)=1,1,0))</f>
        <v/>
      </c>
      <c r="AH5888">
        <f>IF($AG5888=1,SUMPRODUCT(--($AK$2:$AK$6001&lt;$AK5888))+1,"")</f>
        <v/>
      </c>
      <c r="AI5888">
        <f>IF($C5888="","",IF(OR($N5888=TRUE(),$N5888="TRUE"),1,0))</f>
        <v/>
      </c>
      <c r="AJ5888">
        <f>IF($C5888="","",IF($T5888="Yes",1,0))</f>
        <v/>
      </c>
      <c r="AK5888">
        <f>IF($AG5888=1,IFERROR(IF(VALUE($C5888)&lt;100000000,VALUE($C5888),1000000000),IFERROR(IF(VALUE(MID($C5888,2,20))&lt;100000000,VALUE(MID($C5888,2,20)),1000000000),1000000000))+ROW()/100000,"")</f>
        <v/>
      </c>
    </row>
    <row r="5889">
      <c r="D5889" s="11" t="n"/>
      <c r="K5889" s="7">
        <f>IF($C5889="","",J5889*W5889/100)</f>
        <v/>
      </c>
      <c r="Q5889" s="7" t="n"/>
      <c r="R5889" s="7" t="n"/>
      <c r="U5889">
        <f>IF($C5889="","",IF($AJ5889=1,0,IF($AI5889=1,Settings!$C$6,Settings!$C$7))*100)</f>
        <v/>
      </c>
      <c r="V5889" s="7">
        <f>IF($C5889="","",R5889*U5889/100)</f>
        <v/>
      </c>
      <c r="W5889" s="7">
        <f>IF($C5889="","",R5889-V5889)</f>
        <v/>
      </c>
      <c r="X5889" s="7">
        <f>IF($C5889="","",W5889-K5889)</f>
        <v/>
      </c>
      <c r="AB5889" s="7" t="n"/>
      <c r="AE5889" s="11" t="n"/>
      <c r="AG5889">
        <f>IF($C5889="","",IF(COUNTIF($C$2:$C5889,$C5889)=1,1,0))</f>
        <v/>
      </c>
      <c r="AH5889">
        <f>IF($AG5889=1,SUMPRODUCT(--($AK$2:$AK$6001&lt;$AK5889))+1,"")</f>
        <v/>
      </c>
      <c r="AI5889">
        <f>IF($C5889="","",IF(OR($N5889=TRUE(),$N5889="TRUE"),1,0))</f>
        <v/>
      </c>
      <c r="AJ5889">
        <f>IF($C5889="","",IF($T5889="Yes",1,0))</f>
        <v/>
      </c>
      <c r="AK5889">
        <f>IF($AG5889=1,IFERROR(IF(VALUE($C5889)&lt;100000000,VALUE($C5889),1000000000),IFERROR(IF(VALUE(MID($C5889,2,20))&lt;100000000,VALUE(MID($C5889,2,20)),1000000000),1000000000))+ROW()/100000,"")</f>
        <v/>
      </c>
    </row>
    <row r="5890">
      <c r="D5890" s="11" t="n"/>
      <c r="K5890" s="7">
        <f>IF($C5890="","",J5890*W5890/100)</f>
        <v/>
      </c>
      <c r="Q5890" s="7" t="n"/>
      <c r="R5890" s="7" t="n"/>
      <c r="U5890">
        <f>IF($C5890="","",IF($AJ5890=1,0,IF($AI5890=1,Settings!$C$6,Settings!$C$7))*100)</f>
        <v/>
      </c>
      <c r="V5890" s="7">
        <f>IF($C5890="","",R5890*U5890/100)</f>
        <v/>
      </c>
      <c r="W5890" s="7">
        <f>IF($C5890="","",R5890-V5890)</f>
        <v/>
      </c>
      <c r="X5890" s="7">
        <f>IF($C5890="","",W5890-K5890)</f>
        <v/>
      </c>
      <c r="AB5890" s="7" t="n"/>
      <c r="AE5890" s="11" t="n"/>
      <c r="AG5890">
        <f>IF($C5890="","",IF(COUNTIF($C$2:$C5890,$C5890)=1,1,0))</f>
        <v/>
      </c>
      <c r="AH5890">
        <f>IF($AG5890=1,SUMPRODUCT(--($AK$2:$AK$6001&lt;$AK5890))+1,"")</f>
        <v/>
      </c>
      <c r="AI5890">
        <f>IF($C5890="","",IF(OR($N5890=TRUE(),$N5890="TRUE"),1,0))</f>
        <v/>
      </c>
      <c r="AJ5890">
        <f>IF($C5890="","",IF($T5890="Yes",1,0))</f>
        <v/>
      </c>
      <c r="AK5890">
        <f>IF($AG5890=1,IFERROR(IF(VALUE($C5890)&lt;100000000,VALUE($C5890),1000000000),IFERROR(IF(VALUE(MID($C5890,2,20))&lt;100000000,VALUE(MID($C5890,2,20)),1000000000),1000000000))+ROW()/100000,"")</f>
        <v/>
      </c>
    </row>
    <row r="5891">
      <c r="D5891" s="11" t="n"/>
      <c r="K5891" s="7">
        <f>IF($C5891="","",J5891*W5891/100)</f>
        <v/>
      </c>
      <c r="Q5891" s="7" t="n"/>
      <c r="R5891" s="7" t="n"/>
      <c r="U5891">
        <f>IF($C5891="","",IF($AJ5891=1,0,IF($AI5891=1,Settings!$C$6,Settings!$C$7))*100)</f>
        <v/>
      </c>
      <c r="V5891" s="7">
        <f>IF($C5891="","",R5891*U5891/100)</f>
        <v/>
      </c>
      <c r="W5891" s="7">
        <f>IF($C5891="","",R5891-V5891)</f>
        <v/>
      </c>
      <c r="X5891" s="7">
        <f>IF($C5891="","",W5891-K5891)</f>
        <v/>
      </c>
      <c r="AB5891" s="7" t="n"/>
      <c r="AE5891" s="11" t="n"/>
      <c r="AG5891">
        <f>IF($C5891="","",IF(COUNTIF($C$2:$C5891,$C5891)=1,1,0))</f>
        <v/>
      </c>
      <c r="AH5891">
        <f>IF($AG5891=1,SUMPRODUCT(--($AK$2:$AK$6001&lt;$AK5891))+1,"")</f>
        <v/>
      </c>
      <c r="AI5891">
        <f>IF($C5891="","",IF(OR($N5891=TRUE(),$N5891="TRUE"),1,0))</f>
        <v/>
      </c>
      <c r="AJ5891">
        <f>IF($C5891="","",IF($T5891="Yes",1,0))</f>
        <v/>
      </c>
      <c r="AK5891">
        <f>IF($AG5891=1,IFERROR(IF(VALUE($C5891)&lt;100000000,VALUE($C5891),1000000000),IFERROR(IF(VALUE(MID($C5891,2,20))&lt;100000000,VALUE(MID($C5891,2,20)),1000000000),1000000000))+ROW()/100000,"")</f>
        <v/>
      </c>
    </row>
    <row r="5892">
      <c r="D5892" s="11" t="n"/>
      <c r="K5892" s="7">
        <f>IF($C5892="","",J5892*W5892/100)</f>
        <v/>
      </c>
      <c r="Q5892" s="7" t="n"/>
      <c r="R5892" s="7" t="n"/>
      <c r="U5892">
        <f>IF($C5892="","",IF($AJ5892=1,0,IF($AI5892=1,Settings!$C$6,Settings!$C$7))*100)</f>
        <v/>
      </c>
      <c r="V5892" s="7">
        <f>IF($C5892="","",R5892*U5892/100)</f>
        <v/>
      </c>
      <c r="W5892" s="7">
        <f>IF($C5892="","",R5892-V5892)</f>
        <v/>
      </c>
      <c r="X5892" s="7">
        <f>IF($C5892="","",W5892-K5892)</f>
        <v/>
      </c>
      <c r="AB5892" s="7" t="n"/>
      <c r="AE5892" s="11" t="n"/>
      <c r="AG5892">
        <f>IF($C5892="","",IF(COUNTIF($C$2:$C5892,$C5892)=1,1,0))</f>
        <v/>
      </c>
      <c r="AH5892">
        <f>IF($AG5892=1,SUMPRODUCT(--($AK$2:$AK$6001&lt;$AK5892))+1,"")</f>
        <v/>
      </c>
      <c r="AI5892">
        <f>IF($C5892="","",IF(OR($N5892=TRUE(),$N5892="TRUE"),1,0))</f>
        <v/>
      </c>
      <c r="AJ5892">
        <f>IF($C5892="","",IF($T5892="Yes",1,0))</f>
        <v/>
      </c>
      <c r="AK5892">
        <f>IF($AG5892=1,IFERROR(IF(VALUE($C5892)&lt;100000000,VALUE($C5892),1000000000),IFERROR(IF(VALUE(MID($C5892,2,20))&lt;100000000,VALUE(MID($C5892,2,20)),1000000000),1000000000))+ROW()/100000,"")</f>
        <v/>
      </c>
    </row>
    <row r="5893">
      <c r="D5893" s="11" t="n"/>
      <c r="K5893" s="7">
        <f>IF($C5893="","",J5893*W5893/100)</f>
        <v/>
      </c>
      <c r="Q5893" s="7" t="n"/>
      <c r="R5893" s="7" t="n"/>
      <c r="U5893">
        <f>IF($C5893="","",IF($AJ5893=1,0,IF($AI5893=1,Settings!$C$6,Settings!$C$7))*100)</f>
        <v/>
      </c>
      <c r="V5893" s="7">
        <f>IF($C5893="","",R5893*U5893/100)</f>
        <v/>
      </c>
      <c r="W5893" s="7">
        <f>IF($C5893="","",R5893-V5893)</f>
        <v/>
      </c>
      <c r="X5893" s="7">
        <f>IF($C5893="","",W5893-K5893)</f>
        <v/>
      </c>
      <c r="AB5893" s="7" t="n"/>
      <c r="AE5893" s="11" t="n"/>
      <c r="AG5893">
        <f>IF($C5893="","",IF(COUNTIF($C$2:$C5893,$C5893)=1,1,0))</f>
        <v/>
      </c>
      <c r="AH5893">
        <f>IF($AG5893=1,SUMPRODUCT(--($AK$2:$AK$6001&lt;$AK5893))+1,"")</f>
        <v/>
      </c>
      <c r="AI5893">
        <f>IF($C5893="","",IF(OR($N5893=TRUE(),$N5893="TRUE"),1,0))</f>
        <v/>
      </c>
      <c r="AJ5893">
        <f>IF($C5893="","",IF($T5893="Yes",1,0))</f>
        <v/>
      </c>
      <c r="AK5893">
        <f>IF($AG5893=1,IFERROR(IF(VALUE($C5893)&lt;100000000,VALUE($C5893),1000000000),IFERROR(IF(VALUE(MID($C5893,2,20))&lt;100000000,VALUE(MID($C5893,2,20)),1000000000),1000000000))+ROW()/100000,"")</f>
        <v/>
      </c>
    </row>
    <row r="5894">
      <c r="D5894" s="11" t="n"/>
      <c r="K5894" s="7">
        <f>IF($C5894="","",J5894*W5894/100)</f>
        <v/>
      </c>
      <c r="Q5894" s="7" t="n"/>
      <c r="R5894" s="7" t="n"/>
      <c r="U5894">
        <f>IF($C5894="","",IF($AJ5894=1,0,IF($AI5894=1,Settings!$C$6,Settings!$C$7))*100)</f>
        <v/>
      </c>
      <c r="V5894" s="7">
        <f>IF($C5894="","",R5894*U5894/100)</f>
        <v/>
      </c>
      <c r="W5894" s="7">
        <f>IF($C5894="","",R5894-V5894)</f>
        <v/>
      </c>
      <c r="X5894" s="7">
        <f>IF($C5894="","",W5894-K5894)</f>
        <v/>
      </c>
      <c r="AB5894" s="7" t="n"/>
      <c r="AE5894" s="11" t="n"/>
      <c r="AG5894">
        <f>IF($C5894="","",IF(COUNTIF($C$2:$C5894,$C5894)=1,1,0))</f>
        <v/>
      </c>
      <c r="AH5894">
        <f>IF($AG5894=1,SUMPRODUCT(--($AK$2:$AK$6001&lt;$AK5894))+1,"")</f>
        <v/>
      </c>
      <c r="AI5894">
        <f>IF($C5894="","",IF(OR($N5894=TRUE(),$N5894="TRUE"),1,0))</f>
        <v/>
      </c>
      <c r="AJ5894">
        <f>IF($C5894="","",IF($T5894="Yes",1,0))</f>
        <v/>
      </c>
      <c r="AK5894">
        <f>IF($AG5894=1,IFERROR(IF(VALUE($C5894)&lt;100000000,VALUE($C5894),1000000000),IFERROR(IF(VALUE(MID($C5894,2,20))&lt;100000000,VALUE(MID($C5894,2,20)),1000000000),1000000000))+ROW()/100000,"")</f>
        <v/>
      </c>
    </row>
    <row r="5895">
      <c r="D5895" s="11" t="n"/>
      <c r="K5895" s="7">
        <f>IF($C5895="","",J5895*W5895/100)</f>
        <v/>
      </c>
      <c r="Q5895" s="7" t="n"/>
      <c r="R5895" s="7" t="n"/>
      <c r="U5895">
        <f>IF($C5895="","",IF($AJ5895=1,0,IF($AI5895=1,Settings!$C$6,Settings!$C$7))*100)</f>
        <v/>
      </c>
      <c r="V5895" s="7">
        <f>IF($C5895="","",R5895*U5895/100)</f>
        <v/>
      </c>
      <c r="W5895" s="7">
        <f>IF($C5895="","",R5895-V5895)</f>
        <v/>
      </c>
      <c r="X5895" s="7">
        <f>IF($C5895="","",W5895-K5895)</f>
        <v/>
      </c>
      <c r="AB5895" s="7" t="n"/>
      <c r="AE5895" s="11" t="n"/>
      <c r="AG5895">
        <f>IF($C5895="","",IF(COUNTIF($C$2:$C5895,$C5895)=1,1,0))</f>
        <v/>
      </c>
      <c r="AH5895">
        <f>IF($AG5895=1,SUMPRODUCT(--($AK$2:$AK$6001&lt;$AK5895))+1,"")</f>
        <v/>
      </c>
      <c r="AI5895">
        <f>IF($C5895="","",IF(OR($N5895=TRUE(),$N5895="TRUE"),1,0))</f>
        <v/>
      </c>
      <c r="AJ5895">
        <f>IF($C5895="","",IF($T5895="Yes",1,0))</f>
        <v/>
      </c>
      <c r="AK5895">
        <f>IF($AG5895=1,IFERROR(IF(VALUE($C5895)&lt;100000000,VALUE($C5895),1000000000),IFERROR(IF(VALUE(MID($C5895,2,20))&lt;100000000,VALUE(MID($C5895,2,20)),1000000000),1000000000))+ROW()/100000,"")</f>
        <v/>
      </c>
    </row>
    <row r="5896">
      <c r="D5896" s="11" t="n"/>
      <c r="K5896" s="7">
        <f>IF($C5896="","",J5896*W5896/100)</f>
        <v/>
      </c>
      <c r="Q5896" s="7" t="n"/>
      <c r="R5896" s="7" t="n"/>
      <c r="U5896">
        <f>IF($C5896="","",IF($AJ5896=1,0,IF($AI5896=1,Settings!$C$6,Settings!$C$7))*100)</f>
        <v/>
      </c>
      <c r="V5896" s="7">
        <f>IF($C5896="","",R5896*U5896/100)</f>
        <v/>
      </c>
      <c r="W5896" s="7">
        <f>IF($C5896="","",R5896-V5896)</f>
        <v/>
      </c>
      <c r="X5896" s="7">
        <f>IF($C5896="","",W5896-K5896)</f>
        <v/>
      </c>
      <c r="AB5896" s="7" t="n"/>
      <c r="AE5896" s="11" t="n"/>
      <c r="AG5896">
        <f>IF($C5896="","",IF(COUNTIF($C$2:$C5896,$C5896)=1,1,0))</f>
        <v/>
      </c>
      <c r="AH5896">
        <f>IF($AG5896=1,SUMPRODUCT(--($AK$2:$AK$6001&lt;$AK5896))+1,"")</f>
        <v/>
      </c>
      <c r="AI5896">
        <f>IF($C5896="","",IF(OR($N5896=TRUE(),$N5896="TRUE"),1,0))</f>
        <v/>
      </c>
      <c r="AJ5896">
        <f>IF($C5896="","",IF($T5896="Yes",1,0))</f>
        <v/>
      </c>
      <c r="AK5896">
        <f>IF($AG5896=1,IFERROR(IF(VALUE($C5896)&lt;100000000,VALUE($C5896),1000000000),IFERROR(IF(VALUE(MID($C5896,2,20))&lt;100000000,VALUE(MID($C5896,2,20)),1000000000),1000000000))+ROW()/100000,"")</f>
        <v/>
      </c>
    </row>
    <row r="5897">
      <c r="D5897" s="11" t="n"/>
      <c r="K5897" s="7">
        <f>IF($C5897="","",J5897*W5897/100)</f>
        <v/>
      </c>
      <c r="Q5897" s="7" t="n"/>
      <c r="R5897" s="7" t="n"/>
      <c r="U5897">
        <f>IF($C5897="","",IF($AJ5897=1,0,IF($AI5897=1,Settings!$C$6,Settings!$C$7))*100)</f>
        <v/>
      </c>
      <c r="V5897" s="7">
        <f>IF($C5897="","",R5897*U5897/100)</f>
        <v/>
      </c>
      <c r="W5897" s="7">
        <f>IF($C5897="","",R5897-V5897)</f>
        <v/>
      </c>
      <c r="X5897" s="7">
        <f>IF($C5897="","",W5897-K5897)</f>
        <v/>
      </c>
      <c r="AB5897" s="7" t="n"/>
      <c r="AE5897" s="11" t="n"/>
      <c r="AG5897">
        <f>IF($C5897="","",IF(COUNTIF($C$2:$C5897,$C5897)=1,1,0))</f>
        <v/>
      </c>
      <c r="AH5897">
        <f>IF($AG5897=1,SUMPRODUCT(--($AK$2:$AK$6001&lt;$AK5897))+1,"")</f>
        <v/>
      </c>
      <c r="AI5897">
        <f>IF($C5897="","",IF(OR($N5897=TRUE(),$N5897="TRUE"),1,0))</f>
        <v/>
      </c>
      <c r="AJ5897">
        <f>IF($C5897="","",IF($T5897="Yes",1,0))</f>
        <v/>
      </c>
      <c r="AK5897">
        <f>IF($AG5897=1,IFERROR(IF(VALUE($C5897)&lt;100000000,VALUE($C5897),1000000000),IFERROR(IF(VALUE(MID($C5897,2,20))&lt;100000000,VALUE(MID($C5897,2,20)),1000000000),1000000000))+ROW()/100000,"")</f>
        <v/>
      </c>
    </row>
    <row r="5898">
      <c r="D5898" s="11" t="n"/>
      <c r="K5898" s="7">
        <f>IF($C5898="","",J5898*W5898/100)</f>
        <v/>
      </c>
      <c r="Q5898" s="7" t="n"/>
      <c r="R5898" s="7" t="n"/>
      <c r="U5898">
        <f>IF($C5898="","",IF($AJ5898=1,0,IF($AI5898=1,Settings!$C$6,Settings!$C$7))*100)</f>
        <v/>
      </c>
      <c r="V5898" s="7">
        <f>IF($C5898="","",R5898*U5898/100)</f>
        <v/>
      </c>
      <c r="W5898" s="7">
        <f>IF($C5898="","",R5898-V5898)</f>
        <v/>
      </c>
      <c r="X5898" s="7">
        <f>IF($C5898="","",W5898-K5898)</f>
        <v/>
      </c>
      <c r="AB5898" s="7" t="n"/>
      <c r="AE5898" s="11" t="n"/>
      <c r="AG5898">
        <f>IF($C5898="","",IF(COUNTIF($C$2:$C5898,$C5898)=1,1,0))</f>
        <v/>
      </c>
      <c r="AH5898">
        <f>IF($AG5898=1,SUMPRODUCT(--($AK$2:$AK$6001&lt;$AK5898))+1,"")</f>
        <v/>
      </c>
      <c r="AI5898">
        <f>IF($C5898="","",IF(OR($N5898=TRUE(),$N5898="TRUE"),1,0))</f>
        <v/>
      </c>
      <c r="AJ5898">
        <f>IF($C5898="","",IF($T5898="Yes",1,0))</f>
        <v/>
      </c>
      <c r="AK5898">
        <f>IF($AG5898=1,IFERROR(IF(VALUE($C5898)&lt;100000000,VALUE($C5898),1000000000),IFERROR(IF(VALUE(MID($C5898,2,20))&lt;100000000,VALUE(MID($C5898,2,20)),1000000000),1000000000))+ROW()/100000,"")</f>
        <v/>
      </c>
    </row>
    <row r="5899">
      <c r="D5899" s="11" t="n"/>
      <c r="K5899" s="7">
        <f>IF($C5899="","",J5899*W5899/100)</f>
        <v/>
      </c>
      <c r="Q5899" s="7" t="n"/>
      <c r="R5899" s="7" t="n"/>
      <c r="U5899">
        <f>IF($C5899="","",IF($AJ5899=1,0,IF($AI5899=1,Settings!$C$6,Settings!$C$7))*100)</f>
        <v/>
      </c>
      <c r="V5899" s="7">
        <f>IF($C5899="","",R5899*U5899/100)</f>
        <v/>
      </c>
      <c r="W5899" s="7">
        <f>IF($C5899="","",R5899-V5899)</f>
        <v/>
      </c>
      <c r="X5899" s="7">
        <f>IF($C5899="","",W5899-K5899)</f>
        <v/>
      </c>
      <c r="AB5899" s="7" t="n"/>
      <c r="AE5899" s="11" t="n"/>
      <c r="AG5899">
        <f>IF($C5899="","",IF(COUNTIF($C$2:$C5899,$C5899)=1,1,0))</f>
        <v/>
      </c>
      <c r="AH5899">
        <f>IF($AG5899=1,SUMPRODUCT(--($AK$2:$AK$6001&lt;$AK5899))+1,"")</f>
        <v/>
      </c>
      <c r="AI5899">
        <f>IF($C5899="","",IF(OR($N5899=TRUE(),$N5899="TRUE"),1,0))</f>
        <v/>
      </c>
      <c r="AJ5899">
        <f>IF($C5899="","",IF($T5899="Yes",1,0))</f>
        <v/>
      </c>
      <c r="AK5899">
        <f>IF($AG5899=1,IFERROR(IF(VALUE($C5899)&lt;100000000,VALUE($C5899),1000000000),IFERROR(IF(VALUE(MID($C5899,2,20))&lt;100000000,VALUE(MID($C5899,2,20)),1000000000),1000000000))+ROW()/100000,"")</f>
        <v/>
      </c>
    </row>
    <row r="5900">
      <c r="D5900" s="11" t="n"/>
      <c r="K5900" s="7">
        <f>IF($C5900="","",J5900*W5900/100)</f>
        <v/>
      </c>
      <c r="Q5900" s="7" t="n"/>
      <c r="R5900" s="7" t="n"/>
      <c r="U5900">
        <f>IF($C5900="","",IF($AJ5900=1,0,IF($AI5900=1,Settings!$C$6,Settings!$C$7))*100)</f>
        <v/>
      </c>
      <c r="V5900" s="7">
        <f>IF($C5900="","",R5900*U5900/100)</f>
        <v/>
      </c>
      <c r="W5900" s="7">
        <f>IF($C5900="","",R5900-V5900)</f>
        <v/>
      </c>
      <c r="X5900" s="7">
        <f>IF($C5900="","",W5900-K5900)</f>
        <v/>
      </c>
      <c r="AB5900" s="7" t="n"/>
      <c r="AE5900" s="11" t="n"/>
      <c r="AG5900">
        <f>IF($C5900="","",IF(COUNTIF($C$2:$C5900,$C5900)=1,1,0))</f>
        <v/>
      </c>
      <c r="AH5900">
        <f>IF($AG5900=1,SUMPRODUCT(--($AK$2:$AK$6001&lt;$AK5900))+1,"")</f>
        <v/>
      </c>
      <c r="AI5900">
        <f>IF($C5900="","",IF(OR($N5900=TRUE(),$N5900="TRUE"),1,0))</f>
        <v/>
      </c>
      <c r="AJ5900">
        <f>IF($C5900="","",IF($T5900="Yes",1,0))</f>
        <v/>
      </c>
      <c r="AK5900">
        <f>IF($AG5900=1,IFERROR(IF(VALUE($C5900)&lt;100000000,VALUE($C5900),1000000000),IFERROR(IF(VALUE(MID($C5900,2,20))&lt;100000000,VALUE(MID($C5900,2,20)),1000000000),1000000000))+ROW()/100000,"")</f>
        <v/>
      </c>
    </row>
    <row r="5901">
      <c r="D5901" s="11" t="n"/>
      <c r="K5901" s="7">
        <f>IF($C5901="","",J5901*W5901/100)</f>
        <v/>
      </c>
      <c r="Q5901" s="7" t="n"/>
      <c r="R5901" s="7" t="n"/>
      <c r="U5901">
        <f>IF($C5901="","",IF($AJ5901=1,0,IF($AI5901=1,Settings!$C$6,Settings!$C$7))*100)</f>
        <v/>
      </c>
      <c r="V5901" s="7">
        <f>IF($C5901="","",R5901*U5901/100)</f>
        <v/>
      </c>
      <c r="W5901" s="7">
        <f>IF($C5901="","",R5901-V5901)</f>
        <v/>
      </c>
      <c r="X5901" s="7">
        <f>IF($C5901="","",W5901-K5901)</f>
        <v/>
      </c>
      <c r="AB5901" s="7" t="n"/>
      <c r="AE5901" s="11" t="n"/>
      <c r="AG5901">
        <f>IF($C5901="","",IF(COUNTIF($C$2:$C5901,$C5901)=1,1,0))</f>
        <v/>
      </c>
      <c r="AH5901">
        <f>IF($AG5901=1,SUMPRODUCT(--($AK$2:$AK$6001&lt;$AK5901))+1,"")</f>
        <v/>
      </c>
      <c r="AI5901">
        <f>IF($C5901="","",IF(OR($N5901=TRUE(),$N5901="TRUE"),1,0))</f>
        <v/>
      </c>
      <c r="AJ5901">
        <f>IF($C5901="","",IF($T5901="Yes",1,0))</f>
        <v/>
      </c>
      <c r="AK5901">
        <f>IF($AG5901=1,IFERROR(IF(VALUE($C5901)&lt;100000000,VALUE($C5901),1000000000),IFERROR(IF(VALUE(MID($C5901,2,20))&lt;100000000,VALUE(MID($C5901,2,20)),1000000000),1000000000))+ROW()/100000,"")</f>
        <v/>
      </c>
    </row>
    <row r="5902">
      <c r="D5902" s="11" t="n"/>
      <c r="K5902" s="7">
        <f>IF($C5902="","",J5902*W5902/100)</f>
        <v/>
      </c>
      <c r="Q5902" s="7" t="n"/>
      <c r="R5902" s="7" t="n"/>
      <c r="U5902">
        <f>IF($C5902="","",IF($AJ5902=1,0,IF($AI5902=1,Settings!$C$6,Settings!$C$7))*100)</f>
        <v/>
      </c>
      <c r="V5902" s="7">
        <f>IF($C5902="","",R5902*U5902/100)</f>
        <v/>
      </c>
      <c r="W5902" s="7">
        <f>IF($C5902="","",R5902-V5902)</f>
        <v/>
      </c>
      <c r="X5902" s="7">
        <f>IF($C5902="","",W5902-K5902)</f>
        <v/>
      </c>
      <c r="AB5902" s="7" t="n"/>
      <c r="AE5902" s="11" t="n"/>
      <c r="AG5902">
        <f>IF($C5902="","",IF(COUNTIF($C$2:$C5902,$C5902)=1,1,0))</f>
        <v/>
      </c>
      <c r="AH5902">
        <f>IF($AG5902=1,SUMPRODUCT(--($AK$2:$AK$6001&lt;$AK5902))+1,"")</f>
        <v/>
      </c>
      <c r="AI5902">
        <f>IF($C5902="","",IF(OR($N5902=TRUE(),$N5902="TRUE"),1,0))</f>
        <v/>
      </c>
      <c r="AJ5902">
        <f>IF($C5902="","",IF($T5902="Yes",1,0))</f>
        <v/>
      </c>
      <c r="AK5902">
        <f>IF($AG5902=1,IFERROR(IF(VALUE($C5902)&lt;100000000,VALUE($C5902),1000000000),IFERROR(IF(VALUE(MID($C5902,2,20))&lt;100000000,VALUE(MID($C5902,2,20)),1000000000),1000000000))+ROW()/100000,"")</f>
        <v/>
      </c>
    </row>
    <row r="5903">
      <c r="D5903" s="11" t="n"/>
      <c r="K5903" s="7">
        <f>IF($C5903="","",J5903*W5903/100)</f>
        <v/>
      </c>
      <c r="Q5903" s="7" t="n"/>
      <c r="R5903" s="7" t="n"/>
      <c r="U5903">
        <f>IF($C5903="","",IF($AJ5903=1,0,IF($AI5903=1,Settings!$C$6,Settings!$C$7))*100)</f>
        <v/>
      </c>
      <c r="V5903" s="7">
        <f>IF($C5903="","",R5903*U5903/100)</f>
        <v/>
      </c>
      <c r="W5903" s="7">
        <f>IF($C5903="","",R5903-V5903)</f>
        <v/>
      </c>
      <c r="X5903" s="7">
        <f>IF($C5903="","",W5903-K5903)</f>
        <v/>
      </c>
      <c r="AB5903" s="7" t="n"/>
      <c r="AE5903" s="11" t="n"/>
      <c r="AG5903">
        <f>IF($C5903="","",IF(COUNTIF($C$2:$C5903,$C5903)=1,1,0))</f>
        <v/>
      </c>
      <c r="AH5903">
        <f>IF($AG5903=1,SUMPRODUCT(--($AK$2:$AK$6001&lt;$AK5903))+1,"")</f>
        <v/>
      </c>
      <c r="AI5903">
        <f>IF($C5903="","",IF(OR($N5903=TRUE(),$N5903="TRUE"),1,0))</f>
        <v/>
      </c>
      <c r="AJ5903">
        <f>IF($C5903="","",IF($T5903="Yes",1,0))</f>
        <v/>
      </c>
      <c r="AK5903">
        <f>IF($AG5903=1,IFERROR(IF(VALUE($C5903)&lt;100000000,VALUE($C5903),1000000000),IFERROR(IF(VALUE(MID($C5903,2,20))&lt;100000000,VALUE(MID($C5903,2,20)),1000000000),1000000000))+ROW()/100000,"")</f>
        <v/>
      </c>
    </row>
    <row r="5904">
      <c r="D5904" s="11" t="n"/>
      <c r="K5904" s="7">
        <f>IF($C5904="","",J5904*W5904/100)</f>
        <v/>
      </c>
      <c r="Q5904" s="7" t="n"/>
      <c r="R5904" s="7" t="n"/>
      <c r="U5904">
        <f>IF($C5904="","",IF($AJ5904=1,0,IF($AI5904=1,Settings!$C$6,Settings!$C$7))*100)</f>
        <v/>
      </c>
      <c r="V5904" s="7">
        <f>IF($C5904="","",R5904*U5904/100)</f>
        <v/>
      </c>
      <c r="W5904" s="7">
        <f>IF($C5904="","",R5904-V5904)</f>
        <v/>
      </c>
      <c r="X5904" s="7">
        <f>IF($C5904="","",W5904-K5904)</f>
        <v/>
      </c>
      <c r="AB5904" s="7" t="n"/>
      <c r="AE5904" s="11" t="n"/>
      <c r="AG5904">
        <f>IF($C5904="","",IF(COUNTIF($C$2:$C5904,$C5904)=1,1,0))</f>
        <v/>
      </c>
      <c r="AH5904">
        <f>IF($AG5904=1,SUMPRODUCT(--($AK$2:$AK$6001&lt;$AK5904))+1,"")</f>
        <v/>
      </c>
      <c r="AI5904">
        <f>IF($C5904="","",IF(OR($N5904=TRUE(),$N5904="TRUE"),1,0))</f>
        <v/>
      </c>
      <c r="AJ5904">
        <f>IF($C5904="","",IF($T5904="Yes",1,0))</f>
        <v/>
      </c>
      <c r="AK5904">
        <f>IF($AG5904=1,IFERROR(IF(VALUE($C5904)&lt;100000000,VALUE($C5904),1000000000),IFERROR(IF(VALUE(MID($C5904,2,20))&lt;100000000,VALUE(MID($C5904,2,20)),1000000000),1000000000))+ROW()/100000,"")</f>
        <v/>
      </c>
    </row>
    <row r="5905">
      <c r="D5905" s="11" t="n"/>
      <c r="K5905" s="7">
        <f>IF($C5905="","",J5905*W5905/100)</f>
        <v/>
      </c>
      <c r="Q5905" s="7" t="n"/>
      <c r="R5905" s="7" t="n"/>
      <c r="U5905">
        <f>IF($C5905="","",IF($AJ5905=1,0,IF($AI5905=1,Settings!$C$6,Settings!$C$7))*100)</f>
        <v/>
      </c>
      <c r="V5905" s="7">
        <f>IF($C5905="","",R5905*U5905/100)</f>
        <v/>
      </c>
      <c r="W5905" s="7">
        <f>IF($C5905="","",R5905-V5905)</f>
        <v/>
      </c>
      <c r="X5905" s="7">
        <f>IF($C5905="","",W5905-K5905)</f>
        <v/>
      </c>
      <c r="AB5905" s="7" t="n"/>
      <c r="AE5905" s="11" t="n"/>
      <c r="AG5905">
        <f>IF($C5905="","",IF(COUNTIF($C$2:$C5905,$C5905)=1,1,0))</f>
        <v/>
      </c>
      <c r="AH5905">
        <f>IF($AG5905=1,SUMPRODUCT(--($AK$2:$AK$6001&lt;$AK5905))+1,"")</f>
        <v/>
      </c>
      <c r="AI5905">
        <f>IF($C5905="","",IF(OR($N5905=TRUE(),$N5905="TRUE"),1,0))</f>
        <v/>
      </c>
      <c r="AJ5905">
        <f>IF($C5905="","",IF($T5905="Yes",1,0))</f>
        <v/>
      </c>
      <c r="AK5905">
        <f>IF($AG5905=1,IFERROR(IF(VALUE($C5905)&lt;100000000,VALUE($C5905),1000000000),IFERROR(IF(VALUE(MID($C5905,2,20))&lt;100000000,VALUE(MID($C5905,2,20)),1000000000),1000000000))+ROW()/100000,"")</f>
        <v/>
      </c>
    </row>
    <row r="5906">
      <c r="D5906" s="11" t="n"/>
      <c r="K5906" s="7">
        <f>IF($C5906="","",J5906*W5906/100)</f>
        <v/>
      </c>
      <c r="Q5906" s="7" t="n"/>
      <c r="R5906" s="7" t="n"/>
      <c r="U5906">
        <f>IF($C5906="","",IF($AJ5906=1,0,IF($AI5906=1,Settings!$C$6,Settings!$C$7))*100)</f>
        <v/>
      </c>
      <c r="V5906" s="7">
        <f>IF($C5906="","",R5906*U5906/100)</f>
        <v/>
      </c>
      <c r="W5906" s="7">
        <f>IF($C5906="","",R5906-V5906)</f>
        <v/>
      </c>
      <c r="X5906" s="7">
        <f>IF($C5906="","",W5906-K5906)</f>
        <v/>
      </c>
      <c r="AB5906" s="7" t="n"/>
      <c r="AE5906" s="11" t="n"/>
      <c r="AG5906">
        <f>IF($C5906="","",IF(COUNTIF($C$2:$C5906,$C5906)=1,1,0))</f>
        <v/>
      </c>
      <c r="AH5906">
        <f>IF($AG5906=1,SUMPRODUCT(--($AK$2:$AK$6001&lt;$AK5906))+1,"")</f>
        <v/>
      </c>
      <c r="AI5906">
        <f>IF($C5906="","",IF(OR($N5906=TRUE(),$N5906="TRUE"),1,0))</f>
        <v/>
      </c>
      <c r="AJ5906">
        <f>IF($C5906="","",IF($T5906="Yes",1,0))</f>
        <v/>
      </c>
      <c r="AK5906">
        <f>IF($AG5906=1,IFERROR(IF(VALUE($C5906)&lt;100000000,VALUE($C5906),1000000000),IFERROR(IF(VALUE(MID($C5906,2,20))&lt;100000000,VALUE(MID($C5906,2,20)),1000000000),1000000000))+ROW()/100000,"")</f>
        <v/>
      </c>
    </row>
    <row r="5907">
      <c r="D5907" s="11" t="n"/>
      <c r="K5907" s="7">
        <f>IF($C5907="","",J5907*W5907/100)</f>
        <v/>
      </c>
      <c r="Q5907" s="7" t="n"/>
      <c r="R5907" s="7" t="n"/>
      <c r="U5907">
        <f>IF($C5907="","",IF($AJ5907=1,0,IF($AI5907=1,Settings!$C$6,Settings!$C$7))*100)</f>
        <v/>
      </c>
      <c r="V5907" s="7">
        <f>IF($C5907="","",R5907*U5907/100)</f>
        <v/>
      </c>
      <c r="W5907" s="7">
        <f>IF($C5907="","",R5907-V5907)</f>
        <v/>
      </c>
      <c r="X5907" s="7">
        <f>IF($C5907="","",W5907-K5907)</f>
        <v/>
      </c>
      <c r="AB5907" s="7" t="n"/>
      <c r="AE5907" s="11" t="n"/>
      <c r="AG5907">
        <f>IF($C5907="","",IF(COUNTIF($C$2:$C5907,$C5907)=1,1,0))</f>
        <v/>
      </c>
      <c r="AH5907">
        <f>IF($AG5907=1,SUMPRODUCT(--($AK$2:$AK$6001&lt;$AK5907))+1,"")</f>
        <v/>
      </c>
      <c r="AI5907">
        <f>IF($C5907="","",IF(OR($N5907=TRUE(),$N5907="TRUE"),1,0))</f>
        <v/>
      </c>
      <c r="AJ5907">
        <f>IF($C5907="","",IF($T5907="Yes",1,0))</f>
        <v/>
      </c>
      <c r="AK5907">
        <f>IF($AG5907=1,IFERROR(IF(VALUE($C5907)&lt;100000000,VALUE($C5907),1000000000),IFERROR(IF(VALUE(MID($C5907,2,20))&lt;100000000,VALUE(MID($C5907,2,20)),1000000000),1000000000))+ROW()/100000,"")</f>
        <v/>
      </c>
    </row>
    <row r="5908">
      <c r="D5908" s="11" t="n"/>
      <c r="K5908" s="7">
        <f>IF($C5908="","",J5908*W5908/100)</f>
        <v/>
      </c>
      <c r="Q5908" s="7" t="n"/>
      <c r="R5908" s="7" t="n"/>
      <c r="U5908">
        <f>IF($C5908="","",IF($AJ5908=1,0,IF($AI5908=1,Settings!$C$6,Settings!$C$7))*100)</f>
        <v/>
      </c>
      <c r="V5908" s="7">
        <f>IF($C5908="","",R5908*U5908/100)</f>
        <v/>
      </c>
      <c r="W5908" s="7">
        <f>IF($C5908="","",R5908-V5908)</f>
        <v/>
      </c>
      <c r="X5908" s="7">
        <f>IF($C5908="","",W5908-K5908)</f>
        <v/>
      </c>
      <c r="AB5908" s="7" t="n"/>
      <c r="AE5908" s="11" t="n"/>
      <c r="AG5908">
        <f>IF($C5908="","",IF(COUNTIF($C$2:$C5908,$C5908)=1,1,0))</f>
        <v/>
      </c>
      <c r="AH5908">
        <f>IF($AG5908=1,SUMPRODUCT(--($AK$2:$AK$6001&lt;$AK5908))+1,"")</f>
        <v/>
      </c>
      <c r="AI5908">
        <f>IF($C5908="","",IF(OR($N5908=TRUE(),$N5908="TRUE"),1,0))</f>
        <v/>
      </c>
      <c r="AJ5908">
        <f>IF($C5908="","",IF($T5908="Yes",1,0))</f>
        <v/>
      </c>
      <c r="AK5908">
        <f>IF($AG5908=1,IFERROR(IF(VALUE($C5908)&lt;100000000,VALUE($C5908),1000000000),IFERROR(IF(VALUE(MID($C5908,2,20))&lt;100000000,VALUE(MID($C5908,2,20)),1000000000),1000000000))+ROW()/100000,"")</f>
        <v/>
      </c>
    </row>
    <row r="5909">
      <c r="D5909" s="11" t="n"/>
      <c r="K5909" s="7">
        <f>IF($C5909="","",J5909*W5909/100)</f>
        <v/>
      </c>
      <c r="Q5909" s="7" t="n"/>
      <c r="R5909" s="7" t="n"/>
      <c r="U5909">
        <f>IF($C5909="","",IF($AJ5909=1,0,IF($AI5909=1,Settings!$C$6,Settings!$C$7))*100)</f>
        <v/>
      </c>
      <c r="V5909" s="7">
        <f>IF($C5909="","",R5909*U5909/100)</f>
        <v/>
      </c>
      <c r="W5909" s="7">
        <f>IF($C5909="","",R5909-V5909)</f>
        <v/>
      </c>
      <c r="X5909" s="7">
        <f>IF($C5909="","",W5909-K5909)</f>
        <v/>
      </c>
      <c r="AB5909" s="7" t="n"/>
      <c r="AE5909" s="11" t="n"/>
      <c r="AG5909">
        <f>IF($C5909="","",IF(COUNTIF($C$2:$C5909,$C5909)=1,1,0))</f>
        <v/>
      </c>
      <c r="AH5909">
        <f>IF($AG5909=1,SUMPRODUCT(--($AK$2:$AK$6001&lt;$AK5909))+1,"")</f>
        <v/>
      </c>
      <c r="AI5909">
        <f>IF($C5909="","",IF(OR($N5909=TRUE(),$N5909="TRUE"),1,0))</f>
        <v/>
      </c>
      <c r="AJ5909">
        <f>IF($C5909="","",IF($T5909="Yes",1,0))</f>
        <v/>
      </c>
      <c r="AK5909">
        <f>IF($AG5909=1,IFERROR(IF(VALUE($C5909)&lt;100000000,VALUE($C5909),1000000000),IFERROR(IF(VALUE(MID($C5909,2,20))&lt;100000000,VALUE(MID($C5909,2,20)),1000000000),1000000000))+ROW()/100000,"")</f>
        <v/>
      </c>
    </row>
    <row r="5910">
      <c r="D5910" s="11" t="n"/>
      <c r="K5910" s="7">
        <f>IF($C5910="","",J5910*W5910/100)</f>
        <v/>
      </c>
      <c r="Q5910" s="7" t="n"/>
      <c r="R5910" s="7" t="n"/>
      <c r="U5910">
        <f>IF($C5910="","",IF($AJ5910=1,0,IF($AI5910=1,Settings!$C$6,Settings!$C$7))*100)</f>
        <v/>
      </c>
      <c r="V5910" s="7">
        <f>IF($C5910="","",R5910*U5910/100)</f>
        <v/>
      </c>
      <c r="W5910" s="7">
        <f>IF($C5910="","",R5910-V5910)</f>
        <v/>
      </c>
      <c r="X5910" s="7">
        <f>IF($C5910="","",W5910-K5910)</f>
        <v/>
      </c>
      <c r="AB5910" s="7" t="n"/>
      <c r="AE5910" s="11" t="n"/>
      <c r="AG5910">
        <f>IF($C5910="","",IF(COUNTIF($C$2:$C5910,$C5910)=1,1,0))</f>
        <v/>
      </c>
      <c r="AH5910">
        <f>IF($AG5910=1,SUMPRODUCT(--($AK$2:$AK$6001&lt;$AK5910))+1,"")</f>
        <v/>
      </c>
      <c r="AI5910">
        <f>IF($C5910="","",IF(OR($N5910=TRUE(),$N5910="TRUE"),1,0))</f>
        <v/>
      </c>
      <c r="AJ5910">
        <f>IF($C5910="","",IF($T5910="Yes",1,0))</f>
        <v/>
      </c>
      <c r="AK5910">
        <f>IF($AG5910=1,IFERROR(IF(VALUE($C5910)&lt;100000000,VALUE($C5910),1000000000),IFERROR(IF(VALUE(MID($C5910,2,20))&lt;100000000,VALUE(MID($C5910,2,20)),1000000000),1000000000))+ROW()/100000,"")</f>
        <v/>
      </c>
    </row>
    <row r="5911">
      <c r="D5911" s="11" t="n"/>
      <c r="K5911" s="7">
        <f>IF($C5911="","",J5911*W5911/100)</f>
        <v/>
      </c>
      <c r="Q5911" s="7" t="n"/>
      <c r="R5911" s="7" t="n"/>
      <c r="U5911">
        <f>IF($C5911="","",IF($AJ5911=1,0,IF($AI5911=1,Settings!$C$6,Settings!$C$7))*100)</f>
        <v/>
      </c>
      <c r="V5911" s="7">
        <f>IF($C5911="","",R5911*U5911/100)</f>
        <v/>
      </c>
      <c r="W5911" s="7">
        <f>IF($C5911="","",R5911-V5911)</f>
        <v/>
      </c>
      <c r="X5911" s="7">
        <f>IF($C5911="","",W5911-K5911)</f>
        <v/>
      </c>
      <c r="AB5911" s="7" t="n"/>
      <c r="AE5911" s="11" t="n"/>
      <c r="AG5911">
        <f>IF($C5911="","",IF(COUNTIF($C$2:$C5911,$C5911)=1,1,0))</f>
        <v/>
      </c>
      <c r="AH5911">
        <f>IF($AG5911=1,SUMPRODUCT(--($AK$2:$AK$6001&lt;$AK5911))+1,"")</f>
        <v/>
      </c>
      <c r="AI5911">
        <f>IF($C5911="","",IF(OR($N5911=TRUE(),$N5911="TRUE"),1,0))</f>
        <v/>
      </c>
      <c r="AJ5911">
        <f>IF($C5911="","",IF($T5911="Yes",1,0))</f>
        <v/>
      </c>
      <c r="AK5911">
        <f>IF($AG5911=1,IFERROR(IF(VALUE($C5911)&lt;100000000,VALUE($C5911),1000000000),IFERROR(IF(VALUE(MID($C5911,2,20))&lt;100000000,VALUE(MID($C5911,2,20)),1000000000),1000000000))+ROW()/100000,"")</f>
        <v/>
      </c>
    </row>
    <row r="5912">
      <c r="D5912" s="11" t="n"/>
      <c r="K5912" s="7">
        <f>IF($C5912="","",J5912*W5912/100)</f>
        <v/>
      </c>
      <c r="Q5912" s="7" t="n"/>
      <c r="R5912" s="7" t="n"/>
      <c r="U5912">
        <f>IF($C5912="","",IF($AJ5912=1,0,IF($AI5912=1,Settings!$C$6,Settings!$C$7))*100)</f>
        <v/>
      </c>
      <c r="V5912" s="7">
        <f>IF($C5912="","",R5912*U5912/100)</f>
        <v/>
      </c>
      <c r="W5912" s="7">
        <f>IF($C5912="","",R5912-V5912)</f>
        <v/>
      </c>
      <c r="X5912" s="7">
        <f>IF($C5912="","",W5912-K5912)</f>
        <v/>
      </c>
      <c r="AB5912" s="7" t="n"/>
      <c r="AE5912" s="11" t="n"/>
      <c r="AG5912">
        <f>IF($C5912="","",IF(COUNTIF($C$2:$C5912,$C5912)=1,1,0))</f>
        <v/>
      </c>
      <c r="AH5912">
        <f>IF($AG5912=1,SUMPRODUCT(--($AK$2:$AK$6001&lt;$AK5912))+1,"")</f>
        <v/>
      </c>
      <c r="AI5912">
        <f>IF($C5912="","",IF(OR($N5912=TRUE(),$N5912="TRUE"),1,0))</f>
        <v/>
      </c>
      <c r="AJ5912">
        <f>IF($C5912="","",IF($T5912="Yes",1,0))</f>
        <v/>
      </c>
      <c r="AK5912">
        <f>IF($AG5912=1,IFERROR(IF(VALUE($C5912)&lt;100000000,VALUE($C5912),1000000000),IFERROR(IF(VALUE(MID($C5912,2,20))&lt;100000000,VALUE(MID($C5912,2,20)),1000000000),1000000000))+ROW()/100000,"")</f>
        <v/>
      </c>
    </row>
    <row r="5913">
      <c r="D5913" s="11" t="n"/>
      <c r="K5913" s="7">
        <f>IF($C5913="","",J5913*W5913/100)</f>
        <v/>
      </c>
      <c r="Q5913" s="7" t="n"/>
      <c r="R5913" s="7" t="n"/>
      <c r="U5913">
        <f>IF($C5913="","",IF($AJ5913=1,0,IF($AI5913=1,Settings!$C$6,Settings!$C$7))*100)</f>
        <v/>
      </c>
      <c r="V5913" s="7">
        <f>IF($C5913="","",R5913*U5913/100)</f>
        <v/>
      </c>
      <c r="W5913" s="7">
        <f>IF($C5913="","",R5913-V5913)</f>
        <v/>
      </c>
      <c r="X5913" s="7">
        <f>IF($C5913="","",W5913-K5913)</f>
        <v/>
      </c>
      <c r="AB5913" s="7" t="n"/>
      <c r="AE5913" s="11" t="n"/>
      <c r="AG5913">
        <f>IF($C5913="","",IF(COUNTIF($C$2:$C5913,$C5913)=1,1,0))</f>
        <v/>
      </c>
      <c r="AH5913">
        <f>IF($AG5913=1,SUMPRODUCT(--($AK$2:$AK$6001&lt;$AK5913))+1,"")</f>
        <v/>
      </c>
      <c r="AI5913">
        <f>IF($C5913="","",IF(OR($N5913=TRUE(),$N5913="TRUE"),1,0))</f>
        <v/>
      </c>
      <c r="AJ5913">
        <f>IF($C5913="","",IF($T5913="Yes",1,0))</f>
        <v/>
      </c>
      <c r="AK5913">
        <f>IF($AG5913=1,IFERROR(IF(VALUE($C5913)&lt;100000000,VALUE($C5913),1000000000),IFERROR(IF(VALUE(MID($C5913,2,20))&lt;100000000,VALUE(MID($C5913,2,20)),1000000000),1000000000))+ROW()/100000,"")</f>
        <v/>
      </c>
    </row>
    <row r="5914">
      <c r="D5914" s="11" t="n"/>
      <c r="K5914" s="7">
        <f>IF($C5914="","",J5914*W5914/100)</f>
        <v/>
      </c>
      <c r="Q5914" s="7" t="n"/>
      <c r="R5914" s="7" t="n"/>
      <c r="U5914">
        <f>IF($C5914="","",IF($AJ5914=1,0,IF($AI5914=1,Settings!$C$6,Settings!$C$7))*100)</f>
        <v/>
      </c>
      <c r="V5914" s="7">
        <f>IF($C5914="","",R5914*U5914/100)</f>
        <v/>
      </c>
      <c r="W5914" s="7">
        <f>IF($C5914="","",R5914-V5914)</f>
        <v/>
      </c>
      <c r="X5914" s="7">
        <f>IF($C5914="","",W5914-K5914)</f>
        <v/>
      </c>
      <c r="AB5914" s="7" t="n"/>
      <c r="AE5914" s="11" t="n"/>
      <c r="AG5914">
        <f>IF($C5914="","",IF(COUNTIF($C$2:$C5914,$C5914)=1,1,0))</f>
        <v/>
      </c>
      <c r="AH5914">
        <f>IF($AG5914=1,SUMPRODUCT(--($AK$2:$AK$6001&lt;$AK5914))+1,"")</f>
        <v/>
      </c>
      <c r="AI5914">
        <f>IF($C5914="","",IF(OR($N5914=TRUE(),$N5914="TRUE"),1,0))</f>
        <v/>
      </c>
      <c r="AJ5914">
        <f>IF($C5914="","",IF($T5914="Yes",1,0))</f>
        <v/>
      </c>
      <c r="AK5914">
        <f>IF($AG5914=1,IFERROR(IF(VALUE($C5914)&lt;100000000,VALUE($C5914),1000000000),IFERROR(IF(VALUE(MID($C5914,2,20))&lt;100000000,VALUE(MID($C5914,2,20)),1000000000),1000000000))+ROW()/100000,"")</f>
        <v/>
      </c>
    </row>
    <row r="5915">
      <c r="D5915" s="11" t="n"/>
      <c r="K5915" s="7">
        <f>IF($C5915="","",J5915*W5915/100)</f>
        <v/>
      </c>
      <c r="Q5915" s="7" t="n"/>
      <c r="R5915" s="7" t="n"/>
      <c r="U5915">
        <f>IF($C5915="","",IF($AJ5915=1,0,IF($AI5915=1,Settings!$C$6,Settings!$C$7))*100)</f>
        <v/>
      </c>
      <c r="V5915" s="7">
        <f>IF($C5915="","",R5915*U5915/100)</f>
        <v/>
      </c>
      <c r="W5915" s="7">
        <f>IF($C5915="","",R5915-V5915)</f>
        <v/>
      </c>
      <c r="X5915" s="7">
        <f>IF($C5915="","",W5915-K5915)</f>
        <v/>
      </c>
      <c r="AB5915" s="7" t="n"/>
      <c r="AE5915" s="11" t="n"/>
      <c r="AG5915">
        <f>IF($C5915="","",IF(COUNTIF($C$2:$C5915,$C5915)=1,1,0))</f>
        <v/>
      </c>
      <c r="AH5915">
        <f>IF($AG5915=1,SUMPRODUCT(--($AK$2:$AK$6001&lt;$AK5915))+1,"")</f>
        <v/>
      </c>
      <c r="AI5915">
        <f>IF($C5915="","",IF(OR($N5915=TRUE(),$N5915="TRUE"),1,0))</f>
        <v/>
      </c>
      <c r="AJ5915">
        <f>IF($C5915="","",IF($T5915="Yes",1,0))</f>
        <v/>
      </c>
      <c r="AK5915">
        <f>IF($AG5915=1,IFERROR(IF(VALUE($C5915)&lt;100000000,VALUE($C5915),1000000000),IFERROR(IF(VALUE(MID($C5915,2,20))&lt;100000000,VALUE(MID($C5915,2,20)),1000000000),1000000000))+ROW()/100000,"")</f>
        <v/>
      </c>
    </row>
    <row r="5916">
      <c r="D5916" s="11" t="n"/>
      <c r="K5916" s="7">
        <f>IF($C5916="","",J5916*W5916/100)</f>
        <v/>
      </c>
      <c r="Q5916" s="7" t="n"/>
      <c r="R5916" s="7" t="n"/>
      <c r="U5916">
        <f>IF($C5916="","",IF($AJ5916=1,0,IF($AI5916=1,Settings!$C$6,Settings!$C$7))*100)</f>
        <v/>
      </c>
      <c r="V5916" s="7">
        <f>IF($C5916="","",R5916*U5916/100)</f>
        <v/>
      </c>
      <c r="W5916" s="7">
        <f>IF($C5916="","",R5916-V5916)</f>
        <v/>
      </c>
      <c r="X5916" s="7">
        <f>IF($C5916="","",W5916-K5916)</f>
        <v/>
      </c>
      <c r="AB5916" s="7" t="n"/>
      <c r="AE5916" s="11" t="n"/>
      <c r="AG5916">
        <f>IF($C5916="","",IF(COUNTIF($C$2:$C5916,$C5916)=1,1,0))</f>
        <v/>
      </c>
      <c r="AH5916">
        <f>IF($AG5916=1,SUMPRODUCT(--($AK$2:$AK$6001&lt;$AK5916))+1,"")</f>
        <v/>
      </c>
      <c r="AI5916">
        <f>IF($C5916="","",IF(OR($N5916=TRUE(),$N5916="TRUE"),1,0))</f>
        <v/>
      </c>
      <c r="AJ5916">
        <f>IF($C5916="","",IF($T5916="Yes",1,0))</f>
        <v/>
      </c>
      <c r="AK5916">
        <f>IF($AG5916=1,IFERROR(IF(VALUE($C5916)&lt;100000000,VALUE($C5916),1000000000),IFERROR(IF(VALUE(MID($C5916,2,20))&lt;100000000,VALUE(MID($C5916,2,20)),1000000000),1000000000))+ROW()/100000,"")</f>
        <v/>
      </c>
    </row>
    <row r="5917">
      <c r="D5917" s="11" t="n"/>
      <c r="K5917" s="7">
        <f>IF($C5917="","",J5917*W5917/100)</f>
        <v/>
      </c>
      <c r="Q5917" s="7" t="n"/>
      <c r="R5917" s="7" t="n"/>
      <c r="U5917">
        <f>IF($C5917="","",IF($AJ5917=1,0,IF($AI5917=1,Settings!$C$6,Settings!$C$7))*100)</f>
        <v/>
      </c>
      <c r="V5917" s="7">
        <f>IF($C5917="","",R5917*U5917/100)</f>
        <v/>
      </c>
      <c r="W5917" s="7">
        <f>IF($C5917="","",R5917-V5917)</f>
        <v/>
      </c>
      <c r="X5917" s="7">
        <f>IF($C5917="","",W5917-K5917)</f>
        <v/>
      </c>
      <c r="AB5917" s="7" t="n"/>
      <c r="AE5917" s="11" t="n"/>
      <c r="AG5917">
        <f>IF($C5917="","",IF(COUNTIF($C$2:$C5917,$C5917)=1,1,0))</f>
        <v/>
      </c>
      <c r="AH5917">
        <f>IF($AG5917=1,SUMPRODUCT(--($AK$2:$AK$6001&lt;$AK5917))+1,"")</f>
        <v/>
      </c>
      <c r="AI5917">
        <f>IF($C5917="","",IF(OR($N5917=TRUE(),$N5917="TRUE"),1,0))</f>
        <v/>
      </c>
      <c r="AJ5917">
        <f>IF($C5917="","",IF($T5917="Yes",1,0))</f>
        <v/>
      </c>
      <c r="AK5917">
        <f>IF($AG5917=1,IFERROR(IF(VALUE($C5917)&lt;100000000,VALUE($C5917),1000000000),IFERROR(IF(VALUE(MID($C5917,2,20))&lt;100000000,VALUE(MID($C5917,2,20)),1000000000),1000000000))+ROW()/100000,"")</f>
        <v/>
      </c>
    </row>
    <row r="5918">
      <c r="D5918" s="11" t="n"/>
      <c r="K5918" s="7">
        <f>IF($C5918="","",J5918*W5918/100)</f>
        <v/>
      </c>
      <c r="Q5918" s="7" t="n"/>
      <c r="R5918" s="7" t="n"/>
      <c r="U5918">
        <f>IF($C5918="","",IF($AJ5918=1,0,IF($AI5918=1,Settings!$C$6,Settings!$C$7))*100)</f>
        <v/>
      </c>
      <c r="V5918" s="7">
        <f>IF($C5918="","",R5918*U5918/100)</f>
        <v/>
      </c>
      <c r="W5918" s="7">
        <f>IF($C5918="","",R5918-V5918)</f>
        <v/>
      </c>
      <c r="X5918" s="7">
        <f>IF($C5918="","",W5918-K5918)</f>
        <v/>
      </c>
      <c r="AB5918" s="7" t="n"/>
      <c r="AE5918" s="11" t="n"/>
      <c r="AG5918">
        <f>IF($C5918="","",IF(COUNTIF($C$2:$C5918,$C5918)=1,1,0))</f>
        <v/>
      </c>
      <c r="AH5918">
        <f>IF($AG5918=1,SUMPRODUCT(--($AK$2:$AK$6001&lt;$AK5918))+1,"")</f>
        <v/>
      </c>
      <c r="AI5918">
        <f>IF($C5918="","",IF(OR($N5918=TRUE(),$N5918="TRUE"),1,0))</f>
        <v/>
      </c>
      <c r="AJ5918">
        <f>IF($C5918="","",IF($T5918="Yes",1,0))</f>
        <v/>
      </c>
      <c r="AK5918">
        <f>IF($AG5918=1,IFERROR(IF(VALUE($C5918)&lt;100000000,VALUE($C5918),1000000000),IFERROR(IF(VALUE(MID($C5918,2,20))&lt;100000000,VALUE(MID($C5918,2,20)),1000000000),1000000000))+ROW()/100000,"")</f>
        <v/>
      </c>
    </row>
    <row r="5919">
      <c r="D5919" s="11" t="n"/>
      <c r="K5919" s="7">
        <f>IF($C5919="","",J5919*W5919/100)</f>
        <v/>
      </c>
      <c r="Q5919" s="7" t="n"/>
      <c r="R5919" s="7" t="n"/>
      <c r="U5919">
        <f>IF($C5919="","",IF($AJ5919=1,0,IF($AI5919=1,Settings!$C$6,Settings!$C$7))*100)</f>
        <v/>
      </c>
      <c r="V5919" s="7">
        <f>IF($C5919="","",R5919*U5919/100)</f>
        <v/>
      </c>
      <c r="W5919" s="7">
        <f>IF($C5919="","",R5919-V5919)</f>
        <v/>
      </c>
      <c r="X5919" s="7">
        <f>IF($C5919="","",W5919-K5919)</f>
        <v/>
      </c>
      <c r="AB5919" s="7" t="n"/>
      <c r="AE5919" s="11" t="n"/>
      <c r="AG5919">
        <f>IF($C5919="","",IF(COUNTIF($C$2:$C5919,$C5919)=1,1,0))</f>
        <v/>
      </c>
      <c r="AH5919">
        <f>IF($AG5919=1,SUMPRODUCT(--($AK$2:$AK$6001&lt;$AK5919))+1,"")</f>
        <v/>
      </c>
      <c r="AI5919">
        <f>IF($C5919="","",IF(OR($N5919=TRUE(),$N5919="TRUE"),1,0))</f>
        <v/>
      </c>
      <c r="AJ5919">
        <f>IF($C5919="","",IF($T5919="Yes",1,0))</f>
        <v/>
      </c>
      <c r="AK5919">
        <f>IF($AG5919=1,IFERROR(IF(VALUE($C5919)&lt;100000000,VALUE($C5919),1000000000),IFERROR(IF(VALUE(MID($C5919,2,20))&lt;100000000,VALUE(MID($C5919,2,20)),1000000000),1000000000))+ROW()/100000,"")</f>
        <v/>
      </c>
    </row>
    <row r="5920">
      <c r="D5920" s="11" t="n"/>
      <c r="K5920" s="7">
        <f>IF($C5920="","",J5920*W5920/100)</f>
        <v/>
      </c>
      <c r="Q5920" s="7" t="n"/>
      <c r="R5920" s="7" t="n"/>
      <c r="U5920">
        <f>IF($C5920="","",IF($AJ5920=1,0,IF($AI5920=1,Settings!$C$6,Settings!$C$7))*100)</f>
        <v/>
      </c>
      <c r="V5920" s="7">
        <f>IF($C5920="","",R5920*U5920/100)</f>
        <v/>
      </c>
      <c r="W5920" s="7">
        <f>IF($C5920="","",R5920-V5920)</f>
        <v/>
      </c>
      <c r="X5920" s="7">
        <f>IF($C5920="","",W5920-K5920)</f>
        <v/>
      </c>
      <c r="AB5920" s="7" t="n"/>
      <c r="AE5920" s="11" t="n"/>
      <c r="AG5920">
        <f>IF($C5920="","",IF(COUNTIF($C$2:$C5920,$C5920)=1,1,0))</f>
        <v/>
      </c>
      <c r="AH5920">
        <f>IF($AG5920=1,SUMPRODUCT(--($AK$2:$AK$6001&lt;$AK5920))+1,"")</f>
        <v/>
      </c>
      <c r="AI5920">
        <f>IF($C5920="","",IF(OR($N5920=TRUE(),$N5920="TRUE"),1,0))</f>
        <v/>
      </c>
      <c r="AJ5920">
        <f>IF($C5920="","",IF($T5920="Yes",1,0))</f>
        <v/>
      </c>
      <c r="AK5920">
        <f>IF($AG5920=1,IFERROR(IF(VALUE($C5920)&lt;100000000,VALUE($C5920),1000000000),IFERROR(IF(VALUE(MID($C5920,2,20))&lt;100000000,VALUE(MID($C5920,2,20)),1000000000),1000000000))+ROW()/100000,"")</f>
        <v/>
      </c>
    </row>
    <row r="5921">
      <c r="D5921" s="11" t="n"/>
      <c r="K5921" s="7">
        <f>IF($C5921="","",J5921*W5921/100)</f>
        <v/>
      </c>
      <c r="Q5921" s="7" t="n"/>
      <c r="R5921" s="7" t="n"/>
      <c r="U5921">
        <f>IF($C5921="","",IF($AJ5921=1,0,IF($AI5921=1,Settings!$C$6,Settings!$C$7))*100)</f>
        <v/>
      </c>
      <c r="V5921" s="7">
        <f>IF($C5921="","",R5921*U5921/100)</f>
        <v/>
      </c>
      <c r="W5921" s="7">
        <f>IF($C5921="","",R5921-V5921)</f>
        <v/>
      </c>
      <c r="X5921" s="7">
        <f>IF($C5921="","",W5921-K5921)</f>
        <v/>
      </c>
      <c r="AB5921" s="7" t="n"/>
      <c r="AE5921" s="11" t="n"/>
      <c r="AG5921">
        <f>IF($C5921="","",IF(COUNTIF($C$2:$C5921,$C5921)=1,1,0))</f>
        <v/>
      </c>
      <c r="AH5921">
        <f>IF($AG5921=1,SUMPRODUCT(--($AK$2:$AK$6001&lt;$AK5921))+1,"")</f>
        <v/>
      </c>
      <c r="AI5921">
        <f>IF($C5921="","",IF(OR($N5921=TRUE(),$N5921="TRUE"),1,0))</f>
        <v/>
      </c>
      <c r="AJ5921">
        <f>IF($C5921="","",IF($T5921="Yes",1,0))</f>
        <v/>
      </c>
      <c r="AK5921">
        <f>IF($AG5921=1,IFERROR(IF(VALUE($C5921)&lt;100000000,VALUE($C5921),1000000000),IFERROR(IF(VALUE(MID($C5921,2,20))&lt;100000000,VALUE(MID($C5921,2,20)),1000000000),1000000000))+ROW()/100000,"")</f>
        <v/>
      </c>
    </row>
    <row r="5922">
      <c r="D5922" s="11" t="n"/>
      <c r="K5922" s="7">
        <f>IF($C5922="","",J5922*W5922/100)</f>
        <v/>
      </c>
      <c r="Q5922" s="7" t="n"/>
      <c r="R5922" s="7" t="n"/>
      <c r="U5922">
        <f>IF($C5922="","",IF($AJ5922=1,0,IF($AI5922=1,Settings!$C$6,Settings!$C$7))*100)</f>
        <v/>
      </c>
      <c r="V5922" s="7">
        <f>IF($C5922="","",R5922*U5922/100)</f>
        <v/>
      </c>
      <c r="W5922" s="7">
        <f>IF($C5922="","",R5922-V5922)</f>
        <v/>
      </c>
      <c r="X5922" s="7">
        <f>IF($C5922="","",W5922-K5922)</f>
        <v/>
      </c>
      <c r="AB5922" s="7" t="n"/>
      <c r="AE5922" s="11" t="n"/>
      <c r="AG5922">
        <f>IF($C5922="","",IF(COUNTIF($C$2:$C5922,$C5922)=1,1,0))</f>
        <v/>
      </c>
      <c r="AH5922">
        <f>IF($AG5922=1,SUMPRODUCT(--($AK$2:$AK$6001&lt;$AK5922))+1,"")</f>
        <v/>
      </c>
      <c r="AI5922">
        <f>IF($C5922="","",IF(OR($N5922=TRUE(),$N5922="TRUE"),1,0))</f>
        <v/>
      </c>
      <c r="AJ5922">
        <f>IF($C5922="","",IF($T5922="Yes",1,0))</f>
        <v/>
      </c>
      <c r="AK5922">
        <f>IF($AG5922=1,IFERROR(IF(VALUE($C5922)&lt;100000000,VALUE($C5922),1000000000),IFERROR(IF(VALUE(MID($C5922,2,20))&lt;100000000,VALUE(MID($C5922,2,20)),1000000000),1000000000))+ROW()/100000,"")</f>
        <v/>
      </c>
    </row>
    <row r="5923">
      <c r="D5923" s="11" t="n"/>
      <c r="K5923" s="7">
        <f>IF($C5923="","",J5923*W5923/100)</f>
        <v/>
      </c>
      <c r="Q5923" s="7" t="n"/>
      <c r="R5923" s="7" t="n"/>
      <c r="U5923">
        <f>IF($C5923="","",IF($AJ5923=1,0,IF($AI5923=1,Settings!$C$6,Settings!$C$7))*100)</f>
        <v/>
      </c>
      <c r="V5923" s="7">
        <f>IF($C5923="","",R5923*U5923/100)</f>
        <v/>
      </c>
      <c r="W5923" s="7">
        <f>IF($C5923="","",R5923-V5923)</f>
        <v/>
      </c>
      <c r="X5923" s="7">
        <f>IF($C5923="","",W5923-K5923)</f>
        <v/>
      </c>
      <c r="AB5923" s="7" t="n"/>
      <c r="AE5923" s="11" t="n"/>
      <c r="AG5923">
        <f>IF($C5923="","",IF(COUNTIF($C$2:$C5923,$C5923)=1,1,0))</f>
        <v/>
      </c>
      <c r="AH5923">
        <f>IF($AG5923=1,SUMPRODUCT(--($AK$2:$AK$6001&lt;$AK5923))+1,"")</f>
        <v/>
      </c>
      <c r="AI5923">
        <f>IF($C5923="","",IF(OR($N5923=TRUE(),$N5923="TRUE"),1,0))</f>
        <v/>
      </c>
      <c r="AJ5923">
        <f>IF($C5923="","",IF($T5923="Yes",1,0))</f>
        <v/>
      </c>
      <c r="AK5923">
        <f>IF($AG5923=1,IFERROR(IF(VALUE($C5923)&lt;100000000,VALUE($C5923),1000000000),IFERROR(IF(VALUE(MID($C5923,2,20))&lt;100000000,VALUE(MID($C5923,2,20)),1000000000),1000000000))+ROW()/100000,"")</f>
        <v/>
      </c>
    </row>
    <row r="5924">
      <c r="D5924" s="11" t="n"/>
      <c r="K5924" s="7">
        <f>IF($C5924="","",J5924*W5924/100)</f>
        <v/>
      </c>
      <c r="Q5924" s="7" t="n"/>
      <c r="R5924" s="7" t="n"/>
      <c r="U5924">
        <f>IF($C5924="","",IF($AJ5924=1,0,IF($AI5924=1,Settings!$C$6,Settings!$C$7))*100)</f>
        <v/>
      </c>
      <c r="V5924" s="7">
        <f>IF($C5924="","",R5924*U5924/100)</f>
        <v/>
      </c>
      <c r="W5924" s="7">
        <f>IF($C5924="","",R5924-V5924)</f>
        <v/>
      </c>
      <c r="X5924" s="7">
        <f>IF($C5924="","",W5924-K5924)</f>
        <v/>
      </c>
      <c r="AB5924" s="7" t="n"/>
      <c r="AE5924" s="11" t="n"/>
      <c r="AG5924">
        <f>IF($C5924="","",IF(COUNTIF($C$2:$C5924,$C5924)=1,1,0))</f>
        <v/>
      </c>
      <c r="AH5924">
        <f>IF($AG5924=1,SUMPRODUCT(--($AK$2:$AK$6001&lt;$AK5924))+1,"")</f>
        <v/>
      </c>
      <c r="AI5924">
        <f>IF($C5924="","",IF(OR($N5924=TRUE(),$N5924="TRUE"),1,0))</f>
        <v/>
      </c>
      <c r="AJ5924">
        <f>IF($C5924="","",IF($T5924="Yes",1,0))</f>
        <v/>
      </c>
      <c r="AK5924">
        <f>IF($AG5924=1,IFERROR(IF(VALUE($C5924)&lt;100000000,VALUE($C5924),1000000000),IFERROR(IF(VALUE(MID($C5924,2,20))&lt;100000000,VALUE(MID($C5924,2,20)),1000000000),1000000000))+ROW()/100000,"")</f>
        <v/>
      </c>
    </row>
    <row r="5925">
      <c r="D5925" s="11" t="n"/>
      <c r="K5925" s="7">
        <f>IF($C5925="","",J5925*W5925/100)</f>
        <v/>
      </c>
      <c r="Q5925" s="7" t="n"/>
      <c r="R5925" s="7" t="n"/>
      <c r="U5925">
        <f>IF($C5925="","",IF($AJ5925=1,0,IF($AI5925=1,Settings!$C$6,Settings!$C$7))*100)</f>
        <v/>
      </c>
      <c r="V5925" s="7">
        <f>IF($C5925="","",R5925*U5925/100)</f>
        <v/>
      </c>
      <c r="W5925" s="7">
        <f>IF($C5925="","",R5925-V5925)</f>
        <v/>
      </c>
      <c r="X5925" s="7">
        <f>IF($C5925="","",W5925-K5925)</f>
        <v/>
      </c>
      <c r="AB5925" s="7" t="n"/>
      <c r="AE5925" s="11" t="n"/>
      <c r="AG5925">
        <f>IF($C5925="","",IF(COUNTIF($C$2:$C5925,$C5925)=1,1,0))</f>
        <v/>
      </c>
      <c r="AH5925">
        <f>IF($AG5925=1,SUMPRODUCT(--($AK$2:$AK$6001&lt;$AK5925))+1,"")</f>
        <v/>
      </c>
      <c r="AI5925">
        <f>IF($C5925="","",IF(OR($N5925=TRUE(),$N5925="TRUE"),1,0))</f>
        <v/>
      </c>
      <c r="AJ5925">
        <f>IF($C5925="","",IF($T5925="Yes",1,0))</f>
        <v/>
      </c>
      <c r="AK5925">
        <f>IF($AG5925=1,IFERROR(IF(VALUE($C5925)&lt;100000000,VALUE($C5925),1000000000),IFERROR(IF(VALUE(MID($C5925,2,20))&lt;100000000,VALUE(MID($C5925,2,20)),1000000000),1000000000))+ROW()/100000,"")</f>
        <v/>
      </c>
    </row>
    <row r="5926">
      <c r="D5926" s="11" t="n"/>
      <c r="K5926" s="7">
        <f>IF($C5926="","",J5926*W5926/100)</f>
        <v/>
      </c>
      <c r="Q5926" s="7" t="n"/>
      <c r="R5926" s="7" t="n"/>
      <c r="U5926">
        <f>IF($C5926="","",IF($AJ5926=1,0,IF($AI5926=1,Settings!$C$6,Settings!$C$7))*100)</f>
        <v/>
      </c>
      <c r="V5926" s="7">
        <f>IF($C5926="","",R5926*U5926/100)</f>
        <v/>
      </c>
      <c r="W5926" s="7">
        <f>IF($C5926="","",R5926-V5926)</f>
        <v/>
      </c>
      <c r="X5926" s="7">
        <f>IF($C5926="","",W5926-K5926)</f>
        <v/>
      </c>
      <c r="AB5926" s="7" t="n"/>
      <c r="AE5926" s="11" t="n"/>
      <c r="AG5926">
        <f>IF($C5926="","",IF(COUNTIF($C$2:$C5926,$C5926)=1,1,0))</f>
        <v/>
      </c>
      <c r="AH5926">
        <f>IF($AG5926=1,SUMPRODUCT(--($AK$2:$AK$6001&lt;$AK5926))+1,"")</f>
        <v/>
      </c>
      <c r="AI5926">
        <f>IF($C5926="","",IF(OR($N5926=TRUE(),$N5926="TRUE"),1,0))</f>
        <v/>
      </c>
      <c r="AJ5926">
        <f>IF($C5926="","",IF($T5926="Yes",1,0))</f>
        <v/>
      </c>
      <c r="AK5926">
        <f>IF($AG5926=1,IFERROR(IF(VALUE($C5926)&lt;100000000,VALUE($C5926),1000000000),IFERROR(IF(VALUE(MID($C5926,2,20))&lt;100000000,VALUE(MID($C5926,2,20)),1000000000),1000000000))+ROW()/100000,"")</f>
        <v/>
      </c>
    </row>
    <row r="5927">
      <c r="D5927" s="11" t="n"/>
      <c r="K5927" s="7">
        <f>IF($C5927="","",J5927*W5927/100)</f>
        <v/>
      </c>
      <c r="Q5927" s="7" t="n"/>
      <c r="R5927" s="7" t="n"/>
      <c r="U5927">
        <f>IF($C5927="","",IF($AJ5927=1,0,IF($AI5927=1,Settings!$C$6,Settings!$C$7))*100)</f>
        <v/>
      </c>
      <c r="V5927" s="7">
        <f>IF($C5927="","",R5927*U5927/100)</f>
        <v/>
      </c>
      <c r="W5927" s="7">
        <f>IF($C5927="","",R5927-V5927)</f>
        <v/>
      </c>
      <c r="X5927" s="7">
        <f>IF($C5927="","",W5927-K5927)</f>
        <v/>
      </c>
      <c r="AB5927" s="7" t="n"/>
      <c r="AE5927" s="11" t="n"/>
      <c r="AG5927">
        <f>IF($C5927="","",IF(COUNTIF($C$2:$C5927,$C5927)=1,1,0))</f>
        <v/>
      </c>
      <c r="AH5927">
        <f>IF($AG5927=1,SUMPRODUCT(--($AK$2:$AK$6001&lt;$AK5927))+1,"")</f>
        <v/>
      </c>
      <c r="AI5927">
        <f>IF($C5927="","",IF(OR($N5927=TRUE(),$N5927="TRUE"),1,0))</f>
        <v/>
      </c>
      <c r="AJ5927">
        <f>IF($C5927="","",IF($T5927="Yes",1,0))</f>
        <v/>
      </c>
      <c r="AK5927">
        <f>IF($AG5927=1,IFERROR(IF(VALUE($C5927)&lt;100000000,VALUE($C5927),1000000000),IFERROR(IF(VALUE(MID($C5927,2,20))&lt;100000000,VALUE(MID($C5927,2,20)),1000000000),1000000000))+ROW()/100000,"")</f>
        <v/>
      </c>
    </row>
    <row r="5928">
      <c r="D5928" s="11" t="n"/>
      <c r="K5928" s="7">
        <f>IF($C5928="","",J5928*W5928/100)</f>
        <v/>
      </c>
      <c r="Q5928" s="7" t="n"/>
      <c r="R5928" s="7" t="n"/>
      <c r="U5928">
        <f>IF($C5928="","",IF($AJ5928=1,0,IF($AI5928=1,Settings!$C$6,Settings!$C$7))*100)</f>
        <v/>
      </c>
      <c r="V5928" s="7">
        <f>IF($C5928="","",R5928*U5928/100)</f>
        <v/>
      </c>
      <c r="W5928" s="7">
        <f>IF($C5928="","",R5928-V5928)</f>
        <v/>
      </c>
      <c r="X5928" s="7">
        <f>IF($C5928="","",W5928-K5928)</f>
        <v/>
      </c>
      <c r="AB5928" s="7" t="n"/>
      <c r="AE5928" s="11" t="n"/>
      <c r="AG5928">
        <f>IF($C5928="","",IF(COUNTIF($C$2:$C5928,$C5928)=1,1,0))</f>
        <v/>
      </c>
      <c r="AH5928">
        <f>IF($AG5928=1,SUMPRODUCT(--($AK$2:$AK$6001&lt;$AK5928))+1,"")</f>
        <v/>
      </c>
      <c r="AI5928">
        <f>IF($C5928="","",IF(OR($N5928=TRUE(),$N5928="TRUE"),1,0))</f>
        <v/>
      </c>
      <c r="AJ5928">
        <f>IF($C5928="","",IF($T5928="Yes",1,0))</f>
        <v/>
      </c>
      <c r="AK5928">
        <f>IF($AG5928=1,IFERROR(IF(VALUE($C5928)&lt;100000000,VALUE($C5928),1000000000),IFERROR(IF(VALUE(MID($C5928,2,20))&lt;100000000,VALUE(MID($C5928,2,20)),1000000000),1000000000))+ROW()/100000,"")</f>
        <v/>
      </c>
    </row>
    <row r="5929">
      <c r="D5929" s="11" t="n"/>
      <c r="K5929" s="7">
        <f>IF($C5929="","",J5929*W5929/100)</f>
        <v/>
      </c>
      <c r="Q5929" s="7" t="n"/>
      <c r="R5929" s="7" t="n"/>
      <c r="U5929">
        <f>IF($C5929="","",IF($AJ5929=1,0,IF($AI5929=1,Settings!$C$6,Settings!$C$7))*100)</f>
        <v/>
      </c>
      <c r="V5929" s="7">
        <f>IF($C5929="","",R5929*U5929/100)</f>
        <v/>
      </c>
      <c r="W5929" s="7">
        <f>IF($C5929="","",R5929-V5929)</f>
        <v/>
      </c>
      <c r="X5929" s="7">
        <f>IF($C5929="","",W5929-K5929)</f>
        <v/>
      </c>
      <c r="AB5929" s="7" t="n"/>
      <c r="AE5929" s="11" t="n"/>
      <c r="AG5929">
        <f>IF($C5929="","",IF(COUNTIF($C$2:$C5929,$C5929)=1,1,0))</f>
        <v/>
      </c>
      <c r="AH5929">
        <f>IF($AG5929=1,SUMPRODUCT(--($AK$2:$AK$6001&lt;$AK5929))+1,"")</f>
        <v/>
      </c>
      <c r="AI5929">
        <f>IF($C5929="","",IF(OR($N5929=TRUE(),$N5929="TRUE"),1,0))</f>
        <v/>
      </c>
      <c r="AJ5929">
        <f>IF($C5929="","",IF($T5929="Yes",1,0))</f>
        <v/>
      </c>
      <c r="AK5929">
        <f>IF($AG5929=1,IFERROR(IF(VALUE($C5929)&lt;100000000,VALUE($C5929),1000000000),IFERROR(IF(VALUE(MID($C5929,2,20))&lt;100000000,VALUE(MID($C5929,2,20)),1000000000),1000000000))+ROW()/100000,"")</f>
        <v/>
      </c>
    </row>
    <row r="5930">
      <c r="D5930" s="11" t="n"/>
      <c r="K5930" s="7">
        <f>IF($C5930="","",J5930*W5930/100)</f>
        <v/>
      </c>
      <c r="Q5930" s="7" t="n"/>
      <c r="R5930" s="7" t="n"/>
      <c r="U5930">
        <f>IF($C5930="","",IF($AJ5930=1,0,IF($AI5930=1,Settings!$C$6,Settings!$C$7))*100)</f>
        <v/>
      </c>
      <c r="V5930" s="7">
        <f>IF($C5930="","",R5930*U5930/100)</f>
        <v/>
      </c>
      <c r="W5930" s="7">
        <f>IF($C5930="","",R5930-V5930)</f>
        <v/>
      </c>
      <c r="X5930" s="7">
        <f>IF($C5930="","",W5930-K5930)</f>
        <v/>
      </c>
      <c r="AB5930" s="7" t="n"/>
      <c r="AE5930" s="11" t="n"/>
      <c r="AG5930">
        <f>IF($C5930="","",IF(COUNTIF($C$2:$C5930,$C5930)=1,1,0))</f>
        <v/>
      </c>
      <c r="AH5930">
        <f>IF($AG5930=1,SUMPRODUCT(--($AK$2:$AK$6001&lt;$AK5930))+1,"")</f>
        <v/>
      </c>
      <c r="AI5930">
        <f>IF($C5930="","",IF(OR($N5930=TRUE(),$N5930="TRUE"),1,0))</f>
        <v/>
      </c>
      <c r="AJ5930">
        <f>IF($C5930="","",IF($T5930="Yes",1,0))</f>
        <v/>
      </c>
      <c r="AK5930">
        <f>IF($AG5930=1,IFERROR(IF(VALUE($C5930)&lt;100000000,VALUE($C5930),1000000000),IFERROR(IF(VALUE(MID($C5930,2,20))&lt;100000000,VALUE(MID($C5930,2,20)),1000000000),1000000000))+ROW()/100000,"")</f>
        <v/>
      </c>
    </row>
    <row r="5931">
      <c r="D5931" s="11" t="n"/>
      <c r="K5931" s="7">
        <f>IF($C5931="","",J5931*W5931/100)</f>
        <v/>
      </c>
      <c r="Q5931" s="7" t="n"/>
      <c r="R5931" s="7" t="n"/>
      <c r="U5931">
        <f>IF($C5931="","",IF($AJ5931=1,0,IF($AI5931=1,Settings!$C$6,Settings!$C$7))*100)</f>
        <v/>
      </c>
      <c r="V5931" s="7">
        <f>IF($C5931="","",R5931*U5931/100)</f>
        <v/>
      </c>
      <c r="W5931" s="7">
        <f>IF($C5931="","",R5931-V5931)</f>
        <v/>
      </c>
      <c r="X5931" s="7">
        <f>IF($C5931="","",W5931-K5931)</f>
        <v/>
      </c>
      <c r="AB5931" s="7" t="n"/>
      <c r="AE5931" s="11" t="n"/>
      <c r="AG5931">
        <f>IF($C5931="","",IF(COUNTIF($C$2:$C5931,$C5931)=1,1,0))</f>
        <v/>
      </c>
      <c r="AH5931">
        <f>IF($AG5931=1,SUMPRODUCT(--($AK$2:$AK$6001&lt;$AK5931))+1,"")</f>
        <v/>
      </c>
      <c r="AI5931">
        <f>IF($C5931="","",IF(OR($N5931=TRUE(),$N5931="TRUE"),1,0))</f>
        <v/>
      </c>
      <c r="AJ5931">
        <f>IF($C5931="","",IF($T5931="Yes",1,0))</f>
        <v/>
      </c>
      <c r="AK5931">
        <f>IF($AG5931=1,IFERROR(IF(VALUE($C5931)&lt;100000000,VALUE($C5931),1000000000),IFERROR(IF(VALUE(MID($C5931,2,20))&lt;100000000,VALUE(MID($C5931,2,20)),1000000000),1000000000))+ROW()/100000,"")</f>
        <v/>
      </c>
    </row>
    <row r="5932">
      <c r="D5932" s="11" t="n"/>
      <c r="K5932" s="7">
        <f>IF($C5932="","",J5932*W5932/100)</f>
        <v/>
      </c>
      <c r="Q5932" s="7" t="n"/>
      <c r="R5932" s="7" t="n"/>
      <c r="U5932">
        <f>IF($C5932="","",IF($AJ5932=1,0,IF($AI5932=1,Settings!$C$6,Settings!$C$7))*100)</f>
        <v/>
      </c>
      <c r="V5932" s="7">
        <f>IF($C5932="","",R5932*U5932/100)</f>
        <v/>
      </c>
      <c r="W5932" s="7">
        <f>IF($C5932="","",R5932-V5932)</f>
        <v/>
      </c>
      <c r="X5932" s="7">
        <f>IF($C5932="","",W5932-K5932)</f>
        <v/>
      </c>
      <c r="AB5932" s="7" t="n"/>
      <c r="AE5932" s="11" t="n"/>
      <c r="AG5932">
        <f>IF($C5932="","",IF(COUNTIF($C$2:$C5932,$C5932)=1,1,0))</f>
        <v/>
      </c>
      <c r="AH5932">
        <f>IF($AG5932=1,SUMPRODUCT(--($AK$2:$AK$6001&lt;$AK5932))+1,"")</f>
        <v/>
      </c>
      <c r="AI5932">
        <f>IF($C5932="","",IF(OR($N5932=TRUE(),$N5932="TRUE"),1,0))</f>
        <v/>
      </c>
      <c r="AJ5932">
        <f>IF($C5932="","",IF($T5932="Yes",1,0))</f>
        <v/>
      </c>
      <c r="AK5932">
        <f>IF($AG5932=1,IFERROR(IF(VALUE($C5932)&lt;100000000,VALUE($C5932),1000000000),IFERROR(IF(VALUE(MID($C5932,2,20))&lt;100000000,VALUE(MID($C5932,2,20)),1000000000),1000000000))+ROW()/100000,"")</f>
        <v/>
      </c>
    </row>
    <row r="5933">
      <c r="D5933" s="11" t="n"/>
      <c r="K5933" s="7">
        <f>IF($C5933="","",J5933*W5933/100)</f>
        <v/>
      </c>
      <c r="Q5933" s="7" t="n"/>
      <c r="R5933" s="7" t="n"/>
      <c r="U5933">
        <f>IF($C5933="","",IF($AJ5933=1,0,IF($AI5933=1,Settings!$C$6,Settings!$C$7))*100)</f>
        <v/>
      </c>
      <c r="V5933" s="7">
        <f>IF($C5933="","",R5933*U5933/100)</f>
        <v/>
      </c>
      <c r="W5933" s="7">
        <f>IF($C5933="","",R5933-V5933)</f>
        <v/>
      </c>
      <c r="X5933" s="7">
        <f>IF($C5933="","",W5933-K5933)</f>
        <v/>
      </c>
      <c r="AB5933" s="7" t="n"/>
      <c r="AE5933" s="11" t="n"/>
      <c r="AG5933">
        <f>IF($C5933="","",IF(COUNTIF($C$2:$C5933,$C5933)=1,1,0))</f>
        <v/>
      </c>
      <c r="AH5933">
        <f>IF($AG5933=1,SUMPRODUCT(--($AK$2:$AK$6001&lt;$AK5933))+1,"")</f>
        <v/>
      </c>
      <c r="AI5933">
        <f>IF($C5933="","",IF(OR($N5933=TRUE(),$N5933="TRUE"),1,0))</f>
        <v/>
      </c>
      <c r="AJ5933">
        <f>IF($C5933="","",IF($T5933="Yes",1,0))</f>
        <v/>
      </c>
      <c r="AK5933">
        <f>IF($AG5933=1,IFERROR(IF(VALUE($C5933)&lt;100000000,VALUE($C5933),1000000000),IFERROR(IF(VALUE(MID($C5933,2,20))&lt;100000000,VALUE(MID($C5933,2,20)),1000000000),1000000000))+ROW()/100000,"")</f>
        <v/>
      </c>
    </row>
    <row r="5934">
      <c r="D5934" s="11" t="n"/>
      <c r="K5934" s="7">
        <f>IF($C5934="","",J5934*W5934/100)</f>
        <v/>
      </c>
      <c r="Q5934" s="7" t="n"/>
      <c r="R5934" s="7" t="n"/>
      <c r="U5934">
        <f>IF($C5934="","",IF($AJ5934=1,0,IF($AI5934=1,Settings!$C$6,Settings!$C$7))*100)</f>
        <v/>
      </c>
      <c r="V5934" s="7">
        <f>IF($C5934="","",R5934*U5934/100)</f>
        <v/>
      </c>
      <c r="W5934" s="7">
        <f>IF($C5934="","",R5934-V5934)</f>
        <v/>
      </c>
      <c r="X5934" s="7">
        <f>IF($C5934="","",W5934-K5934)</f>
        <v/>
      </c>
      <c r="AB5934" s="7" t="n"/>
      <c r="AE5934" s="11" t="n"/>
      <c r="AG5934">
        <f>IF($C5934="","",IF(COUNTIF($C$2:$C5934,$C5934)=1,1,0))</f>
        <v/>
      </c>
      <c r="AH5934">
        <f>IF($AG5934=1,SUMPRODUCT(--($AK$2:$AK$6001&lt;$AK5934))+1,"")</f>
        <v/>
      </c>
      <c r="AI5934">
        <f>IF($C5934="","",IF(OR($N5934=TRUE(),$N5934="TRUE"),1,0))</f>
        <v/>
      </c>
      <c r="AJ5934">
        <f>IF($C5934="","",IF($T5934="Yes",1,0))</f>
        <v/>
      </c>
      <c r="AK5934">
        <f>IF($AG5934=1,IFERROR(IF(VALUE($C5934)&lt;100000000,VALUE($C5934),1000000000),IFERROR(IF(VALUE(MID($C5934,2,20))&lt;100000000,VALUE(MID($C5934,2,20)),1000000000),1000000000))+ROW()/100000,"")</f>
        <v/>
      </c>
    </row>
    <row r="5935">
      <c r="D5935" s="11" t="n"/>
      <c r="K5935" s="7">
        <f>IF($C5935="","",J5935*W5935/100)</f>
        <v/>
      </c>
      <c r="Q5935" s="7" t="n"/>
      <c r="R5935" s="7" t="n"/>
      <c r="U5935">
        <f>IF($C5935="","",IF($AJ5935=1,0,IF($AI5935=1,Settings!$C$6,Settings!$C$7))*100)</f>
        <v/>
      </c>
      <c r="V5935" s="7">
        <f>IF($C5935="","",R5935*U5935/100)</f>
        <v/>
      </c>
      <c r="W5935" s="7">
        <f>IF($C5935="","",R5935-V5935)</f>
        <v/>
      </c>
      <c r="X5935" s="7">
        <f>IF($C5935="","",W5935-K5935)</f>
        <v/>
      </c>
      <c r="AB5935" s="7" t="n"/>
      <c r="AE5935" s="11" t="n"/>
      <c r="AG5935">
        <f>IF($C5935="","",IF(COUNTIF($C$2:$C5935,$C5935)=1,1,0))</f>
        <v/>
      </c>
      <c r="AH5935">
        <f>IF($AG5935=1,SUMPRODUCT(--($AK$2:$AK$6001&lt;$AK5935))+1,"")</f>
        <v/>
      </c>
      <c r="AI5935">
        <f>IF($C5935="","",IF(OR($N5935=TRUE(),$N5935="TRUE"),1,0))</f>
        <v/>
      </c>
      <c r="AJ5935">
        <f>IF($C5935="","",IF($T5935="Yes",1,0))</f>
        <v/>
      </c>
      <c r="AK5935">
        <f>IF($AG5935=1,IFERROR(IF(VALUE($C5935)&lt;100000000,VALUE($C5935),1000000000),IFERROR(IF(VALUE(MID($C5935,2,20))&lt;100000000,VALUE(MID($C5935,2,20)),1000000000),1000000000))+ROW()/100000,"")</f>
        <v/>
      </c>
    </row>
    <row r="5936">
      <c r="D5936" s="11" t="n"/>
      <c r="K5936" s="7">
        <f>IF($C5936="","",J5936*W5936/100)</f>
        <v/>
      </c>
      <c r="Q5936" s="7" t="n"/>
      <c r="R5936" s="7" t="n"/>
      <c r="U5936">
        <f>IF($C5936="","",IF($AJ5936=1,0,IF($AI5936=1,Settings!$C$6,Settings!$C$7))*100)</f>
        <v/>
      </c>
      <c r="V5936" s="7">
        <f>IF($C5936="","",R5936*U5936/100)</f>
        <v/>
      </c>
      <c r="W5936" s="7">
        <f>IF($C5936="","",R5936-V5936)</f>
        <v/>
      </c>
      <c r="X5936" s="7">
        <f>IF($C5936="","",W5936-K5936)</f>
        <v/>
      </c>
      <c r="AB5936" s="7" t="n"/>
      <c r="AE5936" s="11" t="n"/>
      <c r="AG5936">
        <f>IF($C5936="","",IF(COUNTIF($C$2:$C5936,$C5936)=1,1,0))</f>
        <v/>
      </c>
      <c r="AH5936">
        <f>IF($AG5936=1,SUMPRODUCT(--($AK$2:$AK$6001&lt;$AK5936))+1,"")</f>
        <v/>
      </c>
      <c r="AI5936">
        <f>IF($C5936="","",IF(OR($N5936=TRUE(),$N5936="TRUE"),1,0))</f>
        <v/>
      </c>
      <c r="AJ5936">
        <f>IF($C5936="","",IF($T5936="Yes",1,0))</f>
        <v/>
      </c>
      <c r="AK5936">
        <f>IF($AG5936=1,IFERROR(IF(VALUE($C5936)&lt;100000000,VALUE($C5936),1000000000),IFERROR(IF(VALUE(MID($C5936,2,20))&lt;100000000,VALUE(MID($C5936,2,20)),1000000000),1000000000))+ROW()/100000,"")</f>
        <v/>
      </c>
    </row>
    <row r="5937">
      <c r="D5937" s="11" t="n"/>
      <c r="K5937" s="7">
        <f>IF($C5937="","",J5937*W5937/100)</f>
        <v/>
      </c>
      <c r="Q5937" s="7" t="n"/>
      <c r="R5937" s="7" t="n"/>
      <c r="U5937">
        <f>IF($C5937="","",IF($AJ5937=1,0,IF($AI5937=1,Settings!$C$6,Settings!$C$7))*100)</f>
        <v/>
      </c>
      <c r="V5937" s="7">
        <f>IF($C5937="","",R5937*U5937/100)</f>
        <v/>
      </c>
      <c r="W5937" s="7">
        <f>IF($C5937="","",R5937-V5937)</f>
        <v/>
      </c>
      <c r="X5937" s="7">
        <f>IF($C5937="","",W5937-K5937)</f>
        <v/>
      </c>
      <c r="AB5937" s="7" t="n"/>
      <c r="AE5937" s="11" t="n"/>
      <c r="AG5937">
        <f>IF($C5937="","",IF(COUNTIF($C$2:$C5937,$C5937)=1,1,0))</f>
        <v/>
      </c>
      <c r="AH5937">
        <f>IF($AG5937=1,SUMPRODUCT(--($AK$2:$AK$6001&lt;$AK5937))+1,"")</f>
        <v/>
      </c>
      <c r="AI5937">
        <f>IF($C5937="","",IF(OR($N5937=TRUE(),$N5937="TRUE"),1,0))</f>
        <v/>
      </c>
      <c r="AJ5937">
        <f>IF($C5937="","",IF($T5937="Yes",1,0))</f>
        <v/>
      </c>
      <c r="AK5937">
        <f>IF($AG5937=1,IFERROR(IF(VALUE($C5937)&lt;100000000,VALUE($C5937),1000000000),IFERROR(IF(VALUE(MID($C5937,2,20))&lt;100000000,VALUE(MID($C5937,2,20)),1000000000),1000000000))+ROW()/100000,"")</f>
        <v/>
      </c>
    </row>
    <row r="5938">
      <c r="D5938" s="11" t="n"/>
      <c r="K5938" s="7">
        <f>IF($C5938="","",J5938*W5938/100)</f>
        <v/>
      </c>
      <c r="Q5938" s="7" t="n"/>
      <c r="R5938" s="7" t="n"/>
      <c r="U5938">
        <f>IF($C5938="","",IF($AJ5938=1,0,IF($AI5938=1,Settings!$C$6,Settings!$C$7))*100)</f>
        <v/>
      </c>
      <c r="V5938" s="7">
        <f>IF($C5938="","",R5938*U5938/100)</f>
        <v/>
      </c>
      <c r="W5938" s="7">
        <f>IF($C5938="","",R5938-V5938)</f>
        <v/>
      </c>
      <c r="X5938" s="7">
        <f>IF($C5938="","",W5938-K5938)</f>
        <v/>
      </c>
      <c r="AB5938" s="7" t="n"/>
      <c r="AE5938" s="11" t="n"/>
      <c r="AG5938">
        <f>IF($C5938="","",IF(COUNTIF($C$2:$C5938,$C5938)=1,1,0))</f>
        <v/>
      </c>
      <c r="AH5938">
        <f>IF($AG5938=1,SUMPRODUCT(--($AK$2:$AK$6001&lt;$AK5938))+1,"")</f>
        <v/>
      </c>
      <c r="AI5938">
        <f>IF($C5938="","",IF(OR($N5938=TRUE(),$N5938="TRUE"),1,0))</f>
        <v/>
      </c>
      <c r="AJ5938">
        <f>IF($C5938="","",IF($T5938="Yes",1,0))</f>
        <v/>
      </c>
      <c r="AK5938">
        <f>IF($AG5938=1,IFERROR(IF(VALUE($C5938)&lt;100000000,VALUE($C5938),1000000000),IFERROR(IF(VALUE(MID($C5938,2,20))&lt;100000000,VALUE(MID($C5938,2,20)),1000000000),1000000000))+ROW()/100000,"")</f>
        <v/>
      </c>
    </row>
    <row r="5939">
      <c r="D5939" s="11" t="n"/>
      <c r="K5939" s="7">
        <f>IF($C5939="","",J5939*W5939/100)</f>
        <v/>
      </c>
      <c r="Q5939" s="7" t="n"/>
      <c r="R5939" s="7" t="n"/>
      <c r="U5939">
        <f>IF($C5939="","",IF($AJ5939=1,0,IF($AI5939=1,Settings!$C$6,Settings!$C$7))*100)</f>
        <v/>
      </c>
      <c r="V5939" s="7">
        <f>IF($C5939="","",R5939*U5939/100)</f>
        <v/>
      </c>
      <c r="W5939" s="7">
        <f>IF($C5939="","",R5939-V5939)</f>
        <v/>
      </c>
      <c r="X5939" s="7">
        <f>IF($C5939="","",W5939-K5939)</f>
        <v/>
      </c>
      <c r="AB5939" s="7" t="n"/>
      <c r="AE5939" s="11" t="n"/>
      <c r="AG5939">
        <f>IF($C5939="","",IF(COUNTIF($C$2:$C5939,$C5939)=1,1,0))</f>
        <v/>
      </c>
      <c r="AH5939">
        <f>IF($AG5939=1,SUMPRODUCT(--($AK$2:$AK$6001&lt;$AK5939))+1,"")</f>
        <v/>
      </c>
      <c r="AI5939">
        <f>IF($C5939="","",IF(OR($N5939=TRUE(),$N5939="TRUE"),1,0))</f>
        <v/>
      </c>
      <c r="AJ5939">
        <f>IF($C5939="","",IF($T5939="Yes",1,0))</f>
        <v/>
      </c>
      <c r="AK5939">
        <f>IF($AG5939=1,IFERROR(IF(VALUE($C5939)&lt;100000000,VALUE($C5939),1000000000),IFERROR(IF(VALUE(MID($C5939,2,20))&lt;100000000,VALUE(MID($C5939,2,20)),1000000000),1000000000))+ROW()/100000,"")</f>
        <v/>
      </c>
    </row>
    <row r="5940">
      <c r="D5940" s="11" t="n"/>
      <c r="K5940" s="7">
        <f>IF($C5940="","",J5940*W5940/100)</f>
        <v/>
      </c>
      <c r="Q5940" s="7" t="n"/>
      <c r="R5940" s="7" t="n"/>
      <c r="U5940">
        <f>IF($C5940="","",IF($AJ5940=1,0,IF($AI5940=1,Settings!$C$6,Settings!$C$7))*100)</f>
        <v/>
      </c>
      <c r="V5940" s="7">
        <f>IF($C5940="","",R5940*U5940/100)</f>
        <v/>
      </c>
      <c r="W5940" s="7">
        <f>IF($C5940="","",R5940-V5940)</f>
        <v/>
      </c>
      <c r="X5940" s="7">
        <f>IF($C5940="","",W5940-K5940)</f>
        <v/>
      </c>
      <c r="AB5940" s="7" t="n"/>
      <c r="AE5940" s="11" t="n"/>
      <c r="AG5940">
        <f>IF($C5940="","",IF(COUNTIF($C$2:$C5940,$C5940)=1,1,0))</f>
        <v/>
      </c>
      <c r="AH5940">
        <f>IF($AG5940=1,SUMPRODUCT(--($AK$2:$AK$6001&lt;$AK5940))+1,"")</f>
        <v/>
      </c>
      <c r="AI5940">
        <f>IF($C5940="","",IF(OR($N5940=TRUE(),$N5940="TRUE"),1,0))</f>
        <v/>
      </c>
      <c r="AJ5940">
        <f>IF($C5940="","",IF($T5940="Yes",1,0))</f>
        <v/>
      </c>
      <c r="AK5940">
        <f>IF($AG5940=1,IFERROR(IF(VALUE($C5940)&lt;100000000,VALUE($C5940),1000000000),IFERROR(IF(VALUE(MID($C5940,2,20))&lt;100000000,VALUE(MID($C5940,2,20)),1000000000),1000000000))+ROW()/100000,"")</f>
        <v/>
      </c>
    </row>
    <row r="5941">
      <c r="D5941" s="11" t="n"/>
      <c r="K5941" s="7">
        <f>IF($C5941="","",J5941*W5941/100)</f>
        <v/>
      </c>
      <c r="Q5941" s="7" t="n"/>
      <c r="R5941" s="7" t="n"/>
      <c r="U5941">
        <f>IF($C5941="","",IF($AJ5941=1,0,IF($AI5941=1,Settings!$C$6,Settings!$C$7))*100)</f>
        <v/>
      </c>
      <c r="V5941" s="7">
        <f>IF($C5941="","",R5941*U5941/100)</f>
        <v/>
      </c>
      <c r="W5941" s="7">
        <f>IF($C5941="","",R5941-V5941)</f>
        <v/>
      </c>
      <c r="X5941" s="7">
        <f>IF($C5941="","",W5941-K5941)</f>
        <v/>
      </c>
      <c r="AB5941" s="7" t="n"/>
      <c r="AE5941" s="11" t="n"/>
      <c r="AG5941">
        <f>IF($C5941="","",IF(COUNTIF($C$2:$C5941,$C5941)=1,1,0))</f>
        <v/>
      </c>
      <c r="AH5941">
        <f>IF($AG5941=1,SUMPRODUCT(--($AK$2:$AK$6001&lt;$AK5941))+1,"")</f>
        <v/>
      </c>
      <c r="AI5941">
        <f>IF($C5941="","",IF(OR($N5941=TRUE(),$N5941="TRUE"),1,0))</f>
        <v/>
      </c>
      <c r="AJ5941">
        <f>IF($C5941="","",IF($T5941="Yes",1,0))</f>
        <v/>
      </c>
      <c r="AK5941">
        <f>IF($AG5941=1,IFERROR(IF(VALUE($C5941)&lt;100000000,VALUE($C5941),1000000000),IFERROR(IF(VALUE(MID($C5941,2,20))&lt;100000000,VALUE(MID($C5941,2,20)),1000000000),1000000000))+ROW()/100000,"")</f>
        <v/>
      </c>
    </row>
    <row r="5942">
      <c r="D5942" s="11" t="n"/>
      <c r="K5942" s="7">
        <f>IF($C5942="","",J5942*W5942/100)</f>
        <v/>
      </c>
      <c r="Q5942" s="7" t="n"/>
      <c r="R5942" s="7" t="n"/>
      <c r="U5942">
        <f>IF($C5942="","",IF($AJ5942=1,0,IF($AI5942=1,Settings!$C$6,Settings!$C$7))*100)</f>
        <v/>
      </c>
      <c r="V5942" s="7">
        <f>IF($C5942="","",R5942*U5942/100)</f>
        <v/>
      </c>
      <c r="W5942" s="7">
        <f>IF($C5942="","",R5942-V5942)</f>
        <v/>
      </c>
      <c r="X5942" s="7">
        <f>IF($C5942="","",W5942-K5942)</f>
        <v/>
      </c>
      <c r="AB5942" s="7" t="n"/>
      <c r="AE5942" s="11" t="n"/>
      <c r="AG5942">
        <f>IF($C5942="","",IF(COUNTIF($C$2:$C5942,$C5942)=1,1,0))</f>
        <v/>
      </c>
      <c r="AH5942">
        <f>IF($AG5942=1,SUMPRODUCT(--($AK$2:$AK$6001&lt;$AK5942))+1,"")</f>
        <v/>
      </c>
      <c r="AI5942">
        <f>IF($C5942="","",IF(OR($N5942=TRUE(),$N5942="TRUE"),1,0))</f>
        <v/>
      </c>
      <c r="AJ5942">
        <f>IF($C5942="","",IF($T5942="Yes",1,0))</f>
        <v/>
      </c>
      <c r="AK5942">
        <f>IF($AG5942=1,IFERROR(IF(VALUE($C5942)&lt;100000000,VALUE($C5942),1000000000),IFERROR(IF(VALUE(MID($C5942,2,20))&lt;100000000,VALUE(MID($C5942,2,20)),1000000000),1000000000))+ROW()/100000,"")</f>
        <v/>
      </c>
    </row>
    <row r="5943">
      <c r="D5943" s="11" t="n"/>
      <c r="K5943" s="7">
        <f>IF($C5943="","",J5943*W5943/100)</f>
        <v/>
      </c>
      <c r="Q5943" s="7" t="n"/>
      <c r="R5943" s="7" t="n"/>
      <c r="U5943">
        <f>IF($C5943="","",IF($AJ5943=1,0,IF($AI5943=1,Settings!$C$6,Settings!$C$7))*100)</f>
        <v/>
      </c>
      <c r="V5943" s="7">
        <f>IF($C5943="","",R5943*U5943/100)</f>
        <v/>
      </c>
      <c r="W5943" s="7">
        <f>IF($C5943="","",R5943-V5943)</f>
        <v/>
      </c>
      <c r="X5943" s="7">
        <f>IF($C5943="","",W5943-K5943)</f>
        <v/>
      </c>
      <c r="AB5943" s="7" t="n"/>
      <c r="AE5943" s="11" t="n"/>
      <c r="AG5943">
        <f>IF($C5943="","",IF(COUNTIF($C$2:$C5943,$C5943)=1,1,0))</f>
        <v/>
      </c>
      <c r="AH5943">
        <f>IF($AG5943=1,SUMPRODUCT(--($AK$2:$AK$6001&lt;$AK5943))+1,"")</f>
        <v/>
      </c>
      <c r="AI5943">
        <f>IF($C5943="","",IF(OR($N5943=TRUE(),$N5943="TRUE"),1,0))</f>
        <v/>
      </c>
      <c r="AJ5943">
        <f>IF($C5943="","",IF($T5943="Yes",1,0))</f>
        <v/>
      </c>
      <c r="AK5943">
        <f>IF($AG5943=1,IFERROR(IF(VALUE($C5943)&lt;100000000,VALUE($C5943),1000000000),IFERROR(IF(VALUE(MID($C5943,2,20))&lt;100000000,VALUE(MID($C5943,2,20)),1000000000),1000000000))+ROW()/100000,"")</f>
        <v/>
      </c>
    </row>
    <row r="5944">
      <c r="D5944" s="11" t="n"/>
      <c r="K5944" s="7">
        <f>IF($C5944="","",J5944*W5944/100)</f>
        <v/>
      </c>
      <c r="Q5944" s="7" t="n"/>
      <c r="R5944" s="7" t="n"/>
      <c r="U5944">
        <f>IF($C5944="","",IF($AJ5944=1,0,IF($AI5944=1,Settings!$C$6,Settings!$C$7))*100)</f>
        <v/>
      </c>
      <c r="V5944" s="7">
        <f>IF($C5944="","",R5944*U5944/100)</f>
        <v/>
      </c>
      <c r="W5944" s="7">
        <f>IF($C5944="","",R5944-V5944)</f>
        <v/>
      </c>
      <c r="X5944" s="7">
        <f>IF($C5944="","",W5944-K5944)</f>
        <v/>
      </c>
      <c r="AB5944" s="7" t="n"/>
      <c r="AE5944" s="11" t="n"/>
      <c r="AG5944">
        <f>IF($C5944="","",IF(COUNTIF($C$2:$C5944,$C5944)=1,1,0))</f>
        <v/>
      </c>
      <c r="AH5944">
        <f>IF($AG5944=1,SUMPRODUCT(--($AK$2:$AK$6001&lt;$AK5944))+1,"")</f>
        <v/>
      </c>
      <c r="AI5944">
        <f>IF($C5944="","",IF(OR($N5944=TRUE(),$N5944="TRUE"),1,0))</f>
        <v/>
      </c>
      <c r="AJ5944">
        <f>IF($C5944="","",IF($T5944="Yes",1,0))</f>
        <v/>
      </c>
      <c r="AK5944">
        <f>IF($AG5944=1,IFERROR(IF(VALUE($C5944)&lt;100000000,VALUE($C5944),1000000000),IFERROR(IF(VALUE(MID($C5944,2,20))&lt;100000000,VALUE(MID($C5944,2,20)),1000000000),1000000000))+ROW()/100000,"")</f>
        <v/>
      </c>
    </row>
    <row r="5945">
      <c r="D5945" s="11" t="n"/>
      <c r="K5945" s="7">
        <f>IF($C5945="","",J5945*W5945/100)</f>
        <v/>
      </c>
      <c r="Q5945" s="7" t="n"/>
      <c r="R5945" s="7" t="n"/>
      <c r="U5945">
        <f>IF($C5945="","",IF($AJ5945=1,0,IF($AI5945=1,Settings!$C$6,Settings!$C$7))*100)</f>
        <v/>
      </c>
      <c r="V5945" s="7">
        <f>IF($C5945="","",R5945*U5945/100)</f>
        <v/>
      </c>
      <c r="W5945" s="7">
        <f>IF($C5945="","",R5945-V5945)</f>
        <v/>
      </c>
      <c r="X5945" s="7">
        <f>IF($C5945="","",W5945-K5945)</f>
        <v/>
      </c>
      <c r="AB5945" s="7" t="n"/>
      <c r="AE5945" s="11" t="n"/>
      <c r="AG5945">
        <f>IF($C5945="","",IF(COUNTIF($C$2:$C5945,$C5945)=1,1,0))</f>
        <v/>
      </c>
      <c r="AH5945">
        <f>IF($AG5945=1,SUMPRODUCT(--($AK$2:$AK$6001&lt;$AK5945))+1,"")</f>
        <v/>
      </c>
      <c r="AI5945">
        <f>IF($C5945="","",IF(OR($N5945=TRUE(),$N5945="TRUE"),1,0))</f>
        <v/>
      </c>
      <c r="AJ5945">
        <f>IF($C5945="","",IF($T5945="Yes",1,0))</f>
        <v/>
      </c>
      <c r="AK5945">
        <f>IF($AG5945=1,IFERROR(IF(VALUE($C5945)&lt;100000000,VALUE($C5945),1000000000),IFERROR(IF(VALUE(MID($C5945,2,20))&lt;100000000,VALUE(MID($C5945,2,20)),1000000000),1000000000))+ROW()/100000,"")</f>
        <v/>
      </c>
    </row>
    <row r="5946">
      <c r="D5946" s="11" t="n"/>
      <c r="K5946" s="7">
        <f>IF($C5946="","",J5946*W5946/100)</f>
        <v/>
      </c>
      <c r="Q5946" s="7" t="n"/>
      <c r="R5946" s="7" t="n"/>
      <c r="U5946">
        <f>IF($C5946="","",IF($AJ5946=1,0,IF($AI5946=1,Settings!$C$6,Settings!$C$7))*100)</f>
        <v/>
      </c>
      <c r="V5946" s="7">
        <f>IF($C5946="","",R5946*U5946/100)</f>
        <v/>
      </c>
      <c r="W5946" s="7">
        <f>IF($C5946="","",R5946-V5946)</f>
        <v/>
      </c>
      <c r="X5946" s="7">
        <f>IF($C5946="","",W5946-K5946)</f>
        <v/>
      </c>
      <c r="AB5946" s="7" t="n"/>
      <c r="AE5946" s="11" t="n"/>
      <c r="AG5946">
        <f>IF($C5946="","",IF(COUNTIF($C$2:$C5946,$C5946)=1,1,0))</f>
        <v/>
      </c>
      <c r="AH5946">
        <f>IF($AG5946=1,SUMPRODUCT(--($AK$2:$AK$6001&lt;$AK5946))+1,"")</f>
        <v/>
      </c>
      <c r="AI5946">
        <f>IF($C5946="","",IF(OR($N5946=TRUE(),$N5946="TRUE"),1,0))</f>
        <v/>
      </c>
      <c r="AJ5946">
        <f>IF($C5946="","",IF($T5946="Yes",1,0))</f>
        <v/>
      </c>
      <c r="AK5946">
        <f>IF($AG5946=1,IFERROR(IF(VALUE($C5946)&lt;100000000,VALUE($C5946),1000000000),IFERROR(IF(VALUE(MID($C5946,2,20))&lt;100000000,VALUE(MID($C5946,2,20)),1000000000),1000000000))+ROW()/100000,"")</f>
        <v/>
      </c>
    </row>
    <row r="5947">
      <c r="D5947" s="11" t="n"/>
      <c r="K5947" s="7">
        <f>IF($C5947="","",J5947*W5947/100)</f>
        <v/>
      </c>
      <c r="Q5947" s="7" t="n"/>
      <c r="R5947" s="7" t="n"/>
      <c r="U5947">
        <f>IF($C5947="","",IF($AJ5947=1,0,IF($AI5947=1,Settings!$C$6,Settings!$C$7))*100)</f>
        <v/>
      </c>
      <c r="V5947" s="7">
        <f>IF($C5947="","",R5947*U5947/100)</f>
        <v/>
      </c>
      <c r="W5947" s="7">
        <f>IF($C5947="","",R5947-V5947)</f>
        <v/>
      </c>
      <c r="X5947" s="7">
        <f>IF($C5947="","",W5947-K5947)</f>
        <v/>
      </c>
      <c r="AB5947" s="7" t="n"/>
      <c r="AE5947" s="11" t="n"/>
      <c r="AG5947">
        <f>IF($C5947="","",IF(COUNTIF($C$2:$C5947,$C5947)=1,1,0))</f>
        <v/>
      </c>
      <c r="AH5947">
        <f>IF($AG5947=1,SUMPRODUCT(--($AK$2:$AK$6001&lt;$AK5947))+1,"")</f>
        <v/>
      </c>
      <c r="AI5947">
        <f>IF($C5947="","",IF(OR($N5947=TRUE(),$N5947="TRUE"),1,0))</f>
        <v/>
      </c>
      <c r="AJ5947">
        <f>IF($C5947="","",IF($T5947="Yes",1,0))</f>
        <v/>
      </c>
      <c r="AK5947">
        <f>IF($AG5947=1,IFERROR(IF(VALUE($C5947)&lt;100000000,VALUE($C5947),1000000000),IFERROR(IF(VALUE(MID($C5947,2,20))&lt;100000000,VALUE(MID($C5947,2,20)),1000000000),1000000000))+ROW()/100000,"")</f>
        <v/>
      </c>
    </row>
    <row r="5948">
      <c r="D5948" s="11" t="n"/>
      <c r="K5948" s="7">
        <f>IF($C5948="","",J5948*W5948/100)</f>
        <v/>
      </c>
      <c r="Q5948" s="7" t="n"/>
      <c r="R5948" s="7" t="n"/>
      <c r="U5948">
        <f>IF($C5948="","",IF($AJ5948=1,0,IF($AI5948=1,Settings!$C$6,Settings!$C$7))*100)</f>
        <v/>
      </c>
      <c r="V5948" s="7">
        <f>IF($C5948="","",R5948*U5948/100)</f>
        <v/>
      </c>
      <c r="W5948" s="7">
        <f>IF($C5948="","",R5948-V5948)</f>
        <v/>
      </c>
      <c r="X5948" s="7">
        <f>IF($C5948="","",W5948-K5948)</f>
        <v/>
      </c>
      <c r="AB5948" s="7" t="n"/>
      <c r="AE5948" s="11" t="n"/>
      <c r="AG5948">
        <f>IF($C5948="","",IF(COUNTIF($C$2:$C5948,$C5948)=1,1,0))</f>
        <v/>
      </c>
      <c r="AH5948">
        <f>IF($AG5948=1,SUMPRODUCT(--($AK$2:$AK$6001&lt;$AK5948))+1,"")</f>
        <v/>
      </c>
      <c r="AI5948">
        <f>IF($C5948="","",IF(OR($N5948=TRUE(),$N5948="TRUE"),1,0))</f>
        <v/>
      </c>
      <c r="AJ5948">
        <f>IF($C5948="","",IF($T5948="Yes",1,0))</f>
        <v/>
      </c>
      <c r="AK5948">
        <f>IF($AG5948=1,IFERROR(IF(VALUE($C5948)&lt;100000000,VALUE($C5948),1000000000),IFERROR(IF(VALUE(MID($C5948,2,20))&lt;100000000,VALUE(MID($C5948,2,20)),1000000000),1000000000))+ROW()/100000,"")</f>
        <v/>
      </c>
    </row>
    <row r="5949">
      <c r="D5949" s="11" t="n"/>
      <c r="K5949" s="7">
        <f>IF($C5949="","",J5949*W5949/100)</f>
        <v/>
      </c>
      <c r="Q5949" s="7" t="n"/>
      <c r="R5949" s="7" t="n"/>
      <c r="U5949">
        <f>IF($C5949="","",IF($AJ5949=1,0,IF($AI5949=1,Settings!$C$6,Settings!$C$7))*100)</f>
        <v/>
      </c>
      <c r="V5949" s="7">
        <f>IF($C5949="","",R5949*U5949/100)</f>
        <v/>
      </c>
      <c r="W5949" s="7">
        <f>IF($C5949="","",R5949-V5949)</f>
        <v/>
      </c>
      <c r="X5949" s="7">
        <f>IF($C5949="","",W5949-K5949)</f>
        <v/>
      </c>
      <c r="AB5949" s="7" t="n"/>
      <c r="AE5949" s="11" t="n"/>
      <c r="AG5949">
        <f>IF($C5949="","",IF(COUNTIF($C$2:$C5949,$C5949)=1,1,0))</f>
        <v/>
      </c>
      <c r="AH5949">
        <f>IF($AG5949=1,SUMPRODUCT(--($AK$2:$AK$6001&lt;$AK5949))+1,"")</f>
        <v/>
      </c>
      <c r="AI5949">
        <f>IF($C5949="","",IF(OR($N5949=TRUE(),$N5949="TRUE"),1,0))</f>
        <v/>
      </c>
      <c r="AJ5949">
        <f>IF($C5949="","",IF($T5949="Yes",1,0))</f>
        <v/>
      </c>
      <c r="AK5949">
        <f>IF($AG5949=1,IFERROR(IF(VALUE($C5949)&lt;100000000,VALUE($C5949),1000000000),IFERROR(IF(VALUE(MID($C5949,2,20))&lt;100000000,VALUE(MID($C5949,2,20)),1000000000),1000000000))+ROW()/100000,"")</f>
        <v/>
      </c>
    </row>
    <row r="5950">
      <c r="D5950" s="11" t="n"/>
      <c r="K5950" s="7">
        <f>IF($C5950="","",J5950*W5950/100)</f>
        <v/>
      </c>
      <c r="Q5950" s="7" t="n"/>
      <c r="R5950" s="7" t="n"/>
      <c r="U5950">
        <f>IF($C5950="","",IF($AJ5950=1,0,IF($AI5950=1,Settings!$C$6,Settings!$C$7))*100)</f>
        <v/>
      </c>
      <c r="V5950" s="7">
        <f>IF($C5950="","",R5950*U5950/100)</f>
        <v/>
      </c>
      <c r="W5950" s="7">
        <f>IF($C5950="","",R5950-V5950)</f>
        <v/>
      </c>
      <c r="X5950" s="7">
        <f>IF($C5950="","",W5950-K5950)</f>
        <v/>
      </c>
      <c r="AB5950" s="7" t="n"/>
      <c r="AE5950" s="11" t="n"/>
      <c r="AG5950">
        <f>IF($C5950="","",IF(COUNTIF($C$2:$C5950,$C5950)=1,1,0))</f>
        <v/>
      </c>
      <c r="AH5950">
        <f>IF($AG5950=1,SUMPRODUCT(--($AK$2:$AK$6001&lt;$AK5950))+1,"")</f>
        <v/>
      </c>
      <c r="AI5950">
        <f>IF($C5950="","",IF(OR($N5950=TRUE(),$N5950="TRUE"),1,0))</f>
        <v/>
      </c>
      <c r="AJ5950">
        <f>IF($C5950="","",IF($T5950="Yes",1,0))</f>
        <v/>
      </c>
      <c r="AK5950">
        <f>IF($AG5950=1,IFERROR(IF(VALUE($C5950)&lt;100000000,VALUE($C5950),1000000000),IFERROR(IF(VALUE(MID($C5950,2,20))&lt;100000000,VALUE(MID($C5950,2,20)),1000000000),1000000000))+ROW()/100000,"")</f>
        <v/>
      </c>
    </row>
    <row r="5951">
      <c r="D5951" s="11" t="n"/>
      <c r="K5951" s="7">
        <f>IF($C5951="","",J5951*W5951/100)</f>
        <v/>
      </c>
      <c r="Q5951" s="7" t="n"/>
      <c r="R5951" s="7" t="n"/>
      <c r="U5951">
        <f>IF($C5951="","",IF($AJ5951=1,0,IF($AI5951=1,Settings!$C$6,Settings!$C$7))*100)</f>
        <v/>
      </c>
      <c r="V5951" s="7">
        <f>IF($C5951="","",R5951*U5951/100)</f>
        <v/>
      </c>
      <c r="W5951" s="7">
        <f>IF($C5951="","",R5951-V5951)</f>
        <v/>
      </c>
      <c r="X5951" s="7">
        <f>IF($C5951="","",W5951-K5951)</f>
        <v/>
      </c>
      <c r="AB5951" s="7" t="n"/>
      <c r="AE5951" s="11" t="n"/>
      <c r="AG5951">
        <f>IF($C5951="","",IF(COUNTIF($C$2:$C5951,$C5951)=1,1,0))</f>
        <v/>
      </c>
      <c r="AH5951">
        <f>IF($AG5951=1,SUMPRODUCT(--($AK$2:$AK$6001&lt;$AK5951))+1,"")</f>
        <v/>
      </c>
      <c r="AI5951">
        <f>IF($C5951="","",IF(OR($N5951=TRUE(),$N5951="TRUE"),1,0))</f>
        <v/>
      </c>
      <c r="AJ5951">
        <f>IF($C5951="","",IF($T5951="Yes",1,0))</f>
        <v/>
      </c>
      <c r="AK5951">
        <f>IF($AG5951=1,IFERROR(IF(VALUE($C5951)&lt;100000000,VALUE($C5951),1000000000),IFERROR(IF(VALUE(MID($C5951,2,20))&lt;100000000,VALUE(MID($C5951,2,20)),1000000000),1000000000))+ROW()/100000,"")</f>
        <v/>
      </c>
    </row>
    <row r="5952">
      <c r="D5952" s="11" t="n"/>
      <c r="K5952" s="7">
        <f>IF($C5952="","",J5952*W5952/100)</f>
        <v/>
      </c>
      <c r="Q5952" s="7" t="n"/>
      <c r="R5952" s="7" t="n"/>
      <c r="U5952">
        <f>IF($C5952="","",IF($AJ5952=1,0,IF($AI5952=1,Settings!$C$6,Settings!$C$7))*100)</f>
        <v/>
      </c>
      <c r="V5952" s="7">
        <f>IF($C5952="","",R5952*U5952/100)</f>
        <v/>
      </c>
      <c r="W5952" s="7">
        <f>IF($C5952="","",R5952-V5952)</f>
        <v/>
      </c>
      <c r="X5952" s="7">
        <f>IF($C5952="","",W5952-K5952)</f>
        <v/>
      </c>
      <c r="AB5952" s="7" t="n"/>
      <c r="AE5952" s="11" t="n"/>
      <c r="AG5952">
        <f>IF($C5952="","",IF(COUNTIF($C$2:$C5952,$C5952)=1,1,0))</f>
        <v/>
      </c>
      <c r="AH5952">
        <f>IF($AG5952=1,SUMPRODUCT(--($AK$2:$AK$6001&lt;$AK5952))+1,"")</f>
        <v/>
      </c>
      <c r="AI5952">
        <f>IF($C5952="","",IF(OR($N5952=TRUE(),$N5952="TRUE"),1,0))</f>
        <v/>
      </c>
      <c r="AJ5952">
        <f>IF($C5952="","",IF($T5952="Yes",1,0))</f>
        <v/>
      </c>
      <c r="AK5952">
        <f>IF($AG5952=1,IFERROR(IF(VALUE($C5952)&lt;100000000,VALUE($C5952),1000000000),IFERROR(IF(VALUE(MID($C5952,2,20))&lt;100000000,VALUE(MID($C5952,2,20)),1000000000),1000000000))+ROW()/100000,"")</f>
        <v/>
      </c>
    </row>
    <row r="5953">
      <c r="D5953" s="11" t="n"/>
      <c r="K5953" s="7">
        <f>IF($C5953="","",J5953*W5953/100)</f>
        <v/>
      </c>
      <c r="Q5953" s="7" t="n"/>
      <c r="R5953" s="7" t="n"/>
      <c r="U5953">
        <f>IF($C5953="","",IF($AJ5953=1,0,IF($AI5953=1,Settings!$C$6,Settings!$C$7))*100)</f>
        <v/>
      </c>
      <c r="V5953" s="7">
        <f>IF($C5953="","",R5953*U5953/100)</f>
        <v/>
      </c>
      <c r="W5953" s="7">
        <f>IF($C5953="","",R5953-V5953)</f>
        <v/>
      </c>
      <c r="X5953" s="7">
        <f>IF($C5953="","",W5953-K5953)</f>
        <v/>
      </c>
      <c r="AB5953" s="7" t="n"/>
      <c r="AE5953" s="11" t="n"/>
      <c r="AG5953">
        <f>IF($C5953="","",IF(COUNTIF($C$2:$C5953,$C5953)=1,1,0))</f>
        <v/>
      </c>
      <c r="AH5953">
        <f>IF($AG5953=1,SUMPRODUCT(--($AK$2:$AK$6001&lt;$AK5953))+1,"")</f>
        <v/>
      </c>
      <c r="AI5953">
        <f>IF($C5953="","",IF(OR($N5953=TRUE(),$N5953="TRUE"),1,0))</f>
        <v/>
      </c>
      <c r="AJ5953">
        <f>IF($C5953="","",IF($T5953="Yes",1,0))</f>
        <v/>
      </c>
      <c r="AK5953">
        <f>IF($AG5953=1,IFERROR(IF(VALUE($C5953)&lt;100000000,VALUE($C5953),1000000000),IFERROR(IF(VALUE(MID($C5953,2,20))&lt;100000000,VALUE(MID($C5953,2,20)),1000000000),1000000000))+ROW()/100000,"")</f>
        <v/>
      </c>
    </row>
    <row r="5954">
      <c r="D5954" s="11" t="n"/>
      <c r="K5954" s="7">
        <f>IF($C5954="","",J5954*W5954/100)</f>
        <v/>
      </c>
      <c r="Q5954" s="7" t="n"/>
      <c r="R5954" s="7" t="n"/>
      <c r="U5954">
        <f>IF($C5954="","",IF($AJ5954=1,0,IF($AI5954=1,Settings!$C$6,Settings!$C$7))*100)</f>
        <v/>
      </c>
      <c r="V5954" s="7">
        <f>IF($C5954="","",R5954*U5954/100)</f>
        <v/>
      </c>
      <c r="W5954" s="7">
        <f>IF($C5954="","",R5954-V5954)</f>
        <v/>
      </c>
      <c r="X5954" s="7">
        <f>IF($C5954="","",W5954-K5954)</f>
        <v/>
      </c>
      <c r="AB5954" s="7" t="n"/>
      <c r="AE5954" s="11" t="n"/>
      <c r="AG5954">
        <f>IF($C5954="","",IF(COUNTIF($C$2:$C5954,$C5954)=1,1,0))</f>
        <v/>
      </c>
      <c r="AH5954">
        <f>IF($AG5954=1,SUMPRODUCT(--($AK$2:$AK$6001&lt;$AK5954))+1,"")</f>
        <v/>
      </c>
      <c r="AI5954">
        <f>IF($C5954="","",IF(OR($N5954=TRUE(),$N5954="TRUE"),1,0))</f>
        <v/>
      </c>
      <c r="AJ5954">
        <f>IF($C5954="","",IF($T5954="Yes",1,0))</f>
        <v/>
      </c>
      <c r="AK5954">
        <f>IF($AG5954=1,IFERROR(IF(VALUE($C5954)&lt;100000000,VALUE($C5954),1000000000),IFERROR(IF(VALUE(MID($C5954,2,20))&lt;100000000,VALUE(MID($C5954,2,20)),1000000000),1000000000))+ROW()/100000,"")</f>
        <v/>
      </c>
    </row>
    <row r="5955">
      <c r="D5955" s="11" t="n"/>
      <c r="K5955" s="7">
        <f>IF($C5955="","",J5955*W5955/100)</f>
        <v/>
      </c>
      <c r="Q5955" s="7" t="n"/>
      <c r="R5955" s="7" t="n"/>
      <c r="U5955">
        <f>IF($C5955="","",IF($AJ5955=1,0,IF($AI5955=1,Settings!$C$6,Settings!$C$7))*100)</f>
        <v/>
      </c>
      <c r="V5955" s="7">
        <f>IF($C5955="","",R5955*U5955/100)</f>
        <v/>
      </c>
      <c r="W5955" s="7">
        <f>IF($C5955="","",R5955-V5955)</f>
        <v/>
      </c>
      <c r="X5955" s="7">
        <f>IF($C5955="","",W5955-K5955)</f>
        <v/>
      </c>
      <c r="AB5955" s="7" t="n"/>
      <c r="AE5955" s="11" t="n"/>
      <c r="AG5955">
        <f>IF($C5955="","",IF(COUNTIF($C$2:$C5955,$C5955)=1,1,0))</f>
        <v/>
      </c>
      <c r="AH5955">
        <f>IF($AG5955=1,SUMPRODUCT(--($AK$2:$AK$6001&lt;$AK5955))+1,"")</f>
        <v/>
      </c>
      <c r="AI5955">
        <f>IF($C5955="","",IF(OR($N5955=TRUE(),$N5955="TRUE"),1,0))</f>
        <v/>
      </c>
      <c r="AJ5955">
        <f>IF($C5955="","",IF($T5955="Yes",1,0))</f>
        <v/>
      </c>
      <c r="AK5955">
        <f>IF($AG5955=1,IFERROR(IF(VALUE($C5955)&lt;100000000,VALUE($C5955),1000000000),IFERROR(IF(VALUE(MID($C5955,2,20))&lt;100000000,VALUE(MID($C5955,2,20)),1000000000),1000000000))+ROW()/100000,"")</f>
        <v/>
      </c>
    </row>
    <row r="5956">
      <c r="D5956" s="11" t="n"/>
      <c r="K5956" s="7">
        <f>IF($C5956="","",J5956*W5956/100)</f>
        <v/>
      </c>
      <c r="Q5956" s="7" t="n"/>
      <c r="R5956" s="7" t="n"/>
      <c r="U5956">
        <f>IF($C5956="","",IF($AJ5956=1,0,IF($AI5956=1,Settings!$C$6,Settings!$C$7))*100)</f>
        <v/>
      </c>
      <c r="V5956" s="7">
        <f>IF($C5956="","",R5956*U5956/100)</f>
        <v/>
      </c>
      <c r="W5956" s="7">
        <f>IF($C5956="","",R5956-V5956)</f>
        <v/>
      </c>
      <c r="X5956" s="7">
        <f>IF($C5956="","",W5956-K5956)</f>
        <v/>
      </c>
      <c r="AB5956" s="7" t="n"/>
      <c r="AE5956" s="11" t="n"/>
      <c r="AG5956">
        <f>IF($C5956="","",IF(COUNTIF($C$2:$C5956,$C5956)=1,1,0))</f>
        <v/>
      </c>
      <c r="AH5956">
        <f>IF($AG5956=1,SUMPRODUCT(--($AK$2:$AK$6001&lt;$AK5956))+1,"")</f>
        <v/>
      </c>
      <c r="AI5956">
        <f>IF($C5956="","",IF(OR($N5956=TRUE(),$N5956="TRUE"),1,0))</f>
        <v/>
      </c>
      <c r="AJ5956">
        <f>IF($C5956="","",IF($T5956="Yes",1,0))</f>
        <v/>
      </c>
      <c r="AK5956">
        <f>IF($AG5956=1,IFERROR(IF(VALUE($C5956)&lt;100000000,VALUE($C5956),1000000000),IFERROR(IF(VALUE(MID($C5956,2,20))&lt;100000000,VALUE(MID($C5956,2,20)),1000000000),1000000000))+ROW()/100000,"")</f>
        <v/>
      </c>
    </row>
    <row r="5957">
      <c r="D5957" s="11" t="n"/>
      <c r="K5957" s="7">
        <f>IF($C5957="","",J5957*W5957/100)</f>
        <v/>
      </c>
      <c r="Q5957" s="7" t="n"/>
      <c r="R5957" s="7" t="n"/>
      <c r="U5957">
        <f>IF($C5957="","",IF($AJ5957=1,0,IF($AI5957=1,Settings!$C$6,Settings!$C$7))*100)</f>
        <v/>
      </c>
      <c r="V5957" s="7">
        <f>IF($C5957="","",R5957*U5957/100)</f>
        <v/>
      </c>
      <c r="W5957" s="7">
        <f>IF($C5957="","",R5957-V5957)</f>
        <v/>
      </c>
      <c r="X5957" s="7">
        <f>IF($C5957="","",W5957-K5957)</f>
        <v/>
      </c>
      <c r="AB5957" s="7" t="n"/>
      <c r="AE5957" s="11" t="n"/>
      <c r="AG5957">
        <f>IF($C5957="","",IF(COUNTIF($C$2:$C5957,$C5957)=1,1,0))</f>
        <v/>
      </c>
      <c r="AH5957">
        <f>IF($AG5957=1,SUMPRODUCT(--($AK$2:$AK$6001&lt;$AK5957))+1,"")</f>
        <v/>
      </c>
      <c r="AI5957">
        <f>IF($C5957="","",IF(OR($N5957=TRUE(),$N5957="TRUE"),1,0))</f>
        <v/>
      </c>
      <c r="AJ5957">
        <f>IF($C5957="","",IF($T5957="Yes",1,0))</f>
        <v/>
      </c>
      <c r="AK5957">
        <f>IF($AG5957=1,IFERROR(IF(VALUE($C5957)&lt;100000000,VALUE($C5957),1000000000),IFERROR(IF(VALUE(MID($C5957,2,20))&lt;100000000,VALUE(MID($C5957,2,20)),1000000000),1000000000))+ROW()/100000,"")</f>
        <v/>
      </c>
    </row>
    <row r="5958">
      <c r="D5958" s="11" t="n"/>
      <c r="K5958" s="7">
        <f>IF($C5958="","",J5958*W5958/100)</f>
        <v/>
      </c>
      <c r="Q5958" s="7" t="n"/>
      <c r="R5958" s="7" t="n"/>
      <c r="U5958">
        <f>IF($C5958="","",IF($AJ5958=1,0,IF($AI5958=1,Settings!$C$6,Settings!$C$7))*100)</f>
        <v/>
      </c>
      <c r="V5958" s="7">
        <f>IF($C5958="","",R5958*U5958/100)</f>
        <v/>
      </c>
      <c r="W5958" s="7">
        <f>IF($C5958="","",R5958-V5958)</f>
        <v/>
      </c>
      <c r="X5958" s="7">
        <f>IF($C5958="","",W5958-K5958)</f>
        <v/>
      </c>
      <c r="AB5958" s="7" t="n"/>
      <c r="AE5958" s="11" t="n"/>
      <c r="AG5958">
        <f>IF($C5958="","",IF(COUNTIF($C$2:$C5958,$C5958)=1,1,0))</f>
        <v/>
      </c>
      <c r="AH5958">
        <f>IF($AG5958=1,SUMPRODUCT(--($AK$2:$AK$6001&lt;$AK5958))+1,"")</f>
        <v/>
      </c>
      <c r="AI5958">
        <f>IF($C5958="","",IF(OR($N5958=TRUE(),$N5958="TRUE"),1,0))</f>
        <v/>
      </c>
      <c r="AJ5958">
        <f>IF($C5958="","",IF($T5958="Yes",1,0))</f>
        <v/>
      </c>
      <c r="AK5958">
        <f>IF($AG5958=1,IFERROR(IF(VALUE($C5958)&lt;100000000,VALUE($C5958),1000000000),IFERROR(IF(VALUE(MID($C5958,2,20))&lt;100000000,VALUE(MID($C5958,2,20)),1000000000),1000000000))+ROW()/100000,"")</f>
        <v/>
      </c>
    </row>
    <row r="5959">
      <c r="D5959" s="11" t="n"/>
      <c r="K5959" s="7">
        <f>IF($C5959="","",J5959*W5959/100)</f>
        <v/>
      </c>
      <c r="Q5959" s="7" t="n"/>
      <c r="R5959" s="7" t="n"/>
      <c r="U5959">
        <f>IF($C5959="","",IF($AJ5959=1,0,IF($AI5959=1,Settings!$C$6,Settings!$C$7))*100)</f>
        <v/>
      </c>
      <c r="V5959" s="7">
        <f>IF($C5959="","",R5959*U5959/100)</f>
        <v/>
      </c>
      <c r="W5959" s="7">
        <f>IF($C5959="","",R5959-V5959)</f>
        <v/>
      </c>
      <c r="X5959" s="7">
        <f>IF($C5959="","",W5959-K5959)</f>
        <v/>
      </c>
      <c r="AB5959" s="7" t="n"/>
      <c r="AE5959" s="11" t="n"/>
      <c r="AG5959">
        <f>IF($C5959="","",IF(COUNTIF($C$2:$C5959,$C5959)=1,1,0))</f>
        <v/>
      </c>
      <c r="AH5959">
        <f>IF($AG5959=1,SUMPRODUCT(--($AK$2:$AK$6001&lt;$AK5959))+1,"")</f>
        <v/>
      </c>
      <c r="AI5959">
        <f>IF($C5959="","",IF(OR($N5959=TRUE(),$N5959="TRUE"),1,0))</f>
        <v/>
      </c>
      <c r="AJ5959">
        <f>IF($C5959="","",IF($T5959="Yes",1,0))</f>
        <v/>
      </c>
      <c r="AK5959">
        <f>IF($AG5959=1,IFERROR(IF(VALUE($C5959)&lt;100000000,VALUE($C5959),1000000000),IFERROR(IF(VALUE(MID($C5959,2,20))&lt;100000000,VALUE(MID($C5959,2,20)),1000000000),1000000000))+ROW()/100000,"")</f>
        <v/>
      </c>
    </row>
    <row r="5960">
      <c r="D5960" s="11" t="n"/>
      <c r="K5960" s="7">
        <f>IF($C5960="","",J5960*W5960/100)</f>
        <v/>
      </c>
      <c r="Q5960" s="7" t="n"/>
      <c r="R5960" s="7" t="n"/>
      <c r="U5960">
        <f>IF($C5960="","",IF($AJ5960=1,0,IF($AI5960=1,Settings!$C$6,Settings!$C$7))*100)</f>
        <v/>
      </c>
      <c r="V5960" s="7">
        <f>IF($C5960="","",R5960*U5960/100)</f>
        <v/>
      </c>
      <c r="W5960" s="7">
        <f>IF($C5960="","",R5960-V5960)</f>
        <v/>
      </c>
      <c r="X5960" s="7">
        <f>IF($C5960="","",W5960-K5960)</f>
        <v/>
      </c>
      <c r="AB5960" s="7" t="n"/>
      <c r="AE5960" s="11" t="n"/>
      <c r="AG5960">
        <f>IF($C5960="","",IF(COUNTIF($C$2:$C5960,$C5960)=1,1,0))</f>
        <v/>
      </c>
      <c r="AH5960">
        <f>IF($AG5960=1,SUMPRODUCT(--($AK$2:$AK$6001&lt;$AK5960))+1,"")</f>
        <v/>
      </c>
      <c r="AI5960">
        <f>IF($C5960="","",IF(OR($N5960=TRUE(),$N5960="TRUE"),1,0))</f>
        <v/>
      </c>
      <c r="AJ5960">
        <f>IF($C5960="","",IF($T5960="Yes",1,0))</f>
        <v/>
      </c>
      <c r="AK5960">
        <f>IF($AG5960=1,IFERROR(IF(VALUE($C5960)&lt;100000000,VALUE($C5960),1000000000),IFERROR(IF(VALUE(MID($C5960,2,20))&lt;100000000,VALUE(MID($C5960,2,20)),1000000000),1000000000))+ROW()/100000,"")</f>
        <v/>
      </c>
    </row>
    <row r="5961">
      <c r="D5961" s="11" t="n"/>
      <c r="K5961" s="7">
        <f>IF($C5961="","",J5961*W5961/100)</f>
        <v/>
      </c>
      <c r="Q5961" s="7" t="n"/>
      <c r="R5961" s="7" t="n"/>
      <c r="U5961">
        <f>IF($C5961="","",IF($AJ5961=1,0,IF($AI5961=1,Settings!$C$6,Settings!$C$7))*100)</f>
        <v/>
      </c>
      <c r="V5961" s="7">
        <f>IF($C5961="","",R5961*U5961/100)</f>
        <v/>
      </c>
      <c r="W5961" s="7">
        <f>IF($C5961="","",R5961-V5961)</f>
        <v/>
      </c>
      <c r="X5961" s="7">
        <f>IF($C5961="","",W5961-K5961)</f>
        <v/>
      </c>
      <c r="AB5961" s="7" t="n"/>
      <c r="AE5961" s="11" t="n"/>
      <c r="AG5961">
        <f>IF($C5961="","",IF(COUNTIF($C$2:$C5961,$C5961)=1,1,0))</f>
        <v/>
      </c>
      <c r="AH5961">
        <f>IF($AG5961=1,SUMPRODUCT(--($AK$2:$AK$6001&lt;$AK5961))+1,"")</f>
        <v/>
      </c>
      <c r="AI5961">
        <f>IF($C5961="","",IF(OR($N5961=TRUE(),$N5961="TRUE"),1,0))</f>
        <v/>
      </c>
      <c r="AJ5961">
        <f>IF($C5961="","",IF($T5961="Yes",1,0))</f>
        <v/>
      </c>
      <c r="AK5961">
        <f>IF($AG5961=1,IFERROR(IF(VALUE($C5961)&lt;100000000,VALUE($C5961),1000000000),IFERROR(IF(VALUE(MID($C5961,2,20))&lt;100000000,VALUE(MID($C5961,2,20)),1000000000),1000000000))+ROW()/100000,"")</f>
        <v/>
      </c>
    </row>
    <row r="5962">
      <c r="D5962" s="11" t="n"/>
      <c r="K5962" s="7">
        <f>IF($C5962="","",J5962*W5962/100)</f>
        <v/>
      </c>
      <c r="Q5962" s="7" t="n"/>
      <c r="R5962" s="7" t="n"/>
      <c r="U5962">
        <f>IF($C5962="","",IF($AJ5962=1,0,IF($AI5962=1,Settings!$C$6,Settings!$C$7))*100)</f>
        <v/>
      </c>
      <c r="V5962" s="7">
        <f>IF($C5962="","",R5962*U5962/100)</f>
        <v/>
      </c>
      <c r="W5962" s="7">
        <f>IF($C5962="","",R5962-V5962)</f>
        <v/>
      </c>
      <c r="X5962" s="7">
        <f>IF($C5962="","",W5962-K5962)</f>
        <v/>
      </c>
      <c r="AB5962" s="7" t="n"/>
      <c r="AE5962" s="11" t="n"/>
      <c r="AG5962">
        <f>IF($C5962="","",IF(COUNTIF($C$2:$C5962,$C5962)=1,1,0))</f>
        <v/>
      </c>
      <c r="AH5962">
        <f>IF($AG5962=1,SUMPRODUCT(--($AK$2:$AK$6001&lt;$AK5962))+1,"")</f>
        <v/>
      </c>
      <c r="AI5962">
        <f>IF($C5962="","",IF(OR($N5962=TRUE(),$N5962="TRUE"),1,0))</f>
        <v/>
      </c>
      <c r="AJ5962">
        <f>IF($C5962="","",IF($T5962="Yes",1,0))</f>
        <v/>
      </c>
      <c r="AK5962">
        <f>IF($AG5962=1,IFERROR(IF(VALUE($C5962)&lt;100000000,VALUE($C5962),1000000000),IFERROR(IF(VALUE(MID($C5962,2,20))&lt;100000000,VALUE(MID($C5962,2,20)),1000000000),1000000000))+ROW()/100000,"")</f>
        <v/>
      </c>
    </row>
    <row r="5963">
      <c r="D5963" s="11" t="n"/>
      <c r="K5963" s="7">
        <f>IF($C5963="","",J5963*W5963/100)</f>
        <v/>
      </c>
      <c r="Q5963" s="7" t="n"/>
      <c r="R5963" s="7" t="n"/>
      <c r="U5963">
        <f>IF($C5963="","",IF($AJ5963=1,0,IF($AI5963=1,Settings!$C$6,Settings!$C$7))*100)</f>
        <v/>
      </c>
      <c r="V5963" s="7">
        <f>IF($C5963="","",R5963*U5963/100)</f>
        <v/>
      </c>
      <c r="W5963" s="7">
        <f>IF($C5963="","",R5963-V5963)</f>
        <v/>
      </c>
      <c r="X5963" s="7">
        <f>IF($C5963="","",W5963-K5963)</f>
        <v/>
      </c>
      <c r="AB5963" s="7" t="n"/>
      <c r="AE5963" s="11" t="n"/>
      <c r="AG5963">
        <f>IF($C5963="","",IF(COUNTIF($C$2:$C5963,$C5963)=1,1,0))</f>
        <v/>
      </c>
      <c r="AH5963">
        <f>IF($AG5963=1,SUMPRODUCT(--($AK$2:$AK$6001&lt;$AK5963))+1,"")</f>
        <v/>
      </c>
      <c r="AI5963">
        <f>IF($C5963="","",IF(OR($N5963=TRUE(),$N5963="TRUE"),1,0))</f>
        <v/>
      </c>
      <c r="AJ5963">
        <f>IF($C5963="","",IF($T5963="Yes",1,0))</f>
        <v/>
      </c>
      <c r="AK5963">
        <f>IF($AG5963=1,IFERROR(IF(VALUE($C5963)&lt;100000000,VALUE($C5963),1000000000),IFERROR(IF(VALUE(MID($C5963,2,20))&lt;100000000,VALUE(MID($C5963,2,20)),1000000000),1000000000))+ROW()/100000,"")</f>
        <v/>
      </c>
    </row>
    <row r="5964">
      <c r="D5964" s="11" t="n"/>
      <c r="K5964" s="7">
        <f>IF($C5964="","",J5964*W5964/100)</f>
        <v/>
      </c>
      <c r="Q5964" s="7" t="n"/>
      <c r="R5964" s="7" t="n"/>
      <c r="U5964">
        <f>IF($C5964="","",IF($AJ5964=1,0,IF($AI5964=1,Settings!$C$6,Settings!$C$7))*100)</f>
        <v/>
      </c>
      <c r="V5964" s="7">
        <f>IF($C5964="","",R5964*U5964/100)</f>
        <v/>
      </c>
      <c r="W5964" s="7">
        <f>IF($C5964="","",R5964-V5964)</f>
        <v/>
      </c>
      <c r="X5964" s="7">
        <f>IF($C5964="","",W5964-K5964)</f>
        <v/>
      </c>
      <c r="AB5964" s="7" t="n"/>
      <c r="AE5964" s="11" t="n"/>
      <c r="AG5964">
        <f>IF($C5964="","",IF(COUNTIF($C$2:$C5964,$C5964)=1,1,0))</f>
        <v/>
      </c>
      <c r="AH5964">
        <f>IF($AG5964=1,SUMPRODUCT(--($AK$2:$AK$6001&lt;$AK5964))+1,"")</f>
        <v/>
      </c>
      <c r="AI5964">
        <f>IF($C5964="","",IF(OR($N5964=TRUE(),$N5964="TRUE"),1,0))</f>
        <v/>
      </c>
      <c r="AJ5964">
        <f>IF($C5964="","",IF($T5964="Yes",1,0))</f>
        <v/>
      </c>
      <c r="AK5964">
        <f>IF($AG5964=1,IFERROR(IF(VALUE($C5964)&lt;100000000,VALUE($C5964),1000000000),IFERROR(IF(VALUE(MID($C5964,2,20))&lt;100000000,VALUE(MID($C5964,2,20)),1000000000),1000000000))+ROW()/100000,"")</f>
        <v/>
      </c>
    </row>
    <row r="5965">
      <c r="D5965" s="11" t="n"/>
      <c r="K5965" s="7">
        <f>IF($C5965="","",J5965*W5965/100)</f>
        <v/>
      </c>
      <c r="Q5965" s="7" t="n"/>
      <c r="R5965" s="7" t="n"/>
      <c r="U5965">
        <f>IF($C5965="","",IF($AJ5965=1,0,IF($AI5965=1,Settings!$C$6,Settings!$C$7))*100)</f>
        <v/>
      </c>
      <c r="V5965" s="7">
        <f>IF($C5965="","",R5965*U5965/100)</f>
        <v/>
      </c>
      <c r="W5965" s="7">
        <f>IF($C5965="","",R5965-V5965)</f>
        <v/>
      </c>
      <c r="X5965" s="7">
        <f>IF($C5965="","",W5965-K5965)</f>
        <v/>
      </c>
      <c r="AB5965" s="7" t="n"/>
      <c r="AE5965" s="11" t="n"/>
      <c r="AG5965">
        <f>IF($C5965="","",IF(COUNTIF($C$2:$C5965,$C5965)=1,1,0))</f>
        <v/>
      </c>
      <c r="AH5965">
        <f>IF($AG5965=1,SUMPRODUCT(--($AK$2:$AK$6001&lt;$AK5965))+1,"")</f>
        <v/>
      </c>
      <c r="AI5965">
        <f>IF($C5965="","",IF(OR($N5965=TRUE(),$N5965="TRUE"),1,0))</f>
        <v/>
      </c>
      <c r="AJ5965">
        <f>IF($C5965="","",IF($T5965="Yes",1,0))</f>
        <v/>
      </c>
      <c r="AK5965">
        <f>IF($AG5965=1,IFERROR(IF(VALUE($C5965)&lt;100000000,VALUE($C5965),1000000000),IFERROR(IF(VALUE(MID($C5965,2,20))&lt;100000000,VALUE(MID($C5965,2,20)),1000000000),1000000000))+ROW()/100000,"")</f>
        <v/>
      </c>
    </row>
    <row r="5966">
      <c r="D5966" s="11" t="n"/>
      <c r="K5966" s="7">
        <f>IF($C5966="","",J5966*W5966/100)</f>
        <v/>
      </c>
      <c r="Q5966" s="7" t="n"/>
      <c r="R5966" s="7" t="n"/>
      <c r="U5966">
        <f>IF($C5966="","",IF($AJ5966=1,0,IF($AI5966=1,Settings!$C$6,Settings!$C$7))*100)</f>
        <v/>
      </c>
      <c r="V5966" s="7">
        <f>IF($C5966="","",R5966*U5966/100)</f>
        <v/>
      </c>
      <c r="W5966" s="7">
        <f>IF($C5966="","",R5966-V5966)</f>
        <v/>
      </c>
      <c r="X5966" s="7">
        <f>IF($C5966="","",W5966-K5966)</f>
        <v/>
      </c>
      <c r="AB5966" s="7" t="n"/>
      <c r="AE5966" s="11" t="n"/>
      <c r="AG5966">
        <f>IF($C5966="","",IF(COUNTIF($C$2:$C5966,$C5966)=1,1,0))</f>
        <v/>
      </c>
      <c r="AH5966">
        <f>IF($AG5966=1,SUMPRODUCT(--($AK$2:$AK$6001&lt;$AK5966))+1,"")</f>
        <v/>
      </c>
      <c r="AI5966">
        <f>IF($C5966="","",IF(OR($N5966=TRUE(),$N5966="TRUE"),1,0))</f>
        <v/>
      </c>
      <c r="AJ5966">
        <f>IF($C5966="","",IF($T5966="Yes",1,0))</f>
        <v/>
      </c>
      <c r="AK5966">
        <f>IF($AG5966=1,IFERROR(IF(VALUE($C5966)&lt;100000000,VALUE($C5966),1000000000),IFERROR(IF(VALUE(MID($C5966,2,20))&lt;100000000,VALUE(MID($C5966,2,20)),1000000000),1000000000))+ROW()/100000,"")</f>
        <v/>
      </c>
    </row>
    <row r="5967">
      <c r="D5967" s="11" t="n"/>
      <c r="K5967" s="7">
        <f>IF($C5967="","",J5967*W5967/100)</f>
        <v/>
      </c>
      <c r="Q5967" s="7" t="n"/>
      <c r="R5967" s="7" t="n"/>
      <c r="U5967">
        <f>IF($C5967="","",IF($AJ5967=1,0,IF($AI5967=1,Settings!$C$6,Settings!$C$7))*100)</f>
        <v/>
      </c>
      <c r="V5967" s="7">
        <f>IF($C5967="","",R5967*U5967/100)</f>
        <v/>
      </c>
      <c r="W5967" s="7">
        <f>IF($C5967="","",R5967-V5967)</f>
        <v/>
      </c>
      <c r="X5967" s="7">
        <f>IF($C5967="","",W5967-K5967)</f>
        <v/>
      </c>
      <c r="AB5967" s="7" t="n"/>
      <c r="AE5967" s="11" t="n"/>
      <c r="AG5967">
        <f>IF($C5967="","",IF(COUNTIF($C$2:$C5967,$C5967)=1,1,0))</f>
        <v/>
      </c>
      <c r="AH5967">
        <f>IF($AG5967=1,SUMPRODUCT(--($AK$2:$AK$6001&lt;$AK5967))+1,"")</f>
        <v/>
      </c>
      <c r="AI5967">
        <f>IF($C5967="","",IF(OR($N5967=TRUE(),$N5967="TRUE"),1,0))</f>
        <v/>
      </c>
      <c r="AJ5967">
        <f>IF($C5967="","",IF($T5967="Yes",1,0))</f>
        <v/>
      </c>
      <c r="AK5967">
        <f>IF($AG5967=1,IFERROR(IF(VALUE($C5967)&lt;100000000,VALUE($C5967),1000000000),IFERROR(IF(VALUE(MID($C5967,2,20))&lt;100000000,VALUE(MID($C5967,2,20)),1000000000),1000000000))+ROW()/100000,"")</f>
        <v/>
      </c>
    </row>
    <row r="5968">
      <c r="D5968" s="11" t="n"/>
      <c r="K5968" s="7">
        <f>IF($C5968="","",J5968*W5968/100)</f>
        <v/>
      </c>
      <c r="Q5968" s="7" t="n"/>
      <c r="R5968" s="7" t="n"/>
      <c r="U5968">
        <f>IF($C5968="","",IF($AJ5968=1,0,IF($AI5968=1,Settings!$C$6,Settings!$C$7))*100)</f>
        <v/>
      </c>
      <c r="V5968" s="7">
        <f>IF($C5968="","",R5968*U5968/100)</f>
        <v/>
      </c>
      <c r="W5968" s="7">
        <f>IF($C5968="","",R5968-V5968)</f>
        <v/>
      </c>
      <c r="X5968" s="7">
        <f>IF($C5968="","",W5968-K5968)</f>
        <v/>
      </c>
      <c r="AB5968" s="7" t="n"/>
      <c r="AE5968" s="11" t="n"/>
      <c r="AG5968">
        <f>IF($C5968="","",IF(COUNTIF($C$2:$C5968,$C5968)=1,1,0))</f>
        <v/>
      </c>
      <c r="AH5968">
        <f>IF($AG5968=1,SUMPRODUCT(--($AK$2:$AK$6001&lt;$AK5968))+1,"")</f>
        <v/>
      </c>
      <c r="AI5968">
        <f>IF($C5968="","",IF(OR($N5968=TRUE(),$N5968="TRUE"),1,0))</f>
        <v/>
      </c>
      <c r="AJ5968">
        <f>IF($C5968="","",IF($T5968="Yes",1,0))</f>
        <v/>
      </c>
      <c r="AK5968">
        <f>IF($AG5968=1,IFERROR(IF(VALUE($C5968)&lt;100000000,VALUE($C5968),1000000000),IFERROR(IF(VALUE(MID($C5968,2,20))&lt;100000000,VALUE(MID($C5968,2,20)),1000000000),1000000000))+ROW()/100000,"")</f>
        <v/>
      </c>
    </row>
    <row r="5969">
      <c r="D5969" s="11" t="n"/>
      <c r="K5969" s="7">
        <f>IF($C5969="","",J5969*W5969/100)</f>
        <v/>
      </c>
      <c r="Q5969" s="7" t="n"/>
      <c r="R5969" s="7" t="n"/>
      <c r="U5969">
        <f>IF($C5969="","",IF($AJ5969=1,0,IF($AI5969=1,Settings!$C$6,Settings!$C$7))*100)</f>
        <v/>
      </c>
      <c r="V5969" s="7">
        <f>IF($C5969="","",R5969*U5969/100)</f>
        <v/>
      </c>
      <c r="W5969" s="7">
        <f>IF($C5969="","",R5969-V5969)</f>
        <v/>
      </c>
      <c r="X5969" s="7">
        <f>IF($C5969="","",W5969-K5969)</f>
        <v/>
      </c>
      <c r="AB5969" s="7" t="n"/>
      <c r="AE5969" s="11" t="n"/>
      <c r="AG5969">
        <f>IF($C5969="","",IF(COUNTIF($C$2:$C5969,$C5969)=1,1,0))</f>
        <v/>
      </c>
      <c r="AH5969">
        <f>IF($AG5969=1,SUMPRODUCT(--($AK$2:$AK$6001&lt;$AK5969))+1,"")</f>
        <v/>
      </c>
      <c r="AI5969">
        <f>IF($C5969="","",IF(OR($N5969=TRUE(),$N5969="TRUE"),1,0))</f>
        <v/>
      </c>
      <c r="AJ5969">
        <f>IF($C5969="","",IF($T5969="Yes",1,0))</f>
        <v/>
      </c>
      <c r="AK5969">
        <f>IF($AG5969=1,IFERROR(IF(VALUE($C5969)&lt;100000000,VALUE($C5969),1000000000),IFERROR(IF(VALUE(MID($C5969,2,20))&lt;100000000,VALUE(MID($C5969,2,20)),1000000000),1000000000))+ROW()/100000,"")</f>
        <v/>
      </c>
    </row>
    <row r="5970">
      <c r="D5970" s="11" t="n"/>
      <c r="K5970" s="7">
        <f>IF($C5970="","",J5970*W5970/100)</f>
        <v/>
      </c>
      <c r="Q5970" s="7" t="n"/>
      <c r="R5970" s="7" t="n"/>
      <c r="U5970">
        <f>IF($C5970="","",IF($AJ5970=1,0,IF($AI5970=1,Settings!$C$6,Settings!$C$7))*100)</f>
        <v/>
      </c>
      <c r="V5970" s="7">
        <f>IF($C5970="","",R5970*U5970/100)</f>
        <v/>
      </c>
      <c r="W5970" s="7">
        <f>IF($C5970="","",R5970-V5970)</f>
        <v/>
      </c>
      <c r="X5970" s="7">
        <f>IF($C5970="","",W5970-K5970)</f>
        <v/>
      </c>
      <c r="AB5970" s="7" t="n"/>
      <c r="AE5970" s="11" t="n"/>
      <c r="AG5970">
        <f>IF($C5970="","",IF(COUNTIF($C$2:$C5970,$C5970)=1,1,0))</f>
        <v/>
      </c>
      <c r="AH5970">
        <f>IF($AG5970=1,SUMPRODUCT(--($AK$2:$AK$6001&lt;$AK5970))+1,"")</f>
        <v/>
      </c>
      <c r="AI5970">
        <f>IF($C5970="","",IF(OR($N5970=TRUE(),$N5970="TRUE"),1,0))</f>
        <v/>
      </c>
      <c r="AJ5970">
        <f>IF($C5970="","",IF($T5970="Yes",1,0))</f>
        <v/>
      </c>
      <c r="AK5970">
        <f>IF($AG5970=1,IFERROR(IF(VALUE($C5970)&lt;100000000,VALUE($C5970),1000000000),IFERROR(IF(VALUE(MID($C5970,2,20))&lt;100000000,VALUE(MID($C5970,2,20)),1000000000),1000000000))+ROW()/100000,"")</f>
        <v/>
      </c>
    </row>
    <row r="5971">
      <c r="D5971" s="11" t="n"/>
      <c r="K5971" s="7">
        <f>IF($C5971="","",J5971*W5971/100)</f>
        <v/>
      </c>
      <c r="Q5971" s="7" t="n"/>
      <c r="R5971" s="7" t="n"/>
      <c r="U5971">
        <f>IF($C5971="","",IF($AJ5971=1,0,IF($AI5971=1,Settings!$C$6,Settings!$C$7))*100)</f>
        <v/>
      </c>
      <c r="V5971" s="7">
        <f>IF($C5971="","",R5971*U5971/100)</f>
        <v/>
      </c>
      <c r="W5971" s="7">
        <f>IF($C5971="","",R5971-V5971)</f>
        <v/>
      </c>
      <c r="X5971" s="7">
        <f>IF($C5971="","",W5971-K5971)</f>
        <v/>
      </c>
      <c r="AB5971" s="7" t="n"/>
      <c r="AE5971" s="11" t="n"/>
      <c r="AG5971">
        <f>IF($C5971="","",IF(COUNTIF($C$2:$C5971,$C5971)=1,1,0))</f>
        <v/>
      </c>
      <c r="AH5971">
        <f>IF($AG5971=1,SUMPRODUCT(--($AK$2:$AK$6001&lt;$AK5971))+1,"")</f>
        <v/>
      </c>
      <c r="AI5971">
        <f>IF($C5971="","",IF(OR($N5971=TRUE(),$N5971="TRUE"),1,0))</f>
        <v/>
      </c>
      <c r="AJ5971">
        <f>IF($C5971="","",IF($T5971="Yes",1,0))</f>
        <v/>
      </c>
      <c r="AK5971">
        <f>IF($AG5971=1,IFERROR(IF(VALUE($C5971)&lt;100000000,VALUE($C5971),1000000000),IFERROR(IF(VALUE(MID($C5971,2,20))&lt;100000000,VALUE(MID($C5971,2,20)),1000000000),1000000000))+ROW()/100000,"")</f>
        <v/>
      </c>
    </row>
    <row r="5972">
      <c r="D5972" s="11" t="n"/>
      <c r="K5972" s="7">
        <f>IF($C5972="","",J5972*W5972/100)</f>
        <v/>
      </c>
      <c r="Q5972" s="7" t="n"/>
      <c r="R5972" s="7" t="n"/>
      <c r="U5972">
        <f>IF($C5972="","",IF($AJ5972=1,0,IF($AI5972=1,Settings!$C$6,Settings!$C$7))*100)</f>
        <v/>
      </c>
      <c r="V5972" s="7">
        <f>IF($C5972="","",R5972*U5972/100)</f>
        <v/>
      </c>
      <c r="W5972" s="7">
        <f>IF($C5972="","",R5972-V5972)</f>
        <v/>
      </c>
      <c r="X5972" s="7">
        <f>IF($C5972="","",W5972-K5972)</f>
        <v/>
      </c>
      <c r="AB5972" s="7" t="n"/>
      <c r="AE5972" s="11" t="n"/>
      <c r="AG5972">
        <f>IF($C5972="","",IF(COUNTIF($C$2:$C5972,$C5972)=1,1,0))</f>
        <v/>
      </c>
      <c r="AH5972">
        <f>IF($AG5972=1,SUMPRODUCT(--($AK$2:$AK$6001&lt;$AK5972))+1,"")</f>
        <v/>
      </c>
      <c r="AI5972">
        <f>IF($C5972="","",IF(OR($N5972=TRUE(),$N5972="TRUE"),1,0))</f>
        <v/>
      </c>
      <c r="AJ5972">
        <f>IF($C5972="","",IF($T5972="Yes",1,0))</f>
        <v/>
      </c>
      <c r="AK5972">
        <f>IF($AG5972=1,IFERROR(IF(VALUE($C5972)&lt;100000000,VALUE($C5972),1000000000),IFERROR(IF(VALUE(MID($C5972,2,20))&lt;100000000,VALUE(MID($C5972,2,20)),1000000000),1000000000))+ROW()/100000,"")</f>
        <v/>
      </c>
    </row>
    <row r="5973">
      <c r="D5973" s="11" t="n"/>
      <c r="K5973" s="7">
        <f>IF($C5973="","",J5973*W5973/100)</f>
        <v/>
      </c>
      <c r="Q5973" s="7" t="n"/>
      <c r="R5973" s="7" t="n"/>
      <c r="U5973">
        <f>IF($C5973="","",IF($AJ5973=1,0,IF($AI5973=1,Settings!$C$6,Settings!$C$7))*100)</f>
        <v/>
      </c>
      <c r="V5973" s="7">
        <f>IF($C5973="","",R5973*U5973/100)</f>
        <v/>
      </c>
      <c r="W5973" s="7">
        <f>IF($C5973="","",R5973-V5973)</f>
        <v/>
      </c>
      <c r="X5973" s="7">
        <f>IF($C5973="","",W5973-K5973)</f>
        <v/>
      </c>
      <c r="AB5973" s="7" t="n"/>
      <c r="AE5973" s="11" t="n"/>
      <c r="AG5973">
        <f>IF($C5973="","",IF(COUNTIF($C$2:$C5973,$C5973)=1,1,0))</f>
        <v/>
      </c>
      <c r="AH5973">
        <f>IF($AG5973=1,SUMPRODUCT(--($AK$2:$AK$6001&lt;$AK5973))+1,"")</f>
        <v/>
      </c>
      <c r="AI5973">
        <f>IF($C5973="","",IF(OR($N5973=TRUE(),$N5973="TRUE"),1,0))</f>
        <v/>
      </c>
      <c r="AJ5973">
        <f>IF($C5973="","",IF($T5973="Yes",1,0))</f>
        <v/>
      </c>
      <c r="AK5973">
        <f>IF($AG5973=1,IFERROR(IF(VALUE($C5973)&lt;100000000,VALUE($C5973),1000000000),IFERROR(IF(VALUE(MID($C5973,2,20))&lt;100000000,VALUE(MID($C5973,2,20)),1000000000),1000000000))+ROW()/100000,"")</f>
        <v/>
      </c>
    </row>
    <row r="5974">
      <c r="D5974" s="11" t="n"/>
      <c r="K5974" s="7">
        <f>IF($C5974="","",J5974*W5974/100)</f>
        <v/>
      </c>
      <c r="Q5974" s="7" t="n"/>
      <c r="R5974" s="7" t="n"/>
      <c r="U5974">
        <f>IF($C5974="","",IF($AJ5974=1,0,IF($AI5974=1,Settings!$C$6,Settings!$C$7))*100)</f>
        <v/>
      </c>
      <c r="V5974" s="7">
        <f>IF($C5974="","",R5974*U5974/100)</f>
        <v/>
      </c>
      <c r="W5974" s="7">
        <f>IF($C5974="","",R5974-V5974)</f>
        <v/>
      </c>
      <c r="X5974" s="7">
        <f>IF($C5974="","",W5974-K5974)</f>
        <v/>
      </c>
      <c r="AB5974" s="7" t="n"/>
      <c r="AE5974" s="11" t="n"/>
      <c r="AG5974">
        <f>IF($C5974="","",IF(COUNTIF($C$2:$C5974,$C5974)=1,1,0))</f>
        <v/>
      </c>
      <c r="AH5974">
        <f>IF($AG5974=1,SUMPRODUCT(--($AK$2:$AK$6001&lt;$AK5974))+1,"")</f>
        <v/>
      </c>
      <c r="AI5974">
        <f>IF($C5974="","",IF(OR($N5974=TRUE(),$N5974="TRUE"),1,0))</f>
        <v/>
      </c>
      <c r="AJ5974">
        <f>IF($C5974="","",IF($T5974="Yes",1,0))</f>
        <v/>
      </c>
      <c r="AK5974">
        <f>IF($AG5974=1,IFERROR(IF(VALUE($C5974)&lt;100000000,VALUE($C5974),1000000000),IFERROR(IF(VALUE(MID($C5974,2,20))&lt;100000000,VALUE(MID($C5974,2,20)),1000000000),1000000000))+ROW()/100000,"")</f>
        <v/>
      </c>
    </row>
    <row r="5975">
      <c r="D5975" s="11" t="n"/>
      <c r="K5975" s="7">
        <f>IF($C5975="","",J5975*W5975/100)</f>
        <v/>
      </c>
      <c r="Q5975" s="7" t="n"/>
      <c r="R5975" s="7" t="n"/>
      <c r="U5975">
        <f>IF($C5975="","",IF($AJ5975=1,0,IF($AI5975=1,Settings!$C$6,Settings!$C$7))*100)</f>
        <v/>
      </c>
      <c r="V5975" s="7">
        <f>IF($C5975="","",R5975*U5975/100)</f>
        <v/>
      </c>
      <c r="W5975" s="7">
        <f>IF($C5975="","",R5975-V5975)</f>
        <v/>
      </c>
      <c r="X5975" s="7">
        <f>IF($C5975="","",W5975-K5975)</f>
        <v/>
      </c>
      <c r="AB5975" s="7" t="n"/>
      <c r="AE5975" s="11" t="n"/>
      <c r="AG5975">
        <f>IF($C5975="","",IF(COUNTIF($C$2:$C5975,$C5975)=1,1,0))</f>
        <v/>
      </c>
      <c r="AH5975">
        <f>IF($AG5975=1,SUMPRODUCT(--($AK$2:$AK$6001&lt;$AK5975))+1,"")</f>
        <v/>
      </c>
      <c r="AI5975">
        <f>IF($C5975="","",IF(OR($N5975=TRUE(),$N5975="TRUE"),1,0))</f>
        <v/>
      </c>
      <c r="AJ5975">
        <f>IF($C5975="","",IF($T5975="Yes",1,0))</f>
        <v/>
      </c>
      <c r="AK5975">
        <f>IF($AG5975=1,IFERROR(IF(VALUE($C5975)&lt;100000000,VALUE($C5975),1000000000),IFERROR(IF(VALUE(MID($C5975,2,20))&lt;100000000,VALUE(MID($C5975,2,20)),1000000000),1000000000))+ROW()/100000,"")</f>
        <v/>
      </c>
    </row>
    <row r="5976">
      <c r="D5976" s="11" t="n"/>
      <c r="K5976" s="7">
        <f>IF($C5976="","",J5976*W5976/100)</f>
        <v/>
      </c>
      <c r="Q5976" s="7" t="n"/>
      <c r="R5976" s="7" t="n"/>
      <c r="U5976">
        <f>IF($C5976="","",IF($AJ5976=1,0,IF($AI5976=1,Settings!$C$6,Settings!$C$7))*100)</f>
        <v/>
      </c>
      <c r="V5976" s="7">
        <f>IF($C5976="","",R5976*U5976/100)</f>
        <v/>
      </c>
      <c r="W5976" s="7">
        <f>IF($C5976="","",R5976-V5976)</f>
        <v/>
      </c>
      <c r="X5976" s="7">
        <f>IF($C5976="","",W5976-K5976)</f>
        <v/>
      </c>
      <c r="AB5976" s="7" t="n"/>
      <c r="AE5976" s="11" t="n"/>
      <c r="AG5976">
        <f>IF($C5976="","",IF(COUNTIF($C$2:$C5976,$C5976)=1,1,0))</f>
        <v/>
      </c>
      <c r="AH5976">
        <f>IF($AG5976=1,SUMPRODUCT(--($AK$2:$AK$6001&lt;$AK5976))+1,"")</f>
        <v/>
      </c>
      <c r="AI5976">
        <f>IF($C5976="","",IF(OR($N5976=TRUE(),$N5976="TRUE"),1,0))</f>
        <v/>
      </c>
      <c r="AJ5976">
        <f>IF($C5976="","",IF($T5976="Yes",1,0))</f>
        <v/>
      </c>
      <c r="AK5976">
        <f>IF($AG5976=1,IFERROR(IF(VALUE($C5976)&lt;100000000,VALUE($C5976),1000000000),IFERROR(IF(VALUE(MID($C5976,2,20))&lt;100000000,VALUE(MID($C5976,2,20)),1000000000),1000000000))+ROW()/100000,"")</f>
        <v/>
      </c>
    </row>
    <row r="5977">
      <c r="D5977" s="11" t="n"/>
      <c r="K5977" s="7">
        <f>IF($C5977="","",J5977*W5977/100)</f>
        <v/>
      </c>
      <c r="Q5977" s="7" t="n"/>
      <c r="R5977" s="7" t="n"/>
      <c r="U5977">
        <f>IF($C5977="","",IF($AJ5977=1,0,IF($AI5977=1,Settings!$C$6,Settings!$C$7))*100)</f>
        <v/>
      </c>
      <c r="V5977" s="7">
        <f>IF($C5977="","",R5977*U5977/100)</f>
        <v/>
      </c>
      <c r="W5977" s="7">
        <f>IF($C5977="","",R5977-V5977)</f>
        <v/>
      </c>
      <c r="X5977" s="7">
        <f>IF($C5977="","",W5977-K5977)</f>
        <v/>
      </c>
      <c r="AB5977" s="7" t="n"/>
      <c r="AE5977" s="11" t="n"/>
      <c r="AG5977">
        <f>IF($C5977="","",IF(COUNTIF($C$2:$C5977,$C5977)=1,1,0))</f>
        <v/>
      </c>
      <c r="AH5977">
        <f>IF($AG5977=1,SUMPRODUCT(--($AK$2:$AK$6001&lt;$AK5977))+1,"")</f>
        <v/>
      </c>
      <c r="AI5977">
        <f>IF($C5977="","",IF(OR($N5977=TRUE(),$N5977="TRUE"),1,0))</f>
        <v/>
      </c>
      <c r="AJ5977">
        <f>IF($C5977="","",IF($T5977="Yes",1,0))</f>
        <v/>
      </c>
      <c r="AK5977">
        <f>IF($AG5977=1,IFERROR(IF(VALUE($C5977)&lt;100000000,VALUE($C5977),1000000000),IFERROR(IF(VALUE(MID($C5977,2,20))&lt;100000000,VALUE(MID($C5977,2,20)),1000000000),1000000000))+ROW()/100000,"")</f>
        <v/>
      </c>
    </row>
    <row r="5978">
      <c r="D5978" s="11" t="n"/>
      <c r="K5978" s="7">
        <f>IF($C5978="","",J5978*W5978/100)</f>
        <v/>
      </c>
      <c r="Q5978" s="7" t="n"/>
      <c r="R5978" s="7" t="n"/>
      <c r="U5978">
        <f>IF($C5978="","",IF($AJ5978=1,0,IF($AI5978=1,Settings!$C$6,Settings!$C$7))*100)</f>
        <v/>
      </c>
      <c r="V5978" s="7">
        <f>IF($C5978="","",R5978*U5978/100)</f>
        <v/>
      </c>
      <c r="W5978" s="7">
        <f>IF($C5978="","",R5978-V5978)</f>
        <v/>
      </c>
      <c r="X5978" s="7">
        <f>IF($C5978="","",W5978-K5978)</f>
        <v/>
      </c>
      <c r="AB5978" s="7" t="n"/>
      <c r="AE5978" s="11" t="n"/>
      <c r="AG5978">
        <f>IF($C5978="","",IF(COUNTIF($C$2:$C5978,$C5978)=1,1,0))</f>
        <v/>
      </c>
      <c r="AH5978">
        <f>IF($AG5978=1,SUMPRODUCT(--($AK$2:$AK$6001&lt;$AK5978))+1,"")</f>
        <v/>
      </c>
      <c r="AI5978">
        <f>IF($C5978="","",IF(OR($N5978=TRUE(),$N5978="TRUE"),1,0))</f>
        <v/>
      </c>
      <c r="AJ5978">
        <f>IF($C5978="","",IF($T5978="Yes",1,0))</f>
        <v/>
      </c>
      <c r="AK5978">
        <f>IF($AG5978=1,IFERROR(IF(VALUE($C5978)&lt;100000000,VALUE($C5978),1000000000),IFERROR(IF(VALUE(MID($C5978,2,20))&lt;100000000,VALUE(MID($C5978,2,20)),1000000000),1000000000))+ROW()/100000,"")</f>
        <v/>
      </c>
    </row>
    <row r="5979">
      <c r="D5979" s="11" t="n"/>
      <c r="K5979" s="7">
        <f>IF($C5979="","",J5979*W5979/100)</f>
        <v/>
      </c>
      <c r="Q5979" s="7" t="n"/>
      <c r="R5979" s="7" t="n"/>
      <c r="U5979">
        <f>IF($C5979="","",IF($AJ5979=1,0,IF($AI5979=1,Settings!$C$6,Settings!$C$7))*100)</f>
        <v/>
      </c>
      <c r="V5979" s="7">
        <f>IF($C5979="","",R5979*U5979/100)</f>
        <v/>
      </c>
      <c r="W5979" s="7">
        <f>IF($C5979="","",R5979-V5979)</f>
        <v/>
      </c>
      <c r="X5979" s="7">
        <f>IF($C5979="","",W5979-K5979)</f>
        <v/>
      </c>
      <c r="AB5979" s="7" t="n"/>
      <c r="AE5979" s="11" t="n"/>
      <c r="AG5979">
        <f>IF($C5979="","",IF(COUNTIF($C$2:$C5979,$C5979)=1,1,0))</f>
        <v/>
      </c>
      <c r="AH5979">
        <f>IF($AG5979=1,SUMPRODUCT(--($AK$2:$AK$6001&lt;$AK5979))+1,"")</f>
        <v/>
      </c>
      <c r="AI5979">
        <f>IF($C5979="","",IF(OR($N5979=TRUE(),$N5979="TRUE"),1,0))</f>
        <v/>
      </c>
      <c r="AJ5979">
        <f>IF($C5979="","",IF($T5979="Yes",1,0))</f>
        <v/>
      </c>
      <c r="AK5979">
        <f>IF($AG5979=1,IFERROR(IF(VALUE($C5979)&lt;100000000,VALUE($C5979),1000000000),IFERROR(IF(VALUE(MID($C5979,2,20))&lt;100000000,VALUE(MID($C5979,2,20)),1000000000),1000000000))+ROW()/100000,"")</f>
        <v/>
      </c>
    </row>
    <row r="5980">
      <c r="D5980" s="11" t="n"/>
      <c r="K5980" s="7">
        <f>IF($C5980="","",J5980*W5980/100)</f>
        <v/>
      </c>
      <c r="Q5980" s="7" t="n"/>
      <c r="R5980" s="7" t="n"/>
      <c r="U5980">
        <f>IF($C5980="","",IF($AJ5980=1,0,IF($AI5980=1,Settings!$C$6,Settings!$C$7))*100)</f>
        <v/>
      </c>
      <c r="V5980" s="7">
        <f>IF($C5980="","",R5980*U5980/100)</f>
        <v/>
      </c>
      <c r="W5980" s="7">
        <f>IF($C5980="","",R5980-V5980)</f>
        <v/>
      </c>
      <c r="X5980" s="7">
        <f>IF($C5980="","",W5980-K5980)</f>
        <v/>
      </c>
      <c r="AB5980" s="7" t="n"/>
      <c r="AE5980" s="11" t="n"/>
      <c r="AG5980">
        <f>IF($C5980="","",IF(COUNTIF($C$2:$C5980,$C5980)=1,1,0))</f>
        <v/>
      </c>
      <c r="AH5980">
        <f>IF($AG5980=1,SUMPRODUCT(--($AK$2:$AK$6001&lt;$AK5980))+1,"")</f>
        <v/>
      </c>
      <c r="AI5980">
        <f>IF($C5980="","",IF(OR($N5980=TRUE(),$N5980="TRUE"),1,0))</f>
        <v/>
      </c>
      <c r="AJ5980">
        <f>IF($C5980="","",IF($T5980="Yes",1,0))</f>
        <v/>
      </c>
      <c r="AK5980">
        <f>IF($AG5980=1,IFERROR(IF(VALUE($C5980)&lt;100000000,VALUE($C5980),1000000000),IFERROR(IF(VALUE(MID($C5980,2,20))&lt;100000000,VALUE(MID($C5980,2,20)),1000000000),1000000000))+ROW()/100000,"")</f>
        <v/>
      </c>
    </row>
    <row r="5981">
      <c r="D5981" s="11" t="n"/>
      <c r="K5981" s="7">
        <f>IF($C5981="","",J5981*W5981/100)</f>
        <v/>
      </c>
      <c r="Q5981" s="7" t="n"/>
      <c r="R5981" s="7" t="n"/>
      <c r="U5981">
        <f>IF($C5981="","",IF($AJ5981=1,0,IF($AI5981=1,Settings!$C$6,Settings!$C$7))*100)</f>
        <v/>
      </c>
      <c r="V5981" s="7">
        <f>IF($C5981="","",R5981*U5981/100)</f>
        <v/>
      </c>
      <c r="W5981" s="7">
        <f>IF($C5981="","",R5981-V5981)</f>
        <v/>
      </c>
      <c r="X5981" s="7">
        <f>IF($C5981="","",W5981-K5981)</f>
        <v/>
      </c>
      <c r="AB5981" s="7" t="n"/>
      <c r="AE5981" s="11" t="n"/>
      <c r="AG5981">
        <f>IF($C5981="","",IF(COUNTIF($C$2:$C5981,$C5981)=1,1,0))</f>
        <v/>
      </c>
      <c r="AH5981">
        <f>IF($AG5981=1,SUMPRODUCT(--($AK$2:$AK$6001&lt;$AK5981))+1,"")</f>
        <v/>
      </c>
      <c r="AI5981">
        <f>IF($C5981="","",IF(OR($N5981=TRUE(),$N5981="TRUE"),1,0))</f>
        <v/>
      </c>
      <c r="AJ5981">
        <f>IF($C5981="","",IF($T5981="Yes",1,0))</f>
        <v/>
      </c>
      <c r="AK5981">
        <f>IF($AG5981=1,IFERROR(IF(VALUE($C5981)&lt;100000000,VALUE($C5981),1000000000),IFERROR(IF(VALUE(MID($C5981,2,20))&lt;100000000,VALUE(MID($C5981,2,20)),1000000000),1000000000))+ROW()/100000,"")</f>
        <v/>
      </c>
    </row>
    <row r="5982">
      <c r="D5982" s="11" t="n"/>
      <c r="K5982" s="7">
        <f>IF($C5982="","",J5982*W5982/100)</f>
        <v/>
      </c>
      <c r="Q5982" s="7" t="n"/>
      <c r="R5982" s="7" t="n"/>
      <c r="U5982">
        <f>IF($C5982="","",IF($AJ5982=1,0,IF($AI5982=1,Settings!$C$6,Settings!$C$7))*100)</f>
        <v/>
      </c>
      <c r="V5982" s="7">
        <f>IF($C5982="","",R5982*U5982/100)</f>
        <v/>
      </c>
      <c r="W5982" s="7">
        <f>IF($C5982="","",R5982-V5982)</f>
        <v/>
      </c>
      <c r="X5982" s="7">
        <f>IF($C5982="","",W5982-K5982)</f>
        <v/>
      </c>
      <c r="AB5982" s="7" t="n"/>
      <c r="AE5982" s="11" t="n"/>
      <c r="AG5982">
        <f>IF($C5982="","",IF(COUNTIF($C$2:$C5982,$C5982)=1,1,0))</f>
        <v/>
      </c>
      <c r="AH5982">
        <f>IF($AG5982=1,SUMPRODUCT(--($AK$2:$AK$6001&lt;$AK5982))+1,"")</f>
        <v/>
      </c>
      <c r="AI5982">
        <f>IF($C5982="","",IF(OR($N5982=TRUE(),$N5982="TRUE"),1,0))</f>
        <v/>
      </c>
      <c r="AJ5982">
        <f>IF($C5982="","",IF($T5982="Yes",1,0))</f>
        <v/>
      </c>
      <c r="AK5982">
        <f>IF($AG5982=1,IFERROR(IF(VALUE($C5982)&lt;100000000,VALUE($C5982),1000000000),IFERROR(IF(VALUE(MID($C5982,2,20))&lt;100000000,VALUE(MID($C5982,2,20)),1000000000),1000000000))+ROW()/100000,"")</f>
        <v/>
      </c>
    </row>
    <row r="5983">
      <c r="D5983" s="11" t="n"/>
      <c r="K5983" s="7">
        <f>IF($C5983="","",J5983*W5983/100)</f>
        <v/>
      </c>
      <c r="Q5983" s="7" t="n"/>
      <c r="R5983" s="7" t="n"/>
      <c r="U5983">
        <f>IF($C5983="","",IF($AJ5983=1,0,IF($AI5983=1,Settings!$C$6,Settings!$C$7))*100)</f>
        <v/>
      </c>
      <c r="V5983" s="7">
        <f>IF($C5983="","",R5983*U5983/100)</f>
        <v/>
      </c>
      <c r="W5983" s="7">
        <f>IF($C5983="","",R5983-V5983)</f>
        <v/>
      </c>
      <c r="X5983" s="7">
        <f>IF($C5983="","",W5983-K5983)</f>
        <v/>
      </c>
      <c r="AB5983" s="7" t="n"/>
      <c r="AE5983" s="11" t="n"/>
      <c r="AG5983">
        <f>IF($C5983="","",IF(COUNTIF($C$2:$C5983,$C5983)=1,1,0))</f>
        <v/>
      </c>
      <c r="AH5983">
        <f>IF($AG5983=1,SUMPRODUCT(--($AK$2:$AK$6001&lt;$AK5983))+1,"")</f>
        <v/>
      </c>
      <c r="AI5983">
        <f>IF($C5983="","",IF(OR($N5983=TRUE(),$N5983="TRUE"),1,0))</f>
        <v/>
      </c>
      <c r="AJ5983">
        <f>IF($C5983="","",IF($T5983="Yes",1,0))</f>
        <v/>
      </c>
      <c r="AK5983">
        <f>IF($AG5983=1,IFERROR(IF(VALUE($C5983)&lt;100000000,VALUE($C5983),1000000000),IFERROR(IF(VALUE(MID($C5983,2,20))&lt;100000000,VALUE(MID($C5983,2,20)),1000000000),1000000000))+ROW()/100000,"")</f>
        <v/>
      </c>
    </row>
    <row r="5984">
      <c r="D5984" s="11" t="n"/>
      <c r="K5984" s="7">
        <f>IF($C5984="","",J5984*W5984/100)</f>
        <v/>
      </c>
      <c r="Q5984" s="7" t="n"/>
      <c r="R5984" s="7" t="n"/>
      <c r="U5984">
        <f>IF($C5984="","",IF($AJ5984=1,0,IF($AI5984=1,Settings!$C$6,Settings!$C$7))*100)</f>
        <v/>
      </c>
      <c r="V5984" s="7">
        <f>IF($C5984="","",R5984*U5984/100)</f>
        <v/>
      </c>
      <c r="W5984" s="7">
        <f>IF($C5984="","",R5984-V5984)</f>
        <v/>
      </c>
      <c r="X5984" s="7">
        <f>IF($C5984="","",W5984-K5984)</f>
        <v/>
      </c>
      <c r="AB5984" s="7" t="n"/>
      <c r="AE5984" s="11" t="n"/>
      <c r="AG5984">
        <f>IF($C5984="","",IF(COUNTIF($C$2:$C5984,$C5984)=1,1,0))</f>
        <v/>
      </c>
      <c r="AH5984">
        <f>IF($AG5984=1,SUMPRODUCT(--($AK$2:$AK$6001&lt;$AK5984))+1,"")</f>
        <v/>
      </c>
      <c r="AI5984">
        <f>IF($C5984="","",IF(OR($N5984=TRUE(),$N5984="TRUE"),1,0))</f>
        <v/>
      </c>
      <c r="AJ5984">
        <f>IF($C5984="","",IF($T5984="Yes",1,0))</f>
        <v/>
      </c>
      <c r="AK5984">
        <f>IF($AG5984=1,IFERROR(IF(VALUE($C5984)&lt;100000000,VALUE($C5984),1000000000),IFERROR(IF(VALUE(MID($C5984,2,20))&lt;100000000,VALUE(MID($C5984,2,20)),1000000000),1000000000))+ROW()/100000,"")</f>
        <v/>
      </c>
    </row>
    <row r="5985">
      <c r="D5985" s="11" t="n"/>
      <c r="K5985" s="7">
        <f>IF($C5985="","",J5985*W5985/100)</f>
        <v/>
      </c>
      <c r="Q5985" s="7" t="n"/>
      <c r="R5985" s="7" t="n"/>
      <c r="U5985">
        <f>IF($C5985="","",IF($AJ5985=1,0,IF($AI5985=1,Settings!$C$6,Settings!$C$7))*100)</f>
        <v/>
      </c>
      <c r="V5985" s="7">
        <f>IF($C5985="","",R5985*U5985/100)</f>
        <v/>
      </c>
      <c r="W5985" s="7">
        <f>IF($C5985="","",R5985-V5985)</f>
        <v/>
      </c>
      <c r="X5985" s="7">
        <f>IF($C5985="","",W5985-K5985)</f>
        <v/>
      </c>
      <c r="AB5985" s="7" t="n"/>
      <c r="AE5985" s="11" t="n"/>
      <c r="AG5985">
        <f>IF($C5985="","",IF(COUNTIF($C$2:$C5985,$C5985)=1,1,0))</f>
        <v/>
      </c>
      <c r="AH5985">
        <f>IF($AG5985=1,SUMPRODUCT(--($AK$2:$AK$6001&lt;$AK5985))+1,"")</f>
        <v/>
      </c>
      <c r="AI5985">
        <f>IF($C5985="","",IF(OR($N5985=TRUE(),$N5985="TRUE"),1,0))</f>
        <v/>
      </c>
      <c r="AJ5985">
        <f>IF($C5985="","",IF($T5985="Yes",1,0))</f>
        <v/>
      </c>
      <c r="AK5985">
        <f>IF($AG5985=1,IFERROR(IF(VALUE($C5985)&lt;100000000,VALUE($C5985),1000000000),IFERROR(IF(VALUE(MID($C5985,2,20))&lt;100000000,VALUE(MID($C5985,2,20)),1000000000),1000000000))+ROW()/100000,"")</f>
        <v/>
      </c>
    </row>
    <row r="5986">
      <c r="D5986" s="11" t="n"/>
      <c r="K5986" s="7">
        <f>IF($C5986="","",J5986*W5986/100)</f>
        <v/>
      </c>
      <c r="Q5986" s="7" t="n"/>
      <c r="R5986" s="7" t="n"/>
      <c r="U5986">
        <f>IF($C5986="","",IF($AJ5986=1,0,IF($AI5986=1,Settings!$C$6,Settings!$C$7))*100)</f>
        <v/>
      </c>
      <c r="V5986" s="7">
        <f>IF($C5986="","",R5986*U5986/100)</f>
        <v/>
      </c>
      <c r="W5986" s="7">
        <f>IF($C5986="","",R5986-V5986)</f>
        <v/>
      </c>
      <c r="X5986" s="7">
        <f>IF($C5986="","",W5986-K5986)</f>
        <v/>
      </c>
      <c r="AB5986" s="7" t="n"/>
      <c r="AE5986" s="11" t="n"/>
      <c r="AG5986">
        <f>IF($C5986="","",IF(COUNTIF($C$2:$C5986,$C5986)=1,1,0))</f>
        <v/>
      </c>
      <c r="AH5986">
        <f>IF($AG5986=1,SUMPRODUCT(--($AK$2:$AK$6001&lt;$AK5986))+1,"")</f>
        <v/>
      </c>
      <c r="AI5986">
        <f>IF($C5986="","",IF(OR($N5986=TRUE(),$N5986="TRUE"),1,0))</f>
        <v/>
      </c>
      <c r="AJ5986">
        <f>IF($C5986="","",IF($T5986="Yes",1,0))</f>
        <v/>
      </c>
      <c r="AK5986">
        <f>IF($AG5986=1,IFERROR(IF(VALUE($C5986)&lt;100000000,VALUE($C5986),1000000000),IFERROR(IF(VALUE(MID($C5986,2,20))&lt;100000000,VALUE(MID($C5986,2,20)),1000000000),1000000000))+ROW()/100000,"")</f>
        <v/>
      </c>
    </row>
    <row r="5987">
      <c r="D5987" s="11" t="n"/>
      <c r="K5987" s="7">
        <f>IF($C5987="","",J5987*W5987/100)</f>
        <v/>
      </c>
      <c r="Q5987" s="7" t="n"/>
      <c r="R5987" s="7" t="n"/>
      <c r="U5987">
        <f>IF($C5987="","",IF($AJ5987=1,0,IF($AI5987=1,Settings!$C$6,Settings!$C$7))*100)</f>
        <v/>
      </c>
      <c r="V5987" s="7">
        <f>IF($C5987="","",R5987*U5987/100)</f>
        <v/>
      </c>
      <c r="W5987" s="7">
        <f>IF($C5987="","",R5987-V5987)</f>
        <v/>
      </c>
      <c r="X5987" s="7">
        <f>IF($C5987="","",W5987-K5987)</f>
        <v/>
      </c>
      <c r="AB5987" s="7" t="n"/>
      <c r="AE5987" s="11" t="n"/>
      <c r="AG5987">
        <f>IF($C5987="","",IF(COUNTIF($C$2:$C5987,$C5987)=1,1,0))</f>
        <v/>
      </c>
      <c r="AH5987">
        <f>IF($AG5987=1,SUMPRODUCT(--($AK$2:$AK$6001&lt;$AK5987))+1,"")</f>
        <v/>
      </c>
      <c r="AI5987">
        <f>IF($C5987="","",IF(OR($N5987=TRUE(),$N5987="TRUE"),1,0))</f>
        <v/>
      </c>
      <c r="AJ5987">
        <f>IF($C5987="","",IF($T5987="Yes",1,0))</f>
        <v/>
      </c>
      <c r="AK5987">
        <f>IF($AG5987=1,IFERROR(IF(VALUE($C5987)&lt;100000000,VALUE($C5987),1000000000),IFERROR(IF(VALUE(MID($C5987,2,20))&lt;100000000,VALUE(MID($C5987,2,20)),1000000000),1000000000))+ROW()/100000,"")</f>
        <v/>
      </c>
    </row>
    <row r="5988">
      <c r="D5988" s="11" t="n"/>
      <c r="K5988" s="7">
        <f>IF($C5988="","",J5988*W5988/100)</f>
        <v/>
      </c>
      <c r="Q5988" s="7" t="n"/>
      <c r="R5988" s="7" t="n"/>
      <c r="U5988">
        <f>IF($C5988="","",IF($AJ5988=1,0,IF($AI5988=1,Settings!$C$6,Settings!$C$7))*100)</f>
        <v/>
      </c>
      <c r="V5988" s="7">
        <f>IF($C5988="","",R5988*U5988/100)</f>
        <v/>
      </c>
      <c r="W5988" s="7">
        <f>IF($C5988="","",R5988-V5988)</f>
        <v/>
      </c>
      <c r="X5988" s="7">
        <f>IF($C5988="","",W5988-K5988)</f>
        <v/>
      </c>
      <c r="AB5988" s="7" t="n"/>
      <c r="AE5988" s="11" t="n"/>
      <c r="AG5988">
        <f>IF($C5988="","",IF(COUNTIF($C$2:$C5988,$C5988)=1,1,0))</f>
        <v/>
      </c>
      <c r="AH5988">
        <f>IF($AG5988=1,SUMPRODUCT(--($AK$2:$AK$6001&lt;$AK5988))+1,"")</f>
        <v/>
      </c>
      <c r="AI5988">
        <f>IF($C5988="","",IF(OR($N5988=TRUE(),$N5988="TRUE"),1,0))</f>
        <v/>
      </c>
      <c r="AJ5988">
        <f>IF($C5988="","",IF($T5988="Yes",1,0))</f>
        <v/>
      </c>
      <c r="AK5988">
        <f>IF($AG5988=1,IFERROR(IF(VALUE($C5988)&lt;100000000,VALUE($C5988),1000000000),IFERROR(IF(VALUE(MID($C5988,2,20))&lt;100000000,VALUE(MID($C5988,2,20)),1000000000),1000000000))+ROW()/100000,"")</f>
        <v/>
      </c>
    </row>
    <row r="5989">
      <c r="D5989" s="11" t="n"/>
      <c r="K5989" s="7">
        <f>IF($C5989="","",J5989*W5989/100)</f>
        <v/>
      </c>
      <c r="Q5989" s="7" t="n"/>
      <c r="R5989" s="7" t="n"/>
      <c r="U5989">
        <f>IF($C5989="","",IF($AJ5989=1,0,IF($AI5989=1,Settings!$C$6,Settings!$C$7))*100)</f>
        <v/>
      </c>
      <c r="V5989" s="7">
        <f>IF($C5989="","",R5989*U5989/100)</f>
        <v/>
      </c>
      <c r="W5989" s="7">
        <f>IF($C5989="","",R5989-V5989)</f>
        <v/>
      </c>
      <c r="X5989" s="7">
        <f>IF($C5989="","",W5989-K5989)</f>
        <v/>
      </c>
      <c r="AB5989" s="7" t="n"/>
      <c r="AE5989" s="11" t="n"/>
      <c r="AG5989">
        <f>IF($C5989="","",IF(COUNTIF($C$2:$C5989,$C5989)=1,1,0))</f>
        <v/>
      </c>
      <c r="AH5989">
        <f>IF($AG5989=1,SUMPRODUCT(--($AK$2:$AK$6001&lt;$AK5989))+1,"")</f>
        <v/>
      </c>
      <c r="AI5989">
        <f>IF($C5989="","",IF(OR($N5989=TRUE(),$N5989="TRUE"),1,0))</f>
        <v/>
      </c>
      <c r="AJ5989">
        <f>IF($C5989="","",IF($T5989="Yes",1,0))</f>
        <v/>
      </c>
      <c r="AK5989">
        <f>IF($AG5989=1,IFERROR(IF(VALUE($C5989)&lt;100000000,VALUE($C5989),1000000000),IFERROR(IF(VALUE(MID($C5989,2,20))&lt;100000000,VALUE(MID($C5989,2,20)),1000000000),1000000000))+ROW()/100000,"")</f>
        <v/>
      </c>
    </row>
    <row r="5990">
      <c r="D5990" s="11" t="n"/>
      <c r="K5990" s="7">
        <f>IF($C5990="","",J5990*W5990/100)</f>
        <v/>
      </c>
      <c r="Q5990" s="7" t="n"/>
      <c r="R5990" s="7" t="n"/>
      <c r="U5990">
        <f>IF($C5990="","",IF($AJ5990=1,0,IF($AI5990=1,Settings!$C$6,Settings!$C$7))*100)</f>
        <v/>
      </c>
      <c r="V5990" s="7">
        <f>IF($C5990="","",R5990*U5990/100)</f>
        <v/>
      </c>
      <c r="W5990" s="7">
        <f>IF($C5990="","",R5990-V5990)</f>
        <v/>
      </c>
      <c r="X5990" s="7">
        <f>IF($C5990="","",W5990-K5990)</f>
        <v/>
      </c>
      <c r="AB5990" s="7" t="n"/>
      <c r="AE5990" s="11" t="n"/>
      <c r="AG5990">
        <f>IF($C5990="","",IF(COUNTIF($C$2:$C5990,$C5990)=1,1,0))</f>
        <v/>
      </c>
      <c r="AH5990">
        <f>IF($AG5990=1,SUMPRODUCT(--($AK$2:$AK$6001&lt;$AK5990))+1,"")</f>
        <v/>
      </c>
      <c r="AI5990">
        <f>IF($C5990="","",IF(OR($N5990=TRUE(),$N5990="TRUE"),1,0))</f>
        <v/>
      </c>
      <c r="AJ5990">
        <f>IF($C5990="","",IF($T5990="Yes",1,0))</f>
        <v/>
      </c>
      <c r="AK5990">
        <f>IF($AG5990=1,IFERROR(IF(VALUE($C5990)&lt;100000000,VALUE($C5990),1000000000),IFERROR(IF(VALUE(MID($C5990,2,20))&lt;100000000,VALUE(MID($C5990,2,20)),1000000000),1000000000))+ROW()/100000,"")</f>
        <v/>
      </c>
    </row>
    <row r="5991">
      <c r="D5991" s="11" t="n"/>
      <c r="K5991" s="7">
        <f>IF($C5991="","",J5991*W5991/100)</f>
        <v/>
      </c>
      <c r="Q5991" s="7" t="n"/>
      <c r="R5991" s="7" t="n"/>
      <c r="U5991">
        <f>IF($C5991="","",IF($AJ5991=1,0,IF($AI5991=1,Settings!$C$6,Settings!$C$7))*100)</f>
        <v/>
      </c>
      <c r="V5991" s="7">
        <f>IF($C5991="","",R5991*U5991/100)</f>
        <v/>
      </c>
      <c r="W5991" s="7">
        <f>IF($C5991="","",R5991-V5991)</f>
        <v/>
      </c>
      <c r="X5991" s="7">
        <f>IF($C5991="","",W5991-K5991)</f>
        <v/>
      </c>
      <c r="AB5991" s="7" t="n"/>
      <c r="AE5991" s="11" t="n"/>
      <c r="AG5991">
        <f>IF($C5991="","",IF(COUNTIF($C$2:$C5991,$C5991)=1,1,0))</f>
        <v/>
      </c>
      <c r="AH5991">
        <f>IF($AG5991=1,SUMPRODUCT(--($AK$2:$AK$6001&lt;$AK5991))+1,"")</f>
        <v/>
      </c>
      <c r="AI5991">
        <f>IF($C5991="","",IF(OR($N5991=TRUE(),$N5991="TRUE"),1,0))</f>
        <v/>
      </c>
      <c r="AJ5991">
        <f>IF($C5991="","",IF($T5991="Yes",1,0))</f>
        <v/>
      </c>
      <c r="AK5991">
        <f>IF($AG5991=1,IFERROR(IF(VALUE($C5991)&lt;100000000,VALUE($C5991),1000000000),IFERROR(IF(VALUE(MID($C5991,2,20))&lt;100000000,VALUE(MID($C5991,2,20)),1000000000),1000000000))+ROW()/100000,"")</f>
        <v/>
      </c>
    </row>
    <row r="5992">
      <c r="D5992" s="11" t="n"/>
      <c r="K5992" s="7">
        <f>IF($C5992="","",J5992*W5992/100)</f>
        <v/>
      </c>
      <c r="Q5992" s="7" t="n"/>
      <c r="R5992" s="7" t="n"/>
      <c r="U5992">
        <f>IF($C5992="","",IF($AJ5992=1,0,IF($AI5992=1,Settings!$C$6,Settings!$C$7))*100)</f>
        <v/>
      </c>
      <c r="V5992" s="7">
        <f>IF($C5992="","",R5992*U5992/100)</f>
        <v/>
      </c>
      <c r="W5992" s="7">
        <f>IF($C5992="","",R5992-V5992)</f>
        <v/>
      </c>
      <c r="X5992" s="7">
        <f>IF($C5992="","",W5992-K5992)</f>
        <v/>
      </c>
      <c r="AB5992" s="7" t="n"/>
      <c r="AE5992" s="11" t="n"/>
      <c r="AG5992">
        <f>IF($C5992="","",IF(COUNTIF($C$2:$C5992,$C5992)=1,1,0))</f>
        <v/>
      </c>
      <c r="AH5992">
        <f>IF($AG5992=1,SUMPRODUCT(--($AK$2:$AK$6001&lt;$AK5992))+1,"")</f>
        <v/>
      </c>
      <c r="AI5992">
        <f>IF($C5992="","",IF(OR($N5992=TRUE(),$N5992="TRUE"),1,0))</f>
        <v/>
      </c>
      <c r="AJ5992">
        <f>IF($C5992="","",IF($T5992="Yes",1,0))</f>
        <v/>
      </c>
      <c r="AK5992">
        <f>IF($AG5992=1,IFERROR(IF(VALUE($C5992)&lt;100000000,VALUE($C5992),1000000000),IFERROR(IF(VALUE(MID($C5992,2,20))&lt;100000000,VALUE(MID($C5992,2,20)),1000000000),1000000000))+ROW()/100000,"")</f>
        <v/>
      </c>
    </row>
    <row r="5993">
      <c r="D5993" s="11" t="n"/>
      <c r="K5993" s="7">
        <f>IF($C5993="","",J5993*W5993/100)</f>
        <v/>
      </c>
      <c r="Q5993" s="7" t="n"/>
      <c r="R5993" s="7" t="n"/>
      <c r="U5993">
        <f>IF($C5993="","",IF($AJ5993=1,0,IF($AI5993=1,Settings!$C$6,Settings!$C$7))*100)</f>
        <v/>
      </c>
      <c r="V5993" s="7">
        <f>IF($C5993="","",R5993*U5993/100)</f>
        <v/>
      </c>
      <c r="W5993" s="7">
        <f>IF($C5993="","",R5993-V5993)</f>
        <v/>
      </c>
      <c r="X5993" s="7">
        <f>IF($C5993="","",W5993-K5993)</f>
        <v/>
      </c>
      <c r="AB5993" s="7" t="n"/>
      <c r="AE5993" s="11" t="n"/>
      <c r="AG5993">
        <f>IF($C5993="","",IF(COUNTIF($C$2:$C5993,$C5993)=1,1,0))</f>
        <v/>
      </c>
      <c r="AH5993">
        <f>IF($AG5993=1,SUMPRODUCT(--($AK$2:$AK$6001&lt;$AK5993))+1,"")</f>
        <v/>
      </c>
      <c r="AI5993">
        <f>IF($C5993="","",IF(OR($N5993=TRUE(),$N5993="TRUE"),1,0))</f>
        <v/>
      </c>
      <c r="AJ5993">
        <f>IF($C5993="","",IF($T5993="Yes",1,0))</f>
        <v/>
      </c>
      <c r="AK5993">
        <f>IF($AG5993=1,IFERROR(IF(VALUE($C5993)&lt;100000000,VALUE($C5993),1000000000),IFERROR(IF(VALUE(MID($C5993,2,20))&lt;100000000,VALUE(MID($C5993,2,20)),1000000000),1000000000))+ROW()/100000,"")</f>
        <v/>
      </c>
    </row>
    <row r="5994">
      <c r="D5994" s="11" t="n"/>
      <c r="K5994" s="7">
        <f>IF($C5994="","",J5994*W5994/100)</f>
        <v/>
      </c>
      <c r="Q5994" s="7" t="n"/>
      <c r="R5994" s="7" t="n"/>
      <c r="U5994">
        <f>IF($C5994="","",IF($AJ5994=1,0,IF($AI5994=1,Settings!$C$6,Settings!$C$7))*100)</f>
        <v/>
      </c>
      <c r="V5994" s="7">
        <f>IF($C5994="","",R5994*U5994/100)</f>
        <v/>
      </c>
      <c r="W5994" s="7">
        <f>IF($C5994="","",R5994-V5994)</f>
        <v/>
      </c>
      <c r="X5994" s="7">
        <f>IF($C5994="","",W5994-K5994)</f>
        <v/>
      </c>
      <c r="AB5994" s="7" t="n"/>
      <c r="AE5994" s="11" t="n"/>
      <c r="AG5994">
        <f>IF($C5994="","",IF(COUNTIF($C$2:$C5994,$C5994)=1,1,0))</f>
        <v/>
      </c>
      <c r="AH5994">
        <f>IF($AG5994=1,SUMPRODUCT(--($AK$2:$AK$6001&lt;$AK5994))+1,"")</f>
        <v/>
      </c>
      <c r="AI5994">
        <f>IF($C5994="","",IF(OR($N5994=TRUE(),$N5994="TRUE"),1,0))</f>
        <v/>
      </c>
      <c r="AJ5994">
        <f>IF($C5994="","",IF($T5994="Yes",1,0))</f>
        <v/>
      </c>
      <c r="AK5994">
        <f>IF($AG5994=1,IFERROR(IF(VALUE($C5994)&lt;100000000,VALUE($C5994),1000000000),IFERROR(IF(VALUE(MID($C5994,2,20))&lt;100000000,VALUE(MID($C5994,2,20)),1000000000),1000000000))+ROW()/100000,"")</f>
        <v/>
      </c>
    </row>
    <row r="5995">
      <c r="D5995" s="11" t="n"/>
      <c r="K5995" s="7">
        <f>IF($C5995="","",J5995*W5995/100)</f>
        <v/>
      </c>
      <c r="Q5995" s="7" t="n"/>
      <c r="R5995" s="7" t="n"/>
      <c r="U5995">
        <f>IF($C5995="","",IF($AJ5995=1,0,IF($AI5995=1,Settings!$C$6,Settings!$C$7))*100)</f>
        <v/>
      </c>
      <c r="V5995" s="7">
        <f>IF($C5995="","",R5995*U5995/100)</f>
        <v/>
      </c>
      <c r="W5995" s="7">
        <f>IF($C5995="","",R5995-V5995)</f>
        <v/>
      </c>
      <c r="X5995" s="7">
        <f>IF($C5995="","",W5995-K5995)</f>
        <v/>
      </c>
      <c r="AB5995" s="7" t="n"/>
      <c r="AE5995" s="11" t="n"/>
      <c r="AG5995">
        <f>IF($C5995="","",IF(COUNTIF($C$2:$C5995,$C5995)=1,1,0))</f>
        <v/>
      </c>
      <c r="AH5995">
        <f>IF($AG5995=1,SUMPRODUCT(--($AK$2:$AK$6001&lt;$AK5995))+1,"")</f>
        <v/>
      </c>
      <c r="AI5995">
        <f>IF($C5995="","",IF(OR($N5995=TRUE(),$N5995="TRUE"),1,0))</f>
        <v/>
      </c>
      <c r="AJ5995">
        <f>IF($C5995="","",IF($T5995="Yes",1,0))</f>
        <v/>
      </c>
      <c r="AK5995">
        <f>IF($AG5995=1,IFERROR(IF(VALUE($C5995)&lt;100000000,VALUE($C5995),1000000000),IFERROR(IF(VALUE(MID($C5995,2,20))&lt;100000000,VALUE(MID($C5995,2,20)),1000000000),1000000000))+ROW()/100000,"")</f>
        <v/>
      </c>
    </row>
    <row r="5996">
      <c r="D5996" s="11" t="n"/>
      <c r="K5996" s="7">
        <f>IF($C5996="","",J5996*W5996/100)</f>
        <v/>
      </c>
      <c r="Q5996" s="7" t="n"/>
      <c r="R5996" s="7" t="n"/>
      <c r="U5996">
        <f>IF($C5996="","",IF($AJ5996=1,0,IF($AI5996=1,Settings!$C$6,Settings!$C$7))*100)</f>
        <v/>
      </c>
      <c r="V5996" s="7">
        <f>IF($C5996="","",R5996*U5996/100)</f>
        <v/>
      </c>
      <c r="W5996" s="7">
        <f>IF($C5996="","",R5996-V5996)</f>
        <v/>
      </c>
      <c r="X5996" s="7">
        <f>IF($C5996="","",W5996-K5996)</f>
        <v/>
      </c>
      <c r="AB5996" s="7" t="n"/>
      <c r="AE5996" s="11" t="n"/>
      <c r="AG5996">
        <f>IF($C5996="","",IF(COUNTIF($C$2:$C5996,$C5996)=1,1,0))</f>
        <v/>
      </c>
      <c r="AH5996">
        <f>IF($AG5996=1,SUMPRODUCT(--($AK$2:$AK$6001&lt;$AK5996))+1,"")</f>
        <v/>
      </c>
      <c r="AI5996">
        <f>IF($C5996="","",IF(OR($N5996=TRUE(),$N5996="TRUE"),1,0))</f>
        <v/>
      </c>
      <c r="AJ5996">
        <f>IF($C5996="","",IF($T5996="Yes",1,0))</f>
        <v/>
      </c>
      <c r="AK5996">
        <f>IF($AG5996=1,IFERROR(IF(VALUE($C5996)&lt;100000000,VALUE($C5996),1000000000),IFERROR(IF(VALUE(MID($C5996,2,20))&lt;100000000,VALUE(MID($C5996,2,20)),1000000000),1000000000))+ROW()/100000,"")</f>
        <v/>
      </c>
    </row>
    <row r="5997">
      <c r="D5997" s="11" t="n"/>
      <c r="K5997" s="7">
        <f>IF($C5997="","",J5997*W5997/100)</f>
        <v/>
      </c>
      <c r="Q5997" s="7" t="n"/>
      <c r="R5997" s="7" t="n"/>
      <c r="U5997">
        <f>IF($C5997="","",IF($AJ5997=1,0,IF($AI5997=1,Settings!$C$6,Settings!$C$7))*100)</f>
        <v/>
      </c>
      <c r="V5997" s="7">
        <f>IF($C5997="","",R5997*U5997/100)</f>
        <v/>
      </c>
      <c r="W5997" s="7">
        <f>IF($C5997="","",R5997-V5997)</f>
        <v/>
      </c>
      <c r="X5997" s="7">
        <f>IF($C5997="","",W5997-K5997)</f>
        <v/>
      </c>
      <c r="AB5997" s="7" t="n"/>
      <c r="AE5997" s="11" t="n"/>
      <c r="AG5997">
        <f>IF($C5997="","",IF(COUNTIF($C$2:$C5997,$C5997)=1,1,0))</f>
        <v/>
      </c>
      <c r="AH5997">
        <f>IF($AG5997=1,SUMPRODUCT(--($AK$2:$AK$6001&lt;$AK5997))+1,"")</f>
        <v/>
      </c>
      <c r="AI5997">
        <f>IF($C5997="","",IF(OR($N5997=TRUE(),$N5997="TRUE"),1,0))</f>
        <v/>
      </c>
      <c r="AJ5997">
        <f>IF($C5997="","",IF($T5997="Yes",1,0))</f>
        <v/>
      </c>
      <c r="AK5997">
        <f>IF($AG5997=1,IFERROR(IF(VALUE($C5997)&lt;100000000,VALUE($C5997),1000000000),IFERROR(IF(VALUE(MID($C5997,2,20))&lt;100000000,VALUE(MID($C5997,2,20)),1000000000),1000000000))+ROW()/100000,"")</f>
        <v/>
      </c>
    </row>
    <row r="5998">
      <c r="D5998" s="11" t="n"/>
      <c r="K5998" s="7">
        <f>IF($C5998="","",J5998*W5998/100)</f>
        <v/>
      </c>
      <c r="Q5998" s="7" t="n"/>
      <c r="R5998" s="7" t="n"/>
      <c r="U5998">
        <f>IF($C5998="","",IF($AJ5998=1,0,IF($AI5998=1,Settings!$C$6,Settings!$C$7))*100)</f>
        <v/>
      </c>
      <c r="V5998" s="7">
        <f>IF($C5998="","",R5998*U5998/100)</f>
        <v/>
      </c>
      <c r="W5998" s="7">
        <f>IF($C5998="","",R5998-V5998)</f>
        <v/>
      </c>
      <c r="X5998" s="7">
        <f>IF($C5998="","",W5998-K5998)</f>
        <v/>
      </c>
      <c r="AB5998" s="7" t="n"/>
      <c r="AE5998" s="11" t="n"/>
      <c r="AG5998">
        <f>IF($C5998="","",IF(COUNTIF($C$2:$C5998,$C5998)=1,1,0))</f>
        <v/>
      </c>
      <c r="AH5998">
        <f>IF($AG5998=1,SUMPRODUCT(--($AK$2:$AK$6001&lt;$AK5998))+1,"")</f>
        <v/>
      </c>
      <c r="AI5998">
        <f>IF($C5998="","",IF(OR($N5998=TRUE(),$N5998="TRUE"),1,0))</f>
        <v/>
      </c>
      <c r="AJ5998">
        <f>IF($C5998="","",IF($T5998="Yes",1,0))</f>
        <v/>
      </c>
      <c r="AK5998">
        <f>IF($AG5998=1,IFERROR(IF(VALUE($C5998)&lt;100000000,VALUE($C5998),1000000000),IFERROR(IF(VALUE(MID($C5998,2,20))&lt;100000000,VALUE(MID($C5998,2,20)),1000000000),1000000000))+ROW()/100000,"")</f>
        <v/>
      </c>
    </row>
    <row r="5999">
      <c r="D5999" s="11" t="n"/>
      <c r="K5999" s="7">
        <f>IF($C5999="","",J5999*W5999/100)</f>
        <v/>
      </c>
      <c r="Q5999" s="7" t="n"/>
      <c r="R5999" s="7" t="n"/>
      <c r="U5999">
        <f>IF($C5999="","",IF($AJ5999=1,0,IF($AI5999=1,Settings!$C$6,Settings!$C$7))*100)</f>
        <v/>
      </c>
      <c r="V5999" s="7">
        <f>IF($C5999="","",R5999*U5999/100)</f>
        <v/>
      </c>
      <c r="W5999" s="7">
        <f>IF($C5999="","",R5999-V5999)</f>
        <v/>
      </c>
      <c r="X5999" s="7">
        <f>IF($C5999="","",W5999-K5999)</f>
        <v/>
      </c>
      <c r="AB5999" s="7" t="n"/>
      <c r="AE5999" s="11" t="n"/>
      <c r="AG5999">
        <f>IF($C5999="","",IF(COUNTIF($C$2:$C5999,$C5999)=1,1,0))</f>
        <v/>
      </c>
      <c r="AH5999">
        <f>IF($AG5999=1,SUMPRODUCT(--($AK$2:$AK$6001&lt;$AK5999))+1,"")</f>
        <v/>
      </c>
      <c r="AI5999">
        <f>IF($C5999="","",IF(OR($N5999=TRUE(),$N5999="TRUE"),1,0))</f>
        <v/>
      </c>
      <c r="AJ5999">
        <f>IF($C5999="","",IF($T5999="Yes",1,0))</f>
        <v/>
      </c>
      <c r="AK5999">
        <f>IF($AG5999=1,IFERROR(IF(VALUE($C5999)&lt;100000000,VALUE($C5999),1000000000),IFERROR(IF(VALUE(MID($C5999,2,20))&lt;100000000,VALUE(MID($C5999,2,20)),1000000000),1000000000))+ROW()/100000,"")</f>
        <v/>
      </c>
    </row>
    <row r="6000">
      <c r="D6000" s="11" t="n"/>
      <c r="K6000" s="7">
        <f>IF($C6000="","",J6000*W6000/100)</f>
        <v/>
      </c>
      <c r="Q6000" s="7" t="n"/>
      <c r="R6000" s="7" t="n"/>
      <c r="U6000">
        <f>IF($C6000="","",IF($AJ6000=1,0,IF($AI6000=1,Settings!$C$6,Settings!$C$7))*100)</f>
        <v/>
      </c>
      <c r="V6000" s="7">
        <f>IF($C6000="","",R6000*U6000/100)</f>
        <v/>
      </c>
      <c r="W6000" s="7">
        <f>IF($C6000="","",R6000-V6000)</f>
        <v/>
      </c>
      <c r="X6000" s="7">
        <f>IF($C6000="","",W6000-K6000)</f>
        <v/>
      </c>
      <c r="AB6000" s="7" t="n"/>
      <c r="AE6000" s="11" t="n"/>
      <c r="AG6000">
        <f>IF($C6000="","",IF(COUNTIF($C$2:$C6000,$C6000)=1,1,0))</f>
        <v/>
      </c>
      <c r="AH6000">
        <f>IF($AG6000=1,SUMPRODUCT(--($AK$2:$AK$6001&lt;$AK6000))+1,"")</f>
        <v/>
      </c>
      <c r="AI6000">
        <f>IF($C6000="","",IF(OR($N6000=TRUE(),$N6000="TRUE"),1,0))</f>
        <v/>
      </c>
      <c r="AJ6000">
        <f>IF($C6000="","",IF($T6000="Yes",1,0))</f>
        <v/>
      </c>
      <c r="AK6000">
        <f>IF($AG6000=1,IFERROR(IF(VALUE($C6000)&lt;100000000,VALUE($C6000),1000000000),IFERROR(IF(VALUE(MID($C6000,2,20))&lt;100000000,VALUE(MID($C6000,2,20)),1000000000),1000000000))+ROW()/100000,"")</f>
        <v/>
      </c>
    </row>
    <row r="6001">
      <c r="D6001" s="11" t="n"/>
      <c r="K6001" s="7">
        <f>IF($C6001="","",J6001*W6001/100)</f>
        <v/>
      </c>
      <c r="Q6001" s="7" t="n"/>
      <c r="R6001" s="7" t="n"/>
      <c r="U6001">
        <f>IF($C6001="","",IF($AJ6001=1,0,IF($AI6001=1,Settings!$C$6,Settings!$C$7))*100)</f>
        <v/>
      </c>
      <c r="V6001" s="7">
        <f>IF($C6001="","",R6001*U6001/100)</f>
        <v/>
      </c>
      <c r="W6001" s="7">
        <f>IF($C6001="","",R6001-V6001)</f>
        <v/>
      </c>
      <c r="X6001" s="7">
        <f>IF($C6001="","",W6001-K6001)</f>
        <v/>
      </c>
      <c r="AB6001" s="7" t="n"/>
      <c r="AE6001" s="11" t="n"/>
      <c r="AG6001">
        <f>IF($C6001="","",IF(COUNTIF($C$2:$C6001,$C6001)=1,1,0))</f>
        <v/>
      </c>
      <c r="AH6001">
        <f>IF($AG6001=1,SUMPRODUCT(--($AK$2:$AK$6001&lt;$AK6001))+1,"")</f>
        <v/>
      </c>
      <c r="AI6001">
        <f>IF($C6001="","",IF(OR($N6001=TRUE(),$N6001="TRUE"),1,0))</f>
        <v/>
      </c>
      <c r="AJ6001">
        <f>IF($C6001="","",IF($T6001="Yes",1,0))</f>
        <v/>
      </c>
      <c r="AK6001">
        <f>IF($AG6001=1,IFERROR(IF(VALUE($C6001)&lt;100000000,VALUE($C6001),1000000000),IFERROR(IF(VALUE(MID($C6001,2,20))&lt;100000000,VALUE(MID($C6001,2,20)),1000000000),1000000000))+ROW()/100000,"")</f>
        <v/>
      </c>
    </row>
  </sheetData>
  <autoFilter ref="A1:AK6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24" customWidth="1" min="5" max="5"/>
    <col width="12" customWidth="1" min="6" max="6"/>
    <col width="26" customWidth="1" min="7" max="7"/>
    <col width="12" customWidth="1" min="8" max="8"/>
    <col width="12" customWidth="1" min="9" max="9"/>
    <col width="3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Create At</t>
        </is>
      </c>
      <c r="D1" s="9" t="inlineStr">
        <is>
          <t>Insurance Company</t>
        </is>
      </c>
      <c r="E1" s="9" t="inlineStr">
        <is>
          <t>Corporate</t>
        </is>
      </c>
      <c r="F1" s="9" t="inlineStr">
        <is>
          <t>Card</t>
        </is>
      </c>
      <c r="G1" s="9" t="inlineStr">
        <is>
          <t>Name</t>
        </is>
      </c>
      <c r="H1" s="9" t="inlineStr">
        <is>
          <t>Order Co Payment</t>
        </is>
      </c>
      <c r="I1" s="9" t="inlineStr">
        <is>
          <t>Co val</t>
        </is>
      </c>
      <c r="J1" s="9" t="inlineStr">
        <is>
          <t>ERX ID</t>
        </is>
      </c>
      <c r="K1" s="9" t="inlineStr">
        <is>
          <t>Special Rebates</t>
        </is>
      </c>
      <c r="L1" s="9" t="inlineStr">
        <is>
          <t>IMP %</t>
        </is>
      </c>
      <c r="M1" s="9" t="inlineStr">
        <is>
          <t>IMP</t>
        </is>
      </c>
      <c r="N1" s="9" t="inlineStr">
        <is>
          <t>IMP VAL</t>
        </is>
      </c>
      <c r="O1" s="9" t="inlineStr">
        <is>
          <t>LOCAL %</t>
        </is>
      </c>
      <c r="P1" s="9" t="inlineStr">
        <is>
          <t>LOCAL</t>
        </is>
      </c>
      <c r="Q1" s="9" t="inlineStr">
        <is>
          <t>LOCAL VAL</t>
        </is>
      </c>
      <c r="R1" s="9" t="inlineStr">
        <is>
          <t>TOTAL VAL</t>
        </is>
      </c>
      <c r="S1" s="9" t="inlineStr">
        <is>
          <t>SUBTOTAL</t>
        </is>
      </c>
      <c r="T1" s="9" t="inlineStr">
        <is>
          <t>Grand Total</t>
        </is>
      </c>
      <c r="U1" s="9" t="inlineStr">
        <is>
          <t>NET</t>
        </is>
      </c>
      <c r="V1" s="10" t="inlineStr">
        <is>
          <t>Src Row (helper)</t>
        </is>
      </c>
    </row>
    <row r="2">
      <c r="A2" s="12" t="n"/>
      <c r="B2">
        <f>IF($V2="","",INDEX('Per Line'!$C$2:$C$6001,$V2)&amp;"")</f>
        <v/>
      </c>
      <c r="C2" s="11">
        <f>IF($V2="","",INDEX('Per Line'!$D$2:$D$6001,$V2))</f>
        <v/>
      </c>
      <c r="D2">
        <f>IF($V2="","",INDEX('Per Line'!$E$2:$E$6001,$V2)&amp;"")</f>
        <v/>
      </c>
      <c r="E2">
        <f>IF($V2="","",INDEX('Per Line'!$G$2:$G$6001,$V2)&amp;"")</f>
        <v/>
      </c>
      <c r="F2">
        <f>IF($V2="","",INDEX('Per Line'!$H$2:$H$6001,$V2)&amp;"")</f>
        <v/>
      </c>
      <c r="G2">
        <f>IF($V2="","",INDEX('Per Line'!$I$2:$I$6001,$V2)&amp;"")</f>
        <v/>
      </c>
      <c r="H2">
        <f>IF($V2="","",INDEX('Per Line'!$J$2:$J$6001,$V2))</f>
        <v/>
      </c>
      <c r="I2" s="7">
        <f>IF($V2="","",H2*S2/100)</f>
        <v/>
      </c>
      <c r="J2">
        <f>IF($V2="","",INDEX('Per Line'!$S$2:$S$6001,$V2)&amp;"")</f>
        <v/>
      </c>
      <c r="K2" s="7">
        <f>IF($V2="","",SUMIFS('Per Line'!$R$2:$R$6001,'Per Line'!$C$2:$C$6001,$B2,'Per Line'!$AJ$2:$AJ$6001,1))</f>
        <v/>
      </c>
      <c r="L2">
        <f>IF($V2="","",Settings!$C$7)</f>
        <v/>
      </c>
      <c r="M2" s="7">
        <f>IF($V2="","",SUMIFS('Per Line'!$R$2:$R$6001,'Per Line'!$C$2:$C$6001,$B2,'Per Line'!$AI$2:$AI$6001,0,'Per Line'!$AJ$2:$AJ$6001,0))</f>
        <v/>
      </c>
      <c r="N2" s="7">
        <f>IF($V2="","",M2*L2)</f>
        <v/>
      </c>
      <c r="O2">
        <f>IF($V2="","",Settings!$C$6)</f>
        <v/>
      </c>
      <c r="P2" s="7">
        <f>IF($V2="","",SUMIFS('Per Line'!$R$2:$R$6001,'Per Line'!$C$2:$C$6001,$B2,'Per Line'!$AI$2:$AI$6001,1,'Per Line'!$AJ$2:$AJ$6001,0))</f>
        <v/>
      </c>
      <c r="Q2" s="7">
        <f>IF($V2="","",P2*O2)</f>
        <v/>
      </c>
      <c r="R2" s="7">
        <f>IF($V2="","",Q2+N2)</f>
        <v/>
      </c>
      <c r="S2" s="7">
        <f>IF($V2="","",T2-R2)</f>
        <v/>
      </c>
      <c r="T2" s="7">
        <f>IF($V2="","",M2+P2+K2)</f>
        <v/>
      </c>
      <c r="U2" s="7">
        <f>IF($V2="","",T2-R2-I2)</f>
        <v/>
      </c>
      <c r="V2" s="13">
        <f>IF(ROWS($V$2:$V2)&lt;=MAX('Per Line'!$AH$2:$AH$6001),MATCH(ROWS($V$2:$V2),'Per Line'!$AH$2:$AH$6001,0),"")</f>
        <v/>
      </c>
    </row>
    <row r="3">
      <c r="A3" s="12" t="n"/>
      <c r="B3">
        <f>IF($V3="","",INDEX('Per Line'!$C$2:$C$6001,$V3)&amp;"")</f>
        <v/>
      </c>
      <c r="C3" s="11">
        <f>IF($V3="","",INDEX('Per Line'!$D$2:$D$6001,$V3))</f>
        <v/>
      </c>
      <c r="D3">
        <f>IF($V3="","",INDEX('Per Line'!$E$2:$E$6001,$V3)&amp;"")</f>
        <v/>
      </c>
      <c r="E3">
        <f>IF($V3="","",INDEX('Per Line'!$G$2:$G$6001,$V3)&amp;"")</f>
        <v/>
      </c>
      <c r="F3">
        <f>IF($V3="","",INDEX('Per Line'!$H$2:$H$6001,$V3)&amp;"")</f>
        <v/>
      </c>
      <c r="G3">
        <f>IF($V3="","",INDEX('Per Line'!$I$2:$I$6001,$V3)&amp;"")</f>
        <v/>
      </c>
      <c r="H3">
        <f>IF($V3="","",INDEX('Per Line'!$J$2:$J$6001,$V3))</f>
        <v/>
      </c>
      <c r="I3" s="7">
        <f>IF($V3="","",H3*S3/100)</f>
        <v/>
      </c>
      <c r="J3">
        <f>IF($V3="","",INDEX('Per Line'!$S$2:$S$6001,$V3)&amp;"")</f>
        <v/>
      </c>
      <c r="K3" s="7">
        <f>IF($V3="","",SUMIFS('Per Line'!$R$2:$R$6001,'Per Line'!$C$2:$C$6001,$B3,'Per Line'!$AJ$2:$AJ$6001,1))</f>
        <v/>
      </c>
      <c r="L3">
        <f>IF($V3="","",Settings!$C$7)</f>
        <v/>
      </c>
      <c r="M3" s="7">
        <f>IF($V3="","",SUMIFS('Per Line'!$R$2:$R$6001,'Per Line'!$C$2:$C$6001,$B3,'Per Line'!$AI$2:$AI$6001,0,'Per Line'!$AJ$2:$AJ$6001,0))</f>
        <v/>
      </c>
      <c r="N3" s="7">
        <f>IF($V3="","",M3*L3)</f>
        <v/>
      </c>
      <c r="O3">
        <f>IF($V3="","",Settings!$C$6)</f>
        <v/>
      </c>
      <c r="P3" s="7">
        <f>IF($V3="","",SUMIFS('Per Line'!$R$2:$R$6001,'Per Line'!$C$2:$C$6001,$B3,'Per Line'!$AI$2:$AI$6001,1,'Per Line'!$AJ$2:$AJ$6001,0))</f>
        <v/>
      </c>
      <c r="Q3" s="7">
        <f>IF($V3="","",P3*O3)</f>
        <v/>
      </c>
      <c r="R3" s="7">
        <f>IF($V3="","",Q3+N3)</f>
        <v/>
      </c>
      <c r="S3" s="7">
        <f>IF($V3="","",T3-R3)</f>
        <v/>
      </c>
      <c r="T3" s="7">
        <f>IF($V3="","",M3+P3+K3)</f>
        <v/>
      </c>
      <c r="U3" s="7">
        <f>IF($V3="","",T3-R3-I3)</f>
        <v/>
      </c>
      <c r="V3" s="13">
        <f>IF(ROWS($V$2:$V3)&lt;=MAX('Per Line'!$AH$2:$AH$6001),MATCH(ROWS($V$2:$V3),'Per Line'!$AH$2:$AH$6001,0),"")</f>
        <v/>
      </c>
    </row>
    <row r="4">
      <c r="A4" s="12" t="n"/>
      <c r="B4">
        <f>IF($V4="","",INDEX('Per Line'!$C$2:$C$6001,$V4)&amp;"")</f>
        <v/>
      </c>
      <c r="C4" s="11">
        <f>IF($V4="","",INDEX('Per Line'!$D$2:$D$6001,$V4))</f>
        <v/>
      </c>
      <c r="D4">
        <f>IF($V4="","",INDEX('Per Line'!$E$2:$E$6001,$V4)&amp;"")</f>
        <v/>
      </c>
      <c r="E4">
        <f>IF($V4="","",INDEX('Per Line'!$G$2:$G$6001,$V4)&amp;"")</f>
        <v/>
      </c>
      <c r="F4">
        <f>IF($V4="","",INDEX('Per Line'!$H$2:$H$6001,$V4)&amp;"")</f>
        <v/>
      </c>
      <c r="G4">
        <f>IF($V4="","",INDEX('Per Line'!$I$2:$I$6001,$V4)&amp;"")</f>
        <v/>
      </c>
      <c r="H4">
        <f>IF($V4="","",INDEX('Per Line'!$J$2:$J$6001,$V4))</f>
        <v/>
      </c>
      <c r="I4" s="7">
        <f>IF($V4="","",H4*S4/100)</f>
        <v/>
      </c>
      <c r="J4">
        <f>IF($V4="","",INDEX('Per Line'!$S$2:$S$6001,$V4)&amp;"")</f>
        <v/>
      </c>
      <c r="K4" s="7">
        <f>IF($V4="","",SUMIFS('Per Line'!$R$2:$R$6001,'Per Line'!$C$2:$C$6001,$B4,'Per Line'!$AJ$2:$AJ$6001,1))</f>
        <v/>
      </c>
      <c r="L4">
        <f>IF($V4="","",Settings!$C$7)</f>
        <v/>
      </c>
      <c r="M4" s="7">
        <f>IF($V4="","",SUMIFS('Per Line'!$R$2:$R$6001,'Per Line'!$C$2:$C$6001,$B4,'Per Line'!$AI$2:$AI$6001,0,'Per Line'!$AJ$2:$AJ$6001,0))</f>
        <v/>
      </c>
      <c r="N4" s="7">
        <f>IF($V4="","",M4*L4)</f>
        <v/>
      </c>
      <c r="O4">
        <f>IF($V4="","",Settings!$C$6)</f>
        <v/>
      </c>
      <c r="P4" s="7">
        <f>IF($V4="","",SUMIFS('Per Line'!$R$2:$R$6001,'Per Line'!$C$2:$C$6001,$B4,'Per Line'!$AI$2:$AI$6001,1,'Per Line'!$AJ$2:$AJ$6001,0))</f>
        <v/>
      </c>
      <c r="Q4" s="7">
        <f>IF($V4="","",P4*O4)</f>
        <v/>
      </c>
      <c r="R4" s="7">
        <f>IF($V4="","",Q4+N4)</f>
        <v/>
      </c>
      <c r="S4" s="7">
        <f>IF($V4="","",T4-R4)</f>
        <v/>
      </c>
      <c r="T4" s="7">
        <f>IF($V4="","",M4+P4+K4)</f>
        <v/>
      </c>
      <c r="U4" s="7">
        <f>IF($V4="","",T4-R4-I4)</f>
        <v/>
      </c>
      <c r="V4" s="13">
        <f>IF(ROWS($V$2:$V4)&lt;=MAX('Per Line'!$AH$2:$AH$6001),MATCH(ROWS($V$2:$V4),'Per Line'!$AH$2:$AH$6001,0),"")</f>
        <v/>
      </c>
    </row>
    <row r="5">
      <c r="A5" s="12" t="n"/>
      <c r="B5">
        <f>IF($V5="","",INDEX('Per Line'!$C$2:$C$6001,$V5)&amp;"")</f>
        <v/>
      </c>
      <c r="C5" s="11">
        <f>IF($V5="","",INDEX('Per Line'!$D$2:$D$6001,$V5))</f>
        <v/>
      </c>
      <c r="D5">
        <f>IF($V5="","",INDEX('Per Line'!$E$2:$E$6001,$V5)&amp;"")</f>
        <v/>
      </c>
      <c r="E5">
        <f>IF($V5="","",INDEX('Per Line'!$G$2:$G$6001,$V5)&amp;"")</f>
        <v/>
      </c>
      <c r="F5">
        <f>IF($V5="","",INDEX('Per Line'!$H$2:$H$6001,$V5)&amp;"")</f>
        <v/>
      </c>
      <c r="G5">
        <f>IF($V5="","",INDEX('Per Line'!$I$2:$I$6001,$V5)&amp;"")</f>
        <v/>
      </c>
      <c r="H5">
        <f>IF($V5="","",INDEX('Per Line'!$J$2:$J$6001,$V5))</f>
        <v/>
      </c>
      <c r="I5" s="7">
        <f>IF($V5="","",H5*S5/100)</f>
        <v/>
      </c>
      <c r="J5">
        <f>IF($V5="","",INDEX('Per Line'!$S$2:$S$6001,$V5)&amp;"")</f>
        <v/>
      </c>
      <c r="K5" s="7">
        <f>IF($V5="","",SUMIFS('Per Line'!$R$2:$R$6001,'Per Line'!$C$2:$C$6001,$B5,'Per Line'!$AJ$2:$AJ$6001,1))</f>
        <v/>
      </c>
      <c r="L5">
        <f>IF($V5="","",Settings!$C$7)</f>
        <v/>
      </c>
      <c r="M5" s="7">
        <f>IF($V5="","",SUMIFS('Per Line'!$R$2:$R$6001,'Per Line'!$C$2:$C$6001,$B5,'Per Line'!$AI$2:$AI$6001,0,'Per Line'!$AJ$2:$AJ$6001,0))</f>
        <v/>
      </c>
      <c r="N5" s="7">
        <f>IF($V5="","",M5*L5)</f>
        <v/>
      </c>
      <c r="O5">
        <f>IF($V5="","",Settings!$C$6)</f>
        <v/>
      </c>
      <c r="P5" s="7">
        <f>IF($V5="","",SUMIFS('Per Line'!$R$2:$R$6001,'Per Line'!$C$2:$C$6001,$B5,'Per Line'!$AI$2:$AI$6001,1,'Per Line'!$AJ$2:$AJ$6001,0))</f>
        <v/>
      </c>
      <c r="Q5" s="7">
        <f>IF($V5="","",P5*O5)</f>
        <v/>
      </c>
      <c r="R5" s="7">
        <f>IF($V5="","",Q5+N5)</f>
        <v/>
      </c>
      <c r="S5" s="7">
        <f>IF($V5="","",T5-R5)</f>
        <v/>
      </c>
      <c r="T5" s="7">
        <f>IF($V5="","",M5+P5+K5)</f>
        <v/>
      </c>
      <c r="U5" s="7">
        <f>IF($V5="","",T5-R5-I5)</f>
        <v/>
      </c>
      <c r="V5" s="13">
        <f>IF(ROWS($V$2:$V5)&lt;=MAX('Per Line'!$AH$2:$AH$6001),MATCH(ROWS($V$2:$V5),'Per Line'!$AH$2:$AH$6001,0),"")</f>
        <v/>
      </c>
    </row>
    <row r="6">
      <c r="A6" s="12" t="n"/>
      <c r="B6">
        <f>IF($V6="","",INDEX('Per Line'!$C$2:$C$6001,$V6)&amp;"")</f>
        <v/>
      </c>
      <c r="C6" s="11">
        <f>IF($V6="","",INDEX('Per Line'!$D$2:$D$6001,$V6))</f>
        <v/>
      </c>
      <c r="D6">
        <f>IF($V6="","",INDEX('Per Line'!$E$2:$E$6001,$V6)&amp;"")</f>
        <v/>
      </c>
      <c r="E6">
        <f>IF($V6="","",INDEX('Per Line'!$G$2:$G$6001,$V6)&amp;"")</f>
        <v/>
      </c>
      <c r="F6">
        <f>IF($V6="","",INDEX('Per Line'!$H$2:$H$6001,$V6)&amp;"")</f>
        <v/>
      </c>
      <c r="G6">
        <f>IF($V6="","",INDEX('Per Line'!$I$2:$I$6001,$V6)&amp;"")</f>
        <v/>
      </c>
      <c r="H6">
        <f>IF($V6="","",INDEX('Per Line'!$J$2:$J$6001,$V6))</f>
        <v/>
      </c>
      <c r="I6" s="7">
        <f>IF($V6="","",H6*S6/100)</f>
        <v/>
      </c>
      <c r="J6">
        <f>IF($V6="","",INDEX('Per Line'!$S$2:$S$6001,$V6)&amp;"")</f>
        <v/>
      </c>
      <c r="K6" s="7">
        <f>IF($V6="","",SUMIFS('Per Line'!$R$2:$R$6001,'Per Line'!$C$2:$C$6001,$B6,'Per Line'!$AJ$2:$AJ$6001,1))</f>
        <v/>
      </c>
      <c r="L6">
        <f>IF($V6="","",Settings!$C$7)</f>
        <v/>
      </c>
      <c r="M6" s="7">
        <f>IF($V6="","",SUMIFS('Per Line'!$R$2:$R$6001,'Per Line'!$C$2:$C$6001,$B6,'Per Line'!$AI$2:$AI$6001,0,'Per Line'!$AJ$2:$AJ$6001,0))</f>
        <v/>
      </c>
      <c r="N6" s="7">
        <f>IF($V6="","",M6*L6)</f>
        <v/>
      </c>
      <c r="O6">
        <f>IF($V6="","",Settings!$C$6)</f>
        <v/>
      </c>
      <c r="P6" s="7">
        <f>IF($V6="","",SUMIFS('Per Line'!$R$2:$R$6001,'Per Line'!$C$2:$C$6001,$B6,'Per Line'!$AI$2:$AI$6001,1,'Per Line'!$AJ$2:$AJ$6001,0))</f>
        <v/>
      </c>
      <c r="Q6" s="7">
        <f>IF($V6="","",P6*O6)</f>
        <v/>
      </c>
      <c r="R6" s="7">
        <f>IF($V6="","",Q6+N6)</f>
        <v/>
      </c>
      <c r="S6" s="7">
        <f>IF($V6="","",T6-R6)</f>
        <v/>
      </c>
      <c r="T6" s="7">
        <f>IF($V6="","",M6+P6+K6)</f>
        <v/>
      </c>
      <c r="U6" s="7">
        <f>IF($V6="","",T6-R6-I6)</f>
        <v/>
      </c>
      <c r="V6" s="13">
        <f>IF(ROWS($V$2:$V6)&lt;=MAX('Per Line'!$AH$2:$AH$6001),MATCH(ROWS($V$2:$V6),'Per Line'!$AH$2:$AH$6001,0),"")</f>
        <v/>
      </c>
    </row>
    <row r="7">
      <c r="A7" s="12" t="n"/>
      <c r="B7">
        <f>IF($V7="","",INDEX('Per Line'!$C$2:$C$6001,$V7)&amp;"")</f>
        <v/>
      </c>
      <c r="C7" s="11">
        <f>IF($V7="","",INDEX('Per Line'!$D$2:$D$6001,$V7))</f>
        <v/>
      </c>
      <c r="D7">
        <f>IF($V7="","",INDEX('Per Line'!$E$2:$E$6001,$V7)&amp;"")</f>
        <v/>
      </c>
      <c r="E7">
        <f>IF($V7="","",INDEX('Per Line'!$G$2:$G$6001,$V7)&amp;"")</f>
        <v/>
      </c>
      <c r="F7">
        <f>IF($V7="","",INDEX('Per Line'!$H$2:$H$6001,$V7)&amp;"")</f>
        <v/>
      </c>
      <c r="G7">
        <f>IF($V7="","",INDEX('Per Line'!$I$2:$I$6001,$V7)&amp;"")</f>
        <v/>
      </c>
      <c r="H7">
        <f>IF($V7="","",INDEX('Per Line'!$J$2:$J$6001,$V7))</f>
        <v/>
      </c>
      <c r="I7" s="7">
        <f>IF($V7="","",H7*S7/100)</f>
        <v/>
      </c>
      <c r="J7">
        <f>IF($V7="","",INDEX('Per Line'!$S$2:$S$6001,$V7)&amp;"")</f>
        <v/>
      </c>
      <c r="K7" s="7">
        <f>IF($V7="","",SUMIFS('Per Line'!$R$2:$R$6001,'Per Line'!$C$2:$C$6001,$B7,'Per Line'!$AJ$2:$AJ$6001,1))</f>
        <v/>
      </c>
      <c r="L7">
        <f>IF($V7="","",Settings!$C$7)</f>
        <v/>
      </c>
      <c r="M7" s="7">
        <f>IF($V7="","",SUMIFS('Per Line'!$R$2:$R$6001,'Per Line'!$C$2:$C$6001,$B7,'Per Line'!$AI$2:$AI$6001,0,'Per Line'!$AJ$2:$AJ$6001,0))</f>
        <v/>
      </c>
      <c r="N7" s="7">
        <f>IF($V7="","",M7*L7)</f>
        <v/>
      </c>
      <c r="O7">
        <f>IF($V7="","",Settings!$C$6)</f>
        <v/>
      </c>
      <c r="P7" s="7">
        <f>IF($V7="","",SUMIFS('Per Line'!$R$2:$R$6001,'Per Line'!$C$2:$C$6001,$B7,'Per Line'!$AI$2:$AI$6001,1,'Per Line'!$AJ$2:$AJ$6001,0))</f>
        <v/>
      </c>
      <c r="Q7" s="7">
        <f>IF($V7="","",P7*O7)</f>
        <v/>
      </c>
      <c r="R7" s="7">
        <f>IF($V7="","",Q7+N7)</f>
        <v/>
      </c>
      <c r="S7" s="7">
        <f>IF($V7="","",T7-R7)</f>
        <v/>
      </c>
      <c r="T7" s="7">
        <f>IF($V7="","",M7+P7+K7)</f>
        <v/>
      </c>
      <c r="U7" s="7">
        <f>IF($V7="","",T7-R7-I7)</f>
        <v/>
      </c>
      <c r="V7" s="13">
        <f>IF(ROWS($V$2:$V7)&lt;=MAX('Per Line'!$AH$2:$AH$6001),MATCH(ROWS($V$2:$V7),'Per Line'!$AH$2:$AH$6001,0),"")</f>
        <v/>
      </c>
    </row>
    <row r="8">
      <c r="A8" s="12" t="n"/>
      <c r="B8">
        <f>IF($V8="","",INDEX('Per Line'!$C$2:$C$6001,$V8)&amp;"")</f>
        <v/>
      </c>
      <c r="C8" s="11">
        <f>IF($V8="","",INDEX('Per Line'!$D$2:$D$6001,$V8))</f>
        <v/>
      </c>
      <c r="D8">
        <f>IF($V8="","",INDEX('Per Line'!$E$2:$E$6001,$V8)&amp;"")</f>
        <v/>
      </c>
      <c r="E8">
        <f>IF($V8="","",INDEX('Per Line'!$G$2:$G$6001,$V8)&amp;"")</f>
        <v/>
      </c>
      <c r="F8">
        <f>IF($V8="","",INDEX('Per Line'!$H$2:$H$6001,$V8)&amp;"")</f>
        <v/>
      </c>
      <c r="G8">
        <f>IF($V8="","",INDEX('Per Line'!$I$2:$I$6001,$V8)&amp;"")</f>
        <v/>
      </c>
      <c r="H8">
        <f>IF($V8="","",INDEX('Per Line'!$J$2:$J$6001,$V8))</f>
        <v/>
      </c>
      <c r="I8" s="7">
        <f>IF($V8="","",H8*S8/100)</f>
        <v/>
      </c>
      <c r="J8">
        <f>IF($V8="","",INDEX('Per Line'!$S$2:$S$6001,$V8)&amp;"")</f>
        <v/>
      </c>
      <c r="K8" s="7">
        <f>IF($V8="","",SUMIFS('Per Line'!$R$2:$R$6001,'Per Line'!$C$2:$C$6001,$B8,'Per Line'!$AJ$2:$AJ$6001,1))</f>
        <v/>
      </c>
      <c r="L8">
        <f>IF($V8="","",Settings!$C$7)</f>
        <v/>
      </c>
      <c r="M8" s="7">
        <f>IF($V8="","",SUMIFS('Per Line'!$R$2:$R$6001,'Per Line'!$C$2:$C$6001,$B8,'Per Line'!$AI$2:$AI$6001,0,'Per Line'!$AJ$2:$AJ$6001,0))</f>
        <v/>
      </c>
      <c r="N8" s="7">
        <f>IF($V8="","",M8*L8)</f>
        <v/>
      </c>
      <c r="O8">
        <f>IF($V8="","",Settings!$C$6)</f>
        <v/>
      </c>
      <c r="P8" s="7">
        <f>IF($V8="","",SUMIFS('Per Line'!$R$2:$R$6001,'Per Line'!$C$2:$C$6001,$B8,'Per Line'!$AI$2:$AI$6001,1,'Per Line'!$AJ$2:$AJ$6001,0))</f>
        <v/>
      </c>
      <c r="Q8" s="7">
        <f>IF($V8="","",P8*O8)</f>
        <v/>
      </c>
      <c r="R8" s="7">
        <f>IF($V8="","",Q8+N8)</f>
        <v/>
      </c>
      <c r="S8" s="7">
        <f>IF($V8="","",T8-R8)</f>
        <v/>
      </c>
      <c r="T8" s="7">
        <f>IF($V8="","",M8+P8+K8)</f>
        <v/>
      </c>
      <c r="U8" s="7">
        <f>IF($V8="","",T8-R8-I8)</f>
        <v/>
      </c>
      <c r="V8" s="13">
        <f>IF(ROWS($V$2:$V8)&lt;=MAX('Per Line'!$AH$2:$AH$6001),MATCH(ROWS($V$2:$V8),'Per Line'!$AH$2:$AH$6001,0),"")</f>
        <v/>
      </c>
    </row>
    <row r="9">
      <c r="A9" s="12" t="n"/>
      <c r="B9">
        <f>IF($V9="","",INDEX('Per Line'!$C$2:$C$6001,$V9)&amp;"")</f>
        <v/>
      </c>
      <c r="C9" s="11">
        <f>IF($V9="","",INDEX('Per Line'!$D$2:$D$6001,$V9))</f>
        <v/>
      </c>
      <c r="D9">
        <f>IF($V9="","",INDEX('Per Line'!$E$2:$E$6001,$V9)&amp;"")</f>
        <v/>
      </c>
      <c r="E9">
        <f>IF($V9="","",INDEX('Per Line'!$G$2:$G$6001,$V9)&amp;"")</f>
        <v/>
      </c>
      <c r="F9">
        <f>IF($V9="","",INDEX('Per Line'!$H$2:$H$6001,$V9)&amp;"")</f>
        <v/>
      </c>
      <c r="G9">
        <f>IF($V9="","",INDEX('Per Line'!$I$2:$I$6001,$V9)&amp;"")</f>
        <v/>
      </c>
      <c r="H9">
        <f>IF($V9="","",INDEX('Per Line'!$J$2:$J$6001,$V9))</f>
        <v/>
      </c>
      <c r="I9" s="7">
        <f>IF($V9="","",H9*S9/100)</f>
        <v/>
      </c>
      <c r="J9">
        <f>IF($V9="","",INDEX('Per Line'!$S$2:$S$6001,$V9)&amp;"")</f>
        <v/>
      </c>
      <c r="K9" s="7">
        <f>IF($V9="","",SUMIFS('Per Line'!$R$2:$R$6001,'Per Line'!$C$2:$C$6001,$B9,'Per Line'!$AJ$2:$AJ$6001,1))</f>
        <v/>
      </c>
      <c r="L9">
        <f>IF($V9="","",Settings!$C$7)</f>
        <v/>
      </c>
      <c r="M9" s="7">
        <f>IF($V9="","",SUMIFS('Per Line'!$R$2:$R$6001,'Per Line'!$C$2:$C$6001,$B9,'Per Line'!$AI$2:$AI$6001,0,'Per Line'!$AJ$2:$AJ$6001,0))</f>
        <v/>
      </c>
      <c r="N9" s="7">
        <f>IF($V9="","",M9*L9)</f>
        <v/>
      </c>
      <c r="O9">
        <f>IF($V9="","",Settings!$C$6)</f>
        <v/>
      </c>
      <c r="P9" s="7">
        <f>IF($V9="","",SUMIFS('Per Line'!$R$2:$R$6001,'Per Line'!$C$2:$C$6001,$B9,'Per Line'!$AI$2:$AI$6001,1,'Per Line'!$AJ$2:$AJ$6001,0))</f>
        <v/>
      </c>
      <c r="Q9" s="7">
        <f>IF($V9="","",P9*O9)</f>
        <v/>
      </c>
      <c r="R9" s="7">
        <f>IF($V9="","",Q9+N9)</f>
        <v/>
      </c>
      <c r="S9" s="7">
        <f>IF($V9="","",T9-R9)</f>
        <v/>
      </c>
      <c r="T9" s="7">
        <f>IF($V9="","",M9+P9+K9)</f>
        <v/>
      </c>
      <c r="U9" s="7">
        <f>IF($V9="","",T9-R9-I9)</f>
        <v/>
      </c>
      <c r="V9" s="13">
        <f>IF(ROWS($V$2:$V9)&lt;=MAX('Per Line'!$AH$2:$AH$6001),MATCH(ROWS($V$2:$V9),'Per Line'!$AH$2:$AH$6001,0),"")</f>
        <v/>
      </c>
    </row>
    <row r="10">
      <c r="A10" s="12" t="n"/>
      <c r="B10">
        <f>IF($V10="","",INDEX('Per Line'!$C$2:$C$6001,$V10)&amp;"")</f>
        <v/>
      </c>
      <c r="C10" s="11">
        <f>IF($V10="","",INDEX('Per Line'!$D$2:$D$6001,$V10))</f>
        <v/>
      </c>
      <c r="D10">
        <f>IF($V10="","",INDEX('Per Line'!$E$2:$E$6001,$V10)&amp;"")</f>
        <v/>
      </c>
      <c r="E10">
        <f>IF($V10="","",INDEX('Per Line'!$G$2:$G$6001,$V10)&amp;"")</f>
        <v/>
      </c>
      <c r="F10">
        <f>IF($V10="","",INDEX('Per Line'!$H$2:$H$6001,$V10)&amp;"")</f>
        <v/>
      </c>
      <c r="G10">
        <f>IF($V10="","",INDEX('Per Line'!$I$2:$I$6001,$V10)&amp;"")</f>
        <v/>
      </c>
      <c r="H10">
        <f>IF($V10="","",INDEX('Per Line'!$J$2:$J$6001,$V10))</f>
        <v/>
      </c>
      <c r="I10" s="7">
        <f>IF($V10="","",H10*S10/100)</f>
        <v/>
      </c>
      <c r="J10">
        <f>IF($V10="","",INDEX('Per Line'!$S$2:$S$6001,$V10)&amp;"")</f>
        <v/>
      </c>
      <c r="K10" s="7">
        <f>IF($V10="","",SUMIFS('Per Line'!$R$2:$R$6001,'Per Line'!$C$2:$C$6001,$B10,'Per Line'!$AJ$2:$AJ$6001,1))</f>
        <v/>
      </c>
      <c r="L10">
        <f>IF($V10="","",Settings!$C$7)</f>
        <v/>
      </c>
      <c r="M10" s="7">
        <f>IF($V10="","",SUMIFS('Per Line'!$R$2:$R$6001,'Per Line'!$C$2:$C$6001,$B10,'Per Line'!$AI$2:$AI$6001,0,'Per Line'!$AJ$2:$AJ$6001,0))</f>
        <v/>
      </c>
      <c r="N10" s="7">
        <f>IF($V10="","",M10*L10)</f>
        <v/>
      </c>
      <c r="O10">
        <f>IF($V10="","",Settings!$C$6)</f>
        <v/>
      </c>
      <c r="P10" s="7">
        <f>IF($V10="","",SUMIFS('Per Line'!$R$2:$R$6001,'Per Line'!$C$2:$C$6001,$B10,'Per Line'!$AI$2:$AI$6001,1,'Per Line'!$AJ$2:$AJ$6001,0))</f>
        <v/>
      </c>
      <c r="Q10" s="7">
        <f>IF($V10="","",P10*O10)</f>
        <v/>
      </c>
      <c r="R10" s="7">
        <f>IF($V10="","",Q10+N10)</f>
        <v/>
      </c>
      <c r="S10" s="7">
        <f>IF($V10="","",T10-R10)</f>
        <v/>
      </c>
      <c r="T10" s="7">
        <f>IF($V10="","",M10+P10+K10)</f>
        <v/>
      </c>
      <c r="U10" s="7">
        <f>IF($V10="","",T10-R10-I10)</f>
        <v/>
      </c>
      <c r="V10" s="13">
        <f>IF(ROWS($V$2:$V10)&lt;=MAX('Per Line'!$AH$2:$AH$6001),MATCH(ROWS($V$2:$V10),'Per Line'!$AH$2:$AH$6001,0),"")</f>
        <v/>
      </c>
    </row>
    <row r="11">
      <c r="A11" s="12" t="n"/>
      <c r="B11">
        <f>IF($V11="","",INDEX('Per Line'!$C$2:$C$6001,$V11)&amp;"")</f>
        <v/>
      </c>
      <c r="C11" s="11">
        <f>IF($V11="","",INDEX('Per Line'!$D$2:$D$6001,$V11))</f>
        <v/>
      </c>
      <c r="D11">
        <f>IF($V11="","",INDEX('Per Line'!$E$2:$E$6001,$V11)&amp;"")</f>
        <v/>
      </c>
      <c r="E11">
        <f>IF($V11="","",INDEX('Per Line'!$G$2:$G$6001,$V11)&amp;"")</f>
        <v/>
      </c>
      <c r="F11">
        <f>IF($V11="","",INDEX('Per Line'!$H$2:$H$6001,$V11)&amp;"")</f>
        <v/>
      </c>
      <c r="G11">
        <f>IF($V11="","",INDEX('Per Line'!$I$2:$I$6001,$V11)&amp;"")</f>
        <v/>
      </c>
      <c r="H11">
        <f>IF($V11="","",INDEX('Per Line'!$J$2:$J$6001,$V11))</f>
        <v/>
      </c>
      <c r="I11" s="7">
        <f>IF($V11="","",H11*S11/100)</f>
        <v/>
      </c>
      <c r="J11">
        <f>IF($V11="","",INDEX('Per Line'!$S$2:$S$6001,$V11)&amp;"")</f>
        <v/>
      </c>
      <c r="K11" s="7">
        <f>IF($V11="","",SUMIFS('Per Line'!$R$2:$R$6001,'Per Line'!$C$2:$C$6001,$B11,'Per Line'!$AJ$2:$AJ$6001,1))</f>
        <v/>
      </c>
      <c r="L11">
        <f>IF($V11="","",Settings!$C$7)</f>
        <v/>
      </c>
      <c r="M11" s="7">
        <f>IF($V11="","",SUMIFS('Per Line'!$R$2:$R$6001,'Per Line'!$C$2:$C$6001,$B11,'Per Line'!$AI$2:$AI$6001,0,'Per Line'!$AJ$2:$AJ$6001,0))</f>
        <v/>
      </c>
      <c r="N11" s="7">
        <f>IF($V11="","",M11*L11)</f>
        <v/>
      </c>
      <c r="O11">
        <f>IF($V11="","",Settings!$C$6)</f>
        <v/>
      </c>
      <c r="P11" s="7">
        <f>IF($V11="","",SUMIFS('Per Line'!$R$2:$R$6001,'Per Line'!$C$2:$C$6001,$B11,'Per Line'!$AI$2:$AI$6001,1,'Per Line'!$AJ$2:$AJ$6001,0))</f>
        <v/>
      </c>
      <c r="Q11" s="7">
        <f>IF($V11="","",P11*O11)</f>
        <v/>
      </c>
      <c r="R11" s="7">
        <f>IF($V11="","",Q11+N11)</f>
        <v/>
      </c>
      <c r="S11" s="7">
        <f>IF($V11="","",T11-R11)</f>
        <v/>
      </c>
      <c r="T11" s="7">
        <f>IF($V11="","",M11+P11+K11)</f>
        <v/>
      </c>
      <c r="U11" s="7">
        <f>IF($V11="","",T11-R11-I11)</f>
        <v/>
      </c>
      <c r="V11" s="13">
        <f>IF(ROWS($V$2:$V11)&lt;=MAX('Per Line'!$AH$2:$AH$6001),MATCH(ROWS($V$2:$V11),'Per Line'!$AH$2:$AH$6001,0),"")</f>
        <v/>
      </c>
    </row>
    <row r="12">
      <c r="A12" s="12" t="n"/>
      <c r="B12">
        <f>IF($V12="","",INDEX('Per Line'!$C$2:$C$6001,$V12)&amp;"")</f>
        <v/>
      </c>
      <c r="C12" s="11">
        <f>IF($V12="","",INDEX('Per Line'!$D$2:$D$6001,$V12))</f>
        <v/>
      </c>
      <c r="D12">
        <f>IF($V12="","",INDEX('Per Line'!$E$2:$E$6001,$V12)&amp;"")</f>
        <v/>
      </c>
      <c r="E12">
        <f>IF($V12="","",INDEX('Per Line'!$G$2:$G$6001,$V12)&amp;"")</f>
        <v/>
      </c>
      <c r="F12">
        <f>IF($V12="","",INDEX('Per Line'!$H$2:$H$6001,$V12)&amp;"")</f>
        <v/>
      </c>
      <c r="G12">
        <f>IF($V12="","",INDEX('Per Line'!$I$2:$I$6001,$V12)&amp;"")</f>
        <v/>
      </c>
      <c r="H12">
        <f>IF($V12="","",INDEX('Per Line'!$J$2:$J$6001,$V12))</f>
        <v/>
      </c>
      <c r="I12" s="7">
        <f>IF($V12="","",H12*S12/100)</f>
        <v/>
      </c>
      <c r="J12">
        <f>IF($V12="","",INDEX('Per Line'!$S$2:$S$6001,$V12)&amp;"")</f>
        <v/>
      </c>
      <c r="K12" s="7">
        <f>IF($V12="","",SUMIFS('Per Line'!$R$2:$R$6001,'Per Line'!$C$2:$C$6001,$B12,'Per Line'!$AJ$2:$AJ$6001,1))</f>
        <v/>
      </c>
      <c r="L12">
        <f>IF($V12="","",Settings!$C$7)</f>
        <v/>
      </c>
      <c r="M12" s="7">
        <f>IF($V12="","",SUMIFS('Per Line'!$R$2:$R$6001,'Per Line'!$C$2:$C$6001,$B12,'Per Line'!$AI$2:$AI$6001,0,'Per Line'!$AJ$2:$AJ$6001,0))</f>
        <v/>
      </c>
      <c r="N12" s="7">
        <f>IF($V12="","",M12*L12)</f>
        <v/>
      </c>
      <c r="O12">
        <f>IF($V12="","",Settings!$C$6)</f>
        <v/>
      </c>
      <c r="P12" s="7">
        <f>IF($V12="","",SUMIFS('Per Line'!$R$2:$R$6001,'Per Line'!$C$2:$C$6001,$B12,'Per Line'!$AI$2:$AI$6001,1,'Per Line'!$AJ$2:$AJ$6001,0))</f>
        <v/>
      </c>
      <c r="Q12" s="7">
        <f>IF($V12="","",P12*O12)</f>
        <v/>
      </c>
      <c r="R12" s="7">
        <f>IF($V12="","",Q12+N12)</f>
        <v/>
      </c>
      <c r="S12" s="7">
        <f>IF($V12="","",T12-R12)</f>
        <v/>
      </c>
      <c r="T12" s="7">
        <f>IF($V12="","",M12+P12+K12)</f>
        <v/>
      </c>
      <c r="U12" s="7">
        <f>IF($V12="","",T12-R12-I12)</f>
        <v/>
      </c>
      <c r="V12" s="13">
        <f>IF(ROWS($V$2:$V12)&lt;=MAX('Per Line'!$AH$2:$AH$6001),MATCH(ROWS($V$2:$V12),'Per Line'!$AH$2:$AH$6001,0),"")</f>
        <v/>
      </c>
    </row>
    <row r="13">
      <c r="A13" s="12" t="n"/>
      <c r="B13">
        <f>IF($V13="","",INDEX('Per Line'!$C$2:$C$6001,$V13)&amp;"")</f>
        <v/>
      </c>
      <c r="C13" s="11">
        <f>IF($V13="","",INDEX('Per Line'!$D$2:$D$6001,$V13))</f>
        <v/>
      </c>
      <c r="D13">
        <f>IF($V13="","",INDEX('Per Line'!$E$2:$E$6001,$V13)&amp;"")</f>
        <v/>
      </c>
      <c r="E13">
        <f>IF($V13="","",INDEX('Per Line'!$G$2:$G$6001,$V13)&amp;"")</f>
        <v/>
      </c>
      <c r="F13">
        <f>IF($V13="","",INDEX('Per Line'!$H$2:$H$6001,$V13)&amp;"")</f>
        <v/>
      </c>
      <c r="G13">
        <f>IF($V13="","",INDEX('Per Line'!$I$2:$I$6001,$V13)&amp;"")</f>
        <v/>
      </c>
      <c r="H13">
        <f>IF($V13="","",INDEX('Per Line'!$J$2:$J$6001,$V13))</f>
        <v/>
      </c>
      <c r="I13" s="7">
        <f>IF($V13="","",H13*S13/100)</f>
        <v/>
      </c>
      <c r="J13">
        <f>IF($V13="","",INDEX('Per Line'!$S$2:$S$6001,$V13)&amp;"")</f>
        <v/>
      </c>
      <c r="K13" s="7">
        <f>IF($V13="","",SUMIFS('Per Line'!$R$2:$R$6001,'Per Line'!$C$2:$C$6001,$B13,'Per Line'!$AJ$2:$AJ$6001,1))</f>
        <v/>
      </c>
      <c r="L13">
        <f>IF($V13="","",Settings!$C$7)</f>
        <v/>
      </c>
      <c r="M13" s="7">
        <f>IF($V13="","",SUMIFS('Per Line'!$R$2:$R$6001,'Per Line'!$C$2:$C$6001,$B13,'Per Line'!$AI$2:$AI$6001,0,'Per Line'!$AJ$2:$AJ$6001,0))</f>
        <v/>
      </c>
      <c r="N13" s="7">
        <f>IF($V13="","",M13*L13)</f>
        <v/>
      </c>
      <c r="O13">
        <f>IF($V13="","",Settings!$C$6)</f>
        <v/>
      </c>
      <c r="P13" s="7">
        <f>IF($V13="","",SUMIFS('Per Line'!$R$2:$R$6001,'Per Line'!$C$2:$C$6001,$B13,'Per Line'!$AI$2:$AI$6001,1,'Per Line'!$AJ$2:$AJ$6001,0))</f>
        <v/>
      </c>
      <c r="Q13" s="7">
        <f>IF($V13="","",P13*O13)</f>
        <v/>
      </c>
      <c r="R13" s="7">
        <f>IF($V13="","",Q13+N13)</f>
        <v/>
      </c>
      <c r="S13" s="7">
        <f>IF($V13="","",T13-R13)</f>
        <v/>
      </c>
      <c r="T13" s="7">
        <f>IF($V13="","",M13+P13+K13)</f>
        <v/>
      </c>
      <c r="U13" s="7">
        <f>IF($V13="","",T13-R13-I13)</f>
        <v/>
      </c>
      <c r="V13" s="13">
        <f>IF(ROWS($V$2:$V13)&lt;=MAX('Per Line'!$AH$2:$AH$6001),MATCH(ROWS($V$2:$V13),'Per Line'!$AH$2:$AH$6001,0),"")</f>
        <v/>
      </c>
    </row>
    <row r="14">
      <c r="A14" s="12" t="n"/>
      <c r="B14">
        <f>IF($V14="","",INDEX('Per Line'!$C$2:$C$6001,$V14)&amp;"")</f>
        <v/>
      </c>
      <c r="C14" s="11">
        <f>IF($V14="","",INDEX('Per Line'!$D$2:$D$6001,$V14))</f>
        <v/>
      </c>
      <c r="D14">
        <f>IF($V14="","",INDEX('Per Line'!$E$2:$E$6001,$V14)&amp;"")</f>
        <v/>
      </c>
      <c r="E14">
        <f>IF($V14="","",INDEX('Per Line'!$G$2:$G$6001,$V14)&amp;"")</f>
        <v/>
      </c>
      <c r="F14">
        <f>IF($V14="","",INDEX('Per Line'!$H$2:$H$6001,$V14)&amp;"")</f>
        <v/>
      </c>
      <c r="G14">
        <f>IF($V14="","",INDEX('Per Line'!$I$2:$I$6001,$V14)&amp;"")</f>
        <v/>
      </c>
      <c r="H14">
        <f>IF($V14="","",INDEX('Per Line'!$J$2:$J$6001,$V14))</f>
        <v/>
      </c>
      <c r="I14" s="7">
        <f>IF($V14="","",H14*S14/100)</f>
        <v/>
      </c>
      <c r="J14">
        <f>IF($V14="","",INDEX('Per Line'!$S$2:$S$6001,$V14)&amp;"")</f>
        <v/>
      </c>
      <c r="K14" s="7">
        <f>IF($V14="","",SUMIFS('Per Line'!$R$2:$R$6001,'Per Line'!$C$2:$C$6001,$B14,'Per Line'!$AJ$2:$AJ$6001,1))</f>
        <v/>
      </c>
      <c r="L14">
        <f>IF($V14="","",Settings!$C$7)</f>
        <v/>
      </c>
      <c r="M14" s="7">
        <f>IF($V14="","",SUMIFS('Per Line'!$R$2:$R$6001,'Per Line'!$C$2:$C$6001,$B14,'Per Line'!$AI$2:$AI$6001,0,'Per Line'!$AJ$2:$AJ$6001,0))</f>
        <v/>
      </c>
      <c r="N14" s="7">
        <f>IF($V14="","",M14*L14)</f>
        <v/>
      </c>
      <c r="O14">
        <f>IF($V14="","",Settings!$C$6)</f>
        <v/>
      </c>
      <c r="P14" s="7">
        <f>IF($V14="","",SUMIFS('Per Line'!$R$2:$R$6001,'Per Line'!$C$2:$C$6001,$B14,'Per Line'!$AI$2:$AI$6001,1,'Per Line'!$AJ$2:$AJ$6001,0))</f>
        <v/>
      </c>
      <c r="Q14" s="7">
        <f>IF($V14="","",P14*O14)</f>
        <v/>
      </c>
      <c r="R14" s="7">
        <f>IF($V14="","",Q14+N14)</f>
        <v/>
      </c>
      <c r="S14" s="7">
        <f>IF($V14="","",T14-R14)</f>
        <v/>
      </c>
      <c r="T14" s="7">
        <f>IF($V14="","",M14+P14+K14)</f>
        <v/>
      </c>
      <c r="U14" s="7">
        <f>IF($V14="","",T14-R14-I14)</f>
        <v/>
      </c>
      <c r="V14" s="13">
        <f>IF(ROWS($V$2:$V14)&lt;=MAX('Per Line'!$AH$2:$AH$6001),MATCH(ROWS($V$2:$V14),'Per Line'!$AH$2:$AH$6001,0),"")</f>
        <v/>
      </c>
    </row>
    <row r="15">
      <c r="A15" s="12" t="n"/>
      <c r="B15">
        <f>IF($V15="","",INDEX('Per Line'!$C$2:$C$6001,$V15)&amp;"")</f>
        <v/>
      </c>
      <c r="C15" s="11">
        <f>IF($V15="","",INDEX('Per Line'!$D$2:$D$6001,$V15))</f>
        <v/>
      </c>
      <c r="D15">
        <f>IF($V15="","",INDEX('Per Line'!$E$2:$E$6001,$V15)&amp;"")</f>
        <v/>
      </c>
      <c r="E15">
        <f>IF($V15="","",INDEX('Per Line'!$G$2:$G$6001,$V15)&amp;"")</f>
        <v/>
      </c>
      <c r="F15">
        <f>IF($V15="","",INDEX('Per Line'!$H$2:$H$6001,$V15)&amp;"")</f>
        <v/>
      </c>
      <c r="G15">
        <f>IF($V15="","",INDEX('Per Line'!$I$2:$I$6001,$V15)&amp;"")</f>
        <v/>
      </c>
      <c r="H15">
        <f>IF($V15="","",INDEX('Per Line'!$J$2:$J$6001,$V15))</f>
        <v/>
      </c>
      <c r="I15" s="7">
        <f>IF($V15="","",H15*S15/100)</f>
        <v/>
      </c>
      <c r="J15">
        <f>IF($V15="","",INDEX('Per Line'!$S$2:$S$6001,$V15)&amp;"")</f>
        <v/>
      </c>
      <c r="K15" s="7">
        <f>IF($V15="","",SUMIFS('Per Line'!$R$2:$R$6001,'Per Line'!$C$2:$C$6001,$B15,'Per Line'!$AJ$2:$AJ$6001,1))</f>
        <v/>
      </c>
      <c r="L15">
        <f>IF($V15="","",Settings!$C$7)</f>
        <v/>
      </c>
      <c r="M15" s="7">
        <f>IF($V15="","",SUMIFS('Per Line'!$R$2:$R$6001,'Per Line'!$C$2:$C$6001,$B15,'Per Line'!$AI$2:$AI$6001,0,'Per Line'!$AJ$2:$AJ$6001,0))</f>
        <v/>
      </c>
      <c r="N15" s="7">
        <f>IF($V15="","",M15*L15)</f>
        <v/>
      </c>
      <c r="O15">
        <f>IF($V15="","",Settings!$C$6)</f>
        <v/>
      </c>
      <c r="P15" s="7">
        <f>IF($V15="","",SUMIFS('Per Line'!$R$2:$R$6001,'Per Line'!$C$2:$C$6001,$B15,'Per Line'!$AI$2:$AI$6001,1,'Per Line'!$AJ$2:$AJ$6001,0))</f>
        <v/>
      </c>
      <c r="Q15" s="7">
        <f>IF($V15="","",P15*O15)</f>
        <v/>
      </c>
      <c r="R15" s="7">
        <f>IF($V15="","",Q15+N15)</f>
        <v/>
      </c>
      <c r="S15" s="7">
        <f>IF($V15="","",T15-R15)</f>
        <v/>
      </c>
      <c r="T15" s="7">
        <f>IF($V15="","",M15+P15+K15)</f>
        <v/>
      </c>
      <c r="U15" s="7">
        <f>IF($V15="","",T15-R15-I15)</f>
        <v/>
      </c>
      <c r="V15" s="13">
        <f>IF(ROWS($V$2:$V15)&lt;=MAX('Per Line'!$AH$2:$AH$6001),MATCH(ROWS($V$2:$V15),'Per Line'!$AH$2:$AH$6001,0),"")</f>
        <v/>
      </c>
    </row>
    <row r="16">
      <c r="A16" s="12" t="n"/>
      <c r="B16">
        <f>IF($V16="","",INDEX('Per Line'!$C$2:$C$6001,$V16)&amp;"")</f>
        <v/>
      </c>
      <c r="C16" s="11">
        <f>IF($V16="","",INDEX('Per Line'!$D$2:$D$6001,$V16))</f>
        <v/>
      </c>
      <c r="D16">
        <f>IF($V16="","",INDEX('Per Line'!$E$2:$E$6001,$V16)&amp;"")</f>
        <v/>
      </c>
      <c r="E16">
        <f>IF($V16="","",INDEX('Per Line'!$G$2:$G$6001,$V16)&amp;"")</f>
        <v/>
      </c>
      <c r="F16">
        <f>IF($V16="","",INDEX('Per Line'!$H$2:$H$6001,$V16)&amp;"")</f>
        <v/>
      </c>
      <c r="G16">
        <f>IF($V16="","",INDEX('Per Line'!$I$2:$I$6001,$V16)&amp;"")</f>
        <v/>
      </c>
      <c r="H16">
        <f>IF($V16="","",INDEX('Per Line'!$J$2:$J$6001,$V16))</f>
        <v/>
      </c>
      <c r="I16" s="7">
        <f>IF($V16="","",H16*S16/100)</f>
        <v/>
      </c>
      <c r="J16">
        <f>IF($V16="","",INDEX('Per Line'!$S$2:$S$6001,$V16)&amp;"")</f>
        <v/>
      </c>
      <c r="K16" s="7">
        <f>IF($V16="","",SUMIFS('Per Line'!$R$2:$R$6001,'Per Line'!$C$2:$C$6001,$B16,'Per Line'!$AJ$2:$AJ$6001,1))</f>
        <v/>
      </c>
      <c r="L16">
        <f>IF($V16="","",Settings!$C$7)</f>
        <v/>
      </c>
      <c r="M16" s="7">
        <f>IF($V16="","",SUMIFS('Per Line'!$R$2:$R$6001,'Per Line'!$C$2:$C$6001,$B16,'Per Line'!$AI$2:$AI$6001,0,'Per Line'!$AJ$2:$AJ$6001,0))</f>
        <v/>
      </c>
      <c r="N16" s="7">
        <f>IF($V16="","",M16*L16)</f>
        <v/>
      </c>
      <c r="O16">
        <f>IF($V16="","",Settings!$C$6)</f>
        <v/>
      </c>
      <c r="P16" s="7">
        <f>IF($V16="","",SUMIFS('Per Line'!$R$2:$R$6001,'Per Line'!$C$2:$C$6001,$B16,'Per Line'!$AI$2:$AI$6001,1,'Per Line'!$AJ$2:$AJ$6001,0))</f>
        <v/>
      </c>
      <c r="Q16" s="7">
        <f>IF($V16="","",P16*O16)</f>
        <v/>
      </c>
      <c r="R16" s="7">
        <f>IF($V16="","",Q16+N16)</f>
        <v/>
      </c>
      <c r="S16" s="7">
        <f>IF($V16="","",T16-R16)</f>
        <v/>
      </c>
      <c r="T16" s="7">
        <f>IF($V16="","",M16+P16+K16)</f>
        <v/>
      </c>
      <c r="U16" s="7">
        <f>IF($V16="","",T16-R16-I16)</f>
        <v/>
      </c>
      <c r="V16" s="13">
        <f>IF(ROWS($V$2:$V16)&lt;=MAX('Per Line'!$AH$2:$AH$6001),MATCH(ROWS($V$2:$V16),'Per Line'!$AH$2:$AH$6001,0),"")</f>
        <v/>
      </c>
    </row>
    <row r="17">
      <c r="A17" s="12" t="n"/>
      <c r="B17">
        <f>IF($V17="","",INDEX('Per Line'!$C$2:$C$6001,$V17)&amp;"")</f>
        <v/>
      </c>
      <c r="C17" s="11">
        <f>IF($V17="","",INDEX('Per Line'!$D$2:$D$6001,$V17))</f>
        <v/>
      </c>
      <c r="D17">
        <f>IF($V17="","",INDEX('Per Line'!$E$2:$E$6001,$V17)&amp;"")</f>
        <v/>
      </c>
      <c r="E17">
        <f>IF($V17="","",INDEX('Per Line'!$G$2:$G$6001,$V17)&amp;"")</f>
        <v/>
      </c>
      <c r="F17">
        <f>IF($V17="","",INDEX('Per Line'!$H$2:$H$6001,$V17)&amp;"")</f>
        <v/>
      </c>
      <c r="G17">
        <f>IF($V17="","",INDEX('Per Line'!$I$2:$I$6001,$V17)&amp;"")</f>
        <v/>
      </c>
      <c r="H17">
        <f>IF($V17="","",INDEX('Per Line'!$J$2:$J$6001,$V17))</f>
        <v/>
      </c>
      <c r="I17" s="7">
        <f>IF($V17="","",H17*S17/100)</f>
        <v/>
      </c>
      <c r="J17">
        <f>IF($V17="","",INDEX('Per Line'!$S$2:$S$6001,$V17)&amp;"")</f>
        <v/>
      </c>
      <c r="K17" s="7">
        <f>IF($V17="","",SUMIFS('Per Line'!$R$2:$R$6001,'Per Line'!$C$2:$C$6001,$B17,'Per Line'!$AJ$2:$AJ$6001,1))</f>
        <v/>
      </c>
      <c r="L17">
        <f>IF($V17="","",Settings!$C$7)</f>
        <v/>
      </c>
      <c r="M17" s="7">
        <f>IF($V17="","",SUMIFS('Per Line'!$R$2:$R$6001,'Per Line'!$C$2:$C$6001,$B17,'Per Line'!$AI$2:$AI$6001,0,'Per Line'!$AJ$2:$AJ$6001,0))</f>
        <v/>
      </c>
      <c r="N17" s="7">
        <f>IF($V17="","",M17*L17)</f>
        <v/>
      </c>
      <c r="O17">
        <f>IF($V17="","",Settings!$C$6)</f>
        <v/>
      </c>
      <c r="P17" s="7">
        <f>IF($V17="","",SUMIFS('Per Line'!$R$2:$R$6001,'Per Line'!$C$2:$C$6001,$B17,'Per Line'!$AI$2:$AI$6001,1,'Per Line'!$AJ$2:$AJ$6001,0))</f>
        <v/>
      </c>
      <c r="Q17" s="7">
        <f>IF($V17="","",P17*O17)</f>
        <v/>
      </c>
      <c r="R17" s="7">
        <f>IF($V17="","",Q17+N17)</f>
        <v/>
      </c>
      <c r="S17" s="7">
        <f>IF($V17="","",T17-R17)</f>
        <v/>
      </c>
      <c r="T17" s="7">
        <f>IF($V17="","",M17+P17+K17)</f>
        <v/>
      </c>
      <c r="U17" s="7">
        <f>IF($V17="","",T17-R17-I17)</f>
        <v/>
      </c>
      <c r="V17" s="13">
        <f>IF(ROWS($V$2:$V17)&lt;=MAX('Per Line'!$AH$2:$AH$6001),MATCH(ROWS($V$2:$V17),'Per Line'!$AH$2:$AH$6001,0),"")</f>
        <v/>
      </c>
    </row>
    <row r="18">
      <c r="A18" s="12" t="n"/>
      <c r="B18">
        <f>IF($V18="","",INDEX('Per Line'!$C$2:$C$6001,$V18)&amp;"")</f>
        <v/>
      </c>
      <c r="C18" s="11">
        <f>IF($V18="","",INDEX('Per Line'!$D$2:$D$6001,$V18))</f>
        <v/>
      </c>
      <c r="D18">
        <f>IF($V18="","",INDEX('Per Line'!$E$2:$E$6001,$V18)&amp;"")</f>
        <v/>
      </c>
      <c r="E18">
        <f>IF($V18="","",INDEX('Per Line'!$G$2:$G$6001,$V18)&amp;"")</f>
        <v/>
      </c>
      <c r="F18">
        <f>IF($V18="","",INDEX('Per Line'!$H$2:$H$6001,$V18)&amp;"")</f>
        <v/>
      </c>
      <c r="G18">
        <f>IF($V18="","",INDEX('Per Line'!$I$2:$I$6001,$V18)&amp;"")</f>
        <v/>
      </c>
      <c r="H18">
        <f>IF($V18="","",INDEX('Per Line'!$J$2:$J$6001,$V18))</f>
        <v/>
      </c>
      <c r="I18" s="7">
        <f>IF($V18="","",H18*S18/100)</f>
        <v/>
      </c>
      <c r="J18">
        <f>IF($V18="","",INDEX('Per Line'!$S$2:$S$6001,$V18)&amp;"")</f>
        <v/>
      </c>
      <c r="K18" s="7">
        <f>IF($V18="","",SUMIFS('Per Line'!$R$2:$R$6001,'Per Line'!$C$2:$C$6001,$B18,'Per Line'!$AJ$2:$AJ$6001,1))</f>
        <v/>
      </c>
      <c r="L18">
        <f>IF($V18="","",Settings!$C$7)</f>
        <v/>
      </c>
      <c r="M18" s="7">
        <f>IF($V18="","",SUMIFS('Per Line'!$R$2:$R$6001,'Per Line'!$C$2:$C$6001,$B18,'Per Line'!$AI$2:$AI$6001,0,'Per Line'!$AJ$2:$AJ$6001,0))</f>
        <v/>
      </c>
      <c r="N18" s="7">
        <f>IF($V18="","",M18*L18)</f>
        <v/>
      </c>
      <c r="O18">
        <f>IF($V18="","",Settings!$C$6)</f>
        <v/>
      </c>
      <c r="P18" s="7">
        <f>IF($V18="","",SUMIFS('Per Line'!$R$2:$R$6001,'Per Line'!$C$2:$C$6001,$B18,'Per Line'!$AI$2:$AI$6001,1,'Per Line'!$AJ$2:$AJ$6001,0))</f>
        <v/>
      </c>
      <c r="Q18" s="7">
        <f>IF($V18="","",P18*O18)</f>
        <v/>
      </c>
      <c r="R18" s="7">
        <f>IF($V18="","",Q18+N18)</f>
        <v/>
      </c>
      <c r="S18" s="7">
        <f>IF($V18="","",T18-R18)</f>
        <v/>
      </c>
      <c r="T18" s="7">
        <f>IF($V18="","",M18+P18+K18)</f>
        <v/>
      </c>
      <c r="U18" s="7">
        <f>IF($V18="","",T18-R18-I18)</f>
        <v/>
      </c>
      <c r="V18" s="13">
        <f>IF(ROWS($V$2:$V18)&lt;=MAX('Per Line'!$AH$2:$AH$6001),MATCH(ROWS($V$2:$V18),'Per Line'!$AH$2:$AH$6001,0),"")</f>
        <v/>
      </c>
    </row>
    <row r="19">
      <c r="A19" s="12" t="n"/>
      <c r="B19">
        <f>IF($V19="","",INDEX('Per Line'!$C$2:$C$6001,$V19)&amp;"")</f>
        <v/>
      </c>
      <c r="C19" s="11">
        <f>IF($V19="","",INDEX('Per Line'!$D$2:$D$6001,$V19))</f>
        <v/>
      </c>
      <c r="D19">
        <f>IF($V19="","",INDEX('Per Line'!$E$2:$E$6001,$V19)&amp;"")</f>
        <v/>
      </c>
      <c r="E19">
        <f>IF($V19="","",INDEX('Per Line'!$G$2:$G$6001,$V19)&amp;"")</f>
        <v/>
      </c>
      <c r="F19">
        <f>IF($V19="","",INDEX('Per Line'!$H$2:$H$6001,$V19)&amp;"")</f>
        <v/>
      </c>
      <c r="G19">
        <f>IF($V19="","",INDEX('Per Line'!$I$2:$I$6001,$V19)&amp;"")</f>
        <v/>
      </c>
      <c r="H19">
        <f>IF($V19="","",INDEX('Per Line'!$J$2:$J$6001,$V19))</f>
        <v/>
      </c>
      <c r="I19" s="7">
        <f>IF($V19="","",H19*S19/100)</f>
        <v/>
      </c>
      <c r="J19">
        <f>IF($V19="","",INDEX('Per Line'!$S$2:$S$6001,$V19)&amp;"")</f>
        <v/>
      </c>
      <c r="K19" s="7">
        <f>IF($V19="","",SUMIFS('Per Line'!$R$2:$R$6001,'Per Line'!$C$2:$C$6001,$B19,'Per Line'!$AJ$2:$AJ$6001,1))</f>
        <v/>
      </c>
      <c r="L19">
        <f>IF($V19="","",Settings!$C$7)</f>
        <v/>
      </c>
      <c r="M19" s="7">
        <f>IF($V19="","",SUMIFS('Per Line'!$R$2:$R$6001,'Per Line'!$C$2:$C$6001,$B19,'Per Line'!$AI$2:$AI$6001,0,'Per Line'!$AJ$2:$AJ$6001,0))</f>
        <v/>
      </c>
      <c r="N19" s="7">
        <f>IF($V19="","",M19*L19)</f>
        <v/>
      </c>
      <c r="O19">
        <f>IF($V19="","",Settings!$C$6)</f>
        <v/>
      </c>
      <c r="P19" s="7">
        <f>IF($V19="","",SUMIFS('Per Line'!$R$2:$R$6001,'Per Line'!$C$2:$C$6001,$B19,'Per Line'!$AI$2:$AI$6001,1,'Per Line'!$AJ$2:$AJ$6001,0))</f>
        <v/>
      </c>
      <c r="Q19" s="7">
        <f>IF($V19="","",P19*O19)</f>
        <v/>
      </c>
      <c r="R19" s="7">
        <f>IF($V19="","",Q19+N19)</f>
        <v/>
      </c>
      <c r="S19" s="7">
        <f>IF($V19="","",T19-R19)</f>
        <v/>
      </c>
      <c r="T19" s="7">
        <f>IF($V19="","",M19+P19+K19)</f>
        <v/>
      </c>
      <c r="U19" s="7">
        <f>IF($V19="","",T19-R19-I19)</f>
        <v/>
      </c>
      <c r="V19" s="13">
        <f>IF(ROWS($V$2:$V19)&lt;=MAX('Per Line'!$AH$2:$AH$6001),MATCH(ROWS($V$2:$V19),'Per Line'!$AH$2:$AH$6001,0),"")</f>
        <v/>
      </c>
    </row>
    <row r="20">
      <c r="A20" s="12" t="n"/>
      <c r="B20">
        <f>IF($V20="","",INDEX('Per Line'!$C$2:$C$6001,$V20)&amp;"")</f>
        <v/>
      </c>
      <c r="C20" s="11">
        <f>IF($V20="","",INDEX('Per Line'!$D$2:$D$6001,$V20))</f>
        <v/>
      </c>
      <c r="D20">
        <f>IF($V20="","",INDEX('Per Line'!$E$2:$E$6001,$V20)&amp;"")</f>
        <v/>
      </c>
      <c r="E20">
        <f>IF($V20="","",INDEX('Per Line'!$G$2:$G$6001,$V20)&amp;"")</f>
        <v/>
      </c>
      <c r="F20">
        <f>IF($V20="","",INDEX('Per Line'!$H$2:$H$6001,$V20)&amp;"")</f>
        <v/>
      </c>
      <c r="G20">
        <f>IF($V20="","",INDEX('Per Line'!$I$2:$I$6001,$V20)&amp;"")</f>
        <v/>
      </c>
      <c r="H20">
        <f>IF($V20="","",INDEX('Per Line'!$J$2:$J$6001,$V20))</f>
        <v/>
      </c>
      <c r="I20" s="7">
        <f>IF($V20="","",H20*S20/100)</f>
        <v/>
      </c>
      <c r="J20">
        <f>IF($V20="","",INDEX('Per Line'!$S$2:$S$6001,$V20)&amp;"")</f>
        <v/>
      </c>
      <c r="K20" s="7">
        <f>IF($V20="","",SUMIFS('Per Line'!$R$2:$R$6001,'Per Line'!$C$2:$C$6001,$B20,'Per Line'!$AJ$2:$AJ$6001,1))</f>
        <v/>
      </c>
      <c r="L20">
        <f>IF($V20="","",Settings!$C$7)</f>
        <v/>
      </c>
      <c r="M20" s="7">
        <f>IF($V20="","",SUMIFS('Per Line'!$R$2:$R$6001,'Per Line'!$C$2:$C$6001,$B20,'Per Line'!$AI$2:$AI$6001,0,'Per Line'!$AJ$2:$AJ$6001,0))</f>
        <v/>
      </c>
      <c r="N20" s="7">
        <f>IF($V20="","",M20*L20)</f>
        <v/>
      </c>
      <c r="O20">
        <f>IF($V20="","",Settings!$C$6)</f>
        <v/>
      </c>
      <c r="P20" s="7">
        <f>IF($V20="","",SUMIFS('Per Line'!$R$2:$R$6001,'Per Line'!$C$2:$C$6001,$B20,'Per Line'!$AI$2:$AI$6001,1,'Per Line'!$AJ$2:$AJ$6001,0))</f>
        <v/>
      </c>
      <c r="Q20" s="7">
        <f>IF($V20="","",P20*O20)</f>
        <v/>
      </c>
      <c r="R20" s="7">
        <f>IF($V20="","",Q20+N20)</f>
        <v/>
      </c>
      <c r="S20" s="7">
        <f>IF($V20="","",T20-R20)</f>
        <v/>
      </c>
      <c r="T20" s="7">
        <f>IF($V20="","",M20+P20+K20)</f>
        <v/>
      </c>
      <c r="U20" s="7">
        <f>IF($V20="","",T20-R20-I20)</f>
        <v/>
      </c>
      <c r="V20" s="13">
        <f>IF(ROWS($V$2:$V20)&lt;=MAX('Per Line'!$AH$2:$AH$6001),MATCH(ROWS($V$2:$V20),'Per Line'!$AH$2:$AH$6001,0),"")</f>
        <v/>
      </c>
    </row>
    <row r="21">
      <c r="A21" s="12" t="n"/>
      <c r="B21">
        <f>IF($V21="","",INDEX('Per Line'!$C$2:$C$6001,$V21)&amp;"")</f>
        <v/>
      </c>
      <c r="C21" s="11">
        <f>IF($V21="","",INDEX('Per Line'!$D$2:$D$6001,$V21))</f>
        <v/>
      </c>
      <c r="D21">
        <f>IF($V21="","",INDEX('Per Line'!$E$2:$E$6001,$V21)&amp;"")</f>
        <v/>
      </c>
      <c r="E21">
        <f>IF($V21="","",INDEX('Per Line'!$G$2:$G$6001,$V21)&amp;"")</f>
        <v/>
      </c>
      <c r="F21">
        <f>IF($V21="","",INDEX('Per Line'!$H$2:$H$6001,$V21)&amp;"")</f>
        <v/>
      </c>
      <c r="G21">
        <f>IF($V21="","",INDEX('Per Line'!$I$2:$I$6001,$V21)&amp;"")</f>
        <v/>
      </c>
      <c r="H21">
        <f>IF($V21="","",INDEX('Per Line'!$J$2:$J$6001,$V21))</f>
        <v/>
      </c>
      <c r="I21" s="7">
        <f>IF($V21="","",H21*S21/100)</f>
        <v/>
      </c>
      <c r="J21">
        <f>IF($V21="","",INDEX('Per Line'!$S$2:$S$6001,$V21)&amp;"")</f>
        <v/>
      </c>
      <c r="K21" s="7">
        <f>IF($V21="","",SUMIFS('Per Line'!$R$2:$R$6001,'Per Line'!$C$2:$C$6001,$B21,'Per Line'!$AJ$2:$AJ$6001,1))</f>
        <v/>
      </c>
      <c r="L21">
        <f>IF($V21="","",Settings!$C$7)</f>
        <v/>
      </c>
      <c r="M21" s="7">
        <f>IF($V21="","",SUMIFS('Per Line'!$R$2:$R$6001,'Per Line'!$C$2:$C$6001,$B21,'Per Line'!$AI$2:$AI$6001,0,'Per Line'!$AJ$2:$AJ$6001,0))</f>
        <v/>
      </c>
      <c r="N21" s="7">
        <f>IF($V21="","",M21*L21)</f>
        <v/>
      </c>
      <c r="O21">
        <f>IF($V21="","",Settings!$C$6)</f>
        <v/>
      </c>
      <c r="P21" s="7">
        <f>IF($V21="","",SUMIFS('Per Line'!$R$2:$R$6001,'Per Line'!$C$2:$C$6001,$B21,'Per Line'!$AI$2:$AI$6001,1,'Per Line'!$AJ$2:$AJ$6001,0))</f>
        <v/>
      </c>
      <c r="Q21" s="7">
        <f>IF($V21="","",P21*O21)</f>
        <v/>
      </c>
      <c r="R21" s="7">
        <f>IF($V21="","",Q21+N21)</f>
        <v/>
      </c>
      <c r="S21" s="7">
        <f>IF($V21="","",T21-R21)</f>
        <v/>
      </c>
      <c r="T21" s="7">
        <f>IF($V21="","",M21+P21+K21)</f>
        <v/>
      </c>
      <c r="U21" s="7">
        <f>IF($V21="","",T21-R21-I21)</f>
        <v/>
      </c>
      <c r="V21" s="13">
        <f>IF(ROWS($V$2:$V21)&lt;=MAX('Per Line'!$AH$2:$AH$6001),MATCH(ROWS($V$2:$V21),'Per Line'!$AH$2:$AH$6001,0),"")</f>
        <v/>
      </c>
    </row>
    <row r="22">
      <c r="A22" s="12" t="n"/>
      <c r="B22">
        <f>IF($V22="","",INDEX('Per Line'!$C$2:$C$6001,$V22)&amp;"")</f>
        <v/>
      </c>
      <c r="C22" s="11">
        <f>IF($V22="","",INDEX('Per Line'!$D$2:$D$6001,$V22))</f>
        <v/>
      </c>
      <c r="D22">
        <f>IF($V22="","",INDEX('Per Line'!$E$2:$E$6001,$V22)&amp;"")</f>
        <v/>
      </c>
      <c r="E22">
        <f>IF($V22="","",INDEX('Per Line'!$G$2:$G$6001,$V22)&amp;"")</f>
        <v/>
      </c>
      <c r="F22">
        <f>IF($V22="","",INDEX('Per Line'!$H$2:$H$6001,$V22)&amp;"")</f>
        <v/>
      </c>
      <c r="G22">
        <f>IF($V22="","",INDEX('Per Line'!$I$2:$I$6001,$V22)&amp;"")</f>
        <v/>
      </c>
      <c r="H22">
        <f>IF($V22="","",INDEX('Per Line'!$J$2:$J$6001,$V22))</f>
        <v/>
      </c>
      <c r="I22" s="7">
        <f>IF($V22="","",H22*S22/100)</f>
        <v/>
      </c>
      <c r="J22">
        <f>IF($V22="","",INDEX('Per Line'!$S$2:$S$6001,$V22)&amp;"")</f>
        <v/>
      </c>
      <c r="K22" s="7">
        <f>IF($V22="","",SUMIFS('Per Line'!$R$2:$R$6001,'Per Line'!$C$2:$C$6001,$B22,'Per Line'!$AJ$2:$AJ$6001,1))</f>
        <v/>
      </c>
      <c r="L22">
        <f>IF($V22="","",Settings!$C$7)</f>
        <v/>
      </c>
      <c r="M22" s="7">
        <f>IF($V22="","",SUMIFS('Per Line'!$R$2:$R$6001,'Per Line'!$C$2:$C$6001,$B22,'Per Line'!$AI$2:$AI$6001,0,'Per Line'!$AJ$2:$AJ$6001,0))</f>
        <v/>
      </c>
      <c r="N22" s="7">
        <f>IF($V22="","",M22*L22)</f>
        <v/>
      </c>
      <c r="O22">
        <f>IF($V22="","",Settings!$C$6)</f>
        <v/>
      </c>
      <c r="P22" s="7">
        <f>IF($V22="","",SUMIFS('Per Line'!$R$2:$R$6001,'Per Line'!$C$2:$C$6001,$B22,'Per Line'!$AI$2:$AI$6001,1,'Per Line'!$AJ$2:$AJ$6001,0))</f>
        <v/>
      </c>
      <c r="Q22" s="7">
        <f>IF($V22="","",P22*O22)</f>
        <v/>
      </c>
      <c r="R22" s="7">
        <f>IF($V22="","",Q22+N22)</f>
        <v/>
      </c>
      <c r="S22" s="7">
        <f>IF($V22="","",T22-R22)</f>
        <v/>
      </c>
      <c r="T22" s="7">
        <f>IF($V22="","",M22+P22+K22)</f>
        <v/>
      </c>
      <c r="U22" s="7">
        <f>IF($V22="","",T22-R22-I22)</f>
        <v/>
      </c>
      <c r="V22" s="13">
        <f>IF(ROWS($V$2:$V22)&lt;=MAX('Per Line'!$AH$2:$AH$6001),MATCH(ROWS($V$2:$V22),'Per Line'!$AH$2:$AH$6001,0),"")</f>
        <v/>
      </c>
    </row>
    <row r="23">
      <c r="A23" s="12" t="n"/>
      <c r="B23">
        <f>IF($V23="","",INDEX('Per Line'!$C$2:$C$6001,$V23)&amp;"")</f>
        <v/>
      </c>
      <c r="C23" s="11">
        <f>IF($V23="","",INDEX('Per Line'!$D$2:$D$6001,$V23))</f>
        <v/>
      </c>
      <c r="D23">
        <f>IF($V23="","",INDEX('Per Line'!$E$2:$E$6001,$V23)&amp;"")</f>
        <v/>
      </c>
      <c r="E23">
        <f>IF($V23="","",INDEX('Per Line'!$G$2:$G$6001,$V23)&amp;"")</f>
        <v/>
      </c>
      <c r="F23">
        <f>IF($V23="","",INDEX('Per Line'!$H$2:$H$6001,$V23)&amp;"")</f>
        <v/>
      </c>
      <c r="G23">
        <f>IF($V23="","",INDEX('Per Line'!$I$2:$I$6001,$V23)&amp;"")</f>
        <v/>
      </c>
      <c r="H23">
        <f>IF($V23="","",INDEX('Per Line'!$J$2:$J$6001,$V23))</f>
        <v/>
      </c>
      <c r="I23" s="7">
        <f>IF($V23="","",H23*S23/100)</f>
        <v/>
      </c>
      <c r="J23">
        <f>IF($V23="","",INDEX('Per Line'!$S$2:$S$6001,$V23)&amp;"")</f>
        <v/>
      </c>
      <c r="K23" s="7">
        <f>IF($V23="","",SUMIFS('Per Line'!$R$2:$R$6001,'Per Line'!$C$2:$C$6001,$B23,'Per Line'!$AJ$2:$AJ$6001,1))</f>
        <v/>
      </c>
      <c r="L23">
        <f>IF($V23="","",Settings!$C$7)</f>
        <v/>
      </c>
      <c r="M23" s="7">
        <f>IF($V23="","",SUMIFS('Per Line'!$R$2:$R$6001,'Per Line'!$C$2:$C$6001,$B23,'Per Line'!$AI$2:$AI$6001,0,'Per Line'!$AJ$2:$AJ$6001,0))</f>
        <v/>
      </c>
      <c r="N23" s="7">
        <f>IF($V23="","",M23*L23)</f>
        <v/>
      </c>
      <c r="O23">
        <f>IF($V23="","",Settings!$C$6)</f>
        <v/>
      </c>
      <c r="P23" s="7">
        <f>IF($V23="","",SUMIFS('Per Line'!$R$2:$R$6001,'Per Line'!$C$2:$C$6001,$B23,'Per Line'!$AI$2:$AI$6001,1,'Per Line'!$AJ$2:$AJ$6001,0))</f>
        <v/>
      </c>
      <c r="Q23" s="7">
        <f>IF($V23="","",P23*O23)</f>
        <v/>
      </c>
      <c r="R23" s="7">
        <f>IF($V23="","",Q23+N23)</f>
        <v/>
      </c>
      <c r="S23" s="7">
        <f>IF($V23="","",T23-R23)</f>
        <v/>
      </c>
      <c r="T23" s="7">
        <f>IF($V23="","",M23+P23+K23)</f>
        <v/>
      </c>
      <c r="U23" s="7">
        <f>IF($V23="","",T23-R23-I23)</f>
        <v/>
      </c>
      <c r="V23" s="13">
        <f>IF(ROWS($V$2:$V23)&lt;=MAX('Per Line'!$AH$2:$AH$6001),MATCH(ROWS($V$2:$V23),'Per Line'!$AH$2:$AH$6001,0),"")</f>
        <v/>
      </c>
    </row>
    <row r="24">
      <c r="A24" s="12" t="n"/>
      <c r="B24">
        <f>IF($V24="","",INDEX('Per Line'!$C$2:$C$6001,$V24)&amp;"")</f>
        <v/>
      </c>
      <c r="C24" s="11">
        <f>IF($V24="","",INDEX('Per Line'!$D$2:$D$6001,$V24))</f>
        <v/>
      </c>
      <c r="D24">
        <f>IF($V24="","",INDEX('Per Line'!$E$2:$E$6001,$V24)&amp;"")</f>
        <v/>
      </c>
      <c r="E24">
        <f>IF($V24="","",INDEX('Per Line'!$G$2:$G$6001,$V24)&amp;"")</f>
        <v/>
      </c>
      <c r="F24">
        <f>IF($V24="","",INDEX('Per Line'!$H$2:$H$6001,$V24)&amp;"")</f>
        <v/>
      </c>
      <c r="G24">
        <f>IF($V24="","",INDEX('Per Line'!$I$2:$I$6001,$V24)&amp;"")</f>
        <v/>
      </c>
      <c r="H24">
        <f>IF($V24="","",INDEX('Per Line'!$J$2:$J$6001,$V24))</f>
        <v/>
      </c>
      <c r="I24" s="7">
        <f>IF($V24="","",H24*S24/100)</f>
        <v/>
      </c>
      <c r="J24">
        <f>IF($V24="","",INDEX('Per Line'!$S$2:$S$6001,$V24)&amp;"")</f>
        <v/>
      </c>
      <c r="K24" s="7">
        <f>IF($V24="","",SUMIFS('Per Line'!$R$2:$R$6001,'Per Line'!$C$2:$C$6001,$B24,'Per Line'!$AJ$2:$AJ$6001,1))</f>
        <v/>
      </c>
      <c r="L24">
        <f>IF($V24="","",Settings!$C$7)</f>
        <v/>
      </c>
      <c r="M24" s="7">
        <f>IF($V24="","",SUMIFS('Per Line'!$R$2:$R$6001,'Per Line'!$C$2:$C$6001,$B24,'Per Line'!$AI$2:$AI$6001,0,'Per Line'!$AJ$2:$AJ$6001,0))</f>
        <v/>
      </c>
      <c r="N24" s="7">
        <f>IF($V24="","",M24*L24)</f>
        <v/>
      </c>
      <c r="O24">
        <f>IF($V24="","",Settings!$C$6)</f>
        <v/>
      </c>
      <c r="P24" s="7">
        <f>IF($V24="","",SUMIFS('Per Line'!$R$2:$R$6001,'Per Line'!$C$2:$C$6001,$B24,'Per Line'!$AI$2:$AI$6001,1,'Per Line'!$AJ$2:$AJ$6001,0))</f>
        <v/>
      </c>
      <c r="Q24" s="7">
        <f>IF($V24="","",P24*O24)</f>
        <v/>
      </c>
      <c r="R24" s="7">
        <f>IF($V24="","",Q24+N24)</f>
        <v/>
      </c>
      <c r="S24" s="7">
        <f>IF($V24="","",T24-R24)</f>
        <v/>
      </c>
      <c r="T24" s="7">
        <f>IF($V24="","",M24+P24+K24)</f>
        <v/>
      </c>
      <c r="U24" s="7">
        <f>IF($V24="","",T24-R24-I24)</f>
        <v/>
      </c>
      <c r="V24" s="13">
        <f>IF(ROWS($V$2:$V24)&lt;=MAX('Per Line'!$AH$2:$AH$6001),MATCH(ROWS($V$2:$V24),'Per Line'!$AH$2:$AH$6001,0),"")</f>
        <v/>
      </c>
    </row>
    <row r="25">
      <c r="A25" s="12" t="n"/>
      <c r="B25">
        <f>IF($V25="","",INDEX('Per Line'!$C$2:$C$6001,$V25)&amp;"")</f>
        <v/>
      </c>
      <c r="C25" s="11">
        <f>IF($V25="","",INDEX('Per Line'!$D$2:$D$6001,$V25))</f>
        <v/>
      </c>
      <c r="D25">
        <f>IF($V25="","",INDEX('Per Line'!$E$2:$E$6001,$V25)&amp;"")</f>
        <v/>
      </c>
      <c r="E25">
        <f>IF($V25="","",INDEX('Per Line'!$G$2:$G$6001,$V25)&amp;"")</f>
        <v/>
      </c>
      <c r="F25">
        <f>IF($V25="","",INDEX('Per Line'!$H$2:$H$6001,$V25)&amp;"")</f>
        <v/>
      </c>
      <c r="G25">
        <f>IF($V25="","",INDEX('Per Line'!$I$2:$I$6001,$V25)&amp;"")</f>
        <v/>
      </c>
      <c r="H25">
        <f>IF($V25="","",INDEX('Per Line'!$J$2:$J$6001,$V25))</f>
        <v/>
      </c>
      <c r="I25" s="7">
        <f>IF($V25="","",H25*S25/100)</f>
        <v/>
      </c>
      <c r="J25">
        <f>IF($V25="","",INDEX('Per Line'!$S$2:$S$6001,$V25)&amp;"")</f>
        <v/>
      </c>
      <c r="K25" s="7">
        <f>IF($V25="","",SUMIFS('Per Line'!$R$2:$R$6001,'Per Line'!$C$2:$C$6001,$B25,'Per Line'!$AJ$2:$AJ$6001,1))</f>
        <v/>
      </c>
      <c r="L25">
        <f>IF($V25="","",Settings!$C$7)</f>
        <v/>
      </c>
      <c r="M25" s="7">
        <f>IF($V25="","",SUMIFS('Per Line'!$R$2:$R$6001,'Per Line'!$C$2:$C$6001,$B25,'Per Line'!$AI$2:$AI$6001,0,'Per Line'!$AJ$2:$AJ$6001,0))</f>
        <v/>
      </c>
      <c r="N25" s="7">
        <f>IF($V25="","",M25*L25)</f>
        <v/>
      </c>
      <c r="O25">
        <f>IF($V25="","",Settings!$C$6)</f>
        <v/>
      </c>
      <c r="P25" s="7">
        <f>IF($V25="","",SUMIFS('Per Line'!$R$2:$R$6001,'Per Line'!$C$2:$C$6001,$B25,'Per Line'!$AI$2:$AI$6001,1,'Per Line'!$AJ$2:$AJ$6001,0))</f>
        <v/>
      </c>
      <c r="Q25" s="7">
        <f>IF($V25="","",P25*O25)</f>
        <v/>
      </c>
      <c r="R25" s="7">
        <f>IF($V25="","",Q25+N25)</f>
        <v/>
      </c>
      <c r="S25" s="7">
        <f>IF($V25="","",T25-R25)</f>
        <v/>
      </c>
      <c r="T25" s="7">
        <f>IF($V25="","",M25+P25+K25)</f>
        <v/>
      </c>
      <c r="U25" s="7">
        <f>IF($V25="","",T25-R25-I25)</f>
        <v/>
      </c>
      <c r="V25" s="13">
        <f>IF(ROWS($V$2:$V25)&lt;=MAX('Per Line'!$AH$2:$AH$6001),MATCH(ROWS($V$2:$V25),'Per Line'!$AH$2:$AH$6001,0),"")</f>
        <v/>
      </c>
    </row>
    <row r="26">
      <c r="A26" s="12" t="n"/>
      <c r="B26">
        <f>IF($V26="","",INDEX('Per Line'!$C$2:$C$6001,$V26)&amp;"")</f>
        <v/>
      </c>
      <c r="C26" s="11">
        <f>IF($V26="","",INDEX('Per Line'!$D$2:$D$6001,$V26))</f>
        <v/>
      </c>
      <c r="D26">
        <f>IF($V26="","",INDEX('Per Line'!$E$2:$E$6001,$V26)&amp;"")</f>
        <v/>
      </c>
      <c r="E26">
        <f>IF($V26="","",INDEX('Per Line'!$G$2:$G$6001,$V26)&amp;"")</f>
        <v/>
      </c>
      <c r="F26">
        <f>IF($V26="","",INDEX('Per Line'!$H$2:$H$6001,$V26)&amp;"")</f>
        <v/>
      </c>
      <c r="G26">
        <f>IF($V26="","",INDEX('Per Line'!$I$2:$I$6001,$V26)&amp;"")</f>
        <v/>
      </c>
      <c r="H26">
        <f>IF($V26="","",INDEX('Per Line'!$J$2:$J$6001,$V26))</f>
        <v/>
      </c>
      <c r="I26" s="7">
        <f>IF($V26="","",H26*S26/100)</f>
        <v/>
      </c>
      <c r="J26">
        <f>IF($V26="","",INDEX('Per Line'!$S$2:$S$6001,$V26)&amp;"")</f>
        <v/>
      </c>
      <c r="K26" s="7">
        <f>IF($V26="","",SUMIFS('Per Line'!$R$2:$R$6001,'Per Line'!$C$2:$C$6001,$B26,'Per Line'!$AJ$2:$AJ$6001,1))</f>
        <v/>
      </c>
      <c r="L26">
        <f>IF($V26="","",Settings!$C$7)</f>
        <v/>
      </c>
      <c r="M26" s="7">
        <f>IF($V26="","",SUMIFS('Per Line'!$R$2:$R$6001,'Per Line'!$C$2:$C$6001,$B26,'Per Line'!$AI$2:$AI$6001,0,'Per Line'!$AJ$2:$AJ$6001,0))</f>
        <v/>
      </c>
      <c r="N26" s="7">
        <f>IF($V26="","",M26*L26)</f>
        <v/>
      </c>
      <c r="O26">
        <f>IF($V26="","",Settings!$C$6)</f>
        <v/>
      </c>
      <c r="P26" s="7">
        <f>IF($V26="","",SUMIFS('Per Line'!$R$2:$R$6001,'Per Line'!$C$2:$C$6001,$B26,'Per Line'!$AI$2:$AI$6001,1,'Per Line'!$AJ$2:$AJ$6001,0))</f>
        <v/>
      </c>
      <c r="Q26" s="7">
        <f>IF($V26="","",P26*O26)</f>
        <v/>
      </c>
      <c r="R26" s="7">
        <f>IF($V26="","",Q26+N26)</f>
        <v/>
      </c>
      <c r="S26" s="7">
        <f>IF($V26="","",T26-R26)</f>
        <v/>
      </c>
      <c r="T26" s="7">
        <f>IF($V26="","",M26+P26+K26)</f>
        <v/>
      </c>
      <c r="U26" s="7">
        <f>IF($V26="","",T26-R26-I26)</f>
        <v/>
      </c>
      <c r="V26" s="13">
        <f>IF(ROWS($V$2:$V26)&lt;=MAX('Per Line'!$AH$2:$AH$6001),MATCH(ROWS($V$2:$V26),'Per Line'!$AH$2:$AH$6001,0),"")</f>
        <v/>
      </c>
    </row>
    <row r="27">
      <c r="A27" s="12" t="n"/>
      <c r="B27">
        <f>IF($V27="","",INDEX('Per Line'!$C$2:$C$6001,$V27)&amp;"")</f>
        <v/>
      </c>
      <c r="C27" s="11">
        <f>IF($V27="","",INDEX('Per Line'!$D$2:$D$6001,$V27))</f>
        <v/>
      </c>
      <c r="D27">
        <f>IF($V27="","",INDEX('Per Line'!$E$2:$E$6001,$V27)&amp;"")</f>
        <v/>
      </c>
      <c r="E27">
        <f>IF($V27="","",INDEX('Per Line'!$G$2:$G$6001,$V27)&amp;"")</f>
        <v/>
      </c>
      <c r="F27">
        <f>IF($V27="","",INDEX('Per Line'!$H$2:$H$6001,$V27)&amp;"")</f>
        <v/>
      </c>
      <c r="G27">
        <f>IF($V27="","",INDEX('Per Line'!$I$2:$I$6001,$V27)&amp;"")</f>
        <v/>
      </c>
      <c r="H27">
        <f>IF($V27="","",INDEX('Per Line'!$J$2:$J$6001,$V27))</f>
        <v/>
      </c>
      <c r="I27" s="7">
        <f>IF($V27="","",H27*S27/100)</f>
        <v/>
      </c>
      <c r="J27">
        <f>IF($V27="","",INDEX('Per Line'!$S$2:$S$6001,$V27)&amp;"")</f>
        <v/>
      </c>
      <c r="K27" s="7">
        <f>IF($V27="","",SUMIFS('Per Line'!$R$2:$R$6001,'Per Line'!$C$2:$C$6001,$B27,'Per Line'!$AJ$2:$AJ$6001,1))</f>
        <v/>
      </c>
      <c r="L27">
        <f>IF($V27="","",Settings!$C$7)</f>
        <v/>
      </c>
      <c r="M27" s="7">
        <f>IF($V27="","",SUMIFS('Per Line'!$R$2:$R$6001,'Per Line'!$C$2:$C$6001,$B27,'Per Line'!$AI$2:$AI$6001,0,'Per Line'!$AJ$2:$AJ$6001,0))</f>
        <v/>
      </c>
      <c r="N27" s="7">
        <f>IF($V27="","",M27*L27)</f>
        <v/>
      </c>
      <c r="O27">
        <f>IF($V27="","",Settings!$C$6)</f>
        <v/>
      </c>
      <c r="P27" s="7">
        <f>IF($V27="","",SUMIFS('Per Line'!$R$2:$R$6001,'Per Line'!$C$2:$C$6001,$B27,'Per Line'!$AI$2:$AI$6001,1,'Per Line'!$AJ$2:$AJ$6001,0))</f>
        <v/>
      </c>
      <c r="Q27" s="7">
        <f>IF($V27="","",P27*O27)</f>
        <v/>
      </c>
      <c r="R27" s="7">
        <f>IF($V27="","",Q27+N27)</f>
        <v/>
      </c>
      <c r="S27" s="7">
        <f>IF($V27="","",T27-R27)</f>
        <v/>
      </c>
      <c r="T27" s="7">
        <f>IF($V27="","",M27+P27+K27)</f>
        <v/>
      </c>
      <c r="U27" s="7">
        <f>IF($V27="","",T27-R27-I27)</f>
        <v/>
      </c>
      <c r="V27" s="13">
        <f>IF(ROWS($V$2:$V27)&lt;=MAX('Per Line'!$AH$2:$AH$6001),MATCH(ROWS($V$2:$V27),'Per Line'!$AH$2:$AH$6001,0),"")</f>
        <v/>
      </c>
    </row>
    <row r="28">
      <c r="A28" s="12" t="n"/>
      <c r="B28">
        <f>IF($V28="","",INDEX('Per Line'!$C$2:$C$6001,$V28)&amp;"")</f>
        <v/>
      </c>
      <c r="C28" s="11">
        <f>IF($V28="","",INDEX('Per Line'!$D$2:$D$6001,$V28))</f>
        <v/>
      </c>
      <c r="D28">
        <f>IF($V28="","",INDEX('Per Line'!$E$2:$E$6001,$V28)&amp;"")</f>
        <v/>
      </c>
      <c r="E28">
        <f>IF($V28="","",INDEX('Per Line'!$G$2:$G$6001,$V28)&amp;"")</f>
        <v/>
      </c>
      <c r="F28">
        <f>IF($V28="","",INDEX('Per Line'!$H$2:$H$6001,$V28)&amp;"")</f>
        <v/>
      </c>
      <c r="G28">
        <f>IF($V28="","",INDEX('Per Line'!$I$2:$I$6001,$V28)&amp;"")</f>
        <v/>
      </c>
      <c r="H28">
        <f>IF($V28="","",INDEX('Per Line'!$J$2:$J$6001,$V28))</f>
        <v/>
      </c>
      <c r="I28" s="7">
        <f>IF($V28="","",H28*S28/100)</f>
        <v/>
      </c>
      <c r="J28">
        <f>IF($V28="","",INDEX('Per Line'!$S$2:$S$6001,$V28)&amp;"")</f>
        <v/>
      </c>
      <c r="K28" s="7">
        <f>IF($V28="","",SUMIFS('Per Line'!$R$2:$R$6001,'Per Line'!$C$2:$C$6001,$B28,'Per Line'!$AJ$2:$AJ$6001,1))</f>
        <v/>
      </c>
      <c r="L28">
        <f>IF($V28="","",Settings!$C$7)</f>
        <v/>
      </c>
      <c r="M28" s="7">
        <f>IF($V28="","",SUMIFS('Per Line'!$R$2:$R$6001,'Per Line'!$C$2:$C$6001,$B28,'Per Line'!$AI$2:$AI$6001,0,'Per Line'!$AJ$2:$AJ$6001,0))</f>
        <v/>
      </c>
      <c r="N28" s="7">
        <f>IF($V28="","",M28*L28)</f>
        <v/>
      </c>
      <c r="O28">
        <f>IF($V28="","",Settings!$C$6)</f>
        <v/>
      </c>
      <c r="P28" s="7">
        <f>IF($V28="","",SUMIFS('Per Line'!$R$2:$R$6001,'Per Line'!$C$2:$C$6001,$B28,'Per Line'!$AI$2:$AI$6001,1,'Per Line'!$AJ$2:$AJ$6001,0))</f>
        <v/>
      </c>
      <c r="Q28" s="7">
        <f>IF($V28="","",P28*O28)</f>
        <v/>
      </c>
      <c r="R28" s="7">
        <f>IF($V28="","",Q28+N28)</f>
        <v/>
      </c>
      <c r="S28" s="7">
        <f>IF($V28="","",T28-R28)</f>
        <v/>
      </c>
      <c r="T28" s="7">
        <f>IF($V28="","",M28+P28+K28)</f>
        <v/>
      </c>
      <c r="U28" s="7">
        <f>IF($V28="","",T28-R28-I28)</f>
        <v/>
      </c>
      <c r="V28" s="13">
        <f>IF(ROWS($V$2:$V28)&lt;=MAX('Per Line'!$AH$2:$AH$6001),MATCH(ROWS($V$2:$V28),'Per Line'!$AH$2:$AH$6001,0),"")</f>
        <v/>
      </c>
    </row>
    <row r="29">
      <c r="A29" s="12" t="n"/>
      <c r="B29">
        <f>IF($V29="","",INDEX('Per Line'!$C$2:$C$6001,$V29)&amp;"")</f>
        <v/>
      </c>
      <c r="C29" s="11">
        <f>IF($V29="","",INDEX('Per Line'!$D$2:$D$6001,$V29))</f>
        <v/>
      </c>
      <c r="D29">
        <f>IF($V29="","",INDEX('Per Line'!$E$2:$E$6001,$V29)&amp;"")</f>
        <v/>
      </c>
      <c r="E29">
        <f>IF($V29="","",INDEX('Per Line'!$G$2:$G$6001,$V29)&amp;"")</f>
        <v/>
      </c>
      <c r="F29">
        <f>IF($V29="","",INDEX('Per Line'!$H$2:$H$6001,$V29)&amp;"")</f>
        <v/>
      </c>
      <c r="G29">
        <f>IF($V29="","",INDEX('Per Line'!$I$2:$I$6001,$V29)&amp;"")</f>
        <v/>
      </c>
      <c r="H29">
        <f>IF($V29="","",INDEX('Per Line'!$J$2:$J$6001,$V29))</f>
        <v/>
      </c>
      <c r="I29" s="7">
        <f>IF($V29="","",H29*S29/100)</f>
        <v/>
      </c>
      <c r="J29">
        <f>IF($V29="","",INDEX('Per Line'!$S$2:$S$6001,$V29)&amp;"")</f>
        <v/>
      </c>
      <c r="K29" s="7">
        <f>IF($V29="","",SUMIFS('Per Line'!$R$2:$R$6001,'Per Line'!$C$2:$C$6001,$B29,'Per Line'!$AJ$2:$AJ$6001,1))</f>
        <v/>
      </c>
      <c r="L29">
        <f>IF($V29="","",Settings!$C$7)</f>
        <v/>
      </c>
      <c r="M29" s="7">
        <f>IF($V29="","",SUMIFS('Per Line'!$R$2:$R$6001,'Per Line'!$C$2:$C$6001,$B29,'Per Line'!$AI$2:$AI$6001,0,'Per Line'!$AJ$2:$AJ$6001,0))</f>
        <v/>
      </c>
      <c r="N29" s="7">
        <f>IF($V29="","",M29*L29)</f>
        <v/>
      </c>
      <c r="O29">
        <f>IF($V29="","",Settings!$C$6)</f>
        <v/>
      </c>
      <c r="P29" s="7">
        <f>IF($V29="","",SUMIFS('Per Line'!$R$2:$R$6001,'Per Line'!$C$2:$C$6001,$B29,'Per Line'!$AI$2:$AI$6001,1,'Per Line'!$AJ$2:$AJ$6001,0))</f>
        <v/>
      </c>
      <c r="Q29" s="7">
        <f>IF($V29="","",P29*O29)</f>
        <v/>
      </c>
      <c r="R29" s="7">
        <f>IF($V29="","",Q29+N29)</f>
        <v/>
      </c>
      <c r="S29" s="7">
        <f>IF($V29="","",T29-R29)</f>
        <v/>
      </c>
      <c r="T29" s="7">
        <f>IF($V29="","",M29+P29+K29)</f>
        <v/>
      </c>
      <c r="U29" s="7">
        <f>IF($V29="","",T29-R29-I29)</f>
        <v/>
      </c>
      <c r="V29" s="13">
        <f>IF(ROWS($V$2:$V29)&lt;=MAX('Per Line'!$AH$2:$AH$6001),MATCH(ROWS($V$2:$V29),'Per Line'!$AH$2:$AH$6001,0),"")</f>
        <v/>
      </c>
    </row>
    <row r="30">
      <c r="A30" s="12" t="n"/>
      <c r="B30">
        <f>IF($V30="","",INDEX('Per Line'!$C$2:$C$6001,$V30)&amp;"")</f>
        <v/>
      </c>
      <c r="C30" s="11">
        <f>IF($V30="","",INDEX('Per Line'!$D$2:$D$6001,$V30))</f>
        <v/>
      </c>
      <c r="D30">
        <f>IF($V30="","",INDEX('Per Line'!$E$2:$E$6001,$V30)&amp;"")</f>
        <v/>
      </c>
      <c r="E30">
        <f>IF($V30="","",INDEX('Per Line'!$G$2:$G$6001,$V30)&amp;"")</f>
        <v/>
      </c>
      <c r="F30">
        <f>IF($V30="","",INDEX('Per Line'!$H$2:$H$6001,$V30)&amp;"")</f>
        <v/>
      </c>
      <c r="G30">
        <f>IF($V30="","",INDEX('Per Line'!$I$2:$I$6001,$V30)&amp;"")</f>
        <v/>
      </c>
      <c r="H30">
        <f>IF($V30="","",INDEX('Per Line'!$J$2:$J$6001,$V30))</f>
        <v/>
      </c>
      <c r="I30" s="7">
        <f>IF($V30="","",H30*S30/100)</f>
        <v/>
      </c>
      <c r="J30">
        <f>IF($V30="","",INDEX('Per Line'!$S$2:$S$6001,$V30)&amp;"")</f>
        <v/>
      </c>
      <c r="K30" s="7">
        <f>IF($V30="","",SUMIFS('Per Line'!$R$2:$R$6001,'Per Line'!$C$2:$C$6001,$B30,'Per Line'!$AJ$2:$AJ$6001,1))</f>
        <v/>
      </c>
      <c r="L30">
        <f>IF($V30="","",Settings!$C$7)</f>
        <v/>
      </c>
      <c r="M30" s="7">
        <f>IF($V30="","",SUMIFS('Per Line'!$R$2:$R$6001,'Per Line'!$C$2:$C$6001,$B30,'Per Line'!$AI$2:$AI$6001,0,'Per Line'!$AJ$2:$AJ$6001,0))</f>
        <v/>
      </c>
      <c r="N30" s="7">
        <f>IF($V30="","",M30*L30)</f>
        <v/>
      </c>
      <c r="O30">
        <f>IF($V30="","",Settings!$C$6)</f>
        <v/>
      </c>
      <c r="P30" s="7">
        <f>IF($V30="","",SUMIFS('Per Line'!$R$2:$R$6001,'Per Line'!$C$2:$C$6001,$B30,'Per Line'!$AI$2:$AI$6001,1,'Per Line'!$AJ$2:$AJ$6001,0))</f>
        <v/>
      </c>
      <c r="Q30" s="7">
        <f>IF($V30="","",P30*O30)</f>
        <v/>
      </c>
      <c r="R30" s="7">
        <f>IF($V30="","",Q30+N30)</f>
        <v/>
      </c>
      <c r="S30" s="7">
        <f>IF($V30="","",T30-R30)</f>
        <v/>
      </c>
      <c r="T30" s="7">
        <f>IF($V30="","",M30+P30+K30)</f>
        <v/>
      </c>
      <c r="U30" s="7">
        <f>IF($V30="","",T30-R30-I30)</f>
        <v/>
      </c>
      <c r="V30" s="13">
        <f>IF(ROWS($V$2:$V30)&lt;=MAX('Per Line'!$AH$2:$AH$6001),MATCH(ROWS($V$2:$V30),'Per Line'!$AH$2:$AH$6001,0),"")</f>
        <v/>
      </c>
    </row>
    <row r="31">
      <c r="A31" s="12" t="n"/>
      <c r="B31">
        <f>IF($V31="","",INDEX('Per Line'!$C$2:$C$6001,$V31)&amp;"")</f>
        <v/>
      </c>
      <c r="C31" s="11">
        <f>IF($V31="","",INDEX('Per Line'!$D$2:$D$6001,$V31))</f>
        <v/>
      </c>
      <c r="D31">
        <f>IF($V31="","",INDEX('Per Line'!$E$2:$E$6001,$V31)&amp;"")</f>
        <v/>
      </c>
      <c r="E31">
        <f>IF($V31="","",INDEX('Per Line'!$G$2:$G$6001,$V31)&amp;"")</f>
        <v/>
      </c>
      <c r="F31">
        <f>IF($V31="","",INDEX('Per Line'!$H$2:$H$6001,$V31)&amp;"")</f>
        <v/>
      </c>
      <c r="G31">
        <f>IF($V31="","",INDEX('Per Line'!$I$2:$I$6001,$V31)&amp;"")</f>
        <v/>
      </c>
      <c r="H31">
        <f>IF($V31="","",INDEX('Per Line'!$J$2:$J$6001,$V31))</f>
        <v/>
      </c>
      <c r="I31" s="7">
        <f>IF($V31="","",H31*S31/100)</f>
        <v/>
      </c>
      <c r="J31">
        <f>IF($V31="","",INDEX('Per Line'!$S$2:$S$6001,$V31)&amp;"")</f>
        <v/>
      </c>
      <c r="K31" s="7">
        <f>IF($V31="","",SUMIFS('Per Line'!$R$2:$R$6001,'Per Line'!$C$2:$C$6001,$B31,'Per Line'!$AJ$2:$AJ$6001,1))</f>
        <v/>
      </c>
      <c r="L31">
        <f>IF($V31="","",Settings!$C$7)</f>
        <v/>
      </c>
      <c r="M31" s="7">
        <f>IF($V31="","",SUMIFS('Per Line'!$R$2:$R$6001,'Per Line'!$C$2:$C$6001,$B31,'Per Line'!$AI$2:$AI$6001,0,'Per Line'!$AJ$2:$AJ$6001,0))</f>
        <v/>
      </c>
      <c r="N31" s="7">
        <f>IF($V31="","",M31*L31)</f>
        <v/>
      </c>
      <c r="O31">
        <f>IF($V31="","",Settings!$C$6)</f>
        <v/>
      </c>
      <c r="P31" s="7">
        <f>IF($V31="","",SUMIFS('Per Line'!$R$2:$R$6001,'Per Line'!$C$2:$C$6001,$B31,'Per Line'!$AI$2:$AI$6001,1,'Per Line'!$AJ$2:$AJ$6001,0))</f>
        <v/>
      </c>
      <c r="Q31" s="7">
        <f>IF($V31="","",P31*O31)</f>
        <v/>
      </c>
      <c r="R31" s="7">
        <f>IF($V31="","",Q31+N31)</f>
        <v/>
      </c>
      <c r="S31" s="7">
        <f>IF($V31="","",T31-R31)</f>
        <v/>
      </c>
      <c r="T31" s="7">
        <f>IF($V31="","",M31+P31+K31)</f>
        <v/>
      </c>
      <c r="U31" s="7">
        <f>IF($V31="","",T31-R31-I31)</f>
        <v/>
      </c>
      <c r="V31" s="13">
        <f>IF(ROWS($V$2:$V31)&lt;=MAX('Per Line'!$AH$2:$AH$6001),MATCH(ROWS($V$2:$V31),'Per Line'!$AH$2:$AH$6001,0),"")</f>
        <v/>
      </c>
    </row>
    <row r="32">
      <c r="A32" s="12" t="n"/>
      <c r="B32">
        <f>IF($V32="","",INDEX('Per Line'!$C$2:$C$6001,$V32)&amp;"")</f>
        <v/>
      </c>
      <c r="C32" s="11">
        <f>IF($V32="","",INDEX('Per Line'!$D$2:$D$6001,$V32))</f>
        <v/>
      </c>
      <c r="D32">
        <f>IF($V32="","",INDEX('Per Line'!$E$2:$E$6001,$V32)&amp;"")</f>
        <v/>
      </c>
      <c r="E32">
        <f>IF($V32="","",INDEX('Per Line'!$G$2:$G$6001,$V32)&amp;"")</f>
        <v/>
      </c>
      <c r="F32">
        <f>IF($V32="","",INDEX('Per Line'!$H$2:$H$6001,$V32)&amp;"")</f>
        <v/>
      </c>
      <c r="G32">
        <f>IF($V32="","",INDEX('Per Line'!$I$2:$I$6001,$V32)&amp;"")</f>
        <v/>
      </c>
      <c r="H32">
        <f>IF($V32="","",INDEX('Per Line'!$J$2:$J$6001,$V32))</f>
        <v/>
      </c>
      <c r="I32" s="7">
        <f>IF($V32="","",H32*S32/100)</f>
        <v/>
      </c>
      <c r="J32">
        <f>IF($V32="","",INDEX('Per Line'!$S$2:$S$6001,$V32)&amp;"")</f>
        <v/>
      </c>
      <c r="K32" s="7">
        <f>IF($V32="","",SUMIFS('Per Line'!$R$2:$R$6001,'Per Line'!$C$2:$C$6001,$B32,'Per Line'!$AJ$2:$AJ$6001,1))</f>
        <v/>
      </c>
      <c r="L32">
        <f>IF($V32="","",Settings!$C$7)</f>
        <v/>
      </c>
      <c r="M32" s="7">
        <f>IF($V32="","",SUMIFS('Per Line'!$R$2:$R$6001,'Per Line'!$C$2:$C$6001,$B32,'Per Line'!$AI$2:$AI$6001,0,'Per Line'!$AJ$2:$AJ$6001,0))</f>
        <v/>
      </c>
      <c r="N32" s="7">
        <f>IF($V32="","",M32*L32)</f>
        <v/>
      </c>
      <c r="O32">
        <f>IF($V32="","",Settings!$C$6)</f>
        <v/>
      </c>
      <c r="P32" s="7">
        <f>IF($V32="","",SUMIFS('Per Line'!$R$2:$R$6001,'Per Line'!$C$2:$C$6001,$B32,'Per Line'!$AI$2:$AI$6001,1,'Per Line'!$AJ$2:$AJ$6001,0))</f>
        <v/>
      </c>
      <c r="Q32" s="7">
        <f>IF($V32="","",P32*O32)</f>
        <v/>
      </c>
      <c r="R32" s="7">
        <f>IF($V32="","",Q32+N32)</f>
        <v/>
      </c>
      <c r="S32" s="7">
        <f>IF($V32="","",T32-R32)</f>
        <v/>
      </c>
      <c r="T32" s="7">
        <f>IF($V32="","",M32+P32+K32)</f>
        <v/>
      </c>
      <c r="U32" s="7">
        <f>IF($V32="","",T32-R32-I32)</f>
        <v/>
      </c>
      <c r="V32" s="13">
        <f>IF(ROWS($V$2:$V32)&lt;=MAX('Per Line'!$AH$2:$AH$6001),MATCH(ROWS($V$2:$V32),'Per Line'!$AH$2:$AH$6001,0),"")</f>
        <v/>
      </c>
    </row>
    <row r="33">
      <c r="A33" s="12" t="n"/>
      <c r="B33">
        <f>IF($V33="","",INDEX('Per Line'!$C$2:$C$6001,$V33)&amp;"")</f>
        <v/>
      </c>
      <c r="C33" s="11">
        <f>IF($V33="","",INDEX('Per Line'!$D$2:$D$6001,$V33))</f>
        <v/>
      </c>
      <c r="D33">
        <f>IF($V33="","",INDEX('Per Line'!$E$2:$E$6001,$V33)&amp;"")</f>
        <v/>
      </c>
      <c r="E33">
        <f>IF($V33="","",INDEX('Per Line'!$G$2:$G$6001,$V33)&amp;"")</f>
        <v/>
      </c>
      <c r="F33">
        <f>IF($V33="","",INDEX('Per Line'!$H$2:$H$6001,$V33)&amp;"")</f>
        <v/>
      </c>
      <c r="G33">
        <f>IF($V33="","",INDEX('Per Line'!$I$2:$I$6001,$V33)&amp;"")</f>
        <v/>
      </c>
      <c r="H33">
        <f>IF($V33="","",INDEX('Per Line'!$J$2:$J$6001,$V33))</f>
        <v/>
      </c>
      <c r="I33" s="7">
        <f>IF($V33="","",H33*S33/100)</f>
        <v/>
      </c>
      <c r="J33">
        <f>IF($V33="","",INDEX('Per Line'!$S$2:$S$6001,$V33)&amp;"")</f>
        <v/>
      </c>
      <c r="K33" s="7">
        <f>IF($V33="","",SUMIFS('Per Line'!$R$2:$R$6001,'Per Line'!$C$2:$C$6001,$B33,'Per Line'!$AJ$2:$AJ$6001,1))</f>
        <v/>
      </c>
      <c r="L33">
        <f>IF($V33="","",Settings!$C$7)</f>
        <v/>
      </c>
      <c r="M33" s="7">
        <f>IF($V33="","",SUMIFS('Per Line'!$R$2:$R$6001,'Per Line'!$C$2:$C$6001,$B33,'Per Line'!$AI$2:$AI$6001,0,'Per Line'!$AJ$2:$AJ$6001,0))</f>
        <v/>
      </c>
      <c r="N33" s="7">
        <f>IF($V33="","",M33*L33)</f>
        <v/>
      </c>
      <c r="O33">
        <f>IF($V33="","",Settings!$C$6)</f>
        <v/>
      </c>
      <c r="P33" s="7">
        <f>IF($V33="","",SUMIFS('Per Line'!$R$2:$R$6001,'Per Line'!$C$2:$C$6001,$B33,'Per Line'!$AI$2:$AI$6001,1,'Per Line'!$AJ$2:$AJ$6001,0))</f>
        <v/>
      </c>
      <c r="Q33" s="7">
        <f>IF($V33="","",P33*O33)</f>
        <v/>
      </c>
      <c r="R33" s="7">
        <f>IF($V33="","",Q33+N33)</f>
        <v/>
      </c>
      <c r="S33" s="7">
        <f>IF($V33="","",T33-R33)</f>
        <v/>
      </c>
      <c r="T33" s="7">
        <f>IF($V33="","",M33+P33+K33)</f>
        <v/>
      </c>
      <c r="U33" s="7">
        <f>IF($V33="","",T33-R33-I33)</f>
        <v/>
      </c>
      <c r="V33" s="13">
        <f>IF(ROWS($V$2:$V33)&lt;=MAX('Per Line'!$AH$2:$AH$6001),MATCH(ROWS($V$2:$V33),'Per Line'!$AH$2:$AH$6001,0),"")</f>
        <v/>
      </c>
    </row>
    <row r="34">
      <c r="A34" s="12" t="n"/>
      <c r="B34">
        <f>IF($V34="","",INDEX('Per Line'!$C$2:$C$6001,$V34)&amp;"")</f>
        <v/>
      </c>
      <c r="C34" s="11">
        <f>IF($V34="","",INDEX('Per Line'!$D$2:$D$6001,$V34))</f>
        <v/>
      </c>
      <c r="D34">
        <f>IF($V34="","",INDEX('Per Line'!$E$2:$E$6001,$V34)&amp;"")</f>
        <v/>
      </c>
      <c r="E34">
        <f>IF($V34="","",INDEX('Per Line'!$G$2:$G$6001,$V34)&amp;"")</f>
        <v/>
      </c>
      <c r="F34">
        <f>IF($V34="","",INDEX('Per Line'!$H$2:$H$6001,$V34)&amp;"")</f>
        <v/>
      </c>
      <c r="G34">
        <f>IF($V34="","",INDEX('Per Line'!$I$2:$I$6001,$V34)&amp;"")</f>
        <v/>
      </c>
      <c r="H34">
        <f>IF($V34="","",INDEX('Per Line'!$J$2:$J$6001,$V34))</f>
        <v/>
      </c>
      <c r="I34" s="7">
        <f>IF($V34="","",H34*S34/100)</f>
        <v/>
      </c>
      <c r="J34">
        <f>IF($V34="","",INDEX('Per Line'!$S$2:$S$6001,$V34)&amp;"")</f>
        <v/>
      </c>
      <c r="K34" s="7">
        <f>IF($V34="","",SUMIFS('Per Line'!$R$2:$R$6001,'Per Line'!$C$2:$C$6001,$B34,'Per Line'!$AJ$2:$AJ$6001,1))</f>
        <v/>
      </c>
      <c r="L34">
        <f>IF($V34="","",Settings!$C$7)</f>
        <v/>
      </c>
      <c r="M34" s="7">
        <f>IF($V34="","",SUMIFS('Per Line'!$R$2:$R$6001,'Per Line'!$C$2:$C$6001,$B34,'Per Line'!$AI$2:$AI$6001,0,'Per Line'!$AJ$2:$AJ$6001,0))</f>
        <v/>
      </c>
      <c r="N34" s="7">
        <f>IF($V34="","",M34*L34)</f>
        <v/>
      </c>
      <c r="O34">
        <f>IF($V34="","",Settings!$C$6)</f>
        <v/>
      </c>
      <c r="P34" s="7">
        <f>IF($V34="","",SUMIFS('Per Line'!$R$2:$R$6001,'Per Line'!$C$2:$C$6001,$B34,'Per Line'!$AI$2:$AI$6001,1,'Per Line'!$AJ$2:$AJ$6001,0))</f>
        <v/>
      </c>
      <c r="Q34" s="7">
        <f>IF($V34="","",P34*O34)</f>
        <v/>
      </c>
      <c r="R34" s="7">
        <f>IF($V34="","",Q34+N34)</f>
        <v/>
      </c>
      <c r="S34" s="7">
        <f>IF($V34="","",T34-R34)</f>
        <v/>
      </c>
      <c r="T34" s="7">
        <f>IF($V34="","",M34+P34+K34)</f>
        <v/>
      </c>
      <c r="U34" s="7">
        <f>IF($V34="","",T34-R34-I34)</f>
        <v/>
      </c>
      <c r="V34" s="13">
        <f>IF(ROWS($V$2:$V34)&lt;=MAX('Per Line'!$AH$2:$AH$6001),MATCH(ROWS($V$2:$V34),'Per Line'!$AH$2:$AH$6001,0),"")</f>
        <v/>
      </c>
    </row>
    <row r="35">
      <c r="A35" s="12" t="n"/>
      <c r="B35">
        <f>IF($V35="","",INDEX('Per Line'!$C$2:$C$6001,$V35)&amp;"")</f>
        <v/>
      </c>
      <c r="C35" s="11">
        <f>IF($V35="","",INDEX('Per Line'!$D$2:$D$6001,$V35))</f>
        <v/>
      </c>
      <c r="D35">
        <f>IF($V35="","",INDEX('Per Line'!$E$2:$E$6001,$V35)&amp;"")</f>
        <v/>
      </c>
      <c r="E35">
        <f>IF($V35="","",INDEX('Per Line'!$G$2:$G$6001,$V35)&amp;"")</f>
        <v/>
      </c>
      <c r="F35">
        <f>IF($V35="","",INDEX('Per Line'!$H$2:$H$6001,$V35)&amp;"")</f>
        <v/>
      </c>
      <c r="G35">
        <f>IF($V35="","",INDEX('Per Line'!$I$2:$I$6001,$V35)&amp;"")</f>
        <v/>
      </c>
      <c r="H35">
        <f>IF($V35="","",INDEX('Per Line'!$J$2:$J$6001,$V35))</f>
        <v/>
      </c>
      <c r="I35" s="7">
        <f>IF($V35="","",H35*S35/100)</f>
        <v/>
      </c>
      <c r="J35">
        <f>IF($V35="","",INDEX('Per Line'!$S$2:$S$6001,$V35)&amp;"")</f>
        <v/>
      </c>
      <c r="K35" s="7">
        <f>IF($V35="","",SUMIFS('Per Line'!$R$2:$R$6001,'Per Line'!$C$2:$C$6001,$B35,'Per Line'!$AJ$2:$AJ$6001,1))</f>
        <v/>
      </c>
      <c r="L35">
        <f>IF($V35="","",Settings!$C$7)</f>
        <v/>
      </c>
      <c r="M35" s="7">
        <f>IF($V35="","",SUMIFS('Per Line'!$R$2:$R$6001,'Per Line'!$C$2:$C$6001,$B35,'Per Line'!$AI$2:$AI$6001,0,'Per Line'!$AJ$2:$AJ$6001,0))</f>
        <v/>
      </c>
      <c r="N35" s="7">
        <f>IF($V35="","",M35*L35)</f>
        <v/>
      </c>
      <c r="O35">
        <f>IF($V35="","",Settings!$C$6)</f>
        <v/>
      </c>
      <c r="P35" s="7">
        <f>IF($V35="","",SUMIFS('Per Line'!$R$2:$R$6001,'Per Line'!$C$2:$C$6001,$B35,'Per Line'!$AI$2:$AI$6001,1,'Per Line'!$AJ$2:$AJ$6001,0))</f>
        <v/>
      </c>
      <c r="Q35" s="7">
        <f>IF($V35="","",P35*O35)</f>
        <v/>
      </c>
      <c r="R35" s="7">
        <f>IF($V35="","",Q35+N35)</f>
        <v/>
      </c>
      <c r="S35" s="7">
        <f>IF($V35="","",T35-R35)</f>
        <v/>
      </c>
      <c r="T35" s="7">
        <f>IF($V35="","",M35+P35+K35)</f>
        <v/>
      </c>
      <c r="U35" s="7">
        <f>IF($V35="","",T35-R35-I35)</f>
        <v/>
      </c>
      <c r="V35" s="13">
        <f>IF(ROWS($V$2:$V35)&lt;=MAX('Per Line'!$AH$2:$AH$6001),MATCH(ROWS($V$2:$V35),'Per Line'!$AH$2:$AH$6001,0),"")</f>
        <v/>
      </c>
    </row>
    <row r="36">
      <c r="A36" s="12" t="n"/>
      <c r="B36">
        <f>IF($V36="","",INDEX('Per Line'!$C$2:$C$6001,$V36)&amp;"")</f>
        <v/>
      </c>
      <c r="C36" s="11">
        <f>IF($V36="","",INDEX('Per Line'!$D$2:$D$6001,$V36))</f>
        <v/>
      </c>
      <c r="D36">
        <f>IF($V36="","",INDEX('Per Line'!$E$2:$E$6001,$V36)&amp;"")</f>
        <v/>
      </c>
      <c r="E36">
        <f>IF($V36="","",INDEX('Per Line'!$G$2:$G$6001,$V36)&amp;"")</f>
        <v/>
      </c>
      <c r="F36">
        <f>IF($V36="","",INDEX('Per Line'!$H$2:$H$6001,$V36)&amp;"")</f>
        <v/>
      </c>
      <c r="G36">
        <f>IF($V36="","",INDEX('Per Line'!$I$2:$I$6001,$V36)&amp;"")</f>
        <v/>
      </c>
      <c r="H36">
        <f>IF($V36="","",INDEX('Per Line'!$J$2:$J$6001,$V36))</f>
        <v/>
      </c>
      <c r="I36" s="7">
        <f>IF($V36="","",H36*S36/100)</f>
        <v/>
      </c>
      <c r="J36">
        <f>IF($V36="","",INDEX('Per Line'!$S$2:$S$6001,$V36)&amp;"")</f>
        <v/>
      </c>
      <c r="K36" s="7">
        <f>IF($V36="","",SUMIFS('Per Line'!$R$2:$R$6001,'Per Line'!$C$2:$C$6001,$B36,'Per Line'!$AJ$2:$AJ$6001,1))</f>
        <v/>
      </c>
      <c r="L36">
        <f>IF($V36="","",Settings!$C$7)</f>
        <v/>
      </c>
      <c r="M36" s="7">
        <f>IF($V36="","",SUMIFS('Per Line'!$R$2:$R$6001,'Per Line'!$C$2:$C$6001,$B36,'Per Line'!$AI$2:$AI$6001,0,'Per Line'!$AJ$2:$AJ$6001,0))</f>
        <v/>
      </c>
      <c r="N36" s="7">
        <f>IF($V36="","",M36*L36)</f>
        <v/>
      </c>
      <c r="O36">
        <f>IF($V36="","",Settings!$C$6)</f>
        <v/>
      </c>
      <c r="P36" s="7">
        <f>IF($V36="","",SUMIFS('Per Line'!$R$2:$R$6001,'Per Line'!$C$2:$C$6001,$B36,'Per Line'!$AI$2:$AI$6001,1,'Per Line'!$AJ$2:$AJ$6001,0))</f>
        <v/>
      </c>
      <c r="Q36" s="7">
        <f>IF($V36="","",P36*O36)</f>
        <v/>
      </c>
      <c r="R36" s="7">
        <f>IF($V36="","",Q36+N36)</f>
        <v/>
      </c>
      <c r="S36" s="7">
        <f>IF($V36="","",T36-R36)</f>
        <v/>
      </c>
      <c r="T36" s="7">
        <f>IF($V36="","",M36+P36+K36)</f>
        <v/>
      </c>
      <c r="U36" s="7">
        <f>IF($V36="","",T36-R36-I36)</f>
        <v/>
      </c>
      <c r="V36" s="13">
        <f>IF(ROWS($V$2:$V36)&lt;=MAX('Per Line'!$AH$2:$AH$6001),MATCH(ROWS($V$2:$V36),'Per Line'!$AH$2:$AH$6001,0),"")</f>
        <v/>
      </c>
    </row>
    <row r="37">
      <c r="A37" s="12" t="n"/>
      <c r="B37">
        <f>IF($V37="","",INDEX('Per Line'!$C$2:$C$6001,$V37)&amp;"")</f>
        <v/>
      </c>
      <c r="C37" s="11">
        <f>IF($V37="","",INDEX('Per Line'!$D$2:$D$6001,$V37))</f>
        <v/>
      </c>
      <c r="D37">
        <f>IF($V37="","",INDEX('Per Line'!$E$2:$E$6001,$V37)&amp;"")</f>
        <v/>
      </c>
      <c r="E37">
        <f>IF($V37="","",INDEX('Per Line'!$G$2:$G$6001,$V37)&amp;"")</f>
        <v/>
      </c>
      <c r="F37">
        <f>IF($V37="","",INDEX('Per Line'!$H$2:$H$6001,$V37)&amp;"")</f>
        <v/>
      </c>
      <c r="G37">
        <f>IF($V37="","",INDEX('Per Line'!$I$2:$I$6001,$V37)&amp;"")</f>
        <v/>
      </c>
      <c r="H37">
        <f>IF($V37="","",INDEX('Per Line'!$J$2:$J$6001,$V37))</f>
        <v/>
      </c>
      <c r="I37" s="7">
        <f>IF($V37="","",H37*S37/100)</f>
        <v/>
      </c>
      <c r="J37">
        <f>IF($V37="","",INDEX('Per Line'!$S$2:$S$6001,$V37)&amp;"")</f>
        <v/>
      </c>
      <c r="K37" s="7">
        <f>IF($V37="","",SUMIFS('Per Line'!$R$2:$R$6001,'Per Line'!$C$2:$C$6001,$B37,'Per Line'!$AJ$2:$AJ$6001,1))</f>
        <v/>
      </c>
      <c r="L37">
        <f>IF($V37="","",Settings!$C$7)</f>
        <v/>
      </c>
      <c r="M37" s="7">
        <f>IF($V37="","",SUMIFS('Per Line'!$R$2:$R$6001,'Per Line'!$C$2:$C$6001,$B37,'Per Line'!$AI$2:$AI$6001,0,'Per Line'!$AJ$2:$AJ$6001,0))</f>
        <v/>
      </c>
      <c r="N37" s="7">
        <f>IF($V37="","",M37*L37)</f>
        <v/>
      </c>
      <c r="O37">
        <f>IF($V37="","",Settings!$C$6)</f>
        <v/>
      </c>
      <c r="P37" s="7">
        <f>IF($V37="","",SUMIFS('Per Line'!$R$2:$R$6001,'Per Line'!$C$2:$C$6001,$B37,'Per Line'!$AI$2:$AI$6001,1,'Per Line'!$AJ$2:$AJ$6001,0))</f>
        <v/>
      </c>
      <c r="Q37" s="7">
        <f>IF($V37="","",P37*O37)</f>
        <v/>
      </c>
      <c r="R37" s="7">
        <f>IF($V37="","",Q37+N37)</f>
        <v/>
      </c>
      <c r="S37" s="7">
        <f>IF($V37="","",T37-R37)</f>
        <v/>
      </c>
      <c r="T37" s="7">
        <f>IF($V37="","",M37+P37+K37)</f>
        <v/>
      </c>
      <c r="U37" s="7">
        <f>IF($V37="","",T37-R37-I37)</f>
        <v/>
      </c>
      <c r="V37" s="13">
        <f>IF(ROWS($V$2:$V37)&lt;=MAX('Per Line'!$AH$2:$AH$6001),MATCH(ROWS($V$2:$V37),'Per Line'!$AH$2:$AH$6001,0),"")</f>
        <v/>
      </c>
    </row>
    <row r="38">
      <c r="A38" s="12" t="n"/>
      <c r="B38">
        <f>IF($V38="","",INDEX('Per Line'!$C$2:$C$6001,$V38)&amp;"")</f>
        <v/>
      </c>
      <c r="C38" s="11">
        <f>IF($V38="","",INDEX('Per Line'!$D$2:$D$6001,$V38))</f>
        <v/>
      </c>
      <c r="D38">
        <f>IF($V38="","",INDEX('Per Line'!$E$2:$E$6001,$V38)&amp;"")</f>
        <v/>
      </c>
      <c r="E38">
        <f>IF($V38="","",INDEX('Per Line'!$G$2:$G$6001,$V38)&amp;"")</f>
        <v/>
      </c>
      <c r="F38">
        <f>IF($V38="","",INDEX('Per Line'!$H$2:$H$6001,$V38)&amp;"")</f>
        <v/>
      </c>
      <c r="G38">
        <f>IF($V38="","",INDEX('Per Line'!$I$2:$I$6001,$V38)&amp;"")</f>
        <v/>
      </c>
      <c r="H38">
        <f>IF($V38="","",INDEX('Per Line'!$J$2:$J$6001,$V38))</f>
        <v/>
      </c>
      <c r="I38" s="7">
        <f>IF($V38="","",H38*S38/100)</f>
        <v/>
      </c>
      <c r="J38">
        <f>IF($V38="","",INDEX('Per Line'!$S$2:$S$6001,$V38)&amp;"")</f>
        <v/>
      </c>
      <c r="K38" s="7">
        <f>IF($V38="","",SUMIFS('Per Line'!$R$2:$R$6001,'Per Line'!$C$2:$C$6001,$B38,'Per Line'!$AJ$2:$AJ$6001,1))</f>
        <v/>
      </c>
      <c r="L38">
        <f>IF($V38="","",Settings!$C$7)</f>
        <v/>
      </c>
      <c r="M38" s="7">
        <f>IF($V38="","",SUMIFS('Per Line'!$R$2:$R$6001,'Per Line'!$C$2:$C$6001,$B38,'Per Line'!$AI$2:$AI$6001,0,'Per Line'!$AJ$2:$AJ$6001,0))</f>
        <v/>
      </c>
      <c r="N38" s="7">
        <f>IF($V38="","",M38*L38)</f>
        <v/>
      </c>
      <c r="O38">
        <f>IF($V38="","",Settings!$C$6)</f>
        <v/>
      </c>
      <c r="P38" s="7">
        <f>IF($V38="","",SUMIFS('Per Line'!$R$2:$R$6001,'Per Line'!$C$2:$C$6001,$B38,'Per Line'!$AI$2:$AI$6001,1,'Per Line'!$AJ$2:$AJ$6001,0))</f>
        <v/>
      </c>
      <c r="Q38" s="7">
        <f>IF($V38="","",P38*O38)</f>
        <v/>
      </c>
      <c r="R38" s="7">
        <f>IF($V38="","",Q38+N38)</f>
        <v/>
      </c>
      <c r="S38" s="7">
        <f>IF($V38="","",T38-R38)</f>
        <v/>
      </c>
      <c r="T38" s="7">
        <f>IF($V38="","",M38+P38+K38)</f>
        <v/>
      </c>
      <c r="U38" s="7">
        <f>IF($V38="","",T38-R38-I38)</f>
        <v/>
      </c>
      <c r="V38" s="13">
        <f>IF(ROWS($V$2:$V38)&lt;=MAX('Per Line'!$AH$2:$AH$6001),MATCH(ROWS($V$2:$V38),'Per Line'!$AH$2:$AH$6001,0),"")</f>
        <v/>
      </c>
    </row>
    <row r="39">
      <c r="A39" s="12" t="n"/>
      <c r="B39">
        <f>IF($V39="","",INDEX('Per Line'!$C$2:$C$6001,$V39)&amp;"")</f>
        <v/>
      </c>
      <c r="C39" s="11">
        <f>IF($V39="","",INDEX('Per Line'!$D$2:$D$6001,$V39))</f>
        <v/>
      </c>
      <c r="D39">
        <f>IF($V39="","",INDEX('Per Line'!$E$2:$E$6001,$V39)&amp;"")</f>
        <v/>
      </c>
      <c r="E39">
        <f>IF($V39="","",INDEX('Per Line'!$G$2:$G$6001,$V39)&amp;"")</f>
        <v/>
      </c>
      <c r="F39">
        <f>IF($V39="","",INDEX('Per Line'!$H$2:$H$6001,$V39)&amp;"")</f>
        <v/>
      </c>
      <c r="G39">
        <f>IF($V39="","",INDEX('Per Line'!$I$2:$I$6001,$V39)&amp;"")</f>
        <v/>
      </c>
      <c r="H39">
        <f>IF($V39="","",INDEX('Per Line'!$J$2:$J$6001,$V39))</f>
        <v/>
      </c>
      <c r="I39" s="7">
        <f>IF($V39="","",H39*S39/100)</f>
        <v/>
      </c>
      <c r="J39">
        <f>IF($V39="","",INDEX('Per Line'!$S$2:$S$6001,$V39)&amp;"")</f>
        <v/>
      </c>
      <c r="K39" s="7">
        <f>IF($V39="","",SUMIFS('Per Line'!$R$2:$R$6001,'Per Line'!$C$2:$C$6001,$B39,'Per Line'!$AJ$2:$AJ$6001,1))</f>
        <v/>
      </c>
      <c r="L39">
        <f>IF($V39="","",Settings!$C$7)</f>
        <v/>
      </c>
      <c r="M39" s="7">
        <f>IF($V39="","",SUMIFS('Per Line'!$R$2:$R$6001,'Per Line'!$C$2:$C$6001,$B39,'Per Line'!$AI$2:$AI$6001,0,'Per Line'!$AJ$2:$AJ$6001,0))</f>
        <v/>
      </c>
      <c r="N39" s="7">
        <f>IF($V39="","",M39*L39)</f>
        <v/>
      </c>
      <c r="O39">
        <f>IF($V39="","",Settings!$C$6)</f>
        <v/>
      </c>
      <c r="P39" s="7">
        <f>IF($V39="","",SUMIFS('Per Line'!$R$2:$R$6001,'Per Line'!$C$2:$C$6001,$B39,'Per Line'!$AI$2:$AI$6001,1,'Per Line'!$AJ$2:$AJ$6001,0))</f>
        <v/>
      </c>
      <c r="Q39" s="7">
        <f>IF($V39="","",P39*O39)</f>
        <v/>
      </c>
      <c r="R39" s="7">
        <f>IF($V39="","",Q39+N39)</f>
        <v/>
      </c>
      <c r="S39" s="7">
        <f>IF($V39="","",T39-R39)</f>
        <v/>
      </c>
      <c r="T39" s="7">
        <f>IF($V39="","",M39+P39+K39)</f>
        <v/>
      </c>
      <c r="U39" s="7">
        <f>IF($V39="","",T39-R39-I39)</f>
        <v/>
      </c>
      <c r="V39" s="13">
        <f>IF(ROWS($V$2:$V39)&lt;=MAX('Per Line'!$AH$2:$AH$6001),MATCH(ROWS($V$2:$V39),'Per Line'!$AH$2:$AH$6001,0),"")</f>
        <v/>
      </c>
    </row>
    <row r="40">
      <c r="A40" s="12" t="n"/>
      <c r="B40">
        <f>IF($V40="","",INDEX('Per Line'!$C$2:$C$6001,$V40)&amp;"")</f>
        <v/>
      </c>
      <c r="C40" s="11">
        <f>IF($V40="","",INDEX('Per Line'!$D$2:$D$6001,$V40))</f>
        <v/>
      </c>
      <c r="D40">
        <f>IF($V40="","",INDEX('Per Line'!$E$2:$E$6001,$V40)&amp;"")</f>
        <v/>
      </c>
      <c r="E40">
        <f>IF($V40="","",INDEX('Per Line'!$G$2:$G$6001,$V40)&amp;"")</f>
        <v/>
      </c>
      <c r="F40">
        <f>IF($V40="","",INDEX('Per Line'!$H$2:$H$6001,$V40)&amp;"")</f>
        <v/>
      </c>
      <c r="G40">
        <f>IF($V40="","",INDEX('Per Line'!$I$2:$I$6001,$V40)&amp;"")</f>
        <v/>
      </c>
      <c r="H40">
        <f>IF($V40="","",INDEX('Per Line'!$J$2:$J$6001,$V40))</f>
        <v/>
      </c>
      <c r="I40" s="7">
        <f>IF($V40="","",H40*S40/100)</f>
        <v/>
      </c>
      <c r="J40">
        <f>IF($V40="","",INDEX('Per Line'!$S$2:$S$6001,$V40)&amp;"")</f>
        <v/>
      </c>
      <c r="K40" s="7">
        <f>IF($V40="","",SUMIFS('Per Line'!$R$2:$R$6001,'Per Line'!$C$2:$C$6001,$B40,'Per Line'!$AJ$2:$AJ$6001,1))</f>
        <v/>
      </c>
      <c r="L40">
        <f>IF($V40="","",Settings!$C$7)</f>
        <v/>
      </c>
      <c r="M40" s="7">
        <f>IF($V40="","",SUMIFS('Per Line'!$R$2:$R$6001,'Per Line'!$C$2:$C$6001,$B40,'Per Line'!$AI$2:$AI$6001,0,'Per Line'!$AJ$2:$AJ$6001,0))</f>
        <v/>
      </c>
      <c r="N40" s="7">
        <f>IF($V40="","",M40*L40)</f>
        <v/>
      </c>
      <c r="O40">
        <f>IF($V40="","",Settings!$C$6)</f>
        <v/>
      </c>
      <c r="P40" s="7">
        <f>IF($V40="","",SUMIFS('Per Line'!$R$2:$R$6001,'Per Line'!$C$2:$C$6001,$B40,'Per Line'!$AI$2:$AI$6001,1,'Per Line'!$AJ$2:$AJ$6001,0))</f>
        <v/>
      </c>
      <c r="Q40" s="7">
        <f>IF($V40="","",P40*O40)</f>
        <v/>
      </c>
      <c r="R40" s="7">
        <f>IF($V40="","",Q40+N40)</f>
        <v/>
      </c>
      <c r="S40" s="7">
        <f>IF($V40="","",T40-R40)</f>
        <v/>
      </c>
      <c r="T40" s="7">
        <f>IF($V40="","",M40+P40+K40)</f>
        <v/>
      </c>
      <c r="U40" s="7">
        <f>IF($V40="","",T40-R40-I40)</f>
        <v/>
      </c>
      <c r="V40" s="13">
        <f>IF(ROWS($V$2:$V40)&lt;=MAX('Per Line'!$AH$2:$AH$6001),MATCH(ROWS($V$2:$V40),'Per Line'!$AH$2:$AH$6001,0),"")</f>
        <v/>
      </c>
    </row>
    <row r="41">
      <c r="A41" s="12" t="n"/>
      <c r="B41">
        <f>IF($V41="","",INDEX('Per Line'!$C$2:$C$6001,$V41)&amp;"")</f>
        <v/>
      </c>
      <c r="C41" s="11">
        <f>IF($V41="","",INDEX('Per Line'!$D$2:$D$6001,$V41))</f>
        <v/>
      </c>
      <c r="D41">
        <f>IF($V41="","",INDEX('Per Line'!$E$2:$E$6001,$V41)&amp;"")</f>
        <v/>
      </c>
      <c r="E41">
        <f>IF($V41="","",INDEX('Per Line'!$G$2:$G$6001,$V41)&amp;"")</f>
        <v/>
      </c>
      <c r="F41">
        <f>IF($V41="","",INDEX('Per Line'!$H$2:$H$6001,$V41)&amp;"")</f>
        <v/>
      </c>
      <c r="G41">
        <f>IF($V41="","",INDEX('Per Line'!$I$2:$I$6001,$V41)&amp;"")</f>
        <v/>
      </c>
      <c r="H41">
        <f>IF($V41="","",INDEX('Per Line'!$J$2:$J$6001,$V41))</f>
        <v/>
      </c>
      <c r="I41" s="7">
        <f>IF($V41="","",H41*S41/100)</f>
        <v/>
      </c>
      <c r="J41">
        <f>IF($V41="","",INDEX('Per Line'!$S$2:$S$6001,$V41)&amp;"")</f>
        <v/>
      </c>
      <c r="K41" s="7">
        <f>IF($V41="","",SUMIFS('Per Line'!$R$2:$R$6001,'Per Line'!$C$2:$C$6001,$B41,'Per Line'!$AJ$2:$AJ$6001,1))</f>
        <v/>
      </c>
      <c r="L41">
        <f>IF($V41="","",Settings!$C$7)</f>
        <v/>
      </c>
      <c r="M41" s="7">
        <f>IF($V41="","",SUMIFS('Per Line'!$R$2:$R$6001,'Per Line'!$C$2:$C$6001,$B41,'Per Line'!$AI$2:$AI$6001,0,'Per Line'!$AJ$2:$AJ$6001,0))</f>
        <v/>
      </c>
      <c r="N41" s="7">
        <f>IF($V41="","",M41*L41)</f>
        <v/>
      </c>
      <c r="O41">
        <f>IF($V41="","",Settings!$C$6)</f>
        <v/>
      </c>
      <c r="P41" s="7">
        <f>IF($V41="","",SUMIFS('Per Line'!$R$2:$R$6001,'Per Line'!$C$2:$C$6001,$B41,'Per Line'!$AI$2:$AI$6001,1,'Per Line'!$AJ$2:$AJ$6001,0))</f>
        <v/>
      </c>
      <c r="Q41" s="7">
        <f>IF($V41="","",P41*O41)</f>
        <v/>
      </c>
      <c r="R41" s="7">
        <f>IF($V41="","",Q41+N41)</f>
        <v/>
      </c>
      <c r="S41" s="7">
        <f>IF($V41="","",T41-R41)</f>
        <v/>
      </c>
      <c r="T41" s="7">
        <f>IF($V41="","",M41+P41+K41)</f>
        <v/>
      </c>
      <c r="U41" s="7">
        <f>IF($V41="","",T41-R41-I41)</f>
        <v/>
      </c>
      <c r="V41" s="13">
        <f>IF(ROWS($V$2:$V41)&lt;=MAX('Per Line'!$AH$2:$AH$6001),MATCH(ROWS($V$2:$V41),'Per Line'!$AH$2:$AH$6001,0),"")</f>
        <v/>
      </c>
    </row>
    <row r="42">
      <c r="A42" s="12" t="n"/>
      <c r="B42">
        <f>IF($V42="","",INDEX('Per Line'!$C$2:$C$6001,$V42)&amp;"")</f>
        <v/>
      </c>
      <c r="C42" s="11">
        <f>IF($V42="","",INDEX('Per Line'!$D$2:$D$6001,$V42))</f>
        <v/>
      </c>
      <c r="D42">
        <f>IF($V42="","",INDEX('Per Line'!$E$2:$E$6001,$V42)&amp;"")</f>
        <v/>
      </c>
      <c r="E42">
        <f>IF($V42="","",INDEX('Per Line'!$G$2:$G$6001,$V42)&amp;"")</f>
        <v/>
      </c>
      <c r="F42">
        <f>IF($V42="","",INDEX('Per Line'!$H$2:$H$6001,$V42)&amp;"")</f>
        <v/>
      </c>
      <c r="G42">
        <f>IF($V42="","",INDEX('Per Line'!$I$2:$I$6001,$V42)&amp;"")</f>
        <v/>
      </c>
      <c r="H42">
        <f>IF($V42="","",INDEX('Per Line'!$J$2:$J$6001,$V42))</f>
        <v/>
      </c>
      <c r="I42" s="7">
        <f>IF($V42="","",H42*S42/100)</f>
        <v/>
      </c>
      <c r="J42">
        <f>IF($V42="","",INDEX('Per Line'!$S$2:$S$6001,$V42)&amp;"")</f>
        <v/>
      </c>
      <c r="K42" s="7">
        <f>IF($V42="","",SUMIFS('Per Line'!$R$2:$R$6001,'Per Line'!$C$2:$C$6001,$B42,'Per Line'!$AJ$2:$AJ$6001,1))</f>
        <v/>
      </c>
      <c r="L42">
        <f>IF($V42="","",Settings!$C$7)</f>
        <v/>
      </c>
      <c r="M42" s="7">
        <f>IF($V42="","",SUMIFS('Per Line'!$R$2:$R$6001,'Per Line'!$C$2:$C$6001,$B42,'Per Line'!$AI$2:$AI$6001,0,'Per Line'!$AJ$2:$AJ$6001,0))</f>
        <v/>
      </c>
      <c r="N42" s="7">
        <f>IF($V42="","",M42*L42)</f>
        <v/>
      </c>
      <c r="O42">
        <f>IF($V42="","",Settings!$C$6)</f>
        <v/>
      </c>
      <c r="P42" s="7">
        <f>IF($V42="","",SUMIFS('Per Line'!$R$2:$R$6001,'Per Line'!$C$2:$C$6001,$B42,'Per Line'!$AI$2:$AI$6001,1,'Per Line'!$AJ$2:$AJ$6001,0))</f>
        <v/>
      </c>
      <c r="Q42" s="7">
        <f>IF($V42="","",P42*O42)</f>
        <v/>
      </c>
      <c r="R42" s="7">
        <f>IF($V42="","",Q42+N42)</f>
        <v/>
      </c>
      <c r="S42" s="7">
        <f>IF($V42="","",T42-R42)</f>
        <v/>
      </c>
      <c r="T42" s="7">
        <f>IF($V42="","",M42+P42+K42)</f>
        <v/>
      </c>
      <c r="U42" s="7">
        <f>IF($V42="","",T42-R42-I42)</f>
        <v/>
      </c>
      <c r="V42" s="13">
        <f>IF(ROWS($V$2:$V42)&lt;=MAX('Per Line'!$AH$2:$AH$6001),MATCH(ROWS($V$2:$V42),'Per Line'!$AH$2:$AH$6001,0),"")</f>
        <v/>
      </c>
    </row>
    <row r="43">
      <c r="A43" s="12" t="n"/>
      <c r="B43">
        <f>IF($V43="","",INDEX('Per Line'!$C$2:$C$6001,$V43)&amp;"")</f>
        <v/>
      </c>
      <c r="C43" s="11">
        <f>IF($V43="","",INDEX('Per Line'!$D$2:$D$6001,$V43))</f>
        <v/>
      </c>
      <c r="D43">
        <f>IF($V43="","",INDEX('Per Line'!$E$2:$E$6001,$V43)&amp;"")</f>
        <v/>
      </c>
      <c r="E43">
        <f>IF($V43="","",INDEX('Per Line'!$G$2:$G$6001,$V43)&amp;"")</f>
        <v/>
      </c>
      <c r="F43">
        <f>IF($V43="","",INDEX('Per Line'!$H$2:$H$6001,$V43)&amp;"")</f>
        <v/>
      </c>
      <c r="G43">
        <f>IF($V43="","",INDEX('Per Line'!$I$2:$I$6001,$V43)&amp;"")</f>
        <v/>
      </c>
      <c r="H43">
        <f>IF($V43="","",INDEX('Per Line'!$J$2:$J$6001,$V43))</f>
        <v/>
      </c>
      <c r="I43" s="7">
        <f>IF($V43="","",H43*S43/100)</f>
        <v/>
      </c>
      <c r="J43">
        <f>IF($V43="","",INDEX('Per Line'!$S$2:$S$6001,$V43)&amp;"")</f>
        <v/>
      </c>
      <c r="K43" s="7">
        <f>IF($V43="","",SUMIFS('Per Line'!$R$2:$R$6001,'Per Line'!$C$2:$C$6001,$B43,'Per Line'!$AJ$2:$AJ$6001,1))</f>
        <v/>
      </c>
      <c r="L43">
        <f>IF($V43="","",Settings!$C$7)</f>
        <v/>
      </c>
      <c r="M43" s="7">
        <f>IF($V43="","",SUMIFS('Per Line'!$R$2:$R$6001,'Per Line'!$C$2:$C$6001,$B43,'Per Line'!$AI$2:$AI$6001,0,'Per Line'!$AJ$2:$AJ$6001,0))</f>
        <v/>
      </c>
      <c r="N43" s="7">
        <f>IF($V43="","",M43*L43)</f>
        <v/>
      </c>
      <c r="O43">
        <f>IF($V43="","",Settings!$C$6)</f>
        <v/>
      </c>
      <c r="P43" s="7">
        <f>IF($V43="","",SUMIFS('Per Line'!$R$2:$R$6001,'Per Line'!$C$2:$C$6001,$B43,'Per Line'!$AI$2:$AI$6001,1,'Per Line'!$AJ$2:$AJ$6001,0))</f>
        <v/>
      </c>
      <c r="Q43" s="7">
        <f>IF($V43="","",P43*O43)</f>
        <v/>
      </c>
      <c r="R43" s="7">
        <f>IF($V43="","",Q43+N43)</f>
        <v/>
      </c>
      <c r="S43" s="7">
        <f>IF($V43="","",T43-R43)</f>
        <v/>
      </c>
      <c r="T43" s="7">
        <f>IF($V43="","",M43+P43+K43)</f>
        <v/>
      </c>
      <c r="U43" s="7">
        <f>IF($V43="","",T43-R43-I43)</f>
        <v/>
      </c>
      <c r="V43" s="13">
        <f>IF(ROWS($V$2:$V43)&lt;=MAX('Per Line'!$AH$2:$AH$6001),MATCH(ROWS($V$2:$V43),'Per Line'!$AH$2:$AH$6001,0),"")</f>
        <v/>
      </c>
    </row>
    <row r="44">
      <c r="A44" s="12" t="n"/>
      <c r="B44">
        <f>IF($V44="","",INDEX('Per Line'!$C$2:$C$6001,$V44)&amp;"")</f>
        <v/>
      </c>
      <c r="C44" s="11">
        <f>IF($V44="","",INDEX('Per Line'!$D$2:$D$6001,$V44))</f>
        <v/>
      </c>
      <c r="D44">
        <f>IF($V44="","",INDEX('Per Line'!$E$2:$E$6001,$V44)&amp;"")</f>
        <v/>
      </c>
      <c r="E44">
        <f>IF($V44="","",INDEX('Per Line'!$G$2:$G$6001,$V44)&amp;"")</f>
        <v/>
      </c>
      <c r="F44">
        <f>IF($V44="","",INDEX('Per Line'!$H$2:$H$6001,$V44)&amp;"")</f>
        <v/>
      </c>
      <c r="G44">
        <f>IF($V44="","",INDEX('Per Line'!$I$2:$I$6001,$V44)&amp;"")</f>
        <v/>
      </c>
      <c r="H44">
        <f>IF($V44="","",INDEX('Per Line'!$J$2:$J$6001,$V44))</f>
        <v/>
      </c>
      <c r="I44" s="7">
        <f>IF($V44="","",H44*S44/100)</f>
        <v/>
      </c>
      <c r="J44">
        <f>IF($V44="","",INDEX('Per Line'!$S$2:$S$6001,$V44)&amp;"")</f>
        <v/>
      </c>
      <c r="K44" s="7">
        <f>IF($V44="","",SUMIFS('Per Line'!$R$2:$R$6001,'Per Line'!$C$2:$C$6001,$B44,'Per Line'!$AJ$2:$AJ$6001,1))</f>
        <v/>
      </c>
      <c r="L44">
        <f>IF($V44="","",Settings!$C$7)</f>
        <v/>
      </c>
      <c r="M44" s="7">
        <f>IF($V44="","",SUMIFS('Per Line'!$R$2:$R$6001,'Per Line'!$C$2:$C$6001,$B44,'Per Line'!$AI$2:$AI$6001,0,'Per Line'!$AJ$2:$AJ$6001,0))</f>
        <v/>
      </c>
      <c r="N44" s="7">
        <f>IF($V44="","",M44*L44)</f>
        <v/>
      </c>
      <c r="O44">
        <f>IF($V44="","",Settings!$C$6)</f>
        <v/>
      </c>
      <c r="P44" s="7">
        <f>IF($V44="","",SUMIFS('Per Line'!$R$2:$R$6001,'Per Line'!$C$2:$C$6001,$B44,'Per Line'!$AI$2:$AI$6001,1,'Per Line'!$AJ$2:$AJ$6001,0))</f>
        <v/>
      </c>
      <c r="Q44" s="7">
        <f>IF($V44="","",P44*O44)</f>
        <v/>
      </c>
      <c r="R44" s="7">
        <f>IF($V44="","",Q44+N44)</f>
        <v/>
      </c>
      <c r="S44" s="7">
        <f>IF($V44="","",T44-R44)</f>
        <v/>
      </c>
      <c r="T44" s="7">
        <f>IF($V44="","",M44+P44+K44)</f>
        <v/>
      </c>
      <c r="U44" s="7">
        <f>IF($V44="","",T44-R44-I44)</f>
        <v/>
      </c>
      <c r="V44" s="13">
        <f>IF(ROWS($V$2:$V44)&lt;=MAX('Per Line'!$AH$2:$AH$6001),MATCH(ROWS($V$2:$V44),'Per Line'!$AH$2:$AH$6001,0),"")</f>
        <v/>
      </c>
    </row>
    <row r="45">
      <c r="A45" s="12" t="n"/>
      <c r="B45">
        <f>IF($V45="","",INDEX('Per Line'!$C$2:$C$6001,$V45)&amp;"")</f>
        <v/>
      </c>
      <c r="C45" s="11">
        <f>IF($V45="","",INDEX('Per Line'!$D$2:$D$6001,$V45))</f>
        <v/>
      </c>
      <c r="D45">
        <f>IF($V45="","",INDEX('Per Line'!$E$2:$E$6001,$V45)&amp;"")</f>
        <v/>
      </c>
      <c r="E45">
        <f>IF($V45="","",INDEX('Per Line'!$G$2:$G$6001,$V45)&amp;"")</f>
        <v/>
      </c>
      <c r="F45">
        <f>IF($V45="","",INDEX('Per Line'!$H$2:$H$6001,$V45)&amp;"")</f>
        <v/>
      </c>
      <c r="G45">
        <f>IF($V45="","",INDEX('Per Line'!$I$2:$I$6001,$V45)&amp;"")</f>
        <v/>
      </c>
      <c r="H45">
        <f>IF($V45="","",INDEX('Per Line'!$J$2:$J$6001,$V45))</f>
        <v/>
      </c>
      <c r="I45" s="7">
        <f>IF($V45="","",H45*S45/100)</f>
        <v/>
      </c>
      <c r="J45">
        <f>IF($V45="","",INDEX('Per Line'!$S$2:$S$6001,$V45)&amp;"")</f>
        <v/>
      </c>
      <c r="K45" s="7">
        <f>IF($V45="","",SUMIFS('Per Line'!$R$2:$R$6001,'Per Line'!$C$2:$C$6001,$B45,'Per Line'!$AJ$2:$AJ$6001,1))</f>
        <v/>
      </c>
      <c r="L45">
        <f>IF($V45="","",Settings!$C$7)</f>
        <v/>
      </c>
      <c r="M45" s="7">
        <f>IF($V45="","",SUMIFS('Per Line'!$R$2:$R$6001,'Per Line'!$C$2:$C$6001,$B45,'Per Line'!$AI$2:$AI$6001,0,'Per Line'!$AJ$2:$AJ$6001,0))</f>
        <v/>
      </c>
      <c r="N45" s="7">
        <f>IF($V45="","",M45*L45)</f>
        <v/>
      </c>
      <c r="O45">
        <f>IF($V45="","",Settings!$C$6)</f>
        <v/>
      </c>
      <c r="P45" s="7">
        <f>IF($V45="","",SUMIFS('Per Line'!$R$2:$R$6001,'Per Line'!$C$2:$C$6001,$B45,'Per Line'!$AI$2:$AI$6001,1,'Per Line'!$AJ$2:$AJ$6001,0))</f>
        <v/>
      </c>
      <c r="Q45" s="7">
        <f>IF($V45="","",P45*O45)</f>
        <v/>
      </c>
      <c r="R45" s="7">
        <f>IF($V45="","",Q45+N45)</f>
        <v/>
      </c>
      <c r="S45" s="7">
        <f>IF($V45="","",T45-R45)</f>
        <v/>
      </c>
      <c r="T45" s="7">
        <f>IF($V45="","",M45+P45+K45)</f>
        <v/>
      </c>
      <c r="U45" s="7">
        <f>IF($V45="","",T45-R45-I45)</f>
        <v/>
      </c>
      <c r="V45" s="13">
        <f>IF(ROWS($V$2:$V45)&lt;=MAX('Per Line'!$AH$2:$AH$6001),MATCH(ROWS($V$2:$V45),'Per Line'!$AH$2:$AH$6001,0),"")</f>
        <v/>
      </c>
    </row>
    <row r="46">
      <c r="A46" s="12" t="n"/>
      <c r="B46">
        <f>IF($V46="","",INDEX('Per Line'!$C$2:$C$6001,$V46)&amp;"")</f>
        <v/>
      </c>
      <c r="C46" s="11">
        <f>IF($V46="","",INDEX('Per Line'!$D$2:$D$6001,$V46))</f>
        <v/>
      </c>
      <c r="D46">
        <f>IF($V46="","",INDEX('Per Line'!$E$2:$E$6001,$V46)&amp;"")</f>
        <v/>
      </c>
      <c r="E46">
        <f>IF($V46="","",INDEX('Per Line'!$G$2:$G$6001,$V46)&amp;"")</f>
        <v/>
      </c>
      <c r="F46">
        <f>IF($V46="","",INDEX('Per Line'!$H$2:$H$6001,$V46)&amp;"")</f>
        <v/>
      </c>
      <c r="G46">
        <f>IF($V46="","",INDEX('Per Line'!$I$2:$I$6001,$V46)&amp;"")</f>
        <v/>
      </c>
      <c r="H46">
        <f>IF($V46="","",INDEX('Per Line'!$J$2:$J$6001,$V46))</f>
        <v/>
      </c>
      <c r="I46" s="7">
        <f>IF($V46="","",H46*S46/100)</f>
        <v/>
      </c>
      <c r="J46">
        <f>IF($V46="","",INDEX('Per Line'!$S$2:$S$6001,$V46)&amp;"")</f>
        <v/>
      </c>
      <c r="K46" s="7">
        <f>IF($V46="","",SUMIFS('Per Line'!$R$2:$R$6001,'Per Line'!$C$2:$C$6001,$B46,'Per Line'!$AJ$2:$AJ$6001,1))</f>
        <v/>
      </c>
      <c r="L46">
        <f>IF($V46="","",Settings!$C$7)</f>
        <v/>
      </c>
      <c r="M46" s="7">
        <f>IF($V46="","",SUMIFS('Per Line'!$R$2:$R$6001,'Per Line'!$C$2:$C$6001,$B46,'Per Line'!$AI$2:$AI$6001,0,'Per Line'!$AJ$2:$AJ$6001,0))</f>
        <v/>
      </c>
      <c r="N46" s="7">
        <f>IF($V46="","",M46*L46)</f>
        <v/>
      </c>
      <c r="O46">
        <f>IF($V46="","",Settings!$C$6)</f>
        <v/>
      </c>
      <c r="P46" s="7">
        <f>IF($V46="","",SUMIFS('Per Line'!$R$2:$R$6001,'Per Line'!$C$2:$C$6001,$B46,'Per Line'!$AI$2:$AI$6001,1,'Per Line'!$AJ$2:$AJ$6001,0))</f>
        <v/>
      </c>
      <c r="Q46" s="7">
        <f>IF($V46="","",P46*O46)</f>
        <v/>
      </c>
      <c r="R46" s="7">
        <f>IF($V46="","",Q46+N46)</f>
        <v/>
      </c>
      <c r="S46" s="7">
        <f>IF($V46="","",T46-R46)</f>
        <v/>
      </c>
      <c r="T46" s="7">
        <f>IF($V46="","",M46+P46+K46)</f>
        <v/>
      </c>
      <c r="U46" s="7">
        <f>IF($V46="","",T46-R46-I46)</f>
        <v/>
      </c>
      <c r="V46" s="13">
        <f>IF(ROWS($V$2:$V46)&lt;=MAX('Per Line'!$AH$2:$AH$6001),MATCH(ROWS($V$2:$V46),'Per Line'!$AH$2:$AH$6001,0),"")</f>
        <v/>
      </c>
    </row>
    <row r="47">
      <c r="A47" s="12" t="n"/>
      <c r="B47">
        <f>IF($V47="","",INDEX('Per Line'!$C$2:$C$6001,$V47)&amp;"")</f>
        <v/>
      </c>
      <c r="C47" s="11">
        <f>IF($V47="","",INDEX('Per Line'!$D$2:$D$6001,$V47))</f>
        <v/>
      </c>
      <c r="D47">
        <f>IF($V47="","",INDEX('Per Line'!$E$2:$E$6001,$V47)&amp;"")</f>
        <v/>
      </c>
      <c r="E47">
        <f>IF($V47="","",INDEX('Per Line'!$G$2:$G$6001,$V47)&amp;"")</f>
        <v/>
      </c>
      <c r="F47">
        <f>IF($V47="","",INDEX('Per Line'!$H$2:$H$6001,$V47)&amp;"")</f>
        <v/>
      </c>
      <c r="G47">
        <f>IF($V47="","",INDEX('Per Line'!$I$2:$I$6001,$V47)&amp;"")</f>
        <v/>
      </c>
      <c r="H47">
        <f>IF($V47="","",INDEX('Per Line'!$J$2:$J$6001,$V47))</f>
        <v/>
      </c>
      <c r="I47" s="7">
        <f>IF($V47="","",H47*S47/100)</f>
        <v/>
      </c>
      <c r="J47">
        <f>IF($V47="","",INDEX('Per Line'!$S$2:$S$6001,$V47)&amp;"")</f>
        <v/>
      </c>
      <c r="K47" s="7">
        <f>IF($V47="","",SUMIFS('Per Line'!$R$2:$R$6001,'Per Line'!$C$2:$C$6001,$B47,'Per Line'!$AJ$2:$AJ$6001,1))</f>
        <v/>
      </c>
      <c r="L47">
        <f>IF($V47="","",Settings!$C$7)</f>
        <v/>
      </c>
      <c r="M47" s="7">
        <f>IF($V47="","",SUMIFS('Per Line'!$R$2:$R$6001,'Per Line'!$C$2:$C$6001,$B47,'Per Line'!$AI$2:$AI$6001,0,'Per Line'!$AJ$2:$AJ$6001,0))</f>
        <v/>
      </c>
      <c r="N47" s="7">
        <f>IF($V47="","",M47*L47)</f>
        <v/>
      </c>
      <c r="O47">
        <f>IF($V47="","",Settings!$C$6)</f>
        <v/>
      </c>
      <c r="P47" s="7">
        <f>IF($V47="","",SUMIFS('Per Line'!$R$2:$R$6001,'Per Line'!$C$2:$C$6001,$B47,'Per Line'!$AI$2:$AI$6001,1,'Per Line'!$AJ$2:$AJ$6001,0))</f>
        <v/>
      </c>
      <c r="Q47" s="7">
        <f>IF($V47="","",P47*O47)</f>
        <v/>
      </c>
      <c r="R47" s="7">
        <f>IF($V47="","",Q47+N47)</f>
        <v/>
      </c>
      <c r="S47" s="7">
        <f>IF($V47="","",T47-R47)</f>
        <v/>
      </c>
      <c r="T47" s="7">
        <f>IF($V47="","",M47+P47+K47)</f>
        <v/>
      </c>
      <c r="U47" s="7">
        <f>IF($V47="","",T47-R47-I47)</f>
        <v/>
      </c>
      <c r="V47" s="13">
        <f>IF(ROWS($V$2:$V47)&lt;=MAX('Per Line'!$AH$2:$AH$6001),MATCH(ROWS($V$2:$V47),'Per Line'!$AH$2:$AH$6001,0),"")</f>
        <v/>
      </c>
    </row>
    <row r="48">
      <c r="A48" s="12" t="n"/>
      <c r="B48">
        <f>IF($V48="","",INDEX('Per Line'!$C$2:$C$6001,$V48)&amp;"")</f>
        <v/>
      </c>
      <c r="C48" s="11">
        <f>IF($V48="","",INDEX('Per Line'!$D$2:$D$6001,$V48))</f>
        <v/>
      </c>
      <c r="D48">
        <f>IF($V48="","",INDEX('Per Line'!$E$2:$E$6001,$V48)&amp;"")</f>
        <v/>
      </c>
      <c r="E48">
        <f>IF($V48="","",INDEX('Per Line'!$G$2:$G$6001,$V48)&amp;"")</f>
        <v/>
      </c>
      <c r="F48">
        <f>IF($V48="","",INDEX('Per Line'!$H$2:$H$6001,$V48)&amp;"")</f>
        <v/>
      </c>
      <c r="G48">
        <f>IF($V48="","",INDEX('Per Line'!$I$2:$I$6001,$V48)&amp;"")</f>
        <v/>
      </c>
      <c r="H48">
        <f>IF($V48="","",INDEX('Per Line'!$J$2:$J$6001,$V48))</f>
        <v/>
      </c>
      <c r="I48" s="7">
        <f>IF($V48="","",H48*S48/100)</f>
        <v/>
      </c>
      <c r="J48">
        <f>IF($V48="","",INDEX('Per Line'!$S$2:$S$6001,$V48)&amp;"")</f>
        <v/>
      </c>
      <c r="K48" s="7">
        <f>IF($V48="","",SUMIFS('Per Line'!$R$2:$R$6001,'Per Line'!$C$2:$C$6001,$B48,'Per Line'!$AJ$2:$AJ$6001,1))</f>
        <v/>
      </c>
      <c r="L48">
        <f>IF($V48="","",Settings!$C$7)</f>
        <v/>
      </c>
      <c r="M48" s="7">
        <f>IF($V48="","",SUMIFS('Per Line'!$R$2:$R$6001,'Per Line'!$C$2:$C$6001,$B48,'Per Line'!$AI$2:$AI$6001,0,'Per Line'!$AJ$2:$AJ$6001,0))</f>
        <v/>
      </c>
      <c r="N48" s="7">
        <f>IF($V48="","",M48*L48)</f>
        <v/>
      </c>
      <c r="O48">
        <f>IF($V48="","",Settings!$C$6)</f>
        <v/>
      </c>
      <c r="P48" s="7">
        <f>IF($V48="","",SUMIFS('Per Line'!$R$2:$R$6001,'Per Line'!$C$2:$C$6001,$B48,'Per Line'!$AI$2:$AI$6001,1,'Per Line'!$AJ$2:$AJ$6001,0))</f>
        <v/>
      </c>
      <c r="Q48" s="7">
        <f>IF($V48="","",P48*O48)</f>
        <v/>
      </c>
      <c r="R48" s="7">
        <f>IF($V48="","",Q48+N48)</f>
        <v/>
      </c>
      <c r="S48" s="7">
        <f>IF($V48="","",T48-R48)</f>
        <v/>
      </c>
      <c r="T48" s="7">
        <f>IF($V48="","",M48+P48+K48)</f>
        <v/>
      </c>
      <c r="U48" s="7">
        <f>IF($V48="","",T48-R48-I48)</f>
        <v/>
      </c>
      <c r="V48" s="13">
        <f>IF(ROWS($V$2:$V48)&lt;=MAX('Per Line'!$AH$2:$AH$6001),MATCH(ROWS($V$2:$V48),'Per Line'!$AH$2:$AH$6001,0),"")</f>
        <v/>
      </c>
    </row>
    <row r="49">
      <c r="A49" s="12" t="n"/>
      <c r="B49">
        <f>IF($V49="","",INDEX('Per Line'!$C$2:$C$6001,$V49)&amp;"")</f>
        <v/>
      </c>
      <c r="C49" s="11">
        <f>IF($V49="","",INDEX('Per Line'!$D$2:$D$6001,$V49))</f>
        <v/>
      </c>
      <c r="D49">
        <f>IF($V49="","",INDEX('Per Line'!$E$2:$E$6001,$V49)&amp;"")</f>
        <v/>
      </c>
      <c r="E49">
        <f>IF($V49="","",INDEX('Per Line'!$G$2:$G$6001,$V49)&amp;"")</f>
        <v/>
      </c>
      <c r="F49">
        <f>IF($V49="","",INDEX('Per Line'!$H$2:$H$6001,$V49)&amp;"")</f>
        <v/>
      </c>
      <c r="G49">
        <f>IF($V49="","",INDEX('Per Line'!$I$2:$I$6001,$V49)&amp;"")</f>
        <v/>
      </c>
      <c r="H49">
        <f>IF($V49="","",INDEX('Per Line'!$J$2:$J$6001,$V49))</f>
        <v/>
      </c>
      <c r="I49" s="7">
        <f>IF($V49="","",H49*S49/100)</f>
        <v/>
      </c>
      <c r="J49">
        <f>IF($V49="","",INDEX('Per Line'!$S$2:$S$6001,$V49)&amp;"")</f>
        <v/>
      </c>
      <c r="K49" s="7">
        <f>IF($V49="","",SUMIFS('Per Line'!$R$2:$R$6001,'Per Line'!$C$2:$C$6001,$B49,'Per Line'!$AJ$2:$AJ$6001,1))</f>
        <v/>
      </c>
      <c r="L49">
        <f>IF($V49="","",Settings!$C$7)</f>
        <v/>
      </c>
      <c r="M49" s="7">
        <f>IF($V49="","",SUMIFS('Per Line'!$R$2:$R$6001,'Per Line'!$C$2:$C$6001,$B49,'Per Line'!$AI$2:$AI$6001,0,'Per Line'!$AJ$2:$AJ$6001,0))</f>
        <v/>
      </c>
      <c r="N49" s="7">
        <f>IF($V49="","",M49*L49)</f>
        <v/>
      </c>
      <c r="O49">
        <f>IF($V49="","",Settings!$C$6)</f>
        <v/>
      </c>
      <c r="P49" s="7">
        <f>IF($V49="","",SUMIFS('Per Line'!$R$2:$R$6001,'Per Line'!$C$2:$C$6001,$B49,'Per Line'!$AI$2:$AI$6001,1,'Per Line'!$AJ$2:$AJ$6001,0))</f>
        <v/>
      </c>
      <c r="Q49" s="7">
        <f>IF($V49="","",P49*O49)</f>
        <v/>
      </c>
      <c r="R49" s="7">
        <f>IF($V49="","",Q49+N49)</f>
        <v/>
      </c>
      <c r="S49" s="7">
        <f>IF($V49="","",T49-R49)</f>
        <v/>
      </c>
      <c r="T49" s="7">
        <f>IF($V49="","",M49+P49+K49)</f>
        <v/>
      </c>
      <c r="U49" s="7">
        <f>IF($V49="","",T49-R49-I49)</f>
        <v/>
      </c>
      <c r="V49" s="13">
        <f>IF(ROWS($V$2:$V49)&lt;=MAX('Per Line'!$AH$2:$AH$6001),MATCH(ROWS($V$2:$V49),'Per Line'!$AH$2:$AH$6001,0),"")</f>
        <v/>
      </c>
    </row>
    <row r="50">
      <c r="A50" s="12" t="n"/>
      <c r="B50">
        <f>IF($V50="","",INDEX('Per Line'!$C$2:$C$6001,$V50)&amp;"")</f>
        <v/>
      </c>
      <c r="C50" s="11">
        <f>IF($V50="","",INDEX('Per Line'!$D$2:$D$6001,$V50))</f>
        <v/>
      </c>
      <c r="D50">
        <f>IF($V50="","",INDEX('Per Line'!$E$2:$E$6001,$V50)&amp;"")</f>
        <v/>
      </c>
      <c r="E50">
        <f>IF($V50="","",INDEX('Per Line'!$G$2:$G$6001,$V50)&amp;"")</f>
        <v/>
      </c>
      <c r="F50">
        <f>IF($V50="","",INDEX('Per Line'!$H$2:$H$6001,$V50)&amp;"")</f>
        <v/>
      </c>
      <c r="G50">
        <f>IF($V50="","",INDEX('Per Line'!$I$2:$I$6001,$V50)&amp;"")</f>
        <v/>
      </c>
      <c r="H50">
        <f>IF($V50="","",INDEX('Per Line'!$J$2:$J$6001,$V50))</f>
        <v/>
      </c>
      <c r="I50" s="7">
        <f>IF($V50="","",H50*S50/100)</f>
        <v/>
      </c>
      <c r="J50">
        <f>IF($V50="","",INDEX('Per Line'!$S$2:$S$6001,$V50)&amp;"")</f>
        <v/>
      </c>
      <c r="K50" s="7">
        <f>IF($V50="","",SUMIFS('Per Line'!$R$2:$R$6001,'Per Line'!$C$2:$C$6001,$B50,'Per Line'!$AJ$2:$AJ$6001,1))</f>
        <v/>
      </c>
      <c r="L50">
        <f>IF($V50="","",Settings!$C$7)</f>
        <v/>
      </c>
      <c r="M50" s="7">
        <f>IF($V50="","",SUMIFS('Per Line'!$R$2:$R$6001,'Per Line'!$C$2:$C$6001,$B50,'Per Line'!$AI$2:$AI$6001,0,'Per Line'!$AJ$2:$AJ$6001,0))</f>
        <v/>
      </c>
      <c r="N50" s="7">
        <f>IF($V50="","",M50*L50)</f>
        <v/>
      </c>
      <c r="O50">
        <f>IF($V50="","",Settings!$C$6)</f>
        <v/>
      </c>
      <c r="P50" s="7">
        <f>IF($V50="","",SUMIFS('Per Line'!$R$2:$R$6001,'Per Line'!$C$2:$C$6001,$B50,'Per Line'!$AI$2:$AI$6001,1,'Per Line'!$AJ$2:$AJ$6001,0))</f>
        <v/>
      </c>
      <c r="Q50" s="7">
        <f>IF($V50="","",P50*O50)</f>
        <v/>
      </c>
      <c r="R50" s="7">
        <f>IF($V50="","",Q50+N50)</f>
        <v/>
      </c>
      <c r="S50" s="7">
        <f>IF($V50="","",T50-R50)</f>
        <v/>
      </c>
      <c r="T50" s="7">
        <f>IF($V50="","",M50+P50+K50)</f>
        <v/>
      </c>
      <c r="U50" s="7">
        <f>IF($V50="","",T50-R50-I50)</f>
        <v/>
      </c>
      <c r="V50" s="13">
        <f>IF(ROWS($V$2:$V50)&lt;=MAX('Per Line'!$AH$2:$AH$6001),MATCH(ROWS($V$2:$V50),'Per Line'!$AH$2:$AH$6001,0),"")</f>
        <v/>
      </c>
    </row>
    <row r="51">
      <c r="A51" s="12" t="n"/>
      <c r="B51">
        <f>IF($V51="","",INDEX('Per Line'!$C$2:$C$6001,$V51)&amp;"")</f>
        <v/>
      </c>
      <c r="C51" s="11">
        <f>IF($V51="","",INDEX('Per Line'!$D$2:$D$6001,$V51))</f>
        <v/>
      </c>
      <c r="D51">
        <f>IF($V51="","",INDEX('Per Line'!$E$2:$E$6001,$V51)&amp;"")</f>
        <v/>
      </c>
      <c r="E51">
        <f>IF($V51="","",INDEX('Per Line'!$G$2:$G$6001,$V51)&amp;"")</f>
        <v/>
      </c>
      <c r="F51">
        <f>IF($V51="","",INDEX('Per Line'!$H$2:$H$6001,$V51)&amp;"")</f>
        <v/>
      </c>
      <c r="G51">
        <f>IF($V51="","",INDEX('Per Line'!$I$2:$I$6001,$V51)&amp;"")</f>
        <v/>
      </c>
      <c r="H51">
        <f>IF($V51="","",INDEX('Per Line'!$J$2:$J$6001,$V51))</f>
        <v/>
      </c>
      <c r="I51" s="7">
        <f>IF($V51="","",H51*S51/100)</f>
        <v/>
      </c>
      <c r="J51">
        <f>IF($V51="","",INDEX('Per Line'!$S$2:$S$6001,$V51)&amp;"")</f>
        <v/>
      </c>
      <c r="K51" s="7">
        <f>IF($V51="","",SUMIFS('Per Line'!$R$2:$R$6001,'Per Line'!$C$2:$C$6001,$B51,'Per Line'!$AJ$2:$AJ$6001,1))</f>
        <v/>
      </c>
      <c r="L51">
        <f>IF($V51="","",Settings!$C$7)</f>
        <v/>
      </c>
      <c r="M51" s="7">
        <f>IF($V51="","",SUMIFS('Per Line'!$R$2:$R$6001,'Per Line'!$C$2:$C$6001,$B51,'Per Line'!$AI$2:$AI$6001,0,'Per Line'!$AJ$2:$AJ$6001,0))</f>
        <v/>
      </c>
      <c r="N51" s="7">
        <f>IF($V51="","",M51*L51)</f>
        <v/>
      </c>
      <c r="O51">
        <f>IF($V51="","",Settings!$C$6)</f>
        <v/>
      </c>
      <c r="P51" s="7">
        <f>IF($V51="","",SUMIFS('Per Line'!$R$2:$R$6001,'Per Line'!$C$2:$C$6001,$B51,'Per Line'!$AI$2:$AI$6001,1,'Per Line'!$AJ$2:$AJ$6001,0))</f>
        <v/>
      </c>
      <c r="Q51" s="7">
        <f>IF($V51="","",P51*O51)</f>
        <v/>
      </c>
      <c r="R51" s="7">
        <f>IF($V51="","",Q51+N51)</f>
        <v/>
      </c>
      <c r="S51" s="7">
        <f>IF($V51="","",T51-R51)</f>
        <v/>
      </c>
      <c r="T51" s="7">
        <f>IF($V51="","",M51+P51+K51)</f>
        <v/>
      </c>
      <c r="U51" s="7">
        <f>IF($V51="","",T51-R51-I51)</f>
        <v/>
      </c>
      <c r="V51" s="13">
        <f>IF(ROWS($V$2:$V51)&lt;=MAX('Per Line'!$AH$2:$AH$6001),MATCH(ROWS($V$2:$V51),'Per Line'!$AH$2:$AH$6001,0),"")</f>
        <v/>
      </c>
    </row>
    <row r="52">
      <c r="A52" s="12" t="n"/>
      <c r="B52">
        <f>IF($V52="","",INDEX('Per Line'!$C$2:$C$6001,$V52)&amp;"")</f>
        <v/>
      </c>
      <c r="C52" s="11">
        <f>IF($V52="","",INDEX('Per Line'!$D$2:$D$6001,$V52))</f>
        <v/>
      </c>
      <c r="D52">
        <f>IF($V52="","",INDEX('Per Line'!$E$2:$E$6001,$V52)&amp;"")</f>
        <v/>
      </c>
      <c r="E52">
        <f>IF($V52="","",INDEX('Per Line'!$G$2:$G$6001,$V52)&amp;"")</f>
        <v/>
      </c>
      <c r="F52">
        <f>IF($V52="","",INDEX('Per Line'!$H$2:$H$6001,$V52)&amp;"")</f>
        <v/>
      </c>
      <c r="G52">
        <f>IF($V52="","",INDEX('Per Line'!$I$2:$I$6001,$V52)&amp;"")</f>
        <v/>
      </c>
      <c r="H52">
        <f>IF($V52="","",INDEX('Per Line'!$J$2:$J$6001,$V52))</f>
        <v/>
      </c>
      <c r="I52" s="7">
        <f>IF($V52="","",H52*S52/100)</f>
        <v/>
      </c>
      <c r="J52">
        <f>IF($V52="","",INDEX('Per Line'!$S$2:$S$6001,$V52)&amp;"")</f>
        <v/>
      </c>
      <c r="K52" s="7">
        <f>IF($V52="","",SUMIFS('Per Line'!$R$2:$R$6001,'Per Line'!$C$2:$C$6001,$B52,'Per Line'!$AJ$2:$AJ$6001,1))</f>
        <v/>
      </c>
      <c r="L52">
        <f>IF($V52="","",Settings!$C$7)</f>
        <v/>
      </c>
      <c r="M52" s="7">
        <f>IF($V52="","",SUMIFS('Per Line'!$R$2:$R$6001,'Per Line'!$C$2:$C$6001,$B52,'Per Line'!$AI$2:$AI$6001,0,'Per Line'!$AJ$2:$AJ$6001,0))</f>
        <v/>
      </c>
      <c r="N52" s="7">
        <f>IF($V52="","",M52*L52)</f>
        <v/>
      </c>
      <c r="O52">
        <f>IF($V52="","",Settings!$C$6)</f>
        <v/>
      </c>
      <c r="P52" s="7">
        <f>IF($V52="","",SUMIFS('Per Line'!$R$2:$R$6001,'Per Line'!$C$2:$C$6001,$B52,'Per Line'!$AI$2:$AI$6001,1,'Per Line'!$AJ$2:$AJ$6001,0))</f>
        <v/>
      </c>
      <c r="Q52" s="7">
        <f>IF($V52="","",P52*O52)</f>
        <v/>
      </c>
      <c r="R52" s="7">
        <f>IF($V52="","",Q52+N52)</f>
        <v/>
      </c>
      <c r="S52" s="7">
        <f>IF($V52="","",T52-R52)</f>
        <v/>
      </c>
      <c r="T52" s="7">
        <f>IF($V52="","",M52+P52+K52)</f>
        <v/>
      </c>
      <c r="U52" s="7">
        <f>IF($V52="","",T52-R52-I52)</f>
        <v/>
      </c>
      <c r="V52" s="13">
        <f>IF(ROWS($V$2:$V52)&lt;=MAX('Per Line'!$AH$2:$AH$6001),MATCH(ROWS($V$2:$V52),'Per Line'!$AH$2:$AH$6001,0),"")</f>
        <v/>
      </c>
    </row>
    <row r="53">
      <c r="A53" s="12" t="n"/>
      <c r="B53">
        <f>IF($V53="","",INDEX('Per Line'!$C$2:$C$6001,$V53)&amp;"")</f>
        <v/>
      </c>
      <c r="C53" s="11">
        <f>IF($V53="","",INDEX('Per Line'!$D$2:$D$6001,$V53))</f>
        <v/>
      </c>
      <c r="D53">
        <f>IF($V53="","",INDEX('Per Line'!$E$2:$E$6001,$V53)&amp;"")</f>
        <v/>
      </c>
      <c r="E53">
        <f>IF($V53="","",INDEX('Per Line'!$G$2:$G$6001,$V53)&amp;"")</f>
        <v/>
      </c>
      <c r="F53">
        <f>IF($V53="","",INDEX('Per Line'!$H$2:$H$6001,$V53)&amp;"")</f>
        <v/>
      </c>
      <c r="G53">
        <f>IF($V53="","",INDEX('Per Line'!$I$2:$I$6001,$V53)&amp;"")</f>
        <v/>
      </c>
      <c r="H53">
        <f>IF($V53="","",INDEX('Per Line'!$J$2:$J$6001,$V53))</f>
        <v/>
      </c>
      <c r="I53" s="7">
        <f>IF($V53="","",H53*S53/100)</f>
        <v/>
      </c>
      <c r="J53">
        <f>IF($V53="","",INDEX('Per Line'!$S$2:$S$6001,$V53)&amp;"")</f>
        <v/>
      </c>
      <c r="K53" s="7">
        <f>IF($V53="","",SUMIFS('Per Line'!$R$2:$R$6001,'Per Line'!$C$2:$C$6001,$B53,'Per Line'!$AJ$2:$AJ$6001,1))</f>
        <v/>
      </c>
      <c r="L53">
        <f>IF($V53="","",Settings!$C$7)</f>
        <v/>
      </c>
      <c r="M53" s="7">
        <f>IF($V53="","",SUMIFS('Per Line'!$R$2:$R$6001,'Per Line'!$C$2:$C$6001,$B53,'Per Line'!$AI$2:$AI$6001,0,'Per Line'!$AJ$2:$AJ$6001,0))</f>
        <v/>
      </c>
      <c r="N53" s="7">
        <f>IF($V53="","",M53*L53)</f>
        <v/>
      </c>
      <c r="O53">
        <f>IF($V53="","",Settings!$C$6)</f>
        <v/>
      </c>
      <c r="P53" s="7">
        <f>IF($V53="","",SUMIFS('Per Line'!$R$2:$R$6001,'Per Line'!$C$2:$C$6001,$B53,'Per Line'!$AI$2:$AI$6001,1,'Per Line'!$AJ$2:$AJ$6001,0))</f>
        <v/>
      </c>
      <c r="Q53" s="7">
        <f>IF($V53="","",P53*O53)</f>
        <v/>
      </c>
      <c r="R53" s="7">
        <f>IF($V53="","",Q53+N53)</f>
        <v/>
      </c>
      <c r="S53" s="7">
        <f>IF($V53="","",T53-R53)</f>
        <v/>
      </c>
      <c r="T53" s="7">
        <f>IF($V53="","",M53+P53+K53)</f>
        <v/>
      </c>
      <c r="U53" s="7">
        <f>IF($V53="","",T53-R53-I53)</f>
        <v/>
      </c>
      <c r="V53" s="13">
        <f>IF(ROWS($V$2:$V53)&lt;=MAX('Per Line'!$AH$2:$AH$6001),MATCH(ROWS($V$2:$V53),'Per Line'!$AH$2:$AH$6001,0),"")</f>
        <v/>
      </c>
    </row>
    <row r="54">
      <c r="A54" s="12" t="n"/>
      <c r="B54">
        <f>IF($V54="","",INDEX('Per Line'!$C$2:$C$6001,$V54)&amp;"")</f>
        <v/>
      </c>
      <c r="C54" s="11">
        <f>IF($V54="","",INDEX('Per Line'!$D$2:$D$6001,$V54))</f>
        <v/>
      </c>
      <c r="D54">
        <f>IF($V54="","",INDEX('Per Line'!$E$2:$E$6001,$V54)&amp;"")</f>
        <v/>
      </c>
      <c r="E54">
        <f>IF($V54="","",INDEX('Per Line'!$G$2:$G$6001,$V54)&amp;"")</f>
        <v/>
      </c>
      <c r="F54">
        <f>IF($V54="","",INDEX('Per Line'!$H$2:$H$6001,$V54)&amp;"")</f>
        <v/>
      </c>
      <c r="G54">
        <f>IF($V54="","",INDEX('Per Line'!$I$2:$I$6001,$V54)&amp;"")</f>
        <v/>
      </c>
      <c r="H54">
        <f>IF($V54="","",INDEX('Per Line'!$J$2:$J$6001,$V54))</f>
        <v/>
      </c>
      <c r="I54" s="7">
        <f>IF($V54="","",H54*S54/100)</f>
        <v/>
      </c>
      <c r="J54">
        <f>IF($V54="","",INDEX('Per Line'!$S$2:$S$6001,$V54)&amp;"")</f>
        <v/>
      </c>
      <c r="K54" s="7">
        <f>IF($V54="","",SUMIFS('Per Line'!$R$2:$R$6001,'Per Line'!$C$2:$C$6001,$B54,'Per Line'!$AJ$2:$AJ$6001,1))</f>
        <v/>
      </c>
      <c r="L54">
        <f>IF($V54="","",Settings!$C$7)</f>
        <v/>
      </c>
      <c r="M54" s="7">
        <f>IF($V54="","",SUMIFS('Per Line'!$R$2:$R$6001,'Per Line'!$C$2:$C$6001,$B54,'Per Line'!$AI$2:$AI$6001,0,'Per Line'!$AJ$2:$AJ$6001,0))</f>
        <v/>
      </c>
      <c r="N54" s="7">
        <f>IF($V54="","",M54*L54)</f>
        <v/>
      </c>
      <c r="O54">
        <f>IF($V54="","",Settings!$C$6)</f>
        <v/>
      </c>
      <c r="P54" s="7">
        <f>IF($V54="","",SUMIFS('Per Line'!$R$2:$R$6001,'Per Line'!$C$2:$C$6001,$B54,'Per Line'!$AI$2:$AI$6001,1,'Per Line'!$AJ$2:$AJ$6001,0))</f>
        <v/>
      </c>
      <c r="Q54" s="7">
        <f>IF($V54="","",P54*O54)</f>
        <v/>
      </c>
      <c r="R54" s="7">
        <f>IF($V54="","",Q54+N54)</f>
        <v/>
      </c>
      <c r="S54" s="7">
        <f>IF($V54="","",T54-R54)</f>
        <v/>
      </c>
      <c r="T54" s="7">
        <f>IF($V54="","",M54+P54+K54)</f>
        <v/>
      </c>
      <c r="U54" s="7">
        <f>IF($V54="","",T54-R54-I54)</f>
        <v/>
      </c>
      <c r="V54" s="13">
        <f>IF(ROWS($V$2:$V54)&lt;=MAX('Per Line'!$AH$2:$AH$6001),MATCH(ROWS($V$2:$V54),'Per Line'!$AH$2:$AH$6001,0),"")</f>
        <v/>
      </c>
    </row>
    <row r="55">
      <c r="A55" s="12" t="n"/>
      <c r="B55">
        <f>IF($V55="","",INDEX('Per Line'!$C$2:$C$6001,$V55)&amp;"")</f>
        <v/>
      </c>
      <c r="C55" s="11">
        <f>IF($V55="","",INDEX('Per Line'!$D$2:$D$6001,$V55))</f>
        <v/>
      </c>
      <c r="D55">
        <f>IF($V55="","",INDEX('Per Line'!$E$2:$E$6001,$V55)&amp;"")</f>
        <v/>
      </c>
      <c r="E55">
        <f>IF($V55="","",INDEX('Per Line'!$G$2:$G$6001,$V55)&amp;"")</f>
        <v/>
      </c>
      <c r="F55">
        <f>IF($V55="","",INDEX('Per Line'!$H$2:$H$6001,$V55)&amp;"")</f>
        <v/>
      </c>
      <c r="G55">
        <f>IF($V55="","",INDEX('Per Line'!$I$2:$I$6001,$V55)&amp;"")</f>
        <v/>
      </c>
      <c r="H55">
        <f>IF($V55="","",INDEX('Per Line'!$J$2:$J$6001,$V55))</f>
        <v/>
      </c>
      <c r="I55" s="7">
        <f>IF($V55="","",H55*S55/100)</f>
        <v/>
      </c>
      <c r="J55">
        <f>IF($V55="","",INDEX('Per Line'!$S$2:$S$6001,$V55)&amp;"")</f>
        <v/>
      </c>
      <c r="K55" s="7">
        <f>IF($V55="","",SUMIFS('Per Line'!$R$2:$R$6001,'Per Line'!$C$2:$C$6001,$B55,'Per Line'!$AJ$2:$AJ$6001,1))</f>
        <v/>
      </c>
      <c r="L55">
        <f>IF($V55="","",Settings!$C$7)</f>
        <v/>
      </c>
      <c r="M55" s="7">
        <f>IF($V55="","",SUMIFS('Per Line'!$R$2:$R$6001,'Per Line'!$C$2:$C$6001,$B55,'Per Line'!$AI$2:$AI$6001,0,'Per Line'!$AJ$2:$AJ$6001,0))</f>
        <v/>
      </c>
      <c r="N55" s="7">
        <f>IF($V55="","",M55*L55)</f>
        <v/>
      </c>
      <c r="O55">
        <f>IF($V55="","",Settings!$C$6)</f>
        <v/>
      </c>
      <c r="P55" s="7">
        <f>IF($V55="","",SUMIFS('Per Line'!$R$2:$R$6001,'Per Line'!$C$2:$C$6001,$B55,'Per Line'!$AI$2:$AI$6001,1,'Per Line'!$AJ$2:$AJ$6001,0))</f>
        <v/>
      </c>
      <c r="Q55" s="7">
        <f>IF($V55="","",P55*O55)</f>
        <v/>
      </c>
      <c r="R55" s="7">
        <f>IF($V55="","",Q55+N55)</f>
        <v/>
      </c>
      <c r="S55" s="7">
        <f>IF($V55="","",T55-R55)</f>
        <v/>
      </c>
      <c r="T55" s="7">
        <f>IF($V55="","",M55+P55+K55)</f>
        <v/>
      </c>
      <c r="U55" s="7">
        <f>IF($V55="","",T55-R55-I55)</f>
        <v/>
      </c>
      <c r="V55" s="13">
        <f>IF(ROWS($V$2:$V55)&lt;=MAX('Per Line'!$AH$2:$AH$6001),MATCH(ROWS($V$2:$V55),'Per Line'!$AH$2:$AH$6001,0),"")</f>
        <v/>
      </c>
    </row>
    <row r="56">
      <c r="A56" s="12" t="n"/>
      <c r="B56">
        <f>IF($V56="","",INDEX('Per Line'!$C$2:$C$6001,$V56)&amp;"")</f>
        <v/>
      </c>
      <c r="C56" s="11">
        <f>IF($V56="","",INDEX('Per Line'!$D$2:$D$6001,$V56))</f>
        <v/>
      </c>
      <c r="D56">
        <f>IF($V56="","",INDEX('Per Line'!$E$2:$E$6001,$V56)&amp;"")</f>
        <v/>
      </c>
      <c r="E56">
        <f>IF($V56="","",INDEX('Per Line'!$G$2:$G$6001,$V56)&amp;"")</f>
        <v/>
      </c>
      <c r="F56">
        <f>IF($V56="","",INDEX('Per Line'!$H$2:$H$6001,$V56)&amp;"")</f>
        <v/>
      </c>
      <c r="G56">
        <f>IF($V56="","",INDEX('Per Line'!$I$2:$I$6001,$V56)&amp;"")</f>
        <v/>
      </c>
      <c r="H56">
        <f>IF($V56="","",INDEX('Per Line'!$J$2:$J$6001,$V56))</f>
        <v/>
      </c>
      <c r="I56" s="7">
        <f>IF($V56="","",H56*S56/100)</f>
        <v/>
      </c>
      <c r="J56">
        <f>IF($V56="","",INDEX('Per Line'!$S$2:$S$6001,$V56)&amp;"")</f>
        <v/>
      </c>
      <c r="K56" s="7">
        <f>IF($V56="","",SUMIFS('Per Line'!$R$2:$R$6001,'Per Line'!$C$2:$C$6001,$B56,'Per Line'!$AJ$2:$AJ$6001,1))</f>
        <v/>
      </c>
      <c r="L56">
        <f>IF($V56="","",Settings!$C$7)</f>
        <v/>
      </c>
      <c r="M56" s="7">
        <f>IF($V56="","",SUMIFS('Per Line'!$R$2:$R$6001,'Per Line'!$C$2:$C$6001,$B56,'Per Line'!$AI$2:$AI$6001,0,'Per Line'!$AJ$2:$AJ$6001,0))</f>
        <v/>
      </c>
      <c r="N56" s="7">
        <f>IF($V56="","",M56*L56)</f>
        <v/>
      </c>
      <c r="O56">
        <f>IF($V56="","",Settings!$C$6)</f>
        <v/>
      </c>
      <c r="P56" s="7">
        <f>IF($V56="","",SUMIFS('Per Line'!$R$2:$R$6001,'Per Line'!$C$2:$C$6001,$B56,'Per Line'!$AI$2:$AI$6001,1,'Per Line'!$AJ$2:$AJ$6001,0))</f>
        <v/>
      </c>
      <c r="Q56" s="7">
        <f>IF($V56="","",P56*O56)</f>
        <v/>
      </c>
      <c r="R56" s="7">
        <f>IF($V56="","",Q56+N56)</f>
        <v/>
      </c>
      <c r="S56" s="7">
        <f>IF($V56="","",T56-R56)</f>
        <v/>
      </c>
      <c r="T56" s="7">
        <f>IF($V56="","",M56+P56+K56)</f>
        <v/>
      </c>
      <c r="U56" s="7">
        <f>IF($V56="","",T56-R56-I56)</f>
        <v/>
      </c>
      <c r="V56" s="13">
        <f>IF(ROWS($V$2:$V56)&lt;=MAX('Per Line'!$AH$2:$AH$6001),MATCH(ROWS($V$2:$V56),'Per Line'!$AH$2:$AH$6001,0),"")</f>
        <v/>
      </c>
    </row>
    <row r="57">
      <c r="A57" s="12" t="n"/>
      <c r="B57">
        <f>IF($V57="","",INDEX('Per Line'!$C$2:$C$6001,$V57)&amp;"")</f>
        <v/>
      </c>
      <c r="C57" s="11">
        <f>IF($V57="","",INDEX('Per Line'!$D$2:$D$6001,$V57))</f>
        <v/>
      </c>
      <c r="D57">
        <f>IF($V57="","",INDEX('Per Line'!$E$2:$E$6001,$V57)&amp;"")</f>
        <v/>
      </c>
      <c r="E57">
        <f>IF($V57="","",INDEX('Per Line'!$G$2:$G$6001,$V57)&amp;"")</f>
        <v/>
      </c>
      <c r="F57">
        <f>IF($V57="","",INDEX('Per Line'!$H$2:$H$6001,$V57)&amp;"")</f>
        <v/>
      </c>
      <c r="G57">
        <f>IF($V57="","",INDEX('Per Line'!$I$2:$I$6001,$V57)&amp;"")</f>
        <v/>
      </c>
      <c r="H57">
        <f>IF($V57="","",INDEX('Per Line'!$J$2:$J$6001,$V57))</f>
        <v/>
      </c>
      <c r="I57" s="7">
        <f>IF($V57="","",H57*S57/100)</f>
        <v/>
      </c>
      <c r="J57">
        <f>IF($V57="","",INDEX('Per Line'!$S$2:$S$6001,$V57)&amp;"")</f>
        <v/>
      </c>
      <c r="K57" s="7">
        <f>IF($V57="","",SUMIFS('Per Line'!$R$2:$R$6001,'Per Line'!$C$2:$C$6001,$B57,'Per Line'!$AJ$2:$AJ$6001,1))</f>
        <v/>
      </c>
      <c r="L57">
        <f>IF($V57="","",Settings!$C$7)</f>
        <v/>
      </c>
      <c r="M57" s="7">
        <f>IF($V57="","",SUMIFS('Per Line'!$R$2:$R$6001,'Per Line'!$C$2:$C$6001,$B57,'Per Line'!$AI$2:$AI$6001,0,'Per Line'!$AJ$2:$AJ$6001,0))</f>
        <v/>
      </c>
      <c r="N57" s="7">
        <f>IF($V57="","",M57*L57)</f>
        <v/>
      </c>
      <c r="O57">
        <f>IF($V57="","",Settings!$C$6)</f>
        <v/>
      </c>
      <c r="P57" s="7">
        <f>IF($V57="","",SUMIFS('Per Line'!$R$2:$R$6001,'Per Line'!$C$2:$C$6001,$B57,'Per Line'!$AI$2:$AI$6001,1,'Per Line'!$AJ$2:$AJ$6001,0))</f>
        <v/>
      </c>
      <c r="Q57" s="7">
        <f>IF($V57="","",P57*O57)</f>
        <v/>
      </c>
      <c r="R57" s="7">
        <f>IF($V57="","",Q57+N57)</f>
        <v/>
      </c>
      <c r="S57" s="7">
        <f>IF($V57="","",T57-R57)</f>
        <v/>
      </c>
      <c r="T57" s="7">
        <f>IF($V57="","",M57+P57+K57)</f>
        <v/>
      </c>
      <c r="U57" s="7">
        <f>IF($V57="","",T57-R57-I57)</f>
        <v/>
      </c>
      <c r="V57" s="13">
        <f>IF(ROWS($V$2:$V57)&lt;=MAX('Per Line'!$AH$2:$AH$6001),MATCH(ROWS($V$2:$V57),'Per Line'!$AH$2:$AH$6001,0),"")</f>
        <v/>
      </c>
    </row>
    <row r="58">
      <c r="A58" s="12" t="n"/>
      <c r="B58">
        <f>IF($V58="","",INDEX('Per Line'!$C$2:$C$6001,$V58)&amp;"")</f>
        <v/>
      </c>
      <c r="C58" s="11">
        <f>IF($V58="","",INDEX('Per Line'!$D$2:$D$6001,$V58))</f>
        <v/>
      </c>
      <c r="D58">
        <f>IF($V58="","",INDEX('Per Line'!$E$2:$E$6001,$V58)&amp;"")</f>
        <v/>
      </c>
      <c r="E58">
        <f>IF($V58="","",INDEX('Per Line'!$G$2:$G$6001,$V58)&amp;"")</f>
        <v/>
      </c>
      <c r="F58">
        <f>IF($V58="","",INDEX('Per Line'!$H$2:$H$6001,$V58)&amp;"")</f>
        <v/>
      </c>
      <c r="G58">
        <f>IF($V58="","",INDEX('Per Line'!$I$2:$I$6001,$V58)&amp;"")</f>
        <v/>
      </c>
      <c r="H58">
        <f>IF($V58="","",INDEX('Per Line'!$J$2:$J$6001,$V58))</f>
        <v/>
      </c>
      <c r="I58" s="7">
        <f>IF($V58="","",H58*S58/100)</f>
        <v/>
      </c>
      <c r="J58">
        <f>IF($V58="","",INDEX('Per Line'!$S$2:$S$6001,$V58)&amp;"")</f>
        <v/>
      </c>
      <c r="K58" s="7">
        <f>IF($V58="","",SUMIFS('Per Line'!$R$2:$R$6001,'Per Line'!$C$2:$C$6001,$B58,'Per Line'!$AJ$2:$AJ$6001,1))</f>
        <v/>
      </c>
      <c r="L58">
        <f>IF($V58="","",Settings!$C$7)</f>
        <v/>
      </c>
      <c r="M58" s="7">
        <f>IF($V58="","",SUMIFS('Per Line'!$R$2:$R$6001,'Per Line'!$C$2:$C$6001,$B58,'Per Line'!$AI$2:$AI$6001,0,'Per Line'!$AJ$2:$AJ$6001,0))</f>
        <v/>
      </c>
      <c r="N58" s="7">
        <f>IF($V58="","",M58*L58)</f>
        <v/>
      </c>
      <c r="O58">
        <f>IF($V58="","",Settings!$C$6)</f>
        <v/>
      </c>
      <c r="P58" s="7">
        <f>IF($V58="","",SUMIFS('Per Line'!$R$2:$R$6001,'Per Line'!$C$2:$C$6001,$B58,'Per Line'!$AI$2:$AI$6001,1,'Per Line'!$AJ$2:$AJ$6001,0))</f>
        <v/>
      </c>
      <c r="Q58" s="7">
        <f>IF($V58="","",P58*O58)</f>
        <v/>
      </c>
      <c r="R58" s="7">
        <f>IF($V58="","",Q58+N58)</f>
        <v/>
      </c>
      <c r="S58" s="7">
        <f>IF($V58="","",T58-R58)</f>
        <v/>
      </c>
      <c r="T58" s="7">
        <f>IF($V58="","",M58+P58+K58)</f>
        <v/>
      </c>
      <c r="U58" s="7">
        <f>IF($V58="","",T58-R58-I58)</f>
        <v/>
      </c>
      <c r="V58" s="13">
        <f>IF(ROWS($V$2:$V58)&lt;=MAX('Per Line'!$AH$2:$AH$6001),MATCH(ROWS($V$2:$V58),'Per Line'!$AH$2:$AH$6001,0),"")</f>
        <v/>
      </c>
    </row>
    <row r="59">
      <c r="A59" s="12" t="n"/>
      <c r="B59">
        <f>IF($V59="","",INDEX('Per Line'!$C$2:$C$6001,$V59)&amp;"")</f>
        <v/>
      </c>
      <c r="C59" s="11">
        <f>IF($V59="","",INDEX('Per Line'!$D$2:$D$6001,$V59))</f>
        <v/>
      </c>
      <c r="D59">
        <f>IF($V59="","",INDEX('Per Line'!$E$2:$E$6001,$V59)&amp;"")</f>
        <v/>
      </c>
      <c r="E59">
        <f>IF($V59="","",INDEX('Per Line'!$G$2:$G$6001,$V59)&amp;"")</f>
        <v/>
      </c>
      <c r="F59">
        <f>IF($V59="","",INDEX('Per Line'!$H$2:$H$6001,$V59)&amp;"")</f>
        <v/>
      </c>
      <c r="G59">
        <f>IF($V59="","",INDEX('Per Line'!$I$2:$I$6001,$V59)&amp;"")</f>
        <v/>
      </c>
      <c r="H59">
        <f>IF($V59="","",INDEX('Per Line'!$J$2:$J$6001,$V59))</f>
        <v/>
      </c>
      <c r="I59" s="7">
        <f>IF($V59="","",H59*S59/100)</f>
        <v/>
      </c>
      <c r="J59">
        <f>IF($V59="","",INDEX('Per Line'!$S$2:$S$6001,$V59)&amp;"")</f>
        <v/>
      </c>
      <c r="K59" s="7">
        <f>IF($V59="","",SUMIFS('Per Line'!$R$2:$R$6001,'Per Line'!$C$2:$C$6001,$B59,'Per Line'!$AJ$2:$AJ$6001,1))</f>
        <v/>
      </c>
      <c r="L59">
        <f>IF($V59="","",Settings!$C$7)</f>
        <v/>
      </c>
      <c r="M59" s="7">
        <f>IF($V59="","",SUMIFS('Per Line'!$R$2:$R$6001,'Per Line'!$C$2:$C$6001,$B59,'Per Line'!$AI$2:$AI$6001,0,'Per Line'!$AJ$2:$AJ$6001,0))</f>
        <v/>
      </c>
      <c r="N59" s="7">
        <f>IF($V59="","",M59*L59)</f>
        <v/>
      </c>
      <c r="O59">
        <f>IF($V59="","",Settings!$C$6)</f>
        <v/>
      </c>
      <c r="P59" s="7">
        <f>IF($V59="","",SUMIFS('Per Line'!$R$2:$R$6001,'Per Line'!$C$2:$C$6001,$B59,'Per Line'!$AI$2:$AI$6001,1,'Per Line'!$AJ$2:$AJ$6001,0))</f>
        <v/>
      </c>
      <c r="Q59" s="7">
        <f>IF($V59="","",P59*O59)</f>
        <v/>
      </c>
      <c r="R59" s="7">
        <f>IF($V59="","",Q59+N59)</f>
        <v/>
      </c>
      <c r="S59" s="7">
        <f>IF($V59="","",T59-R59)</f>
        <v/>
      </c>
      <c r="T59" s="7">
        <f>IF($V59="","",M59+P59+K59)</f>
        <v/>
      </c>
      <c r="U59" s="7">
        <f>IF($V59="","",T59-R59-I59)</f>
        <v/>
      </c>
      <c r="V59" s="13">
        <f>IF(ROWS($V$2:$V59)&lt;=MAX('Per Line'!$AH$2:$AH$6001),MATCH(ROWS($V$2:$V59),'Per Line'!$AH$2:$AH$6001,0),"")</f>
        <v/>
      </c>
    </row>
    <row r="60">
      <c r="A60" s="12" t="n"/>
      <c r="B60">
        <f>IF($V60="","",INDEX('Per Line'!$C$2:$C$6001,$V60)&amp;"")</f>
        <v/>
      </c>
      <c r="C60" s="11">
        <f>IF($V60="","",INDEX('Per Line'!$D$2:$D$6001,$V60))</f>
        <v/>
      </c>
      <c r="D60">
        <f>IF($V60="","",INDEX('Per Line'!$E$2:$E$6001,$V60)&amp;"")</f>
        <v/>
      </c>
      <c r="E60">
        <f>IF($V60="","",INDEX('Per Line'!$G$2:$G$6001,$V60)&amp;"")</f>
        <v/>
      </c>
      <c r="F60">
        <f>IF($V60="","",INDEX('Per Line'!$H$2:$H$6001,$V60)&amp;"")</f>
        <v/>
      </c>
      <c r="G60">
        <f>IF($V60="","",INDEX('Per Line'!$I$2:$I$6001,$V60)&amp;"")</f>
        <v/>
      </c>
      <c r="H60">
        <f>IF($V60="","",INDEX('Per Line'!$J$2:$J$6001,$V60))</f>
        <v/>
      </c>
      <c r="I60" s="7">
        <f>IF($V60="","",H60*S60/100)</f>
        <v/>
      </c>
      <c r="J60">
        <f>IF($V60="","",INDEX('Per Line'!$S$2:$S$6001,$V60)&amp;"")</f>
        <v/>
      </c>
      <c r="K60" s="7">
        <f>IF($V60="","",SUMIFS('Per Line'!$R$2:$R$6001,'Per Line'!$C$2:$C$6001,$B60,'Per Line'!$AJ$2:$AJ$6001,1))</f>
        <v/>
      </c>
      <c r="L60">
        <f>IF($V60="","",Settings!$C$7)</f>
        <v/>
      </c>
      <c r="M60" s="7">
        <f>IF($V60="","",SUMIFS('Per Line'!$R$2:$R$6001,'Per Line'!$C$2:$C$6001,$B60,'Per Line'!$AI$2:$AI$6001,0,'Per Line'!$AJ$2:$AJ$6001,0))</f>
        <v/>
      </c>
      <c r="N60" s="7">
        <f>IF($V60="","",M60*L60)</f>
        <v/>
      </c>
      <c r="O60">
        <f>IF($V60="","",Settings!$C$6)</f>
        <v/>
      </c>
      <c r="P60" s="7">
        <f>IF($V60="","",SUMIFS('Per Line'!$R$2:$R$6001,'Per Line'!$C$2:$C$6001,$B60,'Per Line'!$AI$2:$AI$6001,1,'Per Line'!$AJ$2:$AJ$6001,0))</f>
        <v/>
      </c>
      <c r="Q60" s="7">
        <f>IF($V60="","",P60*O60)</f>
        <v/>
      </c>
      <c r="R60" s="7">
        <f>IF($V60="","",Q60+N60)</f>
        <v/>
      </c>
      <c r="S60" s="7">
        <f>IF($V60="","",T60-R60)</f>
        <v/>
      </c>
      <c r="T60" s="7">
        <f>IF($V60="","",M60+P60+K60)</f>
        <v/>
      </c>
      <c r="U60" s="7">
        <f>IF($V60="","",T60-R60-I60)</f>
        <v/>
      </c>
      <c r="V60" s="13">
        <f>IF(ROWS($V$2:$V60)&lt;=MAX('Per Line'!$AH$2:$AH$6001),MATCH(ROWS($V$2:$V60),'Per Line'!$AH$2:$AH$6001,0),"")</f>
        <v/>
      </c>
    </row>
    <row r="61">
      <c r="A61" s="12" t="n"/>
      <c r="B61">
        <f>IF($V61="","",INDEX('Per Line'!$C$2:$C$6001,$V61)&amp;"")</f>
        <v/>
      </c>
      <c r="C61" s="11">
        <f>IF($V61="","",INDEX('Per Line'!$D$2:$D$6001,$V61))</f>
        <v/>
      </c>
      <c r="D61">
        <f>IF($V61="","",INDEX('Per Line'!$E$2:$E$6001,$V61)&amp;"")</f>
        <v/>
      </c>
      <c r="E61">
        <f>IF($V61="","",INDEX('Per Line'!$G$2:$G$6001,$V61)&amp;"")</f>
        <v/>
      </c>
      <c r="F61">
        <f>IF($V61="","",INDEX('Per Line'!$H$2:$H$6001,$V61)&amp;"")</f>
        <v/>
      </c>
      <c r="G61">
        <f>IF($V61="","",INDEX('Per Line'!$I$2:$I$6001,$V61)&amp;"")</f>
        <v/>
      </c>
      <c r="H61">
        <f>IF($V61="","",INDEX('Per Line'!$J$2:$J$6001,$V61))</f>
        <v/>
      </c>
      <c r="I61" s="7">
        <f>IF($V61="","",H61*S61/100)</f>
        <v/>
      </c>
      <c r="J61">
        <f>IF($V61="","",INDEX('Per Line'!$S$2:$S$6001,$V61)&amp;"")</f>
        <v/>
      </c>
      <c r="K61" s="7">
        <f>IF($V61="","",SUMIFS('Per Line'!$R$2:$R$6001,'Per Line'!$C$2:$C$6001,$B61,'Per Line'!$AJ$2:$AJ$6001,1))</f>
        <v/>
      </c>
      <c r="L61">
        <f>IF($V61="","",Settings!$C$7)</f>
        <v/>
      </c>
      <c r="M61" s="7">
        <f>IF($V61="","",SUMIFS('Per Line'!$R$2:$R$6001,'Per Line'!$C$2:$C$6001,$B61,'Per Line'!$AI$2:$AI$6001,0,'Per Line'!$AJ$2:$AJ$6001,0))</f>
        <v/>
      </c>
      <c r="N61" s="7">
        <f>IF($V61="","",M61*L61)</f>
        <v/>
      </c>
      <c r="O61">
        <f>IF($V61="","",Settings!$C$6)</f>
        <v/>
      </c>
      <c r="P61" s="7">
        <f>IF($V61="","",SUMIFS('Per Line'!$R$2:$R$6001,'Per Line'!$C$2:$C$6001,$B61,'Per Line'!$AI$2:$AI$6001,1,'Per Line'!$AJ$2:$AJ$6001,0))</f>
        <v/>
      </c>
      <c r="Q61" s="7">
        <f>IF($V61="","",P61*O61)</f>
        <v/>
      </c>
      <c r="R61" s="7">
        <f>IF($V61="","",Q61+N61)</f>
        <v/>
      </c>
      <c r="S61" s="7">
        <f>IF($V61="","",T61-R61)</f>
        <v/>
      </c>
      <c r="T61" s="7">
        <f>IF($V61="","",M61+P61+K61)</f>
        <v/>
      </c>
      <c r="U61" s="7">
        <f>IF($V61="","",T61-R61-I61)</f>
        <v/>
      </c>
      <c r="V61" s="13">
        <f>IF(ROWS($V$2:$V61)&lt;=MAX('Per Line'!$AH$2:$AH$6001),MATCH(ROWS($V$2:$V61),'Per Line'!$AH$2:$AH$6001,0),"")</f>
        <v/>
      </c>
    </row>
    <row r="62">
      <c r="A62" s="12" t="n"/>
      <c r="B62">
        <f>IF($V62="","",INDEX('Per Line'!$C$2:$C$6001,$V62)&amp;"")</f>
        <v/>
      </c>
      <c r="C62" s="11">
        <f>IF($V62="","",INDEX('Per Line'!$D$2:$D$6001,$V62))</f>
        <v/>
      </c>
      <c r="D62">
        <f>IF($V62="","",INDEX('Per Line'!$E$2:$E$6001,$V62)&amp;"")</f>
        <v/>
      </c>
      <c r="E62">
        <f>IF($V62="","",INDEX('Per Line'!$G$2:$G$6001,$V62)&amp;"")</f>
        <v/>
      </c>
      <c r="F62">
        <f>IF($V62="","",INDEX('Per Line'!$H$2:$H$6001,$V62)&amp;"")</f>
        <v/>
      </c>
      <c r="G62">
        <f>IF($V62="","",INDEX('Per Line'!$I$2:$I$6001,$V62)&amp;"")</f>
        <v/>
      </c>
      <c r="H62">
        <f>IF($V62="","",INDEX('Per Line'!$J$2:$J$6001,$V62))</f>
        <v/>
      </c>
      <c r="I62" s="7">
        <f>IF($V62="","",H62*S62/100)</f>
        <v/>
      </c>
      <c r="J62">
        <f>IF($V62="","",INDEX('Per Line'!$S$2:$S$6001,$V62)&amp;"")</f>
        <v/>
      </c>
      <c r="K62" s="7">
        <f>IF($V62="","",SUMIFS('Per Line'!$R$2:$R$6001,'Per Line'!$C$2:$C$6001,$B62,'Per Line'!$AJ$2:$AJ$6001,1))</f>
        <v/>
      </c>
      <c r="L62">
        <f>IF($V62="","",Settings!$C$7)</f>
        <v/>
      </c>
      <c r="M62" s="7">
        <f>IF($V62="","",SUMIFS('Per Line'!$R$2:$R$6001,'Per Line'!$C$2:$C$6001,$B62,'Per Line'!$AI$2:$AI$6001,0,'Per Line'!$AJ$2:$AJ$6001,0))</f>
        <v/>
      </c>
      <c r="N62" s="7">
        <f>IF($V62="","",M62*L62)</f>
        <v/>
      </c>
      <c r="O62">
        <f>IF($V62="","",Settings!$C$6)</f>
        <v/>
      </c>
      <c r="P62" s="7">
        <f>IF($V62="","",SUMIFS('Per Line'!$R$2:$R$6001,'Per Line'!$C$2:$C$6001,$B62,'Per Line'!$AI$2:$AI$6001,1,'Per Line'!$AJ$2:$AJ$6001,0))</f>
        <v/>
      </c>
      <c r="Q62" s="7">
        <f>IF($V62="","",P62*O62)</f>
        <v/>
      </c>
      <c r="R62" s="7">
        <f>IF($V62="","",Q62+N62)</f>
        <v/>
      </c>
      <c r="S62" s="7">
        <f>IF($V62="","",T62-R62)</f>
        <v/>
      </c>
      <c r="T62" s="7">
        <f>IF($V62="","",M62+P62+K62)</f>
        <v/>
      </c>
      <c r="U62" s="7">
        <f>IF($V62="","",T62-R62-I62)</f>
        <v/>
      </c>
      <c r="V62" s="13">
        <f>IF(ROWS($V$2:$V62)&lt;=MAX('Per Line'!$AH$2:$AH$6001),MATCH(ROWS($V$2:$V62),'Per Line'!$AH$2:$AH$6001,0),"")</f>
        <v/>
      </c>
    </row>
    <row r="63">
      <c r="A63" s="12" t="n"/>
      <c r="B63">
        <f>IF($V63="","",INDEX('Per Line'!$C$2:$C$6001,$V63)&amp;"")</f>
        <v/>
      </c>
      <c r="C63" s="11">
        <f>IF($V63="","",INDEX('Per Line'!$D$2:$D$6001,$V63))</f>
        <v/>
      </c>
      <c r="D63">
        <f>IF($V63="","",INDEX('Per Line'!$E$2:$E$6001,$V63)&amp;"")</f>
        <v/>
      </c>
      <c r="E63">
        <f>IF($V63="","",INDEX('Per Line'!$G$2:$G$6001,$V63)&amp;"")</f>
        <v/>
      </c>
      <c r="F63">
        <f>IF($V63="","",INDEX('Per Line'!$H$2:$H$6001,$V63)&amp;"")</f>
        <v/>
      </c>
      <c r="G63">
        <f>IF($V63="","",INDEX('Per Line'!$I$2:$I$6001,$V63)&amp;"")</f>
        <v/>
      </c>
      <c r="H63">
        <f>IF($V63="","",INDEX('Per Line'!$J$2:$J$6001,$V63))</f>
        <v/>
      </c>
      <c r="I63" s="7">
        <f>IF($V63="","",H63*S63/100)</f>
        <v/>
      </c>
      <c r="J63">
        <f>IF($V63="","",INDEX('Per Line'!$S$2:$S$6001,$V63)&amp;"")</f>
        <v/>
      </c>
      <c r="K63" s="7">
        <f>IF($V63="","",SUMIFS('Per Line'!$R$2:$R$6001,'Per Line'!$C$2:$C$6001,$B63,'Per Line'!$AJ$2:$AJ$6001,1))</f>
        <v/>
      </c>
      <c r="L63">
        <f>IF($V63="","",Settings!$C$7)</f>
        <v/>
      </c>
      <c r="M63" s="7">
        <f>IF($V63="","",SUMIFS('Per Line'!$R$2:$R$6001,'Per Line'!$C$2:$C$6001,$B63,'Per Line'!$AI$2:$AI$6001,0,'Per Line'!$AJ$2:$AJ$6001,0))</f>
        <v/>
      </c>
      <c r="N63" s="7">
        <f>IF($V63="","",M63*L63)</f>
        <v/>
      </c>
      <c r="O63">
        <f>IF($V63="","",Settings!$C$6)</f>
        <v/>
      </c>
      <c r="P63" s="7">
        <f>IF($V63="","",SUMIFS('Per Line'!$R$2:$R$6001,'Per Line'!$C$2:$C$6001,$B63,'Per Line'!$AI$2:$AI$6001,1,'Per Line'!$AJ$2:$AJ$6001,0))</f>
        <v/>
      </c>
      <c r="Q63" s="7">
        <f>IF($V63="","",P63*O63)</f>
        <v/>
      </c>
      <c r="R63" s="7">
        <f>IF($V63="","",Q63+N63)</f>
        <v/>
      </c>
      <c r="S63" s="7">
        <f>IF($V63="","",T63-R63)</f>
        <v/>
      </c>
      <c r="T63" s="7">
        <f>IF($V63="","",M63+P63+K63)</f>
        <v/>
      </c>
      <c r="U63" s="7">
        <f>IF($V63="","",T63-R63-I63)</f>
        <v/>
      </c>
      <c r="V63" s="13">
        <f>IF(ROWS($V$2:$V63)&lt;=MAX('Per Line'!$AH$2:$AH$6001),MATCH(ROWS($V$2:$V63),'Per Line'!$AH$2:$AH$6001,0),"")</f>
        <v/>
      </c>
    </row>
    <row r="64">
      <c r="A64" s="12" t="n"/>
      <c r="B64">
        <f>IF($V64="","",INDEX('Per Line'!$C$2:$C$6001,$V64)&amp;"")</f>
        <v/>
      </c>
      <c r="C64" s="11">
        <f>IF($V64="","",INDEX('Per Line'!$D$2:$D$6001,$V64))</f>
        <v/>
      </c>
      <c r="D64">
        <f>IF($V64="","",INDEX('Per Line'!$E$2:$E$6001,$V64)&amp;"")</f>
        <v/>
      </c>
      <c r="E64">
        <f>IF($V64="","",INDEX('Per Line'!$G$2:$G$6001,$V64)&amp;"")</f>
        <v/>
      </c>
      <c r="F64">
        <f>IF($V64="","",INDEX('Per Line'!$H$2:$H$6001,$V64)&amp;"")</f>
        <v/>
      </c>
      <c r="G64">
        <f>IF($V64="","",INDEX('Per Line'!$I$2:$I$6001,$V64)&amp;"")</f>
        <v/>
      </c>
      <c r="H64">
        <f>IF($V64="","",INDEX('Per Line'!$J$2:$J$6001,$V64))</f>
        <v/>
      </c>
      <c r="I64" s="7">
        <f>IF($V64="","",H64*S64/100)</f>
        <v/>
      </c>
      <c r="J64">
        <f>IF($V64="","",INDEX('Per Line'!$S$2:$S$6001,$V64)&amp;"")</f>
        <v/>
      </c>
      <c r="K64" s="7">
        <f>IF($V64="","",SUMIFS('Per Line'!$R$2:$R$6001,'Per Line'!$C$2:$C$6001,$B64,'Per Line'!$AJ$2:$AJ$6001,1))</f>
        <v/>
      </c>
      <c r="L64">
        <f>IF($V64="","",Settings!$C$7)</f>
        <v/>
      </c>
      <c r="M64" s="7">
        <f>IF($V64="","",SUMIFS('Per Line'!$R$2:$R$6001,'Per Line'!$C$2:$C$6001,$B64,'Per Line'!$AI$2:$AI$6001,0,'Per Line'!$AJ$2:$AJ$6001,0))</f>
        <v/>
      </c>
      <c r="N64" s="7">
        <f>IF($V64="","",M64*L64)</f>
        <v/>
      </c>
      <c r="O64">
        <f>IF($V64="","",Settings!$C$6)</f>
        <v/>
      </c>
      <c r="P64" s="7">
        <f>IF($V64="","",SUMIFS('Per Line'!$R$2:$R$6001,'Per Line'!$C$2:$C$6001,$B64,'Per Line'!$AI$2:$AI$6001,1,'Per Line'!$AJ$2:$AJ$6001,0))</f>
        <v/>
      </c>
      <c r="Q64" s="7">
        <f>IF($V64="","",P64*O64)</f>
        <v/>
      </c>
      <c r="R64" s="7">
        <f>IF($V64="","",Q64+N64)</f>
        <v/>
      </c>
      <c r="S64" s="7">
        <f>IF($V64="","",T64-R64)</f>
        <v/>
      </c>
      <c r="T64" s="7">
        <f>IF($V64="","",M64+P64+K64)</f>
        <v/>
      </c>
      <c r="U64" s="7">
        <f>IF($V64="","",T64-R64-I64)</f>
        <v/>
      </c>
      <c r="V64" s="13">
        <f>IF(ROWS($V$2:$V64)&lt;=MAX('Per Line'!$AH$2:$AH$6001),MATCH(ROWS($V$2:$V64),'Per Line'!$AH$2:$AH$6001,0),"")</f>
        <v/>
      </c>
    </row>
    <row r="65">
      <c r="A65" s="12" t="n"/>
      <c r="B65">
        <f>IF($V65="","",INDEX('Per Line'!$C$2:$C$6001,$V65)&amp;"")</f>
        <v/>
      </c>
      <c r="C65" s="11">
        <f>IF($V65="","",INDEX('Per Line'!$D$2:$D$6001,$V65))</f>
        <v/>
      </c>
      <c r="D65">
        <f>IF($V65="","",INDEX('Per Line'!$E$2:$E$6001,$V65)&amp;"")</f>
        <v/>
      </c>
      <c r="E65">
        <f>IF($V65="","",INDEX('Per Line'!$G$2:$G$6001,$V65)&amp;"")</f>
        <v/>
      </c>
      <c r="F65">
        <f>IF($V65="","",INDEX('Per Line'!$H$2:$H$6001,$V65)&amp;"")</f>
        <v/>
      </c>
      <c r="G65">
        <f>IF($V65="","",INDEX('Per Line'!$I$2:$I$6001,$V65)&amp;"")</f>
        <v/>
      </c>
      <c r="H65">
        <f>IF($V65="","",INDEX('Per Line'!$J$2:$J$6001,$V65))</f>
        <v/>
      </c>
      <c r="I65" s="7">
        <f>IF($V65="","",H65*S65/100)</f>
        <v/>
      </c>
      <c r="J65">
        <f>IF($V65="","",INDEX('Per Line'!$S$2:$S$6001,$V65)&amp;"")</f>
        <v/>
      </c>
      <c r="K65" s="7">
        <f>IF($V65="","",SUMIFS('Per Line'!$R$2:$R$6001,'Per Line'!$C$2:$C$6001,$B65,'Per Line'!$AJ$2:$AJ$6001,1))</f>
        <v/>
      </c>
      <c r="L65">
        <f>IF($V65="","",Settings!$C$7)</f>
        <v/>
      </c>
      <c r="M65" s="7">
        <f>IF($V65="","",SUMIFS('Per Line'!$R$2:$R$6001,'Per Line'!$C$2:$C$6001,$B65,'Per Line'!$AI$2:$AI$6001,0,'Per Line'!$AJ$2:$AJ$6001,0))</f>
        <v/>
      </c>
      <c r="N65" s="7">
        <f>IF($V65="","",M65*L65)</f>
        <v/>
      </c>
      <c r="O65">
        <f>IF($V65="","",Settings!$C$6)</f>
        <v/>
      </c>
      <c r="P65" s="7">
        <f>IF($V65="","",SUMIFS('Per Line'!$R$2:$R$6001,'Per Line'!$C$2:$C$6001,$B65,'Per Line'!$AI$2:$AI$6001,1,'Per Line'!$AJ$2:$AJ$6001,0))</f>
        <v/>
      </c>
      <c r="Q65" s="7">
        <f>IF($V65="","",P65*O65)</f>
        <v/>
      </c>
      <c r="R65" s="7">
        <f>IF($V65="","",Q65+N65)</f>
        <v/>
      </c>
      <c r="S65" s="7">
        <f>IF($V65="","",T65-R65)</f>
        <v/>
      </c>
      <c r="T65" s="7">
        <f>IF($V65="","",M65+P65+K65)</f>
        <v/>
      </c>
      <c r="U65" s="7">
        <f>IF($V65="","",T65-R65-I65)</f>
        <v/>
      </c>
      <c r="V65" s="13">
        <f>IF(ROWS($V$2:$V65)&lt;=MAX('Per Line'!$AH$2:$AH$6001),MATCH(ROWS($V$2:$V65),'Per Line'!$AH$2:$AH$6001,0),"")</f>
        <v/>
      </c>
    </row>
    <row r="66">
      <c r="A66" s="12" t="n"/>
      <c r="B66">
        <f>IF($V66="","",INDEX('Per Line'!$C$2:$C$6001,$V66)&amp;"")</f>
        <v/>
      </c>
      <c r="C66" s="11">
        <f>IF($V66="","",INDEX('Per Line'!$D$2:$D$6001,$V66))</f>
        <v/>
      </c>
      <c r="D66">
        <f>IF($V66="","",INDEX('Per Line'!$E$2:$E$6001,$V66)&amp;"")</f>
        <v/>
      </c>
      <c r="E66">
        <f>IF($V66="","",INDEX('Per Line'!$G$2:$G$6001,$V66)&amp;"")</f>
        <v/>
      </c>
      <c r="F66">
        <f>IF($V66="","",INDEX('Per Line'!$H$2:$H$6001,$V66)&amp;"")</f>
        <v/>
      </c>
      <c r="G66">
        <f>IF($V66="","",INDEX('Per Line'!$I$2:$I$6001,$V66)&amp;"")</f>
        <v/>
      </c>
      <c r="H66">
        <f>IF($V66="","",INDEX('Per Line'!$J$2:$J$6001,$V66))</f>
        <v/>
      </c>
      <c r="I66" s="7">
        <f>IF($V66="","",H66*S66/100)</f>
        <v/>
      </c>
      <c r="J66">
        <f>IF($V66="","",INDEX('Per Line'!$S$2:$S$6001,$V66)&amp;"")</f>
        <v/>
      </c>
      <c r="K66" s="7">
        <f>IF($V66="","",SUMIFS('Per Line'!$R$2:$R$6001,'Per Line'!$C$2:$C$6001,$B66,'Per Line'!$AJ$2:$AJ$6001,1))</f>
        <v/>
      </c>
      <c r="L66">
        <f>IF($V66="","",Settings!$C$7)</f>
        <v/>
      </c>
      <c r="M66" s="7">
        <f>IF($V66="","",SUMIFS('Per Line'!$R$2:$R$6001,'Per Line'!$C$2:$C$6001,$B66,'Per Line'!$AI$2:$AI$6001,0,'Per Line'!$AJ$2:$AJ$6001,0))</f>
        <v/>
      </c>
      <c r="N66" s="7">
        <f>IF($V66="","",M66*L66)</f>
        <v/>
      </c>
      <c r="O66">
        <f>IF($V66="","",Settings!$C$6)</f>
        <v/>
      </c>
      <c r="P66" s="7">
        <f>IF($V66="","",SUMIFS('Per Line'!$R$2:$R$6001,'Per Line'!$C$2:$C$6001,$B66,'Per Line'!$AI$2:$AI$6001,1,'Per Line'!$AJ$2:$AJ$6001,0))</f>
        <v/>
      </c>
      <c r="Q66" s="7">
        <f>IF($V66="","",P66*O66)</f>
        <v/>
      </c>
      <c r="R66" s="7">
        <f>IF($V66="","",Q66+N66)</f>
        <v/>
      </c>
      <c r="S66" s="7">
        <f>IF($V66="","",T66-R66)</f>
        <v/>
      </c>
      <c r="T66" s="7">
        <f>IF($V66="","",M66+P66+K66)</f>
        <v/>
      </c>
      <c r="U66" s="7">
        <f>IF($V66="","",T66-R66-I66)</f>
        <v/>
      </c>
      <c r="V66" s="13">
        <f>IF(ROWS($V$2:$V66)&lt;=MAX('Per Line'!$AH$2:$AH$6001),MATCH(ROWS($V$2:$V66),'Per Line'!$AH$2:$AH$6001,0),"")</f>
        <v/>
      </c>
    </row>
    <row r="67">
      <c r="A67" s="12" t="n"/>
      <c r="B67">
        <f>IF($V67="","",INDEX('Per Line'!$C$2:$C$6001,$V67)&amp;"")</f>
        <v/>
      </c>
      <c r="C67" s="11">
        <f>IF($V67="","",INDEX('Per Line'!$D$2:$D$6001,$V67))</f>
        <v/>
      </c>
      <c r="D67">
        <f>IF($V67="","",INDEX('Per Line'!$E$2:$E$6001,$V67)&amp;"")</f>
        <v/>
      </c>
      <c r="E67">
        <f>IF($V67="","",INDEX('Per Line'!$G$2:$G$6001,$V67)&amp;"")</f>
        <v/>
      </c>
      <c r="F67">
        <f>IF($V67="","",INDEX('Per Line'!$H$2:$H$6001,$V67)&amp;"")</f>
        <v/>
      </c>
      <c r="G67">
        <f>IF($V67="","",INDEX('Per Line'!$I$2:$I$6001,$V67)&amp;"")</f>
        <v/>
      </c>
      <c r="H67">
        <f>IF($V67="","",INDEX('Per Line'!$J$2:$J$6001,$V67))</f>
        <v/>
      </c>
      <c r="I67" s="7">
        <f>IF($V67="","",H67*S67/100)</f>
        <v/>
      </c>
      <c r="J67">
        <f>IF($V67="","",INDEX('Per Line'!$S$2:$S$6001,$V67)&amp;"")</f>
        <v/>
      </c>
      <c r="K67" s="7">
        <f>IF($V67="","",SUMIFS('Per Line'!$R$2:$R$6001,'Per Line'!$C$2:$C$6001,$B67,'Per Line'!$AJ$2:$AJ$6001,1))</f>
        <v/>
      </c>
      <c r="L67">
        <f>IF($V67="","",Settings!$C$7)</f>
        <v/>
      </c>
      <c r="M67" s="7">
        <f>IF($V67="","",SUMIFS('Per Line'!$R$2:$R$6001,'Per Line'!$C$2:$C$6001,$B67,'Per Line'!$AI$2:$AI$6001,0,'Per Line'!$AJ$2:$AJ$6001,0))</f>
        <v/>
      </c>
      <c r="N67" s="7">
        <f>IF($V67="","",M67*L67)</f>
        <v/>
      </c>
      <c r="O67">
        <f>IF($V67="","",Settings!$C$6)</f>
        <v/>
      </c>
      <c r="P67" s="7">
        <f>IF($V67="","",SUMIFS('Per Line'!$R$2:$R$6001,'Per Line'!$C$2:$C$6001,$B67,'Per Line'!$AI$2:$AI$6001,1,'Per Line'!$AJ$2:$AJ$6001,0))</f>
        <v/>
      </c>
      <c r="Q67" s="7">
        <f>IF($V67="","",P67*O67)</f>
        <v/>
      </c>
      <c r="R67" s="7">
        <f>IF($V67="","",Q67+N67)</f>
        <v/>
      </c>
      <c r="S67" s="7">
        <f>IF($V67="","",T67-R67)</f>
        <v/>
      </c>
      <c r="T67" s="7">
        <f>IF($V67="","",M67+P67+K67)</f>
        <v/>
      </c>
      <c r="U67" s="7">
        <f>IF($V67="","",T67-R67-I67)</f>
        <v/>
      </c>
      <c r="V67" s="13">
        <f>IF(ROWS($V$2:$V67)&lt;=MAX('Per Line'!$AH$2:$AH$6001),MATCH(ROWS($V$2:$V67),'Per Line'!$AH$2:$AH$6001,0),"")</f>
        <v/>
      </c>
    </row>
    <row r="68">
      <c r="A68" s="12" t="n"/>
      <c r="B68">
        <f>IF($V68="","",INDEX('Per Line'!$C$2:$C$6001,$V68)&amp;"")</f>
        <v/>
      </c>
      <c r="C68" s="11">
        <f>IF($V68="","",INDEX('Per Line'!$D$2:$D$6001,$V68))</f>
        <v/>
      </c>
      <c r="D68">
        <f>IF($V68="","",INDEX('Per Line'!$E$2:$E$6001,$V68)&amp;"")</f>
        <v/>
      </c>
      <c r="E68">
        <f>IF($V68="","",INDEX('Per Line'!$G$2:$G$6001,$V68)&amp;"")</f>
        <v/>
      </c>
      <c r="F68">
        <f>IF($V68="","",INDEX('Per Line'!$H$2:$H$6001,$V68)&amp;"")</f>
        <v/>
      </c>
      <c r="G68">
        <f>IF($V68="","",INDEX('Per Line'!$I$2:$I$6001,$V68)&amp;"")</f>
        <v/>
      </c>
      <c r="H68">
        <f>IF($V68="","",INDEX('Per Line'!$J$2:$J$6001,$V68))</f>
        <v/>
      </c>
      <c r="I68" s="7">
        <f>IF($V68="","",H68*S68/100)</f>
        <v/>
      </c>
      <c r="J68">
        <f>IF($V68="","",INDEX('Per Line'!$S$2:$S$6001,$V68)&amp;"")</f>
        <v/>
      </c>
      <c r="K68" s="7">
        <f>IF($V68="","",SUMIFS('Per Line'!$R$2:$R$6001,'Per Line'!$C$2:$C$6001,$B68,'Per Line'!$AJ$2:$AJ$6001,1))</f>
        <v/>
      </c>
      <c r="L68">
        <f>IF($V68="","",Settings!$C$7)</f>
        <v/>
      </c>
      <c r="M68" s="7">
        <f>IF($V68="","",SUMIFS('Per Line'!$R$2:$R$6001,'Per Line'!$C$2:$C$6001,$B68,'Per Line'!$AI$2:$AI$6001,0,'Per Line'!$AJ$2:$AJ$6001,0))</f>
        <v/>
      </c>
      <c r="N68" s="7">
        <f>IF($V68="","",M68*L68)</f>
        <v/>
      </c>
      <c r="O68">
        <f>IF($V68="","",Settings!$C$6)</f>
        <v/>
      </c>
      <c r="P68" s="7">
        <f>IF($V68="","",SUMIFS('Per Line'!$R$2:$R$6001,'Per Line'!$C$2:$C$6001,$B68,'Per Line'!$AI$2:$AI$6001,1,'Per Line'!$AJ$2:$AJ$6001,0))</f>
        <v/>
      </c>
      <c r="Q68" s="7">
        <f>IF($V68="","",P68*O68)</f>
        <v/>
      </c>
      <c r="R68" s="7">
        <f>IF($V68="","",Q68+N68)</f>
        <v/>
      </c>
      <c r="S68" s="7">
        <f>IF($V68="","",T68-R68)</f>
        <v/>
      </c>
      <c r="T68" s="7">
        <f>IF($V68="","",M68+P68+K68)</f>
        <v/>
      </c>
      <c r="U68" s="7">
        <f>IF($V68="","",T68-R68-I68)</f>
        <v/>
      </c>
      <c r="V68" s="13">
        <f>IF(ROWS($V$2:$V68)&lt;=MAX('Per Line'!$AH$2:$AH$6001),MATCH(ROWS($V$2:$V68),'Per Line'!$AH$2:$AH$6001,0),"")</f>
        <v/>
      </c>
    </row>
    <row r="69">
      <c r="A69" s="12" t="n"/>
      <c r="B69">
        <f>IF($V69="","",INDEX('Per Line'!$C$2:$C$6001,$V69)&amp;"")</f>
        <v/>
      </c>
      <c r="C69" s="11">
        <f>IF($V69="","",INDEX('Per Line'!$D$2:$D$6001,$V69))</f>
        <v/>
      </c>
      <c r="D69">
        <f>IF($V69="","",INDEX('Per Line'!$E$2:$E$6001,$V69)&amp;"")</f>
        <v/>
      </c>
      <c r="E69">
        <f>IF($V69="","",INDEX('Per Line'!$G$2:$G$6001,$V69)&amp;"")</f>
        <v/>
      </c>
      <c r="F69">
        <f>IF($V69="","",INDEX('Per Line'!$H$2:$H$6001,$V69)&amp;"")</f>
        <v/>
      </c>
      <c r="G69">
        <f>IF($V69="","",INDEX('Per Line'!$I$2:$I$6001,$V69)&amp;"")</f>
        <v/>
      </c>
      <c r="H69">
        <f>IF($V69="","",INDEX('Per Line'!$J$2:$J$6001,$V69))</f>
        <v/>
      </c>
      <c r="I69" s="7">
        <f>IF($V69="","",H69*S69/100)</f>
        <v/>
      </c>
      <c r="J69">
        <f>IF($V69="","",INDEX('Per Line'!$S$2:$S$6001,$V69)&amp;"")</f>
        <v/>
      </c>
      <c r="K69" s="7">
        <f>IF($V69="","",SUMIFS('Per Line'!$R$2:$R$6001,'Per Line'!$C$2:$C$6001,$B69,'Per Line'!$AJ$2:$AJ$6001,1))</f>
        <v/>
      </c>
      <c r="L69">
        <f>IF($V69="","",Settings!$C$7)</f>
        <v/>
      </c>
      <c r="M69" s="7">
        <f>IF($V69="","",SUMIFS('Per Line'!$R$2:$R$6001,'Per Line'!$C$2:$C$6001,$B69,'Per Line'!$AI$2:$AI$6001,0,'Per Line'!$AJ$2:$AJ$6001,0))</f>
        <v/>
      </c>
      <c r="N69" s="7">
        <f>IF($V69="","",M69*L69)</f>
        <v/>
      </c>
      <c r="O69">
        <f>IF($V69="","",Settings!$C$6)</f>
        <v/>
      </c>
      <c r="P69" s="7">
        <f>IF($V69="","",SUMIFS('Per Line'!$R$2:$R$6001,'Per Line'!$C$2:$C$6001,$B69,'Per Line'!$AI$2:$AI$6001,1,'Per Line'!$AJ$2:$AJ$6001,0))</f>
        <v/>
      </c>
      <c r="Q69" s="7">
        <f>IF($V69="","",P69*O69)</f>
        <v/>
      </c>
      <c r="R69" s="7">
        <f>IF($V69="","",Q69+N69)</f>
        <v/>
      </c>
      <c r="S69" s="7">
        <f>IF($V69="","",T69-R69)</f>
        <v/>
      </c>
      <c r="T69" s="7">
        <f>IF($V69="","",M69+P69+K69)</f>
        <v/>
      </c>
      <c r="U69" s="7">
        <f>IF($V69="","",T69-R69-I69)</f>
        <v/>
      </c>
      <c r="V69" s="13">
        <f>IF(ROWS($V$2:$V69)&lt;=MAX('Per Line'!$AH$2:$AH$6001),MATCH(ROWS($V$2:$V69),'Per Line'!$AH$2:$AH$6001,0),"")</f>
        <v/>
      </c>
    </row>
    <row r="70">
      <c r="A70" s="12" t="n"/>
      <c r="B70">
        <f>IF($V70="","",INDEX('Per Line'!$C$2:$C$6001,$V70)&amp;"")</f>
        <v/>
      </c>
      <c r="C70" s="11">
        <f>IF($V70="","",INDEX('Per Line'!$D$2:$D$6001,$V70))</f>
        <v/>
      </c>
      <c r="D70">
        <f>IF($V70="","",INDEX('Per Line'!$E$2:$E$6001,$V70)&amp;"")</f>
        <v/>
      </c>
      <c r="E70">
        <f>IF($V70="","",INDEX('Per Line'!$G$2:$G$6001,$V70)&amp;"")</f>
        <v/>
      </c>
      <c r="F70">
        <f>IF($V70="","",INDEX('Per Line'!$H$2:$H$6001,$V70)&amp;"")</f>
        <v/>
      </c>
      <c r="G70">
        <f>IF($V70="","",INDEX('Per Line'!$I$2:$I$6001,$V70)&amp;"")</f>
        <v/>
      </c>
      <c r="H70">
        <f>IF($V70="","",INDEX('Per Line'!$J$2:$J$6001,$V70))</f>
        <v/>
      </c>
      <c r="I70" s="7">
        <f>IF($V70="","",H70*S70/100)</f>
        <v/>
      </c>
      <c r="J70">
        <f>IF($V70="","",INDEX('Per Line'!$S$2:$S$6001,$V70)&amp;"")</f>
        <v/>
      </c>
      <c r="K70" s="7">
        <f>IF($V70="","",SUMIFS('Per Line'!$R$2:$R$6001,'Per Line'!$C$2:$C$6001,$B70,'Per Line'!$AJ$2:$AJ$6001,1))</f>
        <v/>
      </c>
      <c r="L70">
        <f>IF($V70="","",Settings!$C$7)</f>
        <v/>
      </c>
      <c r="M70" s="7">
        <f>IF($V70="","",SUMIFS('Per Line'!$R$2:$R$6001,'Per Line'!$C$2:$C$6001,$B70,'Per Line'!$AI$2:$AI$6001,0,'Per Line'!$AJ$2:$AJ$6001,0))</f>
        <v/>
      </c>
      <c r="N70" s="7">
        <f>IF($V70="","",M70*L70)</f>
        <v/>
      </c>
      <c r="O70">
        <f>IF($V70="","",Settings!$C$6)</f>
        <v/>
      </c>
      <c r="P70" s="7">
        <f>IF($V70="","",SUMIFS('Per Line'!$R$2:$R$6001,'Per Line'!$C$2:$C$6001,$B70,'Per Line'!$AI$2:$AI$6001,1,'Per Line'!$AJ$2:$AJ$6001,0))</f>
        <v/>
      </c>
      <c r="Q70" s="7">
        <f>IF($V70="","",P70*O70)</f>
        <v/>
      </c>
      <c r="R70" s="7">
        <f>IF($V70="","",Q70+N70)</f>
        <v/>
      </c>
      <c r="S70" s="7">
        <f>IF($V70="","",T70-R70)</f>
        <v/>
      </c>
      <c r="T70" s="7">
        <f>IF($V70="","",M70+P70+K70)</f>
        <v/>
      </c>
      <c r="U70" s="7">
        <f>IF($V70="","",T70-R70-I70)</f>
        <v/>
      </c>
      <c r="V70" s="13">
        <f>IF(ROWS($V$2:$V70)&lt;=MAX('Per Line'!$AH$2:$AH$6001),MATCH(ROWS($V$2:$V70),'Per Line'!$AH$2:$AH$6001,0),"")</f>
        <v/>
      </c>
    </row>
    <row r="71">
      <c r="A71" s="12" t="n"/>
      <c r="B71">
        <f>IF($V71="","",INDEX('Per Line'!$C$2:$C$6001,$V71)&amp;"")</f>
        <v/>
      </c>
      <c r="C71" s="11">
        <f>IF($V71="","",INDEX('Per Line'!$D$2:$D$6001,$V71))</f>
        <v/>
      </c>
      <c r="D71">
        <f>IF($V71="","",INDEX('Per Line'!$E$2:$E$6001,$V71)&amp;"")</f>
        <v/>
      </c>
      <c r="E71">
        <f>IF($V71="","",INDEX('Per Line'!$G$2:$G$6001,$V71)&amp;"")</f>
        <v/>
      </c>
      <c r="F71">
        <f>IF($V71="","",INDEX('Per Line'!$H$2:$H$6001,$V71)&amp;"")</f>
        <v/>
      </c>
      <c r="G71">
        <f>IF($V71="","",INDEX('Per Line'!$I$2:$I$6001,$V71)&amp;"")</f>
        <v/>
      </c>
      <c r="H71">
        <f>IF($V71="","",INDEX('Per Line'!$J$2:$J$6001,$V71))</f>
        <v/>
      </c>
      <c r="I71" s="7">
        <f>IF($V71="","",H71*S71/100)</f>
        <v/>
      </c>
      <c r="J71">
        <f>IF($V71="","",INDEX('Per Line'!$S$2:$S$6001,$V71)&amp;"")</f>
        <v/>
      </c>
      <c r="K71" s="7">
        <f>IF($V71="","",SUMIFS('Per Line'!$R$2:$R$6001,'Per Line'!$C$2:$C$6001,$B71,'Per Line'!$AJ$2:$AJ$6001,1))</f>
        <v/>
      </c>
      <c r="L71">
        <f>IF($V71="","",Settings!$C$7)</f>
        <v/>
      </c>
      <c r="M71" s="7">
        <f>IF($V71="","",SUMIFS('Per Line'!$R$2:$R$6001,'Per Line'!$C$2:$C$6001,$B71,'Per Line'!$AI$2:$AI$6001,0,'Per Line'!$AJ$2:$AJ$6001,0))</f>
        <v/>
      </c>
      <c r="N71" s="7">
        <f>IF($V71="","",M71*L71)</f>
        <v/>
      </c>
      <c r="O71">
        <f>IF($V71="","",Settings!$C$6)</f>
        <v/>
      </c>
      <c r="P71" s="7">
        <f>IF($V71="","",SUMIFS('Per Line'!$R$2:$R$6001,'Per Line'!$C$2:$C$6001,$B71,'Per Line'!$AI$2:$AI$6001,1,'Per Line'!$AJ$2:$AJ$6001,0))</f>
        <v/>
      </c>
      <c r="Q71" s="7">
        <f>IF($V71="","",P71*O71)</f>
        <v/>
      </c>
      <c r="R71" s="7">
        <f>IF($V71="","",Q71+N71)</f>
        <v/>
      </c>
      <c r="S71" s="7">
        <f>IF($V71="","",T71-R71)</f>
        <v/>
      </c>
      <c r="T71" s="7">
        <f>IF($V71="","",M71+P71+K71)</f>
        <v/>
      </c>
      <c r="U71" s="7">
        <f>IF($V71="","",T71-R71-I71)</f>
        <v/>
      </c>
      <c r="V71" s="13">
        <f>IF(ROWS($V$2:$V71)&lt;=MAX('Per Line'!$AH$2:$AH$6001),MATCH(ROWS($V$2:$V71),'Per Line'!$AH$2:$AH$6001,0),"")</f>
        <v/>
      </c>
    </row>
    <row r="72">
      <c r="A72" s="12" t="n"/>
      <c r="B72">
        <f>IF($V72="","",INDEX('Per Line'!$C$2:$C$6001,$V72)&amp;"")</f>
        <v/>
      </c>
      <c r="C72" s="11">
        <f>IF($V72="","",INDEX('Per Line'!$D$2:$D$6001,$V72))</f>
        <v/>
      </c>
      <c r="D72">
        <f>IF($V72="","",INDEX('Per Line'!$E$2:$E$6001,$V72)&amp;"")</f>
        <v/>
      </c>
      <c r="E72">
        <f>IF($V72="","",INDEX('Per Line'!$G$2:$G$6001,$V72)&amp;"")</f>
        <v/>
      </c>
      <c r="F72">
        <f>IF($V72="","",INDEX('Per Line'!$H$2:$H$6001,$V72)&amp;"")</f>
        <v/>
      </c>
      <c r="G72">
        <f>IF($V72="","",INDEX('Per Line'!$I$2:$I$6001,$V72)&amp;"")</f>
        <v/>
      </c>
      <c r="H72">
        <f>IF($V72="","",INDEX('Per Line'!$J$2:$J$6001,$V72))</f>
        <v/>
      </c>
      <c r="I72" s="7">
        <f>IF($V72="","",H72*S72/100)</f>
        <v/>
      </c>
      <c r="J72">
        <f>IF($V72="","",INDEX('Per Line'!$S$2:$S$6001,$V72)&amp;"")</f>
        <v/>
      </c>
      <c r="K72" s="7">
        <f>IF($V72="","",SUMIFS('Per Line'!$R$2:$R$6001,'Per Line'!$C$2:$C$6001,$B72,'Per Line'!$AJ$2:$AJ$6001,1))</f>
        <v/>
      </c>
      <c r="L72">
        <f>IF($V72="","",Settings!$C$7)</f>
        <v/>
      </c>
      <c r="M72" s="7">
        <f>IF($V72="","",SUMIFS('Per Line'!$R$2:$R$6001,'Per Line'!$C$2:$C$6001,$B72,'Per Line'!$AI$2:$AI$6001,0,'Per Line'!$AJ$2:$AJ$6001,0))</f>
        <v/>
      </c>
      <c r="N72" s="7">
        <f>IF($V72="","",M72*L72)</f>
        <v/>
      </c>
      <c r="O72">
        <f>IF($V72="","",Settings!$C$6)</f>
        <v/>
      </c>
      <c r="P72" s="7">
        <f>IF($V72="","",SUMIFS('Per Line'!$R$2:$R$6001,'Per Line'!$C$2:$C$6001,$B72,'Per Line'!$AI$2:$AI$6001,1,'Per Line'!$AJ$2:$AJ$6001,0))</f>
        <v/>
      </c>
      <c r="Q72" s="7">
        <f>IF($V72="","",P72*O72)</f>
        <v/>
      </c>
      <c r="R72" s="7">
        <f>IF($V72="","",Q72+N72)</f>
        <v/>
      </c>
      <c r="S72" s="7">
        <f>IF($V72="","",T72-R72)</f>
        <v/>
      </c>
      <c r="T72" s="7">
        <f>IF($V72="","",M72+P72+K72)</f>
        <v/>
      </c>
      <c r="U72" s="7">
        <f>IF($V72="","",T72-R72-I72)</f>
        <v/>
      </c>
      <c r="V72" s="13">
        <f>IF(ROWS($V$2:$V72)&lt;=MAX('Per Line'!$AH$2:$AH$6001),MATCH(ROWS($V$2:$V72),'Per Line'!$AH$2:$AH$6001,0),"")</f>
        <v/>
      </c>
    </row>
    <row r="73">
      <c r="A73" s="12" t="n"/>
      <c r="B73">
        <f>IF($V73="","",INDEX('Per Line'!$C$2:$C$6001,$V73)&amp;"")</f>
        <v/>
      </c>
      <c r="C73" s="11">
        <f>IF($V73="","",INDEX('Per Line'!$D$2:$D$6001,$V73))</f>
        <v/>
      </c>
      <c r="D73">
        <f>IF($V73="","",INDEX('Per Line'!$E$2:$E$6001,$V73)&amp;"")</f>
        <v/>
      </c>
      <c r="E73">
        <f>IF($V73="","",INDEX('Per Line'!$G$2:$G$6001,$V73)&amp;"")</f>
        <v/>
      </c>
      <c r="F73">
        <f>IF($V73="","",INDEX('Per Line'!$H$2:$H$6001,$V73)&amp;"")</f>
        <v/>
      </c>
      <c r="G73">
        <f>IF($V73="","",INDEX('Per Line'!$I$2:$I$6001,$V73)&amp;"")</f>
        <v/>
      </c>
      <c r="H73">
        <f>IF($V73="","",INDEX('Per Line'!$J$2:$J$6001,$V73))</f>
        <v/>
      </c>
      <c r="I73" s="7">
        <f>IF($V73="","",H73*S73/100)</f>
        <v/>
      </c>
      <c r="J73">
        <f>IF($V73="","",INDEX('Per Line'!$S$2:$S$6001,$V73)&amp;"")</f>
        <v/>
      </c>
      <c r="K73" s="7">
        <f>IF($V73="","",SUMIFS('Per Line'!$R$2:$R$6001,'Per Line'!$C$2:$C$6001,$B73,'Per Line'!$AJ$2:$AJ$6001,1))</f>
        <v/>
      </c>
      <c r="L73">
        <f>IF($V73="","",Settings!$C$7)</f>
        <v/>
      </c>
      <c r="M73" s="7">
        <f>IF($V73="","",SUMIFS('Per Line'!$R$2:$R$6001,'Per Line'!$C$2:$C$6001,$B73,'Per Line'!$AI$2:$AI$6001,0,'Per Line'!$AJ$2:$AJ$6001,0))</f>
        <v/>
      </c>
      <c r="N73" s="7">
        <f>IF($V73="","",M73*L73)</f>
        <v/>
      </c>
      <c r="O73">
        <f>IF($V73="","",Settings!$C$6)</f>
        <v/>
      </c>
      <c r="P73" s="7">
        <f>IF($V73="","",SUMIFS('Per Line'!$R$2:$R$6001,'Per Line'!$C$2:$C$6001,$B73,'Per Line'!$AI$2:$AI$6001,1,'Per Line'!$AJ$2:$AJ$6001,0))</f>
        <v/>
      </c>
      <c r="Q73" s="7">
        <f>IF($V73="","",P73*O73)</f>
        <v/>
      </c>
      <c r="R73" s="7">
        <f>IF($V73="","",Q73+N73)</f>
        <v/>
      </c>
      <c r="S73" s="7">
        <f>IF($V73="","",T73-R73)</f>
        <v/>
      </c>
      <c r="T73" s="7">
        <f>IF($V73="","",M73+P73+K73)</f>
        <v/>
      </c>
      <c r="U73" s="7">
        <f>IF($V73="","",T73-R73-I73)</f>
        <v/>
      </c>
      <c r="V73" s="13">
        <f>IF(ROWS($V$2:$V73)&lt;=MAX('Per Line'!$AH$2:$AH$6001),MATCH(ROWS($V$2:$V73),'Per Line'!$AH$2:$AH$6001,0),"")</f>
        <v/>
      </c>
    </row>
    <row r="74">
      <c r="A74" s="12" t="n"/>
      <c r="B74">
        <f>IF($V74="","",INDEX('Per Line'!$C$2:$C$6001,$V74)&amp;"")</f>
        <v/>
      </c>
      <c r="C74" s="11">
        <f>IF($V74="","",INDEX('Per Line'!$D$2:$D$6001,$V74))</f>
        <v/>
      </c>
      <c r="D74">
        <f>IF($V74="","",INDEX('Per Line'!$E$2:$E$6001,$V74)&amp;"")</f>
        <v/>
      </c>
      <c r="E74">
        <f>IF($V74="","",INDEX('Per Line'!$G$2:$G$6001,$V74)&amp;"")</f>
        <v/>
      </c>
      <c r="F74">
        <f>IF($V74="","",INDEX('Per Line'!$H$2:$H$6001,$V74)&amp;"")</f>
        <v/>
      </c>
      <c r="G74">
        <f>IF($V74="","",INDEX('Per Line'!$I$2:$I$6001,$V74)&amp;"")</f>
        <v/>
      </c>
      <c r="H74">
        <f>IF($V74="","",INDEX('Per Line'!$J$2:$J$6001,$V74))</f>
        <v/>
      </c>
      <c r="I74" s="7">
        <f>IF($V74="","",H74*S74/100)</f>
        <v/>
      </c>
      <c r="J74">
        <f>IF($V74="","",INDEX('Per Line'!$S$2:$S$6001,$V74)&amp;"")</f>
        <v/>
      </c>
      <c r="K74" s="7">
        <f>IF($V74="","",SUMIFS('Per Line'!$R$2:$R$6001,'Per Line'!$C$2:$C$6001,$B74,'Per Line'!$AJ$2:$AJ$6001,1))</f>
        <v/>
      </c>
      <c r="L74">
        <f>IF($V74="","",Settings!$C$7)</f>
        <v/>
      </c>
      <c r="M74" s="7">
        <f>IF($V74="","",SUMIFS('Per Line'!$R$2:$R$6001,'Per Line'!$C$2:$C$6001,$B74,'Per Line'!$AI$2:$AI$6001,0,'Per Line'!$AJ$2:$AJ$6001,0))</f>
        <v/>
      </c>
      <c r="N74" s="7">
        <f>IF($V74="","",M74*L74)</f>
        <v/>
      </c>
      <c r="O74">
        <f>IF($V74="","",Settings!$C$6)</f>
        <v/>
      </c>
      <c r="P74" s="7">
        <f>IF($V74="","",SUMIFS('Per Line'!$R$2:$R$6001,'Per Line'!$C$2:$C$6001,$B74,'Per Line'!$AI$2:$AI$6001,1,'Per Line'!$AJ$2:$AJ$6001,0))</f>
        <v/>
      </c>
      <c r="Q74" s="7">
        <f>IF($V74="","",P74*O74)</f>
        <v/>
      </c>
      <c r="R74" s="7">
        <f>IF($V74="","",Q74+N74)</f>
        <v/>
      </c>
      <c r="S74" s="7">
        <f>IF($V74="","",T74-R74)</f>
        <v/>
      </c>
      <c r="T74" s="7">
        <f>IF($V74="","",M74+P74+K74)</f>
        <v/>
      </c>
      <c r="U74" s="7">
        <f>IF($V74="","",T74-R74-I74)</f>
        <v/>
      </c>
      <c r="V74" s="13">
        <f>IF(ROWS($V$2:$V74)&lt;=MAX('Per Line'!$AH$2:$AH$6001),MATCH(ROWS($V$2:$V74),'Per Line'!$AH$2:$AH$6001,0),"")</f>
        <v/>
      </c>
    </row>
    <row r="75">
      <c r="A75" s="12" t="n"/>
      <c r="B75">
        <f>IF($V75="","",INDEX('Per Line'!$C$2:$C$6001,$V75)&amp;"")</f>
        <v/>
      </c>
      <c r="C75" s="11">
        <f>IF($V75="","",INDEX('Per Line'!$D$2:$D$6001,$V75))</f>
        <v/>
      </c>
      <c r="D75">
        <f>IF($V75="","",INDEX('Per Line'!$E$2:$E$6001,$V75)&amp;"")</f>
        <v/>
      </c>
      <c r="E75">
        <f>IF($V75="","",INDEX('Per Line'!$G$2:$G$6001,$V75)&amp;"")</f>
        <v/>
      </c>
      <c r="F75">
        <f>IF($V75="","",INDEX('Per Line'!$H$2:$H$6001,$V75)&amp;"")</f>
        <v/>
      </c>
      <c r="G75">
        <f>IF($V75="","",INDEX('Per Line'!$I$2:$I$6001,$V75)&amp;"")</f>
        <v/>
      </c>
      <c r="H75">
        <f>IF($V75="","",INDEX('Per Line'!$J$2:$J$6001,$V75))</f>
        <v/>
      </c>
      <c r="I75" s="7">
        <f>IF($V75="","",H75*S75/100)</f>
        <v/>
      </c>
      <c r="J75">
        <f>IF($V75="","",INDEX('Per Line'!$S$2:$S$6001,$V75)&amp;"")</f>
        <v/>
      </c>
      <c r="K75" s="7">
        <f>IF($V75="","",SUMIFS('Per Line'!$R$2:$R$6001,'Per Line'!$C$2:$C$6001,$B75,'Per Line'!$AJ$2:$AJ$6001,1))</f>
        <v/>
      </c>
      <c r="L75">
        <f>IF($V75="","",Settings!$C$7)</f>
        <v/>
      </c>
      <c r="M75" s="7">
        <f>IF($V75="","",SUMIFS('Per Line'!$R$2:$R$6001,'Per Line'!$C$2:$C$6001,$B75,'Per Line'!$AI$2:$AI$6001,0,'Per Line'!$AJ$2:$AJ$6001,0))</f>
        <v/>
      </c>
      <c r="N75" s="7">
        <f>IF($V75="","",M75*L75)</f>
        <v/>
      </c>
      <c r="O75">
        <f>IF($V75="","",Settings!$C$6)</f>
        <v/>
      </c>
      <c r="P75" s="7">
        <f>IF($V75="","",SUMIFS('Per Line'!$R$2:$R$6001,'Per Line'!$C$2:$C$6001,$B75,'Per Line'!$AI$2:$AI$6001,1,'Per Line'!$AJ$2:$AJ$6001,0))</f>
        <v/>
      </c>
      <c r="Q75" s="7">
        <f>IF($V75="","",P75*O75)</f>
        <v/>
      </c>
      <c r="R75" s="7">
        <f>IF($V75="","",Q75+N75)</f>
        <v/>
      </c>
      <c r="S75" s="7">
        <f>IF($V75="","",T75-R75)</f>
        <v/>
      </c>
      <c r="T75" s="7">
        <f>IF($V75="","",M75+P75+K75)</f>
        <v/>
      </c>
      <c r="U75" s="7">
        <f>IF($V75="","",T75-R75-I75)</f>
        <v/>
      </c>
      <c r="V75" s="13">
        <f>IF(ROWS($V$2:$V75)&lt;=MAX('Per Line'!$AH$2:$AH$6001),MATCH(ROWS($V$2:$V75),'Per Line'!$AH$2:$AH$6001,0),"")</f>
        <v/>
      </c>
    </row>
    <row r="76">
      <c r="A76" s="12" t="n"/>
      <c r="B76">
        <f>IF($V76="","",INDEX('Per Line'!$C$2:$C$6001,$V76)&amp;"")</f>
        <v/>
      </c>
      <c r="C76" s="11">
        <f>IF($V76="","",INDEX('Per Line'!$D$2:$D$6001,$V76))</f>
        <v/>
      </c>
      <c r="D76">
        <f>IF($V76="","",INDEX('Per Line'!$E$2:$E$6001,$V76)&amp;"")</f>
        <v/>
      </c>
      <c r="E76">
        <f>IF($V76="","",INDEX('Per Line'!$G$2:$G$6001,$V76)&amp;"")</f>
        <v/>
      </c>
      <c r="F76">
        <f>IF($V76="","",INDEX('Per Line'!$H$2:$H$6001,$V76)&amp;"")</f>
        <v/>
      </c>
      <c r="G76">
        <f>IF($V76="","",INDEX('Per Line'!$I$2:$I$6001,$V76)&amp;"")</f>
        <v/>
      </c>
      <c r="H76">
        <f>IF($V76="","",INDEX('Per Line'!$J$2:$J$6001,$V76))</f>
        <v/>
      </c>
      <c r="I76" s="7">
        <f>IF($V76="","",H76*S76/100)</f>
        <v/>
      </c>
      <c r="J76">
        <f>IF($V76="","",INDEX('Per Line'!$S$2:$S$6001,$V76)&amp;"")</f>
        <v/>
      </c>
      <c r="K76" s="7">
        <f>IF($V76="","",SUMIFS('Per Line'!$R$2:$R$6001,'Per Line'!$C$2:$C$6001,$B76,'Per Line'!$AJ$2:$AJ$6001,1))</f>
        <v/>
      </c>
      <c r="L76">
        <f>IF($V76="","",Settings!$C$7)</f>
        <v/>
      </c>
      <c r="M76" s="7">
        <f>IF($V76="","",SUMIFS('Per Line'!$R$2:$R$6001,'Per Line'!$C$2:$C$6001,$B76,'Per Line'!$AI$2:$AI$6001,0,'Per Line'!$AJ$2:$AJ$6001,0))</f>
        <v/>
      </c>
      <c r="N76" s="7">
        <f>IF($V76="","",M76*L76)</f>
        <v/>
      </c>
      <c r="O76">
        <f>IF($V76="","",Settings!$C$6)</f>
        <v/>
      </c>
      <c r="P76" s="7">
        <f>IF($V76="","",SUMIFS('Per Line'!$R$2:$R$6001,'Per Line'!$C$2:$C$6001,$B76,'Per Line'!$AI$2:$AI$6001,1,'Per Line'!$AJ$2:$AJ$6001,0))</f>
        <v/>
      </c>
      <c r="Q76" s="7">
        <f>IF($V76="","",P76*O76)</f>
        <v/>
      </c>
      <c r="R76" s="7">
        <f>IF($V76="","",Q76+N76)</f>
        <v/>
      </c>
      <c r="S76" s="7">
        <f>IF($V76="","",T76-R76)</f>
        <v/>
      </c>
      <c r="T76" s="7">
        <f>IF($V76="","",M76+P76+K76)</f>
        <v/>
      </c>
      <c r="U76" s="7">
        <f>IF($V76="","",T76-R76-I76)</f>
        <v/>
      </c>
      <c r="V76" s="13">
        <f>IF(ROWS($V$2:$V76)&lt;=MAX('Per Line'!$AH$2:$AH$6001),MATCH(ROWS($V$2:$V76),'Per Line'!$AH$2:$AH$6001,0),"")</f>
        <v/>
      </c>
    </row>
    <row r="77">
      <c r="A77" s="12" t="n"/>
      <c r="B77">
        <f>IF($V77="","",INDEX('Per Line'!$C$2:$C$6001,$V77)&amp;"")</f>
        <v/>
      </c>
      <c r="C77" s="11">
        <f>IF($V77="","",INDEX('Per Line'!$D$2:$D$6001,$V77))</f>
        <v/>
      </c>
      <c r="D77">
        <f>IF($V77="","",INDEX('Per Line'!$E$2:$E$6001,$V77)&amp;"")</f>
        <v/>
      </c>
      <c r="E77">
        <f>IF($V77="","",INDEX('Per Line'!$G$2:$G$6001,$V77)&amp;"")</f>
        <v/>
      </c>
      <c r="F77">
        <f>IF($V77="","",INDEX('Per Line'!$H$2:$H$6001,$V77)&amp;"")</f>
        <v/>
      </c>
      <c r="G77">
        <f>IF($V77="","",INDEX('Per Line'!$I$2:$I$6001,$V77)&amp;"")</f>
        <v/>
      </c>
      <c r="H77">
        <f>IF($V77="","",INDEX('Per Line'!$J$2:$J$6001,$V77))</f>
        <v/>
      </c>
      <c r="I77" s="7">
        <f>IF($V77="","",H77*S77/100)</f>
        <v/>
      </c>
      <c r="J77">
        <f>IF($V77="","",INDEX('Per Line'!$S$2:$S$6001,$V77)&amp;"")</f>
        <v/>
      </c>
      <c r="K77" s="7">
        <f>IF($V77="","",SUMIFS('Per Line'!$R$2:$R$6001,'Per Line'!$C$2:$C$6001,$B77,'Per Line'!$AJ$2:$AJ$6001,1))</f>
        <v/>
      </c>
      <c r="L77">
        <f>IF($V77="","",Settings!$C$7)</f>
        <v/>
      </c>
      <c r="M77" s="7">
        <f>IF($V77="","",SUMIFS('Per Line'!$R$2:$R$6001,'Per Line'!$C$2:$C$6001,$B77,'Per Line'!$AI$2:$AI$6001,0,'Per Line'!$AJ$2:$AJ$6001,0))</f>
        <v/>
      </c>
      <c r="N77" s="7">
        <f>IF($V77="","",M77*L77)</f>
        <v/>
      </c>
      <c r="O77">
        <f>IF($V77="","",Settings!$C$6)</f>
        <v/>
      </c>
      <c r="P77" s="7">
        <f>IF($V77="","",SUMIFS('Per Line'!$R$2:$R$6001,'Per Line'!$C$2:$C$6001,$B77,'Per Line'!$AI$2:$AI$6001,1,'Per Line'!$AJ$2:$AJ$6001,0))</f>
        <v/>
      </c>
      <c r="Q77" s="7">
        <f>IF($V77="","",P77*O77)</f>
        <v/>
      </c>
      <c r="R77" s="7">
        <f>IF($V77="","",Q77+N77)</f>
        <v/>
      </c>
      <c r="S77" s="7">
        <f>IF($V77="","",T77-R77)</f>
        <v/>
      </c>
      <c r="T77" s="7">
        <f>IF($V77="","",M77+P77+K77)</f>
        <v/>
      </c>
      <c r="U77" s="7">
        <f>IF($V77="","",T77-R77-I77)</f>
        <v/>
      </c>
      <c r="V77" s="13">
        <f>IF(ROWS($V$2:$V77)&lt;=MAX('Per Line'!$AH$2:$AH$6001),MATCH(ROWS($V$2:$V77),'Per Line'!$AH$2:$AH$6001,0),"")</f>
        <v/>
      </c>
    </row>
    <row r="78">
      <c r="A78" s="12" t="n"/>
      <c r="B78">
        <f>IF($V78="","",INDEX('Per Line'!$C$2:$C$6001,$V78)&amp;"")</f>
        <v/>
      </c>
      <c r="C78" s="11">
        <f>IF($V78="","",INDEX('Per Line'!$D$2:$D$6001,$V78))</f>
        <v/>
      </c>
      <c r="D78">
        <f>IF($V78="","",INDEX('Per Line'!$E$2:$E$6001,$V78)&amp;"")</f>
        <v/>
      </c>
      <c r="E78">
        <f>IF($V78="","",INDEX('Per Line'!$G$2:$G$6001,$V78)&amp;"")</f>
        <v/>
      </c>
      <c r="F78">
        <f>IF($V78="","",INDEX('Per Line'!$H$2:$H$6001,$V78)&amp;"")</f>
        <v/>
      </c>
      <c r="G78">
        <f>IF($V78="","",INDEX('Per Line'!$I$2:$I$6001,$V78)&amp;"")</f>
        <v/>
      </c>
      <c r="H78">
        <f>IF($V78="","",INDEX('Per Line'!$J$2:$J$6001,$V78))</f>
        <v/>
      </c>
      <c r="I78" s="7">
        <f>IF($V78="","",H78*S78/100)</f>
        <v/>
      </c>
      <c r="J78">
        <f>IF($V78="","",INDEX('Per Line'!$S$2:$S$6001,$V78)&amp;"")</f>
        <v/>
      </c>
      <c r="K78" s="7">
        <f>IF($V78="","",SUMIFS('Per Line'!$R$2:$R$6001,'Per Line'!$C$2:$C$6001,$B78,'Per Line'!$AJ$2:$AJ$6001,1))</f>
        <v/>
      </c>
      <c r="L78">
        <f>IF($V78="","",Settings!$C$7)</f>
        <v/>
      </c>
      <c r="M78" s="7">
        <f>IF($V78="","",SUMIFS('Per Line'!$R$2:$R$6001,'Per Line'!$C$2:$C$6001,$B78,'Per Line'!$AI$2:$AI$6001,0,'Per Line'!$AJ$2:$AJ$6001,0))</f>
        <v/>
      </c>
      <c r="N78" s="7">
        <f>IF($V78="","",M78*L78)</f>
        <v/>
      </c>
      <c r="O78">
        <f>IF($V78="","",Settings!$C$6)</f>
        <v/>
      </c>
      <c r="P78" s="7">
        <f>IF($V78="","",SUMIFS('Per Line'!$R$2:$R$6001,'Per Line'!$C$2:$C$6001,$B78,'Per Line'!$AI$2:$AI$6001,1,'Per Line'!$AJ$2:$AJ$6001,0))</f>
        <v/>
      </c>
      <c r="Q78" s="7">
        <f>IF($V78="","",P78*O78)</f>
        <v/>
      </c>
      <c r="R78" s="7">
        <f>IF($V78="","",Q78+N78)</f>
        <v/>
      </c>
      <c r="S78" s="7">
        <f>IF($V78="","",T78-R78)</f>
        <v/>
      </c>
      <c r="T78" s="7">
        <f>IF($V78="","",M78+P78+K78)</f>
        <v/>
      </c>
      <c r="U78" s="7">
        <f>IF($V78="","",T78-R78-I78)</f>
        <v/>
      </c>
      <c r="V78" s="13">
        <f>IF(ROWS($V$2:$V78)&lt;=MAX('Per Line'!$AH$2:$AH$6001),MATCH(ROWS($V$2:$V78),'Per Line'!$AH$2:$AH$6001,0),"")</f>
        <v/>
      </c>
    </row>
    <row r="79">
      <c r="A79" s="12" t="n"/>
      <c r="B79">
        <f>IF($V79="","",INDEX('Per Line'!$C$2:$C$6001,$V79)&amp;"")</f>
        <v/>
      </c>
      <c r="C79" s="11">
        <f>IF($V79="","",INDEX('Per Line'!$D$2:$D$6001,$V79))</f>
        <v/>
      </c>
      <c r="D79">
        <f>IF($V79="","",INDEX('Per Line'!$E$2:$E$6001,$V79)&amp;"")</f>
        <v/>
      </c>
      <c r="E79">
        <f>IF($V79="","",INDEX('Per Line'!$G$2:$G$6001,$V79)&amp;"")</f>
        <v/>
      </c>
      <c r="F79">
        <f>IF($V79="","",INDEX('Per Line'!$H$2:$H$6001,$V79)&amp;"")</f>
        <v/>
      </c>
      <c r="G79">
        <f>IF($V79="","",INDEX('Per Line'!$I$2:$I$6001,$V79)&amp;"")</f>
        <v/>
      </c>
      <c r="H79">
        <f>IF($V79="","",INDEX('Per Line'!$J$2:$J$6001,$V79))</f>
        <v/>
      </c>
      <c r="I79" s="7">
        <f>IF($V79="","",H79*S79/100)</f>
        <v/>
      </c>
      <c r="J79">
        <f>IF($V79="","",INDEX('Per Line'!$S$2:$S$6001,$V79)&amp;"")</f>
        <v/>
      </c>
      <c r="K79" s="7">
        <f>IF($V79="","",SUMIFS('Per Line'!$R$2:$R$6001,'Per Line'!$C$2:$C$6001,$B79,'Per Line'!$AJ$2:$AJ$6001,1))</f>
        <v/>
      </c>
      <c r="L79">
        <f>IF($V79="","",Settings!$C$7)</f>
        <v/>
      </c>
      <c r="M79" s="7">
        <f>IF($V79="","",SUMIFS('Per Line'!$R$2:$R$6001,'Per Line'!$C$2:$C$6001,$B79,'Per Line'!$AI$2:$AI$6001,0,'Per Line'!$AJ$2:$AJ$6001,0))</f>
        <v/>
      </c>
      <c r="N79" s="7">
        <f>IF($V79="","",M79*L79)</f>
        <v/>
      </c>
      <c r="O79">
        <f>IF($V79="","",Settings!$C$6)</f>
        <v/>
      </c>
      <c r="P79" s="7">
        <f>IF($V79="","",SUMIFS('Per Line'!$R$2:$R$6001,'Per Line'!$C$2:$C$6001,$B79,'Per Line'!$AI$2:$AI$6001,1,'Per Line'!$AJ$2:$AJ$6001,0))</f>
        <v/>
      </c>
      <c r="Q79" s="7">
        <f>IF($V79="","",P79*O79)</f>
        <v/>
      </c>
      <c r="R79" s="7">
        <f>IF($V79="","",Q79+N79)</f>
        <v/>
      </c>
      <c r="S79" s="7">
        <f>IF($V79="","",T79-R79)</f>
        <v/>
      </c>
      <c r="T79" s="7">
        <f>IF($V79="","",M79+P79+K79)</f>
        <v/>
      </c>
      <c r="U79" s="7">
        <f>IF($V79="","",T79-R79-I79)</f>
        <v/>
      </c>
      <c r="V79" s="13">
        <f>IF(ROWS($V$2:$V79)&lt;=MAX('Per Line'!$AH$2:$AH$6001),MATCH(ROWS($V$2:$V79),'Per Line'!$AH$2:$AH$6001,0),"")</f>
        <v/>
      </c>
    </row>
    <row r="80">
      <c r="A80" s="12" t="n"/>
      <c r="B80">
        <f>IF($V80="","",INDEX('Per Line'!$C$2:$C$6001,$V80)&amp;"")</f>
        <v/>
      </c>
      <c r="C80" s="11">
        <f>IF($V80="","",INDEX('Per Line'!$D$2:$D$6001,$V80))</f>
        <v/>
      </c>
      <c r="D80">
        <f>IF($V80="","",INDEX('Per Line'!$E$2:$E$6001,$V80)&amp;"")</f>
        <v/>
      </c>
      <c r="E80">
        <f>IF($V80="","",INDEX('Per Line'!$G$2:$G$6001,$V80)&amp;"")</f>
        <v/>
      </c>
      <c r="F80">
        <f>IF($V80="","",INDEX('Per Line'!$H$2:$H$6001,$V80)&amp;"")</f>
        <v/>
      </c>
      <c r="G80">
        <f>IF($V80="","",INDEX('Per Line'!$I$2:$I$6001,$V80)&amp;"")</f>
        <v/>
      </c>
      <c r="H80">
        <f>IF($V80="","",INDEX('Per Line'!$J$2:$J$6001,$V80))</f>
        <v/>
      </c>
      <c r="I80" s="7">
        <f>IF($V80="","",H80*S80/100)</f>
        <v/>
      </c>
      <c r="J80">
        <f>IF($V80="","",INDEX('Per Line'!$S$2:$S$6001,$V80)&amp;"")</f>
        <v/>
      </c>
      <c r="K80" s="7">
        <f>IF($V80="","",SUMIFS('Per Line'!$R$2:$R$6001,'Per Line'!$C$2:$C$6001,$B80,'Per Line'!$AJ$2:$AJ$6001,1))</f>
        <v/>
      </c>
      <c r="L80">
        <f>IF($V80="","",Settings!$C$7)</f>
        <v/>
      </c>
      <c r="M80" s="7">
        <f>IF($V80="","",SUMIFS('Per Line'!$R$2:$R$6001,'Per Line'!$C$2:$C$6001,$B80,'Per Line'!$AI$2:$AI$6001,0,'Per Line'!$AJ$2:$AJ$6001,0))</f>
        <v/>
      </c>
      <c r="N80" s="7">
        <f>IF($V80="","",M80*L80)</f>
        <v/>
      </c>
      <c r="O80">
        <f>IF($V80="","",Settings!$C$6)</f>
        <v/>
      </c>
      <c r="P80" s="7">
        <f>IF($V80="","",SUMIFS('Per Line'!$R$2:$R$6001,'Per Line'!$C$2:$C$6001,$B80,'Per Line'!$AI$2:$AI$6001,1,'Per Line'!$AJ$2:$AJ$6001,0))</f>
        <v/>
      </c>
      <c r="Q80" s="7">
        <f>IF($V80="","",P80*O80)</f>
        <v/>
      </c>
      <c r="R80" s="7">
        <f>IF($V80="","",Q80+N80)</f>
        <v/>
      </c>
      <c r="S80" s="7">
        <f>IF($V80="","",T80-R80)</f>
        <v/>
      </c>
      <c r="T80" s="7">
        <f>IF($V80="","",M80+P80+K80)</f>
        <v/>
      </c>
      <c r="U80" s="7">
        <f>IF($V80="","",T80-R80-I80)</f>
        <v/>
      </c>
      <c r="V80" s="13">
        <f>IF(ROWS($V$2:$V80)&lt;=MAX('Per Line'!$AH$2:$AH$6001),MATCH(ROWS($V$2:$V80),'Per Line'!$AH$2:$AH$6001,0),"")</f>
        <v/>
      </c>
    </row>
    <row r="81">
      <c r="A81" s="12" t="n"/>
      <c r="B81">
        <f>IF($V81="","",INDEX('Per Line'!$C$2:$C$6001,$V81)&amp;"")</f>
        <v/>
      </c>
      <c r="C81" s="11">
        <f>IF($V81="","",INDEX('Per Line'!$D$2:$D$6001,$V81))</f>
        <v/>
      </c>
      <c r="D81">
        <f>IF($V81="","",INDEX('Per Line'!$E$2:$E$6001,$V81)&amp;"")</f>
        <v/>
      </c>
      <c r="E81">
        <f>IF($V81="","",INDEX('Per Line'!$G$2:$G$6001,$V81)&amp;"")</f>
        <v/>
      </c>
      <c r="F81">
        <f>IF($V81="","",INDEX('Per Line'!$H$2:$H$6001,$V81)&amp;"")</f>
        <v/>
      </c>
      <c r="G81">
        <f>IF($V81="","",INDEX('Per Line'!$I$2:$I$6001,$V81)&amp;"")</f>
        <v/>
      </c>
      <c r="H81">
        <f>IF($V81="","",INDEX('Per Line'!$J$2:$J$6001,$V81))</f>
        <v/>
      </c>
      <c r="I81" s="7">
        <f>IF($V81="","",H81*S81/100)</f>
        <v/>
      </c>
      <c r="J81">
        <f>IF($V81="","",INDEX('Per Line'!$S$2:$S$6001,$V81)&amp;"")</f>
        <v/>
      </c>
      <c r="K81" s="7">
        <f>IF($V81="","",SUMIFS('Per Line'!$R$2:$R$6001,'Per Line'!$C$2:$C$6001,$B81,'Per Line'!$AJ$2:$AJ$6001,1))</f>
        <v/>
      </c>
      <c r="L81">
        <f>IF($V81="","",Settings!$C$7)</f>
        <v/>
      </c>
      <c r="M81" s="7">
        <f>IF($V81="","",SUMIFS('Per Line'!$R$2:$R$6001,'Per Line'!$C$2:$C$6001,$B81,'Per Line'!$AI$2:$AI$6001,0,'Per Line'!$AJ$2:$AJ$6001,0))</f>
        <v/>
      </c>
      <c r="N81" s="7">
        <f>IF($V81="","",M81*L81)</f>
        <v/>
      </c>
      <c r="O81">
        <f>IF($V81="","",Settings!$C$6)</f>
        <v/>
      </c>
      <c r="P81" s="7">
        <f>IF($V81="","",SUMIFS('Per Line'!$R$2:$R$6001,'Per Line'!$C$2:$C$6001,$B81,'Per Line'!$AI$2:$AI$6001,1,'Per Line'!$AJ$2:$AJ$6001,0))</f>
        <v/>
      </c>
      <c r="Q81" s="7">
        <f>IF($V81="","",P81*O81)</f>
        <v/>
      </c>
      <c r="R81" s="7">
        <f>IF($V81="","",Q81+N81)</f>
        <v/>
      </c>
      <c r="S81" s="7">
        <f>IF($V81="","",T81-R81)</f>
        <v/>
      </c>
      <c r="T81" s="7">
        <f>IF($V81="","",M81+P81+K81)</f>
        <v/>
      </c>
      <c r="U81" s="7">
        <f>IF($V81="","",T81-R81-I81)</f>
        <v/>
      </c>
      <c r="V81" s="13">
        <f>IF(ROWS($V$2:$V81)&lt;=MAX('Per Line'!$AH$2:$AH$6001),MATCH(ROWS($V$2:$V81),'Per Line'!$AH$2:$AH$6001,0),"")</f>
        <v/>
      </c>
    </row>
    <row r="82">
      <c r="A82" s="12" t="n"/>
      <c r="B82">
        <f>IF($V82="","",INDEX('Per Line'!$C$2:$C$6001,$V82)&amp;"")</f>
        <v/>
      </c>
      <c r="C82" s="11">
        <f>IF($V82="","",INDEX('Per Line'!$D$2:$D$6001,$V82))</f>
        <v/>
      </c>
      <c r="D82">
        <f>IF($V82="","",INDEX('Per Line'!$E$2:$E$6001,$V82)&amp;"")</f>
        <v/>
      </c>
      <c r="E82">
        <f>IF($V82="","",INDEX('Per Line'!$G$2:$G$6001,$V82)&amp;"")</f>
        <v/>
      </c>
      <c r="F82">
        <f>IF($V82="","",INDEX('Per Line'!$H$2:$H$6001,$V82)&amp;"")</f>
        <v/>
      </c>
      <c r="G82">
        <f>IF($V82="","",INDEX('Per Line'!$I$2:$I$6001,$V82)&amp;"")</f>
        <v/>
      </c>
      <c r="H82">
        <f>IF($V82="","",INDEX('Per Line'!$J$2:$J$6001,$V82))</f>
        <v/>
      </c>
      <c r="I82" s="7">
        <f>IF($V82="","",H82*S82/100)</f>
        <v/>
      </c>
      <c r="J82">
        <f>IF($V82="","",INDEX('Per Line'!$S$2:$S$6001,$V82)&amp;"")</f>
        <v/>
      </c>
      <c r="K82" s="7">
        <f>IF($V82="","",SUMIFS('Per Line'!$R$2:$R$6001,'Per Line'!$C$2:$C$6001,$B82,'Per Line'!$AJ$2:$AJ$6001,1))</f>
        <v/>
      </c>
      <c r="L82">
        <f>IF($V82="","",Settings!$C$7)</f>
        <v/>
      </c>
      <c r="M82" s="7">
        <f>IF($V82="","",SUMIFS('Per Line'!$R$2:$R$6001,'Per Line'!$C$2:$C$6001,$B82,'Per Line'!$AI$2:$AI$6001,0,'Per Line'!$AJ$2:$AJ$6001,0))</f>
        <v/>
      </c>
      <c r="N82" s="7">
        <f>IF($V82="","",M82*L82)</f>
        <v/>
      </c>
      <c r="O82">
        <f>IF($V82="","",Settings!$C$6)</f>
        <v/>
      </c>
      <c r="P82" s="7">
        <f>IF($V82="","",SUMIFS('Per Line'!$R$2:$R$6001,'Per Line'!$C$2:$C$6001,$B82,'Per Line'!$AI$2:$AI$6001,1,'Per Line'!$AJ$2:$AJ$6001,0))</f>
        <v/>
      </c>
      <c r="Q82" s="7">
        <f>IF($V82="","",P82*O82)</f>
        <v/>
      </c>
      <c r="R82" s="7">
        <f>IF($V82="","",Q82+N82)</f>
        <v/>
      </c>
      <c r="S82" s="7">
        <f>IF($V82="","",T82-R82)</f>
        <v/>
      </c>
      <c r="T82" s="7">
        <f>IF($V82="","",M82+P82+K82)</f>
        <v/>
      </c>
      <c r="U82" s="7">
        <f>IF($V82="","",T82-R82-I82)</f>
        <v/>
      </c>
      <c r="V82" s="13">
        <f>IF(ROWS($V$2:$V82)&lt;=MAX('Per Line'!$AH$2:$AH$6001),MATCH(ROWS($V$2:$V82),'Per Line'!$AH$2:$AH$6001,0),"")</f>
        <v/>
      </c>
    </row>
    <row r="83">
      <c r="A83" s="12" t="n"/>
      <c r="B83">
        <f>IF($V83="","",INDEX('Per Line'!$C$2:$C$6001,$V83)&amp;"")</f>
        <v/>
      </c>
      <c r="C83" s="11">
        <f>IF($V83="","",INDEX('Per Line'!$D$2:$D$6001,$V83))</f>
        <v/>
      </c>
      <c r="D83">
        <f>IF($V83="","",INDEX('Per Line'!$E$2:$E$6001,$V83)&amp;"")</f>
        <v/>
      </c>
      <c r="E83">
        <f>IF($V83="","",INDEX('Per Line'!$G$2:$G$6001,$V83)&amp;"")</f>
        <v/>
      </c>
      <c r="F83">
        <f>IF($V83="","",INDEX('Per Line'!$H$2:$H$6001,$V83)&amp;"")</f>
        <v/>
      </c>
      <c r="G83">
        <f>IF($V83="","",INDEX('Per Line'!$I$2:$I$6001,$V83)&amp;"")</f>
        <v/>
      </c>
      <c r="H83">
        <f>IF($V83="","",INDEX('Per Line'!$J$2:$J$6001,$V83))</f>
        <v/>
      </c>
      <c r="I83" s="7">
        <f>IF($V83="","",H83*S83/100)</f>
        <v/>
      </c>
      <c r="J83">
        <f>IF($V83="","",INDEX('Per Line'!$S$2:$S$6001,$V83)&amp;"")</f>
        <v/>
      </c>
      <c r="K83" s="7">
        <f>IF($V83="","",SUMIFS('Per Line'!$R$2:$R$6001,'Per Line'!$C$2:$C$6001,$B83,'Per Line'!$AJ$2:$AJ$6001,1))</f>
        <v/>
      </c>
      <c r="L83">
        <f>IF($V83="","",Settings!$C$7)</f>
        <v/>
      </c>
      <c r="M83" s="7">
        <f>IF($V83="","",SUMIFS('Per Line'!$R$2:$R$6001,'Per Line'!$C$2:$C$6001,$B83,'Per Line'!$AI$2:$AI$6001,0,'Per Line'!$AJ$2:$AJ$6001,0))</f>
        <v/>
      </c>
      <c r="N83" s="7">
        <f>IF($V83="","",M83*L83)</f>
        <v/>
      </c>
      <c r="O83">
        <f>IF($V83="","",Settings!$C$6)</f>
        <v/>
      </c>
      <c r="P83" s="7">
        <f>IF($V83="","",SUMIFS('Per Line'!$R$2:$R$6001,'Per Line'!$C$2:$C$6001,$B83,'Per Line'!$AI$2:$AI$6001,1,'Per Line'!$AJ$2:$AJ$6001,0))</f>
        <v/>
      </c>
      <c r="Q83" s="7">
        <f>IF($V83="","",P83*O83)</f>
        <v/>
      </c>
      <c r="R83" s="7">
        <f>IF($V83="","",Q83+N83)</f>
        <v/>
      </c>
      <c r="S83" s="7">
        <f>IF($V83="","",T83-R83)</f>
        <v/>
      </c>
      <c r="T83" s="7">
        <f>IF($V83="","",M83+P83+K83)</f>
        <v/>
      </c>
      <c r="U83" s="7">
        <f>IF($V83="","",T83-R83-I83)</f>
        <v/>
      </c>
      <c r="V83" s="13">
        <f>IF(ROWS($V$2:$V83)&lt;=MAX('Per Line'!$AH$2:$AH$6001),MATCH(ROWS($V$2:$V83),'Per Line'!$AH$2:$AH$6001,0),"")</f>
        <v/>
      </c>
    </row>
    <row r="84">
      <c r="A84" s="12" t="n"/>
      <c r="B84">
        <f>IF($V84="","",INDEX('Per Line'!$C$2:$C$6001,$V84)&amp;"")</f>
        <v/>
      </c>
      <c r="C84" s="11">
        <f>IF($V84="","",INDEX('Per Line'!$D$2:$D$6001,$V84))</f>
        <v/>
      </c>
      <c r="D84">
        <f>IF($V84="","",INDEX('Per Line'!$E$2:$E$6001,$V84)&amp;"")</f>
        <v/>
      </c>
      <c r="E84">
        <f>IF($V84="","",INDEX('Per Line'!$G$2:$G$6001,$V84)&amp;"")</f>
        <v/>
      </c>
      <c r="F84">
        <f>IF($V84="","",INDEX('Per Line'!$H$2:$H$6001,$V84)&amp;"")</f>
        <v/>
      </c>
      <c r="G84">
        <f>IF($V84="","",INDEX('Per Line'!$I$2:$I$6001,$V84)&amp;"")</f>
        <v/>
      </c>
      <c r="H84">
        <f>IF($V84="","",INDEX('Per Line'!$J$2:$J$6001,$V84))</f>
        <v/>
      </c>
      <c r="I84" s="7">
        <f>IF($V84="","",H84*S84/100)</f>
        <v/>
      </c>
      <c r="J84">
        <f>IF($V84="","",INDEX('Per Line'!$S$2:$S$6001,$V84)&amp;"")</f>
        <v/>
      </c>
      <c r="K84" s="7">
        <f>IF($V84="","",SUMIFS('Per Line'!$R$2:$R$6001,'Per Line'!$C$2:$C$6001,$B84,'Per Line'!$AJ$2:$AJ$6001,1))</f>
        <v/>
      </c>
      <c r="L84">
        <f>IF($V84="","",Settings!$C$7)</f>
        <v/>
      </c>
      <c r="M84" s="7">
        <f>IF($V84="","",SUMIFS('Per Line'!$R$2:$R$6001,'Per Line'!$C$2:$C$6001,$B84,'Per Line'!$AI$2:$AI$6001,0,'Per Line'!$AJ$2:$AJ$6001,0))</f>
        <v/>
      </c>
      <c r="N84" s="7">
        <f>IF($V84="","",M84*L84)</f>
        <v/>
      </c>
      <c r="O84">
        <f>IF($V84="","",Settings!$C$6)</f>
        <v/>
      </c>
      <c r="P84" s="7">
        <f>IF($V84="","",SUMIFS('Per Line'!$R$2:$R$6001,'Per Line'!$C$2:$C$6001,$B84,'Per Line'!$AI$2:$AI$6001,1,'Per Line'!$AJ$2:$AJ$6001,0))</f>
        <v/>
      </c>
      <c r="Q84" s="7">
        <f>IF($V84="","",P84*O84)</f>
        <v/>
      </c>
      <c r="R84" s="7">
        <f>IF($V84="","",Q84+N84)</f>
        <v/>
      </c>
      <c r="S84" s="7">
        <f>IF($V84="","",T84-R84)</f>
        <v/>
      </c>
      <c r="T84" s="7">
        <f>IF($V84="","",M84+P84+K84)</f>
        <v/>
      </c>
      <c r="U84" s="7">
        <f>IF($V84="","",T84-R84-I84)</f>
        <v/>
      </c>
      <c r="V84" s="13">
        <f>IF(ROWS($V$2:$V84)&lt;=MAX('Per Line'!$AH$2:$AH$6001),MATCH(ROWS($V$2:$V84),'Per Line'!$AH$2:$AH$6001,0),"")</f>
        <v/>
      </c>
    </row>
    <row r="85">
      <c r="A85" s="12" t="n"/>
      <c r="B85">
        <f>IF($V85="","",INDEX('Per Line'!$C$2:$C$6001,$V85)&amp;"")</f>
        <v/>
      </c>
      <c r="C85" s="11">
        <f>IF($V85="","",INDEX('Per Line'!$D$2:$D$6001,$V85))</f>
        <v/>
      </c>
      <c r="D85">
        <f>IF($V85="","",INDEX('Per Line'!$E$2:$E$6001,$V85)&amp;"")</f>
        <v/>
      </c>
      <c r="E85">
        <f>IF($V85="","",INDEX('Per Line'!$G$2:$G$6001,$V85)&amp;"")</f>
        <v/>
      </c>
      <c r="F85">
        <f>IF($V85="","",INDEX('Per Line'!$H$2:$H$6001,$V85)&amp;"")</f>
        <v/>
      </c>
      <c r="G85">
        <f>IF($V85="","",INDEX('Per Line'!$I$2:$I$6001,$V85)&amp;"")</f>
        <v/>
      </c>
      <c r="H85">
        <f>IF($V85="","",INDEX('Per Line'!$J$2:$J$6001,$V85))</f>
        <v/>
      </c>
      <c r="I85" s="7">
        <f>IF($V85="","",H85*S85/100)</f>
        <v/>
      </c>
      <c r="J85">
        <f>IF($V85="","",INDEX('Per Line'!$S$2:$S$6001,$V85)&amp;"")</f>
        <v/>
      </c>
      <c r="K85" s="7">
        <f>IF($V85="","",SUMIFS('Per Line'!$R$2:$R$6001,'Per Line'!$C$2:$C$6001,$B85,'Per Line'!$AJ$2:$AJ$6001,1))</f>
        <v/>
      </c>
      <c r="L85">
        <f>IF($V85="","",Settings!$C$7)</f>
        <v/>
      </c>
      <c r="M85" s="7">
        <f>IF($V85="","",SUMIFS('Per Line'!$R$2:$R$6001,'Per Line'!$C$2:$C$6001,$B85,'Per Line'!$AI$2:$AI$6001,0,'Per Line'!$AJ$2:$AJ$6001,0))</f>
        <v/>
      </c>
      <c r="N85" s="7">
        <f>IF($V85="","",M85*L85)</f>
        <v/>
      </c>
      <c r="O85">
        <f>IF($V85="","",Settings!$C$6)</f>
        <v/>
      </c>
      <c r="P85" s="7">
        <f>IF($V85="","",SUMIFS('Per Line'!$R$2:$R$6001,'Per Line'!$C$2:$C$6001,$B85,'Per Line'!$AI$2:$AI$6001,1,'Per Line'!$AJ$2:$AJ$6001,0))</f>
        <v/>
      </c>
      <c r="Q85" s="7">
        <f>IF($V85="","",P85*O85)</f>
        <v/>
      </c>
      <c r="R85" s="7">
        <f>IF($V85="","",Q85+N85)</f>
        <v/>
      </c>
      <c r="S85" s="7">
        <f>IF($V85="","",T85-R85)</f>
        <v/>
      </c>
      <c r="T85" s="7">
        <f>IF($V85="","",M85+P85+K85)</f>
        <v/>
      </c>
      <c r="U85" s="7">
        <f>IF($V85="","",T85-R85-I85)</f>
        <v/>
      </c>
      <c r="V85" s="13">
        <f>IF(ROWS($V$2:$V85)&lt;=MAX('Per Line'!$AH$2:$AH$6001),MATCH(ROWS($V$2:$V85),'Per Line'!$AH$2:$AH$6001,0),"")</f>
        <v/>
      </c>
    </row>
    <row r="86">
      <c r="A86" s="12" t="n"/>
      <c r="B86">
        <f>IF($V86="","",INDEX('Per Line'!$C$2:$C$6001,$V86)&amp;"")</f>
        <v/>
      </c>
      <c r="C86" s="11">
        <f>IF($V86="","",INDEX('Per Line'!$D$2:$D$6001,$V86))</f>
        <v/>
      </c>
      <c r="D86">
        <f>IF($V86="","",INDEX('Per Line'!$E$2:$E$6001,$V86)&amp;"")</f>
        <v/>
      </c>
      <c r="E86">
        <f>IF($V86="","",INDEX('Per Line'!$G$2:$G$6001,$V86)&amp;"")</f>
        <v/>
      </c>
      <c r="F86">
        <f>IF($V86="","",INDEX('Per Line'!$H$2:$H$6001,$V86)&amp;"")</f>
        <v/>
      </c>
      <c r="G86">
        <f>IF($V86="","",INDEX('Per Line'!$I$2:$I$6001,$V86)&amp;"")</f>
        <v/>
      </c>
      <c r="H86">
        <f>IF($V86="","",INDEX('Per Line'!$J$2:$J$6001,$V86))</f>
        <v/>
      </c>
      <c r="I86" s="7">
        <f>IF($V86="","",H86*S86/100)</f>
        <v/>
      </c>
      <c r="J86">
        <f>IF($V86="","",INDEX('Per Line'!$S$2:$S$6001,$V86)&amp;"")</f>
        <v/>
      </c>
      <c r="K86" s="7">
        <f>IF($V86="","",SUMIFS('Per Line'!$R$2:$R$6001,'Per Line'!$C$2:$C$6001,$B86,'Per Line'!$AJ$2:$AJ$6001,1))</f>
        <v/>
      </c>
      <c r="L86">
        <f>IF($V86="","",Settings!$C$7)</f>
        <v/>
      </c>
      <c r="M86" s="7">
        <f>IF($V86="","",SUMIFS('Per Line'!$R$2:$R$6001,'Per Line'!$C$2:$C$6001,$B86,'Per Line'!$AI$2:$AI$6001,0,'Per Line'!$AJ$2:$AJ$6001,0))</f>
        <v/>
      </c>
      <c r="N86" s="7">
        <f>IF($V86="","",M86*L86)</f>
        <v/>
      </c>
      <c r="O86">
        <f>IF($V86="","",Settings!$C$6)</f>
        <v/>
      </c>
      <c r="P86" s="7">
        <f>IF($V86="","",SUMIFS('Per Line'!$R$2:$R$6001,'Per Line'!$C$2:$C$6001,$B86,'Per Line'!$AI$2:$AI$6001,1,'Per Line'!$AJ$2:$AJ$6001,0))</f>
        <v/>
      </c>
      <c r="Q86" s="7">
        <f>IF($V86="","",P86*O86)</f>
        <v/>
      </c>
      <c r="R86" s="7">
        <f>IF($V86="","",Q86+N86)</f>
        <v/>
      </c>
      <c r="S86" s="7">
        <f>IF($V86="","",T86-R86)</f>
        <v/>
      </c>
      <c r="T86" s="7">
        <f>IF($V86="","",M86+P86+K86)</f>
        <v/>
      </c>
      <c r="U86" s="7">
        <f>IF($V86="","",T86-R86-I86)</f>
        <v/>
      </c>
      <c r="V86" s="13">
        <f>IF(ROWS($V$2:$V86)&lt;=MAX('Per Line'!$AH$2:$AH$6001),MATCH(ROWS($V$2:$V86),'Per Line'!$AH$2:$AH$6001,0),"")</f>
        <v/>
      </c>
    </row>
    <row r="87">
      <c r="A87" s="12" t="n"/>
      <c r="B87">
        <f>IF($V87="","",INDEX('Per Line'!$C$2:$C$6001,$V87)&amp;"")</f>
        <v/>
      </c>
      <c r="C87" s="11">
        <f>IF($V87="","",INDEX('Per Line'!$D$2:$D$6001,$V87))</f>
        <v/>
      </c>
      <c r="D87">
        <f>IF($V87="","",INDEX('Per Line'!$E$2:$E$6001,$V87)&amp;"")</f>
        <v/>
      </c>
      <c r="E87">
        <f>IF($V87="","",INDEX('Per Line'!$G$2:$G$6001,$V87)&amp;"")</f>
        <v/>
      </c>
      <c r="F87">
        <f>IF($V87="","",INDEX('Per Line'!$H$2:$H$6001,$V87)&amp;"")</f>
        <v/>
      </c>
      <c r="G87">
        <f>IF($V87="","",INDEX('Per Line'!$I$2:$I$6001,$V87)&amp;"")</f>
        <v/>
      </c>
      <c r="H87">
        <f>IF($V87="","",INDEX('Per Line'!$J$2:$J$6001,$V87))</f>
        <v/>
      </c>
      <c r="I87" s="7">
        <f>IF($V87="","",H87*S87/100)</f>
        <v/>
      </c>
      <c r="J87">
        <f>IF($V87="","",INDEX('Per Line'!$S$2:$S$6001,$V87)&amp;"")</f>
        <v/>
      </c>
      <c r="K87" s="7">
        <f>IF($V87="","",SUMIFS('Per Line'!$R$2:$R$6001,'Per Line'!$C$2:$C$6001,$B87,'Per Line'!$AJ$2:$AJ$6001,1))</f>
        <v/>
      </c>
      <c r="L87">
        <f>IF($V87="","",Settings!$C$7)</f>
        <v/>
      </c>
      <c r="M87" s="7">
        <f>IF($V87="","",SUMIFS('Per Line'!$R$2:$R$6001,'Per Line'!$C$2:$C$6001,$B87,'Per Line'!$AI$2:$AI$6001,0,'Per Line'!$AJ$2:$AJ$6001,0))</f>
        <v/>
      </c>
      <c r="N87" s="7">
        <f>IF($V87="","",M87*L87)</f>
        <v/>
      </c>
      <c r="O87">
        <f>IF($V87="","",Settings!$C$6)</f>
        <v/>
      </c>
      <c r="P87" s="7">
        <f>IF($V87="","",SUMIFS('Per Line'!$R$2:$R$6001,'Per Line'!$C$2:$C$6001,$B87,'Per Line'!$AI$2:$AI$6001,1,'Per Line'!$AJ$2:$AJ$6001,0))</f>
        <v/>
      </c>
      <c r="Q87" s="7">
        <f>IF($V87="","",P87*O87)</f>
        <v/>
      </c>
      <c r="R87" s="7">
        <f>IF($V87="","",Q87+N87)</f>
        <v/>
      </c>
      <c r="S87" s="7">
        <f>IF($V87="","",T87-R87)</f>
        <v/>
      </c>
      <c r="T87" s="7">
        <f>IF($V87="","",M87+P87+K87)</f>
        <v/>
      </c>
      <c r="U87" s="7">
        <f>IF($V87="","",T87-R87-I87)</f>
        <v/>
      </c>
      <c r="V87" s="13">
        <f>IF(ROWS($V$2:$V87)&lt;=MAX('Per Line'!$AH$2:$AH$6001),MATCH(ROWS($V$2:$V87),'Per Line'!$AH$2:$AH$6001,0),"")</f>
        <v/>
      </c>
    </row>
    <row r="88">
      <c r="A88" s="12" t="n"/>
      <c r="B88">
        <f>IF($V88="","",INDEX('Per Line'!$C$2:$C$6001,$V88)&amp;"")</f>
        <v/>
      </c>
      <c r="C88" s="11">
        <f>IF($V88="","",INDEX('Per Line'!$D$2:$D$6001,$V88))</f>
        <v/>
      </c>
      <c r="D88">
        <f>IF($V88="","",INDEX('Per Line'!$E$2:$E$6001,$V88)&amp;"")</f>
        <v/>
      </c>
      <c r="E88">
        <f>IF($V88="","",INDEX('Per Line'!$G$2:$G$6001,$V88)&amp;"")</f>
        <v/>
      </c>
      <c r="F88">
        <f>IF($V88="","",INDEX('Per Line'!$H$2:$H$6001,$V88)&amp;"")</f>
        <v/>
      </c>
      <c r="G88">
        <f>IF($V88="","",INDEX('Per Line'!$I$2:$I$6001,$V88)&amp;"")</f>
        <v/>
      </c>
      <c r="H88">
        <f>IF($V88="","",INDEX('Per Line'!$J$2:$J$6001,$V88))</f>
        <v/>
      </c>
      <c r="I88" s="7">
        <f>IF($V88="","",H88*S88/100)</f>
        <v/>
      </c>
      <c r="J88">
        <f>IF($V88="","",INDEX('Per Line'!$S$2:$S$6001,$V88)&amp;"")</f>
        <v/>
      </c>
      <c r="K88" s="7">
        <f>IF($V88="","",SUMIFS('Per Line'!$R$2:$R$6001,'Per Line'!$C$2:$C$6001,$B88,'Per Line'!$AJ$2:$AJ$6001,1))</f>
        <v/>
      </c>
      <c r="L88">
        <f>IF($V88="","",Settings!$C$7)</f>
        <v/>
      </c>
      <c r="M88" s="7">
        <f>IF($V88="","",SUMIFS('Per Line'!$R$2:$R$6001,'Per Line'!$C$2:$C$6001,$B88,'Per Line'!$AI$2:$AI$6001,0,'Per Line'!$AJ$2:$AJ$6001,0))</f>
        <v/>
      </c>
      <c r="N88" s="7">
        <f>IF($V88="","",M88*L88)</f>
        <v/>
      </c>
      <c r="O88">
        <f>IF($V88="","",Settings!$C$6)</f>
        <v/>
      </c>
      <c r="P88" s="7">
        <f>IF($V88="","",SUMIFS('Per Line'!$R$2:$R$6001,'Per Line'!$C$2:$C$6001,$B88,'Per Line'!$AI$2:$AI$6001,1,'Per Line'!$AJ$2:$AJ$6001,0))</f>
        <v/>
      </c>
      <c r="Q88" s="7">
        <f>IF($V88="","",P88*O88)</f>
        <v/>
      </c>
      <c r="R88" s="7">
        <f>IF($V88="","",Q88+N88)</f>
        <v/>
      </c>
      <c r="S88" s="7">
        <f>IF($V88="","",T88-R88)</f>
        <v/>
      </c>
      <c r="T88" s="7">
        <f>IF($V88="","",M88+P88+K88)</f>
        <v/>
      </c>
      <c r="U88" s="7">
        <f>IF($V88="","",T88-R88-I88)</f>
        <v/>
      </c>
      <c r="V88" s="13">
        <f>IF(ROWS($V$2:$V88)&lt;=MAX('Per Line'!$AH$2:$AH$6001),MATCH(ROWS($V$2:$V88),'Per Line'!$AH$2:$AH$6001,0),"")</f>
        <v/>
      </c>
    </row>
    <row r="89">
      <c r="A89" s="12" t="n"/>
      <c r="B89">
        <f>IF($V89="","",INDEX('Per Line'!$C$2:$C$6001,$V89)&amp;"")</f>
        <v/>
      </c>
      <c r="C89" s="11">
        <f>IF($V89="","",INDEX('Per Line'!$D$2:$D$6001,$V89))</f>
        <v/>
      </c>
      <c r="D89">
        <f>IF($V89="","",INDEX('Per Line'!$E$2:$E$6001,$V89)&amp;"")</f>
        <v/>
      </c>
      <c r="E89">
        <f>IF($V89="","",INDEX('Per Line'!$G$2:$G$6001,$V89)&amp;"")</f>
        <v/>
      </c>
      <c r="F89">
        <f>IF($V89="","",INDEX('Per Line'!$H$2:$H$6001,$V89)&amp;"")</f>
        <v/>
      </c>
      <c r="G89">
        <f>IF($V89="","",INDEX('Per Line'!$I$2:$I$6001,$V89)&amp;"")</f>
        <v/>
      </c>
      <c r="H89">
        <f>IF($V89="","",INDEX('Per Line'!$J$2:$J$6001,$V89))</f>
        <v/>
      </c>
      <c r="I89" s="7">
        <f>IF($V89="","",H89*S89/100)</f>
        <v/>
      </c>
      <c r="J89">
        <f>IF($V89="","",INDEX('Per Line'!$S$2:$S$6001,$V89)&amp;"")</f>
        <v/>
      </c>
      <c r="K89" s="7">
        <f>IF($V89="","",SUMIFS('Per Line'!$R$2:$R$6001,'Per Line'!$C$2:$C$6001,$B89,'Per Line'!$AJ$2:$AJ$6001,1))</f>
        <v/>
      </c>
      <c r="L89">
        <f>IF($V89="","",Settings!$C$7)</f>
        <v/>
      </c>
      <c r="M89" s="7">
        <f>IF($V89="","",SUMIFS('Per Line'!$R$2:$R$6001,'Per Line'!$C$2:$C$6001,$B89,'Per Line'!$AI$2:$AI$6001,0,'Per Line'!$AJ$2:$AJ$6001,0))</f>
        <v/>
      </c>
      <c r="N89" s="7">
        <f>IF($V89="","",M89*L89)</f>
        <v/>
      </c>
      <c r="O89">
        <f>IF($V89="","",Settings!$C$6)</f>
        <v/>
      </c>
      <c r="P89" s="7">
        <f>IF($V89="","",SUMIFS('Per Line'!$R$2:$R$6001,'Per Line'!$C$2:$C$6001,$B89,'Per Line'!$AI$2:$AI$6001,1,'Per Line'!$AJ$2:$AJ$6001,0))</f>
        <v/>
      </c>
      <c r="Q89" s="7">
        <f>IF($V89="","",P89*O89)</f>
        <v/>
      </c>
      <c r="R89" s="7">
        <f>IF($V89="","",Q89+N89)</f>
        <v/>
      </c>
      <c r="S89" s="7">
        <f>IF($V89="","",T89-R89)</f>
        <v/>
      </c>
      <c r="T89" s="7">
        <f>IF($V89="","",M89+P89+K89)</f>
        <v/>
      </c>
      <c r="U89" s="7">
        <f>IF($V89="","",T89-R89-I89)</f>
        <v/>
      </c>
      <c r="V89" s="13">
        <f>IF(ROWS($V$2:$V89)&lt;=MAX('Per Line'!$AH$2:$AH$6001),MATCH(ROWS($V$2:$V89),'Per Line'!$AH$2:$AH$6001,0),"")</f>
        <v/>
      </c>
    </row>
    <row r="90">
      <c r="A90" s="12" t="n"/>
      <c r="B90">
        <f>IF($V90="","",INDEX('Per Line'!$C$2:$C$6001,$V90)&amp;"")</f>
        <v/>
      </c>
      <c r="C90" s="11">
        <f>IF($V90="","",INDEX('Per Line'!$D$2:$D$6001,$V90))</f>
        <v/>
      </c>
      <c r="D90">
        <f>IF($V90="","",INDEX('Per Line'!$E$2:$E$6001,$V90)&amp;"")</f>
        <v/>
      </c>
      <c r="E90">
        <f>IF($V90="","",INDEX('Per Line'!$G$2:$G$6001,$V90)&amp;"")</f>
        <v/>
      </c>
      <c r="F90">
        <f>IF($V90="","",INDEX('Per Line'!$H$2:$H$6001,$V90)&amp;"")</f>
        <v/>
      </c>
      <c r="G90">
        <f>IF($V90="","",INDEX('Per Line'!$I$2:$I$6001,$V90)&amp;"")</f>
        <v/>
      </c>
      <c r="H90">
        <f>IF($V90="","",INDEX('Per Line'!$J$2:$J$6001,$V90))</f>
        <v/>
      </c>
      <c r="I90" s="7">
        <f>IF($V90="","",H90*S90/100)</f>
        <v/>
      </c>
      <c r="J90">
        <f>IF($V90="","",INDEX('Per Line'!$S$2:$S$6001,$V90)&amp;"")</f>
        <v/>
      </c>
      <c r="K90" s="7">
        <f>IF($V90="","",SUMIFS('Per Line'!$R$2:$R$6001,'Per Line'!$C$2:$C$6001,$B90,'Per Line'!$AJ$2:$AJ$6001,1))</f>
        <v/>
      </c>
      <c r="L90">
        <f>IF($V90="","",Settings!$C$7)</f>
        <v/>
      </c>
      <c r="M90" s="7">
        <f>IF($V90="","",SUMIFS('Per Line'!$R$2:$R$6001,'Per Line'!$C$2:$C$6001,$B90,'Per Line'!$AI$2:$AI$6001,0,'Per Line'!$AJ$2:$AJ$6001,0))</f>
        <v/>
      </c>
      <c r="N90" s="7">
        <f>IF($V90="","",M90*L90)</f>
        <v/>
      </c>
      <c r="O90">
        <f>IF($V90="","",Settings!$C$6)</f>
        <v/>
      </c>
      <c r="P90" s="7">
        <f>IF($V90="","",SUMIFS('Per Line'!$R$2:$R$6001,'Per Line'!$C$2:$C$6001,$B90,'Per Line'!$AI$2:$AI$6001,1,'Per Line'!$AJ$2:$AJ$6001,0))</f>
        <v/>
      </c>
      <c r="Q90" s="7">
        <f>IF($V90="","",P90*O90)</f>
        <v/>
      </c>
      <c r="R90" s="7">
        <f>IF($V90="","",Q90+N90)</f>
        <v/>
      </c>
      <c r="S90" s="7">
        <f>IF($V90="","",T90-R90)</f>
        <v/>
      </c>
      <c r="T90" s="7">
        <f>IF($V90="","",M90+P90+K90)</f>
        <v/>
      </c>
      <c r="U90" s="7">
        <f>IF($V90="","",T90-R90-I90)</f>
        <v/>
      </c>
      <c r="V90" s="13">
        <f>IF(ROWS($V$2:$V90)&lt;=MAX('Per Line'!$AH$2:$AH$6001),MATCH(ROWS($V$2:$V90),'Per Line'!$AH$2:$AH$6001,0),"")</f>
        <v/>
      </c>
    </row>
    <row r="91">
      <c r="A91" s="12" t="n"/>
      <c r="B91">
        <f>IF($V91="","",INDEX('Per Line'!$C$2:$C$6001,$V91)&amp;"")</f>
        <v/>
      </c>
      <c r="C91" s="11">
        <f>IF($V91="","",INDEX('Per Line'!$D$2:$D$6001,$V91))</f>
        <v/>
      </c>
      <c r="D91">
        <f>IF($V91="","",INDEX('Per Line'!$E$2:$E$6001,$V91)&amp;"")</f>
        <v/>
      </c>
      <c r="E91">
        <f>IF($V91="","",INDEX('Per Line'!$G$2:$G$6001,$V91)&amp;"")</f>
        <v/>
      </c>
      <c r="F91">
        <f>IF($V91="","",INDEX('Per Line'!$H$2:$H$6001,$V91)&amp;"")</f>
        <v/>
      </c>
      <c r="G91">
        <f>IF($V91="","",INDEX('Per Line'!$I$2:$I$6001,$V91)&amp;"")</f>
        <v/>
      </c>
      <c r="H91">
        <f>IF($V91="","",INDEX('Per Line'!$J$2:$J$6001,$V91))</f>
        <v/>
      </c>
      <c r="I91" s="7">
        <f>IF($V91="","",H91*S91/100)</f>
        <v/>
      </c>
      <c r="J91">
        <f>IF($V91="","",INDEX('Per Line'!$S$2:$S$6001,$V91)&amp;"")</f>
        <v/>
      </c>
      <c r="K91" s="7">
        <f>IF($V91="","",SUMIFS('Per Line'!$R$2:$R$6001,'Per Line'!$C$2:$C$6001,$B91,'Per Line'!$AJ$2:$AJ$6001,1))</f>
        <v/>
      </c>
      <c r="L91">
        <f>IF($V91="","",Settings!$C$7)</f>
        <v/>
      </c>
      <c r="M91" s="7">
        <f>IF($V91="","",SUMIFS('Per Line'!$R$2:$R$6001,'Per Line'!$C$2:$C$6001,$B91,'Per Line'!$AI$2:$AI$6001,0,'Per Line'!$AJ$2:$AJ$6001,0))</f>
        <v/>
      </c>
      <c r="N91" s="7">
        <f>IF($V91="","",M91*L91)</f>
        <v/>
      </c>
      <c r="O91">
        <f>IF($V91="","",Settings!$C$6)</f>
        <v/>
      </c>
      <c r="P91" s="7">
        <f>IF($V91="","",SUMIFS('Per Line'!$R$2:$R$6001,'Per Line'!$C$2:$C$6001,$B91,'Per Line'!$AI$2:$AI$6001,1,'Per Line'!$AJ$2:$AJ$6001,0))</f>
        <v/>
      </c>
      <c r="Q91" s="7">
        <f>IF($V91="","",P91*O91)</f>
        <v/>
      </c>
      <c r="R91" s="7">
        <f>IF($V91="","",Q91+N91)</f>
        <v/>
      </c>
      <c r="S91" s="7">
        <f>IF($V91="","",T91-R91)</f>
        <v/>
      </c>
      <c r="T91" s="7">
        <f>IF($V91="","",M91+P91+K91)</f>
        <v/>
      </c>
      <c r="U91" s="7">
        <f>IF($V91="","",T91-R91-I91)</f>
        <v/>
      </c>
      <c r="V91" s="13">
        <f>IF(ROWS($V$2:$V91)&lt;=MAX('Per Line'!$AH$2:$AH$6001),MATCH(ROWS($V$2:$V91),'Per Line'!$AH$2:$AH$6001,0),"")</f>
        <v/>
      </c>
    </row>
    <row r="92">
      <c r="A92" s="12" t="n"/>
      <c r="B92">
        <f>IF($V92="","",INDEX('Per Line'!$C$2:$C$6001,$V92)&amp;"")</f>
        <v/>
      </c>
      <c r="C92" s="11">
        <f>IF($V92="","",INDEX('Per Line'!$D$2:$D$6001,$V92))</f>
        <v/>
      </c>
      <c r="D92">
        <f>IF($V92="","",INDEX('Per Line'!$E$2:$E$6001,$V92)&amp;"")</f>
        <v/>
      </c>
      <c r="E92">
        <f>IF($V92="","",INDEX('Per Line'!$G$2:$G$6001,$V92)&amp;"")</f>
        <v/>
      </c>
      <c r="F92">
        <f>IF($V92="","",INDEX('Per Line'!$H$2:$H$6001,$V92)&amp;"")</f>
        <v/>
      </c>
      <c r="G92">
        <f>IF($V92="","",INDEX('Per Line'!$I$2:$I$6001,$V92)&amp;"")</f>
        <v/>
      </c>
      <c r="H92">
        <f>IF($V92="","",INDEX('Per Line'!$J$2:$J$6001,$V92))</f>
        <v/>
      </c>
      <c r="I92" s="7">
        <f>IF($V92="","",H92*S92/100)</f>
        <v/>
      </c>
      <c r="J92">
        <f>IF($V92="","",INDEX('Per Line'!$S$2:$S$6001,$V92)&amp;"")</f>
        <v/>
      </c>
      <c r="K92" s="7">
        <f>IF($V92="","",SUMIFS('Per Line'!$R$2:$R$6001,'Per Line'!$C$2:$C$6001,$B92,'Per Line'!$AJ$2:$AJ$6001,1))</f>
        <v/>
      </c>
      <c r="L92">
        <f>IF($V92="","",Settings!$C$7)</f>
        <v/>
      </c>
      <c r="M92" s="7">
        <f>IF($V92="","",SUMIFS('Per Line'!$R$2:$R$6001,'Per Line'!$C$2:$C$6001,$B92,'Per Line'!$AI$2:$AI$6001,0,'Per Line'!$AJ$2:$AJ$6001,0))</f>
        <v/>
      </c>
      <c r="N92" s="7">
        <f>IF($V92="","",M92*L92)</f>
        <v/>
      </c>
      <c r="O92">
        <f>IF($V92="","",Settings!$C$6)</f>
        <v/>
      </c>
      <c r="P92" s="7">
        <f>IF($V92="","",SUMIFS('Per Line'!$R$2:$R$6001,'Per Line'!$C$2:$C$6001,$B92,'Per Line'!$AI$2:$AI$6001,1,'Per Line'!$AJ$2:$AJ$6001,0))</f>
        <v/>
      </c>
      <c r="Q92" s="7">
        <f>IF($V92="","",P92*O92)</f>
        <v/>
      </c>
      <c r="R92" s="7">
        <f>IF($V92="","",Q92+N92)</f>
        <v/>
      </c>
      <c r="S92" s="7">
        <f>IF($V92="","",T92-R92)</f>
        <v/>
      </c>
      <c r="T92" s="7">
        <f>IF($V92="","",M92+P92+K92)</f>
        <v/>
      </c>
      <c r="U92" s="7">
        <f>IF($V92="","",T92-R92-I92)</f>
        <v/>
      </c>
      <c r="V92" s="13">
        <f>IF(ROWS($V$2:$V92)&lt;=MAX('Per Line'!$AH$2:$AH$6001),MATCH(ROWS($V$2:$V92),'Per Line'!$AH$2:$AH$6001,0),"")</f>
        <v/>
      </c>
    </row>
    <row r="93">
      <c r="A93" s="12" t="n"/>
      <c r="B93">
        <f>IF($V93="","",INDEX('Per Line'!$C$2:$C$6001,$V93)&amp;"")</f>
        <v/>
      </c>
      <c r="C93" s="11">
        <f>IF($V93="","",INDEX('Per Line'!$D$2:$D$6001,$V93))</f>
        <v/>
      </c>
      <c r="D93">
        <f>IF($V93="","",INDEX('Per Line'!$E$2:$E$6001,$V93)&amp;"")</f>
        <v/>
      </c>
      <c r="E93">
        <f>IF($V93="","",INDEX('Per Line'!$G$2:$G$6001,$V93)&amp;"")</f>
        <v/>
      </c>
      <c r="F93">
        <f>IF($V93="","",INDEX('Per Line'!$H$2:$H$6001,$V93)&amp;"")</f>
        <v/>
      </c>
      <c r="G93">
        <f>IF($V93="","",INDEX('Per Line'!$I$2:$I$6001,$V93)&amp;"")</f>
        <v/>
      </c>
      <c r="H93">
        <f>IF($V93="","",INDEX('Per Line'!$J$2:$J$6001,$V93))</f>
        <v/>
      </c>
      <c r="I93" s="7">
        <f>IF($V93="","",H93*S93/100)</f>
        <v/>
      </c>
      <c r="J93">
        <f>IF($V93="","",INDEX('Per Line'!$S$2:$S$6001,$V93)&amp;"")</f>
        <v/>
      </c>
      <c r="K93" s="7">
        <f>IF($V93="","",SUMIFS('Per Line'!$R$2:$R$6001,'Per Line'!$C$2:$C$6001,$B93,'Per Line'!$AJ$2:$AJ$6001,1))</f>
        <v/>
      </c>
      <c r="L93">
        <f>IF($V93="","",Settings!$C$7)</f>
        <v/>
      </c>
      <c r="M93" s="7">
        <f>IF($V93="","",SUMIFS('Per Line'!$R$2:$R$6001,'Per Line'!$C$2:$C$6001,$B93,'Per Line'!$AI$2:$AI$6001,0,'Per Line'!$AJ$2:$AJ$6001,0))</f>
        <v/>
      </c>
      <c r="N93" s="7">
        <f>IF($V93="","",M93*L93)</f>
        <v/>
      </c>
      <c r="O93">
        <f>IF($V93="","",Settings!$C$6)</f>
        <v/>
      </c>
      <c r="P93" s="7">
        <f>IF($V93="","",SUMIFS('Per Line'!$R$2:$R$6001,'Per Line'!$C$2:$C$6001,$B93,'Per Line'!$AI$2:$AI$6001,1,'Per Line'!$AJ$2:$AJ$6001,0))</f>
        <v/>
      </c>
      <c r="Q93" s="7">
        <f>IF($V93="","",P93*O93)</f>
        <v/>
      </c>
      <c r="R93" s="7">
        <f>IF($V93="","",Q93+N93)</f>
        <v/>
      </c>
      <c r="S93" s="7">
        <f>IF($V93="","",T93-R93)</f>
        <v/>
      </c>
      <c r="T93" s="7">
        <f>IF($V93="","",M93+P93+K93)</f>
        <v/>
      </c>
      <c r="U93" s="7">
        <f>IF($V93="","",T93-R93-I93)</f>
        <v/>
      </c>
      <c r="V93" s="13">
        <f>IF(ROWS($V$2:$V93)&lt;=MAX('Per Line'!$AH$2:$AH$6001),MATCH(ROWS($V$2:$V93),'Per Line'!$AH$2:$AH$6001,0),"")</f>
        <v/>
      </c>
    </row>
    <row r="94">
      <c r="A94" s="12" t="n"/>
      <c r="B94">
        <f>IF($V94="","",INDEX('Per Line'!$C$2:$C$6001,$V94)&amp;"")</f>
        <v/>
      </c>
      <c r="C94" s="11">
        <f>IF($V94="","",INDEX('Per Line'!$D$2:$D$6001,$V94))</f>
        <v/>
      </c>
      <c r="D94">
        <f>IF($V94="","",INDEX('Per Line'!$E$2:$E$6001,$V94)&amp;"")</f>
        <v/>
      </c>
      <c r="E94">
        <f>IF($V94="","",INDEX('Per Line'!$G$2:$G$6001,$V94)&amp;"")</f>
        <v/>
      </c>
      <c r="F94">
        <f>IF($V94="","",INDEX('Per Line'!$H$2:$H$6001,$V94)&amp;"")</f>
        <v/>
      </c>
      <c r="G94">
        <f>IF($V94="","",INDEX('Per Line'!$I$2:$I$6001,$V94)&amp;"")</f>
        <v/>
      </c>
      <c r="H94">
        <f>IF($V94="","",INDEX('Per Line'!$J$2:$J$6001,$V94))</f>
        <v/>
      </c>
      <c r="I94" s="7">
        <f>IF($V94="","",H94*S94/100)</f>
        <v/>
      </c>
      <c r="J94">
        <f>IF($V94="","",INDEX('Per Line'!$S$2:$S$6001,$V94)&amp;"")</f>
        <v/>
      </c>
      <c r="K94" s="7">
        <f>IF($V94="","",SUMIFS('Per Line'!$R$2:$R$6001,'Per Line'!$C$2:$C$6001,$B94,'Per Line'!$AJ$2:$AJ$6001,1))</f>
        <v/>
      </c>
      <c r="L94">
        <f>IF($V94="","",Settings!$C$7)</f>
        <v/>
      </c>
      <c r="M94" s="7">
        <f>IF($V94="","",SUMIFS('Per Line'!$R$2:$R$6001,'Per Line'!$C$2:$C$6001,$B94,'Per Line'!$AI$2:$AI$6001,0,'Per Line'!$AJ$2:$AJ$6001,0))</f>
        <v/>
      </c>
      <c r="N94" s="7">
        <f>IF($V94="","",M94*L94)</f>
        <v/>
      </c>
      <c r="O94">
        <f>IF($V94="","",Settings!$C$6)</f>
        <v/>
      </c>
      <c r="P94" s="7">
        <f>IF($V94="","",SUMIFS('Per Line'!$R$2:$R$6001,'Per Line'!$C$2:$C$6001,$B94,'Per Line'!$AI$2:$AI$6001,1,'Per Line'!$AJ$2:$AJ$6001,0))</f>
        <v/>
      </c>
      <c r="Q94" s="7">
        <f>IF($V94="","",P94*O94)</f>
        <v/>
      </c>
      <c r="R94" s="7">
        <f>IF($V94="","",Q94+N94)</f>
        <v/>
      </c>
      <c r="S94" s="7">
        <f>IF($V94="","",T94-R94)</f>
        <v/>
      </c>
      <c r="T94" s="7">
        <f>IF($V94="","",M94+P94+K94)</f>
        <v/>
      </c>
      <c r="U94" s="7">
        <f>IF($V94="","",T94-R94-I94)</f>
        <v/>
      </c>
      <c r="V94" s="13">
        <f>IF(ROWS($V$2:$V94)&lt;=MAX('Per Line'!$AH$2:$AH$6001),MATCH(ROWS($V$2:$V94),'Per Line'!$AH$2:$AH$6001,0),"")</f>
        <v/>
      </c>
    </row>
    <row r="95">
      <c r="A95" s="12" t="n"/>
      <c r="B95">
        <f>IF($V95="","",INDEX('Per Line'!$C$2:$C$6001,$V95)&amp;"")</f>
        <v/>
      </c>
      <c r="C95" s="11">
        <f>IF($V95="","",INDEX('Per Line'!$D$2:$D$6001,$V95))</f>
        <v/>
      </c>
      <c r="D95">
        <f>IF($V95="","",INDEX('Per Line'!$E$2:$E$6001,$V95)&amp;"")</f>
        <v/>
      </c>
      <c r="E95">
        <f>IF($V95="","",INDEX('Per Line'!$G$2:$G$6001,$V95)&amp;"")</f>
        <v/>
      </c>
      <c r="F95">
        <f>IF($V95="","",INDEX('Per Line'!$H$2:$H$6001,$V95)&amp;"")</f>
        <v/>
      </c>
      <c r="G95">
        <f>IF($V95="","",INDEX('Per Line'!$I$2:$I$6001,$V95)&amp;"")</f>
        <v/>
      </c>
      <c r="H95">
        <f>IF($V95="","",INDEX('Per Line'!$J$2:$J$6001,$V95))</f>
        <v/>
      </c>
      <c r="I95" s="7">
        <f>IF($V95="","",H95*S95/100)</f>
        <v/>
      </c>
      <c r="J95">
        <f>IF($V95="","",INDEX('Per Line'!$S$2:$S$6001,$V95)&amp;"")</f>
        <v/>
      </c>
      <c r="K95" s="7">
        <f>IF($V95="","",SUMIFS('Per Line'!$R$2:$R$6001,'Per Line'!$C$2:$C$6001,$B95,'Per Line'!$AJ$2:$AJ$6001,1))</f>
        <v/>
      </c>
      <c r="L95">
        <f>IF($V95="","",Settings!$C$7)</f>
        <v/>
      </c>
      <c r="M95" s="7">
        <f>IF($V95="","",SUMIFS('Per Line'!$R$2:$R$6001,'Per Line'!$C$2:$C$6001,$B95,'Per Line'!$AI$2:$AI$6001,0,'Per Line'!$AJ$2:$AJ$6001,0))</f>
        <v/>
      </c>
      <c r="N95" s="7">
        <f>IF($V95="","",M95*L95)</f>
        <v/>
      </c>
      <c r="O95">
        <f>IF($V95="","",Settings!$C$6)</f>
        <v/>
      </c>
      <c r="P95" s="7">
        <f>IF($V95="","",SUMIFS('Per Line'!$R$2:$R$6001,'Per Line'!$C$2:$C$6001,$B95,'Per Line'!$AI$2:$AI$6001,1,'Per Line'!$AJ$2:$AJ$6001,0))</f>
        <v/>
      </c>
      <c r="Q95" s="7">
        <f>IF($V95="","",P95*O95)</f>
        <v/>
      </c>
      <c r="R95" s="7">
        <f>IF($V95="","",Q95+N95)</f>
        <v/>
      </c>
      <c r="S95" s="7">
        <f>IF($V95="","",T95-R95)</f>
        <v/>
      </c>
      <c r="T95" s="7">
        <f>IF($V95="","",M95+P95+K95)</f>
        <v/>
      </c>
      <c r="U95" s="7">
        <f>IF($V95="","",T95-R95-I95)</f>
        <v/>
      </c>
      <c r="V95" s="13">
        <f>IF(ROWS($V$2:$V95)&lt;=MAX('Per Line'!$AH$2:$AH$6001),MATCH(ROWS($V$2:$V95),'Per Line'!$AH$2:$AH$6001,0),"")</f>
        <v/>
      </c>
    </row>
    <row r="96">
      <c r="A96" s="12" t="n"/>
      <c r="B96">
        <f>IF($V96="","",INDEX('Per Line'!$C$2:$C$6001,$V96)&amp;"")</f>
        <v/>
      </c>
      <c r="C96" s="11">
        <f>IF($V96="","",INDEX('Per Line'!$D$2:$D$6001,$V96))</f>
        <v/>
      </c>
      <c r="D96">
        <f>IF($V96="","",INDEX('Per Line'!$E$2:$E$6001,$V96)&amp;"")</f>
        <v/>
      </c>
      <c r="E96">
        <f>IF($V96="","",INDEX('Per Line'!$G$2:$G$6001,$V96)&amp;"")</f>
        <v/>
      </c>
      <c r="F96">
        <f>IF($V96="","",INDEX('Per Line'!$H$2:$H$6001,$V96)&amp;"")</f>
        <v/>
      </c>
      <c r="G96">
        <f>IF($V96="","",INDEX('Per Line'!$I$2:$I$6001,$V96)&amp;"")</f>
        <v/>
      </c>
      <c r="H96">
        <f>IF($V96="","",INDEX('Per Line'!$J$2:$J$6001,$V96))</f>
        <v/>
      </c>
      <c r="I96" s="7">
        <f>IF($V96="","",H96*S96/100)</f>
        <v/>
      </c>
      <c r="J96">
        <f>IF($V96="","",INDEX('Per Line'!$S$2:$S$6001,$V96)&amp;"")</f>
        <v/>
      </c>
      <c r="K96" s="7">
        <f>IF($V96="","",SUMIFS('Per Line'!$R$2:$R$6001,'Per Line'!$C$2:$C$6001,$B96,'Per Line'!$AJ$2:$AJ$6001,1))</f>
        <v/>
      </c>
      <c r="L96">
        <f>IF($V96="","",Settings!$C$7)</f>
        <v/>
      </c>
      <c r="M96" s="7">
        <f>IF($V96="","",SUMIFS('Per Line'!$R$2:$R$6001,'Per Line'!$C$2:$C$6001,$B96,'Per Line'!$AI$2:$AI$6001,0,'Per Line'!$AJ$2:$AJ$6001,0))</f>
        <v/>
      </c>
      <c r="N96" s="7">
        <f>IF($V96="","",M96*L96)</f>
        <v/>
      </c>
      <c r="O96">
        <f>IF($V96="","",Settings!$C$6)</f>
        <v/>
      </c>
      <c r="P96" s="7">
        <f>IF($V96="","",SUMIFS('Per Line'!$R$2:$R$6001,'Per Line'!$C$2:$C$6001,$B96,'Per Line'!$AI$2:$AI$6001,1,'Per Line'!$AJ$2:$AJ$6001,0))</f>
        <v/>
      </c>
      <c r="Q96" s="7">
        <f>IF($V96="","",P96*O96)</f>
        <v/>
      </c>
      <c r="R96" s="7">
        <f>IF($V96="","",Q96+N96)</f>
        <v/>
      </c>
      <c r="S96" s="7">
        <f>IF($V96="","",T96-R96)</f>
        <v/>
      </c>
      <c r="T96" s="7">
        <f>IF($V96="","",M96+P96+K96)</f>
        <v/>
      </c>
      <c r="U96" s="7">
        <f>IF($V96="","",T96-R96-I96)</f>
        <v/>
      </c>
      <c r="V96" s="13">
        <f>IF(ROWS($V$2:$V96)&lt;=MAX('Per Line'!$AH$2:$AH$6001),MATCH(ROWS($V$2:$V96),'Per Line'!$AH$2:$AH$6001,0),"")</f>
        <v/>
      </c>
    </row>
    <row r="97">
      <c r="A97" s="12" t="n"/>
      <c r="B97">
        <f>IF($V97="","",INDEX('Per Line'!$C$2:$C$6001,$V97)&amp;"")</f>
        <v/>
      </c>
      <c r="C97" s="11">
        <f>IF($V97="","",INDEX('Per Line'!$D$2:$D$6001,$V97))</f>
        <v/>
      </c>
      <c r="D97">
        <f>IF($V97="","",INDEX('Per Line'!$E$2:$E$6001,$V97)&amp;"")</f>
        <v/>
      </c>
      <c r="E97">
        <f>IF($V97="","",INDEX('Per Line'!$G$2:$G$6001,$V97)&amp;"")</f>
        <v/>
      </c>
      <c r="F97">
        <f>IF($V97="","",INDEX('Per Line'!$H$2:$H$6001,$V97)&amp;"")</f>
        <v/>
      </c>
      <c r="G97">
        <f>IF($V97="","",INDEX('Per Line'!$I$2:$I$6001,$V97)&amp;"")</f>
        <v/>
      </c>
      <c r="H97">
        <f>IF($V97="","",INDEX('Per Line'!$J$2:$J$6001,$V97))</f>
        <v/>
      </c>
      <c r="I97" s="7">
        <f>IF($V97="","",H97*S97/100)</f>
        <v/>
      </c>
      <c r="J97">
        <f>IF($V97="","",INDEX('Per Line'!$S$2:$S$6001,$V97)&amp;"")</f>
        <v/>
      </c>
      <c r="K97" s="7">
        <f>IF($V97="","",SUMIFS('Per Line'!$R$2:$R$6001,'Per Line'!$C$2:$C$6001,$B97,'Per Line'!$AJ$2:$AJ$6001,1))</f>
        <v/>
      </c>
      <c r="L97">
        <f>IF($V97="","",Settings!$C$7)</f>
        <v/>
      </c>
      <c r="M97" s="7">
        <f>IF($V97="","",SUMIFS('Per Line'!$R$2:$R$6001,'Per Line'!$C$2:$C$6001,$B97,'Per Line'!$AI$2:$AI$6001,0,'Per Line'!$AJ$2:$AJ$6001,0))</f>
        <v/>
      </c>
      <c r="N97" s="7">
        <f>IF($V97="","",M97*L97)</f>
        <v/>
      </c>
      <c r="O97">
        <f>IF($V97="","",Settings!$C$6)</f>
        <v/>
      </c>
      <c r="P97" s="7">
        <f>IF($V97="","",SUMIFS('Per Line'!$R$2:$R$6001,'Per Line'!$C$2:$C$6001,$B97,'Per Line'!$AI$2:$AI$6001,1,'Per Line'!$AJ$2:$AJ$6001,0))</f>
        <v/>
      </c>
      <c r="Q97" s="7">
        <f>IF($V97="","",P97*O97)</f>
        <v/>
      </c>
      <c r="R97" s="7">
        <f>IF($V97="","",Q97+N97)</f>
        <v/>
      </c>
      <c r="S97" s="7">
        <f>IF($V97="","",T97-R97)</f>
        <v/>
      </c>
      <c r="T97" s="7">
        <f>IF($V97="","",M97+P97+K97)</f>
        <v/>
      </c>
      <c r="U97" s="7">
        <f>IF($V97="","",T97-R97-I97)</f>
        <v/>
      </c>
      <c r="V97" s="13">
        <f>IF(ROWS($V$2:$V97)&lt;=MAX('Per Line'!$AH$2:$AH$6001),MATCH(ROWS($V$2:$V97),'Per Line'!$AH$2:$AH$6001,0),"")</f>
        <v/>
      </c>
    </row>
    <row r="98">
      <c r="A98" s="12" t="n"/>
      <c r="B98">
        <f>IF($V98="","",INDEX('Per Line'!$C$2:$C$6001,$V98)&amp;"")</f>
        <v/>
      </c>
      <c r="C98" s="11">
        <f>IF($V98="","",INDEX('Per Line'!$D$2:$D$6001,$V98))</f>
        <v/>
      </c>
      <c r="D98">
        <f>IF($V98="","",INDEX('Per Line'!$E$2:$E$6001,$V98)&amp;"")</f>
        <v/>
      </c>
      <c r="E98">
        <f>IF($V98="","",INDEX('Per Line'!$G$2:$G$6001,$V98)&amp;"")</f>
        <v/>
      </c>
      <c r="F98">
        <f>IF($V98="","",INDEX('Per Line'!$H$2:$H$6001,$V98)&amp;"")</f>
        <v/>
      </c>
      <c r="G98">
        <f>IF($V98="","",INDEX('Per Line'!$I$2:$I$6001,$V98)&amp;"")</f>
        <v/>
      </c>
      <c r="H98">
        <f>IF($V98="","",INDEX('Per Line'!$J$2:$J$6001,$V98))</f>
        <v/>
      </c>
      <c r="I98" s="7">
        <f>IF($V98="","",H98*S98/100)</f>
        <v/>
      </c>
      <c r="J98">
        <f>IF($V98="","",INDEX('Per Line'!$S$2:$S$6001,$V98)&amp;"")</f>
        <v/>
      </c>
      <c r="K98" s="7">
        <f>IF($V98="","",SUMIFS('Per Line'!$R$2:$R$6001,'Per Line'!$C$2:$C$6001,$B98,'Per Line'!$AJ$2:$AJ$6001,1))</f>
        <v/>
      </c>
      <c r="L98">
        <f>IF($V98="","",Settings!$C$7)</f>
        <v/>
      </c>
      <c r="M98" s="7">
        <f>IF($V98="","",SUMIFS('Per Line'!$R$2:$R$6001,'Per Line'!$C$2:$C$6001,$B98,'Per Line'!$AI$2:$AI$6001,0,'Per Line'!$AJ$2:$AJ$6001,0))</f>
        <v/>
      </c>
      <c r="N98" s="7">
        <f>IF($V98="","",M98*L98)</f>
        <v/>
      </c>
      <c r="O98">
        <f>IF($V98="","",Settings!$C$6)</f>
        <v/>
      </c>
      <c r="P98" s="7">
        <f>IF($V98="","",SUMIFS('Per Line'!$R$2:$R$6001,'Per Line'!$C$2:$C$6001,$B98,'Per Line'!$AI$2:$AI$6001,1,'Per Line'!$AJ$2:$AJ$6001,0))</f>
        <v/>
      </c>
      <c r="Q98" s="7">
        <f>IF($V98="","",P98*O98)</f>
        <v/>
      </c>
      <c r="R98" s="7">
        <f>IF($V98="","",Q98+N98)</f>
        <v/>
      </c>
      <c r="S98" s="7">
        <f>IF($V98="","",T98-R98)</f>
        <v/>
      </c>
      <c r="T98" s="7">
        <f>IF($V98="","",M98+P98+K98)</f>
        <v/>
      </c>
      <c r="U98" s="7">
        <f>IF($V98="","",T98-R98-I98)</f>
        <v/>
      </c>
      <c r="V98" s="13">
        <f>IF(ROWS($V$2:$V98)&lt;=MAX('Per Line'!$AH$2:$AH$6001),MATCH(ROWS($V$2:$V98),'Per Line'!$AH$2:$AH$6001,0),"")</f>
        <v/>
      </c>
    </row>
    <row r="99">
      <c r="A99" s="12" t="n"/>
      <c r="B99">
        <f>IF($V99="","",INDEX('Per Line'!$C$2:$C$6001,$V99)&amp;"")</f>
        <v/>
      </c>
      <c r="C99" s="11">
        <f>IF($V99="","",INDEX('Per Line'!$D$2:$D$6001,$V99))</f>
        <v/>
      </c>
      <c r="D99">
        <f>IF($V99="","",INDEX('Per Line'!$E$2:$E$6001,$V99)&amp;"")</f>
        <v/>
      </c>
      <c r="E99">
        <f>IF($V99="","",INDEX('Per Line'!$G$2:$G$6001,$V99)&amp;"")</f>
        <v/>
      </c>
      <c r="F99">
        <f>IF($V99="","",INDEX('Per Line'!$H$2:$H$6001,$V99)&amp;"")</f>
        <v/>
      </c>
      <c r="G99">
        <f>IF($V99="","",INDEX('Per Line'!$I$2:$I$6001,$V99)&amp;"")</f>
        <v/>
      </c>
      <c r="H99">
        <f>IF($V99="","",INDEX('Per Line'!$J$2:$J$6001,$V99))</f>
        <v/>
      </c>
      <c r="I99" s="7">
        <f>IF($V99="","",H99*S99/100)</f>
        <v/>
      </c>
      <c r="J99">
        <f>IF($V99="","",INDEX('Per Line'!$S$2:$S$6001,$V99)&amp;"")</f>
        <v/>
      </c>
      <c r="K99" s="7">
        <f>IF($V99="","",SUMIFS('Per Line'!$R$2:$R$6001,'Per Line'!$C$2:$C$6001,$B99,'Per Line'!$AJ$2:$AJ$6001,1))</f>
        <v/>
      </c>
      <c r="L99">
        <f>IF($V99="","",Settings!$C$7)</f>
        <v/>
      </c>
      <c r="M99" s="7">
        <f>IF($V99="","",SUMIFS('Per Line'!$R$2:$R$6001,'Per Line'!$C$2:$C$6001,$B99,'Per Line'!$AI$2:$AI$6001,0,'Per Line'!$AJ$2:$AJ$6001,0))</f>
        <v/>
      </c>
      <c r="N99" s="7">
        <f>IF($V99="","",M99*L99)</f>
        <v/>
      </c>
      <c r="O99">
        <f>IF($V99="","",Settings!$C$6)</f>
        <v/>
      </c>
      <c r="P99" s="7">
        <f>IF($V99="","",SUMIFS('Per Line'!$R$2:$R$6001,'Per Line'!$C$2:$C$6001,$B99,'Per Line'!$AI$2:$AI$6001,1,'Per Line'!$AJ$2:$AJ$6001,0))</f>
        <v/>
      </c>
      <c r="Q99" s="7">
        <f>IF($V99="","",P99*O99)</f>
        <v/>
      </c>
      <c r="R99" s="7">
        <f>IF($V99="","",Q99+N99)</f>
        <v/>
      </c>
      <c r="S99" s="7">
        <f>IF($V99="","",T99-R99)</f>
        <v/>
      </c>
      <c r="T99" s="7">
        <f>IF($V99="","",M99+P99+K99)</f>
        <v/>
      </c>
      <c r="U99" s="7">
        <f>IF($V99="","",T99-R99-I99)</f>
        <v/>
      </c>
      <c r="V99" s="13">
        <f>IF(ROWS($V$2:$V99)&lt;=MAX('Per Line'!$AH$2:$AH$6001),MATCH(ROWS($V$2:$V99),'Per Line'!$AH$2:$AH$6001,0),"")</f>
        <v/>
      </c>
    </row>
    <row r="100">
      <c r="A100" s="12" t="n"/>
      <c r="B100">
        <f>IF($V100="","",INDEX('Per Line'!$C$2:$C$6001,$V100)&amp;"")</f>
        <v/>
      </c>
      <c r="C100" s="11">
        <f>IF($V100="","",INDEX('Per Line'!$D$2:$D$6001,$V100))</f>
        <v/>
      </c>
      <c r="D100">
        <f>IF($V100="","",INDEX('Per Line'!$E$2:$E$6001,$V100)&amp;"")</f>
        <v/>
      </c>
      <c r="E100">
        <f>IF($V100="","",INDEX('Per Line'!$G$2:$G$6001,$V100)&amp;"")</f>
        <v/>
      </c>
      <c r="F100">
        <f>IF($V100="","",INDEX('Per Line'!$H$2:$H$6001,$V100)&amp;"")</f>
        <v/>
      </c>
      <c r="G100">
        <f>IF($V100="","",INDEX('Per Line'!$I$2:$I$6001,$V100)&amp;"")</f>
        <v/>
      </c>
      <c r="H100">
        <f>IF($V100="","",INDEX('Per Line'!$J$2:$J$6001,$V100))</f>
        <v/>
      </c>
      <c r="I100" s="7">
        <f>IF($V100="","",H100*S100/100)</f>
        <v/>
      </c>
      <c r="J100">
        <f>IF($V100="","",INDEX('Per Line'!$S$2:$S$6001,$V100)&amp;"")</f>
        <v/>
      </c>
      <c r="K100" s="7">
        <f>IF($V100="","",SUMIFS('Per Line'!$R$2:$R$6001,'Per Line'!$C$2:$C$6001,$B100,'Per Line'!$AJ$2:$AJ$6001,1))</f>
        <v/>
      </c>
      <c r="L100">
        <f>IF($V100="","",Settings!$C$7)</f>
        <v/>
      </c>
      <c r="M100" s="7">
        <f>IF($V100="","",SUMIFS('Per Line'!$R$2:$R$6001,'Per Line'!$C$2:$C$6001,$B100,'Per Line'!$AI$2:$AI$6001,0,'Per Line'!$AJ$2:$AJ$6001,0))</f>
        <v/>
      </c>
      <c r="N100" s="7">
        <f>IF($V100="","",M100*L100)</f>
        <v/>
      </c>
      <c r="O100">
        <f>IF($V100="","",Settings!$C$6)</f>
        <v/>
      </c>
      <c r="P100" s="7">
        <f>IF($V100="","",SUMIFS('Per Line'!$R$2:$R$6001,'Per Line'!$C$2:$C$6001,$B100,'Per Line'!$AI$2:$AI$6001,1,'Per Line'!$AJ$2:$AJ$6001,0))</f>
        <v/>
      </c>
      <c r="Q100" s="7">
        <f>IF($V100="","",P100*O100)</f>
        <v/>
      </c>
      <c r="R100" s="7">
        <f>IF($V100="","",Q100+N100)</f>
        <v/>
      </c>
      <c r="S100" s="7">
        <f>IF($V100="","",T100-R100)</f>
        <v/>
      </c>
      <c r="T100" s="7">
        <f>IF($V100="","",M100+P100+K100)</f>
        <v/>
      </c>
      <c r="U100" s="7">
        <f>IF($V100="","",T100-R100-I100)</f>
        <v/>
      </c>
      <c r="V100" s="13">
        <f>IF(ROWS($V$2:$V100)&lt;=MAX('Per Line'!$AH$2:$AH$6001),MATCH(ROWS($V$2:$V100),'Per Line'!$AH$2:$AH$6001,0),"")</f>
        <v/>
      </c>
    </row>
    <row r="101">
      <c r="A101" s="12" t="n"/>
      <c r="B101">
        <f>IF($V101="","",INDEX('Per Line'!$C$2:$C$6001,$V101)&amp;"")</f>
        <v/>
      </c>
      <c r="C101" s="11">
        <f>IF($V101="","",INDEX('Per Line'!$D$2:$D$6001,$V101))</f>
        <v/>
      </c>
      <c r="D101">
        <f>IF($V101="","",INDEX('Per Line'!$E$2:$E$6001,$V101)&amp;"")</f>
        <v/>
      </c>
      <c r="E101">
        <f>IF($V101="","",INDEX('Per Line'!$G$2:$G$6001,$V101)&amp;"")</f>
        <v/>
      </c>
      <c r="F101">
        <f>IF($V101="","",INDEX('Per Line'!$H$2:$H$6001,$V101)&amp;"")</f>
        <v/>
      </c>
      <c r="G101">
        <f>IF($V101="","",INDEX('Per Line'!$I$2:$I$6001,$V101)&amp;"")</f>
        <v/>
      </c>
      <c r="H101">
        <f>IF($V101="","",INDEX('Per Line'!$J$2:$J$6001,$V101))</f>
        <v/>
      </c>
      <c r="I101" s="7">
        <f>IF($V101="","",H101*S101/100)</f>
        <v/>
      </c>
      <c r="J101">
        <f>IF($V101="","",INDEX('Per Line'!$S$2:$S$6001,$V101)&amp;"")</f>
        <v/>
      </c>
      <c r="K101" s="7">
        <f>IF($V101="","",SUMIFS('Per Line'!$R$2:$R$6001,'Per Line'!$C$2:$C$6001,$B101,'Per Line'!$AJ$2:$AJ$6001,1))</f>
        <v/>
      </c>
      <c r="L101">
        <f>IF($V101="","",Settings!$C$7)</f>
        <v/>
      </c>
      <c r="M101" s="7">
        <f>IF($V101="","",SUMIFS('Per Line'!$R$2:$R$6001,'Per Line'!$C$2:$C$6001,$B101,'Per Line'!$AI$2:$AI$6001,0,'Per Line'!$AJ$2:$AJ$6001,0))</f>
        <v/>
      </c>
      <c r="N101" s="7">
        <f>IF($V101="","",M101*L101)</f>
        <v/>
      </c>
      <c r="O101">
        <f>IF($V101="","",Settings!$C$6)</f>
        <v/>
      </c>
      <c r="P101" s="7">
        <f>IF($V101="","",SUMIFS('Per Line'!$R$2:$R$6001,'Per Line'!$C$2:$C$6001,$B101,'Per Line'!$AI$2:$AI$6001,1,'Per Line'!$AJ$2:$AJ$6001,0))</f>
        <v/>
      </c>
      <c r="Q101" s="7">
        <f>IF($V101="","",P101*O101)</f>
        <v/>
      </c>
      <c r="R101" s="7">
        <f>IF($V101="","",Q101+N101)</f>
        <v/>
      </c>
      <c r="S101" s="7">
        <f>IF($V101="","",T101-R101)</f>
        <v/>
      </c>
      <c r="T101" s="7">
        <f>IF($V101="","",M101+P101+K101)</f>
        <v/>
      </c>
      <c r="U101" s="7">
        <f>IF($V101="","",T101-R101-I101)</f>
        <v/>
      </c>
      <c r="V101" s="13">
        <f>IF(ROWS($V$2:$V101)&lt;=MAX('Per Line'!$AH$2:$AH$6001),MATCH(ROWS($V$2:$V101),'Per Line'!$AH$2:$AH$6001,0),"")</f>
        <v/>
      </c>
    </row>
    <row r="102">
      <c r="A102" s="12" t="n"/>
      <c r="B102">
        <f>IF($V102="","",INDEX('Per Line'!$C$2:$C$6001,$V102)&amp;"")</f>
        <v/>
      </c>
      <c r="C102" s="11">
        <f>IF($V102="","",INDEX('Per Line'!$D$2:$D$6001,$V102))</f>
        <v/>
      </c>
      <c r="D102">
        <f>IF($V102="","",INDEX('Per Line'!$E$2:$E$6001,$V102)&amp;"")</f>
        <v/>
      </c>
      <c r="E102">
        <f>IF($V102="","",INDEX('Per Line'!$G$2:$G$6001,$V102)&amp;"")</f>
        <v/>
      </c>
      <c r="F102">
        <f>IF($V102="","",INDEX('Per Line'!$H$2:$H$6001,$V102)&amp;"")</f>
        <v/>
      </c>
      <c r="G102">
        <f>IF($V102="","",INDEX('Per Line'!$I$2:$I$6001,$V102)&amp;"")</f>
        <v/>
      </c>
      <c r="H102">
        <f>IF($V102="","",INDEX('Per Line'!$J$2:$J$6001,$V102))</f>
        <v/>
      </c>
      <c r="I102" s="7">
        <f>IF($V102="","",H102*S102/100)</f>
        <v/>
      </c>
      <c r="J102">
        <f>IF($V102="","",INDEX('Per Line'!$S$2:$S$6001,$V102)&amp;"")</f>
        <v/>
      </c>
      <c r="K102" s="7">
        <f>IF($V102="","",SUMIFS('Per Line'!$R$2:$R$6001,'Per Line'!$C$2:$C$6001,$B102,'Per Line'!$AJ$2:$AJ$6001,1))</f>
        <v/>
      </c>
      <c r="L102">
        <f>IF($V102="","",Settings!$C$7)</f>
        <v/>
      </c>
      <c r="M102" s="7">
        <f>IF($V102="","",SUMIFS('Per Line'!$R$2:$R$6001,'Per Line'!$C$2:$C$6001,$B102,'Per Line'!$AI$2:$AI$6001,0,'Per Line'!$AJ$2:$AJ$6001,0))</f>
        <v/>
      </c>
      <c r="N102" s="7">
        <f>IF($V102="","",M102*L102)</f>
        <v/>
      </c>
      <c r="O102">
        <f>IF($V102="","",Settings!$C$6)</f>
        <v/>
      </c>
      <c r="P102" s="7">
        <f>IF($V102="","",SUMIFS('Per Line'!$R$2:$R$6001,'Per Line'!$C$2:$C$6001,$B102,'Per Line'!$AI$2:$AI$6001,1,'Per Line'!$AJ$2:$AJ$6001,0))</f>
        <v/>
      </c>
      <c r="Q102" s="7">
        <f>IF($V102="","",P102*O102)</f>
        <v/>
      </c>
      <c r="R102" s="7">
        <f>IF($V102="","",Q102+N102)</f>
        <v/>
      </c>
      <c r="S102" s="7">
        <f>IF($V102="","",T102-R102)</f>
        <v/>
      </c>
      <c r="T102" s="7">
        <f>IF($V102="","",M102+P102+K102)</f>
        <v/>
      </c>
      <c r="U102" s="7">
        <f>IF($V102="","",T102-R102-I102)</f>
        <v/>
      </c>
      <c r="V102" s="13">
        <f>IF(ROWS($V$2:$V102)&lt;=MAX('Per Line'!$AH$2:$AH$6001),MATCH(ROWS($V$2:$V102),'Per Line'!$AH$2:$AH$6001,0),"")</f>
        <v/>
      </c>
    </row>
    <row r="103">
      <c r="A103" s="12" t="n"/>
      <c r="B103">
        <f>IF($V103="","",INDEX('Per Line'!$C$2:$C$6001,$V103)&amp;"")</f>
        <v/>
      </c>
      <c r="C103" s="11">
        <f>IF($V103="","",INDEX('Per Line'!$D$2:$D$6001,$V103))</f>
        <v/>
      </c>
      <c r="D103">
        <f>IF($V103="","",INDEX('Per Line'!$E$2:$E$6001,$V103)&amp;"")</f>
        <v/>
      </c>
      <c r="E103">
        <f>IF($V103="","",INDEX('Per Line'!$G$2:$G$6001,$V103)&amp;"")</f>
        <v/>
      </c>
      <c r="F103">
        <f>IF($V103="","",INDEX('Per Line'!$H$2:$H$6001,$V103)&amp;"")</f>
        <v/>
      </c>
      <c r="G103">
        <f>IF($V103="","",INDEX('Per Line'!$I$2:$I$6001,$V103)&amp;"")</f>
        <v/>
      </c>
      <c r="H103">
        <f>IF($V103="","",INDEX('Per Line'!$J$2:$J$6001,$V103))</f>
        <v/>
      </c>
      <c r="I103" s="7">
        <f>IF($V103="","",H103*S103/100)</f>
        <v/>
      </c>
      <c r="J103">
        <f>IF($V103="","",INDEX('Per Line'!$S$2:$S$6001,$V103)&amp;"")</f>
        <v/>
      </c>
      <c r="K103" s="7">
        <f>IF($V103="","",SUMIFS('Per Line'!$R$2:$R$6001,'Per Line'!$C$2:$C$6001,$B103,'Per Line'!$AJ$2:$AJ$6001,1))</f>
        <v/>
      </c>
      <c r="L103">
        <f>IF($V103="","",Settings!$C$7)</f>
        <v/>
      </c>
      <c r="M103" s="7">
        <f>IF($V103="","",SUMIFS('Per Line'!$R$2:$R$6001,'Per Line'!$C$2:$C$6001,$B103,'Per Line'!$AI$2:$AI$6001,0,'Per Line'!$AJ$2:$AJ$6001,0))</f>
        <v/>
      </c>
      <c r="N103" s="7">
        <f>IF($V103="","",M103*L103)</f>
        <v/>
      </c>
      <c r="O103">
        <f>IF($V103="","",Settings!$C$6)</f>
        <v/>
      </c>
      <c r="P103" s="7">
        <f>IF($V103="","",SUMIFS('Per Line'!$R$2:$R$6001,'Per Line'!$C$2:$C$6001,$B103,'Per Line'!$AI$2:$AI$6001,1,'Per Line'!$AJ$2:$AJ$6001,0))</f>
        <v/>
      </c>
      <c r="Q103" s="7">
        <f>IF($V103="","",P103*O103)</f>
        <v/>
      </c>
      <c r="R103" s="7">
        <f>IF($V103="","",Q103+N103)</f>
        <v/>
      </c>
      <c r="S103" s="7">
        <f>IF($V103="","",T103-R103)</f>
        <v/>
      </c>
      <c r="T103" s="7">
        <f>IF($V103="","",M103+P103+K103)</f>
        <v/>
      </c>
      <c r="U103" s="7">
        <f>IF($V103="","",T103-R103-I103)</f>
        <v/>
      </c>
      <c r="V103" s="13">
        <f>IF(ROWS($V$2:$V103)&lt;=MAX('Per Line'!$AH$2:$AH$6001),MATCH(ROWS($V$2:$V103),'Per Line'!$AH$2:$AH$6001,0),"")</f>
        <v/>
      </c>
    </row>
    <row r="104">
      <c r="A104" s="12" t="n"/>
      <c r="B104">
        <f>IF($V104="","",INDEX('Per Line'!$C$2:$C$6001,$V104)&amp;"")</f>
        <v/>
      </c>
      <c r="C104" s="11">
        <f>IF($V104="","",INDEX('Per Line'!$D$2:$D$6001,$V104))</f>
        <v/>
      </c>
      <c r="D104">
        <f>IF($V104="","",INDEX('Per Line'!$E$2:$E$6001,$V104)&amp;"")</f>
        <v/>
      </c>
      <c r="E104">
        <f>IF($V104="","",INDEX('Per Line'!$G$2:$G$6001,$V104)&amp;"")</f>
        <v/>
      </c>
      <c r="F104">
        <f>IF($V104="","",INDEX('Per Line'!$H$2:$H$6001,$V104)&amp;"")</f>
        <v/>
      </c>
      <c r="G104">
        <f>IF($V104="","",INDEX('Per Line'!$I$2:$I$6001,$V104)&amp;"")</f>
        <v/>
      </c>
      <c r="H104">
        <f>IF($V104="","",INDEX('Per Line'!$J$2:$J$6001,$V104))</f>
        <v/>
      </c>
      <c r="I104" s="7">
        <f>IF($V104="","",H104*S104/100)</f>
        <v/>
      </c>
      <c r="J104">
        <f>IF($V104="","",INDEX('Per Line'!$S$2:$S$6001,$V104)&amp;"")</f>
        <v/>
      </c>
      <c r="K104" s="7">
        <f>IF($V104="","",SUMIFS('Per Line'!$R$2:$R$6001,'Per Line'!$C$2:$C$6001,$B104,'Per Line'!$AJ$2:$AJ$6001,1))</f>
        <v/>
      </c>
      <c r="L104">
        <f>IF($V104="","",Settings!$C$7)</f>
        <v/>
      </c>
      <c r="M104" s="7">
        <f>IF($V104="","",SUMIFS('Per Line'!$R$2:$R$6001,'Per Line'!$C$2:$C$6001,$B104,'Per Line'!$AI$2:$AI$6001,0,'Per Line'!$AJ$2:$AJ$6001,0))</f>
        <v/>
      </c>
      <c r="N104" s="7">
        <f>IF($V104="","",M104*L104)</f>
        <v/>
      </c>
      <c r="O104">
        <f>IF($V104="","",Settings!$C$6)</f>
        <v/>
      </c>
      <c r="P104" s="7">
        <f>IF($V104="","",SUMIFS('Per Line'!$R$2:$R$6001,'Per Line'!$C$2:$C$6001,$B104,'Per Line'!$AI$2:$AI$6001,1,'Per Line'!$AJ$2:$AJ$6001,0))</f>
        <v/>
      </c>
      <c r="Q104" s="7">
        <f>IF($V104="","",P104*O104)</f>
        <v/>
      </c>
      <c r="R104" s="7">
        <f>IF($V104="","",Q104+N104)</f>
        <v/>
      </c>
      <c r="S104" s="7">
        <f>IF($V104="","",T104-R104)</f>
        <v/>
      </c>
      <c r="T104" s="7">
        <f>IF($V104="","",M104+P104+K104)</f>
        <v/>
      </c>
      <c r="U104" s="7">
        <f>IF($V104="","",T104-R104-I104)</f>
        <v/>
      </c>
      <c r="V104" s="13">
        <f>IF(ROWS($V$2:$V104)&lt;=MAX('Per Line'!$AH$2:$AH$6001),MATCH(ROWS($V$2:$V104),'Per Line'!$AH$2:$AH$6001,0),"")</f>
        <v/>
      </c>
    </row>
    <row r="105">
      <c r="A105" s="12" t="n"/>
      <c r="B105">
        <f>IF($V105="","",INDEX('Per Line'!$C$2:$C$6001,$V105)&amp;"")</f>
        <v/>
      </c>
      <c r="C105" s="11">
        <f>IF($V105="","",INDEX('Per Line'!$D$2:$D$6001,$V105))</f>
        <v/>
      </c>
      <c r="D105">
        <f>IF($V105="","",INDEX('Per Line'!$E$2:$E$6001,$V105)&amp;"")</f>
        <v/>
      </c>
      <c r="E105">
        <f>IF($V105="","",INDEX('Per Line'!$G$2:$G$6001,$V105)&amp;"")</f>
        <v/>
      </c>
      <c r="F105">
        <f>IF($V105="","",INDEX('Per Line'!$H$2:$H$6001,$V105)&amp;"")</f>
        <v/>
      </c>
      <c r="G105">
        <f>IF($V105="","",INDEX('Per Line'!$I$2:$I$6001,$V105)&amp;"")</f>
        <v/>
      </c>
      <c r="H105">
        <f>IF($V105="","",INDEX('Per Line'!$J$2:$J$6001,$V105))</f>
        <v/>
      </c>
      <c r="I105" s="7">
        <f>IF($V105="","",H105*S105/100)</f>
        <v/>
      </c>
      <c r="J105">
        <f>IF($V105="","",INDEX('Per Line'!$S$2:$S$6001,$V105)&amp;"")</f>
        <v/>
      </c>
      <c r="K105" s="7">
        <f>IF($V105="","",SUMIFS('Per Line'!$R$2:$R$6001,'Per Line'!$C$2:$C$6001,$B105,'Per Line'!$AJ$2:$AJ$6001,1))</f>
        <v/>
      </c>
      <c r="L105">
        <f>IF($V105="","",Settings!$C$7)</f>
        <v/>
      </c>
      <c r="M105" s="7">
        <f>IF($V105="","",SUMIFS('Per Line'!$R$2:$R$6001,'Per Line'!$C$2:$C$6001,$B105,'Per Line'!$AI$2:$AI$6001,0,'Per Line'!$AJ$2:$AJ$6001,0))</f>
        <v/>
      </c>
      <c r="N105" s="7">
        <f>IF($V105="","",M105*L105)</f>
        <v/>
      </c>
      <c r="O105">
        <f>IF($V105="","",Settings!$C$6)</f>
        <v/>
      </c>
      <c r="P105" s="7">
        <f>IF($V105="","",SUMIFS('Per Line'!$R$2:$R$6001,'Per Line'!$C$2:$C$6001,$B105,'Per Line'!$AI$2:$AI$6001,1,'Per Line'!$AJ$2:$AJ$6001,0))</f>
        <v/>
      </c>
      <c r="Q105" s="7">
        <f>IF($V105="","",P105*O105)</f>
        <v/>
      </c>
      <c r="R105" s="7">
        <f>IF($V105="","",Q105+N105)</f>
        <v/>
      </c>
      <c r="S105" s="7">
        <f>IF($V105="","",T105-R105)</f>
        <v/>
      </c>
      <c r="T105" s="7">
        <f>IF($V105="","",M105+P105+K105)</f>
        <v/>
      </c>
      <c r="U105" s="7">
        <f>IF($V105="","",T105-R105-I105)</f>
        <v/>
      </c>
      <c r="V105" s="13">
        <f>IF(ROWS($V$2:$V105)&lt;=MAX('Per Line'!$AH$2:$AH$6001),MATCH(ROWS($V$2:$V105),'Per Line'!$AH$2:$AH$6001,0),"")</f>
        <v/>
      </c>
    </row>
    <row r="106">
      <c r="A106" s="12" t="n"/>
      <c r="B106">
        <f>IF($V106="","",INDEX('Per Line'!$C$2:$C$6001,$V106)&amp;"")</f>
        <v/>
      </c>
      <c r="C106" s="11">
        <f>IF($V106="","",INDEX('Per Line'!$D$2:$D$6001,$V106))</f>
        <v/>
      </c>
      <c r="D106">
        <f>IF($V106="","",INDEX('Per Line'!$E$2:$E$6001,$V106)&amp;"")</f>
        <v/>
      </c>
      <c r="E106">
        <f>IF($V106="","",INDEX('Per Line'!$G$2:$G$6001,$V106)&amp;"")</f>
        <v/>
      </c>
      <c r="F106">
        <f>IF($V106="","",INDEX('Per Line'!$H$2:$H$6001,$V106)&amp;"")</f>
        <v/>
      </c>
      <c r="G106">
        <f>IF($V106="","",INDEX('Per Line'!$I$2:$I$6001,$V106)&amp;"")</f>
        <v/>
      </c>
      <c r="H106">
        <f>IF($V106="","",INDEX('Per Line'!$J$2:$J$6001,$V106))</f>
        <v/>
      </c>
      <c r="I106" s="7">
        <f>IF($V106="","",H106*S106/100)</f>
        <v/>
      </c>
      <c r="J106">
        <f>IF($V106="","",INDEX('Per Line'!$S$2:$S$6001,$V106)&amp;"")</f>
        <v/>
      </c>
      <c r="K106" s="7">
        <f>IF($V106="","",SUMIFS('Per Line'!$R$2:$R$6001,'Per Line'!$C$2:$C$6001,$B106,'Per Line'!$AJ$2:$AJ$6001,1))</f>
        <v/>
      </c>
      <c r="L106">
        <f>IF($V106="","",Settings!$C$7)</f>
        <v/>
      </c>
      <c r="M106" s="7">
        <f>IF($V106="","",SUMIFS('Per Line'!$R$2:$R$6001,'Per Line'!$C$2:$C$6001,$B106,'Per Line'!$AI$2:$AI$6001,0,'Per Line'!$AJ$2:$AJ$6001,0))</f>
        <v/>
      </c>
      <c r="N106" s="7">
        <f>IF($V106="","",M106*L106)</f>
        <v/>
      </c>
      <c r="O106">
        <f>IF($V106="","",Settings!$C$6)</f>
        <v/>
      </c>
      <c r="P106" s="7">
        <f>IF($V106="","",SUMIFS('Per Line'!$R$2:$R$6001,'Per Line'!$C$2:$C$6001,$B106,'Per Line'!$AI$2:$AI$6001,1,'Per Line'!$AJ$2:$AJ$6001,0))</f>
        <v/>
      </c>
      <c r="Q106" s="7">
        <f>IF($V106="","",P106*O106)</f>
        <v/>
      </c>
      <c r="R106" s="7">
        <f>IF($V106="","",Q106+N106)</f>
        <v/>
      </c>
      <c r="S106" s="7">
        <f>IF($V106="","",T106-R106)</f>
        <v/>
      </c>
      <c r="T106" s="7">
        <f>IF($V106="","",M106+P106+K106)</f>
        <v/>
      </c>
      <c r="U106" s="7">
        <f>IF($V106="","",T106-R106-I106)</f>
        <v/>
      </c>
      <c r="V106" s="13">
        <f>IF(ROWS($V$2:$V106)&lt;=MAX('Per Line'!$AH$2:$AH$6001),MATCH(ROWS($V$2:$V106),'Per Line'!$AH$2:$AH$6001,0),"")</f>
        <v/>
      </c>
    </row>
    <row r="107">
      <c r="A107" s="12" t="n"/>
      <c r="B107">
        <f>IF($V107="","",INDEX('Per Line'!$C$2:$C$6001,$V107)&amp;"")</f>
        <v/>
      </c>
      <c r="C107" s="11">
        <f>IF($V107="","",INDEX('Per Line'!$D$2:$D$6001,$V107))</f>
        <v/>
      </c>
      <c r="D107">
        <f>IF($V107="","",INDEX('Per Line'!$E$2:$E$6001,$V107)&amp;"")</f>
        <v/>
      </c>
      <c r="E107">
        <f>IF($V107="","",INDEX('Per Line'!$G$2:$G$6001,$V107)&amp;"")</f>
        <v/>
      </c>
      <c r="F107">
        <f>IF($V107="","",INDEX('Per Line'!$H$2:$H$6001,$V107)&amp;"")</f>
        <v/>
      </c>
      <c r="G107">
        <f>IF($V107="","",INDEX('Per Line'!$I$2:$I$6001,$V107)&amp;"")</f>
        <v/>
      </c>
      <c r="H107">
        <f>IF($V107="","",INDEX('Per Line'!$J$2:$J$6001,$V107))</f>
        <v/>
      </c>
      <c r="I107" s="7">
        <f>IF($V107="","",H107*S107/100)</f>
        <v/>
      </c>
      <c r="J107">
        <f>IF($V107="","",INDEX('Per Line'!$S$2:$S$6001,$V107)&amp;"")</f>
        <v/>
      </c>
      <c r="K107" s="7">
        <f>IF($V107="","",SUMIFS('Per Line'!$R$2:$R$6001,'Per Line'!$C$2:$C$6001,$B107,'Per Line'!$AJ$2:$AJ$6001,1))</f>
        <v/>
      </c>
      <c r="L107">
        <f>IF($V107="","",Settings!$C$7)</f>
        <v/>
      </c>
      <c r="M107" s="7">
        <f>IF($V107="","",SUMIFS('Per Line'!$R$2:$R$6001,'Per Line'!$C$2:$C$6001,$B107,'Per Line'!$AI$2:$AI$6001,0,'Per Line'!$AJ$2:$AJ$6001,0))</f>
        <v/>
      </c>
      <c r="N107" s="7">
        <f>IF($V107="","",M107*L107)</f>
        <v/>
      </c>
      <c r="O107">
        <f>IF($V107="","",Settings!$C$6)</f>
        <v/>
      </c>
      <c r="P107" s="7">
        <f>IF($V107="","",SUMIFS('Per Line'!$R$2:$R$6001,'Per Line'!$C$2:$C$6001,$B107,'Per Line'!$AI$2:$AI$6001,1,'Per Line'!$AJ$2:$AJ$6001,0))</f>
        <v/>
      </c>
      <c r="Q107" s="7">
        <f>IF($V107="","",P107*O107)</f>
        <v/>
      </c>
      <c r="R107" s="7">
        <f>IF($V107="","",Q107+N107)</f>
        <v/>
      </c>
      <c r="S107" s="7">
        <f>IF($V107="","",T107-R107)</f>
        <v/>
      </c>
      <c r="T107" s="7">
        <f>IF($V107="","",M107+P107+K107)</f>
        <v/>
      </c>
      <c r="U107" s="7">
        <f>IF($V107="","",T107-R107-I107)</f>
        <v/>
      </c>
      <c r="V107" s="13">
        <f>IF(ROWS($V$2:$V107)&lt;=MAX('Per Line'!$AH$2:$AH$6001),MATCH(ROWS($V$2:$V107),'Per Line'!$AH$2:$AH$6001,0),"")</f>
        <v/>
      </c>
    </row>
    <row r="108">
      <c r="A108" s="12" t="n"/>
      <c r="B108">
        <f>IF($V108="","",INDEX('Per Line'!$C$2:$C$6001,$V108)&amp;"")</f>
        <v/>
      </c>
      <c r="C108" s="11">
        <f>IF($V108="","",INDEX('Per Line'!$D$2:$D$6001,$V108))</f>
        <v/>
      </c>
      <c r="D108">
        <f>IF($V108="","",INDEX('Per Line'!$E$2:$E$6001,$V108)&amp;"")</f>
        <v/>
      </c>
      <c r="E108">
        <f>IF($V108="","",INDEX('Per Line'!$G$2:$G$6001,$V108)&amp;"")</f>
        <v/>
      </c>
      <c r="F108">
        <f>IF($V108="","",INDEX('Per Line'!$H$2:$H$6001,$V108)&amp;"")</f>
        <v/>
      </c>
      <c r="G108">
        <f>IF($V108="","",INDEX('Per Line'!$I$2:$I$6001,$V108)&amp;"")</f>
        <v/>
      </c>
      <c r="H108">
        <f>IF($V108="","",INDEX('Per Line'!$J$2:$J$6001,$V108))</f>
        <v/>
      </c>
      <c r="I108" s="7">
        <f>IF($V108="","",H108*S108/100)</f>
        <v/>
      </c>
      <c r="J108">
        <f>IF($V108="","",INDEX('Per Line'!$S$2:$S$6001,$V108)&amp;"")</f>
        <v/>
      </c>
      <c r="K108" s="7">
        <f>IF($V108="","",SUMIFS('Per Line'!$R$2:$R$6001,'Per Line'!$C$2:$C$6001,$B108,'Per Line'!$AJ$2:$AJ$6001,1))</f>
        <v/>
      </c>
      <c r="L108">
        <f>IF($V108="","",Settings!$C$7)</f>
        <v/>
      </c>
      <c r="M108" s="7">
        <f>IF($V108="","",SUMIFS('Per Line'!$R$2:$R$6001,'Per Line'!$C$2:$C$6001,$B108,'Per Line'!$AI$2:$AI$6001,0,'Per Line'!$AJ$2:$AJ$6001,0))</f>
        <v/>
      </c>
      <c r="N108" s="7">
        <f>IF($V108="","",M108*L108)</f>
        <v/>
      </c>
      <c r="O108">
        <f>IF($V108="","",Settings!$C$6)</f>
        <v/>
      </c>
      <c r="P108" s="7">
        <f>IF($V108="","",SUMIFS('Per Line'!$R$2:$R$6001,'Per Line'!$C$2:$C$6001,$B108,'Per Line'!$AI$2:$AI$6001,1,'Per Line'!$AJ$2:$AJ$6001,0))</f>
        <v/>
      </c>
      <c r="Q108" s="7">
        <f>IF($V108="","",P108*O108)</f>
        <v/>
      </c>
      <c r="R108" s="7">
        <f>IF($V108="","",Q108+N108)</f>
        <v/>
      </c>
      <c r="S108" s="7">
        <f>IF($V108="","",T108-R108)</f>
        <v/>
      </c>
      <c r="T108" s="7">
        <f>IF($V108="","",M108+P108+K108)</f>
        <v/>
      </c>
      <c r="U108" s="7">
        <f>IF($V108="","",T108-R108-I108)</f>
        <v/>
      </c>
      <c r="V108" s="13">
        <f>IF(ROWS($V$2:$V108)&lt;=MAX('Per Line'!$AH$2:$AH$6001),MATCH(ROWS($V$2:$V108),'Per Line'!$AH$2:$AH$6001,0),"")</f>
        <v/>
      </c>
    </row>
    <row r="109">
      <c r="A109" s="12" t="n"/>
      <c r="B109">
        <f>IF($V109="","",INDEX('Per Line'!$C$2:$C$6001,$V109)&amp;"")</f>
        <v/>
      </c>
      <c r="C109" s="11">
        <f>IF($V109="","",INDEX('Per Line'!$D$2:$D$6001,$V109))</f>
        <v/>
      </c>
      <c r="D109">
        <f>IF($V109="","",INDEX('Per Line'!$E$2:$E$6001,$V109)&amp;"")</f>
        <v/>
      </c>
      <c r="E109">
        <f>IF($V109="","",INDEX('Per Line'!$G$2:$G$6001,$V109)&amp;"")</f>
        <v/>
      </c>
      <c r="F109">
        <f>IF($V109="","",INDEX('Per Line'!$H$2:$H$6001,$V109)&amp;"")</f>
        <v/>
      </c>
      <c r="G109">
        <f>IF($V109="","",INDEX('Per Line'!$I$2:$I$6001,$V109)&amp;"")</f>
        <v/>
      </c>
      <c r="H109">
        <f>IF($V109="","",INDEX('Per Line'!$J$2:$J$6001,$V109))</f>
        <v/>
      </c>
      <c r="I109" s="7">
        <f>IF($V109="","",H109*S109/100)</f>
        <v/>
      </c>
      <c r="J109">
        <f>IF($V109="","",INDEX('Per Line'!$S$2:$S$6001,$V109)&amp;"")</f>
        <v/>
      </c>
      <c r="K109" s="7">
        <f>IF($V109="","",SUMIFS('Per Line'!$R$2:$R$6001,'Per Line'!$C$2:$C$6001,$B109,'Per Line'!$AJ$2:$AJ$6001,1))</f>
        <v/>
      </c>
      <c r="L109">
        <f>IF($V109="","",Settings!$C$7)</f>
        <v/>
      </c>
      <c r="M109" s="7">
        <f>IF($V109="","",SUMIFS('Per Line'!$R$2:$R$6001,'Per Line'!$C$2:$C$6001,$B109,'Per Line'!$AI$2:$AI$6001,0,'Per Line'!$AJ$2:$AJ$6001,0))</f>
        <v/>
      </c>
      <c r="N109" s="7">
        <f>IF($V109="","",M109*L109)</f>
        <v/>
      </c>
      <c r="O109">
        <f>IF($V109="","",Settings!$C$6)</f>
        <v/>
      </c>
      <c r="P109" s="7">
        <f>IF($V109="","",SUMIFS('Per Line'!$R$2:$R$6001,'Per Line'!$C$2:$C$6001,$B109,'Per Line'!$AI$2:$AI$6001,1,'Per Line'!$AJ$2:$AJ$6001,0))</f>
        <v/>
      </c>
      <c r="Q109" s="7">
        <f>IF($V109="","",P109*O109)</f>
        <v/>
      </c>
      <c r="R109" s="7">
        <f>IF($V109="","",Q109+N109)</f>
        <v/>
      </c>
      <c r="S109" s="7">
        <f>IF($V109="","",T109-R109)</f>
        <v/>
      </c>
      <c r="T109" s="7">
        <f>IF($V109="","",M109+P109+K109)</f>
        <v/>
      </c>
      <c r="U109" s="7">
        <f>IF($V109="","",T109-R109-I109)</f>
        <v/>
      </c>
      <c r="V109" s="13">
        <f>IF(ROWS($V$2:$V109)&lt;=MAX('Per Line'!$AH$2:$AH$6001),MATCH(ROWS($V$2:$V109),'Per Line'!$AH$2:$AH$6001,0),"")</f>
        <v/>
      </c>
    </row>
    <row r="110">
      <c r="A110" s="12" t="n"/>
      <c r="B110">
        <f>IF($V110="","",INDEX('Per Line'!$C$2:$C$6001,$V110)&amp;"")</f>
        <v/>
      </c>
      <c r="C110" s="11">
        <f>IF($V110="","",INDEX('Per Line'!$D$2:$D$6001,$V110))</f>
        <v/>
      </c>
      <c r="D110">
        <f>IF($V110="","",INDEX('Per Line'!$E$2:$E$6001,$V110)&amp;"")</f>
        <v/>
      </c>
      <c r="E110">
        <f>IF($V110="","",INDEX('Per Line'!$G$2:$G$6001,$V110)&amp;"")</f>
        <v/>
      </c>
      <c r="F110">
        <f>IF($V110="","",INDEX('Per Line'!$H$2:$H$6001,$V110)&amp;"")</f>
        <v/>
      </c>
      <c r="G110">
        <f>IF($V110="","",INDEX('Per Line'!$I$2:$I$6001,$V110)&amp;"")</f>
        <v/>
      </c>
      <c r="H110">
        <f>IF($V110="","",INDEX('Per Line'!$J$2:$J$6001,$V110))</f>
        <v/>
      </c>
      <c r="I110" s="7">
        <f>IF($V110="","",H110*S110/100)</f>
        <v/>
      </c>
      <c r="J110">
        <f>IF($V110="","",INDEX('Per Line'!$S$2:$S$6001,$V110)&amp;"")</f>
        <v/>
      </c>
      <c r="K110" s="7">
        <f>IF($V110="","",SUMIFS('Per Line'!$R$2:$R$6001,'Per Line'!$C$2:$C$6001,$B110,'Per Line'!$AJ$2:$AJ$6001,1))</f>
        <v/>
      </c>
      <c r="L110">
        <f>IF($V110="","",Settings!$C$7)</f>
        <v/>
      </c>
      <c r="M110" s="7">
        <f>IF($V110="","",SUMIFS('Per Line'!$R$2:$R$6001,'Per Line'!$C$2:$C$6001,$B110,'Per Line'!$AI$2:$AI$6001,0,'Per Line'!$AJ$2:$AJ$6001,0))</f>
        <v/>
      </c>
      <c r="N110" s="7">
        <f>IF($V110="","",M110*L110)</f>
        <v/>
      </c>
      <c r="O110">
        <f>IF($V110="","",Settings!$C$6)</f>
        <v/>
      </c>
      <c r="P110" s="7">
        <f>IF($V110="","",SUMIFS('Per Line'!$R$2:$R$6001,'Per Line'!$C$2:$C$6001,$B110,'Per Line'!$AI$2:$AI$6001,1,'Per Line'!$AJ$2:$AJ$6001,0))</f>
        <v/>
      </c>
      <c r="Q110" s="7">
        <f>IF($V110="","",P110*O110)</f>
        <v/>
      </c>
      <c r="R110" s="7">
        <f>IF($V110="","",Q110+N110)</f>
        <v/>
      </c>
      <c r="S110" s="7">
        <f>IF($V110="","",T110-R110)</f>
        <v/>
      </c>
      <c r="T110" s="7">
        <f>IF($V110="","",M110+P110+K110)</f>
        <v/>
      </c>
      <c r="U110" s="7">
        <f>IF($V110="","",T110-R110-I110)</f>
        <v/>
      </c>
      <c r="V110" s="13">
        <f>IF(ROWS($V$2:$V110)&lt;=MAX('Per Line'!$AH$2:$AH$6001),MATCH(ROWS($V$2:$V110),'Per Line'!$AH$2:$AH$6001,0),"")</f>
        <v/>
      </c>
    </row>
    <row r="111">
      <c r="A111" s="12" t="n"/>
      <c r="B111">
        <f>IF($V111="","",INDEX('Per Line'!$C$2:$C$6001,$V111)&amp;"")</f>
        <v/>
      </c>
      <c r="C111" s="11">
        <f>IF($V111="","",INDEX('Per Line'!$D$2:$D$6001,$V111))</f>
        <v/>
      </c>
      <c r="D111">
        <f>IF($V111="","",INDEX('Per Line'!$E$2:$E$6001,$V111)&amp;"")</f>
        <v/>
      </c>
      <c r="E111">
        <f>IF($V111="","",INDEX('Per Line'!$G$2:$G$6001,$V111)&amp;"")</f>
        <v/>
      </c>
      <c r="F111">
        <f>IF($V111="","",INDEX('Per Line'!$H$2:$H$6001,$V111)&amp;"")</f>
        <v/>
      </c>
      <c r="G111">
        <f>IF($V111="","",INDEX('Per Line'!$I$2:$I$6001,$V111)&amp;"")</f>
        <v/>
      </c>
      <c r="H111">
        <f>IF($V111="","",INDEX('Per Line'!$J$2:$J$6001,$V111))</f>
        <v/>
      </c>
      <c r="I111" s="7">
        <f>IF($V111="","",H111*S111/100)</f>
        <v/>
      </c>
      <c r="J111">
        <f>IF($V111="","",INDEX('Per Line'!$S$2:$S$6001,$V111)&amp;"")</f>
        <v/>
      </c>
      <c r="K111" s="7">
        <f>IF($V111="","",SUMIFS('Per Line'!$R$2:$R$6001,'Per Line'!$C$2:$C$6001,$B111,'Per Line'!$AJ$2:$AJ$6001,1))</f>
        <v/>
      </c>
      <c r="L111">
        <f>IF($V111="","",Settings!$C$7)</f>
        <v/>
      </c>
      <c r="M111" s="7">
        <f>IF($V111="","",SUMIFS('Per Line'!$R$2:$R$6001,'Per Line'!$C$2:$C$6001,$B111,'Per Line'!$AI$2:$AI$6001,0,'Per Line'!$AJ$2:$AJ$6001,0))</f>
        <v/>
      </c>
      <c r="N111" s="7">
        <f>IF($V111="","",M111*L111)</f>
        <v/>
      </c>
      <c r="O111">
        <f>IF($V111="","",Settings!$C$6)</f>
        <v/>
      </c>
      <c r="P111" s="7">
        <f>IF($V111="","",SUMIFS('Per Line'!$R$2:$R$6001,'Per Line'!$C$2:$C$6001,$B111,'Per Line'!$AI$2:$AI$6001,1,'Per Line'!$AJ$2:$AJ$6001,0))</f>
        <v/>
      </c>
      <c r="Q111" s="7">
        <f>IF($V111="","",P111*O111)</f>
        <v/>
      </c>
      <c r="R111" s="7">
        <f>IF($V111="","",Q111+N111)</f>
        <v/>
      </c>
      <c r="S111" s="7">
        <f>IF($V111="","",T111-R111)</f>
        <v/>
      </c>
      <c r="T111" s="7">
        <f>IF($V111="","",M111+P111+K111)</f>
        <v/>
      </c>
      <c r="U111" s="7">
        <f>IF($V111="","",T111-R111-I111)</f>
        <v/>
      </c>
      <c r="V111" s="13">
        <f>IF(ROWS($V$2:$V111)&lt;=MAX('Per Line'!$AH$2:$AH$6001),MATCH(ROWS($V$2:$V111),'Per Line'!$AH$2:$AH$6001,0),"")</f>
        <v/>
      </c>
    </row>
    <row r="112">
      <c r="A112" s="12" t="n"/>
      <c r="B112">
        <f>IF($V112="","",INDEX('Per Line'!$C$2:$C$6001,$V112)&amp;"")</f>
        <v/>
      </c>
      <c r="C112" s="11">
        <f>IF($V112="","",INDEX('Per Line'!$D$2:$D$6001,$V112))</f>
        <v/>
      </c>
      <c r="D112">
        <f>IF($V112="","",INDEX('Per Line'!$E$2:$E$6001,$V112)&amp;"")</f>
        <v/>
      </c>
      <c r="E112">
        <f>IF($V112="","",INDEX('Per Line'!$G$2:$G$6001,$V112)&amp;"")</f>
        <v/>
      </c>
      <c r="F112">
        <f>IF($V112="","",INDEX('Per Line'!$H$2:$H$6001,$V112)&amp;"")</f>
        <v/>
      </c>
      <c r="G112">
        <f>IF($V112="","",INDEX('Per Line'!$I$2:$I$6001,$V112)&amp;"")</f>
        <v/>
      </c>
      <c r="H112">
        <f>IF($V112="","",INDEX('Per Line'!$J$2:$J$6001,$V112))</f>
        <v/>
      </c>
      <c r="I112" s="7">
        <f>IF($V112="","",H112*S112/100)</f>
        <v/>
      </c>
      <c r="J112">
        <f>IF($V112="","",INDEX('Per Line'!$S$2:$S$6001,$V112)&amp;"")</f>
        <v/>
      </c>
      <c r="K112" s="7">
        <f>IF($V112="","",SUMIFS('Per Line'!$R$2:$R$6001,'Per Line'!$C$2:$C$6001,$B112,'Per Line'!$AJ$2:$AJ$6001,1))</f>
        <v/>
      </c>
      <c r="L112">
        <f>IF($V112="","",Settings!$C$7)</f>
        <v/>
      </c>
      <c r="M112" s="7">
        <f>IF($V112="","",SUMIFS('Per Line'!$R$2:$R$6001,'Per Line'!$C$2:$C$6001,$B112,'Per Line'!$AI$2:$AI$6001,0,'Per Line'!$AJ$2:$AJ$6001,0))</f>
        <v/>
      </c>
      <c r="N112" s="7">
        <f>IF($V112="","",M112*L112)</f>
        <v/>
      </c>
      <c r="O112">
        <f>IF($V112="","",Settings!$C$6)</f>
        <v/>
      </c>
      <c r="P112" s="7">
        <f>IF($V112="","",SUMIFS('Per Line'!$R$2:$R$6001,'Per Line'!$C$2:$C$6001,$B112,'Per Line'!$AI$2:$AI$6001,1,'Per Line'!$AJ$2:$AJ$6001,0))</f>
        <v/>
      </c>
      <c r="Q112" s="7">
        <f>IF($V112="","",P112*O112)</f>
        <v/>
      </c>
      <c r="R112" s="7">
        <f>IF($V112="","",Q112+N112)</f>
        <v/>
      </c>
      <c r="S112" s="7">
        <f>IF($V112="","",T112-R112)</f>
        <v/>
      </c>
      <c r="T112" s="7">
        <f>IF($V112="","",M112+P112+K112)</f>
        <v/>
      </c>
      <c r="U112" s="7">
        <f>IF($V112="","",T112-R112-I112)</f>
        <v/>
      </c>
      <c r="V112" s="13">
        <f>IF(ROWS($V$2:$V112)&lt;=MAX('Per Line'!$AH$2:$AH$6001),MATCH(ROWS($V$2:$V112),'Per Line'!$AH$2:$AH$6001,0),"")</f>
        <v/>
      </c>
    </row>
    <row r="113">
      <c r="A113" s="12" t="n"/>
      <c r="B113">
        <f>IF($V113="","",INDEX('Per Line'!$C$2:$C$6001,$V113)&amp;"")</f>
        <v/>
      </c>
      <c r="C113" s="11">
        <f>IF($V113="","",INDEX('Per Line'!$D$2:$D$6001,$V113))</f>
        <v/>
      </c>
      <c r="D113">
        <f>IF($V113="","",INDEX('Per Line'!$E$2:$E$6001,$V113)&amp;"")</f>
        <v/>
      </c>
      <c r="E113">
        <f>IF($V113="","",INDEX('Per Line'!$G$2:$G$6001,$V113)&amp;"")</f>
        <v/>
      </c>
      <c r="F113">
        <f>IF($V113="","",INDEX('Per Line'!$H$2:$H$6001,$V113)&amp;"")</f>
        <v/>
      </c>
      <c r="G113">
        <f>IF($V113="","",INDEX('Per Line'!$I$2:$I$6001,$V113)&amp;"")</f>
        <v/>
      </c>
      <c r="H113">
        <f>IF($V113="","",INDEX('Per Line'!$J$2:$J$6001,$V113))</f>
        <v/>
      </c>
      <c r="I113" s="7">
        <f>IF($V113="","",H113*S113/100)</f>
        <v/>
      </c>
      <c r="J113">
        <f>IF($V113="","",INDEX('Per Line'!$S$2:$S$6001,$V113)&amp;"")</f>
        <v/>
      </c>
      <c r="K113" s="7">
        <f>IF($V113="","",SUMIFS('Per Line'!$R$2:$R$6001,'Per Line'!$C$2:$C$6001,$B113,'Per Line'!$AJ$2:$AJ$6001,1))</f>
        <v/>
      </c>
      <c r="L113">
        <f>IF($V113="","",Settings!$C$7)</f>
        <v/>
      </c>
      <c r="M113" s="7">
        <f>IF($V113="","",SUMIFS('Per Line'!$R$2:$R$6001,'Per Line'!$C$2:$C$6001,$B113,'Per Line'!$AI$2:$AI$6001,0,'Per Line'!$AJ$2:$AJ$6001,0))</f>
        <v/>
      </c>
      <c r="N113" s="7">
        <f>IF($V113="","",M113*L113)</f>
        <v/>
      </c>
      <c r="O113">
        <f>IF($V113="","",Settings!$C$6)</f>
        <v/>
      </c>
      <c r="P113" s="7">
        <f>IF($V113="","",SUMIFS('Per Line'!$R$2:$R$6001,'Per Line'!$C$2:$C$6001,$B113,'Per Line'!$AI$2:$AI$6001,1,'Per Line'!$AJ$2:$AJ$6001,0))</f>
        <v/>
      </c>
      <c r="Q113" s="7">
        <f>IF($V113="","",P113*O113)</f>
        <v/>
      </c>
      <c r="R113" s="7">
        <f>IF($V113="","",Q113+N113)</f>
        <v/>
      </c>
      <c r="S113" s="7">
        <f>IF($V113="","",T113-R113)</f>
        <v/>
      </c>
      <c r="T113" s="7">
        <f>IF($V113="","",M113+P113+K113)</f>
        <v/>
      </c>
      <c r="U113" s="7">
        <f>IF($V113="","",T113-R113-I113)</f>
        <v/>
      </c>
      <c r="V113" s="13">
        <f>IF(ROWS($V$2:$V113)&lt;=MAX('Per Line'!$AH$2:$AH$6001),MATCH(ROWS($V$2:$V113),'Per Line'!$AH$2:$AH$6001,0),"")</f>
        <v/>
      </c>
    </row>
    <row r="114">
      <c r="A114" s="12" t="n"/>
      <c r="B114">
        <f>IF($V114="","",INDEX('Per Line'!$C$2:$C$6001,$V114)&amp;"")</f>
        <v/>
      </c>
      <c r="C114" s="11">
        <f>IF($V114="","",INDEX('Per Line'!$D$2:$D$6001,$V114))</f>
        <v/>
      </c>
      <c r="D114">
        <f>IF($V114="","",INDEX('Per Line'!$E$2:$E$6001,$V114)&amp;"")</f>
        <v/>
      </c>
      <c r="E114">
        <f>IF($V114="","",INDEX('Per Line'!$G$2:$G$6001,$V114)&amp;"")</f>
        <v/>
      </c>
      <c r="F114">
        <f>IF($V114="","",INDEX('Per Line'!$H$2:$H$6001,$V114)&amp;"")</f>
        <v/>
      </c>
      <c r="G114">
        <f>IF($V114="","",INDEX('Per Line'!$I$2:$I$6001,$V114)&amp;"")</f>
        <v/>
      </c>
      <c r="H114">
        <f>IF($V114="","",INDEX('Per Line'!$J$2:$J$6001,$V114))</f>
        <v/>
      </c>
      <c r="I114" s="7">
        <f>IF($V114="","",H114*S114/100)</f>
        <v/>
      </c>
      <c r="J114">
        <f>IF($V114="","",INDEX('Per Line'!$S$2:$S$6001,$V114)&amp;"")</f>
        <v/>
      </c>
      <c r="K114" s="7">
        <f>IF($V114="","",SUMIFS('Per Line'!$R$2:$R$6001,'Per Line'!$C$2:$C$6001,$B114,'Per Line'!$AJ$2:$AJ$6001,1))</f>
        <v/>
      </c>
      <c r="L114">
        <f>IF($V114="","",Settings!$C$7)</f>
        <v/>
      </c>
      <c r="M114" s="7">
        <f>IF($V114="","",SUMIFS('Per Line'!$R$2:$R$6001,'Per Line'!$C$2:$C$6001,$B114,'Per Line'!$AI$2:$AI$6001,0,'Per Line'!$AJ$2:$AJ$6001,0))</f>
        <v/>
      </c>
      <c r="N114" s="7">
        <f>IF($V114="","",M114*L114)</f>
        <v/>
      </c>
      <c r="O114">
        <f>IF($V114="","",Settings!$C$6)</f>
        <v/>
      </c>
      <c r="P114" s="7">
        <f>IF($V114="","",SUMIFS('Per Line'!$R$2:$R$6001,'Per Line'!$C$2:$C$6001,$B114,'Per Line'!$AI$2:$AI$6001,1,'Per Line'!$AJ$2:$AJ$6001,0))</f>
        <v/>
      </c>
      <c r="Q114" s="7">
        <f>IF($V114="","",P114*O114)</f>
        <v/>
      </c>
      <c r="R114" s="7">
        <f>IF($V114="","",Q114+N114)</f>
        <v/>
      </c>
      <c r="S114" s="7">
        <f>IF($V114="","",T114-R114)</f>
        <v/>
      </c>
      <c r="T114" s="7">
        <f>IF($V114="","",M114+P114+K114)</f>
        <v/>
      </c>
      <c r="U114" s="7">
        <f>IF($V114="","",T114-R114-I114)</f>
        <v/>
      </c>
      <c r="V114" s="13">
        <f>IF(ROWS($V$2:$V114)&lt;=MAX('Per Line'!$AH$2:$AH$6001),MATCH(ROWS($V$2:$V114),'Per Line'!$AH$2:$AH$6001,0),"")</f>
        <v/>
      </c>
    </row>
    <row r="115">
      <c r="A115" s="12" t="n"/>
      <c r="B115">
        <f>IF($V115="","",INDEX('Per Line'!$C$2:$C$6001,$V115)&amp;"")</f>
        <v/>
      </c>
      <c r="C115" s="11">
        <f>IF($V115="","",INDEX('Per Line'!$D$2:$D$6001,$V115))</f>
        <v/>
      </c>
      <c r="D115">
        <f>IF($V115="","",INDEX('Per Line'!$E$2:$E$6001,$V115)&amp;"")</f>
        <v/>
      </c>
      <c r="E115">
        <f>IF($V115="","",INDEX('Per Line'!$G$2:$G$6001,$V115)&amp;"")</f>
        <v/>
      </c>
      <c r="F115">
        <f>IF($V115="","",INDEX('Per Line'!$H$2:$H$6001,$V115)&amp;"")</f>
        <v/>
      </c>
      <c r="G115">
        <f>IF($V115="","",INDEX('Per Line'!$I$2:$I$6001,$V115)&amp;"")</f>
        <v/>
      </c>
      <c r="H115">
        <f>IF($V115="","",INDEX('Per Line'!$J$2:$J$6001,$V115))</f>
        <v/>
      </c>
      <c r="I115" s="7">
        <f>IF($V115="","",H115*S115/100)</f>
        <v/>
      </c>
      <c r="J115">
        <f>IF($V115="","",INDEX('Per Line'!$S$2:$S$6001,$V115)&amp;"")</f>
        <v/>
      </c>
      <c r="K115" s="7">
        <f>IF($V115="","",SUMIFS('Per Line'!$R$2:$R$6001,'Per Line'!$C$2:$C$6001,$B115,'Per Line'!$AJ$2:$AJ$6001,1))</f>
        <v/>
      </c>
      <c r="L115">
        <f>IF($V115="","",Settings!$C$7)</f>
        <v/>
      </c>
      <c r="M115" s="7">
        <f>IF($V115="","",SUMIFS('Per Line'!$R$2:$R$6001,'Per Line'!$C$2:$C$6001,$B115,'Per Line'!$AI$2:$AI$6001,0,'Per Line'!$AJ$2:$AJ$6001,0))</f>
        <v/>
      </c>
      <c r="N115" s="7">
        <f>IF($V115="","",M115*L115)</f>
        <v/>
      </c>
      <c r="O115">
        <f>IF($V115="","",Settings!$C$6)</f>
        <v/>
      </c>
      <c r="P115" s="7">
        <f>IF($V115="","",SUMIFS('Per Line'!$R$2:$R$6001,'Per Line'!$C$2:$C$6001,$B115,'Per Line'!$AI$2:$AI$6001,1,'Per Line'!$AJ$2:$AJ$6001,0))</f>
        <v/>
      </c>
      <c r="Q115" s="7">
        <f>IF($V115="","",P115*O115)</f>
        <v/>
      </c>
      <c r="R115" s="7">
        <f>IF($V115="","",Q115+N115)</f>
        <v/>
      </c>
      <c r="S115" s="7">
        <f>IF($V115="","",T115-R115)</f>
        <v/>
      </c>
      <c r="T115" s="7">
        <f>IF($V115="","",M115+P115+K115)</f>
        <v/>
      </c>
      <c r="U115" s="7">
        <f>IF($V115="","",T115-R115-I115)</f>
        <v/>
      </c>
      <c r="V115" s="13">
        <f>IF(ROWS($V$2:$V115)&lt;=MAX('Per Line'!$AH$2:$AH$6001),MATCH(ROWS($V$2:$V115),'Per Line'!$AH$2:$AH$6001,0),"")</f>
        <v/>
      </c>
    </row>
    <row r="116">
      <c r="A116" s="12" t="n"/>
      <c r="B116">
        <f>IF($V116="","",INDEX('Per Line'!$C$2:$C$6001,$V116)&amp;"")</f>
        <v/>
      </c>
      <c r="C116" s="11">
        <f>IF($V116="","",INDEX('Per Line'!$D$2:$D$6001,$V116))</f>
        <v/>
      </c>
      <c r="D116">
        <f>IF($V116="","",INDEX('Per Line'!$E$2:$E$6001,$V116)&amp;"")</f>
        <v/>
      </c>
      <c r="E116">
        <f>IF($V116="","",INDEX('Per Line'!$G$2:$G$6001,$V116)&amp;"")</f>
        <v/>
      </c>
      <c r="F116">
        <f>IF($V116="","",INDEX('Per Line'!$H$2:$H$6001,$V116)&amp;"")</f>
        <v/>
      </c>
      <c r="G116">
        <f>IF($V116="","",INDEX('Per Line'!$I$2:$I$6001,$V116)&amp;"")</f>
        <v/>
      </c>
      <c r="H116">
        <f>IF($V116="","",INDEX('Per Line'!$J$2:$J$6001,$V116))</f>
        <v/>
      </c>
      <c r="I116" s="7">
        <f>IF($V116="","",H116*S116/100)</f>
        <v/>
      </c>
      <c r="J116">
        <f>IF($V116="","",INDEX('Per Line'!$S$2:$S$6001,$V116)&amp;"")</f>
        <v/>
      </c>
      <c r="K116" s="7">
        <f>IF($V116="","",SUMIFS('Per Line'!$R$2:$R$6001,'Per Line'!$C$2:$C$6001,$B116,'Per Line'!$AJ$2:$AJ$6001,1))</f>
        <v/>
      </c>
      <c r="L116">
        <f>IF($V116="","",Settings!$C$7)</f>
        <v/>
      </c>
      <c r="M116" s="7">
        <f>IF($V116="","",SUMIFS('Per Line'!$R$2:$R$6001,'Per Line'!$C$2:$C$6001,$B116,'Per Line'!$AI$2:$AI$6001,0,'Per Line'!$AJ$2:$AJ$6001,0))</f>
        <v/>
      </c>
      <c r="N116" s="7">
        <f>IF($V116="","",M116*L116)</f>
        <v/>
      </c>
      <c r="O116">
        <f>IF($V116="","",Settings!$C$6)</f>
        <v/>
      </c>
      <c r="P116" s="7">
        <f>IF($V116="","",SUMIFS('Per Line'!$R$2:$R$6001,'Per Line'!$C$2:$C$6001,$B116,'Per Line'!$AI$2:$AI$6001,1,'Per Line'!$AJ$2:$AJ$6001,0))</f>
        <v/>
      </c>
      <c r="Q116" s="7">
        <f>IF($V116="","",P116*O116)</f>
        <v/>
      </c>
      <c r="R116" s="7">
        <f>IF($V116="","",Q116+N116)</f>
        <v/>
      </c>
      <c r="S116" s="7">
        <f>IF($V116="","",T116-R116)</f>
        <v/>
      </c>
      <c r="T116" s="7">
        <f>IF($V116="","",M116+P116+K116)</f>
        <v/>
      </c>
      <c r="U116" s="7">
        <f>IF($V116="","",T116-R116-I116)</f>
        <v/>
      </c>
      <c r="V116" s="13">
        <f>IF(ROWS($V$2:$V116)&lt;=MAX('Per Line'!$AH$2:$AH$6001),MATCH(ROWS($V$2:$V116),'Per Line'!$AH$2:$AH$6001,0),"")</f>
        <v/>
      </c>
    </row>
    <row r="117">
      <c r="A117" s="12" t="n"/>
      <c r="B117">
        <f>IF($V117="","",INDEX('Per Line'!$C$2:$C$6001,$V117)&amp;"")</f>
        <v/>
      </c>
      <c r="C117" s="11">
        <f>IF($V117="","",INDEX('Per Line'!$D$2:$D$6001,$V117))</f>
        <v/>
      </c>
      <c r="D117">
        <f>IF($V117="","",INDEX('Per Line'!$E$2:$E$6001,$V117)&amp;"")</f>
        <v/>
      </c>
      <c r="E117">
        <f>IF($V117="","",INDEX('Per Line'!$G$2:$G$6001,$V117)&amp;"")</f>
        <v/>
      </c>
      <c r="F117">
        <f>IF($V117="","",INDEX('Per Line'!$H$2:$H$6001,$V117)&amp;"")</f>
        <v/>
      </c>
      <c r="G117">
        <f>IF($V117="","",INDEX('Per Line'!$I$2:$I$6001,$V117)&amp;"")</f>
        <v/>
      </c>
      <c r="H117">
        <f>IF($V117="","",INDEX('Per Line'!$J$2:$J$6001,$V117))</f>
        <v/>
      </c>
      <c r="I117" s="7">
        <f>IF($V117="","",H117*S117/100)</f>
        <v/>
      </c>
      <c r="J117">
        <f>IF($V117="","",INDEX('Per Line'!$S$2:$S$6001,$V117)&amp;"")</f>
        <v/>
      </c>
      <c r="K117" s="7">
        <f>IF($V117="","",SUMIFS('Per Line'!$R$2:$R$6001,'Per Line'!$C$2:$C$6001,$B117,'Per Line'!$AJ$2:$AJ$6001,1))</f>
        <v/>
      </c>
      <c r="L117">
        <f>IF($V117="","",Settings!$C$7)</f>
        <v/>
      </c>
      <c r="M117" s="7">
        <f>IF($V117="","",SUMIFS('Per Line'!$R$2:$R$6001,'Per Line'!$C$2:$C$6001,$B117,'Per Line'!$AI$2:$AI$6001,0,'Per Line'!$AJ$2:$AJ$6001,0))</f>
        <v/>
      </c>
      <c r="N117" s="7">
        <f>IF($V117="","",M117*L117)</f>
        <v/>
      </c>
      <c r="O117">
        <f>IF($V117="","",Settings!$C$6)</f>
        <v/>
      </c>
      <c r="P117" s="7">
        <f>IF($V117="","",SUMIFS('Per Line'!$R$2:$R$6001,'Per Line'!$C$2:$C$6001,$B117,'Per Line'!$AI$2:$AI$6001,1,'Per Line'!$AJ$2:$AJ$6001,0))</f>
        <v/>
      </c>
      <c r="Q117" s="7">
        <f>IF($V117="","",P117*O117)</f>
        <v/>
      </c>
      <c r="R117" s="7">
        <f>IF($V117="","",Q117+N117)</f>
        <v/>
      </c>
      <c r="S117" s="7">
        <f>IF($V117="","",T117-R117)</f>
        <v/>
      </c>
      <c r="T117" s="7">
        <f>IF($V117="","",M117+P117+K117)</f>
        <v/>
      </c>
      <c r="U117" s="7">
        <f>IF($V117="","",T117-R117-I117)</f>
        <v/>
      </c>
      <c r="V117" s="13">
        <f>IF(ROWS($V$2:$V117)&lt;=MAX('Per Line'!$AH$2:$AH$6001),MATCH(ROWS($V$2:$V117),'Per Line'!$AH$2:$AH$6001,0),"")</f>
        <v/>
      </c>
    </row>
    <row r="118">
      <c r="A118" s="12" t="n"/>
      <c r="B118">
        <f>IF($V118="","",INDEX('Per Line'!$C$2:$C$6001,$V118)&amp;"")</f>
        <v/>
      </c>
      <c r="C118" s="11">
        <f>IF($V118="","",INDEX('Per Line'!$D$2:$D$6001,$V118))</f>
        <v/>
      </c>
      <c r="D118">
        <f>IF($V118="","",INDEX('Per Line'!$E$2:$E$6001,$V118)&amp;"")</f>
        <v/>
      </c>
      <c r="E118">
        <f>IF($V118="","",INDEX('Per Line'!$G$2:$G$6001,$V118)&amp;"")</f>
        <v/>
      </c>
      <c r="F118">
        <f>IF($V118="","",INDEX('Per Line'!$H$2:$H$6001,$V118)&amp;"")</f>
        <v/>
      </c>
      <c r="G118">
        <f>IF($V118="","",INDEX('Per Line'!$I$2:$I$6001,$V118)&amp;"")</f>
        <v/>
      </c>
      <c r="H118">
        <f>IF($V118="","",INDEX('Per Line'!$J$2:$J$6001,$V118))</f>
        <v/>
      </c>
      <c r="I118" s="7">
        <f>IF($V118="","",H118*S118/100)</f>
        <v/>
      </c>
      <c r="J118">
        <f>IF($V118="","",INDEX('Per Line'!$S$2:$S$6001,$V118)&amp;"")</f>
        <v/>
      </c>
      <c r="K118" s="7">
        <f>IF($V118="","",SUMIFS('Per Line'!$R$2:$R$6001,'Per Line'!$C$2:$C$6001,$B118,'Per Line'!$AJ$2:$AJ$6001,1))</f>
        <v/>
      </c>
      <c r="L118">
        <f>IF($V118="","",Settings!$C$7)</f>
        <v/>
      </c>
      <c r="M118" s="7">
        <f>IF($V118="","",SUMIFS('Per Line'!$R$2:$R$6001,'Per Line'!$C$2:$C$6001,$B118,'Per Line'!$AI$2:$AI$6001,0,'Per Line'!$AJ$2:$AJ$6001,0))</f>
        <v/>
      </c>
      <c r="N118" s="7">
        <f>IF($V118="","",M118*L118)</f>
        <v/>
      </c>
      <c r="O118">
        <f>IF($V118="","",Settings!$C$6)</f>
        <v/>
      </c>
      <c r="P118" s="7">
        <f>IF($V118="","",SUMIFS('Per Line'!$R$2:$R$6001,'Per Line'!$C$2:$C$6001,$B118,'Per Line'!$AI$2:$AI$6001,1,'Per Line'!$AJ$2:$AJ$6001,0))</f>
        <v/>
      </c>
      <c r="Q118" s="7">
        <f>IF($V118="","",P118*O118)</f>
        <v/>
      </c>
      <c r="R118" s="7">
        <f>IF($V118="","",Q118+N118)</f>
        <v/>
      </c>
      <c r="S118" s="7">
        <f>IF($V118="","",T118-R118)</f>
        <v/>
      </c>
      <c r="T118" s="7">
        <f>IF($V118="","",M118+P118+K118)</f>
        <v/>
      </c>
      <c r="U118" s="7">
        <f>IF($V118="","",T118-R118-I118)</f>
        <v/>
      </c>
      <c r="V118" s="13">
        <f>IF(ROWS($V$2:$V118)&lt;=MAX('Per Line'!$AH$2:$AH$6001),MATCH(ROWS($V$2:$V118),'Per Line'!$AH$2:$AH$6001,0),"")</f>
        <v/>
      </c>
    </row>
    <row r="119">
      <c r="A119" s="12" t="n"/>
      <c r="B119">
        <f>IF($V119="","",INDEX('Per Line'!$C$2:$C$6001,$V119)&amp;"")</f>
        <v/>
      </c>
      <c r="C119" s="11">
        <f>IF($V119="","",INDEX('Per Line'!$D$2:$D$6001,$V119))</f>
        <v/>
      </c>
      <c r="D119">
        <f>IF($V119="","",INDEX('Per Line'!$E$2:$E$6001,$V119)&amp;"")</f>
        <v/>
      </c>
      <c r="E119">
        <f>IF($V119="","",INDEX('Per Line'!$G$2:$G$6001,$V119)&amp;"")</f>
        <v/>
      </c>
      <c r="F119">
        <f>IF($V119="","",INDEX('Per Line'!$H$2:$H$6001,$V119)&amp;"")</f>
        <v/>
      </c>
      <c r="G119">
        <f>IF($V119="","",INDEX('Per Line'!$I$2:$I$6001,$V119)&amp;"")</f>
        <v/>
      </c>
      <c r="H119">
        <f>IF($V119="","",INDEX('Per Line'!$J$2:$J$6001,$V119))</f>
        <v/>
      </c>
      <c r="I119" s="7">
        <f>IF($V119="","",H119*S119/100)</f>
        <v/>
      </c>
      <c r="J119">
        <f>IF($V119="","",INDEX('Per Line'!$S$2:$S$6001,$V119)&amp;"")</f>
        <v/>
      </c>
      <c r="K119" s="7">
        <f>IF($V119="","",SUMIFS('Per Line'!$R$2:$R$6001,'Per Line'!$C$2:$C$6001,$B119,'Per Line'!$AJ$2:$AJ$6001,1))</f>
        <v/>
      </c>
      <c r="L119">
        <f>IF($V119="","",Settings!$C$7)</f>
        <v/>
      </c>
      <c r="M119" s="7">
        <f>IF($V119="","",SUMIFS('Per Line'!$R$2:$R$6001,'Per Line'!$C$2:$C$6001,$B119,'Per Line'!$AI$2:$AI$6001,0,'Per Line'!$AJ$2:$AJ$6001,0))</f>
        <v/>
      </c>
      <c r="N119" s="7">
        <f>IF($V119="","",M119*L119)</f>
        <v/>
      </c>
      <c r="O119">
        <f>IF($V119="","",Settings!$C$6)</f>
        <v/>
      </c>
      <c r="P119" s="7">
        <f>IF($V119="","",SUMIFS('Per Line'!$R$2:$R$6001,'Per Line'!$C$2:$C$6001,$B119,'Per Line'!$AI$2:$AI$6001,1,'Per Line'!$AJ$2:$AJ$6001,0))</f>
        <v/>
      </c>
      <c r="Q119" s="7">
        <f>IF($V119="","",P119*O119)</f>
        <v/>
      </c>
      <c r="R119" s="7">
        <f>IF($V119="","",Q119+N119)</f>
        <v/>
      </c>
      <c r="S119" s="7">
        <f>IF($V119="","",T119-R119)</f>
        <v/>
      </c>
      <c r="T119" s="7">
        <f>IF($V119="","",M119+P119+K119)</f>
        <v/>
      </c>
      <c r="U119" s="7">
        <f>IF($V119="","",T119-R119-I119)</f>
        <v/>
      </c>
      <c r="V119" s="13">
        <f>IF(ROWS($V$2:$V119)&lt;=MAX('Per Line'!$AH$2:$AH$6001),MATCH(ROWS($V$2:$V119),'Per Line'!$AH$2:$AH$6001,0),"")</f>
        <v/>
      </c>
    </row>
    <row r="120">
      <c r="A120" s="12" t="n"/>
      <c r="B120">
        <f>IF($V120="","",INDEX('Per Line'!$C$2:$C$6001,$V120)&amp;"")</f>
        <v/>
      </c>
      <c r="C120" s="11">
        <f>IF($V120="","",INDEX('Per Line'!$D$2:$D$6001,$V120))</f>
        <v/>
      </c>
      <c r="D120">
        <f>IF($V120="","",INDEX('Per Line'!$E$2:$E$6001,$V120)&amp;"")</f>
        <v/>
      </c>
      <c r="E120">
        <f>IF($V120="","",INDEX('Per Line'!$G$2:$G$6001,$V120)&amp;"")</f>
        <v/>
      </c>
      <c r="F120">
        <f>IF($V120="","",INDEX('Per Line'!$H$2:$H$6001,$V120)&amp;"")</f>
        <v/>
      </c>
      <c r="G120">
        <f>IF($V120="","",INDEX('Per Line'!$I$2:$I$6001,$V120)&amp;"")</f>
        <v/>
      </c>
      <c r="H120">
        <f>IF($V120="","",INDEX('Per Line'!$J$2:$J$6001,$V120))</f>
        <v/>
      </c>
      <c r="I120" s="7">
        <f>IF($V120="","",H120*S120/100)</f>
        <v/>
      </c>
      <c r="J120">
        <f>IF($V120="","",INDEX('Per Line'!$S$2:$S$6001,$V120)&amp;"")</f>
        <v/>
      </c>
      <c r="K120" s="7">
        <f>IF($V120="","",SUMIFS('Per Line'!$R$2:$R$6001,'Per Line'!$C$2:$C$6001,$B120,'Per Line'!$AJ$2:$AJ$6001,1))</f>
        <v/>
      </c>
      <c r="L120">
        <f>IF($V120="","",Settings!$C$7)</f>
        <v/>
      </c>
      <c r="M120" s="7">
        <f>IF($V120="","",SUMIFS('Per Line'!$R$2:$R$6001,'Per Line'!$C$2:$C$6001,$B120,'Per Line'!$AI$2:$AI$6001,0,'Per Line'!$AJ$2:$AJ$6001,0))</f>
        <v/>
      </c>
      <c r="N120" s="7">
        <f>IF($V120="","",M120*L120)</f>
        <v/>
      </c>
      <c r="O120">
        <f>IF($V120="","",Settings!$C$6)</f>
        <v/>
      </c>
      <c r="P120" s="7">
        <f>IF($V120="","",SUMIFS('Per Line'!$R$2:$R$6001,'Per Line'!$C$2:$C$6001,$B120,'Per Line'!$AI$2:$AI$6001,1,'Per Line'!$AJ$2:$AJ$6001,0))</f>
        <v/>
      </c>
      <c r="Q120" s="7">
        <f>IF($V120="","",P120*O120)</f>
        <v/>
      </c>
      <c r="R120" s="7">
        <f>IF($V120="","",Q120+N120)</f>
        <v/>
      </c>
      <c r="S120" s="7">
        <f>IF($V120="","",T120-R120)</f>
        <v/>
      </c>
      <c r="T120" s="7">
        <f>IF($V120="","",M120+P120+K120)</f>
        <v/>
      </c>
      <c r="U120" s="7">
        <f>IF($V120="","",T120-R120-I120)</f>
        <v/>
      </c>
      <c r="V120" s="13">
        <f>IF(ROWS($V$2:$V120)&lt;=MAX('Per Line'!$AH$2:$AH$6001),MATCH(ROWS($V$2:$V120),'Per Line'!$AH$2:$AH$6001,0),"")</f>
        <v/>
      </c>
    </row>
    <row r="121">
      <c r="A121" s="12" t="n"/>
      <c r="B121">
        <f>IF($V121="","",INDEX('Per Line'!$C$2:$C$6001,$V121)&amp;"")</f>
        <v/>
      </c>
      <c r="C121" s="11">
        <f>IF($V121="","",INDEX('Per Line'!$D$2:$D$6001,$V121))</f>
        <v/>
      </c>
      <c r="D121">
        <f>IF($V121="","",INDEX('Per Line'!$E$2:$E$6001,$V121)&amp;"")</f>
        <v/>
      </c>
      <c r="E121">
        <f>IF($V121="","",INDEX('Per Line'!$G$2:$G$6001,$V121)&amp;"")</f>
        <v/>
      </c>
      <c r="F121">
        <f>IF($V121="","",INDEX('Per Line'!$H$2:$H$6001,$V121)&amp;"")</f>
        <v/>
      </c>
      <c r="G121">
        <f>IF($V121="","",INDEX('Per Line'!$I$2:$I$6001,$V121)&amp;"")</f>
        <v/>
      </c>
      <c r="H121">
        <f>IF($V121="","",INDEX('Per Line'!$J$2:$J$6001,$V121))</f>
        <v/>
      </c>
      <c r="I121" s="7">
        <f>IF($V121="","",H121*S121/100)</f>
        <v/>
      </c>
      <c r="J121">
        <f>IF($V121="","",INDEX('Per Line'!$S$2:$S$6001,$V121)&amp;"")</f>
        <v/>
      </c>
      <c r="K121" s="7">
        <f>IF($V121="","",SUMIFS('Per Line'!$R$2:$R$6001,'Per Line'!$C$2:$C$6001,$B121,'Per Line'!$AJ$2:$AJ$6001,1))</f>
        <v/>
      </c>
      <c r="L121">
        <f>IF($V121="","",Settings!$C$7)</f>
        <v/>
      </c>
      <c r="M121" s="7">
        <f>IF($V121="","",SUMIFS('Per Line'!$R$2:$R$6001,'Per Line'!$C$2:$C$6001,$B121,'Per Line'!$AI$2:$AI$6001,0,'Per Line'!$AJ$2:$AJ$6001,0))</f>
        <v/>
      </c>
      <c r="N121" s="7">
        <f>IF($V121="","",M121*L121)</f>
        <v/>
      </c>
      <c r="O121">
        <f>IF($V121="","",Settings!$C$6)</f>
        <v/>
      </c>
      <c r="P121" s="7">
        <f>IF($V121="","",SUMIFS('Per Line'!$R$2:$R$6001,'Per Line'!$C$2:$C$6001,$B121,'Per Line'!$AI$2:$AI$6001,1,'Per Line'!$AJ$2:$AJ$6001,0))</f>
        <v/>
      </c>
      <c r="Q121" s="7">
        <f>IF($V121="","",P121*O121)</f>
        <v/>
      </c>
      <c r="R121" s="7">
        <f>IF($V121="","",Q121+N121)</f>
        <v/>
      </c>
      <c r="S121" s="7">
        <f>IF($V121="","",T121-R121)</f>
        <v/>
      </c>
      <c r="T121" s="7">
        <f>IF($V121="","",M121+P121+K121)</f>
        <v/>
      </c>
      <c r="U121" s="7">
        <f>IF($V121="","",T121-R121-I121)</f>
        <v/>
      </c>
      <c r="V121" s="13">
        <f>IF(ROWS($V$2:$V121)&lt;=MAX('Per Line'!$AH$2:$AH$6001),MATCH(ROWS($V$2:$V121),'Per Line'!$AH$2:$AH$6001,0),"")</f>
        <v/>
      </c>
    </row>
    <row r="122">
      <c r="A122" s="12" t="n"/>
      <c r="B122">
        <f>IF($V122="","",INDEX('Per Line'!$C$2:$C$6001,$V122)&amp;"")</f>
        <v/>
      </c>
      <c r="C122" s="11">
        <f>IF($V122="","",INDEX('Per Line'!$D$2:$D$6001,$V122))</f>
        <v/>
      </c>
      <c r="D122">
        <f>IF($V122="","",INDEX('Per Line'!$E$2:$E$6001,$V122)&amp;"")</f>
        <v/>
      </c>
      <c r="E122">
        <f>IF($V122="","",INDEX('Per Line'!$G$2:$G$6001,$V122)&amp;"")</f>
        <v/>
      </c>
      <c r="F122">
        <f>IF($V122="","",INDEX('Per Line'!$H$2:$H$6001,$V122)&amp;"")</f>
        <v/>
      </c>
      <c r="G122">
        <f>IF($V122="","",INDEX('Per Line'!$I$2:$I$6001,$V122)&amp;"")</f>
        <v/>
      </c>
      <c r="H122">
        <f>IF($V122="","",INDEX('Per Line'!$J$2:$J$6001,$V122))</f>
        <v/>
      </c>
      <c r="I122" s="7">
        <f>IF($V122="","",H122*S122/100)</f>
        <v/>
      </c>
      <c r="J122">
        <f>IF($V122="","",INDEX('Per Line'!$S$2:$S$6001,$V122)&amp;"")</f>
        <v/>
      </c>
      <c r="K122" s="7">
        <f>IF($V122="","",SUMIFS('Per Line'!$R$2:$R$6001,'Per Line'!$C$2:$C$6001,$B122,'Per Line'!$AJ$2:$AJ$6001,1))</f>
        <v/>
      </c>
      <c r="L122">
        <f>IF($V122="","",Settings!$C$7)</f>
        <v/>
      </c>
      <c r="M122" s="7">
        <f>IF($V122="","",SUMIFS('Per Line'!$R$2:$R$6001,'Per Line'!$C$2:$C$6001,$B122,'Per Line'!$AI$2:$AI$6001,0,'Per Line'!$AJ$2:$AJ$6001,0))</f>
        <v/>
      </c>
      <c r="N122" s="7">
        <f>IF($V122="","",M122*L122)</f>
        <v/>
      </c>
      <c r="O122">
        <f>IF($V122="","",Settings!$C$6)</f>
        <v/>
      </c>
      <c r="P122" s="7">
        <f>IF($V122="","",SUMIFS('Per Line'!$R$2:$R$6001,'Per Line'!$C$2:$C$6001,$B122,'Per Line'!$AI$2:$AI$6001,1,'Per Line'!$AJ$2:$AJ$6001,0))</f>
        <v/>
      </c>
      <c r="Q122" s="7">
        <f>IF($V122="","",P122*O122)</f>
        <v/>
      </c>
      <c r="R122" s="7">
        <f>IF($V122="","",Q122+N122)</f>
        <v/>
      </c>
      <c r="S122" s="7">
        <f>IF($V122="","",T122-R122)</f>
        <v/>
      </c>
      <c r="T122" s="7">
        <f>IF($V122="","",M122+P122+K122)</f>
        <v/>
      </c>
      <c r="U122" s="7">
        <f>IF($V122="","",T122-R122-I122)</f>
        <v/>
      </c>
      <c r="V122" s="13">
        <f>IF(ROWS($V$2:$V122)&lt;=MAX('Per Line'!$AH$2:$AH$6001),MATCH(ROWS($V$2:$V122),'Per Line'!$AH$2:$AH$6001,0),"")</f>
        <v/>
      </c>
    </row>
    <row r="123">
      <c r="A123" s="12" t="n"/>
      <c r="B123">
        <f>IF($V123="","",INDEX('Per Line'!$C$2:$C$6001,$V123)&amp;"")</f>
        <v/>
      </c>
      <c r="C123" s="11">
        <f>IF($V123="","",INDEX('Per Line'!$D$2:$D$6001,$V123))</f>
        <v/>
      </c>
      <c r="D123">
        <f>IF($V123="","",INDEX('Per Line'!$E$2:$E$6001,$V123)&amp;"")</f>
        <v/>
      </c>
      <c r="E123">
        <f>IF($V123="","",INDEX('Per Line'!$G$2:$G$6001,$V123)&amp;"")</f>
        <v/>
      </c>
      <c r="F123">
        <f>IF($V123="","",INDEX('Per Line'!$H$2:$H$6001,$V123)&amp;"")</f>
        <v/>
      </c>
      <c r="G123">
        <f>IF($V123="","",INDEX('Per Line'!$I$2:$I$6001,$V123)&amp;"")</f>
        <v/>
      </c>
      <c r="H123">
        <f>IF($V123="","",INDEX('Per Line'!$J$2:$J$6001,$V123))</f>
        <v/>
      </c>
      <c r="I123" s="7">
        <f>IF($V123="","",H123*S123/100)</f>
        <v/>
      </c>
      <c r="J123">
        <f>IF($V123="","",INDEX('Per Line'!$S$2:$S$6001,$V123)&amp;"")</f>
        <v/>
      </c>
      <c r="K123" s="7">
        <f>IF($V123="","",SUMIFS('Per Line'!$R$2:$R$6001,'Per Line'!$C$2:$C$6001,$B123,'Per Line'!$AJ$2:$AJ$6001,1))</f>
        <v/>
      </c>
      <c r="L123">
        <f>IF($V123="","",Settings!$C$7)</f>
        <v/>
      </c>
      <c r="M123" s="7">
        <f>IF($V123="","",SUMIFS('Per Line'!$R$2:$R$6001,'Per Line'!$C$2:$C$6001,$B123,'Per Line'!$AI$2:$AI$6001,0,'Per Line'!$AJ$2:$AJ$6001,0))</f>
        <v/>
      </c>
      <c r="N123" s="7">
        <f>IF($V123="","",M123*L123)</f>
        <v/>
      </c>
      <c r="O123">
        <f>IF($V123="","",Settings!$C$6)</f>
        <v/>
      </c>
      <c r="P123" s="7">
        <f>IF($V123="","",SUMIFS('Per Line'!$R$2:$R$6001,'Per Line'!$C$2:$C$6001,$B123,'Per Line'!$AI$2:$AI$6001,1,'Per Line'!$AJ$2:$AJ$6001,0))</f>
        <v/>
      </c>
      <c r="Q123" s="7">
        <f>IF($V123="","",P123*O123)</f>
        <v/>
      </c>
      <c r="R123" s="7">
        <f>IF($V123="","",Q123+N123)</f>
        <v/>
      </c>
      <c r="S123" s="7">
        <f>IF($V123="","",T123-R123)</f>
        <v/>
      </c>
      <c r="T123" s="7">
        <f>IF($V123="","",M123+P123+K123)</f>
        <v/>
      </c>
      <c r="U123" s="7">
        <f>IF($V123="","",T123-R123-I123)</f>
        <v/>
      </c>
      <c r="V123" s="13">
        <f>IF(ROWS($V$2:$V123)&lt;=MAX('Per Line'!$AH$2:$AH$6001),MATCH(ROWS($V$2:$V123),'Per Line'!$AH$2:$AH$6001,0),"")</f>
        <v/>
      </c>
    </row>
    <row r="124">
      <c r="A124" s="12" t="n"/>
      <c r="B124">
        <f>IF($V124="","",INDEX('Per Line'!$C$2:$C$6001,$V124)&amp;"")</f>
        <v/>
      </c>
      <c r="C124" s="11">
        <f>IF($V124="","",INDEX('Per Line'!$D$2:$D$6001,$V124))</f>
        <v/>
      </c>
      <c r="D124">
        <f>IF($V124="","",INDEX('Per Line'!$E$2:$E$6001,$V124)&amp;"")</f>
        <v/>
      </c>
      <c r="E124">
        <f>IF($V124="","",INDEX('Per Line'!$G$2:$G$6001,$V124)&amp;"")</f>
        <v/>
      </c>
      <c r="F124">
        <f>IF($V124="","",INDEX('Per Line'!$H$2:$H$6001,$V124)&amp;"")</f>
        <v/>
      </c>
      <c r="G124">
        <f>IF($V124="","",INDEX('Per Line'!$I$2:$I$6001,$V124)&amp;"")</f>
        <v/>
      </c>
      <c r="H124">
        <f>IF($V124="","",INDEX('Per Line'!$J$2:$J$6001,$V124))</f>
        <v/>
      </c>
      <c r="I124" s="7">
        <f>IF($V124="","",H124*S124/100)</f>
        <v/>
      </c>
      <c r="J124">
        <f>IF($V124="","",INDEX('Per Line'!$S$2:$S$6001,$V124)&amp;"")</f>
        <v/>
      </c>
      <c r="K124" s="7">
        <f>IF($V124="","",SUMIFS('Per Line'!$R$2:$R$6001,'Per Line'!$C$2:$C$6001,$B124,'Per Line'!$AJ$2:$AJ$6001,1))</f>
        <v/>
      </c>
      <c r="L124">
        <f>IF($V124="","",Settings!$C$7)</f>
        <v/>
      </c>
      <c r="M124" s="7">
        <f>IF($V124="","",SUMIFS('Per Line'!$R$2:$R$6001,'Per Line'!$C$2:$C$6001,$B124,'Per Line'!$AI$2:$AI$6001,0,'Per Line'!$AJ$2:$AJ$6001,0))</f>
        <v/>
      </c>
      <c r="N124" s="7">
        <f>IF($V124="","",M124*L124)</f>
        <v/>
      </c>
      <c r="O124">
        <f>IF($V124="","",Settings!$C$6)</f>
        <v/>
      </c>
      <c r="P124" s="7">
        <f>IF($V124="","",SUMIFS('Per Line'!$R$2:$R$6001,'Per Line'!$C$2:$C$6001,$B124,'Per Line'!$AI$2:$AI$6001,1,'Per Line'!$AJ$2:$AJ$6001,0))</f>
        <v/>
      </c>
      <c r="Q124" s="7">
        <f>IF($V124="","",P124*O124)</f>
        <v/>
      </c>
      <c r="R124" s="7">
        <f>IF($V124="","",Q124+N124)</f>
        <v/>
      </c>
      <c r="S124" s="7">
        <f>IF($V124="","",T124-R124)</f>
        <v/>
      </c>
      <c r="T124" s="7">
        <f>IF($V124="","",M124+P124+K124)</f>
        <v/>
      </c>
      <c r="U124" s="7">
        <f>IF($V124="","",T124-R124-I124)</f>
        <v/>
      </c>
      <c r="V124" s="13">
        <f>IF(ROWS($V$2:$V124)&lt;=MAX('Per Line'!$AH$2:$AH$6001),MATCH(ROWS($V$2:$V124),'Per Line'!$AH$2:$AH$6001,0),"")</f>
        <v/>
      </c>
    </row>
    <row r="125">
      <c r="A125" s="12" t="n"/>
      <c r="B125">
        <f>IF($V125="","",INDEX('Per Line'!$C$2:$C$6001,$V125)&amp;"")</f>
        <v/>
      </c>
      <c r="C125" s="11">
        <f>IF($V125="","",INDEX('Per Line'!$D$2:$D$6001,$V125))</f>
        <v/>
      </c>
      <c r="D125">
        <f>IF($V125="","",INDEX('Per Line'!$E$2:$E$6001,$V125)&amp;"")</f>
        <v/>
      </c>
      <c r="E125">
        <f>IF($V125="","",INDEX('Per Line'!$G$2:$G$6001,$V125)&amp;"")</f>
        <v/>
      </c>
      <c r="F125">
        <f>IF($V125="","",INDEX('Per Line'!$H$2:$H$6001,$V125)&amp;"")</f>
        <v/>
      </c>
      <c r="G125">
        <f>IF($V125="","",INDEX('Per Line'!$I$2:$I$6001,$V125)&amp;"")</f>
        <v/>
      </c>
      <c r="H125">
        <f>IF($V125="","",INDEX('Per Line'!$J$2:$J$6001,$V125))</f>
        <v/>
      </c>
      <c r="I125" s="7">
        <f>IF($V125="","",H125*S125/100)</f>
        <v/>
      </c>
      <c r="J125">
        <f>IF($V125="","",INDEX('Per Line'!$S$2:$S$6001,$V125)&amp;"")</f>
        <v/>
      </c>
      <c r="K125" s="7">
        <f>IF($V125="","",SUMIFS('Per Line'!$R$2:$R$6001,'Per Line'!$C$2:$C$6001,$B125,'Per Line'!$AJ$2:$AJ$6001,1))</f>
        <v/>
      </c>
      <c r="L125">
        <f>IF($V125="","",Settings!$C$7)</f>
        <v/>
      </c>
      <c r="M125" s="7">
        <f>IF($V125="","",SUMIFS('Per Line'!$R$2:$R$6001,'Per Line'!$C$2:$C$6001,$B125,'Per Line'!$AI$2:$AI$6001,0,'Per Line'!$AJ$2:$AJ$6001,0))</f>
        <v/>
      </c>
      <c r="N125" s="7">
        <f>IF($V125="","",M125*L125)</f>
        <v/>
      </c>
      <c r="O125">
        <f>IF($V125="","",Settings!$C$6)</f>
        <v/>
      </c>
      <c r="P125" s="7">
        <f>IF($V125="","",SUMIFS('Per Line'!$R$2:$R$6001,'Per Line'!$C$2:$C$6001,$B125,'Per Line'!$AI$2:$AI$6001,1,'Per Line'!$AJ$2:$AJ$6001,0))</f>
        <v/>
      </c>
      <c r="Q125" s="7">
        <f>IF($V125="","",P125*O125)</f>
        <v/>
      </c>
      <c r="R125" s="7">
        <f>IF($V125="","",Q125+N125)</f>
        <v/>
      </c>
      <c r="S125" s="7">
        <f>IF($V125="","",T125-R125)</f>
        <v/>
      </c>
      <c r="T125" s="7">
        <f>IF($V125="","",M125+P125+K125)</f>
        <v/>
      </c>
      <c r="U125" s="7">
        <f>IF($V125="","",T125-R125-I125)</f>
        <v/>
      </c>
      <c r="V125" s="13">
        <f>IF(ROWS($V$2:$V125)&lt;=MAX('Per Line'!$AH$2:$AH$6001),MATCH(ROWS($V$2:$V125),'Per Line'!$AH$2:$AH$6001,0),"")</f>
        <v/>
      </c>
    </row>
    <row r="126">
      <c r="A126" s="12" t="n"/>
      <c r="B126">
        <f>IF($V126="","",INDEX('Per Line'!$C$2:$C$6001,$V126)&amp;"")</f>
        <v/>
      </c>
      <c r="C126" s="11">
        <f>IF($V126="","",INDEX('Per Line'!$D$2:$D$6001,$V126))</f>
        <v/>
      </c>
      <c r="D126">
        <f>IF($V126="","",INDEX('Per Line'!$E$2:$E$6001,$V126)&amp;"")</f>
        <v/>
      </c>
      <c r="E126">
        <f>IF($V126="","",INDEX('Per Line'!$G$2:$G$6001,$V126)&amp;"")</f>
        <v/>
      </c>
      <c r="F126">
        <f>IF($V126="","",INDEX('Per Line'!$H$2:$H$6001,$V126)&amp;"")</f>
        <v/>
      </c>
      <c r="G126">
        <f>IF($V126="","",INDEX('Per Line'!$I$2:$I$6001,$V126)&amp;"")</f>
        <v/>
      </c>
      <c r="H126">
        <f>IF($V126="","",INDEX('Per Line'!$J$2:$J$6001,$V126))</f>
        <v/>
      </c>
      <c r="I126" s="7">
        <f>IF($V126="","",H126*S126/100)</f>
        <v/>
      </c>
      <c r="J126">
        <f>IF($V126="","",INDEX('Per Line'!$S$2:$S$6001,$V126)&amp;"")</f>
        <v/>
      </c>
      <c r="K126" s="7">
        <f>IF($V126="","",SUMIFS('Per Line'!$R$2:$R$6001,'Per Line'!$C$2:$C$6001,$B126,'Per Line'!$AJ$2:$AJ$6001,1))</f>
        <v/>
      </c>
      <c r="L126">
        <f>IF($V126="","",Settings!$C$7)</f>
        <v/>
      </c>
      <c r="M126" s="7">
        <f>IF($V126="","",SUMIFS('Per Line'!$R$2:$R$6001,'Per Line'!$C$2:$C$6001,$B126,'Per Line'!$AI$2:$AI$6001,0,'Per Line'!$AJ$2:$AJ$6001,0))</f>
        <v/>
      </c>
      <c r="N126" s="7">
        <f>IF($V126="","",M126*L126)</f>
        <v/>
      </c>
      <c r="O126">
        <f>IF($V126="","",Settings!$C$6)</f>
        <v/>
      </c>
      <c r="P126" s="7">
        <f>IF($V126="","",SUMIFS('Per Line'!$R$2:$R$6001,'Per Line'!$C$2:$C$6001,$B126,'Per Line'!$AI$2:$AI$6001,1,'Per Line'!$AJ$2:$AJ$6001,0))</f>
        <v/>
      </c>
      <c r="Q126" s="7">
        <f>IF($V126="","",P126*O126)</f>
        <v/>
      </c>
      <c r="R126" s="7">
        <f>IF($V126="","",Q126+N126)</f>
        <v/>
      </c>
      <c r="S126" s="7">
        <f>IF($V126="","",T126-R126)</f>
        <v/>
      </c>
      <c r="T126" s="7">
        <f>IF($V126="","",M126+P126+K126)</f>
        <v/>
      </c>
      <c r="U126" s="7">
        <f>IF($V126="","",T126-R126-I126)</f>
        <v/>
      </c>
      <c r="V126" s="13">
        <f>IF(ROWS($V$2:$V126)&lt;=MAX('Per Line'!$AH$2:$AH$6001),MATCH(ROWS($V$2:$V126),'Per Line'!$AH$2:$AH$6001,0),"")</f>
        <v/>
      </c>
    </row>
    <row r="127">
      <c r="A127" s="12" t="n"/>
      <c r="B127">
        <f>IF($V127="","",INDEX('Per Line'!$C$2:$C$6001,$V127)&amp;"")</f>
        <v/>
      </c>
      <c r="C127" s="11">
        <f>IF($V127="","",INDEX('Per Line'!$D$2:$D$6001,$V127))</f>
        <v/>
      </c>
      <c r="D127">
        <f>IF($V127="","",INDEX('Per Line'!$E$2:$E$6001,$V127)&amp;"")</f>
        <v/>
      </c>
      <c r="E127">
        <f>IF($V127="","",INDEX('Per Line'!$G$2:$G$6001,$V127)&amp;"")</f>
        <v/>
      </c>
      <c r="F127">
        <f>IF($V127="","",INDEX('Per Line'!$H$2:$H$6001,$V127)&amp;"")</f>
        <v/>
      </c>
      <c r="G127">
        <f>IF($V127="","",INDEX('Per Line'!$I$2:$I$6001,$V127)&amp;"")</f>
        <v/>
      </c>
      <c r="H127">
        <f>IF($V127="","",INDEX('Per Line'!$J$2:$J$6001,$V127))</f>
        <v/>
      </c>
      <c r="I127" s="7">
        <f>IF($V127="","",H127*S127/100)</f>
        <v/>
      </c>
      <c r="J127">
        <f>IF($V127="","",INDEX('Per Line'!$S$2:$S$6001,$V127)&amp;"")</f>
        <v/>
      </c>
      <c r="K127" s="7">
        <f>IF($V127="","",SUMIFS('Per Line'!$R$2:$R$6001,'Per Line'!$C$2:$C$6001,$B127,'Per Line'!$AJ$2:$AJ$6001,1))</f>
        <v/>
      </c>
      <c r="L127">
        <f>IF($V127="","",Settings!$C$7)</f>
        <v/>
      </c>
      <c r="M127" s="7">
        <f>IF($V127="","",SUMIFS('Per Line'!$R$2:$R$6001,'Per Line'!$C$2:$C$6001,$B127,'Per Line'!$AI$2:$AI$6001,0,'Per Line'!$AJ$2:$AJ$6001,0))</f>
        <v/>
      </c>
      <c r="N127" s="7">
        <f>IF($V127="","",M127*L127)</f>
        <v/>
      </c>
      <c r="O127">
        <f>IF($V127="","",Settings!$C$6)</f>
        <v/>
      </c>
      <c r="P127" s="7">
        <f>IF($V127="","",SUMIFS('Per Line'!$R$2:$R$6001,'Per Line'!$C$2:$C$6001,$B127,'Per Line'!$AI$2:$AI$6001,1,'Per Line'!$AJ$2:$AJ$6001,0))</f>
        <v/>
      </c>
      <c r="Q127" s="7">
        <f>IF($V127="","",P127*O127)</f>
        <v/>
      </c>
      <c r="R127" s="7">
        <f>IF($V127="","",Q127+N127)</f>
        <v/>
      </c>
      <c r="S127" s="7">
        <f>IF($V127="","",T127-R127)</f>
        <v/>
      </c>
      <c r="T127" s="7">
        <f>IF($V127="","",M127+P127+K127)</f>
        <v/>
      </c>
      <c r="U127" s="7">
        <f>IF($V127="","",T127-R127-I127)</f>
        <v/>
      </c>
      <c r="V127" s="13">
        <f>IF(ROWS($V$2:$V127)&lt;=MAX('Per Line'!$AH$2:$AH$6001),MATCH(ROWS($V$2:$V127),'Per Line'!$AH$2:$AH$6001,0),"")</f>
        <v/>
      </c>
    </row>
    <row r="128">
      <c r="A128" s="12" t="n"/>
      <c r="B128">
        <f>IF($V128="","",INDEX('Per Line'!$C$2:$C$6001,$V128)&amp;"")</f>
        <v/>
      </c>
      <c r="C128" s="11">
        <f>IF($V128="","",INDEX('Per Line'!$D$2:$D$6001,$V128))</f>
        <v/>
      </c>
      <c r="D128">
        <f>IF($V128="","",INDEX('Per Line'!$E$2:$E$6001,$V128)&amp;"")</f>
        <v/>
      </c>
      <c r="E128">
        <f>IF($V128="","",INDEX('Per Line'!$G$2:$G$6001,$V128)&amp;"")</f>
        <v/>
      </c>
      <c r="F128">
        <f>IF($V128="","",INDEX('Per Line'!$H$2:$H$6001,$V128)&amp;"")</f>
        <v/>
      </c>
      <c r="G128">
        <f>IF($V128="","",INDEX('Per Line'!$I$2:$I$6001,$V128)&amp;"")</f>
        <v/>
      </c>
      <c r="H128">
        <f>IF($V128="","",INDEX('Per Line'!$J$2:$J$6001,$V128))</f>
        <v/>
      </c>
      <c r="I128" s="7">
        <f>IF($V128="","",H128*S128/100)</f>
        <v/>
      </c>
      <c r="J128">
        <f>IF($V128="","",INDEX('Per Line'!$S$2:$S$6001,$V128)&amp;"")</f>
        <v/>
      </c>
      <c r="K128" s="7">
        <f>IF($V128="","",SUMIFS('Per Line'!$R$2:$R$6001,'Per Line'!$C$2:$C$6001,$B128,'Per Line'!$AJ$2:$AJ$6001,1))</f>
        <v/>
      </c>
      <c r="L128">
        <f>IF($V128="","",Settings!$C$7)</f>
        <v/>
      </c>
      <c r="M128" s="7">
        <f>IF($V128="","",SUMIFS('Per Line'!$R$2:$R$6001,'Per Line'!$C$2:$C$6001,$B128,'Per Line'!$AI$2:$AI$6001,0,'Per Line'!$AJ$2:$AJ$6001,0))</f>
        <v/>
      </c>
      <c r="N128" s="7">
        <f>IF($V128="","",M128*L128)</f>
        <v/>
      </c>
      <c r="O128">
        <f>IF($V128="","",Settings!$C$6)</f>
        <v/>
      </c>
      <c r="P128" s="7">
        <f>IF($V128="","",SUMIFS('Per Line'!$R$2:$R$6001,'Per Line'!$C$2:$C$6001,$B128,'Per Line'!$AI$2:$AI$6001,1,'Per Line'!$AJ$2:$AJ$6001,0))</f>
        <v/>
      </c>
      <c r="Q128" s="7">
        <f>IF($V128="","",P128*O128)</f>
        <v/>
      </c>
      <c r="R128" s="7">
        <f>IF($V128="","",Q128+N128)</f>
        <v/>
      </c>
      <c r="S128" s="7">
        <f>IF($V128="","",T128-R128)</f>
        <v/>
      </c>
      <c r="T128" s="7">
        <f>IF($V128="","",M128+P128+K128)</f>
        <v/>
      </c>
      <c r="U128" s="7">
        <f>IF($V128="","",T128-R128-I128)</f>
        <v/>
      </c>
      <c r="V128" s="13">
        <f>IF(ROWS($V$2:$V128)&lt;=MAX('Per Line'!$AH$2:$AH$6001),MATCH(ROWS($V$2:$V128),'Per Line'!$AH$2:$AH$6001,0),"")</f>
        <v/>
      </c>
    </row>
    <row r="129">
      <c r="A129" s="12" t="n"/>
      <c r="B129">
        <f>IF($V129="","",INDEX('Per Line'!$C$2:$C$6001,$V129)&amp;"")</f>
        <v/>
      </c>
      <c r="C129" s="11">
        <f>IF($V129="","",INDEX('Per Line'!$D$2:$D$6001,$V129))</f>
        <v/>
      </c>
      <c r="D129">
        <f>IF($V129="","",INDEX('Per Line'!$E$2:$E$6001,$V129)&amp;"")</f>
        <v/>
      </c>
      <c r="E129">
        <f>IF($V129="","",INDEX('Per Line'!$G$2:$G$6001,$V129)&amp;"")</f>
        <v/>
      </c>
      <c r="F129">
        <f>IF($V129="","",INDEX('Per Line'!$H$2:$H$6001,$V129)&amp;"")</f>
        <v/>
      </c>
      <c r="G129">
        <f>IF($V129="","",INDEX('Per Line'!$I$2:$I$6001,$V129)&amp;"")</f>
        <v/>
      </c>
      <c r="H129">
        <f>IF($V129="","",INDEX('Per Line'!$J$2:$J$6001,$V129))</f>
        <v/>
      </c>
      <c r="I129" s="7">
        <f>IF($V129="","",H129*S129/100)</f>
        <v/>
      </c>
      <c r="J129">
        <f>IF($V129="","",INDEX('Per Line'!$S$2:$S$6001,$V129)&amp;"")</f>
        <v/>
      </c>
      <c r="K129" s="7">
        <f>IF($V129="","",SUMIFS('Per Line'!$R$2:$R$6001,'Per Line'!$C$2:$C$6001,$B129,'Per Line'!$AJ$2:$AJ$6001,1))</f>
        <v/>
      </c>
      <c r="L129">
        <f>IF($V129="","",Settings!$C$7)</f>
        <v/>
      </c>
      <c r="M129" s="7">
        <f>IF($V129="","",SUMIFS('Per Line'!$R$2:$R$6001,'Per Line'!$C$2:$C$6001,$B129,'Per Line'!$AI$2:$AI$6001,0,'Per Line'!$AJ$2:$AJ$6001,0))</f>
        <v/>
      </c>
      <c r="N129" s="7">
        <f>IF($V129="","",M129*L129)</f>
        <v/>
      </c>
      <c r="O129">
        <f>IF($V129="","",Settings!$C$6)</f>
        <v/>
      </c>
      <c r="P129" s="7">
        <f>IF($V129="","",SUMIFS('Per Line'!$R$2:$R$6001,'Per Line'!$C$2:$C$6001,$B129,'Per Line'!$AI$2:$AI$6001,1,'Per Line'!$AJ$2:$AJ$6001,0))</f>
        <v/>
      </c>
      <c r="Q129" s="7">
        <f>IF($V129="","",P129*O129)</f>
        <v/>
      </c>
      <c r="R129" s="7">
        <f>IF($V129="","",Q129+N129)</f>
        <v/>
      </c>
      <c r="S129" s="7">
        <f>IF($V129="","",T129-R129)</f>
        <v/>
      </c>
      <c r="T129" s="7">
        <f>IF($V129="","",M129+P129+K129)</f>
        <v/>
      </c>
      <c r="U129" s="7">
        <f>IF($V129="","",T129-R129-I129)</f>
        <v/>
      </c>
      <c r="V129" s="13">
        <f>IF(ROWS($V$2:$V129)&lt;=MAX('Per Line'!$AH$2:$AH$6001),MATCH(ROWS($V$2:$V129),'Per Line'!$AH$2:$AH$6001,0),"")</f>
        <v/>
      </c>
    </row>
    <row r="130">
      <c r="A130" s="12" t="n"/>
      <c r="B130">
        <f>IF($V130="","",INDEX('Per Line'!$C$2:$C$6001,$V130)&amp;"")</f>
        <v/>
      </c>
      <c r="C130" s="11">
        <f>IF($V130="","",INDEX('Per Line'!$D$2:$D$6001,$V130))</f>
        <v/>
      </c>
      <c r="D130">
        <f>IF($V130="","",INDEX('Per Line'!$E$2:$E$6001,$V130)&amp;"")</f>
        <v/>
      </c>
      <c r="E130">
        <f>IF($V130="","",INDEX('Per Line'!$G$2:$G$6001,$V130)&amp;"")</f>
        <v/>
      </c>
      <c r="F130">
        <f>IF($V130="","",INDEX('Per Line'!$H$2:$H$6001,$V130)&amp;"")</f>
        <v/>
      </c>
      <c r="G130">
        <f>IF($V130="","",INDEX('Per Line'!$I$2:$I$6001,$V130)&amp;"")</f>
        <v/>
      </c>
      <c r="H130">
        <f>IF($V130="","",INDEX('Per Line'!$J$2:$J$6001,$V130))</f>
        <v/>
      </c>
      <c r="I130" s="7">
        <f>IF($V130="","",H130*S130/100)</f>
        <v/>
      </c>
      <c r="J130">
        <f>IF($V130="","",INDEX('Per Line'!$S$2:$S$6001,$V130)&amp;"")</f>
        <v/>
      </c>
      <c r="K130" s="7">
        <f>IF($V130="","",SUMIFS('Per Line'!$R$2:$R$6001,'Per Line'!$C$2:$C$6001,$B130,'Per Line'!$AJ$2:$AJ$6001,1))</f>
        <v/>
      </c>
      <c r="L130">
        <f>IF($V130="","",Settings!$C$7)</f>
        <v/>
      </c>
      <c r="M130" s="7">
        <f>IF($V130="","",SUMIFS('Per Line'!$R$2:$R$6001,'Per Line'!$C$2:$C$6001,$B130,'Per Line'!$AI$2:$AI$6001,0,'Per Line'!$AJ$2:$AJ$6001,0))</f>
        <v/>
      </c>
      <c r="N130" s="7">
        <f>IF($V130="","",M130*L130)</f>
        <v/>
      </c>
      <c r="O130">
        <f>IF($V130="","",Settings!$C$6)</f>
        <v/>
      </c>
      <c r="P130" s="7">
        <f>IF($V130="","",SUMIFS('Per Line'!$R$2:$R$6001,'Per Line'!$C$2:$C$6001,$B130,'Per Line'!$AI$2:$AI$6001,1,'Per Line'!$AJ$2:$AJ$6001,0))</f>
        <v/>
      </c>
      <c r="Q130" s="7">
        <f>IF($V130="","",P130*O130)</f>
        <v/>
      </c>
      <c r="R130" s="7">
        <f>IF($V130="","",Q130+N130)</f>
        <v/>
      </c>
      <c r="S130" s="7">
        <f>IF($V130="","",T130-R130)</f>
        <v/>
      </c>
      <c r="T130" s="7">
        <f>IF($V130="","",M130+P130+K130)</f>
        <v/>
      </c>
      <c r="U130" s="7">
        <f>IF($V130="","",T130-R130-I130)</f>
        <v/>
      </c>
      <c r="V130" s="13">
        <f>IF(ROWS($V$2:$V130)&lt;=MAX('Per Line'!$AH$2:$AH$6001),MATCH(ROWS($V$2:$V130),'Per Line'!$AH$2:$AH$6001,0),"")</f>
        <v/>
      </c>
    </row>
    <row r="131">
      <c r="A131" s="12" t="n"/>
      <c r="B131">
        <f>IF($V131="","",INDEX('Per Line'!$C$2:$C$6001,$V131)&amp;"")</f>
        <v/>
      </c>
      <c r="C131" s="11">
        <f>IF($V131="","",INDEX('Per Line'!$D$2:$D$6001,$V131))</f>
        <v/>
      </c>
      <c r="D131">
        <f>IF($V131="","",INDEX('Per Line'!$E$2:$E$6001,$V131)&amp;"")</f>
        <v/>
      </c>
      <c r="E131">
        <f>IF($V131="","",INDEX('Per Line'!$G$2:$G$6001,$V131)&amp;"")</f>
        <v/>
      </c>
      <c r="F131">
        <f>IF($V131="","",INDEX('Per Line'!$H$2:$H$6001,$V131)&amp;"")</f>
        <v/>
      </c>
      <c r="G131">
        <f>IF($V131="","",INDEX('Per Line'!$I$2:$I$6001,$V131)&amp;"")</f>
        <v/>
      </c>
      <c r="H131">
        <f>IF($V131="","",INDEX('Per Line'!$J$2:$J$6001,$V131))</f>
        <v/>
      </c>
      <c r="I131" s="7">
        <f>IF($V131="","",H131*S131/100)</f>
        <v/>
      </c>
      <c r="J131">
        <f>IF($V131="","",INDEX('Per Line'!$S$2:$S$6001,$V131)&amp;"")</f>
        <v/>
      </c>
      <c r="K131" s="7">
        <f>IF($V131="","",SUMIFS('Per Line'!$R$2:$R$6001,'Per Line'!$C$2:$C$6001,$B131,'Per Line'!$AJ$2:$AJ$6001,1))</f>
        <v/>
      </c>
      <c r="L131">
        <f>IF($V131="","",Settings!$C$7)</f>
        <v/>
      </c>
      <c r="M131" s="7">
        <f>IF($V131="","",SUMIFS('Per Line'!$R$2:$R$6001,'Per Line'!$C$2:$C$6001,$B131,'Per Line'!$AI$2:$AI$6001,0,'Per Line'!$AJ$2:$AJ$6001,0))</f>
        <v/>
      </c>
      <c r="N131" s="7">
        <f>IF($V131="","",M131*L131)</f>
        <v/>
      </c>
      <c r="O131">
        <f>IF($V131="","",Settings!$C$6)</f>
        <v/>
      </c>
      <c r="P131" s="7">
        <f>IF($V131="","",SUMIFS('Per Line'!$R$2:$R$6001,'Per Line'!$C$2:$C$6001,$B131,'Per Line'!$AI$2:$AI$6001,1,'Per Line'!$AJ$2:$AJ$6001,0))</f>
        <v/>
      </c>
      <c r="Q131" s="7">
        <f>IF($V131="","",P131*O131)</f>
        <v/>
      </c>
      <c r="R131" s="7">
        <f>IF($V131="","",Q131+N131)</f>
        <v/>
      </c>
      <c r="S131" s="7">
        <f>IF($V131="","",T131-R131)</f>
        <v/>
      </c>
      <c r="T131" s="7">
        <f>IF($V131="","",M131+P131+K131)</f>
        <v/>
      </c>
      <c r="U131" s="7">
        <f>IF($V131="","",T131-R131-I131)</f>
        <v/>
      </c>
      <c r="V131" s="13">
        <f>IF(ROWS($V$2:$V131)&lt;=MAX('Per Line'!$AH$2:$AH$6001),MATCH(ROWS($V$2:$V131),'Per Line'!$AH$2:$AH$6001,0),"")</f>
        <v/>
      </c>
    </row>
    <row r="132">
      <c r="A132" s="12" t="n"/>
      <c r="B132">
        <f>IF($V132="","",INDEX('Per Line'!$C$2:$C$6001,$V132)&amp;"")</f>
        <v/>
      </c>
      <c r="C132" s="11">
        <f>IF($V132="","",INDEX('Per Line'!$D$2:$D$6001,$V132))</f>
        <v/>
      </c>
      <c r="D132">
        <f>IF($V132="","",INDEX('Per Line'!$E$2:$E$6001,$V132)&amp;"")</f>
        <v/>
      </c>
      <c r="E132">
        <f>IF($V132="","",INDEX('Per Line'!$G$2:$G$6001,$V132)&amp;"")</f>
        <v/>
      </c>
      <c r="F132">
        <f>IF($V132="","",INDEX('Per Line'!$H$2:$H$6001,$V132)&amp;"")</f>
        <v/>
      </c>
      <c r="G132">
        <f>IF($V132="","",INDEX('Per Line'!$I$2:$I$6001,$V132)&amp;"")</f>
        <v/>
      </c>
      <c r="H132">
        <f>IF($V132="","",INDEX('Per Line'!$J$2:$J$6001,$V132))</f>
        <v/>
      </c>
      <c r="I132" s="7">
        <f>IF($V132="","",H132*S132/100)</f>
        <v/>
      </c>
      <c r="J132">
        <f>IF($V132="","",INDEX('Per Line'!$S$2:$S$6001,$V132)&amp;"")</f>
        <v/>
      </c>
      <c r="K132" s="7">
        <f>IF($V132="","",SUMIFS('Per Line'!$R$2:$R$6001,'Per Line'!$C$2:$C$6001,$B132,'Per Line'!$AJ$2:$AJ$6001,1))</f>
        <v/>
      </c>
      <c r="L132">
        <f>IF($V132="","",Settings!$C$7)</f>
        <v/>
      </c>
      <c r="M132" s="7">
        <f>IF($V132="","",SUMIFS('Per Line'!$R$2:$R$6001,'Per Line'!$C$2:$C$6001,$B132,'Per Line'!$AI$2:$AI$6001,0,'Per Line'!$AJ$2:$AJ$6001,0))</f>
        <v/>
      </c>
      <c r="N132" s="7">
        <f>IF($V132="","",M132*L132)</f>
        <v/>
      </c>
      <c r="O132">
        <f>IF($V132="","",Settings!$C$6)</f>
        <v/>
      </c>
      <c r="P132" s="7">
        <f>IF($V132="","",SUMIFS('Per Line'!$R$2:$R$6001,'Per Line'!$C$2:$C$6001,$B132,'Per Line'!$AI$2:$AI$6001,1,'Per Line'!$AJ$2:$AJ$6001,0))</f>
        <v/>
      </c>
      <c r="Q132" s="7">
        <f>IF($V132="","",P132*O132)</f>
        <v/>
      </c>
      <c r="R132" s="7">
        <f>IF($V132="","",Q132+N132)</f>
        <v/>
      </c>
      <c r="S132" s="7">
        <f>IF($V132="","",T132-R132)</f>
        <v/>
      </c>
      <c r="T132" s="7">
        <f>IF($V132="","",M132+P132+K132)</f>
        <v/>
      </c>
      <c r="U132" s="7">
        <f>IF($V132="","",T132-R132-I132)</f>
        <v/>
      </c>
      <c r="V132" s="13">
        <f>IF(ROWS($V$2:$V132)&lt;=MAX('Per Line'!$AH$2:$AH$6001),MATCH(ROWS($V$2:$V132),'Per Line'!$AH$2:$AH$6001,0),"")</f>
        <v/>
      </c>
    </row>
    <row r="133">
      <c r="A133" s="12" t="n"/>
      <c r="B133">
        <f>IF($V133="","",INDEX('Per Line'!$C$2:$C$6001,$V133)&amp;"")</f>
        <v/>
      </c>
      <c r="C133" s="11">
        <f>IF($V133="","",INDEX('Per Line'!$D$2:$D$6001,$V133))</f>
        <v/>
      </c>
      <c r="D133">
        <f>IF($V133="","",INDEX('Per Line'!$E$2:$E$6001,$V133)&amp;"")</f>
        <v/>
      </c>
      <c r="E133">
        <f>IF($V133="","",INDEX('Per Line'!$G$2:$G$6001,$V133)&amp;"")</f>
        <v/>
      </c>
      <c r="F133">
        <f>IF($V133="","",INDEX('Per Line'!$H$2:$H$6001,$V133)&amp;"")</f>
        <v/>
      </c>
      <c r="G133">
        <f>IF($V133="","",INDEX('Per Line'!$I$2:$I$6001,$V133)&amp;"")</f>
        <v/>
      </c>
      <c r="H133">
        <f>IF($V133="","",INDEX('Per Line'!$J$2:$J$6001,$V133))</f>
        <v/>
      </c>
      <c r="I133" s="7">
        <f>IF($V133="","",H133*S133/100)</f>
        <v/>
      </c>
      <c r="J133">
        <f>IF($V133="","",INDEX('Per Line'!$S$2:$S$6001,$V133)&amp;"")</f>
        <v/>
      </c>
      <c r="K133" s="7">
        <f>IF($V133="","",SUMIFS('Per Line'!$R$2:$R$6001,'Per Line'!$C$2:$C$6001,$B133,'Per Line'!$AJ$2:$AJ$6001,1))</f>
        <v/>
      </c>
      <c r="L133">
        <f>IF($V133="","",Settings!$C$7)</f>
        <v/>
      </c>
      <c r="M133" s="7">
        <f>IF($V133="","",SUMIFS('Per Line'!$R$2:$R$6001,'Per Line'!$C$2:$C$6001,$B133,'Per Line'!$AI$2:$AI$6001,0,'Per Line'!$AJ$2:$AJ$6001,0))</f>
        <v/>
      </c>
      <c r="N133" s="7">
        <f>IF($V133="","",M133*L133)</f>
        <v/>
      </c>
      <c r="O133">
        <f>IF($V133="","",Settings!$C$6)</f>
        <v/>
      </c>
      <c r="P133" s="7">
        <f>IF($V133="","",SUMIFS('Per Line'!$R$2:$R$6001,'Per Line'!$C$2:$C$6001,$B133,'Per Line'!$AI$2:$AI$6001,1,'Per Line'!$AJ$2:$AJ$6001,0))</f>
        <v/>
      </c>
      <c r="Q133" s="7">
        <f>IF($V133="","",P133*O133)</f>
        <v/>
      </c>
      <c r="R133" s="7">
        <f>IF($V133="","",Q133+N133)</f>
        <v/>
      </c>
      <c r="S133" s="7">
        <f>IF($V133="","",T133-R133)</f>
        <v/>
      </c>
      <c r="T133" s="7">
        <f>IF($V133="","",M133+P133+K133)</f>
        <v/>
      </c>
      <c r="U133" s="7">
        <f>IF($V133="","",T133-R133-I133)</f>
        <v/>
      </c>
      <c r="V133" s="13">
        <f>IF(ROWS($V$2:$V133)&lt;=MAX('Per Line'!$AH$2:$AH$6001),MATCH(ROWS($V$2:$V133),'Per Line'!$AH$2:$AH$6001,0),"")</f>
        <v/>
      </c>
    </row>
    <row r="134">
      <c r="A134" s="12" t="n"/>
      <c r="B134">
        <f>IF($V134="","",INDEX('Per Line'!$C$2:$C$6001,$V134)&amp;"")</f>
        <v/>
      </c>
      <c r="C134" s="11">
        <f>IF($V134="","",INDEX('Per Line'!$D$2:$D$6001,$V134))</f>
        <v/>
      </c>
      <c r="D134">
        <f>IF($V134="","",INDEX('Per Line'!$E$2:$E$6001,$V134)&amp;"")</f>
        <v/>
      </c>
      <c r="E134">
        <f>IF($V134="","",INDEX('Per Line'!$G$2:$G$6001,$V134)&amp;"")</f>
        <v/>
      </c>
      <c r="F134">
        <f>IF($V134="","",INDEX('Per Line'!$H$2:$H$6001,$V134)&amp;"")</f>
        <v/>
      </c>
      <c r="G134">
        <f>IF($V134="","",INDEX('Per Line'!$I$2:$I$6001,$V134)&amp;"")</f>
        <v/>
      </c>
      <c r="H134">
        <f>IF($V134="","",INDEX('Per Line'!$J$2:$J$6001,$V134))</f>
        <v/>
      </c>
      <c r="I134" s="7">
        <f>IF($V134="","",H134*S134/100)</f>
        <v/>
      </c>
      <c r="J134">
        <f>IF($V134="","",INDEX('Per Line'!$S$2:$S$6001,$V134)&amp;"")</f>
        <v/>
      </c>
      <c r="K134" s="7">
        <f>IF($V134="","",SUMIFS('Per Line'!$R$2:$R$6001,'Per Line'!$C$2:$C$6001,$B134,'Per Line'!$AJ$2:$AJ$6001,1))</f>
        <v/>
      </c>
      <c r="L134">
        <f>IF($V134="","",Settings!$C$7)</f>
        <v/>
      </c>
      <c r="M134" s="7">
        <f>IF($V134="","",SUMIFS('Per Line'!$R$2:$R$6001,'Per Line'!$C$2:$C$6001,$B134,'Per Line'!$AI$2:$AI$6001,0,'Per Line'!$AJ$2:$AJ$6001,0))</f>
        <v/>
      </c>
      <c r="N134" s="7">
        <f>IF($V134="","",M134*L134)</f>
        <v/>
      </c>
      <c r="O134">
        <f>IF($V134="","",Settings!$C$6)</f>
        <v/>
      </c>
      <c r="P134" s="7">
        <f>IF($V134="","",SUMIFS('Per Line'!$R$2:$R$6001,'Per Line'!$C$2:$C$6001,$B134,'Per Line'!$AI$2:$AI$6001,1,'Per Line'!$AJ$2:$AJ$6001,0))</f>
        <v/>
      </c>
      <c r="Q134" s="7">
        <f>IF($V134="","",P134*O134)</f>
        <v/>
      </c>
      <c r="R134" s="7">
        <f>IF($V134="","",Q134+N134)</f>
        <v/>
      </c>
      <c r="S134" s="7">
        <f>IF($V134="","",T134-R134)</f>
        <v/>
      </c>
      <c r="T134" s="7">
        <f>IF($V134="","",M134+P134+K134)</f>
        <v/>
      </c>
      <c r="U134" s="7">
        <f>IF($V134="","",T134-R134-I134)</f>
        <v/>
      </c>
      <c r="V134" s="13">
        <f>IF(ROWS($V$2:$V134)&lt;=MAX('Per Line'!$AH$2:$AH$6001),MATCH(ROWS($V$2:$V134),'Per Line'!$AH$2:$AH$6001,0),"")</f>
        <v/>
      </c>
    </row>
    <row r="135">
      <c r="A135" s="12" t="n"/>
      <c r="B135">
        <f>IF($V135="","",INDEX('Per Line'!$C$2:$C$6001,$V135)&amp;"")</f>
        <v/>
      </c>
      <c r="C135" s="11">
        <f>IF($V135="","",INDEX('Per Line'!$D$2:$D$6001,$V135))</f>
        <v/>
      </c>
      <c r="D135">
        <f>IF($V135="","",INDEX('Per Line'!$E$2:$E$6001,$V135)&amp;"")</f>
        <v/>
      </c>
      <c r="E135">
        <f>IF($V135="","",INDEX('Per Line'!$G$2:$G$6001,$V135)&amp;"")</f>
        <v/>
      </c>
      <c r="F135">
        <f>IF($V135="","",INDEX('Per Line'!$H$2:$H$6001,$V135)&amp;"")</f>
        <v/>
      </c>
      <c r="G135">
        <f>IF($V135="","",INDEX('Per Line'!$I$2:$I$6001,$V135)&amp;"")</f>
        <v/>
      </c>
      <c r="H135">
        <f>IF($V135="","",INDEX('Per Line'!$J$2:$J$6001,$V135))</f>
        <v/>
      </c>
      <c r="I135" s="7">
        <f>IF($V135="","",H135*S135/100)</f>
        <v/>
      </c>
      <c r="J135">
        <f>IF($V135="","",INDEX('Per Line'!$S$2:$S$6001,$V135)&amp;"")</f>
        <v/>
      </c>
      <c r="K135" s="7">
        <f>IF($V135="","",SUMIFS('Per Line'!$R$2:$R$6001,'Per Line'!$C$2:$C$6001,$B135,'Per Line'!$AJ$2:$AJ$6001,1))</f>
        <v/>
      </c>
      <c r="L135">
        <f>IF($V135="","",Settings!$C$7)</f>
        <v/>
      </c>
      <c r="M135" s="7">
        <f>IF($V135="","",SUMIFS('Per Line'!$R$2:$R$6001,'Per Line'!$C$2:$C$6001,$B135,'Per Line'!$AI$2:$AI$6001,0,'Per Line'!$AJ$2:$AJ$6001,0))</f>
        <v/>
      </c>
      <c r="N135" s="7">
        <f>IF($V135="","",M135*L135)</f>
        <v/>
      </c>
      <c r="O135">
        <f>IF($V135="","",Settings!$C$6)</f>
        <v/>
      </c>
      <c r="P135" s="7">
        <f>IF($V135="","",SUMIFS('Per Line'!$R$2:$R$6001,'Per Line'!$C$2:$C$6001,$B135,'Per Line'!$AI$2:$AI$6001,1,'Per Line'!$AJ$2:$AJ$6001,0))</f>
        <v/>
      </c>
      <c r="Q135" s="7">
        <f>IF($V135="","",P135*O135)</f>
        <v/>
      </c>
      <c r="R135" s="7">
        <f>IF($V135="","",Q135+N135)</f>
        <v/>
      </c>
      <c r="S135" s="7">
        <f>IF($V135="","",T135-R135)</f>
        <v/>
      </c>
      <c r="T135" s="7">
        <f>IF($V135="","",M135+P135+K135)</f>
        <v/>
      </c>
      <c r="U135" s="7">
        <f>IF($V135="","",T135-R135-I135)</f>
        <v/>
      </c>
      <c r="V135" s="13">
        <f>IF(ROWS($V$2:$V135)&lt;=MAX('Per Line'!$AH$2:$AH$6001),MATCH(ROWS($V$2:$V135),'Per Line'!$AH$2:$AH$6001,0),"")</f>
        <v/>
      </c>
    </row>
    <row r="136">
      <c r="A136" s="12" t="n"/>
      <c r="B136">
        <f>IF($V136="","",INDEX('Per Line'!$C$2:$C$6001,$V136)&amp;"")</f>
        <v/>
      </c>
      <c r="C136" s="11">
        <f>IF($V136="","",INDEX('Per Line'!$D$2:$D$6001,$V136))</f>
        <v/>
      </c>
      <c r="D136">
        <f>IF($V136="","",INDEX('Per Line'!$E$2:$E$6001,$V136)&amp;"")</f>
        <v/>
      </c>
      <c r="E136">
        <f>IF($V136="","",INDEX('Per Line'!$G$2:$G$6001,$V136)&amp;"")</f>
        <v/>
      </c>
      <c r="F136">
        <f>IF($V136="","",INDEX('Per Line'!$H$2:$H$6001,$V136)&amp;"")</f>
        <v/>
      </c>
      <c r="G136">
        <f>IF($V136="","",INDEX('Per Line'!$I$2:$I$6001,$V136)&amp;"")</f>
        <v/>
      </c>
      <c r="H136">
        <f>IF($V136="","",INDEX('Per Line'!$J$2:$J$6001,$V136))</f>
        <v/>
      </c>
      <c r="I136" s="7">
        <f>IF($V136="","",H136*S136/100)</f>
        <v/>
      </c>
      <c r="J136">
        <f>IF($V136="","",INDEX('Per Line'!$S$2:$S$6001,$V136)&amp;"")</f>
        <v/>
      </c>
      <c r="K136" s="7">
        <f>IF($V136="","",SUMIFS('Per Line'!$R$2:$R$6001,'Per Line'!$C$2:$C$6001,$B136,'Per Line'!$AJ$2:$AJ$6001,1))</f>
        <v/>
      </c>
      <c r="L136">
        <f>IF($V136="","",Settings!$C$7)</f>
        <v/>
      </c>
      <c r="M136" s="7">
        <f>IF($V136="","",SUMIFS('Per Line'!$R$2:$R$6001,'Per Line'!$C$2:$C$6001,$B136,'Per Line'!$AI$2:$AI$6001,0,'Per Line'!$AJ$2:$AJ$6001,0))</f>
        <v/>
      </c>
      <c r="N136" s="7">
        <f>IF($V136="","",M136*L136)</f>
        <v/>
      </c>
      <c r="O136">
        <f>IF($V136="","",Settings!$C$6)</f>
        <v/>
      </c>
      <c r="P136" s="7">
        <f>IF($V136="","",SUMIFS('Per Line'!$R$2:$R$6001,'Per Line'!$C$2:$C$6001,$B136,'Per Line'!$AI$2:$AI$6001,1,'Per Line'!$AJ$2:$AJ$6001,0))</f>
        <v/>
      </c>
      <c r="Q136" s="7">
        <f>IF($V136="","",P136*O136)</f>
        <v/>
      </c>
      <c r="R136" s="7">
        <f>IF($V136="","",Q136+N136)</f>
        <v/>
      </c>
      <c r="S136" s="7">
        <f>IF($V136="","",T136-R136)</f>
        <v/>
      </c>
      <c r="T136" s="7">
        <f>IF($V136="","",M136+P136+K136)</f>
        <v/>
      </c>
      <c r="U136" s="7">
        <f>IF($V136="","",T136-R136-I136)</f>
        <v/>
      </c>
      <c r="V136" s="13">
        <f>IF(ROWS($V$2:$V136)&lt;=MAX('Per Line'!$AH$2:$AH$6001),MATCH(ROWS($V$2:$V136),'Per Line'!$AH$2:$AH$6001,0),"")</f>
        <v/>
      </c>
    </row>
    <row r="137">
      <c r="A137" s="12" t="n"/>
      <c r="B137">
        <f>IF($V137="","",INDEX('Per Line'!$C$2:$C$6001,$V137)&amp;"")</f>
        <v/>
      </c>
      <c r="C137" s="11">
        <f>IF($V137="","",INDEX('Per Line'!$D$2:$D$6001,$V137))</f>
        <v/>
      </c>
      <c r="D137">
        <f>IF($V137="","",INDEX('Per Line'!$E$2:$E$6001,$V137)&amp;"")</f>
        <v/>
      </c>
      <c r="E137">
        <f>IF($V137="","",INDEX('Per Line'!$G$2:$G$6001,$V137)&amp;"")</f>
        <v/>
      </c>
      <c r="F137">
        <f>IF($V137="","",INDEX('Per Line'!$H$2:$H$6001,$V137)&amp;"")</f>
        <v/>
      </c>
      <c r="G137">
        <f>IF($V137="","",INDEX('Per Line'!$I$2:$I$6001,$V137)&amp;"")</f>
        <v/>
      </c>
      <c r="H137">
        <f>IF($V137="","",INDEX('Per Line'!$J$2:$J$6001,$V137))</f>
        <v/>
      </c>
      <c r="I137" s="7">
        <f>IF($V137="","",H137*S137/100)</f>
        <v/>
      </c>
      <c r="J137">
        <f>IF($V137="","",INDEX('Per Line'!$S$2:$S$6001,$V137)&amp;"")</f>
        <v/>
      </c>
      <c r="K137" s="7">
        <f>IF($V137="","",SUMIFS('Per Line'!$R$2:$R$6001,'Per Line'!$C$2:$C$6001,$B137,'Per Line'!$AJ$2:$AJ$6001,1))</f>
        <v/>
      </c>
      <c r="L137">
        <f>IF($V137="","",Settings!$C$7)</f>
        <v/>
      </c>
      <c r="M137" s="7">
        <f>IF($V137="","",SUMIFS('Per Line'!$R$2:$R$6001,'Per Line'!$C$2:$C$6001,$B137,'Per Line'!$AI$2:$AI$6001,0,'Per Line'!$AJ$2:$AJ$6001,0))</f>
        <v/>
      </c>
      <c r="N137" s="7">
        <f>IF($V137="","",M137*L137)</f>
        <v/>
      </c>
      <c r="O137">
        <f>IF($V137="","",Settings!$C$6)</f>
        <v/>
      </c>
      <c r="P137" s="7">
        <f>IF($V137="","",SUMIFS('Per Line'!$R$2:$R$6001,'Per Line'!$C$2:$C$6001,$B137,'Per Line'!$AI$2:$AI$6001,1,'Per Line'!$AJ$2:$AJ$6001,0))</f>
        <v/>
      </c>
      <c r="Q137" s="7">
        <f>IF($V137="","",P137*O137)</f>
        <v/>
      </c>
      <c r="R137" s="7">
        <f>IF($V137="","",Q137+N137)</f>
        <v/>
      </c>
      <c r="S137" s="7">
        <f>IF($V137="","",T137-R137)</f>
        <v/>
      </c>
      <c r="T137" s="7">
        <f>IF($V137="","",M137+P137+K137)</f>
        <v/>
      </c>
      <c r="U137" s="7">
        <f>IF($V137="","",T137-R137-I137)</f>
        <v/>
      </c>
      <c r="V137" s="13">
        <f>IF(ROWS($V$2:$V137)&lt;=MAX('Per Line'!$AH$2:$AH$6001),MATCH(ROWS($V$2:$V137),'Per Line'!$AH$2:$AH$6001,0),"")</f>
        <v/>
      </c>
    </row>
    <row r="138">
      <c r="A138" s="12" t="n"/>
      <c r="B138">
        <f>IF($V138="","",INDEX('Per Line'!$C$2:$C$6001,$V138)&amp;"")</f>
        <v/>
      </c>
      <c r="C138" s="11">
        <f>IF($V138="","",INDEX('Per Line'!$D$2:$D$6001,$V138))</f>
        <v/>
      </c>
      <c r="D138">
        <f>IF($V138="","",INDEX('Per Line'!$E$2:$E$6001,$V138)&amp;"")</f>
        <v/>
      </c>
      <c r="E138">
        <f>IF($V138="","",INDEX('Per Line'!$G$2:$G$6001,$V138)&amp;"")</f>
        <v/>
      </c>
      <c r="F138">
        <f>IF($V138="","",INDEX('Per Line'!$H$2:$H$6001,$V138)&amp;"")</f>
        <v/>
      </c>
      <c r="G138">
        <f>IF($V138="","",INDEX('Per Line'!$I$2:$I$6001,$V138)&amp;"")</f>
        <v/>
      </c>
      <c r="H138">
        <f>IF($V138="","",INDEX('Per Line'!$J$2:$J$6001,$V138))</f>
        <v/>
      </c>
      <c r="I138" s="7">
        <f>IF($V138="","",H138*S138/100)</f>
        <v/>
      </c>
      <c r="J138">
        <f>IF($V138="","",INDEX('Per Line'!$S$2:$S$6001,$V138)&amp;"")</f>
        <v/>
      </c>
      <c r="K138" s="7">
        <f>IF($V138="","",SUMIFS('Per Line'!$R$2:$R$6001,'Per Line'!$C$2:$C$6001,$B138,'Per Line'!$AJ$2:$AJ$6001,1))</f>
        <v/>
      </c>
      <c r="L138">
        <f>IF($V138="","",Settings!$C$7)</f>
        <v/>
      </c>
      <c r="M138" s="7">
        <f>IF($V138="","",SUMIFS('Per Line'!$R$2:$R$6001,'Per Line'!$C$2:$C$6001,$B138,'Per Line'!$AI$2:$AI$6001,0,'Per Line'!$AJ$2:$AJ$6001,0))</f>
        <v/>
      </c>
      <c r="N138" s="7">
        <f>IF($V138="","",M138*L138)</f>
        <v/>
      </c>
      <c r="O138">
        <f>IF($V138="","",Settings!$C$6)</f>
        <v/>
      </c>
      <c r="P138" s="7">
        <f>IF($V138="","",SUMIFS('Per Line'!$R$2:$R$6001,'Per Line'!$C$2:$C$6001,$B138,'Per Line'!$AI$2:$AI$6001,1,'Per Line'!$AJ$2:$AJ$6001,0))</f>
        <v/>
      </c>
      <c r="Q138" s="7">
        <f>IF($V138="","",P138*O138)</f>
        <v/>
      </c>
      <c r="R138" s="7">
        <f>IF($V138="","",Q138+N138)</f>
        <v/>
      </c>
      <c r="S138" s="7">
        <f>IF($V138="","",T138-R138)</f>
        <v/>
      </c>
      <c r="T138" s="7">
        <f>IF($V138="","",M138+P138+K138)</f>
        <v/>
      </c>
      <c r="U138" s="7">
        <f>IF($V138="","",T138-R138-I138)</f>
        <v/>
      </c>
      <c r="V138" s="13">
        <f>IF(ROWS($V$2:$V138)&lt;=MAX('Per Line'!$AH$2:$AH$6001),MATCH(ROWS($V$2:$V138),'Per Line'!$AH$2:$AH$6001,0),"")</f>
        <v/>
      </c>
    </row>
    <row r="139">
      <c r="A139" s="12" t="n"/>
      <c r="B139">
        <f>IF($V139="","",INDEX('Per Line'!$C$2:$C$6001,$V139)&amp;"")</f>
        <v/>
      </c>
      <c r="C139" s="11">
        <f>IF($V139="","",INDEX('Per Line'!$D$2:$D$6001,$V139))</f>
        <v/>
      </c>
      <c r="D139">
        <f>IF($V139="","",INDEX('Per Line'!$E$2:$E$6001,$V139)&amp;"")</f>
        <v/>
      </c>
      <c r="E139">
        <f>IF($V139="","",INDEX('Per Line'!$G$2:$G$6001,$V139)&amp;"")</f>
        <v/>
      </c>
      <c r="F139">
        <f>IF($V139="","",INDEX('Per Line'!$H$2:$H$6001,$V139)&amp;"")</f>
        <v/>
      </c>
      <c r="G139">
        <f>IF($V139="","",INDEX('Per Line'!$I$2:$I$6001,$V139)&amp;"")</f>
        <v/>
      </c>
      <c r="H139">
        <f>IF($V139="","",INDEX('Per Line'!$J$2:$J$6001,$V139))</f>
        <v/>
      </c>
      <c r="I139" s="7">
        <f>IF($V139="","",H139*S139/100)</f>
        <v/>
      </c>
      <c r="J139">
        <f>IF($V139="","",INDEX('Per Line'!$S$2:$S$6001,$V139)&amp;"")</f>
        <v/>
      </c>
      <c r="K139" s="7">
        <f>IF($V139="","",SUMIFS('Per Line'!$R$2:$R$6001,'Per Line'!$C$2:$C$6001,$B139,'Per Line'!$AJ$2:$AJ$6001,1))</f>
        <v/>
      </c>
      <c r="L139">
        <f>IF($V139="","",Settings!$C$7)</f>
        <v/>
      </c>
      <c r="M139" s="7">
        <f>IF($V139="","",SUMIFS('Per Line'!$R$2:$R$6001,'Per Line'!$C$2:$C$6001,$B139,'Per Line'!$AI$2:$AI$6001,0,'Per Line'!$AJ$2:$AJ$6001,0))</f>
        <v/>
      </c>
      <c r="N139" s="7">
        <f>IF($V139="","",M139*L139)</f>
        <v/>
      </c>
      <c r="O139">
        <f>IF($V139="","",Settings!$C$6)</f>
        <v/>
      </c>
      <c r="P139" s="7">
        <f>IF($V139="","",SUMIFS('Per Line'!$R$2:$R$6001,'Per Line'!$C$2:$C$6001,$B139,'Per Line'!$AI$2:$AI$6001,1,'Per Line'!$AJ$2:$AJ$6001,0))</f>
        <v/>
      </c>
      <c r="Q139" s="7">
        <f>IF($V139="","",P139*O139)</f>
        <v/>
      </c>
      <c r="R139" s="7">
        <f>IF($V139="","",Q139+N139)</f>
        <v/>
      </c>
      <c r="S139" s="7">
        <f>IF($V139="","",T139-R139)</f>
        <v/>
      </c>
      <c r="T139" s="7">
        <f>IF($V139="","",M139+P139+K139)</f>
        <v/>
      </c>
      <c r="U139" s="7">
        <f>IF($V139="","",T139-R139-I139)</f>
        <v/>
      </c>
      <c r="V139" s="13">
        <f>IF(ROWS($V$2:$V139)&lt;=MAX('Per Line'!$AH$2:$AH$6001),MATCH(ROWS($V$2:$V139),'Per Line'!$AH$2:$AH$6001,0),"")</f>
        <v/>
      </c>
    </row>
    <row r="140">
      <c r="A140" s="12" t="n"/>
      <c r="B140">
        <f>IF($V140="","",INDEX('Per Line'!$C$2:$C$6001,$V140)&amp;"")</f>
        <v/>
      </c>
      <c r="C140" s="11">
        <f>IF($V140="","",INDEX('Per Line'!$D$2:$D$6001,$V140))</f>
        <v/>
      </c>
      <c r="D140">
        <f>IF($V140="","",INDEX('Per Line'!$E$2:$E$6001,$V140)&amp;"")</f>
        <v/>
      </c>
      <c r="E140">
        <f>IF($V140="","",INDEX('Per Line'!$G$2:$G$6001,$V140)&amp;"")</f>
        <v/>
      </c>
      <c r="F140">
        <f>IF($V140="","",INDEX('Per Line'!$H$2:$H$6001,$V140)&amp;"")</f>
        <v/>
      </c>
      <c r="G140">
        <f>IF($V140="","",INDEX('Per Line'!$I$2:$I$6001,$V140)&amp;"")</f>
        <v/>
      </c>
      <c r="H140">
        <f>IF($V140="","",INDEX('Per Line'!$J$2:$J$6001,$V140))</f>
        <v/>
      </c>
      <c r="I140" s="7">
        <f>IF($V140="","",H140*S140/100)</f>
        <v/>
      </c>
      <c r="J140">
        <f>IF($V140="","",INDEX('Per Line'!$S$2:$S$6001,$V140)&amp;"")</f>
        <v/>
      </c>
      <c r="K140" s="7">
        <f>IF($V140="","",SUMIFS('Per Line'!$R$2:$R$6001,'Per Line'!$C$2:$C$6001,$B140,'Per Line'!$AJ$2:$AJ$6001,1))</f>
        <v/>
      </c>
      <c r="L140">
        <f>IF($V140="","",Settings!$C$7)</f>
        <v/>
      </c>
      <c r="M140" s="7">
        <f>IF($V140="","",SUMIFS('Per Line'!$R$2:$R$6001,'Per Line'!$C$2:$C$6001,$B140,'Per Line'!$AI$2:$AI$6001,0,'Per Line'!$AJ$2:$AJ$6001,0))</f>
        <v/>
      </c>
      <c r="N140" s="7">
        <f>IF($V140="","",M140*L140)</f>
        <v/>
      </c>
      <c r="O140">
        <f>IF($V140="","",Settings!$C$6)</f>
        <v/>
      </c>
      <c r="P140" s="7">
        <f>IF($V140="","",SUMIFS('Per Line'!$R$2:$R$6001,'Per Line'!$C$2:$C$6001,$B140,'Per Line'!$AI$2:$AI$6001,1,'Per Line'!$AJ$2:$AJ$6001,0))</f>
        <v/>
      </c>
      <c r="Q140" s="7">
        <f>IF($V140="","",P140*O140)</f>
        <v/>
      </c>
      <c r="R140" s="7">
        <f>IF($V140="","",Q140+N140)</f>
        <v/>
      </c>
      <c r="S140" s="7">
        <f>IF($V140="","",T140-R140)</f>
        <v/>
      </c>
      <c r="T140" s="7">
        <f>IF($V140="","",M140+P140+K140)</f>
        <v/>
      </c>
      <c r="U140" s="7">
        <f>IF($V140="","",T140-R140-I140)</f>
        <v/>
      </c>
      <c r="V140" s="13">
        <f>IF(ROWS($V$2:$V140)&lt;=MAX('Per Line'!$AH$2:$AH$6001),MATCH(ROWS($V$2:$V140),'Per Line'!$AH$2:$AH$6001,0),"")</f>
        <v/>
      </c>
    </row>
    <row r="141">
      <c r="A141" s="12" t="n"/>
      <c r="B141">
        <f>IF($V141="","",INDEX('Per Line'!$C$2:$C$6001,$V141)&amp;"")</f>
        <v/>
      </c>
      <c r="C141" s="11">
        <f>IF($V141="","",INDEX('Per Line'!$D$2:$D$6001,$V141))</f>
        <v/>
      </c>
      <c r="D141">
        <f>IF($V141="","",INDEX('Per Line'!$E$2:$E$6001,$V141)&amp;"")</f>
        <v/>
      </c>
      <c r="E141">
        <f>IF($V141="","",INDEX('Per Line'!$G$2:$G$6001,$V141)&amp;"")</f>
        <v/>
      </c>
      <c r="F141">
        <f>IF($V141="","",INDEX('Per Line'!$H$2:$H$6001,$V141)&amp;"")</f>
        <v/>
      </c>
      <c r="G141">
        <f>IF($V141="","",INDEX('Per Line'!$I$2:$I$6001,$V141)&amp;"")</f>
        <v/>
      </c>
      <c r="H141">
        <f>IF($V141="","",INDEX('Per Line'!$J$2:$J$6001,$V141))</f>
        <v/>
      </c>
      <c r="I141" s="7">
        <f>IF($V141="","",H141*S141/100)</f>
        <v/>
      </c>
      <c r="J141">
        <f>IF($V141="","",INDEX('Per Line'!$S$2:$S$6001,$V141)&amp;"")</f>
        <v/>
      </c>
      <c r="K141" s="7">
        <f>IF($V141="","",SUMIFS('Per Line'!$R$2:$R$6001,'Per Line'!$C$2:$C$6001,$B141,'Per Line'!$AJ$2:$AJ$6001,1))</f>
        <v/>
      </c>
      <c r="L141">
        <f>IF($V141="","",Settings!$C$7)</f>
        <v/>
      </c>
      <c r="M141" s="7">
        <f>IF($V141="","",SUMIFS('Per Line'!$R$2:$R$6001,'Per Line'!$C$2:$C$6001,$B141,'Per Line'!$AI$2:$AI$6001,0,'Per Line'!$AJ$2:$AJ$6001,0))</f>
        <v/>
      </c>
      <c r="N141" s="7">
        <f>IF($V141="","",M141*L141)</f>
        <v/>
      </c>
      <c r="O141">
        <f>IF($V141="","",Settings!$C$6)</f>
        <v/>
      </c>
      <c r="P141" s="7">
        <f>IF($V141="","",SUMIFS('Per Line'!$R$2:$R$6001,'Per Line'!$C$2:$C$6001,$B141,'Per Line'!$AI$2:$AI$6001,1,'Per Line'!$AJ$2:$AJ$6001,0))</f>
        <v/>
      </c>
      <c r="Q141" s="7">
        <f>IF($V141="","",P141*O141)</f>
        <v/>
      </c>
      <c r="R141" s="7">
        <f>IF($V141="","",Q141+N141)</f>
        <v/>
      </c>
      <c r="S141" s="7">
        <f>IF($V141="","",T141-R141)</f>
        <v/>
      </c>
      <c r="T141" s="7">
        <f>IF($V141="","",M141+P141+K141)</f>
        <v/>
      </c>
      <c r="U141" s="7">
        <f>IF($V141="","",T141-R141-I141)</f>
        <v/>
      </c>
      <c r="V141" s="13">
        <f>IF(ROWS($V$2:$V141)&lt;=MAX('Per Line'!$AH$2:$AH$6001),MATCH(ROWS($V$2:$V141),'Per Line'!$AH$2:$AH$6001,0),"")</f>
        <v/>
      </c>
    </row>
    <row r="142">
      <c r="A142" s="12" t="n"/>
      <c r="B142">
        <f>IF($V142="","",INDEX('Per Line'!$C$2:$C$6001,$V142)&amp;"")</f>
        <v/>
      </c>
      <c r="C142" s="11">
        <f>IF($V142="","",INDEX('Per Line'!$D$2:$D$6001,$V142))</f>
        <v/>
      </c>
      <c r="D142">
        <f>IF($V142="","",INDEX('Per Line'!$E$2:$E$6001,$V142)&amp;"")</f>
        <v/>
      </c>
      <c r="E142">
        <f>IF($V142="","",INDEX('Per Line'!$G$2:$G$6001,$V142)&amp;"")</f>
        <v/>
      </c>
      <c r="F142">
        <f>IF($V142="","",INDEX('Per Line'!$H$2:$H$6001,$V142)&amp;"")</f>
        <v/>
      </c>
      <c r="G142">
        <f>IF($V142="","",INDEX('Per Line'!$I$2:$I$6001,$V142)&amp;"")</f>
        <v/>
      </c>
      <c r="H142">
        <f>IF($V142="","",INDEX('Per Line'!$J$2:$J$6001,$V142))</f>
        <v/>
      </c>
      <c r="I142" s="7">
        <f>IF($V142="","",H142*S142/100)</f>
        <v/>
      </c>
      <c r="J142">
        <f>IF($V142="","",INDEX('Per Line'!$S$2:$S$6001,$V142)&amp;"")</f>
        <v/>
      </c>
      <c r="K142" s="7">
        <f>IF($V142="","",SUMIFS('Per Line'!$R$2:$R$6001,'Per Line'!$C$2:$C$6001,$B142,'Per Line'!$AJ$2:$AJ$6001,1))</f>
        <v/>
      </c>
      <c r="L142">
        <f>IF($V142="","",Settings!$C$7)</f>
        <v/>
      </c>
      <c r="M142" s="7">
        <f>IF($V142="","",SUMIFS('Per Line'!$R$2:$R$6001,'Per Line'!$C$2:$C$6001,$B142,'Per Line'!$AI$2:$AI$6001,0,'Per Line'!$AJ$2:$AJ$6001,0))</f>
        <v/>
      </c>
      <c r="N142" s="7">
        <f>IF($V142="","",M142*L142)</f>
        <v/>
      </c>
      <c r="O142">
        <f>IF($V142="","",Settings!$C$6)</f>
        <v/>
      </c>
      <c r="P142" s="7">
        <f>IF($V142="","",SUMIFS('Per Line'!$R$2:$R$6001,'Per Line'!$C$2:$C$6001,$B142,'Per Line'!$AI$2:$AI$6001,1,'Per Line'!$AJ$2:$AJ$6001,0))</f>
        <v/>
      </c>
      <c r="Q142" s="7">
        <f>IF($V142="","",P142*O142)</f>
        <v/>
      </c>
      <c r="R142" s="7">
        <f>IF($V142="","",Q142+N142)</f>
        <v/>
      </c>
      <c r="S142" s="7">
        <f>IF($V142="","",T142-R142)</f>
        <v/>
      </c>
      <c r="T142" s="7">
        <f>IF($V142="","",M142+P142+K142)</f>
        <v/>
      </c>
      <c r="U142" s="7">
        <f>IF($V142="","",T142-R142-I142)</f>
        <v/>
      </c>
      <c r="V142" s="13">
        <f>IF(ROWS($V$2:$V142)&lt;=MAX('Per Line'!$AH$2:$AH$6001),MATCH(ROWS($V$2:$V142),'Per Line'!$AH$2:$AH$6001,0),"")</f>
        <v/>
      </c>
    </row>
    <row r="143">
      <c r="A143" s="12" t="n"/>
      <c r="B143">
        <f>IF($V143="","",INDEX('Per Line'!$C$2:$C$6001,$V143)&amp;"")</f>
        <v/>
      </c>
      <c r="C143" s="11">
        <f>IF($V143="","",INDEX('Per Line'!$D$2:$D$6001,$V143))</f>
        <v/>
      </c>
      <c r="D143">
        <f>IF($V143="","",INDEX('Per Line'!$E$2:$E$6001,$V143)&amp;"")</f>
        <v/>
      </c>
      <c r="E143">
        <f>IF($V143="","",INDEX('Per Line'!$G$2:$G$6001,$V143)&amp;"")</f>
        <v/>
      </c>
      <c r="F143">
        <f>IF($V143="","",INDEX('Per Line'!$H$2:$H$6001,$V143)&amp;"")</f>
        <v/>
      </c>
      <c r="G143">
        <f>IF($V143="","",INDEX('Per Line'!$I$2:$I$6001,$V143)&amp;"")</f>
        <v/>
      </c>
      <c r="H143">
        <f>IF($V143="","",INDEX('Per Line'!$J$2:$J$6001,$V143))</f>
        <v/>
      </c>
      <c r="I143" s="7">
        <f>IF($V143="","",H143*S143/100)</f>
        <v/>
      </c>
      <c r="J143">
        <f>IF($V143="","",INDEX('Per Line'!$S$2:$S$6001,$V143)&amp;"")</f>
        <v/>
      </c>
      <c r="K143" s="7">
        <f>IF($V143="","",SUMIFS('Per Line'!$R$2:$R$6001,'Per Line'!$C$2:$C$6001,$B143,'Per Line'!$AJ$2:$AJ$6001,1))</f>
        <v/>
      </c>
      <c r="L143">
        <f>IF($V143="","",Settings!$C$7)</f>
        <v/>
      </c>
      <c r="M143" s="7">
        <f>IF($V143="","",SUMIFS('Per Line'!$R$2:$R$6001,'Per Line'!$C$2:$C$6001,$B143,'Per Line'!$AI$2:$AI$6001,0,'Per Line'!$AJ$2:$AJ$6001,0))</f>
        <v/>
      </c>
      <c r="N143" s="7">
        <f>IF($V143="","",M143*L143)</f>
        <v/>
      </c>
      <c r="O143">
        <f>IF($V143="","",Settings!$C$6)</f>
        <v/>
      </c>
      <c r="P143" s="7">
        <f>IF($V143="","",SUMIFS('Per Line'!$R$2:$R$6001,'Per Line'!$C$2:$C$6001,$B143,'Per Line'!$AI$2:$AI$6001,1,'Per Line'!$AJ$2:$AJ$6001,0))</f>
        <v/>
      </c>
      <c r="Q143" s="7">
        <f>IF($V143="","",P143*O143)</f>
        <v/>
      </c>
      <c r="R143" s="7">
        <f>IF($V143="","",Q143+N143)</f>
        <v/>
      </c>
      <c r="S143" s="7">
        <f>IF($V143="","",T143-R143)</f>
        <v/>
      </c>
      <c r="T143" s="7">
        <f>IF($V143="","",M143+P143+K143)</f>
        <v/>
      </c>
      <c r="U143" s="7">
        <f>IF($V143="","",T143-R143-I143)</f>
        <v/>
      </c>
      <c r="V143" s="13">
        <f>IF(ROWS($V$2:$V143)&lt;=MAX('Per Line'!$AH$2:$AH$6001),MATCH(ROWS($V$2:$V143),'Per Line'!$AH$2:$AH$6001,0),"")</f>
        <v/>
      </c>
    </row>
    <row r="144">
      <c r="A144" s="12" t="n"/>
      <c r="B144">
        <f>IF($V144="","",INDEX('Per Line'!$C$2:$C$6001,$V144)&amp;"")</f>
        <v/>
      </c>
      <c r="C144" s="11">
        <f>IF($V144="","",INDEX('Per Line'!$D$2:$D$6001,$V144))</f>
        <v/>
      </c>
      <c r="D144">
        <f>IF($V144="","",INDEX('Per Line'!$E$2:$E$6001,$V144)&amp;"")</f>
        <v/>
      </c>
      <c r="E144">
        <f>IF($V144="","",INDEX('Per Line'!$G$2:$G$6001,$V144)&amp;"")</f>
        <v/>
      </c>
      <c r="F144">
        <f>IF($V144="","",INDEX('Per Line'!$H$2:$H$6001,$V144)&amp;"")</f>
        <v/>
      </c>
      <c r="G144">
        <f>IF($V144="","",INDEX('Per Line'!$I$2:$I$6001,$V144)&amp;"")</f>
        <v/>
      </c>
      <c r="H144">
        <f>IF($V144="","",INDEX('Per Line'!$J$2:$J$6001,$V144))</f>
        <v/>
      </c>
      <c r="I144" s="7">
        <f>IF($V144="","",H144*S144/100)</f>
        <v/>
      </c>
      <c r="J144">
        <f>IF($V144="","",INDEX('Per Line'!$S$2:$S$6001,$V144)&amp;"")</f>
        <v/>
      </c>
      <c r="K144" s="7">
        <f>IF($V144="","",SUMIFS('Per Line'!$R$2:$R$6001,'Per Line'!$C$2:$C$6001,$B144,'Per Line'!$AJ$2:$AJ$6001,1))</f>
        <v/>
      </c>
      <c r="L144">
        <f>IF($V144="","",Settings!$C$7)</f>
        <v/>
      </c>
      <c r="M144" s="7">
        <f>IF($V144="","",SUMIFS('Per Line'!$R$2:$R$6001,'Per Line'!$C$2:$C$6001,$B144,'Per Line'!$AI$2:$AI$6001,0,'Per Line'!$AJ$2:$AJ$6001,0))</f>
        <v/>
      </c>
      <c r="N144" s="7">
        <f>IF($V144="","",M144*L144)</f>
        <v/>
      </c>
      <c r="O144">
        <f>IF($V144="","",Settings!$C$6)</f>
        <v/>
      </c>
      <c r="P144" s="7">
        <f>IF($V144="","",SUMIFS('Per Line'!$R$2:$R$6001,'Per Line'!$C$2:$C$6001,$B144,'Per Line'!$AI$2:$AI$6001,1,'Per Line'!$AJ$2:$AJ$6001,0))</f>
        <v/>
      </c>
      <c r="Q144" s="7">
        <f>IF($V144="","",P144*O144)</f>
        <v/>
      </c>
      <c r="R144" s="7">
        <f>IF($V144="","",Q144+N144)</f>
        <v/>
      </c>
      <c r="S144" s="7">
        <f>IF($V144="","",T144-R144)</f>
        <v/>
      </c>
      <c r="T144" s="7">
        <f>IF($V144="","",M144+P144+K144)</f>
        <v/>
      </c>
      <c r="U144" s="7">
        <f>IF($V144="","",T144-R144-I144)</f>
        <v/>
      </c>
      <c r="V144" s="13">
        <f>IF(ROWS($V$2:$V144)&lt;=MAX('Per Line'!$AH$2:$AH$6001),MATCH(ROWS($V$2:$V144),'Per Line'!$AH$2:$AH$6001,0),"")</f>
        <v/>
      </c>
    </row>
    <row r="145">
      <c r="A145" s="12" t="n"/>
      <c r="B145">
        <f>IF($V145="","",INDEX('Per Line'!$C$2:$C$6001,$V145)&amp;"")</f>
        <v/>
      </c>
      <c r="C145" s="11">
        <f>IF($V145="","",INDEX('Per Line'!$D$2:$D$6001,$V145))</f>
        <v/>
      </c>
      <c r="D145">
        <f>IF($V145="","",INDEX('Per Line'!$E$2:$E$6001,$V145)&amp;"")</f>
        <v/>
      </c>
      <c r="E145">
        <f>IF($V145="","",INDEX('Per Line'!$G$2:$G$6001,$V145)&amp;"")</f>
        <v/>
      </c>
      <c r="F145">
        <f>IF($V145="","",INDEX('Per Line'!$H$2:$H$6001,$V145)&amp;"")</f>
        <v/>
      </c>
      <c r="G145">
        <f>IF($V145="","",INDEX('Per Line'!$I$2:$I$6001,$V145)&amp;"")</f>
        <v/>
      </c>
      <c r="H145">
        <f>IF($V145="","",INDEX('Per Line'!$J$2:$J$6001,$V145))</f>
        <v/>
      </c>
      <c r="I145" s="7">
        <f>IF($V145="","",H145*S145/100)</f>
        <v/>
      </c>
      <c r="J145">
        <f>IF($V145="","",INDEX('Per Line'!$S$2:$S$6001,$V145)&amp;"")</f>
        <v/>
      </c>
      <c r="K145" s="7">
        <f>IF($V145="","",SUMIFS('Per Line'!$R$2:$R$6001,'Per Line'!$C$2:$C$6001,$B145,'Per Line'!$AJ$2:$AJ$6001,1))</f>
        <v/>
      </c>
      <c r="L145">
        <f>IF($V145="","",Settings!$C$7)</f>
        <v/>
      </c>
      <c r="M145" s="7">
        <f>IF($V145="","",SUMIFS('Per Line'!$R$2:$R$6001,'Per Line'!$C$2:$C$6001,$B145,'Per Line'!$AI$2:$AI$6001,0,'Per Line'!$AJ$2:$AJ$6001,0))</f>
        <v/>
      </c>
      <c r="N145" s="7">
        <f>IF($V145="","",M145*L145)</f>
        <v/>
      </c>
      <c r="O145">
        <f>IF($V145="","",Settings!$C$6)</f>
        <v/>
      </c>
      <c r="P145" s="7">
        <f>IF($V145="","",SUMIFS('Per Line'!$R$2:$R$6001,'Per Line'!$C$2:$C$6001,$B145,'Per Line'!$AI$2:$AI$6001,1,'Per Line'!$AJ$2:$AJ$6001,0))</f>
        <v/>
      </c>
      <c r="Q145" s="7">
        <f>IF($V145="","",P145*O145)</f>
        <v/>
      </c>
      <c r="R145" s="7">
        <f>IF($V145="","",Q145+N145)</f>
        <v/>
      </c>
      <c r="S145" s="7">
        <f>IF($V145="","",T145-R145)</f>
        <v/>
      </c>
      <c r="T145" s="7">
        <f>IF($V145="","",M145+P145+K145)</f>
        <v/>
      </c>
      <c r="U145" s="7">
        <f>IF($V145="","",T145-R145-I145)</f>
        <v/>
      </c>
      <c r="V145" s="13">
        <f>IF(ROWS($V$2:$V145)&lt;=MAX('Per Line'!$AH$2:$AH$6001),MATCH(ROWS($V$2:$V145),'Per Line'!$AH$2:$AH$6001,0),"")</f>
        <v/>
      </c>
    </row>
    <row r="146">
      <c r="A146" s="12" t="n"/>
      <c r="B146">
        <f>IF($V146="","",INDEX('Per Line'!$C$2:$C$6001,$V146)&amp;"")</f>
        <v/>
      </c>
      <c r="C146" s="11">
        <f>IF($V146="","",INDEX('Per Line'!$D$2:$D$6001,$V146))</f>
        <v/>
      </c>
      <c r="D146">
        <f>IF($V146="","",INDEX('Per Line'!$E$2:$E$6001,$V146)&amp;"")</f>
        <v/>
      </c>
      <c r="E146">
        <f>IF($V146="","",INDEX('Per Line'!$G$2:$G$6001,$V146)&amp;"")</f>
        <v/>
      </c>
      <c r="F146">
        <f>IF($V146="","",INDEX('Per Line'!$H$2:$H$6001,$V146)&amp;"")</f>
        <v/>
      </c>
      <c r="G146">
        <f>IF($V146="","",INDEX('Per Line'!$I$2:$I$6001,$V146)&amp;"")</f>
        <v/>
      </c>
      <c r="H146">
        <f>IF($V146="","",INDEX('Per Line'!$J$2:$J$6001,$V146))</f>
        <v/>
      </c>
      <c r="I146" s="7">
        <f>IF($V146="","",H146*S146/100)</f>
        <v/>
      </c>
      <c r="J146">
        <f>IF($V146="","",INDEX('Per Line'!$S$2:$S$6001,$V146)&amp;"")</f>
        <v/>
      </c>
      <c r="K146" s="7">
        <f>IF($V146="","",SUMIFS('Per Line'!$R$2:$R$6001,'Per Line'!$C$2:$C$6001,$B146,'Per Line'!$AJ$2:$AJ$6001,1))</f>
        <v/>
      </c>
      <c r="L146">
        <f>IF($V146="","",Settings!$C$7)</f>
        <v/>
      </c>
      <c r="M146" s="7">
        <f>IF($V146="","",SUMIFS('Per Line'!$R$2:$R$6001,'Per Line'!$C$2:$C$6001,$B146,'Per Line'!$AI$2:$AI$6001,0,'Per Line'!$AJ$2:$AJ$6001,0))</f>
        <v/>
      </c>
      <c r="N146" s="7">
        <f>IF($V146="","",M146*L146)</f>
        <v/>
      </c>
      <c r="O146">
        <f>IF($V146="","",Settings!$C$6)</f>
        <v/>
      </c>
      <c r="P146" s="7">
        <f>IF($V146="","",SUMIFS('Per Line'!$R$2:$R$6001,'Per Line'!$C$2:$C$6001,$B146,'Per Line'!$AI$2:$AI$6001,1,'Per Line'!$AJ$2:$AJ$6001,0))</f>
        <v/>
      </c>
      <c r="Q146" s="7">
        <f>IF($V146="","",P146*O146)</f>
        <v/>
      </c>
      <c r="R146" s="7">
        <f>IF($V146="","",Q146+N146)</f>
        <v/>
      </c>
      <c r="S146" s="7">
        <f>IF($V146="","",T146-R146)</f>
        <v/>
      </c>
      <c r="T146" s="7">
        <f>IF($V146="","",M146+P146+K146)</f>
        <v/>
      </c>
      <c r="U146" s="7">
        <f>IF($V146="","",T146-R146-I146)</f>
        <v/>
      </c>
      <c r="V146" s="13">
        <f>IF(ROWS($V$2:$V146)&lt;=MAX('Per Line'!$AH$2:$AH$6001),MATCH(ROWS($V$2:$V146),'Per Line'!$AH$2:$AH$6001,0),"")</f>
        <v/>
      </c>
    </row>
    <row r="147">
      <c r="A147" s="12" t="n"/>
      <c r="B147">
        <f>IF($V147="","",INDEX('Per Line'!$C$2:$C$6001,$V147)&amp;"")</f>
        <v/>
      </c>
      <c r="C147" s="11">
        <f>IF($V147="","",INDEX('Per Line'!$D$2:$D$6001,$V147))</f>
        <v/>
      </c>
      <c r="D147">
        <f>IF($V147="","",INDEX('Per Line'!$E$2:$E$6001,$V147)&amp;"")</f>
        <v/>
      </c>
      <c r="E147">
        <f>IF($V147="","",INDEX('Per Line'!$G$2:$G$6001,$V147)&amp;"")</f>
        <v/>
      </c>
      <c r="F147">
        <f>IF($V147="","",INDEX('Per Line'!$H$2:$H$6001,$V147)&amp;"")</f>
        <v/>
      </c>
      <c r="G147">
        <f>IF($V147="","",INDEX('Per Line'!$I$2:$I$6001,$V147)&amp;"")</f>
        <v/>
      </c>
      <c r="H147">
        <f>IF($V147="","",INDEX('Per Line'!$J$2:$J$6001,$V147))</f>
        <v/>
      </c>
      <c r="I147" s="7">
        <f>IF($V147="","",H147*S147/100)</f>
        <v/>
      </c>
      <c r="J147">
        <f>IF($V147="","",INDEX('Per Line'!$S$2:$S$6001,$V147)&amp;"")</f>
        <v/>
      </c>
      <c r="K147" s="7">
        <f>IF($V147="","",SUMIFS('Per Line'!$R$2:$R$6001,'Per Line'!$C$2:$C$6001,$B147,'Per Line'!$AJ$2:$AJ$6001,1))</f>
        <v/>
      </c>
      <c r="L147">
        <f>IF($V147="","",Settings!$C$7)</f>
        <v/>
      </c>
      <c r="M147" s="7">
        <f>IF($V147="","",SUMIFS('Per Line'!$R$2:$R$6001,'Per Line'!$C$2:$C$6001,$B147,'Per Line'!$AI$2:$AI$6001,0,'Per Line'!$AJ$2:$AJ$6001,0))</f>
        <v/>
      </c>
      <c r="N147" s="7">
        <f>IF($V147="","",M147*L147)</f>
        <v/>
      </c>
      <c r="O147">
        <f>IF($V147="","",Settings!$C$6)</f>
        <v/>
      </c>
      <c r="P147" s="7">
        <f>IF($V147="","",SUMIFS('Per Line'!$R$2:$R$6001,'Per Line'!$C$2:$C$6001,$B147,'Per Line'!$AI$2:$AI$6001,1,'Per Line'!$AJ$2:$AJ$6001,0))</f>
        <v/>
      </c>
      <c r="Q147" s="7">
        <f>IF($V147="","",P147*O147)</f>
        <v/>
      </c>
      <c r="R147" s="7">
        <f>IF($V147="","",Q147+N147)</f>
        <v/>
      </c>
      <c r="S147" s="7">
        <f>IF($V147="","",T147-R147)</f>
        <v/>
      </c>
      <c r="T147" s="7">
        <f>IF($V147="","",M147+P147+K147)</f>
        <v/>
      </c>
      <c r="U147" s="7">
        <f>IF($V147="","",T147-R147-I147)</f>
        <v/>
      </c>
      <c r="V147" s="13">
        <f>IF(ROWS($V$2:$V147)&lt;=MAX('Per Line'!$AH$2:$AH$6001),MATCH(ROWS($V$2:$V147),'Per Line'!$AH$2:$AH$6001,0),"")</f>
        <v/>
      </c>
    </row>
    <row r="148">
      <c r="A148" s="12" t="n"/>
      <c r="B148">
        <f>IF($V148="","",INDEX('Per Line'!$C$2:$C$6001,$V148)&amp;"")</f>
        <v/>
      </c>
      <c r="C148" s="11">
        <f>IF($V148="","",INDEX('Per Line'!$D$2:$D$6001,$V148))</f>
        <v/>
      </c>
      <c r="D148">
        <f>IF($V148="","",INDEX('Per Line'!$E$2:$E$6001,$V148)&amp;"")</f>
        <v/>
      </c>
      <c r="E148">
        <f>IF($V148="","",INDEX('Per Line'!$G$2:$G$6001,$V148)&amp;"")</f>
        <v/>
      </c>
      <c r="F148">
        <f>IF($V148="","",INDEX('Per Line'!$H$2:$H$6001,$V148)&amp;"")</f>
        <v/>
      </c>
      <c r="G148">
        <f>IF($V148="","",INDEX('Per Line'!$I$2:$I$6001,$V148)&amp;"")</f>
        <v/>
      </c>
      <c r="H148">
        <f>IF($V148="","",INDEX('Per Line'!$J$2:$J$6001,$V148))</f>
        <v/>
      </c>
      <c r="I148" s="7">
        <f>IF($V148="","",H148*S148/100)</f>
        <v/>
      </c>
      <c r="J148">
        <f>IF($V148="","",INDEX('Per Line'!$S$2:$S$6001,$V148)&amp;"")</f>
        <v/>
      </c>
      <c r="K148" s="7">
        <f>IF($V148="","",SUMIFS('Per Line'!$R$2:$R$6001,'Per Line'!$C$2:$C$6001,$B148,'Per Line'!$AJ$2:$AJ$6001,1))</f>
        <v/>
      </c>
      <c r="L148">
        <f>IF($V148="","",Settings!$C$7)</f>
        <v/>
      </c>
      <c r="M148" s="7">
        <f>IF($V148="","",SUMIFS('Per Line'!$R$2:$R$6001,'Per Line'!$C$2:$C$6001,$B148,'Per Line'!$AI$2:$AI$6001,0,'Per Line'!$AJ$2:$AJ$6001,0))</f>
        <v/>
      </c>
      <c r="N148" s="7">
        <f>IF($V148="","",M148*L148)</f>
        <v/>
      </c>
      <c r="O148">
        <f>IF($V148="","",Settings!$C$6)</f>
        <v/>
      </c>
      <c r="P148" s="7">
        <f>IF($V148="","",SUMIFS('Per Line'!$R$2:$R$6001,'Per Line'!$C$2:$C$6001,$B148,'Per Line'!$AI$2:$AI$6001,1,'Per Line'!$AJ$2:$AJ$6001,0))</f>
        <v/>
      </c>
      <c r="Q148" s="7">
        <f>IF($V148="","",P148*O148)</f>
        <v/>
      </c>
      <c r="R148" s="7">
        <f>IF($V148="","",Q148+N148)</f>
        <v/>
      </c>
      <c r="S148" s="7">
        <f>IF($V148="","",T148-R148)</f>
        <v/>
      </c>
      <c r="T148" s="7">
        <f>IF($V148="","",M148+P148+K148)</f>
        <v/>
      </c>
      <c r="U148" s="7">
        <f>IF($V148="","",T148-R148-I148)</f>
        <v/>
      </c>
      <c r="V148" s="13">
        <f>IF(ROWS($V$2:$V148)&lt;=MAX('Per Line'!$AH$2:$AH$6001),MATCH(ROWS($V$2:$V148),'Per Line'!$AH$2:$AH$6001,0),"")</f>
        <v/>
      </c>
    </row>
    <row r="149">
      <c r="A149" s="12" t="n"/>
      <c r="B149">
        <f>IF($V149="","",INDEX('Per Line'!$C$2:$C$6001,$V149)&amp;"")</f>
        <v/>
      </c>
      <c r="C149" s="11">
        <f>IF($V149="","",INDEX('Per Line'!$D$2:$D$6001,$V149))</f>
        <v/>
      </c>
      <c r="D149">
        <f>IF($V149="","",INDEX('Per Line'!$E$2:$E$6001,$V149)&amp;"")</f>
        <v/>
      </c>
      <c r="E149">
        <f>IF($V149="","",INDEX('Per Line'!$G$2:$G$6001,$V149)&amp;"")</f>
        <v/>
      </c>
      <c r="F149">
        <f>IF($V149="","",INDEX('Per Line'!$H$2:$H$6001,$V149)&amp;"")</f>
        <v/>
      </c>
      <c r="G149">
        <f>IF($V149="","",INDEX('Per Line'!$I$2:$I$6001,$V149)&amp;"")</f>
        <v/>
      </c>
      <c r="H149">
        <f>IF($V149="","",INDEX('Per Line'!$J$2:$J$6001,$V149))</f>
        <v/>
      </c>
      <c r="I149" s="7">
        <f>IF($V149="","",H149*S149/100)</f>
        <v/>
      </c>
      <c r="J149">
        <f>IF($V149="","",INDEX('Per Line'!$S$2:$S$6001,$V149)&amp;"")</f>
        <v/>
      </c>
      <c r="K149" s="7">
        <f>IF($V149="","",SUMIFS('Per Line'!$R$2:$R$6001,'Per Line'!$C$2:$C$6001,$B149,'Per Line'!$AJ$2:$AJ$6001,1))</f>
        <v/>
      </c>
      <c r="L149">
        <f>IF($V149="","",Settings!$C$7)</f>
        <v/>
      </c>
      <c r="M149" s="7">
        <f>IF($V149="","",SUMIFS('Per Line'!$R$2:$R$6001,'Per Line'!$C$2:$C$6001,$B149,'Per Line'!$AI$2:$AI$6001,0,'Per Line'!$AJ$2:$AJ$6001,0))</f>
        <v/>
      </c>
      <c r="N149" s="7">
        <f>IF($V149="","",M149*L149)</f>
        <v/>
      </c>
      <c r="O149">
        <f>IF($V149="","",Settings!$C$6)</f>
        <v/>
      </c>
      <c r="P149" s="7">
        <f>IF($V149="","",SUMIFS('Per Line'!$R$2:$R$6001,'Per Line'!$C$2:$C$6001,$B149,'Per Line'!$AI$2:$AI$6001,1,'Per Line'!$AJ$2:$AJ$6001,0))</f>
        <v/>
      </c>
      <c r="Q149" s="7">
        <f>IF($V149="","",P149*O149)</f>
        <v/>
      </c>
      <c r="R149" s="7">
        <f>IF($V149="","",Q149+N149)</f>
        <v/>
      </c>
      <c r="S149" s="7">
        <f>IF($V149="","",T149-R149)</f>
        <v/>
      </c>
      <c r="T149" s="7">
        <f>IF($V149="","",M149+P149+K149)</f>
        <v/>
      </c>
      <c r="U149" s="7">
        <f>IF($V149="","",T149-R149-I149)</f>
        <v/>
      </c>
      <c r="V149" s="13">
        <f>IF(ROWS($V$2:$V149)&lt;=MAX('Per Line'!$AH$2:$AH$6001),MATCH(ROWS($V$2:$V149),'Per Line'!$AH$2:$AH$6001,0),"")</f>
        <v/>
      </c>
    </row>
    <row r="150">
      <c r="A150" s="12" t="n"/>
      <c r="B150">
        <f>IF($V150="","",INDEX('Per Line'!$C$2:$C$6001,$V150)&amp;"")</f>
        <v/>
      </c>
      <c r="C150" s="11">
        <f>IF($V150="","",INDEX('Per Line'!$D$2:$D$6001,$V150))</f>
        <v/>
      </c>
      <c r="D150">
        <f>IF($V150="","",INDEX('Per Line'!$E$2:$E$6001,$V150)&amp;"")</f>
        <v/>
      </c>
      <c r="E150">
        <f>IF($V150="","",INDEX('Per Line'!$G$2:$G$6001,$V150)&amp;"")</f>
        <v/>
      </c>
      <c r="F150">
        <f>IF($V150="","",INDEX('Per Line'!$H$2:$H$6001,$V150)&amp;"")</f>
        <v/>
      </c>
      <c r="G150">
        <f>IF($V150="","",INDEX('Per Line'!$I$2:$I$6001,$V150)&amp;"")</f>
        <v/>
      </c>
      <c r="H150">
        <f>IF($V150="","",INDEX('Per Line'!$J$2:$J$6001,$V150))</f>
        <v/>
      </c>
      <c r="I150" s="7">
        <f>IF($V150="","",H150*S150/100)</f>
        <v/>
      </c>
      <c r="J150">
        <f>IF($V150="","",INDEX('Per Line'!$S$2:$S$6001,$V150)&amp;"")</f>
        <v/>
      </c>
      <c r="K150" s="7">
        <f>IF($V150="","",SUMIFS('Per Line'!$R$2:$R$6001,'Per Line'!$C$2:$C$6001,$B150,'Per Line'!$AJ$2:$AJ$6001,1))</f>
        <v/>
      </c>
      <c r="L150">
        <f>IF($V150="","",Settings!$C$7)</f>
        <v/>
      </c>
      <c r="M150" s="7">
        <f>IF($V150="","",SUMIFS('Per Line'!$R$2:$R$6001,'Per Line'!$C$2:$C$6001,$B150,'Per Line'!$AI$2:$AI$6001,0,'Per Line'!$AJ$2:$AJ$6001,0))</f>
        <v/>
      </c>
      <c r="N150" s="7">
        <f>IF($V150="","",M150*L150)</f>
        <v/>
      </c>
      <c r="O150">
        <f>IF($V150="","",Settings!$C$6)</f>
        <v/>
      </c>
      <c r="P150" s="7">
        <f>IF($V150="","",SUMIFS('Per Line'!$R$2:$R$6001,'Per Line'!$C$2:$C$6001,$B150,'Per Line'!$AI$2:$AI$6001,1,'Per Line'!$AJ$2:$AJ$6001,0))</f>
        <v/>
      </c>
      <c r="Q150" s="7">
        <f>IF($V150="","",P150*O150)</f>
        <v/>
      </c>
      <c r="R150" s="7">
        <f>IF($V150="","",Q150+N150)</f>
        <v/>
      </c>
      <c r="S150" s="7">
        <f>IF($V150="","",T150-R150)</f>
        <v/>
      </c>
      <c r="T150" s="7">
        <f>IF($V150="","",M150+P150+K150)</f>
        <v/>
      </c>
      <c r="U150" s="7">
        <f>IF($V150="","",T150-R150-I150)</f>
        <v/>
      </c>
      <c r="V150" s="13">
        <f>IF(ROWS($V$2:$V150)&lt;=MAX('Per Line'!$AH$2:$AH$6001),MATCH(ROWS($V$2:$V150),'Per Line'!$AH$2:$AH$6001,0),"")</f>
        <v/>
      </c>
    </row>
    <row r="151">
      <c r="A151" s="12" t="n"/>
      <c r="B151">
        <f>IF($V151="","",INDEX('Per Line'!$C$2:$C$6001,$V151)&amp;"")</f>
        <v/>
      </c>
      <c r="C151" s="11">
        <f>IF($V151="","",INDEX('Per Line'!$D$2:$D$6001,$V151))</f>
        <v/>
      </c>
      <c r="D151">
        <f>IF($V151="","",INDEX('Per Line'!$E$2:$E$6001,$V151)&amp;"")</f>
        <v/>
      </c>
      <c r="E151">
        <f>IF($V151="","",INDEX('Per Line'!$G$2:$G$6001,$V151)&amp;"")</f>
        <v/>
      </c>
      <c r="F151">
        <f>IF($V151="","",INDEX('Per Line'!$H$2:$H$6001,$V151)&amp;"")</f>
        <v/>
      </c>
      <c r="G151">
        <f>IF($V151="","",INDEX('Per Line'!$I$2:$I$6001,$V151)&amp;"")</f>
        <v/>
      </c>
      <c r="H151">
        <f>IF($V151="","",INDEX('Per Line'!$J$2:$J$6001,$V151))</f>
        <v/>
      </c>
      <c r="I151" s="7">
        <f>IF($V151="","",H151*S151/100)</f>
        <v/>
      </c>
      <c r="J151">
        <f>IF($V151="","",INDEX('Per Line'!$S$2:$S$6001,$V151)&amp;"")</f>
        <v/>
      </c>
      <c r="K151" s="7">
        <f>IF($V151="","",SUMIFS('Per Line'!$R$2:$R$6001,'Per Line'!$C$2:$C$6001,$B151,'Per Line'!$AJ$2:$AJ$6001,1))</f>
        <v/>
      </c>
      <c r="L151">
        <f>IF($V151="","",Settings!$C$7)</f>
        <v/>
      </c>
      <c r="M151" s="7">
        <f>IF($V151="","",SUMIFS('Per Line'!$R$2:$R$6001,'Per Line'!$C$2:$C$6001,$B151,'Per Line'!$AI$2:$AI$6001,0,'Per Line'!$AJ$2:$AJ$6001,0))</f>
        <v/>
      </c>
      <c r="N151" s="7">
        <f>IF($V151="","",M151*L151)</f>
        <v/>
      </c>
      <c r="O151">
        <f>IF($V151="","",Settings!$C$6)</f>
        <v/>
      </c>
      <c r="P151" s="7">
        <f>IF($V151="","",SUMIFS('Per Line'!$R$2:$R$6001,'Per Line'!$C$2:$C$6001,$B151,'Per Line'!$AI$2:$AI$6001,1,'Per Line'!$AJ$2:$AJ$6001,0))</f>
        <v/>
      </c>
      <c r="Q151" s="7">
        <f>IF($V151="","",P151*O151)</f>
        <v/>
      </c>
      <c r="R151" s="7">
        <f>IF($V151="","",Q151+N151)</f>
        <v/>
      </c>
      <c r="S151" s="7">
        <f>IF($V151="","",T151-R151)</f>
        <v/>
      </c>
      <c r="T151" s="7">
        <f>IF($V151="","",M151+P151+K151)</f>
        <v/>
      </c>
      <c r="U151" s="7">
        <f>IF($V151="","",T151-R151-I151)</f>
        <v/>
      </c>
      <c r="V151" s="13">
        <f>IF(ROWS($V$2:$V151)&lt;=MAX('Per Line'!$AH$2:$AH$6001),MATCH(ROWS($V$2:$V151),'Per Line'!$AH$2:$AH$6001,0),"")</f>
        <v/>
      </c>
    </row>
    <row r="152">
      <c r="A152" s="12" t="n"/>
      <c r="B152">
        <f>IF($V152="","",INDEX('Per Line'!$C$2:$C$6001,$V152)&amp;"")</f>
        <v/>
      </c>
      <c r="C152" s="11">
        <f>IF($V152="","",INDEX('Per Line'!$D$2:$D$6001,$V152))</f>
        <v/>
      </c>
      <c r="D152">
        <f>IF($V152="","",INDEX('Per Line'!$E$2:$E$6001,$V152)&amp;"")</f>
        <v/>
      </c>
      <c r="E152">
        <f>IF($V152="","",INDEX('Per Line'!$G$2:$G$6001,$V152)&amp;"")</f>
        <v/>
      </c>
      <c r="F152">
        <f>IF($V152="","",INDEX('Per Line'!$H$2:$H$6001,$V152)&amp;"")</f>
        <v/>
      </c>
      <c r="G152">
        <f>IF($V152="","",INDEX('Per Line'!$I$2:$I$6001,$V152)&amp;"")</f>
        <v/>
      </c>
      <c r="H152">
        <f>IF($V152="","",INDEX('Per Line'!$J$2:$J$6001,$V152))</f>
        <v/>
      </c>
      <c r="I152" s="7">
        <f>IF($V152="","",H152*S152/100)</f>
        <v/>
      </c>
      <c r="J152">
        <f>IF($V152="","",INDEX('Per Line'!$S$2:$S$6001,$V152)&amp;"")</f>
        <v/>
      </c>
      <c r="K152" s="7">
        <f>IF($V152="","",SUMIFS('Per Line'!$R$2:$R$6001,'Per Line'!$C$2:$C$6001,$B152,'Per Line'!$AJ$2:$AJ$6001,1))</f>
        <v/>
      </c>
      <c r="L152">
        <f>IF($V152="","",Settings!$C$7)</f>
        <v/>
      </c>
      <c r="M152" s="7">
        <f>IF($V152="","",SUMIFS('Per Line'!$R$2:$R$6001,'Per Line'!$C$2:$C$6001,$B152,'Per Line'!$AI$2:$AI$6001,0,'Per Line'!$AJ$2:$AJ$6001,0))</f>
        <v/>
      </c>
      <c r="N152" s="7">
        <f>IF($V152="","",M152*L152)</f>
        <v/>
      </c>
      <c r="O152">
        <f>IF($V152="","",Settings!$C$6)</f>
        <v/>
      </c>
      <c r="P152" s="7">
        <f>IF($V152="","",SUMIFS('Per Line'!$R$2:$R$6001,'Per Line'!$C$2:$C$6001,$B152,'Per Line'!$AI$2:$AI$6001,1,'Per Line'!$AJ$2:$AJ$6001,0))</f>
        <v/>
      </c>
      <c r="Q152" s="7">
        <f>IF($V152="","",P152*O152)</f>
        <v/>
      </c>
      <c r="R152" s="7">
        <f>IF($V152="","",Q152+N152)</f>
        <v/>
      </c>
      <c r="S152" s="7">
        <f>IF($V152="","",T152-R152)</f>
        <v/>
      </c>
      <c r="T152" s="7">
        <f>IF($V152="","",M152+P152+K152)</f>
        <v/>
      </c>
      <c r="U152" s="7">
        <f>IF($V152="","",T152-R152-I152)</f>
        <v/>
      </c>
      <c r="V152" s="13">
        <f>IF(ROWS($V$2:$V152)&lt;=MAX('Per Line'!$AH$2:$AH$6001),MATCH(ROWS($V$2:$V152),'Per Line'!$AH$2:$AH$6001,0),"")</f>
        <v/>
      </c>
    </row>
    <row r="153">
      <c r="A153" s="12" t="n"/>
      <c r="B153">
        <f>IF($V153="","",INDEX('Per Line'!$C$2:$C$6001,$V153)&amp;"")</f>
        <v/>
      </c>
      <c r="C153" s="11">
        <f>IF($V153="","",INDEX('Per Line'!$D$2:$D$6001,$V153))</f>
        <v/>
      </c>
      <c r="D153">
        <f>IF($V153="","",INDEX('Per Line'!$E$2:$E$6001,$V153)&amp;"")</f>
        <v/>
      </c>
      <c r="E153">
        <f>IF($V153="","",INDEX('Per Line'!$G$2:$G$6001,$V153)&amp;"")</f>
        <v/>
      </c>
      <c r="F153">
        <f>IF($V153="","",INDEX('Per Line'!$H$2:$H$6001,$V153)&amp;"")</f>
        <v/>
      </c>
      <c r="G153">
        <f>IF($V153="","",INDEX('Per Line'!$I$2:$I$6001,$V153)&amp;"")</f>
        <v/>
      </c>
      <c r="H153">
        <f>IF($V153="","",INDEX('Per Line'!$J$2:$J$6001,$V153))</f>
        <v/>
      </c>
      <c r="I153" s="7">
        <f>IF($V153="","",H153*S153/100)</f>
        <v/>
      </c>
      <c r="J153">
        <f>IF($V153="","",INDEX('Per Line'!$S$2:$S$6001,$V153)&amp;"")</f>
        <v/>
      </c>
      <c r="K153" s="7">
        <f>IF($V153="","",SUMIFS('Per Line'!$R$2:$R$6001,'Per Line'!$C$2:$C$6001,$B153,'Per Line'!$AJ$2:$AJ$6001,1))</f>
        <v/>
      </c>
      <c r="L153">
        <f>IF($V153="","",Settings!$C$7)</f>
        <v/>
      </c>
      <c r="M153" s="7">
        <f>IF($V153="","",SUMIFS('Per Line'!$R$2:$R$6001,'Per Line'!$C$2:$C$6001,$B153,'Per Line'!$AI$2:$AI$6001,0,'Per Line'!$AJ$2:$AJ$6001,0))</f>
        <v/>
      </c>
      <c r="N153" s="7">
        <f>IF($V153="","",M153*L153)</f>
        <v/>
      </c>
      <c r="O153">
        <f>IF($V153="","",Settings!$C$6)</f>
        <v/>
      </c>
      <c r="P153" s="7">
        <f>IF($V153="","",SUMIFS('Per Line'!$R$2:$R$6001,'Per Line'!$C$2:$C$6001,$B153,'Per Line'!$AI$2:$AI$6001,1,'Per Line'!$AJ$2:$AJ$6001,0))</f>
        <v/>
      </c>
      <c r="Q153" s="7">
        <f>IF($V153="","",P153*O153)</f>
        <v/>
      </c>
      <c r="R153" s="7">
        <f>IF($V153="","",Q153+N153)</f>
        <v/>
      </c>
      <c r="S153" s="7">
        <f>IF($V153="","",T153-R153)</f>
        <v/>
      </c>
      <c r="T153" s="7">
        <f>IF($V153="","",M153+P153+K153)</f>
        <v/>
      </c>
      <c r="U153" s="7">
        <f>IF($V153="","",T153-R153-I153)</f>
        <v/>
      </c>
      <c r="V153" s="13">
        <f>IF(ROWS($V$2:$V153)&lt;=MAX('Per Line'!$AH$2:$AH$6001),MATCH(ROWS($V$2:$V153),'Per Line'!$AH$2:$AH$6001,0),"")</f>
        <v/>
      </c>
    </row>
    <row r="154">
      <c r="A154" s="12" t="n"/>
      <c r="B154">
        <f>IF($V154="","",INDEX('Per Line'!$C$2:$C$6001,$V154)&amp;"")</f>
        <v/>
      </c>
      <c r="C154" s="11">
        <f>IF($V154="","",INDEX('Per Line'!$D$2:$D$6001,$V154))</f>
        <v/>
      </c>
      <c r="D154">
        <f>IF($V154="","",INDEX('Per Line'!$E$2:$E$6001,$V154)&amp;"")</f>
        <v/>
      </c>
      <c r="E154">
        <f>IF($V154="","",INDEX('Per Line'!$G$2:$G$6001,$V154)&amp;"")</f>
        <v/>
      </c>
      <c r="F154">
        <f>IF($V154="","",INDEX('Per Line'!$H$2:$H$6001,$V154)&amp;"")</f>
        <v/>
      </c>
      <c r="G154">
        <f>IF($V154="","",INDEX('Per Line'!$I$2:$I$6001,$V154)&amp;"")</f>
        <v/>
      </c>
      <c r="H154">
        <f>IF($V154="","",INDEX('Per Line'!$J$2:$J$6001,$V154))</f>
        <v/>
      </c>
      <c r="I154" s="7">
        <f>IF($V154="","",H154*S154/100)</f>
        <v/>
      </c>
      <c r="J154">
        <f>IF($V154="","",INDEX('Per Line'!$S$2:$S$6001,$V154)&amp;"")</f>
        <v/>
      </c>
      <c r="K154" s="7">
        <f>IF($V154="","",SUMIFS('Per Line'!$R$2:$R$6001,'Per Line'!$C$2:$C$6001,$B154,'Per Line'!$AJ$2:$AJ$6001,1))</f>
        <v/>
      </c>
      <c r="L154">
        <f>IF($V154="","",Settings!$C$7)</f>
        <v/>
      </c>
      <c r="M154" s="7">
        <f>IF($V154="","",SUMIFS('Per Line'!$R$2:$R$6001,'Per Line'!$C$2:$C$6001,$B154,'Per Line'!$AI$2:$AI$6001,0,'Per Line'!$AJ$2:$AJ$6001,0))</f>
        <v/>
      </c>
      <c r="N154" s="7">
        <f>IF($V154="","",M154*L154)</f>
        <v/>
      </c>
      <c r="O154">
        <f>IF($V154="","",Settings!$C$6)</f>
        <v/>
      </c>
      <c r="P154" s="7">
        <f>IF($V154="","",SUMIFS('Per Line'!$R$2:$R$6001,'Per Line'!$C$2:$C$6001,$B154,'Per Line'!$AI$2:$AI$6001,1,'Per Line'!$AJ$2:$AJ$6001,0))</f>
        <v/>
      </c>
      <c r="Q154" s="7">
        <f>IF($V154="","",P154*O154)</f>
        <v/>
      </c>
      <c r="R154" s="7">
        <f>IF($V154="","",Q154+N154)</f>
        <v/>
      </c>
      <c r="S154" s="7">
        <f>IF($V154="","",T154-R154)</f>
        <v/>
      </c>
      <c r="T154" s="7">
        <f>IF($V154="","",M154+P154+K154)</f>
        <v/>
      </c>
      <c r="U154" s="7">
        <f>IF($V154="","",T154-R154-I154)</f>
        <v/>
      </c>
      <c r="V154" s="13">
        <f>IF(ROWS($V$2:$V154)&lt;=MAX('Per Line'!$AH$2:$AH$6001),MATCH(ROWS($V$2:$V154),'Per Line'!$AH$2:$AH$6001,0),"")</f>
        <v/>
      </c>
    </row>
    <row r="155">
      <c r="A155" s="12" t="n"/>
      <c r="B155">
        <f>IF($V155="","",INDEX('Per Line'!$C$2:$C$6001,$V155)&amp;"")</f>
        <v/>
      </c>
      <c r="C155" s="11">
        <f>IF($V155="","",INDEX('Per Line'!$D$2:$D$6001,$V155))</f>
        <v/>
      </c>
      <c r="D155">
        <f>IF($V155="","",INDEX('Per Line'!$E$2:$E$6001,$V155)&amp;"")</f>
        <v/>
      </c>
      <c r="E155">
        <f>IF($V155="","",INDEX('Per Line'!$G$2:$G$6001,$V155)&amp;"")</f>
        <v/>
      </c>
      <c r="F155">
        <f>IF($V155="","",INDEX('Per Line'!$H$2:$H$6001,$V155)&amp;"")</f>
        <v/>
      </c>
      <c r="G155">
        <f>IF($V155="","",INDEX('Per Line'!$I$2:$I$6001,$V155)&amp;"")</f>
        <v/>
      </c>
      <c r="H155">
        <f>IF($V155="","",INDEX('Per Line'!$J$2:$J$6001,$V155))</f>
        <v/>
      </c>
      <c r="I155" s="7">
        <f>IF($V155="","",H155*S155/100)</f>
        <v/>
      </c>
      <c r="J155">
        <f>IF($V155="","",INDEX('Per Line'!$S$2:$S$6001,$V155)&amp;"")</f>
        <v/>
      </c>
      <c r="K155" s="7">
        <f>IF($V155="","",SUMIFS('Per Line'!$R$2:$R$6001,'Per Line'!$C$2:$C$6001,$B155,'Per Line'!$AJ$2:$AJ$6001,1))</f>
        <v/>
      </c>
      <c r="L155">
        <f>IF($V155="","",Settings!$C$7)</f>
        <v/>
      </c>
      <c r="M155" s="7">
        <f>IF($V155="","",SUMIFS('Per Line'!$R$2:$R$6001,'Per Line'!$C$2:$C$6001,$B155,'Per Line'!$AI$2:$AI$6001,0,'Per Line'!$AJ$2:$AJ$6001,0))</f>
        <v/>
      </c>
      <c r="N155" s="7">
        <f>IF($V155="","",M155*L155)</f>
        <v/>
      </c>
      <c r="O155">
        <f>IF($V155="","",Settings!$C$6)</f>
        <v/>
      </c>
      <c r="P155" s="7">
        <f>IF($V155="","",SUMIFS('Per Line'!$R$2:$R$6001,'Per Line'!$C$2:$C$6001,$B155,'Per Line'!$AI$2:$AI$6001,1,'Per Line'!$AJ$2:$AJ$6001,0))</f>
        <v/>
      </c>
      <c r="Q155" s="7">
        <f>IF($V155="","",P155*O155)</f>
        <v/>
      </c>
      <c r="R155" s="7">
        <f>IF($V155="","",Q155+N155)</f>
        <v/>
      </c>
      <c r="S155" s="7">
        <f>IF($V155="","",T155-R155)</f>
        <v/>
      </c>
      <c r="T155" s="7">
        <f>IF($V155="","",M155+P155+K155)</f>
        <v/>
      </c>
      <c r="U155" s="7">
        <f>IF($V155="","",T155-R155-I155)</f>
        <v/>
      </c>
      <c r="V155" s="13">
        <f>IF(ROWS($V$2:$V155)&lt;=MAX('Per Line'!$AH$2:$AH$6001),MATCH(ROWS($V$2:$V155),'Per Line'!$AH$2:$AH$6001,0),"")</f>
        <v/>
      </c>
    </row>
    <row r="156">
      <c r="A156" s="12" t="n"/>
      <c r="B156">
        <f>IF($V156="","",INDEX('Per Line'!$C$2:$C$6001,$V156)&amp;"")</f>
        <v/>
      </c>
      <c r="C156" s="11">
        <f>IF($V156="","",INDEX('Per Line'!$D$2:$D$6001,$V156))</f>
        <v/>
      </c>
      <c r="D156">
        <f>IF($V156="","",INDEX('Per Line'!$E$2:$E$6001,$V156)&amp;"")</f>
        <v/>
      </c>
      <c r="E156">
        <f>IF($V156="","",INDEX('Per Line'!$G$2:$G$6001,$V156)&amp;"")</f>
        <v/>
      </c>
      <c r="F156">
        <f>IF($V156="","",INDEX('Per Line'!$H$2:$H$6001,$V156)&amp;"")</f>
        <v/>
      </c>
      <c r="G156">
        <f>IF($V156="","",INDEX('Per Line'!$I$2:$I$6001,$V156)&amp;"")</f>
        <v/>
      </c>
      <c r="H156">
        <f>IF($V156="","",INDEX('Per Line'!$J$2:$J$6001,$V156))</f>
        <v/>
      </c>
      <c r="I156" s="7">
        <f>IF($V156="","",H156*S156/100)</f>
        <v/>
      </c>
      <c r="J156">
        <f>IF($V156="","",INDEX('Per Line'!$S$2:$S$6001,$V156)&amp;"")</f>
        <v/>
      </c>
      <c r="K156" s="7">
        <f>IF($V156="","",SUMIFS('Per Line'!$R$2:$R$6001,'Per Line'!$C$2:$C$6001,$B156,'Per Line'!$AJ$2:$AJ$6001,1))</f>
        <v/>
      </c>
      <c r="L156">
        <f>IF($V156="","",Settings!$C$7)</f>
        <v/>
      </c>
      <c r="M156" s="7">
        <f>IF($V156="","",SUMIFS('Per Line'!$R$2:$R$6001,'Per Line'!$C$2:$C$6001,$B156,'Per Line'!$AI$2:$AI$6001,0,'Per Line'!$AJ$2:$AJ$6001,0))</f>
        <v/>
      </c>
      <c r="N156" s="7">
        <f>IF($V156="","",M156*L156)</f>
        <v/>
      </c>
      <c r="O156">
        <f>IF($V156="","",Settings!$C$6)</f>
        <v/>
      </c>
      <c r="P156" s="7">
        <f>IF($V156="","",SUMIFS('Per Line'!$R$2:$R$6001,'Per Line'!$C$2:$C$6001,$B156,'Per Line'!$AI$2:$AI$6001,1,'Per Line'!$AJ$2:$AJ$6001,0))</f>
        <v/>
      </c>
      <c r="Q156" s="7">
        <f>IF($V156="","",P156*O156)</f>
        <v/>
      </c>
      <c r="R156" s="7">
        <f>IF($V156="","",Q156+N156)</f>
        <v/>
      </c>
      <c r="S156" s="7">
        <f>IF($V156="","",T156-R156)</f>
        <v/>
      </c>
      <c r="T156" s="7">
        <f>IF($V156="","",M156+P156+K156)</f>
        <v/>
      </c>
      <c r="U156" s="7">
        <f>IF($V156="","",T156-R156-I156)</f>
        <v/>
      </c>
      <c r="V156" s="13">
        <f>IF(ROWS($V$2:$V156)&lt;=MAX('Per Line'!$AH$2:$AH$6001),MATCH(ROWS($V$2:$V156),'Per Line'!$AH$2:$AH$6001,0),"")</f>
        <v/>
      </c>
    </row>
    <row r="157">
      <c r="A157" s="12" t="n"/>
      <c r="B157">
        <f>IF($V157="","",INDEX('Per Line'!$C$2:$C$6001,$V157)&amp;"")</f>
        <v/>
      </c>
      <c r="C157" s="11">
        <f>IF($V157="","",INDEX('Per Line'!$D$2:$D$6001,$V157))</f>
        <v/>
      </c>
      <c r="D157">
        <f>IF($V157="","",INDEX('Per Line'!$E$2:$E$6001,$V157)&amp;"")</f>
        <v/>
      </c>
      <c r="E157">
        <f>IF($V157="","",INDEX('Per Line'!$G$2:$G$6001,$V157)&amp;"")</f>
        <v/>
      </c>
      <c r="F157">
        <f>IF($V157="","",INDEX('Per Line'!$H$2:$H$6001,$V157)&amp;"")</f>
        <v/>
      </c>
      <c r="G157">
        <f>IF($V157="","",INDEX('Per Line'!$I$2:$I$6001,$V157)&amp;"")</f>
        <v/>
      </c>
      <c r="H157">
        <f>IF($V157="","",INDEX('Per Line'!$J$2:$J$6001,$V157))</f>
        <v/>
      </c>
      <c r="I157" s="7">
        <f>IF($V157="","",H157*S157/100)</f>
        <v/>
      </c>
      <c r="J157">
        <f>IF($V157="","",INDEX('Per Line'!$S$2:$S$6001,$V157)&amp;"")</f>
        <v/>
      </c>
      <c r="K157" s="7">
        <f>IF($V157="","",SUMIFS('Per Line'!$R$2:$R$6001,'Per Line'!$C$2:$C$6001,$B157,'Per Line'!$AJ$2:$AJ$6001,1))</f>
        <v/>
      </c>
      <c r="L157">
        <f>IF($V157="","",Settings!$C$7)</f>
        <v/>
      </c>
      <c r="M157" s="7">
        <f>IF($V157="","",SUMIFS('Per Line'!$R$2:$R$6001,'Per Line'!$C$2:$C$6001,$B157,'Per Line'!$AI$2:$AI$6001,0,'Per Line'!$AJ$2:$AJ$6001,0))</f>
        <v/>
      </c>
      <c r="N157" s="7">
        <f>IF($V157="","",M157*L157)</f>
        <v/>
      </c>
      <c r="O157">
        <f>IF($V157="","",Settings!$C$6)</f>
        <v/>
      </c>
      <c r="P157" s="7">
        <f>IF($V157="","",SUMIFS('Per Line'!$R$2:$R$6001,'Per Line'!$C$2:$C$6001,$B157,'Per Line'!$AI$2:$AI$6001,1,'Per Line'!$AJ$2:$AJ$6001,0))</f>
        <v/>
      </c>
      <c r="Q157" s="7">
        <f>IF($V157="","",P157*O157)</f>
        <v/>
      </c>
      <c r="R157" s="7">
        <f>IF($V157="","",Q157+N157)</f>
        <v/>
      </c>
      <c r="S157" s="7">
        <f>IF($V157="","",T157-R157)</f>
        <v/>
      </c>
      <c r="T157" s="7">
        <f>IF($V157="","",M157+P157+K157)</f>
        <v/>
      </c>
      <c r="U157" s="7">
        <f>IF($V157="","",T157-R157-I157)</f>
        <v/>
      </c>
      <c r="V157" s="13">
        <f>IF(ROWS($V$2:$V157)&lt;=MAX('Per Line'!$AH$2:$AH$6001),MATCH(ROWS($V$2:$V157),'Per Line'!$AH$2:$AH$6001,0),"")</f>
        <v/>
      </c>
    </row>
    <row r="158">
      <c r="A158" s="12" t="n"/>
      <c r="B158">
        <f>IF($V158="","",INDEX('Per Line'!$C$2:$C$6001,$V158)&amp;"")</f>
        <v/>
      </c>
      <c r="C158" s="11">
        <f>IF($V158="","",INDEX('Per Line'!$D$2:$D$6001,$V158))</f>
        <v/>
      </c>
      <c r="D158">
        <f>IF($V158="","",INDEX('Per Line'!$E$2:$E$6001,$V158)&amp;"")</f>
        <v/>
      </c>
      <c r="E158">
        <f>IF($V158="","",INDEX('Per Line'!$G$2:$G$6001,$V158)&amp;"")</f>
        <v/>
      </c>
      <c r="F158">
        <f>IF($V158="","",INDEX('Per Line'!$H$2:$H$6001,$V158)&amp;"")</f>
        <v/>
      </c>
      <c r="G158">
        <f>IF($V158="","",INDEX('Per Line'!$I$2:$I$6001,$V158)&amp;"")</f>
        <v/>
      </c>
      <c r="H158">
        <f>IF($V158="","",INDEX('Per Line'!$J$2:$J$6001,$V158))</f>
        <v/>
      </c>
      <c r="I158" s="7">
        <f>IF($V158="","",H158*S158/100)</f>
        <v/>
      </c>
      <c r="J158">
        <f>IF($V158="","",INDEX('Per Line'!$S$2:$S$6001,$V158)&amp;"")</f>
        <v/>
      </c>
      <c r="K158" s="7">
        <f>IF($V158="","",SUMIFS('Per Line'!$R$2:$R$6001,'Per Line'!$C$2:$C$6001,$B158,'Per Line'!$AJ$2:$AJ$6001,1))</f>
        <v/>
      </c>
      <c r="L158">
        <f>IF($V158="","",Settings!$C$7)</f>
        <v/>
      </c>
      <c r="M158" s="7">
        <f>IF($V158="","",SUMIFS('Per Line'!$R$2:$R$6001,'Per Line'!$C$2:$C$6001,$B158,'Per Line'!$AI$2:$AI$6001,0,'Per Line'!$AJ$2:$AJ$6001,0))</f>
        <v/>
      </c>
      <c r="N158" s="7">
        <f>IF($V158="","",M158*L158)</f>
        <v/>
      </c>
      <c r="O158">
        <f>IF($V158="","",Settings!$C$6)</f>
        <v/>
      </c>
      <c r="P158" s="7">
        <f>IF($V158="","",SUMIFS('Per Line'!$R$2:$R$6001,'Per Line'!$C$2:$C$6001,$B158,'Per Line'!$AI$2:$AI$6001,1,'Per Line'!$AJ$2:$AJ$6001,0))</f>
        <v/>
      </c>
      <c r="Q158" s="7">
        <f>IF($V158="","",P158*O158)</f>
        <v/>
      </c>
      <c r="R158" s="7">
        <f>IF($V158="","",Q158+N158)</f>
        <v/>
      </c>
      <c r="S158" s="7">
        <f>IF($V158="","",T158-R158)</f>
        <v/>
      </c>
      <c r="T158" s="7">
        <f>IF($V158="","",M158+P158+K158)</f>
        <v/>
      </c>
      <c r="U158" s="7">
        <f>IF($V158="","",T158-R158-I158)</f>
        <v/>
      </c>
      <c r="V158" s="13">
        <f>IF(ROWS($V$2:$V158)&lt;=MAX('Per Line'!$AH$2:$AH$6001),MATCH(ROWS($V$2:$V158),'Per Line'!$AH$2:$AH$6001,0),"")</f>
        <v/>
      </c>
    </row>
    <row r="159">
      <c r="A159" s="12" t="n"/>
      <c r="B159">
        <f>IF($V159="","",INDEX('Per Line'!$C$2:$C$6001,$V159)&amp;"")</f>
        <v/>
      </c>
      <c r="C159" s="11">
        <f>IF($V159="","",INDEX('Per Line'!$D$2:$D$6001,$V159))</f>
        <v/>
      </c>
      <c r="D159">
        <f>IF($V159="","",INDEX('Per Line'!$E$2:$E$6001,$V159)&amp;"")</f>
        <v/>
      </c>
      <c r="E159">
        <f>IF($V159="","",INDEX('Per Line'!$G$2:$G$6001,$V159)&amp;"")</f>
        <v/>
      </c>
      <c r="F159">
        <f>IF($V159="","",INDEX('Per Line'!$H$2:$H$6001,$V159)&amp;"")</f>
        <v/>
      </c>
      <c r="G159">
        <f>IF($V159="","",INDEX('Per Line'!$I$2:$I$6001,$V159)&amp;"")</f>
        <v/>
      </c>
      <c r="H159">
        <f>IF($V159="","",INDEX('Per Line'!$J$2:$J$6001,$V159))</f>
        <v/>
      </c>
      <c r="I159" s="7">
        <f>IF($V159="","",H159*S159/100)</f>
        <v/>
      </c>
      <c r="J159">
        <f>IF($V159="","",INDEX('Per Line'!$S$2:$S$6001,$V159)&amp;"")</f>
        <v/>
      </c>
      <c r="K159" s="7">
        <f>IF($V159="","",SUMIFS('Per Line'!$R$2:$R$6001,'Per Line'!$C$2:$C$6001,$B159,'Per Line'!$AJ$2:$AJ$6001,1))</f>
        <v/>
      </c>
      <c r="L159">
        <f>IF($V159="","",Settings!$C$7)</f>
        <v/>
      </c>
      <c r="M159" s="7">
        <f>IF($V159="","",SUMIFS('Per Line'!$R$2:$R$6001,'Per Line'!$C$2:$C$6001,$B159,'Per Line'!$AI$2:$AI$6001,0,'Per Line'!$AJ$2:$AJ$6001,0))</f>
        <v/>
      </c>
      <c r="N159" s="7">
        <f>IF($V159="","",M159*L159)</f>
        <v/>
      </c>
      <c r="O159">
        <f>IF($V159="","",Settings!$C$6)</f>
        <v/>
      </c>
      <c r="P159" s="7">
        <f>IF($V159="","",SUMIFS('Per Line'!$R$2:$R$6001,'Per Line'!$C$2:$C$6001,$B159,'Per Line'!$AI$2:$AI$6001,1,'Per Line'!$AJ$2:$AJ$6001,0))</f>
        <v/>
      </c>
      <c r="Q159" s="7">
        <f>IF($V159="","",P159*O159)</f>
        <v/>
      </c>
      <c r="R159" s="7">
        <f>IF($V159="","",Q159+N159)</f>
        <v/>
      </c>
      <c r="S159" s="7">
        <f>IF($V159="","",T159-R159)</f>
        <v/>
      </c>
      <c r="T159" s="7">
        <f>IF($V159="","",M159+P159+K159)</f>
        <v/>
      </c>
      <c r="U159" s="7">
        <f>IF($V159="","",T159-R159-I159)</f>
        <v/>
      </c>
      <c r="V159" s="13">
        <f>IF(ROWS($V$2:$V159)&lt;=MAX('Per Line'!$AH$2:$AH$6001),MATCH(ROWS($V$2:$V159),'Per Line'!$AH$2:$AH$6001,0),"")</f>
        <v/>
      </c>
    </row>
    <row r="160">
      <c r="A160" s="12" t="n"/>
      <c r="B160">
        <f>IF($V160="","",INDEX('Per Line'!$C$2:$C$6001,$V160)&amp;"")</f>
        <v/>
      </c>
      <c r="C160" s="11">
        <f>IF($V160="","",INDEX('Per Line'!$D$2:$D$6001,$V160))</f>
        <v/>
      </c>
      <c r="D160">
        <f>IF($V160="","",INDEX('Per Line'!$E$2:$E$6001,$V160)&amp;"")</f>
        <v/>
      </c>
      <c r="E160">
        <f>IF($V160="","",INDEX('Per Line'!$G$2:$G$6001,$V160)&amp;"")</f>
        <v/>
      </c>
      <c r="F160">
        <f>IF($V160="","",INDEX('Per Line'!$H$2:$H$6001,$V160)&amp;"")</f>
        <v/>
      </c>
      <c r="G160">
        <f>IF($V160="","",INDEX('Per Line'!$I$2:$I$6001,$V160)&amp;"")</f>
        <v/>
      </c>
      <c r="H160">
        <f>IF($V160="","",INDEX('Per Line'!$J$2:$J$6001,$V160))</f>
        <v/>
      </c>
      <c r="I160" s="7">
        <f>IF($V160="","",H160*S160/100)</f>
        <v/>
      </c>
      <c r="J160">
        <f>IF($V160="","",INDEX('Per Line'!$S$2:$S$6001,$V160)&amp;"")</f>
        <v/>
      </c>
      <c r="K160" s="7">
        <f>IF($V160="","",SUMIFS('Per Line'!$R$2:$R$6001,'Per Line'!$C$2:$C$6001,$B160,'Per Line'!$AJ$2:$AJ$6001,1))</f>
        <v/>
      </c>
      <c r="L160">
        <f>IF($V160="","",Settings!$C$7)</f>
        <v/>
      </c>
      <c r="M160" s="7">
        <f>IF($V160="","",SUMIFS('Per Line'!$R$2:$R$6001,'Per Line'!$C$2:$C$6001,$B160,'Per Line'!$AI$2:$AI$6001,0,'Per Line'!$AJ$2:$AJ$6001,0))</f>
        <v/>
      </c>
      <c r="N160" s="7">
        <f>IF($V160="","",M160*L160)</f>
        <v/>
      </c>
      <c r="O160">
        <f>IF($V160="","",Settings!$C$6)</f>
        <v/>
      </c>
      <c r="P160" s="7">
        <f>IF($V160="","",SUMIFS('Per Line'!$R$2:$R$6001,'Per Line'!$C$2:$C$6001,$B160,'Per Line'!$AI$2:$AI$6001,1,'Per Line'!$AJ$2:$AJ$6001,0))</f>
        <v/>
      </c>
      <c r="Q160" s="7">
        <f>IF($V160="","",P160*O160)</f>
        <v/>
      </c>
      <c r="R160" s="7">
        <f>IF($V160="","",Q160+N160)</f>
        <v/>
      </c>
      <c r="S160" s="7">
        <f>IF($V160="","",T160-R160)</f>
        <v/>
      </c>
      <c r="T160" s="7">
        <f>IF($V160="","",M160+P160+K160)</f>
        <v/>
      </c>
      <c r="U160" s="7">
        <f>IF($V160="","",T160-R160-I160)</f>
        <v/>
      </c>
      <c r="V160" s="13">
        <f>IF(ROWS($V$2:$V160)&lt;=MAX('Per Line'!$AH$2:$AH$6001),MATCH(ROWS($V$2:$V160),'Per Line'!$AH$2:$AH$6001,0),"")</f>
        <v/>
      </c>
    </row>
    <row r="161">
      <c r="A161" s="12" t="n"/>
      <c r="B161">
        <f>IF($V161="","",INDEX('Per Line'!$C$2:$C$6001,$V161)&amp;"")</f>
        <v/>
      </c>
      <c r="C161" s="11">
        <f>IF($V161="","",INDEX('Per Line'!$D$2:$D$6001,$V161))</f>
        <v/>
      </c>
      <c r="D161">
        <f>IF($V161="","",INDEX('Per Line'!$E$2:$E$6001,$V161)&amp;"")</f>
        <v/>
      </c>
      <c r="E161">
        <f>IF($V161="","",INDEX('Per Line'!$G$2:$G$6001,$V161)&amp;"")</f>
        <v/>
      </c>
      <c r="F161">
        <f>IF($V161="","",INDEX('Per Line'!$H$2:$H$6001,$V161)&amp;"")</f>
        <v/>
      </c>
      <c r="G161">
        <f>IF($V161="","",INDEX('Per Line'!$I$2:$I$6001,$V161)&amp;"")</f>
        <v/>
      </c>
      <c r="H161">
        <f>IF($V161="","",INDEX('Per Line'!$J$2:$J$6001,$V161))</f>
        <v/>
      </c>
      <c r="I161" s="7">
        <f>IF($V161="","",H161*S161/100)</f>
        <v/>
      </c>
      <c r="J161">
        <f>IF($V161="","",INDEX('Per Line'!$S$2:$S$6001,$V161)&amp;"")</f>
        <v/>
      </c>
      <c r="K161" s="7">
        <f>IF($V161="","",SUMIFS('Per Line'!$R$2:$R$6001,'Per Line'!$C$2:$C$6001,$B161,'Per Line'!$AJ$2:$AJ$6001,1))</f>
        <v/>
      </c>
      <c r="L161">
        <f>IF($V161="","",Settings!$C$7)</f>
        <v/>
      </c>
      <c r="M161" s="7">
        <f>IF($V161="","",SUMIFS('Per Line'!$R$2:$R$6001,'Per Line'!$C$2:$C$6001,$B161,'Per Line'!$AI$2:$AI$6001,0,'Per Line'!$AJ$2:$AJ$6001,0))</f>
        <v/>
      </c>
      <c r="N161" s="7">
        <f>IF($V161="","",M161*L161)</f>
        <v/>
      </c>
      <c r="O161">
        <f>IF($V161="","",Settings!$C$6)</f>
        <v/>
      </c>
      <c r="P161" s="7">
        <f>IF($V161="","",SUMIFS('Per Line'!$R$2:$R$6001,'Per Line'!$C$2:$C$6001,$B161,'Per Line'!$AI$2:$AI$6001,1,'Per Line'!$AJ$2:$AJ$6001,0))</f>
        <v/>
      </c>
      <c r="Q161" s="7">
        <f>IF($V161="","",P161*O161)</f>
        <v/>
      </c>
      <c r="R161" s="7">
        <f>IF($V161="","",Q161+N161)</f>
        <v/>
      </c>
      <c r="S161" s="7">
        <f>IF($V161="","",T161-R161)</f>
        <v/>
      </c>
      <c r="T161" s="7">
        <f>IF($V161="","",M161+P161+K161)</f>
        <v/>
      </c>
      <c r="U161" s="7">
        <f>IF($V161="","",T161-R161-I161)</f>
        <v/>
      </c>
      <c r="V161" s="13">
        <f>IF(ROWS($V$2:$V161)&lt;=MAX('Per Line'!$AH$2:$AH$6001),MATCH(ROWS($V$2:$V161),'Per Line'!$AH$2:$AH$6001,0),"")</f>
        <v/>
      </c>
    </row>
    <row r="162">
      <c r="A162" s="12" t="n"/>
      <c r="B162">
        <f>IF($V162="","",INDEX('Per Line'!$C$2:$C$6001,$V162)&amp;"")</f>
        <v/>
      </c>
      <c r="C162" s="11">
        <f>IF($V162="","",INDEX('Per Line'!$D$2:$D$6001,$V162))</f>
        <v/>
      </c>
      <c r="D162">
        <f>IF($V162="","",INDEX('Per Line'!$E$2:$E$6001,$V162)&amp;"")</f>
        <v/>
      </c>
      <c r="E162">
        <f>IF($V162="","",INDEX('Per Line'!$G$2:$G$6001,$V162)&amp;"")</f>
        <v/>
      </c>
      <c r="F162">
        <f>IF($V162="","",INDEX('Per Line'!$H$2:$H$6001,$V162)&amp;"")</f>
        <v/>
      </c>
      <c r="G162">
        <f>IF($V162="","",INDEX('Per Line'!$I$2:$I$6001,$V162)&amp;"")</f>
        <v/>
      </c>
      <c r="H162">
        <f>IF($V162="","",INDEX('Per Line'!$J$2:$J$6001,$V162))</f>
        <v/>
      </c>
      <c r="I162" s="7">
        <f>IF($V162="","",H162*S162/100)</f>
        <v/>
      </c>
      <c r="J162">
        <f>IF($V162="","",INDEX('Per Line'!$S$2:$S$6001,$V162)&amp;"")</f>
        <v/>
      </c>
      <c r="K162" s="7">
        <f>IF($V162="","",SUMIFS('Per Line'!$R$2:$R$6001,'Per Line'!$C$2:$C$6001,$B162,'Per Line'!$AJ$2:$AJ$6001,1))</f>
        <v/>
      </c>
      <c r="L162">
        <f>IF($V162="","",Settings!$C$7)</f>
        <v/>
      </c>
      <c r="M162" s="7">
        <f>IF($V162="","",SUMIFS('Per Line'!$R$2:$R$6001,'Per Line'!$C$2:$C$6001,$B162,'Per Line'!$AI$2:$AI$6001,0,'Per Line'!$AJ$2:$AJ$6001,0))</f>
        <v/>
      </c>
      <c r="N162" s="7">
        <f>IF($V162="","",M162*L162)</f>
        <v/>
      </c>
      <c r="O162">
        <f>IF($V162="","",Settings!$C$6)</f>
        <v/>
      </c>
      <c r="P162" s="7">
        <f>IF($V162="","",SUMIFS('Per Line'!$R$2:$R$6001,'Per Line'!$C$2:$C$6001,$B162,'Per Line'!$AI$2:$AI$6001,1,'Per Line'!$AJ$2:$AJ$6001,0))</f>
        <v/>
      </c>
      <c r="Q162" s="7">
        <f>IF($V162="","",P162*O162)</f>
        <v/>
      </c>
      <c r="R162" s="7">
        <f>IF($V162="","",Q162+N162)</f>
        <v/>
      </c>
      <c r="S162" s="7">
        <f>IF($V162="","",T162-R162)</f>
        <v/>
      </c>
      <c r="T162" s="7">
        <f>IF($V162="","",M162+P162+K162)</f>
        <v/>
      </c>
      <c r="U162" s="7">
        <f>IF($V162="","",T162-R162-I162)</f>
        <v/>
      </c>
      <c r="V162" s="13">
        <f>IF(ROWS($V$2:$V162)&lt;=MAX('Per Line'!$AH$2:$AH$6001),MATCH(ROWS($V$2:$V162),'Per Line'!$AH$2:$AH$6001,0),"")</f>
        <v/>
      </c>
    </row>
    <row r="163">
      <c r="A163" s="12" t="n"/>
      <c r="B163">
        <f>IF($V163="","",INDEX('Per Line'!$C$2:$C$6001,$V163)&amp;"")</f>
        <v/>
      </c>
      <c r="C163" s="11">
        <f>IF($V163="","",INDEX('Per Line'!$D$2:$D$6001,$V163))</f>
        <v/>
      </c>
      <c r="D163">
        <f>IF($V163="","",INDEX('Per Line'!$E$2:$E$6001,$V163)&amp;"")</f>
        <v/>
      </c>
      <c r="E163">
        <f>IF($V163="","",INDEX('Per Line'!$G$2:$G$6001,$V163)&amp;"")</f>
        <v/>
      </c>
      <c r="F163">
        <f>IF($V163="","",INDEX('Per Line'!$H$2:$H$6001,$V163)&amp;"")</f>
        <v/>
      </c>
      <c r="G163">
        <f>IF($V163="","",INDEX('Per Line'!$I$2:$I$6001,$V163)&amp;"")</f>
        <v/>
      </c>
      <c r="H163">
        <f>IF($V163="","",INDEX('Per Line'!$J$2:$J$6001,$V163))</f>
        <v/>
      </c>
      <c r="I163" s="7">
        <f>IF($V163="","",H163*S163/100)</f>
        <v/>
      </c>
      <c r="J163">
        <f>IF($V163="","",INDEX('Per Line'!$S$2:$S$6001,$V163)&amp;"")</f>
        <v/>
      </c>
      <c r="K163" s="7">
        <f>IF($V163="","",SUMIFS('Per Line'!$R$2:$R$6001,'Per Line'!$C$2:$C$6001,$B163,'Per Line'!$AJ$2:$AJ$6001,1))</f>
        <v/>
      </c>
      <c r="L163">
        <f>IF($V163="","",Settings!$C$7)</f>
        <v/>
      </c>
      <c r="M163" s="7">
        <f>IF($V163="","",SUMIFS('Per Line'!$R$2:$R$6001,'Per Line'!$C$2:$C$6001,$B163,'Per Line'!$AI$2:$AI$6001,0,'Per Line'!$AJ$2:$AJ$6001,0))</f>
        <v/>
      </c>
      <c r="N163" s="7">
        <f>IF($V163="","",M163*L163)</f>
        <v/>
      </c>
      <c r="O163">
        <f>IF($V163="","",Settings!$C$6)</f>
        <v/>
      </c>
      <c r="P163" s="7">
        <f>IF($V163="","",SUMIFS('Per Line'!$R$2:$R$6001,'Per Line'!$C$2:$C$6001,$B163,'Per Line'!$AI$2:$AI$6001,1,'Per Line'!$AJ$2:$AJ$6001,0))</f>
        <v/>
      </c>
      <c r="Q163" s="7">
        <f>IF($V163="","",P163*O163)</f>
        <v/>
      </c>
      <c r="R163" s="7">
        <f>IF($V163="","",Q163+N163)</f>
        <v/>
      </c>
      <c r="S163" s="7">
        <f>IF($V163="","",T163-R163)</f>
        <v/>
      </c>
      <c r="T163" s="7">
        <f>IF($V163="","",M163+P163+K163)</f>
        <v/>
      </c>
      <c r="U163" s="7">
        <f>IF($V163="","",T163-R163-I163)</f>
        <v/>
      </c>
      <c r="V163" s="13">
        <f>IF(ROWS($V$2:$V163)&lt;=MAX('Per Line'!$AH$2:$AH$6001),MATCH(ROWS($V$2:$V163),'Per Line'!$AH$2:$AH$6001,0),"")</f>
        <v/>
      </c>
    </row>
    <row r="164">
      <c r="A164" s="12" t="n"/>
      <c r="B164">
        <f>IF($V164="","",INDEX('Per Line'!$C$2:$C$6001,$V164)&amp;"")</f>
        <v/>
      </c>
      <c r="C164" s="11">
        <f>IF($V164="","",INDEX('Per Line'!$D$2:$D$6001,$V164))</f>
        <v/>
      </c>
      <c r="D164">
        <f>IF($V164="","",INDEX('Per Line'!$E$2:$E$6001,$V164)&amp;"")</f>
        <v/>
      </c>
      <c r="E164">
        <f>IF($V164="","",INDEX('Per Line'!$G$2:$G$6001,$V164)&amp;"")</f>
        <v/>
      </c>
      <c r="F164">
        <f>IF($V164="","",INDEX('Per Line'!$H$2:$H$6001,$V164)&amp;"")</f>
        <v/>
      </c>
      <c r="G164">
        <f>IF($V164="","",INDEX('Per Line'!$I$2:$I$6001,$V164)&amp;"")</f>
        <v/>
      </c>
      <c r="H164">
        <f>IF($V164="","",INDEX('Per Line'!$J$2:$J$6001,$V164))</f>
        <v/>
      </c>
      <c r="I164" s="7">
        <f>IF($V164="","",H164*S164/100)</f>
        <v/>
      </c>
      <c r="J164">
        <f>IF($V164="","",INDEX('Per Line'!$S$2:$S$6001,$V164)&amp;"")</f>
        <v/>
      </c>
      <c r="K164" s="7">
        <f>IF($V164="","",SUMIFS('Per Line'!$R$2:$R$6001,'Per Line'!$C$2:$C$6001,$B164,'Per Line'!$AJ$2:$AJ$6001,1))</f>
        <v/>
      </c>
      <c r="L164">
        <f>IF($V164="","",Settings!$C$7)</f>
        <v/>
      </c>
      <c r="M164" s="7">
        <f>IF($V164="","",SUMIFS('Per Line'!$R$2:$R$6001,'Per Line'!$C$2:$C$6001,$B164,'Per Line'!$AI$2:$AI$6001,0,'Per Line'!$AJ$2:$AJ$6001,0))</f>
        <v/>
      </c>
      <c r="N164" s="7">
        <f>IF($V164="","",M164*L164)</f>
        <v/>
      </c>
      <c r="O164">
        <f>IF($V164="","",Settings!$C$6)</f>
        <v/>
      </c>
      <c r="P164" s="7">
        <f>IF($V164="","",SUMIFS('Per Line'!$R$2:$R$6001,'Per Line'!$C$2:$C$6001,$B164,'Per Line'!$AI$2:$AI$6001,1,'Per Line'!$AJ$2:$AJ$6001,0))</f>
        <v/>
      </c>
      <c r="Q164" s="7">
        <f>IF($V164="","",P164*O164)</f>
        <v/>
      </c>
      <c r="R164" s="7">
        <f>IF($V164="","",Q164+N164)</f>
        <v/>
      </c>
      <c r="S164" s="7">
        <f>IF($V164="","",T164-R164)</f>
        <v/>
      </c>
      <c r="T164" s="7">
        <f>IF($V164="","",M164+P164+K164)</f>
        <v/>
      </c>
      <c r="U164" s="7">
        <f>IF($V164="","",T164-R164-I164)</f>
        <v/>
      </c>
      <c r="V164" s="13">
        <f>IF(ROWS($V$2:$V164)&lt;=MAX('Per Line'!$AH$2:$AH$6001),MATCH(ROWS($V$2:$V164),'Per Line'!$AH$2:$AH$6001,0),"")</f>
        <v/>
      </c>
    </row>
    <row r="165">
      <c r="A165" s="12" t="n"/>
      <c r="B165">
        <f>IF($V165="","",INDEX('Per Line'!$C$2:$C$6001,$V165)&amp;"")</f>
        <v/>
      </c>
      <c r="C165" s="11">
        <f>IF($V165="","",INDEX('Per Line'!$D$2:$D$6001,$V165))</f>
        <v/>
      </c>
      <c r="D165">
        <f>IF($V165="","",INDEX('Per Line'!$E$2:$E$6001,$V165)&amp;"")</f>
        <v/>
      </c>
      <c r="E165">
        <f>IF($V165="","",INDEX('Per Line'!$G$2:$G$6001,$V165)&amp;"")</f>
        <v/>
      </c>
      <c r="F165">
        <f>IF($V165="","",INDEX('Per Line'!$H$2:$H$6001,$V165)&amp;"")</f>
        <v/>
      </c>
      <c r="G165">
        <f>IF($V165="","",INDEX('Per Line'!$I$2:$I$6001,$V165)&amp;"")</f>
        <v/>
      </c>
      <c r="H165">
        <f>IF($V165="","",INDEX('Per Line'!$J$2:$J$6001,$V165))</f>
        <v/>
      </c>
      <c r="I165" s="7">
        <f>IF($V165="","",H165*S165/100)</f>
        <v/>
      </c>
      <c r="J165">
        <f>IF($V165="","",INDEX('Per Line'!$S$2:$S$6001,$V165)&amp;"")</f>
        <v/>
      </c>
      <c r="K165" s="7">
        <f>IF($V165="","",SUMIFS('Per Line'!$R$2:$R$6001,'Per Line'!$C$2:$C$6001,$B165,'Per Line'!$AJ$2:$AJ$6001,1))</f>
        <v/>
      </c>
      <c r="L165">
        <f>IF($V165="","",Settings!$C$7)</f>
        <v/>
      </c>
      <c r="M165" s="7">
        <f>IF($V165="","",SUMIFS('Per Line'!$R$2:$R$6001,'Per Line'!$C$2:$C$6001,$B165,'Per Line'!$AI$2:$AI$6001,0,'Per Line'!$AJ$2:$AJ$6001,0))</f>
        <v/>
      </c>
      <c r="N165" s="7">
        <f>IF($V165="","",M165*L165)</f>
        <v/>
      </c>
      <c r="O165">
        <f>IF($V165="","",Settings!$C$6)</f>
        <v/>
      </c>
      <c r="P165" s="7">
        <f>IF($V165="","",SUMIFS('Per Line'!$R$2:$R$6001,'Per Line'!$C$2:$C$6001,$B165,'Per Line'!$AI$2:$AI$6001,1,'Per Line'!$AJ$2:$AJ$6001,0))</f>
        <v/>
      </c>
      <c r="Q165" s="7">
        <f>IF($V165="","",P165*O165)</f>
        <v/>
      </c>
      <c r="R165" s="7">
        <f>IF($V165="","",Q165+N165)</f>
        <v/>
      </c>
      <c r="S165" s="7">
        <f>IF($V165="","",T165-R165)</f>
        <v/>
      </c>
      <c r="T165" s="7">
        <f>IF($V165="","",M165+P165+K165)</f>
        <v/>
      </c>
      <c r="U165" s="7">
        <f>IF($V165="","",T165-R165-I165)</f>
        <v/>
      </c>
      <c r="V165" s="13">
        <f>IF(ROWS($V$2:$V165)&lt;=MAX('Per Line'!$AH$2:$AH$6001),MATCH(ROWS($V$2:$V165),'Per Line'!$AH$2:$AH$6001,0),"")</f>
        <v/>
      </c>
    </row>
    <row r="166">
      <c r="A166" s="12" t="n"/>
      <c r="B166">
        <f>IF($V166="","",INDEX('Per Line'!$C$2:$C$6001,$V166)&amp;"")</f>
        <v/>
      </c>
      <c r="C166" s="11">
        <f>IF($V166="","",INDEX('Per Line'!$D$2:$D$6001,$V166))</f>
        <v/>
      </c>
      <c r="D166">
        <f>IF($V166="","",INDEX('Per Line'!$E$2:$E$6001,$V166)&amp;"")</f>
        <v/>
      </c>
      <c r="E166">
        <f>IF($V166="","",INDEX('Per Line'!$G$2:$G$6001,$V166)&amp;"")</f>
        <v/>
      </c>
      <c r="F166">
        <f>IF($V166="","",INDEX('Per Line'!$H$2:$H$6001,$V166)&amp;"")</f>
        <v/>
      </c>
      <c r="G166">
        <f>IF($V166="","",INDEX('Per Line'!$I$2:$I$6001,$V166)&amp;"")</f>
        <v/>
      </c>
      <c r="H166">
        <f>IF($V166="","",INDEX('Per Line'!$J$2:$J$6001,$V166))</f>
        <v/>
      </c>
      <c r="I166" s="7">
        <f>IF($V166="","",H166*S166/100)</f>
        <v/>
      </c>
      <c r="J166">
        <f>IF($V166="","",INDEX('Per Line'!$S$2:$S$6001,$V166)&amp;"")</f>
        <v/>
      </c>
      <c r="K166" s="7">
        <f>IF($V166="","",SUMIFS('Per Line'!$R$2:$R$6001,'Per Line'!$C$2:$C$6001,$B166,'Per Line'!$AJ$2:$AJ$6001,1))</f>
        <v/>
      </c>
      <c r="L166">
        <f>IF($V166="","",Settings!$C$7)</f>
        <v/>
      </c>
      <c r="M166" s="7">
        <f>IF($V166="","",SUMIFS('Per Line'!$R$2:$R$6001,'Per Line'!$C$2:$C$6001,$B166,'Per Line'!$AI$2:$AI$6001,0,'Per Line'!$AJ$2:$AJ$6001,0))</f>
        <v/>
      </c>
      <c r="N166" s="7">
        <f>IF($V166="","",M166*L166)</f>
        <v/>
      </c>
      <c r="O166">
        <f>IF($V166="","",Settings!$C$6)</f>
        <v/>
      </c>
      <c r="P166" s="7">
        <f>IF($V166="","",SUMIFS('Per Line'!$R$2:$R$6001,'Per Line'!$C$2:$C$6001,$B166,'Per Line'!$AI$2:$AI$6001,1,'Per Line'!$AJ$2:$AJ$6001,0))</f>
        <v/>
      </c>
      <c r="Q166" s="7">
        <f>IF($V166="","",P166*O166)</f>
        <v/>
      </c>
      <c r="R166" s="7">
        <f>IF($V166="","",Q166+N166)</f>
        <v/>
      </c>
      <c r="S166" s="7">
        <f>IF($V166="","",T166-R166)</f>
        <v/>
      </c>
      <c r="T166" s="7">
        <f>IF($V166="","",M166+P166+K166)</f>
        <v/>
      </c>
      <c r="U166" s="7">
        <f>IF($V166="","",T166-R166-I166)</f>
        <v/>
      </c>
      <c r="V166" s="13">
        <f>IF(ROWS($V$2:$V166)&lt;=MAX('Per Line'!$AH$2:$AH$6001),MATCH(ROWS($V$2:$V166),'Per Line'!$AH$2:$AH$6001,0),"")</f>
        <v/>
      </c>
    </row>
    <row r="167">
      <c r="A167" s="12" t="n"/>
      <c r="B167">
        <f>IF($V167="","",INDEX('Per Line'!$C$2:$C$6001,$V167)&amp;"")</f>
        <v/>
      </c>
      <c r="C167" s="11">
        <f>IF($V167="","",INDEX('Per Line'!$D$2:$D$6001,$V167))</f>
        <v/>
      </c>
      <c r="D167">
        <f>IF($V167="","",INDEX('Per Line'!$E$2:$E$6001,$V167)&amp;"")</f>
        <v/>
      </c>
      <c r="E167">
        <f>IF($V167="","",INDEX('Per Line'!$G$2:$G$6001,$V167)&amp;"")</f>
        <v/>
      </c>
      <c r="F167">
        <f>IF($V167="","",INDEX('Per Line'!$H$2:$H$6001,$V167)&amp;"")</f>
        <v/>
      </c>
      <c r="G167">
        <f>IF($V167="","",INDEX('Per Line'!$I$2:$I$6001,$V167)&amp;"")</f>
        <v/>
      </c>
      <c r="H167">
        <f>IF($V167="","",INDEX('Per Line'!$J$2:$J$6001,$V167))</f>
        <v/>
      </c>
      <c r="I167" s="7">
        <f>IF($V167="","",H167*S167/100)</f>
        <v/>
      </c>
      <c r="J167">
        <f>IF($V167="","",INDEX('Per Line'!$S$2:$S$6001,$V167)&amp;"")</f>
        <v/>
      </c>
      <c r="K167" s="7">
        <f>IF($V167="","",SUMIFS('Per Line'!$R$2:$R$6001,'Per Line'!$C$2:$C$6001,$B167,'Per Line'!$AJ$2:$AJ$6001,1))</f>
        <v/>
      </c>
      <c r="L167">
        <f>IF($V167="","",Settings!$C$7)</f>
        <v/>
      </c>
      <c r="M167" s="7">
        <f>IF($V167="","",SUMIFS('Per Line'!$R$2:$R$6001,'Per Line'!$C$2:$C$6001,$B167,'Per Line'!$AI$2:$AI$6001,0,'Per Line'!$AJ$2:$AJ$6001,0))</f>
        <v/>
      </c>
      <c r="N167" s="7">
        <f>IF($V167="","",M167*L167)</f>
        <v/>
      </c>
      <c r="O167">
        <f>IF($V167="","",Settings!$C$6)</f>
        <v/>
      </c>
      <c r="P167" s="7">
        <f>IF($V167="","",SUMIFS('Per Line'!$R$2:$R$6001,'Per Line'!$C$2:$C$6001,$B167,'Per Line'!$AI$2:$AI$6001,1,'Per Line'!$AJ$2:$AJ$6001,0))</f>
        <v/>
      </c>
      <c r="Q167" s="7">
        <f>IF($V167="","",P167*O167)</f>
        <v/>
      </c>
      <c r="R167" s="7">
        <f>IF($V167="","",Q167+N167)</f>
        <v/>
      </c>
      <c r="S167" s="7">
        <f>IF($V167="","",T167-R167)</f>
        <v/>
      </c>
      <c r="T167" s="7">
        <f>IF($V167="","",M167+P167+K167)</f>
        <v/>
      </c>
      <c r="U167" s="7">
        <f>IF($V167="","",T167-R167-I167)</f>
        <v/>
      </c>
      <c r="V167" s="13">
        <f>IF(ROWS($V$2:$V167)&lt;=MAX('Per Line'!$AH$2:$AH$6001),MATCH(ROWS($V$2:$V167),'Per Line'!$AH$2:$AH$6001,0),"")</f>
        <v/>
      </c>
    </row>
    <row r="168">
      <c r="A168" s="12" t="n"/>
      <c r="B168">
        <f>IF($V168="","",INDEX('Per Line'!$C$2:$C$6001,$V168)&amp;"")</f>
        <v/>
      </c>
      <c r="C168" s="11">
        <f>IF($V168="","",INDEX('Per Line'!$D$2:$D$6001,$V168))</f>
        <v/>
      </c>
      <c r="D168">
        <f>IF($V168="","",INDEX('Per Line'!$E$2:$E$6001,$V168)&amp;"")</f>
        <v/>
      </c>
      <c r="E168">
        <f>IF($V168="","",INDEX('Per Line'!$G$2:$G$6001,$V168)&amp;"")</f>
        <v/>
      </c>
      <c r="F168">
        <f>IF($V168="","",INDEX('Per Line'!$H$2:$H$6001,$V168)&amp;"")</f>
        <v/>
      </c>
      <c r="G168">
        <f>IF($V168="","",INDEX('Per Line'!$I$2:$I$6001,$V168)&amp;"")</f>
        <v/>
      </c>
      <c r="H168">
        <f>IF($V168="","",INDEX('Per Line'!$J$2:$J$6001,$V168))</f>
        <v/>
      </c>
      <c r="I168" s="7">
        <f>IF($V168="","",H168*S168/100)</f>
        <v/>
      </c>
      <c r="J168">
        <f>IF($V168="","",INDEX('Per Line'!$S$2:$S$6001,$V168)&amp;"")</f>
        <v/>
      </c>
      <c r="K168" s="7">
        <f>IF($V168="","",SUMIFS('Per Line'!$R$2:$R$6001,'Per Line'!$C$2:$C$6001,$B168,'Per Line'!$AJ$2:$AJ$6001,1))</f>
        <v/>
      </c>
      <c r="L168">
        <f>IF($V168="","",Settings!$C$7)</f>
        <v/>
      </c>
      <c r="M168" s="7">
        <f>IF($V168="","",SUMIFS('Per Line'!$R$2:$R$6001,'Per Line'!$C$2:$C$6001,$B168,'Per Line'!$AI$2:$AI$6001,0,'Per Line'!$AJ$2:$AJ$6001,0))</f>
        <v/>
      </c>
      <c r="N168" s="7">
        <f>IF($V168="","",M168*L168)</f>
        <v/>
      </c>
      <c r="O168">
        <f>IF($V168="","",Settings!$C$6)</f>
        <v/>
      </c>
      <c r="P168" s="7">
        <f>IF($V168="","",SUMIFS('Per Line'!$R$2:$R$6001,'Per Line'!$C$2:$C$6001,$B168,'Per Line'!$AI$2:$AI$6001,1,'Per Line'!$AJ$2:$AJ$6001,0))</f>
        <v/>
      </c>
      <c r="Q168" s="7">
        <f>IF($V168="","",P168*O168)</f>
        <v/>
      </c>
      <c r="R168" s="7">
        <f>IF($V168="","",Q168+N168)</f>
        <v/>
      </c>
      <c r="S168" s="7">
        <f>IF($V168="","",T168-R168)</f>
        <v/>
      </c>
      <c r="T168" s="7">
        <f>IF($V168="","",M168+P168+K168)</f>
        <v/>
      </c>
      <c r="U168" s="7">
        <f>IF($V168="","",T168-R168-I168)</f>
        <v/>
      </c>
      <c r="V168" s="13">
        <f>IF(ROWS($V$2:$V168)&lt;=MAX('Per Line'!$AH$2:$AH$6001),MATCH(ROWS($V$2:$V168),'Per Line'!$AH$2:$AH$6001,0),"")</f>
        <v/>
      </c>
    </row>
    <row r="169">
      <c r="A169" s="12" t="n"/>
      <c r="B169">
        <f>IF($V169="","",INDEX('Per Line'!$C$2:$C$6001,$V169)&amp;"")</f>
        <v/>
      </c>
      <c r="C169" s="11">
        <f>IF($V169="","",INDEX('Per Line'!$D$2:$D$6001,$V169))</f>
        <v/>
      </c>
      <c r="D169">
        <f>IF($V169="","",INDEX('Per Line'!$E$2:$E$6001,$V169)&amp;"")</f>
        <v/>
      </c>
      <c r="E169">
        <f>IF($V169="","",INDEX('Per Line'!$G$2:$G$6001,$V169)&amp;"")</f>
        <v/>
      </c>
      <c r="F169">
        <f>IF($V169="","",INDEX('Per Line'!$H$2:$H$6001,$V169)&amp;"")</f>
        <v/>
      </c>
      <c r="G169">
        <f>IF($V169="","",INDEX('Per Line'!$I$2:$I$6001,$V169)&amp;"")</f>
        <v/>
      </c>
      <c r="H169">
        <f>IF($V169="","",INDEX('Per Line'!$J$2:$J$6001,$V169))</f>
        <v/>
      </c>
      <c r="I169" s="7">
        <f>IF($V169="","",H169*S169/100)</f>
        <v/>
      </c>
      <c r="J169">
        <f>IF($V169="","",INDEX('Per Line'!$S$2:$S$6001,$V169)&amp;"")</f>
        <v/>
      </c>
      <c r="K169" s="7">
        <f>IF($V169="","",SUMIFS('Per Line'!$R$2:$R$6001,'Per Line'!$C$2:$C$6001,$B169,'Per Line'!$AJ$2:$AJ$6001,1))</f>
        <v/>
      </c>
      <c r="L169">
        <f>IF($V169="","",Settings!$C$7)</f>
        <v/>
      </c>
      <c r="M169" s="7">
        <f>IF($V169="","",SUMIFS('Per Line'!$R$2:$R$6001,'Per Line'!$C$2:$C$6001,$B169,'Per Line'!$AI$2:$AI$6001,0,'Per Line'!$AJ$2:$AJ$6001,0))</f>
        <v/>
      </c>
      <c r="N169" s="7">
        <f>IF($V169="","",M169*L169)</f>
        <v/>
      </c>
      <c r="O169">
        <f>IF($V169="","",Settings!$C$6)</f>
        <v/>
      </c>
      <c r="P169" s="7">
        <f>IF($V169="","",SUMIFS('Per Line'!$R$2:$R$6001,'Per Line'!$C$2:$C$6001,$B169,'Per Line'!$AI$2:$AI$6001,1,'Per Line'!$AJ$2:$AJ$6001,0))</f>
        <v/>
      </c>
      <c r="Q169" s="7">
        <f>IF($V169="","",P169*O169)</f>
        <v/>
      </c>
      <c r="R169" s="7">
        <f>IF($V169="","",Q169+N169)</f>
        <v/>
      </c>
      <c r="S169" s="7">
        <f>IF($V169="","",T169-R169)</f>
        <v/>
      </c>
      <c r="T169" s="7">
        <f>IF($V169="","",M169+P169+K169)</f>
        <v/>
      </c>
      <c r="U169" s="7">
        <f>IF($V169="","",T169-R169-I169)</f>
        <v/>
      </c>
      <c r="V169" s="13">
        <f>IF(ROWS($V$2:$V169)&lt;=MAX('Per Line'!$AH$2:$AH$6001),MATCH(ROWS($V$2:$V169),'Per Line'!$AH$2:$AH$6001,0),"")</f>
        <v/>
      </c>
    </row>
    <row r="170">
      <c r="A170" s="12" t="n"/>
      <c r="B170">
        <f>IF($V170="","",INDEX('Per Line'!$C$2:$C$6001,$V170)&amp;"")</f>
        <v/>
      </c>
      <c r="C170" s="11">
        <f>IF($V170="","",INDEX('Per Line'!$D$2:$D$6001,$V170))</f>
        <v/>
      </c>
      <c r="D170">
        <f>IF($V170="","",INDEX('Per Line'!$E$2:$E$6001,$V170)&amp;"")</f>
        <v/>
      </c>
      <c r="E170">
        <f>IF($V170="","",INDEX('Per Line'!$G$2:$G$6001,$V170)&amp;"")</f>
        <v/>
      </c>
      <c r="F170">
        <f>IF($V170="","",INDEX('Per Line'!$H$2:$H$6001,$V170)&amp;"")</f>
        <v/>
      </c>
      <c r="G170">
        <f>IF($V170="","",INDEX('Per Line'!$I$2:$I$6001,$V170)&amp;"")</f>
        <v/>
      </c>
      <c r="H170">
        <f>IF($V170="","",INDEX('Per Line'!$J$2:$J$6001,$V170))</f>
        <v/>
      </c>
      <c r="I170" s="7">
        <f>IF($V170="","",H170*S170/100)</f>
        <v/>
      </c>
      <c r="J170">
        <f>IF($V170="","",INDEX('Per Line'!$S$2:$S$6001,$V170)&amp;"")</f>
        <v/>
      </c>
      <c r="K170" s="7">
        <f>IF($V170="","",SUMIFS('Per Line'!$R$2:$R$6001,'Per Line'!$C$2:$C$6001,$B170,'Per Line'!$AJ$2:$AJ$6001,1))</f>
        <v/>
      </c>
      <c r="L170">
        <f>IF($V170="","",Settings!$C$7)</f>
        <v/>
      </c>
      <c r="M170" s="7">
        <f>IF($V170="","",SUMIFS('Per Line'!$R$2:$R$6001,'Per Line'!$C$2:$C$6001,$B170,'Per Line'!$AI$2:$AI$6001,0,'Per Line'!$AJ$2:$AJ$6001,0))</f>
        <v/>
      </c>
      <c r="N170" s="7">
        <f>IF($V170="","",M170*L170)</f>
        <v/>
      </c>
      <c r="O170">
        <f>IF($V170="","",Settings!$C$6)</f>
        <v/>
      </c>
      <c r="P170" s="7">
        <f>IF($V170="","",SUMIFS('Per Line'!$R$2:$R$6001,'Per Line'!$C$2:$C$6001,$B170,'Per Line'!$AI$2:$AI$6001,1,'Per Line'!$AJ$2:$AJ$6001,0))</f>
        <v/>
      </c>
      <c r="Q170" s="7">
        <f>IF($V170="","",P170*O170)</f>
        <v/>
      </c>
      <c r="R170" s="7">
        <f>IF($V170="","",Q170+N170)</f>
        <v/>
      </c>
      <c r="S170" s="7">
        <f>IF($V170="","",T170-R170)</f>
        <v/>
      </c>
      <c r="T170" s="7">
        <f>IF($V170="","",M170+P170+K170)</f>
        <v/>
      </c>
      <c r="U170" s="7">
        <f>IF($V170="","",T170-R170-I170)</f>
        <v/>
      </c>
      <c r="V170" s="13">
        <f>IF(ROWS($V$2:$V170)&lt;=MAX('Per Line'!$AH$2:$AH$6001),MATCH(ROWS($V$2:$V170),'Per Line'!$AH$2:$AH$6001,0),"")</f>
        <v/>
      </c>
    </row>
    <row r="171">
      <c r="A171" s="12" t="n"/>
      <c r="B171">
        <f>IF($V171="","",INDEX('Per Line'!$C$2:$C$6001,$V171)&amp;"")</f>
        <v/>
      </c>
      <c r="C171" s="11">
        <f>IF($V171="","",INDEX('Per Line'!$D$2:$D$6001,$V171))</f>
        <v/>
      </c>
      <c r="D171">
        <f>IF($V171="","",INDEX('Per Line'!$E$2:$E$6001,$V171)&amp;"")</f>
        <v/>
      </c>
      <c r="E171">
        <f>IF($V171="","",INDEX('Per Line'!$G$2:$G$6001,$V171)&amp;"")</f>
        <v/>
      </c>
      <c r="F171">
        <f>IF($V171="","",INDEX('Per Line'!$H$2:$H$6001,$V171)&amp;"")</f>
        <v/>
      </c>
      <c r="G171">
        <f>IF($V171="","",INDEX('Per Line'!$I$2:$I$6001,$V171)&amp;"")</f>
        <v/>
      </c>
      <c r="H171">
        <f>IF($V171="","",INDEX('Per Line'!$J$2:$J$6001,$V171))</f>
        <v/>
      </c>
      <c r="I171" s="7">
        <f>IF($V171="","",H171*S171/100)</f>
        <v/>
      </c>
      <c r="J171">
        <f>IF($V171="","",INDEX('Per Line'!$S$2:$S$6001,$V171)&amp;"")</f>
        <v/>
      </c>
      <c r="K171" s="7">
        <f>IF($V171="","",SUMIFS('Per Line'!$R$2:$R$6001,'Per Line'!$C$2:$C$6001,$B171,'Per Line'!$AJ$2:$AJ$6001,1))</f>
        <v/>
      </c>
      <c r="L171">
        <f>IF($V171="","",Settings!$C$7)</f>
        <v/>
      </c>
      <c r="M171" s="7">
        <f>IF($V171="","",SUMIFS('Per Line'!$R$2:$R$6001,'Per Line'!$C$2:$C$6001,$B171,'Per Line'!$AI$2:$AI$6001,0,'Per Line'!$AJ$2:$AJ$6001,0))</f>
        <v/>
      </c>
      <c r="N171" s="7">
        <f>IF($V171="","",M171*L171)</f>
        <v/>
      </c>
      <c r="O171">
        <f>IF($V171="","",Settings!$C$6)</f>
        <v/>
      </c>
      <c r="P171" s="7">
        <f>IF($V171="","",SUMIFS('Per Line'!$R$2:$R$6001,'Per Line'!$C$2:$C$6001,$B171,'Per Line'!$AI$2:$AI$6001,1,'Per Line'!$AJ$2:$AJ$6001,0))</f>
        <v/>
      </c>
      <c r="Q171" s="7">
        <f>IF($V171="","",P171*O171)</f>
        <v/>
      </c>
      <c r="R171" s="7">
        <f>IF($V171="","",Q171+N171)</f>
        <v/>
      </c>
      <c r="S171" s="7">
        <f>IF($V171="","",T171-R171)</f>
        <v/>
      </c>
      <c r="T171" s="7">
        <f>IF($V171="","",M171+P171+K171)</f>
        <v/>
      </c>
      <c r="U171" s="7">
        <f>IF($V171="","",T171-R171-I171)</f>
        <v/>
      </c>
      <c r="V171" s="13">
        <f>IF(ROWS($V$2:$V171)&lt;=MAX('Per Line'!$AH$2:$AH$6001),MATCH(ROWS($V$2:$V171),'Per Line'!$AH$2:$AH$6001,0),"")</f>
        <v/>
      </c>
    </row>
    <row r="172">
      <c r="A172" s="12" t="n"/>
      <c r="B172">
        <f>IF($V172="","",INDEX('Per Line'!$C$2:$C$6001,$V172)&amp;"")</f>
        <v/>
      </c>
      <c r="C172" s="11">
        <f>IF($V172="","",INDEX('Per Line'!$D$2:$D$6001,$V172))</f>
        <v/>
      </c>
      <c r="D172">
        <f>IF($V172="","",INDEX('Per Line'!$E$2:$E$6001,$V172)&amp;"")</f>
        <v/>
      </c>
      <c r="E172">
        <f>IF($V172="","",INDEX('Per Line'!$G$2:$G$6001,$V172)&amp;"")</f>
        <v/>
      </c>
      <c r="F172">
        <f>IF($V172="","",INDEX('Per Line'!$H$2:$H$6001,$V172)&amp;"")</f>
        <v/>
      </c>
      <c r="G172">
        <f>IF($V172="","",INDEX('Per Line'!$I$2:$I$6001,$V172)&amp;"")</f>
        <v/>
      </c>
      <c r="H172">
        <f>IF($V172="","",INDEX('Per Line'!$J$2:$J$6001,$V172))</f>
        <v/>
      </c>
      <c r="I172" s="7">
        <f>IF($V172="","",H172*S172/100)</f>
        <v/>
      </c>
      <c r="J172">
        <f>IF($V172="","",INDEX('Per Line'!$S$2:$S$6001,$V172)&amp;"")</f>
        <v/>
      </c>
      <c r="K172" s="7">
        <f>IF($V172="","",SUMIFS('Per Line'!$R$2:$R$6001,'Per Line'!$C$2:$C$6001,$B172,'Per Line'!$AJ$2:$AJ$6001,1))</f>
        <v/>
      </c>
      <c r="L172">
        <f>IF($V172="","",Settings!$C$7)</f>
        <v/>
      </c>
      <c r="M172" s="7">
        <f>IF($V172="","",SUMIFS('Per Line'!$R$2:$R$6001,'Per Line'!$C$2:$C$6001,$B172,'Per Line'!$AI$2:$AI$6001,0,'Per Line'!$AJ$2:$AJ$6001,0))</f>
        <v/>
      </c>
      <c r="N172" s="7">
        <f>IF($V172="","",M172*L172)</f>
        <v/>
      </c>
      <c r="O172">
        <f>IF($V172="","",Settings!$C$6)</f>
        <v/>
      </c>
      <c r="P172" s="7">
        <f>IF($V172="","",SUMIFS('Per Line'!$R$2:$R$6001,'Per Line'!$C$2:$C$6001,$B172,'Per Line'!$AI$2:$AI$6001,1,'Per Line'!$AJ$2:$AJ$6001,0))</f>
        <v/>
      </c>
      <c r="Q172" s="7">
        <f>IF($V172="","",P172*O172)</f>
        <v/>
      </c>
      <c r="R172" s="7">
        <f>IF($V172="","",Q172+N172)</f>
        <v/>
      </c>
      <c r="S172" s="7">
        <f>IF($V172="","",T172-R172)</f>
        <v/>
      </c>
      <c r="T172" s="7">
        <f>IF($V172="","",M172+P172+K172)</f>
        <v/>
      </c>
      <c r="U172" s="7">
        <f>IF($V172="","",T172-R172-I172)</f>
        <v/>
      </c>
      <c r="V172" s="13">
        <f>IF(ROWS($V$2:$V172)&lt;=MAX('Per Line'!$AH$2:$AH$6001),MATCH(ROWS($V$2:$V172),'Per Line'!$AH$2:$AH$6001,0),"")</f>
        <v/>
      </c>
    </row>
    <row r="173">
      <c r="A173" s="12" t="n"/>
      <c r="B173">
        <f>IF($V173="","",INDEX('Per Line'!$C$2:$C$6001,$V173)&amp;"")</f>
        <v/>
      </c>
      <c r="C173" s="11">
        <f>IF($V173="","",INDEX('Per Line'!$D$2:$D$6001,$V173))</f>
        <v/>
      </c>
      <c r="D173">
        <f>IF($V173="","",INDEX('Per Line'!$E$2:$E$6001,$V173)&amp;"")</f>
        <v/>
      </c>
      <c r="E173">
        <f>IF($V173="","",INDEX('Per Line'!$G$2:$G$6001,$V173)&amp;"")</f>
        <v/>
      </c>
      <c r="F173">
        <f>IF($V173="","",INDEX('Per Line'!$H$2:$H$6001,$V173)&amp;"")</f>
        <v/>
      </c>
      <c r="G173">
        <f>IF($V173="","",INDEX('Per Line'!$I$2:$I$6001,$V173)&amp;"")</f>
        <v/>
      </c>
      <c r="H173">
        <f>IF($V173="","",INDEX('Per Line'!$J$2:$J$6001,$V173))</f>
        <v/>
      </c>
      <c r="I173" s="7">
        <f>IF($V173="","",H173*S173/100)</f>
        <v/>
      </c>
      <c r="J173">
        <f>IF($V173="","",INDEX('Per Line'!$S$2:$S$6001,$V173)&amp;"")</f>
        <v/>
      </c>
      <c r="K173" s="7">
        <f>IF($V173="","",SUMIFS('Per Line'!$R$2:$R$6001,'Per Line'!$C$2:$C$6001,$B173,'Per Line'!$AJ$2:$AJ$6001,1))</f>
        <v/>
      </c>
      <c r="L173">
        <f>IF($V173="","",Settings!$C$7)</f>
        <v/>
      </c>
      <c r="M173" s="7">
        <f>IF($V173="","",SUMIFS('Per Line'!$R$2:$R$6001,'Per Line'!$C$2:$C$6001,$B173,'Per Line'!$AI$2:$AI$6001,0,'Per Line'!$AJ$2:$AJ$6001,0))</f>
        <v/>
      </c>
      <c r="N173" s="7">
        <f>IF($V173="","",M173*L173)</f>
        <v/>
      </c>
      <c r="O173">
        <f>IF($V173="","",Settings!$C$6)</f>
        <v/>
      </c>
      <c r="P173" s="7">
        <f>IF($V173="","",SUMIFS('Per Line'!$R$2:$R$6001,'Per Line'!$C$2:$C$6001,$B173,'Per Line'!$AI$2:$AI$6001,1,'Per Line'!$AJ$2:$AJ$6001,0))</f>
        <v/>
      </c>
      <c r="Q173" s="7">
        <f>IF($V173="","",P173*O173)</f>
        <v/>
      </c>
      <c r="R173" s="7">
        <f>IF($V173="","",Q173+N173)</f>
        <v/>
      </c>
      <c r="S173" s="7">
        <f>IF($V173="","",T173-R173)</f>
        <v/>
      </c>
      <c r="T173" s="7">
        <f>IF($V173="","",M173+P173+K173)</f>
        <v/>
      </c>
      <c r="U173" s="7">
        <f>IF($V173="","",T173-R173-I173)</f>
        <v/>
      </c>
      <c r="V173" s="13">
        <f>IF(ROWS($V$2:$V173)&lt;=MAX('Per Line'!$AH$2:$AH$6001),MATCH(ROWS($V$2:$V173),'Per Line'!$AH$2:$AH$6001,0),"")</f>
        <v/>
      </c>
    </row>
    <row r="174">
      <c r="A174" s="12" t="n"/>
      <c r="B174">
        <f>IF($V174="","",INDEX('Per Line'!$C$2:$C$6001,$V174)&amp;"")</f>
        <v/>
      </c>
      <c r="C174" s="11">
        <f>IF($V174="","",INDEX('Per Line'!$D$2:$D$6001,$V174))</f>
        <v/>
      </c>
      <c r="D174">
        <f>IF($V174="","",INDEX('Per Line'!$E$2:$E$6001,$V174)&amp;"")</f>
        <v/>
      </c>
      <c r="E174">
        <f>IF($V174="","",INDEX('Per Line'!$G$2:$G$6001,$V174)&amp;"")</f>
        <v/>
      </c>
      <c r="F174">
        <f>IF($V174="","",INDEX('Per Line'!$H$2:$H$6001,$V174)&amp;"")</f>
        <v/>
      </c>
      <c r="G174">
        <f>IF($V174="","",INDEX('Per Line'!$I$2:$I$6001,$V174)&amp;"")</f>
        <v/>
      </c>
      <c r="H174">
        <f>IF($V174="","",INDEX('Per Line'!$J$2:$J$6001,$V174))</f>
        <v/>
      </c>
      <c r="I174" s="7">
        <f>IF($V174="","",H174*S174/100)</f>
        <v/>
      </c>
      <c r="J174">
        <f>IF($V174="","",INDEX('Per Line'!$S$2:$S$6001,$V174)&amp;"")</f>
        <v/>
      </c>
      <c r="K174" s="7">
        <f>IF($V174="","",SUMIFS('Per Line'!$R$2:$R$6001,'Per Line'!$C$2:$C$6001,$B174,'Per Line'!$AJ$2:$AJ$6001,1))</f>
        <v/>
      </c>
      <c r="L174">
        <f>IF($V174="","",Settings!$C$7)</f>
        <v/>
      </c>
      <c r="M174" s="7">
        <f>IF($V174="","",SUMIFS('Per Line'!$R$2:$R$6001,'Per Line'!$C$2:$C$6001,$B174,'Per Line'!$AI$2:$AI$6001,0,'Per Line'!$AJ$2:$AJ$6001,0))</f>
        <v/>
      </c>
      <c r="N174" s="7">
        <f>IF($V174="","",M174*L174)</f>
        <v/>
      </c>
      <c r="O174">
        <f>IF($V174="","",Settings!$C$6)</f>
        <v/>
      </c>
      <c r="P174" s="7">
        <f>IF($V174="","",SUMIFS('Per Line'!$R$2:$R$6001,'Per Line'!$C$2:$C$6001,$B174,'Per Line'!$AI$2:$AI$6001,1,'Per Line'!$AJ$2:$AJ$6001,0))</f>
        <v/>
      </c>
      <c r="Q174" s="7">
        <f>IF($V174="","",P174*O174)</f>
        <v/>
      </c>
      <c r="R174" s="7">
        <f>IF($V174="","",Q174+N174)</f>
        <v/>
      </c>
      <c r="S174" s="7">
        <f>IF($V174="","",T174-R174)</f>
        <v/>
      </c>
      <c r="T174" s="7">
        <f>IF($V174="","",M174+P174+K174)</f>
        <v/>
      </c>
      <c r="U174" s="7">
        <f>IF($V174="","",T174-R174-I174)</f>
        <v/>
      </c>
      <c r="V174" s="13">
        <f>IF(ROWS($V$2:$V174)&lt;=MAX('Per Line'!$AH$2:$AH$6001),MATCH(ROWS($V$2:$V174),'Per Line'!$AH$2:$AH$6001,0),"")</f>
        <v/>
      </c>
    </row>
    <row r="175">
      <c r="A175" s="12" t="n"/>
      <c r="B175">
        <f>IF($V175="","",INDEX('Per Line'!$C$2:$C$6001,$V175)&amp;"")</f>
        <v/>
      </c>
      <c r="C175" s="11">
        <f>IF($V175="","",INDEX('Per Line'!$D$2:$D$6001,$V175))</f>
        <v/>
      </c>
      <c r="D175">
        <f>IF($V175="","",INDEX('Per Line'!$E$2:$E$6001,$V175)&amp;"")</f>
        <v/>
      </c>
      <c r="E175">
        <f>IF($V175="","",INDEX('Per Line'!$G$2:$G$6001,$V175)&amp;"")</f>
        <v/>
      </c>
      <c r="F175">
        <f>IF($V175="","",INDEX('Per Line'!$H$2:$H$6001,$V175)&amp;"")</f>
        <v/>
      </c>
      <c r="G175">
        <f>IF($V175="","",INDEX('Per Line'!$I$2:$I$6001,$V175)&amp;"")</f>
        <v/>
      </c>
      <c r="H175">
        <f>IF($V175="","",INDEX('Per Line'!$J$2:$J$6001,$V175))</f>
        <v/>
      </c>
      <c r="I175" s="7">
        <f>IF($V175="","",H175*S175/100)</f>
        <v/>
      </c>
      <c r="J175">
        <f>IF($V175="","",INDEX('Per Line'!$S$2:$S$6001,$V175)&amp;"")</f>
        <v/>
      </c>
      <c r="K175" s="7">
        <f>IF($V175="","",SUMIFS('Per Line'!$R$2:$R$6001,'Per Line'!$C$2:$C$6001,$B175,'Per Line'!$AJ$2:$AJ$6001,1))</f>
        <v/>
      </c>
      <c r="L175">
        <f>IF($V175="","",Settings!$C$7)</f>
        <v/>
      </c>
      <c r="M175" s="7">
        <f>IF($V175="","",SUMIFS('Per Line'!$R$2:$R$6001,'Per Line'!$C$2:$C$6001,$B175,'Per Line'!$AI$2:$AI$6001,0,'Per Line'!$AJ$2:$AJ$6001,0))</f>
        <v/>
      </c>
      <c r="N175" s="7">
        <f>IF($V175="","",M175*L175)</f>
        <v/>
      </c>
      <c r="O175">
        <f>IF($V175="","",Settings!$C$6)</f>
        <v/>
      </c>
      <c r="P175" s="7">
        <f>IF($V175="","",SUMIFS('Per Line'!$R$2:$R$6001,'Per Line'!$C$2:$C$6001,$B175,'Per Line'!$AI$2:$AI$6001,1,'Per Line'!$AJ$2:$AJ$6001,0))</f>
        <v/>
      </c>
      <c r="Q175" s="7">
        <f>IF($V175="","",P175*O175)</f>
        <v/>
      </c>
      <c r="R175" s="7">
        <f>IF($V175="","",Q175+N175)</f>
        <v/>
      </c>
      <c r="S175" s="7">
        <f>IF($V175="","",T175-R175)</f>
        <v/>
      </c>
      <c r="T175" s="7">
        <f>IF($V175="","",M175+P175+K175)</f>
        <v/>
      </c>
      <c r="U175" s="7">
        <f>IF($V175="","",T175-R175-I175)</f>
        <v/>
      </c>
      <c r="V175" s="13">
        <f>IF(ROWS($V$2:$V175)&lt;=MAX('Per Line'!$AH$2:$AH$6001),MATCH(ROWS($V$2:$V175),'Per Line'!$AH$2:$AH$6001,0),"")</f>
        <v/>
      </c>
    </row>
    <row r="176">
      <c r="A176" s="12" t="n"/>
      <c r="B176">
        <f>IF($V176="","",INDEX('Per Line'!$C$2:$C$6001,$V176)&amp;"")</f>
        <v/>
      </c>
      <c r="C176" s="11">
        <f>IF($V176="","",INDEX('Per Line'!$D$2:$D$6001,$V176))</f>
        <v/>
      </c>
      <c r="D176">
        <f>IF($V176="","",INDEX('Per Line'!$E$2:$E$6001,$V176)&amp;"")</f>
        <v/>
      </c>
      <c r="E176">
        <f>IF($V176="","",INDEX('Per Line'!$G$2:$G$6001,$V176)&amp;"")</f>
        <v/>
      </c>
      <c r="F176">
        <f>IF($V176="","",INDEX('Per Line'!$H$2:$H$6001,$V176)&amp;"")</f>
        <v/>
      </c>
      <c r="G176">
        <f>IF($V176="","",INDEX('Per Line'!$I$2:$I$6001,$V176)&amp;"")</f>
        <v/>
      </c>
      <c r="H176">
        <f>IF($V176="","",INDEX('Per Line'!$J$2:$J$6001,$V176))</f>
        <v/>
      </c>
      <c r="I176" s="7">
        <f>IF($V176="","",H176*S176/100)</f>
        <v/>
      </c>
      <c r="J176">
        <f>IF($V176="","",INDEX('Per Line'!$S$2:$S$6001,$V176)&amp;"")</f>
        <v/>
      </c>
      <c r="K176" s="7">
        <f>IF($V176="","",SUMIFS('Per Line'!$R$2:$R$6001,'Per Line'!$C$2:$C$6001,$B176,'Per Line'!$AJ$2:$AJ$6001,1))</f>
        <v/>
      </c>
      <c r="L176">
        <f>IF($V176="","",Settings!$C$7)</f>
        <v/>
      </c>
      <c r="M176" s="7">
        <f>IF($V176="","",SUMIFS('Per Line'!$R$2:$R$6001,'Per Line'!$C$2:$C$6001,$B176,'Per Line'!$AI$2:$AI$6001,0,'Per Line'!$AJ$2:$AJ$6001,0))</f>
        <v/>
      </c>
      <c r="N176" s="7">
        <f>IF($V176="","",M176*L176)</f>
        <v/>
      </c>
      <c r="O176">
        <f>IF($V176="","",Settings!$C$6)</f>
        <v/>
      </c>
      <c r="P176" s="7">
        <f>IF($V176="","",SUMIFS('Per Line'!$R$2:$R$6001,'Per Line'!$C$2:$C$6001,$B176,'Per Line'!$AI$2:$AI$6001,1,'Per Line'!$AJ$2:$AJ$6001,0))</f>
        <v/>
      </c>
      <c r="Q176" s="7">
        <f>IF($V176="","",P176*O176)</f>
        <v/>
      </c>
      <c r="R176" s="7">
        <f>IF($V176="","",Q176+N176)</f>
        <v/>
      </c>
      <c r="S176" s="7">
        <f>IF($V176="","",T176-R176)</f>
        <v/>
      </c>
      <c r="T176" s="7">
        <f>IF($V176="","",M176+P176+K176)</f>
        <v/>
      </c>
      <c r="U176" s="7">
        <f>IF($V176="","",T176-R176-I176)</f>
        <v/>
      </c>
      <c r="V176" s="13">
        <f>IF(ROWS($V$2:$V176)&lt;=MAX('Per Line'!$AH$2:$AH$6001),MATCH(ROWS($V$2:$V176),'Per Line'!$AH$2:$AH$6001,0),"")</f>
        <v/>
      </c>
    </row>
    <row r="177">
      <c r="A177" s="12" t="n"/>
      <c r="B177">
        <f>IF($V177="","",INDEX('Per Line'!$C$2:$C$6001,$V177)&amp;"")</f>
        <v/>
      </c>
      <c r="C177" s="11">
        <f>IF($V177="","",INDEX('Per Line'!$D$2:$D$6001,$V177))</f>
        <v/>
      </c>
      <c r="D177">
        <f>IF($V177="","",INDEX('Per Line'!$E$2:$E$6001,$V177)&amp;"")</f>
        <v/>
      </c>
      <c r="E177">
        <f>IF($V177="","",INDEX('Per Line'!$G$2:$G$6001,$V177)&amp;"")</f>
        <v/>
      </c>
      <c r="F177">
        <f>IF($V177="","",INDEX('Per Line'!$H$2:$H$6001,$V177)&amp;"")</f>
        <v/>
      </c>
      <c r="G177">
        <f>IF($V177="","",INDEX('Per Line'!$I$2:$I$6001,$V177)&amp;"")</f>
        <v/>
      </c>
      <c r="H177">
        <f>IF($V177="","",INDEX('Per Line'!$J$2:$J$6001,$V177))</f>
        <v/>
      </c>
      <c r="I177" s="7">
        <f>IF($V177="","",H177*S177/100)</f>
        <v/>
      </c>
      <c r="J177">
        <f>IF($V177="","",INDEX('Per Line'!$S$2:$S$6001,$V177)&amp;"")</f>
        <v/>
      </c>
      <c r="K177" s="7">
        <f>IF($V177="","",SUMIFS('Per Line'!$R$2:$R$6001,'Per Line'!$C$2:$C$6001,$B177,'Per Line'!$AJ$2:$AJ$6001,1))</f>
        <v/>
      </c>
      <c r="L177">
        <f>IF($V177="","",Settings!$C$7)</f>
        <v/>
      </c>
      <c r="M177" s="7">
        <f>IF($V177="","",SUMIFS('Per Line'!$R$2:$R$6001,'Per Line'!$C$2:$C$6001,$B177,'Per Line'!$AI$2:$AI$6001,0,'Per Line'!$AJ$2:$AJ$6001,0))</f>
        <v/>
      </c>
      <c r="N177" s="7">
        <f>IF($V177="","",M177*L177)</f>
        <v/>
      </c>
      <c r="O177">
        <f>IF($V177="","",Settings!$C$6)</f>
        <v/>
      </c>
      <c r="P177" s="7">
        <f>IF($V177="","",SUMIFS('Per Line'!$R$2:$R$6001,'Per Line'!$C$2:$C$6001,$B177,'Per Line'!$AI$2:$AI$6001,1,'Per Line'!$AJ$2:$AJ$6001,0))</f>
        <v/>
      </c>
      <c r="Q177" s="7">
        <f>IF($V177="","",P177*O177)</f>
        <v/>
      </c>
      <c r="R177" s="7">
        <f>IF($V177="","",Q177+N177)</f>
        <v/>
      </c>
      <c r="S177" s="7">
        <f>IF($V177="","",T177-R177)</f>
        <v/>
      </c>
      <c r="T177" s="7">
        <f>IF($V177="","",M177+P177+K177)</f>
        <v/>
      </c>
      <c r="U177" s="7">
        <f>IF($V177="","",T177-R177-I177)</f>
        <v/>
      </c>
      <c r="V177" s="13">
        <f>IF(ROWS($V$2:$V177)&lt;=MAX('Per Line'!$AH$2:$AH$6001),MATCH(ROWS($V$2:$V177),'Per Line'!$AH$2:$AH$6001,0),"")</f>
        <v/>
      </c>
    </row>
    <row r="178">
      <c r="A178" s="12" t="n"/>
      <c r="B178">
        <f>IF($V178="","",INDEX('Per Line'!$C$2:$C$6001,$V178)&amp;"")</f>
        <v/>
      </c>
      <c r="C178" s="11">
        <f>IF($V178="","",INDEX('Per Line'!$D$2:$D$6001,$V178))</f>
        <v/>
      </c>
      <c r="D178">
        <f>IF($V178="","",INDEX('Per Line'!$E$2:$E$6001,$V178)&amp;"")</f>
        <v/>
      </c>
      <c r="E178">
        <f>IF($V178="","",INDEX('Per Line'!$G$2:$G$6001,$V178)&amp;"")</f>
        <v/>
      </c>
      <c r="F178">
        <f>IF($V178="","",INDEX('Per Line'!$H$2:$H$6001,$V178)&amp;"")</f>
        <v/>
      </c>
      <c r="G178">
        <f>IF($V178="","",INDEX('Per Line'!$I$2:$I$6001,$V178)&amp;"")</f>
        <v/>
      </c>
      <c r="H178">
        <f>IF($V178="","",INDEX('Per Line'!$J$2:$J$6001,$V178))</f>
        <v/>
      </c>
      <c r="I178" s="7">
        <f>IF($V178="","",H178*S178/100)</f>
        <v/>
      </c>
      <c r="J178">
        <f>IF($V178="","",INDEX('Per Line'!$S$2:$S$6001,$V178)&amp;"")</f>
        <v/>
      </c>
      <c r="K178" s="7">
        <f>IF($V178="","",SUMIFS('Per Line'!$R$2:$R$6001,'Per Line'!$C$2:$C$6001,$B178,'Per Line'!$AJ$2:$AJ$6001,1))</f>
        <v/>
      </c>
      <c r="L178">
        <f>IF($V178="","",Settings!$C$7)</f>
        <v/>
      </c>
      <c r="M178" s="7">
        <f>IF($V178="","",SUMIFS('Per Line'!$R$2:$R$6001,'Per Line'!$C$2:$C$6001,$B178,'Per Line'!$AI$2:$AI$6001,0,'Per Line'!$AJ$2:$AJ$6001,0))</f>
        <v/>
      </c>
      <c r="N178" s="7">
        <f>IF($V178="","",M178*L178)</f>
        <v/>
      </c>
      <c r="O178">
        <f>IF($V178="","",Settings!$C$6)</f>
        <v/>
      </c>
      <c r="P178" s="7">
        <f>IF($V178="","",SUMIFS('Per Line'!$R$2:$R$6001,'Per Line'!$C$2:$C$6001,$B178,'Per Line'!$AI$2:$AI$6001,1,'Per Line'!$AJ$2:$AJ$6001,0))</f>
        <v/>
      </c>
      <c r="Q178" s="7">
        <f>IF($V178="","",P178*O178)</f>
        <v/>
      </c>
      <c r="R178" s="7">
        <f>IF($V178="","",Q178+N178)</f>
        <v/>
      </c>
      <c r="S178" s="7">
        <f>IF($V178="","",T178-R178)</f>
        <v/>
      </c>
      <c r="T178" s="7">
        <f>IF($V178="","",M178+P178+K178)</f>
        <v/>
      </c>
      <c r="U178" s="7">
        <f>IF($V178="","",T178-R178-I178)</f>
        <v/>
      </c>
      <c r="V178" s="13">
        <f>IF(ROWS($V$2:$V178)&lt;=MAX('Per Line'!$AH$2:$AH$6001),MATCH(ROWS($V$2:$V178),'Per Line'!$AH$2:$AH$6001,0),"")</f>
        <v/>
      </c>
    </row>
    <row r="179">
      <c r="A179" s="12" t="n"/>
      <c r="B179">
        <f>IF($V179="","",INDEX('Per Line'!$C$2:$C$6001,$V179)&amp;"")</f>
        <v/>
      </c>
      <c r="C179" s="11">
        <f>IF($V179="","",INDEX('Per Line'!$D$2:$D$6001,$V179))</f>
        <v/>
      </c>
      <c r="D179">
        <f>IF($V179="","",INDEX('Per Line'!$E$2:$E$6001,$V179)&amp;"")</f>
        <v/>
      </c>
      <c r="E179">
        <f>IF($V179="","",INDEX('Per Line'!$G$2:$G$6001,$V179)&amp;"")</f>
        <v/>
      </c>
      <c r="F179">
        <f>IF($V179="","",INDEX('Per Line'!$H$2:$H$6001,$V179)&amp;"")</f>
        <v/>
      </c>
      <c r="G179">
        <f>IF($V179="","",INDEX('Per Line'!$I$2:$I$6001,$V179)&amp;"")</f>
        <v/>
      </c>
      <c r="H179">
        <f>IF($V179="","",INDEX('Per Line'!$J$2:$J$6001,$V179))</f>
        <v/>
      </c>
      <c r="I179" s="7">
        <f>IF($V179="","",H179*S179/100)</f>
        <v/>
      </c>
      <c r="J179">
        <f>IF($V179="","",INDEX('Per Line'!$S$2:$S$6001,$V179)&amp;"")</f>
        <v/>
      </c>
      <c r="K179" s="7">
        <f>IF($V179="","",SUMIFS('Per Line'!$R$2:$R$6001,'Per Line'!$C$2:$C$6001,$B179,'Per Line'!$AJ$2:$AJ$6001,1))</f>
        <v/>
      </c>
      <c r="L179">
        <f>IF($V179="","",Settings!$C$7)</f>
        <v/>
      </c>
      <c r="M179" s="7">
        <f>IF($V179="","",SUMIFS('Per Line'!$R$2:$R$6001,'Per Line'!$C$2:$C$6001,$B179,'Per Line'!$AI$2:$AI$6001,0,'Per Line'!$AJ$2:$AJ$6001,0))</f>
        <v/>
      </c>
      <c r="N179" s="7">
        <f>IF($V179="","",M179*L179)</f>
        <v/>
      </c>
      <c r="O179">
        <f>IF($V179="","",Settings!$C$6)</f>
        <v/>
      </c>
      <c r="P179" s="7">
        <f>IF($V179="","",SUMIFS('Per Line'!$R$2:$R$6001,'Per Line'!$C$2:$C$6001,$B179,'Per Line'!$AI$2:$AI$6001,1,'Per Line'!$AJ$2:$AJ$6001,0))</f>
        <v/>
      </c>
      <c r="Q179" s="7">
        <f>IF($V179="","",P179*O179)</f>
        <v/>
      </c>
      <c r="R179" s="7">
        <f>IF($V179="","",Q179+N179)</f>
        <v/>
      </c>
      <c r="S179" s="7">
        <f>IF($V179="","",T179-R179)</f>
        <v/>
      </c>
      <c r="T179" s="7">
        <f>IF($V179="","",M179+P179+K179)</f>
        <v/>
      </c>
      <c r="U179" s="7">
        <f>IF($V179="","",T179-R179-I179)</f>
        <v/>
      </c>
      <c r="V179" s="13">
        <f>IF(ROWS($V$2:$V179)&lt;=MAX('Per Line'!$AH$2:$AH$6001),MATCH(ROWS($V$2:$V179),'Per Line'!$AH$2:$AH$6001,0),"")</f>
        <v/>
      </c>
    </row>
    <row r="180">
      <c r="A180" s="12" t="n"/>
      <c r="B180">
        <f>IF($V180="","",INDEX('Per Line'!$C$2:$C$6001,$V180)&amp;"")</f>
        <v/>
      </c>
      <c r="C180" s="11">
        <f>IF($V180="","",INDEX('Per Line'!$D$2:$D$6001,$V180))</f>
        <v/>
      </c>
      <c r="D180">
        <f>IF($V180="","",INDEX('Per Line'!$E$2:$E$6001,$V180)&amp;"")</f>
        <v/>
      </c>
      <c r="E180">
        <f>IF($V180="","",INDEX('Per Line'!$G$2:$G$6001,$V180)&amp;"")</f>
        <v/>
      </c>
      <c r="F180">
        <f>IF($V180="","",INDEX('Per Line'!$H$2:$H$6001,$V180)&amp;"")</f>
        <v/>
      </c>
      <c r="G180">
        <f>IF($V180="","",INDEX('Per Line'!$I$2:$I$6001,$V180)&amp;"")</f>
        <v/>
      </c>
      <c r="H180">
        <f>IF($V180="","",INDEX('Per Line'!$J$2:$J$6001,$V180))</f>
        <v/>
      </c>
      <c r="I180" s="7">
        <f>IF($V180="","",H180*S180/100)</f>
        <v/>
      </c>
      <c r="J180">
        <f>IF($V180="","",INDEX('Per Line'!$S$2:$S$6001,$V180)&amp;"")</f>
        <v/>
      </c>
      <c r="K180" s="7">
        <f>IF($V180="","",SUMIFS('Per Line'!$R$2:$R$6001,'Per Line'!$C$2:$C$6001,$B180,'Per Line'!$AJ$2:$AJ$6001,1))</f>
        <v/>
      </c>
      <c r="L180">
        <f>IF($V180="","",Settings!$C$7)</f>
        <v/>
      </c>
      <c r="M180" s="7">
        <f>IF($V180="","",SUMIFS('Per Line'!$R$2:$R$6001,'Per Line'!$C$2:$C$6001,$B180,'Per Line'!$AI$2:$AI$6001,0,'Per Line'!$AJ$2:$AJ$6001,0))</f>
        <v/>
      </c>
      <c r="N180" s="7">
        <f>IF($V180="","",M180*L180)</f>
        <v/>
      </c>
      <c r="O180">
        <f>IF($V180="","",Settings!$C$6)</f>
        <v/>
      </c>
      <c r="P180" s="7">
        <f>IF($V180="","",SUMIFS('Per Line'!$R$2:$R$6001,'Per Line'!$C$2:$C$6001,$B180,'Per Line'!$AI$2:$AI$6001,1,'Per Line'!$AJ$2:$AJ$6001,0))</f>
        <v/>
      </c>
      <c r="Q180" s="7">
        <f>IF($V180="","",P180*O180)</f>
        <v/>
      </c>
      <c r="R180" s="7">
        <f>IF($V180="","",Q180+N180)</f>
        <v/>
      </c>
      <c r="S180" s="7">
        <f>IF($V180="","",T180-R180)</f>
        <v/>
      </c>
      <c r="T180" s="7">
        <f>IF($V180="","",M180+P180+K180)</f>
        <v/>
      </c>
      <c r="U180" s="7">
        <f>IF($V180="","",T180-R180-I180)</f>
        <v/>
      </c>
      <c r="V180" s="13">
        <f>IF(ROWS($V$2:$V180)&lt;=MAX('Per Line'!$AH$2:$AH$6001),MATCH(ROWS($V$2:$V180),'Per Line'!$AH$2:$AH$6001,0),"")</f>
        <v/>
      </c>
    </row>
    <row r="181">
      <c r="A181" s="12" t="n"/>
      <c r="B181">
        <f>IF($V181="","",INDEX('Per Line'!$C$2:$C$6001,$V181)&amp;"")</f>
        <v/>
      </c>
      <c r="C181" s="11">
        <f>IF($V181="","",INDEX('Per Line'!$D$2:$D$6001,$V181))</f>
        <v/>
      </c>
      <c r="D181">
        <f>IF($V181="","",INDEX('Per Line'!$E$2:$E$6001,$V181)&amp;"")</f>
        <v/>
      </c>
      <c r="E181">
        <f>IF($V181="","",INDEX('Per Line'!$G$2:$G$6001,$V181)&amp;"")</f>
        <v/>
      </c>
      <c r="F181">
        <f>IF($V181="","",INDEX('Per Line'!$H$2:$H$6001,$V181)&amp;"")</f>
        <v/>
      </c>
      <c r="G181">
        <f>IF($V181="","",INDEX('Per Line'!$I$2:$I$6001,$V181)&amp;"")</f>
        <v/>
      </c>
      <c r="H181">
        <f>IF($V181="","",INDEX('Per Line'!$J$2:$J$6001,$V181))</f>
        <v/>
      </c>
      <c r="I181" s="7">
        <f>IF($V181="","",H181*S181/100)</f>
        <v/>
      </c>
      <c r="J181">
        <f>IF($V181="","",INDEX('Per Line'!$S$2:$S$6001,$V181)&amp;"")</f>
        <v/>
      </c>
      <c r="K181" s="7">
        <f>IF($V181="","",SUMIFS('Per Line'!$R$2:$R$6001,'Per Line'!$C$2:$C$6001,$B181,'Per Line'!$AJ$2:$AJ$6001,1))</f>
        <v/>
      </c>
      <c r="L181">
        <f>IF($V181="","",Settings!$C$7)</f>
        <v/>
      </c>
      <c r="M181" s="7">
        <f>IF($V181="","",SUMIFS('Per Line'!$R$2:$R$6001,'Per Line'!$C$2:$C$6001,$B181,'Per Line'!$AI$2:$AI$6001,0,'Per Line'!$AJ$2:$AJ$6001,0))</f>
        <v/>
      </c>
      <c r="N181" s="7">
        <f>IF($V181="","",M181*L181)</f>
        <v/>
      </c>
      <c r="O181">
        <f>IF($V181="","",Settings!$C$6)</f>
        <v/>
      </c>
      <c r="P181" s="7">
        <f>IF($V181="","",SUMIFS('Per Line'!$R$2:$R$6001,'Per Line'!$C$2:$C$6001,$B181,'Per Line'!$AI$2:$AI$6001,1,'Per Line'!$AJ$2:$AJ$6001,0))</f>
        <v/>
      </c>
      <c r="Q181" s="7">
        <f>IF($V181="","",P181*O181)</f>
        <v/>
      </c>
      <c r="R181" s="7">
        <f>IF($V181="","",Q181+N181)</f>
        <v/>
      </c>
      <c r="S181" s="7">
        <f>IF($V181="","",T181-R181)</f>
        <v/>
      </c>
      <c r="T181" s="7">
        <f>IF($V181="","",M181+P181+K181)</f>
        <v/>
      </c>
      <c r="U181" s="7">
        <f>IF($V181="","",T181-R181-I181)</f>
        <v/>
      </c>
      <c r="V181" s="13">
        <f>IF(ROWS($V$2:$V181)&lt;=MAX('Per Line'!$AH$2:$AH$6001),MATCH(ROWS($V$2:$V181),'Per Line'!$AH$2:$AH$6001,0),"")</f>
        <v/>
      </c>
    </row>
    <row r="182">
      <c r="A182" s="12" t="n"/>
      <c r="B182">
        <f>IF($V182="","",INDEX('Per Line'!$C$2:$C$6001,$V182)&amp;"")</f>
        <v/>
      </c>
      <c r="C182" s="11">
        <f>IF($V182="","",INDEX('Per Line'!$D$2:$D$6001,$V182))</f>
        <v/>
      </c>
      <c r="D182">
        <f>IF($V182="","",INDEX('Per Line'!$E$2:$E$6001,$V182)&amp;"")</f>
        <v/>
      </c>
      <c r="E182">
        <f>IF($V182="","",INDEX('Per Line'!$G$2:$G$6001,$V182)&amp;"")</f>
        <v/>
      </c>
      <c r="F182">
        <f>IF($V182="","",INDEX('Per Line'!$H$2:$H$6001,$V182)&amp;"")</f>
        <v/>
      </c>
      <c r="G182">
        <f>IF($V182="","",INDEX('Per Line'!$I$2:$I$6001,$V182)&amp;"")</f>
        <v/>
      </c>
      <c r="H182">
        <f>IF($V182="","",INDEX('Per Line'!$J$2:$J$6001,$V182))</f>
        <v/>
      </c>
      <c r="I182" s="7">
        <f>IF($V182="","",H182*S182/100)</f>
        <v/>
      </c>
      <c r="J182">
        <f>IF($V182="","",INDEX('Per Line'!$S$2:$S$6001,$V182)&amp;"")</f>
        <v/>
      </c>
      <c r="K182" s="7">
        <f>IF($V182="","",SUMIFS('Per Line'!$R$2:$R$6001,'Per Line'!$C$2:$C$6001,$B182,'Per Line'!$AJ$2:$AJ$6001,1))</f>
        <v/>
      </c>
      <c r="L182">
        <f>IF($V182="","",Settings!$C$7)</f>
        <v/>
      </c>
      <c r="M182" s="7">
        <f>IF($V182="","",SUMIFS('Per Line'!$R$2:$R$6001,'Per Line'!$C$2:$C$6001,$B182,'Per Line'!$AI$2:$AI$6001,0,'Per Line'!$AJ$2:$AJ$6001,0))</f>
        <v/>
      </c>
      <c r="N182" s="7">
        <f>IF($V182="","",M182*L182)</f>
        <v/>
      </c>
      <c r="O182">
        <f>IF($V182="","",Settings!$C$6)</f>
        <v/>
      </c>
      <c r="P182" s="7">
        <f>IF($V182="","",SUMIFS('Per Line'!$R$2:$R$6001,'Per Line'!$C$2:$C$6001,$B182,'Per Line'!$AI$2:$AI$6001,1,'Per Line'!$AJ$2:$AJ$6001,0))</f>
        <v/>
      </c>
      <c r="Q182" s="7">
        <f>IF($V182="","",P182*O182)</f>
        <v/>
      </c>
      <c r="R182" s="7">
        <f>IF($V182="","",Q182+N182)</f>
        <v/>
      </c>
      <c r="S182" s="7">
        <f>IF($V182="","",T182-R182)</f>
        <v/>
      </c>
      <c r="T182" s="7">
        <f>IF($V182="","",M182+P182+K182)</f>
        <v/>
      </c>
      <c r="U182" s="7">
        <f>IF($V182="","",T182-R182-I182)</f>
        <v/>
      </c>
      <c r="V182" s="13">
        <f>IF(ROWS($V$2:$V182)&lt;=MAX('Per Line'!$AH$2:$AH$6001),MATCH(ROWS($V$2:$V182),'Per Line'!$AH$2:$AH$6001,0),"")</f>
        <v/>
      </c>
    </row>
    <row r="183">
      <c r="A183" s="12" t="n"/>
      <c r="B183">
        <f>IF($V183="","",INDEX('Per Line'!$C$2:$C$6001,$V183)&amp;"")</f>
        <v/>
      </c>
      <c r="C183" s="11">
        <f>IF($V183="","",INDEX('Per Line'!$D$2:$D$6001,$V183))</f>
        <v/>
      </c>
      <c r="D183">
        <f>IF($V183="","",INDEX('Per Line'!$E$2:$E$6001,$V183)&amp;"")</f>
        <v/>
      </c>
      <c r="E183">
        <f>IF($V183="","",INDEX('Per Line'!$G$2:$G$6001,$V183)&amp;"")</f>
        <v/>
      </c>
      <c r="F183">
        <f>IF($V183="","",INDEX('Per Line'!$H$2:$H$6001,$V183)&amp;"")</f>
        <v/>
      </c>
      <c r="G183">
        <f>IF($V183="","",INDEX('Per Line'!$I$2:$I$6001,$V183)&amp;"")</f>
        <v/>
      </c>
      <c r="H183">
        <f>IF($V183="","",INDEX('Per Line'!$J$2:$J$6001,$V183))</f>
        <v/>
      </c>
      <c r="I183" s="7">
        <f>IF($V183="","",H183*S183/100)</f>
        <v/>
      </c>
      <c r="J183">
        <f>IF($V183="","",INDEX('Per Line'!$S$2:$S$6001,$V183)&amp;"")</f>
        <v/>
      </c>
      <c r="K183" s="7">
        <f>IF($V183="","",SUMIFS('Per Line'!$R$2:$R$6001,'Per Line'!$C$2:$C$6001,$B183,'Per Line'!$AJ$2:$AJ$6001,1))</f>
        <v/>
      </c>
      <c r="L183">
        <f>IF($V183="","",Settings!$C$7)</f>
        <v/>
      </c>
      <c r="M183" s="7">
        <f>IF($V183="","",SUMIFS('Per Line'!$R$2:$R$6001,'Per Line'!$C$2:$C$6001,$B183,'Per Line'!$AI$2:$AI$6001,0,'Per Line'!$AJ$2:$AJ$6001,0))</f>
        <v/>
      </c>
      <c r="N183" s="7">
        <f>IF($V183="","",M183*L183)</f>
        <v/>
      </c>
      <c r="O183">
        <f>IF($V183="","",Settings!$C$6)</f>
        <v/>
      </c>
      <c r="P183" s="7">
        <f>IF($V183="","",SUMIFS('Per Line'!$R$2:$R$6001,'Per Line'!$C$2:$C$6001,$B183,'Per Line'!$AI$2:$AI$6001,1,'Per Line'!$AJ$2:$AJ$6001,0))</f>
        <v/>
      </c>
      <c r="Q183" s="7">
        <f>IF($V183="","",P183*O183)</f>
        <v/>
      </c>
      <c r="R183" s="7">
        <f>IF($V183="","",Q183+N183)</f>
        <v/>
      </c>
      <c r="S183" s="7">
        <f>IF($V183="","",T183-R183)</f>
        <v/>
      </c>
      <c r="T183" s="7">
        <f>IF($V183="","",M183+P183+K183)</f>
        <v/>
      </c>
      <c r="U183" s="7">
        <f>IF($V183="","",T183-R183-I183)</f>
        <v/>
      </c>
      <c r="V183" s="13">
        <f>IF(ROWS($V$2:$V183)&lt;=MAX('Per Line'!$AH$2:$AH$6001),MATCH(ROWS($V$2:$V183),'Per Line'!$AH$2:$AH$6001,0),"")</f>
        <v/>
      </c>
    </row>
    <row r="184">
      <c r="A184" s="12" t="n"/>
      <c r="B184">
        <f>IF($V184="","",INDEX('Per Line'!$C$2:$C$6001,$V184)&amp;"")</f>
        <v/>
      </c>
      <c r="C184" s="11">
        <f>IF($V184="","",INDEX('Per Line'!$D$2:$D$6001,$V184))</f>
        <v/>
      </c>
      <c r="D184">
        <f>IF($V184="","",INDEX('Per Line'!$E$2:$E$6001,$V184)&amp;"")</f>
        <v/>
      </c>
      <c r="E184">
        <f>IF($V184="","",INDEX('Per Line'!$G$2:$G$6001,$V184)&amp;"")</f>
        <v/>
      </c>
      <c r="F184">
        <f>IF($V184="","",INDEX('Per Line'!$H$2:$H$6001,$V184)&amp;"")</f>
        <v/>
      </c>
      <c r="G184">
        <f>IF($V184="","",INDEX('Per Line'!$I$2:$I$6001,$V184)&amp;"")</f>
        <v/>
      </c>
      <c r="H184">
        <f>IF($V184="","",INDEX('Per Line'!$J$2:$J$6001,$V184))</f>
        <v/>
      </c>
      <c r="I184" s="7">
        <f>IF($V184="","",H184*S184/100)</f>
        <v/>
      </c>
      <c r="J184">
        <f>IF($V184="","",INDEX('Per Line'!$S$2:$S$6001,$V184)&amp;"")</f>
        <v/>
      </c>
      <c r="K184" s="7">
        <f>IF($V184="","",SUMIFS('Per Line'!$R$2:$R$6001,'Per Line'!$C$2:$C$6001,$B184,'Per Line'!$AJ$2:$AJ$6001,1))</f>
        <v/>
      </c>
      <c r="L184">
        <f>IF($V184="","",Settings!$C$7)</f>
        <v/>
      </c>
      <c r="M184" s="7">
        <f>IF($V184="","",SUMIFS('Per Line'!$R$2:$R$6001,'Per Line'!$C$2:$C$6001,$B184,'Per Line'!$AI$2:$AI$6001,0,'Per Line'!$AJ$2:$AJ$6001,0))</f>
        <v/>
      </c>
      <c r="N184" s="7">
        <f>IF($V184="","",M184*L184)</f>
        <v/>
      </c>
      <c r="O184">
        <f>IF($V184="","",Settings!$C$6)</f>
        <v/>
      </c>
      <c r="P184" s="7">
        <f>IF($V184="","",SUMIFS('Per Line'!$R$2:$R$6001,'Per Line'!$C$2:$C$6001,$B184,'Per Line'!$AI$2:$AI$6001,1,'Per Line'!$AJ$2:$AJ$6001,0))</f>
        <v/>
      </c>
      <c r="Q184" s="7">
        <f>IF($V184="","",P184*O184)</f>
        <v/>
      </c>
      <c r="R184" s="7">
        <f>IF($V184="","",Q184+N184)</f>
        <v/>
      </c>
      <c r="S184" s="7">
        <f>IF($V184="","",T184-R184)</f>
        <v/>
      </c>
      <c r="T184" s="7">
        <f>IF($V184="","",M184+P184+K184)</f>
        <v/>
      </c>
      <c r="U184" s="7">
        <f>IF($V184="","",T184-R184-I184)</f>
        <v/>
      </c>
      <c r="V184" s="13">
        <f>IF(ROWS($V$2:$V184)&lt;=MAX('Per Line'!$AH$2:$AH$6001),MATCH(ROWS($V$2:$V184),'Per Line'!$AH$2:$AH$6001,0),"")</f>
        <v/>
      </c>
    </row>
    <row r="185">
      <c r="A185" s="12" t="n"/>
      <c r="B185">
        <f>IF($V185="","",INDEX('Per Line'!$C$2:$C$6001,$V185)&amp;"")</f>
        <v/>
      </c>
      <c r="C185" s="11">
        <f>IF($V185="","",INDEX('Per Line'!$D$2:$D$6001,$V185))</f>
        <v/>
      </c>
      <c r="D185">
        <f>IF($V185="","",INDEX('Per Line'!$E$2:$E$6001,$V185)&amp;"")</f>
        <v/>
      </c>
      <c r="E185">
        <f>IF($V185="","",INDEX('Per Line'!$G$2:$G$6001,$V185)&amp;"")</f>
        <v/>
      </c>
      <c r="F185">
        <f>IF($V185="","",INDEX('Per Line'!$H$2:$H$6001,$V185)&amp;"")</f>
        <v/>
      </c>
      <c r="G185">
        <f>IF($V185="","",INDEX('Per Line'!$I$2:$I$6001,$V185)&amp;"")</f>
        <v/>
      </c>
      <c r="H185">
        <f>IF($V185="","",INDEX('Per Line'!$J$2:$J$6001,$V185))</f>
        <v/>
      </c>
      <c r="I185" s="7">
        <f>IF($V185="","",H185*S185/100)</f>
        <v/>
      </c>
      <c r="J185">
        <f>IF($V185="","",INDEX('Per Line'!$S$2:$S$6001,$V185)&amp;"")</f>
        <v/>
      </c>
      <c r="K185" s="7">
        <f>IF($V185="","",SUMIFS('Per Line'!$R$2:$R$6001,'Per Line'!$C$2:$C$6001,$B185,'Per Line'!$AJ$2:$AJ$6001,1))</f>
        <v/>
      </c>
      <c r="L185">
        <f>IF($V185="","",Settings!$C$7)</f>
        <v/>
      </c>
      <c r="M185" s="7">
        <f>IF($V185="","",SUMIFS('Per Line'!$R$2:$R$6001,'Per Line'!$C$2:$C$6001,$B185,'Per Line'!$AI$2:$AI$6001,0,'Per Line'!$AJ$2:$AJ$6001,0))</f>
        <v/>
      </c>
      <c r="N185" s="7">
        <f>IF($V185="","",M185*L185)</f>
        <v/>
      </c>
      <c r="O185">
        <f>IF($V185="","",Settings!$C$6)</f>
        <v/>
      </c>
      <c r="P185" s="7">
        <f>IF($V185="","",SUMIFS('Per Line'!$R$2:$R$6001,'Per Line'!$C$2:$C$6001,$B185,'Per Line'!$AI$2:$AI$6001,1,'Per Line'!$AJ$2:$AJ$6001,0))</f>
        <v/>
      </c>
      <c r="Q185" s="7">
        <f>IF($V185="","",P185*O185)</f>
        <v/>
      </c>
      <c r="R185" s="7">
        <f>IF($V185="","",Q185+N185)</f>
        <v/>
      </c>
      <c r="S185" s="7">
        <f>IF($V185="","",T185-R185)</f>
        <v/>
      </c>
      <c r="T185" s="7">
        <f>IF($V185="","",M185+P185+K185)</f>
        <v/>
      </c>
      <c r="U185" s="7">
        <f>IF($V185="","",T185-R185-I185)</f>
        <v/>
      </c>
      <c r="V185" s="13">
        <f>IF(ROWS($V$2:$V185)&lt;=MAX('Per Line'!$AH$2:$AH$6001),MATCH(ROWS($V$2:$V185),'Per Line'!$AH$2:$AH$6001,0),"")</f>
        <v/>
      </c>
    </row>
    <row r="186">
      <c r="A186" s="12" t="n"/>
      <c r="B186">
        <f>IF($V186="","",INDEX('Per Line'!$C$2:$C$6001,$V186)&amp;"")</f>
        <v/>
      </c>
      <c r="C186" s="11">
        <f>IF($V186="","",INDEX('Per Line'!$D$2:$D$6001,$V186))</f>
        <v/>
      </c>
      <c r="D186">
        <f>IF($V186="","",INDEX('Per Line'!$E$2:$E$6001,$V186)&amp;"")</f>
        <v/>
      </c>
      <c r="E186">
        <f>IF($V186="","",INDEX('Per Line'!$G$2:$G$6001,$V186)&amp;"")</f>
        <v/>
      </c>
      <c r="F186">
        <f>IF($V186="","",INDEX('Per Line'!$H$2:$H$6001,$V186)&amp;"")</f>
        <v/>
      </c>
      <c r="G186">
        <f>IF($V186="","",INDEX('Per Line'!$I$2:$I$6001,$V186)&amp;"")</f>
        <v/>
      </c>
      <c r="H186">
        <f>IF($V186="","",INDEX('Per Line'!$J$2:$J$6001,$V186))</f>
        <v/>
      </c>
      <c r="I186" s="7">
        <f>IF($V186="","",H186*S186/100)</f>
        <v/>
      </c>
      <c r="J186">
        <f>IF($V186="","",INDEX('Per Line'!$S$2:$S$6001,$V186)&amp;"")</f>
        <v/>
      </c>
      <c r="K186" s="7">
        <f>IF($V186="","",SUMIFS('Per Line'!$R$2:$R$6001,'Per Line'!$C$2:$C$6001,$B186,'Per Line'!$AJ$2:$AJ$6001,1))</f>
        <v/>
      </c>
      <c r="L186">
        <f>IF($V186="","",Settings!$C$7)</f>
        <v/>
      </c>
      <c r="M186" s="7">
        <f>IF($V186="","",SUMIFS('Per Line'!$R$2:$R$6001,'Per Line'!$C$2:$C$6001,$B186,'Per Line'!$AI$2:$AI$6001,0,'Per Line'!$AJ$2:$AJ$6001,0))</f>
        <v/>
      </c>
      <c r="N186" s="7">
        <f>IF($V186="","",M186*L186)</f>
        <v/>
      </c>
      <c r="O186">
        <f>IF($V186="","",Settings!$C$6)</f>
        <v/>
      </c>
      <c r="P186" s="7">
        <f>IF($V186="","",SUMIFS('Per Line'!$R$2:$R$6001,'Per Line'!$C$2:$C$6001,$B186,'Per Line'!$AI$2:$AI$6001,1,'Per Line'!$AJ$2:$AJ$6001,0))</f>
        <v/>
      </c>
      <c r="Q186" s="7">
        <f>IF($V186="","",P186*O186)</f>
        <v/>
      </c>
      <c r="R186" s="7">
        <f>IF($V186="","",Q186+N186)</f>
        <v/>
      </c>
      <c r="S186" s="7">
        <f>IF($V186="","",T186-R186)</f>
        <v/>
      </c>
      <c r="T186" s="7">
        <f>IF($V186="","",M186+P186+K186)</f>
        <v/>
      </c>
      <c r="U186" s="7">
        <f>IF($V186="","",T186-R186-I186)</f>
        <v/>
      </c>
      <c r="V186" s="13">
        <f>IF(ROWS($V$2:$V186)&lt;=MAX('Per Line'!$AH$2:$AH$6001),MATCH(ROWS($V$2:$V186),'Per Line'!$AH$2:$AH$6001,0),"")</f>
        <v/>
      </c>
    </row>
    <row r="187">
      <c r="A187" s="12" t="n"/>
      <c r="B187">
        <f>IF($V187="","",INDEX('Per Line'!$C$2:$C$6001,$V187)&amp;"")</f>
        <v/>
      </c>
      <c r="C187" s="11">
        <f>IF($V187="","",INDEX('Per Line'!$D$2:$D$6001,$V187))</f>
        <v/>
      </c>
      <c r="D187">
        <f>IF($V187="","",INDEX('Per Line'!$E$2:$E$6001,$V187)&amp;"")</f>
        <v/>
      </c>
      <c r="E187">
        <f>IF($V187="","",INDEX('Per Line'!$G$2:$G$6001,$V187)&amp;"")</f>
        <v/>
      </c>
      <c r="F187">
        <f>IF($V187="","",INDEX('Per Line'!$H$2:$H$6001,$V187)&amp;"")</f>
        <v/>
      </c>
      <c r="G187">
        <f>IF($V187="","",INDEX('Per Line'!$I$2:$I$6001,$V187)&amp;"")</f>
        <v/>
      </c>
      <c r="H187">
        <f>IF($V187="","",INDEX('Per Line'!$J$2:$J$6001,$V187))</f>
        <v/>
      </c>
      <c r="I187" s="7">
        <f>IF($V187="","",H187*S187/100)</f>
        <v/>
      </c>
      <c r="J187">
        <f>IF($V187="","",INDEX('Per Line'!$S$2:$S$6001,$V187)&amp;"")</f>
        <v/>
      </c>
      <c r="K187" s="7">
        <f>IF($V187="","",SUMIFS('Per Line'!$R$2:$R$6001,'Per Line'!$C$2:$C$6001,$B187,'Per Line'!$AJ$2:$AJ$6001,1))</f>
        <v/>
      </c>
      <c r="L187">
        <f>IF($V187="","",Settings!$C$7)</f>
        <v/>
      </c>
      <c r="M187" s="7">
        <f>IF($V187="","",SUMIFS('Per Line'!$R$2:$R$6001,'Per Line'!$C$2:$C$6001,$B187,'Per Line'!$AI$2:$AI$6001,0,'Per Line'!$AJ$2:$AJ$6001,0))</f>
        <v/>
      </c>
      <c r="N187" s="7">
        <f>IF($V187="","",M187*L187)</f>
        <v/>
      </c>
      <c r="O187">
        <f>IF($V187="","",Settings!$C$6)</f>
        <v/>
      </c>
      <c r="P187" s="7">
        <f>IF($V187="","",SUMIFS('Per Line'!$R$2:$R$6001,'Per Line'!$C$2:$C$6001,$B187,'Per Line'!$AI$2:$AI$6001,1,'Per Line'!$AJ$2:$AJ$6001,0))</f>
        <v/>
      </c>
      <c r="Q187" s="7">
        <f>IF($V187="","",P187*O187)</f>
        <v/>
      </c>
      <c r="R187" s="7">
        <f>IF($V187="","",Q187+N187)</f>
        <v/>
      </c>
      <c r="S187" s="7">
        <f>IF($V187="","",T187-R187)</f>
        <v/>
      </c>
      <c r="T187" s="7">
        <f>IF($V187="","",M187+P187+K187)</f>
        <v/>
      </c>
      <c r="U187" s="7">
        <f>IF($V187="","",T187-R187-I187)</f>
        <v/>
      </c>
      <c r="V187" s="13">
        <f>IF(ROWS($V$2:$V187)&lt;=MAX('Per Line'!$AH$2:$AH$6001),MATCH(ROWS($V$2:$V187),'Per Line'!$AH$2:$AH$6001,0),"")</f>
        <v/>
      </c>
    </row>
    <row r="188">
      <c r="A188" s="12" t="n"/>
      <c r="B188">
        <f>IF($V188="","",INDEX('Per Line'!$C$2:$C$6001,$V188)&amp;"")</f>
        <v/>
      </c>
      <c r="C188" s="11">
        <f>IF($V188="","",INDEX('Per Line'!$D$2:$D$6001,$V188))</f>
        <v/>
      </c>
      <c r="D188">
        <f>IF($V188="","",INDEX('Per Line'!$E$2:$E$6001,$V188)&amp;"")</f>
        <v/>
      </c>
      <c r="E188">
        <f>IF($V188="","",INDEX('Per Line'!$G$2:$G$6001,$V188)&amp;"")</f>
        <v/>
      </c>
      <c r="F188">
        <f>IF($V188="","",INDEX('Per Line'!$H$2:$H$6001,$V188)&amp;"")</f>
        <v/>
      </c>
      <c r="G188">
        <f>IF($V188="","",INDEX('Per Line'!$I$2:$I$6001,$V188)&amp;"")</f>
        <v/>
      </c>
      <c r="H188">
        <f>IF($V188="","",INDEX('Per Line'!$J$2:$J$6001,$V188))</f>
        <v/>
      </c>
      <c r="I188" s="7">
        <f>IF($V188="","",H188*S188/100)</f>
        <v/>
      </c>
      <c r="J188">
        <f>IF($V188="","",INDEX('Per Line'!$S$2:$S$6001,$V188)&amp;"")</f>
        <v/>
      </c>
      <c r="K188" s="7">
        <f>IF($V188="","",SUMIFS('Per Line'!$R$2:$R$6001,'Per Line'!$C$2:$C$6001,$B188,'Per Line'!$AJ$2:$AJ$6001,1))</f>
        <v/>
      </c>
      <c r="L188">
        <f>IF($V188="","",Settings!$C$7)</f>
        <v/>
      </c>
      <c r="M188" s="7">
        <f>IF($V188="","",SUMIFS('Per Line'!$R$2:$R$6001,'Per Line'!$C$2:$C$6001,$B188,'Per Line'!$AI$2:$AI$6001,0,'Per Line'!$AJ$2:$AJ$6001,0))</f>
        <v/>
      </c>
      <c r="N188" s="7">
        <f>IF($V188="","",M188*L188)</f>
        <v/>
      </c>
      <c r="O188">
        <f>IF($V188="","",Settings!$C$6)</f>
        <v/>
      </c>
      <c r="P188" s="7">
        <f>IF($V188="","",SUMIFS('Per Line'!$R$2:$R$6001,'Per Line'!$C$2:$C$6001,$B188,'Per Line'!$AI$2:$AI$6001,1,'Per Line'!$AJ$2:$AJ$6001,0))</f>
        <v/>
      </c>
      <c r="Q188" s="7">
        <f>IF($V188="","",P188*O188)</f>
        <v/>
      </c>
      <c r="R188" s="7">
        <f>IF($V188="","",Q188+N188)</f>
        <v/>
      </c>
      <c r="S188" s="7">
        <f>IF($V188="","",T188-R188)</f>
        <v/>
      </c>
      <c r="T188" s="7">
        <f>IF($V188="","",M188+P188+K188)</f>
        <v/>
      </c>
      <c r="U188" s="7">
        <f>IF($V188="","",T188-R188-I188)</f>
        <v/>
      </c>
      <c r="V188" s="13">
        <f>IF(ROWS($V$2:$V188)&lt;=MAX('Per Line'!$AH$2:$AH$6001),MATCH(ROWS($V$2:$V188),'Per Line'!$AH$2:$AH$6001,0),"")</f>
        <v/>
      </c>
    </row>
    <row r="189">
      <c r="A189" s="12" t="n"/>
      <c r="B189">
        <f>IF($V189="","",INDEX('Per Line'!$C$2:$C$6001,$V189)&amp;"")</f>
        <v/>
      </c>
      <c r="C189" s="11">
        <f>IF($V189="","",INDEX('Per Line'!$D$2:$D$6001,$V189))</f>
        <v/>
      </c>
      <c r="D189">
        <f>IF($V189="","",INDEX('Per Line'!$E$2:$E$6001,$V189)&amp;"")</f>
        <v/>
      </c>
      <c r="E189">
        <f>IF($V189="","",INDEX('Per Line'!$G$2:$G$6001,$V189)&amp;"")</f>
        <v/>
      </c>
      <c r="F189">
        <f>IF($V189="","",INDEX('Per Line'!$H$2:$H$6001,$V189)&amp;"")</f>
        <v/>
      </c>
      <c r="G189">
        <f>IF($V189="","",INDEX('Per Line'!$I$2:$I$6001,$V189)&amp;"")</f>
        <v/>
      </c>
      <c r="H189">
        <f>IF($V189="","",INDEX('Per Line'!$J$2:$J$6001,$V189))</f>
        <v/>
      </c>
      <c r="I189" s="7">
        <f>IF($V189="","",H189*S189/100)</f>
        <v/>
      </c>
      <c r="J189">
        <f>IF($V189="","",INDEX('Per Line'!$S$2:$S$6001,$V189)&amp;"")</f>
        <v/>
      </c>
      <c r="K189" s="7">
        <f>IF($V189="","",SUMIFS('Per Line'!$R$2:$R$6001,'Per Line'!$C$2:$C$6001,$B189,'Per Line'!$AJ$2:$AJ$6001,1))</f>
        <v/>
      </c>
      <c r="L189">
        <f>IF($V189="","",Settings!$C$7)</f>
        <v/>
      </c>
      <c r="M189" s="7">
        <f>IF($V189="","",SUMIFS('Per Line'!$R$2:$R$6001,'Per Line'!$C$2:$C$6001,$B189,'Per Line'!$AI$2:$AI$6001,0,'Per Line'!$AJ$2:$AJ$6001,0))</f>
        <v/>
      </c>
      <c r="N189" s="7">
        <f>IF($V189="","",M189*L189)</f>
        <v/>
      </c>
      <c r="O189">
        <f>IF($V189="","",Settings!$C$6)</f>
        <v/>
      </c>
      <c r="P189" s="7">
        <f>IF($V189="","",SUMIFS('Per Line'!$R$2:$R$6001,'Per Line'!$C$2:$C$6001,$B189,'Per Line'!$AI$2:$AI$6001,1,'Per Line'!$AJ$2:$AJ$6001,0))</f>
        <v/>
      </c>
      <c r="Q189" s="7">
        <f>IF($V189="","",P189*O189)</f>
        <v/>
      </c>
      <c r="R189" s="7">
        <f>IF($V189="","",Q189+N189)</f>
        <v/>
      </c>
      <c r="S189" s="7">
        <f>IF($V189="","",T189-R189)</f>
        <v/>
      </c>
      <c r="T189" s="7">
        <f>IF($V189="","",M189+P189+K189)</f>
        <v/>
      </c>
      <c r="U189" s="7">
        <f>IF($V189="","",T189-R189-I189)</f>
        <v/>
      </c>
      <c r="V189" s="13">
        <f>IF(ROWS($V$2:$V189)&lt;=MAX('Per Line'!$AH$2:$AH$6001),MATCH(ROWS($V$2:$V189),'Per Line'!$AH$2:$AH$6001,0),"")</f>
        <v/>
      </c>
    </row>
    <row r="190">
      <c r="A190" s="12" t="n"/>
      <c r="B190">
        <f>IF($V190="","",INDEX('Per Line'!$C$2:$C$6001,$V190)&amp;"")</f>
        <v/>
      </c>
      <c r="C190" s="11">
        <f>IF($V190="","",INDEX('Per Line'!$D$2:$D$6001,$V190))</f>
        <v/>
      </c>
      <c r="D190">
        <f>IF($V190="","",INDEX('Per Line'!$E$2:$E$6001,$V190)&amp;"")</f>
        <v/>
      </c>
      <c r="E190">
        <f>IF($V190="","",INDEX('Per Line'!$G$2:$G$6001,$V190)&amp;"")</f>
        <v/>
      </c>
      <c r="F190">
        <f>IF($V190="","",INDEX('Per Line'!$H$2:$H$6001,$V190)&amp;"")</f>
        <v/>
      </c>
      <c r="G190">
        <f>IF($V190="","",INDEX('Per Line'!$I$2:$I$6001,$V190)&amp;"")</f>
        <v/>
      </c>
      <c r="H190">
        <f>IF($V190="","",INDEX('Per Line'!$J$2:$J$6001,$V190))</f>
        <v/>
      </c>
      <c r="I190" s="7">
        <f>IF($V190="","",H190*S190/100)</f>
        <v/>
      </c>
      <c r="J190">
        <f>IF($V190="","",INDEX('Per Line'!$S$2:$S$6001,$V190)&amp;"")</f>
        <v/>
      </c>
      <c r="K190" s="7">
        <f>IF($V190="","",SUMIFS('Per Line'!$R$2:$R$6001,'Per Line'!$C$2:$C$6001,$B190,'Per Line'!$AJ$2:$AJ$6001,1))</f>
        <v/>
      </c>
      <c r="L190">
        <f>IF($V190="","",Settings!$C$7)</f>
        <v/>
      </c>
      <c r="M190" s="7">
        <f>IF($V190="","",SUMIFS('Per Line'!$R$2:$R$6001,'Per Line'!$C$2:$C$6001,$B190,'Per Line'!$AI$2:$AI$6001,0,'Per Line'!$AJ$2:$AJ$6001,0))</f>
        <v/>
      </c>
      <c r="N190" s="7">
        <f>IF($V190="","",M190*L190)</f>
        <v/>
      </c>
      <c r="O190">
        <f>IF($V190="","",Settings!$C$6)</f>
        <v/>
      </c>
      <c r="P190" s="7">
        <f>IF($V190="","",SUMIFS('Per Line'!$R$2:$R$6001,'Per Line'!$C$2:$C$6001,$B190,'Per Line'!$AI$2:$AI$6001,1,'Per Line'!$AJ$2:$AJ$6001,0))</f>
        <v/>
      </c>
      <c r="Q190" s="7">
        <f>IF($V190="","",P190*O190)</f>
        <v/>
      </c>
      <c r="R190" s="7">
        <f>IF($V190="","",Q190+N190)</f>
        <v/>
      </c>
      <c r="S190" s="7">
        <f>IF($V190="","",T190-R190)</f>
        <v/>
      </c>
      <c r="T190" s="7">
        <f>IF($V190="","",M190+P190+K190)</f>
        <v/>
      </c>
      <c r="U190" s="7">
        <f>IF($V190="","",T190-R190-I190)</f>
        <v/>
      </c>
      <c r="V190" s="13">
        <f>IF(ROWS($V$2:$V190)&lt;=MAX('Per Line'!$AH$2:$AH$6001),MATCH(ROWS($V$2:$V190),'Per Line'!$AH$2:$AH$6001,0),"")</f>
        <v/>
      </c>
    </row>
    <row r="191">
      <c r="A191" s="12" t="n"/>
      <c r="B191">
        <f>IF($V191="","",INDEX('Per Line'!$C$2:$C$6001,$V191)&amp;"")</f>
        <v/>
      </c>
      <c r="C191" s="11">
        <f>IF($V191="","",INDEX('Per Line'!$D$2:$D$6001,$V191))</f>
        <v/>
      </c>
      <c r="D191">
        <f>IF($V191="","",INDEX('Per Line'!$E$2:$E$6001,$V191)&amp;"")</f>
        <v/>
      </c>
      <c r="E191">
        <f>IF($V191="","",INDEX('Per Line'!$G$2:$G$6001,$V191)&amp;"")</f>
        <v/>
      </c>
      <c r="F191">
        <f>IF($V191="","",INDEX('Per Line'!$H$2:$H$6001,$V191)&amp;"")</f>
        <v/>
      </c>
      <c r="G191">
        <f>IF($V191="","",INDEX('Per Line'!$I$2:$I$6001,$V191)&amp;"")</f>
        <v/>
      </c>
      <c r="H191">
        <f>IF($V191="","",INDEX('Per Line'!$J$2:$J$6001,$V191))</f>
        <v/>
      </c>
      <c r="I191" s="7">
        <f>IF($V191="","",H191*S191/100)</f>
        <v/>
      </c>
      <c r="J191">
        <f>IF($V191="","",INDEX('Per Line'!$S$2:$S$6001,$V191)&amp;"")</f>
        <v/>
      </c>
      <c r="K191" s="7">
        <f>IF($V191="","",SUMIFS('Per Line'!$R$2:$R$6001,'Per Line'!$C$2:$C$6001,$B191,'Per Line'!$AJ$2:$AJ$6001,1))</f>
        <v/>
      </c>
      <c r="L191">
        <f>IF($V191="","",Settings!$C$7)</f>
        <v/>
      </c>
      <c r="M191" s="7">
        <f>IF($V191="","",SUMIFS('Per Line'!$R$2:$R$6001,'Per Line'!$C$2:$C$6001,$B191,'Per Line'!$AI$2:$AI$6001,0,'Per Line'!$AJ$2:$AJ$6001,0))</f>
        <v/>
      </c>
      <c r="N191" s="7">
        <f>IF($V191="","",M191*L191)</f>
        <v/>
      </c>
      <c r="O191">
        <f>IF($V191="","",Settings!$C$6)</f>
        <v/>
      </c>
      <c r="P191" s="7">
        <f>IF($V191="","",SUMIFS('Per Line'!$R$2:$R$6001,'Per Line'!$C$2:$C$6001,$B191,'Per Line'!$AI$2:$AI$6001,1,'Per Line'!$AJ$2:$AJ$6001,0))</f>
        <v/>
      </c>
      <c r="Q191" s="7">
        <f>IF($V191="","",P191*O191)</f>
        <v/>
      </c>
      <c r="R191" s="7">
        <f>IF($V191="","",Q191+N191)</f>
        <v/>
      </c>
      <c r="S191" s="7">
        <f>IF($V191="","",T191-R191)</f>
        <v/>
      </c>
      <c r="T191" s="7">
        <f>IF($V191="","",M191+P191+K191)</f>
        <v/>
      </c>
      <c r="U191" s="7">
        <f>IF($V191="","",T191-R191-I191)</f>
        <v/>
      </c>
      <c r="V191" s="13">
        <f>IF(ROWS($V$2:$V191)&lt;=MAX('Per Line'!$AH$2:$AH$6001),MATCH(ROWS($V$2:$V191),'Per Line'!$AH$2:$AH$6001,0),"")</f>
        <v/>
      </c>
    </row>
    <row r="192">
      <c r="A192" s="12" t="n"/>
      <c r="B192">
        <f>IF($V192="","",INDEX('Per Line'!$C$2:$C$6001,$V192)&amp;"")</f>
        <v/>
      </c>
      <c r="C192" s="11">
        <f>IF($V192="","",INDEX('Per Line'!$D$2:$D$6001,$V192))</f>
        <v/>
      </c>
      <c r="D192">
        <f>IF($V192="","",INDEX('Per Line'!$E$2:$E$6001,$V192)&amp;"")</f>
        <v/>
      </c>
      <c r="E192">
        <f>IF($V192="","",INDEX('Per Line'!$G$2:$G$6001,$V192)&amp;"")</f>
        <v/>
      </c>
      <c r="F192">
        <f>IF($V192="","",INDEX('Per Line'!$H$2:$H$6001,$V192)&amp;"")</f>
        <v/>
      </c>
      <c r="G192">
        <f>IF($V192="","",INDEX('Per Line'!$I$2:$I$6001,$V192)&amp;"")</f>
        <v/>
      </c>
      <c r="H192">
        <f>IF($V192="","",INDEX('Per Line'!$J$2:$J$6001,$V192))</f>
        <v/>
      </c>
      <c r="I192" s="7">
        <f>IF($V192="","",H192*S192/100)</f>
        <v/>
      </c>
      <c r="J192">
        <f>IF($V192="","",INDEX('Per Line'!$S$2:$S$6001,$V192)&amp;"")</f>
        <v/>
      </c>
      <c r="K192" s="7">
        <f>IF($V192="","",SUMIFS('Per Line'!$R$2:$R$6001,'Per Line'!$C$2:$C$6001,$B192,'Per Line'!$AJ$2:$AJ$6001,1))</f>
        <v/>
      </c>
      <c r="L192">
        <f>IF($V192="","",Settings!$C$7)</f>
        <v/>
      </c>
      <c r="M192" s="7">
        <f>IF($V192="","",SUMIFS('Per Line'!$R$2:$R$6001,'Per Line'!$C$2:$C$6001,$B192,'Per Line'!$AI$2:$AI$6001,0,'Per Line'!$AJ$2:$AJ$6001,0))</f>
        <v/>
      </c>
      <c r="N192" s="7">
        <f>IF($V192="","",M192*L192)</f>
        <v/>
      </c>
      <c r="O192">
        <f>IF($V192="","",Settings!$C$6)</f>
        <v/>
      </c>
      <c r="P192" s="7">
        <f>IF($V192="","",SUMIFS('Per Line'!$R$2:$R$6001,'Per Line'!$C$2:$C$6001,$B192,'Per Line'!$AI$2:$AI$6001,1,'Per Line'!$AJ$2:$AJ$6001,0))</f>
        <v/>
      </c>
      <c r="Q192" s="7">
        <f>IF($V192="","",P192*O192)</f>
        <v/>
      </c>
      <c r="R192" s="7">
        <f>IF($V192="","",Q192+N192)</f>
        <v/>
      </c>
      <c r="S192" s="7">
        <f>IF($V192="","",T192-R192)</f>
        <v/>
      </c>
      <c r="T192" s="7">
        <f>IF($V192="","",M192+P192+K192)</f>
        <v/>
      </c>
      <c r="U192" s="7">
        <f>IF($V192="","",T192-R192-I192)</f>
        <v/>
      </c>
      <c r="V192" s="13">
        <f>IF(ROWS($V$2:$V192)&lt;=MAX('Per Line'!$AH$2:$AH$6001),MATCH(ROWS($V$2:$V192),'Per Line'!$AH$2:$AH$6001,0),"")</f>
        <v/>
      </c>
    </row>
    <row r="193">
      <c r="A193" s="12" t="n"/>
      <c r="B193">
        <f>IF($V193="","",INDEX('Per Line'!$C$2:$C$6001,$V193)&amp;"")</f>
        <v/>
      </c>
      <c r="C193" s="11">
        <f>IF($V193="","",INDEX('Per Line'!$D$2:$D$6001,$V193))</f>
        <v/>
      </c>
      <c r="D193">
        <f>IF($V193="","",INDEX('Per Line'!$E$2:$E$6001,$V193)&amp;"")</f>
        <v/>
      </c>
      <c r="E193">
        <f>IF($V193="","",INDEX('Per Line'!$G$2:$G$6001,$V193)&amp;"")</f>
        <v/>
      </c>
      <c r="F193">
        <f>IF($V193="","",INDEX('Per Line'!$H$2:$H$6001,$V193)&amp;"")</f>
        <v/>
      </c>
      <c r="G193">
        <f>IF($V193="","",INDEX('Per Line'!$I$2:$I$6001,$V193)&amp;"")</f>
        <v/>
      </c>
      <c r="H193">
        <f>IF($V193="","",INDEX('Per Line'!$J$2:$J$6001,$V193))</f>
        <v/>
      </c>
      <c r="I193" s="7">
        <f>IF($V193="","",H193*S193/100)</f>
        <v/>
      </c>
      <c r="J193">
        <f>IF($V193="","",INDEX('Per Line'!$S$2:$S$6001,$V193)&amp;"")</f>
        <v/>
      </c>
      <c r="K193" s="7">
        <f>IF($V193="","",SUMIFS('Per Line'!$R$2:$R$6001,'Per Line'!$C$2:$C$6001,$B193,'Per Line'!$AJ$2:$AJ$6001,1))</f>
        <v/>
      </c>
      <c r="L193">
        <f>IF($V193="","",Settings!$C$7)</f>
        <v/>
      </c>
      <c r="M193" s="7">
        <f>IF($V193="","",SUMIFS('Per Line'!$R$2:$R$6001,'Per Line'!$C$2:$C$6001,$B193,'Per Line'!$AI$2:$AI$6001,0,'Per Line'!$AJ$2:$AJ$6001,0))</f>
        <v/>
      </c>
      <c r="N193" s="7">
        <f>IF($V193="","",M193*L193)</f>
        <v/>
      </c>
      <c r="O193">
        <f>IF($V193="","",Settings!$C$6)</f>
        <v/>
      </c>
      <c r="P193" s="7">
        <f>IF($V193="","",SUMIFS('Per Line'!$R$2:$R$6001,'Per Line'!$C$2:$C$6001,$B193,'Per Line'!$AI$2:$AI$6001,1,'Per Line'!$AJ$2:$AJ$6001,0))</f>
        <v/>
      </c>
      <c r="Q193" s="7">
        <f>IF($V193="","",P193*O193)</f>
        <v/>
      </c>
      <c r="R193" s="7">
        <f>IF($V193="","",Q193+N193)</f>
        <v/>
      </c>
      <c r="S193" s="7">
        <f>IF($V193="","",T193-R193)</f>
        <v/>
      </c>
      <c r="T193" s="7">
        <f>IF($V193="","",M193+P193+K193)</f>
        <v/>
      </c>
      <c r="U193" s="7">
        <f>IF($V193="","",T193-R193-I193)</f>
        <v/>
      </c>
      <c r="V193" s="13">
        <f>IF(ROWS($V$2:$V193)&lt;=MAX('Per Line'!$AH$2:$AH$6001),MATCH(ROWS($V$2:$V193),'Per Line'!$AH$2:$AH$6001,0),"")</f>
        <v/>
      </c>
    </row>
    <row r="194">
      <c r="A194" s="12" t="n"/>
      <c r="B194">
        <f>IF($V194="","",INDEX('Per Line'!$C$2:$C$6001,$V194)&amp;"")</f>
        <v/>
      </c>
      <c r="C194" s="11">
        <f>IF($V194="","",INDEX('Per Line'!$D$2:$D$6001,$V194))</f>
        <v/>
      </c>
      <c r="D194">
        <f>IF($V194="","",INDEX('Per Line'!$E$2:$E$6001,$V194)&amp;"")</f>
        <v/>
      </c>
      <c r="E194">
        <f>IF($V194="","",INDEX('Per Line'!$G$2:$G$6001,$V194)&amp;"")</f>
        <v/>
      </c>
      <c r="F194">
        <f>IF($V194="","",INDEX('Per Line'!$H$2:$H$6001,$V194)&amp;"")</f>
        <v/>
      </c>
      <c r="G194">
        <f>IF($V194="","",INDEX('Per Line'!$I$2:$I$6001,$V194)&amp;"")</f>
        <v/>
      </c>
      <c r="H194">
        <f>IF($V194="","",INDEX('Per Line'!$J$2:$J$6001,$V194))</f>
        <v/>
      </c>
      <c r="I194" s="7">
        <f>IF($V194="","",H194*S194/100)</f>
        <v/>
      </c>
      <c r="J194">
        <f>IF($V194="","",INDEX('Per Line'!$S$2:$S$6001,$V194)&amp;"")</f>
        <v/>
      </c>
      <c r="K194" s="7">
        <f>IF($V194="","",SUMIFS('Per Line'!$R$2:$R$6001,'Per Line'!$C$2:$C$6001,$B194,'Per Line'!$AJ$2:$AJ$6001,1))</f>
        <v/>
      </c>
      <c r="L194">
        <f>IF($V194="","",Settings!$C$7)</f>
        <v/>
      </c>
      <c r="M194" s="7">
        <f>IF($V194="","",SUMIFS('Per Line'!$R$2:$R$6001,'Per Line'!$C$2:$C$6001,$B194,'Per Line'!$AI$2:$AI$6001,0,'Per Line'!$AJ$2:$AJ$6001,0))</f>
        <v/>
      </c>
      <c r="N194" s="7">
        <f>IF($V194="","",M194*L194)</f>
        <v/>
      </c>
      <c r="O194">
        <f>IF($V194="","",Settings!$C$6)</f>
        <v/>
      </c>
      <c r="P194" s="7">
        <f>IF($V194="","",SUMIFS('Per Line'!$R$2:$R$6001,'Per Line'!$C$2:$C$6001,$B194,'Per Line'!$AI$2:$AI$6001,1,'Per Line'!$AJ$2:$AJ$6001,0))</f>
        <v/>
      </c>
      <c r="Q194" s="7">
        <f>IF($V194="","",P194*O194)</f>
        <v/>
      </c>
      <c r="R194" s="7">
        <f>IF($V194="","",Q194+N194)</f>
        <v/>
      </c>
      <c r="S194" s="7">
        <f>IF($V194="","",T194-R194)</f>
        <v/>
      </c>
      <c r="T194" s="7">
        <f>IF($V194="","",M194+P194+K194)</f>
        <v/>
      </c>
      <c r="U194" s="7">
        <f>IF($V194="","",T194-R194-I194)</f>
        <v/>
      </c>
      <c r="V194" s="13">
        <f>IF(ROWS($V$2:$V194)&lt;=MAX('Per Line'!$AH$2:$AH$6001),MATCH(ROWS($V$2:$V194),'Per Line'!$AH$2:$AH$6001,0),"")</f>
        <v/>
      </c>
    </row>
    <row r="195">
      <c r="A195" s="12" t="n"/>
      <c r="B195">
        <f>IF($V195="","",INDEX('Per Line'!$C$2:$C$6001,$V195)&amp;"")</f>
        <v/>
      </c>
      <c r="C195" s="11">
        <f>IF($V195="","",INDEX('Per Line'!$D$2:$D$6001,$V195))</f>
        <v/>
      </c>
      <c r="D195">
        <f>IF($V195="","",INDEX('Per Line'!$E$2:$E$6001,$V195)&amp;"")</f>
        <v/>
      </c>
      <c r="E195">
        <f>IF($V195="","",INDEX('Per Line'!$G$2:$G$6001,$V195)&amp;"")</f>
        <v/>
      </c>
      <c r="F195">
        <f>IF($V195="","",INDEX('Per Line'!$H$2:$H$6001,$V195)&amp;"")</f>
        <v/>
      </c>
      <c r="G195">
        <f>IF($V195="","",INDEX('Per Line'!$I$2:$I$6001,$V195)&amp;"")</f>
        <v/>
      </c>
      <c r="H195">
        <f>IF($V195="","",INDEX('Per Line'!$J$2:$J$6001,$V195))</f>
        <v/>
      </c>
      <c r="I195" s="7">
        <f>IF($V195="","",H195*S195/100)</f>
        <v/>
      </c>
      <c r="J195">
        <f>IF($V195="","",INDEX('Per Line'!$S$2:$S$6001,$V195)&amp;"")</f>
        <v/>
      </c>
      <c r="K195" s="7">
        <f>IF($V195="","",SUMIFS('Per Line'!$R$2:$R$6001,'Per Line'!$C$2:$C$6001,$B195,'Per Line'!$AJ$2:$AJ$6001,1))</f>
        <v/>
      </c>
      <c r="L195">
        <f>IF($V195="","",Settings!$C$7)</f>
        <v/>
      </c>
      <c r="M195" s="7">
        <f>IF($V195="","",SUMIFS('Per Line'!$R$2:$R$6001,'Per Line'!$C$2:$C$6001,$B195,'Per Line'!$AI$2:$AI$6001,0,'Per Line'!$AJ$2:$AJ$6001,0))</f>
        <v/>
      </c>
      <c r="N195" s="7">
        <f>IF($V195="","",M195*L195)</f>
        <v/>
      </c>
      <c r="O195">
        <f>IF($V195="","",Settings!$C$6)</f>
        <v/>
      </c>
      <c r="P195" s="7">
        <f>IF($V195="","",SUMIFS('Per Line'!$R$2:$R$6001,'Per Line'!$C$2:$C$6001,$B195,'Per Line'!$AI$2:$AI$6001,1,'Per Line'!$AJ$2:$AJ$6001,0))</f>
        <v/>
      </c>
      <c r="Q195" s="7">
        <f>IF($V195="","",P195*O195)</f>
        <v/>
      </c>
      <c r="R195" s="7">
        <f>IF($V195="","",Q195+N195)</f>
        <v/>
      </c>
      <c r="S195" s="7">
        <f>IF($V195="","",T195-R195)</f>
        <v/>
      </c>
      <c r="T195" s="7">
        <f>IF($V195="","",M195+P195+K195)</f>
        <v/>
      </c>
      <c r="U195" s="7">
        <f>IF($V195="","",T195-R195-I195)</f>
        <v/>
      </c>
      <c r="V195" s="13">
        <f>IF(ROWS($V$2:$V195)&lt;=MAX('Per Line'!$AH$2:$AH$6001),MATCH(ROWS($V$2:$V195),'Per Line'!$AH$2:$AH$6001,0),"")</f>
        <v/>
      </c>
    </row>
    <row r="196">
      <c r="A196" s="12" t="n"/>
      <c r="B196">
        <f>IF($V196="","",INDEX('Per Line'!$C$2:$C$6001,$V196)&amp;"")</f>
        <v/>
      </c>
      <c r="C196" s="11">
        <f>IF($V196="","",INDEX('Per Line'!$D$2:$D$6001,$V196))</f>
        <v/>
      </c>
      <c r="D196">
        <f>IF($V196="","",INDEX('Per Line'!$E$2:$E$6001,$V196)&amp;"")</f>
        <v/>
      </c>
      <c r="E196">
        <f>IF($V196="","",INDEX('Per Line'!$G$2:$G$6001,$V196)&amp;"")</f>
        <v/>
      </c>
      <c r="F196">
        <f>IF($V196="","",INDEX('Per Line'!$H$2:$H$6001,$V196)&amp;"")</f>
        <v/>
      </c>
      <c r="G196">
        <f>IF($V196="","",INDEX('Per Line'!$I$2:$I$6001,$V196)&amp;"")</f>
        <v/>
      </c>
      <c r="H196">
        <f>IF($V196="","",INDEX('Per Line'!$J$2:$J$6001,$V196))</f>
        <v/>
      </c>
      <c r="I196" s="7">
        <f>IF($V196="","",H196*S196/100)</f>
        <v/>
      </c>
      <c r="J196">
        <f>IF($V196="","",INDEX('Per Line'!$S$2:$S$6001,$V196)&amp;"")</f>
        <v/>
      </c>
      <c r="K196" s="7">
        <f>IF($V196="","",SUMIFS('Per Line'!$R$2:$R$6001,'Per Line'!$C$2:$C$6001,$B196,'Per Line'!$AJ$2:$AJ$6001,1))</f>
        <v/>
      </c>
      <c r="L196">
        <f>IF($V196="","",Settings!$C$7)</f>
        <v/>
      </c>
      <c r="M196" s="7">
        <f>IF($V196="","",SUMIFS('Per Line'!$R$2:$R$6001,'Per Line'!$C$2:$C$6001,$B196,'Per Line'!$AI$2:$AI$6001,0,'Per Line'!$AJ$2:$AJ$6001,0))</f>
        <v/>
      </c>
      <c r="N196" s="7">
        <f>IF($V196="","",M196*L196)</f>
        <v/>
      </c>
      <c r="O196">
        <f>IF($V196="","",Settings!$C$6)</f>
        <v/>
      </c>
      <c r="P196" s="7">
        <f>IF($V196="","",SUMIFS('Per Line'!$R$2:$R$6001,'Per Line'!$C$2:$C$6001,$B196,'Per Line'!$AI$2:$AI$6001,1,'Per Line'!$AJ$2:$AJ$6001,0))</f>
        <v/>
      </c>
      <c r="Q196" s="7">
        <f>IF($V196="","",P196*O196)</f>
        <v/>
      </c>
      <c r="R196" s="7">
        <f>IF($V196="","",Q196+N196)</f>
        <v/>
      </c>
      <c r="S196" s="7">
        <f>IF($V196="","",T196-R196)</f>
        <v/>
      </c>
      <c r="T196" s="7">
        <f>IF($V196="","",M196+P196+K196)</f>
        <v/>
      </c>
      <c r="U196" s="7">
        <f>IF($V196="","",T196-R196-I196)</f>
        <v/>
      </c>
      <c r="V196" s="13">
        <f>IF(ROWS($V$2:$V196)&lt;=MAX('Per Line'!$AH$2:$AH$6001),MATCH(ROWS($V$2:$V196),'Per Line'!$AH$2:$AH$6001,0),"")</f>
        <v/>
      </c>
    </row>
    <row r="197">
      <c r="A197" s="12" t="n"/>
      <c r="B197">
        <f>IF($V197="","",INDEX('Per Line'!$C$2:$C$6001,$V197)&amp;"")</f>
        <v/>
      </c>
      <c r="C197" s="11">
        <f>IF($V197="","",INDEX('Per Line'!$D$2:$D$6001,$V197))</f>
        <v/>
      </c>
      <c r="D197">
        <f>IF($V197="","",INDEX('Per Line'!$E$2:$E$6001,$V197)&amp;"")</f>
        <v/>
      </c>
      <c r="E197">
        <f>IF($V197="","",INDEX('Per Line'!$G$2:$G$6001,$V197)&amp;"")</f>
        <v/>
      </c>
      <c r="F197">
        <f>IF($V197="","",INDEX('Per Line'!$H$2:$H$6001,$V197)&amp;"")</f>
        <v/>
      </c>
      <c r="G197">
        <f>IF($V197="","",INDEX('Per Line'!$I$2:$I$6001,$V197)&amp;"")</f>
        <v/>
      </c>
      <c r="H197">
        <f>IF($V197="","",INDEX('Per Line'!$J$2:$J$6001,$V197))</f>
        <v/>
      </c>
      <c r="I197" s="7">
        <f>IF($V197="","",H197*S197/100)</f>
        <v/>
      </c>
      <c r="J197">
        <f>IF($V197="","",INDEX('Per Line'!$S$2:$S$6001,$V197)&amp;"")</f>
        <v/>
      </c>
      <c r="K197" s="7">
        <f>IF($V197="","",SUMIFS('Per Line'!$R$2:$R$6001,'Per Line'!$C$2:$C$6001,$B197,'Per Line'!$AJ$2:$AJ$6001,1))</f>
        <v/>
      </c>
      <c r="L197">
        <f>IF($V197="","",Settings!$C$7)</f>
        <v/>
      </c>
      <c r="M197" s="7">
        <f>IF($V197="","",SUMIFS('Per Line'!$R$2:$R$6001,'Per Line'!$C$2:$C$6001,$B197,'Per Line'!$AI$2:$AI$6001,0,'Per Line'!$AJ$2:$AJ$6001,0))</f>
        <v/>
      </c>
      <c r="N197" s="7">
        <f>IF($V197="","",M197*L197)</f>
        <v/>
      </c>
      <c r="O197">
        <f>IF($V197="","",Settings!$C$6)</f>
        <v/>
      </c>
      <c r="P197" s="7">
        <f>IF($V197="","",SUMIFS('Per Line'!$R$2:$R$6001,'Per Line'!$C$2:$C$6001,$B197,'Per Line'!$AI$2:$AI$6001,1,'Per Line'!$AJ$2:$AJ$6001,0))</f>
        <v/>
      </c>
      <c r="Q197" s="7">
        <f>IF($V197="","",P197*O197)</f>
        <v/>
      </c>
      <c r="R197" s="7">
        <f>IF($V197="","",Q197+N197)</f>
        <v/>
      </c>
      <c r="S197" s="7">
        <f>IF($V197="","",T197-R197)</f>
        <v/>
      </c>
      <c r="T197" s="7">
        <f>IF($V197="","",M197+P197+K197)</f>
        <v/>
      </c>
      <c r="U197" s="7">
        <f>IF($V197="","",T197-R197-I197)</f>
        <v/>
      </c>
      <c r="V197" s="13">
        <f>IF(ROWS($V$2:$V197)&lt;=MAX('Per Line'!$AH$2:$AH$6001),MATCH(ROWS($V$2:$V197),'Per Line'!$AH$2:$AH$6001,0),"")</f>
        <v/>
      </c>
    </row>
    <row r="198">
      <c r="A198" s="12" t="n"/>
      <c r="B198">
        <f>IF($V198="","",INDEX('Per Line'!$C$2:$C$6001,$V198)&amp;"")</f>
        <v/>
      </c>
      <c r="C198" s="11">
        <f>IF($V198="","",INDEX('Per Line'!$D$2:$D$6001,$V198))</f>
        <v/>
      </c>
      <c r="D198">
        <f>IF($V198="","",INDEX('Per Line'!$E$2:$E$6001,$V198)&amp;"")</f>
        <v/>
      </c>
      <c r="E198">
        <f>IF($V198="","",INDEX('Per Line'!$G$2:$G$6001,$V198)&amp;"")</f>
        <v/>
      </c>
      <c r="F198">
        <f>IF($V198="","",INDEX('Per Line'!$H$2:$H$6001,$V198)&amp;"")</f>
        <v/>
      </c>
      <c r="G198">
        <f>IF($V198="","",INDEX('Per Line'!$I$2:$I$6001,$V198)&amp;"")</f>
        <v/>
      </c>
      <c r="H198">
        <f>IF($V198="","",INDEX('Per Line'!$J$2:$J$6001,$V198))</f>
        <v/>
      </c>
      <c r="I198" s="7">
        <f>IF($V198="","",H198*S198/100)</f>
        <v/>
      </c>
      <c r="J198">
        <f>IF($V198="","",INDEX('Per Line'!$S$2:$S$6001,$V198)&amp;"")</f>
        <v/>
      </c>
      <c r="K198" s="7">
        <f>IF($V198="","",SUMIFS('Per Line'!$R$2:$R$6001,'Per Line'!$C$2:$C$6001,$B198,'Per Line'!$AJ$2:$AJ$6001,1))</f>
        <v/>
      </c>
      <c r="L198">
        <f>IF($V198="","",Settings!$C$7)</f>
        <v/>
      </c>
      <c r="M198" s="7">
        <f>IF($V198="","",SUMIFS('Per Line'!$R$2:$R$6001,'Per Line'!$C$2:$C$6001,$B198,'Per Line'!$AI$2:$AI$6001,0,'Per Line'!$AJ$2:$AJ$6001,0))</f>
        <v/>
      </c>
      <c r="N198" s="7">
        <f>IF($V198="","",M198*L198)</f>
        <v/>
      </c>
      <c r="O198">
        <f>IF($V198="","",Settings!$C$6)</f>
        <v/>
      </c>
      <c r="P198" s="7">
        <f>IF($V198="","",SUMIFS('Per Line'!$R$2:$R$6001,'Per Line'!$C$2:$C$6001,$B198,'Per Line'!$AI$2:$AI$6001,1,'Per Line'!$AJ$2:$AJ$6001,0))</f>
        <v/>
      </c>
      <c r="Q198" s="7">
        <f>IF($V198="","",P198*O198)</f>
        <v/>
      </c>
      <c r="R198" s="7">
        <f>IF($V198="","",Q198+N198)</f>
        <v/>
      </c>
      <c r="S198" s="7">
        <f>IF($V198="","",T198-R198)</f>
        <v/>
      </c>
      <c r="T198" s="7">
        <f>IF($V198="","",M198+P198+K198)</f>
        <v/>
      </c>
      <c r="U198" s="7">
        <f>IF($V198="","",T198-R198-I198)</f>
        <v/>
      </c>
      <c r="V198" s="13">
        <f>IF(ROWS($V$2:$V198)&lt;=MAX('Per Line'!$AH$2:$AH$6001),MATCH(ROWS($V$2:$V198),'Per Line'!$AH$2:$AH$6001,0),"")</f>
        <v/>
      </c>
    </row>
    <row r="199">
      <c r="A199" s="12" t="n"/>
      <c r="B199">
        <f>IF($V199="","",INDEX('Per Line'!$C$2:$C$6001,$V199)&amp;"")</f>
        <v/>
      </c>
      <c r="C199" s="11">
        <f>IF($V199="","",INDEX('Per Line'!$D$2:$D$6001,$V199))</f>
        <v/>
      </c>
      <c r="D199">
        <f>IF($V199="","",INDEX('Per Line'!$E$2:$E$6001,$V199)&amp;"")</f>
        <v/>
      </c>
      <c r="E199">
        <f>IF($V199="","",INDEX('Per Line'!$G$2:$G$6001,$V199)&amp;"")</f>
        <v/>
      </c>
      <c r="F199">
        <f>IF($V199="","",INDEX('Per Line'!$H$2:$H$6001,$V199)&amp;"")</f>
        <v/>
      </c>
      <c r="G199">
        <f>IF($V199="","",INDEX('Per Line'!$I$2:$I$6001,$V199)&amp;"")</f>
        <v/>
      </c>
      <c r="H199">
        <f>IF($V199="","",INDEX('Per Line'!$J$2:$J$6001,$V199))</f>
        <v/>
      </c>
      <c r="I199" s="7">
        <f>IF($V199="","",H199*S199/100)</f>
        <v/>
      </c>
      <c r="J199">
        <f>IF($V199="","",INDEX('Per Line'!$S$2:$S$6001,$V199)&amp;"")</f>
        <v/>
      </c>
      <c r="K199" s="7">
        <f>IF($V199="","",SUMIFS('Per Line'!$R$2:$R$6001,'Per Line'!$C$2:$C$6001,$B199,'Per Line'!$AJ$2:$AJ$6001,1))</f>
        <v/>
      </c>
      <c r="L199">
        <f>IF($V199="","",Settings!$C$7)</f>
        <v/>
      </c>
      <c r="M199" s="7">
        <f>IF($V199="","",SUMIFS('Per Line'!$R$2:$R$6001,'Per Line'!$C$2:$C$6001,$B199,'Per Line'!$AI$2:$AI$6001,0,'Per Line'!$AJ$2:$AJ$6001,0))</f>
        <v/>
      </c>
      <c r="N199" s="7">
        <f>IF($V199="","",M199*L199)</f>
        <v/>
      </c>
      <c r="O199">
        <f>IF($V199="","",Settings!$C$6)</f>
        <v/>
      </c>
      <c r="P199" s="7">
        <f>IF($V199="","",SUMIFS('Per Line'!$R$2:$R$6001,'Per Line'!$C$2:$C$6001,$B199,'Per Line'!$AI$2:$AI$6001,1,'Per Line'!$AJ$2:$AJ$6001,0))</f>
        <v/>
      </c>
      <c r="Q199" s="7">
        <f>IF($V199="","",P199*O199)</f>
        <v/>
      </c>
      <c r="R199" s="7">
        <f>IF($V199="","",Q199+N199)</f>
        <v/>
      </c>
      <c r="S199" s="7">
        <f>IF($V199="","",T199-R199)</f>
        <v/>
      </c>
      <c r="T199" s="7">
        <f>IF($V199="","",M199+P199+K199)</f>
        <v/>
      </c>
      <c r="U199" s="7">
        <f>IF($V199="","",T199-R199-I199)</f>
        <v/>
      </c>
      <c r="V199" s="13">
        <f>IF(ROWS($V$2:$V199)&lt;=MAX('Per Line'!$AH$2:$AH$6001),MATCH(ROWS($V$2:$V199),'Per Line'!$AH$2:$AH$6001,0),"")</f>
        <v/>
      </c>
    </row>
    <row r="200">
      <c r="A200" s="12" t="n"/>
      <c r="B200">
        <f>IF($V200="","",INDEX('Per Line'!$C$2:$C$6001,$V200)&amp;"")</f>
        <v/>
      </c>
      <c r="C200" s="11">
        <f>IF($V200="","",INDEX('Per Line'!$D$2:$D$6001,$V200))</f>
        <v/>
      </c>
      <c r="D200">
        <f>IF($V200="","",INDEX('Per Line'!$E$2:$E$6001,$V200)&amp;"")</f>
        <v/>
      </c>
      <c r="E200">
        <f>IF($V200="","",INDEX('Per Line'!$G$2:$G$6001,$V200)&amp;"")</f>
        <v/>
      </c>
      <c r="F200">
        <f>IF($V200="","",INDEX('Per Line'!$H$2:$H$6001,$V200)&amp;"")</f>
        <v/>
      </c>
      <c r="G200">
        <f>IF($V200="","",INDEX('Per Line'!$I$2:$I$6001,$V200)&amp;"")</f>
        <v/>
      </c>
      <c r="H200">
        <f>IF($V200="","",INDEX('Per Line'!$J$2:$J$6001,$V200))</f>
        <v/>
      </c>
      <c r="I200" s="7">
        <f>IF($V200="","",H200*S200/100)</f>
        <v/>
      </c>
      <c r="J200">
        <f>IF($V200="","",INDEX('Per Line'!$S$2:$S$6001,$V200)&amp;"")</f>
        <v/>
      </c>
      <c r="K200" s="7">
        <f>IF($V200="","",SUMIFS('Per Line'!$R$2:$R$6001,'Per Line'!$C$2:$C$6001,$B200,'Per Line'!$AJ$2:$AJ$6001,1))</f>
        <v/>
      </c>
      <c r="L200">
        <f>IF($V200="","",Settings!$C$7)</f>
        <v/>
      </c>
      <c r="M200" s="7">
        <f>IF($V200="","",SUMIFS('Per Line'!$R$2:$R$6001,'Per Line'!$C$2:$C$6001,$B200,'Per Line'!$AI$2:$AI$6001,0,'Per Line'!$AJ$2:$AJ$6001,0))</f>
        <v/>
      </c>
      <c r="N200" s="7">
        <f>IF($V200="","",M200*L200)</f>
        <v/>
      </c>
      <c r="O200">
        <f>IF($V200="","",Settings!$C$6)</f>
        <v/>
      </c>
      <c r="P200" s="7">
        <f>IF($V200="","",SUMIFS('Per Line'!$R$2:$R$6001,'Per Line'!$C$2:$C$6001,$B200,'Per Line'!$AI$2:$AI$6001,1,'Per Line'!$AJ$2:$AJ$6001,0))</f>
        <v/>
      </c>
      <c r="Q200" s="7">
        <f>IF($V200="","",P200*O200)</f>
        <v/>
      </c>
      <c r="R200" s="7">
        <f>IF($V200="","",Q200+N200)</f>
        <v/>
      </c>
      <c r="S200" s="7">
        <f>IF($V200="","",T200-R200)</f>
        <v/>
      </c>
      <c r="T200" s="7">
        <f>IF($V200="","",M200+P200+K200)</f>
        <v/>
      </c>
      <c r="U200" s="7">
        <f>IF($V200="","",T200-R200-I200)</f>
        <v/>
      </c>
      <c r="V200" s="13">
        <f>IF(ROWS($V$2:$V200)&lt;=MAX('Per Line'!$AH$2:$AH$6001),MATCH(ROWS($V$2:$V200),'Per Line'!$AH$2:$AH$6001,0),"")</f>
        <v/>
      </c>
    </row>
    <row r="201">
      <c r="A201" s="12" t="n"/>
      <c r="B201">
        <f>IF($V201="","",INDEX('Per Line'!$C$2:$C$6001,$V201)&amp;"")</f>
        <v/>
      </c>
      <c r="C201" s="11">
        <f>IF($V201="","",INDEX('Per Line'!$D$2:$D$6001,$V201))</f>
        <v/>
      </c>
      <c r="D201">
        <f>IF($V201="","",INDEX('Per Line'!$E$2:$E$6001,$V201)&amp;"")</f>
        <v/>
      </c>
      <c r="E201">
        <f>IF($V201="","",INDEX('Per Line'!$G$2:$G$6001,$V201)&amp;"")</f>
        <v/>
      </c>
      <c r="F201">
        <f>IF($V201="","",INDEX('Per Line'!$H$2:$H$6001,$V201)&amp;"")</f>
        <v/>
      </c>
      <c r="G201">
        <f>IF($V201="","",INDEX('Per Line'!$I$2:$I$6001,$V201)&amp;"")</f>
        <v/>
      </c>
      <c r="H201">
        <f>IF($V201="","",INDEX('Per Line'!$J$2:$J$6001,$V201))</f>
        <v/>
      </c>
      <c r="I201" s="7">
        <f>IF($V201="","",H201*S201/100)</f>
        <v/>
      </c>
      <c r="J201">
        <f>IF($V201="","",INDEX('Per Line'!$S$2:$S$6001,$V201)&amp;"")</f>
        <v/>
      </c>
      <c r="K201" s="7">
        <f>IF($V201="","",SUMIFS('Per Line'!$R$2:$R$6001,'Per Line'!$C$2:$C$6001,$B201,'Per Line'!$AJ$2:$AJ$6001,1))</f>
        <v/>
      </c>
      <c r="L201">
        <f>IF($V201="","",Settings!$C$7)</f>
        <v/>
      </c>
      <c r="M201" s="7">
        <f>IF($V201="","",SUMIFS('Per Line'!$R$2:$R$6001,'Per Line'!$C$2:$C$6001,$B201,'Per Line'!$AI$2:$AI$6001,0,'Per Line'!$AJ$2:$AJ$6001,0))</f>
        <v/>
      </c>
      <c r="N201" s="7">
        <f>IF($V201="","",M201*L201)</f>
        <v/>
      </c>
      <c r="O201">
        <f>IF($V201="","",Settings!$C$6)</f>
        <v/>
      </c>
      <c r="P201" s="7">
        <f>IF($V201="","",SUMIFS('Per Line'!$R$2:$R$6001,'Per Line'!$C$2:$C$6001,$B201,'Per Line'!$AI$2:$AI$6001,1,'Per Line'!$AJ$2:$AJ$6001,0))</f>
        <v/>
      </c>
      <c r="Q201" s="7">
        <f>IF($V201="","",P201*O201)</f>
        <v/>
      </c>
      <c r="R201" s="7">
        <f>IF($V201="","",Q201+N201)</f>
        <v/>
      </c>
      <c r="S201" s="7">
        <f>IF($V201="","",T201-R201)</f>
        <v/>
      </c>
      <c r="T201" s="7">
        <f>IF($V201="","",M201+P201+K201)</f>
        <v/>
      </c>
      <c r="U201" s="7">
        <f>IF($V201="","",T201-R201-I201)</f>
        <v/>
      </c>
      <c r="V201" s="13">
        <f>IF(ROWS($V$2:$V201)&lt;=MAX('Per Line'!$AH$2:$AH$6001),MATCH(ROWS($V$2:$V201),'Per Line'!$AH$2:$AH$6001,0),"")</f>
        <v/>
      </c>
    </row>
    <row r="202">
      <c r="A202" s="12" t="n"/>
      <c r="B202">
        <f>IF($V202="","",INDEX('Per Line'!$C$2:$C$6001,$V202)&amp;"")</f>
        <v/>
      </c>
      <c r="C202" s="11">
        <f>IF($V202="","",INDEX('Per Line'!$D$2:$D$6001,$V202))</f>
        <v/>
      </c>
      <c r="D202">
        <f>IF($V202="","",INDEX('Per Line'!$E$2:$E$6001,$V202)&amp;"")</f>
        <v/>
      </c>
      <c r="E202">
        <f>IF($V202="","",INDEX('Per Line'!$G$2:$G$6001,$V202)&amp;"")</f>
        <v/>
      </c>
      <c r="F202">
        <f>IF($V202="","",INDEX('Per Line'!$H$2:$H$6001,$V202)&amp;"")</f>
        <v/>
      </c>
      <c r="G202">
        <f>IF($V202="","",INDEX('Per Line'!$I$2:$I$6001,$V202)&amp;"")</f>
        <v/>
      </c>
      <c r="H202">
        <f>IF($V202="","",INDEX('Per Line'!$J$2:$J$6001,$V202))</f>
        <v/>
      </c>
      <c r="I202" s="7">
        <f>IF($V202="","",H202*S202/100)</f>
        <v/>
      </c>
      <c r="J202">
        <f>IF($V202="","",INDEX('Per Line'!$S$2:$S$6001,$V202)&amp;"")</f>
        <v/>
      </c>
      <c r="K202" s="7">
        <f>IF($V202="","",SUMIFS('Per Line'!$R$2:$R$6001,'Per Line'!$C$2:$C$6001,$B202,'Per Line'!$AJ$2:$AJ$6001,1))</f>
        <v/>
      </c>
      <c r="L202">
        <f>IF($V202="","",Settings!$C$7)</f>
        <v/>
      </c>
      <c r="M202" s="7">
        <f>IF($V202="","",SUMIFS('Per Line'!$R$2:$R$6001,'Per Line'!$C$2:$C$6001,$B202,'Per Line'!$AI$2:$AI$6001,0,'Per Line'!$AJ$2:$AJ$6001,0))</f>
        <v/>
      </c>
      <c r="N202" s="7">
        <f>IF($V202="","",M202*L202)</f>
        <v/>
      </c>
      <c r="O202">
        <f>IF($V202="","",Settings!$C$6)</f>
        <v/>
      </c>
      <c r="P202" s="7">
        <f>IF($V202="","",SUMIFS('Per Line'!$R$2:$R$6001,'Per Line'!$C$2:$C$6001,$B202,'Per Line'!$AI$2:$AI$6001,1,'Per Line'!$AJ$2:$AJ$6001,0))</f>
        <v/>
      </c>
      <c r="Q202" s="7">
        <f>IF($V202="","",P202*O202)</f>
        <v/>
      </c>
      <c r="R202" s="7">
        <f>IF($V202="","",Q202+N202)</f>
        <v/>
      </c>
      <c r="S202" s="7">
        <f>IF($V202="","",T202-R202)</f>
        <v/>
      </c>
      <c r="T202" s="7">
        <f>IF($V202="","",M202+P202+K202)</f>
        <v/>
      </c>
      <c r="U202" s="7">
        <f>IF($V202="","",T202-R202-I202)</f>
        <v/>
      </c>
      <c r="V202" s="13">
        <f>IF(ROWS($V$2:$V202)&lt;=MAX('Per Line'!$AH$2:$AH$6001),MATCH(ROWS($V$2:$V202),'Per Line'!$AH$2:$AH$6001,0),"")</f>
        <v/>
      </c>
    </row>
    <row r="203">
      <c r="A203" s="12" t="n"/>
      <c r="B203">
        <f>IF($V203="","",INDEX('Per Line'!$C$2:$C$6001,$V203)&amp;"")</f>
        <v/>
      </c>
      <c r="C203" s="11">
        <f>IF($V203="","",INDEX('Per Line'!$D$2:$D$6001,$V203))</f>
        <v/>
      </c>
      <c r="D203">
        <f>IF($V203="","",INDEX('Per Line'!$E$2:$E$6001,$V203)&amp;"")</f>
        <v/>
      </c>
      <c r="E203">
        <f>IF($V203="","",INDEX('Per Line'!$G$2:$G$6001,$V203)&amp;"")</f>
        <v/>
      </c>
      <c r="F203">
        <f>IF($V203="","",INDEX('Per Line'!$H$2:$H$6001,$V203)&amp;"")</f>
        <v/>
      </c>
      <c r="G203">
        <f>IF($V203="","",INDEX('Per Line'!$I$2:$I$6001,$V203)&amp;"")</f>
        <v/>
      </c>
      <c r="H203">
        <f>IF($V203="","",INDEX('Per Line'!$J$2:$J$6001,$V203))</f>
        <v/>
      </c>
      <c r="I203" s="7">
        <f>IF($V203="","",H203*S203/100)</f>
        <v/>
      </c>
      <c r="J203">
        <f>IF($V203="","",INDEX('Per Line'!$S$2:$S$6001,$V203)&amp;"")</f>
        <v/>
      </c>
      <c r="K203" s="7">
        <f>IF($V203="","",SUMIFS('Per Line'!$R$2:$R$6001,'Per Line'!$C$2:$C$6001,$B203,'Per Line'!$AJ$2:$AJ$6001,1))</f>
        <v/>
      </c>
      <c r="L203">
        <f>IF($V203="","",Settings!$C$7)</f>
        <v/>
      </c>
      <c r="M203" s="7">
        <f>IF($V203="","",SUMIFS('Per Line'!$R$2:$R$6001,'Per Line'!$C$2:$C$6001,$B203,'Per Line'!$AI$2:$AI$6001,0,'Per Line'!$AJ$2:$AJ$6001,0))</f>
        <v/>
      </c>
      <c r="N203" s="7">
        <f>IF($V203="","",M203*L203)</f>
        <v/>
      </c>
      <c r="O203">
        <f>IF($V203="","",Settings!$C$6)</f>
        <v/>
      </c>
      <c r="P203" s="7">
        <f>IF($V203="","",SUMIFS('Per Line'!$R$2:$R$6001,'Per Line'!$C$2:$C$6001,$B203,'Per Line'!$AI$2:$AI$6001,1,'Per Line'!$AJ$2:$AJ$6001,0))</f>
        <v/>
      </c>
      <c r="Q203" s="7">
        <f>IF($V203="","",P203*O203)</f>
        <v/>
      </c>
      <c r="R203" s="7">
        <f>IF($V203="","",Q203+N203)</f>
        <v/>
      </c>
      <c r="S203" s="7">
        <f>IF($V203="","",T203-R203)</f>
        <v/>
      </c>
      <c r="T203" s="7">
        <f>IF($V203="","",M203+P203+K203)</f>
        <v/>
      </c>
      <c r="U203" s="7">
        <f>IF($V203="","",T203-R203-I203)</f>
        <v/>
      </c>
      <c r="V203" s="13">
        <f>IF(ROWS($V$2:$V203)&lt;=MAX('Per Line'!$AH$2:$AH$6001),MATCH(ROWS($V$2:$V203),'Per Line'!$AH$2:$AH$6001,0),"")</f>
        <v/>
      </c>
    </row>
    <row r="204">
      <c r="A204" s="12" t="n"/>
      <c r="B204">
        <f>IF($V204="","",INDEX('Per Line'!$C$2:$C$6001,$V204)&amp;"")</f>
        <v/>
      </c>
      <c r="C204" s="11">
        <f>IF($V204="","",INDEX('Per Line'!$D$2:$D$6001,$V204))</f>
        <v/>
      </c>
      <c r="D204">
        <f>IF($V204="","",INDEX('Per Line'!$E$2:$E$6001,$V204)&amp;"")</f>
        <v/>
      </c>
      <c r="E204">
        <f>IF($V204="","",INDEX('Per Line'!$G$2:$G$6001,$V204)&amp;"")</f>
        <v/>
      </c>
      <c r="F204">
        <f>IF($V204="","",INDEX('Per Line'!$H$2:$H$6001,$V204)&amp;"")</f>
        <v/>
      </c>
      <c r="G204">
        <f>IF($V204="","",INDEX('Per Line'!$I$2:$I$6001,$V204)&amp;"")</f>
        <v/>
      </c>
      <c r="H204">
        <f>IF($V204="","",INDEX('Per Line'!$J$2:$J$6001,$V204))</f>
        <v/>
      </c>
      <c r="I204" s="7">
        <f>IF($V204="","",H204*S204/100)</f>
        <v/>
      </c>
      <c r="J204">
        <f>IF($V204="","",INDEX('Per Line'!$S$2:$S$6001,$V204)&amp;"")</f>
        <v/>
      </c>
      <c r="K204" s="7">
        <f>IF($V204="","",SUMIFS('Per Line'!$R$2:$R$6001,'Per Line'!$C$2:$C$6001,$B204,'Per Line'!$AJ$2:$AJ$6001,1))</f>
        <v/>
      </c>
      <c r="L204">
        <f>IF($V204="","",Settings!$C$7)</f>
        <v/>
      </c>
      <c r="M204" s="7">
        <f>IF($V204="","",SUMIFS('Per Line'!$R$2:$R$6001,'Per Line'!$C$2:$C$6001,$B204,'Per Line'!$AI$2:$AI$6001,0,'Per Line'!$AJ$2:$AJ$6001,0))</f>
        <v/>
      </c>
      <c r="N204" s="7">
        <f>IF($V204="","",M204*L204)</f>
        <v/>
      </c>
      <c r="O204">
        <f>IF($V204="","",Settings!$C$6)</f>
        <v/>
      </c>
      <c r="P204" s="7">
        <f>IF($V204="","",SUMIFS('Per Line'!$R$2:$R$6001,'Per Line'!$C$2:$C$6001,$B204,'Per Line'!$AI$2:$AI$6001,1,'Per Line'!$AJ$2:$AJ$6001,0))</f>
        <v/>
      </c>
      <c r="Q204" s="7">
        <f>IF($V204="","",P204*O204)</f>
        <v/>
      </c>
      <c r="R204" s="7">
        <f>IF($V204="","",Q204+N204)</f>
        <v/>
      </c>
      <c r="S204" s="7">
        <f>IF($V204="","",T204-R204)</f>
        <v/>
      </c>
      <c r="T204" s="7">
        <f>IF($V204="","",M204+P204+K204)</f>
        <v/>
      </c>
      <c r="U204" s="7">
        <f>IF($V204="","",T204-R204-I204)</f>
        <v/>
      </c>
      <c r="V204" s="13">
        <f>IF(ROWS($V$2:$V204)&lt;=MAX('Per Line'!$AH$2:$AH$6001),MATCH(ROWS($V$2:$V204),'Per Line'!$AH$2:$AH$6001,0),"")</f>
        <v/>
      </c>
    </row>
    <row r="205">
      <c r="A205" s="12" t="n"/>
      <c r="B205">
        <f>IF($V205="","",INDEX('Per Line'!$C$2:$C$6001,$V205)&amp;"")</f>
        <v/>
      </c>
      <c r="C205" s="11">
        <f>IF($V205="","",INDEX('Per Line'!$D$2:$D$6001,$V205))</f>
        <v/>
      </c>
      <c r="D205">
        <f>IF($V205="","",INDEX('Per Line'!$E$2:$E$6001,$V205)&amp;"")</f>
        <v/>
      </c>
      <c r="E205">
        <f>IF($V205="","",INDEX('Per Line'!$G$2:$G$6001,$V205)&amp;"")</f>
        <v/>
      </c>
      <c r="F205">
        <f>IF($V205="","",INDEX('Per Line'!$H$2:$H$6001,$V205)&amp;"")</f>
        <v/>
      </c>
      <c r="G205">
        <f>IF($V205="","",INDEX('Per Line'!$I$2:$I$6001,$V205)&amp;"")</f>
        <v/>
      </c>
      <c r="H205">
        <f>IF($V205="","",INDEX('Per Line'!$J$2:$J$6001,$V205))</f>
        <v/>
      </c>
      <c r="I205" s="7">
        <f>IF($V205="","",H205*S205/100)</f>
        <v/>
      </c>
      <c r="J205">
        <f>IF($V205="","",INDEX('Per Line'!$S$2:$S$6001,$V205)&amp;"")</f>
        <v/>
      </c>
      <c r="K205" s="7">
        <f>IF($V205="","",SUMIFS('Per Line'!$R$2:$R$6001,'Per Line'!$C$2:$C$6001,$B205,'Per Line'!$AJ$2:$AJ$6001,1))</f>
        <v/>
      </c>
      <c r="L205">
        <f>IF($V205="","",Settings!$C$7)</f>
        <v/>
      </c>
      <c r="M205" s="7">
        <f>IF($V205="","",SUMIFS('Per Line'!$R$2:$R$6001,'Per Line'!$C$2:$C$6001,$B205,'Per Line'!$AI$2:$AI$6001,0,'Per Line'!$AJ$2:$AJ$6001,0))</f>
        <v/>
      </c>
      <c r="N205" s="7">
        <f>IF($V205="","",M205*L205)</f>
        <v/>
      </c>
      <c r="O205">
        <f>IF($V205="","",Settings!$C$6)</f>
        <v/>
      </c>
      <c r="P205" s="7">
        <f>IF($V205="","",SUMIFS('Per Line'!$R$2:$R$6001,'Per Line'!$C$2:$C$6001,$B205,'Per Line'!$AI$2:$AI$6001,1,'Per Line'!$AJ$2:$AJ$6001,0))</f>
        <v/>
      </c>
      <c r="Q205" s="7">
        <f>IF($V205="","",P205*O205)</f>
        <v/>
      </c>
      <c r="R205" s="7">
        <f>IF($V205="","",Q205+N205)</f>
        <v/>
      </c>
      <c r="S205" s="7">
        <f>IF($V205="","",T205-R205)</f>
        <v/>
      </c>
      <c r="T205" s="7">
        <f>IF($V205="","",M205+P205+K205)</f>
        <v/>
      </c>
      <c r="U205" s="7">
        <f>IF($V205="","",T205-R205-I205)</f>
        <v/>
      </c>
      <c r="V205" s="13">
        <f>IF(ROWS($V$2:$V205)&lt;=MAX('Per Line'!$AH$2:$AH$6001),MATCH(ROWS($V$2:$V205),'Per Line'!$AH$2:$AH$6001,0),"")</f>
        <v/>
      </c>
    </row>
    <row r="206">
      <c r="A206" s="12" t="n"/>
      <c r="B206">
        <f>IF($V206="","",INDEX('Per Line'!$C$2:$C$6001,$V206)&amp;"")</f>
        <v/>
      </c>
      <c r="C206" s="11">
        <f>IF($V206="","",INDEX('Per Line'!$D$2:$D$6001,$V206))</f>
        <v/>
      </c>
      <c r="D206">
        <f>IF($V206="","",INDEX('Per Line'!$E$2:$E$6001,$V206)&amp;"")</f>
        <v/>
      </c>
      <c r="E206">
        <f>IF($V206="","",INDEX('Per Line'!$G$2:$G$6001,$V206)&amp;"")</f>
        <v/>
      </c>
      <c r="F206">
        <f>IF($V206="","",INDEX('Per Line'!$H$2:$H$6001,$V206)&amp;"")</f>
        <v/>
      </c>
      <c r="G206">
        <f>IF($V206="","",INDEX('Per Line'!$I$2:$I$6001,$V206)&amp;"")</f>
        <v/>
      </c>
      <c r="H206">
        <f>IF($V206="","",INDEX('Per Line'!$J$2:$J$6001,$V206))</f>
        <v/>
      </c>
      <c r="I206" s="7">
        <f>IF($V206="","",H206*S206/100)</f>
        <v/>
      </c>
      <c r="J206">
        <f>IF($V206="","",INDEX('Per Line'!$S$2:$S$6001,$V206)&amp;"")</f>
        <v/>
      </c>
      <c r="K206" s="7">
        <f>IF($V206="","",SUMIFS('Per Line'!$R$2:$R$6001,'Per Line'!$C$2:$C$6001,$B206,'Per Line'!$AJ$2:$AJ$6001,1))</f>
        <v/>
      </c>
      <c r="L206">
        <f>IF($V206="","",Settings!$C$7)</f>
        <v/>
      </c>
      <c r="M206" s="7">
        <f>IF($V206="","",SUMIFS('Per Line'!$R$2:$R$6001,'Per Line'!$C$2:$C$6001,$B206,'Per Line'!$AI$2:$AI$6001,0,'Per Line'!$AJ$2:$AJ$6001,0))</f>
        <v/>
      </c>
      <c r="N206" s="7">
        <f>IF($V206="","",M206*L206)</f>
        <v/>
      </c>
      <c r="O206">
        <f>IF($V206="","",Settings!$C$6)</f>
        <v/>
      </c>
      <c r="P206" s="7">
        <f>IF($V206="","",SUMIFS('Per Line'!$R$2:$R$6001,'Per Line'!$C$2:$C$6001,$B206,'Per Line'!$AI$2:$AI$6001,1,'Per Line'!$AJ$2:$AJ$6001,0))</f>
        <v/>
      </c>
      <c r="Q206" s="7">
        <f>IF($V206="","",P206*O206)</f>
        <v/>
      </c>
      <c r="R206" s="7">
        <f>IF($V206="","",Q206+N206)</f>
        <v/>
      </c>
      <c r="S206" s="7">
        <f>IF($V206="","",T206-R206)</f>
        <v/>
      </c>
      <c r="T206" s="7">
        <f>IF($V206="","",M206+P206+K206)</f>
        <v/>
      </c>
      <c r="U206" s="7">
        <f>IF($V206="","",T206-R206-I206)</f>
        <v/>
      </c>
      <c r="V206" s="13">
        <f>IF(ROWS($V$2:$V206)&lt;=MAX('Per Line'!$AH$2:$AH$6001),MATCH(ROWS($V$2:$V206),'Per Line'!$AH$2:$AH$6001,0),"")</f>
        <v/>
      </c>
    </row>
    <row r="207">
      <c r="A207" s="12" t="n"/>
      <c r="B207">
        <f>IF($V207="","",INDEX('Per Line'!$C$2:$C$6001,$V207)&amp;"")</f>
        <v/>
      </c>
      <c r="C207" s="11">
        <f>IF($V207="","",INDEX('Per Line'!$D$2:$D$6001,$V207))</f>
        <v/>
      </c>
      <c r="D207">
        <f>IF($V207="","",INDEX('Per Line'!$E$2:$E$6001,$V207)&amp;"")</f>
        <v/>
      </c>
      <c r="E207">
        <f>IF($V207="","",INDEX('Per Line'!$G$2:$G$6001,$V207)&amp;"")</f>
        <v/>
      </c>
      <c r="F207">
        <f>IF($V207="","",INDEX('Per Line'!$H$2:$H$6001,$V207)&amp;"")</f>
        <v/>
      </c>
      <c r="G207">
        <f>IF($V207="","",INDEX('Per Line'!$I$2:$I$6001,$V207)&amp;"")</f>
        <v/>
      </c>
      <c r="H207">
        <f>IF($V207="","",INDEX('Per Line'!$J$2:$J$6001,$V207))</f>
        <v/>
      </c>
      <c r="I207" s="7">
        <f>IF($V207="","",H207*S207/100)</f>
        <v/>
      </c>
      <c r="J207">
        <f>IF($V207="","",INDEX('Per Line'!$S$2:$S$6001,$V207)&amp;"")</f>
        <v/>
      </c>
      <c r="K207" s="7">
        <f>IF($V207="","",SUMIFS('Per Line'!$R$2:$R$6001,'Per Line'!$C$2:$C$6001,$B207,'Per Line'!$AJ$2:$AJ$6001,1))</f>
        <v/>
      </c>
      <c r="L207">
        <f>IF($V207="","",Settings!$C$7)</f>
        <v/>
      </c>
      <c r="M207" s="7">
        <f>IF($V207="","",SUMIFS('Per Line'!$R$2:$R$6001,'Per Line'!$C$2:$C$6001,$B207,'Per Line'!$AI$2:$AI$6001,0,'Per Line'!$AJ$2:$AJ$6001,0))</f>
        <v/>
      </c>
      <c r="N207" s="7">
        <f>IF($V207="","",M207*L207)</f>
        <v/>
      </c>
      <c r="O207">
        <f>IF($V207="","",Settings!$C$6)</f>
        <v/>
      </c>
      <c r="P207" s="7">
        <f>IF($V207="","",SUMIFS('Per Line'!$R$2:$R$6001,'Per Line'!$C$2:$C$6001,$B207,'Per Line'!$AI$2:$AI$6001,1,'Per Line'!$AJ$2:$AJ$6001,0))</f>
        <v/>
      </c>
      <c r="Q207" s="7">
        <f>IF($V207="","",P207*O207)</f>
        <v/>
      </c>
      <c r="R207" s="7">
        <f>IF($V207="","",Q207+N207)</f>
        <v/>
      </c>
      <c r="S207" s="7">
        <f>IF($V207="","",T207-R207)</f>
        <v/>
      </c>
      <c r="T207" s="7">
        <f>IF($V207="","",M207+P207+K207)</f>
        <v/>
      </c>
      <c r="U207" s="7">
        <f>IF($V207="","",T207-R207-I207)</f>
        <v/>
      </c>
      <c r="V207" s="13">
        <f>IF(ROWS($V$2:$V207)&lt;=MAX('Per Line'!$AH$2:$AH$6001),MATCH(ROWS($V$2:$V207),'Per Line'!$AH$2:$AH$6001,0),"")</f>
        <v/>
      </c>
    </row>
    <row r="208">
      <c r="A208" s="12" t="n"/>
      <c r="B208">
        <f>IF($V208="","",INDEX('Per Line'!$C$2:$C$6001,$V208)&amp;"")</f>
        <v/>
      </c>
      <c r="C208" s="11">
        <f>IF($V208="","",INDEX('Per Line'!$D$2:$D$6001,$V208))</f>
        <v/>
      </c>
      <c r="D208">
        <f>IF($V208="","",INDEX('Per Line'!$E$2:$E$6001,$V208)&amp;"")</f>
        <v/>
      </c>
      <c r="E208">
        <f>IF($V208="","",INDEX('Per Line'!$G$2:$G$6001,$V208)&amp;"")</f>
        <v/>
      </c>
      <c r="F208">
        <f>IF($V208="","",INDEX('Per Line'!$H$2:$H$6001,$V208)&amp;"")</f>
        <v/>
      </c>
      <c r="G208">
        <f>IF($V208="","",INDEX('Per Line'!$I$2:$I$6001,$V208)&amp;"")</f>
        <v/>
      </c>
      <c r="H208">
        <f>IF($V208="","",INDEX('Per Line'!$J$2:$J$6001,$V208))</f>
        <v/>
      </c>
      <c r="I208" s="7">
        <f>IF($V208="","",H208*S208/100)</f>
        <v/>
      </c>
      <c r="J208">
        <f>IF($V208="","",INDEX('Per Line'!$S$2:$S$6001,$V208)&amp;"")</f>
        <v/>
      </c>
      <c r="K208" s="7">
        <f>IF($V208="","",SUMIFS('Per Line'!$R$2:$R$6001,'Per Line'!$C$2:$C$6001,$B208,'Per Line'!$AJ$2:$AJ$6001,1))</f>
        <v/>
      </c>
      <c r="L208">
        <f>IF($V208="","",Settings!$C$7)</f>
        <v/>
      </c>
      <c r="M208" s="7">
        <f>IF($V208="","",SUMIFS('Per Line'!$R$2:$R$6001,'Per Line'!$C$2:$C$6001,$B208,'Per Line'!$AI$2:$AI$6001,0,'Per Line'!$AJ$2:$AJ$6001,0))</f>
        <v/>
      </c>
      <c r="N208" s="7">
        <f>IF($V208="","",M208*L208)</f>
        <v/>
      </c>
      <c r="O208">
        <f>IF($V208="","",Settings!$C$6)</f>
        <v/>
      </c>
      <c r="P208" s="7">
        <f>IF($V208="","",SUMIFS('Per Line'!$R$2:$R$6001,'Per Line'!$C$2:$C$6001,$B208,'Per Line'!$AI$2:$AI$6001,1,'Per Line'!$AJ$2:$AJ$6001,0))</f>
        <v/>
      </c>
      <c r="Q208" s="7">
        <f>IF($V208="","",P208*O208)</f>
        <v/>
      </c>
      <c r="R208" s="7">
        <f>IF($V208="","",Q208+N208)</f>
        <v/>
      </c>
      <c r="S208" s="7">
        <f>IF($V208="","",T208-R208)</f>
        <v/>
      </c>
      <c r="T208" s="7">
        <f>IF($V208="","",M208+P208+K208)</f>
        <v/>
      </c>
      <c r="U208" s="7">
        <f>IF($V208="","",T208-R208-I208)</f>
        <v/>
      </c>
      <c r="V208" s="13">
        <f>IF(ROWS($V$2:$V208)&lt;=MAX('Per Line'!$AH$2:$AH$6001),MATCH(ROWS($V$2:$V208),'Per Line'!$AH$2:$AH$6001,0),"")</f>
        <v/>
      </c>
    </row>
    <row r="209">
      <c r="A209" s="12" t="n"/>
      <c r="B209">
        <f>IF($V209="","",INDEX('Per Line'!$C$2:$C$6001,$V209)&amp;"")</f>
        <v/>
      </c>
      <c r="C209" s="11">
        <f>IF($V209="","",INDEX('Per Line'!$D$2:$D$6001,$V209))</f>
        <v/>
      </c>
      <c r="D209">
        <f>IF($V209="","",INDEX('Per Line'!$E$2:$E$6001,$V209)&amp;"")</f>
        <v/>
      </c>
      <c r="E209">
        <f>IF($V209="","",INDEX('Per Line'!$G$2:$G$6001,$V209)&amp;"")</f>
        <v/>
      </c>
      <c r="F209">
        <f>IF($V209="","",INDEX('Per Line'!$H$2:$H$6001,$V209)&amp;"")</f>
        <v/>
      </c>
      <c r="G209">
        <f>IF($V209="","",INDEX('Per Line'!$I$2:$I$6001,$V209)&amp;"")</f>
        <v/>
      </c>
      <c r="H209">
        <f>IF($V209="","",INDEX('Per Line'!$J$2:$J$6001,$V209))</f>
        <v/>
      </c>
      <c r="I209" s="7">
        <f>IF($V209="","",H209*S209/100)</f>
        <v/>
      </c>
      <c r="J209">
        <f>IF($V209="","",INDEX('Per Line'!$S$2:$S$6001,$V209)&amp;"")</f>
        <v/>
      </c>
      <c r="K209" s="7">
        <f>IF($V209="","",SUMIFS('Per Line'!$R$2:$R$6001,'Per Line'!$C$2:$C$6001,$B209,'Per Line'!$AJ$2:$AJ$6001,1))</f>
        <v/>
      </c>
      <c r="L209">
        <f>IF($V209="","",Settings!$C$7)</f>
        <v/>
      </c>
      <c r="M209" s="7">
        <f>IF($V209="","",SUMIFS('Per Line'!$R$2:$R$6001,'Per Line'!$C$2:$C$6001,$B209,'Per Line'!$AI$2:$AI$6001,0,'Per Line'!$AJ$2:$AJ$6001,0))</f>
        <v/>
      </c>
      <c r="N209" s="7">
        <f>IF($V209="","",M209*L209)</f>
        <v/>
      </c>
      <c r="O209">
        <f>IF($V209="","",Settings!$C$6)</f>
        <v/>
      </c>
      <c r="P209" s="7">
        <f>IF($V209="","",SUMIFS('Per Line'!$R$2:$R$6001,'Per Line'!$C$2:$C$6001,$B209,'Per Line'!$AI$2:$AI$6001,1,'Per Line'!$AJ$2:$AJ$6001,0))</f>
        <v/>
      </c>
      <c r="Q209" s="7">
        <f>IF($V209="","",P209*O209)</f>
        <v/>
      </c>
      <c r="R209" s="7">
        <f>IF($V209="","",Q209+N209)</f>
        <v/>
      </c>
      <c r="S209" s="7">
        <f>IF($V209="","",T209-R209)</f>
        <v/>
      </c>
      <c r="T209" s="7">
        <f>IF($V209="","",M209+P209+K209)</f>
        <v/>
      </c>
      <c r="U209" s="7">
        <f>IF($V209="","",T209-R209-I209)</f>
        <v/>
      </c>
      <c r="V209" s="13">
        <f>IF(ROWS($V$2:$V209)&lt;=MAX('Per Line'!$AH$2:$AH$6001),MATCH(ROWS($V$2:$V209),'Per Line'!$AH$2:$AH$6001,0),"")</f>
        <v/>
      </c>
    </row>
    <row r="210">
      <c r="A210" s="12" t="n"/>
      <c r="B210">
        <f>IF($V210="","",INDEX('Per Line'!$C$2:$C$6001,$V210)&amp;"")</f>
        <v/>
      </c>
      <c r="C210" s="11">
        <f>IF($V210="","",INDEX('Per Line'!$D$2:$D$6001,$V210))</f>
        <v/>
      </c>
      <c r="D210">
        <f>IF($V210="","",INDEX('Per Line'!$E$2:$E$6001,$V210)&amp;"")</f>
        <v/>
      </c>
      <c r="E210">
        <f>IF($V210="","",INDEX('Per Line'!$G$2:$G$6001,$V210)&amp;"")</f>
        <v/>
      </c>
      <c r="F210">
        <f>IF($V210="","",INDEX('Per Line'!$H$2:$H$6001,$V210)&amp;"")</f>
        <v/>
      </c>
      <c r="G210">
        <f>IF($V210="","",INDEX('Per Line'!$I$2:$I$6001,$V210)&amp;"")</f>
        <v/>
      </c>
      <c r="H210">
        <f>IF($V210="","",INDEX('Per Line'!$J$2:$J$6001,$V210))</f>
        <v/>
      </c>
      <c r="I210" s="7">
        <f>IF($V210="","",H210*S210/100)</f>
        <v/>
      </c>
      <c r="J210">
        <f>IF($V210="","",INDEX('Per Line'!$S$2:$S$6001,$V210)&amp;"")</f>
        <v/>
      </c>
      <c r="K210" s="7">
        <f>IF($V210="","",SUMIFS('Per Line'!$R$2:$R$6001,'Per Line'!$C$2:$C$6001,$B210,'Per Line'!$AJ$2:$AJ$6001,1))</f>
        <v/>
      </c>
      <c r="L210">
        <f>IF($V210="","",Settings!$C$7)</f>
        <v/>
      </c>
      <c r="M210" s="7">
        <f>IF($V210="","",SUMIFS('Per Line'!$R$2:$R$6001,'Per Line'!$C$2:$C$6001,$B210,'Per Line'!$AI$2:$AI$6001,0,'Per Line'!$AJ$2:$AJ$6001,0))</f>
        <v/>
      </c>
      <c r="N210" s="7">
        <f>IF($V210="","",M210*L210)</f>
        <v/>
      </c>
      <c r="O210">
        <f>IF($V210="","",Settings!$C$6)</f>
        <v/>
      </c>
      <c r="P210" s="7">
        <f>IF($V210="","",SUMIFS('Per Line'!$R$2:$R$6001,'Per Line'!$C$2:$C$6001,$B210,'Per Line'!$AI$2:$AI$6001,1,'Per Line'!$AJ$2:$AJ$6001,0))</f>
        <v/>
      </c>
      <c r="Q210" s="7">
        <f>IF($V210="","",P210*O210)</f>
        <v/>
      </c>
      <c r="R210" s="7">
        <f>IF($V210="","",Q210+N210)</f>
        <v/>
      </c>
      <c r="S210" s="7">
        <f>IF($V210="","",T210-R210)</f>
        <v/>
      </c>
      <c r="T210" s="7">
        <f>IF($V210="","",M210+P210+K210)</f>
        <v/>
      </c>
      <c r="U210" s="7">
        <f>IF($V210="","",T210-R210-I210)</f>
        <v/>
      </c>
      <c r="V210" s="13">
        <f>IF(ROWS($V$2:$V210)&lt;=MAX('Per Line'!$AH$2:$AH$6001),MATCH(ROWS($V$2:$V210),'Per Line'!$AH$2:$AH$6001,0),"")</f>
        <v/>
      </c>
    </row>
    <row r="211">
      <c r="A211" s="12" t="n"/>
      <c r="B211">
        <f>IF($V211="","",INDEX('Per Line'!$C$2:$C$6001,$V211)&amp;"")</f>
        <v/>
      </c>
      <c r="C211" s="11">
        <f>IF($V211="","",INDEX('Per Line'!$D$2:$D$6001,$V211))</f>
        <v/>
      </c>
      <c r="D211">
        <f>IF($V211="","",INDEX('Per Line'!$E$2:$E$6001,$V211)&amp;"")</f>
        <v/>
      </c>
      <c r="E211">
        <f>IF($V211="","",INDEX('Per Line'!$G$2:$G$6001,$V211)&amp;"")</f>
        <v/>
      </c>
      <c r="F211">
        <f>IF($V211="","",INDEX('Per Line'!$H$2:$H$6001,$V211)&amp;"")</f>
        <v/>
      </c>
      <c r="G211">
        <f>IF($V211="","",INDEX('Per Line'!$I$2:$I$6001,$V211)&amp;"")</f>
        <v/>
      </c>
      <c r="H211">
        <f>IF($V211="","",INDEX('Per Line'!$J$2:$J$6001,$V211))</f>
        <v/>
      </c>
      <c r="I211" s="7">
        <f>IF($V211="","",H211*S211/100)</f>
        <v/>
      </c>
      <c r="J211">
        <f>IF($V211="","",INDEX('Per Line'!$S$2:$S$6001,$V211)&amp;"")</f>
        <v/>
      </c>
      <c r="K211" s="7">
        <f>IF($V211="","",SUMIFS('Per Line'!$R$2:$R$6001,'Per Line'!$C$2:$C$6001,$B211,'Per Line'!$AJ$2:$AJ$6001,1))</f>
        <v/>
      </c>
      <c r="L211">
        <f>IF($V211="","",Settings!$C$7)</f>
        <v/>
      </c>
      <c r="M211" s="7">
        <f>IF($V211="","",SUMIFS('Per Line'!$R$2:$R$6001,'Per Line'!$C$2:$C$6001,$B211,'Per Line'!$AI$2:$AI$6001,0,'Per Line'!$AJ$2:$AJ$6001,0))</f>
        <v/>
      </c>
      <c r="N211" s="7">
        <f>IF($V211="","",M211*L211)</f>
        <v/>
      </c>
      <c r="O211">
        <f>IF($V211="","",Settings!$C$6)</f>
        <v/>
      </c>
      <c r="P211" s="7">
        <f>IF($V211="","",SUMIFS('Per Line'!$R$2:$R$6001,'Per Line'!$C$2:$C$6001,$B211,'Per Line'!$AI$2:$AI$6001,1,'Per Line'!$AJ$2:$AJ$6001,0))</f>
        <v/>
      </c>
      <c r="Q211" s="7">
        <f>IF($V211="","",P211*O211)</f>
        <v/>
      </c>
      <c r="R211" s="7">
        <f>IF($V211="","",Q211+N211)</f>
        <v/>
      </c>
      <c r="S211" s="7">
        <f>IF($V211="","",T211-R211)</f>
        <v/>
      </c>
      <c r="T211" s="7">
        <f>IF($V211="","",M211+P211+K211)</f>
        <v/>
      </c>
      <c r="U211" s="7">
        <f>IF($V211="","",T211-R211-I211)</f>
        <v/>
      </c>
      <c r="V211" s="13">
        <f>IF(ROWS($V$2:$V211)&lt;=MAX('Per Line'!$AH$2:$AH$6001),MATCH(ROWS($V$2:$V211),'Per Line'!$AH$2:$AH$6001,0),"")</f>
        <v/>
      </c>
    </row>
    <row r="212">
      <c r="A212" s="12" t="n"/>
      <c r="B212">
        <f>IF($V212="","",INDEX('Per Line'!$C$2:$C$6001,$V212)&amp;"")</f>
        <v/>
      </c>
      <c r="C212" s="11">
        <f>IF($V212="","",INDEX('Per Line'!$D$2:$D$6001,$V212))</f>
        <v/>
      </c>
      <c r="D212">
        <f>IF($V212="","",INDEX('Per Line'!$E$2:$E$6001,$V212)&amp;"")</f>
        <v/>
      </c>
      <c r="E212">
        <f>IF($V212="","",INDEX('Per Line'!$G$2:$G$6001,$V212)&amp;"")</f>
        <v/>
      </c>
      <c r="F212">
        <f>IF($V212="","",INDEX('Per Line'!$H$2:$H$6001,$V212)&amp;"")</f>
        <v/>
      </c>
      <c r="G212">
        <f>IF($V212="","",INDEX('Per Line'!$I$2:$I$6001,$V212)&amp;"")</f>
        <v/>
      </c>
      <c r="H212">
        <f>IF($V212="","",INDEX('Per Line'!$J$2:$J$6001,$V212))</f>
        <v/>
      </c>
      <c r="I212" s="7">
        <f>IF($V212="","",H212*S212/100)</f>
        <v/>
      </c>
      <c r="J212">
        <f>IF($V212="","",INDEX('Per Line'!$S$2:$S$6001,$V212)&amp;"")</f>
        <v/>
      </c>
      <c r="K212" s="7">
        <f>IF($V212="","",SUMIFS('Per Line'!$R$2:$R$6001,'Per Line'!$C$2:$C$6001,$B212,'Per Line'!$AJ$2:$AJ$6001,1))</f>
        <v/>
      </c>
      <c r="L212">
        <f>IF($V212="","",Settings!$C$7)</f>
        <v/>
      </c>
      <c r="M212" s="7">
        <f>IF($V212="","",SUMIFS('Per Line'!$R$2:$R$6001,'Per Line'!$C$2:$C$6001,$B212,'Per Line'!$AI$2:$AI$6001,0,'Per Line'!$AJ$2:$AJ$6001,0))</f>
        <v/>
      </c>
      <c r="N212" s="7">
        <f>IF($V212="","",M212*L212)</f>
        <v/>
      </c>
      <c r="O212">
        <f>IF($V212="","",Settings!$C$6)</f>
        <v/>
      </c>
      <c r="P212" s="7">
        <f>IF($V212="","",SUMIFS('Per Line'!$R$2:$R$6001,'Per Line'!$C$2:$C$6001,$B212,'Per Line'!$AI$2:$AI$6001,1,'Per Line'!$AJ$2:$AJ$6001,0))</f>
        <v/>
      </c>
      <c r="Q212" s="7">
        <f>IF($V212="","",P212*O212)</f>
        <v/>
      </c>
      <c r="R212" s="7">
        <f>IF($V212="","",Q212+N212)</f>
        <v/>
      </c>
      <c r="S212" s="7">
        <f>IF($V212="","",T212-R212)</f>
        <v/>
      </c>
      <c r="T212" s="7">
        <f>IF($V212="","",M212+P212+K212)</f>
        <v/>
      </c>
      <c r="U212" s="7">
        <f>IF($V212="","",T212-R212-I212)</f>
        <v/>
      </c>
      <c r="V212" s="13">
        <f>IF(ROWS($V$2:$V212)&lt;=MAX('Per Line'!$AH$2:$AH$6001),MATCH(ROWS($V$2:$V212),'Per Line'!$AH$2:$AH$6001,0),"")</f>
        <v/>
      </c>
    </row>
    <row r="213">
      <c r="A213" s="12" t="n"/>
      <c r="B213">
        <f>IF($V213="","",INDEX('Per Line'!$C$2:$C$6001,$V213)&amp;"")</f>
        <v/>
      </c>
      <c r="C213" s="11">
        <f>IF($V213="","",INDEX('Per Line'!$D$2:$D$6001,$V213))</f>
        <v/>
      </c>
      <c r="D213">
        <f>IF($V213="","",INDEX('Per Line'!$E$2:$E$6001,$V213)&amp;"")</f>
        <v/>
      </c>
      <c r="E213">
        <f>IF($V213="","",INDEX('Per Line'!$G$2:$G$6001,$V213)&amp;"")</f>
        <v/>
      </c>
      <c r="F213">
        <f>IF($V213="","",INDEX('Per Line'!$H$2:$H$6001,$V213)&amp;"")</f>
        <v/>
      </c>
      <c r="G213">
        <f>IF($V213="","",INDEX('Per Line'!$I$2:$I$6001,$V213)&amp;"")</f>
        <v/>
      </c>
      <c r="H213">
        <f>IF($V213="","",INDEX('Per Line'!$J$2:$J$6001,$V213))</f>
        <v/>
      </c>
      <c r="I213" s="7">
        <f>IF($V213="","",H213*S213/100)</f>
        <v/>
      </c>
      <c r="J213">
        <f>IF($V213="","",INDEX('Per Line'!$S$2:$S$6001,$V213)&amp;"")</f>
        <v/>
      </c>
      <c r="K213" s="7">
        <f>IF($V213="","",SUMIFS('Per Line'!$R$2:$R$6001,'Per Line'!$C$2:$C$6001,$B213,'Per Line'!$AJ$2:$AJ$6001,1))</f>
        <v/>
      </c>
      <c r="L213">
        <f>IF($V213="","",Settings!$C$7)</f>
        <v/>
      </c>
      <c r="M213" s="7">
        <f>IF($V213="","",SUMIFS('Per Line'!$R$2:$R$6001,'Per Line'!$C$2:$C$6001,$B213,'Per Line'!$AI$2:$AI$6001,0,'Per Line'!$AJ$2:$AJ$6001,0))</f>
        <v/>
      </c>
      <c r="N213" s="7">
        <f>IF($V213="","",M213*L213)</f>
        <v/>
      </c>
      <c r="O213">
        <f>IF($V213="","",Settings!$C$6)</f>
        <v/>
      </c>
      <c r="P213" s="7">
        <f>IF($V213="","",SUMIFS('Per Line'!$R$2:$R$6001,'Per Line'!$C$2:$C$6001,$B213,'Per Line'!$AI$2:$AI$6001,1,'Per Line'!$AJ$2:$AJ$6001,0))</f>
        <v/>
      </c>
      <c r="Q213" s="7">
        <f>IF($V213="","",P213*O213)</f>
        <v/>
      </c>
      <c r="R213" s="7">
        <f>IF($V213="","",Q213+N213)</f>
        <v/>
      </c>
      <c r="S213" s="7">
        <f>IF($V213="","",T213-R213)</f>
        <v/>
      </c>
      <c r="T213" s="7">
        <f>IF($V213="","",M213+P213+K213)</f>
        <v/>
      </c>
      <c r="U213" s="7">
        <f>IF($V213="","",T213-R213-I213)</f>
        <v/>
      </c>
      <c r="V213" s="13">
        <f>IF(ROWS($V$2:$V213)&lt;=MAX('Per Line'!$AH$2:$AH$6001),MATCH(ROWS($V$2:$V213),'Per Line'!$AH$2:$AH$6001,0),"")</f>
        <v/>
      </c>
    </row>
    <row r="214">
      <c r="A214" s="12" t="n"/>
      <c r="B214">
        <f>IF($V214="","",INDEX('Per Line'!$C$2:$C$6001,$V214)&amp;"")</f>
        <v/>
      </c>
      <c r="C214" s="11">
        <f>IF($V214="","",INDEX('Per Line'!$D$2:$D$6001,$V214))</f>
        <v/>
      </c>
      <c r="D214">
        <f>IF($V214="","",INDEX('Per Line'!$E$2:$E$6001,$V214)&amp;"")</f>
        <v/>
      </c>
      <c r="E214">
        <f>IF($V214="","",INDEX('Per Line'!$G$2:$G$6001,$V214)&amp;"")</f>
        <v/>
      </c>
      <c r="F214">
        <f>IF($V214="","",INDEX('Per Line'!$H$2:$H$6001,$V214)&amp;"")</f>
        <v/>
      </c>
      <c r="G214">
        <f>IF($V214="","",INDEX('Per Line'!$I$2:$I$6001,$V214)&amp;"")</f>
        <v/>
      </c>
      <c r="H214">
        <f>IF($V214="","",INDEX('Per Line'!$J$2:$J$6001,$V214))</f>
        <v/>
      </c>
      <c r="I214" s="7">
        <f>IF($V214="","",H214*S214/100)</f>
        <v/>
      </c>
      <c r="J214">
        <f>IF($V214="","",INDEX('Per Line'!$S$2:$S$6001,$V214)&amp;"")</f>
        <v/>
      </c>
      <c r="K214" s="7">
        <f>IF($V214="","",SUMIFS('Per Line'!$R$2:$R$6001,'Per Line'!$C$2:$C$6001,$B214,'Per Line'!$AJ$2:$AJ$6001,1))</f>
        <v/>
      </c>
      <c r="L214">
        <f>IF($V214="","",Settings!$C$7)</f>
        <v/>
      </c>
      <c r="M214" s="7">
        <f>IF($V214="","",SUMIFS('Per Line'!$R$2:$R$6001,'Per Line'!$C$2:$C$6001,$B214,'Per Line'!$AI$2:$AI$6001,0,'Per Line'!$AJ$2:$AJ$6001,0))</f>
        <v/>
      </c>
      <c r="N214" s="7">
        <f>IF($V214="","",M214*L214)</f>
        <v/>
      </c>
      <c r="O214">
        <f>IF($V214="","",Settings!$C$6)</f>
        <v/>
      </c>
      <c r="P214" s="7">
        <f>IF($V214="","",SUMIFS('Per Line'!$R$2:$R$6001,'Per Line'!$C$2:$C$6001,$B214,'Per Line'!$AI$2:$AI$6001,1,'Per Line'!$AJ$2:$AJ$6001,0))</f>
        <v/>
      </c>
      <c r="Q214" s="7">
        <f>IF($V214="","",P214*O214)</f>
        <v/>
      </c>
      <c r="R214" s="7">
        <f>IF($V214="","",Q214+N214)</f>
        <v/>
      </c>
      <c r="S214" s="7">
        <f>IF($V214="","",T214-R214)</f>
        <v/>
      </c>
      <c r="T214" s="7">
        <f>IF($V214="","",M214+P214+K214)</f>
        <v/>
      </c>
      <c r="U214" s="7">
        <f>IF($V214="","",T214-R214-I214)</f>
        <v/>
      </c>
      <c r="V214" s="13">
        <f>IF(ROWS($V$2:$V214)&lt;=MAX('Per Line'!$AH$2:$AH$6001),MATCH(ROWS($V$2:$V214),'Per Line'!$AH$2:$AH$6001,0),"")</f>
        <v/>
      </c>
    </row>
    <row r="215">
      <c r="A215" s="12" t="n"/>
      <c r="B215">
        <f>IF($V215="","",INDEX('Per Line'!$C$2:$C$6001,$V215)&amp;"")</f>
        <v/>
      </c>
      <c r="C215" s="11">
        <f>IF($V215="","",INDEX('Per Line'!$D$2:$D$6001,$V215))</f>
        <v/>
      </c>
      <c r="D215">
        <f>IF($V215="","",INDEX('Per Line'!$E$2:$E$6001,$V215)&amp;"")</f>
        <v/>
      </c>
      <c r="E215">
        <f>IF($V215="","",INDEX('Per Line'!$G$2:$G$6001,$V215)&amp;"")</f>
        <v/>
      </c>
      <c r="F215">
        <f>IF($V215="","",INDEX('Per Line'!$H$2:$H$6001,$V215)&amp;"")</f>
        <v/>
      </c>
      <c r="G215">
        <f>IF($V215="","",INDEX('Per Line'!$I$2:$I$6001,$V215)&amp;"")</f>
        <v/>
      </c>
      <c r="H215">
        <f>IF($V215="","",INDEX('Per Line'!$J$2:$J$6001,$V215))</f>
        <v/>
      </c>
      <c r="I215" s="7">
        <f>IF($V215="","",H215*S215/100)</f>
        <v/>
      </c>
      <c r="J215">
        <f>IF($V215="","",INDEX('Per Line'!$S$2:$S$6001,$V215)&amp;"")</f>
        <v/>
      </c>
      <c r="K215" s="7">
        <f>IF($V215="","",SUMIFS('Per Line'!$R$2:$R$6001,'Per Line'!$C$2:$C$6001,$B215,'Per Line'!$AJ$2:$AJ$6001,1))</f>
        <v/>
      </c>
      <c r="L215">
        <f>IF($V215="","",Settings!$C$7)</f>
        <v/>
      </c>
      <c r="M215" s="7">
        <f>IF($V215="","",SUMIFS('Per Line'!$R$2:$R$6001,'Per Line'!$C$2:$C$6001,$B215,'Per Line'!$AI$2:$AI$6001,0,'Per Line'!$AJ$2:$AJ$6001,0))</f>
        <v/>
      </c>
      <c r="N215" s="7">
        <f>IF($V215="","",M215*L215)</f>
        <v/>
      </c>
      <c r="O215">
        <f>IF($V215="","",Settings!$C$6)</f>
        <v/>
      </c>
      <c r="P215" s="7">
        <f>IF($V215="","",SUMIFS('Per Line'!$R$2:$R$6001,'Per Line'!$C$2:$C$6001,$B215,'Per Line'!$AI$2:$AI$6001,1,'Per Line'!$AJ$2:$AJ$6001,0))</f>
        <v/>
      </c>
      <c r="Q215" s="7">
        <f>IF($V215="","",P215*O215)</f>
        <v/>
      </c>
      <c r="R215" s="7">
        <f>IF($V215="","",Q215+N215)</f>
        <v/>
      </c>
      <c r="S215" s="7">
        <f>IF($V215="","",T215-R215)</f>
        <v/>
      </c>
      <c r="T215" s="7">
        <f>IF($V215="","",M215+P215+K215)</f>
        <v/>
      </c>
      <c r="U215" s="7">
        <f>IF($V215="","",T215-R215-I215)</f>
        <v/>
      </c>
      <c r="V215" s="13">
        <f>IF(ROWS($V$2:$V215)&lt;=MAX('Per Line'!$AH$2:$AH$6001),MATCH(ROWS($V$2:$V215),'Per Line'!$AH$2:$AH$6001,0),"")</f>
        <v/>
      </c>
    </row>
    <row r="216">
      <c r="A216" s="12" t="n"/>
      <c r="B216">
        <f>IF($V216="","",INDEX('Per Line'!$C$2:$C$6001,$V216)&amp;"")</f>
        <v/>
      </c>
      <c r="C216" s="11">
        <f>IF($V216="","",INDEX('Per Line'!$D$2:$D$6001,$V216))</f>
        <v/>
      </c>
      <c r="D216">
        <f>IF($V216="","",INDEX('Per Line'!$E$2:$E$6001,$V216)&amp;"")</f>
        <v/>
      </c>
      <c r="E216">
        <f>IF($V216="","",INDEX('Per Line'!$G$2:$G$6001,$V216)&amp;"")</f>
        <v/>
      </c>
      <c r="F216">
        <f>IF($V216="","",INDEX('Per Line'!$H$2:$H$6001,$V216)&amp;"")</f>
        <v/>
      </c>
      <c r="G216">
        <f>IF($V216="","",INDEX('Per Line'!$I$2:$I$6001,$V216)&amp;"")</f>
        <v/>
      </c>
      <c r="H216">
        <f>IF($V216="","",INDEX('Per Line'!$J$2:$J$6001,$V216))</f>
        <v/>
      </c>
      <c r="I216" s="7">
        <f>IF($V216="","",H216*S216/100)</f>
        <v/>
      </c>
      <c r="J216">
        <f>IF($V216="","",INDEX('Per Line'!$S$2:$S$6001,$V216)&amp;"")</f>
        <v/>
      </c>
      <c r="K216" s="7">
        <f>IF($V216="","",SUMIFS('Per Line'!$R$2:$R$6001,'Per Line'!$C$2:$C$6001,$B216,'Per Line'!$AJ$2:$AJ$6001,1))</f>
        <v/>
      </c>
      <c r="L216">
        <f>IF($V216="","",Settings!$C$7)</f>
        <v/>
      </c>
      <c r="M216" s="7">
        <f>IF($V216="","",SUMIFS('Per Line'!$R$2:$R$6001,'Per Line'!$C$2:$C$6001,$B216,'Per Line'!$AI$2:$AI$6001,0,'Per Line'!$AJ$2:$AJ$6001,0))</f>
        <v/>
      </c>
      <c r="N216" s="7">
        <f>IF($V216="","",M216*L216)</f>
        <v/>
      </c>
      <c r="O216">
        <f>IF($V216="","",Settings!$C$6)</f>
        <v/>
      </c>
      <c r="P216" s="7">
        <f>IF($V216="","",SUMIFS('Per Line'!$R$2:$R$6001,'Per Line'!$C$2:$C$6001,$B216,'Per Line'!$AI$2:$AI$6001,1,'Per Line'!$AJ$2:$AJ$6001,0))</f>
        <v/>
      </c>
      <c r="Q216" s="7">
        <f>IF($V216="","",P216*O216)</f>
        <v/>
      </c>
      <c r="R216" s="7">
        <f>IF($V216="","",Q216+N216)</f>
        <v/>
      </c>
      <c r="S216" s="7">
        <f>IF($V216="","",T216-R216)</f>
        <v/>
      </c>
      <c r="T216" s="7">
        <f>IF($V216="","",M216+P216+K216)</f>
        <v/>
      </c>
      <c r="U216" s="7">
        <f>IF($V216="","",T216-R216-I216)</f>
        <v/>
      </c>
      <c r="V216" s="13">
        <f>IF(ROWS($V$2:$V216)&lt;=MAX('Per Line'!$AH$2:$AH$6001),MATCH(ROWS($V$2:$V216),'Per Line'!$AH$2:$AH$6001,0),"")</f>
        <v/>
      </c>
    </row>
    <row r="217">
      <c r="A217" s="12" t="n"/>
      <c r="B217">
        <f>IF($V217="","",INDEX('Per Line'!$C$2:$C$6001,$V217)&amp;"")</f>
        <v/>
      </c>
      <c r="C217" s="11">
        <f>IF($V217="","",INDEX('Per Line'!$D$2:$D$6001,$V217))</f>
        <v/>
      </c>
      <c r="D217">
        <f>IF($V217="","",INDEX('Per Line'!$E$2:$E$6001,$V217)&amp;"")</f>
        <v/>
      </c>
      <c r="E217">
        <f>IF($V217="","",INDEX('Per Line'!$G$2:$G$6001,$V217)&amp;"")</f>
        <v/>
      </c>
      <c r="F217">
        <f>IF($V217="","",INDEX('Per Line'!$H$2:$H$6001,$V217)&amp;"")</f>
        <v/>
      </c>
      <c r="G217">
        <f>IF($V217="","",INDEX('Per Line'!$I$2:$I$6001,$V217)&amp;"")</f>
        <v/>
      </c>
      <c r="H217">
        <f>IF($V217="","",INDEX('Per Line'!$J$2:$J$6001,$V217))</f>
        <v/>
      </c>
      <c r="I217" s="7">
        <f>IF($V217="","",H217*S217/100)</f>
        <v/>
      </c>
      <c r="J217">
        <f>IF($V217="","",INDEX('Per Line'!$S$2:$S$6001,$V217)&amp;"")</f>
        <v/>
      </c>
      <c r="K217" s="7">
        <f>IF($V217="","",SUMIFS('Per Line'!$R$2:$R$6001,'Per Line'!$C$2:$C$6001,$B217,'Per Line'!$AJ$2:$AJ$6001,1))</f>
        <v/>
      </c>
      <c r="L217">
        <f>IF($V217="","",Settings!$C$7)</f>
        <v/>
      </c>
      <c r="M217" s="7">
        <f>IF($V217="","",SUMIFS('Per Line'!$R$2:$R$6001,'Per Line'!$C$2:$C$6001,$B217,'Per Line'!$AI$2:$AI$6001,0,'Per Line'!$AJ$2:$AJ$6001,0))</f>
        <v/>
      </c>
      <c r="N217" s="7">
        <f>IF($V217="","",M217*L217)</f>
        <v/>
      </c>
      <c r="O217">
        <f>IF($V217="","",Settings!$C$6)</f>
        <v/>
      </c>
      <c r="P217" s="7">
        <f>IF($V217="","",SUMIFS('Per Line'!$R$2:$R$6001,'Per Line'!$C$2:$C$6001,$B217,'Per Line'!$AI$2:$AI$6001,1,'Per Line'!$AJ$2:$AJ$6001,0))</f>
        <v/>
      </c>
      <c r="Q217" s="7">
        <f>IF($V217="","",P217*O217)</f>
        <v/>
      </c>
      <c r="R217" s="7">
        <f>IF($V217="","",Q217+N217)</f>
        <v/>
      </c>
      <c r="S217" s="7">
        <f>IF($V217="","",T217-R217)</f>
        <v/>
      </c>
      <c r="T217" s="7">
        <f>IF($V217="","",M217+P217+K217)</f>
        <v/>
      </c>
      <c r="U217" s="7">
        <f>IF($V217="","",T217-R217-I217)</f>
        <v/>
      </c>
      <c r="V217" s="13">
        <f>IF(ROWS($V$2:$V217)&lt;=MAX('Per Line'!$AH$2:$AH$6001),MATCH(ROWS($V$2:$V217),'Per Line'!$AH$2:$AH$6001,0),"")</f>
        <v/>
      </c>
    </row>
    <row r="218">
      <c r="A218" s="12" t="n"/>
      <c r="B218">
        <f>IF($V218="","",INDEX('Per Line'!$C$2:$C$6001,$V218)&amp;"")</f>
        <v/>
      </c>
      <c r="C218" s="11">
        <f>IF($V218="","",INDEX('Per Line'!$D$2:$D$6001,$V218))</f>
        <v/>
      </c>
      <c r="D218">
        <f>IF($V218="","",INDEX('Per Line'!$E$2:$E$6001,$V218)&amp;"")</f>
        <v/>
      </c>
      <c r="E218">
        <f>IF($V218="","",INDEX('Per Line'!$G$2:$G$6001,$V218)&amp;"")</f>
        <v/>
      </c>
      <c r="F218">
        <f>IF($V218="","",INDEX('Per Line'!$H$2:$H$6001,$V218)&amp;"")</f>
        <v/>
      </c>
      <c r="G218">
        <f>IF($V218="","",INDEX('Per Line'!$I$2:$I$6001,$V218)&amp;"")</f>
        <v/>
      </c>
      <c r="H218">
        <f>IF($V218="","",INDEX('Per Line'!$J$2:$J$6001,$V218))</f>
        <v/>
      </c>
      <c r="I218" s="7">
        <f>IF($V218="","",H218*S218/100)</f>
        <v/>
      </c>
      <c r="J218">
        <f>IF($V218="","",INDEX('Per Line'!$S$2:$S$6001,$V218)&amp;"")</f>
        <v/>
      </c>
      <c r="K218" s="7">
        <f>IF($V218="","",SUMIFS('Per Line'!$R$2:$R$6001,'Per Line'!$C$2:$C$6001,$B218,'Per Line'!$AJ$2:$AJ$6001,1))</f>
        <v/>
      </c>
      <c r="L218">
        <f>IF($V218="","",Settings!$C$7)</f>
        <v/>
      </c>
      <c r="M218" s="7">
        <f>IF($V218="","",SUMIFS('Per Line'!$R$2:$R$6001,'Per Line'!$C$2:$C$6001,$B218,'Per Line'!$AI$2:$AI$6001,0,'Per Line'!$AJ$2:$AJ$6001,0))</f>
        <v/>
      </c>
      <c r="N218" s="7">
        <f>IF($V218="","",M218*L218)</f>
        <v/>
      </c>
      <c r="O218">
        <f>IF($V218="","",Settings!$C$6)</f>
        <v/>
      </c>
      <c r="P218" s="7">
        <f>IF($V218="","",SUMIFS('Per Line'!$R$2:$R$6001,'Per Line'!$C$2:$C$6001,$B218,'Per Line'!$AI$2:$AI$6001,1,'Per Line'!$AJ$2:$AJ$6001,0))</f>
        <v/>
      </c>
      <c r="Q218" s="7">
        <f>IF($V218="","",P218*O218)</f>
        <v/>
      </c>
      <c r="R218" s="7">
        <f>IF($V218="","",Q218+N218)</f>
        <v/>
      </c>
      <c r="S218" s="7">
        <f>IF($V218="","",T218-R218)</f>
        <v/>
      </c>
      <c r="T218" s="7">
        <f>IF($V218="","",M218+P218+K218)</f>
        <v/>
      </c>
      <c r="U218" s="7">
        <f>IF($V218="","",T218-R218-I218)</f>
        <v/>
      </c>
      <c r="V218" s="13">
        <f>IF(ROWS($V$2:$V218)&lt;=MAX('Per Line'!$AH$2:$AH$6001),MATCH(ROWS($V$2:$V218),'Per Line'!$AH$2:$AH$6001,0),"")</f>
        <v/>
      </c>
    </row>
    <row r="219">
      <c r="A219" s="12" t="n"/>
      <c r="B219">
        <f>IF($V219="","",INDEX('Per Line'!$C$2:$C$6001,$V219)&amp;"")</f>
        <v/>
      </c>
      <c r="C219" s="11">
        <f>IF($V219="","",INDEX('Per Line'!$D$2:$D$6001,$V219))</f>
        <v/>
      </c>
      <c r="D219">
        <f>IF($V219="","",INDEX('Per Line'!$E$2:$E$6001,$V219)&amp;"")</f>
        <v/>
      </c>
      <c r="E219">
        <f>IF($V219="","",INDEX('Per Line'!$G$2:$G$6001,$V219)&amp;"")</f>
        <v/>
      </c>
      <c r="F219">
        <f>IF($V219="","",INDEX('Per Line'!$H$2:$H$6001,$V219)&amp;"")</f>
        <v/>
      </c>
      <c r="G219">
        <f>IF($V219="","",INDEX('Per Line'!$I$2:$I$6001,$V219)&amp;"")</f>
        <v/>
      </c>
      <c r="H219">
        <f>IF($V219="","",INDEX('Per Line'!$J$2:$J$6001,$V219))</f>
        <v/>
      </c>
      <c r="I219" s="7">
        <f>IF($V219="","",H219*S219/100)</f>
        <v/>
      </c>
      <c r="J219">
        <f>IF($V219="","",INDEX('Per Line'!$S$2:$S$6001,$V219)&amp;"")</f>
        <v/>
      </c>
      <c r="K219" s="7">
        <f>IF($V219="","",SUMIFS('Per Line'!$R$2:$R$6001,'Per Line'!$C$2:$C$6001,$B219,'Per Line'!$AJ$2:$AJ$6001,1))</f>
        <v/>
      </c>
      <c r="L219">
        <f>IF($V219="","",Settings!$C$7)</f>
        <v/>
      </c>
      <c r="M219" s="7">
        <f>IF($V219="","",SUMIFS('Per Line'!$R$2:$R$6001,'Per Line'!$C$2:$C$6001,$B219,'Per Line'!$AI$2:$AI$6001,0,'Per Line'!$AJ$2:$AJ$6001,0))</f>
        <v/>
      </c>
      <c r="N219" s="7">
        <f>IF($V219="","",M219*L219)</f>
        <v/>
      </c>
      <c r="O219">
        <f>IF($V219="","",Settings!$C$6)</f>
        <v/>
      </c>
      <c r="P219" s="7">
        <f>IF($V219="","",SUMIFS('Per Line'!$R$2:$R$6001,'Per Line'!$C$2:$C$6001,$B219,'Per Line'!$AI$2:$AI$6001,1,'Per Line'!$AJ$2:$AJ$6001,0))</f>
        <v/>
      </c>
      <c r="Q219" s="7">
        <f>IF($V219="","",P219*O219)</f>
        <v/>
      </c>
      <c r="R219" s="7">
        <f>IF($V219="","",Q219+N219)</f>
        <v/>
      </c>
      <c r="S219" s="7">
        <f>IF($V219="","",T219-R219)</f>
        <v/>
      </c>
      <c r="T219" s="7">
        <f>IF($V219="","",M219+P219+K219)</f>
        <v/>
      </c>
      <c r="U219" s="7">
        <f>IF($V219="","",T219-R219-I219)</f>
        <v/>
      </c>
      <c r="V219" s="13">
        <f>IF(ROWS($V$2:$V219)&lt;=MAX('Per Line'!$AH$2:$AH$6001),MATCH(ROWS($V$2:$V219),'Per Line'!$AH$2:$AH$6001,0),"")</f>
        <v/>
      </c>
    </row>
    <row r="220">
      <c r="A220" s="12" t="n"/>
      <c r="B220">
        <f>IF($V220="","",INDEX('Per Line'!$C$2:$C$6001,$V220)&amp;"")</f>
        <v/>
      </c>
      <c r="C220" s="11">
        <f>IF($V220="","",INDEX('Per Line'!$D$2:$D$6001,$V220))</f>
        <v/>
      </c>
      <c r="D220">
        <f>IF($V220="","",INDEX('Per Line'!$E$2:$E$6001,$V220)&amp;"")</f>
        <v/>
      </c>
      <c r="E220">
        <f>IF($V220="","",INDEX('Per Line'!$G$2:$G$6001,$V220)&amp;"")</f>
        <v/>
      </c>
      <c r="F220">
        <f>IF($V220="","",INDEX('Per Line'!$H$2:$H$6001,$V220)&amp;"")</f>
        <v/>
      </c>
      <c r="G220">
        <f>IF($V220="","",INDEX('Per Line'!$I$2:$I$6001,$V220)&amp;"")</f>
        <v/>
      </c>
      <c r="H220">
        <f>IF($V220="","",INDEX('Per Line'!$J$2:$J$6001,$V220))</f>
        <v/>
      </c>
      <c r="I220" s="7">
        <f>IF($V220="","",H220*S220/100)</f>
        <v/>
      </c>
      <c r="J220">
        <f>IF($V220="","",INDEX('Per Line'!$S$2:$S$6001,$V220)&amp;"")</f>
        <v/>
      </c>
      <c r="K220" s="7">
        <f>IF($V220="","",SUMIFS('Per Line'!$R$2:$R$6001,'Per Line'!$C$2:$C$6001,$B220,'Per Line'!$AJ$2:$AJ$6001,1))</f>
        <v/>
      </c>
      <c r="L220">
        <f>IF($V220="","",Settings!$C$7)</f>
        <v/>
      </c>
      <c r="M220" s="7">
        <f>IF($V220="","",SUMIFS('Per Line'!$R$2:$R$6001,'Per Line'!$C$2:$C$6001,$B220,'Per Line'!$AI$2:$AI$6001,0,'Per Line'!$AJ$2:$AJ$6001,0))</f>
        <v/>
      </c>
      <c r="N220" s="7">
        <f>IF($V220="","",M220*L220)</f>
        <v/>
      </c>
      <c r="O220">
        <f>IF($V220="","",Settings!$C$6)</f>
        <v/>
      </c>
      <c r="P220" s="7">
        <f>IF($V220="","",SUMIFS('Per Line'!$R$2:$R$6001,'Per Line'!$C$2:$C$6001,$B220,'Per Line'!$AI$2:$AI$6001,1,'Per Line'!$AJ$2:$AJ$6001,0))</f>
        <v/>
      </c>
      <c r="Q220" s="7">
        <f>IF($V220="","",P220*O220)</f>
        <v/>
      </c>
      <c r="R220" s="7">
        <f>IF($V220="","",Q220+N220)</f>
        <v/>
      </c>
      <c r="S220" s="7">
        <f>IF($V220="","",T220-R220)</f>
        <v/>
      </c>
      <c r="T220" s="7">
        <f>IF($V220="","",M220+P220+K220)</f>
        <v/>
      </c>
      <c r="U220" s="7">
        <f>IF($V220="","",T220-R220-I220)</f>
        <v/>
      </c>
      <c r="V220" s="13">
        <f>IF(ROWS($V$2:$V220)&lt;=MAX('Per Line'!$AH$2:$AH$6001),MATCH(ROWS($V$2:$V220),'Per Line'!$AH$2:$AH$6001,0),"")</f>
        <v/>
      </c>
    </row>
    <row r="221">
      <c r="A221" s="12" t="n"/>
      <c r="B221">
        <f>IF($V221="","",INDEX('Per Line'!$C$2:$C$6001,$V221)&amp;"")</f>
        <v/>
      </c>
      <c r="C221" s="11">
        <f>IF($V221="","",INDEX('Per Line'!$D$2:$D$6001,$V221))</f>
        <v/>
      </c>
      <c r="D221">
        <f>IF($V221="","",INDEX('Per Line'!$E$2:$E$6001,$V221)&amp;"")</f>
        <v/>
      </c>
      <c r="E221">
        <f>IF($V221="","",INDEX('Per Line'!$G$2:$G$6001,$V221)&amp;"")</f>
        <v/>
      </c>
      <c r="F221">
        <f>IF($V221="","",INDEX('Per Line'!$H$2:$H$6001,$V221)&amp;"")</f>
        <v/>
      </c>
      <c r="G221">
        <f>IF($V221="","",INDEX('Per Line'!$I$2:$I$6001,$V221)&amp;"")</f>
        <v/>
      </c>
      <c r="H221">
        <f>IF($V221="","",INDEX('Per Line'!$J$2:$J$6001,$V221))</f>
        <v/>
      </c>
      <c r="I221" s="7">
        <f>IF($V221="","",H221*S221/100)</f>
        <v/>
      </c>
      <c r="J221">
        <f>IF($V221="","",INDEX('Per Line'!$S$2:$S$6001,$V221)&amp;"")</f>
        <v/>
      </c>
      <c r="K221" s="7">
        <f>IF($V221="","",SUMIFS('Per Line'!$R$2:$R$6001,'Per Line'!$C$2:$C$6001,$B221,'Per Line'!$AJ$2:$AJ$6001,1))</f>
        <v/>
      </c>
      <c r="L221">
        <f>IF($V221="","",Settings!$C$7)</f>
        <v/>
      </c>
      <c r="M221" s="7">
        <f>IF($V221="","",SUMIFS('Per Line'!$R$2:$R$6001,'Per Line'!$C$2:$C$6001,$B221,'Per Line'!$AI$2:$AI$6001,0,'Per Line'!$AJ$2:$AJ$6001,0))</f>
        <v/>
      </c>
      <c r="N221" s="7">
        <f>IF($V221="","",M221*L221)</f>
        <v/>
      </c>
      <c r="O221">
        <f>IF($V221="","",Settings!$C$6)</f>
        <v/>
      </c>
      <c r="P221" s="7">
        <f>IF($V221="","",SUMIFS('Per Line'!$R$2:$R$6001,'Per Line'!$C$2:$C$6001,$B221,'Per Line'!$AI$2:$AI$6001,1,'Per Line'!$AJ$2:$AJ$6001,0))</f>
        <v/>
      </c>
      <c r="Q221" s="7">
        <f>IF($V221="","",P221*O221)</f>
        <v/>
      </c>
      <c r="R221" s="7">
        <f>IF($V221="","",Q221+N221)</f>
        <v/>
      </c>
      <c r="S221" s="7">
        <f>IF($V221="","",T221-R221)</f>
        <v/>
      </c>
      <c r="T221" s="7">
        <f>IF($V221="","",M221+P221+K221)</f>
        <v/>
      </c>
      <c r="U221" s="7">
        <f>IF($V221="","",T221-R221-I221)</f>
        <v/>
      </c>
      <c r="V221" s="13">
        <f>IF(ROWS($V$2:$V221)&lt;=MAX('Per Line'!$AH$2:$AH$6001),MATCH(ROWS($V$2:$V221),'Per Line'!$AH$2:$AH$6001,0),"")</f>
        <v/>
      </c>
    </row>
    <row r="222">
      <c r="A222" s="12" t="n"/>
      <c r="B222">
        <f>IF($V222="","",INDEX('Per Line'!$C$2:$C$6001,$V222)&amp;"")</f>
        <v/>
      </c>
      <c r="C222" s="11">
        <f>IF($V222="","",INDEX('Per Line'!$D$2:$D$6001,$V222))</f>
        <v/>
      </c>
      <c r="D222">
        <f>IF($V222="","",INDEX('Per Line'!$E$2:$E$6001,$V222)&amp;"")</f>
        <v/>
      </c>
      <c r="E222">
        <f>IF($V222="","",INDEX('Per Line'!$G$2:$G$6001,$V222)&amp;"")</f>
        <v/>
      </c>
      <c r="F222">
        <f>IF($V222="","",INDEX('Per Line'!$H$2:$H$6001,$V222)&amp;"")</f>
        <v/>
      </c>
      <c r="G222">
        <f>IF($V222="","",INDEX('Per Line'!$I$2:$I$6001,$V222)&amp;"")</f>
        <v/>
      </c>
      <c r="H222">
        <f>IF($V222="","",INDEX('Per Line'!$J$2:$J$6001,$V222))</f>
        <v/>
      </c>
      <c r="I222" s="7">
        <f>IF($V222="","",H222*S222/100)</f>
        <v/>
      </c>
      <c r="J222">
        <f>IF($V222="","",INDEX('Per Line'!$S$2:$S$6001,$V222)&amp;"")</f>
        <v/>
      </c>
      <c r="K222" s="7">
        <f>IF($V222="","",SUMIFS('Per Line'!$R$2:$R$6001,'Per Line'!$C$2:$C$6001,$B222,'Per Line'!$AJ$2:$AJ$6001,1))</f>
        <v/>
      </c>
      <c r="L222">
        <f>IF($V222="","",Settings!$C$7)</f>
        <v/>
      </c>
      <c r="M222" s="7">
        <f>IF($V222="","",SUMIFS('Per Line'!$R$2:$R$6001,'Per Line'!$C$2:$C$6001,$B222,'Per Line'!$AI$2:$AI$6001,0,'Per Line'!$AJ$2:$AJ$6001,0))</f>
        <v/>
      </c>
      <c r="N222" s="7">
        <f>IF($V222="","",M222*L222)</f>
        <v/>
      </c>
      <c r="O222">
        <f>IF($V222="","",Settings!$C$6)</f>
        <v/>
      </c>
      <c r="P222" s="7">
        <f>IF($V222="","",SUMIFS('Per Line'!$R$2:$R$6001,'Per Line'!$C$2:$C$6001,$B222,'Per Line'!$AI$2:$AI$6001,1,'Per Line'!$AJ$2:$AJ$6001,0))</f>
        <v/>
      </c>
      <c r="Q222" s="7">
        <f>IF($V222="","",P222*O222)</f>
        <v/>
      </c>
      <c r="R222" s="7">
        <f>IF($V222="","",Q222+N222)</f>
        <v/>
      </c>
      <c r="S222" s="7">
        <f>IF($V222="","",T222-R222)</f>
        <v/>
      </c>
      <c r="T222" s="7">
        <f>IF($V222="","",M222+P222+K222)</f>
        <v/>
      </c>
      <c r="U222" s="7">
        <f>IF($V222="","",T222-R222-I222)</f>
        <v/>
      </c>
      <c r="V222" s="13">
        <f>IF(ROWS($V$2:$V222)&lt;=MAX('Per Line'!$AH$2:$AH$6001),MATCH(ROWS($V$2:$V222),'Per Line'!$AH$2:$AH$6001,0),"")</f>
        <v/>
      </c>
    </row>
    <row r="223">
      <c r="A223" s="12" t="n"/>
      <c r="B223">
        <f>IF($V223="","",INDEX('Per Line'!$C$2:$C$6001,$V223)&amp;"")</f>
        <v/>
      </c>
      <c r="C223" s="11">
        <f>IF($V223="","",INDEX('Per Line'!$D$2:$D$6001,$V223))</f>
        <v/>
      </c>
      <c r="D223">
        <f>IF($V223="","",INDEX('Per Line'!$E$2:$E$6001,$V223)&amp;"")</f>
        <v/>
      </c>
      <c r="E223">
        <f>IF($V223="","",INDEX('Per Line'!$G$2:$G$6001,$V223)&amp;"")</f>
        <v/>
      </c>
      <c r="F223">
        <f>IF($V223="","",INDEX('Per Line'!$H$2:$H$6001,$V223)&amp;"")</f>
        <v/>
      </c>
      <c r="G223">
        <f>IF($V223="","",INDEX('Per Line'!$I$2:$I$6001,$V223)&amp;"")</f>
        <v/>
      </c>
      <c r="H223">
        <f>IF($V223="","",INDEX('Per Line'!$J$2:$J$6001,$V223))</f>
        <v/>
      </c>
      <c r="I223" s="7">
        <f>IF($V223="","",H223*S223/100)</f>
        <v/>
      </c>
      <c r="J223">
        <f>IF($V223="","",INDEX('Per Line'!$S$2:$S$6001,$V223)&amp;"")</f>
        <v/>
      </c>
      <c r="K223" s="7">
        <f>IF($V223="","",SUMIFS('Per Line'!$R$2:$R$6001,'Per Line'!$C$2:$C$6001,$B223,'Per Line'!$AJ$2:$AJ$6001,1))</f>
        <v/>
      </c>
      <c r="L223">
        <f>IF($V223="","",Settings!$C$7)</f>
        <v/>
      </c>
      <c r="M223" s="7">
        <f>IF($V223="","",SUMIFS('Per Line'!$R$2:$R$6001,'Per Line'!$C$2:$C$6001,$B223,'Per Line'!$AI$2:$AI$6001,0,'Per Line'!$AJ$2:$AJ$6001,0))</f>
        <v/>
      </c>
      <c r="N223" s="7">
        <f>IF($V223="","",M223*L223)</f>
        <v/>
      </c>
      <c r="O223">
        <f>IF($V223="","",Settings!$C$6)</f>
        <v/>
      </c>
      <c r="P223" s="7">
        <f>IF($V223="","",SUMIFS('Per Line'!$R$2:$R$6001,'Per Line'!$C$2:$C$6001,$B223,'Per Line'!$AI$2:$AI$6001,1,'Per Line'!$AJ$2:$AJ$6001,0))</f>
        <v/>
      </c>
      <c r="Q223" s="7">
        <f>IF($V223="","",P223*O223)</f>
        <v/>
      </c>
      <c r="R223" s="7">
        <f>IF($V223="","",Q223+N223)</f>
        <v/>
      </c>
      <c r="S223" s="7">
        <f>IF($V223="","",T223-R223)</f>
        <v/>
      </c>
      <c r="T223" s="7">
        <f>IF($V223="","",M223+P223+K223)</f>
        <v/>
      </c>
      <c r="U223" s="7">
        <f>IF($V223="","",T223-R223-I223)</f>
        <v/>
      </c>
      <c r="V223" s="13">
        <f>IF(ROWS($V$2:$V223)&lt;=MAX('Per Line'!$AH$2:$AH$6001),MATCH(ROWS($V$2:$V223),'Per Line'!$AH$2:$AH$6001,0),"")</f>
        <v/>
      </c>
    </row>
    <row r="224">
      <c r="A224" s="12" t="n"/>
      <c r="B224">
        <f>IF($V224="","",INDEX('Per Line'!$C$2:$C$6001,$V224)&amp;"")</f>
        <v/>
      </c>
      <c r="C224" s="11">
        <f>IF($V224="","",INDEX('Per Line'!$D$2:$D$6001,$V224))</f>
        <v/>
      </c>
      <c r="D224">
        <f>IF($V224="","",INDEX('Per Line'!$E$2:$E$6001,$V224)&amp;"")</f>
        <v/>
      </c>
      <c r="E224">
        <f>IF($V224="","",INDEX('Per Line'!$G$2:$G$6001,$V224)&amp;"")</f>
        <v/>
      </c>
      <c r="F224">
        <f>IF($V224="","",INDEX('Per Line'!$H$2:$H$6001,$V224)&amp;"")</f>
        <v/>
      </c>
      <c r="G224">
        <f>IF($V224="","",INDEX('Per Line'!$I$2:$I$6001,$V224)&amp;"")</f>
        <v/>
      </c>
      <c r="H224">
        <f>IF($V224="","",INDEX('Per Line'!$J$2:$J$6001,$V224))</f>
        <v/>
      </c>
      <c r="I224" s="7">
        <f>IF($V224="","",H224*S224/100)</f>
        <v/>
      </c>
      <c r="J224">
        <f>IF($V224="","",INDEX('Per Line'!$S$2:$S$6001,$V224)&amp;"")</f>
        <v/>
      </c>
      <c r="K224" s="7">
        <f>IF($V224="","",SUMIFS('Per Line'!$R$2:$R$6001,'Per Line'!$C$2:$C$6001,$B224,'Per Line'!$AJ$2:$AJ$6001,1))</f>
        <v/>
      </c>
      <c r="L224">
        <f>IF($V224="","",Settings!$C$7)</f>
        <v/>
      </c>
      <c r="M224" s="7">
        <f>IF($V224="","",SUMIFS('Per Line'!$R$2:$R$6001,'Per Line'!$C$2:$C$6001,$B224,'Per Line'!$AI$2:$AI$6001,0,'Per Line'!$AJ$2:$AJ$6001,0))</f>
        <v/>
      </c>
      <c r="N224" s="7">
        <f>IF($V224="","",M224*L224)</f>
        <v/>
      </c>
      <c r="O224">
        <f>IF($V224="","",Settings!$C$6)</f>
        <v/>
      </c>
      <c r="P224" s="7">
        <f>IF($V224="","",SUMIFS('Per Line'!$R$2:$R$6001,'Per Line'!$C$2:$C$6001,$B224,'Per Line'!$AI$2:$AI$6001,1,'Per Line'!$AJ$2:$AJ$6001,0))</f>
        <v/>
      </c>
      <c r="Q224" s="7">
        <f>IF($V224="","",P224*O224)</f>
        <v/>
      </c>
      <c r="R224" s="7">
        <f>IF($V224="","",Q224+N224)</f>
        <v/>
      </c>
      <c r="S224" s="7">
        <f>IF($V224="","",T224-R224)</f>
        <v/>
      </c>
      <c r="T224" s="7">
        <f>IF($V224="","",M224+P224+K224)</f>
        <v/>
      </c>
      <c r="U224" s="7">
        <f>IF($V224="","",T224-R224-I224)</f>
        <v/>
      </c>
      <c r="V224" s="13">
        <f>IF(ROWS($V$2:$V224)&lt;=MAX('Per Line'!$AH$2:$AH$6001),MATCH(ROWS($V$2:$V224),'Per Line'!$AH$2:$AH$6001,0),"")</f>
        <v/>
      </c>
    </row>
    <row r="225">
      <c r="A225" s="12" t="n"/>
      <c r="B225">
        <f>IF($V225="","",INDEX('Per Line'!$C$2:$C$6001,$V225)&amp;"")</f>
        <v/>
      </c>
      <c r="C225" s="11">
        <f>IF($V225="","",INDEX('Per Line'!$D$2:$D$6001,$V225))</f>
        <v/>
      </c>
      <c r="D225">
        <f>IF($V225="","",INDEX('Per Line'!$E$2:$E$6001,$V225)&amp;"")</f>
        <v/>
      </c>
      <c r="E225">
        <f>IF($V225="","",INDEX('Per Line'!$G$2:$G$6001,$V225)&amp;"")</f>
        <v/>
      </c>
      <c r="F225">
        <f>IF($V225="","",INDEX('Per Line'!$H$2:$H$6001,$V225)&amp;"")</f>
        <v/>
      </c>
      <c r="G225">
        <f>IF($V225="","",INDEX('Per Line'!$I$2:$I$6001,$V225)&amp;"")</f>
        <v/>
      </c>
      <c r="H225">
        <f>IF($V225="","",INDEX('Per Line'!$J$2:$J$6001,$V225))</f>
        <v/>
      </c>
      <c r="I225" s="7">
        <f>IF($V225="","",H225*S225/100)</f>
        <v/>
      </c>
      <c r="J225">
        <f>IF($V225="","",INDEX('Per Line'!$S$2:$S$6001,$V225)&amp;"")</f>
        <v/>
      </c>
      <c r="K225" s="7">
        <f>IF($V225="","",SUMIFS('Per Line'!$R$2:$R$6001,'Per Line'!$C$2:$C$6001,$B225,'Per Line'!$AJ$2:$AJ$6001,1))</f>
        <v/>
      </c>
      <c r="L225">
        <f>IF($V225="","",Settings!$C$7)</f>
        <v/>
      </c>
      <c r="M225" s="7">
        <f>IF($V225="","",SUMIFS('Per Line'!$R$2:$R$6001,'Per Line'!$C$2:$C$6001,$B225,'Per Line'!$AI$2:$AI$6001,0,'Per Line'!$AJ$2:$AJ$6001,0))</f>
        <v/>
      </c>
      <c r="N225" s="7">
        <f>IF($V225="","",M225*L225)</f>
        <v/>
      </c>
      <c r="O225">
        <f>IF($V225="","",Settings!$C$6)</f>
        <v/>
      </c>
      <c r="P225" s="7">
        <f>IF($V225="","",SUMIFS('Per Line'!$R$2:$R$6001,'Per Line'!$C$2:$C$6001,$B225,'Per Line'!$AI$2:$AI$6001,1,'Per Line'!$AJ$2:$AJ$6001,0))</f>
        <v/>
      </c>
      <c r="Q225" s="7">
        <f>IF($V225="","",P225*O225)</f>
        <v/>
      </c>
      <c r="R225" s="7">
        <f>IF($V225="","",Q225+N225)</f>
        <v/>
      </c>
      <c r="S225" s="7">
        <f>IF($V225="","",T225-R225)</f>
        <v/>
      </c>
      <c r="T225" s="7">
        <f>IF($V225="","",M225+P225+K225)</f>
        <v/>
      </c>
      <c r="U225" s="7">
        <f>IF($V225="","",T225-R225-I225)</f>
        <v/>
      </c>
      <c r="V225" s="13">
        <f>IF(ROWS($V$2:$V225)&lt;=MAX('Per Line'!$AH$2:$AH$6001),MATCH(ROWS($V$2:$V225),'Per Line'!$AH$2:$AH$6001,0),"")</f>
        <v/>
      </c>
    </row>
    <row r="226">
      <c r="A226" s="12" t="n"/>
      <c r="B226">
        <f>IF($V226="","",INDEX('Per Line'!$C$2:$C$6001,$V226)&amp;"")</f>
        <v/>
      </c>
      <c r="C226" s="11">
        <f>IF($V226="","",INDEX('Per Line'!$D$2:$D$6001,$V226))</f>
        <v/>
      </c>
      <c r="D226">
        <f>IF($V226="","",INDEX('Per Line'!$E$2:$E$6001,$V226)&amp;"")</f>
        <v/>
      </c>
      <c r="E226">
        <f>IF($V226="","",INDEX('Per Line'!$G$2:$G$6001,$V226)&amp;"")</f>
        <v/>
      </c>
      <c r="F226">
        <f>IF($V226="","",INDEX('Per Line'!$H$2:$H$6001,$V226)&amp;"")</f>
        <v/>
      </c>
      <c r="G226">
        <f>IF($V226="","",INDEX('Per Line'!$I$2:$I$6001,$V226)&amp;"")</f>
        <v/>
      </c>
      <c r="H226">
        <f>IF($V226="","",INDEX('Per Line'!$J$2:$J$6001,$V226))</f>
        <v/>
      </c>
      <c r="I226" s="7">
        <f>IF($V226="","",H226*S226/100)</f>
        <v/>
      </c>
      <c r="J226">
        <f>IF($V226="","",INDEX('Per Line'!$S$2:$S$6001,$V226)&amp;"")</f>
        <v/>
      </c>
      <c r="K226" s="7">
        <f>IF($V226="","",SUMIFS('Per Line'!$R$2:$R$6001,'Per Line'!$C$2:$C$6001,$B226,'Per Line'!$AJ$2:$AJ$6001,1))</f>
        <v/>
      </c>
      <c r="L226">
        <f>IF($V226="","",Settings!$C$7)</f>
        <v/>
      </c>
      <c r="M226" s="7">
        <f>IF($V226="","",SUMIFS('Per Line'!$R$2:$R$6001,'Per Line'!$C$2:$C$6001,$B226,'Per Line'!$AI$2:$AI$6001,0,'Per Line'!$AJ$2:$AJ$6001,0))</f>
        <v/>
      </c>
      <c r="N226" s="7">
        <f>IF($V226="","",M226*L226)</f>
        <v/>
      </c>
      <c r="O226">
        <f>IF($V226="","",Settings!$C$6)</f>
        <v/>
      </c>
      <c r="P226" s="7">
        <f>IF($V226="","",SUMIFS('Per Line'!$R$2:$R$6001,'Per Line'!$C$2:$C$6001,$B226,'Per Line'!$AI$2:$AI$6001,1,'Per Line'!$AJ$2:$AJ$6001,0))</f>
        <v/>
      </c>
      <c r="Q226" s="7">
        <f>IF($V226="","",P226*O226)</f>
        <v/>
      </c>
      <c r="R226" s="7">
        <f>IF($V226="","",Q226+N226)</f>
        <v/>
      </c>
      <c r="S226" s="7">
        <f>IF($V226="","",T226-R226)</f>
        <v/>
      </c>
      <c r="T226" s="7">
        <f>IF($V226="","",M226+P226+K226)</f>
        <v/>
      </c>
      <c r="U226" s="7">
        <f>IF($V226="","",T226-R226-I226)</f>
        <v/>
      </c>
      <c r="V226" s="13">
        <f>IF(ROWS($V$2:$V226)&lt;=MAX('Per Line'!$AH$2:$AH$6001),MATCH(ROWS($V$2:$V226),'Per Line'!$AH$2:$AH$6001,0),"")</f>
        <v/>
      </c>
    </row>
    <row r="227">
      <c r="A227" s="12" t="n"/>
      <c r="B227">
        <f>IF($V227="","",INDEX('Per Line'!$C$2:$C$6001,$V227)&amp;"")</f>
        <v/>
      </c>
      <c r="C227" s="11">
        <f>IF($V227="","",INDEX('Per Line'!$D$2:$D$6001,$V227))</f>
        <v/>
      </c>
      <c r="D227">
        <f>IF($V227="","",INDEX('Per Line'!$E$2:$E$6001,$V227)&amp;"")</f>
        <v/>
      </c>
      <c r="E227">
        <f>IF($V227="","",INDEX('Per Line'!$G$2:$G$6001,$V227)&amp;"")</f>
        <v/>
      </c>
      <c r="F227">
        <f>IF($V227="","",INDEX('Per Line'!$H$2:$H$6001,$V227)&amp;"")</f>
        <v/>
      </c>
      <c r="G227">
        <f>IF($V227="","",INDEX('Per Line'!$I$2:$I$6001,$V227)&amp;"")</f>
        <v/>
      </c>
      <c r="H227">
        <f>IF($V227="","",INDEX('Per Line'!$J$2:$J$6001,$V227))</f>
        <v/>
      </c>
      <c r="I227" s="7">
        <f>IF($V227="","",H227*S227/100)</f>
        <v/>
      </c>
      <c r="J227">
        <f>IF($V227="","",INDEX('Per Line'!$S$2:$S$6001,$V227)&amp;"")</f>
        <v/>
      </c>
      <c r="K227" s="7">
        <f>IF($V227="","",SUMIFS('Per Line'!$R$2:$R$6001,'Per Line'!$C$2:$C$6001,$B227,'Per Line'!$AJ$2:$AJ$6001,1))</f>
        <v/>
      </c>
      <c r="L227">
        <f>IF($V227="","",Settings!$C$7)</f>
        <v/>
      </c>
      <c r="M227" s="7">
        <f>IF($V227="","",SUMIFS('Per Line'!$R$2:$R$6001,'Per Line'!$C$2:$C$6001,$B227,'Per Line'!$AI$2:$AI$6001,0,'Per Line'!$AJ$2:$AJ$6001,0))</f>
        <v/>
      </c>
      <c r="N227" s="7">
        <f>IF($V227="","",M227*L227)</f>
        <v/>
      </c>
      <c r="O227">
        <f>IF($V227="","",Settings!$C$6)</f>
        <v/>
      </c>
      <c r="P227" s="7">
        <f>IF($V227="","",SUMIFS('Per Line'!$R$2:$R$6001,'Per Line'!$C$2:$C$6001,$B227,'Per Line'!$AI$2:$AI$6001,1,'Per Line'!$AJ$2:$AJ$6001,0))</f>
        <v/>
      </c>
      <c r="Q227" s="7">
        <f>IF($V227="","",P227*O227)</f>
        <v/>
      </c>
      <c r="R227" s="7">
        <f>IF($V227="","",Q227+N227)</f>
        <v/>
      </c>
      <c r="S227" s="7">
        <f>IF($V227="","",T227-R227)</f>
        <v/>
      </c>
      <c r="T227" s="7">
        <f>IF($V227="","",M227+P227+K227)</f>
        <v/>
      </c>
      <c r="U227" s="7">
        <f>IF($V227="","",T227-R227-I227)</f>
        <v/>
      </c>
      <c r="V227" s="13">
        <f>IF(ROWS($V$2:$V227)&lt;=MAX('Per Line'!$AH$2:$AH$6001),MATCH(ROWS($V$2:$V227),'Per Line'!$AH$2:$AH$6001,0),"")</f>
        <v/>
      </c>
    </row>
    <row r="228">
      <c r="A228" s="12" t="n"/>
      <c r="B228">
        <f>IF($V228="","",INDEX('Per Line'!$C$2:$C$6001,$V228)&amp;"")</f>
        <v/>
      </c>
      <c r="C228" s="11">
        <f>IF($V228="","",INDEX('Per Line'!$D$2:$D$6001,$V228))</f>
        <v/>
      </c>
      <c r="D228">
        <f>IF($V228="","",INDEX('Per Line'!$E$2:$E$6001,$V228)&amp;"")</f>
        <v/>
      </c>
      <c r="E228">
        <f>IF($V228="","",INDEX('Per Line'!$G$2:$G$6001,$V228)&amp;"")</f>
        <v/>
      </c>
      <c r="F228">
        <f>IF($V228="","",INDEX('Per Line'!$H$2:$H$6001,$V228)&amp;"")</f>
        <v/>
      </c>
      <c r="G228">
        <f>IF($V228="","",INDEX('Per Line'!$I$2:$I$6001,$V228)&amp;"")</f>
        <v/>
      </c>
      <c r="H228">
        <f>IF($V228="","",INDEX('Per Line'!$J$2:$J$6001,$V228))</f>
        <v/>
      </c>
      <c r="I228" s="7">
        <f>IF($V228="","",H228*S228/100)</f>
        <v/>
      </c>
      <c r="J228">
        <f>IF($V228="","",INDEX('Per Line'!$S$2:$S$6001,$V228)&amp;"")</f>
        <v/>
      </c>
      <c r="K228" s="7">
        <f>IF($V228="","",SUMIFS('Per Line'!$R$2:$R$6001,'Per Line'!$C$2:$C$6001,$B228,'Per Line'!$AJ$2:$AJ$6001,1))</f>
        <v/>
      </c>
      <c r="L228">
        <f>IF($V228="","",Settings!$C$7)</f>
        <v/>
      </c>
      <c r="M228" s="7">
        <f>IF($V228="","",SUMIFS('Per Line'!$R$2:$R$6001,'Per Line'!$C$2:$C$6001,$B228,'Per Line'!$AI$2:$AI$6001,0,'Per Line'!$AJ$2:$AJ$6001,0))</f>
        <v/>
      </c>
      <c r="N228" s="7">
        <f>IF($V228="","",M228*L228)</f>
        <v/>
      </c>
      <c r="O228">
        <f>IF($V228="","",Settings!$C$6)</f>
        <v/>
      </c>
      <c r="P228" s="7">
        <f>IF($V228="","",SUMIFS('Per Line'!$R$2:$R$6001,'Per Line'!$C$2:$C$6001,$B228,'Per Line'!$AI$2:$AI$6001,1,'Per Line'!$AJ$2:$AJ$6001,0))</f>
        <v/>
      </c>
      <c r="Q228" s="7">
        <f>IF($V228="","",P228*O228)</f>
        <v/>
      </c>
      <c r="R228" s="7">
        <f>IF($V228="","",Q228+N228)</f>
        <v/>
      </c>
      <c r="S228" s="7">
        <f>IF($V228="","",T228-R228)</f>
        <v/>
      </c>
      <c r="T228" s="7">
        <f>IF($V228="","",M228+P228+K228)</f>
        <v/>
      </c>
      <c r="U228" s="7">
        <f>IF($V228="","",T228-R228-I228)</f>
        <v/>
      </c>
      <c r="V228" s="13">
        <f>IF(ROWS($V$2:$V228)&lt;=MAX('Per Line'!$AH$2:$AH$6001),MATCH(ROWS($V$2:$V228),'Per Line'!$AH$2:$AH$6001,0),"")</f>
        <v/>
      </c>
    </row>
    <row r="229">
      <c r="A229" s="12" t="n"/>
      <c r="B229">
        <f>IF($V229="","",INDEX('Per Line'!$C$2:$C$6001,$V229)&amp;"")</f>
        <v/>
      </c>
      <c r="C229" s="11">
        <f>IF($V229="","",INDEX('Per Line'!$D$2:$D$6001,$V229))</f>
        <v/>
      </c>
      <c r="D229">
        <f>IF($V229="","",INDEX('Per Line'!$E$2:$E$6001,$V229)&amp;"")</f>
        <v/>
      </c>
      <c r="E229">
        <f>IF($V229="","",INDEX('Per Line'!$G$2:$G$6001,$V229)&amp;"")</f>
        <v/>
      </c>
      <c r="F229">
        <f>IF($V229="","",INDEX('Per Line'!$H$2:$H$6001,$V229)&amp;"")</f>
        <v/>
      </c>
      <c r="G229">
        <f>IF($V229="","",INDEX('Per Line'!$I$2:$I$6001,$V229)&amp;"")</f>
        <v/>
      </c>
      <c r="H229">
        <f>IF($V229="","",INDEX('Per Line'!$J$2:$J$6001,$V229))</f>
        <v/>
      </c>
      <c r="I229" s="7">
        <f>IF($V229="","",H229*S229/100)</f>
        <v/>
      </c>
      <c r="J229">
        <f>IF($V229="","",INDEX('Per Line'!$S$2:$S$6001,$V229)&amp;"")</f>
        <v/>
      </c>
      <c r="K229" s="7">
        <f>IF($V229="","",SUMIFS('Per Line'!$R$2:$R$6001,'Per Line'!$C$2:$C$6001,$B229,'Per Line'!$AJ$2:$AJ$6001,1))</f>
        <v/>
      </c>
      <c r="L229">
        <f>IF($V229="","",Settings!$C$7)</f>
        <v/>
      </c>
      <c r="M229" s="7">
        <f>IF($V229="","",SUMIFS('Per Line'!$R$2:$R$6001,'Per Line'!$C$2:$C$6001,$B229,'Per Line'!$AI$2:$AI$6001,0,'Per Line'!$AJ$2:$AJ$6001,0))</f>
        <v/>
      </c>
      <c r="N229" s="7">
        <f>IF($V229="","",M229*L229)</f>
        <v/>
      </c>
      <c r="O229">
        <f>IF($V229="","",Settings!$C$6)</f>
        <v/>
      </c>
      <c r="P229" s="7">
        <f>IF($V229="","",SUMIFS('Per Line'!$R$2:$R$6001,'Per Line'!$C$2:$C$6001,$B229,'Per Line'!$AI$2:$AI$6001,1,'Per Line'!$AJ$2:$AJ$6001,0))</f>
        <v/>
      </c>
      <c r="Q229" s="7">
        <f>IF($V229="","",P229*O229)</f>
        <v/>
      </c>
      <c r="R229" s="7">
        <f>IF($V229="","",Q229+N229)</f>
        <v/>
      </c>
      <c r="S229" s="7">
        <f>IF($V229="","",T229-R229)</f>
        <v/>
      </c>
      <c r="T229" s="7">
        <f>IF($V229="","",M229+P229+K229)</f>
        <v/>
      </c>
      <c r="U229" s="7">
        <f>IF($V229="","",T229-R229-I229)</f>
        <v/>
      </c>
      <c r="V229" s="13">
        <f>IF(ROWS($V$2:$V229)&lt;=MAX('Per Line'!$AH$2:$AH$6001),MATCH(ROWS($V$2:$V229),'Per Line'!$AH$2:$AH$6001,0),"")</f>
        <v/>
      </c>
    </row>
    <row r="230">
      <c r="A230" s="12" t="n"/>
      <c r="B230">
        <f>IF($V230="","",INDEX('Per Line'!$C$2:$C$6001,$V230)&amp;"")</f>
        <v/>
      </c>
      <c r="C230" s="11">
        <f>IF($V230="","",INDEX('Per Line'!$D$2:$D$6001,$V230))</f>
        <v/>
      </c>
      <c r="D230">
        <f>IF($V230="","",INDEX('Per Line'!$E$2:$E$6001,$V230)&amp;"")</f>
        <v/>
      </c>
      <c r="E230">
        <f>IF($V230="","",INDEX('Per Line'!$G$2:$G$6001,$V230)&amp;"")</f>
        <v/>
      </c>
      <c r="F230">
        <f>IF($V230="","",INDEX('Per Line'!$H$2:$H$6001,$V230)&amp;"")</f>
        <v/>
      </c>
      <c r="G230">
        <f>IF($V230="","",INDEX('Per Line'!$I$2:$I$6001,$V230)&amp;"")</f>
        <v/>
      </c>
      <c r="H230">
        <f>IF($V230="","",INDEX('Per Line'!$J$2:$J$6001,$V230))</f>
        <v/>
      </c>
      <c r="I230" s="7">
        <f>IF($V230="","",H230*S230/100)</f>
        <v/>
      </c>
      <c r="J230">
        <f>IF($V230="","",INDEX('Per Line'!$S$2:$S$6001,$V230)&amp;"")</f>
        <v/>
      </c>
      <c r="K230" s="7">
        <f>IF($V230="","",SUMIFS('Per Line'!$R$2:$R$6001,'Per Line'!$C$2:$C$6001,$B230,'Per Line'!$AJ$2:$AJ$6001,1))</f>
        <v/>
      </c>
      <c r="L230">
        <f>IF($V230="","",Settings!$C$7)</f>
        <v/>
      </c>
      <c r="M230" s="7">
        <f>IF($V230="","",SUMIFS('Per Line'!$R$2:$R$6001,'Per Line'!$C$2:$C$6001,$B230,'Per Line'!$AI$2:$AI$6001,0,'Per Line'!$AJ$2:$AJ$6001,0))</f>
        <v/>
      </c>
      <c r="N230" s="7">
        <f>IF($V230="","",M230*L230)</f>
        <v/>
      </c>
      <c r="O230">
        <f>IF($V230="","",Settings!$C$6)</f>
        <v/>
      </c>
      <c r="P230" s="7">
        <f>IF($V230="","",SUMIFS('Per Line'!$R$2:$R$6001,'Per Line'!$C$2:$C$6001,$B230,'Per Line'!$AI$2:$AI$6001,1,'Per Line'!$AJ$2:$AJ$6001,0))</f>
        <v/>
      </c>
      <c r="Q230" s="7">
        <f>IF($V230="","",P230*O230)</f>
        <v/>
      </c>
      <c r="R230" s="7">
        <f>IF($V230="","",Q230+N230)</f>
        <v/>
      </c>
      <c r="S230" s="7">
        <f>IF($V230="","",T230-R230)</f>
        <v/>
      </c>
      <c r="T230" s="7">
        <f>IF($V230="","",M230+P230+K230)</f>
        <v/>
      </c>
      <c r="U230" s="7">
        <f>IF($V230="","",T230-R230-I230)</f>
        <v/>
      </c>
      <c r="V230" s="13">
        <f>IF(ROWS($V$2:$V230)&lt;=MAX('Per Line'!$AH$2:$AH$6001),MATCH(ROWS($V$2:$V230),'Per Line'!$AH$2:$AH$6001,0),"")</f>
        <v/>
      </c>
    </row>
    <row r="231">
      <c r="A231" s="12" t="n"/>
      <c r="B231">
        <f>IF($V231="","",INDEX('Per Line'!$C$2:$C$6001,$V231)&amp;"")</f>
        <v/>
      </c>
      <c r="C231" s="11">
        <f>IF($V231="","",INDEX('Per Line'!$D$2:$D$6001,$V231))</f>
        <v/>
      </c>
      <c r="D231">
        <f>IF($V231="","",INDEX('Per Line'!$E$2:$E$6001,$V231)&amp;"")</f>
        <v/>
      </c>
      <c r="E231">
        <f>IF($V231="","",INDEX('Per Line'!$G$2:$G$6001,$V231)&amp;"")</f>
        <v/>
      </c>
      <c r="F231">
        <f>IF($V231="","",INDEX('Per Line'!$H$2:$H$6001,$V231)&amp;"")</f>
        <v/>
      </c>
      <c r="G231">
        <f>IF($V231="","",INDEX('Per Line'!$I$2:$I$6001,$V231)&amp;"")</f>
        <v/>
      </c>
      <c r="H231">
        <f>IF($V231="","",INDEX('Per Line'!$J$2:$J$6001,$V231))</f>
        <v/>
      </c>
      <c r="I231" s="7">
        <f>IF($V231="","",H231*S231/100)</f>
        <v/>
      </c>
      <c r="J231">
        <f>IF($V231="","",INDEX('Per Line'!$S$2:$S$6001,$V231)&amp;"")</f>
        <v/>
      </c>
      <c r="K231" s="7">
        <f>IF($V231="","",SUMIFS('Per Line'!$R$2:$R$6001,'Per Line'!$C$2:$C$6001,$B231,'Per Line'!$AJ$2:$AJ$6001,1))</f>
        <v/>
      </c>
      <c r="L231">
        <f>IF($V231="","",Settings!$C$7)</f>
        <v/>
      </c>
      <c r="M231" s="7">
        <f>IF($V231="","",SUMIFS('Per Line'!$R$2:$R$6001,'Per Line'!$C$2:$C$6001,$B231,'Per Line'!$AI$2:$AI$6001,0,'Per Line'!$AJ$2:$AJ$6001,0))</f>
        <v/>
      </c>
      <c r="N231" s="7">
        <f>IF($V231="","",M231*L231)</f>
        <v/>
      </c>
      <c r="O231">
        <f>IF($V231="","",Settings!$C$6)</f>
        <v/>
      </c>
      <c r="P231" s="7">
        <f>IF($V231="","",SUMIFS('Per Line'!$R$2:$R$6001,'Per Line'!$C$2:$C$6001,$B231,'Per Line'!$AI$2:$AI$6001,1,'Per Line'!$AJ$2:$AJ$6001,0))</f>
        <v/>
      </c>
      <c r="Q231" s="7">
        <f>IF($V231="","",P231*O231)</f>
        <v/>
      </c>
      <c r="R231" s="7">
        <f>IF($V231="","",Q231+N231)</f>
        <v/>
      </c>
      <c r="S231" s="7">
        <f>IF($V231="","",T231-R231)</f>
        <v/>
      </c>
      <c r="T231" s="7">
        <f>IF($V231="","",M231+P231+K231)</f>
        <v/>
      </c>
      <c r="U231" s="7">
        <f>IF($V231="","",T231-R231-I231)</f>
        <v/>
      </c>
      <c r="V231" s="13">
        <f>IF(ROWS($V$2:$V231)&lt;=MAX('Per Line'!$AH$2:$AH$6001),MATCH(ROWS($V$2:$V231),'Per Line'!$AH$2:$AH$6001,0),"")</f>
        <v/>
      </c>
    </row>
    <row r="232">
      <c r="A232" s="12" t="n"/>
      <c r="B232">
        <f>IF($V232="","",INDEX('Per Line'!$C$2:$C$6001,$V232)&amp;"")</f>
        <v/>
      </c>
      <c r="C232" s="11">
        <f>IF($V232="","",INDEX('Per Line'!$D$2:$D$6001,$V232))</f>
        <v/>
      </c>
      <c r="D232">
        <f>IF($V232="","",INDEX('Per Line'!$E$2:$E$6001,$V232)&amp;"")</f>
        <v/>
      </c>
      <c r="E232">
        <f>IF($V232="","",INDEX('Per Line'!$G$2:$G$6001,$V232)&amp;"")</f>
        <v/>
      </c>
      <c r="F232">
        <f>IF($V232="","",INDEX('Per Line'!$H$2:$H$6001,$V232)&amp;"")</f>
        <v/>
      </c>
      <c r="G232">
        <f>IF($V232="","",INDEX('Per Line'!$I$2:$I$6001,$V232)&amp;"")</f>
        <v/>
      </c>
      <c r="H232">
        <f>IF($V232="","",INDEX('Per Line'!$J$2:$J$6001,$V232))</f>
        <v/>
      </c>
      <c r="I232" s="7">
        <f>IF($V232="","",H232*S232/100)</f>
        <v/>
      </c>
      <c r="J232">
        <f>IF($V232="","",INDEX('Per Line'!$S$2:$S$6001,$V232)&amp;"")</f>
        <v/>
      </c>
      <c r="K232" s="7">
        <f>IF($V232="","",SUMIFS('Per Line'!$R$2:$R$6001,'Per Line'!$C$2:$C$6001,$B232,'Per Line'!$AJ$2:$AJ$6001,1))</f>
        <v/>
      </c>
      <c r="L232">
        <f>IF($V232="","",Settings!$C$7)</f>
        <v/>
      </c>
      <c r="M232" s="7">
        <f>IF($V232="","",SUMIFS('Per Line'!$R$2:$R$6001,'Per Line'!$C$2:$C$6001,$B232,'Per Line'!$AI$2:$AI$6001,0,'Per Line'!$AJ$2:$AJ$6001,0))</f>
        <v/>
      </c>
      <c r="N232" s="7">
        <f>IF($V232="","",M232*L232)</f>
        <v/>
      </c>
      <c r="O232">
        <f>IF($V232="","",Settings!$C$6)</f>
        <v/>
      </c>
      <c r="P232" s="7">
        <f>IF($V232="","",SUMIFS('Per Line'!$R$2:$R$6001,'Per Line'!$C$2:$C$6001,$B232,'Per Line'!$AI$2:$AI$6001,1,'Per Line'!$AJ$2:$AJ$6001,0))</f>
        <v/>
      </c>
      <c r="Q232" s="7">
        <f>IF($V232="","",P232*O232)</f>
        <v/>
      </c>
      <c r="R232" s="7">
        <f>IF($V232="","",Q232+N232)</f>
        <v/>
      </c>
      <c r="S232" s="7">
        <f>IF($V232="","",T232-R232)</f>
        <v/>
      </c>
      <c r="T232" s="7">
        <f>IF($V232="","",M232+P232+K232)</f>
        <v/>
      </c>
      <c r="U232" s="7">
        <f>IF($V232="","",T232-R232-I232)</f>
        <v/>
      </c>
      <c r="V232" s="13">
        <f>IF(ROWS($V$2:$V232)&lt;=MAX('Per Line'!$AH$2:$AH$6001),MATCH(ROWS($V$2:$V232),'Per Line'!$AH$2:$AH$6001,0),"")</f>
        <v/>
      </c>
    </row>
    <row r="233">
      <c r="A233" s="12" t="n"/>
      <c r="B233">
        <f>IF($V233="","",INDEX('Per Line'!$C$2:$C$6001,$V233)&amp;"")</f>
        <v/>
      </c>
      <c r="C233" s="11">
        <f>IF($V233="","",INDEX('Per Line'!$D$2:$D$6001,$V233))</f>
        <v/>
      </c>
      <c r="D233">
        <f>IF($V233="","",INDEX('Per Line'!$E$2:$E$6001,$V233)&amp;"")</f>
        <v/>
      </c>
      <c r="E233">
        <f>IF($V233="","",INDEX('Per Line'!$G$2:$G$6001,$V233)&amp;"")</f>
        <v/>
      </c>
      <c r="F233">
        <f>IF($V233="","",INDEX('Per Line'!$H$2:$H$6001,$V233)&amp;"")</f>
        <v/>
      </c>
      <c r="G233">
        <f>IF($V233="","",INDEX('Per Line'!$I$2:$I$6001,$V233)&amp;"")</f>
        <v/>
      </c>
      <c r="H233">
        <f>IF($V233="","",INDEX('Per Line'!$J$2:$J$6001,$V233))</f>
        <v/>
      </c>
      <c r="I233" s="7">
        <f>IF($V233="","",H233*S233/100)</f>
        <v/>
      </c>
      <c r="J233">
        <f>IF($V233="","",INDEX('Per Line'!$S$2:$S$6001,$V233)&amp;"")</f>
        <v/>
      </c>
      <c r="K233" s="7">
        <f>IF($V233="","",SUMIFS('Per Line'!$R$2:$R$6001,'Per Line'!$C$2:$C$6001,$B233,'Per Line'!$AJ$2:$AJ$6001,1))</f>
        <v/>
      </c>
      <c r="L233">
        <f>IF($V233="","",Settings!$C$7)</f>
        <v/>
      </c>
      <c r="M233" s="7">
        <f>IF($V233="","",SUMIFS('Per Line'!$R$2:$R$6001,'Per Line'!$C$2:$C$6001,$B233,'Per Line'!$AI$2:$AI$6001,0,'Per Line'!$AJ$2:$AJ$6001,0))</f>
        <v/>
      </c>
      <c r="N233" s="7">
        <f>IF($V233="","",M233*L233)</f>
        <v/>
      </c>
      <c r="O233">
        <f>IF($V233="","",Settings!$C$6)</f>
        <v/>
      </c>
      <c r="P233" s="7">
        <f>IF($V233="","",SUMIFS('Per Line'!$R$2:$R$6001,'Per Line'!$C$2:$C$6001,$B233,'Per Line'!$AI$2:$AI$6001,1,'Per Line'!$AJ$2:$AJ$6001,0))</f>
        <v/>
      </c>
      <c r="Q233" s="7">
        <f>IF($V233="","",P233*O233)</f>
        <v/>
      </c>
      <c r="R233" s="7">
        <f>IF($V233="","",Q233+N233)</f>
        <v/>
      </c>
      <c r="S233" s="7">
        <f>IF($V233="","",T233-R233)</f>
        <v/>
      </c>
      <c r="T233" s="7">
        <f>IF($V233="","",M233+P233+K233)</f>
        <v/>
      </c>
      <c r="U233" s="7">
        <f>IF($V233="","",T233-R233-I233)</f>
        <v/>
      </c>
      <c r="V233" s="13">
        <f>IF(ROWS($V$2:$V233)&lt;=MAX('Per Line'!$AH$2:$AH$6001),MATCH(ROWS($V$2:$V233),'Per Line'!$AH$2:$AH$6001,0),"")</f>
        <v/>
      </c>
    </row>
    <row r="234">
      <c r="A234" s="12" t="n"/>
      <c r="B234">
        <f>IF($V234="","",INDEX('Per Line'!$C$2:$C$6001,$V234)&amp;"")</f>
        <v/>
      </c>
      <c r="C234" s="11">
        <f>IF($V234="","",INDEX('Per Line'!$D$2:$D$6001,$V234))</f>
        <v/>
      </c>
      <c r="D234">
        <f>IF($V234="","",INDEX('Per Line'!$E$2:$E$6001,$V234)&amp;"")</f>
        <v/>
      </c>
      <c r="E234">
        <f>IF($V234="","",INDEX('Per Line'!$G$2:$G$6001,$V234)&amp;"")</f>
        <v/>
      </c>
      <c r="F234">
        <f>IF($V234="","",INDEX('Per Line'!$H$2:$H$6001,$V234)&amp;"")</f>
        <v/>
      </c>
      <c r="G234">
        <f>IF($V234="","",INDEX('Per Line'!$I$2:$I$6001,$V234)&amp;"")</f>
        <v/>
      </c>
      <c r="H234">
        <f>IF($V234="","",INDEX('Per Line'!$J$2:$J$6001,$V234))</f>
        <v/>
      </c>
      <c r="I234" s="7">
        <f>IF($V234="","",H234*S234/100)</f>
        <v/>
      </c>
      <c r="J234">
        <f>IF($V234="","",INDEX('Per Line'!$S$2:$S$6001,$V234)&amp;"")</f>
        <v/>
      </c>
      <c r="K234" s="7">
        <f>IF($V234="","",SUMIFS('Per Line'!$R$2:$R$6001,'Per Line'!$C$2:$C$6001,$B234,'Per Line'!$AJ$2:$AJ$6001,1))</f>
        <v/>
      </c>
      <c r="L234">
        <f>IF($V234="","",Settings!$C$7)</f>
        <v/>
      </c>
      <c r="M234" s="7">
        <f>IF($V234="","",SUMIFS('Per Line'!$R$2:$R$6001,'Per Line'!$C$2:$C$6001,$B234,'Per Line'!$AI$2:$AI$6001,0,'Per Line'!$AJ$2:$AJ$6001,0))</f>
        <v/>
      </c>
      <c r="N234" s="7">
        <f>IF($V234="","",M234*L234)</f>
        <v/>
      </c>
      <c r="O234">
        <f>IF($V234="","",Settings!$C$6)</f>
        <v/>
      </c>
      <c r="P234" s="7">
        <f>IF($V234="","",SUMIFS('Per Line'!$R$2:$R$6001,'Per Line'!$C$2:$C$6001,$B234,'Per Line'!$AI$2:$AI$6001,1,'Per Line'!$AJ$2:$AJ$6001,0))</f>
        <v/>
      </c>
      <c r="Q234" s="7">
        <f>IF($V234="","",P234*O234)</f>
        <v/>
      </c>
      <c r="R234" s="7">
        <f>IF($V234="","",Q234+N234)</f>
        <v/>
      </c>
      <c r="S234" s="7">
        <f>IF($V234="","",T234-R234)</f>
        <v/>
      </c>
      <c r="T234" s="7">
        <f>IF($V234="","",M234+P234+K234)</f>
        <v/>
      </c>
      <c r="U234" s="7">
        <f>IF($V234="","",T234-R234-I234)</f>
        <v/>
      </c>
      <c r="V234" s="13">
        <f>IF(ROWS($V$2:$V234)&lt;=MAX('Per Line'!$AH$2:$AH$6001),MATCH(ROWS($V$2:$V234),'Per Line'!$AH$2:$AH$6001,0),"")</f>
        <v/>
      </c>
    </row>
    <row r="235">
      <c r="A235" s="12" t="n"/>
      <c r="B235">
        <f>IF($V235="","",INDEX('Per Line'!$C$2:$C$6001,$V235)&amp;"")</f>
        <v/>
      </c>
      <c r="C235" s="11">
        <f>IF($V235="","",INDEX('Per Line'!$D$2:$D$6001,$V235))</f>
        <v/>
      </c>
      <c r="D235">
        <f>IF($V235="","",INDEX('Per Line'!$E$2:$E$6001,$V235)&amp;"")</f>
        <v/>
      </c>
      <c r="E235">
        <f>IF($V235="","",INDEX('Per Line'!$G$2:$G$6001,$V235)&amp;"")</f>
        <v/>
      </c>
      <c r="F235">
        <f>IF($V235="","",INDEX('Per Line'!$H$2:$H$6001,$V235)&amp;"")</f>
        <v/>
      </c>
      <c r="G235">
        <f>IF($V235="","",INDEX('Per Line'!$I$2:$I$6001,$V235)&amp;"")</f>
        <v/>
      </c>
      <c r="H235">
        <f>IF($V235="","",INDEX('Per Line'!$J$2:$J$6001,$V235))</f>
        <v/>
      </c>
      <c r="I235" s="7">
        <f>IF($V235="","",H235*S235/100)</f>
        <v/>
      </c>
      <c r="J235">
        <f>IF($V235="","",INDEX('Per Line'!$S$2:$S$6001,$V235)&amp;"")</f>
        <v/>
      </c>
      <c r="K235" s="7">
        <f>IF($V235="","",SUMIFS('Per Line'!$R$2:$R$6001,'Per Line'!$C$2:$C$6001,$B235,'Per Line'!$AJ$2:$AJ$6001,1))</f>
        <v/>
      </c>
      <c r="L235">
        <f>IF($V235="","",Settings!$C$7)</f>
        <v/>
      </c>
      <c r="M235" s="7">
        <f>IF($V235="","",SUMIFS('Per Line'!$R$2:$R$6001,'Per Line'!$C$2:$C$6001,$B235,'Per Line'!$AI$2:$AI$6001,0,'Per Line'!$AJ$2:$AJ$6001,0))</f>
        <v/>
      </c>
      <c r="N235" s="7">
        <f>IF($V235="","",M235*L235)</f>
        <v/>
      </c>
      <c r="O235">
        <f>IF($V235="","",Settings!$C$6)</f>
        <v/>
      </c>
      <c r="P235" s="7">
        <f>IF($V235="","",SUMIFS('Per Line'!$R$2:$R$6001,'Per Line'!$C$2:$C$6001,$B235,'Per Line'!$AI$2:$AI$6001,1,'Per Line'!$AJ$2:$AJ$6001,0))</f>
        <v/>
      </c>
      <c r="Q235" s="7">
        <f>IF($V235="","",P235*O235)</f>
        <v/>
      </c>
      <c r="R235" s="7">
        <f>IF($V235="","",Q235+N235)</f>
        <v/>
      </c>
      <c r="S235" s="7">
        <f>IF($V235="","",T235-R235)</f>
        <v/>
      </c>
      <c r="T235" s="7">
        <f>IF($V235="","",M235+P235+K235)</f>
        <v/>
      </c>
      <c r="U235" s="7">
        <f>IF($V235="","",T235-R235-I235)</f>
        <v/>
      </c>
      <c r="V235" s="13">
        <f>IF(ROWS($V$2:$V235)&lt;=MAX('Per Line'!$AH$2:$AH$6001),MATCH(ROWS($V$2:$V235),'Per Line'!$AH$2:$AH$6001,0),"")</f>
        <v/>
      </c>
    </row>
    <row r="236">
      <c r="A236" s="12" t="n"/>
      <c r="B236">
        <f>IF($V236="","",INDEX('Per Line'!$C$2:$C$6001,$V236)&amp;"")</f>
        <v/>
      </c>
      <c r="C236" s="11">
        <f>IF($V236="","",INDEX('Per Line'!$D$2:$D$6001,$V236))</f>
        <v/>
      </c>
      <c r="D236">
        <f>IF($V236="","",INDEX('Per Line'!$E$2:$E$6001,$V236)&amp;"")</f>
        <v/>
      </c>
      <c r="E236">
        <f>IF($V236="","",INDEX('Per Line'!$G$2:$G$6001,$V236)&amp;"")</f>
        <v/>
      </c>
      <c r="F236">
        <f>IF($V236="","",INDEX('Per Line'!$H$2:$H$6001,$V236)&amp;"")</f>
        <v/>
      </c>
      <c r="G236">
        <f>IF($V236="","",INDEX('Per Line'!$I$2:$I$6001,$V236)&amp;"")</f>
        <v/>
      </c>
      <c r="H236">
        <f>IF($V236="","",INDEX('Per Line'!$J$2:$J$6001,$V236))</f>
        <v/>
      </c>
      <c r="I236" s="7">
        <f>IF($V236="","",H236*S236/100)</f>
        <v/>
      </c>
      <c r="J236">
        <f>IF($V236="","",INDEX('Per Line'!$S$2:$S$6001,$V236)&amp;"")</f>
        <v/>
      </c>
      <c r="K236" s="7">
        <f>IF($V236="","",SUMIFS('Per Line'!$R$2:$R$6001,'Per Line'!$C$2:$C$6001,$B236,'Per Line'!$AJ$2:$AJ$6001,1))</f>
        <v/>
      </c>
      <c r="L236">
        <f>IF($V236="","",Settings!$C$7)</f>
        <v/>
      </c>
      <c r="M236" s="7">
        <f>IF($V236="","",SUMIFS('Per Line'!$R$2:$R$6001,'Per Line'!$C$2:$C$6001,$B236,'Per Line'!$AI$2:$AI$6001,0,'Per Line'!$AJ$2:$AJ$6001,0))</f>
        <v/>
      </c>
      <c r="N236" s="7">
        <f>IF($V236="","",M236*L236)</f>
        <v/>
      </c>
      <c r="O236">
        <f>IF($V236="","",Settings!$C$6)</f>
        <v/>
      </c>
      <c r="P236" s="7">
        <f>IF($V236="","",SUMIFS('Per Line'!$R$2:$R$6001,'Per Line'!$C$2:$C$6001,$B236,'Per Line'!$AI$2:$AI$6001,1,'Per Line'!$AJ$2:$AJ$6001,0))</f>
        <v/>
      </c>
      <c r="Q236" s="7">
        <f>IF($V236="","",P236*O236)</f>
        <v/>
      </c>
      <c r="R236" s="7">
        <f>IF($V236="","",Q236+N236)</f>
        <v/>
      </c>
      <c r="S236" s="7">
        <f>IF($V236="","",T236-R236)</f>
        <v/>
      </c>
      <c r="T236" s="7">
        <f>IF($V236="","",M236+P236+K236)</f>
        <v/>
      </c>
      <c r="U236" s="7">
        <f>IF($V236="","",T236-R236-I236)</f>
        <v/>
      </c>
      <c r="V236" s="13">
        <f>IF(ROWS($V$2:$V236)&lt;=MAX('Per Line'!$AH$2:$AH$6001),MATCH(ROWS($V$2:$V236),'Per Line'!$AH$2:$AH$6001,0),"")</f>
        <v/>
      </c>
    </row>
    <row r="237">
      <c r="A237" s="12" t="n"/>
      <c r="B237">
        <f>IF($V237="","",INDEX('Per Line'!$C$2:$C$6001,$V237)&amp;"")</f>
        <v/>
      </c>
      <c r="C237" s="11">
        <f>IF($V237="","",INDEX('Per Line'!$D$2:$D$6001,$V237))</f>
        <v/>
      </c>
      <c r="D237">
        <f>IF($V237="","",INDEX('Per Line'!$E$2:$E$6001,$V237)&amp;"")</f>
        <v/>
      </c>
      <c r="E237">
        <f>IF($V237="","",INDEX('Per Line'!$G$2:$G$6001,$V237)&amp;"")</f>
        <v/>
      </c>
      <c r="F237">
        <f>IF($V237="","",INDEX('Per Line'!$H$2:$H$6001,$V237)&amp;"")</f>
        <v/>
      </c>
      <c r="G237">
        <f>IF($V237="","",INDEX('Per Line'!$I$2:$I$6001,$V237)&amp;"")</f>
        <v/>
      </c>
      <c r="H237">
        <f>IF($V237="","",INDEX('Per Line'!$J$2:$J$6001,$V237))</f>
        <v/>
      </c>
      <c r="I237" s="7">
        <f>IF($V237="","",H237*S237/100)</f>
        <v/>
      </c>
      <c r="J237">
        <f>IF($V237="","",INDEX('Per Line'!$S$2:$S$6001,$V237)&amp;"")</f>
        <v/>
      </c>
      <c r="K237" s="7">
        <f>IF($V237="","",SUMIFS('Per Line'!$R$2:$R$6001,'Per Line'!$C$2:$C$6001,$B237,'Per Line'!$AJ$2:$AJ$6001,1))</f>
        <v/>
      </c>
      <c r="L237">
        <f>IF($V237="","",Settings!$C$7)</f>
        <v/>
      </c>
      <c r="M237" s="7">
        <f>IF($V237="","",SUMIFS('Per Line'!$R$2:$R$6001,'Per Line'!$C$2:$C$6001,$B237,'Per Line'!$AI$2:$AI$6001,0,'Per Line'!$AJ$2:$AJ$6001,0))</f>
        <v/>
      </c>
      <c r="N237" s="7">
        <f>IF($V237="","",M237*L237)</f>
        <v/>
      </c>
      <c r="O237">
        <f>IF($V237="","",Settings!$C$6)</f>
        <v/>
      </c>
      <c r="P237" s="7">
        <f>IF($V237="","",SUMIFS('Per Line'!$R$2:$R$6001,'Per Line'!$C$2:$C$6001,$B237,'Per Line'!$AI$2:$AI$6001,1,'Per Line'!$AJ$2:$AJ$6001,0))</f>
        <v/>
      </c>
      <c r="Q237" s="7">
        <f>IF($V237="","",P237*O237)</f>
        <v/>
      </c>
      <c r="R237" s="7">
        <f>IF($V237="","",Q237+N237)</f>
        <v/>
      </c>
      <c r="S237" s="7">
        <f>IF($V237="","",T237-R237)</f>
        <v/>
      </c>
      <c r="T237" s="7">
        <f>IF($V237="","",M237+P237+K237)</f>
        <v/>
      </c>
      <c r="U237" s="7">
        <f>IF($V237="","",T237-R237-I237)</f>
        <v/>
      </c>
      <c r="V237" s="13">
        <f>IF(ROWS($V$2:$V237)&lt;=MAX('Per Line'!$AH$2:$AH$6001),MATCH(ROWS($V$2:$V237),'Per Line'!$AH$2:$AH$6001,0),"")</f>
        <v/>
      </c>
    </row>
    <row r="238">
      <c r="A238" s="12" t="n"/>
      <c r="B238">
        <f>IF($V238="","",INDEX('Per Line'!$C$2:$C$6001,$V238)&amp;"")</f>
        <v/>
      </c>
      <c r="C238" s="11">
        <f>IF($V238="","",INDEX('Per Line'!$D$2:$D$6001,$V238))</f>
        <v/>
      </c>
      <c r="D238">
        <f>IF($V238="","",INDEX('Per Line'!$E$2:$E$6001,$V238)&amp;"")</f>
        <v/>
      </c>
      <c r="E238">
        <f>IF($V238="","",INDEX('Per Line'!$G$2:$G$6001,$V238)&amp;"")</f>
        <v/>
      </c>
      <c r="F238">
        <f>IF($V238="","",INDEX('Per Line'!$H$2:$H$6001,$V238)&amp;"")</f>
        <v/>
      </c>
      <c r="G238">
        <f>IF($V238="","",INDEX('Per Line'!$I$2:$I$6001,$V238)&amp;"")</f>
        <v/>
      </c>
      <c r="H238">
        <f>IF($V238="","",INDEX('Per Line'!$J$2:$J$6001,$V238))</f>
        <v/>
      </c>
      <c r="I238" s="7">
        <f>IF($V238="","",H238*S238/100)</f>
        <v/>
      </c>
      <c r="J238">
        <f>IF($V238="","",INDEX('Per Line'!$S$2:$S$6001,$V238)&amp;"")</f>
        <v/>
      </c>
      <c r="K238" s="7">
        <f>IF($V238="","",SUMIFS('Per Line'!$R$2:$R$6001,'Per Line'!$C$2:$C$6001,$B238,'Per Line'!$AJ$2:$AJ$6001,1))</f>
        <v/>
      </c>
      <c r="L238">
        <f>IF($V238="","",Settings!$C$7)</f>
        <v/>
      </c>
      <c r="M238" s="7">
        <f>IF($V238="","",SUMIFS('Per Line'!$R$2:$R$6001,'Per Line'!$C$2:$C$6001,$B238,'Per Line'!$AI$2:$AI$6001,0,'Per Line'!$AJ$2:$AJ$6001,0))</f>
        <v/>
      </c>
      <c r="N238" s="7">
        <f>IF($V238="","",M238*L238)</f>
        <v/>
      </c>
      <c r="O238">
        <f>IF($V238="","",Settings!$C$6)</f>
        <v/>
      </c>
      <c r="P238" s="7">
        <f>IF($V238="","",SUMIFS('Per Line'!$R$2:$R$6001,'Per Line'!$C$2:$C$6001,$B238,'Per Line'!$AI$2:$AI$6001,1,'Per Line'!$AJ$2:$AJ$6001,0))</f>
        <v/>
      </c>
      <c r="Q238" s="7">
        <f>IF($V238="","",P238*O238)</f>
        <v/>
      </c>
      <c r="R238" s="7">
        <f>IF($V238="","",Q238+N238)</f>
        <v/>
      </c>
      <c r="S238" s="7">
        <f>IF($V238="","",T238-R238)</f>
        <v/>
      </c>
      <c r="T238" s="7">
        <f>IF($V238="","",M238+P238+K238)</f>
        <v/>
      </c>
      <c r="U238" s="7">
        <f>IF($V238="","",T238-R238-I238)</f>
        <v/>
      </c>
      <c r="V238" s="13">
        <f>IF(ROWS($V$2:$V238)&lt;=MAX('Per Line'!$AH$2:$AH$6001),MATCH(ROWS($V$2:$V238),'Per Line'!$AH$2:$AH$6001,0),"")</f>
        <v/>
      </c>
    </row>
    <row r="239">
      <c r="A239" s="12" t="n"/>
      <c r="B239">
        <f>IF($V239="","",INDEX('Per Line'!$C$2:$C$6001,$V239)&amp;"")</f>
        <v/>
      </c>
      <c r="C239" s="11">
        <f>IF($V239="","",INDEX('Per Line'!$D$2:$D$6001,$V239))</f>
        <v/>
      </c>
      <c r="D239">
        <f>IF($V239="","",INDEX('Per Line'!$E$2:$E$6001,$V239)&amp;"")</f>
        <v/>
      </c>
      <c r="E239">
        <f>IF($V239="","",INDEX('Per Line'!$G$2:$G$6001,$V239)&amp;"")</f>
        <v/>
      </c>
      <c r="F239">
        <f>IF($V239="","",INDEX('Per Line'!$H$2:$H$6001,$V239)&amp;"")</f>
        <v/>
      </c>
      <c r="G239">
        <f>IF($V239="","",INDEX('Per Line'!$I$2:$I$6001,$V239)&amp;"")</f>
        <v/>
      </c>
      <c r="H239">
        <f>IF($V239="","",INDEX('Per Line'!$J$2:$J$6001,$V239))</f>
        <v/>
      </c>
      <c r="I239" s="7">
        <f>IF($V239="","",H239*S239/100)</f>
        <v/>
      </c>
      <c r="J239">
        <f>IF($V239="","",INDEX('Per Line'!$S$2:$S$6001,$V239)&amp;"")</f>
        <v/>
      </c>
      <c r="K239" s="7">
        <f>IF($V239="","",SUMIFS('Per Line'!$R$2:$R$6001,'Per Line'!$C$2:$C$6001,$B239,'Per Line'!$AJ$2:$AJ$6001,1))</f>
        <v/>
      </c>
      <c r="L239">
        <f>IF($V239="","",Settings!$C$7)</f>
        <v/>
      </c>
      <c r="M239" s="7">
        <f>IF($V239="","",SUMIFS('Per Line'!$R$2:$R$6001,'Per Line'!$C$2:$C$6001,$B239,'Per Line'!$AI$2:$AI$6001,0,'Per Line'!$AJ$2:$AJ$6001,0))</f>
        <v/>
      </c>
      <c r="N239" s="7">
        <f>IF($V239="","",M239*L239)</f>
        <v/>
      </c>
      <c r="O239">
        <f>IF($V239="","",Settings!$C$6)</f>
        <v/>
      </c>
      <c r="P239" s="7">
        <f>IF($V239="","",SUMIFS('Per Line'!$R$2:$R$6001,'Per Line'!$C$2:$C$6001,$B239,'Per Line'!$AI$2:$AI$6001,1,'Per Line'!$AJ$2:$AJ$6001,0))</f>
        <v/>
      </c>
      <c r="Q239" s="7">
        <f>IF($V239="","",P239*O239)</f>
        <v/>
      </c>
      <c r="R239" s="7">
        <f>IF($V239="","",Q239+N239)</f>
        <v/>
      </c>
      <c r="S239" s="7">
        <f>IF($V239="","",T239-R239)</f>
        <v/>
      </c>
      <c r="T239" s="7">
        <f>IF($V239="","",M239+P239+K239)</f>
        <v/>
      </c>
      <c r="U239" s="7">
        <f>IF($V239="","",T239-R239-I239)</f>
        <v/>
      </c>
      <c r="V239" s="13">
        <f>IF(ROWS($V$2:$V239)&lt;=MAX('Per Line'!$AH$2:$AH$6001),MATCH(ROWS($V$2:$V239),'Per Line'!$AH$2:$AH$6001,0),"")</f>
        <v/>
      </c>
    </row>
    <row r="240">
      <c r="A240" s="12" t="n"/>
      <c r="B240">
        <f>IF($V240="","",INDEX('Per Line'!$C$2:$C$6001,$V240)&amp;"")</f>
        <v/>
      </c>
      <c r="C240" s="11">
        <f>IF($V240="","",INDEX('Per Line'!$D$2:$D$6001,$V240))</f>
        <v/>
      </c>
      <c r="D240">
        <f>IF($V240="","",INDEX('Per Line'!$E$2:$E$6001,$V240)&amp;"")</f>
        <v/>
      </c>
      <c r="E240">
        <f>IF($V240="","",INDEX('Per Line'!$G$2:$G$6001,$V240)&amp;"")</f>
        <v/>
      </c>
      <c r="F240">
        <f>IF($V240="","",INDEX('Per Line'!$H$2:$H$6001,$V240)&amp;"")</f>
        <v/>
      </c>
      <c r="G240">
        <f>IF($V240="","",INDEX('Per Line'!$I$2:$I$6001,$V240)&amp;"")</f>
        <v/>
      </c>
      <c r="H240">
        <f>IF($V240="","",INDEX('Per Line'!$J$2:$J$6001,$V240))</f>
        <v/>
      </c>
      <c r="I240" s="7">
        <f>IF($V240="","",H240*S240/100)</f>
        <v/>
      </c>
      <c r="J240">
        <f>IF($V240="","",INDEX('Per Line'!$S$2:$S$6001,$V240)&amp;"")</f>
        <v/>
      </c>
      <c r="K240" s="7">
        <f>IF($V240="","",SUMIFS('Per Line'!$R$2:$R$6001,'Per Line'!$C$2:$C$6001,$B240,'Per Line'!$AJ$2:$AJ$6001,1))</f>
        <v/>
      </c>
      <c r="L240">
        <f>IF($V240="","",Settings!$C$7)</f>
        <v/>
      </c>
      <c r="M240" s="7">
        <f>IF($V240="","",SUMIFS('Per Line'!$R$2:$R$6001,'Per Line'!$C$2:$C$6001,$B240,'Per Line'!$AI$2:$AI$6001,0,'Per Line'!$AJ$2:$AJ$6001,0))</f>
        <v/>
      </c>
      <c r="N240" s="7">
        <f>IF($V240="","",M240*L240)</f>
        <v/>
      </c>
      <c r="O240">
        <f>IF($V240="","",Settings!$C$6)</f>
        <v/>
      </c>
      <c r="P240" s="7">
        <f>IF($V240="","",SUMIFS('Per Line'!$R$2:$R$6001,'Per Line'!$C$2:$C$6001,$B240,'Per Line'!$AI$2:$AI$6001,1,'Per Line'!$AJ$2:$AJ$6001,0))</f>
        <v/>
      </c>
      <c r="Q240" s="7">
        <f>IF($V240="","",P240*O240)</f>
        <v/>
      </c>
      <c r="R240" s="7">
        <f>IF($V240="","",Q240+N240)</f>
        <v/>
      </c>
      <c r="S240" s="7">
        <f>IF($V240="","",T240-R240)</f>
        <v/>
      </c>
      <c r="T240" s="7">
        <f>IF($V240="","",M240+P240+K240)</f>
        <v/>
      </c>
      <c r="U240" s="7">
        <f>IF($V240="","",T240-R240-I240)</f>
        <v/>
      </c>
      <c r="V240" s="13">
        <f>IF(ROWS($V$2:$V240)&lt;=MAX('Per Line'!$AH$2:$AH$6001),MATCH(ROWS($V$2:$V240),'Per Line'!$AH$2:$AH$6001,0),"")</f>
        <v/>
      </c>
    </row>
    <row r="241">
      <c r="A241" s="12" t="n"/>
      <c r="B241">
        <f>IF($V241="","",INDEX('Per Line'!$C$2:$C$6001,$V241)&amp;"")</f>
        <v/>
      </c>
      <c r="C241" s="11">
        <f>IF($V241="","",INDEX('Per Line'!$D$2:$D$6001,$V241))</f>
        <v/>
      </c>
      <c r="D241">
        <f>IF($V241="","",INDEX('Per Line'!$E$2:$E$6001,$V241)&amp;"")</f>
        <v/>
      </c>
      <c r="E241">
        <f>IF($V241="","",INDEX('Per Line'!$G$2:$G$6001,$V241)&amp;"")</f>
        <v/>
      </c>
      <c r="F241">
        <f>IF($V241="","",INDEX('Per Line'!$H$2:$H$6001,$V241)&amp;"")</f>
        <v/>
      </c>
      <c r="G241">
        <f>IF($V241="","",INDEX('Per Line'!$I$2:$I$6001,$V241)&amp;"")</f>
        <v/>
      </c>
      <c r="H241">
        <f>IF($V241="","",INDEX('Per Line'!$J$2:$J$6001,$V241))</f>
        <v/>
      </c>
      <c r="I241" s="7">
        <f>IF($V241="","",H241*S241/100)</f>
        <v/>
      </c>
      <c r="J241">
        <f>IF($V241="","",INDEX('Per Line'!$S$2:$S$6001,$V241)&amp;"")</f>
        <v/>
      </c>
      <c r="K241" s="7">
        <f>IF($V241="","",SUMIFS('Per Line'!$R$2:$R$6001,'Per Line'!$C$2:$C$6001,$B241,'Per Line'!$AJ$2:$AJ$6001,1))</f>
        <v/>
      </c>
      <c r="L241">
        <f>IF($V241="","",Settings!$C$7)</f>
        <v/>
      </c>
      <c r="M241" s="7">
        <f>IF($V241="","",SUMIFS('Per Line'!$R$2:$R$6001,'Per Line'!$C$2:$C$6001,$B241,'Per Line'!$AI$2:$AI$6001,0,'Per Line'!$AJ$2:$AJ$6001,0))</f>
        <v/>
      </c>
      <c r="N241" s="7">
        <f>IF($V241="","",M241*L241)</f>
        <v/>
      </c>
      <c r="O241">
        <f>IF($V241="","",Settings!$C$6)</f>
        <v/>
      </c>
      <c r="P241" s="7">
        <f>IF($V241="","",SUMIFS('Per Line'!$R$2:$R$6001,'Per Line'!$C$2:$C$6001,$B241,'Per Line'!$AI$2:$AI$6001,1,'Per Line'!$AJ$2:$AJ$6001,0))</f>
        <v/>
      </c>
      <c r="Q241" s="7">
        <f>IF($V241="","",P241*O241)</f>
        <v/>
      </c>
      <c r="R241" s="7">
        <f>IF($V241="","",Q241+N241)</f>
        <v/>
      </c>
      <c r="S241" s="7">
        <f>IF($V241="","",T241-R241)</f>
        <v/>
      </c>
      <c r="T241" s="7">
        <f>IF($V241="","",M241+P241+K241)</f>
        <v/>
      </c>
      <c r="U241" s="7">
        <f>IF($V241="","",T241-R241-I241)</f>
        <v/>
      </c>
      <c r="V241" s="13">
        <f>IF(ROWS($V$2:$V241)&lt;=MAX('Per Line'!$AH$2:$AH$6001),MATCH(ROWS($V$2:$V241),'Per Line'!$AH$2:$AH$6001,0),"")</f>
        <v/>
      </c>
    </row>
    <row r="242">
      <c r="A242" s="12" t="n"/>
      <c r="B242">
        <f>IF($V242="","",INDEX('Per Line'!$C$2:$C$6001,$V242)&amp;"")</f>
        <v/>
      </c>
      <c r="C242" s="11">
        <f>IF($V242="","",INDEX('Per Line'!$D$2:$D$6001,$V242))</f>
        <v/>
      </c>
      <c r="D242">
        <f>IF($V242="","",INDEX('Per Line'!$E$2:$E$6001,$V242)&amp;"")</f>
        <v/>
      </c>
      <c r="E242">
        <f>IF($V242="","",INDEX('Per Line'!$G$2:$G$6001,$V242)&amp;"")</f>
        <v/>
      </c>
      <c r="F242">
        <f>IF($V242="","",INDEX('Per Line'!$H$2:$H$6001,$V242)&amp;"")</f>
        <v/>
      </c>
      <c r="G242">
        <f>IF($V242="","",INDEX('Per Line'!$I$2:$I$6001,$V242)&amp;"")</f>
        <v/>
      </c>
      <c r="H242">
        <f>IF($V242="","",INDEX('Per Line'!$J$2:$J$6001,$V242))</f>
        <v/>
      </c>
      <c r="I242" s="7">
        <f>IF($V242="","",H242*S242/100)</f>
        <v/>
      </c>
      <c r="J242">
        <f>IF($V242="","",INDEX('Per Line'!$S$2:$S$6001,$V242)&amp;"")</f>
        <v/>
      </c>
      <c r="K242" s="7">
        <f>IF($V242="","",SUMIFS('Per Line'!$R$2:$R$6001,'Per Line'!$C$2:$C$6001,$B242,'Per Line'!$AJ$2:$AJ$6001,1))</f>
        <v/>
      </c>
      <c r="L242">
        <f>IF($V242="","",Settings!$C$7)</f>
        <v/>
      </c>
      <c r="M242" s="7">
        <f>IF($V242="","",SUMIFS('Per Line'!$R$2:$R$6001,'Per Line'!$C$2:$C$6001,$B242,'Per Line'!$AI$2:$AI$6001,0,'Per Line'!$AJ$2:$AJ$6001,0))</f>
        <v/>
      </c>
      <c r="N242" s="7">
        <f>IF($V242="","",M242*L242)</f>
        <v/>
      </c>
      <c r="O242">
        <f>IF($V242="","",Settings!$C$6)</f>
        <v/>
      </c>
      <c r="P242" s="7">
        <f>IF($V242="","",SUMIFS('Per Line'!$R$2:$R$6001,'Per Line'!$C$2:$C$6001,$B242,'Per Line'!$AI$2:$AI$6001,1,'Per Line'!$AJ$2:$AJ$6001,0))</f>
        <v/>
      </c>
      <c r="Q242" s="7">
        <f>IF($V242="","",P242*O242)</f>
        <v/>
      </c>
      <c r="R242" s="7">
        <f>IF($V242="","",Q242+N242)</f>
        <v/>
      </c>
      <c r="S242" s="7">
        <f>IF($V242="","",T242-R242)</f>
        <v/>
      </c>
      <c r="T242" s="7">
        <f>IF($V242="","",M242+P242+K242)</f>
        <v/>
      </c>
      <c r="U242" s="7">
        <f>IF($V242="","",T242-R242-I242)</f>
        <v/>
      </c>
      <c r="V242" s="13">
        <f>IF(ROWS($V$2:$V242)&lt;=MAX('Per Line'!$AH$2:$AH$6001),MATCH(ROWS($V$2:$V242),'Per Line'!$AH$2:$AH$6001,0),"")</f>
        <v/>
      </c>
    </row>
    <row r="243">
      <c r="A243" s="12" t="n"/>
      <c r="B243">
        <f>IF($V243="","",INDEX('Per Line'!$C$2:$C$6001,$V243)&amp;"")</f>
        <v/>
      </c>
      <c r="C243" s="11">
        <f>IF($V243="","",INDEX('Per Line'!$D$2:$D$6001,$V243))</f>
        <v/>
      </c>
      <c r="D243">
        <f>IF($V243="","",INDEX('Per Line'!$E$2:$E$6001,$V243)&amp;"")</f>
        <v/>
      </c>
      <c r="E243">
        <f>IF($V243="","",INDEX('Per Line'!$G$2:$G$6001,$V243)&amp;"")</f>
        <v/>
      </c>
      <c r="F243">
        <f>IF($V243="","",INDEX('Per Line'!$H$2:$H$6001,$V243)&amp;"")</f>
        <v/>
      </c>
      <c r="G243">
        <f>IF($V243="","",INDEX('Per Line'!$I$2:$I$6001,$V243)&amp;"")</f>
        <v/>
      </c>
      <c r="H243">
        <f>IF($V243="","",INDEX('Per Line'!$J$2:$J$6001,$V243))</f>
        <v/>
      </c>
      <c r="I243" s="7">
        <f>IF($V243="","",H243*S243/100)</f>
        <v/>
      </c>
      <c r="J243">
        <f>IF($V243="","",INDEX('Per Line'!$S$2:$S$6001,$V243)&amp;"")</f>
        <v/>
      </c>
      <c r="K243" s="7">
        <f>IF($V243="","",SUMIFS('Per Line'!$R$2:$R$6001,'Per Line'!$C$2:$C$6001,$B243,'Per Line'!$AJ$2:$AJ$6001,1))</f>
        <v/>
      </c>
      <c r="L243">
        <f>IF($V243="","",Settings!$C$7)</f>
        <v/>
      </c>
      <c r="M243" s="7">
        <f>IF($V243="","",SUMIFS('Per Line'!$R$2:$R$6001,'Per Line'!$C$2:$C$6001,$B243,'Per Line'!$AI$2:$AI$6001,0,'Per Line'!$AJ$2:$AJ$6001,0))</f>
        <v/>
      </c>
      <c r="N243" s="7">
        <f>IF($V243="","",M243*L243)</f>
        <v/>
      </c>
      <c r="O243">
        <f>IF($V243="","",Settings!$C$6)</f>
        <v/>
      </c>
      <c r="P243" s="7">
        <f>IF($V243="","",SUMIFS('Per Line'!$R$2:$R$6001,'Per Line'!$C$2:$C$6001,$B243,'Per Line'!$AI$2:$AI$6001,1,'Per Line'!$AJ$2:$AJ$6001,0))</f>
        <v/>
      </c>
      <c r="Q243" s="7">
        <f>IF($V243="","",P243*O243)</f>
        <v/>
      </c>
      <c r="R243" s="7">
        <f>IF($V243="","",Q243+N243)</f>
        <v/>
      </c>
      <c r="S243" s="7">
        <f>IF($V243="","",T243-R243)</f>
        <v/>
      </c>
      <c r="T243" s="7">
        <f>IF($V243="","",M243+P243+K243)</f>
        <v/>
      </c>
      <c r="U243" s="7">
        <f>IF($V243="","",T243-R243-I243)</f>
        <v/>
      </c>
      <c r="V243" s="13">
        <f>IF(ROWS($V$2:$V243)&lt;=MAX('Per Line'!$AH$2:$AH$6001),MATCH(ROWS($V$2:$V243),'Per Line'!$AH$2:$AH$6001,0),"")</f>
        <v/>
      </c>
    </row>
    <row r="244">
      <c r="A244" s="12" t="n"/>
      <c r="B244">
        <f>IF($V244="","",INDEX('Per Line'!$C$2:$C$6001,$V244)&amp;"")</f>
        <v/>
      </c>
      <c r="C244" s="11">
        <f>IF($V244="","",INDEX('Per Line'!$D$2:$D$6001,$V244))</f>
        <v/>
      </c>
      <c r="D244">
        <f>IF($V244="","",INDEX('Per Line'!$E$2:$E$6001,$V244)&amp;"")</f>
        <v/>
      </c>
      <c r="E244">
        <f>IF($V244="","",INDEX('Per Line'!$G$2:$G$6001,$V244)&amp;"")</f>
        <v/>
      </c>
      <c r="F244">
        <f>IF($V244="","",INDEX('Per Line'!$H$2:$H$6001,$V244)&amp;"")</f>
        <v/>
      </c>
      <c r="G244">
        <f>IF($V244="","",INDEX('Per Line'!$I$2:$I$6001,$V244)&amp;"")</f>
        <v/>
      </c>
      <c r="H244">
        <f>IF($V244="","",INDEX('Per Line'!$J$2:$J$6001,$V244))</f>
        <v/>
      </c>
      <c r="I244" s="7">
        <f>IF($V244="","",H244*S244/100)</f>
        <v/>
      </c>
      <c r="J244">
        <f>IF($V244="","",INDEX('Per Line'!$S$2:$S$6001,$V244)&amp;"")</f>
        <v/>
      </c>
      <c r="K244" s="7">
        <f>IF($V244="","",SUMIFS('Per Line'!$R$2:$R$6001,'Per Line'!$C$2:$C$6001,$B244,'Per Line'!$AJ$2:$AJ$6001,1))</f>
        <v/>
      </c>
      <c r="L244">
        <f>IF($V244="","",Settings!$C$7)</f>
        <v/>
      </c>
      <c r="M244" s="7">
        <f>IF($V244="","",SUMIFS('Per Line'!$R$2:$R$6001,'Per Line'!$C$2:$C$6001,$B244,'Per Line'!$AI$2:$AI$6001,0,'Per Line'!$AJ$2:$AJ$6001,0))</f>
        <v/>
      </c>
      <c r="N244" s="7">
        <f>IF($V244="","",M244*L244)</f>
        <v/>
      </c>
      <c r="O244">
        <f>IF($V244="","",Settings!$C$6)</f>
        <v/>
      </c>
      <c r="P244" s="7">
        <f>IF($V244="","",SUMIFS('Per Line'!$R$2:$R$6001,'Per Line'!$C$2:$C$6001,$B244,'Per Line'!$AI$2:$AI$6001,1,'Per Line'!$AJ$2:$AJ$6001,0))</f>
        <v/>
      </c>
      <c r="Q244" s="7">
        <f>IF($V244="","",P244*O244)</f>
        <v/>
      </c>
      <c r="R244" s="7">
        <f>IF($V244="","",Q244+N244)</f>
        <v/>
      </c>
      <c r="S244" s="7">
        <f>IF($V244="","",T244-R244)</f>
        <v/>
      </c>
      <c r="T244" s="7">
        <f>IF($V244="","",M244+P244+K244)</f>
        <v/>
      </c>
      <c r="U244" s="7">
        <f>IF($V244="","",T244-R244-I244)</f>
        <v/>
      </c>
      <c r="V244" s="13">
        <f>IF(ROWS($V$2:$V244)&lt;=MAX('Per Line'!$AH$2:$AH$6001),MATCH(ROWS($V$2:$V244),'Per Line'!$AH$2:$AH$6001,0),"")</f>
        <v/>
      </c>
    </row>
    <row r="245">
      <c r="A245" s="12" t="n"/>
      <c r="B245">
        <f>IF($V245="","",INDEX('Per Line'!$C$2:$C$6001,$V245)&amp;"")</f>
        <v/>
      </c>
      <c r="C245" s="11">
        <f>IF($V245="","",INDEX('Per Line'!$D$2:$D$6001,$V245))</f>
        <v/>
      </c>
      <c r="D245">
        <f>IF($V245="","",INDEX('Per Line'!$E$2:$E$6001,$V245)&amp;"")</f>
        <v/>
      </c>
      <c r="E245">
        <f>IF($V245="","",INDEX('Per Line'!$G$2:$G$6001,$V245)&amp;"")</f>
        <v/>
      </c>
      <c r="F245">
        <f>IF($V245="","",INDEX('Per Line'!$H$2:$H$6001,$V245)&amp;"")</f>
        <v/>
      </c>
      <c r="G245">
        <f>IF($V245="","",INDEX('Per Line'!$I$2:$I$6001,$V245)&amp;"")</f>
        <v/>
      </c>
      <c r="H245">
        <f>IF($V245="","",INDEX('Per Line'!$J$2:$J$6001,$V245))</f>
        <v/>
      </c>
      <c r="I245" s="7">
        <f>IF($V245="","",H245*S245/100)</f>
        <v/>
      </c>
      <c r="J245">
        <f>IF($V245="","",INDEX('Per Line'!$S$2:$S$6001,$V245)&amp;"")</f>
        <v/>
      </c>
      <c r="K245" s="7">
        <f>IF($V245="","",SUMIFS('Per Line'!$R$2:$R$6001,'Per Line'!$C$2:$C$6001,$B245,'Per Line'!$AJ$2:$AJ$6001,1))</f>
        <v/>
      </c>
      <c r="L245">
        <f>IF($V245="","",Settings!$C$7)</f>
        <v/>
      </c>
      <c r="M245" s="7">
        <f>IF($V245="","",SUMIFS('Per Line'!$R$2:$R$6001,'Per Line'!$C$2:$C$6001,$B245,'Per Line'!$AI$2:$AI$6001,0,'Per Line'!$AJ$2:$AJ$6001,0))</f>
        <v/>
      </c>
      <c r="N245" s="7">
        <f>IF($V245="","",M245*L245)</f>
        <v/>
      </c>
      <c r="O245">
        <f>IF($V245="","",Settings!$C$6)</f>
        <v/>
      </c>
      <c r="P245" s="7">
        <f>IF($V245="","",SUMIFS('Per Line'!$R$2:$R$6001,'Per Line'!$C$2:$C$6001,$B245,'Per Line'!$AI$2:$AI$6001,1,'Per Line'!$AJ$2:$AJ$6001,0))</f>
        <v/>
      </c>
      <c r="Q245" s="7">
        <f>IF($V245="","",P245*O245)</f>
        <v/>
      </c>
      <c r="R245" s="7">
        <f>IF($V245="","",Q245+N245)</f>
        <v/>
      </c>
      <c r="S245" s="7">
        <f>IF($V245="","",T245-R245)</f>
        <v/>
      </c>
      <c r="T245" s="7">
        <f>IF($V245="","",M245+P245+K245)</f>
        <v/>
      </c>
      <c r="U245" s="7">
        <f>IF($V245="","",T245-R245-I245)</f>
        <v/>
      </c>
      <c r="V245" s="13">
        <f>IF(ROWS($V$2:$V245)&lt;=MAX('Per Line'!$AH$2:$AH$6001),MATCH(ROWS($V$2:$V245),'Per Line'!$AH$2:$AH$6001,0),"")</f>
        <v/>
      </c>
    </row>
    <row r="246">
      <c r="A246" s="12" t="n"/>
      <c r="B246">
        <f>IF($V246="","",INDEX('Per Line'!$C$2:$C$6001,$V246)&amp;"")</f>
        <v/>
      </c>
      <c r="C246" s="11">
        <f>IF($V246="","",INDEX('Per Line'!$D$2:$D$6001,$V246))</f>
        <v/>
      </c>
      <c r="D246">
        <f>IF($V246="","",INDEX('Per Line'!$E$2:$E$6001,$V246)&amp;"")</f>
        <v/>
      </c>
      <c r="E246">
        <f>IF($V246="","",INDEX('Per Line'!$G$2:$G$6001,$V246)&amp;"")</f>
        <v/>
      </c>
      <c r="F246">
        <f>IF($V246="","",INDEX('Per Line'!$H$2:$H$6001,$V246)&amp;"")</f>
        <v/>
      </c>
      <c r="G246">
        <f>IF($V246="","",INDEX('Per Line'!$I$2:$I$6001,$V246)&amp;"")</f>
        <v/>
      </c>
      <c r="H246">
        <f>IF($V246="","",INDEX('Per Line'!$J$2:$J$6001,$V246))</f>
        <v/>
      </c>
      <c r="I246" s="7">
        <f>IF($V246="","",H246*S246/100)</f>
        <v/>
      </c>
      <c r="J246">
        <f>IF($V246="","",INDEX('Per Line'!$S$2:$S$6001,$V246)&amp;"")</f>
        <v/>
      </c>
      <c r="K246" s="7">
        <f>IF($V246="","",SUMIFS('Per Line'!$R$2:$R$6001,'Per Line'!$C$2:$C$6001,$B246,'Per Line'!$AJ$2:$AJ$6001,1))</f>
        <v/>
      </c>
      <c r="L246">
        <f>IF($V246="","",Settings!$C$7)</f>
        <v/>
      </c>
      <c r="M246" s="7">
        <f>IF($V246="","",SUMIFS('Per Line'!$R$2:$R$6001,'Per Line'!$C$2:$C$6001,$B246,'Per Line'!$AI$2:$AI$6001,0,'Per Line'!$AJ$2:$AJ$6001,0))</f>
        <v/>
      </c>
      <c r="N246" s="7">
        <f>IF($V246="","",M246*L246)</f>
        <v/>
      </c>
      <c r="O246">
        <f>IF($V246="","",Settings!$C$6)</f>
        <v/>
      </c>
      <c r="P246" s="7">
        <f>IF($V246="","",SUMIFS('Per Line'!$R$2:$R$6001,'Per Line'!$C$2:$C$6001,$B246,'Per Line'!$AI$2:$AI$6001,1,'Per Line'!$AJ$2:$AJ$6001,0))</f>
        <v/>
      </c>
      <c r="Q246" s="7">
        <f>IF($V246="","",P246*O246)</f>
        <v/>
      </c>
      <c r="R246" s="7">
        <f>IF($V246="","",Q246+N246)</f>
        <v/>
      </c>
      <c r="S246" s="7">
        <f>IF($V246="","",T246-R246)</f>
        <v/>
      </c>
      <c r="T246" s="7">
        <f>IF($V246="","",M246+P246+K246)</f>
        <v/>
      </c>
      <c r="U246" s="7">
        <f>IF($V246="","",T246-R246-I246)</f>
        <v/>
      </c>
      <c r="V246" s="13">
        <f>IF(ROWS($V$2:$V246)&lt;=MAX('Per Line'!$AH$2:$AH$6001),MATCH(ROWS($V$2:$V246),'Per Line'!$AH$2:$AH$6001,0),"")</f>
        <v/>
      </c>
    </row>
    <row r="247">
      <c r="A247" s="12" t="n"/>
      <c r="B247">
        <f>IF($V247="","",INDEX('Per Line'!$C$2:$C$6001,$V247)&amp;"")</f>
        <v/>
      </c>
      <c r="C247" s="11">
        <f>IF($V247="","",INDEX('Per Line'!$D$2:$D$6001,$V247))</f>
        <v/>
      </c>
      <c r="D247">
        <f>IF($V247="","",INDEX('Per Line'!$E$2:$E$6001,$V247)&amp;"")</f>
        <v/>
      </c>
      <c r="E247">
        <f>IF($V247="","",INDEX('Per Line'!$G$2:$G$6001,$V247)&amp;"")</f>
        <v/>
      </c>
      <c r="F247">
        <f>IF($V247="","",INDEX('Per Line'!$H$2:$H$6001,$V247)&amp;"")</f>
        <v/>
      </c>
      <c r="G247">
        <f>IF($V247="","",INDEX('Per Line'!$I$2:$I$6001,$V247)&amp;"")</f>
        <v/>
      </c>
      <c r="H247">
        <f>IF($V247="","",INDEX('Per Line'!$J$2:$J$6001,$V247))</f>
        <v/>
      </c>
      <c r="I247" s="7">
        <f>IF($V247="","",H247*S247/100)</f>
        <v/>
      </c>
      <c r="J247">
        <f>IF($V247="","",INDEX('Per Line'!$S$2:$S$6001,$V247)&amp;"")</f>
        <v/>
      </c>
      <c r="K247" s="7">
        <f>IF($V247="","",SUMIFS('Per Line'!$R$2:$R$6001,'Per Line'!$C$2:$C$6001,$B247,'Per Line'!$AJ$2:$AJ$6001,1))</f>
        <v/>
      </c>
      <c r="L247">
        <f>IF($V247="","",Settings!$C$7)</f>
        <v/>
      </c>
      <c r="M247" s="7">
        <f>IF($V247="","",SUMIFS('Per Line'!$R$2:$R$6001,'Per Line'!$C$2:$C$6001,$B247,'Per Line'!$AI$2:$AI$6001,0,'Per Line'!$AJ$2:$AJ$6001,0))</f>
        <v/>
      </c>
      <c r="N247" s="7">
        <f>IF($V247="","",M247*L247)</f>
        <v/>
      </c>
      <c r="O247">
        <f>IF($V247="","",Settings!$C$6)</f>
        <v/>
      </c>
      <c r="P247" s="7">
        <f>IF($V247="","",SUMIFS('Per Line'!$R$2:$R$6001,'Per Line'!$C$2:$C$6001,$B247,'Per Line'!$AI$2:$AI$6001,1,'Per Line'!$AJ$2:$AJ$6001,0))</f>
        <v/>
      </c>
      <c r="Q247" s="7">
        <f>IF($V247="","",P247*O247)</f>
        <v/>
      </c>
      <c r="R247" s="7">
        <f>IF($V247="","",Q247+N247)</f>
        <v/>
      </c>
      <c r="S247" s="7">
        <f>IF($V247="","",T247-R247)</f>
        <v/>
      </c>
      <c r="T247" s="7">
        <f>IF($V247="","",M247+P247+K247)</f>
        <v/>
      </c>
      <c r="U247" s="7">
        <f>IF($V247="","",T247-R247-I247)</f>
        <v/>
      </c>
      <c r="V247" s="13">
        <f>IF(ROWS($V$2:$V247)&lt;=MAX('Per Line'!$AH$2:$AH$6001),MATCH(ROWS($V$2:$V247),'Per Line'!$AH$2:$AH$6001,0),"")</f>
        <v/>
      </c>
    </row>
    <row r="248">
      <c r="A248" s="12" t="n"/>
      <c r="B248">
        <f>IF($V248="","",INDEX('Per Line'!$C$2:$C$6001,$V248)&amp;"")</f>
        <v/>
      </c>
      <c r="C248" s="11">
        <f>IF($V248="","",INDEX('Per Line'!$D$2:$D$6001,$V248))</f>
        <v/>
      </c>
      <c r="D248">
        <f>IF($V248="","",INDEX('Per Line'!$E$2:$E$6001,$V248)&amp;"")</f>
        <v/>
      </c>
      <c r="E248">
        <f>IF($V248="","",INDEX('Per Line'!$G$2:$G$6001,$V248)&amp;"")</f>
        <v/>
      </c>
      <c r="F248">
        <f>IF($V248="","",INDEX('Per Line'!$H$2:$H$6001,$V248)&amp;"")</f>
        <v/>
      </c>
      <c r="G248">
        <f>IF($V248="","",INDEX('Per Line'!$I$2:$I$6001,$V248)&amp;"")</f>
        <v/>
      </c>
      <c r="H248">
        <f>IF($V248="","",INDEX('Per Line'!$J$2:$J$6001,$V248))</f>
        <v/>
      </c>
      <c r="I248" s="7">
        <f>IF($V248="","",H248*S248/100)</f>
        <v/>
      </c>
      <c r="J248">
        <f>IF($V248="","",INDEX('Per Line'!$S$2:$S$6001,$V248)&amp;"")</f>
        <v/>
      </c>
      <c r="K248" s="7">
        <f>IF($V248="","",SUMIFS('Per Line'!$R$2:$R$6001,'Per Line'!$C$2:$C$6001,$B248,'Per Line'!$AJ$2:$AJ$6001,1))</f>
        <v/>
      </c>
      <c r="L248">
        <f>IF($V248="","",Settings!$C$7)</f>
        <v/>
      </c>
      <c r="M248" s="7">
        <f>IF($V248="","",SUMIFS('Per Line'!$R$2:$R$6001,'Per Line'!$C$2:$C$6001,$B248,'Per Line'!$AI$2:$AI$6001,0,'Per Line'!$AJ$2:$AJ$6001,0))</f>
        <v/>
      </c>
      <c r="N248" s="7">
        <f>IF($V248="","",M248*L248)</f>
        <v/>
      </c>
      <c r="O248">
        <f>IF($V248="","",Settings!$C$6)</f>
        <v/>
      </c>
      <c r="P248" s="7">
        <f>IF($V248="","",SUMIFS('Per Line'!$R$2:$R$6001,'Per Line'!$C$2:$C$6001,$B248,'Per Line'!$AI$2:$AI$6001,1,'Per Line'!$AJ$2:$AJ$6001,0))</f>
        <v/>
      </c>
      <c r="Q248" s="7">
        <f>IF($V248="","",P248*O248)</f>
        <v/>
      </c>
      <c r="R248" s="7">
        <f>IF($V248="","",Q248+N248)</f>
        <v/>
      </c>
      <c r="S248" s="7">
        <f>IF($V248="","",T248-R248)</f>
        <v/>
      </c>
      <c r="T248" s="7">
        <f>IF($V248="","",M248+P248+K248)</f>
        <v/>
      </c>
      <c r="U248" s="7">
        <f>IF($V248="","",T248-R248-I248)</f>
        <v/>
      </c>
      <c r="V248" s="13">
        <f>IF(ROWS($V$2:$V248)&lt;=MAX('Per Line'!$AH$2:$AH$6001),MATCH(ROWS($V$2:$V248),'Per Line'!$AH$2:$AH$6001,0),"")</f>
        <v/>
      </c>
    </row>
    <row r="249">
      <c r="A249" s="12" t="n"/>
      <c r="B249">
        <f>IF($V249="","",INDEX('Per Line'!$C$2:$C$6001,$V249)&amp;"")</f>
        <v/>
      </c>
      <c r="C249" s="11">
        <f>IF($V249="","",INDEX('Per Line'!$D$2:$D$6001,$V249))</f>
        <v/>
      </c>
      <c r="D249">
        <f>IF($V249="","",INDEX('Per Line'!$E$2:$E$6001,$V249)&amp;"")</f>
        <v/>
      </c>
      <c r="E249">
        <f>IF($V249="","",INDEX('Per Line'!$G$2:$G$6001,$V249)&amp;"")</f>
        <v/>
      </c>
      <c r="F249">
        <f>IF($V249="","",INDEX('Per Line'!$H$2:$H$6001,$V249)&amp;"")</f>
        <v/>
      </c>
      <c r="G249">
        <f>IF($V249="","",INDEX('Per Line'!$I$2:$I$6001,$V249)&amp;"")</f>
        <v/>
      </c>
      <c r="H249">
        <f>IF($V249="","",INDEX('Per Line'!$J$2:$J$6001,$V249))</f>
        <v/>
      </c>
      <c r="I249" s="7">
        <f>IF($V249="","",H249*S249/100)</f>
        <v/>
      </c>
      <c r="J249">
        <f>IF($V249="","",INDEX('Per Line'!$S$2:$S$6001,$V249)&amp;"")</f>
        <v/>
      </c>
      <c r="K249" s="7">
        <f>IF($V249="","",SUMIFS('Per Line'!$R$2:$R$6001,'Per Line'!$C$2:$C$6001,$B249,'Per Line'!$AJ$2:$AJ$6001,1))</f>
        <v/>
      </c>
      <c r="L249">
        <f>IF($V249="","",Settings!$C$7)</f>
        <v/>
      </c>
      <c r="M249" s="7">
        <f>IF($V249="","",SUMIFS('Per Line'!$R$2:$R$6001,'Per Line'!$C$2:$C$6001,$B249,'Per Line'!$AI$2:$AI$6001,0,'Per Line'!$AJ$2:$AJ$6001,0))</f>
        <v/>
      </c>
      <c r="N249" s="7">
        <f>IF($V249="","",M249*L249)</f>
        <v/>
      </c>
      <c r="O249">
        <f>IF($V249="","",Settings!$C$6)</f>
        <v/>
      </c>
      <c r="P249" s="7">
        <f>IF($V249="","",SUMIFS('Per Line'!$R$2:$R$6001,'Per Line'!$C$2:$C$6001,$B249,'Per Line'!$AI$2:$AI$6001,1,'Per Line'!$AJ$2:$AJ$6001,0))</f>
        <v/>
      </c>
      <c r="Q249" s="7">
        <f>IF($V249="","",P249*O249)</f>
        <v/>
      </c>
      <c r="R249" s="7">
        <f>IF($V249="","",Q249+N249)</f>
        <v/>
      </c>
      <c r="S249" s="7">
        <f>IF($V249="","",T249-R249)</f>
        <v/>
      </c>
      <c r="T249" s="7">
        <f>IF($V249="","",M249+P249+K249)</f>
        <v/>
      </c>
      <c r="U249" s="7">
        <f>IF($V249="","",T249-R249-I249)</f>
        <v/>
      </c>
      <c r="V249" s="13">
        <f>IF(ROWS($V$2:$V249)&lt;=MAX('Per Line'!$AH$2:$AH$6001),MATCH(ROWS($V$2:$V249),'Per Line'!$AH$2:$AH$6001,0),"")</f>
        <v/>
      </c>
    </row>
    <row r="250">
      <c r="A250" s="12" t="n"/>
      <c r="B250">
        <f>IF($V250="","",INDEX('Per Line'!$C$2:$C$6001,$V250)&amp;"")</f>
        <v/>
      </c>
      <c r="C250" s="11">
        <f>IF($V250="","",INDEX('Per Line'!$D$2:$D$6001,$V250))</f>
        <v/>
      </c>
      <c r="D250">
        <f>IF($V250="","",INDEX('Per Line'!$E$2:$E$6001,$V250)&amp;"")</f>
        <v/>
      </c>
      <c r="E250">
        <f>IF($V250="","",INDEX('Per Line'!$G$2:$G$6001,$V250)&amp;"")</f>
        <v/>
      </c>
      <c r="F250">
        <f>IF($V250="","",INDEX('Per Line'!$H$2:$H$6001,$V250)&amp;"")</f>
        <v/>
      </c>
      <c r="G250">
        <f>IF($V250="","",INDEX('Per Line'!$I$2:$I$6001,$V250)&amp;"")</f>
        <v/>
      </c>
      <c r="H250">
        <f>IF($V250="","",INDEX('Per Line'!$J$2:$J$6001,$V250))</f>
        <v/>
      </c>
      <c r="I250" s="7">
        <f>IF($V250="","",H250*S250/100)</f>
        <v/>
      </c>
      <c r="J250">
        <f>IF($V250="","",INDEX('Per Line'!$S$2:$S$6001,$V250)&amp;"")</f>
        <v/>
      </c>
      <c r="K250" s="7">
        <f>IF($V250="","",SUMIFS('Per Line'!$R$2:$R$6001,'Per Line'!$C$2:$C$6001,$B250,'Per Line'!$AJ$2:$AJ$6001,1))</f>
        <v/>
      </c>
      <c r="L250">
        <f>IF($V250="","",Settings!$C$7)</f>
        <v/>
      </c>
      <c r="M250" s="7">
        <f>IF($V250="","",SUMIFS('Per Line'!$R$2:$R$6001,'Per Line'!$C$2:$C$6001,$B250,'Per Line'!$AI$2:$AI$6001,0,'Per Line'!$AJ$2:$AJ$6001,0))</f>
        <v/>
      </c>
      <c r="N250" s="7">
        <f>IF($V250="","",M250*L250)</f>
        <v/>
      </c>
      <c r="O250">
        <f>IF($V250="","",Settings!$C$6)</f>
        <v/>
      </c>
      <c r="P250" s="7">
        <f>IF($V250="","",SUMIFS('Per Line'!$R$2:$R$6001,'Per Line'!$C$2:$C$6001,$B250,'Per Line'!$AI$2:$AI$6001,1,'Per Line'!$AJ$2:$AJ$6001,0))</f>
        <v/>
      </c>
      <c r="Q250" s="7">
        <f>IF($V250="","",P250*O250)</f>
        <v/>
      </c>
      <c r="R250" s="7">
        <f>IF($V250="","",Q250+N250)</f>
        <v/>
      </c>
      <c r="S250" s="7">
        <f>IF($V250="","",T250-R250)</f>
        <v/>
      </c>
      <c r="T250" s="7">
        <f>IF($V250="","",M250+P250+K250)</f>
        <v/>
      </c>
      <c r="U250" s="7">
        <f>IF($V250="","",T250-R250-I250)</f>
        <v/>
      </c>
      <c r="V250" s="13">
        <f>IF(ROWS($V$2:$V250)&lt;=MAX('Per Line'!$AH$2:$AH$6001),MATCH(ROWS($V$2:$V250),'Per Line'!$AH$2:$AH$6001,0),"")</f>
        <v/>
      </c>
    </row>
    <row r="251">
      <c r="A251" s="12" t="n"/>
      <c r="B251">
        <f>IF($V251="","",INDEX('Per Line'!$C$2:$C$6001,$V251)&amp;"")</f>
        <v/>
      </c>
      <c r="C251" s="11">
        <f>IF($V251="","",INDEX('Per Line'!$D$2:$D$6001,$V251))</f>
        <v/>
      </c>
      <c r="D251">
        <f>IF($V251="","",INDEX('Per Line'!$E$2:$E$6001,$V251)&amp;"")</f>
        <v/>
      </c>
      <c r="E251">
        <f>IF($V251="","",INDEX('Per Line'!$G$2:$G$6001,$V251)&amp;"")</f>
        <v/>
      </c>
      <c r="F251">
        <f>IF($V251="","",INDEX('Per Line'!$H$2:$H$6001,$V251)&amp;"")</f>
        <v/>
      </c>
      <c r="G251">
        <f>IF($V251="","",INDEX('Per Line'!$I$2:$I$6001,$V251)&amp;"")</f>
        <v/>
      </c>
      <c r="H251">
        <f>IF($V251="","",INDEX('Per Line'!$J$2:$J$6001,$V251))</f>
        <v/>
      </c>
      <c r="I251" s="7">
        <f>IF($V251="","",H251*S251/100)</f>
        <v/>
      </c>
      <c r="J251">
        <f>IF($V251="","",INDEX('Per Line'!$S$2:$S$6001,$V251)&amp;"")</f>
        <v/>
      </c>
      <c r="K251" s="7">
        <f>IF($V251="","",SUMIFS('Per Line'!$R$2:$R$6001,'Per Line'!$C$2:$C$6001,$B251,'Per Line'!$AJ$2:$AJ$6001,1))</f>
        <v/>
      </c>
      <c r="L251">
        <f>IF($V251="","",Settings!$C$7)</f>
        <v/>
      </c>
      <c r="M251" s="7">
        <f>IF($V251="","",SUMIFS('Per Line'!$R$2:$R$6001,'Per Line'!$C$2:$C$6001,$B251,'Per Line'!$AI$2:$AI$6001,0,'Per Line'!$AJ$2:$AJ$6001,0))</f>
        <v/>
      </c>
      <c r="N251" s="7">
        <f>IF($V251="","",M251*L251)</f>
        <v/>
      </c>
      <c r="O251">
        <f>IF($V251="","",Settings!$C$6)</f>
        <v/>
      </c>
      <c r="P251" s="7">
        <f>IF($V251="","",SUMIFS('Per Line'!$R$2:$R$6001,'Per Line'!$C$2:$C$6001,$B251,'Per Line'!$AI$2:$AI$6001,1,'Per Line'!$AJ$2:$AJ$6001,0))</f>
        <v/>
      </c>
      <c r="Q251" s="7">
        <f>IF($V251="","",P251*O251)</f>
        <v/>
      </c>
      <c r="R251" s="7">
        <f>IF($V251="","",Q251+N251)</f>
        <v/>
      </c>
      <c r="S251" s="7">
        <f>IF($V251="","",T251-R251)</f>
        <v/>
      </c>
      <c r="T251" s="7">
        <f>IF($V251="","",M251+P251+K251)</f>
        <v/>
      </c>
      <c r="U251" s="7">
        <f>IF($V251="","",T251-R251-I251)</f>
        <v/>
      </c>
      <c r="V251" s="13">
        <f>IF(ROWS($V$2:$V251)&lt;=MAX('Per Line'!$AH$2:$AH$6001),MATCH(ROWS($V$2:$V251),'Per Line'!$AH$2:$AH$6001,0),"")</f>
        <v/>
      </c>
    </row>
    <row r="252">
      <c r="A252" s="12" t="n"/>
      <c r="B252">
        <f>IF($V252="","",INDEX('Per Line'!$C$2:$C$6001,$V252)&amp;"")</f>
        <v/>
      </c>
      <c r="C252" s="11">
        <f>IF($V252="","",INDEX('Per Line'!$D$2:$D$6001,$V252))</f>
        <v/>
      </c>
      <c r="D252">
        <f>IF($V252="","",INDEX('Per Line'!$E$2:$E$6001,$V252)&amp;"")</f>
        <v/>
      </c>
      <c r="E252">
        <f>IF($V252="","",INDEX('Per Line'!$G$2:$G$6001,$V252)&amp;"")</f>
        <v/>
      </c>
      <c r="F252">
        <f>IF($V252="","",INDEX('Per Line'!$H$2:$H$6001,$V252)&amp;"")</f>
        <v/>
      </c>
      <c r="G252">
        <f>IF($V252="","",INDEX('Per Line'!$I$2:$I$6001,$V252)&amp;"")</f>
        <v/>
      </c>
      <c r="H252">
        <f>IF($V252="","",INDEX('Per Line'!$J$2:$J$6001,$V252))</f>
        <v/>
      </c>
      <c r="I252" s="7">
        <f>IF($V252="","",H252*S252/100)</f>
        <v/>
      </c>
      <c r="J252">
        <f>IF($V252="","",INDEX('Per Line'!$S$2:$S$6001,$V252)&amp;"")</f>
        <v/>
      </c>
      <c r="K252" s="7">
        <f>IF($V252="","",SUMIFS('Per Line'!$R$2:$R$6001,'Per Line'!$C$2:$C$6001,$B252,'Per Line'!$AJ$2:$AJ$6001,1))</f>
        <v/>
      </c>
      <c r="L252">
        <f>IF($V252="","",Settings!$C$7)</f>
        <v/>
      </c>
      <c r="M252" s="7">
        <f>IF($V252="","",SUMIFS('Per Line'!$R$2:$R$6001,'Per Line'!$C$2:$C$6001,$B252,'Per Line'!$AI$2:$AI$6001,0,'Per Line'!$AJ$2:$AJ$6001,0))</f>
        <v/>
      </c>
      <c r="N252" s="7">
        <f>IF($V252="","",M252*L252)</f>
        <v/>
      </c>
      <c r="O252">
        <f>IF($V252="","",Settings!$C$6)</f>
        <v/>
      </c>
      <c r="P252" s="7">
        <f>IF($V252="","",SUMIFS('Per Line'!$R$2:$R$6001,'Per Line'!$C$2:$C$6001,$B252,'Per Line'!$AI$2:$AI$6001,1,'Per Line'!$AJ$2:$AJ$6001,0))</f>
        <v/>
      </c>
      <c r="Q252" s="7">
        <f>IF($V252="","",P252*O252)</f>
        <v/>
      </c>
      <c r="R252" s="7">
        <f>IF($V252="","",Q252+N252)</f>
        <v/>
      </c>
      <c r="S252" s="7">
        <f>IF($V252="","",T252-R252)</f>
        <v/>
      </c>
      <c r="T252" s="7">
        <f>IF($V252="","",M252+P252+K252)</f>
        <v/>
      </c>
      <c r="U252" s="7">
        <f>IF($V252="","",T252-R252-I252)</f>
        <v/>
      </c>
      <c r="V252" s="13">
        <f>IF(ROWS($V$2:$V252)&lt;=MAX('Per Line'!$AH$2:$AH$6001),MATCH(ROWS($V$2:$V252),'Per Line'!$AH$2:$AH$6001,0),"")</f>
        <v/>
      </c>
    </row>
    <row r="253">
      <c r="A253" s="12" t="n"/>
      <c r="B253">
        <f>IF($V253="","",INDEX('Per Line'!$C$2:$C$6001,$V253)&amp;"")</f>
        <v/>
      </c>
      <c r="C253" s="11">
        <f>IF($V253="","",INDEX('Per Line'!$D$2:$D$6001,$V253))</f>
        <v/>
      </c>
      <c r="D253">
        <f>IF($V253="","",INDEX('Per Line'!$E$2:$E$6001,$V253)&amp;"")</f>
        <v/>
      </c>
      <c r="E253">
        <f>IF($V253="","",INDEX('Per Line'!$G$2:$G$6001,$V253)&amp;"")</f>
        <v/>
      </c>
      <c r="F253">
        <f>IF($V253="","",INDEX('Per Line'!$H$2:$H$6001,$V253)&amp;"")</f>
        <v/>
      </c>
      <c r="G253">
        <f>IF($V253="","",INDEX('Per Line'!$I$2:$I$6001,$V253)&amp;"")</f>
        <v/>
      </c>
      <c r="H253">
        <f>IF($V253="","",INDEX('Per Line'!$J$2:$J$6001,$V253))</f>
        <v/>
      </c>
      <c r="I253" s="7">
        <f>IF($V253="","",H253*S253/100)</f>
        <v/>
      </c>
      <c r="J253">
        <f>IF($V253="","",INDEX('Per Line'!$S$2:$S$6001,$V253)&amp;"")</f>
        <v/>
      </c>
      <c r="K253" s="7">
        <f>IF($V253="","",SUMIFS('Per Line'!$R$2:$R$6001,'Per Line'!$C$2:$C$6001,$B253,'Per Line'!$AJ$2:$AJ$6001,1))</f>
        <v/>
      </c>
      <c r="L253">
        <f>IF($V253="","",Settings!$C$7)</f>
        <v/>
      </c>
      <c r="M253" s="7">
        <f>IF($V253="","",SUMIFS('Per Line'!$R$2:$R$6001,'Per Line'!$C$2:$C$6001,$B253,'Per Line'!$AI$2:$AI$6001,0,'Per Line'!$AJ$2:$AJ$6001,0))</f>
        <v/>
      </c>
      <c r="N253" s="7">
        <f>IF($V253="","",M253*L253)</f>
        <v/>
      </c>
      <c r="O253">
        <f>IF($V253="","",Settings!$C$6)</f>
        <v/>
      </c>
      <c r="P253" s="7">
        <f>IF($V253="","",SUMIFS('Per Line'!$R$2:$R$6001,'Per Line'!$C$2:$C$6001,$B253,'Per Line'!$AI$2:$AI$6001,1,'Per Line'!$AJ$2:$AJ$6001,0))</f>
        <v/>
      </c>
      <c r="Q253" s="7">
        <f>IF($V253="","",P253*O253)</f>
        <v/>
      </c>
      <c r="R253" s="7">
        <f>IF($V253="","",Q253+N253)</f>
        <v/>
      </c>
      <c r="S253" s="7">
        <f>IF($V253="","",T253-R253)</f>
        <v/>
      </c>
      <c r="T253" s="7">
        <f>IF($V253="","",M253+P253+K253)</f>
        <v/>
      </c>
      <c r="U253" s="7">
        <f>IF($V253="","",T253-R253-I253)</f>
        <v/>
      </c>
      <c r="V253" s="13">
        <f>IF(ROWS($V$2:$V253)&lt;=MAX('Per Line'!$AH$2:$AH$6001),MATCH(ROWS($V$2:$V253),'Per Line'!$AH$2:$AH$6001,0),"")</f>
        <v/>
      </c>
    </row>
    <row r="254">
      <c r="A254" s="12" t="n"/>
      <c r="B254">
        <f>IF($V254="","",INDEX('Per Line'!$C$2:$C$6001,$V254)&amp;"")</f>
        <v/>
      </c>
      <c r="C254" s="11">
        <f>IF($V254="","",INDEX('Per Line'!$D$2:$D$6001,$V254))</f>
        <v/>
      </c>
      <c r="D254">
        <f>IF($V254="","",INDEX('Per Line'!$E$2:$E$6001,$V254)&amp;"")</f>
        <v/>
      </c>
      <c r="E254">
        <f>IF($V254="","",INDEX('Per Line'!$G$2:$G$6001,$V254)&amp;"")</f>
        <v/>
      </c>
      <c r="F254">
        <f>IF($V254="","",INDEX('Per Line'!$H$2:$H$6001,$V254)&amp;"")</f>
        <v/>
      </c>
      <c r="G254">
        <f>IF($V254="","",INDEX('Per Line'!$I$2:$I$6001,$V254)&amp;"")</f>
        <v/>
      </c>
      <c r="H254">
        <f>IF($V254="","",INDEX('Per Line'!$J$2:$J$6001,$V254))</f>
        <v/>
      </c>
      <c r="I254" s="7">
        <f>IF($V254="","",H254*S254/100)</f>
        <v/>
      </c>
      <c r="J254">
        <f>IF($V254="","",INDEX('Per Line'!$S$2:$S$6001,$V254)&amp;"")</f>
        <v/>
      </c>
      <c r="K254" s="7">
        <f>IF($V254="","",SUMIFS('Per Line'!$R$2:$R$6001,'Per Line'!$C$2:$C$6001,$B254,'Per Line'!$AJ$2:$AJ$6001,1))</f>
        <v/>
      </c>
      <c r="L254">
        <f>IF($V254="","",Settings!$C$7)</f>
        <v/>
      </c>
      <c r="M254" s="7">
        <f>IF($V254="","",SUMIFS('Per Line'!$R$2:$R$6001,'Per Line'!$C$2:$C$6001,$B254,'Per Line'!$AI$2:$AI$6001,0,'Per Line'!$AJ$2:$AJ$6001,0))</f>
        <v/>
      </c>
      <c r="N254" s="7">
        <f>IF($V254="","",M254*L254)</f>
        <v/>
      </c>
      <c r="O254">
        <f>IF($V254="","",Settings!$C$6)</f>
        <v/>
      </c>
      <c r="P254" s="7">
        <f>IF($V254="","",SUMIFS('Per Line'!$R$2:$R$6001,'Per Line'!$C$2:$C$6001,$B254,'Per Line'!$AI$2:$AI$6001,1,'Per Line'!$AJ$2:$AJ$6001,0))</f>
        <v/>
      </c>
      <c r="Q254" s="7">
        <f>IF($V254="","",P254*O254)</f>
        <v/>
      </c>
      <c r="R254" s="7">
        <f>IF($V254="","",Q254+N254)</f>
        <v/>
      </c>
      <c r="S254" s="7">
        <f>IF($V254="","",T254-R254)</f>
        <v/>
      </c>
      <c r="T254" s="7">
        <f>IF($V254="","",M254+P254+K254)</f>
        <v/>
      </c>
      <c r="U254" s="7">
        <f>IF($V254="","",T254-R254-I254)</f>
        <v/>
      </c>
      <c r="V254" s="13">
        <f>IF(ROWS($V$2:$V254)&lt;=MAX('Per Line'!$AH$2:$AH$6001),MATCH(ROWS($V$2:$V254),'Per Line'!$AH$2:$AH$6001,0),"")</f>
        <v/>
      </c>
    </row>
    <row r="255">
      <c r="A255" s="12" t="n"/>
      <c r="B255">
        <f>IF($V255="","",INDEX('Per Line'!$C$2:$C$6001,$V255)&amp;"")</f>
        <v/>
      </c>
      <c r="C255" s="11">
        <f>IF($V255="","",INDEX('Per Line'!$D$2:$D$6001,$V255))</f>
        <v/>
      </c>
      <c r="D255">
        <f>IF($V255="","",INDEX('Per Line'!$E$2:$E$6001,$V255)&amp;"")</f>
        <v/>
      </c>
      <c r="E255">
        <f>IF($V255="","",INDEX('Per Line'!$G$2:$G$6001,$V255)&amp;"")</f>
        <v/>
      </c>
      <c r="F255">
        <f>IF($V255="","",INDEX('Per Line'!$H$2:$H$6001,$V255)&amp;"")</f>
        <v/>
      </c>
      <c r="G255">
        <f>IF($V255="","",INDEX('Per Line'!$I$2:$I$6001,$V255)&amp;"")</f>
        <v/>
      </c>
      <c r="H255">
        <f>IF($V255="","",INDEX('Per Line'!$J$2:$J$6001,$V255))</f>
        <v/>
      </c>
      <c r="I255" s="7">
        <f>IF($V255="","",H255*S255/100)</f>
        <v/>
      </c>
      <c r="J255">
        <f>IF($V255="","",INDEX('Per Line'!$S$2:$S$6001,$V255)&amp;"")</f>
        <v/>
      </c>
      <c r="K255" s="7">
        <f>IF($V255="","",SUMIFS('Per Line'!$R$2:$R$6001,'Per Line'!$C$2:$C$6001,$B255,'Per Line'!$AJ$2:$AJ$6001,1))</f>
        <v/>
      </c>
      <c r="L255">
        <f>IF($V255="","",Settings!$C$7)</f>
        <v/>
      </c>
      <c r="M255" s="7">
        <f>IF($V255="","",SUMIFS('Per Line'!$R$2:$R$6001,'Per Line'!$C$2:$C$6001,$B255,'Per Line'!$AI$2:$AI$6001,0,'Per Line'!$AJ$2:$AJ$6001,0))</f>
        <v/>
      </c>
      <c r="N255" s="7">
        <f>IF($V255="","",M255*L255)</f>
        <v/>
      </c>
      <c r="O255">
        <f>IF($V255="","",Settings!$C$6)</f>
        <v/>
      </c>
      <c r="P255" s="7">
        <f>IF($V255="","",SUMIFS('Per Line'!$R$2:$R$6001,'Per Line'!$C$2:$C$6001,$B255,'Per Line'!$AI$2:$AI$6001,1,'Per Line'!$AJ$2:$AJ$6001,0))</f>
        <v/>
      </c>
      <c r="Q255" s="7">
        <f>IF($V255="","",P255*O255)</f>
        <v/>
      </c>
      <c r="R255" s="7">
        <f>IF($V255="","",Q255+N255)</f>
        <v/>
      </c>
      <c r="S255" s="7">
        <f>IF($V255="","",T255-R255)</f>
        <v/>
      </c>
      <c r="T255" s="7">
        <f>IF($V255="","",M255+P255+K255)</f>
        <v/>
      </c>
      <c r="U255" s="7">
        <f>IF($V255="","",T255-R255-I255)</f>
        <v/>
      </c>
      <c r="V255" s="13">
        <f>IF(ROWS($V$2:$V255)&lt;=MAX('Per Line'!$AH$2:$AH$6001),MATCH(ROWS($V$2:$V255),'Per Line'!$AH$2:$AH$6001,0),"")</f>
        <v/>
      </c>
    </row>
    <row r="256">
      <c r="A256" s="12" t="n"/>
      <c r="B256">
        <f>IF($V256="","",INDEX('Per Line'!$C$2:$C$6001,$V256)&amp;"")</f>
        <v/>
      </c>
      <c r="C256" s="11">
        <f>IF($V256="","",INDEX('Per Line'!$D$2:$D$6001,$V256))</f>
        <v/>
      </c>
      <c r="D256">
        <f>IF($V256="","",INDEX('Per Line'!$E$2:$E$6001,$V256)&amp;"")</f>
        <v/>
      </c>
      <c r="E256">
        <f>IF($V256="","",INDEX('Per Line'!$G$2:$G$6001,$V256)&amp;"")</f>
        <v/>
      </c>
      <c r="F256">
        <f>IF($V256="","",INDEX('Per Line'!$H$2:$H$6001,$V256)&amp;"")</f>
        <v/>
      </c>
      <c r="G256">
        <f>IF($V256="","",INDEX('Per Line'!$I$2:$I$6001,$V256)&amp;"")</f>
        <v/>
      </c>
      <c r="H256">
        <f>IF($V256="","",INDEX('Per Line'!$J$2:$J$6001,$V256))</f>
        <v/>
      </c>
      <c r="I256" s="7">
        <f>IF($V256="","",H256*S256/100)</f>
        <v/>
      </c>
      <c r="J256">
        <f>IF($V256="","",INDEX('Per Line'!$S$2:$S$6001,$V256)&amp;"")</f>
        <v/>
      </c>
      <c r="K256" s="7">
        <f>IF($V256="","",SUMIFS('Per Line'!$R$2:$R$6001,'Per Line'!$C$2:$C$6001,$B256,'Per Line'!$AJ$2:$AJ$6001,1))</f>
        <v/>
      </c>
      <c r="L256">
        <f>IF($V256="","",Settings!$C$7)</f>
        <v/>
      </c>
      <c r="M256" s="7">
        <f>IF($V256="","",SUMIFS('Per Line'!$R$2:$R$6001,'Per Line'!$C$2:$C$6001,$B256,'Per Line'!$AI$2:$AI$6001,0,'Per Line'!$AJ$2:$AJ$6001,0))</f>
        <v/>
      </c>
      <c r="N256" s="7">
        <f>IF($V256="","",M256*L256)</f>
        <v/>
      </c>
      <c r="O256">
        <f>IF($V256="","",Settings!$C$6)</f>
        <v/>
      </c>
      <c r="P256" s="7">
        <f>IF($V256="","",SUMIFS('Per Line'!$R$2:$R$6001,'Per Line'!$C$2:$C$6001,$B256,'Per Line'!$AI$2:$AI$6001,1,'Per Line'!$AJ$2:$AJ$6001,0))</f>
        <v/>
      </c>
      <c r="Q256" s="7">
        <f>IF($V256="","",P256*O256)</f>
        <v/>
      </c>
      <c r="R256" s="7">
        <f>IF($V256="","",Q256+N256)</f>
        <v/>
      </c>
      <c r="S256" s="7">
        <f>IF($V256="","",T256-R256)</f>
        <v/>
      </c>
      <c r="T256" s="7">
        <f>IF($V256="","",M256+P256+K256)</f>
        <v/>
      </c>
      <c r="U256" s="7">
        <f>IF($V256="","",T256-R256-I256)</f>
        <v/>
      </c>
      <c r="V256" s="13">
        <f>IF(ROWS($V$2:$V256)&lt;=MAX('Per Line'!$AH$2:$AH$6001),MATCH(ROWS($V$2:$V256),'Per Line'!$AH$2:$AH$6001,0),"")</f>
        <v/>
      </c>
    </row>
    <row r="257">
      <c r="A257" s="12" t="n"/>
      <c r="B257">
        <f>IF($V257="","",INDEX('Per Line'!$C$2:$C$6001,$V257)&amp;"")</f>
        <v/>
      </c>
      <c r="C257" s="11">
        <f>IF($V257="","",INDEX('Per Line'!$D$2:$D$6001,$V257))</f>
        <v/>
      </c>
      <c r="D257">
        <f>IF($V257="","",INDEX('Per Line'!$E$2:$E$6001,$V257)&amp;"")</f>
        <v/>
      </c>
      <c r="E257">
        <f>IF($V257="","",INDEX('Per Line'!$G$2:$G$6001,$V257)&amp;"")</f>
        <v/>
      </c>
      <c r="F257">
        <f>IF($V257="","",INDEX('Per Line'!$H$2:$H$6001,$V257)&amp;"")</f>
        <v/>
      </c>
      <c r="G257">
        <f>IF($V257="","",INDEX('Per Line'!$I$2:$I$6001,$V257)&amp;"")</f>
        <v/>
      </c>
      <c r="H257">
        <f>IF($V257="","",INDEX('Per Line'!$J$2:$J$6001,$V257))</f>
        <v/>
      </c>
      <c r="I257" s="7">
        <f>IF($V257="","",H257*S257/100)</f>
        <v/>
      </c>
      <c r="J257">
        <f>IF($V257="","",INDEX('Per Line'!$S$2:$S$6001,$V257)&amp;"")</f>
        <v/>
      </c>
      <c r="K257" s="7">
        <f>IF($V257="","",SUMIFS('Per Line'!$R$2:$R$6001,'Per Line'!$C$2:$C$6001,$B257,'Per Line'!$AJ$2:$AJ$6001,1))</f>
        <v/>
      </c>
      <c r="L257">
        <f>IF($V257="","",Settings!$C$7)</f>
        <v/>
      </c>
      <c r="M257" s="7">
        <f>IF($V257="","",SUMIFS('Per Line'!$R$2:$R$6001,'Per Line'!$C$2:$C$6001,$B257,'Per Line'!$AI$2:$AI$6001,0,'Per Line'!$AJ$2:$AJ$6001,0))</f>
        <v/>
      </c>
      <c r="N257" s="7">
        <f>IF($V257="","",M257*L257)</f>
        <v/>
      </c>
      <c r="O257">
        <f>IF($V257="","",Settings!$C$6)</f>
        <v/>
      </c>
      <c r="P257" s="7">
        <f>IF($V257="","",SUMIFS('Per Line'!$R$2:$R$6001,'Per Line'!$C$2:$C$6001,$B257,'Per Line'!$AI$2:$AI$6001,1,'Per Line'!$AJ$2:$AJ$6001,0))</f>
        <v/>
      </c>
      <c r="Q257" s="7">
        <f>IF($V257="","",P257*O257)</f>
        <v/>
      </c>
      <c r="R257" s="7">
        <f>IF($V257="","",Q257+N257)</f>
        <v/>
      </c>
      <c r="S257" s="7">
        <f>IF($V257="","",T257-R257)</f>
        <v/>
      </c>
      <c r="T257" s="7">
        <f>IF($V257="","",M257+P257+K257)</f>
        <v/>
      </c>
      <c r="U257" s="7">
        <f>IF($V257="","",T257-R257-I257)</f>
        <v/>
      </c>
      <c r="V257" s="13">
        <f>IF(ROWS($V$2:$V257)&lt;=MAX('Per Line'!$AH$2:$AH$6001),MATCH(ROWS($V$2:$V257),'Per Line'!$AH$2:$AH$6001,0),"")</f>
        <v/>
      </c>
    </row>
    <row r="258">
      <c r="A258" s="12" t="n"/>
      <c r="B258">
        <f>IF($V258="","",INDEX('Per Line'!$C$2:$C$6001,$V258)&amp;"")</f>
        <v/>
      </c>
      <c r="C258" s="11">
        <f>IF($V258="","",INDEX('Per Line'!$D$2:$D$6001,$V258))</f>
        <v/>
      </c>
      <c r="D258">
        <f>IF($V258="","",INDEX('Per Line'!$E$2:$E$6001,$V258)&amp;"")</f>
        <v/>
      </c>
      <c r="E258">
        <f>IF($V258="","",INDEX('Per Line'!$G$2:$G$6001,$V258)&amp;"")</f>
        <v/>
      </c>
      <c r="F258">
        <f>IF($V258="","",INDEX('Per Line'!$H$2:$H$6001,$V258)&amp;"")</f>
        <v/>
      </c>
      <c r="G258">
        <f>IF($V258="","",INDEX('Per Line'!$I$2:$I$6001,$V258)&amp;"")</f>
        <v/>
      </c>
      <c r="H258">
        <f>IF($V258="","",INDEX('Per Line'!$J$2:$J$6001,$V258))</f>
        <v/>
      </c>
      <c r="I258" s="7">
        <f>IF($V258="","",H258*S258/100)</f>
        <v/>
      </c>
      <c r="J258">
        <f>IF($V258="","",INDEX('Per Line'!$S$2:$S$6001,$V258)&amp;"")</f>
        <v/>
      </c>
      <c r="K258" s="7">
        <f>IF($V258="","",SUMIFS('Per Line'!$R$2:$R$6001,'Per Line'!$C$2:$C$6001,$B258,'Per Line'!$AJ$2:$AJ$6001,1))</f>
        <v/>
      </c>
      <c r="L258">
        <f>IF($V258="","",Settings!$C$7)</f>
        <v/>
      </c>
      <c r="M258" s="7">
        <f>IF($V258="","",SUMIFS('Per Line'!$R$2:$R$6001,'Per Line'!$C$2:$C$6001,$B258,'Per Line'!$AI$2:$AI$6001,0,'Per Line'!$AJ$2:$AJ$6001,0))</f>
        <v/>
      </c>
      <c r="N258" s="7">
        <f>IF($V258="","",M258*L258)</f>
        <v/>
      </c>
      <c r="O258">
        <f>IF($V258="","",Settings!$C$6)</f>
        <v/>
      </c>
      <c r="P258" s="7">
        <f>IF($V258="","",SUMIFS('Per Line'!$R$2:$R$6001,'Per Line'!$C$2:$C$6001,$B258,'Per Line'!$AI$2:$AI$6001,1,'Per Line'!$AJ$2:$AJ$6001,0))</f>
        <v/>
      </c>
      <c r="Q258" s="7">
        <f>IF($V258="","",P258*O258)</f>
        <v/>
      </c>
      <c r="R258" s="7">
        <f>IF($V258="","",Q258+N258)</f>
        <v/>
      </c>
      <c r="S258" s="7">
        <f>IF($V258="","",T258-R258)</f>
        <v/>
      </c>
      <c r="T258" s="7">
        <f>IF($V258="","",M258+P258+K258)</f>
        <v/>
      </c>
      <c r="U258" s="7">
        <f>IF($V258="","",T258-R258-I258)</f>
        <v/>
      </c>
      <c r="V258" s="13">
        <f>IF(ROWS($V$2:$V258)&lt;=MAX('Per Line'!$AH$2:$AH$6001),MATCH(ROWS($V$2:$V258),'Per Line'!$AH$2:$AH$6001,0),"")</f>
        <v/>
      </c>
    </row>
    <row r="259">
      <c r="A259" s="12" t="n"/>
      <c r="B259">
        <f>IF($V259="","",INDEX('Per Line'!$C$2:$C$6001,$V259)&amp;"")</f>
        <v/>
      </c>
      <c r="C259" s="11">
        <f>IF($V259="","",INDEX('Per Line'!$D$2:$D$6001,$V259))</f>
        <v/>
      </c>
      <c r="D259">
        <f>IF($V259="","",INDEX('Per Line'!$E$2:$E$6001,$V259)&amp;"")</f>
        <v/>
      </c>
      <c r="E259">
        <f>IF($V259="","",INDEX('Per Line'!$G$2:$G$6001,$V259)&amp;"")</f>
        <v/>
      </c>
      <c r="F259">
        <f>IF($V259="","",INDEX('Per Line'!$H$2:$H$6001,$V259)&amp;"")</f>
        <v/>
      </c>
      <c r="G259">
        <f>IF($V259="","",INDEX('Per Line'!$I$2:$I$6001,$V259)&amp;"")</f>
        <v/>
      </c>
      <c r="H259">
        <f>IF($V259="","",INDEX('Per Line'!$J$2:$J$6001,$V259))</f>
        <v/>
      </c>
      <c r="I259" s="7">
        <f>IF($V259="","",H259*S259/100)</f>
        <v/>
      </c>
      <c r="J259">
        <f>IF($V259="","",INDEX('Per Line'!$S$2:$S$6001,$V259)&amp;"")</f>
        <v/>
      </c>
      <c r="K259" s="7">
        <f>IF($V259="","",SUMIFS('Per Line'!$R$2:$R$6001,'Per Line'!$C$2:$C$6001,$B259,'Per Line'!$AJ$2:$AJ$6001,1))</f>
        <v/>
      </c>
      <c r="L259">
        <f>IF($V259="","",Settings!$C$7)</f>
        <v/>
      </c>
      <c r="M259" s="7">
        <f>IF($V259="","",SUMIFS('Per Line'!$R$2:$R$6001,'Per Line'!$C$2:$C$6001,$B259,'Per Line'!$AI$2:$AI$6001,0,'Per Line'!$AJ$2:$AJ$6001,0))</f>
        <v/>
      </c>
      <c r="N259" s="7">
        <f>IF($V259="","",M259*L259)</f>
        <v/>
      </c>
      <c r="O259">
        <f>IF($V259="","",Settings!$C$6)</f>
        <v/>
      </c>
      <c r="P259" s="7">
        <f>IF($V259="","",SUMIFS('Per Line'!$R$2:$R$6001,'Per Line'!$C$2:$C$6001,$B259,'Per Line'!$AI$2:$AI$6001,1,'Per Line'!$AJ$2:$AJ$6001,0))</f>
        <v/>
      </c>
      <c r="Q259" s="7">
        <f>IF($V259="","",P259*O259)</f>
        <v/>
      </c>
      <c r="R259" s="7">
        <f>IF($V259="","",Q259+N259)</f>
        <v/>
      </c>
      <c r="S259" s="7">
        <f>IF($V259="","",T259-R259)</f>
        <v/>
      </c>
      <c r="T259" s="7">
        <f>IF($V259="","",M259+P259+K259)</f>
        <v/>
      </c>
      <c r="U259" s="7">
        <f>IF($V259="","",T259-R259-I259)</f>
        <v/>
      </c>
      <c r="V259" s="13">
        <f>IF(ROWS($V$2:$V259)&lt;=MAX('Per Line'!$AH$2:$AH$6001),MATCH(ROWS($V$2:$V259),'Per Line'!$AH$2:$AH$6001,0),"")</f>
        <v/>
      </c>
    </row>
    <row r="260">
      <c r="A260" s="12" t="n"/>
      <c r="B260">
        <f>IF($V260="","",INDEX('Per Line'!$C$2:$C$6001,$V260)&amp;"")</f>
        <v/>
      </c>
      <c r="C260" s="11">
        <f>IF($V260="","",INDEX('Per Line'!$D$2:$D$6001,$V260))</f>
        <v/>
      </c>
      <c r="D260">
        <f>IF($V260="","",INDEX('Per Line'!$E$2:$E$6001,$V260)&amp;"")</f>
        <v/>
      </c>
      <c r="E260">
        <f>IF($V260="","",INDEX('Per Line'!$G$2:$G$6001,$V260)&amp;"")</f>
        <v/>
      </c>
      <c r="F260">
        <f>IF($V260="","",INDEX('Per Line'!$H$2:$H$6001,$V260)&amp;"")</f>
        <v/>
      </c>
      <c r="G260">
        <f>IF($V260="","",INDEX('Per Line'!$I$2:$I$6001,$V260)&amp;"")</f>
        <v/>
      </c>
      <c r="H260">
        <f>IF($V260="","",INDEX('Per Line'!$J$2:$J$6001,$V260))</f>
        <v/>
      </c>
      <c r="I260" s="7">
        <f>IF($V260="","",H260*S260/100)</f>
        <v/>
      </c>
      <c r="J260">
        <f>IF($V260="","",INDEX('Per Line'!$S$2:$S$6001,$V260)&amp;"")</f>
        <v/>
      </c>
      <c r="K260" s="7">
        <f>IF($V260="","",SUMIFS('Per Line'!$R$2:$R$6001,'Per Line'!$C$2:$C$6001,$B260,'Per Line'!$AJ$2:$AJ$6001,1))</f>
        <v/>
      </c>
      <c r="L260">
        <f>IF($V260="","",Settings!$C$7)</f>
        <v/>
      </c>
      <c r="M260" s="7">
        <f>IF($V260="","",SUMIFS('Per Line'!$R$2:$R$6001,'Per Line'!$C$2:$C$6001,$B260,'Per Line'!$AI$2:$AI$6001,0,'Per Line'!$AJ$2:$AJ$6001,0))</f>
        <v/>
      </c>
      <c r="N260" s="7">
        <f>IF($V260="","",M260*L260)</f>
        <v/>
      </c>
      <c r="O260">
        <f>IF($V260="","",Settings!$C$6)</f>
        <v/>
      </c>
      <c r="P260" s="7">
        <f>IF($V260="","",SUMIFS('Per Line'!$R$2:$R$6001,'Per Line'!$C$2:$C$6001,$B260,'Per Line'!$AI$2:$AI$6001,1,'Per Line'!$AJ$2:$AJ$6001,0))</f>
        <v/>
      </c>
      <c r="Q260" s="7">
        <f>IF($V260="","",P260*O260)</f>
        <v/>
      </c>
      <c r="R260" s="7">
        <f>IF($V260="","",Q260+N260)</f>
        <v/>
      </c>
      <c r="S260" s="7">
        <f>IF($V260="","",T260-R260)</f>
        <v/>
      </c>
      <c r="T260" s="7">
        <f>IF($V260="","",M260+P260+K260)</f>
        <v/>
      </c>
      <c r="U260" s="7">
        <f>IF($V260="","",T260-R260-I260)</f>
        <v/>
      </c>
      <c r="V260" s="13">
        <f>IF(ROWS($V$2:$V260)&lt;=MAX('Per Line'!$AH$2:$AH$6001),MATCH(ROWS($V$2:$V260),'Per Line'!$AH$2:$AH$6001,0),"")</f>
        <v/>
      </c>
    </row>
    <row r="261">
      <c r="A261" s="12" t="n"/>
      <c r="B261">
        <f>IF($V261="","",INDEX('Per Line'!$C$2:$C$6001,$V261)&amp;"")</f>
        <v/>
      </c>
      <c r="C261" s="11">
        <f>IF($V261="","",INDEX('Per Line'!$D$2:$D$6001,$V261))</f>
        <v/>
      </c>
      <c r="D261">
        <f>IF($V261="","",INDEX('Per Line'!$E$2:$E$6001,$V261)&amp;"")</f>
        <v/>
      </c>
      <c r="E261">
        <f>IF($V261="","",INDEX('Per Line'!$G$2:$G$6001,$V261)&amp;"")</f>
        <v/>
      </c>
      <c r="F261">
        <f>IF($V261="","",INDEX('Per Line'!$H$2:$H$6001,$V261)&amp;"")</f>
        <v/>
      </c>
      <c r="G261">
        <f>IF($V261="","",INDEX('Per Line'!$I$2:$I$6001,$V261)&amp;"")</f>
        <v/>
      </c>
      <c r="H261">
        <f>IF($V261="","",INDEX('Per Line'!$J$2:$J$6001,$V261))</f>
        <v/>
      </c>
      <c r="I261" s="7">
        <f>IF($V261="","",H261*S261/100)</f>
        <v/>
      </c>
      <c r="J261">
        <f>IF($V261="","",INDEX('Per Line'!$S$2:$S$6001,$V261)&amp;"")</f>
        <v/>
      </c>
      <c r="K261" s="7">
        <f>IF($V261="","",SUMIFS('Per Line'!$R$2:$R$6001,'Per Line'!$C$2:$C$6001,$B261,'Per Line'!$AJ$2:$AJ$6001,1))</f>
        <v/>
      </c>
      <c r="L261">
        <f>IF($V261="","",Settings!$C$7)</f>
        <v/>
      </c>
      <c r="M261" s="7">
        <f>IF($V261="","",SUMIFS('Per Line'!$R$2:$R$6001,'Per Line'!$C$2:$C$6001,$B261,'Per Line'!$AI$2:$AI$6001,0,'Per Line'!$AJ$2:$AJ$6001,0))</f>
        <v/>
      </c>
      <c r="N261" s="7">
        <f>IF($V261="","",M261*L261)</f>
        <v/>
      </c>
      <c r="O261">
        <f>IF($V261="","",Settings!$C$6)</f>
        <v/>
      </c>
      <c r="P261" s="7">
        <f>IF($V261="","",SUMIFS('Per Line'!$R$2:$R$6001,'Per Line'!$C$2:$C$6001,$B261,'Per Line'!$AI$2:$AI$6001,1,'Per Line'!$AJ$2:$AJ$6001,0))</f>
        <v/>
      </c>
      <c r="Q261" s="7">
        <f>IF($V261="","",P261*O261)</f>
        <v/>
      </c>
      <c r="R261" s="7">
        <f>IF($V261="","",Q261+N261)</f>
        <v/>
      </c>
      <c r="S261" s="7">
        <f>IF($V261="","",T261-R261)</f>
        <v/>
      </c>
      <c r="T261" s="7">
        <f>IF($V261="","",M261+P261+K261)</f>
        <v/>
      </c>
      <c r="U261" s="7">
        <f>IF($V261="","",T261-R261-I261)</f>
        <v/>
      </c>
      <c r="V261" s="13">
        <f>IF(ROWS($V$2:$V261)&lt;=MAX('Per Line'!$AH$2:$AH$6001),MATCH(ROWS($V$2:$V261),'Per Line'!$AH$2:$AH$6001,0),"")</f>
        <v/>
      </c>
    </row>
    <row r="262">
      <c r="A262" s="12" t="n"/>
      <c r="B262">
        <f>IF($V262="","",INDEX('Per Line'!$C$2:$C$6001,$V262)&amp;"")</f>
        <v/>
      </c>
      <c r="C262" s="11">
        <f>IF($V262="","",INDEX('Per Line'!$D$2:$D$6001,$V262))</f>
        <v/>
      </c>
      <c r="D262">
        <f>IF($V262="","",INDEX('Per Line'!$E$2:$E$6001,$V262)&amp;"")</f>
        <v/>
      </c>
      <c r="E262">
        <f>IF($V262="","",INDEX('Per Line'!$G$2:$G$6001,$V262)&amp;"")</f>
        <v/>
      </c>
      <c r="F262">
        <f>IF($V262="","",INDEX('Per Line'!$H$2:$H$6001,$V262)&amp;"")</f>
        <v/>
      </c>
      <c r="G262">
        <f>IF($V262="","",INDEX('Per Line'!$I$2:$I$6001,$V262)&amp;"")</f>
        <v/>
      </c>
      <c r="H262">
        <f>IF($V262="","",INDEX('Per Line'!$J$2:$J$6001,$V262))</f>
        <v/>
      </c>
      <c r="I262" s="7">
        <f>IF($V262="","",H262*S262/100)</f>
        <v/>
      </c>
      <c r="J262">
        <f>IF($V262="","",INDEX('Per Line'!$S$2:$S$6001,$V262)&amp;"")</f>
        <v/>
      </c>
      <c r="K262" s="7">
        <f>IF($V262="","",SUMIFS('Per Line'!$R$2:$R$6001,'Per Line'!$C$2:$C$6001,$B262,'Per Line'!$AJ$2:$AJ$6001,1))</f>
        <v/>
      </c>
      <c r="L262">
        <f>IF($V262="","",Settings!$C$7)</f>
        <v/>
      </c>
      <c r="M262" s="7">
        <f>IF($V262="","",SUMIFS('Per Line'!$R$2:$R$6001,'Per Line'!$C$2:$C$6001,$B262,'Per Line'!$AI$2:$AI$6001,0,'Per Line'!$AJ$2:$AJ$6001,0))</f>
        <v/>
      </c>
      <c r="N262" s="7">
        <f>IF($V262="","",M262*L262)</f>
        <v/>
      </c>
      <c r="O262">
        <f>IF($V262="","",Settings!$C$6)</f>
        <v/>
      </c>
      <c r="P262" s="7">
        <f>IF($V262="","",SUMIFS('Per Line'!$R$2:$R$6001,'Per Line'!$C$2:$C$6001,$B262,'Per Line'!$AI$2:$AI$6001,1,'Per Line'!$AJ$2:$AJ$6001,0))</f>
        <v/>
      </c>
      <c r="Q262" s="7">
        <f>IF($V262="","",P262*O262)</f>
        <v/>
      </c>
      <c r="R262" s="7">
        <f>IF($V262="","",Q262+N262)</f>
        <v/>
      </c>
      <c r="S262" s="7">
        <f>IF($V262="","",T262-R262)</f>
        <v/>
      </c>
      <c r="T262" s="7">
        <f>IF($V262="","",M262+P262+K262)</f>
        <v/>
      </c>
      <c r="U262" s="7">
        <f>IF($V262="","",T262-R262-I262)</f>
        <v/>
      </c>
      <c r="V262" s="13">
        <f>IF(ROWS($V$2:$V262)&lt;=MAX('Per Line'!$AH$2:$AH$6001),MATCH(ROWS($V$2:$V262),'Per Line'!$AH$2:$AH$6001,0),"")</f>
        <v/>
      </c>
    </row>
    <row r="263">
      <c r="A263" s="12" t="n"/>
      <c r="B263">
        <f>IF($V263="","",INDEX('Per Line'!$C$2:$C$6001,$V263)&amp;"")</f>
        <v/>
      </c>
      <c r="C263" s="11">
        <f>IF($V263="","",INDEX('Per Line'!$D$2:$D$6001,$V263))</f>
        <v/>
      </c>
      <c r="D263">
        <f>IF($V263="","",INDEX('Per Line'!$E$2:$E$6001,$V263)&amp;"")</f>
        <v/>
      </c>
      <c r="E263">
        <f>IF($V263="","",INDEX('Per Line'!$G$2:$G$6001,$V263)&amp;"")</f>
        <v/>
      </c>
      <c r="F263">
        <f>IF($V263="","",INDEX('Per Line'!$H$2:$H$6001,$V263)&amp;"")</f>
        <v/>
      </c>
      <c r="G263">
        <f>IF($V263="","",INDEX('Per Line'!$I$2:$I$6001,$V263)&amp;"")</f>
        <v/>
      </c>
      <c r="H263">
        <f>IF($V263="","",INDEX('Per Line'!$J$2:$J$6001,$V263))</f>
        <v/>
      </c>
      <c r="I263" s="7">
        <f>IF($V263="","",H263*S263/100)</f>
        <v/>
      </c>
      <c r="J263">
        <f>IF($V263="","",INDEX('Per Line'!$S$2:$S$6001,$V263)&amp;"")</f>
        <v/>
      </c>
      <c r="K263" s="7">
        <f>IF($V263="","",SUMIFS('Per Line'!$R$2:$R$6001,'Per Line'!$C$2:$C$6001,$B263,'Per Line'!$AJ$2:$AJ$6001,1))</f>
        <v/>
      </c>
      <c r="L263">
        <f>IF($V263="","",Settings!$C$7)</f>
        <v/>
      </c>
      <c r="M263" s="7">
        <f>IF($V263="","",SUMIFS('Per Line'!$R$2:$R$6001,'Per Line'!$C$2:$C$6001,$B263,'Per Line'!$AI$2:$AI$6001,0,'Per Line'!$AJ$2:$AJ$6001,0))</f>
        <v/>
      </c>
      <c r="N263" s="7">
        <f>IF($V263="","",M263*L263)</f>
        <v/>
      </c>
      <c r="O263">
        <f>IF($V263="","",Settings!$C$6)</f>
        <v/>
      </c>
      <c r="P263" s="7">
        <f>IF($V263="","",SUMIFS('Per Line'!$R$2:$R$6001,'Per Line'!$C$2:$C$6001,$B263,'Per Line'!$AI$2:$AI$6001,1,'Per Line'!$AJ$2:$AJ$6001,0))</f>
        <v/>
      </c>
      <c r="Q263" s="7">
        <f>IF($V263="","",P263*O263)</f>
        <v/>
      </c>
      <c r="R263" s="7">
        <f>IF($V263="","",Q263+N263)</f>
        <v/>
      </c>
      <c r="S263" s="7">
        <f>IF($V263="","",T263-R263)</f>
        <v/>
      </c>
      <c r="T263" s="7">
        <f>IF($V263="","",M263+P263+K263)</f>
        <v/>
      </c>
      <c r="U263" s="7">
        <f>IF($V263="","",T263-R263-I263)</f>
        <v/>
      </c>
      <c r="V263" s="13">
        <f>IF(ROWS($V$2:$V263)&lt;=MAX('Per Line'!$AH$2:$AH$6001),MATCH(ROWS($V$2:$V263),'Per Line'!$AH$2:$AH$6001,0),"")</f>
        <v/>
      </c>
    </row>
    <row r="264">
      <c r="A264" s="12" t="n"/>
      <c r="B264">
        <f>IF($V264="","",INDEX('Per Line'!$C$2:$C$6001,$V264)&amp;"")</f>
        <v/>
      </c>
      <c r="C264" s="11">
        <f>IF($V264="","",INDEX('Per Line'!$D$2:$D$6001,$V264))</f>
        <v/>
      </c>
      <c r="D264">
        <f>IF($V264="","",INDEX('Per Line'!$E$2:$E$6001,$V264)&amp;"")</f>
        <v/>
      </c>
      <c r="E264">
        <f>IF($V264="","",INDEX('Per Line'!$G$2:$G$6001,$V264)&amp;"")</f>
        <v/>
      </c>
      <c r="F264">
        <f>IF($V264="","",INDEX('Per Line'!$H$2:$H$6001,$V264)&amp;"")</f>
        <v/>
      </c>
      <c r="G264">
        <f>IF($V264="","",INDEX('Per Line'!$I$2:$I$6001,$V264)&amp;"")</f>
        <v/>
      </c>
      <c r="H264">
        <f>IF($V264="","",INDEX('Per Line'!$J$2:$J$6001,$V264))</f>
        <v/>
      </c>
      <c r="I264" s="7">
        <f>IF($V264="","",H264*S264/100)</f>
        <v/>
      </c>
      <c r="J264">
        <f>IF($V264="","",INDEX('Per Line'!$S$2:$S$6001,$V264)&amp;"")</f>
        <v/>
      </c>
      <c r="K264" s="7">
        <f>IF($V264="","",SUMIFS('Per Line'!$R$2:$R$6001,'Per Line'!$C$2:$C$6001,$B264,'Per Line'!$AJ$2:$AJ$6001,1))</f>
        <v/>
      </c>
      <c r="L264">
        <f>IF($V264="","",Settings!$C$7)</f>
        <v/>
      </c>
      <c r="M264" s="7">
        <f>IF($V264="","",SUMIFS('Per Line'!$R$2:$R$6001,'Per Line'!$C$2:$C$6001,$B264,'Per Line'!$AI$2:$AI$6001,0,'Per Line'!$AJ$2:$AJ$6001,0))</f>
        <v/>
      </c>
      <c r="N264" s="7">
        <f>IF($V264="","",M264*L264)</f>
        <v/>
      </c>
      <c r="O264">
        <f>IF($V264="","",Settings!$C$6)</f>
        <v/>
      </c>
      <c r="P264" s="7">
        <f>IF($V264="","",SUMIFS('Per Line'!$R$2:$R$6001,'Per Line'!$C$2:$C$6001,$B264,'Per Line'!$AI$2:$AI$6001,1,'Per Line'!$AJ$2:$AJ$6001,0))</f>
        <v/>
      </c>
      <c r="Q264" s="7">
        <f>IF($V264="","",P264*O264)</f>
        <v/>
      </c>
      <c r="R264" s="7">
        <f>IF($V264="","",Q264+N264)</f>
        <v/>
      </c>
      <c r="S264" s="7">
        <f>IF($V264="","",T264-R264)</f>
        <v/>
      </c>
      <c r="T264" s="7">
        <f>IF($V264="","",M264+P264+K264)</f>
        <v/>
      </c>
      <c r="U264" s="7">
        <f>IF($V264="","",T264-R264-I264)</f>
        <v/>
      </c>
      <c r="V264" s="13">
        <f>IF(ROWS($V$2:$V264)&lt;=MAX('Per Line'!$AH$2:$AH$6001),MATCH(ROWS($V$2:$V264),'Per Line'!$AH$2:$AH$6001,0),"")</f>
        <v/>
      </c>
    </row>
    <row r="265">
      <c r="A265" s="12" t="n"/>
      <c r="B265">
        <f>IF($V265="","",INDEX('Per Line'!$C$2:$C$6001,$V265)&amp;"")</f>
        <v/>
      </c>
      <c r="C265" s="11">
        <f>IF($V265="","",INDEX('Per Line'!$D$2:$D$6001,$V265))</f>
        <v/>
      </c>
      <c r="D265">
        <f>IF($V265="","",INDEX('Per Line'!$E$2:$E$6001,$V265)&amp;"")</f>
        <v/>
      </c>
      <c r="E265">
        <f>IF($V265="","",INDEX('Per Line'!$G$2:$G$6001,$V265)&amp;"")</f>
        <v/>
      </c>
      <c r="F265">
        <f>IF($V265="","",INDEX('Per Line'!$H$2:$H$6001,$V265)&amp;"")</f>
        <v/>
      </c>
      <c r="G265">
        <f>IF($V265="","",INDEX('Per Line'!$I$2:$I$6001,$V265)&amp;"")</f>
        <v/>
      </c>
      <c r="H265">
        <f>IF($V265="","",INDEX('Per Line'!$J$2:$J$6001,$V265))</f>
        <v/>
      </c>
      <c r="I265" s="7">
        <f>IF($V265="","",H265*S265/100)</f>
        <v/>
      </c>
      <c r="J265">
        <f>IF($V265="","",INDEX('Per Line'!$S$2:$S$6001,$V265)&amp;"")</f>
        <v/>
      </c>
      <c r="K265" s="7">
        <f>IF($V265="","",SUMIFS('Per Line'!$R$2:$R$6001,'Per Line'!$C$2:$C$6001,$B265,'Per Line'!$AJ$2:$AJ$6001,1))</f>
        <v/>
      </c>
      <c r="L265">
        <f>IF($V265="","",Settings!$C$7)</f>
        <v/>
      </c>
      <c r="M265" s="7">
        <f>IF($V265="","",SUMIFS('Per Line'!$R$2:$R$6001,'Per Line'!$C$2:$C$6001,$B265,'Per Line'!$AI$2:$AI$6001,0,'Per Line'!$AJ$2:$AJ$6001,0))</f>
        <v/>
      </c>
      <c r="N265" s="7">
        <f>IF($V265="","",M265*L265)</f>
        <v/>
      </c>
      <c r="O265">
        <f>IF($V265="","",Settings!$C$6)</f>
        <v/>
      </c>
      <c r="P265" s="7">
        <f>IF($V265="","",SUMIFS('Per Line'!$R$2:$R$6001,'Per Line'!$C$2:$C$6001,$B265,'Per Line'!$AI$2:$AI$6001,1,'Per Line'!$AJ$2:$AJ$6001,0))</f>
        <v/>
      </c>
      <c r="Q265" s="7">
        <f>IF($V265="","",P265*O265)</f>
        <v/>
      </c>
      <c r="R265" s="7">
        <f>IF($V265="","",Q265+N265)</f>
        <v/>
      </c>
      <c r="S265" s="7">
        <f>IF($V265="","",T265-R265)</f>
        <v/>
      </c>
      <c r="T265" s="7">
        <f>IF($V265="","",M265+P265+K265)</f>
        <v/>
      </c>
      <c r="U265" s="7">
        <f>IF($V265="","",T265-R265-I265)</f>
        <v/>
      </c>
      <c r="V265" s="13">
        <f>IF(ROWS($V$2:$V265)&lt;=MAX('Per Line'!$AH$2:$AH$6001),MATCH(ROWS($V$2:$V265),'Per Line'!$AH$2:$AH$6001,0),"")</f>
        <v/>
      </c>
    </row>
    <row r="266">
      <c r="A266" s="12" t="n"/>
      <c r="B266">
        <f>IF($V266="","",INDEX('Per Line'!$C$2:$C$6001,$V266)&amp;"")</f>
        <v/>
      </c>
      <c r="C266" s="11">
        <f>IF($V266="","",INDEX('Per Line'!$D$2:$D$6001,$V266))</f>
        <v/>
      </c>
      <c r="D266">
        <f>IF($V266="","",INDEX('Per Line'!$E$2:$E$6001,$V266)&amp;"")</f>
        <v/>
      </c>
      <c r="E266">
        <f>IF($V266="","",INDEX('Per Line'!$G$2:$G$6001,$V266)&amp;"")</f>
        <v/>
      </c>
      <c r="F266">
        <f>IF($V266="","",INDEX('Per Line'!$H$2:$H$6001,$V266)&amp;"")</f>
        <v/>
      </c>
      <c r="G266">
        <f>IF($V266="","",INDEX('Per Line'!$I$2:$I$6001,$V266)&amp;"")</f>
        <v/>
      </c>
      <c r="H266">
        <f>IF($V266="","",INDEX('Per Line'!$J$2:$J$6001,$V266))</f>
        <v/>
      </c>
      <c r="I266" s="7">
        <f>IF($V266="","",H266*S266/100)</f>
        <v/>
      </c>
      <c r="J266">
        <f>IF($V266="","",INDEX('Per Line'!$S$2:$S$6001,$V266)&amp;"")</f>
        <v/>
      </c>
      <c r="K266" s="7">
        <f>IF($V266="","",SUMIFS('Per Line'!$R$2:$R$6001,'Per Line'!$C$2:$C$6001,$B266,'Per Line'!$AJ$2:$AJ$6001,1))</f>
        <v/>
      </c>
      <c r="L266">
        <f>IF($V266="","",Settings!$C$7)</f>
        <v/>
      </c>
      <c r="M266" s="7">
        <f>IF($V266="","",SUMIFS('Per Line'!$R$2:$R$6001,'Per Line'!$C$2:$C$6001,$B266,'Per Line'!$AI$2:$AI$6001,0,'Per Line'!$AJ$2:$AJ$6001,0))</f>
        <v/>
      </c>
      <c r="N266" s="7">
        <f>IF($V266="","",M266*L266)</f>
        <v/>
      </c>
      <c r="O266">
        <f>IF($V266="","",Settings!$C$6)</f>
        <v/>
      </c>
      <c r="P266" s="7">
        <f>IF($V266="","",SUMIFS('Per Line'!$R$2:$R$6001,'Per Line'!$C$2:$C$6001,$B266,'Per Line'!$AI$2:$AI$6001,1,'Per Line'!$AJ$2:$AJ$6001,0))</f>
        <v/>
      </c>
      <c r="Q266" s="7">
        <f>IF($V266="","",P266*O266)</f>
        <v/>
      </c>
      <c r="R266" s="7">
        <f>IF($V266="","",Q266+N266)</f>
        <v/>
      </c>
      <c r="S266" s="7">
        <f>IF($V266="","",T266-R266)</f>
        <v/>
      </c>
      <c r="T266" s="7">
        <f>IF($V266="","",M266+P266+K266)</f>
        <v/>
      </c>
      <c r="U266" s="7">
        <f>IF($V266="","",T266-R266-I266)</f>
        <v/>
      </c>
      <c r="V266" s="13">
        <f>IF(ROWS($V$2:$V266)&lt;=MAX('Per Line'!$AH$2:$AH$6001),MATCH(ROWS($V$2:$V266),'Per Line'!$AH$2:$AH$6001,0),"")</f>
        <v/>
      </c>
    </row>
    <row r="267">
      <c r="A267" s="12" t="n"/>
      <c r="B267">
        <f>IF($V267="","",INDEX('Per Line'!$C$2:$C$6001,$V267)&amp;"")</f>
        <v/>
      </c>
      <c r="C267" s="11">
        <f>IF($V267="","",INDEX('Per Line'!$D$2:$D$6001,$V267))</f>
        <v/>
      </c>
      <c r="D267">
        <f>IF($V267="","",INDEX('Per Line'!$E$2:$E$6001,$V267)&amp;"")</f>
        <v/>
      </c>
      <c r="E267">
        <f>IF($V267="","",INDEX('Per Line'!$G$2:$G$6001,$V267)&amp;"")</f>
        <v/>
      </c>
      <c r="F267">
        <f>IF($V267="","",INDEX('Per Line'!$H$2:$H$6001,$V267)&amp;"")</f>
        <v/>
      </c>
      <c r="G267">
        <f>IF($V267="","",INDEX('Per Line'!$I$2:$I$6001,$V267)&amp;"")</f>
        <v/>
      </c>
      <c r="H267">
        <f>IF($V267="","",INDEX('Per Line'!$J$2:$J$6001,$V267))</f>
        <v/>
      </c>
      <c r="I267" s="7">
        <f>IF($V267="","",H267*S267/100)</f>
        <v/>
      </c>
      <c r="J267">
        <f>IF($V267="","",INDEX('Per Line'!$S$2:$S$6001,$V267)&amp;"")</f>
        <v/>
      </c>
      <c r="K267" s="7">
        <f>IF($V267="","",SUMIFS('Per Line'!$R$2:$R$6001,'Per Line'!$C$2:$C$6001,$B267,'Per Line'!$AJ$2:$AJ$6001,1))</f>
        <v/>
      </c>
      <c r="L267">
        <f>IF($V267="","",Settings!$C$7)</f>
        <v/>
      </c>
      <c r="M267" s="7">
        <f>IF($V267="","",SUMIFS('Per Line'!$R$2:$R$6001,'Per Line'!$C$2:$C$6001,$B267,'Per Line'!$AI$2:$AI$6001,0,'Per Line'!$AJ$2:$AJ$6001,0))</f>
        <v/>
      </c>
      <c r="N267" s="7">
        <f>IF($V267="","",M267*L267)</f>
        <v/>
      </c>
      <c r="O267">
        <f>IF($V267="","",Settings!$C$6)</f>
        <v/>
      </c>
      <c r="P267" s="7">
        <f>IF($V267="","",SUMIFS('Per Line'!$R$2:$R$6001,'Per Line'!$C$2:$C$6001,$B267,'Per Line'!$AI$2:$AI$6001,1,'Per Line'!$AJ$2:$AJ$6001,0))</f>
        <v/>
      </c>
      <c r="Q267" s="7">
        <f>IF($V267="","",P267*O267)</f>
        <v/>
      </c>
      <c r="R267" s="7">
        <f>IF($V267="","",Q267+N267)</f>
        <v/>
      </c>
      <c r="S267" s="7">
        <f>IF($V267="","",T267-R267)</f>
        <v/>
      </c>
      <c r="T267" s="7">
        <f>IF($V267="","",M267+P267+K267)</f>
        <v/>
      </c>
      <c r="U267" s="7">
        <f>IF($V267="","",T267-R267-I267)</f>
        <v/>
      </c>
      <c r="V267" s="13">
        <f>IF(ROWS($V$2:$V267)&lt;=MAX('Per Line'!$AH$2:$AH$6001),MATCH(ROWS($V$2:$V267),'Per Line'!$AH$2:$AH$6001,0),"")</f>
        <v/>
      </c>
    </row>
    <row r="268">
      <c r="A268" s="12" t="n"/>
      <c r="B268">
        <f>IF($V268="","",INDEX('Per Line'!$C$2:$C$6001,$V268)&amp;"")</f>
        <v/>
      </c>
      <c r="C268" s="11">
        <f>IF($V268="","",INDEX('Per Line'!$D$2:$D$6001,$V268))</f>
        <v/>
      </c>
      <c r="D268">
        <f>IF($V268="","",INDEX('Per Line'!$E$2:$E$6001,$V268)&amp;"")</f>
        <v/>
      </c>
      <c r="E268">
        <f>IF($V268="","",INDEX('Per Line'!$G$2:$G$6001,$V268)&amp;"")</f>
        <v/>
      </c>
      <c r="F268">
        <f>IF($V268="","",INDEX('Per Line'!$H$2:$H$6001,$V268)&amp;"")</f>
        <v/>
      </c>
      <c r="G268">
        <f>IF($V268="","",INDEX('Per Line'!$I$2:$I$6001,$V268)&amp;"")</f>
        <v/>
      </c>
      <c r="H268">
        <f>IF($V268="","",INDEX('Per Line'!$J$2:$J$6001,$V268))</f>
        <v/>
      </c>
      <c r="I268" s="7">
        <f>IF($V268="","",H268*S268/100)</f>
        <v/>
      </c>
      <c r="J268">
        <f>IF($V268="","",INDEX('Per Line'!$S$2:$S$6001,$V268)&amp;"")</f>
        <v/>
      </c>
      <c r="K268" s="7">
        <f>IF($V268="","",SUMIFS('Per Line'!$R$2:$R$6001,'Per Line'!$C$2:$C$6001,$B268,'Per Line'!$AJ$2:$AJ$6001,1))</f>
        <v/>
      </c>
      <c r="L268">
        <f>IF($V268="","",Settings!$C$7)</f>
        <v/>
      </c>
      <c r="M268" s="7">
        <f>IF($V268="","",SUMIFS('Per Line'!$R$2:$R$6001,'Per Line'!$C$2:$C$6001,$B268,'Per Line'!$AI$2:$AI$6001,0,'Per Line'!$AJ$2:$AJ$6001,0))</f>
        <v/>
      </c>
      <c r="N268" s="7">
        <f>IF($V268="","",M268*L268)</f>
        <v/>
      </c>
      <c r="O268">
        <f>IF($V268="","",Settings!$C$6)</f>
        <v/>
      </c>
      <c r="P268" s="7">
        <f>IF($V268="","",SUMIFS('Per Line'!$R$2:$R$6001,'Per Line'!$C$2:$C$6001,$B268,'Per Line'!$AI$2:$AI$6001,1,'Per Line'!$AJ$2:$AJ$6001,0))</f>
        <v/>
      </c>
      <c r="Q268" s="7">
        <f>IF($V268="","",P268*O268)</f>
        <v/>
      </c>
      <c r="R268" s="7">
        <f>IF($V268="","",Q268+N268)</f>
        <v/>
      </c>
      <c r="S268" s="7">
        <f>IF($V268="","",T268-R268)</f>
        <v/>
      </c>
      <c r="T268" s="7">
        <f>IF($V268="","",M268+P268+K268)</f>
        <v/>
      </c>
      <c r="U268" s="7">
        <f>IF($V268="","",T268-R268-I268)</f>
        <v/>
      </c>
      <c r="V268" s="13">
        <f>IF(ROWS($V$2:$V268)&lt;=MAX('Per Line'!$AH$2:$AH$6001),MATCH(ROWS($V$2:$V268),'Per Line'!$AH$2:$AH$6001,0),"")</f>
        <v/>
      </c>
    </row>
    <row r="269">
      <c r="A269" s="12" t="n"/>
      <c r="B269">
        <f>IF($V269="","",INDEX('Per Line'!$C$2:$C$6001,$V269)&amp;"")</f>
        <v/>
      </c>
      <c r="C269" s="11">
        <f>IF($V269="","",INDEX('Per Line'!$D$2:$D$6001,$V269))</f>
        <v/>
      </c>
      <c r="D269">
        <f>IF($V269="","",INDEX('Per Line'!$E$2:$E$6001,$V269)&amp;"")</f>
        <v/>
      </c>
      <c r="E269">
        <f>IF($V269="","",INDEX('Per Line'!$G$2:$G$6001,$V269)&amp;"")</f>
        <v/>
      </c>
      <c r="F269">
        <f>IF($V269="","",INDEX('Per Line'!$H$2:$H$6001,$V269)&amp;"")</f>
        <v/>
      </c>
      <c r="G269">
        <f>IF($V269="","",INDEX('Per Line'!$I$2:$I$6001,$V269)&amp;"")</f>
        <v/>
      </c>
      <c r="H269">
        <f>IF($V269="","",INDEX('Per Line'!$J$2:$J$6001,$V269))</f>
        <v/>
      </c>
      <c r="I269" s="7">
        <f>IF($V269="","",H269*S269/100)</f>
        <v/>
      </c>
      <c r="J269">
        <f>IF($V269="","",INDEX('Per Line'!$S$2:$S$6001,$V269)&amp;"")</f>
        <v/>
      </c>
      <c r="K269" s="7">
        <f>IF($V269="","",SUMIFS('Per Line'!$R$2:$R$6001,'Per Line'!$C$2:$C$6001,$B269,'Per Line'!$AJ$2:$AJ$6001,1))</f>
        <v/>
      </c>
      <c r="L269">
        <f>IF($V269="","",Settings!$C$7)</f>
        <v/>
      </c>
      <c r="M269" s="7">
        <f>IF($V269="","",SUMIFS('Per Line'!$R$2:$R$6001,'Per Line'!$C$2:$C$6001,$B269,'Per Line'!$AI$2:$AI$6001,0,'Per Line'!$AJ$2:$AJ$6001,0))</f>
        <v/>
      </c>
      <c r="N269" s="7">
        <f>IF($V269="","",M269*L269)</f>
        <v/>
      </c>
      <c r="O269">
        <f>IF($V269="","",Settings!$C$6)</f>
        <v/>
      </c>
      <c r="P269" s="7">
        <f>IF($V269="","",SUMIFS('Per Line'!$R$2:$R$6001,'Per Line'!$C$2:$C$6001,$B269,'Per Line'!$AI$2:$AI$6001,1,'Per Line'!$AJ$2:$AJ$6001,0))</f>
        <v/>
      </c>
      <c r="Q269" s="7">
        <f>IF($V269="","",P269*O269)</f>
        <v/>
      </c>
      <c r="R269" s="7">
        <f>IF($V269="","",Q269+N269)</f>
        <v/>
      </c>
      <c r="S269" s="7">
        <f>IF($V269="","",T269-R269)</f>
        <v/>
      </c>
      <c r="T269" s="7">
        <f>IF($V269="","",M269+P269+K269)</f>
        <v/>
      </c>
      <c r="U269" s="7">
        <f>IF($V269="","",T269-R269-I269)</f>
        <v/>
      </c>
      <c r="V269" s="13">
        <f>IF(ROWS($V$2:$V269)&lt;=MAX('Per Line'!$AH$2:$AH$6001),MATCH(ROWS($V$2:$V269),'Per Line'!$AH$2:$AH$6001,0),"")</f>
        <v/>
      </c>
    </row>
    <row r="270">
      <c r="A270" s="12" t="n"/>
      <c r="B270">
        <f>IF($V270="","",INDEX('Per Line'!$C$2:$C$6001,$V270)&amp;"")</f>
        <v/>
      </c>
      <c r="C270" s="11">
        <f>IF($V270="","",INDEX('Per Line'!$D$2:$D$6001,$V270))</f>
        <v/>
      </c>
      <c r="D270">
        <f>IF($V270="","",INDEX('Per Line'!$E$2:$E$6001,$V270)&amp;"")</f>
        <v/>
      </c>
      <c r="E270">
        <f>IF($V270="","",INDEX('Per Line'!$G$2:$G$6001,$V270)&amp;"")</f>
        <v/>
      </c>
      <c r="F270">
        <f>IF($V270="","",INDEX('Per Line'!$H$2:$H$6001,$V270)&amp;"")</f>
        <v/>
      </c>
      <c r="G270">
        <f>IF($V270="","",INDEX('Per Line'!$I$2:$I$6001,$V270)&amp;"")</f>
        <v/>
      </c>
      <c r="H270">
        <f>IF($V270="","",INDEX('Per Line'!$J$2:$J$6001,$V270))</f>
        <v/>
      </c>
      <c r="I270" s="7">
        <f>IF($V270="","",H270*S270/100)</f>
        <v/>
      </c>
      <c r="J270">
        <f>IF($V270="","",INDEX('Per Line'!$S$2:$S$6001,$V270)&amp;"")</f>
        <v/>
      </c>
      <c r="K270" s="7">
        <f>IF($V270="","",SUMIFS('Per Line'!$R$2:$R$6001,'Per Line'!$C$2:$C$6001,$B270,'Per Line'!$AJ$2:$AJ$6001,1))</f>
        <v/>
      </c>
      <c r="L270">
        <f>IF($V270="","",Settings!$C$7)</f>
        <v/>
      </c>
      <c r="M270" s="7">
        <f>IF($V270="","",SUMIFS('Per Line'!$R$2:$R$6001,'Per Line'!$C$2:$C$6001,$B270,'Per Line'!$AI$2:$AI$6001,0,'Per Line'!$AJ$2:$AJ$6001,0))</f>
        <v/>
      </c>
      <c r="N270" s="7">
        <f>IF($V270="","",M270*L270)</f>
        <v/>
      </c>
      <c r="O270">
        <f>IF($V270="","",Settings!$C$6)</f>
        <v/>
      </c>
      <c r="P270" s="7">
        <f>IF($V270="","",SUMIFS('Per Line'!$R$2:$R$6001,'Per Line'!$C$2:$C$6001,$B270,'Per Line'!$AI$2:$AI$6001,1,'Per Line'!$AJ$2:$AJ$6001,0))</f>
        <v/>
      </c>
      <c r="Q270" s="7">
        <f>IF($V270="","",P270*O270)</f>
        <v/>
      </c>
      <c r="R270" s="7">
        <f>IF($V270="","",Q270+N270)</f>
        <v/>
      </c>
      <c r="S270" s="7">
        <f>IF($V270="","",T270-R270)</f>
        <v/>
      </c>
      <c r="T270" s="7">
        <f>IF($V270="","",M270+P270+K270)</f>
        <v/>
      </c>
      <c r="U270" s="7">
        <f>IF($V270="","",T270-R270-I270)</f>
        <v/>
      </c>
      <c r="V270" s="13">
        <f>IF(ROWS($V$2:$V270)&lt;=MAX('Per Line'!$AH$2:$AH$6001),MATCH(ROWS($V$2:$V270),'Per Line'!$AH$2:$AH$6001,0),"")</f>
        <v/>
      </c>
    </row>
    <row r="271">
      <c r="A271" s="12" t="n"/>
      <c r="B271">
        <f>IF($V271="","",INDEX('Per Line'!$C$2:$C$6001,$V271)&amp;"")</f>
        <v/>
      </c>
      <c r="C271" s="11">
        <f>IF($V271="","",INDEX('Per Line'!$D$2:$D$6001,$V271))</f>
        <v/>
      </c>
      <c r="D271">
        <f>IF($V271="","",INDEX('Per Line'!$E$2:$E$6001,$V271)&amp;"")</f>
        <v/>
      </c>
      <c r="E271">
        <f>IF($V271="","",INDEX('Per Line'!$G$2:$G$6001,$V271)&amp;"")</f>
        <v/>
      </c>
      <c r="F271">
        <f>IF($V271="","",INDEX('Per Line'!$H$2:$H$6001,$V271)&amp;"")</f>
        <v/>
      </c>
      <c r="G271">
        <f>IF($V271="","",INDEX('Per Line'!$I$2:$I$6001,$V271)&amp;"")</f>
        <v/>
      </c>
      <c r="H271">
        <f>IF($V271="","",INDEX('Per Line'!$J$2:$J$6001,$V271))</f>
        <v/>
      </c>
      <c r="I271" s="7">
        <f>IF($V271="","",H271*S271/100)</f>
        <v/>
      </c>
      <c r="J271">
        <f>IF($V271="","",INDEX('Per Line'!$S$2:$S$6001,$V271)&amp;"")</f>
        <v/>
      </c>
      <c r="K271" s="7">
        <f>IF($V271="","",SUMIFS('Per Line'!$R$2:$R$6001,'Per Line'!$C$2:$C$6001,$B271,'Per Line'!$AJ$2:$AJ$6001,1))</f>
        <v/>
      </c>
      <c r="L271">
        <f>IF($V271="","",Settings!$C$7)</f>
        <v/>
      </c>
      <c r="M271" s="7">
        <f>IF($V271="","",SUMIFS('Per Line'!$R$2:$R$6001,'Per Line'!$C$2:$C$6001,$B271,'Per Line'!$AI$2:$AI$6001,0,'Per Line'!$AJ$2:$AJ$6001,0))</f>
        <v/>
      </c>
      <c r="N271" s="7">
        <f>IF($V271="","",M271*L271)</f>
        <v/>
      </c>
      <c r="O271">
        <f>IF($V271="","",Settings!$C$6)</f>
        <v/>
      </c>
      <c r="P271" s="7">
        <f>IF($V271="","",SUMIFS('Per Line'!$R$2:$R$6001,'Per Line'!$C$2:$C$6001,$B271,'Per Line'!$AI$2:$AI$6001,1,'Per Line'!$AJ$2:$AJ$6001,0))</f>
        <v/>
      </c>
      <c r="Q271" s="7">
        <f>IF($V271="","",P271*O271)</f>
        <v/>
      </c>
      <c r="R271" s="7">
        <f>IF($V271="","",Q271+N271)</f>
        <v/>
      </c>
      <c r="S271" s="7">
        <f>IF($V271="","",T271-R271)</f>
        <v/>
      </c>
      <c r="T271" s="7">
        <f>IF($V271="","",M271+P271+K271)</f>
        <v/>
      </c>
      <c r="U271" s="7">
        <f>IF($V271="","",T271-R271-I271)</f>
        <v/>
      </c>
      <c r="V271" s="13">
        <f>IF(ROWS($V$2:$V271)&lt;=MAX('Per Line'!$AH$2:$AH$6001),MATCH(ROWS($V$2:$V271),'Per Line'!$AH$2:$AH$6001,0),"")</f>
        <v/>
      </c>
    </row>
    <row r="272">
      <c r="A272" s="12" t="n"/>
      <c r="B272">
        <f>IF($V272="","",INDEX('Per Line'!$C$2:$C$6001,$V272)&amp;"")</f>
        <v/>
      </c>
      <c r="C272" s="11">
        <f>IF($V272="","",INDEX('Per Line'!$D$2:$D$6001,$V272))</f>
        <v/>
      </c>
      <c r="D272">
        <f>IF($V272="","",INDEX('Per Line'!$E$2:$E$6001,$V272)&amp;"")</f>
        <v/>
      </c>
      <c r="E272">
        <f>IF($V272="","",INDEX('Per Line'!$G$2:$G$6001,$V272)&amp;"")</f>
        <v/>
      </c>
      <c r="F272">
        <f>IF($V272="","",INDEX('Per Line'!$H$2:$H$6001,$V272)&amp;"")</f>
        <v/>
      </c>
      <c r="G272">
        <f>IF($V272="","",INDEX('Per Line'!$I$2:$I$6001,$V272)&amp;"")</f>
        <v/>
      </c>
      <c r="H272">
        <f>IF($V272="","",INDEX('Per Line'!$J$2:$J$6001,$V272))</f>
        <v/>
      </c>
      <c r="I272" s="7">
        <f>IF($V272="","",H272*S272/100)</f>
        <v/>
      </c>
      <c r="J272">
        <f>IF($V272="","",INDEX('Per Line'!$S$2:$S$6001,$V272)&amp;"")</f>
        <v/>
      </c>
      <c r="K272" s="7">
        <f>IF($V272="","",SUMIFS('Per Line'!$R$2:$R$6001,'Per Line'!$C$2:$C$6001,$B272,'Per Line'!$AJ$2:$AJ$6001,1))</f>
        <v/>
      </c>
      <c r="L272">
        <f>IF($V272="","",Settings!$C$7)</f>
        <v/>
      </c>
      <c r="M272" s="7">
        <f>IF($V272="","",SUMIFS('Per Line'!$R$2:$R$6001,'Per Line'!$C$2:$C$6001,$B272,'Per Line'!$AI$2:$AI$6001,0,'Per Line'!$AJ$2:$AJ$6001,0))</f>
        <v/>
      </c>
      <c r="N272" s="7">
        <f>IF($V272="","",M272*L272)</f>
        <v/>
      </c>
      <c r="O272">
        <f>IF($V272="","",Settings!$C$6)</f>
        <v/>
      </c>
      <c r="P272" s="7">
        <f>IF($V272="","",SUMIFS('Per Line'!$R$2:$R$6001,'Per Line'!$C$2:$C$6001,$B272,'Per Line'!$AI$2:$AI$6001,1,'Per Line'!$AJ$2:$AJ$6001,0))</f>
        <v/>
      </c>
      <c r="Q272" s="7">
        <f>IF($V272="","",P272*O272)</f>
        <v/>
      </c>
      <c r="R272" s="7">
        <f>IF($V272="","",Q272+N272)</f>
        <v/>
      </c>
      <c r="S272" s="7">
        <f>IF($V272="","",T272-R272)</f>
        <v/>
      </c>
      <c r="T272" s="7">
        <f>IF($V272="","",M272+P272+K272)</f>
        <v/>
      </c>
      <c r="U272" s="7">
        <f>IF($V272="","",T272-R272-I272)</f>
        <v/>
      </c>
      <c r="V272" s="13">
        <f>IF(ROWS($V$2:$V272)&lt;=MAX('Per Line'!$AH$2:$AH$6001),MATCH(ROWS($V$2:$V272),'Per Line'!$AH$2:$AH$6001,0),"")</f>
        <v/>
      </c>
    </row>
    <row r="273">
      <c r="A273" s="12" t="n"/>
      <c r="B273">
        <f>IF($V273="","",INDEX('Per Line'!$C$2:$C$6001,$V273)&amp;"")</f>
        <v/>
      </c>
      <c r="C273" s="11">
        <f>IF($V273="","",INDEX('Per Line'!$D$2:$D$6001,$V273))</f>
        <v/>
      </c>
      <c r="D273">
        <f>IF($V273="","",INDEX('Per Line'!$E$2:$E$6001,$V273)&amp;"")</f>
        <v/>
      </c>
      <c r="E273">
        <f>IF($V273="","",INDEX('Per Line'!$G$2:$G$6001,$V273)&amp;"")</f>
        <v/>
      </c>
      <c r="F273">
        <f>IF($V273="","",INDEX('Per Line'!$H$2:$H$6001,$V273)&amp;"")</f>
        <v/>
      </c>
      <c r="G273">
        <f>IF($V273="","",INDEX('Per Line'!$I$2:$I$6001,$V273)&amp;"")</f>
        <v/>
      </c>
      <c r="H273">
        <f>IF($V273="","",INDEX('Per Line'!$J$2:$J$6001,$V273))</f>
        <v/>
      </c>
      <c r="I273" s="7">
        <f>IF($V273="","",H273*S273/100)</f>
        <v/>
      </c>
      <c r="J273">
        <f>IF($V273="","",INDEX('Per Line'!$S$2:$S$6001,$V273)&amp;"")</f>
        <v/>
      </c>
      <c r="K273" s="7">
        <f>IF($V273="","",SUMIFS('Per Line'!$R$2:$R$6001,'Per Line'!$C$2:$C$6001,$B273,'Per Line'!$AJ$2:$AJ$6001,1))</f>
        <v/>
      </c>
      <c r="L273">
        <f>IF($V273="","",Settings!$C$7)</f>
        <v/>
      </c>
      <c r="M273" s="7">
        <f>IF($V273="","",SUMIFS('Per Line'!$R$2:$R$6001,'Per Line'!$C$2:$C$6001,$B273,'Per Line'!$AI$2:$AI$6001,0,'Per Line'!$AJ$2:$AJ$6001,0))</f>
        <v/>
      </c>
      <c r="N273" s="7">
        <f>IF($V273="","",M273*L273)</f>
        <v/>
      </c>
      <c r="O273">
        <f>IF($V273="","",Settings!$C$6)</f>
        <v/>
      </c>
      <c r="P273" s="7">
        <f>IF($V273="","",SUMIFS('Per Line'!$R$2:$R$6001,'Per Line'!$C$2:$C$6001,$B273,'Per Line'!$AI$2:$AI$6001,1,'Per Line'!$AJ$2:$AJ$6001,0))</f>
        <v/>
      </c>
      <c r="Q273" s="7">
        <f>IF($V273="","",P273*O273)</f>
        <v/>
      </c>
      <c r="R273" s="7">
        <f>IF($V273="","",Q273+N273)</f>
        <v/>
      </c>
      <c r="S273" s="7">
        <f>IF($V273="","",T273-R273)</f>
        <v/>
      </c>
      <c r="T273" s="7">
        <f>IF($V273="","",M273+P273+K273)</f>
        <v/>
      </c>
      <c r="U273" s="7">
        <f>IF($V273="","",T273-R273-I273)</f>
        <v/>
      </c>
      <c r="V273" s="13">
        <f>IF(ROWS($V$2:$V273)&lt;=MAX('Per Line'!$AH$2:$AH$6001),MATCH(ROWS($V$2:$V273),'Per Line'!$AH$2:$AH$6001,0),"")</f>
        <v/>
      </c>
    </row>
    <row r="274">
      <c r="A274" s="12" t="n"/>
      <c r="B274">
        <f>IF($V274="","",INDEX('Per Line'!$C$2:$C$6001,$V274)&amp;"")</f>
        <v/>
      </c>
      <c r="C274" s="11">
        <f>IF($V274="","",INDEX('Per Line'!$D$2:$D$6001,$V274))</f>
        <v/>
      </c>
      <c r="D274">
        <f>IF($V274="","",INDEX('Per Line'!$E$2:$E$6001,$V274)&amp;"")</f>
        <v/>
      </c>
      <c r="E274">
        <f>IF($V274="","",INDEX('Per Line'!$G$2:$G$6001,$V274)&amp;"")</f>
        <v/>
      </c>
      <c r="F274">
        <f>IF($V274="","",INDEX('Per Line'!$H$2:$H$6001,$V274)&amp;"")</f>
        <v/>
      </c>
      <c r="G274">
        <f>IF($V274="","",INDEX('Per Line'!$I$2:$I$6001,$V274)&amp;"")</f>
        <v/>
      </c>
      <c r="H274">
        <f>IF($V274="","",INDEX('Per Line'!$J$2:$J$6001,$V274))</f>
        <v/>
      </c>
      <c r="I274" s="7">
        <f>IF($V274="","",H274*S274/100)</f>
        <v/>
      </c>
      <c r="J274">
        <f>IF($V274="","",INDEX('Per Line'!$S$2:$S$6001,$V274)&amp;"")</f>
        <v/>
      </c>
      <c r="K274" s="7">
        <f>IF($V274="","",SUMIFS('Per Line'!$R$2:$R$6001,'Per Line'!$C$2:$C$6001,$B274,'Per Line'!$AJ$2:$AJ$6001,1))</f>
        <v/>
      </c>
      <c r="L274">
        <f>IF($V274="","",Settings!$C$7)</f>
        <v/>
      </c>
      <c r="M274" s="7">
        <f>IF($V274="","",SUMIFS('Per Line'!$R$2:$R$6001,'Per Line'!$C$2:$C$6001,$B274,'Per Line'!$AI$2:$AI$6001,0,'Per Line'!$AJ$2:$AJ$6001,0))</f>
        <v/>
      </c>
      <c r="N274" s="7">
        <f>IF($V274="","",M274*L274)</f>
        <v/>
      </c>
      <c r="O274">
        <f>IF($V274="","",Settings!$C$6)</f>
        <v/>
      </c>
      <c r="P274" s="7">
        <f>IF($V274="","",SUMIFS('Per Line'!$R$2:$R$6001,'Per Line'!$C$2:$C$6001,$B274,'Per Line'!$AI$2:$AI$6001,1,'Per Line'!$AJ$2:$AJ$6001,0))</f>
        <v/>
      </c>
      <c r="Q274" s="7">
        <f>IF($V274="","",P274*O274)</f>
        <v/>
      </c>
      <c r="R274" s="7">
        <f>IF($V274="","",Q274+N274)</f>
        <v/>
      </c>
      <c r="S274" s="7">
        <f>IF($V274="","",T274-R274)</f>
        <v/>
      </c>
      <c r="T274" s="7">
        <f>IF($V274="","",M274+P274+K274)</f>
        <v/>
      </c>
      <c r="U274" s="7">
        <f>IF($V274="","",T274-R274-I274)</f>
        <v/>
      </c>
      <c r="V274" s="13">
        <f>IF(ROWS($V$2:$V274)&lt;=MAX('Per Line'!$AH$2:$AH$6001),MATCH(ROWS($V$2:$V274),'Per Line'!$AH$2:$AH$6001,0),"")</f>
        <v/>
      </c>
    </row>
    <row r="275">
      <c r="A275" s="12" t="n"/>
      <c r="B275">
        <f>IF($V275="","",INDEX('Per Line'!$C$2:$C$6001,$V275)&amp;"")</f>
        <v/>
      </c>
      <c r="C275" s="11">
        <f>IF($V275="","",INDEX('Per Line'!$D$2:$D$6001,$V275))</f>
        <v/>
      </c>
      <c r="D275">
        <f>IF($V275="","",INDEX('Per Line'!$E$2:$E$6001,$V275)&amp;"")</f>
        <v/>
      </c>
      <c r="E275">
        <f>IF($V275="","",INDEX('Per Line'!$G$2:$G$6001,$V275)&amp;"")</f>
        <v/>
      </c>
      <c r="F275">
        <f>IF($V275="","",INDEX('Per Line'!$H$2:$H$6001,$V275)&amp;"")</f>
        <v/>
      </c>
      <c r="G275">
        <f>IF($V275="","",INDEX('Per Line'!$I$2:$I$6001,$V275)&amp;"")</f>
        <v/>
      </c>
      <c r="H275">
        <f>IF($V275="","",INDEX('Per Line'!$J$2:$J$6001,$V275))</f>
        <v/>
      </c>
      <c r="I275" s="7">
        <f>IF($V275="","",H275*S275/100)</f>
        <v/>
      </c>
      <c r="J275">
        <f>IF($V275="","",INDEX('Per Line'!$S$2:$S$6001,$V275)&amp;"")</f>
        <v/>
      </c>
      <c r="K275" s="7">
        <f>IF($V275="","",SUMIFS('Per Line'!$R$2:$R$6001,'Per Line'!$C$2:$C$6001,$B275,'Per Line'!$AJ$2:$AJ$6001,1))</f>
        <v/>
      </c>
      <c r="L275">
        <f>IF($V275="","",Settings!$C$7)</f>
        <v/>
      </c>
      <c r="M275" s="7">
        <f>IF($V275="","",SUMIFS('Per Line'!$R$2:$R$6001,'Per Line'!$C$2:$C$6001,$B275,'Per Line'!$AI$2:$AI$6001,0,'Per Line'!$AJ$2:$AJ$6001,0))</f>
        <v/>
      </c>
      <c r="N275" s="7">
        <f>IF($V275="","",M275*L275)</f>
        <v/>
      </c>
      <c r="O275">
        <f>IF($V275="","",Settings!$C$6)</f>
        <v/>
      </c>
      <c r="P275" s="7">
        <f>IF($V275="","",SUMIFS('Per Line'!$R$2:$R$6001,'Per Line'!$C$2:$C$6001,$B275,'Per Line'!$AI$2:$AI$6001,1,'Per Line'!$AJ$2:$AJ$6001,0))</f>
        <v/>
      </c>
      <c r="Q275" s="7">
        <f>IF($V275="","",P275*O275)</f>
        <v/>
      </c>
      <c r="R275" s="7">
        <f>IF($V275="","",Q275+N275)</f>
        <v/>
      </c>
      <c r="S275" s="7">
        <f>IF($V275="","",T275-R275)</f>
        <v/>
      </c>
      <c r="T275" s="7">
        <f>IF($V275="","",M275+P275+K275)</f>
        <v/>
      </c>
      <c r="U275" s="7">
        <f>IF($V275="","",T275-R275-I275)</f>
        <v/>
      </c>
      <c r="V275" s="13">
        <f>IF(ROWS($V$2:$V275)&lt;=MAX('Per Line'!$AH$2:$AH$6001),MATCH(ROWS($V$2:$V275),'Per Line'!$AH$2:$AH$6001,0),"")</f>
        <v/>
      </c>
    </row>
    <row r="276">
      <c r="A276" s="12" t="n"/>
      <c r="B276">
        <f>IF($V276="","",INDEX('Per Line'!$C$2:$C$6001,$V276)&amp;"")</f>
        <v/>
      </c>
      <c r="C276" s="11">
        <f>IF($V276="","",INDEX('Per Line'!$D$2:$D$6001,$V276))</f>
        <v/>
      </c>
      <c r="D276">
        <f>IF($V276="","",INDEX('Per Line'!$E$2:$E$6001,$V276)&amp;"")</f>
        <v/>
      </c>
      <c r="E276">
        <f>IF($V276="","",INDEX('Per Line'!$G$2:$G$6001,$V276)&amp;"")</f>
        <v/>
      </c>
      <c r="F276">
        <f>IF($V276="","",INDEX('Per Line'!$H$2:$H$6001,$V276)&amp;"")</f>
        <v/>
      </c>
      <c r="G276">
        <f>IF($V276="","",INDEX('Per Line'!$I$2:$I$6001,$V276)&amp;"")</f>
        <v/>
      </c>
      <c r="H276">
        <f>IF($V276="","",INDEX('Per Line'!$J$2:$J$6001,$V276))</f>
        <v/>
      </c>
      <c r="I276" s="7">
        <f>IF($V276="","",H276*S276/100)</f>
        <v/>
      </c>
      <c r="J276">
        <f>IF($V276="","",INDEX('Per Line'!$S$2:$S$6001,$V276)&amp;"")</f>
        <v/>
      </c>
      <c r="K276" s="7">
        <f>IF($V276="","",SUMIFS('Per Line'!$R$2:$R$6001,'Per Line'!$C$2:$C$6001,$B276,'Per Line'!$AJ$2:$AJ$6001,1))</f>
        <v/>
      </c>
      <c r="L276">
        <f>IF($V276="","",Settings!$C$7)</f>
        <v/>
      </c>
      <c r="M276" s="7">
        <f>IF($V276="","",SUMIFS('Per Line'!$R$2:$R$6001,'Per Line'!$C$2:$C$6001,$B276,'Per Line'!$AI$2:$AI$6001,0,'Per Line'!$AJ$2:$AJ$6001,0))</f>
        <v/>
      </c>
      <c r="N276" s="7">
        <f>IF($V276="","",M276*L276)</f>
        <v/>
      </c>
      <c r="O276">
        <f>IF($V276="","",Settings!$C$6)</f>
        <v/>
      </c>
      <c r="P276" s="7">
        <f>IF($V276="","",SUMIFS('Per Line'!$R$2:$R$6001,'Per Line'!$C$2:$C$6001,$B276,'Per Line'!$AI$2:$AI$6001,1,'Per Line'!$AJ$2:$AJ$6001,0))</f>
        <v/>
      </c>
      <c r="Q276" s="7">
        <f>IF($V276="","",P276*O276)</f>
        <v/>
      </c>
      <c r="R276" s="7">
        <f>IF($V276="","",Q276+N276)</f>
        <v/>
      </c>
      <c r="S276" s="7">
        <f>IF($V276="","",T276-R276)</f>
        <v/>
      </c>
      <c r="T276" s="7">
        <f>IF($V276="","",M276+P276+K276)</f>
        <v/>
      </c>
      <c r="U276" s="7">
        <f>IF($V276="","",T276-R276-I276)</f>
        <v/>
      </c>
      <c r="V276" s="13">
        <f>IF(ROWS($V$2:$V276)&lt;=MAX('Per Line'!$AH$2:$AH$6001),MATCH(ROWS($V$2:$V276),'Per Line'!$AH$2:$AH$6001,0),"")</f>
        <v/>
      </c>
    </row>
    <row r="277">
      <c r="A277" s="12" t="n"/>
      <c r="B277">
        <f>IF($V277="","",INDEX('Per Line'!$C$2:$C$6001,$V277)&amp;"")</f>
        <v/>
      </c>
      <c r="C277" s="11">
        <f>IF($V277="","",INDEX('Per Line'!$D$2:$D$6001,$V277))</f>
        <v/>
      </c>
      <c r="D277">
        <f>IF($V277="","",INDEX('Per Line'!$E$2:$E$6001,$V277)&amp;"")</f>
        <v/>
      </c>
      <c r="E277">
        <f>IF($V277="","",INDEX('Per Line'!$G$2:$G$6001,$V277)&amp;"")</f>
        <v/>
      </c>
      <c r="F277">
        <f>IF($V277="","",INDEX('Per Line'!$H$2:$H$6001,$V277)&amp;"")</f>
        <v/>
      </c>
      <c r="G277">
        <f>IF($V277="","",INDEX('Per Line'!$I$2:$I$6001,$V277)&amp;"")</f>
        <v/>
      </c>
      <c r="H277">
        <f>IF($V277="","",INDEX('Per Line'!$J$2:$J$6001,$V277))</f>
        <v/>
      </c>
      <c r="I277" s="7">
        <f>IF($V277="","",H277*S277/100)</f>
        <v/>
      </c>
      <c r="J277">
        <f>IF($V277="","",INDEX('Per Line'!$S$2:$S$6001,$V277)&amp;"")</f>
        <v/>
      </c>
      <c r="K277" s="7">
        <f>IF($V277="","",SUMIFS('Per Line'!$R$2:$R$6001,'Per Line'!$C$2:$C$6001,$B277,'Per Line'!$AJ$2:$AJ$6001,1))</f>
        <v/>
      </c>
      <c r="L277">
        <f>IF($V277="","",Settings!$C$7)</f>
        <v/>
      </c>
      <c r="M277" s="7">
        <f>IF($V277="","",SUMIFS('Per Line'!$R$2:$R$6001,'Per Line'!$C$2:$C$6001,$B277,'Per Line'!$AI$2:$AI$6001,0,'Per Line'!$AJ$2:$AJ$6001,0))</f>
        <v/>
      </c>
      <c r="N277" s="7">
        <f>IF($V277="","",M277*L277)</f>
        <v/>
      </c>
      <c r="O277">
        <f>IF($V277="","",Settings!$C$6)</f>
        <v/>
      </c>
      <c r="P277" s="7">
        <f>IF($V277="","",SUMIFS('Per Line'!$R$2:$R$6001,'Per Line'!$C$2:$C$6001,$B277,'Per Line'!$AI$2:$AI$6001,1,'Per Line'!$AJ$2:$AJ$6001,0))</f>
        <v/>
      </c>
      <c r="Q277" s="7">
        <f>IF($V277="","",P277*O277)</f>
        <v/>
      </c>
      <c r="R277" s="7">
        <f>IF($V277="","",Q277+N277)</f>
        <v/>
      </c>
      <c r="S277" s="7">
        <f>IF($V277="","",T277-R277)</f>
        <v/>
      </c>
      <c r="T277" s="7">
        <f>IF($V277="","",M277+P277+K277)</f>
        <v/>
      </c>
      <c r="U277" s="7">
        <f>IF($V277="","",T277-R277-I277)</f>
        <v/>
      </c>
      <c r="V277" s="13">
        <f>IF(ROWS($V$2:$V277)&lt;=MAX('Per Line'!$AH$2:$AH$6001),MATCH(ROWS($V$2:$V277),'Per Line'!$AH$2:$AH$6001,0),"")</f>
        <v/>
      </c>
    </row>
    <row r="278">
      <c r="A278" s="12" t="n"/>
      <c r="B278">
        <f>IF($V278="","",INDEX('Per Line'!$C$2:$C$6001,$V278)&amp;"")</f>
        <v/>
      </c>
      <c r="C278" s="11">
        <f>IF($V278="","",INDEX('Per Line'!$D$2:$D$6001,$V278))</f>
        <v/>
      </c>
      <c r="D278">
        <f>IF($V278="","",INDEX('Per Line'!$E$2:$E$6001,$V278)&amp;"")</f>
        <v/>
      </c>
      <c r="E278">
        <f>IF($V278="","",INDEX('Per Line'!$G$2:$G$6001,$V278)&amp;"")</f>
        <v/>
      </c>
      <c r="F278">
        <f>IF($V278="","",INDEX('Per Line'!$H$2:$H$6001,$V278)&amp;"")</f>
        <v/>
      </c>
      <c r="G278">
        <f>IF($V278="","",INDEX('Per Line'!$I$2:$I$6001,$V278)&amp;"")</f>
        <v/>
      </c>
      <c r="H278">
        <f>IF($V278="","",INDEX('Per Line'!$J$2:$J$6001,$V278))</f>
        <v/>
      </c>
      <c r="I278" s="7">
        <f>IF($V278="","",H278*S278/100)</f>
        <v/>
      </c>
      <c r="J278">
        <f>IF($V278="","",INDEX('Per Line'!$S$2:$S$6001,$V278)&amp;"")</f>
        <v/>
      </c>
      <c r="K278" s="7">
        <f>IF($V278="","",SUMIFS('Per Line'!$R$2:$R$6001,'Per Line'!$C$2:$C$6001,$B278,'Per Line'!$AJ$2:$AJ$6001,1))</f>
        <v/>
      </c>
      <c r="L278">
        <f>IF($V278="","",Settings!$C$7)</f>
        <v/>
      </c>
      <c r="M278" s="7">
        <f>IF($V278="","",SUMIFS('Per Line'!$R$2:$R$6001,'Per Line'!$C$2:$C$6001,$B278,'Per Line'!$AI$2:$AI$6001,0,'Per Line'!$AJ$2:$AJ$6001,0))</f>
        <v/>
      </c>
      <c r="N278" s="7">
        <f>IF($V278="","",M278*L278)</f>
        <v/>
      </c>
      <c r="O278">
        <f>IF($V278="","",Settings!$C$6)</f>
        <v/>
      </c>
      <c r="P278" s="7">
        <f>IF($V278="","",SUMIFS('Per Line'!$R$2:$R$6001,'Per Line'!$C$2:$C$6001,$B278,'Per Line'!$AI$2:$AI$6001,1,'Per Line'!$AJ$2:$AJ$6001,0))</f>
        <v/>
      </c>
      <c r="Q278" s="7">
        <f>IF($V278="","",P278*O278)</f>
        <v/>
      </c>
      <c r="R278" s="7">
        <f>IF($V278="","",Q278+N278)</f>
        <v/>
      </c>
      <c r="S278" s="7">
        <f>IF($V278="","",T278-R278)</f>
        <v/>
      </c>
      <c r="T278" s="7">
        <f>IF($V278="","",M278+P278+K278)</f>
        <v/>
      </c>
      <c r="U278" s="7">
        <f>IF($V278="","",T278-R278-I278)</f>
        <v/>
      </c>
      <c r="V278" s="13">
        <f>IF(ROWS($V$2:$V278)&lt;=MAX('Per Line'!$AH$2:$AH$6001),MATCH(ROWS($V$2:$V278),'Per Line'!$AH$2:$AH$6001,0),"")</f>
        <v/>
      </c>
    </row>
    <row r="279">
      <c r="A279" s="12" t="n"/>
      <c r="B279">
        <f>IF($V279="","",INDEX('Per Line'!$C$2:$C$6001,$V279)&amp;"")</f>
        <v/>
      </c>
      <c r="C279" s="11">
        <f>IF($V279="","",INDEX('Per Line'!$D$2:$D$6001,$V279))</f>
        <v/>
      </c>
      <c r="D279">
        <f>IF($V279="","",INDEX('Per Line'!$E$2:$E$6001,$V279)&amp;"")</f>
        <v/>
      </c>
      <c r="E279">
        <f>IF($V279="","",INDEX('Per Line'!$G$2:$G$6001,$V279)&amp;"")</f>
        <v/>
      </c>
      <c r="F279">
        <f>IF($V279="","",INDEX('Per Line'!$H$2:$H$6001,$V279)&amp;"")</f>
        <v/>
      </c>
      <c r="G279">
        <f>IF($V279="","",INDEX('Per Line'!$I$2:$I$6001,$V279)&amp;"")</f>
        <v/>
      </c>
      <c r="H279">
        <f>IF($V279="","",INDEX('Per Line'!$J$2:$J$6001,$V279))</f>
        <v/>
      </c>
      <c r="I279" s="7">
        <f>IF($V279="","",H279*S279/100)</f>
        <v/>
      </c>
      <c r="J279">
        <f>IF($V279="","",INDEX('Per Line'!$S$2:$S$6001,$V279)&amp;"")</f>
        <v/>
      </c>
      <c r="K279" s="7">
        <f>IF($V279="","",SUMIFS('Per Line'!$R$2:$R$6001,'Per Line'!$C$2:$C$6001,$B279,'Per Line'!$AJ$2:$AJ$6001,1))</f>
        <v/>
      </c>
      <c r="L279">
        <f>IF($V279="","",Settings!$C$7)</f>
        <v/>
      </c>
      <c r="M279" s="7">
        <f>IF($V279="","",SUMIFS('Per Line'!$R$2:$R$6001,'Per Line'!$C$2:$C$6001,$B279,'Per Line'!$AI$2:$AI$6001,0,'Per Line'!$AJ$2:$AJ$6001,0))</f>
        <v/>
      </c>
      <c r="N279" s="7">
        <f>IF($V279="","",M279*L279)</f>
        <v/>
      </c>
      <c r="O279">
        <f>IF($V279="","",Settings!$C$6)</f>
        <v/>
      </c>
      <c r="P279" s="7">
        <f>IF($V279="","",SUMIFS('Per Line'!$R$2:$R$6001,'Per Line'!$C$2:$C$6001,$B279,'Per Line'!$AI$2:$AI$6001,1,'Per Line'!$AJ$2:$AJ$6001,0))</f>
        <v/>
      </c>
      <c r="Q279" s="7">
        <f>IF($V279="","",P279*O279)</f>
        <v/>
      </c>
      <c r="R279" s="7">
        <f>IF($V279="","",Q279+N279)</f>
        <v/>
      </c>
      <c r="S279" s="7">
        <f>IF($V279="","",T279-R279)</f>
        <v/>
      </c>
      <c r="T279" s="7">
        <f>IF($V279="","",M279+P279+K279)</f>
        <v/>
      </c>
      <c r="U279" s="7">
        <f>IF($V279="","",T279-R279-I279)</f>
        <v/>
      </c>
      <c r="V279" s="13">
        <f>IF(ROWS($V$2:$V279)&lt;=MAX('Per Line'!$AH$2:$AH$6001),MATCH(ROWS($V$2:$V279),'Per Line'!$AH$2:$AH$6001,0),"")</f>
        <v/>
      </c>
    </row>
    <row r="280">
      <c r="A280" s="12" t="n"/>
      <c r="B280">
        <f>IF($V280="","",INDEX('Per Line'!$C$2:$C$6001,$V280)&amp;"")</f>
        <v/>
      </c>
      <c r="C280" s="11">
        <f>IF($V280="","",INDEX('Per Line'!$D$2:$D$6001,$V280))</f>
        <v/>
      </c>
      <c r="D280">
        <f>IF($V280="","",INDEX('Per Line'!$E$2:$E$6001,$V280)&amp;"")</f>
        <v/>
      </c>
      <c r="E280">
        <f>IF($V280="","",INDEX('Per Line'!$G$2:$G$6001,$V280)&amp;"")</f>
        <v/>
      </c>
      <c r="F280">
        <f>IF($V280="","",INDEX('Per Line'!$H$2:$H$6001,$V280)&amp;"")</f>
        <v/>
      </c>
      <c r="G280">
        <f>IF($V280="","",INDEX('Per Line'!$I$2:$I$6001,$V280)&amp;"")</f>
        <v/>
      </c>
      <c r="H280">
        <f>IF($V280="","",INDEX('Per Line'!$J$2:$J$6001,$V280))</f>
        <v/>
      </c>
      <c r="I280" s="7">
        <f>IF($V280="","",H280*S280/100)</f>
        <v/>
      </c>
      <c r="J280">
        <f>IF($V280="","",INDEX('Per Line'!$S$2:$S$6001,$V280)&amp;"")</f>
        <v/>
      </c>
      <c r="K280" s="7">
        <f>IF($V280="","",SUMIFS('Per Line'!$R$2:$R$6001,'Per Line'!$C$2:$C$6001,$B280,'Per Line'!$AJ$2:$AJ$6001,1))</f>
        <v/>
      </c>
      <c r="L280">
        <f>IF($V280="","",Settings!$C$7)</f>
        <v/>
      </c>
      <c r="M280" s="7">
        <f>IF($V280="","",SUMIFS('Per Line'!$R$2:$R$6001,'Per Line'!$C$2:$C$6001,$B280,'Per Line'!$AI$2:$AI$6001,0,'Per Line'!$AJ$2:$AJ$6001,0))</f>
        <v/>
      </c>
      <c r="N280" s="7">
        <f>IF($V280="","",M280*L280)</f>
        <v/>
      </c>
      <c r="O280">
        <f>IF($V280="","",Settings!$C$6)</f>
        <v/>
      </c>
      <c r="P280" s="7">
        <f>IF($V280="","",SUMIFS('Per Line'!$R$2:$R$6001,'Per Line'!$C$2:$C$6001,$B280,'Per Line'!$AI$2:$AI$6001,1,'Per Line'!$AJ$2:$AJ$6001,0))</f>
        <v/>
      </c>
      <c r="Q280" s="7">
        <f>IF($V280="","",P280*O280)</f>
        <v/>
      </c>
      <c r="R280" s="7">
        <f>IF($V280="","",Q280+N280)</f>
        <v/>
      </c>
      <c r="S280" s="7">
        <f>IF($V280="","",T280-R280)</f>
        <v/>
      </c>
      <c r="T280" s="7">
        <f>IF($V280="","",M280+P280+K280)</f>
        <v/>
      </c>
      <c r="U280" s="7">
        <f>IF($V280="","",T280-R280-I280)</f>
        <v/>
      </c>
      <c r="V280" s="13">
        <f>IF(ROWS($V$2:$V280)&lt;=MAX('Per Line'!$AH$2:$AH$6001),MATCH(ROWS($V$2:$V280),'Per Line'!$AH$2:$AH$6001,0),"")</f>
        <v/>
      </c>
    </row>
    <row r="281">
      <c r="A281" s="12" t="n"/>
      <c r="B281">
        <f>IF($V281="","",INDEX('Per Line'!$C$2:$C$6001,$V281)&amp;"")</f>
        <v/>
      </c>
      <c r="C281" s="11">
        <f>IF($V281="","",INDEX('Per Line'!$D$2:$D$6001,$V281))</f>
        <v/>
      </c>
      <c r="D281">
        <f>IF($V281="","",INDEX('Per Line'!$E$2:$E$6001,$V281)&amp;"")</f>
        <v/>
      </c>
      <c r="E281">
        <f>IF($V281="","",INDEX('Per Line'!$G$2:$G$6001,$V281)&amp;"")</f>
        <v/>
      </c>
      <c r="F281">
        <f>IF($V281="","",INDEX('Per Line'!$H$2:$H$6001,$V281)&amp;"")</f>
        <v/>
      </c>
      <c r="G281">
        <f>IF($V281="","",INDEX('Per Line'!$I$2:$I$6001,$V281)&amp;"")</f>
        <v/>
      </c>
      <c r="H281">
        <f>IF($V281="","",INDEX('Per Line'!$J$2:$J$6001,$V281))</f>
        <v/>
      </c>
      <c r="I281" s="7">
        <f>IF($V281="","",H281*S281/100)</f>
        <v/>
      </c>
      <c r="J281">
        <f>IF($V281="","",INDEX('Per Line'!$S$2:$S$6001,$V281)&amp;"")</f>
        <v/>
      </c>
      <c r="K281" s="7">
        <f>IF($V281="","",SUMIFS('Per Line'!$R$2:$R$6001,'Per Line'!$C$2:$C$6001,$B281,'Per Line'!$AJ$2:$AJ$6001,1))</f>
        <v/>
      </c>
      <c r="L281">
        <f>IF($V281="","",Settings!$C$7)</f>
        <v/>
      </c>
      <c r="M281" s="7">
        <f>IF($V281="","",SUMIFS('Per Line'!$R$2:$R$6001,'Per Line'!$C$2:$C$6001,$B281,'Per Line'!$AI$2:$AI$6001,0,'Per Line'!$AJ$2:$AJ$6001,0))</f>
        <v/>
      </c>
      <c r="N281" s="7">
        <f>IF($V281="","",M281*L281)</f>
        <v/>
      </c>
      <c r="O281">
        <f>IF($V281="","",Settings!$C$6)</f>
        <v/>
      </c>
      <c r="P281" s="7">
        <f>IF($V281="","",SUMIFS('Per Line'!$R$2:$R$6001,'Per Line'!$C$2:$C$6001,$B281,'Per Line'!$AI$2:$AI$6001,1,'Per Line'!$AJ$2:$AJ$6001,0))</f>
        <v/>
      </c>
      <c r="Q281" s="7">
        <f>IF($V281="","",P281*O281)</f>
        <v/>
      </c>
      <c r="R281" s="7">
        <f>IF($V281="","",Q281+N281)</f>
        <v/>
      </c>
      <c r="S281" s="7">
        <f>IF($V281="","",T281-R281)</f>
        <v/>
      </c>
      <c r="T281" s="7">
        <f>IF($V281="","",M281+P281+K281)</f>
        <v/>
      </c>
      <c r="U281" s="7">
        <f>IF($V281="","",T281-R281-I281)</f>
        <v/>
      </c>
      <c r="V281" s="13">
        <f>IF(ROWS($V$2:$V281)&lt;=MAX('Per Line'!$AH$2:$AH$6001),MATCH(ROWS($V$2:$V281),'Per Line'!$AH$2:$AH$6001,0),"")</f>
        <v/>
      </c>
    </row>
    <row r="282">
      <c r="A282" s="12" t="n"/>
      <c r="B282">
        <f>IF($V282="","",INDEX('Per Line'!$C$2:$C$6001,$V282)&amp;"")</f>
        <v/>
      </c>
      <c r="C282" s="11">
        <f>IF($V282="","",INDEX('Per Line'!$D$2:$D$6001,$V282))</f>
        <v/>
      </c>
      <c r="D282">
        <f>IF($V282="","",INDEX('Per Line'!$E$2:$E$6001,$V282)&amp;"")</f>
        <v/>
      </c>
      <c r="E282">
        <f>IF($V282="","",INDEX('Per Line'!$G$2:$G$6001,$V282)&amp;"")</f>
        <v/>
      </c>
      <c r="F282">
        <f>IF($V282="","",INDEX('Per Line'!$H$2:$H$6001,$V282)&amp;"")</f>
        <v/>
      </c>
      <c r="G282">
        <f>IF($V282="","",INDEX('Per Line'!$I$2:$I$6001,$V282)&amp;"")</f>
        <v/>
      </c>
      <c r="H282">
        <f>IF($V282="","",INDEX('Per Line'!$J$2:$J$6001,$V282))</f>
        <v/>
      </c>
      <c r="I282" s="7">
        <f>IF($V282="","",H282*S282/100)</f>
        <v/>
      </c>
      <c r="J282">
        <f>IF($V282="","",INDEX('Per Line'!$S$2:$S$6001,$V282)&amp;"")</f>
        <v/>
      </c>
      <c r="K282" s="7">
        <f>IF($V282="","",SUMIFS('Per Line'!$R$2:$R$6001,'Per Line'!$C$2:$C$6001,$B282,'Per Line'!$AJ$2:$AJ$6001,1))</f>
        <v/>
      </c>
      <c r="L282">
        <f>IF($V282="","",Settings!$C$7)</f>
        <v/>
      </c>
      <c r="M282" s="7">
        <f>IF($V282="","",SUMIFS('Per Line'!$R$2:$R$6001,'Per Line'!$C$2:$C$6001,$B282,'Per Line'!$AI$2:$AI$6001,0,'Per Line'!$AJ$2:$AJ$6001,0))</f>
        <v/>
      </c>
      <c r="N282" s="7">
        <f>IF($V282="","",M282*L282)</f>
        <v/>
      </c>
      <c r="O282">
        <f>IF($V282="","",Settings!$C$6)</f>
        <v/>
      </c>
      <c r="P282" s="7">
        <f>IF($V282="","",SUMIFS('Per Line'!$R$2:$R$6001,'Per Line'!$C$2:$C$6001,$B282,'Per Line'!$AI$2:$AI$6001,1,'Per Line'!$AJ$2:$AJ$6001,0))</f>
        <v/>
      </c>
      <c r="Q282" s="7">
        <f>IF($V282="","",P282*O282)</f>
        <v/>
      </c>
      <c r="R282" s="7">
        <f>IF($V282="","",Q282+N282)</f>
        <v/>
      </c>
      <c r="S282" s="7">
        <f>IF($V282="","",T282-R282)</f>
        <v/>
      </c>
      <c r="T282" s="7">
        <f>IF($V282="","",M282+P282+K282)</f>
        <v/>
      </c>
      <c r="U282" s="7">
        <f>IF($V282="","",T282-R282-I282)</f>
        <v/>
      </c>
      <c r="V282" s="13">
        <f>IF(ROWS($V$2:$V282)&lt;=MAX('Per Line'!$AH$2:$AH$6001),MATCH(ROWS($V$2:$V282),'Per Line'!$AH$2:$AH$6001,0),"")</f>
        <v/>
      </c>
    </row>
    <row r="283">
      <c r="A283" s="12" t="n"/>
      <c r="B283">
        <f>IF($V283="","",INDEX('Per Line'!$C$2:$C$6001,$V283)&amp;"")</f>
        <v/>
      </c>
      <c r="C283" s="11">
        <f>IF($V283="","",INDEX('Per Line'!$D$2:$D$6001,$V283))</f>
        <v/>
      </c>
      <c r="D283">
        <f>IF($V283="","",INDEX('Per Line'!$E$2:$E$6001,$V283)&amp;"")</f>
        <v/>
      </c>
      <c r="E283">
        <f>IF($V283="","",INDEX('Per Line'!$G$2:$G$6001,$V283)&amp;"")</f>
        <v/>
      </c>
      <c r="F283">
        <f>IF($V283="","",INDEX('Per Line'!$H$2:$H$6001,$V283)&amp;"")</f>
        <v/>
      </c>
      <c r="G283">
        <f>IF($V283="","",INDEX('Per Line'!$I$2:$I$6001,$V283)&amp;"")</f>
        <v/>
      </c>
      <c r="H283">
        <f>IF($V283="","",INDEX('Per Line'!$J$2:$J$6001,$V283))</f>
        <v/>
      </c>
      <c r="I283" s="7">
        <f>IF($V283="","",H283*S283/100)</f>
        <v/>
      </c>
      <c r="J283">
        <f>IF($V283="","",INDEX('Per Line'!$S$2:$S$6001,$V283)&amp;"")</f>
        <v/>
      </c>
      <c r="K283" s="7">
        <f>IF($V283="","",SUMIFS('Per Line'!$R$2:$R$6001,'Per Line'!$C$2:$C$6001,$B283,'Per Line'!$AJ$2:$AJ$6001,1))</f>
        <v/>
      </c>
      <c r="L283">
        <f>IF($V283="","",Settings!$C$7)</f>
        <v/>
      </c>
      <c r="M283" s="7">
        <f>IF($V283="","",SUMIFS('Per Line'!$R$2:$R$6001,'Per Line'!$C$2:$C$6001,$B283,'Per Line'!$AI$2:$AI$6001,0,'Per Line'!$AJ$2:$AJ$6001,0))</f>
        <v/>
      </c>
      <c r="N283" s="7">
        <f>IF($V283="","",M283*L283)</f>
        <v/>
      </c>
      <c r="O283">
        <f>IF($V283="","",Settings!$C$6)</f>
        <v/>
      </c>
      <c r="P283" s="7">
        <f>IF($V283="","",SUMIFS('Per Line'!$R$2:$R$6001,'Per Line'!$C$2:$C$6001,$B283,'Per Line'!$AI$2:$AI$6001,1,'Per Line'!$AJ$2:$AJ$6001,0))</f>
        <v/>
      </c>
      <c r="Q283" s="7">
        <f>IF($V283="","",P283*O283)</f>
        <v/>
      </c>
      <c r="R283" s="7">
        <f>IF($V283="","",Q283+N283)</f>
        <v/>
      </c>
      <c r="S283" s="7">
        <f>IF($V283="","",T283-R283)</f>
        <v/>
      </c>
      <c r="T283" s="7">
        <f>IF($V283="","",M283+P283+K283)</f>
        <v/>
      </c>
      <c r="U283" s="7">
        <f>IF($V283="","",T283-R283-I283)</f>
        <v/>
      </c>
      <c r="V283" s="13">
        <f>IF(ROWS($V$2:$V283)&lt;=MAX('Per Line'!$AH$2:$AH$6001),MATCH(ROWS($V$2:$V283),'Per Line'!$AH$2:$AH$6001,0),"")</f>
        <v/>
      </c>
    </row>
    <row r="284">
      <c r="A284" s="12" t="n"/>
      <c r="B284">
        <f>IF($V284="","",INDEX('Per Line'!$C$2:$C$6001,$V284)&amp;"")</f>
        <v/>
      </c>
      <c r="C284" s="11">
        <f>IF($V284="","",INDEX('Per Line'!$D$2:$D$6001,$V284))</f>
        <v/>
      </c>
      <c r="D284">
        <f>IF($V284="","",INDEX('Per Line'!$E$2:$E$6001,$V284)&amp;"")</f>
        <v/>
      </c>
      <c r="E284">
        <f>IF($V284="","",INDEX('Per Line'!$G$2:$G$6001,$V284)&amp;"")</f>
        <v/>
      </c>
      <c r="F284">
        <f>IF($V284="","",INDEX('Per Line'!$H$2:$H$6001,$V284)&amp;"")</f>
        <v/>
      </c>
      <c r="G284">
        <f>IF($V284="","",INDEX('Per Line'!$I$2:$I$6001,$V284)&amp;"")</f>
        <v/>
      </c>
      <c r="H284">
        <f>IF($V284="","",INDEX('Per Line'!$J$2:$J$6001,$V284))</f>
        <v/>
      </c>
      <c r="I284" s="7">
        <f>IF($V284="","",H284*S284/100)</f>
        <v/>
      </c>
      <c r="J284">
        <f>IF($V284="","",INDEX('Per Line'!$S$2:$S$6001,$V284)&amp;"")</f>
        <v/>
      </c>
      <c r="K284" s="7">
        <f>IF($V284="","",SUMIFS('Per Line'!$R$2:$R$6001,'Per Line'!$C$2:$C$6001,$B284,'Per Line'!$AJ$2:$AJ$6001,1))</f>
        <v/>
      </c>
      <c r="L284">
        <f>IF($V284="","",Settings!$C$7)</f>
        <v/>
      </c>
      <c r="M284" s="7">
        <f>IF($V284="","",SUMIFS('Per Line'!$R$2:$R$6001,'Per Line'!$C$2:$C$6001,$B284,'Per Line'!$AI$2:$AI$6001,0,'Per Line'!$AJ$2:$AJ$6001,0))</f>
        <v/>
      </c>
      <c r="N284" s="7">
        <f>IF($V284="","",M284*L284)</f>
        <v/>
      </c>
      <c r="O284">
        <f>IF($V284="","",Settings!$C$6)</f>
        <v/>
      </c>
      <c r="P284" s="7">
        <f>IF($V284="","",SUMIFS('Per Line'!$R$2:$R$6001,'Per Line'!$C$2:$C$6001,$B284,'Per Line'!$AI$2:$AI$6001,1,'Per Line'!$AJ$2:$AJ$6001,0))</f>
        <v/>
      </c>
      <c r="Q284" s="7">
        <f>IF($V284="","",P284*O284)</f>
        <v/>
      </c>
      <c r="R284" s="7">
        <f>IF($V284="","",Q284+N284)</f>
        <v/>
      </c>
      <c r="S284" s="7">
        <f>IF($V284="","",T284-R284)</f>
        <v/>
      </c>
      <c r="T284" s="7">
        <f>IF($V284="","",M284+P284+K284)</f>
        <v/>
      </c>
      <c r="U284" s="7">
        <f>IF($V284="","",T284-R284-I284)</f>
        <v/>
      </c>
      <c r="V284" s="13">
        <f>IF(ROWS($V$2:$V284)&lt;=MAX('Per Line'!$AH$2:$AH$6001),MATCH(ROWS($V$2:$V284),'Per Line'!$AH$2:$AH$6001,0),"")</f>
        <v/>
      </c>
    </row>
    <row r="285">
      <c r="A285" s="12" t="n"/>
      <c r="B285">
        <f>IF($V285="","",INDEX('Per Line'!$C$2:$C$6001,$V285)&amp;"")</f>
        <v/>
      </c>
      <c r="C285" s="11">
        <f>IF($V285="","",INDEX('Per Line'!$D$2:$D$6001,$V285))</f>
        <v/>
      </c>
      <c r="D285">
        <f>IF($V285="","",INDEX('Per Line'!$E$2:$E$6001,$V285)&amp;"")</f>
        <v/>
      </c>
      <c r="E285">
        <f>IF($V285="","",INDEX('Per Line'!$G$2:$G$6001,$V285)&amp;"")</f>
        <v/>
      </c>
      <c r="F285">
        <f>IF($V285="","",INDEX('Per Line'!$H$2:$H$6001,$V285)&amp;"")</f>
        <v/>
      </c>
      <c r="G285">
        <f>IF($V285="","",INDEX('Per Line'!$I$2:$I$6001,$V285)&amp;"")</f>
        <v/>
      </c>
      <c r="H285">
        <f>IF($V285="","",INDEX('Per Line'!$J$2:$J$6001,$V285))</f>
        <v/>
      </c>
      <c r="I285" s="7">
        <f>IF($V285="","",H285*S285/100)</f>
        <v/>
      </c>
      <c r="J285">
        <f>IF($V285="","",INDEX('Per Line'!$S$2:$S$6001,$V285)&amp;"")</f>
        <v/>
      </c>
      <c r="K285" s="7">
        <f>IF($V285="","",SUMIFS('Per Line'!$R$2:$R$6001,'Per Line'!$C$2:$C$6001,$B285,'Per Line'!$AJ$2:$AJ$6001,1))</f>
        <v/>
      </c>
      <c r="L285">
        <f>IF($V285="","",Settings!$C$7)</f>
        <v/>
      </c>
      <c r="M285" s="7">
        <f>IF($V285="","",SUMIFS('Per Line'!$R$2:$R$6001,'Per Line'!$C$2:$C$6001,$B285,'Per Line'!$AI$2:$AI$6001,0,'Per Line'!$AJ$2:$AJ$6001,0))</f>
        <v/>
      </c>
      <c r="N285" s="7">
        <f>IF($V285="","",M285*L285)</f>
        <v/>
      </c>
      <c r="O285">
        <f>IF($V285="","",Settings!$C$6)</f>
        <v/>
      </c>
      <c r="P285" s="7">
        <f>IF($V285="","",SUMIFS('Per Line'!$R$2:$R$6001,'Per Line'!$C$2:$C$6001,$B285,'Per Line'!$AI$2:$AI$6001,1,'Per Line'!$AJ$2:$AJ$6001,0))</f>
        <v/>
      </c>
      <c r="Q285" s="7">
        <f>IF($V285="","",P285*O285)</f>
        <v/>
      </c>
      <c r="R285" s="7">
        <f>IF($V285="","",Q285+N285)</f>
        <v/>
      </c>
      <c r="S285" s="7">
        <f>IF($V285="","",T285-R285)</f>
        <v/>
      </c>
      <c r="T285" s="7">
        <f>IF($V285="","",M285+P285+K285)</f>
        <v/>
      </c>
      <c r="U285" s="7">
        <f>IF($V285="","",T285-R285-I285)</f>
        <v/>
      </c>
      <c r="V285" s="13">
        <f>IF(ROWS($V$2:$V285)&lt;=MAX('Per Line'!$AH$2:$AH$6001),MATCH(ROWS($V$2:$V285),'Per Line'!$AH$2:$AH$6001,0),"")</f>
        <v/>
      </c>
    </row>
    <row r="286">
      <c r="A286" s="12" t="n"/>
      <c r="B286">
        <f>IF($V286="","",INDEX('Per Line'!$C$2:$C$6001,$V286)&amp;"")</f>
        <v/>
      </c>
      <c r="C286" s="11">
        <f>IF($V286="","",INDEX('Per Line'!$D$2:$D$6001,$V286))</f>
        <v/>
      </c>
      <c r="D286">
        <f>IF($V286="","",INDEX('Per Line'!$E$2:$E$6001,$V286)&amp;"")</f>
        <v/>
      </c>
      <c r="E286">
        <f>IF($V286="","",INDEX('Per Line'!$G$2:$G$6001,$V286)&amp;"")</f>
        <v/>
      </c>
      <c r="F286">
        <f>IF($V286="","",INDEX('Per Line'!$H$2:$H$6001,$V286)&amp;"")</f>
        <v/>
      </c>
      <c r="G286">
        <f>IF($V286="","",INDEX('Per Line'!$I$2:$I$6001,$V286)&amp;"")</f>
        <v/>
      </c>
      <c r="H286">
        <f>IF($V286="","",INDEX('Per Line'!$J$2:$J$6001,$V286))</f>
        <v/>
      </c>
      <c r="I286" s="7">
        <f>IF($V286="","",H286*S286/100)</f>
        <v/>
      </c>
      <c r="J286">
        <f>IF($V286="","",INDEX('Per Line'!$S$2:$S$6001,$V286)&amp;"")</f>
        <v/>
      </c>
      <c r="K286" s="7">
        <f>IF($V286="","",SUMIFS('Per Line'!$R$2:$R$6001,'Per Line'!$C$2:$C$6001,$B286,'Per Line'!$AJ$2:$AJ$6001,1))</f>
        <v/>
      </c>
      <c r="L286">
        <f>IF($V286="","",Settings!$C$7)</f>
        <v/>
      </c>
      <c r="M286" s="7">
        <f>IF($V286="","",SUMIFS('Per Line'!$R$2:$R$6001,'Per Line'!$C$2:$C$6001,$B286,'Per Line'!$AI$2:$AI$6001,0,'Per Line'!$AJ$2:$AJ$6001,0))</f>
        <v/>
      </c>
      <c r="N286" s="7">
        <f>IF($V286="","",M286*L286)</f>
        <v/>
      </c>
      <c r="O286">
        <f>IF($V286="","",Settings!$C$6)</f>
        <v/>
      </c>
      <c r="P286" s="7">
        <f>IF($V286="","",SUMIFS('Per Line'!$R$2:$R$6001,'Per Line'!$C$2:$C$6001,$B286,'Per Line'!$AI$2:$AI$6001,1,'Per Line'!$AJ$2:$AJ$6001,0))</f>
        <v/>
      </c>
      <c r="Q286" s="7">
        <f>IF($V286="","",P286*O286)</f>
        <v/>
      </c>
      <c r="R286" s="7">
        <f>IF($V286="","",Q286+N286)</f>
        <v/>
      </c>
      <c r="S286" s="7">
        <f>IF($V286="","",T286-R286)</f>
        <v/>
      </c>
      <c r="T286" s="7">
        <f>IF($V286="","",M286+P286+K286)</f>
        <v/>
      </c>
      <c r="U286" s="7">
        <f>IF($V286="","",T286-R286-I286)</f>
        <v/>
      </c>
      <c r="V286" s="13">
        <f>IF(ROWS($V$2:$V286)&lt;=MAX('Per Line'!$AH$2:$AH$6001),MATCH(ROWS($V$2:$V286),'Per Line'!$AH$2:$AH$6001,0),"")</f>
        <v/>
      </c>
    </row>
    <row r="287">
      <c r="A287" s="12" t="n"/>
      <c r="B287">
        <f>IF($V287="","",INDEX('Per Line'!$C$2:$C$6001,$V287)&amp;"")</f>
        <v/>
      </c>
      <c r="C287" s="11">
        <f>IF($V287="","",INDEX('Per Line'!$D$2:$D$6001,$V287))</f>
        <v/>
      </c>
      <c r="D287">
        <f>IF($V287="","",INDEX('Per Line'!$E$2:$E$6001,$V287)&amp;"")</f>
        <v/>
      </c>
      <c r="E287">
        <f>IF($V287="","",INDEX('Per Line'!$G$2:$G$6001,$V287)&amp;"")</f>
        <v/>
      </c>
      <c r="F287">
        <f>IF($V287="","",INDEX('Per Line'!$H$2:$H$6001,$V287)&amp;"")</f>
        <v/>
      </c>
      <c r="G287">
        <f>IF($V287="","",INDEX('Per Line'!$I$2:$I$6001,$V287)&amp;"")</f>
        <v/>
      </c>
      <c r="H287">
        <f>IF($V287="","",INDEX('Per Line'!$J$2:$J$6001,$V287))</f>
        <v/>
      </c>
      <c r="I287" s="7">
        <f>IF($V287="","",H287*S287/100)</f>
        <v/>
      </c>
      <c r="J287">
        <f>IF($V287="","",INDEX('Per Line'!$S$2:$S$6001,$V287)&amp;"")</f>
        <v/>
      </c>
      <c r="K287" s="7">
        <f>IF($V287="","",SUMIFS('Per Line'!$R$2:$R$6001,'Per Line'!$C$2:$C$6001,$B287,'Per Line'!$AJ$2:$AJ$6001,1))</f>
        <v/>
      </c>
      <c r="L287">
        <f>IF($V287="","",Settings!$C$7)</f>
        <v/>
      </c>
      <c r="M287" s="7">
        <f>IF($V287="","",SUMIFS('Per Line'!$R$2:$R$6001,'Per Line'!$C$2:$C$6001,$B287,'Per Line'!$AI$2:$AI$6001,0,'Per Line'!$AJ$2:$AJ$6001,0))</f>
        <v/>
      </c>
      <c r="N287" s="7">
        <f>IF($V287="","",M287*L287)</f>
        <v/>
      </c>
      <c r="O287">
        <f>IF($V287="","",Settings!$C$6)</f>
        <v/>
      </c>
      <c r="P287" s="7">
        <f>IF($V287="","",SUMIFS('Per Line'!$R$2:$R$6001,'Per Line'!$C$2:$C$6001,$B287,'Per Line'!$AI$2:$AI$6001,1,'Per Line'!$AJ$2:$AJ$6001,0))</f>
        <v/>
      </c>
      <c r="Q287" s="7">
        <f>IF($V287="","",P287*O287)</f>
        <v/>
      </c>
      <c r="R287" s="7">
        <f>IF($V287="","",Q287+N287)</f>
        <v/>
      </c>
      <c r="S287" s="7">
        <f>IF($V287="","",T287-R287)</f>
        <v/>
      </c>
      <c r="T287" s="7">
        <f>IF($V287="","",M287+P287+K287)</f>
        <v/>
      </c>
      <c r="U287" s="7">
        <f>IF($V287="","",T287-R287-I287)</f>
        <v/>
      </c>
      <c r="V287" s="13">
        <f>IF(ROWS($V$2:$V287)&lt;=MAX('Per Line'!$AH$2:$AH$6001),MATCH(ROWS($V$2:$V287),'Per Line'!$AH$2:$AH$6001,0),"")</f>
        <v/>
      </c>
    </row>
    <row r="288">
      <c r="A288" s="12" t="n"/>
      <c r="B288">
        <f>IF($V288="","",INDEX('Per Line'!$C$2:$C$6001,$V288)&amp;"")</f>
        <v/>
      </c>
      <c r="C288" s="11">
        <f>IF($V288="","",INDEX('Per Line'!$D$2:$D$6001,$V288))</f>
        <v/>
      </c>
      <c r="D288">
        <f>IF($V288="","",INDEX('Per Line'!$E$2:$E$6001,$V288)&amp;"")</f>
        <v/>
      </c>
      <c r="E288">
        <f>IF($V288="","",INDEX('Per Line'!$G$2:$G$6001,$V288)&amp;"")</f>
        <v/>
      </c>
      <c r="F288">
        <f>IF($V288="","",INDEX('Per Line'!$H$2:$H$6001,$V288)&amp;"")</f>
        <v/>
      </c>
      <c r="G288">
        <f>IF($V288="","",INDEX('Per Line'!$I$2:$I$6001,$V288)&amp;"")</f>
        <v/>
      </c>
      <c r="H288">
        <f>IF($V288="","",INDEX('Per Line'!$J$2:$J$6001,$V288))</f>
        <v/>
      </c>
      <c r="I288" s="7">
        <f>IF($V288="","",H288*S288/100)</f>
        <v/>
      </c>
      <c r="J288">
        <f>IF($V288="","",INDEX('Per Line'!$S$2:$S$6001,$V288)&amp;"")</f>
        <v/>
      </c>
      <c r="K288" s="7">
        <f>IF($V288="","",SUMIFS('Per Line'!$R$2:$R$6001,'Per Line'!$C$2:$C$6001,$B288,'Per Line'!$AJ$2:$AJ$6001,1))</f>
        <v/>
      </c>
      <c r="L288">
        <f>IF($V288="","",Settings!$C$7)</f>
        <v/>
      </c>
      <c r="M288" s="7">
        <f>IF($V288="","",SUMIFS('Per Line'!$R$2:$R$6001,'Per Line'!$C$2:$C$6001,$B288,'Per Line'!$AI$2:$AI$6001,0,'Per Line'!$AJ$2:$AJ$6001,0))</f>
        <v/>
      </c>
      <c r="N288" s="7">
        <f>IF($V288="","",M288*L288)</f>
        <v/>
      </c>
      <c r="O288">
        <f>IF($V288="","",Settings!$C$6)</f>
        <v/>
      </c>
      <c r="P288" s="7">
        <f>IF($V288="","",SUMIFS('Per Line'!$R$2:$R$6001,'Per Line'!$C$2:$C$6001,$B288,'Per Line'!$AI$2:$AI$6001,1,'Per Line'!$AJ$2:$AJ$6001,0))</f>
        <v/>
      </c>
      <c r="Q288" s="7">
        <f>IF($V288="","",P288*O288)</f>
        <v/>
      </c>
      <c r="R288" s="7">
        <f>IF($V288="","",Q288+N288)</f>
        <v/>
      </c>
      <c r="S288" s="7">
        <f>IF($V288="","",T288-R288)</f>
        <v/>
      </c>
      <c r="T288" s="7">
        <f>IF($V288="","",M288+P288+K288)</f>
        <v/>
      </c>
      <c r="U288" s="7">
        <f>IF($V288="","",T288-R288-I288)</f>
        <v/>
      </c>
      <c r="V288" s="13">
        <f>IF(ROWS($V$2:$V288)&lt;=MAX('Per Line'!$AH$2:$AH$6001),MATCH(ROWS($V$2:$V288),'Per Line'!$AH$2:$AH$6001,0),"")</f>
        <v/>
      </c>
    </row>
    <row r="289">
      <c r="A289" s="12" t="n"/>
      <c r="B289">
        <f>IF($V289="","",INDEX('Per Line'!$C$2:$C$6001,$V289)&amp;"")</f>
        <v/>
      </c>
      <c r="C289" s="11">
        <f>IF($V289="","",INDEX('Per Line'!$D$2:$D$6001,$V289))</f>
        <v/>
      </c>
      <c r="D289">
        <f>IF($V289="","",INDEX('Per Line'!$E$2:$E$6001,$V289)&amp;"")</f>
        <v/>
      </c>
      <c r="E289">
        <f>IF($V289="","",INDEX('Per Line'!$G$2:$G$6001,$V289)&amp;"")</f>
        <v/>
      </c>
      <c r="F289">
        <f>IF($V289="","",INDEX('Per Line'!$H$2:$H$6001,$V289)&amp;"")</f>
        <v/>
      </c>
      <c r="G289">
        <f>IF($V289="","",INDEX('Per Line'!$I$2:$I$6001,$V289)&amp;"")</f>
        <v/>
      </c>
      <c r="H289">
        <f>IF($V289="","",INDEX('Per Line'!$J$2:$J$6001,$V289))</f>
        <v/>
      </c>
      <c r="I289" s="7">
        <f>IF($V289="","",H289*S289/100)</f>
        <v/>
      </c>
      <c r="J289">
        <f>IF($V289="","",INDEX('Per Line'!$S$2:$S$6001,$V289)&amp;"")</f>
        <v/>
      </c>
      <c r="K289" s="7">
        <f>IF($V289="","",SUMIFS('Per Line'!$R$2:$R$6001,'Per Line'!$C$2:$C$6001,$B289,'Per Line'!$AJ$2:$AJ$6001,1))</f>
        <v/>
      </c>
      <c r="L289">
        <f>IF($V289="","",Settings!$C$7)</f>
        <v/>
      </c>
      <c r="M289" s="7">
        <f>IF($V289="","",SUMIFS('Per Line'!$R$2:$R$6001,'Per Line'!$C$2:$C$6001,$B289,'Per Line'!$AI$2:$AI$6001,0,'Per Line'!$AJ$2:$AJ$6001,0))</f>
        <v/>
      </c>
      <c r="N289" s="7">
        <f>IF($V289="","",M289*L289)</f>
        <v/>
      </c>
      <c r="O289">
        <f>IF($V289="","",Settings!$C$6)</f>
        <v/>
      </c>
      <c r="P289" s="7">
        <f>IF($V289="","",SUMIFS('Per Line'!$R$2:$R$6001,'Per Line'!$C$2:$C$6001,$B289,'Per Line'!$AI$2:$AI$6001,1,'Per Line'!$AJ$2:$AJ$6001,0))</f>
        <v/>
      </c>
      <c r="Q289" s="7">
        <f>IF($V289="","",P289*O289)</f>
        <v/>
      </c>
      <c r="R289" s="7">
        <f>IF($V289="","",Q289+N289)</f>
        <v/>
      </c>
      <c r="S289" s="7">
        <f>IF($V289="","",T289-R289)</f>
        <v/>
      </c>
      <c r="T289" s="7">
        <f>IF($V289="","",M289+P289+K289)</f>
        <v/>
      </c>
      <c r="U289" s="7">
        <f>IF($V289="","",T289-R289-I289)</f>
        <v/>
      </c>
      <c r="V289" s="13">
        <f>IF(ROWS($V$2:$V289)&lt;=MAX('Per Line'!$AH$2:$AH$6001),MATCH(ROWS($V$2:$V289),'Per Line'!$AH$2:$AH$6001,0),"")</f>
        <v/>
      </c>
    </row>
    <row r="290">
      <c r="A290" s="12" t="n"/>
      <c r="B290">
        <f>IF($V290="","",INDEX('Per Line'!$C$2:$C$6001,$V290)&amp;"")</f>
        <v/>
      </c>
      <c r="C290" s="11">
        <f>IF($V290="","",INDEX('Per Line'!$D$2:$D$6001,$V290))</f>
        <v/>
      </c>
      <c r="D290">
        <f>IF($V290="","",INDEX('Per Line'!$E$2:$E$6001,$V290)&amp;"")</f>
        <v/>
      </c>
      <c r="E290">
        <f>IF($V290="","",INDEX('Per Line'!$G$2:$G$6001,$V290)&amp;"")</f>
        <v/>
      </c>
      <c r="F290">
        <f>IF($V290="","",INDEX('Per Line'!$H$2:$H$6001,$V290)&amp;"")</f>
        <v/>
      </c>
      <c r="G290">
        <f>IF($V290="","",INDEX('Per Line'!$I$2:$I$6001,$V290)&amp;"")</f>
        <v/>
      </c>
      <c r="H290">
        <f>IF($V290="","",INDEX('Per Line'!$J$2:$J$6001,$V290))</f>
        <v/>
      </c>
      <c r="I290" s="7">
        <f>IF($V290="","",H290*S290/100)</f>
        <v/>
      </c>
      <c r="J290">
        <f>IF($V290="","",INDEX('Per Line'!$S$2:$S$6001,$V290)&amp;"")</f>
        <v/>
      </c>
      <c r="K290" s="7">
        <f>IF($V290="","",SUMIFS('Per Line'!$R$2:$R$6001,'Per Line'!$C$2:$C$6001,$B290,'Per Line'!$AJ$2:$AJ$6001,1))</f>
        <v/>
      </c>
      <c r="L290">
        <f>IF($V290="","",Settings!$C$7)</f>
        <v/>
      </c>
      <c r="M290" s="7">
        <f>IF($V290="","",SUMIFS('Per Line'!$R$2:$R$6001,'Per Line'!$C$2:$C$6001,$B290,'Per Line'!$AI$2:$AI$6001,0,'Per Line'!$AJ$2:$AJ$6001,0))</f>
        <v/>
      </c>
      <c r="N290" s="7">
        <f>IF($V290="","",M290*L290)</f>
        <v/>
      </c>
      <c r="O290">
        <f>IF($V290="","",Settings!$C$6)</f>
        <v/>
      </c>
      <c r="P290" s="7">
        <f>IF($V290="","",SUMIFS('Per Line'!$R$2:$R$6001,'Per Line'!$C$2:$C$6001,$B290,'Per Line'!$AI$2:$AI$6001,1,'Per Line'!$AJ$2:$AJ$6001,0))</f>
        <v/>
      </c>
      <c r="Q290" s="7">
        <f>IF($V290="","",P290*O290)</f>
        <v/>
      </c>
      <c r="R290" s="7">
        <f>IF($V290="","",Q290+N290)</f>
        <v/>
      </c>
      <c r="S290" s="7">
        <f>IF($V290="","",T290-R290)</f>
        <v/>
      </c>
      <c r="T290" s="7">
        <f>IF($V290="","",M290+P290+K290)</f>
        <v/>
      </c>
      <c r="U290" s="7">
        <f>IF($V290="","",T290-R290-I290)</f>
        <v/>
      </c>
      <c r="V290" s="13">
        <f>IF(ROWS($V$2:$V290)&lt;=MAX('Per Line'!$AH$2:$AH$6001),MATCH(ROWS($V$2:$V290),'Per Line'!$AH$2:$AH$6001,0),"")</f>
        <v/>
      </c>
    </row>
    <row r="291">
      <c r="A291" s="12" t="n"/>
      <c r="B291">
        <f>IF($V291="","",INDEX('Per Line'!$C$2:$C$6001,$V291)&amp;"")</f>
        <v/>
      </c>
      <c r="C291" s="11">
        <f>IF($V291="","",INDEX('Per Line'!$D$2:$D$6001,$V291))</f>
        <v/>
      </c>
      <c r="D291">
        <f>IF($V291="","",INDEX('Per Line'!$E$2:$E$6001,$V291)&amp;"")</f>
        <v/>
      </c>
      <c r="E291">
        <f>IF($V291="","",INDEX('Per Line'!$G$2:$G$6001,$V291)&amp;"")</f>
        <v/>
      </c>
      <c r="F291">
        <f>IF($V291="","",INDEX('Per Line'!$H$2:$H$6001,$V291)&amp;"")</f>
        <v/>
      </c>
      <c r="G291">
        <f>IF($V291="","",INDEX('Per Line'!$I$2:$I$6001,$V291)&amp;"")</f>
        <v/>
      </c>
      <c r="H291">
        <f>IF($V291="","",INDEX('Per Line'!$J$2:$J$6001,$V291))</f>
        <v/>
      </c>
      <c r="I291" s="7">
        <f>IF($V291="","",H291*S291/100)</f>
        <v/>
      </c>
      <c r="J291">
        <f>IF($V291="","",INDEX('Per Line'!$S$2:$S$6001,$V291)&amp;"")</f>
        <v/>
      </c>
      <c r="K291" s="7">
        <f>IF($V291="","",SUMIFS('Per Line'!$R$2:$R$6001,'Per Line'!$C$2:$C$6001,$B291,'Per Line'!$AJ$2:$AJ$6001,1))</f>
        <v/>
      </c>
      <c r="L291">
        <f>IF($V291="","",Settings!$C$7)</f>
        <v/>
      </c>
      <c r="M291" s="7">
        <f>IF($V291="","",SUMIFS('Per Line'!$R$2:$R$6001,'Per Line'!$C$2:$C$6001,$B291,'Per Line'!$AI$2:$AI$6001,0,'Per Line'!$AJ$2:$AJ$6001,0))</f>
        <v/>
      </c>
      <c r="N291" s="7">
        <f>IF($V291="","",M291*L291)</f>
        <v/>
      </c>
      <c r="O291">
        <f>IF($V291="","",Settings!$C$6)</f>
        <v/>
      </c>
      <c r="P291" s="7">
        <f>IF($V291="","",SUMIFS('Per Line'!$R$2:$R$6001,'Per Line'!$C$2:$C$6001,$B291,'Per Line'!$AI$2:$AI$6001,1,'Per Line'!$AJ$2:$AJ$6001,0))</f>
        <v/>
      </c>
      <c r="Q291" s="7">
        <f>IF($V291="","",P291*O291)</f>
        <v/>
      </c>
      <c r="R291" s="7">
        <f>IF($V291="","",Q291+N291)</f>
        <v/>
      </c>
      <c r="S291" s="7">
        <f>IF($V291="","",T291-R291)</f>
        <v/>
      </c>
      <c r="T291" s="7">
        <f>IF($V291="","",M291+P291+K291)</f>
        <v/>
      </c>
      <c r="U291" s="7">
        <f>IF($V291="","",T291-R291-I291)</f>
        <v/>
      </c>
      <c r="V291" s="13">
        <f>IF(ROWS($V$2:$V291)&lt;=MAX('Per Line'!$AH$2:$AH$6001),MATCH(ROWS($V$2:$V291),'Per Line'!$AH$2:$AH$6001,0),"")</f>
        <v/>
      </c>
    </row>
    <row r="292">
      <c r="A292" s="12" t="n"/>
      <c r="B292">
        <f>IF($V292="","",INDEX('Per Line'!$C$2:$C$6001,$V292)&amp;"")</f>
        <v/>
      </c>
      <c r="C292" s="11">
        <f>IF($V292="","",INDEX('Per Line'!$D$2:$D$6001,$V292))</f>
        <v/>
      </c>
      <c r="D292">
        <f>IF($V292="","",INDEX('Per Line'!$E$2:$E$6001,$V292)&amp;"")</f>
        <v/>
      </c>
      <c r="E292">
        <f>IF($V292="","",INDEX('Per Line'!$G$2:$G$6001,$V292)&amp;"")</f>
        <v/>
      </c>
      <c r="F292">
        <f>IF($V292="","",INDEX('Per Line'!$H$2:$H$6001,$V292)&amp;"")</f>
        <v/>
      </c>
      <c r="G292">
        <f>IF($V292="","",INDEX('Per Line'!$I$2:$I$6001,$V292)&amp;"")</f>
        <v/>
      </c>
      <c r="H292">
        <f>IF($V292="","",INDEX('Per Line'!$J$2:$J$6001,$V292))</f>
        <v/>
      </c>
      <c r="I292" s="7">
        <f>IF($V292="","",H292*S292/100)</f>
        <v/>
      </c>
      <c r="J292">
        <f>IF($V292="","",INDEX('Per Line'!$S$2:$S$6001,$V292)&amp;"")</f>
        <v/>
      </c>
      <c r="K292" s="7">
        <f>IF($V292="","",SUMIFS('Per Line'!$R$2:$R$6001,'Per Line'!$C$2:$C$6001,$B292,'Per Line'!$AJ$2:$AJ$6001,1))</f>
        <v/>
      </c>
      <c r="L292">
        <f>IF($V292="","",Settings!$C$7)</f>
        <v/>
      </c>
      <c r="M292" s="7">
        <f>IF($V292="","",SUMIFS('Per Line'!$R$2:$R$6001,'Per Line'!$C$2:$C$6001,$B292,'Per Line'!$AI$2:$AI$6001,0,'Per Line'!$AJ$2:$AJ$6001,0))</f>
        <v/>
      </c>
      <c r="N292" s="7">
        <f>IF($V292="","",M292*L292)</f>
        <v/>
      </c>
      <c r="O292">
        <f>IF($V292="","",Settings!$C$6)</f>
        <v/>
      </c>
      <c r="P292" s="7">
        <f>IF($V292="","",SUMIFS('Per Line'!$R$2:$R$6001,'Per Line'!$C$2:$C$6001,$B292,'Per Line'!$AI$2:$AI$6001,1,'Per Line'!$AJ$2:$AJ$6001,0))</f>
        <v/>
      </c>
      <c r="Q292" s="7">
        <f>IF($V292="","",P292*O292)</f>
        <v/>
      </c>
      <c r="R292" s="7">
        <f>IF($V292="","",Q292+N292)</f>
        <v/>
      </c>
      <c r="S292" s="7">
        <f>IF($V292="","",T292-R292)</f>
        <v/>
      </c>
      <c r="T292" s="7">
        <f>IF($V292="","",M292+P292+K292)</f>
        <v/>
      </c>
      <c r="U292" s="7">
        <f>IF($V292="","",T292-R292-I292)</f>
        <v/>
      </c>
      <c r="V292" s="13">
        <f>IF(ROWS($V$2:$V292)&lt;=MAX('Per Line'!$AH$2:$AH$6001),MATCH(ROWS($V$2:$V292),'Per Line'!$AH$2:$AH$6001,0),"")</f>
        <v/>
      </c>
    </row>
    <row r="293">
      <c r="A293" s="12" t="n"/>
      <c r="B293">
        <f>IF($V293="","",INDEX('Per Line'!$C$2:$C$6001,$V293)&amp;"")</f>
        <v/>
      </c>
      <c r="C293" s="11">
        <f>IF($V293="","",INDEX('Per Line'!$D$2:$D$6001,$V293))</f>
        <v/>
      </c>
      <c r="D293">
        <f>IF($V293="","",INDEX('Per Line'!$E$2:$E$6001,$V293)&amp;"")</f>
        <v/>
      </c>
      <c r="E293">
        <f>IF($V293="","",INDEX('Per Line'!$G$2:$G$6001,$V293)&amp;"")</f>
        <v/>
      </c>
      <c r="F293">
        <f>IF($V293="","",INDEX('Per Line'!$H$2:$H$6001,$V293)&amp;"")</f>
        <v/>
      </c>
      <c r="G293">
        <f>IF($V293="","",INDEX('Per Line'!$I$2:$I$6001,$V293)&amp;"")</f>
        <v/>
      </c>
      <c r="H293">
        <f>IF($V293="","",INDEX('Per Line'!$J$2:$J$6001,$V293))</f>
        <v/>
      </c>
      <c r="I293" s="7">
        <f>IF($V293="","",H293*S293/100)</f>
        <v/>
      </c>
      <c r="J293">
        <f>IF($V293="","",INDEX('Per Line'!$S$2:$S$6001,$V293)&amp;"")</f>
        <v/>
      </c>
      <c r="K293" s="7">
        <f>IF($V293="","",SUMIFS('Per Line'!$R$2:$R$6001,'Per Line'!$C$2:$C$6001,$B293,'Per Line'!$AJ$2:$AJ$6001,1))</f>
        <v/>
      </c>
      <c r="L293">
        <f>IF($V293="","",Settings!$C$7)</f>
        <v/>
      </c>
      <c r="M293" s="7">
        <f>IF($V293="","",SUMIFS('Per Line'!$R$2:$R$6001,'Per Line'!$C$2:$C$6001,$B293,'Per Line'!$AI$2:$AI$6001,0,'Per Line'!$AJ$2:$AJ$6001,0))</f>
        <v/>
      </c>
      <c r="N293" s="7">
        <f>IF($V293="","",M293*L293)</f>
        <v/>
      </c>
      <c r="O293">
        <f>IF($V293="","",Settings!$C$6)</f>
        <v/>
      </c>
      <c r="P293" s="7">
        <f>IF($V293="","",SUMIFS('Per Line'!$R$2:$R$6001,'Per Line'!$C$2:$C$6001,$B293,'Per Line'!$AI$2:$AI$6001,1,'Per Line'!$AJ$2:$AJ$6001,0))</f>
        <v/>
      </c>
      <c r="Q293" s="7">
        <f>IF($V293="","",P293*O293)</f>
        <v/>
      </c>
      <c r="R293" s="7">
        <f>IF($V293="","",Q293+N293)</f>
        <v/>
      </c>
      <c r="S293" s="7">
        <f>IF($V293="","",T293-R293)</f>
        <v/>
      </c>
      <c r="T293" s="7">
        <f>IF($V293="","",M293+P293+K293)</f>
        <v/>
      </c>
      <c r="U293" s="7">
        <f>IF($V293="","",T293-R293-I293)</f>
        <v/>
      </c>
      <c r="V293" s="13">
        <f>IF(ROWS($V$2:$V293)&lt;=MAX('Per Line'!$AH$2:$AH$6001),MATCH(ROWS($V$2:$V293),'Per Line'!$AH$2:$AH$6001,0),"")</f>
        <v/>
      </c>
    </row>
    <row r="294">
      <c r="A294" s="12" t="n"/>
      <c r="B294">
        <f>IF($V294="","",INDEX('Per Line'!$C$2:$C$6001,$V294)&amp;"")</f>
        <v/>
      </c>
      <c r="C294" s="11">
        <f>IF($V294="","",INDEX('Per Line'!$D$2:$D$6001,$V294))</f>
        <v/>
      </c>
      <c r="D294">
        <f>IF($V294="","",INDEX('Per Line'!$E$2:$E$6001,$V294)&amp;"")</f>
        <v/>
      </c>
      <c r="E294">
        <f>IF($V294="","",INDEX('Per Line'!$G$2:$G$6001,$V294)&amp;"")</f>
        <v/>
      </c>
      <c r="F294">
        <f>IF($V294="","",INDEX('Per Line'!$H$2:$H$6001,$V294)&amp;"")</f>
        <v/>
      </c>
      <c r="G294">
        <f>IF($V294="","",INDEX('Per Line'!$I$2:$I$6001,$V294)&amp;"")</f>
        <v/>
      </c>
      <c r="H294">
        <f>IF($V294="","",INDEX('Per Line'!$J$2:$J$6001,$V294))</f>
        <v/>
      </c>
      <c r="I294" s="7">
        <f>IF($V294="","",H294*S294/100)</f>
        <v/>
      </c>
      <c r="J294">
        <f>IF($V294="","",INDEX('Per Line'!$S$2:$S$6001,$V294)&amp;"")</f>
        <v/>
      </c>
      <c r="K294" s="7">
        <f>IF($V294="","",SUMIFS('Per Line'!$R$2:$R$6001,'Per Line'!$C$2:$C$6001,$B294,'Per Line'!$AJ$2:$AJ$6001,1))</f>
        <v/>
      </c>
      <c r="L294">
        <f>IF($V294="","",Settings!$C$7)</f>
        <v/>
      </c>
      <c r="M294" s="7">
        <f>IF($V294="","",SUMIFS('Per Line'!$R$2:$R$6001,'Per Line'!$C$2:$C$6001,$B294,'Per Line'!$AI$2:$AI$6001,0,'Per Line'!$AJ$2:$AJ$6001,0))</f>
        <v/>
      </c>
      <c r="N294" s="7">
        <f>IF($V294="","",M294*L294)</f>
        <v/>
      </c>
      <c r="O294">
        <f>IF($V294="","",Settings!$C$6)</f>
        <v/>
      </c>
      <c r="P294" s="7">
        <f>IF($V294="","",SUMIFS('Per Line'!$R$2:$R$6001,'Per Line'!$C$2:$C$6001,$B294,'Per Line'!$AI$2:$AI$6001,1,'Per Line'!$AJ$2:$AJ$6001,0))</f>
        <v/>
      </c>
      <c r="Q294" s="7">
        <f>IF($V294="","",P294*O294)</f>
        <v/>
      </c>
      <c r="R294" s="7">
        <f>IF($V294="","",Q294+N294)</f>
        <v/>
      </c>
      <c r="S294" s="7">
        <f>IF($V294="","",T294-R294)</f>
        <v/>
      </c>
      <c r="T294" s="7">
        <f>IF($V294="","",M294+P294+K294)</f>
        <v/>
      </c>
      <c r="U294" s="7">
        <f>IF($V294="","",T294-R294-I294)</f>
        <v/>
      </c>
      <c r="V294" s="13">
        <f>IF(ROWS($V$2:$V294)&lt;=MAX('Per Line'!$AH$2:$AH$6001),MATCH(ROWS($V$2:$V294),'Per Line'!$AH$2:$AH$6001,0),"")</f>
        <v/>
      </c>
    </row>
    <row r="295">
      <c r="A295" s="12" t="n"/>
      <c r="B295">
        <f>IF($V295="","",INDEX('Per Line'!$C$2:$C$6001,$V295)&amp;"")</f>
        <v/>
      </c>
      <c r="C295" s="11">
        <f>IF($V295="","",INDEX('Per Line'!$D$2:$D$6001,$V295))</f>
        <v/>
      </c>
      <c r="D295">
        <f>IF($V295="","",INDEX('Per Line'!$E$2:$E$6001,$V295)&amp;"")</f>
        <v/>
      </c>
      <c r="E295">
        <f>IF($V295="","",INDEX('Per Line'!$G$2:$G$6001,$V295)&amp;"")</f>
        <v/>
      </c>
      <c r="F295">
        <f>IF($V295="","",INDEX('Per Line'!$H$2:$H$6001,$V295)&amp;"")</f>
        <v/>
      </c>
      <c r="G295">
        <f>IF($V295="","",INDEX('Per Line'!$I$2:$I$6001,$V295)&amp;"")</f>
        <v/>
      </c>
      <c r="H295">
        <f>IF($V295="","",INDEX('Per Line'!$J$2:$J$6001,$V295))</f>
        <v/>
      </c>
      <c r="I295" s="7">
        <f>IF($V295="","",H295*S295/100)</f>
        <v/>
      </c>
      <c r="J295">
        <f>IF($V295="","",INDEX('Per Line'!$S$2:$S$6001,$V295)&amp;"")</f>
        <v/>
      </c>
      <c r="K295" s="7">
        <f>IF($V295="","",SUMIFS('Per Line'!$R$2:$R$6001,'Per Line'!$C$2:$C$6001,$B295,'Per Line'!$AJ$2:$AJ$6001,1))</f>
        <v/>
      </c>
      <c r="L295">
        <f>IF($V295="","",Settings!$C$7)</f>
        <v/>
      </c>
      <c r="M295" s="7">
        <f>IF($V295="","",SUMIFS('Per Line'!$R$2:$R$6001,'Per Line'!$C$2:$C$6001,$B295,'Per Line'!$AI$2:$AI$6001,0,'Per Line'!$AJ$2:$AJ$6001,0))</f>
        <v/>
      </c>
      <c r="N295" s="7">
        <f>IF($V295="","",M295*L295)</f>
        <v/>
      </c>
      <c r="O295">
        <f>IF($V295="","",Settings!$C$6)</f>
        <v/>
      </c>
      <c r="P295" s="7">
        <f>IF($V295="","",SUMIFS('Per Line'!$R$2:$R$6001,'Per Line'!$C$2:$C$6001,$B295,'Per Line'!$AI$2:$AI$6001,1,'Per Line'!$AJ$2:$AJ$6001,0))</f>
        <v/>
      </c>
      <c r="Q295" s="7">
        <f>IF($V295="","",P295*O295)</f>
        <v/>
      </c>
      <c r="R295" s="7">
        <f>IF($V295="","",Q295+N295)</f>
        <v/>
      </c>
      <c r="S295" s="7">
        <f>IF($V295="","",T295-R295)</f>
        <v/>
      </c>
      <c r="T295" s="7">
        <f>IF($V295="","",M295+P295+K295)</f>
        <v/>
      </c>
      <c r="U295" s="7">
        <f>IF($V295="","",T295-R295-I295)</f>
        <v/>
      </c>
      <c r="V295" s="13">
        <f>IF(ROWS($V$2:$V295)&lt;=MAX('Per Line'!$AH$2:$AH$6001),MATCH(ROWS($V$2:$V295),'Per Line'!$AH$2:$AH$6001,0),"")</f>
        <v/>
      </c>
    </row>
    <row r="296">
      <c r="A296" s="12" t="n"/>
      <c r="B296">
        <f>IF($V296="","",INDEX('Per Line'!$C$2:$C$6001,$V296)&amp;"")</f>
        <v/>
      </c>
      <c r="C296" s="11">
        <f>IF($V296="","",INDEX('Per Line'!$D$2:$D$6001,$V296))</f>
        <v/>
      </c>
      <c r="D296">
        <f>IF($V296="","",INDEX('Per Line'!$E$2:$E$6001,$V296)&amp;"")</f>
        <v/>
      </c>
      <c r="E296">
        <f>IF($V296="","",INDEX('Per Line'!$G$2:$G$6001,$V296)&amp;"")</f>
        <v/>
      </c>
      <c r="F296">
        <f>IF($V296="","",INDEX('Per Line'!$H$2:$H$6001,$V296)&amp;"")</f>
        <v/>
      </c>
      <c r="G296">
        <f>IF($V296="","",INDEX('Per Line'!$I$2:$I$6001,$V296)&amp;"")</f>
        <v/>
      </c>
      <c r="H296">
        <f>IF($V296="","",INDEX('Per Line'!$J$2:$J$6001,$V296))</f>
        <v/>
      </c>
      <c r="I296" s="7">
        <f>IF($V296="","",H296*S296/100)</f>
        <v/>
      </c>
      <c r="J296">
        <f>IF($V296="","",INDEX('Per Line'!$S$2:$S$6001,$V296)&amp;"")</f>
        <v/>
      </c>
      <c r="K296" s="7">
        <f>IF($V296="","",SUMIFS('Per Line'!$R$2:$R$6001,'Per Line'!$C$2:$C$6001,$B296,'Per Line'!$AJ$2:$AJ$6001,1))</f>
        <v/>
      </c>
      <c r="L296">
        <f>IF($V296="","",Settings!$C$7)</f>
        <v/>
      </c>
      <c r="M296" s="7">
        <f>IF($V296="","",SUMIFS('Per Line'!$R$2:$R$6001,'Per Line'!$C$2:$C$6001,$B296,'Per Line'!$AI$2:$AI$6001,0,'Per Line'!$AJ$2:$AJ$6001,0))</f>
        <v/>
      </c>
      <c r="N296" s="7">
        <f>IF($V296="","",M296*L296)</f>
        <v/>
      </c>
      <c r="O296">
        <f>IF($V296="","",Settings!$C$6)</f>
        <v/>
      </c>
      <c r="P296" s="7">
        <f>IF($V296="","",SUMIFS('Per Line'!$R$2:$R$6001,'Per Line'!$C$2:$C$6001,$B296,'Per Line'!$AI$2:$AI$6001,1,'Per Line'!$AJ$2:$AJ$6001,0))</f>
        <v/>
      </c>
      <c r="Q296" s="7">
        <f>IF($V296="","",P296*O296)</f>
        <v/>
      </c>
      <c r="R296" s="7">
        <f>IF($V296="","",Q296+N296)</f>
        <v/>
      </c>
      <c r="S296" s="7">
        <f>IF($V296="","",T296-R296)</f>
        <v/>
      </c>
      <c r="T296" s="7">
        <f>IF($V296="","",M296+P296+K296)</f>
        <v/>
      </c>
      <c r="U296" s="7">
        <f>IF($V296="","",T296-R296-I296)</f>
        <v/>
      </c>
      <c r="V296" s="13">
        <f>IF(ROWS($V$2:$V296)&lt;=MAX('Per Line'!$AH$2:$AH$6001),MATCH(ROWS($V$2:$V296),'Per Line'!$AH$2:$AH$6001,0),"")</f>
        <v/>
      </c>
    </row>
    <row r="297">
      <c r="A297" s="12" t="n"/>
      <c r="B297">
        <f>IF($V297="","",INDEX('Per Line'!$C$2:$C$6001,$V297)&amp;"")</f>
        <v/>
      </c>
      <c r="C297" s="11">
        <f>IF($V297="","",INDEX('Per Line'!$D$2:$D$6001,$V297))</f>
        <v/>
      </c>
      <c r="D297">
        <f>IF($V297="","",INDEX('Per Line'!$E$2:$E$6001,$V297)&amp;"")</f>
        <v/>
      </c>
      <c r="E297">
        <f>IF($V297="","",INDEX('Per Line'!$G$2:$G$6001,$V297)&amp;"")</f>
        <v/>
      </c>
      <c r="F297">
        <f>IF($V297="","",INDEX('Per Line'!$H$2:$H$6001,$V297)&amp;"")</f>
        <v/>
      </c>
      <c r="G297">
        <f>IF($V297="","",INDEX('Per Line'!$I$2:$I$6001,$V297)&amp;"")</f>
        <v/>
      </c>
      <c r="H297">
        <f>IF($V297="","",INDEX('Per Line'!$J$2:$J$6001,$V297))</f>
        <v/>
      </c>
      <c r="I297" s="7">
        <f>IF($V297="","",H297*S297/100)</f>
        <v/>
      </c>
      <c r="J297">
        <f>IF($V297="","",INDEX('Per Line'!$S$2:$S$6001,$V297)&amp;"")</f>
        <v/>
      </c>
      <c r="K297" s="7">
        <f>IF($V297="","",SUMIFS('Per Line'!$R$2:$R$6001,'Per Line'!$C$2:$C$6001,$B297,'Per Line'!$AJ$2:$AJ$6001,1))</f>
        <v/>
      </c>
      <c r="L297">
        <f>IF($V297="","",Settings!$C$7)</f>
        <v/>
      </c>
      <c r="M297" s="7">
        <f>IF($V297="","",SUMIFS('Per Line'!$R$2:$R$6001,'Per Line'!$C$2:$C$6001,$B297,'Per Line'!$AI$2:$AI$6001,0,'Per Line'!$AJ$2:$AJ$6001,0))</f>
        <v/>
      </c>
      <c r="N297" s="7">
        <f>IF($V297="","",M297*L297)</f>
        <v/>
      </c>
      <c r="O297">
        <f>IF($V297="","",Settings!$C$6)</f>
        <v/>
      </c>
      <c r="P297" s="7">
        <f>IF($V297="","",SUMIFS('Per Line'!$R$2:$R$6001,'Per Line'!$C$2:$C$6001,$B297,'Per Line'!$AI$2:$AI$6001,1,'Per Line'!$AJ$2:$AJ$6001,0))</f>
        <v/>
      </c>
      <c r="Q297" s="7">
        <f>IF($V297="","",P297*O297)</f>
        <v/>
      </c>
      <c r="R297" s="7">
        <f>IF($V297="","",Q297+N297)</f>
        <v/>
      </c>
      <c r="S297" s="7">
        <f>IF($V297="","",T297-R297)</f>
        <v/>
      </c>
      <c r="T297" s="7">
        <f>IF($V297="","",M297+P297+K297)</f>
        <v/>
      </c>
      <c r="U297" s="7">
        <f>IF($V297="","",T297-R297-I297)</f>
        <v/>
      </c>
      <c r="V297" s="13">
        <f>IF(ROWS($V$2:$V297)&lt;=MAX('Per Line'!$AH$2:$AH$6001),MATCH(ROWS($V$2:$V297),'Per Line'!$AH$2:$AH$6001,0),"")</f>
        <v/>
      </c>
    </row>
    <row r="298">
      <c r="A298" s="12" t="n"/>
      <c r="B298">
        <f>IF($V298="","",INDEX('Per Line'!$C$2:$C$6001,$V298)&amp;"")</f>
        <v/>
      </c>
      <c r="C298" s="11">
        <f>IF($V298="","",INDEX('Per Line'!$D$2:$D$6001,$V298))</f>
        <v/>
      </c>
      <c r="D298">
        <f>IF($V298="","",INDEX('Per Line'!$E$2:$E$6001,$V298)&amp;"")</f>
        <v/>
      </c>
      <c r="E298">
        <f>IF($V298="","",INDEX('Per Line'!$G$2:$G$6001,$V298)&amp;"")</f>
        <v/>
      </c>
      <c r="F298">
        <f>IF($V298="","",INDEX('Per Line'!$H$2:$H$6001,$V298)&amp;"")</f>
        <v/>
      </c>
      <c r="G298">
        <f>IF($V298="","",INDEX('Per Line'!$I$2:$I$6001,$V298)&amp;"")</f>
        <v/>
      </c>
      <c r="H298">
        <f>IF($V298="","",INDEX('Per Line'!$J$2:$J$6001,$V298))</f>
        <v/>
      </c>
      <c r="I298" s="7">
        <f>IF($V298="","",H298*S298/100)</f>
        <v/>
      </c>
      <c r="J298">
        <f>IF($V298="","",INDEX('Per Line'!$S$2:$S$6001,$V298)&amp;"")</f>
        <v/>
      </c>
      <c r="K298" s="7">
        <f>IF($V298="","",SUMIFS('Per Line'!$R$2:$R$6001,'Per Line'!$C$2:$C$6001,$B298,'Per Line'!$AJ$2:$AJ$6001,1))</f>
        <v/>
      </c>
      <c r="L298">
        <f>IF($V298="","",Settings!$C$7)</f>
        <v/>
      </c>
      <c r="M298" s="7">
        <f>IF($V298="","",SUMIFS('Per Line'!$R$2:$R$6001,'Per Line'!$C$2:$C$6001,$B298,'Per Line'!$AI$2:$AI$6001,0,'Per Line'!$AJ$2:$AJ$6001,0))</f>
        <v/>
      </c>
      <c r="N298" s="7">
        <f>IF($V298="","",M298*L298)</f>
        <v/>
      </c>
      <c r="O298">
        <f>IF($V298="","",Settings!$C$6)</f>
        <v/>
      </c>
      <c r="P298" s="7">
        <f>IF($V298="","",SUMIFS('Per Line'!$R$2:$R$6001,'Per Line'!$C$2:$C$6001,$B298,'Per Line'!$AI$2:$AI$6001,1,'Per Line'!$AJ$2:$AJ$6001,0))</f>
        <v/>
      </c>
      <c r="Q298" s="7">
        <f>IF($V298="","",P298*O298)</f>
        <v/>
      </c>
      <c r="R298" s="7">
        <f>IF($V298="","",Q298+N298)</f>
        <v/>
      </c>
      <c r="S298" s="7">
        <f>IF($V298="","",T298-R298)</f>
        <v/>
      </c>
      <c r="T298" s="7">
        <f>IF($V298="","",M298+P298+K298)</f>
        <v/>
      </c>
      <c r="U298" s="7">
        <f>IF($V298="","",T298-R298-I298)</f>
        <v/>
      </c>
      <c r="V298" s="13">
        <f>IF(ROWS($V$2:$V298)&lt;=MAX('Per Line'!$AH$2:$AH$6001),MATCH(ROWS($V$2:$V298),'Per Line'!$AH$2:$AH$6001,0),"")</f>
        <v/>
      </c>
    </row>
    <row r="299">
      <c r="A299" s="12" t="n"/>
      <c r="B299">
        <f>IF($V299="","",INDEX('Per Line'!$C$2:$C$6001,$V299)&amp;"")</f>
        <v/>
      </c>
      <c r="C299" s="11">
        <f>IF($V299="","",INDEX('Per Line'!$D$2:$D$6001,$V299))</f>
        <v/>
      </c>
      <c r="D299">
        <f>IF($V299="","",INDEX('Per Line'!$E$2:$E$6001,$V299)&amp;"")</f>
        <v/>
      </c>
      <c r="E299">
        <f>IF($V299="","",INDEX('Per Line'!$G$2:$G$6001,$V299)&amp;"")</f>
        <v/>
      </c>
      <c r="F299">
        <f>IF($V299="","",INDEX('Per Line'!$H$2:$H$6001,$V299)&amp;"")</f>
        <v/>
      </c>
      <c r="G299">
        <f>IF($V299="","",INDEX('Per Line'!$I$2:$I$6001,$V299)&amp;"")</f>
        <v/>
      </c>
      <c r="H299">
        <f>IF($V299="","",INDEX('Per Line'!$J$2:$J$6001,$V299))</f>
        <v/>
      </c>
      <c r="I299" s="7">
        <f>IF($V299="","",H299*S299/100)</f>
        <v/>
      </c>
      <c r="J299">
        <f>IF($V299="","",INDEX('Per Line'!$S$2:$S$6001,$V299)&amp;"")</f>
        <v/>
      </c>
      <c r="K299" s="7">
        <f>IF($V299="","",SUMIFS('Per Line'!$R$2:$R$6001,'Per Line'!$C$2:$C$6001,$B299,'Per Line'!$AJ$2:$AJ$6001,1))</f>
        <v/>
      </c>
      <c r="L299">
        <f>IF($V299="","",Settings!$C$7)</f>
        <v/>
      </c>
      <c r="M299" s="7">
        <f>IF($V299="","",SUMIFS('Per Line'!$R$2:$R$6001,'Per Line'!$C$2:$C$6001,$B299,'Per Line'!$AI$2:$AI$6001,0,'Per Line'!$AJ$2:$AJ$6001,0))</f>
        <v/>
      </c>
      <c r="N299" s="7">
        <f>IF($V299="","",M299*L299)</f>
        <v/>
      </c>
      <c r="O299">
        <f>IF($V299="","",Settings!$C$6)</f>
        <v/>
      </c>
      <c r="P299" s="7">
        <f>IF($V299="","",SUMIFS('Per Line'!$R$2:$R$6001,'Per Line'!$C$2:$C$6001,$B299,'Per Line'!$AI$2:$AI$6001,1,'Per Line'!$AJ$2:$AJ$6001,0))</f>
        <v/>
      </c>
      <c r="Q299" s="7">
        <f>IF($V299="","",P299*O299)</f>
        <v/>
      </c>
      <c r="R299" s="7">
        <f>IF($V299="","",Q299+N299)</f>
        <v/>
      </c>
      <c r="S299" s="7">
        <f>IF($V299="","",T299-R299)</f>
        <v/>
      </c>
      <c r="T299" s="7">
        <f>IF($V299="","",M299+P299+K299)</f>
        <v/>
      </c>
      <c r="U299" s="7">
        <f>IF($V299="","",T299-R299-I299)</f>
        <v/>
      </c>
      <c r="V299" s="13">
        <f>IF(ROWS($V$2:$V299)&lt;=MAX('Per Line'!$AH$2:$AH$6001),MATCH(ROWS($V$2:$V299),'Per Line'!$AH$2:$AH$6001,0),"")</f>
        <v/>
      </c>
    </row>
    <row r="300">
      <c r="A300" s="12" t="n"/>
      <c r="B300">
        <f>IF($V300="","",INDEX('Per Line'!$C$2:$C$6001,$V300)&amp;"")</f>
        <v/>
      </c>
      <c r="C300" s="11">
        <f>IF($V300="","",INDEX('Per Line'!$D$2:$D$6001,$V300))</f>
        <v/>
      </c>
      <c r="D300">
        <f>IF($V300="","",INDEX('Per Line'!$E$2:$E$6001,$V300)&amp;"")</f>
        <v/>
      </c>
      <c r="E300">
        <f>IF($V300="","",INDEX('Per Line'!$G$2:$G$6001,$V300)&amp;"")</f>
        <v/>
      </c>
      <c r="F300">
        <f>IF($V300="","",INDEX('Per Line'!$H$2:$H$6001,$V300)&amp;"")</f>
        <v/>
      </c>
      <c r="G300">
        <f>IF($V300="","",INDEX('Per Line'!$I$2:$I$6001,$V300)&amp;"")</f>
        <v/>
      </c>
      <c r="H300">
        <f>IF($V300="","",INDEX('Per Line'!$J$2:$J$6001,$V300))</f>
        <v/>
      </c>
      <c r="I300" s="7">
        <f>IF($V300="","",H300*S300/100)</f>
        <v/>
      </c>
      <c r="J300">
        <f>IF($V300="","",INDEX('Per Line'!$S$2:$S$6001,$V300)&amp;"")</f>
        <v/>
      </c>
      <c r="K300" s="7">
        <f>IF($V300="","",SUMIFS('Per Line'!$R$2:$R$6001,'Per Line'!$C$2:$C$6001,$B300,'Per Line'!$AJ$2:$AJ$6001,1))</f>
        <v/>
      </c>
      <c r="L300">
        <f>IF($V300="","",Settings!$C$7)</f>
        <v/>
      </c>
      <c r="M300" s="7">
        <f>IF($V300="","",SUMIFS('Per Line'!$R$2:$R$6001,'Per Line'!$C$2:$C$6001,$B300,'Per Line'!$AI$2:$AI$6001,0,'Per Line'!$AJ$2:$AJ$6001,0))</f>
        <v/>
      </c>
      <c r="N300" s="7">
        <f>IF($V300="","",M300*L300)</f>
        <v/>
      </c>
      <c r="O300">
        <f>IF($V300="","",Settings!$C$6)</f>
        <v/>
      </c>
      <c r="P300" s="7">
        <f>IF($V300="","",SUMIFS('Per Line'!$R$2:$R$6001,'Per Line'!$C$2:$C$6001,$B300,'Per Line'!$AI$2:$AI$6001,1,'Per Line'!$AJ$2:$AJ$6001,0))</f>
        <v/>
      </c>
      <c r="Q300" s="7">
        <f>IF($V300="","",P300*O300)</f>
        <v/>
      </c>
      <c r="R300" s="7">
        <f>IF($V300="","",Q300+N300)</f>
        <v/>
      </c>
      <c r="S300" s="7">
        <f>IF($V300="","",T300-R300)</f>
        <v/>
      </c>
      <c r="T300" s="7">
        <f>IF($V300="","",M300+P300+K300)</f>
        <v/>
      </c>
      <c r="U300" s="7">
        <f>IF($V300="","",T300-R300-I300)</f>
        <v/>
      </c>
      <c r="V300" s="13">
        <f>IF(ROWS($V$2:$V300)&lt;=MAX('Per Line'!$AH$2:$AH$6001),MATCH(ROWS($V$2:$V300),'Per Line'!$AH$2:$AH$6001,0),"")</f>
        <v/>
      </c>
    </row>
    <row r="301">
      <c r="A301" s="12" t="n"/>
      <c r="B301">
        <f>IF($V301="","",INDEX('Per Line'!$C$2:$C$6001,$V301)&amp;"")</f>
        <v/>
      </c>
      <c r="C301" s="11">
        <f>IF($V301="","",INDEX('Per Line'!$D$2:$D$6001,$V301))</f>
        <v/>
      </c>
      <c r="D301">
        <f>IF($V301="","",INDEX('Per Line'!$E$2:$E$6001,$V301)&amp;"")</f>
        <v/>
      </c>
      <c r="E301">
        <f>IF($V301="","",INDEX('Per Line'!$G$2:$G$6001,$V301)&amp;"")</f>
        <v/>
      </c>
      <c r="F301">
        <f>IF($V301="","",INDEX('Per Line'!$H$2:$H$6001,$V301)&amp;"")</f>
        <v/>
      </c>
      <c r="G301">
        <f>IF($V301="","",INDEX('Per Line'!$I$2:$I$6001,$V301)&amp;"")</f>
        <v/>
      </c>
      <c r="H301">
        <f>IF($V301="","",INDEX('Per Line'!$J$2:$J$6001,$V301))</f>
        <v/>
      </c>
      <c r="I301" s="7">
        <f>IF($V301="","",H301*S301/100)</f>
        <v/>
      </c>
      <c r="J301">
        <f>IF($V301="","",INDEX('Per Line'!$S$2:$S$6001,$V301)&amp;"")</f>
        <v/>
      </c>
      <c r="K301" s="7">
        <f>IF($V301="","",SUMIFS('Per Line'!$R$2:$R$6001,'Per Line'!$C$2:$C$6001,$B301,'Per Line'!$AJ$2:$AJ$6001,1))</f>
        <v/>
      </c>
      <c r="L301">
        <f>IF($V301="","",Settings!$C$7)</f>
        <v/>
      </c>
      <c r="M301" s="7">
        <f>IF($V301="","",SUMIFS('Per Line'!$R$2:$R$6001,'Per Line'!$C$2:$C$6001,$B301,'Per Line'!$AI$2:$AI$6001,0,'Per Line'!$AJ$2:$AJ$6001,0))</f>
        <v/>
      </c>
      <c r="N301" s="7">
        <f>IF($V301="","",M301*L301)</f>
        <v/>
      </c>
      <c r="O301">
        <f>IF($V301="","",Settings!$C$6)</f>
        <v/>
      </c>
      <c r="P301" s="7">
        <f>IF($V301="","",SUMIFS('Per Line'!$R$2:$R$6001,'Per Line'!$C$2:$C$6001,$B301,'Per Line'!$AI$2:$AI$6001,1,'Per Line'!$AJ$2:$AJ$6001,0))</f>
        <v/>
      </c>
      <c r="Q301" s="7">
        <f>IF($V301="","",P301*O301)</f>
        <v/>
      </c>
      <c r="R301" s="7">
        <f>IF($V301="","",Q301+N301)</f>
        <v/>
      </c>
      <c r="S301" s="7">
        <f>IF($V301="","",T301-R301)</f>
        <v/>
      </c>
      <c r="T301" s="7">
        <f>IF($V301="","",M301+P301+K301)</f>
        <v/>
      </c>
      <c r="U301" s="7">
        <f>IF($V301="","",T301-R301-I301)</f>
        <v/>
      </c>
      <c r="V301" s="13">
        <f>IF(ROWS($V$2:$V301)&lt;=MAX('Per Line'!$AH$2:$AH$6001),MATCH(ROWS($V$2:$V301),'Per Line'!$AH$2:$AH$6001,0),"")</f>
        <v/>
      </c>
    </row>
    <row r="302">
      <c r="A302" s="12" t="n"/>
      <c r="B302">
        <f>IF($V302="","",INDEX('Per Line'!$C$2:$C$6001,$V302)&amp;"")</f>
        <v/>
      </c>
      <c r="C302" s="11">
        <f>IF($V302="","",INDEX('Per Line'!$D$2:$D$6001,$V302))</f>
        <v/>
      </c>
      <c r="D302">
        <f>IF($V302="","",INDEX('Per Line'!$E$2:$E$6001,$V302)&amp;"")</f>
        <v/>
      </c>
      <c r="E302">
        <f>IF($V302="","",INDEX('Per Line'!$G$2:$G$6001,$V302)&amp;"")</f>
        <v/>
      </c>
      <c r="F302">
        <f>IF($V302="","",INDEX('Per Line'!$H$2:$H$6001,$V302)&amp;"")</f>
        <v/>
      </c>
      <c r="G302">
        <f>IF($V302="","",INDEX('Per Line'!$I$2:$I$6001,$V302)&amp;"")</f>
        <v/>
      </c>
      <c r="H302">
        <f>IF($V302="","",INDEX('Per Line'!$J$2:$J$6001,$V302))</f>
        <v/>
      </c>
      <c r="I302" s="7">
        <f>IF($V302="","",H302*S302/100)</f>
        <v/>
      </c>
      <c r="J302">
        <f>IF($V302="","",INDEX('Per Line'!$S$2:$S$6001,$V302)&amp;"")</f>
        <v/>
      </c>
      <c r="K302" s="7">
        <f>IF($V302="","",SUMIFS('Per Line'!$R$2:$R$6001,'Per Line'!$C$2:$C$6001,$B302,'Per Line'!$AJ$2:$AJ$6001,1))</f>
        <v/>
      </c>
      <c r="L302">
        <f>IF($V302="","",Settings!$C$7)</f>
        <v/>
      </c>
      <c r="M302" s="7">
        <f>IF($V302="","",SUMIFS('Per Line'!$R$2:$R$6001,'Per Line'!$C$2:$C$6001,$B302,'Per Line'!$AI$2:$AI$6001,0,'Per Line'!$AJ$2:$AJ$6001,0))</f>
        <v/>
      </c>
      <c r="N302" s="7">
        <f>IF($V302="","",M302*L302)</f>
        <v/>
      </c>
      <c r="O302">
        <f>IF($V302="","",Settings!$C$6)</f>
        <v/>
      </c>
      <c r="P302" s="7">
        <f>IF($V302="","",SUMIFS('Per Line'!$R$2:$R$6001,'Per Line'!$C$2:$C$6001,$B302,'Per Line'!$AI$2:$AI$6001,1,'Per Line'!$AJ$2:$AJ$6001,0))</f>
        <v/>
      </c>
      <c r="Q302" s="7">
        <f>IF($V302="","",P302*O302)</f>
        <v/>
      </c>
      <c r="R302" s="7">
        <f>IF($V302="","",Q302+N302)</f>
        <v/>
      </c>
      <c r="S302" s="7">
        <f>IF($V302="","",T302-R302)</f>
        <v/>
      </c>
      <c r="T302" s="7">
        <f>IF($V302="","",M302+P302+K302)</f>
        <v/>
      </c>
      <c r="U302" s="7">
        <f>IF($V302="","",T302-R302-I302)</f>
        <v/>
      </c>
      <c r="V302" s="13">
        <f>IF(ROWS($V$2:$V302)&lt;=MAX('Per Line'!$AH$2:$AH$6001),MATCH(ROWS($V$2:$V302),'Per Line'!$AH$2:$AH$6001,0),"")</f>
        <v/>
      </c>
    </row>
    <row r="303">
      <c r="A303" s="12" t="n"/>
      <c r="B303">
        <f>IF($V303="","",INDEX('Per Line'!$C$2:$C$6001,$V303)&amp;"")</f>
        <v/>
      </c>
      <c r="C303" s="11">
        <f>IF($V303="","",INDEX('Per Line'!$D$2:$D$6001,$V303))</f>
        <v/>
      </c>
      <c r="D303">
        <f>IF($V303="","",INDEX('Per Line'!$E$2:$E$6001,$V303)&amp;"")</f>
        <v/>
      </c>
      <c r="E303">
        <f>IF($V303="","",INDEX('Per Line'!$G$2:$G$6001,$V303)&amp;"")</f>
        <v/>
      </c>
      <c r="F303">
        <f>IF($V303="","",INDEX('Per Line'!$H$2:$H$6001,$V303)&amp;"")</f>
        <v/>
      </c>
      <c r="G303">
        <f>IF($V303="","",INDEX('Per Line'!$I$2:$I$6001,$V303)&amp;"")</f>
        <v/>
      </c>
      <c r="H303">
        <f>IF($V303="","",INDEX('Per Line'!$J$2:$J$6001,$V303))</f>
        <v/>
      </c>
      <c r="I303" s="7">
        <f>IF($V303="","",H303*S303/100)</f>
        <v/>
      </c>
      <c r="J303">
        <f>IF($V303="","",INDEX('Per Line'!$S$2:$S$6001,$V303)&amp;"")</f>
        <v/>
      </c>
      <c r="K303" s="7">
        <f>IF($V303="","",SUMIFS('Per Line'!$R$2:$R$6001,'Per Line'!$C$2:$C$6001,$B303,'Per Line'!$AJ$2:$AJ$6001,1))</f>
        <v/>
      </c>
      <c r="L303">
        <f>IF($V303="","",Settings!$C$7)</f>
        <v/>
      </c>
      <c r="M303" s="7">
        <f>IF($V303="","",SUMIFS('Per Line'!$R$2:$R$6001,'Per Line'!$C$2:$C$6001,$B303,'Per Line'!$AI$2:$AI$6001,0,'Per Line'!$AJ$2:$AJ$6001,0))</f>
        <v/>
      </c>
      <c r="N303" s="7">
        <f>IF($V303="","",M303*L303)</f>
        <v/>
      </c>
      <c r="O303">
        <f>IF($V303="","",Settings!$C$6)</f>
        <v/>
      </c>
      <c r="P303" s="7">
        <f>IF($V303="","",SUMIFS('Per Line'!$R$2:$R$6001,'Per Line'!$C$2:$C$6001,$B303,'Per Line'!$AI$2:$AI$6001,1,'Per Line'!$AJ$2:$AJ$6001,0))</f>
        <v/>
      </c>
      <c r="Q303" s="7">
        <f>IF($V303="","",P303*O303)</f>
        <v/>
      </c>
      <c r="R303" s="7">
        <f>IF($V303="","",Q303+N303)</f>
        <v/>
      </c>
      <c r="S303" s="7">
        <f>IF($V303="","",T303-R303)</f>
        <v/>
      </c>
      <c r="T303" s="7">
        <f>IF($V303="","",M303+P303+K303)</f>
        <v/>
      </c>
      <c r="U303" s="7">
        <f>IF($V303="","",T303-R303-I303)</f>
        <v/>
      </c>
      <c r="V303" s="13">
        <f>IF(ROWS($V$2:$V303)&lt;=MAX('Per Line'!$AH$2:$AH$6001),MATCH(ROWS($V$2:$V303),'Per Line'!$AH$2:$AH$6001,0),"")</f>
        <v/>
      </c>
    </row>
    <row r="304">
      <c r="A304" s="12" t="n"/>
      <c r="B304">
        <f>IF($V304="","",INDEX('Per Line'!$C$2:$C$6001,$V304)&amp;"")</f>
        <v/>
      </c>
      <c r="C304" s="11">
        <f>IF($V304="","",INDEX('Per Line'!$D$2:$D$6001,$V304))</f>
        <v/>
      </c>
      <c r="D304">
        <f>IF($V304="","",INDEX('Per Line'!$E$2:$E$6001,$V304)&amp;"")</f>
        <v/>
      </c>
      <c r="E304">
        <f>IF($V304="","",INDEX('Per Line'!$G$2:$G$6001,$V304)&amp;"")</f>
        <v/>
      </c>
      <c r="F304">
        <f>IF($V304="","",INDEX('Per Line'!$H$2:$H$6001,$V304)&amp;"")</f>
        <v/>
      </c>
      <c r="G304">
        <f>IF($V304="","",INDEX('Per Line'!$I$2:$I$6001,$V304)&amp;"")</f>
        <v/>
      </c>
      <c r="H304">
        <f>IF($V304="","",INDEX('Per Line'!$J$2:$J$6001,$V304))</f>
        <v/>
      </c>
      <c r="I304" s="7">
        <f>IF($V304="","",H304*S304/100)</f>
        <v/>
      </c>
      <c r="J304">
        <f>IF($V304="","",INDEX('Per Line'!$S$2:$S$6001,$V304)&amp;"")</f>
        <v/>
      </c>
      <c r="K304" s="7">
        <f>IF($V304="","",SUMIFS('Per Line'!$R$2:$R$6001,'Per Line'!$C$2:$C$6001,$B304,'Per Line'!$AJ$2:$AJ$6001,1))</f>
        <v/>
      </c>
      <c r="L304">
        <f>IF($V304="","",Settings!$C$7)</f>
        <v/>
      </c>
      <c r="M304" s="7">
        <f>IF($V304="","",SUMIFS('Per Line'!$R$2:$R$6001,'Per Line'!$C$2:$C$6001,$B304,'Per Line'!$AI$2:$AI$6001,0,'Per Line'!$AJ$2:$AJ$6001,0))</f>
        <v/>
      </c>
      <c r="N304" s="7">
        <f>IF($V304="","",M304*L304)</f>
        <v/>
      </c>
      <c r="O304">
        <f>IF($V304="","",Settings!$C$6)</f>
        <v/>
      </c>
      <c r="P304" s="7">
        <f>IF($V304="","",SUMIFS('Per Line'!$R$2:$R$6001,'Per Line'!$C$2:$C$6001,$B304,'Per Line'!$AI$2:$AI$6001,1,'Per Line'!$AJ$2:$AJ$6001,0))</f>
        <v/>
      </c>
      <c r="Q304" s="7">
        <f>IF($V304="","",P304*O304)</f>
        <v/>
      </c>
      <c r="R304" s="7">
        <f>IF($V304="","",Q304+N304)</f>
        <v/>
      </c>
      <c r="S304" s="7">
        <f>IF($V304="","",T304-R304)</f>
        <v/>
      </c>
      <c r="T304" s="7">
        <f>IF($V304="","",M304+P304+K304)</f>
        <v/>
      </c>
      <c r="U304" s="7">
        <f>IF($V304="","",T304-R304-I304)</f>
        <v/>
      </c>
      <c r="V304" s="13">
        <f>IF(ROWS($V$2:$V304)&lt;=MAX('Per Line'!$AH$2:$AH$6001),MATCH(ROWS($V$2:$V304),'Per Line'!$AH$2:$AH$6001,0),"")</f>
        <v/>
      </c>
    </row>
    <row r="305">
      <c r="A305" s="12" t="n"/>
      <c r="B305">
        <f>IF($V305="","",INDEX('Per Line'!$C$2:$C$6001,$V305)&amp;"")</f>
        <v/>
      </c>
      <c r="C305" s="11">
        <f>IF($V305="","",INDEX('Per Line'!$D$2:$D$6001,$V305))</f>
        <v/>
      </c>
      <c r="D305">
        <f>IF($V305="","",INDEX('Per Line'!$E$2:$E$6001,$V305)&amp;"")</f>
        <v/>
      </c>
      <c r="E305">
        <f>IF($V305="","",INDEX('Per Line'!$G$2:$G$6001,$V305)&amp;"")</f>
        <v/>
      </c>
      <c r="F305">
        <f>IF($V305="","",INDEX('Per Line'!$H$2:$H$6001,$V305)&amp;"")</f>
        <v/>
      </c>
      <c r="G305">
        <f>IF($V305="","",INDEX('Per Line'!$I$2:$I$6001,$V305)&amp;"")</f>
        <v/>
      </c>
      <c r="H305">
        <f>IF($V305="","",INDEX('Per Line'!$J$2:$J$6001,$V305))</f>
        <v/>
      </c>
      <c r="I305" s="7">
        <f>IF($V305="","",H305*S305/100)</f>
        <v/>
      </c>
      <c r="J305">
        <f>IF($V305="","",INDEX('Per Line'!$S$2:$S$6001,$V305)&amp;"")</f>
        <v/>
      </c>
      <c r="K305" s="7">
        <f>IF($V305="","",SUMIFS('Per Line'!$R$2:$R$6001,'Per Line'!$C$2:$C$6001,$B305,'Per Line'!$AJ$2:$AJ$6001,1))</f>
        <v/>
      </c>
      <c r="L305">
        <f>IF($V305="","",Settings!$C$7)</f>
        <v/>
      </c>
      <c r="M305" s="7">
        <f>IF($V305="","",SUMIFS('Per Line'!$R$2:$R$6001,'Per Line'!$C$2:$C$6001,$B305,'Per Line'!$AI$2:$AI$6001,0,'Per Line'!$AJ$2:$AJ$6001,0))</f>
        <v/>
      </c>
      <c r="N305" s="7">
        <f>IF($V305="","",M305*L305)</f>
        <v/>
      </c>
      <c r="O305">
        <f>IF($V305="","",Settings!$C$6)</f>
        <v/>
      </c>
      <c r="P305" s="7">
        <f>IF($V305="","",SUMIFS('Per Line'!$R$2:$R$6001,'Per Line'!$C$2:$C$6001,$B305,'Per Line'!$AI$2:$AI$6001,1,'Per Line'!$AJ$2:$AJ$6001,0))</f>
        <v/>
      </c>
      <c r="Q305" s="7">
        <f>IF($V305="","",P305*O305)</f>
        <v/>
      </c>
      <c r="R305" s="7">
        <f>IF($V305="","",Q305+N305)</f>
        <v/>
      </c>
      <c r="S305" s="7">
        <f>IF($V305="","",T305-R305)</f>
        <v/>
      </c>
      <c r="T305" s="7">
        <f>IF($V305="","",M305+P305+K305)</f>
        <v/>
      </c>
      <c r="U305" s="7">
        <f>IF($V305="","",T305-R305-I305)</f>
        <v/>
      </c>
      <c r="V305" s="13">
        <f>IF(ROWS($V$2:$V305)&lt;=MAX('Per Line'!$AH$2:$AH$6001),MATCH(ROWS($V$2:$V305),'Per Line'!$AH$2:$AH$6001,0),"")</f>
        <v/>
      </c>
    </row>
    <row r="306">
      <c r="A306" s="12" t="n"/>
      <c r="B306">
        <f>IF($V306="","",INDEX('Per Line'!$C$2:$C$6001,$V306)&amp;"")</f>
        <v/>
      </c>
      <c r="C306" s="11">
        <f>IF($V306="","",INDEX('Per Line'!$D$2:$D$6001,$V306))</f>
        <v/>
      </c>
      <c r="D306">
        <f>IF($V306="","",INDEX('Per Line'!$E$2:$E$6001,$V306)&amp;"")</f>
        <v/>
      </c>
      <c r="E306">
        <f>IF($V306="","",INDEX('Per Line'!$G$2:$G$6001,$V306)&amp;"")</f>
        <v/>
      </c>
      <c r="F306">
        <f>IF($V306="","",INDEX('Per Line'!$H$2:$H$6001,$V306)&amp;"")</f>
        <v/>
      </c>
      <c r="G306">
        <f>IF($V306="","",INDEX('Per Line'!$I$2:$I$6001,$V306)&amp;"")</f>
        <v/>
      </c>
      <c r="H306">
        <f>IF($V306="","",INDEX('Per Line'!$J$2:$J$6001,$V306))</f>
        <v/>
      </c>
      <c r="I306" s="7">
        <f>IF($V306="","",H306*S306/100)</f>
        <v/>
      </c>
      <c r="J306">
        <f>IF($V306="","",INDEX('Per Line'!$S$2:$S$6001,$V306)&amp;"")</f>
        <v/>
      </c>
      <c r="K306" s="7">
        <f>IF($V306="","",SUMIFS('Per Line'!$R$2:$R$6001,'Per Line'!$C$2:$C$6001,$B306,'Per Line'!$AJ$2:$AJ$6001,1))</f>
        <v/>
      </c>
      <c r="L306">
        <f>IF($V306="","",Settings!$C$7)</f>
        <v/>
      </c>
      <c r="M306" s="7">
        <f>IF($V306="","",SUMIFS('Per Line'!$R$2:$R$6001,'Per Line'!$C$2:$C$6001,$B306,'Per Line'!$AI$2:$AI$6001,0,'Per Line'!$AJ$2:$AJ$6001,0))</f>
        <v/>
      </c>
      <c r="N306" s="7">
        <f>IF($V306="","",M306*L306)</f>
        <v/>
      </c>
      <c r="O306">
        <f>IF($V306="","",Settings!$C$6)</f>
        <v/>
      </c>
      <c r="P306" s="7">
        <f>IF($V306="","",SUMIFS('Per Line'!$R$2:$R$6001,'Per Line'!$C$2:$C$6001,$B306,'Per Line'!$AI$2:$AI$6001,1,'Per Line'!$AJ$2:$AJ$6001,0))</f>
        <v/>
      </c>
      <c r="Q306" s="7">
        <f>IF($V306="","",P306*O306)</f>
        <v/>
      </c>
      <c r="R306" s="7">
        <f>IF($V306="","",Q306+N306)</f>
        <v/>
      </c>
      <c r="S306" s="7">
        <f>IF($V306="","",T306-R306)</f>
        <v/>
      </c>
      <c r="T306" s="7">
        <f>IF($V306="","",M306+P306+K306)</f>
        <v/>
      </c>
      <c r="U306" s="7">
        <f>IF($V306="","",T306-R306-I306)</f>
        <v/>
      </c>
      <c r="V306" s="13">
        <f>IF(ROWS($V$2:$V306)&lt;=MAX('Per Line'!$AH$2:$AH$6001),MATCH(ROWS($V$2:$V306),'Per Line'!$AH$2:$AH$6001,0),"")</f>
        <v/>
      </c>
    </row>
    <row r="307">
      <c r="A307" s="12" t="n"/>
      <c r="B307">
        <f>IF($V307="","",INDEX('Per Line'!$C$2:$C$6001,$V307)&amp;"")</f>
        <v/>
      </c>
      <c r="C307" s="11">
        <f>IF($V307="","",INDEX('Per Line'!$D$2:$D$6001,$V307))</f>
        <v/>
      </c>
      <c r="D307">
        <f>IF($V307="","",INDEX('Per Line'!$E$2:$E$6001,$V307)&amp;"")</f>
        <v/>
      </c>
      <c r="E307">
        <f>IF($V307="","",INDEX('Per Line'!$G$2:$G$6001,$V307)&amp;"")</f>
        <v/>
      </c>
      <c r="F307">
        <f>IF($V307="","",INDEX('Per Line'!$H$2:$H$6001,$V307)&amp;"")</f>
        <v/>
      </c>
      <c r="G307">
        <f>IF($V307="","",INDEX('Per Line'!$I$2:$I$6001,$V307)&amp;"")</f>
        <v/>
      </c>
      <c r="H307">
        <f>IF($V307="","",INDEX('Per Line'!$J$2:$J$6001,$V307))</f>
        <v/>
      </c>
      <c r="I307" s="7">
        <f>IF($V307="","",H307*S307/100)</f>
        <v/>
      </c>
      <c r="J307">
        <f>IF($V307="","",INDEX('Per Line'!$S$2:$S$6001,$V307)&amp;"")</f>
        <v/>
      </c>
      <c r="K307" s="7">
        <f>IF($V307="","",SUMIFS('Per Line'!$R$2:$R$6001,'Per Line'!$C$2:$C$6001,$B307,'Per Line'!$AJ$2:$AJ$6001,1))</f>
        <v/>
      </c>
      <c r="L307">
        <f>IF($V307="","",Settings!$C$7)</f>
        <v/>
      </c>
      <c r="M307" s="7">
        <f>IF($V307="","",SUMIFS('Per Line'!$R$2:$R$6001,'Per Line'!$C$2:$C$6001,$B307,'Per Line'!$AI$2:$AI$6001,0,'Per Line'!$AJ$2:$AJ$6001,0))</f>
        <v/>
      </c>
      <c r="N307" s="7">
        <f>IF($V307="","",M307*L307)</f>
        <v/>
      </c>
      <c r="O307">
        <f>IF($V307="","",Settings!$C$6)</f>
        <v/>
      </c>
      <c r="P307" s="7">
        <f>IF($V307="","",SUMIFS('Per Line'!$R$2:$R$6001,'Per Line'!$C$2:$C$6001,$B307,'Per Line'!$AI$2:$AI$6001,1,'Per Line'!$AJ$2:$AJ$6001,0))</f>
        <v/>
      </c>
      <c r="Q307" s="7">
        <f>IF($V307="","",P307*O307)</f>
        <v/>
      </c>
      <c r="R307" s="7">
        <f>IF($V307="","",Q307+N307)</f>
        <v/>
      </c>
      <c r="S307" s="7">
        <f>IF($V307="","",T307-R307)</f>
        <v/>
      </c>
      <c r="T307" s="7">
        <f>IF($V307="","",M307+P307+K307)</f>
        <v/>
      </c>
      <c r="U307" s="7">
        <f>IF($V307="","",T307-R307-I307)</f>
        <v/>
      </c>
      <c r="V307" s="13">
        <f>IF(ROWS($V$2:$V307)&lt;=MAX('Per Line'!$AH$2:$AH$6001),MATCH(ROWS($V$2:$V307),'Per Line'!$AH$2:$AH$6001,0),"")</f>
        <v/>
      </c>
    </row>
    <row r="308">
      <c r="A308" s="12" t="n"/>
      <c r="B308">
        <f>IF($V308="","",INDEX('Per Line'!$C$2:$C$6001,$V308)&amp;"")</f>
        <v/>
      </c>
      <c r="C308" s="11">
        <f>IF($V308="","",INDEX('Per Line'!$D$2:$D$6001,$V308))</f>
        <v/>
      </c>
      <c r="D308">
        <f>IF($V308="","",INDEX('Per Line'!$E$2:$E$6001,$V308)&amp;"")</f>
        <v/>
      </c>
      <c r="E308">
        <f>IF($V308="","",INDEX('Per Line'!$G$2:$G$6001,$V308)&amp;"")</f>
        <v/>
      </c>
      <c r="F308">
        <f>IF($V308="","",INDEX('Per Line'!$H$2:$H$6001,$V308)&amp;"")</f>
        <v/>
      </c>
      <c r="G308">
        <f>IF($V308="","",INDEX('Per Line'!$I$2:$I$6001,$V308)&amp;"")</f>
        <v/>
      </c>
      <c r="H308">
        <f>IF($V308="","",INDEX('Per Line'!$J$2:$J$6001,$V308))</f>
        <v/>
      </c>
      <c r="I308" s="7">
        <f>IF($V308="","",H308*S308/100)</f>
        <v/>
      </c>
      <c r="J308">
        <f>IF($V308="","",INDEX('Per Line'!$S$2:$S$6001,$V308)&amp;"")</f>
        <v/>
      </c>
      <c r="K308" s="7">
        <f>IF($V308="","",SUMIFS('Per Line'!$R$2:$R$6001,'Per Line'!$C$2:$C$6001,$B308,'Per Line'!$AJ$2:$AJ$6001,1))</f>
        <v/>
      </c>
      <c r="L308">
        <f>IF($V308="","",Settings!$C$7)</f>
        <v/>
      </c>
      <c r="M308" s="7">
        <f>IF($V308="","",SUMIFS('Per Line'!$R$2:$R$6001,'Per Line'!$C$2:$C$6001,$B308,'Per Line'!$AI$2:$AI$6001,0,'Per Line'!$AJ$2:$AJ$6001,0))</f>
        <v/>
      </c>
      <c r="N308" s="7">
        <f>IF($V308="","",M308*L308)</f>
        <v/>
      </c>
      <c r="O308">
        <f>IF($V308="","",Settings!$C$6)</f>
        <v/>
      </c>
      <c r="P308" s="7">
        <f>IF($V308="","",SUMIFS('Per Line'!$R$2:$R$6001,'Per Line'!$C$2:$C$6001,$B308,'Per Line'!$AI$2:$AI$6001,1,'Per Line'!$AJ$2:$AJ$6001,0))</f>
        <v/>
      </c>
      <c r="Q308" s="7">
        <f>IF($V308="","",P308*O308)</f>
        <v/>
      </c>
      <c r="R308" s="7">
        <f>IF($V308="","",Q308+N308)</f>
        <v/>
      </c>
      <c r="S308" s="7">
        <f>IF($V308="","",T308-R308)</f>
        <v/>
      </c>
      <c r="T308" s="7">
        <f>IF($V308="","",M308+P308+K308)</f>
        <v/>
      </c>
      <c r="U308" s="7">
        <f>IF($V308="","",T308-R308-I308)</f>
        <v/>
      </c>
      <c r="V308" s="13">
        <f>IF(ROWS($V$2:$V308)&lt;=MAX('Per Line'!$AH$2:$AH$6001),MATCH(ROWS($V$2:$V308),'Per Line'!$AH$2:$AH$6001,0),"")</f>
        <v/>
      </c>
    </row>
    <row r="309">
      <c r="A309" s="12" t="n"/>
      <c r="B309">
        <f>IF($V309="","",INDEX('Per Line'!$C$2:$C$6001,$V309)&amp;"")</f>
        <v/>
      </c>
      <c r="C309" s="11">
        <f>IF($V309="","",INDEX('Per Line'!$D$2:$D$6001,$V309))</f>
        <v/>
      </c>
      <c r="D309">
        <f>IF($V309="","",INDEX('Per Line'!$E$2:$E$6001,$V309)&amp;"")</f>
        <v/>
      </c>
      <c r="E309">
        <f>IF($V309="","",INDEX('Per Line'!$G$2:$G$6001,$V309)&amp;"")</f>
        <v/>
      </c>
      <c r="F309">
        <f>IF($V309="","",INDEX('Per Line'!$H$2:$H$6001,$V309)&amp;"")</f>
        <v/>
      </c>
      <c r="G309">
        <f>IF($V309="","",INDEX('Per Line'!$I$2:$I$6001,$V309)&amp;"")</f>
        <v/>
      </c>
      <c r="H309">
        <f>IF($V309="","",INDEX('Per Line'!$J$2:$J$6001,$V309))</f>
        <v/>
      </c>
      <c r="I309" s="7">
        <f>IF($V309="","",H309*S309/100)</f>
        <v/>
      </c>
      <c r="J309">
        <f>IF($V309="","",INDEX('Per Line'!$S$2:$S$6001,$V309)&amp;"")</f>
        <v/>
      </c>
      <c r="K309" s="7">
        <f>IF($V309="","",SUMIFS('Per Line'!$R$2:$R$6001,'Per Line'!$C$2:$C$6001,$B309,'Per Line'!$AJ$2:$AJ$6001,1))</f>
        <v/>
      </c>
      <c r="L309">
        <f>IF($V309="","",Settings!$C$7)</f>
        <v/>
      </c>
      <c r="M309" s="7">
        <f>IF($V309="","",SUMIFS('Per Line'!$R$2:$R$6001,'Per Line'!$C$2:$C$6001,$B309,'Per Line'!$AI$2:$AI$6001,0,'Per Line'!$AJ$2:$AJ$6001,0))</f>
        <v/>
      </c>
      <c r="N309" s="7">
        <f>IF($V309="","",M309*L309)</f>
        <v/>
      </c>
      <c r="O309">
        <f>IF($V309="","",Settings!$C$6)</f>
        <v/>
      </c>
      <c r="P309" s="7">
        <f>IF($V309="","",SUMIFS('Per Line'!$R$2:$R$6001,'Per Line'!$C$2:$C$6001,$B309,'Per Line'!$AI$2:$AI$6001,1,'Per Line'!$AJ$2:$AJ$6001,0))</f>
        <v/>
      </c>
      <c r="Q309" s="7">
        <f>IF($V309="","",P309*O309)</f>
        <v/>
      </c>
      <c r="R309" s="7">
        <f>IF($V309="","",Q309+N309)</f>
        <v/>
      </c>
      <c r="S309" s="7">
        <f>IF($V309="","",T309-R309)</f>
        <v/>
      </c>
      <c r="T309" s="7">
        <f>IF($V309="","",M309+P309+K309)</f>
        <v/>
      </c>
      <c r="U309" s="7">
        <f>IF($V309="","",T309-R309-I309)</f>
        <v/>
      </c>
      <c r="V309" s="13">
        <f>IF(ROWS($V$2:$V309)&lt;=MAX('Per Line'!$AH$2:$AH$6001),MATCH(ROWS($V$2:$V309),'Per Line'!$AH$2:$AH$6001,0),"")</f>
        <v/>
      </c>
    </row>
    <row r="310">
      <c r="A310" s="12" t="n"/>
      <c r="B310">
        <f>IF($V310="","",INDEX('Per Line'!$C$2:$C$6001,$V310)&amp;"")</f>
        <v/>
      </c>
      <c r="C310" s="11">
        <f>IF($V310="","",INDEX('Per Line'!$D$2:$D$6001,$V310))</f>
        <v/>
      </c>
      <c r="D310">
        <f>IF($V310="","",INDEX('Per Line'!$E$2:$E$6001,$V310)&amp;"")</f>
        <v/>
      </c>
      <c r="E310">
        <f>IF($V310="","",INDEX('Per Line'!$G$2:$G$6001,$V310)&amp;"")</f>
        <v/>
      </c>
      <c r="F310">
        <f>IF($V310="","",INDEX('Per Line'!$H$2:$H$6001,$V310)&amp;"")</f>
        <v/>
      </c>
      <c r="G310">
        <f>IF($V310="","",INDEX('Per Line'!$I$2:$I$6001,$V310)&amp;"")</f>
        <v/>
      </c>
      <c r="H310">
        <f>IF($V310="","",INDEX('Per Line'!$J$2:$J$6001,$V310))</f>
        <v/>
      </c>
      <c r="I310" s="7">
        <f>IF($V310="","",H310*S310/100)</f>
        <v/>
      </c>
      <c r="J310">
        <f>IF($V310="","",INDEX('Per Line'!$S$2:$S$6001,$V310)&amp;"")</f>
        <v/>
      </c>
      <c r="K310" s="7">
        <f>IF($V310="","",SUMIFS('Per Line'!$R$2:$R$6001,'Per Line'!$C$2:$C$6001,$B310,'Per Line'!$AJ$2:$AJ$6001,1))</f>
        <v/>
      </c>
      <c r="L310">
        <f>IF($V310="","",Settings!$C$7)</f>
        <v/>
      </c>
      <c r="M310" s="7">
        <f>IF($V310="","",SUMIFS('Per Line'!$R$2:$R$6001,'Per Line'!$C$2:$C$6001,$B310,'Per Line'!$AI$2:$AI$6001,0,'Per Line'!$AJ$2:$AJ$6001,0))</f>
        <v/>
      </c>
      <c r="N310" s="7">
        <f>IF($V310="","",M310*L310)</f>
        <v/>
      </c>
      <c r="O310">
        <f>IF($V310="","",Settings!$C$6)</f>
        <v/>
      </c>
      <c r="P310" s="7">
        <f>IF($V310="","",SUMIFS('Per Line'!$R$2:$R$6001,'Per Line'!$C$2:$C$6001,$B310,'Per Line'!$AI$2:$AI$6001,1,'Per Line'!$AJ$2:$AJ$6001,0))</f>
        <v/>
      </c>
      <c r="Q310" s="7">
        <f>IF($V310="","",P310*O310)</f>
        <v/>
      </c>
      <c r="R310" s="7">
        <f>IF($V310="","",Q310+N310)</f>
        <v/>
      </c>
      <c r="S310" s="7">
        <f>IF($V310="","",T310-R310)</f>
        <v/>
      </c>
      <c r="T310" s="7">
        <f>IF($V310="","",M310+P310+K310)</f>
        <v/>
      </c>
      <c r="U310" s="7">
        <f>IF($V310="","",T310-R310-I310)</f>
        <v/>
      </c>
      <c r="V310" s="13">
        <f>IF(ROWS($V$2:$V310)&lt;=MAX('Per Line'!$AH$2:$AH$6001),MATCH(ROWS($V$2:$V310),'Per Line'!$AH$2:$AH$6001,0),"")</f>
        <v/>
      </c>
    </row>
    <row r="311">
      <c r="A311" s="12" t="n"/>
      <c r="B311">
        <f>IF($V311="","",INDEX('Per Line'!$C$2:$C$6001,$V311)&amp;"")</f>
        <v/>
      </c>
      <c r="C311" s="11">
        <f>IF($V311="","",INDEX('Per Line'!$D$2:$D$6001,$V311))</f>
        <v/>
      </c>
      <c r="D311">
        <f>IF($V311="","",INDEX('Per Line'!$E$2:$E$6001,$V311)&amp;"")</f>
        <v/>
      </c>
      <c r="E311">
        <f>IF($V311="","",INDEX('Per Line'!$G$2:$G$6001,$V311)&amp;"")</f>
        <v/>
      </c>
      <c r="F311">
        <f>IF($V311="","",INDEX('Per Line'!$H$2:$H$6001,$V311)&amp;"")</f>
        <v/>
      </c>
      <c r="G311">
        <f>IF($V311="","",INDEX('Per Line'!$I$2:$I$6001,$V311)&amp;"")</f>
        <v/>
      </c>
      <c r="H311">
        <f>IF($V311="","",INDEX('Per Line'!$J$2:$J$6001,$V311))</f>
        <v/>
      </c>
      <c r="I311" s="7">
        <f>IF($V311="","",H311*S311/100)</f>
        <v/>
      </c>
      <c r="J311">
        <f>IF($V311="","",INDEX('Per Line'!$S$2:$S$6001,$V311)&amp;"")</f>
        <v/>
      </c>
      <c r="K311" s="7">
        <f>IF($V311="","",SUMIFS('Per Line'!$R$2:$R$6001,'Per Line'!$C$2:$C$6001,$B311,'Per Line'!$AJ$2:$AJ$6001,1))</f>
        <v/>
      </c>
      <c r="L311">
        <f>IF($V311="","",Settings!$C$7)</f>
        <v/>
      </c>
      <c r="M311" s="7">
        <f>IF($V311="","",SUMIFS('Per Line'!$R$2:$R$6001,'Per Line'!$C$2:$C$6001,$B311,'Per Line'!$AI$2:$AI$6001,0,'Per Line'!$AJ$2:$AJ$6001,0))</f>
        <v/>
      </c>
      <c r="N311" s="7">
        <f>IF($V311="","",M311*L311)</f>
        <v/>
      </c>
      <c r="O311">
        <f>IF($V311="","",Settings!$C$6)</f>
        <v/>
      </c>
      <c r="P311" s="7">
        <f>IF($V311="","",SUMIFS('Per Line'!$R$2:$R$6001,'Per Line'!$C$2:$C$6001,$B311,'Per Line'!$AI$2:$AI$6001,1,'Per Line'!$AJ$2:$AJ$6001,0))</f>
        <v/>
      </c>
      <c r="Q311" s="7">
        <f>IF($V311="","",P311*O311)</f>
        <v/>
      </c>
      <c r="R311" s="7">
        <f>IF($V311="","",Q311+N311)</f>
        <v/>
      </c>
      <c r="S311" s="7">
        <f>IF($V311="","",T311-R311)</f>
        <v/>
      </c>
      <c r="T311" s="7">
        <f>IF($V311="","",M311+P311+K311)</f>
        <v/>
      </c>
      <c r="U311" s="7">
        <f>IF($V311="","",T311-R311-I311)</f>
        <v/>
      </c>
      <c r="V311" s="13">
        <f>IF(ROWS($V$2:$V311)&lt;=MAX('Per Line'!$AH$2:$AH$6001),MATCH(ROWS($V$2:$V311),'Per Line'!$AH$2:$AH$6001,0),"")</f>
        <v/>
      </c>
    </row>
    <row r="312">
      <c r="A312" s="12" t="n"/>
      <c r="B312">
        <f>IF($V312="","",INDEX('Per Line'!$C$2:$C$6001,$V312)&amp;"")</f>
        <v/>
      </c>
      <c r="C312" s="11">
        <f>IF($V312="","",INDEX('Per Line'!$D$2:$D$6001,$V312))</f>
        <v/>
      </c>
      <c r="D312">
        <f>IF($V312="","",INDEX('Per Line'!$E$2:$E$6001,$V312)&amp;"")</f>
        <v/>
      </c>
      <c r="E312">
        <f>IF($V312="","",INDEX('Per Line'!$G$2:$G$6001,$V312)&amp;"")</f>
        <v/>
      </c>
      <c r="F312">
        <f>IF($V312="","",INDEX('Per Line'!$H$2:$H$6001,$V312)&amp;"")</f>
        <v/>
      </c>
      <c r="G312">
        <f>IF($V312="","",INDEX('Per Line'!$I$2:$I$6001,$V312)&amp;"")</f>
        <v/>
      </c>
      <c r="H312">
        <f>IF($V312="","",INDEX('Per Line'!$J$2:$J$6001,$V312))</f>
        <v/>
      </c>
      <c r="I312" s="7">
        <f>IF($V312="","",H312*S312/100)</f>
        <v/>
      </c>
      <c r="J312">
        <f>IF($V312="","",INDEX('Per Line'!$S$2:$S$6001,$V312)&amp;"")</f>
        <v/>
      </c>
      <c r="K312" s="7">
        <f>IF($V312="","",SUMIFS('Per Line'!$R$2:$R$6001,'Per Line'!$C$2:$C$6001,$B312,'Per Line'!$AJ$2:$AJ$6001,1))</f>
        <v/>
      </c>
      <c r="L312">
        <f>IF($V312="","",Settings!$C$7)</f>
        <v/>
      </c>
      <c r="M312" s="7">
        <f>IF($V312="","",SUMIFS('Per Line'!$R$2:$R$6001,'Per Line'!$C$2:$C$6001,$B312,'Per Line'!$AI$2:$AI$6001,0,'Per Line'!$AJ$2:$AJ$6001,0))</f>
        <v/>
      </c>
      <c r="N312" s="7">
        <f>IF($V312="","",M312*L312)</f>
        <v/>
      </c>
      <c r="O312">
        <f>IF($V312="","",Settings!$C$6)</f>
        <v/>
      </c>
      <c r="P312" s="7">
        <f>IF($V312="","",SUMIFS('Per Line'!$R$2:$R$6001,'Per Line'!$C$2:$C$6001,$B312,'Per Line'!$AI$2:$AI$6001,1,'Per Line'!$AJ$2:$AJ$6001,0))</f>
        <v/>
      </c>
      <c r="Q312" s="7">
        <f>IF($V312="","",P312*O312)</f>
        <v/>
      </c>
      <c r="R312" s="7">
        <f>IF($V312="","",Q312+N312)</f>
        <v/>
      </c>
      <c r="S312" s="7">
        <f>IF($V312="","",T312-R312)</f>
        <v/>
      </c>
      <c r="T312" s="7">
        <f>IF($V312="","",M312+P312+K312)</f>
        <v/>
      </c>
      <c r="U312" s="7">
        <f>IF($V312="","",T312-R312-I312)</f>
        <v/>
      </c>
      <c r="V312" s="13">
        <f>IF(ROWS($V$2:$V312)&lt;=MAX('Per Line'!$AH$2:$AH$6001),MATCH(ROWS($V$2:$V312),'Per Line'!$AH$2:$AH$6001,0),"")</f>
        <v/>
      </c>
    </row>
    <row r="313">
      <c r="A313" s="12" t="n"/>
      <c r="B313">
        <f>IF($V313="","",INDEX('Per Line'!$C$2:$C$6001,$V313)&amp;"")</f>
        <v/>
      </c>
      <c r="C313" s="11">
        <f>IF($V313="","",INDEX('Per Line'!$D$2:$D$6001,$V313))</f>
        <v/>
      </c>
      <c r="D313">
        <f>IF($V313="","",INDEX('Per Line'!$E$2:$E$6001,$V313)&amp;"")</f>
        <v/>
      </c>
      <c r="E313">
        <f>IF($V313="","",INDEX('Per Line'!$G$2:$G$6001,$V313)&amp;"")</f>
        <v/>
      </c>
      <c r="F313">
        <f>IF($V313="","",INDEX('Per Line'!$H$2:$H$6001,$V313)&amp;"")</f>
        <v/>
      </c>
      <c r="G313">
        <f>IF($V313="","",INDEX('Per Line'!$I$2:$I$6001,$V313)&amp;"")</f>
        <v/>
      </c>
      <c r="H313">
        <f>IF($V313="","",INDEX('Per Line'!$J$2:$J$6001,$V313))</f>
        <v/>
      </c>
      <c r="I313" s="7">
        <f>IF($V313="","",H313*S313/100)</f>
        <v/>
      </c>
      <c r="J313">
        <f>IF($V313="","",INDEX('Per Line'!$S$2:$S$6001,$V313)&amp;"")</f>
        <v/>
      </c>
      <c r="K313" s="7">
        <f>IF($V313="","",SUMIFS('Per Line'!$R$2:$R$6001,'Per Line'!$C$2:$C$6001,$B313,'Per Line'!$AJ$2:$AJ$6001,1))</f>
        <v/>
      </c>
      <c r="L313">
        <f>IF($V313="","",Settings!$C$7)</f>
        <v/>
      </c>
      <c r="M313" s="7">
        <f>IF($V313="","",SUMIFS('Per Line'!$R$2:$R$6001,'Per Line'!$C$2:$C$6001,$B313,'Per Line'!$AI$2:$AI$6001,0,'Per Line'!$AJ$2:$AJ$6001,0))</f>
        <v/>
      </c>
      <c r="N313" s="7">
        <f>IF($V313="","",M313*L313)</f>
        <v/>
      </c>
      <c r="O313">
        <f>IF($V313="","",Settings!$C$6)</f>
        <v/>
      </c>
      <c r="P313" s="7">
        <f>IF($V313="","",SUMIFS('Per Line'!$R$2:$R$6001,'Per Line'!$C$2:$C$6001,$B313,'Per Line'!$AI$2:$AI$6001,1,'Per Line'!$AJ$2:$AJ$6001,0))</f>
        <v/>
      </c>
      <c r="Q313" s="7">
        <f>IF($V313="","",P313*O313)</f>
        <v/>
      </c>
      <c r="R313" s="7">
        <f>IF($V313="","",Q313+N313)</f>
        <v/>
      </c>
      <c r="S313" s="7">
        <f>IF($V313="","",T313-R313)</f>
        <v/>
      </c>
      <c r="T313" s="7">
        <f>IF($V313="","",M313+P313+K313)</f>
        <v/>
      </c>
      <c r="U313" s="7">
        <f>IF($V313="","",T313-R313-I313)</f>
        <v/>
      </c>
      <c r="V313" s="13">
        <f>IF(ROWS($V$2:$V313)&lt;=MAX('Per Line'!$AH$2:$AH$6001),MATCH(ROWS($V$2:$V313),'Per Line'!$AH$2:$AH$6001,0),"")</f>
        <v/>
      </c>
    </row>
    <row r="314">
      <c r="A314" s="12" t="n"/>
      <c r="B314">
        <f>IF($V314="","",INDEX('Per Line'!$C$2:$C$6001,$V314)&amp;"")</f>
        <v/>
      </c>
      <c r="C314" s="11">
        <f>IF($V314="","",INDEX('Per Line'!$D$2:$D$6001,$V314))</f>
        <v/>
      </c>
      <c r="D314">
        <f>IF($V314="","",INDEX('Per Line'!$E$2:$E$6001,$V314)&amp;"")</f>
        <v/>
      </c>
      <c r="E314">
        <f>IF($V314="","",INDEX('Per Line'!$G$2:$G$6001,$V314)&amp;"")</f>
        <v/>
      </c>
      <c r="F314">
        <f>IF($V314="","",INDEX('Per Line'!$H$2:$H$6001,$V314)&amp;"")</f>
        <v/>
      </c>
      <c r="G314">
        <f>IF($V314="","",INDEX('Per Line'!$I$2:$I$6001,$V314)&amp;"")</f>
        <v/>
      </c>
      <c r="H314">
        <f>IF($V314="","",INDEX('Per Line'!$J$2:$J$6001,$V314))</f>
        <v/>
      </c>
      <c r="I314" s="7">
        <f>IF($V314="","",H314*S314/100)</f>
        <v/>
      </c>
      <c r="J314">
        <f>IF($V314="","",INDEX('Per Line'!$S$2:$S$6001,$V314)&amp;"")</f>
        <v/>
      </c>
      <c r="K314" s="7">
        <f>IF($V314="","",SUMIFS('Per Line'!$R$2:$R$6001,'Per Line'!$C$2:$C$6001,$B314,'Per Line'!$AJ$2:$AJ$6001,1))</f>
        <v/>
      </c>
      <c r="L314">
        <f>IF($V314="","",Settings!$C$7)</f>
        <v/>
      </c>
      <c r="M314" s="7">
        <f>IF($V314="","",SUMIFS('Per Line'!$R$2:$R$6001,'Per Line'!$C$2:$C$6001,$B314,'Per Line'!$AI$2:$AI$6001,0,'Per Line'!$AJ$2:$AJ$6001,0))</f>
        <v/>
      </c>
      <c r="N314" s="7">
        <f>IF($V314="","",M314*L314)</f>
        <v/>
      </c>
      <c r="O314">
        <f>IF($V314="","",Settings!$C$6)</f>
        <v/>
      </c>
      <c r="P314" s="7">
        <f>IF($V314="","",SUMIFS('Per Line'!$R$2:$R$6001,'Per Line'!$C$2:$C$6001,$B314,'Per Line'!$AI$2:$AI$6001,1,'Per Line'!$AJ$2:$AJ$6001,0))</f>
        <v/>
      </c>
      <c r="Q314" s="7">
        <f>IF($V314="","",P314*O314)</f>
        <v/>
      </c>
      <c r="R314" s="7">
        <f>IF($V314="","",Q314+N314)</f>
        <v/>
      </c>
      <c r="S314" s="7">
        <f>IF($V314="","",T314-R314)</f>
        <v/>
      </c>
      <c r="T314" s="7">
        <f>IF($V314="","",M314+P314+K314)</f>
        <v/>
      </c>
      <c r="U314" s="7">
        <f>IF($V314="","",T314-R314-I314)</f>
        <v/>
      </c>
      <c r="V314" s="13">
        <f>IF(ROWS($V$2:$V314)&lt;=MAX('Per Line'!$AH$2:$AH$6001),MATCH(ROWS($V$2:$V314),'Per Line'!$AH$2:$AH$6001,0),"")</f>
        <v/>
      </c>
    </row>
    <row r="315">
      <c r="A315" s="12" t="n"/>
      <c r="B315">
        <f>IF($V315="","",INDEX('Per Line'!$C$2:$C$6001,$V315)&amp;"")</f>
        <v/>
      </c>
      <c r="C315" s="11">
        <f>IF($V315="","",INDEX('Per Line'!$D$2:$D$6001,$V315))</f>
        <v/>
      </c>
      <c r="D315">
        <f>IF($V315="","",INDEX('Per Line'!$E$2:$E$6001,$V315)&amp;"")</f>
        <v/>
      </c>
      <c r="E315">
        <f>IF($V315="","",INDEX('Per Line'!$G$2:$G$6001,$V315)&amp;"")</f>
        <v/>
      </c>
      <c r="F315">
        <f>IF($V315="","",INDEX('Per Line'!$H$2:$H$6001,$V315)&amp;"")</f>
        <v/>
      </c>
      <c r="G315">
        <f>IF($V315="","",INDEX('Per Line'!$I$2:$I$6001,$V315)&amp;"")</f>
        <v/>
      </c>
      <c r="H315">
        <f>IF($V315="","",INDEX('Per Line'!$J$2:$J$6001,$V315))</f>
        <v/>
      </c>
      <c r="I315" s="7">
        <f>IF($V315="","",H315*S315/100)</f>
        <v/>
      </c>
      <c r="J315">
        <f>IF($V315="","",INDEX('Per Line'!$S$2:$S$6001,$V315)&amp;"")</f>
        <v/>
      </c>
      <c r="K315" s="7">
        <f>IF($V315="","",SUMIFS('Per Line'!$R$2:$R$6001,'Per Line'!$C$2:$C$6001,$B315,'Per Line'!$AJ$2:$AJ$6001,1))</f>
        <v/>
      </c>
      <c r="L315">
        <f>IF($V315="","",Settings!$C$7)</f>
        <v/>
      </c>
      <c r="M315" s="7">
        <f>IF($V315="","",SUMIFS('Per Line'!$R$2:$R$6001,'Per Line'!$C$2:$C$6001,$B315,'Per Line'!$AI$2:$AI$6001,0,'Per Line'!$AJ$2:$AJ$6001,0))</f>
        <v/>
      </c>
      <c r="N315" s="7">
        <f>IF($V315="","",M315*L315)</f>
        <v/>
      </c>
      <c r="O315">
        <f>IF($V315="","",Settings!$C$6)</f>
        <v/>
      </c>
      <c r="P315" s="7">
        <f>IF($V315="","",SUMIFS('Per Line'!$R$2:$R$6001,'Per Line'!$C$2:$C$6001,$B315,'Per Line'!$AI$2:$AI$6001,1,'Per Line'!$AJ$2:$AJ$6001,0))</f>
        <v/>
      </c>
      <c r="Q315" s="7">
        <f>IF($V315="","",P315*O315)</f>
        <v/>
      </c>
      <c r="R315" s="7">
        <f>IF($V315="","",Q315+N315)</f>
        <v/>
      </c>
      <c r="S315" s="7">
        <f>IF($V315="","",T315-R315)</f>
        <v/>
      </c>
      <c r="T315" s="7">
        <f>IF($V315="","",M315+P315+K315)</f>
        <v/>
      </c>
      <c r="U315" s="7">
        <f>IF($V315="","",T315-R315-I315)</f>
        <v/>
      </c>
      <c r="V315" s="13">
        <f>IF(ROWS($V$2:$V315)&lt;=MAX('Per Line'!$AH$2:$AH$6001),MATCH(ROWS($V$2:$V315),'Per Line'!$AH$2:$AH$6001,0),"")</f>
        <v/>
      </c>
    </row>
    <row r="316">
      <c r="A316" s="12" t="n"/>
      <c r="B316">
        <f>IF($V316="","",INDEX('Per Line'!$C$2:$C$6001,$V316)&amp;"")</f>
        <v/>
      </c>
      <c r="C316" s="11">
        <f>IF($V316="","",INDEX('Per Line'!$D$2:$D$6001,$V316))</f>
        <v/>
      </c>
      <c r="D316">
        <f>IF($V316="","",INDEX('Per Line'!$E$2:$E$6001,$V316)&amp;"")</f>
        <v/>
      </c>
      <c r="E316">
        <f>IF($V316="","",INDEX('Per Line'!$G$2:$G$6001,$V316)&amp;"")</f>
        <v/>
      </c>
      <c r="F316">
        <f>IF($V316="","",INDEX('Per Line'!$H$2:$H$6001,$V316)&amp;"")</f>
        <v/>
      </c>
      <c r="G316">
        <f>IF($V316="","",INDEX('Per Line'!$I$2:$I$6001,$V316)&amp;"")</f>
        <v/>
      </c>
      <c r="H316">
        <f>IF($V316="","",INDEX('Per Line'!$J$2:$J$6001,$V316))</f>
        <v/>
      </c>
      <c r="I316" s="7">
        <f>IF($V316="","",H316*S316/100)</f>
        <v/>
      </c>
      <c r="J316">
        <f>IF($V316="","",INDEX('Per Line'!$S$2:$S$6001,$V316)&amp;"")</f>
        <v/>
      </c>
      <c r="K316" s="7">
        <f>IF($V316="","",SUMIFS('Per Line'!$R$2:$R$6001,'Per Line'!$C$2:$C$6001,$B316,'Per Line'!$AJ$2:$AJ$6001,1))</f>
        <v/>
      </c>
      <c r="L316">
        <f>IF($V316="","",Settings!$C$7)</f>
        <v/>
      </c>
      <c r="M316" s="7">
        <f>IF($V316="","",SUMIFS('Per Line'!$R$2:$R$6001,'Per Line'!$C$2:$C$6001,$B316,'Per Line'!$AI$2:$AI$6001,0,'Per Line'!$AJ$2:$AJ$6001,0))</f>
        <v/>
      </c>
      <c r="N316" s="7">
        <f>IF($V316="","",M316*L316)</f>
        <v/>
      </c>
      <c r="O316">
        <f>IF($V316="","",Settings!$C$6)</f>
        <v/>
      </c>
      <c r="P316" s="7">
        <f>IF($V316="","",SUMIFS('Per Line'!$R$2:$R$6001,'Per Line'!$C$2:$C$6001,$B316,'Per Line'!$AI$2:$AI$6001,1,'Per Line'!$AJ$2:$AJ$6001,0))</f>
        <v/>
      </c>
      <c r="Q316" s="7">
        <f>IF($V316="","",P316*O316)</f>
        <v/>
      </c>
      <c r="R316" s="7">
        <f>IF($V316="","",Q316+N316)</f>
        <v/>
      </c>
      <c r="S316" s="7">
        <f>IF($V316="","",T316-R316)</f>
        <v/>
      </c>
      <c r="T316" s="7">
        <f>IF($V316="","",M316+P316+K316)</f>
        <v/>
      </c>
      <c r="U316" s="7">
        <f>IF($V316="","",T316-R316-I316)</f>
        <v/>
      </c>
      <c r="V316" s="13">
        <f>IF(ROWS($V$2:$V316)&lt;=MAX('Per Line'!$AH$2:$AH$6001),MATCH(ROWS($V$2:$V316),'Per Line'!$AH$2:$AH$6001,0),"")</f>
        <v/>
      </c>
    </row>
    <row r="317">
      <c r="A317" s="12" t="n"/>
      <c r="B317">
        <f>IF($V317="","",INDEX('Per Line'!$C$2:$C$6001,$V317)&amp;"")</f>
        <v/>
      </c>
      <c r="C317" s="11">
        <f>IF($V317="","",INDEX('Per Line'!$D$2:$D$6001,$V317))</f>
        <v/>
      </c>
      <c r="D317">
        <f>IF($V317="","",INDEX('Per Line'!$E$2:$E$6001,$V317)&amp;"")</f>
        <v/>
      </c>
      <c r="E317">
        <f>IF($V317="","",INDEX('Per Line'!$G$2:$G$6001,$V317)&amp;"")</f>
        <v/>
      </c>
      <c r="F317">
        <f>IF($V317="","",INDEX('Per Line'!$H$2:$H$6001,$V317)&amp;"")</f>
        <v/>
      </c>
      <c r="G317">
        <f>IF($V317="","",INDEX('Per Line'!$I$2:$I$6001,$V317)&amp;"")</f>
        <v/>
      </c>
      <c r="H317">
        <f>IF($V317="","",INDEX('Per Line'!$J$2:$J$6001,$V317))</f>
        <v/>
      </c>
      <c r="I317" s="7">
        <f>IF($V317="","",H317*S317/100)</f>
        <v/>
      </c>
      <c r="J317">
        <f>IF($V317="","",INDEX('Per Line'!$S$2:$S$6001,$V317)&amp;"")</f>
        <v/>
      </c>
      <c r="K317" s="7">
        <f>IF($V317="","",SUMIFS('Per Line'!$R$2:$R$6001,'Per Line'!$C$2:$C$6001,$B317,'Per Line'!$AJ$2:$AJ$6001,1))</f>
        <v/>
      </c>
      <c r="L317">
        <f>IF($V317="","",Settings!$C$7)</f>
        <v/>
      </c>
      <c r="M317" s="7">
        <f>IF($V317="","",SUMIFS('Per Line'!$R$2:$R$6001,'Per Line'!$C$2:$C$6001,$B317,'Per Line'!$AI$2:$AI$6001,0,'Per Line'!$AJ$2:$AJ$6001,0))</f>
        <v/>
      </c>
      <c r="N317" s="7">
        <f>IF($V317="","",M317*L317)</f>
        <v/>
      </c>
      <c r="O317">
        <f>IF($V317="","",Settings!$C$6)</f>
        <v/>
      </c>
      <c r="P317" s="7">
        <f>IF($V317="","",SUMIFS('Per Line'!$R$2:$R$6001,'Per Line'!$C$2:$C$6001,$B317,'Per Line'!$AI$2:$AI$6001,1,'Per Line'!$AJ$2:$AJ$6001,0))</f>
        <v/>
      </c>
      <c r="Q317" s="7">
        <f>IF($V317="","",P317*O317)</f>
        <v/>
      </c>
      <c r="R317" s="7">
        <f>IF($V317="","",Q317+N317)</f>
        <v/>
      </c>
      <c r="S317" s="7">
        <f>IF($V317="","",T317-R317)</f>
        <v/>
      </c>
      <c r="T317" s="7">
        <f>IF($V317="","",M317+P317+K317)</f>
        <v/>
      </c>
      <c r="U317" s="7">
        <f>IF($V317="","",T317-R317-I317)</f>
        <v/>
      </c>
      <c r="V317" s="13">
        <f>IF(ROWS($V$2:$V317)&lt;=MAX('Per Line'!$AH$2:$AH$6001),MATCH(ROWS($V$2:$V317),'Per Line'!$AH$2:$AH$6001,0),"")</f>
        <v/>
      </c>
    </row>
    <row r="318">
      <c r="A318" s="12" t="n"/>
      <c r="B318">
        <f>IF($V318="","",INDEX('Per Line'!$C$2:$C$6001,$V318)&amp;"")</f>
        <v/>
      </c>
      <c r="C318" s="11">
        <f>IF($V318="","",INDEX('Per Line'!$D$2:$D$6001,$V318))</f>
        <v/>
      </c>
      <c r="D318">
        <f>IF($V318="","",INDEX('Per Line'!$E$2:$E$6001,$V318)&amp;"")</f>
        <v/>
      </c>
      <c r="E318">
        <f>IF($V318="","",INDEX('Per Line'!$G$2:$G$6001,$V318)&amp;"")</f>
        <v/>
      </c>
      <c r="F318">
        <f>IF($V318="","",INDEX('Per Line'!$H$2:$H$6001,$V318)&amp;"")</f>
        <v/>
      </c>
      <c r="G318">
        <f>IF($V318="","",INDEX('Per Line'!$I$2:$I$6001,$V318)&amp;"")</f>
        <v/>
      </c>
      <c r="H318">
        <f>IF($V318="","",INDEX('Per Line'!$J$2:$J$6001,$V318))</f>
        <v/>
      </c>
      <c r="I318" s="7">
        <f>IF($V318="","",H318*S318/100)</f>
        <v/>
      </c>
      <c r="J318">
        <f>IF($V318="","",INDEX('Per Line'!$S$2:$S$6001,$V318)&amp;"")</f>
        <v/>
      </c>
      <c r="K318" s="7">
        <f>IF($V318="","",SUMIFS('Per Line'!$R$2:$R$6001,'Per Line'!$C$2:$C$6001,$B318,'Per Line'!$AJ$2:$AJ$6001,1))</f>
        <v/>
      </c>
      <c r="L318">
        <f>IF($V318="","",Settings!$C$7)</f>
        <v/>
      </c>
      <c r="M318" s="7">
        <f>IF($V318="","",SUMIFS('Per Line'!$R$2:$R$6001,'Per Line'!$C$2:$C$6001,$B318,'Per Line'!$AI$2:$AI$6001,0,'Per Line'!$AJ$2:$AJ$6001,0))</f>
        <v/>
      </c>
      <c r="N318" s="7">
        <f>IF($V318="","",M318*L318)</f>
        <v/>
      </c>
      <c r="O318">
        <f>IF($V318="","",Settings!$C$6)</f>
        <v/>
      </c>
      <c r="P318" s="7">
        <f>IF($V318="","",SUMIFS('Per Line'!$R$2:$R$6001,'Per Line'!$C$2:$C$6001,$B318,'Per Line'!$AI$2:$AI$6001,1,'Per Line'!$AJ$2:$AJ$6001,0))</f>
        <v/>
      </c>
      <c r="Q318" s="7">
        <f>IF($V318="","",P318*O318)</f>
        <v/>
      </c>
      <c r="R318" s="7">
        <f>IF($V318="","",Q318+N318)</f>
        <v/>
      </c>
      <c r="S318" s="7">
        <f>IF($V318="","",T318-R318)</f>
        <v/>
      </c>
      <c r="T318" s="7">
        <f>IF($V318="","",M318+P318+K318)</f>
        <v/>
      </c>
      <c r="U318" s="7">
        <f>IF($V318="","",T318-R318-I318)</f>
        <v/>
      </c>
      <c r="V318" s="13">
        <f>IF(ROWS($V$2:$V318)&lt;=MAX('Per Line'!$AH$2:$AH$6001),MATCH(ROWS($V$2:$V318),'Per Line'!$AH$2:$AH$6001,0),"")</f>
        <v/>
      </c>
    </row>
    <row r="319">
      <c r="A319" s="12" t="n"/>
      <c r="B319">
        <f>IF($V319="","",INDEX('Per Line'!$C$2:$C$6001,$V319)&amp;"")</f>
        <v/>
      </c>
      <c r="C319" s="11">
        <f>IF($V319="","",INDEX('Per Line'!$D$2:$D$6001,$V319))</f>
        <v/>
      </c>
      <c r="D319">
        <f>IF($V319="","",INDEX('Per Line'!$E$2:$E$6001,$V319)&amp;"")</f>
        <v/>
      </c>
      <c r="E319">
        <f>IF($V319="","",INDEX('Per Line'!$G$2:$G$6001,$V319)&amp;"")</f>
        <v/>
      </c>
      <c r="F319">
        <f>IF($V319="","",INDEX('Per Line'!$H$2:$H$6001,$V319)&amp;"")</f>
        <v/>
      </c>
      <c r="G319">
        <f>IF($V319="","",INDEX('Per Line'!$I$2:$I$6001,$V319)&amp;"")</f>
        <v/>
      </c>
      <c r="H319">
        <f>IF($V319="","",INDEX('Per Line'!$J$2:$J$6001,$V319))</f>
        <v/>
      </c>
      <c r="I319" s="7">
        <f>IF($V319="","",H319*S319/100)</f>
        <v/>
      </c>
      <c r="J319">
        <f>IF($V319="","",INDEX('Per Line'!$S$2:$S$6001,$V319)&amp;"")</f>
        <v/>
      </c>
      <c r="K319" s="7">
        <f>IF($V319="","",SUMIFS('Per Line'!$R$2:$R$6001,'Per Line'!$C$2:$C$6001,$B319,'Per Line'!$AJ$2:$AJ$6001,1))</f>
        <v/>
      </c>
      <c r="L319">
        <f>IF($V319="","",Settings!$C$7)</f>
        <v/>
      </c>
      <c r="M319" s="7">
        <f>IF($V319="","",SUMIFS('Per Line'!$R$2:$R$6001,'Per Line'!$C$2:$C$6001,$B319,'Per Line'!$AI$2:$AI$6001,0,'Per Line'!$AJ$2:$AJ$6001,0))</f>
        <v/>
      </c>
      <c r="N319" s="7">
        <f>IF($V319="","",M319*L319)</f>
        <v/>
      </c>
      <c r="O319">
        <f>IF($V319="","",Settings!$C$6)</f>
        <v/>
      </c>
      <c r="P319" s="7">
        <f>IF($V319="","",SUMIFS('Per Line'!$R$2:$R$6001,'Per Line'!$C$2:$C$6001,$B319,'Per Line'!$AI$2:$AI$6001,1,'Per Line'!$AJ$2:$AJ$6001,0))</f>
        <v/>
      </c>
      <c r="Q319" s="7">
        <f>IF($V319="","",P319*O319)</f>
        <v/>
      </c>
      <c r="R319" s="7">
        <f>IF($V319="","",Q319+N319)</f>
        <v/>
      </c>
      <c r="S319" s="7">
        <f>IF($V319="","",T319-R319)</f>
        <v/>
      </c>
      <c r="T319" s="7">
        <f>IF($V319="","",M319+P319+K319)</f>
        <v/>
      </c>
      <c r="U319" s="7">
        <f>IF($V319="","",T319-R319-I319)</f>
        <v/>
      </c>
      <c r="V319" s="13">
        <f>IF(ROWS($V$2:$V319)&lt;=MAX('Per Line'!$AH$2:$AH$6001),MATCH(ROWS($V$2:$V319),'Per Line'!$AH$2:$AH$6001,0),"")</f>
        <v/>
      </c>
    </row>
    <row r="320">
      <c r="A320" s="12" t="n"/>
      <c r="B320">
        <f>IF($V320="","",INDEX('Per Line'!$C$2:$C$6001,$V320)&amp;"")</f>
        <v/>
      </c>
      <c r="C320" s="11">
        <f>IF($V320="","",INDEX('Per Line'!$D$2:$D$6001,$V320))</f>
        <v/>
      </c>
      <c r="D320">
        <f>IF($V320="","",INDEX('Per Line'!$E$2:$E$6001,$V320)&amp;"")</f>
        <v/>
      </c>
      <c r="E320">
        <f>IF($V320="","",INDEX('Per Line'!$G$2:$G$6001,$V320)&amp;"")</f>
        <v/>
      </c>
      <c r="F320">
        <f>IF($V320="","",INDEX('Per Line'!$H$2:$H$6001,$V320)&amp;"")</f>
        <v/>
      </c>
      <c r="G320">
        <f>IF($V320="","",INDEX('Per Line'!$I$2:$I$6001,$V320)&amp;"")</f>
        <v/>
      </c>
      <c r="H320">
        <f>IF($V320="","",INDEX('Per Line'!$J$2:$J$6001,$V320))</f>
        <v/>
      </c>
      <c r="I320" s="7">
        <f>IF($V320="","",H320*S320/100)</f>
        <v/>
      </c>
      <c r="J320">
        <f>IF($V320="","",INDEX('Per Line'!$S$2:$S$6001,$V320)&amp;"")</f>
        <v/>
      </c>
      <c r="K320" s="7">
        <f>IF($V320="","",SUMIFS('Per Line'!$R$2:$R$6001,'Per Line'!$C$2:$C$6001,$B320,'Per Line'!$AJ$2:$AJ$6001,1))</f>
        <v/>
      </c>
      <c r="L320">
        <f>IF($V320="","",Settings!$C$7)</f>
        <v/>
      </c>
      <c r="M320" s="7">
        <f>IF($V320="","",SUMIFS('Per Line'!$R$2:$R$6001,'Per Line'!$C$2:$C$6001,$B320,'Per Line'!$AI$2:$AI$6001,0,'Per Line'!$AJ$2:$AJ$6001,0))</f>
        <v/>
      </c>
      <c r="N320" s="7">
        <f>IF($V320="","",M320*L320)</f>
        <v/>
      </c>
      <c r="O320">
        <f>IF($V320="","",Settings!$C$6)</f>
        <v/>
      </c>
      <c r="P320" s="7">
        <f>IF($V320="","",SUMIFS('Per Line'!$R$2:$R$6001,'Per Line'!$C$2:$C$6001,$B320,'Per Line'!$AI$2:$AI$6001,1,'Per Line'!$AJ$2:$AJ$6001,0))</f>
        <v/>
      </c>
      <c r="Q320" s="7">
        <f>IF($V320="","",P320*O320)</f>
        <v/>
      </c>
      <c r="R320" s="7">
        <f>IF($V320="","",Q320+N320)</f>
        <v/>
      </c>
      <c r="S320" s="7">
        <f>IF($V320="","",T320-R320)</f>
        <v/>
      </c>
      <c r="T320" s="7">
        <f>IF($V320="","",M320+P320+K320)</f>
        <v/>
      </c>
      <c r="U320" s="7">
        <f>IF($V320="","",T320-R320-I320)</f>
        <v/>
      </c>
      <c r="V320" s="13">
        <f>IF(ROWS($V$2:$V320)&lt;=MAX('Per Line'!$AH$2:$AH$6001),MATCH(ROWS($V$2:$V320),'Per Line'!$AH$2:$AH$6001,0),"")</f>
        <v/>
      </c>
    </row>
    <row r="321">
      <c r="A321" s="12" t="n"/>
      <c r="B321">
        <f>IF($V321="","",INDEX('Per Line'!$C$2:$C$6001,$V321)&amp;"")</f>
        <v/>
      </c>
      <c r="C321" s="11">
        <f>IF($V321="","",INDEX('Per Line'!$D$2:$D$6001,$V321))</f>
        <v/>
      </c>
      <c r="D321">
        <f>IF($V321="","",INDEX('Per Line'!$E$2:$E$6001,$V321)&amp;"")</f>
        <v/>
      </c>
      <c r="E321">
        <f>IF($V321="","",INDEX('Per Line'!$G$2:$G$6001,$V321)&amp;"")</f>
        <v/>
      </c>
      <c r="F321">
        <f>IF($V321="","",INDEX('Per Line'!$H$2:$H$6001,$V321)&amp;"")</f>
        <v/>
      </c>
      <c r="G321">
        <f>IF($V321="","",INDEX('Per Line'!$I$2:$I$6001,$V321)&amp;"")</f>
        <v/>
      </c>
      <c r="H321">
        <f>IF($V321="","",INDEX('Per Line'!$J$2:$J$6001,$V321))</f>
        <v/>
      </c>
      <c r="I321" s="7">
        <f>IF($V321="","",H321*S321/100)</f>
        <v/>
      </c>
      <c r="J321">
        <f>IF($V321="","",INDEX('Per Line'!$S$2:$S$6001,$V321)&amp;"")</f>
        <v/>
      </c>
      <c r="K321" s="7">
        <f>IF($V321="","",SUMIFS('Per Line'!$R$2:$R$6001,'Per Line'!$C$2:$C$6001,$B321,'Per Line'!$AJ$2:$AJ$6001,1))</f>
        <v/>
      </c>
      <c r="L321">
        <f>IF($V321="","",Settings!$C$7)</f>
        <v/>
      </c>
      <c r="M321" s="7">
        <f>IF($V321="","",SUMIFS('Per Line'!$R$2:$R$6001,'Per Line'!$C$2:$C$6001,$B321,'Per Line'!$AI$2:$AI$6001,0,'Per Line'!$AJ$2:$AJ$6001,0))</f>
        <v/>
      </c>
      <c r="N321" s="7">
        <f>IF($V321="","",M321*L321)</f>
        <v/>
      </c>
      <c r="O321">
        <f>IF($V321="","",Settings!$C$6)</f>
        <v/>
      </c>
      <c r="P321" s="7">
        <f>IF($V321="","",SUMIFS('Per Line'!$R$2:$R$6001,'Per Line'!$C$2:$C$6001,$B321,'Per Line'!$AI$2:$AI$6001,1,'Per Line'!$AJ$2:$AJ$6001,0))</f>
        <v/>
      </c>
      <c r="Q321" s="7">
        <f>IF($V321="","",P321*O321)</f>
        <v/>
      </c>
      <c r="R321" s="7">
        <f>IF($V321="","",Q321+N321)</f>
        <v/>
      </c>
      <c r="S321" s="7">
        <f>IF($V321="","",T321-R321)</f>
        <v/>
      </c>
      <c r="T321" s="7">
        <f>IF($V321="","",M321+P321+K321)</f>
        <v/>
      </c>
      <c r="U321" s="7">
        <f>IF($V321="","",T321-R321-I321)</f>
        <v/>
      </c>
      <c r="V321" s="13">
        <f>IF(ROWS($V$2:$V321)&lt;=MAX('Per Line'!$AH$2:$AH$6001),MATCH(ROWS($V$2:$V321),'Per Line'!$AH$2:$AH$6001,0),"")</f>
        <v/>
      </c>
    </row>
    <row r="322">
      <c r="A322" s="12" t="n"/>
      <c r="B322">
        <f>IF($V322="","",INDEX('Per Line'!$C$2:$C$6001,$V322)&amp;"")</f>
        <v/>
      </c>
      <c r="C322" s="11">
        <f>IF($V322="","",INDEX('Per Line'!$D$2:$D$6001,$V322))</f>
        <v/>
      </c>
      <c r="D322">
        <f>IF($V322="","",INDEX('Per Line'!$E$2:$E$6001,$V322)&amp;"")</f>
        <v/>
      </c>
      <c r="E322">
        <f>IF($V322="","",INDEX('Per Line'!$G$2:$G$6001,$V322)&amp;"")</f>
        <v/>
      </c>
      <c r="F322">
        <f>IF($V322="","",INDEX('Per Line'!$H$2:$H$6001,$V322)&amp;"")</f>
        <v/>
      </c>
      <c r="G322">
        <f>IF($V322="","",INDEX('Per Line'!$I$2:$I$6001,$V322)&amp;"")</f>
        <v/>
      </c>
      <c r="H322">
        <f>IF($V322="","",INDEX('Per Line'!$J$2:$J$6001,$V322))</f>
        <v/>
      </c>
      <c r="I322" s="7">
        <f>IF($V322="","",H322*S322/100)</f>
        <v/>
      </c>
      <c r="J322">
        <f>IF($V322="","",INDEX('Per Line'!$S$2:$S$6001,$V322)&amp;"")</f>
        <v/>
      </c>
      <c r="K322" s="7">
        <f>IF($V322="","",SUMIFS('Per Line'!$R$2:$R$6001,'Per Line'!$C$2:$C$6001,$B322,'Per Line'!$AJ$2:$AJ$6001,1))</f>
        <v/>
      </c>
      <c r="L322">
        <f>IF($V322="","",Settings!$C$7)</f>
        <v/>
      </c>
      <c r="M322" s="7">
        <f>IF($V322="","",SUMIFS('Per Line'!$R$2:$R$6001,'Per Line'!$C$2:$C$6001,$B322,'Per Line'!$AI$2:$AI$6001,0,'Per Line'!$AJ$2:$AJ$6001,0))</f>
        <v/>
      </c>
      <c r="N322" s="7">
        <f>IF($V322="","",M322*L322)</f>
        <v/>
      </c>
      <c r="O322">
        <f>IF($V322="","",Settings!$C$6)</f>
        <v/>
      </c>
      <c r="P322" s="7">
        <f>IF($V322="","",SUMIFS('Per Line'!$R$2:$R$6001,'Per Line'!$C$2:$C$6001,$B322,'Per Line'!$AI$2:$AI$6001,1,'Per Line'!$AJ$2:$AJ$6001,0))</f>
        <v/>
      </c>
      <c r="Q322" s="7">
        <f>IF($V322="","",P322*O322)</f>
        <v/>
      </c>
      <c r="R322" s="7">
        <f>IF($V322="","",Q322+N322)</f>
        <v/>
      </c>
      <c r="S322" s="7">
        <f>IF($V322="","",T322-R322)</f>
        <v/>
      </c>
      <c r="T322" s="7">
        <f>IF($V322="","",M322+P322+K322)</f>
        <v/>
      </c>
      <c r="U322" s="7">
        <f>IF($V322="","",T322-R322-I322)</f>
        <v/>
      </c>
      <c r="V322" s="13">
        <f>IF(ROWS($V$2:$V322)&lt;=MAX('Per Line'!$AH$2:$AH$6001),MATCH(ROWS($V$2:$V322),'Per Line'!$AH$2:$AH$6001,0),"")</f>
        <v/>
      </c>
    </row>
    <row r="323">
      <c r="A323" s="12" t="n"/>
      <c r="B323">
        <f>IF($V323="","",INDEX('Per Line'!$C$2:$C$6001,$V323)&amp;"")</f>
        <v/>
      </c>
      <c r="C323" s="11">
        <f>IF($V323="","",INDEX('Per Line'!$D$2:$D$6001,$V323))</f>
        <v/>
      </c>
      <c r="D323">
        <f>IF($V323="","",INDEX('Per Line'!$E$2:$E$6001,$V323)&amp;"")</f>
        <v/>
      </c>
      <c r="E323">
        <f>IF($V323="","",INDEX('Per Line'!$G$2:$G$6001,$V323)&amp;"")</f>
        <v/>
      </c>
      <c r="F323">
        <f>IF($V323="","",INDEX('Per Line'!$H$2:$H$6001,$V323)&amp;"")</f>
        <v/>
      </c>
      <c r="G323">
        <f>IF($V323="","",INDEX('Per Line'!$I$2:$I$6001,$V323)&amp;"")</f>
        <v/>
      </c>
      <c r="H323">
        <f>IF($V323="","",INDEX('Per Line'!$J$2:$J$6001,$V323))</f>
        <v/>
      </c>
      <c r="I323" s="7">
        <f>IF($V323="","",H323*S323/100)</f>
        <v/>
      </c>
      <c r="J323">
        <f>IF($V323="","",INDEX('Per Line'!$S$2:$S$6001,$V323)&amp;"")</f>
        <v/>
      </c>
      <c r="K323" s="7">
        <f>IF($V323="","",SUMIFS('Per Line'!$R$2:$R$6001,'Per Line'!$C$2:$C$6001,$B323,'Per Line'!$AJ$2:$AJ$6001,1))</f>
        <v/>
      </c>
      <c r="L323">
        <f>IF($V323="","",Settings!$C$7)</f>
        <v/>
      </c>
      <c r="M323" s="7">
        <f>IF($V323="","",SUMIFS('Per Line'!$R$2:$R$6001,'Per Line'!$C$2:$C$6001,$B323,'Per Line'!$AI$2:$AI$6001,0,'Per Line'!$AJ$2:$AJ$6001,0))</f>
        <v/>
      </c>
      <c r="N323" s="7">
        <f>IF($V323="","",M323*L323)</f>
        <v/>
      </c>
      <c r="O323">
        <f>IF($V323="","",Settings!$C$6)</f>
        <v/>
      </c>
      <c r="P323" s="7">
        <f>IF($V323="","",SUMIFS('Per Line'!$R$2:$R$6001,'Per Line'!$C$2:$C$6001,$B323,'Per Line'!$AI$2:$AI$6001,1,'Per Line'!$AJ$2:$AJ$6001,0))</f>
        <v/>
      </c>
      <c r="Q323" s="7">
        <f>IF($V323="","",P323*O323)</f>
        <v/>
      </c>
      <c r="R323" s="7">
        <f>IF($V323="","",Q323+N323)</f>
        <v/>
      </c>
      <c r="S323" s="7">
        <f>IF($V323="","",T323-R323)</f>
        <v/>
      </c>
      <c r="T323" s="7">
        <f>IF($V323="","",M323+P323+K323)</f>
        <v/>
      </c>
      <c r="U323" s="7">
        <f>IF($V323="","",T323-R323-I323)</f>
        <v/>
      </c>
      <c r="V323" s="13">
        <f>IF(ROWS($V$2:$V323)&lt;=MAX('Per Line'!$AH$2:$AH$6001),MATCH(ROWS($V$2:$V323),'Per Line'!$AH$2:$AH$6001,0),"")</f>
        <v/>
      </c>
    </row>
    <row r="324">
      <c r="A324" s="12" t="n"/>
      <c r="B324">
        <f>IF($V324="","",INDEX('Per Line'!$C$2:$C$6001,$V324)&amp;"")</f>
        <v/>
      </c>
      <c r="C324" s="11">
        <f>IF($V324="","",INDEX('Per Line'!$D$2:$D$6001,$V324))</f>
        <v/>
      </c>
      <c r="D324">
        <f>IF($V324="","",INDEX('Per Line'!$E$2:$E$6001,$V324)&amp;"")</f>
        <v/>
      </c>
      <c r="E324">
        <f>IF($V324="","",INDEX('Per Line'!$G$2:$G$6001,$V324)&amp;"")</f>
        <v/>
      </c>
      <c r="F324">
        <f>IF($V324="","",INDEX('Per Line'!$H$2:$H$6001,$V324)&amp;"")</f>
        <v/>
      </c>
      <c r="G324">
        <f>IF($V324="","",INDEX('Per Line'!$I$2:$I$6001,$V324)&amp;"")</f>
        <v/>
      </c>
      <c r="H324">
        <f>IF($V324="","",INDEX('Per Line'!$J$2:$J$6001,$V324))</f>
        <v/>
      </c>
      <c r="I324" s="7">
        <f>IF($V324="","",H324*S324/100)</f>
        <v/>
      </c>
      <c r="J324">
        <f>IF($V324="","",INDEX('Per Line'!$S$2:$S$6001,$V324)&amp;"")</f>
        <v/>
      </c>
      <c r="K324" s="7">
        <f>IF($V324="","",SUMIFS('Per Line'!$R$2:$R$6001,'Per Line'!$C$2:$C$6001,$B324,'Per Line'!$AJ$2:$AJ$6001,1))</f>
        <v/>
      </c>
      <c r="L324">
        <f>IF($V324="","",Settings!$C$7)</f>
        <v/>
      </c>
      <c r="M324" s="7">
        <f>IF($V324="","",SUMIFS('Per Line'!$R$2:$R$6001,'Per Line'!$C$2:$C$6001,$B324,'Per Line'!$AI$2:$AI$6001,0,'Per Line'!$AJ$2:$AJ$6001,0))</f>
        <v/>
      </c>
      <c r="N324" s="7">
        <f>IF($V324="","",M324*L324)</f>
        <v/>
      </c>
      <c r="O324">
        <f>IF($V324="","",Settings!$C$6)</f>
        <v/>
      </c>
      <c r="P324" s="7">
        <f>IF($V324="","",SUMIFS('Per Line'!$R$2:$R$6001,'Per Line'!$C$2:$C$6001,$B324,'Per Line'!$AI$2:$AI$6001,1,'Per Line'!$AJ$2:$AJ$6001,0))</f>
        <v/>
      </c>
      <c r="Q324" s="7">
        <f>IF($V324="","",P324*O324)</f>
        <v/>
      </c>
      <c r="R324" s="7">
        <f>IF($V324="","",Q324+N324)</f>
        <v/>
      </c>
      <c r="S324" s="7">
        <f>IF($V324="","",T324-R324)</f>
        <v/>
      </c>
      <c r="T324" s="7">
        <f>IF($V324="","",M324+P324+K324)</f>
        <v/>
      </c>
      <c r="U324" s="7">
        <f>IF($V324="","",T324-R324-I324)</f>
        <v/>
      </c>
      <c r="V324" s="13">
        <f>IF(ROWS($V$2:$V324)&lt;=MAX('Per Line'!$AH$2:$AH$6001),MATCH(ROWS($V$2:$V324),'Per Line'!$AH$2:$AH$6001,0),"")</f>
        <v/>
      </c>
    </row>
    <row r="325">
      <c r="A325" s="12" t="n"/>
      <c r="B325">
        <f>IF($V325="","",INDEX('Per Line'!$C$2:$C$6001,$V325)&amp;"")</f>
        <v/>
      </c>
      <c r="C325" s="11">
        <f>IF($V325="","",INDEX('Per Line'!$D$2:$D$6001,$V325))</f>
        <v/>
      </c>
      <c r="D325">
        <f>IF($V325="","",INDEX('Per Line'!$E$2:$E$6001,$V325)&amp;"")</f>
        <v/>
      </c>
      <c r="E325">
        <f>IF($V325="","",INDEX('Per Line'!$G$2:$G$6001,$V325)&amp;"")</f>
        <v/>
      </c>
      <c r="F325">
        <f>IF($V325="","",INDEX('Per Line'!$H$2:$H$6001,$V325)&amp;"")</f>
        <v/>
      </c>
      <c r="G325">
        <f>IF($V325="","",INDEX('Per Line'!$I$2:$I$6001,$V325)&amp;"")</f>
        <v/>
      </c>
      <c r="H325">
        <f>IF($V325="","",INDEX('Per Line'!$J$2:$J$6001,$V325))</f>
        <v/>
      </c>
      <c r="I325" s="7">
        <f>IF($V325="","",H325*S325/100)</f>
        <v/>
      </c>
      <c r="J325">
        <f>IF($V325="","",INDEX('Per Line'!$S$2:$S$6001,$V325)&amp;"")</f>
        <v/>
      </c>
      <c r="K325" s="7">
        <f>IF($V325="","",SUMIFS('Per Line'!$R$2:$R$6001,'Per Line'!$C$2:$C$6001,$B325,'Per Line'!$AJ$2:$AJ$6001,1))</f>
        <v/>
      </c>
      <c r="L325">
        <f>IF($V325="","",Settings!$C$7)</f>
        <v/>
      </c>
      <c r="M325" s="7">
        <f>IF($V325="","",SUMIFS('Per Line'!$R$2:$R$6001,'Per Line'!$C$2:$C$6001,$B325,'Per Line'!$AI$2:$AI$6001,0,'Per Line'!$AJ$2:$AJ$6001,0))</f>
        <v/>
      </c>
      <c r="N325" s="7">
        <f>IF($V325="","",M325*L325)</f>
        <v/>
      </c>
      <c r="O325">
        <f>IF($V325="","",Settings!$C$6)</f>
        <v/>
      </c>
      <c r="P325" s="7">
        <f>IF($V325="","",SUMIFS('Per Line'!$R$2:$R$6001,'Per Line'!$C$2:$C$6001,$B325,'Per Line'!$AI$2:$AI$6001,1,'Per Line'!$AJ$2:$AJ$6001,0))</f>
        <v/>
      </c>
      <c r="Q325" s="7">
        <f>IF($V325="","",P325*O325)</f>
        <v/>
      </c>
      <c r="R325" s="7">
        <f>IF($V325="","",Q325+N325)</f>
        <v/>
      </c>
      <c r="S325" s="7">
        <f>IF($V325="","",T325-R325)</f>
        <v/>
      </c>
      <c r="T325" s="7">
        <f>IF($V325="","",M325+P325+K325)</f>
        <v/>
      </c>
      <c r="U325" s="7">
        <f>IF($V325="","",T325-R325-I325)</f>
        <v/>
      </c>
      <c r="V325" s="13">
        <f>IF(ROWS($V$2:$V325)&lt;=MAX('Per Line'!$AH$2:$AH$6001),MATCH(ROWS($V$2:$V325),'Per Line'!$AH$2:$AH$6001,0),"")</f>
        <v/>
      </c>
    </row>
    <row r="326">
      <c r="A326" s="12" t="n"/>
      <c r="B326">
        <f>IF($V326="","",INDEX('Per Line'!$C$2:$C$6001,$V326)&amp;"")</f>
        <v/>
      </c>
      <c r="C326" s="11">
        <f>IF($V326="","",INDEX('Per Line'!$D$2:$D$6001,$V326))</f>
        <v/>
      </c>
      <c r="D326">
        <f>IF($V326="","",INDEX('Per Line'!$E$2:$E$6001,$V326)&amp;"")</f>
        <v/>
      </c>
      <c r="E326">
        <f>IF($V326="","",INDEX('Per Line'!$G$2:$G$6001,$V326)&amp;"")</f>
        <v/>
      </c>
      <c r="F326">
        <f>IF($V326="","",INDEX('Per Line'!$H$2:$H$6001,$V326)&amp;"")</f>
        <v/>
      </c>
      <c r="G326">
        <f>IF($V326="","",INDEX('Per Line'!$I$2:$I$6001,$V326)&amp;"")</f>
        <v/>
      </c>
      <c r="H326">
        <f>IF($V326="","",INDEX('Per Line'!$J$2:$J$6001,$V326))</f>
        <v/>
      </c>
      <c r="I326" s="7">
        <f>IF($V326="","",H326*S326/100)</f>
        <v/>
      </c>
      <c r="J326">
        <f>IF($V326="","",INDEX('Per Line'!$S$2:$S$6001,$V326)&amp;"")</f>
        <v/>
      </c>
      <c r="K326" s="7">
        <f>IF($V326="","",SUMIFS('Per Line'!$R$2:$R$6001,'Per Line'!$C$2:$C$6001,$B326,'Per Line'!$AJ$2:$AJ$6001,1))</f>
        <v/>
      </c>
      <c r="L326">
        <f>IF($V326="","",Settings!$C$7)</f>
        <v/>
      </c>
      <c r="M326" s="7">
        <f>IF($V326="","",SUMIFS('Per Line'!$R$2:$R$6001,'Per Line'!$C$2:$C$6001,$B326,'Per Line'!$AI$2:$AI$6001,0,'Per Line'!$AJ$2:$AJ$6001,0))</f>
        <v/>
      </c>
      <c r="N326" s="7">
        <f>IF($V326="","",M326*L326)</f>
        <v/>
      </c>
      <c r="O326">
        <f>IF($V326="","",Settings!$C$6)</f>
        <v/>
      </c>
      <c r="P326" s="7">
        <f>IF($V326="","",SUMIFS('Per Line'!$R$2:$R$6001,'Per Line'!$C$2:$C$6001,$B326,'Per Line'!$AI$2:$AI$6001,1,'Per Line'!$AJ$2:$AJ$6001,0))</f>
        <v/>
      </c>
      <c r="Q326" s="7">
        <f>IF($V326="","",P326*O326)</f>
        <v/>
      </c>
      <c r="R326" s="7">
        <f>IF($V326="","",Q326+N326)</f>
        <v/>
      </c>
      <c r="S326" s="7">
        <f>IF($V326="","",T326-R326)</f>
        <v/>
      </c>
      <c r="T326" s="7">
        <f>IF($V326="","",M326+P326+K326)</f>
        <v/>
      </c>
      <c r="U326" s="7">
        <f>IF($V326="","",T326-R326-I326)</f>
        <v/>
      </c>
      <c r="V326" s="13">
        <f>IF(ROWS($V$2:$V326)&lt;=MAX('Per Line'!$AH$2:$AH$6001),MATCH(ROWS($V$2:$V326),'Per Line'!$AH$2:$AH$6001,0),"")</f>
        <v/>
      </c>
    </row>
    <row r="327">
      <c r="A327" s="12" t="n"/>
      <c r="B327">
        <f>IF($V327="","",INDEX('Per Line'!$C$2:$C$6001,$V327)&amp;"")</f>
        <v/>
      </c>
      <c r="C327" s="11">
        <f>IF($V327="","",INDEX('Per Line'!$D$2:$D$6001,$V327))</f>
        <v/>
      </c>
      <c r="D327">
        <f>IF($V327="","",INDEX('Per Line'!$E$2:$E$6001,$V327)&amp;"")</f>
        <v/>
      </c>
      <c r="E327">
        <f>IF($V327="","",INDEX('Per Line'!$G$2:$G$6001,$V327)&amp;"")</f>
        <v/>
      </c>
      <c r="F327">
        <f>IF($V327="","",INDEX('Per Line'!$H$2:$H$6001,$V327)&amp;"")</f>
        <v/>
      </c>
      <c r="G327">
        <f>IF($V327="","",INDEX('Per Line'!$I$2:$I$6001,$V327)&amp;"")</f>
        <v/>
      </c>
      <c r="H327">
        <f>IF($V327="","",INDEX('Per Line'!$J$2:$J$6001,$V327))</f>
        <v/>
      </c>
      <c r="I327" s="7">
        <f>IF($V327="","",H327*S327/100)</f>
        <v/>
      </c>
      <c r="J327">
        <f>IF($V327="","",INDEX('Per Line'!$S$2:$S$6001,$V327)&amp;"")</f>
        <v/>
      </c>
      <c r="K327" s="7">
        <f>IF($V327="","",SUMIFS('Per Line'!$R$2:$R$6001,'Per Line'!$C$2:$C$6001,$B327,'Per Line'!$AJ$2:$AJ$6001,1))</f>
        <v/>
      </c>
      <c r="L327">
        <f>IF($V327="","",Settings!$C$7)</f>
        <v/>
      </c>
      <c r="M327" s="7">
        <f>IF($V327="","",SUMIFS('Per Line'!$R$2:$R$6001,'Per Line'!$C$2:$C$6001,$B327,'Per Line'!$AI$2:$AI$6001,0,'Per Line'!$AJ$2:$AJ$6001,0))</f>
        <v/>
      </c>
      <c r="N327" s="7">
        <f>IF($V327="","",M327*L327)</f>
        <v/>
      </c>
      <c r="O327">
        <f>IF($V327="","",Settings!$C$6)</f>
        <v/>
      </c>
      <c r="P327" s="7">
        <f>IF($V327="","",SUMIFS('Per Line'!$R$2:$R$6001,'Per Line'!$C$2:$C$6001,$B327,'Per Line'!$AI$2:$AI$6001,1,'Per Line'!$AJ$2:$AJ$6001,0))</f>
        <v/>
      </c>
      <c r="Q327" s="7">
        <f>IF($V327="","",P327*O327)</f>
        <v/>
      </c>
      <c r="R327" s="7">
        <f>IF($V327="","",Q327+N327)</f>
        <v/>
      </c>
      <c r="S327" s="7">
        <f>IF($V327="","",T327-R327)</f>
        <v/>
      </c>
      <c r="T327" s="7">
        <f>IF($V327="","",M327+P327+K327)</f>
        <v/>
      </c>
      <c r="U327" s="7">
        <f>IF($V327="","",T327-R327-I327)</f>
        <v/>
      </c>
      <c r="V327" s="13">
        <f>IF(ROWS($V$2:$V327)&lt;=MAX('Per Line'!$AH$2:$AH$6001),MATCH(ROWS($V$2:$V327),'Per Line'!$AH$2:$AH$6001,0),"")</f>
        <v/>
      </c>
    </row>
    <row r="328">
      <c r="A328" s="12" t="n"/>
      <c r="B328">
        <f>IF($V328="","",INDEX('Per Line'!$C$2:$C$6001,$V328)&amp;"")</f>
        <v/>
      </c>
      <c r="C328" s="11">
        <f>IF($V328="","",INDEX('Per Line'!$D$2:$D$6001,$V328))</f>
        <v/>
      </c>
      <c r="D328">
        <f>IF($V328="","",INDEX('Per Line'!$E$2:$E$6001,$V328)&amp;"")</f>
        <v/>
      </c>
      <c r="E328">
        <f>IF($V328="","",INDEX('Per Line'!$G$2:$G$6001,$V328)&amp;"")</f>
        <v/>
      </c>
      <c r="F328">
        <f>IF($V328="","",INDEX('Per Line'!$H$2:$H$6001,$V328)&amp;"")</f>
        <v/>
      </c>
      <c r="G328">
        <f>IF($V328="","",INDEX('Per Line'!$I$2:$I$6001,$V328)&amp;"")</f>
        <v/>
      </c>
      <c r="H328">
        <f>IF($V328="","",INDEX('Per Line'!$J$2:$J$6001,$V328))</f>
        <v/>
      </c>
      <c r="I328" s="7">
        <f>IF($V328="","",H328*S328/100)</f>
        <v/>
      </c>
      <c r="J328">
        <f>IF($V328="","",INDEX('Per Line'!$S$2:$S$6001,$V328)&amp;"")</f>
        <v/>
      </c>
      <c r="K328" s="7">
        <f>IF($V328="","",SUMIFS('Per Line'!$R$2:$R$6001,'Per Line'!$C$2:$C$6001,$B328,'Per Line'!$AJ$2:$AJ$6001,1))</f>
        <v/>
      </c>
      <c r="L328">
        <f>IF($V328="","",Settings!$C$7)</f>
        <v/>
      </c>
      <c r="M328" s="7">
        <f>IF($V328="","",SUMIFS('Per Line'!$R$2:$R$6001,'Per Line'!$C$2:$C$6001,$B328,'Per Line'!$AI$2:$AI$6001,0,'Per Line'!$AJ$2:$AJ$6001,0))</f>
        <v/>
      </c>
      <c r="N328" s="7">
        <f>IF($V328="","",M328*L328)</f>
        <v/>
      </c>
      <c r="O328">
        <f>IF($V328="","",Settings!$C$6)</f>
        <v/>
      </c>
      <c r="P328" s="7">
        <f>IF($V328="","",SUMIFS('Per Line'!$R$2:$R$6001,'Per Line'!$C$2:$C$6001,$B328,'Per Line'!$AI$2:$AI$6001,1,'Per Line'!$AJ$2:$AJ$6001,0))</f>
        <v/>
      </c>
      <c r="Q328" s="7">
        <f>IF($V328="","",P328*O328)</f>
        <v/>
      </c>
      <c r="R328" s="7">
        <f>IF($V328="","",Q328+N328)</f>
        <v/>
      </c>
      <c r="S328" s="7">
        <f>IF($V328="","",T328-R328)</f>
        <v/>
      </c>
      <c r="T328" s="7">
        <f>IF($V328="","",M328+P328+K328)</f>
        <v/>
      </c>
      <c r="U328" s="7">
        <f>IF($V328="","",T328-R328-I328)</f>
        <v/>
      </c>
      <c r="V328" s="13">
        <f>IF(ROWS($V$2:$V328)&lt;=MAX('Per Line'!$AH$2:$AH$6001),MATCH(ROWS($V$2:$V328),'Per Line'!$AH$2:$AH$6001,0),"")</f>
        <v/>
      </c>
    </row>
    <row r="329">
      <c r="A329" s="12" t="n"/>
      <c r="B329">
        <f>IF($V329="","",INDEX('Per Line'!$C$2:$C$6001,$V329)&amp;"")</f>
        <v/>
      </c>
      <c r="C329" s="11">
        <f>IF($V329="","",INDEX('Per Line'!$D$2:$D$6001,$V329))</f>
        <v/>
      </c>
      <c r="D329">
        <f>IF($V329="","",INDEX('Per Line'!$E$2:$E$6001,$V329)&amp;"")</f>
        <v/>
      </c>
      <c r="E329">
        <f>IF($V329="","",INDEX('Per Line'!$G$2:$G$6001,$V329)&amp;"")</f>
        <v/>
      </c>
      <c r="F329">
        <f>IF($V329="","",INDEX('Per Line'!$H$2:$H$6001,$V329)&amp;"")</f>
        <v/>
      </c>
      <c r="G329">
        <f>IF($V329="","",INDEX('Per Line'!$I$2:$I$6001,$V329)&amp;"")</f>
        <v/>
      </c>
      <c r="H329">
        <f>IF($V329="","",INDEX('Per Line'!$J$2:$J$6001,$V329))</f>
        <v/>
      </c>
      <c r="I329" s="7">
        <f>IF($V329="","",H329*S329/100)</f>
        <v/>
      </c>
      <c r="J329">
        <f>IF($V329="","",INDEX('Per Line'!$S$2:$S$6001,$V329)&amp;"")</f>
        <v/>
      </c>
      <c r="K329" s="7">
        <f>IF($V329="","",SUMIFS('Per Line'!$R$2:$R$6001,'Per Line'!$C$2:$C$6001,$B329,'Per Line'!$AJ$2:$AJ$6001,1))</f>
        <v/>
      </c>
      <c r="L329">
        <f>IF($V329="","",Settings!$C$7)</f>
        <v/>
      </c>
      <c r="M329" s="7">
        <f>IF($V329="","",SUMIFS('Per Line'!$R$2:$R$6001,'Per Line'!$C$2:$C$6001,$B329,'Per Line'!$AI$2:$AI$6001,0,'Per Line'!$AJ$2:$AJ$6001,0))</f>
        <v/>
      </c>
      <c r="N329" s="7">
        <f>IF($V329="","",M329*L329)</f>
        <v/>
      </c>
      <c r="O329">
        <f>IF($V329="","",Settings!$C$6)</f>
        <v/>
      </c>
      <c r="P329" s="7">
        <f>IF($V329="","",SUMIFS('Per Line'!$R$2:$R$6001,'Per Line'!$C$2:$C$6001,$B329,'Per Line'!$AI$2:$AI$6001,1,'Per Line'!$AJ$2:$AJ$6001,0))</f>
        <v/>
      </c>
      <c r="Q329" s="7">
        <f>IF($V329="","",P329*O329)</f>
        <v/>
      </c>
      <c r="R329" s="7">
        <f>IF($V329="","",Q329+N329)</f>
        <v/>
      </c>
      <c r="S329" s="7">
        <f>IF($V329="","",T329-R329)</f>
        <v/>
      </c>
      <c r="T329" s="7">
        <f>IF($V329="","",M329+P329+K329)</f>
        <v/>
      </c>
      <c r="U329" s="7">
        <f>IF($V329="","",T329-R329-I329)</f>
        <v/>
      </c>
      <c r="V329" s="13">
        <f>IF(ROWS($V$2:$V329)&lt;=MAX('Per Line'!$AH$2:$AH$6001),MATCH(ROWS($V$2:$V329),'Per Line'!$AH$2:$AH$6001,0),"")</f>
        <v/>
      </c>
    </row>
    <row r="330">
      <c r="A330" s="12" t="n"/>
      <c r="B330">
        <f>IF($V330="","",INDEX('Per Line'!$C$2:$C$6001,$V330)&amp;"")</f>
        <v/>
      </c>
      <c r="C330" s="11">
        <f>IF($V330="","",INDEX('Per Line'!$D$2:$D$6001,$V330))</f>
        <v/>
      </c>
      <c r="D330">
        <f>IF($V330="","",INDEX('Per Line'!$E$2:$E$6001,$V330)&amp;"")</f>
        <v/>
      </c>
      <c r="E330">
        <f>IF($V330="","",INDEX('Per Line'!$G$2:$G$6001,$V330)&amp;"")</f>
        <v/>
      </c>
      <c r="F330">
        <f>IF($V330="","",INDEX('Per Line'!$H$2:$H$6001,$V330)&amp;"")</f>
        <v/>
      </c>
      <c r="G330">
        <f>IF($V330="","",INDEX('Per Line'!$I$2:$I$6001,$V330)&amp;"")</f>
        <v/>
      </c>
      <c r="H330">
        <f>IF($V330="","",INDEX('Per Line'!$J$2:$J$6001,$V330))</f>
        <v/>
      </c>
      <c r="I330" s="7">
        <f>IF($V330="","",H330*S330/100)</f>
        <v/>
      </c>
      <c r="J330">
        <f>IF($V330="","",INDEX('Per Line'!$S$2:$S$6001,$V330)&amp;"")</f>
        <v/>
      </c>
      <c r="K330" s="7">
        <f>IF($V330="","",SUMIFS('Per Line'!$R$2:$R$6001,'Per Line'!$C$2:$C$6001,$B330,'Per Line'!$AJ$2:$AJ$6001,1))</f>
        <v/>
      </c>
      <c r="L330">
        <f>IF($V330="","",Settings!$C$7)</f>
        <v/>
      </c>
      <c r="M330" s="7">
        <f>IF($V330="","",SUMIFS('Per Line'!$R$2:$R$6001,'Per Line'!$C$2:$C$6001,$B330,'Per Line'!$AI$2:$AI$6001,0,'Per Line'!$AJ$2:$AJ$6001,0))</f>
        <v/>
      </c>
      <c r="N330" s="7">
        <f>IF($V330="","",M330*L330)</f>
        <v/>
      </c>
      <c r="O330">
        <f>IF($V330="","",Settings!$C$6)</f>
        <v/>
      </c>
      <c r="P330" s="7">
        <f>IF($V330="","",SUMIFS('Per Line'!$R$2:$R$6001,'Per Line'!$C$2:$C$6001,$B330,'Per Line'!$AI$2:$AI$6001,1,'Per Line'!$AJ$2:$AJ$6001,0))</f>
        <v/>
      </c>
      <c r="Q330" s="7">
        <f>IF($V330="","",P330*O330)</f>
        <v/>
      </c>
      <c r="R330" s="7">
        <f>IF($V330="","",Q330+N330)</f>
        <v/>
      </c>
      <c r="S330" s="7">
        <f>IF($V330="","",T330-R330)</f>
        <v/>
      </c>
      <c r="T330" s="7">
        <f>IF($V330="","",M330+P330+K330)</f>
        <v/>
      </c>
      <c r="U330" s="7">
        <f>IF($V330="","",T330-R330-I330)</f>
        <v/>
      </c>
      <c r="V330" s="13">
        <f>IF(ROWS($V$2:$V330)&lt;=MAX('Per Line'!$AH$2:$AH$6001),MATCH(ROWS($V$2:$V330),'Per Line'!$AH$2:$AH$6001,0),"")</f>
        <v/>
      </c>
    </row>
    <row r="331">
      <c r="A331" s="12" t="n"/>
      <c r="B331">
        <f>IF($V331="","",INDEX('Per Line'!$C$2:$C$6001,$V331)&amp;"")</f>
        <v/>
      </c>
      <c r="C331" s="11">
        <f>IF($V331="","",INDEX('Per Line'!$D$2:$D$6001,$V331))</f>
        <v/>
      </c>
      <c r="D331">
        <f>IF($V331="","",INDEX('Per Line'!$E$2:$E$6001,$V331)&amp;"")</f>
        <v/>
      </c>
      <c r="E331">
        <f>IF($V331="","",INDEX('Per Line'!$G$2:$G$6001,$V331)&amp;"")</f>
        <v/>
      </c>
      <c r="F331">
        <f>IF($V331="","",INDEX('Per Line'!$H$2:$H$6001,$V331)&amp;"")</f>
        <v/>
      </c>
      <c r="G331">
        <f>IF($V331="","",INDEX('Per Line'!$I$2:$I$6001,$V331)&amp;"")</f>
        <v/>
      </c>
      <c r="H331">
        <f>IF($V331="","",INDEX('Per Line'!$J$2:$J$6001,$V331))</f>
        <v/>
      </c>
      <c r="I331" s="7">
        <f>IF($V331="","",H331*S331/100)</f>
        <v/>
      </c>
      <c r="J331">
        <f>IF($V331="","",INDEX('Per Line'!$S$2:$S$6001,$V331)&amp;"")</f>
        <v/>
      </c>
      <c r="K331" s="7">
        <f>IF($V331="","",SUMIFS('Per Line'!$R$2:$R$6001,'Per Line'!$C$2:$C$6001,$B331,'Per Line'!$AJ$2:$AJ$6001,1))</f>
        <v/>
      </c>
      <c r="L331">
        <f>IF($V331="","",Settings!$C$7)</f>
        <v/>
      </c>
      <c r="M331" s="7">
        <f>IF($V331="","",SUMIFS('Per Line'!$R$2:$R$6001,'Per Line'!$C$2:$C$6001,$B331,'Per Line'!$AI$2:$AI$6001,0,'Per Line'!$AJ$2:$AJ$6001,0))</f>
        <v/>
      </c>
      <c r="N331" s="7">
        <f>IF($V331="","",M331*L331)</f>
        <v/>
      </c>
      <c r="O331">
        <f>IF($V331="","",Settings!$C$6)</f>
        <v/>
      </c>
      <c r="P331" s="7">
        <f>IF($V331="","",SUMIFS('Per Line'!$R$2:$R$6001,'Per Line'!$C$2:$C$6001,$B331,'Per Line'!$AI$2:$AI$6001,1,'Per Line'!$AJ$2:$AJ$6001,0))</f>
        <v/>
      </c>
      <c r="Q331" s="7">
        <f>IF($V331="","",P331*O331)</f>
        <v/>
      </c>
      <c r="R331" s="7">
        <f>IF($V331="","",Q331+N331)</f>
        <v/>
      </c>
      <c r="S331" s="7">
        <f>IF($V331="","",T331-R331)</f>
        <v/>
      </c>
      <c r="T331" s="7">
        <f>IF($V331="","",M331+P331+K331)</f>
        <v/>
      </c>
      <c r="U331" s="7">
        <f>IF($V331="","",T331-R331-I331)</f>
        <v/>
      </c>
      <c r="V331" s="13">
        <f>IF(ROWS($V$2:$V331)&lt;=MAX('Per Line'!$AH$2:$AH$6001),MATCH(ROWS($V$2:$V331),'Per Line'!$AH$2:$AH$6001,0),"")</f>
        <v/>
      </c>
    </row>
    <row r="332">
      <c r="A332" s="12" t="n"/>
      <c r="B332">
        <f>IF($V332="","",INDEX('Per Line'!$C$2:$C$6001,$V332)&amp;"")</f>
        <v/>
      </c>
      <c r="C332" s="11">
        <f>IF($V332="","",INDEX('Per Line'!$D$2:$D$6001,$V332))</f>
        <v/>
      </c>
      <c r="D332">
        <f>IF($V332="","",INDEX('Per Line'!$E$2:$E$6001,$V332)&amp;"")</f>
        <v/>
      </c>
      <c r="E332">
        <f>IF($V332="","",INDEX('Per Line'!$G$2:$G$6001,$V332)&amp;"")</f>
        <v/>
      </c>
      <c r="F332">
        <f>IF($V332="","",INDEX('Per Line'!$H$2:$H$6001,$V332)&amp;"")</f>
        <v/>
      </c>
      <c r="G332">
        <f>IF($V332="","",INDEX('Per Line'!$I$2:$I$6001,$V332)&amp;"")</f>
        <v/>
      </c>
      <c r="H332">
        <f>IF($V332="","",INDEX('Per Line'!$J$2:$J$6001,$V332))</f>
        <v/>
      </c>
      <c r="I332" s="7">
        <f>IF($V332="","",H332*S332/100)</f>
        <v/>
      </c>
      <c r="J332">
        <f>IF($V332="","",INDEX('Per Line'!$S$2:$S$6001,$V332)&amp;"")</f>
        <v/>
      </c>
      <c r="K332" s="7">
        <f>IF($V332="","",SUMIFS('Per Line'!$R$2:$R$6001,'Per Line'!$C$2:$C$6001,$B332,'Per Line'!$AJ$2:$AJ$6001,1))</f>
        <v/>
      </c>
      <c r="L332">
        <f>IF($V332="","",Settings!$C$7)</f>
        <v/>
      </c>
      <c r="M332" s="7">
        <f>IF($V332="","",SUMIFS('Per Line'!$R$2:$R$6001,'Per Line'!$C$2:$C$6001,$B332,'Per Line'!$AI$2:$AI$6001,0,'Per Line'!$AJ$2:$AJ$6001,0))</f>
        <v/>
      </c>
      <c r="N332" s="7">
        <f>IF($V332="","",M332*L332)</f>
        <v/>
      </c>
      <c r="O332">
        <f>IF($V332="","",Settings!$C$6)</f>
        <v/>
      </c>
      <c r="P332" s="7">
        <f>IF($V332="","",SUMIFS('Per Line'!$R$2:$R$6001,'Per Line'!$C$2:$C$6001,$B332,'Per Line'!$AI$2:$AI$6001,1,'Per Line'!$AJ$2:$AJ$6001,0))</f>
        <v/>
      </c>
      <c r="Q332" s="7">
        <f>IF($V332="","",P332*O332)</f>
        <v/>
      </c>
      <c r="R332" s="7">
        <f>IF($V332="","",Q332+N332)</f>
        <v/>
      </c>
      <c r="S332" s="7">
        <f>IF($V332="","",T332-R332)</f>
        <v/>
      </c>
      <c r="T332" s="7">
        <f>IF($V332="","",M332+P332+K332)</f>
        <v/>
      </c>
      <c r="U332" s="7">
        <f>IF($V332="","",T332-R332-I332)</f>
        <v/>
      </c>
      <c r="V332" s="13">
        <f>IF(ROWS($V$2:$V332)&lt;=MAX('Per Line'!$AH$2:$AH$6001),MATCH(ROWS($V$2:$V332),'Per Line'!$AH$2:$AH$6001,0),"")</f>
        <v/>
      </c>
    </row>
    <row r="333">
      <c r="A333" s="12" t="n"/>
      <c r="B333">
        <f>IF($V333="","",INDEX('Per Line'!$C$2:$C$6001,$V333)&amp;"")</f>
        <v/>
      </c>
      <c r="C333" s="11">
        <f>IF($V333="","",INDEX('Per Line'!$D$2:$D$6001,$V333))</f>
        <v/>
      </c>
      <c r="D333">
        <f>IF($V333="","",INDEX('Per Line'!$E$2:$E$6001,$V333)&amp;"")</f>
        <v/>
      </c>
      <c r="E333">
        <f>IF($V333="","",INDEX('Per Line'!$G$2:$G$6001,$V333)&amp;"")</f>
        <v/>
      </c>
      <c r="F333">
        <f>IF($V333="","",INDEX('Per Line'!$H$2:$H$6001,$V333)&amp;"")</f>
        <v/>
      </c>
      <c r="G333">
        <f>IF($V333="","",INDEX('Per Line'!$I$2:$I$6001,$V333)&amp;"")</f>
        <v/>
      </c>
      <c r="H333">
        <f>IF($V333="","",INDEX('Per Line'!$J$2:$J$6001,$V333))</f>
        <v/>
      </c>
      <c r="I333" s="7">
        <f>IF($V333="","",H333*S333/100)</f>
        <v/>
      </c>
      <c r="J333">
        <f>IF($V333="","",INDEX('Per Line'!$S$2:$S$6001,$V333)&amp;"")</f>
        <v/>
      </c>
      <c r="K333" s="7">
        <f>IF($V333="","",SUMIFS('Per Line'!$R$2:$R$6001,'Per Line'!$C$2:$C$6001,$B333,'Per Line'!$AJ$2:$AJ$6001,1))</f>
        <v/>
      </c>
      <c r="L333">
        <f>IF($V333="","",Settings!$C$7)</f>
        <v/>
      </c>
      <c r="M333" s="7">
        <f>IF($V333="","",SUMIFS('Per Line'!$R$2:$R$6001,'Per Line'!$C$2:$C$6001,$B333,'Per Line'!$AI$2:$AI$6001,0,'Per Line'!$AJ$2:$AJ$6001,0))</f>
        <v/>
      </c>
      <c r="N333" s="7">
        <f>IF($V333="","",M333*L333)</f>
        <v/>
      </c>
      <c r="O333">
        <f>IF($V333="","",Settings!$C$6)</f>
        <v/>
      </c>
      <c r="P333" s="7">
        <f>IF($V333="","",SUMIFS('Per Line'!$R$2:$R$6001,'Per Line'!$C$2:$C$6001,$B333,'Per Line'!$AI$2:$AI$6001,1,'Per Line'!$AJ$2:$AJ$6001,0))</f>
        <v/>
      </c>
      <c r="Q333" s="7">
        <f>IF($V333="","",P333*O333)</f>
        <v/>
      </c>
      <c r="R333" s="7">
        <f>IF($V333="","",Q333+N333)</f>
        <v/>
      </c>
      <c r="S333" s="7">
        <f>IF($V333="","",T333-R333)</f>
        <v/>
      </c>
      <c r="T333" s="7">
        <f>IF($V333="","",M333+P333+K333)</f>
        <v/>
      </c>
      <c r="U333" s="7">
        <f>IF($V333="","",T333-R333-I333)</f>
        <v/>
      </c>
      <c r="V333" s="13">
        <f>IF(ROWS($V$2:$V333)&lt;=MAX('Per Line'!$AH$2:$AH$6001),MATCH(ROWS($V$2:$V333),'Per Line'!$AH$2:$AH$6001,0),"")</f>
        <v/>
      </c>
    </row>
    <row r="334">
      <c r="A334" s="12" t="n"/>
      <c r="B334">
        <f>IF($V334="","",INDEX('Per Line'!$C$2:$C$6001,$V334)&amp;"")</f>
        <v/>
      </c>
      <c r="C334" s="11">
        <f>IF($V334="","",INDEX('Per Line'!$D$2:$D$6001,$V334))</f>
        <v/>
      </c>
      <c r="D334">
        <f>IF($V334="","",INDEX('Per Line'!$E$2:$E$6001,$V334)&amp;"")</f>
        <v/>
      </c>
      <c r="E334">
        <f>IF($V334="","",INDEX('Per Line'!$G$2:$G$6001,$V334)&amp;"")</f>
        <v/>
      </c>
      <c r="F334">
        <f>IF($V334="","",INDEX('Per Line'!$H$2:$H$6001,$V334)&amp;"")</f>
        <v/>
      </c>
      <c r="G334">
        <f>IF($V334="","",INDEX('Per Line'!$I$2:$I$6001,$V334)&amp;"")</f>
        <v/>
      </c>
      <c r="H334">
        <f>IF($V334="","",INDEX('Per Line'!$J$2:$J$6001,$V334))</f>
        <v/>
      </c>
      <c r="I334" s="7">
        <f>IF($V334="","",H334*S334/100)</f>
        <v/>
      </c>
      <c r="J334">
        <f>IF($V334="","",INDEX('Per Line'!$S$2:$S$6001,$V334)&amp;"")</f>
        <v/>
      </c>
      <c r="K334" s="7">
        <f>IF($V334="","",SUMIFS('Per Line'!$R$2:$R$6001,'Per Line'!$C$2:$C$6001,$B334,'Per Line'!$AJ$2:$AJ$6001,1))</f>
        <v/>
      </c>
      <c r="L334">
        <f>IF($V334="","",Settings!$C$7)</f>
        <v/>
      </c>
      <c r="M334" s="7">
        <f>IF($V334="","",SUMIFS('Per Line'!$R$2:$R$6001,'Per Line'!$C$2:$C$6001,$B334,'Per Line'!$AI$2:$AI$6001,0,'Per Line'!$AJ$2:$AJ$6001,0))</f>
        <v/>
      </c>
      <c r="N334" s="7">
        <f>IF($V334="","",M334*L334)</f>
        <v/>
      </c>
      <c r="O334">
        <f>IF($V334="","",Settings!$C$6)</f>
        <v/>
      </c>
      <c r="P334" s="7">
        <f>IF($V334="","",SUMIFS('Per Line'!$R$2:$R$6001,'Per Line'!$C$2:$C$6001,$B334,'Per Line'!$AI$2:$AI$6001,1,'Per Line'!$AJ$2:$AJ$6001,0))</f>
        <v/>
      </c>
      <c r="Q334" s="7">
        <f>IF($V334="","",P334*O334)</f>
        <v/>
      </c>
      <c r="R334" s="7">
        <f>IF($V334="","",Q334+N334)</f>
        <v/>
      </c>
      <c r="S334" s="7">
        <f>IF($V334="","",T334-R334)</f>
        <v/>
      </c>
      <c r="T334" s="7">
        <f>IF($V334="","",M334+P334+K334)</f>
        <v/>
      </c>
      <c r="U334" s="7">
        <f>IF($V334="","",T334-R334-I334)</f>
        <v/>
      </c>
      <c r="V334" s="13">
        <f>IF(ROWS($V$2:$V334)&lt;=MAX('Per Line'!$AH$2:$AH$6001),MATCH(ROWS($V$2:$V334),'Per Line'!$AH$2:$AH$6001,0),"")</f>
        <v/>
      </c>
    </row>
    <row r="335">
      <c r="A335" s="12" t="n"/>
      <c r="B335">
        <f>IF($V335="","",INDEX('Per Line'!$C$2:$C$6001,$V335)&amp;"")</f>
        <v/>
      </c>
      <c r="C335" s="11">
        <f>IF($V335="","",INDEX('Per Line'!$D$2:$D$6001,$V335))</f>
        <v/>
      </c>
      <c r="D335">
        <f>IF($V335="","",INDEX('Per Line'!$E$2:$E$6001,$V335)&amp;"")</f>
        <v/>
      </c>
      <c r="E335">
        <f>IF($V335="","",INDEX('Per Line'!$G$2:$G$6001,$V335)&amp;"")</f>
        <v/>
      </c>
      <c r="F335">
        <f>IF($V335="","",INDEX('Per Line'!$H$2:$H$6001,$V335)&amp;"")</f>
        <v/>
      </c>
      <c r="G335">
        <f>IF($V335="","",INDEX('Per Line'!$I$2:$I$6001,$V335)&amp;"")</f>
        <v/>
      </c>
      <c r="H335">
        <f>IF($V335="","",INDEX('Per Line'!$J$2:$J$6001,$V335))</f>
        <v/>
      </c>
      <c r="I335" s="7">
        <f>IF($V335="","",H335*S335/100)</f>
        <v/>
      </c>
      <c r="J335">
        <f>IF($V335="","",INDEX('Per Line'!$S$2:$S$6001,$V335)&amp;"")</f>
        <v/>
      </c>
      <c r="K335" s="7">
        <f>IF($V335="","",SUMIFS('Per Line'!$R$2:$R$6001,'Per Line'!$C$2:$C$6001,$B335,'Per Line'!$AJ$2:$AJ$6001,1))</f>
        <v/>
      </c>
      <c r="L335">
        <f>IF($V335="","",Settings!$C$7)</f>
        <v/>
      </c>
      <c r="M335" s="7">
        <f>IF($V335="","",SUMIFS('Per Line'!$R$2:$R$6001,'Per Line'!$C$2:$C$6001,$B335,'Per Line'!$AI$2:$AI$6001,0,'Per Line'!$AJ$2:$AJ$6001,0))</f>
        <v/>
      </c>
      <c r="N335" s="7">
        <f>IF($V335="","",M335*L335)</f>
        <v/>
      </c>
      <c r="O335">
        <f>IF($V335="","",Settings!$C$6)</f>
        <v/>
      </c>
      <c r="P335" s="7">
        <f>IF($V335="","",SUMIFS('Per Line'!$R$2:$R$6001,'Per Line'!$C$2:$C$6001,$B335,'Per Line'!$AI$2:$AI$6001,1,'Per Line'!$AJ$2:$AJ$6001,0))</f>
        <v/>
      </c>
      <c r="Q335" s="7">
        <f>IF($V335="","",P335*O335)</f>
        <v/>
      </c>
      <c r="R335" s="7">
        <f>IF($V335="","",Q335+N335)</f>
        <v/>
      </c>
      <c r="S335" s="7">
        <f>IF($V335="","",T335-R335)</f>
        <v/>
      </c>
      <c r="T335" s="7">
        <f>IF($V335="","",M335+P335+K335)</f>
        <v/>
      </c>
      <c r="U335" s="7">
        <f>IF($V335="","",T335-R335-I335)</f>
        <v/>
      </c>
      <c r="V335" s="13">
        <f>IF(ROWS($V$2:$V335)&lt;=MAX('Per Line'!$AH$2:$AH$6001),MATCH(ROWS($V$2:$V335),'Per Line'!$AH$2:$AH$6001,0),"")</f>
        <v/>
      </c>
    </row>
    <row r="336">
      <c r="A336" s="12" t="n"/>
      <c r="B336">
        <f>IF($V336="","",INDEX('Per Line'!$C$2:$C$6001,$V336)&amp;"")</f>
        <v/>
      </c>
      <c r="C336" s="11">
        <f>IF($V336="","",INDEX('Per Line'!$D$2:$D$6001,$V336))</f>
        <v/>
      </c>
      <c r="D336">
        <f>IF($V336="","",INDEX('Per Line'!$E$2:$E$6001,$V336)&amp;"")</f>
        <v/>
      </c>
      <c r="E336">
        <f>IF($V336="","",INDEX('Per Line'!$G$2:$G$6001,$V336)&amp;"")</f>
        <v/>
      </c>
      <c r="F336">
        <f>IF($V336="","",INDEX('Per Line'!$H$2:$H$6001,$V336)&amp;"")</f>
        <v/>
      </c>
      <c r="G336">
        <f>IF($V336="","",INDEX('Per Line'!$I$2:$I$6001,$V336)&amp;"")</f>
        <v/>
      </c>
      <c r="H336">
        <f>IF($V336="","",INDEX('Per Line'!$J$2:$J$6001,$V336))</f>
        <v/>
      </c>
      <c r="I336" s="7">
        <f>IF($V336="","",H336*S336/100)</f>
        <v/>
      </c>
      <c r="J336">
        <f>IF($V336="","",INDEX('Per Line'!$S$2:$S$6001,$V336)&amp;"")</f>
        <v/>
      </c>
      <c r="K336" s="7">
        <f>IF($V336="","",SUMIFS('Per Line'!$R$2:$R$6001,'Per Line'!$C$2:$C$6001,$B336,'Per Line'!$AJ$2:$AJ$6001,1))</f>
        <v/>
      </c>
      <c r="L336">
        <f>IF($V336="","",Settings!$C$7)</f>
        <v/>
      </c>
      <c r="M336" s="7">
        <f>IF($V336="","",SUMIFS('Per Line'!$R$2:$R$6001,'Per Line'!$C$2:$C$6001,$B336,'Per Line'!$AI$2:$AI$6001,0,'Per Line'!$AJ$2:$AJ$6001,0))</f>
        <v/>
      </c>
      <c r="N336" s="7">
        <f>IF($V336="","",M336*L336)</f>
        <v/>
      </c>
      <c r="O336">
        <f>IF($V336="","",Settings!$C$6)</f>
        <v/>
      </c>
      <c r="P336" s="7">
        <f>IF($V336="","",SUMIFS('Per Line'!$R$2:$R$6001,'Per Line'!$C$2:$C$6001,$B336,'Per Line'!$AI$2:$AI$6001,1,'Per Line'!$AJ$2:$AJ$6001,0))</f>
        <v/>
      </c>
      <c r="Q336" s="7">
        <f>IF($V336="","",P336*O336)</f>
        <v/>
      </c>
      <c r="R336" s="7">
        <f>IF($V336="","",Q336+N336)</f>
        <v/>
      </c>
      <c r="S336" s="7">
        <f>IF($V336="","",T336-R336)</f>
        <v/>
      </c>
      <c r="T336" s="7">
        <f>IF($V336="","",M336+P336+K336)</f>
        <v/>
      </c>
      <c r="U336" s="7">
        <f>IF($V336="","",T336-R336-I336)</f>
        <v/>
      </c>
      <c r="V336" s="13">
        <f>IF(ROWS($V$2:$V336)&lt;=MAX('Per Line'!$AH$2:$AH$6001),MATCH(ROWS($V$2:$V336),'Per Line'!$AH$2:$AH$6001,0),"")</f>
        <v/>
      </c>
    </row>
    <row r="337">
      <c r="A337" s="12" t="n"/>
      <c r="B337">
        <f>IF($V337="","",INDEX('Per Line'!$C$2:$C$6001,$V337)&amp;"")</f>
        <v/>
      </c>
      <c r="C337" s="11">
        <f>IF($V337="","",INDEX('Per Line'!$D$2:$D$6001,$V337))</f>
        <v/>
      </c>
      <c r="D337">
        <f>IF($V337="","",INDEX('Per Line'!$E$2:$E$6001,$V337)&amp;"")</f>
        <v/>
      </c>
      <c r="E337">
        <f>IF($V337="","",INDEX('Per Line'!$G$2:$G$6001,$V337)&amp;"")</f>
        <v/>
      </c>
      <c r="F337">
        <f>IF($V337="","",INDEX('Per Line'!$H$2:$H$6001,$V337)&amp;"")</f>
        <v/>
      </c>
      <c r="G337">
        <f>IF($V337="","",INDEX('Per Line'!$I$2:$I$6001,$V337)&amp;"")</f>
        <v/>
      </c>
      <c r="H337">
        <f>IF($V337="","",INDEX('Per Line'!$J$2:$J$6001,$V337))</f>
        <v/>
      </c>
      <c r="I337" s="7">
        <f>IF($V337="","",H337*S337/100)</f>
        <v/>
      </c>
      <c r="J337">
        <f>IF($V337="","",INDEX('Per Line'!$S$2:$S$6001,$V337)&amp;"")</f>
        <v/>
      </c>
      <c r="K337" s="7">
        <f>IF($V337="","",SUMIFS('Per Line'!$R$2:$R$6001,'Per Line'!$C$2:$C$6001,$B337,'Per Line'!$AJ$2:$AJ$6001,1))</f>
        <v/>
      </c>
      <c r="L337">
        <f>IF($V337="","",Settings!$C$7)</f>
        <v/>
      </c>
      <c r="M337" s="7">
        <f>IF($V337="","",SUMIFS('Per Line'!$R$2:$R$6001,'Per Line'!$C$2:$C$6001,$B337,'Per Line'!$AI$2:$AI$6001,0,'Per Line'!$AJ$2:$AJ$6001,0))</f>
        <v/>
      </c>
      <c r="N337" s="7">
        <f>IF($V337="","",M337*L337)</f>
        <v/>
      </c>
      <c r="O337">
        <f>IF($V337="","",Settings!$C$6)</f>
        <v/>
      </c>
      <c r="P337" s="7">
        <f>IF($V337="","",SUMIFS('Per Line'!$R$2:$R$6001,'Per Line'!$C$2:$C$6001,$B337,'Per Line'!$AI$2:$AI$6001,1,'Per Line'!$AJ$2:$AJ$6001,0))</f>
        <v/>
      </c>
      <c r="Q337" s="7">
        <f>IF($V337="","",P337*O337)</f>
        <v/>
      </c>
      <c r="R337" s="7">
        <f>IF($V337="","",Q337+N337)</f>
        <v/>
      </c>
      <c r="S337" s="7">
        <f>IF($V337="","",T337-R337)</f>
        <v/>
      </c>
      <c r="T337" s="7">
        <f>IF($V337="","",M337+P337+K337)</f>
        <v/>
      </c>
      <c r="U337" s="7">
        <f>IF($V337="","",T337-R337-I337)</f>
        <v/>
      </c>
      <c r="V337" s="13">
        <f>IF(ROWS($V$2:$V337)&lt;=MAX('Per Line'!$AH$2:$AH$6001),MATCH(ROWS($V$2:$V337),'Per Line'!$AH$2:$AH$6001,0),"")</f>
        <v/>
      </c>
    </row>
    <row r="338">
      <c r="A338" s="12" t="n"/>
      <c r="B338">
        <f>IF($V338="","",INDEX('Per Line'!$C$2:$C$6001,$V338)&amp;"")</f>
        <v/>
      </c>
      <c r="C338" s="11">
        <f>IF($V338="","",INDEX('Per Line'!$D$2:$D$6001,$V338))</f>
        <v/>
      </c>
      <c r="D338">
        <f>IF($V338="","",INDEX('Per Line'!$E$2:$E$6001,$V338)&amp;"")</f>
        <v/>
      </c>
      <c r="E338">
        <f>IF($V338="","",INDEX('Per Line'!$G$2:$G$6001,$V338)&amp;"")</f>
        <v/>
      </c>
      <c r="F338">
        <f>IF($V338="","",INDEX('Per Line'!$H$2:$H$6001,$V338)&amp;"")</f>
        <v/>
      </c>
      <c r="G338">
        <f>IF($V338="","",INDEX('Per Line'!$I$2:$I$6001,$V338)&amp;"")</f>
        <v/>
      </c>
      <c r="H338">
        <f>IF($V338="","",INDEX('Per Line'!$J$2:$J$6001,$V338))</f>
        <v/>
      </c>
      <c r="I338" s="7">
        <f>IF($V338="","",H338*S338/100)</f>
        <v/>
      </c>
      <c r="J338">
        <f>IF($V338="","",INDEX('Per Line'!$S$2:$S$6001,$V338)&amp;"")</f>
        <v/>
      </c>
      <c r="K338" s="7">
        <f>IF($V338="","",SUMIFS('Per Line'!$R$2:$R$6001,'Per Line'!$C$2:$C$6001,$B338,'Per Line'!$AJ$2:$AJ$6001,1))</f>
        <v/>
      </c>
      <c r="L338">
        <f>IF($V338="","",Settings!$C$7)</f>
        <v/>
      </c>
      <c r="M338" s="7">
        <f>IF($V338="","",SUMIFS('Per Line'!$R$2:$R$6001,'Per Line'!$C$2:$C$6001,$B338,'Per Line'!$AI$2:$AI$6001,0,'Per Line'!$AJ$2:$AJ$6001,0))</f>
        <v/>
      </c>
      <c r="N338" s="7">
        <f>IF($V338="","",M338*L338)</f>
        <v/>
      </c>
      <c r="O338">
        <f>IF($V338="","",Settings!$C$6)</f>
        <v/>
      </c>
      <c r="P338" s="7">
        <f>IF($V338="","",SUMIFS('Per Line'!$R$2:$R$6001,'Per Line'!$C$2:$C$6001,$B338,'Per Line'!$AI$2:$AI$6001,1,'Per Line'!$AJ$2:$AJ$6001,0))</f>
        <v/>
      </c>
      <c r="Q338" s="7">
        <f>IF($V338="","",P338*O338)</f>
        <v/>
      </c>
      <c r="R338" s="7">
        <f>IF($V338="","",Q338+N338)</f>
        <v/>
      </c>
      <c r="S338" s="7">
        <f>IF($V338="","",T338-R338)</f>
        <v/>
      </c>
      <c r="T338" s="7">
        <f>IF($V338="","",M338+P338+K338)</f>
        <v/>
      </c>
      <c r="U338" s="7">
        <f>IF($V338="","",T338-R338-I338)</f>
        <v/>
      </c>
      <c r="V338" s="13">
        <f>IF(ROWS($V$2:$V338)&lt;=MAX('Per Line'!$AH$2:$AH$6001),MATCH(ROWS($V$2:$V338),'Per Line'!$AH$2:$AH$6001,0),"")</f>
        <v/>
      </c>
    </row>
    <row r="339">
      <c r="A339" s="12" t="n"/>
      <c r="B339">
        <f>IF($V339="","",INDEX('Per Line'!$C$2:$C$6001,$V339)&amp;"")</f>
        <v/>
      </c>
      <c r="C339" s="11">
        <f>IF($V339="","",INDEX('Per Line'!$D$2:$D$6001,$V339))</f>
        <v/>
      </c>
      <c r="D339">
        <f>IF($V339="","",INDEX('Per Line'!$E$2:$E$6001,$V339)&amp;"")</f>
        <v/>
      </c>
      <c r="E339">
        <f>IF($V339="","",INDEX('Per Line'!$G$2:$G$6001,$V339)&amp;"")</f>
        <v/>
      </c>
      <c r="F339">
        <f>IF($V339="","",INDEX('Per Line'!$H$2:$H$6001,$V339)&amp;"")</f>
        <v/>
      </c>
      <c r="G339">
        <f>IF($V339="","",INDEX('Per Line'!$I$2:$I$6001,$V339)&amp;"")</f>
        <v/>
      </c>
      <c r="H339">
        <f>IF($V339="","",INDEX('Per Line'!$J$2:$J$6001,$V339))</f>
        <v/>
      </c>
      <c r="I339" s="7">
        <f>IF($V339="","",H339*S339/100)</f>
        <v/>
      </c>
      <c r="J339">
        <f>IF($V339="","",INDEX('Per Line'!$S$2:$S$6001,$V339)&amp;"")</f>
        <v/>
      </c>
      <c r="K339" s="7">
        <f>IF($V339="","",SUMIFS('Per Line'!$R$2:$R$6001,'Per Line'!$C$2:$C$6001,$B339,'Per Line'!$AJ$2:$AJ$6001,1))</f>
        <v/>
      </c>
      <c r="L339">
        <f>IF($V339="","",Settings!$C$7)</f>
        <v/>
      </c>
      <c r="M339" s="7">
        <f>IF($V339="","",SUMIFS('Per Line'!$R$2:$R$6001,'Per Line'!$C$2:$C$6001,$B339,'Per Line'!$AI$2:$AI$6001,0,'Per Line'!$AJ$2:$AJ$6001,0))</f>
        <v/>
      </c>
      <c r="N339" s="7">
        <f>IF($V339="","",M339*L339)</f>
        <v/>
      </c>
      <c r="O339">
        <f>IF($V339="","",Settings!$C$6)</f>
        <v/>
      </c>
      <c r="P339" s="7">
        <f>IF($V339="","",SUMIFS('Per Line'!$R$2:$R$6001,'Per Line'!$C$2:$C$6001,$B339,'Per Line'!$AI$2:$AI$6001,1,'Per Line'!$AJ$2:$AJ$6001,0))</f>
        <v/>
      </c>
      <c r="Q339" s="7">
        <f>IF($V339="","",P339*O339)</f>
        <v/>
      </c>
      <c r="R339" s="7">
        <f>IF($V339="","",Q339+N339)</f>
        <v/>
      </c>
      <c r="S339" s="7">
        <f>IF($V339="","",T339-R339)</f>
        <v/>
      </c>
      <c r="T339" s="7">
        <f>IF($V339="","",M339+P339+K339)</f>
        <v/>
      </c>
      <c r="U339" s="7">
        <f>IF($V339="","",T339-R339-I339)</f>
        <v/>
      </c>
      <c r="V339" s="13">
        <f>IF(ROWS($V$2:$V339)&lt;=MAX('Per Line'!$AH$2:$AH$6001),MATCH(ROWS($V$2:$V339),'Per Line'!$AH$2:$AH$6001,0),"")</f>
        <v/>
      </c>
    </row>
    <row r="340">
      <c r="A340" s="12" t="n"/>
      <c r="B340">
        <f>IF($V340="","",INDEX('Per Line'!$C$2:$C$6001,$V340)&amp;"")</f>
        <v/>
      </c>
      <c r="C340" s="11">
        <f>IF($V340="","",INDEX('Per Line'!$D$2:$D$6001,$V340))</f>
        <v/>
      </c>
      <c r="D340">
        <f>IF($V340="","",INDEX('Per Line'!$E$2:$E$6001,$V340)&amp;"")</f>
        <v/>
      </c>
      <c r="E340">
        <f>IF($V340="","",INDEX('Per Line'!$G$2:$G$6001,$V340)&amp;"")</f>
        <v/>
      </c>
      <c r="F340">
        <f>IF($V340="","",INDEX('Per Line'!$H$2:$H$6001,$V340)&amp;"")</f>
        <v/>
      </c>
      <c r="G340">
        <f>IF($V340="","",INDEX('Per Line'!$I$2:$I$6001,$V340)&amp;"")</f>
        <v/>
      </c>
      <c r="H340">
        <f>IF($V340="","",INDEX('Per Line'!$J$2:$J$6001,$V340))</f>
        <v/>
      </c>
      <c r="I340" s="7">
        <f>IF($V340="","",H340*S340/100)</f>
        <v/>
      </c>
      <c r="J340">
        <f>IF($V340="","",INDEX('Per Line'!$S$2:$S$6001,$V340)&amp;"")</f>
        <v/>
      </c>
      <c r="K340" s="7">
        <f>IF($V340="","",SUMIFS('Per Line'!$R$2:$R$6001,'Per Line'!$C$2:$C$6001,$B340,'Per Line'!$AJ$2:$AJ$6001,1))</f>
        <v/>
      </c>
      <c r="L340">
        <f>IF($V340="","",Settings!$C$7)</f>
        <v/>
      </c>
      <c r="M340" s="7">
        <f>IF($V340="","",SUMIFS('Per Line'!$R$2:$R$6001,'Per Line'!$C$2:$C$6001,$B340,'Per Line'!$AI$2:$AI$6001,0,'Per Line'!$AJ$2:$AJ$6001,0))</f>
        <v/>
      </c>
      <c r="N340" s="7">
        <f>IF($V340="","",M340*L340)</f>
        <v/>
      </c>
      <c r="O340">
        <f>IF($V340="","",Settings!$C$6)</f>
        <v/>
      </c>
      <c r="P340" s="7">
        <f>IF($V340="","",SUMIFS('Per Line'!$R$2:$R$6001,'Per Line'!$C$2:$C$6001,$B340,'Per Line'!$AI$2:$AI$6001,1,'Per Line'!$AJ$2:$AJ$6001,0))</f>
        <v/>
      </c>
      <c r="Q340" s="7">
        <f>IF($V340="","",P340*O340)</f>
        <v/>
      </c>
      <c r="R340" s="7">
        <f>IF($V340="","",Q340+N340)</f>
        <v/>
      </c>
      <c r="S340" s="7">
        <f>IF($V340="","",T340-R340)</f>
        <v/>
      </c>
      <c r="T340" s="7">
        <f>IF($V340="","",M340+P340+K340)</f>
        <v/>
      </c>
      <c r="U340" s="7">
        <f>IF($V340="","",T340-R340-I340)</f>
        <v/>
      </c>
      <c r="V340" s="13">
        <f>IF(ROWS($V$2:$V340)&lt;=MAX('Per Line'!$AH$2:$AH$6001),MATCH(ROWS($V$2:$V340),'Per Line'!$AH$2:$AH$6001,0),"")</f>
        <v/>
      </c>
    </row>
    <row r="341">
      <c r="A341" s="12" t="n"/>
      <c r="B341">
        <f>IF($V341="","",INDEX('Per Line'!$C$2:$C$6001,$V341)&amp;"")</f>
        <v/>
      </c>
      <c r="C341" s="11">
        <f>IF($V341="","",INDEX('Per Line'!$D$2:$D$6001,$V341))</f>
        <v/>
      </c>
      <c r="D341">
        <f>IF($V341="","",INDEX('Per Line'!$E$2:$E$6001,$V341)&amp;"")</f>
        <v/>
      </c>
      <c r="E341">
        <f>IF($V341="","",INDEX('Per Line'!$G$2:$G$6001,$V341)&amp;"")</f>
        <v/>
      </c>
      <c r="F341">
        <f>IF($V341="","",INDEX('Per Line'!$H$2:$H$6001,$V341)&amp;"")</f>
        <v/>
      </c>
      <c r="G341">
        <f>IF($V341="","",INDEX('Per Line'!$I$2:$I$6001,$V341)&amp;"")</f>
        <v/>
      </c>
      <c r="H341">
        <f>IF($V341="","",INDEX('Per Line'!$J$2:$J$6001,$V341))</f>
        <v/>
      </c>
      <c r="I341" s="7">
        <f>IF($V341="","",H341*S341/100)</f>
        <v/>
      </c>
      <c r="J341">
        <f>IF($V341="","",INDEX('Per Line'!$S$2:$S$6001,$V341)&amp;"")</f>
        <v/>
      </c>
      <c r="K341" s="7">
        <f>IF($V341="","",SUMIFS('Per Line'!$R$2:$R$6001,'Per Line'!$C$2:$C$6001,$B341,'Per Line'!$AJ$2:$AJ$6001,1))</f>
        <v/>
      </c>
      <c r="L341">
        <f>IF($V341="","",Settings!$C$7)</f>
        <v/>
      </c>
      <c r="M341" s="7">
        <f>IF($V341="","",SUMIFS('Per Line'!$R$2:$R$6001,'Per Line'!$C$2:$C$6001,$B341,'Per Line'!$AI$2:$AI$6001,0,'Per Line'!$AJ$2:$AJ$6001,0))</f>
        <v/>
      </c>
      <c r="N341" s="7">
        <f>IF($V341="","",M341*L341)</f>
        <v/>
      </c>
      <c r="O341">
        <f>IF($V341="","",Settings!$C$6)</f>
        <v/>
      </c>
      <c r="P341" s="7">
        <f>IF($V341="","",SUMIFS('Per Line'!$R$2:$R$6001,'Per Line'!$C$2:$C$6001,$B341,'Per Line'!$AI$2:$AI$6001,1,'Per Line'!$AJ$2:$AJ$6001,0))</f>
        <v/>
      </c>
      <c r="Q341" s="7">
        <f>IF($V341="","",P341*O341)</f>
        <v/>
      </c>
      <c r="R341" s="7">
        <f>IF($V341="","",Q341+N341)</f>
        <v/>
      </c>
      <c r="S341" s="7">
        <f>IF($V341="","",T341-R341)</f>
        <v/>
      </c>
      <c r="T341" s="7">
        <f>IF($V341="","",M341+P341+K341)</f>
        <v/>
      </c>
      <c r="U341" s="7">
        <f>IF($V341="","",T341-R341-I341)</f>
        <v/>
      </c>
      <c r="V341" s="13">
        <f>IF(ROWS($V$2:$V341)&lt;=MAX('Per Line'!$AH$2:$AH$6001),MATCH(ROWS($V$2:$V341),'Per Line'!$AH$2:$AH$6001,0),"")</f>
        <v/>
      </c>
    </row>
    <row r="342">
      <c r="A342" s="12" t="n"/>
      <c r="B342">
        <f>IF($V342="","",INDEX('Per Line'!$C$2:$C$6001,$V342)&amp;"")</f>
        <v/>
      </c>
      <c r="C342" s="11">
        <f>IF($V342="","",INDEX('Per Line'!$D$2:$D$6001,$V342))</f>
        <v/>
      </c>
      <c r="D342">
        <f>IF($V342="","",INDEX('Per Line'!$E$2:$E$6001,$V342)&amp;"")</f>
        <v/>
      </c>
      <c r="E342">
        <f>IF($V342="","",INDEX('Per Line'!$G$2:$G$6001,$V342)&amp;"")</f>
        <v/>
      </c>
      <c r="F342">
        <f>IF($V342="","",INDEX('Per Line'!$H$2:$H$6001,$V342)&amp;"")</f>
        <v/>
      </c>
      <c r="G342">
        <f>IF($V342="","",INDEX('Per Line'!$I$2:$I$6001,$V342)&amp;"")</f>
        <v/>
      </c>
      <c r="H342">
        <f>IF($V342="","",INDEX('Per Line'!$J$2:$J$6001,$V342))</f>
        <v/>
      </c>
      <c r="I342" s="7">
        <f>IF($V342="","",H342*S342/100)</f>
        <v/>
      </c>
      <c r="J342">
        <f>IF($V342="","",INDEX('Per Line'!$S$2:$S$6001,$V342)&amp;"")</f>
        <v/>
      </c>
      <c r="K342" s="7">
        <f>IF($V342="","",SUMIFS('Per Line'!$R$2:$R$6001,'Per Line'!$C$2:$C$6001,$B342,'Per Line'!$AJ$2:$AJ$6001,1))</f>
        <v/>
      </c>
      <c r="L342">
        <f>IF($V342="","",Settings!$C$7)</f>
        <v/>
      </c>
      <c r="M342" s="7">
        <f>IF($V342="","",SUMIFS('Per Line'!$R$2:$R$6001,'Per Line'!$C$2:$C$6001,$B342,'Per Line'!$AI$2:$AI$6001,0,'Per Line'!$AJ$2:$AJ$6001,0))</f>
        <v/>
      </c>
      <c r="N342" s="7">
        <f>IF($V342="","",M342*L342)</f>
        <v/>
      </c>
      <c r="O342">
        <f>IF($V342="","",Settings!$C$6)</f>
        <v/>
      </c>
      <c r="P342" s="7">
        <f>IF($V342="","",SUMIFS('Per Line'!$R$2:$R$6001,'Per Line'!$C$2:$C$6001,$B342,'Per Line'!$AI$2:$AI$6001,1,'Per Line'!$AJ$2:$AJ$6001,0))</f>
        <v/>
      </c>
      <c r="Q342" s="7">
        <f>IF($V342="","",P342*O342)</f>
        <v/>
      </c>
      <c r="R342" s="7">
        <f>IF($V342="","",Q342+N342)</f>
        <v/>
      </c>
      <c r="S342" s="7">
        <f>IF($V342="","",T342-R342)</f>
        <v/>
      </c>
      <c r="T342" s="7">
        <f>IF($V342="","",M342+P342+K342)</f>
        <v/>
      </c>
      <c r="U342" s="7">
        <f>IF($V342="","",T342-R342-I342)</f>
        <v/>
      </c>
      <c r="V342" s="13">
        <f>IF(ROWS($V$2:$V342)&lt;=MAX('Per Line'!$AH$2:$AH$6001),MATCH(ROWS($V$2:$V342),'Per Line'!$AH$2:$AH$6001,0),"")</f>
        <v/>
      </c>
    </row>
    <row r="343">
      <c r="A343" s="12" t="n"/>
      <c r="B343">
        <f>IF($V343="","",INDEX('Per Line'!$C$2:$C$6001,$V343)&amp;"")</f>
        <v/>
      </c>
      <c r="C343" s="11">
        <f>IF($V343="","",INDEX('Per Line'!$D$2:$D$6001,$V343))</f>
        <v/>
      </c>
      <c r="D343">
        <f>IF($V343="","",INDEX('Per Line'!$E$2:$E$6001,$V343)&amp;"")</f>
        <v/>
      </c>
      <c r="E343">
        <f>IF($V343="","",INDEX('Per Line'!$G$2:$G$6001,$V343)&amp;"")</f>
        <v/>
      </c>
      <c r="F343">
        <f>IF($V343="","",INDEX('Per Line'!$H$2:$H$6001,$V343)&amp;"")</f>
        <v/>
      </c>
      <c r="G343">
        <f>IF($V343="","",INDEX('Per Line'!$I$2:$I$6001,$V343)&amp;"")</f>
        <v/>
      </c>
      <c r="H343">
        <f>IF($V343="","",INDEX('Per Line'!$J$2:$J$6001,$V343))</f>
        <v/>
      </c>
      <c r="I343" s="7">
        <f>IF($V343="","",H343*S343/100)</f>
        <v/>
      </c>
      <c r="J343">
        <f>IF($V343="","",INDEX('Per Line'!$S$2:$S$6001,$V343)&amp;"")</f>
        <v/>
      </c>
      <c r="K343" s="7">
        <f>IF($V343="","",SUMIFS('Per Line'!$R$2:$R$6001,'Per Line'!$C$2:$C$6001,$B343,'Per Line'!$AJ$2:$AJ$6001,1))</f>
        <v/>
      </c>
      <c r="L343">
        <f>IF($V343="","",Settings!$C$7)</f>
        <v/>
      </c>
      <c r="M343" s="7">
        <f>IF($V343="","",SUMIFS('Per Line'!$R$2:$R$6001,'Per Line'!$C$2:$C$6001,$B343,'Per Line'!$AI$2:$AI$6001,0,'Per Line'!$AJ$2:$AJ$6001,0))</f>
        <v/>
      </c>
      <c r="N343" s="7">
        <f>IF($V343="","",M343*L343)</f>
        <v/>
      </c>
      <c r="O343">
        <f>IF($V343="","",Settings!$C$6)</f>
        <v/>
      </c>
      <c r="P343" s="7">
        <f>IF($V343="","",SUMIFS('Per Line'!$R$2:$R$6001,'Per Line'!$C$2:$C$6001,$B343,'Per Line'!$AI$2:$AI$6001,1,'Per Line'!$AJ$2:$AJ$6001,0))</f>
        <v/>
      </c>
      <c r="Q343" s="7">
        <f>IF($V343="","",P343*O343)</f>
        <v/>
      </c>
      <c r="R343" s="7">
        <f>IF($V343="","",Q343+N343)</f>
        <v/>
      </c>
      <c r="S343" s="7">
        <f>IF($V343="","",T343-R343)</f>
        <v/>
      </c>
      <c r="T343" s="7">
        <f>IF($V343="","",M343+P343+K343)</f>
        <v/>
      </c>
      <c r="U343" s="7">
        <f>IF($V343="","",T343-R343-I343)</f>
        <v/>
      </c>
      <c r="V343" s="13">
        <f>IF(ROWS($V$2:$V343)&lt;=MAX('Per Line'!$AH$2:$AH$6001),MATCH(ROWS($V$2:$V343),'Per Line'!$AH$2:$AH$6001,0),"")</f>
        <v/>
      </c>
    </row>
    <row r="344">
      <c r="A344" s="12" t="n"/>
      <c r="B344">
        <f>IF($V344="","",INDEX('Per Line'!$C$2:$C$6001,$V344)&amp;"")</f>
        <v/>
      </c>
      <c r="C344" s="11">
        <f>IF($V344="","",INDEX('Per Line'!$D$2:$D$6001,$V344))</f>
        <v/>
      </c>
      <c r="D344">
        <f>IF($V344="","",INDEX('Per Line'!$E$2:$E$6001,$V344)&amp;"")</f>
        <v/>
      </c>
      <c r="E344">
        <f>IF($V344="","",INDEX('Per Line'!$G$2:$G$6001,$V344)&amp;"")</f>
        <v/>
      </c>
      <c r="F344">
        <f>IF($V344="","",INDEX('Per Line'!$H$2:$H$6001,$V344)&amp;"")</f>
        <v/>
      </c>
      <c r="G344">
        <f>IF($V344="","",INDEX('Per Line'!$I$2:$I$6001,$V344)&amp;"")</f>
        <v/>
      </c>
      <c r="H344">
        <f>IF($V344="","",INDEX('Per Line'!$J$2:$J$6001,$V344))</f>
        <v/>
      </c>
      <c r="I344" s="7">
        <f>IF($V344="","",H344*S344/100)</f>
        <v/>
      </c>
      <c r="J344">
        <f>IF($V344="","",INDEX('Per Line'!$S$2:$S$6001,$V344)&amp;"")</f>
        <v/>
      </c>
      <c r="K344" s="7">
        <f>IF($V344="","",SUMIFS('Per Line'!$R$2:$R$6001,'Per Line'!$C$2:$C$6001,$B344,'Per Line'!$AJ$2:$AJ$6001,1))</f>
        <v/>
      </c>
      <c r="L344">
        <f>IF($V344="","",Settings!$C$7)</f>
        <v/>
      </c>
      <c r="M344" s="7">
        <f>IF($V344="","",SUMIFS('Per Line'!$R$2:$R$6001,'Per Line'!$C$2:$C$6001,$B344,'Per Line'!$AI$2:$AI$6001,0,'Per Line'!$AJ$2:$AJ$6001,0))</f>
        <v/>
      </c>
      <c r="N344" s="7">
        <f>IF($V344="","",M344*L344)</f>
        <v/>
      </c>
      <c r="O344">
        <f>IF($V344="","",Settings!$C$6)</f>
        <v/>
      </c>
      <c r="P344" s="7">
        <f>IF($V344="","",SUMIFS('Per Line'!$R$2:$R$6001,'Per Line'!$C$2:$C$6001,$B344,'Per Line'!$AI$2:$AI$6001,1,'Per Line'!$AJ$2:$AJ$6001,0))</f>
        <v/>
      </c>
      <c r="Q344" s="7">
        <f>IF($V344="","",P344*O344)</f>
        <v/>
      </c>
      <c r="R344" s="7">
        <f>IF($V344="","",Q344+N344)</f>
        <v/>
      </c>
      <c r="S344" s="7">
        <f>IF($V344="","",T344-R344)</f>
        <v/>
      </c>
      <c r="T344" s="7">
        <f>IF($V344="","",M344+P344+K344)</f>
        <v/>
      </c>
      <c r="U344" s="7">
        <f>IF($V344="","",T344-R344-I344)</f>
        <v/>
      </c>
      <c r="V344" s="13">
        <f>IF(ROWS($V$2:$V344)&lt;=MAX('Per Line'!$AH$2:$AH$6001),MATCH(ROWS($V$2:$V344),'Per Line'!$AH$2:$AH$6001,0),"")</f>
        <v/>
      </c>
    </row>
    <row r="345">
      <c r="A345" s="12" t="n"/>
      <c r="B345">
        <f>IF($V345="","",INDEX('Per Line'!$C$2:$C$6001,$V345)&amp;"")</f>
        <v/>
      </c>
      <c r="C345" s="11">
        <f>IF($V345="","",INDEX('Per Line'!$D$2:$D$6001,$V345))</f>
        <v/>
      </c>
      <c r="D345">
        <f>IF($V345="","",INDEX('Per Line'!$E$2:$E$6001,$V345)&amp;"")</f>
        <v/>
      </c>
      <c r="E345">
        <f>IF($V345="","",INDEX('Per Line'!$G$2:$G$6001,$V345)&amp;"")</f>
        <v/>
      </c>
      <c r="F345">
        <f>IF($V345="","",INDEX('Per Line'!$H$2:$H$6001,$V345)&amp;"")</f>
        <v/>
      </c>
      <c r="G345">
        <f>IF($V345="","",INDEX('Per Line'!$I$2:$I$6001,$V345)&amp;"")</f>
        <v/>
      </c>
      <c r="H345">
        <f>IF($V345="","",INDEX('Per Line'!$J$2:$J$6001,$V345))</f>
        <v/>
      </c>
      <c r="I345" s="7">
        <f>IF($V345="","",H345*S345/100)</f>
        <v/>
      </c>
      <c r="J345">
        <f>IF($V345="","",INDEX('Per Line'!$S$2:$S$6001,$V345)&amp;"")</f>
        <v/>
      </c>
      <c r="K345" s="7">
        <f>IF($V345="","",SUMIFS('Per Line'!$R$2:$R$6001,'Per Line'!$C$2:$C$6001,$B345,'Per Line'!$AJ$2:$AJ$6001,1))</f>
        <v/>
      </c>
      <c r="L345">
        <f>IF($V345="","",Settings!$C$7)</f>
        <v/>
      </c>
      <c r="M345" s="7">
        <f>IF($V345="","",SUMIFS('Per Line'!$R$2:$R$6001,'Per Line'!$C$2:$C$6001,$B345,'Per Line'!$AI$2:$AI$6001,0,'Per Line'!$AJ$2:$AJ$6001,0))</f>
        <v/>
      </c>
      <c r="N345" s="7">
        <f>IF($V345="","",M345*L345)</f>
        <v/>
      </c>
      <c r="O345">
        <f>IF($V345="","",Settings!$C$6)</f>
        <v/>
      </c>
      <c r="P345" s="7">
        <f>IF($V345="","",SUMIFS('Per Line'!$R$2:$R$6001,'Per Line'!$C$2:$C$6001,$B345,'Per Line'!$AI$2:$AI$6001,1,'Per Line'!$AJ$2:$AJ$6001,0))</f>
        <v/>
      </c>
      <c r="Q345" s="7">
        <f>IF($V345="","",P345*O345)</f>
        <v/>
      </c>
      <c r="R345" s="7">
        <f>IF($V345="","",Q345+N345)</f>
        <v/>
      </c>
      <c r="S345" s="7">
        <f>IF($V345="","",T345-R345)</f>
        <v/>
      </c>
      <c r="T345" s="7">
        <f>IF($V345="","",M345+P345+K345)</f>
        <v/>
      </c>
      <c r="U345" s="7">
        <f>IF($V345="","",T345-R345-I345)</f>
        <v/>
      </c>
      <c r="V345" s="13">
        <f>IF(ROWS($V$2:$V345)&lt;=MAX('Per Line'!$AH$2:$AH$6001),MATCH(ROWS($V$2:$V345),'Per Line'!$AH$2:$AH$6001,0),"")</f>
        <v/>
      </c>
    </row>
    <row r="346">
      <c r="A346" s="12" t="n"/>
      <c r="B346">
        <f>IF($V346="","",INDEX('Per Line'!$C$2:$C$6001,$V346)&amp;"")</f>
        <v/>
      </c>
      <c r="C346" s="11">
        <f>IF($V346="","",INDEX('Per Line'!$D$2:$D$6001,$V346))</f>
        <v/>
      </c>
      <c r="D346">
        <f>IF($V346="","",INDEX('Per Line'!$E$2:$E$6001,$V346)&amp;"")</f>
        <v/>
      </c>
      <c r="E346">
        <f>IF($V346="","",INDEX('Per Line'!$G$2:$G$6001,$V346)&amp;"")</f>
        <v/>
      </c>
      <c r="F346">
        <f>IF($V346="","",INDEX('Per Line'!$H$2:$H$6001,$V346)&amp;"")</f>
        <v/>
      </c>
      <c r="G346">
        <f>IF($V346="","",INDEX('Per Line'!$I$2:$I$6001,$V346)&amp;"")</f>
        <v/>
      </c>
      <c r="H346">
        <f>IF($V346="","",INDEX('Per Line'!$J$2:$J$6001,$V346))</f>
        <v/>
      </c>
      <c r="I346" s="7">
        <f>IF($V346="","",H346*S346/100)</f>
        <v/>
      </c>
      <c r="J346">
        <f>IF($V346="","",INDEX('Per Line'!$S$2:$S$6001,$V346)&amp;"")</f>
        <v/>
      </c>
      <c r="K346" s="7">
        <f>IF($V346="","",SUMIFS('Per Line'!$R$2:$R$6001,'Per Line'!$C$2:$C$6001,$B346,'Per Line'!$AJ$2:$AJ$6001,1))</f>
        <v/>
      </c>
      <c r="L346">
        <f>IF($V346="","",Settings!$C$7)</f>
        <v/>
      </c>
      <c r="M346" s="7">
        <f>IF($V346="","",SUMIFS('Per Line'!$R$2:$R$6001,'Per Line'!$C$2:$C$6001,$B346,'Per Line'!$AI$2:$AI$6001,0,'Per Line'!$AJ$2:$AJ$6001,0))</f>
        <v/>
      </c>
      <c r="N346" s="7">
        <f>IF($V346="","",M346*L346)</f>
        <v/>
      </c>
      <c r="O346">
        <f>IF($V346="","",Settings!$C$6)</f>
        <v/>
      </c>
      <c r="P346" s="7">
        <f>IF($V346="","",SUMIFS('Per Line'!$R$2:$R$6001,'Per Line'!$C$2:$C$6001,$B346,'Per Line'!$AI$2:$AI$6001,1,'Per Line'!$AJ$2:$AJ$6001,0))</f>
        <v/>
      </c>
      <c r="Q346" s="7">
        <f>IF($V346="","",P346*O346)</f>
        <v/>
      </c>
      <c r="R346" s="7">
        <f>IF($V346="","",Q346+N346)</f>
        <v/>
      </c>
      <c r="S346" s="7">
        <f>IF($V346="","",T346-R346)</f>
        <v/>
      </c>
      <c r="T346" s="7">
        <f>IF($V346="","",M346+P346+K346)</f>
        <v/>
      </c>
      <c r="U346" s="7">
        <f>IF($V346="","",T346-R346-I346)</f>
        <v/>
      </c>
      <c r="V346" s="13">
        <f>IF(ROWS($V$2:$V346)&lt;=MAX('Per Line'!$AH$2:$AH$6001),MATCH(ROWS($V$2:$V346),'Per Line'!$AH$2:$AH$6001,0),"")</f>
        <v/>
      </c>
    </row>
    <row r="347">
      <c r="A347" s="12" t="n"/>
      <c r="B347">
        <f>IF($V347="","",INDEX('Per Line'!$C$2:$C$6001,$V347)&amp;"")</f>
        <v/>
      </c>
      <c r="C347" s="11">
        <f>IF($V347="","",INDEX('Per Line'!$D$2:$D$6001,$V347))</f>
        <v/>
      </c>
      <c r="D347">
        <f>IF($V347="","",INDEX('Per Line'!$E$2:$E$6001,$V347)&amp;"")</f>
        <v/>
      </c>
      <c r="E347">
        <f>IF($V347="","",INDEX('Per Line'!$G$2:$G$6001,$V347)&amp;"")</f>
        <v/>
      </c>
      <c r="F347">
        <f>IF($V347="","",INDEX('Per Line'!$H$2:$H$6001,$V347)&amp;"")</f>
        <v/>
      </c>
      <c r="G347">
        <f>IF($V347="","",INDEX('Per Line'!$I$2:$I$6001,$V347)&amp;"")</f>
        <v/>
      </c>
      <c r="H347">
        <f>IF($V347="","",INDEX('Per Line'!$J$2:$J$6001,$V347))</f>
        <v/>
      </c>
      <c r="I347" s="7">
        <f>IF($V347="","",H347*S347/100)</f>
        <v/>
      </c>
      <c r="J347">
        <f>IF($V347="","",INDEX('Per Line'!$S$2:$S$6001,$V347)&amp;"")</f>
        <v/>
      </c>
      <c r="K347" s="7">
        <f>IF($V347="","",SUMIFS('Per Line'!$R$2:$R$6001,'Per Line'!$C$2:$C$6001,$B347,'Per Line'!$AJ$2:$AJ$6001,1))</f>
        <v/>
      </c>
      <c r="L347">
        <f>IF($V347="","",Settings!$C$7)</f>
        <v/>
      </c>
      <c r="M347" s="7">
        <f>IF($V347="","",SUMIFS('Per Line'!$R$2:$R$6001,'Per Line'!$C$2:$C$6001,$B347,'Per Line'!$AI$2:$AI$6001,0,'Per Line'!$AJ$2:$AJ$6001,0))</f>
        <v/>
      </c>
      <c r="N347" s="7">
        <f>IF($V347="","",M347*L347)</f>
        <v/>
      </c>
      <c r="O347">
        <f>IF($V347="","",Settings!$C$6)</f>
        <v/>
      </c>
      <c r="P347" s="7">
        <f>IF($V347="","",SUMIFS('Per Line'!$R$2:$R$6001,'Per Line'!$C$2:$C$6001,$B347,'Per Line'!$AI$2:$AI$6001,1,'Per Line'!$AJ$2:$AJ$6001,0))</f>
        <v/>
      </c>
      <c r="Q347" s="7">
        <f>IF($V347="","",P347*O347)</f>
        <v/>
      </c>
      <c r="R347" s="7">
        <f>IF($V347="","",Q347+N347)</f>
        <v/>
      </c>
      <c r="S347" s="7">
        <f>IF($V347="","",T347-R347)</f>
        <v/>
      </c>
      <c r="T347" s="7">
        <f>IF($V347="","",M347+P347+K347)</f>
        <v/>
      </c>
      <c r="U347" s="7">
        <f>IF($V347="","",T347-R347-I347)</f>
        <v/>
      </c>
      <c r="V347" s="13">
        <f>IF(ROWS($V$2:$V347)&lt;=MAX('Per Line'!$AH$2:$AH$6001),MATCH(ROWS($V$2:$V347),'Per Line'!$AH$2:$AH$6001,0),"")</f>
        <v/>
      </c>
    </row>
    <row r="348">
      <c r="A348" s="12" t="n"/>
      <c r="B348">
        <f>IF($V348="","",INDEX('Per Line'!$C$2:$C$6001,$V348)&amp;"")</f>
        <v/>
      </c>
      <c r="C348" s="11">
        <f>IF($V348="","",INDEX('Per Line'!$D$2:$D$6001,$V348))</f>
        <v/>
      </c>
      <c r="D348">
        <f>IF($V348="","",INDEX('Per Line'!$E$2:$E$6001,$V348)&amp;"")</f>
        <v/>
      </c>
      <c r="E348">
        <f>IF($V348="","",INDEX('Per Line'!$G$2:$G$6001,$V348)&amp;"")</f>
        <v/>
      </c>
      <c r="F348">
        <f>IF($V348="","",INDEX('Per Line'!$H$2:$H$6001,$V348)&amp;"")</f>
        <v/>
      </c>
      <c r="G348">
        <f>IF($V348="","",INDEX('Per Line'!$I$2:$I$6001,$V348)&amp;"")</f>
        <v/>
      </c>
      <c r="H348">
        <f>IF($V348="","",INDEX('Per Line'!$J$2:$J$6001,$V348))</f>
        <v/>
      </c>
      <c r="I348" s="7">
        <f>IF($V348="","",H348*S348/100)</f>
        <v/>
      </c>
      <c r="J348">
        <f>IF($V348="","",INDEX('Per Line'!$S$2:$S$6001,$V348)&amp;"")</f>
        <v/>
      </c>
      <c r="K348" s="7">
        <f>IF($V348="","",SUMIFS('Per Line'!$R$2:$R$6001,'Per Line'!$C$2:$C$6001,$B348,'Per Line'!$AJ$2:$AJ$6001,1))</f>
        <v/>
      </c>
      <c r="L348">
        <f>IF($V348="","",Settings!$C$7)</f>
        <v/>
      </c>
      <c r="M348" s="7">
        <f>IF($V348="","",SUMIFS('Per Line'!$R$2:$R$6001,'Per Line'!$C$2:$C$6001,$B348,'Per Line'!$AI$2:$AI$6001,0,'Per Line'!$AJ$2:$AJ$6001,0))</f>
        <v/>
      </c>
      <c r="N348" s="7">
        <f>IF($V348="","",M348*L348)</f>
        <v/>
      </c>
      <c r="O348">
        <f>IF($V348="","",Settings!$C$6)</f>
        <v/>
      </c>
      <c r="P348" s="7">
        <f>IF($V348="","",SUMIFS('Per Line'!$R$2:$R$6001,'Per Line'!$C$2:$C$6001,$B348,'Per Line'!$AI$2:$AI$6001,1,'Per Line'!$AJ$2:$AJ$6001,0))</f>
        <v/>
      </c>
      <c r="Q348" s="7">
        <f>IF($V348="","",P348*O348)</f>
        <v/>
      </c>
      <c r="R348" s="7">
        <f>IF($V348="","",Q348+N348)</f>
        <v/>
      </c>
      <c r="S348" s="7">
        <f>IF($V348="","",T348-R348)</f>
        <v/>
      </c>
      <c r="T348" s="7">
        <f>IF($V348="","",M348+P348+K348)</f>
        <v/>
      </c>
      <c r="U348" s="7">
        <f>IF($V348="","",T348-R348-I348)</f>
        <v/>
      </c>
      <c r="V348" s="13">
        <f>IF(ROWS($V$2:$V348)&lt;=MAX('Per Line'!$AH$2:$AH$6001),MATCH(ROWS($V$2:$V348),'Per Line'!$AH$2:$AH$6001,0),"")</f>
        <v/>
      </c>
    </row>
    <row r="349">
      <c r="A349" s="12" t="n"/>
      <c r="B349">
        <f>IF($V349="","",INDEX('Per Line'!$C$2:$C$6001,$V349)&amp;"")</f>
        <v/>
      </c>
      <c r="C349" s="11">
        <f>IF($V349="","",INDEX('Per Line'!$D$2:$D$6001,$V349))</f>
        <v/>
      </c>
      <c r="D349">
        <f>IF($V349="","",INDEX('Per Line'!$E$2:$E$6001,$V349)&amp;"")</f>
        <v/>
      </c>
      <c r="E349">
        <f>IF($V349="","",INDEX('Per Line'!$G$2:$G$6001,$V349)&amp;"")</f>
        <v/>
      </c>
      <c r="F349">
        <f>IF($V349="","",INDEX('Per Line'!$H$2:$H$6001,$V349)&amp;"")</f>
        <v/>
      </c>
      <c r="G349">
        <f>IF($V349="","",INDEX('Per Line'!$I$2:$I$6001,$V349)&amp;"")</f>
        <v/>
      </c>
      <c r="H349">
        <f>IF($V349="","",INDEX('Per Line'!$J$2:$J$6001,$V349))</f>
        <v/>
      </c>
      <c r="I349" s="7">
        <f>IF($V349="","",H349*S349/100)</f>
        <v/>
      </c>
      <c r="J349">
        <f>IF($V349="","",INDEX('Per Line'!$S$2:$S$6001,$V349)&amp;"")</f>
        <v/>
      </c>
      <c r="K349" s="7">
        <f>IF($V349="","",SUMIFS('Per Line'!$R$2:$R$6001,'Per Line'!$C$2:$C$6001,$B349,'Per Line'!$AJ$2:$AJ$6001,1))</f>
        <v/>
      </c>
      <c r="L349">
        <f>IF($V349="","",Settings!$C$7)</f>
        <v/>
      </c>
      <c r="M349" s="7">
        <f>IF($V349="","",SUMIFS('Per Line'!$R$2:$R$6001,'Per Line'!$C$2:$C$6001,$B349,'Per Line'!$AI$2:$AI$6001,0,'Per Line'!$AJ$2:$AJ$6001,0))</f>
        <v/>
      </c>
      <c r="N349" s="7">
        <f>IF($V349="","",M349*L349)</f>
        <v/>
      </c>
      <c r="O349">
        <f>IF($V349="","",Settings!$C$6)</f>
        <v/>
      </c>
      <c r="P349" s="7">
        <f>IF($V349="","",SUMIFS('Per Line'!$R$2:$R$6001,'Per Line'!$C$2:$C$6001,$B349,'Per Line'!$AI$2:$AI$6001,1,'Per Line'!$AJ$2:$AJ$6001,0))</f>
        <v/>
      </c>
      <c r="Q349" s="7">
        <f>IF($V349="","",P349*O349)</f>
        <v/>
      </c>
      <c r="R349" s="7">
        <f>IF($V349="","",Q349+N349)</f>
        <v/>
      </c>
      <c r="S349" s="7">
        <f>IF($V349="","",T349-R349)</f>
        <v/>
      </c>
      <c r="T349" s="7">
        <f>IF($V349="","",M349+P349+K349)</f>
        <v/>
      </c>
      <c r="U349" s="7">
        <f>IF($V349="","",T349-R349-I349)</f>
        <v/>
      </c>
      <c r="V349" s="13">
        <f>IF(ROWS($V$2:$V349)&lt;=MAX('Per Line'!$AH$2:$AH$6001),MATCH(ROWS($V$2:$V349),'Per Line'!$AH$2:$AH$6001,0),"")</f>
        <v/>
      </c>
    </row>
    <row r="350">
      <c r="A350" s="12" t="n"/>
      <c r="B350">
        <f>IF($V350="","",INDEX('Per Line'!$C$2:$C$6001,$V350)&amp;"")</f>
        <v/>
      </c>
      <c r="C350" s="11">
        <f>IF($V350="","",INDEX('Per Line'!$D$2:$D$6001,$V350))</f>
        <v/>
      </c>
      <c r="D350">
        <f>IF($V350="","",INDEX('Per Line'!$E$2:$E$6001,$V350)&amp;"")</f>
        <v/>
      </c>
      <c r="E350">
        <f>IF($V350="","",INDEX('Per Line'!$G$2:$G$6001,$V350)&amp;"")</f>
        <v/>
      </c>
      <c r="F350">
        <f>IF($V350="","",INDEX('Per Line'!$H$2:$H$6001,$V350)&amp;"")</f>
        <v/>
      </c>
      <c r="G350">
        <f>IF($V350="","",INDEX('Per Line'!$I$2:$I$6001,$V350)&amp;"")</f>
        <v/>
      </c>
      <c r="H350">
        <f>IF($V350="","",INDEX('Per Line'!$J$2:$J$6001,$V350))</f>
        <v/>
      </c>
      <c r="I350" s="7">
        <f>IF($V350="","",H350*S350/100)</f>
        <v/>
      </c>
      <c r="J350">
        <f>IF($V350="","",INDEX('Per Line'!$S$2:$S$6001,$V350)&amp;"")</f>
        <v/>
      </c>
      <c r="K350" s="7">
        <f>IF($V350="","",SUMIFS('Per Line'!$R$2:$R$6001,'Per Line'!$C$2:$C$6001,$B350,'Per Line'!$AJ$2:$AJ$6001,1))</f>
        <v/>
      </c>
      <c r="L350">
        <f>IF($V350="","",Settings!$C$7)</f>
        <v/>
      </c>
      <c r="M350" s="7">
        <f>IF($V350="","",SUMIFS('Per Line'!$R$2:$R$6001,'Per Line'!$C$2:$C$6001,$B350,'Per Line'!$AI$2:$AI$6001,0,'Per Line'!$AJ$2:$AJ$6001,0))</f>
        <v/>
      </c>
      <c r="N350" s="7">
        <f>IF($V350="","",M350*L350)</f>
        <v/>
      </c>
      <c r="O350">
        <f>IF($V350="","",Settings!$C$6)</f>
        <v/>
      </c>
      <c r="P350" s="7">
        <f>IF($V350="","",SUMIFS('Per Line'!$R$2:$R$6001,'Per Line'!$C$2:$C$6001,$B350,'Per Line'!$AI$2:$AI$6001,1,'Per Line'!$AJ$2:$AJ$6001,0))</f>
        <v/>
      </c>
      <c r="Q350" s="7">
        <f>IF($V350="","",P350*O350)</f>
        <v/>
      </c>
      <c r="R350" s="7">
        <f>IF($V350="","",Q350+N350)</f>
        <v/>
      </c>
      <c r="S350" s="7">
        <f>IF($V350="","",T350-R350)</f>
        <v/>
      </c>
      <c r="T350" s="7">
        <f>IF($V350="","",M350+P350+K350)</f>
        <v/>
      </c>
      <c r="U350" s="7">
        <f>IF($V350="","",T350-R350-I350)</f>
        <v/>
      </c>
      <c r="V350" s="13">
        <f>IF(ROWS($V$2:$V350)&lt;=MAX('Per Line'!$AH$2:$AH$6001),MATCH(ROWS($V$2:$V350),'Per Line'!$AH$2:$AH$6001,0),"")</f>
        <v/>
      </c>
    </row>
    <row r="351">
      <c r="A351" s="12" t="n"/>
      <c r="B351">
        <f>IF($V351="","",INDEX('Per Line'!$C$2:$C$6001,$V351)&amp;"")</f>
        <v/>
      </c>
      <c r="C351" s="11">
        <f>IF($V351="","",INDEX('Per Line'!$D$2:$D$6001,$V351))</f>
        <v/>
      </c>
      <c r="D351">
        <f>IF($V351="","",INDEX('Per Line'!$E$2:$E$6001,$V351)&amp;"")</f>
        <v/>
      </c>
      <c r="E351">
        <f>IF($V351="","",INDEX('Per Line'!$G$2:$G$6001,$V351)&amp;"")</f>
        <v/>
      </c>
      <c r="F351">
        <f>IF($V351="","",INDEX('Per Line'!$H$2:$H$6001,$V351)&amp;"")</f>
        <v/>
      </c>
      <c r="G351">
        <f>IF($V351="","",INDEX('Per Line'!$I$2:$I$6001,$V351)&amp;"")</f>
        <v/>
      </c>
      <c r="H351">
        <f>IF($V351="","",INDEX('Per Line'!$J$2:$J$6001,$V351))</f>
        <v/>
      </c>
      <c r="I351" s="7">
        <f>IF($V351="","",H351*S351/100)</f>
        <v/>
      </c>
      <c r="J351">
        <f>IF($V351="","",INDEX('Per Line'!$S$2:$S$6001,$V351)&amp;"")</f>
        <v/>
      </c>
      <c r="K351" s="7">
        <f>IF($V351="","",SUMIFS('Per Line'!$R$2:$R$6001,'Per Line'!$C$2:$C$6001,$B351,'Per Line'!$AJ$2:$AJ$6001,1))</f>
        <v/>
      </c>
      <c r="L351">
        <f>IF($V351="","",Settings!$C$7)</f>
        <v/>
      </c>
      <c r="M351" s="7">
        <f>IF($V351="","",SUMIFS('Per Line'!$R$2:$R$6001,'Per Line'!$C$2:$C$6001,$B351,'Per Line'!$AI$2:$AI$6001,0,'Per Line'!$AJ$2:$AJ$6001,0))</f>
        <v/>
      </c>
      <c r="N351" s="7">
        <f>IF($V351="","",M351*L351)</f>
        <v/>
      </c>
      <c r="O351">
        <f>IF($V351="","",Settings!$C$6)</f>
        <v/>
      </c>
      <c r="P351" s="7">
        <f>IF($V351="","",SUMIFS('Per Line'!$R$2:$R$6001,'Per Line'!$C$2:$C$6001,$B351,'Per Line'!$AI$2:$AI$6001,1,'Per Line'!$AJ$2:$AJ$6001,0))</f>
        <v/>
      </c>
      <c r="Q351" s="7">
        <f>IF($V351="","",P351*O351)</f>
        <v/>
      </c>
      <c r="R351" s="7">
        <f>IF($V351="","",Q351+N351)</f>
        <v/>
      </c>
      <c r="S351" s="7">
        <f>IF($V351="","",T351-R351)</f>
        <v/>
      </c>
      <c r="T351" s="7">
        <f>IF($V351="","",M351+P351+K351)</f>
        <v/>
      </c>
      <c r="U351" s="7">
        <f>IF($V351="","",T351-R351-I351)</f>
        <v/>
      </c>
      <c r="V351" s="13">
        <f>IF(ROWS($V$2:$V351)&lt;=MAX('Per Line'!$AH$2:$AH$6001),MATCH(ROWS($V$2:$V351),'Per Line'!$AH$2:$AH$6001,0),"")</f>
        <v/>
      </c>
    </row>
    <row r="352">
      <c r="A352" s="12" t="n"/>
      <c r="B352">
        <f>IF($V352="","",INDEX('Per Line'!$C$2:$C$6001,$V352)&amp;"")</f>
        <v/>
      </c>
      <c r="C352" s="11">
        <f>IF($V352="","",INDEX('Per Line'!$D$2:$D$6001,$V352))</f>
        <v/>
      </c>
      <c r="D352">
        <f>IF($V352="","",INDEX('Per Line'!$E$2:$E$6001,$V352)&amp;"")</f>
        <v/>
      </c>
      <c r="E352">
        <f>IF($V352="","",INDEX('Per Line'!$G$2:$G$6001,$V352)&amp;"")</f>
        <v/>
      </c>
      <c r="F352">
        <f>IF($V352="","",INDEX('Per Line'!$H$2:$H$6001,$V352)&amp;"")</f>
        <v/>
      </c>
      <c r="G352">
        <f>IF($V352="","",INDEX('Per Line'!$I$2:$I$6001,$V352)&amp;"")</f>
        <v/>
      </c>
      <c r="H352">
        <f>IF($V352="","",INDEX('Per Line'!$J$2:$J$6001,$V352))</f>
        <v/>
      </c>
      <c r="I352" s="7">
        <f>IF($V352="","",H352*S352/100)</f>
        <v/>
      </c>
      <c r="J352">
        <f>IF($V352="","",INDEX('Per Line'!$S$2:$S$6001,$V352)&amp;"")</f>
        <v/>
      </c>
      <c r="K352" s="7">
        <f>IF($V352="","",SUMIFS('Per Line'!$R$2:$R$6001,'Per Line'!$C$2:$C$6001,$B352,'Per Line'!$AJ$2:$AJ$6001,1))</f>
        <v/>
      </c>
      <c r="L352">
        <f>IF($V352="","",Settings!$C$7)</f>
        <v/>
      </c>
      <c r="M352" s="7">
        <f>IF($V352="","",SUMIFS('Per Line'!$R$2:$R$6001,'Per Line'!$C$2:$C$6001,$B352,'Per Line'!$AI$2:$AI$6001,0,'Per Line'!$AJ$2:$AJ$6001,0))</f>
        <v/>
      </c>
      <c r="N352" s="7">
        <f>IF($V352="","",M352*L352)</f>
        <v/>
      </c>
      <c r="O352">
        <f>IF($V352="","",Settings!$C$6)</f>
        <v/>
      </c>
      <c r="P352" s="7">
        <f>IF($V352="","",SUMIFS('Per Line'!$R$2:$R$6001,'Per Line'!$C$2:$C$6001,$B352,'Per Line'!$AI$2:$AI$6001,1,'Per Line'!$AJ$2:$AJ$6001,0))</f>
        <v/>
      </c>
      <c r="Q352" s="7">
        <f>IF($V352="","",P352*O352)</f>
        <v/>
      </c>
      <c r="R352" s="7">
        <f>IF($V352="","",Q352+N352)</f>
        <v/>
      </c>
      <c r="S352" s="7">
        <f>IF($V352="","",T352-R352)</f>
        <v/>
      </c>
      <c r="T352" s="7">
        <f>IF($V352="","",M352+P352+K352)</f>
        <v/>
      </c>
      <c r="U352" s="7">
        <f>IF($V352="","",T352-R352-I352)</f>
        <v/>
      </c>
      <c r="V352" s="13">
        <f>IF(ROWS($V$2:$V352)&lt;=MAX('Per Line'!$AH$2:$AH$6001),MATCH(ROWS($V$2:$V352),'Per Line'!$AH$2:$AH$6001,0),"")</f>
        <v/>
      </c>
    </row>
    <row r="353">
      <c r="A353" s="12" t="n"/>
      <c r="B353">
        <f>IF($V353="","",INDEX('Per Line'!$C$2:$C$6001,$V353)&amp;"")</f>
        <v/>
      </c>
      <c r="C353" s="11">
        <f>IF($V353="","",INDEX('Per Line'!$D$2:$D$6001,$V353))</f>
        <v/>
      </c>
      <c r="D353">
        <f>IF($V353="","",INDEX('Per Line'!$E$2:$E$6001,$V353)&amp;"")</f>
        <v/>
      </c>
      <c r="E353">
        <f>IF($V353="","",INDEX('Per Line'!$G$2:$G$6001,$V353)&amp;"")</f>
        <v/>
      </c>
      <c r="F353">
        <f>IF($V353="","",INDEX('Per Line'!$H$2:$H$6001,$V353)&amp;"")</f>
        <v/>
      </c>
      <c r="G353">
        <f>IF($V353="","",INDEX('Per Line'!$I$2:$I$6001,$V353)&amp;"")</f>
        <v/>
      </c>
      <c r="H353">
        <f>IF($V353="","",INDEX('Per Line'!$J$2:$J$6001,$V353))</f>
        <v/>
      </c>
      <c r="I353" s="7">
        <f>IF($V353="","",H353*S353/100)</f>
        <v/>
      </c>
      <c r="J353">
        <f>IF($V353="","",INDEX('Per Line'!$S$2:$S$6001,$V353)&amp;"")</f>
        <v/>
      </c>
      <c r="K353" s="7">
        <f>IF($V353="","",SUMIFS('Per Line'!$R$2:$R$6001,'Per Line'!$C$2:$C$6001,$B353,'Per Line'!$AJ$2:$AJ$6001,1))</f>
        <v/>
      </c>
      <c r="L353">
        <f>IF($V353="","",Settings!$C$7)</f>
        <v/>
      </c>
      <c r="M353" s="7">
        <f>IF($V353="","",SUMIFS('Per Line'!$R$2:$R$6001,'Per Line'!$C$2:$C$6001,$B353,'Per Line'!$AI$2:$AI$6001,0,'Per Line'!$AJ$2:$AJ$6001,0))</f>
        <v/>
      </c>
      <c r="N353" s="7">
        <f>IF($V353="","",M353*L353)</f>
        <v/>
      </c>
      <c r="O353">
        <f>IF($V353="","",Settings!$C$6)</f>
        <v/>
      </c>
      <c r="P353" s="7">
        <f>IF($V353="","",SUMIFS('Per Line'!$R$2:$R$6001,'Per Line'!$C$2:$C$6001,$B353,'Per Line'!$AI$2:$AI$6001,1,'Per Line'!$AJ$2:$AJ$6001,0))</f>
        <v/>
      </c>
      <c r="Q353" s="7">
        <f>IF($V353="","",P353*O353)</f>
        <v/>
      </c>
      <c r="R353" s="7">
        <f>IF($V353="","",Q353+N353)</f>
        <v/>
      </c>
      <c r="S353" s="7">
        <f>IF($V353="","",T353-R353)</f>
        <v/>
      </c>
      <c r="T353" s="7">
        <f>IF($V353="","",M353+P353+K353)</f>
        <v/>
      </c>
      <c r="U353" s="7">
        <f>IF($V353="","",T353-R353-I353)</f>
        <v/>
      </c>
      <c r="V353" s="13">
        <f>IF(ROWS($V$2:$V353)&lt;=MAX('Per Line'!$AH$2:$AH$6001),MATCH(ROWS($V$2:$V353),'Per Line'!$AH$2:$AH$6001,0),"")</f>
        <v/>
      </c>
    </row>
    <row r="354">
      <c r="A354" s="12" t="n"/>
      <c r="B354">
        <f>IF($V354="","",INDEX('Per Line'!$C$2:$C$6001,$V354)&amp;"")</f>
        <v/>
      </c>
      <c r="C354" s="11">
        <f>IF($V354="","",INDEX('Per Line'!$D$2:$D$6001,$V354))</f>
        <v/>
      </c>
      <c r="D354">
        <f>IF($V354="","",INDEX('Per Line'!$E$2:$E$6001,$V354)&amp;"")</f>
        <v/>
      </c>
      <c r="E354">
        <f>IF($V354="","",INDEX('Per Line'!$G$2:$G$6001,$V354)&amp;"")</f>
        <v/>
      </c>
      <c r="F354">
        <f>IF($V354="","",INDEX('Per Line'!$H$2:$H$6001,$V354)&amp;"")</f>
        <v/>
      </c>
      <c r="G354">
        <f>IF($V354="","",INDEX('Per Line'!$I$2:$I$6001,$V354)&amp;"")</f>
        <v/>
      </c>
      <c r="H354">
        <f>IF($V354="","",INDEX('Per Line'!$J$2:$J$6001,$V354))</f>
        <v/>
      </c>
      <c r="I354" s="7">
        <f>IF($V354="","",H354*S354/100)</f>
        <v/>
      </c>
      <c r="J354">
        <f>IF($V354="","",INDEX('Per Line'!$S$2:$S$6001,$V354)&amp;"")</f>
        <v/>
      </c>
      <c r="K354" s="7">
        <f>IF($V354="","",SUMIFS('Per Line'!$R$2:$R$6001,'Per Line'!$C$2:$C$6001,$B354,'Per Line'!$AJ$2:$AJ$6001,1))</f>
        <v/>
      </c>
      <c r="L354">
        <f>IF($V354="","",Settings!$C$7)</f>
        <v/>
      </c>
      <c r="M354" s="7">
        <f>IF($V354="","",SUMIFS('Per Line'!$R$2:$R$6001,'Per Line'!$C$2:$C$6001,$B354,'Per Line'!$AI$2:$AI$6001,0,'Per Line'!$AJ$2:$AJ$6001,0))</f>
        <v/>
      </c>
      <c r="N354" s="7">
        <f>IF($V354="","",M354*L354)</f>
        <v/>
      </c>
      <c r="O354">
        <f>IF($V354="","",Settings!$C$6)</f>
        <v/>
      </c>
      <c r="P354" s="7">
        <f>IF($V354="","",SUMIFS('Per Line'!$R$2:$R$6001,'Per Line'!$C$2:$C$6001,$B354,'Per Line'!$AI$2:$AI$6001,1,'Per Line'!$AJ$2:$AJ$6001,0))</f>
        <v/>
      </c>
      <c r="Q354" s="7">
        <f>IF($V354="","",P354*O354)</f>
        <v/>
      </c>
      <c r="R354" s="7">
        <f>IF($V354="","",Q354+N354)</f>
        <v/>
      </c>
      <c r="S354" s="7">
        <f>IF($V354="","",T354-R354)</f>
        <v/>
      </c>
      <c r="T354" s="7">
        <f>IF($V354="","",M354+P354+K354)</f>
        <v/>
      </c>
      <c r="U354" s="7">
        <f>IF($V354="","",T354-R354-I354)</f>
        <v/>
      </c>
      <c r="V354" s="13">
        <f>IF(ROWS($V$2:$V354)&lt;=MAX('Per Line'!$AH$2:$AH$6001),MATCH(ROWS($V$2:$V354),'Per Line'!$AH$2:$AH$6001,0),"")</f>
        <v/>
      </c>
    </row>
    <row r="355">
      <c r="A355" s="12" t="n"/>
      <c r="B355">
        <f>IF($V355="","",INDEX('Per Line'!$C$2:$C$6001,$V355)&amp;"")</f>
        <v/>
      </c>
      <c r="C355" s="11">
        <f>IF($V355="","",INDEX('Per Line'!$D$2:$D$6001,$V355))</f>
        <v/>
      </c>
      <c r="D355">
        <f>IF($V355="","",INDEX('Per Line'!$E$2:$E$6001,$V355)&amp;"")</f>
        <v/>
      </c>
      <c r="E355">
        <f>IF($V355="","",INDEX('Per Line'!$G$2:$G$6001,$V355)&amp;"")</f>
        <v/>
      </c>
      <c r="F355">
        <f>IF($V355="","",INDEX('Per Line'!$H$2:$H$6001,$V355)&amp;"")</f>
        <v/>
      </c>
      <c r="G355">
        <f>IF($V355="","",INDEX('Per Line'!$I$2:$I$6001,$V355)&amp;"")</f>
        <v/>
      </c>
      <c r="H355">
        <f>IF($V355="","",INDEX('Per Line'!$J$2:$J$6001,$V355))</f>
        <v/>
      </c>
      <c r="I355" s="7">
        <f>IF($V355="","",H355*S355/100)</f>
        <v/>
      </c>
      <c r="J355">
        <f>IF($V355="","",INDEX('Per Line'!$S$2:$S$6001,$V355)&amp;"")</f>
        <v/>
      </c>
      <c r="K355" s="7">
        <f>IF($V355="","",SUMIFS('Per Line'!$R$2:$R$6001,'Per Line'!$C$2:$C$6001,$B355,'Per Line'!$AJ$2:$AJ$6001,1))</f>
        <v/>
      </c>
      <c r="L355">
        <f>IF($V355="","",Settings!$C$7)</f>
        <v/>
      </c>
      <c r="M355" s="7">
        <f>IF($V355="","",SUMIFS('Per Line'!$R$2:$R$6001,'Per Line'!$C$2:$C$6001,$B355,'Per Line'!$AI$2:$AI$6001,0,'Per Line'!$AJ$2:$AJ$6001,0))</f>
        <v/>
      </c>
      <c r="N355" s="7">
        <f>IF($V355="","",M355*L355)</f>
        <v/>
      </c>
      <c r="O355">
        <f>IF($V355="","",Settings!$C$6)</f>
        <v/>
      </c>
      <c r="P355" s="7">
        <f>IF($V355="","",SUMIFS('Per Line'!$R$2:$R$6001,'Per Line'!$C$2:$C$6001,$B355,'Per Line'!$AI$2:$AI$6001,1,'Per Line'!$AJ$2:$AJ$6001,0))</f>
        <v/>
      </c>
      <c r="Q355" s="7">
        <f>IF($V355="","",P355*O355)</f>
        <v/>
      </c>
      <c r="R355" s="7">
        <f>IF($V355="","",Q355+N355)</f>
        <v/>
      </c>
      <c r="S355" s="7">
        <f>IF($V355="","",T355-R355)</f>
        <v/>
      </c>
      <c r="T355" s="7">
        <f>IF($V355="","",M355+P355+K355)</f>
        <v/>
      </c>
      <c r="U355" s="7">
        <f>IF($V355="","",T355-R355-I355)</f>
        <v/>
      </c>
      <c r="V355" s="13">
        <f>IF(ROWS($V$2:$V355)&lt;=MAX('Per Line'!$AH$2:$AH$6001),MATCH(ROWS($V$2:$V355),'Per Line'!$AH$2:$AH$6001,0),"")</f>
        <v/>
      </c>
    </row>
    <row r="356">
      <c r="A356" s="12" t="n"/>
      <c r="B356">
        <f>IF($V356="","",INDEX('Per Line'!$C$2:$C$6001,$V356)&amp;"")</f>
        <v/>
      </c>
      <c r="C356" s="11">
        <f>IF($V356="","",INDEX('Per Line'!$D$2:$D$6001,$V356))</f>
        <v/>
      </c>
      <c r="D356">
        <f>IF($V356="","",INDEX('Per Line'!$E$2:$E$6001,$V356)&amp;"")</f>
        <v/>
      </c>
      <c r="E356">
        <f>IF($V356="","",INDEX('Per Line'!$G$2:$G$6001,$V356)&amp;"")</f>
        <v/>
      </c>
      <c r="F356">
        <f>IF($V356="","",INDEX('Per Line'!$H$2:$H$6001,$V356)&amp;"")</f>
        <v/>
      </c>
      <c r="G356">
        <f>IF($V356="","",INDEX('Per Line'!$I$2:$I$6001,$V356)&amp;"")</f>
        <v/>
      </c>
      <c r="H356">
        <f>IF($V356="","",INDEX('Per Line'!$J$2:$J$6001,$V356))</f>
        <v/>
      </c>
      <c r="I356" s="7">
        <f>IF($V356="","",H356*S356/100)</f>
        <v/>
      </c>
      <c r="J356">
        <f>IF($V356="","",INDEX('Per Line'!$S$2:$S$6001,$V356)&amp;"")</f>
        <v/>
      </c>
      <c r="K356" s="7">
        <f>IF($V356="","",SUMIFS('Per Line'!$R$2:$R$6001,'Per Line'!$C$2:$C$6001,$B356,'Per Line'!$AJ$2:$AJ$6001,1))</f>
        <v/>
      </c>
      <c r="L356">
        <f>IF($V356="","",Settings!$C$7)</f>
        <v/>
      </c>
      <c r="M356" s="7">
        <f>IF($V356="","",SUMIFS('Per Line'!$R$2:$R$6001,'Per Line'!$C$2:$C$6001,$B356,'Per Line'!$AI$2:$AI$6001,0,'Per Line'!$AJ$2:$AJ$6001,0))</f>
        <v/>
      </c>
      <c r="N356" s="7">
        <f>IF($V356="","",M356*L356)</f>
        <v/>
      </c>
      <c r="O356">
        <f>IF($V356="","",Settings!$C$6)</f>
        <v/>
      </c>
      <c r="P356" s="7">
        <f>IF($V356="","",SUMIFS('Per Line'!$R$2:$R$6001,'Per Line'!$C$2:$C$6001,$B356,'Per Line'!$AI$2:$AI$6001,1,'Per Line'!$AJ$2:$AJ$6001,0))</f>
        <v/>
      </c>
      <c r="Q356" s="7">
        <f>IF($V356="","",P356*O356)</f>
        <v/>
      </c>
      <c r="R356" s="7">
        <f>IF($V356="","",Q356+N356)</f>
        <v/>
      </c>
      <c r="S356" s="7">
        <f>IF($V356="","",T356-R356)</f>
        <v/>
      </c>
      <c r="T356" s="7">
        <f>IF($V356="","",M356+P356+K356)</f>
        <v/>
      </c>
      <c r="U356" s="7">
        <f>IF($V356="","",T356-R356-I356)</f>
        <v/>
      </c>
      <c r="V356" s="13">
        <f>IF(ROWS($V$2:$V356)&lt;=MAX('Per Line'!$AH$2:$AH$6001),MATCH(ROWS($V$2:$V356),'Per Line'!$AH$2:$AH$6001,0),"")</f>
        <v/>
      </c>
    </row>
    <row r="357">
      <c r="A357" s="12" t="n"/>
      <c r="B357">
        <f>IF($V357="","",INDEX('Per Line'!$C$2:$C$6001,$V357)&amp;"")</f>
        <v/>
      </c>
      <c r="C357" s="11">
        <f>IF($V357="","",INDEX('Per Line'!$D$2:$D$6001,$V357))</f>
        <v/>
      </c>
      <c r="D357">
        <f>IF($V357="","",INDEX('Per Line'!$E$2:$E$6001,$V357)&amp;"")</f>
        <v/>
      </c>
      <c r="E357">
        <f>IF($V357="","",INDEX('Per Line'!$G$2:$G$6001,$V357)&amp;"")</f>
        <v/>
      </c>
      <c r="F357">
        <f>IF($V357="","",INDEX('Per Line'!$H$2:$H$6001,$V357)&amp;"")</f>
        <v/>
      </c>
      <c r="G357">
        <f>IF($V357="","",INDEX('Per Line'!$I$2:$I$6001,$V357)&amp;"")</f>
        <v/>
      </c>
      <c r="H357">
        <f>IF($V357="","",INDEX('Per Line'!$J$2:$J$6001,$V357))</f>
        <v/>
      </c>
      <c r="I357" s="7">
        <f>IF($V357="","",H357*S357/100)</f>
        <v/>
      </c>
      <c r="J357">
        <f>IF($V357="","",INDEX('Per Line'!$S$2:$S$6001,$V357)&amp;"")</f>
        <v/>
      </c>
      <c r="K357" s="7">
        <f>IF($V357="","",SUMIFS('Per Line'!$R$2:$R$6001,'Per Line'!$C$2:$C$6001,$B357,'Per Line'!$AJ$2:$AJ$6001,1))</f>
        <v/>
      </c>
      <c r="L357">
        <f>IF($V357="","",Settings!$C$7)</f>
        <v/>
      </c>
      <c r="M357" s="7">
        <f>IF($V357="","",SUMIFS('Per Line'!$R$2:$R$6001,'Per Line'!$C$2:$C$6001,$B357,'Per Line'!$AI$2:$AI$6001,0,'Per Line'!$AJ$2:$AJ$6001,0))</f>
        <v/>
      </c>
      <c r="N357" s="7">
        <f>IF($V357="","",M357*L357)</f>
        <v/>
      </c>
      <c r="O357">
        <f>IF($V357="","",Settings!$C$6)</f>
        <v/>
      </c>
      <c r="P357" s="7">
        <f>IF($V357="","",SUMIFS('Per Line'!$R$2:$R$6001,'Per Line'!$C$2:$C$6001,$B357,'Per Line'!$AI$2:$AI$6001,1,'Per Line'!$AJ$2:$AJ$6001,0))</f>
        <v/>
      </c>
      <c r="Q357" s="7">
        <f>IF($V357="","",P357*O357)</f>
        <v/>
      </c>
      <c r="R357" s="7">
        <f>IF($V357="","",Q357+N357)</f>
        <v/>
      </c>
      <c r="S357" s="7">
        <f>IF($V357="","",T357-R357)</f>
        <v/>
      </c>
      <c r="T357" s="7">
        <f>IF($V357="","",M357+P357+K357)</f>
        <v/>
      </c>
      <c r="U357" s="7">
        <f>IF($V357="","",T357-R357-I357)</f>
        <v/>
      </c>
      <c r="V357" s="13">
        <f>IF(ROWS($V$2:$V357)&lt;=MAX('Per Line'!$AH$2:$AH$6001),MATCH(ROWS($V$2:$V357),'Per Line'!$AH$2:$AH$6001,0),"")</f>
        <v/>
      </c>
    </row>
    <row r="358">
      <c r="A358" s="12" t="n"/>
      <c r="B358">
        <f>IF($V358="","",INDEX('Per Line'!$C$2:$C$6001,$V358)&amp;"")</f>
        <v/>
      </c>
      <c r="C358" s="11">
        <f>IF($V358="","",INDEX('Per Line'!$D$2:$D$6001,$V358))</f>
        <v/>
      </c>
      <c r="D358">
        <f>IF($V358="","",INDEX('Per Line'!$E$2:$E$6001,$V358)&amp;"")</f>
        <v/>
      </c>
      <c r="E358">
        <f>IF($V358="","",INDEX('Per Line'!$G$2:$G$6001,$V358)&amp;"")</f>
        <v/>
      </c>
      <c r="F358">
        <f>IF($V358="","",INDEX('Per Line'!$H$2:$H$6001,$V358)&amp;"")</f>
        <v/>
      </c>
      <c r="G358">
        <f>IF($V358="","",INDEX('Per Line'!$I$2:$I$6001,$V358)&amp;"")</f>
        <v/>
      </c>
      <c r="H358">
        <f>IF($V358="","",INDEX('Per Line'!$J$2:$J$6001,$V358))</f>
        <v/>
      </c>
      <c r="I358" s="7">
        <f>IF($V358="","",H358*S358/100)</f>
        <v/>
      </c>
      <c r="J358">
        <f>IF($V358="","",INDEX('Per Line'!$S$2:$S$6001,$V358)&amp;"")</f>
        <v/>
      </c>
      <c r="K358" s="7">
        <f>IF($V358="","",SUMIFS('Per Line'!$R$2:$R$6001,'Per Line'!$C$2:$C$6001,$B358,'Per Line'!$AJ$2:$AJ$6001,1))</f>
        <v/>
      </c>
      <c r="L358">
        <f>IF($V358="","",Settings!$C$7)</f>
        <v/>
      </c>
      <c r="M358" s="7">
        <f>IF($V358="","",SUMIFS('Per Line'!$R$2:$R$6001,'Per Line'!$C$2:$C$6001,$B358,'Per Line'!$AI$2:$AI$6001,0,'Per Line'!$AJ$2:$AJ$6001,0))</f>
        <v/>
      </c>
      <c r="N358" s="7">
        <f>IF($V358="","",M358*L358)</f>
        <v/>
      </c>
      <c r="O358">
        <f>IF($V358="","",Settings!$C$6)</f>
        <v/>
      </c>
      <c r="P358" s="7">
        <f>IF($V358="","",SUMIFS('Per Line'!$R$2:$R$6001,'Per Line'!$C$2:$C$6001,$B358,'Per Line'!$AI$2:$AI$6001,1,'Per Line'!$AJ$2:$AJ$6001,0))</f>
        <v/>
      </c>
      <c r="Q358" s="7">
        <f>IF($V358="","",P358*O358)</f>
        <v/>
      </c>
      <c r="R358" s="7">
        <f>IF($V358="","",Q358+N358)</f>
        <v/>
      </c>
      <c r="S358" s="7">
        <f>IF($V358="","",T358-R358)</f>
        <v/>
      </c>
      <c r="T358" s="7">
        <f>IF($V358="","",M358+P358+K358)</f>
        <v/>
      </c>
      <c r="U358" s="7">
        <f>IF($V358="","",T358-R358-I358)</f>
        <v/>
      </c>
      <c r="V358" s="13">
        <f>IF(ROWS($V$2:$V358)&lt;=MAX('Per Line'!$AH$2:$AH$6001),MATCH(ROWS($V$2:$V358),'Per Line'!$AH$2:$AH$6001,0),"")</f>
        <v/>
      </c>
    </row>
    <row r="359">
      <c r="A359" s="12" t="n"/>
      <c r="B359">
        <f>IF($V359="","",INDEX('Per Line'!$C$2:$C$6001,$V359)&amp;"")</f>
        <v/>
      </c>
      <c r="C359" s="11">
        <f>IF($V359="","",INDEX('Per Line'!$D$2:$D$6001,$V359))</f>
        <v/>
      </c>
      <c r="D359">
        <f>IF($V359="","",INDEX('Per Line'!$E$2:$E$6001,$V359)&amp;"")</f>
        <v/>
      </c>
      <c r="E359">
        <f>IF($V359="","",INDEX('Per Line'!$G$2:$G$6001,$V359)&amp;"")</f>
        <v/>
      </c>
      <c r="F359">
        <f>IF($V359="","",INDEX('Per Line'!$H$2:$H$6001,$V359)&amp;"")</f>
        <v/>
      </c>
      <c r="G359">
        <f>IF($V359="","",INDEX('Per Line'!$I$2:$I$6001,$V359)&amp;"")</f>
        <v/>
      </c>
      <c r="H359">
        <f>IF($V359="","",INDEX('Per Line'!$J$2:$J$6001,$V359))</f>
        <v/>
      </c>
      <c r="I359" s="7">
        <f>IF($V359="","",H359*S359/100)</f>
        <v/>
      </c>
      <c r="J359">
        <f>IF($V359="","",INDEX('Per Line'!$S$2:$S$6001,$V359)&amp;"")</f>
        <v/>
      </c>
      <c r="K359" s="7">
        <f>IF($V359="","",SUMIFS('Per Line'!$R$2:$R$6001,'Per Line'!$C$2:$C$6001,$B359,'Per Line'!$AJ$2:$AJ$6001,1))</f>
        <v/>
      </c>
      <c r="L359">
        <f>IF($V359="","",Settings!$C$7)</f>
        <v/>
      </c>
      <c r="M359" s="7">
        <f>IF($V359="","",SUMIFS('Per Line'!$R$2:$R$6001,'Per Line'!$C$2:$C$6001,$B359,'Per Line'!$AI$2:$AI$6001,0,'Per Line'!$AJ$2:$AJ$6001,0))</f>
        <v/>
      </c>
      <c r="N359" s="7">
        <f>IF($V359="","",M359*L359)</f>
        <v/>
      </c>
      <c r="O359">
        <f>IF($V359="","",Settings!$C$6)</f>
        <v/>
      </c>
      <c r="P359" s="7">
        <f>IF($V359="","",SUMIFS('Per Line'!$R$2:$R$6001,'Per Line'!$C$2:$C$6001,$B359,'Per Line'!$AI$2:$AI$6001,1,'Per Line'!$AJ$2:$AJ$6001,0))</f>
        <v/>
      </c>
      <c r="Q359" s="7">
        <f>IF($V359="","",P359*O359)</f>
        <v/>
      </c>
      <c r="R359" s="7">
        <f>IF($V359="","",Q359+N359)</f>
        <v/>
      </c>
      <c r="S359" s="7">
        <f>IF($V359="","",T359-R359)</f>
        <v/>
      </c>
      <c r="T359" s="7">
        <f>IF($V359="","",M359+P359+K359)</f>
        <v/>
      </c>
      <c r="U359" s="7">
        <f>IF($V359="","",T359-R359-I359)</f>
        <v/>
      </c>
      <c r="V359" s="13">
        <f>IF(ROWS($V$2:$V359)&lt;=MAX('Per Line'!$AH$2:$AH$6001),MATCH(ROWS($V$2:$V359),'Per Line'!$AH$2:$AH$6001,0),"")</f>
        <v/>
      </c>
    </row>
    <row r="360">
      <c r="A360" s="12" t="n"/>
      <c r="B360">
        <f>IF($V360="","",INDEX('Per Line'!$C$2:$C$6001,$V360)&amp;"")</f>
        <v/>
      </c>
      <c r="C360" s="11">
        <f>IF($V360="","",INDEX('Per Line'!$D$2:$D$6001,$V360))</f>
        <v/>
      </c>
      <c r="D360">
        <f>IF($V360="","",INDEX('Per Line'!$E$2:$E$6001,$V360)&amp;"")</f>
        <v/>
      </c>
      <c r="E360">
        <f>IF($V360="","",INDEX('Per Line'!$G$2:$G$6001,$V360)&amp;"")</f>
        <v/>
      </c>
      <c r="F360">
        <f>IF($V360="","",INDEX('Per Line'!$H$2:$H$6001,$V360)&amp;"")</f>
        <v/>
      </c>
      <c r="G360">
        <f>IF($V360="","",INDEX('Per Line'!$I$2:$I$6001,$V360)&amp;"")</f>
        <v/>
      </c>
      <c r="H360">
        <f>IF($V360="","",INDEX('Per Line'!$J$2:$J$6001,$V360))</f>
        <v/>
      </c>
      <c r="I360" s="7">
        <f>IF($V360="","",H360*S360/100)</f>
        <v/>
      </c>
      <c r="J360">
        <f>IF($V360="","",INDEX('Per Line'!$S$2:$S$6001,$V360)&amp;"")</f>
        <v/>
      </c>
      <c r="K360" s="7">
        <f>IF($V360="","",SUMIFS('Per Line'!$R$2:$R$6001,'Per Line'!$C$2:$C$6001,$B360,'Per Line'!$AJ$2:$AJ$6001,1))</f>
        <v/>
      </c>
      <c r="L360">
        <f>IF($V360="","",Settings!$C$7)</f>
        <v/>
      </c>
      <c r="M360" s="7">
        <f>IF($V360="","",SUMIFS('Per Line'!$R$2:$R$6001,'Per Line'!$C$2:$C$6001,$B360,'Per Line'!$AI$2:$AI$6001,0,'Per Line'!$AJ$2:$AJ$6001,0))</f>
        <v/>
      </c>
      <c r="N360" s="7">
        <f>IF($V360="","",M360*L360)</f>
        <v/>
      </c>
      <c r="O360">
        <f>IF($V360="","",Settings!$C$6)</f>
        <v/>
      </c>
      <c r="P360" s="7">
        <f>IF($V360="","",SUMIFS('Per Line'!$R$2:$R$6001,'Per Line'!$C$2:$C$6001,$B360,'Per Line'!$AI$2:$AI$6001,1,'Per Line'!$AJ$2:$AJ$6001,0))</f>
        <v/>
      </c>
      <c r="Q360" s="7">
        <f>IF($V360="","",P360*O360)</f>
        <v/>
      </c>
      <c r="R360" s="7">
        <f>IF($V360="","",Q360+N360)</f>
        <v/>
      </c>
      <c r="S360" s="7">
        <f>IF($V360="","",T360-R360)</f>
        <v/>
      </c>
      <c r="T360" s="7">
        <f>IF($V360="","",M360+P360+K360)</f>
        <v/>
      </c>
      <c r="U360" s="7">
        <f>IF($V360="","",T360-R360-I360)</f>
        <v/>
      </c>
      <c r="V360" s="13">
        <f>IF(ROWS($V$2:$V360)&lt;=MAX('Per Line'!$AH$2:$AH$6001),MATCH(ROWS($V$2:$V360),'Per Line'!$AH$2:$AH$6001,0),"")</f>
        <v/>
      </c>
    </row>
    <row r="361">
      <c r="A361" s="12" t="n"/>
      <c r="B361">
        <f>IF($V361="","",INDEX('Per Line'!$C$2:$C$6001,$V361)&amp;"")</f>
        <v/>
      </c>
      <c r="C361" s="11">
        <f>IF($V361="","",INDEX('Per Line'!$D$2:$D$6001,$V361))</f>
        <v/>
      </c>
      <c r="D361">
        <f>IF($V361="","",INDEX('Per Line'!$E$2:$E$6001,$V361)&amp;"")</f>
        <v/>
      </c>
      <c r="E361">
        <f>IF($V361="","",INDEX('Per Line'!$G$2:$G$6001,$V361)&amp;"")</f>
        <v/>
      </c>
      <c r="F361">
        <f>IF($V361="","",INDEX('Per Line'!$H$2:$H$6001,$V361)&amp;"")</f>
        <v/>
      </c>
      <c r="G361">
        <f>IF($V361="","",INDEX('Per Line'!$I$2:$I$6001,$V361)&amp;"")</f>
        <v/>
      </c>
      <c r="H361">
        <f>IF($V361="","",INDEX('Per Line'!$J$2:$J$6001,$V361))</f>
        <v/>
      </c>
      <c r="I361" s="7">
        <f>IF($V361="","",H361*S361/100)</f>
        <v/>
      </c>
      <c r="J361">
        <f>IF($V361="","",INDEX('Per Line'!$S$2:$S$6001,$V361)&amp;"")</f>
        <v/>
      </c>
      <c r="K361" s="7">
        <f>IF($V361="","",SUMIFS('Per Line'!$R$2:$R$6001,'Per Line'!$C$2:$C$6001,$B361,'Per Line'!$AJ$2:$AJ$6001,1))</f>
        <v/>
      </c>
      <c r="L361">
        <f>IF($V361="","",Settings!$C$7)</f>
        <v/>
      </c>
      <c r="M361" s="7">
        <f>IF($V361="","",SUMIFS('Per Line'!$R$2:$R$6001,'Per Line'!$C$2:$C$6001,$B361,'Per Line'!$AI$2:$AI$6001,0,'Per Line'!$AJ$2:$AJ$6001,0))</f>
        <v/>
      </c>
      <c r="N361" s="7">
        <f>IF($V361="","",M361*L361)</f>
        <v/>
      </c>
      <c r="O361">
        <f>IF($V361="","",Settings!$C$6)</f>
        <v/>
      </c>
      <c r="P361" s="7">
        <f>IF($V361="","",SUMIFS('Per Line'!$R$2:$R$6001,'Per Line'!$C$2:$C$6001,$B361,'Per Line'!$AI$2:$AI$6001,1,'Per Line'!$AJ$2:$AJ$6001,0))</f>
        <v/>
      </c>
      <c r="Q361" s="7">
        <f>IF($V361="","",P361*O361)</f>
        <v/>
      </c>
      <c r="R361" s="7">
        <f>IF($V361="","",Q361+N361)</f>
        <v/>
      </c>
      <c r="S361" s="7">
        <f>IF($V361="","",T361-R361)</f>
        <v/>
      </c>
      <c r="T361" s="7">
        <f>IF($V361="","",M361+P361+K361)</f>
        <v/>
      </c>
      <c r="U361" s="7">
        <f>IF($V361="","",T361-R361-I361)</f>
        <v/>
      </c>
      <c r="V361" s="13">
        <f>IF(ROWS($V$2:$V361)&lt;=MAX('Per Line'!$AH$2:$AH$6001),MATCH(ROWS($V$2:$V361),'Per Line'!$AH$2:$AH$6001,0),"")</f>
        <v/>
      </c>
    </row>
    <row r="362">
      <c r="A362" s="12" t="n"/>
      <c r="B362">
        <f>IF($V362="","",INDEX('Per Line'!$C$2:$C$6001,$V362)&amp;"")</f>
        <v/>
      </c>
      <c r="C362" s="11">
        <f>IF($V362="","",INDEX('Per Line'!$D$2:$D$6001,$V362))</f>
        <v/>
      </c>
      <c r="D362">
        <f>IF($V362="","",INDEX('Per Line'!$E$2:$E$6001,$V362)&amp;"")</f>
        <v/>
      </c>
      <c r="E362">
        <f>IF($V362="","",INDEX('Per Line'!$G$2:$G$6001,$V362)&amp;"")</f>
        <v/>
      </c>
      <c r="F362">
        <f>IF($V362="","",INDEX('Per Line'!$H$2:$H$6001,$V362)&amp;"")</f>
        <v/>
      </c>
      <c r="G362">
        <f>IF($V362="","",INDEX('Per Line'!$I$2:$I$6001,$V362)&amp;"")</f>
        <v/>
      </c>
      <c r="H362">
        <f>IF($V362="","",INDEX('Per Line'!$J$2:$J$6001,$V362))</f>
        <v/>
      </c>
      <c r="I362" s="7">
        <f>IF($V362="","",H362*S362/100)</f>
        <v/>
      </c>
      <c r="J362">
        <f>IF($V362="","",INDEX('Per Line'!$S$2:$S$6001,$V362)&amp;"")</f>
        <v/>
      </c>
      <c r="K362" s="7">
        <f>IF($V362="","",SUMIFS('Per Line'!$R$2:$R$6001,'Per Line'!$C$2:$C$6001,$B362,'Per Line'!$AJ$2:$AJ$6001,1))</f>
        <v/>
      </c>
      <c r="L362">
        <f>IF($V362="","",Settings!$C$7)</f>
        <v/>
      </c>
      <c r="M362" s="7">
        <f>IF($V362="","",SUMIFS('Per Line'!$R$2:$R$6001,'Per Line'!$C$2:$C$6001,$B362,'Per Line'!$AI$2:$AI$6001,0,'Per Line'!$AJ$2:$AJ$6001,0))</f>
        <v/>
      </c>
      <c r="N362" s="7">
        <f>IF($V362="","",M362*L362)</f>
        <v/>
      </c>
      <c r="O362">
        <f>IF($V362="","",Settings!$C$6)</f>
        <v/>
      </c>
      <c r="P362" s="7">
        <f>IF($V362="","",SUMIFS('Per Line'!$R$2:$R$6001,'Per Line'!$C$2:$C$6001,$B362,'Per Line'!$AI$2:$AI$6001,1,'Per Line'!$AJ$2:$AJ$6001,0))</f>
        <v/>
      </c>
      <c r="Q362" s="7">
        <f>IF($V362="","",P362*O362)</f>
        <v/>
      </c>
      <c r="R362" s="7">
        <f>IF($V362="","",Q362+N362)</f>
        <v/>
      </c>
      <c r="S362" s="7">
        <f>IF($V362="","",T362-R362)</f>
        <v/>
      </c>
      <c r="T362" s="7">
        <f>IF($V362="","",M362+P362+K362)</f>
        <v/>
      </c>
      <c r="U362" s="7">
        <f>IF($V362="","",T362-R362-I362)</f>
        <v/>
      </c>
      <c r="V362" s="13">
        <f>IF(ROWS($V$2:$V362)&lt;=MAX('Per Line'!$AH$2:$AH$6001),MATCH(ROWS($V$2:$V362),'Per Line'!$AH$2:$AH$6001,0),"")</f>
        <v/>
      </c>
    </row>
    <row r="363">
      <c r="A363" s="12" t="n"/>
      <c r="B363">
        <f>IF($V363="","",INDEX('Per Line'!$C$2:$C$6001,$V363)&amp;"")</f>
        <v/>
      </c>
      <c r="C363" s="11">
        <f>IF($V363="","",INDEX('Per Line'!$D$2:$D$6001,$V363))</f>
        <v/>
      </c>
      <c r="D363">
        <f>IF($V363="","",INDEX('Per Line'!$E$2:$E$6001,$V363)&amp;"")</f>
        <v/>
      </c>
      <c r="E363">
        <f>IF($V363="","",INDEX('Per Line'!$G$2:$G$6001,$V363)&amp;"")</f>
        <v/>
      </c>
      <c r="F363">
        <f>IF($V363="","",INDEX('Per Line'!$H$2:$H$6001,$V363)&amp;"")</f>
        <v/>
      </c>
      <c r="G363">
        <f>IF($V363="","",INDEX('Per Line'!$I$2:$I$6001,$V363)&amp;"")</f>
        <v/>
      </c>
      <c r="H363">
        <f>IF($V363="","",INDEX('Per Line'!$J$2:$J$6001,$V363))</f>
        <v/>
      </c>
      <c r="I363" s="7">
        <f>IF($V363="","",H363*S363/100)</f>
        <v/>
      </c>
      <c r="J363">
        <f>IF($V363="","",INDEX('Per Line'!$S$2:$S$6001,$V363)&amp;"")</f>
        <v/>
      </c>
      <c r="K363" s="7">
        <f>IF($V363="","",SUMIFS('Per Line'!$R$2:$R$6001,'Per Line'!$C$2:$C$6001,$B363,'Per Line'!$AJ$2:$AJ$6001,1))</f>
        <v/>
      </c>
      <c r="L363">
        <f>IF($V363="","",Settings!$C$7)</f>
        <v/>
      </c>
      <c r="M363" s="7">
        <f>IF($V363="","",SUMIFS('Per Line'!$R$2:$R$6001,'Per Line'!$C$2:$C$6001,$B363,'Per Line'!$AI$2:$AI$6001,0,'Per Line'!$AJ$2:$AJ$6001,0))</f>
        <v/>
      </c>
      <c r="N363" s="7">
        <f>IF($V363="","",M363*L363)</f>
        <v/>
      </c>
      <c r="O363">
        <f>IF($V363="","",Settings!$C$6)</f>
        <v/>
      </c>
      <c r="P363" s="7">
        <f>IF($V363="","",SUMIFS('Per Line'!$R$2:$R$6001,'Per Line'!$C$2:$C$6001,$B363,'Per Line'!$AI$2:$AI$6001,1,'Per Line'!$AJ$2:$AJ$6001,0))</f>
        <v/>
      </c>
      <c r="Q363" s="7">
        <f>IF($V363="","",P363*O363)</f>
        <v/>
      </c>
      <c r="R363" s="7">
        <f>IF($V363="","",Q363+N363)</f>
        <v/>
      </c>
      <c r="S363" s="7">
        <f>IF($V363="","",T363-R363)</f>
        <v/>
      </c>
      <c r="T363" s="7">
        <f>IF($V363="","",M363+P363+K363)</f>
        <v/>
      </c>
      <c r="U363" s="7">
        <f>IF($V363="","",T363-R363-I363)</f>
        <v/>
      </c>
      <c r="V363" s="13">
        <f>IF(ROWS($V$2:$V363)&lt;=MAX('Per Line'!$AH$2:$AH$6001),MATCH(ROWS($V$2:$V363),'Per Line'!$AH$2:$AH$6001,0),"")</f>
        <v/>
      </c>
    </row>
    <row r="364">
      <c r="A364" s="12" t="n"/>
      <c r="B364">
        <f>IF($V364="","",INDEX('Per Line'!$C$2:$C$6001,$V364)&amp;"")</f>
        <v/>
      </c>
      <c r="C364" s="11">
        <f>IF($V364="","",INDEX('Per Line'!$D$2:$D$6001,$V364))</f>
        <v/>
      </c>
      <c r="D364">
        <f>IF($V364="","",INDEX('Per Line'!$E$2:$E$6001,$V364)&amp;"")</f>
        <v/>
      </c>
      <c r="E364">
        <f>IF($V364="","",INDEX('Per Line'!$G$2:$G$6001,$V364)&amp;"")</f>
        <v/>
      </c>
      <c r="F364">
        <f>IF($V364="","",INDEX('Per Line'!$H$2:$H$6001,$V364)&amp;"")</f>
        <v/>
      </c>
      <c r="G364">
        <f>IF($V364="","",INDEX('Per Line'!$I$2:$I$6001,$V364)&amp;"")</f>
        <v/>
      </c>
      <c r="H364">
        <f>IF($V364="","",INDEX('Per Line'!$J$2:$J$6001,$V364))</f>
        <v/>
      </c>
      <c r="I364" s="7">
        <f>IF($V364="","",H364*S364/100)</f>
        <v/>
      </c>
      <c r="J364">
        <f>IF($V364="","",INDEX('Per Line'!$S$2:$S$6001,$V364)&amp;"")</f>
        <v/>
      </c>
      <c r="K364" s="7">
        <f>IF($V364="","",SUMIFS('Per Line'!$R$2:$R$6001,'Per Line'!$C$2:$C$6001,$B364,'Per Line'!$AJ$2:$AJ$6001,1))</f>
        <v/>
      </c>
      <c r="L364">
        <f>IF($V364="","",Settings!$C$7)</f>
        <v/>
      </c>
      <c r="M364" s="7">
        <f>IF($V364="","",SUMIFS('Per Line'!$R$2:$R$6001,'Per Line'!$C$2:$C$6001,$B364,'Per Line'!$AI$2:$AI$6001,0,'Per Line'!$AJ$2:$AJ$6001,0))</f>
        <v/>
      </c>
      <c r="N364" s="7">
        <f>IF($V364="","",M364*L364)</f>
        <v/>
      </c>
      <c r="O364">
        <f>IF($V364="","",Settings!$C$6)</f>
        <v/>
      </c>
      <c r="P364" s="7">
        <f>IF($V364="","",SUMIFS('Per Line'!$R$2:$R$6001,'Per Line'!$C$2:$C$6001,$B364,'Per Line'!$AI$2:$AI$6001,1,'Per Line'!$AJ$2:$AJ$6001,0))</f>
        <v/>
      </c>
      <c r="Q364" s="7">
        <f>IF($V364="","",P364*O364)</f>
        <v/>
      </c>
      <c r="R364" s="7">
        <f>IF($V364="","",Q364+N364)</f>
        <v/>
      </c>
      <c r="S364" s="7">
        <f>IF($V364="","",T364-R364)</f>
        <v/>
      </c>
      <c r="T364" s="7">
        <f>IF($V364="","",M364+P364+K364)</f>
        <v/>
      </c>
      <c r="U364" s="7">
        <f>IF($V364="","",T364-R364-I364)</f>
        <v/>
      </c>
      <c r="V364" s="13">
        <f>IF(ROWS($V$2:$V364)&lt;=MAX('Per Line'!$AH$2:$AH$6001),MATCH(ROWS($V$2:$V364),'Per Line'!$AH$2:$AH$6001,0),"")</f>
        <v/>
      </c>
    </row>
    <row r="365">
      <c r="A365" s="12" t="n"/>
      <c r="B365">
        <f>IF($V365="","",INDEX('Per Line'!$C$2:$C$6001,$V365)&amp;"")</f>
        <v/>
      </c>
      <c r="C365" s="11">
        <f>IF($V365="","",INDEX('Per Line'!$D$2:$D$6001,$V365))</f>
        <v/>
      </c>
      <c r="D365">
        <f>IF($V365="","",INDEX('Per Line'!$E$2:$E$6001,$V365)&amp;"")</f>
        <v/>
      </c>
      <c r="E365">
        <f>IF($V365="","",INDEX('Per Line'!$G$2:$G$6001,$V365)&amp;"")</f>
        <v/>
      </c>
      <c r="F365">
        <f>IF($V365="","",INDEX('Per Line'!$H$2:$H$6001,$V365)&amp;"")</f>
        <v/>
      </c>
      <c r="G365">
        <f>IF($V365="","",INDEX('Per Line'!$I$2:$I$6001,$V365)&amp;"")</f>
        <v/>
      </c>
      <c r="H365">
        <f>IF($V365="","",INDEX('Per Line'!$J$2:$J$6001,$V365))</f>
        <v/>
      </c>
      <c r="I365" s="7">
        <f>IF($V365="","",H365*S365/100)</f>
        <v/>
      </c>
      <c r="J365">
        <f>IF($V365="","",INDEX('Per Line'!$S$2:$S$6001,$V365)&amp;"")</f>
        <v/>
      </c>
      <c r="K365" s="7">
        <f>IF($V365="","",SUMIFS('Per Line'!$R$2:$R$6001,'Per Line'!$C$2:$C$6001,$B365,'Per Line'!$AJ$2:$AJ$6001,1))</f>
        <v/>
      </c>
      <c r="L365">
        <f>IF($V365="","",Settings!$C$7)</f>
        <v/>
      </c>
      <c r="M365" s="7">
        <f>IF($V365="","",SUMIFS('Per Line'!$R$2:$R$6001,'Per Line'!$C$2:$C$6001,$B365,'Per Line'!$AI$2:$AI$6001,0,'Per Line'!$AJ$2:$AJ$6001,0))</f>
        <v/>
      </c>
      <c r="N365" s="7">
        <f>IF($V365="","",M365*L365)</f>
        <v/>
      </c>
      <c r="O365">
        <f>IF($V365="","",Settings!$C$6)</f>
        <v/>
      </c>
      <c r="P365" s="7">
        <f>IF($V365="","",SUMIFS('Per Line'!$R$2:$R$6001,'Per Line'!$C$2:$C$6001,$B365,'Per Line'!$AI$2:$AI$6001,1,'Per Line'!$AJ$2:$AJ$6001,0))</f>
        <v/>
      </c>
      <c r="Q365" s="7">
        <f>IF($V365="","",P365*O365)</f>
        <v/>
      </c>
      <c r="R365" s="7">
        <f>IF($V365="","",Q365+N365)</f>
        <v/>
      </c>
      <c r="S365" s="7">
        <f>IF($V365="","",T365-R365)</f>
        <v/>
      </c>
      <c r="T365" s="7">
        <f>IF($V365="","",M365+P365+K365)</f>
        <v/>
      </c>
      <c r="U365" s="7">
        <f>IF($V365="","",T365-R365-I365)</f>
        <v/>
      </c>
      <c r="V365" s="13">
        <f>IF(ROWS($V$2:$V365)&lt;=MAX('Per Line'!$AH$2:$AH$6001),MATCH(ROWS($V$2:$V365),'Per Line'!$AH$2:$AH$6001,0),"")</f>
        <v/>
      </c>
    </row>
    <row r="366">
      <c r="A366" s="12" t="n"/>
      <c r="B366">
        <f>IF($V366="","",INDEX('Per Line'!$C$2:$C$6001,$V366)&amp;"")</f>
        <v/>
      </c>
      <c r="C366" s="11">
        <f>IF($V366="","",INDEX('Per Line'!$D$2:$D$6001,$V366))</f>
        <v/>
      </c>
      <c r="D366">
        <f>IF($V366="","",INDEX('Per Line'!$E$2:$E$6001,$V366)&amp;"")</f>
        <v/>
      </c>
      <c r="E366">
        <f>IF($V366="","",INDEX('Per Line'!$G$2:$G$6001,$V366)&amp;"")</f>
        <v/>
      </c>
      <c r="F366">
        <f>IF($V366="","",INDEX('Per Line'!$H$2:$H$6001,$V366)&amp;"")</f>
        <v/>
      </c>
      <c r="G366">
        <f>IF($V366="","",INDEX('Per Line'!$I$2:$I$6001,$V366)&amp;"")</f>
        <v/>
      </c>
      <c r="H366">
        <f>IF($V366="","",INDEX('Per Line'!$J$2:$J$6001,$V366))</f>
        <v/>
      </c>
      <c r="I366" s="7">
        <f>IF($V366="","",H366*S366/100)</f>
        <v/>
      </c>
      <c r="J366">
        <f>IF($V366="","",INDEX('Per Line'!$S$2:$S$6001,$V366)&amp;"")</f>
        <v/>
      </c>
      <c r="K366" s="7">
        <f>IF($V366="","",SUMIFS('Per Line'!$R$2:$R$6001,'Per Line'!$C$2:$C$6001,$B366,'Per Line'!$AJ$2:$AJ$6001,1))</f>
        <v/>
      </c>
      <c r="L366">
        <f>IF($V366="","",Settings!$C$7)</f>
        <v/>
      </c>
      <c r="M366" s="7">
        <f>IF($V366="","",SUMIFS('Per Line'!$R$2:$R$6001,'Per Line'!$C$2:$C$6001,$B366,'Per Line'!$AI$2:$AI$6001,0,'Per Line'!$AJ$2:$AJ$6001,0))</f>
        <v/>
      </c>
      <c r="N366" s="7">
        <f>IF($V366="","",M366*L366)</f>
        <v/>
      </c>
      <c r="O366">
        <f>IF($V366="","",Settings!$C$6)</f>
        <v/>
      </c>
      <c r="P366" s="7">
        <f>IF($V366="","",SUMIFS('Per Line'!$R$2:$R$6001,'Per Line'!$C$2:$C$6001,$B366,'Per Line'!$AI$2:$AI$6001,1,'Per Line'!$AJ$2:$AJ$6001,0))</f>
        <v/>
      </c>
      <c r="Q366" s="7">
        <f>IF($V366="","",P366*O366)</f>
        <v/>
      </c>
      <c r="R366" s="7">
        <f>IF($V366="","",Q366+N366)</f>
        <v/>
      </c>
      <c r="S366" s="7">
        <f>IF($V366="","",T366-R366)</f>
        <v/>
      </c>
      <c r="T366" s="7">
        <f>IF($V366="","",M366+P366+K366)</f>
        <v/>
      </c>
      <c r="U366" s="7">
        <f>IF($V366="","",T366-R366-I366)</f>
        <v/>
      </c>
      <c r="V366" s="13">
        <f>IF(ROWS($V$2:$V366)&lt;=MAX('Per Line'!$AH$2:$AH$6001),MATCH(ROWS($V$2:$V366),'Per Line'!$AH$2:$AH$6001,0),"")</f>
        <v/>
      </c>
    </row>
    <row r="367">
      <c r="A367" s="12" t="n"/>
      <c r="B367">
        <f>IF($V367="","",INDEX('Per Line'!$C$2:$C$6001,$V367)&amp;"")</f>
        <v/>
      </c>
      <c r="C367" s="11">
        <f>IF($V367="","",INDEX('Per Line'!$D$2:$D$6001,$V367))</f>
        <v/>
      </c>
      <c r="D367">
        <f>IF($V367="","",INDEX('Per Line'!$E$2:$E$6001,$V367)&amp;"")</f>
        <v/>
      </c>
      <c r="E367">
        <f>IF($V367="","",INDEX('Per Line'!$G$2:$G$6001,$V367)&amp;"")</f>
        <v/>
      </c>
      <c r="F367">
        <f>IF($V367="","",INDEX('Per Line'!$H$2:$H$6001,$V367)&amp;"")</f>
        <v/>
      </c>
      <c r="G367">
        <f>IF($V367="","",INDEX('Per Line'!$I$2:$I$6001,$V367)&amp;"")</f>
        <v/>
      </c>
      <c r="H367">
        <f>IF($V367="","",INDEX('Per Line'!$J$2:$J$6001,$V367))</f>
        <v/>
      </c>
      <c r="I367" s="7">
        <f>IF($V367="","",H367*S367/100)</f>
        <v/>
      </c>
      <c r="J367">
        <f>IF($V367="","",INDEX('Per Line'!$S$2:$S$6001,$V367)&amp;"")</f>
        <v/>
      </c>
      <c r="K367" s="7">
        <f>IF($V367="","",SUMIFS('Per Line'!$R$2:$R$6001,'Per Line'!$C$2:$C$6001,$B367,'Per Line'!$AJ$2:$AJ$6001,1))</f>
        <v/>
      </c>
      <c r="L367">
        <f>IF($V367="","",Settings!$C$7)</f>
        <v/>
      </c>
      <c r="M367" s="7">
        <f>IF($V367="","",SUMIFS('Per Line'!$R$2:$R$6001,'Per Line'!$C$2:$C$6001,$B367,'Per Line'!$AI$2:$AI$6001,0,'Per Line'!$AJ$2:$AJ$6001,0))</f>
        <v/>
      </c>
      <c r="N367" s="7">
        <f>IF($V367="","",M367*L367)</f>
        <v/>
      </c>
      <c r="O367">
        <f>IF($V367="","",Settings!$C$6)</f>
        <v/>
      </c>
      <c r="P367" s="7">
        <f>IF($V367="","",SUMIFS('Per Line'!$R$2:$R$6001,'Per Line'!$C$2:$C$6001,$B367,'Per Line'!$AI$2:$AI$6001,1,'Per Line'!$AJ$2:$AJ$6001,0))</f>
        <v/>
      </c>
      <c r="Q367" s="7">
        <f>IF($V367="","",P367*O367)</f>
        <v/>
      </c>
      <c r="R367" s="7">
        <f>IF($V367="","",Q367+N367)</f>
        <v/>
      </c>
      <c r="S367" s="7">
        <f>IF($V367="","",T367-R367)</f>
        <v/>
      </c>
      <c r="T367" s="7">
        <f>IF($V367="","",M367+P367+K367)</f>
        <v/>
      </c>
      <c r="U367" s="7">
        <f>IF($V367="","",T367-R367-I367)</f>
        <v/>
      </c>
      <c r="V367" s="13">
        <f>IF(ROWS($V$2:$V367)&lt;=MAX('Per Line'!$AH$2:$AH$6001),MATCH(ROWS($V$2:$V367),'Per Line'!$AH$2:$AH$6001,0),"")</f>
        <v/>
      </c>
    </row>
    <row r="368">
      <c r="A368" s="12" t="n"/>
      <c r="B368">
        <f>IF($V368="","",INDEX('Per Line'!$C$2:$C$6001,$V368)&amp;"")</f>
        <v/>
      </c>
      <c r="C368" s="11">
        <f>IF($V368="","",INDEX('Per Line'!$D$2:$D$6001,$V368))</f>
        <v/>
      </c>
      <c r="D368">
        <f>IF($V368="","",INDEX('Per Line'!$E$2:$E$6001,$V368)&amp;"")</f>
        <v/>
      </c>
      <c r="E368">
        <f>IF($V368="","",INDEX('Per Line'!$G$2:$G$6001,$V368)&amp;"")</f>
        <v/>
      </c>
      <c r="F368">
        <f>IF($V368="","",INDEX('Per Line'!$H$2:$H$6001,$V368)&amp;"")</f>
        <v/>
      </c>
      <c r="G368">
        <f>IF($V368="","",INDEX('Per Line'!$I$2:$I$6001,$V368)&amp;"")</f>
        <v/>
      </c>
      <c r="H368">
        <f>IF($V368="","",INDEX('Per Line'!$J$2:$J$6001,$V368))</f>
        <v/>
      </c>
      <c r="I368" s="7">
        <f>IF($V368="","",H368*S368/100)</f>
        <v/>
      </c>
      <c r="J368">
        <f>IF($V368="","",INDEX('Per Line'!$S$2:$S$6001,$V368)&amp;"")</f>
        <v/>
      </c>
      <c r="K368" s="7">
        <f>IF($V368="","",SUMIFS('Per Line'!$R$2:$R$6001,'Per Line'!$C$2:$C$6001,$B368,'Per Line'!$AJ$2:$AJ$6001,1))</f>
        <v/>
      </c>
      <c r="L368">
        <f>IF($V368="","",Settings!$C$7)</f>
        <v/>
      </c>
      <c r="M368" s="7">
        <f>IF($V368="","",SUMIFS('Per Line'!$R$2:$R$6001,'Per Line'!$C$2:$C$6001,$B368,'Per Line'!$AI$2:$AI$6001,0,'Per Line'!$AJ$2:$AJ$6001,0))</f>
        <v/>
      </c>
      <c r="N368" s="7">
        <f>IF($V368="","",M368*L368)</f>
        <v/>
      </c>
      <c r="O368">
        <f>IF($V368="","",Settings!$C$6)</f>
        <v/>
      </c>
      <c r="P368" s="7">
        <f>IF($V368="","",SUMIFS('Per Line'!$R$2:$R$6001,'Per Line'!$C$2:$C$6001,$B368,'Per Line'!$AI$2:$AI$6001,1,'Per Line'!$AJ$2:$AJ$6001,0))</f>
        <v/>
      </c>
      <c r="Q368" s="7">
        <f>IF($V368="","",P368*O368)</f>
        <v/>
      </c>
      <c r="R368" s="7">
        <f>IF($V368="","",Q368+N368)</f>
        <v/>
      </c>
      <c r="S368" s="7">
        <f>IF($V368="","",T368-R368)</f>
        <v/>
      </c>
      <c r="T368" s="7">
        <f>IF($V368="","",M368+P368+K368)</f>
        <v/>
      </c>
      <c r="U368" s="7">
        <f>IF($V368="","",T368-R368-I368)</f>
        <v/>
      </c>
      <c r="V368" s="13">
        <f>IF(ROWS($V$2:$V368)&lt;=MAX('Per Line'!$AH$2:$AH$6001),MATCH(ROWS($V$2:$V368),'Per Line'!$AH$2:$AH$6001,0),"")</f>
        <v/>
      </c>
    </row>
    <row r="369">
      <c r="A369" s="12" t="n"/>
      <c r="B369">
        <f>IF($V369="","",INDEX('Per Line'!$C$2:$C$6001,$V369)&amp;"")</f>
        <v/>
      </c>
      <c r="C369" s="11">
        <f>IF($V369="","",INDEX('Per Line'!$D$2:$D$6001,$V369))</f>
        <v/>
      </c>
      <c r="D369">
        <f>IF($V369="","",INDEX('Per Line'!$E$2:$E$6001,$V369)&amp;"")</f>
        <v/>
      </c>
      <c r="E369">
        <f>IF($V369="","",INDEX('Per Line'!$G$2:$G$6001,$V369)&amp;"")</f>
        <v/>
      </c>
      <c r="F369">
        <f>IF($V369="","",INDEX('Per Line'!$H$2:$H$6001,$V369)&amp;"")</f>
        <v/>
      </c>
      <c r="G369">
        <f>IF($V369="","",INDEX('Per Line'!$I$2:$I$6001,$V369)&amp;"")</f>
        <v/>
      </c>
      <c r="H369">
        <f>IF($V369="","",INDEX('Per Line'!$J$2:$J$6001,$V369))</f>
        <v/>
      </c>
      <c r="I369" s="7">
        <f>IF($V369="","",H369*S369/100)</f>
        <v/>
      </c>
      <c r="J369">
        <f>IF($V369="","",INDEX('Per Line'!$S$2:$S$6001,$V369)&amp;"")</f>
        <v/>
      </c>
      <c r="K369" s="7">
        <f>IF($V369="","",SUMIFS('Per Line'!$R$2:$R$6001,'Per Line'!$C$2:$C$6001,$B369,'Per Line'!$AJ$2:$AJ$6001,1))</f>
        <v/>
      </c>
      <c r="L369">
        <f>IF($V369="","",Settings!$C$7)</f>
        <v/>
      </c>
      <c r="M369" s="7">
        <f>IF($V369="","",SUMIFS('Per Line'!$R$2:$R$6001,'Per Line'!$C$2:$C$6001,$B369,'Per Line'!$AI$2:$AI$6001,0,'Per Line'!$AJ$2:$AJ$6001,0))</f>
        <v/>
      </c>
      <c r="N369" s="7">
        <f>IF($V369="","",M369*L369)</f>
        <v/>
      </c>
      <c r="O369">
        <f>IF($V369="","",Settings!$C$6)</f>
        <v/>
      </c>
      <c r="P369" s="7">
        <f>IF($V369="","",SUMIFS('Per Line'!$R$2:$R$6001,'Per Line'!$C$2:$C$6001,$B369,'Per Line'!$AI$2:$AI$6001,1,'Per Line'!$AJ$2:$AJ$6001,0))</f>
        <v/>
      </c>
      <c r="Q369" s="7">
        <f>IF($V369="","",P369*O369)</f>
        <v/>
      </c>
      <c r="R369" s="7">
        <f>IF($V369="","",Q369+N369)</f>
        <v/>
      </c>
      <c r="S369" s="7">
        <f>IF($V369="","",T369-R369)</f>
        <v/>
      </c>
      <c r="T369" s="7">
        <f>IF($V369="","",M369+P369+K369)</f>
        <v/>
      </c>
      <c r="U369" s="7">
        <f>IF($V369="","",T369-R369-I369)</f>
        <v/>
      </c>
      <c r="V369" s="13">
        <f>IF(ROWS($V$2:$V369)&lt;=MAX('Per Line'!$AH$2:$AH$6001),MATCH(ROWS($V$2:$V369),'Per Line'!$AH$2:$AH$6001,0),"")</f>
        <v/>
      </c>
    </row>
    <row r="370">
      <c r="A370" s="12" t="n"/>
      <c r="B370">
        <f>IF($V370="","",INDEX('Per Line'!$C$2:$C$6001,$V370)&amp;"")</f>
        <v/>
      </c>
      <c r="C370" s="11">
        <f>IF($V370="","",INDEX('Per Line'!$D$2:$D$6001,$V370))</f>
        <v/>
      </c>
      <c r="D370">
        <f>IF($V370="","",INDEX('Per Line'!$E$2:$E$6001,$V370)&amp;"")</f>
        <v/>
      </c>
      <c r="E370">
        <f>IF($V370="","",INDEX('Per Line'!$G$2:$G$6001,$V370)&amp;"")</f>
        <v/>
      </c>
      <c r="F370">
        <f>IF($V370="","",INDEX('Per Line'!$H$2:$H$6001,$V370)&amp;"")</f>
        <v/>
      </c>
      <c r="G370">
        <f>IF($V370="","",INDEX('Per Line'!$I$2:$I$6001,$V370)&amp;"")</f>
        <v/>
      </c>
      <c r="H370">
        <f>IF($V370="","",INDEX('Per Line'!$J$2:$J$6001,$V370))</f>
        <v/>
      </c>
      <c r="I370" s="7">
        <f>IF($V370="","",H370*S370/100)</f>
        <v/>
      </c>
      <c r="J370">
        <f>IF($V370="","",INDEX('Per Line'!$S$2:$S$6001,$V370)&amp;"")</f>
        <v/>
      </c>
      <c r="K370" s="7">
        <f>IF($V370="","",SUMIFS('Per Line'!$R$2:$R$6001,'Per Line'!$C$2:$C$6001,$B370,'Per Line'!$AJ$2:$AJ$6001,1))</f>
        <v/>
      </c>
      <c r="L370">
        <f>IF($V370="","",Settings!$C$7)</f>
        <v/>
      </c>
      <c r="M370" s="7">
        <f>IF($V370="","",SUMIFS('Per Line'!$R$2:$R$6001,'Per Line'!$C$2:$C$6001,$B370,'Per Line'!$AI$2:$AI$6001,0,'Per Line'!$AJ$2:$AJ$6001,0))</f>
        <v/>
      </c>
      <c r="N370" s="7">
        <f>IF($V370="","",M370*L370)</f>
        <v/>
      </c>
      <c r="O370">
        <f>IF($V370="","",Settings!$C$6)</f>
        <v/>
      </c>
      <c r="P370" s="7">
        <f>IF($V370="","",SUMIFS('Per Line'!$R$2:$R$6001,'Per Line'!$C$2:$C$6001,$B370,'Per Line'!$AI$2:$AI$6001,1,'Per Line'!$AJ$2:$AJ$6001,0))</f>
        <v/>
      </c>
      <c r="Q370" s="7">
        <f>IF($V370="","",P370*O370)</f>
        <v/>
      </c>
      <c r="R370" s="7">
        <f>IF($V370="","",Q370+N370)</f>
        <v/>
      </c>
      <c r="S370" s="7">
        <f>IF($V370="","",T370-R370)</f>
        <v/>
      </c>
      <c r="T370" s="7">
        <f>IF($V370="","",M370+P370+K370)</f>
        <v/>
      </c>
      <c r="U370" s="7">
        <f>IF($V370="","",T370-R370-I370)</f>
        <v/>
      </c>
      <c r="V370" s="13">
        <f>IF(ROWS($V$2:$V370)&lt;=MAX('Per Line'!$AH$2:$AH$6001),MATCH(ROWS($V$2:$V370),'Per Line'!$AH$2:$AH$6001,0),"")</f>
        <v/>
      </c>
    </row>
    <row r="371">
      <c r="A371" s="12" t="n"/>
      <c r="B371">
        <f>IF($V371="","",INDEX('Per Line'!$C$2:$C$6001,$V371)&amp;"")</f>
        <v/>
      </c>
      <c r="C371" s="11">
        <f>IF($V371="","",INDEX('Per Line'!$D$2:$D$6001,$V371))</f>
        <v/>
      </c>
      <c r="D371">
        <f>IF($V371="","",INDEX('Per Line'!$E$2:$E$6001,$V371)&amp;"")</f>
        <v/>
      </c>
      <c r="E371">
        <f>IF($V371="","",INDEX('Per Line'!$G$2:$G$6001,$V371)&amp;"")</f>
        <v/>
      </c>
      <c r="F371">
        <f>IF($V371="","",INDEX('Per Line'!$H$2:$H$6001,$V371)&amp;"")</f>
        <v/>
      </c>
      <c r="G371">
        <f>IF($V371="","",INDEX('Per Line'!$I$2:$I$6001,$V371)&amp;"")</f>
        <v/>
      </c>
      <c r="H371">
        <f>IF($V371="","",INDEX('Per Line'!$J$2:$J$6001,$V371))</f>
        <v/>
      </c>
      <c r="I371" s="7">
        <f>IF($V371="","",H371*S371/100)</f>
        <v/>
      </c>
      <c r="J371">
        <f>IF($V371="","",INDEX('Per Line'!$S$2:$S$6001,$V371)&amp;"")</f>
        <v/>
      </c>
      <c r="K371" s="7">
        <f>IF($V371="","",SUMIFS('Per Line'!$R$2:$R$6001,'Per Line'!$C$2:$C$6001,$B371,'Per Line'!$AJ$2:$AJ$6001,1))</f>
        <v/>
      </c>
      <c r="L371">
        <f>IF($V371="","",Settings!$C$7)</f>
        <v/>
      </c>
      <c r="M371" s="7">
        <f>IF($V371="","",SUMIFS('Per Line'!$R$2:$R$6001,'Per Line'!$C$2:$C$6001,$B371,'Per Line'!$AI$2:$AI$6001,0,'Per Line'!$AJ$2:$AJ$6001,0))</f>
        <v/>
      </c>
      <c r="N371" s="7">
        <f>IF($V371="","",M371*L371)</f>
        <v/>
      </c>
      <c r="O371">
        <f>IF($V371="","",Settings!$C$6)</f>
        <v/>
      </c>
      <c r="P371" s="7">
        <f>IF($V371="","",SUMIFS('Per Line'!$R$2:$R$6001,'Per Line'!$C$2:$C$6001,$B371,'Per Line'!$AI$2:$AI$6001,1,'Per Line'!$AJ$2:$AJ$6001,0))</f>
        <v/>
      </c>
      <c r="Q371" s="7">
        <f>IF($V371="","",P371*O371)</f>
        <v/>
      </c>
      <c r="R371" s="7">
        <f>IF($V371="","",Q371+N371)</f>
        <v/>
      </c>
      <c r="S371" s="7">
        <f>IF($V371="","",T371-R371)</f>
        <v/>
      </c>
      <c r="T371" s="7">
        <f>IF($V371="","",M371+P371+K371)</f>
        <v/>
      </c>
      <c r="U371" s="7">
        <f>IF($V371="","",T371-R371-I371)</f>
        <v/>
      </c>
      <c r="V371" s="13">
        <f>IF(ROWS($V$2:$V371)&lt;=MAX('Per Line'!$AH$2:$AH$6001),MATCH(ROWS($V$2:$V371),'Per Line'!$AH$2:$AH$6001,0),"")</f>
        <v/>
      </c>
    </row>
    <row r="372">
      <c r="A372" s="12" t="n"/>
      <c r="B372">
        <f>IF($V372="","",INDEX('Per Line'!$C$2:$C$6001,$V372)&amp;"")</f>
        <v/>
      </c>
      <c r="C372" s="11">
        <f>IF($V372="","",INDEX('Per Line'!$D$2:$D$6001,$V372))</f>
        <v/>
      </c>
      <c r="D372">
        <f>IF($V372="","",INDEX('Per Line'!$E$2:$E$6001,$V372)&amp;"")</f>
        <v/>
      </c>
      <c r="E372">
        <f>IF($V372="","",INDEX('Per Line'!$G$2:$G$6001,$V372)&amp;"")</f>
        <v/>
      </c>
      <c r="F372">
        <f>IF($V372="","",INDEX('Per Line'!$H$2:$H$6001,$V372)&amp;"")</f>
        <v/>
      </c>
      <c r="G372">
        <f>IF($V372="","",INDEX('Per Line'!$I$2:$I$6001,$V372)&amp;"")</f>
        <v/>
      </c>
      <c r="H372">
        <f>IF($V372="","",INDEX('Per Line'!$J$2:$J$6001,$V372))</f>
        <v/>
      </c>
      <c r="I372" s="7">
        <f>IF($V372="","",H372*S372/100)</f>
        <v/>
      </c>
      <c r="J372">
        <f>IF($V372="","",INDEX('Per Line'!$S$2:$S$6001,$V372)&amp;"")</f>
        <v/>
      </c>
      <c r="K372" s="7">
        <f>IF($V372="","",SUMIFS('Per Line'!$R$2:$R$6001,'Per Line'!$C$2:$C$6001,$B372,'Per Line'!$AJ$2:$AJ$6001,1))</f>
        <v/>
      </c>
      <c r="L372">
        <f>IF($V372="","",Settings!$C$7)</f>
        <v/>
      </c>
      <c r="M372" s="7">
        <f>IF($V372="","",SUMIFS('Per Line'!$R$2:$R$6001,'Per Line'!$C$2:$C$6001,$B372,'Per Line'!$AI$2:$AI$6001,0,'Per Line'!$AJ$2:$AJ$6001,0))</f>
        <v/>
      </c>
      <c r="N372" s="7">
        <f>IF($V372="","",M372*L372)</f>
        <v/>
      </c>
      <c r="O372">
        <f>IF($V372="","",Settings!$C$6)</f>
        <v/>
      </c>
      <c r="P372" s="7">
        <f>IF($V372="","",SUMIFS('Per Line'!$R$2:$R$6001,'Per Line'!$C$2:$C$6001,$B372,'Per Line'!$AI$2:$AI$6001,1,'Per Line'!$AJ$2:$AJ$6001,0))</f>
        <v/>
      </c>
      <c r="Q372" s="7">
        <f>IF($V372="","",P372*O372)</f>
        <v/>
      </c>
      <c r="R372" s="7">
        <f>IF($V372="","",Q372+N372)</f>
        <v/>
      </c>
      <c r="S372" s="7">
        <f>IF($V372="","",T372-R372)</f>
        <v/>
      </c>
      <c r="T372" s="7">
        <f>IF($V372="","",M372+P372+K372)</f>
        <v/>
      </c>
      <c r="U372" s="7">
        <f>IF($V372="","",T372-R372-I372)</f>
        <v/>
      </c>
      <c r="V372" s="13">
        <f>IF(ROWS($V$2:$V372)&lt;=MAX('Per Line'!$AH$2:$AH$6001),MATCH(ROWS($V$2:$V372),'Per Line'!$AH$2:$AH$6001,0),"")</f>
        <v/>
      </c>
    </row>
    <row r="373">
      <c r="A373" s="12" t="n"/>
      <c r="B373">
        <f>IF($V373="","",INDEX('Per Line'!$C$2:$C$6001,$V373)&amp;"")</f>
        <v/>
      </c>
      <c r="C373" s="11">
        <f>IF($V373="","",INDEX('Per Line'!$D$2:$D$6001,$V373))</f>
        <v/>
      </c>
      <c r="D373">
        <f>IF($V373="","",INDEX('Per Line'!$E$2:$E$6001,$V373)&amp;"")</f>
        <v/>
      </c>
      <c r="E373">
        <f>IF($V373="","",INDEX('Per Line'!$G$2:$G$6001,$V373)&amp;"")</f>
        <v/>
      </c>
      <c r="F373">
        <f>IF($V373="","",INDEX('Per Line'!$H$2:$H$6001,$V373)&amp;"")</f>
        <v/>
      </c>
      <c r="G373">
        <f>IF($V373="","",INDEX('Per Line'!$I$2:$I$6001,$V373)&amp;"")</f>
        <v/>
      </c>
      <c r="H373">
        <f>IF($V373="","",INDEX('Per Line'!$J$2:$J$6001,$V373))</f>
        <v/>
      </c>
      <c r="I373" s="7">
        <f>IF($V373="","",H373*S373/100)</f>
        <v/>
      </c>
      <c r="J373">
        <f>IF($V373="","",INDEX('Per Line'!$S$2:$S$6001,$V373)&amp;"")</f>
        <v/>
      </c>
      <c r="K373" s="7">
        <f>IF($V373="","",SUMIFS('Per Line'!$R$2:$R$6001,'Per Line'!$C$2:$C$6001,$B373,'Per Line'!$AJ$2:$AJ$6001,1))</f>
        <v/>
      </c>
      <c r="L373">
        <f>IF($V373="","",Settings!$C$7)</f>
        <v/>
      </c>
      <c r="M373" s="7">
        <f>IF($V373="","",SUMIFS('Per Line'!$R$2:$R$6001,'Per Line'!$C$2:$C$6001,$B373,'Per Line'!$AI$2:$AI$6001,0,'Per Line'!$AJ$2:$AJ$6001,0))</f>
        <v/>
      </c>
      <c r="N373" s="7">
        <f>IF($V373="","",M373*L373)</f>
        <v/>
      </c>
      <c r="O373">
        <f>IF($V373="","",Settings!$C$6)</f>
        <v/>
      </c>
      <c r="P373" s="7">
        <f>IF($V373="","",SUMIFS('Per Line'!$R$2:$R$6001,'Per Line'!$C$2:$C$6001,$B373,'Per Line'!$AI$2:$AI$6001,1,'Per Line'!$AJ$2:$AJ$6001,0))</f>
        <v/>
      </c>
      <c r="Q373" s="7">
        <f>IF($V373="","",P373*O373)</f>
        <v/>
      </c>
      <c r="R373" s="7">
        <f>IF($V373="","",Q373+N373)</f>
        <v/>
      </c>
      <c r="S373" s="7">
        <f>IF($V373="","",T373-R373)</f>
        <v/>
      </c>
      <c r="T373" s="7">
        <f>IF($V373="","",M373+P373+K373)</f>
        <v/>
      </c>
      <c r="U373" s="7">
        <f>IF($V373="","",T373-R373-I373)</f>
        <v/>
      </c>
      <c r="V373" s="13">
        <f>IF(ROWS($V$2:$V373)&lt;=MAX('Per Line'!$AH$2:$AH$6001),MATCH(ROWS($V$2:$V373),'Per Line'!$AH$2:$AH$6001,0),"")</f>
        <v/>
      </c>
    </row>
    <row r="374">
      <c r="A374" s="12" t="n"/>
      <c r="B374">
        <f>IF($V374="","",INDEX('Per Line'!$C$2:$C$6001,$V374)&amp;"")</f>
        <v/>
      </c>
      <c r="C374" s="11">
        <f>IF($V374="","",INDEX('Per Line'!$D$2:$D$6001,$V374))</f>
        <v/>
      </c>
      <c r="D374">
        <f>IF($V374="","",INDEX('Per Line'!$E$2:$E$6001,$V374)&amp;"")</f>
        <v/>
      </c>
      <c r="E374">
        <f>IF($V374="","",INDEX('Per Line'!$G$2:$G$6001,$V374)&amp;"")</f>
        <v/>
      </c>
      <c r="F374">
        <f>IF($V374="","",INDEX('Per Line'!$H$2:$H$6001,$V374)&amp;"")</f>
        <v/>
      </c>
      <c r="G374">
        <f>IF($V374="","",INDEX('Per Line'!$I$2:$I$6001,$V374)&amp;"")</f>
        <v/>
      </c>
      <c r="H374">
        <f>IF($V374="","",INDEX('Per Line'!$J$2:$J$6001,$V374))</f>
        <v/>
      </c>
      <c r="I374" s="7">
        <f>IF($V374="","",H374*S374/100)</f>
        <v/>
      </c>
      <c r="J374">
        <f>IF($V374="","",INDEX('Per Line'!$S$2:$S$6001,$V374)&amp;"")</f>
        <v/>
      </c>
      <c r="K374" s="7">
        <f>IF($V374="","",SUMIFS('Per Line'!$R$2:$R$6001,'Per Line'!$C$2:$C$6001,$B374,'Per Line'!$AJ$2:$AJ$6001,1))</f>
        <v/>
      </c>
      <c r="L374">
        <f>IF($V374="","",Settings!$C$7)</f>
        <v/>
      </c>
      <c r="M374" s="7">
        <f>IF($V374="","",SUMIFS('Per Line'!$R$2:$R$6001,'Per Line'!$C$2:$C$6001,$B374,'Per Line'!$AI$2:$AI$6001,0,'Per Line'!$AJ$2:$AJ$6001,0))</f>
        <v/>
      </c>
      <c r="N374" s="7">
        <f>IF($V374="","",M374*L374)</f>
        <v/>
      </c>
      <c r="O374">
        <f>IF($V374="","",Settings!$C$6)</f>
        <v/>
      </c>
      <c r="P374" s="7">
        <f>IF($V374="","",SUMIFS('Per Line'!$R$2:$R$6001,'Per Line'!$C$2:$C$6001,$B374,'Per Line'!$AI$2:$AI$6001,1,'Per Line'!$AJ$2:$AJ$6001,0))</f>
        <v/>
      </c>
      <c r="Q374" s="7">
        <f>IF($V374="","",P374*O374)</f>
        <v/>
      </c>
      <c r="R374" s="7">
        <f>IF($V374="","",Q374+N374)</f>
        <v/>
      </c>
      <c r="S374" s="7">
        <f>IF($V374="","",T374-R374)</f>
        <v/>
      </c>
      <c r="T374" s="7">
        <f>IF($V374="","",M374+P374+K374)</f>
        <v/>
      </c>
      <c r="U374" s="7">
        <f>IF($V374="","",T374-R374-I374)</f>
        <v/>
      </c>
      <c r="V374" s="13">
        <f>IF(ROWS($V$2:$V374)&lt;=MAX('Per Line'!$AH$2:$AH$6001),MATCH(ROWS($V$2:$V374),'Per Line'!$AH$2:$AH$6001,0),"")</f>
        <v/>
      </c>
    </row>
    <row r="375">
      <c r="A375" s="12" t="n"/>
      <c r="B375">
        <f>IF($V375="","",INDEX('Per Line'!$C$2:$C$6001,$V375)&amp;"")</f>
        <v/>
      </c>
      <c r="C375" s="11">
        <f>IF($V375="","",INDEX('Per Line'!$D$2:$D$6001,$V375))</f>
        <v/>
      </c>
      <c r="D375">
        <f>IF($V375="","",INDEX('Per Line'!$E$2:$E$6001,$V375)&amp;"")</f>
        <v/>
      </c>
      <c r="E375">
        <f>IF($V375="","",INDEX('Per Line'!$G$2:$G$6001,$V375)&amp;"")</f>
        <v/>
      </c>
      <c r="F375">
        <f>IF($V375="","",INDEX('Per Line'!$H$2:$H$6001,$V375)&amp;"")</f>
        <v/>
      </c>
      <c r="G375">
        <f>IF($V375="","",INDEX('Per Line'!$I$2:$I$6001,$V375)&amp;"")</f>
        <v/>
      </c>
      <c r="H375">
        <f>IF($V375="","",INDEX('Per Line'!$J$2:$J$6001,$V375))</f>
        <v/>
      </c>
      <c r="I375" s="7">
        <f>IF($V375="","",H375*S375/100)</f>
        <v/>
      </c>
      <c r="J375">
        <f>IF($V375="","",INDEX('Per Line'!$S$2:$S$6001,$V375)&amp;"")</f>
        <v/>
      </c>
      <c r="K375" s="7">
        <f>IF($V375="","",SUMIFS('Per Line'!$R$2:$R$6001,'Per Line'!$C$2:$C$6001,$B375,'Per Line'!$AJ$2:$AJ$6001,1))</f>
        <v/>
      </c>
      <c r="L375">
        <f>IF($V375="","",Settings!$C$7)</f>
        <v/>
      </c>
      <c r="M375" s="7">
        <f>IF($V375="","",SUMIFS('Per Line'!$R$2:$R$6001,'Per Line'!$C$2:$C$6001,$B375,'Per Line'!$AI$2:$AI$6001,0,'Per Line'!$AJ$2:$AJ$6001,0))</f>
        <v/>
      </c>
      <c r="N375" s="7">
        <f>IF($V375="","",M375*L375)</f>
        <v/>
      </c>
      <c r="O375">
        <f>IF($V375="","",Settings!$C$6)</f>
        <v/>
      </c>
      <c r="P375" s="7">
        <f>IF($V375="","",SUMIFS('Per Line'!$R$2:$R$6001,'Per Line'!$C$2:$C$6001,$B375,'Per Line'!$AI$2:$AI$6001,1,'Per Line'!$AJ$2:$AJ$6001,0))</f>
        <v/>
      </c>
      <c r="Q375" s="7">
        <f>IF($V375="","",P375*O375)</f>
        <v/>
      </c>
      <c r="R375" s="7">
        <f>IF($V375="","",Q375+N375)</f>
        <v/>
      </c>
      <c r="S375" s="7">
        <f>IF($V375="","",T375-R375)</f>
        <v/>
      </c>
      <c r="T375" s="7">
        <f>IF($V375="","",M375+P375+K375)</f>
        <v/>
      </c>
      <c r="U375" s="7">
        <f>IF($V375="","",T375-R375-I375)</f>
        <v/>
      </c>
      <c r="V375" s="13">
        <f>IF(ROWS($V$2:$V375)&lt;=MAX('Per Line'!$AH$2:$AH$6001),MATCH(ROWS($V$2:$V375),'Per Line'!$AH$2:$AH$6001,0),"")</f>
        <v/>
      </c>
    </row>
    <row r="376">
      <c r="A376" s="12" t="n"/>
      <c r="B376">
        <f>IF($V376="","",INDEX('Per Line'!$C$2:$C$6001,$V376)&amp;"")</f>
        <v/>
      </c>
      <c r="C376" s="11">
        <f>IF($V376="","",INDEX('Per Line'!$D$2:$D$6001,$V376))</f>
        <v/>
      </c>
      <c r="D376">
        <f>IF($V376="","",INDEX('Per Line'!$E$2:$E$6001,$V376)&amp;"")</f>
        <v/>
      </c>
      <c r="E376">
        <f>IF($V376="","",INDEX('Per Line'!$G$2:$G$6001,$V376)&amp;"")</f>
        <v/>
      </c>
      <c r="F376">
        <f>IF($V376="","",INDEX('Per Line'!$H$2:$H$6001,$V376)&amp;"")</f>
        <v/>
      </c>
      <c r="G376">
        <f>IF($V376="","",INDEX('Per Line'!$I$2:$I$6001,$V376)&amp;"")</f>
        <v/>
      </c>
      <c r="H376">
        <f>IF($V376="","",INDEX('Per Line'!$J$2:$J$6001,$V376))</f>
        <v/>
      </c>
      <c r="I376" s="7">
        <f>IF($V376="","",H376*S376/100)</f>
        <v/>
      </c>
      <c r="J376">
        <f>IF($V376="","",INDEX('Per Line'!$S$2:$S$6001,$V376)&amp;"")</f>
        <v/>
      </c>
      <c r="K376" s="7">
        <f>IF($V376="","",SUMIFS('Per Line'!$R$2:$R$6001,'Per Line'!$C$2:$C$6001,$B376,'Per Line'!$AJ$2:$AJ$6001,1))</f>
        <v/>
      </c>
      <c r="L376">
        <f>IF($V376="","",Settings!$C$7)</f>
        <v/>
      </c>
      <c r="M376" s="7">
        <f>IF($V376="","",SUMIFS('Per Line'!$R$2:$R$6001,'Per Line'!$C$2:$C$6001,$B376,'Per Line'!$AI$2:$AI$6001,0,'Per Line'!$AJ$2:$AJ$6001,0))</f>
        <v/>
      </c>
      <c r="N376" s="7">
        <f>IF($V376="","",M376*L376)</f>
        <v/>
      </c>
      <c r="O376">
        <f>IF($V376="","",Settings!$C$6)</f>
        <v/>
      </c>
      <c r="P376" s="7">
        <f>IF($V376="","",SUMIFS('Per Line'!$R$2:$R$6001,'Per Line'!$C$2:$C$6001,$B376,'Per Line'!$AI$2:$AI$6001,1,'Per Line'!$AJ$2:$AJ$6001,0))</f>
        <v/>
      </c>
      <c r="Q376" s="7">
        <f>IF($V376="","",P376*O376)</f>
        <v/>
      </c>
      <c r="R376" s="7">
        <f>IF($V376="","",Q376+N376)</f>
        <v/>
      </c>
      <c r="S376" s="7">
        <f>IF($V376="","",T376-R376)</f>
        <v/>
      </c>
      <c r="T376" s="7">
        <f>IF($V376="","",M376+P376+K376)</f>
        <v/>
      </c>
      <c r="U376" s="7">
        <f>IF($V376="","",T376-R376-I376)</f>
        <v/>
      </c>
      <c r="V376" s="13">
        <f>IF(ROWS($V$2:$V376)&lt;=MAX('Per Line'!$AH$2:$AH$6001),MATCH(ROWS($V$2:$V376),'Per Line'!$AH$2:$AH$6001,0),"")</f>
        <v/>
      </c>
    </row>
    <row r="377">
      <c r="A377" s="12" t="n"/>
      <c r="B377">
        <f>IF($V377="","",INDEX('Per Line'!$C$2:$C$6001,$V377)&amp;"")</f>
        <v/>
      </c>
      <c r="C377" s="11">
        <f>IF($V377="","",INDEX('Per Line'!$D$2:$D$6001,$V377))</f>
        <v/>
      </c>
      <c r="D377">
        <f>IF($V377="","",INDEX('Per Line'!$E$2:$E$6001,$V377)&amp;"")</f>
        <v/>
      </c>
      <c r="E377">
        <f>IF($V377="","",INDEX('Per Line'!$G$2:$G$6001,$V377)&amp;"")</f>
        <v/>
      </c>
      <c r="F377">
        <f>IF($V377="","",INDEX('Per Line'!$H$2:$H$6001,$V377)&amp;"")</f>
        <v/>
      </c>
      <c r="G377">
        <f>IF($V377="","",INDEX('Per Line'!$I$2:$I$6001,$V377)&amp;"")</f>
        <v/>
      </c>
      <c r="H377">
        <f>IF($V377="","",INDEX('Per Line'!$J$2:$J$6001,$V377))</f>
        <v/>
      </c>
      <c r="I377" s="7">
        <f>IF($V377="","",H377*S377/100)</f>
        <v/>
      </c>
      <c r="J377">
        <f>IF($V377="","",INDEX('Per Line'!$S$2:$S$6001,$V377)&amp;"")</f>
        <v/>
      </c>
      <c r="K377" s="7">
        <f>IF($V377="","",SUMIFS('Per Line'!$R$2:$R$6001,'Per Line'!$C$2:$C$6001,$B377,'Per Line'!$AJ$2:$AJ$6001,1))</f>
        <v/>
      </c>
      <c r="L377">
        <f>IF($V377="","",Settings!$C$7)</f>
        <v/>
      </c>
      <c r="M377" s="7">
        <f>IF($V377="","",SUMIFS('Per Line'!$R$2:$R$6001,'Per Line'!$C$2:$C$6001,$B377,'Per Line'!$AI$2:$AI$6001,0,'Per Line'!$AJ$2:$AJ$6001,0))</f>
        <v/>
      </c>
      <c r="N377" s="7">
        <f>IF($V377="","",M377*L377)</f>
        <v/>
      </c>
      <c r="O377">
        <f>IF($V377="","",Settings!$C$6)</f>
        <v/>
      </c>
      <c r="P377" s="7">
        <f>IF($V377="","",SUMIFS('Per Line'!$R$2:$R$6001,'Per Line'!$C$2:$C$6001,$B377,'Per Line'!$AI$2:$AI$6001,1,'Per Line'!$AJ$2:$AJ$6001,0))</f>
        <v/>
      </c>
      <c r="Q377" s="7">
        <f>IF($V377="","",P377*O377)</f>
        <v/>
      </c>
      <c r="R377" s="7">
        <f>IF($V377="","",Q377+N377)</f>
        <v/>
      </c>
      <c r="S377" s="7">
        <f>IF($V377="","",T377-R377)</f>
        <v/>
      </c>
      <c r="T377" s="7">
        <f>IF($V377="","",M377+P377+K377)</f>
        <v/>
      </c>
      <c r="U377" s="7">
        <f>IF($V377="","",T377-R377-I377)</f>
        <v/>
      </c>
      <c r="V377" s="13">
        <f>IF(ROWS($V$2:$V377)&lt;=MAX('Per Line'!$AH$2:$AH$6001),MATCH(ROWS($V$2:$V377),'Per Line'!$AH$2:$AH$6001,0),"")</f>
        <v/>
      </c>
    </row>
    <row r="378">
      <c r="A378" s="12" t="n"/>
      <c r="B378">
        <f>IF($V378="","",INDEX('Per Line'!$C$2:$C$6001,$V378)&amp;"")</f>
        <v/>
      </c>
      <c r="C378" s="11">
        <f>IF($V378="","",INDEX('Per Line'!$D$2:$D$6001,$V378))</f>
        <v/>
      </c>
      <c r="D378">
        <f>IF($V378="","",INDEX('Per Line'!$E$2:$E$6001,$V378)&amp;"")</f>
        <v/>
      </c>
      <c r="E378">
        <f>IF($V378="","",INDEX('Per Line'!$G$2:$G$6001,$V378)&amp;"")</f>
        <v/>
      </c>
      <c r="F378">
        <f>IF($V378="","",INDEX('Per Line'!$H$2:$H$6001,$V378)&amp;"")</f>
        <v/>
      </c>
      <c r="G378">
        <f>IF($V378="","",INDEX('Per Line'!$I$2:$I$6001,$V378)&amp;"")</f>
        <v/>
      </c>
      <c r="H378">
        <f>IF($V378="","",INDEX('Per Line'!$J$2:$J$6001,$V378))</f>
        <v/>
      </c>
      <c r="I378" s="7">
        <f>IF($V378="","",H378*S378/100)</f>
        <v/>
      </c>
      <c r="J378">
        <f>IF($V378="","",INDEX('Per Line'!$S$2:$S$6001,$V378)&amp;"")</f>
        <v/>
      </c>
      <c r="K378" s="7">
        <f>IF($V378="","",SUMIFS('Per Line'!$R$2:$R$6001,'Per Line'!$C$2:$C$6001,$B378,'Per Line'!$AJ$2:$AJ$6001,1))</f>
        <v/>
      </c>
      <c r="L378">
        <f>IF($V378="","",Settings!$C$7)</f>
        <v/>
      </c>
      <c r="M378" s="7">
        <f>IF($V378="","",SUMIFS('Per Line'!$R$2:$R$6001,'Per Line'!$C$2:$C$6001,$B378,'Per Line'!$AI$2:$AI$6001,0,'Per Line'!$AJ$2:$AJ$6001,0))</f>
        <v/>
      </c>
      <c r="N378" s="7">
        <f>IF($V378="","",M378*L378)</f>
        <v/>
      </c>
      <c r="O378">
        <f>IF($V378="","",Settings!$C$6)</f>
        <v/>
      </c>
      <c r="P378" s="7">
        <f>IF($V378="","",SUMIFS('Per Line'!$R$2:$R$6001,'Per Line'!$C$2:$C$6001,$B378,'Per Line'!$AI$2:$AI$6001,1,'Per Line'!$AJ$2:$AJ$6001,0))</f>
        <v/>
      </c>
      <c r="Q378" s="7">
        <f>IF($V378="","",P378*O378)</f>
        <v/>
      </c>
      <c r="R378" s="7">
        <f>IF($V378="","",Q378+N378)</f>
        <v/>
      </c>
      <c r="S378" s="7">
        <f>IF($V378="","",T378-R378)</f>
        <v/>
      </c>
      <c r="T378" s="7">
        <f>IF($V378="","",M378+P378+K378)</f>
        <v/>
      </c>
      <c r="U378" s="7">
        <f>IF($V378="","",T378-R378-I378)</f>
        <v/>
      </c>
      <c r="V378" s="13">
        <f>IF(ROWS($V$2:$V378)&lt;=MAX('Per Line'!$AH$2:$AH$6001),MATCH(ROWS($V$2:$V378),'Per Line'!$AH$2:$AH$6001,0),"")</f>
        <v/>
      </c>
    </row>
    <row r="379">
      <c r="A379" s="12" t="n"/>
      <c r="B379">
        <f>IF($V379="","",INDEX('Per Line'!$C$2:$C$6001,$V379)&amp;"")</f>
        <v/>
      </c>
      <c r="C379" s="11">
        <f>IF($V379="","",INDEX('Per Line'!$D$2:$D$6001,$V379))</f>
        <v/>
      </c>
      <c r="D379">
        <f>IF($V379="","",INDEX('Per Line'!$E$2:$E$6001,$V379)&amp;"")</f>
        <v/>
      </c>
      <c r="E379">
        <f>IF($V379="","",INDEX('Per Line'!$G$2:$G$6001,$V379)&amp;"")</f>
        <v/>
      </c>
      <c r="F379">
        <f>IF($V379="","",INDEX('Per Line'!$H$2:$H$6001,$V379)&amp;"")</f>
        <v/>
      </c>
      <c r="G379">
        <f>IF($V379="","",INDEX('Per Line'!$I$2:$I$6001,$V379)&amp;"")</f>
        <v/>
      </c>
      <c r="H379">
        <f>IF($V379="","",INDEX('Per Line'!$J$2:$J$6001,$V379))</f>
        <v/>
      </c>
      <c r="I379" s="7">
        <f>IF($V379="","",H379*S379/100)</f>
        <v/>
      </c>
      <c r="J379">
        <f>IF($V379="","",INDEX('Per Line'!$S$2:$S$6001,$V379)&amp;"")</f>
        <v/>
      </c>
      <c r="K379" s="7">
        <f>IF($V379="","",SUMIFS('Per Line'!$R$2:$R$6001,'Per Line'!$C$2:$C$6001,$B379,'Per Line'!$AJ$2:$AJ$6001,1))</f>
        <v/>
      </c>
      <c r="L379">
        <f>IF($V379="","",Settings!$C$7)</f>
        <v/>
      </c>
      <c r="M379" s="7">
        <f>IF($V379="","",SUMIFS('Per Line'!$R$2:$R$6001,'Per Line'!$C$2:$C$6001,$B379,'Per Line'!$AI$2:$AI$6001,0,'Per Line'!$AJ$2:$AJ$6001,0))</f>
        <v/>
      </c>
      <c r="N379" s="7">
        <f>IF($V379="","",M379*L379)</f>
        <v/>
      </c>
      <c r="O379">
        <f>IF($V379="","",Settings!$C$6)</f>
        <v/>
      </c>
      <c r="P379" s="7">
        <f>IF($V379="","",SUMIFS('Per Line'!$R$2:$R$6001,'Per Line'!$C$2:$C$6001,$B379,'Per Line'!$AI$2:$AI$6001,1,'Per Line'!$AJ$2:$AJ$6001,0))</f>
        <v/>
      </c>
      <c r="Q379" s="7">
        <f>IF($V379="","",P379*O379)</f>
        <v/>
      </c>
      <c r="R379" s="7">
        <f>IF($V379="","",Q379+N379)</f>
        <v/>
      </c>
      <c r="S379" s="7">
        <f>IF($V379="","",T379-R379)</f>
        <v/>
      </c>
      <c r="T379" s="7">
        <f>IF($V379="","",M379+P379+K379)</f>
        <v/>
      </c>
      <c r="U379" s="7">
        <f>IF($V379="","",T379-R379-I379)</f>
        <v/>
      </c>
      <c r="V379" s="13">
        <f>IF(ROWS($V$2:$V379)&lt;=MAX('Per Line'!$AH$2:$AH$6001),MATCH(ROWS($V$2:$V379),'Per Line'!$AH$2:$AH$6001,0),"")</f>
        <v/>
      </c>
    </row>
    <row r="380">
      <c r="A380" s="12" t="n"/>
      <c r="B380">
        <f>IF($V380="","",INDEX('Per Line'!$C$2:$C$6001,$V380)&amp;"")</f>
        <v/>
      </c>
      <c r="C380" s="11">
        <f>IF($V380="","",INDEX('Per Line'!$D$2:$D$6001,$V380))</f>
        <v/>
      </c>
      <c r="D380">
        <f>IF($V380="","",INDEX('Per Line'!$E$2:$E$6001,$V380)&amp;"")</f>
        <v/>
      </c>
      <c r="E380">
        <f>IF($V380="","",INDEX('Per Line'!$G$2:$G$6001,$V380)&amp;"")</f>
        <v/>
      </c>
      <c r="F380">
        <f>IF($V380="","",INDEX('Per Line'!$H$2:$H$6001,$V380)&amp;"")</f>
        <v/>
      </c>
      <c r="G380">
        <f>IF($V380="","",INDEX('Per Line'!$I$2:$I$6001,$V380)&amp;"")</f>
        <v/>
      </c>
      <c r="H380">
        <f>IF($V380="","",INDEX('Per Line'!$J$2:$J$6001,$V380))</f>
        <v/>
      </c>
      <c r="I380" s="7">
        <f>IF($V380="","",H380*S380/100)</f>
        <v/>
      </c>
      <c r="J380">
        <f>IF($V380="","",INDEX('Per Line'!$S$2:$S$6001,$V380)&amp;"")</f>
        <v/>
      </c>
      <c r="K380" s="7">
        <f>IF($V380="","",SUMIFS('Per Line'!$R$2:$R$6001,'Per Line'!$C$2:$C$6001,$B380,'Per Line'!$AJ$2:$AJ$6001,1))</f>
        <v/>
      </c>
      <c r="L380">
        <f>IF($V380="","",Settings!$C$7)</f>
        <v/>
      </c>
      <c r="M380" s="7">
        <f>IF($V380="","",SUMIFS('Per Line'!$R$2:$R$6001,'Per Line'!$C$2:$C$6001,$B380,'Per Line'!$AI$2:$AI$6001,0,'Per Line'!$AJ$2:$AJ$6001,0))</f>
        <v/>
      </c>
      <c r="N380" s="7">
        <f>IF($V380="","",M380*L380)</f>
        <v/>
      </c>
      <c r="O380">
        <f>IF($V380="","",Settings!$C$6)</f>
        <v/>
      </c>
      <c r="P380" s="7">
        <f>IF($V380="","",SUMIFS('Per Line'!$R$2:$R$6001,'Per Line'!$C$2:$C$6001,$B380,'Per Line'!$AI$2:$AI$6001,1,'Per Line'!$AJ$2:$AJ$6001,0))</f>
        <v/>
      </c>
      <c r="Q380" s="7">
        <f>IF($V380="","",P380*O380)</f>
        <v/>
      </c>
      <c r="R380" s="7">
        <f>IF($V380="","",Q380+N380)</f>
        <v/>
      </c>
      <c r="S380" s="7">
        <f>IF($V380="","",T380-R380)</f>
        <v/>
      </c>
      <c r="T380" s="7">
        <f>IF($V380="","",M380+P380+K380)</f>
        <v/>
      </c>
      <c r="U380" s="7">
        <f>IF($V380="","",T380-R380-I380)</f>
        <v/>
      </c>
      <c r="V380" s="13">
        <f>IF(ROWS($V$2:$V380)&lt;=MAX('Per Line'!$AH$2:$AH$6001),MATCH(ROWS($V$2:$V380),'Per Line'!$AH$2:$AH$6001,0),"")</f>
        <v/>
      </c>
    </row>
    <row r="381">
      <c r="A381" s="12" t="n"/>
      <c r="B381">
        <f>IF($V381="","",INDEX('Per Line'!$C$2:$C$6001,$V381)&amp;"")</f>
        <v/>
      </c>
      <c r="C381" s="11">
        <f>IF($V381="","",INDEX('Per Line'!$D$2:$D$6001,$V381))</f>
        <v/>
      </c>
      <c r="D381">
        <f>IF($V381="","",INDEX('Per Line'!$E$2:$E$6001,$V381)&amp;"")</f>
        <v/>
      </c>
      <c r="E381">
        <f>IF($V381="","",INDEX('Per Line'!$G$2:$G$6001,$V381)&amp;"")</f>
        <v/>
      </c>
      <c r="F381">
        <f>IF($V381="","",INDEX('Per Line'!$H$2:$H$6001,$V381)&amp;"")</f>
        <v/>
      </c>
      <c r="G381">
        <f>IF($V381="","",INDEX('Per Line'!$I$2:$I$6001,$V381)&amp;"")</f>
        <v/>
      </c>
      <c r="H381">
        <f>IF($V381="","",INDEX('Per Line'!$J$2:$J$6001,$V381))</f>
        <v/>
      </c>
      <c r="I381" s="7">
        <f>IF($V381="","",H381*S381/100)</f>
        <v/>
      </c>
      <c r="J381">
        <f>IF($V381="","",INDEX('Per Line'!$S$2:$S$6001,$V381)&amp;"")</f>
        <v/>
      </c>
      <c r="K381" s="7">
        <f>IF($V381="","",SUMIFS('Per Line'!$R$2:$R$6001,'Per Line'!$C$2:$C$6001,$B381,'Per Line'!$AJ$2:$AJ$6001,1))</f>
        <v/>
      </c>
      <c r="L381">
        <f>IF($V381="","",Settings!$C$7)</f>
        <v/>
      </c>
      <c r="M381" s="7">
        <f>IF($V381="","",SUMIFS('Per Line'!$R$2:$R$6001,'Per Line'!$C$2:$C$6001,$B381,'Per Line'!$AI$2:$AI$6001,0,'Per Line'!$AJ$2:$AJ$6001,0))</f>
        <v/>
      </c>
      <c r="N381" s="7">
        <f>IF($V381="","",M381*L381)</f>
        <v/>
      </c>
      <c r="O381">
        <f>IF($V381="","",Settings!$C$6)</f>
        <v/>
      </c>
      <c r="P381" s="7">
        <f>IF($V381="","",SUMIFS('Per Line'!$R$2:$R$6001,'Per Line'!$C$2:$C$6001,$B381,'Per Line'!$AI$2:$AI$6001,1,'Per Line'!$AJ$2:$AJ$6001,0))</f>
        <v/>
      </c>
      <c r="Q381" s="7">
        <f>IF($V381="","",P381*O381)</f>
        <v/>
      </c>
      <c r="R381" s="7">
        <f>IF($V381="","",Q381+N381)</f>
        <v/>
      </c>
      <c r="S381" s="7">
        <f>IF($V381="","",T381-R381)</f>
        <v/>
      </c>
      <c r="T381" s="7">
        <f>IF($V381="","",M381+P381+K381)</f>
        <v/>
      </c>
      <c r="U381" s="7">
        <f>IF($V381="","",T381-R381-I381)</f>
        <v/>
      </c>
      <c r="V381" s="13">
        <f>IF(ROWS($V$2:$V381)&lt;=MAX('Per Line'!$AH$2:$AH$6001),MATCH(ROWS($V$2:$V381),'Per Line'!$AH$2:$AH$6001,0),"")</f>
        <v/>
      </c>
    </row>
    <row r="382">
      <c r="A382" s="12" t="n"/>
      <c r="B382">
        <f>IF($V382="","",INDEX('Per Line'!$C$2:$C$6001,$V382)&amp;"")</f>
        <v/>
      </c>
      <c r="C382" s="11">
        <f>IF($V382="","",INDEX('Per Line'!$D$2:$D$6001,$V382))</f>
        <v/>
      </c>
      <c r="D382">
        <f>IF($V382="","",INDEX('Per Line'!$E$2:$E$6001,$V382)&amp;"")</f>
        <v/>
      </c>
      <c r="E382">
        <f>IF($V382="","",INDEX('Per Line'!$G$2:$G$6001,$V382)&amp;"")</f>
        <v/>
      </c>
      <c r="F382">
        <f>IF($V382="","",INDEX('Per Line'!$H$2:$H$6001,$V382)&amp;"")</f>
        <v/>
      </c>
      <c r="G382">
        <f>IF($V382="","",INDEX('Per Line'!$I$2:$I$6001,$V382)&amp;"")</f>
        <v/>
      </c>
      <c r="H382">
        <f>IF($V382="","",INDEX('Per Line'!$J$2:$J$6001,$V382))</f>
        <v/>
      </c>
      <c r="I382" s="7">
        <f>IF($V382="","",H382*S382/100)</f>
        <v/>
      </c>
      <c r="J382">
        <f>IF($V382="","",INDEX('Per Line'!$S$2:$S$6001,$V382)&amp;"")</f>
        <v/>
      </c>
      <c r="K382" s="7">
        <f>IF($V382="","",SUMIFS('Per Line'!$R$2:$R$6001,'Per Line'!$C$2:$C$6001,$B382,'Per Line'!$AJ$2:$AJ$6001,1))</f>
        <v/>
      </c>
      <c r="L382">
        <f>IF($V382="","",Settings!$C$7)</f>
        <v/>
      </c>
      <c r="M382" s="7">
        <f>IF($V382="","",SUMIFS('Per Line'!$R$2:$R$6001,'Per Line'!$C$2:$C$6001,$B382,'Per Line'!$AI$2:$AI$6001,0,'Per Line'!$AJ$2:$AJ$6001,0))</f>
        <v/>
      </c>
      <c r="N382" s="7">
        <f>IF($V382="","",M382*L382)</f>
        <v/>
      </c>
      <c r="O382">
        <f>IF($V382="","",Settings!$C$6)</f>
        <v/>
      </c>
      <c r="P382" s="7">
        <f>IF($V382="","",SUMIFS('Per Line'!$R$2:$R$6001,'Per Line'!$C$2:$C$6001,$B382,'Per Line'!$AI$2:$AI$6001,1,'Per Line'!$AJ$2:$AJ$6001,0))</f>
        <v/>
      </c>
      <c r="Q382" s="7">
        <f>IF($V382="","",P382*O382)</f>
        <v/>
      </c>
      <c r="R382" s="7">
        <f>IF($V382="","",Q382+N382)</f>
        <v/>
      </c>
      <c r="S382" s="7">
        <f>IF($V382="","",T382-R382)</f>
        <v/>
      </c>
      <c r="T382" s="7">
        <f>IF($V382="","",M382+P382+K382)</f>
        <v/>
      </c>
      <c r="U382" s="7">
        <f>IF($V382="","",T382-R382-I382)</f>
        <v/>
      </c>
      <c r="V382" s="13">
        <f>IF(ROWS($V$2:$V382)&lt;=MAX('Per Line'!$AH$2:$AH$6001),MATCH(ROWS($V$2:$V382),'Per Line'!$AH$2:$AH$6001,0),"")</f>
        <v/>
      </c>
    </row>
    <row r="383">
      <c r="A383" s="12" t="n"/>
      <c r="B383">
        <f>IF($V383="","",INDEX('Per Line'!$C$2:$C$6001,$V383)&amp;"")</f>
        <v/>
      </c>
      <c r="C383" s="11">
        <f>IF($V383="","",INDEX('Per Line'!$D$2:$D$6001,$V383))</f>
        <v/>
      </c>
      <c r="D383">
        <f>IF($V383="","",INDEX('Per Line'!$E$2:$E$6001,$V383)&amp;"")</f>
        <v/>
      </c>
      <c r="E383">
        <f>IF($V383="","",INDEX('Per Line'!$G$2:$G$6001,$V383)&amp;"")</f>
        <v/>
      </c>
      <c r="F383">
        <f>IF($V383="","",INDEX('Per Line'!$H$2:$H$6001,$V383)&amp;"")</f>
        <v/>
      </c>
      <c r="G383">
        <f>IF($V383="","",INDEX('Per Line'!$I$2:$I$6001,$V383)&amp;"")</f>
        <v/>
      </c>
      <c r="H383">
        <f>IF($V383="","",INDEX('Per Line'!$J$2:$J$6001,$V383))</f>
        <v/>
      </c>
      <c r="I383" s="7">
        <f>IF($V383="","",H383*S383/100)</f>
        <v/>
      </c>
      <c r="J383">
        <f>IF($V383="","",INDEX('Per Line'!$S$2:$S$6001,$V383)&amp;"")</f>
        <v/>
      </c>
      <c r="K383" s="7">
        <f>IF($V383="","",SUMIFS('Per Line'!$R$2:$R$6001,'Per Line'!$C$2:$C$6001,$B383,'Per Line'!$AJ$2:$AJ$6001,1))</f>
        <v/>
      </c>
      <c r="L383">
        <f>IF($V383="","",Settings!$C$7)</f>
        <v/>
      </c>
      <c r="M383" s="7">
        <f>IF($V383="","",SUMIFS('Per Line'!$R$2:$R$6001,'Per Line'!$C$2:$C$6001,$B383,'Per Line'!$AI$2:$AI$6001,0,'Per Line'!$AJ$2:$AJ$6001,0))</f>
        <v/>
      </c>
      <c r="N383" s="7">
        <f>IF($V383="","",M383*L383)</f>
        <v/>
      </c>
      <c r="O383">
        <f>IF($V383="","",Settings!$C$6)</f>
        <v/>
      </c>
      <c r="P383" s="7">
        <f>IF($V383="","",SUMIFS('Per Line'!$R$2:$R$6001,'Per Line'!$C$2:$C$6001,$B383,'Per Line'!$AI$2:$AI$6001,1,'Per Line'!$AJ$2:$AJ$6001,0))</f>
        <v/>
      </c>
      <c r="Q383" s="7">
        <f>IF($V383="","",P383*O383)</f>
        <v/>
      </c>
      <c r="R383" s="7">
        <f>IF($V383="","",Q383+N383)</f>
        <v/>
      </c>
      <c r="S383" s="7">
        <f>IF($V383="","",T383-R383)</f>
        <v/>
      </c>
      <c r="T383" s="7">
        <f>IF($V383="","",M383+P383+K383)</f>
        <v/>
      </c>
      <c r="U383" s="7">
        <f>IF($V383="","",T383-R383-I383)</f>
        <v/>
      </c>
      <c r="V383" s="13">
        <f>IF(ROWS($V$2:$V383)&lt;=MAX('Per Line'!$AH$2:$AH$6001),MATCH(ROWS($V$2:$V383),'Per Line'!$AH$2:$AH$6001,0),"")</f>
        <v/>
      </c>
    </row>
    <row r="384">
      <c r="A384" s="12" t="n"/>
      <c r="B384">
        <f>IF($V384="","",INDEX('Per Line'!$C$2:$C$6001,$V384)&amp;"")</f>
        <v/>
      </c>
      <c r="C384" s="11">
        <f>IF($V384="","",INDEX('Per Line'!$D$2:$D$6001,$V384))</f>
        <v/>
      </c>
      <c r="D384">
        <f>IF($V384="","",INDEX('Per Line'!$E$2:$E$6001,$V384)&amp;"")</f>
        <v/>
      </c>
      <c r="E384">
        <f>IF($V384="","",INDEX('Per Line'!$G$2:$G$6001,$V384)&amp;"")</f>
        <v/>
      </c>
      <c r="F384">
        <f>IF($V384="","",INDEX('Per Line'!$H$2:$H$6001,$V384)&amp;"")</f>
        <v/>
      </c>
      <c r="G384">
        <f>IF($V384="","",INDEX('Per Line'!$I$2:$I$6001,$V384)&amp;"")</f>
        <v/>
      </c>
      <c r="H384">
        <f>IF($V384="","",INDEX('Per Line'!$J$2:$J$6001,$V384))</f>
        <v/>
      </c>
      <c r="I384" s="7">
        <f>IF($V384="","",H384*S384/100)</f>
        <v/>
      </c>
      <c r="J384">
        <f>IF($V384="","",INDEX('Per Line'!$S$2:$S$6001,$V384)&amp;"")</f>
        <v/>
      </c>
      <c r="K384" s="7">
        <f>IF($V384="","",SUMIFS('Per Line'!$R$2:$R$6001,'Per Line'!$C$2:$C$6001,$B384,'Per Line'!$AJ$2:$AJ$6001,1))</f>
        <v/>
      </c>
      <c r="L384">
        <f>IF($V384="","",Settings!$C$7)</f>
        <v/>
      </c>
      <c r="M384" s="7">
        <f>IF($V384="","",SUMIFS('Per Line'!$R$2:$R$6001,'Per Line'!$C$2:$C$6001,$B384,'Per Line'!$AI$2:$AI$6001,0,'Per Line'!$AJ$2:$AJ$6001,0))</f>
        <v/>
      </c>
      <c r="N384" s="7">
        <f>IF($V384="","",M384*L384)</f>
        <v/>
      </c>
      <c r="O384">
        <f>IF($V384="","",Settings!$C$6)</f>
        <v/>
      </c>
      <c r="P384" s="7">
        <f>IF($V384="","",SUMIFS('Per Line'!$R$2:$R$6001,'Per Line'!$C$2:$C$6001,$B384,'Per Line'!$AI$2:$AI$6001,1,'Per Line'!$AJ$2:$AJ$6001,0))</f>
        <v/>
      </c>
      <c r="Q384" s="7">
        <f>IF($V384="","",P384*O384)</f>
        <v/>
      </c>
      <c r="R384" s="7">
        <f>IF($V384="","",Q384+N384)</f>
        <v/>
      </c>
      <c r="S384" s="7">
        <f>IF($V384="","",T384-R384)</f>
        <v/>
      </c>
      <c r="T384" s="7">
        <f>IF($V384="","",M384+P384+K384)</f>
        <v/>
      </c>
      <c r="U384" s="7">
        <f>IF($V384="","",T384-R384-I384)</f>
        <v/>
      </c>
      <c r="V384" s="13">
        <f>IF(ROWS($V$2:$V384)&lt;=MAX('Per Line'!$AH$2:$AH$6001),MATCH(ROWS($V$2:$V384),'Per Line'!$AH$2:$AH$6001,0),"")</f>
        <v/>
      </c>
    </row>
    <row r="385">
      <c r="A385" s="12" t="n"/>
      <c r="B385">
        <f>IF($V385="","",INDEX('Per Line'!$C$2:$C$6001,$V385)&amp;"")</f>
        <v/>
      </c>
      <c r="C385" s="11">
        <f>IF($V385="","",INDEX('Per Line'!$D$2:$D$6001,$V385))</f>
        <v/>
      </c>
      <c r="D385">
        <f>IF($V385="","",INDEX('Per Line'!$E$2:$E$6001,$V385)&amp;"")</f>
        <v/>
      </c>
      <c r="E385">
        <f>IF($V385="","",INDEX('Per Line'!$G$2:$G$6001,$V385)&amp;"")</f>
        <v/>
      </c>
      <c r="F385">
        <f>IF($V385="","",INDEX('Per Line'!$H$2:$H$6001,$V385)&amp;"")</f>
        <v/>
      </c>
      <c r="G385">
        <f>IF($V385="","",INDEX('Per Line'!$I$2:$I$6001,$V385)&amp;"")</f>
        <v/>
      </c>
      <c r="H385">
        <f>IF($V385="","",INDEX('Per Line'!$J$2:$J$6001,$V385))</f>
        <v/>
      </c>
      <c r="I385" s="7">
        <f>IF($V385="","",H385*S385/100)</f>
        <v/>
      </c>
      <c r="J385">
        <f>IF($V385="","",INDEX('Per Line'!$S$2:$S$6001,$V385)&amp;"")</f>
        <v/>
      </c>
      <c r="K385" s="7">
        <f>IF($V385="","",SUMIFS('Per Line'!$R$2:$R$6001,'Per Line'!$C$2:$C$6001,$B385,'Per Line'!$AJ$2:$AJ$6001,1))</f>
        <v/>
      </c>
      <c r="L385">
        <f>IF($V385="","",Settings!$C$7)</f>
        <v/>
      </c>
      <c r="M385" s="7">
        <f>IF($V385="","",SUMIFS('Per Line'!$R$2:$R$6001,'Per Line'!$C$2:$C$6001,$B385,'Per Line'!$AI$2:$AI$6001,0,'Per Line'!$AJ$2:$AJ$6001,0))</f>
        <v/>
      </c>
      <c r="N385" s="7">
        <f>IF($V385="","",M385*L385)</f>
        <v/>
      </c>
      <c r="O385">
        <f>IF($V385="","",Settings!$C$6)</f>
        <v/>
      </c>
      <c r="P385" s="7">
        <f>IF($V385="","",SUMIFS('Per Line'!$R$2:$R$6001,'Per Line'!$C$2:$C$6001,$B385,'Per Line'!$AI$2:$AI$6001,1,'Per Line'!$AJ$2:$AJ$6001,0))</f>
        <v/>
      </c>
      <c r="Q385" s="7">
        <f>IF($V385="","",P385*O385)</f>
        <v/>
      </c>
      <c r="R385" s="7">
        <f>IF($V385="","",Q385+N385)</f>
        <v/>
      </c>
      <c r="S385" s="7">
        <f>IF($V385="","",T385-R385)</f>
        <v/>
      </c>
      <c r="T385" s="7">
        <f>IF($V385="","",M385+P385+K385)</f>
        <v/>
      </c>
      <c r="U385" s="7">
        <f>IF($V385="","",T385-R385-I385)</f>
        <v/>
      </c>
      <c r="V385" s="13">
        <f>IF(ROWS($V$2:$V385)&lt;=MAX('Per Line'!$AH$2:$AH$6001),MATCH(ROWS($V$2:$V385),'Per Line'!$AH$2:$AH$6001,0),"")</f>
        <v/>
      </c>
    </row>
    <row r="386">
      <c r="A386" s="12" t="n"/>
      <c r="B386">
        <f>IF($V386="","",INDEX('Per Line'!$C$2:$C$6001,$V386)&amp;"")</f>
        <v/>
      </c>
      <c r="C386" s="11">
        <f>IF($V386="","",INDEX('Per Line'!$D$2:$D$6001,$V386))</f>
        <v/>
      </c>
      <c r="D386">
        <f>IF($V386="","",INDEX('Per Line'!$E$2:$E$6001,$V386)&amp;"")</f>
        <v/>
      </c>
      <c r="E386">
        <f>IF($V386="","",INDEX('Per Line'!$G$2:$G$6001,$V386)&amp;"")</f>
        <v/>
      </c>
      <c r="F386">
        <f>IF($V386="","",INDEX('Per Line'!$H$2:$H$6001,$V386)&amp;"")</f>
        <v/>
      </c>
      <c r="G386">
        <f>IF($V386="","",INDEX('Per Line'!$I$2:$I$6001,$V386)&amp;"")</f>
        <v/>
      </c>
      <c r="H386">
        <f>IF($V386="","",INDEX('Per Line'!$J$2:$J$6001,$V386))</f>
        <v/>
      </c>
      <c r="I386" s="7">
        <f>IF($V386="","",H386*S386/100)</f>
        <v/>
      </c>
      <c r="J386">
        <f>IF($V386="","",INDEX('Per Line'!$S$2:$S$6001,$V386)&amp;"")</f>
        <v/>
      </c>
      <c r="K386" s="7">
        <f>IF($V386="","",SUMIFS('Per Line'!$R$2:$R$6001,'Per Line'!$C$2:$C$6001,$B386,'Per Line'!$AJ$2:$AJ$6001,1))</f>
        <v/>
      </c>
      <c r="L386">
        <f>IF($V386="","",Settings!$C$7)</f>
        <v/>
      </c>
      <c r="M386" s="7">
        <f>IF($V386="","",SUMIFS('Per Line'!$R$2:$R$6001,'Per Line'!$C$2:$C$6001,$B386,'Per Line'!$AI$2:$AI$6001,0,'Per Line'!$AJ$2:$AJ$6001,0))</f>
        <v/>
      </c>
      <c r="N386" s="7">
        <f>IF($V386="","",M386*L386)</f>
        <v/>
      </c>
      <c r="O386">
        <f>IF($V386="","",Settings!$C$6)</f>
        <v/>
      </c>
      <c r="P386" s="7">
        <f>IF($V386="","",SUMIFS('Per Line'!$R$2:$R$6001,'Per Line'!$C$2:$C$6001,$B386,'Per Line'!$AI$2:$AI$6001,1,'Per Line'!$AJ$2:$AJ$6001,0))</f>
        <v/>
      </c>
      <c r="Q386" s="7">
        <f>IF($V386="","",P386*O386)</f>
        <v/>
      </c>
      <c r="R386" s="7">
        <f>IF($V386="","",Q386+N386)</f>
        <v/>
      </c>
      <c r="S386" s="7">
        <f>IF($V386="","",T386-R386)</f>
        <v/>
      </c>
      <c r="T386" s="7">
        <f>IF($V386="","",M386+P386+K386)</f>
        <v/>
      </c>
      <c r="U386" s="7">
        <f>IF($V386="","",T386-R386-I386)</f>
        <v/>
      </c>
      <c r="V386" s="13">
        <f>IF(ROWS($V$2:$V386)&lt;=MAX('Per Line'!$AH$2:$AH$6001),MATCH(ROWS($V$2:$V386),'Per Line'!$AH$2:$AH$6001,0),"")</f>
        <v/>
      </c>
    </row>
    <row r="387">
      <c r="A387" s="12" t="n"/>
      <c r="B387">
        <f>IF($V387="","",INDEX('Per Line'!$C$2:$C$6001,$V387)&amp;"")</f>
        <v/>
      </c>
      <c r="C387" s="11">
        <f>IF($V387="","",INDEX('Per Line'!$D$2:$D$6001,$V387))</f>
        <v/>
      </c>
      <c r="D387">
        <f>IF($V387="","",INDEX('Per Line'!$E$2:$E$6001,$V387)&amp;"")</f>
        <v/>
      </c>
      <c r="E387">
        <f>IF($V387="","",INDEX('Per Line'!$G$2:$G$6001,$V387)&amp;"")</f>
        <v/>
      </c>
      <c r="F387">
        <f>IF($V387="","",INDEX('Per Line'!$H$2:$H$6001,$V387)&amp;"")</f>
        <v/>
      </c>
      <c r="G387">
        <f>IF($V387="","",INDEX('Per Line'!$I$2:$I$6001,$V387)&amp;"")</f>
        <v/>
      </c>
      <c r="H387">
        <f>IF($V387="","",INDEX('Per Line'!$J$2:$J$6001,$V387))</f>
        <v/>
      </c>
      <c r="I387" s="7">
        <f>IF($V387="","",H387*S387/100)</f>
        <v/>
      </c>
      <c r="J387">
        <f>IF($V387="","",INDEX('Per Line'!$S$2:$S$6001,$V387)&amp;"")</f>
        <v/>
      </c>
      <c r="K387" s="7">
        <f>IF($V387="","",SUMIFS('Per Line'!$R$2:$R$6001,'Per Line'!$C$2:$C$6001,$B387,'Per Line'!$AJ$2:$AJ$6001,1))</f>
        <v/>
      </c>
      <c r="L387">
        <f>IF($V387="","",Settings!$C$7)</f>
        <v/>
      </c>
      <c r="M387" s="7">
        <f>IF($V387="","",SUMIFS('Per Line'!$R$2:$R$6001,'Per Line'!$C$2:$C$6001,$B387,'Per Line'!$AI$2:$AI$6001,0,'Per Line'!$AJ$2:$AJ$6001,0))</f>
        <v/>
      </c>
      <c r="N387" s="7">
        <f>IF($V387="","",M387*L387)</f>
        <v/>
      </c>
      <c r="O387">
        <f>IF($V387="","",Settings!$C$6)</f>
        <v/>
      </c>
      <c r="P387" s="7">
        <f>IF($V387="","",SUMIFS('Per Line'!$R$2:$R$6001,'Per Line'!$C$2:$C$6001,$B387,'Per Line'!$AI$2:$AI$6001,1,'Per Line'!$AJ$2:$AJ$6001,0))</f>
        <v/>
      </c>
      <c r="Q387" s="7">
        <f>IF($V387="","",P387*O387)</f>
        <v/>
      </c>
      <c r="R387" s="7">
        <f>IF($V387="","",Q387+N387)</f>
        <v/>
      </c>
      <c r="S387" s="7">
        <f>IF($V387="","",T387-R387)</f>
        <v/>
      </c>
      <c r="T387" s="7">
        <f>IF($V387="","",M387+P387+K387)</f>
        <v/>
      </c>
      <c r="U387" s="7">
        <f>IF($V387="","",T387-R387-I387)</f>
        <v/>
      </c>
      <c r="V387" s="13">
        <f>IF(ROWS($V$2:$V387)&lt;=MAX('Per Line'!$AH$2:$AH$6001),MATCH(ROWS($V$2:$V387),'Per Line'!$AH$2:$AH$6001,0),"")</f>
        <v/>
      </c>
    </row>
    <row r="388">
      <c r="A388" s="12" t="n"/>
      <c r="B388">
        <f>IF($V388="","",INDEX('Per Line'!$C$2:$C$6001,$V388)&amp;"")</f>
        <v/>
      </c>
      <c r="C388" s="11">
        <f>IF($V388="","",INDEX('Per Line'!$D$2:$D$6001,$V388))</f>
        <v/>
      </c>
      <c r="D388">
        <f>IF($V388="","",INDEX('Per Line'!$E$2:$E$6001,$V388)&amp;"")</f>
        <v/>
      </c>
      <c r="E388">
        <f>IF($V388="","",INDEX('Per Line'!$G$2:$G$6001,$V388)&amp;"")</f>
        <v/>
      </c>
      <c r="F388">
        <f>IF($V388="","",INDEX('Per Line'!$H$2:$H$6001,$V388)&amp;"")</f>
        <v/>
      </c>
      <c r="G388">
        <f>IF($V388="","",INDEX('Per Line'!$I$2:$I$6001,$V388)&amp;"")</f>
        <v/>
      </c>
      <c r="H388">
        <f>IF($V388="","",INDEX('Per Line'!$J$2:$J$6001,$V388))</f>
        <v/>
      </c>
      <c r="I388" s="7">
        <f>IF($V388="","",H388*S388/100)</f>
        <v/>
      </c>
      <c r="J388">
        <f>IF($V388="","",INDEX('Per Line'!$S$2:$S$6001,$V388)&amp;"")</f>
        <v/>
      </c>
      <c r="K388" s="7">
        <f>IF($V388="","",SUMIFS('Per Line'!$R$2:$R$6001,'Per Line'!$C$2:$C$6001,$B388,'Per Line'!$AJ$2:$AJ$6001,1))</f>
        <v/>
      </c>
      <c r="L388">
        <f>IF($V388="","",Settings!$C$7)</f>
        <v/>
      </c>
      <c r="M388" s="7">
        <f>IF($V388="","",SUMIFS('Per Line'!$R$2:$R$6001,'Per Line'!$C$2:$C$6001,$B388,'Per Line'!$AI$2:$AI$6001,0,'Per Line'!$AJ$2:$AJ$6001,0))</f>
        <v/>
      </c>
      <c r="N388" s="7">
        <f>IF($V388="","",M388*L388)</f>
        <v/>
      </c>
      <c r="O388">
        <f>IF($V388="","",Settings!$C$6)</f>
        <v/>
      </c>
      <c r="P388" s="7">
        <f>IF($V388="","",SUMIFS('Per Line'!$R$2:$R$6001,'Per Line'!$C$2:$C$6001,$B388,'Per Line'!$AI$2:$AI$6001,1,'Per Line'!$AJ$2:$AJ$6001,0))</f>
        <v/>
      </c>
      <c r="Q388" s="7">
        <f>IF($V388="","",P388*O388)</f>
        <v/>
      </c>
      <c r="R388" s="7">
        <f>IF($V388="","",Q388+N388)</f>
        <v/>
      </c>
      <c r="S388" s="7">
        <f>IF($V388="","",T388-R388)</f>
        <v/>
      </c>
      <c r="T388" s="7">
        <f>IF($V388="","",M388+P388+K388)</f>
        <v/>
      </c>
      <c r="U388" s="7">
        <f>IF($V388="","",T388-R388-I388)</f>
        <v/>
      </c>
      <c r="V388" s="13">
        <f>IF(ROWS($V$2:$V388)&lt;=MAX('Per Line'!$AH$2:$AH$6001),MATCH(ROWS($V$2:$V388),'Per Line'!$AH$2:$AH$6001,0),"")</f>
        <v/>
      </c>
    </row>
    <row r="389">
      <c r="A389" s="12" t="n"/>
      <c r="B389">
        <f>IF($V389="","",INDEX('Per Line'!$C$2:$C$6001,$V389)&amp;"")</f>
        <v/>
      </c>
      <c r="C389" s="11">
        <f>IF($V389="","",INDEX('Per Line'!$D$2:$D$6001,$V389))</f>
        <v/>
      </c>
      <c r="D389">
        <f>IF($V389="","",INDEX('Per Line'!$E$2:$E$6001,$V389)&amp;"")</f>
        <v/>
      </c>
      <c r="E389">
        <f>IF($V389="","",INDEX('Per Line'!$G$2:$G$6001,$V389)&amp;"")</f>
        <v/>
      </c>
      <c r="F389">
        <f>IF($V389="","",INDEX('Per Line'!$H$2:$H$6001,$V389)&amp;"")</f>
        <v/>
      </c>
      <c r="G389">
        <f>IF($V389="","",INDEX('Per Line'!$I$2:$I$6001,$V389)&amp;"")</f>
        <v/>
      </c>
      <c r="H389">
        <f>IF($V389="","",INDEX('Per Line'!$J$2:$J$6001,$V389))</f>
        <v/>
      </c>
      <c r="I389" s="7">
        <f>IF($V389="","",H389*S389/100)</f>
        <v/>
      </c>
      <c r="J389">
        <f>IF($V389="","",INDEX('Per Line'!$S$2:$S$6001,$V389)&amp;"")</f>
        <v/>
      </c>
      <c r="K389" s="7">
        <f>IF($V389="","",SUMIFS('Per Line'!$R$2:$R$6001,'Per Line'!$C$2:$C$6001,$B389,'Per Line'!$AJ$2:$AJ$6001,1))</f>
        <v/>
      </c>
      <c r="L389">
        <f>IF($V389="","",Settings!$C$7)</f>
        <v/>
      </c>
      <c r="M389" s="7">
        <f>IF($V389="","",SUMIFS('Per Line'!$R$2:$R$6001,'Per Line'!$C$2:$C$6001,$B389,'Per Line'!$AI$2:$AI$6001,0,'Per Line'!$AJ$2:$AJ$6001,0))</f>
        <v/>
      </c>
      <c r="N389" s="7">
        <f>IF($V389="","",M389*L389)</f>
        <v/>
      </c>
      <c r="O389">
        <f>IF($V389="","",Settings!$C$6)</f>
        <v/>
      </c>
      <c r="P389" s="7">
        <f>IF($V389="","",SUMIFS('Per Line'!$R$2:$R$6001,'Per Line'!$C$2:$C$6001,$B389,'Per Line'!$AI$2:$AI$6001,1,'Per Line'!$AJ$2:$AJ$6001,0))</f>
        <v/>
      </c>
      <c r="Q389" s="7">
        <f>IF($V389="","",P389*O389)</f>
        <v/>
      </c>
      <c r="R389" s="7">
        <f>IF($V389="","",Q389+N389)</f>
        <v/>
      </c>
      <c r="S389" s="7">
        <f>IF($V389="","",T389-R389)</f>
        <v/>
      </c>
      <c r="T389" s="7">
        <f>IF($V389="","",M389+P389+K389)</f>
        <v/>
      </c>
      <c r="U389" s="7">
        <f>IF($V389="","",T389-R389-I389)</f>
        <v/>
      </c>
      <c r="V389" s="13">
        <f>IF(ROWS($V$2:$V389)&lt;=MAX('Per Line'!$AH$2:$AH$6001),MATCH(ROWS($V$2:$V389),'Per Line'!$AH$2:$AH$6001,0),"")</f>
        <v/>
      </c>
    </row>
    <row r="390">
      <c r="A390" s="12" t="n"/>
      <c r="B390">
        <f>IF($V390="","",INDEX('Per Line'!$C$2:$C$6001,$V390)&amp;"")</f>
        <v/>
      </c>
      <c r="C390" s="11">
        <f>IF($V390="","",INDEX('Per Line'!$D$2:$D$6001,$V390))</f>
        <v/>
      </c>
      <c r="D390">
        <f>IF($V390="","",INDEX('Per Line'!$E$2:$E$6001,$V390)&amp;"")</f>
        <v/>
      </c>
      <c r="E390">
        <f>IF($V390="","",INDEX('Per Line'!$G$2:$G$6001,$V390)&amp;"")</f>
        <v/>
      </c>
      <c r="F390">
        <f>IF($V390="","",INDEX('Per Line'!$H$2:$H$6001,$V390)&amp;"")</f>
        <v/>
      </c>
      <c r="G390">
        <f>IF($V390="","",INDEX('Per Line'!$I$2:$I$6001,$V390)&amp;"")</f>
        <v/>
      </c>
      <c r="H390">
        <f>IF($V390="","",INDEX('Per Line'!$J$2:$J$6001,$V390))</f>
        <v/>
      </c>
      <c r="I390" s="7">
        <f>IF($V390="","",H390*S390/100)</f>
        <v/>
      </c>
      <c r="J390">
        <f>IF($V390="","",INDEX('Per Line'!$S$2:$S$6001,$V390)&amp;"")</f>
        <v/>
      </c>
      <c r="K390" s="7">
        <f>IF($V390="","",SUMIFS('Per Line'!$R$2:$R$6001,'Per Line'!$C$2:$C$6001,$B390,'Per Line'!$AJ$2:$AJ$6001,1))</f>
        <v/>
      </c>
      <c r="L390">
        <f>IF($V390="","",Settings!$C$7)</f>
        <v/>
      </c>
      <c r="M390" s="7">
        <f>IF($V390="","",SUMIFS('Per Line'!$R$2:$R$6001,'Per Line'!$C$2:$C$6001,$B390,'Per Line'!$AI$2:$AI$6001,0,'Per Line'!$AJ$2:$AJ$6001,0))</f>
        <v/>
      </c>
      <c r="N390" s="7">
        <f>IF($V390="","",M390*L390)</f>
        <v/>
      </c>
      <c r="O390">
        <f>IF($V390="","",Settings!$C$6)</f>
        <v/>
      </c>
      <c r="P390" s="7">
        <f>IF($V390="","",SUMIFS('Per Line'!$R$2:$R$6001,'Per Line'!$C$2:$C$6001,$B390,'Per Line'!$AI$2:$AI$6001,1,'Per Line'!$AJ$2:$AJ$6001,0))</f>
        <v/>
      </c>
      <c r="Q390" s="7">
        <f>IF($V390="","",P390*O390)</f>
        <v/>
      </c>
      <c r="R390" s="7">
        <f>IF($V390="","",Q390+N390)</f>
        <v/>
      </c>
      <c r="S390" s="7">
        <f>IF($V390="","",T390-R390)</f>
        <v/>
      </c>
      <c r="T390" s="7">
        <f>IF($V390="","",M390+P390+K390)</f>
        <v/>
      </c>
      <c r="U390" s="7">
        <f>IF($V390="","",T390-R390-I390)</f>
        <v/>
      </c>
      <c r="V390" s="13">
        <f>IF(ROWS($V$2:$V390)&lt;=MAX('Per Line'!$AH$2:$AH$6001),MATCH(ROWS($V$2:$V390),'Per Line'!$AH$2:$AH$6001,0),"")</f>
        <v/>
      </c>
    </row>
    <row r="391">
      <c r="A391" s="12" t="n"/>
      <c r="B391">
        <f>IF($V391="","",INDEX('Per Line'!$C$2:$C$6001,$V391)&amp;"")</f>
        <v/>
      </c>
      <c r="C391" s="11">
        <f>IF($V391="","",INDEX('Per Line'!$D$2:$D$6001,$V391))</f>
        <v/>
      </c>
      <c r="D391">
        <f>IF($V391="","",INDEX('Per Line'!$E$2:$E$6001,$V391)&amp;"")</f>
        <v/>
      </c>
      <c r="E391">
        <f>IF($V391="","",INDEX('Per Line'!$G$2:$G$6001,$V391)&amp;"")</f>
        <v/>
      </c>
      <c r="F391">
        <f>IF($V391="","",INDEX('Per Line'!$H$2:$H$6001,$V391)&amp;"")</f>
        <v/>
      </c>
      <c r="G391">
        <f>IF($V391="","",INDEX('Per Line'!$I$2:$I$6001,$V391)&amp;"")</f>
        <v/>
      </c>
      <c r="H391">
        <f>IF($V391="","",INDEX('Per Line'!$J$2:$J$6001,$V391))</f>
        <v/>
      </c>
      <c r="I391" s="7">
        <f>IF($V391="","",H391*S391/100)</f>
        <v/>
      </c>
      <c r="J391">
        <f>IF($V391="","",INDEX('Per Line'!$S$2:$S$6001,$V391)&amp;"")</f>
        <v/>
      </c>
      <c r="K391" s="7">
        <f>IF($V391="","",SUMIFS('Per Line'!$R$2:$R$6001,'Per Line'!$C$2:$C$6001,$B391,'Per Line'!$AJ$2:$AJ$6001,1))</f>
        <v/>
      </c>
      <c r="L391">
        <f>IF($V391="","",Settings!$C$7)</f>
        <v/>
      </c>
      <c r="M391" s="7">
        <f>IF($V391="","",SUMIFS('Per Line'!$R$2:$R$6001,'Per Line'!$C$2:$C$6001,$B391,'Per Line'!$AI$2:$AI$6001,0,'Per Line'!$AJ$2:$AJ$6001,0))</f>
        <v/>
      </c>
      <c r="N391" s="7">
        <f>IF($V391="","",M391*L391)</f>
        <v/>
      </c>
      <c r="O391">
        <f>IF($V391="","",Settings!$C$6)</f>
        <v/>
      </c>
      <c r="P391" s="7">
        <f>IF($V391="","",SUMIFS('Per Line'!$R$2:$R$6001,'Per Line'!$C$2:$C$6001,$B391,'Per Line'!$AI$2:$AI$6001,1,'Per Line'!$AJ$2:$AJ$6001,0))</f>
        <v/>
      </c>
      <c r="Q391" s="7">
        <f>IF($V391="","",P391*O391)</f>
        <v/>
      </c>
      <c r="R391" s="7">
        <f>IF($V391="","",Q391+N391)</f>
        <v/>
      </c>
      <c r="S391" s="7">
        <f>IF($V391="","",T391-R391)</f>
        <v/>
      </c>
      <c r="T391" s="7">
        <f>IF($V391="","",M391+P391+K391)</f>
        <v/>
      </c>
      <c r="U391" s="7">
        <f>IF($V391="","",T391-R391-I391)</f>
        <v/>
      </c>
      <c r="V391" s="13">
        <f>IF(ROWS($V$2:$V391)&lt;=MAX('Per Line'!$AH$2:$AH$6001),MATCH(ROWS($V$2:$V391),'Per Line'!$AH$2:$AH$6001,0),"")</f>
        <v/>
      </c>
    </row>
    <row r="392">
      <c r="A392" s="12" t="n"/>
      <c r="B392">
        <f>IF($V392="","",INDEX('Per Line'!$C$2:$C$6001,$V392)&amp;"")</f>
        <v/>
      </c>
      <c r="C392" s="11">
        <f>IF($V392="","",INDEX('Per Line'!$D$2:$D$6001,$V392))</f>
        <v/>
      </c>
      <c r="D392">
        <f>IF($V392="","",INDEX('Per Line'!$E$2:$E$6001,$V392)&amp;"")</f>
        <v/>
      </c>
      <c r="E392">
        <f>IF($V392="","",INDEX('Per Line'!$G$2:$G$6001,$V392)&amp;"")</f>
        <v/>
      </c>
      <c r="F392">
        <f>IF($V392="","",INDEX('Per Line'!$H$2:$H$6001,$V392)&amp;"")</f>
        <v/>
      </c>
      <c r="G392">
        <f>IF($V392="","",INDEX('Per Line'!$I$2:$I$6001,$V392)&amp;"")</f>
        <v/>
      </c>
      <c r="H392">
        <f>IF($V392="","",INDEX('Per Line'!$J$2:$J$6001,$V392))</f>
        <v/>
      </c>
      <c r="I392" s="7">
        <f>IF($V392="","",H392*S392/100)</f>
        <v/>
      </c>
      <c r="J392">
        <f>IF($V392="","",INDEX('Per Line'!$S$2:$S$6001,$V392)&amp;"")</f>
        <v/>
      </c>
      <c r="K392" s="7">
        <f>IF($V392="","",SUMIFS('Per Line'!$R$2:$R$6001,'Per Line'!$C$2:$C$6001,$B392,'Per Line'!$AJ$2:$AJ$6001,1))</f>
        <v/>
      </c>
      <c r="L392">
        <f>IF($V392="","",Settings!$C$7)</f>
        <v/>
      </c>
      <c r="M392" s="7">
        <f>IF($V392="","",SUMIFS('Per Line'!$R$2:$R$6001,'Per Line'!$C$2:$C$6001,$B392,'Per Line'!$AI$2:$AI$6001,0,'Per Line'!$AJ$2:$AJ$6001,0))</f>
        <v/>
      </c>
      <c r="N392" s="7">
        <f>IF($V392="","",M392*L392)</f>
        <v/>
      </c>
      <c r="O392">
        <f>IF($V392="","",Settings!$C$6)</f>
        <v/>
      </c>
      <c r="P392" s="7">
        <f>IF($V392="","",SUMIFS('Per Line'!$R$2:$R$6001,'Per Line'!$C$2:$C$6001,$B392,'Per Line'!$AI$2:$AI$6001,1,'Per Line'!$AJ$2:$AJ$6001,0))</f>
        <v/>
      </c>
      <c r="Q392" s="7">
        <f>IF($V392="","",P392*O392)</f>
        <v/>
      </c>
      <c r="R392" s="7">
        <f>IF($V392="","",Q392+N392)</f>
        <v/>
      </c>
      <c r="S392" s="7">
        <f>IF($V392="","",T392-R392)</f>
        <v/>
      </c>
      <c r="T392" s="7">
        <f>IF($V392="","",M392+P392+K392)</f>
        <v/>
      </c>
      <c r="U392" s="7">
        <f>IF($V392="","",T392-R392-I392)</f>
        <v/>
      </c>
      <c r="V392" s="13">
        <f>IF(ROWS($V$2:$V392)&lt;=MAX('Per Line'!$AH$2:$AH$6001),MATCH(ROWS($V$2:$V392),'Per Line'!$AH$2:$AH$6001,0),"")</f>
        <v/>
      </c>
    </row>
    <row r="393">
      <c r="A393" s="12" t="n"/>
      <c r="B393">
        <f>IF($V393="","",INDEX('Per Line'!$C$2:$C$6001,$V393)&amp;"")</f>
        <v/>
      </c>
      <c r="C393" s="11">
        <f>IF($V393="","",INDEX('Per Line'!$D$2:$D$6001,$V393))</f>
        <v/>
      </c>
      <c r="D393">
        <f>IF($V393="","",INDEX('Per Line'!$E$2:$E$6001,$V393)&amp;"")</f>
        <v/>
      </c>
      <c r="E393">
        <f>IF($V393="","",INDEX('Per Line'!$G$2:$G$6001,$V393)&amp;"")</f>
        <v/>
      </c>
      <c r="F393">
        <f>IF($V393="","",INDEX('Per Line'!$H$2:$H$6001,$V393)&amp;"")</f>
        <v/>
      </c>
      <c r="G393">
        <f>IF($V393="","",INDEX('Per Line'!$I$2:$I$6001,$V393)&amp;"")</f>
        <v/>
      </c>
      <c r="H393">
        <f>IF($V393="","",INDEX('Per Line'!$J$2:$J$6001,$V393))</f>
        <v/>
      </c>
      <c r="I393" s="7">
        <f>IF($V393="","",H393*S393/100)</f>
        <v/>
      </c>
      <c r="J393">
        <f>IF($V393="","",INDEX('Per Line'!$S$2:$S$6001,$V393)&amp;"")</f>
        <v/>
      </c>
      <c r="K393" s="7">
        <f>IF($V393="","",SUMIFS('Per Line'!$R$2:$R$6001,'Per Line'!$C$2:$C$6001,$B393,'Per Line'!$AJ$2:$AJ$6001,1))</f>
        <v/>
      </c>
      <c r="L393">
        <f>IF($V393="","",Settings!$C$7)</f>
        <v/>
      </c>
      <c r="M393" s="7">
        <f>IF($V393="","",SUMIFS('Per Line'!$R$2:$R$6001,'Per Line'!$C$2:$C$6001,$B393,'Per Line'!$AI$2:$AI$6001,0,'Per Line'!$AJ$2:$AJ$6001,0))</f>
        <v/>
      </c>
      <c r="N393" s="7">
        <f>IF($V393="","",M393*L393)</f>
        <v/>
      </c>
      <c r="O393">
        <f>IF($V393="","",Settings!$C$6)</f>
        <v/>
      </c>
      <c r="P393" s="7">
        <f>IF($V393="","",SUMIFS('Per Line'!$R$2:$R$6001,'Per Line'!$C$2:$C$6001,$B393,'Per Line'!$AI$2:$AI$6001,1,'Per Line'!$AJ$2:$AJ$6001,0))</f>
        <v/>
      </c>
      <c r="Q393" s="7">
        <f>IF($V393="","",P393*O393)</f>
        <v/>
      </c>
      <c r="R393" s="7">
        <f>IF($V393="","",Q393+N393)</f>
        <v/>
      </c>
      <c r="S393" s="7">
        <f>IF($V393="","",T393-R393)</f>
        <v/>
      </c>
      <c r="T393" s="7">
        <f>IF($V393="","",M393+P393+K393)</f>
        <v/>
      </c>
      <c r="U393" s="7">
        <f>IF($V393="","",T393-R393-I393)</f>
        <v/>
      </c>
      <c r="V393" s="13">
        <f>IF(ROWS($V$2:$V393)&lt;=MAX('Per Line'!$AH$2:$AH$6001),MATCH(ROWS($V$2:$V393),'Per Line'!$AH$2:$AH$6001,0),"")</f>
        <v/>
      </c>
    </row>
    <row r="394">
      <c r="A394" s="12" t="n"/>
      <c r="B394">
        <f>IF($V394="","",INDEX('Per Line'!$C$2:$C$6001,$V394)&amp;"")</f>
        <v/>
      </c>
      <c r="C394" s="11">
        <f>IF($V394="","",INDEX('Per Line'!$D$2:$D$6001,$V394))</f>
        <v/>
      </c>
      <c r="D394">
        <f>IF($V394="","",INDEX('Per Line'!$E$2:$E$6001,$V394)&amp;"")</f>
        <v/>
      </c>
      <c r="E394">
        <f>IF($V394="","",INDEX('Per Line'!$G$2:$G$6001,$V394)&amp;"")</f>
        <v/>
      </c>
      <c r="F394">
        <f>IF($V394="","",INDEX('Per Line'!$H$2:$H$6001,$V394)&amp;"")</f>
        <v/>
      </c>
      <c r="G394">
        <f>IF($V394="","",INDEX('Per Line'!$I$2:$I$6001,$V394)&amp;"")</f>
        <v/>
      </c>
      <c r="H394">
        <f>IF($V394="","",INDEX('Per Line'!$J$2:$J$6001,$V394))</f>
        <v/>
      </c>
      <c r="I394" s="7">
        <f>IF($V394="","",H394*S394/100)</f>
        <v/>
      </c>
      <c r="J394">
        <f>IF($V394="","",INDEX('Per Line'!$S$2:$S$6001,$V394)&amp;"")</f>
        <v/>
      </c>
      <c r="K394" s="7">
        <f>IF($V394="","",SUMIFS('Per Line'!$R$2:$R$6001,'Per Line'!$C$2:$C$6001,$B394,'Per Line'!$AJ$2:$AJ$6001,1))</f>
        <v/>
      </c>
      <c r="L394">
        <f>IF($V394="","",Settings!$C$7)</f>
        <v/>
      </c>
      <c r="M394" s="7">
        <f>IF($V394="","",SUMIFS('Per Line'!$R$2:$R$6001,'Per Line'!$C$2:$C$6001,$B394,'Per Line'!$AI$2:$AI$6001,0,'Per Line'!$AJ$2:$AJ$6001,0))</f>
        <v/>
      </c>
      <c r="N394" s="7">
        <f>IF($V394="","",M394*L394)</f>
        <v/>
      </c>
      <c r="O394">
        <f>IF($V394="","",Settings!$C$6)</f>
        <v/>
      </c>
      <c r="P394" s="7">
        <f>IF($V394="","",SUMIFS('Per Line'!$R$2:$R$6001,'Per Line'!$C$2:$C$6001,$B394,'Per Line'!$AI$2:$AI$6001,1,'Per Line'!$AJ$2:$AJ$6001,0))</f>
        <v/>
      </c>
      <c r="Q394" s="7">
        <f>IF($V394="","",P394*O394)</f>
        <v/>
      </c>
      <c r="R394" s="7">
        <f>IF($V394="","",Q394+N394)</f>
        <v/>
      </c>
      <c r="S394" s="7">
        <f>IF($V394="","",T394-R394)</f>
        <v/>
      </c>
      <c r="T394" s="7">
        <f>IF($V394="","",M394+P394+K394)</f>
        <v/>
      </c>
      <c r="U394" s="7">
        <f>IF($V394="","",T394-R394-I394)</f>
        <v/>
      </c>
      <c r="V394" s="13">
        <f>IF(ROWS($V$2:$V394)&lt;=MAX('Per Line'!$AH$2:$AH$6001),MATCH(ROWS($V$2:$V394),'Per Line'!$AH$2:$AH$6001,0),"")</f>
        <v/>
      </c>
    </row>
    <row r="395">
      <c r="A395" s="12" t="n"/>
      <c r="B395">
        <f>IF($V395="","",INDEX('Per Line'!$C$2:$C$6001,$V395)&amp;"")</f>
        <v/>
      </c>
      <c r="C395" s="11">
        <f>IF($V395="","",INDEX('Per Line'!$D$2:$D$6001,$V395))</f>
        <v/>
      </c>
      <c r="D395">
        <f>IF($V395="","",INDEX('Per Line'!$E$2:$E$6001,$V395)&amp;"")</f>
        <v/>
      </c>
      <c r="E395">
        <f>IF($V395="","",INDEX('Per Line'!$G$2:$G$6001,$V395)&amp;"")</f>
        <v/>
      </c>
      <c r="F395">
        <f>IF($V395="","",INDEX('Per Line'!$H$2:$H$6001,$V395)&amp;"")</f>
        <v/>
      </c>
      <c r="G395">
        <f>IF($V395="","",INDEX('Per Line'!$I$2:$I$6001,$V395)&amp;"")</f>
        <v/>
      </c>
      <c r="H395">
        <f>IF($V395="","",INDEX('Per Line'!$J$2:$J$6001,$V395))</f>
        <v/>
      </c>
      <c r="I395" s="7">
        <f>IF($V395="","",H395*S395/100)</f>
        <v/>
      </c>
      <c r="J395">
        <f>IF($V395="","",INDEX('Per Line'!$S$2:$S$6001,$V395)&amp;"")</f>
        <v/>
      </c>
      <c r="K395" s="7">
        <f>IF($V395="","",SUMIFS('Per Line'!$R$2:$R$6001,'Per Line'!$C$2:$C$6001,$B395,'Per Line'!$AJ$2:$AJ$6001,1))</f>
        <v/>
      </c>
      <c r="L395">
        <f>IF($V395="","",Settings!$C$7)</f>
        <v/>
      </c>
      <c r="M395" s="7">
        <f>IF($V395="","",SUMIFS('Per Line'!$R$2:$R$6001,'Per Line'!$C$2:$C$6001,$B395,'Per Line'!$AI$2:$AI$6001,0,'Per Line'!$AJ$2:$AJ$6001,0))</f>
        <v/>
      </c>
      <c r="N395" s="7">
        <f>IF($V395="","",M395*L395)</f>
        <v/>
      </c>
      <c r="O395">
        <f>IF($V395="","",Settings!$C$6)</f>
        <v/>
      </c>
      <c r="P395" s="7">
        <f>IF($V395="","",SUMIFS('Per Line'!$R$2:$R$6001,'Per Line'!$C$2:$C$6001,$B395,'Per Line'!$AI$2:$AI$6001,1,'Per Line'!$AJ$2:$AJ$6001,0))</f>
        <v/>
      </c>
      <c r="Q395" s="7">
        <f>IF($V395="","",P395*O395)</f>
        <v/>
      </c>
      <c r="R395" s="7">
        <f>IF($V395="","",Q395+N395)</f>
        <v/>
      </c>
      <c r="S395" s="7">
        <f>IF($V395="","",T395-R395)</f>
        <v/>
      </c>
      <c r="T395" s="7">
        <f>IF($V395="","",M395+P395+K395)</f>
        <v/>
      </c>
      <c r="U395" s="7">
        <f>IF($V395="","",T395-R395-I395)</f>
        <v/>
      </c>
      <c r="V395" s="13">
        <f>IF(ROWS($V$2:$V395)&lt;=MAX('Per Line'!$AH$2:$AH$6001),MATCH(ROWS($V$2:$V395),'Per Line'!$AH$2:$AH$6001,0),"")</f>
        <v/>
      </c>
    </row>
    <row r="396">
      <c r="A396" s="12" t="n"/>
      <c r="B396">
        <f>IF($V396="","",INDEX('Per Line'!$C$2:$C$6001,$V396)&amp;"")</f>
        <v/>
      </c>
      <c r="C396" s="11">
        <f>IF($V396="","",INDEX('Per Line'!$D$2:$D$6001,$V396))</f>
        <v/>
      </c>
      <c r="D396">
        <f>IF($V396="","",INDEX('Per Line'!$E$2:$E$6001,$V396)&amp;"")</f>
        <v/>
      </c>
      <c r="E396">
        <f>IF($V396="","",INDEX('Per Line'!$G$2:$G$6001,$V396)&amp;"")</f>
        <v/>
      </c>
      <c r="F396">
        <f>IF($V396="","",INDEX('Per Line'!$H$2:$H$6001,$V396)&amp;"")</f>
        <v/>
      </c>
      <c r="G396">
        <f>IF($V396="","",INDEX('Per Line'!$I$2:$I$6001,$V396)&amp;"")</f>
        <v/>
      </c>
      <c r="H396">
        <f>IF($V396="","",INDEX('Per Line'!$J$2:$J$6001,$V396))</f>
        <v/>
      </c>
      <c r="I396" s="7">
        <f>IF($V396="","",H396*S396/100)</f>
        <v/>
      </c>
      <c r="J396">
        <f>IF($V396="","",INDEX('Per Line'!$S$2:$S$6001,$V396)&amp;"")</f>
        <v/>
      </c>
      <c r="K396" s="7">
        <f>IF($V396="","",SUMIFS('Per Line'!$R$2:$R$6001,'Per Line'!$C$2:$C$6001,$B396,'Per Line'!$AJ$2:$AJ$6001,1))</f>
        <v/>
      </c>
      <c r="L396">
        <f>IF($V396="","",Settings!$C$7)</f>
        <v/>
      </c>
      <c r="M396" s="7">
        <f>IF($V396="","",SUMIFS('Per Line'!$R$2:$R$6001,'Per Line'!$C$2:$C$6001,$B396,'Per Line'!$AI$2:$AI$6001,0,'Per Line'!$AJ$2:$AJ$6001,0))</f>
        <v/>
      </c>
      <c r="N396" s="7">
        <f>IF($V396="","",M396*L396)</f>
        <v/>
      </c>
      <c r="O396">
        <f>IF($V396="","",Settings!$C$6)</f>
        <v/>
      </c>
      <c r="P396" s="7">
        <f>IF($V396="","",SUMIFS('Per Line'!$R$2:$R$6001,'Per Line'!$C$2:$C$6001,$B396,'Per Line'!$AI$2:$AI$6001,1,'Per Line'!$AJ$2:$AJ$6001,0))</f>
        <v/>
      </c>
      <c r="Q396" s="7">
        <f>IF($V396="","",P396*O396)</f>
        <v/>
      </c>
      <c r="R396" s="7">
        <f>IF($V396="","",Q396+N396)</f>
        <v/>
      </c>
      <c r="S396" s="7">
        <f>IF($V396="","",T396-R396)</f>
        <v/>
      </c>
      <c r="T396" s="7">
        <f>IF($V396="","",M396+P396+K396)</f>
        <v/>
      </c>
      <c r="U396" s="7">
        <f>IF($V396="","",T396-R396-I396)</f>
        <v/>
      </c>
      <c r="V396" s="13">
        <f>IF(ROWS($V$2:$V396)&lt;=MAX('Per Line'!$AH$2:$AH$6001),MATCH(ROWS($V$2:$V396),'Per Line'!$AH$2:$AH$6001,0),"")</f>
        <v/>
      </c>
    </row>
    <row r="397">
      <c r="A397" s="12" t="n"/>
      <c r="B397">
        <f>IF($V397="","",INDEX('Per Line'!$C$2:$C$6001,$V397)&amp;"")</f>
        <v/>
      </c>
      <c r="C397" s="11">
        <f>IF($V397="","",INDEX('Per Line'!$D$2:$D$6001,$V397))</f>
        <v/>
      </c>
      <c r="D397">
        <f>IF($V397="","",INDEX('Per Line'!$E$2:$E$6001,$V397)&amp;"")</f>
        <v/>
      </c>
      <c r="E397">
        <f>IF($V397="","",INDEX('Per Line'!$G$2:$G$6001,$V397)&amp;"")</f>
        <v/>
      </c>
      <c r="F397">
        <f>IF($V397="","",INDEX('Per Line'!$H$2:$H$6001,$V397)&amp;"")</f>
        <v/>
      </c>
      <c r="G397">
        <f>IF($V397="","",INDEX('Per Line'!$I$2:$I$6001,$V397)&amp;"")</f>
        <v/>
      </c>
      <c r="H397">
        <f>IF($V397="","",INDEX('Per Line'!$J$2:$J$6001,$V397))</f>
        <v/>
      </c>
      <c r="I397" s="7">
        <f>IF($V397="","",H397*S397/100)</f>
        <v/>
      </c>
      <c r="J397">
        <f>IF($V397="","",INDEX('Per Line'!$S$2:$S$6001,$V397)&amp;"")</f>
        <v/>
      </c>
      <c r="K397" s="7">
        <f>IF($V397="","",SUMIFS('Per Line'!$R$2:$R$6001,'Per Line'!$C$2:$C$6001,$B397,'Per Line'!$AJ$2:$AJ$6001,1))</f>
        <v/>
      </c>
      <c r="L397">
        <f>IF($V397="","",Settings!$C$7)</f>
        <v/>
      </c>
      <c r="M397" s="7">
        <f>IF($V397="","",SUMIFS('Per Line'!$R$2:$R$6001,'Per Line'!$C$2:$C$6001,$B397,'Per Line'!$AI$2:$AI$6001,0,'Per Line'!$AJ$2:$AJ$6001,0))</f>
        <v/>
      </c>
      <c r="N397" s="7">
        <f>IF($V397="","",M397*L397)</f>
        <v/>
      </c>
      <c r="O397">
        <f>IF($V397="","",Settings!$C$6)</f>
        <v/>
      </c>
      <c r="P397" s="7">
        <f>IF($V397="","",SUMIFS('Per Line'!$R$2:$R$6001,'Per Line'!$C$2:$C$6001,$B397,'Per Line'!$AI$2:$AI$6001,1,'Per Line'!$AJ$2:$AJ$6001,0))</f>
        <v/>
      </c>
      <c r="Q397" s="7">
        <f>IF($V397="","",P397*O397)</f>
        <v/>
      </c>
      <c r="R397" s="7">
        <f>IF($V397="","",Q397+N397)</f>
        <v/>
      </c>
      <c r="S397" s="7">
        <f>IF($V397="","",T397-R397)</f>
        <v/>
      </c>
      <c r="T397" s="7">
        <f>IF($V397="","",M397+P397+K397)</f>
        <v/>
      </c>
      <c r="U397" s="7">
        <f>IF($V397="","",T397-R397-I397)</f>
        <v/>
      </c>
      <c r="V397" s="13">
        <f>IF(ROWS($V$2:$V397)&lt;=MAX('Per Line'!$AH$2:$AH$6001),MATCH(ROWS($V$2:$V397),'Per Line'!$AH$2:$AH$6001,0),"")</f>
        <v/>
      </c>
    </row>
    <row r="398">
      <c r="A398" s="12" t="n"/>
      <c r="B398">
        <f>IF($V398="","",INDEX('Per Line'!$C$2:$C$6001,$V398)&amp;"")</f>
        <v/>
      </c>
      <c r="C398" s="11">
        <f>IF($V398="","",INDEX('Per Line'!$D$2:$D$6001,$V398))</f>
        <v/>
      </c>
      <c r="D398">
        <f>IF($V398="","",INDEX('Per Line'!$E$2:$E$6001,$V398)&amp;"")</f>
        <v/>
      </c>
      <c r="E398">
        <f>IF($V398="","",INDEX('Per Line'!$G$2:$G$6001,$V398)&amp;"")</f>
        <v/>
      </c>
      <c r="F398">
        <f>IF($V398="","",INDEX('Per Line'!$H$2:$H$6001,$V398)&amp;"")</f>
        <v/>
      </c>
      <c r="G398">
        <f>IF($V398="","",INDEX('Per Line'!$I$2:$I$6001,$V398)&amp;"")</f>
        <v/>
      </c>
      <c r="H398">
        <f>IF($V398="","",INDEX('Per Line'!$J$2:$J$6001,$V398))</f>
        <v/>
      </c>
      <c r="I398" s="7">
        <f>IF($V398="","",H398*S398/100)</f>
        <v/>
      </c>
      <c r="J398">
        <f>IF($V398="","",INDEX('Per Line'!$S$2:$S$6001,$V398)&amp;"")</f>
        <v/>
      </c>
      <c r="K398" s="7">
        <f>IF($V398="","",SUMIFS('Per Line'!$R$2:$R$6001,'Per Line'!$C$2:$C$6001,$B398,'Per Line'!$AJ$2:$AJ$6001,1))</f>
        <v/>
      </c>
      <c r="L398">
        <f>IF($V398="","",Settings!$C$7)</f>
        <v/>
      </c>
      <c r="M398" s="7">
        <f>IF($V398="","",SUMIFS('Per Line'!$R$2:$R$6001,'Per Line'!$C$2:$C$6001,$B398,'Per Line'!$AI$2:$AI$6001,0,'Per Line'!$AJ$2:$AJ$6001,0))</f>
        <v/>
      </c>
      <c r="N398" s="7">
        <f>IF($V398="","",M398*L398)</f>
        <v/>
      </c>
      <c r="O398">
        <f>IF($V398="","",Settings!$C$6)</f>
        <v/>
      </c>
      <c r="P398" s="7">
        <f>IF($V398="","",SUMIFS('Per Line'!$R$2:$R$6001,'Per Line'!$C$2:$C$6001,$B398,'Per Line'!$AI$2:$AI$6001,1,'Per Line'!$AJ$2:$AJ$6001,0))</f>
        <v/>
      </c>
      <c r="Q398" s="7">
        <f>IF($V398="","",P398*O398)</f>
        <v/>
      </c>
      <c r="R398" s="7">
        <f>IF($V398="","",Q398+N398)</f>
        <v/>
      </c>
      <c r="S398" s="7">
        <f>IF($V398="","",T398-R398)</f>
        <v/>
      </c>
      <c r="T398" s="7">
        <f>IF($V398="","",M398+P398+K398)</f>
        <v/>
      </c>
      <c r="U398" s="7">
        <f>IF($V398="","",T398-R398-I398)</f>
        <v/>
      </c>
      <c r="V398" s="13">
        <f>IF(ROWS($V$2:$V398)&lt;=MAX('Per Line'!$AH$2:$AH$6001),MATCH(ROWS($V$2:$V398),'Per Line'!$AH$2:$AH$6001,0),"")</f>
        <v/>
      </c>
    </row>
    <row r="399">
      <c r="A399" s="12" t="n"/>
      <c r="B399">
        <f>IF($V399="","",INDEX('Per Line'!$C$2:$C$6001,$V399)&amp;"")</f>
        <v/>
      </c>
      <c r="C399" s="11">
        <f>IF($V399="","",INDEX('Per Line'!$D$2:$D$6001,$V399))</f>
        <v/>
      </c>
      <c r="D399">
        <f>IF($V399="","",INDEX('Per Line'!$E$2:$E$6001,$V399)&amp;"")</f>
        <v/>
      </c>
      <c r="E399">
        <f>IF($V399="","",INDEX('Per Line'!$G$2:$G$6001,$V399)&amp;"")</f>
        <v/>
      </c>
      <c r="F399">
        <f>IF($V399="","",INDEX('Per Line'!$H$2:$H$6001,$V399)&amp;"")</f>
        <v/>
      </c>
      <c r="G399">
        <f>IF($V399="","",INDEX('Per Line'!$I$2:$I$6001,$V399)&amp;"")</f>
        <v/>
      </c>
      <c r="H399">
        <f>IF($V399="","",INDEX('Per Line'!$J$2:$J$6001,$V399))</f>
        <v/>
      </c>
      <c r="I399" s="7">
        <f>IF($V399="","",H399*S399/100)</f>
        <v/>
      </c>
      <c r="J399">
        <f>IF($V399="","",INDEX('Per Line'!$S$2:$S$6001,$V399)&amp;"")</f>
        <v/>
      </c>
      <c r="K399" s="7">
        <f>IF($V399="","",SUMIFS('Per Line'!$R$2:$R$6001,'Per Line'!$C$2:$C$6001,$B399,'Per Line'!$AJ$2:$AJ$6001,1))</f>
        <v/>
      </c>
      <c r="L399">
        <f>IF($V399="","",Settings!$C$7)</f>
        <v/>
      </c>
      <c r="M399" s="7">
        <f>IF($V399="","",SUMIFS('Per Line'!$R$2:$R$6001,'Per Line'!$C$2:$C$6001,$B399,'Per Line'!$AI$2:$AI$6001,0,'Per Line'!$AJ$2:$AJ$6001,0))</f>
        <v/>
      </c>
      <c r="N399" s="7">
        <f>IF($V399="","",M399*L399)</f>
        <v/>
      </c>
      <c r="O399">
        <f>IF($V399="","",Settings!$C$6)</f>
        <v/>
      </c>
      <c r="P399" s="7">
        <f>IF($V399="","",SUMIFS('Per Line'!$R$2:$R$6001,'Per Line'!$C$2:$C$6001,$B399,'Per Line'!$AI$2:$AI$6001,1,'Per Line'!$AJ$2:$AJ$6001,0))</f>
        <v/>
      </c>
      <c r="Q399" s="7">
        <f>IF($V399="","",P399*O399)</f>
        <v/>
      </c>
      <c r="R399" s="7">
        <f>IF($V399="","",Q399+N399)</f>
        <v/>
      </c>
      <c r="S399" s="7">
        <f>IF($V399="","",T399-R399)</f>
        <v/>
      </c>
      <c r="T399" s="7">
        <f>IF($V399="","",M399+P399+K399)</f>
        <v/>
      </c>
      <c r="U399" s="7">
        <f>IF($V399="","",T399-R399-I399)</f>
        <v/>
      </c>
      <c r="V399" s="13">
        <f>IF(ROWS($V$2:$V399)&lt;=MAX('Per Line'!$AH$2:$AH$6001),MATCH(ROWS($V$2:$V399),'Per Line'!$AH$2:$AH$6001,0),"")</f>
        <v/>
      </c>
    </row>
    <row r="400">
      <c r="A400" s="12" t="n"/>
      <c r="B400">
        <f>IF($V400="","",INDEX('Per Line'!$C$2:$C$6001,$V400)&amp;"")</f>
        <v/>
      </c>
      <c r="C400" s="11">
        <f>IF($V400="","",INDEX('Per Line'!$D$2:$D$6001,$V400))</f>
        <v/>
      </c>
      <c r="D400">
        <f>IF($V400="","",INDEX('Per Line'!$E$2:$E$6001,$V400)&amp;"")</f>
        <v/>
      </c>
      <c r="E400">
        <f>IF($V400="","",INDEX('Per Line'!$G$2:$G$6001,$V400)&amp;"")</f>
        <v/>
      </c>
      <c r="F400">
        <f>IF($V400="","",INDEX('Per Line'!$H$2:$H$6001,$V400)&amp;"")</f>
        <v/>
      </c>
      <c r="G400">
        <f>IF($V400="","",INDEX('Per Line'!$I$2:$I$6001,$V400)&amp;"")</f>
        <v/>
      </c>
      <c r="H400">
        <f>IF($V400="","",INDEX('Per Line'!$J$2:$J$6001,$V400))</f>
        <v/>
      </c>
      <c r="I400" s="7">
        <f>IF($V400="","",H400*S400/100)</f>
        <v/>
      </c>
      <c r="J400">
        <f>IF($V400="","",INDEX('Per Line'!$S$2:$S$6001,$V400)&amp;"")</f>
        <v/>
      </c>
      <c r="K400" s="7">
        <f>IF($V400="","",SUMIFS('Per Line'!$R$2:$R$6001,'Per Line'!$C$2:$C$6001,$B400,'Per Line'!$AJ$2:$AJ$6001,1))</f>
        <v/>
      </c>
      <c r="L400">
        <f>IF($V400="","",Settings!$C$7)</f>
        <v/>
      </c>
      <c r="M400" s="7">
        <f>IF($V400="","",SUMIFS('Per Line'!$R$2:$R$6001,'Per Line'!$C$2:$C$6001,$B400,'Per Line'!$AI$2:$AI$6001,0,'Per Line'!$AJ$2:$AJ$6001,0))</f>
        <v/>
      </c>
      <c r="N400" s="7">
        <f>IF($V400="","",M400*L400)</f>
        <v/>
      </c>
      <c r="O400">
        <f>IF($V400="","",Settings!$C$6)</f>
        <v/>
      </c>
      <c r="P400" s="7">
        <f>IF($V400="","",SUMIFS('Per Line'!$R$2:$R$6001,'Per Line'!$C$2:$C$6001,$B400,'Per Line'!$AI$2:$AI$6001,1,'Per Line'!$AJ$2:$AJ$6001,0))</f>
        <v/>
      </c>
      <c r="Q400" s="7">
        <f>IF($V400="","",P400*O400)</f>
        <v/>
      </c>
      <c r="R400" s="7">
        <f>IF($V400="","",Q400+N400)</f>
        <v/>
      </c>
      <c r="S400" s="7">
        <f>IF($V400="","",T400-R400)</f>
        <v/>
      </c>
      <c r="T400" s="7">
        <f>IF($V400="","",M400+P400+K400)</f>
        <v/>
      </c>
      <c r="U400" s="7">
        <f>IF($V400="","",T400-R400-I400)</f>
        <v/>
      </c>
      <c r="V400" s="13">
        <f>IF(ROWS($V$2:$V400)&lt;=MAX('Per Line'!$AH$2:$AH$6001),MATCH(ROWS($V$2:$V400),'Per Line'!$AH$2:$AH$6001,0),"")</f>
        <v/>
      </c>
    </row>
    <row r="401">
      <c r="A401" s="12" t="n"/>
      <c r="B401">
        <f>IF($V401="","",INDEX('Per Line'!$C$2:$C$6001,$V401)&amp;"")</f>
        <v/>
      </c>
      <c r="C401" s="11">
        <f>IF($V401="","",INDEX('Per Line'!$D$2:$D$6001,$V401))</f>
        <v/>
      </c>
      <c r="D401">
        <f>IF($V401="","",INDEX('Per Line'!$E$2:$E$6001,$V401)&amp;"")</f>
        <v/>
      </c>
      <c r="E401">
        <f>IF($V401="","",INDEX('Per Line'!$G$2:$G$6001,$V401)&amp;"")</f>
        <v/>
      </c>
      <c r="F401">
        <f>IF($V401="","",INDEX('Per Line'!$H$2:$H$6001,$V401)&amp;"")</f>
        <v/>
      </c>
      <c r="G401">
        <f>IF($V401="","",INDEX('Per Line'!$I$2:$I$6001,$V401)&amp;"")</f>
        <v/>
      </c>
      <c r="H401">
        <f>IF($V401="","",INDEX('Per Line'!$J$2:$J$6001,$V401))</f>
        <v/>
      </c>
      <c r="I401" s="7">
        <f>IF($V401="","",H401*S401/100)</f>
        <v/>
      </c>
      <c r="J401">
        <f>IF($V401="","",INDEX('Per Line'!$S$2:$S$6001,$V401)&amp;"")</f>
        <v/>
      </c>
      <c r="K401" s="7">
        <f>IF($V401="","",SUMIFS('Per Line'!$R$2:$R$6001,'Per Line'!$C$2:$C$6001,$B401,'Per Line'!$AJ$2:$AJ$6001,1))</f>
        <v/>
      </c>
      <c r="L401">
        <f>IF($V401="","",Settings!$C$7)</f>
        <v/>
      </c>
      <c r="M401" s="7">
        <f>IF($V401="","",SUMIFS('Per Line'!$R$2:$R$6001,'Per Line'!$C$2:$C$6001,$B401,'Per Line'!$AI$2:$AI$6001,0,'Per Line'!$AJ$2:$AJ$6001,0))</f>
        <v/>
      </c>
      <c r="N401" s="7">
        <f>IF($V401="","",M401*L401)</f>
        <v/>
      </c>
      <c r="O401">
        <f>IF($V401="","",Settings!$C$6)</f>
        <v/>
      </c>
      <c r="P401" s="7">
        <f>IF($V401="","",SUMIFS('Per Line'!$R$2:$R$6001,'Per Line'!$C$2:$C$6001,$B401,'Per Line'!$AI$2:$AI$6001,1,'Per Line'!$AJ$2:$AJ$6001,0))</f>
        <v/>
      </c>
      <c r="Q401" s="7">
        <f>IF($V401="","",P401*O401)</f>
        <v/>
      </c>
      <c r="R401" s="7">
        <f>IF($V401="","",Q401+N401)</f>
        <v/>
      </c>
      <c r="S401" s="7">
        <f>IF($V401="","",T401-R401)</f>
        <v/>
      </c>
      <c r="T401" s="7">
        <f>IF($V401="","",M401+P401+K401)</f>
        <v/>
      </c>
      <c r="U401" s="7">
        <f>IF($V401="","",T401-R401-I401)</f>
        <v/>
      </c>
      <c r="V401" s="13">
        <f>IF(ROWS($V$2:$V401)&lt;=MAX('Per Line'!$AH$2:$AH$6001),MATCH(ROWS($V$2:$V401),'Per Line'!$AH$2:$AH$6001,0),"")</f>
        <v/>
      </c>
    </row>
    <row r="402">
      <c r="A402" s="12" t="n"/>
      <c r="B402">
        <f>IF($V402="","",INDEX('Per Line'!$C$2:$C$6001,$V402)&amp;"")</f>
        <v/>
      </c>
      <c r="C402" s="11">
        <f>IF($V402="","",INDEX('Per Line'!$D$2:$D$6001,$V402))</f>
        <v/>
      </c>
      <c r="D402">
        <f>IF($V402="","",INDEX('Per Line'!$E$2:$E$6001,$V402)&amp;"")</f>
        <v/>
      </c>
      <c r="E402">
        <f>IF($V402="","",INDEX('Per Line'!$G$2:$G$6001,$V402)&amp;"")</f>
        <v/>
      </c>
      <c r="F402">
        <f>IF($V402="","",INDEX('Per Line'!$H$2:$H$6001,$V402)&amp;"")</f>
        <v/>
      </c>
      <c r="G402">
        <f>IF($V402="","",INDEX('Per Line'!$I$2:$I$6001,$V402)&amp;"")</f>
        <v/>
      </c>
      <c r="H402">
        <f>IF($V402="","",INDEX('Per Line'!$J$2:$J$6001,$V402))</f>
        <v/>
      </c>
      <c r="I402" s="7">
        <f>IF($V402="","",H402*S402/100)</f>
        <v/>
      </c>
      <c r="J402">
        <f>IF($V402="","",INDEX('Per Line'!$S$2:$S$6001,$V402)&amp;"")</f>
        <v/>
      </c>
      <c r="K402" s="7">
        <f>IF($V402="","",SUMIFS('Per Line'!$R$2:$R$6001,'Per Line'!$C$2:$C$6001,$B402,'Per Line'!$AJ$2:$AJ$6001,1))</f>
        <v/>
      </c>
      <c r="L402">
        <f>IF($V402="","",Settings!$C$7)</f>
        <v/>
      </c>
      <c r="M402" s="7">
        <f>IF($V402="","",SUMIFS('Per Line'!$R$2:$R$6001,'Per Line'!$C$2:$C$6001,$B402,'Per Line'!$AI$2:$AI$6001,0,'Per Line'!$AJ$2:$AJ$6001,0))</f>
        <v/>
      </c>
      <c r="N402" s="7">
        <f>IF($V402="","",M402*L402)</f>
        <v/>
      </c>
      <c r="O402">
        <f>IF($V402="","",Settings!$C$6)</f>
        <v/>
      </c>
      <c r="P402" s="7">
        <f>IF($V402="","",SUMIFS('Per Line'!$R$2:$R$6001,'Per Line'!$C$2:$C$6001,$B402,'Per Line'!$AI$2:$AI$6001,1,'Per Line'!$AJ$2:$AJ$6001,0))</f>
        <v/>
      </c>
      <c r="Q402" s="7">
        <f>IF($V402="","",P402*O402)</f>
        <v/>
      </c>
      <c r="R402" s="7">
        <f>IF($V402="","",Q402+N402)</f>
        <v/>
      </c>
      <c r="S402" s="7">
        <f>IF($V402="","",T402-R402)</f>
        <v/>
      </c>
      <c r="T402" s="7">
        <f>IF($V402="","",M402+P402+K402)</f>
        <v/>
      </c>
      <c r="U402" s="7">
        <f>IF($V402="","",T402-R402-I402)</f>
        <v/>
      </c>
      <c r="V402" s="13">
        <f>IF(ROWS($V$2:$V402)&lt;=MAX('Per Line'!$AH$2:$AH$6001),MATCH(ROWS($V$2:$V402),'Per Line'!$AH$2:$AH$6001,0),"")</f>
        <v/>
      </c>
    </row>
    <row r="403">
      <c r="A403" s="12" t="n"/>
      <c r="B403">
        <f>IF($V403="","",INDEX('Per Line'!$C$2:$C$6001,$V403)&amp;"")</f>
        <v/>
      </c>
      <c r="C403" s="11">
        <f>IF($V403="","",INDEX('Per Line'!$D$2:$D$6001,$V403))</f>
        <v/>
      </c>
      <c r="D403">
        <f>IF($V403="","",INDEX('Per Line'!$E$2:$E$6001,$V403)&amp;"")</f>
        <v/>
      </c>
      <c r="E403">
        <f>IF($V403="","",INDEX('Per Line'!$G$2:$G$6001,$V403)&amp;"")</f>
        <v/>
      </c>
      <c r="F403">
        <f>IF($V403="","",INDEX('Per Line'!$H$2:$H$6001,$V403)&amp;"")</f>
        <v/>
      </c>
      <c r="G403">
        <f>IF($V403="","",INDEX('Per Line'!$I$2:$I$6001,$V403)&amp;"")</f>
        <v/>
      </c>
      <c r="H403">
        <f>IF($V403="","",INDEX('Per Line'!$J$2:$J$6001,$V403))</f>
        <v/>
      </c>
      <c r="I403" s="7">
        <f>IF($V403="","",H403*S403/100)</f>
        <v/>
      </c>
      <c r="J403">
        <f>IF($V403="","",INDEX('Per Line'!$S$2:$S$6001,$V403)&amp;"")</f>
        <v/>
      </c>
      <c r="K403" s="7">
        <f>IF($V403="","",SUMIFS('Per Line'!$R$2:$R$6001,'Per Line'!$C$2:$C$6001,$B403,'Per Line'!$AJ$2:$AJ$6001,1))</f>
        <v/>
      </c>
      <c r="L403">
        <f>IF($V403="","",Settings!$C$7)</f>
        <v/>
      </c>
      <c r="M403" s="7">
        <f>IF($V403="","",SUMIFS('Per Line'!$R$2:$R$6001,'Per Line'!$C$2:$C$6001,$B403,'Per Line'!$AI$2:$AI$6001,0,'Per Line'!$AJ$2:$AJ$6001,0))</f>
        <v/>
      </c>
      <c r="N403" s="7">
        <f>IF($V403="","",M403*L403)</f>
        <v/>
      </c>
      <c r="O403">
        <f>IF($V403="","",Settings!$C$6)</f>
        <v/>
      </c>
      <c r="P403" s="7">
        <f>IF($V403="","",SUMIFS('Per Line'!$R$2:$R$6001,'Per Line'!$C$2:$C$6001,$B403,'Per Line'!$AI$2:$AI$6001,1,'Per Line'!$AJ$2:$AJ$6001,0))</f>
        <v/>
      </c>
      <c r="Q403" s="7">
        <f>IF($V403="","",P403*O403)</f>
        <v/>
      </c>
      <c r="R403" s="7">
        <f>IF($V403="","",Q403+N403)</f>
        <v/>
      </c>
      <c r="S403" s="7">
        <f>IF($V403="","",T403-R403)</f>
        <v/>
      </c>
      <c r="T403" s="7">
        <f>IF($V403="","",M403+P403+K403)</f>
        <v/>
      </c>
      <c r="U403" s="7">
        <f>IF($V403="","",T403-R403-I403)</f>
        <v/>
      </c>
      <c r="V403" s="13">
        <f>IF(ROWS($V$2:$V403)&lt;=MAX('Per Line'!$AH$2:$AH$6001),MATCH(ROWS($V$2:$V403),'Per Line'!$AH$2:$AH$6001,0),"")</f>
        <v/>
      </c>
    </row>
    <row r="404">
      <c r="A404" s="12" t="n"/>
      <c r="B404">
        <f>IF($V404="","",INDEX('Per Line'!$C$2:$C$6001,$V404)&amp;"")</f>
        <v/>
      </c>
      <c r="C404" s="11">
        <f>IF($V404="","",INDEX('Per Line'!$D$2:$D$6001,$V404))</f>
        <v/>
      </c>
      <c r="D404">
        <f>IF($V404="","",INDEX('Per Line'!$E$2:$E$6001,$V404)&amp;"")</f>
        <v/>
      </c>
      <c r="E404">
        <f>IF($V404="","",INDEX('Per Line'!$G$2:$G$6001,$V404)&amp;"")</f>
        <v/>
      </c>
      <c r="F404">
        <f>IF($V404="","",INDEX('Per Line'!$H$2:$H$6001,$V404)&amp;"")</f>
        <v/>
      </c>
      <c r="G404">
        <f>IF($V404="","",INDEX('Per Line'!$I$2:$I$6001,$V404)&amp;"")</f>
        <v/>
      </c>
      <c r="H404">
        <f>IF($V404="","",INDEX('Per Line'!$J$2:$J$6001,$V404))</f>
        <v/>
      </c>
      <c r="I404" s="7">
        <f>IF($V404="","",H404*S404/100)</f>
        <v/>
      </c>
      <c r="J404">
        <f>IF($V404="","",INDEX('Per Line'!$S$2:$S$6001,$V404)&amp;"")</f>
        <v/>
      </c>
      <c r="K404" s="7">
        <f>IF($V404="","",SUMIFS('Per Line'!$R$2:$R$6001,'Per Line'!$C$2:$C$6001,$B404,'Per Line'!$AJ$2:$AJ$6001,1))</f>
        <v/>
      </c>
      <c r="L404">
        <f>IF($V404="","",Settings!$C$7)</f>
        <v/>
      </c>
      <c r="M404" s="7">
        <f>IF($V404="","",SUMIFS('Per Line'!$R$2:$R$6001,'Per Line'!$C$2:$C$6001,$B404,'Per Line'!$AI$2:$AI$6001,0,'Per Line'!$AJ$2:$AJ$6001,0))</f>
        <v/>
      </c>
      <c r="N404" s="7">
        <f>IF($V404="","",M404*L404)</f>
        <v/>
      </c>
      <c r="O404">
        <f>IF($V404="","",Settings!$C$6)</f>
        <v/>
      </c>
      <c r="P404" s="7">
        <f>IF($V404="","",SUMIFS('Per Line'!$R$2:$R$6001,'Per Line'!$C$2:$C$6001,$B404,'Per Line'!$AI$2:$AI$6001,1,'Per Line'!$AJ$2:$AJ$6001,0))</f>
        <v/>
      </c>
      <c r="Q404" s="7">
        <f>IF($V404="","",P404*O404)</f>
        <v/>
      </c>
      <c r="R404" s="7">
        <f>IF($V404="","",Q404+N404)</f>
        <v/>
      </c>
      <c r="S404" s="7">
        <f>IF($V404="","",T404-R404)</f>
        <v/>
      </c>
      <c r="T404" s="7">
        <f>IF($V404="","",M404+P404+K404)</f>
        <v/>
      </c>
      <c r="U404" s="7">
        <f>IF($V404="","",T404-R404-I404)</f>
        <v/>
      </c>
      <c r="V404" s="13">
        <f>IF(ROWS($V$2:$V404)&lt;=MAX('Per Line'!$AH$2:$AH$6001),MATCH(ROWS($V$2:$V404),'Per Line'!$AH$2:$AH$6001,0),"")</f>
        <v/>
      </c>
    </row>
    <row r="405">
      <c r="A405" s="12" t="n"/>
      <c r="B405">
        <f>IF($V405="","",INDEX('Per Line'!$C$2:$C$6001,$V405)&amp;"")</f>
        <v/>
      </c>
      <c r="C405" s="11">
        <f>IF($V405="","",INDEX('Per Line'!$D$2:$D$6001,$V405))</f>
        <v/>
      </c>
      <c r="D405">
        <f>IF($V405="","",INDEX('Per Line'!$E$2:$E$6001,$V405)&amp;"")</f>
        <v/>
      </c>
      <c r="E405">
        <f>IF($V405="","",INDEX('Per Line'!$G$2:$G$6001,$V405)&amp;"")</f>
        <v/>
      </c>
      <c r="F405">
        <f>IF($V405="","",INDEX('Per Line'!$H$2:$H$6001,$V405)&amp;"")</f>
        <v/>
      </c>
      <c r="G405">
        <f>IF($V405="","",INDEX('Per Line'!$I$2:$I$6001,$V405)&amp;"")</f>
        <v/>
      </c>
      <c r="H405">
        <f>IF($V405="","",INDEX('Per Line'!$J$2:$J$6001,$V405))</f>
        <v/>
      </c>
      <c r="I405" s="7">
        <f>IF($V405="","",H405*S405/100)</f>
        <v/>
      </c>
      <c r="J405">
        <f>IF($V405="","",INDEX('Per Line'!$S$2:$S$6001,$V405)&amp;"")</f>
        <v/>
      </c>
      <c r="K405" s="7">
        <f>IF($V405="","",SUMIFS('Per Line'!$R$2:$R$6001,'Per Line'!$C$2:$C$6001,$B405,'Per Line'!$AJ$2:$AJ$6001,1))</f>
        <v/>
      </c>
      <c r="L405">
        <f>IF($V405="","",Settings!$C$7)</f>
        <v/>
      </c>
      <c r="M405" s="7">
        <f>IF($V405="","",SUMIFS('Per Line'!$R$2:$R$6001,'Per Line'!$C$2:$C$6001,$B405,'Per Line'!$AI$2:$AI$6001,0,'Per Line'!$AJ$2:$AJ$6001,0))</f>
        <v/>
      </c>
      <c r="N405" s="7">
        <f>IF($V405="","",M405*L405)</f>
        <v/>
      </c>
      <c r="O405">
        <f>IF($V405="","",Settings!$C$6)</f>
        <v/>
      </c>
      <c r="P405" s="7">
        <f>IF($V405="","",SUMIFS('Per Line'!$R$2:$R$6001,'Per Line'!$C$2:$C$6001,$B405,'Per Line'!$AI$2:$AI$6001,1,'Per Line'!$AJ$2:$AJ$6001,0))</f>
        <v/>
      </c>
      <c r="Q405" s="7">
        <f>IF($V405="","",P405*O405)</f>
        <v/>
      </c>
      <c r="R405" s="7">
        <f>IF($V405="","",Q405+N405)</f>
        <v/>
      </c>
      <c r="S405" s="7">
        <f>IF($V405="","",T405-R405)</f>
        <v/>
      </c>
      <c r="T405" s="7">
        <f>IF($V405="","",M405+P405+K405)</f>
        <v/>
      </c>
      <c r="U405" s="7">
        <f>IF($V405="","",T405-R405-I405)</f>
        <v/>
      </c>
      <c r="V405" s="13">
        <f>IF(ROWS($V$2:$V405)&lt;=MAX('Per Line'!$AH$2:$AH$6001),MATCH(ROWS($V$2:$V405),'Per Line'!$AH$2:$AH$6001,0),"")</f>
        <v/>
      </c>
    </row>
    <row r="406">
      <c r="A406" s="12" t="n"/>
      <c r="B406">
        <f>IF($V406="","",INDEX('Per Line'!$C$2:$C$6001,$V406)&amp;"")</f>
        <v/>
      </c>
      <c r="C406" s="11">
        <f>IF($V406="","",INDEX('Per Line'!$D$2:$D$6001,$V406))</f>
        <v/>
      </c>
      <c r="D406">
        <f>IF($V406="","",INDEX('Per Line'!$E$2:$E$6001,$V406)&amp;"")</f>
        <v/>
      </c>
      <c r="E406">
        <f>IF($V406="","",INDEX('Per Line'!$G$2:$G$6001,$V406)&amp;"")</f>
        <v/>
      </c>
      <c r="F406">
        <f>IF($V406="","",INDEX('Per Line'!$H$2:$H$6001,$V406)&amp;"")</f>
        <v/>
      </c>
      <c r="G406">
        <f>IF($V406="","",INDEX('Per Line'!$I$2:$I$6001,$V406)&amp;"")</f>
        <v/>
      </c>
      <c r="H406">
        <f>IF($V406="","",INDEX('Per Line'!$J$2:$J$6001,$V406))</f>
        <v/>
      </c>
      <c r="I406" s="7">
        <f>IF($V406="","",H406*S406/100)</f>
        <v/>
      </c>
      <c r="J406">
        <f>IF($V406="","",INDEX('Per Line'!$S$2:$S$6001,$V406)&amp;"")</f>
        <v/>
      </c>
      <c r="K406" s="7">
        <f>IF($V406="","",SUMIFS('Per Line'!$R$2:$R$6001,'Per Line'!$C$2:$C$6001,$B406,'Per Line'!$AJ$2:$AJ$6001,1))</f>
        <v/>
      </c>
      <c r="L406">
        <f>IF($V406="","",Settings!$C$7)</f>
        <v/>
      </c>
      <c r="M406" s="7">
        <f>IF($V406="","",SUMIFS('Per Line'!$R$2:$R$6001,'Per Line'!$C$2:$C$6001,$B406,'Per Line'!$AI$2:$AI$6001,0,'Per Line'!$AJ$2:$AJ$6001,0))</f>
        <v/>
      </c>
      <c r="N406" s="7">
        <f>IF($V406="","",M406*L406)</f>
        <v/>
      </c>
      <c r="O406">
        <f>IF($V406="","",Settings!$C$6)</f>
        <v/>
      </c>
      <c r="P406" s="7">
        <f>IF($V406="","",SUMIFS('Per Line'!$R$2:$R$6001,'Per Line'!$C$2:$C$6001,$B406,'Per Line'!$AI$2:$AI$6001,1,'Per Line'!$AJ$2:$AJ$6001,0))</f>
        <v/>
      </c>
      <c r="Q406" s="7">
        <f>IF($V406="","",P406*O406)</f>
        <v/>
      </c>
      <c r="R406" s="7">
        <f>IF($V406="","",Q406+N406)</f>
        <v/>
      </c>
      <c r="S406" s="7">
        <f>IF($V406="","",T406-R406)</f>
        <v/>
      </c>
      <c r="T406" s="7">
        <f>IF($V406="","",M406+P406+K406)</f>
        <v/>
      </c>
      <c r="U406" s="7">
        <f>IF($V406="","",T406-R406-I406)</f>
        <v/>
      </c>
      <c r="V406" s="13">
        <f>IF(ROWS($V$2:$V406)&lt;=MAX('Per Line'!$AH$2:$AH$6001),MATCH(ROWS($V$2:$V406),'Per Line'!$AH$2:$AH$6001,0),"")</f>
        <v/>
      </c>
    </row>
    <row r="407">
      <c r="A407" s="12" t="n"/>
      <c r="B407">
        <f>IF($V407="","",INDEX('Per Line'!$C$2:$C$6001,$V407)&amp;"")</f>
        <v/>
      </c>
      <c r="C407" s="11">
        <f>IF($V407="","",INDEX('Per Line'!$D$2:$D$6001,$V407))</f>
        <v/>
      </c>
      <c r="D407">
        <f>IF($V407="","",INDEX('Per Line'!$E$2:$E$6001,$V407)&amp;"")</f>
        <v/>
      </c>
      <c r="E407">
        <f>IF($V407="","",INDEX('Per Line'!$G$2:$G$6001,$V407)&amp;"")</f>
        <v/>
      </c>
      <c r="F407">
        <f>IF($V407="","",INDEX('Per Line'!$H$2:$H$6001,$V407)&amp;"")</f>
        <v/>
      </c>
      <c r="G407">
        <f>IF($V407="","",INDEX('Per Line'!$I$2:$I$6001,$V407)&amp;"")</f>
        <v/>
      </c>
      <c r="H407">
        <f>IF($V407="","",INDEX('Per Line'!$J$2:$J$6001,$V407))</f>
        <v/>
      </c>
      <c r="I407" s="7">
        <f>IF($V407="","",H407*S407/100)</f>
        <v/>
      </c>
      <c r="J407">
        <f>IF($V407="","",INDEX('Per Line'!$S$2:$S$6001,$V407)&amp;"")</f>
        <v/>
      </c>
      <c r="K407" s="7">
        <f>IF($V407="","",SUMIFS('Per Line'!$R$2:$R$6001,'Per Line'!$C$2:$C$6001,$B407,'Per Line'!$AJ$2:$AJ$6001,1))</f>
        <v/>
      </c>
      <c r="L407">
        <f>IF($V407="","",Settings!$C$7)</f>
        <v/>
      </c>
      <c r="M407" s="7">
        <f>IF($V407="","",SUMIFS('Per Line'!$R$2:$R$6001,'Per Line'!$C$2:$C$6001,$B407,'Per Line'!$AI$2:$AI$6001,0,'Per Line'!$AJ$2:$AJ$6001,0))</f>
        <v/>
      </c>
      <c r="N407" s="7">
        <f>IF($V407="","",M407*L407)</f>
        <v/>
      </c>
      <c r="O407">
        <f>IF($V407="","",Settings!$C$6)</f>
        <v/>
      </c>
      <c r="P407" s="7">
        <f>IF($V407="","",SUMIFS('Per Line'!$R$2:$R$6001,'Per Line'!$C$2:$C$6001,$B407,'Per Line'!$AI$2:$AI$6001,1,'Per Line'!$AJ$2:$AJ$6001,0))</f>
        <v/>
      </c>
      <c r="Q407" s="7">
        <f>IF($V407="","",P407*O407)</f>
        <v/>
      </c>
      <c r="R407" s="7">
        <f>IF($V407="","",Q407+N407)</f>
        <v/>
      </c>
      <c r="S407" s="7">
        <f>IF($V407="","",T407-R407)</f>
        <v/>
      </c>
      <c r="T407" s="7">
        <f>IF($V407="","",M407+P407+K407)</f>
        <v/>
      </c>
      <c r="U407" s="7">
        <f>IF($V407="","",T407-R407-I407)</f>
        <v/>
      </c>
      <c r="V407" s="13">
        <f>IF(ROWS($V$2:$V407)&lt;=MAX('Per Line'!$AH$2:$AH$6001),MATCH(ROWS($V$2:$V407),'Per Line'!$AH$2:$AH$6001,0),"")</f>
        <v/>
      </c>
    </row>
    <row r="408">
      <c r="A408" s="12" t="n"/>
      <c r="B408">
        <f>IF($V408="","",INDEX('Per Line'!$C$2:$C$6001,$V408)&amp;"")</f>
        <v/>
      </c>
      <c r="C408" s="11">
        <f>IF($V408="","",INDEX('Per Line'!$D$2:$D$6001,$V408))</f>
        <v/>
      </c>
      <c r="D408">
        <f>IF($V408="","",INDEX('Per Line'!$E$2:$E$6001,$V408)&amp;"")</f>
        <v/>
      </c>
      <c r="E408">
        <f>IF($V408="","",INDEX('Per Line'!$G$2:$G$6001,$V408)&amp;"")</f>
        <v/>
      </c>
      <c r="F408">
        <f>IF($V408="","",INDEX('Per Line'!$H$2:$H$6001,$V408)&amp;"")</f>
        <v/>
      </c>
      <c r="G408">
        <f>IF($V408="","",INDEX('Per Line'!$I$2:$I$6001,$V408)&amp;"")</f>
        <v/>
      </c>
      <c r="H408">
        <f>IF($V408="","",INDEX('Per Line'!$J$2:$J$6001,$V408))</f>
        <v/>
      </c>
      <c r="I408" s="7">
        <f>IF($V408="","",H408*S408/100)</f>
        <v/>
      </c>
      <c r="J408">
        <f>IF($V408="","",INDEX('Per Line'!$S$2:$S$6001,$V408)&amp;"")</f>
        <v/>
      </c>
      <c r="K408" s="7">
        <f>IF($V408="","",SUMIFS('Per Line'!$R$2:$R$6001,'Per Line'!$C$2:$C$6001,$B408,'Per Line'!$AJ$2:$AJ$6001,1))</f>
        <v/>
      </c>
      <c r="L408">
        <f>IF($V408="","",Settings!$C$7)</f>
        <v/>
      </c>
      <c r="M408" s="7">
        <f>IF($V408="","",SUMIFS('Per Line'!$R$2:$R$6001,'Per Line'!$C$2:$C$6001,$B408,'Per Line'!$AI$2:$AI$6001,0,'Per Line'!$AJ$2:$AJ$6001,0))</f>
        <v/>
      </c>
      <c r="N408" s="7">
        <f>IF($V408="","",M408*L408)</f>
        <v/>
      </c>
      <c r="O408">
        <f>IF($V408="","",Settings!$C$6)</f>
        <v/>
      </c>
      <c r="P408" s="7">
        <f>IF($V408="","",SUMIFS('Per Line'!$R$2:$R$6001,'Per Line'!$C$2:$C$6001,$B408,'Per Line'!$AI$2:$AI$6001,1,'Per Line'!$AJ$2:$AJ$6001,0))</f>
        <v/>
      </c>
      <c r="Q408" s="7">
        <f>IF($V408="","",P408*O408)</f>
        <v/>
      </c>
      <c r="R408" s="7">
        <f>IF($V408="","",Q408+N408)</f>
        <v/>
      </c>
      <c r="S408" s="7">
        <f>IF($V408="","",T408-R408)</f>
        <v/>
      </c>
      <c r="T408" s="7">
        <f>IF($V408="","",M408+P408+K408)</f>
        <v/>
      </c>
      <c r="U408" s="7">
        <f>IF($V408="","",T408-R408-I408)</f>
        <v/>
      </c>
      <c r="V408" s="13">
        <f>IF(ROWS($V$2:$V408)&lt;=MAX('Per Line'!$AH$2:$AH$6001),MATCH(ROWS($V$2:$V408),'Per Line'!$AH$2:$AH$6001,0),"")</f>
        <v/>
      </c>
    </row>
    <row r="409">
      <c r="A409" s="12" t="n"/>
      <c r="B409">
        <f>IF($V409="","",INDEX('Per Line'!$C$2:$C$6001,$V409)&amp;"")</f>
        <v/>
      </c>
      <c r="C409" s="11">
        <f>IF($V409="","",INDEX('Per Line'!$D$2:$D$6001,$V409))</f>
        <v/>
      </c>
      <c r="D409">
        <f>IF($V409="","",INDEX('Per Line'!$E$2:$E$6001,$V409)&amp;"")</f>
        <v/>
      </c>
      <c r="E409">
        <f>IF($V409="","",INDEX('Per Line'!$G$2:$G$6001,$V409)&amp;"")</f>
        <v/>
      </c>
      <c r="F409">
        <f>IF($V409="","",INDEX('Per Line'!$H$2:$H$6001,$V409)&amp;"")</f>
        <v/>
      </c>
      <c r="G409">
        <f>IF($V409="","",INDEX('Per Line'!$I$2:$I$6001,$V409)&amp;"")</f>
        <v/>
      </c>
      <c r="H409">
        <f>IF($V409="","",INDEX('Per Line'!$J$2:$J$6001,$V409))</f>
        <v/>
      </c>
      <c r="I409" s="7">
        <f>IF($V409="","",H409*S409/100)</f>
        <v/>
      </c>
      <c r="J409">
        <f>IF($V409="","",INDEX('Per Line'!$S$2:$S$6001,$V409)&amp;"")</f>
        <v/>
      </c>
      <c r="K409" s="7">
        <f>IF($V409="","",SUMIFS('Per Line'!$R$2:$R$6001,'Per Line'!$C$2:$C$6001,$B409,'Per Line'!$AJ$2:$AJ$6001,1))</f>
        <v/>
      </c>
      <c r="L409">
        <f>IF($V409="","",Settings!$C$7)</f>
        <v/>
      </c>
      <c r="M409" s="7">
        <f>IF($V409="","",SUMIFS('Per Line'!$R$2:$R$6001,'Per Line'!$C$2:$C$6001,$B409,'Per Line'!$AI$2:$AI$6001,0,'Per Line'!$AJ$2:$AJ$6001,0))</f>
        <v/>
      </c>
      <c r="N409" s="7">
        <f>IF($V409="","",M409*L409)</f>
        <v/>
      </c>
      <c r="O409">
        <f>IF($V409="","",Settings!$C$6)</f>
        <v/>
      </c>
      <c r="P409" s="7">
        <f>IF($V409="","",SUMIFS('Per Line'!$R$2:$R$6001,'Per Line'!$C$2:$C$6001,$B409,'Per Line'!$AI$2:$AI$6001,1,'Per Line'!$AJ$2:$AJ$6001,0))</f>
        <v/>
      </c>
      <c r="Q409" s="7">
        <f>IF($V409="","",P409*O409)</f>
        <v/>
      </c>
      <c r="R409" s="7">
        <f>IF($V409="","",Q409+N409)</f>
        <v/>
      </c>
      <c r="S409" s="7">
        <f>IF($V409="","",T409-R409)</f>
        <v/>
      </c>
      <c r="T409" s="7">
        <f>IF($V409="","",M409+P409+K409)</f>
        <v/>
      </c>
      <c r="U409" s="7">
        <f>IF($V409="","",T409-R409-I409)</f>
        <v/>
      </c>
      <c r="V409" s="13">
        <f>IF(ROWS($V$2:$V409)&lt;=MAX('Per Line'!$AH$2:$AH$6001),MATCH(ROWS($V$2:$V409),'Per Line'!$AH$2:$AH$6001,0),"")</f>
        <v/>
      </c>
    </row>
    <row r="410">
      <c r="A410" s="12" t="n"/>
      <c r="B410">
        <f>IF($V410="","",INDEX('Per Line'!$C$2:$C$6001,$V410)&amp;"")</f>
        <v/>
      </c>
      <c r="C410" s="11">
        <f>IF($V410="","",INDEX('Per Line'!$D$2:$D$6001,$V410))</f>
        <v/>
      </c>
      <c r="D410">
        <f>IF($V410="","",INDEX('Per Line'!$E$2:$E$6001,$V410)&amp;"")</f>
        <v/>
      </c>
      <c r="E410">
        <f>IF($V410="","",INDEX('Per Line'!$G$2:$G$6001,$V410)&amp;"")</f>
        <v/>
      </c>
      <c r="F410">
        <f>IF($V410="","",INDEX('Per Line'!$H$2:$H$6001,$V410)&amp;"")</f>
        <v/>
      </c>
      <c r="G410">
        <f>IF($V410="","",INDEX('Per Line'!$I$2:$I$6001,$V410)&amp;"")</f>
        <v/>
      </c>
      <c r="H410">
        <f>IF($V410="","",INDEX('Per Line'!$J$2:$J$6001,$V410))</f>
        <v/>
      </c>
      <c r="I410" s="7">
        <f>IF($V410="","",H410*S410/100)</f>
        <v/>
      </c>
      <c r="J410">
        <f>IF($V410="","",INDEX('Per Line'!$S$2:$S$6001,$V410)&amp;"")</f>
        <v/>
      </c>
      <c r="K410" s="7">
        <f>IF($V410="","",SUMIFS('Per Line'!$R$2:$R$6001,'Per Line'!$C$2:$C$6001,$B410,'Per Line'!$AJ$2:$AJ$6001,1))</f>
        <v/>
      </c>
      <c r="L410">
        <f>IF($V410="","",Settings!$C$7)</f>
        <v/>
      </c>
      <c r="M410" s="7">
        <f>IF($V410="","",SUMIFS('Per Line'!$R$2:$R$6001,'Per Line'!$C$2:$C$6001,$B410,'Per Line'!$AI$2:$AI$6001,0,'Per Line'!$AJ$2:$AJ$6001,0))</f>
        <v/>
      </c>
      <c r="N410" s="7">
        <f>IF($V410="","",M410*L410)</f>
        <v/>
      </c>
      <c r="O410">
        <f>IF($V410="","",Settings!$C$6)</f>
        <v/>
      </c>
      <c r="P410" s="7">
        <f>IF($V410="","",SUMIFS('Per Line'!$R$2:$R$6001,'Per Line'!$C$2:$C$6001,$B410,'Per Line'!$AI$2:$AI$6001,1,'Per Line'!$AJ$2:$AJ$6001,0))</f>
        <v/>
      </c>
      <c r="Q410" s="7">
        <f>IF($V410="","",P410*O410)</f>
        <v/>
      </c>
      <c r="R410" s="7">
        <f>IF($V410="","",Q410+N410)</f>
        <v/>
      </c>
      <c r="S410" s="7">
        <f>IF($V410="","",T410-R410)</f>
        <v/>
      </c>
      <c r="T410" s="7">
        <f>IF($V410="","",M410+P410+K410)</f>
        <v/>
      </c>
      <c r="U410" s="7">
        <f>IF($V410="","",T410-R410-I410)</f>
        <v/>
      </c>
      <c r="V410" s="13">
        <f>IF(ROWS($V$2:$V410)&lt;=MAX('Per Line'!$AH$2:$AH$6001),MATCH(ROWS($V$2:$V410),'Per Line'!$AH$2:$AH$6001,0),"")</f>
        <v/>
      </c>
    </row>
    <row r="411">
      <c r="A411" s="12" t="n"/>
      <c r="B411">
        <f>IF($V411="","",INDEX('Per Line'!$C$2:$C$6001,$V411)&amp;"")</f>
        <v/>
      </c>
      <c r="C411" s="11">
        <f>IF($V411="","",INDEX('Per Line'!$D$2:$D$6001,$V411))</f>
        <v/>
      </c>
      <c r="D411">
        <f>IF($V411="","",INDEX('Per Line'!$E$2:$E$6001,$V411)&amp;"")</f>
        <v/>
      </c>
      <c r="E411">
        <f>IF($V411="","",INDEX('Per Line'!$G$2:$G$6001,$V411)&amp;"")</f>
        <v/>
      </c>
      <c r="F411">
        <f>IF($V411="","",INDEX('Per Line'!$H$2:$H$6001,$V411)&amp;"")</f>
        <v/>
      </c>
      <c r="G411">
        <f>IF($V411="","",INDEX('Per Line'!$I$2:$I$6001,$V411)&amp;"")</f>
        <v/>
      </c>
      <c r="H411">
        <f>IF($V411="","",INDEX('Per Line'!$J$2:$J$6001,$V411))</f>
        <v/>
      </c>
      <c r="I411" s="7">
        <f>IF($V411="","",H411*S411/100)</f>
        <v/>
      </c>
      <c r="J411">
        <f>IF($V411="","",INDEX('Per Line'!$S$2:$S$6001,$V411)&amp;"")</f>
        <v/>
      </c>
      <c r="K411" s="7">
        <f>IF($V411="","",SUMIFS('Per Line'!$R$2:$R$6001,'Per Line'!$C$2:$C$6001,$B411,'Per Line'!$AJ$2:$AJ$6001,1))</f>
        <v/>
      </c>
      <c r="L411">
        <f>IF($V411="","",Settings!$C$7)</f>
        <v/>
      </c>
      <c r="M411" s="7">
        <f>IF($V411="","",SUMIFS('Per Line'!$R$2:$R$6001,'Per Line'!$C$2:$C$6001,$B411,'Per Line'!$AI$2:$AI$6001,0,'Per Line'!$AJ$2:$AJ$6001,0))</f>
        <v/>
      </c>
      <c r="N411" s="7">
        <f>IF($V411="","",M411*L411)</f>
        <v/>
      </c>
      <c r="O411">
        <f>IF($V411="","",Settings!$C$6)</f>
        <v/>
      </c>
      <c r="P411" s="7">
        <f>IF($V411="","",SUMIFS('Per Line'!$R$2:$R$6001,'Per Line'!$C$2:$C$6001,$B411,'Per Line'!$AI$2:$AI$6001,1,'Per Line'!$AJ$2:$AJ$6001,0))</f>
        <v/>
      </c>
      <c r="Q411" s="7">
        <f>IF($V411="","",P411*O411)</f>
        <v/>
      </c>
      <c r="R411" s="7">
        <f>IF($V411="","",Q411+N411)</f>
        <v/>
      </c>
      <c r="S411" s="7">
        <f>IF($V411="","",T411-R411)</f>
        <v/>
      </c>
      <c r="T411" s="7">
        <f>IF($V411="","",M411+P411+K411)</f>
        <v/>
      </c>
      <c r="U411" s="7">
        <f>IF($V411="","",T411-R411-I411)</f>
        <v/>
      </c>
      <c r="V411" s="13">
        <f>IF(ROWS($V$2:$V411)&lt;=MAX('Per Line'!$AH$2:$AH$6001),MATCH(ROWS($V$2:$V411),'Per Line'!$AH$2:$AH$6001,0),"")</f>
        <v/>
      </c>
    </row>
    <row r="412">
      <c r="A412" s="12" t="n"/>
      <c r="B412">
        <f>IF($V412="","",INDEX('Per Line'!$C$2:$C$6001,$V412)&amp;"")</f>
        <v/>
      </c>
      <c r="C412" s="11">
        <f>IF($V412="","",INDEX('Per Line'!$D$2:$D$6001,$V412))</f>
        <v/>
      </c>
      <c r="D412">
        <f>IF($V412="","",INDEX('Per Line'!$E$2:$E$6001,$V412)&amp;"")</f>
        <v/>
      </c>
      <c r="E412">
        <f>IF($V412="","",INDEX('Per Line'!$G$2:$G$6001,$V412)&amp;"")</f>
        <v/>
      </c>
      <c r="F412">
        <f>IF($V412="","",INDEX('Per Line'!$H$2:$H$6001,$V412)&amp;"")</f>
        <v/>
      </c>
      <c r="G412">
        <f>IF($V412="","",INDEX('Per Line'!$I$2:$I$6001,$V412)&amp;"")</f>
        <v/>
      </c>
      <c r="H412">
        <f>IF($V412="","",INDEX('Per Line'!$J$2:$J$6001,$V412))</f>
        <v/>
      </c>
      <c r="I412" s="7">
        <f>IF($V412="","",H412*S412/100)</f>
        <v/>
      </c>
      <c r="J412">
        <f>IF($V412="","",INDEX('Per Line'!$S$2:$S$6001,$V412)&amp;"")</f>
        <v/>
      </c>
      <c r="K412" s="7">
        <f>IF($V412="","",SUMIFS('Per Line'!$R$2:$R$6001,'Per Line'!$C$2:$C$6001,$B412,'Per Line'!$AJ$2:$AJ$6001,1))</f>
        <v/>
      </c>
      <c r="L412">
        <f>IF($V412="","",Settings!$C$7)</f>
        <v/>
      </c>
      <c r="M412" s="7">
        <f>IF($V412="","",SUMIFS('Per Line'!$R$2:$R$6001,'Per Line'!$C$2:$C$6001,$B412,'Per Line'!$AI$2:$AI$6001,0,'Per Line'!$AJ$2:$AJ$6001,0))</f>
        <v/>
      </c>
      <c r="N412" s="7">
        <f>IF($V412="","",M412*L412)</f>
        <v/>
      </c>
      <c r="O412">
        <f>IF($V412="","",Settings!$C$6)</f>
        <v/>
      </c>
      <c r="P412" s="7">
        <f>IF($V412="","",SUMIFS('Per Line'!$R$2:$R$6001,'Per Line'!$C$2:$C$6001,$B412,'Per Line'!$AI$2:$AI$6001,1,'Per Line'!$AJ$2:$AJ$6001,0))</f>
        <v/>
      </c>
      <c r="Q412" s="7">
        <f>IF($V412="","",P412*O412)</f>
        <v/>
      </c>
      <c r="R412" s="7">
        <f>IF($V412="","",Q412+N412)</f>
        <v/>
      </c>
      <c r="S412" s="7">
        <f>IF($V412="","",T412-R412)</f>
        <v/>
      </c>
      <c r="T412" s="7">
        <f>IF($V412="","",M412+P412+K412)</f>
        <v/>
      </c>
      <c r="U412" s="7">
        <f>IF($V412="","",T412-R412-I412)</f>
        <v/>
      </c>
      <c r="V412" s="13">
        <f>IF(ROWS($V$2:$V412)&lt;=MAX('Per Line'!$AH$2:$AH$6001),MATCH(ROWS($V$2:$V412),'Per Line'!$AH$2:$AH$6001,0),"")</f>
        <v/>
      </c>
    </row>
    <row r="413">
      <c r="A413" s="12" t="n"/>
      <c r="B413">
        <f>IF($V413="","",INDEX('Per Line'!$C$2:$C$6001,$V413)&amp;"")</f>
        <v/>
      </c>
      <c r="C413" s="11">
        <f>IF($V413="","",INDEX('Per Line'!$D$2:$D$6001,$V413))</f>
        <v/>
      </c>
      <c r="D413">
        <f>IF($V413="","",INDEX('Per Line'!$E$2:$E$6001,$V413)&amp;"")</f>
        <v/>
      </c>
      <c r="E413">
        <f>IF($V413="","",INDEX('Per Line'!$G$2:$G$6001,$V413)&amp;"")</f>
        <v/>
      </c>
      <c r="F413">
        <f>IF($V413="","",INDEX('Per Line'!$H$2:$H$6001,$V413)&amp;"")</f>
        <v/>
      </c>
      <c r="G413">
        <f>IF($V413="","",INDEX('Per Line'!$I$2:$I$6001,$V413)&amp;"")</f>
        <v/>
      </c>
      <c r="H413">
        <f>IF($V413="","",INDEX('Per Line'!$J$2:$J$6001,$V413))</f>
        <v/>
      </c>
      <c r="I413" s="7">
        <f>IF($V413="","",H413*S413/100)</f>
        <v/>
      </c>
      <c r="J413">
        <f>IF($V413="","",INDEX('Per Line'!$S$2:$S$6001,$V413)&amp;"")</f>
        <v/>
      </c>
      <c r="K413" s="7">
        <f>IF($V413="","",SUMIFS('Per Line'!$R$2:$R$6001,'Per Line'!$C$2:$C$6001,$B413,'Per Line'!$AJ$2:$AJ$6001,1))</f>
        <v/>
      </c>
      <c r="L413">
        <f>IF($V413="","",Settings!$C$7)</f>
        <v/>
      </c>
      <c r="M413" s="7">
        <f>IF($V413="","",SUMIFS('Per Line'!$R$2:$R$6001,'Per Line'!$C$2:$C$6001,$B413,'Per Line'!$AI$2:$AI$6001,0,'Per Line'!$AJ$2:$AJ$6001,0))</f>
        <v/>
      </c>
      <c r="N413" s="7">
        <f>IF($V413="","",M413*L413)</f>
        <v/>
      </c>
      <c r="O413">
        <f>IF($V413="","",Settings!$C$6)</f>
        <v/>
      </c>
      <c r="P413" s="7">
        <f>IF($V413="","",SUMIFS('Per Line'!$R$2:$R$6001,'Per Line'!$C$2:$C$6001,$B413,'Per Line'!$AI$2:$AI$6001,1,'Per Line'!$AJ$2:$AJ$6001,0))</f>
        <v/>
      </c>
      <c r="Q413" s="7">
        <f>IF($V413="","",P413*O413)</f>
        <v/>
      </c>
      <c r="R413" s="7">
        <f>IF($V413="","",Q413+N413)</f>
        <v/>
      </c>
      <c r="S413" s="7">
        <f>IF($V413="","",T413-R413)</f>
        <v/>
      </c>
      <c r="T413" s="7">
        <f>IF($V413="","",M413+P413+K413)</f>
        <v/>
      </c>
      <c r="U413" s="7">
        <f>IF($V413="","",T413-R413-I413)</f>
        <v/>
      </c>
      <c r="V413" s="13">
        <f>IF(ROWS($V$2:$V413)&lt;=MAX('Per Line'!$AH$2:$AH$6001),MATCH(ROWS($V$2:$V413),'Per Line'!$AH$2:$AH$6001,0),"")</f>
        <v/>
      </c>
    </row>
    <row r="414">
      <c r="A414" s="12" t="n"/>
      <c r="B414">
        <f>IF($V414="","",INDEX('Per Line'!$C$2:$C$6001,$V414)&amp;"")</f>
        <v/>
      </c>
      <c r="C414" s="11">
        <f>IF($V414="","",INDEX('Per Line'!$D$2:$D$6001,$V414))</f>
        <v/>
      </c>
      <c r="D414">
        <f>IF($V414="","",INDEX('Per Line'!$E$2:$E$6001,$V414)&amp;"")</f>
        <v/>
      </c>
      <c r="E414">
        <f>IF($V414="","",INDEX('Per Line'!$G$2:$G$6001,$V414)&amp;"")</f>
        <v/>
      </c>
      <c r="F414">
        <f>IF($V414="","",INDEX('Per Line'!$H$2:$H$6001,$V414)&amp;"")</f>
        <v/>
      </c>
      <c r="G414">
        <f>IF($V414="","",INDEX('Per Line'!$I$2:$I$6001,$V414)&amp;"")</f>
        <v/>
      </c>
      <c r="H414">
        <f>IF($V414="","",INDEX('Per Line'!$J$2:$J$6001,$V414))</f>
        <v/>
      </c>
      <c r="I414" s="7">
        <f>IF($V414="","",H414*S414/100)</f>
        <v/>
      </c>
      <c r="J414">
        <f>IF($V414="","",INDEX('Per Line'!$S$2:$S$6001,$V414)&amp;"")</f>
        <v/>
      </c>
      <c r="K414" s="7">
        <f>IF($V414="","",SUMIFS('Per Line'!$R$2:$R$6001,'Per Line'!$C$2:$C$6001,$B414,'Per Line'!$AJ$2:$AJ$6001,1))</f>
        <v/>
      </c>
      <c r="L414">
        <f>IF($V414="","",Settings!$C$7)</f>
        <v/>
      </c>
      <c r="M414" s="7">
        <f>IF($V414="","",SUMIFS('Per Line'!$R$2:$R$6001,'Per Line'!$C$2:$C$6001,$B414,'Per Line'!$AI$2:$AI$6001,0,'Per Line'!$AJ$2:$AJ$6001,0))</f>
        <v/>
      </c>
      <c r="N414" s="7">
        <f>IF($V414="","",M414*L414)</f>
        <v/>
      </c>
      <c r="O414">
        <f>IF($V414="","",Settings!$C$6)</f>
        <v/>
      </c>
      <c r="P414" s="7">
        <f>IF($V414="","",SUMIFS('Per Line'!$R$2:$R$6001,'Per Line'!$C$2:$C$6001,$B414,'Per Line'!$AI$2:$AI$6001,1,'Per Line'!$AJ$2:$AJ$6001,0))</f>
        <v/>
      </c>
      <c r="Q414" s="7">
        <f>IF($V414="","",P414*O414)</f>
        <v/>
      </c>
      <c r="R414" s="7">
        <f>IF($V414="","",Q414+N414)</f>
        <v/>
      </c>
      <c r="S414" s="7">
        <f>IF($V414="","",T414-R414)</f>
        <v/>
      </c>
      <c r="T414" s="7">
        <f>IF($V414="","",M414+P414+K414)</f>
        <v/>
      </c>
      <c r="U414" s="7">
        <f>IF($V414="","",T414-R414-I414)</f>
        <v/>
      </c>
      <c r="V414" s="13">
        <f>IF(ROWS($V$2:$V414)&lt;=MAX('Per Line'!$AH$2:$AH$6001),MATCH(ROWS($V$2:$V414),'Per Line'!$AH$2:$AH$6001,0),"")</f>
        <v/>
      </c>
    </row>
    <row r="415">
      <c r="A415" s="12" t="n"/>
      <c r="B415">
        <f>IF($V415="","",INDEX('Per Line'!$C$2:$C$6001,$V415)&amp;"")</f>
        <v/>
      </c>
      <c r="C415" s="11">
        <f>IF($V415="","",INDEX('Per Line'!$D$2:$D$6001,$V415))</f>
        <v/>
      </c>
      <c r="D415">
        <f>IF($V415="","",INDEX('Per Line'!$E$2:$E$6001,$V415)&amp;"")</f>
        <v/>
      </c>
      <c r="E415">
        <f>IF($V415="","",INDEX('Per Line'!$G$2:$G$6001,$V415)&amp;"")</f>
        <v/>
      </c>
      <c r="F415">
        <f>IF($V415="","",INDEX('Per Line'!$H$2:$H$6001,$V415)&amp;"")</f>
        <v/>
      </c>
      <c r="G415">
        <f>IF($V415="","",INDEX('Per Line'!$I$2:$I$6001,$V415)&amp;"")</f>
        <v/>
      </c>
      <c r="H415">
        <f>IF($V415="","",INDEX('Per Line'!$J$2:$J$6001,$V415))</f>
        <v/>
      </c>
      <c r="I415" s="7">
        <f>IF($V415="","",H415*S415/100)</f>
        <v/>
      </c>
      <c r="J415">
        <f>IF($V415="","",INDEX('Per Line'!$S$2:$S$6001,$V415)&amp;"")</f>
        <v/>
      </c>
      <c r="K415" s="7">
        <f>IF($V415="","",SUMIFS('Per Line'!$R$2:$R$6001,'Per Line'!$C$2:$C$6001,$B415,'Per Line'!$AJ$2:$AJ$6001,1))</f>
        <v/>
      </c>
      <c r="L415">
        <f>IF($V415="","",Settings!$C$7)</f>
        <v/>
      </c>
      <c r="M415" s="7">
        <f>IF($V415="","",SUMIFS('Per Line'!$R$2:$R$6001,'Per Line'!$C$2:$C$6001,$B415,'Per Line'!$AI$2:$AI$6001,0,'Per Line'!$AJ$2:$AJ$6001,0))</f>
        <v/>
      </c>
      <c r="N415" s="7">
        <f>IF($V415="","",M415*L415)</f>
        <v/>
      </c>
      <c r="O415">
        <f>IF($V415="","",Settings!$C$6)</f>
        <v/>
      </c>
      <c r="P415" s="7">
        <f>IF($V415="","",SUMIFS('Per Line'!$R$2:$R$6001,'Per Line'!$C$2:$C$6001,$B415,'Per Line'!$AI$2:$AI$6001,1,'Per Line'!$AJ$2:$AJ$6001,0))</f>
        <v/>
      </c>
      <c r="Q415" s="7">
        <f>IF($V415="","",P415*O415)</f>
        <v/>
      </c>
      <c r="R415" s="7">
        <f>IF($V415="","",Q415+N415)</f>
        <v/>
      </c>
      <c r="S415" s="7">
        <f>IF($V415="","",T415-R415)</f>
        <v/>
      </c>
      <c r="T415" s="7">
        <f>IF($V415="","",M415+P415+K415)</f>
        <v/>
      </c>
      <c r="U415" s="7">
        <f>IF($V415="","",T415-R415-I415)</f>
        <v/>
      </c>
      <c r="V415" s="13">
        <f>IF(ROWS($V$2:$V415)&lt;=MAX('Per Line'!$AH$2:$AH$6001),MATCH(ROWS($V$2:$V415),'Per Line'!$AH$2:$AH$6001,0),"")</f>
        <v/>
      </c>
    </row>
    <row r="416">
      <c r="A416" s="12" t="n"/>
      <c r="B416">
        <f>IF($V416="","",INDEX('Per Line'!$C$2:$C$6001,$V416)&amp;"")</f>
        <v/>
      </c>
      <c r="C416" s="11">
        <f>IF($V416="","",INDEX('Per Line'!$D$2:$D$6001,$V416))</f>
        <v/>
      </c>
      <c r="D416">
        <f>IF($V416="","",INDEX('Per Line'!$E$2:$E$6001,$V416)&amp;"")</f>
        <v/>
      </c>
      <c r="E416">
        <f>IF($V416="","",INDEX('Per Line'!$G$2:$G$6001,$V416)&amp;"")</f>
        <v/>
      </c>
      <c r="F416">
        <f>IF($V416="","",INDEX('Per Line'!$H$2:$H$6001,$V416)&amp;"")</f>
        <v/>
      </c>
      <c r="G416">
        <f>IF($V416="","",INDEX('Per Line'!$I$2:$I$6001,$V416)&amp;"")</f>
        <v/>
      </c>
      <c r="H416">
        <f>IF($V416="","",INDEX('Per Line'!$J$2:$J$6001,$V416))</f>
        <v/>
      </c>
      <c r="I416" s="7">
        <f>IF($V416="","",H416*S416/100)</f>
        <v/>
      </c>
      <c r="J416">
        <f>IF($V416="","",INDEX('Per Line'!$S$2:$S$6001,$V416)&amp;"")</f>
        <v/>
      </c>
      <c r="K416" s="7">
        <f>IF($V416="","",SUMIFS('Per Line'!$R$2:$R$6001,'Per Line'!$C$2:$C$6001,$B416,'Per Line'!$AJ$2:$AJ$6001,1))</f>
        <v/>
      </c>
      <c r="L416">
        <f>IF($V416="","",Settings!$C$7)</f>
        <v/>
      </c>
      <c r="M416" s="7">
        <f>IF($V416="","",SUMIFS('Per Line'!$R$2:$R$6001,'Per Line'!$C$2:$C$6001,$B416,'Per Line'!$AI$2:$AI$6001,0,'Per Line'!$AJ$2:$AJ$6001,0))</f>
        <v/>
      </c>
      <c r="N416" s="7">
        <f>IF($V416="","",M416*L416)</f>
        <v/>
      </c>
      <c r="O416">
        <f>IF($V416="","",Settings!$C$6)</f>
        <v/>
      </c>
      <c r="P416" s="7">
        <f>IF($V416="","",SUMIFS('Per Line'!$R$2:$R$6001,'Per Line'!$C$2:$C$6001,$B416,'Per Line'!$AI$2:$AI$6001,1,'Per Line'!$AJ$2:$AJ$6001,0))</f>
        <v/>
      </c>
      <c r="Q416" s="7">
        <f>IF($V416="","",P416*O416)</f>
        <v/>
      </c>
      <c r="R416" s="7">
        <f>IF($V416="","",Q416+N416)</f>
        <v/>
      </c>
      <c r="S416" s="7">
        <f>IF($V416="","",T416-R416)</f>
        <v/>
      </c>
      <c r="T416" s="7">
        <f>IF($V416="","",M416+P416+K416)</f>
        <v/>
      </c>
      <c r="U416" s="7">
        <f>IF($V416="","",T416-R416-I416)</f>
        <v/>
      </c>
      <c r="V416" s="13">
        <f>IF(ROWS($V$2:$V416)&lt;=MAX('Per Line'!$AH$2:$AH$6001),MATCH(ROWS($V$2:$V416),'Per Line'!$AH$2:$AH$6001,0),"")</f>
        <v/>
      </c>
    </row>
    <row r="417">
      <c r="A417" s="12" t="n"/>
      <c r="B417">
        <f>IF($V417="","",INDEX('Per Line'!$C$2:$C$6001,$V417)&amp;"")</f>
        <v/>
      </c>
      <c r="C417" s="11">
        <f>IF($V417="","",INDEX('Per Line'!$D$2:$D$6001,$V417))</f>
        <v/>
      </c>
      <c r="D417">
        <f>IF($V417="","",INDEX('Per Line'!$E$2:$E$6001,$V417)&amp;"")</f>
        <v/>
      </c>
      <c r="E417">
        <f>IF($V417="","",INDEX('Per Line'!$G$2:$G$6001,$V417)&amp;"")</f>
        <v/>
      </c>
      <c r="F417">
        <f>IF($V417="","",INDEX('Per Line'!$H$2:$H$6001,$V417)&amp;"")</f>
        <v/>
      </c>
      <c r="G417">
        <f>IF($V417="","",INDEX('Per Line'!$I$2:$I$6001,$V417)&amp;"")</f>
        <v/>
      </c>
      <c r="H417">
        <f>IF($V417="","",INDEX('Per Line'!$J$2:$J$6001,$V417))</f>
        <v/>
      </c>
      <c r="I417" s="7">
        <f>IF($V417="","",H417*S417/100)</f>
        <v/>
      </c>
      <c r="J417">
        <f>IF($V417="","",INDEX('Per Line'!$S$2:$S$6001,$V417)&amp;"")</f>
        <v/>
      </c>
      <c r="K417" s="7">
        <f>IF($V417="","",SUMIFS('Per Line'!$R$2:$R$6001,'Per Line'!$C$2:$C$6001,$B417,'Per Line'!$AJ$2:$AJ$6001,1))</f>
        <v/>
      </c>
      <c r="L417">
        <f>IF($V417="","",Settings!$C$7)</f>
        <v/>
      </c>
      <c r="M417" s="7">
        <f>IF($V417="","",SUMIFS('Per Line'!$R$2:$R$6001,'Per Line'!$C$2:$C$6001,$B417,'Per Line'!$AI$2:$AI$6001,0,'Per Line'!$AJ$2:$AJ$6001,0))</f>
        <v/>
      </c>
      <c r="N417" s="7">
        <f>IF($V417="","",M417*L417)</f>
        <v/>
      </c>
      <c r="O417">
        <f>IF($V417="","",Settings!$C$6)</f>
        <v/>
      </c>
      <c r="P417" s="7">
        <f>IF($V417="","",SUMIFS('Per Line'!$R$2:$R$6001,'Per Line'!$C$2:$C$6001,$B417,'Per Line'!$AI$2:$AI$6001,1,'Per Line'!$AJ$2:$AJ$6001,0))</f>
        <v/>
      </c>
      <c r="Q417" s="7">
        <f>IF($V417="","",P417*O417)</f>
        <v/>
      </c>
      <c r="R417" s="7">
        <f>IF($V417="","",Q417+N417)</f>
        <v/>
      </c>
      <c r="S417" s="7">
        <f>IF($V417="","",T417-R417)</f>
        <v/>
      </c>
      <c r="T417" s="7">
        <f>IF($V417="","",M417+P417+K417)</f>
        <v/>
      </c>
      <c r="U417" s="7">
        <f>IF($V417="","",T417-R417-I417)</f>
        <v/>
      </c>
      <c r="V417" s="13">
        <f>IF(ROWS($V$2:$V417)&lt;=MAX('Per Line'!$AH$2:$AH$6001),MATCH(ROWS($V$2:$V417),'Per Line'!$AH$2:$AH$6001,0),"")</f>
        <v/>
      </c>
    </row>
    <row r="418">
      <c r="A418" s="12" t="n"/>
      <c r="B418">
        <f>IF($V418="","",INDEX('Per Line'!$C$2:$C$6001,$V418)&amp;"")</f>
        <v/>
      </c>
      <c r="C418" s="11">
        <f>IF($V418="","",INDEX('Per Line'!$D$2:$D$6001,$V418))</f>
        <v/>
      </c>
      <c r="D418">
        <f>IF($V418="","",INDEX('Per Line'!$E$2:$E$6001,$V418)&amp;"")</f>
        <v/>
      </c>
      <c r="E418">
        <f>IF($V418="","",INDEX('Per Line'!$G$2:$G$6001,$V418)&amp;"")</f>
        <v/>
      </c>
      <c r="F418">
        <f>IF($V418="","",INDEX('Per Line'!$H$2:$H$6001,$V418)&amp;"")</f>
        <v/>
      </c>
      <c r="G418">
        <f>IF($V418="","",INDEX('Per Line'!$I$2:$I$6001,$V418)&amp;"")</f>
        <v/>
      </c>
      <c r="H418">
        <f>IF($V418="","",INDEX('Per Line'!$J$2:$J$6001,$V418))</f>
        <v/>
      </c>
      <c r="I418" s="7">
        <f>IF($V418="","",H418*S418/100)</f>
        <v/>
      </c>
      <c r="J418">
        <f>IF($V418="","",INDEX('Per Line'!$S$2:$S$6001,$V418)&amp;"")</f>
        <v/>
      </c>
      <c r="K418" s="7">
        <f>IF($V418="","",SUMIFS('Per Line'!$R$2:$R$6001,'Per Line'!$C$2:$C$6001,$B418,'Per Line'!$AJ$2:$AJ$6001,1))</f>
        <v/>
      </c>
      <c r="L418">
        <f>IF($V418="","",Settings!$C$7)</f>
        <v/>
      </c>
      <c r="M418" s="7">
        <f>IF($V418="","",SUMIFS('Per Line'!$R$2:$R$6001,'Per Line'!$C$2:$C$6001,$B418,'Per Line'!$AI$2:$AI$6001,0,'Per Line'!$AJ$2:$AJ$6001,0))</f>
        <v/>
      </c>
      <c r="N418" s="7">
        <f>IF($V418="","",M418*L418)</f>
        <v/>
      </c>
      <c r="O418">
        <f>IF($V418="","",Settings!$C$6)</f>
        <v/>
      </c>
      <c r="P418" s="7">
        <f>IF($V418="","",SUMIFS('Per Line'!$R$2:$R$6001,'Per Line'!$C$2:$C$6001,$B418,'Per Line'!$AI$2:$AI$6001,1,'Per Line'!$AJ$2:$AJ$6001,0))</f>
        <v/>
      </c>
      <c r="Q418" s="7">
        <f>IF($V418="","",P418*O418)</f>
        <v/>
      </c>
      <c r="R418" s="7">
        <f>IF($V418="","",Q418+N418)</f>
        <v/>
      </c>
      <c r="S418" s="7">
        <f>IF($V418="","",T418-R418)</f>
        <v/>
      </c>
      <c r="T418" s="7">
        <f>IF($V418="","",M418+P418+K418)</f>
        <v/>
      </c>
      <c r="U418" s="7">
        <f>IF($V418="","",T418-R418-I418)</f>
        <v/>
      </c>
      <c r="V418" s="13">
        <f>IF(ROWS($V$2:$V418)&lt;=MAX('Per Line'!$AH$2:$AH$6001),MATCH(ROWS($V$2:$V418),'Per Line'!$AH$2:$AH$6001,0),"")</f>
        <v/>
      </c>
    </row>
    <row r="419">
      <c r="A419" s="12" t="n"/>
      <c r="B419">
        <f>IF($V419="","",INDEX('Per Line'!$C$2:$C$6001,$V419)&amp;"")</f>
        <v/>
      </c>
      <c r="C419" s="11">
        <f>IF($V419="","",INDEX('Per Line'!$D$2:$D$6001,$V419))</f>
        <v/>
      </c>
      <c r="D419">
        <f>IF($V419="","",INDEX('Per Line'!$E$2:$E$6001,$V419)&amp;"")</f>
        <v/>
      </c>
      <c r="E419">
        <f>IF($V419="","",INDEX('Per Line'!$G$2:$G$6001,$V419)&amp;"")</f>
        <v/>
      </c>
      <c r="F419">
        <f>IF($V419="","",INDEX('Per Line'!$H$2:$H$6001,$V419)&amp;"")</f>
        <v/>
      </c>
      <c r="G419">
        <f>IF($V419="","",INDEX('Per Line'!$I$2:$I$6001,$V419)&amp;"")</f>
        <v/>
      </c>
      <c r="H419">
        <f>IF($V419="","",INDEX('Per Line'!$J$2:$J$6001,$V419))</f>
        <v/>
      </c>
      <c r="I419" s="7">
        <f>IF($V419="","",H419*S419/100)</f>
        <v/>
      </c>
      <c r="J419">
        <f>IF($V419="","",INDEX('Per Line'!$S$2:$S$6001,$V419)&amp;"")</f>
        <v/>
      </c>
      <c r="K419" s="7">
        <f>IF($V419="","",SUMIFS('Per Line'!$R$2:$R$6001,'Per Line'!$C$2:$C$6001,$B419,'Per Line'!$AJ$2:$AJ$6001,1))</f>
        <v/>
      </c>
      <c r="L419">
        <f>IF($V419="","",Settings!$C$7)</f>
        <v/>
      </c>
      <c r="M419" s="7">
        <f>IF($V419="","",SUMIFS('Per Line'!$R$2:$R$6001,'Per Line'!$C$2:$C$6001,$B419,'Per Line'!$AI$2:$AI$6001,0,'Per Line'!$AJ$2:$AJ$6001,0))</f>
        <v/>
      </c>
      <c r="N419" s="7">
        <f>IF($V419="","",M419*L419)</f>
        <v/>
      </c>
      <c r="O419">
        <f>IF($V419="","",Settings!$C$6)</f>
        <v/>
      </c>
      <c r="P419" s="7">
        <f>IF($V419="","",SUMIFS('Per Line'!$R$2:$R$6001,'Per Line'!$C$2:$C$6001,$B419,'Per Line'!$AI$2:$AI$6001,1,'Per Line'!$AJ$2:$AJ$6001,0))</f>
        <v/>
      </c>
      <c r="Q419" s="7">
        <f>IF($V419="","",P419*O419)</f>
        <v/>
      </c>
      <c r="R419" s="7">
        <f>IF($V419="","",Q419+N419)</f>
        <v/>
      </c>
      <c r="S419" s="7">
        <f>IF($V419="","",T419-R419)</f>
        <v/>
      </c>
      <c r="T419" s="7">
        <f>IF($V419="","",M419+P419+K419)</f>
        <v/>
      </c>
      <c r="U419" s="7">
        <f>IF($V419="","",T419-R419-I419)</f>
        <v/>
      </c>
      <c r="V419" s="13">
        <f>IF(ROWS($V$2:$V419)&lt;=MAX('Per Line'!$AH$2:$AH$6001),MATCH(ROWS($V$2:$V419),'Per Line'!$AH$2:$AH$6001,0),"")</f>
        <v/>
      </c>
    </row>
    <row r="420">
      <c r="A420" s="12" t="n"/>
      <c r="B420">
        <f>IF($V420="","",INDEX('Per Line'!$C$2:$C$6001,$V420)&amp;"")</f>
        <v/>
      </c>
      <c r="C420" s="11">
        <f>IF($V420="","",INDEX('Per Line'!$D$2:$D$6001,$V420))</f>
        <v/>
      </c>
      <c r="D420">
        <f>IF($V420="","",INDEX('Per Line'!$E$2:$E$6001,$V420)&amp;"")</f>
        <v/>
      </c>
      <c r="E420">
        <f>IF($V420="","",INDEX('Per Line'!$G$2:$G$6001,$V420)&amp;"")</f>
        <v/>
      </c>
      <c r="F420">
        <f>IF($V420="","",INDEX('Per Line'!$H$2:$H$6001,$V420)&amp;"")</f>
        <v/>
      </c>
      <c r="G420">
        <f>IF($V420="","",INDEX('Per Line'!$I$2:$I$6001,$V420)&amp;"")</f>
        <v/>
      </c>
      <c r="H420">
        <f>IF($V420="","",INDEX('Per Line'!$J$2:$J$6001,$V420))</f>
        <v/>
      </c>
      <c r="I420" s="7">
        <f>IF($V420="","",H420*S420/100)</f>
        <v/>
      </c>
      <c r="J420">
        <f>IF($V420="","",INDEX('Per Line'!$S$2:$S$6001,$V420)&amp;"")</f>
        <v/>
      </c>
      <c r="K420" s="7">
        <f>IF($V420="","",SUMIFS('Per Line'!$R$2:$R$6001,'Per Line'!$C$2:$C$6001,$B420,'Per Line'!$AJ$2:$AJ$6001,1))</f>
        <v/>
      </c>
      <c r="L420">
        <f>IF($V420="","",Settings!$C$7)</f>
        <v/>
      </c>
      <c r="M420" s="7">
        <f>IF($V420="","",SUMIFS('Per Line'!$R$2:$R$6001,'Per Line'!$C$2:$C$6001,$B420,'Per Line'!$AI$2:$AI$6001,0,'Per Line'!$AJ$2:$AJ$6001,0))</f>
        <v/>
      </c>
      <c r="N420" s="7">
        <f>IF($V420="","",M420*L420)</f>
        <v/>
      </c>
      <c r="O420">
        <f>IF($V420="","",Settings!$C$6)</f>
        <v/>
      </c>
      <c r="P420" s="7">
        <f>IF($V420="","",SUMIFS('Per Line'!$R$2:$R$6001,'Per Line'!$C$2:$C$6001,$B420,'Per Line'!$AI$2:$AI$6001,1,'Per Line'!$AJ$2:$AJ$6001,0))</f>
        <v/>
      </c>
      <c r="Q420" s="7">
        <f>IF($V420="","",P420*O420)</f>
        <v/>
      </c>
      <c r="R420" s="7">
        <f>IF($V420="","",Q420+N420)</f>
        <v/>
      </c>
      <c r="S420" s="7">
        <f>IF($V420="","",T420-R420)</f>
        <v/>
      </c>
      <c r="T420" s="7">
        <f>IF($V420="","",M420+P420+K420)</f>
        <v/>
      </c>
      <c r="U420" s="7">
        <f>IF($V420="","",T420-R420-I420)</f>
        <v/>
      </c>
      <c r="V420" s="13">
        <f>IF(ROWS($V$2:$V420)&lt;=MAX('Per Line'!$AH$2:$AH$6001),MATCH(ROWS($V$2:$V420),'Per Line'!$AH$2:$AH$6001,0),"")</f>
        <v/>
      </c>
    </row>
    <row r="421">
      <c r="A421" s="12" t="n"/>
      <c r="B421">
        <f>IF($V421="","",INDEX('Per Line'!$C$2:$C$6001,$V421)&amp;"")</f>
        <v/>
      </c>
      <c r="C421" s="11">
        <f>IF($V421="","",INDEX('Per Line'!$D$2:$D$6001,$V421))</f>
        <v/>
      </c>
      <c r="D421">
        <f>IF($V421="","",INDEX('Per Line'!$E$2:$E$6001,$V421)&amp;"")</f>
        <v/>
      </c>
      <c r="E421">
        <f>IF($V421="","",INDEX('Per Line'!$G$2:$G$6001,$V421)&amp;"")</f>
        <v/>
      </c>
      <c r="F421">
        <f>IF($V421="","",INDEX('Per Line'!$H$2:$H$6001,$V421)&amp;"")</f>
        <v/>
      </c>
      <c r="G421">
        <f>IF($V421="","",INDEX('Per Line'!$I$2:$I$6001,$V421)&amp;"")</f>
        <v/>
      </c>
      <c r="H421">
        <f>IF($V421="","",INDEX('Per Line'!$J$2:$J$6001,$V421))</f>
        <v/>
      </c>
      <c r="I421" s="7">
        <f>IF($V421="","",H421*S421/100)</f>
        <v/>
      </c>
      <c r="J421">
        <f>IF($V421="","",INDEX('Per Line'!$S$2:$S$6001,$V421)&amp;"")</f>
        <v/>
      </c>
      <c r="K421" s="7">
        <f>IF($V421="","",SUMIFS('Per Line'!$R$2:$R$6001,'Per Line'!$C$2:$C$6001,$B421,'Per Line'!$AJ$2:$AJ$6001,1))</f>
        <v/>
      </c>
      <c r="L421">
        <f>IF($V421="","",Settings!$C$7)</f>
        <v/>
      </c>
      <c r="M421" s="7">
        <f>IF($V421="","",SUMIFS('Per Line'!$R$2:$R$6001,'Per Line'!$C$2:$C$6001,$B421,'Per Line'!$AI$2:$AI$6001,0,'Per Line'!$AJ$2:$AJ$6001,0))</f>
        <v/>
      </c>
      <c r="N421" s="7">
        <f>IF($V421="","",M421*L421)</f>
        <v/>
      </c>
      <c r="O421">
        <f>IF($V421="","",Settings!$C$6)</f>
        <v/>
      </c>
      <c r="P421" s="7">
        <f>IF($V421="","",SUMIFS('Per Line'!$R$2:$R$6001,'Per Line'!$C$2:$C$6001,$B421,'Per Line'!$AI$2:$AI$6001,1,'Per Line'!$AJ$2:$AJ$6001,0))</f>
        <v/>
      </c>
      <c r="Q421" s="7">
        <f>IF($V421="","",P421*O421)</f>
        <v/>
      </c>
      <c r="R421" s="7">
        <f>IF($V421="","",Q421+N421)</f>
        <v/>
      </c>
      <c r="S421" s="7">
        <f>IF($V421="","",T421-R421)</f>
        <v/>
      </c>
      <c r="T421" s="7">
        <f>IF($V421="","",M421+P421+K421)</f>
        <v/>
      </c>
      <c r="U421" s="7">
        <f>IF($V421="","",T421-R421-I421)</f>
        <v/>
      </c>
      <c r="V421" s="13">
        <f>IF(ROWS($V$2:$V421)&lt;=MAX('Per Line'!$AH$2:$AH$6001),MATCH(ROWS($V$2:$V421),'Per Line'!$AH$2:$AH$6001,0),"")</f>
        <v/>
      </c>
    </row>
    <row r="422">
      <c r="A422" s="12" t="n"/>
      <c r="B422">
        <f>IF($V422="","",INDEX('Per Line'!$C$2:$C$6001,$V422)&amp;"")</f>
        <v/>
      </c>
      <c r="C422" s="11">
        <f>IF($V422="","",INDEX('Per Line'!$D$2:$D$6001,$V422))</f>
        <v/>
      </c>
      <c r="D422">
        <f>IF($V422="","",INDEX('Per Line'!$E$2:$E$6001,$V422)&amp;"")</f>
        <v/>
      </c>
      <c r="E422">
        <f>IF($V422="","",INDEX('Per Line'!$G$2:$G$6001,$V422)&amp;"")</f>
        <v/>
      </c>
      <c r="F422">
        <f>IF($V422="","",INDEX('Per Line'!$H$2:$H$6001,$V422)&amp;"")</f>
        <v/>
      </c>
      <c r="G422">
        <f>IF($V422="","",INDEX('Per Line'!$I$2:$I$6001,$V422)&amp;"")</f>
        <v/>
      </c>
      <c r="H422">
        <f>IF($V422="","",INDEX('Per Line'!$J$2:$J$6001,$V422))</f>
        <v/>
      </c>
      <c r="I422" s="7">
        <f>IF($V422="","",H422*S422/100)</f>
        <v/>
      </c>
      <c r="J422">
        <f>IF($V422="","",INDEX('Per Line'!$S$2:$S$6001,$V422)&amp;"")</f>
        <v/>
      </c>
      <c r="K422" s="7">
        <f>IF($V422="","",SUMIFS('Per Line'!$R$2:$R$6001,'Per Line'!$C$2:$C$6001,$B422,'Per Line'!$AJ$2:$AJ$6001,1))</f>
        <v/>
      </c>
      <c r="L422">
        <f>IF($V422="","",Settings!$C$7)</f>
        <v/>
      </c>
      <c r="M422" s="7">
        <f>IF($V422="","",SUMIFS('Per Line'!$R$2:$R$6001,'Per Line'!$C$2:$C$6001,$B422,'Per Line'!$AI$2:$AI$6001,0,'Per Line'!$AJ$2:$AJ$6001,0))</f>
        <v/>
      </c>
      <c r="N422" s="7">
        <f>IF($V422="","",M422*L422)</f>
        <v/>
      </c>
      <c r="O422">
        <f>IF($V422="","",Settings!$C$6)</f>
        <v/>
      </c>
      <c r="P422" s="7">
        <f>IF($V422="","",SUMIFS('Per Line'!$R$2:$R$6001,'Per Line'!$C$2:$C$6001,$B422,'Per Line'!$AI$2:$AI$6001,1,'Per Line'!$AJ$2:$AJ$6001,0))</f>
        <v/>
      </c>
      <c r="Q422" s="7">
        <f>IF($V422="","",P422*O422)</f>
        <v/>
      </c>
      <c r="R422" s="7">
        <f>IF($V422="","",Q422+N422)</f>
        <v/>
      </c>
      <c r="S422" s="7">
        <f>IF($V422="","",T422-R422)</f>
        <v/>
      </c>
      <c r="T422" s="7">
        <f>IF($V422="","",M422+P422+K422)</f>
        <v/>
      </c>
      <c r="U422" s="7">
        <f>IF($V422="","",T422-R422-I422)</f>
        <v/>
      </c>
      <c r="V422" s="13">
        <f>IF(ROWS($V$2:$V422)&lt;=MAX('Per Line'!$AH$2:$AH$6001),MATCH(ROWS($V$2:$V422),'Per Line'!$AH$2:$AH$6001,0),"")</f>
        <v/>
      </c>
    </row>
    <row r="423">
      <c r="A423" s="12" t="n"/>
      <c r="B423">
        <f>IF($V423="","",INDEX('Per Line'!$C$2:$C$6001,$V423)&amp;"")</f>
        <v/>
      </c>
      <c r="C423" s="11">
        <f>IF($V423="","",INDEX('Per Line'!$D$2:$D$6001,$V423))</f>
        <v/>
      </c>
      <c r="D423">
        <f>IF($V423="","",INDEX('Per Line'!$E$2:$E$6001,$V423)&amp;"")</f>
        <v/>
      </c>
      <c r="E423">
        <f>IF($V423="","",INDEX('Per Line'!$G$2:$G$6001,$V423)&amp;"")</f>
        <v/>
      </c>
      <c r="F423">
        <f>IF($V423="","",INDEX('Per Line'!$H$2:$H$6001,$V423)&amp;"")</f>
        <v/>
      </c>
      <c r="G423">
        <f>IF($V423="","",INDEX('Per Line'!$I$2:$I$6001,$V423)&amp;"")</f>
        <v/>
      </c>
      <c r="H423">
        <f>IF($V423="","",INDEX('Per Line'!$J$2:$J$6001,$V423))</f>
        <v/>
      </c>
      <c r="I423" s="7">
        <f>IF($V423="","",H423*S423/100)</f>
        <v/>
      </c>
      <c r="J423">
        <f>IF($V423="","",INDEX('Per Line'!$S$2:$S$6001,$V423)&amp;"")</f>
        <v/>
      </c>
      <c r="K423" s="7">
        <f>IF($V423="","",SUMIFS('Per Line'!$R$2:$R$6001,'Per Line'!$C$2:$C$6001,$B423,'Per Line'!$AJ$2:$AJ$6001,1))</f>
        <v/>
      </c>
      <c r="L423">
        <f>IF($V423="","",Settings!$C$7)</f>
        <v/>
      </c>
      <c r="M423" s="7">
        <f>IF($V423="","",SUMIFS('Per Line'!$R$2:$R$6001,'Per Line'!$C$2:$C$6001,$B423,'Per Line'!$AI$2:$AI$6001,0,'Per Line'!$AJ$2:$AJ$6001,0))</f>
        <v/>
      </c>
      <c r="N423" s="7">
        <f>IF($V423="","",M423*L423)</f>
        <v/>
      </c>
      <c r="O423">
        <f>IF($V423="","",Settings!$C$6)</f>
        <v/>
      </c>
      <c r="P423" s="7">
        <f>IF($V423="","",SUMIFS('Per Line'!$R$2:$R$6001,'Per Line'!$C$2:$C$6001,$B423,'Per Line'!$AI$2:$AI$6001,1,'Per Line'!$AJ$2:$AJ$6001,0))</f>
        <v/>
      </c>
      <c r="Q423" s="7">
        <f>IF($V423="","",P423*O423)</f>
        <v/>
      </c>
      <c r="R423" s="7">
        <f>IF($V423="","",Q423+N423)</f>
        <v/>
      </c>
      <c r="S423" s="7">
        <f>IF($V423="","",T423-R423)</f>
        <v/>
      </c>
      <c r="T423" s="7">
        <f>IF($V423="","",M423+P423+K423)</f>
        <v/>
      </c>
      <c r="U423" s="7">
        <f>IF($V423="","",T423-R423-I423)</f>
        <v/>
      </c>
      <c r="V423" s="13">
        <f>IF(ROWS($V$2:$V423)&lt;=MAX('Per Line'!$AH$2:$AH$6001),MATCH(ROWS($V$2:$V423),'Per Line'!$AH$2:$AH$6001,0),"")</f>
        <v/>
      </c>
    </row>
    <row r="424">
      <c r="A424" s="12" t="n"/>
      <c r="B424">
        <f>IF($V424="","",INDEX('Per Line'!$C$2:$C$6001,$V424)&amp;"")</f>
        <v/>
      </c>
      <c r="C424" s="11">
        <f>IF($V424="","",INDEX('Per Line'!$D$2:$D$6001,$V424))</f>
        <v/>
      </c>
      <c r="D424">
        <f>IF($V424="","",INDEX('Per Line'!$E$2:$E$6001,$V424)&amp;"")</f>
        <v/>
      </c>
      <c r="E424">
        <f>IF($V424="","",INDEX('Per Line'!$G$2:$G$6001,$V424)&amp;"")</f>
        <v/>
      </c>
      <c r="F424">
        <f>IF($V424="","",INDEX('Per Line'!$H$2:$H$6001,$V424)&amp;"")</f>
        <v/>
      </c>
      <c r="G424">
        <f>IF($V424="","",INDEX('Per Line'!$I$2:$I$6001,$V424)&amp;"")</f>
        <v/>
      </c>
      <c r="H424">
        <f>IF($V424="","",INDEX('Per Line'!$J$2:$J$6001,$V424))</f>
        <v/>
      </c>
      <c r="I424" s="7">
        <f>IF($V424="","",H424*S424/100)</f>
        <v/>
      </c>
      <c r="J424">
        <f>IF($V424="","",INDEX('Per Line'!$S$2:$S$6001,$V424)&amp;"")</f>
        <v/>
      </c>
      <c r="K424" s="7">
        <f>IF($V424="","",SUMIFS('Per Line'!$R$2:$R$6001,'Per Line'!$C$2:$C$6001,$B424,'Per Line'!$AJ$2:$AJ$6001,1))</f>
        <v/>
      </c>
      <c r="L424">
        <f>IF($V424="","",Settings!$C$7)</f>
        <v/>
      </c>
      <c r="M424" s="7">
        <f>IF($V424="","",SUMIFS('Per Line'!$R$2:$R$6001,'Per Line'!$C$2:$C$6001,$B424,'Per Line'!$AI$2:$AI$6001,0,'Per Line'!$AJ$2:$AJ$6001,0))</f>
        <v/>
      </c>
      <c r="N424" s="7">
        <f>IF($V424="","",M424*L424)</f>
        <v/>
      </c>
      <c r="O424">
        <f>IF($V424="","",Settings!$C$6)</f>
        <v/>
      </c>
      <c r="P424" s="7">
        <f>IF($V424="","",SUMIFS('Per Line'!$R$2:$R$6001,'Per Line'!$C$2:$C$6001,$B424,'Per Line'!$AI$2:$AI$6001,1,'Per Line'!$AJ$2:$AJ$6001,0))</f>
        <v/>
      </c>
      <c r="Q424" s="7">
        <f>IF($V424="","",P424*O424)</f>
        <v/>
      </c>
      <c r="R424" s="7">
        <f>IF($V424="","",Q424+N424)</f>
        <v/>
      </c>
      <c r="S424" s="7">
        <f>IF($V424="","",T424-R424)</f>
        <v/>
      </c>
      <c r="T424" s="7">
        <f>IF($V424="","",M424+P424+K424)</f>
        <v/>
      </c>
      <c r="U424" s="7">
        <f>IF($V424="","",T424-R424-I424)</f>
        <v/>
      </c>
      <c r="V424" s="13">
        <f>IF(ROWS($V$2:$V424)&lt;=MAX('Per Line'!$AH$2:$AH$6001),MATCH(ROWS($V$2:$V424),'Per Line'!$AH$2:$AH$6001,0),"")</f>
        <v/>
      </c>
    </row>
    <row r="425">
      <c r="A425" s="12" t="n"/>
      <c r="B425">
        <f>IF($V425="","",INDEX('Per Line'!$C$2:$C$6001,$V425)&amp;"")</f>
        <v/>
      </c>
      <c r="C425" s="11">
        <f>IF($V425="","",INDEX('Per Line'!$D$2:$D$6001,$V425))</f>
        <v/>
      </c>
      <c r="D425">
        <f>IF($V425="","",INDEX('Per Line'!$E$2:$E$6001,$V425)&amp;"")</f>
        <v/>
      </c>
      <c r="E425">
        <f>IF($V425="","",INDEX('Per Line'!$G$2:$G$6001,$V425)&amp;"")</f>
        <v/>
      </c>
      <c r="F425">
        <f>IF($V425="","",INDEX('Per Line'!$H$2:$H$6001,$V425)&amp;"")</f>
        <v/>
      </c>
      <c r="G425">
        <f>IF($V425="","",INDEX('Per Line'!$I$2:$I$6001,$V425)&amp;"")</f>
        <v/>
      </c>
      <c r="H425">
        <f>IF($V425="","",INDEX('Per Line'!$J$2:$J$6001,$V425))</f>
        <v/>
      </c>
      <c r="I425" s="7">
        <f>IF($V425="","",H425*S425/100)</f>
        <v/>
      </c>
      <c r="J425">
        <f>IF($V425="","",INDEX('Per Line'!$S$2:$S$6001,$V425)&amp;"")</f>
        <v/>
      </c>
      <c r="K425" s="7">
        <f>IF($V425="","",SUMIFS('Per Line'!$R$2:$R$6001,'Per Line'!$C$2:$C$6001,$B425,'Per Line'!$AJ$2:$AJ$6001,1))</f>
        <v/>
      </c>
      <c r="L425">
        <f>IF($V425="","",Settings!$C$7)</f>
        <v/>
      </c>
      <c r="M425" s="7">
        <f>IF($V425="","",SUMIFS('Per Line'!$R$2:$R$6001,'Per Line'!$C$2:$C$6001,$B425,'Per Line'!$AI$2:$AI$6001,0,'Per Line'!$AJ$2:$AJ$6001,0))</f>
        <v/>
      </c>
      <c r="N425" s="7">
        <f>IF($V425="","",M425*L425)</f>
        <v/>
      </c>
      <c r="O425">
        <f>IF($V425="","",Settings!$C$6)</f>
        <v/>
      </c>
      <c r="P425" s="7">
        <f>IF($V425="","",SUMIFS('Per Line'!$R$2:$R$6001,'Per Line'!$C$2:$C$6001,$B425,'Per Line'!$AI$2:$AI$6001,1,'Per Line'!$AJ$2:$AJ$6001,0))</f>
        <v/>
      </c>
      <c r="Q425" s="7">
        <f>IF($V425="","",P425*O425)</f>
        <v/>
      </c>
      <c r="R425" s="7">
        <f>IF($V425="","",Q425+N425)</f>
        <v/>
      </c>
      <c r="S425" s="7">
        <f>IF($V425="","",T425-R425)</f>
        <v/>
      </c>
      <c r="T425" s="7">
        <f>IF($V425="","",M425+P425+K425)</f>
        <v/>
      </c>
      <c r="U425" s="7">
        <f>IF($V425="","",T425-R425-I425)</f>
        <v/>
      </c>
      <c r="V425" s="13">
        <f>IF(ROWS($V$2:$V425)&lt;=MAX('Per Line'!$AH$2:$AH$6001),MATCH(ROWS($V$2:$V425),'Per Line'!$AH$2:$AH$6001,0),"")</f>
        <v/>
      </c>
    </row>
    <row r="426">
      <c r="A426" s="12" t="n"/>
      <c r="B426">
        <f>IF($V426="","",INDEX('Per Line'!$C$2:$C$6001,$V426)&amp;"")</f>
        <v/>
      </c>
      <c r="C426" s="11">
        <f>IF($V426="","",INDEX('Per Line'!$D$2:$D$6001,$V426))</f>
        <v/>
      </c>
      <c r="D426">
        <f>IF($V426="","",INDEX('Per Line'!$E$2:$E$6001,$V426)&amp;"")</f>
        <v/>
      </c>
      <c r="E426">
        <f>IF($V426="","",INDEX('Per Line'!$G$2:$G$6001,$V426)&amp;"")</f>
        <v/>
      </c>
      <c r="F426">
        <f>IF($V426="","",INDEX('Per Line'!$H$2:$H$6001,$V426)&amp;"")</f>
        <v/>
      </c>
      <c r="G426">
        <f>IF($V426="","",INDEX('Per Line'!$I$2:$I$6001,$V426)&amp;"")</f>
        <v/>
      </c>
      <c r="H426">
        <f>IF($V426="","",INDEX('Per Line'!$J$2:$J$6001,$V426))</f>
        <v/>
      </c>
      <c r="I426" s="7">
        <f>IF($V426="","",H426*S426/100)</f>
        <v/>
      </c>
      <c r="J426">
        <f>IF($V426="","",INDEX('Per Line'!$S$2:$S$6001,$V426)&amp;"")</f>
        <v/>
      </c>
      <c r="K426" s="7">
        <f>IF($V426="","",SUMIFS('Per Line'!$R$2:$R$6001,'Per Line'!$C$2:$C$6001,$B426,'Per Line'!$AJ$2:$AJ$6001,1))</f>
        <v/>
      </c>
      <c r="L426">
        <f>IF($V426="","",Settings!$C$7)</f>
        <v/>
      </c>
      <c r="M426" s="7">
        <f>IF($V426="","",SUMIFS('Per Line'!$R$2:$R$6001,'Per Line'!$C$2:$C$6001,$B426,'Per Line'!$AI$2:$AI$6001,0,'Per Line'!$AJ$2:$AJ$6001,0))</f>
        <v/>
      </c>
      <c r="N426" s="7">
        <f>IF($V426="","",M426*L426)</f>
        <v/>
      </c>
      <c r="O426">
        <f>IF($V426="","",Settings!$C$6)</f>
        <v/>
      </c>
      <c r="P426" s="7">
        <f>IF($V426="","",SUMIFS('Per Line'!$R$2:$R$6001,'Per Line'!$C$2:$C$6001,$B426,'Per Line'!$AI$2:$AI$6001,1,'Per Line'!$AJ$2:$AJ$6001,0))</f>
        <v/>
      </c>
      <c r="Q426" s="7">
        <f>IF($V426="","",P426*O426)</f>
        <v/>
      </c>
      <c r="R426" s="7">
        <f>IF($V426="","",Q426+N426)</f>
        <v/>
      </c>
      <c r="S426" s="7">
        <f>IF($V426="","",T426-R426)</f>
        <v/>
      </c>
      <c r="T426" s="7">
        <f>IF($V426="","",M426+P426+K426)</f>
        <v/>
      </c>
      <c r="U426" s="7">
        <f>IF($V426="","",T426-R426-I426)</f>
        <v/>
      </c>
      <c r="V426" s="13">
        <f>IF(ROWS($V$2:$V426)&lt;=MAX('Per Line'!$AH$2:$AH$6001),MATCH(ROWS($V$2:$V426),'Per Line'!$AH$2:$AH$6001,0),"")</f>
        <v/>
      </c>
    </row>
    <row r="427">
      <c r="A427" s="12" t="n"/>
      <c r="B427">
        <f>IF($V427="","",INDEX('Per Line'!$C$2:$C$6001,$V427)&amp;"")</f>
        <v/>
      </c>
      <c r="C427" s="11">
        <f>IF($V427="","",INDEX('Per Line'!$D$2:$D$6001,$V427))</f>
        <v/>
      </c>
      <c r="D427">
        <f>IF($V427="","",INDEX('Per Line'!$E$2:$E$6001,$V427)&amp;"")</f>
        <v/>
      </c>
      <c r="E427">
        <f>IF($V427="","",INDEX('Per Line'!$G$2:$G$6001,$V427)&amp;"")</f>
        <v/>
      </c>
      <c r="F427">
        <f>IF($V427="","",INDEX('Per Line'!$H$2:$H$6001,$V427)&amp;"")</f>
        <v/>
      </c>
      <c r="G427">
        <f>IF($V427="","",INDEX('Per Line'!$I$2:$I$6001,$V427)&amp;"")</f>
        <v/>
      </c>
      <c r="H427">
        <f>IF($V427="","",INDEX('Per Line'!$J$2:$J$6001,$V427))</f>
        <v/>
      </c>
      <c r="I427" s="7">
        <f>IF($V427="","",H427*S427/100)</f>
        <v/>
      </c>
      <c r="J427">
        <f>IF($V427="","",INDEX('Per Line'!$S$2:$S$6001,$V427)&amp;"")</f>
        <v/>
      </c>
      <c r="K427" s="7">
        <f>IF($V427="","",SUMIFS('Per Line'!$R$2:$R$6001,'Per Line'!$C$2:$C$6001,$B427,'Per Line'!$AJ$2:$AJ$6001,1))</f>
        <v/>
      </c>
      <c r="L427">
        <f>IF($V427="","",Settings!$C$7)</f>
        <v/>
      </c>
      <c r="M427" s="7">
        <f>IF($V427="","",SUMIFS('Per Line'!$R$2:$R$6001,'Per Line'!$C$2:$C$6001,$B427,'Per Line'!$AI$2:$AI$6001,0,'Per Line'!$AJ$2:$AJ$6001,0))</f>
        <v/>
      </c>
      <c r="N427" s="7">
        <f>IF($V427="","",M427*L427)</f>
        <v/>
      </c>
      <c r="O427">
        <f>IF($V427="","",Settings!$C$6)</f>
        <v/>
      </c>
      <c r="P427" s="7">
        <f>IF($V427="","",SUMIFS('Per Line'!$R$2:$R$6001,'Per Line'!$C$2:$C$6001,$B427,'Per Line'!$AI$2:$AI$6001,1,'Per Line'!$AJ$2:$AJ$6001,0))</f>
        <v/>
      </c>
      <c r="Q427" s="7">
        <f>IF($V427="","",P427*O427)</f>
        <v/>
      </c>
      <c r="R427" s="7">
        <f>IF($V427="","",Q427+N427)</f>
        <v/>
      </c>
      <c r="S427" s="7">
        <f>IF($V427="","",T427-R427)</f>
        <v/>
      </c>
      <c r="T427" s="7">
        <f>IF($V427="","",M427+P427+K427)</f>
        <v/>
      </c>
      <c r="U427" s="7">
        <f>IF($V427="","",T427-R427-I427)</f>
        <v/>
      </c>
      <c r="V427" s="13">
        <f>IF(ROWS($V$2:$V427)&lt;=MAX('Per Line'!$AH$2:$AH$6001),MATCH(ROWS($V$2:$V427),'Per Line'!$AH$2:$AH$6001,0),"")</f>
        <v/>
      </c>
    </row>
    <row r="428">
      <c r="A428" s="12" t="n"/>
      <c r="B428">
        <f>IF($V428="","",INDEX('Per Line'!$C$2:$C$6001,$V428)&amp;"")</f>
        <v/>
      </c>
      <c r="C428" s="11">
        <f>IF($V428="","",INDEX('Per Line'!$D$2:$D$6001,$V428))</f>
        <v/>
      </c>
      <c r="D428">
        <f>IF($V428="","",INDEX('Per Line'!$E$2:$E$6001,$V428)&amp;"")</f>
        <v/>
      </c>
      <c r="E428">
        <f>IF($V428="","",INDEX('Per Line'!$G$2:$G$6001,$V428)&amp;"")</f>
        <v/>
      </c>
      <c r="F428">
        <f>IF($V428="","",INDEX('Per Line'!$H$2:$H$6001,$V428)&amp;"")</f>
        <v/>
      </c>
      <c r="G428">
        <f>IF($V428="","",INDEX('Per Line'!$I$2:$I$6001,$V428)&amp;"")</f>
        <v/>
      </c>
      <c r="H428">
        <f>IF($V428="","",INDEX('Per Line'!$J$2:$J$6001,$V428))</f>
        <v/>
      </c>
      <c r="I428" s="7">
        <f>IF($V428="","",H428*S428/100)</f>
        <v/>
      </c>
      <c r="J428">
        <f>IF($V428="","",INDEX('Per Line'!$S$2:$S$6001,$V428)&amp;"")</f>
        <v/>
      </c>
      <c r="K428" s="7">
        <f>IF($V428="","",SUMIFS('Per Line'!$R$2:$R$6001,'Per Line'!$C$2:$C$6001,$B428,'Per Line'!$AJ$2:$AJ$6001,1))</f>
        <v/>
      </c>
      <c r="L428">
        <f>IF($V428="","",Settings!$C$7)</f>
        <v/>
      </c>
      <c r="M428" s="7">
        <f>IF($V428="","",SUMIFS('Per Line'!$R$2:$R$6001,'Per Line'!$C$2:$C$6001,$B428,'Per Line'!$AI$2:$AI$6001,0,'Per Line'!$AJ$2:$AJ$6001,0))</f>
        <v/>
      </c>
      <c r="N428" s="7">
        <f>IF($V428="","",M428*L428)</f>
        <v/>
      </c>
      <c r="O428">
        <f>IF($V428="","",Settings!$C$6)</f>
        <v/>
      </c>
      <c r="P428" s="7">
        <f>IF($V428="","",SUMIFS('Per Line'!$R$2:$R$6001,'Per Line'!$C$2:$C$6001,$B428,'Per Line'!$AI$2:$AI$6001,1,'Per Line'!$AJ$2:$AJ$6001,0))</f>
        <v/>
      </c>
      <c r="Q428" s="7">
        <f>IF($V428="","",P428*O428)</f>
        <v/>
      </c>
      <c r="R428" s="7">
        <f>IF($V428="","",Q428+N428)</f>
        <v/>
      </c>
      <c r="S428" s="7">
        <f>IF($V428="","",T428-R428)</f>
        <v/>
      </c>
      <c r="T428" s="7">
        <f>IF($V428="","",M428+P428+K428)</f>
        <v/>
      </c>
      <c r="U428" s="7">
        <f>IF($V428="","",T428-R428-I428)</f>
        <v/>
      </c>
      <c r="V428" s="13">
        <f>IF(ROWS($V$2:$V428)&lt;=MAX('Per Line'!$AH$2:$AH$6001),MATCH(ROWS($V$2:$V428),'Per Line'!$AH$2:$AH$6001,0),"")</f>
        <v/>
      </c>
    </row>
    <row r="429">
      <c r="A429" s="12" t="n"/>
      <c r="B429">
        <f>IF($V429="","",INDEX('Per Line'!$C$2:$C$6001,$V429)&amp;"")</f>
        <v/>
      </c>
      <c r="C429" s="11">
        <f>IF($V429="","",INDEX('Per Line'!$D$2:$D$6001,$V429))</f>
        <v/>
      </c>
      <c r="D429">
        <f>IF($V429="","",INDEX('Per Line'!$E$2:$E$6001,$V429)&amp;"")</f>
        <v/>
      </c>
      <c r="E429">
        <f>IF($V429="","",INDEX('Per Line'!$G$2:$G$6001,$V429)&amp;"")</f>
        <v/>
      </c>
      <c r="F429">
        <f>IF($V429="","",INDEX('Per Line'!$H$2:$H$6001,$V429)&amp;"")</f>
        <v/>
      </c>
      <c r="G429">
        <f>IF($V429="","",INDEX('Per Line'!$I$2:$I$6001,$V429)&amp;"")</f>
        <v/>
      </c>
      <c r="H429">
        <f>IF($V429="","",INDEX('Per Line'!$J$2:$J$6001,$V429))</f>
        <v/>
      </c>
      <c r="I429" s="7">
        <f>IF($V429="","",H429*S429/100)</f>
        <v/>
      </c>
      <c r="J429">
        <f>IF($V429="","",INDEX('Per Line'!$S$2:$S$6001,$V429)&amp;"")</f>
        <v/>
      </c>
      <c r="K429" s="7">
        <f>IF($V429="","",SUMIFS('Per Line'!$R$2:$R$6001,'Per Line'!$C$2:$C$6001,$B429,'Per Line'!$AJ$2:$AJ$6001,1))</f>
        <v/>
      </c>
      <c r="L429">
        <f>IF($V429="","",Settings!$C$7)</f>
        <v/>
      </c>
      <c r="M429" s="7">
        <f>IF($V429="","",SUMIFS('Per Line'!$R$2:$R$6001,'Per Line'!$C$2:$C$6001,$B429,'Per Line'!$AI$2:$AI$6001,0,'Per Line'!$AJ$2:$AJ$6001,0))</f>
        <v/>
      </c>
      <c r="N429" s="7">
        <f>IF($V429="","",M429*L429)</f>
        <v/>
      </c>
      <c r="O429">
        <f>IF($V429="","",Settings!$C$6)</f>
        <v/>
      </c>
      <c r="P429" s="7">
        <f>IF($V429="","",SUMIFS('Per Line'!$R$2:$R$6001,'Per Line'!$C$2:$C$6001,$B429,'Per Line'!$AI$2:$AI$6001,1,'Per Line'!$AJ$2:$AJ$6001,0))</f>
        <v/>
      </c>
      <c r="Q429" s="7">
        <f>IF($V429="","",P429*O429)</f>
        <v/>
      </c>
      <c r="R429" s="7">
        <f>IF($V429="","",Q429+N429)</f>
        <v/>
      </c>
      <c r="S429" s="7">
        <f>IF($V429="","",T429-R429)</f>
        <v/>
      </c>
      <c r="T429" s="7">
        <f>IF($V429="","",M429+P429+K429)</f>
        <v/>
      </c>
      <c r="U429" s="7">
        <f>IF($V429="","",T429-R429-I429)</f>
        <v/>
      </c>
      <c r="V429" s="13">
        <f>IF(ROWS($V$2:$V429)&lt;=MAX('Per Line'!$AH$2:$AH$6001),MATCH(ROWS($V$2:$V429),'Per Line'!$AH$2:$AH$6001,0),"")</f>
        <v/>
      </c>
    </row>
    <row r="430">
      <c r="A430" s="12" t="n"/>
      <c r="B430">
        <f>IF($V430="","",INDEX('Per Line'!$C$2:$C$6001,$V430)&amp;"")</f>
        <v/>
      </c>
      <c r="C430" s="11">
        <f>IF($V430="","",INDEX('Per Line'!$D$2:$D$6001,$V430))</f>
        <v/>
      </c>
      <c r="D430">
        <f>IF($V430="","",INDEX('Per Line'!$E$2:$E$6001,$V430)&amp;"")</f>
        <v/>
      </c>
      <c r="E430">
        <f>IF($V430="","",INDEX('Per Line'!$G$2:$G$6001,$V430)&amp;"")</f>
        <v/>
      </c>
      <c r="F430">
        <f>IF($V430="","",INDEX('Per Line'!$H$2:$H$6001,$V430)&amp;"")</f>
        <v/>
      </c>
      <c r="G430">
        <f>IF($V430="","",INDEX('Per Line'!$I$2:$I$6001,$V430)&amp;"")</f>
        <v/>
      </c>
      <c r="H430">
        <f>IF($V430="","",INDEX('Per Line'!$J$2:$J$6001,$V430))</f>
        <v/>
      </c>
      <c r="I430" s="7">
        <f>IF($V430="","",H430*S430/100)</f>
        <v/>
      </c>
      <c r="J430">
        <f>IF($V430="","",INDEX('Per Line'!$S$2:$S$6001,$V430)&amp;"")</f>
        <v/>
      </c>
      <c r="K430" s="7">
        <f>IF($V430="","",SUMIFS('Per Line'!$R$2:$R$6001,'Per Line'!$C$2:$C$6001,$B430,'Per Line'!$AJ$2:$AJ$6001,1))</f>
        <v/>
      </c>
      <c r="L430">
        <f>IF($V430="","",Settings!$C$7)</f>
        <v/>
      </c>
      <c r="M430" s="7">
        <f>IF($V430="","",SUMIFS('Per Line'!$R$2:$R$6001,'Per Line'!$C$2:$C$6001,$B430,'Per Line'!$AI$2:$AI$6001,0,'Per Line'!$AJ$2:$AJ$6001,0))</f>
        <v/>
      </c>
      <c r="N430" s="7">
        <f>IF($V430="","",M430*L430)</f>
        <v/>
      </c>
      <c r="O430">
        <f>IF($V430="","",Settings!$C$6)</f>
        <v/>
      </c>
      <c r="P430" s="7">
        <f>IF($V430="","",SUMIFS('Per Line'!$R$2:$R$6001,'Per Line'!$C$2:$C$6001,$B430,'Per Line'!$AI$2:$AI$6001,1,'Per Line'!$AJ$2:$AJ$6001,0))</f>
        <v/>
      </c>
      <c r="Q430" s="7">
        <f>IF($V430="","",P430*O430)</f>
        <v/>
      </c>
      <c r="R430" s="7">
        <f>IF($V430="","",Q430+N430)</f>
        <v/>
      </c>
      <c r="S430" s="7">
        <f>IF($V430="","",T430-R430)</f>
        <v/>
      </c>
      <c r="T430" s="7">
        <f>IF($V430="","",M430+P430+K430)</f>
        <v/>
      </c>
      <c r="U430" s="7">
        <f>IF($V430="","",T430-R430-I430)</f>
        <v/>
      </c>
      <c r="V430" s="13">
        <f>IF(ROWS($V$2:$V430)&lt;=MAX('Per Line'!$AH$2:$AH$6001),MATCH(ROWS($V$2:$V430),'Per Line'!$AH$2:$AH$6001,0),"")</f>
        <v/>
      </c>
    </row>
    <row r="431">
      <c r="A431" s="12" t="n"/>
      <c r="B431">
        <f>IF($V431="","",INDEX('Per Line'!$C$2:$C$6001,$V431)&amp;"")</f>
        <v/>
      </c>
      <c r="C431" s="11">
        <f>IF($V431="","",INDEX('Per Line'!$D$2:$D$6001,$V431))</f>
        <v/>
      </c>
      <c r="D431">
        <f>IF($V431="","",INDEX('Per Line'!$E$2:$E$6001,$V431)&amp;"")</f>
        <v/>
      </c>
      <c r="E431">
        <f>IF($V431="","",INDEX('Per Line'!$G$2:$G$6001,$V431)&amp;"")</f>
        <v/>
      </c>
      <c r="F431">
        <f>IF($V431="","",INDEX('Per Line'!$H$2:$H$6001,$V431)&amp;"")</f>
        <v/>
      </c>
      <c r="G431">
        <f>IF($V431="","",INDEX('Per Line'!$I$2:$I$6001,$V431)&amp;"")</f>
        <v/>
      </c>
      <c r="H431">
        <f>IF($V431="","",INDEX('Per Line'!$J$2:$J$6001,$V431))</f>
        <v/>
      </c>
      <c r="I431" s="7">
        <f>IF($V431="","",H431*S431/100)</f>
        <v/>
      </c>
      <c r="J431">
        <f>IF($V431="","",INDEX('Per Line'!$S$2:$S$6001,$V431)&amp;"")</f>
        <v/>
      </c>
      <c r="K431" s="7">
        <f>IF($V431="","",SUMIFS('Per Line'!$R$2:$R$6001,'Per Line'!$C$2:$C$6001,$B431,'Per Line'!$AJ$2:$AJ$6001,1))</f>
        <v/>
      </c>
      <c r="L431">
        <f>IF($V431="","",Settings!$C$7)</f>
        <v/>
      </c>
      <c r="M431" s="7">
        <f>IF($V431="","",SUMIFS('Per Line'!$R$2:$R$6001,'Per Line'!$C$2:$C$6001,$B431,'Per Line'!$AI$2:$AI$6001,0,'Per Line'!$AJ$2:$AJ$6001,0))</f>
        <v/>
      </c>
      <c r="N431" s="7">
        <f>IF($V431="","",M431*L431)</f>
        <v/>
      </c>
      <c r="O431">
        <f>IF($V431="","",Settings!$C$6)</f>
        <v/>
      </c>
      <c r="P431" s="7">
        <f>IF($V431="","",SUMIFS('Per Line'!$R$2:$R$6001,'Per Line'!$C$2:$C$6001,$B431,'Per Line'!$AI$2:$AI$6001,1,'Per Line'!$AJ$2:$AJ$6001,0))</f>
        <v/>
      </c>
      <c r="Q431" s="7">
        <f>IF($V431="","",P431*O431)</f>
        <v/>
      </c>
      <c r="R431" s="7">
        <f>IF($V431="","",Q431+N431)</f>
        <v/>
      </c>
      <c r="S431" s="7">
        <f>IF($V431="","",T431-R431)</f>
        <v/>
      </c>
      <c r="T431" s="7">
        <f>IF($V431="","",M431+P431+K431)</f>
        <v/>
      </c>
      <c r="U431" s="7">
        <f>IF($V431="","",T431-R431-I431)</f>
        <v/>
      </c>
      <c r="V431" s="13">
        <f>IF(ROWS($V$2:$V431)&lt;=MAX('Per Line'!$AH$2:$AH$6001),MATCH(ROWS($V$2:$V431),'Per Line'!$AH$2:$AH$6001,0),"")</f>
        <v/>
      </c>
    </row>
    <row r="432">
      <c r="A432" s="12" t="n"/>
      <c r="B432">
        <f>IF($V432="","",INDEX('Per Line'!$C$2:$C$6001,$V432)&amp;"")</f>
        <v/>
      </c>
      <c r="C432" s="11">
        <f>IF($V432="","",INDEX('Per Line'!$D$2:$D$6001,$V432))</f>
        <v/>
      </c>
      <c r="D432">
        <f>IF($V432="","",INDEX('Per Line'!$E$2:$E$6001,$V432)&amp;"")</f>
        <v/>
      </c>
      <c r="E432">
        <f>IF($V432="","",INDEX('Per Line'!$G$2:$G$6001,$V432)&amp;"")</f>
        <v/>
      </c>
      <c r="F432">
        <f>IF($V432="","",INDEX('Per Line'!$H$2:$H$6001,$V432)&amp;"")</f>
        <v/>
      </c>
      <c r="G432">
        <f>IF($V432="","",INDEX('Per Line'!$I$2:$I$6001,$V432)&amp;"")</f>
        <v/>
      </c>
      <c r="H432">
        <f>IF($V432="","",INDEX('Per Line'!$J$2:$J$6001,$V432))</f>
        <v/>
      </c>
      <c r="I432" s="7">
        <f>IF($V432="","",H432*S432/100)</f>
        <v/>
      </c>
      <c r="J432">
        <f>IF($V432="","",INDEX('Per Line'!$S$2:$S$6001,$V432)&amp;"")</f>
        <v/>
      </c>
      <c r="K432" s="7">
        <f>IF($V432="","",SUMIFS('Per Line'!$R$2:$R$6001,'Per Line'!$C$2:$C$6001,$B432,'Per Line'!$AJ$2:$AJ$6001,1))</f>
        <v/>
      </c>
      <c r="L432">
        <f>IF($V432="","",Settings!$C$7)</f>
        <v/>
      </c>
      <c r="M432" s="7">
        <f>IF($V432="","",SUMIFS('Per Line'!$R$2:$R$6001,'Per Line'!$C$2:$C$6001,$B432,'Per Line'!$AI$2:$AI$6001,0,'Per Line'!$AJ$2:$AJ$6001,0))</f>
        <v/>
      </c>
      <c r="N432" s="7">
        <f>IF($V432="","",M432*L432)</f>
        <v/>
      </c>
      <c r="O432">
        <f>IF($V432="","",Settings!$C$6)</f>
        <v/>
      </c>
      <c r="P432" s="7">
        <f>IF($V432="","",SUMIFS('Per Line'!$R$2:$R$6001,'Per Line'!$C$2:$C$6001,$B432,'Per Line'!$AI$2:$AI$6001,1,'Per Line'!$AJ$2:$AJ$6001,0))</f>
        <v/>
      </c>
      <c r="Q432" s="7">
        <f>IF($V432="","",P432*O432)</f>
        <v/>
      </c>
      <c r="R432" s="7">
        <f>IF($V432="","",Q432+N432)</f>
        <v/>
      </c>
      <c r="S432" s="7">
        <f>IF($V432="","",T432-R432)</f>
        <v/>
      </c>
      <c r="T432" s="7">
        <f>IF($V432="","",M432+P432+K432)</f>
        <v/>
      </c>
      <c r="U432" s="7">
        <f>IF($V432="","",T432-R432-I432)</f>
        <v/>
      </c>
      <c r="V432" s="13">
        <f>IF(ROWS($V$2:$V432)&lt;=MAX('Per Line'!$AH$2:$AH$6001),MATCH(ROWS($V$2:$V432),'Per Line'!$AH$2:$AH$6001,0),"")</f>
        <v/>
      </c>
    </row>
    <row r="433">
      <c r="A433" s="12" t="n"/>
      <c r="B433">
        <f>IF($V433="","",INDEX('Per Line'!$C$2:$C$6001,$V433)&amp;"")</f>
        <v/>
      </c>
      <c r="C433" s="11">
        <f>IF($V433="","",INDEX('Per Line'!$D$2:$D$6001,$V433))</f>
        <v/>
      </c>
      <c r="D433">
        <f>IF($V433="","",INDEX('Per Line'!$E$2:$E$6001,$V433)&amp;"")</f>
        <v/>
      </c>
      <c r="E433">
        <f>IF($V433="","",INDEX('Per Line'!$G$2:$G$6001,$V433)&amp;"")</f>
        <v/>
      </c>
      <c r="F433">
        <f>IF($V433="","",INDEX('Per Line'!$H$2:$H$6001,$V433)&amp;"")</f>
        <v/>
      </c>
      <c r="G433">
        <f>IF($V433="","",INDEX('Per Line'!$I$2:$I$6001,$V433)&amp;"")</f>
        <v/>
      </c>
      <c r="H433">
        <f>IF($V433="","",INDEX('Per Line'!$J$2:$J$6001,$V433))</f>
        <v/>
      </c>
      <c r="I433" s="7">
        <f>IF($V433="","",H433*S433/100)</f>
        <v/>
      </c>
      <c r="J433">
        <f>IF($V433="","",INDEX('Per Line'!$S$2:$S$6001,$V433)&amp;"")</f>
        <v/>
      </c>
      <c r="K433" s="7">
        <f>IF($V433="","",SUMIFS('Per Line'!$R$2:$R$6001,'Per Line'!$C$2:$C$6001,$B433,'Per Line'!$AJ$2:$AJ$6001,1))</f>
        <v/>
      </c>
      <c r="L433">
        <f>IF($V433="","",Settings!$C$7)</f>
        <v/>
      </c>
      <c r="M433" s="7">
        <f>IF($V433="","",SUMIFS('Per Line'!$R$2:$R$6001,'Per Line'!$C$2:$C$6001,$B433,'Per Line'!$AI$2:$AI$6001,0,'Per Line'!$AJ$2:$AJ$6001,0))</f>
        <v/>
      </c>
      <c r="N433" s="7">
        <f>IF($V433="","",M433*L433)</f>
        <v/>
      </c>
      <c r="O433">
        <f>IF($V433="","",Settings!$C$6)</f>
        <v/>
      </c>
      <c r="P433" s="7">
        <f>IF($V433="","",SUMIFS('Per Line'!$R$2:$R$6001,'Per Line'!$C$2:$C$6001,$B433,'Per Line'!$AI$2:$AI$6001,1,'Per Line'!$AJ$2:$AJ$6001,0))</f>
        <v/>
      </c>
      <c r="Q433" s="7">
        <f>IF($V433="","",P433*O433)</f>
        <v/>
      </c>
      <c r="R433" s="7">
        <f>IF($V433="","",Q433+N433)</f>
        <v/>
      </c>
      <c r="S433" s="7">
        <f>IF($V433="","",T433-R433)</f>
        <v/>
      </c>
      <c r="T433" s="7">
        <f>IF($V433="","",M433+P433+K433)</f>
        <v/>
      </c>
      <c r="U433" s="7">
        <f>IF($V433="","",T433-R433-I433)</f>
        <v/>
      </c>
      <c r="V433" s="13">
        <f>IF(ROWS($V$2:$V433)&lt;=MAX('Per Line'!$AH$2:$AH$6001),MATCH(ROWS($V$2:$V433),'Per Line'!$AH$2:$AH$6001,0),"")</f>
        <v/>
      </c>
    </row>
    <row r="434">
      <c r="A434" s="12" t="n"/>
      <c r="B434">
        <f>IF($V434="","",INDEX('Per Line'!$C$2:$C$6001,$V434)&amp;"")</f>
        <v/>
      </c>
      <c r="C434" s="11">
        <f>IF($V434="","",INDEX('Per Line'!$D$2:$D$6001,$V434))</f>
        <v/>
      </c>
      <c r="D434">
        <f>IF($V434="","",INDEX('Per Line'!$E$2:$E$6001,$V434)&amp;"")</f>
        <v/>
      </c>
      <c r="E434">
        <f>IF($V434="","",INDEX('Per Line'!$G$2:$G$6001,$V434)&amp;"")</f>
        <v/>
      </c>
      <c r="F434">
        <f>IF($V434="","",INDEX('Per Line'!$H$2:$H$6001,$V434)&amp;"")</f>
        <v/>
      </c>
      <c r="G434">
        <f>IF($V434="","",INDEX('Per Line'!$I$2:$I$6001,$V434)&amp;"")</f>
        <v/>
      </c>
      <c r="H434">
        <f>IF($V434="","",INDEX('Per Line'!$J$2:$J$6001,$V434))</f>
        <v/>
      </c>
      <c r="I434" s="7">
        <f>IF($V434="","",H434*S434/100)</f>
        <v/>
      </c>
      <c r="J434">
        <f>IF($V434="","",INDEX('Per Line'!$S$2:$S$6001,$V434)&amp;"")</f>
        <v/>
      </c>
      <c r="K434" s="7">
        <f>IF($V434="","",SUMIFS('Per Line'!$R$2:$R$6001,'Per Line'!$C$2:$C$6001,$B434,'Per Line'!$AJ$2:$AJ$6001,1))</f>
        <v/>
      </c>
      <c r="L434">
        <f>IF($V434="","",Settings!$C$7)</f>
        <v/>
      </c>
      <c r="M434" s="7">
        <f>IF($V434="","",SUMIFS('Per Line'!$R$2:$R$6001,'Per Line'!$C$2:$C$6001,$B434,'Per Line'!$AI$2:$AI$6001,0,'Per Line'!$AJ$2:$AJ$6001,0))</f>
        <v/>
      </c>
      <c r="N434" s="7">
        <f>IF($V434="","",M434*L434)</f>
        <v/>
      </c>
      <c r="O434">
        <f>IF($V434="","",Settings!$C$6)</f>
        <v/>
      </c>
      <c r="P434" s="7">
        <f>IF($V434="","",SUMIFS('Per Line'!$R$2:$R$6001,'Per Line'!$C$2:$C$6001,$B434,'Per Line'!$AI$2:$AI$6001,1,'Per Line'!$AJ$2:$AJ$6001,0))</f>
        <v/>
      </c>
      <c r="Q434" s="7">
        <f>IF($V434="","",P434*O434)</f>
        <v/>
      </c>
      <c r="R434" s="7">
        <f>IF($V434="","",Q434+N434)</f>
        <v/>
      </c>
      <c r="S434" s="7">
        <f>IF($V434="","",T434-R434)</f>
        <v/>
      </c>
      <c r="T434" s="7">
        <f>IF($V434="","",M434+P434+K434)</f>
        <v/>
      </c>
      <c r="U434" s="7">
        <f>IF($V434="","",T434-R434-I434)</f>
        <v/>
      </c>
      <c r="V434" s="13">
        <f>IF(ROWS($V$2:$V434)&lt;=MAX('Per Line'!$AH$2:$AH$6001),MATCH(ROWS($V$2:$V434),'Per Line'!$AH$2:$AH$6001,0),"")</f>
        <v/>
      </c>
    </row>
    <row r="435">
      <c r="A435" s="12" t="n"/>
      <c r="B435">
        <f>IF($V435="","",INDEX('Per Line'!$C$2:$C$6001,$V435)&amp;"")</f>
        <v/>
      </c>
      <c r="C435" s="11">
        <f>IF($V435="","",INDEX('Per Line'!$D$2:$D$6001,$V435))</f>
        <v/>
      </c>
      <c r="D435">
        <f>IF($V435="","",INDEX('Per Line'!$E$2:$E$6001,$V435)&amp;"")</f>
        <v/>
      </c>
      <c r="E435">
        <f>IF($V435="","",INDEX('Per Line'!$G$2:$G$6001,$V435)&amp;"")</f>
        <v/>
      </c>
      <c r="F435">
        <f>IF($V435="","",INDEX('Per Line'!$H$2:$H$6001,$V435)&amp;"")</f>
        <v/>
      </c>
      <c r="G435">
        <f>IF($V435="","",INDEX('Per Line'!$I$2:$I$6001,$V435)&amp;"")</f>
        <v/>
      </c>
      <c r="H435">
        <f>IF($V435="","",INDEX('Per Line'!$J$2:$J$6001,$V435))</f>
        <v/>
      </c>
      <c r="I435" s="7">
        <f>IF($V435="","",H435*S435/100)</f>
        <v/>
      </c>
      <c r="J435">
        <f>IF($V435="","",INDEX('Per Line'!$S$2:$S$6001,$V435)&amp;"")</f>
        <v/>
      </c>
      <c r="K435" s="7">
        <f>IF($V435="","",SUMIFS('Per Line'!$R$2:$R$6001,'Per Line'!$C$2:$C$6001,$B435,'Per Line'!$AJ$2:$AJ$6001,1))</f>
        <v/>
      </c>
      <c r="L435">
        <f>IF($V435="","",Settings!$C$7)</f>
        <v/>
      </c>
      <c r="M435" s="7">
        <f>IF($V435="","",SUMIFS('Per Line'!$R$2:$R$6001,'Per Line'!$C$2:$C$6001,$B435,'Per Line'!$AI$2:$AI$6001,0,'Per Line'!$AJ$2:$AJ$6001,0))</f>
        <v/>
      </c>
      <c r="N435" s="7">
        <f>IF($V435="","",M435*L435)</f>
        <v/>
      </c>
      <c r="O435">
        <f>IF($V435="","",Settings!$C$6)</f>
        <v/>
      </c>
      <c r="P435" s="7">
        <f>IF($V435="","",SUMIFS('Per Line'!$R$2:$R$6001,'Per Line'!$C$2:$C$6001,$B435,'Per Line'!$AI$2:$AI$6001,1,'Per Line'!$AJ$2:$AJ$6001,0))</f>
        <v/>
      </c>
      <c r="Q435" s="7">
        <f>IF($V435="","",P435*O435)</f>
        <v/>
      </c>
      <c r="R435" s="7">
        <f>IF($V435="","",Q435+N435)</f>
        <v/>
      </c>
      <c r="S435" s="7">
        <f>IF($V435="","",T435-R435)</f>
        <v/>
      </c>
      <c r="T435" s="7">
        <f>IF($V435="","",M435+P435+K435)</f>
        <v/>
      </c>
      <c r="U435" s="7">
        <f>IF($V435="","",T435-R435-I435)</f>
        <v/>
      </c>
      <c r="V435" s="13">
        <f>IF(ROWS($V$2:$V435)&lt;=MAX('Per Line'!$AH$2:$AH$6001),MATCH(ROWS($V$2:$V435),'Per Line'!$AH$2:$AH$6001,0),"")</f>
        <v/>
      </c>
    </row>
    <row r="436">
      <c r="A436" s="12" t="n"/>
      <c r="B436">
        <f>IF($V436="","",INDEX('Per Line'!$C$2:$C$6001,$V436)&amp;"")</f>
        <v/>
      </c>
      <c r="C436" s="11">
        <f>IF($V436="","",INDEX('Per Line'!$D$2:$D$6001,$V436))</f>
        <v/>
      </c>
      <c r="D436">
        <f>IF($V436="","",INDEX('Per Line'!$E$2:$E$6001,$V436)&amp;"")</f>
        <v/>
      </c>
      <c r="E436">
        <f>IF($V436="","",INDEX('Per Line'!$G$2:$G$6001,$V436)&amp;"")</f>
        <v/>
      </c>
      <c r="F436">
        <f>IF($V436="","",INDEX('Per Line'!$H$2:$H$6001,$V436)&amp;"")</f>
        <v/>
      </c>
      <c r="G436">
        <f>IF($V436="","",INDEX('Per Line'!$I$2:$I$6001,$V436)&amp;"")</f>
        <v/>
      </c>
      <c r="H436">
        <f>IF($V436="","",INDEX('Per Line'!$J$2:$J$6001,$V436))</f>
        <v/>
      </c>
      <c r="I436" s="7">
        <f>IF($V436="","",H436*S436/100)</f>
        <v/>
      </c>
      <c r="J436">
        <f>IF($V436="","",INDEX('Per Line'!$S$2:$S$6001,$V436)&amp;"")</f>
        <v/>
      </c>
      <c r="K436" s="7">
        <f>IF($V436="","",SUMIFS('Per Line'!$R$2:$R$6001,'Per Line'!$C$2:$C$6001,$B436,'Per Line'!$AJ$2:$AJ$6001,1))</f>
        <v/>
      </c>
      <c r="L436">
        <f>IF($V436="","",Settings!$C$7)</f>
        <v/>
      </c>
      <c r="M436" s="7">
        <f>IF($V436="","",SUMIFS('Per Line'!$R$2:$R$6001,'Per Line'!$C$2:$C$6001,$B436,'Per Line'!$AI$2:$AI$6001,0,'Per Line'!$AJ$2:$AJ$6001,0))</f>
        <v/>
      </c>
      <c r="N436" s="7">
        <f>IF($V436="","",M436*L436)</f>
        <v/>
      </c>
      <c r="O436">
        <f>IF($V436="","",Settings!$C$6)</f>
        <v/>
      </c>
      <c r="P436" s="7">
        <f>IF($V436="","",SUMIFS('Per Line'!$R$2:$R$6001,'Per Line'!$C$2:$C$6001,$B436,'Per Line'!$AI$2:$AI$6001,1,'Per Line'!$AJ$2:$AJ$6001,0))</f>
        <v/>
      </c>
      <c r="Q436" s="7">
        <f>IF($V436="","",P436*O436)</f>
        <v/>
      </c>
      <c r="R436" s="7">
        <f>IF($V436="","",Q436+N436)</f>
        <v/>
      </c>
      <c r="S436" s="7">
        <f>IF($V436="","",T436-R436)</f>
        <v/>
      </c>
      <c r="T436" s="7">
        <f>IF($V436="","",M436+P436+K436)</f>
        <v/>
      </c>
      <c r="U436" s="7">
        <f>IF($V436="","",T436-R436-I436)</f>
        <v/>
      </c>
      <c r="V436" s="13">
        <f>IF(ROWS($V$2:$V436)&lt;=MAX('Per Line'!$AH$2:$AH$6001),MATCH(ROWS($V$2:$V436),'Per Line'!$AH$2:$AH$6001,0),"")</f>
        <v/>
      </c>
    </row>
    <row r="437">
      <c r="A437" s="12" t="n"/>
      <c r="B437">
        <f>IF($V437="","",INDEX('Per Line'!$C$2:$C$6001,$V437)&amp;"")</f>
        <v/>
      </c>
      <c r="C437" s="11">
        <f>IF($V437="","",INDEX('Per Line'!$D$2:$D$6001,$V437))</f>
        <v/>
      </c>
      <c r="D437">
        <f>IF($V437="","",INDEX('Per Line'!$E$2:$E$6001,$V437)&amp;"")</f>
        <v/>
      </c>
      <c r="E437">
        <f>IF($V437="","",INDEX('Per Line'!$G$2:$G$6001,$V437)&amp;"")</f>
        <v/>
      </c>
      <c r="F437">
        <f>IF($V437="","",INDEX('Per Line'!$H$2:$H$6001,$V437)&amp;"")</f>
        <v/>
      </c>
      <c r="G437">
        <f>IF($V437="","",INDEX('Per Line'!$I$2:$I$6001,$V437)&amp;"")</f>
        <v/>
      </c>
      <c r="H437">
        <f>IF($V437="","",INDEX('Per Line'!$J$2:$J$6001,$V437))</f>
        <v/>
      </c>
      <c r="I437" s="7">
        <f>IF($V437="","",H437*S437/100)</f>
        <v/>
      </c>
      <c r="J437">
        <f>IF($V437="","",INDEX('Per Line'!$S$2:$S$6001,$V437)&amp;"")</f>
        <v/>
      </c>
      <c r="K437" s="7">
        <f>IF($V437="","",SUMIFS('Per Line'!$R$2:$R$6001,'Per Line'!$C$2:$C$6001,$B437,'Per Line'!$AJ$2:$AJ$6001,1))</f>
        <v/>
      </c>
      <c r="L437">
        <f>IF($V437="","",Settings!$C$7)</f>
        <v/>
      </c>
      <c r="M437" s="7">
        <f>IF($V437="","",SUMIFS('Per Line'!$R$2:$R$6001,'Per Line'!$C$2:$C$6001,$B437,'Per Line'!$AI$2:$AI$6001,0,'Per Line'!$AJ$2:$AJ$6001,0))</f>
        <v/>
      </c>
      <c r="N437" s="7">
        <f>IF($V437="","",M437*L437)</f>
        <v/>
      </c>
      <c r="O437">
        <f>IF($V437="","",Settings!$C$6)</f>
        <v/>
      </c>
      <c r="P437" s="7">
        <f>IF($V437="","",SUMIFS('Per Line'!$R$2:$R$6001,'Per Line'!$C$2:$C$6001,$B437,'Per Line'!$AI$2:$AI$6001,1,'Per Line'!$AJ$2:$AJ$6001,0))</f>
        <v/>
      </c>
      <c r="Q437" s="7">
        <f>IF($V437="","",P437*O437)</f>
        <v/>
      </c>
      <c r="R437" s="7">
        <f>IF($V437="","",Q437+N437)</f>
        <v/>
      </c>
      <c r="S437" s="7">
        <f>IF($V437="","",T437-R437)</f>
        <v/>
      </c>
      <c r="T437" s="7">
        <f>IF($V437="","",M437+P437+K437)</f>
        <v/>
      </c>
      <c r="U437" s="7">
        <f>IF($V437="","",T437-R437-I437)</f>
        <v/>
      </c>
      <c r="V437" s="13">
        <f>IF(ROWS($V$2:$V437)&lt;=MAX('Per Line'!$AH$2:$AH$6001),MATCH(ROWS($V$2:$V437),'Per Line'!$AH$2:$AH$6001,0),"")</f>
        <v/>
      </c>
    </row>
    <row r="438">
      <c r="A438" s="12" t="n"/>
      <c r="B438">
        <f>IF($V438="","",INDEX('Per Line'!$C$2:$C$6001,$V438)&amp;"")</f>
        <v/>
      </c>
      <c r="C438" s="11">
        <f>IF($V438="","",INDEX('Per Line'!$D$2:$D$6001,$V438))</f>
        <v/>
      </c>
      <c r="D438">
        <f>IF($V438="","",INDEX('Per Line'!$E$2:$E$6001,$V438)&amp;"")</f>
        <v/>
      </c>
      <c r="E438">
        <f>IF($V438="","",INDEX('Per Line'!$G$2:$G$6001,$V438)&amp;"")</f>
        <v/>
      </c>
      <c r="F438">
        <f>IF($V438="","",INDEX('Per Line'!$H$2:$H$6001,$V438)&amp;"")</f>
        <v/>
      </c>
      <c r="G438">
        <f>IF($V438="","",INDEX('Per Line'!$I$2:$I$6001,$V438)&amp;"")</f>
        <v/>
      </c>
      <c r="H438">
        <f>IF($V438="","",INDEX('Per Line'!$J$2:$J$6001,$V438))</f>
        <v/>
      </c>
      <c r="I438" s="7">
        <f>IF($V438="","",H438*S438/100)</f>
        <v/>
      </c>
      <c r="J438">
        <f>IF($V438="","",INDEX('Per Line'!$S$2:$S$6001,$V438)&amp;"")</f>
        <v/>
      </c>
      <c r="K438" s="7">
        <f>IF($V438="","",SUMIFS('Per Line'!$R$2:$R$6001,'Per Line'!$C$2:$C$6001,$B438,'Per Line'!$AJ$2:$AJ$6001,1))</f>
        <v/>
      </c>
      <c r="L438">
        <f>IF($V438="","",Settings!$C$7)</f>
        <v/>
      </c>
      <c r="M438" s="7">
        <f>IF($V438="","",SUMIFS('Per Line'!$R$2:$R$6001,'Per Line'!$C$2:$C$6001,$B438,'Per Line'!$AI$2:$AI$6001,0,'Per Line'!$AJ$2:$AJ$6001,0))</f>
        <v/>
      </c>
      <c r="N438" s="7">
        <f>IF($V438="","",M438*L438)</f>
        <v/>
      </c>
      <c r="O438">
        <f>IF($V438="","",Settings!$C$6)</f>
        <v/>
      </c>
      <c r="P438" s="7">
        <f>IF($V438="","",SUMIFS('Per Line'!$R$2:$R$6001,'Per Line'!$C$2:$C$6001,$B438,'Per Line'!$AI$2:$AI$6001,1,'Per Line'!$AJ$2:$AJ$6001,0))</f>
        <v/>
      </c>
      <c r="Q438" s="7">
        <f>IF($V438="","",P438*O438)</f>
        <v/>
      </c>
      <c r="R438" s="7">
        <f>IF($V438="","",Q438+N438)</f>
        <v/>
      </c>
      <c r="S438" s="7">
        <f>IF($V438="","",T438-R438)</f>
        <v/>
      </c>
      <c r="T438" s="7">
        <f>IF($V438="","",M438+P438+K438)</f>
        <v/>
      </c>
      <c r="U438" s="7">
        <f>IF($V438="","",T438-R438-I438)</f>
        <v/>
      </c>
      <c r="V438" s="13">
        <f>IF(ROWS($V$2:$V438)&lt;=MAX('Per Line'!$AH$2:$AH$6001),MATCH(ROWS($V$2:$V438),'Per Line'!$AH$2:$AH$6001,0),"")</f>
        <v/>
      </c>
    </row>
    <row r="439">
      <c r="A439" s="12" t="n"/>
      <c r="B439">
        <f>IF($V439="","",INDEX('Per Line'!$C$2:$C$6001,$V439)&amp;"")</f>
        <v/>
      </c>
      <c r="C439" s="11">
        <f>IF($V439="","",INDEX('Per Line'!$D$2:$D$6001,$V439))</f>
        <v/>
      </c>
      <c r="D439">
        <f>IF($V439="","",INDEX('Per Line'!$E$2:$E$6001,$V439)&amp;"")</f>
        <v/>
      </c>
      <c r="E439">
        <f>IF($V439="","",INDEX('Per Line'!$G$2:$G$6001,$V439)&amp;"")</f>
        <v/>
      </c>
      <c r="F439">
        <f>IF($V439="","",INDEX('Per Line'!$H$2:$H$6001,$V439)&amp;"")</f>
        <v/>
      </c>
      <c r="G439">
        <f>IF($V439="","",INDEX('Per Line'!$I$2:$I$6001,$V439)&amp;"")</f>
        <v/>
      </c>
      <c r="H439">
        <f>IF($V439="","",INDEX('Per Line'!$J$2:$J$6001,$V439))</f>
        <v/>
      </c>
      <c r="I439" s="7">
        <f>IF($V439="","",H439*S439/100)</f>
        <v/>
      </c>
      <c r="J439">
        <f>IF($V439="","",INDEX('Per Line'!$S$2:$S$6001,$V439)&amp;"")</f>
        <v/>
      </c>
      <c r="K439" s="7">
        <f>IF($V439="","",SUMIFS('Per Line'!$R$2:$R$6001,'Per Line'!$C$2:$C$6001,$B439,'Per Line'!$AJ$2:$AJ$6001,1))</f>
        <v/>
      </c>
      <c r="L439">
        <f>IF($V439="","",Settings!$C$7)</f>
        <v/>
      </c>
      <c r="M439" s="7">
        <f>IF($V439="","",SUMIFS('Per Line'!$R$2:$R$6001,'Per Line'!$C$2:$C$6001,$B439,'Per Line'!$AI$2:$AI$6001,0,'Per Line'!$AJ$2:$AJ$6001,0))</f>
        <v/>
      </c>
      <c r="N439" s="7">
        <f>IF($V439="","",M439*L439)</f>
        <v/>
      </c>
      <c r="O439">
        <f>IF($V439="","",Settings!$C$6)</f>
        <v/>
      </c>
      <c r="P439" s="7">
        <f>IF($V439="","",SUMIFS('Per Line'!$R$2:$R$6001,'Per Line'!$C$2:$C$6001,$B439,'Per Line'!$AI$2:$AI$6001,1,'Per Line'!$AJ$2:$AJ$6001,0))</f>
        <v/>
      </c>
      <c r="Q439" s="7">
        <f>IF($V439="","",P439*O439)</f>
        <v/>
      </c>
      <c r="R439" s="7">
        <f>IF($V439="","",Q439+N439)</f>
        <v/>
      </c>
      <c r="S439" s="7">
        <f>IF($V439="","",T439-R439)</f>
        <v/>
      </c>
      <c r="T439" s="7">
        <f>IF($V439="","",M439+P439+K439)</f>
        <v/>
      </c>
      <c r="U439" s="7">
        <f>IF($V439="","",T439-R439-I439)</f>
        <v/>
      </c>
      <c r="V439" s="13">
        <f>IF(ROWS($V$2:$V439)&lt;=MAX('Per Line'!$AH$2:$AH$6001),MATCH(ROWS($V$2:$V439),'Per Line'!$AH$2:$AH$6001,0),"")</f>
        <v/>
      </c>
    </row>
    <row r="440">
      <c r="A440" s="12" t="n"/>
      <c r="B440">
        <f>IF($V440="","",INDEX('Per Line'!$C$2:$C$6001,$V440)&amp;"")</f>
        <v/>
      </c>
      <c r="C440" s="11">
        <f>IF($V440="","",INDEX('Per Line'!$D$2:$D$6001,$V440))</f>
        <v/>
      </c>
      <c r="D440">
        <f>IF($V440="","",INDEX('Per Line'!$E$2:$E$6001,$V440)&amp;"")</f>
        <v/>
      </c>
      <c r="E440">
        <f>IF($V440="","",INDEX('Per Line'!$G$2:$G$6001,$V440)&amp;"")</f>
        <v/>
      </c>
      <c r="F440">
        <f>IF($V440="","",INDEX('Per Line'!$H$2:$H$6001,$V440)&amp;"")</f>
        <v/>
      </c>
      <c r="G440">
        <f>IF($V440="","",INDEX('Per Line'!$I$2:$I$6001,$V440)&amp;"")</f>
        <v/>
      </c>
      <c r="H440">
        <f>IF($V440="","",INDEX('Per Line'!$J$2:$J$6001,$V440))</f>
        <v/>
      </c>
      <c r="I440" s="7">
        <f>IF($V440="","",H440*S440/100)</f>
        <v/>
      </c>
      <c r="J440">
        <f>IF($V440="","",INDEX('Per Line'!$S$2:$S$6001,$V440)&amp;"")</f>
        <v/>
      </c>
      <c r="K440" s="7">
        <f>IF($V440="","",SUMIFS('Per Line'!$R$2:$R$6001,'Per Line'!$C$2:$C$6001,$B440,'Per Line'!$AJ$2:$AJ$6001,1))</f>
        <v/>
      </c>
      <c r="L440">
        <f>IF($V440="","",Settings!$C$7)</f>
        <v/>
      </c>
      <c r="M440" s="7">
        <f>IF($V440="","",SUMIFS('Per Line'!$R$2:$R$6001,'Per Line'!$C$2:$C$6001,$B440,'Per Line'!$AI$2:$AI$6001,0,'Per Line'!$AJ$2:$AJ$6001,0))</f>
        <v/>
      </c>
      <c r="N440" s="7">
        <f>IF($V440="","",M440*L440)</f>
        <v/>
      </c>
      <c r="O440">
        <f>IF($V440="","",Settings!$C$6)</f>
        <v/>
      </c>
      <c r="P440" s="7">
        <f>IF($V440="","",SUMIFS('Per Line'!$R$2:$R$6001,'Per Line'!$C$2:$C$6001,$B440,'Per Line'!$AI$2:$AI$6001,1,'Per Line'!$AJ$2:$AJ$6001,0))</f>
        <v/>
      </c>
      <c r="Q440" s="7">
        <f>IF($V440="","",P440*O440)</f>
        <v/>
      </c>
      <c r="R440" s="7">
        <f>IF($V440="","",Q440+N440)</f>
        <v/>
      </c>
      <c r="S440" s="7">
        <f>IF($V440="","",T440-R440)</f>
        <v/>
      </c>
      <c r="T440" s="7">
        <f>IF($V440="","",M440+P440+K440)</f>
        <v/>
      </c>
      <c r="U440" s="7">
        <f>IF($V440="","",T440-R440-I440)</f>
        <v/>
      </c>
      <c r="V440" s="13">
        <f>IF(ROWS($V$2:$V440)&lt;=MAX('Per Line'!$AH$2:$AH$6001),MATCH(ROWS($V$2:$V440),'Per Line'!$AH$2:$AH$6001,0),"")</f>
        <v/>
      </c>
    </row>
    <row r="441">
      <c r="A441" s="12" t="n"/>
      <c r="B441">
        <f>IF($V441="","",INDEX('Per Line'!$C$2:$C$6001,$V441)&amp;"")</f>
        <v/>
      </c>
      <c r="C441" s="11">
        <f>IF($V441="","",INDEX('Per Line'!$D$2:$D$6001,$V441))</f>
        <v/>
      </c>
      <c r="D441">
        <f>IF($V441="","",INDEX('Per Line'!$E$2:$E$6001,$V441)&amp;"")</f>
        <v/>
      </c>
      <c r="E441">
        <f>IF($V441="","",INDEX('Per Line'!$G$2:$G$6001,$V441)&amp;"")</f>
        <v/>
      </c>
      <c r="F441">
        <f>IF($V441="","",INDEX('Per Line'!$H$2:$H$6001,$V441)&amp;"")</f>
        <v/>
      </c>
      <c r="G441">
        <f>IF($V441="","",INDEX('Per Line'!$I$2:$I$6001,$V441)&amp;"")</f>
        <v/>
      </c>
      <c r="H441">
        <f>IF($V441="","",INDEX('Per Line'!$J$2:$J$6001,$V441))</f>
        <v/>
      </c>
      <c r="I441" s="7">
        <f>IF($V441="","",H441*S441/100)</f>
        <v/>
      </c>
      <c r="J441">
        <f>IF($V441="","",INDEX('Per Line'!$S$2:$S$6001,$V441)&amp;"")</f>
        <v/>
      </c>
      <c r="K441" s="7">
        <f>IF($V441="","",SUMIFS('Per Line'!$R$2:$R$6001,'Per Line'!$C$2:$C$6001,$B441,'Per Line'!$AJ$2:$AJ$6001,1))</f>
        <v/>
      </c>
      <c r="L441">
        <f>IF($V441="","",Settings!$C$7)</f>
        <v/>
      </c>
      <c r="M441" s="7">
        <f>IF($V441="","",SUMIFS('Per Line'!$R$2:$R$6001,'Per Line'!$C$2:$C$6001,$B441,'Per Line'!$AI$2:$AI$6001,0,'Per Line'!$AJ$2:$AJ$6001,0))</f>
        <v/>
      </c>
      <c r="N441" s="7">
        <f>IF($V441="","",M441*L441)</f>
        <v/>
      </c>
      <c r="O441">
        <f>IF($V441="","",Settings!$C$6)</f>
        <v/>
      </c>
      <c r="P441" s="7">
        <f>IF($V441="","",SUMIFS('Per Line'!$R$2:$R$6001,'Per Line'!$C$2:$C$6001,$B441,'Per Line'!$AI$2:$AI$6001,1,'Per Line'!$AJ$2:$AJ$6001,0))</f>
        <v/>
      </c>
      <c r="Q441" s="7">
        <f>IF($V441="","",P441*O441)</f>
        <v/>
      </c>
      <c r="R441" s="7">
        <f>IF($V441="","",Q441+N441)</f>
        <v/>
      </c>
      <c r="S441" s="7">
        <f>IF($V441="","",T441-R441)</f>
        <v/>
      </c>
      <c r="T441" s="7">
        <f>IF($V441="","",M441+P441+K441)</f>
        <v/>
      </c>
      <c r="U441" s="7">
        <f>IF($V441="","",T441-R441-I441)</f>
        <v/>
      </c>
      <c r="V441" s="13">
        <f>IF(ROWS($V$2:$V441)&lt;=MAX('Per Line'!$AH$2:$AH$6001),MATCH(ROWS($V$2:$V441),'Per Line'!$AH$2:$AH$6001,0),"")</f>
        <v/>
      </c>
    </row>
    <row r="442">
      <c r="A442" s="12" t="n"/>
      <c r="B442">
        <f>IF($V442="","",INDEX('Per Line'!$C$2:$C$6001,$V442)&amp;"")</f>
        <v/>
      </c>
      <c r="C442" s="11">
        <f>IF($V442="","",INDEX('Per Line'!$D$2:$D$6001,$V442))</f>
        <v/>
      </c>
      <c r="D442">
        <f>IF($V442="","",INDEX('Per Line'!$E$2:$E$6001,$V442)&amp;"")</f>
        <v/>
      </c>
      <c r="E442">
        <f>IF($V442="","",INDEX('Per Line'!$G$2:$G$6001,$V442)&amp;"")</f>
        <v/>
      </c>
      <c r="F442">
        <f>IF($V442="","",INDEX('Per Line'!$H$2:$H$6001,$V442)&amp;"")</f>
        <v/>
      </c>
      <c r="G442">
        <f>IF($V442="","",INDEX('Per Line'!$I$2:$I$6001,$V442)&amp;"")</f>
        <v/>
      </c>
      <c r="H442">
        <f>IF($V442="","",INDEX('Per Line'!$J$2:$J$6001,$V442))</f>
        <v/>
      </c>
      <c r="I442" s="7">
        <f>IF($V442="","",H442*S442/100)</f>
        <v/>
      </c>
      <c r="J442">
        <f>IF($V442="","",INDEX('Per Line'!$S$2:$S$6001,$V442)&amp;"")</f>
        <v/>
      </c>
      <c r="K442" s="7">
        <f>IF($V442="","",SUMIFS('Per Line'!$R$2:$R$6001,'Per Line'!$C$2:$C$6001,$B442,'Per Line'!$AJ$2:$AJ$6001,1))</f>
        <v/>
      </c>
      <c r="L442">
        <f>IF($V442="","",Settings!$C$7)</f>
        <v/>
      </c>
      <c r="M442" s="7">
        <f>IF($V442="","",SUMIFS('Per Line'!$R$2:$R$6001,'Per Line'!$C$2:$C$6001,$B442,'Per Line'!$AI$2:$AI$6001,0,'Per Line'!$AJ$2:$AJ$6001,0))</f>
        <v/>
      </c>
      <c r="N442" s="7">
        <f>IF($V442="","",M442*L442)</f>
        <v/>
      </c>
      <c r="O442">
        <f>IF($V442="","",Settings!$C$6)</f>
        <v/>
      </c>
      <c r="P442" s="7">
        <f>IF($V442="","",SUMIFS('Per Line'!$R$2:$R$6001,'Per Line'!$C$2:$C$6001,$B442,'Per Line'!$AI$2:$AI$6001,1,'Per Line'!$AJ$2:$AJ$6001,0))</f>
        <v/>
      </c>
      <c r="Q442" s="7">
        <f>IF($V442="","",P442*O442)</f>
        <v/>
      </c>
      <c r="R442" s="7">
        <f>IF($V442="","",Q442+N442)</f>
        <v/>
      </c>
      <c r="S442" s="7">
        <f>IF($V442="","",T442-R442)</f>
        <v/>
      </c>
      <c r="T442" s="7">
        <f>IF($V442="","",M442+P442+K442)</f>
        <v/>
      </c>
      <c r="U442" s="7">
        <f>IF($V442="","",T442-R442-I442)</f>
        <v/>
      </c>
      <c r="V442" s="13">
        <f>IF(ROWS($V$2:$V442)&lt;=MAX('Per Line'!$AH$2:$AH$6001),MATCH(ROWS($V$2:$V442),'Per Line'!$AH$2:$AH$6001,0),"")</f>
        <v/>
      </c>
    </row>
    <row r="443">
      <c r="A443" s="12" t="n"/>
      <c r="B443">
        <f>IF($V443="","",INDEX('Per Line'!$C$2:$C$6001,$V443)&amp;"")</f>
        <v/>
      </c>
      <c r="C443" s="11">
        <f>IF($V443="","",INDEX('Per Line'!$D$2:$D$6001,$V443))</f>
        <v/>
      </c>
      <c r="D443">
        <f>IF($V443="","",INDEX('Per Line'!$E$2:$E$6001,$V443)&amp;"")</f>
        <v/>
      </c>
      <c r="E443">
        <f>IF($V443="","",INDEX('Per Line'!$G$2:$G$6001,$V443)&amp;"")</f>
        <v/>
      </c>
      <c r="F443">
        <f>IF($V443="","",INDEX('Per Line'!$H$2:$H$6001,$V443)&amp;"")</f>
        <v/>
      </c>
      <c r="G443">
        <f>IF($V443="","",INDEX('Per Line'!$I$2:$I$6001,$V443)&amp;"")</f>
        <v/>
      </c>
      <c r="H443">
        <f>IF($V443="","",INDEX('Per Line'!$J$2:$J$6001,$V443))</f>
        <v/>
      </c>
      <c r="I443" s="7">
        <f>IF($V443="","",H443*S443/100)</f>
        <v/>
      </c>
      <c r="J443">
        <f>IF($V443="","",INDEX('Per Line'!$S$2:$S$6001,$V443)&amp;"")</f>
        <v/>
      </c>
      <c r="K443" s="7">
        <f>IF($V443="","",SUMIFS('Per Line'!$R$2:$R$6001,'Per Line'!$C$2:$C$6001,$B443,'Per Line'!$AJ$2:$AJ$6001,1))</f>
        <v/>
      </c>
      <c r="L443">
        <f>IF($V443="","",Settings!$C$7)</f>
        <v/>
      </c>
      <c r="M443" s="7">
        <f>IF($V443="","",SUMIFS('Per Line'!$R$2:$R$6001,'Per Line'!$C$2:$C$6001,$B443,'Per Line'!$AI$2:$AI$6001,0,'Per Line'!$AJ$2:$AJ$6001,0))</f>
        <v/>
      </c>
      <c r="N443" s="7">
        <f>IF($V443="","",M443*L443)</f>
        <v/>
      </c>
      <c r="O443">
        <f>IF($V443="","",Settings!$C$6)</f>
        <v/>
      </c>
      <c r="P443" s="7">
        <f>IF($V443="","",SUMIFS('Per Line'!$R$2:$R$6001,'Per Line'!$C$2:$C$6001,$B443,'Per Line'!$AI$2:$AI$6001,1,'Per Line'!$AJ$2:$AJ$6001,0))</f>
        <v/>
      </c>
      <c r="Q443" s="7">
        <f>IF($V443="","",P443*O443)</f>
        <v/>
      </c>
      <c r="R443" s="7">
        <f>IF($V443="","",Q443+N443)</f>
        <v/>
      </c>
      <c r="S443" s="7">
        <f>IF($V443="","",T443-R443)</f>
        <v/>
      </c>
      <c r="T443" s="7">
        <f>IF($V443="","",M443+P443+K443)</f>
        <v/>
      </c>
      <c r="U443" s="7">
        <f>IF($V443="","",T443-R443-I443)</f>
        <v/>
      </c>
      <c r="V443" s="13">
        <f>IF(ROWS($V$2:$V443)&lt;=MAX('Per Line'!$AH$2:$AH$6001),MATCH(ROWS($V$2:$V443),'Per Line'!$AH$2:$AH$6001,0),"")</f>
        <v/>
      </c>
    </row>
    <row r="444">
      <c r="A444" s="12" t="n"/>
      <c r="B444">
        <f>IF($V444="","",INDEX('Per Line'!$C$2:$C$6001,$V444)&amp;"")</f>
        <v/>
      </c>
      <c r="C444" s="11">
        <f>IF($V444="","",INDEX('Per Line'!$D$2:$D$6001,$V444))</f>
        <v/>
      </c>
      <c r="D444">
        <f>IF($V444="","",INDEX('Per Line'!$E$2:$E$6001,$V444)&amp;"")</f>
        <v/>
      </c>
      <c r="E444">
        <f>IF($V444="","",INDEX('Per Line'!$G$2:$G$6001,$V444)&amp;"")</f>
        <v/>
      </c>
      <c r="F444">
        <f>IF($V444="","",INDEX('Per Line'!$H$2:$H$6001,$V444)&amp;"")</f>
        <v/>
      </c>
      <c r="G444">
        <f>IF($V444="","",INDEX('Per Line'!$I$2:$I$6001,$V444)&amp;"")</f>
        <v/>
      </c>
      <c r="H444">
        <f>IF($V444="","",INDEX('Per Line'!$J$2:$J$6001,$V444))</f>
        <v/>
      </c>
      <c r="I444" s="7">
        <f>IF($V444="","",H444*S444/100)</f>
        <v/>
      </c>
      <c r="J444">
        <f>IF($V444="","",INDEX('Per Line'!$S$2:$S$6001,$V444)&amp;"")</f>
        <v/>
      </c>
      <c r="K444" s="7">
        <f>IF($V444="","",SUMIFS('Per Line'!$R$2:$R$6001,'Per Line'!$C$2:$C$6001,$B444,'Per Line'!$AJ$2:$AJ$6001,1))</f>
        <v/>
      </c>
      <c r="L444">
        <f>IF($V444="","",Settings!$C$7)</f>
        <v/>
      </c>
      <c r="M444" s="7">
        <f>IF($V444="","",SUMIFS('Per Line'!$R$2:$R$6001,'Per Line'!$C$2:$C$6001,$B444,'Per Line'!$AI$2:$AI$6001,0,'Per Line'!$AJ$2:$AJ$6001,0))</f>
        <v/>
      </c>
      <c r="N444" s="7">
        <f>IF($V444="","",M444*L444)</f>
        <v/>
      </c>
      <c r="O444">
        <f>IF($V444="","",Settings!$C$6)</f>
        <v/>
      </c>
      <c r="P444" s="7">
        <f>IF($V444="","",SUMIFS('Per Line'!$R$2:$R$6001,'Per Line'!$C$2:$C$6001,$B444,'Per Line'!$AI$2:$AI$6001,1,'Per Line'!$AJ$2:$AJ$6001,0))</f>
        <v/>
      </c>
      <c r="Q444" s="7">
        <f>IF($V444="","",P444*O444)</f>
        <v/>
      </c>
      <c r="R444" s="7">
        <f>IF($V444="","",Q444+N444)</f>
        <v/>
      </c>
      <c r="S444" s="7">
        <f>IF($V444="","",T444-R444)</f>
        <v/>
      </c>
      <c r="T444" s="7">
        <f>IF($V444="","",M444+P444+K444)</f>
        <v/>
      </c>
      <c r="U444" s="7">
        <f>IF($V444="","",T444-R444-I444)</f>
        <v/>
      </c>
      <c r="V444" s="13">
        <f>IF(ROWS($V$2:$V444)&lt;=MAX('Per Line'!$AH$2:$AH$6001),MATCH(ROWS($V$2:$V444),'Per Line'!$AH$2:$AH$6001,0),"")</f>
        <v/>
      </c>
    </row>
    <row r="445">
      <c r="A445" s="12" t="n"/>
      <c r="B445">
        <f>IF($V445="","",INDEX('Per Line'!$C$2:$C$6001,$V445)&amp;"")</f>
        <v/>
      </c>
      <c r="C445" s="11">
        <f>IF($V445="","",INDEX('Per Line'!$D$2:$D$6001,$V445))</f>
        <v/>
      </c>
      <c r="D445">
        <f>IF($V445="","",INDEX('Per Line'!$E$2:$E$6001,$V445)&amp;"")</f>
        <v/>
      </c>
      <c r="E445">
        <f>IF($V445="","",INDEX('Per Line'!$G$2:$G$6001,$V445)&amp;"")</f>
        <v/>
      </c>
      <c r="F445">
        <f>IF($V445="","",INDEX('Per Line'!$H$2:$H$6001,$V445)&amp;"")</f>
        <v/>
      </c>
      <c r="G445">
        <f>IF($V445="","",INDEX('Per Line'!$I$2:$I$6001,$V445)&amp;"")</f>
        <v/>
      </c>
      <c r="H445">
        <f>IF($V445="","",INDEX('Per Line'!$J$2:$J$6001,$V445))</f>
        <v/>
      </c>
      <c r="I445" s="7">
        <f>IF($V445="","",H445*S445/100)</f>
        <v/>
      </c>
      <c r="J445">
        <f>IF($V445="","",INDEX('Per Line'!$S$2:$S$6001,$V445)&amp;"")</f>
        <v/>
      </c>
      <c r="K445" s="7">
        <f>IF($V445="","",SUMIFS('Per Line'!$R$2:$R$6001,'Per Line'!$C$2:$C$6001,$B445,'Per Line'!$AJ$2:$AJ$6001,1))</f>
        <v/>
      </c>
      <c r="L445">
        <f>IF($V445="","",Settings!$C$7)</f>
        <v/>
      </c>
      <c r="M445" s="7">
        <f>IF($V445="","",SUMIFS('Per Line'!$R$2:$R$6001,'Per Line'!$C$2:$C$6001,$B445,'Per Line'!$AI$2:$AI$6001,0,'Per Line'!$AJ$2:$AJ$6001,0))</f>
        <v/>
      </c>
      <c r="N445" s="7">
        <f>IF($V445="","",M445*L445)</f>
        <v/>
      </c>
      <c r="O445">
        <f>IF($V445="","",Settings!$C$6)</f>
        <v/>
      </c>
      <c r="P445" s="7">
        <f>IF($V445="","",SUMIFS('Per Line'!$R$2:$R$6001,'Per Line'!$C$2:$C$6001,$B445,'Per Line'!$AI$2:$AI$6001,1,'Per Line'!$AJ$2:$AJ$6001,0))</f>
        <v/>
      </c>
      <c r="Q445" s="7">
        <f>IF($V445="","",P445*O445)</f>
        <v/>
      </c>
      <c r="R445" s="7">
        <f>IF($V445="","",Q445+N445)</f>
        <v/>
      </c>
      <c r="S445" s="7">
        <f>IF($V445="","",T445-R445)</f>
        <v/>
      </c>
      <c r="T445" s="7">
        <f>IF($V445="","",M445+P445+K445)</f>
        <v/>
      </c>
      <c r="U445" s="7">
        <f>IF($V445="","",T445-R445-I445)</f>
        <v/>
      </c>
      <c r="V445" s="13">
        <f>IF(ROWS($V$2:$V445)&lt;=MAX('Per Line'!$AH$2:$AH$6001),MATCH(ROWS($V$2:$V445),'Per Line'!$AH$2:$AH$6001,0),"")</f>
        <v/>
      </c>
    </row>
    <row r="446">
      <c r="A446" s="12" t="n"/>
      <c r="B446">
        <f>IF($V446="","",INDEX('Per Line'!$C$2:$C$6001,$V446)&amp;"")</f>
        <v/>
      </c>
      <c r="C446" s="11">
        <f>IF($V446="","",INDEX('Per Line'!$D$2:$D$6001,$V446))</f>
        <v/>
      </c>
      <c r="D446">
        <f>IF($V446="","",INDEX('Per Line'!$E$2:$E$6001,$V446)&amp;"")</f>
        <v/>
      </c>
      <c r="E446">
        <f>IF($V446="","",INDEX('Per Line'!$G$2:$G$6001,$V446)&amp;"")</f>
        <v/>
      </c>
      <c r="F446">
        <f>IF($V446="","",INDEX('Per Line'!$H$2:$H$6001,$V446)&amp;"")</f>
        <v/>
      </c>
      <c r="G446">
        <f>IF($V446="","",INDEX('Per Line'!$I$2:$I$6001,$V446)&amp;"")</f>
        <v/>
      </c>
      <c r="H446">
        <f>IF($V446="","",INDEX('Per Line'!$J$2:$J$6001,$V446))</f>
        <v/>
      </c>
      <c r="I446" s="7">
        <f>IF($V446="","",H446*S446/100)</f>
        <v/>
      </c>
      <c r="J446">
        <f>IF($V446="","",INDEX('Per Line'!$S$2:$S$6001,$V446)&amp;"")</f>
        <v/>
      </c>
      <c r="K446" s="7">
        <f>IF($V446="","",SUMIFS('Per Line'!$R$2:$R$6001,'Per Line'!$C$2:$C$6001,$B446,'Per Line'!$AJ$2:$AJ$6001,1))</f>
        <v/>
      </c>
      <c r="L446">
        <f>IF($V446="","",Settings!$C$7)</f>
        <v/>
      </c>
      <c r="M446" s="7">
        <f>IF($V446="","",SUMIFS('Per Line'!$R$2:$R$6001,'Per Line'!$C$2:$C$6001,$B446,'Per Line'!$AI$2:$AI$6001,0,'Per Line'!$AJ$2:$AJ$6001,0))</f>
        <v/>
      </c>
      <c r="N446" s="7">
        <f>IF($V446="","",M446*L446)</f>
        <v/>
      </c>
      <c r="O446">
        <f>IF($V446="","",Settings!$C$6)</f>
        <v/>
      </c>
      <c r="P446" s="7">
        <f>IF($V446="","",SUMIFS('Per Line'!$R$2:$R$6001,'Per Line'!$C$2:$C$6001,$B446,'Per Line'!$AI$2:$AI$6001,1,'Per Line'!$AJ$2:$AJ$6001,0))</f>
        <v/>
      </c>
      <c r="Q446" s="7">
        <f>IF($V446="","",P446*O446)</f>
        <v/>
      </c>
      <c r="R446" s="7">
        <f>IF($V446="","",Q446+N446)</f>
        <v/>
      </c>
      <c r="S446" s="7">
        <f>IF($V446="","",T446-R446)</f>
        <v/>
      </c>
      <c r="T446" s="7">
        <f>IF($V446="","",M446+P446+K446)</f>
        <v/>
      </c>
      <c r="U446" s="7">
        <f>IF($V446="","",T446-R446-I446)</f>
        <v/>
      </c>
      <c r="V446" s="13">
        <f>IF(ROWS($V$2:$V446)&lt;=MAX('Per Line'!$AH$2:$AH$6001),MATCH(ROWS($V$2:$V446),'Per Line'!$AH$2:$AH$6001,0),"")</f>
        <v/>
      </c>
    </row>
    <row r="447">
      <c r="A447" s="12" t="n"/>
      <c r="B447">
        <f>IF($V447="","",INDEX('Per Line'!$C$2:$C$6001,$V447)&amp;"")</f>
        <v/>
      </c>
      <c r="C447" s="11">
        <f>IF($V447="","",INDEX('Per Line'!$D$2:$D$6001,$V447))</f>
        <v/>
      </c>
      <c r="D447">
        <f>IF($V447="","",INDEX('Per Line'!$E$2:$E$6001,$V447)&amp;"")</f>
        <v/>
      </c>
      <c r="E447">
        <f>IF($V447="","",INDEX('Per Line'!$G$2:$G$6001,$V447)&amp;"")</f>
        <v/>
      </c>
      <c r="F447">
        <f>IF($V447="","",INDEX('Per Line'!$H$2:$H$6001,$V447)&amp;"")</f>
        <v/>
      </c>
      <c r="G447">
        <f>IF($V447="","",INDEX('Per Line'!$I$2:$I$6001,$V447)&amp;"")</f>
        <v/>
      </c>
      <c r="H447">
        <f>IF($V447="","",INDEX('Per Line'!$J$2:$J$6001,$V447))</f>
        <v/>
      </c>
      <c r="I447" s="7">
        <f>IF($V447="","",H447*S447/100)</f>
        <v/>
      </c>
      <c r="J447">
        <f>IF($V447="","",INDEX('Per Line'!$S$2:$S$6001,$V447)&amp;"")</f>
        <v/>
      </c>
      <c r="K447" s="7">
        <f>IF($V447="","",SUMIFS('Per Line'!$R$2:$R$6001,'Per Line'!$C$2:$C$6001,$B447,'Per Line'!$AJ$2:$AJ$6001,1))</f>
        <v/>
      </c>
      <c r="L447">
        <f>IF($V447="","",Settings!$C$7)</f>
        <v/>
      </c>
      <c r="M447" s="7">
        <f>IF($V447="","",SUMIFS('Per Line'!$R$2:$R$6001,'Per Line'!$C$2:$C$6001,$B447,'Per Line'!$AI$2:$AI$6001,0,'Per Line'!$AJ$2:$AJ$6001,0))</f>
        <v/>
      </c>
      <c r="N447" s="7">
        <f>IF($V447="","",M447*L447)</f>
        <v/>
      </c>
      <c r="O447">
        <f>IF($V447="","",Settings!$C$6)</f>
        <v/>
      </c>
      <c r="P447" s="7">
        <f>IF($V447="","",SUMIFS('Per Line'!$R$2:$R$6001,'Per Line'!$C$2:$C$6001,$B447,'Per Line'!$AI$2:$AI$6001,1,'Per Line'!$AJ$2:$AJ$6001,0))</f>
        <v/>
      </c>
      <c r="Q447" s="7">
        <f>IF($V447="","",P447*O447)</f>
        <v/>
      </c>
      <c r="R447" s="7">
        <f>IF($V447="","",Q447+N447)</f>
        <v/>
      </c>
      <c r="S447" s="7">
        <f>IF($V447="","",T447-R447)</f>
        <v/>
      </c>
      <c r="T447" s="7">
        <f>IF($V447="","",M447+P447+K447)</f>
        <v/>
      </c>
      <c r="U447" s="7">
        <f>IF($V447="","",T447-R447-I447)</f>
        <v/>
      </c>
      <c r="V447" s="13">
        <f>IF(ROWS($V$2:$V447)&lt;=MAX('Per Line'!$AH$2:$AH$6001),MATCH(ROWS($V$2:$V447),'Per Line'!$AH$2:$AH$6001,0),"")</f>
        <v/>
      </c>
    </row>
    <row r="448">
      <c r="A448" s="12" t="n"/>
      <c r="B448">
        <f>IF($V448="","",INDEX('Per Line'!$C$2:$C$6001,$V448)&amp;"")</f>
        <v/>
      </c>
      <c r="C448" s="11">
        <f>IF($V448="","",INDEX('Per Line'!$D$2:$D$6001,$V448))</f>
        <v/>
      </c>
      <c r="D448">
        <f>IF($V448="","",INDEX('Per Line'!$E$2:$E$6001,$V448)&amp;"")</f>
        <v/>
      </c>
      <c r="E448">
        <f>IF($V448="","",INDEX('Per Line'!$G$2:$G$6001,$V448)&amp;"")</f>
        <v/>
      </c>
      <c r="F448">
        <f>IF($V448="","",INDEX('Per Line'!$H$2:$H$6001,$V448)&amp;"")</f>
        <v/>
      </c>
      <c r="G448">
        <f>IF($V448="","",INDEX('Per Line'!$I$2:$I$6001,$V448)&amp;"")</f>
        <v/>
      </c>
      <c r="H448">
        <f>IF($V448="","",INDEX('Per Line'!$J$2:$J$6001,$V448))</f>
        <v/>
      </c>
      <c r="I448" s="7">
        <f>IF($V448="","",H448*S448/100)</f>
        <v/>
      </c>
      <c r="J448">
        <f>IF($V448="","",INDEX('Per Line'!$S$2:$S$6001,$V448)&amp;"")</f>
        <v/>
      </c>
      <c r="K448" s="7">
        <f>IF($V448="","",SUMIFS('Per Line'!$R$2:$R$6001,'Per Line'!$C$2:$C$6001,$B448,'Per Line'!$AJ$2:$AJ$6001,1))</f>
        <v/>
      </c>
      <c r="L448">
        <f>IF($V448="","",Settings!$C$7)</f>
        <v/>
      </c>
      <c r="M448" s="7">
        <f>IF($V448="","",SUMIFS('Per Line'!$R$2:$R$6001,'Per Line'!$C$2:$C$6001,$B448,'Per Line'!$AI$2:$AI$6001,0,'Per Line'!$AJ$2:$AJ$6001,0))</f>
        <v/>
      </c>
      <c r="N448" s="7">
        <f>IF($V448="","",M448*L448)</f>
        <v/>
      </c>
      <c r="O448">
        <f>IF($V448="","",Settings!$C$6)</f>
        <v/>
      </c>
      <c r="P448" s="7">
        <f>IF($V448="","",SUMIFS('Per Line'!$R$2:$R$6001,'Per Line'!$C$2:$C$6001,$B448,'Per Line'!$AI$2:$AI$6001,1,'Per Line'!$AJ$2:$AJ$6001,0))</f>
        <v/>
      </c>
      <c r="Q448" s="7">
        <f>IF($V448="","",P448*O448)</f>
        <v/>
      </c>
      <c r="R448" s="7">
        <f>IF($V448="","",Q448+N448)</f>
        <v/>
      </c>
      <c r="S448" s="7">
        <f>IF($V448="","",T448-R448)</f>
        <v/>
      </c>
      <c r="T448" s="7">
        <f>IF($V448="","",M448+P448+K448)</f>
        <v/>
      </c>
      <c r="U448" s="7">
        <f>IF($V448="","",T448-R448-I448)</f>
        <v/>
      </c>
      <c r="V448" s="13">
        <f>IF(ROWS($V$2:$V448)&lt;=MAX('Per Line'!$AH$2:$AH$6001),MATCH(ROWS($V$2:$V448),'Per Line'!$AH$2:$AH$6001,0),"")</f>
        <v/>
      </c>
    </row>
    <row r="449">
      <c r="A449" s="12" t="n"/>
      <c r="B449">
        <f>IF($V449="","",INDEX('Per Line'!$C$2:$C$6001,$V449)&amp;"")</f>
        <v/>
      </c>
      <c r="C449" s="11">
        <f>IF($V449="","",INDEX('Per Line'!$D$2:$D$6001,$V449))</f>
        <v/>
      </c>
      <c r="D449">
        <f>IF($V449="","",INDEX('Per Line'!$E$2:$E$6001,$V449)&amp;"")</f>
        <v/>
      </c>
      <c r="E449">
        <f>IF($V449="","",INDEX('Per Line'!$G$2:$G$6001,$V449)&amp;"")</f>
        <v/>
      </c>
      <c r="F449">
        <f>IF($V449="","",INDEX('Per Line'!$H$2:$H$6001,$V449)&amp;"")</f>
        <v/>
      </c>
      <c r="G449">
        <f>IF($V449="","",INDEX('Per Line'!$I$2:$I$6001,$V449)&amp;"")</f>
        <v/>
      </c>
      <c r="H449">
        <f>IF($V449="","",INDEX('Per Line'!$J$2:$J$6001,$V449))</f>
        <v/>
      </c>
      <c r="I449" s="7">
        <f>IF($V449="","",H449*S449/100)</f>
        <v/>
      </c>
      <c r="J449">
        <f>IF($V449="","",INDEX('Per Line'!$S$2:$S$6001,$V449)&amp;"")</f>
        <v/>
      </c>
      <c r="K449" s="7">
        <f>IF($V449="","",SUMIFS('Per Line'!$R$2:$R$6001,'Per Line'!$C$2:$C$6001,$B449,'Per Line'!$AJ$2:$AJ$6001,1))</f>
        <v/>
      </c>
      <c r="L449">
        <f>IF($V449="","",Settings!$C$7)</f>
        <v/>
      </c>
      <c r="M449" s="7">
        <f>IF($V449="","",SUMIFS('Per Line'!$R$2:$R$6001,'Per Line'!$C$2:$C$6001,$B449,'Per Line'!$AI$2:$AI$6001,0,'Per Line'!$AJ$2:$AJ$6001,0))</f>
        <v/>
      </c>
      <c r="N449" s="7">
        <f>IF($V449="","",M449*L449)</f>
        <v/>
      </c>
      <c r="O449">
        <f>IF($V449="","",Settings!$C$6)</f>
        <v/>
      </c>
      <c r="P449" s="7">
        <f>IF($V449="","",SUMIFS('Per Line'!$R$2:$R$6001,'Per Line'!$C$2:$C$6001,$B449,'Per Line'!$AI$2:$AI$6001,1,'Per Line'!$AJ$2:$AJ$6001,0))</f>
        <v/>
      </c>
      <c r="Q449" s="7">
        <f>IF($V449="","",P449*O449)</f>
        <v/>
      </c>
      <c r="R449" s="7">
        <f>IF($V449="","",Q449+N449)</f>
        <v/>
      </c>
      <c r="S449" s="7">
        <f>IF($V449="","",T449-R449)</f>
        <v/>
      </c>
      <c r="T449" s="7">
        <f>IF($V449="","",M449+P449+K449)</f>
        <v/>
      </c>
      <c r="U449" s="7">
        <f>IF($V449="","",T449-R449-I449)</f>
        <v/>
      </c>
      <c r="V449" s="13">
        <f>IF(ROWS($V$2:$V449)&lt;=MAX('Per Line'!$AH$2:$AH$6001),MATCH(ROWS($V$2:$V449),'Per Line'!$AH$2:$AH$6001,0),"")</f>
        <v/>
      </c>
    </row>
    <row r="450">
      <c r="A450" s="12" t="n"/>
      <c r="B450">
        <f>IF($V450="","",INDEX('Per Line'!$C$2:$C$6001,$V450)&amp;"")</f>
        <v/>
      </c>
      <c r="C450" s="11">
        <f>IF($V450="","",INDEX('Per Line'!$D$2:$D$6001,$V450))</f>
        <v/>
      </c>
      <c r="D450">
        <f>IF($V450="","",INDEX('Per Line'!$E$2:$E$6001,$V450)&amp;"")</f>
        <v/>
      </c>
      <c r="E450">
        <f>IF($V450="","",INDEX('Per Line'!$G$2:$G$6001,$V450)&amp;"")</f>
        <v/>
      </c>
      <c r="F450">
        <f>IF($V450="","",INDEX('Per Line'!$H$2:$H$6001,$V450)&amp;"")</f>
        <v/>
      </c>
      <c r="G450">
        <f>IF($V450="","",INDEX('Per Line'!$I$2:$I$6001,$V450)&amp;"")</f>
        <v/>
      </c>
      <c r="H450">
        <f>IF($V450="","",INDEX('Per Line'!$J$2:$J$6001,$V450))</f>
        <v/>
      </c>
      <c r="I450" s="7">
        <f>IF($V450="","",H450*S450/100)</f>
        <v/>
      </c>
      <c r="J450">
        <f>IF($V450="","",INDEX('Per Line'!$S$2:$S$6001,$V450)&amp;"")</f>
        <v/>
      </c>
      <c r="K450" s="7">
        <f>IF($V450="","",SUMIFS('Per Line'!$R$2:$R$6001,'Per Line'!$C$2:$C$6001,$B450,'Per Line'!$AJ$2:$AJ$6001,1))</f>
        <v/>
      </c>
      <c r="L450">
        <f>IF($V450="","",Settings!$C$7)</f>
        <v/>
      </c>
      <c r="M450" s="7">
        <f>IF($V450="","",SUMIFS('Per Line'!$R$2:$R$6001,'Per Line'!$C$2:$C$6001,$B450,'Per Line'!$AI$2:$AI$6001,0,'Per Line'!$AJ$2:$AJ$6001,0))</f>
        <v/>
      </c>
      <c r="N450" s="7">
        <f>IF($V450="","",M450*L450)</f>
        <v/>
      </c>
      <c r="O450">
        <f>IF($V450="","",Settings!$C$6)</f>
        <v/>
      </c>
      <c r="P450" s="7">
        <f>IF($V450="","",SUMIFS('Per Line'!$R$2:$R$6001,'Per Line'!$C$2:$C$6001,$B450,'Per Line'!$AI$2:$AI$6001,1,'Per Line'!$AJ$2:$AJ$6001,0))</f>
        <v/>
      </c>
      <c r="Q450" s="7">
        <f>IF($V450="","",P450*O450)</f>
        <v/>
      </c>
      <c r="R450" s="7">
        <f>IF($V450="","",Q450+N450)</f>
        <v/>
      </c>
      <c r="S450" s="7">
        <f>IF($V450="","",T450-R450)</f>
        <v/>
      </c>
      <c r="T450" s="7">
        <f>IF($V450="","",M450+P450+K450)</f>
        <v/>
      </c>
      <c r="U450" s="7">
        <f>IF($V450="","",T450-R450-I450)</f>
        <v/>
      </c>
      <c r="V450" s="13">
        <f>IF(ROWS($V$2:$V450)&lt;=MAX('Per Line'!$AH$2:$AH$6001),MATCH(ROWS($V$2:$V450),'Per Line'!$AH$2:$AH$6001,0),"")</f>
        <v/>
      </c>
    </row>
    <row r="451">
      <c r="A451" s="12" t="n"/>
      <c r="B451">
        <f>IF($V451="","",INDEX('Per Line'!$C$2:$C$6001,$V451)&amp;"")</f>
        <v/>
      </c>
      <c r="C451" s="11">
        <f>IF($V451="","",INDEX('Per Line'!$D$2:$D$6001,$V451))</f>
        <v/>
      </c>
      <c r="D451">
        <f>IF($V451="","",INDEX('Per Line'!$E$2:$E$6001,$V451)&amp;"")</f>
        <v/>
      </c>
      <c r="E451">
        <f>IF($V451="","",INDEX('Per Line'!$G$2:$G$6001,$V451)&amp;"")</f>
        <v/>
      </c>
      <c r="F451">
        <f>IF($V451="","",INDEX('Per Line'!$H$2:$H$6001,$V451)&amp;"")</f>
        <v/>
      </c>
      <c r="G451">
        <f>IF($V451="","",INDEX('Per Line'!$I$2:$I$6001,$V451)&amp;"")</f>
        <v/>
      </c>
      <c r="H451">
        <f>IF($V451="","",INDEX('Per Line'!$J$2:$J$6001,$V451))</f>
        <v/>
      </c>
      <c r="I451" s="7">
        <f>IF($V451="","",H451*S451/100)</f>
        <v/>
      </c>
      <c r="J451">
        <f>IF($V451="","",INDEX('Per Line'!$S$2:$S$6001,$V451)&amp;"")</f>
        <v/>
      </c>
      <c r="K451" s="7">
        <f>IF($V451="","",SUMIFS('Per Line'!$R$2:$R$6001,'Per Line'!$C$2:$C$6001,$B451,'Per Line'!$AJ$2:$AJ$6001,1))</f>
        <v/>
      </c>
      <c r="L451">
        <f>IF($V451="","",Settings!$C$7)</f>
        <v/>
      </c>
      <c r="M451" s="7">
        <f>IF($V451="","",SUMIFS('Per Line'!$R$2:$R$6001,'Per Line'!$C$2:$C$6001,$B451,'Per Line'!$AI$2:$AI$6001,0,'Per Line'!$AJ$2:$AJ$6001,0))</f>
        <v/>
      </c>
      <c r="N451" s="7">
        <f>IF($V451="","",M451*L451)</f>
        <v/>
      </c>
      <c r="O451">
        <f>IF($V451="","",Settings!$C$6)</f>
        <v/>
      </c>
      <c r="P451" s="7">
        <f>IF($V451="","",SUMIFS('Per Line'!$R$2:$R$6001,'Per Line'!$C$2:$C$6001,$B451,'Per Line'!$AI$2:$AI$6001,1,'Per Line'!$AJ$2:$AJ$6001,0))</f>
        <v/>
      </c>
      <c r="Q451" s="7">
        <f>IF($V451="","",P451*O451)</f>
        <v/>
      </c>
      <c r="R451" s="7">
        <f>IF($V451="","",Q451+N451)</f>
        <v/>
      </c>
      <c r="S451" s="7">
        <f>IF($V451="","",T451-R451)</f>
        <v/>
      </c>
      <c r="T451" s="7">
        <f>IF($V451="","",M451+P451+K451)</f>
        <v/>
      </c>
      <c r="U451" s="7">
        <f>IF($V451="","",T451-R451-I451)</f>
        <v/>
      </c>
      <c r="V451" s="13">
        <f>IF(ROWS($V$2:$V451)&lt;=MAX('Per Line'!$AH$2:$AH$6001),MATCH(ROWS($V$2:$V451),'Per Line'!$AH$2:$AH$6001,0),"")</f>
        <v/>
      </c>
    </row>
    <row r="452">
      <c r="A452" s="12" t="n"/>
      <c r="B452">
        <f>IF($V452="","",INDEX('Per Line'!$C$2:$C$6001,$V452)&amp;"")</f>
        <v/>
      </c>
      <c r="C452" s="11">
        <f>IF($V452="","",INDEX('Per Line'!$D$2:$D$6001,$V452))</f>
        <v/>
      </c>
      <c r="D452">
        <f>IF($V452="","",INDEX('Per Line'!$E$2:$E$6001,$V452)&amp;"")</f>
        <v/>
      </c>
      <c r="E452">
        <f>IF($V452="","",INDEX('Per Line'!$G$2:$G$6001,$V452)&amp;"")</f>
        <v/>
      </c>
      <c r="F452">
        <f>IF($V452="","",INDEX('Per Line'!$H$2:$H$6001,$V452)&amp;"")</f>
        <v/>
      </c>
      <c r="G452">
        <f>IF($V452="","",INDEX('Per Line'!$I$2:$I$6001,$V452)&amp;"")</f>
        <v/>
      </c>
      <c r="H452">
        <f>IF($V452="","",INDEX('Per Line'!$J$2:$J$6001,$V452))</f>
        <v/>
      </c>
      <c r="I452" s="7">
        <f>IF($V452="","",H452*S452/100)</f>
        <v/>
      </c>
      <c r="J452">
        <f>IF($V452="","",INDEX('Per Line'!$S$2:$S$6001,$V452)&amp;"")</f>
        <v/>
      </c>
      <c r="K452" s="7">
        <f>IF($V452="","",SUMIFS('Per Line'!$R$2:$R$6001,'Per Line'!$C$2:$C$6001,$B452,'Per Line'!$AJ$2:$AJ$6001,1))</f>
        <v/>
      </c>
      <c r="L452">
        <f>IF($V452="","",Settings!$C$7)</f>
        <v/>
      </c>
      <c r="M452" s="7">
        <f>IF($V452="","",SUMIFS('Per Line'!$R$2:$R$6001,'Per Line'!$C$2:$C$6001,$B452,'Per Line'!$AI$2:$AI$6001,0,'Per Line'!$AJ$2:$AJ$6001,0))</f>
        <v/>
      </c>
      <c r="N452" s="7">
        <f>IF($V452="","",M452*L452)</f>
        <v/>
      </c>
      <c r="O452">
        <f>IF($V452="","",Settings!$C$6)</f>
        <v/>
      </c>
      <c r="P452" s="7">
        <f>IF($V452="","",SUMIFS('Per Line'!$R$2:$R$6001,'Per Line'!$C$2:$C$6001,$B452,'Per Line'!$AI$2:$AI$6001,1,'Per Line'!$AJ$2:$AJ$6001,0))</f>
        <v/>
      </c>
      <c r="Q452" s="7">
        <f>IF($V452="","",P452*O452)</f>
        <v/>
      </c>
      <c r="R452" s="7">
        <f>IF($V452="","",Q452+N452)</f>
        <v/>
      </c>
      <c r="S452" s="7">
        <f>IF($V452="","",T452-R452)</f>
        <v/>
      </c>
      <c r="T452" s="7">
        <f>IF($V452="","",M452+P452+K452)</f>
        <v/>
      </c>
      <c r="U452" s="7">
        <f>IF($V452="","",T452-R452-I452)</f>
        <v/>
      </c>
      <c r="V452" s="13">
        <f>IF(ROWS($V$2:$V452)&lt;=MAX('Per Line'!$AH$2:$AH$6001),MATCH(ROWS($V$2:$V452),'Per Line'!$AH$2:$AH$6001,0),"")</f>
        <v/>
      </c>
    </row>
    <row r="453">
      <c r="A453" s="12" t="n"/>
      <c r="B453">
        <f>IF($V453="","",INDEX('Per Line'!$C$2:$C$6001,$V453)&amp;"")</f>
        <v/>
      </c>
      <c r="C453" s="11">
        <f>IF($V453="","",INDEX('Per Line'!$D$2:$D$6001,$V453))</f>
        <v/>
      </c>
      <c r="D453">
        <f>IF($V453="","",INDEX('Per Line'!$E$2:$E$6001,$V453)&amp;"")</f>
        <v/>
      </c>
      <c r="E453">
        <f>IF($V453="","",INDEX('Per Line'!$G$2:$G$6001,$V453)&amp;"")</f>
        <v/>
      </c>
      <c r="F453">
        <f>IF($V453="","",INDEX('Per Line'!$H$2:$H$6001,$V453)&amp;"")</f>
        <v/>
      </c>
      <c r="G453">
        <f>IF($V453="","",INDEX('Per Line'!$I$2:$I$6001,$V453)&amp;"")</f>
        <v/>
      </c>
      <c r="H453">
        <f>IF($V453="","",INDEX('Per Line'!$J$2:$J$6001,$V453))</f>
        <v/>
      </c>
      <c r="I453" s="7">
        <f>IF($V453="","",H453*S453/100)</f>
        <v/>
      </c>
      <c r="J453">
        <f>IF($V453="","",INDEX('Per Line'!$S$2:$S$6001,$V453)&amp;"")</f>
        <v/>
      </c>
      <c r="K453" s="7">
        <f>IF($V453="","",SUMIFS('Per Line'!$R$2:$R$6001,'Per Line'!$C$2:$C$6001,$B453,'Per Line'!$AJ$2:$AJ$6001,1))</f>
        <v/>
      </c>
      <c r="L453">
        <f>IF($V453="","",Settings!$C$7)</f>
        <v/>
      </c>
      <c r="M453" s="7">
        <f>IF($V453="","",SUMIFS('Per Line'!$R$2:$R$6001,'Per Line'!$C$2:$C$6001,$B453,'Per Line'!$AI$2:$AI$6001,0,'Per Line'!$AJ$2:$AJ$6001,0))</f>
        <v/>
      </c>
      <c r="N453" s="7">
        <f>IF($V453="","",M453*L453)</f>
        <v/>
      </c>
      <c r="O453">
        <f>IF($V453="","",Settings!$C$6)</f>
        <v/>
      </c>
      <c r="P453" s="7">
        <f>IF($V453="","",SUMIFS('Per Line'!$R$2:$R$6001,'Per Line'!$C$2:$C$6001,$B453,'Per Line'!$AI$2:$AI$6001,1,'Per Line'!$AJ$2:$AJ$6001,0))</f>
        <v/>
      </c>
      <c r="Q453" s="7">
        <f>IF($V453="","",P453*O453)</f>
        <v/>
      </c>
      <c r="R453" s="7">
        <f>IF($V453="","",Q453+N453)</f>
        <v/>
      </c>
      <c r="S453" s="7">
        <f>IF($V453="","",T453-R453)</f>
        <v/>
      </c>
      <c r="T453" s="7">
        <f>IF($V453="","",M453+P453+K453)</f>
        <v/>
      </c>
      <c r="U453" s="7">
        <f>IF($V453="","",T453-R453-I453)</f>
        <v/>
      </c>
      <c r="V453" s="13">
        <f>IF(ROWS($V$2:$V453)&lt;=MAX('Per Line'!$AH$2:$AH$6001),MATCH(ROWS($V$2:$V453),'Per Line'!$AH$2:$AH$6001,0),"")</f>
        <v/>
      </c>
    </row>
    <row r="454">
      <c r="A454" s="12" t="n"/>
      <c r="B454">
        <f>IF($V454="","",INDEX('Per Line'!$C$2:$C$6001,$V454)&amp;"")</f>
        <v/>
      </c>
      <c r="C454" s="11">
        <f>IF($V454="","",INDEX('Per Line'!$D$2:$D$6001,$V454))</f>
        <v/>
      </c>
      <c r="D454">
        <f>IF($V454="","",INDEX('Per Line'!$E$2:$E$6001,$V454)&amp;"")</f>
        <v/>
      </c>
      <c r="E454">
        <f>IF($V454="","",INDEX('Per Line'!$G$2:$G$6001,$V454)&amp;"")</f>
        <v/>
      </c>
      <c r="F454">
        <f>IF($V454="","",INDEX('Per Line'!$H$2:$H$6001,$V454)&amp;"")</f>
        <v/>
      </c>
      <c r="G454">
        <f>IF($V454="","",INDEX('Per Line'!$I$2:$I$6001,$V454)&amp;"")</f>
        <v/>
      </c>
      <c r="H454">
        <f>IF($V454="","",INDEX('Per Line'!$J$2:$J$6001,$V454))</f>
        <v/>
      </c>
      <c r="I454" s="7">
        <f>IF($V454="","",H454*S454/100)</f>
        <v/>
      </c>
      <c r="J454">
        <f>IF($V454="","",INDEX('Per Line'!$S$2:$S$6001,$V454)&amp;"")</f>
        <v/>
      </c>
      <c r="K454" s="7">
        <f>IF($V454="","",SUMIFS('Per Line'!$R$2:$R$6001,'Per Line'!$C$2:$C$6001,$B454,'Per Line'!$AJ$2:$AJ$6001,1))</f>
        <v/>
      </c>
      <c r="L454">
        <f>IF($V454="","",Settings!$C$7)</f>
        <v/>
      </c>
      <c r="M454" s="7">
        <f>IF($V454="","",SUMIFS('Per Line'!$R$2:$R$6001,'Per Line'!$C$2:$C$6001,$B454,'Per Line'!$AI$2:$AI$6001,0,'Per Line'!$AJ$2:$AJ$6001,0))</f>
        <v/>
      </c>
      <c r="N454" s="7">
        <f>IF($V454="","",M454*L454)</f>
        <v/>
      </c>
      <c r="O454">
        <f>IF($V454="","",Settings!$C$6)</f>
        <v/>
      </c>
      <c r="P454" s="7">
        <f>IF($V454="","",SUMIFS('Per Line'!$R$2:$R$6001,'Per Line'!$C$2:$C$6001,$B454,'Per Line'!$AI$2:$AI$6001,1,'Per Line'!$AJ$2:$AJ$6001,0))</f>
        <v/>
      </c>
      <c r="Q454" s="7">
        <f>IF($V454="","",P454*O454)</f>
        <v/>
      </c>
      <c r="R454" s="7">
        <f>IF($V454="","",Q454+N454)</f>
        <v/>
      </c>
      <c r="S454" s="7">
        <f>IF($V454="","",T454-R454)</f>
        <v/>
      </c>
      <c r="T454" s="7">
        <f>IF($V454="","",M454+P454+K454)</f>
        <v/>
      </c>
      <c r="U454" s="7">
        <f>IF($V454="","",T454-R454-I454)</f>
        <v/>
      </c>
      <c r="V454" s="13">
        <f>IF(ROWS($V$2:$V454)&lt;=MAX('Per Line'!$AH$2:$AH$6001),MATCH(ROWS($V$2:$V454),'Per Line'!$AH$2:$AH$6001,0),"")</f>
        <v/>
      </c>
    </row>
    <row r="455">
      <c r="A455" s="12" t="n"/>
      <c r="B455">
        <f>IF($V455="","",INDEX('Per Line'!$C$2:$C$6001,$V455)&amp;"")</f>
        <v/>
      </c>
      <c r="C455" s="11">
        <f>IF($V455="","",INDEX('Per Line'!$D$2:$D$6001,$V455))</f>
        <v/>
      </c>
      <c r="D455">
        <f>IF($V455="","",INDEX('Per Line'!$E$2:$E$6001,$V455)&amp;"")</f>
        <v/>
      </c>
      <c r="E455">
        <f>IF($V455="","",INDEX('Per Line'!$G$2:$G$6001,$V455)&amp;"")</f>
        <v/>
      </c>
      <c r="F455">
        <f>IF($V455="","",INDEX('Per Line'!$H$2:$H$6001,$V455)&amp;"")</f>
        <v/>
      </c>
      <c r="G455">
        <f>IF($V455="","",INDEX('Per Line'!$I$2:$I$6001,$V455)&amp;"")</f>
        <v/>
      </c>
      <c r="H455">
        <f>IF($V455="","",INDEX('Per Line'!$J$2:$J$6001,$V455))</f>
        <v/>
      </c>
      <c r="I455" s="7">
        <f>IF($V455="","",H455*S455/100)</f>
        <v/>
      </c>
      <c r="J455">
        <f>IF($V455="","",INDEX('Per Line'!$S$2:$S$6001,$V455)&amp;"")</f>
        <v/>
      </c>
      <c r="K455" s="7">
        <f>IF($V455="","",SUMIFS('Per Line'!$R$2:$R$6001,'Per Line'!$C$2:$C$6001,$B455,'Per Line'!$AJ$2:$AJ$6001,1))</f>
        <v/>
      </c>
      <c r="L455">
        <f>IF($V455="","",Settings!$C$7)</f>
        <v/>
      </c>
      <c r="M455" s="7">
        <f>IF($V455="","",SUMIFS('Per Line'!$R$2:$R$6001,'Per Line'!$C$2:$C$6001,$B455,'Per Line'!$AI$2:$AI$6001,0,'Per Line'!$AJ$2:$AJ$6001,0))</f>
        <v/>
      </c>
      <c r="N455" s="7">
        <f>IF($V455="","",M455*L455)</f>
        <v/>
      </c>
      <c r="O455">
        <f>IF($V455="","",Settings!$C$6)</f>
        <v/>
      </c>
      <c r="P455" s="7">
        <f>IF($V455="","",SUMIFS('Per Line'!$R$2:$R$6001,'Per Line'!$C$2:$C$6001,$B455,'Per Line'!$AI$2:$AI$6001,1,'Per Line'!$AJ$2:$AJ$6001,0))</f>
        <v/>
      </c>
      <c r="Q455" s="7">
        <f>IF($V455="","",P455*O455)</f>
        <v/>
      </c>
      <c r="R455" s="7">
        <f>IF($V455="","",Q455+N455)</f>
        <v/>
      </c>
      <c r="S455" s="7">
        <f>IF($V455="","",T455-R455)</f>
        <v/>
      </c>
      <c r="T455" s="7">
        <f>IF($V455="","",M455+P455+K455)</f>
        <v/>
      </c>
      <c r="U455" s="7">
        <f>IF($V455="","",T455-R455-I455)</f>
        <v/>
      </c>
      <c r="V455" s="13">
        <f>IF(ROWS($V$2:$V455)&lt;=MAX('Per Line'!$AH$2:$AH$6001),MATCH(ROWS($V$2:$V455),'Per Line'!$AH$2:$AH$6001,0),"")</f>
        <v/>
      </c>
    </row>
    <row r="456">
      <c r="A456" s="12" t="n"/>
      <c r="B456">
        <f>IF($V456="","",INDEX('Per Line'!$C$2:$C$6001,$V456)&amp;"")</f>
        <v/>
      </c>
      <c r="C456" s="11">
        <f>IF($V456="","",INDEX('Per Line'!$D$2:$D$6001,$V456))</f>
        <v/>
      </c>
      <c r="D456">
        <f>IF($V456="","",INDEX('Per Line'!$E$2:$E$6001,$V456)&amp;"")</f>
        <v/>
      </c>
      <c r="E456">
        <f>IF($V456="","",INDEX('Per Line'!$G$2:$G$6001,$V456)&amp;"")</f>
        <v/>
      </c>
      <c r="F456">
        <f>IF($V456="","",INDEX('Per Line'!$H$2:$H$6001,$V456)&amp;"")</f>
        <v/>
      </c>
      <c r="G456">
        <f>IF($V456="","",INDEX('Per Line'!$I$2:$I$6001,$V456)&amp;"")</f>
        <v/>
      </c>
      <c r="H456">
        <f>IF($V456="","",INDEX('Per Line'!$J$2:$J$6001,$V456))</f>
        <v/>
      </c>
      <c r="I456" s="7">
        <f>IF($V456="","",H456*S456/100)</f>
        <v/>
      </c>
      <c r="J456">
        <f>IF($V456="","",INDEX('Per Line'!$S$2:$S$6001,$V456)&amp;"")</f>
        <v/>
      </c>
      <c r="K456" s="7">
        <f>IF($V456="","",SUMIFS('Per Line'!$R$2:$R$6001,'Per Line'!$C$2:$C$6001,$B456,'Per Line'!$AJ$2:$AJ$6001,1))</f>
        <v/>
      </c>
      <c r="L456">
        <f>IF($V456="","",Settings!$C$7)</f>
        <v/>
      </c>
      <c r="M456" s="7">
        <f>IF($V456="","",SUMIFS('Per Line'!$R$2:$R$6001,'Per Line'!$C$2:$C$6001,$B456,'Per Line'!$AI$2:$AI$6001,0,'Per Line'!$AJ$2:$AJ$6001,0))</f>
        <v/>
      </c>
      <c r="N456" s="7">
        <f>IF($V456="","",M456*L456)</f>
        <v/>
      </c>
      <c r="O456">
        <f>IF($V456="","",Settings!$C$6)</f>
        <v/>
      </c>
      <c r="P456" s="7">
        <f>IF($V456="","",SUMIFS('Per Line'!$R$2:$R$6001,'Per Line'!$C$2:$C$6001,$B456,'Per Line'!$AI$2:$AI$6001,1,'Per Line'!$AJ$2:$AJ$6001,0))</f>
        <v/>
      </c>
      <c r="Q456" s="7">
        <f>IF($V456="","",P456*O456)</f>
        <v/>
      </c>
      <c r="R456" s="7">
        <f>IF($V456="","",Q456+N456)</f>
        <v/>
      </c>
      <c r="S456" s="7">
        <f>IF($V456="","",T456-R456)</f>
        <v/>
      </c>
      <c r="T456" s="7">
        <f>IF($V456="","",M456+P456+K456)</f>
        <v/>
      </c>
      <c r="U456" s="7">
        <f>IF($V456="","",T456-R456-I456)</f>
        <v/>
      </c>
      <c r="V456" s="13">
        <f>IF(ROWS($V$2:$V456)&lt;=MAX('Per Line'!$AH$2:$AH$6001),MATCH(ROWS($V$2:$V456),'Per Line'!$AH$2:$AH$6001,0),"")</f>
        <v/>
      </c>
    </row>
    <row r="457">
      <c r="A457" s="12" t="n"/>
      <c r="B457">
        <f>IF($V457="","",INDEX('Per Line'!$C$2:$C$6001,$V457)&amp;"")</f>
        <v/>
      </c>
      <c r="C457" s="11">
        <f>IF($V457="","",INDEX('Per Line'!$D$2:$D$6001,$V457))</f>
        <v/>
      </c>
      <c r="D457">
        <f>IF($V457="","",INDEX('Per Line'!$E$2:$E$6001,$V457)&amp;"")</f>
        <v/>
      </c>
      <c r="E457">
        <f>IF($V457="","",INDEX('Per Line'!$G$2:$G$6001,$V457)&amp;"")</f>
        <v/>
      </c>
      <c r="F457">
        <f>IF($V457="","",INDEX('Per Line'!$H$2:$H$6001,$V457)&amp;"")</f>
        <v/>
      </c>
      <c r="G457">
        <f>IF($V457="","",INDEX('Per Line'!$I$2:$I$6001,$V457)&amp;"")</f>
        <v/>
      </c>
      <c r="H457">
        <f>IF($V457="","",INDEX('Per Line'!$J$2:$J$6001,$V457))</f>
        <v/>
      </c>
      <c r="I457" s="7">
        <f>IF($V457="","",H457*S457/100)</f>
        <v/>
      </c>
      <c r="J457">
        <f>IF($V457="","",INDEX('Per Line'!$S$2:$S$6001,$V457)&amp;"")</f>
        <v/>
      </c>
      <c r="K457" s="7">
        <f>IF($V457="","",SUMIFS('Per Line'!$R$2:$R$6001,'Per Line'!$C$2:$C$6001,$B457,'Per Line'!$AJ$2:$AJ$6001,1))</f>
        <v/>
      </c>
      <c r="L457">
        <f>IF($V457="","",Settings!$C$7)</f>
        <v/>
      </c>
      <c r="M457" s="7">
        <f>IF($V457="","",SUMIFS('Per Line'!$R$2:$R$6001,'Per Line'!$C$2:$C$6001,$B457,'Per Line'!$AI$2:$AI$6001,0,'Per Line'!$AJ$2:$AJ$6001,0))</f>
        <v/>
      </c>
      <c r="N457" s="7">
        <f>IF($V457="","",M457*L457)</f>
        <v/>
      </c>
      <c r="O457">
        <f>IF($V457="","",Settings!$C$6)</f>
        <v/>
      </c>
      <c r="P457" s="7">
        <f>IF($V457="","",SUMIFS('Per Line'!$R$2:$R$6001,'Per Line'!$C$2:$C$6001,$B457,'Per Line'!$AI$2:$AI$6001,1,'Per Line'!$AJ$2:$AJ$6001,0))</f>
        <v/>
      </c>
      <c r="Q457" s="7">
        <f>IF($V457="","",P457*O457)</f>
        <v/>
      </c>
      <c r="R457" s="7">
        <f>IF($V457="","",Q457+N457)</f>
        <v/>
      </c>
      <c r="S457" s="7">
        <f>IF($V457="","",T457-R457)</f>
        <v/>
      </c>
      <c r="T457" s="7">
        <f>IF($V457="","",M457+P457+K457)</f>
        <v/>
      </c>
      <c r="U457" s="7">
        <f>IF($V457="","",T457-R457-I457)</f>
        <v/>
      </c>
      <c r="V457" s="13">
        <f>IF(ROWS($V$2:$V457)&lt;=MAX('Per Line'!$AH$2:$AH$6001),MATCH(ROWS($V$2:$V457),'Per Line'!$AH$2:$AH$6001,0),"")</f>
        <v/>
      </c>
    </row>
    <row r="458">
      <c r="A458" s="12" t="n"/>
      <c r="B458">
        <f>IF($V458="","",INDEX('Per Line'!$C$2:$C$6001,$V458)&amp;"")</f>
        <v/>
      </c>
      <c r="C458" s="11">
        <f>IF($V458="","",INDEX('Per Line'!$D$2:$D$6001,$V458))</f>
        <v/>
      </c>
      <c r="D458">
        <f>IF($V458="","",INDEX('Per Line'!$E$2:$E$6001,$V458)&amp;"")</f>
        <v/>
      </c>
      <c r="E458">
        <f>IF($V458="","",INDEX('Per Line'!$G$2:$G$6001,$V458)&amp;"")</f>
        <v/>
      </c>
      <c r="F458">
        <f>IF($V458="","",INDEX('Per Line'!$H$2:$H$6001,$V458)&amp;"")</f>
        <v/>
      </c>
      <c r="G458">
        <f>IF($V458="","",INDEX('Per Line'!$I$2:$I$6001,$V458)&amp;"")</f>
        <v/>
      </c>
      <c r="H458">
        <f>IF($V458="","",INDEX('Per Line'!$J$2:$J$6001,$V458))</f>
        <v/>
      </c>
      <c r="I458" s="7">
        <f>IF($V458="","",H458*S458/100)</f>
        <v/>
      </c>
      <c r="J458">
        <f>IF($V458="","",INDEX('Per Line'!$S$2:$S$6001,$V458)&amp;"")</f>
        <v/>
      </c>
      <c r="K458" s="7">
        <f>IF($V458="","",SUMIFS('Per Line'!$R$2:$R$6001,'Per Line'!$C$2:$C$6001,$B458,'Per Line'!$AJ$2:$AJ$6001,1))</f>
        <v/>
      </c>
      <c r="L458">
        <f>IF($V458="","",Settings!$C$7)</f>
        <v/>
      </c>
      <c r="M458" s="7">
        <f>IF($V458="","",SUMIFS('Per Line'!$R$2:$R$6001,'Per Line'!$C$2:$C$6001,$B458,'Per Line'!$AI$2:$AI$6001,0,'Per Line'!$AJ$2:$AJ$6001,0))</f>
        <v/>
      </c>
      <c r="N458" s="7">
        <f>IF($V458="","",M458*L458)</f>
        <v/>
      </c>
      <c r="O458">
        <f>IF($V458="","",Settings!$C$6)</f>
        <v/>
      </c>
      <c r="P458" s="7">
        <f>IF($V458="","",SUMIFS('Per Line'!$R$2:$R$6001,'Per Line'!$C$2:$C$6001,$B458,'Per Line'!$AI$2:$AI$6001,1,'Per Line'!$AJ$2:$AJ$6001,0))</f>
        <v/>
      </c>
      <c r="Q458" s="7">
        <f>IF($V458="","",P458*O458)</f>
        <v/>
      </c>
      <c r="R458" s="7">
        <f>IF($V458="","",Q458+N458)</f>
        <v/>
      </c>
      <c r="S458" s="7">
        <f>IF($V458="","",T458-R458)</f>
        <v/>
      </c>
      <c r="T458" s="7">
        <f>IF($V458="","",M458+P458+K458)</f>
        <v/>
      </c>
      <c r="U458" s="7">
        <f>IF($V458="","",T458-R458-I458)</f>
        <v/>
      </c>
      <c r="V458" s="13">
        <f>IF(ROWS($V$2:$V458)&lt;=MAX('Per Line'!$AH$2:$AH$6001),MATCH(ROWS($V$2:$V458),'Per Line'!$AH$2:$AH$6001,0),"")</f>
        <v/>
      </c>
    </row>
    <row r="459">
      <c r="A459" s="12" t="n"/>
      <c r="B459">
        <f>IF($V459="","",INDEX('Per Line'!$C$2:$C$6001,$V459)&amp;"")</f>
        <v/>
      </c>
      <c r="C459" s="11">
        <f>IF($V459="","",INDEX('Per Line'!$D$2:$D$6001,$V459))</f>
        <v/>
      </c>
      <c r="D459">
        <f>IF($V459="","",INDEX('Per Line'!$E$2:$E$6001,$V459)&amp;"")</f>
        <v/>
      </c>
      <c r="E459">
        <f>IF($V459="","",INDEX('Per Line'!$G$2:$G$6001,$V459)&amp;"")</f>
        <v/>
      </c>
      <c r="F459">
        <f>IF($V459="","",INDEX('Per Line'!$H$2:$H$6001,$V459)&amp;"")</f>
        <v/>
      </c>
      <c r="G459">
        <f>IF($V459="","",INDEX('Per Line'!$I$2:$I$6001,$V459)&amp;"")</f>
        <v/>
      </c>
      <c r="H459">
        <f>IF($V459="","",INDEX('Per Line'!$J$2:$J$6001,$V459))</f>
        <v/>
      </c>
      <c r="I459" s="7">
        <f>IF($V459="","",H459*S459/100)</f>
        <v/>
      </c>
      <c r="J459">
        <f>IF($V459="","",INDEX('Per Line'!$S$2:$S$6001,$V459)&amp;"")</f>
        <v/>
      </c>
      <c r="K459" s="7">
        <f>IF($V459="","",SUMIFS('Per Line'!$R$2:$R$6001,'Per Line'!$C$2:$C$6001,$B459,'Per Line'!$AJ$2:$AJ$6001,1))</f>
        <v/>
      </c>
      <c r="L459">
        <f>IF($V459="","",Settings!$C$7)</f>
        <v/>
      </c>
      <c r="M459" s="7">
        <f>IF($V459="","",SUMIFS('Per Line'!$R$2:$R$6001,'Per Line'!$C$2:$C$6001,$B459,'Per Line'!$AI$2:$AI$6001,0,'Per Line'!$AJ$2:$AJ$6001,0))</f>
        <v/>
      </c>
      <c r="N459" s="7">
        <f>IF($V459="","",M459*L459)</f>
        <v/>
      </c>
      <c r="O459">
        <f>IF($V459="","",Settings!$C$6)</f>
        <v/>
      </c>
      <c r="P459" s="7">
        <f>IF($V459="","",SUMIFS('Per Line'!$R$2:$R$6001,'Per Line'!$C$2:$C$6001,$B459,'Per Line'!$AI$2:$AI$6001,1,'Per Line'!$AJ$2:$AJ$6001,0))</f>
        <v/>
      </c>
      <c r="Q459" s="7">
        <f>IF($V459="","",P459*O459)</f>
        <v/>
      </c>
      <c r="R459" s="7">
        <f>IF($V459="","",Q459+N459)</f>
        <v/>
      </c>
      <c r="S459" s="7">
        <f>IF($V459="","",T459-R459)</f>
        <v/>
      </c>
      <c r="T459" s="7">
        <f>IF($V459="","",M459+P459+K459)</f>
        <v/>
      </c>
      <c r="U459" s="7">
        <f>IF($V459="","",T459-R459-I459)</f>
        <v/>
      </c>
      <c r="V459" s="13">
        <f>IF(ROWS($V$2:$V459)&lt;=MAX('Per Line'!$AH$2:$AH$6001),MATCH(ROWS($V$2:$V459),'Per Line'!$AH$2:$AH$6001,0),"")</f>
        <v/>
      </c>
    </row>
    <row r="460">
      <c r="A460" s="12" t="n"/>
      <c r="B460">
        <f>IF($V460="","",INDEX('Per Line'!$C$2:$C$6001,$V460)&amp;"")</f>
        <v/>
      </c>
      <c r="C460" s="11">
        <f>IF($V460="","",INDEX('Per Line'!$D$2:$D$6001,$V460))</f>
        <v/>
      </c>
      <c r="D460">
        <f>IF($V460="","",INDEX('Per Line'!$E$2:$E$6001,$V460)&amp;"")</f>
        <v/>
      </c>
      <c r="E460">
        <f>IF($V460="","",INDEX('Per Line'!$G$2:$G$6001,$V460)&amp;"")</f>
        <v/>
      </c>
      <c r="F460">
        <f>IF($V460="","",INDEX('Per Line'!$H$2:$H$6001,$V460)&amp;"")</f>
        <v/>
      </c>
      <c r="G460">
        <f>IF($V460="","",INDEX('Per Line'!$I$2:$I$6001,$V460)&amp;"")</f>
        <v/>
      </c>
      <c r="H460">
        <f>IF($V460="","",INDEX('Per Line'!$J$2:$J$6001,$V460))</f>
        <v/>
      </c>
      <c r="I460" s="7">
        <f>IF($V460="","",H460*S460/100)</f>
        <v/>
      </c>
      <c r="J460">
        <f>IF($V460="","",INDEX('Per Line'!$S$2:$S$6001,$V460)&amp;"")</f>
        <v/>
      </c>
      <c r="K460" s="7">
        <f>IF($V460="","",SUMIFS('Per Line'!$R$2:$R$6001,'Per Line'!$C$2:$C$6001,$B460,'Per Line'!$AJ$2:$AJ$6001,1))</f>
        <v/>
      </c>
      <c r="L460">
        <f>IF($V460="","",Settings!$C$7)</f>
        <v/>
      </c>
      <c r="M460" s="7">
        <f>IF($V460="","",SUMIFS('Per Line'!$R$2:$R$6001,'Per Line'!$C$2:$C$6001,$B460,'Per Line'!$AI$2:$AI$6001,0,'Per Line'!$AJ$2:$AJ$6001,0))</f>
        <v/>
      </c>
      <c r="N460" s="7">
        <f>IF($V460="","",M460*L460)</f>
        <v/>
      </c>
      <c r="O460">
        <f>IF($V460="","",Settings!$C$6)</f>
        <v/>
      </c>
      <c r="P460" s="7">
        <f>IF($V460="","",SUMIFS('Per Line'!$R$2:$R$6001,'Per Line'!$C$2:$C$6001,$B460,'Per Line'!$AI$2:$AI$6001,1,'Per Line'!$AJ$2:$AJ$6001,0))</f>
        <v/>
      </c>
      <c r="Q460" s="7">
        <f>IF($V460="","",P460*O460)</f>
        <v/>
      </c>
      <c r="R460" s="7">
        <f>IF($V460="","",Q460+N460)</f>
        <v/>
      </c>
      <c r="S460" s="7">
        <f>IF($V460="","",T460-R460)</f>
        <v/>
      </c>
      <c r="T460" s="7">
        <f>IF($V460="","",M460+P460+K460)</f>
        <v/>
      </c>
      <c r="U460" s="7">
        <f>IF($V460="","",T460-R460-I460)</f>
        <v/>
      </c>
      <c r="V460" s="13">
        <f>IF(ROWS($V$2:$V460)&lt;=MAX('Per Line'!$AH$2:$AH$6001),MATCH(ROWS($V$2:$V460),'Per Line'!$AH$2:$AH$6001,0),"")</f>
        <v/>
      </c>
    </row>
    <row r="461">
      <c r="A461" s="12" t="n"/>
      <c r="B461">
        <f>IF($V461="","",INDEX('Per Line'!$C$2:$C$6001,$V461)&amp;"")</f>
        <v/>
      </c>
      <c r="C461" s="11">
        <f>IF($V461="","",INDEX('Per Line'!$D$2:$D$6001,$V461))</f>
        <v/>
      </c>
      <c r="D461">
        <f>IF($V461="","",INDEX('Per Line'!$E$2:$E$6001,$V461)&amp;"")</f>
        <v/>
      </c>
      <c r="E461">
        <f>IF($V461="","",INDEX('Per Line'!$G$2:$G$6001,$V461)&amp;"")</f>
        <v/>
      </c>
      <c r="F461">
        <f>IF($V461="","",INDEX('Per Line'!$H$2:$H$6001,$V461)&amp;"")</f>
        <v/>
      </c>
      <c r="G461">
        <f>IF($V461="","",INDEX('Per Line'!$I$2:$I$6001,$V461)&amp;"")</f>
        <v/>
      </c>
      <c r="H461">
        <f>IF($V461="","",INDEX('Per Line'!$J$2:$J$6001,$V461))</f>
        <v/>
      </c>
      <c r="I461" s="7">
        <f>IF($V461="","",H461*S461/100)</f>
        <v/>
      </c>
      <c r="J461">
        <f>IF($V461="","",INDEX('Per Line'!$S$2:$S$6001,$V461)&amp;"")</f>
        <v/>
      </c>
      <c r="K461" s="7">
        <f>IF($V461="","",SUMIFS('Per Line'!$R$2:$R$6001,'Per Line'!$C$2:$C$6001,$B461,'Per Line'!$AJ$2:$AJ$6001,1))</f>
        <v/>
      </c>
      <c r="L461">
        <f>IF($V461="","",Settings!$C$7)</f>
        <v/>
      </c>
      <c r="M461" s="7">
        <f>IF($V461="","",SUMIFS('Per Line'!$R$2:$R$6001,'Per Line'!$C$2:$C$6001,$B461,'Per Line'!$AI$2:$AI$6001,0,'Per Line'!$AJ$2:$AJ$6001,0))</f>
        <v/>
      </c>
      <c r="N461" s="7">
        <f>IF($V461="","",M461*L461)</f>
        <v/>
      </c>
      <c r="O461">
        <f>IF($V461="","",Settings!$C$6)</f>
        <v/>
      </c>
      <c r="P461" s="7">
        <f>IF($V461="","",SUMIFS('Per Line'!$R$2:$R$6001,'Per Line'!$C$2:$C$6001,$B461,'Per Line'!$AI$2:$AI$6001,1,'Per Line'!$AJ$2:$AJ$6001,0))</f>
        <v/>
      </c>
      <c r="Q461" s="7">
        <f>IF($V461="","",P461*O461)</f>
        <v/>
      </c>
      <c r="R461" s="7">
        <f>IF($V461="","",Q461+N461)</f>
        <v/>
      </c>
      <c r="S461" s="7">
        <f>IF($V461="","",T461-R461)</f>
        <v/>
      </c>
      <c r="T461" s="7">
        <f>IF($V461="","",M461+P461+K461)</f>
        <v/>
      </c>
      <c r="U461" s="7">
        <f>IF($V461="","",T461-R461-I461)</f>
        <v/>
      </c>
      <c r="V461" s="13">
        <f>IF(ROWS($V$2:$V461)&lt;=MAX('Per Line'!$AH$2:$AH$6001),MATCH(ROWS($V$2:$V461),'Per Line'!$AH$2:$AH$6001,0),"")</f>
        <v/>
      </c>
    </row>
    <row r="462">
      <c r="A462" s="12" t="n"/>
      <c r="B462">
        <f>IF($V462="","",INDEX('Per Line'!$C$2:$C$6001,$V462)&amp;"")</f>
        <v/>
      </c>
      <c r="C462" s="11">
        <f>IF($V462="","",INDEX('Per Line'!$D$2:$D$6001,$V462))</f>
        <v/>
      </c>
      <c r="D462">
        <f>IF($V462="","",INDEX('Per Line'!$E$2:$E$6001,$V462)&amp;"")</f>
        <v/>
      </c>
      <c r="E462">
        <f>IF($V462="","",INDEX('Per Line'!$G$2:$G$6001,$V462)&amp;"")</f>
        <v/>
      </c>
      <c r="F462">
        <f>IF($V462="","",INDEX('Per Line'!$H$2:$H$6001,$V462)&amp;"")</f>
        <v/>
      </c>
      <c r="G462">
        <f>IF($V462="","",INDEX('Per Line'!$I$2:$I$6001,$V462)&amp;"")</f>
        <v/>
      </c>
      <c r="H462">
        <f>IF($V462="","",INDEX('Per Line'!$J$2:$J$6001,$V462))</f>
        <v/>
      </c>
      <c r="I462" s="7">
        <f>IF($V462="","",H462*S462/100)</f>
        <v/>
      </c>
      <c r="J462">
        <f>IF($V462="","",INDEX('Per Line'!$S$2:$S$6001,$V462)&amp;"")</f>
        <v/>
      </c>
      <c r="K462" s="7">
        <f>IF($V462="","",SUMIFS('Per Line'!$R$2:$R$6001,'Per Line'!$C$2:$C$6001,$B462,'Per Line'!$AJ$2:$AJ$6001,1))</f>
        <v/>
      </c>
      <c r="L462">
        <f>IF($V462="","",Settings!$C$7)</f>
        <v/>
      </c>
      <c r="M462" s="7">
        <f>IF($V462="","",SUMIFS('Per Line'!$R$2:$R$6001,'Per Line'!$C$2:$C$6001,$B462,'Per Line'!$AI$2:$AI$6001,0,'Per Line'!$AJ$2:$AJ$6001,0))</f>
        <v/>
      </c>
      <c r="N462" s="7">
        <f>IF($V462="","",M462*L462)</f>
        <v/>
      </c>
      <c r="O462">
        <f>IF($V462="","",Settings!$C$6)</f>
        <v/>
      </c>
      <c r="P462" s="7">
        <f>IF($V462="","",SUMIFS('Per Line'!$R$2:$R$6001,'Per Line'!$C$2:$C$6001,$B462,'Per Line'!$AI$2:$AI$6001,1,'Per Line'!$AJ$2:$AJ$6001,0))</f>
        <v/>
      </c>
      <c r="Q462" s="7">
        <f>IF($V462="","",P462*O462)</f>
        <v/>
      </c>
      <c r="R462" s="7">
        <f>IF($V462="","",Q462+N462)</f>
        <v/>
      </c>
      <c r="S462" s="7">
        <f>IF($V462="","",T462-R462)</f>
        <v/>
      </c>
      <c r="T462" s="7">
        <f>IF($V462="","",M462+P462+K462)</f>
        <v/>
      </c>
      <c r="U462" s="7">
        <f>IF($V462="","",T462-R462-I462)</f>
        <v/>
      </c>
      <c r="V462" s="13">
        <f>IF(ROWS($V$2:$V462)&lt;=MAX('Per Line'!$AH$2:$AH$6001),MATCH(ROWS($V$2:$V462),'Per Line'!$AH$2:$AH$6001,0),"")</f>
        <v/>
      </c>
    </row>
    <row r="463">
      <c r="A463" s="12" t="n"/>
      <c r="B463">
        <f>IF($V463="","",INDEX('Per Line'!$C$2:$C$6001,$V463)&amp;"")</f>
        <v/>
      </c>
      <c r="C463" s="11">
        <f>IF($V463="","",INDEX('Per Line'!$D$2:$D$6001,$V463))</f>
        <v/>
      </c>
      <c r="D463">
        <f>IF($V463="","",INDEX('Per Line'!$E$2:$E$6001,$V463)&amp;"")</f>
        <v/>
      </c>
      <c r="E463">
        <f>IF($V463="","",INDEX('Per Line'!$G$2:$G$6001,$V463)&amp;"")</f>
        <v/>
      </c>
      <c r="F463">
        <f>IF($V463="","",INDEX('Per Line'!$H$2:$H$6001,$V463)&amp;"")</f>
        <v/>
      </c>
      <c r="G463">
        <f>IF($V463="","",INDEX('Per Line'!$I$2:$I$6001,$V463)&amp;"")</f>
        <v/>
      </c>
      <c r="H463">
        <f>IF($V463="","",INDEX('Per Line'!$J$2:$J$6001,$V463))</f>
        <v/>
      </c>
      <c r="I463" s="7">
        <f>IF($V463="","",H463*S463/100)</f>
        <v/>
      </c>
      <c r="J463">
        <f>IF($V463="","",INDEX('Per Line'!$S$2:$S$6001,$V463)&amp;"")</f>
        <v/>
      </c>
      <c r="K463" s="7">
        <f>IF($V463="","",SUMIFS('Per Line'!$R$2:$R$6001,'Per Line'!$C$2:$C$6001,$B463,'Per Line'!$AJ$2:$AJ$6001,1))</f>
        <v/>
      </c>
      <c r="L463">
        <f>IF($V463="","",Settings!$C$7)</f>
        <v/>
      </c>
      <c r="M463" s="7">
        <f>IF($V463="","",SUMIFS('Per Line'!$R$2:$R$6001,'Per Line'!$C$2:$C$6001,$B463,'Per Line'!$AI$2:$AI$6001,0,'Per Line'!$AJ$2:$AJ$6001,0))</f>
        <v/>
      </c>
      <c r="N463" s="7">
        <f>IF($V463="","",M463*L463)</f>
        <v/>
      </c>
      <c r="O463">
        <f>IF($V463="","",Settings!$C$6)</f>
        <v/>
      </c>
      <c r="P463" s="7">
        <f>IF($V463="","",SUMIFS('Per Line'!$R$2:$R$6001,'Per Line'!$C$2:$C$6001,$B463,'Per Line'!$AI$2:$AI$6001,1,'Per Line'!$AJ$2:$AJ$6001,0))</f>
        <v/>
      </c>
      <c r="Q463" s="7">
        <f>IF($V463="","",P463*O463)</f>
        <v/>
      </c>
      <c r="R463" s="7">
        <f>IF($V463="","",Q463+N463)</f>
        <v/>
      </c>
      <c r="S463" s="7">
        <f>IF($V463="","",T463-R463)</f>
        <v/>
      </c>
      <c r="T463" s="7">
        <f>IF($V463="","",M463+P463+K463)</f>
        <v/>
      </c>
      <c r="U463" s="7">
        <f>IF($V463="","",T463-R463-I463)</f>
        <v/>
      </c>
      <c r="V463" s="13">
        <f>IF(ROWS($V$2:$V463)&lt;=MAX('Per Line'!$AH$2:$AH$6001),MATCH(ROWS($V$2:$V463),'Per Line'!$AH$2:$AH$6001,0),"")</f>
        <v/>
      </c>
    </row>
    <row r="464">
      <c r="A464" s="12" t="n"/>
      <c r="B464">
        <f>IF($V464="","",INDEX('Per Line'!$C$2:$C$6001,$V464)&amp;"")</f>
        <v/>
      </c>
      <c r="C464" s="11">
        <f>IF($V464="","",INDEX('Per Line'!$D$2:$D$6001,$V464))</f>
        <v/>
      </c>
      <c r="D464">
        <f>IF($V464="","",INDEX('Per Line'!$E$2:$E$6001,$V464)&amp;"")</f>
        <v/>
      </c>
      <c r="E464">
        <f>IF($V464="","",INDEX('Per Line'!$G$2:$G$6001,$V464)&amp;"")</f>
        <v/>
      </c>
      <c r="F464">
        <f>IF($V464="","",INDEX('Per Line'!$H$2:$H$6001,$V464)&amp;"")</f>
        <v/>
      </c>
      <c r="G464">
        <f>IF($V464="","",INDEX('Per Line'!$I$2:$I$6001,$V464)&amp;"")</f>
        <v/>
      </c>
      <c r="H464">
        <f>IF($V464="","",INDEX('Per Line'!$J$2:$J$6001,$V464))</f>
        <v/>
      </c>
      <c r="I464" s="7">
        <f>IF($V464="","",H464*S464/100)</f>
        <v/>
      </c>
      <c r="J464">
        <f>IF($V464="","",INDEX('Per Line'!$S$2:$S$6001,$V464)&amp;"")</f>
        <v/>
      </c>
      <c r="K464" s="7">
        <f>IF($V464="","",SUMIFS('Per Line'!$R$2:$R$6001,'Per Line'!$C$2:$C$6001,$B464,'Per Line'!$AJ$2:$AJ$6001,1))</f>
        <v/>
      </c>
      <c r="L464">
        <f>IF($V464="","",Settings!$C$7)</f>
        <v/>
      </c>
      <c r="M464" s="7">
        <f>IF($V464="","",SUMIFS('Per Line'!$R$2:$R$6001,'Per Line'!$C$2:$C$6001,$B464,'Per Line'!$AI$2:$AI$6001,0,'Per Line'!$AJ$2:$AJ$6001,0))</f>
        <v/>
      </c>
      <c r="N464" s="7">
        <f>IF($V464="","",M464*L464)</f>
        <v/>
      </c>
      <c r="O464">
        <f>IF($V464="","",Settings!$C$6)</f>
        <v/>
      </c>
      <c r="P464" s="7">
        <f>IF($V464="","",SUMIFS('Per Line'!$R$2:$R$6001,'Per Line'!$C$2:$C$6001,$B464,'Per Line'!$AI$2:$AI$6001,1,'Per Line'!$AJ$2:$AJ$6001,0))</f>
        <v/>
      </c>
      <c r="Q464" s="7">
        <f>IF($V464="","",P464*O464)</f>
        <v/>
      </c>
      <c r="R464" s="7">
        <f>IF($V464="","",Q464+N464)</f>
        <v/>
      </c>
      <c r="S464" s="7">
        <f>IF($V464="","",T464-R464)</f>
        <v/>
      </c>
      <c r="T464" s="7">
        <f>IF($V464="","",M464+P464+K464)</f>
        <v/>
      </c>
      <c r="U464" s="7">
        <f>IF($V464="","",T464-R464-I464)</f>
        <v/>
      </c>
      <c r="V464" s="13">
        <f>IF(ROWS($V$2:$V464)&lt;=MAX('Per Line'!$AH$2:$AH$6001),MATCH(ROWS($V$2:$V464),'Per Line'!$AH$2:$AH$6001,0),"")</f>
        <v/>
      </c>
    </row>
    <row r="465">
      <c r="A465" s="12" t="n"/>
      <c r="B465">
        <f>IF($V465="","",INDEX('Per Line'!$C$2:$C$6001,$V465)&amp;"")</f>
        <v/>
      </c>
      <c r="C465" s="11">
        <f>IF($V465="","",INDEX('Per Line'!$D$2:$D$6001,$V465))</f>
        <v/>
      </c>
      <c r="D465">
        <f>IF($V465="","",INDEX('Per Line'!$E$2:$E$6001,$V465)&amp;"")</f>
        <v/>
      </c>
      <c r="E465">
        <f>IF($V465="","",INDEX('Per Line'!$G$2:$G$6001,$V465)&amp;"")</f>
        <v/>
      </c>
      <c r="F465">
        <f>IF($V465="","",INDEX('Per Line'!$H$2:$H$6001,$V465)&amp;"")</f>
        <v/>
      </c>
      <c r="G465">
        <f>IF($V465="","",INDEX('Per Line'!$I$2:$I$6001,$V465)&amp;"")</f>
        <v/>
      </c>
      <c r="H465">
        <f>IF($V465="","",INDEX('Per Line'!$J$2:$J$6001,$V465))</f>
        <v/>
      </c>
      <c r="I465" s="7">
        <f>IF($V465="","",H465*S465/100)</f>
        <v/>
      </c>
      <c r="J465">
        <f>IF($V465="","",INDEX('Per Line'!$S$2:$S$6001,$V465)&amp;"")</f>
        <v/>
      </c>
      <c r="K465" s="7">
        <f>IF($V465="","",SUMIFS('Per Line'!$R$2:$R$6001,'Per Line'!$C$2:$C$6001,$B465,'Per Line'!$AJ$2:$AJ$6001,1))</f>
        <v/>
      </c>
      <c r="L465">
        <f>IF($V465="","",Settings!$C$7)</f>
        <v/>
      </c>
      <c r="M465" s="7">
        <f>IF($V465="","",SUMIFS('Per Line'!$R$2:$R$6001,'Per Line'!$C$2:$C$6001,$B465,'Per Line'!$AI$2:$AI$6001,0,'Per Line'!$AJ$2:$AJ$6001,0))</f>
        <v/>
      </c>
      <c r="N465" s="7">
        <f>IF($V465="","",M465*L465)</f>
        <v/>
      </c>
      <c r="O465">
        <f>IF($V465="","",Settings!$C$6)</f>
        <v/>
      </c>
      <c r="P465" s="7">
        <f>IF($V465="","",SUMIFS('Per Line'!$R$2:$R$6001,'Per Line'!$C$2:$C$6001,$B465,'Per Line'!$AI$2:$AI$6001,1,'Per Line'!$AJ$2:$AJ$6001,0))</f>
        <v/>
      </c>
      <c r="Q465" s="7">
        <f>IF($V465="","",P465*O465)</f>
        <v/>
      </c>
      <c r="R465" s="7">
        <f>IF($V465="","",Q465+N465)</f>
        <v/>
      </c>
      <c r="S465" s="7">
        <f>IF($V465="","",T465-R465)</f>
        <v/>
      </c>
      <c r="T465" s="7">
        <f>IF($V465="","",M465+P465+K465)</f>
        <v/>
      </c>
      <c r="U465" s="7">
        <f>IF($V465="","",T465-R465-I465)</f>
        <v/>
      </c>
      <c r="V465" s="13">
        <f>IF(ROWS($V$2:$V465)&lt;=MAX('Per Line'!$AH$2:$AH$6001),MATCH(ROWS($V$2:$V465),'Per Line'!$AH$2:$AH$6001,0),"")</f>
        <v/>
      </c>
    </row>
    <row r="466">
      <c r="A466" s="12" t="n"/>
      <c r="B466">
        <f>IF($V466="","",INDEX('Per Line'!$C$2:$C$6001,$V466)&amp;"")</f>
        <v/>
      </c>
      <c r="C466" s="11">
        <f>IF($V466="","",INDEX('Per Line'!$D$2:$D$6001,$V466))</f>
        <v/>
      </c>
      <c r="D466">
        <f>IF($V466="","",INDEX('Per Line'!$E$2:$E$6001,$V466)&amp;"")</f>
        <v/>
      </c>
      <c r="E466">
        <f>IF($V466="","",INDEX('Per Line'!$G$2:$G$6001,$V466)&amp;"")</f>
        <v/>
      </c>
      <c r="F466">
        <f>IF($V466="","",INDEX('Per Line'!$H$2:$H$6001,$V466)&amp;"")</f>
        <v/>
      </c>
      <c r="G466">
        <f>IF($V466="","",INDEX('Per Line'!$I$2:$I$6001,$V466)&amp;"")</f>
        <v/>
      </c>
      <c r="H466">
        <f>IF($V466="","",INDEX('Per Line'!$J$2:$J$6001,$V466))</f>
        <v/>
      </c>
      <c r="I466" s="7">
        <f>IF($V466="","",H466*S466/100)</f>
        <v/>
      </c>
      <c r="J466">
        <f>IF($V466="","",INDEX('Per Line'!$S$2:$S$6001,$V466)&amp;"")</f>
        <v/>
      </c>
      <c r="K466" s="7">
        <f>IF($V466="","",SUMIFS('Per Line'!$R$2:$R$6001,'Per Line'!$C$2:$C$6001,$B466,'Per Line'!$AJ$2:$AJ$6001,1))</f>
        <v/>
      </c>
      <c r="L466">
        <f>IF($V466="","",Settings!$C$7)</f>
        <v/>
      </c>
      <c r="M466" s="7">
        <f>IF($V466="","",SUMIFS('Per Line'!$R$2:$R$6001,'Per Line'!$C$2:$C$6001,$B466,'Per Line'!$AI$2:$AI$6001,0,'Per Line'!$AJ$2:$AJ$6001,0))</f>
        <v/>
      </c>
      <c r="N466" s="7">
        <f>IF($V466="","",M466*L466)</f>
        <v/>
      </c>
      <c r="O466">
        <f>IF($V466="","",Settings!$C$6)</f>
        <v/>
      </c>
      <c r="P466" s="7">
        <f>IF($V466="","",SUMIFS('Per Line'!$R$2:$R$6001,'Per Line'!$C$2:$C$6001,$B466,'Per Line'!$AI$2:$AI$6001,1,'Per Line'!$AJ$2:$AJ$6001,0))</f>
        <v/>
      </c>
      <c r="Q466" s="7">
        <f>IF($V466="","",P466*O466)</f>
        <v/>
      </c>
      <c r="R466" s="7">
        <f>IF($V466="","",Q466+N466)</f>
        <v/>
      </c>
      <c r="S466" s="7">
        <f>IF($V466="","",T466-R466)</f>
        <v/>
      </c>
      <c r="T466" s="7">
        <f>IF($V466="","",M466+P466+K466)</f>
        <v/>
      </c>
      <c r="U466" s="7">
        <f>IF($V466="","",T466-R466-I466)</f>
        <v/>
      </c>
      <c r="V466" s="13">
        <f>IF(ROWS($V$2:$V466)&lt;=MAX('Per Line'!$AH$2:$AH$6001),MATCH(ROWS($V$2:$V466),'Per Line'!$AH$2:$AH$6001,0),"")</f>
        <v/>
      </c>
    </row>
    <row r="467">
      <c r="A467" s="12" t="n"/>
      <c r="B467">
        <f>IF($V467="","",INDEX('Per Line'!$C$2:$C$6001,$V467)&amp;"")</f>
        <v/>
      </c>
      <c r="C467" s="11">
        <f>IF($V467="","",INDEX('Per Line'!$D$2:$D$6001,$V467))</f>
        <v/>
      </c>
      <c r="D467">
        <f>IF($V467="","",INDEX('Per Line'!$E$2:$E$6001,$V467)&amp;"")</f>
        <v/>
      </c>
      <c r="E467">
        <f>IF($V467="","",INDEX('Per Line'!$G$2:$G$6001,$V467)&amp;"")</f>
        <v/>
      </c>
      <c r="F467">
        <f>IF($V467="","",INDEX('Per Line'!$H$2:$H$6001,$V467)&amp;"")</f>
        <v/>
      </c>
      <c r="G467">
        <f>IF($V467="","",INDEX('Per Line'!$I$2:$I$6001,$V467)&amp;"")</f>
        <v/>
      </c>
      <c r="H467">
        <f>IF($V467="","",INDEX('Per Line'!$J$2:$J$6001,$V467))</f>
        <v/>
      </c>
      <c r="I467" s="7">
        <f>IF($V467="","",H467*S467/100)</f>
        <v/>
      </c>
      <c r="J467">
        <f>IF($V467="","",INDEX('Per Line'!$S$2:$S$6001,$V467)&amp;"")</f>
        <v/>
      </c>
      <c r="K467" s="7">
        <f>IF($V467="","",SUMIFS('Per Line'!$R$2:$R$6001,'Per Line'!$C$2:$C$6001,$B467,'Per Line'!$AJ$2:$AJ$6001,1))</f>
        <v/>
      </c>
      <c r="L467">
        <f>IF($V467="","",Settings!$C$7)</f>
        <v/>
      </c>
      <c r="M467" s="7">
        <f>IF($V467="","",SUMIFS('Per Line'!$R$2:$R$6001,'Per Line'!$C$2:$C$6001,$B467,'Per Line'!$AI$2:$AI$6001,0,'Per Line'!$AJ$2:$AJ$6001,0))</f>
        <v/>
      </c>
      <c r="N467" s="7">
        <f>IF($V467="","",M467*L467)</f>
        <v/>
      </c>
      <c r="O467">
        <f>IF($V467="","",Settings!$C$6)</f>
        <v/>
      </c>
      <c r="P467" s="7">
        <f>IF($V467="","",SUMIFS('Per Line'!$R$2:$R$6001,'Per Line'!$C$2:$C$6001,$B467,'Per Line'!$AI$2:$AI$6001,1,'Per Line'!$AJ$2:$AJ$6001,0))</f>
        <v/>
      </c>
      <c r="Q467" s="7">
        <f>IF($V467="","",P467*O467)</f>
        <v/>
      </c>
      <c r="R467" s="7">
        <f>IF($V467="","",Q467+N467)</f>
        <v/>
      </c>
      <c r="S467" s="7">
        <f>IF($V467="","",T467-R467)</f>
        <v/>
      </c>
      <c r="T467" s="7">
        <f>IF($V467="","",M467+P467+K467)</f>
        <v/>
      </c>
      <c r="U467" s="7">
        <f>IF($V467="","",T467-R467-I467)</f>
        <v/>
      </c>
      <c r="V467" s="13">
        <f>IF(ROWS($V$2:$V467)&lt;=MAX('Per Line'!$AH$2:$AH$6001),MATCH(ROWS($V$2:$V467),'Per Line'!$AH$2:$AH$6001,0),"")</f>
        <v/>
      </c>
    </row>
    <row r="468">
      <c r="A468" s="12" t="n"/>
      <c r="B468">
        <f>IF($V468="","",INDEX('Per Line'!$C$2:$C$6001,$V468)&amp;"")</f>
        <v/>
      </c>
      <c r="C468" s="11">
        <f>IF($V468="","",INDEX('Per Line'!$D$2:$D$6001,$V468))</f>
        <v/>
      </c>
      <c r="D468">
        <f>IF($V468="","",INDEX('Per Line'!$E$2:$E$6001,$V468)&amp;"")</f>
        <v/>
      </c>
      <c r="E468">
        <f>IF($V468="","",INDEX('Per Line'!$G$2:$G$6001,$V468)&amp;"")</f>
        <v/>
      </c>
      <c r="F468">
        <f>IF($V468="","",INDEX('Per Line'!$H$2:$H$6001,$V468)&amp;"")</f>
        <v/>
      </c>
      <c r="G468">
        <f>IF($V468="","",INDEX('Per Line'!$I$2:$I$6001,$V468)&amp;"")</f>
        <v/>
      </c>
      <c r="H468">
        <f>IF($V468="","",INDEX('Per Line'!$J$2:$J$6001,$V468))</f>
        <v/>
      </c>
      <c r="I468" s="7">
        <f>IF($V468="","",H468*S468/100)</f>
        <v/>
      </c>
      <c r="J468">
        <f>IF($V468="","",INDEX('Per Line'!$S$2:$S$6001,$V468)&amp;"")</f>
        <v/>
      </c>
      <c r="K468" s="7">
        <f>IF($V468="","",SUMIFS('Per Line'!$R$2:$R$6001,'Per Line'!$C$2:$C$6001,$B468,'Per Line'!$AJ$2:$AJ$6001,1))</f>
        <v/>
      </c>
      <c r="L468">
        <f>IF($V468="","",Settings!$C$7)</f>
        <v/>
      </c>
      <c r="M468" s="7">
        <f>IF($V468="","",SUMIFS('Per Line'!$R$2:$R$6001,'Per Line'!$C$2:$C$6001,$B468,'Per Line'!$AI$2:$AI$6001,0,'Per Line'!$AJ$2:$AJ$6001,0))</f>
        <v/>
      </c>
      <c r="N468" s="7">
        <f>IF($V468="","",M468*L468)</f>
        <v/>
      </c>
      <c r="O468">
        <f>IF($V468="","",Settings!$C$6)</f>
        <v/>
      </c>
      <c r="P468" s="7">
        <f>IF($V468="","",SUMIFS('Per Line'!$R$2:$R$6001,'Per Line'!$C$2:$C$6001,$B468,'Per Line'!$AI$2:$AI$6001,1,'Per Line'!$AJ$2:$AJ$6001,0))</f>
        <v/>
      </c>
      <c r="Q468" s="7">
        <f>IF($V468="","",P468*O468)</f>
        <v/>
      </c>
      <c r="R468" s="7">
        <f>IF($V468="","",Q468+N468)</f>
        <v/>
      </c>
      <c r="S468" s="7">
        <f>IF($V468="","",T468-R468)</f>
        <v/>
      </c>
      <c r="T468" s="7">
        <f>IF($V468="","",M468+P468+K468)</f>
        <v/>
      </c>
      <c r="U468" s="7">
        <f>IF($V468="","",T468-R468-I468)</f>
        <v/>
      </c>
      <c r="V468" s="13">
        <f>IF(ROWS($V$2:$V468)&lt;=MAX('Per Line'!$AH$2:$AH$6001),MATCH(ROWS($V$2:$V468),'Per Line'!$AH$2:$AH$6001,0),"")</f>
        <v/>
      </c>
    </row>
    <row r="469">
      <c r="A469" s="12" t="n"/>
      <c r="B469">
        <f>IF($V469="","",INDEX('Per Line'!$C$2:$C$6001,$V469)&amp;"")</f>
        <v/>
      </c>
      <c r="C469" s="11">
        <f>IF($V469="","",INDEX('Per Line'!$D$2:$D$6001,$V469))</f>
        <v/>
      </c>
      <c r="D469">
        <f>IF($V469="","",INDEX('Per Line'!$E$2:$E$6001,$V469)&amp;"")</f>
        <v/>
      </c>
      <c r="E469">
        <f>IF($V469="","",INDEX('Per Line'!$G$2:$G$6001,$V469)&amp;"")</f>
        <v/>
      </c>
      <c r="F469">
        <f>IF($V469="","",INDEX('Per Line'!$H$2:$H$6001,$V469)&amp;"")</f>
        <v/>
      </c>
      <c r="G469">
        <f>IF($V469="","",INDEX('Per Line'!$I$2:$I$6001,$V469)&amp;"")</f>
        <v/>
      </c>
      <c r="H469">
        <f>IF($V469="","",INDEX('Per Line'!$J$2:$J$6001,$V469))</f>
        <v/>
      </c>
      <c r="I469" s="7">
        <f>IF($V469="","",H469*S469/100)</f>
        <v/>
      </c>
      <c r="J469">
        <f>IF($V469="","",INDEX('Per Line'!$S$2:$S$6001,$V469)&amp;"")</f>
        <v/>
      </c>
      <c r="K469" s="7">
        <f>IF($V469="","",SUMIFS('Per Line'!$R$2:$R$6001,'Per Line'!$C$2:$C$6001,$B469,'Per Line'!$AJ$2:$AJ$6001,1))</f>
        <v/>
      </c>
      <c r="L469">
        <f>IF($V469="","",Settings!$C$7)</f>
        <v/>
      </c>
      <c r="M469" s="7">
        <f>IF($V469="","",SUMIFS('Per Line'!$R$2:$R$6001,'Per Line'!$C$2:$C$6001,$B469,'Per Line'!$AI$2:$AI$6001,0,'Per Line'!$AJ$2:$AJ$6001,0))</f>
        <v/>
      </c>
      <c r="N469" s="7">
        <f>IF($V469="","",M469*L469)</f>
        <v/>
      </c>
      <c r="O469">
        <f>IF($V469="","",Settings!$C$6)</f>
        <v/>
      </c>
      <c r="P469" s="7">
        <f>IF($V469="","",SUMIFS('Per Line'!$R$2:$R$6001,'Per Line'!$C$2:$C$6001,$B469,'Per Line'!$AI$2:$AI$6001,1,'Per Line'!$AJ$2:$AJ$6001,0))</f>
        <v/>
      </c>
      <c r="Q469" s="7">
        <f>IF($V469="","",P469*O469)</f>
        <v/>
      </c>
      <c r="R469" s="7">
        <f>IF($V469="","",Q469+N469)</f>
        <v/>
      </c>
      <c r="S469" s="7">
        <f>IF($V469="","",T469-R469)</f>
        <v/>
      </c>
      <c r="T469" s="7">
        <f>IF($V469="","",M469+P469+K469)</f>
        <v/>
      </c>
      <c r="U469" s="7">
        <f>IF($V469="","",T469-R469-I469)</f>
        <v/>
      </c>
      <c r="V469" s="13">
        <f>IF(ROWS($V$2:$V469)&lt;=MAX('Per Line'!$AH$2:$AH$6001),MATCH(ROWS($V$2:$V469),'Per Line'!$AH$2:$AH$6001,0),"")</f>
        <v/>
      </c>
    </row>
    <row r="470">
      <c r="A470" s="12" t="n"/>
      <c r="B470">
        <f>IF($V470="","",INDEX('Per Line'!$C$2:$C$6001,$V470)&amp;"")</f>
        <v/>
      </c>
      <c r="C470" s="11">
        <f>IF($V470="","",INDEX('Per Line'!$D$2:$D$6001,$V470))</f>
        <v/>
      </c>
      <c r="D470">
        <f>IF($V470="","",INDEX('Per Line'!$E$2:$E$6001,$V470)&amp;"")</f>
        <v/>
      </c>
      <c r="E470">
        <f>IF($V470="","",INDEX('Per Line'!$G$2:$G$6001,$V470)&amp;"")</f>
        <v/>
      </c>
      <c r="F470">
        <f>IF($V470="","",INDEX('Per Line'!$H$2:$H$6001,$V470)&amp;"")</f>
        <v/>
      </c>
      <c r="G470">
        <f>IF($V470="","",INDEX('Per Line'!$I$2:$I$6001,$V470)&amp;"")</f>
        <v/>
      </c>
      <c r="H470">
        <f>IF($V470="","",INDEX('Per Line'!$J$2:$J$6001,$V470))</f>
        <v/>
      </c>
      <c r="I470" s="7">
        <f>IF($V470="","",H470*S470/100)</f>
        <v/>
      </c>
      <c r="J470">
        <f>IF($V470="","",INDEX('Per Line'!$S$2:$S$6001,$V470)&amp;"")</f>
        <v/>
      </c>
      <c r="K470" s="7">
        <f>IF($V470="","",SUMIFS('Per Line'!$R$2:$R$6001,'Per Line'!$C$2:$C$6001,$B470,'Per Line'!$AJ$2:$AJ$6001,1))</f>
        <v/>
      </c>
      <c r="L470">
        <f>IF($V470="","",Settings!$C$7)</f>
        <v/>
      </c>
      <c r="M470" s="7">
        <f>IF($V470="","",SUMIFS('Per Line'!$R$2:$R$6001,'Per Line'!$C$2:$C$6001,$B470,'Per Line'!$AI$2:$AI$6001,0,'Per Line'!$AJ$2:$AJ$6001,0))</f>
        <v/>
      </c>
      <c r="N470" s="7">
        <f>IF($V470="","",M470*L470)</f>
        <v/>
      </c>
      <c r="O470">
        <f>IF($V470="","",Settings!$C$6)</f>
        <v/>
      </c>
      <c r="P470" s="7">
        <f>IF($V470="","",SUMIFS('Per Line'!$R$2:$R$6001,'Per Line'!$C$2:$C$6001,$B470,'Per Line'!$AI$2:$AI$6001,1,'Per Line'!$AJ$2:$AJ$6001,0))</f>
        <v/>
      </c>
      <c r="Q470" s="7">
        <f>IF($V470="","",P470*O470)</f>
        <v/>
      </c>
      <c r="R470" s="7">
        <f>IF($V470="","",Q470+N470)</f>
        <v/>
      </c>
      <c r="S470" s="7">
        <f>IF($V470="","",T470-R470)</f>
        <v/>
      </c>
      <c r="T470" s="7">
        <f>IF($V470="","",M470+P470+K470)</f>
        <v/>
      </c>
      <c r="U470" s="7">
        <f>IF($V470="","",T470-R470-I470)</f>
        <v/>
      </c>
      <c r="V470" s="13">
        <f>IF(ROWS($V$2:$V470)&lt;=MAX('Per Line'!$AH$2:$AH$6001),MATCH(ROWS($V$2:$V470),'Per Line'!$AH$2:$AH$6001,0),"")</f>
        <v/>
      </c>
    </row>
    <row r="471">
      <c r="A471" s="12" t="n"/>
      <c r="B471">
        <f>IF($V471="","",INDEX('Per Line'!$C$2:$C$6001,$V471)&amp;"")</f>
        <v/>
      </c>
      <c r="C471" s="11">
        <f>IF($V471="","",INDEX('Per Line'!$D$2:$D$6001,$V471))</f>
        <v/>
      </c>
      <c r="D471">
        <f>IF($V471="","",INDEX('Per Line'!$E$2:$E$6001,$V471)&amp;"")</f>
        <v/>
      </c>
      <c r="E471">
        <f>IF($V471="","",INDEX('Per Line'!$G$2:$G$6001,$V471)&amp;"")</f>
        <v/>
      </c>
      <c r="F471">
        <f>IF($V471="","",INDEX('Per Line'!$H$2:$H$6001,$V471)&amp;"")</f>
        <v/>
      </c>
      <c r="G471">
        <f>IF($V471="","",INDEX('Per Line'!$I$2:$I$6001,$V471)&amp;"")</f>
        <v/>
      </c>
      <c r="H471">
        <f>IF($V471="","",INDEX('Per Line'!$J$2:$J$6001,$V471))</f>
        <v/>
      </c>
      <c r="I471" s="7">
        <f>IF($V471="","",H471*S471/100)</f>
        <v/>
      </c>
      <c r="J471">
        <f>IF($V471="","",INDEX('Per Line'!$S$2:$S$6001,$V471)&amp;"")</f>
        <v/>
      </c>
      <c r="K471" s="7">
        <f>IF($V471="","",SUMIFS('Per Line'!$R$2:$R$6001,'Per Line'!$C$2:$C$6001,$B471,'Per Line'!$AJ$2:$AJ$6001,1))</f>
        <v/>
      </c>
      <c r="L471">
        <f>IF($V471="","",Settings!$C$7)</f>
        <v/>
      </c>
      <c r="M471" s="7">
        <f>IF($V471="","",SUMIFS('Per Line'!$R$2:$R$6001,'Per Line'!$C$2:$C$6001,$B471,'Per Line'!$AI$2:$AI$6001,0,'Per Line'!$AJ$2:$AJ$6001,0))</f>
        <v/>
      </c>
      <c r="N471" s="7">
        <f>IF($V471="","",M471*L471)</f>
        <v/>
      </c>
      <c r="O471">
        <f>IF($V471="","",Settings!$C$6)</f>
        <v/>
      </c>
      <c r="P471" s="7">
        <f>IF($V471="","",SUMIFS('Per Line'!$R$2:$R$6001,'Per Line'!$C$2:$C$6001,$B471,'Per Line'!$AI$2:$AI$6001,1,'Per Line'!$AJ$2:$AJ$6001,0))</f>
        <v/>
      </c>
      <c r="Q471" s="7">
        <f>IF($V471="","",P471*O471)</f>
        <v/>
      </c>
      <c r="R471" s="7">
        <f>IF($V471="","",Q471+N471)</f>
        <v/>
      </c>
      <c r="S471" s="7">
        <f>IF($V471="","",T471-R471)</f>
        <v/>
      </c>
      <c r="T471" s="7">
        <f>IF($V471="","",M471+P471+K471)</f>
        <v/>
      </c>
      <c r="U471" s="7">
        <f>IF($V471="","",T471-R471-I471)</f>
        <v/>
      </c>
      <c r="V471" s="13">
        <f>IF(ROWS($V$2:$V471)&lt;=MAX('Per Line'!$AH$2:$AH$6001),MATCH(ROWS($V$2:$V471),'Per Line'!$AH$2:$AH$6001,0),"")</f>
        <v/>
      </c>
    </row>
    <row r="472">
      <c r="A472" s="12" t="n"/>
      <c r="B472">
        <f>IF($V472="","",INDEX('Per Line'!$C$2:$C$6001,$V472)&amp;"")</f>
        <v/>
      </c>
      <c r="C472" s="11">
        <f>IF($V472="","",INDEX('Per Line'!$D$2:$D$6001,$V472))</f>
        <v/>
      </c>
      <c r="D472">
        <f>IF($V472="","",INDEX('Per Line'!$E$2:$E$6001,$V472)&amp;"")</f>
        <v/>
      </c>
      <c r="E472">
        <f>IF($V472="","",INDEX('Per Line'!$G$2:$G$6001,$V472)&amp;"")</f>
        <v/>
      </c>
      <c r="F472">
        <f>IF($V472="","",INDEX('Per Line'!$H$2:$H$6001,$V472)&amp;"")</f>
        <v/>
      </c>
      <c r="G472">
        <f>IF($V472="","",INDEX('Per Line'!$I$2:$I$6001,$V472)&amp;"")</f>
        <v/>
      </c>
      <c r="H472">
        <f>IF($V472="","",INDEX('Per Line'!$J$2:$J$6001,$V472))</f>
        <v/>
      </c>
      <c r="I472" s="7">
        <f>IF($V472="","",H472*S472/100)</f>
        <v/>
      </c>
      <c r="J472">
        <f>IF($V472="","",INDEX('Per Line'!$S$2:$S$6001,$V472)&amp;"")</f>
        <v/>
      </c>
      <c r="K472" s="7">
        <f>IF($V472="","",SUMIFS('Per Line'!$R$2:$R$6001,'Per Line'!$C$2:$C$6001,$B472,'Per Line'!$AJ$2:$AJ$6001,1))</f>
        <v/>
      </c>
      <c r="L472">
        <f>IF($V472="","",Settings!$C$7)</f>
        <v/>
      </c>
      <c r="M472" s="7">
        <f>IF($V472="","",SUMIFS('Per Line'!$R$2:$R$6001,'Per Line'!$C$2:$C$6001,$B472,'Per Line'!$AI$2:$AI$6001,0,'Per Line'!$AJ$2:$AJ$6001,0))</f>
        <v/>
      </c>
      <c r="N472" s="7">
        <f>IF($V472="","",M472*L472)</f>
        <v/>
      </c>
      <c r="O472">
        <f>IF($V472="","",Settings!$C$6)</f>
        <v/>
      </c>
      <c r="P472" s="7">
        <f>IF($V472="","",SUMIFS('Per Line'!$R$2:$R$6001,'Per Line'!$C$2:$C$6001,$B472,'Per Line'!$AI$2:$AI$6001,1,'Per Line'!$AJ$2:$AJ$6001,0))</f>
        <v/>
      </c>
      <c r="Q472" s="7">
        <f>IF($V472="","",P472*O472)</f>
        <v/>
      </c>
      <c r="R472" s="7">
        <f>IF($V472="","",Q472+N472)</f>
        <v/>
      </c>
      <c r="S472" s="7">
        <f>IF($V472="","",T472-R472)</f>
        <v/>
      </c>
      <c r="T472" s="7">
        <f>IF($V472="","",M472+P472+K472)</f>
        <v/>
      </c>
      <c r="U472" s="7">
        <f>IF($V472="","",T472-R472-I472)</f>
        <v/>
      </c>
      <c r="V472" s="13">
        <f>IF(ROWS($V$2:$V472)&lt;=MAX('Per Line'!$AH$2:$AH$6001),MATCH(ROWS($V$2:$V472),'Per Line'!$AH$2:$AH$6001,0),"")</f>
        <v/>
      </c>
    </row>
    <row r="473">
      <c r="A473" s="12" t="n"/>
      <c r="B473">
        <f>IF($V473="","",INDEX('Per Line'!$C$2:$C$6001,$V473)&amp;"")</f>
        <v/>
      </c>
      <c r="C473" s="11">
        <f>IF($V473="","",INDEX('Per Line'!$D$2:$D$6001,$V473))</f>
        <v/>
      </c>
      <c r="D473">
        <f>IF($V473="","",INDEX('Per Line'!$E$2:$E$6001,$V473)&amp;"")</f>
        <v/>
      </c>
      <c r="E473">
        <f>IF($V473="","",INDEX('Per Line'!$G$2:$G$6001,$V473)&amp;"")</f>
        <v/>
      </c>
      <c r="F473">
        <f>IF($V473="","",INDEX('Per Line'!$H$2:$H$6001,$V473)&amp;"")</f>
        <v/>
      </c>
      <c r="G473">
        <f>IF($V473="","",INDEX('Per Line'!$I$2:$I$6001,$V473)&amp;"")</f>
        <v/>
      </c>
      <c r="H473">
        <f>IF($V473="","",INDEX('Per Line'!$J$2:$J$6001,$V473))</f>
        <v/>
      </c>
      <c r="I473" s="7">
        <f>IF($V473="","",H473*S473/100)</f>
        <v/>
      </c>
      <c r="J473">
        <f>IF($V473="","",INDEX('Per Line'!$S$2:$S$6001,$V473)&amp;"")</f>
        <v/>
      </c>
      <c r="K473" s="7">
        <f>IF($V473="","",SUMIFS('Per Line'!$R$2:$R$6001,'Per Line'!$C$2:$C$6001,$B473,'Per Line'!$AJ$2:$AJ$6001,1))</f>
        <v/>
      </c>
      <c r="L473">
        <f>IF($V473="","",Settings!$C$7)</f>
        <v/>
      </c>
      <c r="M473" s="7">
        <f>IF($V473="","",SUMIFS('Per Line'!$R$2:$R$6001,'Per Line'!$C$2:$C$6001,$B473,'Per Line'!$AI$2:$AI$6001,0,'Per Line'!$AJ$2:$AJ$6001,0))</f>
        <v/>
      </c>
      <c r="N473" s="7">
        <f>IF($V473="","",M473*L473)</f>
        <v/>
      </c>
      <c r="O473">
        <f>IF($V473="","",Settings!$C$6)</f>
        <v/>
      </c>
      <c r="P473" s="7">
        <f>IF($V473="","",SUMIFS('Per Line'!$R$2:$R$6001,'Per Line'!$C$2:$C$6001,$B473,'Per Line'!$AI$2:$AI$6001,1,'Per Line'!$AJ$2:$AJ$6001,0))</f>
        <v/>
      </c>
      <c r="Q473" s="7">
        <f>IF($V473="","",P473*O473)</f>
        <v/>
      </c>
      <c r="R473" s="7">
        <f>IF($V473="","",Q473+N473)</f>
        <v/>
      </c>
      <c r="S473" s="7">
        <f>IF($V473="","",T473-R473)</f>
        <v/>
      </c>
      <c r="T473" s="7">
        <f>IF($V473="","",M473+P473+K473)</f>
        <v/>
      </c>
      <c r="U473" s="7">
        <f>IF($V473="","",T473-R473-I473)</f>
        <v/>
      </c>
      <c r="V473" s="13">
        <f>IF(ROWS($V$2:$V473)&lt;=MAX('Per Line'!$AH$2:$AH$6001),MATCH(ROWS($V$2:$V473),'Per Line'!$AH$2:$AH$6001,0),"")</f>
        <v/>
      </c>
    </row>
    <row r="474">
      <c r="A474" s="12" t="n"/>
      <c r="B474">
        <f>IF($V474="","",INDEX('Per Line'!$C$2:$C$6001,$V474)&amp;"")</f>
        <v/>
      </c>
      <c r="C474" s="11">
        <f>IF($V474="","",INDEX('Per Line'!$D$2:$D$6001,$V474))</f>
        <v/>
      </c>
      <c r="D474">
        <f>IF($V474="","",INDEX('Per Line'!$E$2:$E$6001,$V474)&amp;"")</f>
        <v/>
      </c>
      <c r="E474">
        <f>IF($V474="","",INDEX('Per Line'!$G$2:$G$6001,$V474)&amp;"")</f>
        <v/>
      </c>
      <c r="F474">
        <f>IF($V474="","",INDEX('Per Line'!$H$2:$H$6001,$V474)&amp;"")</f>
        <v/>
      </c>
      <c r="G474">
        <f>IF($V474="","",INDEX('Per Line'!$I$2:$I$6001,$V474)&amp;"")</f>
        <v/>
      </c>
      <c r="H474">
        <f>IF($V474="","",INDEX('Per Line'!$J$2:$J$6001,$V474))</f>
        <v/>
      </c>
      <c r="I474" s="7">
        <f>IF($V474="","",H474*S474/100)</f>
        <v/>
      </c>
      <c r="J474">
        <f>IF($V474="","",INDEX('Per Line'!$S$2:$S$6001,$V474)&amp;"")</f>
        <v/>
      </c>
      <c r="K474" s="7">
        <f>IF($V474="","",SUMIFS('Per Line'!$R$2:$R$6001,'Per Line'!$C$2:$C$6001,$B474,'Per Line'!$AJ$2:$AJ$6001,1))</f>
        <v/>
      </c>
      <c r="L474">
        <f>IF($V474="","",Settings!$C$7)</f>
        <v/>
      </c>
      <c r="M474" s="7">
        <f>IF($V474="","",SUMIFS('Per Line'!$R$2:$R$6001,'Per Line'!$C$2:$C$6001,$B474,'Per Line'!$AI$2:$AI$6001,0,'Per Line'!$AJ$2:$AJ$6001,0))</f>
        <v/>
      </c>
      <c r="N474" s="7">
        <f>IF($V474="","",M474*L474)</f>
        <v/>
      </c>
      <c r="O474">
        <f>IF($V474="","",Settings!$C$6)</f>
        <v/>
      </c>
      <c r="P474" s="7">
        <f>IF($V474="","",SUMIFS('Per Line'!$R$2:$R$6001,'Per Line'!$C$2:$C$6001,$B474,'Per Line'!$AI$2:$AI$6001,1,'Per Line'!$AJ$2:$AJ$6001,0))</f>
        <v/>
      </c>
      <c r="Q474" s="7">
        <f>IF($V474="","",P474*O474)</f>
        <v/>
      </c>
      <c r="R474" s="7">
        <f>IF($V474="","",Q474+N474)</f>
        <v/>
      </c>
      <c r="S474" s="7">
        <f>IF($V474="","",T474-R474)</f>
        <v/>
      </c>
      <c r="T474" s="7">
        <f>IF($V474="","",M474+P474+K474)</f>
        <v/>
      </c>
      <c r="U474" s="7">
        <f>IF($V474="","",T474-R474-I474)</f>
        <v/>
      </c>
      <c r="V474" s="13">
        <f>IF(ROWS($V$2:$V474)&lt;=MAX('Per Line'!$AH$2:$AH$6001),MATCH(ROWS($V$2:$V474),'Per Line'!$AH$2:$AH$6001,0),"")</f>
        <v/>
      </c>
    </row>
    <row r="475">
      <c r="A475" s="12" t="n"/>
      <c r="B475">
        <f>IF($V475="","",INDEX('Per Line'!$C$2:$C$6001,$V475)&amp;"")</f>
        <v/>
      </c>
      <c r="C475" s="11">
        <f>IF($V475="","",INDEX('Per Line'!$D$2:$D$6001,$V475))</f>
        <v/>
      </c>
      <c r="D475">
        <f>IF($V475="","",INDEX('Per Line'!$E$2:$E$6001,$V475)&amp;"")</f>
        <v/>
      </c>
      <c r="E475">
        <f>IF($V475="","",INDEX('Per Line'!$G$2:$G$6001,$V475)&amp;"")</f>
        <v/>
      </c>
      <c r="F475">
        <f>IF($V475="","",INDEX('Per Line'!$H$2:$H$6001,$V475)&amp;"")</f>
        <v/>
      </c>
      <c r="G475">
        <f>IF($V475="","",INDEX('Per Line'!$I$2:$I$6001,$V475)&amp;"")</f>
        <v/>
      </c>
      <c r="H475">
        <f>IF($V475="","",INDEX('Per Line'!$J$2:$J$6001,$V475))</f>
        <v/>
      </c>
      <c r="I475" s="7">
        <f>IF($V475="","",H475*S475/100)</f>
        <v/>
      </c>
      <c r="J475">
        <f>IF($V475="","",INDEX('Per Line'!$S$2:$S$6001,$V475)&amp;"")</f>
        <v/>
      </c>
      <c r="K475" s="7">
        <f>IF($V475="","",SUMIFS('Per Line'!$R$2:$R$6001,'Per Line'!$C$2:$C$6001,$B475,'Per Line'!$AJ$2:$AJ$6001,1))</f>
        <v/>
      </c>
      <c r="L475">
        <f>IF($V475="","",Settings!$C$7)</f>
        <v/>
      </c>
      <c r="M475" s="7">
        <f>IF($V475="","",SUMIFS('Per Line'!$R$2:$R$6001,'Per Line'!$C$2:$C$6001,$B475,'Per Line'!$AI$2:$AI$6001,0,'Per Line'!$AJ$2:$AJ$6001,0))</f>
        <v/>
      </c>
      <c r="N475" s="7">
        <f>IF($V475="","",M475*L475)</f>
        <v/>
      </c>
      <c r="O475">
        <f>IF($V475="","",Settings!$C$6)</f>
        <v/>
      </c>
      <c r="P475" s="7">
        <f>IF($V475="","",SUMIFS('Per Line'!$R$2:$R$6001,'Per Line'!$C$2:$C$6001,$B475,'Per Line'!$AI$2:$AI$6001,1,'Per Line'!$AJ$2:$AJ$6001,0))</f>
        <v/>
      </c>
      <c r="Q475" s="7">
        <f>IF($V475="","",P475*O475)</f>
        <v/>
      </c>
      <c r="R475" s="7">
        <f>IF($V475="","",Q475+N475)</f>
        <v/>
      </c>
      <c r="S475" s="7">
        <f>IF($V475="","",T475-R475)</f>
        <v/>
      </c>
      <c r="T475" s="7">
        <f>IF($V475="","",M475+P475+K475)</f>
        <v/>
      </c>
      <c r="U475" s="7">
        <f>IF($V475="","",T475-R475-I475)</f>
        <v/>
      </c>
      <c r="V475" s="13">
        <f>IF(ROWS($V$2:$V475)&lt;=MAX('Per Line'!$AH$2:$AH$6001),MATCH(ROWS($V$2:$V475),'Per Line'!$AH$2:$AH$6001,0),"")</f>
        <v/>
      </c>
    </row>
    <row r="476">
      <c r="A476" s="12" t="n"/>
      <c r="B476">
        <f>IF($V476="","",INDEX('Per Line'!$C$2:$C$6001,$V476)&amp;"")</f>
        <v/>
      </c>
      <c r="C476" s="11">
        <f>IF($V476="","",INDEX('Per Line'!$D$2:$D$6001,$V476))</f>
        <v/>
      </c>
      <c r="D476">
        <f>IF($V476="","",INDEX('Per Line'!$E$2:$E$6001,$V476)&amp;"")</f>
        <v/>
      </c>
      <c r="E476">
        <f>IF($V476="","",INDEX('Per Line'!$G$2:$G$6001,$V476)&amp;"")</f>
        <v/>
      </c>
      <c r="F476">
        <f>IF($V476="","",INDEX('Per Line'!$H$2:$H$6001,$V476)&amp;"")</f>
        <v/>
      </c>
      <c r="G476">
        <f>IF($V476="","",INDEX('Per Line'!$I$2:$I$6001,$V476)&amp;"")</f>
        <v/>
      </c>
      <c r="H476">
        <f>IF($V476="","",INDEX('Per Line'!$J$2:$J$6001,$V476))</f>
        <v/>
      </c>
      <c r="I476" s="7">
        <f>IF($V476="","",H476*S476/100)</f>
        <v/>
      </c>
      <c r="J476">
        <f>IF($V476="","",INDEX('Per Line'!$S$2:$S$6001,$V476)&amp;"")</f>
        <v/>
      </c>
      <c r="K476" s="7">
        <f>IF($V476="","",SUMIFS('Per Line'!$R$2:$R$6001,'Per Line'!$C$2:$C$6001,$B476,'Per Line'!$AJ$2:$AJ$6001,1))</f>
        <v/>
      </c>
      <c r="L476">
        <f>IF($V476="","",Settings!$C$7)</f>
        <v/>
      </c>
      <c r="M476" s="7">
        <f>IF($V476="","",SUMIFS('Per Line'!$R$2:$R$6001,'Per Line'!$C$2:$C$6001,$B476,'Per Line'!$AI$2:$AI$6001,0,'Per Line'!$AJ$2:$AJ$6001,0))</f>
        <v/>
      </c>
      <c r="N476" s="7">
        <f>IF($V476="","",M476*L476)</f>
        <v/>
      </c>
      <c r="O476">
        <f>IF($V476="","",Settings!$C$6)</f>
        <v/>
      </c>
      <c r="P476" s="7">
        <f>IF($V476="","",SUMIFS('Per Line'!$R$2:$R$6001,'Per Line'!$C$2:$C$6001,$B476,'Per Line'!$AI$2:$AI$6001,1,'Per Line'!$AJ$2:$AJ$6001,0))</f>
        <v/>
      </c>
      <c r="Q476" s="7">
        <f>IF($V476="","",P476*O476)</f>
        <v/>
      </c>
      <c r="R476" s="7">
        <f>IF($V476="","",Q476+N476)</f>
        <v/>
      </c>
      <c r="S476" s="7">
        <f>IF($V476="","",T476-R476)</f>
        <v/>
      </c>
      <c r="T476" s="7">
        <f>IF($V476="","",M476+P476+K476)</f>
        <v/>
      </c>
      <c r="U476" s="7">
        <f>IF($V476="","",T476-R476-I476)</f>
        <v/>
      </c>
      <c r="V476" s="13">
        <f>IF(ROWS($V$2:$V476)&lt;=MAX('Per Line'!$AH$2:$AH$6001),MATCH(ROWS($V$2:$V476),'Per Line'!$AH$2:$AH$6001,0),"")</f>
        <v/>
      </c>
    </row>
    <row r="477">
      <c r="A477" s="12" t="n"/>
      <c r="B477">
        <f>IF($V477="","",INDEX('Per Line'!$C$2:$C$6001,$V477)&amp;"")</f>
        <v/>
      </c>
      <c r="C477" s="11">
        <f>IF($V477="","",INDEX('Per Line'!$D$2:$D$6001,$V477))</f>
        <v/>
      </c>
      <c r="D477">
        <f>IF($V477="","",INDEX('Per Line'!$E$2:$E$6001,$V477)&amp;"")</f>
        <v/>
      </c>
      <c r="E477">
        <f>IF($V477="","",INDEX('Per Line'!$G$2:$G$6001,$V477)&amp;"")</f>
        <v/>
      </c>
      <c r="F477">
        <f>IF($V477="","",INDEX('Per Line'!$H$2:$H$6001,$V477)&amp;"")</f>
        <v/>
      </c>
      <c r="G477">
        <f>IF($V477="","",INDEX('Per Line'!$I$2:$I$6001,$V477)&amp;"")</f>
        <v/>
      </c>
      <c r="H477">
        <f>IF($V477="","",INDEX('Per Line'!$J$2:$J$6001,$V477))</f>
        <v/>
      </c>
      <c r="I477" s="7">
        <f>IF($V477="","",H477*S477/100)</f>
        <v/>
      </c>
      <c r="J477">
        <f>IF($V477="","",INDEX('Per Line'!$S$2:$S$6001,$V477)&amp;"")</f>
        <v/>
      </c>
      <c r="K477" s="7">
        <f>IF($V477="","",SUMIFS('Per Line'!$R$2:$R$6001,'Per Line'!$C$2:$C$6001,$B477,'Per Line'!$AJ$2:$AJ$6001,1))</f>
        <v/>
      </c>
      <c r="L477">
        <f>IF($V477="","",Settings!$C$7)</f>
        <v/>
      </c>
      <c r="M477" s="7">
        <f>IF($V477="","",SUMIFS('Per Line'!$R$2:$R$6001,'Per Line'!$C$2:$C$6001,$B477,'Per Line'!$AI$2:$AI$6001,0,'Per Line'!$AJ$2:$AJ$6001,0))</f>
        <v/>
      </c>
      <c r="N477" s="7">
        <f>IF($V477="","",M477*L477)</f>
        <v/>
      </c>
      <c r="O477">
        <f>IF($V477="","",Settings!$C$6)</f>
        <v/>
      </c>
      <c r="P477" s="7">
        <f>IF($V477="","",SUMIFS('Per Line'!$R$2:$R$6001,'Per Line'!$C$2:$C$6001,$B477,'Per Line'!$AI$2:$AI$6001,1,'Per Line'!$AJ$2:$AJ$6001,0))</f>
        <v/>
      </c>
      <c r="Q477" s="7">
        <f>IF($V477="","",P477*O477)</f>
        <v/>
      </c>
      <c r="R477" s="7">
        <f>IF($V477="","",Q477+N477)</f>
        <v/>
      </c>
      <c r="S477" s="7">
        <f>IF($V477="","",T477-R477)</f>
        <v/>
      </c>
      <c r="T477" s="7">
        <f>IF($V477="","",M477+P477+K477)</f>
        <v/>
      </c>
      <c r="U477" s="7">
        <f>IF($V477="","",T477-R477-I477)</f>
        <v/>
      </c>
      <c r="V477" s="13">
        <f>IF(ROWS($V$2:$V477)&lt;=MAX('Per Line'!$AH$2:$AH$6001),MATCH(ROWS($V$2:$V477),'Per Line'!$AH$2:$AH$6001,0),"")</f>
        <v/>
      </c>
    </row>
    <row r="478">
      <c r="A478" s="12" t="n"/>
      <c r="B478">
        <f>IF($V478="","",INDEX('Per Line'!$C$2:$C$6001,$V478)&amp;"")</f>
        <v/>
      </c>
      <c r="C478" s="11">
        <f>IF($V478="","",INDEX('Per Line'!$D$2:$D$6001,$V478))</f>
        <v/>
      </c>
      <c r="D478">
        <f>IF($V478="","",INDEX('Per Line'!$E$2:$E$6001,$V478)&amp;"")</f>
        <v/>
      </c>
      <c r="E478">
        <f>IF($V478="","",INDEX('Per Line'!$G$2:$G$6001,$V478)&amp;"")</f>
        <v/>
      </c>
      <c r="F478">
        <f>IF($V478="","",INDEX('Per Line'!$H$2:$H$6001,$V478)&amp;"")</f>
        <v/>
      </c>
      <c r="G478">
        <f>IF($V478="","",INDEX('Per Line'!$I$2:$I$6001,$V478)&amp;"")</f>
        <v/>
      </c>
      <c r="H478">
        <f>IF($V478="","",INDEX('Per Line'!$J$2:$J$6001,$V478))</f>
        <v/>
      </c>
      <c r="I478" s="7">
        <f>IF($V478="","",H478*S478/100)</f>
        <v/>
      </c>
      <c r="J478">
        <f>IF($V478="","",INDEX('Per Line'!$S$2:$S$6001,$V478)&amp;"")</f>
        <v/>
      </c>
      <c r="K478" s="7">
        <f>IF($V478="","",SUMIFS('Per Line'!$R$2:$R$6001,'Per Line'!$C$2:$C$6001,$B478,'Per Line'!$AJ$2:$AJ$6001,1))</f>
        <v/>
      </c>
      <c r="L478">
        <f>IF($V478="","",Settings!$C$7)</f>
        <v/>
      </c>
      <c r="M478" s="7">
        <f>IF($V478="","",SUMIFS('Per Line'!$R$2:$R$6001,'Per Line'!$C$2:$C$6001,$B478,'Per Line'!$AI$2:$AI$6001,0,'Per Line'!$AJ$2:$AJ$6001,0))</f>
        <v/>
      </c>
      <c r="N478" s="7">
        <f>IF($V478="","",M478*L478)</f>
        <v/>
      </c>
      <c r="O478">
        <f>IF($V478="","",Settings!$C$6)</f>
        <v/>
      </c>
      <c r="P478" s="7">
        <f>IF($V478="","",SUMIFS('Per Line'!$R$2:$R$6001,'Per Line'!$C$2:$C$6001,$B478,'Per Line'!$AI$2:$AI$6001,1,'Per Line'!$AJ$2:$AJ$6001,0))</f>
        <v/>
      </c>
      <c r="Q478" s="7">
        <f>IF($V478="","",P478*O478)</f>
        <v/>
      </c>
      <c r="R478" s="7">
        <f>IF($V478="","",Q478+N478)</f>
        <v/>
      </c>
      <c r="S478" s="7">
        <f>IF($V478="","",T478-R478)</f>
        <v/>
      </c>
      <c r="T478" s="7">
        <f>IF($V478="","",M478+P478+K478)</f>
        <v/>
      </c>
      <c r="U478" s="7">
        <f>IF($V478="","",T478-R478-I478)</f>
        <v/>
      </c>
      <c r="V478" s="13">
        <f>IF(ROWS($V$2:$V478)&lt;=MAX('Per Line'!$AH$2:$AH$6001),MATCH(ROWS($V$2:$V478),'Per Line'!$AH$2:$AH$6001,0),"")</f>
        <v/>
      </c>
    </row>
    <row r="479">
      <c r="A479" s="12" t="n"/>
      <c r="B479">
        <f>IF($V479="","",INDEX('Per Line'!$C$2:$C$6001,$V479)&amp;"")</f>
        <v/>
      </c>
      <c r="C479" s="11">
        <f>IF($V479="","",INDEX('Per Line'!$D$2:$D$6001,$V479))</f>
        <v/>
      </c>
      <c r="D479">
        <f>IF($V479="","",INDEX('Per Line'!$E$2:$E$6001,$V479)&amp;"")</f>
        <v/>
      </c>
      <c r="E479">
        <f>IF($V479="","",INDEX('Per Line'!$G$2:$G$6001,$V479)&amp;"")</f>
        <v/>
      </c>
      <c r="F479">
        <f>IF($V479="","",INDEX('Per Line'!$H$2:$H$6001,$V479)&amp;"")</f>
        <v/>
      </c>
      <c r="G479">
        <f>IF($V479="","",INDEX('Per Line'!$I$2:$I$6001,$V479)&amp;"")</f>
        <v/>
      </c>
      <c r="H479">
        <f>IF($V479="","",INDEX('Per Line'!$J$2:$J$6001,$V479))</f>
        <v/>
      </c>
      <c r="I479" s="7">
        <f>IF($V479="","",H479*S479/100)</f>
        <v/>
      </c>
      <c r="J479">
        <f>IF($V479="","",INDEX('Per Line'!$S$2:$S$6001,$V479)&amp;"")</f>
        <v/>
      </c>
      <c r="K479" s="7">
        <f>IF($V479="","",SUMIFS('Per Line'!$R$2:$R$6001,'Per Line'!$C$2:$C$6001,$B479,'Per Line'!$AJ$2:$AJ$6001,1))</f>
        <v/>
      </c>
      <c r="L479">
        <f>IF($V479="","",Settings!$C$7)</f>
        <v/>
      </c>
      <c r="M479" s="7">
        <f>IF($V479="","",SUMIFS('Per Line'!$R$2:$R$6001,'Per Line'!$C$2:$C$6001,$B479,'Per Line'!$AI$2:$AI$6001,0,'Per Line'!$AJ$2:$AJ$6001,0))</f>
        <v/>
      </c>
      <c r="N479" s="7">
        <f>IF($V479="","",M479*L479)</f>
        <v/>
      </c>
      <c r="O479">
        <f>IF($V479="","",Settings!$C$6)</f>
        <v/>
      </c>
      <c r="P479" s="7">
        <f>IF($V479="","",SUMIFS('Per Line'!$R$2:$R$6001,'Per Line'!$C$2:$C$6001,$B479,'Per Line'!$AI$2:$AI$6001,1,'Per Line'!$AJ$2:$AJ$6001,0))</f>
        <v/>
      </c>
      <c r="Q479" s="7">
        <f>IF($V479="","",P479*O479)</f>
        <v/>
      </c>
      <c r="R479" s="7">
        <f>IF($V479="","",Q479+N479)</f>
        <v/>
      </c>
      <c r="S479" s="7">
        <f>IF($V479="","",T479-R479)</f>
        <v/>
      </c>
      <c r="T479" s="7">
        <f>IF($V479="","",M479+P479+K479)</f>
        <v/>
      </c>
      <c r="U479" s="7">
        <f>IF($V479="","",T479-R479-I479)</f>
        <v/>
      </c>
      <c r="V479" s="13">
        <f>IF(ROWS($V$2:$V479)&lt;=MAX('Per Line'!$AH$2:$AH$6001),MATCH(ROWS($V$2:$V479),'Per Line'!$AH$2:$AH$6001,0),"")</f>
        <v/>
      </c>
    </row>
    <row r="480">
      <c r="A480" s="12" t="n"/>
      <c r="B480">
        <f>IF($V480="","",INDEX('Per Line'!$C$2:$C$6001,$V480)&amp;"")</f>
        <v/>
      </c>
      <c r="C480" s="11">
        <f>IF($V480="","",INDEX('Per Line'!$D$2:$D$6001,$V480))</f>
        <v/>
      </c>
      <c r="D480">
        <f>IF($V480="","",INDEX('Per Line'!$E$2:$E$6001,$V480)&amp;"")</f>
        <v/>
      </c>
      <c r="E480">
        <f>IF($V480="","",INDEX('Per Line'!$G$2:$G$6001,$V480)&amp;"")</f>
        <v/>
      </c>
      <c r="F480">
        <f>IF($V480="","",INDEX('Per Line'!$H$2:$H$6001,$V480)&amp;"")</f>
        <v/>
      </c>
      <c r="G480">
        <f>IF($V480="","",INDEX('Per Line'!$I$2:$I$6001,$V480)&amp;"")</f>
        <v/>
      </c>
      <c r="H480">
        <f>IF($V480="","",INDEX('Per Line'!$J$2:$J$6001,$V480))</f>
        <v/>
      </c>
      <c r="I480" s="7">
        <f>IF($V480="","",H480*S480/100)</f>
        <v/>
      </c>
      <c r="J480">
        <f>IF($V480="","",INDEX('Per Line'!$S$2:$S$6001,$V480)&amp;"")</f>
        <v/>
      </c>
      <c r="K480" s="7">
        <f>IF($V480="","",SUMIFS('Per Line'!$R$2:$R$6001,'Per Line'!$C$2:$C$6001,$B480,'Per Line'!$AJ$2:$AJ$6001,1))</f>
        <v/>
      </c>
      <c r="L480">
        <f>IF($V480="","",Settings!$C$7)</f>
        <v/>
      </c>
      <c r="M480" s="7">
        <f>IF($V480="","",SUMIFS('Per Line'!$R$2:$R$6001,'Per Line'!$C$2:$C$6001,$B480,'Per Line'!$AI$2:$AI$6001,0,'Per Line'!$AJ$2:$AJ$6001,0))</f>
        <v/>
      </c>
      <c r="N480" s="7">
        <f>IF($V480="","",M480*L480)</f>
        <v/>
      </c>
      <c r="O480">
        <f>IF($V480="","",Settings!$C$6)</f>
        <v/>
      </c>
      <c r="P480" s="7">
        <f>IF($V480="","",SUMIFS('Per Line'!$R$2:$R$6001,'Per Line'!$C$2:$C$6001,$B480,'Per Line'!$AI$2:$AI$6001,1,'Per Line'!$AJ$2:$AJ$6001,0))</f>
        <v/>
      </c>
      <c r="Q480" s="7">
        <f>IF($V480="","",P480*O480)</f>
        <v/>
      </c>
      <c r="R480" s="7">
        <f>IF($V480="","",Q480+N480)</f>
        <v/>
      </c>
      <c r="S480" s="7">
        <f>IF($V480="","",T480-R480)</f>
        <v/>
      </c>
      <c r="T480" s="7">
        <f>IF($V480="","",M480+P480+K480)</f>
        <v/>
      </c>
      <c r="U480" s="7">
        <f>IF($V480="","",T480-R480-I480)</f>
        <v/>
      </c>
      <c r="V480" s="13">
        <f>IF(ROWS($V$2:$V480)&lt;=MAX('Per Line'!$AH$2:$AH$6001),MATCH(ROWS($V$2:$V480),'Per Line'!$AH$2:$AH$6001,0),"")</f>
        <v/>
      </c>
    </row>
    <row r="481">
      <c r="A481" s="12" t="n"/>
      <c r="B481">
        <f>IF($V481="","",INDEX('Per Line'!$C$2:$C$6001,$V481)&amp;"")</f>
        <v/>
      </c>
      <c r="C481" s="11">
        <f>IF($V481="","",INDEX('Per Line'!$D$2:$D$6001,$V481))</f>
        <v/>
      </c>
      <c r="D481">
        <f>IF($V481="","",INDEX('Per Line'!$E$2:$E$6001,$V481)&amp;"")</f>
        <v/>
      </c>
      <c r="E481">
        <f>IF($V481="","",INDEX('Per Line'!$G$2:$G$6001,$V481)&amp;"")</f>
        <v/>
      </c>
      <c r="F481">
        <f>IF($V481="","",INDEX('Per Line'!$H$2:$H$6001,$V481)&amp;"")</f>
        <v/>
      </c>
      <c r="G481">
        <f>IF($V481="","",INDEX('Per Line'!$I$2:$I$6001,$V481)&amp;"")</f>
        <v/>
      </c>
      <c r="H481">
        <f>IF($V481="","",INDEX('Per Line'!$J$2:$J$6001,$V481))</f>
        <v/>
      </c>
      <c r="I481" s="7">
        <f>IF($V481="","",H481*S481/100)</f>
        <v/>
      </c>
      <c r="J481">
        <f>IF($V481="","",INDEX('Per Line'!$S$2:$S$6001,$V481)&amp;"")</f>
        <v/>
      </c>
      <c r="K481" s="7">
        <f>IF($V481="","",SUMIFS('Per Line'!$R$2:$R$6001,'Per Line'!$C$2:$C$6001,$B481,'Per Line'!$AJ$2:$AJ$6001,1))</f>
        <v/>
      </c>
      <c r="L481">
        <f>IF($V481="","",Settings!$C$7)</f>
        <v/>
      </c>
      <c r="M481" s="7">
        <f>IF($V481="","",SUMIFS('Per Line'!$R$2:$R$6001,'Per Line'!$C$2:$C$6001,$B481,'Per Line'!$AI$2:$AI$6001,0,'Per Line'!$AJ$2:$AJ$6001,0))</f>
        <v/>
      </c>
      <c r="N481" s="7">
        <f>IF($V481="","",M481*L481)</f>
        <v/>
      </c>
      <c r="O481">
        <f>IF($V481="","",Settings!$C$6)</f>
        <v/>
      </c>
      <c r="P481" s="7">
        <f>IF($V481="","",SUMIFS('Per Line'!$R$2:$R$6001,'Per Line'!$C$2:$C$6001,$B481,'Per Line'!$AI$2:$AI$6001,1,'Per Line'!$AJ$2:$AJ$6001,0))</f>
        <v/>
      </c>
      <c r="Q481" s="7">
        <f>IF($V481="","",P481*O481)</f>
        <v/>
      </c>
      <c r="R481" s="7">
        <f>IF($V481="","",Q481+N481)</f>
        <v/>
      </c>
      <c r="S481" s="7">
        <f>IF($V481="","",T481-R481)</f>
        <v/>
      </c>
      <c r="T481" s="7">
        <f>IF($V481="","",M481+P481+K481)</f>
        <v/>
      </c>
      <c r="U481" s="7">
        <f>IF($V481="","",T481-R481-I481)</f>
        <v/>
      </c>
      <c r="V481" s="13">
        <f>IF(ROWS($V$2:$V481)&lt;=MAX('Per Line'!$AH$2:$AH$6001),MATCH(ROWS($V$2:$V481),'Per Line'!$AH$2:$AH$6001,0),"")</f>
        <v/>
      </c>
    </row>
    <row r="482">
      <c r="A482" s="12" t="n"/>
      <c r="B482">
        <f>IF($V482="","",INDEX('Per Line'!$C$2:$C$6001,$V482)&amp;"")</f>
        <v/>
      </c>
      <c r="C482" s="11">
        <f>IF($V482="","",INDEX('Per Line'!$D$2:$D$6001,$V482))</f>
        <v/>
      </c>
      <c r="D482">
        <f>IF($V482="","",INDEX('Per Line'!$E$2:$E$6001,$V482)&amp;"")</f>
        <v/>
      </c>
      <c r="E482">
        <f>IF($V482="","",INDEX('Per Line'!$G$2:$G$6001,$V482)&amp;"")</f>
        <v/>
      </c>
      <c r="F482">
        <f>IF($V482="","",INDEX('Per Line'!$H$2:$H$6001,$V482)&amp;"")</f>
        <v/>
      </c>
      <c r="G482">
        <f>IF($V482="","",INDEX('Per Line'!$I$2:$I$6001,$V482)&amp;"")</f>
        <v/>
      </c>
      <c r="H482">
        <f>IF($V482="","",INDEX('Per Line'!$J$2:$J$6001,$V482))</f>
        <v/>
      </c>
      <c r="I482" s="7">
        <f>IF($V482="","",H482*S482/100)</f>
        <v/>
      </c>
      <c r="J482">
        <f>IF($V482="","",INDEX('Per Line'!$S$2:$S$6001,$V482)&amp;"")</f>
        <v/>
      </c>
      <c r="K482" s="7">
        <f>IF($V482="","",SUMIFS('Per Line'!$R$2:$R$6001,'Per Line'!$C$2:$C$6001,$B482,'Per Line'!$AJ$2:$AJ$6001,1))</f>
        <v/>
      </c>
      <c r="L482">
        <f>IF($V482="","",Settings!$C$7)</f>
        <v/>
      </c>
      <c r="M482" s="7">
        <f>IF($V482="","",SUMIFS('Per Line'!$R$2:$R$6001,'Per Line'!$C$2:$C$6001,$B482,'Per Line'!$AI$2:$AI$6001,0,'Per Line'!$AJ$2:$AJ$6001,0))</f>
        <v/>
      </c>
      <c r="N482" s="7">
        <f>IF($V482="","",M482*L482)</f>
        <v/>
      </c>
      <c r="O482">
        <f>IF($V482="","",Settings!$C$6)</f>
        <v/>
      </c>
      <c r="P482" s="7">
        <f>IF($V482="","",SUMIFS('Per Line'!$R$2:$R$6001,'Per Line'!$C$2:$C$6001,$B482,'Per Line'!$AI$2:$AI$6001,1,'Per Line'!$AJ$2:$AJ$6001,0))</f>
        <v/>
      </c>
      <c r="Q482" s="7">
        <f>IF($V482="","",P482*O482)</f>
        <v/>
      </c>
      <c r="R482" s="7">
        <f>IF($V482="","",Q482+N482)</f>
        <v/>
      </c>
      <c r="S482" s="7">
        <f>IF($V482="","",T482-R482)</f>
        <v/>
      </c>
      <c r="T482" s="7">
        <f>IF($V482="","",M482+P482+K482)</f>
        <v/>
      </c>
      <c r="U482" s="7">
        <f>IF($V482="","",T482-R482-I482)</f>
        <v/>
      </c>
      <c r="V482" s="13">
        <f>IF(ROWS($V$2:$V482)&lt;=MAX('Per Line'!$AH$2:$AH$6001),MATCH(ROWS($V$2:$V482),'Per Line'!$AH$2:$AH$6001,0),"")</f>
        <v/>
      </c>
    </row>
    <row r="483">
      <c r="A483" s="12" t="n"/>
      <c r="B483">
        <f>IF($V483="","",INDEX('Per Line'!$C$2:$C$6001,$V483)&amp;"")</f>
        <v/>
      </c>
      <c r="C483" s="11">
        <f>IF($V483="","",INDEX('Per Line'!$D$2:$D$6001,$V483))</f>
        <v/>
      </c>
      <c r="D483">
        <f>IF($V483="","",INDEX('Per Line'!$E$2:$E$6001,$V483)&amp;"")</f>
        <v/>
      </c>
      <c r="E483">
        <f>IF($V483="","",INDEX('Per Line'!$G$2:$G$6001,$V483)&amp;"")</f>
        <v/>
      </c>
      <c r="F483">
        <f>IF($V483="","",INDEX('Per Line'!$H$2:$H$6001,$V483)&amp;"")</f>
        <v/>
      </c>
      <c r="G483">
        <f>IF($V483="","",INDEX('Per Line'!$I$2:$I$6001,$V483)&amp;"")</f>
        <v/>
      </c>
      <c r="H483">
        <f>IF($V483="","",INDEX('Per Line'!$J$2:$J$6001,$V483))</f>
        <v/>
      </c>
      <c r="I483" s="7">
        <f>IF($V483="","",H483*S483/100)</f>
        <v/>
      </c>
      <c r="J483">
        <f>IF($V483="","",INDEX('Per Line'!$S$2:$S$6001,$V483)&amp;"")</f>
        <v/>
      </c>
      <c r="K483" s="7">
        <f>IF($V483="","",SUMIFS('Per Line'!$R$2:$R$6001,'Per Line'!$C$2:$C$6001,$B483,'Per Line'!$AJ$2:$AJ$6001,1))</f>
        <v/>
      </c>
      <c r="L483">
        <f>IF($V483="","",Settings!$C$7)</f>
        <v/>
      </c>
      <c r="M483" s="7">
        <f>IF($V483="","",SUMIFS('Per Line'!$R$2:$R$6001,'Per Line'!$C$2:$C$6001,$B483,'Per Line'!$AI$2:$AI$6001,0,'Per Line'!$AJ$2:$AJ$6001,0))</f>
        <v/>
      </c>
      <c r="N483" s="7">
        <f>IF($V483="","",M483*L483)</f>
        <v/>
      </c>
      <c r="O483">
        <f>IF($V483="","",Settings!$C$6)</f>
        <v/>
      </c>
      <c r="P483" s="7">
        <f>IF($V483="","",SUMIFS('Per Line'!$R$2:$R$6001,'Per Line'!$C$2:$C$6001,$B483,'Per Line'!$AI$2:$AI$6001,1,'Per Line'!$AJ$2:$AJ$6001,0))</f>
        <v/>
      </c>
      <c r="Q483" s="7">
        <f>IF($V483="","",P483*O483)</f>
        <v/>
      </c>
      <c r="R483" s="7">
        <f>IF($V483="","",Q483+N483)</f>
        <v/>
      </c>
      <c r="S483" s="7">
        <f>IF($V483="","",T483-R483)</f>
        <v/>
      </c>
      <c r="T483" s="7">
        <f>IF($V483="","",M483+P483+K483)</f>
        <v/>
      </c>
      <c r="U483" s="7">
        <f>IF($V483="","",T483-R483-I483)</f>
        <v/>
      </c>
      <c r="V483" s="13">
        <f>IF(ROWS($V$2:$V483)&lt;=MAX('Per Line'!$AH$2:$AH$6001),MATCH(ROWS($V$2:$V483),'Per Line'!$AH$2:$AH$6001,0),"")</f>
        <v/>
      </c>
    </row>
    <row r="484">
      <c r="A484" s="12" t="n"/>
      <c r="B484">
        <f>IF($V484="","",INDEX('Per Line'!$C$2:$C$6001,$V484)&amp;"")</f>
        <v/>
      </c>
      <c r="C484" s="11">
        <f>IF($V484="","",INDEX('Per Line'!$D$2:$D$6001,$V484))</f>
        <v/>
      </c>
      <c r="D484">
        <f>IF($V484="","",INDEX('Per Line'!$E$2:$E$6001,$V484)&amp;"")</f>
        <v/>
      </c>
      <c r="E484">
        <f>IF($V484="","",INDEX('Per Line'!$G$2:$G$6001,$V484)&amp;"")</f>
        <v/>
      </c>
      <c r="F484">
        <f>IF($V484="","",INDEX('Per Line'!$H$2:$H$6001,$V484)&amp;"")</f>
        <v/>
      </c>
      <c r="G484">
        <f>IF($V484="","",INDEX('Per Line'!$I$2:$I$6001,$V484)&amp;"")</f>
        <v/>
      </c>
      <c r="H484">
        <f>IF($V484="","",INDEX('Per Line'!$J$2:$J$6001,$V484))</f>
        <v/>
      </c>
      <c r="I484" s="7">
        <f>IF($V484="","",H484*S484/100)</f>
        <v/>
      </c>
      <c r="J484">
        <f>IF($V484="","",INDEX('Per Line'!$S$2:$S$6001,$V484)&amp;"")</f>
        <v/>
      </c>
      <c r="K484" s="7">
        <f>IF($V484="","",SUMIFS('Per Line'!$R$2:$R$6001,'Per Line'!$C$2:$C$6001,$B484,'Per Line'!$AJ$2:$AJ$6001,1))</f>
        <v/>
      </c>
      <c r="L484">
        <f>IF($V484="","",Settings!$C$7)</f>
        <v/>
      </c>
      <c r="M484" s="7">
        <f>IF($V484="","",SUMIFS('Per Line'!$R$2:$R$6001,'Per Line'!$C$2:$C$6001,$B484,'Per Line'!$AI$2:$AI$6001,0,'Per Line'!$AJ$2:$AJ$6001,0))</f>
        <v/>
      </c>
      <c r="N484" s="7">
        <f>IF($V484="","",M484*L484)</f>
        <v/>
      </c>
      <c r="O484">
        <f>IF($V484="","",Settings!$C$6)</f>
        <v/>
      </c>
      <c r="P484" s="7">
        <f>IF($V484="","",SUMIFS('Per Line'!$R$2:$R$6001,'Per Line'!$C$2:$C$6001,$B484,'Per Line'!$AI$2:$AI$6001,1,'Per Line'!$AJ$2:$AJ$6001,0))</f>
        <v/>
      </c>
      <c r="Q484" s="7">
        <f>IF($V484="","",P484*O484)</f>
        <v/>
      </c>
      <c r="R484" s="7">
        <f>IF($V484="","",Q484+N484)</f>
        <v/>
      </c>
      <c r="S484" s="7">
        <f>IF($V484="","",T484-R484)</f>
        <v/>
      </c>
      <c r="T484" s="7">
        <f>IF($V484="","",M484+P484+K484)</f>
        <v/>
      </c>
      <c r="U484" s="7">
        <f>IF($V484="","",T484-R484-I484)</f>
        <v/>
      </c>
      <c r="V484" s="13">
        <f>IF(ROWS($V$2:$V484)&lt;=MAX('Per Line'!$AH$2:$AH$6001),MATCH(ROWS($V$2:$V484),'Per Line'!$AH$2:$AH$6001,0),"")</f>
        <v/>
      </c>
    </row>
    <row r="485">
      <c r="A485" s="12" t="n"/>
      <c r="B485">
        <f>IF($V485="","",INDEX('Per Line'!$C$2:$C$6001,$V485)&amp;"")</f>
        <v/>
      </c>
      <c r="C485" s="11">
        <f>IF($V485="","",INDEX('Per Line'!$D$2:$D$6001,$V485))</f>
        <v/>
      </c>
      <c r="D485">
        <f>IF($V485="","",INDEX('Per Line'!$E$2:$E$6001,$V485)&amp;"")</f>
        <v/>
      </c>
      <c r="E485">
        <f>IF($V485="","",INDEX('Per Line'!$G$2:$G$6001,$V485)&amp;"")</f>
        <v/>
      </c>
      <c r="F485">
        <f>IF($V485="","",INDEX('Per Line'!$H$2:$H$6001,$V485)&amp;"")</f>
        <v/>
      </c>
      <c r="G485">
        <f>IF($V485="","",INDEX('Per Line'!$I$2:$I$6001,$V485)&amp;"")</f>
        <v/>
      </c>
      <c r="H485">
        <f>IF($V485="","",INDEX('Per Line'!$J$2:$J$6001,$V485))</f>
        <v/>
      </c>
      <c r="I485" s="7">
        <f>IF($V485="","",H485*S485/100)</f>
        <v/>
      </c>
      <c r="J485">
        <f>IF($V485="","",INDEX('Per Line'!$S$2:$S$6001,$V485)&amp;"")</f>
        <v/>
      </c>
      <c r="K485" s="7">
        <f>IF($V485="","",SUMIFS('Per Line'!$R$2:$R$6001,'Per Line'!$C$2:$C$6001,$B485,'Per Line'!$AJ$2:$AJ$6001,1))</f>
        <v/>
      </c>
      <c r="L485">
        <f>IF($V485="","",Settings!$C$7)</f>
        <v/>
      </c>
      <c r="M485" s="7">
        <f>IF($V485="","",SUMIFS('Per Line'!$R$2:$R$6001,'Per Line'!$C$2:$C$6001,$B485,'Per Line'!$AI$2:$AI$6001,0,'Per Line'!$AJ$2:$AJ$6001,0))</f>
        <v/>
      </c>
      <c r="N485" s="7">
        <f>IF($V485="","",M485*L485)</f>
        <v/>
      </c>
      <c r="O485">
        <f>IF($V485="","",Settings!$C$6)</f>
        <v/>
      </c>
      <c r="P485" s="7">
        <f>IF($V485="","",SUMIFS('Per Line'!$R$2:$R$6001,'Per Line'!$C$2:$C$6001,$B485,'Per Line'!$AI$2:$AI$6001,1,'Per Line'!$AJ$2:$AJ$6001,0))</f>
        <v/>
      </c>
      <c r="Q485" s="7">
        <f>IF($V485="","",P485*O485)</f>
        <v/>
      </c>
      <c r="R485" s="7">
        <f>IF($V485="","",Q485+N485)</f>
        <v/>
      </c>
      <c r="S485" s="7">
        <f>IF($V485="","",T485-R485)</f>
        <v/>
      </c>
      <c r="T485" s="7">
        <f>IF($V485="","",M485+P485+K485)</f>
        <v/>
      </c>
      <c r="U485" s="7">
        <f>IF($V485="","",T485-R485-I485)</f>
        <v/>
      </c>
      <c r="V485" s="13">
        <f>IF(ROWS($V$2:$V485)&lt;=MAX('Per Line'!$AH$2:$AH$6001),MATCH(ROWS($V$2:$V485),'Per Line'!$AH$2:$AH$6001,0),"")</f>
        <v/>
      </c>
    </row>
    <row r="486">
      <c r="A486" s="12" t="n"/>
      <c r="B486">
        <f>IF($V486="","",INDEX('Per Line'!$C$2:$C$6001,$V486)&amp;"")</f>
        <v/>
      </c>
      <c r="C486" s="11">
        <f>IF($V486="","",INDEX('Per Line'!$D$2:$D$6001,$V486))</f>
        <v/>
      </c>
      <c r="D486">
        <f>IF($V486="","",INDEX('Per Line'!$E$2:$E$6001,$V486)&amp;"")</f>
        <v/>
      </c>
      <c r="E486">
        <f>IF($V486="","",INDEX('Per Line'!$G$2:$G$6001,$V486)&amp;"")</f>
        <v/>
      </c>
      <c r="F486">
        <f>IF($V486="","",INDEX('Per Line'!$H$2:$H$6001,$V486)&amp;"")</f>
        <v/>
      </c>
      <c r="G486">
        <f>IF($V486="","",INDEX('Per Line'!$I$2:$I$6001,$V486)&amp;"")</f>
        <v/>
      </c>
      <c r="H486">
        <f>IF($V486="","",INDEX('Per Line'!$J$2:$J$6001,$V486))</f>
        <v/>
      </c>
      <c r="I486" s="7">
        <f>IF($V486="","",H486*S486/100)</f>
        <v/>
      </c>
      <c r="J486">
        <f>IF($V486="","",INDEX('Per Line'!$S$2:$S$6001,$V486)&amp;"")</f>
        <v/>
      </c>
      <c r="K486" s="7">
        <f>IF($V486="","",SUMIFS('Per Line'!$R$2:$R$6001,'Per Line'!$C$2:$C$6001,$B486,'Per Line'!$AJ$2:$AJ$6001,1))</f>
        <v/>
      </c>
      <c r="L486">
        <f>IF($V486="","",Settings!$C$7)</f>
        <v/>
      </c>
      <c r="M486" s="7">
        <f>IF($V486="","",SUMIFS('Per Line'!$R$2:$R$6001,'Per Line'!$C$2:$C$6001,$B486,'Per Line'!$AI$2:$AI$6001,0,'Per Line'!$AJ$2:$AJ$6001,0))</f>
        <v/>
      </c>
      <c r="N486" s="7">
        <f>IF($V486="","",M486*L486)</f>
        <v/>
      </c>
      <c r="O486">
        <f>IF($V486="","",Settings!$C$6)</f>
        <v/>
      </c>
      <c r="P486" s="7">
        <f>IF($V486="","",SUMIFS('Per Line'!$R$2:$R$6001,'Per Line'!$C$2:$C$6001,$B486,'Per Line'!$AI$2:$AI$6001,1,'Per Line'!$AJ$2:$AJ$6001,0))</f>
        <v/>
      </c>
      <c r="Q486" s="7">
        <f>IF($V486="","",P486*O486)</f>
        <v/>
      </c>
      <c r="R486" s="7">
        <f>IF($V486="","",Q486+N486)</f>
        <v/>
      </c>
      <c r="S486" s="7">
        <f>IF($V486="","",T486-R486)</f>
        <v/>
      </c>
      <c r="T486" s="7">
        <f>IF($V486="","",M486+P486+K486)</f>
        <v/>
      </c>
      <c r="U486" s="7">
        <f>IF($V486="","",T486-R486-I486)</f>
        <v/>
      </c>
      <c r="V486" s="13">
        <f>IF(ROWS($V$2:$V486)&lt;=MAX('Per Line'!$AH$2:$AH$6001),MATCH(ROWS($V$2:$V486),'Per Line'!$AH$2:$AH$6001,0),"")</f>
        <v/>
      </c>
    </row>
    <row r="487">
      <c r="A487" s="12" t="n"/>
      <c r="B487">
        <f>IF($V487="","",INDEX('Per Line'!$C$2:$C$6001,$V487)&amp;"")</f>
        <v/>
      </c>
      <c r="C487" s="11">
        <f>IF($V487="","",INDEX('Per Line'!$D$2:$D$6001,$V487))</f>
        <v/>
      </c>
      <c r="D487">
        <f>IF($V487="","",INDEX('Per Line'!$E$2:$E$6001,$V487)&amp;"")</f>
        <v/>
      </c>
      <c r="E487">
        <f>IF($V487="","",INDEX('Per Line'!$G$2:$G$6001,$V487)&amp;"")</f>
        <v/>
      </c>
      <c r="F487">
        <f>IF($V487="","",INDEX('Per Line'!$H$2:$H$6001,$V487)&amp;"")</f>
        <v/>
      </c>
      <c r="G487">
        <f>IF($V487="","",INDEX('Per Line'!$I$2:$I$6001,$V487)&amp;"")</f>
        <v/>
      </c>
      <c r="H487">
        <f>IF($V487="","",INDEX('Per Line'!$J$2:$J$6001,$V487))</f>
        <v/>
      </c>
      <c r="I487" s="7">
        <f>IF($V487="","",H487*S487/100)</f>
        <v/>
      </c>
      <c r="J487">
        <f>IF($V487="","",INDEX('Per Line'!$S$2:$S$6001,$V487)&amp;"")</f>
        <v/>
      </c>
      <c r="K487" s="7">
        <f>IF($V487="","",SUMIFS('Per Line'!$R$2:$R$6001,'Per Line'!$C$2:$C$6001,$B487,'Per Line'!$AJ$2:$AJ$6001,1))</f>
        <v/>
      </c>
      <c r="L487">
        <f>IF($V487="","",Settings!$C$7)</f>
        <v/>
      </c>
      <c r="M487" s="7">
        <f>IF($V487="","",SUMIFS('Per Line'!$R$2:$R$6001,'Per Line'!$C$2:$C$6001,$B487,'Per Line'!$AI$2:$AI$6001,0,'Per Line'!$AJ$2:$AJ$6001,0))</f>
        <v/>
      </c>
      <c r="N487" s="7">
        <f>IF($V487="","",M487*L487)</f>
        <v/>
      </c>
      <c r="O487">
        <f>IF($V487="","",Settings!$C$6)</f>
        <v/>
      </c>
      <c r="P487" s="7">
        <f>IF($V487="","",SUMIFS('Per Line'!$R$2:$R$6001,'Per Line'!$C$2:$C$6001,$B487,'Per Line'!$AI$2:$AI$6001,1,'Per Line'!$AJ$2:$AJ$6001,0))</f>
        <v/>
      </c>
      <c r="Q487" s="7">
        <f>IF($V487="","",P487*O487)</f>
        <v/>
      </c>
      <c r="R487" s="7">
        <f>IF($V487="","",Q487+N487)</f>
        <v/>
      </c>
      <c r="S487" s="7">
        <f>IF($V487="","",T487-R487)</f>
        <v/>
      </c>
      <c r="T487" s="7">
        <f>IF($V487="","",M487+P487+K487)</f>
        <v/>
      </c>
      <c r="U487" s="7">
        <f>IF($V487="","",T487-R487-I487)</f>
        <v/>
      </c>
      <c r="V487" s="13">
        <f>IF(ROWS($V$2:$V487)&lt;=MAX('Per Line'!$AH$2:$AH$6001),MATCH(ROWS($V$2:$V487),'Per Line'!$AH$2:$AH$6001,0),"")</f>
        <v/>
      </c>
    </row>
    <row r="488">
      <c r="A488" s="12" t="n"/>
      <c r="B488">
        <f>IF($V488="","",INDEX('Per Line'!$C$2:$C$6001,$V488)&amp;"")</f>
        <v/>
      </c>
      <c r="C488" s="11">
        <f>IF($V488="","",INDEX('Per Line'!$D$2:$D$6001,$V488))</f>
        <v/>
      </c>
      <c r="D488">
        <f>IF($V488="","",INDEX('Per Line'!$E$2:$E$6001,$V488)&amp;"")</f>
        <v/>
      </c>
      <c r="E488">
        <f>IF($V488="","",INDEX('Per Line'!$G$2:$G$6001,$V488)&amp;"")</f>
        <v/>
      </c>
      <c r="F488">
        <f>IF($V488="","",INDEX('Per Line'!$H$2:$H$6001,$V488)&amp;"")</f>
        <v/>
      </c>
      <c r="G488">
        <f>IF($V488="","",INDEX('Per Line'!$I$2:$I$6001,$V488)&amp;"")</f>
        <v/>
      </c>
      <c r="H488">
        <f>IF($V488="","",INDEX('Per Line'!$J$2:$J$6001,$V488))</f>
        <v/>
      </c>
      <c r="I488" s="7">
        <f>IF($V488="","",H488*S488/100)</f>
        <v/>
      </c>
      <c r="J488">
        <f>IF($V488="","",INDEX('Per Line'!$S$2:$S$6001,$V488)&amp;"")</f>
        <v/>
      </c>
      <c r="K488" s="7">
        <f>IF($V488="","",SUMIFS('Per Line'!$R$2:$R$6001,'Per Line'!$C$2:$C$6001,$B488,'Per Line'!$AJ$2:$AJ$6001,1))</f>
        <v/>
      </c>
      <c r="L488">
        <f>IF($V488="","",Settings!$C$7)</f>
        <v/>
      </c>
      <c r="M488" s="7">
        <f>IF($V488="","",SUMIFS('Per Line'!$R$2:$R$6001,'Per Line'!$C$2:$C$6001,$B488,'Per Line'!$AI$2:$AI$6001,0,'Per Line'!$AJ$2:$AJ$6001,0))</f>
        <v/>
      </c>
      <c r="N488" s="7">
        <f>IF($V488="","",M488*L488)</f>
        <v/>
      </c>
      <c r="O488">
        <f>IF($V488="","",Settings!$C$6)</f>
        <v/>
      </c>
      <c r="P488" s="7">
        <f>IF($V488="","",SUMIFS('Per Line'!$R$2:$R$6001,'Per Line'!$C$2:$C$6001,$B488,'Per Line'!$AI$2:$AI$6001,1,'Per Line'!$AJ$2:$AJ$6001,0))</f>
        <v/>
      </c>
      <c r="Q488" s="7">
        <f>IF($V488="","",P488*O488)</f>
        <v/>
      </c>
      <c r="R488" s="7">
        <f>IF($V488="","",Q488+N488)</f>
        <v/>
      </c>
      <c r="S488" s="7">
        <f>IF($V488="","",T488-R488)</f>
        <v/>
      </c>
      <c r="T488" s="7">
        <f>IF($V488="","",M488+P488+K488)</f>
        <v/>
      </c>
      <c r="U488" s="7">
        <f>IF($V488="","",T488-R488-I488)</f>
        <v/>
      </c>
      <c r="V488" s="13">
        <f>IF(ROWS($V$2:$V488)&lt;=MAX('Per Line'!$AH$2:$AH$6001),MATCH(ROWS($V$2:$V488),'Per Line'!$AH$2:$AH$6001,0),"")</f>
        <v/>
      </c>
    </row>
    <row r="489">
      <c r="A489" s="12" t="n"/>
      <c r="B489">
        <f>IF($V489="","",INDEX('Per Line'!$C$2:$C$6001,$V489)&amp;"")</f>
        <v/>
      </c>
      <c r="C489" s="11">
        <f>IF($V489="","",INDEX('Per Line'!$D$2:$D$6001,$V489))</f>
        <v/>
      </c>
      <c r="D489">
        <f>IF($V489="","",INDEX('Per Line'!$E$2:$E$6001,$V489)&amp;"")</f>
        <v/>
      </c>
      <c r="E489">
        <f>IF($V489="","",INDEX('Per Line'!$G$2:$G$6001,$V489)&amp;"")</f>
        <v/>
      </c>
      <c r="F489">
        <f>IF($V489="","",INDEX('Per Line'!$H$2:$H$6001,$V489)&amp;"")</f>
        <v/>
      </c>
      <c r="G489">
        <f>IF($V489="","",INDEX('Per Line'!$I$2:$I$6001,$V489)&amp;"")</f>
        <v/>
      </c>
      <c r="H489">
        <f>IF($V489="","",INDEX('Per Line'!$J$2:$J$6001,$V489))</f>
        <v/>
      </c>
      <c r="I489" s="7">
        <f>IF($V489="","",H489*S489/100)</f>
        <v/>
      </c>
      <c r="J489">
        <f>IF($V489="","",INDEX('Per Line'!$S$2:$S$6001,$V489)&amp;"")</f>
        <v/>
      </c>
      <c r="K489" s="7">
        <f>IF($V489="","",SUMIFS('Per Line'!$R$2:$R$6001,'Per Line'!$C$2:$C$6001,$B489,'Per Line'!$AJ$2:$AJ$6001,1))</f>
        <v/>
      </c>
      <c r="L489">
        <f>IF($V489="","",Settings!$C$7)</f>
        <v/>
      </c>
      <c r="M489" s="7">
        <f>IF($V489="","",SUMIFS('Per Line'!$R$2:$R$6001,'Per Line'!$C$2:$C$6001,$B489,'Per Line'!$AI$2:$AI$6001,0,'Per Line'!$AJ$2:$AJ$6001,0))</f>
        <v/>
      </c>
      <c r="N489" s="7">
        <f>IF($V489="","",M489*L489)</f>
        <v/>
      </c>
      <c r="O489">
        <f>IF($V489="","",Settings!$C$6)</f>
        <v/>
      </c>
      <c r="P489" s="7">
        <f>IF($V489="","",SUMIFS('Per Line'!$R$2:$R$6001,'Per Line'!$C$2:$C$6001,$B489,'Per Line'!$AI$2:$AI$6001,1,'Per Line'!$AJ$2:$AJ$6001,0))</f>
        <v/>
      </c>
      <c r="Q489" s="7">
        <f>IF($V489="","",P489*O489)</f>
        <v/>
      </c>
      <c r="R489" s="7">
        <f>IF($V489="","",Q489+N489)</f>
        <v/>
      </c>
      <c r="S489" s="7">
        <f>IF($V489="","",T489-R489)</f>
        <v/>
      </c>
      <c r="T489" s="7">
        <f>IF($V489="","",M489+P489+K489)</f>
        <v/>
      </c>
      <c r="U489" s="7">
        <f>IF($V489="","",T489-R489-I489)</f>
        <v/>
      </c>
      <c r="V489" s="13">
        <f>IF(ROWS($V$2:$V489)&lt;=MAX('Per Line'!$AH$2:$AH$6001),MATCH(ROWS($V$2:$V489),'Per Line'!$AH$2:$AH$6001,0),"")</f>
        <v/>
      </c>
    </row>
    <row r="490">
      <c r="A490" s="12" t="n"/>
      <c r="B490">
        <f>IF($V490="","",INDEX('Per Line'!$C$2:$C$6001,$V490)&amp;"")</f>
        <v/>
      </c>
      <c r="C490" s="11">
        <f>IF($V490="","",INDEX('Per Line'!$D$2:$D$6001,$V490))</f>
        <v/>
      </c>
      <c r="D490">
        <f>IF($V490="","",INDEX('Per Line'!$E$2:$E$6001,$V490)&amp;"")</f>
        <v/>
      </c>
      <c r="E490">
        <f>IF($V490="","",INDEX('Per Line'!$G$2:$G$6001,$V490)&amp;"")</f>
        <v/>
      </c>
      <c r="F490">
        <f>IF($V490="","",INDEX('Per Line'!$H$2:$H$6001,$V490)&amp;"")</f>
        <v/>
      </c>
      <c r="G490">
        <f>IF($V490="","",INDEX('Per Line'!$I$2:$I$6001,$V490)&amp;"")</f>
        <v/>
      </c>
      <c r="H490">
        <f>IF($V490="","",INDEX('Per Line'!$J$2:$J$6001,$V490))</f>
        <v/>
      </c>
      <c r="I490" s="7">
        <f>IF($V490="","",H490*S490/100)</f>
        <v/>
      </c>
      <c r="J490">
        <f>IF($V490="","",INDEX('Per Line'!$S$2:$S$6001,$V490)&amp;"")</f>
        <v/>
      </c>
      <c r="K490" s="7">
        <f>IF($V490="","",SUMIFS('Per Line'!$R$2:$R$6001,'Per Line'!$C$2:$C$6001,$B490,'Per Line'!$AJ$2:$AJ$6001,1))</f>
        <v/>
      </c>
      <c r="L490">
        <f>IF($V490="","",Settings!$C$7)</f>
        <v/>
      </c>
      <c r="M490" s="7">
        <f>IF($V490="","",SUMIFS('Per Line'!$R$2:$R$6001,'Per Line'!$C$2:$C$6001,$B490,'Per Line'!$AI$2:$AI$6001,0,'Per Line'!$AJ$2:$AJ$6001,0))</f>
        <v/>
      </c>
      <c r="N490" s="7">
        <f>IF($V490="","",M490*L490)</f>
        <v/>
      </c>
      <c r="O490">
        <f>IF($V490="","",Settings!$C$6)</f>
        <v/>
      </c>
      <c r="P490" s="7">
        <f>IF($V490="","",SUMIFS('Per Line'!$R$2:$R$6001,'Per Line'!$C$2:$C$6001,$B490,'Per Line'!$AI$2:$AI$6001,1,'Per Line'!$AJ$2:$AJ$6001,0))</f>
        <v/>
      </c>
      <c r="Q490" s="7">
        <f>IF($V490="","",P490*O490)</f>
        <v/>
      </c>
      <c r="R490" s="7">
        <f>IF($V490="","",Q490+N490)</f>
        <v/>
      </c>
      <c r="S490" s="7">
        <f>IF($V490="","",T490-R490)</f>
        <v/>
      </c>
      <c r="T490" s="7">
        <f>IF($V490="","",M490+P490+K490)</f>
        <v/>
      </c>
      <c r="U490" s="7">
        <f>IF($V490="","",T490-R490-I490)</f>
        <v/>
      </c>
      <c r="V490" s="13">
        <f>IF(ROWS($V$2:$V490)&lt;=MAX('Per Line'!$AH$2:$AH$6001),MATCH(ROWS($V$2:$V490),'Per Line'!$AH$2:$AH$6001,0),"")</f>
        <v/>
      </c>
    </row>
    <row r="491">
      <c r="A491" s="12" t="n"/>
      <c r="B491">
        <f>IF($V491="","",INDEX('Per Line'!$C$2:$C$6001,$V491)&amp;"")</f>
        <v/>
      </c>
      <c r="C491" s="11">
        <f>IF($V491="","",INDEX('Per Line'!$D$2:$D$6001,$V491))</f>
        <v/>
      </c>
      <c r="D491">
        <f>IF($V491="","",INDEX('Per Line'!$E$2:$E$6001,$V491)&amp;"")</f>
        <v/>
      </c>
      <c r="E491">
        <f>IF($V491="","",INDEX('Per Line'!$G$2:$G$6001,$V491)&amp;"")</f>
        <v/>
      </c>
      <c r="F491">
        <f>IF($V491="","",INDEX('Per Line'!$H$2:$H$6001,$V491)&amp;"")</f>
        <v/>
      </c>
      <c r="G491">
        <f>IF($V491="","",INDEX('Per Line'!$I$2:$I$6001,$V491)&amp;"")</f>
        <v/>
      </c>
      <c r="H491">
        <f>IF($V491="","",INDEX('Per Line'!$J$2:$J$6001,$V491))</f>
        <v/>
      </c>
      <c r="I491" s="7">
        <f>IF($V491="","",H491*S491/100)</f>
        <v/>
      </c>
      <c r="J491">
        <f>IF($V491="","",INDEX('Per Line'!$S$2:$S$6001,$V491)&amp;"")</f>
        <v/>
      </c>
      <c r="K491" s="7">
        <f>IF($V491="","",SUMIFS('Per Line'!$R$2:$R$6001,'Per Line'!$C$2:$C$6001,$B491,'Per Line'!$AJ$2:$AJ$6001,1))</f>
        <v/>
      </c>
      <c r="L491">
        <f>IF($V491="","",Settings!$C$7)</f>
        <v/>
      </c>
      <c r="M491" s="7">
        <f>IF($V491="","",SUMIFS('Per Line'!$R$2:$R$6001,'Per Line'!$C$2:$C$6001,$B491,'Per Line'!$AI$2:$AI$6001,0,'Per Line'!$AJ$2:$AJ$6001,0))</f>
        <v/>
      </c>
      <c r="N491" s="7">
        <f>IF($V491="","",M491*L491)</f>
        <v/>
      </c>
      <c r="O491">
        <f>IF($V491="","",Settings!$C$6)</f>
        <v/>
      </c>
      <c r="P491" s="7">
        <f>IF($V491="","",SUMIFS('Per Line'!$R$2:$R$6001,'Per Line'!$C$2:$C$6001,$B491,'Per Line'!$AI$2:$AI$6001,1,'Per Line'!$AJ$2:$AJ$6001,0))</f>
        <v/>
      </c>
      <c r="Q491" s="7">
        <f>IF($V491="","",P491*O491)</f>
        <v/>
      </c>
      <c r="R491" s="7">
        <f>IF($V491="","",Q491+N491)</f>
        <v/>
      </c>
      <c r="S491" s="7">
        <f>IF($V491="","",T491-R491)</f>
        <v/>
      </c>
      <c r="T491" s="7">
        <f>IF($V491="","",M491+P491+K491)</f>
        <v/>
      </c>
      <c r="U491" s="7">
        <f>IF($V491="","",T491-R491-I491)</f>
        <v/>
      </c>
      <c r="V491" s="13">
        <f>IF(ROWS($V$2:$V491)&lt;=MAX('Per Line'!$AH$2:$AH$6001),MATCH(ROWS($V$2:$V491),'Per Line'!$AH$2:$AH$6001,0),"")</f>
        <v/>
      </c>
    </row>
    <row r="492">
      <c r="A492" s="12" t="n"/>
      <c r="B492">
        <f>IF($V492="","",INDEX('Per Line'!$C$2:$C$6001,$V492)&amp;"")</f>
        <v/>
      </c>
      <c r="C492" s="11">
        <f>IF($V492="","",INDEX('Per Line'!$D$2:$D$6001,$V492))</f>
        <v/>
      </c>
      <c r="D492">
        <f>IF($V492="","",INDEX('Per Line'!$E$2:$E$6001,$V492)&amp;"")</f>
        <v/>
      </c>
      <c r="E492">
        <f>IF($V492="","",INDEX('Per Line'!$G$2:$G$6001,$V492)&amp;"")</f>
        <v/>
      </c>
      <c r="F492">
        <f>IF($V492="","",INDEX('Per Line'!$H$2:$H$6001,$V492)&amp;"")</f>
        <v/>
      </c>
      <c r="G492">
        <f>IF($V492="","",INDEX('Per Line'!$I$2:$I$6001,$V492)&amp;"")</f>
        <v/>
      </c>
      <c r="H492">
        <f>IF($V492="","",INDEX('Per Line'!$J$2:$J$6001,$V492))</f>
        <v/>
      </c>
      <c r="I492" s="7">
        <f>IF($V492="","",H492*S492/100)</f>
        <v/>
      </c>
      <c r="J492">
        <f>IF($V492="","",INDEX('Per Line'!$S$2:$S$6001,$V492)&amp;"")</f>
        <v/>
      </c>
      <c r="K492" s="7">
        <f>IF($V492="","",SUMIFS('Per Line'!$R$2:$R$6001,'Per Line'!$C$2:$C$6001,$B492,'Per Line'!$AJ$2:$AJ$6001,1))</f>
        <v/>
      </c>
      <c r="L492">
        <f>IF($V492="","",Settings!$C$7)</f>
        <v/>
      </c>
      <c r="M492" s="7">
        <f>IF($V492="","",SUMIFS('Per Line'!$R$2:$R$6001,'Per Line'!$C$2:$C$6001,$B492,'Per Line'!$AI$2:$AI$6001,0,'Per Line'!$AJ$2:$AJ$6001,0))</f>
        <v/>
      </c>
      <c r="N492" s="7">
        <f>IF($V492="","",M492*L492)</f>
        <v/>
      </c>
      <c r="O492">
        <f>IF($V492="","",Settings!$C$6)</f>
        <v/>
      </c>
      <c r="P492" s="7">
        <f>IF($V492="","",SUMIFS('Per Line'!$R$2:$R$6001,'Per Line'!$C$2:$C$6001,$B492,'Per Line'!$AI$2:$AI$6001,1,'Per Line'!$AJ$2:$AJ$6001,0))</f>
        <v/>
      </c>
      <c r="Q492" s="7">
        <f>IF($V492="","",P492*O492)</f>
        <v/>
      </c>
      <c r="R492" s="7">
        <f>IF($V492="","",Q492+N492)</f>
        <v/>
      </c>
      <c r="S492" s="7">
        <f>IF($V492="","",T492-R492)</f>
        <v/>
      </c>
      <c r="T492" s="7">
        <f>IF($V492="","",M492+P492+K492)</f>
        <v/>
      </c>
      <c r="U492" s="7">
        <f>IF($V492="","",T492-R492-I492)</f>
        <v/>
      </c>
      <c r="V492" s="13">
        <f>IF(ROWS($V$2:$V492)&lt;=MAX('Per Line'!$AH$2:$AH$6001),MATCH(ROWS($V$2:$V492),'Per Line'!$AH$2:$AH$6001,0),"")</f>
        <v/>
      </c>
    </row>
    <row r="493">
      <c r="A493" s="12" t="n"/>
      <c r="B493">
        <f>IF($V493="","",INDEX('Per Line'!$C$2:$C$6001,$V493)&amp;"")</f>
        <v/>
      </c>
      <c r="C493" s="11">
        <f>IF($V493="","",INDEX('Per Line'!$D$2:$D$6001,$V493))</f>
        <v/>
      </c>
      <c r="D493">
        <f>IF($V493="","",INDEX('Per Line'!$E$2:$E$6001,$V493)&amp;"")</f>
        <v/>
      </c>
      <c r="E493">
        <f>IF($V493="","",INDEX('Per Line'!$G$2:$G$6001,$V493)&amp;"")</f>
        <v/>
      </c>
      <c r="F493">
        <f>IF($V493="","",INDEX('Per Line'!$H$2:$H$6001,$V493)&amp;"")</f>
        <v/>
      </c>
      <c r="G493">
        <f>IF($V493="","",INDEX('Per Line'!$I$2:$I$6001,$V493)&amp;"")</f>
        <v/>
      </c>
      <c r="H493">
        <f>IF($V493="","",INDEX('Per Line'!$J$2:$J$6001,$V493))</f>
        <v/>
      </c>
      <c r="I493" s="7">
        <f>IF($V493="","",H493*S493/100)</f>
        <v/>
      </c>
      <c r="J493">
        <f>IF($V493="","",INDEX('Per Line'!$S$2:$S$6001,$V493)&amp;"")</f>
        <v/>
      </c>
      <c r="K493" s="7">
        <f>IF($V493="","",SUMIFS('Per Line'!$R$2:$R$6001,'Per Line'!$C$2:$C$6001,$B493,'Per Line'!$AJ$2:$AJ$6001,1))</f>
        <v/>
      </c>
      <c r="L493">
        <f>IF($V493="","",Settings!$C$7)</f>
        <v/>
      </c>
      <c r="M493" s="7">
        <f>IF($V493="","",SUMIFS('Per Line'!$R$2:$R$6001,'Per Line'!$C$2:$C$6001,$B493,'Per Line'!$AI$2:$AI$6001,0,'Per Line'!$AJ$2:$AJ$6001,0))</f>
        <v/>
      </c>
      <c r="N493" s="7">
        <f>IF($V493="","",M493*L493)</f>
        <v/>
      </c>
      <c r="O493">
        <f>IF($V493="","",Settings!$C$6)</f>
        <v/>
      </c>
      <c r="P493" s="7">
        <f>IF($V493="","",SUMIFS('Per Line'!$R$2:$R$6001,'Per Line'!$C$2:$C$6001,$B493,'Per Line'!$AI$2:$AI$6001,1,'Per Line'!$AJ$2:$AJ$6001,0))</f>
        <v/>
      </c>
      <c r="Q493" s="7">
        <f>IF($V493="","",P493*O493)</f>
        <v/>
      </c>
      <c r="R493" s="7">
        <f>IF($V493="","",Q493+N493)</f>
        <v/>
      </c>
      <c r="S493" s="7">
        <f>IF($V493="","",T493-R493)</f>
        <v/>
      </c>
      <c r="T493" s="7">
        <f>IF($V493="","",M493+P493+K493)</f>
        <v/>
      </c>
      <c r="U493" s="7">
        <f>IF($V493="","",T493-R493-I493)</f>
        <v/>
      </c>
      <c r="V493" s="13">
        <f>IF(ROWS($V$2:$V493)&lt;=MAX('Per Line'!$AH$2:$AH$6001),MATCH(ROWS($V$2:$V493),'Per Line'!$AH$2:$AH$6001,0),"")</f>
        <v/>
      </c>
    </row>
    <row r="494">
      <c r="A494" s="12" t="n"/>
      <c r="B494">
        <f>IF($V494="","",INDEX('Per Line'!$C$2:$C$6001,$V494)&amp;"")</f>
        <v/>
      </c>
      <c r="C494" s="11">
        <f>IF($V494="","",INDEX('Per Line'!$D$2:$D$6001,$V494))</f>
        <v/>
      </c>
      <c r="D494">
        <f>IF($V494="","",INDEX('Per Line'!$E$2:$E$6001,$V494)&amp;"")</f>
        <v/>
      </c>
      <c r="E494">
        <f>IF($V494="","",INDEX('Per Line'!$G$2:$G$6001,$V494)&amp;"")</f>
        <v/>
      </c>
      <c r="F494">
        <f>IF($V494="","",INDEX('Per Line'!$H$2:$H$6001,$V494)&amp;"")</f>
        <v/>
      </c>
      <c r="G494">
        <f>IF($V494="","",INDEX('Per Line'!$I$2:$I$6001,$V494)&amp;"")</f>
        <v/>
      </c>
      <c r="H494">
        <f>IF($V494="","",INDEX('Per Line'!$J$2:$J$6001,$V494))</f>
        <v/>
      </c>
      <c r="I494" s="7">
        <f>IF($V494="","",H494*S494/100)</f>
        <v/>
      </c>
      <c r="J494">
        <f>IF($V494="","",INDEX('Per Line'!$S$2:$S$6001,$V494)&amp;"")</f>
        <v/>
      </c>
      <c r="K494" s="7">
        <f>IF($V494="","",SUMIFS('Per Line'!$R$2:$R$6001,'Per Line'!$C$2:$C$6001,$B494,'Per Line'!$AJ$2:$AJ$6001,1))</f>
        <v/>
      </c>
      <c r="L494">
        <f>IF($V494="","",Settings!$C$7)</f>
        <v/>
      </c>
      <c r="M494" s="7">
        <f>IF($V494="","",SUMIFS('Per Line'!$R$2:$R$6001,'Per Line'!$C$2:$C$6001,$B494,'Per Line'!$AI$2:$AI$6001,0,'Per Line'!$AJ$2:$AJ$6001,0))</f>
        <v/>
      </c>
      <c r="N494" s="7">
        <f>IF($V494="","",M494*L494)</f>
        <v/>
      </c>
      <c r="O494">
        <f>IF($V494="","",Settings!$C$6)</f>
        <v/>
      </c>
      <c r="P494" s="7">
        <f>IF($V494="","",SUMIFS('Per Line'!$R$2:$R$6001,'Per Line'!$C$2:$C$6001,$B494,'Per Line'!$AI$2:$AI$6001,1,'Per Line'!$AJ$2:$AJ$6001,0))</f>
        <v/>
      </c>
      <c r="Q494" s="7">
        <f>IF($V494="","",P494*O494)</f>
        <v/>
      </c>
      <c r="R494" s="7">
        <f>IF($V494="","",Q494+N494)</f>
        <v/>
      </c>
      <c r="S494" s="7">
        <f>IF($V494="","",T494-R494)</f>
        <v/>
      </c>
      <c r="T494" s="7">
        <f>IF($V494="","",M494+P494+K494)</f>
        <v/>
      </c>
      <c r="U494" s="7">
        <f>IF($V494="","",T494-R494-I494)</f>
        <v/>
      </c>
      <c r="V494" s="13">
        <f>IF(ROWS($V$2:$V494)&lt;=MAX('Per Line'!$AH$2:$AH$6001),MATCH(ROWS($V$2:$V494),'Per Line'!$AH$2:$AH$6001,0),"")</f>
        <v/>
      </c>
    </row>
    <row r="495">
      <c r="A495" s="12" t="n"/>
      <c r="B495">
        <f>IF($V495="","",INDEX('Per Line'!$C$2:$C$6001,$V495)&amp;"")</f>
        <v/>
      </c>
      <c r="C495" s="11">
        <f>IF($V495="","",INDEX('Per Line'!$D$2:$D$6001,$V495))</f>
        <v/>
      </c>
      <c r="D495">
        <f>IF($V495="","",INDEX('Per Line'!$E$2:$E$6001,$V495)&amp;"")</f>
        <v/>
      </c>
      <c r="E495">
        <f>IF($V495="","",INDEX('Per Line'!$G$2:$G$6001,$V495)&amp;"")</f>
        <v/>
      </c>
      <c r="F495">
        <f>IF($V495="","",INDEX('Per Line'!$H$2:$H$6001,$V495)&amp;"")</f>
        <v/>
      </c>
      <c r="G495">
        <f>IF($V495="","",INDEX('Per Line'!$I$2:$I$6001,$V495)&amp;"")</f>
        <v/>
      </c>
      <c r="H495">
        <f>IF($V495="","",INDEX('Per Line'!$J$2:$J$6001,$V495))</f>
        <v/>
      </c>
      <c r="I495" s="7">
        <f>IF($V495="","",H495*S495/100)</f>
        <v/>
      </c>
      <c r="J495">
        <f>IF($V495="","",INDEX('Per Line'!$S$2:$S$6001,$V495)&amp;"")</f>
        <v/>
      </c>
      <c r="K495" s="7">
        <f>IF($V495="","",SUMIFS('Per Line'!$R$2:$R$6001,'Per Line'!$C$2:$C$6001,$B495,'Per Line'!$AJ$2:$AJ$6001,1))</f>
        <v/>
      </c>
      <c r="L495">
        <f>IF($V495="","",Settings!$C$7)</f>
        <v/>
      </c>
      <c r="M495" s="7">
        <f>IF($V495="","",SUMIFS('Per Line'!$R$2:$R$6001,'Per Line'!$C$2:$C$6001,$B495,'Per Line'!$AI$2:$AI$6001,0,'Per Line'!$AJ$2:$AJ$6001,0))</f>
        <v/>
      </c>
      <c r="N495" s="7">
        <f>IF($V495="","",M495*L495)</f>
        <v/>
      </c>
      <c r="O495">
        <f>IF($V495="","",Settings!$C$6)</f>
        <v/>
      </c>
      <c r="P495" s="7">
        <f>IF($V495="","",SUMIFS('Per Line'!$R$2:$R$6001,'Per Line'!$C$2:$C$6001,$B495,'Per Line'!$AI$2:$AI$6001,1,'Per Line'!$AJ$2:$AJ$6001,0))</f>
        <v/>
      </c>
      <c r="Q495" s="7">
        <f>IF($V495="","",P495*O495)</f>
        <v/>
      </c>
      <c r="R495" s="7">
        <f>IF($V495="","",Q495+N495)</f>
        <v/>
      </c>
      <c r="S495" s="7">
        <f>IF($V495="","",T495-R495)</f>
        <v/>
      </c>
      <c r="T495" s="7">
        <f>IF($V495="","",M495+P495+K495)</f>
        <v/>
      </c>
      <c r="U495" s="7">
        <f>IF($V495="","",T495-R495-I495)</f>
        <v/>
      </c>
      <c r="V495" s="13">
        <f>IF(ROWS($V$2:$V495)&lt;=MAX('Per Line'!$AH$2:$AH$6001),MATCH(ROWS($V$2:$V495),'Per Line'!$AH$2:$AH$6001,0),"")</f>
        <v/>
      </c>
    </row>
    <row r="496">
      <c r="A496" s="12" t="n"/>
      <c r="B496">
        <f>IF($V496="","",INDEX('Per Line'!$C$2:$C$6001,$V496)&amp;"")</f>
        <v/>
      </c>
      <c r="C496" s="11">
        <f>IF($V496="","",INDEX('Per Line'!$D$2:$D$6001,$V496))</f>
        <v/>
      </c>
      <c r="D496">
        <f>IF($V496="","",INDEX('Per Line'!$E$2:$E$6001,$V496)&amp;"")</f>
        <v/>
      </c>
      <c r="E496">
        <f>IF($V496="","",INDEX('Per Line'!$G$2:$G$6001,$V496)&amp;"")</f>
        <v/>
      </c>
      <c r="F496">
        <f>IF($V496="","",INDEX('Per Line'!$H$2:$H$6001,$V496)&amp;"")</f>
        <v/>
      </c>
      <c r="G496">
        <f>IF($V496="","",INDEX('Per Line'!$I$2:$I$6001,$V496)&amp;"")</f>
        <v/>
      </c>
      <c r="H496">
        <f>IF($V496="","",INDEX('Per Line'!$J$2:$J$6001,$V496))</f>
        <v/>
      </c>
      <c r="I496" s="7">
        <f>IF($V496="","",H496*S496/100)</f>
        <v/>
      </c>
      <c r="J496">
        <f>IF($V496="","",INDEX('Per Line'!$S$2:$S$6001,$V496)&amp;"")</f>
        <v/>
      </c>
      <c r="K496" s="7">
        <f>IF($V496="","",SUMIFS('Per Line'!$R$2:$R$6001,'Per Line'!$C$2:$C$6001,$B496,'Per Line'!$AJ$2:$AJ$6001,1))</f>
        <v/>
      </c>
      <c r="L496">
        <f>IF($V496="","",Settings!$C$7)</f>
        <v/>
      </c>
      <c r="M496" s="7">
        <f>IF($V496="","",SUMIFS('Per Line'!$R$2:$R$6001,'Per Line'!$C$2:$C$6001,$B496,'Per Line'!$AI$2:$AI$6001,0,'Per Line'!$AJ$2:$AJ$6001,0))</f>
        <v/>
      </c>
      <c r="N496" s="7">
        <f>IF($V496="","",M496*L496)</f>
        <v/>
      </c>
      <c r="O496">
        <f>IF($V496="","",Settings!$C$6)</f>
        <v/>
      </c>
      <c r="P496" s="7">
        <f>IF($V496="","",SUMIFS('Per Line'!$R$2:$R$6001,'Per Line'!$C$2:$C$6001,$B496,'Per Line'!$AI$2:$AI$6001,1,'Per Line'!$AJ$2:$AJ$6001,0))</f>
        <v/>
      </c>
      <c r="Q496" s="7">
        <f>IF($V496="","",P496*O496)</f>
        <v/>
      </c>
      <c r="R496" s="7">
        <f>IF($V496="","",Q496+N496)</f>
        <v/>
      </c>
      <c r="S496" s="7">
        <f>IF($V496="","",T496-R496)</f>
        <v/>
      </c>
      <c r="T496" s="7">
        <f>IF($V496="","",M496+P496+K496)</f>
        <v/>
      </c>
      <c r="U496" s="7">
        <f>IF($V496="","",T496-R496-I496)</f>
        <v/>
      </c>
      <c r="V496" s="13">
        <f>IF(ROWS($V$2:$V496)&lt;=MAX('Per Line'!$AH$2:$AH$6001),MATCH(ROWS($V$2:$V496),'Per Line'!$AH$2:$AH$6001,0),"")</f>
        <v/>
      </c>
    </row>
    <row r="497">
      <c r="A497" s="12" t="n"/>
      <c r="B497">
        <f>IF($V497="","",INDEX('Per Line'!$C$2:$C$6001,$V497)&amp;"")</f>
        <v/>
      </c>
      <c r="C497" s="11">
        <f>IF($V497="","",INDEX('Per Line'!$D$2:$D$6001,$V497))</f>
        <v/>
      </c>
      <c r="D497">
        <f>IF($V497="","",INDEX('Per Line'!$E$2:$E$6001,$V497)&amp;"")</f>
        <v/>
      </c>
      <c r="E497">
        <f>IF($V497="","",INDEX('Per Line'!$G$2:$G$6001,$V497)&amp;"")</f>
        <v/>
      </c>
      <c r="F497">
        <f>IF($V497="","",INDEX('Per Line'!$H$2:$H$6001,$V497)&amp;"")</f>
        <v/>
      </c>
      <c r="G497">
        <f>IF($V497="","",INDEX('Per Line'!$I$2:$I$6001,$V497)&amp;"")</f>
        <v/>
      </c>
      <c r="H497">
        <f>IF($V497="","",INDEX('Per Line'!$J$2:$J$6001,$V497))</f>
        <v/>
      </c>
      <c r="I497" s="7">
        <f>IF($V497="","",H497*S497/100)</f>
        <v/>
      </c>
      <c r="J497">
        <f>IF($V497="","",INDEX('Per Line'!$S$2:$S$6001,$V497)&amp;"")</f>
        <v/>
      </c>
      <c r="K497" s="7">
        <f>IF($V497="","",SUMIFS('Per Line'!$R$2:$R$6001,'Per Line'!$C$2:$C$6001,$B497,'Per Line'!$AJ$2:$AJ$6001,1))</f>
        <v/>
      </c>
      <c r="L497">
        <f>IF($V497="","",Settings!$C$7)</f>
        <v/>
      </c>
      <c r="M497" s="7">
        <f>IF($V497="","",SUMIFS('Per Line'!$R$2:$R$6001,'Per Line'!$C$2:$C$6001,$B497,'Per Line'!$AI$2:$AI$6001,0,'Per Line'!$AJ$2:$AJ$6001,0))</f>
        <v/>
      </c>
      <c r="N497" s="7">
        <f>IF($V497="","",M497*L497)</f>
        <v/>
      </c>
      <c r="O497">
        <f>IF($V497="","",Settings!$C$6)</f>
        <v/>
      </c>
      <c r="P497" s="7">
        <f>IF($V497="","",SUMIFS('Per Line'!$R$2:$R$6001,'Per Line'!$C$2:$C$6001,$B497,'Per Line'!$AI$2:$AI$6001,1,'Per Line'!$AJ$2:$AJ$6001,0))</f>
        <v/>
      </c>
      <c r="Q497" s="7">
        <f>IF($V497="","",P497*O497)</f>
        <v/>
      </c>
      <c r="R497" s="7">
        <f>IF($V497="","",Q497+N497)</f>
        <v/>
      </c>
      <c r="S497" s="7">
        <f>IF($V497="","",T497-R497)</f>
        <v/>
      </c>
      <c r="T497" s="7">
        <f>IF($V497="","",M497+P497+K497)</f>
        <v/>
      </c>
      <c r="U497" s="7">
        <f>IF($V497="","",T497-R497-I497)</f>
        <v/>
      </c>
      <c r="V497" s="13">
        <f>IF(ROWS($V$2:$V497)&lt;=MAX('Per Line'!$AH$2:$AH$6001),MATCH(ROWS($V$2:$V497),'Per Line'!$AH$2:$AH$6001,0),"")</f>
        <v/>
      </c>
    </row>
    <row r="498">
      <c r="A498" s="12" t="n"/>
      <c r="B498">
        <f>IF($V498="","",INDEX('Per Line'!$C$2:$C$6001,$V498)&amp;"")</f>
        <v/>
      </c>
      <c r="C498" s="11">
        <f>IF($V498="","",INDEX('Per Line'!$D$2:$D$6001,$V498))</f>
        <v/>
      </c>
      <c r="D498">
        <f>IF($V498="","",INDEX('Per Line'!$E$2:$E$6001,$V498)&amp;"")</f>
        <v/>
      </c>
      <c r="E498">
        <f>IF($V498="","",INDEX('Per Line'!$G$2:$G$6001,$V498)&amp;"")</f>
        <v/>
      </c>
      <c r="F498">
        <f>IF($V498="","",INDEX('Per Line'!$H$2:$H$6001,$V498)&amp;"")</f>
        <v/>
      </c>
      <c r="G498">
        <f>IF($V498="","",INDEX('Per Line'!$I$2:$I$6001,$V498)&amp;"")</f>
        <v/>
      </c>
      <c r="H498">
        <f>IF($V498="","",INDEX('Per Line'!$J$2:$J$6001,$V498))</f>
        <v/>
      </c>
      <c r="I498" s="7">
        <f>IF($V498="","",H498*S498/100)</f>
        <v/>
      </c>
      <c r="J498">
        <f>IF($V498="","",INDEX('Per Line'!$S$2:$S$6001,$V498)&amp;"")</f>
        <v/>
      </c>
      <c r="K498" s="7">
        <f>IF($V498="","",SUMIFS('Per Line'!$R$2:$R$6001,'Per Line'!$C$2:$C$6001,$B498,'Per Line'!$AJ$2:$AJ$6001,1))</f>
        <v/>
      </c>
      <c r="L498">
        <f>IF($V498="","",Settings!$C$7)</f>
        <v/>
      </c>
      <c r="M498" s="7">
        <f>IF($V498="","",SUMIFS('Per Line'!$R$2:$R$6001,'Per Line'!$C$2:$C$6001,$B498,'Per Line'!$AI$2:$AI$6001,0,'Per Line'!$AJ$2:$AJ$6001,0))</f>
        <v/>
      </c>
      <c r="N498" s="7">
        <f>IF($V498="","",M498*L498)</f>
        <v/>
      </c>
      <c r="O498">
        <f>IF($V498="","",Settings!$C$6)</f>
        <v/>
      </c>
      <c r="P498" s="7">
        <f>IF($V498="","",SUMIFS('Per Line'!$R$2:$R$6001,'Per Line'!$C$2:$C$6001,$B498,'Per Line'!$AI$2:$AI$6001,1,'Per Line'!$AJ$2:$AJ$6001,0))</f>
        <v/>
      </c>
      <c r="Q498" s="7">
        <f>IF($V498="","",P498*O498)</f>
        <v/>
      </c>
      <c r="R498" s="7">
        <f>IF($V498="","",Q498+N498)</f>
        <v/>
      </c>
      <c r="S498" s="7">
        <f>IF($V498="","",T498-R498)</f>
        <v/>
      </c>
      <c r="T498" s="7">
        <f>IF($V498="","",M498+P498+K498)</f>
        <v/>
      </c>
      <c r="U498" s="7">
        <f>IF($V498="","",T498-R498-I498)</f>
        <v/>
      </c>
      <c r="V498" s="13">
        <f>IF(ROWS($V$2:$V498)&lt;=MAX('Per Line'!$AH$2:$AH$6001),MATCH(ROWS($V$2:$V498),'Per Line'!$AH$2:$AH$6001,0),"")</f>
        <v/>
      </c>
    </row>
    <row r="499">
      <c r="A499" s="12" t="n"/>
      <c r="B499">
        <f>IF($V499="","",INDEX('Per Line'!$C$2:$C$6001,$V499)&amp;"")</f>
        <v/>
      </c>
      <c r="C499" s="11">
        <f>IF($V499="","",INDEX('Per Line'!$D$2:$D$6001,$V499))</f>
        <v/>
      </c>
      <c r="D499">
        <f>IF($V499="","",INDEX('Per Line'!$E$2:$E$6001,$V499)&amp;"")</f>
        <v/>
      </c>
      <c r="E499">
        <f>IF($V499="","",INDEX('Per Line'!$G$2:$G$6001,$V499)&amp;"")</f>
        <v/>
      </c>
      <c r="F499">
        <f>IF($V499="","",INDEX('Per Line'!$H$2:$H$6001,$V499)&amp;"")</f>
        <v/>
      </c>
      <c r="G499">
        <f>IF($V499="","",INDEX('Per Line'!$I$2:$I$6001,$V499)&amp;"")</f>
        <v/>
      </c>
      <c r="H499">
        <f>IF($V499="","",INDEX('Per Line'!$J$2:$J$6001,$V499))</f>
        <v/>
      </c>
      <c r="I499" s="7">
        <f>IF($V499="","",H499*S499/100)</f>
        <v/>
      </c>
      <c r="J499">
        <f>IF($V499="","",INDEX('Per Line'!$S$2:$S$6001,$V499)&amp;"")</f>
        <v/>
      </c>
      <c r="K499" s="7">
        <f>IF($V499="","",SUMIFS('Per Line'!$R$2:$R$6001,'Per Line'!$C$2:$C$6001,$B499,'Per Line'!$AJ$2:$AJ$6001,1))</f>
        <v/>
      </c>
      <c r="L499">
        <f>IF($V499="","",Settings!$C$7)</f>
        <v/>
      </c>
      <c r="M499" s="7">
        <f>IF($V499="","",SUMIFS('Per Line'!$R$2:$R$6001,'Per Line'!$C$2:$C$6001,$B499,'Per Line'!$AI$2:$AI$6001,0,'Per Line'!$AJ$2:$AJ$6001,0))</f>
        <v/>
      </c>
      <c r="N499" s="7">
        <f>IF($V499="","",M499*L499)</f>
        <v/>
      </c>
      <c r="O499">
        <f>IF($V499="","",Settings!$C$6)</f>
        <v/>
      </c>
      <c r="P499" s="7">
        <f>IF($V499="","",SUMIFS('Per Line'!$R$2:$R$6001,'Per Line'!$C$2:$C$6001,$B499,'Per Line'!$AI$2:$AI$6001,1,'Per Line'!$AJ$2:$AJ$6001,0))</f>
        <v/>
      </c>
      <c r="Q499" s="7">
        <f>IF($V499="","",P499*O499)</f>
        <v/>
      </c>
      <c r="R499" s="7">
        <f>IF($V499="","",Q499+N499)</f>
        <v/>
      </c>
      <c r="S499" s="7">
        <f>IF($V499="","",T499-R499)</f>
        <v/>
      </c>
      <c r="T499" s="7">
        <f>IF($V499="","",M499+P499+K499)</f>
        <v/>
      </c>
      <c r="U499" s="7">
        <f>IF($V499="","",T499-R499-I499)</f>
        <v/>
      </c>
      <c r="V499" s="13">
        <f>IF(ROWS($V$2:$V499)&lt;=MAX('Per Line'!$AH$2:$AH$6001),MATCH(ROWS($V$2:$V499),'Per Line'!$AH$2:$AH$6001,0),"")</f>
        <v/>
      </c>
    </row>
    <row r="500">
      <c r="A500" s="12" t="n"/>
      <c r="B500">
        <f>IF($V500="","",INDEX('Per Line'!$C$2:$C$6001,$V500)&amp;"")</f>
        <v/>
      </c>
      <c r="C500" s="11">
        <f>IF($V500="","",INDEX('Per Line'!$D$2:$D$6001,$V500))</f>
        <v/>
      </c>
      <c r="D500">
        <f>IF($V500="","",INDEX('Per Line'!$E$2:$E$6001,$V500)&amp;"")</f>
        <v/>
      </c>
      <c r="E500">
        <f>IF($V500="","",INDEX('Per Line'!$G$2:$G$6001,$V500)&amp;"")</f>
        <v/>
      </c>
      <c r="F500">
        <f>IF($V500="","",INDEX('Per Line'!$H$2:$H$6001,$V500)&amp;"")</f>
        <v/>
      </c>
      <c r="G500">
        <f>IF($V500="","",INDEX('Per Line'!$I$2:$I$6001,$V500)&amp;"")</f>
        <v/>
      </c>
      <c r="H500">
        <f>IF($V500="","",INDEX('Per Line'!$J$2:$J$6001,$V500))</f>
        <v/>
      </c>
      <c r="I500" s="7">
        <f>IF($V500="","",H500*S500/100)</f>
        <v/>
      </c>
      <c r="J500">
        <f>IF($V500="","",INDEX('Per Line'!$S$2:$S$6001,$V500)&amp;"")</f>
        <v/>
      </c>
      <c r="K500" s="7">
        <f>IF($V500="","",SUMIFS('Per Line'!$R$2:$R$6001,'Per Line'!$C$2:$C$6001,$B500,'Per Line'!$AJ$2:$AJ$6001,1))</f>
        <v/>
      </c>
      <c r="L500">
        <f>IF($V500="","",Settings!$C$7)</f>
        <v/>
      </c>
      <c r="M500" s="7">
        <f>IF($V500="","",SUMIFS('Per Line'!$R$2:$R$6001,'Per Line'!$C$2:$C$6001,$B500,'Per Line'!$AI$2:$AI$6001,0,'Per Line'!$AJ$2:$AJ$6001,0))</f>
        <v/>
      </c>
      <c r="N500" s="7">
        <f>IF($V500="","",M500*L500)</f>
        <v/>
      </c>
      <c r="O500">
        <f>IF($V500="","",Settings!$C$6)</f>
        <v/>
      </c>
      <c r="P500" s="7">
        <f>IF($V500="","",SUMIFS('Per Line'!$R$2:$R$6001,'Per Line'!$C$2:$C$6001,$B500,'Per Line'!$AI$2:$AI$6001,1,'Per Line'!$AJ$2:$AJ$6001,0))</f>
        <v/>
      </c>
      <c r="Q500" s="7">
        <f>IF($V500="","",P500*O500)</f>
        <v/>
      </c>
      <c r="R500" s="7">
        <f>IF($V500="","",Q500+N500)</f>
        <v/>
      </c>
      <c r="S500" s="7">
        <f>IF($V500="","",T500-R500)</f>
        <v/>
      </c>
      <c r="T500" s="7">
        <f>IF($V500="","",M500+P500+K500)</f>
        <v/>
      </c>
      <c r="U500" s="7">
        <f>IF($V500="","",T500-R500-I500)</f>
        <v/>
      </c>
      <c r="V500" s="13">
        <f>IF(ROWS($V$2:$V500)&lt;=MAX('Per Line'!$AH$2:$AH$6001),MATCH(ROWS($V$2:$V500),'Per Line'!$AH$2:$AH$6001,0),"")</f>
        <v/>
      </c>
    </row>
    <row r="501">
      <c r="A501" s="12" t="n"/>
      <c r="B501">
        <f>IF($V501="","",INDEX('Per Line'!$C$2:$C$6001,$V501)&amp;"")</f>
        <v/>
      </c>
      <c r="C501" s="11">
        <f>IF($V501="","",INDEX('Per Line'!$D$2:$D$6001,$V501))</f>
        <v/>
      </c>
      <c r="D501">
        <f>IF($V501="","",INDEX('Per Line'!$E$2:$E$6001,$V501)&amp;"")</f>
        <v/>
      </c>
      <c r="E501">
        <f>IF($V501="","",INDEX('Per Line'!$G$2:$G$6001,$V501)&amp;"")</f>
        <v/>
      </c>
      <c r="F501">
        <f>IF($V501="","",INDEX('Per Line'!$H$2:$H$6001,$V501)&amp;"")</f>
        <v/>
      </c>
      <c r="G501">
        <f>IF($V501="","",INDEX('Per Line'!$I$2:$I$6001,$V501)&amp;"")</f>
        <v/>
      </c>
      <c r="H501">
        <f>IF($V501="","",INDEX('Per Line'!$J$2:$J$6001,$V501))</f>
        <v/>
      </c>
      <c r="I501" s="7">
        <f>IF($V501="","",H501*S501/100)</f>
        <v/>
      </c>
      <c r="J501">
        <f>IF($V501="","",INDEX('Per Line'!$S$2:$S$6001,$V501)&amp;"")</f>
        <v/>
      </c>
      <c r="K501" s="7">
        <f>IF($V501="","",SUMIFS('Per Line'!$R$2:$R$6001,'Per Line'!$C$2:$C$6001,$B501,'Per Line'!$AJ$2:$AJ$6001,1))</f>
        <v/>
      </c>
      <c r="L501">
        <f>IF($V501="","",Settings!$C$7)</f>
        <v/>
      </c>
      <c r="M501" s="7">
        <f>IF($V501="","",SUMIFS('Per Line'!$R$2:$R$6001,'Per Line'!$C$2:$C$6001,$B501,'Per Line'!$AI$2:$AI$6001,0,'Per Line'!$AJ$2:$AJ$6001,0))</f>
        <v/>
      </c>
      <c r="N501" s="7">
        <f>IF($V501="","",M501*L501)</f>
        <v/>
      </c>
      <c r="O501">
        <f>IF($V501="","",Settings!$C$6)</f>
        <v/>
      </c>
      <c r="P501" s="7">
        <f>IF($V501="","",SUMIFS('Per Line'!$R$2:$R$6001,'Per Line'!$C$2:$C$6001,$B501,'Per Line'!$AI$2:$AI$6001,1,'Per Line'!$AJ$2:$AJ$6001,0))</f>
        <v/>
      </c>
      <c r="Q501" s="7">
        <f>IF($V501="","",P501*O501)</f>
        <v/>
      </c>
      <c r="R501" s="7">
        <f>IF($V501="","",Q501+N501)</f>
        <v/>
      </c>
      <c r="S501" s="7">
        <f>IF($V501="","",T501-R501)</f>
        <v/>
      </c>
      <c r="T501" s="7">
        <f>IF($V501="","",M501+P501+K501)</f>
        <v/>
      </c>
      <c r="U501" s="7">
        <f>IF($V501="","",T501-R501-I501)</f>
        <v/>
      </c>
      <c r="V501" s="13">
        <f>IF(ROWS($V$2:$V501)&lt;=MAX('Per Line'!$AH$2:$AH$6001),MATCH(ROWS($V$2:$V501),'Per Line'!$AH$2:$AH$6001,0),"")</f>
        <v/>
      </c>
    </row>
    <row r="502">
      <c r="A502" s="12" t="n"/>
      <c r="B502">
        <f>IF($V502="","",INDEX('Per Line'!$C$2:$C$6001,$V502)&amp;"")</f>
        <v/>
      </c>
      <c r="C502" s="11">
        <f>IF($V502="","",INDEX('Per Line'!$D$2:$D$6001,$V502))</f>
        <v/>
      </c>
      <c r="D502">
        <f>IF($V502="","",INDEX('Per Line'!$E$2:$E$6001,$V502)&amp;"")</f>
        <v/>
      </c>
      <c r="E502">
        <f>IF($V502="","",INDEX('Per Line'!$G$2:$G$6001,$V502)&amp;"")</f>
        <v/>
      </c>
      <c r="F502">
        <f>IF($V502="","",INDEX('Per Line'!$H$2:$H$6001,$V502)&amp;"")</f>
        <v/>
      </c>
      <c r="G502">
        <f>IF($V502="","",INDEX('Per Line'!$I$2:$I$6001,$V502)&amp;"")</f>
        <v/>
      </c>
      <c r="H502">
        <f>IF($V502="","",INDEX('Per Line'!$J$2:$J$6001,$V502))</f>
        <v/>
      </c>
      <c r="I502" s="7">
        <f>IF($V502="","",H502*S502/100)</f>
        <v/>
      </c>
      <c r="J502">
        <f>IF($V502="","",INDEX('Per Line'!$S$2:$S$6001,$V502)&amp;"")</f>
        <v/>
      </c>
      <c r="K502" s="7">
        <f>IF($V502="","",SUMIFS('Per Line'!$R$2:$R$6001,'Per Line'!$C$2:$C$6001,$B502,'Per Line'!$AJ$2:$AJ$6001,1))</f>
        <v/>
      </c>
      <c r="L502">
        <f>IF($V502="","",Settings!$C$7)</f>
        <v/>
      </c>
      <c r="M502" s="7">
        <f>IF($V502="","",SUMIFS('Per Line'!$R$2:$R$6001,'Per Line'!$C$2:$C$6001,$B502,'Per Line'!$AI$2:$AI$6001,0,'Per Line'!$AJ$2:$AJ$6001,0))</f>
        <v/>
      </c>
      <c r="N502" s="7">
        <f>IF($V502="","",M502*L502)</f>
        <v/>
      </c>
      <c r="O502">
        <f>IF($V502="","",Settings!$C$6)</f>
        <v/>
      </c>
      <c r="P502" s="7">
        <f>IF($V502="","",SUMIFS('Per Line'!$R$2:$R$6001,'Per Line'!$C$2:$C$6001,$B502,'Per Line'!$AI$2:$AI$6001,1,'Per Line'!$AJ$2:$AJ$6001,0))</f>
        <v/>
      </c>
      <c r="Q502" s="7">
        <f>IF($V502="","",P502*O502)</f>
        <v/>
      </c>
      <c r="R502" s="7">
        <f>IF($V502="","",Q502+N502)</f>
        <v/>
      </c>
      <c r="S502" s="7">
        <f>IF($V502="","",T502-R502)</f>
        <v/>
      </c>
      <c r="T502" s="7">
        <f>IF($V502="","",M502+P502+K502)</f>
        <v/>
      </c>
      <c r="U502" s="7">
        <f>IF($V502="","",T502-R502-I502)</f>
        <v/>
      </c>
      <c r="V502" s="13">
        <f>IF(ROWS($V$2:$V502)&lt;=MAX('Per Line'!$AH$2:$AH$6001),MATCH(ROWS($V$2:$V502),'Per Line'!$AH$2:$AH$6001,0),"")</f>
        <v/>
      </c>
    </row>
    <row r="503">
      <c r="A503" s="12" t="n"/>
      <c r="B503">
        <f>IF($V503="","",INDEX('Per Line'!$C$2:$C$6001,$V503)&amp;"")</f>
        <v/>
      </c>
      <c r="C503" s="11">
        <f>IF($V503="","",INDEX('Per Line'!$D$2:$D$6001,$V503))</f>
        <v/>
      </c>
      <c r="D503">
        <f>IF($V503="","",INDEX('Per Line'!$E$2:$E$6001,$V503)&amp;"")</f>
        <v/>
      </c>
      <c r="E503">
        <f>IF($V503="","",INDEX('Per Line'!$G$2:$G$6001,$V503)&amp;"")</f>
        <v/>
      </c>
      <c r="F503">
        <f>IF($V503="","",INDEX('Per Line'!$H$2:$H$6001,$V503)&amp;"")</f>
        <v/>
      </c>
      <c r="G503">
        <f>IF($V503="","",INDEX('Per Line'!$I$2:$I$6001,$V503)&amp;"")</f>
        <v/>
      </c>
      <c r="H503">
        <f>IF($V503="","",INDEX('Per Line'!$J$2:$J$6001,$V503))</f>
        <v/>
      </c>
      <c r="I503" s="7">
        <f>IF($V503="","",H503*S503/100)</f>
        <v/>
      </c>
      <c r="J503">
        <f>IF($V503="","",INDEX('Per Line'!$S$2:$S$6001,$V503)&amp;"")</f>
        <v/>
      </c>
      <c r="K503" s="7">
        <f>IF($V503="","",SUMIFS('Per Line'!$R$2:$R$6001,'Per Line'!$C$2:$C$6001,$B503,'Per Line'!$AJ$2:$AJ$6001,1))</f>
        <v/>
      </c>
      <c r="L503">
        <f>IF($V503="","",Settings!$C$7)</f>
        <v/>
      </c>
      <c r="M503" s="7">
        <f>IF($V503="","",SUMIFS('Per Line'!$R$2:$R$6001,'Per Line'!$C$2:$C$6001,$B503,'Per Line'!$AI$2:$AI$6001,0,'Per Line'!$AJ$2:$AJ$6001,0))</f>
        <v/>
      </c>
      <c r="N503" s="7">
        <f>IF($V503="","",M503*L503)</f>
        <v/>
      </c>
      <c r="O503">
        <f>IF($V503="","",Settings!$C$6)</f>
        <v/>
      </c>
      <c r="P503" s="7">
        <f>IF($V503="","",SUMIFS('Per Line'!$R$2:$R$6001,'Per Line'!$C$2:$C$6001,$B503,'Per Line'!$AI$2:$AI$6001,1,'Per Line'!$AJ$2:$AJ$6001,0))</f>
        <v/>
      </c>
      <c r="Q503" s="7">
        <f>IF($V503="","",P503*O503)</f>
        <v/>
      </c>
      <c r="R503" s="7">
        <f>IF($V503="","",Q503+N503)</f>
        <v/>
      </c>
      <c r="S503" s="7">
        <f>IF($V503="","",T503-R503)</f>
        <v/>
      </c>
      <c r="T503" s="7">
        <f>IF($V503="","",M503+P503+K503)</f>
        <v/>
      </c>
      <c r="U503" s="7">
        <f>IF($V503="","",T503-R503-I503)</f>
        <v/>
      </c>
      <c r="V503" s="13">
        <f>IF(ROWS($V$2:$V503)&lt;=MAX('Per Line'!$AH$2:$AH$6001),MATCH(ROWS($V$2:$V503),'Per Line'!$AH$2:$AH$6001,0),"")</f>
        <v/>
      </c>
    </row>
    <row r="504">
      <c r="A504" s="12" t="n"/>
      <c r="B504">
        <f>IF($V504="","",INDEX('Per Line'!$C$2:$C$6001,$V504)&amp;"")</f>
        <v/>
      </c>
      <c r="C504" s="11">
        <f>IF($V504="","",INDEX('Per Line'!$D$2:$D$6001,$V504))</f>
        <v/>
      </c>
      <c r="D504">
        <f>IF($V504="","",INDEX('Per Line'!$E$2:$E$6001,$V504)&amp;"")</f>
        <v/>
      </c>
      <c r="E504">
        <f>IF($V504="","",INDEX('Per Line'!$G$2:$G$6001,$V504)&amp;"")</f>
        <v/>
      </c>
      <c r="F504">
        <f>IF($V504="","",INDEX('Per Line'!$H$2:$H$6001,$V504)&amp;"")</f>
        <v/>
      </c>
      <c r="G504">
        <f>IF($V504="","",INDEX('Per Line'!$I$2:$I$6001,$V504)&amp;"")</f>
        <v/>
      </c>
      <c r="H504">
        <f>IF($V504="","",INDEX('Per Line'!$J$2:$J$6001,$V504))</f>
        <v/>
      </c>
      <c r="I504" s="7">
        <f>IF($V504="","",H504*S504/100)</f>
        <v/>
      </c>
      <c r="J504">
        <f>IF($V504="","",INDEX('Per Line'!$S$2:$S$6001,$V504)&amp;"")</f>
        <v/>
      </c>
      <c r="K504" s="7">
        <f>IF($V504="","",SUMIFS('Per Line'!$R$2:$R$6001,'Per Line'!$C$2:$C$6001,$B504,'Per Line'!$AJ$2:$AJ$6001,1))</f>
        <v/>
      </c>
      <c r="L504">
        <f>IF($V504="","",Settings!$C$7)</f>
        <v/>
      </c>
      <c r="M504" s="7">
        <f>IF($V504="","",SUMIFS('Per Line'!$R$2:$R$6001,'Per Line'!$C$2:$C$6001,$B504,'Per Line'!$AI$2:$AI$6001,0,'Per Line'!$AJ$2:$AJ$6001,0))</f>
        <v/>
      </c>
      <c r="N504" s="7">
        <f>IF($V504="","",M504*L504)</f>
        <v/>
      </c>
      <c r="O504">
        <f>IF($V504="","",Settings!$C$6)</f>
        <v/>
      </c>
      <c r="P504" s="7">
        <f>IF($V504="","",SUMIFS('Per Line'!$R$2:$R$6001,'Per Line'!$C$2:$C$6001,$B504,'Per Line'!$AI$2:$AI$6001,1,'Per Line'!$AJ$2:$AJ$6001,0))</f>
        <v/>
      </c>
      <c r="Q504" s="7">
        <f>IF($V504="","",P504*O504)</f>
        <v/>
      </c>
      <c r="R504" s="7">
        <f>IF($V504="","",Q504+N504)</f>
        <v/>
      </c>
      <c r="S504" s="7">
        <f>IF($V504="","",T504-R504)</f>
        <v/>
      </c>
      <c r="T504" s="7">
        <f>IF($V504="","",M504+P504+K504)</f>
        <v/>
      </c>
      <c r="U504" s="7">
        <f>IF($V504="","",T504-R504-I504)</f>
        <v/>
      </c>
      <c r="V504" s="13">
        <f>IF(ROWS($V$2:$V504)&lt;=MAX('Per Line'!$AH$2:$AH$6001),MATCH(ROWS($V$2:$V504),'Per Line'!$AH$2:$AH$6001,0),"")</f>
        <v/>
      </c>
    </row>
    <row r="505">
      <c r="A505" s="12" t="n"/>
      <c r="B505">
        <f>IF($V505="","",INDEX('Per Line'!$C$2:$C$6001,$V505)&amp;"")</f>
        <v/>
      </c>
      <c r="C505" s="11">
        <f>IF($V505="","",INDEX('Per Line'!$D$2:$D$6001,$V505))</f>
        <v/>
      </c>
      <c r="D505">
        <f>IF($V505="","",INDEX('Per Line'!$E$2:$E$6001,$V505)&amp;"")</f>
        <v/>
      </c>
      <c r="E505">
        <f>IF($V505="","",INDEX('Per Line'!$G$2:$G$6001,$V505)&amp;"")</f>
        <v/>
      </c>
      <c r="F505">
        <f>IF($V505="","",INDEX('Per Line'!$H$2:$H$6001,$V505)&amp;"")</f>
        <v/>
      </c>
      <c r="G505">
        <f>IF($V505="","",INDEX('Per Line'!$I$2:$I$6001,$V505)&amp;"")</f>
        <v/>
      </c>
      <c r="H505">
        <f>IF($V505="","",INDEX('Per Line'!$J$2:$J$6001,$V505))</f>
        <v/>
      </c>
      <c r="I505" s="7">
        <f>IF($V505="","",H505*S505/100)</f>
        <v/>
      </c>
      <c r="J505">
        <f>IF($V505="","",INDEX('Per Line'!$S$2:$S$6001,$V505)&amp;"")</f>
        <v/>
      </c>
      <c r="K505" s="7">
        <f>IF($V505="","",SUMIFS('Per Line'!$R$2:$R$6001,'Per Line'!$C$2:$C$6001,$B505,'Per Line'!$AJ$2:$AJ$6001,1))</f>
        <v/>
      </c>
      <c r="L505">
        <f>IF($V505="","",Settings!$C$7)</f>
        <v/>
      </c>
      <c r="M505" s="7">
        <f>IF($V505="","",SUMIFS('Per Line'!$R$2:$R$6001,'Per Line'!$C$2:$C$6001,$B505,'Per Line'!$AI$2:$AI$6001,0,'Per Line'!$AJ$2:$AJ$6001,0))</f>
        <v/>
      </c>
      <c r="N505" s="7">
        <f>IF($V505="","",M505*L505)</f>
        <v/>
      </c>
      <c r="O505">
        <f>IF($V505="","",Settings!$C$6)</f>
        <v/>
      </c>
      <c r="P505" s="7">
        <f>IF($V505="","",SUMIFS('Per Line'!$R$2:$R$6001,'Per Line'!$C$2:$C$6001,$B505,'Per Line'!$AI$2:$AI$6001,1,'Per Line'!$AJ$2:$AJ$6001,0))</f>
        <v/>
      </c>
      <c r="Q505" s="7">
        <f>IF($V505="","",P505*O505)</f>
        <v/>
      </c>
      <c r="R505" s="7">
        <f>IF($V505="","",Q505+N505)</f>
        <v/>
      </c>
      <c r="S505" s="7">
        <f>IF($V505="","",T505-R505)</f>
        <v/>
      </c>
      <c r="T505" s="7">
        <f>IF($V505="","",M505+P505+K505)</f>
        <v/>
      </c>
      <c r="U505" s="7">
        <f>IF($V505="","",T505-R505-I505)</f>
        <v/>
      </c>
      <c r="V505" s="13">
        <f>IF(ROWS($V$2:$V505)&lt;=MAX('Per Line'!$AH$2:$AH$6001),MATCH(ROWS($V$2:$V505),'Per Line'!$AH$2:$AH$6001,0),"")</f>
        <v/>
      </c>
    </row>
    <row r="506">
      <c r="A506" s="12" t="n"/>
      <c r="B506">
        <f>IF($V506="","",INDEX('Per Line'!$C$2:$C$6001,$V506)&amp;"")</f>
        <v/>
      </c>
      <c r="C506" s="11">
        <f>IF($V506="","",INDEX('Per Line'!$D$2:$D$6001,$V506))</f>
        <v/>
      </c>
      <c r="D506">
        <f>IF($V506="","",INDEX('Per Line'!$E$2:$E$6001,$V506)&amp;"")</f>
        <v/>
      </c>
      <c r="E506">
        <f>IF($V506="","",INDEX('Per Line'!$G$2:$G$6001,$V506)&amp;"")</f>
        <v/>
      </c>
      <c r="F506">
        <f>IF($V506="","",INDEX('Per Line'!$H$2:$H$6001,$V506)&amp;"")</f>
        <v/>
      </c>
      <c r="G506">
        <f>IF($V506="","",INDEX('Per Line'!$I$2:$I$6001,$V506)&amp;"")</f>
        <v/>
      </c>
      <c r="H506">
        <f>IF($V506="","",INDEX('Per Line'!$J$2:$J$6001,$V506))</f>
        <v/>
      </c>
      <c r="I506" s="7">
        <f>IF($V506="","",H506*S506/100)</f>
        <v/>
      </c>
      <c r="J506">
        <f>IF($V506="","",INDEX('Per Line'!$S$2:$S$6001,$V506)&amp;"")</f>
        <v/>
      </c>
      <c r="K506" s="7">
        <f>IF($V506="","",SUMIFS('Per Line'!$R$2:$R$6001,'Per Line'!$C$2:$C$6001,$B506,'Per Line'!$AJ$2:$AJ$6001,1))</f>
        <v/>
      </c>
      <c r="L506">
        <f>IF($V506="","",Settings!$C$7)</f>
        <v/>
      </c>
      <c r="M506" s="7">
        <f>IF($V506="","",SUMIFS('Per Line'!$R$2:$R$6001,'Per Line'!$C$2:$C$6001,$B506,'Per Line'!$AI$2:$AI$6001,0,'Per Line'!$AJ$2:$AJ$6001,0))</f>
        <v/>
      </c>
      <c r="N506" s="7">
        <f>IF($V506="","",M506*L506)</f>
        <v/>
      </c>
      <c r="O506">
        <f>IF($V506="","",Settings!$C$6)</f>
        <v/>
      </c>
      <c r="P506" s="7">
        <f>IF($V506="","",SUMIFS('Per Line'!$R$2:$R$6001,'Per Line'!$C$2:$C$6001,$B506,'Per Line'!$AI$2:$AI$6001,1,'Per Line'!$AJ$2:$AJ$6001,0))</f>
        <v/>
      </c>
      <c r="Q506" s="7">
        <f>IF($V506="","",P506*O506)</f>
        <v/>
      </c>
      <c r="R506" s="7">
        <f>IF($V506="","",Q506+N506)</f>
        <v/>
      </c>
      <c r="S506" s="7">
        <f>IF($V506="","",T506-R506)</f>
        <v/>
      </c>
      <c r="T506" s="7">
        <f>IF($V506="","",M506+P506+K506)</f>
        <v/>
      </c>
      <c r="U506" s="7">
        <f>IF($V506="","",T506-R506-I506)</f>
        <v/>
      </c>
      <c r="V506" s="13">
        <f>IF(ROWS($V$2:$V506)&lt;=MAX('Per Line'!$AH$2:$AH$6001),MATCH(ROWS($V$2:$V506),'Per Line'!$AH$2:$AH$6001,0),"")</f>
        <v/>
      </c>
    </row>
    <row r="507">
      <c r="A507" s="12" t="n"/>
      <c r="B507">
        <f>IF($V507="","",INDEX('Per Line'!$C$2:$C$6001,$V507)&amp;"")</f>
        <v/>
      </c>
      <c r="C507" s="11">
        <f>IF($V507="","",INDEX('Per Line'!$D$2:$D$6001,$V507))</f>
        <v/>
      </c>
      <c r="D507">
        <f>IF($V507="","",INDEX('Per Line'!$E$2:$E$6001,$V507)&amp;"")</f>
        <v/>
      </c>
      <c r="E507">
        <f>IF($V507="","",INDEX('Per Line'!$G$2:$G$6001,$V507)&amp;"")</f>
        <v/>
      </c>
      <c r="F507">
        <f>IF($V507="","",INDEX('Per Line'!$H$2:$H$6001,$V507)&amp;"")</f>
        <v/>
      </c>
      <c r="G507">
        <f>IF($V507="","",INDEX('Per Line'!$I$2:$I$6001,$V507)&amp;"")</f>
        <v/>
      </c>
      <c r="H507">
        <f>IF($V507="","",INDEX('Per Line'!$J$2:$J$6001,$V507))</f>
        <v/>
      </c>
      <c r="I507" s="7">
        <f>IF($V507="","",H507*S507/100)</f>
        <v/>
      </c>
      <c r="J507">
        <f>IF($V507="","",INDEX('Per Line'!$S$2:$S$6001,$V507)&amp;"")</f>
        <v/>
      </c>
      <c r="K507" s="7">
        <f>IF($V507="","",SUMIFS('Per Line'!$R$2:$R$6001,'Per Line'!$C$2:$C$6001,$B507,'Per Line'!$AJ$2:$AJ$6001,1))</f>
        <v/>
      </c>
      <c r="L507">
        <f>IF($V507="","",Settings!$C$7)</f>
        <v/>
      </c>
      <c r="M507" s="7">
        <f>IF($V507="","",SUMIFS('Per Line'!$R$2:$R$6001,'Per Line'!$C$2:$C$6001,$B507,'Per Line'!$AI$2:$AI$6001,0,'Per Line'!$AJ$2:$AJ$6001,0))</f>
        <v/>
      </c>
      <c r="N507" s="7">
        <f>IF($V507="","",M507*L507)</f>
        <v/>
      </c>
      <c r="O507">
        <f>IF($V507="","",Settings!$C$6)</f>
        <v/>
      </c>
      <c r="P507" s="7">
        <f>IF($V507="","",SUMIFS('Per Line'!$R$2:$R$6001,'Per Line'!$C$2:$C$6001,$B507,'Per Line'!$AI$2:$AI$6001,1,'Per Line'!$AJ$2:$AJ$6001,0))</f>
        <v/>
      </c>
      <c r="Q507" s="7">
        <f>IF($V507="","",P507*O507)</f>
        <v/>
      </c>
      <c r="R507" s="7">
        <f>IF($V507="","",Q507+N507)</f>
        <v/>
      </c>
      <c r="S507" s="7">
        <f>IF($V507="","",T507-R507)</f>
        <v/>
      </c>
      <c r="T507" s="7">
        <f>IF($V507="","",M507+P507+K507)</f>
        <v/>
      </c>
      <c r="U507" s="7">
        <f>IF($V507="","",T507-R507-I507)</f>
        <v/>
      </c>
      <c r="V507" s="13">
        <f>IF(ROWS($V$2:$V507)&lt;=MAX('Per Line'!$AH$2:$AH$6001),MATCH(ROWS($V$2:$V507),'Per Line'!$AH$2:$AH$6001,0),"")</f>
        <v/>
      </c>
    </row>
    <row r="508">
      <c r="A508" s="12" t="n"/>
      <c r="B508">
        <f>IF($V508="","",INDEX('Per Line'!$C$2:$C$6001,$V508)&amp;"")</f>
        <v/>
      </c>
      <c r="C508" s="11">
        <f>IF($V508="","",INDEX('Per Line'!$D$2:$D$6001,$V508))</f>
        <v/>
      </c>
      <c r="D508">
        <f>IF($V508="","",INDEX('Per Line'!$E$2:$E$6001,$V508)&amp;"")</f>
        <v/>
      </c>
      <c r="E508">
        <f>IF($V508="","",INDEX('Per Line'!$G$2:$G$6001,$V508)&amp;"")</f>
        <v/>
      </c>
      <c r="F508">
        <f>IF($V508="","",INDEX('Per Line'!$H$2:$H$6001,$V508)&amp;"")</f>
        <v/>
      </c>
      <c r="G508">
        <f>IF($V508="","",INDEX('Per Line'!$I$2:$I$6001,$V508)&amp;"")</f>
        <v/>
      </c>
      <c r="H508">
        <f>IF($V508="","",INDEX('Per Line'!$J$2:$J$6001,$V508))</f>
        <v/>
      </c>
      <c r="I508" s="7">
        <f>IF($V508="","",H508*S508/100)</f>
        <v/>
      </c>
      <c r="J508">
        <f>IF($V508="","",INDEX('Per Line'!$S$2:$S$6001,$V508)&amp;"")</f>
        <v/>
      </c>
      <c r="K508" s="7">
        <f>IF($V508="","",SUMIFS('Per Line'!$R$2:$R$6001,'Per Line'!$C$2:$C$6001,$B508,'Per Line'!$AJ$2:$AJ$6001,1))</f>
        <v/>
      </c>
      <c r="L508">
        <f>IF($V508="","",Settings!$C$7)</f>
        <v/>
      </c>
      <c r="M508" s="7">
        <f>IF($V508="","",SUMIFS('Per Line'!$R$2:$R$6001,'Per Line'!$C$2:$C$6001,$B508,'Per Line'!$AI$2:$AI$6001,0,'Per Line'!$AJ$2:$AJ$6001,0))</f>
        <v/>
      </c>
      <c r="N508" s="7">
        <f>IF($V508="","",M508*L508)</f>
        <v/>
      </c>
      <c r="O508">
        <f>IF($V508="","",Settings!$C$6)</f>
        <v/>
      </c>
      <c r="P508" s="7">
        <f>IF($V508="","",SUMIFS('Per Line'!$R$2:$R$6001,'Per Line'!$C$2:$C$6001,$B508,'Per Line'!$AI$2:$AI$6001,1,'Per Line'!$AJ$2:$AJ$6001,0))</f>
        <v/>
      </c>
      <c r="Q508" s="7">
        <f>IF($V508="","",P508*O508)</f>
        <v/>
      </c>
      <c r="R508" s="7">
        <f>IF($V508="","",Q508+N508)</f>
        <v/>
      </c>
      <c r="S508" s="7">
        <f>IF($V508="","",T508-R508)</f>
        <v/>
      </c>
      <c r="T508" s="7">
        <f>IF($V508="","",M508+P508+K508)</f>
        <v/>
      </c>
      <c r="U508" s="7">
        <f>IF($V508="","",T508-R508-I508)</f>
        <v/>
      </c>
      <c r="V508" s="13">
        <f>IF(ROWS($V$2:$V508)&lt;=MAX('Per Line'!$AH$2:$AH$6001),MATCH(ROWS($V$2:$V508),'Per Line'!$AH$2:$AH$6001,0),"")</f>
        <v/>
      </c>
    </row>
    <row r="509">
      <c r="A509" s="12" t="n"/>
      <c r="B509">
        <f>IF($V509="","",INDEX('Per Line'!$C$2:$C$6001,$V509)&amp;"")</f>
        <v/>
      </c>
      <c r="C509" s="11">
        <f>IF($V509="","",INDEX('Per Line'!$D$2:$D$6001,$V509))</f>
        <v/>
      </c>
      <c r="D509">
        <f>IF($V509="","",INDEX('Per Line'!$E$2:$E$6001,$V509)&amp;"")</f>
        <v/>
      </c>
      <c r="E509">
        <f>IF($V509="","",INDEX('Per Line'!$G$2:$G$6001,$V509)&amp;"")</f>
        <v/>
      </c>
      <c r="F509">
        <f>IF($V509="","",INDEX('Per Line'!$H$2:$H$6001,$V509)&amp;"")</f>
        <v/>
      </c>
      <c r="G509">
        <f>IF($V509="","",INDEX('Per Line'!$I$2:$I$6001,$V509)&amp;"")</f>
        <v/>
      </c>
      <c r="H509">
        <f>IF($V509="","",INDEX('Per Line'!$J$2:$J$6001,$V509))</f>
        <v/>
      </c>
      <c r="I509" s="7">
        <f>IF($V509="","",H509*S509/100)</f>
        <v/>
      </c>
      <c r="J509">
        <f>IF($V509="","",INDEX('Per Line'!$S$2:$S$6001,$V509)&amp;"")</f>
        <v/>
      </c>
      <c r="K509" s="7">
        <f>IF($V509="","",SUMIFS('Per Line'!$R$2:$R$6001,'Per Line'!$C$2:$C$6001,$B509,'Per Line'!$AJ$2:$AJ$6001,1))</f>
        <v/>
      </c>
      <c r="L509">
        <f>IF($V509="","",Settings!$C$7)</f>
        <v/>
      </c>
      <c r="M509" s="7">
        <f>IF($V509="","",SUMIFS('Per Line'!$R$2:$R$6001,'Per Line'!$C$2:$C$6001,$B509,'Per Line'!$AI$2:$AI$6001,0,'Per Line'!$AJ$2:$AJ$6001,0))</f>
        <v/>
      </c>
      <c r="N509" s="7">
        <f>IF($V509="","",M509*L509)</f>
        <v/>
      </c>
      <c r="O509">
        <f>IF($V509="","",Settings!$C$6)</f>
        <v/>
      </c>
      <c r="P509" s="7">
        <f>IF($V509="","",SUMIFS('Per Line'!$R$2:$R$6001,'Per Line'!$C$2:$C$6001,$B509,'Per Line'!$AI$2:$AI$6001,1,'Per Line'!$AJ$2:$AJ$6001,0))</f>
        <v/>
      </c>
      <c r="Q509" s="7">
        <f>IF($V509="","",P509*O509)</f>
        <v/>
      </c>
      <c r="R509" s="7">
        <f>IF($V509="","",Q509+N509)</f>
        <v/>
      </c>
      <c r="S509" s="7">
        <f>IF($V509="","",T509-R509)</f>
        <v/>
      </c>
      <c r="T509" s="7">
        <f>IF($V509="","",M509+P509+K509)</f>
        <v/>
      </c>
      <c r="U509" s="7">
        <f>IF($V509="","",T509-R509-I509)</f>
        <v/>
      </c>
      <c r="V509" s="13">
        <f>IF(ROWS($V$2:$V509)&lt;=MAX('Per Line'!$AH$2:$AH$6001),MATCH(ROWS($V$2:$V509),'Per Line'!$AH$2:$AH$6001,0),"")</f>
        <v/>
      </c>
    </row>
    <row r="510">
      <c r="A510" s="12" t="n"/>
      <c r="B510">
        <f>IF($V510="","",INDEX('Per Line'!$C$2:$C$6001,$V510)&amp;"")</f>
        <v/>
      </c>
      <c r="C510" s="11">
        <f>IF($V510="","",INDEX('Per Line'!$D$2:$D$6001,$V510))</f>
        <v/>
      </c>
      <c r="D510">
        <f>IF($V510="","",INDEX('Per Line'!$E$2:$E$6001,$V510)&amp;"")</f>
        <v/>
      </c>
      <c r="E510">
        <f>IF($V510="","",INDEX('Per Line'!$G$2:$G$6001,$V510)&amp;"")</f>
        <v/>
      </c>
      <c r="F510">
        <f>IF($V510="","",INDEX('Per Line'!$H$2:$H$6001,$V510)&amp;"")</f>
        <v/>
      </c>
      <c r="G510">
        <f>IF($V510="","",INDEX('Per Line'!$I$2:$I$6001,$V510)&amp;"")</f>
        <v/>
      </c>
      <c r="H510">
        <f>IF($V510="","",INDEX('Per Line'!$J$2:$J$6001,$V510))</f>
        <v/>
      </c>
      <c r="I510" s="7">
        <f>IF($V510="","",H510*S510/100)</f>
        <v/>
      </c>
      <c r="J510">
        <f>IF($V510="","",INDEX('Per Line'!$S$2:$S$6001,$V510)&amp;"")</f>
        <v/>
      </c>
      <c r="K510" s="7">
        <f>IF($V510="","",SUMIFS('Per Line'!$R$2:$R$6001,'Per Line'!$C$2:$C$6001,$B510,'Per Line'!$AJ$2:$AJ$6001,1))</f>
        <v/>
      </c>
      <c r="L510">
        <f>IF($V510="","",Settings!$C$7)</f>
        <v/>
      </c>
      <c r="M510" s="7">
        <f>IF($V510="","",SUMIFS('Per Line'!$R$2:$R$6001,'Per Line'!$C$2:$C$6001,$B510,'Per Line'!$AI$2:$AI$6001,0,'Per Line'!$AJ$2:$AJ$6001,0))</f>
        <v/>
      </c>
      <c r="N510" s="7">
        <f>IF($V510="","",M510*L510)</f>
        <v/>
      </c>
      <c r="O510">
        <f>IF($V510="","",Settings!$C$6)</f>
        <v/>
      </c>
      <c r="P510" s="7">
        <f>IF($V510="","",SUMIFS('Per Line'!$R$2:$R$6001,'Per Line'!$C$2:$C$6001,$B510,'Per Line'!$AI$2:$AI$6001,1,'Per Line'!$AJ$2:$AJ$6001,0))</f>
        <v/>
      </c>
      <c r="Q510" s="7">
        <f>IF($V510="","",P510*O510)</f>
        <v/>
      </c>
      <c r="R510" s="7">
        <f>IF($V510="","",Q510+N510)</f>
        <v/>
      </c>
      <c r="S510" s="7">
        <f>IF($V510="","",T510-R510)</f>
        <v/>
      </c>
      <c r="T510" s="7">
        <f>IF($V510="","",M510+P510+K510)</f>
        <v/>
      </c>
      <c r="U510" s="7">
        <f>IF($V510="","",T510-R510-I510)</f>
        <v/>
      </c>
      <c r="V510" s="13">
        <f>IF(ROWS($V$2:$V510)&lt;=MAX('Per Line'!$AH$2:$AH$6001),MATCH(ROWS($V$2:$V510),'Per Line'!$AH$2:$AH$6001,0),"")</f>
        <v/>
      </c>
    </row>
    <row r="511">
      <c r="A511" s="12" t="n"/>
      <c r="B511">
        <f>IF($V511="","",INDEX('Per Line'!$C$2:$C$6001,$V511)&amp;"")</f>
        <v/>
      </c>
      <c r="C511" s="11">
        <f>IF($V511="","",INDEX('Per Line'!$D$2:$D$6001,$V511))</f>
        <v/>
      </c>
      <c r="D511">
        <f>IF($V511="","",INDEX('Per Line'!$E$2:$E$6001,$V511)&amp;"")</f>
        <v/>
      </c>
      <c r="E511">
        <f>IF($V511="","",INDEX('Per Line'!$G$2:$G$6001,$V511)&amp;"")</f>
        <v/>
      </c>
      <c r="F511">
        <f>IF($V511="","",INDEX('Per Line'!$H$2:$H$6001,$V511)&amp;"")</f>
        <v/>
      </c>
      <c r="G511">
        <f>IF($V511="","",INDEX('Per Line'!$I$2:$I$6001,$V511)&amp;"")</f>
        <v/>
      </c>
      <c r="H511">
        <f>IF($V511="","",INDEX('Per Line'!$J$2:$J$6001,$V511))</f>
        <v/>
      </c>
      <c r="I511" s="7">
        <f>IF($V511="","",H511*S511/100)</f>
        <v/>
      </c>
      <c r="J511">
        <f>IF($V511="","",INDEX('Per Line'!$S$2:$S$6001,$V511)&amp;"")</f>
        <v/>
      </c>
      <c r="K511" s="7">
        <f>IF($V511="","",SUMIFS('Per Line'!$R$2:$R$6001,'Per Line'!$C$2:$C$6001,$B511,'Per Line'!$AJ$2:$AJ$6001,1))</f>
        <v/>
      </c>
      <c r="L511">
        <f>IF($V511="","",Settings!$C$7)</f>
        <v/>
      </c>
      <c r="M511" s="7">
        <f>IF($V511="","",SUMIFS('Per Line'!$R$2:$R$6001,'Per Line'!$C$2:$C$6001,$B511,'Per Line'!$AI$2:$AI$6001,0,'Per Line'!$AJ$2:$AJ$6001,0))</f>
        <v/>
      </c>
      <c r="N511" s="7">
        <f>IF($V511="","",M511*L511)</f>
        <v/>
      </c>
      <c r="O511">
        <f>IF($V511="","",Settings!$C$6)</f>
        <v/>
      </c>
      <c r="P511" s="7">
        <f>IF($V511="","",SUMIFS('Per Line'!$R$2:$R$6001,'Per Line'!$C$2:$C$6001,$B511,'Per Line'!$AI$2:$AI$6001,1,'Per Line'!$AJ$2:$AJ$6001,0))</f>
        <v/>
      </c>
      <c r="Q511" s="7">
        <f>IF($V511="","",P511*O511)</f>
        <v/>
      </c>
      <c r="R511" s="7">
        <f>IF($V511="","",Q511+N511)</f>
        <v/>
      </c>
      <c r="S511" s="7">
        <f>IF($V511="","",T511-R511)</f>
        <v/>
      </c>
      <c r="T511" s="7">
        <f>IF($V511="","",M511+P511+K511)</f>
        <v/>
      </c>
      <c r="U511" s="7">
        <f>IF($V511="","",T511-R511-I511)</f>
        <v/>
      </c>
      <c r="V511" s="13">
        <f>IF(ROWS($V$2:$V511)&lt;=MAX('Per Line'!$AH$2:$AH$6001),MATCH(ROWS($V$2:$V511),'Per Line'!$AH$2:$AH$6001,0),"")</f>
        <v/>
      </c>
    </row>
    <row r="512">
      <c r="A512" s="12" t="n"/>
      <c r="B512">
        <f>IF($V512="","",INDEX('Per Line'!$C$2:$C$6001,$V512)&amp;"")</f>
        <v/>
      </c>
      <c r="C512" s="11">
        <f>IF($V512="","",INDEX('Per Line'!$D$2:$D$6001,$V512))</f>
        <v/>
      </c>
      <c r="D512">
        <f>IF($V512="","",INDEX('Per Line'!$E$2:$E$6001,$V512)&amp;"")</f>
        <v/>
      </c>
      <c r="E512">
        <f>IF($V512="","",INDEX('Per Line'!$G$2:$G$6001,$V512)&amp;"")</f>
        <v/>
      </c>
      <c r="F512">
        <f>IF($V512="","",INDEX('Per Line'!$H$2:$H$6001,$V512)&amp;"")</f>
        <v/>
      </c>
      <c r="G512">
        <f>IF($V512="","",INDEX('Per Line'!$I$2:$I$6001,$V512)&amp;"")</f>
        <v/>
      </c>
      <c r="H512">
        <f>IF($V512="","",INDEX('Per Line'!$J$2:$J$6001,$V512))</f>
        <v/>
      </c>
      <c r="I512" s="7">
        <f>IF($V512="","",H512*S512/100)</f>
        <v/>
      </c>
      <c r="J512">
        <f>IF($V512="","",INDEX('Per Line'!$S$2:$S$6001,$V512)&amp;"")</f>
        <v/>
      </c>
      <c r="K512" s="7">
        <f>IF($V512="","",SUMIFS('Per Line'!$R$2:$R$6001,'Per Line'!$C$2:$C$6001,$B512,'Per Line'!$AJ$2:$AJ$6001,1))</f>
        <v/>
      </c>
      <c r="L512">
        <f>IF($V512="","",Settings!$C$7)</f>
        <v/>
      </c>
      <c r="M512" s="7">
        <f>IF($V512="","",SUMIFS('Per Line'!$R$2:$R$6001,'Per Line'!$C$2:$C$6001,$B512,'Per Line'!$AI$2:$AI$6001,0,'Per Line'!$AJ$2:$AJ$6001,0))</f>
        <v/>
      </c>
      <c r="N512" s="7">
        <f>IF($V512="","",M512*L512)</f>
        <v/>
      </c>
      <c r="O512">
        <f>IF($V512="","",Settings!$C$6)</f>
        <v/>
      </c>
      <c r="P512" s="7">
        <f>IF($V512="","",SUMIFS('Per Line'!$R$2:$R$6001,'Per Line'!$C$2:$C$6001,$B512,'Per Line'!$AI$2:$AI$6001,1,'Per Line'!$AJ$2:$AJ$6001,0))</f>
        <v/>
      </c>
      <c r="Q512" s="7">
        <f>IF($V512="","",P512*O512)</f>
        <v/>
      </c>
      <c r="R512" s="7">
        <f>IF($V512="","",Q512+N512)</f>
        <v/>
      </c>
      <c r="S512" s="7">
        <f>IF($V512="","",T512-R512)</f>
        <v/>
      </c>
      <c r="T512" s="7">
        <f>IF($V512="","",M512+P512+K512)</f>
        <v/>
      </c>
      <c r="U512" s="7">
        <f>IF($V512="","",T512-R512-I512)</f>
        <v/>
      </c>
      <c r="V512" s="13">
        <f>IF(ROWS($V$2:$V512)&lt;=MAX('Per Line'!$AH$2:$AH$6001),MATCH(ROWS($V$2:$V512),'Per Line'!$AH$2:$AH$6001,0),"")</f>
        <v/>
      </c>
    </row>
    <row r="513">
      <c r="A513" s="12" t="n"/>
      <c r="B513">
        <f>IF($V513="","",INDEX('Per Line'!$C$2:$C$6001,$V513)&amp;"")</f>
        <v/>
      </c>
      <c r="C513" s="11">
        <f>IF($V513="","",INDEX('Per Line'!$D$2:$D$6001,$V513))</f>
        <v/>
      </c>
      <c r="D513">
        <f>IF($V513="","",INDEX('Per Line'!$E$2:$E$6001,$V513)&amp;"")</f>
        <v/>
      </c>
      <c r="E513">
        <f>IF($V513="","",INDEX('Per Line'!$G$2:$G$6001,$V513)&amp;"")</f>
        <v/>
      </c>
      <c r="F513">
        <f>IF($V513="","",INDEX('Per Line'!$H$2:$H$6001,$V513)&amp;"")</f>
        <v/>
      </c>
      <c r="G513">
        <f>IF($V513="","",INDEX('Per Line'!$I$2:$I$6001,$V513)&amp;"")</f>
        <v/>
      </c>
      <c r="H513">
        <f>IF($V513="","",INDEX('Per Line'!$J$2:$J$6001,$V513))</f>
        <v/>
      </c>
      <c r="I513" s="7">
        <f>IF($V513="","",H513*S513/100)</f>
        <v/>
      </c>
      <c r="J513">
        <f>IF($V513="","",INDEX('Per Line'!$S$2:$S$6001,$V513)&amp;"")</f>
        <v/>
      </c>
      <c r="K513" s="7">
        <f>IF($V513="","",SUMIFS('Per Line'!$R$2:$R$6001,'Per Line'!$C$2:$C$6001,$B513,'Per Line'!$AJ$2:$AJ$6001,1))</f>
        <v/>
      </c>
      <c r="L513">
        <f>IF($V513="","",Settings!$C$7)</f>
        <v/>
      </c>
      <c r="M513" s="7">
        <f>IF($V513="","",SUMIFS('Per Line'!$R$2:$R$6001,'Per Line'!$C$2:$C$6001,$B513,'Per Line'!$AI$2:$AI$6001,0,'Per Line'!$AJ$2:$AJ$6001,0))</f>
        <v/>
      </c>
      <c r="N513" s="7">
        <f>IF($V513="","",M513*L513)</f>
        <v/>
      </c>
      <c r="O513">
        <f>IF($V513="","",Settings!$C$6)</f>
        <v/>
      </c>
      <c r="P513" s="7">
        <f>IF($V513="","",SUMIFS('Per Line'!$R$2:$R$6001,'Per Line'!$C$2:$C$6001,$B513,'Per Line'!$AI$2:$AI$6001,1,'Per Line'!$AJ$2:$AJ$6001,0))</f>
        <v/>
      </c>
      <c r="Q513" s="7">
        <f>IF($V513="","",P513*O513)</f>
        <v/>
      </c>
      <c r="R513" s="7">
        <f>IF($V513="","",Q513+N513)</f>
        <v/>
      </c>
      <c r="S513" s="7">
        <f>IF($V513="","",T513-R513)</f>
        <v/>
      </c>
      <c r="T513" s="7">
        <f>IF($V513="","",M513+P513+K513)</f>
        <v/>
      </c>
      <c r="U513" s="7">
        <f>IF($V513="","",T513-R513-I513)</f>
        <v/>
      </c>
      <c r="V513" s="13">
        <f>IF(ROWS($V$2:$V513)&lt;=MAX('Per Line'!$AH$2:$AH$6001),MATCH(ROWS($V$2:$V513),'Per Line'!$AH$2:$AH$6001,0),"")</f>
        <v/>
      </c>
    </row>
    <row r="514">
      <c r="A514" s="12" t="n"/>
      <c r="B514">
        <f>IF($V514="","",INDEX('Per Line'!$C$2:$C$6001,$V514)&amp;"")</f>
        <v/>
      </c>
      <c r="C514" s="11">
        <f>IF($V514="","",INDEX('Per Line'!$D$2:$D$6001,$V514))</f>
        <v/>
      </c>
      <c r="D514">
        <f>IF($V514="","",INDEX('Per Line'!$E$2:$E$6001,$V514)&amp;"")</f>
        <v/>
      </c>
      <c r="E514">
        <f>IF($V514="","",INDEX('Per Line'!$G$2:$G$6001,$V514)&amp;"")</f>
        <v/>
      </c>
      <c r="F514">
        <f>IF($V514="","",INDEX('Per Line'!$H$2:$H$6001,$V514)&amp;"")</f>
        <v/>
      </c>
      <c r="G514">
        <f>IF($V514="","",INDEX('Per Line'!$I$2:$I$6001,$V514)&amp;"")</f>
        <v/>
      </c>
      <c r="H514">
        <f>IF($V514="","",INDEX('Per Line'!$J$2:$J$6001,$V514))</f>
        <v/>
      </c>
      <c r="I514" s="7">
        <f>IF($V514="","",H514*S514/100)</f>
        <v/>
      </c>
      <c r="J514">
        <f>IF($V514="","",INDEX('Per Line'!$S$2:$S$6001,$V514)&amp;"")</f>
        <v/>
      </c>
      <c r="K514" s="7">
        <f>IF($V514="","",SUMIFS('Per Line'!$R$2:$R$6001,'Per Line'!$C$2:$C$6001,$B514,'Per Line'!$AJ$2:$AJ$6001,1))</f>
        <v/>
      </c>
      <c r="L514">
        <f>IF($V514="","",Settings!$C$7)</f>
        <v/>
      </c>
      <c r="M514" s="7">
        <f>IF($V514="","",SUMIFS('Per Line'!$R$2:$R$6001,'Per Line'!$C$2:$C$6001,$B514,'Per Line'!$AI$2:$AI$6001,0,'Per Line'!$AJ$2:$AJ$6001,0))</f>
        <v/>
      </c>
      <c r="N514" s="7">
        <f>IF($V514="","",M514*L514)</f>
        <v/>
      </c>
      <c r="O514">
        <f>IF($V514="","",Settings!$C$6)</f>
        <v/>
      </c>
      <c r="P514" s="7">
        <f>IF($V514="","",SUMIFS('Per Line'!$R$2:$R$6001,'Per Line'!$C$2:$C$6001,$B514,'Per Line'!$AI$2:$AI$6001,1,'Per Line'!$AJ$2:$AJ$6001,0))</f>
        <v/>
      </c>
      <c r="Q514" s="7">
        <f>IF($V514="","",P514*O514)</f>
        <v/>
      </c>
      <c r="R514" s="7">
        <f>IF($V514="","",Q514+N514)</f>
        <v/>
      </c>
      <c r="S514" s="7">
        <f>IF($V514="","",T514-R514)</f>
        <v/>
      </c>
      <c r="T514" s="7">
        <f>IF($V514="","",M514+P514+K514)</f>
        <v/>
      </c>
      <c r="U514" s="7">
        <f>IF($V514="","",T514-R514-I514)</f>
        <v/>
      </c>
      <c r="V514" s="13">
        <f>IF(ROWS($V$2:$V514)&lt;=MAX('Per Line'!$AH$2:$AH$6001),MATCH(ROWS($V$2:$V514),'Per Line'!$AH$2:$AH$6001,0),"")</f>
        <v/>
      </c>
    </row>
    <row r="515">
      <c r="A515" s="12" t="n"/>
      <c r="B515">
        <f>IF($V515="","",INDEX('Per Line'!$C$2:$C$6001,$V515)&amp;"")</f>
        <v/>
      </c>
      <c r="C515" s="11">
        <f>IF($V515="","",INDEX('Per Line'!$D$2:$D$6001,$V515))</f>
        <v/>
      </c>
      <c r="D515">
        <f>IF($V515="","",INDEX('Per Line'!$E$2:$E$6001,$V515)&amp;"")</f>
        <v/>
      </c>
      <c r="E515">
        <f>IF($V515="","",INDEX('Per Line'!$G$2:$G$6001,$V515)&amp;"")</f>
        <v/>
      </c>
      <c r="F515">
        <f>IF($V515="","",INDEX('Per Line'!$H$2:$H$6001,$V515)&amp;"")</f>
        <v/>
      </c>
      <c r="G515">
        <f>IF($V515="","",INDEX('Per Line'!$I$2:$I$6001,$V515)&amp;"")</f>
        <v/>
      </c>
      <c r="H515">
        <f>IF($V515="","",INDEX('Per Line'!$J$2:$J$6001,$V515))</f>
        <v/>
      </c>
      <c r="I515" s="7">
        <f>IF($V515="","",H515*S515/100)</f>
        <v/>
      </c>
      <c r="J515">
        <f>IF($V515="","",INDEX('Per Line'!$S$2:$S$6001,$V515)&amp;"")</f>
        <v/>
      </c>
      <c r="K515" s="7">
        <f>IF($V515="","",SUMIFS('Per Line'!$R$2:$R$6001,'Per Line'!$C$2:$C$6001,$B515,'Per Line'!$AJ$2:$AJ$6001,1))</f>
        <v/>
      </c>
      <c r="L515">
        <f>IF($V515="","",Settings!$C$7)</f>
        <v/>
      </c>
      <c r="M515" s="7">
        <f>IF($V515="","",SUMIFS('Per Line'!$R$2:$R$6001,'Per Line'!$C$2:$C$6001,$B515,'Per Line'!$AI$2:$AI$6001,0,'Per Line'!$AJ$2:$AJ$6001,0))</f>
        <v/>
      </c>
      <c r="N515" s="7">
        <f>IF($V515="","",M515*L515)</f>
        <v/>
      </c>
      <c r="O515">
        <f>IF($V515="","",Settings!$C$6)</f>
        <v/>
      </c>
      <c r="P515" s="7">
        <f>IF($V515="","",SUMIFS('Per Line'!$R$2:$R$6001,'Per Line'!$C$2:$C$6001,$B515,'Per Line'!$AI$2:$AI$6001,1,'Per Line'!$AJ$2:$AJ$6001,0))</f>
        <v/>
      </c>
      <c r="Q515" s="7">
        <f>IF($V515="","",P515*O515)</f>
        <v/>
      </c>
      <c r="R515" s="7">
        <f>IF($V515="","",Q515+N515)</f>
        <v/>
      </c>
      <c r="S515" s="7">
        <f>IF($V515="","",T515-R515)</f>
        <v/>
      </c>
      <c r="T515" s="7">
        <f>IF($V515="","",M515+P515+K515)</f>
        <v/>
      </c>
      <c r="U515" s="7">
        <f>IF($V515="","",T515-R515-I515)</f>
        <v/>
      </c>
      <c r="V515" s="13">
        <f>IF(ROWS($V$2:$V515)&lt;=MAX('Per Line'!$AH$2:$AH$6001),MATCH(ROWS($V$2:$V515),'Per Line'!$AH$2:$AH$6001,0),"")</f>
        <v/>
      </c>
    </row>
    <row r="516">
      <c r="A516" s="12" t="n"/>
      <c r="B516">
        <f>IF($V516="","",INDEX('Per Line'!$C$2:$C$6001,$V516)&amp;"")</f>
        <v/>
      </c>
      <c r="C516" s="11">
        <f>IF($V516="","",INDEX('Per Line'!$D$2:$D$6001,$V516))</f>
        <v/>
      </c>
      <c r="D516">
        <f>IF($V516="","",INDEX('Per Line'!$E$2:$E$6001,$V516)&amp;"")</f>
        <v/>
      </c>
      <c r="E516">
        <f>IF($V516="","",INDEX('Per Line'!$G$2:$G$6001,$V516)&amp;"")</f>
        <v/>
      </c>
      <c r="F516">
        <f>IF($V516="","",INDEX('Per Line'!$H$2:$H$6001,$V516)&amp;"")</f>
        <v/>
      </c>
      <c r="G516">
        <f>IF($V516="","",INDEX('Per Line'!$I$2:$I$6001,$V516)&amp;"")</f>
        <v/>
      </c>
      <c r="H516">
        <f>IF($V516="","",INDEX('Per Line'!$J$2:$J$6001,$V516))</f>
        <v/>
      </c>
      <c r="I516" s="7">
        <f>IF($V516="","",H516*S516/100)</f>
        <v/>
      </c>
      <c r="J516">
        <f>IF($V516="","",INDEX('Per Line'!$S$2:$S$6001,$V516)&amp;"")</f>
        <v/>
      </c>
      <c r="K516" s="7">
        <f>IF($V516="","",SUMIFS('Per Line'!$R$2:$R$6001,'Per Line'!$C$2:$C$6001,$B516,'Per Line'!$AJ$2:$AJ$6001,1))</f>
        <v/>
      </c>
      <c r="L516">
        <f>IF($V516="","",Settings!$C$7)</f>
        <v/>
      </c>
      <c r="M516" s="7">
        <f>IF($V516="","",SUMIFS('Per Line'!$R$2:$R$6001,'Per Line'!$C$2:$C$6001,$B516,'Per Line'!$AI$2:$AI$6001,0,'Per Line'!$AJ$2:$AJ$6001,0))</f>
        <v/>
      </c>
      <c r="N516" s="7">
        <f>IF($V516="","",M516*L516)</f>
        <v/>
      </c>
      <c r="O516">
        <f>IF($V516="","",Settings!$C$6)</f>
        <v/>
      </c>
      <c r="P516" s="7">
        <f>IF($V516="","",SUMIFS('Per Line'!$R$2:$R$6001,'Per Line'!$C$2:$C$6001,$B516,'Per Line'!$AI$2:$AI$6001,1,'Per Line'!$AJ$2:$AJ$6001,0))</f>
        <v/>
      </c>
      <c r="Q516" s="7">
        <f>IF($V516="","",P516*O516)</f>
        <v/>
      </c>
      <c r="R516" s="7">
        <f>IF($V516="","",Q516+N516)</f>
        <v/>
      </c>
      <c r="S516" s="7">
        <f>IF($V516="","",T516-R516)</f>
        <v/>
      </c>
      <c r="T516" s="7">
        <f>IF($V516="","",M516+P516+K516)</f>
        <v/>
      </c>
      <c r="U516" s="7">
        <f>IF($V516="","",T516-R516-I516)</f>
        <v/>
      </c>
      <c r="V516" s="13">
        <f>IF(ROWS($V$2:$V516)&lt;=MAX('Per Line'!$AH$2:$AH$6001),MATCH(ROWS($V$2:$V516),'Per Line'!$AH$2:$AH$6001,0),"")</f>
        <v/>
      </c>
    </row>
    <row r="517">
      <c r="A517" s="12" t="n"/>
      <c r="B517">
        <f>IF($V517="","",INDEX('Per Line'!$C$2:$C$6001,$V517)&amp;"")</f>
        <v/>
      </c>
      <c r="C517" s="11">
        <f>IF($V517="","",INDEX('Per Line'!$D$2:$D$6001,$V517))</f>
        <v/>
      </c>
      <c r="D517">
        <f>IF($V517="","",INDEX('Per Line'!$E$2:$E$6001,$V517)&amp;"")</f>
        <v/>
      </c>
      <c r="E517">
        <f>IF($V517="","",INDEX('Per Line'!$G$2:$G$6001,$V517)&amp;"")</f>
        <v/>
      </c>
      <c r="F517">
        <f>IF($V517="","",INDEX('Per Line'!$H$2:$H$6001,$V517)&amp;"")</f>
        <v/>
      </c>
      <c r="G517">
        <f>IF($V517="","",INDEX('Per Line'!$I$2:$I$6001,$V517)&amp;"")</f>
        <v/>
      </c>
      <c r="H517">
        <f>IF($V517="","",INDEX('Per Line'!$J$2:$J$6001,$V517))</f>
        <v/>
      </c>
      <c r="I517" s="7">
        <f>IF($V517="","",H517*S517/100)</f>
        <v/>
      </c>
      <c r="J517">
        <f>IF($V517="","",INDEX('Per Line'!$S$2:$S$6001,$V517)&amp;"")</f>
        <v/>
      </c>
      <c r="K517" s="7">
        <f>IF($V517="","",SUMIFS('Per Line'!$R$2:$R$6001,'Per Line'!$C$2:$C$6001,$B517,'Per Line'!$AJ$2:$AJ$6001,1))</f>
        <v/>
      </c>
      <c r="L517">
        <f>IF($V517="","",Settings!$C$7)</f>
        <v/>
      </c>
      <c r="M517" s="7">
        <f>IF($V517="","",SUMIFS('Per Line'!$R$2:$R$6001,'Per Line'!$C$2:$C$6001,$B517,'Per Line'!$AI$2:$AI$6001,0,'Per Line'!$AJ$2:$AJ$6001,0))</f>
        <v/>
      </c>
      <c r="N517" s="7">
        <f>IF($V517="","",M517*L517)</f>
        <v/>
      </c>
      <c r="O517">
        <f>IF($V517="","",Settings!$C$6)</f>
        <v/>
      </c>
      <c r="P517" s="7">
        <f>IF($V517="","",SUMIFS('Per Line'!$R$2:$R$6001,'Per Line'!$C$2:$C$6001,$B517,'Per Line'!$AI$2:$AI$6001,1,'Per Line'!$AJ$2:$AJ$6001,0))</f>
        <v/>
      </c>
      <c r="Q517" s="7">
        <f>IF($V517="","",P517*O517)</f>
        <v/>
      </c>
      <c r="R517" s="7">
        <f>IF($V517="","",Q517+N517)</f>
        <v/>
      </c>
      <c r="S517" s="7">
        <f>IF($V517="","",T517-R517)</f>
        <v/>
      </c>
      <c r="T517" s="7">
        <f>IF($V517="","",M517+P517+K517)</f>
        <v/>
      </c>
      <c r="U517" s="7">
        <f>IF($V517="","",T517-R517-I517)</f>
        <v/>
      </c>
      <c r="V517" s="13">
        <f>IF(ROWS($V$2:$V517)&lt;=MAX('Per Line'!$AH$2:$AH$6001),MATCH(ROWS($V$2:$V517),'Per Line'!$AH$2:$AH$6001,0),"")</f>
        <v/>
      </c>
    </row>
    <row r="518">
      <c r="A518" s="12" t="n"/>
      <c r="B518">
        <f>IF($V518="","",INDEX('Per Line'!$C$2:$C$6001,$V518)&amp;"")</f>
        <v/>
      </c>
      <c r="C518" s="11">
        <f>IF($V518="","",INDEX('Per Line'!$D$2:$D$6001,$V518))</f>
        <v/>
      </c>
      <c r="D518">
        <f>IF($V518="","",INDEX('Per Line'!$E$2:$E$6001,$V518)&amp;"")</f>
        <v/>
      </c>
      <c r="E518">
        <f>IF($V518="","",INDEX('Per Line'!$G$2:$G$6001,$V518)&amp;"")</f>
        <v/>
      </c>
      <c r="F518">
        <f>IF($V518="","",INDEX('Per Line'!$H$2:$H$6001,$V518)&amp;"")</f>
        <v/>
      </c>
      <c r="G518">
        <f>IF($V518="","",INDEX('Per Line'!$I$2:$I$6001,$V518)&amp;"")</f>
        <v/>
      </c>
      <c r="H518">
        <f>IF($V518="","",INDEX('Per Line'!$J$2:$J$6001,$V518))</f>
        <v/>
      </c>
      <c r="I518" s="7">
        <f>IF($V518="","",H518*S518/100)</f>
        <v/>
      </c>
      <c r="J518">
        <f>IF($V518="","",INDEX('Per Line'!$S$2:$S$6001,$V518)&amp;"")</f>
        <v/>
      </c>
      <c r="K518" s="7">
        <f>IF($V518="","",SUMIFS('Per Line'!$R$2:$R$6001,'Per Line'!$C$2:$C$6001,$B518,'Per Line'!$AJ$2:$AJ$6001,1))</f>
        <v/>
      </c>
      <c r="L518">
        <f>IF($V518="","",Settings!$C$7)</f>
        <v/>
      </c>
      <c r="M518" s="7">
        <f>IF($V518="","",SUMIFS('Per Line'!$R$2:$R$6001,'Per Line'!$C$2:$C$6001,$B518,'Per Line'!$AI$2:$AI$6001,0,'Per Line'!$AJ$2:$AJ$6001,0))</f>
        <v/>
      </c>
      <c r="N518" s="7">
        <f>IF($V518="","",M518*L518)</f>
        <v/>
      </c>
      <c r="O518">
        <f>IF($V518="","",Settings!$C$6)</f>
        <v/>
      </c>
      <c r="P518" s="7">
        <f>IF($V518="","",SUMIFS('Per Line'!$R$2:$R$6001,'Per Line'!$C$2:$C$6001,$B518,'Per Line'!$AI$2:$AI$6001,1,'Per Line'!$AJ$2:$AJ$6001,0))</f>
        <v/>
      </c>
      <c r="Q518" s="7">
        <f>IF($V518="","",P518*O518)</f>
        <v/>
      </c>
      <c r="R518" s="7">
        <f>IF($V518="","",Q518+N518)</f>
        <v/>
      </c>
      <c r="S518" s="7">
        <f>IF($V518="","",T518-R518)</f>
        <v/>
      </c>
      <c r="T518" s="7">
        <f>IF($V518="","",M518+P518+K518)</f>
        <v/>
      </c>
      <c r="U518" s="7">
        <f>IF($V518="","",T518-R518-I518)</f>
        <v/>
      </c>
      <c r="V518" s="13">
        <f>IF(ROWS($V$2:$V518)&lt;=MAX('Per Line'!$AH$2:$AH$6001),MATCH(ROWS($V$2:$V518),'Per Line'!$AH$2:$AH$6001,0),"")</f>
        <v/>
      </c>
    </row>
    <row r="519">
      <c r="A519" s="12" t="n"/>
      <c r="B519">
        <f>IF($V519="","",INDEX('Per Line'!$C$2:$C$6001,$V519)&amp;"")</f>
        <v/>
      </c>
      <c r="C519" s="11">
        <f>IF($V519="","",INDEX('Per Line'!$D$2:$D$6001,$V519))</f>
        <v/>
      </c>
      <c r="D519">
        <f>IF($V519="","",INDEX('Per Line'!$E$2:$E$6001,$V519)&amp;"")</f>
        <v/>
      </c>
      <c r="E519">
        <f>IF($V519="","",INDEX('Per Line'!$G$2:$G$6001,$V519)&amp;"")</f>
        <v/>
      </c>
      <c r="F519">
        <f>IF($V519="","",INDEX('Per Line'!$H$2:$H$6001,$V519)&amp;"")</f>
        <v/>
      </c>
      <c r="G519">
        <f>IF($V519="","",INDEX('Per Line'!$I$2:$I$6001,$V519)&amp;"")</f>
        <v/>
      </c>
      <c r="H519">
        <f>IF($V519="","",INDEX('Per Line'!$J$2:$J$6001,$V519))</f>
        <v/>
      </c>
      <c r="I519" s="7">
        <f>IF($V519="","",H519*S519/100)</f>
        <v/>
      </c>
      <c r="J519">
        <f>IF($V519="","",INDEX('Per Line'!$S$2:$S$6001,$V519)&amp;"")</f>
        <v/>
      </c>
      <c r="K519" s="7">
        <f>IF($V519="","",SUMIFS('Per Line'!$R$2:$R$6001,'Per Line'!$C$2:$C$6001,$B519,'Per Line'!$AJ$2:$AJ$6001,1))</f>
        <v/>
      </c>
      <c r="L519">
        <f>IF($V519="","",Settings!$C$7)</f>
        <v/>
      </c>
      <c r="M519" s="7">
        <f>IF($V519="","",SUMIFS('Per Line'!$R$2:$R$6001,'Per Line'!$C$2:$C$6001,$B519,'Per Line'!$AI$2:$AI$6001,0,'Per Line'!$AJ$2:$AJ$6001,0))</f>
        <v/>
      </c>
      <c r="N519" s="7">
        <f>IF($V519="","",M519*L519)</f>
        <v/>
      </c>
      <c r="O519">
        <f>IF($V519="","",Settings!$C$6)</f>
        <v/>
      </c>
      <c r="P519" s="7">
        <f>IF($V519="","",SUMIFS('Per Line'!$R$2:$R$6001,'Per Line'!$C$2:$C$6001,$B519,'Per Line'!$AI$2:$AI$6001,1,'Per Line'!$AJ$2:$AJ$6001,0))</f>
        <v/>
      </c>
      <c r="Q519" s="7">
        <f>IF($V519="","",P519*O519)</f>
        <v/>
      </c>
      <c r="R519" s="7">
        <f>IF($V519="","",Q519+N519)</f>
        <v/>
      </c>
      <c r="S519" s="7">
        <f>IF($V519="","",T519-R519)</f>
        <v/>
      </c>
      <c r="T519" s="7">
        <f>IF($V519="","",M519+P519+K519)</f>
        <v/>
      </c>
      <c r="U519" s="7">
        <f>IF($V519="","",T519-R519-I519)</f>
        <v/>
      </c>
      <c r="V519" s="13">
        <f>IF(ROWS($V$2:$V519)&lt;=MAX('Per Line'!$AH$2:$AH$6001),MATCH(ROWS($V$2:$V519),'Per Line'!$AH$2:$AH$6001,0),"")</f>
        <v/>
      </c>
    </row>
    <row r="520">
      <c r="A520" s="12" t="n"/>
      <c r="B520">
        <f>IF($V520="","",INDEX('Per Line'!$C$2:$C$6001,$V520)&amp;"")</f>
        <v/>
      </c>
      <c r="C520" s="11">
        <f>IF($V520="","",INDEX('Per Line'!$D$2:$D$6001,$V520))</f>
        <v/>
      </c>
      <c r="D520">
        <f>IF($V520="","",INDEX('Per Line'!$E$2:$E$6001,$V520)&amp;"")</f>
        <v/>
      </c>
      <c r="E520">
        <f>IF($V520="","",INDEX('Per Line'!$G$2:$G$6001,$V520)&amp;"")</f>
        <v/>
      </c>
      <c r="F520">
        <f>IF($V520="","",INDEX('Per Line'!$H$2:$H$6001,$V520)&amp;"")</f>
        <v/>
      </c>
      <c r="G520">
        <f>IF($V520="","",INDEX('Per Line'!$I$2:$I$6001,$V520)&amp;"")</f>
        <v/>
      </c>
      <c r="H520">
        <f>IF($V520="","",INDEX('Per Line'!$J$2:$J$6001,$V520))</f>
        <v/>
      </c>
      <c r="I520" s="7">
        <f>IF($V520="","",H520*S520/100)</f>
        <v/>
      </c>
      <c r="J520">
        <f>IF($V520="","",INDEX('Per Line'!$S$2:$S$6001,$V520)&amp;"")</f>
        <v/>
      </c>
      <c r="K520" s="7">
        <f>IF($V520="","",SUMIFS('Per Line'!$R$2:$R$6001,'Per Line'!$C$2:$C$6001,$B520,'Per Line'!$AJ$2:$AJ$6001,1))</f>
        <v/>
      </c>
      <c r="L520">
        <f>IF($V520="","",Settings!$C$7)</f>
        <v/>
      </c>
      <c r="M520" s="7">
        <f>IF($V520="","",SUMIFS('Per Line'!$R$2:$R$6001,'Per Line'!$C$2:$C$6001,$B520,'Per Line'!$AI$2:$AI$6001,0,'Per Line'!$AJ$2:$AJ$6001,0))</f>
        <v/>
      </c>
      <c r="N520" s="7">
        <f>IF($V520="","",M520*L520)</f>
        <v/>
      </c>
      <c r="O520">
        <f>IF($V520="","",Settings!$C$6)</f>
        <v/>
      </c>
      <c r="P520" s="7">
        <f>IF($V520="","",SUMIFS('Per Line'!$R$2:$R$6001,'Per Line'!$C$2:$C$6001,$B520,'Per Line'!$AI$2:$AI$6001,1,'Per Line'!$AJ$2:$AJ$6001,0))</f>
        <v/>
      </c>
      <c r="Q520" s="7">
        <f>IF($V520="","",P520*O520)</f>
        <v/>
      </c>
      <c r="R520" s="7">
        <f>IF($V520="","",Q520+N520)</f>
        <v/>
      </c>
      <c r="S520" s="7">
        <f>IF($V520="","",T520-R520)</f>
        <v/>
      </c>
      <c r="T520" s="7">
        <f>IF($V520="","",M520+P520+K520)</f>
        <v/>
      </c>
      <c r="U520" s="7">
        <f>IF($V520="","",T520-R520-I520)</f>
        <v/>
      </c>
      <c r="V520" s="13">
        <f>IF(ROWS($V$2:$V520)&lt;=MAX('Per Line'!$AH$2:$AH$6001),MATCH(ROWS($V$2:$V520),'Per Line'!$AH$2:$AH$6001,0),"")</f>
        <v/>
      </c>
    </row>
    <row r="521">
      <c r="A521" s="12" t="n"/>
      <c r="B521">
        <f>IF($V521="","",INDEX('Per Line'!$C$2:$C$6001,$V521)&amp;"")</f>
        <v/>
      </c>
      <c r="C521" s="11">
        <f>IF($V521="","",INDEX('Per Line'!$D$2:$D$6001,$V521))</f>
        <v/>
      </c>
      <c r="D521">
        <f>IF($V521="","",INDEX('Per Line'!$E$2:$E$6001,$V521)&amp;"")</f>
        <v/>
      </c>
      <c r="E521">
        <f>IF($V521="","",INDEX('Per Line'!$G$2:$G$6001,$V521)&amp;"")</f>
        <v/>
      </c>
      <c r="F521">
        <f>IF($V521="","",INDEX('Per Line'!$H$2:$H$6001,$V521)&amp;"")</f>
        <v/>
      </c>
      <c r="G521">
        <f>IF($V521="","",INDEX('Per Line'!$I$2:$I$6001,$V521)&amp;"")</f>
        <v/>
      </c>
      <c r="H521">
        <f>IF($V521="","",INDEX('Per Line'!$J$2:$J$6001,$V521))</f>
        <v/>
      </c>
      <c r="I521" s="7">
        <f>IF($V521="","",H521*S521/100)</f>
        <v/>
      </c>
      <c r="J521">
        <f>IF($V521="","",INDEX('Per Line'!$S$2:$S$6001,$V521)&amp;"")</f>
        <v/>
      </c>
      <c r="K521" s="7">
        <f>IF($V521="","",SUMIFS('Per Line'!$R$2:$R$6001,'Per Line'!$C$2:$C$6001,$B521,'Per Line'!$AJ$2:$AJ$6001,1))</f>
        <v/>
      </c>
      <c r="L521">
        <f>IF($V521="","",Settings!$C$7)</f>
        <v/>
      </c>
      <c r="M521" s="7">
        <f>IF($V521="","",SUMIFS('Per Line'!$R$2:$R$6001,'Per Line'!$C$2:$C$6001,$B521,'Per Line'!$AI$2:$AI$6001,0,'Per Line'!$AJ$2:$AJ$6001,0))</f>
        <v/>
      </c>
      <c r="N521" s="7">
        <f>IF($V521="","",M521*L521)</f>
        <v/>
      </c>
      <c r="O521">
        <f>IF($V521="","",Settings!$C$6)</f>
        <v/>
      </c>
      <c r="P521" s="7">
        <f>IF($V521="","",SUMIFS('Per Line'!$R$2:$R$6001,'Per Line'!$C$2:$C$6001,$B521,'Per Line'!$AI$2:$AI$6001,1,'Per Line'!$AJ$2:$AJ$6001,0))</f>
        <v/>
      </c>
      <c r="Q521" s="7">
        <f>IF($V521="","",P521*O521)</f>
        <v/>
      </c>
      <c r="R521" s="7">
        <f>IF($V521="","",Q521+N521)</f>
        <v/>
      </c>
      <c r="S521" s="7">
        <f>IF($V521="","",T521-R521)</f>
        <v/>
      </c>
      <c r="T521" s="7">
        <f>IF($V521="","",M521+P521+K521)</f>
        <v/>
      </c>
      <c r="U521" s="7">
        <f>IF($V521="","",T521-R521-I521)</f>
        <v/>
      </c>
      <c r="V521" s="13">
        <f>IF(ROWS($V$2:$V521)&lt;=MAX('Per Line'!$AH$2:$AH$6001),MATCH(ROWS($V$2:$V521),'Per Line'!$AH$2:$AH$6001,0),"")</f>
        <v/>
      </c>
    </row>
    <row r="522">
      <c r="A522" s="12" t="n"/>
      <c r="B522">
        <f>IF($V522="","",INDEX('Per Line'!$C$2:$C$6001,$V522)&amp;"")</f>
        <v/>
      </c>
      <c r="C522" s="11">
        <f>IF($V522="","",INDEX('Per Line'!$D$2:$D$6001,$V522))</f>
        <v/>
      </c>
      <c r="D522">
        <f>IF($V522="","",INDEX('Per Line'!$E$2:$E$6001,$V522)&amp;"")</f>
        <v/>
      </c>
      <c r="E522">
        <f>IF($V522="","",INDEX('Per Line'!$G$2:$G$6001,$V522)&amp;"")</f>
        <v/>
      </c>
      <c r="F522">
        <f>IF($V522="","",INDEX('Per Line'!$H$2:$H$6001,$V522)&amp;"")</f>
        <v/>
      </c>
      <c r="G522">
        <f>IF($V522="","",INDEX('Per Line'!$I$2:$I$6001,$V522)&amp;"")</f>
        <v/>
      </c>
      <c r="H522">
        <f>IF($V522="","",INDEX('Per Line'!$J$2:$J$6001,$V522))</f>
        <v/>
      </c>
      <c r="I522" s="7">
        <f>IF($V522="","",H522*S522/100)</f>
        <v/>
      </c>
      <c r="J522">
        <f>IF($V522="","",INDEX('Per Line'!$S$2:$S$6001,$V522)&amp;"")</f>
        <v/>
      </c>
      <c r="K522" s="7">
        <f>IF($V522="","",SUMIFS('Per Line'!$R$2:$R$6001,'Per Line'!$C$2:$C$6001,$B522,'Per Line'!$AJ$2:$AJ$6001,1))</f>
        <v/>
      </c>
      <c r="L522">
        <f>IF($V522="","",Settings!$C$7)</f>
        <v/>
      </c>
      <c r="M522" s="7">
        <f>IF($V522="","",SUMIFS('Per Line'!$R$2:$R$6001,'Per Line'!$C$2:$C$6001,$B522,'Per Line'!$AI$2:$AI$6001,0,'Per Line'!$AJ$2:$AJ$6001,0))</f>
        <v/>
      </c>
      <c r="N522" s="7">
        <f>IF($V522="","",M522*L522)</f>
        <v/>
      </c>
      <c r="O522">
        <f>IF($V522="","",Settings!$C$6)</f>
        <v/>
      </c>
      <c r="P522" s="7">
        <f>IF($V522="","",SUMIFS('Per Line'!$R$2:$R$6001,'Per Line'!$C$2:$C$6001,$B522,'Per Line'!$AI$2:$AI$6001,1,'Per Line'!$AJ$2:$AJ$6001,0))</f>
        <v/>
      </c>
      <c r="Q522" s="7">
        <f>IF($V522="","",P522*O522)</f>
        <v/>
      </c>
      <c r="R522" s="7">
        <f>IF($V522="","",Q522+N522)</f>
        <v/>
      </c>
      <c r="S522" s="7">
        <f>IF($V522="","",T522-R522)</f>
        <v/>
      </c>
      <c r="T522" s="7">
        <f>IF($V522="","",M522+P522+K522)</f>
        <v/>
      </c>
      <c r="U522" s="7">
        <f>IF($V522="","",T522-R522-I522)</f>
        <v/>
      </c>
      <c r="V522" s="13">
        <f>IF(ROWS($V$2:$V522)&lt;=MAX('Per Line'!$AH$2:$AH$6001),MATCH(ROWS($V$2:$V522),'Per Line'!$AH$2:$AH$6001,0),"")</f>
        <v/>
      </c>
    </row>
    <row r="523">
      <c r="A523" s="12" t="n"/>
      <c r="B523">
        <f>IF($V523="","",INDEX('Per Line'!$C$2:$C$6001,$V523)&amp;"")</f>
        <v/>
      </c>
      <c r="C523" s="11">
        <f>IF($V523="","",INDEX('Per Line'!$D$2:$D$6001,$V523))</f>
        <v/>
      </c>
      <c r="D523">
        <f>IF($V523="","",INDEX('Per Line'!$E$2:$E$6001,$V523)&amp;"")</f>
        <v/>
      </c>
      <c r="E523">
        <f>IF($V523="","",INDEX('Per Line'!$G$2:$G$6001,$V523)&amp;"")</f>
        <v/>
      </c>
      <c r="F523">
        <f>IF($V523="","",INDEX('Per Line'!$H$2:$H$6001,$V523)&amp;"")</f>
        <v/>
      </c>
      <c r="G523">
        <f>IF($V523="","",INDEX('Per Line'!$I$2:$I$6001,$V523)&amp;"")</f>
        <v/>
      </c>
      <c r="H523">
        <f>IF($V523="","",INDEX('Per Line'!$J$2:$J$6001,$V523))</f>
        <v/>
      </c>
      <c r="I523" s="7">
        <f>IF($V523="","",H523*S523/100)</f>
        <v/>
      </c>
      <c r="J523">
        <f>IF($V523="","",INDEX('Per Line'!$S$2:$S$6001,$V523)&amp;"")</f>
        <v/>
      </c>
      <c r="K523" s="7">
        <f>IF($V523="","",SUMIFS('Per Line'!$R$2:$R$6001,'Per Line'!$C$2:$C$6001,$B523,'Per Line'!$AJ$2:$AJ$6001,1))</f>
        <v/>
      </c>
      <c r="L523">
        <f>IF($V523="","",Settings!$C$7)</f>
        <v/>
      </c>
      <c r="M523" s="7">
        <f>IF($V523="","",SUMIFS('Per Line'!$R$2:$R$6001,'Per Line'!$C$2:$C$6001,$B523,'Per Line'!$AI$2:$AI$6001,0,'Per Line'!$AJ$2:$AJ$6001,0))</f>
        <v/>
      </c>
      <c r="N523" s="7">
        <f>IF($V523="","",M523*L523)</f>
        <v/>
      </c>
      <c r="O523">
        <f>IF($V523="","",Settings!$C$6)</f>
        <v/>
      </c>
      <c r="P523" s="7">
        <f>IF($V523="","",SUMIFS('Per Line'!$R$2:$R$6001,'Per Line'!$C$2:$C$6001,$B523,'Per Line'!$AI$2:$AI$6001,1,'Per Line'!$AJ$2:$AJ$6001,0))</f>
        <v/>
      </c>
      <c r="Q523" s="7">
        <f>IF($V523="","",P523*O523)</f>
        <v/>
      </c>
      <c r="R523" s="7">
        <f>IF($V523="","",Q523+N523)</f>
        <v/>
      </c>
      <c r="S523" s="7">
        <f>IF($V523="","",T523-R523)</f>
        <v/>
      </c>
      <c r="T523" s="7">
        <f>IF($V523="","",M523+P523+K523)</f>
        <v/>
      </c>
      <c r="U523" s="7">
        <f>IF($V523="","",T523-R523-I523)</f>
        <v/>
      </c>
      <c r="V523" s="13">
        <f>IF(ROWS($V$2:$V523)&lt;=MAX('Per Line'!$AH$2:$AH$6001),MATCH(ROWS($V$2:$V523),'Per Line'!$AH$2:$AH$6001,0),"")</f>
        <v/>
      </c>
    </row>
    <row r="524">
      <c r="A524" s="12" t="n"/>
      <c r="B524">
        <f>IF($V524="","",INDEX('Per Line'!$C$2:$C$6001,$V524)&amp;"")</f>
        <v/>
      </c>
      <c r="C524" s="11">
        <f>IF($V524="","",INDEX('Per Line'!$D$2:$D$6001,$V524))</f>
        <v/>
      </c>
      <c r="D524">
        <f>IF($V524="","",INDEX('Per Line'!$E$2:$E$6001,$V524)&amp;"")</f>
        <v/>
      </c>
      <c r="E524">
        <f>IF($V524="","",INDEX('Per Line'!$G$2:$G$6001,$V524)&amp;"")</f>
        <v/>
      </c>
      <c r="F524">
        <f>IF($V524="","",INDEX('Per Line'!$H$2:$H$6001,$V524)&amp;"")</f>
        <v/>
      </c>
      <c r="G524">
        <f>IF($V524="","",INDEX('Per Line'!$I$2:$I$6001,$V524)&amp;"")</f>
        <v/>
      </c>
      <c r="H524">
        <f>IF($V524="","",INDEX('Per Line'!$J$2:$J$6001,$V524))</f>
        <v/>
      </c>
      <c r="I524" s="7">
        <f>IF($V524="","",H524*S524/100)</f>
        <v/>
      </c>
      <c r="J524">
        <f>IF($V524="","",INDEX('Per Line'!$S$2:$S$6001,$V524)&amp;"")</f>
        <v/>
      </c>
      <c r="K524" s="7">
        <f>IF($V524="","",SUMIFS('Per Line'!$R$2:$R$6001,'Per Line'!$C$2:$C$6001,$B524,'Per Line'!$AJ$2:$AJ$6001,1))</f>
        <v/>
      </c>
      <c r="L524">
        <f>IF($V524="","",Settings!$C$7)</f>
        <v/>
      </c>
      <c r="M524" s="7">
        <f>IF($V524="","",SUMIFS('Per Line'!$R$2:$R$6001,'Per Line'!$C$2:$C$6001,$B524,'Per Line'!$AI$2:$AI$6001,0,'Per Line'!$AJ$2:$AJ$6001,0))</f>
        <v/>
      </c>
      <c r="N524" s="7">
        <f>IF($V524="","",M524*L524)</f>
        <v/>
      </c>
      <c r="O524">
        <f>IF($V524="","",Settings!$C$6)</f>
        <v/>
      </c>
      <c r="P524" s="7">
        <f>IF($V524="","",SUMIFS('Per Line'!$R$2:$R$6001,'Per Line'!$C$2:$C$6001,$B524,'Per Line'!$AI$2:$AI$6001,1,'Per Line'!$AJ$2:$AJ$6001,0))</f>
        <v/>
      </c>
      <c r="Q524" s="7">
        <f>IF($V524="","",P524*O524)</f>
        <v/>
      </c>
      <c r="R524" s="7">
        <f>IF($V524="","",Q524+N524)</f>
        <v/>
      </c>
      <c r="S524" s="7">
        <f>IF($V524="","",T524-R524)</f>
        <v/>
      </c>
      <c r="T524" s="7">
        <f>IF($V524="","",M524+P524+K524)</f>
        <v/>
      </c>
      <c r="U524" s="7">
        <f>IF($V524="","",T524-R524-I524)</f>
        <v/>
      </c>
      <c r="V524" s="13">
        <f>IF(ROWS($V$2:$V524)&lt;=MAX('Per Line'!$AH$2:$AH$6001),MATCH(ROWS($V$2:$V524),'Per Line'!$AH$2:$AH$6001,0),"")</f>
        <v/>
      </c>
    </row>
    <row r="525">
      <c r="A525" s="12" t="n"/>
      <c r="B525">
        <f>IF($V525="","",INDEX('Per Line'!$C$2:$C$6001,$V525)&amp;"")</f>
        <v/>
      </c>
      <c r="C525" s="11">
        <f>IF($V525="","",INDEX('Per Line'!$D$2:$D$6001,$V525))</f>
        <v/>
      </c>
      <c r="D525">
        <f>IF($V525="","",INDEX('Per Line'!$E$2:$E$6001,$V525)&amp;"")</f>
        <v/>
      </c>
      <c r="E525">
        <f>IF($V525="","",INDEX('Per Line'!$G$2:$G$6001,$V525)&amp;"")</f>
        <v/>
      </c>
      <c r="F525">
        <f>IF($V525="","",INDEX('Per Line'!$H$2:$H$6001,$V525)&amp;"")</f>
        <v/>
      </c>
      <c r="G525">
        <f>IF($V525="","",INDEX('Per Line'!$I$2:$I$6001,$V525)&amp;"")</f>
        <v/>
      </c>
      <c r="H525">
        <f>IF($V525="","",INDEX('Per Line'!$J$2:$J$6001,$V525))</f>
        <v/>
      </c>
      <c r="I525" s="7">
        <f>IF($V525="","",H525*S525/100)</f>
        <v/>
      </c>
      <c r="J525">
        <f>IF($V525="","",INDEX('Per Line'!$S$2:$S$6001,$V525)&amp;"")</f>
        <v/>
      </c>
      <c r="K525" s="7">
        <f>IF($V525="","",SUMIFS('Per Line'!$R$2:$R$6001,'Per Line'!$C$2:$C$6001,$B525,'Per Line'!$AJ$2:$AJ$6001,1))</f>
        <v/>
      </c>
      <c r="L525">
        <f>IF($V525="","",Settings!$C$7)</f>
        <v/>
      </c>
      <c r="M525" s="7">
        <f>IF($V525="","",SUMIFS('Per Line'!$R$2:$R$6001,'Per Line'!$C$2:$C$6001,$B525,'Per Line'!$AI$2:$AI$6001,0,'Per Line'!$AJ$2:$AJ$6001,0))</f>
        <v/>
      </c>
      <c r="N525" s="7">
        <f>IF($V525="","",M525*L525)</f>
        <v/>
      </c>
      <c r="O525">
        <f>IF($V525="","",Settings!$C$6)</f>
        <v/>
      </c>
      <c r="P525" s="7">
        <f>IF($V525="","",SUMIFS('Per Line'!$R$2:$R$6001,'Per Line'!$C$2:$C$6001,$B525,'Per Line'!$AI$2:$AI$6001,1,'Per Line'!$AJ$2:$AJ$6001,0))</f>
        <v/>
      </c>
      <c r="Q525" s="7">
        <f>IF($V525="","",P525*O525)</f>
        <v/>
      </c>
      <c r="R525" s="7">
        <f>IF($V525="","",Q525+N525)</f>
        <v/>
      </c>
      <c r="S525" s="7">
        <f>IF($V525="","",T525-R525)</f>
        <v/>
      </c>
      <c r="T525" s="7">
        <f>IF($V525="","",M525+P525+K525)</f>
        <v/>
      </c>
      <c r="U525" s="7">
        <f>IF($V525="","",T525-R525-I525)</f>
        <v/>
      </c>
      <c r="V525" s="13">
        <f>IF(ROWS($V$2:$V525)&lt;=MAX('Per Line'!$AH$2:$AH$6001),MATCH(ROWS($V$2:$V525),'Per Line'!$AH$2:$AH$6001,0),"")</f>
        <v/>
      </c>
    </row>
    <row r="526">
      <c r="A526" s="12" t="n"/>
      <c r="B526">
        <f>IF($V526="","",INDEX('Per Line'!$C$2:$C$6001,$V526)&amp;"")</f>
        <v/>
      </c>
      <c r="C526" s="11">
        <f>IF($V526="","",INDEX('Per Line'!$D$2:$D$6001,$V526))</f>
        <v/>
      </c>
      <c r="D526">
        <f>IF($V526="","",INDEX('Per Line'!$E$2:$E$6001,$V526)&amp;"")</f>
        <v/>
      </c>
      <c r="E526">
        <f>IF($V526="","",INDEX('Per Line'!$G$2:$G$6001,$V526)&amp;"")</f>
        <v/>
      </c>
      <c r="F526">
        <f>IF($V526="","",INDEX('Per Line'!$H$2:$H$6001,$V526)&amp;"")</f>
        <v/>
      </c>
      <c r="G526">
        <f>IF($V526="","",INDEX('Per Line'!$I$2:$I$6001,$V526)&amp;"")</f>
        <v/>
      </c>
      <c r="H526">
        <f>IF($V526="","",INDEX('Per Line'!$J$2:$J$6001,$V526))</f>
        <v/>
      </c>
      <c r="I526" s="7">
        <f>IF($V526="","",H526*S526/100)</f>
        <v/>
      </c>
      <c r="J526">
        <f>IF($V526="","",INDEX('Per Line'!$S$2:$S$6001,$V526)&amp;"")</f>
        <v/>
      </c>
      <c r="K526" s="7">
        <f>IF($V526="","",SUMIFS('Per Line'!$R$2:$R$6001,'Per Line'!$C$2:$C$6001,$B526,'Per Line'!$AJ$2:$AJ$6001,1))</f>
        <v/>
      </c>
      <c r="L526">
        <f>IF($V526="","",Settings!$C$7)</f>
        <v/>
      </c>
      <c r="M526" s="7">
        <f>IF($V526="","",SUMIFS('Per Line'!$R$2:$R$6001,'Per Line'!$C$2:$C$6001,$B526,'Per Line'!$AI$2:$AI$6001,0,'Per Line'!$AJ$2:$AJ$6001,0))</f>
        <v/>
      </c>
      <c r="N526" s="7">
        <f>IF($V526="","",M526*L526)</f>
        <v/>
      </c>
      <c r="O526">
        <f>IF($V526="","",Settings!$C$6)</f>
        <v/>
      </c>
      <c r="P526" s="7">
        <f>IF($V526="","",SUMIFS('Per Line'!$R$2:$R$6001,'Per Line'!$C$2:$C$6001,$B526,'Per Line'!$AI$2:$AI$6001,1,'Per Line'!$AJ$2:$AJ$6001,0))</f>
        <v/>
      </c>
      <c r="Q526" s="7">
        <f>IF($V526="","",P526*O526)</f>
        <v/>
      </c>
      <c r="R526" s="7">
        <f>IF($V526="","",Q526+N526)</f>
        <v/>
      </c>
      <c r="S526" s="7">
        <f>IF($V526="","",T526-R526)</f>
        <v/>
      </c>
      <c r="T526" s="7">
        <f>IF($V526="","",M526+P526+K526)</f>
        <v/>
      </c>
      <c r="U526" s="7">
        <f>IF($V526="","",T526-R526-I526)</f>
        <v/>
      </c>
      <c r="V526" s="13">
        <f>IF(ROWS($V$2:$V526)&lt;=MAX('Per Line'!$AH$2:$AH$6001),MATCH(ROWS($V$2:$V526),'Per Line'!$AH$2:$AH$6001,0),"")</f>
        <v/>
      </c>
    </row>
    <row r="527">
      <c r="A527" s="12" t="n"/>
      <c r="B527">
        <f>IF($V527="","",INDEX('Per Line'!$C$2:$C$6001,$V527)&amp;"")</f>
        <v/>
      </c>
      <c r="C527" s="11">
        <f>IF($V527="","",INDEX('Per Line'!$D$2:$D$6001,$V527))</f>
        <v/>
      </c>
      <c r="D527">
        <f>IF($V527="","",INDEX('Per Line'!$E$2:$E$6001,$V527)&amp;"")</f>
        <v/>
      </c>
      <c r="E527">
        <f>IF($V527="","",INDEX('Per Line'!$G$2:$G$6001,$V527)&amp;"")</f>
        <v/>
      </c>
      <c r="F527">
        <f>IF($V527="","",INDEX('Per Line'!$H$2:$H$6001,$V527)&amp;"")</f>
        <v/>
      </c>
      <c r="G527">
        <f>IF($V527="","",INDEX('Per Line'!$I$2:$I$6001,$V527)&amp;"")</f>
        <v/>
      </c>
      <c r="H527">
        <f>IF($V527="","",INDEX('Per Line'!$J$2:$J$6001,$V527))</f>
        <v/>
      </c>
      <c r="I527" s="7">
        <f>IF($V527="","",H527*S527/100)</f>
        <v/>
      </c>
      <c r="J527">
        <f>IF($V527="","",INDEX('Per Line'!$S$2:$S$6001,$V527)&amp;"")</f>
        <v/>
      </c>
      <c r="K527" s="7">
        <f>IF($V527="","",SUMIFS('Per Line'!$R$2:$R$6001,'Per Line'!$C$2:$C$6001,$B527,'Per Line'!$AJ$2:$AJ$6001,1))</f>
        <v/>
      </c>
      <c r="L527">
        <f>IF($V527="","",Settings!$C$7)</f>
        <v/>
      </c>
      <c r="M527" s="7">
        <f>IF($V527="","",SUMIFS('Per Line'!$R$2:$R$6001,'Per Line'!$C$2:$C$6001,$B527,'Per Line'!$AI$2:$AI$6001,0,'Per Line'!$AJ$2:$AJ$6001,0))</f>
        <v/>
      </c>
      <c r="N527" s="7">
        <f>IF($V527="","",M527*L527)</f>
        <v/>
      </c>
      <c r="O527">
        <f>IF($V527="","",Settings!$C$6)</f>
        <v/>
      </c>
      <c r="P527" s="7">
        <f>IF($V527="","",SUMIFS('Per Line'!$R$2:$R$6001,'Per Line'!$C$2:$C$6001,$B527,'Per Line'!$AI$2:$AI$6001,1,'Per Line'!$AJ$2:$AJ$6001,0))</f>
        <v/>
      </c>
      <c r="Q527" s="7">
        <f>IF($V527="","",P527*O527)</f>
        <v/>
      </c>
      <c r="R527" s="7">
        <f>IF($V527="","",Q527+N527)</f>
        <v/>
      </c>
      <c r="S527" s="7">
        <f>IF($V527="","",T527-R527)</f>
        <v/>
      </c>
      <c r="T527" s="7">
        <f>IF($V527="","",M527+P527+K527)</f>
        <v/>
      </c>
      <c r="U527" s="7">
        <f>IF($V527="","",T527-R527-I527)</f>
        <v/>
      </c>
      <c r="V527" s="13">
        <f>IF(ROWS($V$2:$V527)&lt;=MAX('Per Line'!$AH$2:$AH$6001),MATCH(ROWS($V$2:$V527),'Per Line'!$AH$2:$AH$6001,0),"")</f>
        <v/>
      </c>
    </row>
    <row r="528">
      <c r="A528" s="12" t="n"/>
      <c r="B528">
        <f>IF($V528="","",INDEX('Per Line'!$C$2:$C$6001,$V528)&amp;"")</f>
        <v/>
      </c>
      <c r="C528" s="11">
        <f>IF($V528="","",INDEX('Per Line'!$D$2:$D$6001,$V528))</f>
        <v/>
      </c>
      <c r="D528">
        <f>IF($V528="","",INDEX('Per Line'!$E$2:$E$6001,$V528)&amp;"")</f>
        <v/>
      </c>
      <c r="E528">
        <f>IF($V528="","",INDEX('Per Line'!$G$2:$G$6001,$V528)&amp;"")</f>
        <v/>
      </c>
      <c r="F528">
        <f>IF($V528="","",INDEX('Per Line'!$H$2:$H$6001,$V528)&amp;"")</f>
        <v/>
      </c>
      <c r="G528">
        <f>IF($V528="","",INDEX('Per Line'!$I$2:$I$6001,$V528)&amp;"")</f>
        <v/>
      </c>
      <c r="H528">
        <f>IF($V528="","",INDEX('Per Line'!$J$2:$J$6001,$V528))</f>
        <v/>
      </c>
      <c r="I528" s="7">
        <f>IF($V528="","",H528*S528/100)</f>
        <v/>
      </c>
      <c r="J528">
        <f>IF($V528="","",INDEX('Per Line'!$S$2:$S$6001,$V528)&amp;"")</f>
        <v/>
      </c>
      <c r="K528" s="7">
        <f>IF($V528="","",SUMIFS('Per Line'!$R$2:$R$6001,'Per Line'!$C$2:$C$6001,$B528,'Per Line'!$AJ$2:$AJ$6001,1))</f>
        <v/>
      </c>
      <c r="L528">
        <f>IF($V528="","",Settings!$C$7)</f>
        <v/>
      </c>
      <c r="M528" s="7">
        <f>IF($V528="","",SUMIFS('Per Line'!$R$2:$R$6001,'Per Line'!$C$2:$C$6001,$B528,'Per Line'!$AI$2:$AI$6001,0,'Per Line'!$AJ$2:$AJ$6001,0))</f>
        <v/>
      </c>
      <c r="N528" s="7">
        <f>IF($V528="","",M528*L528)</f>
        <v/>
      </c>
      <c r="O528">
        <f>IF($V528="","",Settings!$C$6)</f>
        <v/>
      </c>
      <c r="P528" s="7">
        <f>IF($V528="","",SUMIFS('Per Line'!$R$2:$R$6001,'Per Line'!$C$2:$C$6001,$B528,'Per Line'!$AI$2:$AI$6001,1,'Per Line'!$AJ$2:$AJ$6001,0))</f>
        <v/>
      </c>
      <c r="Q528" s="7">
        <f>IF($V528="","",P528*O528)</f>
        <v/>
      </c>
      <c r="R528" s="7">
        <f>IF($V528="","",Q528+N528)</f>
        <v/>
      </c>
      <c r="S528" s="7">
        <f>IF($V528="","",T528-R528)</f>
        <v/>
      </c>
      <c r="T528" s="7">
        <f>IF($V528="","",M528+P528+K528)</f>
        <v/>
      </c>
      <c r="U528" s="7">
        <f>IF($V528="","",T528-R528-I528)</f>
        <v/>
      </c>
      <c r="V528" s="13">
        <f>IF(ROWS($V$2:$V528)&lt;=MAX('Per Line'!$AH$2:$AH$6001),MATCH(ROWS($V$2:$V528),'Per Line'!$AH$2:$AH$6001,0),"")</f>
        <v/>
      </c>
    </row>
    <row r="529">
      <c r="A529" s="12" t="n"/>
      <c r="B529">
        <f>IF($V529="","",INDEX('Per Line'!$C$2:$C$6001,$V529)&amp;"")</f>
        <v/>
      </c>
      <c r="C529" s="11">
        <f>IF($V529="","",INDEX('Per Line'!$D$2:$D$6001,$V529))</f>
        <v/>
      </c>
      <c r="D529">
        <f>IF($V529="","",INDEX('Per Line'!$E$2:$E$6001,$V529)&amp;"")</f>
        <v/>
      </c>
      <c r="E529">
        <f>IF($V529="","",INDEX('Per Line'!$G$2:$G$6001,$V529)&amp;"")</f>
        <v/>
      </c>
      <c r="F529">
        <f>IF($V529="","",INDEX('Per Line'!$H$2:$H$6001,$V529)&amp;"")</f>
        <v/>
      </c>
      <c r="G529">
        <f>IF($V529="","",INDEX('Per Line'!$I$2:$I$6001,$V529)&amp;"")</f>
        <v/>
      </c>
      <c r="H529">
        <f>IF($V529="","",INDEX('Per Line'!$J$2:$J$6001,$V529))</f>
        <v/>
      </c>
      <c r="I529" s="7">
        <f>IF($V529="","",H529*S529/100)</f>
        <v/>
      </c>
      <c r="J529">
        <f>IF($V529="","",INDEX('Per Line'!$S$2:$S$6001,$V529)&amp;"")</f>
        <v/>
      </c>
      <c r="K529" s="7">
        <f>IF($V529="","",SUMIFS('Per Line'!$R$2:$R$6001,'Per Line'!$C$2:$C$6001,$B529,'Per Line'!$AJ$2:$AJ$6001,1))</f>
        <v/>
      </c>
      <c r="L529">
        <f>IF($V529="","",Settings!$C$7)</f>
        <v/>
      </c>
      <c r="M529" s="7">
        <f>IF($V529="","",SUMIFS('Per Line'!$R$2:$R$6001,'Per Line'!$C$2:$C$6001,$B529,'Per Line'!$AI$2:$AI$6001,0,'Per Line'!$AJ$2:$AJ$6001,0))</f>
        <v/>
      </c>
      <c r="N529" s="7">
        <f>IF($V529="","",M529*L529)</f>
        <v/>
      </c>
      <c r="O529">
        <f>IF($V529="","",Settings!$C$6)</f>
        <v/>
      </c>
      <c r="P529" s="7">
        <f>IF($V529="","",SUMIFS('Per Line'!$R$2:$R$6001,'Per Line'!$C$2:$C$6001,$B529,'Per Line'!$AI$2:$AI$6001,1,'Per Line'!$AJ$2:$AJ$6001,0))</f>
        <v/>
      </c>
      <c r="Q529" s="7">
        <f>IF($V529="","",P529*O529)</f>
        <v/>
      </c>
      <c r="R529" s="7">
        <f>IF($V529="","",Q529+N529)</f>
        <v/>
      </c>
      <c r="S529" s="7">
        <f>IF($V529="","",T529-R529)</f>
        <v/>
      </c>
      <c r="T529" s="7">
        <f>IF($V529="","",M529+P529+K529)</f>
        <v/>
      </c>
      <c r="U529" s="7">
        <f>IF($V529="","",T529-R529-I529)</f>
        <v/>
      </c>
      <c r="V529" s="13">
        <f>IF(ROWS($V$2:$V529)&lt;=MAX('Per Line'!$AH$2:$AH$6001),MATCH(ROWS($V$2:$V529),'Per Line'!$AH$2:$AH$6001,0),"")</f>
        <v/>
      </c>
    </row>
    <row r="530">
      <c r="A530" s="12" t="n"/>
      <c r="B530">
        <f>IF($V530="","",INDEX('Per Line'!$C$2:$C$6001,$V530)&amp;"")</f>
        <v/>
      </c>
      <c r="C530" s="11">
        <f>IF($V530="","",INDEX('Per Line'!$D$2:$D$6001,$V530))</f>
        <v/>
      </c>
      <c r="D530">
        <f>IF($V530="","",INDEX('Per Line'!$E$2:$E$6001,$V530)&amp;"")</f>
        <v/>
      </c>
      <c r="E530">
        <f>IF($V530="","",INDEX('Per Line'!$G$2:$G$6001,$V530)&amp;"")</f>
        <v/>
      </c>
      <c r="F530">
        <f>IF($V530="","",INDEX('Per Line'!$H$2:$H$6001,$V530)&amp;"")</f>
        <v/>
      </c>
      <c r="G530">
        <f>IF($V530="","",INDEX('Per Line'!$I$2:$I$6001,$V530)&amp;"")</f>
        <v/>
      </c>
      <c r="H530">
        <f>IF($V530="","",INDEX('Per Line'!$J$2:$J$6001,$V530))</f>
        <v/>
      </c>
      <c r="I530" s="7">
        <f>IF($V530="","",H530*S530/100)</f>
        <v/>
      </c>
      <c r="J530">
        <f>IF($V530="","",INDEX('Per Line'!$S$2:$S$6001,$V530)&amp;"")</f>
        <v/>
      </c>
      <c r="K530" s="7">
        <f>IF($V530="","",SUMIFS('Per Line'!$R$2:$R$6001,'Per Line'!$C$2:$C$6001,$B530,'Per Line'!$AJ$2:$AJ$6001,1))</f>
        <v/>
      </c>
      <c r="L530">
        <f>IF($V530="","",Settings!$C$7)</f>
        <v/>
      </c>
      <c r="M530" s="7">
        <f>IF($V530="","",SUMIFS('Per Line'!$R$2:$R$6001,'Per Line'!$C$2:$C$6001,$B530,'Per Line'!$AI$2:$AI$6001,0,'Per Line'!$AJ$2:$AJ$6001,0))</f>
        <v/>
      </c>
      <c r="N530" s="7">
        <f>IF($V530="","",M530*L530)</f>
        <v/>
      </c>
      <c r="O530">
        <f>IF($V530="","",Settings!$C$6)</f>
        <v/>
      </c>
      <c r="P530" s="7">
        <f>IF($V530="","",SUMIFS('Per Line'!$R$2:$R$6001,'Per Line'!$C$2:$C$6001,$B530,'Per Line'!$AI$2:$AI$6001,1,'Per Line'!$AJ$2:$AJ$6001,0))</f>
        <v/>
      </c>
      <c r="Q530" s="7">
        <f>IF($V530="","",P530*O530)</f>
        <v/>
      </c>
      <c r="R530" s="7">
        <f>IF($V530="","",Q530+N530)</f>
        <v/>
      </c>
      <c r="S530" s="7">
        <f>IF($V530="","",T530-R530)</f>
        <v/>
      </c>
      <c r="T530" s="7">
        <f>IF($V530="","",M530+P530+K530)</f>
        <v/>
      </c>
      <c r="U530" s="7">
        <f>IF($V530="","",T530-R530-I530)</f>
        <v/>
      </c>
      <c r="V530" s="13">
        <f>IF(ROWS($V$2:$V530)&lt;=MAX('Per Line'!$AH$2:$AH$6001),MATCH(ROWS($V$2:$V530),'Per Line'!$AH$2:$AH$6001,0),"")</f>
        <v/>
      </c>
    </row>
    <row r="531">
      <c r="A531" s="12" t="n"/>
      <c r="B531">
        <f>IF($V531="","",INDEX('Per Line'!$C$2:$C$6001,$V531)&amp;"")</f>
        <v/>
      </c>
      <c r="C531" s="11">
        <f>IF($V531="","",INDEX('Per Line'!$D$2:$D$6001,$V531))</f>
        <v/>
      </c>
      <c r="D531">
        <f>IF($V531="","",INDEX('Per Line'!$E$2:$E$6001,$V531)&amp;"")</f>
        <v/>
      </c>
      <c r="E531">
        <f>IF($V531="","",INDEX('Per Line'!$G$2:$G$6001,$V531)&amp;"")</f>
        <v/>
      </c>
      <c r="F531">
        <f>IF($V531="","",INDEX('Per Line'!$H$2:$H$6001,$V531)&amp;"")</f>
        <v/>
      </c>
      <c r="G531">
        <f>IF($V531="","",INDEX('Per Line'!$I$2:$I$6001,$V531)&amp;"")</f>
        <v/>
      </c>
      <c r="H531">
        <f>IF($V531="","",INDEX('Per Line'!$J$2:$J$6001,$V531))</f>
        <v/>
      </c>
      <c r="I531" s="7">
        <f>IF($V531="","",H531*S531/100)</f>
        <v/>
      </c>
      <c r="J531">
        <f>IF($V531="","",INDEX('Per Line'!$S$2:$S$6001,$V531)&amp;"")</f>
        <v/>
      </c>
      <c r="K531" s="7">
        <f>IF($V531="","",SUMIFS('Per Line'!$R$2:$R$6001,'Per Line'!$C$2:$C$6001,$B531,'Per Line'!$AJ$2:$AJ$6001,1))</f>
        <v/>
      </c>
      <c r="L531">
        <f>IF($V531="","",Settings!$C$7)</f>
        <v/>
      </c>
      <c r="M531" s="7">
        <f>IF($V531="","",SUMIFS('Per Line'!$R$2:$R$6001,'Per Line'!$C$2:$C$6001,$B531,'Per Line'!$AI$2:$AI$6001,0,'Per Line'!$AJ$2:$AJ$6001,0))</f>
        <v/>
      </c>
      <c r="N531" s="7">
        <f>IF($V531="","",M531*L531)</f>
        <v/>
      </c>
      <c r="O531">
        <f>IF($V531="","",Settings!$C$6)</f>
        <v/>
      </c>
      <c r="P531" s="7">
        <f>IF($V531="","",SUMIFS('Per Line'!$R$2:$R$6001,'Per Line'!$C$2:$C$6001,$B531,'Per Line'!$AI$2:$AI$6001,1,'Per Line'!$AJ$2:$AJ$6001,0))</f>
        <v/>
      </c>
      <c r="Q531" s="7">
        <f>IF($V531="","",P531*O531)</f>
        <v/>
      </c>
      <c r="R531" s="7">
        <f>IF($V531="","",Q531+N531)</f>
        <v/>
      </c>
      <c r="S531" s="7">
        <f>IF($V531="","",T531-R531)</f>
        <v/>
      </c>
      <c r="T531" s="7">
        <f>IF($V531="","",M531+P531+K531)</f>
        <v/>
      </c>
      <c r="U531" s="7">
        <f>IF($V531="","",T531-R531-I531)</f>
        <v/>
      </c>
      <c r="V531" s="13">
        <f>IF(ROWS($V$2:$V531)&lt;=MAX('Per Line'!$AH$2:$AH$6001),MATCH(ROWS($V$2:$V531),'Per Line'!$AH$2:$AH$6001,0),"")</f>
        <v/>
      </c>
    </row>
    <row r="532">
      <c r="A532" s="12" t="n"/>
      <c r="B532">
        <f>IF($V532="","",INDEX('Per Line'!$C$2:$C$6001,$V532)&amp;"")</f>
        <v/>
      </c>
      <c r="C532" s="11">
        <f>IF($V532="","",INDEX('Per Line'!$D$2:$D$6001,$V532))</f>
        <v/>
      </c>
      <c r="D532">
        <f>IF($V532="","",INDEX('Per Line'!$E$2:$E$6001,$V532)&amp;"")</f>
        <v/>
      </c>
      <c r="E532">
        <f>IF($V532="","",INDEX('Per Line'!$G$2:$G$6001,$V532)&amp;"")</f>
        <v/>
      </c>
      <c r="F532">
        <f>IF($V532="","",INDEX('Per Line'!$H$2:$H$6001,$V532)&amp;"")</f>
        <v/>
      </c>
      <c r="G532">
        <f>IF($V532="","",INDEX('Per Line'!$I$2:$I$6001,$V532)&amp;"")</f>
        <v/>
      </c>
      <c r="H532">
        <f>IF($V532="","",INDEX('Per Line'!$J$2:$J$6001,$V532))</f>
        <v/>
      </c>
      <c r="I532" s="7">
        <f>IF($V532="","",H532*S532/100)</f>
        <v/>
      </c>
      <c r="J532">
        <f>IF($V532="","",INDEX('Per Line'!$S$2:$S$6001,$V532)&amp;"")</f>
        <v/>
      </c>
      <c r="K532" s="7">
        <f>IF($V532="","",SUMIFS('Per Line'!$R$2:$R$6001,'Per Line'!$C$2:$C$6001,$B532,'Per Line'!$AJ$2:$AJ$6001,1))</f>
        <v/>
      </c>
      <c r="L532">
        <f>IF($V532="","",Settings!$C$7)</f>
        <v/>
      </c>
      <c r="M532" s="7">
        <f>IF($V532="","",SUMIFS('Per Line'!$R$2:$R$6001,'Per Line'!$C$2:$C$6001,$B532,'Per Line'!$AI$2:$AI$6001,0,'Per Line'!$AJ$2:$AJ$6001,0))</f>
        <v/>
      </c>
      <c r="N532" s="7">
        <f>IF($V532="","",M532*L532)</f>
        <v/>
      </c>
      <c r="O532">
        <f>IF($V532="","",Settings!$C$6)</f>
        <v/>
      </c>
      <c r="P532" s="7">
        <f>IF($V532="","",SUMIFS('Per Line'!$R$2:$R$6001,'Per Line'!$C$2:$C$6001,$B532,'Per Line'!$AI$2:$AI$6001,1,'Per Line'!$AJ$2:$AJ$6001,0))</f>
        <v/>
      </c>
      <c r="Q532" s="7">
        <f>IF($V532="","",P532*O532)</f>
        <v/>
      </c>
      <c r="R532" s="7">
        <f>IF($V532="","",Q532+N532)</f>
        <v/>
      </c>
      <c r="S532" s="7">
        <f>IF($V532="","",T532-R532)</f>
        <v/>
      </c>
      <c r="T532" s="7">
        <f>IF($V532="","",M532+P532+K532)</f>
        <v/>
      </c>
      <c r="U532" s="7">
        <f>IF($V532="","",T532-R532-I532)</f>
        <v/>
      </c>
      <c r="V532" s="13">
        <f>IF(ROWS($V$2:$V532)&lt;=MAX('Per Line'!$AH$2:$AH$6001),MATCH(ROWS($V$2:$V532),'Per Line'!$AH$2:$AH$6001,0),"")</f>
        <v/>
      </c>
    </row>
    <row r="533">
      <c r="A533" s="12" t="n"/>
      <c r="B533">
        <f>IF($V533="","",INDEX('Per Line'!$C$2:$C$6001,$V533)&amp;"")</f>
        <v/>
      </c>
      <c r="C533" s="11">
        <f>IF($V533="","",INDEX('Per Line'!$D$2:$D$6001,$V533))</f>
        <v/>
      </c>
      <c r="D533">
        <f>IF($V533="","",INDEX('Per Line'!$E$2:$E$6001,$V533)&amp;"")</f>
        <v/>
      </c>
      <c r="E533">
        <f>IF($V533="","",INDEX('Per Line'!$G$2:$G$6001,$V533)&amp;"")</f>
        <v/>
      </c>
      <c r="F533">
        <f>IF($V533="","",INDEX('Per Line'!$H$2:$H$6001,$V533)&amp;"")</f>
        <v/>
      </c>
      <c r="G533">
        <f>IF($V533="","",INDEX('Per Line'!$I$2:$I$6001,$V533)&amp;"")</f>
        <v/>
      </c>
      <c r="H533">
        <f>IF($V533="","",INDEX('Per Line'!$J$2:$J$6001,$V533))</f>
        <v/>
      </c>
      <c r="I533" s="7">
        <f>IF($V533="","",H533*S533/100)</f>
        <v/>
      </c>
      <c r="J533">
        <f>IF($V533="","",INDEX('Per Line'!$S$2:$S$6001,$V533)&amp;"")</f>
        <v/>
      </c>
      <c r="K533" s="7">
        <f>IF($V533="","",SUMIFS('Per Line'!$R$2:$R$6001,'Per Line'!$C$2:$C$6001,$B533,'Per Line'!$AJ$2:$AJ$6001,1))</f>
        <v/>
      </c>
      <c r="L533">
        <f>IF($V533="","",Settings!$C$7)</f>
        <v/>
      </c>
      <c r="M533" s="7">
        <f>IF($V533="","",SUMIFS('Per Line'!$R$2:$R$6001,'Per Line'!$C$2:$C$6001,$B533,'Per Line'!$AI$2:$AI$6001,0,'Per Line'!$AJ$2:$AJ$6001,0))</f>
        <v/>
      </c>
      <c r="N533" s="7">
        <f>IF($V533="","",M533*L533)</f>
        <v/>
      </c>
      <c r="O533">
        <f>IF($V533="","",Settings!$C$6)</f>
        <v/>
      </c>
      <c r="P533" s="7">
        <f>IF($V533="","",SUMIFS('Per Line'!$R$2:$R$6001,'Per Line'!$C$2:$C$6001,$B533,'Per Line'!$AI$2:$AI$6001,1,'Per Line'!$AJ$2:$AJ$6001,0))</f>
        <v/>
      </c>
      <c r="Q533" s="7">
        <f>IF($V533="","",P533*O533)</f>
        <v/>
      </c>
      <c r="R533" s="7">
        <f>IF($V533="","",Q533+N533)</f>
        <v/>
      </c>
      <c r="S533" s="7">
        <f>IF($V533="","",T533-R533)</f>
        <v/>
      </c>
      <c r="T533" s="7">
        <f>IF($V533="","",M533+P533+K533)</f>
        <v/>
      </c>
      <c r="U533" s="7">
        <f>IF($V533="","",T533-R533-I533)</f>
        <v/>
      </c>
      <c r="V533" s="13">
        <f>IF(ROWS($V$2:$V533)&lt;=MAX('Per Line'!$AH$2:$AH$6001),MATCH(ROWS($V$2:$V533),'Per Line'!$AH$2:$AH$6001,0),"")</f>
        <v/>
      </c>
    </row>
    <row r="534">
      <c r="A534" s="12" t="n"/>
      <c r="B534">
        <f>IF($V534="","",INDEX('Per Line'!$C$2:$C$6001,$V534)&amp;"")</f>
        <v/>
      </c>
      <c r="C534" s="11">
        <f>IF($V534="","",INDEX('Per Line'!$D$2:$D$6001,$V534))</f>
        <v/>
      </c>
      <c r="D534">
        <f>IF($V534="","",INDEX('Per Line'!$E$2:$E$6001,$V534)&amp;"")</f>
        <v/>
      </c>
      <c r="E534">
        <f>IF($V534="","",INDEX('Per Line'!$G$2:$G$6001,$V534)&amp;"")</f>
        <v/>
      </c>
      <c r="F534">
        <f>IF($V534="","",INDEX('Per Line'!$H$2:$H$6001,$V534)&amp;"")</f>
        <v/>
      </c>
      <c r="G534">
        <f>IF($V534="","",INDEX('Per Line'!$I$2:$I$6001,$V534)&amp;"")</f>
        <v/>
      </c>
      <c r="H534">
        <f>IF($V534="","",INDEX('Per Line'!$J$2:$J$6001,$V534))</f>
        <v/>
      </c>
      <c r="I534" s="7">
        <f>IF($V534="","",H534*S534/100)</f>
        <v/>
      </c>
      <c r="J534">
        <f>IF($V534="","",INDEX('Per Line'!$S$2:$S$6001,$V534)&amp;"")</f>
        <v/>
      </c>
      <c r="K534" s="7">
        <f>IF($V534="","",SUMIFS('Per Line'!$R$2:$R$6001,'Per Line'!$C$2:$C$6001,$B534,'Per Line'!$AJ$2:$AJ$6001,1))</f>
        <v/>
      </c>
      <c r="L534">
        <f>IF($V534="","",Settings!$C$7)</f>
        <v/>
      </c>
      <c r="M534" s="7">
        <f>IF($V534="","",SUMIFS('Per Line'!$R$2:$R$6001,'Per Line'!$C$2:$C$6001,$B534,'Per Line'!$AI$2:$AI$6001,0,'Per Line'!$AJ$2:$AJ$6001,0))</f>
        <v/>
      </c>
      <c r="N534" s="7">
        <f>IF($V534="","",M534*L534)</f>
        <v/>
      </c>
      <c r="O534">
        <f>IF($V534="","",Settings!$C$6)</f>
        <v/>
      </c>
      <c r="P534" s="7">
        <f>IF($V534="","",SUMIFS('Per Line'!$R$2:$R$6001,'Per Line'!$C$2:$C$6001,$B534,'Per Line'!$AI$2:$AI$6001,1,'Per Line'!$AJ$2:$AJ$6001,0))</f>
        <v/>
      </c>
      <c r="Q534" s="7">
        <f>IF($V534="","",P534*O534)</f>
        <v/>
      </c>
      <c r="R534" s="7">
        <f>IF($V534="","",Q534+N534)</f>
        <v/>
      </c>
      <c r="S534" s="7">
        <f>IF($V534="","",T534-R534)</f>
        <v/>
      </c>
      <c r="T534" s="7">
        <f>IF($V534="","",M534+P534+K534)</f>
        <v/>
      </c>
      <c r="U534" s="7">
        <f>IF($V534="","",T534-R534-I534)</f>
        <v/>
      </c>
      <c r="V534" s="13">
        <f>IF(ROWS($V$2:$V534)&lt;=MAX('Per Line'!$AH$2:$AH$6001),MATCH(ROWS($V$2:$V534),'Per Line'!$AH$2:$AH$6001,0),"")</f>
        <v/>
      </c>
    </row>
    <row r="535">
      <c r="A535" s="12" t="n"/>
      <c r="B535">
        <f>IF($V535="","",INDEX('Per Line'!$C$2:$C$6001,$V535)&amp;"")</f>
        <v/>
      </c>
      <c r="C535" s="11">
        <f>IF($V535="","",INDEX('Per Line'!$D$2:$D$6001,$V535))</f>
        <v/>
      </c>
      <c r="D535">
        <f>IF($V535="","",INDEX('Per Line'!$E$2:$E$6001,$V535)&amp;"")</f>
        <v/>
      </c>
      <c r="E535">
        <f>IF($V535="","",INDEX('Per Line'!$G$2:$G$6001,$V535)&amp;"")</f>
        <v/>
      </c>
      <c r="F535">
        <f>IF($V535="","",INDEX('Per Line'!$H$2:$H$6001,$V535)&amp;"")</f>
        <v/>
      </c>
      <c r="G535">
        <f>IF($V535="","",INDEX('Per Line'!$I$2:$I$6001,$V535)&amp;"")</f>
        <v/>
      </c>
      <c r="H535">
        <f>IF($V535="","",INDEX('Per Line'!$J$2:$J$6001,$V535))</f>
        <v/>
      </c>
      <c r="I535" s="7">
        <f>IF($V535="","",H535*S535/100)</f>
        <v/>
      </c>
      <c r="J535">
        <f>IF($V535="","",INDEX('Per Line'!$S$2:$S$6001,$V535)&amp;"")</f>
        <v/>
      </c>
      <c r="K535" s="7">
        <f>IF($V535="","",SUMIFS('Per Line'!$R$2:$R$6001,'Per Line'!$C$2:$C$6001,$B535,'Per Line'!$AJ$2:$AJ$6001,1))</f>
        <v/>
      </c>
      <c r="L535">
        <f>IF($V535="","",Settings!$C$7)</f>
        <v/>
      </c>
      <c r="M535" s="7">
        <f>IF($V535="","",SUMIFS('Per Line'!$R$2:$R$6001,'Per Line'!$C$2:$C$6001,$B535,'Per Line'!$AI$2:$AI$6001,0,'Per Line'!$AJ$2:$AJ$6001,0))</f>
        <v/>
      </c>
      <c r="N535" s="7">
        <f>IF($V535="","",M535*L535)</f>
        <v/>
      </c>
      <c r="O535">
        <f>IF($V535="","",Settings!$C$6)</f>
        <v/>
      </c>
      <c r="P535" s="7">
        <f>IF($V535="","",SUMIFS('Per Line'!$R$2:$R$6001,'Per Line'!$C$2:$C$6001,$B535,'Per Line'!$AI$2:$AI$6001,1,'Per Line'!$AJ$2:$AJ$6001,0))</f>
        <v/>
      </c>
      <c r="Q535" s="7">
        <f>IF($V535="","",P535*O535)</f>
        <v/>
      </c>
      <c r="R535" s="7">
        <f>IF($V535="","",Q535+N535)</f>
        <v/>
      </c>
      <c r="S535" s="7">
        <f>IF($V535="","",T535-R535)</f>
        <v/>
      </c>
      <c r="T535" s="7">
        <f>IF($V535="","",M535+P535+K535)</f>
        <v/>
      </c>
      <c r="U535" s="7">
        <f>IF($V535="","",T535-R535-I535)</f>
        <v/>
      </c>
      <c r="V535" s="13">
        <f>IF(ROWS($V$2:$V535)&lt;=MAX('Per Line'!$AH$2:$AH$6001),MATCH(ROWS($V$2:$V535),'Per Line'!$AH$2:$AH$6001,0),"")</f>
        <v/>
      </c>
    </row>
    <row r="536">
      <c r="A536" s="12" t="n"/>
      <c r="B536">
        <f>IF($V536="","",INDEX('Per Line'!$C$2:$C$6001,$V536)&amp;"")</f>
        <v/>
      </c>
      <c r="C536" s="11">
        <f>IF($V536="","",INDEX('Per Line'!$D$2:$D$6001,$V536))</f>
        <v/>
      </c>
      <c r="D536">
        <f>IF($V536="","",INDEX('Per Line'!$E$2:$E$6001,$V536)&amp;"")</f>
        <v/>
      </c>
      <c r="E536">
        <f>IF($V536="","",INDEX('Per Line'!$G$2:$G$6001,$V536)&amp;"")</f>
        <v/>
      </c>
      <c r="F536">
        <f>IF($V536="","",INDEX('Per Line'!$H$2:$H$6001,$V536)&amp;"")</f>
        <v/>
      </c>
      <c r="G536">
        <f>IF($V536="","",INDEX('Per Line'!$I$2:$I$6001,$V536)&amp;"")</f>
        <v/>
      </c>
      <c r="H536">
        <f>IF($V536="","",INDEX('Per Line'!$J$2:$J$6001,$V536))</f>
        <v/>
      </c>
      <c r="I536" s="7">
        <f>IF($V536="","",H536*S536/100)</f>
        <v/>
      </c>
      <c r="J536">
        <f>IF($V536="","",INDEX('Per Line'!$S$2:$S$6001,$V536)&amp;"")</f>
        <v/>
      </c>
      <c r="K536" s="7">
        <f>IF($V536="","",SUMIFS('Per Line'!$R$2:$R$6001,'Per Line'!$C$2:$C$6001,$B536,'Per Line'!$AJ$2:$AJ$6001,1))</f>
        <v/>
      </c>
      <c r="L536">
        <f>IF($V536="","",Settings!$C$7)</f>
        <v/>
      </c>
      <c r="M536" s="7">
        <f>IF($V536="","",SUMIFS('Per Line'!$R$2:$R$6001,'Per Line'!$C$2:$C$6001,$B536,'Per Line'!$AI$2:$AI$6001,0,'Per Line'!$AJ$2:$AJ$6001,0))</f>
        <v/>
      </c>
      <c r="N536" s="7">
        <f>IF($V536="","",M536*L536)</f>
        <v/>
      </c>
      <c r="O536">
        <f>IF($V536="","",Settings!$C$6)</f>
        <v/>
      </c>
      <c r="P536" s="7">
        <f>IF($V536="","",SUMIFS('Per Line'!$R$2:$R$6001,'Per Line'!$C$2:$C$6001,$B536,'Per Line'!$AI$2:$AI$6001,1,'Per Line'!$AJ$2:$AJ$6001,0))</f>
        <v/>
      </c>
      <c r="Q536" s="7">
        <f>IF($V536="","",P536*O536)</f>
        <v/>
      </c>
      <c r="R536" s="7">
        <f>IF($V536="","",Q536+N536)</f>
        <v/>
      </c>
      <c r="S536" s="7">
        <f>IF($V536="","",T536-R536)</f>
        <v/>
      </c>
      <c r="T536" s="7">
        <f>IF($V536="","",M536+P536+K536)</f>
        <v/>
      </c>
      <c r="U536" s="7">
        <f>IF($V536="","",T536-R536-I536)</f>
        <v/>
      </c>
      <c r="V536" s="13">
        <f>IF(ROWS($V$2:$V536)&lt;=MAX('Per Line'!$AH$2:$AH$6001),MATCH(ROWS($V$2:$V536),'Per Line'!$AH$2:$AH$6001,0),"")</f>
        <v/>
      </c>
    </row>
    <row r="537">
      <c r="A537" s="12" t="n"/>
      <c r="B537">
        <f>IF($V537="","",INDEX('Per Line'!$C$2:$C$6001,$V537)&amp;"")</f>
        <v/>
      </c>
      <c r="C537" s="11">
        <f>IF($V537="","",INDEX('Per Line'!$D$2:$D$6001,$V537))</f>
        <v/>
      </c>
      <c r="D537">
        <f>IF($V537="","",INDEX('Per Line'!$E$2:$E$6001,$V537)&amp;"")</f>
        <v/>
      </c>
      <c r="E537">
        <f>IF($V537="","",INDEX('Per Line'!$G$2:$G$6001,$V537)&amp;"")</f>
        <v/>
      </c>
      <c r="F537">
        <f>IF($V537="","",INDEX('Per Line'!$H$2:$H$6001,$V537)&amp;"")</f>
        <v/>
      </c>
      <c r="G537">
        <f>IF($V537="","",INDEX('Per Line'!$I$2:$I$6001,$V537)&amp;"")</f>
        <v/>
      </c>
      <c r="H537">
        <f>IF($V537="","",INDEX('Per Line'!$J$2:$J$6001,$V537))</f>
        <v/>
      </c>
      <c r="I537" s="7">
        <f>IF($V537="","",H537*S537/100)</f>
        <v/>
      </c>
      <c r="J537">
        <f>IF($V537="","",INDEX('Per Line'!$S$2:$S$6001,$V537)&amp;"")</f>
        <v/>
      </c>
      <c r="K537" s="7">
        <f>IF($V537="","",SUMIFS('Per Line'!$R$2:$R$6001,'Per Line'!$C$2:$C$6001,$B537,'Per Line'!$AJ$2:$AJ$6001,1))</f>
        <v/>
      </c>
      <c r="L537">
        <f>IF($V537="","",Settings!$C$7)</f>
        <v/>
      </c>
      <c r="M537" s="7">
        <f>IF($V537="","",SUMIFS('Per Line'!$R$2:$R$6001,'Per Line'!$C$2:$C$6001,$B537,'Per Line'!$AI$2:$AI$6001,0,'Per Line'!$AJ$2:$AJ$6001,0))</f>
        <v/>
      </c>
      <c r="N537" s="7">
        <f>IF($V537="","",M537*L537)</f>
        <v/>
      </c>
      <c r="O537">
        <f>IF($V537="","",Settings!$C$6)</f>
        <v/>
      </c>
      <c r="P537" s="7">
        <f>IF($V537="","",SUMIFS('Per Line'!$R$2:$R$6001,'Per Line'!$C$2:$C$6001,$B537,'Per Line'!$AI$2:$AI$6001,1,'Per Line'!$AJ$2:$AJ$6001,0))</f>
        <v/>
      </c>
      <c r="Q537" s="7">
        <f>IF($V537="","",P537*O537)</f>
        <v/>
      </c>
      <c r="R537" s="7">
        <f>IF($V537="","",Q537+N537)</f>
        <v/>
      </c>
      <c r="S537" s="7">
        <f>IF($V537="","",T537-R537)</f>
        <v/>
      </c>
      <c r="T537" s="7">
        <f>IF($V537="","",M537+P537+K537)</f>
        <v/>
      </c>
      <c r="U537" s="7">
        <f>IF($V537="","",T537-R537-I537)</f>
        <v/>
      </c>
      <c r="V537" s="13">
        <f>IF(ROWS($V$2:$V537)&lt;=MAX('Per Line'!$AH$2:$AH$6001),MATCH(ROWS($V$2:$V537),'Per Line'!$AH$2:$AH$6001,0),"")</f>
        <v/>
      </c>
    </row>
    <row r="538">
      <c r="A538" s="12" t="n"/>
      <c r="B538">
        <f>IF($V538="","",INDEX('Per Line'!$C$2:$C$6001,$V538)&amp;"")</f>
        <v/>
      </c>
      <c r="C538" s="11">
        <f>IF($V538="","",INDEX('Per Line'!$D$2:$D$6001,$V538))</f>
        <v/>
      </c>
      <c r="D538">
        <f>IF($V538="","",INDEX('Per Line'!$E$2:$E$6001,$V538)&amp;"")</f>
        <v/>
      </c>
      <c r="E538">
        <f>IF($V538="","",INDEX('Per Line'!$G$2:$G$6001,$V538)&amp;"")</f>
        <v/>
      </c>
      <c r="F538">
        <f>IF($V538="","",INDEX('Per Line'!$H$2:$H$6001,$V538)&amp;"")</f>
        <v/>
      </c>
      <c r="G538">
        <f>IF($V538="","",INDEX('Per Line'!$I$2:$I$6001,$V538)&amp;"")</f>
        <v/>
      </c>
      <c r="H538">
        <f>IF($V538="","",INDEX('Per Line'!$J$2:$J$6001,$V538))</f>
        <v/>
      </c>
      <c r="I538" s="7">
        <f>IF($V538="","",H538*S538/100)</f>
        <v/>
      </c>
      <c r="J538">
        <f>IF($V538="","",INDEX('Per Line'!$S$2:$S$6001,$V538)&amp;"")</f>
        <v/>
      </c>
      <c r="K538" s="7">
        <f>IF($V538="","",SUMIFS('Per Line'!$R$2:$R$6001,'Per Line'!$C$2:$C$6001,$B538,'Per Line'!$AJ$2:$AJ$6001,1))</f>
        <v/>
      </c>
      <c r="L538">
        <f>IF($V538="","",Settings!$C$7)</f>
        <v/>
      </c>
      <c r="M538" s="7">
        <f>IF($V538="","",SUMIFS('Per Line'!$R$2:$R$6001,'Per Line'!$C$2:$C$6001,$B538,'Per Line'!$AI$2:$AI$6001,0,'Per Line'!$AJ$2:$AJ$6001,0))</f>
        <v/>
      </c>
      <c r="N538" s="7">
        <f>IF($V538="","",M538*L538)</f>
        <v/>
      </c>
      <c r="O538">
        <f>IF($V538="","",Settings!$C$6)</f>
        <v/>
      </c>
      <c r="P538" s="7">
        <f>IF($V538="","",SUMIFS('Per Line'!$R$2:$R$6001,'Per Line'!$C$2:$C$6001,$B538,'Per Line'!$AI$2:$AI$6001,1,'Per Line'!$AJ$2:$AJ$6001,0))</f>
        <v/>
      </c>
      <c r="Q538" s="7">
        <f>IF($V538="","",P538*O538)</f>
        <v/>
      </c>
      <c r="R538" s="7">
        <f>IF($V538="","",Q538+N538)</f>
        <v/>
      </c>
      <c r="S538" s="7">
        <f>IF($V538="","",T538-R538)</f>
        <v/>
      </c>
      <c r="T538" s="7">
        <f>IF($V538="","",M538+P538+K538)</f>
        <v/>
      </c>
      <c r="U538" s="7">
        <f>IF($V538="","",T538-R538-I538)</f>
        <v/>
      </c>
      <c r="V538" s="13">
        <f>IF(ROWS($V$2:$V538)&lt;=MAX('Per Line'!$AH$2:$AH$6001),MATCH(ROWS($V$2:$V538),'Per Line'!$AH$2:$AH$6001,0),"")</f>
        <v/>
      </c>
    </row>
    <row r="539">
      <c r="A539" s="12" t="n"/>
      <c r="B539">
        <f>IF($V539="","",INDEX('Per Line'!$C$2:$C$6001,$V539)&amp;"")</f>
        <v/>
      </c>
      <c r="C539" s="11">
        <f>IF($V539="","",INDEX('Per Line'!$D$2:$D$6001,$V539))</f>
        <v/>
      </c>
      <c r="D539">
        <f>IF($V539="","",INDEX('Per Line'!$E$2:$E$6001,$V539)&amp;"")</f>
        <v/>
      </c>
      <c r="E539">
        <f>IF($V539="","",INDEX('Per Line'!$G$2:$G$6001,$V539)&amp;"")</f>
        <v/>
      </c>
      <c r="F539">
        <f>IF($V539="","",INDEX('Per Line'!$H$2:$H$6001,$V539)&amp;"")</f>
        <v/>
      </c>
      <c r="G539">
        <f>IF($V539="","",INDEX('Per Line'!$I$2:$I$6001,$V539)&amp;"")</f>
        <v/>
      </c>
      <c r="H539">
        <f>IF($V539="","",INDEX('Per Line'!$J$2:$J$6001,$V539))</f>
        <v/>
      </c>
      <c r="I539" s="7">
        <f>IF($V539="","",H539*S539/100)</f>
        <v/>
      </c>
      <c r="J539">
        <f>IF($V539="","",INDEX('Per Line'!$S$2:$S$6001,$V539)&amp;"")</f>
        <v/>
      </c>
      <c r="K539" s="7">
        <f>IF($V539="","",SUMIFS('Per Line'!$R$2:$R$6001,'Per Line'!$C$2:$C$6001,$B539,'Per Line'!$AJ$2:$AJ$6001,1))</f>
        <v/>
      </c>
      <c r="L539">
        <f>IF($V539="","",Settings!$C$7)</f>
        <v/>
      </c>
      <c r="M539" s="7">
        <f>IF($V539="","",SUMIFS('Per Line'!$R$2:$R$6001,'Per Line'!$C$2:$C$6001,$B539,'Per Line'!$AI$2:$AI$6001,0,'Per Line'!$AJ$2:$AJ$6001,0))</f>
        <v/>
      </c>
      <c r="N539" s="7">
        <f>IF($V539="","",M539*L539)</f>
        <v/>
      </c>
      <c r="O539">
        <f>IF($V539="","",Settings!$C$6)</f>
        <v/>
      </c>
      <c r="P539" s="7">
        <f>IF($V539="","",SUMIFS('Per Line'!$R$2:$R$6001,'Per Line'!$C$2:$C$6001,$B539,'Per Line'!$AI$2:$AI$6001,1,'Per Line'!$AJ$2:$AJ$6001,0))</f>
        <v/>
      </c>
      <c r="Q539" s="7">
        <f>IF($V539="","",P539*O539)</f>
        <v/>
      </c>
      <c r="R539" s="7">
        <f>IF($V539="","",Q539+N539)</f>
        <v/>
      </c>
      <c r="S539" s="7">
        <f>IF($V539="","",T539-R539)</f>
        <v/>
      </c>
      <c r="T539" s="7">
        <f>IF($V539="","",M539+P539+K539)</f>
        <v/>
      </c>
      <c r="U539" s="7">
        <f>IF($V539="","",T539-R539-I539)</f>
        <v/>
      </c>
      <c r="V539" s="13">
        <f>IF(ROWS($V$2:$V539)&lt;=MAX('Per Line'!$AH$2:$AH$6001),MATCH(ROWS($V$2:$V539),'Per Line'!$AH$2:$AH$6001,0),"")</f>
        <v/>
      </c>
    </row>
    <row r="540">
      <c r="A540" s="12" t="n"/>
      <c r="B540">
        <f>IF($V540="","",INDEX('Per Line'!$C$2:$C$6001,$V540)&amp;"")</f>
        <v/>
      </c>
      <c r="C540" s="11">
        <f>IF($V540="","",INDEX('Per Line'!$D$2:$D$6001,$V540))</f>
        <v/>
      </c>
      <c r="D540">
        <f>IF($V540="","",INDEX('Per Line'!$E$2:$E$6001,$V540)&amp;"")</f>
        <v/>
      </c>
      <c r="E540">
        <f>IF($V540="","",INDEX('Per Line'!$G$2:$G$6001,$V540)&amp;"")</f>
        <v/>
      </c>
      <c r="F540">
        <f>IF($V540="","",INDEX('Per Line'!$H$2:$H$6001,$V540)&amp;"")</f>
        <v/>
      </c>
      <c r="G540">
        <f>IF($V540="","",INDEX('Per Line'!$I$2:$I$6001,$V540)&amp;"")</f>
        <v/>
      </c>
      <c r="H540">
        <f>IF($V540="","",INDEX('Per Line'!$J$2:$J$6001,$V540))</f>
        <v/>
      </c>
      <c r="I540" s="7">
        <f>IF($V540="","",H540*S540/100)</f>
        <v/>
      </c>
      <c r="J540">
        <f>IF($V540="","",INDEX('Per Line'!$S$2:$S$6001,$V540)&amp;"")</f>
        <v/>
      </c>
      <c r="K540" s="7">
        <f>IF($V540="","",SUMIFS('Per Line'!$R$2:$R$6001,'Per Line'!$C$2:$C$6001,$B540,'Per Line'!$AJ$2:$AJ$6001,1))</f>
        <v/>
      </c>
      <c r="L540">
        <f>IF($V540="","",Settings!$C$7)</f>
        <v/>
      </c>
      <c r="M540" s="7">
        <f>IF($V540="","",SUMIFS('Per Line'!$R$2:$R$6001,'Per Line'!$C$2:$C$6001,$B540,'Per Line'!$AI$2:$AI$6001,0,'Per Line'!$AJ$2:$AJ$6001,0))</f>
        <v/>
      </c>
      <c r="N540" s="7">
        <f>IF($V540="","",M540*L540)</f>
        <v/>
      </c>
      <c r="O540">
        <f>IF($V540="","",Settings!$C$6)</f>
        <v/>
      </c>
      <c r="P540" s="7">
        <f>IF($V540="","",SUMIFS('Per Line'!$R$2:$R$6001,'Per Line'!$C$2:$C$6001,$B540,'Per Line'!$AI$2:$AI$6001,1,'Per Line'!$AJ$2:$AJ$6001,0))</f>
        <v/>
      </c>
      <c r="Q540" s="7">
        <f>IF($V540="","",P540*O540)</f>
        <v/>
      </c>
      <c r="R540" s="7">
        <f>IF($V540="","",Q540+N540)</f>
        <v/>
      </c>
      <c r="S540" s="7">
        <f>IF($V540="","",T540-R540)</f>
        <v/>
      </c>
      <c r="T540" s="7">
        <f>IF($V540="","",M540+P540+K540)</f>
        <v/>
      </c>
      <c r="U540" s="7">
        <f>IF($V540="","",T540-R540-I540)</f>
        <v/>
      </c>
      <c r="V540" s="13">
        <f>IF(ROWS($V$2:$V540)&lt;=MAX('Per Line'!$AH$2:$AH$6001),MATCH(ROWS($V$2:$V540),'Per Line'!$AH$2:$AH$6001,0),"")</f>
        <v/>
      </c>
    </row>
    <row r="541">
      <c r="A541" s="12" t="n"/>
      <c r="B541">
        <f>IF($V541="","",INDEX('Per Line'!$C$2:$C$6001,$V541)&amp;"")</f>
        <v/>
      </c>
      <c r="C541" s="11">
        <f>IF($V541="","",INDEX('Per Line'!$D$2:$D$6001,$V541))</f>
        <v/>
      </c>
      <c r="D541">
        <f>IF($V541="","",INDEX('Per Line'!$E$2:$E$6001,$V541)&amp;"")</f>
        <v/>
      </c>
      <c r="E541">
        <f>IF($V541="","",INDEX('Per Line'!$G$2:$G$6001,$V541)&amp;"")</f>
        <v/>
      </c>
      <c r="F541">
        <f>IF($V541="","",INDEX('Per Line'!$H$2:$H$6001,$V541)&amp;"")</f>
        <v/>
      </c>
      <c r="G541">
        <f>IF($V541="","",INDEX('Per Line'!$I$2:$I$6001,$V541)&amp;"")</f>
        <v/>
      </c>
      <c r="H541">
        <f>IF($V541="","",INDEX('Per Line'!$J$2:$J$6001,$V541))</f>
        <v/>
      </c>
      <c r="I541" s="7">
        <f>IF($V541="","",H541*S541/100)</f>
        <v/>
      </c>
      <c r="J541">
        <f>IF($V541="","",INDEX('Per Line'!$S$2:$S$6001,$V541)&amp;"")</f>
        <v/>
      </c>
      <c r="K541" s="7">
        <f>IF($V541="","",SUMIFS('Per Line'!$R$2:$R$6001,'Per Line'!$C$2:$C$6001,$B541,'Per Line'!$AJ$2:$AJ$6001,1))</f>
        <v/>
      </c>
      <c r="L541">
        <f>IF($V541="","",Settings!$C$7)</f>
        <v/>
      </c>
      <c r="M541" s="7">
        <f>IF($V541="","",SUMIFS('Per Line'!$R$2:$R$6001,'Per Line'!$C$2:$C$6001,$B541,'Per Line'!$AI$2:$AI$6001,0,'Per Line'!$AJ$2:$AJ$6001,0))</f>
        <v/>
      </c>
      <c r="N541" s="7">
        <f>IF($V541="","",M541*L541)</f>
        <v/>
      </c>
      <c r="O541">
        <f>IF($V541="","",Settings!$C$6)</f>
        <v/>
      </c>
      <c r="P541" s="7">
        <f>IF($V541="","",SUMIFS('Per Line'!$R$2:$R$6001,'Per Line'!$C$2:$C$6001,$B541,'Per Line'!$AI$2:$AI$6001,1,'Per Line'!$AJ$2:$AJ$6001,0))</f>
        <v/>
      </c>
      <c r="Q541" s="7">
        <f>IF($V541="","",P541*O541)</f>
        <v/>
      </c>
      <c r="R541" s="7">
        <f>IF($V541="","",Q541+N541)</f>
        <v/>
      </c>
      <c r="S541" s="7">
        <f>IF($V541="","",T541-R541)</f>
        <v/>
      </c>
      <c r="T541" s="7">
        <f>IF($V541="","",M541+P541+K541)</f>
        <v/>
      </c>
      <c r="U541" s="7">
        <f>IF($V541="","",T541-R541-I541)</f>
        <v/>
      </c>
      <c r="V541" s="13">
        <f>IF(ROWS($V$2:$V541)&lt;=MAX('Per Line'!$AH$2:$AH$6001),MATCH(ROWS($V$2:$V541),'Per Line'!$AH$2:$AH$6001,0),"")</f>
        <v/>
      </c>
    </row>
    <row r="542">
      <c r="A542" s="12" t="n"/>
      <c r="B542">
        <f>IF($V542="","",INDEX('Per Line'!$C$2:$C$6001,$V542)&amp;"")</f>
        <v/>
      </c>
      <c r="C542" s="11">
        <f>IF($V542="","",INDEX('Per Line'!$D$2:$D$6001,$V542))</f>
        <v/>
      </c>
      <c r="D542">
        <f>IF($V542="","",INDEX('Per Line'!$E$2:$E$6001,$V542)&amp;"")</f>
        <v/>
      </c>
      <c r="E542">
        <f>IF($V542="","",INDEX('Per Line'!$G$2:$G$6001,$V542)&amp;"")</f>
        <v/>
      </c>
      <c r="F542">
        <f>IF($V542="","",INDEX('Per Line'!$H$2:$H$6001,$V542)&amp;"")</f>
        <v/>
      </c>
      <c r="G542">
        <f>IF($V542="","",INDEX('Per Line'!$I$2:$I$6001,$V542)&amp;"")</f>
        <v/>
      </c>
      <c r="H542">
        <f>IF($V542="","",INDEX('Per Line'!$J$2:$J$6001,$V542))</f>
        <v/>
      </c>
      <c r="I542" s="7">
        <f>IF($V542="","",H542*S542/100)</f>
        <v/>
      </c>
      <c r="J542">
        <f>IF($V542="","",INDEX('Per Line'!$S$2:$S$6001,$V542)&amp;"")</f>
        <v/>
      </c>
      <c r="K542" s="7">
        <f>IF($V542="","",SUMIFS('Per Line'!$R$2:$R$6001,'Per Line'!$C$2:$C$6001,$B542,'Per Line'!$AJ$2:$AJ$6001,1))</f>
        <v/>
      </c>
      <c r="L542">
        <f>IF($V542="","",Settings!$C$7)</f>
        <v/>
      </c>
      <c r="M542" s="7">
        <f>IF($V542="","",SUMIFS('Per Line'!$R$2:$R$6001,'Per Line'!$C$2:$C$6001,$B542,'Per Line'!$AI$2:$AI$6001,0,'Per Line'!$AJ$2:$AJ$6001,0))</f>
        <v/>
      </c>
      <c r="N542" s="7">
        <f>IF($V542="","",M542*L542)</f>
        <v/>
      </c>
      <c r="O542">
        <f>IF($V542="","",Settings!$C$6)</f>
        <v/>
      </c>
      <c r="P542" s="7">
        <f>IF($V542="","",SUMIFS('Per Line'!$R$2:$R$6001,'Per Line'!$C$2:$C$6001,$B542,'Per Line'!$AI$2:$AI$6001,1,'Per Line'!$AJ$2:$AJ$6001,0))</f>
        <v/>
      </c>
      <c r="Q542" s="7">
        <f>IF($V542="","",P542*O542)</f>
        <v/>
      </c>
      <c r="R542" s="7">
        <f>IF($V542="","",Q542+N542)</f>
        <v/>
      </c>
      <c r="S542" s="7">
        <f>IF($V542="","",T542-R542)</f>
        <v/>
      </c>
      <c r="T542" s="7">
        <f>IF($V542="","",M542+P542+K542)</f>
        <v/>
      </c>
      <c r="U542" s="7">
        <f>IF($V542="","",T542-R542-I542)</f>
        <v/>
      </c>
      <c r="V542" s="13">
        <f>IF(ROWS($V$2:$V542)&lt;=MAX('Per Line'!$AH$2:$AH$6001),MATCH(ROWS($V$2:$V542),'Per Line'!$AH$2:$AH$6001,0),"")</f>
        <v/>
      </c>
    </row>
    <row r="543">
      <c r="A543" s="12" t="n"/>
      <c r="B543">
        <f>IF($V543="","",INDEX('Per Line'!$C$2:$C$6001,$V543)&amp;"")</f>
        <v/>
      </c>
      <c r="C543" s="11">
        <f>IF($V543="","",INDEX('Per Line'!$D$2:$D$6001,$V543))</f>
        <v/>
      </c>
      <c r="D543">
        <f>IF($V543="","",INDEX('Per Line'!$E$2:$E$6001,$V543)&amp;"")</f>
        <v/>
      </c>
      <c r="E543">
        <f>IF($V543="","",INDEX('Per Line'!$G$2:$G$6001,$V543)&amp;"")</f>
        <v/>
      </c>
      <c r="F543">
        <f>IF($V543="","",INDEX('Per Line'!$H$2:$H$6001,$V543)&amp;"")</f>
        <v/>
      </c>
      <c r="G543">
        <f>IF($V543="","",INDEX('Per Line'!$I$2:$I$6001,$V543)&amp;"")</f>
        <v/>
      </c>
      <c r="H543">
        <f>IF($V543="","",INDEX('Per Line'!$J$2:$J$6001,$V543))</f>
        <v/>
      </c>
      <c r="I543" s="7">
        <f>IF($V543="","",H543*S543/100)</f>
        <v/>
      </c>
      <c r="J543">
        <f>IF($V543="","",INDEX('Per Line'!$S$2:$S$6001,$V543)&amp;"")</f>
        <v/>
      </c>
      <c r="K543" s="7">
        <f>IF($V543="","",SUMIFS('Per Line'!$R$2:$R$6001,'Per Line'!$C$2:$C$6001,$B543,'Per Line'!$AJ$2:$AJ$6001,1))</f>
        <v/>
      </c>
      <c r="L543">
        <f>IF($V543="","",Settings!$C$7)</f>
        <v/>
      </c>
      <c r="M543" s="7">
        <f>IF($V543="","",SUMIFS('Per Line'!$R$2:$R$6001,'Per Line'!$C$2:$C$6001,$B543,'Per Line'!$AI$2:$AI$6001,0,'Per Line'!$AJ$2:$AJ$6001,0))</f>
        <v/>
      </c>
      <c r="N543" s="7">
        <f>IF($V543="","",M543*L543)</f>
        <v/>
      </c>
      <c r="O543">
        <f>IF($V543="","",Settings!$C$6)</f>
        <v/>
      </c>
      <c r="P543" s="7">
        <f>IF($V543="","",SUMIFS('Per Line'!$R$2:$R$6001,'Per Line'!$C$2:$C$6001,$B543,'Per Line'!$AI$2:$AI$6001,1,'Per Line'!$AJ$2:$AJ$6001,0))</f>
        <v/>
      </c>
      <c r="Q543" s="7">
        <f>IF($V543="","",P543*O543)</f>
        <v/>
      </c>
      <c r="R543" s="7">
        <f>IF($V543="","",Q543+N543)</f>
        <v/>
      </c>
      <c r="S543" s="7">
        <f>IF($V543="","",T543-R543)</f>
        <v/>
      </c>
      <c r="T543" s="7">
        <f>IF($V543="","",M543+P543+K543)</f>
        <v/>
      </c>
      <c r="U543" s="7">
        <f>IF($V543="","",T543-R543-I543)</f>
        <v/>
      </c>
      <c r="V543" s="13">
        <f>IF(ROWS($V$2:$V543)&lt;=MAX('Per Line'!$AH$2:$AH$6001),MATCH(ROWS($V$2:$V543),'Per Line'!$AH$2:$AH$6001,0),"")</f>
        <v/>
      </c>
    </row>
    <row r="544">
      <c r="A544" s="12" t="n"/>
      <c r="B544">
        <f>IF($V544="","",INDEX('Per Line'!$C$2:$C$6001,$V544)&amp;"")</f>
        <v/>
      </c>
      <c r="C544" s="11">
        <f>IF($V544="","",INDEX('Per Line'!$D$2:$D$6001,$V544))</f>
        <v/>
      </c>
      <c r="D544">
        <f>IF($V544="","",INDEX('Per Line'!$E$2:$E$6001,$V544)&amp;"")</f>
        <v/>
      </c>
      <c r="E544">
        <f>IF($V544="","",INDEX('Per Line'!$G$2:$G$6001,$V544)&amp;"")</f>
        <v/>
      </c>
      <c r="F544">
        <f>IF($V544="","",INDEX('Per Line'!$H$2:$H$6001,$V544)&amp;"")</f>
        <v/>
      </c>
      <c r="G544">
        <f>IF($V544="","",INDEX('Per Line'!$I$2:$I$6001,$V544)&amp;"")</f>
        <v/>
      </c>
      <c r="H544">
        <f>IF($V544="","",INDEX('Per Line'!$J$2:$J$6001,$V544))</f>
        <v/>
      </c>
      <c r="I544" s="7">
        <f>IF($V544="","",H544*S544/100)</f>
        <v/>
      </c>
      <c r="J544">
        <f>IF($V544="","",INDEX('Per Line'!$S$2:$S$6001,$V544)&amp;"")</f>
        <v/>
      </c>
      <c r="K544" s="7">
        <f>IF($V544="","",SUMIFS('Per Line'!$R$2:$R$6001,'Per Line'!$C$2:$C$6001,$B544,'Per Line'!$AJ$2:$AJ$6001,1))</f>
        <v/>
      </c>
      <c r="L544">
        <f>IF($V544="","",Settings!$C$7)</f>
        <v/>
      </c>
      <c r="M544" s="7">
        <f>IF($V544="","",SUMIFS('Per Line'!$R$2:$R$6001,'Per Line'!$C$2:$C$6001,$B544,'Per Line'!$AI$2:$AI$6001,0,'Per Line'!$AJ$2:$AJ$6001,0))</f>
        <v/>
      </c>
      <c r="N544" s="7">
        <f>IF($V544="","",M544*L544)</f>
        <v/>
      </c>
      <c r="O544">
        <f>IF($V544="","",Settings!$C$6)</f>
        <v/>
      </c>
      <c r="P544" s="7">
        <f>IF($V544="","",SUMIFS('Per Line'!$R$2:$R$6001,'Per Line'!$C$2:$C$6001,$B544,'Per Line'!$AI$2:$AI$6001,1,'Per Line'!$AJ$2:$AJ$6001,0))</f>
        <v/>
      </c>
      <c r="Q544" s="7">
        <f>IF($V544="","",P544*O544)</f>
        <v/>
      </c>
      <c r="R544" s="7">
        <f>IF($V544="","",Q544+N544)</f>
        <v/>
      </c>
      <c r="S544" s="7">
        <f>IF($V544="","",T544-R544)</f>
        <v/>
      </c>
      <c r="T544" s="7">
        <f>IF($V544="","",M544+P544+K544)</f>
        <v/>
      </c>
      <c r="U544" s="7">
        <f>IF($V544="","",T544-R544-I544)</f>
        <v/>
      </c>
      <c r="V544" s="13">
        <f>IF(ROWS($V$2:$V544)&lt;=MAX('Per Line'!$AH$2:$AH$6001),MATCH(ROWS($V$2:$V544),'Per Line'!$AH$2:$AH$6001,0),"")</f>
        <v/>
      </c>
    </row>
    <row r="545">
      <c r="A545" s="12" t="n"/>
      <c r="B545">
        <f>IF($V545="","",INDEX('Per Line'!$C$2:$C$6001,$V545)&amp;"")</f>
        <v/>
      </c>
      <c r="C545" s="11">
        <f>IF($V545="","",INDEX('Per Line'!$D$2:$D$6001,$V545))</f>
        <v/>
      </c>
      <c r="D545">
        <f>IF($V545="","",INDEX('Per Line'!$E$2:$E$6001,$V545)&amp;"")</f>
        <v/>
      </c>
      <c r="E545">
        <f>IF($V545="","",INDEX('Per Line'!$G$2:$G$6001,$V545)&amp;"")</f>
        <v/>
      </c>
      <c r="F545">
        <f>IF($V545="","",INDEX('Per Line'!$H$2:$H$6001,$V545)&amp;"")</f>
        <v/>
      </c>
      <c r="G545">
        <f>IF($V545="","",INDEX('Per Line'!$I$2:$I$6001,$V545)&amp;"")</f>
        <v/>
      </c>
      <c r="H545">
        <f>IF($V545="","",INDEX('Per Line'!$J$2:$J$6001,$V545))</f>
        <v/>
      </c>
      <c r="I545" s="7">
        <f>IF($V545="","",H545*S545/100)</f>
        <v/>
      </c>
      <c r="J545">
        <f>IF($V545="","",INDEX('Per Line'!$S$2:$S$6001,$V545)&amp;"")</f>
        <v/>
      </c>
      <c r="K545" s="7">
        <f>IF($V545="","",SUMIFS('Per Line'!$R$2:$R$6001,'Per Line'!$C$2:$C$6001,$B545,'Per Line'!$AJ$2:$AJ$6001,1))</f>
        <v/>
      </c>
      <c r="L545">
        <f>IF($V545="","",Settings!$C$7)</f>
        <v/>
      </c>
      <c r="M545" s="7">
        <f>IF($V545="","",SUMIFS('Per Line'!$R$2:$R$6001,'Per Line'!$C$2:$C$6001,$B545,'Per Line'!$AI$2:$AI$6001,0,'Per Line'!$AJ$2:$AJ$6001,0))</f>
        <v/>
      </c>
      <c r="N545" s="7">
        <f>IF($V545="","",M545*L545)</f>
        <v/>
      </c>
      <c r="O545">
        <f>IF($V545="","",Settings!$C$6)</f>
        <v/>
      </c>
      <c r="P545" s="7">
        <f>IF($V545="","",SUMIFS('Per Line'!$R$2:$R$6001,'Per Line'!$C$2:$C$6001,$B545,'Per Line'!$AI$2:$AI$6001,1,'Per Line'!$AJ$2:$AJ$6001,0))</f>
        <v/>
      </c>
      <c r="Q545" s="7">
        <f>IF($V545="","",P545*O545)</f>
        <v/>
      </c>
      <c r="R545" s="7">
        <f>IF($V545="","",Q545+N545)</f>
        <v/>
      </c>
      <c r="S545" s="7">
        <f>IF($V545="","",T545-R545)</f>
        <v/>
      </c>
      <c r="T545" s="7">
        <f>IF($V545="","",M545+P545+K545)</f>
        <v/>
      </c>
      <c r="U545" s="7">
        <f>IF($V545="","",T545-R545-I545)</f>
        <v/>
      </c>
      <c r="V545" s="13">
        <f>IF(ROWS($V$2:$V545)&lt;=MAX('Per Line'!$AH$2:$AH$6001),MATCH(ROWS($V$2:$V545),'Per Line'!$AH$2:$AH$6001,0),"")</f>
        <v/>
      </c>
    </row>
    <row r="546">
      <c r="A546" s="12" t="n"/>
      <c r="B546">
        <f>IF($V546="","",INDEX('Per Line'!$C$2:$C$6001,$V546)&amp;"")</f>
        <v/>
      </c>
      <c r="C546" s="11">
        <f>IF($V546="","",INDEX('Per Line'!$D$2:$D$6001,$V546))</f>
        <v/>
      </c>
      <c r="D546">
        <f>IF($V546="","",INDEX('Per Line'!$E$2:$E$6001,$V546)&amp;"")</f>
        <v/>
      </c>
      <c r="E546">
        <f>IF($V546="","",INDEX('Per Line'!$G$2:$G$6001,$V546)&amp;"")</f>
        <v/>
      </c>
      <c r="F546">
        <f>IF($V546="","",INDEX('Per Line'!$H$2:$H$6001,$V546)&amp;"")</f>
        <v/>
      </c>
      <c r="G546">
        <f>IF($V546="","",INDEX('Per Line'!$I$2:$I$6001,$V546)&amp;"")</f>
        <v/>
      </c>
      <c r="H546">
        <f>IF($V546="","",INDEX('Per Line'!$J$2:$J$6001,$V546))</f>
        <v/>
      </c>
      <c r="I546" s="7">
        <f>IF($V546="","",H546*S546/100)</f>
        <v/>
      </c>
      <c r="J546">
        <f>IF($V546="","",INDEX('Per Line'!$S$2:$S$6001,$V546)&amp;"")</f>
        <v/>
      </c>
      <c r="K546" s="7">
        <f>IF($V546="","",SUMIFS('Per Line'!$R$2:$R$6001,'Per Line'!$C$2:$C$6001,$B546,'Per Line'!$AJ$2:$AJ$6001,1))</f>
        <v/>
      </c>
      <c r="L546">
        <f>IF($V546="","",Settings!$C$7)</f>
        <v/>
      </c>
      <c r="M546" s="7">
        <f>IF($V546="","",SUMIFS('Per Line'!$R$2:$R$6001,'Per Line'!$C$2:$C$6001,$B546,'Per Line'!$AI$2:$AI$6001,0,'Per Line'!$AJ$2:$AJ$6001,0))</f>
        <v/>
      </c>
      <c r="N546" s="7">
        <f>IF($V546="","",M546*L546)</f>
        <v/>
      </c>
      <c r="O546">
        <f>IF($V546="","",Settings!$C$6)</f>
        <v/>
      </c>
      <c r="P546" s="7">
        <f>IF($V546="","",SUMIFS('Per Line'!$R$2:$R$6001,'Per Line'!$C$2:$C$6001,$B546,'Per Line'!$AI$2:$AI$6001,1,'Per Line'!$AJ$2:$AJ$6001,0))</f>
        <v/>
      </c>
      <c r="Q546" s="7">
        <f>IF($V546="","",P546*O546)</f>
        <v/>
      </c>
      <c r="R546" s="7">
        <f>IF($V546="","",Q546+N546)</f>
        <v/>
      </c>
      <c r="S546" s="7">
        <f>IF($V546="","",T546-R546)</f>
        <v/>
      </c>
      <c r="T546" s="7">
        <f>IF($V546="","",M546+P546+K546)</f>
        <v/>
      </c>
      <c r="U546" s="7">
        <f>IF($V546="","",T546-R546-I546)</f>
        <v/>
      </c>
      <c r="V546" s="13">
        <f>IF(ROWS($V$2:$V546)&lt;=MAX('Per Line'!$AH$2:$AH$6001),MATCH(ROWS($V$2:$V546),'Per Line'!$AH$2:$AH$6001,0),"")</f>
        <v/>
      </c>
    </row>
    <row r="547">
      <c r="A547" s="12" t="n"/>
      <c r="B547">
        <f>IF($V547="","",INDEX('Per Line'!$C$2:$C$6001,$V547)&amp;"")</f>
        <v/>
      </c>
      <c r="C547" s="11">
        <f>IF($V547="","",INDEX('Per Line'!$D$2:$D$6001,$V547))</f>
        <v/>
      </c>
      <c r="D547">
        <f>IF($V547="","",INDEX('Per Line'!$E$2:$E$6001,$V547)&amp;"")</f>
        <v/>
      </c>
      <c r="E547">
        <f>IF($V547="","",INDEX('Per Line'!$G$2:$G$6001,$V547)&amp;"")</f>
        <v/>
      </c>
      <c r="F547">
        <f>IF($V547="","",INDEX('Per Line'!$H$2:$H$6001,$V547)&amp;"")</f>
        <v/>
      </c>
      <c r="G547">
        <f>IF($V547="","",INDEX('Per Line'!$I$2:$I$6001,$V547)&amp;"")</f>
        <v/>
      </c>
      <c r="H547">
        <f>IF($V547="","",INDEX('Per Line'!$J$2:$J$6001,$V547))</f>
        <v/>
      </c>
      <c r="I547" s="7">
        <f>IF($V547="","",H547*S547/100)</f>
        <v/>
      </c>
      <c r="J547">
        <f>IF($V547="","",INDEX('Per Line'!$S$2:$S$6001,$V547)&amp;"")</f>
        <v/>
      </c>
      <c r="K547" s="7">
        <f>IF($V547="","",SUMIFS('Per Line'!$R$2:$R$6001,'Per Line'!$C$2:$C$6001,$B547,'Per Line'!$AJ$2:$AJ$6001,1))</f>
        <v/>
      </c>
      <c r="L547">
        <f>IF($V547="","",Settings!$C$7)</f>
        <v/>
      </c>
      <c r="M547" s="7">
        <f>IF($V547="","",SUMIFS('Per Line'!$R$2:$R$6001,'Per Line'!$C$2:$C$6001,$B547,'Per Line'!$AI$2:$AI$6001,0,'Per Line'!$AJ$2:$AJ$6001,0))</f>
        <v/>
      </c>
      <c r="N547" s="7">
        <f>IF($V547="","",M547*L547)</f>
        <v/>
      </c>
      <c r="O547">
        <f>IF($V547="","",Settings!$C$6)</f>
        <v/>
      </c>
      <c r="P547" s="7">
        <f>IF($V547="","",SUMIFS('Per Line'!$R$2:$R$6001,'Per Line'!$C$2:$C$6001,$B547,'Per Line'!$AI$2:$AI$6001,1,'Per Line'!$AJ$2:$AJ$6001,0))</f>
        <v/>
      </c>
      <c r="Q547" s="7">
        <f>IF($V547="","",P547*O547)</f>
        <v/>
      </c>
      <c r="R547" s="7">
        <f>IF($V547="","",Q547+N547)</f>
        <v/>
      </c>
      <c r="S547" s="7">
        <f>IF($V547="","",T547-R547)</f>
        <v/>
      </c>
      <c r="T547" s="7">
        <f>IF($V547="","",M547+P547+K547)</f>
        <v/>
      </c>
      <c r="U547" s="7">
        <f>IF($V547="","",T547-R547-I547)</f>
        <v/>
      </c>
      <c r="V547" s="13">
        <f>IF(ROWS($V$2:$V547)&lt;=MAX('Per Line'!$AH$2:$AH$6001),MATCH(ROWS($V$2:$V547),'Per Line'!$AH$2:$AH$6001,0),"")</f>
        <v/>
      </c>
    </row>
    <row r="548">
      <c r="A548" s="12" t="n"/>
      <c r="B548">
        <f>IF($V548="","",INDEX('Per Line'!$C$2:$C$6001,$V548)&amp;"")</f>
        <v/>
      </c>
      <c r="C548" s="11">
        <f>IF($V548="","",INDEX('Per Line'!$D$2:$D$6001,$V548))</f>
        <v/>
      </c>
      <c r="D548">
        <f>IF($V548="","",INDEX('Per Line'!$E$2:$E$6001,$V548)&amp;"")</f>
        <v/>
      </c>
      <c r="E548">
        <f>IF($V548="","",INDEX('Per Line'!$G$2:$G$6001,$V548)&amp;"")</f>
        <v/>
      </c>
      <c r="F548">
        <f>IF($V548="","",INDEX('Per Line'!$H$2:$H$6001,$V548)&amp;"")</f>
        <v/>
      </c>
      <c r="G548">
        <f>IF($V548="","",INDEX('Per Line'!$I$2:$I$6001,$V548)&amp;"")</f>
        <v/>
      </c>
      <c r="H548">
        <f>IF($V548="","",INDEX('Per Line'!$J$2:$J$6001,$V548))</f>
        <v/>
      </c>
      <c r="I548" s="7">
        <f>IF($V548="","",H548*S548/100)</f>
        <v/>
      </c>
      <c r="J548">
        <f>IF($V548="","",INDEX('Per Line'!$S$2:$S$6001,$V548)&amp;"")</f>
        <v/>
      </c>
      <c r="K548" s="7">
        <f>IF($V548="","",SUMIFS('Per Line'!$R$2:$R$6001,'Per Line'!$C$2:$C$6001,$B548,'Per Line'!$AJ$2:$AJ$6001,1))</f>
        <v/>
      </c>
      <c r="L548">
        <f>IF($V548="","",Settings!$C$7)</f>
        <v/>
      </c>
      <c r="M548" s="7">
        <f>IF($V548="","",SUMIFS('Per Line'!$R$2:$R$6001,'Per Line'!$C$2:$C$6001,$B548,'Per Line'!$AI$2:$AI$6001,0,'Per Line'!$AJ$2:$AJ$6001,0))</f>
        <v/>
      </c>
      <c r="N548" s="7">
        <f>IF($V548="","",M548*L548)</f>
        <v/>
      </c>
      <c r="O548">
        <f>IF($V548="","",Settings!$C$6)</f>
        <v/>
      </c>
      <c r="P548" s="7">
        <f>IF($V548="","",SUMIFS('Per Line'!$R$2:$R$6001,'Per Line'!$C$2:$C$6001,$B548,'Per Line'!$AI$2:$AI$6001,1,'Per Line'!$AJ$2:$AJ$6001,0))</f>
        <v/>
      </c>
      <c r="Q548" s="7">
        <f>IF($V548="","",P548*O548)</f>
        <v/>
      </c>
      <c r="R548" s="7">
        <f>IF($V548="","",Q548+N548)</f>
        <v/>
      </c>
      <c r="S548" s="7">
        <f>IF($V548="","",T548-R548)</f>
        <v/>
      </c>
      <c r="T548" s="7">
        <f>IF($V548="","",M548+P548+K548)</f>
        <v/>
      </c>
      <c r="U548" s="7">
        <f>IF($V548="","",T548-R548-I548)</f>
        <v/>
      </c>
      <c r="V548" s="13">
        <f>IF(ROWS($V$2:$V548)&lt;=MAX('Per Line'!$AH$2:$AH$6001),MATCH(ROWS($V$2:$V548),'Per Line'!$AH$2:$AH$6001,0),"")</f>
        <v/>
      </c>
    </row>
    <row r="549">
      <c r="A549" s="12" t="n"/>
      <c r="B549">
        <f>IF($V549="","",INDEX('Per Line'!$C$2:$C$6001,$V549)&amp;"")</f>
        <v/>
      </c>
      <c r="C549" s="11">
        <f>IF($V549="","",INDEX('Per Line'!$D$2:$D$6001,$V549))</f>
        <v/>
      </c>
      <c r="D549">
        <f>IF($V549="","",INDEX('Per Line'!$E$2:$E$6001,$V549)&amp;"")</f>
        <v/>
      </c>
      <c r="E549">
        <f>IF($V549="","",INDEX('Per Line'!$G$2:$G$6001,$V549)&amp;"")</f>
        <v/>
      </c>
      <c r="F549">
        <f>IF($V549="","",INDEX('Per Line'!$H$2:$H$6001,$V549)&amp;"")</f>
        <v/>
      </c>
      <c r="G549">
        <f>IF($V549="","",INDEX('Per Line'!$I$2:$I$6001,$V549)&amp;"")</f>
        <v/>
      </c>
      <c r="H549">
        <f>IF($V549="","",INDEX('Per Line'!$J$2:$J$6001,$V549))</f>
        <v/>
      </c>
      <c r="I549" s="7">
        <f>IF($V549="","",H549*S549/100)</f>
        <v/>
      </c>
      <c r="J549">
        <f>IF($V549="","",INDEX('Per Line'!$S$2:$S$6001,$V549)&amp;"")</f>
        <v/>
      </c>
      <c r="K549" s="7">
        <f>IF($V549="","",SUMIFS('Per Line'!$R$2:$R$6001,'Per Line'!$C$2:$C$6001,$B549,'Per Line'!$AJ$2:$AJ$6001,1))</f>
        <v/>
      </c>
      <c r="L549">
        <f>IF($V549="","",Settings!$C$7)</f>
        <v/>
      </c>
      <c r="M549" s="7">
        <f>IF($V549="","",SUMIFS('Per Line'!$R$2:$R$6001,'Per Line'!$C$2:$C$6001,$B549,'Per Line'!$AI$2:$AI$6001,0,'Per Line'!$AJ$2:$AJ$6001,0))</f>
        <v/>
      </c>
      <c r="N549" s="7">
        <f>IF($V549="","",M549*L549)</f>
        <v/>
      </c>
      <c r="O549">
        <f>IF($V549="","",Settings!$C$6)</f>
        <v/>
      </c>
      <c r="P549" s="7">
        <f>IF($V549="","",SUMIFS('Per Line'!$R$2:$R$6001,'Per Line'!$C$2:$C$6001,$B549,'Per Line'!$AI$2:$AI$6001,1,'Per Line'!$AJ$2:$AJ$6001,0))</f>
        <v/>
      </c>
      <c r="Q549" s="7">
        <f>IF($V549="","",P549*O549)</f>
        <v/>
      </c>
      <c r="R549" s="7">
        <f>IF($V549="","",Q549+N549)</f>
        <v/>
      </c>
      <c r="S549" s="7">
        <f>IF($V549="","",T549-R549)</f>
        <v/>
      </c>
      <c r="T549" s="7">
        <f>IF($V549="","",M549+P549+K549)</f>
        <v/>
      </c>
      <c r="U549" s="7">
        <f>IF($V549="","",T549-R549-I549)</f>
        <v/>
      </c>
      <c r="V549" s="13">
        <f>IF(ROWS($V$2:$V549)&lt;=MAX('Per Line'!$AH$2:$AH$6001),MATCH(ROWS($V$2:$V549),'Per Line'!$AH$2:$AH$6001,0),"")</f>
        <v/>
      </c>
    </row>
    <row r="550">
      <c r="A550" s="12" t="n"/>
      <c r="B550">
        <f>IF($V550="","",INDEX('Per Line'!$C$2:$C$6001,$V550)&amp;"")</f>
        <v/>
      </c>
      <c r="C550" s="11">
        <f>IF($V550="","",INDEX('Per Line'!$D$2:$D$6001,$V550))</f>
        <v/>
      </c>
      <c r="D550">
        <f>IF($V550="","",INDEX('Per Line'!$E$2:$E$6001,$V550)&amp;"")</f>
        <v/>
      </c>
      <c r="E550">
        <f>IF($V550="","",INDEX('Per Line'!$G$2:$G$6001,$V550)&amp;"")</f>
        <v/>
      </c>
      <c r="F550">
        <f>IF($V550="","",INDEX('Per Line'!$H$2:$H$6001,$V550)&amp;"")</f>
        <v/>
      </c>
      <c r="G550">
        <f>IF($V550="","",INDEX('Per Line'!$I$2:$I$6001,$V550)&amp;"")</f>
        <v/>
      </c>
      <c r="H550">
        <f>IF($V550="","",INDEX('Per Line'!$J$2:$J$6001,$V550))</f>
        <v/>
      </c>
      <c r="I550" s="7">
        <f>IF($V550="","",H550*S550/100)</f>
        <v/>
      </c>
      <c r="J550">
        <f>IF($V550="","",INDEX('Per Line'!$S$2:$S$6001,$V550)&amp;"")</f>
        <v/>
      </c>
      <c r="K550" s="7">
        <f>IF($V550="","",SUMIFS('Per Line'!$R$2:$R$6001,'Per Line'!$C$2:$C$6001,$B550,'Per Line'!$AJ$2:$AJ$6001,1))</f>
        <v/>
      </c>
      <c r="L550">
        <f>IF($V550="","",Settings!$C$7)</f>
        <v/>
      </c>
      <c r="M550" s="7">
        <f>IF($V550="","",SUMIFS('Per Line'!$R$2:$R$6001,'Per Line'!$C$2:$C$6001,$B550,'Per Line'!$AI$2:$AI$6001,0,'Per Line'!$AJ$2:$AJ$6001,0))</f>
        <v/>
      </c>
      <c r="N550" s="7">
        <f>IF($V550="","",M550*L550)</f>
        <v/>
      </c>
      <c r="O550">
        <f>IF($V550="","",Settings!$C$6)</f>
        <v/>
      </c>
      <c r="P550" s="7">
        <f>IF($V550="","",SUMIFS('Per Line'!$R$2:$R$6001,'Per Line'!$C$2:$C$6001,$B550,'Per Line'!$AI$2:$AI$6001,1,'Per Line'!$AJ$2:$AJ$6001,0))</f>
        <v/>
      </c>
      <c r="Q550" s="7">
        <f>IF($V550="","",P550*O550)</f>
        <v/>
      </c>
      <c r="R550" s="7">
        <f>IF($V550="","",Q550+N550)</f>
        <v/>
      </c>
      <c r="S550" s="7">
        <f>IF($V550="","",T550-R550)</f>
        <v/>
      </c>
      <c r="T550" s="7">
        <f>IF($V550="","",M550+P550+K550)</f>
        <v/>
      </c>
      <c r="U550" s="7">
        <f>IF($V550="","",T550-R550-I550)</f>
        <v/>
      </c>
      <c r="V550" s="13">
        <f>IF(ROWS($V$2:$V550)&lt;=MAX('Per Line'!$AH$2:$AH$6001),MATCH(ROWS($V$2:$V550),'Per Line'!$AH$2:$AH$6001,0),"")</f>
        <v/>
      </c>
    </row>
    <row r="551">
      <c r="A551" s="12" t="n"/>
      <c r="B551">
        <f>IF($V551="","",INDEX('Per Line'!$C$2:$C$6001,$V551)&amp;"")</f>
        <v/>
      </c>
      <c r="C551" s="11">
        <f>IF($V551="","",INDEX('Per Line'!$D$2:$D$6001,$V551))</f>
        <v/>
      </c>
      <c r="D551">
        <f>IF($V551="","",INDEX('Per Line'!$E$2:$E$6001,$V551)&amp;"")</f>
        <v/>
      </c>
      <c r="E551">
        <f>IF($V551="","",INDEX('Per Line'!$G$2:$G$6001,$V551)&amp;"")</f>
        <v/>
      </c>
      <c r="F551">
        <f>IF($V551="","",INDEX('Per Line'!$H$2:$H$6001,$V551)&amp;"")</f>
        <v/>
      </c>
      <c r="G551">
        <f>IF($V551="","",INDEX('Per Line'!$I$2:$I$6001,$V551)&amp;"")</f>
        <v/>
      </c>
      <c r="H551">
        <f>IF($V551="","",INDEX('Per Line'!$J$2:$J$6001,$V551))</f>
        <v/>
      </c>
      <c r="I551" s="7">
        <f>IF($V551="","",H551*S551/100)</f>
        <v/>
      </c>
      <c r="J551">
        <f>IF($V551="","",INDEX('Per Line'!$S$2:$S$6001,$V551)&amp;"")</f>
        <v/>
      </c>
      <c r="K551" s="7">
        <f>IF($V551="","",SUMIFS('Per Line'!$R$2:$R$6001,'Per Line'!$C$2:$C$6001,$B551,'Per Line'!$AJ$2:$AJ$6001,1))</f>
        <v/>
      </c>
      <c r="L551">
        <f>IF($V551="","",Settings!$C$7)</f>
        <v/>
      </c>
      <c r="M551" s="7">
        <f>IF($V551="","",SUMIFS('Per Line'!$R$2:$R$6001,'Per Line'!$C$2:$C$6001,$B551,'Per Line'!$AI$2:$AI$6001,0,'Per Line'!$AJ$2:$AJ$6001,0))</f>
        <v/>
      </c>
      <c r="N551" s="7">
        <f>IF($V551="","",M551*L551)</f>
        <v/>
      </c>
      <c r="O551">
        <f>IF($V551="","",Settings!$C$6)</f>
        <v/>
      </c>
      <c r="P551" s="7">
        <f>IF($V551="","",SUMIFS('Per Line'!$R$2:$R$6001,'Per Line'!$C$2:$C$6001,$B551,'Per Line'!$AI$2:$AI$6001,1,'Per Line'!$AJ$2:$AJ$6001,0))</f>
        <v/>
      </c>
      <c r="Q551" s="7">
        <f>IF($V551="","",P551*O551)</f>
        <v/>
      </c>
      <c r="R551" s="7">
        <f>IF($V551="","",Q551+N551)</f>
        <v/>
      </c>
      <c r="S551" s="7">
        <f>IF($V551="","",T551-R551)</f>
        <v/>
      </c>
      <c r="T551" s="7">
        <f>IF($V551="","",M551+P551+K551)</f>
        <v/>
      </c>
      <c r="U551" s="7">
        <f>IF($V551="","",T551-R551-I551)</f>
        <v/>
      </c>
      <c r="V551" s="13">
        <f>IF(ROWS($V$2:$V551)&lt;=MAX('Per Line'!$AH$2:$AH$6001),MATCH(ROWS($V$2:$V551),'Per Line'!$AH$2:$AH$6001,0),"")</f>
        <v/>
      </c>
    </row>
    <row r="552">
      <c r="A552" s="12" t="n"/>
      <c r="B552">
        <f>IF($V552="","",INDEX('Per Line'!$C$2:$C$6001,$V552)&amp;"")</f>
        <v/>
      </c>
      <c r="C552" s="11">
        <f>IF($V552="","",INDEX('Per Line'!$D$2:$D$6001,$V552))</f>
        <v/>
      </c>
      <c r="D552">
        <f>IF($V552="","",INDEX('Per Line'!$E$2:$E$6001,$V552)&amp;"")</f>
        <v/>
      </c>
      <c r="E552">
        <f>IF($V552="","",INDEX('Per Line'!$G$2:$G$6001,$V552)&amp;"")</f>
        <v/>
      </c>
      <c r="F552">
        <f>IF($V552="","",INDEX('Per Line'!$H$2:$H$6001,$V552)&amp;"")</f>
        <v/>
      </c>
      <c r="G552">
        <f>IF($V552="","",INDEX('Per Line'!$I$2:$I$6001,$V552)&amp;"")</f>
        <v/>
      </c>
      <c r="H552">
        <f>IF($V552="","",INDEX('Per Line'!$J$2:$J$6001,$V552))</f>
        <v/>
      </c>
      <c r="I552" s="7">
        <f>IF($V552="","",H552*S552/100)</f>
        <v/>
      </c>
      <c r="J552">
        <f>IF($V552="","",INDEX('Per Line'!$S$2:$S$6001,$V552)&amp;"")</f>
        <v/>
      </c>
      <c r="K552" s="7">
        <f>IF($V552="","",SUMIFS('Per Line'!$R$2:$R$6001,'Per Line'!$C$2:$C$6001,$B552,'Per Line'!$AJ$2:$AJ$6001,1))</f>
        <v/>
      </c>
      <c r="L552">
        <f>IF($V552="","",Settings!$C$7)</f>
        <v/>
      </c>
      <c r="M552" s="7">
        <f>IF($V552="","",SUMIFS('Per Line'!$R$2:$R$6001,'Per Line'!$C$2:$C$6001,$B552,'Per Line'!$AI$2:$AI$6001,0,'Per Line'!$AJ$2:$AJ$6001,0))</f>
        <v/>
      </c>
      <c r="N552" s="7">
        <f>IF($V552="","",M552*L552)</f>
        <v/>
      </c>
      <c r="O552">
        <f>IF($V552="","",Settings!$C$6)</f>
        <v/>
      </c>
      <c r="P552" s="7">
        <f>IF($V552="","",SUMIFS('Per Line'!$R$2:$R$6001,'Per Line'!$C$2:$C$6001,$B552,'Per Line'!$AI$2:$AI$6001,1,'Per Line'!$AJ$2:$AJ$6001,0))</f>
        <v/>
      </c>
      <c r="Q552" s="7">
        <f>IF($V552="","",P552*O552)</f>
        <v/>
      </c>
      <c r="R552" s="7">
        <f>IF($V552="","",Q552+N552)</f>
        <v/>
      </c>
      <c r="S552" s="7">
        <f>IF($V552="","",T552-R552)</f>
        <v/>
      </c>
      <c r="T552" s="7">
        <f>IF($V552="","",M552+P552+K552)</f>
        <v/>
      </c>
      <c r="U552" s="7">
        <f>IF($V552="","",T552-R552-I552)</f>
        <v/>
      </c>
      <c r="V552" s="13">
        <f>IF(ROWS($V$2:$V552)&lt;=MAX('Per Line'!$AH$2:$AH$6001),MATCH(ROWS($V$2:$V552),'Per Line'!$AH$2:$AH$6001,0),"")</f>
        <v/>
      </c>
    </row>
    <row r="553">
      <c r="A553" s="12" t="n"/>
      <c r="B553">
        <f>IF($V553="","",INDEX('Per Line'!$C$2:$C$6001,$V553)&amp;"")</f>
        <v/>
      </c>
      <c r="C553" s="11">
        <f>IF($V553="","",INDEX('Per Line'!$D$2:$D$6001,$V553))</f>
        <v/>
      </c>
      <c r="D553">
        <f>IF($V553="","",INDEX('Per Line'!$E$2:$E$6001,$V553)&amp;"")</f>
        <v/>
      </c>
      <c r="E553">
        <f>IF($V553="","",INDEX('Per Line'!$G$2:$G$6001,$V553)&amp;"")</f>
        <v/>
      </c>
      <c r="F553">
        <f>IF($V553="","",INDEX('Per Line'!$H$2:$H$6001,$V553)&amp;"")</f>
        <v/>
      </c>
      <c r="G553">
        <f>IF($V553="","",INDEX('Per Line'!$I$2:$I$6001,$V553)&amp;"")</f>
        <v/>
      </c>
      <c r="H553">
        <f>IF($V553="","",INDEX('Per Line'!$J$2:$J$6001,$V553))</f>
        <v/>
      </c>
      <c r="I553" s="7">
        <f>IF($V553="","",H553*S553/100)</f>
        <v/>
      </c>
      <c r="J553">
        <f>IF($V553="","",INDEX('Per Line'!$S$2:$S$6001,$V553)&amp;"")</f>
        <v/>
      </c>
      <c r="K553" s="7">
        <f>IF($V553="","",SUMIFS('Per Line'!$R$2:$R$6001,'Per Line'!$C$2:$C$6001,$B553,'Per Line'!$AJ$2:$AJ$6001,1))</f>
        <v/>
      </c>
      <c r="L553">
        <f>IF($V553="","",Settings!$C$7)</f>
        <v/>
      </c>
      <c r="M553" s="7">
        <f>IF($V553="","",SUMIFS('Per Line'!$R$2:$R$6001,'Per Line'!$C$2:$C$6001,$B553,'Per Line'!$AI$2:$AI$6001,0,'Per Line'!$AJ$2:$AJ$6001,0))</f>
        <v/>
      </c>
      <c r="N553" s="7">
        <f>IF($V553="","",M553*L553)</f>
        <v/>
      </c>
      <c r="O553">
        <f>IF($V553="","",Settings!$C$6)</f>
        <v/>
      </c>
      <c r="P553" s="7">
        <f>IF($V553="","",SUMIFS('Per Line'!$R$2:$R$6001,'Per Line'!$C$2:$C$6001,$B553,'Per Line'!$AI$2:$AI$6001,1,'Per Line'!$AJ$2:$AJ$6001,0))</f>
        <v/>
      </c>
      <c r="Q553" s="7">
        <f>IF($V553="","",P553*O553)</f>
        <v/>
      </c>
      <c r="R553" s="7">
        <f>IF($V553="","",Q553+N553)</f>
        <v/>
      </c>
      <c r="S553" s="7">
        <f>IF($V553="","",T553-R553)</f>
        <v/>
      </c>
      <c r="T553" s="7">
        <f>IF($V553="","",M553+P553+K553)</f>
        <v/>
      </c>
      <c r="U553" s="7">
        <f>IF($V553="","",T553-R553-I553)</f>
        <v/>
      </c>
      <c r="V553" s="13">
        <f>IF(ROWS($V$2:$V553)&lt;=MAX('Per Line'!$AH$2:$AH$6001),MATCH(ROWS($V$2:$V553),'Per Line'!$AH$2:$AH$6001,0),"")</f>
        <v/>
      </c>
    </row>
    <row r="554">
      <c r="A554" s="12" t="n"/>
      <c r="B554">
        <f>IF($V554="","",INDEX('Per Line'!$C$2:$C$6001,$V554)&amp;"")</f>
        <v/>
      </c>
      <c r="C554" s="11">
        <f>IF($V554="","",INDEX('Per Line'!$D$2:$D$6001,$V554))</f>
        <v/>
      </c>
      <c r="D554">
        <f>IF($V554="","",INDEX('Per Line'!$E$2:$E$6001,$V554)&amp;"")</f>
        <v/>
      </c>
      <c r="E554">
        <f>IF($V554="","",INDEX('Per Line'!$G$2:$G$6001,$V554)&amp;"")</f>
        <v/>
      </c>
      <c r="F554">
        <f>IF($V554="","",INDEX('Per Line'!$H$2:$H$6001,$V554)&amp;"")</f>
        <v/>
      </c>
      <c r="G554">
        <f>IF($V554="","",INDEX('Per Line'!$I$2:$I$6001,$V554)&amp;"")</f>
        <v/>
      </c>
      <c r="H554">
        <f>IF($V554="","",INDEX('Per Line'!$J$2:$J$6001,$V554))</f>
        <v/>
      </c>
      <c r="I554" s="7">
        <f>IF($V554="","",H554*S554/100)</f>
        <v/>
      </c>
      <c r="J554">
        <f>IF($V554="","",INDEX('Per Line'!$S$2:$S$6001,$V554)&amp;"")</f>
        <v/>
      </c>
      <c r="K554" s="7">
        <f>IF($V554="","",SUMIFS('Per Line'!$R$2:$R$6001,'Per Line'!$C$2:$C$6001,$B554,'Per Line'!$AJ$2:$AJ$6001,1))</f>
        <v/>
      </c>
      <c r="L554">
        <f>IF($V554="","",Settings!$C$7)</f>
        <v/>
      </c>
      <c r="M554" s="7">
        <f>IF($V554="","",SUMIFS('Per Line'!$R$2:$R$6001,'Per Line'!$C$2:$C$6001,$B554,'Per Line'!$AI$2:$AI$6001,0,'Per Line'!$AJ$2:$AJ$6001,0))</f>
        <v/>
      </c>
      <c r="N554" s="7">
        <f>IF($V554="","",M554*L554)</f>
        <v/>
      </c>
      <c r="O554">
        <f>IF($V554="","",Settings!$C$6)</f>
        <v/>
      </c>
      <c r="P554" s="7">
        <f>IF($V554="","",SUMIFS('Per Line'!$R$2:$R$6001,'Per Line'!$C$2:$C$6001,$B554,'Per Line'!$AI$2:$AI$6001,1,'Per Line'!$AJ$2:$AJ$6001,0))</f>
        <v/>
      </c>
      <c r="Q554" s="7">
        <f>IF($V554="","",P554*O554)</f>
        <v/>
      </c>
      <c r="R554" s="7">
        <f>IF($V554="","",Q554+N554)</f>
        <v/>
      </c>
      <c r="S554" s="7">
        <f>IF($V554="","",T554-R554)</f>
        <v/>
      </c>
      <c r="T554" s="7">
        <f>IF($V554="","",M554+P554+K554)</f>
        <v/>
      </c>
      <c r="U554" s="7">
        <f>IF($V554="","",T554-R554-I554)</f>
        <v/>
      </c>
      <c r="V554" s="13">
        <f>IF(ROWS($V$2:$V554)&lt;=MAX('Per Line'!$AH$2:$AH$6001),MATCH(ROWS($V$2:$V554),'Per Line'!$AH$2:$AH$6001,0),"")</f>
        <v/>
      </c>
    </row>
    <row r="555">
      <c r="A555" s="12" t="n"/>
      <c r="B555">
        <f>IF($V555="","",INDEX('Per Line'!$C$2:$C$6001,$V555)&amp;"")</f>
        <v/>
      </c>
      <c r="C555" s="11">
        <f>IF($V555="","",INDEX('Per Line'!$D$2:$D$6001,$V555))</f>
        <v/>
      </c>
      <c r="D555">
        <f>IF($V555="","",INDEX('Per Line'!$E$2:$E$6001,$V555)&amp;"")</f>
        <v/>
      </c>
      <c r="E555">
        <f>IF($V555="","",INDEX('Per Line'!$G$2:$G$6001,$V555)&amp;"")</f>
        <v/>
      </c>
      <c r="F555">
        <f>IF($V555="","",INDEX('Per Line'!$H$2:$H$6001,$V555)&amp;"")</f>
        <v/>
      </c>
      <c r="G555">
        <f>IF($V555="","",INDEX('Per Line'!$I$2:$I$6001,$V555)&amp;"")</f>
        <v/>
      </c>
      <c r="H555">
        <f>IF($V555="","",INDEX('Per Line'!$J$2:$J$6001,$V555))</f>
        <v/>
      </c>
      <c r="I555" s="7">
        <f>IF($V555="","",H555*S555/100)</f>
        <v/>
      </c>
      <c r="J555">
        <f>IF($V555="","",INDEX('Per Line'!$S$2:$S$6001,$V555)&amp;"")</f>
        <v/>
      </c>
      <c r="K555" s="7">
        <f>IF($V555="","",SUMIFS('Per Line'!$R$2:$R$6001,'Per Line'!$C$2:$C$6001,$B555,'Per Line'!$AJ$2:$AJ$6001,1))</f>
        <v/>
      </c>
      <c r="L555">
        <f>IF($V555="","",Settings!$C$7)</f>
        <v/>
      </c>
      <c r="M555" s="7">
        <f>IF($V555="","",SUMIFS('Per Line'!$R$2:$R$6001,'Per Line'!$C$2:$C$6001,$B555,'Per Line'!$AI$2:$AI$6001,0,'Per Line'!$AJ$2:$AJ$6001,0))</f>
        <v/>
      </c>
      <c r="N555" s="7">
        <f>IF($V555="","",M555*L555)</f>
        <v/>
      </c>
      <c r="O555">
        <f>IF($V555="","",Settings!$C$6)</f>
        <v/>
      </c>
      <c r="P555" s="7">
        <f>IF($V555="","",SUMIFS('Per Line'!$R$2:$R$6001,'Per Line'!$C$2:$C$6001,$B555,'Per Line'!$AI$2:$AI$6001,1,'Per Line'!$AJ$2:$AJ$6001,0))</f>
        <v/>
      </c>
      <c r="Q555" s="7">
        <f>IF($V555="","",P555*O555)</f>
        <v/>
      </c>
      <c r="R555" s="7">
        <f>IF($V555="","",Q555+N555)</f>
        <v/>
      </c>
      <c r="S555" s="7">
        <f>IF($V555="","",T555-R555)</f>
        <v/>
      </c>
      <c r="T555" s="7">
        <f>IF($V555="","",M555+P555+K555)</f>
        <v/>
      </c>
      <c r="U555" s="7">
        <f>IF($V555="","",T555-R555-I555)</f>
        <v/>
      </c>
      <c r="V555" s="13">
        <f>IF(ROWS($V$2:$V555)&lt;=MAX('Per Line'!$AH$2:$AH$6001),MATCH(ROWS($V$2:$V555),'Per Line'!$AH$2:$AH$6001,0),"")</f>
        <v/>
      </c>
    </row>
    <row r="556">
      <c r="A556" s="12" t="n"/>
      <c r="B556">
        <f>IF($V556="","",INDEX('Per Line'!$C$2:$C$6001,$V556)&amp;"")</f>
        <v/>
      </c>
      <c r="C556" s="11">
        <f>IF($V556="","",INDEX('Per Line'!$D$2:$D$6001,$V556))</f>
        <v/>
      </c>
      <c r="D556">
        <f>IF($V556="","",INDEX('Per Line'!$E$2:$E$6001,$V556)&amp;"")</f>
        <v/>
      </c>
      <c r="E556">
        <f>IF($V556="","",INDEX('Per Line'!$G$2:$G$6001,$V556)&amp;"")</f>
        <v/>
      </c>
      <c r="F556">
        <f>IF($V556="","",INDEX('Per Line'!$H$2:$H$6001,$V556)&amp;"")</f>
        <v/>
      </c>
      <c r="G556">
        <f>IF($V556="","",INDEX('Per Line'!$I$2:$I$6001,$V556)&amp;"")</f>
        <v/>
      </c>
      <c r="H556">
        <f>IF($V556="","",INDEX('Per Line'!$J$2:$J$6001,$V556))</f>
        <v/>
      </c>
      <c r="I556" s="7">
        <f>IF($V556="","",H556*S556/100)</f>
        <v/>
      </c>
      <c r="J556">
        <f>IF($V556="","",INDEX('Per Line'!$S$2:$S$6001,$V556)&amp;"")</f>
        <v/>
      </c>
      <c r="K556" s="7">
        <f>IF($V556="","",SUMIFS('Per Line'!$R$2:$R$6001,'Per Line'!$C$2:$C$6001,$B556,'Per Line'!$AJ$2:$AJ$6001,1))</f>
        <v/>
      </c>
      <c r="L556">
        <f>IF($V556="","",Settings!$C$7)</f>
        <v/>
      </c>
      <c r="M556" s="7">
        <f>IF($V556="","",SUMIFS('Per Line'!$R$2:$R$6001,'Per Line'!$C$2:$C$6001,$B556,'Per Line'!$AI$2:$AI$6001,0,'Per Line'!$AJ$2:$AJ$6001,0))</f>
        <v/>
      </c>
      <c r="N556" s="7">
        <f>IF($V556="","",M556*L556)</f>
        <v/>
      </c>
      <c r="O556">
        <f>IF($V556="","",Settings!$C$6)</f>
        <v/>
      </c>
      <c r="P556" s="7">
        <f>IF($V556="","",SUMIFS('Per Line'!$R$2:$R$6001,'Per Line'!$C$2:$C$6001,$B556,'Per Line'!$AI$2:$AI$6001,1,'Per Line'!$AJ$2:$AJ$6001,0))</f>
        <v/>
      </c>
      <c r="Q556" s="7">
        <f>IF($V556="","",P556*O556)</f>
        <v/>
      </c>
      <c r="R556" s="7">
        <f>IF($V556="","",Q556+N556)</f>
        <v/>
      </c>
      <c r="S556" s="7">
        <f>IF($V556="","",T556-R556)</f>
        <v/>
      </c>
      <c r="T556" s="7">
        <f>IF($V556="","",M556+P556+K556)</f>
        <v/>
      </c>
      <c r="U556" s="7">
        <f>IF($V556="","",T556-R556-I556)</f>
        <v/>
      </c>
      <c r="V556" s="13">
        <f>IF(ROWS($V$2:$V556)&lt;=MAX('Per Line'!$AH$2:$AH$6001),MATCH(ROWS($V$2:$V556),'Per Line'!$AH$2:$AH$6001,0),"")</f>
        <v/>
      </c>
    </row>
    <row r="557">
      <c r="A557" s="12" t="n"/>
      <c r="B557">
        <f>IF($V557="","",INDEX('Per Line'!$C$2:$C$6001,$V557)&amp;"")</f>
        <v/>
      </c>
      <c r="C557" s="11">
        <f>IF($V557="","",INDEX('Per Line'!$D$2:$D$6001,$V557))</f>
        <v/>
      </c>
      <c r="D557">
        <f>IF($V557="","",INDEX('Per Line'!$E$2:$E$6001,$V557)&amp;"")</f>
        <v/>
      </c>
      <c r="E557">
        <f>IF($V557="","",INDEX('Per Line'!$G$2:$G$6001,$V557)&amp;"")</f>
        <v/>
      </c>
      <c r="F557">
        <f>IF($V557="","",INDEX('Per Line'!$H$2:$H$6001,$V557)&amp;"")</f>
        <v/>
      </c>
      <c r="G557">
        <f>IF($V557="","",INDEX('Per Line'!$I$2:$I$6001,$V557)&amp;"")</f>
        <v/>
      </c>
      <c r="H557">
        <f>IF($V557="","",INDEX('Per Line'!$J$2:$J$6001,$V557))</f>
        <v/>
      </c>
      <c r="I557" s="7">
        <f>IF($V557="","",H557*S557/100)</f>
        <v/>
      </c>
      <c r="J557">
        <f>IF($V557="","",INDEX('Per Line'!$S$2:$S$6001,$V557)&amp;"")</f>
        <v/>
      </c>
      <c r="K557" s="7">
        <f>IF($V557="","",SUMIFS('Per Line'!$R$2:$R$6001,'Per Line'!$C$2:$C$6001,$B557,'Per Line'!$AJ$2:$AJ$6001,1))</f>
        <v/>
      </c>
      <c r="L557">
        <f>IF($V557="","",Settings!$C$7)</f>
        <v/>
      </c>
      <c r="M557" s="7">
        <f>IF($V557="","",SUMIFS('Per Line'!$R$2:$R$6001,'Per Line'!$C$2:$C$6001,$B557,'Per Line'!$AI$2:$AI$6001,0,'Per Line'!$AJ$2:$AJ$6001,0))</f>
        <v/>
      </c>
      <c r="N557" s="7">
        <f>IF($V557="","",M557*L557)</f>
        <v/>
      </c>
      <c r="O557">
        <f>IF($V557="","",Settings!$C$6)</f>
        <v/>
      </c>
      <c r="P557" s="7">
        <f>IF($V557="","",SUMIFS('Per Line'!$R$2:$R$6001,'Per Line'!$C$2:$C$6001,$B557,'Per Line'!$AI$2:$AI$6001,1,'Per Line'!$AJ$2:$AJ$6001,0))</f>
        <v/>
      </c>
      <c r="Q557" s="7">
        <f>IF($V557="","",P557*O557)</f>
        <v/>
      </c>
      <c r="R557" s="7">
        <f>IF($V557="","",Q557+N557)</f>
        <v/>
      </c>
      <c r="S557" s="7">
        <f>IF($V557="","",T557-R557)</f>
        <v/>
      </c>
      <c r="T557" s="7">
        <f>IF($V557="","",M557+P557+K557)</f>
        <v/>
      </c>
      <c r="U557" s="7">
        <f>IF($V557="","",T557-R557-I557)</f>
        <v/>
      </c>
      <c r="V557" s="13">
        <f>IF(ROWS($V$2:$V557)&lt;=MAX('Per Line'!$AH$2:$AH$6001),MATCH(ROWS($V$2:$V557),'Per Line'!$AH$2:$AH$6001,0),"")</f>
        <v/>
      </c>
    </row>
    <row r="558">
      <c r="A558" s="12" t="n"/>
      <c r="B558">
        <f>IF($V558="","",INDEX('Per Line'!$C$2:$C$6001,$V558)&amp;"")</f>
        <v/>
      </c>
      <c r="C558" s="11">
        <f>IF($V558="","",INDEX('Per Line'!$D$2:$D$6001,$V558))</f>
        <v/>
      </c>
      <c r="D558">
        <f>IF($V558="","",INDEX('Per Line'!$E$2:$E$6001,$V558)&amp;"")</f>
        <v/>
      </c>
      <c r="E558">
        <f>IF($V558="","",INDEX('Per Line'!$G$2:$G$6001,$V558)&amp;"")</f>
        <v/>
      </c>
      <c r="F558">
        <f>IF($V558="","",INDEX('Per Line'!$H$2:$H$6001,$V558)&amp;"")</f>
        <v/>
      </c>
      <c r="G558">
        <f>IF($V558="","",INDEX('Per Line'!$I$2:$I$6001,$V558)&amp;"")</f>
        <v/>
      </c>
      <c r="H558">
        <f>IF($V558="","",INDEX('Per Line'!$J$2:$J$6001,$V558))</f>
        <v/>
      </c>
      <c r="I558" s="7">
        <f>IF($V558="","",H558*S558/100)</f>
        <v/>
      </c>
      <c r="J558">
        <f>IF($V558="","",INDEX('Per Line'!$S$2:$S$6001,$V558)&amp;"")</f>
        <v/>
      </c>
      <c r="K558" s="7">
        <f>IF($V558="","",SUMIFS('Per Line'!$R$2:$R$6001,'Per Line'!$C$2:$C$6001,$B558,'Per Line'!$AJ$2:$AJ$6001,1))</f>
        <v/>
      </c>
      <c r="L558">
        <f>IF($V558="","",Settings!$C$7)</f>
        <v/>
      </c>
      <c r="M558" s="7">
        <f>IF($V558="","",SUMIFS('Per Line'!$R$2:$R$6001,'Per Line'!$C$2:$C$6001,$B558,'Per Line'!$AI$2:$AI$6001,0,'Per Line'!$AJ$2:$AJ$6001,0))</f>
        <v/>
      </c>
      <c r="N558" s="7">
        <f>IF($V558="","",M558*L558)</f>
        <v/>
      </c>
      <c r="O558">
        <f>IF($V558="","",Settings!$C$6)</f>
        <v/>
      </c>
      <c r="P558" s="7">
        <f>IF($V558="","",SUMIFS('Per Line'!$R$2:$R$6001,'Per Line'!$C$2:$C$6001,$B558,'Per Line'!$AI$2:$AI$6001,1,'Per Line'!$AJ$2:$AJ$6001,0))</f>
        <v/>
      </c>
      <c r="Q558" s="7">
        <f>IF($V558="","",P558*O558)</f>
        <v/>
      </c>
      <c r="R558" s="7">
        <f>IF($V558="","",Q558+N558)</f>
        <v/>
      </c>
      <c r="S558" s="7">
        <f>IF($V558="","",T558-R558)</f>
        <v/>
      </c>
      <c r="T558" s="7">
        <f>IF($V558="","",M558+P558+K558)</f>
        <v/>
      </c>
      <c r="U558" s="7">
        <f>IF($V558="","",T558-R558-I558)</f>
        <v/>
      </c>
      <c r="V558" s="13">
        <f>IF(ROWS($V$2:$V558)&lt;=MAX('Per Line'!$AH$2:$AH$6001),MATCH(ROWS($V$2:$V558),'Per Line'!$AH$2:$AH$6001,0),"")</f>
        <v/>
      </c>
    </row>
    <row r="559">
      <c r="A559" s="12" t="n"/>
      <c r="B559">
        <f>IF($V559="","",INDEX('Per Line'!$C$2:$C$6001,$V559)&amp;"")</f>
        <v/>
      </c>
      <c r="C559" s="11">
        <f>IF($V559="","",INDEX('Per Line'!$D$2:$D$6001,$V559))</f>
        <v/>
      </c>
      <c r="D559">
        <f>IF($V559="","",INDEX('Per Line'!$E$2:$E$6001,$V559)&amp;"")</f>
        <v/>
      </c>
      <c r="E559">
        <f>IF($V559="","",INDEX('Per Line'!$G$2:$G$6001,$V559)&amp;"")</f>
        <v/>
      </c>
      <c r="F559">
        <f>IF($V559="","",INDEX('Per Line'!$H$2:$H$6001,$V559)&amp;"")</f>
        <v/>
      </c>
      <c r="G559">
        <f>IF($V559="","",INDEX('Per Line'!$I$2:$I$6001,$V559)&amp;"")</f>
        <v/>
      </c>
      <c r="H559">
        <f>IF($V559="","",INDEX('Per Line'!$J$2:$J$6001,$V559))</f>
        <v/>
      </c>
      <c r="I559" s="7">
        <f>IF($V559="","",H559*S559/100)</f>
        <v/>
      </c>
      <c r="J559">
        <f>IF($V559="","",INDEX('Per Line'!$S$2:$S$6001,$V559)&amp;"")</f>
        <v/>
      </c>
      <c r="K559" s="7">
        <f>IF($V559="","",SUMIFS('Per Line'!$R$2:$R$6001,'Per Line'!$C$2:$C$6001,$B559,'Per Line'!$AJ$2:$AJ$6001,1))</f>
        <v/>
      </c>
      <c r="L559">
        <f>IF($V559="","",Settings!$C$7)</f>
        <v/>
      </c>
      <c r="M559" s="7">
        <f>IF($V559="","",SUMIFS('Per Line'!$R$2:$R$6001,'Per Line'!$C$2:$C$6001,$B559,'Per Line'!$AI$2:$AI$6001,0,'Per Line'!$AJ$2:$AJ$6001,0))</f>
        <v/>
      </c>
      <c r="N559" s="7">
        <f>IF($V559="","",M559*L559)</f>
        <v/>
      </c>
      <c r="O559">
        <f>IF($V559="","",Settings!$C$6)</f>
        <v/>
      </c>
      <c r="P559" s="7">
        <f>IF($V559="","",SUMIFS('Per Line'!$R$2:$R$6001,'Per Line'!$C$2:$C$6001,$B559,'Per Line'!$AI$2:$AI$6001,1,'Per Line'!$AJ$2:$AJ$6001,0))</f>
        <v/>
      </c>
      <c r="Q559" s="7">
        <f>IF($V559="","",P559*O559)</f>
        <v/>
      </c>
      <c r="R559" s="7">
        <f>IF($V559="","",Q559+N559)</f>
        <v/>
      </c>
      <c r="S559" s="7">
        <f>IF($V559="","",T559-R559)</f>
        <v/>
      </c>
      <c r="T559" s="7">
        <f>IF($V559="","",M559+P559+K559)</f>
        <v/>
      </c>
      <c r="U559" s="7">
        <f>IF($V559="","",T559-R559-I559)</f>
        <v/>
      </c>
      <c r="V559" s="13">
        <f>IF(ROWS($V$2:$V559)&lt;=MAX('Per Line'!$AH$2:$AH$6001),MATCH(ROWS($V$2:$V559),'Per Line'!$AH$2:$AH$6001,0),"")</f>
        <v/>
      </c>
    </row>
    <row r="560">
      <c r="A560" s="12" t="n"/>
      <c r="B560">
        <f>IF($V560="","",INDEX('Per Line'!$C$2:$C$6001,$V560)&amp;"")</f>
        <v/>
      </c>
      <c r="C560" s="11">
        <f>IF($V560="","",INDEX('Per Line'!$D$2:$D$6001,$V560))</f>
        <v/>
      </c>
      <c r="D560">
        <f>IF($V560="","",INDEX('Per Line'!$E$2:$E$6001,$V560)&amp;"")</f>
        <v/>
      </c>
      <c r="E560">
        <f>IF($V560="","",INDEX('Per Line'!$G$2:$G$6001,$V560)&amp;"")</f>
        <v/>
      </c>
      <c r="F560">
        <f>IF($V560="","",INDEX('Per Line'!$H$2:$H$6001,$V560)&amp;"")</f>
        <v/>
      </c>
      <c r="G560">
        <f>IF($V560="","",INDEX('Per Line'!$I$2:$I$6001,$V560)&amp;"")</f>
        <v/>
      </c>
      <c r="H560">
        <f>IF($V560="","",INDEX('Per Line'!$J$2:$J$6001,$V560))</f>
        <v/>
      </c>
      <c r="I560" s="7">
        <f>IF($V560="","",H560*S560/100)</f>
        <v/>
      </c>
      <c r="J560">
        <f>IF($V560="","",INDEX('Per Line'!$S$2:$S$6001,$V560)&amp;"")</f>
        <v/>
      </c>
      <c r="K560" s="7">
        <f>IF($V560="","",SUMIFS('Per Line'!$R$2:$R$6001,'Per Line'!$C$2:$C$6001,$B560,'Per Line'!$AJ$2:$AJ$6001,1))</f>
        <v/>
      </c>
      <c r="L560">
        <f>IF($V560="","",Settings!$C$7)</f>
        <v/>
      </c>
      <c r="M560" s="7">
        <f>IF($V560="","",SUMIFS('Per Line'!$R$2:$R$6001,'Per Line'!$C$2:$C$6001,$B560,'Per Line'!$AI$2:$AI$6001,0,'Per Line'!$AJ$2:$AJ$6001,0))</f>
        <v/>
      </c>
      <c r="N560" s="7">
        <f>IF($V560="","",M560*L560)</f>
        <v/>
      </c>
      <c r="O560">
        <f>IF($V560="","",Settings!$C$6)</f>
        <v/>
      </c>
      <c r="P560" s="7">
        <f>IF($V560="","",SUMIFS('Per Line'!$R$2:$R$6001,'Per Line'!$C$2:$C$6001,$B560,'Per Line'!$AI$2:$AI$6001,1,'Per Line'!$AJ$2:$AJ$6001,0))</f>
        <v/>
      </c>
      <c r="Q560" s="7">
        <f>IF($V560="","",P560*O560)</f>
        <v/>
      </c>
      <c r="R560" s="7">
        <f>IF($V560="","",Q560+N560)</f>
        <v/>
      </c>
      <c r="S560" s="7">
        <f>IF($V560="","",T560-R560)</f>
        <v/>
      </c>
      <c r="T560" s="7">
        <f>IF($V560="","",M560+P560+K560)</f>
        <v/>
      </c>
      <c r="U560" s="7">
        <f>IF($V560="","",T560-R560-I560)</f>
        <v/>
      </c>
      <c r="V560" s="13">
        <f>IF(ROWS($V$2:$V560)&lt;=MAX('Per Line'!$AH$2:$AH$6001),MATCH(ROWS($V$2:$V560),'Per Line'!$AH$2:$AH$6001,0),"")</f>
        <v/>
      </c>
    </row>
    <row r="561">
      <c r="A561" s="12" t="n"/>
      <c r="B561">
        <f>IF($V561="","",INDEX('Per Line'!$C$2:$C$6001,$V561)&amp;"")</f>
        <v/>
      </c>
      <c r="C561" s="11">
        <f>IF($V561="","",INDEX('Per Line'!$D$2:$D$6001,$V561))</f>
        <v/>
      </c>
      <c r="D561">
        <f>IF($V561="","",INDEX('Per Line'!$E$2:$E$6001,$V561)&amp;"")</f>
        <v/>
      </c>
      <c r="E561">
        <f>IF($V561="","",INDEX('Per Line'!$G$2:$G$6001,$V561)&amp;"")</f>
        <v/>
      </c>
      <c r="F561">
        <f>IF($V561="","",INDEX('Per Line'!$H$2:$H$6001,$V561)&amp;"")</f>
        <v/>
      </c>
      <c r="G561">
        <f>IF($V561="","",INDEX('Per Line'!$I$2:$I$6001,$V561)&amp;"")</f>
        <v/>
      </c>
      <c r="H561">
        <f>IF($V561="","",INDEX('Per Line'!$J$2:$J$6001,$V561))</f>
        <v/>
      </c>
      <c r="I561" s="7">
        <f>IF($V561="","",H561*S561/100)</f>
        <v/>
      </c>
      <c r="J561">
        <f>IF($V561="","",INDEX('Per Line'!$S$2:$S$6001,$V561)&amp;"")</f>
        <v/>
      </c>
      <c r="K561" s="7">
        <f>IF($V561="","",SUMIFS('Per Line'!$R$2:$R$6001,'Per Line'!$C$2:$C$6001,$B561,'Per Line'!$AJ$2:$AJ$6001,1))</f>
        <v/>
      </c>
      <c r="L561">
        <f>IF($V561="","",Settings!$C$7)</f>
        <v/>
      </c>
      <c r="M561" s="7">
        <f>IF($V561="","",SUMIFS('Per Line'!$R$2:$R$6001,'Per Line'!$C$2:$C$6001,$B561,'Per Line'!$AI$2:$AI$6001,0,'Per Line'!$AJ$2:$AJ$6001,0))</f>
        <v/>
      </c>
      <c r="N561" s="7">
        <f>IF($V561="","",M561*L561)</f>
        <v/>
      </c>
      <c r="O561">
        <f>IF($V561="","",Settings!$C$6)</f>
        <v/>
      </c>
      <c r="P561" s="7">
        <f>IF($V561="","",SUMIFS('Per Line'!$R$2:$R$6001,'Per Line'!$C$2:$C$6001,$B561,'Per Line'!$AI$2:$AI$6001,1,'Per Line'!$AJ$2:$AJ$6001,0))</f>
        <v/>
      </c>
      <c r="Q561" s="7">
        <f>IF($V561="","",P561*O561)</f>
        <v/>
      </c>
      <c r="R561" s="7">
        <f>IF($V561="","",Q561+N561)</f>
        <v/>
      </c>
      <c r="S561" s="7">
        <f>IF($V561="","",T561-R561)</f>
        <v/>
      </c>
      <c r="T561" s="7">
        <f>IF($V561="","",M561+P561+K561)</f>
        <v/>
      </c>
      <c r="U561" s="7">
        <f>IF($V561="","",T561-R561-I561)</f>
        <v/>
      </c>
      <c r="V561" s="13">
        <f>IF(ROWS($V$2:$V561)&lt;=MAX('Per Line'!$AH$2:$AH$6001),MATCH(ROWS($V$2:$V561),'Per Line'!$AH$2:$AH$6001,0),"")</f>
        <v/>
      </c>
    </row>
    <row r="562">
      <c r="A562" s="12" t="n"/>
      <c r="B562">
        <f>IF($V562="","",INDEX('Per Line'!$C$2:$C$6001,$V562)&amp;"")</f>
        <v/>
      </c>
      <c r="C562" s="11">
        <f>IF($V562="","",INDEX('Per Line'!$D$2:$D$6001,$V562))</f>
        <v/>
      </c>
      <c r="D562">
        <f>IF($V562="","",INDEX('Per Line'!$E$2:$E$6001,$V562)&amp;"")</f>
        <v/>
      </c>
      <c r="E562">
        <f>IF($V562="","",INDEX('Per Line'!$G$2:$G$6001,$V562)&amp;"")</f>
        <v/>
      </c>
      <c r="F562">
        <f>IF($V562="","",INDEX('Per Line'!$H$2:$H$6001,$V562)&amp;"")</f>
        <v/>
      </c>
      <c r="G562">
        <f>IF($V562="","",INDEX('Per Line'!$I$2:$I$6001,$V562)&amp;"")</f>
        <v/>
      </c>
      <c r="H562">
        <f>IF($V562="","",INDEX('Per Line'!$J$2:$J$6001,$V562))</f>
        <v/>
      </c>
      <c r="I562" s="7">
        <f>IF($V562="","",H562*S562/100)</f>
        <v/>
      </c>
      <c r="J562">
        <f>IF($V562="","",INDEX('Per Line'!$S$2:$S$6001,$V562)&amp;"")</f>
        <v/>
      </c>
      <c r="K562" s="7">
        <f>IF($V562="","",SUMIFS('Per Line'!$R$2:$R$6001,'Per Line'!$C$2:$C$6001,$B562,'Per Line'!$AJ$2:$AJ$6001,1))</f>
        <v/>
      </c>
      <c r="L562">
        <f>IF($V562="","",Settings!$C$7)</f>
        <v/>
      </c>
      <c r="M562" s="7">
        <f>IF($V562="","",SUMIFS('Per Line'!$R$2:$R$6001,'Per Line'!$C$2:$C$6001,$B562,'Per Line'!$AI$2:$AI$6001,0,'Per Line'!$AJ$2:$AJ$6001,0))</f>
        <v/>
      </c>
      <c r="N562" s="7">
        <f>IF($V562="","",M562*L562)</f>
        <v/>
      </c>
      <c r="O562">
        <f>IF($V562="","",Settings!$C$6)</f>
        <v/>
      </c>
      <c r="P562" s="7">
        <f>IF($V562="","",SUMIFS('Per Line'!$R$2:$R$6001,'Per Line'!$C$2:$C$6001,$B562,'Per Line'!$AI$2:$AI$6001,1,'Per Line'!$AJ$2:$AJ$6001,0))</f>
        <v/>
      </c>
      <c r="Q562" s="7">
        <f>IF($V562="","",P562*O562)</f>
        <v/>
      </c>
      <c r="R562" s="7">
        <f>IF($V562="","",Q562+N562)</f>
        <v/>
      </c>
      <c r="S562" s="7">
        <f>IF($V562="","",T562-R562)</f>
        <v/>
      </c>
      <c r="T562" s="7">
        <f>IF($V562="","",M562+P562+K562)</f>
        <v/>
      </c>
      <c r="U562" s="7">
        <f>IF($V562="","",T562-R562-I562)</f>
        <v/>
      </c>
      <c r="V562" s="13">
        <f>IF(ROWS($V$2:$V562)&lt;=MAX('Per Line'!$AH$2:$AH$6001),MATCH(ROWS($V$2:$V562),'Per Line'!$AH$2:$AH$6001,0),"")</f>
        <v/>
      </c>
    </row>
    <row r="563">
      <c r="A563" s="12" t="n"/>
      <c r="B563">
        <f>IF($V563="","",INDEX('Per Line'!$C$2:$C$6001,$V563)&amp;"")</f>
        <v/>
      </c>
      <c r="C563" s="11">
        <f>IF($V563="","",INDEX('Per Line'!$D$2:$D$6001,$V563))</f>
        <v/>
      </c>
      <c r="D563">
        <f>IF($V563="","",INDEX('Per Line'!$E$2:$E$6001,$V563)&amp;"")</f>
        <v/>
      </c>
      <c r="E563">
        <f>IF($V563="","",INDEX('Per Line'!$G$2:$G$6001,$V563)&amp;"")</f>
        <v/>
      </c>
      <c r="F563">
        <f>IF($V563="","",INDEX('Per Line'!$H$2:$H$6001,$V563)&amp;"")</f>
        <v/>
      </c>
      <c r="G563">
        <f>IF($V563="","",INDEX('Per Line'!$I$2:$I$6001,$V563)&amp;"")</f>
        <v/>
      </c>
      <c r="H563">
        <f>IF($V563="","",INDEX('Per Line'!$J$2:$J$6001,$V563))</f>
        <v/>
      </c>
      <c r="I563" s="7">
        <f>IF($V563="","",H563*S563/100)</f>
        <v/>
      </c>
      <c r="J563">
        <f>IF($V563="","",INDEX('Per Line'!$S$2:$S$6001,$V563)&amp;"")</f>
        <v/>
      </c>
      <c r="K563" s="7">
        <f>IF($V563="","",SUMIFS('Per Line'!$R$2:$R$6001,'Per Line'!$C$2:$C$6001,$B563,'Per Line'!$AJ$2:$AJ$6001,1))</f>
        <v/>
      </c>
      <c r="L563">
        <f>IF($V563="","",Settings!$C$7)</f>
        <v/>
      </c>
      <c r="M563" s="7">
        <f>IF($V563="","",SUMIFS('Per Line'!$R$2:$R$6001,'Per Line'!$C$2:$C$6001,$B563,'Per Line'!$AI$2:$AI$6001,0,'Per Line'!$AJ$2:$AJ$6001,0))</f>
        <v/>
      </c>
      <c r="N563" s="7">
        <f>IF($V563="","",M563*L563)</f>
        <v/>
      </c>
      <c r="O563">
        <f>IF($V563="","",Settings!$C$6)</f>
        <v/>
      </c>
      <c r="P563" s="7">
        <f>IF($V563="","",SUMIFS('Per Line'!$R$2:$R$6001,'Per Line'!$C$2:$C$6001,$B563,'Per Line'!$AI$2:$AI$6001,1,'Per Line'!$AJ$2:$AJ$6001,0))</f>
        <v/>
      </c>
      <c r="Q563" s="7">
        <f>IF($V563="","",P563*O563)</f>
        <v/>
      </c>
      <c r="R563" s="7">
        <f>IF($V563="","",Q563+N563)</f>
        <v/>
      </c>
      <c r="S563" s="7">
        <f>IF($V563="","",T563-R563)</f>
        <v/>
      </c>
      <c r="T563" s="7">
        <f>IF($V563="","",M563+P563+K563)</f>
        <v/>
      </c>
      <c r="U563" s="7">
        <f>IF($V563="","",T563-R563-I563)</f>
        <v/>
      </c>
      <c r="V563" s="13">
        <f>IF(ROWS($V$2:$V563)&lt;=MAX('Per Line'!$AH$2:$AH$6001),MATCH(ROWS($V$2:$V563),'Per Line'!$AH$2:$AH$6001,0),"")</f>
        <v/>
      </c>
    </row>
    <row r="564">
      <c r="A564" s="12" t="n"/>
      <c r="B564">
        <f>IF($V564="","",INDEX('Per Line'!$C$2:$C$6001,$V564)&amp;"")</f>
        <v/>
      </c>
      <c r="C564" s="11">
        <f>IF($V564="","",INDEX('Per Line'!$D$2:$D$6001,$V564))</f>
        <v/>
      </c>
      <c r="D564">
        <f>IF($V564="","",INDEX('Per Line'!$E$2:$E$6001,$V564)&amp;"")</f>
        <v/>
      </c>
      <c r="E564">
        <f>IF($V564="","",INDEX('Per Line'!$G$2:$G$6001,$V564)&amp;"")</f>
        <v/>
      </c>
      <c r="F564">
        <f>IF($V564="","",INDEX('Per Line'!$H$2:$H$6001,$V564)&amp;"")</f>
        <v/>
      </c>
      <c r="G564">
        <f>IF($V564="","",INDEX('Per Line'!$I$2:$I$6001,$V564)&amp;"")</f>
        <v/>
      </c>
      <c r="H564">
        <f>IF($V564="","",INDEX('Per Line'!$J$2:$J$6001,$V564))</f>
        <v/>
      </c>
      <c r="I564" s="7">
        <f>IF($V564="","",H564*S564/100)</f>
        <v/>
      </c>
      <c r="J564">
        <f>IF($V564="","",INDEX('Per Line'!$S$2:$S$6001,$V564)&amp;"")</f>
        <v/>
      </c>
      <c r="K564" s="7">
        <f>IF($V564="","",SUMIFS('Per Line'!$R$2:$R$6001,'Per Line'!$C$2:$C$6001,$B564,'Per Line'!$AJ$2:$AJ$6001,1))</f>
        <v/>
      </c>
      <c r="L564">
        <f>IF($V564="","",Settings!$C$7)</f>
        <v/>
      </c>
      <c r="M564" s="7">
        <f>IF($V564="","",SUMIFS('Per Line'!$R$2:$R$6001,'Per Line'!$C$2:$C$6001,$B564,'Per Line'!$AI$2:$AI$6001,0,'Per Line'!$AJ$2:$AJ$6001,0))</f>
        <v/>
      </c>
      <c r="N564" s="7">
        <f>IF($V564="","",M564*L564)</f>
        <v/>
      </c>
      <c r="O564">
        <f>IF($V564="","",Settings!$C$6)</f>
        <v/>
      </c>
      <c r="P564" s="7">
        <f>IF($V564="","",SUMIFS('Per Line'!$R$2:$R$6001,'Per Line'!$C$2:$C$6001,$B564,'Per Line'!$AI$2:$AI$6001,1,'Per Line'!$AJ$2:$AJ$6001,0))</f>
        <v/>
      </c>
      <c r="Q564" s="7">
        <f>IF($V564="","",P564*O564)</f>
        <v/>
      </c>
      <c r="R564" s="7">
        <f>IF($V564="","",Q564+N564)</f>
        <v/>
      </c>
      <c r="S564" s="7">
        <f>IF($V564="","",T564-R564)</f>
        <v/>
      </c>
      <c r="T564" s="7">
        <f>IF($V564="","",M564+P564+K564)</f>
        <v/>
      </c>
      <c r="U564" s="7">
        <f>IF($V564="","",T564-R564-I564)</f>
        <v/>
      </c>
      <c r="V564" s="13">
        <f>IF(ROWS($V$2:$V564)&lt;=MAX('Per Line'!$AH$2:$AH$6001),MATCH(ROWS($V$2:$V564),'Per Line'!$AH$2:$AH$6001,0),"")</f>
        <v/>
      </c>
    </row>
    <row r="565">
      <c r="A565" s="12" t="n"/>
      <c r="B565">
        <f>IF($V565="","",INDEX('Per Line'!$C$2:$C$6001,$V565)&amp;"")</f>
        <v/>
      </c>
      <c r="C565" s="11">
        <f>IF($V565="","",INDEX('Per Line'!$D$2:$D$6001,$V565))</f>
        <v/>
      </c>
      <c r="D565">
        <f>IF($V565="","",INDEX('Per Line'!$E$2:$E$6001,$V565)&amp;"")</f>
        <v/>
      </c>
      <c r="E565">
        <f>IF($V565="","",INDEX('Per Line'!$G$2:$G$6001,$V565)&amp;"")</f>
        <v/>
      </c>
      <c r="F565">
        <f>IF($V565="","",INDEX('Per Line'!$H$2:$H$6001,$V565)&amp;"")</f>
        <v/>
      </c>
      <c r="G565">
        <f>IF($V565="","",INDEX('Per Line'!$I$2:$I$6001,$V565)&amp;"")</f>
        <v/>
      </c>
      <c r="H565">
        <f>IF($V565="","",INDEX('Per Line'!$J$2:$J$6001,$V565))</f>
        <v/>
      </c>
      <c r="I565" s="7">
        <f>IF($V565="","",H565*S565/100)</f>
        <v/>
      </c>
      <c r="J565">
        <f>IF($V565="","",INDEX('Per Line'!$S$2:$S$6001,$V565)&amp;"")</f>
        <v/>
      </c>
      <c r="K565" s="7">
        <f>IF($V565="","",SUMIFS('Per Line'!$R$2:$R$6001,'Per Line'!$C$2:$C$6001,$B565,'Per Line'!$AJ$2:$AJ$6001,1))</f>
        <v/>
      </c>
      <c r="L565">
        <f>IF($V565="","",Settings!$C$7)</f>
        <v/>
      </c>
      <c r="M565" s="7">
        <f>IF($V565="","",SUMIFS('Per Line'!$R$2:$R$6001,'Per Line'!$C$2:$C$6001,$B565,'Per Line'!$AI$2:$AI$6001,0,'Per Line'!$AJ$2:$AJ$6001,0))</f>
        <v/>
      </c>
      <c r="N565" s="7">
        <f>IF($V565="","",M565*L565)</f>
        <v/>
      </c>
      <c r="O565">
        <f>IF($V565="","",Settings!$C$6)</f>
        <v/>
      </c>
      <c r="P565" s="7">
        <f>IF($V565="","",SUMIFS('Per Line'!$R$2:$R$6001,'Per Line'!$C$2:$C$6001,$B565,'Per Line'!$AI$2:$AI$6001,1,'Per Line'!$AJ$2:$AJ$6001,0))</f>
        <v/>
      </c>
      <c r="Q565" s="7">
        <f>IF($V565="","",P565*O565)</f>
        <v/>
      </c>
      <c r="R565" s="7">
        <f>IF($V565="","",Q565+N565)</f>
        <v/>
      </c>
      <c r="S565" s="7">
        <f>IF($V565="","",T565-R565)</f>
        <v/>
      </c>
      <c r="T565" s="7">
        <f>IF($V565="","",M565+P565+K565)</f>
        <v/>
      </c>
      <c r="U565" s="7">
        <f>IF($V565="","",T565-R565-I565)</f>
        <v/>
      </c>
      <c r="V565" s="13">
        <f>IF(ROWS($V$2:$V565)&lt;=MAX('Per Line'!$AH$2:$AH$6001),MATCH(ROWS($V$2:$V565),'Per Line'!$AH$2:$AH$6001,0),"")</f>
        <v/>
      </c>
    </row>
    <row r="566">
      <c r="A566" s="12" t="n"/>
      <c r="B566">
        <f>IF($V566="","",INDEX('Per Line'!$C$2:$C$6001,$V566)&amp;"")</f>
        <v/>
      </c>
      <c r="C566" s="11">
        <f>IF($V566="","",INDEX('Per Line'!$D$2:$D$6001,$V566))</f>
        <v/>
      </c>
      <c r="D566">
        <f>IF($V566="","",INDEX('Per Line'!$E$2:$E$6001,$V566)&amp;"")</f>
        <v/>
      </c>
      <c r="E566">
        <f>IF($V566="","",INDEX('Per Line'!$G$2:$G$6001,$V566)&amp;"")</f>
        <v/>
      </c>
      <c r="F566">
        <f>IF($V566="","",INDEX('Per Line'!$H$2:$H$6001,$V566)&amp;"")</f>
        <v/>
      </c>
      <c r="G566">
        <f>IF($V566="","",INDEX('Per Line'!$I$2:$I$6001,$V566)&amp;"")</f>
        <v/>
      </c>
      <c r="H566">
        <f>IF($V566="","",INDEX('Per Line'!$J$2:$J$6001,$V566))</f>
        <v/>
      </c>
      <c r="I566" s="7">
        <f>IF($V566="","",H566*S566/100)</f>
        <v/>
      </c>
      <c r="J566">
        <f>IF($V566="","",INDEX('Per Line'!$S$2:$S$6001,$V566)&amp;"")</f>
        <v/>
      </c>
      <c r="K566" s="7">
        <f>IF($V566="","",SUMIFS('Per Line'!$R$2:$R$6001,'Per Line'!$C$2:$C$6001,$B566,'Per Line'!$AJ$2:$AJ$6001,1))</f>
        <v/>
      </c>
      <c r="L566">
        <f>IF($V566="","",Settings!$C$7)</f>
        <v/>
      </c>
      <c r="M566" s="7">
        <f>IF($V566="","",SUMIFS('Per Line'!$R$2:$R$6001,'Per Line'!$C$2:$C$6001,$B566,'Per Line'!$AI$2:$AI$6001,0,'Per Line'!$AJ$2:$AJ$6001,0))</f>
        <v/>
      </c>
      <c r="N566" s="7">
        <f>IF($V566="","",M566*L566)</f>
        <v/>
      </c>
      <c r="O566">
        <f>IF($V566="","",Settings!$C$6)</f>
        <v/>
      </c>
      <c r="P566" s="7">
        <f>IF($V566="","",SUMIFS('Per Line'!$R$2:$R$6001,'Per Line'!$C$2:$C$6001,$B566,'Per Line'!$AI$2:$AI$6001,1,'Per Line'!$AJ$2:$AJ$6001,0))</f>
        <v/>
      </c>
      <c r="Q566" s="7">
        <f>IF($V566="","",P566*O566)</f>
        <v/>
      </c>
      <c r="R566" s="7">
        <f>IF($V566="","",Q566+N566)</f>
        <v/>
      </c>
      <c r="S566" s="7">
        <f>IF($V566="","",T566-R566)</f>
        <v/>
      </c>
      <c r="T566" s="7">
        <f>IF($V566="","",M566+P566+K566)</f>
        <v/>
      </c>
      <c r="U566" s="7">
        <f>IF($V566="","",T566-R566-I566)</f>
        <v/>
      </c>
      <c r="V566" s="13">
        <f>IF(ROWS($V$2:$V566)&lt;=MAX('Per Line'!$AH$2:$AH$6001),MATCH(ROWS($V$2:$V566),'Per Line'!$AH$2:$AH$6001,0),"")</f>
        <v/>
      </c>
    </row>
    <row r="567">
      <c r="A567" s="12" t="n"/>
      <c r="B567">
        <f>IF($V567="","",INDEX('Per Line'!$C$2:$C$6001,$V567)&amp;"")</f>
        <v/>
      </c>
      <c r="C567" s="11">
        <f>IF($V567="","",INDEX('Per Line'!$D$2:$D$6001,$V567))</f>
        <v/>
      </c>
      <c r="D567">
        <f>IF($V567="","",INDEX('Per Line'!$E$2:$E$6001,$V567)&amp;"")</f>
        <v/>
      </c>
      <c r="E567">
        <f>IF($V567="","",INDEX('Per Line'!$G$2:$G$6001,$V567)&amp;"")</f>
        <v/>
      </c>
      <c r="F567">
        <f>IF($V567="","",INDEX('Per Line'!$H$2:$H$6001,$V567)&amp;"")</f>
        <v/>
      </c>
      <c r="G567">
        <f>IF($V567="","",INDEX('Per Line'!$I$2:$I$6001,$V567)&amp;"")</f>
        <v/>
      </c>
      <c r="H567">
        <f>IF($V567="","",INDEX('Per Line'!$J$2:$J$6001,$V567))</f>
        <v/>
      </c>
      <c r="I567" s="7">
        <f>IF($V567="","",H567*S567/100)</f>
        <v/>
      </c>
      <c r="J567">
        <f>IF($V567="","",INDEX('Per Line'!$S$2:$S$6001,$V567)&amp;"")</f>
        <v/>
      </c>
      <c r="K567" s="7">
        <f>IF($V567="","",SUMIFS('Per Line'!$R$2:$R$6001,'Per Line'!$C$2:$C$6001,$B567,'Per Line'!$AJ$2:$AJ$6001,1))</f>
        <v/>
      </c>
      <c r="L567">
        <f>IF($V567="","",Settings!$C$7)</f>
        <v/>
      </c>
      <c r="M567" s="7">
        <f>IF($V567="","",SUMIFS('Per Line'!$R$2:$R$6001,'Per Line'!$C$2:$C$6001,$B567,'Per Line'!$AI$2:$AI$6001,0,'Per Line'!$AJ$2:$AJ$6001,0))</f>
        <v/>
      </c>
      <c r="N567" s="7">
        <f>IF($V567="","",M567*L567)</f>
        <v/>
      </c>
      <c r="O567">
        <f>IF($V567="","",Settings!$C$6)</f>
        <v/>
      </c>
      <c r="P567" s="7">
        <f>IF($V567="","",SUMIFS('Per Line'!$R$2:$R$6001,'Per Line'!$C$2:$C$6001,$B567,'Per Line'!$AI$2:$AI$6001,1,'Per Line'!$AJ$2:$AJ$6001,0))</f>
        <v/>
      </c>
      <c r="Q567" s="7">
        <f>IF($V567="","",P567*O567)</f>
        <v/>
      </c>
      <c r="R567" s="7">
        <f>IF($V567="","",Q567+N567)</f>
        <v/>
      </c>
      <c r="S567" s="7">
        <f>IF($V567="","",T567-R567)</f>
        <v/>
      </c>
      <c r="T567" s="7">
        <f>IF($V567="","",M567+P567+K567)</f>
        <v/>
      </c>
      <c r="U567" s="7">
        <f>IF($V567="","",T567-R567-I567)</f>
        <v/>
      </c>
      <c r="V567" s="13">
        <f>IF(ROWS($V$2:$V567)&lt;=MAX('Per Line'!$AH$2:$AH$6001),MATCH(ROWS($V$2:$V567),'Per Line'!$AH$2:$AH$6001,0),"")</f>
        <v/>
      </c>
    </row>
    <row r="568">
      <c r="A568" s="12" t="n"/>
      <c r="B568">
        <f>IF($V568="","",INDEX('Per Line'!$C$2:$C$6001,$V568)&amp;"")</f>
        <v/>
      </c>
      <c r="C568" s="11">
        <f>IF($V568="","",INDEX('Per Line'!$D$2:$D$6001,$V568))</f>
        <v/>
      </c>
      <c r="D568">
        <f>IF($V568="","",INDEX('Per Line'!$E$2:$E$6001,$V568)&amp;"")</f>
        <v/>
      </c>
      <c r="E568">
        <f>IF($V568="","",INDEX('Per Line'!$G$2:$G$6001,$V568)&amp;"")</f>
        <v/>
      </c>
      <c r="F568">
        <f>IF($V568="","",INDEX('Per Line'!$H$2:$H$6001,$V568)&amp;"")</f>
        <v/>
      </c>
      <c r="G568">
        <f>IF($V568="","",INDEX('Per Line'!$I$2:$I$6001,$V568)&amp;"")</f>
        <v/>
      </c>
      <c r="H568">
        <f>IF($V568="","",INDEX('Per Line'!$J$2:$J$6001,$V568))</f>
        <v/>
      </c>
      <c r="I568" s="7">
        <f>IF($V568="","",H568*S568/100)</f>
        <v/>
      </c>
      <c r="J568">
        <f>IF($V568="","",INDEX('Per Line'!$S$2:$S$6001,$V568)&amp;"")</f>
        <v/>
      </c>
      <c r="K568" s="7">
        <f>IF($V568="","",SUMIFS('Per Line'!$R$2:$R$6001,'Per Line'!$C$2:$C$6001,$B568,'Per Line'!$AJ$2:$AJ$6001,1))</f>
        <v/>
      </c>
      <c r="L568">
        <f>IF($V568="","",Settings!$C$7)</f>
        <v/>
      </c>
      <c r="M568" s="7">
        <f>IF($V568="","",SUMIFS('Per Line'!$R$2:$R$6001,'Per Line'!$C$2:$C$6001,$B568,'Per Line'!$AI$2:$AI$6001,0,'Per Line'!$AJ$2:$AJ$6001,0))</f>
        <v/>
      </c>
      <c r="N568" s="7">
        <f>IF($V568="","",M568*L568)</f>
        <v/>
      </c>
      <c r="O568">
        <f>IF($V568="","",Settings!$C$6)</f>
        <v/>
      </c>
      <c r="P568" s="7">
        <f>IF($V568="","",SUMIFS('Per Line'!$R$2:$R$6001,'Per Line'!$C$2:$C$6001,$B568,'Per Line'!$AI$2:$AI$6001,1,'Per Line'!$AJ$2:$AJ$6001,0))</f>
        <v/>
      </c>
      <c r="Q568" s="7">
        <f>IF($V568="","",P568*O568)</f>
        <v/>
      </c>
      <c r="R568" s="7">
        <f>IF($V568="","",Q568+N568)</f>
        <v/>
      </c>
      <c r="S568" s="7">
        <f>IF($V568="","",T568-R568)</f>
        <v/>
      </c>
      <c r="T568" s="7">
        <f>IF($V568="","",M568+P568+K568)</f>
        <v/>
      </c>
      <c r="U568" s="7">
        <f>IF($V568="","",T568-R568-I568)</f>
        <v/>
      </c>
      <c r="V568" s="13">
        <f>IF(ROWS($V$2:$V568)&lt;=MAX('Per Line'!$AH$2:$AH$6001),MATCH(ROWS($V$2:$V568),'Per Line'!$AH$2:$AH$6001,0),"")</f>
        <v/>
      </c>
    </row>
    <row r="569">
      <c r="A569" s="12" t="n"/>
      <c r="B569">
        <f>IF($V569="","",INDEX('Per Line'!$C$2:$C$6001,$V569)&amp;"")</f>
        <v/>
      </c>
      <c r="C569" s="11">
        <f>IF($V569="","",INDEX('Per Line'!$D$2:$D$6001,$V569))</f>
        <v/>
      </c>
      <c r="D569">
        <f>IF($V569="","",INDEX('Per Line'!$E$2:$E$6001,$V569)&amp;"")</f>
        <v/>
      </c>
      <c r="E569">
        <f>IF($V569="","",INDEX('Per Line'!$G$2:$G$6001,$V569)&amp;"")</f>
        <v/>
      </c>
      <c r="F569">
        <f>IF($V569="","",INDEX('Per Line'!$H$2:$H$6001,$V569)&amp;"")</f>
        <v/>
      </c>
      <c r="G569">
        <f>IF($V569="","",INDEX('Per Line'!$I$2:$I$6001,$V569)&amp;"")</f>
        <v/>
      </c>
      <c r="H569">
        <f>IF($V569="","",INDEX('Per Line'!$J$2:$J$6001,$V569))</f>
        <v/>
      </c>
      <c r="I569" s="7">
        <f>IF($V569="","",H569*S569/100)</f>
        <v/>
      </c>
      <c r="J569">
        <f>IF($V569="","",INDEX('Per Line'!$S$2:$S$6001,$V569)&amp;"")</f>
        <v/>
      </c>
      <c r="K569" s="7">
        <f>IF($V569="","",SUMIFS('Per Line'!$R$2:$R$6001,'Per Line'!$C$2:$C$6001,$B569,'Per Line'!$AJ$2:$AJ$6001,1))</f>
        <v/>
      </c>
      <c r="L569">
        <f>IF($V569="","",Settings!$C$7)</f>
        <v/>
      </c>
      <c r="M569" s="7">
        <f>IF($V569="","",SUMIFS('Per Line'!$R$2:$R$6001,'Per Line'!$C$2:$C$6001,$B569,'Per Line'!$AI$2:$AI$6001,0,'Per Line'!$AJ$2:$AJ$6001,0))</f>
        <v/>
      </c>
      <c r="N569" s="7">
        <f>IF($V569="","",M569*L569)</f>
        <v/>
      </c>
      <c r="O569">
        <f>IF($V569="","",Settings!$C$6)</f>
        <v/>
      </c>
      <c r="P569" s="7">
        <f>IF($V569="","",SUMIFS('Per Line'!$R$2:$R$6001,'Per Line'!$C$2:$C$6001,$B569,'Per Line'!$AI$2:$AI$6001,1,'Per Line'!$AJ$2:$AJ$6001,0))</f>
        <v/>
      </c>
      <c r="Q569" s="7">
        <f>IF($V569="","",P569*O569)</f>
        <v/>
      </c>
      <c r="R569" s="7">
        <f>IF($V569="","",Q569+N569)</f>
        <v/>
      </c>
      <c r="S569" s="7">
        <f>IF($V569="","",T569-R569)</f>
        <v/>
      </c>
      <c r="T569" s="7">
        <f>IF($V569="","",M569+P569+K569)</f>
        <v/>
      </c>
      <c r="U569" s="7">
        <f>IF($V569="","",T569-R569-I569)</f>
        <v/>
      </c>
      <c r="V569" s="13">
        <f>IF(ROWS($V$2:$V569)&lt;=MAX('Per Line'!$AH$2:$AH$6001),MATCH(ROWS($V$2:$V569),'Per Line'!$AH$2:$AH$6001,0),"")</f>
        <v/>
      </c>
    </row>
    <row r="570">
      <c r="A570" s="12" t="n"/>
      <c r="B570">
        <f>IF($V570="","",INDEX('Per Line'!$C$2:$C$6001,$V570)&amp;"")</f>
        <v/>
      </c>
      <c r="C570" s="11">
        <f>IF($V570="","",INDEX('Per Line'!$D$2:$D$6001,$V570))</f>
        <v/>
      </c>
      <c r="D570">
        <f>IF($V570="","",INDEX('Per Line'!$E$2:$E$6001,$V570)&amp;"")</f>
        <v/>
      </c>
      <c r="E570">
        <f>IF($V570="","",INDEX('Per Line'!$G$2:$G$6001,$V570)&amp;"")</f>
        <v/>
      </c>
      <c r="F570">
        <f>IF($V570="","",INDEX('Per Line'!$H$2:$H$6001,$V570)&amp;"")</f>
        <v/>
      </c>
      <c r="G570">
        <f>IF($V570="","",INDEX('Per Line'!$I$2:$I$6001,$V570)&amp;"")</f>
        <v/>
      </c>
      <c r="H570">
        <f>IF($V570="","",INDEX('Per Line'!$J$2:$J$6001,$V570))</f>
        <v/>
      </c>
      <c r="I570" s="7">
        <f>IF($V570="","",H570*S570/100)</f>
        <v/>
      </c>
      <c r="J570">
        <f>IF($V570="","",INDEX('Per Line'!$S$2:$S$6001,$V570)&amp;"")</f>
        <v/>
      </c>
      <c r="K570" s="7">
        <f>IF($V570="","",SUMIFS('Per Line'!$R$2:$R$6001,'Per Line'!$C$2:$C$6001,$B570,'Per Line'!$AJ$2:$AJ$6001,1))</f>
        <v/>
      </c>
      <c r="L570">
        <f>IF($V570="","",Settings!$C$7)</f>
        <v/>
      </c>
      <c r="M570" s="7">
        <f>IF($V570="","",SUMIFS('Per Line'!$R$2:$R$6001,'Per Line'!$C$2:$C$6001,$B570,'Per Line'!$AI$2:$AI$6001,0,'Per Line'!$AJ$2:$AJ$6001,0))</f>
        <v/>
      </c>
      <c r="N570" s="7">
        <f>IF($V570="","",M570*L570)</f>
        <v/>
      </c>
      <c r="O570">
        <f>IF($V570="","",Settings!$C$6)</f>
        <v/>
      </c>
      <c r="P570" s="7">
        <f>IF($V570="","",SUMIFS('Per Line'!$R$2:$R$6001,'Per Line'!$C$2:$C$6001,$B570,'Per Line'!$AI$2:$AI$6001,1,'Per Line'!$AJ$2:$AJ$6001,0))</f>
        <v/>
      </c>
      <c r="Q570" s="7">
        <f>IF($V570="","",P570*O570)</f>
        <v/>
      </c>
      <c r="R570" s="7">
        <f>IF($V570="","",Q570+N570)</f>
        <v/>
      </c>
      <c r="S570" s="7">
        <f>IF($V570="","",T570-R570)</f>
        <v/>
      </c>
      <c r="T570" s="7">
        <f>IF($V570="","",M570+P570+K570)</f>
        <v/>
      </c>
      <c r="U570" s="7">
        <f>IF($V570="","",T570-R570-I570)</f>
        <v/>
      </c>
      <c r="V570" s="13">
        <f>IF(ROWS($V$2:$V570)&lt;=MAX('Per Line'!$AH$2:$AH$6001),MATCH(ROWS($V$2:$V570),'Per Line'!$AH$2:$AH$6001,0),"")</f>
        <v/>
      </c>
    </row>
    <row r="571">
      <c r="A571" s="12" t="n"/>
      <c r="B571">
        <f>IF($V571="","",INDEX('Per Line'!$C$2:$C$6001,$V571)&amp;"")</f>
        <v/>
      </c>
      <c r="C571" s="11">
        <f>IF($V571="","",INDEX('Per Line'!$D$2:$D$6001,$V571))</f>
        <v/>
      </c>
      <c r="D571">
        <f>IF($V571="","",INDEX('Per Line'!$E$2:$E$6001,$V571)&amp;"")</f>
        <v/>
      </c>
      <c r="E571">
        <f>IF($V571="","",INDEX('Per Line'!$G$2:$G$6001,$V571)&amp;"")</f>
        <v/>
      </c>
      <c r="F571">
        <f>IF($V571="","",INDEX('Per Line'!$H$2:$H$6001,$V571)&amp;"")</f>
        <v/>
      </c>
      <c r="G571">
        <f>IF($V571="","",INDEX('Per Line'!$I$2:$I$6001,$V571)&amp;"")</f>
        <v/>
      </c>
      <c r="H571">
        <f>IF($V571="","",INDEX('Per Line'!$J$2:$J$6001,$V571))</f>
        <v/>
      </c>
      <c r="I571" s="7">
        <f>IF($V571="","",H571*S571/100)</f>
        <v/>
      </c>
      <c r="J571">
        <f>IF($V571="","",INDEX('Per Line'!$S$2:$S$6001,$V571)&amp;"")</f>
        <v/>
      </c>
      <c r="K571" s="7">
        <f>IF($V571="","",SUMIFS('Per Line'!$R$2:$R$6001,'Per Line'!$C$2:$C$6001,$B571,'Per Line'!$AJ$2:$AJ$6001,1))</f>
        <v/>
      </c>
      <c r="L571">
        <f>IF($V571="","",Settings!$C$7)</f>
        <v/>
      </c>
      <c r="M571" s="7">
        <f>IF($V571="","",SUMIFS('Per Line'!$R$2:$R$6001,'Per Line'!$C$2:$C$6001,$B571,'Per Line'!$AI$2:$AI$6001,0,'Per Line'!$AJ$2:$AJ$6001,0))</f>
        <v/>
      </c>
      <c r="N571" s="7">
        <f>IF($V571="","",M571*L571)</f>
        <v/>
      </c>
      <c r="O571">
        <f>IF($V571="","",Settings!$C$6)</f>
        <v/>
      </c>
      <c r="P571" s="7">
        <f>IF($V571="","",SUMIFS('Per Line'!$R$2:$R$6001,'Per Line'!$C$2:$C$6001,$B571,'Per Line'!$AI$2:$AI$6001,1,'Per Line'!$AJ$2:$AJ$6001,0))</f>
        <v/>
      </c>
      <c r="Q571" s="7">
        <f>IF($V571="","",P571*O571)</f>
        <v/>
      </c>
      <c r="R571" s="7">
        <f>IF($V571="","",Q571+N571)</f>
        <v/>
      </c>
      <c r="S571" s="7">
        <f>IF($V571="","",T571-R571)</f>
        <v/>
      </c>
      <c r="T571" s="7">
        <f>IF($V571="","",M571+P571+K571)</f>
        <v/>
      </c>
      <c r="U571" s="7">
        <f>IF($V571="","",T571-R571-I571)</f>
        <v/>
      </c>
      <c r="V571" s="13">
        <f>IF(ROWS($V$2:$V571)&lt;=MAX('Per Line'!$AH$2:$AH$6001),MATCH(ROWS($V$2:$V571),'Per Line'!$AH$2:$AH$6001,0),"")</f>
        <v/>
      </c>
    </row>
    <row r="572">
      <c r="A572" s="12" t="n"/>
      <c r="B572">
        <f>IF($V572="","",INDEX('Per Line'!$C$2:$C$6001,$V572)&amp;"")</f>
        <v/>
      </c>
      <c r="C572" s="11">
        <f>IF($V572="","",INDEX('Per Line'!$D$2:$D$6001,$V572))</f>
        <v/>
      </c>
      <c r="D572">
        <f>IF($V572="","",INDEX('Per Line'!$E$2:$E$6001,$V572)&amp;"")</f>
        <v/>
      </c>
      <c r="E572">
        <f>IF($V572="","",INDEX('Per Line'!$G$2:$G$6001,$V572)&amp;"")</f>
        <v/>
      </c>
      <c r="F572">
        <f>IF($V572="","",INDEX('Per Line'!$H$2:$H$6001,$V572)&amp;"")</f>
        <v/>
      </c>
      <c r="G572">
        <f>IF($V572="","",INDEX('Per Line'!$I$2:$I$6001,$V572)&amp;"")</f>
        <v/>
      </c>
      <c r="H572">
        <f>IF($V572="","",INDEX('Per Line'!$J$2:$J$6001,$V572))</f>
        <v/>
      </c>
      <c r="I572" s="7">
        <f>IF($V572="","",H572*S572/100)</f>
        <v/>
      </c>
      <c r="J572">
        <f>IF($V572="","",INDEX('Per Line'!$S$2:$S$6001,$V572)&amp;"")</f>
        <v/>
      </c>
      <c r="K572" s="7">
        <f>IF($V572="","",SUMIFS('Per Line'!$R$2:$R$6001,'Per Line'!$C$2:$C$6001,$B572,'Per Line'!$AJ$2:$AJ$6001,1))</f>
        <v/>
      </c>
      <c r="L572">
        <f>IF($V572="","",Settings!$C$7)</f>
        <v/>
      </c>
      <c r="M572" s="7">
        <f>IF($V572="","",SUMIFS('Per Line'!$R$2:$R$6001,'Per Line'!$C$2:$C$6001,$B572,'Per Line'!$AI$2:$AI$6001,0,'Per Line'!$AJ$2:$AJ$6001,0))</f>
        <v/>
      </c>
      <c r="N572" s="7">
        <f>IF($V572="","",M572*L572)</f>
        <v/>
      </c>
      <c r="O572">
        <f>IF($V572="","",Settings!$C$6)</f>
        <v/>
      </c>
      <c r="P572" s="7">
        <f>IF($V572="","",SUMIFS('Per Line'!$R$2:$R$6001,'Per Line'!$C$2:$C$6001,$B572,'Per Line'!$AI$2:$AI$6001,1,'Per Line'!$AJ$2:$AJ$6001,0))</f>
        <v/>
      </c>
      <c r="Q572" s="7">
        <f>IF($V572="","",P572*O572)</f>
        <v/>
      </c>
      <c r="R572" s="7">
        <f>IF($V572="","",Q572+N572)</f>
        <v/>
      </c>
      <c r="S572" s="7">
        <f>IF($V572="","",T572-R572)</f>
        <v/>
      </c>
      <c r="T572" s="7">
        <f>IF($V572="","",M572+P572+K572)</f>
        <v/>
      </c>
      <c r="U572" s="7">
        <f>IF($V572="","",T572-R572-I572)</f>
        <v/>
      </c>
      <c r="V572" s="13">
        <f>IF(ROWS($V$2:$V572)&lt;=MAX('Per Line'!$AH$2:$AH$6001),MATCH(ROWS($V$2:$V572),'Per Line'!$AH$2:$AH$6001,0),"")</f>
        <v/>
      </c>
    </row>
    <row r="573">
      <c r="A573" s="12" t="n"/>
      <c r="B573">
        <f>IF($V573="","",INDEX('Per Line'!$C$2:$C$6001,$V573)&amp;"")</f>
        <v/>
      </c>
      <c r="C573" s="11">
        <f>IF($V573="","",INDEX('Per Line'!$D$2:$D$6001,$V573))</f>
        <v/>
      </c>
      <c r="D573">
        <f>IF($V573="","",INDEX('Per Line'!$E$2:$E$6001,$V573)&amp;"")</f>
        <v/>
      </c>
      <c r="E573">
        <f>IF($V573="","",INDEX('Per Line'!$G$2:$G$6001,$V573)&amp;"")</f>
        <v/>
      </c>
      <c r="F573">
        <f>IF($V573="","",INDEX('Per Line'!$H$2:$H$6001,$V573)&amp;"")</f>
        <v/>
      </c>
      <c r="G573">
        <f>IF($V573="","",INDEX('Per Line'!$I$2:$I$6001,$V573)&amp;"")</f>
        <v/>
      </c>
      <c r="H573">
        <f>IF($V573="","",INDEX('Per Line'!$J$2:$J$6001,$V573))</f>
        <v/>
      </c>
      <c r="I573" s="7">
        <f>IF($V573="","",H573*S573/100)</f>
        <v/>
      </c>
      <c r="J573">
        <f>IF($V573="","",INDEX('Per Line'!$S$2:$S$6001,$V573)&amp;"")</f>
        <v/>
      </c>
      <c r="K573" s="7">
        <f>IF($V573="","",SUMIFS('Per Line'!$R$2:$R$6001,'Per Line'!$C$2:$C$6001,$B573,'Per Line'!$AJ$2:$AJ$6001,1))</f>
        <v/>
      </c>
      <c r="L573">
        <f>IF($V573="","",Settings!$C$7)</f>
        <v/>
      </c>
      <c r="M573" s="7">
        <f>IF($V573="","",SUMIFS('Per Line'!$R$2:$R$6001,'Per Line'!$C$2:$C$6001,$B573,'Per Line'!$AI$2:$AI$6001,0,'Per Line'!$AJ$2:$AJ$6001,0))</f>
        <v/>
      </c>
      <c r="N573" s="7">
        <f>IF($V573="","",M573*L573)</f>
        <v/>
      </c>
      <c r="O573">
        <f>IF($V573="","",Settings!$C$6)</f>
        <v/>
      </c>
      <c r="P573" s="7">
        <f>IF($V573="","",SUMIFS('Per Line'!$R$2:$R$6001,'Per Line'!$C$2:$C$6001,$B573,'Per Line'!$AI$2:$AI$6001,1,'Per Line'!$AJ$2:$AJ$6001,0))</f>
        <v/>
      </c>
      <c r="Q573" s="7">
        <f>IF($V573="","",P573*O573)</f>
        <v/>
      </c>
      <c r="R573" s="7">
        <f>IF($V573="","",Q573+N573)</f>
        <v/>
      </c>
      <c r="S573" s="7">
        <f>IF($V573="","",T573-R573)</f>
        <v/>
      </c>
      <c r="T573" s="7">
        <f>IF($V573="","",M573+P573+K573)</f>
        <v/>
      </c>
      <c r="U573" s="7">
        <f>IF($V573="","",T573-R573-I573)</f>
        <v/>
      </c>
      <c r="V573" s="13">
        <f>IF(ROWS($V$2:$V573)&lt;=MAX('Per Line'!$AH$2:$AH$6001),MATCH(ROWS($V$2:$V573),'Per Line'!$AH$2:$AH$6001,0),"")</f>
        <v/>
      </c>
    </row>
    <row r="574">
      <c r="A574" s="12" t="n"/>
      <c r="B574">
        <f>IF($V574="","",INDEX('Per Line'!$C$2:$C$6001,$V574)&amp;"")</f>
        <v/>
      </c>
      <c r="C574" s="11">
        <f>IF($V574="","",INDEX('Per Line'!$D$2:$D$6001,$V574))</f>
        <v/>
      </c>
      <c r="D574">
        <f>IF($V574="","",INDEX('Per Line'!$E$2:$E$6001,$V574)&amp;"")</f>
        <v/>
      </c>
      <c r="E574">
        <f>IF($V574="","",INDEX('Per Line'!$G$2:$G$6001,$V574)&amp;"")</f>
        <v/>
      </c>
      <c r="F574">
        <f>IF($V574="","",INDEX('Per Line'!$H$2:$H$6001,$V574)&amp;"")</f>
        <v/>
      </c>
      <c r="G574">
        <f>IF($V574="","",INDEX('Per Line'!$I$2:$I$6001,$V574)&amp;"")</f>
        <v/>
      </c>
      <c r="H574">
        <f>IF($V574="","",INDEX('Per Line'!$J$2:$J$6001,$V574))</f>
        <v/>
      </c>
      <c r="I574" s="7">
        <f>IF($V574="","",H574*S574/100)</f>
        <v/>
      </c>
      <c r="J574">
        <f>IF($V574="","",INDEX('Per Line'!$S$2:$S$6001,$V574)&amp;"")</f>
        <v/>
      </c>
      <c r="K574" s="7">
        <f>IF($V574="","",SUMIFS('Per Line'!$R$2:$R$6001,'Per Line'!$C$2:$C$6001,$B574,'Per Line'!$AJ$2:$AJ$6001,1))</f>
        <v/>
      </c>
      <c r="L574">
        <f>IF($V574="","",Settings!$C$7)</f>
        <v/>
      </c>
      <c r="M574" s="7">
        <f>IF($V574="","",SUMIFS('Per Line'!$R$2:$R$6001,'Per Line'!$C$2:$C$6001,$B574,'Per Line'!$AI$2:$AI$6001,0,'Per Line'!$AJ$2:$AJ$6001,0))</f>
        <v/>
      </c>
      <c r="N574" s="7">
        <f>IF($V574="","",M574*L574)</f>
        <v/>
      </c>
      <c r="O574">
        <f>IF($V574="","",Settings!$C$6)</f>
        <v/>
      </c>
      <c r="P574" s="7">
        <f>IF($V574="","",SUMIFS('Per Line'!$R$2:$R$6001,'Per Line'!$C$2:$C$6001,$B574,'Per Line'!$AI$2:$AI$6001,1,'Per Line'!$AJ$2:$AJ$6001,0))</f>
        <v/>
      </c>
      <c r="Q574" s="7">
        <f>IF($V574="","",P574*O574)</f>
        <v/>
      </c>
      <c r="R574" s="7">
        <f>IF($V574="","",Q574+N574)</f>
        <v/>
      </c>
      <c r="S574" s="7">
        <f>IF($V574="","",T574-R574)</f>
        <v/>
      </c>
      <c r="T574" s="7">
        <f>IF($V574="","",M574+P574+K574)</f>
        <v/>
      </c>
      <c r="U574" s="7">
        <f>IF($V574="","",T574-R574-I574)</f>
        <v/>
      </c>
      <c r="V574" s="13">
        <f>IF(ROWS($V$2:$V574)&lt;=MAX('Per Line'!$AH$2:$AH$6001),MATCH(ROWS($V$2:$V574),'Per Line'!$AH$2:$AH$6001,0),"")</f>
        <v/>
      </c>
    </row>
    <row r="575">
      <c r="A575" s="12" t="n"/>
      <c r="B575">
        <f>IF($V575="","",INDEX('Per Line'!$C$2:$C$6001,$V575)&amp;"")</f>
        <v/>
      </c>
      <c r="C575" s="11">
        <f>IF($V575="","",INDEX('Per Line'!$D$2:$D$6001,$V575))</f>
        <v/>
      </c>
      <c r="D575">
        <f>IF($V575="","",INDEX('Per Line'!$E$2:$E$6001,$V575)&amp;"")</f>
        <v/>
      </c>
      <c r="E575">
        <f>IF($V575="","",INDEX('Per Line'!$G$2:$G$6001,$V575)&amp;"")</f>
        <v/>
      </c>
      <c r="F575">
        <f>IF($V575="","",INDEX('Per Line'!$H$2:$H$6001,$V575)&amp;"")</f>
        <v/>
      </c>
      <c r="G575">
        <f>IF($V575="","",INDEX('Per Line'!$I$2:$I$6001,$V575)&amp;"")</f>
        <v/>
      </c>
      <c r="H575">
        <f>IF($V575="","",INDEX('Per Line'!$J$2:$J$6001,$V575))</f>
        <v/>
      </c>
      <c r="I575" s="7">
        <f>IF($V575="","",H575*S575/100)</f>
        <v/>
      </c>
      <c r="J575">
        <f>IF($V575="","",INDEX('Per Line'!$S$2:$S$6001,$V575)&amp;"")</f>
        <v/>
      </c>
      <c r="K575" s="7">
        <f>IF($V575="","",SUMIFS('Per Line'!$R$2:$R$6001,'Per Line'!$C$2:$C$6001,$B575,'Per Line'!$AJ$2:$AJ$6001,1))</f>
        <v/>
      </c>
      <c r="L575">
        <f>IF($V575="","",Settings!$C$7)</f>
        <v/>
      </c>
      <c r="M575" s="7">
        <f>IF($V575="","",SUMIFS('Per Line'!$R$2:$R$6001,'Per Line'!$C$2:$C$6001,$B575,'Per Line'!$AI$2:$AI$6001,0,'Per Line'!$AJ$2:$AJ$6001,0))</f>
        <v/>
      </c>
      <c r="N575" s="7">
        <f>IF($V575="","",M575*L575)</f>
        <v/>
      </c>
      <c r="O575">
        <f>IF($V575="","",Settings!$C$6)</f>
        <v/>
      </c>
      <c r="P575" s="7">
        <f>IF($V575="","",SUMIFS('Per Line'!$R$2:$R$6001,'Per Line'!$C$2:$C$6001,$B575,'Per Line'!$AI$2:$AI$6001,1,'Per Line'!$AJ$2:$AJ$6001,0))</f>
        <v/>
      </c>
      <c r="Q575" s="7">
        <f>IF($V575="","",P575*O575)</f>
        <v/>
      </c>
      <c r="R575" s="7">
        <f>IF($V575="","",Q575+N575)</f>
        <v/>
      </c>
      <c r="S575" s="7">
        <f>IF($V575="","",T575-R575)</f>
        <v/>
      </c>
      <c r="T575" s="7">
        <f>IF($V575="","",M575+P575+K575)</f>
        <v/>
      </c>
      <c r="U575" s="7">
        <f>IF($V575="","",T575-R575-I575)</f>
        <v/>
      </c>
      <c r="V575" s="13">
        <f>IF(ROWS($V$2:$V575)&lt;=MAX('Per Line'!$AH$2:$AH$6001),MATCH(ROWS($V$2:$V575),'Per Line'!$AH$2:$AH$6001,0),"")</f>
        <v/>
      </c>
    </row>
    <row r="576">
      <c r="A576" s="12" t="n"/>
      <c r="B576">
        <f>IF($V576="","",INDEX('Per Line'!$C$2:$C$6001,$V576)&amp;"")</f>
        <v/>
      </c>
      <c r="C576" s="11">
        <f>IF($V576="","",INDEX('Per Line'!$D$2:$D$6001,$V576))</f>
        <v/>
      </c>
      <c r="D576">
        <f>IF($V576="","",INDEX('Per Line'!$E$2:$E$6001,$V576)&amp;"")</f>
        <v/>
      </c>
      <c r="E576">
        <f>IF($V576="","",INDEX('Per Line'!$G$2:$G$6001,$V576)&amp;"")</f>
        <v/>
      </c>
      <c r="F576">
        <f>IF($V576="","",INDEX('Per Line'!$H$2:$H$6001,$V576)&amp;"")</f>
        <v/>
      </c>
      <c r="G576">
        <f>IF($V576="","",INDEX('Per Line'!$I$2:$I$6001,$V576)&amp;"")</f>
        <v/>
      </c>
      <c r="H576">
        <f>IF($V576="","",INDEX('Per Line'!$J$2:$J$6001,$V576))</f>
        <v/>
      </c>
      <c r="I576" s="7">
        <f>IF($V576="","",H576*S576/100)</f>
        <v/>
      </c>
      <c r="J576">
        <f>IF($V576="","",INDEX('Per Line'!$S$2:$S$6001,$V576)&amp;"")</f>
        <v/>
      </c>
      <c r="K576" s="7">
        <f>IF($V576="","",SUMIFS('Per Line'!$R$2:$R$6001,'Per Line'!$C$2:$C$6001,$B576,'Per Line'!$AJ$2:$AJ$6001,1))</f>
        <v/>
      </c>
      <c r="L576">
        <f>IF($V576="","",Settings!$C$7)</f>
        <v/>
      </c>
      <c r="M576" s="7">
        <f>IF($V576="","",SUMIFS('Per Line'!$R$2:$R$6001,'Per Line'!$C$2:$C$6001,$B576,'Per Line'!$AI$2:$AI$6001,0,'Per Line'!$AJ$2:$AJ$6001,0))</f>
        <v/>
      </c>
      <c r="N576" s="7">
        <f>IF($V576="","",M576*L576)</f>
        <v/>
      </c>
      <c r="O576">
        <f>IF($V576="","",Settings!$C$6)</f>
        <v/>
      </c>
      <c r="P576" s="7">
        <f>IF($V576="","",SUMIFS('Per Line'!$R$2:$R$6001,'Per Line'!$C$2:$C$6001,$B576,'Per Line'!$AI$2:$AI$6001,1,'Per Line'!$AJ$2:$AJ$6001,0))</f>
        <v/>
      </c>
      <c r="Q576" s="7">
        <f>IF($V576="","",P576*O576)</f>
        <v/>
      </c>
      <c r="R576" s="7">
        <f>IF($V576="","",Q576+N576)</f>
        <v/>
      </c>
      <c r="S576" s="7">
        <f>IF($V576="","",T576-R576)</f>
        <v/>
      </c>
      <c r="T576" s="7">
        <f>IF($V576="","",M576+P576+K576)</f>
        <v/>
      </c>
      <c r="U576" s="7">
        <f>IF($V576="","",T576-R576-I576)</f>
        <v/>
      </c>
      <c r="V576" s="13">
        <f>IF(ROWS($V$2:$V576)&lt;=MAX('Per Line'!$AH$2:$AH$6001),MATCH(ROWS($V$2:$V576),'Per Line'!$AH$2:$AH$6001,0),"")</f>
        <v/>
      </c>
    </row>
    <row r="577">
      <c r="A577" s="12" t="n"/>
      <c r="B577">
        <f>IF($V577="","",INDEX('Per Line'!$C$2:$C$6001,$V577)&amp;"")</f>
        <v/>
      </c>
      <c r="C577" s="11">
        <f>IF($V577="","",INDEX('Per Line'!$D$2:$D$6001,$V577))</f>
        <v/>
      </c>
      <c r="D577">
        <f>IF($V577="","",INDEX('Per Line'!$E$2:$E$6001,$V577)&amp;"")</f>
        <v/>
      </c>
      <c r="E577">
        <f>IF($V577="","",INDEX('Per Line'!$G$2:$G$6001,$V577)&amp;"")</f>
        <v/>
      </c>
      <c r="F577">
        <f>IF($V577="","",INDEX('Per Line'!$H$2:$H$6001,$V577)&amp;"")</f>
        <v/>
      </c>
      <c r="G577">
        <f>IF($V577="","",INDEX('Per Line'!$I$2:$I$6001,$V577)&amp;"")</f>
        <v/>
      </c>
      <c r="H577">
        <f>IF($V577="","",INDEX('Per Line'!$J$2:$J$6001,$V577))</f>
        <v/>
      </c>
      <c r="I577" s="7">
        <f>IF($V577="","",H577*S577/100)</f>
        <v/>
      </c>
      <c r="J577">
        <f>IF($V577="","",INDEX('Per Line'!$S$2:$S$6001,$V577)&amp;"")</f>
        <v/>
      </c>
      <c r="K577" s="7">
        <f>IF($V577="","",SUMIFS('Per Line'!$R$2:$R$6001,'Per Line'!$C$2:$C$6001,$B577,'Per Line'!$AJ$2:$AJ$6001,1))</f>
        <v/>
      </c>
      <c r="L577">
        <f>IF($V577="","",Settings!$C$7)</f>
        <v/>
      </c>
      <c r="M577" s="7">
        <f>IF($V577="","",SUMIFS('Per Line'!$R$2:$R$6001,'Per Line'!$C$2:$C$6001,$B577,'Per Line'!$AI$2:$AI$6001,0,'Per Line'!$AJ$2:$AJ$6001,0))</f>
        <v/>
      </c>
      <c r="N577" s="7">
        <f>IF($V577="","",M577*L577)</f>
        <v/>
      </c>
      <c r="O577">
        <f>IF($V577="","",Settings!$C$6)</f>
        <v/>
      </c>
      <c r="P577" s="7">
        <f>IF($V577="","",SUMIFS('Per Line'!$R$2:$R$6001,'Per Line'!$C$2:$C$6001,$B577,'Per Line'!$AI$2:$AI$6001,1,'Per Line'!$AJ$2:$AJ$6001,0))</f>
        <v/>
      </c>
      <c r="Q577" s="7">
        <f>IF($V577="","",P577*O577)</f>
        <v/>
      </c>
      <c r="R577" s="7">
        <f>IF($V577="","",Q577+N577)</f>
        <v/>
      </c>
      <c r="S577" s="7">
        <f>IF($V577="","",T577-R577)</f>
        <v/>
      </c>
      <c r="T577" s="7">
        <f>IF($V577="","",M577+P577+K577)</f>
        <v/>
      </c>
      <c r="U577" s="7">
        <f>IF($V577="","",T577-R577-I577)</f>
        <v/>
      </c>
      <c r="V577" s="13">
        <f>IF(ROWS($V$2:$V577)&lt;=MAX('Per Line'!$AH$2:$AH$6001),MATCH(ROWS($V$2:$V577),'Per Line'!$AH$2:$AH$6001,0),"")</f>
        <v/>
      </c>
    </row>
    <row r="578">
      <c r="A578" s="12" t="n"/>
      <c r="B578">
        <f>IF($V578="","",INDEX('Per Line'!$C$2:$C$6001,$V578)&amp;"")</f>
        <v/>
      </c>
      <c r="C578" s="11">
        <f>IF($V578="","",INDEX('Per Line'!$D$2:$D$6001,$V578))</f>
        <v/>
      </c>
      <c r="D578">
        <f>IF($V578="","",INDEX('Per Line'!$E$2:$E$6001,$V578)&amp;"")</f>
        <v/>
      </c>
      <c r="E578">
        <f>IF($V578="","",INDEX('Per Line'!$G$2:$G$6001,$V578)&amp;"")</f>
        <v/>
      </c>
      <c r="F578">
        <f>IF($V578="","",INDEX('Per Line'!$H$2:$H$6001,$V578)&amp;"")</f>
        <v/>
      </c>
      <c r="G578">
        <f>IF($V578="","",INDEX('Per Line'!$I$2:$I$6001,$V578)&amp;"")</f>
        <v/>
      </c>
      <c r="H578">
        <f>IF($V578="","",INDEX('Per Line'!$J$2:$J$6001,$V578))</f>
        <v/>
      </c>
      <c r="I578" s="7">
        <f>IF($V578="","",H578*S578/100)</f>
        <v/>
      </c>
      <c r="J578">
        <f>IF($V578="","",INDEX('Per Line'!$S$2:$S$6001,$V578)&amp;"")</f>
        <v/>
      </c>
      <c r="K578" s="7">
        <f>IF($V578="","",SUMIFS('Per Line'!$R$2:$R$6001,'Per Line'!$C$2:$C$6001,$B578,'Per Line'!$AJ$2:$AJ$6001,1))</f>
        <v/>
      </c>
      <c r="L578">
        <f>IF($V578="","",Settings!$C$7)</f>
        <v/>
      </c>
      <c r="M578" s="7">
        <f>IF($V578="","",SUMIFS('Per Line'!$R$2:$R$6001,'Per Line'!$C$2:$C$6001,$B578,'Per Line'!$AI$2:$AI$6001,0,'Per Line'!$AJ$2:$AJ$6001,0))</f>
        <v/>
      </c>
      <c r="N578" s="7">
        <f>IF($V578="","",M578*L578)</f>
        <v/>
      </c>
      <c r="O578">
        <f>IF($V578="","",Settings!$C$6)</f>
        <v/>
      </c>
      <c r="P578" s="7">
        <f>IF($V578="","",SUMIFS('Per Line'!$R$2:$R$6001,'Per Line'!$C$2:$C$6001,$B578,'Per Line'!$AI$2:$AI$6001,1,'Per Line'!$AJ$2:$AJ$6001,0))</f>
        <v/>
      </c>
      <c r="Q578" s="7">
        <f>IF($V578="","",P578*O578)</f>
        <v/>
      </c>
      <c r="R578" s="7">
        <f>IF($V578="","",Q578+N578)</f>
        <v/>
      </c>
      <c r="S578" s="7">
        <f>IF($V578="","",T578-R578)</f>
        <v/>
      </c>
      <c r="T578" s="7">
        <f>IF($V578="","",M578+P578+K578)</f>
        <v/>
      </c>
      <c r="U578" s="7">
        <f>IF($V578="","",T578-R578-I578)</f>
        <v/>
      </c>
      <c r="V578" s="13">
        <f>IF(ROWS($V$2:$V578)&lt;=MAX('Per Line'!$AH$2:$AH$6001),MATCH(ROWS($V$2:$V578),'Per Line'!$AH$2:$AH$6001,0),"")</f>
        <v/>
      </c>
    </row>
    <row r="579">
      <c r="A579" s="12" t="n"/>
      <c r="B579">
        <f>IF($V579="","",INDEX('Per Line'!$C$2:$C$6001,$V579)&amp;"")</f>
        <v/>
      </c>
      <c r="C579" s="11">
        <f>IF($V579="","",INDEX('Per Line'!$D$2:$D$6001,$V579))</f>
        <v/>
      </c>
      <c r="D579">
        <f>IF($V579="","",INDEX('Per Line'!$E$2:$E$6001,$V579)&amp;"")</f>
        <v/>
      </c>
      <c r="E579">
        <f>IF($V579="","",INDEX('Per Line'!$G$2:$G$6001,$V579)&amp;"")</f>
        <v/>
      </c>
      <c r="F579">
        <f>IF($V579="","",INDEX('Per Line'!$H$2:$H$6001,$V579)&amp;"")</f>
        <v/>
      </c>
      <c r="G579">
        <f>IF($V579="","",INDEX('Per Line'!$I$2:$I$6001,$V579)&amp;"")</f>
        <v/>
      </c>
      <c r="H579">
        <f>IF($V579="","",INDEX('Per Line'!$J$2:$J$6001,$V579))</f>
        <v/>
      </c>
      <c r="I579" s="7">
        <f>IF($V579="","",H579*S579/100)</f>
        <v/>
      </c>
      <c r="J579">
        <f>IF($V579="","",INDEX('Per Line'!$S$2:$S$6001,$V579)&amp;"")</f>
        <v/>
      </c>
      <c r="K579" s="7">
        <f>IF($V579="","",SUMIFS('Per Line'!$R$2:$R$6001,'Per Line'!$C$2:$C$6001,$B579,'Per Line'!$AJ$2:$AJ$6001,1))</f>
        <v/>
      </c>
      <c r="L579">
        <f>IF($V579="","",Settings!$C$7)</f>
        <v/>
      </c>
      <c r="M579" s="7">
        <f>IF($V579="","",SUMIFS('Per Line'!$R$2:$R$6001,'Per Line'!$C$2:$C$6001,$B579,'Per Line'!$AI$2:$AI$6001,0,'Per Line'!$AJ$2:$AJ$6001,0))</f>
        <v/>
      </c>
      <c r="N579" s="7">
        <f>IF($V579="","",M579*L579)</f>
        <v/>
      </c>
      <c r="O579">
        <f>IF($V579="","",Settings!$C$6)</f>
        <v/>
      </c>
      <c r="P579" s="7">
        <f>IF($V579="","",SUMIFS('Per Line'!$R$2:$R$6001,'Per Line'!$C$2:$C$6001,$B579,'Per Line'!$AI$2:$AI$6001,1,'Per Line'!$AJ$2:$AJ$6001,0))</f>
        <v/>
      </c>
      <c r="Q579" s="7">
        <f>IF($V579="","",P579*O579)</f>
        <v/>
      </c>
      <c r="R579" s="7">
        <f>IF($V579="","",Q579+N579)</f>
        <v/>
      </c>
      <c r="S579" s="7">
        <f>IF($V579="","",T579-R579)</f>
        <v/>
      </c>
      <c r="T579" s="7">
        <f>IF($V579="","",M579+P579+K579)</f>
        <v/>
      </c>
      <c r="U579" s="7">
        <f>IF($V579="","",T579-R579-I579)</f>
        <v/>
      </c>
      <c r="V579" s="13">
        <f>IF(ROWS($V$2:$V579)&lt;=MAX('Per Line'!$AH$2:$AH$6001),MATCH(ROWS($V$2:$V579),'Per Line'!$AH$2:$AH$6001,0),"")</f>
        <v/>
      </c>
    </row>
    <row r="580">
      <c r="A580" s="12" t="n"/>
      <c r="B580">
        <f>IF($V580="","",INDEX('Per Line'!$C$2:$C$6001,$V580)&amp;"")</f>
        <v/>
      </c>
      <c r="C580" s="11">
        <f>IF($V580="","",INDEX('Per Line'!$D$2:$D$6001,$V580))</f>
        <v/>
      </c>
      <c r="D580">
        <f>IF($V580="","",INDEX('Per Line'!$E$2:$E$6001,$V580)&amp;"")</f>
        <v/>
      </c>
      <c r="E580">
        <f>IF($V580="","",INDEX('Per Line'!$G$2:$G$6001,$V580)&amp;"")</f>
        <v/>
      </c>
      <c r="F580">
        <f>IF($V580="","",INDEX('Per Line'!$H$2:$H$6001,$V580)&amp;"")</f>
        <v/>
      </c>
      <c r="G580">
        <f>IF($V580="","",INDEX('Per Line'!$I$2:$I$6001,$V580)&amp;"")</f>
        <v/>
      </c>
      <c r="H580">
        <f>IF($V580="","",INDEX('Per Line'!$J$2:$J$6001,$V580))</f>
        <v/>
      </c>
      <c r="I580" s="7">
        <f>IF($V580="","",H580*S580/100)</f>
        <v/>
      </c>
      <c r="J580">
        <f>IF($V580="","",INDEX('Per Line'!$S$2:$S$6001,$V580)&amp;"")</f>
        <v/>
      </c>
      <c r="K580" s="7">
        <f>IF($V580="","",SUMIFS('Per Line'!$R$2:$R$6001,'Per Line'!$C$2:$C$6001,$B580,'Per Line'!$AJ$2:$AJ$6001,1))</f>
        <v/>
      </c>
      <c r="L580">
        <f>IF($V580="","",Settings!$C$7)</f>
        <v/>
      </c>
      <c r="M580" s="7">
        <f>IF($V580="","",SUMIFS('Per Line'!$R$2:$R$6001,'Per Line'!$C$2:$C$6001,$B580,'Per Line'!$AI$2:$AI$6001,0,'Per Line'!$AJ$2:$AJ$6001,0))</f>
        <v/>
      </c>
      <c r="N580" s="7">
        <f>IF($V580="","",M580*L580)</f>
        <v/>
      </c>
      <c r="O580">
        <f>IF($V580="","",Settings!$C$6)</f>
        <v/>
      </c>
      <c r="P580" s="7">
        <f>IF($V580="","",SUMIFS('Per Line'!$R$2:$R$6001,'Per Line'!$C$2:$C$6001,$B580,'Per Line'!$AI$2:$AI$6001,1,'Per Line'!$AJ$2:$AJ$6001,0))</f>
        <v/>
      </c>
      <c r="Q580" s="7">
        <f>IF($V580="","",P580*O580)</f>
        <v/>
      </c>
      <c r="R580" s="7">
        <f>IF($V580="","",Q580+N580)</f>
        <v/>
      </c>
      <c r="S580" s="7">
        <f>IF($V580="","",T580-R580)</f>
        <v/>
      </c>
      <c r="T580" s="7">
        <f>IF($V580="","",M580+P580+K580)</f>
        <v/>
      </c>
      <c r="U580" s="7">
        <f>IF($V580="","",T580-R580-I580)</f>
        <v/>
      </c>
      <c r="V580" s="13">
        <f>IF(ROWS($V$2:$V580)&lt;=MAX('Per Line'!$AH$2:$AH$6001),MATCH(ROWS($V$2:$V580),'Per Line'!$AH$2:$AH$6001,0),"")</f>
        <v/>
      </c>
    </row>
    <row r="581">
      <c r="A581" s="12" t="n"/>
      <c r="B581">
        <f>IF($V581="","",INDEX('Per Line'!$C$2:$C$6001,$V581)&amp;"")</f>
        <v/>
      </c>
      <c r="C581" s="11">
        <f>IF($V581="","",INDEX('Per Line'!$D$2:$D$6001,$V581))</f>
        <v/>
      </c>
      <c r="D581">
        <f>IF($V581="","",INDEX('Per Line'!$E$2:$E$6001,$V581)&amp;"")</f>
        <v/>
      </c>
      <c r="E581">
        <f>IF($V581="","",INDEX('Per Line'!$G$2:$G$6001,$V581)&amp;"")</f>
        <v/>
      </c>
      <c r="F581">
        <f>IF($V581="","",INDEX('Per Line'!$H$2:$H$6001,$V581)&amp;"")</f>
        <v/>
      </c>
      <c r="G581">
        <f>IF($V581="","",INDEX('Per Line'!$I$2:$I$6001,$V581)&amp;"")</f>
        <v/>
      </c>
      <c r="H581">
        <f>IF($V581="","",INDEX('Per Line'!$J$2:$J$6001,$V581))</f>
        <v/>
      </c>
      <c r="I581" s="7">
        <f>IF($V581="","",H581*S581/100)</f>
        <v/>
      </c>
      <c r="J581">
        <f>IF($V581="","",INDEX('Per Line'!$S$2:$S$6001,$V581)&amp;"")</f>
        <v/>
      </c>
      <c r="K581" s="7">
        <f>IF($V581="","",SUMIFS('Per Line'!$R$2:$R$6001,'Per Line'!$C$2:$C$6001,$B581,'Per Line'!$AJ$2:$AJ$6001,1))</f>
        <v/>
      </c>
      <c r="L581">
        <f>IF($V581="","",Settings!$C$7)</f>
        <v/>
      </c>
      <c r="M581" s="7">
        <f>IF($V581="","",SUMIFS('Per Line'!$R$2:$R$6001,'Per Line'!$C$2:$C$6001,$B581,'Per Line'!$AI$2:$AI$6001,0,'Per Line'!$AJ$2:$AJ$6001,0))</f>
        <v/>
      </c>
      <c r="N581" s="7">
        <f>IF($V581="","",M581*L581)</f>
        <v/>
      </c>
      <c r="O581">
        <f>IF($V581="","",Settings!$C$6)</f>
        <v/>
      </c>
      <c r="P581" s="7">
        <f>IF($V581="","",SUMIFS('Per Line'!$R$2:$R$6001,'Per Line'!$C$2:$C$6001,$B581,'Per Line'!$AI$2:$AI$6001,1,'Per Line'!$AJ$2:$AJ$6001,0))</f>
        <v/>
      </c>
      <c r="Q581" s="7">
        <f>IF($V581="","",P581*O581)</f>
        <v/>
      </c>
      <c r="R581" s="7">
        <f>IF($V581="","",Q581+N581)</f>
        <v/>
      </c>
      <c r="S581" s="7">
        <f>IF($V581="","",T581-R581)</f>
        <v/>
      </c>
      <c r="T581" s="7">
        <f>IF($V581="","",M581+P581+K581)</f>
        <v/>
      </c>
      <c r="U581" s="7">
        <f>IF($V581="","",T581-R581-I581)</f>
        <v/>
      </c>
      <c r="V581" s="13">
        <f>IF(ROWS($V$2:$V581)&lt;=MAX('Per Line'!$AH$2:$AH$6001),MATCH(ROWS($V$2:$V581),'Per Line'!$AH$2:$AH$6001,0),"")</f>
        <v/>
      </c>
    </row>
    <row r="582">
      <c r="A582" s="12" t="n"/>
      <c r="B582">
        <f>IF($V582="","",INDEX('Per Line'!$C$2:$C$6001,$V582)&amp;"")</f>
        <v/>
      </c>
      <c r="C582" s="11">
        <f>IF($V582="","",INDEX('Per Line'!$D$2:$D$6001,$V582))</f>
        <v/>
      </c>
      <c r="D582">
        <f>IF($V582="","",INDEX('Per Line'!$E$2:$E$6001,$V582)&amp;"")</f>
        <v/>
      </c>
      <c r="E582">
        <f>IF($V582="","",INDEX('Per Line'!$G$2:$G$6001,$V582)&amp;"")</f>
        <v/>
      </c>
      <c r="F582">
        <f>IF($V582="","",INDEX('Per Line'!$H$2:$H$6001,$V582)&amp;"")</f>
        <v/>
      </c>
      <c r="G582">
        <f>IF($V582="","",INDEX('Per Line'!$I$2:$I$6001,$V582)&amp;"")</f>
        <v/>
      </c>
      <c r="H582">
        <f>IF($V582="","",INDEX('Per Line'!$J$2:$J$6001,$V582))</f>
        <v/>
      </c>
      <c r="I582" s="7">
        <f>IF($V582="","",H582*S582/100)</f>
        <v/>
      </c>
      <c r="J582">
        <f>IF($V582="","",INDEX('Per Line'!$S$2:$S$6001,$V582)&amp;"")</f>
        <v/>
      </c>
      <c r="K582" s="7">
        <f>IF($V582="","",SUMIFS('Per Line'!$R$2:$R$6001,'Per Line'!$C$2:$C$6001,$B582,'Per Line'!$AJ$2:$AJ$6001,1))</f>
        <v/>
      </c>
      <c r="L582">
        <f>IF($V582="","",Settings!$C$7)</f>
        <v/>
      </c>
      <c r="M582" s="7">
        <f>IF($V582="","",SUMIFS('Per Line'!$R$2:$R$6001,'Per Line'!$C$2:$C$6001,$B582,'Per Line'!$AI$2:$AI$6001,0,'Per Line'!$AJ$2:$AJ$6001,0))</f>
        <v/>
      </c>
      <c r="N582" s="7">
        <f>IF($V582="","",M582*L582)</f>
        <v/>
      </c>
      <c r="O582">
        <f>IF($V582="","",Settings!$C$6)</f>
        <v/>
      </c>
      <c r="P582" s="7">
        <f>IF($V582="","",SUMIFS('Per Line'!$R$2:$R$6001,'Per Line'!$C$2:$C$6001,$B582,'Per Line'!$AI$2:$AI$6001,1,'Per Line'!$AJ$2:$AJ$6001,0))</f>
        <v/>
      </c>
      <c r="Q582" s="7">
        <f>IF($V582="","",P582*O582)</f>
        <v/>
      </c>
      <c r="R582" s="7">
        <f>IF($V582="","",Q582+N582)</f>
        <v/>
      </c>
      <c r="S582" s="7">
        <f>IF($V582="","",T582-R582)</f>
        <v/>
      </c>
      <c r="T582" s="7">
        <f>IF($V582="","",M582+P582+K582)</f>
        <v/>
      </c>
      <c r="U582" s="7">
        <f>IF($V582="","",T582-R582-I582)</f>
        <v/>
      </c>
      <c r="V582" s="13">
        <f>IF(ROWS($V$2:$V582)&lt;=MAX('Per Line'!$AH$2:$AH$6001),MATCH(ROWS($V$2:$V582),'Per Line'!$AH$2:$AH$6001,0),"")</f>
        <v/>
      </c>
    </row>
    <row r="583">
      <c r="A583" s="12" t="n"/>
      <c r="B583">
        <f>IF($V583="","",INDEX('Per Line'!$C$2:$C$6001,$V583)&amp;"")</f>
        <v/>
      </c>
      <c r="C583" s="11">
        <f>IF($V583="","",INDEX('Per Line'!$D$2:$D$6001,$V583))</f>
        <v/>
      </c>
      <c r="D583">
        <f>IF($V583="","",INDEX('Per Line'!$E$2:$E$6001,$V583)&amp;"")</f>
        <v/>
      </c>
      <c r="E583">
        <f>IF($V583="","",INDEX('Per Line'!$G$2:$G$6001,$V583)&amp;"")</f>
        <v/>
      </c>
      <c r="F583">
        <f>IF($V583="","",INDEX('Per Line'!$H$2:$H$6001,$V583)&amp;"")</f>
        <v/>
      </c>
      <c r="G583">
        <f>IF($V583="","",INDEX('Per Line'!$I$2:$I$6001,$V583)&amp;"")</f>
        <v/>
      </c>
      <c r="H583">
        <f>IF($V583="","",INDEX('Per Line'!$J$2:$J$6001,$V583))</f>
        <v/>
      </c>
      <c r="I583" s="7">
        <f>IF($V583="","",H583*S583/100)</f>
        <v/>
      </c>
      <c r="J583">
        <f>IF($V583="","",INDEX('Per Line'!$S$2:$S$6001,$V583)&amp;"")</f>
        <v/>
      </c>
      <c r="K583" s="7">
        <f>IF($V583="","",SUMIFS('Per Line'!$R$2:$R$6001,'Per Line'!$C$2:$C$6001,$B583,'Per Line'!$AJ$2:$AJ$6001,1))</f>
        <v/>
      </c>
      <c r="L583">
        <f>IF($V583="","",Settings!$C$7)</f>
        <v/>
      </c>
      <c r="M583" s="7">
        <f>IF($V583="","",SUMIFS('Per Line'!$R$2:$R$6001,'Per Line'!$C$2:$C$6001,$B583,'Per Line'!$AI$2:$AI$6001,0,'Per Line'!$AJ$2:$AJ$6001,0))</f>
        <v/>
      </c>
      <c r="N583" s="7">
        <f>IF($V583="","",M583*L583)</f>
        <v/>
      </c>
      <c r="O583">
        <f>IF($V583="","",Settings!$C$6)</f>
        <v/>
      </c>
      <c r="P583" s="7">
        <f>IF($V583="","",SUMIFS('Per Line'!$R$2:$R$6001,'Per Line'!$C$2:$C$6001,$B583,'Per Line'!$AI$2:$AI$6001,1,'Per Line'!$AJ$2:$AJ$6001,0))</f>
        <v/>
      </c>
      <c r="Q583" s="7">
        <f>IF($V583="","",P583*O583)</f>
        <v/>
      </c>
      <c r="R583" s="7">
        <f>IF($V583="","",Q583+N583)</f>
        <v/>
      </c>
      <c r="S583" s="7">
        <f>IF($V583="","",T583-R583)</f>
        <v/>
      </c>
      <c r="T583" s="7">
        <f>IF($V583="","",M583+P583+K583)</f>
        <v/>
      </c>
      <c r="U583" s="7">
        <f>IF($V583="","",T583-R583-I583)</f>
        <v/>
      </c>
      <c r="V583" s="13">
        <f>IF(ROWS($V$2:$V583)&lt;=MAX('Per Line'!$AH$2:$AH$6001),MATCH(ROWS($V$2:$V583),'Per Line'!$AH$2:$AH$6001,0),"")</f>
        <v/>
      </c>
    </row>
    <row r="584">
      <c r="A584" s="12" t="n"/>
      <c r="B584">
        <f>IF($V584="","",INDEX('Per Line'!$C$2:$C$6001,$V584)&amp;"")</f>
        <v/>
      </c>
      <c r="C584" s="11">
        <f>IF($V584="","",INDEX('Per Line'!$D$2:$D$6001,$V584))</f>
        <v/>
      </c>
      <c r="D584">
        <f>IF($V584="","",INDEX('Per Line'!$E$2:$E$6001,$V584)&amp;"")</f>
        <v/>
      </c>
      <c r="E584">
        <f>IF($V584="","",INDEX('Per Line'!$G$2:$G$6001,$V584)&amp;"")</f>
        <v/>
      </c>
      <c r="F584">
        <f>IF($V584="","",INDEX('Per Line'!$H$2:$H$6001,$V584)&amp;"")</f>
        <v/>
      </c>
      <c r="G584">
        <f>IF($V584="","",INDEX('Per Line'!$I$2:$I$6001,$V584)&amp;"")</f>
        <v/>
      </c>
      <c r="H584">
        <f>IF($V584="","",INDEX('Per Line'!$J$2:$J$6001,$V584))</f>
        <v/>
      </c>
      <c r="I584" s="7">
        <f>IF($V584="","",H584*S584/100)</f>
        <v/>
      </c>
      <c r="J584">
        <f>IF($V584="","",INDEX('Per Line'!$S$2:$S$6001,$V584)&amp;"")</f>
        <v/>
      </c>
      <c r="K584" s="7">
        <f>IF($V584="","",SUMIFS('Per Line'!$R$2:$R$6001,'Per Line'!$C$2:$C$6001,$B584,'Per Line'!$AJ$2:$AJ$6001,1))</f>
        <v/>
      </c>
      <c r="L584">
        <f>IF($V584="","",Settings!$C$7)</f>
        <v/>
      </c>
      <c r="M584" s="7">
        <f>IF($V584="","",SUMIFS('Per Line'!$R$2:$R$6001,'Per Line'!$C$2:$C$6001,$B584,'Per Line'!$AI$2:$AI$6001,0,'Per Line'!$AJ$2:$AJ$6001,0))</f>
        <v/>
      </c>
      <c r="N584" s="7">
        <f>IF($V584="","",M584*L584)</f>
        <v/>
      </c>
      <c r="O584">
        <f>IF($V584="","",Settings!$C$6)</f>
        <v/>
      </c>
      <c r="P584" s="7">
        <f>IF($V584="","",SUMIFS('Per Line'!$R$2:$R$6001,'Per Line'!$C$2:$C$6001,$B584,'Per Line'!$AI$2:$AI$6001,1,'Per Line'!$AJ$2:$AJ$6001,0))</f>
        <v/>
      </c>
      <c r="Q584" s="7">
        <f>IF($V584="","",P584*O584)</f>
        <v/>
      </c>
      <c r="R584" s="7">
        <f>IF($V584="","",Q584+N584)</f>
        <v/>
      </c>
      <c r="S584" s="7">
        <f>IF($V584="","",T584-R584)</f>
        <v/>
      </c>
      <c r="T584" s="7">
        <f>IF($V584="","",M584+P584+K584)</f>
        <v/>
      </c>
      <c r="U584" s="7">
        <f>IF($V584="","",T584-R584-I584)</f>
        <v/>
      </c>
      <c r="V584" s="13">
        <f>IF(ROWS($V$2:$V584)&lt;=MAX('Per Line'!$AH$2:$AH$6001),MATCH(ROWS($V$2:$V584),'Per Line'!$AH$2:$AH$6001,0),"")</f>
        <v/>
      </c>
    </row>
    <row r="585">
      <c r="A585" s="12" t="n"/>
      <c r="B585">
        <f>IF($V585="","",INDEX('Per Line'!$C$2:$C$6001,$V585)&amp;"")</f>
        <v/>
      </c>
      <c r="C585" s="11">
        <f>IF($V585="","",INDEX('Per Line'!$D$2:$D$6001,$V585))</f>
        <v/>
      </c>
      <c r="D585">
        <f>IF($V585="","",INDEX('Per Line'!$E$2:$E$6001,$V585)&amp;"")</f>
        <v/>
      </c>
      <c r="E585">
        <f>IF($V585="","",INDEX('Per Line'!$G$2:$G$6001,$V585)&amp;"")</f>
        <v/>
      </c>
      <c r="F585">
        <f>IF($V585="","",INDEX('Per Line'!$H$2:$H$6001,$V585)&amp;"")</f>
        <v/>
      </c>
      <c r="G585">
        <f>IF($V585="","",INDEX('Per Line'!$I$2:$I$6001,$V585)&amp;"")</f>
        <v/>
      </c>
      <c r="H585">
        <f>IF($V585="","",INDEX('Per Line'!$J$2:$J$6001,$V585))</f>
        <v/>
      </c>
      <c r="I585" s="7">
        <f>IF($V585="","",H585*S585/100)</f>
        <v/>
      </c>
      <c r="J585">
        <f>IF($V585="","",INDEX('Per Line'!$S$2:$S$6001,$V585)&amp;"")</f>
        <v/>
      </c>
      <c r="K585" s="7">
        <f>IF($V585="","",SUMIFS('Per Line'!$R$2:$R$6001,'Per Line'!$C$2:$C$6001,$B585,'Per Line'!$AJ$2:$AJ$6001,1))</f>
        <v/>
      </c>
      <c r="L585">
        <f>IF($V585="","",Settings!$C$7)</f>
        <v/>
      </c>
      <c r="M585" s="7">
        <f>IF($V585="","",SUMIFS('Per Line'!$R$2:$R$6001,'Per Line'!$C$2:$C$6001,$B585,'Per Line'!$AI$2:$AI$6001,0,'Per Line'!$AJ$2:$AJ$6001,0))</f>
        <v/>
      </c>
      <c r="N585" s="7">
        <f>IF($V585="","",M585*L585)</f>
        <v/>
      </c>
      <c r="O585">
        <f>IF($V585="","",Settings!$C$6)</f>
        <v/>
      </c>
      <c r="P585" s="7">
        <f>IF($V585="","",SUMIFS('Per Line'!$R$2:$R$6001,'Per Line'!$C$2:$C$6001,$B585,'Per Line'!$AI$2:$AI$6001,1,'Per Line'!$AJ$2:$AJ$6001,0))</f>
        <v/>
      </c>
      <c r="Q585" s="7">
        <f>IF($V585="","",P585*O585)</f>
        <v/>
      </c>
      <c r="R585" s="7">
        <f>IF($V585="","",Q585+N585)</f>
        <v/>
      </c>
      <c r="S585" s="7">
        <f>IF($V585="","",T585-R585)</f>
        <v/>
      </c>
      <c r="T585" s="7">
        <f>IF($V585="","",M585+P585+K585)</f>
        <v/>
      </c>
      <c r="U585" s="7">
        <f>IF($V585="","",T585-R585-I585)</f>
        <v/>
      </c>
      <c r="V585" s="13">
        <f>IF(ROWS($V$2:$V585)&lt;=MAX('Per Line'!$AH$2:$AH$6001),MATCH(ROWS($V$2:$V585),'Per Line'!$AH$2:$AH$6001,0),"")</f>
        <v/>
      </c>
    </row>
    <row r="586">
      <c r="A586" s="12" t="n"/>
      <c r="B586">
        <f>IF($V586="","",INDEX('Per Line'!$C$2:$C$6001,$V586)&amp;"")</f>
        <v/>
      </c>
      <c r="C586" s="11">
        <f>IF($V586="","",INDEX('Per Line'!$D$2:$D$6001,$V586))</f>
        <v/>
      </c>
      <c r="D586">
        <f>IF($V586="","",INDEX('Per Line'!$E$2:$E$6001,$V586)&amp;"")</f>
        <v/>
      </c>
      <c r="E586">
        <f>IF($V586="","",INDEX('Per Line'!$G$2:$G$6001,$V586)&amp;"")</f>
        <v/>
      </c>
      <c r="F586">
        <f>IF($V586="","",INDEX('Per Line'!$H$2:$H$6001,$V586)&amp;"")</f>
        <v/>
      </c>
      <c r="G586">
        <f>IF($V586="","",INDEX('Per Line'!$I$2:$I$6001,$V586)&amp;"")</f>
        <v/>
      </c>
      <c r="H586">
        <f>IF($V586="","",INDEX('Per Line'!$J$2:$J$6001,$V586))</f>
        <v/>
      </c>
      <c r="I586" s="7">
        <f>IF($V586="","",H586*S586/100)</f>
        <v/>
      </c>
      <c r="J586">
        <f>IF($V586="","",INDEX('Per Line'!$S$2:$S$6001,$V586)&amp;"")</f>
        <v/>
      </c>
      <c r="K586" s="7">
        <f>IF($V586="","",SUMIFS('Per Line'!$R$2:$R$6001,'Per Line'!$C$2:$C$6001,$B586,'Per Line'!$AJ$2:$AJ$6001,1))</f>
        <v/>
      </c>
      <c r="L586">
        <f>IF($V586="","",Settings!$C$7)</f>
        <v/>
      </c>
      <c r="M586" s="7">
        <f>IF($V586="","",SUMIFS('Per Line'!$R$2:$R$6001,'Per Line'!$C$2:$C$6001,$B586,'Per Line'!$AI$2:$AI$6001,0,'Per Line'!$AJ$2:$AJ$6001,0))</f>
        <v/>
      </c>
      <c r="N586" s="7">
        <f>IF($V586="","",M586*L586)</f>
        <v/>
      </c>
      <c r="O586">
        <f>IF($V586="","",Settings!$C$6)</f>
        <v/>
      </c>
      <c r="P586" s="7">
        <f>IF($V586="","",SUMIFS('Per Line'!$R$2:$R$6001,'Per Line'!$C$2:$C$6001,$B586,'Per Line'!$AI$2:$AI$6001,1,'Per Line'!$AJ$2:$AJ$6001,0))</f>
        <v/>
      </c>
      <c r="Q586" s="7">
        <f>IF($V586="","",P586*O586)</f>
        <v/>
      </c>
      <c r="R586" s="7">
        <f>IF($V586="","",Q586+N586)</f>
        <v/>
      </c>
      <c r="S586" s="7">
        <f>IF($V586="","",T586-R586)</f>
        <v/>
      </c>
      <c r="T586" s="7">
        <f>IF($V586="","",M586+P586+K586)</f>
        <v/>
      </c>
      <c r="U586" s="7">
        <f>IF($V586="","",T586-R586-I586)</f>
        <v/>
      </c>
      <c r="V586" s="13">
        <f>IF(ROWS($V$2:$V586)&lt;=MAX('Per Line'!$AH$2:$AH$6001),MATCH(ROWS($V$2:$V586),'Per Line'!$AH$2:$AH$6001,0),"")</f>
        <v/>
      </c>
    </row>
    <row r="587">
      <c r="A587" s="12" t="n"/>
      <c r="B587">
        <f>IF($V587="","",INDEX('Per Line'!$C$2:$C$6001,$V587)&amp;"")</f>
        <v/>
      </c>
      <c r="C587" s="11">
        <f>IF($V587="","",INDEX('Per Line'!$D$2:$D$6001,$V587))</f>
        <v/>
      </c>
      <c r="D587">
        <f>IF($V587="","",INDEX('Per Line'!$E$2:$E$6001,$V587)&amp;"")</f>
        <v/>
      </c>
      <c r="E587">
        <f>IF($V587="","",INDEX('Per Line'!$G$2:$G$6001,$V587)&amp;"")</f>
        <v/>
      </c>
      <c r="F587">
        <f>IF($V587="","",INDEX('Per Line'!$H$2:$H$6001,$V587)&amp;"")</f>
        <v/>
      </c>
      <c r="G587">
        <f>IF($V587="","",INDEX('Per Line'!$I$2:$I$6001,$V587)&amp;"")</f>
        <v/>
      </c>
      <c r="H587">
        <f>IF($V587="","",INDEX('Per Line'!$J$2:$J$6001,$V587))</f>
        <v/>
      </c>
      <c r="I587" s="7">
        <f>IF($V587="","",H587*S587/100)</f>
        <v/>
      </c>
      <c r="J587">
        <f>IF($V587="","",INDEX('Per Line'!$S$2:$S$6001,$V587)&amp;"")</f>
        <v/>
      </c>
      <c r="K587" s="7">
        <f>IF($V587="","",SUMIFS('Per Line'!$R$2:$R$6001,'Per Line'!$C$2:$C$6001,$B587,'Per Line'!$AJ$2:$AJ$6001,1))</f>
        <v/>
      </c>
      <c r="L587">
        <f>IF($V587="","",Settings!$C$7)</f>
        <v/>
      </c>
      <c r="M587" s="7">
        <f>IF($V587="","",SUMIFS('Per Line'!$R$2:$R$6001,'Per Line'!$C$2:$C$6001,$B587,'Per Line'!$AI$2:$AI$6001,0,'Per Line'!$AJ$2:$AJ$6001,0))</f>
        <v/>
      </c>
      <c r="N587" s="7">
        <f>IF($V587="","",M587*L587)</f>
        <v/>
      </c>
      <c r="O587">
        <f>IF($V587="","",Settings!$C$6)</f>
        <v/>
      </c>
      <c r="P587" s="7">
        <f>IF($V587="","",SUMIFS('Per Line'!$R$2:$R$6001,'Per Line'!$C$2:$C$6001,$B587,'Per Line'!$AI$2:$AI$6001,1,'Per Line'!$AJ$2:$AJ$6001,0))</f>
        <v/>
      </c>
      <c r="Q587" s="7">
        <f>IF($V587="","",P587*O587)</f>
        <v/>
      </c>
      <c r="R587" s="7">
        <f>IF($V587="","",Q587+N587)</f>
        <v/>
      </c>
      <c r="S587" s="7">
        <f>IF($V587="","",T587-R587)</f>
        <v/>
      </c>
      <c r="T587" s="7">
        <f>IF($V587="","",M587+P587+K587)</f>
        <v/>
      </c>
      <c r="U587" s="7">
        <f>IF($V587="","",T587-R587-I587)</f>
        <v/>
      </c>
      <c r="V587" s="13">
        <f>IF(ROWS($V$2:$V587)&lt;=MAX('Per Line'!$AH$2:$AH$6001),MATCH(ROWS($V$2:$V587),'Per Line'!$AH$2:$AH$6001,0),"")</f>
        <v/>
      </c>
    </row>
    <row r="588">
      <c r="A588" s="12" t="n"/>
      <c r="B588">
        <f>IF($V588="","",INDEX('Per Line'!$C$2:$C$6001,$V588)&amp;"")</f>
        <v/>
      </c>
      <c r="C588" s="11">
        <f>IF($V588="","",INDEX('Per Line'!$D$2:$D$6001,$V588))</f>
        <v/>
      </c>
      <c r="D588">
        <f>IF($V588="","",INDEX('Per Line'!$E$2:$E$6001,$V588)&amp;"")</f>
        <v/>
      </c>
      <c r="E588">
        <f>IF($V588="","",INDEX('Per Line'!$G$2:$G$6001,$V588)&amp;"")</f>
        <v/>
      </c>
      <c r="F588">
        <f>IF($V588="","",INDEX('Per Line'!$H$2:$H$6001,$V588)&amp;"")</f>
        <v/>
      </c>
      <c r="G588">
        <f>IF($V588="","",INDEX('Per Line'!$I$2:$I$6001,$V588)&amp;"")</f>
        <v/>
      </c>
      <c r="H588">
        <f>IF($V588="","",INDEX('Per Line'!$J$2:$J$6001,$V588))</f>
        <v/>
      </c>
      <c r="I588" s="7">
        <f>IF($V588="","",H588*S588/100)</f>
        <v/>
      </c>
      <c r="J588">
        <f>IF($V588="","",INDEX('Per Line'!$S$2:$S$6001,$V588)&amp;"")</f>
        <v/>
      </c>
      <c r="K588" s="7">
        <f>IF($V588="","",SUMIFS('Per Line'!$R$2:$R$6001,'Per Line'!$C$2:$C$6001,$B588,'Per Line'!$AJ$2:$AJ$6001,1))</f>
        <v/>
      </c>
      <c r="L588">
        <f>IF($V588="","",Settings!$C$7)</f>
        <v/>
      </c>
      <c r="M588" s="7">
        <f>IF($V588="","",SUMIFS('Per Line'!$R$2:$R$6001,'Per Line'!$C$2:$C$6001,$B588,'Per Line'!$AI$2:$AI$6001,0,'Per Line'!$AJ$2:$AJ$6001,0))</f>
        <v/>
      </c>
      <c r="N588" s="7">
        <f>IF($V588="","",M588*L588)</f>
        <v/>
      </c>
      <c r="O588">
        <f>IF($V588="","",Settings!$C$6)</f>
        <v/>
      </c>
      <c r="P588" s="7">
        <f>IF($V588="","",SUMIFS('Per Line'!$R$2:$R$6001,'Per Line'!$C$2:$C$6001,$B588,'Per Line'!$AI$2:$AI$6001,1,'Per Line'!$AJ$2:$AJ$6001,0))</f>
        <v/>
      </c>
      <c r="Q588" s="7">
        <f>IF($V588="","",P588*O588)</f>
        <v/>
      </c>
      <c r="R588" s="7">
        <f>IF($V588="","",Q588+N588)</f>
        <v/>
      </c>
      <c r="S588" s="7">
        <f>IF($V588="","",T588-R588)</f>
        <v/>
      </c>
      <c r="T588" s="7">
        <f>IF($V588="","",M588+P588+K588)</f>
        <v/>
      </c>
      <c r="U588" s="7">
        <f>IF($V588="","",T588-R588-I588)</f>
        <v/>
      </c>
      <c r="V588" s="13">
        <f>IF(ROWS($V$2:$V588)&lt;=MAX('Per Line'!$AH$2:$AH$6001),MATCH(ROWS($V$2:$V588),'Per Line'!$AH$2:$AH$6001,0),"")</f>
        <v/>
      </c>
    </row>
    <row r="589">
      <c r="A589" s="12" t="n"/>
      <c r="B589">
        <f>IF($V589="","",INDEX('Per Line'!$C$2:$C$6001,$V589)&amp;"")</f>
        <v/>
      </c>
      <c r="C589" s="11">
        <f>IF($V589="","",INDEX('Per Line'!$D$2:$D$6001,$V589))</f>
        <v/>
      </c>
      <c r="D589">
        <f>IF($V589="","",INDEX('Per Line'!$E$2:$E$6001,$V589)&amp;"")</f>
        <v/>
      </c>
      <c r="E589">
        <f>IF($V589="","",INDEX('Per Line'!$G$2:$G$6001,$V589)&amp;"")</f>
        <v/>
      </c>
      <c r="F589">
        <f>IF($V589="","",INDEX('Per Line'!$H$2:$H$6001,$V589)&amp;"")</f>
        <v/>
      </c>
      <c r="G589">
        <f>IF($V589="","",INDEX('Per Line'!$I$2:$I$6001,$V589)&amp;"")</f>
        <v/>
      </c>
      <c r="H589">
        <f>IF($V589="","",INDEX('Per Line'!$J$2:$J$6001,$V589))</f>
        <v/>
      </c>
      <c r="I589" s="7">
        <f>IF($V589="","",H589*S589/100)</f>
        <v/>
      </c>
      <c r="J589">
        <f>IF($V589="","",INDEX('Per Line'!$S$2:$S$6001,$V589)&amp;"")</f>
        <v/>
      </c>
      <c r="K589" s="7">
        <f>IF($V589="","",SUMIFS('Per Line'!$R$2:$R$6001,'Per Line'!$C$2:$C$6001,$B589,'Per Line'!$AJ$2:$AJ$6001,1))</f>
        <v/>
      </c>
      <c r="L589">
        <f>IF($V589="","",Settings!$C$7)</f>
        <v/>
      </c>
      <c r="M589" s="7">
        <f>IF($V589="","",SUMIFS('Per Line'!$R$2:$R$6001,'Per Line'!$C$2:$C$6001,$B589,'Per Line'!$AI$2:$AI$6001,0,'Per Line'!$AJ$2:$AJ$6001,0))</f>
        <v/>
      </c>
      <c r="N589" s="7">
        <f>IF($V589="","",M589*L589)</f>
        <v/>
      </c>
      <c r="O589">
        <f>IF($V589="","",Settings!$C$6)</f>
        <v/>
      </c>
      <c r="P589" s="7">
        <f>IF($V589="","",SUMIFS('Per Line'!$R$2:$R$6001,'Per Line'!$C$2:$C$6001,$B589,'Per Line'!$AI$2:$AI$6001,1,'Per Line'!$AJ$2:$AJ$6001,0))</f>
        <v/>
      </c>
      <c r="Q589" s="7">
        <f>IF($V589="","",P589*O589)</f>
        <v/>
      </c>
      <c r="R589" s="7">
        <f>IF($V589="","",Q589+N589)</f>
        <v/>
      </c>
      <c r="S589" s="7">
        <f>IF($V589="","",T589-R589)</f>
        <v/>
      </c>
      <c r="T589" s="7">
        <f>IF($V589="","",M589+P589+K589)</f>
        <v/>
      </c>
      <c r="U589" s="7">
        <f>IF($V589="","",T589-R589-I589)</f>
        <v/>
      </c>
      <c r="V589" s="13">
        <f>IF(ROWS($V$2:$V589)&lt;=MAX('Per Line'!$AH$2:$AH$6001),MATCH(ROWS($V$2:$V589),'Per Line'!$AH$2:$AH$6001,0),"")</f>
        <v/>
      </c>
    </row>
    <row r="590">
      <c r="A590" s="12" t="n"/>
      <c r="B590">
        <f>IF($V590="","",INDEX('Per Line'!$C$2:$C$6001,$V590)&amp;"")</f>
        <v/>
      </c>
      <c r="C590" s="11">
        <f>IF($V590="","",INDEX('Per Line'!$D$2:$D$6001,$V590))</f>
        <v/>
      </c>
      <c r="D590">
        <f>IF($V590="","",INDEX('Per Line'!$E$2:$E$6001,$V590)&amp;"")</f>
        <v/>
      </c>
      <c r="E590">
        <f>IF($V590="","",INDEX('Per Line'!$G$2:$G$6001,$V590)&amp;"")</f>
        <v/>
      </c>
      <c r="F590">
        <f>IF($V590="","",INDEX('Per Line'!$H$2:$H$6001,$V590)&amp;"")</f>
        <v/>
      </c>
      <c r="G590">
        <f>IF($V590="","",INDEX('Per Line'!$I$2:$I$6001,$V590)&amp;"")</f>
        <v/>
      </c>
      <c r="H590">
        <f>IF($V590="","",INDEX('Per Line'!$J$2:$J$6001,$V590))</f>
        <v/>
      </c>
      <c r="I590" s="7">
        <f>IF($V590="","",H590*S590/100)</f>
        <v/>
      </c>
      <c r="J590">
        <f>IF($V590="","",INDEX('Per Line'!$S$2:$S$6001,$V590)&amp;"")</f>
        <v/>
      </c>
      <c r="K590" s="7">
        <f>IF($V590="","",SUMIFS('Per Line'!$R$2:$R$6001,'Per Line'!$C$2:$C$6001,$B590,'Per Line'!$AJ$2:$AJ$6001,1))</f>
        <v/>
      </c>
      <c r="L590">
        <f>IF($V590="","",Settings!$C$7)</f>
        <v/>
      </c>
      <c r="M590" s="7">
        <f>IF($V590="","",SUMIFS('Per Line'!$R$2:$R$6001,'Per Line'!$C$2:$C$6001,$B590,'Per Line'!$AI$2:$AI$6001,0,'Per Line'!$AJ$2:$AJ$6001,0))</f>
        <v/>
      </c>
      <c r="N590" s="7">
        <f>IF($V590="","",M590*L590)</f>
        <v/>
      </c>
      <c r="O590">
        <f>IF($V590="","",Settings!$C$6)</f>
        <v/>
      </c>
      <c r="P590" s="7">
        <f>IF($V590="","",SUMIFS('Per Line'!$R$2:$R$6001,'Per Line'!$C$2:$C$6001,$B590,'Per Line'!$AI$2:$AI$6001,1,'Per Line'!$AJ$2:$AJ$6001,0))</f>
        <v/>
      </c>
      <c r="Q590" s="7">
        <f>IF($V590="","",P590*O590)</f>
        <v/>
      </c>
      <c r="R590" s="7">
        <f>IF($V590="","",Q590+N590)</f>
        <v/>
      </c>
      <c r="S590" s="7">
        <f>IF($V590="","",T590-R590)</f>
        <v/>
      </c>
      <c r="T590" s="7">
        <f>IF($V590="","",M590+P590+K590)</f>
        <v/>
      </c>
      <c r="U590" s="7">
        <f>IF($V590="","",T590-R590-I590)</f>
        <v/>
      </c>
      <c r="V590" s="13">
        <f>IF(ROWS($V$2:$V590)&lt;=MAX('Per Line'!$AH$2:$AH$6001),MATCH(ROWS($V$2:$V590),'Per Line'!$AH$2:$AH$6001,0),"")</f>
        <v/>
      </c>
    </row>
    <row r="591">
      <c r="A591" s="12" t="n"/>
      <c r="B591">
        <f>IF($V591="","",INDEX('Per Line'!$C$2:$C$6001,$V591)&amp;"")</f>
        <v/>
      </c>
      <c r="C591" s="11">
        <f>IF($V591="","",INDEX('Per Line'!$D$2:$D$6001,$V591))</f>
        <v/>
      </c>
      <c r="D591">
        <f>IF($V591="","",INDEX('Per Line'!$E$2:$E$6001,$V591)&amp;"")</f>
        <v/>
      </c>
      <c r="E591">
        <f>IF($V591="","",INDEX('Per Line'!$G$2:$G$6001,$V591)&amp;"")</f>
        <v/>
      </c>
      <c r="F591">
        <f>IF($V591="","",INDEX('Per Line'!$H$2:$H$6001,$V591)&amp;"")</f>
        <v/>
      </c>
      <c r="G591">
        <f>IF($V591="","",INDEX('Per Line'!$I$2:$I$6001,$V591)&amp;"")</f>
        <v/>
      </c>
      <c r="H591">
        <f>IF($V591="","",INDEX('Per Line'!$J$2:$J$6001,$V591))</f>
        <v/>
      </c>
      <c r="I591" s="7">
        <f>IF($V591="","",H591*S591/100)</f>
        <v/>
      </c>
      <c r="J591">
        <f>IF($V591="","",INDEX('Per Line'!$S$2:$S$6001,$V591)&amp;"")</f>
        <v/>
      </c>
      <c r="K591" s="7">
        <f>IF($V591="","",SUMIFS('Per Line'!$R$2:$R$6001,'Per Line'!$C$2:$C$6001,$B591,'Per Line'!$AJ$2:$AJ$6001,1))</f>
        <v/>
      </c>
      <c r="L591">
        <f>IF($V591="","",Settings!$C$7)</f>
        <v/>
      </c>
      <c r="M591" s="7">
        <f>IF($V591="","",SUMIFS('Per Line'!$R$2:$R$6001,'Per Line'!$C$2:$C$6001,$B591,'Per Line'!$AI$2:$AI$6001,0,'Per Line'!$AJ$2:$AJ$6001,0))</f>
        <v/>
      </c>
      <c r="N591" s="7">
        <f>IF($V591="","",M591*L591)</f>
        <v/>
      </c>
      <c r="O591">
        <f>IF($V591="","",Settings!$C$6)</f>
        <v/>
      </c>
      <c r="P591" s="7">
        <f>IF($V591="","",SUMIFS('Per Line'!$R$2:$R$6001,'Per Line'!$C$2:$C$6001,$B591,'Per Line'!$AI$2:$AI$6001,1,'Per Line'!$AJ$2:$AJ$6001,0))</f>
        <v/>
      </c>
      <c r="Q591" s="7">
        <f>IF($V591="","",P591*O591)</f>
        <v/>
      </c>
      <c r="R591" s="7">
        <f>IF($V591="","",Q591+N591)</f>
        <v/>
      </c>
      <c r="S591" s="7">
        <f>IF($V591="","",T591-R591)</f>
        <v/>
      </c>
      <c r="T591" s="7">
        <f>IF($V591="","",M591+P591+K591)</f>
        <v/>
      </c>
      <c r="U591" s="7">
        <f>IF($V591="","",T591-R591-I591)</f>
        <v/>
      </c>
      <c r="V591" s="13">
        <f>IF(ROWS($V$2:$V591)&lt;=MAX('Per Line'!$AH$2:$AH$6001),MATCH(ROWS($V$2:$V591),'Per Line'!$AH$2:$AH$6001,0),"")</f>
        <v/>
      </c>
    </row>
    <row r="592">
      <c r="A592" s="12" t="n"/>
      <c r="B592">
        <f>IF($V592="","",INDEX('Per Line'!$C$2:$C$6001,$V592)&amp;"")</f>
        <v/>
      </c>
      <c r="C592" s="11">
        <f>IF($V592="","",INDEX('Per Line'!$D$2:$D$6001,$V592))</f>
        <v/>
      </c>
      <c r="D592">
        <f>IF($V592="","",INDEX('Per Line'!$E$2:$E$6001,$V592)&amp;"")</f>
        <v/>
      </c>
      <c r="E592">
        <f>IF($V592="","",INDEX('Per Line'!$G$2:$G$6001,$V592)&amp;"")</f>
        <v/>
      </c>
      <c r="F592">
        <f>IF($V592="","",INDEX('Per Line'!$H$2:$H$6001,$V592)&amp;"")</f>
        <v/>
      </c>
      <c r="G592">
        <f>IF($V592="","",INDEX('Per Line'!$I$2:$I$6001,$V592)&amp;"")</f>
        <v/>
      </c>
      <c r="H592">
        <f>IF($V592="","",INDEX('Per Line'!$J$2:$J$6001,$V592))</f>
        <v/>
      </c>
      <c r="I592" s="7">
        <f>IF($V592="","",H592*S592/100)</f>
        <v/>
      </c>
      <c r="J592">
        <f>IF($V592="","",INDEX('Per Line'!$S$2:$S$6001,$V592)&amp;"")</f>
        <v/>
      </c>
      <c r="K592" s="7">
        <f>IF($V592="","",SUMIFS('Per Line'!$R$2:$R$6001,'Per Line'!$C$2:$C$6001,$B592,'Per Line'!$AJ$2:$AJ$6001,1))</f>
        <v/>
      </c>
      <c r="L592">
        <f>IF($V592="","",Settings!$C$7)</f>
        <v/>
      </c>
      <c r="M592" s="7">
        <f>IF($V592="","",SUMIFS('Per Line'!$R$2:$R$6001,'Per Line'!$C$2:$C$6001,$B592,'Per Line'!$AI$2:$AI$6001,0,'Per Line'!$AJ$2:$AJ$6001,0))</f>
        <v/>
      </c>
      <c r="N592" s="7">
        <f>IF($V592="","",M592*L592)</f>
        <v/>
      </c>
      <c r="O592">
        <f>IF($V592="","",Settings!$C$6)</f>
        <v/>
      </c>
      <c r="P592" s="7">
        <f>IF($V592="","",SUMIFS('Per Line'!$R$2:$R$6001,'Per Line'!$C$2:$C$6001,$B592,'Per Line'!$AI$2:$AI$6001,1,'Per Line'!$AJ$2:$AJ$6001,0))</f>
        <v/>
      </c>
      <c r="Q592" s="7">
        <f>IF($V592="","",P592*O592)</f>
        <v/>
      </c>
      <c r="R592" s="7">
        <f>IF($V592="","",Q592+N592)</f>
        <v/>
      </c>
      <c r="S592" s="7">
        <f>IF($V592="","",T592-R592)</f>
        <v/>
      </c>
      <c r="T592" s="7">
        <f>IF($V592="","",M592+P592+K592)</f>
        <v/>
      </c>
      <c r="U592" s="7">
        <f>IF($V592="","",T592-R592-I592)</f>
        <v/>
      </c>
      <c r="V592" s="13">
        <f>IF(ROWS($V$2:$V592)&lt;=MAX('Per Line'!$AH$2:$AH$6001),MATCH(ROWS($V$2:$V592),'Per Line'!$AH$2:$AH$6001,0),"")</f>
        <v/>
      </c>
    </row>
    <row r="593">
      <c r="A593" s="12" t="n"/>
      <c r="B593">
        <f>IF($V593="","",INDEX('Per Line'!$C$2:$C$6001,$V593)&amp;"")</f>
        <v/>
      </c>
      <c r="C593" s="11">
        <f>IF($V593="","",INDEX('Per Line'!$D$2:$D$6001,$V593))</f>
        <v/>
      </c>
      <c r="D593">
        <f>IF($V593="","",INDEX('Per Line'!$E$2:$E$6001,$V593)&amp;"")</f>
        <v/>
      </c>
      <c r="E593">
        <f>IF($V593="","",INDEX('Per Line'!$G$2:$G$6001,$V593)&amp;"")</f>
        <v/>
      </c>
      <c r="F593">
        <f>IF($V593="","",INDEX('Per Line'!$H$2:$H$6001,$V593)&amp;"")</f>
        <v/>
      </c>
      <c r="G593">
        <f>IF($V593="","",INDEX('Per Line'!$I$2:$I$6001,$V593)&amp;"")</f>
        <v/>
      </c>
      <c r="H593">
        <f>IF($V593="","",INDEX('Per Line'!$J$2:$J$6001,$V593))</f>
        <v/>
      </c>
      <c r="I593" s="7">
        <f>IF($V593="","",H593*S593/100)</f>
        <v/>
      </c>
      <c r="J593">
        <f>IF($V593="","",INDEX('Per Line'!$S$2:$S$6001,$V593)&amp;"")</f>
        <v/>
      </c>
      <c r="K593" s="7">
        <f>IF($V593="","",SUMIFS('Per Line'!$R$2:$R$6001,'Per Line'!$C$2:$C$6001,$B593,'Per Line'!$AJ$2:$AJ$6001,1))</f>
        <v/>
      </c>
      <c r="L593">
        <f>IF($V593="","",Settings!$C$7)</f>
        <v/>
      </c>
      <c r="M593" s="7">
        <f>IF($V593="","",SUMIFS('Per Line'!$R$2:$R$6001,'Per Line'!$C$2:$C$6001,$B593,'Per Line'!$AI$2:$AI$6001,0,'Per Line'!$AJ$2:$AJ$6001,0))</f>
        <v/>
      </c>
      <c r="N593" s="7">
        <f>IF($V593="","",M593*L593)</f>
        <v/>
      </c>
      <c r="O593">
        <f>IF($V593="","",Settings!$C$6)</f>
        <v/>
      </c>
      <c r="P593" s="7">
        <f>IF($V593="","",SUMIFS('Per Line'!$R$2:$R$6001,'Per Line'!$C$2:$C$6001,$B593,'Per Line'!$AI$2:$AI$6001,1,'Per Line'!$AJ$2:$AJ$6001,0))</f>
        <v/>
      </c>
      <c r="Q593" s="7">
        <f>IF($V593="","",P593*O593)</f>
        <v/>
      </c>
      <c r="R593" s="7">
        <f>IF($V593="","",Q593+N593)</f>
        <v/>
      </c>
      <c r="S593" s="7">
        <f>IF($V593="","",T593-R593)</f>
        <v/>
      </c>
      <c r="T593" s="7">
        <f>IF($V593="","",M593+P593+K593)</f>
        <v/>
      </c>
      <c r="U593" s="7">
        <f>IF($V593="","",T593-R593-I593)</f>
        <v/>
      </c>
      <c r="V593" s="13">
        <f>IF(ROWS($V$2:$V593)&lt;=MAX('Per Line'!$AH$2:$AH$6001),MATCH(ROWS($V$2:$V593),'Per Line'!$AH$2:$AH$6001,0),"")</f>
        <v/>
      </c>
    </row>
    <row r="594">
      <c r="A594" s="12" t="n"/>
      <c r="B594">
        <f>IF($V594="","",INDEX('Per Line'!$C$2:$C$6001,$V594)&amp;"")</f>
        <v/>
      </c>
      <c r="C594" s="11">
        <f>IF($V594="","",INDEX('Per Line'!$D$2:$D$6001,$V594))</f>
        <v/>
      </c>
      <c r="D594">
        <f>IF($V594="","",INDEX('Per Line'!$E$2:$E$6001,$V594)&amp;"")</f>
        <v/>
      </c>
      <c r="E594">
        <f>IF($V594="","",INDEX('Per Line'!$G$2:$G$6001,$V594)&amp;"")</f>
        <v/>
      </c>
      <c r="F594">
        <f>IF($V594="","",INDEX('Per Line'!$H$2:$H$6001,$V594)&amp;"")</f>
        <v/>
      </c>
      <c r="G594">
        <f>IF($V594="","",INDEX('Per Line'!$I$2:$I$6001,$V594)&amp;"")</f>
        <v/>
      </c>
      <c r="H594">
        <f>IF($V594="","",INDEX('Per Line'!$J$2:$J$6001,$V594))</f>
        <v/>
      </c>
      <c r="I594" s="7">
        <f>IF($V594="","",H594*S594/100)</f>
        <v/>
      </c>
      <c r="J594">
        <f>IF($V594="","",INDEX('Per Line'!$S$2:$S$6001,$V594)&amp;"")</f>
        <v/>
      </c>
      <c r="K594" s="7">
        <f>IF($V594="","",SUMIFS('Per Line'!$R$2:$R$6001,'Per Line'!$C$2:$C$6001,$B594,'Per Line'!$AJ$2:$AJ$6001,1))</f>
        <v/>
      </c>
      <c r="L594">
        <f>IF($V594="","",Settings!$C$7)</f>
        <v/>
      </c>
      <c r="M594" s="7">
        <f>IF($V594="","",SUMIFS('Per Line'!$R$2:$R$6001,'Per Line'!$C$2:$C$6001,$B594,'Per Line'!$AI$2:$AI$6001,0,'Per Line'!$AJ$2:$AJ$6001,0))</f>
        <v/>
      </c>
      <c r="N594" s="7">
        <f>IF($V594="","",M594*L594)</f>
        <v/>
      </c>
      <c r="O594">
        <f>IF($V594="","",Settings!$C$6)</f>
        <v/>
      </c>
      <c r="P594" s="7">
        <f>IF($V594="","",SUMIFS('Per Line'!$R$2:$R$6001,'Per Line'!$C$2:$C$6001,$B594,'Per Line'!$AI$2:$AI$6001,1,'Per Line'!$AJ$2:$AJ$6001,0))</f>
        <v/>
      </c>
      <c r="Q594" s="7">
        <f>IF($V594="","",P594*O594)</f>
        <v/>
      </c>
      <c r="R594" s="7">
        <f>IF($V594="","",Q594+N594)</f>
        <v/>
      </c>
      <c r="S594" s="7">
        <f>IF($V594="","",T594-R594)</f>
        <v/>
      </c>
      <c r="T594" s="7">
        <f>IF($V594="","",M594+P594+K594)</f>
        <v/>
      </c>
      <c r="U594" s="7">
        <f>IF($V594="","",T594-R594-I594)</f>
        <v/>
      </c>
      <c r="V594" s="13">
        <f>IF(ROWS($V$2:$V594)&lt;=MAX('Per Line'!$AH$2:$AH$6001),MATCH(ROWS($V$2:$V594),'Per Line'!$AH$2:$AH$6001,0),"")</f>
        <v/>
      </c>
    </row>
    <row r="595">
      <c r="A595" s="12" t="n"/>
      <c r="B595">
        <f>IF($V595="","",INDEX('Per Line'!$C$2:$C$6001,$V595)&amp;"")</f>
        <v/>
      </c>
      <c r="C595" s="11">
        <f>IF($V595="","",INDEX('Per Line'!$D$2:$D$6001,$V595))</f>
        <v/>
      </c>
      <c r="D595">
        <f>IF($V595="","",INDEX('Per Line'!$E$2:$E$6001,$V595)&amp;"")</f>
        <v/>
      </c>
      <c r="E595">
        <f>IF($V595="","",INDEX('Per Line'!$G$2:$G$6001,$V595)&amp;"")</f>
        <v/>
      </c>
      <c r="F595">
        <f>IF($V595="","",INDEX('Per Line'!$H$2:$H$6001,$V595)&amp;"")</f>
        <v/>
      </c>
      <c r="G595">
        <f>IF($V595="","",INDEX('Per Line'!$I$2:$I$6001,$V595)&amp;"")</f>
        <v/>
      </c>
      <c r="H595">
        <f>IF($V595="","",INDEX('Per Line'!$J$2:$J$6001,$V595))</f>
        <v/>
      </c>
      <c r="I595" s="7">
        <f>IF($V595="","",H595*S595/100)</f>
        <v/>
      </c>
      <c r="J595">
        <f>IF($V595="","",INDEX('Per Line'!$S$2:$S$6001,$V595)&amp;"")</f>
        <v/>
      </c>
      <c r="K595" s="7">
        <f>IF($V595="","",SUMIFS('Per Line'!$R$2:$R$6001,'Per Line'!$C$2:$C$6001,$B595,'Per Line'!$AJ$2:$AJ$6001,1))</f>
        <v/>
      </c>
      <c r="L595">
        <f>IF($V595="","",Settings!$C$7)</f>
        <v/>
      </c>
      <c r="M595" s="7">
        <f>IF($V595="","",SUMIFS('Per Line'!$R$2:$R$6001,'Per Line'!$C$2:$C$6001,$B595,'Per Line'!$AI$2:$AI$6001,0,'Per Line'!$AJ$2:$AJ$6001,0))</f>
        <v/>
      </c>
      <c r="N595" s="7">
        <f>IF($V595="","",M595*L595)</f>
        <v/>
      </c>
      <c r="O595">
        <f>IF($V595="","",Settings!$C$6)</f>
        <v/>
      </c>
      <c r="P595" s="7">
        <f>IF($V595="","",SUMIFS('Per Line'!$R$2:$R$6001,'Per Line'!$C$2:$C$6001,$B595,'Per Line'!$AI$2:$AI$6001,1,'Per Line'!$AJ$2:$AJ$6001,0))</f>
        <v/>
      </c>
      <c r="Q595" s="7">
        <f>IF($V595="","",P595*O595)</f>
        <v/>
      </c>
      <c r="R595" s="7">
        <f>IF($V595="","",Q595+N595)</f>
        <v/>
      </c>
      <c r="S595" s="7">
        <f>IF($V595="","",T595-R595)</f>
        <v/>
      </c>
      <c r="T595" s="7">
        <f>IF($V595="","",M595+P595+K595)</f>
        <v/>
      </c>
      <c r="U595" s="7">
        <f>IF($V595="","",T595-R595-I595)</f>
        <v/>
      </c>
      <c r="V595" s="13">
        <f>IF(ROWS($V$2:$V595)&lt;=MAX('Per Line'!$AH$2:$AH$6001),MATCH(ROWS($V$2:$V595),'Per Line'!$AH$2:$AH$6001,0),"")</f>
        <v/>
      </c>
    </row>
    <row r="596">
      <c r="A596" s="12" t="n"/>
      <c r="B596">
        <f>IF($V596="","",INDEX('Per Line'!$C$2:$C$6001,$V596)&amp;"")</f>
        <v/>
      </c>
      <c r="C596" s="11">
        <f>IF($V596="","",INDEX('Per Line'!$D$2:$D$6001,$V596))</f>
        <v/>
      </c>
      <c r="D596">
        <f>IF($V596="","",INDEX('Per Line'!$E$2:$E$6001,$V596)&amp;"")</f>
        <v/>
      </c>
      <c r="E596">
        <f>IF($V596="","",INDEX('Per Line'!$G$2:$G$6001,$V596)&amp;"")</f>
        <v/>
      </c>
      <c r="F596">
        <f>IF($V596="","",INDEX('Per Line'!$H$2:$H$6001,$V596)&amp;"")</f>
        <v/>
      </c>
      <c r="G596">
        <f>IF($V596="","",INDEX('Per Line'!$I$2:$I$6001,$V596)&amp;"")</f>
        <v/>
      </c>
      <c r="H596">
        <f>IF($V596="","",INDEX('Per Line'!$J$2:$J$6001,$V596))</f>
        <v/>
      </c>
      <c r="I596" s="7">
        <f>IF($V596="","",H596*S596/100)</f>
        <v/>
      </c>
      <c r="J596">
        <f>IF($V596="","",INDEX('Per Line'!$S$2:$S$6001,$V596)&amp;"")</f>
        <v/>
      </c>
      <c r="K596" s="7">
        <f>IF($V596="","",SUMIFS('Per Line'!$R$2:$R$6001,'Per Line'!$C$2:$C$6001,$B596,'Per Line'!$AJ$2:$AJ$6001,1))</f>
        <v/>
      </c>
      <c r="L596">
        <f>IF($V596="","",Settings!$C$7)</f>
        <v/>
      </c>
      <c r="M596" s="7">
        <f>IF($V596="","",SUMIFS('Per Line'!$R$2:$R$6001,'Per Line'!$C$2:$C$6001,$B596,'Per Line'!$AI$2:$AI$6001,0,'Per Line'!$AJ$2:$AJ$6001,0))</f>
        <v/>
      </c>
      <c r="N596" s="7">
        <f>IF($V596="","",M596*L596)</f>
        <v/>
      </c>
      <c r="O596">
        <f>IF($V596="","",Settings!$C$6)</f>
        <v/>
      </c>
      <c r="P596" s="7">
        <f>IF($V596="","",SUMIFS('Per Line'!$R$2:$R$6001,'Per Line'!$C$2:$C$6001,$B596,'Per Line'!$AI$2:$AI$6001,1,'Per Line'!$AJ$2:$AJ$6001,0))</f>
        <v/>
      </c>
      <c r="Q596" s="7">
        <f>IF($V596="","",P596*O596)</f>
        <v/>
      </c>
      <c r="R596" s="7">
        <f>IF($V596="","",Q596+N596)</f>
        <v/>
      </c>
      <c r="S596" s="7">
        <f>IF($V596="","",T596-R596)</f>
        <v/>
      </c>
      <c r="T596" s="7">
        <f>IF($V596="","",M596+P596+K596)</f>
        <v/>
      </c>
      <c r="U596" s="7">
        <f>IF($V596="","",T596-R596-I596)</f>
        <v/>
      </c>
      <c r="V596" s="13">
        <f>IF(ROWS($V$2:$V596)&lt;=MAX('Per Line'!$AH$2:$AH$6001),MATCH(ROWS($V$2:$V596),'Per Line'!$AH$2:$AH$6001,0),"")</f>
        <v/>
      </c>
    </row>
    <row r="597">
      <c r="A597" s="12" t="n"/>
      <c r="B597">
        <f>IF($V597="","",INDEX('Per Line'!$C$2:$C$6001,$V597)&amp;"")</f>
        <v/>
      </c>
      <c r="C597" s="11">
        <f>IF($V597="","",INDEX('Per Line'!$D$2:$D$6001,$V597))</f>
        <v/>
      </c>
      <c r="D597">
        <f>IF($V597="","",INDEX('Per Line'!$E$2:$E$6001,$V597)&amp;"")</f>
        <v/>
      </c>
      <c r="E597">
        <f>IF($V597="","",INDEX('Per Line'!$G$2:$G$6001,$V597)&amp;"")</f>
        <v/>
      </c>
      <c r="F597">
        <f>IF($V597="","",INDEX('Per Line'!$H$2:$H$6001,$V597)&amp;"")</f>
        <v/>
      </c>
      <c r="G597">
        <f>IF($V597="","",INDEX('Per Line'!$I$2:$I$6001,$V597)&amp;"")</f>
        <v/>
      </c>
      <c r="H597">
        <f>IF($V597="","",INDEX('Per Line'!$J$2:$J$6001,$V597))</f>
        <v/>
      </c>
      <c r="I597" s="7">
        <f>IF($V597="","",H597*S597/100)</f>
        <v/>
      </c>
      <c r="J597">
        <f>IF($V597="","",INDEX('Per Line'!$S$2:$S$6001,$V597)&amp;"")</f>
        <v/>
      </c>
      <c r="K597" s="7">
        <f>IF($V597="","",SUMIFS('Per Line'!$R$2:$R$6001,'Per Line'!$C$2:$C$6001,$B597,'Per Line'!$AJ$2:$AJ$6001,1))</f>
        <v/>
      </c>
      <c r="L597">
        <f>IF($V597="","",Settings!$C$7)</f>
        <v/>
      </c>
      <c r="M597" s="7">
        <f>IF($V597="","",SUMIFS('Per Line'!$R$2:$R$6001,'Per Line'!$C$2:$C$6001,$B597,'Per Line'!$AI$2:$AI$6001,0,'Per Line'!$AJ$2:$AJ$6001,0))</f>
        <v/>
      </c>
      <c r="N597" s="7">
        <f>IF($V597="","",M597*L597)</f>
        <v/>
      </c>
      <c r="O597">
        <f>IF($V597="","",Settings!$C$6)</f>
        <v/>
      </c>
      <c r="P597" s="7">
        <f>IF($V597="","",SUMIFS('Per Line'!$R$2:$R$6001,'Per Line'!$C$2:$C$6001,$B597,'Per Line'!$AI$2:$AI$6001,1,'Per Line'!$AJ$2:$AJ$6001,0))</f>
        <v/>
      </c>
      <c r="Q597" s="7">
        <f>IF($V597="","",P597*O597)</f>
        <v/>
      </c>
      <c r="R597" s="7">
        <f>IF($V597="","",Q597+N597)</f>
        <v/>
      </c>
      <c r="S597" s="7">
        <f>IF($V597="","",T597-R597)</f>
        <v/>
      </c>
      <c r="T597" s="7">
        <f>IF($V597="","",M597+P597+K597)</f>
        <v/>
      </c>
      <c r="U597" s="7">
        <f>IF($V597="","",T597-R597-I597)</f>
        <v/>
      </c>
      <c r="V597" s="13">
        <f>IF(ROWS($V$2:$V597)&lt;=MAX('Per Line'!$AH$2:$AH$6001),MATCH(ROWS($V$2:$V597),'Per Line'!$AH$2:$AH$6001,0),"")</f>
        <v/>
      </c>
    </row>
    <row r="598">
      <c r="A598" s="12" t="n"/>
      <c r="B598">
        <f>IF($V598="","",INDEX('Per Line'!$C$2:$C$6001,$V598)&amp;"")</f>
        <v/>
      </c>
      <c r="C598" s="11">
        <f>IF($V598="","",INDEX('Per Line'!$D$2:$D$6001,$V598))</f>
        <v/>
      </c>
      <c r="D598">
        <f>IF($V598="","",INDEX('Per Line'!$E$2:$E$6001,$V598)&amp;"")</f>
        <v/>
      </c>
      <c r="E598">
        <f>IF($V598="","",INDEX('Per Line'!$G$2:$G$6001,$V598)&amp;"")</f>
        <v/>
      </c>
      <c r="F598">
        <f>IF($V598="","",INDEX('Per Line'!$H$2:$H$6001,$V598)&amp;"")</f>
        <v/>
      </c>
      <c r="G598">
        <f>IF($V598="","",INDEX('Per Line'!$I$2:$I$6001,$V598)&amp;"")</f>
        <v/>
      </c>
      <c r="H598">
        <f>IF($V598="","",INDEX('Per Line'!$J$2:$J$6001,$V598))</f>
        <v/>
      </c>
      <c r="I598" s="7">
        <f>IF($V598="","",H598*S598/100)</f>
        <v/>
      </c>
      <c r="J598">
        <f>IF($V598="","",INDEX('Per Line'!$S$2:$S$6001,$V598)&amp;"")</f>
        <v/>
      </c>
      <c r="K598" s="7">
        <f>IF($V598="","",SUMIFS('Per Line'!$R$2:$R$6001,'Per Line'!$C$2:$C$6001,$B598,'Per Line'!$AJ$2:$AJ$6001,1))</f>
        <v/>
      </c>
      <c r="L598">
        <f>IF($V598="","",Settings!$C$7)</f>
        <v/>
      </c>
      <c r="M598" s="7">
        <f>IF($V598="","",SUMIFS('Per Line'!$R$2:$R$6001,'Per Line'!$C$2:$C$6001,$B598,'Per Line'!$AI$2:$AI$6001,0,'Per Line'!$AJ$2:$AJ$6001,0))</f>
        <v/>
      </c>
      <c r="N598" s="7">
        <f>IF($V598="","",M598*L598)</f>
        <v/>
      </c>
      <c r="O598">
        <f>IF($V598="","",Settings!$C$6)</f>
        <v/>
      </c>
      <c r="P598" s="7">
        <f>IF($V598="","",SUMIFS('Per Line'!$R$2:$R$6001,'Per Line'!$C$2:$C$6001,$B598,'Per Line'!$AI$2:$AI$6001,1,'Per Line'!$AJ$2:$AJ$6001,0))</f>
        <v/>
      </c>
      <c r="Q598" s="7">
        <f>IF($V598="","",P598*O598)</f>
        <v/>
      </c>
      <c r="R598" s="7">
        <f>IF($V598="","",Q598+N598)</f>
        <v/>
      </c>
      <c r="S598" s="7">
        <f>IF($V598="","",T598-R598)</f>
        <v/>
      </c>
      <c r="T598" s="7">
        <f>IF($V598="","",M598+P598+K598)</f>
        <v/>
      </c>
      <c r="U598" s="7">
        <f>IF($V598="","",T598-R598-I598)</f>
        <v/>
      </c>
      <c r="V598" s="13">
        <f>IF(ROWS($V$2:$V598)&lt;=MAX('Per Line'!$AH$2:$AH$6001),MATCH(ROWS($V$2:$V598),'Per Line'!$AH$2:$AH$6001,0),"")</f>
        <v/>
      </c>
    </row>
    <row r="599">
      <c r="A599" s="12" t="n"/>
      <c r="B599">
        <f>IF($V599="","",INDEX('Per Line'!$C$2:$C$6001,$V599)&amp;"")</f>
        <v/>
      </c>
      <c r="C599" s="11">
        <f>IF($V599="","",INDEX('Per Line'!$D$2:$D$6001,$V599))</f>
        <v/>
      </c>
      <c r="D599">
        <f>IF($V599="","",INDEX('Per Line'!$E$2:$E$6001,$V599)&amp;"")</f>
        <v/>
      </c>
      <c r="E599">
        <f>IF($V599="","",INDEX('Per Line'!$G$2:$G$6001,$V599)&amp;"")</f>
        <v/>
      </c>
      <c r="F599">
        <f>IF($V599="","",INDEX('Per Line'!$H$2:$H$6001,$V599)&amp;"")</f>
        <v/>
      </c>
      <c r="G599">
        <f>IF($V599="","",INDEX('Per Line'!$I$2:$I$6001,$V599)&amp;"")</f>
        <v/>
      </c>
      <c r="H599">
        <f>IF($V599="","",INDEX('Per Line'!$J$2:$J$6001,$V599))</f>
        <v/>
      </c>
      <c r="I599" s="7">
        <f>IF($V599="","",H599*S599/100)</f>
        <v/>
      </c>
      <c r="J599">
        <f>IF($V599="","",INDEX('Per Line'!$S$2:$S$6001,$V599)&amp;"")</f>
        <v/>
      </c>
      <c r="K599" s="7">
        <f>IF($V599="","",SUMIFS('Per Line'!$R$2:$R$6001,'Per Line'!$C$2:$C$6001,$B599,'Per Line'!$AJ$2:$AJ$6001,1))</f>
        <v/>
      </c>
      <c r="L599">
        <f>IF($V599="","",Settings!$C$7)</f>
        <v/>
      </c>
      <c r="M599" s="7">
        <f>IF($V599="","",SUMIFS('Per Line'!$R$2:$R$6001,'Per Line'!$C$2:$C$6001,$B599,'Per Line'!$AI$2:$AI$6001,0,'Per Line'!$AJ$2:$AJ$6001,0))</f>
        <v/>
      </c>
      <c r="N599" s="7">
        <f>IF($V599="","",M599*L599)</f>
        <v/>
      </c>
      <c r="O599">
        <f>IF($V599="","",Settings!$C$6)</f>
        <v/>
      </c>
      <c r="P599" s="7">
        <f>IF($V599="","",SUMIFS('Per Line'!$R$2:$R$6001,'Per Line'!$C$2:$C$6001,$B599,'Per Line'!$AI$2:$AI$6001,1,'Per Line'!$AJ$2:$AJ$6001,0))</f>
        <v/>
      </c>
      <c r="Q599" s="7">
        <f>IF($V599="","",P599*O599)</f>
        <v/>
      </c>
      <c r="R599" s="7">
        <f>IF($V599="","",Q599+N599)</f>
        <v/>
      </c>
      <c r="S599" s="7">
        <f>IF($V599="","",T599-R599)</f>
        <v/>
      </c>
      <c r="T599" s="7">
        <f>IF($V599="","",M599+P599+K599)</f>
        <v/>
      </c>
      <c r="U599" s="7">
        <f>IF($V599="","",T599-R599-I599)</f>
        <v/>
      </c>
      <c r="V599" s="13">
        <f>IF(ROWS($V$2:$V599)&lt;=MAX('Per Line'!$AH$2:$AH$6001),MATCH(ROWS($V$2:$V599),'Per Line'!$AH$2:$AH$6001,0),"")</f>
        <v/>
      </c>
    </row>
    <row r="600">
      <c r="A600" s="12" t="n"/>
      <c r="B600">
        <f>IF($V600="","",INDEX('Per Line'!$C$2:$C$6001,$V600)&amp;"")</f>
        <v/>
      </c>
      <c r="C600" s="11">
        <f>IF($V600="","",INDEX('Per Line'!$D$2:$D$6001,$V600))</f>
        <v/>
      </c>
      <c r="D600">
        <f>IF($V600="","",INDEX('Per Line'!$E$2:$E$6001,$V600)&amp;"")</f>
        <v/>
      </c>
      <c r="E600">
        <f>IF($V600="","",INDEX('Per Line'!$G$2:$G$6001,$V600)&amp;"")</f>
        <v/>
      </c>
      <c r="F600">
        <f>IF($V600="","",INDEX('Per Line'!$H$2:$H$6001,$V600)&amp;"")</f>
        <v/>
      </c>
      <c r="G600">
        <f>IF($V600="","",INDEX('Per Line'!$I$2:$I$6001,$V600)&amp;"")</f>
        <v/>
      </c>
      <c r="H600">
        <f>IF($V600="","",INDEX('Per Line'!$J$2:$J$6001,$V600))</f>
        <v/>
      </c>
      <c r="I600" s="7">
        <f>IF($V600="","",H600*S600/100)</f>
        <v/>
      </c>
      <c r="J600">
        <f>IF($V600="","",INDEX('Per Line'!$S$2:$S$6001,$V600)&amp;"")</f>
        <v/>
      </c>
      <c r="K600" s="7">
        <f>IF($V600="","",SUMIFS('Per Line'!$R$2:$R$6001,'Per Line'!$C$2:$C$6001,$B600,'Per Line'!$AJ$2:$AJ$6001,1))</f>
        <v/>
      </c>
      <c r="L600">
        <f>IF($V600="","",Settings!$C$7)</f>
        <v/>
      </c>
      <c r="M600" s="7">
        <f>IF($V600="","",SUMIFS('Per Line'!$R$2:$R$6001,'Per Line'!$C$2:$C$6001,$B600,'Per Line'!$AI$2:$AI$6001,0,'Per Line'!$AJ$2:$AJ$6001,0))</f>
        <v/>
      </c>
      <c r="N600" s="7">
        <f>IF($V600="","",M600*L600)</f>
        <v/>
      </c>
      <c r="O600">
        <f>IF($V600="","",Settings!$C$6)</f>
        <v/>
      </c>
      <c r="P600" s="7">
        <f>IF($V600="","",SUMIFS('Per Line'!$R$2:$R$6001,'Per Line'!$C$2:$C$6001,$B600,'Per Line'!$AI$2:$AI$6001,1,'Per Line'!$AJ$2:$AJ$6001,0))</f>
        <v/>
      </c>
      <c r="Q600" s="7">
        <f>IF($V600="","",P600*O600)</f>
        <v/>
      </c>
      <c r="R600" s="7">
        <f>IF($V600="","",Q600+N600)</f>
        <v/>
      </c>
      <c r="S600" s="7">
        <f>IF($V600="","",T600-R600)</f>
        <v/>
      </c>
      <c r="T600" s="7">
        <f>IF($V600="","",M600+P600+K600)</f>
        <v/>
      </c>
      <c r="U600" s="7">
        <f>IF($V600="","",T600-R600-I600)</f>
        <v/>
      </c>
      <c r="V600" s="13">
        <f>IF(ROWS($V$2:$V600)&lt;=MAX('Per Line'!$AH$2:$AH$6001),MATCH(ROWS($V$2:$V600),'Per Line'!$AH$2:$AH$6001,0),"")</f>
        <v/>
      </c>
    </row>
    <row r="601">
      <c r="A601" s="12" t="n"/>
      <c r="B601">
        <f>IF($V601="","",INDEX('Per Line'!$C$2:$C$6001,$V601)&amp;"")</f>
        <v/>
      </c>
      <c r="C601" s="11">
        <f>IF($V601="","",INDEX('Per Line'!$D$2:$D$6001,$V601))</f>
        <v/>
      </c>
      <c r="D601">
        <f>IF($V601="","",INDEX('Per Line'!$E$2:$E$6001,$V601)&amp;"")</f>
        <v/>
      </c>
      <c r="E601">
        <f>IF($V601="","",INDEX('Per Line'!$G$2:$G$6001,$V601)&amp;"")</f>
        <v/>
      </c>
      <c r="F601">
        <f>IF($V601="","",INDEX('Per Line'!$H$2:$H$6001,$V601)&amp;"")</f>
        <v/>
      </c>
      <c r="G601">
        <f>IF($V601="","",INDEX('Per Line'!$I$2:$I$6001,$V601)&amp;"")</f>
        <v/>
      </c>
      <c r="H601">
        <f>IF($V601="","",INDEX('Per Line'!$J$2:$J$6001,$V601))</f>
        <v/>
      </c>
      <c r="I601" s="7">
        <f>IF($V601="","",H601*S601/100)</f>
        <v/>
      </c>
      <c r="J601">
        <f>IF($V601="","",INDEX('Per Line'!$S$2:$S$6001,$V601)&amp;"")</f>
        <v/>
      </c>
      <c r="K601" s="7">
        <f>IF($V601="","",SUMIFS('Per Line'!$R$2:$R$6001,'Per Line'!$C$2:$C$6001,$B601,'Per Line'!$AJ$2:$AJ$6001,1))</f>
        <v/>
      </c>
      <c r="L601">
        <f>IF($V601="","",Settings!$C$7)</f>
        <v/>
      </c>
      <c r="M601" s="7">
        <f>IF($V601="","",SUMIFS('Per Line'!$R$2:$R$6001,'Per Line'!$C$2:$C$6001,$B601,'Per Line'!$AI$2:$AI$6001,0,'Per Line'!$AJ$2:$AJ$6001,0))</f>
        <v/>
      </c>
      <c r="N601" s="7">
        <f>IF($V601="","",M601*L601)</f>
        <v/>
      </c>
      <c r="O601">
        <f>IF($V601="","",Settings!$C$6)</f>
        <v/>
      </c>
      <c r="P601" s="7">
        <f>IF($V601="","",SUMIFS('Per Line'!$R$2:$R$6001,'Per Line'!$C$2:$C$6001,$B601,'Per Line'!$AI$2:$AI$6001,1,'Per Line'!$AJ$2:$AJ$6001,0))</f>
        <v/>
      </c>
      <c r="Q601" s="7">
        <f>IF($V601="","",P601*O601)</f>
        <v/>
      </c>
      <c r="R601" s="7">
        <f>IF($V601="","",Q601+N601)</f>
        <v/>
      </c>
      <c r="S601" s="7">
        <f>IF($V601="","",T601-R601)</f>
        <v/>
      </c>
      <c r="T601" s="7">
        <f>IF($V601="","",M601+P601+K601)</f>
        <v/>
      </c>
      <c r="U601" s="7">
        <f>IF($V601="","",T601-R601-I601)</f>
        <v/>
      </c>
      <c r="V601" s="13">
        <f>IF(ROWS($V$2:$V601)&lt;=MAX('Per Line'!$AH$2:$AH$6001),MATCH(ROWS($V$2:$V601),'Per Line'!$AH$2:$AH$6001,0),"")</f>
        <v/>
      </c>
    </row>
    <row r="602">
      <c r="A602" s="12" t="n"/>
      <c r="B602">
        <f>IF($V602="","",INDEX('Per Line'!$C$2:$C$6001,$V602)&amp;"")</f>
        <v/>
      </c>
      <c r="C602" s="11">
        <f>IF($V602="","",INDEX('Per Line'!$D$2:$D$6001,$V602))</f>
        <v/>
      </c>
      <c r="D602">
        <f>IF($V602="","",INDEX('Per Line'!$E$2:$E$6001,$V602)&amp;"")</f>
        <v/>
      </c>
      <c r="E602">
        <f>IF($V602="","",INDEX('Per Line'!$G$2:$G$6001,$V602)&amp;"")</f>
        <v/>
      </c>
      <c r="F602">
        <f>IF($V602="","",INDEX('Per Line'!$H$2:$H$6001,$V602)&amp;"")</f>
        <v/>
      </c>
      <c r="G602">
        <f>IF($V602="","",INDEX('Per Line'!$I$2:$I$6001,$V602)&amp;"")</f>
        <v/>
      </c>
      <c r="H602">
        <f>IF($V602="","",INDEX('Per Line'!$J$2:$J$6001,$V602))</f>
        <v/>
      </c>
      <c r="I602" s="7">
        <f>IF($V602="","",H602*S602/100)</f>
        <v/>
      </c>
      <c r="J602">
        <f>IF($V602="","",INDEX('Per Line'!$S$2:$S$6001,$V602)&amp;"")</f>
        <v/>
      </c>
      <c r="K602" s="7">
        <f>IF($V602="","",SUMIFS('Per Line'!$R$2:$R$6001,'Per Line'!$C$2:$C$6001,$B602,'Per Line'!$AJ$2:$AJ$6001,1))</f>
        <v/>
      </c>
      <c r="L602">
        <f>IF($V602="","",Settings!$C$7)</f>
        <v/>
      </c>
      <c r="M602" s="7">
        <f>IF($V602="","",SUMIFS('Per Line'!$R$2:$R$6001,'Per Line'!$C$2:$C$6001,$B602,'Per Line'!$AI$2:$AI$6001,0,'Per Line'!$AJ$2:$AJ$6001,0))</f>
        <v/>
      </c>
      <c r="N602" s="7">
        <f>IF($V602="","",M602*L602)</f>
        <v/>
      </c>
      <c r="O602">
        <f>IF($V602="","",Settings!$C$6)</f>
        <v/>
      </c>
      <c r="P602" s="7">
        <f>IF($V602="","",SUMIFS('Per Line'!$R$2:$R$6001,'Per Line'!$C$2:$C$6001,$B602,'Per Line'!$AI$2:$AI$6001,1,'Per Line'!$AJ$2:$AJ$6001,0))</f>
        <v/>
      </c>
      <c r="Q602" s="7">
        <f>IF($V602="","",P602*O602)</f>
        <v/>
      </c>
      <c r="R602" s="7">
        <f>IF($V602="","",Q602+N602)</f>
        <v/>
      </c>
      <c r="S602" s="7">
        <f>IF($V602="","",T602-R602)</f>
        <v/>
      </c>
      <c r="T602" s="7">
        <f>IF($V602="","",M602+P602+K602)</f>
        <v/>
      </c>
      <c r="U602" s="7">
        <f>IF($V602="","",T602-R602-I602)</f>
        <v/>
      </c>
      <c r="V602" s="13">
        <f>IF(ROWS($V$2:$V602)&lt;=MAX('Per Line'!$AH$2:$AH$6001),MATCH(ROWS($V$2:$V602),'Per Line'!$AH$2:$AH$6001,0),"")</f>
        <v/>
      </c>
    </row>
    <row r="603">
      <c r="A603" s="12" t="n"/>
      <c r="B603">
        <f>IF($V603="","",INDEX('Per Line'!$C$2:$C$6001,$V603)&amp;"")</f>
        <v/>
      </c>
      <c r="C603" s="11">
        <f>IF($V603="","",INDEX('Per Line'!$D$2:$D$6001,$V603))</f>
        <v/>
      </c>
      <c r="D603">
        <f>IF($V603="","",INDEX('Per Line'!$E$2:$E$6001,$V603)&amp;"")</f>
        <v/>
      </c>
      <c r="E603">
        <f>IF($V603="","",INDEX('Per Line'!$G$2:$G$6001,$V603)&amp;"")</f>
        <v/>
      </c>
      <c r="F603">
        <f>IF($V603="","",INDEX('Per Line'!$H$2:$H$6001,$V603)&amp;"")</f>
        <v/>
      </c>
      <c r="G603">
        <f>IF($V603="","",INDEX('Per Line'!$I$2:$I$6001,$V603)&amp;"")</f>
        <v/>
      </c>
      <c r="H603">
        <f>IF($V603="","",INDEX('Per Line'!$J$2:$J$6001,$V603))</f>
        <v/>
      </c>
      <c r="I603" s="7">
        <f>IF($V603="","",H603*S603/100)</f>
        <v/>
      </c>
      <c r="J603">
        <f>IF($V603="","",INDEX('Per Line'!$S$2:$S$6001,$V603)&amp;"")</f>
        <v/>
      </c>
      <c r="K603" s="7">
        <f>IF($V603="","",SUMIFS('Per Line'!$R$2:$R$6001,'Per Line'!$C$2:$C$6001,$B603,'Per Line'!$AJ$2:$AJ$6001,1))</f>
        <v/>
      </c>
      <c r="L603">
        <f>IF($V603="","",Settings!$C$7)</f>
        <v/>
      </c>
      <c r="M603" s="7">
        <f>IF($V603="","",SUMIFS('Per Line'!$R$2:$R$6001,'Per Line'!$C$2:$C$6001,$B603,'Per Line'!$AI$2:$AI$6001,0,'Per Line'!$AJ$2:$AJ$6001,0))</f>
        <v/>
      </c>
      <c r="N603" s="7">
        <f>IF($V603="","",M603*L603)</f>
        <v/>
      </c>
      <c r="O603">
        <f>IF($V603="","",Settings!$C$6)</f>
        <v/>
      </c>
      <c r="P603" s="7">
        <f>IF($V603="","",SUMIFS('Per Line'!$R$2:$R$6001,'Per Line'!$C$2:$C$6001,$B603,'Per Line'!$AI$2:$AI$6001,1,'Per Line'!$AJ$2:$AJ$6001,0))</f>
        <v/>
      </c>
      <c r="Q603" s="7">
        <f>IF($V603="","",P603*O603)</f>
        <v/>
      </c>
      <c r="R603" s="7">
        <f>IF($V603="","",Q603+N603)</f>
        <v/>
      </c>
      <c r="S603" s="7">
        <f>IF($V603="","",T603-R603)</f>
        <v/>
      </c>
      <c r="T603" s="7">
        <f>IF($V603="","",M603+P603+K603)</f>
        <v/>
      </c>
      <c r="U603" s="7">
        <f>IF($V603="","",T603-R603-I603)</f>
        <v/>
      </c>
      <c r="V603" s="13">
        <f>IF(ROWS($V$2:$V603)&lt;=MAX('Per Line'!$AH$2:$AH$6001),MATCH(ROWS($V$2:$V603),'Per Line'!$AH$2:$AH$6001,0),"")</f>
        <v/>
      </c>
    </row>
    <row r="604">
      <c r="A604" s="12" t="n"/>
      <c r="B604">
        <f>IF($V604="","",INDEX('Per Line'!$C$2:$C$6001,$V604)&amp;"")</f>
        <v/>
      </c>
      <c r="C604" s="11">
        <f>IF($V604="","",INDEX('Per Line'!$D$2:$D$6001,$V604))</f>
        <v/>
      </c>
      <c r="D604">
        <f>IF($V604="","",INDEX('Per Line'!$E$2:$E$6001,$V604)&amp;"")</f>
        <v/>
      </c>
      <c r="E604">
        <f>IF($V604="","",INDEX('Per Line'!$G$2:$G$6001,$V604)&amp;"")</f>
        <v/>
      </c>
      <c r="F604">
        <f>IF($V604="","",INDEX('Per Line'!$H$2:$H$6001,$V604)&amp;"")</f>
        <v/>
      </c>
      <c r="G604">
        <f>IF($V604="","",INDEX('Per Line'!$I$2:$I$6001,$V604)&amp;"")</f>
        <v/>
      </c>
      <c r="H604">
        <f>IF($V604="","",INDEX('Per Line'!$J$2:$J$6001,$V604))</f>
        <v/>
      </c>
      <c r="I604" s="7">
        <f>IF($V604="","",H604*S604/100)</f>
        <v/>
      </c>
      <c r="J604">
        <f>IF($V604="","",INDEX('Per Line'!$S$2:$S$6001,$V604)&amp;"")</f>
        <v/>
      </c>
      <c r="K604" s="7">
        <f>IF($V604="","",SUMIFS('Per Line'!$R$2:$R$6001,'Per Line'!$C$2:$C$6001,$B604,'Per Line'!$AJ$2:$AJ$6001,1))</f>
        <v/>
      </c>
      <c r="L604">
        <f>IF($V604="","",Settings!$C$7)</f>
        <v/>
      </c>
      <c r="M604" s="7">
        <f>IF($V604="","",SUMIFS('Per Line'!$R$2:$R$6001,'Per Line'!$C$2:$C$6001,$B604,'Per Line'!$AI$2:$AI$6001,0,'Per Line'!$AJ$2:$AJ$6001,0))</f>
        <v/>
      </c>
      <c r="N604" s="7">
        <f>IF($V604="","",M604*L604)</f>
        <v/>
      </c>
      <c r="O604">
        <f>IF($V604="","",Settings!$C$6)</f>
        <v/>
      </c>
      <c r="P604" s="7">
        <f>IF($V604="","",SUMIFS('Per Line'!$R$2:$R$6001,'Per Line'!$C$2:$C$6001,$B604,'Per Line'!$AI$2:$AI$6001,1,'Per Line'!$AJ$2:$AJ$6001,0))</f>
        <v/>
      </c>
      <c r="Q604" s="7">
        <f>IF($V604="","",P604*O604)</f>
        <v/>
      </c>
      <c r="R604" s="7">
        <f>IF($V604="","",Q604+N604)</f>
        <v/>
      </c>
      <c r="S604" s="7">
        <f>IF($V604="","",T604-R604)</f>
        <v/>
      </c>
      <c r="T604" s="7">
        <f>IF($V604="","",M604+P604+K604)</f>
        <v/>
      </c>
      <c r="U604" s="7">
        <f>IF($V604="","",T604-R604-I604)</f>
        <v/>
      </c>
      <c r="V604" s="13">
        <f>IF(ROWS($V$2:$V604)&lt;=MAX('Per Line'!$AH$2:$AH$6001),MATCH(ROWS($V$2:$V604),'Per Line'!$AH$2:$AH$6001,0),"")</f>
        <v/>
      </c>
    </row>
    <row r="605">
      <c r="A605" s="12" t="n"/>
      <c r="B605">
        <f>IF($V605="","",INDEX('Per Line'!$C$2:$C$6001,$V605)&amp;"")</f>
        <v/>
      </c>
      <c r="C605" s="11">
        <f>IF($V605="","",INDEX('Per Line'!$D$2:$D$6001,$V605))</f>
        <v/>
      </c>
      <c r="D605">
        <f>IF($V605="","",INDEX('Per Line'!$E$2:$E$6001,$V605)&amp;"")</f>
        <v/>
      </c>
      <c r="E605">
        <f>IF($V605="","",INDEX('Per Line'!$G$2:$G$6001,$V605)&amp;"")</f>
        <v/>
      </c>
      <c r="F605">
        <f>IF($V605="","",INDEX('Per Line'!$H$2:$H$6001,$V605)&amp;"")</f>
        <v/>
      </c>
      <c r="G605">
        <f>IF($V605="","",INDEX('Per Line'!$I$2:$I$6001,$V605)&amp;"")</f>
        <v/>
      </c>
      <c r="H605">
        <f>IF($V605="","",INDEX('Per Line'!$J$2:$J$6001,$V605))</f>
        <v/>
      </c>
      <c r="I605" s="7">
        <f>IF($V605="","",H605*S605/100)</f>
        <v/>
      </c>
      <c r="J605">
        <f>IF($V605="","",INDEX('Per Line'!$S$2:$S$6001,$V605)&amp;"")</f>
        <v/>
      </c>
      <c r="K605" s="7">
        <f>IF($V605="","",SUMIFS('Per Line'!$R$2:$R$6001,'Per Line'!$C$2:$C$6001,$B605,'Per Line'!$AJ$2:$AJ$6001,1))</f>
        <v/>
      </c>
      <c r="L605">
        <f>IF($V605="","",Settings!$C$7)</f>
        <v/>
      </c>
      <c r="M605" s="7">
        <f>IF($V605="","",SUMIFS('Per Line'!$R$2:$R$6001,'Per Line'!$C$2:$C$6001,$B605,'Per Line'!$AI$2:$AI$6001,0,'Per Line'!$AJ$2:$AJ$6001,0))</f>
        <v/>
      </c>
      <c r="N605" s="7">
        <f>IF($V605="","",M605*L605)</f>
        <v/>
      </c>
      <c r="O605">
        <f>IF($V605="","",Settings!$C$6)</f>
        <v/>
      </c>
      <c r="P605" s="7">
        <f>IF($V605="","",SUMIFS('Per Line'!$R$2:$R$6001,'Per Line'!$C$2:$C$6001,$B605,'Per Line'!$AI$2:$AI$6001,1,'Per Line'!$AJ$2:$AJ$6001,0))</f>
        <v/>
      </c>
      <c r="Q605" s="7">
        <f>IF($V605="","",P605*O605)</f>
        <v/>
      </c>
      <c r="R605" s="7">
        <f>IF($V605="","",Q605+N605)</f>
        <v/>
      </c>
      <c r="S605" s="7">
        <f>IF($V605="","",T605-R605)</f>
        <v/>
      </c>
      <c r="T605" s="7">
        <f>IF($V605="","",M605+P605+K605)</f>
        <v/>
      </c>
      <c r="U605" s="7">
        <f>IF($V605="","",T605-R605-I605)</f>
        <v/>
      </c>
      <c r="V605" s="13">
        <f>IF(ROWS($V$2:$V605)&lt;=MAX('Per Line'!$AH$2:$AH$6001),MATCH(ROWS($V$2:$V605),'Per Line'!$AH$2:$AH$6001,0),"")</f>
        <v/>
      </c>
    </row>
    <row r="606">
      <c r="A606" s="12" t="n"/>
      <c r="B606">
        <f>IF($V606="","",INDEX('Per Line'!$C$2:$C$6001,$V606)&amp;"")</f>
        <v/>
      </c>
      <c r="C606" s="11">
        <f>IF($V606="","",INDEX('Per Line'!$D$2:$D$6001,$V606))</f>
        <v/>
      </c>
      <c r="D606">
        <f>IF($V606="","",INDEX('Per Line'!$E$2:$E$6001,$V606)&amp;"")</f>
        <v/>
      </c>
      <c r="E606">
        <f>IF($V606="","",INDEX('Per Line'!$G$2:$G$6001,$V606)&amp;"")</f>
        <v/>
      </c>
      <c r="F606">
        <f>IF($V606="","",INDEX('Per Line'!$H$2:$H$6001,$V606)&amp;"")</f>
        <v/>
      </c>
      <c r="G606">
        <f>IF($V606="","",INDEX('Per Line'!$I$2:$I$6001,$V606)&amp;"")</f>
        <v/>
      </c>
      <c r="H606">
        <f>IF($V606="","",INDEX('Per Line'!$J$2:$J$6001,$V606))</f>
        <v/>
      </c>
      <c r="I606" s="7">
        <f>IF($V606="","",H606*S606/100)</f>
        <v/>
      </c>
      <c r="J606">
        <f>IF($V606="","",INDEX('Per Line'!$S$2:$S$6001,$V606)&amp;"")</f>
        <v/>
      </c>
      <c r="K606" s="7">
        <f>IF($V606="","",SUMIFS('Per Line'!$R$2:$R$6001,'Per Line'!$C$2:$C$6001,$B606,'Per Line'!$AJ$2:$AJ$6001,1))</f>
        <v/>
      </c>
      <c r="L606">
        <f>IF($V606="","",Settings!$C$7)</f>
        <v/>
      </c>
      <c r="M606" s="7">
        <f>IF($V606="","",SUMIFS('Per Line'!$R$2:$R$6001,'Per Line'!$C$2:$C$6001,$B606,'Per Line'!$AI$2:$AI$6001,0,'Per Line'!$AJ$2:$AJ$6001,0))</f>
        <v/>
      </c>
      <c r="N606" s="7">
        <f>IF($V606="","",M606*L606)</f>
        <v/>
      </c>
      <c r="O606">
        <f>IF($V606="","",Settings!$C$6)</f>
        <v/>
      </c>
      <c r="P606" s="7">
        <f>IF($V606="","",SUMIFS('Per Line'!$R$2:$R$6001,'Per Line'!$C$2:$C$6001,$B606,'Per Line'!$AI$2:$AI$6001,1,'Per Line'!$AJ$2:$AJ$6001,0))</f>
        <v/>
      </c>
      <c r="Q606" s="7">
        <f>IF($V606="","",P606*O606)</f>
        <v/>
      </c>
      <c r="R606" s="7">
        <f>IF($V606="","",Q606+N606)</f>
        <v/>
      </c>
      <c r="S606" s="7">
        <f>IF($V606="","",T606-R606)</f>
        <v/>
      </c>
      <c r="T606" s="7">
        <f>IF($V606="","",M606+P606+K606)</f>
        <v/>
      </c>
      <c r="U606" s="7">
        <f>IF($V606="","",T606-R606-I606)</f>
        <v/>
      </c>
      <c r="V606" s="13">
        <f>IF(ROWS($V$2:$V606)&lt;=MAX('Per Line'!$AH$2:$AH$6001),MATCH(ROWS($V$2:$V606),'Per Line'!$AH$2:$AH$6001,0),"")</f>
        <v/>
      </c>
    </row>
    <row r="607">
      <c r="A607" s="12" t="n"/>
      <c r="B607">
        <f>IF($V607="","",INDEX('Per Line'!$C$2:$C$6001,$V607)&amp;"")</f>
        <v/>
      </c>
      <c r="C607" s="11">
        <f>IF($V607="","",INDEX('Per Line'!$D$2:$D$6001,$V607))</f>
        <v/>
      </c>
      <c r="D607">
        <f>IF($V607="","",INDEX('Per Line'!$E$2:$E$6001,$V607)&amp;"")</f>
        <v/>
      </c>
      <c r="E607">
        <f>IF($V607="","",INDEX('Per Line'!$G$2:$G$6001,$V607)&amp;"")</f>
        <v/>
      </c>
      <c r="F607">
        <f>IF($V607="","",INDEX('Per Line'!$H$2:$H$6001,$V607)&amp;"")</f>
        <v/>
      </c>
      <c r="G607">
        <f>IF($V607="","",INDEX('Per Line'!$I$2:$I$6001,$V607)&amp;"")</f>
        <v/>
      </c>
      <c r="H607">
        <f>IF($V607="","",INDEX('Per Line'!$J$2:$J$6001,$V607))</f>
        <v/>
      </c>
      <c r="I607" s="7">
        <f>IF($V607="","",H607*S607/100)</f>
        <v/>
      </c>
      <c r="J607">
        <f>IF($V607="","",INDEX('Per Line'!$S$2:$S$6001,$V607)&amp;"")</f>
        <v/>
      </c>
      <c r="K607" s="7">
        <f>IF($V607="","",SUMIFS('Per Line'!$R$2:$R$6001,'Per Line'!$C$2:$C$6001,$B607,'Per Line'!$AJ$2:$AJ$6001,1))</f>
        <v/>
      </c>
      <c r="L607">
        <f>IF($V607="","",Settings!$C$7)</f>
        <v/>
      </c>
      <c r="M607" s="7">
        <f>IF($V607="","",SUMIFS('Per Line'!$R$2:$R$6001,'Per Line'!$C$2:$C$6001,$B607,'Per Line'!$AI$2:$AI$6001,0,'Per Line'!$AJ$2:$AJ$6001,0))</f>
        <v/>
      </c>
      <c r="N607" s="7">
        <f>IF($V607="","",M607*L607)</f>
        <v/>
      </c>
      <c r="O607">
        <f>IF($V607="","",Settings!$C$6)</f>
        <v/>
      </c>
      <c r="P607" s="7">
        <f>IF($V607="","",SUMIFS('Per Line'!$R$2:$R$6001,'Per Line'!$C$2:$C$6001,$B607,'Per Line'!$AI$2:$AI$6001,1,'Per Line'!$AJ$2:$AJ$6001,0))</f>
        <v/>
      </c>
      <c r="Q607" s="7">
        <f>IF($V607="","",P607*O607)</f>
        <v/>
      </c>
      <c r="R607" s="7">
        <f>IF($V607="","",Q607+N607)</f>
        <v/>
      </c>
      <c r="S607" s="7">
        <f>IF($V607="","",T607-R607)</f>
        <v/>
      </c>
      <c r="T607" s="7">
        <f>IF($V607="","",M607+P607+K607)</f>
        <v/>
      </c>
      <c r="U607" s="7">
        <f>IF($V607="","",T607-R607-I607)</f>
        <v/>
      </c>
      <c r="V607" s="13">
        <f>IF(ROWS($V$2:$V607)&lt;=MAX('Per Line'!$AH$2:$AH$6001),MATCH(ROWS($V$2:$V607),'Per Line'!$AH$2:$AH$6001,0),"")</f>
        <v/>
      </c>
    </row>
    <row r="608">
      <c r="A608" s="12" t="n"/>
      <c r="B608">
        <f>IF($V608="","",INDEX('Per Line'!$C$2:$C$6001,$V608)&amp;"")</f>
        <v/>
      </c>
      <c r="C608" s="11">
        <f>IF($V608="","",INDEX('Per Line'!$D$2:$D$6001,$V608))</f>
        <v/>
      </c>
      <c r="D608">
        <f>IF($V608="","",INDEX('Per Line'!$E$2:$E$6001,$V608)&amp;"")</f>
        <v/>
      </c>
      <c r="E608">
        <f>IF($V608="","",INDEX('Per Line'!$G$2:$G$6001,$V608)&amp;"")</f>
        <v/>
      </c>
      <c r="F608">
        <f>IF($V608="","",INDEX('Per Line'!$H$2:$H$6001,$V608)&amp;"")</f>
        <v/>
      </c>
      <c r="G608">
        <f>IF($V608="","",INDEX('Per Line'!$I$2:$I$6001,$V608)&amp;"")</f>
        <v/>
      </c>
      <c r="H608">
        <f>IF($V608="","",INDEX('Per Line'!$J$2:$J$6001,$V608))</f>
        <v/>
      </c>
      <c r="I608" s="7">
        <f>IF($V608="","",H608*S608/100)</f>
        <v/>
      </c>
      <c r="J608">
        <f>IF($V608="","",INDEX('Per Line'!$S$2:$S$6001,$V608)&amp;"")</f>
        <v/>
      </c>
      <c r="K608" s="7">
        <f>IF($V608="","",SUMIFS('Per Line'!$R$2:$R$6001,'Per Line'!$C$2:$C$6001,$B608,'Per Line'!$AJ$2:$AJ$6001,1))</f>
        <v/>
      </c>
      <c r="L608">
        <f>IF($V608="","",Settings!$C$7)</f>
        <v/>
      </c>
      <c r="M608" s="7">
        <f>IF($V608="","",SUMIFS('Per Line'!$R$2:$R$6001,'Per Line'!$C$2:$C$6001,$B608,'Per Line'!$AI$2:$AI$6001,0,'Per Line'!$AJ$2:$AJ$6001,0))</f>
        <v/>
      </c>
      <c r="N608" s="7">
        <f>IF($V608="","",M608*L608)</f>
        <v/>
      </c>
      <c r="O608">
        <f>IF($V608="","",Settings!$C$6)</f>
        <v/>
      </c>
      <c r="P608" s="7">
        <f>IF($V608="","",SUMIFS('Per Line'!$R$2:$R$6001,'Per Line'!$C$2:$C$6001,$B608,'Per Line'!$AI$2:$AI$6001,1,'Per Line'!$AJ$2:$AJ$6001,0))</f>
        <v/>
      </c>
      <c r="Q608" s="7">
        <f>IF($V608="","",P608*O608)</f>
        <v/>
      </c>
      <c r="R608" s="7">
        <f>IF($V608="","",Q608+N608)</f>
        <v/>
      </c>
      <c r="S608" s="7">
        <f>IF($V608="","",T608-R608)</f>
        <v/>
      </c>
      <c r="T608" s="7">
        <f>IF($V608="","",M608+P608+K608)</f>
        <v/>
      </c>
      <c r="U608" s="7">
        <f>IF($V608="","",T608-R608-I608)</f>
        <v/>
      </c>
      <c r="V608" s="13">
        <f>IF(ROWS($V$2:$V608)&lt;=MAX('Per Line'!$AH$2:$AH$6001),MATCH(ROWS($V$2:$V608),'Per Line'!$AH$2:$AH$6001,0),"")</f>
        <v/>
      </c>
    </row>
    <row r="609">
      <c r="A609" s="12" t="n"/>
      <c r="B609">
        <f>IF($V609="","",INDEX('Per Line'!$C$2:$C$6001,$V609)&amp;"")</f>
        <v/>
      </c>
      <c r="C609" s="11">
        <f>IF($V609="","",INDEX('Per Line'!$D$2:$D$6001,$V609))</f>
        <v/>
      </c>
      <c r="D609">
        <f>IF($V609="","",INDEX('Per Line'!$E$2:$E$6001,$V609)&amp;"")</f>
        <v/>
      </c>
      <c r="E609">
        <f>IF($V609="","",INDEX('Per Line'!$G$2:$G$6001,$V609)&amp;"")</f>
        <v/>
      </c>
      <c r="F609">
        <f>IF($V609="","",INDEX('Per Line'!$H$2:$H$6001,$V609)&amp;"")</f>
        <v/>
      </c>
      <c r="G609">
        <f>IF($V609="","",INDEX('Per Line'!$I$2:$I$6001,$V609)&amp;"")</f>
        <v/>
      </c>
      <c r="H609">
        <f>IF($V609="","",INDEX('Per Line'!$J$2:$J$6001,$V609))</f>
        <v/>
      </c>
      <c r="I609" s="7">
        <f>IF($V609="","",H609*S609/100)</f>
        <v/>
      </c>
      <c r="J609">
        <f>IF($V609="","",INDEX('Per Line'!$S$2:$S$6001,$V609)&amp;"")</f>
        <v/>
      </c>
      <c r="K609" s="7">
        <f>IF($V609="","",SUMIFS('Per Line'!$R$2:$R$6001,'Per Line'!$C$2:$C$6001,$B609,'Per Line'!$AJ$2:$AJ$6001,1))</f>
        <v/>
      </c>
      <c r="L609">
        <f>IF($V609="","",Settings!$C$7)</f>
        <v/>
      </c>
      <c r="M609" s="7">
        <f>IF($V609="","",SUMIFS('Per Line'!$R$2:$R$6001,'Per Line'!$C$2:$C$6001,$B609,'Per Line'!$AI$2:$AI$6001,0,'Per Line'!$AJ$2:$AJ$6001,0))</f>
        <v/>
      </c>
      <c r="N609" s="7">
        <f>IF($V609="","",M609*L609)</f>
        <v/>
      </c>
      <c r="O609">
        <f>IF($V609="","",Settings!$C$6)</f>
        <v/>
      </c>
      <c r="P609" s="7">
        <f>IF($V609="","",SUMIFS('Per Line'!$R$2:$R$6001,'Per Line'!$C$2:$C$6001,$B609,'Per Line'!$AI$2:$AI$6001,1,'Per Line'!$AJ$2:$AJ$6001,0))</f>
        <v/>
      </c>
      <c r="Q609" s="7">
        <f>IF($V609="","",P609*O609)</f>
        <v/>
      </c>
      <c r="R609" s="7">
        <f>IF($V609="","",Q609+N609)</f>
        <v/>
      </c>
      <c r="S609" s="7">
        <f>IF($V609="","",T609-R609)</f>
        <v/>
      </c>
      <c r="T609" s="7">
        <f>IF($V609="","",M609+P609+K609)</f>
        <v/>
      </c>
      <c r="U609" s="7">
        <f>IF($V609="","",T609-R609-I609)</f>
        <v/>
      </c>
      <c r="V609" s="13">
        <f>IF(ROWS($V$2:$V609)&lt;=MAX('Per Line'!$AH$2:$AH$6001),MATCH(ROWS($V$2:$V609),'Per Line'!$AH$2:$AH$6001,0),"")</f>
        <v/>
      </c>
    </row>
    <row r="610">
      <c r="A610" s="12" t="n"/>
      <c r="B610">
        <f>IF($V610="","",INDEX('Per Line'!$C$2:$C$6001,$V610)&amp;"")</f>
        <v/>
      </c>
      <c r="C610" s="11">
        <f>IF($V610="","",INDEX('Per Line'!$D$2:$D$6001,$V610))</f>
        <v/>
      </c>
      <c r="D610">
        <f>IF($V610="","",INDEX('Per Line'!$E$2:$E$6001,$V610)&amp;"")</f>
        <v/>
      </c>
      <c r="E610">
        <f>IF($V610="","",INDEX('Per Line'!$G$2:$G$6001,$V610)&amp;"")</f>
        <v/>
      </c>
      <c r="F610">
        <f>IF($V610="","",INDEX('Per Line'!$H$2:$H$6001,$V610)&amp;"")</f>
        <v/>
      </c>
      <c r="G610">
        <f>IF($V610="","",INDEX('Per Line'!$I$2:$I$6001,$V610)&amp;"")</f>
        <v/>
      </c>
      <c r="H610">
        <f>IF($V610="","",INDEX('Per Line'!$J$2:$J$6001,$V610))</f>
        <v/>
      </c>
      <c r="I610" s="7">
        <f>IF($V610="","",H610*S610/100)</f>
        <v/>
      </c>
      <c r="J610">
        <f>IF($V610="","",INDEX('Per Line'!$S$2:$S$6001,$V610)&amp;"")</f>
        <v/>
      </c>
      <c r="K610" s="7">
        <f>IF($V610="","",SUMIFS('Per Line'!$R$2:$R$6001,'Per Line'!$C$2:$C$6001,$B610,'Per Line'!$AJ$2:$AJ$6001,1))</f>
        <v/>
      </c>
      <c r="L610">
        <f>IF($V610="","",Settings!$C$7)</f>
        <v/>
      </c>
      <c r="M610" s="7">
        <f>IF($V610="","",SUMIFS('Per Line'!$R$2:$R$6001,'Per Line'!$C$2:$C$6001,$B610,'Per Line'!$AI$2:$AI$6001,0,'Per Line'!$AJ$2:$AJ$6001,0))</f>
        <v/>
      </c>
      <c r="N610" s="7">
        <f>IF($V610="","",M610*L610)</f>
        <v/>
      </c>
      <c r="O610">
        <f>IF($V610="","",Settings!$C$6)</f>
        <v/>
      </c>
      <c r="P610" s="7">
        <f>IF($V610="","",SUMIFS('Per Line'!$R$2:$R$6001,'Per Line'!$C$2:$C$6001,$B610,'Per Line'!$AI$2:$AI$6001,1,'Per Line'!$AJ$2:$AJ$6001,0))</f>
        <v/>
      </c>
      <c r="Q610" s="7">
        <f>IF($V610="","",P610*O610)</f>
        <v/>
      </c>
      <c r="R610" s="7">
        <f>IF($V610="","",Q610+N610)</f>
        <v/>
      </c>
      <c r="S610" s="7">
        <f>IF($V610="","",T610-R610)</f>
        <v/>
      </c>
      <c r="T610" s="7">
        <f>IF($V610="","",M610+P610+K610)</f>
        <v/>
      </c>
      <c r="U610" s="7">
        <f>IF($V610="","",T610-R610-I610)</f>
        <v/>
      </c>
      <c r="V610" s="13">
        <f>IF(ROWS($V$2:$V610)&lt;=MAX('Per Line'!$AH$2:$AH$6001),MATCH(ROWS($V$2:$V610),'Per Line'!$AH$2:$AH$6001,0),"")</f>
        <v/>
      </c>
    </row>
    <row r="611">
      <c r="A611" s="12" t="n"/>
      <c r="B611">
        <f>IF($V611="","",INDEX('Per Line'!$C$2:$C$6001,$V611)&amp;"")</f>
        <v/>
      </c>
      <c r="C611" s="11">
        <f>IF($V611="","",INDEX('Per Line'!$D$2:$D$6001,$V611))</f>
        <v/>
      </c>
      <c r="D611">
        <f>IF($V611="","",INDEX('Per Line'!$E$2:$E$6001,$V611)&amp;"")</f>
        <v/>
      </c>
      <c r="E611">
        <f>IF($V611="","",INDEX('Per Line'!$G$2:$G$6001,$V611)&amp;"")</f>
        <v/>
      </c>
      <c r="F611">
        <f>IF($V611="","",INDEX('Per Line'!$H$2:$H$6001,$V611)&amp;"")</f>
        <v/>
      </c>
      <c r="G611">
        <f>IF($V611="","",INDEX('Per Line'!$I$2:$I$6001,$V611)&amp;"")</f>
        <v/>
      </c>
      <c r="H611">
        <f>IF($V611="","",INDEX('Per Line'!$J$2:$J$6001,$V611))</f>
        <v/>
      </c>
      <c r="I611" s="7">
        <f>IF($V611="","",H611*S611/100)</f>
        <v/>
      </c>
      <c r="J611">
        <f>IF($V611="","",INDEX('Per Line'!$S$2:$S$6001,$V611)&amp;"")</f>
        <v/>
      </c>
      <c r="K611" s="7">
        <f>IF($V611="","",SUMIFS('Per Line'!$R$2:$R$6001,'Per Line'!$C$2:$C$6001,$B611,'Per Line'!$AJ$2:$AJ$6001,1))</f>
        <v/>
      </c>
      <c r="L611">
        <f>IF($V611="","",Settings!$C$7)</f>
        <v/>
      </c>
      <c r="M611" s="7">
        <f>IF($V611="","",SUMIFS('Per Line'!$R$2:$R$6001,'Per Line'!$C$2:$C$6001,$B611,'Per Line'!$AI$2:$AI$6001,0,'Per Line'!$AJ$2:$AJ$6001,0))</f>
        <v/>
      </c>
      <c r="N611" s="7">
        <f>IF($V611="","",M611*L611)</f>
        <v/>
      </c>
      <c r="O611">
        <f>IF($V611="","",Settings!$C$6)</f>
        <v/>
      </c>
      <c r="P611" s="7">
        <f>IF($V611="","",SUMIFS('Per Line'!$R$2:$R$6001,'Per Line'!$C$2:$C$6001,$B611,'Per Line'!$AI$2:$AI$6001,1,'Per Line'!$AJ$2:$AJ$6001,0))</f>
        <v/>
      </c>
      <c r="Q611" s="7">
        <f>IF($V611="","",P611*O611)</f>
        <v/>
      </c>
      <c r="R611" s="7">
        <f>IF($V611="","",Q611+N611)</f>
        <v/>
      </c>
      <c r="S611" s="7">
        <f>IF($V611="","",T611-R611)</f>
        <v/>
      </c>
      <c r="T611" s="7">
        <f>IF($V611="","",M611+P611+K611)</f>
        <v/>
      </c>
      <c r="U611" s="7">
        <f>IF($V611="","",T611-R611-I611)</f>
        <v/>
      </c>
      <c r="V611" s="13">
        <f>IF(ROWS($V$2:$V611)&lt;=MAX('Per Line'!$AH$2:$AH$6001),MATCH(ROWS($V$2:$V611),'Per Line'!$AH$2:$AH$6001,0),"")</f>
        <v/>
      </c>
    </row>
    <row r="612">
      <c r="A612" s="12" t="n"/>
      <c r="B612">
        <f>IF($V612="","",INDEX('Per Line'!$C$2:$C$6001,$V612)&amp;"")</f>
        <v/>
      </c>
      <c r="C612" s="11">
        <f>IF($V612="","",INDEX('Per Line'!$D$2:$D$6001,$V612))</f>
        <v/>
      </c>
      <c r="D612">
        <f>IF($V612="","",INDEX('Per Line'!$E$2:$E$6001,$V612)&amp;"")</f>
        <v/>
      </c>
      <c r="E612">
        <f>IF($V612="","",INDEX('Per Line'!$G$2:$G$6001,$V612)&amp;"")</f>
        <v/>
      </c>
      <c r="F612">
        <f>IF($V612="","",INDEX('Per Line'!$H$2:$H$6001,$V612)&amp;"")</f>
        <v/>
      </c>
      <c r="G612">
        <f>IF($V612="","",INDEX('Per Line'!$I$2:$I$6001,$V612)&amp;"")</f>
        <v/>
      </c>
      <c r="H612">
        <f>IF($V612="","",INDEX('Per Line'!$J$2:$J$6001,$V612))</f>
        <v/>
      </c>
      <c r="I612" s="7">
        <f>IF($V612="","",H612*S612/100)</f>
        <v/>
      </c>
      <c r="J612">
        <f>IF($V612="","",INDEX('Per Line'!$S$2:$S$6001,$V612)&amp;"")</f>
        <v/>
      </c>
      <c r="K612" s="7">
        <f>IF($V612="","",SUMIFS('Per Line'!$R$2:$R$6001,'Per Line'!$C$2:$C$6001,$B612,'Per Line'!$AJ$2:$AJ$6001,1))</f>
        <v/>
      </c>
      <c r="L612">
        <f>IF($V612="","",Settings!$C$7)</f>
        <v/>
      </c>
      <c r="M612" s="7">
        <f>IF($V612="","",SUMIFS('Per Line'!$R$2:$R$6001,'Per Line'!$C$2:$C$6001,$B612,'Per Line'!$AI$2:$AI$6001,0,'Per Line'!$AJ$2:$AJ$6001,0))</f>
        <v/>
      </c>
      <c r="N612" s="7">
        <f>IF($V612="","",M612*L612)</f>
        <v/>
      </c>
      <c r="O612">
        <f>IF($V612="","",Settings!$C$6)</f>
        <v/>
      </c>
      <c r="P612" s="7">
        <f>IF($V612="","",SUMIFS('Per Line'!$R$2:$R$6001,'Per Line'!$C$2:$C$6001,$B612,'Per Line'!$AI$2:$AI$6001,1,'Per Line'!$AJ$2:$AJ$6001,0))</f>
        <v/>
      </c>
      <c r="Q612" s="7">
        <f>IF($V612="","",P612*O612)</f>
        <v/>
      </c>
      <c r="R612" s="7">
        <f>IF($V612="","",Q612+N612)</f>
        <v/>
      </c>
      <c r="S612" s="7">
        <f>IF($V612="","",T612-R612)</f>
        <v/>
      </c>
      <c r="T612" s="7">
        <f>IF($V612="","",M612+P612+K612)</f>
        <v/>
      </c>
      <c r="U612" s="7">
        <f>IF($V612="","",T612-R612-I612)</f>
        <v/>
      </c>
      <c r="V612" s="13">
        <f>IF(ROWS($V$2:$V612)&lt;=MAX('Per Line'!$AH$2:$AH$6001),MATCH(ROWS($V$2:$V612),'Per Line'!$AH$2:$AH$6001,0),"")</f>
        <v/>
      </c>
    </row>
    <row r="613">
      <c r="A613" s="12" t="n"/>
      <c r="B613">
        <f>IF($V613="","",INDEX('Per Line'!$C$2:$C$6001,$V613)&amp;"")</f>
        <v/>
      </c>
      <c r="C613" s="11">
        <f>IF($V613="","",INDEX('Per Line'!$D$2:$D$6001,$V613))</f>
        <v/>
      </c>
      <c r="D613">
        <f>IF($V613="","",INDEX('Per Line'!$E$2:$E$6001,$V613)&amp;"")</f>
        <v/>
      </c>
      <c r="E613">
        <f>IF($V613="","",INDEX('Per Line'!$G$2:$G$6001,$V613)&amp;"")</f>
        <v/>
      </c>
      <c r="F613">
        <f>IF($V613="","",INDEX('Per Line'!$H$2:$H$6001,$V613)&amp;"")</f>
        <v/>
      </c>
      <c r="G613">
        <f>IF($V613="","",INDEX('Per Line'!$I$2:$I$6001,$V613)&amp;"")</f>
        <v/>
      </c>
      <c r="H613">
        <f>IF($V613="","",INDEX('Per Line'!$J$2:$J$6001,$V613))</f>
        <v/>
      </c>
      <c r="I613" s="7">
        <f>IF($V613="","",H613*S613/100)</f>
        <v/>
      </c>
      <c r="J613">
        <f>IF($V613="","",INDEX('Per Line'!$S$2:$S$6001,$V613)&amp;"")</f>
        <v/>
      </c>
      <c r="K613" s="7">
        <f>IF($V613="","",SUMIFS('Per Line'!$R$2:$R$6001,'Per Line'!$C$2:$C$6001,$B613,'Per Line'!$AJ$2:$AJ$6001,1))</f>
        <v/>
      </c>
      <c r="L613">
        <f>IF($V613="","",Settings!$C$7)</f>
        <v/>
      </c>
      <c r="M613" s="7">
        <f>IF($V613="","",SUMIFS('Per Line'!$R$2:$R$6001,'Per Line'!$C$2:$C$6001,$B613,'Per Line'!$AI$2:$AI$6001,0,'Per Line'!$AJ$2:$AJ$6001,0))</f>
        <v/>
      </c>
      <c r="N613" s="7">
        <f>IF($V613="","",M613*L613)</f>
        <v/>
      </c>
      <c r="O613">
        <f>IF($V613="","",Settings!$C$6)</f>
        <v/>
      </c>
      <c r="P613" s="7">
        <f>IF($V613="","",SUMIFS('Per Line'!$R$2:$R$6001,'Per Line'!$C$2:$C$6001,$B613,'Per Line'!$AI$2:$AI$6001,1,'Per Line'!$AJ$2:$AJ$6001,0))</f>
        <v/>
      </c>
      <c r="Q613" s="7">
        <f>IF($V613="","",P613*O613)</f>
        <v/>
      </c>
      <c r="R613" s="7">
        <f>IF($V613="","",Q613+N613)</f>
        <v/>
      </c>
      <c r="S613" s="7">
        <f>IF($V613="","",T613-R613)</f>
        <v/>
      </c>
      <c r="T613" s="7">
        <f>IF($V613="","",M613+P613+K613)</f>
        <v/>
      </c>
      <c r="U613" s="7">
        <f>IF($V613="","",T613-R613-I613)</f>
        <v/>
      </c>
      <c r="V613" s="13">
        <f>IF(ROWS($V$2:$V613)&lt;=MAX('Per Line'!$AH$2:$AH$6001),MATCH(ROWS($V$2:$V613),'Per Line'!$AH$2:$AH$6001,0),"")</f>
        <v/>
      </c>
    </row>
    <row r="614">
      <c r="A614" s="12" t="n"/>
      <c r="B614">
        <f>IF($V614="","",INDEX('Per Line'!$C$2:$C$6001,$V614)&amp;"")</f>
        <v/>
      </c>
      <c r="C614" s="11">
        <f>IF($V614="","",INDEX('Per Line'!$D$2:$D$6001,$V614))</f>
        <v/>
      </c>
      <c r="D614">
        <f>IF($V614="","",INDEX('Per Line'!$E$2:$E$6001,$V614)&amp;"")</f>
        <v/>
      </c>
      <c r="E614">
        <f>IF($V614="","",INDEX('Per Line'!$G$2:$G$6001,$V614)&amp;"")</f>
        <v/>
      </c>
      <c r="F614">
        <f>IF($V614="","",INDEX('Per Line'!$H$2:$H$6001,$V614)&amp;"")</f>
        <v/>
      </c>
      <c r="G614">
        <f>IF($V614="","",INDEX('Per Line'!$I$2:$I$6001,$V614)&amp;"")</f>
        <v/>
      </c>
      <c r="H614">
        <f>IF($V614="","",INDEX('Per Line'!$J$2:$J$6001,$V614))</f>
        <v/>
      </c>
      <c r="I614" s="7">
        <f>IF($V614="","",H614*S614/100)</f>
        <v/>
      </c>
      <c r="J614">
        <f>IF($V614="","",INDEX('Per Line'!$S$2:$S$6001,$V614)&amp;"")</f>
        <v/>
      </c>
      <c r="K614" s="7">
        <f>IF($V614="","",SUMIFS('Per Line'!$R$2:$R$6001,'Per Line'!$C$2:$C$6001,$B614,'Per Line'!$AJ$2:$AJ$6001,1))</f>
        <v/>
      </c>
      <c r="L614">
        <f>IF($V614="","",Settings!$C$7)</f>
        <v/>
      </c>
      <c r="M614" s="7">
        <f>IF($V614="","",SUMIFS('Per Line'!$R$2:$R$6001,'Per Line'!$C$2:$C$6001,$B614,'Per Line'!$AI$2:$AI$6001,0,'Per Line'!$AJ$2:$AJ$6001,0))</f>
        <v/>
      </c>
      <c r="N614" s="7">
        <f>IF($V614="","",M614*L614)</f>
        <v/>
      </c>
      <c r="O614">
        <f>IF($V614="","",Settings!$C$6)</f>
        <v/>
      </c>
      <c r="P614" s="7">
        <f>IF($V614="","",SUMIFS('Per Line'!$R$2:$R$6001,'Per Line'!$C$2:$C$6001,$B614,'Per Line'!$AI$2:$AI$6001,1,'Per Line'!$AJ$2:$AJ$6001,0))</f>
        <v/>
      </c>
      <c r="Q614" s="7">
        <f>IF($V614="","",P614*O614)</f>
        <v/>
      </c>
      <c r="R614" s="7">
        <f>IF($V614="","",Q614+N614)</f>
        <v/>
      </c>
      <c r="S614" s="7">
        <f>IF($V614="","",T614-R614)</f>
        <v/>
      </c>
      <c r="T614" s="7">
        <f>IF($V614="","",M614+P614+K614)</f>
        <v/>
      </c>
      <c r="U614" s="7">
        <f>IF($V614="","",T614-R614-I614)</f>
        <v/>
      </c>
      <c r="V614" s="13">
        <f>IF(ROWS($V$2:$V614)&lt;=MAX('Per Line'!$AH$2:$AH$6001),MATCH(ROWS($V$2:$V614),'Per Line'!$AH$2:$AH$6001,0),"")</f>
        <v/>
      </c>
    </row>
    <row r="615">
      <c r="A615" s="12" t="n"/>
      <c r="B615">
        <f>IF($V615="","",INDEX('Per Line'!$C$2:$C$6001,$V615)&amp;"")</f>
        <v/>
      </c>
      <c r="C615" s="11">
        <f>IF($V615="","",INDEX('Per Line'!$D$2:$D$6001,$V615))</f>
        <v/>
      </c>
      <c r="D615">
        <f>IF($V615="","",INDEX('Per Line'!$E$2:$E$6001,$V615)&amp;"")</f>
        <v/>
      </c>
      <c r="E615">
        <f>IF($V615="","",INDEX('Per Line'!$G$2:$G$6001,$V615)&amp;"")</f>
        <v/>
      </c>
      <c r="F615">
        <f>IF($V615="","",INDEX('Per Line'!$H$2:$H$6001,$V615)&amp;"")</f>
        <v/>
      </c>
      <c r="G615">
        <f>IF($V615="","",INDEX('Per Line'!$I$2:$I$6001,$V615)&amp;"")</f>
        <v/>
      </c>
      <c r="H615">
        <f>IF($V615="","",INDEX('Per Line'!$J$2:$J$6001,$V615))</f>
        <v/>
      </c>
      <c r="I615" s="7">
        <f>IF($V615="","",H615*S615/100)</f>
        <v/>
      </c>
      <c r="J615">
        <f>IF($V615="","",INDEX('Per Line'!$S$2:$S$6001,$V615)&amp;"")</f>
        <v/>
      </c>
      <c r="K615" s="7">
        <f>IF($V615="","",SUMIFS('Per Line'!$R$2:$R$6001,'Per Line'!$C$2:$C$6001,$B615,'Per Line'!$AJ$2:$AJ$6001,1))</f>
        <v/>
      </c>
      <c r="L615">
        <f>IF($V615="","",Settings!$C$7)</f>
        <v/>
      </c>
      <c r="M615" s="7">
        <f>IF($V615="","",SUMIFS('Per Line'!$R$2:$R$6001,'Per Line'!$C$2:$C$6001,$B615,'Per Line'!$AI$2:$AI$6001,0,'Per Line'!$AJ$2:$AJ$6001,0))</f>
        <v/>
      </c>
      <c r="N615" s="7">
        <f>IF($V615="","",M615*L615)</f>
        <v/>
      </c>
      <c r="O615">
        <f>IF($V615="","",Settings!$C$6)</f>
        <v/>
      </c>
      <c r="P615" s="7">
        <f>IF($V615="","",SUMIFS('Per Line'!$R$2:$R$6001,'Per Line'!$C$2:$C$6001,$B615,'Per Line'!$AI$2:$AI$6001,1,'Per Line'!$AJ$2:$AJ$6001,0))</f>
        <v/>
      </c>
      <c r="Q615" s="7">
        <f>IF($V615="","",P615*O615)</f>
        <v/>
      </c>
      <c r="R615" s="7">
        <f>IF($V615="","",Q615+N615)</f>
        <v/>
      </c>
      <c r="S615" s="7">
        <f>IF($V615="","",T615-R615)</f>
        <v/>
      </c>
      <c r="T615" s="7">
        <f>IF($V615="","",M615+P615+K615)</f>
        <v/>
      </c>
      <c r="U615" s="7">
        <f>IF($V615="","",T615-R615-I615)</f>
        <v/>
      </c>
      <c r="V615" s="13">
        <f>IF(ROWS($V$2:$V615)&lt;=MAX('Per Line'!$AH$2:$AH$6001),MATCH(ROWS($V$2:$V615),'Per Line'!$AH$2:$AH$6001,0),"")</f>
        <v/>
      </c>
    </row>
    <row r="616">
      <c r="A616" s="12" t="n"/>
      <c r="B616">
        <f>IF($V616="","",INDEX('Per Line'!$C$2:$C$6001,$V616)&amp;"")</f>
        <v/>
      </c>
      <c r="C616" s="11">
        <f>IF($V616="","",INDEX('Per Line'!$D$2:$D$6001,$V616))</f>
        <v/>
      </c>
      <c r="D616">
        <f>IF($V616="","",INDEX('Per Line'!$E$2:$E$6001,$V616)&amp;"")</f>
        <v/>
      </c>
      <c r="E616">
        <f>IF($V616="","",INDEX('Per Line'!$G$2:$G$6001,$V616)&amp;"")</f>
        <v/>
      </c>
      <c r="F616">
        <f>IF($V616="","",INDEX('Per Line'!$H$2:$H$6001,$V616)&amp;"")</f>
        <v/>
      </c>
      <c r="G616">
        <f>IF($V616="","",INDEX('Per Line'!$I$2:$I$6001,$V616)&amp;"")</f>
        <v/>
      </c>
      <c r="H616">
        <f>IF($V616="","",INDEX('Per Line'!$J$2:$J$6001,$V616))</f>
        <v/>
      </c>
      <c r="I616" s="7">
        <f>IF($V616="","",H616*S616/100)</f>
        <v/>
      </c>
      <c r="J616">
        <f>IF($V616="","",INDEX('Per Line'!$S$2:$S$6001,$V616)&amp;"")</f>
        <v/>
      </c>
      <c r="K616" s="7">
        <f>IF($V616="","",SUMIFS('Per Line'!$R$2:$R$6001,'Per Line'!$C$2:$C$6001,$B616,'Per Line'!$AJ$2:$AJ$6001,1))</f>
        <v/>
      </c>
      <c r="L616">
        <f>IF($V616="","",Settings!$C$7)</f>
        <v/>
      </c>
      <c r="M616" s="7">
        <f>IF($V616="","",SUMIFS('Per Line'!$R$2:$R$6001,'Per Line'!$C$2:$C$6001,$B616,'Per Line'!$AI$2:$AI$6001,0,'Per Line'!$AJ$2:$AJ$6001,0))</f>
        <v/>
      </c>
      <c r="N616" s="7">
        <f>IF($V616="","",M616*L616)</f>
        <v/>
      </c>
      <c r="O616">
        <f>IF($V616="","",Settings!$C$6)</f>
        <v/>
      </c>
      <c r="P616" s="7">
        <f>IF($V616="","",SUMIFS('Per Line'!$R$2:$R$6001,'Per Line'!$C$2:$C$6001,$B616,'Per Line'!$AI$2:$AI$6001,1,'Per Line'!$AJ$2:$AJ$6001,0))</f>
        <v/>
      </c>
      <c r="Q616" s="7">
        <f>IF($V616="","",P616*O616)</f>
        <v/>
      </c>
      <c r="R616" s="7">
        <f>IF($V616="","",Q616+N616)</f>
        <v/>
      </c>
      <c r="S616" s="7">
        <f>IF($V616="","",T616-R616)</f>
        <v/>
      </c>
      <c r="T616" s="7">
        <f>IF($V616="","",M616+P616+K616)</f>
        <v/>
      </c>
      <c r="U616" s="7">
        <f>IF($V616="","",T616-R616-I616)</f>
        <v/>
      </c>
      <c r="V616" s="13">
        <f>IF(ROWS($V$2:$V616)&lt;=MAX('Per Line'!$AH$2:$AH$6001),MATCH(ROWS($V$2:$V616),'Per Line'!$AH$2:$AH$6001,0),"")</f>
        <v/>
      </c>
    </row>
    <row r="617">
      <c r="A617" s="12" t="n"/>
      <c r="B617">
        <f>IF($V617="","",INDEX('Per Line'!$C$2:$C$6001,$V617)&amp;"")</f>
        <v/>
      </c>
      <c r="C617" s="11">
        <f>IF($V617="","",INDEX('Per Line'!$D$2:$D$6001,$V617))</f>
        <v/>
      </c>
      <c r="D617">
        <f>IF($V617="","",INDEX('Per Line'!$E$2:$E$6001,$V617)&amp;"")</f>
        <v/>
      </c>
      <c r="E617">
        <f>IF($V617="","",INDEX('Per Line'!$G$2:$G$6001,$V617)&amp;"")</f>
        <v/>
      </c>
      <c r="F617">
        <f>IF($V617="","",INDEX('Per Line'!$H$2:$H$6001,$V617)&amp;"")</f>
        <v/>
      </c>
      <c r="G617">
        <f>IF($V617="","",INDEX('Per Line'!$I$2:$I$6001,$V617)&amp;"")</f>
        <v/>
      </c>
      <c r="H617">
        <f>IF($V617="","",INDEX('Per Line'!$J$2:$J$6001,$V617))</f>
        <v/>
      </c>
      <c r="I617" s="7">
        <f>IF($V617="","",H617*S617/100)</f>
        <v/>
      </c>
      <c r="J617">
        <f>IF($V617="","",INDEX('Per Line'!$S$2:$S$6001,$V617)&amp;"")</f>
        <v/>
      </c>
      <c r="K617" s="7">
        <f>IF($V617="","",SUMIFS('Per Line'!$R$2:$R$6001,'Per Line'!$C$2:$C$6001,$B617,'Per Line'!$AJ$2:$AJ$6001,1))</f>
        <v/>
      </c>
      <c r="L617">
        <f>IF($V617="","",Settings!$C$7)</f>
        <v/>
      </c>
      <c r="M617" s="7">
        <f>IF($V617="","",SUMIFS('Per Line'!$R$2:$R$6001,'Per Line'!$C$2:$C$6001,$B617,'Per Line'!$AI$2:$AI$6001,0,'Per Line'!$AJ$2:$AJ$6001,0))</f>
        <v/>
      </c>
      <c r="N617" s="7">
        <f>IF($V617="","",M617*L617)</f>
        <v/>
      </c>
      <c r="O617">
        <f>IF($V617="","",Settings!$C$6)</f>
        <v/>
      </c>
      <c r="P617" s="7">
        <f>IF($V617="","",SUMIFS('Per Line'!$R$2:$R$6001,'Per Line'!$C$2:$C$6001,$B617,'Per Line'!$AI$2:$AI$6001,1,'Per Line'!$AJ$2:$AJ$6001,0))</f>
        <v/>
      </c>
      <c r="Q617" s="7">
        <f>IF($V617="","",P617*O617)</f>
        <v/>
      </c>
      <c r="R617" s="7">
        <f>IF($V617="","",Q617+N617)</f>
        <v/>
      </c>
      <c r="S617" s="7">
        <f>IF($V617="","",T617-R617)</f>
        <v/>
      </c>
      <c r="T617" s="7">
        <f>IF($V617="","",M617+P617+K617)</f>
        <v/>
      </c>
      <c r="U617" s="7">
        <f>IF($V617="","",T617-R617-I617)</f>
        <v/>
      </c>
      <c r="V617" s="13">
        <f>IF(ROWS($V$2:$V617)&lt;=MAX('Per Line'!$AH$2:$AH$6001),MATCH(ROWS($V$2:$V617),'Per Line'!$AH$2:$AH$6001,0),"")</f>
        <v/>
      </c>
    </row>
    <row r="618">
      <c r="A618" s="12" t="n"/>
      <c r="B618">
        <f>IF($V618="","",INDEX('Per Line'!$C$2:$C$6001,$V618)&amp;"")</f>
        <v/>
      </c>
      <c r="C618" s="11">
        <f>IF($V618="","",INDEX('Per Line'!$D$2:$D$6001,$V618))</f>
        <v/>
      </c>
      <c r="D618">
        <f>IF($V618="","",INDEX('Per Line'!$E$2:$E$6001,$V618)&amp;"")</f>
        <v/>
      </c>
      <c r="E618">
        <f>IF($V618="","",INDEX('Per Line'!$G$2:$G$6001,$V618)&amp;"")</f>
        <v/>
      </c>
      <c r="F618">
        <f>IF($V618="","",INDEX('Per Line'!$H$2:$H$6001,$V618)&amp;"")</f>
        <v/>
      </c>
      <c r="G618">
        <f>IF($V618="","",INDEX('Per Line'!$I$2:$I$6001,$V618)&amp;"")</f>
        <v/>
      </c>
      <c r="H618">
        <f>IF($V618="","",INDEX('Per Line'!$J$2:$J$6001,$V618))</f>
        <v/>
      </c>
      <c r="I618" s="7">
        <f>IF($V618="","",H618*S618/100)</f>
        <v/>
      </c>
      <c r="J618">
        <f>IF($V618="","",INDEX('Per Line'!$S$2:$S$6001,$V618)&amp;"")</f>
        <v/>
      </c>
      <c r="K618" s="7">
        <f>IF($V618="","",SUMIFS('Per Line'!$R$2:$R$6001,'Per Line'!$C$2:$C$6001,$B618,'Per Line'!$AJ$2:$AJ$6001,1))</f>
        <v/>
      </c>
      <c r="L618">
        <f>IF($V618="","",Settings!$C$7)</f>
        <v/>
      </c>
      <c r="M618" s="7">
        <f>IF($V618="","",SUMIFS('Per Line'!$R$2:$R$6001,'Per Line'!$C$2:$C$6001,$B618,'Per Line'!$AI$2:$AI$6001,0,'Per Line'!$AJ$2:$AJ$6001,0))</f>
        <v/>
      </c>
      <c r="N618" s="7">
        <f>IF($V618="","",M618*L618)</f>
        <v/>
      </c>
      <c r="O618">
        <f>IF($V618="","",Settings!$C$6)</f>
        <v/>
      </c>
      <c r="P618" s="7">
        <f>IF($V618="","",SUMIFS('Per Line'!$R$2:$R$6001,'Per Line'!$C$2:$C$6001,$B618,'Per Line'!$AI$2:$AI$6001,1,'Per Line'!$AJ$2:$AJ$6001,0))</f>
        <v/>
      </c>
      <c r="Q618" s="7">
        <f>IF($V618="","",P618*O618)</f>
        <v/>
      </c>
      <c r="R618" s="7">
        <f>IF($V618="","",Q618+N618)</f>
        <v/>
      </c>
      <c r="S618" s="7">
        <f>IF($V618="","",T618-R618)</f>
        <v/>
      </c>
      <c r="T618" s="7">
        <f>IF($V618="","",M618+P618+K618)</f>
        <v/>
      </c>
      <c r="U618" s="7">
        <f>IF($V618="","",T618-R618-I618)</f>
        <v/>
      </c>
      <c r="V618" s="13">
        <f>IF(ROWS($V$2:$V618)&lt;=MAX('Per Line'!$AH$2:$AH$6001),MATCH(ROWS($V$2:$V618),'Per Line'!$AH$2:$AH$6001,0),"")</f>
        <v/>
      </c>
    </row>
    <row r="619">
      <c r="A619" s="12" t="n"/>
      <c r="B619">
        <f>IF($V619="","",INDEX('Per Line'!$C$2:$C$6001,$V619)&amp;"")</f>
        <v/>
      </c>
      <c r="C619" s="11">
        <f>IF($V619="","",INDEX('Per Line'!$D$2:$D$6001,$V619))</f>
        <v/>
      </c>
      <c r="D619">
        <f>IF($V619="","",INDEX('Per Line'!$E$2:$E$6001,$V619)&amp;"")</f>
        <v/>
      </c>
      <c r="E619">
        <f>IF($V619="","",INDEX('Per Line'!$G$2:$G$6001,$V619)&amp;"")</f>
        <v/>
      </c>
      <c r="F619">
        <f>IF($V619="","",INDEX('Per Line'!$H$2:$H$6001,$V619)&amp;"")</f>
        <v/>
      </c>
      <c r="G619">
        <f>IF($V619="","",INDEX('Per Line'!$I$2:$I$6001,$V619)&amp;"")</f>
        <v/>
      </c>
      <c r="H619">
        <f>IF($V619="","",INDEX('Per Line'!$J$2:$J$6001,$V619))</f>
        <v/>
      </c>
      <c r="I619" s="7">
        <f>IF($V619="","",H619*S619/100)</f>
        <v/>
      </c>
      <c r="J619">
        <f>IF($V619="","",INDEX('Per Line'!$S$2:$S$6001,$V619)&amp;"")</f>
        <v/>
      </c>
      <c r="K619" s="7">
        <f>IF($V619="","",SUMIFS('Per Line'!$R$2:$R$6001,'Per Line'!$C$2:$C$6001,$B619,'Per Line'!$AJ$2:$AJ$6001,1))</f>
        <v/>
      </c>
      <c r="L619">
        <f>IF($V619="","",Settings!$C$7)</f>
        <v/>
      </c>
      <c r="M619" s="7">
        <f>IF($V619="","",SUMIFS('Per Line'!$R$2:$R$6001,'Per Line'!$C$2:$C$6001,$B619,'Per Line'!$AI$2:$AI$6001,0,'Per Line'!$AJ$2:$AJ$6001,0))</f>
        <v/>
      </c>
      <c r="N619" s="7">
        <f>IF($V619="","",M619*L619)</f>
        <v/>
      </c>
      <c r="O619">
        <f>IF($V619="","",Settings!$C$6)</f>
        <v/>
      </c>
      <c r="P619" s="7">
        <f>IF($V619="","",SUMIFS('Per Line'!$R$2:$R$6001,'Per Line'!$C$2:$C$6001,$B619,'Per Line'!$AI$2:$AI$6001,1,'Per Line'!$AJ$2:$AJ$6001,0))</f>
        <v/>
      </c>
      <c r="Q619" s="7">
        <f>IF($V619="","",P619*O619)</f>
        <v/>
      </c>
      <c r="R619" s="7">
        <f>IF($V619="","",Q619+N619)</f>
        <v/>
      </c>
      <c r="S619" s="7">
        <f>IF($V619="","",T619-R619)</f>
        <v/>
      </c>
      <c r="T619" s="7">
        <f>IF($V619="","",M619+P619+K619)</f>
        <v/>
      </c>
      <c r="U619" s="7">
        <f>IF($V619="","",T619-R619-I619)</f>
        <v/>
      </c>
      <c r="V619" s="13">
        <f>IF(ROWS($V$2:$V619)&lt;=MAX('Per Line'!$AH$2:$AH$6001),MATCH(ROWS($V$2:$V619),'Per Line'!$AH$2:$AH$6001,0),"")</f>
        <v/>
      </c>
    </row>
    <row r="620">
      <c r="A620" s="12" t="n"/>
      <c r="B620">
        <f>IF($V620="","",INDEX('Per Line'!$C$2:$C$6001,$V620)&amp;"")</f>
        <v/>
      </c>
      <c r="C620" s="11">
        <f>IF($V620="","",INDEX('Per Line'!$D$2:$D$6001,$V620))</f>
        <v/>
      </c>
      <c r="D620">
        <f>IF($V620="","",INDEX('Per Line'!$E$2:$E$6001,$V620)&amp;"")</f>
        <v/>
      </c>
      <c r="E620">
        <f>IF($V620="","",INDEX('Per Line'!$G$2:$G$6001,$V620)&amp;"")</f>
        <v/>
      </c>
      <c r="F620">
        <f>IF($V620="","",INDEX('Per Line'!$H$2:$H$6001,$V620)&amp;"")</f>
        <v/>
      </c>
      <c r="G620">
        <f>IF($V620="","",INDEX('Per Line'!$I$2:$I$6001,$V620)&amp;"")</f>
        <v/>
      </c>
      <c r="H620">
        <f>IF($V620="","",INDEX('Per Line'!$J$2:$J$6001,$V620))</f>
        <v/>
      </c>
      <c r="I620" s="7">
        <f>IF($V620="","",H620*S620/100)</f>
        <v/>
      </c>
      <c r="J620">
        <f>IF($V620="","",INDEX('Per Line'!$S$2:$S$6001,$V620)&amp;"")</f>
        <v/>
      </c>
      <c r="K620" s="7">
        <f>IF($V620="","",SUMIFS('Per Line'!$R$2:$R$6001,'Per Line'!$C$2:$C$6001,$B620,'Per Line'!$AJ$2:$AJ$6001,1))</f>
        <v/>
      </c>
      <c r="L620">
        <f>IF($V620="","",Settings!$C$7)</f>
        <v/>
      </c>
      <c r="M620" s="7">
        <f>IF($V620="","",SUMIFS('Per Line'!$R$2:$R$6001,'Per Line'!$C$2:$C$6001,$B620,'Per Line'!$AI$2:$AI$6001,0,'Per Line'!$AJ$2:$AJ$6001,0))</f>
        <v/>
      </c>
      <c r="N620" s="7">
        <f>IF($V620="","",M620*L620)</f>
        <v/>
      </c>
      <c r="O620">
        <f>IF($V620="","",Settings!$C$6)</f>
        <v/>
      </c>
      <c r="P620" s="7">
        <f>IF($V620="","",SUMIFS('Per Line'!$R$2:$R$6001,'Per Line'!$C$2:$C$6001,$B620,'Per Line'!$AI$2:$AI$6001,1,'Per Line'!$AJ$2:$AJ$6001,0))</f>
        <v/>
      </c>
      <c r="Q620" s="7">
        <f>IF($V620="","",P620*O620)</f>
        <v/>
      </c>
      <c r="R620" s="7">
        <f>IF($V620="","",Q620+N620)</f>
        <v/>
      </c>
      <c r="S620" s="7">
        <f>IF($V620="","",T620-R620)</f>
        <v/>
      </c>
      <c r="T620" s="7">
        <f>IF($V620="","",M620+P620+K620)</f>
        <v/>
      </c>
      <c r="U620" s="7">
        <f>IF($V620="","",T620-R620-I620)</f>
        <v/>
      </c>
      <c r="V620" s="13">
        <f>IF(ROWS($V$2:$V620)&lt;=MAX('Per Line'!$AH$2:$AH$6001),MATCH(ROWS($V$2:$V620),'Per Line'!$AH$2:$AH$6001,0),"")</f>
        <v/>
      </c>
    </row>
    <row r="621">
      <c r="A621" s="12" t="n"/>
      <c r="B621">
        <f>IF($V621="","",INDEX('Per Line'!$C$2:$C$6001,$V621)&amp;"")</f>
        <v/>
      </c>
      <c r="C621" s="11">
        <f>IF($V621="","",INDEX('Per Line'!$D$2:$D$6001,$V621))</f>
        <v/>
      </c>
      <c r="D621">
        <f>IF($V621="","",INDEX('Per Line'!$E$2:$E$6001,$V621)&amp;"")</f>
        <v/>
      </c>
      <c r="E621">
        <f>IF($V621="","",INDEX('Per Line'!$G$2:$G$6001,$V621)&amp;"")</f>
        <v/>
      </c>
      <c r="F621">
        <f>IF($V621="","",INDEX('Per Line'!$H$2:$H$6001,$V621)&amp;"")</f>
        <v/>
      </c>
      <c r="G621">
        <f>IF($V621="","",INDEX('Per Line'!$I$2:$I$6001,$V621)&amp;"")</f>
        <v/>
      </c>
      <c r="H621">
        <f>IF($V621="","",INDEX('Per Line'!$J$2:$J$6001,$V621))</f>
        <v/>
      </c>
      <c r="I621" s="7">
        <f>IF($V621="","",H621*S621/100)</f>
        <v/>
      </c>
      <c r="J621">
        <f>IF($V621="","",INDEX('Per Line'!$S$2:$S$6001,$V621)&amp;"")</f>
        <v/>
      </c>
      <c r="K621" s="7">
        <f>IF($V621="","",SUMIFS('Per Line'!$R$2:$R$6001,'Per Line'!$C$2:$C$6001,$B621,'Per Line'!$AJ$2:$AJ$6001,1))</f>
        <v/>
      </c>
      <c r="L621">
        <f>IF($V621="","",Settings!$C$7)</f>
        <v/>
      </c>
      <c r="M621" s="7">
        <f>IF($V621="","",SUMIFS('Per Line'!$R$2:$R$6001,'Per Line'!$C$2:$C$6001,$B621,'Per Line'!$AI$2:$AI$6001,0,'Per Line'!$AJ$2:$AJ$6001,0))</f>
        <v/>
      </c>
      <c r="N621" s="7">
        <f>IF($V621="","",M621*L621)</f>
        <v/>
      </c>
      <c r="O621">
        <f>IF($V621="","",Settings!$C$6)</f>
        <v/>
      </c>
      <c r="P621" s="7">
        <f>IF($V621="","",SUMIFS('Per Line'!$R$2:$R$6001,'Per Line'!$C$2:$C$6001,$B621,'Per Line'!$AI$2:$AI$6001,1,'Per Line'!$AJ$2:$AJ$6001,0))</f>
        <v/>
      </c>
      <c r="Q621" s="7">
        <f>IF($V621="","",P621*O621)</f>
        <v/>
      </c>
      <c r="R621" s="7">
        <f>IF($V621="","",Q621+N621)</f>
        <v/>
      </c>
      <c r="S621" s="7">
        <f>IF($V621="","",T621-R621)</f>
        <v/>
      </c>
      <c r="T621" s="7">
        <f>IF($V621="","",M621+P621+K621)</f>
        <v/>
      </c>
      <c r="U621" s="7">
        <f>IF($V621="","",T621-R621-I621)</f>
        <v/>
      </c>
      <c r="V621" s="13">
        <f>IF(ROWS($V$2:$V621)&lt;=MAX('Per Line'!$AH$2:$AH$6001),MATCH(ROWS($V$2:$V621),'Per Line'!$AH$2:$AH$6001,0),"")</f>
        <v/>
      </c>
    </row>
    <row r="622">
      <c r="A622" s="12" t="n"/>
      <c r="B622">
        <f>IF($V622="","",INDEX('Per Line'!$C$2:$C$6001,$V622)&amp;"")</f>
        <v/>
      </c>
      <c r="C622" s="11">
        <f>IF($V622="","",INDEX('Per Line'!$D$2:$D$6001,$V622))</f>
        <v/>
      </c>
      <c r="D622">
        <f>IF($V622="","",INDEX('Per Line'!$E$2:$E$6001,$V622)&amp;"")</f>
        <v/>
      </c>
      <c r="E622">
        <f>IF($V622="","",INDEX('Per Line'!$G$2:$G$6001,$V622)&amp;"")</f>
        <v/>
      </c>
      <c r="F622">
        <f>IF($V622="","",INDEX('Per Line'!$H$2:$H$6001,$V622)&amp;"")</f>
        <v/>
      </c>
      <c r="G622">
        <f>IF($V622="","",INDEX('Per Line'!$I$2:$I$6001,$V622)&amp;"")</f>
        <v/>
      </c>
      <c r="H622">
        <f>IF($V622="","",INDEX('Per Line'!$J$2:$J$6001,$V622))</f>
        <v/>
      </c>
      <c r="I622" s="7">
        <f>IF($V622="","",H622*S622/100)</f>
        <v/>
      </c>
      <c r="J622">
        <f>IF($V622="","",INDEX('Per Line'!$S$2:$S$6001,$V622)&amp;"")</f>
        <v/>
      </c>
      <c r="K622" s="7">
        <f>IF($V622="","",SUMIFS('Per Line'!$R$2:$R$6001,'Per Line'!$C$2:$C$6001,$B622,'Per Line'!$AJ$2:$AJ$6001,1))</f>
        <v/>
      </c>
      <c r="L622">
        <f>IF($V622="","",Settings!$C$7)</f>
        <v/>
      </c>
      <c r="M622" s="7">
        <f>IF($V622="","",SUMIFS('Per Line'!$R$2:$R$6001,'Per Line'!$C$2:$C$6001,$B622,'Per Line'!$AI$2:$AI$6001,0,'Per Line'!$AJ$2:$AJ$6001,0))</f>
        <v/>
      </c>
      <c r="N622" s="7">
        <f>IF($V622="","",M622*L622)</f>
        <v/>
      </c>
      <c r="O622">
        <f>IF($V622="","",Settings!$C$6)</f>
        <v/>
      </c>
      <c r="P622" s="7">
        <f>IF($V622="","",SUMIFS('Per Line'!$R$2:$R$6001,'Per Line'!$C$2:$C$6001,$B622,'Per Line'!$AI$2:$AI$6001,1,'Per Line'!$AJ$2:$AJ$6001,0))</f>
        <v/>
      </c>
      <c r="Q622" s="7">
        <f>IF($V622="","",P622*O622)</f>
        <v/>
      </c>
      <c r="R622" s="7">
        <f>IF($V622="","",Q622+N622)</f>
        <v/>
      </c>
      <c r="S622" s="7">
        <f>IF($V622="","",T622-R622)</f>
        <v/>
      </c>
      <c r="T622" s="7">
        <f>IF($V622="","",M622+P622+K622)</f>
        <v/>
      </c>
      <c r="U622" s="7">
        <f>IF($V622="","",T622-R622-I622)</f>
        <v/>
      </c>
      <c r="V622" s="13">
        <f>IF(ROWS($V$2:$V622)&lt;=MAX('Per Line'!$AH$2:$AH$6001),MATCH(ROWS($V$2:$V622),'Per Line'!$AH$2:$AH$6001,0),"")</f>
        <v/>
      </c>
    </row>
    <row r="623">
      <c r="A623" s="12" t="n"/>
      <c r="B623">
        <f>IF($V623="","",INDEX('Per Line'!$C$2:$C$6001,$V623)&amp;"")</f>
        <v/>
      </c>
      <c r="C623" s="11">
        <f>IF($V623="","",INDEX('Per Line'!$D$2:$D$6001,$V623))</f>
        <v/>
      </c>
      <c r="D623">
        <f>IF($V623="","",INDEX('Per Line'!$E$2:$E$6001,$V623)&amp;"")</f>
        <v/>
      </c>
      <c r="E623">
        <f>IF($V623="","",INDEX('Per Line'!$G$2:$G$6001,$V623)&amp;"")</f>
        <v/>
      </c>
      <c r="F623">
        <f>IF($V623="","",INDEX('Per Line'!$H$2:$H$6001,$V623)&amp;"")</f>
        <v/>
      </c>
      <c r="G623">
        <f>IF($V623="","",INDEX('Per Line'!$I$2:$I$6001,$V623)&amp;"")</f>
        <v/>
      </c>
      <c r="H623">
        <f>IF($V623="","",INDEX('Per Line'!$J$2:$J$6001,$V623))</f>
        <v/>
      </c>
      <c r="I623" s="7">
        <f>IF($V623="","",H623*S623/100)</f>
        <v/>
      </c>
      <c r="J623">
        <f>IF($V623="","",INDEX('Per Line'!$S$2:$S$6001,$V623)&amp;"")</f>
        <v/>
      </c>
      <c r="K623" s="7">
        <f>IF($V623="","",SUMIFS('Per Line'!$R$2:$R$6001,'Per Line'!$C$2:$C$6001,$B623,'Per Line'!$AJ$2:$AJ$6001,1))</f>
        <v/>
      </c>
      <c r="L623">
        <f>IF($V623="","",Settings!$C$7)</f>
        <v/>
      </c>
      <c r="M623" s="7">
        <f>IF($V623="","",SUMIFS('Per Line'!$R$2:$R$6001,'Per Line'!$C$2:$C$6001,$B623,'Per Line'!$AI$2:$AI$6001,0,'Per Line'!$AJ$2:$AJ$6001,0))</f>
        <v/>
      </c>
      <c r="N623" s="7">
        <f>IF($V623="","",M623*L623)</f>
        <v/>
      </c>
      <c r="O623">
        <f>IF($V623="","",Settings!$C$6)</f>
        <v/>
      </c>
      <c r="P623" s="7">
        <f>IF($V623="","",SUMIFS('Per Line'!$R$2:$R$6001,'Per Line'!$C$2:$C$6001,$B623,'Per Line'!$AI$2:$AI$6001,1,'Per Line'!$AJ$2:$AJ$6001,0))</f>
        <v/>
      </c>
      <c r="Q623" s="7">
        <f>IF($V623="","",P623*O623)</f>
        <v/>
      </c>
      <c r="R623" s="7">
        <f>IF($V623="","",Q623+N623)</f>
        <v/>
      </c>
      <c r="S623" s="7">
        <f>IF($V623="","",T623-R623)</f>
        <v/>
      </c>
      <c r="T623" s="7">
        <f>IF($V623="","",M623+P623+K623)</f>
        <v/>
      </c>
      <c r="U623" s="7">
        <f>IF($V623="","",T623-R623-I623)</f>
        <v/>
      </c>
      <c r="V623" s="13">
        <f>IF(ROWS($V$2:$V623)&lt;=MAX('Per Line'!$AH$2:$AH$6001),MATCH(ROWS($V$2:$V623),'Per Line'!$AH$2:$AH$6001,0),"")</f>
        <v/>
      </c>
    </row>
    <row r="624">
      <c r="A624" s="12" t="n"/>
      <c r="B624">
        <f>IF($V624="","",INDEX('Per Line'!$C$2:$C$6001,$V624)&amp;"")</f>
        <v/>
      </c>
      <c r="C624" s="11">
        <f>IF($V624="","",INDEX('Per Line'!$D$2:$D$6001,$V624))</f>
        <v/>
      </c>
      <c r="D624">
        <f>IF($V624="","",INDEX('Per Line'!$E$2:$E$6001,$V624)&amp;"")</f>
        <v/>
      </c>
      <c r="E624">
        <f>IF($V624="","",INDEX('Per Line'!$G$2:$G$6001,$V624)&amp;"")</f>
        <v/>
      </c>
      <c r="F624">
        <f>IF($V624="","",INDEX('Per Line'!$H$2:$H$6001,$V624)&amp;"")</f>
        <v/>
      </c>
      <c r="G624">
        <f>IF($V624="","",INDEX('Per Line'!$I$2:$I$6001,$V624)&amp;"")</f>
        <v/>
      </c>
      <c r="H624">
        <f>IF($V624="","",INDEX('Per Line'!$J$2:$J$6001,$V624))</f>
        <v/>
      </c>
      <c r="I624" s="7">
        <f>IF($V624="","",H624*S624/100)</f>
        <v/>
      </c>
      <c r="J624">
        <f>IF($V624="","",INDEX('Per Line'!$S$2:$S$6001,$V624)&amp;"")</f>
        <v/>
      </c>
      <c r="K624" s="7">
        <f>IF($V624="","",SUMIFS('Per Line'!$R$2:$R$6001,'Per Line'!$C$2:$C$6001,$B624,'Per Line'!$AJ$2:$AJ$6001,1))</f>
        <v/>
      </c>
      <c r="L624">
        <f>IF($V624="","",Settings!$C$7)</f>
        <v/>
      </c>
      <c r="M624" s="7">
        <f>IF($V624="","",SUMIFS('Per Line'!$R$2:$R$6001,'Per Line'!$C$2:$C$6001,$B624,'Per Line'!$AI$2:$AI$6001,0,'Per Line'!$AJ$2:$AJ$6001,0))</f>
        <v/>
      </c>
      <c r="N624" s="7">
        <f>IF($V624="","",M624*L624)</f>
        <v/>
      </c>
      <c r="O624">
        <f>IF($V624="","",Settings!$C$6)</f>
        <v/>
      </c>
      <c r="P624" s="7">
        <f>IF($V624="","",SUMIFS('Per Line'!$R$2:$R$6001,'Per Line'!$C$2:$C$6001,$B624,'Per Line'!$AI$2:$AI$6001,1,'Per Line'!$AJ$2:$AJ$6001,0))</f>
        <v/>
      </c>
      <c r="Q624" s="7">
        <f>IF($V624="","",P624*O624)</f>
        <v/>
      </c>
      <c r="R624" s="7">
        <f>IF($V624="","",Q624+N624)</f>
        <v/>
      </c>
      <c r="S624" s="7">
        <f>IF($V624="","",T624-R624)</f>
        <v/>
      </c>
      <c r="T624" s="7">
        <f>IF($V624="","",M624+P624+K624)</f>
        <v/>
      </c>
      <c r="U624" s="7">
        <f>IF($V624="","",T624-R624-I624)</f>
        <v/>
      </c>
      <c r="V624" s="13">
        <f>IF(ROWS($V$2:$V624)&lt;=MAX('Per Line'!$AH$2:$AH$6001),MATCH(ROWS($V$2:$V624),'Per Line'!$AH$2:$AH$6001,0),"")</f>
        <v/>
      </c>
    </row>
    <row r="625">
      <c r="A625" s="12" t="n"/>
      <c r="B625">
        <f>IF($V625="","",INDEX('Per Line'!$C$2:$C$6001,$V625)&amp;"")</f>
        <v/>
      </c>
      <c r="C625" s="11">
        <f>IF($V625="","",INDEX('Per Line'!$D$2:$D$6001,$V625))</f>
        <v/>
      </c>
      <c r="D625">
        <f>IF($V625="","",INDEX('Per Line'!$E$2:$E$6001,$V625)&amp;"")</f>
        <v/>
      </c>
      <c r="E625">
        <f>IF($V625="","",INDEX('Per Line'!$G$2:$G$6001,$V625)&amp;"")</f>
        <v/>
      </c>
      <c r="F625">
        <f>IF($V625="","",INDEX('Per Line'!$H$2:$H$6001,$V625)&amp;"")</f>
        <v/>
      </c>
      <c r="G625">
        <f>IF($V625="","",INDEX('Per Line'!$I$2:$I$6001,$V625)&amp;"")</f>
        <v/>
      </c>
      <c r="H625">
        <f>IF($V625="","",INDEX('Per Line'!$J$2:$J$6001,$V625))</f>
        <v/>
      </c>
      <c r="I625" s="7">
        <f>IF($V625="","",H625*S625/100)</f>
        <v/>
      </c>
      <c r="J625">
        <f>IF($V625="","",INDEX('Per Line'!$S$2:$S$6001,$V625)&amp;"")</f>
        <v/>
      </c>
      <c r="K625" s="7">
        <f>IF($V625="","",SUMIFS('Per Line'!$R$2:$R$6001,'Per Line'!$C$2:$C$6001,$B625,'Per Line'!$AJ$2:$AJ$6001,1))</f>
        <v/>
      </c>
      <c r="L625">
        <f>IF($V625="","",Settings!$C$7)</f>
        <v/>
      </c>
      <c r="M625" s="7">
        <f>IF($V625="","",SUMIFS('Per Line'!$R$2:$R$6001,'Per Line'!$C$2:$C$6001,$B625,'Per Line'!$AI$2:$AI$6001,0,'Per Line'!$AJ$2:$AJ$6001,0))</f>
        <v/>
      </c>
      <c r="N625" s="7">
        <f>IF($V625="","",M625*L625)</f>
        <v/>
      </c>
      <c r="O625">
        <f>IF($V625="","",Settings!$C$6)</f>
        <v/>
      </c>
      <c r="P625" s="7">
        <f>IF($V625="","",SUMIFS('Per Line'!$R$2:$R$6001,'Per Line'!$C$2:$C$6001,$B625,'Per Line'!$AI$2:$AI$6001,1,'Per Line'!$AJ$2:$AJ$6001,0))</f>
        <v/>
      </c>
      <c r="Q625" s="7">
        <f>IF($V625="","",P625*O625)</f>
        <v/>
      </c>
      <c r="R625" s="7">
        <f>IF($V625="","",Q625+N625)</f>
        <v/>
      </c>
      <c r="S625" s="7">
        <f>IF($V625="","",T625-R625)</f>
        <v/>
      </c>
      <c r="T625" s="7">
        <f>IF($V625="","",M625+P625+K625)</f>
        <v/>
      </c>
      <c r="U625" s="7">
        <f>IF($V625="","",T625-R625-I625)</f>
        <v/>
      </c>
      <c r="V625" s="13">
        <f>IF(ROWS($V$2:$V625)&lt;=MAX('Per Line'!$AH$2:$AH$6001),MATCH(ROWS($V$2:$V625),'Per Line'!$AH$2:$AH$6001,0),"")</f>
        <v/>
      </c>
    </row>
    <row r="626">
      <c r="A626" s="12" t="n"/>
      <c r="B626">
        <f>IF($V626="","",INDEX('Per Line'!$C$2:$C$6001,$V626)&amp;"")</f>
        <v/>
      </c>
      <c r="C626" s="11">
        <f>IF($V626="","",INDEX('Per Line'!$D$2:$D$6001,$V626))</f>
        <v/>
      </c>
      <c r="D626">
        <f>IF($V626="","",INDEX('Per Line'!$E$2:$E$6001,$V626)&amp;"")</f>
        <v/>
      </c>
      <c r="E626">
        <f>IF($V626="","",INDEX('Per Line'!$G$2:$G$6001,$V626)&amp;"")</f>
        <v/>
      </c>
      <c r="F626">
        <f>IF($V626="","",INDEX('Per Line'!$H$2:$H$6001,$V626)&amp;"")</f>
        <v/>
      </c>
      <c r="G626">
        <f>IF($V626="","",INDEX('Per Line'!$I$2:$I$6001,$V626)&amp;"")</f>
        <v/>
      </c>
      <c r="H626">
        <f>IF($V626="","",INDEX('Per Line'!$J$2:$J$6001,$V626))</f>
        <v/>
      </c>
      <c r="I626" s="7">
        <f>IF($V626="","",H626*S626/100)</f>
        <v/>
      </c>
      <c r="J626">
        <f>IF($V626="","",INDEX('Per Line'!$S$2:$S$6001,$V626)&amp;"")</f>
        <v/>
      </c>
      <c r="K626" s="7">
        <f>IF($V626="","",SUMIFS('Per Line'!$R$2:$R$6001,'Per Line'!$C$2:$C$6001,$B626,'Per Line'!$AJ$2:$AJ$6001,1))</f>
        <v/>
      </c>
      <c r="L626">
        <f>IF($V626="","",Settings!$C$7)</f>
        <v/>
      </c>
      <c r="M626" s="7">
        <f>IF($V626="","",SUMIFS('Per Line'!$R$2:$R$6001,'Per Line'!$C$2:$C$6001,$B626,'Per Line'!$AI$2:$AI$6001,0,'Per Line'!$AJ$2:$AJ$6001,0))</f>
        <v/>
      </c>
      <c r="N626" s="7">
        <f>IF($V626="","",M626*L626)</f>
        <v/>
      </c>
      <c r="O626">
        <f>IF($V626="","",Settings!$C$6)</f>
        <v/>
      </c>
      <c r="P626" s="7">
        <f>IF($V626="","",SUMIFS('Per Line'!$R$2:$R$6001,'Per Line'!$C$2:$C$6001,$B626,'Per Line'!$AI$2:$AI$6001,1,'Per Line'!$AJ$2:$AJ$6001,0))</f>
        <v/>
      </c>
      <c r="Q626" s="7">
        <f>IF($V626="","",P626*O626)</f>
        <v/>
      </c>
      <c r="R626" s="7">
        <f>IF($V626="","",Q626+N626)</f>
        <v/>
      </c>
      <c r="S626" s="7">
        <f>IF($V626="","",T626-R626)</f>
        <v/>
      </c>
      <c r="T626" s="7">
        <f>IF($V626="","",M626+P626+K626)</f>
        <v/>
      </c>
      <c r="U626" s="7">
        <f>IF($V626="","",T626-R626-I626)</f>
        <v/>
      </c>
      <c r="V626" s="13">
        <f>IF(ROWS($V$2:$V626)&lt;=MAX('Per Line'!$AH$2:$AH$6001),MATCH(ROWS($V$2:$V626),'Per Line'!$AH$2:$AH$6001,0),"")</f>
        <v/>
      </c>
    </row>
    <row r="627">
      <c r="A627" s="12" t="n"/>
      <c r="B627">
        <f>IF($V627="","",INDEX('Per Line'!$C$2:$C$6001,$V627)&amp;"")</f>
        <v/>
      </c>
      <c r="C627" s="11">
        <f>IF($V627="","",INDEX('Per Line'!$D$2:$D$6001,$V627))</f>
        <v/>
      </c>
      <c r="D627">
        <f>IF($V627="","",INDEX('Per Line'!$E$2:$E$6001,$V627)&amp;"")</f>
        <v/>
      </c>
      <c r="E627">
        <f>IF($V627="","",INDEX('Per Line'!$G$2:$G$6001,$V627)&amp;"")</f>
        <v/>
      </c>
      <c r="F627">
        <f>IF($V627="","",INDEX('Per Line'!$H$2:$H$6001,$V627)&amp;"")</f>
        <v/>
      </c>
      <c r="G627">
        <f>IF($V627="","",INDEX('Per Line'!$I$2:$I$6001,$V627)&amp;"")</f>
        <v/>
      </c>
      <c r="H627">
        <f>IF($V627="","",INDEX('Per Line'!$J$2:$J$6001,$V627))</f>
        <v/>
      </c>
      <c r="I627" s="7">
        <f>IF($V627="","",H627*S627/100)</f>
        <v/>
      </c>
      <c r="J627">
        <f>IF($V627="","",INDEX('Per Line'!$S$2:$S$6001,$V627)&amp;"")</f>
        <v/>
      </c>
      <c r="K627" s="7">
        <f>IF($V627="","",SUMIFS('Per Line'!$R$2:$R$6001,'Per Line'!$C$2:$C$6001,$B627,'Per Line'!$AJ$2:$AJ$6001,1))</f>
        <v/>
      </c>
      <c r="L627">
        <f>IF($V627="","",Settings!$C$7)</f>
        <v/>
      </c>
      <c r="M627" s="7">
        <f>IF($V627="","",SUMIFS('Per Line'!$R$2:$R$6001,'Per Line'!$C$2:$C$6001,$B627,'Per Line'!$AI$2:$AI$6001,0,'Per Line'!$AJ$2:$AJ$6001,0))</f>
        <v/>
      </c>
      <c r="N627" s="7">
        <f>IF($V627="","",M627*L627)</f>
        <v/>
      </c>
      <c r="O627">
        <f>IF($V627="","",Settings!$C$6)</f>
        <v/>
      </c>
      <c r="P627" s="7">
        <f>IF($V627="","",SUMIFS('Per Line'!$R$2:$R$6001,'Per Line'!$C$2:$C$6001,$B627,'Per Line'!$AI$2:$AI$6001,1,'Per Line'!$AJ$2:$AJ$6001,0))</f>
        <v/>
      </c>
      <c r="Q627" s="7">
        <f>IF($V627="","",P627*O627)</f>
        <v/>
      </c>
      <c r="R627" s="7">
        <f>IF($V627="","",Q627+N627)</f>
        <v/>
      </c>
      <c r="S627" s="7">
        <f>IF($V627="","",T627-R627)</f>
        <v/>
      </c>
      <c r="T627" s="7">
        <f>IF($V627="","",M627+P627+K627)</f>
        <v/>
      </c>
      <c r="U627" s="7">
        <f>IF($V627="","",T627-R627-I627)</f>
        <v/>
      </c>
      <c r="V627" s="13">
        <f>IF(ROWS($V$2:$V627)&lt;=MAX('Per Line'!$AH$2:$AH$6001),MATCH(ROWS($V$2:$V627),'Per Line'!$AH$2:$AH$6001,0),"")</f>
        <v/>
      </c>
    </row>
    <row r="628">
      <c r="A628" s="12" t="n"/>
      <c r="B628">
        <f>IF($V628="","",INDEX('Per Line'!$C$2:$C$6001,$V628)&amp;"")</f>
        <v/>
      </c>
      <c r="C628" s="11">
        <f>IF($V628="","",INDEX('Per Line'!$D$2:$D$6001,$V628))</f>
        <v/>
      </c>
      <c r="D628">
        <f>IF($V628="","",INDEX('Per Line'!$E$2:$E$6001,$V628)&amp;"")</f>
        <v/>
      </c>
      <c r="E628">
        <f>IF($V628="","",INDEX('Per Line'!$G$2:$G$6001,$V628)&amp;"")</f>
        <v/>
      </c>
      <c r="F628">
        <f>IF($V628="","",INDEX('Per Line'!$H$2:$H$6001,$V628)&amp;"")</f>
        <v/>
      </c>
      <c r="G628">
        <f>IF($V628="","",INDEX('Per Line'!$I$2:$I$6001,$V628)&amp;"")</f>
        <v/>
      </c>
      <c r="H628">
        <f>IF($V628="","",INDEX('Per Line'!$J$2:$J$6001,$V628))</f>
        <v/>
      </c>
      <c r="I628" s="7">
        <f>IF($V628="","",H628*S628/100)</f>
        <v/>
      </c>
      <c r="J628">
        <f>IF($V628="","",INDEX('Per Line'!$S$2:$S$6001,$V628)&amp;"")</f>
        <v/>
      </c>
      <c r="K628" s="7">
        <f>IF($V628="","",SUMIFS('Per Line'!$R$2:$R$6001,'Per Line'!$C$2:$C$6001,$B628,'Per Line'!$AJ$2:$AJ$6001,1))</f>
        <v/>
      </c>
      <c r="L628">
        <f>IF($V628="","",Settings!$C$7)</f>
        <v/>
      </c>
      <c r="M628" s="7">
        <f>IF($V628="","",SUMIFS('Per Line'!$R$2:$R$6001,'Per Line'!$C$2:$C$6001,$B628,'Per Line'!$AI$2:$AI$6001,0,'Per Line'!$AJ$2:$AJ$6001,0))</f>
        <v/>
      </c>
      <c r="N628" s="7">
        <f>IF($V628="","",M628*L628)</f>
        <v/>
      </c>
      <c r="O628">
        <f>IF($V628="","",Settings!$C$6)</f>
        <v/>
      </c>
      <c r="P628" s="7">
        <f>IF($V628="","",SUMIFS('Per Line'!$R$2:$R$6001,'Per Line'!$C$2:$C$6001,$B628,'Per Line'!$AI$2:$AI$6001,1,'Per Line'!$AJ$2:$AJ$6001,0))</f>
        <v/>
      </c>
      <c r="Q628" s="7">
        <f>IF($V628="","",P628*O628)</f>
        <v/>
      </c>
      <c r="R628" s="7">
        <f>IF($V628="","",Q628+N628)</f>
        <v/>
      </c>
      <c r="S628" s="7">
        <f>IF($V628="","",T628-R628)</f>
        <v/>
      </c>
      <c r="T628" s="7">
        <f>IF($V628="","",M628+P628+K628)</f>
        <v/>
      </c>
      <c r="U628" s="7">
        <f>IF($V628="","",T628-R628-I628)</f>
        <v/>
      </c>
      <c r="V628" s="13">
        <f>IF(ROWS($V$2:$V628)&lt;=MAX('Per Line'!$AH$2:$AH$6001),MATCH(ROWS($V$2:$V628),'Per Line'!$AH$2:$AH$6001,0),"")</f>
        <v/>
      </c>
    </row>
    <row r="629">
      <c r="A629" s="12" t="n"/>
      <c r="B629">
        <f>IF($V629="","",INDEX('Per Line'!$C$2:$C$6001,$V629)&amp;"")</f>
        <v/>
      </c>
      <c r="C629" s="11">
        <f>IF($V629="","",INDEX('Per Line'!$D$2:$D$6001,$V629))</f>
        <v/>
      </c>
      <c r="D629">
        <f>IF($V629="","",INDEX('Per Line'!$E$2:$E$6001,$V629)&amp;"")</f>
        <v/>
      </c>
      <c r="E629">
        <f>IF($V629="","",INDEX('Per Line'!$G$2:$G$6001,$V629)&amp;"")</f>
        <v/>
      </c>
      <c r="F629">
        <f>IF($V629="","",INDEX('Per Line'!$H$2:$H$6001,$V629)&amp;"")</f>
        <v/>
      </c>
      <c r="G629">
        <f>IF($V629="","",INDEX('Per Line'!$I$2:$I$6001,$V629)&amp;"")</f>
        <v/>
      </c>
      <c r="H629">
        <f>IF($V629="","",INDEX('Per Line'!$J$2:$J$6001,$V629))</f>
        <v/>
      </c>
      <c r="I629" s="7">
        <f>IF($V629="","",H629*S629/100)</f>
        <v/>
      </c>
      <c r="J629">
        <f>IF($V629="","",INDEX('Per Line'!$S$2:$S$6001,$V629)&amp;"")</f>
        <v/>
      </c>
      <c r="K629" s="7">
        <f>IF($V629="","",SUMIFS('Per Line'!$R$2:$R$6001,'Per Line'!$C$2:$C$6001,$B629,'Per Line'!$AJ$2:$AJ$6001,1))</f>
        <v/>
      </c>
      <c r="L629">
        <f>IF($V629="","",Settings!$C$7)</f>
        <v/>
      </c>
      <c r="M629" s="7">
        <f>IF($V629="","",SUMIFS('Per Line'!$R$2:$R$6001,'Per Line'!$C$2:$C$6001,$B629,'Per Line'!$AI$2:$AI$6001,0,'Per Line'!$AJ$2:$AJ$6001,0))</f>
        <v/>
      </c>
      <c r="N629" s="7">
        <f>IF($V629="","",M629*L629)</f>
        <v/>
      </c>
      <c r="O629">
        <f>IF($V629="","",Settings!$C$6)</f>
        <v/>
      </c>
      <c r="P629" s="7">
        <f>IF($V629="","",SUMIFS('Per Line'!$R$2:$R$6001,'Per Line'!$C$2:$C$6001,$B629,'Per Line'!$AI$2:$AI$6001,1,'Per Line'!$AJ$2:$AJ$6001,0))</f>
        <v/>
      </c>
      <c r="Q629" s="7">
        <f>IF($V629="","",P629*O629)</f>
        <v/>
      </c>
      <c r="R629" s="7">
        <f>IF($V629="","",Q629+N629)</f>
        <v/>
      </c>
      <c r="S629" s="7">
        <f>IF($V629="","",T629-R629)</f>
        <v/>
      </c>
      <c r="T629" s="7">
        <f>IF($V629="","",M629+P629+K629)</f>
        <v/>
      </c>
      <c r="U629" s="7">
        <f>IF($V629="","",T629-R629-I629)</f>
        <v/>
      </c>
      <c r="V629" s="13">
        <f>IF(ROWS($V$2:$V629)&lt;=MAX('Per Line'!$AH$2:$AH$6001),MATCH(ROWS($V$2:$V629),'Per Line'!$AH$2:$AH$6001,0),"")</f>
        <v/>
      </c>
    </row>
    <row r="630">
      <c r="A630" s="12" t="n"/>
      <c r="B630">
        <f>IF($V630="","",INDEX('Per Line'!$C$2:$C$6001,$V630)&amp;"")</f>
        <v/>
      </c>
      <c r="C630" s="11">
        <f>IF($V630="","",INDEX('Per Line'!$D$2:$D$6001,$V630))</f>
        <v/>
      </c>
      <c r="D630">
        <f>IF($V630="","",INDEX('Per Line'!$E$2:$E$6001,$V630)&amp;"")</f>
        <v/>
      </c>
      <c r="E630">
        <f>IF($V630="","",INDEX('Per Line'!$G$2:$G$6001,$V630)&amp;"")</f>
        <v/>
      </c>
      <c r="F630">
        <f>IF($V630="","",INDEX('Per Line'!$H$2:$H$6001,$V630)&amp;"")</f>
        <v/>
      </c>
      <c r="G630">
        <f>IF($V630="","",INDEX('Per Line'!$I$2:$I$6001,$V630)&amp;"")</f>
        <v/>
      </c>
      <c r="H630">
        <f>IF($V630="","",INDEX('Per Line'!$J$2:$J$6001,$V630))</f>
        <v/>
      </c>
      <c r="I630" s="7">
        <f>IF($V630="","",H630*S630/100)</f>
        <v/>
      </c>
      <c r="J630">
        <f>IF($V630="","",INDEX('Per Line'!$S$2:$S$6001,$V630)&amp;"")</f>
        <v/>
      </c>
      <c r="K630" s="7">
        <f>IF($V630="","",SUMIFS('Per Line'!$R$2:$R$6001,'Per Line'!$C$2:$C$6001,$B630,'Per Line'!$AJ$2:$AJ$6001,1))</f>
        <v/>
      </c>
      <c r="L630">
        <f>IF($V630="","",Settings!$C$7)</f>
        <v/>
      </c>
      <c r="M630" s="7">
        <f>IF($V630="","",SUMIFS('Per Line'!$R$2:$R$6001,'Per Line'!$C$2:$C$6001,$B630,'Per Line'!$AI$2:$AI$6001,0,'Per Line'!$AJ$2:$AJ$6001,0))</f>
        <v/>
      </c>
      <c r="N630" s="7">
        <f>IF($V630="","",M630*L630)</f>
        <v/>
      </c>
      <c r="O630">
        <f>IF($V630="","",Settings!$C$6)</f>
        <v/>
      </c>
      <c r="P630" s="7">
        <f>IF($V630="","",SUMIFS('Per Line'!$R$2:$R$6001,'Per Line'!$C$2:$C$6001,$B630,'Per Line'!$AI$2:$AI$6001,1,'Per Line'!$AJ$2:$AJ$6001,0))</f>
        <v/>
      </c>
      <c r="Q630" s="7">
        <f>IF($V630="","",P630*O630)</f>
        <v/>
      </c>
      <c r="R630" s="7">
        <f>IF($V630="","",Q630+N630)</f>
        <v/>
      </c>
      <c r="S630" s="7">
        <f>IF($V630="","",T630-R630)</f>
        <v/>
      </c>
      <c r="T630" s="7">
        <f>IF($V630="","",M630+P630+K630)</f>
        <v/>
      </c>
      <c r="U630" s="7">
        <f>IF($V630="","",T630-R630-I630)</f>
        <v/>
      </c>
      <c r="V630" s="13">
        <f>IF(ROWS($V$2:$V630)&lt;=MAX('Per Line'!$AH$2:$AH$6001),MATCH(ROWS($V$2:$V630),'Per Line'!$AH$2:$AH$6001,0),"")</f>
        <v/>
      </c>
    </row>
    <row r="631">
      <c r="A631" s="12" t="n"/>
      <c r="B631">
        <f>IF($V631="","",INDEX('Per Line'!$C$2:$C$6001,$V631)&amp;"")</f>
        <v/>
      </c>
      <c r="C631" s="11">
        <f>IF($V631="","",INDEX('Per Line'!$D$2:$D$6001,$V631))</f>
        <v/>
      </c>
      <c r="D631">
        <f>IF($V631="","",INDEX('Per Line'!$E$2:$E$6001,$V631)&amp;"")</f>
        <v/>
      </c>
      <c r="E631">
        <f>IF($V631="","",INDEX('Per Line'!$G$2:$G$6001,$V631)&amp;"")</f>
        <v/>
      </c>
      <c r="F631">
        <f>IF($V631="","",INDEX('Per Line'!$H$2:$H$6001,$V631)&amp;"")</f>
        <v/>
      </c>
      <c r="G631">
        <f>IF($V631="","",INDEX('Per Line'!$I$2:$I$6001,$V631)&amp;"")</f>
        <v/>
      </c>
      <c r="H631">
        <f>IF($V631="","",INDEX('Per Line'!$J$2:$J$6001,$V631))</f>
        <v/>
      </c>
      <c r="I631" s="7">
        <f>IF($V631="","",H631*S631/100)</f>
        <v/>
      </c>
      <c r="J631">
        <f>IF($V631="","",INDEX('Per Line'!$S$2:$S$6001,$V631)&amp;"")</f>
        <v/>
      </c>
      <c r="K631" s="7">
        <f>IF($V631="","",SUMIFS('Per Line'!$R$2:$R$6001,'Per Line'!$C$2:$C$6001,$B631,'Per Line'!$AJ$2:$AJ$6001,1))</f>
        <v/>
      </c>
      <c r="L631">
        <f>IF($V631="","",Settings!$C$7)</f>
        <v/>
      </c>
      <c r="M631" s="7">
        <f>IF($V631="","",SUMIFS('Per Line'!$R$2:$R$6001,'Per Line'!$C$2:$C$6001,$B631,'Per Line'!$AI$2:$AI$6001,0,'Per Line'!$AJ$2:$AJ$6001,0))</f>
        <v/>
      </c>
      <c r="N631" s="7">
        <f>IF($V631="","",M631*L631)</f>
        <v/>
      </c>
      <c r="O631">
        <f>IF($V631="","",Settings!$C$6)</f>
        <v/>
      </c>
      <c r="P631" s="7">
        <f>IF($V631="","",SUMIFS('Per Line'!$R$2:$R$6001,'Per Line'!$C$2:$C$6001,$B631,'Per Line'!$AI$2:$AI$6001,1,'Per Line'!$AJ$2:$AJ$6001,0))</f>
        <v/>
      </c>
      <c r="Q631" s="7">
        <f>IF($V631="","",P631*O631)</f>
        <v/>
      </c>
      <c r="R631" s="7">
        <f>IF($V631="","",Q631+N631)</f>
        <v/>
      </c>
      <c r="S631" s="7">
        <f>IF($V631="","",T631-R631)</f>
        <v/>
      </c>
      <c r="T631" s="7">
        <f>IF($V631="","",M631+P631+K631)</f>
        <v/>
      </c>
      <c r="U631" s="7">
        <f>IF($V631="","",T631-R631-I631)</f>
        <v/>
      </c>
      <c r="V631" s="13">
        <f>IF(ROWS($V$2:$V631)&lt;=MAX('Per Line'!$AH$2:$AH$6001),MATCH(ROWS($V$2:$V631),'Per Line'!$AH$2:$AH$6001,0),"")</f>
        <v/>
      </c>
    </row>
    <row r="632">
      <c r="A632" s="12" t="n"/>
      <c r="B632">
        <f>IF($V632="","",INDEX('Per Line'!$C$2:$C$6001,$V632)&amp;"")</f>
        <v/>
      </c>
      <c r="C632" s="11">
        <f>IF($V632="","",INDEX('Per Line'!$D$2:$D$6001,$V632))</f>
        <v/>
      </c>
      <c r="D632">
        <f>IF($V632="","",INDEX('Per Line'!$E$2:$E$6001,$V632)&amp;"")</f>
        <v/>
      </c>
      <c r="E632">
        <f>IF($V632="","",INDEX('Per Line'!$G$2:$G$6001,$V632)&amp;"")</f>
        <v/>
      </c>
      <c r="F632">
        <f>IF($V632="","",INDEX('Per Line'!$H$2:$H$6001,$V632)&amp;"")</f>
        <v/>
      </c>
      <c r="G632">
        <f>IF($V632="","",INDEX('Per Line'!$I$2:$I$6001,$V632)&amp;"")</f>
        <v/>
      </c>
      <c r="H632">
        <f>IF($V632="","",INDEX('Per Line'!$J$2:$J$6001,$V632))</f>
        <v/>
      </c>
      <c r="I632" s="7">
        <f>IF($V632="","",H632*S632/100)</f>
        <v/>
      </c>
      <c r="J632">
        <f>IF($V632="","",INDEX('Per Line'!$S$2:$S$6001,$V632)&amp;"")</f>
        <v/>
      </c>
      <c r="K632" s="7">
        <f>IF($V632="","",SUMIFS('Per Line'!$R$2:$R$6001,'Per Line'!$C$2:$C$6001,$B632,'Per Line'!$AJ$2:$AJ$6001,1))</f>
        <v/>
      </c>
      <c r="L632">
        <f>IF($V632="","",Settings!$C$7)</f>
        <v/>
      </c>
      <c r="M632" s="7">
        <f>IF($V632="","",SUMIFS('Per Line'!$R$2:$R$6001,'Per Line'!$C$2:$C$6001,$B632,'Per Line'!$AI$2:$AI$6001,0,'Per Line'!$AJ$2:$AJ$6001,0))</f>
        <v/>
      </c>
      <c r="N632" s="7">
        <f>IF($V632="","",M632*L632)</f>
        <v/>
      </c>
      <c r="O632">
        <f>IF($V632="","",Settings!$C$6)</f>
        <v/>
      </c>
      <c r="P632" s="7">
        <f>IF($V632="","",SUMIFS('Per Line'!$R$2:$R$6001,'Per Line'!$C$2:$C$6001,$B632,'Per Line'!$AI$2:$AI$6001,1,'Per Line'!$AJ$2:$AJ$6001,0))</f>
        <v/>
      </c>
      <c r="Q632" s="7">
        <f>IF($V632="","",P632*O632)</f>
        <v/>
      </c>
      <c r="R632" s="7">
        <f>IF($V632="","",Q632+N632)</f>
        <v/>
      </c>
      <c r="S632" s="7">
        <f>IF($V632="","",T632-R632)</f>
        <v/>
      </c>
      <c r="T632" s="7">
        <f>IF($V632="","",M632+P632+K632)</f>
        <v/>
      </c>
      <c r="U632" s="7">
        <f>IF($V632="","",T632-R632-I632)</f>
        <v/>
      </c>
      <c r="V632" s="13">
        <f>IF(ROWS($V$2:$V632)&lt;=MAX('Per Line'!$AH$2:$AH$6001),MATCH(ROWS($V$2:$V632),'Per Line'!$AH$2:$AH$6001,0),"")</f>
        <v/>
      </c>
    </row>
    <row r="633">
      <c r="A633" s="12" t="n"/>
      <c r="B633">
        <f>IF($V633="","",INDEX('Per Line'!$C$2:$C$6001,$V633)&amp;"")</f>
        <v/>
      </c>
      <c r="C633" s="11">
        <f>IF($V633="","",INDEX('Per Line'!$D$2:$D$6001,$V633))</f>
        <v/>
      </c>
      <c r="D633">
        <f>IF($V633="","",INDEX('Per Line'!$E$2:$E$6001,$V633)&amp;"")</f>
        <v/>
      </c>
      <c r="E633">
        <f>IF($V633="","",INDEX('Per Line'!$G$2:$G$6001,$V633)&amp;"")</f>
        <v/>
      </c>
      <c r="F633">
        <f>IF($V633="","",INDEX('Per Line'!$H$2:$H$6001,$V633)&amp;"")</f>
        <v/>
      </c>
      <c r="G633">
        <f>IF($V633="","",INDEX('Per Line'!$I$2:$I$6001,$V633)&amp;"")</f>
        <v/>
      </c>
      <c r="H633">
        <f>IF($V633="","",INDEX('Per Line'!$J$2:$J$6001,$V633))</f>
        <v/>
      </c>
      <c r="I633" s="7">
        <f>IF($V633="","",H633*S633/100)</f>
        <v/>
      </c>
      <c r="J633">
        <f>IF($V633="","",INDEX('Per Line'!$S$2:$S$6001,$V633)&amp;"")</f>
        <v/>
      </c>
      <c r="K633" s="7">
        <f>IF($V633="","",SUMIFS('Per Line'!$R$2:$R$6001,'Per Line'!$C$2:$C$6001,$B633,'Per Line'!$AJ$2:$AJ$6001,1))</f>
        <v/>
      </c>
      <c r="L633">
        <f>IF($V633="","",Settings!$C$7)</f>
        <v/>
      </c>
      <c r="M633" s="7">
        <f>IF($V633="","",SUMIFS('Per Line'!$R$2:$R$6001,'Per Line'!$C$2:$C$6001,$B633,'Per Line'!$AI$2:$AI$6001,0,'Per Line'!$AJ$2:$AJ$6001,0))</f>
        <v/>
      </c>
      <c r="N633" s="7">
        <f>IF($V633="","",M633*L633)</f>
        <v/>
      </c>
      <c r="O633">
        <f>IF($V633="","",Settings!$C$6)</f>
        <v/>
      </c>
      <c r="P633" s="7">
        <f>IF($V633="","",SUMIFS('Per Line'!$R$2:$R$6001,'Per Line'!$C$2:$C$6001,$B633,'Per Line'!$AI$2:$AI$6001,1,'Per Line'!$AJ$2:$AJ$6001,0))</f>
        <v/>
      </c>
      <c r="Q633" s="7">
        <f>IF($V633="","",P633*O633)</f>
        <v/>
      </c>
      <c r="R633" s="7">
        <f>IF($V633="","",Q633+N633)</f>
        <v/>
      </c>
      <c r="S633" s="7">
        <f>IF($V633="","",T633-R633)</f>
        <v/>
      </c>
      <c r="T633" s="7">
        <f>IF($V633="","",M633+P633+K633)</f>
        <v/>
      </c>
      <c r="U633" s="7">
        <f>IF($V633="","",T633-R633-I633)</f>
        <v/>
      </c>
      <c r="V633" s="13">
        <f>IF(ROWS($V$2:$V633)&lt;=MAX('Per Line'!$AH$2:$AH$6001),MATCH(ROWS($V$2:$V633),'Per Line'!$AH$2:$AH$6001,0),"")</f>
        <v/>
      </c>
    </row>
    <row r="634">
      <c r="A634" s="12" t="n"/>
      <c r="B634">
        <f>IF($V634="","",INDEX('Per Line'!$C$2:$C$6001,$V634)&amp;"")</f>
        <v/>
      </c>
      <c r="C634" s="11">
        <f>IF($V634="","",INDEX('Per Line'!$D$2:$D$6001,$V634))</f>
        <v/>
      </c>
      <c r="D634">
        <f>IF($V634="","",INDEX('Per Line'!$E$2:$E$6001,$V634)&amp;"")</f>
        <v/>
      </c>
      <c r="E634">
        <f>IF($V634="","",INDEX('Per Line'!$G$2:$G$6001,$V634)&amp;"")</f>
        <v/>
      </c>
      <c r="F634">
        <f>IF($V634="","",INDEX('Per Line'!$H$2:$H$6001,$V634)&amp;"")</f>
        <v/>
      </c>
      <c r="G634">
        <f>IF($V634="","",INDEX('Per Line'!$I$2:$I$6001,$V634)&amp;"")</f>
        <v/>
      </c>
      <c r="H634">
        <f>IF($V634="","",INDEX('Per Line'!$J$2:$J$6001,$V634))</f>
        <v/>
      </c>
      <c r="I634" s="7">
        <f>IF($V634="","",H634*S634/100)</f>
        <v/>
      </c>
      <c r="J634">
        <f>IF($V634="","",INDEX('Per Line'!$S$2:$S$6001,$V634)&amp;"")</f>
        <v/>
      </c>
      <c r="K634" s="7">
        <f>IF($V634="","",SUMIFS('Per Line'!$R$2:$R$6001,'Per Line'!$C$2:$C$6001,$B634,'Per Line'!$AJ$2:$AJ$6001,1))</f>
        <v/>
      </c>
      <c r="L634">
        <f>IF($V634="","",Settings!$C$7)</f>
        <v/>
      </c>
      <c r="M634" s="7">
        <f>IF($V634="","",SUMIFS('Per Line'!$R$2:$R$6001,'Per Line'!$C$2:$C$6001,$B634,'Per Line'!$AI$2:$AI$6001,0,'Per Line'!$AJ$2:$AJ$6001,0))</f>
        <v/>
      </c>
      <c r="N634" s="7">
        <f>IF($V634="","",M634*L634)</f>
        <v/>
      </c>
      <c r="O634">
        <f>IF($V634="","",Settings!$C$6)</f>
        <v/>
      </c>
      <c r="P634" s="7">
        <f>IF($V634="","",SUMIFS('Per Line'!$R$2:$R$6001,'Per Line'!$C$2:$C$6001,$B634,'Per Line'!$AI$2:$AI$6001,1,'Per Line'!$AJ$2:$AJ$6001,0))</f>
        <v/>
      </c>
      <c r="Q634" s="7">
        <f>IF($V634="","",P634*O634)</f>
        <v/>
      </c>
      <c r="R634" s="7">
        <f>IF($V634="","",Q634+N634)</f>
        <v/>
      </c>
      <c r="S634" s="7">
        <f>IF($V634="","",T634-R634)</f>
        <v/>
      </c>
      <c r="T634" s="7">
        <f>IF($V634="","",M634+P634+K634)</f>
        <v/>
      </c>
      <c r="U634" s="7">
        <f>IF($V634="","",T634-R634-I634)</f>
        <v/>
      </c>
      <c r="V634" s="13">
        <f>IF(ROWS($V$2:$V634)&lt;=MAX('Per Line'!$AH$2:$AH$6001),MATCH(ROWS($V$2:$V634),'Per Line'!$AH$2:$AH$6001,0),"")</f>
        <v/>
      </c>
    </row>
    <row r="635">
      <c r="A635" s="12" t="n"/>
      <c r="B635">
        <f>IF($V635="","",INDEX('Per Line'!$C$2:$C$6001,$V635)&amp;"")</f>
        <v/>
      </c>
      <c r="C635" s="11">
        <f>IF($V635="","",INDEX('Per Line'!$D$2:$D$6001,$V635))</f>
        <v/>
      </c>
      <c r="D635">
        <f>IF($V635="","",INDEX('Per Line'!$E$2:$E$6001,$V635)&amp;"")</f>
        <v/>
      </c>
      <c r="E635">
        <f>IF($V635="","",INDEX('Per Line'!$G$2:$G$6001,$V635)&amp;"")</f>
        <v/>
      </c>
      <c r="F635">
        <f>IF($V635="","",INDEX('Per Line'!$H$2:$H$6001,$V635)&amp;"")</f>
        <v/>
      </c>
      <c r="G635">
        <f>IF($V635="","",INDEX('Per Line'!$I$2:$I$6001,$V635)&amp;"")</f>
        <v/>
      </c>
      <c r="H635">
        <f>IF($V635="","",INDEX('Per Line'!$J$2:$J$6001,$V635))</f>
        <v/>
      </c>
      <c r="I635" s="7">
        <f>IF($V635="","",H635*S635/100)</f>
        <v/>
      </c>
      <c r="J635">
        <f>IF($V635="","",INDEX('Per Line'!$S$2:$S$6001,$V635)&amp;"")</f>
        <v/>
      </c>
      <c r="K635" s="7">
        <f>IF($V635="","",SUMIFS('Per Line'!$R$2:$R$6001,'Per Line'!$C$2:$C$6001,$B635,'Per Line'!$AJ$2:$AJ$6001,1))</f>
        <v/>
      </c>
      <c r="L635">
        <f>IF($V635="","",Settings!$C$7)</f>
        <v/>
      </c>
      <c r="M635" s="7">
        <f>IF($V635="","",SUMIFS('Per Line'!$R$2:$R$6001,'Per Line'!$C$2:$C$6001,$B635,'Per Line'!$AI$2:$AI$6001,0,'Per Line'!$AJ$2:$AJ$6001,0))</f>
        <v/>
      </c>
      <c r="N635" s="7">
        <f>IF($V635="","",M635*L635)</f>
        <v/>
      </c>
      <c r="O635">
        <f>IF($V635="","",Settings!$C$6)</f>
        <v/>
      </c>
      <c r="P635" s="7">
        <f>IF($V635="","",SUMIFS('Per Line'!$R$2:$R$6001,'Per Line'!$C$2:$C$6001,$B635,'Per Line'!$AI$2:$AI$6001,1,'Per Line'!$AJ$2:$AJ$6001,0))</f>
        <v/>
      </c>
      <c r="Q635" s="7">
        <f>IF($V635="","",P635*O635)</f>
        <v/>
      </c>
      <c r="R635" s="7">
        <f>IF($V635="","",Q635+N635)</f>
        <v/>
      </c>
      <c r="S635" s="7">
        <f>IF($V635="","",T635-R635)</f>
        <v/>
      </c>
      <c r="T635" s="7">
        <f>IF($V635="","",M635+P635+K635)</f>
        <v/>
      </c>
      <c r="U635" s="7">
        <f>IF($V635="","",T635-R635-I635)</f>
        <v/>
      </c>
      <c r="V635" s="13">
        <f>IF(ROWS($V$2:$V635)&lt;=MAX('Per Line'!$AH$2:$AH$6001),MATCH(ROWS($V$2:$V635),'Per Line'!$AH$2:$AH$6001,0),"")</f>
        <v/>
      </c>
    </row>
    <row r="636">
      <c r="A636" s="12" t="n"/>
      <c r="B636">
        <f>IF($V636="","",INDEX('Per Line'!$C$2:$C$6001,$V636)&amp;"")</f>
        <v/>
      </c>
      <c r="C636" s="11">
        <f>IF($V636="","",INDEX('Per Line'!$D$2:$D$6001,$V636))</f>
        <v/>
      </c>
      <c r="D636">
        <f>IF($V636="","",INDEX('Per Line'!$E$2:$E$6001,$V636)&amp;"")</f>
        <v/>
      </c>
      <c r="E636">
        <f>IF($V636="","",INDEX('Per Line'!$G$2:$G$6001,$V636)&amp;"")</f>
        <v/>
      </c>
      <c r="F636">
        <f>IF($V636="","",INDEX('Per Line'!$H$2:$H$6001,$V636)&amp;"")</f>
        <v/>
      </c>
      <c r="G636">
        <f>IF($V636="","",INDEX('Per Line'!$I$2:$I$6001,$V636)&amp;"")</f>
        <v/>
      </c>
      <c r="H636">
        <f>IF($V636="","",INDEX('Per Line'!$J$2:$J$6001,$V636))</f>
        <v/>
      </c>
      <c r="I636" s="7">
        <f>IF($V636="","",H636*S636/100)</f>
        <v/>
      </c>
      <c r="J636">
        <f>IF($V636="","",INDEX('Per Line'!$S$2:$S$6001,$V636)&amp;"")</f>
        <v/>
      </c>
      <c r="K636" s="7">
        <f>IF($V636="","",SUMIFS('Per Line'!$R$2:$R$6001,'Per Line'!$C$2:$C$6001,$B636,'Per Line'!$AJ$2:$AJ$6001,1))</f>
        <v/>
      </c>
      <c r="L636">
        <f>IF($V636="","",Settings!$C$7)</f>
        <v/>
      </c>
      <c r="M636" s="7">
        <f>IF($V636="","",SUMIFS('Per Line'!$R$2:$R$6001,'Per Line'!$C$2:$C$6001,$B636,'Per Line'!$AI$2:$AI$6001,0,'Per Line'!$AJ$2:$AJ$6001,0))</f>
        <v/>
      </c>
      <c r="N636" s="7">
        <f>IF($V636="","",M636*L636)</f>
        <v/>
      </c>
      <c r="O636">
        <f>IF($V636="","",Settings!$C$6)</f>
        <v/>
      </c>
      <c r="P636" s="7">
        <f>IF($V636="","",SUMIFS('Per Line'!$R$2:$R$6001,'Per Line'!$C$2:$C$6001,$B636,'Per Line'!$AI$2:$AI$6001,1,'Per Line'!$AJ$2:$AJ$6001,0))</f>
        <v/>
      </c>
      <c r="Q636" s="7">
        <f>IF($V636="","",P636*O636)</f>
        <v/>
      </c>
      <c r="R636" s="7">
        <f>IF($V636="","",Q636+N636)</f>
        <v/>
      </c>
      <c r="S636" s="7">
        <f>IF($V636="","",T636-R636)</f>
        <v/>
      </c>
      <c r="T636" s="7">
        <f>IF($V636="","",M636+P636+K636)</f>
        <v/>
      </c>
      <c r="U636" s="7">
        <f>IF($V636="","",T636-R636-I636)</f>
        <v/>
      </c>
      <c r="V636" s="13">
        <f>IF(ROWS($V$2:$V636)&lt;=MAX('Per Line'!$AH$2:$AH$6001),MATCH(ROWS($V$2:$V636),'Per Line'!$AH$2:$AH$6001,0),"")</f>
        <v/>
      </c>
    </row>
    <row r="637">
      <c r="A637" s="12" t="n"/>
      <c r="B637">
        <f>IF($V637="","",INDEX('Per Line'!$C$2:$C$6001,$V637)&amp;"")</f>
        <v/>
      </c>
      <c r="C637" s="11">
        <f>IF($V637="","",INDEX('Per Line'!$D$2:$D$6001,$V637))</f>
        <v/>
      </c>
      <c r="D637">
        <f>IF($V637="","",INDEX('Per Line'!$E$2:$E$6001,$V637)&amp;"")</f>
        <v/>
      </c>
      <c r="E637">
        <f>IF($V637="","",INDEX('Per Line'!$G$2:$G$6001,$V637)&amp;"")</f>
        <v/>
      </c>
      <c r="F637">
        <f>IF($V637="","",INDEX('Per Line'!$H$2:$H$6001,$V637)&amp;"")</f>
        <v/>
      </c>
      <c r="G637">
        <f>IF($V637="","",INDEX('Per Line'!$I$2:$I$6001,$V637)&amp;"")</f>
        <v/>
      </c>
      <c r="H637">
        <f>IF($V637="","",INDEX('Per Line'!$J$2:$J$6001,$V637))</f>
        <v/>
      </c>
      <c r="I637" s="7">
        <f>IF($V637="","",H637*S637/100)</f>
        <v/>
      </c>
      <c r="J637">
        <f>IF($V637="","",INDEX('Per Line'!$S$2:$S$6001,$V637)&amp;"")</f>
        <v/>
      </c>
      <c r="K637" s="7">
        <f>IF($V637="","",SUMIFS('Per Line'!$R$2:$R$6001,'Per Line'!$C$2:$C$6001,$B637,'Per Line'!$AJ$2:$AJ$6001,1))</f>
        <v/>
      </c>
      <c r="L637">
        <f>IF($V637="","",Settings!$C$7)</f>
        <v/>
      </c>
      <c r="M637" s="7">
        <f>IF($V637="","",SUMIFS('Per Line'!$R$2:$R$6001,'Per Line'!$C$2:$C$6001,$B637,'Per Line'!$AI$2:$AI$6001,0,'Per Line'!$AJ$2:$AJ$6001,0))</f>
        <v/>
      </c>
      <c r="N637" s="7">
        <f>IF($V637="","",M637*L637)</f>
        <v/>
      </c>
      <c r="O637">
        <f>IF($V637="","",Settings!$C$6)</f>
        <v/>
      </c>
      <c r="P637" s="7">
        <f>IF($V637="","",SUMIFS('Per Line'!$R$2:$R$6001,'Per Line'!$C$2:$C$6001,$B637,'Per Line'!$AI$2:$AI$6001,1,'Per Line'!$AJ$2:$AJ$6001,0))</f>
        <v/>
      </c>
      <c r="Q637" s="7">
        <f>IF($V637="","",P637*O637)</f>
        <v/>
      </c>
      <c r="R637" s="7">
        <f>IF($V637="","",Q637+N637)</f>
        <v/>
      </c>
      <c r="S637" s="7">
        <f>IF($V637="","",T637-R637)</f>
        <v/>
      </c>
      <c r="T637" s="7">
        <f>IF($V637="","",M637+P637+K637)</f>
        <v/>
      </c>
      <c r="U637" s="7">
        <f>IF($V637="","",T637-R637-I637)</f>
        <v/>
      </c>
      <c r="V637" s="13">
        <f>IF(ROWS($V$2:$V637)&lt;=MAX('Per Line'!$AH$2:$AH$6001),MATCH(ROWS($V$2:$V637),'Per Line'!$AH$2:$AH$6001,0),"")</f>
        <v/>
      </c>
    </row>
    <row r="638">
      <c r="A638" s="12" t="n"/>
      <c r="B638">
        <f>IF($V638="","",INDEX('Per Line'!$C$2:$C$6001,$V638)&amp;"")</f>
        <v/>
      </c>
      <c r="C638" s="11">
        <f>IF($V638="","",INDEX('Per Line'!$D$2:$D$6001,$V638))</f>
        <v/>
      </c>
      <c r="D638">
        <f>IF($V638="","",INDEX('Per Line'!$E$2:$E$6001,$V638)&amp;"")</f>
        <v/>
      </c>
      <c r="E638">
        <f>IF($V638="","",INDEX('Per Line'!$G$2:$G$6001,$V638)&amp;"")</f>
        <v/>
      </c>
      <c r="F638">
        <f>IF($V638="","",INDEX('Per Line'!$H$2:$H$6001,$V638)&amp;"")</f>
        <v/>
      </c>
      <c r="G638">
        <f>IF($V638="","",INDEX('Per Line'!$I$2:$I$6001,$V638)&amp;"")</f>
        <v/>
      </c>
      <c r="H638">
        <f>IF($V638="","",INDEX('Per Line'!$J$2:$J$6001,$V638))</f>
        <v/>
      </c>
      <c r="I638" s="7">
        <f>IF($V638="","",H638*S638/100)</f>
        <v/>
      </c>
      <c r="J638">
        <f>IF($V638="","",INDEX('Per Line'!$S$2:$S$6001,$V638)&amp;"")</f>
        <v/>
      </c>
      <c r="K638" s="7">
        <f>IF($V638="","",SUMIFS('Per Line'!$R$2:$R$6001,'Per Line'!$C$2:$C$6001,$B638,'Per Line'!$AJ$2:$AJ$6001,1))</f>
        <v/>
      </c>
      <c r="L638">
        <f>IF($V638="","",Settings!$C$7)</f>
        <v/>
      </c>
      <c r="M638" s="7">
        <f>IF($V638="","",SUMIFS('Per Line'!$R$2:$R$6001,'Per Line'!$C$2:$C$6001,$B638,'Per Line'!$AI$2:$AI$6001,0,'Per Line'!$AJ$2:$AJ$6001,0))</f>
        <v/>
      </c>
      <c r="N638" s="7">
        <f>IF($V638="","",M638*L638)</f>
        <v/>
      </c>
      <c r="O638">
        <f>IF($V638="","",Settings!$C$6)</f>
        <v/>
      </c>
      <c r="P638" s="7">
        <f>IF($V638="","",SUMIFS('Per Line'!$R$2:$R$6001,'Per Line'!$C$2:$C$6001,$B638,'Per Line'!$AI$2:$AI$6001,1,'Per Line'!$AJ$2:$AJ$6001,0))</f>
        <v/>
      </c>
      <c r="Q638" s="7">
        <f>IF($V638="","",P638*O638)</f>
        <v/>
      </c>
      <c r="R638" s="7">
        <f>IF($V638="","",Q638+N638)</f>
        <v/>
      </c>
      <c r="S638" s="7">
        <f>IF($V638="","",T638-R638)</f>
        <v/>
      </c>
      <c r="T638" s="7">
        <f>IF($V638="","",M638+P638+K638)</f>
        <v/>
      </c>
      <c r="U638" s="7">
        <f>IF($V638="","",T638-R638-I638)</f>
        <v/>
      </c>
      <c r="V638" s="13">
        <f>IF(ROWS($V$2:$V638)&lt;=MAX('Per Line'!$AH$2:$AH$6001),MATCH(ROWS($V$2:$V638),'Per Line'!$AH$2:$AH$6001,0),"")</f>
        <v/>
      </c>
    </row>
    <row r="639">
      <c r="A639" s="12" t="n"/>
      <c r="B639">
        <f>IF($V639="","",INDEX('Per Line'!$C$2:$C$6001,$V639)&amp;"")</f>
        <v/>
      </c>
      <c r="C639" s="11">
        <f>IF($V639="","",INDEX('Per Line'!$D$2:$D$6001,$V639))</f>
        <v/>
      </c>
      <c r="D639">
        <f>IF($V639="","",INDEX('Per Line'!$E$2:$E$6001,$V639)&amp;"")</f>
        <v/>
      </c>
      <c r="E639">
        <f>IF($V639="","",INDEX('Per Line'!$G$2:$G$6001,$V639)&amp;"")</f>
        <v/>
      </c>
      <c r="F639">
        <f>IF($V639="","",INDEX('Per Line'!$H$2:$H$6001,$V639)&amp;"")</f>
        <v/>
      </c>
      <c r="G639">
        <f>IF($V639="","",INDEX('Per Line'!$I$2:$I$6001,$V639)&amp;"")</f>
        <v/>
      </c>
      <c r="H639">
        <f>IF($V639="","",INDEX('Per Line'!$J$2:$J$6001,$V639))</f>
        <v/>
      </c>
      <c r="I639" s="7">
        <f>IF($V639="","",H639*S639/100)</f>
        <v/>
      </c>
      <c r="J639">
        <f>IF($V639="","",INDEX('Per Line'!$S$2:$S$6001,$V639)&amp;"")</f>
        <v/>
      </c>
      <c r="K639" s="7">
        <f>IF($V639="","",SUMIFS('Per Line'!$R$2:$R$6001,'Per Line'!$C$2:$C$6001,$B639,'Per Line'!$AJ$2:$AJ$6001,1))</f>
        <v/>
      </c>
      <c r="L639">
        <f>IF($V639="","",Settings!$C$7)</f>
        <v/>
      </c>
      <c r="M639" s="7">
        <f>IF($V639="","",SUMIFS('Per Line'!$R$2:$R$6001,'Per Line'!$C$2:$C$6001,$B639,'Per Line'!$AI$2:$AI$6001,0,'Per Line'!$AJ$2:$AJ$6001,0))</f>
        <v/>
      </c>
      <c r="N639" s="7">
        <f>IF($V639="","",M639*L639)</f>
        <v/>
      </c>
      <c r="O639">
        <f>IF($V639="","",Settings!$C$6)</f>
        <v/>
      </c>
      <c r="P639" s="7">
        <f>IF($V639="","",SUMIFS('Per Line'!$R$2:$R$6001,'Per Line'!$C$2:$C$6001,$B639,'Per Line'!$AI$2:$AI$6001,1,'Per Line'!$AJ$2:$AJ$6001,0))</f>
        <v/>
      </c>
      <c r="Q639" s="7">
        <f>IF($V639="","",P639*O639)</f>
        <v/>
      </c>
      <c r="R639" s="7">
        <f>IF($V639="","",Q639+N639)</f>
        <v/>
      </c>
      <c r="S639" s="7">
        <f>IF($V639="","",T639-R639)</f>
        <v/>
      </c>
      <c r="T639" s="7">
        <f>IF($V639="","",M639+P639+K639)</f>
        <v/>
      </c>
      <c r="U639" s="7">
        <f>IF($V639="","",T639-R639-I639)</f>
        <v/>
      </c>
      <c r="V639" s="13">
        <f>IF(ROWS($V$2:$V639)&lt;=MAX('Per Line'!$AH$2:$AH$6001),MATCH(ROWS($V$2:$V639),'Per Line'!$AH$2:$AH$6001,0),"")</f>
        <v/>
      </c>
    </row>
    <row r="640">
      <c r="A640" s="12" t="n"/>
      <c r="B640">
        <f>IF($V640="","",INDEX('Per Line'!$C$2:$C$6001,$V640)&amp;"")</f>
        <v/>
      </c>
      <c r="C640" s="11">
        <f>IF($V640="","",INDEX('Per Line'!$D$2:$D$6001,$V640))</f>
        <v/>
      </c>
      <c r="D640">
        <f>IF($V640="","",INDEX('Per Line'!$E$2:$E$6001,$V640)&amp;"")</f>
        <v/>
      </c>
      <c r="E640">
        <f>IF($V640="","",INDEX('Per Line'!$G$2:$G$6001,$V640)&amp;"")</f>
        <v/>
      </c>
      <c r="F640">
        <f>IF($V640="","",INDEX('Per Line'!$H$2:$H$6001,$V640)&amp;"")</f>
        <v/>
      </c>
      <c r="G640">
        <f>IF($V640="","",INDEX('Per Line'!$I$2:$I$6001,$V640)&amp;"")</f>
        <v/>
      </c>
      <c r="H640">
        <f>IF($V640="","",INDEX('Per Line'!$J$2:$J$6001,$V640))</f>
        <v/>
      </c>
      <c r="I640" s="7">
        <f>IF($V640="","",H640*S640/100)</f>
        <v/>
      </c>
      <c r="J640">
        <f>IF($V640="","",INDEX('Per Line'!$S$2:$S$6001,$V640)&amp;"")</f>
        <v/>
      </c>
      <c r="K640" s="7">
        <f>IF($V640="","",SUMIFS('Per Line'!$R$2:$R$6001,'Per Line'!$C$2:$C$6001,$B640,'Per Line'!$AJ$2:$AJ$6001,1))</f>
        <v/>
      </c>
      <c r="L640">
        <f>IF($V640="","",Settings!$C$7)</f>
        <v/>
      </c>
      <c r="M640" s="7">
        <f>IF($V640="","",SUMIFS('Per Line'!$R$2:$R$6001,'Per Line'!$C$2:$C$6001,$B640,'Per Line'!$AI$2:$AI$6001,0,'Per Line'!$AJ$2:$AJ$6001,0))</f>
        <v/>
      </c>
      <c r="N640" s="7">
        <f>IF($V640="","",M640*L640)</f>
        <v/>
      </c>
      <c r="O640">
        <f>IF($V640="","",Settings!$C$6)</f>
        <v/>
      </c>
      <c r="P640" s="7">
        <f>IF($V640="","",SUMIFS('Per Line'!$R$2:$R$6001,'Per Line'!$C$2:$C$6001,$B640,'Per Line'!$AI$2:$AI$6001,1,'Per Line'!$AJ$2:$AJ$6001,0))</f>
        <v/>
      </c>
      <c r="Q640" s="7">
        <f>IF($V640="","",P640*O640)</f>
        <v/>
      </c>
      <c r="R640" s="7">
        <f>IF($V640="","",Q640+N640)</f>
        <v/>
      </c>
      <c r="S640" s="7">
        <f>IF($V640="","",T640-R640)</f>
        <v/>
      </c>
      <c r="T640" s="7">
        <f>IF($V640="","",M640+P640+K640)</f>
        <v/>
      </c>
      <c r="U640" s="7">
        <f>IF($V640="","",T640-R640-I640)</f>
        <v/>
      </c>
      <c r="V640" s="13">
        <f>IF(ROWS($V$2:$V640)&lt;=MAX('Per Line'!$AH$2:$AH$6001),MATCH(ROWS($V$2:$V640),'Per Line'!$AH$2:$AH$6001,0),"")</f>
        <v/>
      </c>
    </row>
    <row r="641">
      <c r="A641" s="12" t="n"/>
      <c r="B641">
        <f>IF($V641="","",INDEX('Per Line'!$C$2:$C$6001,$V641)&amp;"")</f>
        <v/>
      </c>
      <c r="C641" s="11">
        <f>IF($V641="","",INDEX('Per Line'!$D$2:$D$6001,$V641))</f>
        <v/>
      </c>
      <c r="D641">
        <f>IF($V641="","",INDEX('Per Line'!$E$2:$E$6001,$V641)&amp;"")</f>
        <v/>
      </c>
      <c r="E641">
        <f>IF($V641="","",INDEX('Per Line'!$G$2:$G$6001,$V641)&amp;"")</f>
        <v/>
      </c>
      <c r="F641">
        <f>IF($V641="","",INDEX('Per Line'!$H$2:$H$6001,$V641)&amp;"")</f>
        <v/>
      </c>
      <c r="G641">
        <f>IF($V641="","",INDEX('Per Line'!$I$2:$I$6001,$V641)&amp;"")</f>
        <v/>
      </c>
      <c r="H641">
        <f>IF($V641="","",INDEX('Per Line'!$J$2:$J$6001,$V641))</f>
        <v/>
      </c>
      <c r="I641" s="7">
        <f>IF($V641="","",H641*S641/100)</f>
        <v/>
      </c>
      <c r="J641">
        <f>IF($V641="","",INDEX('Per Line'!$S$2:$S$6001,$V641)&amp;"")</f>
        <v/>
      </c>
      <c r="K641" s="7">
        <f>IF($V641="","",SUMIFS('Per Line'!$R$2:$R$6001,'Per Line'!$C$2:$C$6001,$B641,'Per Line'!$AJ$2:$AJ$6001,1))</f>
        <v/>
      </c>
      <c r="L641">
        <f>IF($V641="","",Settings!$C$7)</f>
        <v/>
      </c>
      <c r="M641" s="7">
        <f>IF($V641="","",SUMIFS('Per Line'!$R$2:$R$6001,'Per Line'!$C$2:$C$6001,$B641,'Per Line'!$AI$2:$AI$6001,0,'Per Line'!$AJ$2:$AJ$6001,0))</f>
        <v/>
      </c>
      <c r="N641" s="7">
        <f>IF($V641="","",M641*L641)</f>
        <v/>
      </c>
      <c r="O641">
        <f>IF($V641="","",Settings!$C$6)</f>
        <v/>
      </c>
      <c r="P641" s="7">
        <f>IF($V641="","",SUMIFS('Per Line'!$R$2:$R$6001,'Per Line'!$C$2:$C$6001,$B641,'Per Line'!$AI$2:$AI$6001,1,'Per Line'!$AJ$2:$AJ$6001,0))</f>
        <v/>
      </c>
      <c r="Q641" s="7">
        <f>IF($V641="","",P641*O641)</f>
        <v/>
      </c>
      <c r="R641" s="7">
        <f>IF($V641="","",Q641+N641)</f>
        <v/>
      </c>
      <c r="S641" s="7">
        <f>IF($V641="","",T641-R641)</f>
        <v/>
      </c>
      <c r="T641" s="7">
        <f>IF($V641="","",M641+P641+K641)</f>
        <v/>
      </c>
      <c r="U641" s="7">
        <f>IF($V641="","",T641-R641-I641)</f>
        <v/>
      </c>
      <c r="V641" s="13">
        <f>IF(ROWS($V$2:$V641)&lt;=MAX('Per Line'!$AH$2:$AH$6001),MATCH(ROWS($V$2:$V641),'Per Line'!$AH$2:$AH$6001,0),"")</f>
        <v/>
      </c>
    </row>
    <row r="642">
      <c r="A642" s="12" t="n"/>
      <c r="B642">
        <f>IF($V642="","",INDEX('Per Line'!$C$2:$C$6001,$V642)&amp;"")</f>
        <v/>
      </c>
      <c r="C642" s="11">
        <f>IF($V642="","",INDEX('Per Line'!$D$2:$D$6001,$V642))</f>
        <v/>
      </c>
      <c r="D642">
        <f>IF($V642="","",INDEX('Per Line'!$E$2:$E$6001,$V642)&amp;"")</f>
        <v/>
      </c>
      <c r="E642">
        <f>IF($V642="","",INDEX('Per Line'!$G$2:$G$6001,$V642)&amp;"")</f>
        <v/>
      </c>
      <c r="F642">
        <f>IF($V642="","",INDEX('Per Line'!$H$2:$H$6001,$V642)&amp;"")</f>
        <v/>
      </c>
      <c r="G642">
        <f>IF($V642="","",INDEX('Per Line'!$I$2:$I$6001,$V642)&amp;"")</f>
        <v/>
      </c>
      <c r="H642">
        <f>IF($V642="","",INDEX('Per Line'!$J$2:$J$6001,$V642))</f>
        <v/>
      </c>
      <c r="I642" s="7">
        <f>IF($V642="","",H642*S642/100)</f>
        <v/>
      </c>
      <c r="J642">
        <f>IF($V642="","",INDEX('Per Line'!$S$2:$S$6001,$V642)&amp;"")</f>
        <v/>
      </c>
      <c r="K642" s="7">
        <f>IF($V642="","",SUMIFS('Per Line'!$R$2:$R$6001,'Per Line'!$C$2:$C$6001,$B642,'Per Line'!$AJ$2:$AJ$6001,1))</f>
        <v/>
      </c>
      <c r="L642">
        <f>IF($V642="","",Settings!$C$7)</f>
        <v/>
      </c>
      <c r="M642" s="7">
        <f>IF($V642="","",SUMIFS('Per Line'!$R$2:$R$6001,'Per Line'!$C$2:$C$6001,$B642,'Per Line'!$AI$2:$AI$6001,0,'Per Line'!$AJ$2:$AJ$6001,0))</f>
        <v/>
      </c>
      <c r="N642" s="7">
        <f>IF($V642="","",M642*L642)</f>
        <v/>
      </c>
      <c r="O642">
        <f>IF($V642="","",Settings!$C$6)</f>
        <v/>
      </c>
      <c r="P642" s="7">
        <f>IF($V642="","",SUMIFS('Per Line'!$R$2:$R$6001,'Per Line'!$C$2:$C$6001,$B642,'Per Line'!$AI$2:$AI$6001,1,'Per Line'!$AJ$2:$AJ$6001,0))</f>
        <v/>
      </c>
      <c r="Q642" s="7">
        <f>IF($V642="","",P642*O642)</f>
        <v/>
      </c>
      <c r="R642" s="7">
        <f>IF($V642="","",Q642+N642)</f>
        <v/>
      </c>
      <c r="S642" s="7">
        <f>IF($V642="","",T642-R642)</f>
        <v/>
      </c>
      <c r="T642" s="7">
        <f>IF($V642="","",M642+P642+K642)</f>
        <v/>
      </c>
      <c r="U642" s="7">
        <f>IF($V642="","",T642-R642-I642)</f>
        <v/>
      </c>
      <c r="V642" s="13">
        <f>IF(ROWS($V$2:$V642)&lt;=MAX('Per Line'!$AH$2:$AH$6001),MATCH(ROWS($V$2:$V642),'Per Line'!$AH$2:$AH$6001,0),"")</f>
        <v/>
      </c>
    </row>
    <row r="643">
      <c r="A643" s="12" t="n"/>
      <c r="B643">
        <f>IF($V643="","",INDEX('Per Line'!$C$2:$C$6001,$V643)&amp;"")</f>
        <v/>
      </c>
      <c r="C643" s="11">
        <f>IF($V643="","",INDEX('Per Line'!$D$2:$D$6001,$V643))</f>
        <v/>
      </c>
      <c r="D643">
        <f>IF($V643="","",INDEX('Per Line'!$E$2:$E$6001,$V643)&amp;"")</f>
        <v/>
      </c>
      <c r="E643">
        <f>IF($V643="","",INDEX('Per Line'!$G$2:$G$6001,$V643)&amp;"")</f>
        <v/>
      </c>
      <c r="F643">
        <f>IF($V643="","",INDEX('Per Line'!$H$2:$H$6001,$V643)&amp;"")</f>
        <v/>
      </c>
      <c r="G643">
        <f>IF($V643="","",INDEX('Per Line'!$I$2:$I$6001,$V643)&amp;"")</f>
        <v/>
      </c>
      <c r="H643">
        <f>IF($V643="","",INDEX('Per Line'!$J$2:$J$6001,$V643))</f>
        <v/>
      </c>
      <c r="I643" s="7">
        <f>IF($V643="","",H643*S643/100)</f>
        <v/>
      </c>
      <c r="J643">
        <f>IF($V643="","",INDEX('Per Line'!$S$2:$S$6001,$V643)&amp;"")</f>
        <v/>
      </c>
      <c r="K643" s="7">
        <f>IF($V643="","",SUMIFS('Per Line'!$R$2:$R$6001,'Per Line'!$C$2:$C$6001,$B643,'Per Line'!$AJ$2:$AJ$6001,1))</f>
        <v/>
      </c>
      <c r="L643">
        <f>IF($V643="","",Settings!$C$7)</f>
        <v/>
      </c>
      <c r="M643" s="7">
        <f>IF($V643="","",SUMIFS('Per Line'!$R$2:$R$6001,'Per Line'!$C$2:$C$6001,$B643,'Per Line'!$AI$2:$AI$6001,0,'Per Line'!$AJ$2:$AJ$6001,0))</f>
        <v/>
      </c>
      <c r="N643" s="7">
        <f>IF($V643="","",M643*L643)</f>
        <v/>
      </c>
      <c r="O643">
        <f>IF($V643="","",Settings!$C$6)</f>
        <v/>
      </c>
      <c r="P643" s="7">
        <f>IF($V643="","",SUMIFS('Per Line'!$R$2:$R$6001,'Per Line'!$C$2:$C$6001,$B643,'Per Line'!$AI$2:$AI$6001,1,'Per Line'!$AJ$2:$AJ$6001,0))</f>
        <v/>
      </c>
      <c r="Q643" s="7">
        <f>IF($V643="","",P643*O643)</f>
        <v/>
      </c>
      <c r="R643" s="7">
        <f>IF($V643="","",Q643+N643)</f>
        <v/>
      </c>
      <c r="S643" s="7">
        <f>IF($V643="","",T643-R643)</f>
        <v/>
      </c>
      <c r="T643" s="7">
        <f>IF($V643="","",M643+P643+K643)</f>
        <v/>
      </c>
      <c r="U643" s="7">
        <f>IF($V643="","",T643-R643-I643)</f>
        <v/>
      </c>
      <c r="V643" s="13">
        <f>IF(ROWS($V$2:$V643)&lt;=MAX('Per Line'!$AH$2:$AH$6001),MATCH(ROWS($V$2:$V643),'Per Line'!$AH$2:$AH$6001,0),"")</f>
        <v/>
      </c>
    </row>
    <row r="644">
      <c r="A644" s="12" t="n"/>
      <c r="B644">
        <f>IF($V644="","",INDEX('Per Line'!$C$2:$C$6001,$V644)&amp;"")</f>
        <v/>
      </c>
      <c r="C644" s="11">
        <f>IF($V644="","",INDEX('Per Line'!$D$2:$D$6001,$V644))</f>
        <v/>
      </c>
      <c r="D644">
        <f>IF($V644="","",INDEX('Per Line'!$E$2:$E$6001,$V644)&amp;"")</f>
        <v/>
      </c>
      <c r="E644">
        <f>IF($V644="","",INDEX('Per Line'!$G$2:$G$6001,$V644)&amp;"")</f>
        <v/>
      </c>
      <c r="F644">
        <f>IF($V644="","",INDEX('Per Line'!$H$2:$H$6001,$V644)&amp;"")</f>
        <v/>
      </c>
      <c r="G644">
        <f>IF($V644="","",INDEX('Per Line'!$I$2:$I$6001,$V644)&amp;"")</f>
        <v/>
      </c>
      <c r="H644">
        <f>IF($V644="","",INDEX('Per Line'!$J$2:$J$6001,$V644))</f>
        <v/>
      </c>
      <c r="I644" s="7">
        <f>IF($V644="","",H644*S644/100)</f>
        <v/>
      </c>
      <c r="J644">
        <f>IF($V644="","",INDEX('Per Line'!$S$2:$S$6001,$V644)&amp;"")</f>
        <v/>
      </c>
      <c r="K644" s="7">
        <f>IF($V644="","",SUMIFS('Per Line'!$R$2:$R$6001,'Per Line'!$C$2:$C$6001,$B644,'Per Line'!$AJ$2:$AJ$6001,1))</f>
        <v/>
      </c>
      <c r="L644">
        <f>IF($V644="","",Settings!$C$7)</f>
        <v/>
      </c>
      <c r="M644" s="7">
        <f>IF($V644="","",SUMIFS('Per Line'!$R$2:$R$6001,'Per Line'!$C$2:$C$6001,$B644,'Per Line'!$AI$2:$AI$6001,0,'Per Line'!$AJ$2:$AJ$6001,0))</f>
        <v/>
      </c>
      <c r="N644" s="7">
        <f>IF($V644="","",M644*L644)</f>
        <v/>
      </c>
      <c r="O644">
        <f>IF($V644="","",Settings!$C$6)</f>
        <v/>
      </c>
      <c r="P644" s="7">
        <f>IF($V644="","",SUMIFS('Per Line'!$R$2:$R$6001,'Per Line'!$C$2:$C$6001,$B644,'Per Line'!$AI$2:$AI$6001,1,'Per Line'!$AJ$2:$AJ$6001,0))</f>
        <v/>
      </c>
      <c r="Q644" s="7">
        <f>IF($V644="","",P644*O644)</f>
        <v/>
      </c>
      <c r="R644" s="7">
        <f>IF($V644="","",Q644+N644)</f>
        <v/>
      </c>
      <c r="S644" s="7">
        <f>IF($V644="","",T644-R644)</f>
        <v/>
      </c>
      <c r="T644" s="7">
        <f>IF($V644="","",M644+P644+K644)</f>
        <v/>
      </c>
      <c r="U644" s="7">
        <f>IF($V644="","",T644-R644-I644)</f>
        <v/>
      </c>
      <c r="V644" s="13">
        <f>IF(ROWS($V$2:$V644)&lt;=MAX('Per Line'!$AH$2:$AH$6001),MATCH(ROWS($V$2:$V644),'Per Line'!$AH$2:$AH$6001,0),"")</f>
        <v/>
      </c>
    </row>
    <row r="645">
      <c r="A645" s="12" t="n"/>
      <c r="B645">
        <f>IF($V645="","",INDEX('Per Line'!$C$2:$C$6001,$V645)&amp;"")</f>
        <v/>
      </c>
      <c r="C645" s="11">
        <f>IF($V645="","",INDEX('Per Line'!$D$2:$D$6001,$V645))</f>
        <v/>
      </c>
      <c r="D645">
        <f>IF($V645="","",INDEX('Per Line'!$E$2:$E$6001,$V645)&amp;"")</f>
        <v/>
      </c>
      <c r="E645">
        <f>IF($V645="","",INDEX('Per Line'!$G$2:$G$6001,$V645)&amp;"")</f>
        <v/>
      </c>
      <c r="F645">
        <f>IF($V645="","",INDEX('Per Line'!$H$2:$H$6001,$V645)&amp;"")</f>
        <v/>
      </c>
      <c r="G645">
        <f>IF($V645="","",INDEX('Per Line'!$I$2:$I$6001,$V645)&amp;"")</f>
        <v/>
      </c>
      <c r="H645">
        <f>IF($V645="","",INDEX('Per Line'!$J$2:$J$6001,$V645))</f>
        <v/>
      </c>
      <c r="I645" s="7">
        <f>IF($V645="","",H645*S645/100)</f>
        <v/>
      </c>
      <c r="J645">
        <f>IF($V645="","",INDEX('Per Line'!$S$2:$S$6001,$V645)&amp;"")</f>
        <v/>
      </c>
      <c r="K645" s="7">
        <f>IF($V645="","",SUMIFS('Per Line'!$R$2:$R$6001,'Per Line'!$C$2:$C$6001,$B645,'Per Line'!$AJ$2:$AJ$6001,1))</f>
        <v/>
      </c>
      <c r="L645">
        <f>IF($V645="","",Settings!$C$7)</f>
        <v/>
      </c>
      <c r="M645" s="7">
        <f>IF($V645="","",SUMIFS('Per Line'!$R$2:$R$6001,'Per Line'!$C$2:$C$6001,$B645,'Per Line'!$AI$2:$AI$6001,0,'Per Line'!$AJ$2:$AJ$6001,0))</f>
        <v/>
      </c>
      <c r="N645" s="7">
        <f>IF($V645="","",M645*L645)</f>
        <v/>
      </c>
      <c r="O645">
        <f>IF($V645="","",Settings!$C$6)</f>
        <v/>
      </c>
      <c r="P645" s="7">
        <f>IF($V645="","",SUMIFS('Per Line'!$R$2:$R$6001,'Per Line'!$C$2:$C$6001,$B645,'Per Line'!$AI$2:$AI$6001,1,'Per Line'!$AJ$2:$AJ$6001,0))</f>
        <v/>
      </c>
      <c r="Q645" s="7">
        <f>IF($V645="","",P645*O645)</f>
        <v/>
      </c>
      <c r="R645" s="7">
        <f>IF($V645="","",Q645+N645)</f>
        <v/>
      </c>
      <c r="S645" s="7">
        <f>IF($V645="","",T645-R645)</f>
        <v/>
      </c>
      <c r="T645" s="7">
        <f>IF($V645="","",M645+P645+K645)</f>
        <v/>
      </c>
      <c r="U645" s="7">
        <f>IF($V645="","",T645-R645-I645)</f>
        <v/>
      </c>
      <c r="V645" s="13">
        <f>IF(ROWS($V$2:$V645)&lt;=MAX('Per Line'!$AH$2:$AH$6001),MATCH(ROWS($V$2:$V645),'Per Line'!$AH$2:$AH$6001,0),"")</f>
        <v/>
      </c>
    </row>
    <row r="646">
      <c r="A646" s="12" t="n"/>
      <c r="B646">
        <f>IF($V646="","",INDEX('Per Line'!$C$2:$C$6001,$V646)&amp;"")</f>
        <v/>
      </c>
      <c r="C646" s="11">
        <f>IF($V646="","",INDEX('Per Line'!$D$2:$D$6001,$V646))</f>
        <v/>
      </c>
      <c r="D646">
        <f>IF($V646="","",INDEX('Per Line'!$E$2:$E$6001,$V646)&amp;"")</f>
        <v/>
      </c>
      <c r="E646">
        <f>IF($V646="","",INDEX('Per Line'!$G$2:$G$6001,$V646)&amp;"")</f>
        <v/>
      </c>
      <c r="F646">
        <f>IF($V646="","",INDEX('Per Line'!$H$2:$H$6001,$V646)&amp;"")</f>
        <v/>
      </c>
      <c r="G646">
        <f>IF($V646="","",INDEX('Per Line'!$I$2:$I$6001,$V646)&amp;"")</f>
        <v/>
      </c>
      <c r="H646">
        <f>IF($V646="","",INDEX('Per Line'!$J$2:$J$6001,$V646))</f>
        <v/>
      </c>
      <c r="I646" s="7">
        <f>IF($V646="","",H646*S646/100)</f>
        <v/>
      </c>
      <c r="J646">
        <f>IF($V646="","",INDEX('Per Line'!$S$2:$S$6001,$V646)&amp;"")</f>
        <v/>
      </c>
      <c r="K646" s="7">
        <f>IF($V646="","",SUMIFS('Per Line'!$R$2:$R$6001,'Per Line'!$C$2:$C$6001,$B646,'Per Line'!$AJ$2:$AJ$6001,1))</f>
        <v/>
      </c>
      <c r="L646">
        <f>IF($V646="","",Settings!$C$7)</f>
        <v/>
      </c>
      <c r="M646" s="7">
        <f>IF($V646="","",SUMIFS('Per Line'!$R$2:$R$6001,'Per Line'!$C$2:$C$6001,$B646,'Per Line'!$AI$2:$AI$6001,0,'Per Line'!$AJ$2:$AJ$6001,0))</f>
        <v/>
      </c>
      <c r="N646" s="7">
        <f>IF($V646="","",M646*L646)</f>
        <v/>
      </c>
      <c r="O646">
        <f>IF($V646="","",Settings!$C$6)</f>
        <v/>
      </c>
      <c r="P646" s="7">
        <f>IF($V646="","",SUMIFS('Per Line'!$R$2:$R$6001,'Per Line'!$C$2:$C$6001,$B646,'Per Line'!$AI$2:$AI$6001,1,'Per Line'!$AJ$2:$AJ$6001,0))</f>
        <v/>
      </c>
      <c r="Q646" s="7">
        <f>IF($V646="","",P646*O646)</f>
        <v/>
      </c>
      <c r="R646" s="7">
        <f>IF($V646="","",Q646+N646)</f>
        <v/>
      </c>
      <c r="S646" s="7">
        <f>IF($V646="","",T646-R646)</f>
        <v/>
      </c>
      <c r="T646" s="7">
        <f>IF($V646="","",M646+P646+K646)</f>
        <v/>
      </c>
      <c r="U646" s="7">
        <f>IF($V646="","",T646-R646-I646)</f>
        <v/>
      </c>
      <c r="V646" s="13">
        <f>IF(ROWS($V$2:$V646)&lt;=MAX('Per Line'!$AH$2:$AH$6001),MATCH(ROWS($V$2:$V646),'Per Line'!$AH$2:$AH$6001,0),"")</f>
        <v/>
      </c>
    </row>
    <row r="647">
      <c r="A647" s="12" t="n"/>
      <c r="B647">
        <f>IF($V647="","",INDEX('Per Line'!$C$2:$C$6001,$V647)&amp;"")</f>
        <v/>
      </c>
      <c r="C647" s="11">
        <f>IF($V647="","",INDEX('Per Line'!$D$2:$D$6001,$V647))</f>
        <v/>
      </c>
      <c r="D647">
        <f>IF($V647="","",INDEX('Per Line'!$E$2:$E$6001,$V647)&amp;"")</f>
        <v/>
      </c>
      <c r="E647">
        <f>IF($V647="","",INDEX('Per Line'!$G$2:$G$6001,$V647)&amp;"")</f>
        <v/>
      </c>
      <c r="F647">
        <f>IF($V647="","",INDEX('Per Line'!$H$2:$H$6001,$V647)&amp;"")</f>
        <v/>
      </c>
      <c r="G647">
        <f>IF($V647="","",INDEX('Per Line'!$I$2:$I$6001,$V647)&amp;"")</f>
        <v/>
      </c>
      <c r="H647">
        <f>IF($V647="","",INDEX('Per Line'!$J$2:$J$6001,$V647))</f>
        <v/>
      </c>
      <c r="I647" s="7">
        <f>IF($V647="","",H647*S647/100)</f>
        <v/>
      </c>
      <c r="J647">
        <f>IF($V647="","",INDEX('Per Line'!$S$2:$S$6001,$V647)&amp;"")</f>
        <v/>
      </c>
      <c r="K647" s="7">
        <f>IF($V647="","",SUMIFS('Per Line'!$R$2:$R$6001,'Per Line'!$C$2:$C$6001,$B647,'Per Line'!$AJ$2:$AJ$6001,1))</f>
        <v/>
      </c>
      <c r="L647">
        <f>IF($V647="","",Settings!$C$7)</f>
        <v/>
      </c>
      <c r="M647" s="7">
        <f>IF($V647="","",SUMIFS('Per Line'!$R$2:$R$6001,'Per Line'!$C$2:$C$6001,$B647,'Per Line'!$AI$2:$AI$6001,0,'Per Line'!$AJ$2:$AJ$6001,0))</f>
        <v/>
      </c>
      <c r="N647" s="7">
        <f>IF($V647="","",M647*L647)</f>
        <v/>
      </c>
      <c r="O647">
        <f>IF($V647="","",Settings!$C$6)</f>
        <v/>
      </c>
      <c r="P647" s="7">
        <f>IF($V647="","",SUMIFS('Per Line'!$R$2:$R$6001,'Per Line'!$C$2:$C$6001,$B647,'Per Line'!$AI$2:$AI$6001,1,'Per Line'!$AJ$2:$AJ$6001,0))</f>
        <v/>
      </c>
      <c r="Q647" s="7">
        <f>IF($V647="","",P647*O647)</f>
        <v/>
      </c>
      <c r="R647" s="7">
        <f>IF($V647="","",Q647+N647)</f>
        <v/>
      </c>
      <c r="S647" s="7">
        <f>IF($V647="","",T647-R647)</f>
        <v/>
      </c>
      <c r="T647" s="7">
        <f>IF($V647="","",M647+P647+K647)</f>
        <v/>
      </c>
      <c r="U647" s="7">
        <f>IF($V647="","",T647-R647-I647)</f>
        <v/>
      </c>
      <c r="V647" s="13">
        <f>IF(ROWS($V$2:$V647)&lt;=MAX('Per Line'!$AH$2:$AH$6001),MATCH(ROWS($V$2:$V647),'Per Line'!$AH$2:$AH$6001,0),"")</f>
        <v/>
      </c>
    </row>
    <row r="648">
      <c r="A648" s="12" t="n"/>
      <c r="B648">
        <f>IF($V648="","",INDEX('Per Line'!$C$2:$C$6001,$V648)&amp;"")</f>
        <v/>
      </c>
      <c r="C648" s="11">
        <f>IF($V648="","",INDEX('Per Line'!$D$2:$D$6001,$V648))</f>
        <v/>
      </c>
      <c r="D648">
        <f>IF($V648="","",INDEX('Per Line'!$E$2:$E$6001,$V648)&amp;"")</f>
        <v/>
      </c>
      <c r="E648">
        <f>IF($V648="","",INDEX('Per Line'!$G$2:$G$6001,$V648)&amp;"")</f>
        <v/>
      </c>
      <c r="F648">
        <f>IF($V648="","",INDEX('Per Line'!$H$2:$H$6001,$V648)&amp;"")</f>
        <v/>
      </c>
      <c r="G648">
        <f>IF($V648="","",INDEX('Per Line'!$I$2:$I$6001,$V648)&amp;"")</f>
        <v/>
      </c>
      <c r="H648">
        <f>IF($V648="","",INDEX('Per Line'!$J$2:$J$6001,$V648))</f>
        <v/>
      </c>
      <c r="I648" s="7">
        <f>IF($V648="","",H648*S648/100)</f>
        <v/>
      </c>
      <c r="J648">
        <f>IF($V648="","",INDEX('Per Line'!$S$2:$S$6001,$V648)&amp;"")</f>
        <v/>
      </c>
      <c r="K648" s="7">
        <f>IF($V648="","",SUMIFS('Per Line'!$R$2:$R$6001,'Per Line'!$C$2:$C$6001,$B648,'Per Line'!$AJ$2:$AJ$6001,1))</f>
        <v/>
      </c>
      <c r="L648">
        <f>IF($V648="","",Settings!$C$7)</f>
        <v/>
      </c>
      <c r="M648" s="7">
        <f>IF($V648="","",SUMIFS('Per Line'!$R$2:$R$6001,'Per Line'!$C$2:$C$6001,$B648,'Per Line'!$AI$2:$AI$6001,0,'Per Line'!$AJ$2:$AJ$6001,0))</f>
        <v/>
      </c>
      <c r="N648" s="7">
        <f>IF($V648="","",M648*L648)</f>
        <v/>
      </c>
      <c r="O648">
        <f>IF($V648="","",Settings!$C$6)</f>
        <v/>
      </c>
      <c r="P648" s="7">
        <f>IF($V648="","",SUMIFS('Per Line'!$R$2:$R$6001,'Per Line'!$C$2:$C$6001,$B648,'Per Line'!$AI$2:$AI$6001,1,'Per Line'!$AJ$2:$AJ$6001,0))</f>
        <v/>
      </c>
      <c r="Q648" s="7">
        <f>IF($V648="","",P648*O648)</f>
        <v/>
      </c>
      <c r="R648" s="7">
        <f>IF($V648="","",Q648+N648)</f>
        <v/>
      </c>
      <c r="S648" s="7">
        <f>IF($V648="","",T648-R648)</f>
        <v/>
      </c>
      <c r="T648" s="7">
        <f>IF($V648="","",M648+P648+K648)</f>
        <v/>
      </c>
      <c r="U648" s="7">
        <f>IF($V648="","",T648-R648-I648)</f>
        <v/>
      </c>
      <c r="V648" s="13">
        <f>IF(ROWS($V$2:$V648)&lt;=MAX('Per Line'!$AH$2:$AH$6001),MATCH(ROWS($V$2:$V648),'Per Line'!$AH$2:$AH$6001,0),"")</f>
        <v/>
      </c>
    </row>
    <row r="649">
      <c r="A649" s="12" t="n"/>
      <c r="B649">
        <f>IF($V649="","",INDEX('Per Line'!$C$2:$C$6001,$V649)&amp;"")</f>
        <v/>
      </c>
      <c r="C649" s="11">
        <f>IF($V649="","",INDEX('Per Line'!$D$2:$D$6001,$V649))</f>
        <v/>
      </c>
      <c r="D649">
        <f>IF($V649="","",INDEX('Per Line'!$E$2:$E$6001,$V649)&amp;"")</f>
        <v/>
      </c>
      <c r="E649">
        <f>IF($V649="","",INDEX('Per Line'!$G$2:$G$6001,$V649)&amp;"")</f>
        <v/>
      </c>
      <c r="F649">
        <f>IF($V649="","",INDEX('Per Line'!$H$2:$H$6001,$V649)&amp;"")</f>
        <v/>
      </c>
      <c r="G649">
        <f>IF($V649="","",INDEX('Per Line'!$I$2:$I$6001,$V649)&amp;"")</f>
        <v/>
      </c>
      <c r="H649">
        <f>IF($V649="","",INDEX('Per Line'!$J$2:$J$6001,$V649))</f>
        <v/>
      </c>
      <c r="I649" s="7">
        <f>IF($V649="","",H649*S649/100)</f>
        <v/>
      </c>
      <c r="J649">
        <f>IF($V649="","",INDEX('Per Line'!$S$2:$S$6001,$V649)&amp;"")</f>
        <v/>
      </c>
      <c r="K649" s="7">
        <f>IF($V649="","",SUMIFS('Per Line'!$R$2:$R$6001,'Per Line'!$C$2:$C$6001,$B649,'Per Line'!$AJ$2:$AJ$6001,1))</f>
        <v/>
      </c>
      <c r="L649">
        <f>IF($V649="","",Settings!$C$7)</f>
        <v/>
      </c>
      <c r="M649" s="7">
        <f>IF($V649="","",SUMIFS('Per Line'!$R$2:$R$6001,'Per Line'!$C$2:$C$6001,$B649,'Per Line'!$AI$2:$AI$6001,0,'Per Line'!$AJ$2:$AJ$6001,0))</f>
        <v/>
      </c>
      <c r="N649" s="7">
        <f>IF($V649="","",M649*L649)</f>
        <v/>
      </c>
      <c r="O649">
        <f>IF($V649="","",Settings!$C$6)</f>
        <v/>
      </c>
      <c r="P649" s="7">
        <f>IF($V649="","",SUMIFS('Per Line'!$R$2:$R$6001,'Per Line'!$C$2:$C$6001,$B649,'Per Line'!$AI$2:$AI$6001,1,'Per Line'!$AJ$2:$AJ$6001,0))</f>
        <v/>
      </c>
      <c r="Q649" s="7">
        <f>IF($V649="","",P649*O649)</f>
        <v/>
      </c>
      <c r="R649" s="7">
        <f>IF($V649="","",Q649+N649)</f>
        <v/>
      </c>
      <c r="S649" s="7">
        <f>IF($V649="","",T649-R649)</f>
        <v/>
      </c>
      <c r="T649" s="7">
        <f>IF($V649="","",M649+P649+K649)</f>
        <v/>
      </c>
      <c r="U649" s="7">
        <f>IF($V649="","",T649-R649-I649)</f>
        <v/>
      </c>
      <c r="V649" s="13">
        <f>IF(ROWS($V$2:$V649)&lt;=MAX('Per Line'!$AH$2:$AH$6001),MATCH(ROWS($V$2:$V649),'Per Line'!$AH$2:$AH$6001,0),"")</f>
        <v/>
      </c>
    </row>
    <row r="650">
      <c r="A650" s="12" t="n"/>
      <c r="B650">
        <f>IF($V650="","",INDEX('Per Line'!$C$2:$C$6001,$V650)&amp;"")</f>
        <v/>
      </c>
      <c r="C650" s="11">
        <f>IF($V650="","",INDEX('Per Line'!$D$2:$D$6001,$V650))</f>
        <v/>
      </c>
      <c r="D650">
        <f>IF($V650="","",INDEX('Per Line'!$E$2:$E$6001,$V650)&amp;"")</f>
        <v/>
      </c>
      <c r="E650">
        <f>IF($V650="","",INDEX('Per Line'!$G$2:$G$6001,$V650)&amp;"")</f>
        <v/>
      </c>
      <c r="F650">
        <f>IF($V650="","",INDEX('Per Line'!$H$2:$H$6001,$V650)&amp;"")</f>
        <v/>
      </c>
      <c r="G650">
        <f>IF($V650="","",INDEX('Per Line'!$I$2:$I$6001,$V650)&amp;"")</f>
        <v/>
      </c>
      <c r="H650">
        <f>IF($V650="","",INDEX('Per Line'!$J$2:$J$6001,$V650))</f>
        <v/>
      </c>
      <c r="I650" s="7">
        <f>IF($V650="","",H650*S650/100)</f>
        <v/>
      </c>
      <c r="J650">
        <f>IF($V650="","",INDEX('Per Line'!$S$2:$S$6001,$V650)&amp;"")</f>
        <v/>
      </c>
      <c r="K650" s="7">
        <f>IF($V650="","",SUMIFS('Per Line'!$R$2:$R$6001,'Per Line'!$C$2:$C$6001,$B650,'Per Line'!$AJ$2:$AJ$6001,1))</f>
        <v/>
      </c>
      <c r="L650">
        <f>IF($V650="","",Settings!$C$7)</f>
        <v/>
      </c>
      <c r="M650" s="7">
        <f>IF($V650="","",SUMIFS('Per Line'!$R$2:$R$6001,'Per Line'!$C$2:$C$6001,$B650,'Per Line'!$AI$2:$AI$6001,0,'Per Line'!$AJ$2:$AJ$6001,0))</f>
        <v/>
      </c>
      <c r="N650" s="7">
        <f>IF($V650="","",M650*L650)</f>
        <v/>
      </c>
      <c r="O650">
        <f>IF($V650="","",Settings!$C$6)</f>
        <v/>
      </c>
      <c r="P650" s="7">
        <f>IF($V650="","",SUMIFS('Per Line'!$R$2:$R$6001,'Per Line'!$C$2:$C$6001,$B650,'Per Line'!$AI$2:$AI$6001,1,'Per Line'!$AJ$2:$AJ$6001,0))</f>
        <v/>
      </c>
      <c r="Q650" s="7">
        <f>IF($V650="","",P650*O650)</f>
        <v/>
      </c>
      <c r="R650" s="7">
        <f>IF($V650="","",Q650+N650)</f>
        <v/>
      </c>
      <c r="S650" s="7">
        <f>IF($V650="","",T650-R650)</f>
        <v/>
      </c>
      <c r="T650" s="7">
        <f>IF($V650="","",M650+P650+K650)</f>
        <v/>
      </c>
      <c r="U650" s="7">
        <f>IF($V650="","",T650-R650-I650)</f>
        <v/>
      </c>
      <c r="V650" s="13">
        <f>IF(ROWS($V$2:$V650)&lt;=MAX('Per Line'!$AH$2:$AH$6001),MATCH(ROWS($V$2:$V650),'Per Line'!$AH$2:$AH$6001,0),"")</f>
        <v/>
      </c>
    </row>
    <row r="651">
      <c r="A651" s="12" t="n"/>
      <c r="B651">
        <f>IF($V651="","",INDEX('Per Line'!$C$2:$C$6001,$V651)&amp;"")</f>
        <v/>
      </c>
      <c r="C651" s="11">
        <f>IF($V651="","",INDEX('Per Line'!$D$2:$D$6001,$V651))</f>
        <v/>
      </c>
      <c r="D651">
        <f>IF($V651="","",INDEX('Per Line'!$E$2:$E$6001,$V651)&amp;"")</f>
        <v/>
      </c>
      <c r="E651">
        <f>IF($V651="","",INDEX('Per Line'!$G$2:$G$6001,$V651)&amp;"")</f>
        <v/>
      </c>
      <c r="F651">
        <f>IF($V651="","",INDEX('Per Line'!$H$2:$H$6001,$V651)&amp;"")</f>
        <v/>
      </c>
      <c r="G651">
        <f>IF($V651="","",INDEX('Per Line'!$I$2:$I$6001,$V651)&amp;"")</f>
        <v/>
      </c>
      <c r="H651">
        <f>IF($V651="","",INDEX('Per Line'!$J$2:$J$6001,$V651))</f>
        <v/>
      </c>
      <c r="I651" s="7">
        <f>IF($V651="","",H651*S651/100)</f>
        <v/>
      </c>
      <c r="J651">
        <f>IF($V651="","",INDEX('Per Line'!$S$2:$S$6001,$V651)&amp;"")</f>
        <v/>
      </c>
      <c r="K651" s="7">
        <f>IF($V651="","",SUMIFS('Per Line'!$R$2:$R$6001,'Per Line'!$C$2:$C$6001,$B651,'Per Line'!$AJ$2:$AJ$6001,1))</f>
        <v/>
      </c>
      <c r="L651">
        <f>IF($V651="","",Settings!$C$7)</f>
        <v/>
      </c>
      <c r="M651" s="7">
        <f>IF($V651="","",SUMIFS('Per Line'!$R$2:$R$6001,'Per Line'!$C$2:$C$6001,$B651,'Per Line'!$AI$2:$AI$6001,0,'Per Line'!$AJ$2:$AJ$6001,0))</f>
        <v/>
      </c>
      <c r="N651" s="7">
        <f>IF($V651="","",M651*L651)</f>
        <v/>
      </c>
      <c r="O651">
        <f>IF($V651="","",Settings!$C$6)</f>
        <v/>
      </c>
      <c r="P651" s="7">
        <f>IF($V651="","",SUMIFS('Per Line'!$R$2:$R$6001,'Per Line'!$C$2:$C$6001,$B651,'Per Line'!$AI$2:$AI$6001,1,'Per Line'!$AJ$2:$AJ$6001,0))</f>
        <v/>
      </c>
      <c r="Q651" s="7">
        <f>IF($V651="","",P651*O651)</f>
        <v/>
      </c>
      <c r="R651" s="7">
        <f>IF($V651="","",Q651+N651)</f>
        <v/>
      </c>
      <c r="S651" s="7">
        <f>IF($V651="","",T651-R651)</f>
        <v/>
      </c>
      <c r="T651" s="7">
        <f>IF($V651="","",M651+P651+K651)</f>
        <v/>
      </c>
      <c r="U651" s="7">
        <f>IF($V651="","",T651-R651-I651)</f>
        <v/>
      </c>
      <c r="V651" s="13">
        <f>IF(ROWS($V$2:$V651)&lt;=MAX('Per Line'!$AH$2:$AH$6001),MATCH(ROWS($V$2:$V651),'Per Line'!$AH$2:$AH$6001,0),"")</f>
        <v/>
      </c>
    </row>
    <row r="652">
      <c r="A652" s="12" t="n"/>
      <c r="B652">
        <f>IF($V652="","",INDEX('Per Line'!$C$2:$C$6001,$V652)&amp;"")</f>
        <v/>
      </c>
      <c r="C652" s="11">
        <f>IF($V652="","",INDEX('Per Line'!$D$2:$D$6001,$V652))</f>
        <v/>
      </c>
      <c r="D652">
        <f>IF($V652="","",INDEX('Per Line'!$E$2:$E$6001,$V652)&amp;"")</f>
        <v/>
      </c>
      <c r="E652">
        <f>IF($V652="","",INDEX('Per Line'!$G$2:$G$6001,$V652)&amp;"")</f>
        <v/>
      </c>
      <c r="F652">
        <f>IF($V652="","",INDEX('Per Line'!$H$2:$H$6001,$V652)&amp;"")</f>
        <v/>
      </c>
      <c r="G652">
        <f>IF($V652="","",INDEX('Per Line'!$I$2:$I$6001,$V652)&amp;"")</f>
        <v/>
      </c>
      <c r="H652">
        <f>IF($V652="","",INDEX('Per Line'!$J$2:$J$6001,$V652))</f>
        <v/>
      </c>
      <c r="I652" s="7">
        <f>IF($V652="","",H652*S652/100)</f>
        <v/>
      </c>
      <c r="J652">
        <f>IF($V652="","",INDEX('Per Line'!$S$2:$S$6001,$V652)&amp;"")</f>
        <v/>
      </c>
      <c r="K652" s="7">
        <f>IF($V652="","",SUMIFS('Per Line'!$R$2:$R$6001,'Per Line'!$C$2:$C$6001,$B652,'Per Line'!$AJ$2:$AJ$6001,1))</f>
        <v/>
      </c>
      <c r="L652">
        <f>IF($V652="","",Settings!$C$7)</f>
        <v/>
      </c>
      <c r="M652" s="7">
        <f>IF($V652="","",SUMIFS('Per Line'!$R$2:$R$6001,'Per Line'!$C$2:$C$6001,$B652,'Per Line'!$AI$2:$AI$6001,0,'Per Line'!$AJ$2:$AJ$6001,0))</f>
        <v/>
      </c>
      <c r="N652" s="7">
        <f>IF($V652="","",M652*L652)</f>
        <v/>
      </c>
      <c r="O652">
        <f>IF($V652="","",Settings!$C$6)</f>
        <v/>
      </c>
      <c r="P652" s="7">
        <f>IF($V652="","",SUMIFS('Per Line'!$R$2:$R$6001,'Per Line'!$C$2:$C$6001,$B652,'Per Line'!$AI$2:$AI$6001,1,'Per Line'!$AJ$2:$AJ$6001,0))</f>
        <v/>
      </c>
      <c r="Q652" s="7">
        <f>IF($V652="","",P652*O652)</f>
        <v/>
      </c>
      <c r="R652" s="7">
        <f>IF($V652="","",Q652+N652)</f>
        <v/>
      </c>
      <c r="S652" s="7">
        <f>IF($V652="","",T652-R652)</f>
        <v/>
      </c>
      <c r="T652" s="7">
        <f>IF($V652="","",M652+P652+K652)</f>
        <v/>
      </c>
      <c r="U652" s="7">
        <f>IF($V652="","",T652-R652-I652)</f>
        <v/>
      </c>
      <c r="V652" s="13">
        <f>IF(ROWS($V$2:$V652)&lt;=MAX('Per Line'!$AH$2:$AH$6001),MATCH(ROWS($V$2:$V652),'Per Line'!$AH$2:$AH$6001,0),"")</f>
        <v/>
      </c>
    </row>
    <row r="653">
      <c r="A653" s="12" t="n"/>
      <c r="B653">
        <f>IF($V653="","",INDEX('Per Line'!$C$2:$C$6001,$V653)&amp;"")</f>
        <v/>
      </c>
      <c r="C653" s="11">
        <f>IF($V653="","",INDEX('Per Line'!$D$2:$D$6001,$V653))</f>
        <v/>
      </c>
      <c r="D653">
        <f>IF($V653="","",INDEX('Per Line'!$E$2:$E$6001,$V653)&amp;"")</f>
        <v/>
      </c>
      <c r="E653">
        <f>IF($V653="","",INDEX('Per Line'!$G$2:$G$6001,$V653)&amp;"")</f>
        <v/>
      </c>
      <c r="F653">
        <f>IF($V653="","",INDEX('Per Line'!$H$2:$H$6001,$V653)&amp;"")</f>
        <v/>
      </c>
      <c r="G653">
        <f>IF($V653="","",INDEX('Per Line'!$I$2:$I$6001,$V653)&amp;"")</f>
        <v/>
      </c>
      <c r="H653">
        <f>IF($V653="","",INDEX('Per Line'!$J$2:$J$6001,$V653))</f>
        <v/>
      </c>
      <c r="I653" s="7">
        <f>IF($V653="","",H653*S653/100)</f>
        <v/>
      </c>
      <c r="J653">
        <f>IF($V653="","",INDEX('Per Line'!$S$2:$S$6001,$V653)&amp;"")</f>
        <v/>
      </c>
      <c r="K653" s="7">
        <f>IF($V653="","",SUMIFS('Per Line'!$R$2:$R$6001,'Per Line'!$C$2:$C$6001,$B653,'Per Line'!$AJ$2:$AJ$6001,1))</f>
        <v/>
      </c>
      <c r="L653">
        <f>IF($V653="","",Settings!$C$7)</f>
        <v/>
      </c>
      <c r="M653" s="7">
        <f>IF($V653="","",SUMIFS('Per Line'!$R$2:$R$6001,'Per Line'!$C$2:$C$6001,$B653,'Per Line'!$AI$2:$AI$6001,0,'Per Line'!$AJ$2:$AJ$6001,0))</f>
        <v/>
      </c>
      <c r="N653" s="7">
        <f>IF($V653="","",M653*L653)</f>
        <v/>
      </c>
      <c r="O653">
        <f>IF($V653="","",Settings!$C$6)</f>
        <v/>
      </c>
      <c r="P653" s="7">
        <f>IF($V653="","",SUMIFS('Per Line'!$R$2:$R$6001,'Per Line'!$C$2:$C$6001,$B653,'Per Line'!$AI$2:$AI$6001,1,'Per Line'!$AJ$2:$AJ$6001,0))</f>
        <v/>
      </c>
      <c r="Q653" s="7">
        <f>IF($V653="","",P653*O653)</f>
        <v/>
      </c>
      <c r="R653" s="7">
        <f>IF($V653="","",Q653+N653)</f>
        <v/>
      </c>
      <c r="S653" s="7">
        <f>IF($V653="","",T653-R653)</f>
        <v/>
      </c>
      <c r="T653" s="7">
        <f>IF($V653="","",M653+P653+K653)</f>
        <v/>
      </c>
      <c r="U653" s="7">
        <f>IF($V653="","",T653-R653-I653)</f>
        <v/>
      </c>
      <c r="V653" s="13">
        <f>IF(ROWS($V$2:$V653)&lt;=MAX('Per Line'!$AH$2:$AH$6001),MATCH(ROWS($V$2:$V653),'Per Line'!$AH$2:$AH$6001,0),"")</f>
        <v/>
      </c>
    </row>
    <row r="654">
      <c r="A654" s="12" t="n"/>
      <c r="B654">
        <f>IF($V654="","",INDEX('Per Line'!$C$2:$C$6001,$V654)&amp;"")</f>
        <v/>
      </c>
      <c r="C654" s="11">
        <f>IF($V654="","",INDEX('Per Line'!$D$2:$D$6001,$V654))</f>
        <v/>
      </c>
      <c r="D654">
        <f>IF($V654="","",INDEX('Per Line'!$E$2:$E$6001,$V654)&amp;"")</f>
        <v/>
      </c>
      <c r="E654">
        <f>IF($V654="","",INDEX('Per Line'!$G$2:$G$6001,$V654)&amp;"")</f>
        <v/>
      </c>
      <c r="F654">
        <f>IF($V654="","",INDEX('Per Line'!$H$2:$H$6001,$V654)&amp;"")</f>
        <v/>
      </c>
      <c r="G654">
        <f>IF($V654="","",INDEX('Per Line'!$I$2:$I$6001,$V654)&amp;"")</f>
        <v/>
      </c>
      <c r="H654">
        <f>IF($V654="","",INDEX('Per Line'!$J$2:$J$6001,$V654))</f>
        <v/>
      </c>
      <c r="I654" s="7">
        <f>IF($V654="","",H654*S654/100)</f>
        <v/>
      </c>
      <c r="J654">
        <f>IF($V654="","",INDEX('Per Line'!$S$2:$S$6001,$V654)&amp;"")</f>
        <v/>
      </c>
      <c r="K654" s="7">
        <f>IF($V654="","",SUMIFS('Per Line'!$R$2:$R$6001,'Per Line'!$C$2:$C$6001,$B654,'Per Line'!$AJ$2:$AJ$6001,1))</f>
        <v/>
      </c>
      <c r="L654">
        <f>IF($V654="","",Settings!$C$7)</f>
        <v/>
      </c>
      <c r="M654" s="7">
        <f>IF($V654="","",SUMIFS('Per Line'!$R$2:$R$6001,'Per Line'!$C$2:$C$6001,$B654,'Per Line'!$AI$2:$AI$6001,0,'Per Line'!$AJ$2:$AJ$6001,0))</f>
        <v/>
      </c>
      <c r="N654" s="7">
        <f>IF($V654="","",M654*L654)</f>
        <v/>
      </c>
      <c r="O654">
        <f>IF($V654="","",Settings!$C$6)</f>
        <v/>
      </c>
      <c r="P654" s="7">
        <f>IF($V654="","",SUMIFS('Per Line'!$R$2:$R$6001,'Per Line'!$C$2:$C$6001,$B654,'Per Line'!$AI$2:$AI$6001,1,'Per Line'!$AJ$2:$AJ$6001,0))</f>
        <v/>
      </c>
      <c r="Q654" s="7">
        <f>IF($V654="","",P654*O654)</f>
        <v/>
      </c>
      <c r="R654" s="7">
        <f>IF($V654="","",Q654+N654)</f>
        <v/>
      </c>
      <c r="S654" s="7">
        <f>IF($V654="","",T654-R654)</f>
        <v/>
      </c>
      <c r="T654" s="7">
        <f>IF($V654="","",M654+P654+K654)</f>
        <v/>
      </c>
      <c r="U654" s="7">
        <f>IF($V654="","",T654-R654-I654)</f>
        <v/>
      </c>
      <c r="V654" s="13">
        <f>IF(ROWS($V$2:$V654)&lt;=MAX('Per Line'!$AH$2:$AH$6001),MATCH(ROWS($V$2:$V654),'Per Line'!$AH$2:$AH$6001,0),"")</f>
        <v/>
      </c>
    </row>
    <row r="655">
      <c r="A655" s="12" t="n"/>
      <c r="B655">
        <f>IF($V655="","",INDEX('Per Line'!$C$2:$C$6001,$V655)&amp;"")</f>
        <v/>
      </c>
      <c r="C655" s="11">
        <f>IF($V655="","",INDEX('Per Line'!$D$2:$D$6001,$V655))</f>
        <v/>
      </c>
      <c r="D655">
        <f>IF($V655="","",INDEX('Per Line'!$E$2:$E$6001,$V655)&amp;"")</f>
        <v/>
      </c>
      <c r="E655">
        <f>IF($V655="","",INDEX('Per Line'!$G$2:$G$6001,$V655)&amp;"")</f>
        <v/>
      </c>
      <c r="F655">
        <f>IF($V655="","",INDEX('Per Line'!$H$2:$H$6001,$V655)&amp;"")</f>
        <v/>
      </c>
      <c r="G655">
        <f>IF($V655="","",INDEX('Per Line'!$I$2:$I$6001,$V655)&amp;"")</f>
        <v/>
      </c>
      <c r="H655">
        <f>IF($V655="","",INDEX('Per Line'!$J$2:$J$6001,$V655))</f>
        <v/>
      </c>
      <c r="I655" s="7">
        <f>IF($V655="","",H655*S655/100)</f>
        <v/>
      </c>
      <c r="J655">
        <f>IF($V655="","",INDEX('Per Line'!$S$2:$S$6001,$V655)&amp;"")</f>
        <v/>
      </c>
      <c r="K655" s="7">
        <f>IF($V655="","",SUMIFS('Per Line'!$R$2:$R$6001,'Per Line'!$C$2:$C$6001,$B655,'Per Line'!$AJ$2:$AJ$6001,1))</f>
        <v/>
      </c>
      <c r="L655">
        <f>IF($V655="","",Settings!$C$7)</f>
        <v/>
      </c>
      <c r="M655" s="7">
        <f>IF($V655="","",SUMIFS('Per Line'!$R$2:$R$6001,'Per Line'!$C$2:$C$6001,$B655,'Per Line'!$AI$2:$AI$6001,0,'Per Line'!$AJ$2:$AJ$6001,0))</f>
        <v/>
      </c>
      <c r="N655" s="7">
        <f>IF($V655="","",M655*L655)</f>
        <v/>
      </c>
      <c r="O655">
        <f>IF($V655="","",Settings!$C$6)</f>
        <v/>
      </c>
      <c r="P655" s="7">
        <f>IF($V655="","",SUMIFS('Per Line'!$R$2:$R$6001,'Per Line'!$C$2:$C$6001,$B655,'Per Line'!$AI$2:$AI$6001,1,'Per Line'!$AJ$2:$AJ$6001,0))</f>
        <v/>
      </c>
      <c r="Q655" s="7">
        <f>IF($V655="","",P655*O655)</f>
        <v/>
      </c>
      <c r="R655" s="7">
        <f>IF($V655="","",Q655+N655)</f>
        <v/>
      </c>
      <c r="S655" s="7">
        <f>IF($V655="","",T655-R655)</f>
        <v/>
      </c>
      <c r="T655" s="7">
        <f>IF($V655="","",M655+P655+K655)</f>
        <v/>
      </c>
      <c r="U655" s="7">
        <f>IF($V655="","",T655-R655-I655)</f>
        <v/>
      </c>
      <c r="V655" s="13">
        <f>IF(ROWS($V$2:$V655)&lt;=MAX('Per Line'!$AH$2:$AH$6001),MATCH(ROWS($V$2:$V655),'Per Line'!$AH$2:$AH$6001,0),"")</f>
        <v/>
      </c>
    </row>
    <row r="656">
      <c r="A656" s="12" t="n"/>
      <c r="B656">
        <f>IF($V656="","",INDEX('Per Line'!$C$2:$C$6001,$V656)&amp;"")</f>
        <v/>
      </c>
      <c r="C656" s="11">
        <f>IF($V656="","",INDEX('Per Line'!$D$2:$D$6001,$V656))</f>
        <v/>
      </c>
      <c r="D656">
        <f>IF($V656="","",INDEX('Per Line'!$E$2:$E$6001,$V656)&amp;"")</f>
        <v/>
      </c>
      <c r="E656">
        <f>IF($V656="","",INDEX('Per Line'!$G$2:$G$6001,$V656)&amp;"")</f>
        <v/>
      </c>
      <c r="F656">
        <f>IF($V656="","",INDEX('Per Line'!$H$2:$H$6001,$V656)&amp;"")</f>
        <v/>
      </c>
      <c r="G656">
        <f>IF($V656="","",INDEX('Per Line'!$I$2:$I$6001,$V656)&amp;"")</f>
        <v/>
      </c>
      <c r="H656">
        <f>IF($V656="","",INDEX('Per Line'!$J$2:$J$6001,$V656))</f>
        <v/>
      </c>
      <c r="I656" s="7">
        <f>IF($V656="","",H656*S656/100)</f>
        <v/>
      </c>
      <c r="J656">
        <f>IF($V656="","",INDEX('Per Line'!$S$2:$S$6001,$V656)&amp;"")</f>
        <v/>
      </c>
      <c r="K656" s="7">
        <f>IF($V656="","",SUMIFS('Per Line'!$R$2:$R$6001,'Per Line'!$C$2:$C$6001,$B656,'Per Line'!$AJ$2:$AJ$6001,1))</f>
        <v/>
      </c>
      <c r="L656">
        <f>IF($V656="","",Settings!$C$7)</f>
        <v/>
      </c>
      <c r="M656" s="7">
        <f>IF($V656="","",SUMIFS('Per Line'!$R$2:$R$6001,'Per Line'!$C$2:$C$6001,$B656,'Per Line'!$AI$2:$AI$6001,0,'Per Line'!$AJ$2:$AJ$6001,0))</f>
        <v/>
      </c>
      <c r="N656" s="7">
        <f>IF($V656="","",M656*L656)</f>
        <v/>
      </c>
      <c r="O656">
        <f>IF($V656="","",Settings!$C$6)</f>
        <v/>
      </c>
      <c r="P656" s="7">
        <f>IF($V656="","",SUMIFS('Per Line'!$R$2:$R$6001,'Per Line'!$C$2:$C$6001,$B656,'Per Line'!$AI$2:$AI$6001,1,'Per Line'!$AJ$2:$AJ$6001,0))</f>
        <v/>
      </c>
      <c r="Q656" s="7">
        <f>IF($V656="","",P656*O656)</f>
        <v/>
      </c>
      <c r="R656" s="7">
        <f>IF($V656="","",Q656+N656)</f>
        <v/>
      </c>
      <c r="S656" s="7">
        <f>IF($V656="","",T656-R656)</f>
        <v/>
      </c>
      <c r="T656" s="7">
        <f>IF($V656="","",M656+P656+K656)</f>
        <v/>
      </c>
      <c r="U656" s="7">
        <f>IF($V656="","",T656-R656-I656)</f>
        <v/>
      </c>
      <c r="V656" s="13">
        <f>IF(ROWS($V$2:$V656)&lt;=MAX('Per Line'!$AH$2:$AH$6001),MATCH(ROWS($V$2:$V656),'Per Line'!$AH$2:$AH$6001,0),"")</f>
        <v/>
      </c>
    </row>
    <row r="657">
      <c r="A657" s="12" t="n"/>
      <c r="B657">
        <f>IF($V657="","",INDEX('Per Line'!$C$2:$C$6001,$V657)&amp;"")</f>
        <v/>
      </c>
      <c r="C657" s="11">
        <f>IF($V657="","",INDEX('Per Line'!$D$2:$D$6001,$V657))</f>
        <v/>
      </c>
      <c r="D657">
        <f>IF($V657="","",INDEX('Per Line'!$E$2:$E$6001,$V657)&amp;"")</f>
        <v/>
      </c>
      <c r="E657">
        <f>IF($V657="","",INDEX('Per Line'!$G$2:$G$6001,$V657)&amp;"")</f>
        <v/>
      </c>
      <c r="F657">
        <f>IF($V657="","",INDEX('Per Line'!$H$2:$H$6001,$V657)&amp;"")</f>
        <v/>
      </c>
      <c r="G657">
        <f>IF($V657="","",INDEX('Per Line'!$I$2:$I$6001,$V657)&amp;"")</f>
        <v/>
      </c>
      <c r="H657">
        <f>IF($V657="","",INDEX('Per Line'!$J$2:$J$6001,$V657))</f>
        <v/>
      </c>
      <c r="I657" s="7">
        <f>IF($V657="","",H657*S657/100)</f>
        <v/>
      </c>
      <c r="J657">
        <f>IF($V657="","",INDEX('Per Line'!$S$2:$S$6001,$V657)&amp;"")</f>
        <v/>
      </c>
      <c r="K657" s="7">
        <f>IF($V657="","",SUMIFS('Per Line'!$R$2:$R$6001,'Per Line'!$C$2:$C$6001,$B657,'Per Line'!$AJ$2:$AJ$6001,1))</f>
        <v/>
      </c>
      <c r="L657">
        <f>IF($V657="","",Settings!$C$7)</f>
        <v/>
      </c>
      <c r="M657" s="7">
        <f>IF($V657="","",SUMIFS('Per Line'!$R$2:$R$6001,'Per Line'!$C$2:$C$6001,$B657,'Per Line'!$AI$2:$AI$6001,0,'Per Line'!$AJ$2:$AJ$6001,0))</f>
        <v/>
      </c>
      <c r="N657" s="7">
        <f>IF($V657="","",M657*L657)</f>
        <v/>
      </c>
      <c r="O657">
        <f>IF($V657="","",Settings!$C$6)</f>
        <v/>
      </c>
      <c r="P657" s="7">
        <f>IF($V657="","",SUMIFS('Per Line'!$R$2:$R$6001,'Per Line'!$C$2:$C$6001,$B657,'Per Line'!$AI$2:$AI$6001,1,'Per Line'!$AJ$2:$AJ$6001,0))</f>
        <v/>
      </c>
      <c r="Q657" s="7">
        <f>IF($V657="","",P657*O657)</f>
        <v/>
      </c>
      <c r="R657" s="7">
        <f>IF($V657="","",Q657+N657)</f>
        <v/>
      </c>
      <c r="S657" s="7">
        <f>IF($V657="","",T657-R657)</f>
        <v/>
      </c>
      <c r="T657" s="7">
        <f>IF($V657="","",M657+P657+K657)</f>
        <v/>
      </c>
      <c r="U657" s="7">
        <f>IF($V657="","",T657-R657-I657)</f>
        <v/>
      </c>
      <c r="V657" s="13">
        <f>IF(ROWS($V$2:$V657)&lt;=MAX('Per Line'!$AH$2:$AH$6001),MATCH(ROWS($V$2:$V657),'Per Line'!$AH$2:$AH$6001,0),"")</f>
        <v/>
      </c>
    </row>
    <row r="658">
      <c r="A658" s="12" t="n"/>
      <c r="B658">
        <f>IF($V658="","",INDEX('Per Line'!$C$2:$C$6001,$V658)&amp;"")</f>
        <v/>
      </c>
      <c r="C658" s="11">
        <f>IF($V658="","",INDEX('Per Line'!$D$2:$D$6001,$V658))</f>
        <v/>
      </c>
      <c r="D658">
        <f>IF($V658="","",INDEX('Per Line'!$E$2:$E$6001,$V658)&amp;"")</f>
        <v/>
      </c>
      <c r="E658">
        <f>IF($V658="","",INDEX('Per Line'!$G$2:$G$6001,$V658)&amp;"")</f>
        <v/>
      </c>
      <c r="F658">
        <f>IF($V658="","",INDEX('Per Line'!$H$2:$H$6001,$V658)&amp;"")</f>
        <v/>
      </c>
      <c r="G658">
        <f>IF($V658="","",INDEX('Per Line'!$I$2:$I$6001,$V658)&amp;"")</f>
        <v/>
      </c>
      <c r="H658">
        <f>IF($V658="","",INDEX('Per Line'!$J$2:$J$6001,$V658))</f>
        <v/>
      </c>
      <c r="I658" s="7">
        <f>IF($V658="","",H658*S658/100)</f>
        <v/>
      </c>
      <c r="J658">
        <f>IF($V658="","",INDEX('Per Line'!$S$2:$S$6001,$V658)&amp;"")</f>
        <v/>
      </c>
      <c r="K658" s="7">
        <f>IF($V658="","",SUMIFS('Per Line'!$R$2:$R$6001,'Per Line'!$C$2:$C$6001,$B658,'Per Line'!$AJ$2:$AJ$6001,1))</f>
        <v/>
      </c>
      <c r="L658">
        <f>IF($V658="","",Settings!$C$7)</f>
        <v/>
      </c>
      <c r="M658" s="7">
        <f>IF($V658="","",SUMIFS('Per Line'!$R$2:$R$6001,'Per Line'!$C$2:$C$6001,$B658,'Per Line'!$AI$2:$AI$6001,0,'Per Line'!$AJ$2:$AJ$6001,0))</f>
        <v/>
      </c>
      <c r="N658" s="7">
        <f>IF($V658="","",M658*L658)</f>
        <v/>
      </c>
      <c r="O658">
        <f>IF($V658="","",Settings!$C$6)</f>
        <v/>
      </c>
      <c r="P658" s="7">
        <f>IF($V658="","",SUMIFS('Per Line'!$R$2:$R$6001,'Per Line'!$C$2:$C$6001,$B658,'Per Line'!$AI$2:$AI$6001,1,'Per Line'!$AJ$2:$AJ$6001,0))</f>
        <v/>
      </c>
      <c r="Q658" s="7">
        <f>IF($V658="","",P658*O658)</f>
        <v/>
      </c>
      <c r="R658" s="7">
        <f>IF($V658="","",Q658+N658)</f>
        <v/>
      </c>
      <c r="S658" s="7">
        <f>IF($V658="","",T658-R658)</f>
        <v/>
      </c>
      <c r="T658" s="7">
        <f>IF($V658="","",M658+P658+K658)</f>
        <v/>
      </c>
      <c r="U658" s="7">
        <f>IF($V658="","",T658-R658-I658)</f>
        <v/>
      </c>
      <c r="V658" s="13">
        <f>IF(ROWS($V$2:$V658)&lt;=MAX('Per Line'!$AH$2:$AH$6001),MATCH(ROWS($V$2:$V658),'Per Line'!$AH$2:$AH$6001,0),"")</f>
        <v/>
      </c>
    </row>
    <row r="659">
      <c r="A659" s="12" t="n"/>
      <c r="B659">
        <f>IF($V659="","",INDEX('Per Line'!$C$2:$C$6001,$V659)&amp;"")</f>
        <v/>
      </c>
      <c r="C659" s="11">
        <f>IF($V659="","",INDEX('Per Line'!$D$2:$D$6001,$V659))</f>
        <v/>
      </c>
      <c r="D659">
        <f>IF($V659="","",INDEX('Per Line'!$E$2:$E$6001,$V659)&amp;"")</f>
        <v/>
      </c>
      <c r="E659">
        <f>IF($V659="","",INDEX('Per Line'!$G$2:$G$6001,$V659)&amp;"")</f>
        <v/>
      </c>
      <c r="F659">
        <f>IF($V659="","",INDEX('Per Line'!$H$2:$H$6001,$V659)&amp;"")</f>
        <v/>
      </c>
      <c r="G659">
        <f>IF($V659="","",INDEX('Per Line'!$I$2:$I$6001,$V659)&amp;"")</f>
        <v/>
      </c>
      <c r="H659">
        <f>IF($V659="","",INDEX('Per Line'!$J$2:$J$6001,$V659))</f>
        <v/>
      </c>
      <c r="I659" s="7">
        <f>IF($V659="","",H659*S659/100)</f>
        <v/>
      </c>
      <c r="J659">
        <f>IF($V659="","",INDEX('Per Line'!$S$2:$S$6001,$V659)&amp;"")</f>
        <v/>
      </c>
      <c r="K659" s="7">
        <f>IF($V659="","",SUMIFS('Per Line'!$R$2:$R$6001,'Per Line'!$C$2:$C$6001,$B659,'Per Line'!$AJ$2:$AJ$6001,1))</f>
        <v/>
      </c>
      <c r="L659">
        <f>IF($V659="","",Settings!$C$7)</f>
        <v/>
      </c>
      <c r="M659" s="7">
        <f>IF($V659="","",SUMIFS('Per Line'!$R$2:$R$6001,'Per Line'!$C$2:$C$6001,$B659,'Per Line'!$AI$2:$AI$6001,0,'Per Line'!$AJ$2:$AJ$6001,0))</f>
        <v/>
      </c>
      <c r="N659" s="7">
        <f>IF($V659="","",M659*L659)</f>
        <v/>
      </c>
      <c r="O659">
        <f>IF($V659="","",Settings!$C$6)</f>
        <v/>
      </c>
      <c r="P659" s="7">
        <f>IF($V659="","",SUMIFS('Per Line'!$R$2:$R$6001,'Per Line'!$C$2:$C$6001,$B659,'Per Line'!$AI$2:$AI$6001,1,'Per Line'!$AJ$2:$AJ$6001,0))</f>
        <v/>
      </c>
      <c r="Q659" s="7">
        <f>IF($V659="","",P659*O659)</f>
        <v/>
      </c>
      <c r="R659" s="7">
        <f>IF($V659="","",Q659+N659)</f>
        <v/>
      </c>
      <c r="S659" s="7">
        <f>IF($V659="","",T659-R659)</f>
        <v/>
      </c>
      <c r="T659" s="7">
        <f>IF($V659="","",M659+P659+K659)</f>
        <v/>
      </c>
      <c r="U659" s="7">
        <f>IF($V659="","",T659-R659-I659)</f>
        <v/>
      </c>
      <c r="V659" s="13">
        <f>IF(ROWS($V$2:$V659)&lt;=MAX('Per Line'!$AH$2:$AH$6001),MATCH(ROWS($V$2:$V659),'Per Line'!$AH$2:$AH$6001,0),"")</f>
        <v/>
      </c>
    </row>
    <row r="660">
      <c r="A660" s="12" t="n"/>
      <c r="B660">
        <f>IF($V660="","",INDEX('Per Line'!$C$2:$C$6001,$V660)&amp;"")</f>
        <v/>
      </c>
      <c r="C660" s="11">
        <f>IF($V660="","",INDEX('Per Line'!$D$2:$D$6001,$V660))</f>
        <v/>
      </c>
      <c r="D660">
        <f>IF($V660="","",INDEX('Per Line'!$E$2:$E$6001,$V660)&amp;"")</f>
        <v/>
      </c>
      <c r="E660">
        <f>IF($V660="","",INDEX('Per Line'!$G$2:$G$6001,$V660)&amp;"")</f>
        <v/>
      </c>
      <c r="F660">
        <f>IF($V660="","",INDEX('Per Line'!$H$2:$H$6001,$V660)&amp;"")</f>
        <v/>
      </c>
      <c r="G660">
        <f>IF($V660="","",INDEX('Per Line'!$I$2:$I$6001,$V660)&amp;"")</f>
        <v/>
      </c>
      <c r="H660">
        <f>IF($V660="","",INDEX('Per Line'!$J$2:$J$6001,$V660))</f>
        <v/>
      </c>
      <c r="I660" s="7">
        <f>IF($V660="","",H660*S660/100)</f>
        <v/>
      </c>
      <c r="J660">
        <f>IF($V660="","",INDEX('Per Line'!$S$2:$S$6001,$V660)&amp;"")</f>
        <v/>
      </c>
      <c r="K660" s="7">
        <f>IF($V660="","",SUMIFS('Per Line'!$R$2:$R$6001,'Per Line'!$C$2:$C$6001,$B660,'Per Line'!$AJ$2:$AJ$6001,1))</f>
        <v/>
      </c>
      <c r="L660">
        <f>IF($V660="","",Settings!$C$7)</f>
        <v/>
      </c>
      <c r="M660" s="7">
        <f>IF($V660="","",SUMIFS('Per Line'!$R$2:$R$6001,'Per Line'!$C$2:$C$6001,$B660,'Per Line'!$AI$2:$AI$6001,0,'Per Line'!$AJ$2:$AJ$6001,0))</f>
        <v/>
      </c>
      <c r="N660" s="7">
        <f>IF($V660="","",M660*L660)</f>
        <v/>
      </c>
      <c r="O660">
        <f>IF($V660="","",Settings!$C$6)</f>
        <v/>
      </c>
      <c r="P660" s="7">
        <f>IF($V660="","",SUMIFS('Per Line'!$R$2:$R$6001,'Per Line'!$C$2:$C$6001,$B660,'Per Line'!$AI$2:$AI$6001,1,'Per Line'!$AJ$2:$AJ$6001,0))</f>
        <v/>
      </c>
      <c r="Q660" s="7">
        <f>IF($V660="","",P660*O660)</f>
        <v/>
      </c>
      <c r="R660" s="7">
        <f>IF($V660="","",Q660+N660)</f>
        <v/>
      </c>
      <c r="S660" s="7">
        <f>IF($V660="","",T660-R660)</f>
        <v/>
      </c>
      <c r="T660" s="7">
        <f>IF($V660="","",M660+P660+K660)</f>
        <v/>
      </c>
      <c r="U660" s="7">
        <f>IF($V660="","",T660-R660-I660)</f>
        <v/>
      </c>
      <c r="V660" s="13">
        <f>IF(ROWS($V$2:$V660)&lt;=MAX('Per Line'!$AH$2:$AH$6001),MATCH(ROWS($V$2:$V660),'Per Line'!$AH$2:$AH$6001,0),"")</f>
        <v/>
      </c>
    </row>
    <row r="661">
      <c r="A661" s="12" t="n"/>
      <c r="B661">
        <f>IF($V661="","",INDEX('Per Line'!$C$2:$C$6001,$V661)&amp;"")</f>
        <v/>
      </c>
      <c r="C661" s="11">
        <f>IF($V661="","",INDEX('Per Line'!$D$2:$D$6001,$V661))</f>
        <v/>
      </c>
      <c r="D661">
        <f>IF($V661="","",INDEX('Per Line'!$E$2:$E$6001,$V661)&amp;"")</f>
        <v/>
      </c>
      <c r="E661">
        <f>IF($V661="","",INDEX('Per Line'!$G$2:$G$6001,$V661)&amp;"")</f>
        <v/>
      </c>
      <c r="F661">
        <f>IF($V661="","",INDEX('Per Line'!$H$2:$H$6001,$V661)&amp;"")</f>
        <v/>
      </c>
      <c r="G661">
        <f>IF($V661="","",INDEX('Per Line'!$I$2:$I$6001,$V661)&amp;"")</f>
        <v/>
      </c>
      <c r="H661">
        <f>IF($V661="","",INDEX('Per Line'!$J$2:$J$6001,$V661))</f>
        <v/>
      </c>
      <c r="I661" s="7">
        <f>IF($V661="","",H661*S661/100)</f>
        <v/>
      </c>
      <c r="J661">
        <f>IF($V661="","",INDEX('Per Line'!$S$2:$S$6001,$V661)&amp;"")</f>
        <v/>
      </c>
      <c r="K661" s="7">
        <f>IF($V661="","",SUMIFS('Per Line'!$R$2:$R$6001,'Per Line'!$C$2:$C$6001,$B661,'Per Line'!$AJ$2:$AJ$6001,1))</f>
        <v/>
      </c>
      <c r="L661">
        <f>IF($V661="","",Settings!$C$7)</f>
        <v/>
      </c>
      <c r="M661" s="7">
        <f>IF($V661="","",SUMIFS('Per Line'!$R$2:$R$6001,'Per Line'!$C$2:$C$6001,$B661,'Per Line'!$AI$2:$AI$6001,0,'Per Line'!$AJ$2:$AJ$6001,0))</f>
        <v/>
      </c>
      <c r="N661" s="7">
        <f>IF($V661="","",M661*L661)</f>
        <v/>
      </c>
      <c r="O661">
        <f>IF($V661="","",Settings!$C$6)</f>
        <v/>
      </c>
      <c r="P661" s="7">
        <f>IF($V661="","",SUMIFS('Per Line'!$R$2:$R$6001,'Per Line'!$C$2:$C$6001,$B661,'Per Line'!$AI$2:$AI$6001,1,'Per Line'!$AJ$2:$AJ$6001,0))</f>
        <v/>
      </c>
      <c r="Q661" s="7">
        <f>IF($V661="","",P661*O661)</f>
        <v/>
      </c>
      <c r="R661" s="7">
        <f>IF($V661="","",Q661+N661)</f>
        <v/>
      </c>
      <c r="S661" s="7">
        <f>IF($V661="","",T661-R661)</f>
        <v/>
      </c>
      <c r="T661" s="7">
        <f>IF($V661="","",M661+P661+K661)</f>
        <v/>
      </c>
      <c r="U661" s="7">
        <f>IF($V661="","",T661-R661-I661)</f>
        <v/>
      </c>
      <c r="V661" s="13">
        <f>IF(ROWS($V$2:$V661)&lt;=MAX('Per Line'!$AH$2:$AH$6001),MATCH(ROWS($V$2:$V661),'Per Line'!$AH$2:$AH$6001,0),"")</f>
        <v/>
      </c>
    </row>
    <row r="662">
      <c r="A662" s="12" t="n"/>
      <c r="B662">
        <f>IF($V662="","",INDEX('Per Line'!$C$2:$C$6001,$V662)&amp;"")</f>
        <v/>
      </c>
      <c r="C662" s="11">
        <f>IF($V662="","",INDEX('Per Line'!$D$2:$D$6001,$V662))</f>
        <v/>
      </c>
      <c r="D662">
        <f>IF($V662="","",INDEX('Per Line'!$E$2:$E$6001,$V662)&amp;"")</f>
        <v/>
      </c>
      <c r="E662">
        <f>IF($V662="","",INDEX('Per Line'!$G$2:$G$6001,$V662)&amp;"")</f>
        <v/>
      </c>
      <c r="F662">
        <f>IF($V662="","",INDEX('Per Line'!$H$2:$H$6001,$V662)&amp;"")</f>
        <v/>
      </c>
      <c r="G662">
        <f>IF($V662="","",INDEX('Per Line'!$I$2:$I$6001,$V662)&amp;"")</f>
        <v/>
      </c>
      <c r="H662">
        <f>IF($V662="","",INDEX('Per Line'!$J$2:$J$6001,$V662))</f>
        <v/>
      </c>
      <c r="I662" s="7">
        <f>IF($V662="","",H662*S662/100)</f>
        <v/>
      </c>
      <c r="J662">
        <f>IF($V662="","",INDEX('Per Line'!$S$2:$S$6001,$V662)&amp;"")</f>
        <v/>
      </c>
      <c r="K662" s="7">
        <f>IF($V662="","",SUMIFS('Per Line'!$R$2:$R$6001,'Per Line'!$C$2:$C$6001,$B662,'Per Line'!$AJ$2:$AJ$6001,1))</f>
        <v/>
      </c>
      <c r="L662">
        <f>IF($V662="","",Settings!$C$7)</f>
        <v/>
      </c>
      <c r="M662" s="7">
        <f>IF($V662="","",SUMIFS('Per Line'!$R$2:$R$6001,'Per Line'!$C$2:$C$6001,$B662,'Per Line'!$AI$2:$AI$6001,0,'Per Line'!$AJ$2:$AJ$6001,0))</f>
        <v/>
      </c>
      <c r="N662" s="7">
        <f>IF($V662="","",M662*L662)</f>
        <v/>
      </c>
      <c r="O662">
        <f>IF($V662="","",Settings!$C$6)</f>
        <v/>
      </c>
      <c r="P662" s="7">
        <f>IF($V662="","",SUMIFS('Per Line'!$R$2:$R$6001,'Per Line'!$C$2:$C$6001,$B662,'Per Line'!$AI$2:$AI$6001,1,'Per Line'!$AJ$2:$AJ$6001,0))</f>
        <v/>
      </c>
      <c r="Q662" s="7">
        <f>IF($V662="","",P662*O662)</f>
        <v/>
      </c>
      <c r="R662" s="7">
        <f>IF($V662="","",Q662+N662)</f>
        <v/>
      </c>
      <c r="S662" s="7">
        <f>IF($V662="","",T662-R662)</f>
        <v/>
      </c>
      <c r="T662" s="7">
        <f>IF($V662="","",M662+P662+K662)</f>
        <v/>
      </c>
      <c r="U662" s="7">
        <f>IF($V662="","",T662-R662-I662)</f>
        <v/>
      </c>
      <c r="V662" s="13">
        <f>IF(ROWS($V$2:$V662)&lt;=MAX('Per Line'!$AH$2:$AH$6001),MATCH(ROWS($V$2:$V662),'Per Line'!$AH$2:$AH$6001,0),"")</f>
        <v/>
      </c>
    </row>
    <row r="663">
      <c r="A663" s="12" t="n"/>
      <c r="B663">
        <f>IF($V663="","",INDEX('Per Line'!$C$2:$C$6001,$V663)&amp;"")</f>
        <v/>
      </c>
      <c r="C663" s="11">
        <f>IF($V663="","",INDEX('Per Line'!$D$2:$D$6001,$V663))</f>
        <v/>
      </c>
      <c r="D663">
        <f>IF($V663="","",INDEX('Per Line'!$E$2:$E$6001,$V663)&amp;"")</f>
        <v/>
      </c>
      <c r="E663">
        <f>IF($V663="","",INDEX('Per Line'!$G$2:$G$6001,$V663)&amp;"")</f>
        <v/>
      </c>
      <c r="F663">
        <f>IF($V663="","",INDEX('Per Line'!$H$2:$H$6001,$V663)&amp;"")</f>
        <v/>
      </c>
      <c r="G663">
        <f>IF($V663="","",INDEX('Per Line'!$I$2:$I$6001,$V663)&amp;"")</f>
        <v/>
      </c>
      <c r="H663">
        <f>IF($V663="","",INDEX('Per Line'!$J$2:$J$6001,$V663))</f>
        <v/>
      </c>
      <c r="I663" s="7">
        <f>IF($V663="","",H663*S663/100)</f>
        <v/>
      </c>
      <c r="J663">
        <f>IF($V663="","",INDEX('Per Line'!$S$2:$S$6001,$V663)&amp;"")</f>
        <v/>
      </c>
      <c r="K663" s="7">
        <f>IF($V663="","",SUMIFS('Per Line'!$R$2:$R$6001,'Per Line'!$C$2:$C$6001,$B663,'Per Line'!$AJ$2:$AJ$6001,1))</f>
        <v/>
      </c>
      <c r="L663">
        <f>IF($V663="","",Settings!$C$7)</f>
        <v/>
      </c>
      <c r="M663" s="7">
        <f>IF($V663="","",SUMIFS('Per Line'!$R$2:$R$6001,'Per Line'!$C$2:$C$6001,$B663,'Per Line'!$AI$2:$AI$6001,0,'Per Line'!$AJ$2:$AJ$6001,0))</f>
        <v/>
      </c>
      <c r="N663" s="7">
        <f>IF($V663="","",M663*L663)</f>
        <v/>
      </c>
      <c r="O663">
        <f>IF($V663="","",Settings!$C$6)</f>
        <v/>
      </c>
      <c r="P663" s="7">
        <f>IF($V663="","",SUMIFS('Per Line'!$R$2:$R$6001,'Per Line'!$C$2:$C$6001,$B663,'Per Line'!$AI$2:$AI$6001,1,'Per Line'!$AJ$2:$AJ$6001,0))</f>
        <v/>
      </c>
      <c r="Q663" s="7">
        <f>IF($V663="","",P663*O663)</f>
        <v/>
      </c>
      <c r="R663" s="7">
        <f>IF($V663="","",Q663+N663)</f>
        <v/>
      </c>
      <c r="S663" s="7">
        <f>IF($V663="","",T663-R663)</f>
        <v/>
      </c>
      <c r="T663" s="7">
        <f>IF($V663="","",M663+P663+K663)</f>
        <v/>
      </c>
      <c r="U663" s="7">
        <f>IF($V663="","",T663-R663-I663)</f>
        <v/>
      </c>
      <c r="V663" s="13">
        <f>IF(ROWS($V$2:$V663)&lt;=MAX('Per Line'!$AH$2:$AH$6001),MATCH(ROWS($V$2:$V663),'Per Line'!$AH$2:$AH$6001,0),"")</f>
        <v/>
      </c>
    </row>
    <row r="664">
      <c r="A664" s="12" t="n"/>
      <c r="B664">
        <f>IF($V664="","",INDEX('Per Line'!$C$2:$C$6001,$V664)&amp;"")</f>
        <v/>
      </c>
      <c r="C664" s="11">
        <f>IF($V664="","",INDEX('Per Line'!$D$2:$D$6001,$V664))</f>
        <v/>
      </c>
      <c r="D664">
        <f>IF($V664="","",INDEX('Per Line'!$E$2:$E$6001,$V664)&amp;"")</f>
        <v/>
      </c>
      <c r="E664">
        <f>IF($V664="","",INDEX('Per Line'!$G$2:$G$6001,$V664)&amp;"")</f>
        <v/>
      </c>
      <c r="F664">
        <f>IF($V664="","",INDEX('Per Line'!$H$2:$H$6001,$V664)&amp;"")</f>
        <v/>
      </c>
      <c r="G664">
        <f>IF($V664="","",INDEX('Per Line'!$I$2:$I$6001,$V664)&amp;"")</f>
        <v/>
      </c>
      <c r="H664">
        <f>IF($V664="","",INDEX('Per Line'!$J$2:$J$6001,$V664))</f>
        <v/>
      </c>
      <c r="I664" s="7">
        <f>IF($V664="","",H664*S664/100)</f>
        <v/>
      </c>
      <c r="J664">
        <f>IF($V664="","",INDEX('Per Line'!$S$2:$S$6001,$V664)&amp;"")</f>
        <v/>
      </c>
      <c r="K664" s="7">
        <f>IF($V664="","",SUMIFS('Per Line'!$R$2:$R$6001,'Per Line'!$C$2:$C$6001,$B664,'Per Line'!$AJ$2:$AJ$6001,1))</f>
        <v/>
      </c>
      <c r="L664">
        <f>IF($V664="","",Settings!$C$7)</f>
        <v/>
      </c>
      <c r="M664" s="7">
        <f>IF($V664="","",SUMIFS('Per Line'!$R$2:$R$6001,'Per Line'!$C$2:$C$6001,$B664,'Per Line'!$AI$2:$AI$6001,0,'Per Line'!$AJ$2:$AJ$6001,0))</f>
        <v/>
      </c>
      <c r="N664" s="7">
        <f>IF($V664="","",M664*L664)</f>
        <v/>
      </c>
      <c r="O664">
        <f>IF($V664="","",Settings!$C$6)</f>
        <v/>
      </c>
      <c r="P664" s="7">
        <f>IF($V664="","",SUMIFS('Per Line'!$R$2:$R$6001,'Per Line'!$C$2:$C$6001,$B664,'Per Line'!$AI$2:$AI$6001,1,'Per Line'!$AJ$2:$AJ$6001,0))</f>
        <v/>
      </c>
      <c r="Q664" s="7">
        <f>IF($V664="","",P664*O664)</f>
        <v/>
      </c>
      <c r="R664" s="7">
        <f>IF($V664="","",Q664+N664)</f>
        <v/>
      </c>
      <c r="S664" s="7">
        <f>IF($V664="","",T664-R664)</f>
        <v/>
      </c>
      <c r="T664" s="7">
        <f>IF($V664="","",M664+P664+K664)</f>
        <v/>
      </c>
      <c r="U664" s="7">
        <f>IF($V664="","",T664-R664-I664)</f>
        <v/>
      </c>
      <c r="V664" s="13">
        <f>IF(ROWS($V$2:$V664)&lt;=MAX('Per Line'!$AH$2:$AH$6001),MATCH(ROWS($V$2:$V664),'Per Line'!$AH$2:$AH$6001,0),"")</f>
        <v/>
      </c>
    </row>
    <row r="665">
      <c r="A665" s="12" t="n"/>
      <c r="B665">
        <f>IF($V665="","",INDEX('Per Line'!$C$2:$C$6001,$V665)&amp;"")</f>
        <v/>
      </c>
      <c r="C665" s="11">
        <f>IF($V665="","",INDEX('Per Line'!$D$2:$D$6001,$V665))</f>
        <v/>
      </c>
      <c r="D665">
        <f>IF($V665="","",INDEX('Per Line'!$E$2:$E$6001,$V665)&amp;"")</f>
        <v/>
      </c>
      <c r="E665">
        <f>IF($V665="","",INDEX('Per Line'!$G$2:$G$6001,$V665)&amp;"")</f>
        <v/>
      </c>
      <c r="F665">
        <f>IF($V665="","",INDEX('Per Line'!$H$2:$H$6001,$V665)&amp;"")</f>
        <v/>
      </c>
      <c r="G665">
        <f>IF($V665="","",INDEX('Per Line'!$I$2:$I$6001,$V665)&amp;"")</f>
        <v/>
      </c>
      <c r="H665">
        <f>IF($V665="","",INDEX('Per Line'!$J$2:$J$6001,$V665))</f>
        <v/>
      </c>
      <c r="I665" s="7">
        <f>IF($V665="","",H665*S665/100)</f>
        <v/>
      </c>
      <c r="J665">
        <f>IF($V665="","",INDEX('Per Line'!$S$2:$S$6001,$V665)&amp;"")</f>
        <v/>
      </c>
      <c r="K665" s="7">
        <f>IF($V665="","",SUMIFS('Per Line'!$R$2:$R$6001,'Per Line'!$C$2:$C$6001,$B665,'Per Line'!$AJ$2:$AJ$6001,1))</f>
        <v/>
      </c>
      <c r="L665">
        <f>IF($V665="","",Settings!$C$7)</f>
        <v/>
      </c>
      <c r="M665" s="7">
        <f>IF($V665="","",SUMIFS('Per Line'!$R$2:$R$6001,'Per Line'!$C$2:$C$6001,$B665,'Per Line'!$AI$2:$AI$6001,0,'Per Line'!$AJ$2:$AJ$6001,0))</f>
        <v/>
      </c>
      <c r="N665" s="7">
        <f>IF($V665="","",M665*L665)</f>
        <v/>
      </c>
      <c r="O665">
        <f>IF($V665="","",Settings!$C$6)</f>
        <v/>
      </c>
      <c r="P665" s="7">
        <f>IF($V665="","",SUMIFS('Per Line'!$R$2:$R$6001,'Per Line'!$C$2:$C$6001,$B665,'Per Line'!$AI$2:$AI$6001,1,'Per Line'!$AJ$2:$AJ$6001,0))</f>
        <v/>
      </c>
      <c r="Q665" s="7">
        <f>IF($V665="","",P665*O665)</f>
        <v/>
      </c>
      <c r="R665" s="7">
        <f>IF($V665="","",Q665+N665)</f>
        <v/>
      </c>
      <c r="S665" s="7">
        <f>IF($V665="","",T665-R665)</f>
        <v/>
      </c>
      <c r="T665" s="7">
        <f>IF($V665="","",M665+P665+K665)</f>
        <v/>
      </c>
      <c r="U665" s="7">
        <f>IF($V665="","",T665-R665-I665)</f>
        <v/>
      </c>
      <c r="V665" s="13">
        <f>IF(ROWS($V$2:$V665)&lt;=MAX('Per Line'!$AH$2:$AH$6001),MATCH(ROWS($V$2:$V665),'Per Line'!$AH$2:$AH$6001,0),"")</f>
        <v/>
      </c>
    </row>
    <row r="666">
      <c r="A666" s="12" t="n"/>
      <c r="B666">
        <f>IF($V666="","",INDEX('Per Line'!$C$2:$C$6001,$V666)&amp;"")</f>
        <v/>
      </c>
      <c r="C666" s="11">
        <f>IF($V666="","",INDEX('Per Line'!$D$2:$D$6001,$V666))</f>
        <v/>
      </c>
      <c r="D666">
        <f>IF($V666="","",INDEX('Per Line'!$E$2:$E$6001,$V666)&amp;"")</f>
        <v/>
      </c>
      <c r="E666">
        <f>IF($V666="","",INDEX('Per Line'!$G$2:$G$6001,$V666)&amp;"")</f>
        <v/>
      </c>
      <c r="F666">
        <f>IF($V666="","",INDEX('Per Line'!$H$2:$H$6001,$V666)&amp;"")</f>
        <v/>
      </c>
      <c r="G666">
        <f>IF($V666="","",INDEX('Per Line'!$I$2:$I$6001,$V666)&amp;"")</f>
        <v/>
      </c>
      <c r="H666">
        <f>IF($V666="","",INDEX('Per Line'!$J$2:$J$6001,$V666))</f>
        <v/>
      </c>
      <c r="I666" s="7">
        <f>IF($V666="","",H666*S666/100)</f>
        <v/>
      </c>
      <c r="J666">
        <f>IF($V666="","",INDEX('Per Line'!$S$2:$S$6001,$V666)&amp;"")</f>
        <v/>
      </c>
      <c r="K666" s="7">
        <f>IF($V666="","",SUMIFS('Per Line'!$R$2:$R$6001,'Per Line'!$C$2:$C$6001,$B666,'Per Line'!$AJ$2:$AJ$6001,1))</f>
        <v/>
      </c>
      <c r="L666">
        <f>IF($V666="","",Settings!$C$7)</f>
        <v/>
      </c>
      <c r="M666" s="7">
        <f>IF($V666="","",SUMIFS('Per Line'!$R$2:$R$6001,'Per Line'!$C$2:$C$6001,$B666,'Per Line'!$AI$2:$AI$6001,0,'Per Line'!$AJ$2:$AJ$6001,0))</f>
        <v/>
      </c>
      <c r="N666" s="7">
        <f>IF($V666="","",M666*L666)</f>
        <v/>
      </c>
      <c r="O666">
        <f>IF($V666="","",Settings!$C$6)</f>
        <v/>
      </c>
      <c r="P666" s="7">
        <f>IF($V666="","",SUMIFS('Per Line'!$R$2:$R$6001,'Per Line'!$C$2:$C$6001,$B666,'Per Line'!$AI$2:$AI$6001,1,'Per Line'!$AJ$2:$AJ$6001,0))</f>
        <v/>
      </c>
      <c r="Q666" s="7">
        <f>IF($V666="","",P666*O666)</f>
        <v/>
      </c>
      <c r="R666" s="7">
        <f>IF($V666="","",Q666+N666)</f>
        <v/>
      </c>
      <c r="S666" s="7">
        <f>IF($V666="","",T666-R666)</f>
        <v/>
      </c>
      <c r="T666" s="7">
        <f>IF($V666="","",M666+P666+K666)</f>
        <v/>
      </c>
      <c r="U666" s="7">
        <f>IF($V666="","",T666-R666-I666)</f>
        <v/>
      </c>
      <c r="V666" s="13">
        <f>IF(ROWS($V$2:$V666)&lt;=MAX('Per Line'!$AH$2:$AH$6001),MATCH(ROWS($V$2:$V666),'Per Line'!$AH$2:$AH$6001,0),"")</f>
        <v/>
      </c>
    </row>
    <row r="667">
      <c r="A667" s="12" t="n"/>
      <c r="B667">
        <f>IF($V667="","",INDEX('Per Line'!$C$2:$C$6001,$V667)&amp;"")</f>
        <v/>
      </c>
      <c r="C667" s="11">
        <f>IF($V667="","",INDEX('Per Line'!$D$2:$D$6001,$V667))</f>
        <v/>
      </c>
      <c r="D667">
        <f>IF($V667="","",INDEX('Per Line'!$E$2:$E$6001,$V667)&amp;"")</f>
        <v/>
      </c>
      <c r="E667">
        <f>IF($V667="","",INDEX('Per Line'!$G$2:$G$6001,$V667)&amp;"")</f>
        <v/>
      </c>
      <c r="F667">
        <f>IF($V667="","",INDEX('Per Line'!$H$2:$H$6001,$V667)&amp;"")</f>
        <v/>
      </c>
      <c r="G667">
        <f>IF($V667="","",INDEX('Per Line'!$I$2:$I$6001,$V667)&amp;"")</f>
        <v/>
      </c>
      <c r="H667">
        <f>IF($V667="","",INDEX('Per Line'!$J$2:$J$6001,$V667))</f>
        <v/>
      </c>
      <c r="I667" s="7">
        <f>IF($V667="","",H667*S667/100)</f>
        <v/>
      </c>
      <c r="J667">
        <f>IF($V667="","",INDEX('Per Line'!$S$2:$S$6001,$V667)&amp;"")</f>
        <v/>
      </c>
      <c r="K667" s="7">
        <f>IF($V667="","",SUMIFS('Per Line'!$R$2:$R$6001,'Per Line'!$C$2:$C$6001,$B667,'Per Line'!$AJ$2:$AJ$6001,1))</f>
        <v/>
      </c>
      <c r="L667">
        <f>IF($V667="","",Settings!$C$7)</f>
        <v/>
      </c>
      <c r="M667" s="7">
        <f>IF($V667="","",SUMIFS('Per Line'!$R$2:$R$6001,'Per Line'!$C$2:$C$6001,$B667,'Per Line'!$AI$2:$AI$6001,0,'Per Line'!$AJ$2:$AJ$6001,0))</f>
        <v/>
      </c>
      <c r="N667" s="7">
        <f>IF($V667="","",M667*L667)</f>
        <v/>
      </c>
      <c r="O667">
        <f>IF($V667="","",Settings!$C$6)</f>
        <v/>
      </c>
      <c r="P667" s="7">
        <f>IF($V667="","",SUMIFS('Per Line'!$R$2:$R$6001,'Per Line'!$C$2:$C$6001,$B667,'Per Line'!$AI$2:$AI$6001,1,'Per Line'!$AJ$2:$AJ$6001,0))</f>
        <v/>
      </c>
      <c r="Q667" s="7">
        <f>IF($V667="","",P667*O667)</f>
        <v/>
      </c>
      <c r="R667" s="7">
        <f>IF($V667="","",Q667+N667)</f>
        <v/>
      </c>
      <c r="S667" s="7">
        <f>IF($V667="","",T667-R667)</f>
        <v/>
      </c>
      <c r="T667" s="7">
        <f>IF($V667="","",M667+P667+K667)</f>
        <v/>
      </c>
      <c r="U667" s="7">
        <f>IF($V667="","",T667-R667-I667)</f>
        <v/>
      </c>
      <c r="V667" s="13">
        <f>IF(ROWS($V$2:$V667)&lt;=MAX('Per Line'!$AH$2:$AH$6001),MATCH(ROWS($V$2:$V667),'Per Line'!$AH$2:$AH$6001,0),"")</f>
        <v/>
      </c>
    </row>
    <row r="668">
      <c r="A668" s="12" t="n"/>
      <c r="B668">
        <f>IF($V668="","",INDEX('Per Line'!$C$2:$C$6001,$V668)&amp;"")</f>
        <v/>
      </c>
      <c r="C668" s="11">
        <f>IF($V668="","",INDEX('Per Line'!$D$2:$D$6001,$V668))</f>
        <v/>
      </c>
      <c r="D668">
        <f>IF($V668="","",INDEX('Per Line'!$E$2:$E$6001,$V668)&amp;"")</f>
        <v/>
      </c>
      <c r="E668">
        <f>IF($V668="","",INDEX('Per Line'!$G$2:$G$6001,$V668)&amp;"")</f>
        <v/>
      </c>
      <c r="F668">
        <f>IF($V668="","",INDEX('Per Line'!$H$2:$H$6001,$V668)&amp;"")</f>
        <v/>
      </c>
      <c r="G668">
        <f>IF($V668="","",INDEX('Per Line'!$I$2:$I$6001,$V668)&amp;"")</f>
        <v/>
      </c>
      <c r="H668">
        <f>IF($V668="","",INDEX('Per Line'!$J$2:$J$6001,$V668))</f>
        <v/>
      </c>
      <c r="I668" s="7">
        <f>IF($V668="","",H668*S668/100)</f>
        <v/>
      </c>
      <c r="J668">
        <f>IF($V668="","",INDEX('Per Line'!$S$2:$S$6001,$V668)&amp;"")</f>
        <v/>
      </c>
      <c r="K668" s="7">
        <f>IF($V668="","",SUMIFS('Per Line'!$R$2:$R$6001,'Per Line'!$C$2:$C$6001,$B668,'Per Line'!$AJ$2:$AJ$6001,1))</f>
        <v/>
      </c>
      <c r="L668">
        <f>IF($V668="","",Settings!$C$7)</f>
        <v/>
      </c>
      <c r="M668" s="7">
        <f>IF($V668="","",SUMIFS('Per Line'!$R$2:$R$6001,'Per Line'!$C$2:$C$6001,$B668,'Per Line'!$AI$2:$AI$6001,0,'Per Line'!$AJ$2:$AJ$6001,0))</f>
        <v/>
      </c>
      <c r="N668" s="7">
        <f>IF($V668="","",M668*L668)</f>
        <v/>
      </c>
      <c r="O668">
        <f>IF($V668="","",Settings!$C$6)</f>
        <v/>
      </c>
      <c r="P668" s="7">
        <f>IF($V668="","",SUMIFS('Per Line'!$R$2:$R$6001,'Per Line'!$C$2:$C$6001,$B668,'Per Line'!$AI$2:$AI$6001,1,'Per Line'!$AJ$2:$AJ$6001,0))</f>
        <v/>
      </c>
      <c r="Q668" s="7">
        <f>IF($V668="","",P668*O668)</f>
        <v/>
      </c>
      <c r="R668" s="7">
        <f>IF($V668="","",Q668+N668)</f>
        <v/>
      </c>
      <c r="S668" s="7">
        <f>IF($V668="","",T668-R668)</f>
        <v/>
      </c>
      <c r="T668" s="7">
        <f>IF($V668="","",M668+P668+K668)</f>
        <v/>
      </c>
      <c r="U668" s="7">
        <f>IF($V668="","",T668-R668-I668)</f>
        <v/>
      </c>
      <c r="V668" s="13">
        <f>IF(ROWS($V$2:$V668)&lt;=MAX('Per Line'!$AH$2:$AH$6001),MATCH(ROWS($V$2:$V668),'Per Line'!$AH$2:$AH$6001,0),"")</f>
        <v/>
      </c>
    </row>
    <row r="669">
      <c r="A669" s="12" t="n"/>
      <c r="B669">
        <f>IF($V669="","",INDEX('Per Line'!$C$2:$C$6001,$V669)&amp;"")</f>
        <v/>
      </c>
      <c r="C669" s="11">
        <f>IF($V669="","",INDEX('Per Line'!$D$2:$D$6001,$V669))</f>
        <v/>
      </c>
      <c r="D669">
        <f>IF($V669="","",INDEX('Per Line'!$E$2:$E$6001,$V669)&amp;"")</f>
        <v/>
      </c>
      <c r="E669">
        <f>IF($V669="","",INDEX('Per Line'!$G$2:$G$6001,$V669)&amp;"")</f>
        <v/>
      </c>
      <c r="F669">
        <f>IF($V669="","",INDEX('Per Line'!$H$2:$H$6001,$V669)&amp;"")</f>
        <v/>
      </c>
      <c r="G669">
        <f>IF($V669="","",INDEX('Per Line'!$I$2:$I$6001,$V669)&amp;"")</f>
        <v/>
      </c>
      <c r="H669">
        <f>IF($V669="","",INDEX('Per Line'!$J$2:$J$6001,$V669))</f>
        <v/>
      </c>
      <c r="I669" s="7">
        <f>IF($V669="","",H669*S669/100)</f>
        <v/>
      </c>
      <c r="J669">
        <f>IF($V669="","",INDEX('Per Line'!$S$2:$S$6001,$V669)&amp;"")</f>
        <v/>
      </c>
      <c r="K669" s="7">
        <f>IF($V669="","",SUMIFS('Per Line'!$R$2:$R$6001,'Per Line'!$C$2:$C$6001,$B669,'Per Line'!$AJ$2:$AJ$6001,1))</f>
        <v/>
      </c>
      <c r="L669">
        <f>IF($V669="","",Settings!$C$7)</f>
        <v/>
      </c>
      <c r="M669" s="7">
        <f>IF($V669="","",SUMIFS('Per Line'!$R$2:$R$6001,'Per Line'!$C$2:$C$6001,$B669,'Per Line'!$AI$2:$AI$6001,0,'Per Line'!$AJ$2:$AJ$6001,0))</f>
        <v/>
      </c>
      <c r="N669" s="7">
        <f>IF($V669="","",M669*L669)</f>
        <v/>
      </c>
      <c r="O669">
        <f>IF($V669="","",Settings!$C$6)</f>
        <v/>
      </c>
      <c r="P669" s="7">
        <f>IF($V669="","",SUMIFS('Per Line'!$R$2:$R$6001,'Per Line'!$C$2:$C$6001,$B669,'Per Line'!$AI$2:$AI$6001,1,'Per Line'!$AJ$2:$AJ$6001,0))</f>
        <v/>
      </c>
      <c r="Q669" s="7">
        <f>IF($V669="","",P669*O669)</f>
        <v/>
      </c>
      <c r="R669" s="7">
        <f>IF($V669="","",Q669+N669)</f>
        <v/>
      </c>
      <c r="S669" s="7">
        <f>IF($V669="","",T669-R669)</f>
        <v/>
      </c>
      <c r="T669" s="7">
        <f>IF($V669="","",M669+P669+K669)</f>
        <v/>
      </c>
      <c r="U669" s="7">
        <f>IF($V669="","",T669-R669-I669)</f>
        <v/>
      </c>
      <c r="V669" s="13">
        <f>IF(ROWS($V$2:$V669)&lt;=MAX('Per Line'!$AH$2:$AH$6001),MATCH(ROWS($V$2:$V669),'Per Line'!$AH$2:$AH$6001,0),"")</f>
        <v/>
      </c>
    </row>
    <row r="670">
      <c r="A670" s="12" t="n"/>
      <c r="B670">
        <f>IF($V670="","",INDEX('Per Line'!$C$2:$C$6001,$V670)&amp;"")</f>
        <v/>
      </c>
      <c r="C670" s="11">
        <f>IF($V670="","",INDEX('Per Line'!$D$2:$D$6001,$V670))</f>
        <v/>
      </c>
      <c r="D670">
        <f>IF($V670="","",INDEX('Per Line'!$E$2:$E$6001,$V670)&amp;"")</f>
        <v/>
      </c>
      <c r="E670">
        <f>IF($V670="","",INDEX('Per Line'!$G$2:$G$6001,$V670)&amp;"")</f>
        <v/>
      </c>
      <c r="F670">
        <f>IF($V670="","",INDEX('Per Line'!$H$2:$H$6001,$V670)&amp;"")</f>
        <v/>
      </c>
      <c r="G670">
        <f>IF($V670="","",INDEX('Per Line'!$I$2:$I$6001,$V670)&amp;"")</f>
        <v/>
      </c>
      <c r="H670">
        <f>IF($V670="","",INDEX('Per Line'!$J$2:$J$6001,$V670))</f>
        <v/>
      </c>
      <c r="I670" s="7">
        <f>IF($V670="","",H670*S670/100)</f>
        <v/>
      </c>
      <c r="J670">
        <f>IF($V670="","",INDEX('Per Line'!$S$2:$S$6001,$V670)&amp;"")</f>
        <v/>
      </c>
      <c r="K670" s="7">
        <f>IF($V670="","",SUMIFS('Per Line'!$R$2:$R$6001,'Per Line'!$C$2:$C$6001,$B670,'Per Line'!$AJ$2:$AJ$6001,1))</f>
        <v/>
      </c>
      <c r="L670">
        <f>IF($V670="","",Settings!$C$7)</f>
        <v/>
      </c>
      <c r="M670" s="7">
        <f>IF($V670="","",SUMIFS('Per Line'!$R$2:$R$6001,'Per Line'!$C$2:$C$6001,$B670,'Per Line'!$AI$2:$AI$6001,0,'Per Line'!$AJ$2:$AJ$6001,0))</f>
        <v/>
      </c>
      <c r="N670" s="7">
        <f>IF($V670="","",M670*L670)</f>
        <v/>
      </c>
      <c r="O670">
        <f>IF($V670="","",Settings!$C$6)</f>
        <v/>
      </c>
      <c r="P670" s="7">
        <f>IF($V670="","",SUMIFS('Per Line'!$R$2:$R$6001,'Per Line'!$C$2:$C$6001,$B670,'Per Line'!$AI$2:$AI$6001,1,'Per Line'!$AJ$2:$AJ$6001,0))</f>
        <v/>
      </c>
      <c r="Q670" s="7">
        <f>IF($V670="","",P670*O670)</f>
        <v/>
      </c>
      <c r="R670" s="7">
        <f>IF($V670="","",Q670+N670)</f>
        <v/>
      </c>
      <c r="S670" s="7">
        <f>IF($V670="","",T670-R670)</f>
        <v/>
      </c>
      <c r="T670" s="7">
        <f>IF($V670="","",M670+P670+K670)</f>
        <v/>
      </c>
      <c r="U670" s="7">
        <f>IF($V670="","",T670-R670-I670)</f>
        <v/>
      </c>
      <c r="V670" s="13">
        <f>IF(ROWS($V$2:$V670)&lt;=MAX('Per Line'!$AH$2:$AH$6001),MATCH(ROWS($V$2:$V670),'Per Line'!$AH$2:$AH$6001,0),"")</f>
        <v/>
      </c>
    </row>
    <row r="671">
      <c r="A671" s="12" t="n"/>
      <c r="B671">
        <f>IF($V671="","",INDEX('Per Line'!$C$2:$C$6001,$V671)&amp;"")</f>
        <v/>
      </c>
      <c r="C671" s="11">
        <f>IF($V671="","",INDEX('Per Line'!$D$2:$D$6001,$V671))</f>
        <v/>
      </c>
      <c r="D671">
        <f>IF($V671="","",INDEX('Per Line'!$E$2:$E$6001,$V671)&amp;"")</f>
        <v/>
      </c>
      <c r="E671">
        <f>IF($V671="","",INDEX('Per Line'!$G$2:$G$6001,$V671)&amp;"")</f>
        <v/>
      </c>
      <c r="F671">
        <f>IF($V671="","",INDEX('Per Line'!$H$2:$H$6001,$V671)&amp;"")</f>
        <v/>
      </c>
      <c r="G671">
        <f>IF($V671="","",INDEX('Per Line'!$I$2:$I$6001,$V671)&amp;"")</f>
        <v/>
      </c>
      <c r="H671">
        <f>IF($V671="","",INDEX('Per Line'!$J$2:$J$6001,$V671))</f>
        <v/>
      </c>
      <c r="I671" s="7">
        <f>IF($V671="","",H671*S671/100)</f>
        <v/>
      </c>
      <c r="J671">
        <f>IF($V671="","",INDEX('Per Line'!$S$2:$S$6001,$V671)&amp;"")</f>
        <v/>
      </c>
      <c r="K671" s="7">
        <f>IF($V671="","",SUMIFS('Per Line'!$R$2:$R$6001,'Per Line'!$C$2:$C$6001,$B671,'Per Line'!$AJ$2:$AJ$6001,1))</f>
        <v/>
      </c>
      <c r="L671">
        <f>IF($V671="","",Settings!$C$7)</f>
        <v/>
      </c>
      <c r="M671" s="7">
        <f>IF($V671="","",SUMIFS('Per Line'!$R$2:$R$6001,'Per Line'!$C$2:$C$6001,$B671,'Per Line'!$AI$2:$AI$6001,0,'Per Line'!$AJ$2:$AJ$6001,0))</f>
        <v/>
      </c>
      <c r="N671" s="7">
        <f>IF($V671="","",M671*L671)</f>
        <v/>
      </c>
      <c r="O671">
        <f>IF($V671="","",Settings!$C$6)</f>
        <v/>
      </c>
      <c r="P671" s="7">
        <f>IF($V671="","",SUMIFS('Per Line'!$R$2:$R$6001,'Per Line'!$C$2:$C$6001,$B671,'Per Line'!$AI$2:$AI$6001,1,'Per Line'!$AJ$2:$AJ$6001,0))</f>
        <v/>
      </c>
      <c r="Q671" s="7">
        <f>IF($V671="","",P671*O671)</f>
        <v/>
      </c>
      <c r="R671" s="7">
        <f>IF($V671="","",Q671+N671)</f>
        <v/>
      </c>
      <c r="S671" s="7">
        <f>IF($V671="","",T671-R671)</f>
        <v/>
      </c>
      <c r="T671" s="7">
        <f>IF($V671="","",M671+P671+K671)</f>
        <v/>
      </c>
      <c r="U671" s="7">
        <f>IF($V671="","",T671-R671-I671)</f>
        <v/>
      </c>
      <c r="V671" s="13">
        <f>IF(ROWS($V$2:$V671)&lt;=MAX('Per Line'!$AH$2:$AH$6001),MATCH(ROWS($V$2:$V671),'Per Line'!$AH$2:$AH$6001,0),"")</f>
        <v/>
      </c>
    </row>
    <row r="672">
      <c r="A672" s="12" t="n"/>
      <c r="B672">
        <f>IF($V672="","",INDEX('Per Line'!$C$2:$C$6001,$V672)&amp;"")</f>
        <v/>
      </c>
      <c r="C672" s="11">
        <f>IF($V672="","",INDEX('Per Line'!$D$2:$D$6001,$V672))</f>
        <v/>
      </c>
      <c r="D672">
        <f>IF($V672="","",INDEX('Per Line'!$E$2:$E$6001,$V672)&amp;"")</f>
        <v/>
      </c>
      <c r="E672">
        <f>IF($V672="","",INDEX('Per Line'!$G$2:$G$6001,$V672)&amp;"")</f>
        <v/>
      </c>
      <c r="F672">
        <f>IF($V672="","",INDEX('Per Line'!$H$2:$H$6001,$V672)&amp;"")</f>
        <v/>
      </c>
      <c r="G672">
        <f>IF($V672="","",INDEX('Per Line'!$I$2:$I$6001,$V672)&amp;"")</f>
        <v/>
      </c>
      <c r="H672">
        <f>IF($V672="","",INDEX('Per Line'!$J$2:$J$6001,$V672))</f>
        <v/>
      </c>
      <c r="I672" s="7">
        <f>IF($V672="","",H672*S672/100)</f>
        <v/>
      </c>
      <c r="J672">
        <f>IF($V672="","",INDEX('Per Line'!$S$2:$S$6001,$V672)&amp;"")</f>
        <v/>
      </c>
      <c r="K672" s="7">
        <f>IF($V672="","",SUMIFS('Per Line'!$R$2:$R$6001,'Per Line'!$C$2:$C$6001,$B672,'Per Line'!$AJ$2:$AJ$6001,1))</f>
        <v/>
      </c>
      <c r="L672">
        <f>IF($V672="","",Settings!$C$7)</f>
        <v/>
      </c>
      <c r="M672" s="7">
        <f>IF($V672="","",SUMIFS('Per Line'!$R$2:$R$6001,'Per Line'!$C$2:$C$6001,$B672,'Per Line'!$AI$2:$AI$6001,0,'Per Line'!$AJ$2:$AJ$6001,0))</f>
        <v/>
      </c>
      <c r="N672" s="7">
        <f>IF($V672="","",M672*L672)</f>
        <v/>
      </c>
      <c r="O672">
        <f>IF($V672="","",Settings!$C$6)</f>
        <v/>
      </c>
      <c r="P672" s="7">
        <f>IF($V672="","",SUMIFS('Per Line'!$R$2:$R$6001,'Per Line'!$C$2:$C$6001,$B672,'Per Line'!$AI$2:$AI$6001,1,'Per Line'!$AJ$2:$AJ$6001,0))</f>
        <v/>
      </c>
      <c r="Q672" s="7">
        <f>IF($V672="","",P672*O672)</f>
        <v/>
      </c>
      <c r="R672" s="7">
        <f>IF($V672="","",Q672+N672)</f>
        <v/>
      </c>
      <c r="S672" s="7">
        <f>IF($V672="","",T672-R672)</f>
        <v/>
      </c>
      <c r="T672" s="7">
        <f>IF($V672="","",M672+P672+K672)</f>
        <v/>
      </c>
      <c r="U672" s="7">
        <f>IF($V672="","",T672-R672-I672)</f>
        <v/>
      </c>
      <c r="V672" s="13">
        <f>IF(ROWS($V$2:$V672)&lt;=MAX('Per Line'!$AH$2:$AH$6001),MATCH(ROWS($V$2:$V672),'Per Line'!$AH$2:$AH$6001,0),"")</f>
        <v/>
      </c>
    </row>
    <row r="673">
      <c r="A673" s="12" t="n"/>
      <c r="B673">
        <f>IF($V673="","",INDEX('Per Line'!$C$2:$C$6001,$V673)&amp;"")</f>
        <v/>
      </c>
      <c r="C673" s="11">
        <f>IF($V673="","",INDEX('Per Line'!$D$2:$D$6001,$V673))</f>
        <v/>
      </c>
      <c r="D673">
        <f>IF($V673="","",INDEX('Per Line'!$E$2:$E$6001,$V673)&amp;"")</f>
        <v/>
      </c>
      <c r="E673">
        <f>IF($V673="","",INDEX('Per Line'!$G$2:$G$6001,$V673)&amp;"")</f>
        <v/>
      </c>
      <c r="F673">
        <f>IF($V673="","",INDEX('Per Line'!$H$2:$H$6001,$V673)&amp;"")</f>
        <v/>
      </c>
      <c r="G673">
        <f>IF($V673="","",INDEX('Per Line'!$I$2:$I$6001,$V673)&amp;"")</f>
        <v/>
      </c>
      <c r="H673">
        <f>IF($V673="","",INDEX('Per Line'!$J$2:$J$6001,$V673))</f>
        <v/>
      </c>
      <c r="I673" s="7">
        <f>IF($V673="","",H673*S673/100)</f>
        <v/>
      </c>
      <c r="J673">
        <f>IF($V673="","",INDEX('Per Line'!$S$2:$S$6001,$V673)&amp;"")</f>
        <v/>
      </c>
      <c r="K673" s="7">
        <f>IF($V673="","",SUMIFS('Per Line'!$R$2:$R$6001,'Per Line'!$C$2:$C$6001,$B673,'Per Line'!$AJ$2:$AJ$6001,1))</f>
        <v/>
      </c>
      <c r="L673">
        <f>IF($V673="","",Settings!$C$7)</f>
        <v/>
      </c>
      <c r="M673" s="7">
        <f>IF($V673="","",SUMIFS('Per Line'!$R$2:$R$6001,'Per Line'!$C$2:$C$6001,$B673,'Per Line'!$AI$2:$AI$6001,0,'Per Line'!$AJ$2:$AJ$6001,0))</f>
        <v/>
      </c>
      <c r="N673" s="7">
        <f>IF($V673="","",M673*L673)</f>
        <v/>
      </c>
      <c r="O673">
        <f>IF($V673="","",Settings!$C$6)</f>
        <v/>
      </c>
      <c r="P673" s="7">
        <f>IF($V673="","",SUMIFS('Per Line'!$R$2:$R$6001,'Per Line'!$C$2:$C$6001,$B673,'Per Line'!$AI$2:$AI$6001,1,'Per Line'!$AJ$2:$AJ$6001,0))</f>
        <v/>
      </c>
      <c r="Q673" s="7">
        <f>IF($V673="","",P673*O673)</f>
        <v/>
      </c>
      <c r="R673" s="7">
        <f>IF($V673="","",Q673+N673)</f>
        <v/>
      </c>
      <c r="S673" s="7">
        <f>IF($V673="","",T673-R673)</f>
        <v/>
      </c>
      <c r="T673" s="7">
        <f>IF($V673="","",M673+P673+K673)</f>
        <v/>
      </c>
      <c r="U673" s="7">
        <f>IF($V673="","",T673-R673-I673)</f>
        <v/>
      </c>
      <c r="V673" s="13">
        <f>IF(ROWS($V$2:$V673)&lt;=MAX('Per Line'!$AH$2:$AH$6001),MATCH(ROWS($V$2:$V673),'Per Line'!$AH$2:$AH$6001,0),"")</f>
        <v/>
      </c>
    </row>
    <row r="674">
      <c r="A674" s="12" t="n"/>
      <c r="B674">
        <f>IF($V674="","",INDEX('Per Line'!$C$2:$C$6001,$V674)&amp;"")</f>
        <v/>
      </c>
      <c r="C674" s="11">
        <f>IF($V674="","",INDEX('Per Line'!$D$2:$D$6001,$V674))</f>
        <v/>
      </c>
      <c r="D674">
        <f>IF($V674="","",INDEX('Per Line'!$E$2:$E$6001,$V674)&amp;"")</f>
        <v/>
      </c>
      <c r="E674">
        <f>IF($V674="","",INDEX('Per Line'!$G$2:$G$6001,$V674)&amp;"")</f>
        <v/>
      </c>
      <c r="F674">
        <f>IF($V674="","",INDEX('Per Line'!$H$2:$H$6001,$V674)&amp;"")</f>
        <v/>
      </c>
      <c r="G674">
        <f>IF($V674="","",INDEX('Per Line'!$I$2:$I$6001,$V674)&amp;"")</f>
        <v/>
      </c>
      <c r="H674">
        <f>IF($V674="","",INDEX('Per Line'!$J$2:$J$6001,$V674))</f>
        <v/>
      </c>
      <c r="I674" s="7">
        <f>IF($V674="","",H674*S674/100)</f>
        <v/>
      </c>
      <c r="J674">
        <f>IF($V674="","",INDEX('Per Line'!$S$2:$S$6001,$V674)&amp;"")</f>
        <v/>
      </c>
      <c r="K674" s="7">
        <f>IF($V674="","",SUMIFS('Per Line'!$R$2:$R$6001,'Per Line'!$C$2:$C$6001,$B674,'Per Line'!$AJ$2:$AJ$6001,1))</f>
        <v/>
      </c>
      <c r="L674">
        <f>IF($V674="","",Settings!$C$7)</f>
        <v/>
      </c>
      <c r="M674" s="7">
        <f>IF($V674="","",SUMIFS('Per Line'!$R$2:$R$6001,'Per Line'!$C$2:$C$6001,$B674,'Per Line'!$AI$2:$AI$6001,0,'Per Line'!$AJ$2:$AJ$6001,0))</f>
        <v/>
      </c>
      <c r="N674" s="7">
        <f>IF($V674="","",M674*L674)</f>
        <v/>
      </c>
      <c r="O674">
        <f>IF($V674="","",Settings!$C$6)</f>
        <v/>
      </c>
      <c r="P674" s="7">
        <f>IF($V674="","",SUMIFS('Per Line'!$R$2:$R$6001,'Per Line'!$C$2:$C$6001,$B674,'Per Line'!$AI$2:$AI$6001,1,'Per Line'!$AJ$2:$AJ$6001,0))</f>
        <v/>
      </c>
      <c r="Q674" s="7">
        <f>IF($V674="","",P674*O674)</f>
        <v/>
      </c>
      <c r="R674" s="7">
        <f>IF($V674="","",Q674+N674)</f>
        <v/>
      </c>
      <c r="S674" s="7">
        <f>IF($V674="","",T674-R674)</f>
        <v/>
      </c>
      <c r="T674" s="7">
        <f>IF($V674="","",M674+P674+K674)</f>
        <v/>
      </c>
      <c r="U674" s="7">
        <f>IF($V674="","",T674-R674-I674)</f>
        <v/>
      </c>
      <c r="V674" s="13">
        <f>IF(ROWS($V$2:$V674)&lt;=MAX('Per Line'!$AH$2:$AH$6001),MATCH(ROWS($V$2:$V674),'Per Line'!$AH$2:$AH$6001,0),"")</f>
        <v/>
      </c>
    </row>
    <row r="675">
      <c r="A675" s="12" t="n"/>
      <c r="B675">
        <f>IF($V675="","",INDEX('Per Line'!$C$2:$C$6001,$V675)&amp;"")</f>
        <v/>
      </c>
      <c r="C675" s="11">
        <f>IF($V675="","",INDEX('Per Line'!$D$2:$D$6001,$V675))</f>
        <v/>
      </c>
      <c r="D675">
        <f>IF($V675="","",INDEX('Per Line'!$E$2:$E$6001,$V675)&amp;"")</f>
        <v/>
      </c>
      <c r="E675">
        <f>IF($V675="","",INDEX('Per Line'!$G$2:$G$6001,$V675)&amp;"")</f>
        <v/>
      </c>
      <c r="F675">
        <f>IF($V675="","",INDEX('Per Line'!$H$2:$H$6001,$V675)&amp;"")</f>
        <v/>
      </c>
      <c r="G675">
        <f>IF($V675="","",INDEX('Per Line'!$I$2:$I$6001,$V675)&amp;"")</f>
        <v/>
      </c>
      <c r="H675">
        <f>IF($V675="","",INDEX('Per Line'!$J$2:$J$6001,$V675))</f>
        <v/>
      </c>
      <c r="I675" s="7">
        <f>IF($V675="","",H675*S675/100)</f>
        <v/>
      </c>
      <c r="J675">
        <f>IF($V675="","",INDEX('Per Line'!$S$2:$S$6001,$V675)&amp;"")</f>
        <v/>
      </c>
      <c r="K675" s="7">
        <f>IF($V675="","",SUMIFS('Per Line'!$R$2:$R$6001,'Per Line'!$C$2:$C$6001,$B675,'Per Line'!$AJ$2:$AJ$6001,1))</f>
        <v/>
      </c>
      <c r="L675">
        <f>IF($V675="","",Settings!$C$7)</f>
        <v/>
      </c>
      <c r="M675" s="7">
        <f>IF($V675="","",SUMIFS('Per Line'!$R$2:$R$6001,'Per Line'!$C$2:$C$6001,$B675,'Per Line'!$AI$2:$AI$6001,0,'Per Line'!$AJ$2:$AJ$6001,0))</f>
        <v/>
      </c>
      <c r="N675" s="7">
        <f>IF($V675="","",M675*L675)</f>
        <v/>
      </c>
      <c r="O675">
        <f>IF($V675="","",Settings!$C$6)</f>
        <v/>
      </c>
      <c r="P675" s="7">
        <f>IF($V675="","",SUMIFS('Per Line'!$R$2:$R$6001,'Per Line'!$C$2:$C$6001,$B675,'Per Line'!$AI$2:$AI$6001,1,'Per Line'!$AJ$2:$AJ$6001,0))</f>
        <v/>
      </c>
      <c r="Q675" s="7">
        <f>IF($V675="","",P675*O675)</f>
        <v/>
      </c>
      <c r="R675" s="7">
        <f>IF($V675="","",Q675+N675)</f>
        <v/>
      </c>
      <c r="S675" s="7">
        <f>IF($V675="","",T675-R675)</f>
        <v/>
      </c>
      <c r="T675" s="7">
        <f>IF($V675="","",M675+P675+K675)</f>
        <v/>
      </c>
      <c r="U675" s="7">
        <f>IF($V675="","",T675-R675-I675)</f>
        <v/>
      </c>
      <c r="V675" s="13">
        <f>IF(ROWS($V$2:$V675)&lt;=MAX('Per Line'!$AH$2:$AH$6001),MATCH(ROWS($V$2:$V675),'Per Line'!$AH$2:$AH$6001,0),"")</f>
        <v/>
      </c>
    </row>
    <row r="676">
      <c r="A676" s="12" t="n"/>
      <c r="B676">
        <f>IF($V676="","",INDEX('Per Line'!$C$2:$C$6001,$V676)&amp;"")</f>
        <v/>
      </c>
      <c r="C676" s="11">
        <f>IF($V676="","",INDEX('Per Line'!$D$2:$D$6001,$V676))</f>
        <v/>
      </c>
      <c r="D676">
        <f>IF($V676="","",INDEX('Per Line'!$E$2:$E$6001,$V676)&amp;"")</f>
        <v/>
      </c>
      <c r="E676">
        <f>IF($V676="","",INDEX('Per Line'!$G$2:$G$6001,$V676)&amp;"")</f>
        <v/>
      </c>
      <c r="F676">
        <f>IF($V676="","",INDEX('Per Line'!$H$2:$H$6001,$V676)&amp;"")</f>
        <v/>
      </c>
      <c r="G676">
        <f>IF($V676="","",INDEX('Per Line'!$I$2:$I$6001,$V676)&amp;"")</f>
        <v/>
      </c>
      <c r="H676">
        <f>IF($V676="","",INDEX('Per Line'!$J$2:$J$6001,$V676))</f>
        <v/>
      </c>
      <c r="I676" s="7">
        <f>IF($V676="","",H676*S676/100)</f>
        <v/>
      </c>
      <c r="J676">
        <f>IF($V676="","",INDEX('Per Line'!$S$2:$S$6001,$V676)&amp;"")</f>
        <v/>
      </c>
      <c r="K676" s="7">
        <f>IF($V676="","",SUMIFS('Per Line'!$R$2:$R$6001,'Per Line'!$C$2:$C$6001,$B676,'Per Line'!$AJ$2:$AJ$6001,1))</f>
        <v/>
      </c>
      <c r="L676">
        <f>IF($V676="","",Settings!$C$7)</f>
        <v/>
      </c>
      <c r="M676" s="7">
        <f>IF($V676="","",SUMIFS('Per Line'!$R$2:$R$6001,'Per Line'!$C$2:$C$6001,$B676,'Per Line'!$AI$2:$AI$6001,0,'Per Line'!$AJ$2:$AJ$6001,0))</f>
        <v/>
      </c>
      <c r="N676" s="7">
        <f>IF($V676="","",M676*L676)</f>
        <v/>
      </c>
      <c r="O676">
        <f>IF($V676="","",Settings!$C$6)</f>
        <v/>
      </c>
      <c r="P676" s="7">
        <f>IF($V676="","",SUMIFS('Per Line'!$R$2:$R$6001,'Per Line'!$C$2:$C$6001,$B676,'Per Line'!$AI$2:$AI$6001,1,'Per Line'!$AJ$2:$AJ$6001,0))</f>
        <v/>
      </c>
      <c r="Q676" s="7">
        <f>IF($V676="","",P676*O676)</f>
        <v/>
      </c>
      <c r="R676" s="7">
        <f>IF($V676="","",Q676+N676)</f>
        <v/>
      </c>
      <c r="S676" s="7">
        <f>IF($V676="","",T676-R676)</f>
        <v/>
      </c>
      <c r="T676" s="7">
        <f>IF($V676="","",M676+P676+K676)</f>
        <v/>
      </c>
      <c r="U676" s="7">
        <f>IF($V676="","",T676-R676-I676)</f>
        <v/>
      </c>
      <c r="V676" s="13">
        <f>IF(ROWS($V$2:$V676)&lt;=MAX('Per Line'!$AH$2:$AH$6001),MATCH(ROWS($V$2:$V676),'Per Line'!$AH$2:$AH$6001,0),"")</f>
        <v/>
      </c>
    </row>
    <row r="677">
      <c r="A677" s="12" t="n"/>
      <c r="B677">
        <f>IF($V677="","",INDEX('Per Line'!$C$2:$C$6001,$V677)&amp;"")</f>
        <v/>
      </c>
      <c r="C677" s="11">
        <f>IF($V677="","",INDEX('Per Line'!$D$2:$D$6001,$V677))</f>
        <v/>
      </c>
      <c r="D677">
        <f>IF($V677="","",INDEX('Per Line'!$E$2:$E$6001,$V677)&amp;"")</f>
        <v/>
      </c>
      <c r="E677">
        <f>IF($V677="","",INDEX('Per Line'!$G$2:$G$6001,$V677)&amp;"")</f>
        <v/>
      </c>
      <c r="F677">
        <f>IF($V677="","",INDEX('Per Line'!$H$2:$H$6001,$V677)&amp;"")</f>
        <v/>
      </c>
      <c r="G677">
        <f>IF($V677="","",INDEX('Per Line'!$I$2:$I$6001,$V677)&amp;"")</f>
        <v/>
      </c>
      <c r="H677">
        <f>IF($V677="","",INDEX('Per Line'!$J$2:$J$6001,$V677))</f>
        <v/>
      </c>
      <c r="I677" s="7">
        <f>IF($V677="","",H677*S677/100)</f>
        <v/>
      </c>
      <c r="J677">
        <f>IF($V677="","",INDEX('Per Line'!$S$2:$S$6001,$V677)&amp;"")</f>
        <v/>
      </c>
      <c r="K677" s="7">
        <f>IF($V677="","",SUMIFS('Per Line'!$R$2:$R$6001,'Per Line'!$C$2:$C$6001,$B677,'Per Line'!$AJ$2:$AJ$6001,1))</f>
        <v/>
      </c>
      <c r="L677">
        <f>IF($V677="","",Settings!$C$7)</f>
        <v/>
      </c>
      <c r="M677" s="7">
        <f>IF($V677="","",SUMIFS('Per Line'!$R$2:$R$6001,'Per Line'!$C$2:$C$6001,$B677,'Per Line'!$AI$2:$AI$6001,0,'Per Line'!$AJ$2:$AJ$6001,0))</f>
        <v/>
      </c>
      <c r="N677" s="7">
        <f>IF($V677="","",M677*L677)</f>
        <v/>
      </c>
      <c r="O677">
        <f>IF($V677="","",Settings!$C$6)</f>
        <v/>
      </c>
      <c r="P677" s="7">
        <f>IF($V677="","",SUMIFS('Per Line'!$R$2:$R$6001,'Per Line'!$C$2:$C$6001,$B677,'Per Line'!$AI$2:$AI$6001,1,'Per Line'!$AJ$2:$AJ$6001,0))</f>
        <v/>
      </c>
      <c r="Q677" s="7">
        <f>IF($V677="","",P677*O677)</f>
        <v/>
      </c>
      <c r="R677" s="7">
        <f>IF($V677="","",Q677+N677)</f>
        <v/>
      </c>
      <c r="S677" s="7">
        <f>IF($V677="","",T677-R677)</f>
        <v/>
      </c>
      <c r="T677" s="7">
        <f>IF($V677="","",M677+P677+K677)</f>
        <v/>
      </c>
      <c r="U677" s="7">
        <f>IF($V677="","",T677-R677-I677)</f>
        <v/>
      </c>
      <c r="V677" s="13">
        <f>IF(ROWS($V$2:$V677)&lt;=MAX('Per Line'!$AH$2:$AH$6001),MATCH(ROWS($V$2:$V677),'Per Line'!$AH$2:$AH$6001,0),"")</f>
        <v/>
      </c>
    </row>
    <row r="678">
      <c r="A678" s="12" t="n"/>
      <c r="B678">
        <f>IF($V678="","",INDEX('Per Line'!$C$2:$C$6001,$V678)&amp;"")</f>
        <v/>
      </c>
      <c r="C678" s="11">
        <f>IF($V678="","",INDEX('Per Line'!$D$2:$D$6001,$V678))</f>
        <v/>
      </c>
      <c r="D678">
        <f>IF($V678="","",INDEX('Per Line'!$E$2:$E$6001,$V678)&amp;"")</f>
        <v/>
      </c>
      <c r="E678">
        <f>IF($V678="","",INDEX('Per Line'!$G$2:$G$6001,$V678)&amp;"")</f>
        <v/>
      </c>
      <c r="F678">
        <f>IF($V678="","",INDEX('Per Line'!$H$2:$H$6001,$V678)&amp;"")</f>
        <v/>
      </c>
      <c r="G678">
        <f>IF($V678="","",INDEX('Per Line'!$I$2:$I$6001,$V678)&amp;"")</f>
        <v/>
      </c>
      <c r="H678">
        <f>IF($V678="","",INDEX('Per Line'!$J$2:$J$6001,$V678))</f>
        <v/>
      </c>
      <c r="I678" s="7">
        <f>IF($V678="","",H678*S678/100)</f>
        <v/>
      </c>
      <c r="J678">
        <f>IF($V678="","",INDEX('Per Line'!$S$2:$S$6001,$V678)&amp;"")</f>
        <v/>
      </c>
      <c r="K678" s="7">
        <f>IF($V678="","",SUMIFS('Per Line'!$R$2:$R$6001,'Per Line'!$C$2:$C$6001,$B678,'Per Line'!$AJ$2:$AJ$6001,1))</f>
        <v/>
      </c>
      <c r="L678">
        <f>IF($V678="","",Settings!$C$7)</f>
        <v/>
      </c>
      <c r="M678" s="7">
        <f>IF($V678="","",SUMIFS('Per Line'!$R$2:$R$6001,'Per Line'!$C$2:$C$6001,$B678,'Per Line'!$AI$2:$AI$6001,0,'Per Line'!$AJ$2:$AJ$6001,0))</f>
        <v/>
      </c>
      <c r="N678" s="7">
        <f>IF($V678="","",M678*L678)</f>
        <v/>
      </c>
      <c r="O678">
        <f>IF($V678="","",Settings!$C$6)</f>
        <v/>
      </c>
      <c r="P678" s="7">
        <f>IF($V678="","",SUMIFS('Per Line'!$R$2:$R$6001,'Per Line'!$C$2:$C$6001,$B678,'Per Line'!$AI$2:$AI$6001,1,'Per Line'!$AJ$2:$AJ$6001,0))</f>
        <v/>
      </c>
      <c r="Q678" s="7">
        <f>IF($V678="","",P678*O678)</f>
        <v/>
      </c>
      <c r="R678" s="7">
        <f>IF($V678="","",Q678+N678)</f>
        <v/>
      </c>
      <c r="S678" s="7">
        <f>IF($V678="","",T678-R678)</f>
        <v/>
      </c>
      <c r="T678" s="7">
        <f>IF($V678="","",M678+P678+K678)</f>
        <v/>
      </c>
      <c r="U678" s="7">
        <f>IF($V678="","",T678-R678-I678)</f>
        <v/>
      </c>
      <c r="V678" s="13">
        <f>IF(ROWS($V$2:$V678)&lt;=MAX('Per Line'!$AH$2:$AH$6001),MATCH(ROWS($V$2:$V678),'Per Line'!$AH$2:$AH$6001,0),"")</f>
        <v/>
      </c>
    </row>
    <row r="679">
      <c r="A679" s="12" t="n"/>
      <c r="B679">
        <f>IF($V679="","",INDEX('Per Line'!$C$2:$C$6001,$V679)&amp;"")</f>
        <v/>
      </c>
      <c r="C679" s="11">
        <f>IF($V679="","",INDEX('Per Line'!$D$2:$D$6001,$V679))</f>
        <v/>
      </c>
      <c r="D679">
        <f>IF($V679="","",INDEX('Per Line'!$E$2:$E$6001,$V679)&amp;"")</f>
        <v/>
      </c>
      <c r="E679">
        <f>IF($V679="","",INDEX('Per Line'!$G$2:$G$6001,$V679)&amp;"")</f>
        <v/>
      </c>
      <c r="F679">
        <f>IF($V679="","",INDEX('Per Line'!$H$2:$H$6001,$V679)&amp;"")</f>
        <v/>
      </c>
      <c r="G679">
        <f>IF($V679="","",INDEX('Per Line'!$I$2:$I$6001,$V679)&amp;"")</f>
        <v/>
      </c>
      <c r="H679">
        <f>IF($V679="","",INDEX('Per Line'!$J$2:$J$6001,$V679))</f>
        <v/>
      </c>
      <c r="I679" s="7">
        <f>IF($V679="","",H679*S679/100)</f>
        <v/>
      </c>
      <c r="J679">
        <f>IF($V679="","",INDEX('Per Line'!$S$2:$S$6001,$V679)&amp;"")</f>
        <v/>
      </c>
      <c r="K679" s="7">
        <f>IF($V679="","",SUMIFS('Per Line'!$R$2:$R$6001,'Per Line'!$C$2:$C$6001,$B679,'Per Line'!$AJ$2:$AJ$6001,1))</f>
        <v/>
      </c>
      <c r="L679">
        <f>IF($V679="","",Settings!$C$7)</f>
        <v/>
      </c>
      <c r="M679" s="7">
        <f>IF($V679="","",SUMIFS('Per Line'!$R$2:$R$6001,'Per Line'!$C$2:$C$6001,$B679,'Per Line'!$AI$2:$AI$6001,0,'Per Line'!$AJ$2:$AJ$6001,0))</f>
        <v/>
      </c>
      <c r="N679" s="7">
        <f>IF($V679="","",M679*L679)</f>
        <v/>
      </c>
      <c r="O679">
        <f>IF($V679="","",Settings!$C$6)</f>
        <v/>
      </c>
      <c r="P679" s="7">
        <f>IF($V679="","",SUMIFS('Per Line'!$R$2:$R$6001,'Per Line'!$C$2:$C$6001,$B679,'Per Line'!$AI$2:$AI$6001,1,'Per Line'!$AJ$2:$AJ$6001,0))</f>
        <v/>
      </c>
      <c r="Q679" s="7">
        <f>IF($V679="","",P679*O679)</f>
        <v/>
      </c>
      <c r="R679" s="7">
        <f>IF($V679="","",Q679+N679)</f>
        <v/>
      </c>
      <c r="S679" s="7">
        <f>IF($V679="","",T679-R679)</f>
        <v/>
      </c>
      <c r="T679" s="7">
        <f>IF($V679="","",M679+P679+K679)</f>
        <v/>
      </c>
      <c r="U679" s="7">
        <f>IF($V679="","",T679-R679-I679)</f>
        <v/>
      </c>
      <c r="V679" s="13">
        <f>IF(ROWS($V$2:$V679)&lt;=MAX('Per Line'!$AH$2:$AH$6001),MATCH(ROWS($V$2:$V679),'Per Line'!$AH$2:$AH$6001,0),"")</f>
        <v/>
      </c>
    </row>
    <row r="680">
      <c r="A680" s="12" t="n"/>
      <c r="B680">
        <f>IF($V680="","",INDEX('Per Line'!$C$2:$C$6001,$V680)&amp;"")</f>
        <v/>
      </c>
      <c r="C680" s="11">
        <f>IF($V680="","",INDEX('Per Line'!$D$2:$D$6001,$V680))</f>
        <v/>
      </c>
      <c r="D680">
        <f>IF($V680="","",INDEX('Per Line'!$E$2:$E$6001,$V680)&amp;"")</f>
        <v/>
      </c>
      <c r="E680">
        <f>IF($V680="","",INDEX('Per Line'!$G$2:$G$6001,$V680)&amp;"")</f>
        <v/>
      </c>
      <c r="F680">
        <f>IF($V680="","",INDEX('Per Line'!$H$2:$H$6001,$V680)&amp;"")</f>
        <v/>
      </c>
      <c r="G680">
        <f>IF($V680="","",INDEX('Per Line'!$I$2:$I$6001,$V680)&amp;"")</f>
        <v/>
      </c>
      <c r="H680">
        <f>IF($V680="","",INDEX('Per Line'!$J$2:$J$6001,$V680))</f>
        <v/>
      </c>
      <c r="I680" s="7">
        <f>IF($V680="","",H680*S680/100)</f>
        <v/>
      </c>
      <c r="J680">
        <f>IF($V680="","",INDEX('Per Line'!$S$2:$S$6001,$V680)&amp;"")</f>
        <v/>
      </c>
      <c r="K680" s="7">
        <f>IF($V680="","",SUMIFS('Per Line'!$R$2:$R$6001,'Per Line'!$C$2:$C$6001,$B680,'Per Line'!$AJ$2:$AJ$6001,1))</f>
        <v/>
      </c>
      <c r="L680">
        <f>IF($V680="","",Settings!$C$7)</f>
        <v/>
      </c>
      <c r="M680" s="7">
        <f>IF($V680="","",SUMIFS('Per Line'!$R$2:$R$6001,'Per Line'!$C$2:$C$6001,$B680,'Per Line'!$AI$2:$AI$6001,0,'Per Line'!$AJ$2:$AJ$6001,0))</f>
        <v/>
      </c>
      <c r="N680" s="7">
        <f>IF($V680="","",M680*L680)</f>
        <v/>
      </c>
      <c r="O680">
        <f>IF($V680="","",Settings!$C$6)</f>
        <v/>
      </c>
      <c r="P680" s="7">
        <f>IF($V680="","",SUMIFS('Per Line'!$R$2:$R$6001,'Per Line'!$C$2:$C$6001,$B680,'Per Line'!$AI$2:$AI$6001,1,'Per Line'!$AJ$2:$AJ$6001,0))</f>
        <v/>
      </c>
      <c r="Q680" s="7">
        <f>IF($V680="","",P680*O680)</f>
        <v/>
      </c>
      <c r="R680" s="7">
        <f>IF($V680="","",Q680+N680)</f>
        <v/>
      </c>
      <c r="S680" s="7">
        <f>IF($V680="","",T680-R680)</f>
        <v/>
      </c>
      <c r="T680" s="7">
        <f>IF($V680="","",M680+P680+K680)</f>
        <v/>
      </c>
      <c r="U680" s="7">
        <f>IF($V680="","",T680-R680-I680)</f>
        <v/>
      </c>
      <c r="V680" s="13">
        <f>IF(ROWS($V$2:$V680)&lt;=MAX('Per Line'!$AH$2:$AH$6001),MATCH(ROWS($V$2:$V680),'Per Line'!$AH$2:$AH$6001,0),"")</f>
        <v/>
      </c>
    </row>
    <row r="681">
      <c r="A681" s="12" t="n"/>
      <c r="B681">
        <f>IF($V681="","",INDEX('Per Line'!$C$2:$C$6001,$V681)&amp;"")</f>
        <v/>
      </c>
      <c r="C681" s="11">
        <f>IF($V681="","",INDEX('Per Line'!$D$2:$D$6001,$V681))</f>
        <v/>
      </c>
      <c r="D681">
        <f>IF($V681="","",INDEX('Per Line'!$E$2:$E$6001,$V681)&amp;"")</f>
        <v/>
      </c>
      <c r="E681">
        <f>IF($V681="","",INDEX('Per Line'!$G$2:$G$6001,$V681)&amp;"")</f>
        <v/>
      </c>
      <c r="F681">
        <f>IF($V681="","",INDEX('Per Line'!$H$2:$H$6001,$V681)&amp;"")</f>
        <v/>
      </c>
      <c r="G681">
        <f>IF($V681="","",INDEX('Per Line'!$I$2:$I$6001,$V681)&amp;"")</f>
        <v/>
      </c>
      <c r="H681">
        <f>IF($V681="","",INDEX('Per Line'!$J$2:$J$6001,$V681))</f>
        <v/>
      </c>
      <c r="I681" s="7">
        <f>IF($V681="","",H681*S681/100)</f>
        <v/>
      </c>
      <c r="J681">
        <f>IF($V681="","",INDEX('Per Line'!$S$2:$S$6001,$V681)&amp;"")</f>
        <v/>
      </c>
      <c r="K681" s="7">
        <f>IF($V681="","",SUMIFS('Per Line'!$R$2:$R$6001,'Per Line'!$C$2:$C$6001,$B681,'Per Line'!$AJ$2:$AJ$6001,1))</f>
        <v/>
      </c>
      <c r="L681">
        <f>IF($V681="","",Settings!$C$7)</f>
        <v/>
      </c>
      <c r="M681" s="7">
        <f>IF($V681="","",SUMIFS('Per Line'!$R$2:$R$6001,'Per Line'!$C$2:$C$6001,$B681,'Per Line'!$AI$2:$AI$6001,0,'Per Line'!$AJ$2:$AJ$6001,0))</f>
        <v/>
      </c>
      <c r="N681" s="7">
        <f>IF($V681="","",M681*L681)</f>
        <v/>
      </c>
      <c r="O681">
        <f>IF($V681="","",Settings!$C$6)</f>
        <v/>
      </c>
      <c r="P681" s="7">
        <f>IF($V681="","",SUMIFS('Per Line'!$R$2:$R$6001,'Per Line'!$C$2:$C$6001,$B681,'Per Line'!$AI$2:$AI$6001,1,'Per Line'!$AJ$2:$AJ$6001,0))</f>
        <v/>
      </c>
      <c r="Q681" s="7">
        <f>IF($V681="","",P681*O681)</f>
        <v/>
      </c>
      <c r="R681" s="7">
        <f>IF($V681="","",Q681+N681)</f>
        <v/>
      </c>
      <c r="S681" s="7">
        <f>IF($V681="","",T681-R681)</f>
        <v/>
      </c>
      <c r="T681" s="7">
        <f>IF($V681="","",M681+P681+K681)</f>
        <v/>
      </c>
      <c r="U681" s="7">
        <f>IF($V681="","",T681-R681-I681)</f>
        <v/>
      </c>
      <c r="V681" s="13">
        <f>IF(ROWS($V$2:$V681)&lt;=MAX('Per Line'!$AH$2:$AH$6001),MATCH(ROWS($V$2:$V681),'Per Line'!$AH$2:$AH$6001,0),"")</f>
        <v/>
      </c>
    </row>
    <row r="682">
      <c r="A682" s="12" t="n"/>
      <c r="B682">
        <f>IF($V682="","",INDEX('Per Line'!$C$2:$C$6001,$V682)&amp;"")</f>
        <v/>
      </c>
      <c r="C682" s="11">
        <f>IF($V682="","",INDEX('Per Line'!$D$2:$D$6001,$V682))</f>
        <v/>
      </c>
      <c r="D682">
        <f>IF($V682="","",INDEX('Per Line'!$E$2:$E$6001,$V682)&amp;"")</f>
        <v/>
      </c>
      <c r="E682">
        <f>IF($V682="","",INDEX('Per Line'!$G$2:$G$6001,$V682)&amp;"")</f>
        <v/>
      </c>
      <c r="F682">
        <f>IF($V682="","",INDEX('Per Line'!$H$2:$H$6001,$V682)&amp;"")</f>
        <v/>
      </c>
      <c r="G682">
        <f>IF($V682="","",INDEX('Per Line'!$I$2:$I$6001,$V682)&amp;"")</f>
        <v/>
      </c>
      <c r="H682">
        <f>IF($V682="","",INDEX('Per Line'!$J$2:$J$6001,$V682))</f>
        <v/>
      </c>
      <c r="I682" s="7">
        <f>IF($V682="","",H682*S682/100)</f>
        <v/>
      </c>
      <c r="J682">
        <f>IF($V682="","",INDEX('Per Line'!$S$2:$S$6001,$V682)&amp;"")</f>
        <v/>
      </c>
      <c r="K682" s="7">
        <f>IF($V682="","",SUMIFS('Per Line'!$R$2:$R$6001,'Per Line'!$C$2:$C$6001,$B682,'Per Line'!$AJ$2:$AJ$6001,1))</f>
        <v/>
      </c>
      <c r="L682">
        <f>IF($V682="","",Settings!$C$7)</f>
        <v/>
      </c>
      <c r="M682" s="7">
        <f>IF($V682="","",SUMIFS('Per Line'!$R$2:$R$6001,'Per Line'!$C$2:$C$6001,$B682,'Per Line'!$AI$2:$AI$6001,0,'Per Line'!$AJ$2:$AJ$6001,0))</f>
        <v/>
      </c>
      <c r="N682" s="7">
        <f>IF($V682="","",M682*L682)</f>
        <v/>
      </c>
      <c r="O682">
        <f>IF($V682="","",Settings!$C$6)</f>
        <v/>
      </c>
      <c r="P682" s="7">
        <f>IF($V682="","",SUMIFS('Per Line'!$R$2:$R$6001,'Per Line'!$C$2:$C$6001,$B682,'Per Line'!$AI$2:$AI$6001,1,'Per Line'!$AJ$2:$AJ$6001,0))</f>
        <v/>
      </c>
      <c r="Q682" s="7">
        <f>IF($V682="","",P682*O682)</f>
        <v/>
      </c>
      <c r="R682" s="7">
        <f>IF($V682="","",Q682+N682)</f>
        <v/>
      </c>
      <c r="S682" s="7">
        <f>IF($V682="","",T682-R682)</f>
        <v/>
      </c>
      <c r="T682" s="7">
        <f>IF($V682="","",M682+P682+K682)</f>
        <v/>
      </c>
      <c r="U682" s="7">
        <f>IF($V682="","",T682-R682-I682)</f>
        <v/>
      </c>
      <c r="V682" s="13">
        <f>IF(ROWS($V$2:$V682)&lt;=MAX('Per Line'!$AH$2:$AH$6001),MATCH(ROWS($V$2:$V682),'Per Line'!$AH$2:$AH$6001,0),"")</f>
        <v/>
      </c>
    </row>
    <row r="683">
      <c r="A683" s="12" t="n"/>
      <c r="B683">
        <f>IF($V683="","",INDEX('Per Line'!$C$2:$C$6001,$V683)&amp;"")</f>
        <v/>
      </c>
      <c r="C683" s="11">
        <f>IF($V683="","",INDEX('Per Line'!$D$2:$D$6001,$V683))</f>
        <v/>
      </c>
      <c r="D683">
        <f>IF($V683="","",INDEX('Per Line'!$E$2:$E$6001,$V683)&amp;"")</f>
        <v/>
      </c>
      <c r="E683">
        <f>IF($V683="","",INDEX('Per Line'!$G$2:$G$6001,$V683)&amp;"")</f>
        <v/>
      </c>
      <c r="F683">
        <f>IF($V683="","",INDEX('Per Line'!$H$2:$H$6001,$V683)&amp;"")</f>
        <v/>
      </c>
      <c r="G683">
        <f>IF($V683="","",INDEX('Per Line'!$I$2:$I$6001,$V683)&amp;"")</f>
        <v/>
      </c>
      <c r="H683">
        <f>IF($V683="","",INDEX('Per Line'!$J$2:$J$6001,$V683))</f>
        <v/>
      </c>
      <c r="I683" s="7">
        <f>IF($V683="","",H683*S683/100)</f>
        <v/>
      </c>
      <c r="J683">
        <f>IF($V683="","",INDEX('Per Line'!$S$2:$S$6001,$V683)&amp;"")</f>
        <v/>
      </c>
      <c r="K683" s="7">
        <f>IF($V683="","",SUMIFS('Per Line'!$R$2:$R$6001,'Per Line'!$C$2:$C$6001,$B683,'Per Line'!$AJ$2:$AJ$6001,1))</f>
        <v/>
      </c>
      <c r="L683">
        <f>IF($V683="","",Settings!$C$7)</f>
        <v/>
      </c>
      <c r="M683" s="7">
        <f>IF($V683="","",SUMIFS('Per Line'!$R$2:$R$6001,'Per Line'!$C$2:$C$6001,$B683,'Per Line'!$AI$2:$AI$6001,0,'Per Line'!$AJ$2:$AJ$6001,0))</f>
        <v/>
      </c>
      <c r="N683" s="7">
        <f>IF($V683="","",M683*L683)</f>
        <v/>
      </c>
      <c r="O683">
        <f>IF($V683="","",Settings!$C$6)</f>
        <v/>
      </c>
      <c r="P683" s="7">
        <f>IF($V683="","",SUMIFS('Per Line'!$R$2:$R$6001,'Per Line'!$C$2:$C$6001,$B683,'Per Line'!$AI$2:$AI$6001,1,'Per Line'!$AJ$2:$AJ$6001,0))</f>
        <v/>
      </c>
      <c r="Q683" s="7">
        <f>IF($V683="","",P683*O683)</f>
        <v/>
      </c>
      <c r="R683" s="7">
        <f>IF($V683="","",Q683+N683)</f>
        <v/>
      </c>
      <c r="S683" s="7">
        <f>IF($V683="","",T683-R683)</f>
        <v/>
      </c>
      <c r="T683" s="7">
        <f>IF($V683="","",M683+P683+K683)</f>
        <v/>
      </c>
      <c r="U683" s="7">
        <f>IF($V683="","",T683-R683-I683)</f>
        <v/>
      </c>
      <c r="V683" s="13">
        <f>IF(ROWS($V$2:$V683)&lt;=MAX('Per Line'!$AH$2:$AH$6001),MATCH(ROWS($V$2:$V683),'Per Line'!$AH$2:$AH$6001,0),"")</f>
        <v/>
      </c>
    </row>
    <row r="684">
      <c r="A684" s="12" t="n"/>
      <c r="B684">
        <f>IF($V684="","",INDEX('Per Line'!$C$2:$C$6001,$V684)&amp;"")</f>
        <v/>
      </c>
      <c r="C684" s="11">
        <f>IF($V684="","",INDEX('Per Line'!$D$2:$D$6001,$V684))</f>
        <v/>
      </c>
      <c r="D684">
        <f>IF($V684="","",INDEX('Per Line'!$E$2:$E$6001,$V684)&amp;"")</f>
        <v/>
      </c>
      <c r="E684">
        <f>IF($V684="","",INDEX('Per Line'!$G$2:$G$6001,$V684)&amp;"")</f>
        <v/>
      </c>
      <c r="F684">
        <f>IF($V684="","",INDEX('Per Line'!$H$2:$H$6001,$V684)&amp;"")</f>
        <v/>
      </c>
      <c r="G684">
        <f>IF($V684="","",INDEX('Per Line'!$I$2:$I$6001,$V684)&amp;"")</f>
        <v/>
      </c>
      <c r="H684">
        <f>IF($V684="","",INDEX('Per Line'!$J$2:$J$6001,$V684))</f>
        <v/>
      </c>
      <c r="I684" s="7">
        <f>IF($V684="","",H684*S684/100)</f>
        <v/>
      </c>
      <c r="J684">
        <f>IF($V684="","",INDEX('Per Line'!$S$2:$S$6001,$V684)&amp;"")</f>
        <v/>
      </c>
      <c r="K684" s="7">
        <f>IF($V684="","",SUMIFS('Per Line'!$R$2:$R$6001,'Per Line'!$C$2:$C$6001,$B684,'Per Line'!$AJ$2:$AJ$6001,1))</f>
        <v/>
      </c>
      <c r="L684">
        <f>IF($V684="","",Settings!$C$7)</f>
        <v/>
      </c>
      <c r="M684" s="7">
        <f>IF($V684="","",SUMIFS('Per Line'!$R$2:$R$6001,'Per Line'!$C$2:$C$6001,$B684,'Per Line'!$AI$2:$AI$6001,0,'Per Line'!$AJ$2:$AJ$6001,0))</f>
        <v/>
      </c>
      <c r="N684" s="7">
        <f>IF($V684="","",M684*L684)</f>
        <v/>
      </c>
      <c r="O684">
        <f>IF($V684="","",Settings!$C$6)</f>
        <v/>
      </c>
      <c r="P684" s="7">
        <f>IF($V684="","",SUMIFS('Per Line'!$R$2:$R$6001,'Per Line'!$C$2:$C$6001,$B684,'Per Line'!$AI$2:$AI$6001,1,'Per Line'!$AJ$2:$AJ$6001,0))</f>
        <v/>
      </c>
      <c r="Q684" s="7">
        <f>IF($V684="","",P684*O684)</f>
        <v/>
      </c>
      <c r="R684" s="7">
        <f>IF($V684="","",Q684+N684)</f>
        <v/>
      </c>
      <c r="S684" s="7">
        <f>IF($V684="","",T684-R684)</f>
        <v/>
      </c>
      <c r="T684" s="7">
        <f>IF($V684="","",M684+P684+K684)</f>
        <v/>
      </c>
      <c r="U684" s="7">
        <f>IF($V684="","",T684-R684-I684)</f>
        <v/>
      </c>
      <c r="V684" s="13">
        <f>IF(ROWS($V$2:$V684)&lt;=MAX('Per Line'!$AH$2:$AH$6001),MATCH(ROWS($V$2:$V684),'Per Line'!$AH$2:$AH$6001,0),"")</f>
        <v/>
      </c>
    </row>
    <row r="685">
      <c r="A685" s="12" t="n"/>
      <c r="B685">
        <f>IF($V685="","",INDEX('Per Line'!$C$2:$C$6001,$V685)&amp;"")</f>
        <v/>
      </c>
      <c r="C685" s="11">
        <f>IF($V685="","",INDEX('Per Line'!$D$2:$D$6001,$V685))</f>
        <v/>
      </c>
      <c r="D685">
        <f>IF($V685="","",INDEX('Per Line'!$E$2:$E$6001,$V685)&amp;"")</f>
        <v/>
      </c>
      <c r="E685">
        <f>IF($V685="","",INDEX('Per Line'!$G$2:$G$6001,$V685)&amp;"")</f>
        <v/>
      </c>
      <c r="F685">
        <f>IF($V685="","",INDEX('Per Line'!$H$2:$H$6001,$V685)&amp;"")</f>
        <v/>
      </c>
      <c r="G685">
        <f>IF($V685="","",INDEX('Per Line'!$I$2:$I$6001,$V685)&amp;"")</f>
        <v/>
      </c>
      <c r="H685">
        <f>IF($V685="","",INDEX('Per Line'!$J$2:$J$6001,$V685))</f>
        <v/>
      </c>
      <c r="I685" s="7">
        <f>IF($V685="","",H685*S685/100)</f>
        <v/>
      </c>
      <c r="J685">
        <f>IF($V685="","",INDEX('Per Line'!$S$2:$S$6001,$V685)&amp;"")</f>
        <v/>
      </c>
      <c r="K685" s="7">
        <f>IF($V685="","",SUMIFS('Per Line'!$R$2:$R$6001,'Per Line'!$C$2:$C$6001,$B685,'Per Line'!$AJ$2:$AJ$6001,1))</f>
        <v/>
      </c>
      <c r="L685">
        <f>IF($V685="","",Settings!$C$7)</f>
        <v/>
      </c>
      <c r="M685" s="7">
        <f>IF($V685="","",SUMIFS('Per Line'!$R$2:$R$6001,'Per Line'!$C$2:$C$6001,$B685,'Per Line'!$AI$2:$AI$6001,0,'Per Line'!$AJ$2:$AJ$6001,0))</f>
        <v/>
      </c>
      <c r="N685" s="7">
        <f>IF($V685="","",M685*L685)</f>
        <v/>
      </c>
      <c r="O685">
        <f>IF($V685="","",Settings!$C$6)</f>
        <v/>
      </c>
      <c r="P685" s="7">
        <f>IF($V685="","",SUMIFS('Per Line'!$R$2:$R$6001,'Per Line'!$C$2:$C$6001,$B685,'Per Line'!$AI$2:$AI$6001,1,'Per Line'!$AJ$2:$AJ$6001,0))</f>
        <v/>
      </c>
      <c r="Q685" s="7">
        <f>IF($V685="","",P685*O685)</f>
        <v/>
      </c>
      <c r="R685" s="7">
        <f>IF($V685="","",Q685+N685)</f>
        <v/>
      </c>
      <c r="S685" s="7">
        <f>IF($V685="","",T685-R685)</f>
        <v/>
      </c>
      <c r="T685" s="7">
        <f>IF($V685="","",M685+P685+K685)</f>
        <v/>
      </c>
      <c r="U685" s="7">
        <f>IF($V685="","",T685-R685-I685)</f>
        <v/>
      </c>
      <c r="V685" s="13">
        <f>IF(ROWS($V$2:$V685)&lt;=MAX('Per Line'!$AH$2:$AH$6001),MATCH(ROWS($V$2:$V685),'Per Line'!$AH$2:$AH$6001,0),"")</f>
        <v/>
      </c>
    </row>
    <row r="686">
      <c r="A686" s="12" t="n"/>
      <c r="B686">
        <f>IF($V686="","",INDEX('Per Line'!$C$2:$C$6001,$V686)&amp;"")</f>
        <v/>
      </c>
      <c r="C686" s="11">
        <f>IF($V686="","",INDEX('Per Line'!$D$2:$D$6001,$V686))</f>
        <v/>
      </c>
      <c r="D686">
        <f>IF($V686="","",INDEX('Per Line'!$E$2:$E$6001,$V686)&amp;"")</f>
        <v/>
      </c>
      <c r="E686">
        <f>IF($V686="","",INDEX('Per Line'!$G$2:$G$6001,$V686)&amp;"")</f>
        <v/>
      </c>
      <c r="F686">
        <f>IF($V686="","",INDEX('Per Line'!$H$2:$H$6001,$V686)&amp;"")</f>
        <v/>
      </c>
      <c r="G686">
        <f>IF($V686="","",INDEX('Per Line'!$I$2:$I$6001,$V686)&amp;"")</f>
        <v/>
      </c>
      <c r="H686">
        <f>IF($V686="","",INDEX('Per Line'!$J$2:$J$6001,$V686))</f>
        <v/>
      </c>
      <c r="I686" s="7">
        <f>IF($V686="","",H686*S686/100)</f>
        <v/>
      </c>
      <c r="J686">
        <f>IF($V686="","",INDEX('Per Line'!$S$2:$S$6001,$V686)&amp;"")</f>
        <v/>
      </c>
      <c r="K686" s="7">
        <f>IF($V686="","",SUMIFS('Per Line'!$R$2:$R$6001,'Per Line'!$C$2:$C$6001,$B686,'Per Line'!$AJ$2:$AJ$6001,1))</f>
        <v/>
      </c>
      <c r="L686">
        <f>IF($V686="","",Settings!$C$7)</f>
        <v/>
      </c>
      <c r="M686" s="7">
        <f>IF($V686="","",SUMIFS('Per Line'!$R$2:$R$6001,'Per Line'!$C$2:$C$6001,$B686,'Per Line'!$AI$2:$AI$6001,0,'Per Line'!$AJ$2:$AJ$6001,0))</f>
        <v/>
      </c>
      <c r="N686" s="7">
        <f>IF($V686="","",M686*L686)</f>
        <v/>
      </c>
      <c r="O686">
        <f>IF($V686="","",Settings!$C$6)</f>
        <v/>
      </c>
      <c r="P686" s="7">
        <f>IF($V686="","",SUMIFS('Per Line'!$R$2:$R$6001,'Per Line'!$C$2:$C$6001,$B686,'Per Line'!$AI$2:$AI$6001,1,'Per Line'!$AJ$2:$AJ$6001,0))</f>
        <v/>
      </c>
      <c r="Q686" s="7">
        <f>IF($V686="","",P686*O686)</f>
        <v/>
      </c>
      <c r="R686" s="7">
        <f>IF($V686="","",Q686+N686)</f>
        <v/>
      </c>
      <c r="S686" s="7">
        <f>IF($V686="","",T686-R686)</f>
        <v/>
      </c>
      <c r="T686" s="7">
        <f>IF($V686="","",M686+P686+K686)</f>
        <v/>
      </c>
      <c r="U686" s="7">
        <f>IF($V686="","",T686-R686-I686)</f>
        <v/>
      </c>
      <c r="V686" s="13">
        <f>IF(ROWS($V$2:$V686)&lt;=MAX('Per Line'!$AH$2:$AH$6001),MATCH(ROWS($V$2:$V686),'Per Line'!$AH$2:$AH$6001,0),"")</f>
        <v/>
      </c>
    </row>
    <row r="687">
      <c r="A687" s="12" t="n"/>
      <c r="B687">
        <f>IF($V687="","",INDEX('Per Line'!$C$2:$C$6001,$V687)&amp;"")</f>
        <v/>
      </c>
      <c r="C687" s="11">
        <f>IF($V687="","",INDEX('Per Line'!$D$2:$D$6001,$V687))</f>
        <v/>
      </c>
      <c r="D687">
        <f>IF($V687="","",INDEX('Per Line'!$E$2:$E$6001,$V687)&amp;"")</f>
        <v/>
      </c>
      <c r="E687">
        <f>IF($V687="","",INDEX('Per Line'!$G$2:$G$6001,$V687)&amp;"")</f>
        <v/>
      </c>
      <c r="F687">
        <f>IF($V687="","",INDEX('Per Line'!$H$2:$H$6001,$V687)&amp;"")</f>
        <v/>
      </c>
      <c r="G687">
        <f>IF($V687="","",INDEX('Per Line'!$I$2:$I$6001,$V687)&amp;"")</f>
        <v/>
      </c>
      <c r="H687">
        <f>IF($V687="","",INDEX('Per Line'!$J$2:$J$6001,$V687))</f>
        <v/>
      </c>
      <c r="I687" s="7">
        <f>IF($V687="","",H687*S687/100)</f>
        <v/>
      </c>
      <c r="J687">
        <f>IF($V687="","",INDEX('Per Line'!$S$2:$S$6001,$V687)&amp;"")</f>
        <v/>
      </c>
      <c r="K687" s="7">
        <f>IF($V687="","",SUMIFS('Per Line'!$R$2:$R$6001,'Per Line'!$C$2:$C$6001,$B687,'Per Line'!$AJ$2:$AJ$6001,1))</f>
        <v/>
      </c>
      <c r="L687">
        <f>IF($V687="","",Settings!$C$7)</f>
        <v/>
      </c>
      <c r="M687" s="7">
        <f>IF($V687="","",SUMIFS('Per Line'!$R$2:$R$6001,'Per Line'!$C$2:$C$6001,$B687,'Per Line'!$AI$2:$AI$6001,0,'Per Line'!$AJ$2:$AJ$6001,0))</f>
        <v/>
      </c>
      <c r="N687" s="7">
        <f>IF($V687="","",M687*L687)</f>
        <v/>
      </c>
      <c r="O687">
        <f>IF($V687="","",Settings!$C$6)</f>
        <v/>
      </c>
      <c r="P687" s="7">
        <f>IF($V687="","",SUMIFS('Per Line'!$R$2:$R$6001,'Per Line'!$C$2:$C$6001,$B687,'Per Line'!$AI$2:$AI$6001,1,'Per Line'!$AJ$2:$AJ$6001,0))</f>
        <v/>
      </c>
      <c r="Q687" s="7">
        <f>IF($V687="","",P687*O687)</f>
        <v/>
      </c>
      <c r="R687" s="7">
        <f>IF($V687="","",Q687+N687)</f>
        <v/>
      </c>
      <c r="S687" s="7">
        <f>IF($V687="","",T687-R687)</f>
        <v/>
      </c>
      <c r="T687" s="7">
        <f>IF($V687="","",M687+P687+K687)</f>
        <v/>
      </c>
      <c r="U687" s="7">
        <f>IF($V687="","",T687-R687-I687)</f>
        <v/>
      </c>
      <c r="V687" s="13">
        <f>IF(ROWS($V$2:$V687)&lt;=MAX('Per Line'!$AH$2:$AH$6001),MATCH(ROWS($V$2:$V687),'Per Line'!$AH$2:$AH$6001,0),"")</f>
        <v/>
      </c>
    </row>
    <row r="688">
      <c r="A688" s="12" t="n"/>
      <c r="B688">
        <f>IF($V688="","",INDEX('Per Line'!$C$2:$C$6001,$V688)&amp;"")</f>
        <v/>
      </c>
      <c r="C688" s="11">
        <f>IF($V688="","",INDEX('Per Line'!$D$2:$D$6001,$V688))</f>
        <v/>
      </c>
      <c r="D688">
        <f>IF($V688="","",INDEX('Per Line'!$E$2:$E$6001,$V688)&amp;"")</f>
        <v/>
      </c>
      <c r="E688">
        <f>IF($V688="","",INDEX('Per Line'!$G$2:$G$6001,$V688)&amp;"")</f>
        <v/>
      </c>
      <c r="F688">
        <f>IF($V688="","",INDEX('Per Line'!$H$2:$H$6001,$V688)&amp;"")</f>
        <v/>
      </c>
      <c r="G688">
        <f>IF($V688="","",INDEX('Per Line'!$I$2:$I$6001,$V688)&amp;"")</f>
        <v/>
      </c>
      <c r="H688">
        <f>IF($V688="","",INDEX('Per Line'!$J$2:$J$6001,$V688))</f>
        <v/>
      </c>
      <c r="I688" s="7">
        <f>IF($V688="","",H688*S688/100)</f>
        <v/>
      </c>
      <c r="J688">
        <f>IF($V688="","",INDEX('Per Line'!$S$2:$S$6001,$V688)&amp;"")</f>
        <v/>
      </c>
      <c r="K688" s="7">
        <f>IF($V688="","",SUMIFS('Per Line'!$R$2:$R$6001,'Per Line'!$C$2:$C$6001,$B688,'Per Line'!$AJ$2:$AJ$6001,1))</f>
        <v/>
      </c>
      <c r="L688">
        <f>IF($V688="","",Settings!$C$7)</f>
        <v/>
      </c>
      <c r="M688" s="7">
        <f>IF($V688="","",SUMIFS('Per Line'!$R$2:$R$6001,'Per Line'!$C$2:$C$6001,$B688,'Per Line'!$AI$2:$AI$6001,0,'Per Line'!$AJ$2:$AJ$6001,0))</f>
        <v/>
      </c>
      <c r="N688" s="7">
        <f>IF($V688="","",M688*L688)</f>
        <v/>
      </c>
      <c r="O688">
        <f>IF($V688="","",Settings!$C$6)</f>
        <v/>
      </c>
      <c r="P688" s="7">
        <f>IF($V688="","",SUMIFS('Per Line'!$R$2:$R$6001,'Per Line'!$C$2:$C$6001,$B688,'Per Line'!$AI$2:$AI$6001,1,'Per Line'!$AJ$2:$AJ$6001,0))</f>
        <v/>
      </c>
      <c r="Q688" s="7">
        <f>IF($V688="","",P688*O688)</f>
        <v/>
      </c>
      <c r="R688" s="7">
        <f>IF($V688="","",Q688+N688)</f>
        <v/>
      </c>
      <c r="S688" s="7">
        <f>IF($V688="","",T688-R688)</f>
        <v/>
      </c>
      <c r="T688" s="7">
        <f>IF($V688="","",M688+P688+K688)</f>
        <v/>
      </c>
      <c r="U688" s="7">
        <f>IF($V688="","",T688-R688-I688)</f>
        <v/>
      </c>
      <c r="V688" s="13">
        <f>IF(ROWS($V$2:$V688)&lt;=MAX('Per Line'!$AH$2:$AH$6001),MATCH(ROWS($V$2:$V688),'Per Line'!$AH$2:$AH$6001,0),"")</f>
        <v/>
      </c>
    </row>
    <row r="689">
      <c r="A689" s="12" t="n"/>
      <c r="B689">
        <f>IF($V689="","",INDEX('Per Line'!$C$2:$C$6001,$V689)&amp;"")</f>
        <v/>
      </c>
      <c r="C689" s="11">
        <f>IF($V689="","",INDEX('Per Line'!$D$2:$D$6001,$V689))</f>
        <v/>
      </c>
      <c r="D689">
        <f>IF($V689="","",INDEX('Per Line'!$E$2:$E$6001,$V689)&amp;"")</f>
        <v/>
      </c>
      <c r="E689">
        <f>IF($V689="","",INDEX('Per Line'!$G$2:$G$6001,$V689)&amp;"")</f>
        <v/>
      </c>
      <c r="F689">
        <f>IF($V689="","",INDEX('Per Line'!$H$2:$H$6001,$V689)&amp;"")</f>
        <v/>
      </c>
      <c r="G689">
        <f>IF($V689="","",INDEX('Per Line'!$I$2:$I$6001,$V689)&amp;"")</f>
        <v/>
      </c>
      <c r="H689">
        <f>IF($V689="","",INDEX('Per Line'!$J$2:$J$6001,$V689))</f>
        <v/>
      </c>
      <c r="I689" s="7">
        <f>IF($V689="","",H689*S689/100)</f>
        <v/>
      </c>
      <c r="J689">
        <f>IF($V689="","",INDEX('Per Line'!$S$2:$S$6001,$V689)&amp;"")</f>
        <v/>
      </c>
      <c r="K689" s="7">
        <f>IF($V689="","",SUMIFS('Per Line'!$R$2:$R$6001,'Per Line'!$C$2:$C$6001,$B689,'Per Line'!$AJ$2:$AJ$6001,1))</f>
        <v/>
      </c>
      <c r="L689">
        <f>IF($V689="","",Settings!$C$7)</f>
        <v/>
      </c>
      <c r="M689" s="7">
        <f>IF($V689="","",SUMIFS('Per Line'!$R$2:$R$6001,'Per Line'!$C$2:$C$6001,$B689,'Per Line'!$AI$2:$AI$6001,0,'Per Line'!$AJ$2:$AJ$6001,0))</f>
        <v/>
      </c>
      <c r="N689" s="7">
        <f>IF($V689="","",M689*L689)</f>
        <v/>
      </c>
      <c r="O689">
        <f>IF($V689="","",Settings!$C$6)</f>
        <v/>
      </c>
      <c r="P689" s="7">
        <f>IF($V689="","",SUMIFS('Per Line'!$R$2:$R$6001,'Per Line'!$C$2:$C$6001,$B689,'Per Line'!$AI$2:$AI$6001,1,'Per Line'!$AJ$2:$AJ$6001,0))</f>
        <v/>
      </c>
      <c r="Q689" s="7">
        <f>IF($V689="","",P689*O689)</f>
        <v/>
      </c>
      <c r="R689" s="7">
        <f>IF($V689="","",Q689+N689)</f>
        <v/>
      </c>
      <c r="S689" s="7">
        <f>IF($V689="","",T689-R689)</f>
        <v/>
      </c>
      <c r="T689" s="7">
        <f>IF($V689="","",M689+P689+K689)</f>
        <v/>
      </c>
      <c r="U689" s="7">
        <f>IF($V689="","",T689-R689-I689)</f>
        <v/>
      </c>
      <c r="V689" s="13">
        <f>IF(ROWS($V$2:$V689)&lt;=MAX('Per Line'!$AH$2:$AH$6001),MATCH(ROWS($V$2:$V689),'Per Line'!$AH$2:$AH$6001,0),"")</f>
        <v/>
      </c>
    </row>
    <row r="690">
      <c r="A690" s="12" t="n"/>
      <c r="B690">
        <f>IF($V690="","",INDEX('Per Line'!$C$2:$C$6001,$V690)&amp;"")</f>
        <v/>
      </c>
      <c r="C690" s="11">
        <f>IF($V690="","",INDEX('Per Line'!$D$2:$D$6001,$V690))</f>
        <v/>
      </c>
      <c r="D690">
        <f>IF($V690="","",INDEX('Per Line'!$E$2:$E$6001,$V690)&amp;"")</f>
        <v/>
      </c>
      <c r="E690">
        <f>IF($V690="","",INDEX('Per Line'!$G$2:$G$6001,$V690)&amp;"")</f>
        <v/>
      </c>
      <c r="F690">
        <f>IF($V690="","",INDEX('Per Line'!$H$2:$H$6001,$V690)&amp;"")</f>
        <v/>
      </c>
      <c r="G690">
        <f>IF($V690="","",INDEX('Per Line'!$I$2:$I$6001,$V690)&amp;"")</f>
        <v/>
      </c>
      <c r="H690">
        <f>IF($V690="","",INDEX('Per Line'!$J$2:$J$6001,$V690))</f>
        <v/>
      </c>
      <c r="I690" s="7">
        <f>IF($V690="","",H690*S690/100)</f>
        <v/>
      </c>
      <c r="J690">
        <f>IF($V690="","",INDEX('Per Line'!$S$2:$S$6001,$V690)&amp;"")</f>
        <v/>
      </c>
      <c r="K690" s="7">
        <f>IF($V690="","",SUMIFS('Per Line'!$R$2:$R$6001,'Per Line'!$C$2:$C$6001,$B690,'Per Line'!$AJ$2:$AJ$6001,1))</f>
        <v/>
      </c>
      <c r="L690">
        <f>IF($V690="","",Settings!$C$7)</f>
        <v/>
      </c>
      <c r="M690" s="7">
        <f>IF($V690="","",SUMIFS('Per Line'!$R$2:$R$6001,'Per Line'!$C$2:$C$6001,$B690,'Per Line'!$AI$2:$AI$6001,0,'Per Line'!$AJ$2:$AJ$6001,0))</f>
        <v/>
      </c>
      <c r="N690" s="7">
        <f>IF($V690="","",M690*L690)</f>
        <v/>
      </c>
      <c r="O690">
        <f>IF($V690="","",Settings!$C$6)</f>
        <v/>
      </c>
      <c r="P690" s="7">
        <f>IF($V690="","",SUMIFS('Per Line'!$R$2:$R$6001,'Per Line'!$C$2:$C$6001,$B690,'Per Line'!$AI$2:$AI$6001,1,'Per Line'!$AJ$2:$AJ$6001,0))</f>
        <v/>
      </c>
      <c r="Q690" s="7">
        <f>IF($V690="","",P690*O690)</f>
        <v/>
      </c>
      <c r="R690" s="7">
        <f>IF($V690="","",Q690+N690)</f>
        <v/>
      </c>
      <c r="S690" s="7">
        <f>IF($V690="","",T690-R690)</f>
        <v/>
      </c>
      <c r="T690" s="7">
        <f>IF($V690="","",M690+P690+K690)</f>
        <v/>
      </c>
      <c r="U690" s="7">
        <f>IF($V690="","",T690-R690-I690)</f>
        <v/>
      </c>
      <c r="V690" s="13">
        <f>IF(ROWS($V$2:$V690)&lt;=MAX('Per Line'!$AH$2:$AH$6001),MATCH(ROWS($V$2:$V690),'Per Line'!$AH$2:$AH$6001,0),"")</f>
        <v/>
      </c>
    </row>
    <row r="691">
      <c r="A691" s="12" t="n"/>
      <c r="B691">
        <f>IF($V691="","",INDEX('Per Line'!$C$2:$C$6001,$V691)&amp;"")</f>
        <v/>
      </c>
      <c r="C691" s="11">
        <f>IF($V691="","",INDEX('Per Line'!$D$2:$D$6001,$V691))</f>
        <v/>
      </c>
      <c r="D691">
        <f>IF($V691="","",INDEX('Per Line'!$E$2:$E$6001,$V691)&amp;"")</f>
        <v/>
      </c>
      <c r="E691">
        <f>IF($V691="","",INDEX('Per Line'!$G$2:$G$6001,$V691)&amp;"")</f>
        <v/>
      </c>
      <c r="F691">
        <f>IF($V691="","",INDEX('Per Line'!$H$2:$H$6001,$V691)&amp;"")</f>
        <v/>
      </c>
      <c r="G691">
        <f>IF($V691="","",INDEX('Per Line'!$I$2:$I$6001,$V691)&amp;"")</f>
        <v/>
      </c>
      <c r="H691">
        <f>IF($V691="","",INDEX('Per Line'!$J$2:$J$6001,$V691))</f>
        <v/>
      </c>
      <c r="I691" s="7">
        <f>IF($V691="","",H691*S691/100)</f>
        <v/>
      </c>
      <c r="J691">
        <f>IF($V691="","",INDEX('Per Line'!$S$2:$S$6001,$V691)&amp;"")</f>
        <v/>
      </c>
      <c r="K691" s="7">
        <f>IF($V691="","",SUMIFS('Per Line'!$R$2:$R$6001,'Per Line'!$C$2:$C$6001,$B691,'Per Line'!$AJ$2:$AJ$6001,1))</f>
        <v/>
      </c>
      <c r="L691">
        <f>IF($V691="","",Settings!$C$7)</f>
        <v/>
      </c>
      <c r="M691" s="7">
        <f>IF($V691="","",SUMIFS('Per Line'!$R$2:$R$6001,'Per Line'!$C$2:$C$6001,$B691,'Per Line'!$AI$2:$AI$6001,0,'Per Line'!$AJ$2:$AJ$6001,0))</f>
        <v/>
      </c>
      <c r="N691" s="7">
        <f>IF($V691="","",M691*L691)</f>
        <v/>
      </c>
      <c r="O691">
        <f>IF($V691="","",Settings!$C$6)</f>
        <v/>
      </c>
      <c r="P691" s="7">
        <f>IF($V691="","",SUMIFS('Per Line'!$R$2:$R$6001,'Per Line'!$C$2:$C$6001,$B691,'Per Line'!$AI$2:$AI$6001,1,'Per Line'!$AJ$2:$AJ$6001,0))</f>
        <v/>
      </c>
      <c r="Q691" s="7">
        <f>IF($V691="","",P691*O691)</f>
        <v/>
      </c>
      <c r="R691" s="7">
        <f>IF($V691="","",Q691+N691)</f>
        <v/>
      </c>
      <c r="S691" s="7">
        <f>IF($V691="","",T691-R691)</f>
        <v/>
      </c>
      <c r="T691" s="7">
        <f>IF($V691="","",M691+P691+K691)</f>
        <v/>
      </c>
      <c r="U691" s="7">
        <f>IF($V691="","",T691-R691-I691)</f>
        <v/>
      </c>
      <c r="V691" s="13">
        <f>IF(ROWS($V$2:$V691)&lt;=MAX('Per Line'!$AH$2:$AH$6001),MATCH(ROWS($V$2:$V691),'Per Line'!$AH$2:$AH$6001,0),"")</f>
        <v/>
      </c>
    </row>
    <row r="692">
      <c r="A692" s="12" t="n"/>
      <c r="B692">
        <f>IF($V692="","",INDEX('Per Line'!$C$2:$C$6001,$V692)&amp;"")</f>
        <v/>
      </c>
      <c r="C692" s="11">
        <f>IF($V692="","",INDEX('Per Line'!$D$2:$D$6001,$V692))</f>
        <v/>
      </c>
      <c r="D692">
        <f>IF($V692="","",INDEX('Per Line'!$E$2:$E$6001,$V692)&amp;"")</f>
        <v/>
      </c>
      <c r="E692">
        <f>IF($V692="","",INDEX('Per Line'!$G$2:$G$6001,$V692)&amp;"")</f>
        <v/>
      </c>
      <c r="F692">
        <f>IF($V692="","",INDEX('Per Line'!$H$2:$H$6001,$V692)&amp;"")</f>
        <v/>
      </c>
      <c r="G692">
        <f>IF($V692="","",INDEX('Per Line'!$I$2:$I$6001,$V692)&amp;"")</f>
        <v/>
      </c>
      <c r="H692">
        <f>IF($V692="","",INDEX('Per Line'!$J$2:$J$6001,$V692))</f>
        <v/>
      </c>
      <c r="I692" s="7">
        <f>IF($V692="","",H692*S692/100)</f>
        <v/>
      </c>
      <c r="J692">
        <f>IF($V692="","",INDEX('Per Line'!$S$2:$S$6001,$V692)&amp;"")</f>
        <v/>
      </c>
      <c r="K692" s="7">
        <f>IF($V692="","",SUMIFS('Per Line'!$R$2:$R$6001,'Per Line'!$C$2:$C$6001,$B692,'Per Line'!$AJ$2:$AJ$6001,1))</f>
        <v/>
      </c>
      <c r="L692">
        <f>IF($V692="","",Settings!$C$7)</f>
        <v/>
      </c>
      <c r="M692" s="7">
        <f>IF($V692="","",SUMIFS('Per Line'!$R$2:$R$6001,'Per Line'!$C$2:$C$6001,$B692,'Per Line'!$AI$2:$AI$6001,0,'Per Line'!$AJ$2:$AJ$6001,0))</f>
        <v/>
      </c>
      <c r="N692" s="7">
        <f>IF($V692="","",M692*L692)</f>
        <v/>
      </c>
      <c r="O692">
        <f>IF($V692="","",Settings!$C$6)</f>
        <v/>
      </c>
      <c r="P692" s="7">
        <f>IF($V692="","",SUMIFS('Per Line'!$R$2:$R$6001,'Per Line'!$C$2:$C$6001,$B692,'Per Line'!$AI$2:$AI$6001,1,'Per Line'!$AJ$2:$AJ$6001,0))</f>
        <v/>
      </c>
      <c r="Q692" s="7">
        <f>IF($V692="","",P692*O692)</f>
        <v/>
      </c>
      <c r="R692" s="7">
        <f>IF($V692="","",Q692+N692)</f>
        <v/>
      </c>
      <c r="S692" s="7">
        <f>IF($V692="","",T692-R692)</f>
        <v/>
      </c>
      <c r="T692" s="7">
        <f>IF($V692="","",M692+P692+K692)</f>
        <v/>
      </c>
      <c r="U692" s="7">
        <f>IF($V692="","",T692-R692-I692)</f>
        <v/>
      </c>
      <c r="V692" s="13">
        <f>IF(ROWS($V$2:$V692)&lt;=MAX('Per Line'!$AH$2:$AH$6001),MATCH(ROWS($V$2:$V692),'Per Line'!$AH$2:$AH$6001,0),"")</f>
        <v/>
      </c>
    </row>
    <row r="693">
      <c r="A693" s="12" t="n"/>
      <c r="B693">
        <f>IF($V693="","",INDEX('Per Line'!$C$2:$C$6001,$V693)&amp;"")</f>
        <v/>
      </c>
      <c r="C693" s="11">
        <f>IF($V693="","",INDEX('Per Line'!$D$2:$D$6001,$V693))</f>
        <v/>
      </c>
      <c r="D693">
        <f>IF($V693="","",INDEX('Per Line'!$E$2:$E$6001,$V693)&amp;"")</f>
        <v/>
      </c>
      <c r="E693">
        <f>IF($V693="","",INDEX('Per Line'!$G$2:$G$6001,$V693)&amp;"")</f>
        <v/>
      </c>
      <c r="F693">
        <f>IF($V693="","",INDEX('Per Line'!$H$2:$H$6001,$V693)&amp;"")</f>
        <v/>
      </c>
      <c r="G693">
        <f>IF($V693="","",INDEX('Per Line'!$I$2:$I$6001,$V693)&amp;"")</f>
        <v/>
      </c>
      <c r="H693">
        <f>IF($V693="","",INDEX('Per Line'!$J$2:$J$6001,$V693))</f>
        <v/>
      </c>
      <c r="I693" s="7">
        <f>IF($V693="","",H693*S693/100)</f>
        <v/>
      </c>
      <c r="J693">
        <f>IF($V693="","",INDEX('Per Line'!$S$2:$S$6001,$V693)&amp;"")</f>
        <v/>
      </c>
      <c r="K693" s="7">
        <f>IF($V693="","",SUMIFS('Per Line'!$R$2:$R$6001,'Per Line'!$C$2:$C$6001,$B693,'Per Line'!$AJ$2:$AJ$6001,1))</f>
        <v/>
      </c>
      <c r="L693">
        <f>IF($V693="","",Settings!$C$7)</f>
        <v/>
      </c>
      <c r="M693" s="7">
        <f>IF($V693="","",SUMIFS('Per Line'!$R$2:$R$6001,'Per Line'!$C$2:$C$6001,$B693,'Per Line'!$AI$2:$AI$6001,0,'Per Line'!$AJ$2:$AJ$6001,0))</f>
        <v/>
      </c>
      <c r="N693" s="7">
        <f>IF($V693="","",M693*L693)</f>
        <v/>
      </c>
      <c r="O693">
        <f>IF($V693="","",Settings!$C$6)</f>
        <v/>
      </c>
      <c r="P693" s="7">
        <f>IF($V693="","",SUMIFS('Per Line'!$R$2:$R$6001,'Per Line'!$C$2:$C$6001,$B693,'Per Line'!$AI$2:$AI$6001,1,'Per Line'!$AJ$2:$AJ$6001,0))</f>
        <v/>
      </c>
      <c r="Q693" s="7">
        <f>IF($V693="","",P693*O693)</f>
        <v/>
      </c>
      <c r="R693" s="7">
        <f>IF($V693="","",Q693+N693)</f>
        <v/>
      </c>
      <c r="S693" s="7">
        <f>IF($V693="","",T693-R693)</f>
        <v/>
      </c>
      <c r="T693" s="7">
        <f>IF($V693="","",M693+P693+K693)</f>
        <v/>
      </c>
      <c r="U693" s="7">
        <f>IF($V693="","",T693-R693-I693)</f>
        <v/>
      </c>
      <c r="V693" s="13">
        <f>IF(ROWS($V$2:$V693)&lt;=MAX('Per Line'!$AH$2:$AH$6001),MATCH(ROWS($V$2:$V693),'Per Line'!$AH$2:$AH$6001,0),"")</f>
        <v/>
      </c>
    </row>
    <row r="694">
      <c r="A694" s="12" t="n"/>
      <c r="B694">
        <f>IF($V694="","",INDEX('Per Line'!$C$2:$C$6001,$V694)&amp;"")</f>
        <v/>
      </c>
      <c r="C694" s="11">
        <f>IF($V694="","",INDEX('Per Line'!$D$2:$D$6001,$V694))</f>
        <v/>
      </c>
      <c r="D694">
        <f>IF($V694="","",INDEX('Per Line'!$E$2:$E$6001,$V694)&amp;"")</f>
        <v/>
      </c>
      <c r="E694">
        <f>IF($V694="","",INDEX('Per Line'!$G$2:$G$6001,$V694)&amp;"")</f>
        <v/>
      </c>
      <c r="F694">
        <f>IF($V694="","",INDEX('Per Line'!$H$2:$H$6001,$V694)&amp;"")</f>
        <v/>
      </c>
      <c r="G694">
        <f>IF($V694="","",INDEX('Per Line'!$I$2:$I$6001,$V694)&amp;"")</f>
        <v/>
      </c>
      <c r="H694">
        <f>IF($V694="","",INDEX('Per Line'!$J$2:$J$6001,$V694))</f>
        <v/>
      </c>
      <c r="I694" s="7">
        <f>IF($V694="","",H694*S694/100)</f>
        <v/>
      </c>
      <c r="J694">
        <f>IF($V694="","",INDEX('Per Line'!$S$2:$S$6001,$V694)&amp;"")</f>
        <v/>
      </c>
      <c r="K694" s="7">
        <f>IF($V694="","",SUMIFS('Per Line'!$R$2:$R$6001,'Per Line'!$C$2:$C$6001,$B694,'Per Line'!$AJ$2:$AJ$6001,1))</f>
        <v/>
      </c>
      <c r="L694">
        <f>IF($V694="","",Settings!$C$7)</f>
        <v/>
      </c>
      <c r="M694" s="7">
        <f>IF($V694="","",SUMIFS('Per Line'!$R$2:$R$6001,'Per Line'!$C$2:$C$6001,$B694,'Per Line'!$AI$2:$AI$6001,0,'Per Line'!$AJ$2:$AJ$6001,0))</f>
        <v/>
      </c>
      <c r="N694" s="7">
        <f>IF($V694="","",M694*L694)</f>
        <v/>
      </c>
      <c r="O694">
        <f>IF($V694="","",Settings!$C$6)</f>
        <v/>
      </c>
      <c r="P694" s="7">
        <f>IF($V694="","",SUMIFS('Per Line'!$R$2:$R$6001,'Per Line'!$C$2:$C$6001,$B694,'Per Line'!$AI$2:$AI$6001,1,'Per Line'!$AJ$2:$AJ$6001,0))</f>
        <v/>
      </c>
      <c r="Q694" s="7">
        <f>IF($V694="","",P694*O694)</f>
        <v/>
      </c>
      <c r="R694" s="7">
        <f>IF($V694="","",Q694+N694)</f>
        <v/>
      </c>
      <c r="S694" s="7">
        <f>IF($V694="","",T694-R694)</f>
        <v/>
      </c>
      <c r="T694" s="7">
        <f>IF($V694="","",M694+P694+K694)</f>
        <v/>
      </c>
      <c r="U694" s="7">
        <f>IF($V694="","",T694-R694-I694)</f>
        <v/>
      </c>
      <c r="V694" s="13">
        <f>IF(ROWS($V$2:$V694)&lt;=MAX('Per Line'!$AH$2:$AH$6001),MATCH(ROWS($V$2:$V694),'Per Line'!$AH$2:$AH$6001,0),"")</f>
        <v/>
      </c>
    </row>
    <row r="695">
      <c r="A695" s="12" t="n"/>
      <c r="B695">
        <f>IF($V695="","",INDEX('Per Line'!$C$2:$C$6001,$V695)&amp;"")</f>
        <v/>
      </c>
      <c r="C695" s="11">
        <f>IF($V695="","",INDEX('Per Line'!$D$2:$D$6001,$V695))</f>
        <v/>
      </c>
      <c r="D695">
        <f>IF($V695="","",INDEX('Per Line'!$E$2:$E$6001,$V695)&amp;"")</f>
        <v/>
      </c>
      <c r="E695">
        <f>IF($V695="","",INDEX('Per Line'!$G$2:$G$6001,$V695)&amp;"")</f>
        <v/>
      </c>
      <c r="F695">
        <f>IF($V695="","",INDEX('Per Line'!$H$2:$H$6001,$V695)&amp;"")</f>
        <v/>
      </c>
      <c r="G695">
        <f>IF($V695="","",INDEX('Per Line'!$I$2:$I$6001,$V695)&amp;"")</f>
        <v/>
      </c>
      <c r="H695">
        <f>IF($V695="","",INDEX('Per Line'!$J$2:$J$6001,$V695))</f>
        <v/>
      </c>
      <c r="I695" s="7">
        <f>IF($V695="","",H695*S695/100)</f>
        <v/>
      </c>
      <c r="J695">
        <f>IF($V695="","",INDEX('Per Line'!$S$2:$S$6001,$V695)&amp;"")</f>
        <v/>
      </c>
      <c r="K695" s="7">
        <f>IF($V695="","",SUMIFS('Per Line'!$R$2:$R$6001,'Per Line'!$C$2:$C$6001,$B695,'Per Line'!$AJ$2:$AJ$6001,1))</f>
        <v/>
      </c>
      <c r="L695">
        <f>IF($V695="","",Settings!$C$7)</f>
        <v/>
      </c>
      <c r="M695" s="7">
        <f>IF($V695="","",SUMIFS('Per Line'!$R$2:$R$6001,'Per Line'!$C$2:$C$6001,$B695,'Per Line'!$AI$2:$AI$6001,0,'Per Line'!$AJ$2:$AJ$6001,0))</f>
        <v/>
      </c>
      <c r="N695" s="7">
        <f>IF($V695="","",M695*L695)</f>
        <v/>
      </c>
      <c r="O695">
        <f>IF($V695="","",Settings!$C$6)</f>
        <v/>
      </c>
      <c r="P695" s="7">
        <f>IF($V695="","",SUMIFS('Per Line'!$R$2:$R$6001,'Per Line'!$C$2:$C$6001,$B695,'Per Line'!$AI$2:$AI$6001,1,'Per Line'!$AJ$2:$AJ$6001,0))</f>
        <v/>
      </c>
      <c r="Q695" s="7">
        <f>IF($V695="","",P695*O695)</f>
        <v/>
      </c>
      <c r="R695" s="7">
        <f>IF($V695="","",Q695+N695)</f>
        <v/>
      </c>
      <c r="S695" s="7">
        <f>IF($V695="","",T695-R695)</f>
        <v/>
      </c>
      <c r="T695" s="7">
        <f>IF($V695="","",M695+P695+K695)</f>
        <v/>
      </c>
      <c r="U695" s="7">
        <f>IF($V695="","",T695-R695-I695)</f>
        <v/>
      </c>
      <c r="V695" s="13">
        <f>IF(ROWS($V$2:$V695)&lt;=MAX('Per Line'!$AH$2:$AH$6001),MATCH(ROWS($V$2:$V695),'Per Line'!$AH$2:$AH$6001,0),"")</f>
        <v/>
      </c>
    </row>
    <row r="696">
      <c r="A696" s="12" t="n"/>
      <c r="B696">
        <f>IF($V696="","",INDEX('Per Line'!$C$2:$C$6001,$V696)&amp;"")</f>
        <v/>
      </c>
      <c r="C696" s="11">
        <f>IF($V696="","",INDEX('Per Line'!$D$2:$D$6001,$V696))</f>
        <v/>
      </c>
      <c r="D696">
        <f>IF($V696="","",INDEX('Per Line'!$E$2:$E$6001,$V696)&amp;"")</f>
        <v/>
      </c>
      <c r="E696">
        <f>IF($V696="","",INDEX('Per Line'!$G$2:$G$6001,$V696)&amp;"")</f>
        <v/>
      </c>
      <c r="F696">
        <f>IF($V696="","",INDEX('Per Line'!$H$2:$H$6001,$V696)&amp;"")</f>
        <v/>
      </c>
      <c r="G696">
        <f>IF($V696="","",INDEX('Per Line'!$I$2:$I$6001,$V696)&amp;"")</f>
        <v/>
      </c>
      <c r="H696">
        <f>IF($V696="","",INDEX('Per Line'!$J$2:$J$6001,$V696))</f>
        <v/>
      </c>
      <c r="I696" s="7">
        <f>IF($V696="","",H696*S696/100)</f>
        <v/>
      </c>
      <c r="J696">
        <f>IF($V696="","",INDEX('Per Line'!$S$2:$S$6001,$V696)&amp;"")</f>
        <v/>
      </c>
      <c r="K696" s="7">
        <f>IF($V696="","",SUMIFS('Per Line'!$R$2:$R$6001,'Per Line'!$C$2:$C$6001,$B696,'Per Line'!$AJ$2:$AJ$6001,1))</f>
        <v/>
      </c>
      <c r="L696">
        <f>IF($V696="","",Settings!$C$7)</f>
        <v/>
      </c>
      <c r="M696" s="7">
        <f>IF($V696="","",SUMIFS('Per Line'!$R$2:$R$6001,'Per Line'!$C$2:$C$6001,$B696,'Per Line'!$AI$2:$AI$6001,0,'Per Line'!$AJ$2:$AJ$6001,0))</f>
        <v/>
      </c>
      <c r="N696" s="7">
        <f>IF($V696="","",M696*L696)</f>
        <v/>
      </c>
      <c r="O696">
        <f>IF($V696="","",Settings!$C$6)</f>
        <v/>
      </c>
      <c r="P696" s="7">
        <f>IF($V696="","",SUMIFS('Per Line'!$R$2:$R$6001,'Per Line'!$C$2:$C$6001,$B696,'Per Line'!$AI$2:$AI$6001,1,'Per Line'!$AJ$2:$AJ$6001,0))</f>
        <v/>
      </c>
      <c r="Q696" s="7">
        <f>IF($V696="","",P696*O696)</f>
        <v/>
      </c>
      <c r="R696" s="7">
        <f>IF($V696="","",Q696+N696)</f>
        <v/>
      </c>
      <c r="S696" s="7">
        <f>IF($V696="","",T696-R696)</f>
        <v/>
      </c>
      <c r="T696" s="7">
        <f>IF($V696="","",M696+P696+K696)</f>
        <v/>
      </c>
      <c r="U696" s="7">
        <f>IF($V696="","",T696-R696-I696)</f>
        <v/>
      </c>
      <c r="V696" s="13">
        <f>IF(ROWS($V$2:$V696)&lt;=MAX('Per Line'!$AH$2:$AH$6001),MATCH(ROWS($V$2:$V696),'Per Line'!$AH$2:$AH$6001,0),"")</f>
        <v/>
      </c>
    </row>
    <row r="697">
      <c r="A697" s="12" t="n"/>
      <c r="B697">
        <f>IF($V697="","",INDEX('Per Line'!$C$2:$C$6001,$V697)&amp;"")</f>
        <v/>
      </c>
      <c r="C697" s="11">
        <f>IF($V697="","",INDEX('Per Line'!$D$2:$D$6001,$V697))</f>
        <v/>
      </c>
      <c r="D697">
        <f>IF($V697="","",INDEX('Per Line'!$E$2:$E$6001,$V697)&amp;"")</f>
        <v/>
      </c>
      <c r="E697">
        <f>IF($V697="","",INDEX('Per Line'!$G$2:$G$6001,$V697)&amp;"")</f>
        <v/>
      </c>
      <c r="F697">
        <f>IF($V697="","",INDEX('Per Line'!$H$2:$H$6001,$V697)&amp;"")</f>
        <v/>
      </c>
      <c r="G697">
        <f>IF($V697="","",INDEX('Per Line'!$I$2:$I$6001,$V697)&amp;"")</f>
        <v/>
      </c>
      <c r="H697">
        <f>IF($V697="","",INDEX('Per Line'!$J$2:$J$6001,$V697))</f>
        <v/>
      </c>
      <c r="I697" s="7">
        <f>IF($V697="","",H697*S697/100)</f>
        <v/>
      </c>
      <c r="J697">
        <f>IF($V697="","",INDEX('Per Line'!$S$2:$S$6001,$V697)&amp;"")</f>
        <v/>
      </c>
      <c r="K697" s="7">
        <f>IF($V697="","",SUMIFS('Per Line'!$R$2:$R$6001,'Per Line'!$C$2:$C$6001,$B697,'Per Line'!$AJ$2:$AJ$6001,1))</f>
        <v/>
      </c>
      <c r="L697">
        <f>IF($V697="","",Settings!$C$7)</f>
        <v/>
      </c>
      <c r="M697" s="7">
        <f>IF($V697="","",SUMIFS('Per Line'!$R$2:$R$6001,'Per Line'!$C$2:$C$6001,$B697,'Per Line'!$AI$2:$AI$6001,0,'Per Line'!$AJ$2:$AJ$6001,0))</f>
        <v/>
      </c>
      <c r="N697" s="7">
        <f>IF($V697="","",M697*L697)</f>
        <v/>
      </c>
      <c r="O697">
        <f>IF($V697="","",Settings!$C$6)</f>
        <v/>
      </c>
      <c r="P697" s="7">
        <f>IF($V697="","",SUMIFS('Per Line'!$R$2:$R$6001,'Per Line'!$C$2:$C$6001,$B697,'Per Line'!$AI$2:$AI$6001,1,'Per Line'!$AJ$2:$AJ$6001,0))</f>
        <v/>
      </c>
      <c r="Q697" s="7">
        <f>IF($V697="","",P697*O697)</f>
        <v/>
      </c>
      <c r="R697" s="7">
        <f>IF($V697="","",Q697+N697)</f>
        <v/>
      </c>
      <c r="S697" s="7">
        <f>IF($V697="","",T697-R697)</f>
        <v/>
      </c>
      <c r="T697" s="7">
        <f>IF($V697="","",M697+P697+K697)</f>
        <v/>
      </c>
      <c r="U697" s="7">
        <f>IF($V697="","",T697-R697-I697)</f>
        <v/>
      </c>
      <c r="V697" s="13">
        <f>IF(ROWS($V$2:$V697)&lt;=MAX('Per Line'!$AH$2:$AH$6001),MATCH(ROWS($V$2:$V697),'Per Line'!$AH$2:$AH$6001,0),"")</f>
        <v/>
      </c>
    </row>
    <row r="698">
      <c r="A698" s="12" t="n"/>
      <c r="B698">
        <f>IF($V698="","",INDEX('Per Line'!$C$2:$C$6001,$V698)&amp;"")</f>
        <v/>
      </c>
      <c r="C698" s="11">
        <f>IF($V698="","",INDEX('Per Line'!$D$2:$D$6001,$V698))</f>
        <v/>
      </c>
      <c r="D698">
        <f>IF($V698="","",INDEX('Per Line'!$E$2:$E$6001,$V698)&amp;"")</f>
        <v/>
      </c>
      <c r="E698">
        <f>IF($V698="","",INDEX('Per Line'!$G$2:$G$6001,$V698)&amp;"")</f>
        <v/>
      </c>
      <c r="F698">
        <f>IF($V698="","",INDEX('Per Line'!$H$2:$H$6001,$V698)&amp;"")</f>
        <v/>
      </c>
      <c r="G698">
        <f>IF($V698="","",INDEX('Per Line'!$I$2:$I$6001,$V698)&amp;"")</f>
        <v/>
      </c>
      <c r="H698">
        <f>IF($V698="","",INDEX('Per Line'!$J$2:$J$6001,$V698))</f>
        <v/>
      </c>
      <c r="I698" s="7">
        <f>IF($V698="","",H698*S698/100)</f>
        <v/>
      </c>
      <c r="J698">
        <f>IF($V698="","",INDEX('Per Line'!$S$2:$S$6001,$V698)&amp;"")</f>
        <v/>
      </c>
      <c r="K698" s="7">
        <f>IF($V698="","",SUMIFS('Per Line'!$R$2:$R$6001,'Per Line'!$C$2:$C$6001,$B698,'Per Line'!$AJ$2:$AJ$6001,1))</f>
        <v/>
      </c>
      <c r="L698">
        <f>IF($V698="","",Settings!$C$7)</f>
        <v/>
      </c>
      <c r="M698" s="7">
        <f>IF($V698="","",SUMIFS('Per Line'!$R$2:$R$6001,'Per Line'!$C$2:$C$6001,$B698,'Per Line'!$AI$2:$AI$6001,0,'Per Line'!$AJ$2:$AJ$6001,0))</f>
        <v/>
      </c>
      <c r="N698" s="7">
        <f>IF($V698="","",M698*L698)</f>
        <v/>
      </c>
      <c r="O698">
        <f>IF($V698="","",Settings!$C$6)</f>
        <v/>
      </c>
      <c r="P698" s="7">
        <f>IF($V698="","",SUMIFS('Per Line'!$R$2:$R$6001,'Per Line'!$C$2:$C$6001,$B698,'Per Line'!$AI$2:$AI$6001,1,'Per Line'!$AJ$2:$AJ$6001,0))</f>
        <v/>
      </c>
      <c r="Q698" s="7">
        <f>IF($V698="","",P698*O698)</f>
        <v/>
      </c>
      <c r="R698" s="7">
        <f>IF($V698="","",Q698+N698)</f>
        <v/>
      </c>
      <c r="S698" s="7">
        <f>IF($V698="","",T698-R698)</f>
        <v/>
      </c>
      <c r="T698" s="7">
        <f>IF($V698="","",M698+P698+K698)</f>
        <v/>
      </c>
      <c r="U698" s="7">
        <f>IF($V698="","",T698-R698-I698)</f>
        <v/>
      </c>
      <c r="V698" s="13">
        <f>IF(ROWS($V$2:$V698)&lt;=MAX('Per Line'!$AH$2:$AH$6001),MATCH(ROWS($V$2:$V698),'Per Line'!$AH$2:$AH$6001,0),"")</f>
        <v/>
      </c>
    </row>
    <row r="699">
      <c r="A699" s="12" t="n"/>
      <c r="B699">
        <f>IF($V699="","",INDEX('Per Line'!$C$2:$C$6001,$V699)&amp;"")</f>
        <v/>
      </c>
      <c r="C699" s="11">
        <f>IF($V699="","",INDEX('Per Line'!$D$2:$D$6001,$V699))</f>
        <v/>
      </c>
      <c r="D699">
        <f>IF($V699="","",INDEX('Per Line'!$E$2:$E$6001,$V699)&amp;"")</f>
        <v/>
      </c>
      <c r="E699">
        <f>IF($V699="","",INDEX('Per Line'!$G$2:$G$6001,$V699)&amp;"")</f>
        <v/>
      </c>
      <c r="F699">
        <f>IF($V699="","",INDEX('Per Line'!$H$2:$H$6001,$V699)&amp;"")</f>
        <v/>
      </c>
      <c r="G699">
        <f>IF($V699="","",INDEX('Per Line'!$I$2:$I$6001,$V699)&amp;"")</f>
        <v/>
      </c>
      <c r="H699">
        <f>IF($V699="","",INDEX('Per Line'!$J$2:$J$6001,$V699))</f>
        <v/>
      </c>
      <c r="I699" s="7">
        <f>IF($V699="","",H699*S699/100)</f>
        <v/>
      </c>
      <c r="J699">
        <f>IF($V699="","",INDEX('Per Line'!$S$2:$S$6001,$V699)&amp;"")</f>
        <v/>
      </c>
      <c r="K699" s="7">
        <f>IF($V699="","",SUMIFS('Per Line'!$R$2:$R$6001,'Per Line'!$C$2:$C$6001,$B699,'Per Line'!$AJ$2:$AJ$6001,1))</f>
        <v/>
      </c>
      <c r="L699">
        <f>IF($V699="","",Settings!$C$7)</f>
        <v/>
      </c>
      <c r="M699" s="7">
        <f>IF($V699="","",SUMIFS('Per Line'!$R$2:$R$6001,'Per Line'!$C$2:$C$6001,$B699,'Per Line'!$AI$2:$AI$6001,0,'Per Line'!$AJ$2:$AJ$6001,0))</f>
        <v/>
      </c>
      <c r="N699" s="7">
        <f>IF($V699="","",M699*L699)</f>
        <v/>
      </c>
      <c r="O699">
        <f>IF($V699="","",Settings!$C$6)</f>
        <v/>
      </c>
      <c r="P699" s="7">
        <f>IF($V699="","",SUMIFS('Per Line'!$R$2:$R$6001,'Per Line'!$C$2:$C$6001,$B699,'Per Line'!$AI$2:$AI$6001,1,'Per Line'!$AJ$2:$AJ$6001,0))</f>
        <v/>
      </c>
      <c r="Q699" s="7">
        <f>IF($V699="","",P699*O699)</f>
        <v/>
      </c>
      <c r="R699" s="7">
        <f>IF($V699="","",Q699+N699)</f>
        <v/>
      </c>
      <c r="S699" s="7">
        <f>IF($V699="","",T699-R699)</f>
        <v/>
      </c>
      <c r="T699" s="7">
        <f>IF($V699="","",M699+P699+K699)</f>
        <v/>
      </c>
      <c r="U699" s="7">
        <f>IF($V699="","",T699-R699-I699)</f>
        <v/>
      </c>
      <c r="V699" s="13">
        <f>IF(ROWS($V$2:$V699)&lt;=MAX('Per Line'!$AH$2:$AH$6001),MATCH(ROWS($V$2:$V699),'Per Line'!$AH$2:$AH$6001,0),"")</f>
        <v/>
      </c>
    </row>
    <row r="700">
      <c r="A700" s="12" t="n"/>
      <c r="B700">
        <f>IF($V700="","",INDEX('Per Line'!$C$2:$C$6001,$V700)&amp;"")</f>
        <v/>
      </c>
      <c r="C700" s="11">
        <f>IF($V700="","",INDEX('Per Line'!$D$2:$D$6001,$V700))</f>
        <v/>
      </c>
      <c r="D700">
        <f>IF($V700="","",INDEX('Per Line'!$E$2:$E$6001,$V700)&amp;"")</f>
        <v/>
      </c>
      <c r="E700">
        <f>IF($V700="","",INDEX('Per Line'!$G$2:$G$6001,$V700)&amp;"")</f>
        <v/>
      </c>
      <c r="F700">
        <f>IF($V700="","",INDEX('Per Line'!$H$2:$H$6001,$V700)&amp;"")</f>
        <v/>
      </c>
      <c r="G700">
        <f>IF($V700="","",INDEX('Per Line'!$I$2:$I$6001,$V700)&amp;"")</f>
        <v/>
      </c>
      <c r="H700">
        <f>IF($V700="","",INDEX('Per Line'!$J$2:$J$6001,$V700))</f>
        <v/>
      </c>
      <c r="I700" s="7">
        <f>IF($V700="","",H700*S700/100)</f>
        <v/>
      </c>
      <c r="J700">
        <f>IF($V700="","",INDEX('Per Line'!$S$2:$S$6001,$V700)&amp;"")</f>
        <v/>
      </c>
      <c r="K700" s="7">
        <f>IF($V700="","",SUMIFS('Per Line'!$R$2:$R$6001,'Per Line'!$C$2:$C$6001,$B700,'Per Line'!$AJ$2:$AJ$6001,1))</f>
        <v/>
      </c>
      <c r="L700">
        <f>IF($V700="","",Settings!$C$7)</f>
        <v/>
      </c>
      <c r="M700" s="7">
        <f>IF($V700="","",SUMIFS('Per Line'!$R$2:$R$6001,'Per Line'!$C$2:$C$6001,$B700,'Per Line'!$AI$2:$AI$6001,0,'Per Line'!$AJ$2:$AJ$6001,0))</f>
        <v/>
      </c>
      <c r="N700" s="7">
        <f>IF($V700="","",M700*L700)</f>
        <v/>
      </c>
      <c r="O700">
        <f>IF($V700="","",Settings!$C$6)</f>
        <v/>
      </c>
      <c r="P700" s="7">
        <f>IF($V700="","",SUMIFS('Per Line'!$R$2:$R$6001,'Per Line'!$C$2:$C$6001,$B700,'Per Line'!$AI$2:$AI$6001,1,'Per Line'!$AJ$2:$AJ$6001,0))</f>
        <v/>
      </c>
      <c r="Q700" s="7">
        <f>IF($V700="","",P700*O700)</f>
        <v/>
      </c>
      <c r="R700" s="7">
        <f>IF($V700="","",Q700+N700)</f>
        <v/>
      </c>
      <c r="S700" s="7">
        <f>IF($V700="","",T700-R700)</f>
        <v/>
      </c>
      <c r="T700" s="7">
        <f>IF($V700="","",M700+P700+K700)</f>
        <v/>
      </c>
      <c r="U700" s="7">
        <f>IF($V700="","",T700-R700-I700)</f>
        <v/>
      </c>
      <c r="V700" s="13">
        <f>IF(ROWS($V$2:$V700)&lt;=MAX('Per Line'!$AH$2:$AH$6001),MATCH(ROWS($V$2:$V700),'Per Line'!$AH$2:$AH$6001,0),"")</f>
        <v/>
      </c>
    </row>
    <row r="701">
      <c r="A701" s="12" t="n"/>
      <c r="B701">
        <f>IF($V701="","",INDEX('Per Line'!$C$2:$C$6001,$V701)&amp;"")</f>
        <v/>
      </c>
      <c r="C701" s="11">
        <f>IF($V701="","",INDEX('Per Line'!$D$2:$D$6001,$V701))</f>
        <v/>
      </c>
      <c r="D701">
        <f>IF($V701="","",INDEX('Per Line'!$E$2:$E$6001,$V701)&amp;"")</f>
        <v/>
      </c>
      <c r="E701">
        <f>IF($V701="","",INDEX('Per Line'!$G$2:$G$6001,$V701)&amp;"")</f>
        <v/>
      </c>
      <c r="F701">
        <f>IF($V701="","",INDEX('Per Line'!$H$2:$H$6001,$V701)&amp;"")</f>
        <v/>
      </c>
      <c r="G701">
        <f>IF($V701="","",INDEX('Per Line'!$I$2:$I$6001,$V701)&amp;"")</f>
        <v/>
      </c>
      <c r="H701">
        <f>IF($V701="","",INDEX('Per Line'!$J$2:$J$6001,$V701))</f>
        <v/>
      </c>
      <c r="I701" s="7">
        <f>IF($V701="","",H701*S701/100)</f>
        <v/>
      </c>
      <c r="J701">
        <f>IF($V701="","",INDEX('Per Line'!$S$2:$S$6001,$V701)&amp;"")</f>
        <v/>
      </c>
      <c r="K701" s="7">
        <f>IF($V701="","",SUMIFS('Per Line'!$R$2:$R$6001,'Per Line'!$C$2:$C$6001,$B701,'Per Line'!$AJ$2:$AJ$6001,1))</f>
        <v/>
      </c>
      <c r="L701">
        <f>IF($V701="","",Settings!$C$7)</f>
        <v/>
      </c>
      <c r="M701" s="7">
        <f>IF($V701="","",SUMIFS('Per Line'!$R$2:$R$6001,'Per Line'!$C$2:$C$6001,$B701,'Per Line'!$AI$2:$AI$6001,0,'Per Line'!$AJ$2:$AJ$6001,0))</f>
        <v/>
      </c>
      <c r="N701" s="7">
        <f>IF($V701="","",M701*L701)</f>
        <v/>
      </c>
      <c r="O701">
        <f>IF($V701="","",Settings!$C$6)</f>
        <v/>
      </c>
      <c r="P701" s="7">
        <f>IF($V701="","",SUMIFS('Per Line'!$R$2:$R$6001,'Per Line'!$C$2:$C$6001,$B701,'Per Line'!$AI$2:$AI$6001,1,'Per Line'!$AJ$2:$AJ$6001,0))</f>
        <v/>
      </c>
      <c r="Q701" s="7">
        <f>IF($V701="","",P701*O701)</f>
        <v/>
      </c>
      <c r="R701" s="7">
        <f>IF($V701="","",Q701+N701)</f>
        <v/>
      </c>
      <c r="S701" s="7">
        <f>IF($V701="","",T701-R701)</f>
        <v/>
      </c>
      <c r="T701" s="7">
        <f>IF($V701="","",M701+P701+K701)</f>
        <v/>
      </c>
      <c r="U701" s="7">
        <f>IF($V701="","",T701-R701-I701)</f>
        <v/>
      </c>
      <c r="V701" s="13">
        <f>IF(ROWS($V$2:$V701)&lt;=MAX('Per Line'!$AH$2:$AH$6001),MATCH(ROWS($V$2:$V701),'Per Line'!$AH$2:$AH$6001,0),"")</f>
        <v/>
      </c>
    </row>
    <row r="702">
      <c r="A702" s="12" t="n"/>
      <c r="B702">
        <f>IF($V702="","",INDEX('Per Line'!$C$2:$C$6001,$V702)&amp;"")</f>
        <v/>
      </c>
      <c r="C702" s="11">
        <f>IF($V702="","",INDEX('Per Line'!$D$2:$D$6001,$V702))</f>
        <v/>
      </c>
      <c r="D702">
        <f>IF($V702="","",INDEX('Per Line'!$E$2:$E$6001,$V702)&amp;"")</f>
        <v/>
      </c>
      <c r="E702">
        <f>IF($V702="","",INDEX('Per Line'!$G$2:$G$6001,$V702)&amp;"")</f>
        <v/>
      </c>
      <c r="F702">
        <f>IF($V702="","",INDEX('Per Line'!$H$2:$H$6001,$V702)&amp;"")</f>
        <v/>
      </c>
      <c r="G702">
        <f>IF($V702="","",INDEX('Per Line'!$I$2:$I$6001,$V702)&amp;"")</f>
        <v/>
      </c>
      <c r="H702">
        <f>IF($V702="","",INDEX('Per Line'!$J$2:$J$6001,$V702))</f>
        <v/>
      </c>
      <c r="I702" s="7">
        <f>IF($V702="","",H702*S702/100)</f>
        <v/>
      </c>
      <c r="J702">
        <f>IF($V702="","",INDEX('Per Line'!$S$2:$S$6001,$V702)&amp;"")</f>
        <v/>
      </c>
      <c r="K702" s="7">
        <f>IF($V702="","",SUMIFS('Per Line'!$R$2:$R$6001,'Per Line'!$C$2:$C$6001,$B702,'Per Line'!$AJ$2:$AJ$6001,1))</f>
        <v/>
      </c>
      <c r="L702">
        <f>IF($V702="","",Settings!$C$7)</f>
        <v/>
      </c>
      <c r="M702" s="7">
        <f>IF($V702="","",SUMIFS('Per Line'!$R$2:$R$6001,'Per Line'!$C$2:$C$6001,$B702,'Per Line'!$AI$2:$AI$6001,0,'Per Line'!$AJ$2:$AJ$6001,0))</f>
        <v/>
      </c>
      <c r="N702" s="7">
        <f>IF($V702="","",M702*L702)</f>
        <v/>
      </c>
      <c r="O702">
        <f>IF($V702="","",Settings!$C$6)</f>
        <v/>
      </c>
      <c r="P702" s="7">
        <f>IF($V702="","",SUMIFS('Per Line'!$R$2:$R$6001,'Per Line'!$C$2:$C$6001,$B702,'Per Line'!$AI$2:$AI$6001,1,'Per Line'!$AJ$2:$AJ$6001,0))</f>
        <v/>
      </c>
      <c r="Q702" s="7">
        <f>IF($V702="","",P702*O702)</f>
        <v/>
      </c>
      <c r="R702" s="7">
        <f>IF($V702="","",Q702+N702)</f>
        <v/>
      </c>
      <c r="S702" s="7">
        <f>IF($V702="","",T702-R702)</f>
        <v/>
      </c>
      <c r="T702" s="7">
        <f>IF($V702="","",M702+P702+K702)</f>
        <v/>
      </c>
      <c r="U702" s="7">
        <f>IF($V702="","",T702-R702-I702)</f>
        <v/>
      </c>
      <c r="V702" s="13">
        <f>IF(ROWS($V$2:$V702)&lt;=MAX('Per Line'!$AH$2:$AH$6001),MATCH(ROWS($V$2:$V702),'Per Line'!$AH$2:$AH$6001,0),"")</f>
        <v/>
      </c>
    </row>
    <row r="703">
      <c r="A703" s="12" t="n"/>
      <c r="B703">
        <f>IF($V703="","",INDEX('Per Line'!$C$2:$C$6001,$V703)&amp;"")</f>
        <v/>
      </c>
      <c r="C703" s="11">
        <f>IF($V703="","",INDEX('Per Line'!$D$2:$D$6001,$V703))</f>
        <v/>
      </c>
      <c r="D703">
        <f>IF($V703="","",INDEX('Per Line'!$E$2:$E$6001,$V703)&amp;"")</f>
        <v/>
      </c>
      <c r="E703">
        <f>IF($V703="","",INDEX('Per Line'!$G$2:$G$6001,$V703)&amp;"")</f>
        <v/>
      </c>
      <c r="F703">
        <f>IF($V703="","",INDEX('Per Line'!$H$2:$H$6001,$V703)&amp;"")</f>
        <v/>
      </c>
      <c r="G703">
        <f>IF($V703="","",INDEX('Per Line'!$I$2:$I$6001,$V703)&amp;"")</f>
        <v/>
      </c>
      <c r="H703">
        <f>IF($V703="","",INDEX('Per Line'!$J$2:$J$6001,$V703))</f>
        <v/>
      </c>
      <c r="I703" s="7">
        <f>IF($V703="","",H703*S703/100)</f>
        <v/>
      </c>
      <c r="J703">
        <f>IF($V703="","",INDEX('Per Line'!$S$2:$S$6001,$V703)&amp;"")</f>
        <v/>
      </c>
      <c r="K703" s="7">
        <f>IF($V703="","",SUMIFS('Per Line'!$R$2:$R$6001,'Per Line'!$C$2:$C$6001,$B703,'Per Line'!$AJ$2:$AJ$6001,1))</f>
        <v/>
      </c>
      <c r="L703">
        <f>IF($V703="","",Settings!$C$7)</f>
        <v/>
      </c>
      <c r="M703" s="7">
        <f>IF($V703="","",SUMIFS('Per Line'!$R$2:$R$6001,'Per Line'!$C$2:$C$6001,$B703,'Per Line'!$AI$2:$AI$6001,0,'Per Line'!$AJ$2:$AJ$6001,0))</f>
        <v/>
      </c>
      <c r="N703" s="7">
        <f>IF($V703="","",M703*L703)</f>
        <v/>
      </c>
      <c r="O703">
        <f>IF($V703="","",Settings!$C$6)</f>
        <v/>
      </c>
      <c r="P703" s="7">
        <f>IF($V703="","",SUMIFS('Per Line'!$R$2:$R$6001,'Per Line'!$C$2:$C$6001,$B703,'Per Line'!$AI$2:$AI$6001,1,'Per Line'!$AJ$2:$AJ$6001,0))</f>
        <v/>
      </c>
      <c r="Q703" s="7">
        <f>IF($V703="","",P703*O703)</f>
        <v/>
      </c>
      <c r="R703" s="7">
        <f>IF($V703="","",Q703+N703)</f>
        <v/>
      </c>
      <c r="S703" s="7">
        <f>IF($V703="","",T703-R703)</f>
        <v/>
      </c>
      <c r="T703" s="7">
        <f>IF($V703="","",M703+P703+K703)</f>
        <v/>
      </c>
      <c r="U703" s="7">
        <f>IF($V703="","",T703-R703-I703)</f>
        <v/>
      </c>
      <c r="V703" s="13">
        <f>IF(ROWS($V$2:$V703)&lt;=MAX('Per Line'!$AH$2:$AH$6001),MATCH(ROWS($V$2:$V703),'Per Line'!$AH$2:$AH$6001,0),"")</f>
        <v/>
      </c>
    </row>
    <row r="704">
      <c r="A704" s="12" t="n"/>
      <c r="B704">
        <f>IF($V704="","",INDEX('Per Line'!$C$2:$C$6001,$V704)&amp;"")</f>
        <v/>
      </c>
      <c r="C704" s="11">
        <f>IF($V704="","",INDEX('Per Line'!$D$2:$D$6001,$V704))</f>
        <v/>
      </c>
      <c r="D704">
        <f>IF($V704="","",INDEX('Per Line'!$E$2:$E$6001,$V704)&amp;"")</f>
        <v/>
      </c>
      <c r="E704">
        <f>IF($V704="","",INDEX('Per Line'!$G$2:$G$6001,$V704)&amp;"")</f>
        <v/>
      </c>
      <c r="F704">
        <f>IF($V704="","",INDEX('Per Line'!$H$2:$H$6001,$V704)&amp;"")</f>
        <v/>
      </c>
      <c r="G704">
        <f>IF($V704="","",INDEX('Per Line'!$I$2:$I$6001,$V704)&amp;"")</f>
        <v/>
      </c>
      <c r="H704">
        <f>IF($V704="","",INDEX('Per Line'!$J$2:$J$6001,$V704))</f>
        <v/>
      </c>
      <c r="I704" s="7">
        <f>IF($V704="","",H704*S704/100)</f>
        <v/>
      </c>
      <c r="J704">
        <f>IF($V704="","",INDEX('Per Line'!$S$2:$S$6001,$V704)&amp;"")</f>
        <v/>
      </c>
      <c r="K704" s="7">
        <f>IF($V704="","",SUMIFS('Per Line'!$R$2:$R$6001,'Per Line'!$C$2:$C$6001,$B704,'Per Line'!$AJ$2:$AJ$6001,1))</f>
        <v/>
      </c>
      <c r="L704">
        <f>IF($V704="","",Settings!$C$7)</f>
        <v/>
      </c>
      <c r="M704" s="7">
        <f>IF($V704="","",SUMIFS('Per Line'!$R$2:$R$6001,'Per Line'!$C$2:$C$6001,$B704,'Per Line'!$AI$2:$AI$6001,0,'Per Line'!$AJ$2:$AJ$6001,0))</f>
        <v/>
      </c>
      <c r="N704" s="7">
        <f>IF($V704="","",M704*L704)</f>
        <v/>
      </c>
      <c r="O704">
        <f>IF($V704="","",Settings!$C$6)</f>
        <v/>
      </c>
      <c r="P704" s="7">
        <f>IF($V704="","",SUMIFS('Per Line'!$R$2:$R$6001,'Per Line'!$C$2:$C$6001,$B704,'Per Line'!$AI$2:$AI$6001,1,'Per Line'!$AJ$2:$AJ$6001,0))</f>
        <v/>
      </c>
      <c r="Q704" s="7">
        <f>IF($V704="","",P704*O704)</f>
        <v/>
      </c>
      <c r="R704" s="7">
        <f>IF($V704="","",Q704+N704)</f>
        <v/>
      </c>
      <c r="S704" s="7">
        <f>IF($V704="","",T704-R704)</f>
        <v/>
      </c>
      <c r="T704" s="7">
        <f>IF($V704="","",M704+P704+K704)</f>
        <v/>
      </c>
      <c r="U704" s="7">
        <f>IF($V704="","",T704-R704-I704)</f>
        <v/>
      </c>
      <c r="V704" s="13">
        <f>IF(ROWS($V$2:$V704)&lt;=MAX('Per Line'!$AH$2:$AH$6001),MATCH(ROWS($V$2:$V704),'Per Line'!$AH$2:$AH$6001,0),"")</f>
        <v/>
      </c>
    </row>
    <row r="705">
      <c r="A705" s="12" t="n"/>
      <c r="B705">
        <f>IF($V705="","",INDEX('Per Line'!$C$2:$C$6001,$V705)&amp;"")</f>
        <v/>
      </c>
      <c r="C705" s="11">
        <f>IF($V705="","",INDEX('Per Line'!$D$2:$D$6001,$V705))</f>
        <v/>
      </c>
      <c r="D705">
        <f>IF($V705="","",INDEX('Per Line'!$E$2:$E$6001,$V705)&amp;"")</f>
        <v/>
      </c>
      <c r="E705">
        <f>IF($V705="","",INDEX('Per Line'!$G$2:$G$6001,$V705)&amp;"")</f>
        <v/>
      </c>
      <c r="F705">
        <f>IF($V705="","",INDEX('Per Line'!$H$2:$H$6001,$V705)&amp;"")</f>
        <v/>
      </c>
      <c r="G705">
        <f>IF($V705="","",INDEX('Per Line'!$I$2:$I$6001,$V705)&amp;"")</f>
        <v/>
      </c>
      <c r="H705">
        <f>IF($V705="","",INDEX('Per Line'!$J$2:$J$6001,$V705))</f>
        <v/>
      </c>
      <c r="I705" s="7">
        <f>IF($V705="","",H705*S705/100)</f>
        <v/>
      </c>
      <c r="J705">
        <f>IF($V705="","",INDEX('Per Line'!$S$2:$S$6001,$V705)&amp;"")</f>
        <v/>
      </c>
      <c r="K705" s="7">
        <f>IF($V705="","",SUMIFS('Per Line'!$R$2:$R$6001,'Per Line'!$C$2:$C$6001,$B705,'Per Line'!$AJ$2:$AJ$6001,1))</f>
        <v/>
      </c>
      <c r="L705">
        <f>IF($V705="","",Settings!$C$7)</f>
        <v/>
      </c>
      <c r="M705" s="7">
        <f>IF($V705="","",SUMIFS('Per Line'!$R$2:$R$6001,'Per Line'!$C$2:$C$6001,$B705,'Per Line'!$AI$2:$AI$6001,0,'Per Line'!$AJ$2:$AJ$6001,0))</f>
        <v/>
      </c>
      <c r="N705" s="7">
        <f>IF($V705="","",M705*L705)</f>
        <v/>
      </c>
      <c r="O705">
        <f>IF($V705="","",Settings!$C$6)</f>
        <v/>
      </c>
      <c r="P705" s="7">
        <f>IF($V705="","",SUMIFS('Per Line'!$R$2:$R$6001,'Per Line'!$C$2:$C$6001,$B705,'Per Line'!$AI$2:$AI$6001,1,'Per Line'!$AJ$2:$AJ$6001,0))</f>
        <v/>
      </c>
      <c r="Q705" s="7">
        <f>IF($V705="","",P705*O705)</f>
        <v/>
      </c>
      <c r="R705" s="7">
        <f>IF($V705="","",Q705+N705)</f>
        <v/>
      </c>
      <c r="S705" s="7">
        <f>IF($V705="","",T705-R705)</f>
        <v/>
      </c>
      <c r="T705" s="7">
        <f>IF($V705="","",M705+P705+K705)</f>
        <v/>
      </c>
      <c r="U705" s="7">
        <f>IF($V705="","",T705-R705-I705)</f>
        <v/>
      </c>
      <c r="V705" s="13">
        <f>IF(ROWS($V$2:$V705)&lt;=MAX('Per Line'!$AH$2:$AH$6001),MATCH(ROWS($V$2:$V705),'Per Line'!$AH$2:$AH$6001,0),"")</f>
        <v/>
      </c>
    </row>
    <row r="706">
      <c r="A706" s="12" t="n"/>
      <c r="B706">
        <f>IF($V706="","",INDEX('Per Line'!$C$2:$C$6001,$V706)&amp;"")</f>
        <v/>
      </c>
      <c r="C706" s="11">
        <f>IF($V706="","",INDEX('Per Line'!$D$2:$D$6001,$V706))</f>
        <v/>
      </c>
      <c r="D706">
        <f>IF($V706="","",INDEX('Per Line'!$E$2:$E$6001,$V706)&amp;"")</f>
        <v/>
      </c>
      <c r="E706">
        <f>IF($V706="","",INDEX('Per Line'!$G$2:$G$6001,$V706)&amp;"")</f>
        <v/>
      </c>
      <c r="F706">
        <f>IF($V706="","",INDEX('Per Line'!$H$2:$H$6001,$V706)&amp;"")</f>
        <v/>
      </c>
      <c r="G706">
        <f>IF($V706="","",INDEX('Per Line'!$I$2:$I$6001,$V706)&amp;"")</f>
        <v/>
      </c>
      <c r="H706">
        <f>IF($V706="","",INDEX('Per Line'!$J$2:$J$6001,$V706))</f>
        <v/>
      </c>
      <c r="I706" s="7">
        <f>IF($V706="","",H706*S706/100)</f>
        <v/>
      </c>
      <c r="J706">
        <f>IF($V706="","",INDEX('Per Line'!$S$2:$S$6001,$V706)&amp;"")</f>
        <v/>
      </c>
      <c r="K706" s="7">
        <f>IF($V706="","",SUMIFS('Per Line'!$R$2:$R$6001,'Per Line'!$C$2:$C$6001,$B706,'Per Line'!$AJ$2:$AJ$6001,1))</f>
        <v/>
      </c>
      <c r="L706">
        <f>IF($V706="","",Settings!$C$7)</f>
        <v/>
      </c>
      <c r="M706" s="7">
        <f>IF($V706="","",SUMIFS('Per Line'!$R$2:$R$6001,'Per Line'!$C$2:$C$6001,$B706,'Per Line'!$AI$2:$AI$6001,0,'Per Line'!$AJ$2:$AJ$6001,0))</f>
        <v/>
      </c>
      <c r="N706" s="7">
        <f>IF($V706="","",M706*L706)</f>
        <v/>
      </c>
      <c r="O706">
        <f>IF($V706="","",Settings!$C$6)</f>
        <v/>
      </c>
      <c r="P706" s="7">
        <f>IF($V706="","",SUMIFS('Per Line'!$R$2:$R$6001,'Per Line'!$C$2:$C$6001,$B706,'Per Line'!$AI$2:$AI$6001,1,'Per Line'!$AJ$2:$AJ$6001,0))</f>
        <v/>
      </c>
      <c r="Q706" s="7">
        <f>IF($V706="","",P706*O706)</f>
        <v/>
      </c>
      <c r="R706" s="7">
        <f>IF($V706="","",Q706+N706)</f>
        <v/>
      </c>
      <c r="S706" s="7">
        <f>IF($V706="","",T706-R706)</f>
        <v/>
      </c>
      <c r="T706" s="7">
        <f>IF($V706="","",M706+P706+K706)</f>
        <v/>
      </c>
      <c r="U706" s="7">
        <f>IF($V706="","",T706-R706-I706)</f>
        <v/>
      </c>
      <c r="V706" s="13">
        <f>IF(ROWS($V$2:$V706)&lt;=MAX('Per Line'!$AH$2:$AH$6001),MATCH(ROWS($V$2:$V706),'Per Line'!$AH$2:$AH$6001,0),"")</f>
        <v/>
      </c>
    </row>
    <row r="707">
      <c r="A707" s="12" t="n"/>
      <c r="B707">
        <f>IF($V707="","",INDEX('Per Line'!$C$2:$C$6001,$V707)&amp;"")</f>
        <v/>
      </c>
      <c r="C707" s="11">
        <f>IF($V707="","",INDEX('Per Line'!$D$2:$D$6001,$V707))</f>
        <v/>
      </c>
      <c r="D707">
        <f>IF($V707="","",INDEX('Per Line'!$E$2:$E$6001,$V707)&amp;"")</f>
        <v/>
      </c>
      <c r="E707">
        <f>IF($V707="","",INDEX('Per Line'!$G$2:$G$6001,$V707)&amp;"")</f>
        <v/>
      </c>
      <c r="F707">
        <f>IF($V707="","",INDEX('Per Line'!$H$2:$H$6001,$V707)&amp;"")</f>
        <v/>
      </c>
      <c r="G707">
        <f>IF($V707="","",INDEX('Per Line'!$I$2:$I$6001,$V707)&amp;"")</f>
        <v/>
      </c>
      <c r="H707">
        <f>IF($V707="","",INDEX('Per Line'!$J$2:$J$6001,$V707))</f>
        <v/>
      </c>
      <c r="I707" s="7">
        <f>IF($V707="","",H707*S707/100)</f>
        <v/>
      </c>
      <c r="J707">
        <f>IF($V707="","",INDEX('Per Line'!$S$2:$S$6001,$V707)&amp;"")</f>
        <v/>
      </c>
      <c r="K707" s="7">
        <f>IF($V707="","",SUMIFS('Per Line'!$R$2:$R$6001,'Per Line'!$C$2:$C$6001,$B707,'Per Line'!$AJ$2:$AJ$6001,1))</f>
        <v/>
      </c>
      <c r="L707">
        <f>IF($V707="","",Settings!$C$7)</f>
        <v/>
      </c>
      <c r="M707" s="7">
        <f>IF($V707="","",SUMIFS('Per Line'!$R$2:$R$6001,'Per Line'!$C$2:$C$6001,$B707,'Per Line'!$AI$2:$AI$6001,0,'Per Line'!$AJ$2:$AJ$6001,0))</f>
        <v/>
      </c>
      <c r="N707" s="7">
        <f>IF($V707="","",M707*L707)</f>
        <v/>
      </c>
      <c r="O707">
        <f>IF($V707="","",Settings!$C$6)</f>
        <v/>
      </c>
      <c r="P707" s="7">
        <f>IF($V707="","",SUMIFS('Per Line'!$R$2:$R$6001,'Per Line'!$C$2:$C$6001,$B707,'Per Line'!$AI$2:$AI$6001,1,'Per Line'!$AJ$2:$AJ$6001,0))</f>
        <v/>
      </c>
      <c r="Q707" s="7">
        <f>IF($V707="","",P707*O707)</f>
        <v/>
      </c>
      <c r="R707" s="7">
        <f>IF($V707="","",Q707+N707)</f>
        <v/>
      </c>
      <c r="S707" s="7">
        <f>IF($V707="","",T707-R707)</f>
        <v/>
      </c>
      <c r="T707" s="7">
        <f>IF($V707="","",M707+P707+K707)</f>
        <v/>
      </c>
      <c r="U707" s="7">
        <f>IF($V707="","",T707-R707-I707)</f>
        <v/>
      </c>
      <c r="V707" s="13">
        <f>IF(ROWS($V$2:$V707)&lt;=MAX('Per Line'!$AH$2:$AH$6001),MATCH(ROWS($V$2:$V707),'Per Line'!$AH$2:$AH$6001,0),"")</f>
        <v/>
      </c>
    </row>
    <row r="708">
      <c r="A708" s="12" t="n"/>
      <c r="B708">
        <f>IF($V708="","",INDEX('Per Line'!$C$2:$C$6001,$V708)&amp;"")</f>
        <v/>
      </c>
      <c r="C708" s="11">
        <f>IF($V708="","",INDEX('Per Line'!$D$2:$D$6001,$V708))</f>
        <v/>
      </c>
      <c r="D708">
        <f>IF($V708="","",INDEX('Per Line'!$E$2:$E$6001,$V708)&amp;"")</f>
        <v/>
      </c>
      <c r="E708">
        <f>IF($V708="","",INDEX('Per Line'!$G$2:$G$6001,$V708)&amp;"")</f>
        <v/>
      </c>
      <c r="F708">
        <f>IF($V708="","",INDEX('Per Line'!$H$2:$H$6001,$V708)&amp;"")</f>
        <v/>
      </c>
      <c r="G708">
        <f>IF($V708="","",INDEX('Per Line'!$I$2:$I$6001,$V708)&amp;"")</f>
        <v/>
      </c>
      <c r="H708">
        <f>IF($V708="","",INDEX('Per Line'!$J$2:$J$6001,$V708))</f>
        <v/>
      </c>
      <c r="I708" s="7">
        <f>IF($V708="","",H708*S708/100)</f>
        <v/>
      </c>
      <c r="J708">
        <f>IF($V708="","",INDEX('Per Line'!$S$2:$S$6001,$V708)&amp;"")</f>
        <v/>
      </c>
      <c r="K708" s="7">
        <f>IF($V708="","",SUMIFS('Per Line'!$R$2:$R$6001,'Per Line'!$C$2:$C$6001,$B708,'Per Line'!$AJ$2:$AJ$6001,1))</f>
        <v/>
      </c>
      <c r="L708">
        <f>IF($V708="","",Settings!$C$7)</f>
        <v/>
      </c>
      <c r="M708" s="7">
        <f>IF($V708="","",SUMIFS('Per Line'!$R$2:$R$6001,'Per Line'!$C$2:$C$6001,$B708,'Per Line'!$AI$2:$AI$6001,0,'Per Line'!$AJ$2:$AJ$6001,0))</f>
        <v/>
      </c>
      <c r="N708" s="7">
        <f>IF($V708="","",M708*L708)</f>
        <v/>
      </c>
      <c r="O708">
        <f>IF($V708="","",Settings!$C$6)</f>
        <v/>
      </c>
      <c r="P708" s="7">
        <f>IF($V708="","",SUMIFS('Per Line'!$R$2:$R$6001,'Per Line'!$C$2:$C$6001,$B708,'Per Line'!$AI$2:$AI$6001,1,'Per Line'!$AJ$2:$AJ$6001,0))</f>
        <v/>
      </c>
      <c r="Q708" s="7">
        <f>IF($V708="","",P708*O708)</f>
        <v/>
      </c>
      <c r="R708" s="7">
        <f>IF($V708="","",Q708+N708)</f>
        <v/>
      </c>
      <c r="S708" s="7">
        <f>IF($V708="","",T708-R708)</f>
        <v/>
      </c>
      <c r="T708" s="7">
        <f>IF($V708="","",M708+P708+K708)</f>
        <v/>
      </c>
      <c r="U708" s="7">
        <f>IF($V708="","",T708-R708-I708)</f>
        <v/>
      </c>
      <c r="V708" s="13">
        <f>IF(ROWS($V$2:$V708)&lt;=MAX('Per Line'!$AH$2:$AH$6001),MATCH(ROWS($V$2:$V708),'Per Line'!$AH$2:$AH$6001,0),"")</f>
        <v/>
      </c>
    </row>
    <row r="709">
      <c r="A709" s="12" t="n"/>
      <c r="B709">
        <f>IF($V709="","",INDEX('Per Line'!$C$2:$C$6001,$V709)&amp;"")</f>
        <v/>
      </c>
      <c r="C709" s="11">
        <f>IF($V709="","",INDEX('Per Line'!$D$2:$D$6001,$V709))</f>
        <v/>
      </c>
      <c r="D709">
        <f>IF($V709="","",INDEX('Per Line'!$E$2:$E$6001,$V709)&amp;"")</f>
        <v/>
      </c>
      <c r="E709">
        <f>IF($V709="","",INDEX('Per Line'!$G$2:$G$6001,$V709)&amp;"")</f>
        <v/>
      </c>
      <c r="F709">
        <f>IF($V709="","",INDEX('Per Line'!$H$2:$H$6001,$V709)&amp;"")</f>
        <v/>
      </c>
      <c r="G709">
        <f>IF($V709="","",INDEX('Per Line'!$I$2:$I$6001,$V709)&amp;"")</f>
        <v/>
      </c>
      <c r="H709">
        <f>IF($V709="","",INDEX('Per Line'!$J$2:$J$6001,$V709))</f>
        <v/>
      </c>
      <c r="I709" s="7">
        <f>IF($V709="","",H709*S709/100)</f>
        <v/>
      </c>
      <c r="J709">
        <f>IF($V709="","",INDEX('Per Line'!$S$2:$S$6001,$V709)&amp;"")</f>
        <v/>
      </c>
      <c r="K709" s="7">
        <f>IF($V709="","",SUMIFS('Per Line'!$R$2:$R$6001,'Per Line'!$C$2:$C$6001,$B709,'Per Line'!$AJ$2:$AJ$6001,1))</f>
        <v/>
      </c>
      <c r="L709">
        <f>IF($V709="","",Settings!$C$7)</f>
        <v/>
      </c>
      <c r="M709" s="7">
        <f>IF($V709="","",SUMIFS('Per Line'!$R$2:$R$6001,'Per Line'!$C$2:$C$6001,$B709,'Per Line'!$AI$2:$AI$6001,0,'Per Line'!$AJ$2:$AJ$6001,0))</f>
        <v/>
      </c>
      <c r="N709" s="7">
        <f>IF($V709="","",M709*L709)</f>
        <v/>
      </c>
      <c r="O709">
        <f>IF($V709="","",Settings!$C$6)</f>
        <v/>
      </c>
      <c r="P709" s="7">
        <f>IF($V709="","",SUMIFS('Per Line'!$R$2:$R$6001,'Per Line'!$C$2:$C$6001,$B709,'Per Line'!$AI$2:$AI$6001,1,'Per Line'!$AJ$2:$AJ$6001,0))</f>
        <v/>
      </c>
      <c r="Q709" s="7">
        <f>IF($V709="","",P709*O709)</f>
        <v/>
      </c>
      <c r="R709" s="7">
        <f>IF($V709="","",Q709+N709)</f>
        <v/>
      </c>
      <c r="S709" s="7">
        <f>IF($V709="","",T709-R709)</f>
        <v/>
      </c>
      <c r="T709" s="7">
        <f>IF($V709="","",M709+P709+K709)</f>
        <v/>
      </c>
      <c r="U709" s="7">
        <f>IF($V709="","",T709-R709-I709)</f>
        <v/>
      </c>
      <c r="V709" s="13">
        <f>IF(ROWS($V$2:$V709)&lt;=MAX('Per Line'!$AH$2:$AH$6001),MATCH(ROWS($V$2:$V709),'Per Line'!$AH$2:$AH$6001,0),"")</f>
        <v/>
      </c>
    </row>
    <row r="710">
      <c r="A710" s="12" t="n"/>
      <c r="B710">
        <f>IF($V710="","",INDEX('Per Line'!$C$2:$C$6001,$V710)&amp;"")</f>
        <v/>
      </c>
      <c r="C710" s="11">
        <f>IF($V710="","",INDEX('Per Line'!$D$2:$D$6001,$V710))</f>
        <v/>
      </c>
      <c r="D710">
        <f>IF($V710="","",INDEX('Per Line'!$E$2:$E$6001,$V710)&amp;"")</f>
        <v/>
      </c>
      <c r="E710">
        <f>IF($V710="","",INDEX('Per Line'!$G$2:$G$6001,$V710)&amp;"")</f>
        <v/>
      </c>
      <c r="F710">
        <f>IF($V710="","",INDEX('Per Line'!$H$2:$H$6001,$V710)&amp;"")</f>
        <v/>
      </c>
      <c r="G710">
        <f>IF($V710="","",INDEX('Per Line'!$I$2:$I$6001,$V710)&amp;"")</f>
        <v/>
      </c>
      <c r="H710">
        <f>IF($V710="","",INDEX('Per Line'!$J$2:$J$6001,$V710))</f>
        <v/>
      </c>
      <c r="I710" s="7">
        <f>IF($V710="","",H710*S710/100)</f>
        <v/>
      </c>
      <c r="J710">
        <f>IF($V710="","",INDEX('Per Line'!$S$2:$S$6001,$V710)&amp;"")</f>
        <v/>
      </c>
      <c r="K710" s="7">
        <f>IF($V710="","",SUMIFS('Per Line'!$R$2:$R$6001,'Per Line'!$C$2:$C$6001,$B710,'Per Line'!$AJ$2:$AJ$6001,1))</f>
        <v/>
      </c>
      <c r="L710">
        <f>IF($V710="","",Settings!$C$7)</f>
        <v/>
      </c>
      <c r="M710" s="7">
        <f>IF($V710="","",SUMIFS('Per Line'!$R$2:$R$6001,'Per Line'!$C$2:$C$6001,$B710,'Per Line'!$AI$2:$AI$6001,0,'Per Line'!$AJ$2:$AJ$6001,0))</f>
        <v/>
      </c>
      <c r="N710" s="7">
        <f>IF($V710="","",M710*L710)</f>
        <v/>
      </c>
      <c r="O710">
        <f>IF($V710="","",Settings!$C$6)</f>
        <v/>
      </c>
      <c r="P710" s="7">
        <f>IF($V710="","",SUMIFS('Per Line'!$R$2:$R$6001,'Per Line'!$C$2:$C$6001,$B710,'Per Line'!$AI$2:$AI$6001,1,'Per Line'!$AJ$2:$AJ$6001,0))</f>
        <v/>
      </c>
      <c r="Q710" s="7">
        <f>IF($V710="","",P710*O710)</f>
        <v/>
      </c>
      <c r="R710" s="7">
        <f>IF($V710="","",Q710+N710)</f>
        <v/>
      </c>
      <c r="S710" s="7">
        <f>IF($V710="","",T710-R710)</f>
        <v/>
      </c>
      <c r="T710" s="7">
        <f>IF($V710="","",M710+P710+K710)</f>
        <v/>
      </c>
      <c r="U710" s="7">
        <f>IF($V710="","",T710-R710-I710)</f>
        <v/>
      </c>
      <c r="V710" s="13">
        <f>IF(ROWS($V$2:$V710)&lt;=MAX('Per Line'!$AH$2:$AH$6001),MATCH(ROWS($V$2:$V710),'Per Line'!$AH$2:$AH$6001,0),"")</f>
        <v/>
      </c>
    </row>
    <row r="711">
      <c r="A711" s="12" t="n"/>
      <c r="B711">
        <f>IF($V711="","",INDEX('Per Line'!$C$2:$C$6001,$V711)&amp;"")</f>
        <v/>
      </c>
      <c r="C711" s="11">
        <f>IF($V711="","",INDEX('Per Line'!$D$2:$D$6001,$V711))</f>
        <v/>
      </c>
      <c r="D711">
        <f>IF($V711="","",INDEX('Per Line'!$E$2:$E$6001,$V711)&amp;"")</f>
        <v/>
      </c>
      <c r="E711">
        <f>IF($V711="","",INDEX('Per Line'!$G$2:$G$6001,$V711)&amp;"")</f>
        <v/>
      </c>
      <c r="F711">
        <f>IF($V711="","",INDEX('Per Line'!$H$2:$H$6001,$V711)&amp;"")</f>
        <v/>
      </c>
      <c r="G711">
        <f>IF($V711="","",INDEX('Per Line'!$I$2:$I$6001,$V711)&amp;"")</f>
        <v/>
      </c>
      <c r="H711">
        <f>IF($V711="","",INDEX('Per Line'!$J$2:$J$6001,$V711))</f>
        <v/>
      </c>
      <c r="I711" s="7">
        <f>IF($V711="","",H711*S711/100)</f>
        <v/>
      </c>
      <c r="J711">
        <f>IF($V711="","",INDEX('Per Line'!$S$2:$S$6001,$V711)&amp;"")</f>
        <v/>
      </c>
      <c r="K711" s="7">
        <f>IF($V711="","",SUMIFS('Per Line'!$R$2:$R$6001,'Per Line'!$C$2:$C$6001,$B711,'Per Line'!$AJ$2:$AJ$6001,1))</f>
        <v/>
      </c>
      <c r="L711">
        <f>IF($V711="","",Settings!$C$7)</f>
        <v/>
      </c>
      <c r="M711" s="7">
        <f>IF($V711="","",SUMIFS('Per Line'!$R$2:$R$6001,'Per Line'!$C$2:$C$6001,$B711,'Per Line'!$AI$2:$AI$6001,0,'Per Line'!$AJ$2:$AJ$6001,0))</f>
        <v/>
      </c>
      <c r="N711" s="7">
        <f>IF($V711="","",M711*L711)</f>
        <v/>
      </c>
      <c r="O711">
        <f>IF($V711="","",Settings!$C$6)</f>
        <v/>
      </c>
      <c r="P711" s="7">
        <f>IF($V711="","",SUMIFS('Per Line'!$R$2:$R$6001,'Per Line'!$C$2:$C$6001,$B711,'Per Line'!$AI$2:$AI$6001,1,'Per Line'!$AJ$2:$AJ$6001,0))</f>
        <v/>
      </c>
      <c r="Q711" s="7">
        <f>IF($V711="","",P711*O711)</f>
        <v/>
      </c>
      <c r="R711" s="7">
        <f>IF($V711="","",Q711+N711)</f>
        <v/>
      </c>
      <c r="S711" s="7">
        <f>IF($V711="","",T711-R711)</f>
        <v/>
      </c>
      <c r="T711" s="7">
        <f>IF($V711="","",M711+P711+K711)</f>
        <v/>
      </c>
      <c r="U711" s="7">
        <f>IF($V711="","",T711-R711-I711)</f>
        <v/>
      </c>
      <c r="V711" s="13">
        <f>IF(ROWS($V$2:$V711)&lt;=MAX('Per Line'!$AH$2:$AH$6001),MATCH(ROWS($V$2:$V711),'Per Line'!$AH$2:$AH$6001,0),"")</f>
        <v/>
      </c>
    </row>
    <row r="712">
      <c r="A712" s="12" t="n"/>
      <c r="B712">
        <f>IF($V712="","",INDEX('Per Line'!$C$2:$C$6001,$V712)&amp;"")</f>
        <v/>
      </c>
      <c r="C712" s="11">
        <f>IF($V712="","",INDEX('Per Line'!$D$2:$D$6001,$V712))</f>
        <v/>
      </c>
      <c r="D712">
        <f>IF($V712="","",INDEX('Per Line'!$E$2:$E$6001,$V712)&amp;"")</f>
        <v/>
      </c>
      <c r="E712">
        <f>IF($V712="","",INDEX('Per Line'!$G$2:$G$6001,$V712)&amp;"")</f>
        <v/>
      </c>
      <c r="F712">
        <f>IF($V712="","",INDEX('Per Line'!$H$2:$H$6001,$V712)&amp;"")</f>
        <v/>
      </c>
      <c r="G712">
        <f>IF($V712="","",INDEX('Per Line'!$I$2:$I$6001,$V712)&amp;"")</f>
        <v/>
      </c>
      <c r="H712">
        <f>IF($V712="","",INDEX('Per Line'!$J$2:$J$6001,$V712))</f>
        <v/>
      </c>
      <c r="I712" s="7">
        <f>IF($V712="","",H712*S712/100)</f>
        <v/>
      </c>
      <c r="J712">
        <f>IF($V712="","",INDEX('Per Line'!$S$2:$S$6001,$V712)&amp;"")</f>
        <v/>
      </c>
      <c r="K712" s="7">
        <f>IF($V712="","",SUMIFS('Per Line'!$R$2:$R$6001,'Per Line'!$C$2:$C$6001,$B712,'Per Line'!$AJ$2:$AJ$6001,1))</f>
        <v/>
      </c>
      <c r="L712">
        <f>IF($V712="","",Settings!$C$7)</f>
        <v/>
      </c>
      <c r="M712" s="7">
        <f>IF($V712="","",SUMIFS('Per Line'!$R$2:$R$6001,'Per Line'!$C$2:$C$6001,$B712,'Per Line'!$AI$2:$AI$6001,0,'Per Line'!$AJ$2:$AJ$6001,0))</f>
        <v/>
      </c>
      <c r="N712" s="7">
        <f>IF($V712="","",M712*L712)</f>
        <v/>
      </c>
      <c r="O712">
        <f>IF($V712="","",Settings!$C$6)</f>
        <v/>
      </c>
      <c r="P712" s="7">
        <f>IF($V712="","",SUMIFS('Per Line'!$R$2:$R$6001,'Per Line'!$C$2:$C$6001,$B712,'Per Line'!$AI$2:$AI$6001,1,'Per Line'!$AJ$2:$AJ$6001,0))</f>
        <v/>
      </c>
      <c r="Q712" s="7">
        <f>IF($V712="","",P712*O712)</f>
        <v/>
      </c>
      <c r="R712" s="7">
        <f>IF($V712="","",Q712+N712)</f>
        <v/>
      </c>
      <c r="S712" s="7">
        <f>IF($V712="","",T712-R712)</f>
        <v/>
      </c>
      <c r="T712" s="7">
        <f>IF($V712="","",M712+P712+K712)</f>
        <v/>
      </c>
      <c r="U712" s="7">
        <f>IF($V712="","",T712-R712-I712)</f>
        <v/>
      </c>
      <c r="V712" s="13">
        <f>IF(ROWS($V$2:$V712)&lt;=MAX('Per Line'!$AH$2:$AH$6001),MATCH(ROWS($V$2:$V712),'Per Line'!$AH$2:$AH$6001,0),"")</f>
        <v/>
      </c>
    </row>
    <row r="713">
      <c r="A713" s="12" t="n"/>
      <c r="B713">
        <f>IF($V713="","",INDEX('Per Line'!$C$2:$C$6001,$V713)&amp;"")</f>
        <v/>
      </c>
      <c r="C713" s="11">
        <f>IF($V713="","",INDEX('Per Line'!$D$2:$D$6001,$V713))</f>
        <v/>
      </c>
      <c r="D713">
        <f>IF($V713="","",INDEX('Per Line'!$E$2:$E$6001,$V713)&amp;"")</f>
        <v/>
      </c>
      <c r="E713">
        <f>IF($V713="","",INDEX('Per Line'!$G$2:$G$6001,$V713)&amp;"")</f>
        <v/>
      </c>
      <c r="F713">
        <f>IF($V713="","",INDEX('Per Line'!$H$2:$H$6001,$V713)&amp;"")</f>
        <v/>
      </c>
      <c r="G713">
        <f>IF($V713="","",INDEX('Per Line'!$I$2:$I$6001,$V713)&amp;"")</f>
        <v/>
      </c>
      <c r="H713">
        <f>IF($V713="","",INDEX('Per Line'!$J$2:$J$6001,$V713))</f>
        <v/>
      </c>
      <c r="I713" s="7">
        <f>IF($V713="","",H713*S713/100)</f>
        <v/>
      </c>
      <c r="J713">
        <f>IF($V713="","",INDEX('Per Line'!$S$2:$S$6001,$V713)&amp;"")</f>
        <v/>
      </c>
      <c r="K713" s="7">
        <f>IF($V713="","",SUMIFS('Per Line'!$R$2:$R$6001,'Per Line'!$C$2:$C$6001,$B713,'Per Line'!$AJ$2:$AJ$6001,1))</f>
        <v/>
      </c>
      <c r="L713">
        <f>IF($V713="","",Settings!$C$7)</f>
        <v/>
      </c>
      <c r="M713" s="7">
        <f>IF($V713="","",SUMIFS('Per Line'!$R$2:$R$6001,'Per Line'!$C$2:$C$6001,$B713,'Per Line'!$AI$2:$AI$6001,0,'Per Line'!$AJ$2:$AJ$6001,0))</f>
        <v/>
      </c>
      <c r="N713" s="7">
        <f>IF($V713="","",M713*L713)</f>
        <v/>
      </c>
      <c r="O713">
        <f>IF($V713="","",Settings!$C$6)</f>
        <v/>
      </c>
      <c r="P713" s="7">
        <f>IF($V713="","",SUMIFS('Per Line'!$R$2:$R$6001,'Per Line'!$C$2:$C$6001,$B713,'Per Line'!$AI$2:$AI$6001,1,'Per Line'!$AJ$2:$AJ$6001,0))</f>
        <v/>
      </c>
      <c r="Q713" s="7">
        <f>IF($V713="","",P713*O713)</f>
        <v/>
      </c>
      <c r="R713" s="7">
        <f>IF($V713="","",Q713+N713)</f>
        <v/>
      </c>
      <c r="S713" s="7">
        <f>IF($V713="","",T713-R713)</f>
        <v/>
      </c>
      <c r="T713" s="7">
        <f>IF($V713="","",M713+P713+K713)</f>
        <v/>
      </c>
      <c r="U713" s="7">
        <f>IF($V713="","",T713-R713-I713)</f>
        <v/>
      </c>
      <c r="V713" s="13">
        <f>IF(ROWS($V$2:$V713)&lt;=MAX('Per Line'!$AH$2:$AH$6001),MATCH(ROWS($V$2:$V713),'Per Line'!$AH$2:$AH$6001,0),"")</f>
        <v/>
      </c>
    </row>
    <row r="714">
      <c r="A714" s="12" t="n"/>
      <c r="B714">
        <f>IF($V714="","",INDEX('Per Line'!$C$2:$C$6001,$V714)&amp;"")</f>
        <v/>
      </c>
      <c r="C714" s="11">
        <f>IF($V714="","",INDEX('Per Line'!$D$2:$D$6001,$V714))</f>
        <v/>
      </c>
      <c r="D714">
        <f>IF($V714="","",INDEX('Per Line'!$E$2:$E$6001,$V714)&amp;"")</f>
        <v/>
      </c>
      <c r="E714">
        <f>IF($V714="","",INDEX('Per Line'!$G$2:$G$6001,$V714)&amp;"")</f>
        <v/>
      </c>
      <c r="F714">
        <f>IF($V714="","",INDEX('Per Line'!$H$2:$H$6001,$V714)&amp;"")</f>
        <v/>
      </c>
      <c r="G714">
        <f>IF($V714="","",INDEX('Per Line'!$I$2:$I$6001,$V714)&amp;"")</f>
        <v/>
      </c>
      <c r="H714">
        <f>IF($V714="","",INDEX('Per Line'!$J$2:$J$6001,$V714))</f>
        <v/>
      </c>
      <c r="I714" s="7">
        <f>IF($V714="","",H714*S714/100)</f>
        <v/>
      </c>
      <c r="J714">
        <f>IF($V714="","",INDEX('Per Line'!$S$2:$S$6001,$V714)&amp;"")</f>
        <v/>
      </c>
      <c r="K714" s="7">
        <f>IF($V714="","",SUMIFS('Per Line'!$R$2:$R$6001,'Per Line'!$C$2:$C$6001,$B714,'Per Line'!$AJ$2:$AJ$6001,1))</f>
        <v/>
      </c>
      <c r="L714">
        <f>IF($V714="","",Settings!$C$7)</f>
        <v/>
      </c>
      <c r="M714" s="7">
        <f>IF($V714="","",SUMIFS('Per Line'!$R$2:$R$6001,'Per Line'!$C$2:$C$6001,$B714,'Per Line'!$AI$2:$AI$6001,0,'Per Line'!$AJ$2:$AJ$6001,0))</f>
        <v/>
      </c>
      <c r="N714" s="7">
        <f>IF($V714="","",M714*L714)</f>
        <v/>
      </c>
      <c r="O714">
        <f>IF($V714="","",Settings!$C$6)</f>
        <v/>
      </c>
      <c r="P714" s="7">
        <f>IF($V714="","",SUMIFS('Per Line'!$R$2:$R$6001,'Per Line'!$C$2:$C$6001,$B714,'Per Line'!$AI$2:$AI$6001,1,'Per Line'!$AJ$2:$AJ$6001,0))</f>
        <v/>
      </c>
      <c r="Q714" s="7">
        <f>IF($V714="","",P714*O714)</f>
        <v/>
      </c>
      <c r="R714" s="7">
        <f>IF($V714="","",Q714+N714)</f>
        <v/>
      </c>
      <c r="S714" s="7">
        <f>IF($V714="","",T714-R714)</f>
        <v/>
      </c>
      <c r="T714" s="7">
        <f>IF($V714="","",M714+P714+K714)</f>
        <v/>
      </c>
      <c r="U714" s="7">
        <f>IF($V714="","",T714-R714-I714)</f>
        <v/>
      </c>
      <c r="V714" s="13">
        <f>IF(ROWS($V$2:$V714)&lt;=MAX('Per Line'!$AH$2:$AH$6001),MATCH(ROWS($V$2:$V714),'Per Line'!$AH$2:$AH$6001,0),"")</f>
        <v/>
      </c>
    </row>
    <row r="715">
      <c r="A715" s="12" t="n"/>
      <c r="B715">
        <f>IF($V715="","",INDEX('Per Line'!$C$2:$C$6001,$V715)&amp;"")</f>
        <v/>
      </c>
      <c r="C715" s="11">
        <f>IF($V715="","",INDEX('Per Line'!$D$2:$D$6001,$V715))</f>
        <v/>
      </c>
      <c r="D715">
        <f>IF($V715="","",INDEX('Per Line'!$E$2:$E$6001,$V715)&amp;"")</f>
        <v/>
      </c>
      <c r="E715">
        <f>IF($V715="","",INDEX('Per Line'!$G$2:$G$6001,$V715)&amp;"")</f>
        <v/>
      </c>
      <c r="F715">
        <f>IF($V715="","",INDEX('Per Line'!$H$2:$H$6001,$V715)&amp;"")</f>
        <v/>
      </c>
      <c r="G715">
        <f>IF($V715="","",INDEX('Per Line'!$I$2:$I$6001,$V715)&amp;"")</f>
        <v/>
      </c>
      <c r="H715">
        <f>IF($V715="","",INDEX('Per Line'!$J$2:$J$6001,$V715))</f>
        <v/>
      </c>
      <c r="I715" s="7">
        <f>IF($V715="","",H715*S715/100)</f>
        <v/>
      </c>
      <c r="J715">
        <f>IF($V715="","",INDEX('Per Line'!$S$2:$S$6001,$V715)&amp;"")</f>
        <v/>
      </c>
      <c r="K715" s="7">
        <f>IF($V715="","",SUMIFS('Per Line'!$R$2:$R$6001,'Per Line'!$C$2:$C$6001,$B715,'Per Line'!$AJ$2:$AJ$6001,1))</f>
        <v/>
      </c>
      <c r="L715">
        <f>IF($V715="","",Settings!$C$7)</f>
        <v/>
      </c>
      <c r="M715" s="7">
        <f>IF($V715="","",SUMIFS('Per Line'!$R$2:$R$6001,'Per Line'!$C$2:$C$6001,$B715,'Per Line'!$AI$2:$AI$6001,0,'Per Line'!$AJ$2:$AJ$6001,0))</f>
        <v/>
      </c>
      <c r="N715" s="7">
        <f>IF($V715="","",M715*L715)</f>
        <v/>
      </c>
      <c r="O715">
        <f>IF($V715="","",Settings!$C$6)</f>
        <v/>
      </c>
      <c r="P715" s="7">
        <f>IF($V715="","",SUMIFS('Per Line'!$R$2:$R$6001,'Per Line'!$C$2:$C$6001,$B715,'Per Line'!$AI$2:$AI$6001,1,'Per Line'!$AJ$2:$AJ$6001,0))</f>
        <v/>
      </c>
      <c r="Q715" s="7">
        <f>IF($V715="","",P715*O715)</f>
        <v/>
      </c>
      <c r="R715" s="7">
        <f>IF($V715="","",Q715+N715)</f>
        <v/>
      </c>
      <c r="S715" s="7">
        <f>IF($V715="","",T715-R715)</f>
        <v/>
      </c>
      <c r="T715" s="7">
        <f>IF($V715="","",M715+P715+K715)</f>
        <v/>
      </c>
      <c r="U715" s="7">
        <f>IF($V715="","",T715-R715-I715)</f>
        <v/>
      </c>
      <c r="V715" s="13">
        <f>IF(ROWS($V$2:$V715)&lt;=MAX('Per Line'!$AH$2:$AH$6001),MATCH(ROWS($V$2:$V715),'Per Line'!$AH$2:$AH$6001,0),"")</f>
        <v/>
      </c>
    </row>
    <row r="716">
      <c r="A716" s="12" t="n"/>
      <c r="B716">
        <f>IF($V716="","",INDEX('Per Line'!$C$2:$C$6001,$V716)&amp;"")</f>
        <v/>
      </c>
      <c r="C716" s="11">
        <f>IF($V716="","",INDEX('Per Line'!$D$2:$D$6001,$V716))</f>
        <v/>
      </c>
      <c r="D716">
        <f>IF($V716="","",INDEX('Per Line'!$E$2:$E$6001,$V716)&amp;"")</f>
        <v/>
      </c>
      <c r="E716">
        <f>IF($V716="","",INDEX('Per Line'!$G$2:$G$6001,$V716)&amp;"")</f>
        <v/>
      </c>
      <c r="F716">
        <f>IF($V716="","",INDEX('Per Line'!$H$2:$H$6001,$V716)&amp;"")</f>
        <v/>
      </c>
      <c r="G716">
        <f>IF($V716="","",INDEX('Per Line'!$I$2:$I$6001,$V716)&amp;"")</f>
        <v/>
      </c>
      <c r="H716">
        <f>IF($V716="","",INDEX('Per Line'!$J$2:$J$6001,$V716))</f>
        <v/>
      </c>
      <c r="I716" s="7">
        <f>IF($V716="","",H716*S716/100)</f>
        <v/>
      </c>
      <c r="J716">
        <f>IF($V716="","",INDEX('Per Line'!$S$2:$S$6001,$V716)&amp;"")</f>
        <v/>
      </c>
      <c r="K716" s="7">
        <f>IF($V716="","",SUMIFS('Per Line'!$R$2:$R$6001,'Per Line'!$C$2:$C$6001,$B716,'Per Line'!$AJ$2:$AJ$6001,1))</f>
        <v/>
      </c>
      <c r="L716">
        <f>IF($V716="","",Settings!$C$7)</f>
        <v/>
      </c>
      <c r="M716" s="7">
        <f>IF($V716="","",SUMIFS('Per Line'!$R$2:$R$6001,'Per Line'!$C$2:$C$6001,$B716,'Per Line'!$AI$2:$AI$6001,0,'Per Line'!$AJ$2:$AJ$6001,0))</f>
        <v/>
      </c>
      <c r="N716" s="7">
        <f>IF($V716="","",M716*L716)</f>
        <v/>
      </c>
      <c r="O716">
        <f>IF($V716="","",Settings!$C$6)</f>
        <v/>
      </c>
      <c r="P716" s="7">
        <f>IF($V716="","",SUMIFS('Per Line'!$R$2:$R$6001,'Per Line'!$C$2:$C$6001,$B716,'Per Line'!$AI$2:$AI$6001,1,'Per Line'!$AJ$2:$AJ$6001,0))</f>
        <v/>
      </c>
      <c r="Q716" s="7">
        <f>IF($V716="","",P716*O716)</f>
        <v/>
      </c>
      <c r="R716" s="7">
        <f>IF($V716="","",Q716+N716)</f>
        <v/>
      </c>
      <c r="S716" s="7">
        <f>IF($V716="","",T716-R716)</f>
        <v/>
      </c>
      <c r="T716" s="7">
        <f>IF($V716="","",M716+P716+K716)</f>
        <v/>
      </c>
      <c r="U716" s="7">
        <f>IF($V716="","",T716-R716-I716)</f>
        <v/>
      </c>
      <c r="V716" s="13">
        <f>IF(ROWS($V$2:$V716)&lt;=MAX('Per Line'!$AH$2:$AH$6001),MATCH(ROWS($V$2:$V716),'Per Line'!$AH$2:$AH$6001,0),"")</f>
        <v/>
      </c>
    </row>
    <row r="717">
      <c r="A717" s="12" t="n"/>
      <c r="B717">
        <f>IF($V717="","",INDEX('Per Line'!$C$2:$C$6001,$V717)&amp;"")</f>
        <v/>
      </c>
      <c r="C717" s="11">
        <f>IF($V717="","",INDEX('Per Line'!$D$2:$D$6001,$V717))</f>
        <v/>
      </c>
      <c r="D717">
        <f>IF($V717="","",INDEX('Per Line'!$E$2:$E$6001,$V717)&amp;"")</f>
        <v/>
      </c>
      <c r="E717">
        <f>IF($V717="","",INDEX('Per Line'!$G$2:$G$6001,$V717)&amp;"")</f>
        <v/>
      </c>
      <c r="F717">
        <f>IF($V717="","",INDEX('Per Line'!$H$2:$H$6001,$V717)&amp;"")</f>
        <v/>
      </c>
      <c r="G717">
        <f>IF($V717="","",INDEX('Per Line'!$I$2:$I$6001,$V717)&amp;"")</f>
        <v/>
      </c>
      <c r="H717">
        <f>IF($V717="","",INDEX('Per Line'!$J$2:$J$6001,$V717))</f>
        <v/>
      </c>
      <c r="I717" s="7">
        <f>IF($V717="","",H717*S717/100)</f>
        <v/>
      </c>
      <c r="J717">
        <f>IF($V717="","",INDEX('Per Line'!$S$2:$S$6001,$V717)&amp;"")</f>
        <v/>
      </c>
      <c r="K717" s="7">
        <f>IF($V717="","",SUMIFS('Per Line'!$R$2:$R$6001,'Per Line'!$C$2:$C$6001,$B717,'Per Line'!$AJ$2:$AJ$6001,1))</f>
        <v/>
      </c>
      <c r="L717">
        <f>IF($V717="","",Settings!$C$7)</f>
        <v/>
      </c>
      <c r="M717" s="7">
        <f>IF($V717="","",SUMIFS('Per Line'!$R$2:$R$6001,'Per Line'!$C$2:$C$6001,$B717,'Per Line'!$AI$2:$AI$6001,0,'Per Line'!$AJ$2:$AJ$6001,0))</f>
        <v/>
      </c>
      <c r="N717" s="7">
        <f>IF($V717="","",M717*L717)</f>
        <v/>
      </c>
      <c r="O717">
        <f>IF($V717="","",Settings!$C$6)</f>
        <v/>
      </c>
      <c r="P717" s="7">
        <f>IF($V717="","",SUMIFS('Per Line'!$R$2:$R$6001,'Per Line'!$C$2:$C$6001,$B717,'Per Line'!$AI$2:$AI$6001,1,'Per Line'!$AJ$2:$AJ$6001,0))</f>
        <v/>
      </c>
      <c r="Q717" s="7">
        <f>IF($V717="","",P717*O717)</f>
        <v/>
      </c>
      <c r="R717" s="7">
        <f>IF($V717="","",Q717+N717)</f>
        <v/>
      </c>
      <c r="S717" s="7">
        <f>IF($V717="","",T717-R717)</f>
        <v/>
      </c>
      <c r="T717" s="7">
        <f>IF($V717="","",M717+P717+K717)</f>
        <v/>
      </c>
      <c r="U717" s="7">
        <f>IF($V717="","",T717-R717-I717)</f>
        <v/>
      </c>
      <c r="V717" s="13">
        <f>IF(ROWS($V$2:$V717)&lt;=MAX('Per Line'!$AH$2:$AH$6001),MATCH(ROWS($V$2:$V717),'Per Line'!$AH$2:$AH$6001,0),"")</f>
        <v/>
      </c>
    </row>
    <row r="718">
      <c r="A718" s="12" t="n"/>
      <c r="B718">
        <f>IF($V718="","",INDEX('Per Line'!$C$2:$C$6001,$V718)&amp;"")</f>
        <v/>
      </c>
      <c r="C718" s="11">
        <f>IF($V718="","",INDEX('Per Line'!$D$2:$D$6001,$V718))</f>
        <v/>
      </c>
      <c r="D718">
        <f>IF($V718="","",INDEX('Per Line'!$E$2:$E$6001,$V718)&amp;"")</f>
        <v/>
      </c>
      <c r="E718">
        <f>IF($V718="","",INDEX('Per Line'!$G$2:$G$6001,$V718)&amp;"")</f>
        <v/>
      </c>
      <c r="F718">
        <f>IF($V718="","",INDEX('Per Line'!$H$2:$H$6001,$V718)&amp;"")</f>
        <v/>
      </c>
      <c r="G718">
        <f>IF($V718="","",INDEX('Per Line'!$I$2:$I$6001,$V718)&amp;"")</f>
        <v/>
      </c>
      <c r="H718">
        <f>IF($V718="","",INDEX('Per Line'!$J$2:$J$6001,$V718))</f>
        <v/>
      </c>
      <c r="I718" s="7">
        <f>IF($V718="","",H718*S718/100)</f>
        <v/>
      </c>
      <c r="J718">
        <f>IF($V718="","",INDEX('Per Line'!$S$2:$S$6001,$V718)&amp;"")</f>
        <v/>
      </c>
      <c r="K718" s="7">
        <f>IF($V718="","",SUMIFS('Per Line'!$R$2:$R$6001,'Per Line'!$C$2:$C$6001,$B718,'Per Line'!$AJ$2:$AJ$6001,1))</f>
        <v/>
      </c>
      <c r="L718">
        <f>IF($V718="","",Settings!$C$7)</f>
        <v/>
      </c>
      <c r="M718" s="7">
        <f>IF($V718="","",SUMIFS('Per Line'!$R$2:$R$6001,'Per Line'!$C$2:$C$6001,$B718,'Per Line'!$AI$2:$AI$6001,0,'Per Line'!$AJ$2:$AJ$6001,0))</f>
        <v/>
      </c>
      <c r="N718" s="7">
        <f>IF($V718="","",M718*L718)</f>
        <v/>
      </c>
      <c r="O718">
        <f>IF($V718="","",Settings!$C$6)</f>
        <v/>
      </c>
      <c r="P718" s="7">
        <f>IF($V718="","",SUMIFS('Per Line'!$R$2:$R$6001,'Per Line'!$C$2:$C$6001,$B718,'Per Line'!$AI$2:$AI$6001,1,'Per Line'!$AJ$2:$AJ$6001,0))</f>
        <v/>
      </c>
      <c r="Q718" s="7">
        <f>IF($V718="","",P718*O718)</f>
        <v/>
      </c>
      <c r="R718" s="7">
        <f>IF($V718="","",Q718+N718)</f>
        <v/>
      </c>
      <c r="S718" s="7">
        <f>IF($V718="","",T718-R718)</f>
        <v/>
      </c>
      <c r="T718" s="7">
        <f>IF($V718="","",M718+P718+K718)</f>
        <v/>
      </c>
      <c r="U718" s="7">
        <f>IF($V718="","",T718-R718-I718)</f>
        <v/>
      </c>
      <c r="V718" s="13">
        <f>IF(ROWS($V$2:$V718)&lt;=MAX('Per Line'!$AH$2:$AH$6001),MATCH(ROWS($V$2:$V718),'Per Line'!$AH$2:$AH$6001,0),"")</f>
        <v/>
      </c>
    </row>
    <row r="719">
      <c r="A719" s="12" t="n"/>
      <c r="B719">
        <f>IF($V719="","",INDEX('Per Line'!$C$2:$C$6001,$V719)&amp;"")</f>
        <v/>
      </c>
      <c r="C719" s="11">
        <f>IF($V719="","",INDEX('Per Line'!$D$2:$D$6001,$V719))</f>
        <v/>
      </c>
      <c r="D719">
        <f>IF($V719="","",INDEX('Per Line'!$E$2:$E$6001,$V719)&amp;"")</f>
        <v/>
      </c>
      <c r="E719">
        <f>IF($V719="","",INDEX('Per Line'!$G$2:$G$6001,$V719)&amp;"")</f>
        <v/>
      </c>
      <c r="F719">
        <f>IF($V719="","",INDEX('Per Line'!$H$2:$H$6001,$V719)&amp;"")</f>
        <v/>
      </c>
      <c r="G719">
        <f>IF($V719="","",INDEX('Per Line'!$I$2:$I$6001,$V719)&amp;"")</f>
        <v/>
      </c>
      <c r="H719">
        <f>IF($V719="","",INDEX('Per Line'!$J$2:$J$6001,$V719))</f>
        <v/>
      </c>
      <c r="I719" s="7">
        <f>IF($V719="","",H719*S719/100)</f>
        <v/>
      </c>
      <c r="J719">
        <f>IF($V719="","",INDEX('Per Line'!$S$2:$S$6001,$V719)&amp;"")</f>
        <v/>
      </c>
      <c r="K719" s="7">
        <f>IF($V719="","",SUMIFS('Per Line'!$R$2:$R$6001,'Per Line'!$C$2:$C$6001,$B719,'Per Line'!$AJ$2:$AJ$6001,1))</f>
        <v/>
      </c>
      <c r="L719">
        <f>IF($V719="","",Settings!$C$7)</f>
        <v/>
      </c>
      <c r="M719" s="7">
        <f>IF($V719="","",SUMIFS('Per Line'!$R$2:$R$6001,'Per Line'!$C$2:$C$6001,$B719,'Per Line'!$AI$2:$AI$6001,0,'Per Line'!$AJ$2:$AJ$6001,0))</f>
        <v/>
      </c>
      <c r="N719" s="7">
        <f>IF($V719="","",M719*L719)</f>
        <v/>
      </c>
      <c r="O719">
        <f>IF($V719="","",Settings!$C$6)</f>
        <v/>
      </c>
      <c r="P719" s="7">
        <f>IF($V719="","",SUMIFS('Per Line'!$R$2:$R$6001,'Per Line'!$C$2:$C$6001,$B719,'Per Line'!$AI$2:$AI$6001,1,'Per Line'!$AJ$2:$AJ$6001,0))</f>
        <v/>
      </c>
      <c r="Q719" s="7">
        <f>IF($V719="","",P719*O719)</f>
        <v/>
      </c>
      <c r="R719" s="7">
        <f>IF($V719="","",Q719+N719)</f>
        <v/>
      </c>
      <c r="S719" s="7">
        <f>IF($V719="","",T719-R719)</f>
        <v/>
      </c>
      <c r="T719" s="7">
        <f>IF($V719="","",M719+P719+K719)</f>
        <v/>
      </c>
      <c r="U719" s="7">
        <f>IF($V719="","",T719-R719-I719)</f>
        <v/>
      </c>
      <c r="V719" s="13">
        <f>IF(ROWS($V$2:$V719)&lt;=MAX('Per Line'!$AH$2:$AH$6001),MATCH(ROWS($V$2:$V719),'Per Line'!$AH$2:$AH$6001,0),"")</f>
        <v/>
      </c>
    </row>
    <row r="720">
      <c r="A720" s="12" t="n"/>
      <c r="B720">
        <f>IF($V720="","",INDEX('Per Line'!$C$2:$C$6001,$V720)&amp;"")</f>
        <v/>
      </c>
      <c r="C720" s="11">
        <f>IF($V720="","",INDEX('Per Line'!$D$2:$D$6001,$V720))</f>
        <v/>
      </c>
      <c r="D720">
        <f>IF($V720="","",INDEX('Per Line'!$E$2:$E$6001,$V720)&amp;"")</f>
        <v/>
      </c>
      <c r="E720">
        <f>IF($V720="","",INDEX('Per Line'!$G$2:$G$6001,$V720)&amp;"")</f>
        <v/>
      </c>
      <c r="F720">
        <f>IF($V720="","",INDEX('Per Line'!$H$2:$H$6001,$V720)&amp;"")</f>
        <v/>
      </c>
      <c r="G720">
        <f>IF($V720="","",INDEX('Per Line'!$I$2:$I$6001,$V720)&amp;"")</f>
        <v/>
      </c>
      <c r="H720">
        <f>IF($V720="","",INDEX('Per Line'!$J$2:$J$6001,$V720))</f>
        <v/>
      </c>
      <c r="I720" s="7">
        <f>IF($V720="","",H720*S720/100)</f>
        <v/>
      </c>
      <c r="J720">
        <f>IF($V720="","",INDEX('Per Line'!$S$2:$S$6001,$V720)&amp;"")</f>
        <v/>
      </c>
      <c r="K720" s="7">
        <f>IF($V720="","",SUMIFS('Per Line'!$R$2:$R$6001,'Per Line'!$C$2:$C$6001,$B720,'Per Line'!$AJ$2:$AJ$6001,1))</f>
        <v/>
      </c>
      <c r="L720">
        <f>IF($V720="","",Settings!$C$7)</f>
        <v/>
      </c>
      <c r="M720" s="7">
        <f>IF($V720="","",SUMIFS('Per Line'!$R$2:$R$6001,'Per Line'!$C$2:$C$6001,$B720,'Per Line'!$AI$2:$AI$6001,0,'Per Line'!$AJ$2:$AJ$6001,0))</f>
        <v/>
      </c>
      <c r="N720" s="7">
        <f>IF($V720="","",M720*L720)</f>
        <v/>
      </c>
      <c r="O720">
        <f>IF($V720="","",Settings!$C$6)</f>
        <v/>
      </c>
      <c r="P720" s="7">
        <f>IF($V720="","",SUMIFS('Per Line'!$R$2:$R$6001,'Per Line'!$C$2:$C$6001,$B720,'Per Line'!$AI$2:$AI$6001,1,'Per Line'!$AJ$2:$AJ$6001,0))</f>
        <v/>
      </c>
      <c r="Q720" s="7">
        <f>IF($V720="","",P720*O720)</f>
        <v/>
      </c>
      <c r="R720" s="7">
        <f>IF($V720="","",Q720+N720)</f>
        <v/>
      </c>
      <c r="S720" s="7">
        <f>IF($V720="","",T720-R720)</f>
        <v/>
      </c>
      <c r="T720" s="7">
        <f>IF($V720="","",M720+P720+K720)</f>
        <v/>
      </c>
      <c r="U720" s="7">
        <f>IF($V720="","",T720-R720-I720)</f>
        <v/>
      </c>
      <c r="V720" s="13">
        <f>IF(ROWS($V$2:$V720)&lt;=MAX('Per Line'!$AH$2:$AH$6001),MATCH(ROWS($V$2:$V720),'Per Line'!$AH$2:$AH$6001,0),"")</f>
        <v/>
      </c>
    </row>
    <row r="721">
      <c r="A721" s="12" t="n"/>
      <c r="B721">
        <f>IF($V721="","",INDEX('Per Line'!$C$2:$C$6001,$V721)&amp;"")</f>
        <v/>
      </c>
      <c r="C721" s="11">
        <f>IF($V721="","",INDEX('Per Line'!$D$2:$D$6001,$V721))</f>
        <v/>
      </c>
      <c r="D721">
        <f>IF($V721="","",INDEX('Per Line'!$E$2:$E$6001,$V721)&amp;"")</f>
        <v/>
      </c>
      <c r="E721">
        <f>IF($V721="","",INDEX('Per Line'!$G$2:$G$6001,$V721)&amp;"")</f>
        <v/>
      </c>
      <c r="F721">
        <f>IF($V721="","",INDEX('Per Line'!$H$2:$H$6001,$V721)&amp;"")</f>
        <v/>
      </c>
      <c r="G721">
        <f>IF($V721="","",INDEX('Per Line'!$I$2:$I$6001,$V721)&amp;"")</f>
        <v/>
      </c>
      <c r="H721">
        <f>IF($V721="","",INDEX('Per Line'!$J$2:$J$6001,$V721))</f>
        <v/>
      </c>
      <c r="I721" s="7">
        <f>IF($V721="","",H721*S721/100)</f>
        <v/>
      </c>
      <c r="J721">
        <f>IF($V721="","",INDEX('Per Line'!$S$2:$S$6001,$V721)&amp;"")</f>
        <v/>
      </c>
      <c r="K721" s="7">
        <f>IF($V721="","",SUMIFS('Per Line'!$R$2:$R$6001,'Per Line'!$C$2:$C$6001,$B721,'Per Line'!$AJ$2:$AJ$6001,1))</f>
        <v/>
      </c>
      <c r="L721">
        <f>IF($V721="","",Settings!$C$7)</f>
        <v/>
      </c>
      <c r="M721" s="7">
        <f>IF($V721="","",SUMIFS('Per Line'!$R$2:$R$6001,'Per Line'!$C$2:$C$6001,$B721,'Per Line'!$AI$2:$AI$6001,0,'Per Line'!$AJ$2:$AJ$6001,0))</f>
        <v/>
      </c>
      <c r="N721" s="7">
        <f>IF($V721="","",M721*L721)</f>
        <v/>
      </c>
      <c r="O721">
        <f>IF($V721="","",Settings!$C$6)</f>
        <v/>
      </c>
      <c r="P721" s="7">
        <f>IF($V721="","",SUMIFS('Per Line'!$R$2:$R$6001,'Per Line'!$C$2:$C$6001,$B721,'Per Line'!$AI$2:$AI$6001,1,'Per Line'!$AJ$2:$AJ$6001,0))</f>
        <v/>
      </c>
      <c r="Q721" s="7">
        <f>IF($V721="","",P721*O721)</f>
        <v/>
      </c>
      <c r="R721" s="7">
        <f>IF($V721="","",Q721+N721)</f>
        <v/>
      </c>
      <c r="S721" s="7">
        <f>IF($V721="","",T721-R721)</f>
        <v/>
      </c>
      <c r="T721" s="7">
        <f>IF($V721="","",M721+P721+K721)</f>
        <v/>
      </c>
      <c r="U721" s="7">
        <f>IF($V721="","",T721-R721-I721)</f>
        <v/>
      </c>
      <c r="V721" s="13">
        <f>IF(ROWS($V$2:$V721)&lt;=MAX('Per Line'!$AH$2:$AH$6001),MATCH(ROWS($V$2:$V721),'Per Line'!$AH$2:$AH$6001,0),"")</f>
        <v/>
      </c>
    </row>
    <row r="722">
      <c r="A722" s="12" t="n"/>
      <c r="B722">
        <f>IF($V722="","",INDEX('Per Line'!$C$2:$C$6001,$V722)&amp;"")</f>
        <v/>
      </c>
      <c r="C722" s="11">
        <f>IF($V722="","",INDEX('Per Line'!$D$2:$D$6001,$V722))</f>
        <v/>
      </c>
      <c r="D722">
        <f>IF($V722="","",INDEX('Per Line'!$E$2:$E$6001,$V722)&amp;"")</f>
        <v/>
      </c>
      <c r="E722">
        <f>IF($V722="","",INDEX('Per Line'!$G$2:$G$6001,$V722)&amp;"")</f>
        <v/>
      </c>
      <c r="F722">
        <f>IF($V722="","",INDEX('Per Line'!$H$2:$H$6001,$V722)&amp;"")</f>
        <v/>
      </c>
      <c r="G722">
        <f>IF($V722="","",INDEX('Per Line'!$I$2:$I$6001,$V722)&amp;"")</f>
        <v/>
      </c>
      <c r="H722">
        <f>IF($V722="","",INDEX('Per Line'!$J$2:$J$6001,$V722))</f>
        <v/>
      </c>
      <c r="I722" s="7">
        <f>IF($V722="","",H722*S722/100)</f>
        <v/>
      </c>
      <c r="J722">
        <f>IF($V722="","",INDEX('Per Line'!$S$2:$S$6001,$V722)&amp;"")</f>
        <v/>
      </c>
      <c r="K722" s="7">
        <f>IF($V722="","",SUMIFS('Per Line'!$R$2:$R$6001,'Per Line'!$C$2:$C$6001,$B722,'Per Line'!$AJ$2:$AJ$6001,1))</f>
        <v/>
      </c>
      <c r="L722">
        <f>IF($V722="","",Settings!$C$7)</f>
        <v/>
      </c>
      <c r="M722" s="7">
        <f>IF($V722="","",SUMIFS('Per Line'!$R$2:$R$6001,'Per Line'!$C$2:$C$6001,$B722,'Per Line'!$AI$2:$AI$6001,0,'Per Line'!$AJ$2:$AJ$6001,0))</f>
        <v/>
      </c>
      <c r="N722" s="7">
        <f>IF($V722="","",M722*L722)</f>
        <v/>
      </c>
      <c r="O722">
        <f>IF($V722="","",Settings!$C$6)</f>
        <v/>
      </c>
      <c r="P722" s="7">
        <f>IF($V722="","",SUMIFS('Per Line'!$R$2:$R$6001,'Per Line'!$C$2:$C$6001,$B722,'Per Line'!$AI$2:$AI$6001,1,'Per Line'!$AJ$2:$AJ$6001,0))</f>
        <v/>
      </c>
      <c r="Q722" s="7">
        <f>IF($V722="","",P722*O722)</f>
        <v/>
      </c>
      <c r="R722" s="7">
        <f>IF($V722="","",Q722+N722)</f>
        <v/>
      </c>
      <c r="S722" s="7">
        <f>IF($V722="","",T722-R722)</f>
        <v/>
      </c>
      <c r="T722" s="7">
        <f>IF($V722="","",M722+P722+K722)</f>
        <v/>
      </c>
      <c r="U722" s="7">
        <f>IF($V722="","",T722-R722-I722)</f>
        <v/>
      </c>
      <c r="V722" s="13">
        <f>IF(ROWS($V$2:$V722)&lt;=MAX('Per Line'!$AH$2:$AH$6001),MATCH(ROWS($V$2:$V722),'Per Line'!$AH$2:$AH$6001,0),"")</f>
        <v/>
      </c>
    </row>
    <row r="723">
      <c r="A723" s="12" t="n"/>
      <c r="B723">
        <f>IF($V723="","",INDEX('Per Line'!$C$2:$C$6001,$V723)&amp;"")</f>
        <v/>
      </c>
      <c r="C723" s="11">
        <f>IF($V723="","",INDEX('Per Line'!$D$2:$D$6001,$V723))</f>
        <v/>
      </c>
      <c r="D723">
        <f>IF($V723="","",INDEX('Per Line'!$E$2:$E$6001,$V723)&amp;"")</f>
        <v/>
      </c>
      <c r="E723">
        <f>IF($V723="","",INDEX('Per Line'!$G$2:$G$6001,$V723)&amp;"")</f>
        <v/>
      </c>
      <c r="F723">
        <f>IF($V723="","",INDEX('Per Line'!$H$2:$H$6001,$V723)&amp;"")</f>
        <v/>
      </c>
      <c r="G723">
        <f>IF($V723="","",INDEX('Per Line'!$I$2:$I$6001,$V723)&amp;"")</f>
        <v/>
      </c>
      <c r="H723">
        <f>IF($V723="","",INDEX('Per Line'!$J$2:$J$6001,$V723))</f>
        <v/>
      </c>
      <c r="I723" s="7">
        <f>IF($V723="","",H723*S723/100)</f>
        <v/>
      </c>
      <c r="J723">
        <f>IF($V723="","",INDEX('Per Line'!$S$2:$S$6001,$V723)&amp;"")</f>
        <v/>
      </c>
      <c r="K723" s="7">
        <f>IF($V723="","",SUMIFS('Per Line'!$R$2:$R$6001,'Per Line'!$C$2:$C$6001,$B723,'Per Line'!$AJ$2:$AJ$6001,1))</f>
        <v/>
      </c>
      <c r="L723">
        <f>IF($V723="","",Settings!$C$7)</f>
        <v/>
      </c>
      <c r="M723" s="7">
        <f>IF($V723="","",SUMIFS('Per Line'!$R$2:$R$6001,'Per Line'!$C$2:$C$6001,$B723,'Per Line'!$AI$2:$AI$6001,0,'Per Line'!$AJ$2:$AJ$6001,0))</f>
        <v/>
      </c>
      <c r="N723" s="7">
        <f>IF($V723="","",M723*L723)</f>
        <v/>
      </c>
      <c r="O723">
        <f>IF($V723="","",Settings!$C$6)</f>
        <v/>
      </c>
      <c r="P723" s="7">
        <f>IF($V723="","",SUMIFS('Per Line'!$R$2:$R$6001,'Per Line'!$C$2:$C$6001,$B723,'Per Line'!$AI$2:$AI$6001,1,'Per Line'!$AJ$2:$AJ$6001,0))</f>
        <v/>
      </c>
      <c r="Q723" s="7">
        <f>IF($V723="","",P723*O723)</f>
        <v/>
      </c>
      <c r="R723" s="7">
        <f>IF($V723="","",Q723+N723)</f>
        <v/>
      </c>
      <c r="S723" s="7">
        <f>IF($V723="","",T723-R723)</f>
        <v/>
      </c>
      <c r="T723" s="7">
        <f>IF($V723="","",M723+P723+K723)</f>
        <v/>
      </c>
      <c r="U723" s="7">
        <f>IF($V723="","",T723-R723-I723)</f>
        <v/>
      </c>
      <c r="V723" s="13">
        <f>IF(ROWS($V$2:$V723)&lt;=MAX('Per Line'!$AH$2:$AH$6001),MATCH(ROWS($V$2:$V723),'Per Line'!$AH$2:$AH$6001,0),"")</f>
        <v/>
      </c>
    </row>
    <row r="724">
      <c r="A724" s="12" t="n"/>
      <c r="B724">
        <f>IF($V724="","",INDEX('Per Line'!$C$2:$C$6001,$V724)&amp;"")</f>
        <v/>
      </c>
      <c r="C724" s="11">
        <f>IF($V724="","",INDEX('Per Line'!$D$2:$D$6001,$V724))</f>
        <v/>
      </c>
      <c r="D724">
        <f>IF($V724="","",INDEX('Per Line'!$E$2:$E$6001,$V724)&amp;"")</f>
        <v/>
      </c>
      <c r="E724">
        <f>IF($V724="","",INDEX('Per Line'!$G$2:$G$6001,$V724)&amp;"")</f>
        <v/>
      </c>
      <c r="F724">
        <f>IF($V724="","",INDEX('Per Line'!$H$2:$H$6001,$V724)&amp;"")</f>
        <v/>
      </c>
      <c r="G724">
        <f>IF($V724="","",INDEX('Per Line'!$I$2:$I$6001,$V724)&amp;"")</f>
        <v/>
      </c>
      <c r="H724">
        <f>IF($V724="","",INDEX('Per Line'!$J$2:$J$6001,$V724))</f>
        <v/>
      </c>
      <c r="I724" s="7">
        <f>IF($V724="","",H724*S724/100)</f>
        <v/>
      </c>
      <c r="J724">
        <f>IF($V724="","",INDEX('Per Line'!$S$2:$S$6001,$V724)&amp;"")</f>
        <v/>
      </c>
      <c r="K724" s="7">
        <f>IF($V724="","",SUMIFS('Per Line'!$R$2:$R$6001,'Per Line'!$C$2:$C$6001,$B724,'Per Line'!$AJ$2:$AJ$6001,1))</f>
        <v/>
      </c>
      <c r="L724">
        <f>IF($V724="","",Settings!$C$7)</f>
        <v/>
      </c>
      <c r="M724" s="7">
        <f>IF($V724="","",SUMIFS('Per Line'!$R$2:$R$6001,'Per Line'!$C$2:$C$6001,$B724,'Per Line'!$AI$2:$AI$6001,0,'Per Line'!$AJ$2:$AJ$6001,0))</f>
        <v/>
      </c>
      <c r="N724" s="7">
        <f>IF($V724="","",M724*L724)</f>
        <v/>
      </c>
      <c r="O724">
        <f>IF($V724="","",Settings!$C$6)</f>
        <v/>
      </c>
      <c r="P724" s="7">
        <f>IF($V724="","",SUMIFS('Per Line'!$R$2:$R$6001,'Per Line'!$C$2:$C$6001,$B724,'Per Line'!$AI$2:$AI$6001,1,'Per Line'!$AJ$2:$AJ$6001,0))</f>
        <v/>
      </c>
      <c r="Q724" s="7">
        <f>IF($V724="","",P724*O724)</f>
        <v/>
      </c>
      <c r="R724" s="7">
        <f>IF($V724="","",Q724+N724)</f>
        <v/>
      </c>
      <c r="S724" s="7">
        <f>IF($V724="","",T724-R724)</f>
        <v/>
      </c>
      <c r="T724" s="7">
        <f>IF($V724="","",M724+P724+K724)</f>
        <v/>
      </c>
      <c r="U724" s="7">
        <f>IF($V724="","",T724-R724-I724)</f>
        <v/>
      </c>
      <c r="V724" s="13">
        <f>IF(ROWS($V$2:$V724)&lt;=MAX('Per Line'!$AH$2:$AH$6001),MATCH(ROWS($V$2:$V724),'Per Line'!$AH$2:$AH$6001,0),"")</f>
        <v/>
      </c>
    </row>
    <row r="725">
      <c r="A725" s="12" t="n"/>
      <c r="B725">
        <f>IF($V725="","",INDEX('Per Line'!$C$2:$C$6001,$V725)&amp;"")</f>
        <v/>
      </c>
      <c r="C725" s="11">
        <f>IF($V725="","",INDEX('Per Line'!$D$2:$D$6001,$V725))</f>
        <v/>
      </c>
      <c r="D725">
        <f>IF($V725="","",INDEX('Per Line'!$E$2:$E$6001,$V725)&amp;"")</f>
        <v/>
      </c>
      <c r="E725">
        <f>IF($V725="","",INDEX('Per Line'!$G$2:$G$6001,$V725)&amp;"")</f>
        <v/>
      </c>
      <c r="F725">
        <f>IF($V725="","",INDEX('Per Line'!$H$2:$H$6001,$V725)&amp;"")</f>
        <v/>
      </c>
      <c r="G725">
        <f>IF($V725="","",INDEX('Per Line'!$I$2:$I$6001,$V725)&amp;"")</f>
        <v/>
      </c>
      <c r="H725">
        <f>IF($V725="","",INDEX('Per Line'!$J$2:$J$6001,$V725))</f>
        <v/>
      </c>
      <c r="I725" s="7">
        <f>IF($V725="","",H725*S725/100)</f>
        <v/>
      </c>
      <c r="J725">
        <f>IF($V725="","",INDEX('Per Line'!$S$2:$S$6001,$V725)&amp;"")</f>
        <v/>
      </c>
      <c r="K725" s="7">
        <f>IF($V725="","",SUMIFS('Per Line'!$R$2:$R$6001,'Per Line'!$C$2:$C$6001,$B725,'Per Line'!$AJ$2:$AJ$6001,1))</f>
        <v/>
      </c>
      <c r="L725">
        <f>IF($V725="","",Settings!$C$7)</f>
        <v/>
      </c>
      <c r="M725" s="7">
        <f>IF($V725="","",SUMIFS('Per Line'!$R$2:$R$6001,'Per Line'!$C$2:$C$6001,$B725,'Per Line'!$AI$2:$AI$6001,0,'Per Line'!$AJ$2:$AJ$6001,0))</f>
        <v/>
      </c>
      <c r="N725" s="7">
        <f>IF($V725="","",M725*L725)</f>
        <v/>
      </c>
      <c r="O725">
        <f>IF($V725="","",Settings!$C$6)</f>
        <v/>
      </c>
      <c r="P725" s="7">
        <f>IF($V725="","",SUMIFS('Per Line'!$R$2:$R$6001,'Per Line'!$C$2:$C$6001,$B725,'Per Line'!$AI$2:$AI$6001,1,'Per Line'!$AJ$2:$AJ$6001,0))</f>
        <v/>
      </c>
      <c r="Q725" s="7">
        <f>IF($V725="","",P725*O725)</f>
        <v/>
      </c>
      <c r="R725" s="7">
        <f>IF($V725="","",Q725+N725)</f>
        <v/>
      </c>
      <c r="S725" s="7">
        <f>IF($V725="","",T725-R725)</f>
        <v/>
      </c>
      <c r="T725" s="7">
        <f>IF($V725="","",M725+P725+K725)</f>
        <v/>
      </c>
      <c r="U725" s="7">
        <f>IF($V725="","",T725-R725-I725)</f>
        <v/>
      </c>
      <c r="V725" s="13">
        <f>IF(ROWS($V$2:$V725)&lt;=MAX('Per Line'!$AH$2:$AH$6001),MATCH(ROWS($V$2:$V725),'Per Line'!$AH$2:$AH$6001,0),"")</f>
        <v/>
      </c>
    </row>
    <row r="726">
      <c r="A726" s="12" t="n"/>
      <c r="B726">
        <f>IF($V726="","",INDEX('Per Line'!$C$2:$C$6001,$V726)&amp;"")</f>
        <v/>
      </c>
      <c r="C726" s="11">
        <f>IF($V726="","",INDEX('Per Line'!$D$2:$D$6001,$V726))</f>
        <v/>
      </c>
      <c r="D726">
        <f>IF($V726="","",INDEX('Per Line'!$E$2:$E$6001,$V726)&amp;"")</f>
        <v/>
      </c>
      <c r="E726">
        <f>IF($V726="","",INDEX('Per Line'!$G$2:$G$6001,$V726)&amp;"")</f>
        <v/>
      </c>
      <c r="F726">
        <f>IF($V726="","",INDEX('Per Line'!$H$2:$H$6001,$V726)&amp;"")</f>
        <v/>
      </c>
      <c r="G726">
        <f>IF($V726="","",INDEX('Per Line'!$I$2:$I$6001,$V726)&amp;"")</f>
        <v/>
      </c>
      <c r="H726">
        <f>IF($V726="","",INDEX('Per Line'!$J$2:$J$6001,$V726))</f>
        <v/>
      </c>
      <c r="I726" s="7">
        <f>IF($V726="","",H726*S726/100)</f>
        <v/>
      </c>
      <c r="J726">
        <f>IF($V726="","",INDEX('Per Line'!$S$2:$S$6001,$V726)&amp;"")</f>
        <v/>
      </c>
      <c r="K726" s="7">
        <f>IF($V726="","",SUMIFS('Per Line'!$R$2:$R$6001,'Per Line'!$C$2:$C$6001,$B726,'Per Line'!$AJ$2:$AJ$6001,1))</f>
        <v/>
      </c>
      <c r="L726">
        <f>IF($V726="","",Settings!$C$7)</f>
        <v/>
      </c>
      <c r="M726" s="7">
        <f>IF($V726="","",SUMIFS('Per Line'!$R$2:$R$6001,'Per Line'!$C$2:$C$6001,$B726,'Per Line'!$AI$2:$AI$6001,0,'Per Line'!$AJ$2:$AJ$6001,0))</f>
        <v/>
      </c>
      <c r="N726" s="7">
        <f>IF($V726="","",M726*L726)</f>
        <v/>
      </c>
      <c r="O726">
        <f>IF($V726="","",Settings!$C$6)</f>
        <v/>
      </c>
      <c r="P726" s="7">
        <f>IF($V726="","",SUMIFS('Per Line'!$R$2:$R$6001,'Per Line'!$C$2:$C$6001,$B726,'Per Line'!$AI$2:$AI$6001,1,'Per Line'!$AJ$2:$AJ$6001,0))</f>
        <v/>
      </c>
      <c r="Q726" s="7">
        <f>IF($V726="","",P726*O726)</f>
        <v/>
      </c>
      <c r="R726" s="7">
        <f>IF($V726="","",Q726+N726)</f>
        <v/>
      </c>
      <c r="S726" s="7">
        <f>IF($V726="","",T726-R726)</f>
        <v/>
      </c>
      <c r="T726" s="7">
        <f>IF($V726="","",M726+P726+K726)</f>
        <v/>
      </c>
      <c r="U726" s="7">
        <f>IF($V726="","",T726-R726-I726)</f>
        <v/>
      </c>
      <c r="V726" s="13">
        <f>IF(ROWS($V$2:$V726)&lt;=MAX('Per Line'!$AH$2:$AH$6001),MATCH(ROWS($V$2:$V726),'Per Line'!$AH$2:$AH$6001,0),"")</f>
        <v/>
      </c>
    </row>
    <row r="727">
      <c r="A727" s="12" t="n"/>
      <c r="B727">
        <f>IF($V727="","",INDEX('Per Line'!$C$2:$C$6001,$V727)&amp;"")</f>
        <v/>
      </c>
      <c r="C727" s="11">
        <f>IF($V727="","",INDEX('Per Line'!$D$2:$D$6001,$V727))</f>
        <v/>
      </c>
      <c r="D727">
        <f>IF($V727="","",INDEX('Per Line'!$E$2:$E$6001,$V727)&amp;"")</f>
        <v/>
      </c>
      <c r="E727">
        <f>IF($V727="","",INDEX('Per Line'!$G$2:$G$6001,$V727)&amp;"")</f>
        <v/>
      </c>
      <c r="F727">
        <f>IF($V727="","",INDEX('Per Line'!$H$2:$H$6001,$V727)&amp;"")</f>
        <v/>
      </c>
      <c r="G727">
        <f>IF($V727="","",INDEX('Per Line'!$I$2:$I$6001,$V727)&amp;"")</f>
        <v/>
      </c>
      <c r="H727">
        <f>IF($V727="","",INDEX('Per Line'!$J$2:$J$6001,$V727))</f>
        <v/>
      </c>
      <c r="I727" s="7">
        <f>IF($V727="","",H727*S727/100)</f>
        <v/>
      </c>
      <c r="J727">
        <f>IF($V727="","",INDEX('Per Line'!$S$2:$S$6001,$V727)&amp;"")</f>
        <v/>
      </c>
      <c r="K727" s="7">
        <f>IF($V727="","",SUMIFS('Per Line'!$R$2:$R$6001,'Per Line'!$C$2:$C$6001,$B727,'Per Line'!$AJ$2:$AJ$6001,1))</f>
        <v/>
      </c>
      <c r="L727">
        <f>IF($V727="","",Settings!$C$7)</f>
        <v/>
      </c>
      <c r="M727" s="7">
        <f>IF($V727="","",SUMIFS('Per Line'!$R$2:$R$6001,'Per Line'!$C$2:$C$6001,$B727,'Per Line'!$AI$2:$AI$6001,0,'Per Line'!$AJ$2:$AJ$6001,0))</f>
        <v/>
      </c>
      <c r="N727" s="7">
        <f>IF($V727="","",M727*L727)</f>
        <v/>
      </c>
      <c r="O727">
        <f>IF($V727="","",Settings!$C$6)</f>
        <v/>
      </c>
      <c r="P727" s="7">
        <f>IF($V727="","",SUMIFS('Per Line'!$R$2:$R$6001,'Per Line'!$C$2:$C$6001,$B727,'Per Line'!$AI$2:$AI$6001,1,'Per Line'!$AJ$2:$AJ$6001,0))</f>
        <v/>
      </c>
      <c r="Q727" s="7">
        <f>IF($V727="","",P727*O727)</f>
        <v/>
      </c>
      <c r="R727" s="7">
        <f>IF($V727="","",Q727+N727)</f>
        <v/>
      </c>
      <c r="S727" s="7">
        <f>IF($V727="","",T727-R727)</f>
        <v/>
      </c>
      <c r="T727" s="7">
        <f>IF($V727="","",M727+P727+K727)</f>
        <v/>
      </c>
      <c r="U727" s="7">
        <f>IF($V727="","",T727-R727-I727)</f>
        <v/>
      </c>
      <c r="V727" s="13">
        <f>IF(ROWS($V$2:$V727)&lt;=MAX('Per Line'!$AH$2:$AH$6001),MATCH(ROWS($V$2:$V727),'Per Line'!$AH$2:$AH$6001,0),"")</f>
        <v/>
      </c>
    </row>
    <row r="728">
      <c r="A728" s="12" t="n"/>
      <c r="B728">
        <f>IF($V728="","",INDEX('Per Line'!$C$2:$C$6001,$V728)&amp;"")</f>
        <v/>
      </c>
      <c r="C728" s="11">
        <f>IF($V728="","",INDEX('Per Line'!$D$2:$D$6001,$V728))</f>
        <v/>
      </c>
      <c r="D728">
        <f>IF($V728="","",INDEX('Per Line'!$E$2:$E$6001,$V728)&amp;"")</f>
        <v/>
      </c>
      <c r="E728">
        <f>IF($V728="","",INDEX('Per Line'!$G$2:$G$6001,$V728)&amp;"")</f>
        <v/>
      </c>
      <c r="F728">
        <f>IF($V728="","",INDEX('Per Line'!$H$2:$H$6001,$V728)&amp;"")</f>
        <v/>
      </c>
      <c r="G728">
        <f>IF($V728="","",INDEX('Per Line'!$I$2:$I$6001,$V728)&amp;"")</f>
        <v/>
      </c>
      <c r="H728">
        <f>IF($V728="","",INDEX('Per Line'!$J$2:$J$6001,$V728))</f>
        <v/>
      </c>
      <c r="I728" s="7">
        <f>IF($V728="","",H728*S728/100)</f>
        <v/>
      </c>
      <c r="J728">
        <f>IF($V728="","",INDEX('Per Line'!$S$2:$S$6001,$V728)&amp;"")</f>
        <v/>
      </c>
      <c r="K728" s="7">
        <f>IF($V728="","",SUMIFS('Per Line'!$R$2:$R$6001,'Per Line'!$C$2:$C$6001,$B728,'Per Line'!$AJ$2:$AJ$6001,1))</f>
        <v/>
      </c>
      <c r="L728">
        <f>IF($V728="","",Settings!$C$7)</f>
        <v/>
      </c>
      <c r="M728" s="7">
        <f>IF($V728="","",SUMIFS('Per Line'!$R$2:$R$6001,'Per Line'!$C$2:$C$6001,$B728,'Per Line'!$AI$2:$AI$6001,0,'Per Line'!$AJ$2:$AJ$6001,0))</f>
        <v/>
      </c>
      <c r="N728" s="7">
        <f>IF($V728="","",M728*L728)</f>
        <v/>
      </c>
      <c r="O728">
        <f>IF($V728="","",Settings!$C$6)</f>
        <v/>
      </c>
      <c r="P728" s="7">
        <f>IF($V728="","",SUMIFS('Per Line'!$R$2:$R$6001,'Per Line'!$C$2:$C$6001,$B728,'Per Line'!$AI$2:$AI$6001,1,'Per Line'!$AJ$2:$AJ$6001,0))</f>
        <v/>
      </c>
      <c r="Q728" s="7">
        <f>IF($V728="","",P728*O728)</f>
        <v/>
      </c>
      <c r="R728" s="7">
        <f>IF($V728="","",Q728+N728)</f>
        <v/>
      </c>
      <c r="S728" s="7">
        <f>IF($V728="","",T728-R728)</f>
        <v/>
      </c>
      <c r="T728" s="7">
        <f>IF($V728="","",M728+P728+K728)</f>
        <v/>
      </c>
      <c r="U728" s="7">
        <f>IF($V728="","",T728-R728-I728)</f>
        <v/>
      </c>
      <c r="V728" s="13">
        <f>IF(ROWS($V$2:$V728)&lt;=MAX('Per Line'!$AH$2:$AH$6001),MATCH(ROWS($V$2:$V728),'Per Line'!$AH$2:$AH$6001,0),"")</f>
        <v/>
      </c>
    </row>
    <row r="729">
      <c r="A729" s="12" t="n"/>
      <c r="B729">
        <f>IF($V729="","",INDEX('Per Line'!$C$2:$C$6001,$V729)&amp;"")</f>
        <v/>
      </c>
      <c r="C729" s="11">
        <f>IF($V729="","",INDEX('Per Line'!$D$2:$D$6001,$V729))</f>
        <v/>
      </c>
      <c r="D729">
        <f>IF($V729="","",INDEX('Per Line'!$E$2:$E$6001,$V729)&amp;"")</f>
        <v/>
      </c>
      <c r="E729">
        <f>IF($V729="","",INDEX('Per Line'!$G$2:$G$6001,$V729)&amp;"")</f>
        <v/>
      </c>
      <c r="F729">
        <f>IF($V729="","",INDEX('Per Line'!$H$2:$H$6001,$V729)&amp;"")</f>
        <v/>
      </c>
      <c r="G729">
        <f>IF($V729="","",INDEX('Per Line'!$I$2:$I$6001,$V729)&amp;"")</f>
        <v/>
      </c>
      <c r="H729">
        <f>IF($V729="","",INDEX('Per Line'!$J$2:$J$6001,$V729))</f>
        <v/>
      </c>
      <c r="I729" s="7">
        <f>IF($V729="","",H729*S729/100)</f>
        <v/>
      </c>
      <c r="J729">
        <f>IF($V729="","",INDEX('Per Line'!$S$2:$S$6001,$V729)&amp;"")</f>
        <v/>
      </c>
      <c r="K729" s="7">
        <f>IF($V729="","",SUMIFS('Per Line'!$R$2:$R$6001,'Per Line'!$C$2:$C$6001,$B729,'Per Line'!$AJ$2:$AJ$6001,1))</f>
        <v/>
      </c>
      <c r="L729">
        <f>IF($V729="","",Settings!$C$7)</f>
        <v/>
      </c>
      <c r="M729" s="7">
        <f>IF($V729="","",SUMIFS('Per Line'!$R$2:$R$6001,'Per Line'!$C$2:$C$6001,$B729,'Per Line'!$AI$2:$AI$6001,0,'Per Line'!$AJ$2:$AJ$6001,0))</f>
        <v/>
      </c>
      <c r="N729" s="7">
        <f>IF($V729="","",M729*L729)</f>
        <v/>
      </c>
      <c r="O729">
        <f>IF($V729="","",Settings!$C$6)</f>
        <v/>
      </c>
      <c r="P729" s="7">
        <f>IF($V729="","",SUMIFS('Per Line'!$R$2:$R$6001,'Per Line'!$C$2:$C$6001,$B729,'Per Line'!$AI$2:$AI$6001,1,'Per Line'!$AJ$2:$AJ$6001,0))</f>
        <v/>
      </c>
      <c r="Q729" s="7">
        <f>IF($V729="","",P729*O729)</f>
        <v/>
      </c>
      <c r="R729" s="7">
        <f>IF($V729="","",Q729+N729)</f>
        <v/>
      </c>
      <c r="S729" s="7">
        <f>IF($V729="","",T729-R729)</f>
        <v/>
      </c>
      <c r="T729" s="7">
        <f>IF($V729="","",M729+P729+K729)</f>
        <v/>
      </c>
      <c r="U729" s="7">
        <f>IF($V729="","",T729-R729-I729)</f>
        <v/>
      </c>
      <c r="V729" s="13">
        <f>IF(ROWS($V$2:$V729)&lt;=MAX('Per Line'!$AH$2:$AH$6001),MATCH(ROWS($V$2:$V729),'Per Line'!$AH$2:$AH$6001,0),"")</f>
        <v/>
      </c>
    </row>
    <row r="730">
      <c r="A730" s="12" t="n"/>
      <c r="B730">
        <f>IF($V730="","",INDEX('Per Line'!$C$2:$C$6001,$V730)&amp;"")</f>
        <v/>
      </c>
      <c r="C730" s="11">
        <f>IF($V730="","",INDEX('Per Line'!$D$2:$D$6001,$V730))</f>
        <v/>
      </c>
      <c r="D730">
        <f>IF($V730="","",INDEX('Per Line'!$E$2:$E$6001,$V730)&amp;"")</f>
        <v/>
      </c>
      <c r="E730">
        <f>IF($V730="","",INDEX('Per Line'!$G$2:$G$6001,$V730)&amp;"")</f>
        <v/>
      </c>
      <c r="F730">
        <f>IF($V730="","",INDEX('Per Line'!$H$2:$H$6001,$V730)&amp;"")</f>
        <v/>
      </c>
      <c r="G730">
        <f>IF($V730="","",INDEX('Per Line'!$I$2:$I$6001,$V730)&amp;"")</f>
        <v/>
      </c>
      <c r="H730">
        <f>IF($V730="","",INDEX('Per Line'!$J$2:$J$6001,$V730))</f>
        <v/>
      </c>
      <c r="I730" s="7">
        <f>IF($V730="","",H730*S730/100)</f>
        <v/>
      </c>
      <c r="J730">
        <f>IF($V730="","",INDEX('Per Line'!$S$2:$S$6001,$V730)&amp;"")</f>
        <v/>
      </c>
      <c r="K730" s="7">
        <f>IF($V730="","",SUMIFS('Per Line'!$R$2:$R$6001,'Per Line'!$C$2:$C$6001,$B730,'Per Line'!$AJ$2:$AJ$6001,1))</f>
        <v/>
      </c>
      <c r="L730">
        <f>IF($V730="","",Settings!$C$7)</f>
        <v/>
      </c>
      <c r="M730" s="7">
        <f>IF($V730="","",SUMIFS('Per Line'!$R$2:$R$6001,'Per Line'!$C$2:$C$6001,$B730,'Per Line'!$AI$2:$AI$6001,0,'Per Line'!$AJ$2:$AJ$6001,0))</f>
        <v/>
      </c>
      <c r="N730" s="7">
        <f>IF($V730="","",M730*L730)</f>
        <v/>
      </c>
      <c r="O730">
        <f>IF($V730="","",Settings!$C$6)</f>
        <v/>
      </c>
      <c r="P730" s="7">
        <f>IF($V730="","",SUMIFS('Per Line'!$R$2:$R$6001,'Per Line'!$C$2:$C$6001,$B730,'Per Line'!$AI$2:$AI$6001,1,'Per Line'!$AJ$2:$AJ$6001,0))</f>
        <v/>
      </c>
      <c r="Q730" s="7">
        <f>IF($V730="","",P730*O730)</f>
        <v/>
      </c>
      <c r="R730" s="7">
        <f>IF($V730="","",Q730+N730)</f>
        <v/>
      </c>
      <c r="S730" s="7">
        <f>IF($V730="","",T730-R730)</f>
        <v/>
      </c>
      <c r="T730" s="7">
        <f>IF($V730="","",M730+P730+K730)</f>
        <v/>
      </c>
      <c r="U730" s="7">
        <f>IF($V730="","",T730-R730-I730)</f>
        <v/>
      </c>
      <c r="V730" s="13">
        <f>IF(ROWS($V$2:$V730)&lt;=MAX('Per Line'!$AH$2:$AH$6001),MATCH(ROWS($V$2:$V730),'Per Line'!$AH$2:$AH$6001,0),"")</f>
        <v/>
      </c>
    </row>
    <row r="731">
      <c r="A731" s="12" t="n"/>
      <c r="B731">
        <f>IF($V731="","",INDEX('Per Line'!$C$2:$C$6001,$V731)&amp;"")</f>
        <v/>
      </c>
      <c r="C731" s="11">
        <f>IF($V731="","",INDEX('Per Line'!$D$2:$D$6001,$V731))</f>
        <v/>
      </c>
      <c r="D731">
        <f>IF($V731="","",INDEX('Per Line'!$E$2:$E$6001,$V731)&amp;"")</f>
        <v/>
      </c>
      <c r="E731">
        <f>IF($V731="","",INDEX('Per Line'!$G$2:$G$6001,$V731)&amp;"")</f>
        <v/>
      </c>
      <c r="F731">
        <f>IF($V731="","",INDEX('Per Line'!$H$2:$H$6001,$V731)&amp;"")</f>
        <v/>
      </c>
      <c r="G731">
        <f>IF($V731="","",INDEX('Per Line'!$I$2:$I$6001,$V731)&amp;"")</f>
        <v/>
      </c>
      <c r="H731">
        <f>IF($V731="","",INDEX('Per Line'!$J$2:$J$6001,$V731))</f>
        <v/>
      </c>
      <c r="I731" s="7">
        <f>IF($V731="","",H731*S731/100)</f>
        <v/>
      </c>
      <c r="J731">
        <f>IF($V731="","",INDEX('Per Line'!$S$2:$S$6001,$V731)&amp;"")</f>
        <v/>
      </c>
      <c r="K731" s="7">
        <f>IF($V731="","",SUMIFS('Per Line'!$R$2:$R$6001,'Per Line'!$C$2:$C$6001,$B731,'Per Line'!$AJ$2:$AJ$6001,1))</f>
        <v/>
      </c>
      <c r="L731">
        <f>IF($V731="","",Settings!$C$7)</f>
        <v/>
      </c>
      <c r="M731" s="7">
        <f>IF($V731="","",SUMIFS('Per Line'!$R$2:$R$6001,'Per Line'!$C$2:$C$6001,$B731,'Per Line'!$AI$2:$AI$6001,0,'Per Line'!$AJ$2:$AJ$6001,0))</f>
        <v/>
      </c>
      <c r="N731" s="7">
        <f>IF($V731="","",M731*L731)</f>
        <v/>
      </c>
      <c r="O731">
        <f>IF($V731="","",Settings!$C$6)</f>
        <v/>
      </c>
      <c r="P731" s="7">
        <f>IF($V731="","",SUMIFS('Per Line'!$R$2:$R$6001,'Per Line'!$C$2:$C$6001,$B731,'Per Line'!$AI$2:$AI$6001,1,'Per Line'!$AJ$2:$AJ$6001,0))</f>
        <v/>
      </c>
      <c r="Q731" s="7">
        <f>IF($V731="","",P731*O731)</f>
        <v/>
      </c>
      <c r="R731" s="7">
        <f>IF($V731="","",Q731+N731)</f>
        <v/>
      </c>
      <c r="S731" s="7">
        <f>IF($V731="","",T731-R731)</f>
        <v/>
      </c>
      <c r="T731" s="7">
        <f>IF($V731="","",M731+P731+K731)</f>
        <v/>
      </c>
      <c r="U731" s="7">
        <f>IF($V731="","",T731-R731-I731)</f>
        <v/>
      </c>
      <c r="V731" s="13">
        <f>IF(ROWS($V$2:$V731)&lt;=MAX('Per Line'!$AH$2:$AH$6001),MATCH(ROWS($V$2:$V731),'Per Line'!$AH$2:$AH$6001,0),"")</f>
        <v/>
      </c>
    </row>
    <row r="732">
      <c r="A732" s="12" t="n"/>
      <c r="B732">
        <f>IF($V732="","",INDEX('Per Line'!$C$2:$C$6001,$V732)&amp;"")</f>
        <v/>
      </c>
      <c r="C732" s="11">
        <f>IF($V732="","",INDEX('Per Line'!$D$2:$D$6001,$V732))</f>
        <v/>
      </c>
      <c r="D732">
        <f>IF($V732="","",INDEX('Per Line'!$E$2:$E$6001,$V732)&amp;"")</f>
        <v/>
      </c>
      <c r="E732">
        <f>IF($V732="","",INDEX('Per Line'!$G$2:$G$6001,$V732)&amp;"")</f>
        <v/>
      </c>
      <c r="F732">
        <f>IF($V732="","",INDEX('Per Line'!$H$2:$H$6001,$V732)&amp;"")</f>
        <v/>
      </c>
      <c r="G732">
        <f>IF($V732="","",INDEX('Per Line'!$I$2:$I$6001,$V732)&amp;"")</f>
        <v/>
      </c>
      <c r="H732">
        <f>IF($V732="","",INDEX('Per Line'!$J$2:$J$6001,$V732))</f>
        <v/>
      </c>
      <c r="I732" s="7">
        <f>IF($V732="","",H732*S732/100)</f>
        <v/>
      </c>
      <c r="J732">
        <f>IF($V732="","",INDEX('Per Line'!$S$2:$S$6001,$V732)&amp;"")</f>
        <v/>
      </c>
      <c r="K732" s="7">
        <f>IF($V732="","",SUMIFS('Per Line'!$R$2:$R$6001,'Per Line'!$C$2:$C$6001,$B732,'Per Line'!$AJ$2:$AJ$6001,1))</f>
        <v/>
      </c>
      <c r="L732">
        <f>IF($V732="","",Settings!$C$7)</f>
        <v/>
      </c>
      <c r="M732" s="7">
        <f>IF($V732="","",SUMIFS('Per Line'!$R$2:$R$6001,'Per Line'!$C$2:$C$6001,$B732,'Per Line'!$AI$2:$AI$6001,0,'Per Line'!$AJ$2:$AJ$6001,0))</f>
        <v/>
      </c>
      <c r="N732" s="7">
        <f>IF($V732="","",M732*L732)</f>
        <v/>
      </c>
      <c r="O732">
        <f>IF($V732="","",Settings!$C$6)</f>
        <v/>
      </c>
      <c r="P732" s="7">
        <f>IF($V732="","",SUMIFS('Per Line'!$R$2:$R$6001,'Per Line'!$C$2:$C$6001,$B732,'Per Line'!$AI$2:$AI$6001,1,'Per Line'!$AJ$2:$AJ$6001,0))</f>
        <v/>
      </c>
      <c r="Q732" s="7">
        <f>IF($V732="","",P732*O732)</f>
        <v/>
      </c>
      <c r="R732" s="7">
        <f>IF($V732="","",Q732+N732)</f>
        <v/>
      </c>
      <c r="S732" s="7">
        <f>IF($V732="","",T732-R732)</f>
        <v/>
      </c>
      <c r="T732" s="7">
        <f>IF($V732="","",M732+P732+K732)</f>
        <v/>
      </c>
      <c r="U732" s="7">
        <f>IF($V732="","",T732-R732-I732)</f>
        <v/>
      </c>
      <c r="V732" s="13">
        <f>IF(ROWS($V$2:$V732)&lt;=MAX('Per Line'!$AH$2:$AH$6001),MATCH(ROWS($V$2:$V732),'Per Line'!$AH$2:$AH$6001,0),"")</f>
        <v/>
      </c>
    </row>
    <row r="733">
      <c r="A733" s="12" t="n"/>
      <c r="B733">
        <f>IF($V733="","",INDEX('Per Line'!$C$2:$C$6001,$V733)&amp;"")</f>
        <v/>
      </c>
      <c r="C733" s="11">
        <f>IF($V733="","",INDEX('Per Line'!$D$2:$D$6001,$V733))</f>
        <v/>
      </c>
      <c r="D733">
        <f>IF($V733="","",INDEX('Per Line'!$E$2:$E$6001,$V733)&amp;"")</f>
        <v/>
      </c>
      <c r="E733">
        <f>IF($V733="","",INDEX('Per Line'!$G$2:$G$6001,$V733)&amp;"")</f>
        <v/>
      </c>
      <c r="F733">
        <f>IF($V733="","",INDEX('Per Line'!$H$2:$H$6001,$V733)&amp;"")</f>
        <v/>
      </c>
      <c r="G733">
        <f>IF($V733="","",INDEX('Per Line'!$I$2:$I$6001,$V733)&amp;"")</f>
        <v/>
      </c>
      <c r="H733">
        <f>IF($V733="","",INDEX('Per Line'!$J$2:$J$6001,$V733))</f>
        <v/>
      </c>
      <c r="I733" s="7">
        <f>IF($V733="","",H733*S733/100)</f>
        <v/>
      </c>
      <c r="J733">
        <f>IF($V733="","",INDEX('Per Line'!$S$2:$S$6001,$V733)&amp;"")</f>
        <v/>
      </c>
      <c r="K733" s="7">
        <f>IF($V733="","",SUMIFS('Per Line'!$R$2:$R$6001,'Per Line'!$C$2:$C$6001,$B733,'Per Line'!$AJ$2:$AJ$6001,1))</f>
        <v/>
      </c>
      <c r="L733">
        <f>IF($V733="","",Settings!$C$7)</f>
        <v/>
      </c>
      <c r="M733" s="7">
        <f>IF($V733="","",SUMIFS('Per Line'!$R$2:$R$6001,'Per Line'!$C$2:$C$6001,$B733,'Per Line'!$AI$2:$AI$6001,0,'Per Line'!$AJ$2:$AJ$6001,0))</f>
        <v/>
      </c>
      <c r="N733" s="7">
        <f>IF($V733="","",M733*L733)</f>
        <v/>
      </c>
      <c r="O733">
        <f>IF($V733="","",Settings!$C$6)</f>
        <v/>
      </c>
      <c r="P733" s="7">
        <f>IF($V733="","",SUMIFS('Per Line'!$R$2:$R$6001,'Per Line'!$C$2:$C$6001,$B733,'Per Line'!$AI$2:$AI$6001,1,'Per Line'!$AJ$2:$AJ$6001,0))</f>
        <v/>
      </c>
      <c r="Q733" s="7">
        <f>IF($V733="","",P733*O733)</f>
        <v/>
      </c>
      <c r="R733" s="7">
        <f>IF($V733="","",Q733+N733)</f>
        <v/>
      </c>
      <c r="S733" s="7">
        <f>IF($V733="","",T733-R733)</f>
        <v/>
      </c>
      <c r="T733" s="7">
        <f>IF($V733="","",M733+P733+K733)</f>
        <v/>
      </c>
      <c r="U733" s="7">
        <f>IF($V733="","",T733-R733-I733)</f>
        <v/>
      </c>
      <c r="V733" s="13">
        <f>IF(ROWS($V$2:$V733)&lt;=MAX('Per Line'!$AH$2:$AH$6001),MATCH(ROWS($V$2:$V733),'Per Line'!$AH$2:$AH$6001,0),"")</f>
        <v/>
      </c>
    </row>
    <row r="734">
      <c r="A734" s="12" t="n"/>
      <c r="B734">
        <f>IF($V734="","",INDEX('Per Line'!$C$2:$C$6001,$V734)&amp;"")</f>
        <v/>
      </c>
      <c r="C734" s="11">
        <f>IF($V734="","",INDEX('Per Line'!$D$2:$D$6001,$V734))</f>
        <v/>
      </c>
      <c r="D734">
        <f>IF($V734="","",INDEX('Per Line'!$E$2:$E$6001,$V734)&amp;"")</f>
        <v/>
      </c>
      <c r="E734">
        <f>IF($V734="","",INDEX('Per Line'!$G$2:$G$6001,$V734)&amp;"")</f>
        <v/>
      </c>
      <c r="F734">
        <f>IF($V734="","",INDEX('Per Line'!$H$2:$H$6001,$V734)&amp;"")</f>
        <v/>
      </c>
      <c r="G734">
        <f>IF($V734="","",INDEX('Per Line'!$I$2:$I$6001,$V734)&amp;"")</f>
        <v/>
      </c>
      <c r="H734">
        <f>IF($V734="","",INDEX('Per Line'!$J$2:$J$6001,$V734))</f>
        <v/>
      </c>
      <c r="I734" s="7">
        <f>IF($V734="","",H734*S734/100)</f>
        <v/>
      </c>
      <c r="J734">
        <f>IF($V734="","",INDEX('Per Line'!$S$2:$S$6001,$V734)&amp;"")</f>
        <v/>
      </c>
      <c r="K734" s="7">
        <f>IF($V734="","",SUMIFS('Per Line'!$R$2:$R$6001,'Per Line'!$C$2:$C$6001,$B734,'Per Line'!$AJ$2:$AJ$6001,1))</f>
        <v/>
      </c>
      <c r="L734">
        <f>IF($V734="","",Settings!$C$7)</f>
        <v/>
      </c>
      <c r="M734" s="7">
        <f>IF($V734="","",SUMIFS('Per Line'!$R$2:$R$6001,'Per Line'!$C$2:$C$6001,$B734,'Per Line'!$AI$2:$AI$6001,0,'Per Line'!$AJ$2:$AJ$6001,0))</f>
        <v/>
      </c>
      <c r="N734" s="7">
        <f>IF($V734="","",M734*L734)</f>
        <v/>
      </c>
      <c r="O734">
        <f>IF($V734="","",Settings!$C$6)</f>
        <v/>
      </c>
      <c r="P734" s="7">
        <f>IF($V734="","",SUMIFS('Per Line'!$R$2:$R$6001,'Per Line'!$C$2:$C$6001,$B734,'Per Line'!$AI$2:$AI$6001,1,'Per Line'!$AJ$2:$AJ$6001,0))</f>
        <v/>
      </c>
      <c r="Q734" s="7">
        <f>IF($V734="","",P734*O734)</f>
        <v/>
      </c>
      <c r="R734" s="7">
        <f>IF($V734="","",Q734+N734)</f>
        <v/>
      </c>
      <c r="S734" s="7">
        <f>IF($V734="","",T734-R734)</f>
        <v/>
      </c>
      <c r="T734" s="7">
        <f>IF($V734="","",M734+P734+K734)</f>
        <v/>
      </c>
      <c r="U734" s="7">
        <f>IF($V734="","",T734-R734-I734)</f>
        <v/>
      </c>
      <c r="V734" s="13">
        <f>IF(ROWS($V$2:$V734)&lt;=MAX('Per Line'!$AH$2:$AH$6001),MATCH(ROWS($V$2:$V734),'Per Line'!$AH$2:$AH$6001,0),"")</f>
        <v/>
      </c>
    </row>
    <row r="735">
      <c r="A735" s="12" t="n"/>
      <c r="B735">
        <f>IF($V735="","",INDEX('Per Line'!$C$2:$C$6001,$V735)&amp;"")</f>
        <v/>
      </c>
      <c r="C735" s="11">
        <f>IF($V735="","",INDEX('Per Line'!$D$2:$D$6001,$V735))</f>
        <v/>
      </c>
      <c r="D735">
        <f>IF($V735="","",INDEX('Per Line'!$E$2:$E$6001,$V735)&amp;"")</f>
        <v/>
      </c>
      <c r="E735">
        <f>IF($V735="","",INDEX('Per Line'!$G$2:$G$6001,$V735)&amp;"")</f>
        <v/>
      </c>
      <c r="F735">
        <f>IF($V735="","",INDEX('Per Line'!$H$2:$H$6001,$V735)&amp;"")</f>
        <v/>
      </c>
      <c r="G735">
        <f>IF($V735="","",INDEX('Per Line'!$I$2:$I$6001,$V735)&amp;"")</f>
        <v/>
      </c>
      <c r="H735">
        <f>IF($V735="","",INDEX('Per Line'!$J$2:$J$6001,$V735))</f>
        <v/>
      </c>
      <c r="I735" s="7">
        <f>IF($V735="","",H735*S735/100)</f>
        <v/>
      </c>
      <c r="J735">
        <f>IF($V735="","",INDEX('Per Line'!$S$2:$S$6001,$V735)&amp;"")</f>
        <v/>
      </c>
      <c r="K735" s="7">
        <f>IF($V735="","",SUMIFS('Per Line'!$R$2:$R$6001,'Per Line'!$C$2:$C$6001,$B735,'Per Line'!$AJ$2:$AJ$6001,1))</f>
        <v/>
      </c>
      <c r="L735">
        <f>IF($V735="","",Settings!$C$7)</f>
        <v/>
      </c>
      <c r="M735" s="7">
        <f>IF($V735="","",SUMIFS('Per Line'!$R$2:$R$6001,'Per Line'!$C$2:$C$6001,$B735,'Per Line'!$AI$2:$AI$6001,0,'Per Line'!$AJ$2:$AJ$6001,0))</f>
        <v/>
      </c>
      <c r="N735" s="7">
        <f>IF($V735="","",M735*L735)</f>
        <v/>
      </c>
      <c r="O735">
        <f>IF($V735="","",Settings!$C$6)</f>
        <v/>
      </c>
      <c r="P735" s="7">
        <f>IF($V735="","",SUMIFS('Per Line'!$R$2:$R$6001,'Per Line'!$C$2:$C$6001,$B735,'Per Line'!$AI$2:$AI$6001,1,'Per Line'!$AJ$2:$AJ$6001,0))</f>
        <v/>
      </c>
      <c r="Q735" s="7">
        <f>IF($V735="","",P735*O735)</f>
        <v/>
      </c>
      <c r="R735" s="7">
        <f>IF($V735="","",Q735+N735)</f>
        <v/>
      </c>
      <c r="S735" s="7">
        <f>IF($V735="","",T735-R735)</f>
        <v/>
      </c>
      <c r="T735" s="7">
        <f>IF($V735="","",M735+P735+K735)</f>
        <v/>
      </c>
      <c r="U735" s="7">
        <f>IF($V735="","",T735-R735-I735)</f>
        <v/>
      </c>
      <c r="V735" s="13">
        <f>IF(ROWS($V$2:$V735)&lt;=MAX('Per Line'!$AH$2:$AH$6001),MATCH(ROWS($V$2:$V735),'Per Line'!$AH$2:$AH$6001,0),"")</f>
        <v/>
      </c>
    </row>
    <row r="736">
      <c r="A736" s="12" t="n"/>
      <c r="B736">
        <f>IF($V736="","",INDEX('Per Line'!$C$2:$C$6001,$V736)&amp;"")</f>
        <v/>
      </c>
      <c r="C736" s="11">
        <f>IF($V736="","",INDEX('Per Line'!$D$2:$D$6001,$V736))</f>
        <v/>
      </c>
      <c r="D736">
        <f>IF($V736="","",INDEX('Per Line'!$E$2:$E$6001,$V736)&amp;"")</f>
        <v/>
      </c>
      <c r="E736">
        <f>IF($V736="","",INDEX('Per Line'!$G$2:$G$6001,$V736)&amp;"")</f>
        <v/>
      </c>
      <c r="F736">
        <f>IF($V736="","",INDEX('Per Line'!$H$2:$H$6001,$V736)&amp;"")</f>
        <v/>
      </c>
      <c r="G736">
        <f>IF($V736="","",INDEX('Per Line'!$I$2:$I$6001,$V736)&amp;"")</f>
        <v/>
      </c>
      <c r="H736">
        <f>IF($V736="","",INDEX('Per Line'!$J$2:$J$6001,$V736))</f>
        <v/>
      </c>
      <c r="I736" s="7">
        <f>IF($V736="","",H736*S736/100)</f>
        <v/>
      </c>
      <c r="J736">
        <f>IF($V736="","",INDEX('Per Line'!$S$2:$S$6001,$V736)&amp;"")</f>
        <v/>
      </c>
      <c r="K736" s="7">
        <f>IF($V736="","",SUMIFS('Per Line'!$R$2:$R$6001,'Per Line'!$C$2:$C$6001,$B736,'Per Line'!$AJ$2:$AJ$6001,1))</f>
        <v/>
      </c>
      <c r="L736">
        <f>IF($V736="","",Settings!$C$7)</f>
        <v/>
      </c>
      <c r="M736" s="7">
        <f>IF($V736="","",SUMIFS('Per Line'!$R$2:$R$6001,'Per Line'!$C$2:$C$6001,$B736,'Per Line'!$AI$2:$AI$6001,0,'Per Line'!$AJ$2:$AJ$6001,0))</f>
        <v/>
      </c>
      <c r="N736" s="7">
        <f>IF($V736="","",M736*L736)</f>
        <v/>
      </c>
      <c r="O736">
        <f>IF($V736="","",Settings!$C$6)</f>
        <v/>
      </c>
      <c r="P736" s="7">
        <f>IF($V736="","",SUMIFS('Per Line'!$R$2:$R$6001,'Per Line'!$C$2:$C$6001,$B736,'Per Line'!$AI$2:$AI$6001,1,'Per Line'!$AJ$2:$AJ$6001,0))</f>
        <v/>
      </c>
      <c r="Q736" s="7">
        <f>IF($V736="","",P736*O736)</f>
        <v/>
      </c>
      <c r="R736" s="7">
        <f>IF($V736="","",Q736+N736)</f>
        <v/>
      </c>
      <c r="S736" s="7">
        <f>IF($V736="","",T736-R736)</f>
        <v/>
      </c>
      <c r="T736" s="7">
        <f>IF($V736="","",M736+P736+K736)</f>
        <v/>
      </c>
      <c r="U736" s="7">
        <f>IF($V736="","",T736-R736-I736)</f>
        <v/>
      </c>
      <c r="V736" s="13">
        <f>IF(ROWS($V$2:$V736)&lt;=MAX('Per Line'!$AH$2:$AH$6001),MATCH(ROWS($V$2:$V736),'Per Line'!$AH$2:$AH$6001,0),"")</f>
        <v/>
      </c>
    </row>
    <row r="737">
      <c r="A737" s="12" t="n"/>
      <c r="B737">
        <f>IF($V737="","",INDEX('Per Line'!$C$2:$C$6001,$V737)&amp;"")</f>
        <v/>
      </c>
      <c r="C737" s="11">
        <f>IF($V737="","",INDEX('Per Line'!$D$2:$D$6001,$V737))</f>
        <v/>
      </c>
      <c r="D737">
        <f>IF($V737="","",INDEX('Per Line'!$E$2:$E$6001,$V737)&amp;"")</f>
        <v/>
      </c>
      <c r="E737">
        <f>IF($V737="","",INDEX('Per Line'!$G$2:$G$6001,$V737)&amp;"")</f>
        <v/>
      </c>
      <c r="F737">
        <f>IF($V737="","",INDEX('Per Line'!$H$2:$H$6001,$V737)&amp;"")</f>
        <v/>
      </c>
      <c r="G737">
        <f>IF($V737="","",INDEX('Per Line'!$I$2:$I$6001,$V737)&amp;"")</f>
        <v/>
      </c>
      <c r="H737">
        <f>IF($V737="","",INDEX('Per Line'!$J$2:$J$6001,$V737))</f>
        <v/>
      </c>
      <c r="I737" s="7">
        <f>IF($V737="","",H737*S737/100)</f>
        <v/>
      </c>
      <c r="J737">
        <f>IF($V737="","",INDEX('Per Line'!$S$2:$S$6001,$V737)&amp;"")</f>
        <v/>
      </c>
      <c r="K737" s="7">
        <f>IF($V737="","",SUMIFS('Per Line'!$R$2:$R$6001,'Per Line'!$C$2:$C$6001,$B737,'Per Line'!$AJ$2:$AJ$6001,1))</f>
        <v/>
      </c>
      <c r="L737">
        <f>IF($V737="","",Settings!$C$7)</f>
        <v/>
      </c>
      <c r="M737" s="7">
        <f>IF($V737="","",SUMIFS('Per Line'!$R$2:$R$6001,'Per Line'!$C$2:$C$6001,$B737,'Per Line'!$AI$2:$AI$6001,0,'Per Line'!$AJ$2:$AJ$6001,0))</f>
        <v/>
      </c>
      <c r="N737" s="7">
        <f>IF($V737="","",M737*L737)</f>
        <v/>
      </c>
      <c r="O737">
        <f>IF($V737="","",Settings!$C$6)</f>
        <v/>
      </c>
      <c r="P737" s="7">
        <f>IF($V737="","",SUMIFS('Per Line'!$R$2:$R$6001,'Per Line'!$C$2:$C$6001,$B737,'Per Line'!$AI$2:$AI$6001,1,'Per Line'!$AJ$2:$AJ$6001,0))</f>
        <v/>
      </c>
      <c r="Q737" s="7">
        <f>IF($V737="","",P737*O737)</f>
        <v/>
      </c>
      <c r="R737" s="7">
        <f>IF($V737="","",Q737+N737)</f>
        <v/>
      </c>
      <c r="S737" s="7">
        <f>IF($V737="","",T737-R737)</f>
        <v/>
      </c>
      <c r="T737" s="7">
        <f>IF($V737="","",M737+P737+K737)</f>
        <v/>
      </c>
      <c r="U737" s="7">
        <f>IF($V737="","",T737-R737-I737)</f>
        <v/>
      </c>
      <c r="V737" s="13">
        <f>IF(ROWS($V$2:$V737)&lt;=MAX('Per Line'!$AH$2:$AH$6001),MATCH(ROWS($V$2:$V737),'Per Line'!$AH$2:$AH$6001,0),"")</f>
        <v/>
      </c>
    </row>
    <row r="738">
      <c r="A738" s="12" t="n"/>
      <c r="B738">
        <f>IF($V738="","",INDEX('Per Line'!$C$2:$C$6001,$V738)&amp;"")</f>
        <v/>
      </c>
      <c r="C738" s="11">
        <f>IF($V738="","",INDEX('Per Line'!$D$2:$D$6001,$V738))</f>
        <v/>
      </c>
      <c r="D738">
        <f>IF($V738="","",INDEX('Per Line'!$E$2:$E$6001,$V738)&amp;"")</f>
        <v/>
      </c>
      <c r="E738">
        <f>IF($V738="","",INDEX('Per Line'!$G$2:$G$6001,$V738)&amp;"")</f>
        <v/>
      </c>
      <c r="F738">
        <f>IF($V738="","",INDEX('Per Line'!$H$2:$H$6001,$V738)&amp;"")</f>
        <v/>
      </c>
      <c r="G738">
        <f>IF($V738="","",INDEX('Per Line'!$I$2:$I$6001,$V738)&amp;"")</f>
        <v/>
      </c>
      <c r="H738">
        <f>IF($V738="","",INDEX('Per Line'!$J$2:$J$6001,$V738))</f>
        <v/>
      </c>
      <c r="I738" s="7">
        <f>IF($V738="","",H738*S738/100)</f>
        <v/>
      </c>
      <c r="J738">
        <f>IF($V738="","",INDEX('Per Line'!$S$2:$S$6001,$V738)&amp;"")</f>
        <v/>
      </c>
      <c r="K738" s="7">
        <f>IF($V738="","",SUMIFS('Per Line'!$R$2:$R$6001,'Per Line'!$C$2:$C$6001,$B738,'Per Line'!$AJ$2:$AJ$6001,1))</f>
        <v/>
      </c>
      <c r="L738">
        <f>IF($V738="","",Settings!$C$7)</f>
        <v/>
      </c>
      <c r="M738" s="7">
        <f>IF($V738="","",SUMIFS('Per Line'!$R$2:$R$6001,'Per Line'!$C$2:$C$6001,$B738,'Per Line'!$AI$2:$AI$6001,0,'Per Line'!$AJ$2:$AJ$6001,0))</f>
        <v/>
      </c>
      <c r="N738" s="7">
        <f>IF($V738="","",M738*L738)</f>
        <v/>
      </c>
      <c r="O738">
        <f>IF($V738="","",Settings!$C$6)</f>
        <v/>
      </c>
      <c r="P738" s="7">
        <f>IF($V738="","",SUMIFS('Per Line'!$R$2:$R$6001,'Per Line'!$C$2:$C$6001,$B738,'Per Line'!$AI$2:$AI$6001,1,'Per Line'!$AJ$2:$AJ$6001,0))</f>
        <v/>
      </c>
      <c r="Q738" s="7">
        <f>IF($V738="","",P738*O738)</f>
        <v/>
      </c>
      <c r="R738" s="7">
        <f>IF($V738="","",Q738+N738)</f>
        <v/>
      </c>
      <c r="S738" s="7">
        <f>IF($V738="","",T738-R738)</f>
        <v/>
      </c>
      <c r="T738" s="7">
        <f>IF($V738="","",M738+P738+K738)</f>
        <v/>
      </c>
      <c r="U738" s="7">
        <f>IF($V738="","",T738-R738-I738)</f>
        <v/>
      </c>
      <c r="V738" s="13">
        <f>IF(ROWS($V$2:$V738)&lt;=MAX('Per Line'!$AH$2:$AH$6001),MATCH(ROWS($V$2:$V738),'Per Line'!$AH$2:$AH$6001,0),"")</f>
        <v/>
      </c>
    </row>
    <row r="739">
      <c r="A739" s="12" t="n"/>
      <c r="B739">
        <f>IF($V739="","",INDEX('Per Line'!$C$2:$C$6001,$V739)&amp;"")</f>
        <v/>
      </c>
      <c r="C739" s="11">
        <f>IF($V739="","",INDEX('Per Line'!$D$2:$D$6001,$V739))</f>
        <v/>
      </c>
      <c r="D739">
        <f>IF($V739="","",INDEX('Per Line'!$E$2:$E$6001,$V739)&amp;"")</f>
        <v/>
      </c>
      <c r="E739">
        <f>IF($V739="","",INDEX('Per Line'!$G$2:$G$6001,$V739)&amp;"")</f>
        <v/>
      </c>
      <c r="F739">
        <f>IF($V739="","",INDEX('Per Line'!$H$2:$H$6001,$V739)&amp;"")</f>
        <v/>
      </c>
      <c r="G739">
        <f>IF($V739="","",INDEX('Per Line'!$I$2:$I$6001,$V739)&amp;"")</f>
        <v/>
      </c>
      <c r="H739">
        <f>IF($V739="","",INDEX('Per Line'!$J$2:$J$6001,$V739))</f>
        <v/>
      </c>
      <c r="I739" s="7">
        <f>IF($V739="","",H739*S739/100)</f>
        <v/>
      </c>
      <c r="J739">
        <f>IF($V739="","",INDEX('Per Line'!$S$2:$S$6001,$V739)&amp;"")</f>
        <v/>
      </c>
      <c r="K739" s="7">
        <f>IF($V739="","",SUMIFS('Per Line'!$R$2:$R$6001,'Per Line'!$C$2:$C$6001,$B739,'Per Line'!$AJ$2:$AJ$6001,1))</f>
        <v/>
      </c>
      <c r="L739">
        <f>IF($V739="","",Settings!$C$7)</f>
        <v/>
      </c>
      <c r="M739" s="7">
        <f>IF($V739="","",SUMIFS('Per Line'!$R$2:$R$6001,'Per Line'!$C$2:$C$6001,$B739,'Per Line'!$AI$2:$AI$6001,0,'Per Line'!$AJ$2:$AJ$6001,0))</f>
        <v/>
      </c>
      <c r="N739" s="7">
        <f>IF($V739="","",M739*L739)</f>
        <v/>
      </c>
      <c r="O739">
        <f>IF($V739="","",Settings!$C$6)</f>
        <v/>
      </c>
      <c r="P739" s="7">
        <f>IF($V739="","",SUMIFS('Per Line'!$R$2:$R$6001,'Per Line'!$C$2:$C$6001,$B739,'Per Line'!$AI$2:$AI$6001,1,'Per Line'!$AJ$2:$AJ$6001,0))</f>
        <v/>
      </c>
      <c r="Q739" s="7">
        <f>IF($V739="","",P739*O739)</f>
        <v/>
      </c>
      <c r="R739" s="7">
        <f>IF($V739="","",Q739+N739)</f>
        <v/>
      </c>
      <c r="S739" s="7">
        <f>IF($V739="","",T739-R739)</f>
        <v/>
      </c>
      <c r="T739" s="7">
        <f>IF($V739="","",M739+P739+K739)</f>
        <v/>
      </c>
      <c r="U739" s="7">
        <f>IF($V739="","",T739-R739-I739)</f>
        <v/>
      </c>
      <c r="V739" s="13">
        <f>IF(ROWS($V$2:$V739)&lt;=MAX('Per Line'!$AH$2:$AH$6001),MATCH(ROWS($V$2:$V739),'Per Line'!$AH$2:$AH$6001,0),"")</f>
        <v/>
      </c>
    </row>
    <row r="740">
      <c r="A740" s="12" t="n"/>
      <c r="B740">
        <f>IF($V740="","",INDEX('Per Line'!$C$2:$C$6001,$V740)&amp;"")</f>
        <v/>
      </c>
      <c r="C740" s="11">
        <f>IF($V740="","",INDEX('Per Line'!$D$2:$D$6001,$V740))</f>
        <v/>
      </c>
      <c r="D740">
        <f>IF($V740="","",INDEX('Per Line'!$E$2:$E$6001,$V740)&amp;"")</f>
        <v/>
      </c>
      <c r="E740">
        <f>IF($V740="","",INDEX('Per Line'!$G$2:$G$6001,$V740)&amp;"")</f>
        <v/>
      </c>
      <c r="F740">
        <f>IF($V740="","",INDEX('Per Line'!$H$2:$H$6001,$V740)&amp;"")</f>
        <v/>
      </c>
      <c r="G740">
        <f>IF($V740="","",INDEX('Per Line'!$I$2:$I$6001,$V740)&amp;"")</f>
        <v/>
      </c>
      <c r="H740">
        <f>IF($V740="","",INDEX('Per Line'!$J$2:$J$6001,$V740))</f>
        <v/>
      </c>
      <c r="I740" s="7">
        <f>IF($V740="","",H740*S740/100)</f>
        <v/>
      </c>
      <c r="J740">
        <f>IF($V740="","",INDEX('Per Line'!$S$2:$S$6001,$V740)&amp;"")</f>
        <v/>
      </c>
      <c r="K740" s="7">
        <f>IF($V740="","",SUMIFS('Per Line'!$R$2:$R$6001,'Per Line'!$C$2:$C$6001,$B740,'Per Line'!$AJ$2:$AJ$6001,1))</f>
        <v/>
      </c>
      <c r="L740">
        <f>IF($V740="","",Settings!$C$7)</f>
        <v/>
      </c>
      <c r="M740" s="7">
        <f>IF($V740="","",SUMIFS('Per Line'!$R$2:$R$6001,'Per Line'!$C$2:$C$6001,$B740,'Per Line'!$AI$2:$AI$6001,0,'Per Line'!$AJ$2:$AJ$6001,0))</f>
        <v/>
      </c>
      <c r="N740" s="7">
        <f>IF($V740="","",M740*L740)</f>
        <v/>
      </c>
      <c r="O740">
        <f>IF($V740="","",Settings!$C$6)</f>
        <v/>
      </c>
      <c r="P740" s="7">
        <f>IF($V740="","",SUMIFS('Per Line'!$R$2:$R$6001,'Per Line'!$C$2:$C$6001,$B740,'Per Line'!$AI$2:$AI$6001,1,'Per Line'!$AJ$2:$AJ$6001,0))</f>
        <v/>
      </c>
      <c r="Q740" s="7">
        <f>IF($V740="","",P740*O740)</f>
        <v/>
      </c>
      <c r="R740" s="7">
        <f>IF($V740="","",Q740+N740)</f>
        <v/>
      </c>
      <c r="S740" s="7">
        <f>IF($V740="","",T740-R740)</f>
        <v/>
      </c>
      <c r="T740" s="7">
        <f>IF($V740="","",M740+P740+K740)</f>
        <v/>
      </c>
      <c r="U740" s="7">
        <f>IF($V740="","",T740-R740-I740)</f>
        <v/>
      </c>
      <c r="V740" s="13">
        <f>IF(ROWS($V$2:$V740)&lt;=MAX('Per Line'!$AH$2:$AH$6001),MATCH(ROWS($V$2:$V740),'Per Line'!$AH$2:$AH$6001,0),"")</f>
        <v/>
      </c>
    </row>
    <row r="741">
      <c r="A741" s="12" t="n"/>
      <c r="B741">
        <f>IF($V741="","",INDEX('Per Line'!$C$2:$C$6001,$V741)&amp;"")</f>
        <v/>
      </c>
      <c r="C741" s="11">
        <f>IF($V741="","",INDEX('Per Line'!$D$2:$D$6001,$V741))</f>
        <v/>
      </c>
      <c r="D741">
        <f>IF($V741="","",INDEX('Per Line'!$E$2:$E$6001,$V741)&amp;"")</f>
        <v/>
      </c>
      <c r="E741">
        <f>IF($V741="","",INDEX('Per Line'!$G$2:$G$6001,$V741)&amp;"")</f>
        <v/>
      </c>
      <c r="F741">
        <f>IF($V741="","",INDEX('Per Line'!$H$2:$H$6001,$V741)&amp;"")</f>
        <v/>
      </c>
      <c r="G741">
        <f>IF($V741="","",INDEX('Per Line'!$I$2:$I$6001,$V741)&amp;"")</f>
        <v/>
      </c>
      <c r="H741">
        <f>IF($V741="","",INDEX('Per Line'!$J$2:$J$6001,$V741))</f>
        <v/>
      </c>
      <c r="I741" s="7">
        <f>IF($V741="","",H741*S741/100)</f>
        <v/>
      </c>
      <c r="J741">
        <f>IF($V741="","",INDEX('Per Line'!$S$2:$S$6001,$V741)&amp;"")</f>
        <v/>
      </c>
      <c r="K741" s="7">
        <f>IF($V741="","",SUMIFS('Per Line'!$R$2:$R$6001,'Per Line'!$C$2:$C$6001,$B741,'Per Line'!$AJ$2:$AJ$6001,1))</f>
        <v/>
      </c>
      <c r="L741">
        <f>IF($V741="","",Settings!$C$7)</f>
        <v/>
      </c>
      <c r="M741" s="7">
        <f>IF($V741="","",SUMIFS('Per Line'!$R$2:$R$6001,'Per Line'!$C$2:$C$6001,$B741,'Per Line'!$AI$2:$AI$6001,0,'Per Line'!$AJ$2:$AJ$6001,0))</f>
        <v/>
      </c>
      <c r="N741" s="7">
        <f>IF($V741="","",M741*L741)</f>
        <v/>
      </c>
      <c r="O741">
        <f>IF($V741="","",Settings!$C$6)</f>
        <v/>
      </c>
      <c r="P741" s="7">
        <f>IF($V741="","",SUMIFS('Per Line'!$R$2:$R$6001,'Per Line'!$C$2:$C$6001,$B741,'Per Line'!$AI$2:$AI$6001,1,'Per Line'!$AJ$2:$AJ$6001,0))</f>
        <v/>
      </c>
      <c r="Q741" s="7">
        <f>IF($V741="","",P741*O741)</f>
        <v/>
      </c>
      <c r="R741" s="7">
        <f>IF($V741="","",Q741+N741)</f>
        <v/>
      </c>
      <c r="S741" s="7">
        <f>IF($V741="","",T741-R741)</f>
        <v/>
      </c>
      <c r="T741" s="7">
        <f>IF($V741="","",M741+P741+K741)</f>
        <v/>
      </c>
      <c r="U741" s="7">
        <f>IF($V741="","",T741-R741-I741)</f>
        <v/>
      </c>
      <c r="V741" s="13">
        <f>IF(ROWS($V$2:$V741)&lt;=MAX('Per Line'!$AH$2:$AH$6001),MATCH(ROWS($V$2:$V741),'Per Line'!$AH$2:$AH$6001,0),"")</f>
        <v/>
      </c>
    </row>
    <row r="742">
      <c r="A742" s="12" t="n"/>
      <c r="B742">
        <f>IF($V742="","",INDEX('Per Line'!$C$2:$C$6001,$V742)&amp;"")</f>
        <v/>
      </c>
      <c r="C742" s="11">
        <f>IF($V742="","",INDEX('Per Line'!$D$2:$D$6001,$V742))</f>
        <v/>
      </c>
      <c r="D742">
        <f>IF($V742="","",INDEX('Per Line'!$E$2:$E$6001,$V742)&amp;"")</f>
        <v/>
      </c>
      <c r="E742">
        <f>IF($V742="","",INDEX('Per Line'!$G$2:$G$6001,$V742)&amp;"")</f>
        <v/>
      </c>
      <c r="F742">
        <f>IF($V742="","",INDEX('Per Line'!$H$2:$H$6001,$V742)&amp;"")</f>
        <v/>
      </c>
      <c r="G742">
        <f>IF($V742="","",INDEX('Per Line'!$I$2:$I$6001,$V742)&amp;"")</f>
        <v/>
      </c>
      <c r="H742">
        <f>IF($V742="","",INDEX('Per Line'!$J$2:$J$6001,$V742))</f>
        <v/>
      </c>
      <c r="I742" s="7">
        <f>IF($V742="","",H742*S742/100)</f>
        <v/>
      </c>
      <c r="J742">
        <f>IF($V742="","",INDEX('Per Line'!$S$2:$S$6001,$V742)&amp;"")</f>
        <v/>
      </c>
      <c r="K742" s="7">
        <f>IF($V742="","",SUMIFS('Per Line'!$R$2:$R$6001,'Per Line'!$C$2:$C$6001,$B742,'Per Line'!$AJ$2:$AJ$6001,1))</f>
        <v/>
      </c>
      <c r="L742">
        <f>IF($V742="","",Settings!$C$7)</f>
        <v/>
      </c>
      <c r="M742" s="7">
        <f>IF($V742="","",SUMIFS('Per Line'!$R$2:$R$6001,'Per Line'!$C$2:$C$6001,$B742,'Per Line'!$AI$2:$AI$6001,0,'Per Line'!$AJ$2:$AJ$6001,0))</f>
        <v/>
      </c>
      <c r="N742" s="7">
        <f>IF($V742="","",M742*L742)</f>
        <v/>
      </c>
      <c r="O742">
        <f>IF($V742="","",Settings!$C$6)</f>
        <v/>
      </c>
      <c r="P742" s="7">
        <f>IF($V742="","",SUMIFS('Per Line'!$R$2:$R$6001,'Per Line'!$C$2:$C$6001,$B742,'Per Line'!$AI$2:$AI$6001,1,'Per Line'!$AJ$2:$AJ$6001,0))</f>
        <v/>
      </c>
      <c r="Q742" s="7">
        <f>IF($V742="","",P742*O742)</f>
        <v/>
      </c>
      <c r="R742" s="7">
        <f>IF($V742="","",Q742+N742)</f>
        <v/>
      </c>
      <c r="S742" s="7">
        <f>IF($V742="","",T742-R742)</f>
        <v/>
      </c>
      <c r="T742" s="7">
        <f>IF($V742="","",M742+P742+K742)</f>
        <v/>
      </c>
      <c r="U742" s="7">
        <f>IF($V742="","",T742-R742-I742)</f>
        <v/>
      </c>
      <c r="V742" s="13">
        <f>IF(ROWS($V$2:$V742)&lt;=MAX('Per Line'!$AH$2:$AH$6001),MATCH(ROWS($V$2:$V742),'Per Line'!$AH$2:$AH$6001,0),"")</f>
        <v/>
      </c>
    </row>
    <row r="743">
      <c r="A743" s="12" t="n"/>
      <c r="B743">
        <f>IF($V743="","",INDEX('Per Line'!$C$2:$C$6001,$V743)&amp;"")</f>
        <v/>
      </c>
      <c r="C743" s="11">
        <f>IF($V743="","",INDEX('Per Line'!$D$2:$D$6001,$V743))</f>
        <v/>
      </c>
      <c r="D743">
        <f>IF($V743="","",INDEX('Per Line'!$E$2:$E$6001,$V743)&amp;"")</f>
        <v/>
      </c>
      <c r="E743">
        <f>IF($V743="","",INDEX('Per Line'!$G$2:$G$6001,$V743)&amp;"")</f>
        <v/>
      </c>
      <c r="F743">
        <f>IF($V743="","",INDEX('Per Line'!$H$2:$H$6001,$V743)&amp;"")</f>
        <v/>
      </c>
      <c r="G743">
        <f>IF($V743="","",INDEX('Per Line'!$I$2:$I$6001,$V743)&amp;"")</f>
        <v/>
      </c>
      <c r="H743">
        <f>IF($V743="","",INDEX('Per Line'!$J$2:$J$6001,$V743))</f>
        <v/>
      </c>
      <c r="I743" s="7">
        <f>IF($V743="","",H743*S743/100)</f>
        <v/>
      </c>
      <c r="J743">
        <f>IF($V743="","",INDEX('Per Line'!$S$2:$S$6001,$V743)&amp;"")</f>
        <v/>
      </c>
      <c r="K743" s="7">
        <f>IF($V743="","",SUMIFS('Per Line'!$R$2:$R$6001,'Per Line'!$C$2:$C$6001,$B743,'Per Line'!$AJ$2:$AJ$6001,1))</f>
        <v/>
      </c>
      <c r="L743">
        <f>IF($V743="","",Settings!$C$7)</f>
        <v/>
      </c>
      <c r="M743" s="7">
        <f>IF($V743="","",SUMIFS('Per Line'!$R$2:$R$6001,'Per Line'!$C$2:$C$6001,$B743,'Per Line'!$AI$2:$AI$6001,0,'Per Line'!$AJ$2:$AJ$6001,0))</f>
        <v/>
      </c>
      <c r="N743" s="7">
        <f>IF($V743="","",M743*L743)</f>
        <v/>
      </c>
      <c r="O743">
        <f>IF($V743="","",Settings!$C$6)</f>
        <v/>
      </c>
      <c r="P743" s="7">
        <f>IF($V743="","",SUMIFS('Per Line'!$R$2:$R$6001,'Per Line'!$C$2:$C$6001,$B743,'Per Line'!$AI$2:$AI$6001,1,'Per Line'!$AJ$2:$AJ$6001,0))</f>
        <v/>
      </c>
      <c r="Q743" s="7">
        <f>IF($V743="","",P743*O743)</f>
        <v/>
      </c>
      <c r="R743" s="7">
        <f>IF($V743="","",Q743+N743)</f>
        <v/>
      </c>
      <c r="S743" s="7">
        <f>IF($V743="","",T743-R743)</f>
        <v/>
      </c>
      <c r="T743" s="7">
        <f>IF($V743="","",M743+P743+K743)</f>
        <v/>
      </c>
      <c r="U743" s="7">
        <f>IF($V743="","",T743-R743-I743)</f>
        <v/>
      </c>
      <c r="V743" s="13">
        <f>IF(ROWS($V$2:$V743)&lt;=MAX('Per Line'!$AH$2:$AH$6001),MATCH(ROWS($V$2:$V743),'Per Line'!$AH$2:$AH$6001,0),"")</f>
        <v/>
      </c>
    </row>
    <row r="744">
      <c r="A744" s="12" t="n"/>
      <c r="B744">
        <f>IF($V744="","",INDEX('Per Line'!$C$2:$C$6001,$V744)&amp;"")</f>
        <v/>
      </c>
      <c r="C744" s="11">
        <f>IF($V744="","",INDEX('Per Line'!$D$2:$D$6001,$V744))</f>
        <v/>
      </c>
      <c r="D744">
        <f>IF($V744="","",INDEX('Per Line'!$E$2:$E$6001,$V744)&amp;"")</f>
        <v/>
      </c>
      <c r="E744">
        <f>IF($V744="","",INDEX('Per Line'!$G$2:$G$6001,$V744)&amp;"")</f>
        <v/>
      </c>
      <c r="F744">
        <f>IF($V744="","",INDEX('Per Line'!$H$2:$H$6001,$V744)&amp;"")</f>
        <v/>
      </c>
      <c r="G744">
        <f>IF($V744="","",INDEX('Per Line'!$I$2:$I$6001,$V744)&amp;"")</f>
        <v/>
      </c>
      <c r="H744">
        <f>IF($V744="","",INDEX('Per Line'!$J$2:$J$6001,$V744))</f>
        <v/>
      </c>
      <c r="I744" s="7">
        <f>IF($V744="","",H744*S744/100)</f>
        <v/>
      </c>
      <c r="J744">
        <f>IF($V744="","",INDEX('Per Line'!$S$2:$S$6001,$V744)&amp;"")</f>
        <v/>
      </c>
      <c r="K744" s="7">
        <f>IF($V744="","",SUMIFS('Per Line'!$R$2:$R$6001,'Per Line'!$C$2:$C$6001,$B744,'Per Line'!$AJ$2:$AJ$6001,1))</f>
        <v/>
      </c>
      <c r="L744">
        <f>IF($V744="","",Settings!$C$7)</f>
        <v/>
      </c>
      <c r="M744" s="7">
        <f>IF($V744="","",SUMIFS('Per Line'!$R$2:$R$6001,'Per Line'!$C$2:$C$6001,$B744,'Per Line'!$AI$2:$AI$6001,0,'Per Line'!$AJ$2:$AJ$6001,0))</f>
        <v/>
      </c>
      <c r="N744" s="7">
        <f>IF($V744="","",M744*L744)</f>
        <v/>
      </c>
      <c r="O744">
        <f>IF($V744="","",Settings!$C$6)</f>
        <v/>
      </c>
      <c r="P744" s="7">
        <f>IF($V744="","",SUMIFS('Per Line'!$R$2:$R$6001,'Per Line'!$C$2:$C$6001,$B744,'Per Line'!$AI$2:$AI$6001,1,'Per Line'!$AJ$2:$AJ$6001,0))</f>
        <v/>
      </c>
      <c r="Q744" s="7">
        <f>IF($V744="","",P744*O744)</f>
        <v/>
      </c>
      <c r="R744" s="7">
        <f>IF($V744="","",Q744+N744)</f>
        <v/>
      </c>
      <c r="S744" s="7">
        <f>IF($V744="","",T744-R744)</f>
        <v/>
      </c>
      <c r="T744" s="7">
        <f>IF($V744="","",M744+P744+K744)</f>
        <v/>
      </c>
      <c r="U744" s="7">
        <f>IF($V744="","",T744-R744-I744)</f>
        <v/>
      </c>
      <c r="V744" s="13">
        <f>IF(ROWS($V$2:$V744)&lt;=MAX('Per Line'!$AH$2:$AH$6001),MATCH(ROWS($V$2:$V744),'Per Line'!$AH$2:$AH$6001,0),"")</f>
        <v/>
      </c>
    </row>
    <row r="745">
      <c r="A745" s="12" t="n"/>
      <c r="B745">
        <f>IF($V745="","",INDEX('Per Line'!$C$2:$C$6001,$V745)&amp;"")</f>
        <v/>
      </c>
      <c r="C745" s="11">
        <f>IF($V745="","",INDEX('Per Line'!$D$2:$D$6001,$V745))</f>
        <v/>
      </c>
      <c r="D745">
        <f>IF($V745="","",INDEX('Per Line'!$E$2:$E$6001,$V745)&amp;"")</f>
        <v/>
      </c>
      <c r="E745">
        <f>IF($V745="","",INDEX('Per Line'!$G$2:$G$6001,$V745)&amp;"")</f>
        <v/>
      </c>
      <c r="F745">
        <f>IF($V745="","",INDEX('Per Line'!$H$2:$H$6001,$V745)&amp;"")</f>
        <v/>
      </c>
      <c r="G745">
        <f>IF($V745="","",INDEX('Per Line'!$I$2:$I$6001,$V745)&amp;"")</f>
        <v/>
      </c>
      <c r="H745">
        <f>IF($V745="","",INDEX('Per Line'!$J$2:$J$6001,$V745))</f>
        <v/>
      </c>
      <c r="I745" s="7">
        <f>IF($V745="","",H745*S745/100)</f>
        <v/>
      </c>
      <c r="J745">
        <f>IF($V745="","",INDEX('Per Line'!$S$2:$S$6001,$V745)&amp;"")</f>
        <v/>
      </c>
      <c r="K745" s="7">
        <f>IF($V745="","",SUMIFS('Per Line'!$R$2:$R$6001,'Per Line'!$C$2:$C$6001,$B745,'Per Line'!$AJ$2:$AJ$6001,1))</f>
        <v/>
      </c>
      <c r="L745">
        <f>IF($V745="","",Settings!$C$7)</f>
        <v/>
      </c>
      <c r="M745" s="7">
        <f>IF($V745="","",SUMIFS('Per Line'!$R$2:$R$6001,'Per Line'!$C$2:$C$6001,$B745,'Per Line'!$AI$2:$AI$6001,0,'Per Line'!$AJ$2:$AJ$6001,0))</f>
        <v/>
      </c>
      <c r="N745" s="7">
        <f>IF($V745="","",M745*L745)</f>
        <v/>
      </c>
      <c r="O745">
        <f>IF($V745="","",Settings!$C$6)</f>
        <v/>
      </c>
      <c r="P745" s="7">
        <f>IF($V745="","",SUMIFS('Per Line'!$R$2:$R$6001,'Per Line'!$C$2:$C$6001,$B745,'Per Line'!$AI$2:$AI$6001,1,'Per Line'!$AJ$2:$AJ$6001,0))</f>
        <v/>
      </c>
      <c r="Q745" s="7">
        <f>IF($V745="","",P745*O745)</f>
        <v/>
      </c>
      <c r="R745" s="7">
        <f>IF($V745="","",Q745+N745)</f>
        <v/>
      </c>
      <c r="S745" s="7">
        <f>IF($V745="","",T745-R745)</f>
        <v/>
      </c>
      <c r="T745" s="7">
        <f>IF($V745="","",M745+P745+K745)</f>
        <v/>
      </c>
      <c r="U745" s="7">
        <f>IF($V745="","",T745-R745-I745)</f>
        <v/>
      </c>
      <c r="V745" s="13">
        <f>IF(ROWS($V$2:$V745)&lt;=MAX('Per Line'!$AH$2:$AH$6001),MATCH(ROWS($V$2:$V745),'Per Line'!$AH$2:$AH$6001,0),"")</f>
        <v/>
      </c>
    </row>
    <row r="746">
      <c r="A746" s="12" t="n"/>
      <c r="B746">
        <f>IF($V746="","",INDEX('Per Line'!$C$2:$C$6001,$V746)&amp;"")</f>
        <v/>
      </c>
      <c r="C746" s="11">
        <f>IF($V746="","",INDEX('Per Line'!$D$2:$D$6001,$V746))</f>
        <v/>
      </c>
      <c r="D746">
        <f>IF($V746="","",INDEX('Per Line'!$E$2:$E$6001,$V746)&amp;"")</f>
        <v/>
      </c>
      <c r="E746">
        <f>IF($V746="","",INDEX('Per Line'!$G$2:$G$6001,$V746)&amp;"")</f>
        <v/>
      </c>
      <c r="F746">
        <f>IF($V746="","",INDEX('Per Line'!$H$2:$H$6001,$V746)&amp;"")</f>
        <v/>
      </c>
      <c r="G746">
        <f>IF($V746="","",INDEX('Per Line'!$I$2:$I$6001,$V746)&amp;"")</f>
        <v/>
      </c>
      <c r="H746">
        <f>IF($V746="","",INDEX('Per Line'!$J$2:$J$6001,$V746))</f>
        <v/>
      </c>
      <c r="I746" s="7">
        <f>IF($V746="","",H746*S746/100)</f>
        <v/>
      </c>
      <c r="J746">
        <f>IF($V746="","",INDEX('Per Line'!$S$2:$S$6001,$V746)&amp;"")</f>
        <v/>
      </c>
      <c r="K746" s="7">
        <f>IF($V746="","",SUMIFS('Per Line'!$R$2:$R$6001,'Per Line'!$C$2:$C$6001,$B746,'Per Line'!$AJ$2:$AJ$6001,1))</f>
        <v/>
      </c>
      <c r="L746">
        <f>IF($V746="","",Settings!$C$7)</f>
        <v/>
      </c>
      <c r="M746" s="7">
        <f>IF($V746="","",SUMIFS('Per Line'!$R$2:$R$6001,'Per Line'!$C$2:$C$6001,$B746,'Per Line'!$AI$2:$AI$6001,0,'Per Line'!$AJ$2:$AJ$6001,0))</f>
        <v/>
      </c>
      <c r="N746" s="7">
        <f>IF($V746="","",M746*L746)</f>
        <v/>
      </c>
      <c r="O746">
        <f>IF($V746="","",Settings!$C$6)</f>
        <v/>
      </c>
      <c r="P746" s="7">
        <f>IF($V746="","",SUMIFS('Per Line'!$R$2:$R$6001,'Per Line'!$C$2:$C$6001,$B746,'Per Line'!$AI$2:$AI$6001,1,'Per Line'!$AJ$2:$AJ$6001,0))</f>
        <v/>
      </c>
      <c r="Q746" s="7">
        <f>IF($V746="","",P746*O746)</f>
        <v/>
      </c>
      <c r="R746" s="7">
        <f>IF($V746="","",Q746+N746)</f>
        <v/>
      </c>
      <c r="S746" s="7">
        <f>IF($V746="","",T746-R746)</f>
        <v/>
      </c>
      <c r="T746" s="7">
        <f>IF($V746="","",M746+P746+K746)</f>
        <v/>
      </c>
      <c r="U746" s="7">
        <f>IF($V746="","",T746-R746-I746)</f>
        <v/>
      </c>
      <c r="V746" s="13">
        <f>IF(ROWS($V$2:$V746)&lt;=MAX('Per Line'!$AH$2:$AH$6001),MATCH(ROWS($V$2:$V746),'Per Line'!$AH$2:$AH$6001,0),"")</f>
        <v/>
      </c>
    </row>
    <row r="747">
      <c r="A747" s="12" t="n"/>
      <c r="B747">
        <f>IF($V747="","",INDEX('Per Line'!$C$2:$C$6001,$V747)&amp;"")</f>
        <v/>
      </c>
      <c r="C747" s="11">
        <f>IF($V747="","",INDEX('Per Line'!$D$2:$D$6001,$V747))</f>
        <v/>
      </c>
      <c r="D747">
        <f>IF($V747="","",INDEX('Per Line'!$E$2:$E$6001,$V747)&amp;"")</f>
        <v/>
      </c>
      <c r="E747">
        <f>IF($V747="","",INDEX('Per Line'!$G$2:$G$6001,$V747)&amp;"")</f>
        <v/>
      </c>
      <c r="F747">
        <f>IF($V747="","",INDEX('Per Line'!$H$2:$H$6001,$V747)&amp;"")</f>
        <v/>
      </c>
      <c r="G747">
        <f>IF($V747="","",INDEX('Per Line'!$I$2:$I$6001,$V747)&amp;"")</f>
        <v/>
      </c>
      <c r="H747">
        <f>IF($V747="","",INDEX('Per Line'!$J$2:$J$6001,$V747))</f>
        <v/>
      </c>
      <c r="I747" s="7">
        <f>IF($V747="","",H747*S747/100)</f>
        <v/>
      </c>
      <c r="J747">
        <f>IF($V747="","",INDEX('Per Line'!$S$2:$S$6001,$V747)&amp;"")</f>
        <v/>
      </c>
      <c r="K747" s="7">
        <f>IF($V747="","",SUMIFS('Per Line'!$R$2:$R$6001,'Per Line'!$C$2:$C$6001,$B747,'Per Line'!$AJ$2:$AJ$6001,1))</f>
        <v/>
      </c>
      <c r="L747">
        <f>IF($V747="","",Settings!$C$7)</f>
        <v/>
      </c>
      <c r="M747" s="7">
        <f>IF($V747="","",SUMIFS('Per Line'!$R$2:$R$6001,'Per Line'!$C$2:$C$6001,$B747,'Per Line'!$AI$2:$AI$6001,0,'Per Line'!$AJ$2:$AJ$6001,0))</f>
        <v/>
      </c>
      <c r="N747" s="7">
        <f>IF($V747="","",M747*L747)</f>
        <v/>
      </c>
      <c r="O747">
        <f>IF($V747="","",Settings!$C$6)</f>
        <v/>
      </c>
      <c r="P747" s="7">
        <f>IF($V747="","",SUMIFS('Per Line'!$R$2:$R$6001,'Per Line'!$C$2:$C$6001,$B747,'Per Line'!$AI$2:$AI$6001,1,'Per Line'!$AJ$2:$AJ$6001,0))</f>
        <v/>
      </c>
      <c r="Q747" s="7">
        <f>IF($V747="","",P747*O747)</f>
        <v/>
      </c>
      <c r="R747" s="7">
        <f>IF($V747="","",Q747+N747)</f>
        <v/>
      </c>
      <c r="S747" s="7">
        <f>IF($V747="","",T747-R747)</f>
        <v/>
      </c>
      <c r="T747" s="7">
        <f>IF($V747="","",M747+P747+K747)</f>
        <v/>
      </c>
      <c r="U747" s="7">
        <f>IF($V747="","",T747-R747-I747)</f>
        <v/>
      </c>
      <c r="V747" s="13">
        <f>IF(ROWS($V$2:$V747)&lt;=MAX('Per Line'!$AH$2:$AH$6001),MATCH(ROWS($V$2:$V747),'Per Line'!$AH$2:$AH$6001,0),"")</f>
        <v/>
      </c>
    </row>
    <row r="748">
      <c r="A748" s="12" t="n"/>
      <c r="B748">
        <f>IF($V748="","",INDEX('Per Line'!$C$2:$C$6001,$V748)&amp;"")</f>
        <v/>
      </c>
      <c r="C748" s="11">
        <f>IF($V748="","",INDEX('Per Line'!$D$2:$D$6001,$V748))</f>
        <v/>
      </c>
      <c r="D748">
        <f>IF($V748="","",INDEX('Per Line'!$E$2:$E$6001,$V748)&amp;"")</f>
        <v/>
      </c>
      <c r="E748">
        <f>IF($V748="","",INDEX('Per Line'!$G$2:$G$6001,$V748)&amp;"")</f>
        <v/>
      </c>
      <c r="F748">
        <f>IF($V748="","",INDEX('Per Line'!$H$2:$H$6001,$V748)&amp;"")</f>
        <v/>
      </c>
      <c r="G748">
        <f>IF($V748="","",INDEX('Per Line'!$I$2:$I$6001,$V748)&amp;"")</f>
        <v/>
      </c>
      <c r="H748">
        <f>IF($V748="","",INDEX('Per Line'!$J$2:$J$6001,$V748))</f>
        <v/>
      </c>
      <c r="I748" s="7">
        <f>IF($V748="","",H748*S748/100)</f>
        <v/>
      </c>
      <c r="J748">
        <f>IF($V748="","",INDEX('Per Line'!$S$2:$S$6001,$V748)&amp;"")</f>
        <v/>
      </c>
      <c r="K748" s="7">
        <f>IF($V748="","",SUMIFS('Per Line'!$R$2:$R$6001,'Per Line'!$C$2:$C$6001,$B748,'Per Line'!$AJ$2:$AJ$6001,1))</f>
        <v/>
      </c>
      <c r="L748">
        <f>IF($V748="","",Settings!$C$7)</f>
        <v/>
      </c>
      <c r="M748" s="7">
        <f>IF($V748="","",SUMIFS('Per Line'!$R$2:$R$6001,'Per Line'!$C$2:$C$6001,$B748,'Per Line'!$AI$2:$AI$6001,0,'Per Line'!$AJ$2:$AJ$6001,0))</f>
        <v/>
      </c>
      <c r="N748" s="7">
        <f>IF($V748="","",M748*L748)</f>
        <v/>
      </c>
      <c r="O748">
        <f>IF($V748="","",Settings!$C$6)</f>
        <v/>
      </c>
      <c r="P748" s="7">
        <f>IF($V748="","",SUMIFS('Per Line'!$R$2:$R$6001,'Per Line'!$C$2:$C$6001,$B748,'Per Line'!$AI$2:$AI$6001,1,'Per Line'!$AJ$2:$AJ$6001,0))</f>
        <v/>
      </c>
      <c r="Q748" s="7">
        <f>IF($V748="","",P748*O748)</f>
        <v/>
      </c>
      <c r="R748" s="7">
        <f>IF($V748="","",Q748+N748)</f>
        <v/>
      </c>
      <c r="S748" s="7">
        <f>IF($V748="","",T748-R748)</f>
        <v/>
      </c>
      <c r="T748" s="7">
        <f>IF($V748="","",M748+P748+K748)</f>
        <v/>
      </c>
      <c r="U748" s="7">
        <f>IF($V748="","",T748-R748-I748)</f>
        <v/>
      </c>
      <c r="V748" s="13">
        <f>IF(ROWS($V$2:$V748)&lt;=MAX('Per Line'!$AH$2:$AH$6001),MATCH(ROWS($V$2:$V748),'Per Line'!$AH$2:$AH$6001,0),"")</f>
        <v/>
      </c>
    </row>
    <row r="749">
      <c r="A749" s="12" t="n"/>
      <c r="B749">
        <f>IF($V749="","",INDEX('Per Line'!$C$2:$C$6001,$V749)&amp;"")</f>
        <v/>
      </c>
      <c r="C749" s="11">
        <f>IF($V749="","",INDEX('Per Line'!$D$2:$D$6001,$V749))</f>
        <v/>
      </c>
      <c r="D749">
        <f>IF($V749="","",INDEX('Per Line'!$E$2:$E$6001,$V749)&amp;"")</f>
        <v/>
      </c>
      <c r="E749">
        <f>IF($V749="","",INDEX('Per Line'!$G$2:$G$6001,$V749)&amp;"")</f>
        <v/>
      </c>
      <c r="F749">
        <f>IF($V749="","",INDEX('Per Line'!$H$2:$H$6001,$V749)&amp;"")</f>
        <v/>
      </c>
      <c r="G749">
        <f>IF($V749="","",INDEX('Per Line'!$I$2:$I$6001,$V749)&amp;"")</f>
        <v/>
      </c>
      <c r="H749">
        <f>IF($V749="","",INDEX('Per Line'!$J$2:$J$6001,$V749))</f>
        <v/>
      </c>
      <c r="I749" s="7">
        <f>IF($V749="","",H749*S749/100)</f>
        <v/>
      </c>
      <c r="J749">
        <f>IF($V749="","",INDEX('Per Line'!$S$2:$S$6001,$V749)&amp;"")</f>
        <v/>
      </c>
      <c r="K749" s="7">
        <f>IF($V749="","",SUMIFS('Per Line'!$R$2:$R$6001,'Per Line'!$C$2:$C$6001,$B749,'Per Line'!$AJ$2:$AJ$6001,1))</f>
        <v/>
      </c>
      <c r="L749">
        <f>IF($V749="","",Settings!$C$7)</f>
        <v/>
      </c>
      <c r="M749" s="7">
        <f>IF($V749="","",SUMIFS('Per Line'!$R$2:$R$6001,'Per Line'!$C$2:$C$6001,$B749,'Per Line'!$AI$2:$AI$6001,0,'Per Line'!$AJ$2:$AJ$6001,0))</f>
        <v/>
      </c>
      <c r="N749" s="7">
        <f>IF($V749="","",M749*L749)</f>
        <v/>
      </c>
      <c r="O749">
        <f>IF($V749="","",Settings!$C$6)</f>
        <v/>
      </c>
      <c r="P749" s="7">
        <f>IF($V749="","",SUMIFS('Per Line'!$R$2:$R$6001,'Per Line'!$C$2:$C$6001,$B749,'Per Line'!$AI$2:$AI$6001,1,'Per Line'!$AJ$2:$AJ$6001,0))</f>
        <v/>
      </c>
      <c r="Q749" s="7">
        <f>IF($V749="","",P749*O749)</f>
        <v/>
      </c>
      <c r="R749" s="7">
        <f>IF($V749="","",Q749+N749)</f>
        <v/>
      </c>
      <c r="S749" s="7">
        <f>IF($V749="","",T749-R749)</f>
        <v/>
      </c>
      <c r="T749" s="7">
        <f>IF($V749="","",M749+P749+K749)</f>
        <v/>
      </c>
      <c r="U749" s="7">
        <f>IF($V749="","",T749-R749-I749)</f>
        <v/>
      </c>
      <c r="V749" s="13">
        <f>IF(ROWS($V$2:$V749)&lt;=MAX('Per Line'!$AH$2:$AH$6001),MATCH(ROWS($V$2:$V749),'Per Line'!$AH$2:$AH$6001,0),"")</f>
        <v/>
      </c>
    </row>
    <row r="750">
      <c r="A750" s="12" t="n"/>
      <c r="B750">
        <f>IF($V750="","",INDEX('Per Line'!$C$2:$C$6001,$V750)&amp;"")</f>
        <v/>
      </c>
      <c r="C750" s="11">
        <f>IF($V750="","",INDEX('Per Line'!$D$2:$D$6001,$V750))</f>
        <v/>
      </c>
      <c r="D750">
        <f>IF($V750="","",INDEX('Per Line'!$E$2:$E$6001,$V750)&amp;"")</f>
        <v/>
      </c>
      <c r="E750">
        <f>IF($V750="","",INDEX('Per Line'!$G$2:$G$6001,$V750)&amp;"")</f>
        <v/>
      </c>
      <c r="F750">
        <f>IF($V750="","",INDEX('Per Line'!$H$2:$H$6001,$V750)&amp;"")</f>
        <v/>
      </c>
      <c r="G750">
        <f>IF($V750="","",INDEX('Per Line'!$I$2:$I$6001,$V750)&amp;"")</f>
        <v/>
      </c>
      <c r="H750">
        <f>IF($V750="","",INDEX('Per Line'!$J$2:$J$6001,$V750))</f>
        <v/>
      </c>
      <c r="I750" s="7">
        <f>IF($V750="","",H750*S750/100)</f>
        <v/>
      </c>
      <c r="J750">
        <f>IF($V750="","",INDEX('Per Line'!$S$2:$S$6001,$V750)&amp;"")</f>
        <v/>
      </c>
      <c r="K750" s="7">
        <f>IF($V750="","",SUMIFS('Per Line'!$R$2:$R$6001,'Per Line'!$C$2:$C$6001,$B750,'Per Line'!$AJ$2:$AJ$6001,1))</f>
        <v/>
      </c>
      <c r="L750">
        <f>IF($V750="","",Settings!$C$7)</f>
        <v/>
      </c>
      <c r="M750" s="7">
        <f>IF($V750="","",SUMIFS('Per Line'!$R$2:$R$6001,'Per Line'!$C$2:$C$6001,$B750,'Per Line'!$AI$2:$AI$6001,0,'Per Line'!$AJ$2:$AJ$6001,0))</f>
        <v/>
      </c>
      <c r="N750" s="7">
        <f>IF($V750="","",M750*L750)</f>
        <v/>
      </c>
      <c r="O750">
        <f>IF($V750="","",Settings!$C$6)</f>
        <v/>
      </c>
      <c r="P750" s="7">
        <f>IF($V750="","",SUMIFS('Per Line'!$R$2:$R$6001,'Per Line'!$C$2:$C$6001,$B750,'Per Line'!$AI$2:$AI$6001,1,'Per Line'!$AJ$2:$AJ$6001,0))</f>
        <v/>
      </c>
      <c r="Q750" s="7">
        <f>IF($V750="","",P750*O750)</f>
        <v/>
      </c>
      <c r="R750" s="7">
        <f>IF($V750="","",Q750+N750)</f>
        <v/>
      </c>
      <c r="S750" s="7">
        <f>IF($V750="","",T750-R750)</f>
        <v/>
      </c>
      <c r="T750" s="7">
        <f>IF($V750="","",M750+P750+K750)</f>
        <v/>
      </c>
      <c r="U750" s="7">
        <f>IF($V750="","",T750-R750-I750)</f>
        <v/>
      </c>
      <c r="V750" s="13">
        <f>IF(ROWS($V$2:$V750)&lt;=MAX('Per Line'!$AH$2:$AH$6001),MATCH(ROWS($V$2:$V750),'Per Line'!$AH$2:$AH$6001,0),"")</f>
        <v/>
      </c>
    </row>
    <row r="751">
      <c r="A751" s="12" t="n"/>
      <c r="B751">
        <f>IF($V751="","",INDEX('Per Line'!$C$2:$C$6001,$V751)&amp;"")</f>
        <v/>
      </c>
      <c r="C751" s="11">
        <f>IF($V751="","",INDEX('Per Line'!$D$2:$D$6001,$V751))</f>
        <v/>
      </c>
      <c r="D751">
        <f>IF($V751="","",INDEX('Per Line'!$E$2:$E$6001,$V751)&amp;"")</f>
        <v/>
      </c>
      <c r="E751">
        <f>IF($V751="","",INDEX('Per Line'!$G$2:$G$6001,$V751)&amp;"")</f>
        <v/>
      </c>
      <c r="F751">
        <f>IF($V751="","",INDEX('Per Line'!$H$2:$H$6001,$V751)&amp;"")</f>
        <v/>
      </c>
      <c r="G751">
        <f>IF($V751="","",INDEX('Per Line'!$I$2:$I$6001,$V751)&amp;"")</f>
        <v/>
      </c>
      <c r="H751">
        <f>IF($V751="","",INDEX('Per Line'!$J$2:$J$6001,$V751))</f>
        <v/>
      </c>
      <c r="I751" s="7">
        <f>IF($V751="","",H751*S751/100)</f>
        <v/>
      </c>
      <c r="J751">
        <f>IF($V751="","",INDEX('Per Line'!$S$2:$S$6001,$V751)&amp;"")</f>
        <v/>
      </c>
      <c r="K751" s="7">
        <f>IF($V751="","",SUMIFS('Per Line'!$R$2:$R$6001,'Per Line'!$C$2:$C$6001,$B751,'Per Line'!$AJ$2:$AJ$6001,1))</f>
        <v/>
      </c>
      <c r="L751">
        <f>IF($V751="","",Settings!$C$7)</f>
        <v/>
      </c>
      <c r="M751" s="7">
        <f>IF($V751="","",SUMIFS('Per Line'!$R$2:$R$6001,'Per Line'!$C$2:$C$6001,$B751,'Per Line'!$AI$2:$AI$6001,0,'Per Line'!$AJ$2:$AJ$6001,0))</f>
        <v/>
      </c>
      <c r="N751" s="7">
        <f>IF($V751="","",M751*L751)</f>
        <v/>
      </c>
      <c r="O751">
        <f>IF($V751="","",Settings!$C$6)</f>
        <v/>
      </c>
      <c r="P751" s="7">
        <f>IF($V751="","",SUMIFS('Per Line'!$R$2:$R$6001,'Per Line'!$C$2:$C$6001,$B751,'Per Line'!$AI$2:$AI$6001,1,'Per Line'!$AJ$2:$AJ$6001,0))</f>
        <v/>
      </c>
      <c r="Q751" s="7">
        <f>IF($V751="","",P751*O751)</f>
        <v/>
      </c>
      <c r="R751" s="7">
        <f>IF($V751="","",Q751+N751)</f>
        <v/>
      </c>
      <c r="S751" s="7">
        <f>IF($V751="","",T751-R751)</f>
        <v/>
      </c>
      <c r="T751" s="7">
        <f>IF($V751="","",M751+P751+K751)</f>
        <v/>
      </c>
      <c r="U751" s="7">
        <f>IF($V751="","",T751-R751-I751)</f>
        <v/>
      </c>
      <c r="V751" s="13">
        <f>IF(ROWS($V$2:$V751)&lt;=MAX('Per Line'!$AH$2:$AH$6001),MATCH(ROWS($V$2:$V751),'Per Line'!$AH$2:$AH$6001,0),"")</f>
        <v/>
      </c>
    </row>
    <row r="752">
      <c r="A752" s="12" t="n"/>
      <c r="B752">
        <f>IF($V752="","",INDEX('Per Line'!$C$2:$C$6001,$V752)&amp;"")</f>
        <v/>
      </c>
      <c r="C752" s="11">
        <f>IF($V752="","",INDEX('Per Line'!$D$2:$D$6001,$V752))</f>
        <v/>
      </c>
      <c r="D752">
        <f>IF($V752="","",INDEX('Per Line'!$E$2:$E$6001,$V752)&amp;"")</f>
        <v/>
      </c>
      <c r="E752">
        <f>IF($V752="","",INDEX('Per Line'!$G$2:$G$6001,$V752)&amp;"")</f>
        <v/>
      </c>
      <c r="F752">
        <f>IF($V752="","",INDEX('Per Line'!$H$2:$H$6001,$V752)&amp;"")</f>
        <v/>
      </c>
      <c r="G752">
        <f>IF($V752="","",INDEX('Per Line'!$I$2:$I$6001,$V752)&amp;"")</f>
        <v/>
      </c>
      <c r="H752">
        <f>IF($V752="","",INDEX('Per Line'!$J$2:$J$6001,$V752))</f>
        <v/>
      </c>
      <c r="I752" s="7">
        <f>IF($V752="","",H752*S752/100)</f>
        <v/>
      </c>
      <c r="J752">
        <f>IF($V752="","",INDEX('Per Line'!$S$2:$S$6001,$V752)&amp;"")</f>
        <v/>
      </c>
      <c r="K752" s="7">
        <f>IF($V752="","",SUMIFS('Per Line'!$R$2:$R$6001,'Per Line'!$C$2:$C$6001,$B752,'Per Line'!$AJ$2:$AJ$6001,1))</f>
        <v/>
      </c>
      <c r="L752">
        <f>IF($V752="","",Settings!$C$7)</f>
        <v/>
      </c>
      <c r="M752" s="7">
        <f>IF($V752="","",SUMIFS('Per Line'!$R$2:$R$6001,'Per Line'!$C$2:$C$6001,$B752,'Per Line'!$AI$2:$AI$6001,0,'Per Line'!$AJ$2:$AJ$6001,0))</f>
        <v/>
      </c>
      <c r="N752" s="7">
        <f>IF($V752="","",M752*L752)</f>
        <v/>
      </c>
      <c r="O752">
        <f>IF($V752="","",Settings!$C$6)</f>
        <v/>
      </c>
      <c r="P752" s="7">
        <f>IF($V752="","",SUMIFS('Per Line'!$R$2:$R$6001,'Per Line'!$C$2:$C$6001,$B752,'Per Line'!$AI$2:$AI$6001,1,'Per Line'!$AJ$2:$AJ$6001,0))</f>
        <v/>
      </c>
      <c r="Q752" s="7">
        <f>IF($V752="","",P752*O752)</f>
        <v/>
      </c>
      <c r="R752" s="7">
        <f>IF($V752="","",Q752+N752)</f>
        <v/>
      </c>
      <c r="S752" s="7">
        <f>IF($V752="","",T752-R752)</f>
        <v/>
      </c>
      <c r="T752" s="7">
        <f>IF($V752="","",M752+P752+K752)</f>
        <v/>
      </c>
      <c r="U752" s="7">
        <f>IF($V752="","",T752-R752-I752)</f>
        <v/>
      </c>
      <c r="V752" s="13">
        <f>IF(ROWS($V$2:$V752)&lt;=MAX('Per Line'!$AH$2:$AH$6001),MATCH(ROWS($V$2:$V752),'Per Line'!$AH$2:$AH$6001,0),"")</f>
        <v/>
      </c>
    </row>
    <row r="753">
      <c r="A753" s="12" t="n"/>
      <c r="B753">
        <f>IF($V753="","",INDEX('Per Line'!$C$2:$C$6001,$V753)&amp;"")</f>
        <v/>
      </c>
      <c r="C753" s="11">
        <f>IF($V753="","",INDEX('Per Line'!$D$2:$D$6001,$V753))</f>
        <v/>
      </c>
      <c r="D753">
        <f>IF($V753="","",INDEX('Per Line'!$E$2:$E$6001,$V753)&amp;"")</f>
        <v/>
      </c>
      <c r="E753">
        <f>IF($V753="","",INDEX('Per Line'!$G$2:$G$6001,$V753)&amp;"")</f>
        <v/>
      </c>
      <c r="F753">
        <f>IF($V753="","",INDEX('Per Line'!$H$2:$H$6001,$V753)&amp;"")</f>
        <v/>
      </c>
      <c r="G753">
        <f>IF($V753="","",INDEX('Per Line'!$I$2:$I$6001,$V753)&amp;"")</f>
        <v/>
      </c>
      <c r="H753">
        <f>IF($V753="","",INDEX('Per Line'!$J$2:$J$6001,$V753))</f>
        <v/>
      </c>
      <c r="I753" s="7">
        <f>IF($V753="","",H753*S753/100)</f>
        <v/>
      </c>
      <c r="J753">
        <f>IF($V753="","",INDEX('Per Line'!$S$2:$S$6001,$V753)&amp;"")</f>
        <v/>
      </c>
      <c r="K753" s="7">
        <f>IF($V753="","",SUMIFS('Per Line'!$R$2:$R$6001,'Per Line'!$C$2:$C$6001,$B753,'Per Line'!$AJ$2:$AJ$6001,1))</f>
        <v/>
      </c>
      <c r="L753">
        <f>IF($V753="","",Settings!$C$7)</f>
        <v/>
      </c>
      <c r="M753" s="7">
        <f>IF($V753="","",SUMIFS('Per Line'!$R$2:$R$6001,'Per Line'!$C$2:$C$6001,$B753,'Per Line'!$AI$2:$AI$6001,0,'Per Line'!$AJ$2:$AJ$6001,0))</f>
        <v/>
      </c>
      <c r="N753" s="7">
        <f>IF($V753="","",M753*L753)</f>
        <v/>
      </c>
      <c r="O753">
        <f>IF($V753="","",Settings!$C$6)</f>
        <v/>
      </c>
      <c r="P753" s="7">
        <f>IF($V753="","",SUMIFS('Per Line'!$R$2:$R$6001,'Per Line'!$C$2:$C$6001,$B753,'Per Line'!$AI$2:$AI$6001,1,'Per Line'!$AJ$2:$AJ$6001,0))</f>
        <v/>
      </c>
      <c r="Q753" s="7">
        <f>IF($V753="","",P753*O753)</f>
        <v/>
      </c>
      <c r="R753" s="7">
        <f>IF($V753="","",Q753+N753)</f>
        <v/>
      </c>
      <c r="S753" s="7">
        <f>IF($V753="","",T753-R753)</f>
        <v/>
      </c>
      <c r="T753" s="7">
        <f>IF($V753="","",M753+P753+K753)</f>
        <v/>
      </c>
      <c r="U753" s="7">
        <f>IF($V753="","",T753-R753-I753)</f>
        <v/>
      </c>
      <c r="V753" s="13">
        <f>IF(ROWS($V$2:$V753)&lt;=MAX('Per Line'!$AH$2:$AH$6001),MATCH(ROWS($V$2:$V753),'Per Line'!$AH$2:$AH$6001,0),"")</f>
        <v/>
      </c>
    </row>
    <row r="754">
      <c r="A754" s="12" t="n"/>
      <c r="B754">
        <f>IF($V754="","",INDEX('Per Line'!$C$2:$C$6001,$V754)&amp;"")</f>
        <v/>
      </c>
      <c r="C754" s="11">
        <f>IF($V754="","",INDEX('Per Line'!$D$2:$D$6001,$V754))</f>
        <v/>
      </c>
      <c r="D754">
        <f>IF($V754="","",INDEX('Per Line'!$E$2:$E$6001,$V754)&amp;"")</f>
        <v/>
      </c>
      <c r="E754">
        <f>IF($V754="","",INDEX('Per Line'!$G$2:$G$6001,$V754)&amp;"")</f>
        <v/>
      </c>
      <c r="F754">
        <f>IF($V754="","",INDEX('Per Line'!$H$2:$H$6001,$V754)&amp;"")</f>
        <v/>
      </c>
      <c r="G754">
        <f>IF($V754="","",INDEX('Per Line'!$I$2:$I$6001,$V754)&amp;"")</f>
        <v/>
      </c>
      <c r="H754">
        <f>IF($V754="","",INDEX('Per Line'!$J$2:$J$6001,$V754))</f>
        <v/>
      </c>
      <c r="I754" s="7">
        <f>IF($V754="","",H754*S754/100)</f>
        <v/>
      </c>
      <c r="J754">
        <f>IF($V754="","",INDEX('Per Line'!$S$2:$S$6001,$V754)&amp;"")</f>
        <v/>
      </c>
      <c r="K754" s="7">
        <f>IF($V754="","",SUMIFS('Per Line'!$R$2:$R$6001,'Per Line'!$C$2:$C$6001,$B754,'Per Line'!$AJ$2:$AJ$6001,1))</f>
        <v/>
      </c>
      <c r="L754">
        <f>IF($V754="","",Settings!$C$7)</f>
        <v/>
      </c>
      <c r="M754" s="7">
        <f>IF($V754="","",SUMIFS('Per Line'!$R$2:$R$6001,'Per Line'!$C$2:$C$6001,$B754,'Per Line'!$AI$2:$AI$6001,0,'Per Line'!$AJ$2:$AJ$6001,0))</f>
        <v/>
      </c>
      <c r="N754" s="7">
        <f>IF($V754="","",M754*L754)</f>
        <v/>
      </c>
      <c r="O754">
        <f>IF($V754="","",Settings!$C$6)</f>
        <v/>
      </c>
      <c r="P754" s="7">
        <f>IF($V754="","",SUMIFS('Per Line'!$R$2:$R$6001,'Per Line'!$C$2:$C$6001,$B754,'Per Line'!$AI$2:$AI$6001,1,'Per Line'!$AJ$2:$AJ$6001,0))</f>
        <v/>
      </c>
      <c r="Q754" s="7">
        <f>IF($V754="","",P754*O754)</f>
        <v/>
      </c>
      <c r="R754" s="7">
        <f>IF($V754="","",Q754+N754)</f>
        <v/>
      </c>
      <c r="S754" s="7">
        <f>IF($V754="","",T754-R754)</f>
        <v/>
      </c>
      <c r="T754" s="7">
        <f>IF($V754="","",M754+P754+K754)</f>
        <v/>
      </c>
      <c r="U754" s="7">
        <f>IF($V754="","",T754-R754-I754)</f>
        <v/>
      </c>
      <c r="V754" s="13">
        <f>IF(ROWS($V$2:$V754)&lt;=MAX('Per Line'!$AH$2:$AH$6001),MATCH(ROWS($V$2:$V754),'Per Line'!$AH$2:$AH$6001,0),"")</f>
        <v/>
      </c>
    </row>
    <row r="755">
      <c r="A755" s="12" t="n"/>
      <c r="B755">
        <f>IF($V755="","",INDEX('Per Line'!$C$2:$C$6001,$V755)&amp;"")</f>
        <v/>
      </c>
      <c r="C755" s="11">
        <f>IF($V755="","",INDEX('Per Line'!$D$2:$D$6001,$V755))</f>
        <v/>
      </c>
      <c r="D755">
        <f>IF($V755="","",INDEX('Per Line'!$E$2:$E$6001,$V755)&amp;"")</f>
        <v/>
      </c>
      <c r="E755">
        <f>IF($V755="","",INDEX('Per Line'!$G$2:$G$6001,$V755)&amp;"")</f>
        <v/>
      </c>
      <c r="F755">
        <f>IF($V755="","",INDEX('Per Line'!$H$2:$H$6001,$V755)&amp;"")</f>
        <v/>
      </c>
      <c r="G755">
        <f>IF($V755="","",INDEX('Per Line'!$I$2:$I$6001,$V755)&amp;"")</f>
        <v/>
      </c>
      <c r="H755">
        <f>IF($V755="","",INDEX('Per Line'!$J$2:$J$6001,$V755))</f>
        <v/>
      </c>
      <c r="I755" s="7">
        <f>IF($V755="","",H755*S755/100)</f>
        <v/>
      </c>
      <c r="J755">
        <f>IF($V755="","",INDEX('Per Line'!$S$2:$S$6001,$V755)&amp;"")</f>
        <v/>
      </c>
      <c r="K755" s="7">
        <f>IF($V755="","",SUMIFS('Per Line'!$R$2:$R$6001,'Per Line'!$C$2:$C$6001,$B755,'Per Line'!$AJ$2:$AJ$6001,1))</f>
        <v/>
      </c>
      <c r="L755">
        <f>IF($V755="","",Settings!$C$7)</f>
        <v/>
      </c>
      <c r="M755" s="7">
        <f>IF($V755="","",SUMIFS('Per Line'!$R$2:$R$6001,'Per Line'!$C$2:$C$6001,$B755,'Per Line'!$AI$2:$AI$6001,0,'Per Line'!$AJ$2:$AJ$6001,0))</f>
        <v/>
      </c>
      <c r="N755" s="7">
        <f>IF($V755="","",M755*L755)</f>
        <v/>
      </c>
      <c r="O755">
        <f>IF($V755="","",Settings!$C$6)</f>
        <v/>
      </c>
      <c r="P755" s="7">
        <f>IF($V755="","",SUMIFS('Per Line'!$R$2:$R$6001,'Per Line'!$C$2:$C$6001,$B755,'Per Line'!$AI$2:$AI$6001,1,'Per Line'!$AJ$2:$AJ$6001,0))</f>
        <v/>
      </c>
      <c r="Q755" s="7">
        <f>IF($V755="","",P755*O755)</f>
        <v/>
      </c>
      <c r="R755" s="7">
        <f>IF($V755="","",Q755+N755)</f>
        <v/>
      </c>
      <c r="S755" s="7">
        <f>IF($V755="","",T755-R755)</f>
        <v/>
      </c>
      <c r="T755" s="7">
        <f>IF($V755="","",M755+P755+K755)</f>
        <v/>
      </c>
      <c r="U755" s="7">
        <f>IF($V755="","",T755-R755-I755)</f>
        <v/>
      </c>
      <c r="V755" s="13">
        <f>IF(ROWS($V$2:$V755)&lt;=MAX('Per Line'!$AH$2:$AH$6001),MATCH(ROWS($V$2:$V755),'Per Line'!$AH$2:$AH$6001,0),"")</f>
        <v/>
      </c>
    </row>
    <row r="756">
      <c r="A756" s="12" t="n"/>
      <c r="B756">
        <f>IF($V756="","",INDEX('Per Line'!$C$2:$C$6001,$V756)&amp;"")</f>
        <v/>
      </c>
      <c r="C756" s="11">
        <f>IF($V756="","",INDEX('Per Line'!$D$2:$D$6001,$V756))</f>
        <v/>
      </c>
      <c r="D756">
        <f>IF($V756="","",INDEX('Per Line'!$E$2:$E$6001,$V756)&amp;"")</f>
        <v/>
      </c>
      <c r="E756">
        <f>IF($V756="","",INDEX('Per Line'!$G$2:$G$6001,$V756)&amp;"")</f>
        <v/>
      </c>
      <c r="F756">
        <f>IF($V756="","",INDEX('Per Line'!$H$2:$H$6001,$V756)&amp;"")</f>
        <v/>
      </c>
      <c r="G756">
        <f>IF($V756="","",INDEX('Per Line'!$I$2:$I$6001,$V756)&amp;"")</f>
        <v/>
      </c>
      <c r="H756">
        <f>IF($V756="","",INDEX('Per Line'!$J$2:$J$6001,$V756))</f>
        <v/>
      </c>
      <c r="I756" s="7">
        <f>IF($V756="","",H756*S756/100)</f>
        <v/>
      </c>
      <c r="J756">
        <f>IF($V756="","",INDEX('Per Line'!$S$2:$S$6001,$V756)&amp;"")</f>
        <v/>
      </c>
      <c r="K756" s="7">
        <f>IF($V756="","",SUMIFS('Per Line'!$R$2:$R$6001,'Per Line'!$C$2:$C$6001,$B756,'Per Line'!$AJ$2:$AJ$6001,1))</f>
        <v/>
      </c>
      <c r="L756">
        <f>IF($V756="","",Settings!$C$7)</f>
        <v/>
      </c>
      <c r="M756" s="7">
        <f>IF($V756="","",SUMIFS('Per Line'!$R$2:$R$6001,'Per Line'!$C$2:$C$6001,$B756,'Per Line'!$AI$2:$AI$6001,0,'Per Line'!$AJ$2:$AJ$6001,0))</f>
        <v/>
      </c>
      <c r="N756" s="7">
        <f>IF($V756="","",M756*L756)</f>
        <v/>
      </c>
      <c r="O756">
        <f>IF($V756="","",Settings!$C$6)</f>
        <v/>
      </c>
      <c r="P756" s="7">
        <f>IF($V756="","",SUMIFS('Per Line'!$R$2:$R$6001,'Per Line'!$C$2:$C$6001,$B756,'Per Line'!$AI$2:$AI$6001,1,'Per Line'!$AJ$2:$AJ$6001,0))</f>
        <v/>
      </c>
      <c r="Q756" s="7">
        <f>IF($V756="","",P756*O756)</f>
        <v/>
      </c>
      <c r="R756" s="7">
        <f>IF($V756="","",Q756+N756)</f>
        <v/>
      </c>
      <c r="S756" s="7">
        <f>IF($V756="","",T756-R756)</f>
        <v/>
      </c>
      <c r="T756" s="7">
        <f>IF($V756="","",M756+P756+K756)</f>
        <v/>
      </c>
      <c r="U756" s="7">
        <f>IF($V756="","",T756-R756-I756)</f>
        <v/>
      </c>
      <c r="V756" s="13">
        <f>IF(ROWS($V$2:$V756)&lt;=MAX('Per Line'!$AH$2:$AH$6001),MATCH(ROWS($V$2:$V756),'Per Line'!$AH$2:$AH$6001,0),"")</f>
        <v/>
      </c>
    </row>
    <row r="757">
      <c r="A757" s="12" t="n"/>
      <c r="B757">
        <f>IF($V757="","",INDEX('Per Line'!$C$2:$C$6001,$V757)&amp;"")</f>
        <v/>
      </c>
      <c r="C757" s="11">
        <f>IF($V757="","",INDEX('Per Line'!$D$2:$D$6001,$V757))</f>
        <v/>
      </c>
      <c r="D757">
        <f>IF($V757="","",INDEX('Per Line'!$E$2:$E$6001,$V757)&amp;"")</f>
        <v/>
      </c>
      <c r="E757">
        <f>IF($V757="","",INDEX('Per Line'!$G$2:$G$6001,$V757)&amp;"")</f>
        <v/>
      </c>
      <c r="F757">
        <f>IF($V757="","",INDEX('Per Line'!$H$2:$H$6001,$V757)&amp;"")</f>
        <v/>
      </c>
      <c r="G757">
        <f>IF($V757="","",INDEX('Per Line'!$I$2:$I$6001,$V757)&amp;"")</f>
        <v/>
      </c>
      <c r="H757">
        <f>IF($V757="","",INDEX('Per Line'!$J$2:$J$6001,$V757))</f>
        <v/>
      </c>
      <c r="I757" s="7">
        <f>IF($V757="","",H757*S757/100)</f>
        <v/>
      </c>
      <c r="J757">
        <f>IF($V757="","",INDEX('Per Line'!$S$2:$S$6001,$V757)&amp;"")</f>
        <v/>
      </c>
      <c r="K757" s="7">
        <f>IF($V757="","",SUMIFS('Per Line'!$R$2:$R$6001,'Per Line'!$C$2:$C$6001,$B757,'Per Line'!$AJ$2:$AJ$6001,1))</f>
        <v/>
      </c>
      <c r="L757">
        <f>IF($V757="","",Settings!$C$7)</f>
        <v/>
      </c>
      <c r="M757" s="7">
        <f>IF($V757="","",SUMIFS('Per Line'!$R$2:$R$6001,'Per Line'!$C$2:$C$6001,$B757,'Per Line'!$AI$2:$AI$6001,0,'Per Line'!$AJ$2:$AJ$6001,0))</f>
        <v/>
      </c>
      <c r="N757" s="7">
        <f>IF($V757="","",M757*L757)</f>
        <v/>
      </c>
      <c r="O757">
        <f>IF($V757="","",Settings!$C$6)</f>
        <v/>
      </c>
      <c r="P757" s="7">
        <f>IF($V757="","",SUMIFS('Per Line'!$R$2:$R$6001,'Per Line'!$C$2:$C$6001,$B757,'Per Line'!$AI$2:$AI$6001,1,'Per Line'!$AJ$2:$AJ$6001,0))</f>
        <v/>
      </c>
      <c r="Q757" s="7">
        <f>IF($V757="","",P757*O757)</f>
        <v/>
      </c>
      <c r="R757" s="7">
        <f>IF($V757="","",Q757+N757)</f>
        <v/>
      </c>
      <c r="S757" s="7">
        <f>IF($V757="","",T757-R757)</f>
        <v/>
      </c>
      <c r="T757" s="7">
        <f>IF($V757="","",M757+P757+K757)</f>
        <v/>
      </c>
      <c r="U757" s="7">
        <f>IF($V757="","",T757-R757-I757)</f>
        <v/>
      </c>
      <c r="V757" s="13">
        <f>IF(ROWS($V$2:$V757)&lt;=MAX('Per Line'!$AH$2:$AH$6001),MATCH(ROWS($V$2:$V757),'Per Line'!$AH$2:$AH$6001,0),"")</f>
        <v/>
      </c>
    </row>
    <row r="758">
      <c r="A758" s="12" t="n"/>
      <c r="B758">
        <f>IF($V758="","",INDEX('Per Line'!$C$2:$C$6001,$V758)&amp;"")</f>
        <v/>
      </c>
      <c r="C758" s="11">
        <f>IF($V758="","",INDEX('Per Line'!$D$2:$D$6001,$V758))</f>
        <v/>
      </c>
      <c r="D758">
        <f>IF($V758="","",INDEX('Per Line'!$E$2:$E$6001,$V758)&amp;"")</f>
        <v/>
      </c>
      <c r="E758">
        <f>IF($V758="","",INDEX('Per Line'!$G$2:$G$6001,$V758)&amp;"")</f>
        <v/>
      </c>
      <c r="F758">
        <f>IF($V758="","",INDEX('Per Line'!$H$2:$H$6001,$V758)&amp;"")</f>
        <v/>
      </c>
      <c r="G758">
        <f>IF($V758="","",INDEX('Per Line'!$I$2:$I$6001,$V758)&amp;"")</f>
        <v/>
      </c>
      <c r="H758">
        <f>IF($V758="","",INDEX('Per Line'!$J$2:$J$6001,$V758))</f>
        <v/>
      </c>
      <c r="I758" s="7">
        <f>IF($V758="","",H758*S758/100)</f>
        <v/>
      </c>
      <c r="J758">
        <f>IF($V758="","",INDEX('Per Line'!$S$2:$S$6001,$V758)&amp;"")</f>
        <v/>
      </c>
      <c r="K758" s="7">
        <f>IF($V758="","",SUMIFS('Per Line'!$R$2:$R$6001,'Per Line'!$C$2:$C$6001,$B758,'Per Line'!$AJ$2:$AJ$6001,1))</f>
        <v/>
      </c>
      <c r="L758">
        <f>IF($V758="","",Settings!$C$7)</f>
        <v/>
      </c>
      <c r="M758" s="7">
        <f>IF($V758="","",SUMIFS('Per Line'!$R$2:$R$6001,'Per Line'!$C$2:$C$6001,$B758,'Per Line'!$AI$2:$AI$6001,0,'Per Line'!$AJ$2:$AJ$6001,0))</f>
        <v/>
      </c>
      <c r="N758" s="7">
        <f>IF($V758="","",M758*L758)</f>
        <v/>
      </c>
      <c r="O758">
        <f>IF($V758="","",Settings!$C$6)</f>
        <v/>
      </c>
      <c r="P758" s="7">
        <f>IF($V758="","",SUMIFS('Per Line'!$R$2:$R$6001,'Per Line'!$C$2:$C$6001,$B758,'Per Line'!$AI$2:$AI$6001,1,'Per Line'!$AJ$2:$AJ$6001,0))</f>
        <v/>
      </c>
      <c r="Q758" s="7">
        <f>IF($V758="","",P758*O758)</f>
        <v/>
      </c>
      <c r="R758" s="7">
        <f>IF($V758="","",Q758+N758)</f>
        <v/>
      </c>
      <c r="S758" s="7">
        <f>IF($V758="","",T758-R758)</f>
        <v/>
      </c>
      <c r="T758" s="7">
        <f>IF($V758="","",M758+P758+K758)</f>
        <v/>
      </c>
      <c r="U758" s="7">
        <f>IF($V758="","",T758-R758-I758)</f>
        <v/>
      </c>
      <c r="V758" s="13">
        <f>IF(ROWS($V$2:$V758)&lt;=MAX('Per Line'!$AH$2:$AH$6001),MATCH(ROWS($V$2:$V758),'Per Line'!$AH$2:$AH$6001,0),"")</f>
        <v/>
      </c>
    </row>
    <row r="759">
      <c r="A759" s="12" t="n"/>
      <c r="B759">
        <f>IF($V759="","",INDEX('Per Line'!$C$2:$C$6001,$V759)&amp;"")</f>
        <v/>
      </c>
      <c r="C759" s="11">
        <f>IF($V759="","",INDEX('Per Line'!$D$2:$D$6001,$V759))</f>
        <v/>
      </c>
      <c r="D759">
        <f>IF($V759="","",INDEX('Per Line'!$E$2:$E$6001,$V759)&amp;"")</f>
        <v/>
      </c>
      <c r="E759">
        <f>IF($V759="","",INDEX('Per Line'!$G$2:$G$6001,$V759)&amp;"")</f>
        <v/>
      </c>
      <c r="F759">
        <f>IF($V759="","",INDEX('Per Line'!$H$2:$H$6001,$V759)&amp;"")</f>
        <v/>
      </c>
      <c r="G759">
        <f>IF($V759="","",INDEX('Per Line'!$I$2:$I$6001,$V759)&amp;"")</f>
        <v/>
      </c>
      <c r="H759">
        <f>IF($V759="","",INDEX('Per Line'!$J$2:$J$6001,$V759))</f>
        <v/>
      </c>
      <c r="I759" s="7">
        <f>IF($V759="","",H759*S759/100)</f>
        <v/>
      </c>
      <c r="J759">
        <f>IF($V759="","",INDEX('Per Line'!$S$2:$S$6001,$V759)&amp;"")</f>
        <v/>
      </c>
      <c r="K759" s="7">
        <f>IF($V759="","",SUMIFS('Per Line'!$R$2:$R$6001,'Per Line'!$C$2:$C$6001,$B759,'Per Line'!$AJ$2:$AJ$6001,1))</f>
        <v/>
      </c>
      <c r="L759">
        <f>IF($V759="","",Settings!$C$7)</f>
        <v/>
      </c>
      <c r="M759" s="7">
        <f>IF($V759="","",SUMIFS('Per Line'!$R$2:$R$6001,'Per Line'!$C$2:$C$6001,$B759,'Per Line'!$AI$2:$AI$6001,0,'Per Line'!$AJ$2:$AJ$6001,0))</f>
        <v/>
      </c>
      <c r="N759" s="7">
        <f>IF($V759="","",M759*L759)</f>
        <v/>
      </c>
      <c r="O759">
        <f>IF($V759="","",Settings!$C$6)</f>
        <v/>
      </c>
      <c r="P759" s="7">
        <f>IF($V759="","",SUMIFS('Per Line'!$R$2:$R$6001,'Per Line'!$C$2:$C$6001,$B759,'Per Line'!$AI$2:$AI$6001,1,'Per Line'!$AJ$2:$AJ$6001,0))</f>
        <v/>
      </c>
      <c r="Q759" s="7">
        <f>IF($V759="","",P759*O759)</f>
        <v/>
      </c>
      <c r="R759" s="7">
        <f>IF($V759="","",Q759+N759)</f>
        <v/>
      </c>
      <c r="S759" s="7">
        <f>IF($V759="","",T759-R759)</f>
        <v/>
      </c>
      <c r="T759" s="7">
        <f>IF($V759="","",M759+P759+K759)</f>
        <v/>
      </c>
      <c r="U759" s="7">
        <f>IF($V759="","",T759-R759-I759)</f>
        <v/>
      </c>
      <c r="V759" s="13">
        <f>IF(ROWS($V$2:$V759)&lt;=MAX('Per Line'!$AH$2:$AH$6001),MATCH(ROWS($V$2:$V759),'Per Line'!$AH$2:$AH$6001,0),"")</f>
        <v/>
      </c>
    </row>
    <row r="760">
      <c r="A760" s="12" t="n"/>
      <c r="B760">
        <f>IF($V760="","",INDEX('Per Line'!$C$2:$C$6001,$V760)&amp;"")</f>
        <v/>
      </c>
      <c r="C760" s="11">
        <f>IF($V760="","",INDEX('Per Line'!$D$2:$D$6001,$V760))</f>
        <v/>
      </c>
      <c r="D760">
        <f>IF($V760="","",INDEX('Per Line'!$E$2:$E$6001,$V760)&amp;"")</f>
        <v/>
      </c>
      <c r="E760">
        <f>IF($V760="","",INDEX('Per Line'!$G$2:$G$6001,$V760)&amp;"")</f>
        <v/>
      </c>
      <c r="F760">
        <f>IF($V760="","",INDEX('Per Line'!$H$2:$H$6001,$V760)&amp;"")</f>
        <v/>
      </c>
      <c r="G760">
        <f>IF($V760="","",INDEX('Per Line'!$I$2:$I$6001,$V760)&amp;"")</f>
        <v/>
      </c>
      <c r="H760">
        <f>IF($V760="","",INDEX('Per Line'!$J$2:$J$6001,$V760))</f>
        <v/>
      </c>
      <c r="I760" s="7">
        <f>IF($V760="","",H760*S760/100)</f>
        <v/>
      </c>
      <c r="J760">
        <f>IF($V760="","",INDEX('Per Line'!$S$2:$S$6001,$V760)&amp;"")</f>
        <v/>
      </c>
      <c r="K760" s="7">
        <f>IF($V760="","",SUMIFS('Per Line'!$R$2:$R$6001,'Per Line'!$C$2:$C$6001,$B760,'Per Line'!$AJ$2:$AJ$6001,1))</f>
        <v/>
      </c>
      <c r="L760">
        <f>IF($V760="","",Settings!$C$7)</f>
        <v/>
      </c>
      <c r="M760" s="7">
        <f>IF($V760="","",SUMIFS('Per Line'!$R$2:$R$6001,'Per Line'!$C$2:$C$6001,$B760,'Per Line'!$AI$2:$AI$6001,0,'Per Line'!$AJ$2:$AJ$6001,0))</f>
        <v/>
      </c>
      <c r="N760" s="7">
        <f>IF($V760="","",M760*L760)</f>
        <v/>
      </c>
      <c r="O760">
        <f>IF($V760="","",Settings!$C$6)</f>
        <v/>
      </c>
      <c r="P760" s="7">
        <f>IF($V760="","",SUMIFS('Per Line'!$R$2:$R$6001,'Per Line'!$C$2:$C$6001,$B760,'Per Line'!$AI$2:$AI$6001,1,'Per Line'!$AJ$2:$AJ$6001,0))</f>
        <v/>
      </c>
      <c r="Q760" s="7">
        <f>IF($V760="","",P760*O760)</f>
        <v/>
      </c>
      <c r="R760" s="7">
        <f>IF($V760="","",Q760+N760)</f>
        <v/>
      </c>
      <c r="S760" s="7">
        <f>IF($V760="","",T760-R760)</f>
        <v/>
      </c>
      <c r="T760" s="7">
        <f>IF($V760="","",M760+P760+K760)</f>
        <v/>
      </c>
      <c r="U760" s="7">
        <f>IF($V760="","",T760-R760-I760)</f>
        <v/>
      </c>
      <c r="V760" s="13">
        <f>IF(ROWS($V$2:$V760)&lt;=MAX('Per Line'!$AH$2:$AH$6001),MATCH(ROWS($V$2:$V760),'Per Line'!$AH$2:$AH$6001,0),"")</f>
        <v/>
      </c>
    </row>
    <row r="761">
      <c r="A761" s="12" t="n"/>
      <c r="B761">
        <f>IF($V761="","",INDEX('Per Line'!$C$2:$C$6001,$V761)&amp;"")</f>
        <v/>
      </c>
      <c r="C761" s="11">
        <f>IF($V761="","",INDEX('Per Line'!$D$2:$D$6001,$V761))</f>
        <v/>
      </c>
      <c r="D761">
        <f>IF($V761="","",INDEX('Per Line'!$E$2:$E$6001,$V761)&amp;"")</f>
        <v/>
      </c>
      <c r="E761">
        <f>IF($V761="","",INDEX('Per Line'!$G$2:$G$6001,$V761)&amp;"")</f>
        <v/>
      </c>
      <c r="F761">
        <f>IF($V761="","",INDEX('Per Line'!$H$2:$H$6001,$V761)&amp;"")</f>
        <v/>
      </c>
      <c r="G761">
        <f>IF($V761="","",INDEX('Per Line'!$I$2:$I$6001,$V761)&amp;"")</f>
        <v/>
      </c>
      <c r="H761">
        <f>IF($V761="","",INDEX('Per Line'!$J$2:$J$6001,$V761))</f>
        <v/>
      </c>
      <c r="I761" s="7">
        <f>IF($V761="","",H761*S761/100)</f>
        <v/>
      </c>
      <c r="J761">
        <f>IF($V761="","",INDEX('Per Line'!$S$2:$S$6001,$V761)&amp;"")</f>
        <v/>
      </c>
      <c r="K761" s="7">
        <f>IF($V761="","",SUMIFS('Per Line'!$R$2:$R$6001,'Per Line'!$C$2:$C$6001,$B761,'Per Line'!$AJ$2:$AJ$6001,1))</f>
        <v/>
      </c>
      <c r="L761">
        <f>IF($V761="","",Settings!$C$7)</f>
        <v/>
      </c>
      <c r="M761" s="7">
        <f>IF($V761="","",SUMIFS('Per Line'!$R$2:$R$6001,'Per Line'!$C$2:$C$6001,$B761,'Per Line'!$AI$2:$AI$6001,0,'Per Line'!$AJ$2:$AJ$6001,0))</f>
        <v/>
      </c>
      <c r="N761" s="7">
        <f>IF($V761="","",M761*L761)</f>
        <v/>
      </c>
      <c r="O761">
        <f>IF($V761="","",Settings!$C$6)</f>
        <v/>
      </c>
      <c r="P761" s="7">
        <f>IF($V761="","",SUMIFS('Per Line'!$R$2:$R$6001,'Per Line'!$C$2:$C$6001,$B761,'Per Line'!$AI$2:$AI$6001,1,'Per Line'!$AJ$2:$AJ$6001,0))</f>
        <v/>
      </c>
      <c r="Q761" s="7">
        <f>IF($V761="","",P761*O761)</f>
        <v/>
      </c>
      <c r="R761" s="7">
        <f>IF($V761="","",Q761+N761)</f>
        <v/>
      </c>
      <c r="S761" s="7">
        <f>IF($V761="","",T761-R761)</f>
        <v/>
      </c>
      <c r="T761" s="7">
        <f>IF($V761="","",M761+P761+K761)</f>
        <v/>
      </c>
      <c r="U761" s="7">
        <f>IF($V761="","",T761-R761-I761)</f>
        <v/>
      </c>
      <c r="V761" s="13">
        <f>IF(ROWS($V$2:$V761)&lt;=MAX('Per Line'!$AH$2:$AH$6001),MATCH(ROWS($V$2:$V761),'Per Line'!$AH$2:$AH$6001,0),"")</f>
        <v/>
      </c>
    </row>
    <row r="762">
      <c r="A762" s="12" t="n"/>
      <c r="B762">
        <f>IF($V762="","",INDEX('Per Line'!$C$2:$C$6001,$V762)&amp;"")</f>
        <v/>
      </c>
      <c r="C762" s="11">
        <f>IF($V762="","",INDEX('Per Line'!$D$2:$D$6001,$V762))</f>
        <v/>
      </c>
      <c r="D762">
        <f>IF($V762="","",INDEX('Per Line'!$E$2:$E$6001,$V762)&amp;"")</f>
        <v/>
      </c>
      <c r="E762">
        <f>IF($V762="","",INDEX('Per Line'!$G$2:$G$6001,$V762)&amp;"")</f>
        <v/>
      </c>
      <c r="F762">
        <f>IF($V762="","",INDEX('Per Line'!$H$2:$H$6001,$V762)&amp;"")</f>
        <v/>
      </c>
      <c r="G762">
        <f>IF($V762="","",INDEX('Per Line'!$I$2:$I$6001,$V762)&amp;"")</f>
        <v/>
      </c>
      <c r="H762">
        <f>IF($V762="","",INDEX('Per Line'!$J$2:$J$6001,$V762))</f>
        <v/>
      </c>
      <c r="I762" s="7">
        <f>IF($V762="","",H762*S762/100)</f>
        <v/>
      </c>
      <c r="J762">
        <f>IF($V762="","",INDEX('Per Line'!$S$2:$S$6001,$V762)&amp;"")</f>
        <v/>
      </c>
      <c r="K762" s="7">
        <f>IF($V762="","",SUMIFS('Per Line'!$R$2:$R$6001,'Per Line'!$C$2:$C$6001,$B762,'Per Line'!$AJ$2:$AJ$6001,1))</f>
        <v/>
      </c>
      <c r="L762">
        <f>IF($V762="","",Settings!$C$7)</f>
        <v/>
      </c>
      <c r="M762" s="7">
        <f>IF($V762="","",SUMIFS('Per Line'!$R$2:$R$6001,'Per Line'!$C$2:$C$6001,$B762,'Per Line'!$AI$2:$AI$6001,0,'Per Line'!$AJ$2:$AJ$6001,0))</f>
        <v/>
      </c>
      <c r="N762" s="7">
        <f>IF($V762="","",M762*L762)</f>
        <v/>
      </c>
      <c r="O762">
        <f>IF($V762="","",Settings!$C$6)</f>
        <v/>
      </c>
      <c r="P762" s="7">
        <f>IF($V762="","",SUMIFS('Per Line'!$R$2:$R$6001,'Per Line'!$C$2:$C$6001,$B762,'Per Line'!$AI$2:$AI$6001,1,'Per Line'!$AJ$2:$AJ$6001,0))</f>
        <v/>
      </c>
      <c r="Q762" s="7">
        <f>IF($V762="","",P762*O762)</f>
        <v/>
      </c>
      <c r="R762" s="7">
        <f>IF($V762="","",Q762+N762)</f>
        <v/>
      </c>
      <c r="S762" s="7">
        <f>IF($V762="","",T762-R762)</f>
        <v/>
      </c>
      <c r="T762" s="7">
        <f>IF($V762="","",M762+P762+K762)</f>
        <v/>
      </c>
      <c r="U762" s="7">
        <f>IF($V762="","",T762-R762-I762)</f>
        <v/>
      </c>
      <c r="V762" s="13">
        <f>IF(ROWS($V$2:$V762)&lt;=MAX('Per Line'!$AH$2:$AH$6001),MATCH(ROWS($V$2:$V762),'Per Line'!$AH$2:$AH$6001,0),"")</f>
        <v/>
      </c>
    </row>
    <row r="763">
      <c r="A763" s="12" t="n"/>
      <c r="B763">
        <f>IF($V763="","",INDEX('Per Line'!$C$2:$C$6001,$V763)&amp;"")</f>
        <v/>
      </c>
      <c r="C763" s="11">
        <f>IF($V763="","",INDEX('Per Line'!$D$2:$D$6001,$V763))</f>
        <v/>
      </c>
      <c r="D763">
        <f>IF($V763="","",INDEX('Per Line'!$E$2:$E$6001,$V763)&amp;"")</f>
        <v/>
      </c>
      <c r="E763">
        <f>IF($V763="","",INDEX('Per Line'!$G$2:$G$6001,$V763)&amp;"")</f>
        <v/>
      </c>
      <c r="F763">
        <f>IF($V763="","",INDEX('Per Line'!$H$2:$H$6001,$V763)&amp;"")</f>
        <v/>
      </c>
      <c r="G763">
        <f>IF($V763="","",INDEX('Per Line'!$I$2:$I$6001,$V763)&amp;"")</f>
        <v/>
      </c>
      <c r="H763">
        <f>IF($V763="","",INDEX('Per Line'!$J$2:$J$6001,$V763))</f>
        <v/>
      </c>
      <c r="I763" s="7">
        <f>IF($V763="","",H763*S763/100)</f>
        <v/>
      </c>
      <c r="J763">
        <f>IF($V763="","",INDEX('Per Line'!$S$2:$S$6001,$V763)&amp;"")</f>
        <v/>
      </c>
      <c r="K763" s="7">
        <f>IF($V763="","",SUMIFS('Per Line'!$R$2:$R$6001,'Per Line'!$C$2:$C$6001,$B763,'Per Line'!$AJ$2:$AJ$6001,1))</f>
        <v/>
      </c>
      <c r="L763">
        <f>IF($V763="","",Settings!$C$7)</f>
        <v/>
      </c>
      <c r="M763" s="7">
        <f>IF($V763="","",SUMIFS('Per Line'!$R$2:$R$6001,'Per Line'!$C$2:$C$6001,$B763,'Per Line'!$AI$2:$AI$6001,0,'Per Line'!$AJ$2:$AJ$6001,0))</f>
        <v/>
      </c>
      <c r="N763" s="7">
        <f>IF($V763="","",M763*L763)</f>
        <v/>
      </c>
      <c r="O763">
        <f>IF($V763="","",Settings!$C$6)</f>
        <v/>
      </c>
      <c r="P763" s="7">
        <f>IF($V763="","",SUMIFS('Per Line'!$R$2:$R$6001,'Per Line'!$C$2:$C$6001,$B763,'Per Line'!$AI$2:$AI$6001,1,'Per Line'!$AJ$2:$AJ$6001,0))</f>
        <v/>
      </c>
      <c r="Q763" s="7">
        <f>IF($V763="","",P763*O763)</f>
        <v/>
      </c>
      <c r="R763" s="7">
        <f>IF($V763="","",Q763+N763)</f>
        <v/>
      </c>
      <c r="S763" s="7">
        <f>IF($V763="","",T763-R763)</f>
        <v/>
      </c>
      <c r="T763" s="7">
        <f>IF($V763="","",M763+P763+K763)</f>
        <v/>
      </c>
      <c r="U763" s="7">
        <f>IF($V763="","",T763-R763-I763)</f>
        <v/>
      </c>
      <c r="V763" s="13">
        <f>IF(ROWS($V$2:$V763)&lt;=MAX('Per Line'!$AH$2:$AH$6001),MATCH(ROWS($V$2:$V763),'Per Line'!$AH$2:$AH$6001,0),"")</f>
        <v/>
      </c>
    </row>
    <row r="764">
      <c r="A764" s="12" t="n"/>
      <c r="B764">
        <f>IF($V764="","",INDEX('Per Line'!$C$2:$C$6001,$V764)&amp;"")</f>
        <v/>
      </c>
      <c r="C764" s="11">
        <f>IF($V764="","",INDEX('Per Line'!$D$2:$D$6001,$V764))</f>
        <v/>
      </c>
      <c r="D764">
        <f>IF($V764="","",INDEX('Per Line'!$E$2:$E$6001,$V764)&amp;"")</f>
        <v/>
      </c>
      <c r="E764">
        <f>IF($V764="","",INDEX('Per Line'!$G$2:$G$6001,$V764)&amp;"")</f>
        <v/>
      </c>
      <c r="F764">
        <f>IF($V764="","",INDEX('Per Line'!$H$2:$H$6001,$V764)&amp;"")</f>
        <v/>
      </c>
      <c r="G764">
        <f>IF($V764="","",INDEX('Per Line'!$I$2:$I$6001,$V764)&amp;"")</f>
        <v/>
      </c>
      <c r="H764">
        <f>IF($V764="","",INDEX('Per Line'!$J$2:$J$6001,$V764))</f>
        <v/>
      </c>
      <c r="I764" s="7">
        <f>IF($V764="","",H764*S764/100)</f>
        <v/>
      </c>
      <c r="J764">
        <f>IF($V764="","",INDEX('Per Line'!$S$2:$S$6001,$V764)&amp;"")</f>
        <v/>
      </c>
      <c r="K764" s="7">
        <f>IF($V764="","",SUMIFS('Per Line'!$R$2:$R$6001,'Per Line'!$C$2:$C$6001,$B764,'Per Line'!$AJ$2:$AJ$6001,1))</f>
        <v/>
      </c>
      <c r="L764">
        <f>IF($V764="","",Settings!$C$7)</f>
        <v/>
      </c>
      <c r="M764" s="7">
        <f>IF($V764="","",SUMIFS('Per Line'!$R$2:$R$6001,'Per Line'!$C$2:$C$6001,$B764,'Per Line'!$AI$2:$AI$6001,0,'Per Line'!$AJ$2:$AJ$6001,0))</f>
        <v/>
      </c>
      <c r="N764" s="7">
        <f>IF($V764="","",M764*L764)</f>
        <v/>
      </c>
      <c r="O764">
        <f>IF($V764="","",Settings!$C$6)</f>
        <v/>
      </c>
      <c r="P764" s="7">
        <f>IF($V764="","",SUMIFS('Per Line'!$R$2:$R$6001,'Per Line'!$C$2:$C$6001,$B764,'Per Line'!$AI$2:$AI$6001,1,'Per Line'!$AJ$2:$AJ$6001,0))</f>
        <v/>
      </c>
      <c r="Q764" s="7">
        <f>IF($V764="","",P764*O764)</f>
        <v/>
      </c>
      <c r="R764" s="7">
        <f>IF($V764="","",Q764+N764)</f>
        <v/>
      </c>
      <c r="S764" s="7">
        <f>IF($V764="","",T764-R764)</f>
        <v/>
      </c>
      <c r="T764" s="7">
        <f>IF($V764="","",M764+P764+K764)</f>
        <v/>
      </c>
      <c r="U764" s="7">
        <f>IF($V764="","",T764-R764-I764)</f>
        <v/>
      </c>
      <c r="V764" s="13">
        <f>IF(ROWS($V$2:$V764)&lt;=MAX('Per Line'!$AH$2:$AH$6001),MATCH(ROWS($V$2:$V764),'Per Line'!$AH$2:$AH$6001,0),"")</f>
        <v/>
      </c>
    </row>
    <row r="765">
      <c r="A765" s="12" t="n"/>
      <c r="B765">
        <f>IF($V765="","",INDEX('Per Line'!$C$2:$C$6001,$V765)&amp;"")</f>
        <v/>
      </c>
      <c r="C765" s="11">
        <f>IF($V765="","",INDEX('Per Line'!$D$2:$D$6001,$V765))</f>
        <v/>
      </c>
      <c r="D765">
        <f>IF($V765="","",INDEX('Per Line'!$E$2:$E$6001,$V765)&amp;"")</f>
        <v/>
      </c>
      <c r="E765">
        <f>IF($V765="","",INDEX('Per Line'!$G$2:$G$6001,$V765)&amp;"")</f>
        <v/>
      </c>
      <c r="F765">
        <f>IF($V765="","",INDEX('Per Line'!$H$2:$H$6001,$V765)&amp;"")</f>
        <v/>
      </c>
      <c r="G765">
        <f>IF($V765="","",INDEX('Per Line'!$I$2:$I$6001,$V765)&amp;"")</f>
        <v/>
      </c>
      <c r="H765">
        <f>IF($V765="","",INDEX('Per Line'!$J$2:$J$6001,$V765))</f>
        <v/>
      </c>
      <c r="I765" s="7">
        <f>IF($V765="","",H765*S765/100)</f>
        <v/>
      </c>
      <c r="J765">
        <f>IF($V765="","",INDEX('Per Line'!$S$2:$S$6001,$V765)&amp;"")</f>
        <v/>
      </c>
      <c r="K765" s="7">
        <f>IF($V765="","",SUMIFS('Per Line'!$R$2:$R$6001,'Per Line'!$C$2:$C$6001,$B765,'Per Line'!$AJ$2:$AJ$6001,1))</f>
        <v/>
      </c>
      <c r="L765">
        <f>IF($V765="","",Settings!$C$7)</f>
        <v/>
      </c>
      <c r="M765" s="7">
        <f>IF($V765="","",SUMIFS('Per Line'!$R$2:$R$6001,'Per Line'!$C$2:$C$6001,$B765,'Per Line'!$AI$2:$AI$6001,0,'Per Line'!$AJ$2:$AJ$6001,0))</f>
        <v/>
      </c>
      <c r="N765" s="7">
        <f>IF($V765="","",M765*L765)</f>
        <v/>
      </c>
      <c r="O765">
        <f>IF($V765="","",Settings!$C$6)</f>
        <v/>
      </c>
      <c r="P765" s="7">
        <f>IF($V765="","",SUMIFS('Per Line'!$R$2:$R$6001,'Per Line'!$C$2:$C$6001,$B765,'Per Line'!$AI$2:$AI$6001,1,'Per Line'!$AJ$2:$AJ$6001,0))</f>
        <v/>
      </c>
      <c r="Q765" s="7">
        <f>IF($V765="","",P765*O765)</f>
        <v/>
      </c>
      <c r="R765" s="7">
        <f>IF($V765="","",Q765+N765)</f>
        <v/>
      </c>
      <c r="S765" s="7">
        <f>IF($V765="","",T765-R765)</f>
        <v/>
      </c>
      <c r="T765" s="7">
        <f>IF($V765="","",M765+P765+K765)</f>
        <v/>
      </c>
      <c r="U765" s="7">
        <f>IF($V765="","",T765-R765-I765)</f>
        <v/>
      </c>
      <c r="V765" s="13">
        <f>IF(ROWS($V$2:$V765)&lt;=MAX('Per Line'!$AH$2:$AH$6001),MATCH(ROWS($V$2:$V765),'Per Line'!$AH$2:$AH$6001,0),"")</f>
        <v/>
      </c>
    </row>
    <row r="766">
      <c r="A766" s="12" t="n"/>
      <c r="B766">
        <f>IF($V766="","",INDEX('Per Line'!$C$2:$C$6001,$V766)&amp;"")</f>
        <v/>
      </c>
      <c r="C766" s="11">
        <f>IF($V766="","",INDEX('Per Line'!$D$2:$D$6001,$V766))</f>
        <v/>
      </c>
      <c r="D766">
        <f>IF($V766="","",INDEX('Per Line'!$E$2:$E$6001,$V766)&amp;"")</f>
        <v/>
      </c>
      <c r="E766">
        <f>IF($V766="","",INDEX('Per Line'!$G$2:$G$6001,$V766)&amp;"")</f>
        <v/>
      </c>
      <c r="F766">
        <f>IF($V766="","",INDEX('Per Line'!$H$2:$H$6001,$V766)&amp;"")</f>
        <v/>
      </c>
      <c r="G766">
        <f>IF($V766="","",INDEX('Per Line'!$I$2:$I$6001,$V766)&amp;"")</f>
        <v/>
      </c>
      <c r="H766">
        <f>IF($V766="","",INDEX('Per Line'!$J$2:$J$6001,$V766))</f>
        <v/>
      </c>
      <c r="I766" s="7">
        <f>IF($V766="","",H766*S766/100)</f>
        <v/>
      </c>
      <c r="J766">
        <f>IF($V766="","",INDEX('Per Line'!$S$2:$S$6001,$V766)&amp;"")</f>
        <v/>
      </c>
      <c r="K766" s="7">
        <f>IF($V766="","",SUMIFS('Per Line'!$R$2:$R$6001,'Per Line'!$C$2:$C$6001,$B766,'Per Line'!$AJ$2:$AJ$6001,1))</f>
        <v/>
      </c>
      <c r="L766">
        <f>IF($V766="","",Settings!$C$7)</f>
        <v/>
      </c>
      <c r="M766" s="7">
        <f>IF($V766="","",SUMIFS('Per Line'!$R$2:$R$6001,'Per Line'!$C$2:$C$6001,$B766,'Per Line'!$AI$2:$AI$6001,0,'Per Line'!$AJ$2:$AJ$6001,0))</f>
        <v/>
      </c>
      <c r="N766" s="7">
        <f>IF($V766="","",M766*L766)</f>
        <v/>
      </c>
      <c r="O766">
        <f>IF($V766="","",Settings!$C$6)</f>
        <v/>
      </c>
      <c r="P766" s="7">
        <f>IF($V766="","",SUMIFS('Per Line'!$R$2:$R$6001,'Per Line'!$C$2:$C$6001,$B766,'Per Line'!$AI$2:$AI$6001,1,'Per Line'!$AJ$2:$AJ$6001,0))</f>
        <v/>
      </c>
      <c r="Q766" s="7">
        <f>IF($V766="","",P766*O766)</f>
        <v/>
      </c>
      <c r="R766" s="7">
        <f>IF($V766="","",Q766+N766)</f>
        <v/>
      </c>
      <c r="S766" s="7">
        <f>IF($V766="","",T766-R766)</f>
        <v/>
      </c>
      <c r="T766" s="7">
        <f>IF($V766="","",M766+P766+K766)</f>
        <v/>
      </c>
      <c r="U766" s="7">
        <f>IF($V766="","",T766-R766-I766)</f>
        <v/>
      </c>
      <c r="V766" s="13">
        <f>IF(ROWS($V$2:$V766)&lt;=MAX('Per Line'!$AH$2:$AH$6001),MATCH(ROWS($V$2:$V766),'Per Line'!$AH$2:$AH$6001,0),"")</f>
        <v/>
      </c>
    </row>
    <row r="767">
      <c r="A767" s="12" t="n"/>
      <c r="B767">
        <f>IF($V767="","",INDEX('Per Line'!$C$2:$C$6001,$V767)&amp;"")</f>
        <v/>
      </c>
      <c r="C767" s="11">
        <f>IF($V767="","",INDEX('Per Line'!$D$2:$D$6001,$V767))</f>
        <v/>
      </c>
      <c r="D767">
        <f>IF($V767="","",INDEX('Per Line'!$E$2:$E$6001,$V767)&amp;"")</f>
        <v/>
      </c>
      <c r="E767">
        <f>IF($V767="","",INDEX('Per Line'!$G$2:$G$6001,$V767)&amp;"")</f>
        <v/>
      </c>
      <c r="F767">
        <f>IF($V767="","",INDEX('Per Line'!$H$2:$H$6001,$V767)&amp;"")</f>
        <v/>
      </c>
      <c r="G767">
        <f>IF($V767="","",INDEX('Per Line'!$I$2:$I$6001,$V767)&amp;"")</f>
        <v/>
      </c>
      <c r="H767">
        <f>IF($V767="","",INDEX('Per Line'!$J$2:$J$6001,$V767))</f>
        <v/>
      </c>
      <c r="I767" s="7">
        <f>IF($V767="","",H767*S767/100)</f>
        <v/>
      </c>
      <c r="J767">
        <f>IF($V767="","",INDEX('Per Line'!$S$2:$S$6001,$V767)&amp;"")</f>
        <v/>
      </c>
      <c r="K767" s="7">
        <f>IF($V767="","",SUMIFS('Per Line'!$R$2:$R$6001,'Per Line'!$C$2:$C$6001,$B767,'Per Line'!$AJ$2:$AJ$6001,1))</f>
        <v/>
      </c>
      <c r="L767">
        <f>IF($V767="","",Settings!$C$7)</f>
        <v/>
      </c>
      <c r="M767" s="7">
        <f>IF($V767="","",SUMIFS('Per Line'!$R$2:$R$6001,'Per Line'!$C$2:$C$6001,$B767,'Per Line'!$AI$2:$AI$6001,0,'Per Line'!$AJ$2:$AJ$6001,0))</f>
        <v/>
      </c>
      <c r="N767" s="7">
        <f>IF($V767="","",M767*L767)</f>
        <v/>
      </c>
      <c r="O767">
        <f>IF($V767="","",Settings!$C$6)</f>
        <v/>
      </c>
      <c r="P767" s="7">
        <f>IF($V767="","",SUMIFS('Per Line'!$R$2:$R$6001,'Per Line'!$C$2:$C$6001,$B767,'Per Line'!$AI$2:$AI$6001,1,'Per Line'!$AJ$2:$AJ$6001,0))</f>
        <v/>
      </c>
      <c r="Q767" s="7">
        <f>IF($V767="","",P767*O767)</f>
        <v/>
      </c>
      <c r="R767" s="7">
        <f>IF($V767="","",Q767+N767)</f>
        <v/>
      </c>
      <c r="S767" s="7">
        <f>IF($V767="","",T767-R767)</f>
        <v/>
      </c>
      <c r="T767" s="7">
        <f>IF($V767="","",M767+P767+K767)</f>
        <v/>
      </c>
      <c r="U767" s="7">
        <f>IF($V767="","",T767-R767-I767)</f>
        <v/>
      </c>
      <c r="V767" s="13">
        <f>IF(ROWS($V$2:$V767)&lt;=MAX('Per Line'!$AH$2:$AH$6001),MATCH(ROWS($V$2:$V767),'Per Line'!$AH$2:$AH$6001,0),"")</f>
        <v/>
      </c>
    </row>
    <row r="768">
      <c r="A768" s="12" t="n"/>
      <c r="B768">
        <f>IF($V768="","",INDEX('Per Line'!$C$2:$C$6001,$V768)&amp;"")</f>
        <v/>
      </c>
      <c r="C768" s="11">
        <f>IF($V768="","",INDEX('Per Line'!$D$2:$D$6001,$V768))</f>
        <v/>
      </c>
      <c r="D768">
        <f>IF($V768="","",INDEX('Per Line'!$E$2:$E$6001,$V768)&amp;"")</f>
        <v/>
      </c>
      <c r="E768">
        <f>IF($V768="","",INDEX('Per Line'!$G$2:$G$6001,$V768)&amp;"")</f>
        <v/>
      </c>
      <c r="F768">
        <f>IF($V768="","",INDEX('Per Line'!$H$2:$H$6001,$V768)&amp;"")</f>
        <v/>
      </c>
      <c r="G768">
        <f>IF($V768="","",INDEX('Per Line'!$I$2:$I$6001,$V768)&amp;"")</f>
        <v/>
      </c>
      <c r="H768">
        <f>IF($V768="","",INDEX('Per Line'!$J$2:$J$6001,$V768))</f>
        <v/>
      </c>
      <c r="I768" s="7">
        <f>IF($V768="","",H768*S768/100)</f>
        <v/>
      </c>
      <c r="J768">
        <f>IF($V768="","",INDEX('Per Line'!$S$2:$S$6001,$V768)&amp;"")</f>
        <v/>
      </c>
      <c r="K768" s="7">
        <f>IF($V768="","",SUMIFS('Per Line'!$R$2:$R$6001,'Per Line'!$C$2:$C$6001,$B768,'Per Line'!$AJ$2:$AJ$6001,1))</f>
        <v/>
      </c>
      <c r="L768">
        <f>IF($V768="","",Settings!$C$7)</f>
        <v/>
      </c>
      <c r="M768" s="7">
        <f>IF($V768="","",SUMIFS('Per Line'!$R$2:$R$6001,'Per Line'!$C$2:$C$6001,$B768,'Per Line'!$AI$2:$AI$6001,0,'Per Line'!$AJ$2:$AJ$6001,0))</f>
        <v/>
      </c>
      <c r="N768" s="7">
        <f>IF($V768="","",M768*L768)</f>
        <v/>
      </c>
      <c r="O768">
        <f>IF($V768="","",Settings!$C$6)</f>
        <v/>
      </c>
      <c r="P768" s="7">
        <f>IF($V768="","",SUMIFS('Per Line'!$R$2:$R$6001,'Per Line'!$C$2:$C$6001,$B768,'Per Line'!$AI$2:$AI$6001,1,'Per Line'!$AJ$2:$AJ$6001,0))</f>
        <v/>
      </c>
      <c r="Q768" s="7">
        <f>IF($V768="","",P768*O768)</f>
        <v/>
      </c>
      <c r="R768" s="7">
        <f>IF($V768="","",Q768+N768)</f>
        <v/>
      </c>
      <c r="S768" s="7">
        <f>IF($V768="","",T768-R768)</f>
        <v/>
      </c>
      <c r="T768" s="7">
        <f>IF($V768="","",M768+P768+K768)</f>
        <v/>
      </c>
      <c r="U768" s="7">
        <f>IF($V768="","",T768-R768-I768)</f>
        <v/>
      </c>
      <c r="V768" s="13">
        <f>IF(ROWS($V$2:$V768)&lt;=MAX('Per Line'!$AH$2:$AH$6001),MATCH(ROWS($V$2:$V768),'Per Line'!$AH$2:$AH$6001,0),"")</f>
        <v/>
      </c>
    </row>
    <row r="769">
      <c r="A769" s="12" t="n"/>
      <c r="B769">
        <f>IF($V769="","",INDEX('Per Line'!$C$2:$C$6001,$V769)&amp;"")</f>
        <v/>
      </c>
      <c r="C769" s="11">
        <f>IF($V769="","",INDEX('Per Line'!$D$2:$D$6001,$V769))</f>
        <v/>
      </c>
      <c r="D769">
        <f>IF($V769="","",INDEX('Per Line'!$E$2:$E$6001,$V769)&amp;"")</f>
        <v/>
      </c>
      <c r="E769">
        <f>IF($V769="","",INDEX('Per Line'!$G$2:$G$6001,$V769)&amp;"")</f>
        <v/>
      </c>
      <c r="F769">
        <f>IF($V769="","",INDEX('Per Line'!$H$2:$H$6001,$V769)&amp;"")</f>
        <v/>
      </c>
      <c r="G769">
        <f>IF($V769="","",INDEX('Per Line'!$I$2:$I$6001,$V769)&amp;"")</f>
        <v/>
      </c>
      <c r="H769">
        <f>IF($V769="","",INDEX('Per Line'!$J$2:$J$6001,$V769))</f>
        <v/>
      </c>
      <c r="I769" s="7">
        <f>IF($V769="","",H769*S769/100)</f>
        <v/>
      </c>
      <c r="J769">
        <f>IF($V769="","",INDEX('Per Line'!$S$2:$S$6001,$V769)&amp;"")</f>
        <v/>
      </c>
      <c r="K769" s="7">
        <f>IF($V769="","",SUMIFS('Per Line'!$R$2:$R$6001,'Per Line'!$C$2:$C$6001,$B769,'Per Line'!$AJ$2:$AJ$6001,1))</f>
        <v/>
      </c>
      <c r="L769">
        <f>IF($V769="","",Settings!$C$7)</f>
        <v/>
      </c>
      <c r="M769" s="7">
        <f>IF($V769="","",SUMIFS('Per Line'!$R$2:$R$6001,'Per Line'!$C$2:$C$6001,$B769,'Per Line'!$AI$2:$AI$6001,0,'Per Line'!$AJ$2:$AJ$6001,0))</f>
        <v/>
      </c>
      <c r="N769" s="7">
        <f>IF($V769="","",M769*L769)</f>
        <v/>
      </c>
      <c r="O769">
        <f>IF($V769="","",Settings!$C$6)</f>
        <v/>
      </c>
      <c r="P769" s="7">
        <f>IF($V769="","",SUMIFS('Per Line'!$R$2:$R$6001,'Per Line'!$C$2:$C$6001,$B769,'Per Line'!$AI$2:$AI$6001,1,'Per Line'!$AJ$2:$AJ$6001,0))</f>
        <v/>
      </c>
      <c r="Q769" s="7">
        <f>IF($V769="","",P769*O769)</f>
        <v/>
      </c>
      <c r="R769" s="7">
        <f>IF($V769="","",Q769+N769)</f>
        <v/>
      </c>
      <c r="S769" s="7">
        <f>IF($V769="","",T769-R769)</f>
        <v/>
      </c>
      <c r="T769" s="7">
        <f>IF($V769="","",M769+P769+K769)</f>
        <v/>
      </c>
      <c r="U769" s="7">
        <f>IF($V769="","",T769-R769-I769)</f>
        <v/>
      </c>
      <c r="V769" s="13">
        <f>IF(ROWS($V$2:$V769)&lt;=MAX('Per Line'!$AH$2:$AH$6001),MATCH(ROWS($V$2:$V769),'Per Line'!$AH$2:$AH$6001,0),"")</f>
        <v/>
      </c>
    </row>
    <row r="770">
      <c r="A770" s="12" t="n"/>
      <c r="B770">
        <f>IF($V770="","",INDEX('Per Line'!$C$2:$C$6001,$V770)&amp;"")</f>
        <v/>
      </c>
      <c r="C770" s="11">
        <f>IF($V770="","",INDEX('Per Line'!$D$2:$D$6001,$V770))</f>
        <v/>
      </c>
      <c r="D770">
        <f>IF($V770="","",INDEX('Per Line'!$E$2:$E$6001,$V770)&amp;"")</f>
        <v/>
      </c>
      <c r="E770">
        <f>IF($V770="","",INDEX('Per Line'!$G$2:$G$6001,$V770)&amp;"")</f>
        <v/>
      </c>
      <c r="F770">
        <f>IF($V770="","",INDEX('Per Line'!$H$2:$H$6001,$V770)&amp;"")</f>
        <v/>
      </c>
      <c r="G770">
        <f>IF($V770="","",INDEX('Per Line'!$I$2:$I$6001,$V770)&amp;"")</f>
        <v/>
      </c>
      <c r="H770">
        <f>IF($V770="","",INDEX('Per Line'!$J$2:$J$6001,$V770))</f>
        <v/>
      </c>
      <c r="I770" s="7">
        <f>IF($V770="","",H770*S770/100)</f>
        <v/>
      </c>
      <c r="J770">
        <f>IF($V770="","",INDEX('Per Line'!$S$2:$S$6001,$V770)&amp;"")</f>
        <v/>
      </c>
      <c r="K770" s="7">
        <f>IF($V770="","",SUMIFS('Per Line'!$R$2:$R$6001,'Per Line'!$C$2:$C$6001,$B770,'Per Line'!$AJ$2:$AJ$6001,1))</f>
        <v/>
      </c>
      <c r="L770">
        <f>IF($V770="","",Settings!$C$7)</f>
        <v/>
      </c>
      <c r="M770" s="7">
        <f>IF($V770="","",SUMIFS('Per Line'!$R$2:$R$6001,'Per Line'!$C$2:$C$6001,$B770,'Per Line'!$AI$2:$AI$6001,0,'Per Line'!$AJ$2:$AJ$6001,0))</f>
        <v/>
      </c>
      <c r="N770" s="7">
        <f>IF($V770="","",M770*L770)</f>
        <v/>
      </c>
      <c r="O770">
        <f>IF($V770="","",Settings!$C$6)</f>
        <v/>
      </c>
      <c r="P770" s="7">
        <f>IF($V770="","",SUMIFS('Per Line'!$R$2:$R$6001,'Per Line'!$C$2:$C$6001,$B770,'Per Line'!$AI$2:$AI$6001,1,'Per Line'!$AJ$2:$AJ$6001,0))</f>
        <v/>
      </c>
      <c r="Q770" s="7">
        <f>IF($V770="","",P770*O770)</f>
        <v/>
      </c>
      <c r="R770" s="7">
        <f>IF($V770="","",Q770+N770)</f>
        <v/>
      </c>
      <c r="S770" s="7">
        <f>IF($V770="","",T770-R770)</f>
        <v/>
      </c>
      <c r="T770" s="7">
        <f>IF($V770="","",M770+P770+K770)</f>
        <v/>
      </c>
      <c r="U770" s="7">
        <f>IF($V770="","",T770-R770-I770)</f>
        <v/>
      </c>
      <c r="V770" s="13">
        <f>IF(ROWS($V$2:$V770)&lt;=MAX('Per Line'!$AH$2:$AH$6001),MATCH(ROWS($V$2:$V770),'Per Line'!$AH$2:$AH$6001,0),"")</f>
        <v/>
      </c>
    </row>
    <row r="771">
      <c r="A771" s="12" t="n"/>
      <c r="B771">
        <f>IF($V771="","",INDEX('Per Line'!$C$2:$C$6001,$V771)&amp;"")</f>
        <v/>
      </c>
      <c r="C771" s="11">
        <f>IF($V771="","",INDEX('Per Line'!$D$2:$D$6001,$V771))</f>
        <v/>
      </c>
      <c r="D771">
        <f>IF($V771="","",INDEX('Per Line'!$E$2:$E$6001,$V771)&amp;"")</f>
        <v/>
      </c>
      <c r="E771">
        <f>IF($V771="","",INDEX('Per Line'!$G$2:$G$6001,$V771)&amp;"")</f>
        <v/>
      </c>
      <c r="F771">
        <f>IF($V771="","",INDEX('Per Line'!$H$2:$H$6001,$V771)&amp;"")</f>
        <v/>
      </c>
      <c r="G771">
        <f>IF($V771="","",INDEX('Per Line'!$I$2:$I$6001,$V771)&amp;"")</f>
        <v/>
      </c>
      <c r="H771">
        <f>IF($V771="","",INDEX('Per Line'!$J$2:$J$6001,$V771))</f>
        <v/>
      </c>
      <c r="I771" s="7">
        <f>IF($V771="","",H771*S771/100)</f>
        <v/>
      </c>
      <c r="J771">
        <f>IF($V771="","",INDEX('Per Line'!$S$2:$S$6001,$V771)&amp;"")</f>
        <v/>
      </c>
      <c r="K771" s="7">
        <f>IF($V771="","",SUMIFS('Per Line'!$R$2:$R$6001,'Per Line'!$C$2:$C$6001,$B771,'Per Line'!$AJ$2:$AJ$6001,1))</f>
        <v/>
      </c>
      <c r="L771">
        <f>IF($V771="","",Settings!$C$7)</f>
        <v/>
      </c>
      <c r="M771" s="7">
        <f>IF($V771="","",SUMIFS('Per Line'!$R$2:$R$6001,'Per Line'!$C$2:$C$6001,$B771,'Per Line'!$AI$2:$AI$6001,0,'Per Line'!$AJ$2:$AJ$6001,0))</f>
        <v/>
      </c>
      <c r="N771" s="7">
        <f>IF($V771="","",M771*L771)</f>
        <v/>
      </c>
      <c r="O771">
        <f>IF($V771="","",Settings!$C$6)</f>
        <v/>
      </c>
      <c r="P771" s="7">
        <f>IF($V771="","",SUMIFS('Per Line'!$R$2:$R$6001,'Per Line'!$C$2:$C$6001,$B771,'Per Line'!$AI$2:$AI$6001,1,'Per Line'!$AJ$2:$AJ$6001,0))</f>
        <v/>
      </c>
      <c r="Q771" s="7">
        <f>IF($V771="","",P771*O771)</f>
        <v/>
      </c>
      <c r="R771" s="7">
        <f>IF($V771="","",Q771+N771)</f>
        <v/>
      </c>
      <c r="S771" s="7">
        <f>IF($V771="","",T771-R771)</f>
        <v/>
      </c>
      <c r="T771" s="7">
        <f>IF($V771="","",M771+P771+K771)</f>
        <v/>
      </c>
      <c r="U771" s="7">
        <f>IF($V771="","",T771-R771-I771)</f>
        <v/>
      </c>
      <c r="V771" s="13">
        <f>IF(ROWS($V$2:$V771)&lt;=MAX('Per Line'!$AH$2:$AH$6001),MATCH(ROWS($V$2:$V771),'Per Line'!$AH$2:$AH$6001,0),"")</f>
        <v/>
      </c>
    </row>
    <row r="772">
      <c r="A772" s="12" t="n"/>
      <c r="B772">
        <f>IF($V772="","",INDEX('Per Line'!$C$2:$C$6001,$V772)&amp;"")</f>
        <v/>
      </c>
      <c r="C772" s="11">
        <f>IF($V772="","",INDEX('Per Line'!$D$2:$D$6001,$V772))</f>
        <v/>
      </c>
      <c r="D772">
        <f>IF($V772="","",INDEX('Per Line'!$E$2:$E$6001,$V772)&amp;"")</f>
        <v/>
      </c>
      <c r="E772">
        <f>IF($V772="","",INDEX('Per Line'!$G$2:$G$6001,$V772)&amp;"")</f>
        <v/>
      </c>
      <c r="F772">
        <f>IF($V772="","",INDEX('Per Line'!$H$2:$H$6001,$V772)&amp;"")</f>
        <v/>
      </c>
      <c r="G772">
        <f>IF($V772="","",INDEX('Per Line'!$I$2:$I$6001,$V772)&amp;"")</f>
        <v/>
      </c>
      <c r="H772">
        <f>IF($V772="","",INDEX('Per Line'!$J$2:$J$6001,$V772))</f>
        <v/>
      </c>
      <c r="I772" s="7">
        <f>IF($V772="","",H772*S772/100)</f>
        <v/>
      </c>
      <c r="J772">
        <f>IF($V772="","",INDEX('Per Line'!$S$2:$S$6001,$V772)&amp;"")</f>
        <v/>
      </c>
      <c r="K772" s="7">
        <f>IF($V772="","",SUMIFS('Per Line'!$R$2:$R$6001,'Per Line'!$C$2:$C$6001,$B772,'Per Line'!$AJ$2:$AJ$6001,1))</f>
        <v/>
      </c>
      <c r="L772">
        <f>IF($V772="","",Settings!$C$7)</f>
        <v/>
      </c>
      <c r="M772" s="7">
        <f>IF($V772="","",SUMIFS('Per Line'!$R$2:$R$6001,'Per Line'!$C$2:$C$6001,$B772,'Per Line'!$AI$2:$AI$6001,0,'Per Line'!$AJ$2:$AJ$6001,0))</f>
        <v/>
      </c>
      <c r="N772" s="7">
        <f>IF($V772="","",M772*L772)</f>
        <v/>
      </c>
      <c r="O772">
        <f>IF($V772="","",Settings!$C$6)</f>
        <v/>
      </c>
      <c r="P772" s="7">
        <f>IF($V772="","",SUMIFS('Per Line'!$R$2:$R$6001,'Per Line'!$C$2:$C$6001,$B772,'Per Line'!$AI$2:$AI$6001,1,'Per Line'!$AJ$2:$AJ$6001,0))</f>
        <v/>
      </c>
      <c r="Q772" s="7">
        <f>IF($V772="","",P772*O772)</f>
        <v/>
      </c>
      <c r="R772" s="7">
        <f>IF($V772="","",Q772+N772)</f>
        <v/>
      </c>
      <c r="S772" s="7">
        <f>IF($V772="","",T772-R772)</f>
        <v/>
      </c>
      <c r="T772" s="7">
        <f>IF($V772="","",M772+P772+K772)</f>
        <v/>
      </c>
      <c r="U772" s="7">
        <f>IF($V772="","",T772-R772-I772)</f>
        <v/>
      </c>
      <c r="V772" s="13">
        <f>IF(ROWS($V$2:$V772)&lt;=MAX('Per Line'!$AH$2:$AH$6001),MATCH(ROWS($V$2:$V772),'Per Line'!$AH$2:$AH$6001,0),"")</f>
        <v/>
      </c>
    </row>
    <row r="773">
      <c r="A773" s="12" t="n"/>
      <c r="B773">
        <f>IF($V773="","",INDEX('Per Line'!$C$2:$C$6001,$V773)&amp;"")</f>
        <v/>
      </c>
      <c r="C773" s="11">
        <f>IF($V773="","",INDEX('Per Line'!$D$2:$D$6001,$V773))</f>
        <v/>
      </c>
      <c r="D773">
        <f>IF($V773="","",INDEX('Per Line'!$E$2:$E$6001,$V773)&amp;"")</f>
        <v/>
      </c>
      <c r="E773">
        <f>IF($V773="","",INDEX('Per Line'!$G$2:$G$6001,$V773)&amp;"")</f>
        <v/>
      </c>
      <c r="F773">
        <f>IF($V773="","",INDEX('Per Line'!$H$2:$H$6001,$V773)&amp;"")</f>
        <v/>
      </c>
      <c r="G773">
        <f>IF($V773="","",INDEX('Per Line'!$I$2:$I$6001,$V773)&amp;"")</f>
        <v/>
      </c>
      <c r="H773">
        <f>IF($V773="","",INDEX('Per Line'!$J$2:$J$6001,$V773))</f>
        <v/>
      </c>
      <c r="I773" s="7">
        <f>IF($V773="","",H773*S773/100)</f>
        <v/>
      </c>
      <c r="J773">
        <f>IF($V773="","",INDEX('Per Line'!$S$2:$S$6001,$V773)&amp;"")</f>
        <v/>
      </c>
      <c r="K773" s="7">
        <f>IF($V773="","",SUMIFS('Per Line'!$R$2:$R$6001,'Per Line'!$C$2:$C$6001,$B773,'Per Line'!$AJ$2:$AJ$6001,1))</f>
        <v/>
      </c>
      <c r="L773">
        <f>IF($V773="","",Settings!$C$7)</f>
        <v/>
      </c>
      <c r="M773" s="7">
        <f>IF($V773="","",SUMIFS('Per Line'!$R$2:$R$6001,'Per Line'!$C$2:$C$6001,$B773,'Per Line'!$AI$2:$AI$6001,0,'Per Line'!$AJ$2:$AJ$6001,0))</f>
        <v/>
      </c>
      <c r="N773" s="7">
        <f>IF($V773="","",M773*L773)</f>
        <v/>
      </c>
      <c r="O773">
        <f>IF($V773="","",Settings!$C$6)</f>
        <v/>
      </c>
      <c r="P773" s="7">
        <f>IF($V773="","",SUMIFS('Per Line'!$R$2:$R$6001,'Per Line'!$C$2:$C$6001,$B773,'Per Line'!$AI$2:$AI$6001,1,'Per Line'!$AJ$2:$AJ$6001,0))</f>
        <v/>
      </c>
      <c r="Q773" s="7">
        <f>IF($V773="","",P773*O773)</f>
        <v/>
      </c>
      <c r="R773" s="7">
        <f>IF($V773="","",Q773+N773)</f>
        <v/>
      </c>
      <c r="S773" s="7">
        <f>IF($V773="","",T773-R773)</f>
        <v/>
      </c>
      <c r="T773" s="7">
        <f>IF($V773="","",M773+P773+K773)</f>
        <v/>
      </c>
      <c r="U773" s="7">
        <f>IF($V773="","",T773-R773-I773)</f>
        <v/>
      </c>
      <c r="V773" s="13">
        <f>IF(ROWS($V$2:$V773)&lt;=MAX('Per Line'!$AH$2:$AH$6001),MATCH(ROWS($V$2:$V773),'Per Line'!$AH$2:$AH$6001,0),"")</f>
        <v/>
      </c>
    </row>
    <row r="774">
      <c r="A774" s="12" t="n"/>
      <c r="B774">
        <f>IF($V774="","",INDEX('Per Line'!$C$2:$C$6001,$V774)&amp;"")</f>
        <v/>
      </c>
      <c r="C774" s="11">
        <f>IF($V774="","",INDEX('Per Line'!$D$2:$D$6001,$V774))</f>
        <v/>
      </c>
      <c r="D774">
        <f>IF($V774="","",INDEX('Per Line'!$E$2:$E$6001,$V774)&amp;"")</f>
        <v/>
      </c>
      <c r="E774">
        <f>IF($V774="","",INDEX('Per Line'!$G$2:$G$6001,$V774)&amp;"")</f>
        <v/>
      </c>
      <c r="F774">
        <f>IF($V774="","",INDEX('Per Line'!$H$2:$H$6001,$V774)&amp;"")</f>
        <v/>
      </c>
      <c r="G774">
        <f>IF($V774="","",INDEX('Per Line'!$I$2:$I$6001,$V774)&amp;"")</f>
        <v/>
      </c>
      <c r="H774">
        <f>IF($V774="","",INDEX('Per Line'!$J$2:$J$6001,$V774))</f>
        <v/>
      </c>
      <c r="I774" s="7">
        <f>IF($V774="","",H774*S774/100)</f>
        <v/>
      </c>
      <c r="J774">
        <f>IF($V774="","",INDEX('Per Line'!$S$2:$S$6001,$V774)&amp;"")</f>
        <v/>
      </c>
      <c r="K774" s="7">
        <f>IF($V774="","",SUMIFS('Per Line'!$R$2:$R$6001,'Per Line'!$C$2:$C$6001,$B774,'Per Line'!$AJ$2:$AJ$6001,1))</f>
        <v/>
      </c>
      <c r="L774">
        <f>IF($V774="","",Settings!$C$7)</f>
        <v/>
      </c>
      <c r="M774" s="7">
        <f>IF($V774="","",SUMIFS('Per Line'!$R$2:$R$6001,'Per Line'!$C$2:$C$6001,$B774,'Per Line'!$AI$2:$AI$6001,0,'Per Line'!$AJ$2:$AJ$6001,0))</f>
        <v/>
      </c>
      <c r="N774" s="7">
        <f>IF($V774="","",M774*L774)</f>
        <v/>
      </c>
      <c r="O774">
        <f>IF($V774="","",Settings!$C$6)</f>
        <v/>
      </c>
      <c r="P774" s="7">
        <f>IF($V774="","",SUMIFS('Per Line'!$R$2:$R$6001,'Per Line'!$C$2:$C$6001,$B774,'Per Line'!$AI$2:$AI$6001,1,'Per Line'!$AJ$2:$AJ$6001,0))</f>
        <v/>
      </c>
      <c r="Q774" s="7">
        <f>IF($V774="","",P774*O774)</f>
        <v/>
      </c>
      <c r="R774" s="7">
        <f>IF($V774="","",Q774+N774)</f>
        <v/>
      </c>
      <c r="S774" s="7">
        <f>IF($V774="","",T774-R774)</f>
        <v/>
      </c>
      <c r="T774" s="7">
        <f>IF($V774="","",M774+P774+K774)</f>
        <v/>
      </c>
      <c r="U774" s="7">
        <f>IF($V774="","",T774-R774-I774)</f>
        <v/>
      </c>
      <c r="V774" s="13">
        <f>IF(ROWS($V$2:$V774)&lt;=MAX('Per Line'!$AH$2:$AH$6001),MATCH(ROWS($V$2:$V774),'Per Line'!$AH$2:$AH$6001,0),"")</f>
        <v/>
      </c>
    </row>
    <row r="775">
      <c r="A775" s="12" t="n"/>
      <c r="B775">
        <f>IF($V775="","",INDEX('Per Line'!$C$2:$C$6001,$V775)&amp;"")</f>
        <v/>
      </c>
      <c r="C775" s="11">
        <f>IF($V775="","",INDEX('Per Line'!$D$2:$D$6001,$V775))</f>
        <v/>
      </c>
      <c r="D775">
        <f>IF($V775="","",INDEX('Per Line'!$E$2:$E$6001,$V775)&amp;"")</f>
        <v/>
      </c>
      <c r="E775">
        <f>IF($V775="","",INDEX('Per Line'!$G$2:$G$6001,$V775)&amp;"")</f>
        <v/>
      </c>
      <c r="F775">
        <f>IF($V775="","",INDEX('Per Line'!$H$2:$H$6001,$V775)&amp;"")</f>
        <v/>
      </c>
      <c r="G775">
        <f>IF($V775="","",INDEX('Per Line'!$I$2:$I$6001,$V775)&amp;"")</f>
        <v/>
      </c>
      <c r="H775">
        <f>IF($V775="","",INDEX('Per Line'!$J$2:$J$6001,$V775))</f>
        <v/>
      </c>
      <c r="I775" s="7">
        <f>IF($V775="","",H775*S775/100)</f>
        <v/>
      </c>
      <c r="J775">
        <f>IF($V775="","",INDEX('Per Line'!$S$2:$S$6001,$V775)&amp;"")</f>
        <v/>
      </c>
      <c r="K775" s="7">
        <f>IF($V775="","",SUMIFS('Per Line'!$R$2:$R$6001,'Per Line'!$C$2:$C$6001,$B775,'Per Line'!$AJ$2:$AJ$6001,1))</f>
        <v/>
      </c>
      <c r="L775">
        <f>IF($V775="","",Settings!$C$7)</f>
        <v/>
      </c>
      <c r="M775" s="7">
        <f>IF($V775="","",SUMIFS('Per Line'!$R$2:$R$6001,'Per Line'!$C$2:$C$6001,$B775,'Per Line'!$AI$2:$AI$6001,0,'Per Line'!$AJ$2:$AJ$6001,0))</f>
        <v/>
      </c>
      <c r="N775" s="7">
        <f>IF($V775="","",M775*L775)</f>
        <v/>
      </c>
      <c r="O775">
        <f>IF($V775="","",Settings!$C$6)</f>
        <v/>
      </c>
      <c r="P775" s="7">
        <f>IF($V775="","",SUMIFS('Per Line'!$R$2:$R$6001,'Per Line'!$C$2:$C$6001,$B775,'Per Line'!$AI$2:$AI$6001,1,'Per Line'!$AJ$2:$AJ$6001,0))</f>
        <v/>
      </c>
      <c r="Q775" s="7">
        <f>IF($V775="","",P775*O775)</f>
        <v/>
      </c>
      <c r="R775" s="7">
        <f>IF($V775="","",Q775+N775)</f>
        <v/>
      </c>
      <c r="S775" s="7">
        <f>IF($V775="","",T775-R775)</f>
        <v/>
      </c>
      <c r="T775" s="7">
        <f>IF($V775="","",M775+P775+K775)</f>
        <v/>
      </c>
      <c r="U775" s="7">
        <f>IF($V775="","",T775-R775-I775)</f>
        <v/>
      </c>
      <c r="V775" s="13">
        <f>IF(ROWS($V$2:$V775)&lt;=MAX('Per Line'!$AH$2:$AH$6001),MATCH(ROWS($V$2:$V775),'Per Line'!$AH$2:$AH$6001,0),"")</f>
        <v/>
      </c>
    </row>
    <row r="776">
      <c r="A776" s="12" t="n"/>
      <c r="B776">
        <f>IF($V776="","",INDEX('Per Line'!$C$2:$C$6001,$V776)&amp;"")</f>
        <v/>
      </c>
      <c r="C776" s="11">
        <f>IF($V776="","",INDEX('Per Line'!$D$2:$D$6001,$V776))</f>
        <v/>
      </c>
      <c r="D776">
        <f>IF($V776="","",INDEX('Per Line'!$E$2:$E$6001,$V776)&amp;"")</f>
        <v/>
      </c>
      <c r="E776">
        <f>IF($V776="","",INDEX('Per Line'!$G$2:$G$6001,$V776)&amp;"")</f>
        <v/>
      </c>
      <c r="F776">
        <f>IF($V776="","",INDEX('Per Line'!$H$2:$H$6001,$V776)&amp;"")</f>
        <v/>
      </c>
      <c r="G776">
        <f>IF($V776="","",INDEX('Per Line'!$I$2:$I$6001,$V776)&amp;"")</f>
        <v/>
      </c>
      <c r="H776">
        <f>IF($V776="","",INDEX('Per Line'!$J$2:$J$6001,$V776))</f>
        <v/>
      </c>
      <c r="I776" s="7">
        <f>IF($V776="","",H776*S776/100)</f>
        <v/>
      </c>
      <c r="J776">
        <f>IF($V776="","",INDEX('Per Line'!$S$2:$S$6001,$V776)&amp;"")</f>
        <v/>
      </c>
      <c r="K776" s="7">
        <f>IF($V776="","",SUMIFS('Per Line'!$R$2:$R$6001,'Per Line'!$C$2:$C$6001,$B776,'Per Line'!$AJ$2:$AJ$6001,1))</f>
        <v/>
      </c>
      <c r="L776">
        <f>IF($V776="","",Settings!$C$7)</f>
        <v/>
      </c>
      <c r="M776" s="7">
        <f>IF($V776="","",SUMIFS('Per Line'!$R$2:$R$6001,'Per Line'!$C$2:$C$6001,$B776,'Per Line'!$AI$2:$AI$6001,0,'Per Line'!$AJ$2:$AJ$6001,0))</f>
        <v/>
      </c>
      <c r="N776" s="7">
        <f>IF($V776="","",M776*L776)</f>
        <v/>
      </c>
      <c r="O776">
        <f>IF($V776="","",Settings!$C$6)</f>
        <v/>
      </c>
      <c r="P776" s="7">
        <f>IF($V776="","",SUMIFS('Per Line'!$R$2:$R$6001,'Per Line'!$C$2:$C$6001,$B776,'Per Line'!$AI$2:$AI$6001,1,'Per Line'!$AJ$2:$AJ$6001,0))</f>
        <v/>
      </c>
      <c r="Q776" s="7">
        <f>IF($V776="","",P776*O776)</f>
        <v/>
      </c>
      <c r="R776" s="7">
        <f>IF($V776="","",Q776+N776)</f>
        <v/>
      </c>
      <c r="S776" s="7">
        <f>IF($V776="","",T776-R776)</f>
        <v/>
      </c>
      <c r="T776" s="7">
        <f>IF($V776="","",M776+P776+K776)</f>
        <v/>
      </c>
      <c r="U776" s="7">
        <f>IF($V776="","",T776-R776-I776)</f>
        <v/>
      </c>
      <c r="V776" s="13">
        <f>IF(ROWS($V$2:$V776)&lt;=MAX('Per Line'!$AH$2:$AH$6001),MATCH(ROWS($V$2:$V776),'Per Line'!$AH$2:$AH$6001,0),"")</f>
        <v/>
      </c>
    </row>
    <row r="777">
      <c r="A777" s="12" t="n"/>
      <c r="B777">
        <f>IF($V777="","",INDEX('Per Line'!$C$2:$C$6001,$V777)&amp;"")</f>
        <v/>
      </c>
      <c r="C777" s="11">
        <f>IF($V777="","",INDEX('Per Line'!$D$2:$D$6001,$V777))</f>
        <v/>
      </c>
      <c r="D777">
        <f>IF($V777="","",INDEX('Per Line'!$E$2:$E$6001,$V777)&amp;"")</f>
        <v/>
      </c>
      <c r="E777">
        <f>IF($V777="","",INDEX('Per Line'!$G$2:$G$6001,$V777)&amp;"")</f>
        <v/>
      </c>
      <c r="F777">
        <f>IF($V777="","",INDEX('Per Line'!$H$2:$H$6001,$V777)&amp;"")</f>
        <v/>
      </c>
      <c r="G777">
        <f>IF($V777="","",INDEX('Per Line'!$I$2:$I$6001,$V777)&amp;"")</f>
        <v/>
      </c>
      <c r="H777">
        <f>IF($V777="","",INDEX('Per Line'!$J$2:$J$6001,$V777))</f>
        <v/>
      </c>
      <c r="I777" s="7">
        <f>IF($V777="","",H777*S777/100)</f>
        <v/>
      </c>
      <c r="J777">
        <f>IF($V777="","",INDEX('Per Line'!$S$2:$S$6001,$V777)&amp;"")</f>
        <v/>
      </c>
      <c r="K777" s="7">
        <f>IF($V777="","",SUMIFS('Per Line'!$R$2:$R$6001,'Per Line'!$C$2:$C$6001,$B777,'Per Line'!$AJ$2:$AJ$6001,1))</f>
        <v/>
      </c>
      <c r="L777">
        <f>IF($V777="","",Settings!$C$7)</f>
        <v/>
      </c>
      <c r="M777" s="7">
        <f>IF($V777="","",SUMIFS('Per Line'!$R$2:$R$6001,'Per Line'!$C$2:$C$6001,$B777,'Per Line'!$AI$2:$AI$6001,0,'Per Line'!$AJ$2:$AJ$6001,0))</f>
        <v/>
      </c>
      <c r="N777" s="7">
        <f>IF($V777="","",M777*L777)</f>
        <v/>
      </c>
      <c r="O777">
        <f>IF($V777="","",Settings!$C$6)</f>
        <v/>
      </c>
      <c r="P777" s="7">
        <f>IF($V777="","",SUMIFS('Per Line'!$R$2:$R$6001,'Per Line'!$C$2:$C$6001,$B777,'Per Line'!$AI$2:$AI$6001,1,'Per Line'!$AJ$2:$AJ$6001,0))</f>
        <v/>
      </c>
      <c r="Q777" s="7">
        <f>IF($V777="","",P777*O777)</f>
        <v/>
      </c>
      <c r="R777" s="7">
        <f>IF($V777="","",Q777+N777)</f>
        <v/>
      </c>
      <c r="S777" s="7">
        <f>IF($V777="","",T777-R777)</f>
        <v/>
      </c>
      <c r="T777" s="7">
        <f>IF($V777="","",M777+P777+K777)</f>
        <v/>
      </c>
      <c r="U777" s="7">
        <f>IF($V777="","",T777-R777-I777)</f>
        <v/>
      </c>
      <c r="V777" s="13">
        <f>IF(ROWS($V$2:$V777)&lt;=MAX('Per Line'!$AH$2:$AH$6001),MATCH(ROWS($V$2:$V777),'Per Line'!$AH$2:$AH$6001,0),"")</f>
        <v/>
      </c>
    </row>
    <row r="778">
      <c r="A778" s="12" t="n"/>
      <c r="B778">
        <f>IF($V778="","",INDEX('Per Line'!$C$2:$C$6001,$V778)&amp;"")</f>
        <v/>
      </c>
      <c r="C778" s="11">
        <f>IF($V778="","",INDEX('Per Line'!$D$2:$D$6001,$V778))</f>
        <v/>
      </c>
      <c r="D778">
        <f>IF($V778="","",INDEX('Per Line'!$E$2:$E$6001,$V778)&amp;"")</f>
        <v/>
      </c>
      <c r="E778">
        <f>IF($V778="","",INDEX('Per Line'!$G$2:$G$6001,$V778)&amp;"")</f>
        <v/>
      </c>
      <c r="F778">
        <f>IF($V778="","",INDEX('Per Line'!$H$2:$H$6001,$V778)&amp;"")</f>
        <v/>
      </c>
      <c r="G778">
        <f>IF($V778="","",INDEX('Per Line'!$I$2:$I$6001,$V778)&amp;"")</f>
        <v/>
      </c>
      <c r="H778">
        <f>IF($V778="","",INDEX('Per Line'!$J$2:$J$6001,$V778))</f>
        <v/>
      </c>
      <c r="I778" s="7">
        <f>IF($V778="","",H778*S778/100)</f>
        <v/>
      </c>
      <c r="J778">
        <f>IF($V778="","",INDEX('Per Line'!$S$2:$S$6001,$V778)&amp;"")</f>
        <v/>
      </c>
      <c r="K778" s="7">
        <f>IF($V778="","",SUMIFS('Per Line'!$R$2:$R$6001,'Per Line'!$C$2:$C$6001,$B778,'Per Line'!$AJ$2:$AJ$6001,1))</f>
        <v/>
      </c>
      <c r="L778">
        <f>IF($V778="","",Settings!$C$7)</f>
        <v/>
      </c>
      <c r="M778" s="7">
        <f>IF($V778="","",SUMIFS('Per Line'!$R$2:$R$6001,'Per Line'!$C$2:$C$6001,$B778,'Per Line'!$AI$2:$AI$6001,0,'Per Line'!$AJ$2:$AJ$6001,0))</f>
        <v/>
      </c>
      <c r="N778" s="7">
        <f>IF($V778="","",M778*L778)</f>
        <v/>
      </c>
      <c r="O778">
        <f>IF($V778="","",Settings!$C$6)</f>
        <v/>
      </c>
      <c r="P778" s="7">
        <f>IF($V778="","",SUMIFS('Per Line'!$R$2:$R$6001,'Per Line'!$C$2:$C$6001,$B778,'Per Line'!$AI$2:$AI$6001,1,'Per Line'!$AJ$2:$AJ$6001,0))</f>
        <v/>
      </c>
      <c r="Q778" s="7">
        <f>IF($V778="","",P778*O778)</f>
        <v/>
      </c>
      <c r="R778" s="7">
        <f>IF($V778="","",Q778+N778)</f>
        <v/>
      </c>
      <c r="S778" s="7">
        <f>IF($V778="","",T778-R778)</f>
        <v/>
      </c>
      <c r="T778" s="7">
        <f>IF($V778="","",M778+P778+K778)</f>
        <v/>
      </c>
      <c r="U778" s="7">
        <f>IF($V778="","",T778-R778-I778)</f>
        <v/>
      </c>
      <c r="V778" s="13">
        <f>IF(ROWS($V$2:$V778)&lt;=MAX('Per Line'!$AH$2:$AH$6001),MATCH(ROWS($V$2:$V778),'Per Line'!$AH$2:$AH$6001,0),"")</f>
        <v/>
      </c>
    </row>
    <row r="779">
      <c r="A779" s="12" t="n"/>
      <c r="B779">
        <f>IF($V779="","",INDEX('Per Line'!$C$2:$C$6001,$V779)&amp;"")</f>
        <v/>
      </c>
      <c r="C779" s="11">
        <f>IF($V779="","",INDEX('Per Line'!$D$2:$D$6001,$V779))</f>
        <v/>
      </c>
      <c r="D779">
        <f>IF($V779="","",INDEX('Per Line'!$E$2:$E$6001,$V779)&amp;"")</f>
        <v/>
      </c>
      <c r="E779">
        <f>IF($V779="","",INDEX('Per Line'!$G$2:$G$6001,$V779)&amp;"")</f>
        <v/>
      </c>
      <c r="F779">
        <f>IF($V779="","",INDEX('Per Line'!$H$2:$H$6001,$V779)&amp;"")</f>
        <v/>
      </c>
      <c r="G779">
        <f>IF($V779="","",INDEX('Per Line'!$I$2:$I$6001,$V779)&amp;"")</f>
        <v/>
      </c>
      <c r="H779">
        <f>IF($V779="","",INDEX('Per Line'!$J$2:$J$6001,$V779))</f>
        <v/>
      </c>
      <c r="I779" s="7">
        <f>IF($V779="","",H779*S779/100)</f>
        <v/>
      </c>
      <c r="J779">
        <f>IF($V779="","",INDEX('Per Line'!$S$2:$S$6001,$V779)&amp;"")</f>
        <v/>
      </c>
      <c r="K779" s="7">
        <f>IF($V779="","",SUMIFS('Per Line'!$R$2:$R$6001,'Per Line'!$C$2:$C$6001,$B779,'Per Line'!$AJ$2:$AJ$6001,1))</f>
        <v/>
      </c>
      <c r="L779">
        <f>IF($V779="","",Settings!$C$7)</f>
        <v/>
      </c>
      <c r="M779" s="7">
        <f>IF($V779="","",SUMIFS('Per Line'!$R$2:$R$6001,'Per Line'!$C$2:$C$6001,$B779,'Per Line'!$AI$2:$AI$6001,0,'Per Line'!$AJ$2:$AJ$6001,0))</f>
        <v/>
      </c>
      <c r="N779" s="7">
        <f>IF($V779="","",M779*L779)</f>
        <v/>
      </c>
      <c r="O779">
        <f>IF($V779="","",Settings!$C$6)</f>
        <v/>
      </c>
      <c r="P779" s="7">
        <f>IF($V779="","",SUMIFS('Per Line'!$R$2:$R$6001,'Per Line'!$C$2:$C$6001,$B779,'Per Line'!$AI$2:$AI$6001,1,'Per Line'!$AJ$2:$AJ$6001,0))</f>
        <v/>
      </c>
      <c r="Q779" s="7">
        <f>IF($V779="","",P779*O779)</f>
        <v/>
      </c>
      <c r="R779" s="7">
        <f>IF($V779="","",Q779+N779)</f>
        <v/>
      </c>
      <c r="S779" s="7">
        <f>IF($V779="","",T779-R779)</f>
        <v/>
      </c>
      <c r="T779" s="7">
        <f>IF($V779="","",M779+P779+K779)</f>
        <v/>
      </c>
      <c r="U779" s="7">
        <f>IF($V779="","",T779-R779-I779)</f>
        <v/>
      </c>
      <c r="V779" s="13">
        <f>IF(ROWS($V$2:$V779)&lt;=MAX('Per Line'!$AH$2:$AH$6001),MATCH(ROWS($V$2:$V779),'Per Line'!$AH$2:$AH$6001,0),"")</f>
        <v/>
      </c>
    </row>
    <row r="780">
      <c r="A780" s="12" t="n"/>
      <c r="B780">
        <f>IF($V780="","",INDEX('Per Line'!$C$2:$C$6001,$V780)&amp;"")</f>
        <v/>
      </c>
      <c r="C780" s="11">
        <f>IF($V780="","",INDEX('Per Line'!$D$2:$D$6001,$V780))</f>
        <v/>
      </c>
      <c r="D780">
        <f>IF($V780="","",INDEX('Per Line'!$E$2:$E$6001,$V780)&amp;"")</f>
        <v/>
      </c>
      <c r="E780">
        <f>IF($V780="","",INDEX('Per Line'!$G$2:$G$6001,$V780)&amp;"")</f>
        <v/>
      </c>
      <c r="F780">
        <f>IF($V780="","",INDEX('Per Line'!$H$2:$H$6001,$V780)&amp;"")</f>
        <v/>
      </c>
      <c r="G780">
        <f>IF($V780="","",INDEX('Per Line'!$I$2:$I$6001,$V780)&amp;"")</f>
        <v/>
      </c>
      <c r="H780">
        <f>IF($V780="","",INDEX('Per Line'!$J$2:$J$6001,$V780))</f>
        <v/>
      </c>
      <c r="I780" s="7">
        <f>IF($V780="","",H780*S780/100)</f>
        <v/>
      </c>
      <c r="J780">
        <f>IF($V780="","",INDEX('Per Line'!$S$2:$S$6001,$V780)&amp;"")</f>
        <v/>
      </c>
      <c r="K780" s="7">
        <f>IF($V780="","",SUMIFS('Per Line'!$R$2:$R$6001,'Per Line'!$C$2:$C$6001,$B780,'Per Line'!$AJ$2:$AJ$6001,1))</f>
        <v/>
      </c>
      <c r="L780">
        <f>IF($V780="","",Settings!$C$7)</f>
        <v/>
      </c>
      <c r="M780" s="7">
        <f>IF($V780="","",SUMIFS('Per Line'!$R$2:$R$6001,'Per Line'!$C$2:$C$6001,$B780,'Per Line'!$AI$2:$AI$6001,0,'Per Line'!$AJ$2:$AJ$6001,0))</f>
        <v/>
      </c>
      <c r="N780" s="7">
        <f>IF($V780="","",M780*L780)</f>
        <v/>
      </c>
      <c r="O780">
        <f>IF($V780="","",Settings!$C$6)</f>
        <v/>
      </c>
      <c r="P780" s="7">
        <f>IF($V780="","",SUMIFS('Per Line'!$R$2:$R$6001,'Per Line'!$C$2:$C$6001,$B780,'Per Line'!$AI$2:$AI$6001,1,'Per Line'!$AJ$2:$AJ$6001,0))</f>
        <v/>
      </c>
      <c r="Q780" s="7">
        <f>IF($V780="","",P780*O780)</f>
        <v/>
      </c>
      <c r="R780" s="7">
        <f>IF($V780="","",Q780+N780)</f>
        <v/>
      </c>
      <c r="S780" s="7">
        <f>IF($V780="","",T780-R780)</f>
        <v/>
      </c>
      <c r="T780" s="7">
        <f>IF($V780="","",M780+P780+K780)</f>
        <v/>
      </c>
      <c r="U780" s="7">
        <f>IF($V780="","",T780-R780-I780)</f>
        <v/>
      </c>
      <c r="V780" s="13">
        <f>IF(ROWS($V$2:$V780)&lt;=MAX('Per Line'!$AH$2:$AH$6001),MATCH(ROWS($V$2:$V780),'Per Line'!$AH$2:$AH$6001,0),"")</f>
        <v/>
      </c>
    </row>
    <row r="781">
      <c r="A781" s="12" t="n"/>
      <c r="B781">
        <f>IF($V781="","",INDEX('Per Line'!$C$2:$C$6001,$V781)&amp;"")</f>
        <v/>
      </c>
      <c r="C781" s="11">
        <f>IF($V781="","",INDEX('Per Line'!$D$2:$D$6001,$V781))</f>
        <v/>
      </c>
      <c r="D781">
        <f>IF($V781="","",INDEX('Per Line'!$E$2:$E$6001,$V781)&amp;"")</f>
        <v/>
      </c>
      <c r="E781">
        <f>IF($V781="","",INDEX('Per Line'!$G$2:$G$6001,$V781)&amp;"")</f>
        <v/>
      </c>
      <c r="F781">
        <f>IF($V781="","",INDEX('Per Line'!$H$2:$H$6001,$V781)&amp;"")</f>
        <v/>
      </c>
      <c r="G781">
        <f>IF($V781="","",INDEX('Per Line'!$I$2:$I$6001,$V781)&amp;"")</f>
        <v/>
      </c>
      <c r="H781">
        <f>IF($V781="","",INDEX('Per Line'!$J$2:$J$6001,$V781))</f>
        <v/>
      </c>
      <c r="I781" s="7">
        <f>IF($V781="","",H781*S781/100)</f>
        <v/>
      </c>
      <c r="J781">
        <f>IF($V781="","",INDEX('Per Line'!$S$2:$S$6001,$V781)&amp;"")</f>
        <v/>
      </c>
      <c r="K781" s="7">
        <f>IF($V781="","",SUMIFS('Per Line'!$R$2:$R$6001,'Per Line'!$C$2:$C$6001,$B781,'Per Line'!$AJ$2:$AJ$6001,1))</f>
        <v/>
      </c>
      <c r="L781">
        <f>IF($V781="","",Settings!$C$7)</f>
        <v/>
      </c>
      <c r="M781" s="7">
        <f>IF($V781="","",SUMIFS('Per Line'!$R$2:$R$6001,'Per Line'!$C$2:$C$6001,$B781,'Per Line'!$AI$2:$AI$6001,0,'Per Line'!$AJ$2:$AJ$6001,0))</f>
        <v/>
      </c>
      <c r="N781" s="7">
        <f>IF($V781="","",M781*L781)</f>
        <v/>
      </c>
      <c r="O781">
        <f>IF($V781="","",Settings!$C$6)</f>
        <v/>
      </c>
      <c r="P781" s="7">
        <f>IF($V781="","",SUMIFS('Per Line'!$R$2:$R$6001,'Per Line'!$C$2:$C$6001,$B781,'Per Line'!$AI$2:$AI$6001,1,'Per Line'!$AJ$2:$AJ$6001,0))</f>
        <v/>
      </c>
      <c r="Q781" s="7">
        <f>IF($V781="","",P781*O781)</f>
        <v/>
      </c>
      <c r="R781" s="7">
        <f>IF($V781="","",Q781+N781)</f>
        <v/>
      </c>
      <c r="S781" s="7">
        <f>IF($V781="","",T781-R781)</f>
        <v/>
      </c>
      <c r="T781" s="7">
        <f>IF($V781="","",M781+P781+K781)</f>
        <v/>
      </c>
      <c r="U781" s="7">
        <f>IF($V781="","",T781-R781-I781)</f>
        <v/>
      </c>
      <c r="V781" s="13">
        <f>IF(ROWS($V$2:$V781)&lt;=MAX('Per Line'!$AH$2:$AH$6001),MATCH(ROWS($V$2:$V781),'Per Line'!$AH$2:$AH$6001,0),"")</f>
        <v/>
      </c>
    </row>
    <row r="782">
      <c r="A782" s="12" t="n"/>
      <c r="B782">
        <f>IF($V782="","",INDEX('Per Line'!$C$2:$C$6001,$V782)&amp;"")</f>
        <v/>
      </c>
      <c r="C782" s="11">
        <f>IF($V782="","",INDEX('Per Line'!$D$2:$D$6001,$V782))</f>
        <v/>
      </c>
      <c r="D782">
        <f>IF($V782="","",INDEX('Per Line'!$E$2:$E$6001,$V782)&amp;"")</f>
        <v/>
      </c>
      <c r="E782">
        <f>IF($V782="","",INDEX('Per Line'!$G$2:$G$6001,$V782)&amp;"")</f>
        <v/>
      </c>
      <c r="F782">
        <f>IF($V782="","",INDEX('Per Line'!$H$2:$H$6001,$V782)&amp;"")</f>
        <v/>
      </c>
      <c r="G782">
        <f>IF($V782="","",INDEX('Per Line'!$I$2:$I$6001,$V782)&amp;"")</f>
        <v/>
      </c>
      <c r="H782">
        <f>IF($V782="","",INDEX('Per Line'!$J$2:$J$6001,$V782))</f>
        <v/>
      </c>
      <c r="I782" s="7">
        <f>IF($V782="","",H782*S782/100)</f>
        <v/>
      </c>
      <c r="J782">
        <f>IF($V782="","",INDEX('Per Line'!$S$2:$S$6001,$V782)&amp;"")</f>
        <v/>
      </c>
      <c r="K782" s="7">
        <f>IF($V782="","",SUMIFS('Per Line'!$R$2:$R$6001,'Per Line'!$C$2:$C$6001,$B782,'Per Line'!$AJ$2:$AJ$6001,1))</f>
        <v/>
      </c>
      <c r="L782">
        <f>IF($V782="","",Settings!$C$7)</f>
        <v/>
      </c>
      <c r="M782" s="7">
        <f>IF($V782="","",SUMIFS('Per Line'!$R$2:$R$6001,'Per Line'!$C$2:$C$6001,$B782,'Per Line'!$AI$2:$AI$6001,0,'Per Line'!$AJ$2:$AJ$6001,0))</f>
        <v/>
      </c>
      <c r="N782" s="7">
        <f>IF($V782="","",M782*L782)</f>
        <v/>
      </c>
      <c r="O782">
        <f>IF($V782="","",Settings!$C$6)</f>
        <v/>
      </c>
      <c r="P782" s="7">
        <f>IF($V782="","",SUMIFS('Per Line'!$R$2:$R$6001,'Per Line'!$C$2:$C$6001,$B782,'Per Line'!$AI$2:$AI$6001,1,'Per Line'!$AJ$2:$AJ$6001,0))</f>
        <v/>
      </c>
      <c r="Q782" s="7">
        <f>IF($V782="","",P782*O782)</f>
        <v/>
      </c>
      <c r="R782" s="7">
        <f>IF($V782="","",Q782+N782)</f>
        <v/>
      </c>
      <c r="S782" s="7">
        <f>IF($V782="","",T782-R782)</f>
        <v/>
      </c>
      <c r="T782" s="7">
        <f>IF($V782="","",M782+P782+K782)</f>
        <v/>
      </c>
      <c r="U782" s="7">
        <f>IF($V782="","",T782-R782-I782)</f>
        <v/>
      </c>
      <c r="V782" s="13">
        <f>IF(ROWS($V$2:$V782)&lt;=MAX('Per Line'!$AH$2:$AH$6001),MATCH(ROWS($V$2:$V782),'Per Line'!$AH$2:$AH$6001,0),"")</f>
        <v/>
      </c>
    </row>
    <row r="783">
      <c r="A783" s="12" t="n"/>
      <c r="B783">
        <f>IF($V783="","",INDEX('Per Line'!$C$2:$C$6001,$V783)&amp;"")</f>
        <v/>
      </c>
      <c r="C783" s="11">
        <f>IF($V783="","",INDEX('Per Line'!$D$2:$D$6001,$V783))</f>
        <v/>
      </c>
      <c r="D783">
        <f>IF($V783="","",INDEX('Per Line'!$E$2:$E$6001,$V783)&amp;"")</f>
        <v/>
      </c>
      <c r="E783">
        <f>IF($V783="","",INDEX('Per Line'!$G$2:$G$6001,$V783)&amp;"")</f>
        <v/>
      </c>
      <c r="F783">
        <f>IF($V783="","",INDEX('Per Line'!$H$2:$H$6001,$V783)&amp;"")</f>
        <v/>
      </c>
      <c r="G783">
        <f>IF($V783="","",INDEX('Per Line'!$I$2:$I$6001,$V783)&amp;"")</f>
        <v/>
      </c>
      <c r="H783">
        <f>IF($V783="","",INDEX('Per Line'!$J$2:$J$6001,$V783))</f>
        <v/>
      </c>
      <c r="I783" s="7">
        <f>IF($V783="","",H783*S783/100)</f>
        <v/>
      </c>
      <c r="J783">
        <f>IF($V783="","",INDEX('Per Line'!$S$2:$S$6001,$V783)&amp;"")</f>
        <v/>
      </c>
      <c r="K783" s="7">
        <f>IF($V783="","",SUMIFS('Per Line'!$R$2:$R$6001,'Per Line'!$C$2:$C$6001,$B783,'Per Line'!$AJ$2:$AJ$6001,1))</f>
        <v/>
      </c>
      <c r="L783">
        <f>IF($V783="","",Settings!$C$7)</f>
        <v/>
      </c>
      <c r="M783" s="7">
        <f>IF($V783="","",SUMIFS('Per Line'!$R$2:$R$6001,'Per Line'!$C$2:$C$6001,$B783,'Per Line'!$AI$2:$AI$6001,0,'Per Line'!$AJ$2:$AJ$6001,0))</f>
        <v/>
      </c>
      <c r="N783" s="7">
        <f>IF($V783="","",M783*L783)</f>
        <v/>
      </c>
      <c r="O783">
        <f>IF($V783="","",Settings!$C$6)</f>
        <v/>
      </c>
      <c r="P783" s="7">
        <f>IF($V783="","",SUMIFS('Per Line'!$R$2:$R$6001,'Per Line'!$C$2:$C$6001,$B783,'Per Line'!$AI$2:$AI$6001,1,'Per Line'!$AJ$2:$AJ$6001,0))</f>
        <v/>
      </c>
      <c r="Q783" s="7">
        <f>IF($V783="","",P783*O783)</f>
        <v/>
      </c>
      <c r="R783" s="7">
        <f>IF($V783="","",Q783+N783)</f>
        <v/>
      </c>
      <c r="S783" s="7">
        <f>IF($V783="","",T783-R783)</f>
        <v/>
      </c>
      <c r="T783" s="7">
        <f>IF($V783="","",M783+P783+K783)</f>
        <v/>
      </c>
      <c r="U783" s="7">
        <f>IF($V783="","",T783-R783-I783)</f>
        <v/>
      </c>
      <c r="V783" s="13">
        <f>IF(ROWS($V$2:$V783)&lt;=MAX('Per Line'!$AH$2:$AH$6001),MATCH(ROWS($V$2:$V783),'Per Line'!$AH$2:$AH$6001,0),"")</f>
        <v/>
      </c>
    </row>
    <row r="784">
      <c r="A784" s="12" t="n"/>
      <c r="B784">
        <f>IF($V784="","",INDEX('Per Line'!$C$2:$C$6001,$V784)&amp;"")</f>
        <v/>
      </c>
      <c r="C784" s="11">
        <f>IF($V784="","",INDEX('Per Line'!$D$2:$D$6001,$V784))</f>
        <v/>
      </c>
      <c r="D784">
        <f>IF($V784="","",INDEX('Per Line'!$E$2:$E$6001,$V784)&amp;"")</f>
        <v/>
      </c>
      <c r="E784">
        <f>IF($V784="","",INDEX('Per Line'!$G$2:$G$6001,$V784)&amp;"")</f>
        <v/>
      </c>
      <c r="F784">
        <f>IF($V784="","",INDEX('Per Line'!$H$2:$H$6001,$V784)&amp;"")</f>
        <v/>
      </c>
      <c r="G784">
        <f>IF($V784="","",INDEX('Per Line'!$I$2:$I$6001,$V784)&amp;"")</f>
        <v/>
      </c>
      <c r="H784">
        <f>IF($V784="","",INDEX('Per Line'!$J$2:$J$6001,$V784))</f>
        <v/>
      </c>
      <c r="I784" s="7">
        <f>IF($V784="","",H784*S784/100)</f>
        <v/>
      </c>
      <c r="J784">
        <f>IF($V784="","",INDEX('Per Line'!$S$2:$S$6001,$V784)&amp;"")</f>
        <v/>
      </c>
      <c r="K784" s="7">
        <f>IF($V784="","",SUMIFS('Per Line'!$R$2:$R$6001,'Per Line'!$C$2:$C$6001,$B784,'Per Line'!$AJ$2:$AJ$6001,1))</f>
        <v/>
      </c>
      <c r="L784">
        <f>IF($V784="","",Settings!$C$7)</f>
        <v/>
      </c>
      <c r="M784" s="7">
        <f>IF($V784="","",SUMIFS('Per Line'!$R$2:$R$6001,'Per Line'!$C$2:$C$6001,$B784,'Per Line'!$AI$2:$AI$6001,0,'Per Line'!$AJ$2:$AJ$6001,0))</f>
        <v/>
      </c>
      <c r="N784" s="7">
        <f>IF($V784="","",M784*L784)</f>
        <v/>
      </c>
      <c r="O784">
        <f>IF($V784="","",Settings!$C$6)</f>
        <v/>
      </c>
      <c r="P784" s="7">
        <f>IF($V784="","",SUMIFS('Per Line'!$R$2:$R$6001,'Per Line'!$C$2:$C$6001,$B784,'Per Line'!$AI$2:$AI$6001,1,'Per Line'!$AJ$2:$AJ$6001,0))</f>
        <v/>
      </c>
      <c r="Q784" s="7">
        <f>IF($V784="","",P784*O784)</f>
        <v/>
      </c>
      <c r="R784" s="7">
        <f>IF($V784="","",Q784+N784)</f>
        <v/>
      </c>
      <c r="S784" s="7">
        <f>IF($V784="","",T784-R784)</f>
        <v/>
      </c>
      <c r="T784" s="7">
        <f>IF($V784="","",M784+P784+K784)</f>
        <v/>
      </c>
      <c r="U784" s="7">
        <f>IF($V784="","",T784-R784-I784)</f>
        <v/>
      </c>
      <c r="V784" s="13">
        <f>IF(ROWS($V$2:$V784)&lt;=MAX('Per Line'!$AH$2:$AH$6001),MATCH(ROWS($V$2:$V784),'Per Line'!$AH$2:$AH$6001,0),"")</f>
        <v/>
      </c>
    </row>
    <row r="785">
      <c r="A785" s="12" t="n"/>
      <c r="B785">
        <f>IF($V785="","",INDEX('Per Line'!$C$2:$C$6001,$V785)&amp;"")</f>
        <v/>
      </c>
      <c r="C785" s="11">
        <f>IF($V785="","",INDEX('Per Line'!$D$2:$D$6001,$V785))</f>
        <v/>
      </c>
      <c r="D785">
        <f>IF($V785="","",INDEX('Per Line'!$E$2:$E$6001,$V785)&amp;"")</f>
        <v/>
      </c>
      <c r="E785">
        <f>IF($V785="","",INDEX('Per Line'!$G$2:$G$6001,$V785)&amp;"")</f>
        <v/>
      </c>
      <c r="F785">
        <f>IF($V785="","",INDEX('Per Line'!$H$2:$H$6001,$V785)&amp;"")</f>
        <v/>
      </c>
      <c r="G785">
        <f>IF($V785="","",INDEX('Per Line'!$I$2:$I$6001,$V785)&amp;"")</f>
        <v/>
      </c>
      <c r="H785">
        <f>IF($V785="","",INDEX('Per Line'!$J$2:$J$6001,$V785))</f>
        <v/>
      </c>
      <c r="I785" s="7">
        <f>IF($V785="","",H785*S785/100)</f>
        <v/>
      </c>
      <c r="J785">
        <f>IF($V785="","",INDEX('Per Line'!$S$2:$S$6001,$V785)&amp;"")</f>
        <v/>
      </c>
      <c r="K785" s="7">
        <f>IF($V785="","",SUMIFS('Per Line'!$R$2:$R$6001,'Per Line'!$C$2:$C$6001,$B785,'Per Line'!$AJ$2:$AJ$6001,1))</f>
        <v/>
      </c>
      <c r="L785">
        <f>IF($V785="","",Settings!$C$7)</f>
        <v/>
      </c>
      <c r="M785" s="7">
        <f>IF($V785="","",SUMIFS('Per Line'!$R$2:$R$6001,'Per Line'!$C$2:$C$6001,$B785,'Per Line'!$AI$2:$AI$6001,0,'Per Line'!$AJ$2:$AJ$6001,0))</f>
        <v/>
      </c>
      <c r="N785" s="7">
        <f>IF($V785="","",M785*L785)</f>
        <v/>
      </c>
      <c r="O785">
        <f>IF($V785="","",Settings!$C$6)</f>
        <v/>
      </c>
      <c r="P785" s="7">
        <f>IF($V785="","",SUMIFS('Per Line'!$R$2:$R$6001,'Per Line'!$C$2:$C$6001,$B785,'Per Line'!$AI$2:$AI$6001,1,'Per Line'!$AJ$2:$AJ$6001,0))</f>
        <v/>
      </c>
      <c r="Q785" s="7">
        <f>IF($V785="","",P785*O785)</f>
        <v/>
      </c>
      <c r="R785" s="7">
        <f>IF($V785="","",Q785+N785)</f>
        <v/>
      </c>
      <c r="S785" s="7">
        <f>IF($V785="","",T785-R785)</f>
        <v/>
      </c>
      <c r="T785" s="7">
        <f>IF($V785="","",M785+P785+K785)</f>
        <v/>
      </c>
      <c r="U785" s="7">
        <f>IF($V785="","",T785-R785-I785)</f>
        <v/>
      </c>
      <c r="V785" s="13">
        <f>IF(ROWS($V$2:$V785)&lt;=MAX('Per Line'!$AH$2:$AH$6001),MATCH(ROWS($V$2:$V785),'Per Line'!$AH$2:$AH$6001,0),"")</f>
        <v/>
      </c>
    </row>
    <row r="786">
      <c r="A786" s="12" t="n"/>
      <c r="B786">
        <f>IF($V786="","",INDEX('Per Line'!$C$2:$C$6001,$V786)&amp;"")</f>
        <v/>
      </c>
      <c r="C786" s="11">
        <f>IF($V786="","",INDEX('Per Line'!$D$2:$D$6001,$V786))</f>
        <v/>
      </c>
      <c r="D786">
        <f>IF($V786="","",INDEX('Per Line'!$E$2:$E$6001,$V786)&amp;"")</f>
        <v/>
      </c>
      <c r="E786">
        <f>IF($V786="","",INDEX('Per Line'!$G$2:$G$6001,$V786)&amp;"")</f>
        <v/>
      </c>
      <c r="F786">
        <f>IF($V786="","",INDEX('Per Line'!$H$2:$H$6001,$V786)&amp;"")</f>
        <v/>
      </c>
      <c r="G786">
        <f>IF($V786="","",INDEX('Per Line'!$I$2:$I$6001,$V786)&amp;"")</f>
        <v/>
      </c>
      <c r="H786">
        <f>IF($V786="","",INDEX('Per Line'!$J$2:$J$6001,$V786))</f>
        <v/>
      </c>
      <c r="I786" s="7">
        <f>IF($V786="","",H786*S786/100)</f>
        <v/>
      </c>
      <c r="J786">
        <f>IF($V786="","",INDEX('Per Line'!$S$2:$S$6001,$V786)&amp;"")</f>
        <v/>
      </c>
      <c r="K786" s="7">
        <f>IF($V786="","",SUMIFS('Per Line'!$R$2:$R$6001,'Per Line'!$C$2:$C$6001,$B786,'Per Line'!$AJ$2:$AJ$6001,1))</f>
        <v/>
      </c>
      <c r="L786">
        <f>IF($V786="","",Settings!$C$7)</f>
        <v/>
      </c>
      <c r="M786" s="7">
        <f>IF($V786="","",SUMIFS('Per Line'!$R$2:$R$6001,'Per Line'!$C$2:$C$6001,$B786,'Per Line'!$AI$2:$AI$6001,0,'Per Line'!$AJ$2:$AJ$6001,0))</f>
        <v/>
      </c>
      <c r="N786" s="7">
        <f>IF($V786="","",M786*L786)</f>
        <v/>
      </c>
      <c r="O786">
        <f>IF($V786="","",Settings!$C$6)</f>
        <v/>
      </c>
      <c r="P786" s="7">
        <f>IF($V786="","",SUMIFS('Per Line'!$R$2:$R$6001,'Per Line'!$C$2:$C$6001,$B786,'Per Line'!$AI$2:$AI$6001,1,'Per Line'!$AJ$2:$AJ$6001,0))</f>
        <v/>
      </c>
      <c r="Q786" s="7">
        <f>IF($V786="","",P786*O786)</f>
        <v/>
      </c>
      <c r="R786" s="7">
        <f>IF($V786="","",Q786+N786)</f>
        <v/>
      </c>
      <c r="S786" s="7">
        <f>IF($V786="","",T786-R786)</f>
        <v/>
      </c>
      <c r="T786" s="7">
        <f>IF($V786="","",M786+P786+K786)</f>
        <v/>
      </c>
      <c r="U786" s="7">
        <f>IF($V786="","",T786-R786-I786)</f>
        <v/>
      </c>
      <c r="V786" s="13">
        <f>IF(ROWS($V$2:$V786)&lt;=MAX('Per Line'!$AH$2:$AH$6001),MATCH(ROWS($V$2:$V786),'Per Line'!$AH$2:$AH$6001,0),"")</f>
        <v/>
      </c>
    </row>
    <row r="787">
      <c r="A787" s="12" t="n"/>
      <c r="B787">
        <f>IF($V787="","",INDEX('Per Line'!$C$2:$C$6001,$V787)&amp;"")</f>
        <v/>
      </c>
      <c r="C787" s="11">
        <f>IF($V787="","",INDEX('Per Line'!$D$2:$D$6001,$V787))</f>
        <v/>
      </c>
      <c r="D787">
        <f>IF($V787="","",INDEX('Per Line'!$E$2:$E$6001,$V787)&amp;"")</f>
        <v/>
      </c>
      <c r="E787">
        <f>IF($V787="","",INDEX('Per Line'!$G$2:$G$6001,$V787)&amp;"")</f>
        <v/>
      </c>
      <c r="F787">
        <f>IF($V787="","",INDEX('Per Line'!$H$2:$H$6001,$V787)&amp;"")</f>
        <v/>
      </c>
      <c r="G787">
        <f>IF($V787="","",INDEX('Per Line'!$I$2:$I$6001,$V787)&amp;"")</f>
        <v/>
      </c>
      <c r="H787">
        <f>IF($V787="","",INDEX('Per Line'!$J$2:$J$6001,$V787))</f>
        <v/>
      </c>
      <c r="I787" s="7">
        <f>IF($V787="","",H787*S787/100)</f>
        <v/>
      </c>
      <c r="J787">
        <f>IF($V787="","",INDEX('Per Line'!$S$2:$S$6001,$V787)&amp;"")</f>
        <v/>
      </c>
      <c r="K787" s="7">
        <f>IF($V787="","",SUMIFS('Per Line'!$R$2:$R$6001,'Per Line'!$C$2:$C$6001,$B787,'Per Line'!$AJ$2:$AJ$6001,1))</f>
        <v/>
      </c>
      <c r="L787">
        <f>IF($V787="","",Settings!$C$7)</f>
        <v/>
      </c>
      <c r="M787" s="7">
        <f>IF($V787="","",SUMIFS('Per Line'!$R$2:$R$6001,'Per Line'!$C$2:$C$6001,$B787,'Per Line'!$AI$2:$AI$6001,0,'Per Line'!$AJ$2:$AJ$6001,0))</f>
        <v/>
      </c>
      <c r="N787" s="7">
        <f>IF($V787="","",M787*L787)</f>
        <v/>
      </c>
      <c r="O787">
        <f>IF($V787="","",Settings!$C$6)</f>
        <v/>
      </c>
      <c r="P787" s="7">
        <f>IF($V787="","",SUMIFS('Per Line'!$R$2:$R$6001,'Per Line'!$C$2:$C$6001,$B787,'Per Line'!$AI$2:$AI$6001,1,'Per Line'!$AJ$2:$AJ$6001,0))</f>
        <v/>
      </c>
      <c r="Q787" s="7">
        <f>IF($V787="","",P787*O787)</f>
        <v/>
      </c>
      <c r="R787" s="7">
        <f>IF($V787="","",Q787+N787)</f>
        <v/>
      </c>
      <c r="S787" s="7">
        <f>IF($V787="","",T787-R787)</f>
        <v/>
      </c>
      <c r="T787" s="7">
        <f>IF($V787="","",M787+P787+K787)</f>
        <v/>
      </c>
      <c r="U787" s="7">
        <f>IF($V787="","",T787-R787-I787)</f>
        <v/>
      </c>
      <c r="V787" s="13">
        <f>IF(ROWS($V$2:$V787)&lt;=MAX('Per Line'!$AH$2:$AH$6001),MATCH(ROWS($V$2:$V787),'Per Line'!$AH$2:$AH$6001,0),"")</f>
        <v/>
      </c>
    </row>
    <row r="788">
      <c r="A788" s="12" t="n"/>
      <c r="B788">
        <f>IF($V788="","",INDEX('Per Line'!$C$2:$C$6001,$V788)&amp;"")</f>
        <v/>
      </c>
      <c r="C788" s="11">
        <f>IF($V788="","",INDEX('Per Line'!$D$2:$D$6001,$V788))</f>
        <v/>
      </c>
      <c r="D788">
        <f>IF($V788="","",INDEX('Per Line'!$E$2:$E$6001,$V788)&amp;"")</f>
        <v/>
      </c>
      <c r="E788">
        <f>IF($V788="","",INDEX('Per Line'!$G$2:$G$6001,$V788)&amp;"")</f>
        <v/>
      </c>
      <c r="F788">
        <f>IF($V788="","",INDEX('Per Line'!$H$2:$H$6001,$V788)&amp;"")</f>
        <v/>
      </c>
      <c r="G788">
        <f>IF($V788="","",INDEX('Per Line'!$I$2:$I$6001,$V788)&amp;"")</f>
        <v/>
      </c>
      <c r="H788">
        <f>IF($V788="","",INDEX('Per Line'!$J$2:$J$6001,$V788))</f>
        <v/>
      </c>
      <c r="I788" s="7">
        <f>IF($V788="","",H788*S788/100)</f>
        <v/>
      </c>
      <c r="J788">
        <f>IF($V788="","",INDEX('Per Line'!$S$2:$S$6001,$V788)&amp;"")</f>
        <v/>
      </c>
      <c r="K788" s="7">
        <f>IF($V788="","",SUMIFS('Per Line'!$R$2:$R$6001,'Per Line'!$C$2:$C$6001,$B788,'Per Line'!$AJ$2:$AJ$6001,1))</f>
        <v/>
      </c>
      <c r="L788">
        <f>IF($V788="","",Settings!$C$7)</f>
        <v/>
      </c>
      <c r="M788" s="7">
        <f>IF($V788="","",SUMIFS('Per Line'!$R$2:$R$6001,'Per Line'!$C$2:$C$6001,$B788,'Per Line'!$AI$2:$AI$6001,0,'Per Line'!$AJ$2:$AJ$6001,0))</f>
        <v/>
      </c>
      <c r="N788" s="7">
        <f>IF($V788="","",M788*L788)</f>
        <v/>
      </c>
      <c r="O788">
        <f>IF($V788="","",Settings!$C$6)</f>
        <v/>
      </c>
      <c r="P788" s="7">
        <f>IF($V788="","",SUMIFS('Per Line'!$R$2:$R$6001,'Per Line'!$C$2:$C$6001,$B788,'Per Line'!$AI$2:$AI$6001,1,'Per Line'!$AJ$2:$AJ$6001,0))</f>
        <v/>
      </c>
      <c r="Q788" s="7">
        <f>IF($V788="","",P788*O788)</f>
        <v/>
      </c>
      <c r="R788" s="7">
        <f>IF($V788="","",Q788+N788)</f>
        <v/>
      </c>
      <c r="S788" s="7">
        <f>IF($V788="","",T788-R788)</f>
        <v/>
      </c>
      <c r="T788" s="7">
        <f>IF($V788="","",M788+P788+K788)</f>
        <v/>
      </c>
      <c r="U788" s="7">
        <f>IF($V788="","",T788-R788-I788)</f>
        <v/>
      </c>
      <c r="V788" s="13">
        <f>IF(ROWS($V$2:$V788)&lt;=MAX('Per Line'!$AH$2:$AH$6001),MATCH(ROWS($V$2:$V788),'Per Line'!$AH$2:$AH$6001,0),"")</f>
        <v/>
      </c>
    </row>
    <row r="789">
      <c r="A789" s="12" t="n"/>
      <c r="B789">
        <f>IF($V789="","",INDEX('Per Line'!$C$2:$C$6001,$V789)&amp;"")</f>
        <v/>
      </c>
      <c r="C789" s="11">
        <f>IF($V789="","",INDEX('Per Line'!$D$2:$D$6001,$V789))</f>
        <v/>
      </c>
      <c r="D789">
        <f>IF($V789="","",INDEX('Per Line'!$E$2:$E$6001,$V789)&amp;"")</f>
        <v/>
      </c>
      <c r="E789">
        <f>IF($V789="","",INDEX('Per Line'!$G$2:$G$6001,$V789)&amp;"")</f>
        <v/>
      </c>
      <c r="F789">
        <f>IF($V789="","",INDEX('Per Line'!$H$2:$H$6001,$V789)&amp;"")</f>
        <v/>
      </c>
      <c r="G789">
        <f>IF($V789="","",INDEX('Per Line'!$I$2:$I$6001,$V789)&amp;"")</f>
        <v/>
      </c>
      <c r="H789">
        <f>IF($V789="","",INDEX('Per Line'!$J$2:$J$6001,$V789))</f>
        <v/>
      </c>
      <c r="I789" s="7">
        <f>IF($V789="","",H789*S789/100)</f>
        <v/>
      </c>
      <c r="J789">
        <f>IF($V789="","",INDEX('Per Line'!$S$2:$S$6001,$V789)&amp;"")</f>
        <v/>
      </c>
      <c r="K789" s="7">
        <f>IF($V789="","",SUMIFS('Per Line'!$R$2:$R$6001,'Per Line'!$C$2:$C$6001,$B789,'Per Line'!$AJ$2:$AJ$6001,1))</f>
        <v/>
      </c>
      <c r="L789">
        <f>IF($V789="","",Settings!$C$7)</f>
        <v/>
      </c>
      <c r="M789" s="7">
        <f>IF($V789="","",SUMIFS('Per Line'!$R$2:$R$6001,'Per Line'!$C$2:$C$6001,$B789,'Per Line'!$AI$2:$AI$6001,0,'Per Line'!$AJ$2:$AJ$6001,0))</f>
        <v/>
      </c>
      <c r="N789" s="7">
        <f>IF($V789="","",M789*L789)</f>
        <v/>
      </c>
      <c r="O789">
        <f>IF($V789="","",Settings!$C$6)</f>
        <v/>
      </c>
      <c r="P789" s="7">
        <f>IF($V789="","",SUMIFS('Per Line'!$R$2:$R$6001,'Per Line'!$C$2:$C$6001,$B789,'Per Line'!$AI$2:$AI$6001,1,'Per Line'!$AJ$2:$AJ$6001,0))</f>
        <v/>
      </c>
      <c r="Q789" s="7">
        <f>IF($V789="","",P789*O789)</f>
        <v/>
      </c>
      <c r="R789" s="7">
        <f>IF($V789="","",Q789+N789)</f>
        <v/>
      </c>
      <c r="S789" s="7">
        <f>IF($V789="","",T789-R789)</f>
        <v/>
      </c>
      <c r="T789" s="7">
        <f>IF($V789="","",M789+P789+K789)</f>
        <v/>
      </c>
      <c r="U789" s="7">
        <f>IF($V789="","",T789-R789-I789)</f>
        <v/>
      </c>
      <c r="V789" s="13">
        <f>IF(ROWS($V$2:$V789)&lt;=MAX('Per Line'!$AH$2:$AH$6001),MATCH(ROWS($V$2:$V789),'Per Line'!$AH$2:$AH$6001,0),"")</f>
        <v/>
      </c>
    </row>
    <row r="790">
      <c r="A790" s="12" t="n"/>
      <c r="B790">
        <f>IF($V790="","",INDEX('Per Line'!$C$2:$C$6001,$V790)&amp;"")</f>
        <v/>
      </c>
      <c r="C790" s="11">
        <f>IF($V790="","",INDEX('Per Line'!$D$2:$D$6001,$V790))</f>
        <v/>
      </c>
      <c r="D790">
        <f>IF($V790="","",INDEX('Per Line'!$E$2:$E$6001,$V790)&amp;"")</f>
        <v/>
      </c>
      <c r="E790">
        <f>IF($V790="","",INDEX('Per Line'!$G$2:$G$6001,$V790)&amp;"")</f>
        <v/>
      </c>
      <c r="F790">
        <f>IF($V790="","",INDEX('Per Line'!$H$2:$H$6001,$V790)&amp;"")</f>
        <v/>
      </c>
      <c r="G790">
        <f>IF($V790="","",INDEX('Per Line'!$I$2:$I$6001,$V790)&amp;"")</f>
        <v/>
      </c>
      <c r="H790">
        <f>IF($V790="","",INDEX('Per Line'!$J$2:$J$6001,$V790))</f>
        <v/>
      </c>
      <c r="I790" s="7">
        <f>IF($V790="","",H790*S790/100)</f>
        <v/>
      </c>
      <c r="J790">
        <f>IF($V790="","",INDEX('Per Line'!$S$2:$S$6001,$V790)&amp;"")</f>
        <v/>
      </c>
      <c r="K790" s="7">
        <f>IF($V790="","",SUMIFS('Per Line'!$R$2:$R$6001,'Per Line'!$C$2:$C$6001,$B790,'Per Line'!$AJ$2:$AJ$6001,1))</f>
        <v/>
      </c>
      <c r="L790">
        <f>IF($V790="","",Settings!$C$7)</f>
        <v/>
      </c>
      <c r="M790" s="7">
        <f>IF($V790="","",SUMIFS('Per Line'!$R$2:$R$6001,'Per Line'!$C$2:$C$6001,$B790,'Per Line'!$AI$2:$AI$6001,0,'Per Line'!$AJ$2:$AJ$6001,0))</f>
        <v/>
      </c>
      <c r="N790" s="7">
        <f>IF($V790="","",M790*L790)</f>
        <v/>
      </c>
      <c r="O790">
        <f>IF($V790="","",Settings!$C$6)</f>
        <v/>
      </c>
      <c r="P790" s="7">
        <f>IF($V790="","",SUMIFS('Per Line'!$R$2:$R$6001,'Per Line'!$C$2:$C$6001,$B790,'Per Line'!$AI$2:$AI$6001,1,'Per Line'!$AJ$2:$AJ$6001,0))</f>
        <v/>
      </c>
      <c r="Q790" s="7">
        <f>IF($V790="","",P790*O790)</f>
        <v/>
      </c>
      <c r="R790" s="7">
        <f>IF($V790="","",Q790+N790)</f>
        <v/>
      </c>
      <c r="S790" s="7">
        <f>IF($V790="","",T790-R790)</f>
        <v/>
      </c>
      <c r="T790" s="7">
        <f>IF($V790="","",M790+P790+K790)</f>
        <v/>
      </c>
      <c r="U790" s="7">
        <f>IF($V790="","",T790-R790-I790)</f>
        <v/>
      </c>
      <c r="V790" s="13">
        <f>IF(ROWS($V$2:$V790)&lt;=MAX('Per Line'!$AH$2:$AH$6001),MATCH(ROWS($V$2:$V790),'Per Line'!$AH$2:$AH$6001,0),"")</f>
        <v/>
      </c>
    </row>
    <row r="791">
      <c r="A791" s="12" t="n"/>
      <c r="B791">
        <f>IF($V791="","",INDEX('Per Line'!$C$2:$C$6001,$V791)&amp;"")</f>
        <v/>
      </c>
      <c r="C791" s="11">
        <f>IF($V791="","",INDEX('Per Line'!$D$2:$D$6001,$V791))</f>
        <v/>
      </c>
      <c r="D791">
        <f>IF($V791="","",INDEX('Per Line'!$E$2:$E$6001,$V791)&amp;"")</f>
        <v/>
      </c>
      <c r="E791">
        <f>IF($V791="","",INDEX('Per Line'!$G$2:$G$6001,$V791)&amp;"")</f>
        <v/>
      </c>
      <c r="F791">
        <f>IF($V791="","",INDEX('Per Line'!$H$2:$H$6001,$V791)&amp;"")</f>
        <v/>
      </c>
      <c r="G791">
        <f>IF($V791="","",INDEX('Per Line'!$I$2:$I$6001,$V791)&amp;"")</f>
        <v/>
      </c>
      <c r="H791">
        <f>IF($V791="","",INDEX('Per Line'!$J$2:$J$6001,$V791))</f>
        <v/>
      </c>
      <c r="I791" s="7">
        <f>IF($V791="","",H791*S791/100)</f>
        <v/>
      </c>
      <c r="J791">
        <f>IF($V791="","",INDEX('Per Line'!$S$2:$S$6001,$V791)&amp;"")</f>
        <v/>
      </c>
      <c r="K791" s="7">
        <f>IF($V791="","",SUMIFS('Per Line'!$R$2:$R$6001,'Per Line'!$C$2:$C$6001,$B791,'Per Line'!$AJ$2:$AJ$6001,1))</f>
        <v/>
      </c>
      <c r="L791">
        <f>IF($V791="","",Settings!$C$7)</f>
        <v/>
      </c>
      <c r="M791" s="7">
        <f>IF($V791="","",SUMIFS('Per Line'!$R$2:$R$6001,'Per Line'!$C$2:$C$6001,$B791,'Per Line'!$AI$2:$AI$6001,0,'Per Line'!$AJ$2:$AJ$6001,0))</f>
        <v/>
      </c>
      <c r="N791" s="7">
        <f>IF($V791="","",M791*L791)</f>
        <v/>
      </c>
      <c r="O791">
        <f>IF($V791="","",Settings!$C$6)</f>
        <v/>
      </c>
      <c r="P791" s="7">
        <f>IF($V791="","",SUMIFS('Per Line'!$R$2:$R$6001,'Per Line'!$C$2:$C$6001,$B791,'Per Line'!$AI$2:$AI$6001,1,'Per Line'!$AJ$2:$AJ$6001,0))</f>
        <v/>
      </c>
      <c r="Q791" s="7">
        <f>IF($V791="","",P791*O791)</f>
        <v/>
      </c>
      <c r="R791" s="7">
        <f>IF($V791="","",Q791+N791)</f>
        <v/>
      </c>
      <c r="S791" s="7">
        <f>IF($V791="","",T791-R791)</f>
        <v/>
      </c>
      <c r="T791" s="7">
        <f>IF($V791="","",M791+P791+K791)</f>
        <v/>
      </c>
      <c r="U791" s="7">
        <f>IF($V791="","",T791-R791-I791)</f>
        <v/>
      </c>
      <c r="V791" s="13">
        <f>IF(ROWS($V$2:$V791)&lt;=MAX('Per Line'!$AH$2:$AH$6001),MATCH(ROWS($V$2:$V791),'Per Line'!$AH$2:$AH$6001,0),"")</f>
        <v/>
      </c>
    </row>
    <row r="792">
      <c r="A792" s="12" t="n"/>
      <c r="B792">
        <f>IF($V792="","",INDEX('Per Line'!$C$2:$C$6001,$V792)&amp;"")</f>
        <v/>
      </c>
      <c r="C792" s="11">
        <f>IF($V792="","",INDEX('Per Line'!$D$2:$D$6001,$V792))</f>
        <v/>
      </c>
      <c r="D792">
        <f>IF($V792="","",INDEX('Per Line'!$E$2:$E$6001,$V792)&amp;"")</f>
        <v/>
      </c>
      <c r="E792">
        <f>IF($V792="","",INDEX('Per Line'!$G$2:$G$6001,$V792)&amp;"")</f>
        <v/>
      </c>
      <c r="F792">
        <f>IF($V792="","",INDEX('Per Line'!$H$2:$H$6001,$V792)&amp;"")</f>
        <v/>
      </c>
      <c r="G792">
        <f>IF($V792="","",INDEX('Per Line'!$I$2:$I$6001,$V792)&amp;"")</f>
        <v/>
      </c>
      <c r="H792">
        <f>IF($V792="","",INDEX('Per Line'!$J$2:$J$6001,$V792))</f>
        <v/>
      </c>
      <c r="I792" s="7">
        <f>IF($V792="","",H792*S792/100)</f>
        <v/>
      </c>
      <c r="J792">
        <f>IF($V792="","",INDEX('Per Line'!$S$2:$S$6001,$V792)&amp;"")</f>
        <v/>
      </c>
      <c r="K792" s="7">
        <f>IF($V792="","",SUMIFS('Per Line'!$R$2:$R$6001,'Per Line'!$C$2:$C$6001,$B792,'Per Line'!$AJ$2:$AJ$6001,1))</f>
        <v/>
      </c>
      <c r="L792">
        <f>IF($V792="","",Settings!$C$7)</f>
        <v/>
      </c>
      <c r="M792" s="7">
        <f>IF($V792="","",SUMIFS('Per Line'!$R$2:$R$6001,'Per Line'!$C$2:$C$6001,$B792,'Per Line'!$AI$2:$AI$6001,0,'Per Line'!$AJ$2:$AJ$6001,0))</f>
        <v/>
      </c>
      <c r="N792" s="7">
        <f>IF($V792="","",M792*L792)</f>
        <v/>
      </c>
      <c r="O792">
        <f>IF($V792="","",Settings!$C$6)</f>
        <v/>
      </c>
      <c r="P792" s="7">
        <f>IF($V792="","",SUMIFS('Per Line'!$R$2:$R$6001,'Per Line'!$C$2:$C$6001,$B792,'Per Line'!$AI$2:$AI$6001,1,'Per Line'!$AJ$2:$AJ$6001,0))</f>
        <v/>
      </c>
      <c r="Q792" s="7">
        <f>IF($V792="","",P792*O792)</f>
        <v/>
      </c>
      <c r="R792" s="7">
        <f>IF($V792="","",Q792+N792)</f>
        <v/>
      </c>
      <c r="S792" s="7">
        <f>IF($V792="","",T792-R792)</f>
        <v/>
      </c>
      <c r="T792" s="7">
        <f>IF($V792="","",M792+P792+K792)</f>
        <v/>
      </c>
      <c r="U792" s="7">
        <f>IF($V792="","",T792-R792-I792)</f>
        <v/>
      </c>
      <c r="V792" s="13">
        <f>IF(ROWS($V$2:$V792)&lt;=MAX('Per Line'!$AH$2:$AH$6001),MATCH(ROWS($V$2:$V792),'Per Line'!$AH$2:$AH$6001,0),"")</f>
        <v/>
      </c>
    </row>
    <row r="793">
      <c r="A793" s="12" t="n"/>
      <c r="B793">
        <f>IF($V793="","",INDEX('Per Line'!$C$2:$C$6001,$V793)&amp;"")</f>
        <v/>
      </c>
      <c r="C793" s="11">
        <f>IF($V793="","",INDEX('Per Line'!$D$2:$D$6001,$V793))</f>
        <v/>
      </c>
      <c r="D793">
        <f>IF($V793="","",INDEX('Per Line'!$E$2:$E$6001,$V793)&amp;"")</f>
        <v/>
      </c>
      <c r="E793">
        <f>IF($V793="","",INDEX('Per Line'!$G$2:$G$6001,$V793)&amp;"")</f>
        <v/>
      </c>
      <c r="F793">
        <f>IF($V793="","",INDEX('Per Line'!$H$2:$H$6001,$V793)&amp;"")</f>
        <v/>
      </c>
      <c r="G793">
        <f>IF($V793="","",INDEX('Per Line'!$I$2:$I$6001,$V793)&amp;"")</f>
        <v/>
      </c>
      <c r="H793">
        <f>IF($V793="","",INDEX('Per Line'!$J$2:$J$6001,$V793))</f>
        <v/>
      </c>
      <c r="I793" s="7">
        <f>IF($V793="","",H793*S793/100)</f>
        <v/>
      </c>
      <c r="J793">
        <f>IF($V793="","",INDEX('Per Line'!$S$2:$S$6001,$V793)&amp;"")</f>
        <v/>
      </c>
      <c r="K793" s="7">
        <f>IF($V793="","",SUMIFS('Per Line'!$R$2:$R$6001,'Per Line'!$C$2:$C$6001,$B793,'Per Line'!$AJ$2:$AJ$6001,1))</f>
        <v/>
      </c>
      <c r="L793">
        <f>IF($V793="","",Settings!$C$7)</f>
        <v/>
      </c>
      <c r="M793" s="7">
        <f>IF($V793="","",SUMIFS('Per Line'!$R$2:$R$6001,'Per Line'!$C$2:$C$6001,$B793,'Per Line'!$AI$2:$AI$6001,0,'Per Line'!$AJ$2:$AJ$6001,0))</f>
        <v/>
      </c>
      <c r="N793" s="7">
        <f>IF($V793="","",M793*L793)</f>
        <v/>
      </c>
      <c r="O793">
        <f>IF($V793="","",Settings!$C$6)</f>
        <v/>
      </c>
      <c r="P793" s="7">
        <f>IF($V793="","",SUMIFS('Per Line'!$R$2:$R$6001,'Per Line'!$C$2:$C$6001,$B793,'Per Line'!$AI$2:$AI$6001,1,'Per Line'!$AJ$2:$AJ$6001,0))</f>
        <v/>
      </c>
      <c r="Q793" s="7">
        <f>IF($V793="","",P793*O793)</f>
        <v/>
      </c>
      <c r="R793" s="7">
        <f>IF($V793="","",Q793+N793)</f>
        <v/>
      </c>
      <c r="S793" s="7">
        <f>IF($V793="","",T793-R793)</f>
        <v/>
      </c>
      <c r="T793" s="7">
        <f>IF($V793="","",M793+P793+K793)</f>
        <v/>
      </c>
      <c r="U793" s="7">
        <f>IF($V793="","",T793-R793-I793)</f>
        <v/>
      </c>
      <c r="V793" s="13">
        <f>IF(ROWS($V$2:$V793)&lt;=MAX('Per Line'!$AH$2:$AH$6001),MATCH(ROWS($V$2:$V793),'Per Line'!$AH$2:$AH$6001,0),"")</f>
        <v/>
      </c>
    </row>
    <row r="794">
      <c r="A794" s="12" t="n"/>
      <c r="B794">
        <f>IF($V794="","",INDEX('Per Line'!$C$2:$C$6001,$V794)&amp;"")</f>
        <v/>
      </c>
      <c r="C794" s="11">
        <f>IF($V794="","",INDEX('Per Line'!$D$2:$D$6001,$V794))</f>
        <v/>
      </c>
      <c r="D794">
        <f>IF($V794="","",INDEX('Per Line'!$E$2:$E$6001,$V794)&amp;"")</f>
        <v/>
      </c>
      <c r="E794">
        <f>IF($V794="","",INDEX('Per Line'!$G$2:$G$6001,$V794)&amp;"")</f>
        <v/>
      </c>
      <c r="F794">
        <f>IF($V794="","",INDEX('Per Line'!$H$2:$H$6001,$V794)&amp;"")</f>
        <v/>
      </c>
      <c r="G794">
        <f>IF($V794="","",INDEX('Per Line'!$I$2:$I$6001,$V794)&amp;"")</f>
        <v/>
      </c>
      <c r="H794">
        <f>IF($V794="","",INDEX('Per Line'!$J$2:$J$6001,$V794))</f>
        <v/>
      </c>
      <c r="I794" s="7">
        <f>IF($V794="","",H794*S794/100)</f>
        <v/>
      </c>
      <c r="J794">
        <f>IF($V794="","",INDEX('Per Line'!$S$2:$S$6001,$V794)&amp;"")</f>
        <v/>
      </c>
      <c r="K794" s="7">
        <f>IF($V794="","",SUMIFS('Per Line'!$R$2:$R$6001,'Per Line'!$C$2:$C$6001,$B794,'Per Line'!$AJ$2:$AJ$6001,1))</f>
        <v/>
      </c>
      <c r="L794">
        <f>IF($V794="","",Settings!$C$7)</f>
        <v/>
      </c>
      <c r="M794" s="7">
        <f>IF($V794="","",SUMIFS('Per Line'!$R$2:$R$6001,'Per Line'!$C$2:$C$6001,$B794,'Per Line'!$AI$2:$AI$6001,0,'Per Line'!$AJ$2:$AJ$6001,0))</f>
        <v/>
      </c>
      <c r="N794" s="7">
        <f>IF($V794="","",M794*L794)</f>
        <v/>
      </c>
      <c r="O794">
        <f>IF($V794="","",Settings!$C$6)</f>
        <v/>
      </c>
      <c r="P794" s="7">
        <f>IF($V794="","",SUMIFS('Per Line'!$R$2:$R$6001,'Per Line'!$C$2:$C$6001,$B794,'Per Line'!$AI$2:$AI$6001,1,'Per Line'!$AJ$2:$AJ$6001,0))</f>
        <v/>
      </c>
      <c r="Q794" s="7">
        <f>IF($V794="","",P794*O794)</f>
        <v/>
      </c>
      <c r="R794" s="7">
        <f>IF($V794="","",Q794+N794)</f>
        <v/>
      </c>
      <c r="S794" s="7">
        <f>IF($V794="","",T794-R794)</f>
        <v/>
      </c>
      <c r="T794" s="7">
        <f>IF($V794="","",M794+P794+K794)</f>
        <v/>
      </c>
      <c r="U794" s="7">
        <f>IF($V794="","",T794-R794-I794)</f>
        <v/>
      </c>
      <c r="V794" s="13">
        <f>IF(ROWS($V$2:$V794)&lt;=MAX('Per Line'!$AH$2:$AH$6001),MATCH(ROWS($V$2:$V794),'Per Line'!$AH$2:$AH$6001,0),"")</f>
        <v/>
      </c>
    </row>
    <row r="795">
      <c r="A795" s="12" t="n"/>
      <c r="B795">
        <f>IF($V795="","",INDEX('Per Line'!$C$2:$C$6001,$V795)&amp;"")</f>
        <v/>
      </c>
      <c r="C795" s="11">
        <f>IF($V795="","",INDEX('Per Line'!$D$2:$D$6001,$V795))</f>
        <v/>
      </c>
      <c r="D795">
        <f>IF($V795="","",INDEX('Per Line'!$E$2:$E$6001,$V795)&amp;"")</f>
        <v/>
      </c>
      <c r="E795">
        <f>IF($V795="","",INDEX('Per Line'!$G$2:$G$6001,$V795)&amp;"")</f>
        <v/>
      </c>
      <c r="F795">
        <f>IF($V795="","",INDEX('Per Line'!$H$2:$H$6001,$V795)&amp;"")</f>
        <v/>
      </c>
      <c r="G795">
        <f>IF($V795="","",INDEX('Per Line'!$I$2:$I$6001,$V795)&amp;"")</f>
        <v/>
      </c>
      <c r="H795">
        <f>IF($V795="","",INDEX('Per Line'!$J$2:$J$6001,$V795))</f>
        <v/>
      </c>
      <c r="I795" s="7">
        <f>IF($V795="","",H795*S795/100)</f>
        <v/>
      </c>
      <c r="J795">
        <f>IF($V795="","",INDEX('Per Line'!$S$2:$S$6001,$V795)&amp;"")</f>
        <v/>
      </c>
      <c r="K795" s="7">
        <f>IF($V795="","",SUMIFS('Per Line'!$R$2:$R$6001,'Per Line'!$C$2:$C$6001,$B795,'Per Line'!$AJ$2:$AJ$6001,1))</f>
        <v/>
      </c>
      <c r="L795">
        <f>IF($V795="","",Settings!$C$7)</f>
        <v/>
      </c>
      <c r="M795" s="7">
        <f>IF($V795="","",SUMIFS('Per Line'!$R$2:$R$6001,'Per Line'!$C$2:$C$6001,$B795,'Per Line'!$AI$2:$AI$6001,0,'Per Line'!$AJ$2:$AJ$6001,0))</f>
        <v/>
      </c>
      <c r="N795" s="7">
        <f>IF($V795="","",M795*L795)</f>
        <v/>
      </c>
      <c r="O795">
        <f>IF($V795="","",Settings!$C$6)</f>
        <v/>
      </c>
      <c r="P795" s="7">
        <f>IF($V795="","",SUMIFS('Per Line'!$R$2:$R$6001,'Per Line'!$C$2:$C$6001,$B795,'Per Line'!$AI$2:$AI$6001,1,'Per Line'!$AJ$2:$AJ$6001,0))</f>
        <v/>
      </c>
      <c r="Q795" s="7">
        <f>IF($V795="","",P795*O795)</f>
        <v/>
      </c>
      <c r="R795" s="7">
        <f>IF($V795="","",Q795+N795)</f>
        <v/>
      </c>
      <c r="S795" s="7">
        <f>IF($V795="","",T795-R795)</f>
        <v/>
      </c>
      <c r="T795" s="7">
        <f>IF($V795="","",M795+P795+K795)</f>
        <v/>
      </c>
      <c r="U795" s="7">
        <f>IF($V795="","",T795-R795-I795)</f>
        <v/>
      </c>
      <c r="V795" s="13">
        <f>IF(ROWS($V$2:$V795)&lt;=MAX('Per Line'!$AH$2:$AH$6001),MATCH(ROWS($V$2:$V795),'Per Line'!$AH$2:$AH$6001,0),"")</f>
        <v/>
      </c>
    </row>
    <row r="796">
      <c r="A796" s="12" t="n"/>
      <c r="B796">
        <f>IF($V796="","",INDEX('Per Line'!$C$2:$C$6001,$V796)&amp;"")</f>
        <v/>
      </c>
      <c r="C796" s="11">
        <f>IF($V796="","",INDEX('Per Line'!$D$2:$D$6001,$V796))</f>
        <v/>
      </c>
      <c r="D796">
        <f>IF($V796="","",INDEX('Per Line'!$E$2:$E$6001,$V796)&amp;"")</f>
        <v/>
      </c>
      <c r="E796">
        <f>IF($V796="","",INDEX('Per Line'!$G$2:$G$6001,$V796)&amp;"")</f>
        <v/>
      </c>
      <c r="F796">
        <f>IF($V796="","",INDEX('Per Line'!$H$2:$H$6001,$V796)&amp;"")</f>
        <v/>
      </c>
      <c r="G796">
        <f>IF($V796="","",INDEX('Per Line'!$I$2:$I$6001,$V796)&amp;"")</f>
        <v/>
      </c>
      <c r="H796">
        <f>IF($V796="","",INDEX('Per Line'!$J$2:$J$6001,$V796))</f>
        <v/>
      </c>
      <c r="I796" s="7">
        <f>IF($V796="","",H796*S796/100)</f>
        <v/>
      </c>
      <c r="J796">
        <f>IF($V796="","",INDEX('Per Line'!$S$2:$S$6001,$V796)&amp;"")</f>
        <v/>
      </c>
      <c r="K796" s="7">
        <f>IF($V796="","",SUMIFS('Per Line'!$R$2:$R$6001,'Per Line'!$C$2:$C$6001,$B796,'Per Line'!$AJ$2:$AJ$6001,1))</f>
        <v/>
      </c>
      <c r="L796">
        <f>IF($V796="","",Settings!$C$7)</f>
        <v/>
      </c>
      <c r="M796" s="7">
        <f>IF($V796="","",SUMIFS('Per Line'!$R$2:$R$6001,'Per Line'!$C$2:$C$6001,$B796,'Per Line'!$AI$2:$AI$6001,0,'Per Line'!$AJ$2:$AJ$6001,0))</f>
        <v/>
      </c>
      <c r="N796" s="7">
        <f>IF($V796="","",M796*L796)</f>
        <v/>
      </c>
      <c r="O796">
        <f>IF($V796="","",Settings!$C$6)</f>
        <v/>
      </c>
      <c r="P796" s="7">
        <f>IF($V796="","",SUMIFS('Per Line'!$R$2:$R$6001,'Per Line'!$C$2:$C$6001,$B796,'Per Line'!$AI$2:$AI$6001,1,'Per Line'!$AJ$2:$AJ$6001,0))</f>
        <v/>
      </c>
      <c r="Q796" s="7">
        <f>IF($V796="","",P796*O796)</f>
        <v/>
      </c>
      <c r="R796" s="7">
        <f>IF($V796="","",Q796+N796)</f>
        <v/>
      </c>
      <c r="S796" s="7">
        <f>IF($V796="","",T796-R796)</f>
        <v/>
      </c>
      <c r="T796" s="7">
        <f>IF($V796="","",M796+P796+K796)</f>
        <v/>
      </c>
      <c r="U796" s="7">
        <f>IF($V796="","",T796-R796-I796)</f>
        <v/>
      </c>
      <c r="V796" s="13">
        <f>IF(ROWS($V$2:$V796)&lt;=MAX('Per Line'!$AH$2:$AH$6001),MATCH(ROWS($V$2:$V796),'Per Line'!$AH$2:$AH$6001,0),"")</f>
        <v/>
      </c>
    </row>
    <row r="797">
      <c r="A797" s="12" t="n"/>
      <c r="B797">
        <f>IF($V797="","",INDEX('Per Line'!$C$2:$C$6001,$V797)&amp;"")</f>
        <v/>
      </c>
      <c r="C797" s="11">
        <f>IF($V797="","",INDEX('Per Line'!$D$2:$D$6001,$V797))</f>
        <v/>
      </c>
      <c r="D797">
        <f>IF($V797="","",INDEX('Per Line'!$E$2:$E$6001,$V797)&amp;"")</f>
        <v/>
      </c>
      <c r="E797">
        <f>IF($V797="","",INDEX('Per Line'!$G$2:$G$6001,$V797)&amp;"")</f>
        <v/>
      </c>
      <c r="F797">
        <f>IF($V797="","",INDEX('Per Line'!$H$2:$H$6001,$V797)&amp;"")</f>
        <v/>
      </c>
      <c r="G797">
        <f>IF($V797="","",INDEX('Per Line'!$I$2:$I$6001,$V797)&amp;"")</f>
        <v/>
      </c>
      <c r="H797">
        <f>IF($V797="","",INDEX('Per Line'!$J$2:$J$6001,$V797))</f>
        <v/>
      </c>
      <c r="I797" s="7">
        <f>IF($V797="","",H797*S797/100)</f>
        <v/>
      </c>
      <c r="J797">
        <f>IF($V797="","",INDEX('Per Line'!$S$2:$S$6001,$V797)&amp;"")</f>
        <v/>
      </c>
      <c r="K797" s="7">
        <f>IF($V797="","",SUMIFS('Per Line'!$R$2:$R$6001,'Per Line'!$C$2:$C$6001,$B797,'Per Line'!$AJ$2:$AJ$6001,1))</f>
        <v/>
      </c>
      <c r="L797">
        <f>IF($V797="","",Settings!$C$7)</f>
        <v/>
      </c>
      <c r="M797" s="7">
        <f>IF($V797="","",SUMIFS('Per Line'!$R$2:$R$6001,'Per Line'!$C$2:$C$6001,$B797,'Per Line'!$AI$2:$AI$6001,0,'Per Line'!$AJ$2:$AJ$6001,0))</f>
        <v/>
      </c>
      <c r="N797" s="7">
        <f>IF($V797="","",M797*L797)</f>
        <v/>
      </c>
      <c r="O797">
        <f>IF($V797="","",Settings!$C$6)</f>
        <v/>
      </c>
      <c r="P797" s="7">
        <f>IF($V797="","",SUMIFS('Per Line'!$R$2:$R$6001,'Per Line'!$C$2:$C$6001,$B797,'Per Line'!$AI$2:$AI$6001,1,'Per Line'!$AJ$2:$AJ$6001,0))</f>
        <v/>
      </c>
      <c r="Q797" s="7">
        <f>IF($V797="","",P797*O797)</f>
        <v/>
      </c>
      <c r="R797" s="7">
        <f>IF($V797="","",Q797+N797)</f>
        <v/>
      </c>
      <c r="S797" s="7">
        <f>IF($V797="","",T797-R797)</f>
        <v/>
      </c>
      <c r="T797" s="7">
        <f>IF($V797="","",M797+P797+K797)</f>
        <v/>
      </c>
      <c r="U797" s="7">
        <f>IF($V797="","",T797-R797-I797)</f>
        <v/>
      </c>
      <c r="V797" s="13">
        <f>IF(ROWS($V$2:$V797)&lt;=MAX('Per Line'!$AH$2:$AH$6001),MATCH(ROWS($V$2:$V797),'Per Line'!$AH$2:$AH$6001,0),"")</f>
        <v/>
      </c>
    </row>
    <row r="798">
      <c r="A798" s="12" t="n"/>
      <c r="B798">
        <f>IF($V798="","",INDEX('Per Line'!$C$2:$C$6001,$V798)&amp;"")</f>
        <v/>
      </c>
      <c r="C798" s="11">
        <f>IF($V798="","",INDEX('Per Line'!$D$2:$D$6001,$V798))</f>
        <v/>
      </c>
      <c r="D798">
        <f>IF($V798="","",INDEX('Per Line'!$E$2:$E$6001,$V798)&amp;"")</f>
        <v/>
      </c>
      <c r="E798">
        <f>IF($V798="","",INDEX('Per Line'!$G$2:$G$6001,$V798)&amp;"")</f>
        <v/>
      </c>
      <c r="F798">
        <f>IF($V798="","",INDEX('Per Line'!$H$2:$H$6001,$V798)&amp;"")</f>
        <v/>
      </c>
      <c r="G798">
        <f>IF($V798="","",INDEX('Per Line'!$I$2:$I$6001,$V798)&amp;"")</f>
        <v/>
      </c>
      <c r="H798">
        <f>IF($V798="","",INDEX('Per Line'!$J$2:$J$6001,$V798))</f>
        <v/>
      </c>
      <c r="I798" s="7">
        <f>IF($V798="","",H798*S798/100)</f>
        <v/>
      </c>
      <c r="J798">
        <f>IF($V798="","",INDEX('Per Line'!$S$2:$S$6001,$V798)&amp;"")</f>
        <v/>
      </c>
      <c r="K798" s="7">
        <f>IF($V798="","",SUMIFS('Per Line'!$R$2:$R$6001,'Per Line'!$C$2:$C$6001,$B798,'Per Line'!$AJ$2:$AJ$6001,1))</f>
        <v/>
      </c>
      <c r="L798">
        <f>IF($V798="","",Settings!$C$7)</f>
        <v/>
      </c>
      <c r="M798" s="7">
        <f>IF($V798="","",SUMIFS('Per Line'!$R$2:$R$6001,'Per Line'!$C$2:$C$6001,$B798,'Per Line'!$AI$2:$AI$6001,0,'Per Line'!$AJ$2:$AJ$6001,0))</f>
        <v/>
      </c>
      <c r="N798" s="7">
        <f>IF($V798="","",M798*L798)</f>
        <v/>
      </c>
      <c r="O798">
        <f>IF($V798="","",Settings!$C$6)</f>
        <v/>
      </c>
      <c r="P798" s="7">
        <f>IF($V798="","",SUMIFS('Per Line'!$R$2:$R$6001,'Per Line'!$C$2:$C$6001,$B798,'Per Line'!$AI$2:$AI$6001,1,'Per Line'!$AJ$2:$AJ$6001,0))</f>
        <v/>
      </c>
      <c r="Q798" s="7">
        <f>IF($V798="","",P798*O798)</f>
        <v/>
      </c>
      <c r="R798" s="7">
        <f>IF($V798="","",Q798+N798)</f>
        <v/>
      </c>
      <c r="S798" s="7">
        <f>IF($V798="","",T798-R798)</f>
        <v/>
      </c>
      <c r="T798" s="7">
        <f>IF($V798="","",M798+P798+K798)</f>
        <v/>
      </c>
      <c r="U798" s="7">
        <f>IF($V798="","",T798-R798-I798)</f>
        <v/>
      </c>
      <c r="V798" s="13">
        <f>IF(ROWS($V$2:$V798)&lt;=MAX('Per Line'!$AH$2:$AH$6001),MATCH(ROWS($V$2:$V798),'Per Line'!$AH$2:$AH$6001,0),"")</f>
        <v/>
      </c>
    </row>
    <row r="799">
      <c r="A799" s="12" t="n"/>
      <c r="B799">
        <f>IF($V799="","",INDEX('Per Line'!$C$2:$C$6001,$V799)&amp;"")</f>
        <v/>
      </c>
      <c r="C799" s="11">
        <f>IF($V799="","",INDEX('Per Line'!$D$2:$D$6001,$V799))</f>
        <v/>
      </c>
      <c r="D799">
        <f>IF($V799="","",INDEX('Per Line'!$E$2:$E$6001,$V799)&amp;"")</f>
        <v/>
      </c>
      <c r="E799">
        <f>IF($V799="","",INDEX('Per Line'!$G$2:$G$6001,$V799)&amp;"")</f>
        <v/>
      </c>
      <c r="F799">
        <f>IF($V799="","",INDEX('Per Line'!$H$2:$H$6001,$V799)&amp;"")</f>
        <v/>
      </c>
      <c r="G799">
        <f>IF($V799="","",INDEX('Per Line'!$I$2:$I$6001,$V799)&amp;"")</f>
        <v/>
      </c>
      <c r="H799">
        <f>IF($V799="","",INDEX('Per Line'!$J$2:$J$6001,$V799))</f>
        <v/>
      </c>
      <c r="I799" s="7">
        <f>IF($V799="","",H799*S799/100)</f>
        <v/>
      </c>
      <c r="J799">
        <f>IF($V799="","",INDEX('Per Line'!$S$2:$S$6001,$V799)&amp;"")</f>
        <v/>
      </c>
      <c r="K799" s="7">
        <f>IF($V799="","",SUMIFS('Per Line'!$R$2:$R$6001,'Per Line'!$C$2:$C$6001,$B799,'Per Line'!$AJ$2:$AJ$6001,1))</f>
        <v/>
      </c>
      <c r="L799">
        <f>IF($V799="","",Settings!$C$7)</f>
        <v/>
      </c>
      <c r="M799" s="7">
        <f>IF($V799="","",SUMIFS('Per Line'!$R$2:$R$6001,'Per Line'!$C$2:$C$6001,$B799,'Per Line'!$AI$2:$AI$6001,0,'Per Line'!$AJ$2:$AJ$6001,0))</f>
        <v/>
      </c>
      <c r="N799" s="7">
        <f>IF($V799="","",M799*L799)</f>
        <v/>
      </c>
      <c r="O799">
        <f>IF($V799="","",Settings!$C$6)</f>
        <v/>
      </c>
      <c r="P799" s="7">
        <f>IF($V799="","",SUMIFS('Per Line'!$R$2:$R$6001,'Per Line'!$C$2:$C$6001,$B799,'Per Line'!$AI$2:$AI$6001,1,'Per Line'!$AJ$2:$AJ$6001,0))</f>
        <v/>
      </c>
      <c r="Q799" s="7">
        <f>IF($V799="","",P799*O799)</f>
        <v/>
      </c>
      <c r="R799" s="7">
        <f>IF($V799="","",Q799+N799)</f>
        <v/>
      </c>
      <c r="S799" s="7">
        <f>IF($V799="","",T799-R799)</f>
        <v/>
      </c>
      <c r="T799" s="7">
        <f>IF($V799="","",M799+P799+K799)</f>
        <v/>
      </c>
      <c r="U799" s="7">
        <f>IF($V799="","",T799-R799-I799)</f>
        <v/>
      </c>
      <c r="V799" s="13">
        <f>IF(ROWS($V$2:$V799)&lt;=MAX('Per Line'!$AH$2:$AH$6001),MATCH(ROWS($V$2:$V799),'Per Line'!$AH$2:$AH$6001,0),"")</f>
        <v/>
      </c>
    </row>
    <row r="800">
      <c r="A800" s="12" t="n"/>
      <c r="B800">
        <f>IF($V800="","",INDEX('Per Line'!$C$2:$C$6001,$V800)&amp;"")</f>
        <v/>
      </c>
      <c r="C800" s="11">
        <f>IF($V800="","",INDEX('Per Line'!$D$2:$D$6001,$V800))</f>
        <v/>
      </c>
      <c r="D800">
        <f>IF($V800="","",INDEX('Per Line'!$E$2:$E$6001,$V800)&amp;"")</f>
        <v/>
      </c>
      <c r="E800">
        <f>IF($V800="","",INDEX('Per Line'!$G$2:$G$6001,$V800)&amp;"")</f>
        <v/>
      </c>
      <c r="F800">
        <f>IF($V800="","",INDEX('Per Line'!$H$2:$H$6001,$V800)&amp;"")</f>
        <v/>
      </c>
      <c r="G800">
        <f>IF($V800="","",INDEX('Per Line'!$I$2:$I$6001,$V800)&amp;"")</f>
        <v/>
      </c>
      <c r="H800">
        <f>IF($V800="","",INDEX('Per Line'!$J$2:$J$6001,$V800))</f>
        <v/>
      </c>
      <c r="I800" s="7">
        <f>IF($V800="","",H800*S800/100)</f>
        <v/>
      </c>
      <c r="J800">
        <f>IF($V800="","",INDEX('Per Line'!$S$2:$S$6001,$V800)&amp;"")</f>
        <v/>
      </c>
      <c r="K800" s="7">
        <f>IF($V800="","",SUMIFS('Per Line'!$R$2:$R$6001,'Per Line'!$C$2:$C$6001,$B800,'Per Line'!$AJ$2:$AJ$6001,1))</f>
        <v/>
      </c>
      <c r="L800">
        <f>IF($V800="","",Settings!$C$7)</f>
        <v/>
      </c>
      <c r="M800" s="7">
        <f>IF($V800="","",SUMIFS('Per Line'!$R$2:$R$6001,'Per Line'!$C$2:$C$6001,$B800,'Per Line'!$AI$2:$AI$6001,0,'Per Line'!$AJ$2:$AJ$6001,0))</f>
        <v/>
      </c>
      <c r="N800" s="7">
        <f>IF($V800="","",M800*L800)</f>
        <v/>
      </c>
      <c r="O800">
        <f>IF($V800="","",Settings!$C$6)</f>
        <v/>
      </c>
      <c r="P800" s="7">
        <f>IF($V800="","",SUMIFS('Per Line'!$R$2:$R$6001,'Per Line'!$C$2:$C$6001,$B800,'Per Line'!$AI$2:$AI$6001,1,'Per Line'!$AJ$2:$AJ$6001,0))</f>
        <v/>
      </c>
      <c r="Q800" s="7">
        <f>IF($V800="","",P800*O800)</f>
        <v/>
      </c>
      <c r="R800" s="7">
        <f>IF($V800="","",Q800+N800)</f>
        <v/>
      </c>
      <c r="S800" s="7">
        <f>IF($V800="","",T800-R800)</f>
        <v/>
      </c>
      <c r="T800" s="7">
        <f>IF($V800="","",M800+P800+K800)</f>
        <v/>
      </c>
      <c r="U800" s="7">
        <f>IF($V800="","",T800-R800-I800)</f>
        <v/>
      </c>
      <c r="V800" s="13">
        <f>IF(ROWS($V$2:$V800)&lt;=MAX('Per Line'!$AH$2:$AH$6001),MATCH(ROWS($V$2:$V800),'Per Line'!$AH$2:$AH$6001,0),"")</f>
        <v/>
      </c>
    </row>
    <row r="801">
      <c r="A801" s="12" t="n"/>
      <c r="B801">
        <f>IF($V801="","",INDEX('Per Line'!$C$2:$C$6001,$V801)&amp;"")</f>
        <v/>
      </c>
      <c r="C801" s="11">
        <f>IF($V801="","",INDEX('Per Line'!$D$2:$D$6001,$V801))</f>
        <v/>
      </c>
      <c r="D801">
        <f>IF($V801="","",INDEX('Per Line'!$E$2:$E$6001,$V801)&amp;"")</f>
        <v/>
      </c>
      <c r="E801">
        <f>IF($V801="","",INDEX('Per Line'!$G$2:$G$6001,$V801)&amp;"")</f>
        <v/>
      </c>
      <c r="F801">
        <f>IF($V801="","",INDEX('Per Line'!$H$2:$H$6001,$V801)&amp;"")</f>
        <v/>
      </c>
      <c r="G801">
        <f>IF($V801="","",INDEX('Per Line'!$I$2:$I$6001,$V801)&amp;"")</f>
        <v/>
      </c>
      <c r="H801">
        <f>IF($V801="","",INDEX('Per Line'!$J$2:$J$6001,$V801))</f>
        <v/>
      </c>
      <c r="I801" s="7">
        <f>IF($V801="","",H801*S801/100)</f>
        <v/>
      </c>
      <c r="J801">
        <f>IF($V801="","",INDEX('Per Line'!$S$2:$S$6001,$V801)&amp;"")</f>
        <v/>
      </c>
      <c r="K801" s="7">
        <f>IF($V801="","",SUMIFS('Per Line'!$R$2:$R$6001,'Per Line'!$C$2:$C$6001,$B801,'Per Line'!$AJ$2:$AJ$6001,1))</f>
        <v/>
      </c>
      <c r="L801">
        <f>IF($V801="","",Settings!$C$7)</f>
        <v/>
      </c>
      <c r="M801" s="7">
        <f>IF($V801="","",SUMIFS('Per Line'!$R$2:$R$6001,'Per Line'!$C$2:$C$6001,$B801,'Per Line'!$AI$2:$AI$6001,0,'Per Line'!$AJ$2:$AJ$6001,0))</f>
        <v/>
      </c>
      <c r="N801" s="7">
        <f>IF($V801="","",M801*L801)</f>
        <v/>
      </c>
      <c r="O801">
        <f>IF($V801="","",Settings!$C$6)</f>
        <v/>
      </c>
      <c r="P801" s="7">
        <f>IF($V801="","",SUMIFS('Per Line'!$R$2:$R$6001,'Per Line'!$C$2:$C$6001,$B801,'Per Line'!$AI$2:$AI$6001,1,'Per Line'!$AJ$2:$AJ$6001,0))</f>
        <v/>
      </c>
      <c r="Q801" s="7">
        <f>IF($V801="","",P801*O801)</f>
        <v/>
      </c>
      <c r="R801" s="7">
        <f>IF($V801="","",Q801+N801)</f>
        <v/>
      </c>
      <c r="S801" s="7">
        <f>IF($V801="","",T801-R801)</f>
        <v/>
      </c>
      <c r="T801" s="7">
        <f>IF($V801="","",M801+P801+K801)</f>
        <v/>
      </c>
      <c r="U801" s="7">
        <f>IF($V801="","",T801-R801-I801)</f>
        <v/>
      </c>
      <c r="V801" s="13">
        <f>IF(ROWS($V$2:$V801)&lt;=MAX('Per Line'!$AH$2:$AH$6001),MATCH(ROWS($V$2:$V801),'Per Line'!$AH$2:$AH$6001,0),"")</f>
        <v/>
      </c>
    </row>
    <row r="802">
      <c r="A802" s="12" t="n"/>
      <c r="B802">
        <f>IF($V802="","",INDEX('Per Line'!$C$2:$C$6001,$V802)&amp;"")</f>
        <v/>
      </c>
      <c r="C802" s="11">
        <f>IF($V802="","",INDEX('Per Line'!$D$2:$D$6001,$V802))</f>
        <v/>
      </c>
      <c r="D802">
        <f>IF($V802="","",INDEX('Per Line'!$E$2:$E$6001,$V802)&amp;"")</f>
        <v/>
      </c>
      <c r="E802">
        <f>IF($V802="","",INDEX('Per Line'!$G$2:$G$6001,$V802)&amp;"")</f>
        <v/>
      </c>
      <c r="F802">
        <f>IF($V802="","",INDEX('Per Line'!$H$2:$H$6001,$V802)&amp;"")</f>
        <v/>
      </c>
      <c r="G802">
        <f>IF($V802="","",INDEX('Per Line'!$I$2:$I$6001,$V802)&amp;"")</f>
        <v/>
      </c>
      <c r="H802">
        <f>IF($V802="","",INDEX('Per Line'!$J$2:$J$6001,$V802))</f>
        <v/>
      </c>
      <c r="I802" s="7">
        <f>IF($V802="","",H802*S802/100)</f>
        <v/>
      </c>
      <c r="J802">
        <f>IF($V802="","",INDEX('Per Line'!$S$2:$S$6001,$V802)&amp;"")</f>
        <v/>
      </c>
      <c r="K802" s="7">
        <f>IF($V802="","",SUMIFS('Per Line'!$R$2:$R$6001,'Per Line'!$C$2:$C$6001,$B802,'Per Line'!$AJ$2:$AJ$6001,1))</f>
        <v/>
      </c>
      <c r="L802">
        <f>IF($V802="","",Settings!$C$7)</f>
        <v/>
      </c>
      <c r="M802" s="7">
        <f>IF($V802="","",SUMIFS('Per Line'!$R$2:$R$6001,'Per Line'!$C$2:$C$6001,$B802,'Per Line'!$AI$2:$AI$6001,0,'Per Line'!$AJ$2:$AJ$6001,0))</f>
        <v/>
      </c>
      <c r="N802" s="7">
        <f>IF($V802="","",M802*L802)</f>
        <v/>
      </c>
      <c r="O802">
        <f>IF($V802="","",Settings!$C$6)</f>
        <v/>
      </c>
      <c r="P802" s="7">
        <f>IF($V802="","",SUMIFS('Per Line'!$R$2:$R$6001,'Per Line'!$C$2:$C$6001,$B802,'Per Line'!$AI$2:$AI$6001,1,'Per Line'!$AJ$2:$AJ$6001,0))</f>
        <v/>
      </c>
      <c r="Q802" s="7">
        <f>IF($V802="","",P802*O802)</f>
        <v/>
      </c>
      <c r="R802" s="7">
        <f>IF($V802="","",Q802+N802)</f>
        <v/>
      </c>
      <c r="S802" s="7">
        <f>IF($V802="","",T802-R802)</f>
        <v/>
      </c>
      <c r="T802" s="7">
        <f>IF($V802="","",M802+P802+K802)</f>
        <v/>
      </c>
      <c r="U802" s="7">
        <f>IF($V802="","",T802-R802-I802)</f>
        <v/>
      </c>
      <c r="V802" s="13">
        <f>IF(ROWS($V$2:$V802)&lt;=MAX('Per Line'!$AH$2:$AH$6001),MATCH(ROWS($V$2:$V802),'Per Line'!$AH$2:$AH$6001,0),"")</f>
        <v/>
      </c>
    </row>
    <row r="803">
      <c r="A803" s="12" t="n"/>
      <c r="B803">
        <f>IF($V803="","",INDEX('Per Line'!$C$2:$C$6001,$V803)&amp;"")</f>
        <v/>
      </c>
      <c r="C803" s="11">
        <f>IF($V803="","",INDEX('Per Line'!$D$2:$D$6001,$V803))</f>
        <v/>
      </c>
      <c r="D803">
        <f>IF($V803="","",INDEX('Per Line'!$E$2:$E$6001,$V803)&amp;"")</f>
        <v/>
      </c>
      <c r="E803">
        <f>IF($V803="","",INDEX('Per Line'!$G$2:$G$6001,$V803)&amp;"")</f>
        <v/>
      </c>
      <c r="F803">
        <f>IF($V803="","",INDEX('Per Line'!$H$2:$H$6001,$V803)&amp;"")</f>
        <v/>
      </c>
      <c r="G803">
        <f>IF($V803="","",INDEX('Per Line'!$I$2:$I$6001,$V803)&amp;"")</f>
        <v/>
      </c>
      <c r="H803">
        <f>IF($V803="","",INDEX('Per Line'!$J$2:$J$6001,$V803))</f>
        <v/>
      </c>
      <c r="I803" s="7">
        <f>IF($V803="","",H803*S803/100)</f>
        <v/>
      </c>
      <c r="J803">
        <f>IF($V803="","",INDEX('Per Line'!$S$2:$S$6001,$V803)&amp;"")</f>
        <v/>
      </c>
      <c r="K803" s="7">
        <f>IF($V803="","",SUMIFS('Per Line'!$R$2:$R$6001,'Per Line'!$C$2:$C$6001,$B803,'Per Line'!$AJ$2:$AJ$6001,1))</f>
        <v/>
      </c>
      <c r="L803">
        <f>IF($V803="","",Settings!$C$7)</f>
        <v/>
      </c>
      <c r="M803" s="7">
        <f>IF($V803="","",SUMIFS('Per Line'!$R$2:$R$6001,'Per Line'!$C$2:$C$6001,$B803,'Per Line'!$AI$2:$AI$6001,0,'Per Line'!$AJ$2:$AJ$6001,0))</f>
        <v/>
      </c>
      <c r="N803" s="7">
        <f>IF($V803="","",M803*L803)</f>
        <v/>
      </c>
      <c r="O803">
        <f>IF($V803="","",Settings!$C$6)</f>
        <v/>
      </c>
      <c r="P803" s="7">
        <f>IF($V803="","",SUMIFS('Per Line'!$R$2:$R$6001,'Per Line'!$C$2:$C$6001,$B803,'Per Line'!$AI$2:$AI$6001,1,'Per Line'!$AJ$2:$AJ$6001,0))</f>
        <v/>
      </c>
      <c r="Q803" s="7">
        <f>IF($V803="","",P803*O803)</f>
        <v/>
      </c>
      <c r="R803" s="7">
        <f>IF($V803="","",Q803+N803)</f>
        <v/>
      </c>
      <c r="S803" s="7">
        <f>IF($V803="","",T803-R803)</f>
        <v/>
      </c>
      <c r="T803" s="7">
        <f>IF($V803="","",M803+P803+K803)</f>
        <v/>
      </c>
      <c r="U803" s="7">
        <f>IF($V803="","",T803-R803-I803)</f>
        <v/>
      </c>
      <c r="V803" s="13">
        <f>IF(ROWS($V$2:$V803)&lt;=MAX('Per Line'!$AH$2:$AH$6001),MATCH(ROWS($V$2:$V803),'Per Line'!$AH$2:$AH$6001,0),"")</f>
        <v/>
      </c>
    </row>
    <row r="804">
      <c r="A804" s="12" t="n"/>
      <c r="B804">
        <f>IF($V804="","",INDEX('Per Line'!$C$2:$C$6001,$V804)&amp;"")</f>
        <v/>
      </c>
      <c r="C804" s="11">
        <f>IF($V804="","",INDEX('Per Line'!$D$2:$D$6001,$V804))</f>
        <v/>
      </c>
      <c r="D804">
        <f>IF($V804="","",INDEX('Per Line'!$E$2:$E$6001,$V804)&amp;"")</f>
        <v/>
      </c>
      <c r="E804">
        <f>IF($V804="","",INDEX('Per Line'!$G$2:$G$6001,$V804)&amp;"")</f>
        <v/>
      </c>
      <c r="F804">
        <f>IF($V804="","",INDEX('Per Line'!$H$2:$H$6001,$V804)&amp;"")</f>
        <v/>
      </c>
      <c r="G804">
        <f>IF($V804="","",INDEX('Per Line'!$I$2:$I$6001,$V804)&amp;"")</f>
        <v/>
      </c>
      <c r="H804">
        <f>IF($V804="","",INDEX('Per Line'!$J$2:$J$6001,$V804))</f>
        <v/>
      </c>
      <c r="I804" s="7">
        <f>IF($V804="","",H804*S804/100)</f>
        <v/>
      </c>
      <c r="J804">
        <f>IF($V804="","",INDEX('Per Line'!$S$2:$S$6001,$V804)&amp;"")</f>
        <v/>
      </c>
      <c r="K804" s="7">
        <f>IF($V804="","",SUMIFS('Per Line'!$R$2:$R$6001,'Per Line'!$C$2:$C$6001,$B804,'Per Line'!$AJ$2:$AJ$6001,1))</f>
        <v/>
      </c>
      <c r="L804">
        <f>IF($V804="","",Settings!$C$7)</f>
        <v/>
      </c>
      <c r="M804" s="7">
        <f>IF($V804="","",SUMIFS('Per Line'!$R$2:$R$6001,'Per Line'!$C$2:$C$6001,$B804,'Per Line'!$AI$2:$AI$6001,0,'Per Line'!$AJ$2:$AJ$6001,0))</f>
        <v/>
      </c>
      <c r="N804" s="7">
        <f>IF($V804="","",M804*L804)</f>
        <v/>
      </c>
      <c r="O804">
        <f>IF($V804="","",Settings!$C$6)</f>
        <v/>
      </c>
      <c r="P804" s="7">
        <f>IF($V804="","",SUMIFS('Per Line'!$R$2:$R$6001,'Per Line'!$C$2:$C$6001,$B804,'Per Line'!$AI$2:$AI$6001,1,'Per Line'!$AJ$2:$AJ$6001,0))</f>
        <v/>
      </c>
      <c r="Q804" s="7">
        <f>IF($V804="","",P804*O804)</f>
        <v/>
      </c>
      <c r="R804" s="7">
        <f>IF($V804="","",Q804+N804)</f>
        <v/>
      </c>
      <c r="S804" s="7">
        <f>IF($V804="","",T804-R804)</f>
        <v/>
      </c>
      <c r="T804" s="7">
        <f>IF($V804="","",M804+P804+K804)</f>
        <v/>
      </c>
      <c r="U804" s="7">
        <f>IF($V804="","",T804-R804-I804)</f>
        <v/>
      </c>
      <c r="V804" s="13">
        <f>IF(ROWS($V$2:$V804)&lt;=MAX('Per Line'!$AH$2:$AH$6001),MATCH(ROWS($V$2:$V804),'Per Line'!$AH$2:$AH$6001,0),"")</f>
        <v/>
      </c>
    </row>
    <row r="805">
      <c r="A805" s="12" t="n"/>
      <c r="B805">
        <f>IF($V805="","",INDEX('Per Line'!$C$2:$C$6001,$V805)&amp;"")</f>
        <v/>
      </c>
      <c r="C805" s="11">
        <f>IF($V805="","",INDEX('Per Line'!$D$2:$D$6001,$V805))</f>
        <v/>
      </c>
      <c r="D805">
        <f>IF($V805="","",INDEX('Per Line'!$E$2:$E$6001,$V805)&amp;"")</f>
        <v/>
      </c>
      <c r="E805">
        <f>IF($V805="","",INDEX('Per Line'!$G$2:$G$6001,$V805)&amp;"")</f>
        <v/>
      </c>
      <c r="F805">
        <f>IF($V805="","",INDEX('Per Line'!$H$2:$H$6001,$V805)&amp;"")</f>
        <v/>
      </c>
      <c r="G805">
        <f>IF($V805="","",INDEX('Per Line'!$I$2:$I$6001,$V805)&amp;"")</f>
        <v/>
      </c>
      <c r="H805">
        <f>IF($V805="","",INDEX('Per Line'!$J$2:$J$6001,$V805))</f>
        <v/>
      </c>
      <c r="I805" s="7">
        <f>IF($V805="","",H805*S805/100)</f>
        <v/>
      </c>
      <c r="J805">
        <f>IF($V805="","",INDEX('Per Line'!$S$2:$S$6001,$V805)&amp;"")</f>
        <v/>
      </c>
      <c r="K805" s="7">
        <f>IF($V805="","",SUMIFS('Per Line'!$R$2:$R$6001,'Per Line'!$C$2:$C$6001,$B805,'Per Line'!$AJ$2:$AJ$6001,1))</f>
        <v/>
      </c>
      <c r="L805">
        <f>IF($V805="","",Settings!$C$7)</f>
        <v/>
      </c>
      <c r="M805" s="7">
        <f>IF($V805="","",SUMIFS('Per Line'!$R$2:$R$6001,'Per Line'!$C$2:$C$6001,$B805,'Per Line'!$AI$2:$AI$6001,0,'Per Line'!$AJ$2:$AJ$6001,0))</f>
        <v/>
      </c>
      <c r="N805" s="7">
        <f>IF($V805="","",M805*L805)</f>
        <v/>
      </c>
      <c r="O805">
        <f>IF($V805="","",Settings!$C$6)</f>
        <v/>
      </c>
      <c r="P805" s="7">
        <f>IF($V805="","",SUMIFS('Per Line'!$R$2:$R$6001,'Per Line'!$C$2:$C$6001,$B805,'Per Line'!$AI$2:$AI$6001,1,'Per Line'!$AJ$2:$AJ$6001,0))</f>
        <v/>
      </c>
      <c r="Q805" s="7">
        <f>IF($V805="","",P805*O805)</f>
        <v/>
      </c>
      <c r="R805" s="7">
        <f>IF($V805="","",Q805+N805)</f>
        <v/>
      </c>
      <c r="S805" s="7">
        <f>IF($V805="","",T805-R805)</f>
        <v/>
      </c>
      <c r="T805" s="7">
        <f>IF($V805="","",M805+P805+K805)</f>
        <v/>
      </c>
      <c r="U805" s="7">
        <f>IF($V805="","",T805-R805-I805)</f>
        <v/>
      </c>
      <c r="V805" s="13">
        <f>IF(ROWS($V$2:$V805)&lt;=MAX('Per Line'!$AH$2:$AH$6001),MATCH(ROWS($V$2:$V805),'Per Line'!$AH$2:$AH$6001,0),"")</f>
        <v/>
      </c>
    </row>
    <row r="806">
      <c r="A806" s="12" t="n"/>
      <c r="B806">
        <f>IF($V806="","",INDEX('Per Line'!$C$2:$C$6001,$V806)&amp;"")</f>
        <v/>
      </c>
      <c r="C806" s="11">
        <f>IF($V806="","",INDEX('Per Line'!$D$2:$D$6001,$V806))</f>
        <v/>
      </c>
      <c r="D806">
        <f>IF($V806="","",INDEX('Per Line'!$E$2:$E$6001,$V806)&amp;"")</f>
        <v/>
      </c>
      <c r="E806">
        <f>IF($V806="","",INDEX('Per Line'!$G$2:$G$6001,$V806)&amp;"")</f>
        <v/>
      </c>
      <c r="F806">
        <f>IF($V806="","",INDEX('Per Line'!$H$2:$H$6001,$V806)&amp;"")</f>
        <v/>
      </c>
      <c r="G806">
        <f>IF($V806="","",INDEX('Per Line'!$I$2:$I$6001,$V806)&amp;"")</f>
        <v/>
      </c>
      <c r="H806">
        <f>IF($V806="","",INDEX('Per Line'!$J$2:$J$6001,$V806))</f>
        <v/>
      </c>
      <c r="I806" s="7">
        <f>IF($V806="","",H806*S806/100)</f>
        <v/>
      </c>
      <c r="J806">
        <f>IF($V806="","",INDEX('Per Line'!$S$2:$S$6001,$V806)&amp;"")</f>
        <v/>
      </c>
      <c r="K806" s="7">
        <f>IF($V806="","",SUMIFS('Per Line'!$R$2:$R$6001,'Per Line'!$C$2:$C$6001,$B806,'Per Line'!$AJ$2:$AJ$6001,1))</f>
        <v/>
      </c>
      <c r="L806">
        <f>IF($V806="","",Settings!$C$7)</f>
        <v/>
      </c>
      <c r="M806" s="7">
        <f>IF($V806="","",SUMIFS('Per Line'!$R$2:$R$6001,'Per Line'!$C$2:$C$6001,$B806,'Per Line'!$AI$2:$AI$6001,0,'Per Line'!$AJ$2:$AJ$6001,0))</f>
        <v/>
      </c>
      <c r="N806" s="7">
        <f>IF($V806="","",M806*L806)</f>
        <v/>
      </c>
      <c r="O806">
        <f>IF($V806="","",Settings!$C$6)</f>
        <v/>
      </c>
      <c r="P806" s="7">
        <f>IF($V806="","",SUMIFS('Per Line'!$R$2:$R$6001,'Per Line'!$C$2:$C$6001,$B806,'Per Line'!$AI$2:$AI$6001,1,'Per Line'!$AJ$2:$AJ$6001,0))</f>
        <v/>
      </c>
      <c r="Q806" s="7">
        <f>IF($V806="","",P806*O806)</f>
        <v/>
      </c>
      <c r="R806" s="7">
        <f>IF($V806="","",Q806+N806)</f>
        <v/>
      </c>
      <c r="S806" s="7">
        <f>IF($V806="","",T806-R806)</f>
        <v/>
      </c>
      <c r="T806" s="7">
        <f>IF($V806="","",M806+P806+K806)</f>
        <v/>
      </c>
      <c r="U806" s="7">
        <f>IF($V806="","",T806-R806-I806)</f>
        <v/>
      </c>
      <c r="V806" s="13">
        <f>IF(ROWS($V$2:$V806)&lt;=MAX('Per Line'!$AH$2:$AH$6001),MATCH(ROWS($V$2:$V806),'Per Line'!$AH$2:$AH$6001,0),"")</f>
        <v/>
      </c>
    </row>
    <row r="807">
      <c r="A807" s="12" t="n"/>
      <c r="B807">
        <f>IF($V807="","",INDEX('Per Line'!$C$2:$C$6001,$V807)&amp;"")</f>
        <v/>
      </c>
      <c r="C807" s="11">
        <f>IF($V807="","",INDEX('Per Line'!$D$2:$D$6001,$V807))</f>
        <v/>
      </c>
      <c r="D807">
        <f>IF($V807="","",INDEX('Per Line'!$E$2:$E$6001,$V807)&amp;"")</f>
        <v/>
      </c>
      <c r="E807">
        <f>IF($V807="","",INDEX('Per Line'!$G$2:$G$6001,$V807)&amp;"")</f>
        <v/>
      </c>
      <c r="F807">
        <f>IF($V807="","",INDEX('Per Line'!$H$2:$H$6001,$V807)&amp;"")</f>
        <v/>
      </c>
      <c r="G807">
        <f>IF($V807="","",INDEX('Per Line'!$I$2:$I$6001,$V807)&amp;"")</f>
        <v/>
      </c>
      <c r="H807">
        <f>IF($V807="","",INDEX('Per Line'!$J$2:$J$6001,$V807))</f>
        <v/>
      </c>
      <c r="I807" s="7">
        <f>IF($V807="","",H807*S807/100)</f>
        <v/>
      </c>
      <c r="J807">
        <f>IF($V807="","",INDEX('Per Line'!$S$2:$S$6001,$V807)&amp;"")</f>
        <v/>
      </c>
      <c r="K807" s="7">
        <f>IF($V807="","",SUMIFS('Per Line'!$R$2:$R$6001,'Per Line'!$C$2:$C$6001,$B807,'Per Line'!$AJ$2:$AJ$6001,1))</f>
        <v/>
      </c>
      <c r="L807">
        <f>IF($V807="","",Settings!$C$7)</f>
        <v/>
      </c>
      <c r="M807" s="7">
        <f>IF($V807="","",SUMIFS('Per Line'!$R$2:$R$6001,'Per Line'!$C$2:$C$6001,$B807,'Per Line'!$AI$2:$AI$6001,0,'Per Line'!$AJ$2:$AJ$6001,0))</f>
        <v/>
      </c>
      <c r="N807" s="7">
        <f>IF($V807="","",M807*L807)</f>
        <v/>
      </c>
      <c r="O807">
        <f>IF($V807="","",Settings!$C$6)</f>
        <v/>
      </c>
      <c r="P807" s="7">
        <f>IF($V807="","",SUMIFS('Per Line'!$R$2:$R$6001,'Per Line'!$C$2:$C$6001,$B807,'Per Line'!$AI$2:$AI$6001,1,'Per Line'!$AJ$2:$AJ$6001,0))</f>
        <v/>
      </c>
      <c r="Q807" s="7">
        <f>IF($V807="","",P807*O807)</f>
        <v/>
      </c>
      <c r="R807" s="7">
        <f>IF($V807="","",Q807+N807)</f>
        <v/>
      </c>
      <c r="S807" s="7">
        <f>IF($V807="","",T807-R807)</f>
        <v/>
      </c>
      <c r="T807" s="7">
        <f>IF($V807="","",M807+P807+K807)</f>
        <v/>
      </c>
      <c r="U807" s="7">
        <f>IF($V807="","",T807-R807-I807)</f>
        <v/>
      </c>
      <c r="V807" s="13">
        <f>IF(ROWS($V$2:$V807)&lt;=MAX('Per Line'!$AH$2:$AH$6001),MATCH(ROWS($V$2:$V807),'Per Line'!$AH$2:$AH$6001,0),"")</f>
        <v/>
      </c>
    </row>
    <row r="808">
      <c r="A808" s="12" t="n"/>
      <c r="B808">
        <f>IF($V808="","",INDEX('Per Line'!$C$2:$C$6001,$V808)&amp;"")</f>
        <v/>
      </c>
      <c r="C808" s="11">
        <f>IF($V808="","",INDEX('Per Line'!$D$2:$D$6001,$V808))</f>
        <v/>
      </c>
      <c r="D808">
        <f>IF($V808="","",INDEX('Per Line'!$E$2:$E$6001,$V808)&amp;"")</f>
        <v/>
      </c>
      <c r="E808">
        <f>IF($V808="","",INDEX('Per Line'!$G$2:$G$6001,$V808)&amp;"")</f>
        <v/>
      </c>
      <c r="F808">
        <f>IF($V808="","",INDEX('Per Line'!$H$2:$H$6001,$V808)&amp;"")</f>
        <v/>
      </c>
      <c r="G808">
        <f>IF($V808="","",INDEX('Per Line'!$I$2:$I$6001,$V808)&amp;"")</f>
        <v/>
      </c>
      <c r="H808">
        <f>IF($V808="","",INDEX('Per Line'!$J$2:$J$6001,$V808))</f>
        <v/>
      </c>
      <c r="I808" s="7">
        <f>IF($V808="","",H808*S808/100)</f>
        <v/>
      </c>
      <c r="J808">
        <f>IF($V808="","",INDEX('Per Line'!$S$2:$S$6001,$V808)&amp;"")</f>
        <v/>
      </c>
      <c r="K808" s="7">
        <f>IF($V808="","",SUMIFS('Per Line'!$R$2:$R$6001,'Per Line'!$C$2:$C$6001,$B808,'Per Line'!$AJ$2:$AJ$6001,1))</f>
        <v/>
      </c>
      <c r="L808">
        <f>IF($V808="","",Settings!$C$7)</f>
        <v/>
      </c>
      <c r="M808" s="7">
        <f>IF($V808="","",SUMIFS('Per Line'!$R$2:$R$6001,'Per Line'!$C$2:$C$6001,$B808,'Per Line'!$AI$2:$AI$6001,0,'Per Line'!$AJ$2:$AJ$6001,0))</f>
        <v/>
      </c>
      <c r="N808" s="7">
        <f>IF($V808="","",M808*L808)</f>
        <v/>
      </c>
      <c r="O808">
        <f>IF($V808="","",Settings!$C$6)</f>
        <v/>
      </c>
      <c r="P808" s="7">
        <f>IF($V808="","",SUMIFS('Per Line'!$R$2:$R$6001,'Per Line'!$C$2:$C$6001,$B808,'Per Line'!$AI$2:$AI$6001,1,'Per Line'!$AJ$2:$AJ$6001,0))</f>
        <v/>
      </c>
      <c r="Q808" s="7">
        <f>IF($V808="","",P808*O808)</f>
        <v/>
      </c>
      <c r="R808" s="7">
        <f>IF($V808="","",Q808+N808)</f>
        <v/>
      </c>
      <c r="S808" s="7">
        <f>IF($V808="","",T808-R808)</f>
        <v/>
      </c>
      <c r="T808" s="7">
        <f>IF($V808="","",M808+P808+K808)</f>
        <v/>
      </c>
      <c r="U808" s="7">
        <f>IF($V808="","",T808-R808-I808)</f>
        <v/>
      </c>
      <c r="V808" s="13">
        <f>IF(ROWS($V$2:$V808)&lt;=MAX('Per Line'!$AH$2:$AH$6001),MATCH(ROWS($V$2:$V808),'Per Line'!$AH$2:$AH$6001,0),"")</f>
        <v/>
      </c>
    </row>
    <row r="809">
      <c r="A809" s="12" t="n"/>
      <c r="B809">
        <f>IF($V809="","",INDEX('Per Line'!$C$2:$C$6001,$V809)&amp;"")</f>
        <v/>
      </c>
      <c r="C809" s="11">
        <f>IF($V809="","",INDEX('Per Line'!$D$2:$D$6001,$V809))</f>
        <v/>
      </c>
      <c r="D809">
        <f>IF($V809="","",INDEX('Per Line'!$E$2:$E$6001,$V809)&amp;"")</f>
        <v/>
      </c>
      <c r="E809">
        <f>IF($V809="","",INDEX('Per Line'!$G$2:$G$6001,$V809)&amp;"")</f>
        <v/>
      </c>
      <c r="F809">
        <f>IF($V809="","",INDEX('Per Line'!$H$2:$H$6001,$V809)&amp;"")</f>
        <v/>
      </c>
      <c r="G809">
        <f>IF($V809="","",INDEX('Per Line'!$I$2:$I$6001,$V809)&amp;"")</f>
        <v/>
      </c>
      <c r="H809">
        <f>IF($V809="","",INDEX('Per Line'!$J$2:$J$6001,$V809))</f>
        <v/>
      </c>
      <c r="I809" s="7">
        <f>IF($V809="","",H809*S809/100)</f>
        <v/>
      </c>
      <c r="J809">
        <f>IF($V809="","",INDEX('Per Line'!$S$2:$S$6001,$V809)&amp;"")</f>
        <v/>
      </c>
      <c r="K809" s="7">
        <f>IF($V809="","",SUMIFS('Per Line'!$R$2:$R$6001,'Per Line'!$C$2:$C$6001,$B809,'Per Line'!$AJ$2:$AJ$6001,1))</f>
        <v/>
      </c>
      <c r="L809">
        <f>IF($V809="","",Settings!$C$7)</f>
        <v/>
      </c>
      <c r="M809" s="7">
        <f>IF($V809="","",SUMIFS('Per Line'!$R$2:$R$6001,'Per Line'!$C$2:$C$6001,$B809,'Per Line'!$AI$2:$AI$6001,0,'Per Line'!$AJ$2:$AJ$6001,0))</f>
        <v/>
      </c>
      <c r="N809" s="7">
        <f>IF($V809="","",M809*L809)</f>
        <v/>
      </c>
      <c r="O809">
        <f>IF($V809="","",Settings!$C$6)</f>
        <v/>
      </c>
      <c r="P809" s="7">
        <f>IF($V809="","",SUMIFS('Per Line'!$R$2:$R$6001,'Per Line'!$C$2:$C$6001,$B809,'Per Line'!$AI$2:$AI$6001,1,'Per Line'!$AJ$2:$AJ$6001,0))</f>
        <v/>
      </c>
      <c r="Q809" s="7">
        <f>IF($V809="","",P809*O809)</f>
        <v/>
      </c>
      <c r="R809" s="7">
        <f>IF($V809="","",Q809+N809)</f>
        <v/>
      </c>
      <c r="S809" s="7">
        <f>IF($V809="","",T809-R809)</f>
        <v/>
      </c>
      <c r="T809" s="7">
        <f>IF($V809="","",M809+P809+K809)</f>
        <v/>
      </c>
      <c r="U809" s="7">
        <f>IF($V809="","",T809-R809-I809)</f>
        <v/>
      </c>
      <c r="V809" s="13">
        <f>IF(ROWS($V$2:$V809)&lt;=MAX('Per Line'!$AH$2:$AH$6001),MATCH(ROWS($V$2:$V809),'Per Line'!$AH$2:$AH$6001,0),"")</f>
        <v/>
      </c>
    </row>
    <row r="810">
      <c r="A810" s="12" t="n"/>
      <c r="B810">
        <f>IF($V810="","",INDEX('Per Line'!$C$2:$C$6001,$V810)&amp;"")</f>
        <v/>
      </c>
      <c r="C810" s="11">
        <f>IF($V810="","",INDEX('Per Line'!$D$2:$D$6001,$V810))</f>
        <v/>
      </c>
      <c r="D810">
        <f>IF($V810="","",INDEX('Per Line'!$E$2:$E$6001,$V810)&amp;"")</f>
        <v/>
      </c>
      <c r="E810">
        <f>IF($V810="","",INDEX('Per Line'!$G$2:$G$6001,$V810)&amp;"")</f>
        <v/>
      </c>
      <c r="F810">
        <f>IF($V810="","",INDEX('Per Line'!$H$2:$H$6001,$V810)&amp;"")</f>
        <v/>
      </c>
      <c r="G810">
        <f>IF($V810="","",INDEX('Per Line'!$I$2:$I$6001,$V810)&amp;"")</f>
        <v/>
      </c>
      <c r="H810">
        <f>IF($V810="","",INDEX('Per Line'!$J$2:$J$6001,$V810))</f>
        <v/>
      </c>
      <c r="I810" s="7">
        <f>IF($V810="","",H810*S810/100)</f>
        <v/>
      </c>
      <c r="J810">
        <f>IF($V810="","",INDEX('Per Line'!$S$2:$S$6001,$V810)&amp;"")</f>
        <v/>
      </c>
      <c r="K810" s="7">
        <f>IF($V810="","",SUMIFS('Per Line'!$R$2:$R$6001,'Per Line'!$C$2:$C$6001,$B810,'Per Line'!$AJ$2:$AJ$6001,1))</f>
        <v/>
      </c>
      <c r="L810">
        <f>IF($V810="","",Settings!$C$7)</f>
        <v/>
      </c>
      <c r="M810" s="7">
        <f>IF($V810="","",SUMIFS('Per Line'!$R$2:$R$6001,'Per Line'!$C$2:$C$6001,$B810,'Per Line'!$AI$2:$AI$6001,0,'Per Line'!$AJ$2:$AJ$6001,0))</f>
        <v/>
      </c>
      <c r="N810" s="7">
        <f>IF($V810="","",M810*L810)</f>
        <v/>
      </c>
      <c r="O810">
        <f>IF($V810="","",Settings!$C$6)</f>
        <v/>
      </c>
      <c r="P810" s="7">
        <f>IF($V810="","",SUMIFS('Per Line'!$R$2:$R$6001,'Per Line'!$C$2:$C$6001,$B810,'Per Line'!$AI$2:$AI$6001,1,'Per Line'!$AJ$2:$AJ$6001,0))</f>
        <v/>
      </c>
      <c r="Q810" s="7">
        <f>IF($V810="","",P810*O810)</f>
        <v/>
      </c>
      <c r="R810" s="7">
        <f>IF($V810="","",Q810+N810)</f>
        <v/>
      </c>
      <c r="S810" s="7">
        <f>IF($V810="","",T810-R810)</f>
        <v/>
      </c>
      <c r="T810" s="7">
        <f>IF($V810="","",M810+P810+K810)</f>
        <v/>
      </c>
      <c r="U810" s="7">
        <f>IF($V810="","",T810-R810-I810)</f>
        <v/>
      </c>
      <c r="V810" s="13">
        <f>IF(ROWS($V$2:$V810)&lt;=MAX('Per Line'!$AH$2:$AH$6001),MATCH(ROWS($V$2:$V810),'Per Line'!$AH$2:$AH$6001,0),"")</f>
        <v/>
      </c>
    </row>
    <row r="811">
      <c r="A811" s="12" t="n"/>
      <c r="B811">
        <f>IF($V811="","",INDEX('Per Line'!$C$2:$C$6001,$V811)&amp;"")</f>
        <v/>
      </c>
      <c r="C811" s="11">
        <f>IF($V811="","",INDEX('Per Line'!$D$2:$D$6001,$V811))</f>
        <v/>
      </c>
      <c r="D811">
        <f>IF($V811="","",INDEX('Per Line'!$E$2:$E$6001,$V811)&amp;"")</f>
        <v/>
      </c>
      <c r="E811">
        <f>IF($V811="","",INDEX('Per Line'!$G$2:$G$6001,$V811)&amp;"")</f>
        <v/>
      </c>
      <c r="F811">
        <f>IF($V811="","",INDEX('Per Line'!$H$2:$H$6001,$V811)&amp;"")</f>
        <v/>
      </c>
      <c r="G811">
        <f>IF($V811="","",INDEX('Per Line'!$I$2:$I$6001,$V811)&amp;"")</f>
        <v/>
      </c>
      <c r="H811">
        <f>IF($V811="","",INDEX('Per Line'!$J$2:$J$6001,$V811))</f>
        <v/>
      </c>
      <c r="I811" s="7">
        <f>IF($V811="","",H811*S811/100)</f>
        <v/>
      </c>
      <c r="J811">
        <f>IF($V811="","",INDEX('Per Line'!$S$2:$S$6001,$V811)&amp;"")</f>
        <v/>
      </c>
      <c r="K811" s="7">
        <f>IF($V811="","",SUMIFS('Per Line'!$R$2:$R$6001,'Per Line'!$C$2:$C$6001,$B811,'Per Line'!$AJ$2:$AJ$6001,1))</f>
        <v/>
      </c>
      <c r="L811">
        <f>IF($V811="","",Settings!$C$7)</f>
        <v/>
      </c>
      <c r="M811" s="7">
        <f>IF($V811="","",SUMIFS('Per Line'!$R$2:$R$6001,'Per Line'!$C$2:$C$6001,$B811,'Per Line'!$AI$2:$AI$6001,0,'Per Line'!$AJ$2:$AJ$6001,0))</f>
        <v/>
      </c>
      <c r="N811" s="7">
        <f>IF($V811="","",M811*L811)</f>
        <v/>
      </c>
      <c r="O811">
        <f>IF($V811="","",Settings!$C$6)</f>
        <v/>
      </c>
      <c r="P811" s="7">
        <f>IF($V811="","",SUMIFS('Per Line'!$R$2:$R$6001,'Per Line'!$C$2:$C$6001,$B811,'Per Line'!$AI$2:$AI$6001,1,'Per Line'!$AJ$2:$AJ$6001,0))</f>
        <v/>
      </c>
      <c r="Q811" s="7">
        <f>IF($V811="","",P811*O811)</f>
        <v/>
      </c>
      <c r="R811" s="7">
        <f>IF($V811="","",Q811+N811)</f>
        <v/>
      </c>
      <c r="S811" s="7">
        <f>IF($V811="","",T811-R811)</f>
        <v/>
      </c>
      <c r="T811" s="7">
        <f>IF($V811="","",M811+P811+K811)</f>
        <v/>
      </c>
      <c r="U811" s="7">
        <f>IF($V811="","",T811-R811-I811)</f>
        <v/>
      </c>
      <c r="V811" s="13">
        <f>IF(ROWS($V$2:$V811)&lt;=MAX('Per Line'!$AH$2:$AH$6001),MATCH(ROWS($V$2:$V811),'Per Line'!$AH$2:$AH$6001,0),"")</f>
        <v/>
      </c>
    </row>
    <row r="812">
      <c r="A812" s="12" t="n"/>
      <c r="B812">
        <f>IF($V812="","",INDEX('Per Line'!$C$2:$C$6001,$V812)&amp;"")</f>
        <v/>
      </c>
      <c r="C812" s="11">
        <f>IF($V812="","",INDEX('Per Line'!$D$2:$D$6001,$V812))</f>
        <v/>
      </c>
      <c r="D812">
        <f>IF($V812="","",INDEX('Per Line'!$E$2:$E$6001,$V812)&amp;"")</f>
        <v/>
      </c>
      <c r="E812">
        <f>IF($V812="","",INDEX('Per Line'!$G$2:$G$6001,$V812)&amp;"")</f>
        <v/>
      </c>
      <c r="F812">
        <f>IF($V812="","",INDEX('Per Line'!$H$2:$H$6001,$V812)&amp;"")</f>
        <v/>
      </c>
      <c r="G812">
        <f>IF($V812="","",INDEX('Per Line'!$I$2:$I$6001,$V812)&amp;"")</f>
        <v/>
      </c>
      <c r="H812">
        <f>IF($V812="","",INDEX('Per Line'!$J$2:$J$6001,$V812))</f>
        <v/>
      </c>
      <c r="I812" s="7">
        <f>IF($V812="","",H812*S812/100)</f>
        <v/>
      </c>
      <c r="J812">
        <f>IF($V812="","",INDEX('Per Line'!$S$2:$S$6001,$V812)&amp;"")</f>
        <v/>
      </c>
      <c r="K812" s="7">
        <f>IF($V812="","",SUMIFS('Per Line'!$R$2:$R$6001,'Per Line'!$C$2:$C$6001,$B812,'Per Line'!$AJ$2:$AJ$6001,1))</f>
        <v/>
      </c>
      <c r="L812">
        <f>IF($V812="","",Settings!$C$7)</f>
        <v/>
      </c>
      <c r="M812" s="7">
        <f>IF($V812="","",SUMIFS('Per Line'!$R$2:$R$6001,'Per Line'!$C$2:$C$6001,$B812,'Per Line'!$AI$2:$AI$6001,0,'Per Line'!$AJ$2:$AJ$6001,0))</f>
        <v/>
      </c>
      <c r="N812" s="7">
        <f>IF($V812="","",M812*L812)</f>
        <v/>
      </c>
      <c r="O812">
        <f>IF($V812="","",Settings!$C$6)</f>
        <v/>
      </c>
      <c r="P812" s="7">
        <f>IF($V812="","",SUMIFS('Per Line'!$R$2:$R$6001,'Per Line'!$C$2:$C$6001,$B812,'Per Line'!$AI$2:$AI$6001,1,'Per Line'!$AJ$2:$AJ$6001,0))</f>
        <v/>
      </c>
      <c r="Q812" s="7">
        <f>IF($V812="","",P812*O812)</f>
        <v/>
      </c>
      <c r="R812" s="7">
        <f>IF($V812="","",Q812+N812)</f>
        <v/>
      </c>
      <c r="S812" s="7">
        <f>IF($V812="","",T812-R812)</f>
        <v/>
      </c>
      <c r="T812" s="7">
        <f>IF($V812="","",M812+P812+K812)</f>
        <v/>
      </c>
      <c r="U812" s="7">
        <f>IF($V812="","",T812-R812-I812)</f>
        <v/>
      </c>
      <c r="V812" s="13">
        <f>IF(ROWS($V$2:$V812)&lt;=MAX('Per Line'!$AH$2:$AH$6001),MATCH(ROWS($V$2:$V812),'Per Line'!$AH$2:$AH$6001,0),"")</f>
        <v/>
      </c>
    </row>
    <row r="813">
      <c r="A813" s="12" t="n"/>
      <c r="B813">
        <f>IF($V813="","",INDEX('Per Line'!$C$2:$C$6001,$V813)&amp;"")</f>
        <v/>
      </c>
      <c r="C813" s="11">
        <f>IF($V813="","",INDEX('Per Line'!$D$2:$D$6001,$V813))</f>
        <v/>
      </c>
      <c r="D813">
        <f>IF($V813="","",INDEX('Per Line'!$E$2:$E$6001,$V813)&amp;"")</f>
        <v/>
      </c>
      <c r="E813">
        <f>IF($V813="","",INDEX('Per Line'!$G$2:$G$6001,$V813)&amp;"")</f>
        <v/>
      </c>
      <c r="F813">
        <f>IF($V813="","",INDEX('Per Line'!$H$2:$H$6001,$V813)&amp;"")</f>
        <v/>
      </c>
      <c r="G813">
        <f>IF($V813="","",INDEX('Per Line'!$I$2:$I$6001,$V813)&amp;"")</f>
        <v/>
      </c>
      <c r="H813">
        <f>IF($V813="","",INDEX('Per Line'!$J$2:$J$6001,$V813))</f>
        <v/>
      </c>
      <c r="I813" s="7">
        <f>IF($V813="","",H813*S813/100)</f>
        <v/>
      </c>
      <c r="J813">
        <f>IF($V813="","",INDEX('Per Line'!$S$2:$S$6001,$V813)&amp;"")</f>
        <v/>
      </c>
      <c r="K813" s="7">
        <f>IF($V813="","",SUMIFS('Per Line'!$R$2:$R$6001,'Per Line'!$C$2:$C$6001,$B813,'Per Line'!$AJ$2:$AJ$6001,1))</f>
        <v/>
      </c>
      <c r="L813">
        <f>IF($V813="","",Settings!$C$7)</f>
        <v/>
      </c>
      <c r="M813" s="7">
        <f>IF($V813="","",SUMIFS('Per Line'!$R$2:$R$6001,'Per Line'!$C$2:$C$6001,$B813,'Per Line'!$AI$2:$AI$6001,0,'Per Line'!$AJ$2:$AJ$6001,0))</f>
        <v/>
      </c>
      <c r="N813" s="7">
        <f>IF($V813="","",M813*L813)</f>
        <v/>
      </c>
      <c r="O813">
        <f>IF($V813="","",Settings!$C$6)</f>
        <v/>
      </c>
      <c r="P813" s="7">
        <f>IF($V813="","",SUMIFS('Per Line'!$R$2:$R$6001,'Per Line'!$C$2:$C$6001,$B813,'Per Line'!$AI$2:$AI$6001,1,'Per Line'!$AJ$2:$AJ$6001,0))</f>
        <v/>
      </c>
      <c r="Q813" s="7">
        <f>IF($V813="","",P813*O813)</f>
        <v/>
      </c>
      <c r="R813" s="7">
        <f>IF($V813="","",Q813+N813)</f>
        <v/>
      </c>
      <c r="S813" s="7">
        <f>IF($V813="","",T813-R813)</f>
        <v/>
      </c>
      <c r="T813" s="7">
        <f>IF($V813="","",M813+P813+K813)</f>
        <v/>
      </c>
      <c r="U813" s="7">
        <f>IF($V813="","",T813-R813-I813)</f>
        <v/>
      </c>
      <c r="V813" s="13">
        <f>IF(ROWS($V$2:$V813)&lt;=MAX('Per Line'!$AH$2:$AH$6001),MATCH(ROWS($V$2:$V813),'Per Line'!$AH$2:$AH$6001,0),"")</f>
        <v/>
      </c>
    </row>
    <row r="814">
      <c r="A814" s="12" t="n"/>
      <c r="B814">
        <f>IF($V814="","",INDEX('Per Line'!$C$2:$C$6001,$V814)&amp;"")</f>
        <v/>
      </c>
      <c r="C814" s="11">
        <f>IF($V814="","",INDEX('Per Line'!$D$2:$D$6001,$V814))</f>
        <v/>
      </c>
      <c r="D814">
        <f>IF($V814="","",INDEX('Per Line'!$E$2:$E$6001,$V814)&amp;"")</f>
        <v/>
      </c>
      <c r="E814">
        <f>IF($V814="","",INDEX('Per Line'!$G$2:$G$6001,$V814)&amp;"")</f>
        <v/>
      </c>
      <c r="F814">
        <f>IF($V814="","",INDEX('Per Line'!$H$2:$H$6001,$V814)&amp;"")</f>
        <v/>
      </c>
      <c r="G814">
        <f>IF($V814="","",INDEX('Per Line'!$I$2:$I$6001,$V814)&amp;"")</f>
        <v/>
      </c>
      <c r="H814">
        <f>IF($V814="","",INDEX('Per Line'!$J$2:$J$6001,$V814))</f>
        <v/>
      </c>
      <c r="I814" s="7">
        <f>IF($V814="","",H814*S814/100)</f>
        <v/>
      </c>
      <c r="J814">
        <f>IF($V814="","",INDEX('Per Line'!$S$2:$S$6001,$V814)&amp;"")</f>
        <v/>
      </c>
      <c r="K814" s="7">
        <f>IF($V814="","",SUMIFS('Per Line'!$R$2:$R$6001,'Per Line'!$C$2:$C$6001,$B814,'Per Line'!$AJ$2:$AJ$6001,1))</f>
        <v/>
      </c>
      <c r="L814">
        <f>IF($V814="","",Settings!$C$7)</f>
        <v/>
      </c>
      <c r="M814" s="7">
        <f>IF($V814="","",SUMIFS('Per Line'!$R$2:$R$6001,'Per Line'!$C$2:$C$6001,$B814,'Per Line'!$AI$2:$AI$6001,0,'Per Line'!$AJ$2:$AJ$6001,0))</f>
        <v/>
      </c>
      <c r="N814" s="7">
        <f>IF($V814="","",M814*L814)</f>
        <v/>
      </c>
      <c r="O814">
        <f>IF($V814="","",Settings!$C$6)</f>
        <v/>
      </c>
      <c r="P814" s="7">
        <f>IF($V814="","",SUMIFS('Per Line'!$R$2:$R$6001,'Per Line'!$C$2:$C$6001,$B814,'Per Line'!$AI$2:$AI$6001,1,'Per Line'!$AJ$2:$AJ$6001,0))</f>
        <v/>
      </c>
      <c r="Q814" s="7">
        <f>IF($V814="","",P814*O814)</f>
        <v/>
      </c>
      <c r="R814" s="7">
        <f>IF($V814="","",Q814+N814)</f>
        <v/>
      </c>
      <c r="S814" s="7">
        <f>IF($V814="","",T814-R814)</f>
        <v/>
      </c>
      <c r="T814" s="7">
        <f>IF($V814="","",M814+P814+K814)</f>
        <v/>
      </c>
      <c r="U814" s="7">
        <f>IF($V814="","",T814-R814-I814)</f>
        <v/>
      </c>
      <c r="V814" s="13">
        <f>IF(ROWS($V$2:$V814)&lt;=MAX('Per Line'!$AH$2:$AH$6001),MATCH(ROWS($V$2:$V814),'Per Line'!$AH$2:$AH$6001,0),"")</f>
        <v/>
      </c>
    </row>
    <row r="815">
      <c r="A815" s="12" t="n"/>
      <c r="B815">
        <f>IF($V815="","",INDEX('Per Line'!$C$2:$C$6001,$V815)&amp;"")</f>
        <v/>
      </c>
      <c r="C815" s="11">
        <f>IF($V815="","",INDEX('Per Line'!$D$2:$D$6001,$V815))</f>
        <v/>
      </c>
      <c r="D815">
        <f>IF($V815="","",INDEX('Per Line'!$E$2:$E$6001,$V815)&amp;"")</f>
        <v/>
      </c>
      <c r="E815">
        <f>IF($V815="","",INDEX('Per Line'!$G$2:$G$6001,$V815)&amp;"")</f>
        <v/>
      </c>
      <c r="F815">
        <f>IF($V815="","",INDEX('Per Line'!$H$2:$H$6001,$V815)&amp;"")</f>
        <v/>
      </c>
      <c r="G815">
        <f>IF($V815="","",INDEX('Per Line'!$I$2:$I$6001,$V815)&amp;"")</f>
        <v/>
      </c>
      <c r="H815">
        <f>IF($V815="","",INDEX('Per Line'!$J$2:$J$6001,$V815))</f>
        <v/>
      </c>
      <c r="I815" s="7">
        <f>IF($V815="","",H815*S815/100)</f>
        <v/>
      </c>
      <c r="J815">
        <f>IF($V815="","",INDEX('Per Line'!$S$2:$S$6001,$V815)&amp;"")</f>
        <v/>
      </c>
      <c r="K815" s="7">
        <f>IF($V815="","",SUMIFS('Per Line'!$R$2:$R$6001,'Per Line'!$C$2:$C$6001,$B815,'Per Line'!$AJ$2:$AJ$6001,1))</f>
        <v/>
      </c>
      <c r="L815">
        <f>IF($V815="","",Settings!$C$7)</f>
        <v/>
      </c>
      <c r="M815" s="7">
        <f>IF($V815="","",SUMIFS('Per Line'!$R$2:$R$6001,'Per Line'!$C$2:$C$6001,$B815,'Per Line'!$AI$2:$AI$6001,0,'Per Line'!$AJ$2:$AJ$6001,0))</f>
        <v/>
      </c>
      <c r="N815" s="7">
        <f>IF($V815="","",M815*L815)</f>
        <v/>
      </c>
      <c r="O815">
        <f>IF($V815="","",Settings!$C$6)</f>
        <v/>
      </c>
      <c r="P815" s="7">
        <f>IF($V815="","",SUMIFS('Per Line'!$R$2:$R$6001,'Per Line'!$C$2:$C$6001,$B815,'Per Line'!$AI$2:$AI$6001,1,'Per Line'!$AJ$2:$AJ$6001,0))</f>
        <v/>
      </c>
      <c r="Q815" s="7">
        <f>IF($V815="","",P815*O815)</f>
        <v/>
      </c>
      <c r="R815" s="7">
        <f>IF($V815="","",Q815+N815)</f>
        <v/>
      </c>
      <c r="S815" s="7">
        <f>IF($V815="","",T815-R815)</f>
        <v/>
      </c>
      <c r="T815" s="7">
        <f>IF($V815="","",M815+P815+K815)</f>
        <v/>
      </c>
      <c r="U815" s="7">
        <f>IF($V815="","",T815-R815-I815)</f>
        <v/>
      </c>
      <c r="V815" s="13">
        <f>IF(ROWS($V$2:$V815)&lt;=MAX('Per Line'!$AH$2:$AH$6001),MATCH(ROWS($V$2:$V815),'Per Line'!$AH$2:$AH$6001,0),"")</f>
        <v/>
      </c>
    </row>
    <row r="816">
      <c r="A816" s="12" t="n"/>
      <c r="B816">
        <f>IF($V816="","",INDEX('Per Line'!$C$2:$C$6001,$V816)&amp;"")</f>
        <v/>
      </c>
      <c r="C816" s="11">
        <f>IF($V816="","",INDEX('Per Line'!$D$2:$D$6001,$V816))</f>
        <v/>
      </c>
      <c r="D816">
        <f>IF($V816="","",INDEX('Per Line'!$E$2:$E$6001,$V816)&amp;"")</f>
        <v/>
      </c>
      <c r="E816">
        <f>IF($V816="","",INDEX('Per Line'!$G$2:$G$6001,$V816)&amp;"")</f>
        <v/>
      </c>
      <c r="F816">
        <f>IF($V816="","",INDEX('Per Line'!$H$2:$H$6001,$V816)&amp;"")</f>
        <v/>
      </c>
      <c r="G816">
        <f>IF($V816="","",INDEX('Per Line'!$I$2:$I$6001,$V816)&amp;"")</f>
        <v/>
      </c>
      <c r="H816">
        <f>IF($V816="","",INDEX('Per Line'!$J$2:$J$6001,$V816))</f>
        <v/>
      </c>
      <c r="I816" s="7">
        <f>IF($V816="","",H816*S816/100)</f>
        <v/>
      </c>
      <c r="J816">
        <f>IF($V816="","",INDEX('Per Line'!$S$2:$S$6001,$V816)&amp;"")</f>
        <v/>
      </c>
      <c r="K816" s="7">
        <f>IF($V816="","",SUMIFS('Per Line'!$R$2:$R$6001,'Per Line'!$C$2:$C$6001,$B816,'Per Line'!$AJ$2:$AJ$6001,1))</f>
        <v/>
      </c>
      <c r="L816">
        <f>IF($V816="","",Settings!$C$7)</f>
        <v/>
      </c>
      <c r="M816" s="7">
        <f>IF($V816="","",SUMIFS('Per Line'!$R$2:$R$6001,'Per Line'!$C$2:$C$6001,$B816,'Per Line'!$AI$2:$AI$6001,0,'Per Line'!$AJ$2:$AJ$6001,0))</f>
        <v/>
      </c>
      <c r="N816" s="7">
        <f>IF($V816="","",M816*L816)</f>
        <v/>
      </c>
      <c r="O816">
        <f>IF($V816="","",Settings!$C$6)</f>
        <v/>
      </c>
      <c r="P816" s="7">
        <f>IF($V816="","",SUMIFS('Per Line'!$R$2:$R$6001,'Per Line'!$C$2:$C$6001,$B816,'Per Line'!$AI$2:$AI$6001,1,'Per Line'!$AJ$2:$AJ$6001,0))</f>
        <v/>
      </c>
      <c r="Q816" s="7">
        <f>IF($V816="","",P816*O816)</f>
        <v/>
      </c>
      <c r="R816" s="7">
        <f>IF($V816="","",Q816+N816)</f>
        <v/>
      </c>
      <c r="S816" s="7">
        <f>IF($V816="","",T816-R816)</f>
        <v/>
      </c>
      <c r="T816" s="7">
        <f>IF($V816="","",M816+P816+K816)</f>
        <v/>
      </c>
      <c r="U816" s="7">
        <f>IF($V816="","",T816-R816-I816)</f>
        <v/>
      </c>
      <c r="V816" s="13">
        <f>IF(ROWS($V$2:$V816)&lt;=MAX('Per Line'!$AH$2:$AH$6001),MATCH(ROWS($V$2:$V816),'Per Line'!$AH$2:$AH$6001,0),"")</f>
        <v/>
      </c>
    </row>
    <row r="817">
      <c r="A817" s="12" t="n"/>
      <c r="B817">
        <f>IF($V817="","",INDEX('Per Line'!$C$2:$C$6001,$V817)&amp;"")</f>
        <v/>
      </c>
      <c r="C817" s="11">
        <f>IF($V817="","",INDEX('Per Line'!$D$2:$D$6001,$V817))</f>
        <v/>
      </c>
      <c r="D817">
        <f>IF($V817="","",INDEX('Per Line'!$E$2:$E$6001,$V817)&amp;"")</f>
        <v/>
      </c>
      <c r="E817">
        <f>IF($V817="","",INDEX('Per Line'!$G$2:$G$6001,$V817)&amp;"")</f>
        <v/>
      </c>
      <c r="F817">
        <f>IF($V817="","",INDEX('Per Line'!$H$2:$H$6001,$V817)&amp;"")</f>
        <v/>
      </c>
      <c r="G817">
        <f>IF($V817="","",INDEX('Per Line'!$I$2:$I$6001,$V817)&amp;"")</f>
        <v/>
      </c>
      <c r="H817">
        <f>IF($V817="","",INDEX('Per Line'!$J$2:$J$6001,$V817))</f>
        <v/>
      </c>
      <c r="I817" s="7">
        <f>IF($V817="","",H817*S817/100)</f>
        <v/>
      </c>
      <c r="J817">
        <f>IF($V817="","",INDEX('Per Line'!$S$2:$S$6001,$V817)&amp;"")</f>
        <v/>
      </c>
      <c r="K817" s="7">
        <f>IF($V817="","",SUMIFS('Per Line'!$R$2:$R$6001,'Per Line'!$C$2:$C$6001,$B817,'Per Line'!$AJ$2:$AJ$6001,1))</f>
        <v/>
      </c>
      <c r="L817">
        <f>IF($V817="","",Settings!$C$7)</f>
        <v/>
      </c>
      <c r="M817" s="7">
        <f>IF($V817="","",SUMIFS('Per Line'!$R$2:$R$6001,'Per Line'!$C$2:$C$6001,$B817,'Per Line'!$AI$2:$AI$6001,0,'Per Line'!$AJ$2:$AJ$6001,0))</f>
        <v/>
      </c>
      <c r="N817" s="7">
        <f>IF($V817="","",M817*L817)</f>
        <v/>
      </c>
      <c r="O817">
        <f>IF($V817="","",Settings!$C$6)</f>
        <v/>
      </c>
      <c r="P817" s="7">
        <f>IF($V817="","",SUMIFS('Per Line'!$R$2:$R$6001,'Per Line'!$C$2:$C$6001,$B817,'Per Line'!$AI$2:$AI$6001,1,'Per Line'!$AJ$2:$AJ$6001,0))</f>
        <v/>
      </c>
      <c r="Q817" s="7">
        <f>IF($V817="","",P817*O817)</f>
        <v/>
      </c>
      <c r="R817" s="7">
        <f>IF($V817="","",Q817+N817)</f>
        <v/>
      </c>
      <c r="S817" s="7">
        <f>IF($V817="","",T817-R817)</f>
        <v/>
      </c>
      <c r="T817" s="7">
        <f>IF($V817="","",M817+P817+K817)</f>
        <v/>
      </c>
      <c r="U817" s="7">
        <f>IF($V817="","",T817-R817-I817)</f>
        <v/>
      </c>
      <c r="V817" s="13">
        <f>IF(ROWS($V$2:$V817)&lt;=MAX('Per Line'!$AH$2:$AH$6001),MATCH(ROWS($V$2:$V817),'Per Line'!$AH$2:$AH$6001,0),"")</f>
        <v/>
      </c>
    </row>
    <row r="818">
      <c r="A818" s="12" t="n"/>
      <c r="B818">
        <f>IF($V818="","",INDEX('Per Line'!$C$2:$C$6001,$V818)&amp;"")</f>
        <v/>
      </c>
      <c r="C818" s="11">
        <f>IF($V818="","",INDEX('Per Line'!$D$2:$D$6001,$V818))</f>
        <v/>
      </c>
      <c r="D818">
        <f>IF($V818="","",INDEX('Per Line'!$E$2:$E$6001,$V818)&amp;"")</f>
        <v/>
      </c>
      <c r="E818">
        <f>IF($V818="","",INDEX('Per Line'!$G$2:$G$6001,$V818)&amp;"")</f>
        <v/>
      </c>
      <c r="F818">
        <f>IF($V818="","",INDEX('Per Line'!$H$2:$H$6001,$V818)&amp;"")</f>
        <v/>
      </c>
      <c r="G818">
        <f>IF($V818="","",INDEX('Per Line'!$I$2:$I$6001,$V818)&amp;"")</f>
        <v/>
      </c>
      <c r="H818">
        <f>IF($V818="","",INDEX('Per Line'!$J$2:$J$6001,$V818))</f>
        <v/>
      </c>
      <c r="I818" s="7">
        <f>IF($V818="","",H818*S818/100)</f>
        <v/>
      </c>
      <c r="J818">
        <f>IF($V818="","",INDEX('Per Line'!$S$2:$S$6001,$V818)&amp;"")</f>
        <v/>
      </c>
      <c r="K818" s="7">
        <f>IF($V818="","",SUMIFS('Per Line'!$R$2:$R$6001,'Per Line'!$C$2:$C$6001,$B818,'Per Line'!$AJ$2:$AJ$6001,1))</f>
        <v/>
      </c>
      <c r="L818">
        <f>IF($V818="","",Settings!$C$7)</f>
        <v/>
      </c>
      <c r="M818" s="7">
        <f>IF($V818="","",SUMIFS('Per Line'!$R$2:$R$6001,'Per Line'!$C$2:$C$6001,$B818,'Per Line'!$AI$2:$AI$6001,0,'Per Line'!$AJ$2:$AJ$6001,0))</f>
        <v/>
      </c>
      <c r="N818" s="7">
        <f>IF($V818="","",M818*L818)</f>
        <v/>
      </c>
      <c r="O818">
        <f>IF($V818="","",Settings!$C$6)</f>
        <v/>
      </c>
      <c r="P818" s="7">
        <f>IF($V818="","",SUMIFS('Per Line'!$R$2:$R$6001,'Per Line'!$C$2:$C$6001,$B818,'Per Line'!$AI$2:$AI$6001,1,'Per Line'!$AJ$2:$AJ$6001,0))</f>
        <v/>
      </c>
      <c r="Q818" s="7">
        <f>IF($V818="","",P818*O818)</f>
        <v/>
      </c>
      <c r="R818" s="7">
        <f>IF($V818="","",Q818+N818)</f>
        <v/>
      </c>
      <c r="S818" s="7">
        <f>IF($V818="","",T818-R818)</f>
        <v/>
      </c>
      <c r="T818" s="7">
        <f>IF($V818="","",M818+P818+K818)</f>
        <v/>
      </c>
      <c r="U818" s="7">
        <f>IF($V818="","",T818-R818-I818)</f>
        <v/>
      </c>
      <c r="V818" s="13">
        <f>IF(ROWS($V$2:$V818)&lt;=MAX('Per Line'!$AH$2:$AH$6001),MATCH(ROWS($V$2:$V818),'Per Line'!$AH$2:$AH$6001,0),"")</f>
        <v/>
      </c>
    </row>
    <row r="819">
      <c r="A819" s="12" t="n"/>
      <c r="B819">
        <f>IF($V819="","",INDEX('Per Line'!$C$2:$C$6001,$V819)&amp;"")</f>
        <v/>
      </c>
      <c r="C819" s="11">
        <f>IF($V819="","",INDEX('Per Line'!$D$2:$D$6001,$V819))</f>
        <v/>
      </c>
      <c r="D819">
        <f>IF($V819="","",INDEX('Per Line'!$E$2:$E$6001,$V819)&amp;"")</f>
        <v/>
      </c>
      <c r="E819">
        <f>IF($V819="","",INDEX('Per Line'!$G$2:$G$6001,$V819)&amp;"")</f>
        <v/>
      </c>
      <c r="F819">
        <f>IF($V819="","",INDEX('Per Line'!$H$2:$H$6001,$V819)&amp;"")</f>
        <v/>
      </c>
      <c r="G819">
        <f>IF($V819="","",INDEX('Per Line'!$I$2:$I$6001,$V819)&amp;"")</f>
        <v/>
      </c>
      <c r="H819">
        <f>IF($V819="","",INDEX('Per Line'!$J$2:$J$6001,$V819))</f>
        <v/>
      </c>
      <c r="I819" s="7">
        <f>IF($V819="","",H819*S819/100)</f>
        <v/>
      </c>
      <c r="J819">
        <f>IF($V819="","",INDEX('Per Line'!$S$2:$S$6001,$V819)&amp;"")</f>
        <v/>
      </c>
      <c r="K819" s="7">
        <f>IF($V819="","",SUMIFS('Per Line'!$R$2:$R$6001,'Per Line'!$C$2:$C$6001,$B819,'Per Line'!$AJ$2:$AJ$6001,1))</f>
        <v/>
      </c>
      <c r="L819">
        <f>IF($V819="","",Settings!$C$7)</f>
        <v/>
      </c>
      <c r="M819" s="7">
        <f>IF($V819="","",SUMIFS('Per Line'!$R$2:$R$6001,'Per Line'!$C$2:$C$6001,$B819,'Per Line'!$AI$2:$AI$6001,0,'Per Line'!$AJ$2:$AJ$6001,0))</f>
        <v/>
      </c>
      <c r="N819" s="7">
        <f>IF($V819="","",M819*L819)</f>
        <v/>
      </c>
      <c r="O819">
        <f>IF($V819="","",Settings!$C$6)</f>
        <v/>
      </c>
      <c r="P819" s="7">
        <f>IF($V819="","",SUMIFS('Per Line'!$R$2:$R$6001,'Per Line'!$C$2:$C$6001,$B819,'Per Line'!$AI$2:$AI$6001,1,'Per Line'!$AJ$2:$AJ$6001,0))</f>
        <v/>
      </c>
      <c r="Q819" s="7">
        <f>IF($V819="","",P819*O819)</f>
        <v/>
      </c>
      <c r="R819" s="7">
        <f>IF($V819="","",Q819+N819)</f>
        <v/>
      </c>
      <c r="S819" s="7">
        <f>IF($V819="","",T819-R819)</f>
        <v/>
      </c>
      <c r="T819" s="7">
        <f>IF($V819="","",M819+P819+K819)</f>
        <v/>
      </c>
      <c r="U819" s="7">
        <f>IF($V819="","",T819-R819-I819)</f>
        <v/>
      </c>
      <c r="V819" s="13">
        <f>IF(ROWS($V$2:$V819)&lt;=MAX('Per Line'!$AH$2:$AH$6001),MATCH(ROWS($V$2:$V819),'Per Line'!$AH$2:$AH$6001,0),"")</f>
        <v/>
      </c>
    </row>
    <row r="820">
      <c r="A820" s="12" t="n"/>
      <c r="B820">
        <f>IF($V820="","",INDEX('Per Line'!$C$2:$C$6001,$V820)&amp;"")</f>
        <v/>
      </c>
      <c r="C820" s="11">
        <f>IF($V820="","",INDEX('Per Line'!$D$2:$D$6001,$V820))</f>
        <v/>
      </c>
      <c r="D820">
        <f>IF($V820="","",INDEX('Per Line'!$E$2:$E$6001,$V820)&amp;"")</f>
        <v/>
      </c>
      <c r="E820">
        <f>IF($V820="","",INDEX('Per Line'!$G$2:$G$6001,$V820)&amp;"")</f>
        <v/>
      </c>
      <c r="F820">
        <f>IF($V820="","",INDEX('Per Line'!$H$2:$H$6001,$V820)&amp;"")</f>
        <v/>
      </c>
      <c r="G820">
        <f>IF($V820="","",INDEX('Per Line'!$I$2:$I$6001,$V820)&amp;"")</f>
        <v/>
      </c>
      <c r="H820">
        <f>IF($V820="","",INDEX('Per Line'!$J$2:$J$6001,$V820))</f>
        <v/>
      </c>
      <c r="I820" s="7">
        <f>IF($V820="","",H820*S820/100)</f>
        <v/>
      </c>
      <c r="J820">
        <f>IF($V820="","",INDEX('Per Line'!$S$2:$S$6001,$V820)&amp;"")</f>
        <v/>
      </c>
      <c r="K820" s="7">
        <f>IF($V820="","",SUMIFS('Per Line'!$R$2:$R$6001,'Per Line'!$C$2:$C$6001,$B820,'Per Line'!$AJ$2:$AJ$6001,1))</f>
        <v/>
      </c>
      <c r="L820">
        <f>IF($V820="","",Settings!$C$7)</f>
        <v/>
      </c>
      <c r="M820" s="7">
        <f>IF($V820="","",SUMIFS('Per Line'!$R$2:$R$6001,'Per Line'!$C$2:$C$6001,$B820,'Per Line'!$AI$2:$AI$6001,0,'Per Line'!$AJ$2:$AJ$6001,0))</f>
        <v/>
      </c>
      <c r="N820" s="7">
        <f>IF($V820="","",M820*L820)</f>
        <v/>
      </c>
      <c r="O820">
        <f>IF($V820="","",Settings!$C$6)</f>
        <v/>
      </c>
      <c r="P820" s="7">
        <f>IF($V820="","",SUMIFS('Per Line'!$R$2:$R$6001,'Per Line'!$C$2:$C$6001,$B820,'Per Line'!$AI$2:$AI$6001,1,'Per Line'!$AJ$2:$AJ$6001,0))</f>
        <v/>
      </c>
      <c r="Q820" s="7">
        <f>IF($V820="","",P820*O820)</f>
        <v/>
      </c>
      <c r="R820" s="7">
        <f>IF($V820="","",Q820+N820)</f>
        <v/>
      </c>
      <c r="S820" s="7">
        <f>IF($V820="","",T820-R820)</f>
        <v/>
      </c>
      <c r="T820" s="7">
        <f>IF($V820="","",M820+P820+K820)</f>
        <v/>
      </c>
      <c r="U820" s="7">
        <f>IF($V820="","",T820-R820-I820)</f>
        <v/>
      </c>
      <c r="V820" s="13">
        <f>IF(ROWS($V$2:$V820)&lt;=MAX('Per Line'!$AH$2:$AH$6001),MATCH(ROWS($V$2:$V820),'Per Line'!$AH$2:$AH$6001,0),"")</f>
        <v/>
      </c>
    </row>
    <row r="821">
      <c r="A821" s="12" t="n"/>
      <c r="B821">
        <f>IF($V821="","",INDEX('Per Line'!$C$2:$C$6001,$V821)&amp;"")</f>
        <v/>
      </c>
      <c r="C821" s="11">
        <f>IF($V821="","",INDEX('Per Line'!$D$2:$D$6001,$V821))</f>
        <v/>
      </c>
      <c r="D821">
        <f>IF($V821="","",INDEX('Per Line'!$E$2:$E$6001,$V821)&amp;"")</f>
        <v/>
      </c>
      <c r="E821">
        <f>IF($V821="","",INDEX('Per Line'!$G$2:$G$6001,$V821)&amp;"")</f>
        <v/>
      </c>
      <c r="F821">
        <f>IF($V821="","",INDEX('Per Line'!$H$2:$H$6001,$V821)&amp;"")</f>
        <v/>
      </c>
      <c r="G821">
        <f>IF($V821="","",INDEX('Per Line'!$I$2:$I$6001,$V821)&amp;"")</f>
        <v/>
      </c>
      <c r="H821">
        <f>IF($V821="","",INDEX('Per Line'!$J$2:$J$6001,$V821))</f>
        <v/>
      </c>
      <c r="I821" s="7">
        <f>IF($V821="","",H821*S821/100)</f>
        <v/>
      </c>
      <c r="J821">
        <f>IF($V821="","",INDEX('Per Line'!$S$2:$S$6001,$V821)&amp;"")</f>
        <v/>
      </c>
      <c r="K821" s="7">
        <f>IF($V821="","",SUMIFS('Per Line'!$R$2:$R$6001,'Per Line'!$C$2:$C$6001,$B821,'Per Line'!$AJ$2:$AJ$6001,1))</f>
        <v/>
      </c>
      <c r="L821">
        <f>IF($V821="","",Settings!$C$7)</f>
        <v/>
      </c>
      <c r="M821" s="7">
        <f>IF($V821="","",SUMIFS('Per Line'!$R$2:$R$6001,'Per Line'!$C$2:$C$6001,$B821,'Per Line'!$AI$2:$AI$6001,0,'Per Line'!$AJ$2:$AJ$6001,0))</f>
        <v/>
      </c>
      <c r="N821" s="7">
        <f>IF($V821="","",M821*L821)</f>
        <v/>
      </c>
      <c r="O821">
        <f>IF($V821="","",Settings!$C$6)</f>
        <v/>
      </c>
      <c r="P821" s="7">
        <f>IF($V821="","",SUMIFS('Per Line'!$R$2:$R$6001,'Per Line'!$C$2:$C$6001,$B821,'Per Line'!$AI$2:$AI$6001,1,'Per Line'!$AJ$2:$AJ$6001,0))</f>
        <v/>
      </c>
      <c r="Q821" s="7">
        <f>IF($V821="","",P821*O821)</f>
        <v/>
      </c>
      <c r="R821" s="7">
        <f>IF($V821="","",Q821+N821)</f>
        <v/>
      </c>
      <c r="S821" s="7">
        <f>IF($V821="","",T821-R821)</f>
        <v/>
      </c>
      <c r="T821" s="7">
        <f>IF($V821="","",M821+P821+K821)</f>
        <v/>
      </c>
      <c r="U821" s="7">
        <f>IF($V821="","",T821-R821-I821)</f>
        <v/>
      </c>
      <c r="V821" s="13">
        <f>IF(ROWS($V$2:$V821)&lt;=MAX('Per Line'!$AH$2:$AH$6001),MATCH(ROWS($V$2:$V821),'Per Line'!$AH$2:$AH$6001,0),"")</f>
        <v/>
      </c>
    </row>
    <row r="822">
      <c r="A822" s="12" t="n"/>
      <c r="B822">
        <f>IF($V822="","",INDEX('Per Line'!$C$2:$C$6001,$V822)&amp;"")</f>
        <v/>
      </c>
      <c r="C822" s="11">
        <f>IF($V822="","",INDEX('Per Line'!$D$2:$D$6001,$V822))</f>
        <v/>
      </c>
      <c r="D822">
        <f>IF($V822="","",INDEX('Per Line'!$E$2:$E$6001,$V822)&amp;"")</f>
        <v/>
      </c>
      <c r="E822">
        <f>IF($V822="","",INDEX('Per Line'!$G$2:$G$6001,$V822)&amp;"")</f>
        <v/>
      </c>
      <c r="F822">
        <f>IF($V822="","",INDEX('Per Line'!$H$2:$H$6001,$V822)&amp;"")</f>
        <v/>
      </c>
      <c r="G822">
        <f>IF($V822="","",INDEX('Per Line'!$I$2:$I$6001,$V822)&amp;"")</f>
        <v/>
      </c>
      <c r="H822">
        <f>IF($V822="","",INDEX('Per Line'!$J$2:$J$6001,$V822))</f>
        <v/>
      </c>
      <c r="I822" s="7">
        <f>IF($V822="","",H822*S822/100)</f>
        <v/>
      </c>
      <c r="J822">
        <f>IF($V822="","",INDEX('Per Line'!$S$2:$S$6001,$V822)&amp;"")</f>
        <v/>
      </c>
      <c r="K822" s="7">
        <f>IF($V822="","",SUMIFS('Per Line'!$R$2:$R$6001,'Per Line'!$C$2:$C$6001,$B822,'Per Line'!$AJ$2:$AJ$6001,1))</f>
        <v/>
      </c>
      <c r="L822">
        <f>IF($V822="","",Settings!$C$7)</f>
        <v/>
      </c>
      <c r="M822" s="7">
        <f>IF($V822="","",SUMIFS('Per Line'!$R$2:$R$6001,'Per Line'!$C$2:$C$6001,$B822,'Per Line'!$AI$2:$AI$6001,0,'Per Line'!$AJ$2:$AJ$6001,0))</f>
        <v/>
      </c>
      <c r="N822" s="7">
        <f>IF($V822="","",M822*L822)</f>
        <v/>
      </c>
      <c r="O822">
        <f>IF($V822="","",Settings!$C$6)</f>
        <v/>
      </c>
      <c r="P822" s="7">
        <f>IF($V822="","",SUMIFS('Per Line'!$R$2:$R$6001,'Per Line'!$C$2:$C$6001,$B822,'Per Line'!$AI$2:$AI$6001,1,'Per Line'!$AJ$2:$AJ$6001,0))</f>
        <v/>
      </c>
      <c r="Q822" s="7">
        <f>IF($V822="","",P822*O822)</f>
        <v/>
      </c>
      <c r="R822" s="7">
        <f>IF($V822="","",Q822+N822)</f>
        <v/>
      </c>
      <c r="S822" s="7">
        <f>IF($V822="","",T822-R822)</f>
        <v/>
      </c>
      <c r="T822" s="7">
        <f>IF($V822="","",M822+P822+K822)</f>
        <v/>
      </c>
      <c r="U822" s="7">
        <f>IF($V822="","",T822-R822-I822)</f>
        <v/>
      </c>
      <c r="V822" s="13">
        <f>IF(ROWS($V$2:$V822)&lt;=MAX('Per Line'!$AH$2:$AH$6001),MATCH(ROWS($V$2:$V822),'Per Line'!$AH$2:$AH$6001,0),"")</f>
        <v/>
      </c>
    </row>
    <row r="823">
      <c r="A823" s="12" t="n"/>
      <c r="B823">
        <f>IF($V823="","",INDEX('Per Line'!$C$2:$C$6001,$V823)&amp;"")</f>
        <v/>
      </c>
      <c r="C823" s="11">
        <f>IF($V823="","",INDEX('Per Line'!$D$2:$D$6001,$V823))</f>
        <v/>
      </c>
      <c r="D823">
        <f>IF($V823="","",INDEX('Per Line'!$E$2:$E$6001,$V823)&amp;"")</f>
        <v/>
      </c>
      <c r="E823">
        <f>IF($V823="","",INDEX('Per Line'!$G$2:$G$6001,$V823)&amp;"")</f>
        <v/>
      </c>
      <c r="F823">
        <f>IF($V823="","",INDEX('Per Line'!$H$2:$H$6001,$V823)&amp;"")</f>
        <v/>
      </c>
      <c r="G823">
        <f>IF($V823="","",INDEX('Per Line'!$I$2:$I$6001,$V823)&amp;"")</f>
        <v/>
      </c>
      <c r="H823">
        <f>IF($V823="","",INDEX('Per Line'!$J$2:$J$6001,$V823))</f>
        <v/>
      </c>
      <c r="I823" s="7">
        <f>IF($V823="","",H823*S823/100)</f>
        <v/>
      </c>
      <c r="J823">
        <f>IF($V823="","",INDEX('Per Line'!$S$2:$S$6001,$V823)&amp;"")</f>
        <v/>
      </c>
      <c r="K823" s="7">
        <f>IF($V823="","",SUMIFS('Per Line'!$R$2:$R$6001,'Per Line'!$C$2:$C$6001,$B823,'Per Line'!$AJ$2:$AJ$6001,1))</f>
        <v/>
      </c>
      <c r="L823">
        <f>IF($V823="","",Settings!$C$7)</f>
        <v/>
      </c>
      <c r="M823" s="7">
        <f>IF($V823="","",SUMIFS('Per Line'!$R$2:$R$6001,'Per Line'!$C$2:$C$6001,$B823,'Per Line'!$AI$2:$AI$6001,0,'Per Line'!$AJ$2:$AJ$6001,0))</f>
        <v/>
      </c>
      <c r="N823" s="7">
        <f>IF($V823="","",M823*L823)</f>
        <v/>
      </c>
      <c r="O823">
        <f>IF($V823="","",Settings!$C$6)</f>
        <v/>
      </c>
      <c r="P823" s="7">
        <f>IF($V823="","",SUMIFS('Per Line'!$R$2:$R$6001,'Per Line'!$C$2:$C$6001,$B823,'Per Line'!$AI$2:$AI$6001,1,'Per Line'!$AJ$2:$AJ$6001,0))</f>
        <v/>
      </c>
      <c r="Q823" s="7">
        <f>IF($V823="","",P823*O823)</f>
        <v/>
      </c>
      <c r="R823" s="7">
        <f>IF($V823="","",Q823+N823)</f>
        <v/>
      </c>
      <c r="S823" s="7">
        <f>IF($V823="","",T823-R823)</f>
        <v/>
      </c>
      <c r="T823" s="7">
        <f>IF($V823="","",M823+P823+K823)</f>
        <v/>
      </c>
      <c r="U823" s="7">
        <f>IF($V823="","",T823-R823-I823)</f>
        <v/>
      </c>
      <c r="V823" s="13">
        <f>IF(ROWS($V$2:$V823)&lt;=MAX('Per Line'!$AH$2:$AH$6001),MATCH(ROWS($V$2:$V823),'Per Line'!$AH$2:$AH$6001,0),"")</f>
        <v/>
      </c>
    </row>
    <row r="824">
      <c r="A824" s="12" t="n"/>
      <c r="B824">
        <f>IF($V824="","",INDEX('Per Line'!$C$2:$C$6001,$V824)&amp;"")</f>
        <v/>
      </c>
      <c r="C824" s="11">
        <f>IF($V824="","",INDEX('Per Line'!$D$2:$D$6001,$V824))</f>
        <v/>
      </c>
      <c r="D824">
        <f>IF($V824="","",INDEX('Per Line'!$E$2:$E$6001,$V824)&amp;"")</f>
        <v/>
      </c>
      <c r="E824">
        <f>IF($V824="","",INDEX('Per Line'!$G$2:$G$6001,$V824)&amp;"")</f>
        <v/>
      </c>
      <c r="F824">
        <f>IF($V824="","",INDEX('Per Line'!$H$2:$H$6001,$V824)&amp;"")</f>
        <v/>
      </c>
      <c r="G824">
        <f>IF($V824="","",INDEX('Per Line'!$I$2:$I$6001,$V824)&amp;"")</f>
        <v/>
      </c>
      <c r="H824">
        <f>IF($V824="","",INDEX('Per Line'!$J$2:$J$6001,$V824))</f>
        <v/>
      </c>
      <c r="I824" s="7">
        <f>IF($V824="","",H824*S824/100)</f>
        <v/>
      </c>
      <c r="J824">
        <f>IF($V824="","",INDEX('Per Line'!$S$2:$S$6001,$V824)&amp;"")</f>
        <v/>
      </c>
      <c r="K824" s="7">
        <f>IF($V824="","",SUMIFS('Per Line'!$R$2:$R$6001,'Per Line'!$C$2:$C$6001,$B824,'Per Line'!$AJ$2:$AJ$6001,1))</f>
        <v/>
      </c>
      <c r="L824">
        <f>IF($V824="","",Settings!$C$7)</f>
        <v/>
      </c>
      <c r="M824" s="7">
        <f>IF($V824="","",SUMIFS('Per Line'!$R$2:$R$6001,'Per Line'!$C$2:$C$6001,$B824,'Per Line'!$AI$2:$AI$6001,0,'Per Line'!$AJ$2:$AJ$6001,0))</f>
        <v/>
      </c>
      <c r="N824" s="7">
        <f>IF($V824="","",M824*L824)</f>
        <v/>
      </c>
      <c r="O824">
        <f>IF($V824="","",Settings!$C$6)</f>
        <v/>
      </c>
      <c r="P824" s="7">
        <f>IF($V824="","",SUMIFS('Per Line'!$R$2:$R$6001,'Per Line'!$C$2:$C$6001,$B824,'Per Line'!$AI$2:$AI$6001,1,'Per Line'!$AJ$2:$AJ$6001,0))</f>
        <v/>
      </c>
      <c r="Q824" s="7">
        <f>IF($V824="","",P824*O824)</f>
        <v/>
      </c>
      <c r="R824" s="7">
        <f>IF($V824="","",Q824+N824)</f>
        <v/>
      </c>
      <c r="S824" s="7">
        <f>IF($V824="","",T824-R824)</f>
        <v/>
      </c>
      <c r="T824" s="7">
        <f>IF($V824="","",M824+P824+K824)</f>
        <v/>
      </c>
      <c r="U824" s="7">
        <f>IF($V824="","",T824-R824-I824)</f>
        <v/>
      </c>
      <c r="V824" s="13">
        <f>IF(ROWS($V$2:$V824)&lt;=MAX('Per Line'!$AH$2:$AH$6001),MATCH(ROWS($V$2:$V824),'Per Line'!$AH$2:$AH$6001,0),"")</f>
        <v/>
      </c>
    </row>
    <row r="825">
      <c r="A825" s="12" t="n"/>
      <c r="B825">
        <f>IF($V825="","",INDEX('Per Line'!$C$2:$C$6001,$V825)&amp;"")</f>
        <v/>
      </c>
      <c r="C825" s="11">
        <f>IF($V825="","",INDEX('Per Line'!$D$2:$D$6001,$V825))</f>
        <v/>
      </c>
      <c r="D825">
        <f>IF($V825="","",INDEX('Per Line'!$E$2:$E$6001,$V825)&amp;"")</f>
        <v/>
      </c>
      <c r="E825">
        <f>IF($V825="","",INDEX('Per Line'!$G$2:$G$6001,$V825)&amp;"")</f>
        <v/>
      </c>
      <c r="F825">
        <f>IF($V825="","",INDEX('Per Line'!$H$2:$H$6001,$V825)&amp;"")</f>
        <v/>
      </c>
      <c r="G825">
        <f>IF($V825="","",INDEX('Per Line'!$I$2:$I$6001,$V825)&amp;"")</f>
        <v/>
      </c>
      <c r="H825">
        <f>IF($V825="","",INDEX('Per Line'!$J$2:$J$6001,$V825))</f>
        <v/>
      </c>
      <c r="I825" s="7">
        <f>IF($V825="","",H825*S825/100)</f>
        <v/>
      </c>
      <c r="J825">
        <f>IF($V825="","",INDEX('Per Line'!$S$2:$S$6001,$V825)&amp;"")</f>
        <v/>
      </c>
      <c r="K825" s="7">
        <f>IF($V825="","",SUMIFS('Per Line'!$R$2:$R$6001,'Per Line'!$C$2:$C$6001,$B825,'Per Line'!$AJ$2:$AJ$6001,1))</f>
        <v/>
      </c>
      <c r="L825">
        <f>IF($V825="","",Settings!$C$7)</f>
        <v/>
      </c>
      <c r="M825" s="7">
        <f>IF($V825="","",SUMIFS('Per Line'!$R$2:$R$6001,'Per Line'!$C$2:$C$6001,$B825,'Per Line'!$AI$2:$AI$6001,0,'Per Line'!$AJ$2:$AJ$6001,0))</f>
        <v/>
      </c>
      <c r="N825" s="7">
        <f>IF($V825="","",M825*L825)</f>
        <v/>
      </c>
      <c r="O825">
        <f>IF($V825="","",Settings!$C$6)</f>
        <v/>
      </c>
      <c r="P825" s="7">
        <f>IF($V825="","",SUMIFS('Per Line'!$R$2:$R$6001,'Per Line'!$C$2:$C$6001,$B825,'Per Line'!$AI$2:$AI$6001,1,'Per Line'!$AJ$2:$AJ$6001,0))</f>
        <v/>
      </c>
      <c r="Q825" s="7">
        <f>IF($V825="","",P825*O825)</f>
        <v/>
      </c>
      <c r="R825" s="7">
        <f>IF($V825="","",Q825+N825)</f>
        <v/>
      </c>
      <c r="S825" s="7">
        <f>IF($V825="","",T825-R825)</f>
        <v/>
      </c>
      <c r="T825" s="7">
        <f>IF($V825="","",M825+P825+K825)</f>
        <v/>
      </c>
      <c r="U825" s="7">
        <f>IF($V825="","",T825-R825-I825)</f>
        <v/>
      </c>
      <c r="V825" s="13">
        <f>IF(ROWS($V$2:$V825)&lt;=MAX('Per Line'!$AH$2:$AH$6001),MATCH(ROWS($V$2:$V825),'Per Line'!$AH$2:$AH$6001,0),"")</f>
        <v/>
      </c>
    </row>
    <row r="826">
      <c r="A826" s="12" t="n"/>
      <c r="B826">
        <f>IF($V826="","",INDEX('Per Line'!$C$2:$C$6001,$V826)&amp;"")</f>
        <v/>
      </c>
      <c r="C826" s="11">
        <f>IF($V826="","",INDEX('Per Line'!$D$2:$D$6001,$V826))</f>
        <v/>
      </c>
      <c r="D826">
        <f>IF($V826="","",INDEX('Per Line'!$E$2:$E$6001,$V826)&amp;"")</f>
        <v/>
      </c>
      <c r="E826">
        <f>IF($V826="","",INDEX('Per Line'!$G$2:$G$6001,$V826)&amp;"")</f>
        <v/>
      </c>
      <c r="F826">
        <f>IF($V826="","",INDEX('Per Line'!$H$2:$H$6001,$V826)&amp;"")</f>
        <v/>
      </c>
      <c r="G826">
        <f>IF($V826="","",INDEX('Per Line'!$I$2:$I$6001,$V826)&amp;"")</f>
        <v/>
      </c>
      <c r="H826">
        <f>IF($V826="","",INDEX('Per Line'!$J$2:$J$6001,$V826))</f>
        <v/>
      </c>
      <c r="I826" s="7">
        <f>IF($V826="","",H826*S826/100)</f>
        <v/>
      </c>
      <c r="J826">
        <f>IF($V826="","",INDEX('Per Line'!$S$2:$S$6001,$V826)&amp;"")</f>
        <v/>
      </c>
      <c r="K826" s="7">
        <f>IF($V826="","",SUMIFS('Per Line'!$R$2:$R$6001,'Per Line'!$C$2:$C$6001,$B826,'Per Line'!$AJ$2:$AJ$6001,1))</f>
        <v/>
      </c>
      <c r="L826">
        <f>IF($V826="","",Settings!$C$7)</f>
        <v/>
      </c>
      <c r="M826" s="7">
        <f>IF($V826="","",SUMIFS('Per Line'!$R$2:$R$6001,'Per Line'!$C$2:$C$6001,$B826,'Per Line'!$AI$2:$AI$6001,0,'Per Line'!$AJ$2:$AJ$6001,0))</f>
        <v/>
      </c>
      <c r="N826" s="7">
        <f>IF($V826="","",M826*L826)</f>
        <v/>
      </c>
      <c r="O826">
        <f>IF($V826="","",Settings!$C$6)</f>
        <v/>
      </c>
      <c r="P826" s="7">
        <f>IF($V826="","",SUMIFS('Per Line'!$R$2:$R$6001,'Per Line'!$C$2:$C$6001,$B826,'Per Line'!$AI$2:$AI$6001,1,'Per Line'!$AJ$2:$AJ$6001,0))</f>
        <v/>
      </c>
      <c r="Q826" s="7">
        <f>IF($V826="","",P826*O826)</f>
        <v/>
      </c>
      <c r="R826" s="7">
        <f>IF($V826="","",Q826+N826)</f>
        <v/>
      </c>
      <c r="S826" s="7">
        <f>IF($V826="","",T826-R826)</f>
        <v/>
      </c>
      <c r="T826" s="7">
        <f>IF($V826="","",M826+P826+K826)</f>
        <v/>
      </c>
      <c r="U826" s="7">
        <f>IF($V826="","",T826-R826-I826)</f>
        <v/>
      </c>
      <c r="V826" s="13">
        <f>IF(ROWS($V$2:$V826)&lt;=MAX('Per Line'!$AH$2:$AH$6001),MATCH(ROWS($V$2:$V826),'Per Line'!$AH$2:$AH$6001,0),"")</f>
        <v/>
      </c>
    </row>
    <row r="827">
      <c r="A827" s="12" t="n"/>
      <c r="B827">
        <f>IF($V827="","",INDEX('Per Line'!$C$2:$C$6001,$V827)&amp;"")</f>
        <v/>
      </c>
      <c r="C827" s="11">
        <f>IF($V827="","",INDEX('Per Line'!$D$2:$D$6001,$V827))</f>
        <v/>
      </c>
      <c r="D827">
        <f>IF($V827="","",INDEX('Per Line'!$E$2:$E$6001,$V827)&amp;"")</f>
        <v/>
      </c>
      <c r="E827">
        <f>IF($V827="","",INDEX('Per Line'!$G$2:$G$6001,$V827)&amp;"")</f>
        <v/>
      </c>
      <c r="F827">
        <f>IF($V827="","",INDEX('Per Line'!$H$2:$H$6001,$V827)&amp;"")</f>
        <v/>
      </c>
      <c r="G827">
        <f>IF($V827="","",INDEX('Per Line'!$I$2:$I$6001,$V827)&amp;"")</f>
        <v/>
      </c>
      <c r="H827">
        <f>IF($V827="","",INDEX('Per Line'!$J$2:$J$6001,$V827))</f>
        <v/>
      </c>
      <c r="I827" s="7">
        <f>IF($V827="","",H827*S827/100)</f>
        <v/>
      </c>
      <c r="J827">
        <f>IF($V827="","",INDEX('Per Line'!$S$2:$S$6001,$V827)&amp;"")</f>
        <v/>
      </c>
      <c r="K827" s="7">
        <f>IF($V827="","",SUMIFS('Per Line'!$R$2:$R$6001,'Per Line'!$C$2:$C$6001,$B827,'Per Line'!$AJ$2:$AJ$6001,1))</f>
        <v/>
      </c>
      <c r="L827">
        <f>IF($V827="","",Settings!$C$7)</f>
        <v/>
      </c>
      <c r="M827" s="7">
        <f>IF($V827="","",SUMIFS('Per Line'!$R$2:$R$6001,'Per Line'!$C$2:$C$6001,$B827,'Per Line'!$AI$2:$AI$6001,0,'Per Line'!$AJ$2:$AJ$6001,0))</f>
        <v/>
      </c>
      <c r="N827" s="7">
        <f>IF($V827="","",M827*L827)</f>
        <v/>
      </c>
      <c r="O827">
        <f>IF($V827="","",Settings!$C$6)</f>
        <v/>
      </c>
      <c r="P827" s="7">
        <f>IF($V827="","",SUMIFS('Per Line'!$R$2:$R$6001,'Per Line'!$C$2:$C$6001,$B827,'Per Line'!$AI$2:$AI$6001,1,'Per Line'!$AJ$2:$AJ$6001,0))</f>
        <v/>
      </c>
      <c r="Q827" s="7">
        <f>IF($V827="","",P827*O827)</f>
        <v/>
      </c>
      <c r="R827" s="7">
        <f>IF($V827="","",Q827+N827)</f>
        <v/>
      </c>
      <c r="S827" s="7">
        <f>IF($V827="","",T827-R827)</f>
        <v/>
      </c>
      <c r="T827" s="7">
        <f>IF($V827="","",M827+P827+K827)</f>
        <v/>
      </c>
      <c r="U827" s="7">
        <f>IF($V827="","",T827-R827-I827)</f>
        <v/>
      </c>
      <c r="V827" s="13">
        <f>IF(ROWS($V$2:$V827)&lt;=MAX('Per Line'!$AH$2:$AH$6001),MATCH(ROWS($V$2:$V827),'Per Line'!$AH$2:$AH$6001,0),"")</f>
        <v/>
      </c>
    </row>
    <row r="828">
      <c r="A828" s="12" t="n"/>
      <c r="B828">
        <f>IF($V828="","",INDEX('Per Line'!$C$2:$C$6001,$V828)&amp;"")</f>
        <v/>
      </c>
      <c r="C828" s="11">
        <f>IF($V828="","",INDEX('Per Line'!$D$2:$D$6001,$V828))</f>
        <v/>
      </c>
      <c r="D828">
        <f>IF($V828="","",INDEX('Per Line'!$E$2:$E$6001,$V828)&amp;"")</f>
        <v/>
      </c>
      <c r="E828">
        <f>IF($V828="","",INDEX('Per Line'!$G$2:$G$6001,$V828)&amp;"")</f>
        <v/>
      </c>
      <c r="F828">
        <f>IF($V828="","",INDEX('Per Line'!$H$2:$H$6001,$V828)&amp;"")</f>
        <v/>
      </c>
      <c r="G828">
        <f>IF($V828="","",INDEX('Per Line'!$I$2:$I$6001,$V828)&amp;"")</f>
        <v/>
      </c>
      <c r="H828">
        <f>IF($V828="","",INDEX('Per Line'!$J$2:$J$6001,$V828))</f>
        <v/>
      </c>
      <c r="I828" s="7">
        <f>IF($V828="","",H828*S828/100)</f>
        <v/>
      </c>
      <c r="J828">
        <f>IF($V828="","",INDEX('Per Line'!$S$2:$S$6001,$V828)&amp;"")</f>
        <v/>
      </c>
      <c r="K828" s="7">
        <f>IF($V828="","",SUMIFS('Per Line'!$R$2:$R$6001,'Per Line'!$C$2:$C$6001,$B828,'Per Line'!$AJ$2:$AJ$6001,1))</f>
        <v/>
      </c>
      <c r="L828">
        <f>IF($V828="","",Settings!$C$7)</f>
        <v/>
      </c>
      <c r="M828" s="7">
        <f>IF($V828="","",SUMIFS('Per Line'!$R$2:$R$6001,'Per Line'!$C$2:$C$6001,$B828,'Per Line'!$AI$2:$AI$6001,0,'Per Line'!$AJ$2:$AJ$6001,0))</f>
        <v/>
      </c>
      <c r="N828" s="7">
        <f>IF($V828="","",M828*L828)</f>
        <v/>
      </c>
      <c r="O828">
        <f>IF($V828="","",Settings!$C$6)</f>
        <v/>
      </c>
      <c r="P828" s="7">
        <f>IF($V828="","",SUMIFS('Per Line'!$R$2:$R$6001,'Per Line'!$C$2:$C$6001,$B828,'Per Line'!$AI$2:$AI$6001,1,'Per Line'!$AJ$2:$AJ$6001,0))</f>
        <v/>
      </c>
      <c r="Q828" s="7">
        <f>IF($V828="","",P828*O828)</f>
        <v/>
      </c>
      <c r="R828" s="7">
        <f>IF($V828="","",Q828+N828)</f>
        <v/>
      </c>
      <c r="S828" s="7">
        <f>IF($V828="","",T828-R828)</f>
        <v/>
      </c>
      <c r="T828" s="7">
        <f>IF($V828="","",M828+P828+K828)</f>
        <v/>
      </c>
      <c r="U828" s="7">
        <f>IF($V828="","",T828-R828-I828)</f>
        <v/>
      </c>
      <c r="V828" s="13">
        <f>IF(ROWS($V$2:$V828)&lt;=MAX('Per Line'!$AH$2:$AH$6001),MATCH(ROWS($V$2:$V828),'Per Line'!$AH$2:$AH$6001,0),"")</f>
        <v/>
      </c>
    </row>
    <row r="829">
      <c r="A829" s="12" t="n"/>
      <c r="B829">
        <f>IF($V829="","",INDEX('Per Line'!$C$2:$C$6001,$V829)&amp;"")</f>
        <v/>
      </c>
      <c r="C829" s="11">
        <f>IF($V829="","",INDEX('Per Line'!$D$2:$D$6001,$V829))</f>
        <v/>
      </c>
      <c r="D829">
        <f>IF($V829="","",INDEX('Per Line'!$E$2:$E$6001,$V829)&amp;"")</f>
        <v/>
      </c>
      <c r="E829">
        <f>IF($V829="","",INDEX('Per Line'!$G$2:$G$6001,$V829)&amp;"")</f>
        <v/>
      </c>
      <c r="F829">
        <f>IF($V829="","",INDEX('Per Line'!$H$2:$H$6001,$V829)&amp;"")</f>
        <v/>
      </c>
      <c r="G829">
        <f>IF($V829="","",INDEX('Per Line'!$I$2:$I$6001,$V829)&amp;"")</f>
        <v/>
      </c>
      <c r="H829">
        <f>IF($V829="","",INDEX('Per Line'!$J$2:$J$6001,$V829))</f>
        <v/>
      </c>
      <c r="I829" s="7">
        <f>IF($V829="","",H829*S829/100)</f>
        <v/>
      </c>
      <c r="J829">
        <f>IF($V829="","",INDEX('Per Line'!$S$2:$S$6001,$V829)&amp;"")</f>
        <v/>
      </c>
      <c r="K829" s="7">
        <f>IF($V829="","",SUMIFS('Per Line'!$R$2:$R$6001,'Per Line'!$C$2:$C$6001,$B829,'Per Line'!$AJ$2:$AJ$6001,1))</f>
        <v/>
      </c>
      <c r="L829">
        <f>IF($V829="","",Settings!$C$7)</f>
        <v/>
      </c>
      <c r="M829" s="7">
        <f>IF($V829="","",SUMIFS('Per Line'!$R$2:$R$6001,'Per Line'!$C$2:$C$6001,$B829,'Per Line'!$AI$2:$AI$6001,0,'Per Line'!$AJ$2:$AJ$6001,0))</f>
        <v/>
      </c>
      <c r="N829" s="7">
        <f>IF($V829="","",M829*L829)</f>
        <v/>
      </c>
      <c r="O829">
        <f>IF($V829="","",Settings!$C$6)</f>
        <v/>
      </c>
      <c r="P829" s="7">
        <f>IF($V829="","",SUMIFS('Per Line'!$R$2:$R$6001,'Per Line'!$C$2:$C$6001,$B829,'Per Line'!$AI$2:$AI$6001,1,'Per Line'!$AJ$2:$AJ$6001,0))</f>
        <v/>
      </c>
      <c r="Q829" s="7">
        <f>IF($V829="","",P829*O829)</f>
        <v/>
      </c>
      <c r="R829" s="7">
        <f>IF($V829="","",Q829+N829)</f>
        <v/>
      </c>
      <c r="S829" s="7">
        <f>IF($V829="","",T829-R829)</f>
        <v/>
      </c>
      <c r="T829" s="7">
        <f>IF($V829="","",M829+P829+K829)</f>
        <v/>
      </c>
      <c r="U829" s="7">
        <f>IF($V829="","",T829-R829-I829)</f>
        <v/>
      </c>
      <c r="V829" s="13">
        <f>IF(ROWS($V$2:$V829)&lt;=MAX('Per Line'!$AH$2:$AH$6001),MATCH(ROWS($V$2:$V829),'Per Line'!$AH$2:$AH$6001,0),"")</f>
        <v/>
      </c>
    </row>
    <row r="830">
      <c r="A830" s="12" t="n"/>
      <c r="B830">
        <f>IF($V830="","",INDEX('Per Line'!$C$2:$C$6001,$V830)&amp;"")</f>
        <v/>
      </c>
      <c r="C830" s="11">
        <f>IF($V830="","",INDEX('Per Line'!$D$2:$D$6001,$V830))</f>
        <v/>
      </c>
      <c r="D830">
        <f>IF($V830="","",INDEX('Per Line'!$E$2:$E$6001,$V830)&amp;"")</f>
        <v/>
      </c>
      <c r="E830">
        <f>IF($V830="","",INDEX('Per Line'!$G$2:$G$6001,$V830)&amp;"")</f>
        <v/>
      </c>
      <c r="F830">
        <f>IF($V830="","",INDEX('Per Line'!$H$2:$H$6001,$V830)&amp;"")</f>
        <v/>
      </c>
      <c r="G830">
        <f>IF($V830="","",INDEX('Per Line'!$I$2:$I$6001,$V830)&amp;"")</f>
        <v/>
      </c>
      <c r="H830">
        <f>IF($V830="","",INDEX('Per Line'!$J$2:$J$6001,$V830))</f>
        <v/>
      </c>
      <c r="I830" s="7">
        <f>IF($V830="","",H830*S830/100)</f>
        <v/>
      </c>
      <c r="J830">
        <f>IF($V830="","",INDEX('Per Line'!$S$2:$S$6001,$V830)&amp;"")</f>
        <v/>
      </c>
      <c r="K830" s="7">
        <f>IF($V830="","",SUMIFS('Per Line'!$R$2:$R$6001,'Per Line'!$C$2:$C$6001,$B830,'Per Line'!$AJ$2:$AJ$6001,1))</f>
        <v/>
      </c>
      <c r="L830">
        <f>IF($V830="","",Settings!$C$7)</f>
        <v/>
      </c>
      <c r="M830" s="7">
        <f>IF($V830="","",SUMIFS('Per Line'!$R$2:$R$6001,'Per Line'!$C$2:$C$6001,$B830,'Per Line'!$AI$2:$AI$6001,0,'Per Line'!$AJ$2:$AJ$6001,0))</f>
        <v/>
      </c>
      <c r="N830" s="7">
        <f>IF($V830="","",M830*L830)</f>
        <v/>
      </c>
      <c r="O830">
        <f>IF($V830="","",Settings!$C$6)</f>
        <v/>
      </c>
      <c r="P830" s="7">
        <f>IF($V830="","",SUMIFS('Per Line'!$R$2:$R$6001,'Per Line'!$C$2:$C$6001,$B830,'Per Line'!$AI$2:$AI$6001,1,'Per Line'!$AJ$2:$AJ$6001,0))</f>
        <v/>
      </c>
      <c r="Q830" s="7">
        <f>IF($V830="","",P830*O830)</f>
        <v/>
      </c>
      <c r="R830" s="7">
        <f>IF($V830="","",Q830+N830)</f>
        <v/>
      </c>
      <c r="S830" s="7">
        <f>IF($V830="","",T830-R830)</f>
        <v/>
      </c>
      <c r="T830" s="7">
        <f>IF($V830="","",M830+P830+K830)</f>
        <v/>
      </c>
      <c r="U830" s="7">
        <f>IF($V830="","",T830-R830-I830)</f>
        <v/>
      </c>
      <c r="V830" s="13">
        <f>IF(ROWS($V$2:$V830)&lt;=MAX('Per Line'!$AH$2:$AH$6001),MATCH(ROWS($V$2:$V830),'Per Line'!$AH$2:$AH$6001,0),"")</f>
        <v/>
      </c>
    </row>
    <row r="831">
      <c r="A831" s="12" t="n"/>
      <c r="B831">
        <f>IF($V831="","",INDEX('Per Line'!$C$2:$C$6001,$V831)&amp;"")</f>
        <v/>
      </c>
      <c r="C831" s="11">
        <f>IF($V831="","",INDEX('Per Line'!$D$2:$D$6001,$V831))</f>
        <v/>
      </c>
      <c r="D831">
        <f>IF($V831="","",INDEX('Per Line'!$E$2:$E$6001,$V831)&amp;"")</f>
        <v/>
      </c>
      <c r="E831">
        <f>IF($V831="","",INDEX('Per Line'!$G$2:$G$6001,$V831)&amp;"")</f>
        <v/>
      </c>
      <c r="F831">
        <f>IF($V831="","",INDEX('Per Line'!$H$2:$H$6001,$V831)&amp;"")</f>
        <v/>
      </c>
      <c r="G831">
        <f>IF($V831="","",INDEX('Per Line'!$I$2:$I$6001,$V831)&amp;"")</f>
        <v/>
      </c>
      <c r="H831">
        <f>IF($V831="","",INDEX('Per Line'!$J$2:$J$6001,$V831))</f>
        <v/>
      </c>
      <c r="I831" s="7">
        <f>IF($V831="","",H831*S831/100)</f>
        <v/>
      </c>
      <c r="J831">
        <f>IF($V831="","",INDEX('Per Line'!$S$2:$S$6001,$V831)&amp;"")</f>
        <v/>
      </c>
      <c r="K831" s="7">
        <f>IF($V831="","",SUMIFS('Per Line'!$R$2:$R$6001,'Per Line'!$C$2:$C$6001,$B831,'Per Line'!$AJ$2:$AJ$6001,1))</f>
        <v/>
      </c>
      <c r="L831">
        <f>IF($V831="","",Settings!$C$7)</f>
        <v/>
      </c>
      <c r="M831" s="7">
        <f>IF($V831="","",SUMIFS('Per Line'!$R$2:$R$6001,'Per Line'!$C$2:$C$6001,$B831,'Per Line'!$AI$2:$AI$6001,0,'Per Line'!$AJ$2:$AJ$6001,0))</f>
        <v/>
      </c>
      <c r="N831" s="7">
        <f>IF($V831="","",M831*L831)</f>
        <v/>
      </c>
      <c r="O831">
        <f>IF($V831="","",Settings!$C$6)</f>
        <v/>
      </c>
      <c r="P831" s="7">
        <f>IF($V831="","",SUMIFS('Per Line'!$R$2:$R$6001,'Per Line'!$C$2:$C$6001,$B831,'Per Line'!$AI$2:$AI$6001,1,'Per Line'!$AJ$2:$AJ$6001,0))</f>
        <v/>
      </c>
      <c r="Q831" s="7">
        <f>IF($V831="","",P831*O831)</f>
        <v/>
      </c>
      <c r="R831" s="7">
        <f>IF($V831="","",Q831+N831)</f>
        <v/>
      </c>
      <c r="S831" s="7">
        <f>IF($V831="","",T831-R831)</f>
        <v/>
      </c>
      <c r="T831" s="7">
        <f>IF($V831="","",M831+P831+K831)</f>
        <v/>
      </c>
      <c r="U831" s="7">
        <f>IF($V831="","",T831-R831-I831)</f>
        <v/>
      </c>
      <c r="V831" s="13">
        <f>IF(ROWS($V$2:$V831)&lt;=MAX('Per Line'!$AH$2:$AH$6001),MATCH(ROWS($V$2:$V831),'Per Line'!$AH$2:$AH$6001,0),"")</f>
        <v/>
      </c>
    </row>
    <row r="832">
      <c r="A832" s="12" t="n"/>
      <c r="B832">
        <f>IF($V832="","",INDEX('Per Line'!$C$2:$C$6001,$V832)&amp;"")</f>
        <v/>
      </c>
      <c r="C832" s="11">
        <f>IF($V832="","",INDEX('Per Line'!$D$2:$D$6001,$V832))</f>
        <v/>
      </c>
      <c r="D832">
        <f>IF($V832="","",INDEX('Per Line'!$E$2:$E$6001,$V832)&amp;"")</f>
        <v/>
      </c>
      <c r="E832">
        <f>IF($V832="","",INDEX('Per Line'!$G$2:$G$6001,$V832)&amp;"")</f>
        <v/>
      </c>
      <c r="F832">
        <f>IF($V832="","",INDEX('Per Line'!$H$2:$H$6001,$V832)&amp;"")</f>
        <v/>
      </c>
      <c r="G832">
        <f>IF($V832="","",INDEX('Per Line'!$I$2:$I$6001,$V832)&amp;"")</f>
        <v/>
      </c>
      <c r="H832">
        <f>IF($V832="","",INDEX('Per Line'!$J$2:$J$6001,$V832))</f>
        <v/>
      </c>
      <c r="I832" s="7">
        <f>IF($V832="","",H832*S832/100)</f>
        <v/>
      </c>
      <c r="J832">
        <f>IF($V832="","",INDEX('Per Line'!$S$2:$S$6001,$V832)&amp;"")</f>
        <v/>
      </c>
      <c r="K832" s="7">
        <f>IF($V832="","",SUMIFS('Per Line'!$R$2:$R$6001,'Per Line'!$C$2:$C$6001,$B832,'Per Line'!$AJ$2:$AJ$6001,1))</f>
        <v/>
      </c>
      <c r="L832">
        <f>IF($V832="","",Settings!$C$7)</f>
        <v/>
      </c>
      <c r="M832" s="7">
        <f>IF($V832="","",SUMIFS('Per Line'!$R$2:$R$6001,'Per Line'!$C$2:$C$6001,$B832,'Per Line'!$AI$2:$AI$6001,0,'Per Line'!$AJ$2:$AJ$6001,0))</f>
        <v/>
      </c>
      <c r="N832" s="7">
        <f>IF($V832="","",M832*L832)</f>
        <v/>
      </c>
      <c r="O832">
        <f>IF($V832="","",Settings!$C$6)</f>
        <v/>
      </c>
      <c r="P832" s="7">
        <f>IF($V832="","",SUMIFS('Per Line'!$R$2:$R$6001,'Per Line'!$C$2:$C$6001,$B832,'Per Line'!$AI$2:$AI$6001,1,'Per Line'!$AJ$2:$AJ$6001,0))</f>
        <v/>
      </c>
      <c r="Q832" s="7">
        <f>IF($V832="","",P832*O832)</f>
        <v/>
      </c>
      <c r="R832" s="7">
        <f>IF($V832="","",Q832+N832)</f>
        <v/>
      </c>
      <c r="S832" s="7">
        <f>IF($V832="","",T832-R832)</f>
        <v/>
      </c>
      <c r="T832" s="7">
        <f>IF($V832="","",M832+P832+K832)</f>
        <v/>
      </c>
      <c r="U832" s="7">
        <f>IF($V832="","",T832-R832-I832)</f>
        <v/>
      </c>
      <c r="V832" s="13">
        <f>IF(ROWS($V$2:$V832)&lt;=MAX('Per Line'!$AH$2:$AH$6001),MATCH(ROWS($V$2:$V832),'Per Line'!$AH$2:$AH$6001,0),"")</f>
        <v/>
      </c>
    </row>
    <row r="833">
      <c r="A833" s="12" t="n"/>
      <c r="B833">
        <f>IF($V833="","",INDEX('Per Line'!$C$2:$C$6001,$V833)&amp;"")</f>
        <v/>
      </c>
      <c r="C833" s="11">
        <f>IF($V833="","",INDEX('Per Line'!$D$2:$D$6001,$V833))</f>
        <v/>
      </c>
      <c r="D833">
        <f>IF($V833="","",INDEX('Per Line'!$E$2:$E$6001,$V833)&amp;"")</f>
        <v/>
      </c>
      <c r="E833">
        <f>IF($V833="","",INDEX('Per Line'!$G$2:$G$6001,$V833)&amp;"")</f>
        <v/>
      </c>
      <c r="F833">
        <f>IF($V833="","",INDEX('Per Line'!$H$2:$H$6001,$V833)&amp;"")</f>
        <v/>
      </c>
      <c r="G833">
        <f>IF($V833="","",INDEX('Per Line'!$I$2:$I$6001,$V833)&amp;"")</f>
        <v/>
      </c>
      <c r="H833">
        <f>IF($V833="","",INDEX('Per Line'!$J$2:$J$6001,$V833))</f>
        <v/>
      </c>
      <c r="I833" s="7">
        <f>IF($V833="","",H833*S833/100)</f>
        <v/>
      </c>
      <c r="J833">
        <f>IF($V833="","",INDEX('Per Line'!$S$2:$S$6001,$V833)&amp;"")</f>
        <v/>
      </c>
      <c r="K833" s="7">
        <f>IF($V833="","",SUMIFS('Per Line'!$R$2:$R$6001,'Per Line'!$C$2:$C$6001,$B833,'Per Line'!$AJ$2:$AJ$6001,1))</f>
        <v/>
      </c>
      <c r="L833">
        <f>IF($V833="","",Settings!$C$7)</f>
        <v/>
      </c>
      <c r="M833" s="7">
        <f>IF($V833="","",SUMIFS('Per Line'!$R$2:$R$6001,'Per Line'!$C$2:$C$6001,$B833,'Per Line'!$AI$2:$AI$6001,0,'Per Line'!$AJ$2:$AJ$6001,0))</f>
        <v/>
      </c>
      <c r="N833" s="7">
        <f>IF($V833="","",M833*L833)</f>
        <v/>
      </c>
      <c r="O833">
        <f>IF($V833="","",Settings!$C$6)</f>
        <v/>
      </c>
      <c r="P833" s="7">
        <f>IF($V833="","",SUMIFS('Per Line'!$R$2:$R$6001,'Per Line'!$C$2:$C$6001,$B833,'Per Line'!$AI$2:$AI$6001,1,'Per Line'!$AJ$2:$AJ$6001,0))</f>
        <v/>
      </c>
      <c r="Q833" s="7">
        <f>IF($V833="","",P833*O833)</f>
        <v/>
      </c>
      <c r="R833" s="7">
        <f>IF($V833="","",Q833+N833)</f>
        <v/>
      </c>
      <c r="S833" s="7">
        <f>IF($V833="","",T833-R833)</f>
        <v/>
      </c>
      <c r="T833" s="7">
        <f>IF($V833="","",M833+P833+K833)</f>
        <v/>
      </c>
      <c r="U833" s="7">
        <f>IF($V833="","",T833-R833-I833)</f>
        <v/>
      </c>
      <c r="V833" s="13">
        <f>IF(ROWS($V$2:$V833)&lt;=MAX('Per Line'!$AH$2:$AH$6001),MATCH(ROWS($V$2:$V833),'Per Line'!$AH$2:$AH$6001,0),"")</f>
        <v/>
      </c>
    </row>
    <row r="834">
      <c r="A834" s="12" t="n"/>
      <c r="B834">
        <f>IF($V834="","",INDEX('Per Line'!$C$2:$C$6001,$V834)&amp;"")</f>
        <v/>
      </c>
      <c r="C834" s="11">
        <f>IF($V834="","",INDEX('Per Line'!$D$2:$D$6001,$V834))</f>
        <v/>
      </c>
      <c r="D834">
        <f>IF($V834="","",INDEX('Per Line'!$E$2:$E$6001,$V834)&amp;"")</f>
        <v/>
      </c>
      <c r="E834">
        <f>IF($V834="","",INDEX('Per Line'!$G$2:$G$6001,$V834)&amp;"")</f>
        <v/>
      </c>
      <c r="F834">
        <f>IF($V834="","",INDEX('Per Line'!$H$2:$H$6001,$V834)&amp;"")</f>
        <v/>
      </c>
      <c r="G834">
        <f>IF($V834="","",INDEX('Per Line'!$I$2:$I$6001,$V834)&amp;"")</f>
        <v/>
      </c>
      <c r="H834">
        <f>IF($V834="","",INDEX('Per Line'!$J$2:$J$6001,$V834))</f>
        <v/>
      </c>
      <c r="I834" s="7">
        <f>IF($V834="","",H834*S834/100)</f>
        <v/>
      </c>
      <c r="J834">
        <f>IF($V834="","",INDEX('Per Line'!$S$2:$S$6001,$V834)&amp;"")</f>
        <v/>
      </c>
      <c r="K834" s="7">
        <f>IF($V834="","",SUMIFS('Per Line'!$R$2:$R$6001,'Per Line'!$C$2:$C$6001,$B834,'Per Line'!$AJ$2:$AJ$6001,1))</f>
        <v/>
      </c>
      <c r="L834">
        <f>IF($V834="","",Settings!$C$7)</f>
        <v/>
      </c>
      <c r="M834" s="7">
        <f>IF($V834="","",SUMIFS('Per Line'!$R$2:$R$6001,'Per Line'!$C$2:$C$6001,$B834,'Per Line'!$AI$2:$AI$6001,0,'Per Line'!$AJ$2:$AJ$6001,0))</f>
        <v/>
      </c>
      <c r="N834" s="7">
        <f>IF($V834="","",M834*L834)</f>
        <v/>
      </c>
      <c r="O834">
        <f>IF($V834="","",Settings!$C$6)</f>
        <v/>
      </c>
      <c r="P834" s="7">
        <f>IF($V834="","",SUMIFS('Per Line'!$R$2:$R$6001,'Per Line'!$C$2:$C$6001,$B834,'Per Line'!$AI$2:$AI$6001,1,'Per Line'!$AJ$2:$AJ$6001,0))</f>
        <v/>
      </c>
      <c r="Q834" s="7">
        <f>IF($V834="","",P834*O834)</f>
        <v/>
      </c>
      <c r="R834" s="7">
        <f>IF($V834="","",Q834+N834)</f>
        <v/>
      </c>
      <c r="S834" s="7">
        <f>IF($V834="","",T834-R834)</f>
        <v/>
      </c>
      <c r="T834" s="7">
        <f>IF($V834="","",M834+P834+K834)</f>
        <v/>
      </c>
      <c r="U834" s="7">
        <f>IF($V834="","",T834-R834-I834)</f>
        <v/>
      </c>
      <c r="V834" s="13">
        <f>IF(ROWS($V$2:$V834)&lt;=MAX('Per Line'!$AH$2:$AH$6001),MATCH(ROWS($V$2:$V834),'Per Line'!$AH$2:$AH$6001,0),"")</f>
        <v/>
      </c>
    </row>
    <row r="835">
      <c r="A835" s="12" t="n"/>
      <c r="B835">
        <f>IF($V835="","",INDEX('Per Line'!$C$2:$C$6001,$V835)&amp;"")</f>
        <v/>
      </c>
      <c r="C835" s="11">
        <f>IF($V835="","",INDEX('Per Line'!$D$2:$D$6001,$V835))</f>
        <v/>
      </c>
      <c r="D835">
        <f>IF($V835="","",INDEX('Per Line'!$E$2:$E$6001,$V835)&amp;"")</f>
        <v/>
      </c>
      <c r="E835">
        <f>IF($V835="","",INDEX('Per Line'!$G$2:$G$6001,$V835)&amp;"")</f>
        <v/>
      </c>
      <c r="F835">
        <f>IF($V835="","",INDEX('Per Line'!$H$2:$H$6001,$V835)&amp;"")</f>
        <v/>
      </c>
      <c r="G835">
        <f>IF($V835="","",INDEX('Per Line'!$I$2:$I$6001,$V835)&amp;"")</f>
        <v/>
      </c>
      <c r="H835">
        <f>IF($V835="","",INDEX('Per Line'!$J$2:$J$6001,$V835))</f>
        <v/>
      </c>
      <c r="I835" s="7">
        <f>IF($V835="","",H835*S835/100)</f>
        <v/>
      </c>
      <c r="J835">
        <f>IF($V835="","",INDEX('Per Line'!$S$2:$S$6001,$V835)&amp;"")</f>
        <v/>
      </c>
      <c r="K835" s="7">
        <f>IF($V835="","",SUMIFS('Per Line'!$R$2:$R$6001,'Per Line'!$C$2:$C$6001,$B835,'Per Line'!$AJ$2:$AJ$6001,1))</f>
        <v/>
      </c>
      <c r="L835">
        <f>IF($V835="","",Settings!$C$7)</f>
        <v/>
      </c>
      <c r="M835" s="7">
        <f>IF($V835="","",SUMIFS('Per Line'!$R$2:$R$6001,'Per Line'!$C$2:$C$6001,$B835,'Per Line'!$AI$2:$AI$6001,0,'Per Line'!$AJ$2:$AJ$6001,0))</f>
        <v/>
      </c>
      <c r="N835" s="7">
        <f>IF($V835="","",M835*L835)</f>
        <v/>
      </c>
      <c r="O835">
        <f>IF($V835="","",Settings!$C$6)</f>
        <v/>
      </c>
      <c r="P835" s="7">
        <f>IF($V835="","",SUMIFS('Per Line'!$R$2:$R$6001,'Per Line'!$C$2:$C$6001,$B835,'Per Line'!$AI$2:$AI$6001,1,'Per Line'!$AJ$2:$AJ$6001,0))</f>
        <v/>
      </c>
      <c r="Q835" s="7">
        <f>IF($V835="","",P835*O835)</f>
        <v/>
      </c>
      <c r="R835" s="7">
        <f>IF($V835="","",Q835+N835)</f>
        <v/>
      </c>
      <c r="S835" s="7">
        <f>IF($V835="","",T835-R835)</f>
        <v/>
      </c>
      <c r="T835" s="7">
        <f>IF($V835="","",M835+P835+K835)</f>
        <v/>
      </c>
      <c r="U835" s="7">
        <f>IF($V835="","",T835-R835-I835)</f>
        <v/>
      </c>
      <c r="V835" s="13">
        <f>IF(ROWS($V$2:$V835)&lt;=MAX('Per Line'!$AH$2:$AH$6001),MATCH(ROWS($V$2:$V835),'Per Line'!$AH$2:$AH$6001,0),"")</f>
        <v/>
      </c>
    </row>
    <row r="836">
      <c r="A836" s="12" t="n"/>
      <c r="B836">
        <f>IF($V836="","",INDEX('Per Line'!$C$2:$C$6001,$V836)&amp;"")</f>
        <v/>
      </c>
      <c r="C836" s="11">
        <f>IF($V836="","",INDEX('Per Line'!$D$2:$D$6001,$V836))</f>
        <v/>
      </c>
      <c r="D836">
        <f>IF($V836="","",INDEX('Per Line'!$E$2:$E$6001,$V836)&amp;"")</f>
        <v/>
      </c>
      <c r="E836">
        <f>IF($V836="","",INDEX('Per Line'!$G$2:$G$6001,$V836)&amp;"")</f>
        <v/>
      </c>
      <c r="F836">
        <f>IF($V836="","",INDEX('Per Line'!$H$2:$H$6001,$V836)&amp;"")</f>
        <v/>
      </c>
      <c r="G836">
        <f>IF($V836="","",INDEX('Per Line'!$I$2:$I$6001,$V836)&amp;"")</f>
        <v/>
      </c>
      <c r="H836">
        <f>IF($V836="","",INDEX('Per Line'!$J$2:$J$6001,$V836))</f>
        <v/>
      </c>
      <c r="I836" s="7">
        <f>IF($V836="","",H836*S836/100)</f>
        <v/>
      </c>
      <c r="J836">
        <f>IF($V836="","",INDEX('Per Line'!$S$2:$S$6001,$V836)&amp;"")</f>
        <v/>
      </c>
      <c r="K836" s="7">
        <f>IF($V836="","",SUMIFS('Per Line'!$R$2:$R$6001,'Per Line'!$C$2:$C$6001,$B836,'Per Line'!$AJ$2:$AJ$6001,1))</f>
        <v/>
      </c>
      <c r="L836">
        <f>IF($V836="","",Settings!$C$7)</f>
        <v/>
      </c>
      <c r="M836" s="7">
        <f>IF($V836="","",SUMIFS('Per Line'!$R$2:$R$6001,'Per Line'!$C$2:$C$6001,$B836,'Per Line'!$AI$2:$AI$6001,0,'Per Line'!$AJ$2:$AJ$6001,0))</f>
        <v/>
      </c>
      <c r="N836" s="7">
        <f>IF($V836="","",M836*L836)</f>
        <v/>
      </c>
      <c r="O836">
        <f>IF($V836="","",Settings!$C$6)</f>
        <v/>
      </c>
      <c r="P836" s="7">
        <f>IF($V836="","",SUMIFS('Per Line'!$R$2:$R$6001,'Per Line'!$C$2:$C$6001,$B836,'Per Line'!$AI$2:$AI$6001,1,'Per Line'!$AJ$2:$AJ$6001,0))</f>
        <v/>
      </c>
      <c r="Q836" s="7">
        <f>IF($V836="","",P836*O836)</f>
        <v/>
      </c>
      <c r="R836" s="7">
        <f>IF($V836="","",Q836+N836)</f>
        <v/>
      </c>
      <c r="S836" s="7">
        <f>IF($V836="","",T836-R836)</f>
        <v/>
      </c>
      <c r="T836" s="7">
        <f>IF($V836="","",M836+P836+K836)</f>
        <v/>
      </c>
      <c r="U836" s="7">
        <f>IF($V836="","",T836-R836-I836)</f>
        <v/>
      </c>
      <c r="V836" s="13">
        <f>IF(ROWS($V$2:$V836)&lt;=MAX('Per Line'!$AH$2:$AH$6001),MATCH(ROWS($V$2:$V836),'Per Line'!$AH$2:$AH$6001,0),"")</f>
        <v/>
      </c>
    </row>
    <row r="837">
      <c r="A837" s="12" t="n"/>
      <c r="B837">
        <f>IF($V837="","",INDEX('Per Line'!$C$2:$C$6001,$V837)&amp;"")</f>
        <v/>
      </c>
      <c r="C837" s="11">
        <f>IF($V837="","",INDEX('Per Line'!$D$2:$D$6001,$V837))</f>
        <v/>
      </c>
      <c r="D837">
        <f>IF($V837="","",INDEX('Per Line'!$E$2:$E$6001,$V837)&amp;"")</f>
        <v/>
      </c>
      <c r="E837">
        <f>IF($V837="","",INDEX('Per Line'!$G$2:$G$6001,$V837)&amp;"")</f>
        <v/>
      </c>
      <c r="F837">
        <f>IF($V837="","",INDEX('Per Line'!$H$2:$H$6001,$V837)&amp;"")</f>
        <v/>
      </c>
      <c r="G837">
        <f>IF($V837="","",INDEX('Per Line'!$I$2:$I$6001,$V837)&amp;"")</f>
        <v/>
      </c>
      <c r="H837">
        <f>IF($V837="","",INDEX('Per Line'!$J$2:$J$6001,$V837))</f>
        <v/>
      </c>
      <c r="I837" s="7">
        <f>IF($V837="","",H837*S837/100)</f>
        <v/>
      </c>
      <c r="J837">
        <f>IF($V837="","",INDEX('Per Line'!$S$2:$S$6001,$V837)&amp;"")</f>
        <v/>
      </c>
      <c r="K837" s="7">
        <f>IF($V837="","",SUMIFS('Per Line'!$R$2:$R$6001,'Per Line'!$C$2:$C$6001,$B837,'Per Line'!$AJ$2:$AJ$6001,1))</f>
        <v/>
      </c>
      <c r="L837">
        <f>IF($V837="","",Settings!$C$7)</f>
        <v/>
      </c>
      <c r="M837" s="7">
        <f>IF($V837="","",SUMIFS('Per Line'!$R$2:$R$6001,'Per Line'!$C$2:$C$6001,$B837,'Per Line'!$AI$2:$AI$6001,0,'Per Line'!$AJ$2:$AJ$6001,0))</f>
        <v/>
      </c>
      <c r="N837" s="7">
        <f>IF($V837="","",M837*L837)</f>
        <v/>
      </c>
      <c r="O837">
        <f>IF($V837="","",Settings!$C$6)</f>
        <v/>
      </c>
      <c r="P837" s="7">
        <f>IF($V837="","",SUMIFS('Per Line'!$R$2:$R$6001,'Per Line'!$C$2:$C$6001,$B837,'Per Line'!$AI$2:$AI$6001,1,'Per Line'!$AJ$2:$AJ$6001,0))</f>
        <v/>
      </c>
      <c r="Q837" s="7">
        <f>IF($V837="","",P837*O837)</f>
        <v/>
      </c>
      <c r="R837" s="7">
        <f>IF($V837="","",Q837+N837)</f>
        <v/>
      </c>
      <c r="S837" s="7">
        <f>IF($V837="","",T837-R837)</f>
        <v/>
      </c>
      <c r="T837" s="7">
        <f>IF($V837="","",M837+P837+K837)</f>
        <v/>
      </c>
      <c r="U837" s="7">
        <f>IF($V837="","",T837-R837-I837)</f>
        <v/>
      </c>
      <c r="V837" s="13">
        <f>IF(ROWS($V$2:$V837)&lt;=MAX('Per Line'!$AH$2:$AH$6001),MATCH(ROWS($V$2:$V837),'Per Line'!$AH$2:$AH$6001,0),"")</f>
        <v/>
      </c>
    </row>
    <row r="838">
      <c r="A838" s="12" t="n"/>
      <c r="B838">
        <f>IF($V838="","",INDEX('Per Line'!$C$2:$C$6001,$V838)&amp;"")</f>
        <v/>
      </c>
      <c r="C838" s="11">
        <f>IF($V838="","",INDEX('Per Line'!$D$2:$D$6001,$V838))</f>
        <v/>
      </c>
      <c r="D838">
        <f>IF($V838="","",INDEX('Per Line'!$E$2:$E$6001,$V838)&amp;"")</f>
        <v/>
      </c>
      <c r="E838">
        <f>IF($V838="","",INDEX('Per Line'!$G$2:$G$6001,$V838)&amp;"")</f>
        <v/>
      </c>
      <c r="F838">
        <f>IF($V838="","",INDEX('Per Line'!$H$2:$H$6001,$V838)&amp;"")</f>
        <v/>
      </c>
      <c r="G838">
        <f>IF($V838="","",INDEX('Per Line'!$I$2:$I$6001,$V838)&amp;"")</f>
        <v/>
      </c>
      <c r="H838">
        <f>IF($V838="","",INDEX('Per Line'!$J$2:$J$6001,$V838))</f>
        <v/>
      </c>
      <c r="I838" s="7">
        <f>IF($V838="","",H838*S838/100)</f>
        <v/>
      </c>
      <c r="J838">
        <f>IF($V838="","",INDEX('Per Line'!$S$2:$S$6001,$V838)&amp;"")</f>
        <v/>
      </c>
      <c r="K838" s="7">
        <f>IF($V838="","",SUMIFS('Per Line'!$R$2:$R$6001,'Per Line'!$C$2:$C$6001,$B838,'Per Line'!$AJ$2:$AJ$6001,1))</f>
        <v/>
      </c>
      <c r="L838">
        <f>IF($V838="","",Settings!$C$7)</f>
        <v/>
      </c>
      <c r="M838" s="7">
        <f>IF($V838="","",SUMIFS('Per Line'!$R$2:$R$6001,'Per Line'!$C$2:$C$6001,$B838,'Per Line'!$AI$2:$AI$6001,0,'Per Line'!$AJ$2:$AJ$6001,0))</f>
        <v/>
      </c>
      <c r="N838" s="7">
        <f>IF($V838="","",M838*L838)</f>
        <v/>
      </c>
      <c r="O838">
        <f>IF($V838="","",Settings!$C$6)</f>
        <v/>
      </c>
      <c r="P838" s="7">
        <f>IF($V838="","",SUMIFS('Per Line'!$R$2:$R$6001,'Per Line'!$C$2:$C$6001,$B838,'Per Line'!$AI$2:$AI$6001,1,'Per Line'!$AJ$2:$AJ$6001,0))</f>
        <v/>
      </c>
      <c r="Q838" s="7">
        <f>IF($V838="","",P838*O838)</f>
        <v/>
      </c>
      <c r="R838" s="7">
        <f>IF($V838="","",Q838+N838)</f>
        <v/>
      </c>
      <c r="S838" s="7">
        <f>IF($V838="","",T838-R838)</f>
        <v/>
      </c>
      <c r="T838" s="7">
        <f>IF($V838="","",M838+P838+K838)</f>
        <v/>
      </c>
      <c r="U838" s="7">
        <f>IF($V838="","",T838-R838-I838)</f>
        <v/>
      </c>
      <c r="V838" s="13">
        <f>IF(ROWS($V$2:$V838)&lt;=MAX('Per Line'!$AH$2:$AH$6001),MATCH(ROWS($V$2:$V838),'Per Line'!$AH$2:$AH$6001,0),"")</f>
        <v/>
      </c>
    </row>
    <row r="839">
      <c r="A839" s="12" t="n"/>
      <c r="B839">
        <f>IF($V839="","",INDEX('Per Line'!$C$2:$C$6001,$V839)&amp;"")</f>
        <v/>
      </c>
      <c r="C839" s="11">
        <f>IF($V839="","",INDEX('Per Line'!$D$2:$D$6001,$V839))</f>
        <v/>
      </c>
      <c r="D839">
        <f>IF($V839="","",INDEX('Per Line'!$E$2:$E$6001,$V839)&amp;"")</f>
        <v/>
      </c>
      <c r="E839">
        <f>IF($V839="","",INDEX('Per Line'!$G$2:$G$6001,$V839)&amp;"")</f>
        <v/>
      </c>
      <c r="F839">
        <f>IF($V839="","",INDEX('Per Line'!$H$2:$H$6001,$V839)&amp;"")</f>
        <v/>
      </c>
      <c r="G839">
        <f>IF($V839="","",INDEX('Per Line'!$I$2:$I$6001,$V839)&amp;"")</f>
        <v/>
      </c>
      <c r="H839">
        <f>IF($V839="","",INDEX('Per Line'!$J$2:$J$6001,$V839))</f>
        <v/>
      </c>
      <c r="I839" s="7">
        <f>IF($V839="","",H839*S839/100)</f>
        <v/>
      </c>
      <c r="J839">
        <f>IF($V839="","",INDEX('Per Line'!$S$2:$S$6001,$V839)&amp;"")</f>
        <v/>
      </c>
      <c r="K839" s="7">
        <f>IF($V839="","",SUMIFS('Per Line'!$R$2:$R$6001,'Per Line'!$C$2:$C$6001,$B839,'Per Line'!$AJ$2:$AJ$6001,1))</f>
        <v/>
      </c>
      <c r="L839">
        <f>IF($V839="","",Settings!$C$7)</f>
        <v/>
      </c>
      <c r="M839" s="7">
        <f>IF($V839="","",SUMIFS('Per Line'!$R$2:$R$6001,'Per Line'!$C$2:$C$6001,$B839,'Per Line'!$AI$2:$AI$6001,0,'Per Line'!$AJ$2:$AJ$6001,0))</f>
        <v/>
      </c>
      <c r="N839" s="7">
        <f>IF($V839="","",M839*L839)</f>
        <v/>
      </c>
      <c r="O839">
        <f>IF($V839="","",Settings!$C$6)</f>
        <v/>
      </c>
      <c r="P839" s="7">
        <f>IF($V839="","",SUMIFS('Per Line'!$R$2:$R$6001,'Per Line'!$C$2:$C$6001,$B839,'Per Line'!$AI$2:$AI$6001,1,'Per Line'!$AJ$2:$AJ$6001,0))</f>
        <v/>
      </c>
      <c r="Q839" s="7">
        <f>IF($V839="","",P839*O839)</f>
        <v/>
      </c>
      <c r="R839" s="7">
        <f>IF($V839="","",Q839+N839)</f>
        <v/>
      </c>
      <c r="S839" s="7">
        <f>IF($V839="","",T839-R839)</f>
        <v/>
      </c>
      <c r="T839" s="7">
        <f>IF($V839="","",M839+P839+K839)</f>
        <v/>
      </c>
      <c r="U839" s="7">
        <f>IF($V839="","",T839-R839-I839)</f>
        <v/>
      </c>
      <c r="V839" s="13">
        <f>IF(ROWS($V$2:$V839)&lt;=MAX('Per Line'!$AH$2:$AH$6001),MATCH(ROWS($V$2:$V839),'Per Line'!$AH$2:$AH$6001,0),"")</f>
        <v/>
      </c>
    </row>
    <row r="840">
      <c r="A840" s="12" t="n"/>
      <c r="B840">
        <f>IF($V840="","",INDEX('Per Line'!$C$2:$C$6001,$V840)&amp;"")</f>
        <v/>
      </c>
      <c r="C840" s="11">
        <f>IF($V840="","",INDEX('Per Line'!$D$2:$D$6001,$V840))</f>
        <v/>
      </c>
      <c r="D840">
        <f>IF($V840="","",INDEX('Per Line'!$E$2:$E$6001,$V840)&amp;"")</f>
        <v/>
      </c>
      <c r="E840">
        <f>IF($V840="","",INDEX('Per Line'!$G$2:$G$6001,$V840)&amp;"")</f>
        <v/>
      </c>
      <c r="F840">
        <f>IF($V840="","",INDEX('Per Line'!$H$2:$H$6001,$V840)&amp;"")</f>
        <v/>
      </c>
      <c r="G840">
        <f>IF($V840="","",INDEX('Per Line'!$I$2:$I$6001,$V840)&amp;"")</f>
        <v/>
      </c>
      <c r="H840">
        <f>IF($V840="","",INDEX('Per Line'!$J$2:$J$6001,$V840))</f>
        <v/>
      </c>
      <c r="I840" s="7">
        <f>IF($V840="","",H840*S840/100)</f>
        <v/>
      </c>
      <c r="J840">
        <f>IF($V840="","",INDEX('Per Line'!$S$2:$S$6001,$V840)&amp;"")</f>
        <v/>
      </c>
      <c r="K840" s="7">
        <f>IF($V840="","",SUMIFS('Per Line'!$R$2:$R$6001,'Per Line'!$C$2:$C$6001,$B840,'Per Line'!$AJ$2:$AJ$6001,1))</f>
        <v/>
      </c>
      <c r="L840">
        <f>IF($V840="","",Settings!$C$7)</f>
        <v/>
      </c>
      <c r="M840" s="7">
        <f>IF($V840="","",SUMIFS('Per Line'!$R$2:$R$6001,'Per Line'!$C$2:$C$6001,$B840,'Per Line'!$AI$2:$AI$6001,0,'Per Line'!$AJ$2:$AJ$6001,0))</f>
        <v/>
      </c>
      <c r="N840" s="7">
        <f>IF($V840="","",M840*L840)</f>
        <v/>
      </c>
      <c r="O840">
        <f>IF($V840="","",Settings!$C$6)</f>
        <v/>
      </c>
      <c r="P840" s="7">
        <f>IF($V840="","",SUMIFS('Per Line'!$R$2:$R$6001,'Per Line'!$C$2:$C$6001,$B840,'Per Line'!$AI$2:$AI$6001,1,'Per Line'!$AJ$2:$AJ$6001,0))</f>
        <v/>
      </c>
      <c r="Q840" s="7">
        <f>IF($V840="","",P840*O840)</f>
        <v/>
      </c>
      <c r="R840" s="7">
        <f>IF($V840="","",Q840+N840)</f>
        <v/>
      </c>
      <c r="S840" s="7">
        <f>IF($V840="","",T840-R840)</f>
        <v/>
      </c>
      <c r="T840" s="7">
        <f>IF($V840="","",M840+P840+K840)</f>
        <v/>
      </c>
      <c r="U840" s="7">
        <f>IF($V840="","",T840-R840-I840)</f>
        <v/>
      </c>
      <c r="V840" s="13">
        <f>IF(ROWS($V$2:$V840)&lt;=MAX('Per Line'!$AH$2:$AH$6001),MATCH(ROWS($V$2:$V840),'Per Line'!$AH$2:$AH$6001,0),"")</f>
        <v/>
      </c>
    </row>
    <row r="841">
      <c r="A841" s="12" t="n"/>
      <c r="B841">
        <f>IF($V841="","",INDEX('Per Line'!$C$2:$C$6001,$V841)&amp;"")</f>
        <v/>
      </c>
      <c r="C841" s="11">
        <f>IF($V841="","",INDEX('Per Line'!$D$2:$D$6001,$V841))</f>
        <v/>
      </c>
      <c r="D841">
        <f>IF($V841="","",INDEX('Per Line'!$E$2:$E$6001,$V841)&amp;"")</f>
        <v/>
      </c>
      <c r="E841">
        <f>IF($V841="","",INDEX('Per Line'!$G$2:$G$6001,$V841)&amp;"")</f>
        <v/>
      </c>
      <c r="F841">
        <f>IF($V841="","",INDEX('Per Line'!$H$2:$H$6001,$V841)&amp;"")</f>
        <v/>
      </c>
      <c r="G841">
        <f>IF($V841="","",INDEX('Per Line'!$I$2:$I$6001,$V841)&amp;"")</f>
        <v/>
      </c>
      <c r="H841">
        <f>IF($V841="","",INDEX('Per Line'!$J$2:$J$6001,$V841))</f>
        <v/>
      </c>
      <c r="I841" s="7">
        <f>IF($V841="","",H841*S841/100)</f>
        <v/>
      </c>
      <c r="J841">
        <f>IF($V841="","",INDEX('Per Line'!$S$2:$S$6001,$V841)&amp;"")</f>
        <v/>
      </c>
      <c r="K841" s="7">
        <f>IF($V841="","",SUMIFS('Per Line'!$R$2:$R$6001,'Per Line'!$C$2:$C$6001,$B841,'Per Line'!$AJ$2:$AJ$6001,1))</f>
        <v/>
      </c>
      <c r="L841">
        <f>IF($V841="","",Settings!$C$7)</f>
        <v/>
      </c>
      <c r="M841" s="7">
        <f>IF($V841="","",SUMIFS('Per Line'!$R$2:$R$6001,'Per Line'!$C$2:$C$6001,$B841,'Per Line'!$AI$2:$AI$6001,0,'Per Line'!$AJ$2:$AJ$6001,0))</f>
        <v/>
      </c>
      <c r="N841" s="7">
        <f>IF($V841="","",M841*L841)</f>
        <v/>
      </c>
      <c r="O841">
        <f>IF($V841="","",Settings!$C$6)</f>
        <v/>
      </c>
      <c r="P841" s="7">
        <f>IF($V841="","",SUMIFS('Per Line'!$R$2:$R$6001,'Per Line'!$C$2:$C$6001,$B841,'Per Line'!$AI$2:$AI$6001,1,'Per Line'!$AJ$2:$AJ$6001,0))</f>
        <v/>
      </c>
      <c r="Q841" s="7">
        <f>IF($V841="","",P841*O841)</f>
        <v/>
      </c>
      <c r="R841" s="7">
        <f>IF($V841="","",Q841+N841)</f>
        <v/>
      </c>
      <c r="S841" s="7">
        <f>IF($V841="","",T841-R841)</f>
        <v/>
      </c>
      <c r="T841" s="7">
        <f>IF($V841="","",M841+P841+K841)</f>
        <v/>
      </c>
      <c r="U841" s="7">
        <f>IF($V841="","",T841-R841-I841)</f>
        <v/>
      </c>
      <c r="V841" s="13">
        <f>IF(ROWS($V$2:$V841)&lt;=MAX('Per Line'!$AH$2:$AH$6001),MATCH(ROWS($V$2:$V841),'Per Line'!$AH$2:$AH$6001,0),"")</f>
        <v/>
      </c>
    </row>
    <row r="842">
      <c r="A842" s="12" t="n"/>
      <c r="B842">
        <f>IF($V842="","",INDEX('Per Line'!$C$2:$C$6001,$V842)&amp;"")</f>
        <v/>
      </c>
      <c r="C842" s="11">
        <f>IF($V842="","",INDEX('Per Line'!$D$2:$D$6001,$V842))</f>
        <v/>
      </c>
      <c r="D842">
        <f>IF($V842="","",INDEX('Per Line'!$E$2:$E$6001,$V842)&amp;"")</f>
        <v/>
      </c>
      <c r="E842">
        <f>IF($V842="","",INDEX('Per Line'!$G$2:$G$6001,$V842)&amp;"")</f>
        <v/>
      </c>
      <c r="F842">
        <f>IF($V842="","",INDEX('Per Line'!$H$2:$H$6001,$V842)&amp;"")</f>
        <v/>
      </c>
      <c r="G842">
        <f>IF($V842="","",INDEX('Per Line'!$I$2:$I$6001,$V842)&amp;"")</f>
        <v/>
      </c>
      <c r="H842">
        <f>IF($V842="","",INDEX('Per Line'!$J$2:$J$6001,$V842))</f>
        <v/>
      </c>
      <c r="I842" s="7">
        <f>IF($V842="","",H842*S842/100)</f>
        <v/>
      </c>
      <c r="J842">
        <f>IF($V842="","",INDEX('Per Line'!$S$2:$S$6001,$V842)&amp;"")</f>
        <v/>
      </c>
      <c r="K842" s="7">
        <f>IF($V842="","",SUMIFS('Per Line'!$R$2:$R$6001,'Per Line'!$C$2:$C$6001,$B842,'Per Line'!$AJ$2:$AJ$6001,1))</f>
        <v/>
      </c>
      <c r="L842">
        <f>IF($V842="","",Settings!$C$7)</f>
        <v/>
      </c>
      <c r="M842" s="7">
        <f>IF($V842="","",SUMIFS('Per Line'!$R$2:$R$6001,'Per Line'!$C$2:$C$6001,$B842,'Per Line'!$AI$2:$AI$6001,0,'Per Line'!$AJ$2:$AJ$6001,0))</f>
        <v/>
      </c>
      <c r="N842" s="7">
        <f>IF($V842="","",M842*L842)</f>
        <v/>
      </c>
      <c r="O842">
        <f>IF($V842="","",Settings!$C$6)</f>
        <v/>
      </c>
      <c r="P842" s="7">
        <f>IF($V842="","",SUMIFS('Per Line'!$R$2:$R$6001,'Per Line'!$C$2:$C$6001,$B842,'Per Line'!$AI$2:$AI$6001,1,'Per Line'!$AJ$2:$AJ$6001,0))</f>
        <v/>
      </c>
      <c r="Q842" s="7">
        <f>IF($V842="","",P842*O842)</f>
        <v/>
      </c>
      <c r="R842" s="7">
        <f>IF($V842="","",Q842+N842)</f>
        <v/>
      </c>
      <c r="S842" s="7">
        <f>IF($V842="","",T842-R842)</f>
        <v/>
      </c>
      <c r="T842" s="7">
        <f>IF($V842="","",M842+P842+K842)</f>
        <v/>
      </c>
      <c r="U842" s="7">
        <f>IF($V842="","",T842-R842-I842)</f>
        <v/>
      </c>
      <c r="V842" s="13">
        <f>IF(ROWS($V$2:$V842)&lt;=MAX('Per Line'!$AH$2:$AH$6001),MATCH(ROWS($V$2:$V842),'Per Line'!$AH$2:$AH$6001,0),"")</f>
        <v/>
      </c>
    </row>
    <row r="843">
      <c r="A843" s="12" t="n"/>
      <c r="B843">
        <f>IF($V843="","",INDEX('Per Line'!$C$2:$C$6001,$V843)&amp;"")</f>
        <v/>
      </c>
      <c r="C843" s="11">
        <f>IF($V843="","",INDEX('Per Line'!$D$2:$D$6001,$V843))</f>
        <v/>
      </c>
      <c r="D843">
        <f>IF($V843="","",INDEX('Per Line'!$E$2:$E$6001,$V843)&amp;"")</f>
        <v/>
      </c>
      <c r="E843">
        <f>IF($V843="","",INDEX('Per Line'!$G$2:$G$6001,$V843)&amp;"")</f>
        <v/>
      </c>
      <c r="F843">
        <f>IF($V843="","",INDEX('Per Line'!$H$2:$H$6001,$V843)&amp;"")</f>
        <v/>
      </c>
      <c r="G843">
        <f>IF($V843="","",INDEX('Per Line'!$I$2:$I$6001,$V843)&amp;"")</f>
        <v/>
      </c>
      <c r="H843">
        <f>IF($V843="","",INDEX('Per Line'!$J$2:$J$6001,$V843))</f>
        <v/>
      </c>
      <c r="I843" s="7">
        <f>IF($V843="","",H843*S843/100)</f>
        <v/>
      </c>
      <c r="J843">
        <f>IF($V843="","",INDEX('Per Line'!$S$2:$S$6001,$V843)&amp;"")</f>
        <v/>
      </c>
      <c r="K843" s="7">
        <f>IF($V843="","",SUMIFS('Per Line'!$R$2:$R$6001,'Per Line'!$C$2:$C$6001,$B843,'Per Line'!$AJ$2:$AJ$6001,1))</f>
        <v/>
      </c>
      <c r="L843">
        <f>IF($V843="","",Settings!$C$7)</f>
        <v/>
      </c>
      <c r="M843" s="7">
        <f>IF($V843="","",SUMIFS('Per Line'!$R$2:$R$6001,'Per Line'!$C$2:$C$6001,$B843,'Per Line'!$AI$2:$AI$6001,0,'Per Line'!$AJ$2:$AJ$6001,0))</f>
        <v/>
      </c>
      <c r="N843" s="7">
        <f>IF($V843="","",M843*L843)</f>
        <v/>
      </c>
      <c r="O843">
        <f>IF($V843="","",Settings!$C$6)</f>
        <v/>
      </c>
      <c r="P843" s="7">
        <f>IF($V843="","",SUMIFS('Per Line'!$R$2:$R$6001,'Per Line'!$C$2:$C$6001,$B843,'Per Line'!$AI$2:$AI$6001,1,'Per Line'!$AJ$2:$AJ$6001,0))</f>
        <v/>
      </c>
      <c r="Q843" s="7">
        <f>IF($V843="","",P843*O843)</f>
        <v/>
      </c>
      <c r="R843" s="7">
        <f>IF($V843="","",Q843+N843)</f>
        <v/>
      </c>
      <c r="S843" s="7">
        <f>IF($V843="","",T843-R843)</f>
        <v/>
      </c>
      <c r="T843" s="7">
        <f>IF($V843="","",M843+P843+K843)</f>
        <v/>
      </c>
      <c r="U843" s="7">
        <f>IF($V843="","",T843-R843-I843)</f>
        <v/>
      </c>
      <c r="V843" s="13">
        <f>IF(ROWS($V$2:$V843)&lt;=MAX('Per Line'!$AH$2:$AH$6001),MATCH(ROWS($V$2:$V843),'Per Line'!$AH$2:$AH$6001,0),"")</f>
        <v/>
      </c>
    </row>
    <row r="844">
      <c r="A844" s="12" t="n"/>
      <c r="B844">
        <f>IF($V844="","",INDEX('Per Line'!$C$2:$C$6001,$V844)&amp;"")</f>
        <v/>
      </c>
      <c r="C844" s="11">
        <f>IF($V844="","",INDEX('Per Line'!$D$2:$D$6001,$V844))</f>
        <v/>
      </c>
      <c r="D844">
        <f>IF($V844="","",INDEX('Per Line'!$E$2:$E$6001,$V844)&amp;"")</f>
        <v/>
      </c>
      <c r="E844">
        <f>IF($V844="","",INDEX('Per Line'!$G$2:$G$6001,$V844)&amp;"")</f>
        <v/>
      </c>
      <c r="F844">
        <f>IF($V844="","",INDEX('Per Line'!$H$2:$H$6001,$V844)&amp;"")</f>
        <v/>
      </c>
      <c r="G844">
        <f>IF($V844="","",INDEX('Per Line'!$I$2:$I$6001,$V844)&amp;"")</f>
        <v/>
      </c>
      <c r="H844">
        <f>IF($V844="","",INDEX('Per Line'!$J$2:$J$6001,$V844))</f>
        <v/>
      </c>
      <c r="I844" s="7">
        <f>IF($V844="","",H844*S844/100)</f>
        <v/>
      </c>
      <c r="J844">
        <f>IF($V844="","",INDEX('Per Line'!$S$2:$S$6001,$V844)&amp;"")</f>
        <v/>
      </c>
      <c r="K844" s="7">
        <f>IF($V844="","",SUMIFS('Per Line'!$R$2:$R$6001,'Per Line'!$C$2:$C$6001,$B844,'Per Line'!$AJ$2:$AJ$6001,1))</f>
        <v/>
      </c>
      <c r="L844">
        <f>IF($V844="","",Settings!$C$7)</f>
        <v/>
      </c>
      <c r="M844" s="7">
        <f>IF($V844="","",SUMIFS('Per Line'!$R$2:$R$6001,'Per Line'!$C$2:$C$6001,$B844,'Per Line'!$AI$2:$AI$6001,0,'Per Line'!$AJ$2:$AJ$6001,0))</f>
        <v/>
      </c>
      <c r="N844" s="7">
        <f>IF($V844="","",M844*L844)</f>
        <v/>
      </c>
      <c r="O844">
        <f>IF($V844="","",Settings!$C$6)</f>
        <v/>
      </c>
      <c r="P844" s="7">
        <f>IF($V844="","",SUMIFS('Per Line'!$R$2:$R$6001,'Per Line'!$C$2:$C$6001,$B844,'Per Line'!$AI$2:$AI$6001,1,'Per Line'!$AJ$2:$AJ$6001,0))</f>
        <v/>
      </c>
      <c r="Q844" s="7">
        <f>IF($V844="","",P844*O844)</f>
        <v/>
      </c>
      <c r="R844" s="7">
        <f>IF($V844="","",Q844+N844)</f>
        <v/>
      </c>
      <c r="S844" s="7">
        <f>IF($V844="","",T844-R844)</f>
        <v/>
      </c>
      <c r="T844" s="7">
        <f>IF($V844="","",M844+P844+K844)</f>
        <v/>
      </c>
      <c r="U844" s="7">
        <f>IF($V844="","",T844-R844-I844)</f>
        <v/>
      </c>
      <c r="V844" s="13">
        <f>IF(ROWS($V$2:$V844)&lt;=MAX('Per Line'!$AH$2:$AH$6001),MATCH(ROWS($V$2:$V844),'Per Line'!$AH$2:$AH$6001,0),"")</f>
        <v/>
      </c>
    </row>
    <row r="845">
      <c r="A845" s="12" t="n"/>
      <c r="B845">
        <f>IF($V845="","",INDEX('Per Line'!$C$2:$C$6001,$V845)&amp;"")</f>
        <v/>
      </c>
      <c r="C845" s="11">
        <f>IF($V845="","",INDEX('Per Line'!$D$2:$D$6001,$V845))</f>
        <v/>
      </c>
      <c r="D845">
        <f>IF($V845="","",INDEX('Per Line'!$E$2:$E$6001,$V845)&amp;"")</f>
        <v/>
      </c>
      <c r="E845">
        <f>IF($V845="","",INDEX('Per Line'!$G$2:$G$6001,$V845)&amp;"")</f>
        <v/>
      </c>
      <c r="F845">
        <f>IF($V845="","",INDEX('Per Line'!$H$2:$H$6001,$V845)&amp;"")</f>
        <v/>
      </c>
      <c r="G845">
        <f>IF($V845="","",INDEX('Per Line'!$I$2:$I$6001,$V845)&amp;"")</f>
        <v/>
      </c>
      <c r="H845">
        <f>IF($V845="","",INDEX('Per Line'!$J$2:$J$6001,$V845))</f>
        <v/>
      </c>
      <c r="I845" s="7">
        <f>IF($V845="","",H845*S845/100)</f>
        <v/>
      </c>
      <c r="J845">
        <f>IF($V845="","",INDEX('Per Line'!$S$2:$S$6001,$V845)&amp;"")</f>
        <v/>
      </c>
      <c r="K845" s="7">
        <f>IF($V845="","",SUMIFS('Per Line'!$R$2:$R$6001,'Per Line'!$C$2:$C$6001,$B845,'Per Line'!$AJ$2:$AJ$6001,1))</f>
        <v/>
      </c>
      <c r="L845">
        <f>IF($V845="","",Settings!$C$7)</f>
        <v/>
      </c>
      <c r="M845" s="7">
        <f>IF($V845="","",SUMIFS('Per Line'!$R$2:$R$6001,'Per Line'!$C$2:$C$6001,$B845,'Per Line'!$AI$2:$AI$6001,0,'Per Line'!$AJ$2:$AJ$6001,0))</f>
        <v/>
      </c>
      <c r="N845" s="7">
        <f>IF($V845="","",M845*L845)</f>
        <v/>
      </c>
      <c r="O845">
        <f>IF($V845="","",Settings!$C$6)</f>
        <v/>
      </c>
      <c r="P845" s="7">
        <f>IF($V845="","",SUMIFS('Per Line'!$R$2:$R$6001,'Per Line'!$C$2:$C$6001,$B845,'Per Line'!$AI$2:$AI$6001,1,'Per Line'!$AJ$2:$AJ$6001,0))</f>
        <v/>
      </c>
      <c r="Q845" s="7">
        <f>IF($V845="","",P845*O845)</f>
        <v/>
      </c>
      <c r="R845" s="7">
        <f>IF($V845="","",Q845+N845)</f>
        <v/>
      </c>
      <c r="S845" s="7">
        <f>IF($V845="","",T845-R845)</f>
        <v/>
      </c>
      <c r="T845" s="7">
        <f>IF($V845="","",M845+P845+K845)</f>
        <v/>
      </c>
      <c r="U845" s="7">
        <f>IF($V845="","",T845-R845-I845)</f>
        <v/>
      </c>
      <c r="V845" s="13">
        <f>IF(ROWS($V$2:$V845)&lt;=MAX('Per Line'!$AH$2:$AH$6001),MATCH(ROWS($V$2:$V845),'Per Line'!$AH$2:$AH$6001,0),"")</f>
        <v/>
      </c>
    </row>
    <row r="846">
      <c r="A846" s="12" t="n"/>
      <c r="B846">
        <f>IF($V846="","",INDEX('Per Line'!$C$2:$C$6001,$V846)&amp;"")</f>
        <v/>
      </c>
      <c r="C846" s="11">
        <f>IF($V846="","",INDEX('Per Line'!$D$2:$D$6001,$V846))</f>
        <v/>
      </c>
      <c r="D846">
        <f>IF($V846="","",INDEX('Per Line'!$E$2:$E$6001,$V846)&amp;"")</f>
        <v/>
      </c>
      <c r="E846">
        <f>IF($V846="","",INDEX('Per Line'!$G$2:$G$6001,$V846)&amp;"")</f>
        <v/>
      </c>
      <c r="F846">
        <f>IF($V846="","",INDEX('Per Line'!$H$2:$H$6001,$V846)&amp;"")</f>
        <v/>
      </c>
      <c r="G846">
        <f>IF($V846="","",INDEX('Per Line'!$I$2:$I$6001,$V846)&amp;"")</f>
        <v/>
      </c>
      <c r="H846">
        <f>IF($V846="","",INDEX('Per Line'!$J$2:$J$6001,$V846))</f>
        <v/>
      </c>
      <c r="I846" s="7">
        <f>IF($V846="","",H846*S846/100)</f>
        <v/>
      </c>
      <c r="J846">
        <f>IF($V846="","",INDEX('Per Line'!$S$2:$S$6001,$V846)&amp;"")</f>
        <v/>
      </c>
      <c r="K846" s="7">
        <f>IF($V846="","",SUMIFS('Per Line'!$R$2:$R$6001,'Per Line'!$C$2:$C$6001,$B846,'Per Line'!$AJ$2:$AJ$6001,1))</f>
        <v/>
      </c>
      <c r="L846">
        <f>IF($V846="","",Settings!$C$7)</f>
        <v/>
      </c>
      <c r="M846" s="7">
        <f>IF($V846="","",SUMIFS('Per Line'!$R$2:$R$6001,'Per Line'!$C$2:$C$6001,$B846,'Per Line'!$AI$2:$AI$6001,0,'Per Line'!$AJ$2:$AJ$6001,0))</f>
        <v/>
      </c>
      <c r="N846" s="7">
        <f>IF($V846="","",M846*L846)</f>
        <v/>
      </c>
      <c r="O846">
        <f>IF($V846="","",Settings!$C$6)</f>
        <v/>
      </c>
      <c r="P846" s="7">
        <f>IF($V846="","",SUMIFS('Per Line'!$R$2:$R$6001,'Per Line'!$C$2:$C$6001,$B846,'Per Line'!$AI$2:$AI$6001,1,'Per Line'!$AJ$2:$AJ$6001,0))</f>
        <v/>
      </c>
      <c r="Q846" s="7">
        <f>IF($V846="","",P846*O846)</f>
        <v/>
      </c>
      <c r="R846" s="7">
        <f>IF($V846="","",Q846+N846)</f>
        <v/>
      </c>
      <c r="S846" s="7">
        <f>IF($V846="","",T846-R846)</f>
        <v/>
      </c>
      <c r="T846" s="7">
        <f>IF($V846="","",M846+P846+K846)</f>
        <v/>
      </c>
      <c r="U846" s="7">
        <f>IF($V846="","",T846-R846-I846)</f>
        <v/>
      </c>
      <c r="V846" s="13">
        <f>IF(ROWS($V$2:$V846)&lt;=MAX('Per Line'!$AH$2:$AH$6001),MATCH(ROWS($V$2:$V846),'Per Line'!$AH$2:$AH$6001,0),"")</f>
        <v/>
      </c>
    </row>
    <row r="847">
      <c r="A847" s="12" t="n"/>
      <c r="B847">
        <f>IF($V847="","",INDEX('Per Line'!$C$2:$C$6001,$V847)&amp;"")</f>
        <v/>
      </c>
      <c r="C847" s="11">
        <f>IF($V847="","",INDEX('Per Line'!$D$2:$D$6001,$V847))</f>
        <v/>
      </c>
      <c r="D847">
        <f>IF($V847="","",INDEX('Per Line'!$E$2:$E$6001,$V847)&amp;"")</f>
        <v/>
      </c>
      <c r="E847">
        <f>IF($V847="","",INDEX('Per Line'!$G$2:$G$6001,$V847)&amp;"")</f>
        <v/>
      </c>
      <c r="F847">
        <f>IF($V847="","",INDEX('Per Line'!$H$2:$H$6001,$V847)&amp;"")</f>
        <v/>
      </c>
      <c r="G847">
        <f>IF($V847="","",INDEX('Per Line'!$I$2:$I$6001,$V847)&amp;"")</f>
        <v/>
      </c>
      <c r="H847">
        <f>IF($V847="","",INDEX('Per Line'!$J$2:$J$6001,$V847))</f>
        <v/>
      </c>
      <c r="I847" s="7">
        <f>IF($V847="","",H847*S847/100)</f>
        <v/>
      </c>
      <c r="J847">
        <f>IF($V847="","",INDEX('Per Line'!$S$2:$S$6001,$V847)&amp;"")</f>
        <v/>
      </c>
      <c r="K847" s="7">
        <f>IF($V847="","",SUMIFS('Per Line'!$R$2:$R$6001,'Per Line'!$C$2:$C$6001,$B847,'Per Line'!$AJ$2:$AJ$6001,1))</f>
        <v/>
      </c>
      <c r="L847">
        <f>IF($V847="","",Settings!$C$7)</f>
        <v/>
      </c>
      <c r="M847" s="7">
        <f>IF($V847="","",SUMIFS('Per Line'!$R$2:$R$6001,'Per Line'!$C$2:$C$6001,$B847,'Per Line'!$AI$2:$AI$6001,0,'Per Line'!$AJ$2:$AJ$6001,0))</f>
        <v/>
      </c>
      <c r="N847" s="7">
        <f>IF($V847="","",M847*L847)</f>
        <v/>
      </c>
      <c r="O847">
        <f>IF($V847="","",Settings!$C$6)</f>
        <v/>
      </c>
      <c r="P847" s="7">
        <f>IF($V847="","",SUMIFS('Per Line'!$R$2:$R$6001,'Per Line'!$C$2:$C$6001,$B847,'Per Line'!$AI$2:$AI$6001,1,'Per Line'!$AJ$2:$AJ$6001,0))</f>
        <v/>
      </c>
      <c r="Q847" s="7">
        <f>IF($V847="","",P847*O847)</f>
        <v/>
      </c>
      <c r="R847" s="7">
        <f>IF($V847="","",Q847+N847)</f>
        <v/>
      </c>
      <c r="S847" s="7">
        <f>IF($V847="","",T847-R847)</f>
        <v/>
      </c>
      <c r="T847" s="7">
        <f>IF($V847="","",M847+P847+K847)</f>
        <v/>
      </c>
      <c r="U847" s="7">
        <f>IF($V847="","",T847-R847-I847)</f>
        <v/>
      </c>
      <c r="V847" s="13">
        <f>IF(ROWS($V$2:$V847)&lt;=MAX('Per Line'!$AH$2:$AH$6001),MATCH(ROWS($V$2:$V847),'Per Line'!$AH$2:$AH$6001,0),"")</f>
        <v/>
      </c>
    </row>
    <row r="848">
      <c r="A848" s="12" t="n"/>
      <c r="B848">
        <f>IF($V848="","",INDEX('Per Line'!$C$2:$C$6001,$V848)&amp;"")</f>
        <v/>
      </c>
      <c r="C848" s="11">
        <f>IF($V848="","",INDEX('Per Line'!$D$2:$D$6001,$V848))</f>
        <v/>
      </c>
      <c r="D848">
        <f>IF($V848="","",INDEX('Per Line'!$E$2:$E$6001,$V848)&amp;"")</f>
        <v/>
      </c>
      <c r="E848">
        <f>IF($V848="","",INDEX('Per Line'!$G$2:$G$6001,$V848)&amp;"")</f>
        <v/>
      </c>
      <c r="F848">
        <f>IF($V848="","",INDEX('Per Line'!$H$2:$H$6001,$V848)&amp;"")</f>
        <v/>
      </c>
      <c r="G848">
        <f>IF($V848="","",INDEX('Per Line'!$I$2:$I$6001,$V848)&amp;"")</f>
        <v/>
      </c>
      <c r="H848">
        <f>IF($V848="","",INDEX('Per Line'!$J$2:$J$6001,$V848))</f>
        <v/>
      </c>
      <c r="I848" s="7">
        <f>IF($V848="","",H848*S848/100)</f>
        <v/>
      </c>
      <c r="J848">
        <f>IF($V848="","",INDEX('Per Line'!$S$2:$S$6001,$V848)&amp;"")</f>
        <v/>
      </c>
      <c r="K848" s="7">
        <f>IF($V848="","",SUMIFS('Per Line'!$R$2:$R$6001,'Per Line'!$C$2:$C$6001,$B848,'Per Line'!$AJ$2:$AJ$6001,1))</f>
        <v/>
      </c>
      <c r="L848">
        <f>IF($V848="","",Settings!$C$7)</f>
        <v/>
      </c>
      <c r="M848" s="7">
        <f>IF($V848="","",SUMIFS('Per Line'!$R$2:$R$6001,'Per Line'!$C$2:$C$6001,$B848,'Per Line'!$AI$2:$AI$6001,0,'Per Line'!$AJ$2:$AJ$6001,0))</f>
        <v/>
      </c>
      <c r="N848" s="7">
        <f>IF($V848="","",M848*L848)</f>
        <v/>
      </c>
      <c r="O848">
        <f>IF($V848="","",Settings!$C$6)</f>
        <v/>
      </c>
      <c r="P848" s="7">
        <f>IF($V848="","",SUMIFS('Per Line'!$R$2:$R$6001,'Per Line'!$C$2:$C$6001,$B848,'Per Line'!$AI$2:$AI$6001,1,'Per Line'!$AJ$2:$AJ$6001,0))</f>
        <v/>
      </c>
      <c r="Q848" s="7">
        <f>IF($V848="","",P848*O848)</f>
        <v/>
      </c>
      <c r="R848" s="7">
        <f>IF($V848="","",Q848+N848)</f>
        <v/>
      </c>
      <c r="S848" s="7">
        <f>IF($V848="","",T848-R848)</f>
        <v/>
      </c>
      <c r="T848" s="7">
        <f>IF($V848="","",M848+P848+K848)</f>
        <v/>
      </c>
      <c r="U848" s="7">
        <f>IF($V848="","",T848-R848-I848)</f>
        <v/>
      </c>
      <c r="V848" s="13">
        <f>IF(ROWS($V$2:$V848)&lt;=MAX('Per Line'!$AH$2:$AH$6001),MATCH(ROWS($V$2:$V848),'Per Line'!$AH$2:$AH$6001,0),"")</f>
        <v/>
      </c>
    </row>
    <row r="849">
      <c r="A849" s="12" t="n"/>
      <c r="B849">
        <f>IF($V849="","",INDEX('Per Line'!$C$2:$C$6001,$V849)&amp;"")</f>
        <v/>
      </c>
      <c r="C849" s="11">
        <f>IF($V849="","",INDEX('Per Line'!$D$2:$D$6001,$V849))</f>
        <v/>
      </c>
      <c r="D849">
        <f>IF($V849="","",INDEX('Per Line'!$E$2:$E$6001,$V849)&amp;"")</f>
        <v/>
      </c>
      <c r="E849">
        <f>IF($V849="","",INDEX('Per Line'!$G$2:$G$6001,$V849)&amp;"")</f>
        <v/>
      </c>
      <c r="F849">
        <f>IF($V849="","",INDEX('Per Line'!$H$2:$H$6001,$V849)&amp;"")</f>
        <v/>
      </c>
      <c r="G849">
        <f>IF($V849="","",INDEX('Per Line'!$I$2:$I$6001,$V849)&amp;"")</f>
        <v/>
      </c>
      <c r="H849">
        <f>IF($V849="","",INDEX('Per Line'!$J$2:$J$6001,$V849))</f>
        <v/>
      </c>
      <c r="I849" s="7">
        <f>IF($V849="","",H849*S849/100)</f>
        <v/>
      </c>
      <c r="J849">
        <f>IF($V849="","",INDEX('Per Line'!$S$2:$S$6001,$V849)&amp;"")</f>
        <v/>
      </c>
      <c r="K849" s="7">
        <f>IF($V849="","",SUMIFS('Per Line'!$R$2:$R$6001,'Per Line'!$C$2:$C$6001,$B849,'Per Line'!$AJ$2:$AJ$6001,1))</f>
        <v/>
      </c>
      <c r="L849">
        <f>IF($V849="","",Settings!$C$7)</f>
        <v/>
      </c>
      <c r="M849" s="7">
        <f>IF($V849="","",SUMIFS('Per Line'!$R$2:$R$6001,'Per Line'!$C$2:$C$6001,$B849,'Per Line'!$AI$2:$AI$6001,0,'Per Line'!$AJ$2:$AJ$6001,0))</f>
        <v/>
      </c>
      <c r="N849" s="7">
        <f>IF($V849="","",M849*L849)</f>
        <v/>
      </c>
      <c r="O849">
        <f>IF($V849="","",Settings!$C$6)</f>
        <v/>
      </c>
      <c r="P849" s="7">
        <f>IF($V849="","",SUMIFS('Per Line'!$R$2:$R$6001,'Per Line'!$C$2:$C$6001,$B849,'Per Line'!$AI$2:$AI$6001,1,'Per Line'!$AJ$2:$AJ$6001,0))</f>
        <v/>
      </c>
      <c r="Q849" s="7">
        <f>IF($V849="","",P849*O849)</f>
        <v/>
      </c>
      <c r="R849" s="7">
        <f>IF($V849="","",Q849+N849)</f>
        <v/>
      </c>
      <c r="S849" s="7">
        <f>IF($V849="","",T849-R849)</f>
        <v/>
      </c>
      <c r="T849" s="7">
        <f>IF($V849="","",M849+P849+K849)</f>
        <v/>
      </c>
      <c r="U849" s="7">
        <f>IF($V849="","",T849-R849-I849)</f>
        <v/>
      </c>
      <c r="V849" s="13">
        <f>IF(ROWS($V$2:$V849)&lt;=MAX('Per Line'!$AH$2:$AH$6001),MATCH(ROWS($V$2:$V849),'Per Line'!$AH$2:$AH$6001,0),"")</f>
        <v/>
      </c>
    </row>
    <row r="850">
      <c r="A850" s="12" t="n"/>
      <c r="B850">
        <f>IF($V850="","",INDEX('Per Line'!$C$2:$C$6001,$V850)&amp;"")</f>
        <v/>
      </c>
      <c r="C850" s="11">
        <f>IF($V850="","",INDEX('Per Line'!$D$2:$D$6001,$V850))</f>
        <v/>
      </c>
      <c r="D850">
        <f>IF($V850="","",INDEX('Per Line'!$E$2:$E$6001,$V850)&amp;"")</f>
        <v/>
      </c>
      <c r="E850">
        <f>IF($V850="","",INDEX('Per Line'!$G$2:$G$6001,$V850)&amp;"")</f>
        <v/>
      </c>
      <c r="F850">
        <f>IF($V850="","",INDEX('Per Line'!$H$2:$H$6001,$V850)&amp;"")</f>
        <v/>
      </c>
      <c r="G850">
        <f>IF($V850="","",INDEX('Per Line'!$I$2:$I$6001,$V850)&amp;"")</f>
        <v/>
      </c>
      <c r="H850">
        <f>IF($V850="","",INDEX('Per Line'!$J$2:$J$6001,$V850))</f>
        <v/>
      </c>
      <c r="I850" s="7">
        <f>IF($V850="","",H850*S850/100)</f>
        <v/>
      </c>
      <c r="J850">
        <f>IF($V850="","",INDEX('Per Line'!$S$2:$S$6001,$V850)&amp;"")</f>
        <v/>
      </c>
      <c r="K850" s="7">
        <f>IF($V850="","",SUMIFS('Per Line'!$R$2:$R$6001,'Per Line'!$C$2:$C$6001,$B850,'Per Line'!$AJ$2:$AJ$6001,1))</f>
        <v/>
      </c>
      <c r="L850">
        <f>IF($V850="","",Settings!$C$7)</f>
        <v/>
      </c>
      <c r="M850" s="7">
        <f>IF($V850="","",SUMIFS('Per Line'!$R$2:$R$6001,'Per Line'!$C$2:$C$6001,$B850,'Per Line'!$AI$2:$AI$6001,0,'Per Line'!$AJ$2:$AJ$6001,0))</f>
        <v/>
      </c>
      <c r="N850" s="7">
        <f>IF($V850="","",M850*L850)</f>
        <v/>
      </c>
      <c r="O850">
        <f>IF($V850="","",Settings!$C$6)</f>
        <v/>
      </c>
      <c r="P850" s="7">
        <f>IF($V850="","",SUMIFS('Per Line'!$R$2:$R$6001,'Per Line'!$C$2:$C$6001,$B850,'Per Line'!$AI$2:$AI$6001,1,'Per Line'!$AJ$2:$AJ$6001,0))</f>
        <v/>
      </c>
      <c r="Q850" s="7">
        <f>IF($V850="","",P850*O850)</f>
        <v/>
      </c>
      <c r="R850" s="7">
        <f>IF($V850="","",Q850+N850)</f>
        <v/>
      </c>
      <c r="S850" s="7">
        <f>IF($V850="","",T850-R850)</f>
        <v/>
      </c>
      <c r="T850" s="7">
        <f>IF($V850="","",M850+P850+K850)</f>
        <v/>
      </c>
      <c r="U850" s="7">
        <f>IF($V850="","",T850-R850-I850)</f>
        <v/>
      </c>
      <c r="V850" s="13">
        <f>IF(ROWS($V$2:$V850)&lt;=MAX('Per Line'!$AH$2:$AH$6001),MATCH(ROWS($V$2:$V850),'Per Line'!$AH$2:$AH$6001,0),"")</f>
        <v/>
      </c>
    </row>
    <row r="851">
      <c r="A851" s="12" t="n"/>
      <c r="B851">
        <f>IF($V851="","",INDEX('Per Line'!$C$2:$C$6001,$V851)&amp;"")</f>
        <v/>
      </c>
      <c r="C851" s="11">
        <f>IF($V851="","",INDEX('Per Line'!$D$2:$D$6001,$V851))</f>
        <v/>
      </c>
      <c r="D851">
        <f>IF($V851="","",INDEX('Per Line'!$E$2:$E$6001,$V851)&amp;"")</f>
        <v/>
      </c>
      <c r="E851">
        <f>IF($V851="","",INDEX('Per Line'!$G$2:$G$6001,$V851)&amp;"")</f>
        <v/>
      </c>
      <c r="F851">
        <f>IF($V851="","",INDEX('Per Line'!$H$2:$H$6001,$V851)&amp;"")</f>
        <v/>
      </c>
      <c r="G851">
        <f>IF($V851="","",INDEX('Per Line'!$I$2:$I$6001,$V851)&amp;"")</f>
        <v/>
      </c>
      <c r="H851">
        <f>IF($V851="","",INDEX('Per Line'!$J$2:$J$6001,$V851))</f>
        <v/>
      </c>
      <c r="I851" s="7">
        <f>IF($V851="","",H851*S851/100)</f>
        <v/>
      </c>
      <c r="J851">
        <f>IF($V851="","",INDEX('Per Line'!$S$2:$S$6001,$V851)&amp;"")</f>
        <v/>
      </c>
      <c r="K851" s="7">
        <f>IF($V851="","",SUMIFS('Per Line'!$R$2:$R$6001,'Per Line'!$C$2:$C$6001,$B851,'Per Line'!$AJ$2:$AJ$6001,1))</f>
        <v/>
      </c>
      <c r="L851">
        <f>IF($V851="","",Settings!$C$7)</f>
        <v/>
      </c>
      <c r="M851" s="7">
        <f>IF($V851="","",SUMIFS('Per Line'!$R$2:$R$6001,'Per Line'!$C$2:$C$6001,$B851,'Per Line'!$AI$2:$AI$6001,0,'Per Line'!$AJ$2:$AJ$6001,0))</f>
        <v/>
      </c>
      <c r="N851" s="7">
        <f>IF($V851="","",M851*L851)</f>
        <v/>
      </c>
      <c r="O851">
        <f>IF($V851="","",Settings!$C$6)</f>
        <v/>
      </c>
      <c r="P851" s="7">
        <f>IF($V851="","",SUMIFS('Per Line'!$R$2:$R$6001,'Per Line'!$C$2:$C$6001,$B851,'Per Line'!$AI$2:$AI$6001,1,'Per Line'!$AJ$2:$AJ$6001,0))</f>
        <v/>
      </c>
      <c r="Q851" s="7">
        <f>IF($V851="","",P851*O851)</f>
        <v/>
      </c>
      <c r="R851" s="7">
        <f>IF($V851="","",Q851+N851)</f>
        <v/>
      </c>
      <c r="S851" s="7">
        <f>IF($V851="","",T851-R851)</f>
        <v/>
      </c>
      <c r="T851" s="7">
        <f>IF($V851="","",M851+P851+K851)</f>
        <v/>
      </c>
      <c r="U851" s="7">
        <f>IF($V851="","",T851-R851-I851)</f>
        <v/>
      </c>
      <c r="V851" s="13">
        <f>IF(ROWS($V$2:$V851)&lt;=MAX('Per Line'!$AH$2:$AH$6001),MATCH(ROWS($V$2:$V851),'Per Line'!$AH$2:$AH$6001,0),"")</f>
        <v/>
      </c>
    </row>
    <row r="852">
      <c r="A852" s="12" t="n"/>
      <c r="B852">
        <f>IF($V852="","",INDEX('Per Line'!$C$2:$C$6001,$V852)&amp;"")</f>
        <v/>
      </c>
      <c r="C852" s="11">
        <f>IF($V852="","",INDEX('Per Line'!$D$2:$D$6001,$V852))</f>
        <v/>
      </c>
      <c r="D852">
        <f>IF($V852="","",INDEX('Per Line'!$E$2:$E$6001,$V852)&amp;"")</f>
        <v/>
      </c>
      <c r="E852">
        <f>IF($V852="","",INDEX('Per Line'!$G$2:$G$6001,$V852)&amp;"")</f>
        <v/>
      </c>
      <c r="F852">
        <f>IF($V852="","",INDEX('Per Line'!$H$2:$H$6001,$V852)&amp;"")</f>
        <v/>
      </c>
      <c r="G852">
        <f>IF($V852="","",INDEX('Per Line'!$I$2:$I$6001,$V852)&amp;"")</f>
        <v/>
      </c>
      <c r="H852">
        <f>IF($V852="","",INDEX('Per Line'!$J$2:$J$6001,$V852))</f>
        <v/>
      </c>
      <c r="I852" s="7">
        <f>IF($V852="","",H852*S852/100)</f>
        <v/>
      </c>
      <c r="J852">
        <f>IF($V852="","",INDEX('Per Line'!$S$2:$S$6001,$V852)&amp;"")</f>
        <v/>
      </c>
      <c r="K852" s="7">
        <f>IF($V852="","",SUMIFS('Per Line'!$R$2:$R$6001,'Per Line'!$C$2:$C$6001,$B852,'Per Line'!$AJ$2:$AJ$6001,1))</f>
        <v/>
      </c>
      <c r="L852">
        <f>IF($V852="","",Settings!$C$7)</f>
        <v/>
      </c>
      <c r="M852" s="7">
        <f>IF($V852="","",SUMIFS('Per Line'!$R$2:$R$6001,'Per Line'!$C$2:$C$6001,$B852,'Per Line'!$AI$2:$AI$6001,0,'Per Line'!$AJ$2:$AJ$6001,0))</f>
        <v/>
      </c>
      <c r="N852" s="7">
        <f>IF($V852="","",M852*L852)</f>
        <v/>
      </c>
      <c r="O852">
        <f>IF($V852="","",Settings!$C$6)</f>
        <v/>
      </c>
      <c r="P852" s="7">
        <f>IF($V852="","",SUMIFS('Per Line'!$R$2:$R$6001,'Per Line'!$C$2:$C$6001,$B852,'Per Line'!$AI$2:$AI$6001,1,'Per Line'!$AJ$2:$AJ$6001,0))</f>
        <v/>
      </c>
      <c r="Q852" s="7">
        <f>IF($V852="","",P852*O852)</f>
        <v/>
      </c>
      <c r="R852" s="7">
        <f>IF($V852="","",Q852+N852)</f>
        <v/>
      </c>
      <c r="S852" s="7">
        <f>IF($V852="","",T852-R852)</f>
        <v/>
      </c>
      <c r="T852" s="7">
        <f>IF($V852="","",M852+P852+K852)</f>
        <v/>
      </c>
      <c r="U852" s="7">
        <f>IF($V852="","",T852-R852-I852)</f>
        <v/>
      </c>
      <c r="V852" s="13">
        <f>IF(ROWS($V$2:$V852)&lt;=MAX('Per Line'!$AH$2:$AH$6001),MATCH(ROWS($V$2:$V852),'Per Line'!$AH$2:$AH$6001,0),"")</f>
        <v/>
      </c>
    </row>
    <row r="853">
      <c r="A853" s="12" t="n"/>
      <c r="B853">
        <f>IF($V853="","",INDEX('Per Line'!$C$2:$C$6001,$V853)&amp;"")</f>
        <v/>
      </c>
      <c r="C853" s="11">
        <f>IF($V853="","",INDEX('Per Line'!$D$2:$D$6001,$V853))</f>
        <v/>
      </c>
      <c r="D853">
        <f>IF($V853="","",INDEX('Per Line'!$E$2:$E$6001,$V853)&amp;"")</f>
        <v/>
      </c>
      <c r="E853">
        <f>IF($V853="","",INDEX('Per Line'!$G$2:$G$6001,$V853)&amp;"")</f>
        <v/>
      </c>
      <c r="F853">
        <f>IF($V853="","",INDEX('Per Line'!$H$2:$H$6001,$V853)&amp;"")</f>
        <v/>
      </c>
      <c r="G853">
        <f>IF($V853="","",INDEX('Per Line'!$I$2:$I$6001,$V853)&amp;"")</f>
        <v/>
      </c>
      <c r="H853">
        <f>IF($V853="","",INDEX('Per Line'!$J$2:$J$6001,$V853))</f>
        <v/>
      </c>
      <c r="I853" s="7">
        <f>IF($V853="","",H853*S853/100)</f>
        <v/>
      </c>
      <c r="J853">
        <f>IF($V853="","",INDEX('Per Line'!$S$2:$S$6001,$V853)&amp;"")</f>
        <v/>
      </c>
      <c r="K853" s="7">
        <f>IF($V853="","",SUMIFS('Per Line'!$R$2:$R$6001,'Per Line'!$C$2:$C$6001,$B853,'Per Line'!$AJ$2:$AJ$6001,1))</f>
        <v/>
      </c>
      <c r="L853">
        <f>IF($V853="","",Settings!$C$7)</f>
        <v/>
      </c>
      <c r="M853" s="7">
        <f>IF($V853="","",SUMIFS('Per Line'!$R$2:$R$6001,'Per Line'!$C$2:$C$6001,$B853,'Per Line'!$AI$2:$AI$6001,0,'Per Line'!$AJ$2:$AJ$6001,0))</f>
        <v/>
      </c>
      <c r="N853" s="7">
        <f>IF($V853="","",M853*L853)</f>
        <v/>
      </c>
      <c r="O853">
        <f>IF($V853="","",Settings!$C$6)</f>
        <v/>
      </c>
      <c r="P853" s="7">
        <f>IF($V853="","",SUMIFS('Per Line'!$R$2:$R$6001,'Per Line'!$C$2:$C$6001,$B853,'Per Line'!$AI$2:$AI$6001,1,'Per Line'!$AJ$2:$AJ$6001,0))</f>
        <v/>
      </c>
      <c r="Q853" s="7">
        <f>IF($V853="","",P853*O853)</f>
        <v/>
      </c>
      <c r="R853" s="7">
        <f>IF($V853="","",Q853+N853)</f>
        <v/>
      </c>
      <c r="S853" s="7">
        <f>IF($V853="","",T853-R853)</f>
        <v/>
      </c>
      <c r="T853" s="7">
        <f>IF($V853="","",M853+P853+K853)</f>
        <v/>
      </c>
      <c r="U853" s="7">
        <f>IF($V853="","",T853-R853-I853)</f>
        <v/>
      </c>
      <c r="V853" s="13">
        <f>IF(ROWS($V$2:$V853)&lt;=MAX('Per Line'!$AH$2:$AH$6001),MATCH(ROWS($V$2:$V853),'Per Line'!$AH$2:$AH$6001,0),"")</f>
        <v/>
      </c>
    </row>
    <row r="854">
      <c r="A854" s="12" t="n"/>
      <c r="B854">
        <f>IF($V854="","",INDEX('Per Line'!$C$2:$C$6001,$V854)&amp;"")</f>
        <v/>
      </c>
      <c r="C854" s="11">
        <f>IF($V854="","",INDEX('Per Line'!$D$2:$D$6001,$V854))</f>
        <v/>
      </c>
      <c r="D854">
        <f>IF($V854="","",INDEX('Per Line'!$E$2:$E$6001,$V854)&amp;"")</f>
        <v/>
      </c>
      <c r="E854">
        <f>IF($V854="","",INDEX('Per Line'!$G$2:$G$6001,$V854)&amp;"")</f>
        <v/>
      </c>
      <c r="F854">
        <f>IF($V854="","",INDEX('Per Line'!$H$2:$H$6001,$V854)&amp;"")</f>
        <v/>
      </c>
      <c r="G854">
        <f>IF($V854="","",INDEX('Per Line'!$I$2:$I$6001,$V854)&amp;"")</f>
        <v/>
      </c>
      <c r="H854">
        <f>IF($V854="","",INDEX('Per Line'!$J$2:$J$6001,$V854))</f>
        <v/>
      </c>
      <c r="I854" s="7">
        <f>IF($V854="","",H854*S854/100)</f>
        <v/>
      </c>
      <c r="J854">
        <f>IF($V854="","",INDEX('Per Line'!$S$2:$S$6001,$V854)&amp;"")</f>
        <v/>
      </c>
      <c r="K854" s="7">
        <f>IF($V854="","",SUMIFS('Per Line'!$R$2:$R$6001,'Per Line'!$C$2:$C$6001,$B854,'Per Line'!$AJ$2:$AJ$6001,1))</f>
        <v/>
      </c>
      <c r="L854">
        <f>IF($V854="","",Settings!$C$7)</f>
        <v/>
      </c>
      <c r="M854" s="7">
        <f>IF($V854="","",SUMIFS('Per Line'!$R$2:$R$6001,'Per Line'!$C$2:$C$6001,$B854,'Per Line'!$AI$2:$AI$6001,0,'Per Line'!$AJ$2:$AJ$6001,0))</f>
        <v/>
      </c>
      <c r="N854" s="7">
        <f>IF($V854="","",M854*L854)</f>
        <v/>
      </c>
      <c r="O854">
        <f>IF($V854="","",Settings!$C$6)</f>
        <v/>
      </c>
      <c r="P854" s="7">
        <f>IF($V854="","",SUMIFS('Per Line'!$R$2:$R$6001,'Per Line'!$C$2:$C$6001,$B854,'Per Line'!$AI$2:$AI$6001,1,'Per Line'!$AJ$2:$AJ$6001,0))</f>
        <v/>
      </c>
      <c r="Q854" s="7">
        <f>IF($V854="","",P854*O854)</f>
        <v/>
      </c>
      <c r="R854" s="7">
        <f>IF($V854="","",Q854+N854)</f>
        <v/>
      </c>
      <c r="S854" s="7">
        <f>IF($V854="","",T854-R854)</f>
        <v/>
      </c>
      <c r="T854" s="7">
        <f>IF($V854="","",M854+P854+K854)</f>
        <v/>
      </c>
      <c r="U854" s="7">
        <f>IF($V854="","",T854-R854-I854)</f>
        <v/>
      </c>
      <c r="V854" s="13">
        <f>IF(ROWS($V$2:$V854)&lt;=MAX('Per Line'!$AH$2:$AH$6001),MATCH(ROWS($V$2:$V854),'Per Line'!$AH$2:$AH$6001,0),"")</f>
        <v/>
      </c>
    </row>
    <row r="855">
      <c r="A855" s="12" t="n"/>
      <c r="B855">
        <f>IF($V855="","",INDEX('Per Line'!$C$2:$C$6001,$V855)&amp;"")</f>
        <v/>
      </c>
      <c r="C855" s="11">
        <f>IF($V855="","",INDEX('Per Line'!$D$2:$D$6001,$V855))</f>
        <v/>
      </c>
      <c r="D855">
        <f>IF($V855="","",INDEX('Per Line'!$E$2:$E$6001,$V855)&amp;"")</f>
        <v/>
      </c>
      <c r="E855">
        <f>IF($V855="","",INDEX('Per Line'!$G$2:$G$6001,$V855)&amp;"")</f>
        <v/>
      </c>
      <c r="F855">
        <f>IF($V855="","",INDEX('Per Line'!$H$2:$H$6001,$V855)&amp;"")</f>
        <v/>
      </c>
      <c r="G855">
        <f>IF($V855="","",INDEX('Per Line'!$I$2:$I$6001,$V855)&amp;"")</f>
        <v/>
      </c>
      <c r="H855">
        <f>IF($V855="","",INDEX('Per Line'!$J$2:$J$6001,$V855))</f>
        <v/>
      </c>
      <c r="I855" s="7">
        <f>IF($V855="","",H855*S855/100)</f>
        <v/>
      </c>
      <c r="J855">
        <f>IF($V855="","",INDEX('Per Line'!$S$2:$S$6001,$V855)&amp;"")</f>
        <v/>
      </c>
      <c r="K855" s="7">
        <f>IF($V855="","",SUMIFS('Per Line'!$R$2:$R$6001,'Per Line'!$C$2:$C$6001,$B855,'Per Line'!$AJ$2:$AJ$6001,1))</f>
        <v/>
      </c>
      <c r="L855">
        <f>IF($V855="","",Settings!$C$7)</f>
        <v/>
      </c>
      <c r="M855" s="7">
        <f>IF($V855="","",SUMIFS('Per Line'!$R$2:$R$6001,'Per Line'!$C$2:$C$6001,$B855,'Per Line'!$AI$2:$AI$6001,0,'Per Line'!$AJ$2:$AJ$6001,0))</f>
        <v/>
      </c>
      <c r="N855" s="7">
        <f>IF($V855="","",M855*L855)</f>
        <v/>
      </c>
      <c r="O855">
        <f>IF($V855="","",Settings!$C$6)</f>
        <v/>
      </c>
      <c r="P855" s="7">
        <f>IF($V855="","",SUMIFS('Per Line'!$R$2:$R$6001,'Per Line'!$C$2:$C$6001,$B855,'Per Line'!$AI$2:$AI$6001,1,'Per Line'!$AJ$2:$AJ$6001,0))</f>
        <v/>
      </c>
      <c r="Q855" s="7">
        <f>IF($V855="","",P855*O855)</f>
        <v/>
      </c>
      <c r="R855" s="7">
        <f>IF($V855="","",Q855+N855)</f>
        <v/>
      </c>
      <c r="S855" s="7">
        <f>IF($V855="","",T855-R855)</f>
        <v/>
      </c>
      <c r="T855" s="7">
        <f>IF($V855="","",M855+P855+K855)</f>
        <v/>
      </c>
      <c r="U855" s="7">
        <f>IF($V855="","",T855-R855-I855)</f>
        <v/>
      </c>
      <c r="V855" s="13">
        <f>IF(ROWS($V$2:$V855)&lt;=MAX('Per Line'!$AH$2:$AH$6001),MATCH(ROWS($V$2:$V855),'Per Line'!$AH$2:$AH$6001,0),"")</f>
        <v/>
      </c>
    </row>
    <row r="856">
      <c r="A856" s="12" t="n"/>
      <c r="B856">
        <f>IF($V856="","",INDEX('Per Line'!$C$2:$C$6001,$V856)&amp;"")</f>
        <v/>
      </c>
      <c r="C856" s="11">
        <f>IF($V856="","",INDEX('Per Line'!$D$2:$D$6001,$V856))</f>
        <v/>
      </c>
      <c r="D856">
        <f>IF($V856="","",INDEX('Per Line'!$E$2:$E$6001,$V856)&amp;"")</f>
        <v/>
      </c>
      <c r="E856">
        <f>IF($V856="","",INDEX('Per Line'!$G$2:$G$6001,$V856)&amp;"")</f>
        <v/>
      </c>
      <c r="F856">
        <f>IF($V856="","",INDEX('Per Line'!$H$2:$H$6001,$V856)&amp;"")</f>
        <v/>
      </c>
      <c r="G856">
        <f>IF($V856="","",INDEX('Per Line'!$I$2:$I$6001,$V856)&amp;"")</f>
        <v/>
      </c>
      <c r="H856">
        <f>IF($V856="","",INDEX('Per Line'!$J$2:$J$6001,$V856))</f>
        <v/>
      </c>
      <c r="I856" s="7">
        <f>IF($V856="","",H856*S856/100)</f>
        <v/>
      </c>
      <c r="J856">
        <f>IF($V856="","",INDEX('Per Line'!$S$2:$S$6001,$V856)&amp;"")</f>
        <v/>
      </c>
      <c r="K856" s="7">
        <f>IF($V856="","",SUMIFS('Per Line'!$R$2:$R$6001,'Per Line'!$C$2:$C$6001,$B856,'Per Line'!$AJ$2:$AJ$6001,1))</f>
        <v/>
      </c>
      <c r="L856">
        <f>IF($V856="","",Settings!$C$7)</f>
        <v/>
      </c>
      <c r="M856" s="7">
        <f>IF($V856="","",SUMIFS('Per Line'!$R$2:$R$6001,'Per Line'!$C$2:$C$6001,$B856,'Per Line'!$AI$2:$AI$6001,0,'Per Line'!$AJ$2:$AJ$6001,0))</f>
        <v/>
      </c>
      <c r="N856" s="7">
        <f>IF($V856="","",M856*L856)</f>
        <v/>
      </c>
      <c r="O856">
        <f>IF($V856="","",Settings!$C$6)</f>
        <v/>
      </c>
      <c r="P856" s="7">
        <f>IF($V856="","",SUMIFS('Per Line'!$R$2:$R$6001,'Per Line'!$C$2:$C$6001,$B856,'Per Line'!$AI$2:$AI$6001,1,'Per Line'!$AJ$2:$AJ$6001,0))</f>
        <v/>
      </c>
      <c r="Q856" s="7">
        <f>IF($V856="","",P856*O856)</f>
        <v/>
      </c>
      <c r="R856" s="7">
        <f>IF($V856="","",Q856+N856)</f>
        <v/>
      </c>
      <c r="S856" s="7">
        <f>IF($V856="","",T856-R856)</f>
        <v/>
      </c>
      <c r="T856" s="7">
        <f>IF($V856="","",M856+P856+K856)</f>
        <v/>
      </c>
      <c r="U856" s="7">
        <f>IF($V856="","",T856-R856-I856)</f>
        <v/>
      </c>
      <c r="V856" s="13">
        <f>IF(ROWS($V$2:$V856)&lt;=MAX('Per Line'!$AH$2:$AH$6001),MATCH(ROWS($V$2:$V856),'Per Line'!$AH$2:$AH$6001,0),"")</f>
        <v/>
      </c>
    </row>
    <row r="857">
      <c r="A857" s="12" t="n"/>
      <c r="B857">
        <f>IF($V857="","",INDEX('Per Line'!$C$2:$C$6001,$V857)&amp;"")</f>
        <v/>
      </c>
      <c r="C857" s="11">
        <f>IF($V857="","",INDEX('Per Line'!$D$2:$D$6001,$V857))</f>
        <v/>
      </c>
      <c r="D857">
        <f>IF($V857="","",INDEX('Per Line'!$E$2:$E$6001,$V857)&amp;"")</f>
        <v/>
      </c>
      <c r="E857">
        <f>IF($V857="","",INDEX('Per Line'!$G$2:$G$6001,$V857)&amp;"")</f>
        <v/>
      </c>
      <c r="F857">
        <f>IF($V857="","",INDEX('Per Line'!$H$2:$H$6001,$V857)&amp;"")</f>
        <v/>
      </c>
      <c r="G857">
        <f>IF($V857="","",INDEX('Per Line'!$I$2:$I$6001,$V857)&amp;"")</f>
        <v/>
      </c>
      <c r="H857">
        <f>IF($V857="","",INDEX('Per Line'!$J$2:$J$6001,$V857))</f>
        <v/>
      </c>
      <c r="I857" s="7">
        <f>IF($V857="","",H857*S857/100)</f>
        <v/>
      </c>
      <c r="J857">
        <f>IF($V857="","",INDEX('Per Line'!$S$2:$S$6001,$V857)&amp;"")</f>
        <v/>
      </c>
      <c r="K857" s="7">
        <f>IF($V857="","",SUMIFS('Per Line'!$R$2:$R$6001,'Per Line'!$C$2:$C$6001,$B857,'Per Line'!$AJ$2:$AJ$6001,1))</f>
        <v/>
      </c>
      <c r="L857">
        <f>IF($V857="","",Settings!$C$7)</f>
        <v/>
      </c>
      <c r="M857" s="7">
        <f>IF($V857="","",SUMIFS('Per Line'!$R$2:$R$6001,'Per Line'!$C$2:$C$6001,$B857,'Per Line'!$AI$2:$AI$6001,0,'Per Line'!$AJ$2:$AJ$6001,0))</f>
        <v/>
      </c>
      <c r="N857" s="7">
        <f>IF($V857="","",M857*L857)</f>
        <v/>
      </c>
      <c r="O857">
        <f>IF($V857="","",Settings!$C$6)</f>
        <v/>
      </c>
      <c r="P857" s="7">
        <f>IF($V857="","",SUMIFS('Per Line'!$R$2:$R$6001,'Per Line'!$C$2:$C$6001,$B857,'Per Line'!$AI$2:$AI$6001,1,'Per Line'!$AJ$2:$AJ$6001,0))</f>
        <v/>
      </c>
      <c r="Q857" s="7">
        <f>IF($V857="","",P857*O857)</f>
        <v/>
      </c>
      <c r="R857" s="7">
        <f>IF($V857="","",Q857+N857)</f>
        <v/>
      </c>
      <c r="S857" s="7">
        <f>IF($V857="","",T857-R857)</f>
        <v/>
      </c>
      <c r="T857" s="7">
        <f>IF($V857="","",M857+P857+K857)</f>
        <v/>
      </c>
      <c r="U857" s="7">
        <f>IF($V857="","",T857-R857-I857)</f>
        <v/>
      </c>
      <c r="V857" s="13">
        <f>IF(ROWS($V$2:$V857)&lt;=MAX('Per Line'!$AH$2:$AH$6001),MATCH(ROWS($V$2:$V857),'Per Line'!$AH$2:$AH$6001,0),"")</f>
        <v/>
      </c>
    </row>
    <row r="858">
      <c r="A858" s="12" t="n"/>
      <c r="B858">
        <f>IF($V858="","",INDEX('Per Line'!$C$2:$C$6001,$V858)&amp;"")</f>
        <v/>
      </c>
      <c r="C858" s="11">
        <f>IF($V858="","",INDEX('Per Line'!$D$2:$D$6001,$V858))</f>
        <v/>
      </c>
      <c r="D858">
        <f>IF($V858="","",INDEX('Per Line'!$E$2:$E$6001,$V858)&amp;"")</f>
        <v/>
      </c>
      <c r="E858">
        <f>IF($V858="","",INDEX('Per Line'!$G$2:$G$6001,$V858)&amp;"")</f>
        <v/>
      </c>
      <c r="F858">
        <f>IF($V858="","",INDEX('Per Line'!$H$2:$H$6001,$V858)&amp;"")</f>
        <v/>
      </c>
      <c r="G858">
        <f>IF($V858="","",INDEX('Per Line'!$I$2:$I$6001,$V858)&amp;"")</f>
        <v/>
      </c>
      <c r="H858">
        <f>IF($V858="","",INDEX('Per Line'!$J$2:$J$6001,$V858))</f>
        <v/>
      </c>
      <c r="I858" s="7">
        <f>IF($V858="","",H858*S858/100)</f>
        <v/>
      </c>
      <c r="J858">
        <f>IF($V858="","",INDEX('Per Line'!$S$2:$S$6001,$V858)&amp;"")</f>
        <v/>
      </c>
      <c r="K858" s="7">
        <f>IF($V858="","",SUMIFS('Per Line'!$R$2:$R$6001,'Per Line'!$C$2:$C$6001,$B858,'Per Line'!$AJ$2:$AJ$6001,1))</f>
        <v/>
      </c>
      <c r="L858">
        <f>IF($V858="","",Settings!$C$7)</f>
        <v/>
      </c>
      <c r="M858" s="7">
        <f>IF($V858="","",SUMIFS('Per Line'!$R$2:$R$6001,'Per Line'!$C$2:$C$6001,$B858,'Per Line'!$AI$2:$AI$6001,0,'Per Line'!$AJ$2:$AJ$6001,0))</f>
        <v/>
      </c>
      <c r="N858" s="7">
        <f>IF($V858="","",M858*L858)</f>
        <v/>
      </c>
      <c r="O858">
        <f>IF($V858="","",Settings!$C$6)</f>
        <v/>
      </c>
      <c r="P858" s="7">
        <f>IF($V858="","",SUMIFS('Per Line'!$R$2:$R$6001,'Per Line'!$C$2:$C$6001,$B858,'Per Line'!$AI$2:$AI$6001,1,'Per Line'!$AJ$2:$AJ$6001,0))</f>
        <v/>
      </c>
      <c r="Q858" s="7">
        <f>IF($V858="","",P858*O858)</f>
        <v/>
      </c>
      <c r="R858" s="7">
        <f>IF($V858="","",Q858+N858)</f>
        <v/>
      </c>
      <c r="S858" s="7">
        <f>IF($V858="","",T858-R858)</f>
        <v/>
      </c>
      <c r="T858" s="7">
        <f>IF($V858="","",M858+P858+K858)</f>
        <v/>
      </c>
      <c r="U858" s="7">
        <f>IF($V858="","",T858-R858-I858)</f>
        <v/>
      </c>
      <c r="V858" s="13">
        <f>IF(ROWS($V$2:$V858)&lt;=MAX('Per Line'!$AH$2:$AH$6001),MATCH(ROWS($V$2:$V858),'Per Line'!$AH$2:$AH$6001,0),"")</f>
        <v/>
      </c>
    </row>
    <row r="859">
      <c r="A859" s="12" t="n"/>
      <c r="B859">
        <f>IF($V859="","",INDEX('Per Line'!$C$2:$C$6001,$V859)&amp;"")</f>
        <v/>
      </c>
      <c r="C859" s="11">
        <f>IF($V859="","",INDEX('Per Line'!$D$2:$D$6001,$V859))</f>
        <v/>
      </c>
      <c r="D859">
        <f>IF($V859="","",INDEX('Per Line'!$E$2:$E$6001,$V859)&amp;"")</f>
        <v/>
      </c>
      <c r="E859">
        <f>IF($V859="","",INDEX('Per Line'!$G$2:$G$6001,$V859)&amp;"")</f>
        <v/>
      </c>
      <c r="F859">
        <f>IF($V859="","",INDEX('Per Line'!$H$2:$H$6001,$V859)&amp;"")</f>
        <v/>
      </c>
      <c r="G859">
        <f>IF($V859="","",INDEX('Per Line'!$I$2:$I$6001,$V859)&amp;"")</f>
        <v/>
      </c>
      <c r="H859">
        <f>IF($V859="","",INDEX('Per Line'!$J$2:$J$6001,$V859))</f>
        <v/>
      </c>
      <c r="I859" s="7">
        <f>IF($V859="","",H859*S859/100)</f>
        <v/>
      </c>
      <c r="J859">
        <f>IF($V859="","",INDEX('Per Line'!$S$2:$S$6001,$V859)&amp;"")</f>
        <v/>
      </c>
      <c r="K859" s="7">
        <f>IF($V859="","",SUMIFS('Per Line'!$R$2:$R$6001,'Per Line'!$C$2:$C$6001,$B859,'Per Line'!$AJ$2:$AJ$6001,1))</f>
        <v/>
      </c>
      <c r="L859">
        <f>IF($V859="","",Settings!$C$7)</f>
        <v/>
      </c>
      <c r="M859" s="7">
        <f>IF($V859="","",SUMIFS('Per Line'!$R$2:$R$6001,'Per Line'!$C$2:$C$6001,$B859,'Per Line'!$AI$2:$AI$6001,0,'Per Line'!$AJ$2:$AJ$6001,0))</f>
        <v/>
      </c>
      <c r="N859" s="7">
        <f>IF($V859="","",M859*L859)</f>
        <v/>
      </c>
      <c r="O859">
        <f>IF($V859="","",Settings!$C$6)</f>
        <v/>
      </c>
      <c r="P859" s="7">
        <f>IF($V859="","",SUMIFS('Per Line'!$R$2:$R$6001,'Per Line'!$C$2:$C$6001,$B859,'Per Line'!$AI$2:$AI$6001,1,'Per Line'!$AJ$2:$AJ$6001,0))</f>
        <v/>
      </c>
      <c r="Q859" s="7">
        <f>IF($V859="","",P859*O859)</f>
        <v/>
      </c>
      <c r="R859" s="7">
        <f>IF($V859="","",Q859+N859)</f>
        <v/>
      </c>
      <c r="S859" s="7">
        <f>IF($V859="","",T859-R859)</f>
        <v/>
      </c>
      <c r="T859" s="7">
        <f>IF($V859="","",M859+P859+K859)</f>
        <v/>
      </c>
      <c r="U859" s="7">
        <f>IF($V859="","",T859-R859-I859)</f>
        <v/>
      </c>
      <c r="V859" s="13">
        <f>IF(ROWS($V$2:$V859)&lt;=MAX('Per Line'!$AH$2:$AH$6001),MATCH(ROWS($V$2:$V859),'Per Line'!$AH$2:$AH$6001,0),"")</f>
        <v/>
      </c>
    </row>
    <row r="860">
      <c r="A860" s="12" t="n"/>
      <c r="B860">
        <f>IF($V860="","",INDEX('Per Line'!$C$2:$C$6001,$V860)&amp;"")</f>
        <v/>
      </c>
      <c r="C860" s="11">
        <f>IF($V860="","",INDEX('Per Line'!$D$2:$D$6001,$V860))</f>
        <v/>
      </c>
      <c r="D860">
        <f>IF($V860="","",INDEX('Per Line'!$E$2:$E$6001,$V860)&amp;"")</f>
        <v/>
      </c>
      <c r="E860">
        <f>IF($V860="","",INDEX('Per Line'!$G$2:$G$6001,$V860)&amp;"")</f>
        <v/>
      </c>
      <c r="F860">
        <f>IF($V860="","",INDEX('Per Line'!$H$2:$H$6001,$V860)&amp;"")</f>
        <v/>
      </c>
      <c r="G860">
        <f>IF($V860="","",INDEX('Per Line'!$I$2:$I$6001,$V860)&amp;"")</f>
        <v/>
      </c>
      <c r="H860">
        <f>IF($V860="","",INDEX('Per Line'!$J$2:$J$6001,$V860))</f>
        <v/>
      </c>
      <c r="I860" s="7">
        <f>IF($V860="","",H860*S860/100)</f>
        <v/>
      </c>
      <c r="J860">
        <f>IF($V860="","",INDEX('Per Line'!$S$2:$S$6001,$V860)&amp;"")</f>
        <v/>
      </c>
      <c r="K860" s="7">
        <f>IF($V860="","",SUMIFS('Per Line'!$R$2:$R$6001,'Per Line'!$C$2:$C$6001,$B860,'Per Line'!$AJ$2:$AJ$6001,1))</f>
        <v/>
      </c>
      <c r="L860">
        <f>IF($V860="","",Settings!$C$7)</f>
        <v/>
      </c>
      <c r="M860" s="7">
        <f>IF($V860="","",SUMIFS('Per Line'!$R$2:$R$6001,'Per Line'!$C$2:$C$6001,$B860,'Per Line'!$AI$2:$AI$6001,0,'Per Line'!$AJ$2:$AJ$6001,0))</f>
        <v/>
      </c>
      <c r="N860" s="7">
        <f>IF($V860="","",M860*L860)</f>
        <v/>
      </c>
      <c r="O860">
        <f>IF($V860="","",Settings!$C$6)</f>
        <v/>
      </c>
      <c r="P860" s="7">
        <f>IF($V860="","",SUMIFS('Per Line'!$R$2:$R$6001,'Per Line'!$C$2:$C$6001,$B860,'Per Line'!$AI$2:$AI$6001,1,'Per Line'!$AJ$2:$AJ$6001,0))</f>
        <v/>
      </c>
      <c r="Q860" s="7">
        <f>IF($V860="","",P860*O860)</f>
        <v/>
      </c>
      <c r="R860" s="7">
        <f>IF($V860="","",Q860+N860)</f>
        <v/>
      </c>
      <c r="S860" s="7">
        <f>IF($V860="","",T860-R860)</f>
        <v/>
      </c>
      <c r="T860" s="7">
        <f>IF($V860="","",M860+P860+K860)</f>
        <v/>
      </c>
      <c r="U860" s="7">
        <f>IF($V860="","",T860-R860-I860)</f>
        <v/>
      </c>
      <c r="V860" s="13">
        <f>IF(ROWS($V$2:$V860)&lt;=MAX('Per Line'!$AH$2:$AH$6001),MATCH(ROWS($V$2:$V860),'Per Line'!$AH$2:$AH$6001,0),"")</f>
        <v/>
      </c>
    </row>
    <row r="861">
      <c r="A861" s="12" t="n"/>
      <c r="B861">
        <f>IF($V861="","",INDEX('Per Line'!$C$2:$C$6001,$V861)&amp;"")</f>
        <v/>
      </c>
      <c r="C861" s="11">
        <f>IF($V861="","",INDEX('Per Line'!$D$2:$D$6001,$V861))</f>
        <v/>
      </c>
      <c r="D861">
        <f>IF($V861="","",INDEX('Per Line'!$E$2:$E$6001,$V861)&amp;"")</f>
        <v/>
      </c>
      <c r="E861">
        <f>IF($V861="","",INDEX('Per Line'!$G$2:$G$6001,$V861)&amp;"")</f>
        <v/>
      </c>
      <c r="F861">
        <f>IF($V861="","",INDEX('Per Line'!$H$2:$H$6001,$V861)&amp;"")</f>
        <v/>
      </c>
      <c r="G861">
        <f>IF($V861="","",INDEX('Per Line'!$I$2:$I$6001,$V861)&amp;"")</f>
        <v/>
      </c>
      <c r="H861">
        <f>IF($V861="","",INDEX('Per Line'!$J$2:$J$6001,$V861))</f>
        <v/>
      </c>
      <c r="I861" s="7">
        <f>IF($V861="","",H861*S861/100)</f>
        <v/>
      </c>
      <c r="J861">
        <f>IF($V861="","",INDEX('Per Line'!$S$2:$S$6001,$V861)&amp;"")</f>
        <v/>
      </c>
      <c r="K861" s="7">
        <f>IF($V861="","",SUMIFS('Per Line'!$R$2:$R$6001,'Per Line'!$C$2:$C$6001,$B861,'Per Line'!$AJ$2:$AJ$6001,1))</f>
        <v/>
      </c>
      <c r="L861">
        <f>IF($V861="","",Settings!$C$7)</f>
        <v/>
      </c>
      <c r="M861" s="7">
        <f>IF($V861="","",SUMIFS('Per Line'!$R$2:$R$6001,'Per Line'!$C$2:$C$6001,$B861,'Per Line'!$AI$2:$AI$6001,0,'Per Line'!$AJ$2:$AJ$6001,0))</f>
        <v/>
      </c>
      <c r="N861" s="7">
        <f>IF($V861="","",M861*L861)</f>
        <v/>
      </c>
      <c r="O861">
        <f>IF($V861="","",Settings!$C$6)</f>
        <v/>
      </c>
      <c r="P861" s="7">
        <f>IF($V861="","",SUMIFS('Per Line'!$R$2:$R$6001,'Per Line'!$C$2:$C$6001,$B861,'Per Line'!$AI$2:$AI$6001,1,'Per Line'!$AJ$2:$AJ$6001,0))</f>
        <v/>
      </c>
      <c r="Q861" s="7">
        <f>IF($V861="","",P861*O861)</f>
        <v/>
      </c>
      <c r="R861" s="7">
        <f>IF($V861="","",Q861+N861)</f>
        <v/>
      </c>
      <c r="S861" s="7">
        <f>IF($V861="","",T861-R861)</f>
        <v/>
      </c>
      <c r="T861" s="7">
        <f>IF($V861="","",M861+P861+K861)</f>
        <v/>
      </c>
      <c r="U861" s="7">
        <f>IF($V861="","",T861-R861-I861)</f>
        <v/>
      </c>
      <c r="V861" s="13">
        <f>IF(ROWS($V$2:$V861)&lt;=MAX('Per Line'!$AH$2:$AH$6001),MATCH(ROWS($V$2:$V861),'Per Line'!$AH$2:$AH$6001,0),"")</f>
        <v/>
      </c>
    </row>
    <row r="862">
      <c r="A862" s="12" t="n"/>
      <c r="B862">
        <f>IF($V862="","",INDEX('Per Line'!$C$2:$C$6001,$V862)&amp;"")</f>
        <v/>
      </c>
      <c r="C862" s="11">
        <f>IF($V862="","",INDEX('Per Line'!$D$2:$D$6001,$V862))</f>
        <v/>
      </c>
      <c r="D862">
        <f>IF($V862="","",INDEX('Per Line'!$E$2:$E$6001,$V862)&amp;"")</f>
        <v/>
      </c>
      <c r="E862">
        <f>IF($V862="","",INDEX('Per Line'!$G$2:$G$6001,$V862)&amp;"")</f>
        <v/>
      </c>
      <c r="F862">
        <f>IF($V862="","",INDEX('Per Line'!$H$2:$H$6001,$V862)&amp;"")</f>
        <v/>
      </c>
      <c r="G862">
        <f>IF($V862="","",INDEX('Per Line'!$I$2:$I$6001,$V862)&amp;"")</f>
        <v/>
      </c>
      <c r="H862">
        <f>IF($V862="","",INDEX('Per Line'!$J$2:$J$6001,$V862))</f>
        <v/>
      </c>
      <c r="I862" s="7">
        <f>IF($V862="","",H862*S862/100)</f>
        <v/>
      </c>
      <c r="J862">
        <f>IF($V862="","",INDEX('Per Line'!$S$2:$S$6001,$V862)&amp;"")</f>
        <v/>
      </c>
      <c r="K862" s="7">
        <f>IF($V862="","",SUMIFS('Per Line'!$R$2:$R$6001,'Per Line'!$C$2:$C$6001,$B862,'Per Line'!$AJ$2:$AJ$6001,1))</f>
        <v/>
      </c>
      <c r="L862">
        <f>IF($V862="","",Settings!$C$7)</f>
        <v/>
      </c>
      <c r="M862" s="7">
        <f>IF($V862="","",SUMIFS('Per Line'!$R$2:$R$6001,'Per Line'!$C$2:$C$6001,$B862,'Per Line'!$AI$2:$AI$6001,0,'Per Line'!$AJ$2:$AJ$6001,0))</f>
        <v/>
      </c>
      <c r="N862" s="7">
        <f>IF($V862="","",M862*L862)</f>
        <v/>
      </c>
      <c r="O862">
        <f>IF($V862="","",Settings!$C$6)</f>
        <v/>
      </c>
      <c r="P862" s="7">
        <f>IF($V862="","",SUMIFS('Per Line'!$R$2:$R$6001,'Per Line'!$C$2:$C$6001,$B862,'Per Line'!$AI$2:$AI$6001,1,'Per Line'!$AJ$2:$AJ$6001,0))</f>
        <v/>
      </c>
      <c r="Q862" s="7">
        <f>IF($V862="","",P862*O862)</f>
        <v/>
      </c>
      <c r="R862" s="7">
        <f>IF($V862="","",Q862+N862)</f>
        <v/>
      </c>
      <c r="S862" s="7">
        <f>IF($V862="","",T862-R862)</f>
        <v/>
      </c>
      <c r="T862" s="7">
        <f>IF($V862="","",M862+P862+K862)</f>
        <v/>
      </c>
      <c r="U862" s="7">
        <f>IF($V862="","",T862-R862-I862)</f>
        <v/>
      </c>
      <c r="V862" s="13">
        <f>IF(ROWS($V$2:$V862)&lt;=MAX('Per Line'!$AH$2:$AH$6001),MATCH(ROWS($V$2:$V862),'Per Line'!$AH$2:$AH$6001,0),"")</f>
        <v/>
      </c>
    </row>
    <row r="863">
      <c r="A863" s="12" t="n"/>
      <c r="B863">
        <f>IF($V863="","",INDEX('Per Line'!$C$2:$C$6001,$V863)&amp;"")</f>
        <v/>
      </c>
      <c r="C863" s="11">
        <f>IF($V863="","",INDEX('Per Line'!$D$2:$D$6001,$V863))</f>
        <v/>
      </c>
      <c r="D863">
        <f>IF($V863="","",INDEX('Per Line'!$E$2:$E$6001,$V863)&amp;"")</f>
        <v/>
      </c>
      <c r="E863">
        <f>IF($V863="","",INDEX('Per Line'!$G$2:$G$6001,$V863)&amp;"")</f>
        <v/>
      </c>
      <c r="F863">
        <f>IF($V863="","",INDEX('Per Line'!$H$2:$H$6001,$V863)&amp;"")</f>
        <v/>
      </c>
      <c r="G863">
        <f>IF($V863="","",INDEX('Per Line'!$I$2:$I$6001,$V863)&amp;"")</f>
        <v/>
      </c>
      <c r="H863">
        <f>IF($V863="","",INDEX('Per Line'!$J$2:$J$6001,$V863))</f>
        <v/>
      </c>
      <c r="I863" s="7">
        <f>IF($V863="","",H863*S863/100)</f>
        <v/>
      </c>
      <c r="J863">
        <f>IF($V863="","",INDEX('Per Line'!$S$2:$S$6001,$V863)&amp;"")</f>
        <v/>
      </c>
      <c r="K863" s="7">
        <f>IF($V863="","",SUMIFS('Per Line'!$R$2:$R$6001,'Per Line'!$C$2:$C$6001,$B863,'Per Line'!$AJ$2:$AJ$6001,1))</f>
        <v/>
      </c>
      <c r="L863">
        <f>IF($V863="","",Settings!$C$7)</f>
        <v/>
      </c>
      <c r="M863" s="7">
        <f>IF($V863="","",SUMIFS('Per Line'!$R$2:$R$6001,'Per Line'!$C$2:$C$6001,$B863,'Per Line'!$AI$2:$AI$6001,0,'Per Line'!$AJ$2:$AJ$6001,0))</f>
        <v/>
      </c>
      <c r="N863" s="7">
        <f>IF($V863="","",M863*L863)</f>
        <v/>
      </c>
      <c r="O863">
        <f>IF($V863="","",Settings!$C$6)</f>
        <v/>
      </c>
      <c r="P863" s="7">
        <f>IF($V863="","",SUMIFS('Per Line'!$R$2:$R$6001,'Per Line'!$C$2:$C$6001,$B863,'Per Line'!$AI$2:$AI$6001,1,'Per Line'!$AJ$2:$AJ$6001,0))</f>
        <v/>
      </c>
      <c r="Q863" s="7">
        <f>IF($V863="","",P863*O863)</f>
        <v/>
      </c>
      <c r="R863" s="7">
        <f>IF($V863="","",Q863+N863)</f>
        <v/>
      </c>
      <c r="S863" s="7">
        <f>IF($V863="","",T863-R863)</f>
        <v/>
      </c>
      <c r="T863" s="7">
        <f>IF($V863="","",M863+P863+K863)</f>
        <v/>
      </c>
      <c r="U863" s="7">
        <f>IF($V863="","",T863-R863-I863)</f>
        <v/>
      </c>
      <c r="V863" s="13">
        <f>IF(ROWS($V$2:$V863)&lt;=MAX('Per Line'!$AH$2:$AH$6001),MATCH(ROWS($V$2:$V863),'Per Line'!$AH$2:$AH$6001,0),"")</f>
        <v/>
      </c>
    </row>
    <row r="864">
      <c r="A864" s="12" t="n"/>
      <c r="B864">
        <f>IF($V864="","",INDEX('Per Line'!$C$2:$C$6001,$V864)&amp;"")</f>
        <v/>
      </c>
      <c r="C864" s="11">
        <f>IF($V864="","",INDEX('Per Line'!$D$2:$D$6001,$V864))</f>
        <v/>
      </c>
      <c r="D864">
        <f>IF($V864="","",INDEX('Per Line'!$E$2:$E$6001,$V864)&amp;"")</f>
        <v/>
      </c>
      <c r="E864">
        <f>IF($V864="","",INDEX('Per Line'!$G$2:$G$6001,$V864)&amp;"")</f>
        <v/>
      </c>
      <c r="F864">
        <f>IF($V864="","",INDEX('Per Line'!$H$2:$H$6001,$V864)&amp;"")</f>
        <v/>
      </c>
      <c r="G864">
        <f>IF($V864="","",INDEX('Per Line'!$I$2:$I$6001,$V864)&amp;"")</f>
        <v/>
      </c>
      <c r="H864">
        <f>IF($V864="","",INDEX('Per Line'!$J$2:$J$6001,$V864))</f>
        <v/>
      </c>
      <c r="I864" s="7">
        <f>IF($V864="","",H864*S864/100)</f>
        <v/>
      </c>
      <c r="J864">
        <f>IF($V864="","",INDEX('Per Line'!$S$2:$S$6001,$V864)&amp;"")</f>
        <v/>
      </c>
      <c r="K864" s="7">
        <f>IF($V864="","",SUMIFS('Per Line'!$R$2:$R$6001,'Per Line'!$C$2:$C$6001,$B864,'Per Line'!$AJ$2:$AJ$6001,1))</f>
        <v/>
      </c>
      <c r="L864">
        <f>IF($V864="","",Settings!$C$7)</f>
        <v/>
      </c>
      <c r="M864" s="7">
        <f>IF($V864="","",SUMIFS('Per Line'!$R$2:$R$6001,'Per Line'!$C$2:$C$6001,$B864,'Per Line'!$AI$2:$AI$6001,0,'Per Line'!$AJ$2:$AJ$6001,0))</f>
        <v/>
      </c>
      <c r="N864" s="7">
        <f>IF($V864="","",M864*L864)</f>
        <v/>
      </c>
      <c r="O864">
        <f>IF($V864="","",Settings!$C$6)</f>
        <v/>
      </c>
      <c r="P864" s="7">
        <f>IF($V864="","",SUMIFS('Per Line'!$R$2:$R$6001,'Per Line'!$C$2:$C$6001,$B864,'Per Line'!$AI$2:$AI$6001,1,'Per Line'!$AJ$2:$AJ$6001,0))</f>
        <v/>
      </c>
      <c r="Q864" s="7">
        <f>IF($V864="","",P864*O864)</f>
        <v/>
      </c>
      <c r="R864" s="7">
        <f>IF($V864="","",Q864+N864)</f>
        <v/>
      </c>
      <c r="S864" s="7">
        <f>IF($V864="","",T864-R864)</f>
        <v/>
      </c>
      <c r="T864" s="7">
        <f>IF($V864="","",M864+P864+K864)</f>
        <v/>
      </c>
      <c r="U864" s="7">
        <f>IF($V864="","",T864-R864-I864)</f>
        <v/>
      </c>
      <c r="V864" s="13">
        <f>IF(ROWS($V$2:$V864)&lt;=MAX('Per Line'!$AH$2:$AH$6001),MATCH(ROWS($V$2:$V864),'Per Line'!$AH$2:$AH$6001,0),"")</f>
        <v/>
      </c>
    </row>
    <row r="865">
      <c r="A865" s="12" t="n"/>
      <c r="B865">
        <f>IF($V865="","",INDEX('Per Line'!$C$2:$C$6001,$V865)&amp;"")</f>
        <v/>
      </c>
      <c r="C865" s="11">
        <f>IF($V865="","",INDEX('Per Line'!$D$2:$D$6001,$V865))</f>
        <v/>
      </c>
      <c r="D865">
        <f>IF($V865="","",INDEX('Per Line'!$E$2:$E$6001,$V865)&amp;"")</f>
        <v/>
      </c>
      <c r="E865">
        <f>IF($V865="","",INDEX('Per Line'!$G$2:$G$6001,$V865)&amp;"")</f>
        <v/>
      </c>
      <c r="F865">
        <f>IF($V865="","",INDEX('Per Line'!$H$2:$H$6001,$V865)&amp;"")</f>
        <v/>
      </c>
      <c r="G865">
        <f>IF($V865="","",INDEX('Per Line'!$I$2:$I$6001,$V865)&amp;"")</f>
        <v/>
      </c>
      <c r="H865">
        <f>IF($V865="","",INDEX('Per Line'!$J$2:$J$6001,$V865))</f>
        <v/>
      </c>
      <c r="I865" s="7">
        <f>IF($V865="","",H865*S865/100)</f>
        <v/>
      </c>
      <c r="J865">
        <f>IF($V865="","",INDEX('Per Line'!$S$2:$S$6001,$V865)&amp;"")</f>
        <v/>
      </c>
      <c r="K865" s="7">
        <f>IF($V865="","",SUMIFS('Per Line'!$R$2:$R$6001,'Per Line'!$C$2:$C$6001,$B865,'Per Line'!$AJ$2:$AJ$6001,1))</f>
        <v/>
      </c>
      <c r="L865">
        <f>IF($V865="","",Settings!$C$7)</f>
        <v/>
      </c>
      <c r="M865" s="7">
        <f>IF($V865="","",SUMIFS('Per Line'!$R$2:$R$6001,'Per Line'!$C$2:$C$6001,$B865,'Per Line'!$AI$2:$AI$6001,0,'Per Line'!$AJ$2:$AJ$6001,0))</f>
        <v/>
      </c>
      <c r="N865" s="7">
        <f>IF($V865="","",M865*L865)</f>
        <v/>
      </c>
      <c r="O865">
        <f>IF($V865="","",Settings!$C$6)</f>
        <v/>
      </c>
      <c r="P865" s="7">
        <f>IF($V865="","",SUMIFS('Per Line'!$R$2:$R$6001,'Per Line'!$C$2:$C$6001,$B865,'Per Line'!$AI$2:$AI$6001,1,'Per Line'!$AJ$2:$AJ$6001,0))</f>
        <v/>
      </c>
      <c r="Q865" s="7">
        <f>IF($V865="","",P865*O865)</f>
        <v/>
      </c>
      <c r="R865" s="7">
        <f>IF($V865="","",Q865+N865)</f>
        <v/>
      </c>
      <c r="S865" s="7">
        <f>IF($V865="","",T865-R865)</f>
        <v/>
      </c>
      <c r="T865" s="7">
        <f>IF($V865="","",M865+P865+K865)</f>
        <v/>
      </c>
      <c r="U865" s="7">
        <f>IF($V865="","",T865-R865-I865)</f>
        <v/>
      </c>
      <c r="V865" s="13">
        <f>IF(ROWS($V$2:$V865)&lt;=MAX('Per Line'!$AH$2:$AH$6001),MATCH(ROWS($V$2:$V865),'Per Line'!$AH$2:$AH$6001,0),"")</f>
        <v/>
      </c>
    </row>
    <row r="866">
      <c r="A866" s="12" t="n"/>
      <c r="B866">
        <f>IF($V866="","",INDEX('Per Line'!$C$2:$C$6001,$V866)&amp;"")</f>
        <v/>
      </c>
      <c r="C866" s="11">
        <f>IF($V866="","",INDEX('Per Line'!$D$2:$D$6001,$V866))</f>
        <v/>
      </c>
      <c r="D866">
        <f>IF($V866="","",INDEX('Per Line'!$E$2:$E$6001,$V866)&amp;"")</f>
        <v/>
      </c>
      <c r="E866">
        <f>IF($V866="","",INDEX('Per Line'!$G$2:$G$6001,$V866)&amp;"")</f>
        <v/>
      </c>
      <c r="F866">
        <f>IF($V866="","",INDEX('Per Line'!$H$2:$H$6001,$V866)&amp;"")</f>
        <v/>
      </c>
      <c r="G866">
        <f>IF($V866="","",INDEX('Per Line'!$I$2:$I$6001,$V866)&amp;"")</f>
        <v/>
      </c>
      <c r="H866">
        <f>IF($V866="","",INDEX('Per Line'!$J$2:$J$6001,$V866))</f>
        <v/>
      </c>
      <c r="I866" s="7">
        <f>IF($V866="","",H866*S866/100)</f>
        <v/>
      </c>
      <c r="J866">
        <f>IF($V866="","",INDEX('Per Line'!$S$2:$S$6001,$V866)&amp;"")</f>
        <v/>
      </c>
      <c r="K866" s="7">
        <f>IF($V866="","",SUMIFS('Per Line'!$R$2:$R$6001,'Per Line'!$C$2:$C$6001,$B866,'Per Line'!$AJ$2:$AJ$6001,1))</f>
        <v/>
      </c>
      <c r="L866">
        <f>IF($V866="","",Settings!$C$7)</f>
        <v/>
      </c>
      <c r="M866" s="7">
        <f>IF($V866="","",SUMIFS('Per Line'!$R$2:$R$6001,'Per Line'!$C$2:$C$6001,$B866,'Per Line'!$AI$2:$AI$6001,0,'Per Line'!$AJ$2:$AJ$6001,0))</f>
        <v/>
      </c>
      <c r="N866" s="7">
        <f>IF($V866="","",M866*L866)</f>
        <v/>
      </c>
      <c r="O866">
        <f>IF($V866="","",Settings!$C$6)</f>
        <v/>
      </c>
      <c r="P866" s="7">
        <f>IF($V866="","",SUMIFS('Per Line'!$R$2:$R$6001,'Per Line'!$C$2:$C$6001,$B866,'Per Line'!$AI$2:$AI$6001,1,'Per Line'!$AJ$2:$AJ$6001,0))</f>
        <v/>
      </c>
      <c r="Q866" s="7">
        <f>IF($V866="","",P866*O866)</f>
        <v/>
      </c>
      <c r="R866" s="7">
        <f>IF($V866="","",Q866+N866)</f>
        <v/>
      </c>
      <c r="S866" s="7">
        <f>IF($V866="","",T866-R866)</f>
        <v/>
      </c>
      <c r="T866" s="7">
        <f>IF($V866="","",M866+P866+K866)</f>
        <v/>
      </c>
      <c r="U866" s="7">
        <f>IF($V866="","",T866-R866-I866)</f>
        <v/>
      </c>
      <c r="V866" s="13">
        <f>IF(ROWS($V$2:$V866)&lt;=MAX('Per Line'!$AH$2:$AH$6001),MATCH(ROWS($V$2:$V866),'Per Line'!$AH$2:$AH$6001,0),"")</f>
        <v/>
      </c>
    </row>
    <row r="867">
      <c r="A867" s="12" t="n"/>
      <c r="B867">
        <f>IF($V867="","",INDEX('Per Line'!$C$2:$C$6001,$V867)&amp;"")</f>
        <v/>
      </c>
      <c r="C867" s="11">
        <f>IF($V867="","",INDEX('Per Line'!$D$2:$D$6001,$V867))</f>
        <v/>
      </c>
      <c r="D867">
        <f>IF($V867="","",INDEX('Per Line'!$E$2:$E$6001,$V867)&amp;"")</f>
        <v/>
      </c>
      <c r="E867">
        <f>IF($V867="","",INDEX('Per Line'!$G$2:$G$6001,$V867)&amp;"")</f>
        <v/>
      </c>
      <c r="F867">
        <f>IF($V867="","",INDEX('Per Line'!$H$2:$H$6001,$V867)&amp;"")</f>
        <v/>
      </c>
      <c r="G867">
        <f>IF($V867="","",INDEX('Per Line'!$I$2:$I$6001,$V867)&amp;"")</f>
        <v/>
      </c>
      <c r="H867">
        <f>IF($V867="","",INDEX('Per Line'!$J$2:$J$6001,$V867))</f>
        <v/>
      </c>
      <c r="I867" s="7">
        <f>IF($V867="","",H867*S867/100)</f>
        <v/>
      </c>
      <c r="J867">
        <f>IF($V867="","",INDEX('Per Line'!$S$2:$S$6001,$V867)&amp;"")</f>
        <v/>
      </c>
      <c r="K867" s="7">
        <f>IF($V867="","",SUMIFS('Per Line'!$R$2:$R$6001,'Per Line'!$C$2:$C$6001,$B867,'Per Line'!$AJ$2:$AJ$6001,1))</f>
        <v/>
      </c>
      <c r="L867">
        <f>IF($V867="","",Settings!$C$7)</f>
        <v/>
      </c>
      <c r="M867" s="7">
        <f>IF($V867="","",SUMIFS('Per Line'!$R$2:$R$6001,'Per Line'!$C$2:$C$6001,$B867,'Per Line'!$AI$2:$AI$6001,0,'Per Line'!$AJ$2:$AJ$6001,0))</f>
        <v/>
      </c>
      <c r="N867" s="7">
        <f>IF($V867="","",M867*L867)</f>
        <v/>
      </c>
      <c r="O867">
        <f>IF($V867="","",Settings!$C$6)</f>
        <v/>
      </c>
      <c r="P867" s="7">
        <f>IF($V867="","",SUMIFS('Per Line'!$R$2:$R$6001,'Per Line'!$C$2:$C$6001,$B867,'Per Line'!$AI$2:$AI$6001,1,'Per Line'!$AJ$2:$AJ$6001,0))</f>
        <v/>
      </c>
      <c r="Q867" s="7">
        <f>IF($V867="","",P867*O867)</f>
        <v/>
      </c>
      <c r="R867" s="7">
        <f>IF($V867="","",Q867+N867)</f>
        <v/>
      </c>
      <c r="S867" s="7">
        <f>IF($V867="","",T867-R867)</f>
        <v/>
      </c>
      <c r="T867" s="7">
        <f>IF($V867="","",M867+P867+K867)</f>
        <v/>
      </c>
      <c r="U867" s="7">
        <f>IF($V867="","",T867-R867-I867)</f>
        <v/>
      </c>
      <c r="V867" s="13">
        <f>IF(ROWS($V$2:$V867)&lt;=MAX('Per Line'!$AH$2:$AH$6001),MATCH(ROWS($V$2:$V867),'Per Line'!$AH$2:$AH$6001,0),"")</f>
        <v/>
      </c>
    </row>
    <row r="868">
      <c r="A868" s="12" t="n"/>
      <c r="B868">
        <f>IF($V868="","",INDEX('Per Line'!$C$2:$C$6001,$V868)&amp;"")</f>
        <v/>
      </c>
      <c r="C868" s="11">
        <f>IF($V868="","",INDEX('Per Line'!$D$2:$D$6001,$V868))</f>
        <v/>
      </c>
      <c r="D868">
        <f>IF($V868="","",INDEX('Per Line'!$E$2:$E$6001,$V868)&amp;"")</f>
        <v/>
      </c>
      <c r="E868">
        <f>IF($V868="","",INDEX('Per Line'!$G$2:$G$6001,$V868)&amp;"")</f>
        <v/>
      </c>
      <c r="F868">
        <f>IF($V868="","",INDEX('Per Line'!$H$2:$H$6001,$V868)&amp;"")</f>
        <v/>
      </c>
      <c r="G868">
        <f>IF($V868="","",INDEX('Per Line'!$I$2:$I$6001,$V868)&amp;"")</f>
        <v/>
      </c>
      <c r="H868">
        <f>IF($V868="","",INDEX('Per Line'!$J$2:$J$6001,$V868))</f>
        <v/>
      </c>
      <c r="I868" s="7">
        <f>IF($V868="","",H868*S868/100)</f>
        <v/>
      </c>
      <c r="J868">
        <f>IF($V868="","",INDEX('Per Line'!$S$2:$S$6001,$V868)&amp;"")</f>
        <v/>
      </c>
      <c r="K868" s="7">
        <f>IF($V868="","",SUMIFS('Per Line'!$R$2:$R$6001,'Per Line'!$C$2:$C$6001,$B868,'Per Line'!$AJ$2:$AJ$6001,1))</f>
        <v/>
      </c>
      <c r="L868">
        <f>IF($V868="","",Settings!$C$7)</f>
        <v/>
      </c>
      <c r="M868" s="7">
        <f>IF($V868="","",SUMIFS('Per Line'!$R$2:$R$6001,'Per Line'!$C$2:$C$6001,$B868,'Per Line'!$AI$2:$AI$6001,0,'Per Line'!$AJ$2:$AJ$6001,0))</f>
        <v/>
      </c>
      <c r="N868" s="7">
        <f>IF($V868="","",M868*L868)</f>
        <v/>
      </c>
      <c r="O868">
        <f>IF($V868="","",Settings!$C$6)</f>
        <v/>
      </c>
      <c r="P868" s="7">
        <f>IF($V868="","",SUMIFS('Per Line'!$R$2:$R$6001,'Per Line'!$C$2:$C$6001,$B868,'Per Line'!$AI$2:$AI$6001,1,'Per Line'!$AJ$2:$AJ$6001,0))</f>
        <v/>
      </c>
      <c r="Q868" s="7">
        <f>IF($V868="","",P868*O868)</f>
        <v/>
      </c>
      <c r="R868" s="7">
        <f>IF($V868="","",Q868+N868)</f>
        <v/>
      </c>
      <c r="S868" s="7">
        <f>IF($V868="","",T868-R868)</f>
        <v/>
      </c>
      <c r="T868" s="7">
        <f>IF($V868="","",M868+P868+K868)</f>
        <v/>
      </c>
      <c r="U868" s="7">
        <f>IF($V868="","",T868-R868-I868)</f>
        <v/>
      </c>
      <c r="V868" s="13">
        <f>IF(ROWS($V$2:$V868)&lt;=MAX('Per Line'!$AH$2:$AH$6001),MATCH(ROWS($V$2:$V868),'Per Line'!$AH$2:$AH$6001,0),"")</f>
        <v/>
      </c>
    </row>
    <row r="869">
      <c r="A869" s="12" t="n"/>
      <c r="B869">
        <f>IF($V869="","",INDEX('Per Line'!$C$2:$C$6001,$V869)&amp;"")</f>
        <v/>
      </c>
      <c r="C869" s="11">
        <f>IF($V869="","",INDEX('Per Line'!$D$2:$D$6001,$V869))</f>
        <v/>
      </c>
      <c r="D869">
        <f>IF($V869="","",INDEX('Per Line'!$E$2:$E$6001,$V869)&amp;"")</f>
        <v/>
      </c>
      <c r="E869">
        <f>IF($V869="","",INDEX('Per Line'!$G$2:$G$6001,$V869)&amp;"")</f>
        <v/>
      </c>
      <c r="F869">
        <f>IF($V869="","",INDEX('Per Line'!$H$2:$H$6001,$V869)&amp;"")</f>
        <v/>
      </c>
      <c r="G869">
        <f>IF($V869="","",INDEX('Per Line'!$I$2:$I$6001,$V869)&amp;"")</f>
        <v/>
      </c>
      <c r="H869">
        <f>IF($V869="","",INDEX('Per Line'!$J$2:$J$6001,$V869))</f>
        <v/>
      </c>
      <c r="I869" s="7">
        <f>IF($V869="","",H869*S869/100)</f>
        <v/>
      </c>
      <c r="J869">
        <f>IF($V869="","",INDEX('Per Line'!$S$2:$S$6001,$V869)&amp;"")</f>
        <v/>
      </c>
      <c r="K869" s="7">
        <f>IF($V869="","",SUMIFS('Per Line'!$R$2:$R$6001,'Per Line'!$C$2:$C$6001,$B869,'Per Line'!$AJ$2:$AJ$6001,1))</f>
        <v/>
      </c>
      <c r="L869">
        <f>IF($V869="","",Settings!$C$7)</f>
        <v/>
      </c>
      <c r="M869" s="7">
        <f>IF($V869="","",SUMIFS('Per Line'!$R$2:$R$6001,'Per Line'!$C$2:$C$6001,$B869,'Per Line'!$AI$2:$AI$6001,0,'Per Line'!$AJ$2:$AJ$6001,0))</f>
        <v/>
      </c>
      <c r="N869" s="7">
        <f>IF($V869="","",M869*L869)</f>
        <v/>
      </c>
      <c r="O869">
        <f>IF($V869="","",Settings!$C$6)</f>
        <v/>
      </c>
      <c r="P869" s="7">
        <f>IF($V869="","",SUMIFS('Per Line'!$R$2:$R$6001,'Per Line'!$C$2:$C$6001,$B869,'Per Line'!$AI$2:$AI$6001,1,'Per Line'!$AJ$2:$AJ$6001,0))</f>
        <v/>
      </c>
      <c r="Q869" s="7">
        <f>IF($V869="","",P869*O869)</f>
        <v/>
      </c>
      <c r="R869" s="7">
        <f>IF($V869="","",Q869+N869)</f>
        <v/>
      </c>
      <c r="S869" s="7">
        <f>IF($V869="","",T869-R869)</f>
        <v/>
      </c>
      <c r="T869" s="7">
        <f>IF($V869="","",M869+P869+K869)</f>
        <v/>
      </c>
      <c r="U869" s="7">
        <f>IF($V869="","",T869-R869-I869)</f>
        <v/>
      </c>
      <c r="V869" s="13">
        <f>IF(ROWS($V$2:$V869)&lt;=MAX('Per Line'!$AH$2:$AH$6001),MATCH(ROWS($V$2:$V869),'Per Line'!$AH$2:$AH$6001,0),"")</f>
        <v/>
      </c>
    </row>
    <row r="870">
      <c r="A870" s="12" t="n"/>
      <c r="B870">
        <f>IF($V870="","",INDEX('Per Line'!$C$2:$C$6001,$V870)&amp;"")</f>
        <v/>
      </c>
      <c r="C870" s="11">
        <f>IF($V870="","",INDEX('Per Line'!$D$2:$D$6001,$V870))</f>
        <v/>
      </c>
      <c r="D870">
        <f>IF($V870="","",INDEX('Per Line'!$E$2:$E$6001,$V870)&amp;"")</f>
        <v/>
      </c>
      <c r="E870">
        <f>IF($V870="","",INDEX('Per Line'!$G$2:$G$6001,$V870)&amp;"")</f>
        <v/>
      </c>
      <c r="F870">
        <f>IF($V870="","",INDEX('Per Line'!$H$2:$H$6001,$V870)&amp;"")</f>
        <v/>
      </c>
      <c r="G870">
        <f>IF($V870="","",INDEX('Per Line'!$I$2:$I$6001,$V870)&amp;"")</f>
        <v/>
      </c>
      <c r="H870">
        <f>IF($V870="","",INDEX('Per Line'!$J$2:$J$6001,$V870))</f>
        <v/>
      </c>
      <c r="I870" s="7">
        <f>IF($V870="","",H870*S870/100)</f>
        <v/>
      </c>
      <c r="J870">
        <f>IF($V870="","",INDEX('Per Line'!$S$2:$S$6001,$V870)&amp;"")</f>
        <v/>
      </c>
      <c r="K870" s="7">
        <f>IF($V870="","",SUMIFS('Per Line'!$R$2:$R$6001,'Per Line'!$C$2:$C$6001,$B870,'Per Line'!$AJ$2:$AJ$6001,1))</f>
        <v/>
      </c>
      <c r="L870">
        <f>IF($V870="","",Settings!$C$7)</f>
        <v/>
      </c>
      <c r="M870" s="7">
        <f>IF($V870="","",SUMIFS('Per Line'!$R$2:$R$6001,'Per Line'!$C$2:$C$6001,$B870,'Per Line'!$AI$2:$AI$6001,0,'Per Line'!$AJ$2:$AJ$6001,0))</f>
        <v/>
      </c>
      <c r="N870" s="7">
        <f>IF($V870="","",M870*L870)</f>
        <v/>
      </c>
      <c r="O870">
        <f>IF($V870="","",Settings!$C$6)</f>
        <v/>
      </c>
      <c r="P870" s="7">
        <f>IF($V870="","",SUMIFS('Per Line'!$R$2:$R$6001,'Per Line'!$C$2:$C$6001,$B870,'Per Line'!$AI$2:$AI$6001,1,'Per Line'!$AJ$2:$AJ$6001,0))</f>
        <v/>
      </c>
      <c r="Q870" s="7">
        <f>IF($V870="","",P870*O870)</f>
        <v/>
      </c>
      <c r="R870" s="7">
        <f>IF($V870="","",Q870+N870)</f>
        <v/>
      </c>
      <c r="S870" s="7">
        <f>IF($V870="","",T870-R870)</f>
        <v/>
      </c>
      <c r="T870" s="7">
        <f>IF($V870="","",M870+P870+K870)</f>
        <v/>
      </c>
      <c r="U870" s="7">
        <f>IF($V870="","",T870-R870-I870)</f>
        <v/>
      </c>
      <c r="V870" s="13">
        <f>IF(ROWS($V$2:$V870)&lt;=MAX('Per Line'!$AH$2:$AH$6001),MATCH(ROWS($V$2:$V870),'Per Line'!$AH$2:$AH$6001,0),"")</f>
        <v/>
      </c>
    </row>
    <row r="871">
      <c r="A871" s="12" t="n"/>
      <c r="B871">
        <f>IF($V871="","",INDEX('Per Line'!$C$2:$C$6001,$V871)&amp;"")</f>
        <v/>
      </c>
      <c r="C871" s="11">
        <f>IF($V871="","",INDEX('Per Line'!$D$2:$D$6001,$V871))</f>
        <v/>
      </c>
      <c r="D871">
        <f>IF($V871="","",INDEX('Per Line'!$E$2:$E$6001,$V871)&amp;"")</f>
        <v/>
      </c>
      <c r="E871">
        <f>IF($V871="","",INDEX('Per Line'!$G$2:$G$6001,$V871)&amp;"")</f>
        <v/>
      </c>
      <c r="F871">
        <f>IF($V871="","",INDEX('Per Line'!$H$2:$H$6001,$V871)&amp;"")</f>
        <v/>
      </c>
      <c r="G871">
        <f>IF($V871="","",INDEX('Per Line'!$I$2:$I$6001,$V871)&amp;"")</f>
        <v/>
      </c>
      <c r="H871">
        <f>IF($V871="","",INDEX('Per Line'!$J$2:$J$6001,$V871))</f>
        <v/>
      </c>
      <c r="I871" s="7">
        <f>IF($V871="","",H871*S871/100)</f>
        <v/>
      </c>
      <c r="J871">
        <f>IF($V871="","",INDEX('Per Line'!$S$2:$S$6001,$V871)&amp;"")</f>
        <v/>
      </c>
      <c r="K871" s="7">
        <f>IF($V871="","",SUMIFS('Per Line'!$R$2:$R$6001,'Per Line'!$C$2:$C$6001,$B871,'Per Line'!$AJ$2:$AJ$6001,1))</f>
        <v/>
      </c>
      <c r="L871">
        <f>IF($V871="","",Settings!$C$7)</f>
        <v/>
      </c>
      <c r="M871" s="7">
        <f>IF($V871="","",SUMIFS('Per Line'!$R$2:$R$6001,'Per Line'!$C$2:$C$6001,$B871,'Per Line'!$AI$2:$AI$6001,0,'Per Line'!$AJ$2:$AJ$6001,0))</f>
        <v/>
      </c>
      <c r="N871" s="7">
        <f>IF($V871="","",M871*L871)</f>
        <v/>
      </c>
      <c r="O871">
        <f>IF($V871="","",Settings!$C$6)</f>
        <v/>
      </c>
      <c r="P871" s="7">
        <f>IF($V871="","",SUMIFS('Per Line'!$R$2:$R$6001,'Per Line'!$C$2:$C$6001,$B871,'Per Line'!$AI$2:$AI$6001,1,'Per Line'!$AJ$2:$AJ$6001,0))</f>
        <v/>
      </c>
      <c r="Q871" s="7">
        <f>IF($V871="","",P871*O871)</f>
        <v/>
      </c>
      <c r="R871" s="7">
        <f>IF($V871="","",Q871+N871)</f>
        <v/>
      </c>
      <c r="S871" s="7">
        <f>IF($V871="","",T871-R871)</f>
        <v/>
      </c>
      <c r="T871" s="7">
        <f>IF($V871="","",M871+P871+K871)</f>
        <v/>
      </c>
      <c r="U871" s="7">
        <f>IF($V871="","",T871-R871-I871)</f>
        <v/>
      </c>
      <c r="V871" s="13">
        <f>IF(ROWS($V$2:$V871)&lt;=MAX('Per Line'!$AH$2:$AH$6001),MATCH(ROWS($V$2:$V871),'Per Line'!$AH$2:$AH$6001,0),"")</f>
        <v/>
      </c>
    </row>
    <row r="872">
      <c r="A872" s="12" t="n"/>
      <c r="B872">
        <f>IF($V872="","",INDEX('Per Line'!$C$2:$C$6001,$V872)&amp;"")</f>
        <v/>
      </c>
      <c r="C872" s="11">
        <f>IF($V872="","",INDEX('Per Line'!$D$2:$D$6001,$V872))</f>
        <v/>
      </c>
      <c r="D872">
        <f>IF($V872="","",INDEX('Per Line'!$E$2:$E$6001,$V872)&amp;"")</f>
        <v/>
      </c>
      <c r="E872">
        <f>IF($V872="","",INDEX('Per Line'!$G$2:$G$6001,$V872)&amp;"")</f>
        <v/>
      </c>
      <c r="F872">
        <f>IF($V872="","",INDEX('Per Line'!$H$2:$H$6001,$V872)&amp;"")</f>
        <v/>
      </c>
      <c r="G872">
        <f>IF($V872="","",INDEX('Per Line'!$I$2:$I$6001,$V872)&amp;"")</f>
        <v/>
      </c>
      <c r="H872">
        <f>IF($V872="","",INDEX('Per Line'!$J$2:$J$6001,$V872))</f>
        <v/>
      </c>
      <c r="I872" s="7">
        <f>IF($V872="","",H872*S872/100)</f>
        <v/>
      </c>
      <c r="J872">
        <f>IF($V872="","",INDEX('Per Line'!$S$2:$S$6001,$V872)&amp;"")</f>
        <v/>
      </c>
      <c r="K872" s="7">
        <f>IF($V872="","",SUMIFS('Per Line'!$R$2:$R$6001,'Per Line'!$C$2:$C$6001,$B872,'Per Line'!$AJ$2:$AJ$6001,1))</f>
        <v/>
      </c>
      <c r="L872">
        <f>IF($V872="","",Settings!$C$7)</f>
        <v/>
      </c>
      <c r="M872" s="7">
        <f>IF($V872="","",SUMIFS('Per Line'!$R$2:$R$6001,'Per Line'!$C$2:$C$6001,$B872,'Per Line'!$AI$2:$AI$6001,0,'Per Line'!$AJ$2:$AJ$6001,0))</f>
        <v/>
      </c>
      <c r="N872" s="7">
        <f>IF($V872="","",M872*L872)</f>
        <v/>
      </c>
      <c r="O872">
        <f>IF($V872="","",Settings!$C$6)</f>
        <v/>
      </c>
      <c r="P872" s="7">
        <f>IF($V872="","",SUMIFS('Per Line'!$R$2:$R$6001,'Per Line'!$C$2:$C$6001,$B872,'Per Line'!$AI$2:$AI$6001,1,'Per Line'!$AJ$2:$AJ$6001,0))</f>
        <v/>
      </c>
      <c r="Q872" s="7">
        <f>IF($V872="","",P872*O872)</f>
        <v/>
      </c>
      <c r="R872" s="7">
        <f>IF($V872="","",Q872+N872)</f>
        <v/>
      </c>
      <c r="S872" s="7">
        <f>IF($V872="","",T872-R872)</f>
        <v/>
      </c>
      <c r="T872" s="7">
        <f>IF($V872="","",M872+P872+K872)</f>
        <v/>
      </c>
      <c r="U872" s="7">
        <f>IF($V872="","",T872-R872-I872)</f>
        <v/>
      </c>
      <c r="V872" s="13">
        <f>IF(ROWS($V$2:$V872)&lt;=MAX('Per Line'!$AH$2:$AH$6001),MATCH(ROWS($V$2:$V872),'Per Line'!$AH$2:$AH$6001,0),"")</f>
        <v/>
      </c>
    </row>
    <row r="873">
      <c r="A873" s="12" t="n"/>
      <c r="B873">
        <f>IF($V873="","",INDEX('Per Line'!$C$2:$C$6001,$V873)&amp;"")</f>
        <v/>
      </c>
      <c r="C873" s="11">
        <f>IF($V873="","",INDEX('Per Line'!$D$2:$D$6001,$V873))</f>
        <v/>
      </c>
      <c r="D873">
        <f>IF($V873="","",INDEX('Per Line'!$E$2:$E$6001,$V873)&amp;"")</f>
        <v/>
      </c>
      <c r="E873">
        <f>IF($V873="","",INDEX('Per Line'!$G$2:$G$6001,$V873)&amp;"")</f>
        <v/>
      </c>
      <c r="F873">
        <f>IF($V873="","",INDEX('Per Line'!$H$2:$H$6001,$V873)&amp;"")</f>
        <v/>
      </c>
      <c r="G873">
        <f>IF($V873="","",INDEX('Per Line'!$I$2:$I$6001,$V873)&amp;"")</f>
        <v/>
      </c>
      <c r="H873">
        <f>IF($V873="","",INDEX('Per Line'!$J$2:$J$6001,$V873))</f>
        <v/>
      </c>
      <c r="I873" s="7">
        <f>IF($V873="","",H873*S873/100)</f>
        <v/>
      </c>
      <c r="J873">
        <f>IF($V873="","",INDEX('Per Line'!$S$2:$S$6001,$V873)&amp;"")</f>
        <v/>
      </c>
      <c r="K873" s="7">
        <f>IF($V873="","",SUMIFS('Per Line'!$R$2:$R$6001,'Per Line'!$C$2:$C$6001,$B873,'Per Line'!$AJ$2:$AJ$6001,1))</f>
        <v/>
      </c>
      <c r="L873">
        <f>IF($V873="","",Settings!$C$7)</f>
        <v/>
      </c>
      <c r="M873" s="7">
        <f>IF($V873="","",SUMIFS('Per Line'!$R$2:$R$6001,'Per Line'!$C$2:$C$6001,$B873,'Per Line'!$AI$2:$AI$6001,0,'Per Line'!$AJ$2:$AJ$6001,0))</f>
        <v/>
      </c>
      <c r="N873" s="7">
        <f>IF($V873="","",M873*L873)</f>
        <v/>
      </c>
      <c r="O873">
        <f>IF($V873="","",Settings!$C$6)</f>
        <v/>
      </c>
      <c r="P873" s="7">
        <f>IF($V873="","",SUMIFS('Per Line'!$R$2:$R$6001,'Per Line'!$C$2:$C$6001,$B873,'Per Line'!$AI$2:$AI$6001,1,'Per Line'!$AJ$2:$AJ$6001,0))</f>
        <v/>
      </c>
      <c r="Q873" s="7">
        <f>IF($V873="","",P873*O873)</f>
        <v/>
      </c>
      <c r="R873" s="7">
        <f>IF($V873="","",Q873+N873)</f>
        <v/>
      </c>
      <c r="S873" s="7">
        <f>IF($V873="","",T873-R873)</f>
        <v/>
      </c>
      <c r="T873" s="7">
        <f>IF($V873="","",M873+P873+K873)</f>
        <v/>
      </c>
      <c r="U873" s="7">
        <f>IF($V873="","",T873-R873-I873)</f>
        <v/>
      </c>
      <c r="V873" s="13">
        <f>IF(ROWS($V$2:$V873)&lt;=MAX('Per Line'!$AH$2:$AH$6001),MATCH(ROWS($V$2:$V873),'Per Line'!$AH$2:$AH$6001,0),"")</f>
        <v/>
      </c>
    </row>
    <row r="874">
      <c r="A874" s="12" t="n"/>
      <c r="B874">
        <f>IF($V874="","",INDEX('Per Line'!$C$2:$C$6001,$V874)&amp;"")</f>
        <v/>
      </c>
      <c r="C874" s="11">
        <f>IF($V874="","",INDEX('Per Line'!$D$2:$D$6001,$V874))</f>
        <v/>
      </c>
      <c r="D874">
        <f>IF($V874="","",INDEX('Per Line'!$E$2:$E$6001,$V874)&amp;"")</f>
        <v/>
      </c>
      <c r="E874">
        <f>IF($V874="","",INDEX('Per Line'!$G$2:$G$6001,$V874)&amp;"")</f>
        <v/>
      </c>
      <c r="F874">
        <f>IF($V874="","",INDEX('Per Line'!$H$2:$H$6001,$V874)&amp;"")</f>
        <v/>
      </c>
      <c r="G874">
        <f>IF($V874="","",INDEX('Per Line'!$I$2:$I$6001,$V874)&amp;"")</f>
        <v/>
      </c>
      <c r="H874">
        <f>IF($V874="","",INDEX('Per Line'!$J$2:$J$6001,$V874))</f>
        <v/>
      </c>
      <c r="I874" s="7">
        <f>IF($V874="","",H874*S874/100)</f>
        <v/>
      </c>
      <c r="J874">
        <f>IF($V874="","",INDEX('Per Line'!$S$2:$S$6001,$V874)&amp;"")</f>
        <v/>
      </c>
      <c r="K874" s="7">
        <f>IF($V874="","",SUMIFS('Per Line'!$R$2:$R$6001,'Per Line'!$C$2:$C$6001,$B874,'Per Line'!$AJ$2:$AJ$6001,1))</f>
        <v/>
      </c>
      <c r="L874">
        <f>IF($V874="","",Settings!$C$7)</f>
        <v/>
      </c>
      <c r="M874" s="7">
        <f>IF($V874="","",SUMIFS('Per Line'!$R$2:$R$6001,'Per Line'!$C$2:$C$6001,$B874,'Per Line'!$AI$2:$AI$6001,0,'Per Line'!$AJ$2:$AJ$6001,0))</f>
        <v/>
      </c>
      <c r="N874" s="7">
        <f>IF($V874="","",M874*L874)</f>
        <v/>
      </c>
      <c r="O874">
        <f>IF($V874="","",Settings!$C$6)</f>
        <v/>
      </c>
      <c r="P874" s="7">
        <f>IF($V874="","",SUMIFS('Per Line'!$R$2:$R$6001,'Per Line'!$C$2:$C$6001,$B874,'Per Line'!$AI$2:$AI$6001,1,'Per Line'!$AJ$2:$AJ$6001,0))</f>
        <v/>
      </c>
      <c r="Q874" s="7">
        <f>IF($V874="","",P874*O874)</f>
        <v/>
      </c>
      <c r="R874" s="7">
        <f>IF($V874="","",Q874+N874)</f>
        <v/>
      </c>
      <c r="S874" s="7">
        <f>IF($V874="","",T874-R874)</f>
        <v/>
      </c>
      <c r="T874" s="7">
        <f>IF($V874="","",M874+P874+K874)</f>
        <v/>
      </c>
      <c r="U874" s="7">
        <f>IF($V874="","",T874-R874-I874)</f>
        <v/>
      </c>
      <c r="V874" s="13">
        <f>IF(ROWS($V$2:$V874)&lt;=MAX('Per Line'!$AH$2:$AH$6001),MATCH(ROWS($V$2:$V874),'Per Line'!$AH$2:$AH$6001,0),"")</f>
        <v/>
      </c>
    </row>
    <row r="875">
      <c r="A875" s="12" t="n"/>
      <c r="B875">
        <f>IF($V875="","",INDEX('Per Line'!$C$2:$C$6001,$V875)&amp;"")</f>
        <v/>
      </c>
      <c r="C875" s="11">
        <f>IF($V875="","",INDEX('Per Line'!$D$2:$D$6001,$V875))</f>
        <v/>
      </c>
      <c r="D875">
        <f>IF($V875="","",INDEX('Per Line'!$E$2:$E$6001,$V875)&amp;"")</f>
        <v/>
      </c>
      <c r="E875">
        <f>IF($V875="","",INDEX('Per Line'!$G$2:$G$6001,$V875)&amp;"")</f>
        <v/>
      </c>
      <c r="F875">
        <f>IF($V875="","",INDEX('Per Line'!$H$2:$H$6001,$V875)&amp;"")</f>
        <v/>
      </c>
      <c r="G875">
        <f>IF($V875="","",INDEX('Per Line'!$I$2:$I$6001,$V875)&amp;"")</f>
        <v/>
      </c>
      <c r="H875">
        <f>IF($V875="","",INDEX('Per Line'!$J$2:$J$6001,$V875))</f>
        <v/>
      </c>
      <c r="I875" s="7">
        <f>IF($V875="","",H875*S875/100)</f>
        <v/>
      </c>
      <c r="J875">
        <f>IF($V875="","",INDEX('Per Line'!$S$2:$S$6001,$V875)&amp;"")</f>
        <v/>
      </c>
      <c r="K875" s="7">
        <f>IF($V875="","",SUMIFS('Per Line'!$R$2:$R$6001,'Per Line'!$C$2:$C$6001,$B875,'Per Line'!$AJ$2:$AJ$6001,1))</f>
        <v/>
      </c>
      <c r="L875">
        <f>IF($V875="","",Settings!$C$7)</f>
        <v/>
      </c>
      <c r="M875" s="7">
        <f>IF($V875="","",SUMIFS('Per Line'!$R$2:$R$6001,'Per Line'!$C$2:$C$6001,$B875,'Per Line'!$AI$2:$AI$6001,0,'Per Line'!$AJ$2:$AJ$6001,0))</f>
        <v/>
      </c>
      <c r="N875" s="7">
        <f>IF($V875="","",M875*L875)</f>
        <v/>
      </c>
      <c r="O875">
        <f>IF($V875="","",Settings!$C$6)</f>
        <v/>
      </c>
      <c r="P875" s="7">
        <f>IF($V875="","",SUMIFS('Per Line'!$R$2:$R$6001,'Per Line'!$C$2:$C$6001,$B875,'Per Line'!$AI$2:$AI$6001,1,'Per Line'!$AJ$2:$AJ$6001,0))</f>
        <v/>
      </c>
      <c r="Q875" s="7">
        <f>IF($V875="","",P875*O875)</f>
        <v/>
      </c>
      <c r="R875" s="7">
        <f>IF($V875="","",Q875+N875)</f>
        <v/>
      </c>
      <c r="S875" s="7">
        <f>IF($V875="","",T875-R875)</f>
        <v/>
      </c>
      <c r="T875" s="7">
        <f>IF($V875="","",M875+P875+K875)</f>
        <v/>
      </c>
      <c r="U875" s="7">
        <f>IF($V875="","",T875-R875-I875)</f>
        <v/>
      </c>
      <c r="V875" s="13">
        <f>IF(ROWS($V$2:$V875)&lt;=MAX('Per Line'!$AH$2:$AH$6001),MATCH(ROWS($V$2:$V875),'Per Line'!$AH$2:$AH$6001,0),"")</f>
        <v/>
      </c>
    </row>
    <row r="876">
      <c r="A876" s="12" t="n"/>
      <c r="B876">
        <f>IF($V876="","",INDEX('Per Line'!$C$2:$C$6001,$V876)&amp;"")</f>
        <v/>
      </c>
      <c r="C876" s="11">
        <f>IF($V876="","",INDEX('Per Line'!$D$2:$D$6001,$V876))</f>
        <v/>
      </c>
      <c r="D876">
        <f>IF($V876="","",INDEX('Per Line'!$E$2:$E$6001,$V876)&amp;"")</f>
        <v/>
      </c>
      <c r="E876">
        <f>IF($V876="","",INDEX('Per Line'!$G$2:$G$6001,$V876)&amp;"")</f>
        <v/>
      </c>
      <c r="F876">
        <f>IF($V876="","",INDEX('Per Line'!$H$2:$H$6001,$V876)&amp;"")</f>
        <v/>
      </c>
      <c r="G876">
        <f>IF($V876="","",INDEX('Per Line'!$I$2:$I$6001,$V876)&amp;"")</f>
        <v/>
      </c>
      <c r="H876">
        <f>IF($V876="","",INDEX('Per Line'!$J$2:$J$6001,$V876))</f>
        <v/>
      </c>
      <c r="I876" s="7">
        <f>IF($V876="","",H876*S876/100)</f>
        <v/>
      </c>
      <c r="J876">
        <f>IF($V876="","",INDEX('Per Line'!$S$2:$S$6001,$V876)&amp;"")</f>
        <v/>
      </c>
      <c r="K876" s="7">
        <f>IF($V876="","",SUMIFS('Per Line'!$R$2:$R$6001,'Per Line'!$C$2:$C$6001,$B876,'Per Line'!$AJ$2:$AJ$6001,1))</f>
        <v/>
      </c>
      <c r="L876">
        <f>IF($V876="","",Settings!$C$7)</f>
        <v/>
      </c>
      <c r="M876" s="7">
        <f>IF($V876="","",SUMIFS('Per Line'!$R$2:$R$6001,'Per Line'!$C$2:$C$6001,$B876,'Per Line'!$AI$2:$AI$6001,0,'Per Line'!$AJ$2:$AJ$6001,0))</f>
        <v/>
      </c>
      <c r="N876" s="7">
        <f>IF($V876="","",M876*L876)</f>
        <v/>
      </c>
      <c r="O876">
        <f>IF($V876="","",Settings!$C$6)</f>
        <v/>
      </c>
      <c r="P876" s="7">
        <f>IF($V876="","",SUMIFS('Per Line'!$R$2:$R$6001,'Per Line'!$C$2:$C$6001,$B876,'Per Line'!$AI$2:$AI$6001,1,'Per Line'!$AJ$2:$AJ$6001,0))</f>
        <v/>
      </c>
      <c r="Q876" s="7">
        <f>IF($V876="","",P876*O876)</f>
        <v/>
      </c>
      <c r="R876" s="7">
        <f>IF($V876="","",Q876+N876)</f>
        <v/>
      </c>
      <c r="S876" s="7">
        <f>IF($V876="","",T876-R876)</f>
        <v/>
      </c>
      <c r="T876" s="7">
        <f>IF($V876="","",M876+P876+K876)</f>
        <v/>
      </c>
      <c r="U876" s="7">
        <f>IF($V876="","",T876-R876-I876)</f>
        <v/>
      </c>
      <c r="V876" s="13">
        <f>IF(ROWS($V$2:$V876)&lt;=MAX('Per Line'!$AH$2:$AH$6001),MATCH(ROWS($V$2:$V876),'Per Line'!$AH$2:$AH$6001,0),"")</f>
        <v/>
      </c>
    </row>
    <row r="877">
      <c r="A877" s="12" t="n"/>
      <c r="B877">
        <f>IF($V877="","",INDEX('Per Line'!$C$2:$C$6001,$V877)&amp;"")</f>
        <v/>
      </c>
      <c r="C877" s="11">
        <f>IF($V877="","",INDEX('Per Line'!$D$2:$D$6001,$V877))</f>
        <v/>
      </c>
      <c r="D877">
        <f>IF($V877="","",INDEX('Per Line'!$E$2:$E$6001,$V877)&amp;"")</f>
        <v/>
      </c>
      <c r="E877">
        <f>IF($V877="","",INDEX('Per Line'!$G$2:$G$6001,$V877)&amp;"")</f>
        <v/>
      </c>
      <c r="F877">
        <f>IF($V877="","",INDEX('Per Line'!$H$2:$H$6001,$V877)&amp;"")</f>
        <v/>
      </c>
      <c r="G877">
        <f>IF($V877="","",INDEX('Per Line'!$I$2:$I$6001,$V877)&amp;"")</f>
        <v/>
      </c>
      <c r="H877">
        <f>IF($V877="","",INDEX('Per Line'!$J$2:$J$6001,$V877))</f>
        <v/>
      </c>
      <c r="I877" s="7">
        <f>IF($V877="","",H877*S877/100)</f>
        <v/>
      </c>
      <c r="J877">
        <f>IF($V877="","",INDEX('Per Line'!$S$2:$S$6001,$V877)&amp;"")</f>
        <v/>
      </c>
      <c r="K877" s="7">
        <f>IF($V877="","",SUMIFS('Per Line'!$R$2:$R$6001,'Per Line'!$C$2:$C$6001,$B877,'Per Line'!$AJ$2:$AJ$6001,1))</f>
        <v/>
      </c>
      <c r="L877">
        <f>IF($V877="","",Settings!$C$7)</f>
        <v/>
      </c>
      <c r="M877" s="7">
        <f>IF($V877="","",SUMIFS('Per Line'!$R$2:$R$6001,'Per Line'!$C$2:$C$6001,$B877,'Per Line'!$AI$2:$AI$6001,0,'Per Line'!$AJ$2:$AJ$6001,0))</f>
        <v/>
      </c>
      <c r="N877" s="7">
        <f>IF($V877="","",M877*L877)</f>
        <v/>
      </c>
      <c r="O877">
        <f>IF($V877="","",Settings!$C$6)</f>
        <v/>
      </c>
      <c r="P877" s="7">
        <f>IF($V877="","",SUMIFS('Per Line'!$R$2:$R$6001,'Per Line'!$C$2:$C$6001,$B877,'Per Line'!$AI$2:$AI$6001,1,'Per Line'!$AJ$2:$AJ$6001,0))</f>
        <v/>
      </c>
      <c r="Q877" s="7">
        <f>IF($V877="","",P877*O877)</f>
        <v/>
      </c>
      <c r="R877" s="7">
        <f>IF($V877="","",Q877+N877)</f>
        <v/>
      </c>
      <c r="S877" s="7">
        <f>IF($V877="","",T877-R877)</f>
        <v/>
      </c>
      <c r="T877" s="7">
        <f>IF($V877="","",M877+P877+K877)</f>
        <v/>
      </c>
      <c r="U877" s="7">
        <f>IF($V877="","",T877-R877-I877)</f>
        <v/>
      </c>
      <c r="V877" s="13">
        <f>IF(ROWS($V$2:$V877)&lt;=MAX('Per Line'!$AH$2:$AH$6001),MATCH(ROWS($V$2:$V877),'Per Line'!$AH$2:$AH$6001,0),"")</f>
        <v/>
      </c>
    </row>
    <row r="878">
      <c r="A878" s="12" t="n"/>
      <c r="B878">
        <f>IF($V878="","",INDEX('Per Line'!$C$2:$C$6001,$V878)&amp;"")</f>
        <v/>
      </c>
      <c r="C878" s="11">
        <f>IF($V878="","",INDEX('Per Line'!$D$2:$D$6001,$V878))</f>
        <v/>
      </c>
      <c r="D878">
        <f>IF($V878="","",INDEX('Per Line'!$E$2:$E$6001,$V878)&amp;"")</f>
        <v/>
      </c>
      <c r="E878">
        <f>IF($V878="","",INDEX('Per Line'!$G$2:$G$6001,$V878)&amp;"")</f>
        <v/>
      </c>
      <c r="F878">
        <f>IF($V878="","",INDEX('Per Line'!$H$2:$H$6001,$V878)&amp;"")</f>
        <v/>
      </c>
      <c r="G878">
        <f>IF($V878="","",INDEX('Per Line'!$I$2:$I$6001,$V878)&amp;"")</f>
        <v/>
      </c>
      <c r="H878">
        <f>IF($V878="","",INDEX('Per Line'!$J$2:$J$6001,$V878))</f>
        <v/>
      </c>
      <c r="I878" s="7">
        <f>IF($V878="","",H878*S878/100)</f>
        <v/>
      </c>
      <c r="J878">
        <f>IF($V878="","",INDEX('Per Line'!$S$2:$S$6001,$V878)&amp;"")</f>
        <v/>
      </c>
      <c r="K878" s="7">
        <f>IF($V878="","",SUMIFS('Per Line'!$R$2:$R$6001,'Per Line'!$C$2:$C$6001,$B878,'Per Line'!$AJ$2:$AJ$6001,1))</f>
        <v/>
      </c>
      <c r="L878">
        <f>IF($V878="","",Settings!$C$7)</f>
        <v/>
      </c>
      <c r="M878" s="7">
        <f>IF($V878="","",SUMIFS('Per Line'!$R$2:$R$6001,'Per Line'!$C$2:$C$6001,$B878,'Per Line'!$AI$2:$AI$6001,0,'Per Line'!$AJ$2:$AJ$6001,0))</f>
        <v/>
      </c>
      <c r="N878" s="7">
        <f>IF($V878="","",M878*L878)</f>
        <v/>
      </c>
      <c r="O878">
        <f>IF($V878="","",Settings!$C$6)</f>
        <v/>
      </c>
      <c r="P878" s="7">
        <f>IF($V878="","",SUMIFS('Per Line'!$R$2:$R$6001,'Per Line'!$C$2:$C$6001,$B878,'Per Line'!$AI$2:$AI$6001,1,'Per Line'!$AJ$2:$AJ$6001,0))</f>
        <v/>
      </c>
      <c r="Q878" s="7">
        <f>IF($V878="","",P878*O878)</f>
        <v/>
      </c>
      <c r="R878" s="7">
        <f>IF($V878="","",Q878+N878)</f>
        <v/>
      </c>
      <c r="S878" s="7">
        <f>IF($V878="","",T878-R878)</f>
        <v/>
      </c>
      <c r="T878" s="7">
        <f>IF($V878="","",M878+P878+K878)</f>
        <v/>
      </c>
      <c r="U878" s="7">
        <f>IF($V878="","",T878-R878-I878)</f>
        <v/>
      </c>
      <c r="V878" s="13">
        <f>IF(ROWS($V$2:$V878)&lt;=MAX('Per Line'!$AH$2:$AH$6001),MATCH(ROWS($V$2:$V878),'Per Line'!$AH$2:$AH$6001,0),"")</f>
        <v/>
      </c>
    </row>
    <row r="879">
      <c r="A879" s="12" t="n"/>
      <c r="B879">
        <f>IF($V879="","",INDEX('Per Line'!$C$2:$C$6001,$V879)&amp;"")</f>
        <v/>
      </c>
      <c r="C879" s="11">
        <f>IF($V879="","",INDEX('Per Line'!$D$2:$D$6001,$V879))</f>
        <v/>
      </c>
      <c r="D879">
        <f>IF($V879="","",INDEX('Per Line'!$E$2:$E$6001,$V879)&amp;"")</f>
        <v/>
      </c>
      <c r="E879">
        <f>IF($V879="","",INDEX('Per Line'!$G$2:$G$6001,$V879)&amp;"")</f>
        <v/>
      </c>
      <c r="F879">
        <f>IF($V879="","",INDEX('Per Line'!$H$2:$H$6001,$V879)&amp;"")</f>
        <v/>
      </c>
      <c r="G879">
        <f>IF($V879="","",INDEX('Per Line'!$I$2:$I$6001,$V879)&amp;"")</f>
        <v/>
      </c>
      <c r="H879">
        <f>IF($V879="","",INDEX('Per Line'!$J$2:$J$6001,$V879))</f>
        <v/>
      </c>
      <c r="I879" s="7">
        <f>IF($V879="","",H879*S879/100)</f>
        <v/>
      </c>
      <c r="J879">
        <f>IF($V879="","",INDEX('Per Line'!$S$2:$S$6001,$V879)&amp;"")</f>
        <v/>
      </c>
      <c r="K879" s="7">
        <f>IF($V879="","",SUMIFS('Per Line'!$R$2:$R$6001,'Per Line'!$C$2:$C$6001,$B879,'Per Line'!$AJ$2:$AJ$6001,1))</f>
        <v/>
      </c>
      <c r="L879">
        <f>IF($V879="","",Settings!$C$7)</f>
        <v/>
      </c>
      <c r="M879" s="7">
        <f>IF($V879="","",SUMIFS('Per Line'!$R$2:$R$6001,'Per Line'!$C$2:$C$6001,$B879,'Per Line'!$AI$2:$AI$6001,0,'Per Line'!$AJ$2:$AJ$6001,0))</f>
        <v/>
      </c>
      <c r="N879" s="7">
        <f>IF($V879="","",M879*L879)</f>
        <v/>
      </c>
      <c r="O879">
        <f>IF($V879="","",Settings!$C$6)</f>
        <v/>
      </c>
      <c r="P879" s="7">
        <f>IF($V879="","",SUMIFS('Per Line'!$R$2:$R$6001,'Per Line'!$C$2:$C$6001,$B879,'Per Line'!$AI$2:$AI$6001,1,'Per Line'!$AJ$2:$AJ$6001,0))</f>
        <v/>
      </c>
      <c r="Q879" s="7">
        <f>IF($V879="","",P879*O879)</f>
        <v/>
      </c>
      <c r="R879" s="7">
        <f>IF($V879="","",Q879+N879)</f>
        <v/>
      </c>
      <c r="S879" s="7">
        <f>IF($V879="","",T879-R879)</f>
        <v/>
      </c>
      <c r="T879" s="7">
        <f>IF($V879="","",M879+P879+K879)</f>
        <v/>
      </c>
      <c r="U879" s="7">
        <f>IF($V879="","",T879-R879-I879)</f>
        <v/>
      </c>
      <c r="V879" s="13">
        <f>IF(ROWS($V$2:$V879)&lt;=MAX('Per Line'!$AH$2:$AH$6001),MATCH(ROWS($V$2:$V879),'Per Line'!$AH$2:$AH$6001,0),"")</f>
        <v/>
      </c>
    </row>
    <row r="880">
      <c r="A880" s="12" t="n"/>
      <c r="B880">
        <f>IF($V880="","",INDEX('Per Line'!$C$2:$C$6001,$V880)&amp;"")</f>
        <v/>
      </c>
      <c r="C880" s="11">
        <f>IF($V880="","",INDEX('Per Line'!$D$2:$D$6001,$V880))</f>
        <v/>
      </c>
      <c r="D880">
        <f>IF($V880="","",INDEX('Per Line'!$E$2:$E$6001,$V880)&amp;"")</f>
        <v/>
      </c>
      <c r="E880">
        <f>IF($V880="","",INDEX('Per Line'!$G$2:$G$6001,$V880)&amp;"")</f>
        <v/>
      </c>
      <c r="F880">
        <f>IF($V880="","",INDEX('Per Line'!$H$2:$H$6001,$V880)&amp;"")</f>
        <v/>
      </c>
      <c r="G880">
        <f>IF($V880="","",INDEX('Per Line'!$I$2:$I$6001,$V880)&amp;"")</f>
        <v/>
      </c>
      <c r="H880">
        <f>IF($V880="","",INDEX('Per Line'!$J$2:$J$6001,$V880))</f>
        <v/>
      </c>
      <c r="I880" s="7">
        <f>IF($V880="","",H880*S880/100)</f>
        <v/>
      </c>
      <c r="J880">
        <f>IF($V880="","",INDEX('Per Line'!$S$2:$S$6001,$V880)&amp;"")</f>
        <v/>
      </c>
      <c r="K880" s="7">
        <f>IF($V880="","",SUMIFS('Per Line'!$R$2:$R$6001,'Per Line'!$C$2:$C$6001,$B880,'Per Line'!$AJ$2:$AJ$6001,1))</f>
        <v/>
      </c>
      <c r="L880">
        <f>IF($V880="","",Settings!$C$7)</f>
        <v/>
      </c>
      <c r="M880" s="7">
        <f>IF($V880="","",SUMIFS('Per Line'!$R$2:$R$6001,'Per Line'!$C$2:$C$6001,$B880,'Per Line'!$AI$2:$AI$6001,0,'Per Line'!$AJ$2:$AJ$6001,0))</f>
        <v/>
      </c>
      <c r="N880" s="7">
        <f>IF($V880="","",M880*L880)</f>
        <v/>
      </c>
      <c r="O880">
        <f>IF($V880="","",Settings!$C$6)</f>
        <v/>
      </c>
      <c r="P880" s="7">
        <f>IF($V880="","",SUMIFS('Per Line'!$R$2:$R$6001,'Per Line'!$C$2:$C$6001,$B880,'Per Line'!$AI$2:$AI$6001,1,'Per Line'!$AJ$2:$AJ$6001,0))</f>
        <v/>
      </c>
      <c r="Q880" s="7">
        <f>IF($V880="","",P880*O880)</f>
        <v/>
      </c>
      <c r="R880" s="7">
        <f>IF($V880="","",Q880+N880)</f>
        <v/>
      </c>
      <c r="S880" s="7">
        <f>IF($V880="","",T880-R880)</f>
        <v/>
      </c>
      <c r="T880" s="7">
        <f>IF($V880="","",M880+P880+K880)</f>
        <v/>
      </c>
      <c r="U880" s="7">
        <f>IF($V880="","",T880-R880-I880)</f>
        <v/>
      </c>
      <c r="V880" s="13">
        <f>IF(ROWS($V$2:$V880)&lt;=MAX('Per Line'!$AH$2:$AH$6001),MATCH(ROWS($V$2:$V880),'Per Line'!$AH$2:$AH$6001,0),"")</f>
        <v/>
      </c>
    </row>
    <row r="881">
      <c r="A881" s="12" t="n"/>
      <c r="B881">
        <f>IF($V881="","",INDEX('Per Line'!$C$2:$C$6001,$V881)&amp;"")</f>
        <v/>
      </c>
      <c r="C881" s="11">
        <f>IF($V881="","",INDEX('Per Line'!$D$2:$D$6001,$V881))</f>
        <v/>
      </c>
      <c r="D881">
        <f>IF($V881="","",INDEX('Per Line'!$E$2:$E$6001,$V881)&amp;"")</f>
        <v/>
      </c>
      <c r="E881">
        <f>IF($V881="","",INDEX('Per Line'!$G$2:$G$6001,$V881)&amp;"")</f>
        <v/>
      </c>
      <c r="F881">
        <f>IF($V881="","",INDEX('Per Line'!$H$2:$H$6001,$V881)&amp;"")</f>
        <v/>
      </c>
      <c r="G881">
        <f>IF($V881="","",INDEX('Per Line'!$I$2:$I$6001,$V881)&amp;"")</f>
        <v/>
      </c>
      <c r="H881">
        <f>IF($V881="","",INDEX('Per Line'!$J$2:$J$6001,$V881))</f>
        <v/>
      </c>
      <c r="I881" s="7">
        <f>IF($V881="","",H881*S881/100)</f>
        <v/>
      </c>
      <c r="J881">
        <f>IF($V881="","",INDEX('Per Line'!$S$2:$S$6001,$V881)&amp;"")</f>
        <v/>
      </c>
      <c r="K881" s="7">
        <f>IF($V881="","",SUMIFS('Per Line'!$R$2:$R$6001,'Per Line'!$C$2:$C$6001,$B881,'Per Line'!$AJ$2:$AJ$6001,1))</f>
        <v/>
      </c>
      <c r="L881">
        <f>IF($V881="","",Settings!$C$7)</f>
        <v/>
      </c>
      <c r="M881" s="7">
        <f>IF($V881="","",SUMIFS('Per Line'!$R$2:$R$6001,'Per Line'!$C$2:$C$6001,$B881,'Per Line'!$AI$2:$AI$6001,0,'Per Line'!$AJ$2:$AJ$6001,0))</f>
        <v/>
      </c>
      <c r="N881" s="7">
        <f>IF($V881="","",M881*L881)</f>
        <v/>
      </c>
      <c r="O881">
        <f>IF($V881="","",Settings!$C$6)</f>
        <v/>
      </c>
      <c r="P881" s="7">
        <f>IF($V881="","",SUMIFS('Per Line'!$R$2:$R$6001,'Per Line'!$C$2:$C$6001,$B881,'Per Line'!$AI$2:$AI$6001,1,'Per Line'!$AJ$2:$AJ$6001,0))</f>
        <v/>
      </c>
      <c r="Q881" s="7">
        <f>IF($V881="","",P881*O881)</f>
        <v/>
      </c>
      <c r="R881" s="7">
        <f>IF($V881="","",Q881+N881)</f>
        <v/>
      </c>
      <c r="S881" s="7">
        <f>IF($V881="","",T881-R881)</f>
        <v/>
      </c>
      <c r="T881" s="7">
        <f>IF($V881="","",M881+P881+K881)</f>
        <v/>
      </c>
      <c r="U881" s="7">
        <f>IF($V881="","",T881-R881-I881)</f>
        <v/>
      </c>
      <c r="V881" s="13">
        <f>IF(ROWS($V$2:$V881)&lt;=MAX('Per Line'!$AH$2:$AH$6001),MATCH(ROWS($V$2:$V881),'Per Line'!$AH$2:$AH$6001,0),"")</f>
        <v/>
      </c>
    </row>
    <row r="882">
      <c r="A882" s="12" t="n"/>
      <c r="B882">
        <f>IF($V882="","",INDEX('Per Line'!$C$2:$C$6001,$V882)&amp;"")</f>
        <v/>
      </c>
      <c r="C882" s="11">
        <f>IF($V882="","",INDEX('Per Line'!$D$2:$D$6001,$V882))</f>
        <v/>
      </c>
      <c r="D882">
        <f>IF($V882="","",INDEX('Per Line'!$E$2:$E$6001,$V882)&amp;"")</f>
        <v/>
      </c>
      <c r="E882">
        <f>IF($V882="","",INDEX('Per Line'!$G$2:$G$6001,$V882)&amp;"")</f>
        <v/>
      </c>
      <c r="F882">
        <f>IF($V882="","",INDEX('Per Line'!$H$2:$H$6001,$V882)&amp;"")</f>
        <v/>
      </c>
      <c r="G882">
        <f>IF($V882="","",INDEX('Per Line'!$I$2:$I$6001,$V882)&amp;"")</f>
        <v/>
      </c>
      <c r="H882">
        <f>IF($V882="","",INDEX('Per Line'!$J$2:$J$6001,$V882))</f>
        <v/>
      </c>
      <c r="I882" s="7">
        <f>IF($V882="","",H882*S882/100)</f>
        <v/>
      </c>
      <c r="J882">
        <f>IF($V882="","",INDEX('Per Line'!$S$2:$S$6001,$V882)&amp;"")</f>
        <v/>
      </c>
      <c r="K882" s="7">
        <f>IF($V882="","",SUMIFS('Per Line'!$R$2:$R$6001,'Per Line'!$C$2:$C$6001,$B882,'Per Line'!$AJ$2:$AJ$6001,1))</f>
        <v/>
      </c>
      <c r="L882">
        <f>IF($V882="","",Settings!$C$7)</f>
        <v/>
      </c>
      <c r="M882" s="7">
        <f>IF($V882="","",SUMIFS('Per Line'!$R$2:$R$6001,'Per Line'!$C$2:$C$6001,$B882,'Per Line'!$AI$2:$AI$6001,0,'Per Line'!$AJ$2:$AJ$6001,0))</f>
        <v/>
      </c>
      <c r="N882" s="7">
        <f>IF($V882="","",M882*L882)</f>
        <v/>
      </c>
      <c r="O882">
        <f>IF($V882="","",Settings!$C$6)</f>
        <v/>
      </c>
      <c r="P882" s="7">
        <f>IF($V882="","",SUMIFS('Per Line'!$R$2:$R$6001,'Per Line'!$C$2:$C$6001,$B882,'Per Line'!$AI$2:$AI$6001,1,'Per Line'!$AJ$2:$AJ$6001,0))</f>
        <v/>
      </c>
      <c r="Q882" s="7">
        <f>IF($V882="","",P882*O882)</f>
        <v/>
      </c>
      <c r="R882" s="7">
        <f>IF($V882="","",Q882+N882)</f>
        <v/>
      </c>
      <c r="S882" s="7">
        <f>IF($V882="","",T882-R882)</f>
        <v/>
      </c>
      <c r="T882" s="7">
        <f>IF($V882="","",M882+P882+K882)</f>
        <v/>
      </c>
      <c r="U882" s="7">
        <f>IF($V882="","",T882-R882-I882)</f>
        <v/>
      </c>
      <c r="V882" s="13">
        <f>IF(ROWS($V$2:$V882)&lt;=MAX('Per Line'!$AH$2:$AH$6001),MATCH(ROWS($V$2:$V882),'Per Line'!$AH$2:$AH$6001,0),"")</f>
        <v/>
      </c>
    </row>
    <row r="883">
      <c r="A883" s="12" t="n"/>
      <c r="B883">
        <f>IF($V883="","",INDEX('Per Line'!$C$2:$C$6001,$V883)&amp;"")</f>
        <v/>
      </c>
      <c r="C883" s="11">
        <f>IF($V883="","",INDEX('Per Line'!$D$2:$D$6001,$V883))</f>
        <v/>
      </c>
      <c r="D883">
        <f>IF($V883="","",INDEX('Per Line'!$E$2:$E$6001,$V883)&amp;"")</f>
        <v/>
      </c>
      <c r="E883">
        <f>IF($V883="","",INDEX('Per Line'!$G$2:$G$6001,$V883)&amp;"")</f>
        <v/>
      </c>
      <c r="F883">
        <f>IF($V883="","",INDEX('Per Line'!$H$2:$H$6001,$V883)&amp;"")</f>
        <v/>
      </c>
      <c r="G883">
        <f>IF($V883="","",INDEX('Per Line'!$I$2:$I$6001,$V883)&amp;"")</f>
        <v/>
      </c>
      <c r="H883">
        <f>IF($V883="","",INDEX('Per Line'!$J$2:$J$6001,$V883))</f>
        <v/>
      </c>
      <c r="I883" s="7">
        <f>IF($V883="","",H883*S883/100)</f>
        <v/>
      </c>
      <c r="J883">
        <f>IF($V883="","",INDEX('Per Line'!$S$2:$S$6001,$V883)&amp;"")</f>
        <v/>
      </c>
      <c r="K883" s="7">
        <f>IF($V883="","",SUMIFS('Per Line'!$R$2:$R$6001,'Per Line'!$C$2:$C$6001,$B883,'Per Line'!$AJ$2:$AJ$6001,1))</f>
        <v/>
      </c>
      <c r="L883">
        <f>IF($V883="","",Settings!$C$7)</f>
        <v/>
      </c>
      <c r="M883" s="7">
        <f>IF($V883="","",SUMIFS('Per Line'!$R$2:$R$6001,'Per Line'!$C$2:$C$6001,$B883,'Per Line'!$AI$2:$AI$6001,0,'Per Line'!$AJ$2:$AJ$6001,0))</f>
        <v/>
      </c>
      <c r="N883" s="7">
        <f>IF($V883="","",M883*L883)</f>
        <v/>
      </c>
      <c r="O883">
        <f>IF($V883="","",Settings!$C$6)</f>
        <v/>
      </c>
      <c r="P883" s="7">
        <f>IF($V883="","",SUMIFS('Per Line'!$R$2:$R$6001,'Per Line'!$C$2:$C$6001,$B883,'Per Line'!$AI$2:$AI$6001,1,'Per Line'!$AJ$2:$AJ$6001,0))</f>
        <v/>
      </c>
      <c r="Q883" s="7">
        <f>IF($V883="","",P883*O883)</f>
        <v/>
      </c>
      <c r="R883" s="7">
        <f>IF($V883="","",Q883+N883)</f>
        <v/>
      </c>
      <c r="S883" s="7">
        <f>IF($V883="","",T883-R883)</f>
        <v/>
      </c>
      <c r="T883" s="7">
        <f>IF($V883="","",M883+P883+K883)</f>
        <v/>
      </c>
      <c r="U883" s="7">
        <f>IF($V883="","",T883-R883-I883)</f>
        <v/>
      </c>
      <c r="V883" s="13">
        <f>IF(ROWS($V$2:$V883)&lt;=MAX('Per Line'!$AH$2:$AH$6001),MATCH(ROWS($V$2:$V883),'Per Line'!$AH$2:$AH$6001,0),"")</f>
        <v/>
      </c>
    </row>
    <row r="884">
      <c r="A884" s="12" t="n"/>
      <c r="B884">
        <f>IF($V884="","",INDEX('Per Line'!$C$2:$C$6001,$V884)&amp;"")</f>
        <v/>
      </c>
      <c r="C884" s="11">
        <f>IF($V884="","",INDEX('Per Line'!$D$2:$D$6001,$V884))</f>
        <v/>
      </c>
      <c r="D884">
        <f>IF($V884="","",INDEX('Per Line'!$E$2:$E$6001,$V884)&amp;"")</f>
        <v/>
      </c>
      <c r="E884">
        <f>IF($V884="","",INDEX('Per Line'!$G$2:$G$6001,$V884)&amp;"")</f>
        <v/>
      </c>
      <c r="F884">
        <f>IF($V884="","",INDEX('Per Line'!$H$2:$H$6001,$V884)&amp;"")</f>
        <v/>
      </c>
      <c r="G884">
        <f>IF($V884="","",INDEX('Per Line'!$I$2:$I$6001,$V884)&amp;"")</f>
        <v/>
      </c>
      <c r="H884">
        <f>IF($V884="","",INDEX('Per Line'!$J$2:$J$6001,$V884))</f>
        <v/>
      </c>
      <c r="I884" s="7">
        <f>IF($V884="","",H884*S884/100)</f>
        <v/>
      </c>
      <c r="J884">
        <f>IF($V884="","",INDEX('Per Line'!$S$2:$S$6001,$V884)&amp;"")</f>
        <v/>
      </c>
      <c r="K884" s="7">
        <f>IF($V884="","",SUMIFS('Per Line'!$R$2:$R$6001,'Per Line'!$C$2:$C$6001,$B884,'Per Line'!$AJ$2:$AJ$6001,1))</f>
        <v/>
      </c>
      <c r="L884">
        <f>IF($V884="","",Settings!$C$7)</f>
        <v/>
      </c>
      <c r="M884" s="7">
        <f>IF($V884="","",SUMIFS('Per Line'!$R$2:$R$6001,'Per Line'!$C$2:$C$6001,$B884,'Per Line'!$AI$2:$AI$6001,0,'Per Line'!$AJ$2:$AJ$6001,0))</f>
        <v/>
      </c>
      <c r="N884" s="7">
        <f>IF($V884="","",M884*L884)</f>
        <v/>
      </c>
      <c r="O884">
        <f>IF($V884="","",Settings!$C$6)</f>
        <v/>
      </c>
      <c r="P884" s="7">
        <f>IF($V884="","",SUMIFS('Per Line'!$R$2:$R$6001,'Per Line'!$C$2:$C$6001,$B884,'Per Line'!$AI$2:$AI$6001,1,'Per Line'!$AJ$2:$AJ$6001,0))</f>
        <v/>
      </c>
      <c r="Q884" s="7">
        <f>IF($V884="","",P884*O884)</f>
        <v/>
      </c>
      <c r="R884" s="7">
        <f>IF($V884="","",Q884+N884)</f>
        <v/>
      </c>
      <c r="S884" s="7">
        <f>IF($V884="","",T884-R884)</f>
        <v/>
      </c>
      <c r="T884" s="7">
        <f>IF($V884="","",M884+P884+K884)</f>
        <v/>
      </c>
      <c r="U884" s="7">
        <f>IF($V884="","",T884-R884-I884)</f>
        <v/>
      </c>
      <c r="V884" s="13">
        <f>IF(ROWS($V$2:$V884)&lt;=MAX('Per Line'!$AH$2:$AH$6001),MATCH(ROWS($V$2:$V884),'Per Line'!$AH$2:$AH$6001,0),"")</f>
        <v/>
      </c>
    </row>
    <row r="885">
      <c r="A885" s="12" t="n"/>
      <c r="B885">
        <f>IF($V885="","",INDEX('Per Line'!$C$2:$C$6001,$V885)&amp;"")</f>
        <v/>
      </c>
      <c r="C885" s="11">
        <f>IF($V885="","",INDEX('Per Line'!$D$2:$D$6001,$V885))</f>
        <v/>
      </c>
      <c r="D885">
        <f>IF($V885="","",INDEX('Per Line'!$E$2:$E$6001,$V885)&amp;"")</f>
        <v/>
      </c>
      <c r="E885">
        <f>IF($V885="","",INDEX('Per Line'!$G$2:$G$6001,$V885)&amp;"")</f>
        <v/>
      </c>
      <c r="F885">
        <f>IF($V885="","",INDEX('Per Line'!$H$2:$H$6001,$V885)&amp;"")</f>
        <v/>
      </c>
      <c r="G885">
        <f>IF($V885="","",INDEX('Per Line'!$I$2:$I$6001,$V885)&amp;"")</f>
        <v/>
      </c>
      <c r="H885">
        <f>IF($V885="","",INDEX('Per Line'!$J$2:$J$6001,$V885))</f>
        <v/>
      </c>
      <c r="I885" s="7">
        <f>IF($V885="","",H885*S885/100)</f>
        <v/>
      </c>
      <c r="J885">
        <f>IF($V885="","",INDEX('Per Line'!$S$2:$S$6001,$V885)&amp;"")</f>
        <v/>
      </c>
      <c r="K885" s="7">
        <f>IF($V885="","",SUMIFS('Per Line'!$R$2:$R$6001,'Per Line'!$C$2:$C$6001,$B885,'Per Line'!$AJ$2:$AJ$6001,1))</f>
        <v/>
      </c>
      <c r="L885">
        <f>IF($V885="","",Settings!$C$7)</f>
        <v/>
      </c>
      <c r="M885" s="7">
        <f>IF($V885="","",SUMIFS('Per Line'!$R$2:$R$6001,'Per Line'!$C$2:$C$6001,$B885,'Per Line'!$AI$2:$AI$6001,0,'Per Line'!$AJ$2:$AJ$6001,0))</f>
        <v/>
      </c>
      <c r="N885" s="7">
        <f>IF($V885="","",M885*L885)</f>
        <v/>
      </c>
      <c r="O885">
        <f>IF($V885="","",Settings!$C$6)</f>
        <v/>
      </c>
      <c r="P885" s="7">
        <f>IF($V885="","",SUMIFS('Per Line'!$R$2:$R$6001,'Per Line'!$C$2:$C$6001,$B885,'Per Line'!$AI$2:$AI$6001,1,'Per Line'!$AJ$2:$AJ$6001,0))</f>
        <v/>
      </c>
      <c r="Q885" s="7">
        <f>IF($V885="","",P885*O885)</f>
        <v/>
      </c>
      <c r="R885" s="7">
        <f>IF($V885="","",Q885+N885)</f>
        <v/>
      </c>
      <c r="S885" s="7">
        <f>IF($V885="","",T885-R885)</f>
        <v/>
      </c>
      <c r="T885" s="7">
        <f>IF($V885="","",M885+P885+K885)</f>
        <v/>
      </c>
      <c r="U885" s="7">
        <f>IF($V885="","",T885-R885-I885)</f>
        <v/>
      </c>
      <c r="V885" s="13">
        <f>IF(ROWS($V$2:$V885)&lt;=MAX('Per Line'!$AH$2:$AH$6001),MATCH(ROWS($V$2:$V885),'Per Line'!$AH$2:$AH$6001,0),"")</f>
        <v/>
      </c>
    </row>
    <row r="886">
      <c r="A886" s="12" t="n"/>
      <c r="B886">
        <f>IF($V886="","",INDEX('Per Line'!$C$2:$C$6001,$V886)&amp;"")</f>
        <v/>
      </c>
      <c r="C886" s="11">
        <f>IF($V886="","",INDEX('Per Line'!$D$2:$D$6001,$V886))</f>
        <v/>
      </c>
      <c r="D886">
        <f>IF($V886="","",INDEX('Per Line'!$E$2:$E$6001,$V886)&amp;"")</f>
        <v/>
      </c>
      <c r="E886">
        <f>IF($V886="","",INDEX('Per Line'!$G$2:$G$6001,$V886)&amp;"")</f>
        <v/>
      </c>
      <c r="F886">
        <f>IF($V886="","",INDEX('Per Line'!$H$2:$H$6001,$V886)&amp;"")</f>
        <v/>
      </c>
      <c r="G886">
        <f>IF($V886="","",INDEX('Per Line'!$I$2:$I$6001,$V886)&amp;"")</f>
        <v/>
      </c>
      <c r="H886">
        <f>IF($V886="","",INDEX('Per Line'!$J$2:$J$6001,$V886))</f>
        <v/>
      </c>
      <c r="I886" s="7">
        <f>IF($V886="","",H886*S886/100)</f>
        <v/>
      </c>
      <c r="J886">
        <f>IF($V886="","",INDEX('Per Line'!$S$2:$S$6001,$V886)&amp;"")</f>
        <v/>
      </c>
      <c r="K886" s="7">
        <f>IF($V886="","",SUMIFS('Per Line'!$R$2:$R$6001,'Per Line'!$C$2:$C$6001,$B886,'Per Line'!$AJ$2:$AJ$6001,1))</f>
        <v/>
      </c>
      <c r="L886">
        <f>IF($V886="","",Settings!$C$7)</f>
        <v/>
      </c>
      <c r="M886" s="7">
        <f>IF($V886="","",SUMIFS('Per Line'!$R$2:$R$6001,'Per Line'!$C$2:$C$6001,$B886,'Per Line'!$AI$2:$AI$6001,0,'Per Line'!$AJ$2:$AJ$6001,0))</f>
        <v/>
      </c>
      <c r="N886" s="7">
        <f>IF($V886="","",M886*L886)</f>
        <v/>
      </c>
      <c r="O886">
        <f>IF($V886="","",Settings!$C$6)</f>
        <v/>
      </c>
      <c r="P886" s="7">
        <f>IF($V886="","",SUMIFS('Per Line'!$R$2:$R$6001,'Per Line'!$C$2:$C$6001,$B886,'Per Line'!$AI$2:$AI$6001,1,'Per Line'!$AJ$2:$AJ$6001,0))</f>
        <v/>
      </c>
      <c r="Q886" s="7">
        <f>IF($V886="","",P886*O886)</f>
        <v/>
      </c>
      <c r="R886" s="7">
        <f>IF($V886="","",Q886+N886)</f>
        <v/>
      </c>
      <c r="S886" s="7">
        <f>IF($V886="","",T886-R886)</f>
        <v/>
      </c>
      <c r="T886" s="7">
        <f>IF($V886="","",M886+P886+K886)</f>
        <v/>
      </c>
      <c r="U886" s="7">
        <f>IF($V886="","",T886-R886-I886)</f>
        <v/>
      </c>
      <c r="V886" s="13">
        <f>IF(ROWS($V$2:$V886)&lt;=MAX('Per Line'!$AH$2:$AH$6001),MATCH(ROWS($V$2:$V886),'Per Line'!$AH$2:$AH$6001,0),"")</f>
        <v/>
      </c>
    </row>
    <row r="887">
      <c r="A887" s="12" t="n"/>
      <c r="B887">
        <f>IF($V887="","",INDEX('Per Line'!$C$2:$C$6001,$V887)&amp;"")</f>
        <v/>
      </c>
      <c r="C887" s="11">
        <f>IF($V887="","",INDEX('Per Line'!$D$2:$D$6001,$V887))</f>
        <v/>
      </c>
      <c r="D887">
        <f>IF($V887="","",INDEX('Per Line'!$E$2:$E$6001,$V887)&amp;"")</f>
        <v/>
      </c>
      <c r="E887">
        <f>IF($V887="","",INDEX('Per Line'!$G$2:$G$6001,$V887)&amp;"")</f>
        <v/>
      </c>
      <c r="F887">
        <f>IF($V887="","",INDEX('Per Line'!$H$2:$H$6001,$V887)&amp;"")</f>
        <v/>
      </c>
      <c r="G887">
        <f>IF($V887="","",INDEX('Per Line'!$I$2:$I$6001,$V887)&amp;"")</f>
        <v/>
      </c>
      <c r="H887">
        <f>IF($V887="","",INDEX('Per Line'!$J$2:$J$6001,$V887))</f>
        <v/>
      </c>
      <c r="I887" s="7">
        <f>IF($V887="","",H887*S887/100)</f>
        <v/>
      </c>
      <c r="J887">
        <f>IF($V887="","",INDEX('Per Line'!$S$2:$S$6001,$V887)&amp;"")</f>
        <v/>
      </c>
      <c r="K887" s="7">
        <f>IF($V887="","",SUMIFS('Per Line'!$R$2:$R$6001,'Per Line'!$C$2:$C$6001,$B887,'Per Line'!$AJ$2:$AJ$6001,1))</f>
        <v/>
      </c>
      <c r="L887">
        <f>IF($V887="","",Settings!$C$7)</f>
        <v/>
      </c>
      <c r="M887" s="7">
        <f>IF($V887="","",SUMIFS('Per Line'!$R$2:$R$6001,'Per Line'!$C$2:$C$6001,$B887,'Per Line'!$AI$2:$AI$6001,0,'Per Line'!$AJ$2:$AJ$6001,0))</f>
        <v/>
      </c>
      <c r="N887" s="7">
        <f>IF($V887="","",M887*L887)</f>
        <v/>
      </c>
      <c r="O887">
        <f>IF($V887="","",Settings!$C$6)</f>
        <v/>
      </c>
      <c r="P887" s="7">
        <f>IF($V887="","",SUMIFS('Per Line'!$R$2:$R$6001,'Per Line'!$C$2:$C$6001,$B887,'Per Line'!$AI$2:$AI$6001,1,'Per Line'!$AJ$2:$AJ$6001,0))</f>
        <v/>
      </c>
      <c r="Q887" s="7">
        <f>IF($V887="","",P887*O887)</f>
        <v/>
      </c>
      <c r="R887" s="7">
        <f>IF($V887="","",Q887+N887)</f>
        <v/>
      </c>
      <c r="S887" s="7">
        <f>IF($V887="","",T887-R887)</f>
        <v/>
      </c>
      <c r="T887" s="7">
        <f>IF($V887="","",M887+P887+K887)</f>
        <v/>
      </c>
      <c r="U887" s="7">
        <f>IF($V887="","",T887-R887-I887)</f>
        <v/>
      </c>
      <c r="V887" s="13">
        <f>IF(ROWS($V$2:$V887)&lt;=MAX('Per Line'!$AH$2:$AH$6001),MATCH(ROWS($V$2:$V887),'Per Line'!$AH$2:$AH$6001,0),"")</f>
        <v/>
      </c>
    </row>
    <row r="888">
      <c r="A888" s="12" t="n"/>
      <c r="B888">
        <f>IF($V888="","",INDEX('Per Line'!$C$2:$C$6001,$V888)&amp;"")</f>
        <v/>
      </c>
      <c r="C888" s="11">
        <f>IF($V888="","",INDEX('Per Line'!$D$2:$D$6001,$V888))</f>
        <v/>
      </c>
      <c r="D888">
        <f>IF($V888="","",INDEX('Per Line'!$E$2:$E$6001,$V888)&amp;"")</f>
        <v/>
      </c>
      <c r="E888">
        <f>IF($V888="","",INDEX('Per Line'!$G$2:$G$6001,$V888)&amp;"")</f>
        <v/>
      </c>
      <c r="F888">
        <f>IF($V888="","",INDEX('Per Line'!$H$2:$H$6001,$V888)&amp;"")</f>
        <v/>
      </c>
      <c r="G888">
        <f>IF($V888="","",INDEX('Per Line'!$I$2:$I$6001,$V888)&amp;"")</f>
        <v/>
      </c>
      <c r="H888">
        <f>IF($V888="","",INDEX('Per Line'!$J$2:$J$6001,$V888))</f>
        <v/>
      </c>
      <c r="I888" s="7">
        <f>IF($V888="","",H888*S888/100)</f>
        <v/>
      </c>
      <c r="J888">
        <f>IF($V888="","",INDEX('Per Line'!$S$2:$S$6001,$V888)&amp;"")</f>
        <v/>
      </c>
      <c r="K888" s="7">
        <f>IF($V888="","",SUMIFS('Per Line'!$R$2:$R$6001,'Per Line'!$C$2:$C$6001,$B888,'Per Line'!$AJ$2:$AJ$6001,1))</f>
        <v/>
      </c>
      <c r="L888">
        <f>IF($V888="","",Settings!$C$7)</f>
        <v/>
      </c>
      <c r="M888" s="7">
        <f>IF($V888="","",SUMIFS('Per Line'!$R$2:$R$6001,'Per Line'!$C$2:$C$6001,$B888,'Per Line'!$AI$2:$AI$6001,0,'Per Line'!$AJ$2:$AJ$6001,0))</f>
        <v/>
      </c>
      <c r="N888" s="7">
        <f>IF($V888="","",M888*L888)</f>
        <v/>
      </c>
      <c r="O888">
        <f>IF($V888="","",Settings!$C$6)</f>
        <v/>
      </c>
      <c r="P888" s="7">
        <f>IF($V888="","",SUMIFS('Per Line'!$R$2:$R$6001,'Per Line'!$C$2:$C$6001,$B888,'Per Line'!$AI$2:$AI$6001,1,'Per Line'!$AJ$2:$AJ$6001,0))</f>
        <v/>
      </c>
      <c r="Q888" s="7">
        <f>IF($V888="","",P888*O888)</f>
        <v/>
      </c>
      <c r="R888" s="7">
        <f>IF($V888="","",Q888+N888)</f>
        <v/>
      </c>
      <c r="S888" s="7">
        <f>IF($V888="","",T888-R888)</f>
        <v/>
      </c>
      <c r="T888" s="7">
        <f>IF($V888="","",M888+P888+K888)</f>
        <v/>
      </c>
      <c r="U888" s="7">
        <f>IF($V888="","",T888-R888-I888)</f>
        <v/>
      </c>
      <c r="V888" s="13">
        <f>IF(ROWS($V$2:$V888)&lt;=MAX('Per Line'!$AH$2:$AH$6001),MATCH(ROWS($V$2:$V888),'Per Line'!$AH$2:$AH$6001,0),"")</f>
        <v/>
      </c>
    </row>
    <row r="889">
      <c r="A889" s="12" t="n"/>
      <c r="B889">
        <f>IF($V889="","",INDEX('Per Line'!$C$2:$C$6001,$V889)&amp;"")</f>
        <v/>
      </c>
      <c r="C889" s="11">
        <f>IF($V889="","",INDEX('Per Line'!$D$2:$D$6001,$V889))</f>
        <v/>
      </c>
      <c r="D889">
        <f>IF($V889="","",INDEX('Per Line'!$E$2:$E$6001,$V889)&amp;"")</f>
        <v/>
      </c>
      <c r="E889">
        <f>IF($V889="","",INDEX('Per Line'!$G$2:$G$6001,$V889)&amp;"")</f>
        <v/>
      </c>
      <c r="F889">
        <f>IF($V889="","",INDEX('Per Line'!$H$2:$H$6001,$V889)&amp;"")</f>
        <v/>
      </c>
      <c r="G889">
        <f>IF($V889="","",INDEX('Per Line'!$I$2:$I$6001,$V889)&amp;"")</f>
        <v/>
      </c>
      <c r="H889">
        <f>IF($V889="","",INDEX('Per Line'!$J$2:$J$6001,$V889))</f>
        <v/>
      </c>
      <c r="I889" s="7">
        <f>IF($V889="","",H889*S889/100)</f>
        <v/>
      </c>
      <c r="J889">
        <f>IF($V889="","",INDEX('Per Line'!$S$2:$S$6001,$V889)&amp;"")</f>
        <v/>
      </c>
      <c r="K889" s="7">
        <f>IF($V889="","",SUMIFS('Per Line'!$R$2:$R$6001,'Per Line'!$C$2:$C$6001,$B889,'Per Line'!$AJ$2:$AJ$6001,1))</f>
        <v/>
      </c>
      <c r="L889">
        <f>IF($V889="","",Settings!$C$7)</f>
        <v/>
      </c>
      <c r="M889" s="7">
        <f>IF($V889="","",SUMIFS('Per Line'!$R$2:$R$6001,'Per Line'!$C$2:$C$6001,$B889,'Per Line'!$AI$2:$AI$6001,0,'Per Line'!$AJ$2:$AJ$6001,0))</f>
        <v/>
      </c>
      <c r="N889" s="7">
        <f>IF($V889="","",M889*L889)</f>
        <v/>
      </c>
      <c r="O889">
        <f>IF($V889="","",Settings!$C$6)</f>
        <v/>
      </c>
      <c r="P889" s="7">
        <f>IF($V889="","",SUMIFS('Per Line'!$R$2:$R$6001,'Per Line'!$C$2:$C$6001,$B889,'Per Line'!$AI$2:$AI$6001,1,'Per Line'!$AJ$2:$AJ$6001,0))</f>
        <v/>
      </c>
      <c r="Q889" s="7">
        <f>IF($V889="","",P889*O889)</f>
        <v/>
      </c>
      <c r="R889" s="7">
        <f>IF($V889="","",Q889+N889)</f>
        <v/>
      </c>
      <c r="S889" s="7">
        <f>IF($V889="","",T889-R889)</f>
        <v/>
      </c>
      <c r="T889" s="7">
        <f>IF($V889="","",M889+P889+K889)</f>
        <v/>
      </c>
      <c r="U889" s="7">
        <f>IF($V889="","",T889-R889-I889)</f>
        <v/>
      </c>
      <c r="V889" s="13">
        <f>IF(ROWS($V$2:$V889)&lt;=MAX('Per Line'!$AH$2:$AH$6001),MATCH(ROWS($V$2:$V889),'Per Line'!$AH$2:$AH$6001,0),"")</f>
        <v/>
      </c>
    </row>
    <row r="890">
      <c r="A890" s="12" t="n"/>
      <c r="B890">
        <f>IF($V890="","",INDEX('Per Line'!$C$2:$C$6001,$V890)&amp;"")</f>
        <v/>
      </c>
      <c r="C890" s="11">
        <f>IF($V890="","",INDEX('Per Line'!$D$2:$D$6001,$V890))</f>
        <v/>
      </c>
      <c r="D890">
        <f>IF($V890="","",INDEX('Per Line'!$E$2:$E$6001,$V890)&amp;"")</f>
        <v/>
      </c>
      <c r="E890">
        <f>IF($V890="","",INDEX('Per Line'!$G$2:$G$6001,$V890)&amp;"")</f>
        <v/>
      </c>
      <c r="F890">
        <f>IF($V890="","",INDEX('Per Line'!$H$2:$H$6001,$V890)&amp;"")</f>
        <v/>
      </c>
      <c r="G890">
        <f>IF($V890="","",INDEX('Per Line'!$I$2:$I$6001,$V890)&amp;"")</f>
        <v/>
      </c>
      <c r="H890">
        <f>IF($V890="","",INDEX('Per Line'!$J$2:$J$6001,$V890))</f>
        <v/>
      </c>
      <c r="I890" s="7">
        <f>IF($V890="","",H890*S890/100)</f>
        <v/>
      </c>
      <c r="J890">
        <f>IF($V890="","",INDEX('Per Line'!$S$2:$S$6001,$V890)&amp;"")</f>
        <v/>
      </c>
      <c r="K890" s="7">
        <f>IF($V890="","",SUMIFS('Per Line'!$R$2:$R$6001,'Per Line'!$C$2:$C$6001,$B890,'Per Line'!$AJ$2:$AJ$6001,1))</f>
        <v/>
      </c>
      <c r="L890">
        <f>IF($V890="","",Settings!$C$7)</f>
        <v/>
      </c>
      <c r="M890" s="7">
        <f>IF($V890="","",SUMIFS('Per Line'!$R$2:$R$6001,'Per Line'!$C$2:$C$6001,$B890,'Per Line'!$AI$2:$AI$6001,0,'Per Line'!$AJ$2:$AJ$6001,0))</f>
        <v/>
      </c>
      <c r="N890" s="7">
        <f>IF($V890="","",M890*L890)</f>
        <v/>
      </c>
      <c r="O890">
        <f>IF($V890="","",Settings!$C$6)</f>
        <v/>
      </c>
      <c r="P890" s="7">
        <f>IF($V890="","",SUMIFS('Per Line'!$R$2:$R$6001,'Per Line'!$C$2:$C$6001,$B890,'Per Line'!$AI$2:$AI$6001,1,'Per Line'!$AJ$2:$AJ$6001,0))</f>
        <v/>
      </c>
      <c r="Q890" s="7">
        <f>IF($V890="","",P890*O890)</f>
        <v/>
      </c>
      <c r="R890" s="7">
        <f>IF($V890="","",Q890+N890)</f>
        <v/>
      </c>
      <c r="S890" s="7">
        <f>IF($V890="","",T890-R890)</f>
        <v/>
      </c>
      <c r="T890" s="7">
        <f>IF($V890="","",M890+P890+K890)</f>
        <v/>
      </c>
      <c r="U890" s="7">
        <f>IF($V890="","",T890-R890-I890)</f>
        <v/>
      </c>
      <c r="V890" s="13">
        <f>IF(ROWS($V$2:$V890)&lt;=MAX('Per Line'!$AH$2:$AH$6001),MATCH(ROWS($V$2:$V890),'Per Line'!$AH$2:$AH$6001,0),"")</f>
        <v/>
      </c>
    </row>
    <row r="891">
      <c r="A891" s="12" t="n"/>
      <c r="B891">
        <f>IF($V891="","",INDEX('Per Line'!$C$2:$C$6001,$V891)&amp;"")</f>
        <v/>
      </c>
      <c r="C891" s="11">
        <f>IF($V891="","",INDEX('Per Line'!$D$2:$D$6001,$V891))</f>
        <v/>
      </c>
      <c r="D891">
        <f>IF($V891="","",INDEX('Per Line'!$E$2:$E$6001,$V891)&amp;"")</f>
        <v/>
      </c>
      <c r="E891">
        <f>IF($V891="","",INDEX('Per Line'!$G$2:$G$6001,$V891)&amp;"")</f>
        <v/>
      </c>
      <c r="F891">
        <f>IF($V891="","",INDEX('Per Line'!$H$2:$H$6001,$V891)&amp;"")</f>
        <v/>
      </c>
      <c r="G891">
        <f>IF($V891="","",INDEX('Per Line'!$I$2:$I$6001,$V891)&amp;"")</f>
        <v/>
      </c>
      <c r="H891">
        <f>IF($V891="","",INDEX('Per Line'!$J$2:$J$6001,$V891))</f>
        <v/>
      </c>
      <c r="I891" s="7">
        <f>IF($V891="","",H891*S891/100)</f>
        <v/>
      </c>
      <c r="J891">
        <f>IF($V891="","",INDEX('Per Line'!$S$2:$S$6001,$V891)&amp;"")</f>
        <v/>
      </c>
      <c r="K891" s="7">
        <f>IF($V891="","",SUMIFS('Per Line'!$R$2:$R$6001,'Per Line'!$C$2:$C$6001,$B891,'Per Line'!$AJ$2:$AJ$6001,1))</f>
        <v/>
      </c>
      <c r="L891">
        <f>IF($V891="","",Settings!$C$7)</f>
        <v/>
      </c>
      <c r="M891" s="7">
        <f>IF($V891="","",SUMIFS('Per Line'!$R$2:$R$6001,'Per Line'!$C$2:$C$6001,$B891,'Per Line'!$AI$2:$AI$6001,0,'Per Line'!$AJ$2:$AJ$6001,0))</f>
        <v/>
      </c>
      <c r="N891" s="7">
        <f>IF($V891="","",M891*L891)</f>
        <v/>
      </c>
      <c r="O891">
        <f>IF($V891="","",Settings!$C$6)</f>
        <v/>
      </c>
      <c r="P891" s="7">
        <f>IF($V891="","",SUMIFS('Per Line'!$R$2:$R$6001,'Per Line'!$C$2:$C$6001,$B891,'Per Line'!$AI$2:$AI$6001,1,'Per Line'!$AJ$2:$AJ$6001,0))</f>
        <v/>
      </c>
      <c r="Q891" s="7">
        <f>IF($V891="","",P891*O891)</f>
        <v/>
      </c>
      <c r="R891" s="7">
        <f>IF($V891="","",Q891+N891)</f>
        <v/>
      </c>
      <c r="S891" s="7">
        <f>IF($V891="","",T891-R891)</f>
        <v/>
      </c>
      <c r="T891" s="7">
        <f>IF($V891="","",M891+P891+K891)</f>
        <v/>
      </c>
      <c r="U891" s="7">
        <f>IF($V891="","",T891-R891-I891)</f>
        <v/>
      </c>
      <c r="V891" s="13">
        <f>IF(ROWS($V$2:$V891)&lt;=MAX('Per Line'!$AH$2:$AH$6001),MATCH(ROWS($V$2:$V891),'Per Line'!$AH$2:$AH$6001,0),"")</f>
        <v/>
      </c>
    </row>
    <row r="892">
      <c r="A892" s="12" t="n"/>
      <c r="B892">
        <f>IF($V892="","",INDEX('Per Line'!$C$2:$C$6001,$V892)&amp;"")</f>
        <v/>
      </c>
      <c r="C892" s="11">
        <f>IF($V892="","",INDEX('Per Line'!$D$2:$D$6001,$V892))</f>
        <v/>
      </c>
      <c r="D892">
        <f>IF($V892="","",INDEX('Per Line'!$E$2:$E$6001,$V892)&amp;"")</f>
        <v/>
      </c>
      <c r="E892">
        <f>IF($V892="","",INDEX('Per Line'!$G$2:$G$6001,$V892)&amp;"")</f>
        <v/>
      </c>
      <c r="F892">
        <f>IF($V892="","",INDEX('Per Line'!$H$2:$H$6001,$V892)&amp;"")</f>
        <v/>
      </c>
      <c r="G892">
        <f>IF($V892="","",INDEX('Per Line'!$I$2:$I$6001,$V892)&amp;"")</f>
        <v/>
      </c>
      <c r="H892">
        <f>IF($V892="","",INDEX('Per Line'!$J$2:$J$6001,$V892))</f>
        <v/>
      </c>
      <c r="I892" s="7">
        <f>IF($V892="","",H892*S892/100)</f>
        <v/>
      </c>
      <c r="J892">
        <f>IF($V892="","",INDEX('Per Line'!$S$2:$S$6001,$V892)&amp;"")</f>
        <v/>
      </c>
      <c r="K892" s="7">
        <f>IF($V892="","",SUMIFS('Per Line'!$R$2:$R$6001,'Per Line'!$C$2:$C$6001,$B892,'Per Line'!$AJ$2:$AJ$6001,1))</f>
        <v/>
      </c>
      <c r="L892">
        <f>IF($V892="","",Settings!$C$7)</f>
        <v/>
      </c>
      <c r="M892" s="7">
        <f>IF($V892="","",SUMIFS('Per Line'!$R$2:$R$6001,'Per Line'!$C$2:$C$6001,$B892,'Per Line'!$AI$2:$AI$6001,0,'Per Line'!$AJ$2:$AJ$6001,0))</f>
        <v/>
      </c>
      <c r="N892" s="7">
        <f>IF($V892="","",M892*L892)</f>
        <v/>
      </c>
      <c r="O892">
        <f>IF($V892="","",Settings!$C$6)</f>
        <v/>
      </c>
      <c r="P892" s="7">
        <f>IF($V892="","",SUMIFS('Per Line'!$R$2:$R$6001,'Per Line'!$C$2:$C$6001,$B892,'Per Line'!$AI$2:$AI$6001,1,'Per Line'!$AJ$2:$AJ$6001,0))</f>
        <v/>
      </c>
      <c r="Q892" s="7">
        <f>IF($V892="","",P892*O892)</f>
        <v/>
      </c>
      <c r="R892" s="7">
        <f>IF($V892="","",Q892+N892)</f>
        <v/>
      </c>
      <c r="S892" s="7">
        <f>IF($V892="","",T892-R892)</f>
        <v/>
      </c>
      <c r="T892" s="7">
        <f>IF($V892="","",M892+P892+K892)</f>
        <v/>
      </c>
      <c r="U892" s="7">
        <f>IF($V892="","",T892-R892-I892)</f>
        <v/>
      </c>
      <c r="V892" s="13">
        <f>IF(ROWS($V$2:$V892)&lt;=MAX('Per Line'!$AH$2:$AH$6001),MATCH(ROWS($V$2:$V892),'Per Line'!$AH$2:$AH$6001,0),"")</f>
        <v/>
      </c>
    </row>
    <row r="893">
      <c r="A893" s="12" t="n"/>
      <c r="B893">
        <f>IF($V893="","",INDEX('Per Line'!$C$2:$C$6001,$V893)&amp;"")</f>
        <v/>
      </c>
      <c r="C893" s="11">
        <f>IF($V893="","",INDEX('Per Line'!$D$2:$D$6001,$V893))</f>
        <v/>
      </c>
      <c r="D893">
        <f>IF($V893="","",INDEX('Per Line'!$E$2:$E$6001,$V893)&amp;"")</f>
        <v/>
      </c>
      <c r="E893">
        <f>IF($V893="","",INDEX('Per Line'!$G$2:$G$6001,$V893)&amp;"")</f>
        <v/>
      </c>
      <c r="F893">
        <f>IF($V893="","",INDEX('Per Line'!$H$2:$H$6001,$V893)&amp;"")</f>
        <v/>
      </c>
      <c r="G893">
        <f>IF($V893="","",INDEX('Per Line'!$I$2:$I$6001,$V893)&amp;"")</f>
        <v/>
      </c>
      <c r="H893">
        <f>IF($V893="","",INDEX('Per Line'!$J$2:$J$6001,$V893))</f>
        <v/>
      </c>
      <c r="I893" s="7">
        <f>IF($V893="","",H893*S893/100)</f>
        <v/>
      </c>
      <c r="J893">
        <f>IF($V893="","",INDEX('Per Line'!$S$2:$S$6001,$V893)&amp;"")</f>
        <v/>
      </c>
      <c r="K893" s="7">
        <f>IF($V893="","",SUMIFS('Per Line'!$R$2:$R$6001,'Per Line'!$C$2:$C$6001,$B893,'Per Line'!$AJ$2:$AJ$6001,1))</f>
        <v/>
      </c>
      <c r="L893">
        <f>IF($V893="","",Settings!$C$7)</f>
        <v/>
      </c>
      <c r="M893" s="7">
        <f>IF($V893="","",SUMIFS('Per Line'!$R$2:$R$6001,'Per Line'!$C$2:$C$6001,$B893,'Per Line'!$AI$2:$AI$6001,0,'Per Line'!$AJ$2:$AJ$6001,0))</f>
        <v/>
      </c>
      <c r="N893" s="7">
        <f>IF($V893="","",M893*L893)</f>
        <v/>
      </c>
      <c r="O893">
        <f>IF($V893="","",Settings!$C$6)</f>
        <v/>
      </c>
      <c r="P893" s="7">
        <f>IF($V893="","",SUMIFS('Per Line'!$R$2:$R$6001,'Per Line'!$C$2:$C$6001,$B893,'Per Line'!$AI$2:$AI$6001,1,'Per Line'!$AJ$2:$AJ$6001,0))</f>
        <v/>
      </c>
      <c r="Q893" s="7">
        <f>IF($V893="","",P893*O893)</f>
        <v/>
      </c>
      <c r="R893" s="7">
        <f>IF($V893="","",Q893+N893)</f>
        <v/>
      </c>
      <c r="S893" s="7">
        <f>IF($V893="","",T893-R893)</f>
        <v/>
      </c>
      <c r="T893" s="7">
        <f>IF($V893="","",M893+P893+K893)</f>
        <v/>
      </c>
      <c r="U893" s="7">
        <f>IF($V893="","",T893-R893-I893)</f>
        <v/>
      </c>
      <c r="V893" s="13">
        <f>IF(ROWS($V$2:$V893)&lt;=MAX('Per Line'!$AH$2:$AH$6001),MATCH(ROWS($V$2:$V893),'Per Line'!$AH$2:$AH$6001,0),"")</f>
        <v/>
      </c>
    </row>
    <row r="894">
      <c r="A894" s="12" t="n"/>
      <c r="B894">
        <f>IF($V894="","",INDEX('Per Line'!$C$2:$C$6001,$V894)&amp;"")</f>
        <v/>
      </c>
      <c r="C894" s="11">
        <f>IF($V894="","",INDEX('Per Line'!$D$2:$D$6001,$V894))</f>
        <v/>
      </c>
      <c r="D894">
        <f>IF($V894="","",INDEX('Per Line'!$E$2:$E$6001,$V894)&amp;"")</f>
        <v/>
      </c>
      <c r="E894">
        <f>IF($V894="","",INDEX('Per Line'!$G$2:$G$6001,$V894)&amp;"")</f>
        <v/>
      </c>
      <c r="F894">
        <f>IF($V894="","",INDEX('Per Line'!$H$2:$H$6001,$V894)&amp;"")</f>
        <v/>
      </c>
      <c r="G894">
        <f>IF($V894="","",INDEX('Per Line'!$I$2:$I$6001,$V894)&amp;"")</f>
        <v/>
      </c>
      <c r="H894">
        <f>IF($V894="","",INDEX('Per Line'!$J$2:$J$6001,$V894))</f>
        <v/>
      </c>
      <c r="I894" s="7">
        <f>IF($V894="","",H894*S894/100)</f>
        <v/>
      </c>
      <c r="J894">
        <f>IF($V894="","",INDEX('Per Line'!$S$2:$S$6001,$V894)&amp;"")</f>
        <v/>
      </c>
      <c r="K894" s="7">
        <f>IF($V894="","",SUMIFS('Per Line'!$R$2:$R$6001,'Per Line'!$C$2:$C$6001,$B894,'Per Line'!$AJ$2:$AJ$6001,1))</f>
        <v/>
      </c>
      <c r="L894">
        <f>IF($V894="","",Settings!$C$7)</f>
        <v/>
      </c>
      <c r="M894" s="7">
        <f>IF($V894="","",SUMIFS('Per Line'!$R$2:$R$6001,'Per Line'!$C$2:$C$6001,$B894,'Per Line'!$AI$2:$AI$6001,0,'Per Line'!$AJ$2:$AJ$6001,0))</f>
        <v/>
      </c>
      <c r="N894" s="7">
        <f>IF($V894="","",M894*L894)</f>
        <v/>
      </c>
      <c r="O894">
        <f>IF($V894="","",Settings!$C$6)</f>
        <v/>
      </c>
      <c r="P894" s="7">
        <f>IF($V894="","",SUMIFS('Per Line'!$R$2:$R$6001,'Per Line'!$C$2:$C$6001,$B894,'Per Line'!$AI$2:$AI$6001,1,'Per Line'!$AJ$2:$AJ$6001,0))</f>
        <v/>
      </c>
      <c r="Q894" s="7">
        <f>IF($V894="","",P894*O894)</f>
        <v/>
      </c>
      <c r="R894" s="7">
        <f>IF($V894="","",Q894+N894)</f>
        <v/>
      </c>
      <c r="S894" s="7">
        <f>IF($V894="","",T894-R894)</f>
        <v/>
      </c>
      <c r="T894" s="7">
        <f>IF($V894="","",M894+P894+K894)</f>
        <v/>
      </c>
      <c r="U894" s="7">
        <f>IF($V894="","",T894-R894-I894)</f>
        <v/>
      </c>
      <c r="V894" s="13">
        <f>IF(ROWS($V$2:$V894)&lt;=MAX('Per Line'!$AH$2:$AH$6001),MATCH(ROWS($V$2:$V894),'Per Line'!$AH$2:$AH$6001,0),"")</f>
        <v/>
      </c>
    </row>
    <row r="895">
      <c r="A895" s="12" t="n"/>
      <c r="B895">
        <f>IF($V895="","",INDEX('Per Line'!$C$2:$C$6001,$V895)&amp;"")</f>
        <v/>
      </c>
      <c r="C895" s="11">
        <f>IF($V895="","",INDEX('Per Line'!$D$2:$D$6001,$V895))</f>
        <v/>
      </c>
      <c r="D895">
        <f>IF($V895="","",INDEX('Per Line'!$E$2:$E$6001,$V895)&amp;"")</f>
        <v/>
      </c>
      <c r="E895">
        <f>IF($V895="","",INDEX('Per Line'!$G$2:$G$6001,$V895)&amp;"")</f>
        <v/>
      </c>
      <c r="F895">
        <f>IF($V895="","",INDEX('Per Line'!$H$2:$H$6001,$V895)&amp;"")</f>
        <v/>
      </c>
      <c r="G895">
        <f>IF($V895="","",INDEX('Per Line'!$I$2:$I$6001,$V895)&amp;"")</f>
        <v/>
      </c>
      <c r="H895">
        <f>IF($V895="","",INDEX('Per Line'!$J$2:$J$6001,$V895))</f>
        <v/>
      </c>
      <c r="I895" s="7">
        <f>IF($V895="","",H895*S895/100)</f>
        <v/>
      </c>
      <c r="J895">
        <f>IF($V895="","",INDEX('Per Line'!$S$2:$S$6001,$V895)&amp;"")</f>
        <v/>
      </c>
      <c r="K895" s="7">
        <f>IF($V895="","",SUMIFS('Per Line'!$R$2:$R$6001,'Per Line'!$C$2:$C$6001,$B895,'Per Line'!$AJ$2:$AJ$6001,1))</f>
        <v/>
      </c>
      <c r="L895">
        <f>IF($V895="","",Settings!$C$7)</f>
        <v/>
      </c>
      <c r="M895" s="7">
        <f>IF($V895="","",SUMIFS('Per Line'!$R$2:$R$6001,'Per Line'!$C$2:$C$6001,$B895,'Per Line'!$AI$2:$AI$6001,0,'Per Line'!$AJ$2:$AJ$6001,0))</f>
        <v/>
      </c>
      <c r="N895" s="7">
        <f>IF($V895="","",M895*L895)</f>
        <v/>
      </c>
      <c r="O895">
        <f>IF($V895="","",Settings!$C$6)</f>
        <v/>
      </c>
      <c r="P895" s="7">
        <f>IF($V895="","",SUMIFS('Per Line'!$R$2:$R$6001,'Per Line'!$C$2:$C$6001,$B895,'Per Line'!$AI$2:$AI$6001,1,'Per Line'!$AJ$2:$AJ$6001,0))</f>
        <v/>
      </c>
      <c r="Q895" s="7">
        <f>IF($V895="","",P895*O895)</f>
        <v/>
      </c>
      <c r="R895" s="7">
        <f>IF($V895="","",Q895+N895)</f>
        <v/>
      </c>
      <c r="S895" s="7">
        <f>IF($V895="","",T895-R895)</f>
        <v/>
      </c>
      <c r="T895" s="7">
        <f>IF($V895="","",M895+P895+K895)</f>
        <v/>
      </c>
      <c r="U895" s="7">
        <f>IF($V895="","",T895-R895-I895)</f>
        <v/>
      </c>
      <c r="V895" s="13">
        <f>IF(ROWS($V$2:$V895)&lt;=MAX('Per Line'!$AH$2:$AH$6001),MATCH(ROWS($V$2:$V895),'Per Line'!$AH$2:$AH$6001,0),"")</f>
        <v/>
      </c>
    </row>
    <row r="896">
      <c r="A896" s="12" t="n"/>
      <c r="B896">
        <f>IF($V896="","",INDEX('Per Line'!$C$2:$C$6001,$V896)&amp;"")</f>
        <v/>
      </c>
      <c r="C896" s="11">
        <f>IF($V896="","",INDEX('Per Line'!$D$2:$D$6001,$V896))</f>
        <v/>
      </c>
      <c r="D896">
        <f>IF($V896="","",INDEX('Per Line'!$E$2:$E$6001,$V896)&amp;"")</f>
        <v/>
      </c>
      <c r="E896">
        <f>IF($V896="","",INDEX('Per Line'!$G$2:$G$6001,$V896)&amp;"")</f>
        <v/>
      </c>
      <c r="F896">
        <f>IF($V896="","",INDEX('Per Line'!$H$2:$H$6001,$V896)&amp;"")</f>
        <v/>
      </c>
      <c r="G896">
        <f>IF($V896="","",INDEX('Per Line'!$I$2:$I$6001,$V896)&amp;"")</f>
        <v/>
      </c>
      <c r="H896">
        <f>IF($V896="","",INDEX('Per Line'!$J$2:$J$6001,$V896))</f>
        <v/>
      </c>
      <c r="I896" s="7">
        <f>IF($V896="","",H896*S896/100)</f>
        <v/>
      </c>
      <c r="J896">
        <f>IF($V896="","",INDEX('Per Line'!$S$2:$S$6001,$V896)&amp;"")</f>
        <v/>
      </c>
      <c r="K896" s="7">
        <f>IF($V896="","",SUMIFS('Per Line'!$R$2:$R$6001,'Per Line'!$C$2:$C$6001,$B896,'Per Line'!$AJ$2:$AJ$6001,1))</f>
        <v/>
      </c>
      <c r="L896">
        <f>IF($V896="","",Settings!$C$7)</f>
        <v/>
      </c>
      <c r="M896" s="7">
        <f>IF($V896="","",SUMIFS('Per Line'!$R$2:$R$6001,'Per Line'!$C$2:$C$6001,$B896,'Per Line'!$AI$2:$AI$6001,0,'Per Line'!$AJ$2:$AJ$6001,0))</f>
        <v/>
      </c>
      <c r="N896" s="7">
        <f>IF($V896="","",M896*L896)</f>
        <v/>
      </c>
      <c r="O896">
        <f>IF($V896="","",Settings!$C$6)</f>
        <v/>
      </c>
      <c r="P896" s="7">
        <f>IF($V896="","",SUMIFS('Per Line'!$R$2:$R$6001,'Per Line'!$C$2:$C$6001,$B896,'Per Line'!$AI$2:$AI$6001,1,'Per Line'!$AJ$2:$AJ$6001,0))</f>
        <v/>
      </c>
      <c r="Q896" s="7">
        <f>IF($V896="","",P896*O896)</f>
        <v/>
      </c>
      <c r="R896" s="7">
        <f>IF($V896="","",Q896+N896)</f>
        <v/>
      </c>
      <c r="S896" s="7">
        <f>IF($V896="","",T896-R896)</f>
        <v/>
      </c>
      <c r="T896" s="7">
        <f>IF($V896="","",M896+P896+K896)</f>
        <v/>
      </c>
      <c r="U896" s="7">
        <f>IF($V896="","",T896-R896-I896)</f>
        <v/>
      </c>
      <c r="V896" s="13">
        <f>IF(ROWS($V$2:$V896)&lt;=MAX('Per Line'!$AH$2:$AH$6001),MATCH(ROWS($V$2:$V896),'Per Line'!$AH$2:$AH$6001,0),"")</f>
        <v/>
      </c>
    </row>
    <row r="897">
      <c r="A897" s="12" t="n"/>
      <c r="B897">
        <f>IF($V897="","",INDEX('Per Line'!$C$2:$C$6001,$V897)&amp;"")</f>
        <v/>
      </c>
      <c r="C897" s="11">
        <f>IF($V897="","",INDEX('Per Line'!$D$2:$D$6001,$V897))</f>
        <v/>
      </c>
      <c r="D897">
        <f>IF($V897="","",INDEX('Per Line'!$E$2:$E$6001,$V897)&amp;"")</f>
        <v/>
      </c>
      <c r="E897">
        <f>IF($V897="","",INDEX('Per Line'!$G$2:$G$6001,$V897)&amp;"")</f>
        <v/>
      </c>
      <c r="F897">
        <f>IF($V897="","",INDEX('Per Line'!$H$2:$H$6001,$V897)&amp;"")</f>
        <v/>
      </c>
      <c r="G897">
        <f>IF($V897="","",INDEX('Per Line'!$I$2:$I$6001,$V897)&amp;"")</f>
        <v/>
      </c>
      <c r="H897">
        <f>IF($V897="","",INDEX('Per Line'!$J$2:$J$6001,$V897))</f>
        <v/>
      </c>
      <c r="I897" s="7">
        <f>IF($V897="","",H897*S897/100)</f>
        <v/>
      </c>
      <c r="J897">
        <f>IF($V897="","",INDEX('Per Line'!$S$2:$S$6001,$V897)&amp;"")</f>
        <v/>
      </c>
      <c r="K897" s="7">
        <f>IF($V897="","",SUMIFS('Per Line'!$R$2:$R$6001,'Per Line'!$C$2:$C$6001,$B897,'Per Line'!$AJ$2:$AJ$6001,1))</f>
        <v/>
      </c>
      <c r="L897">
        <f>IF($V897="","",Settings!$C$7)</f>
        <v/>
      </c>
      <c r="M897" s="7">
        <f>IF($V897="","",SUMIFS('Per Line'!$R$2:$R$6001,'Per Line'!$C$2:$C$6001,$B897,'Per Line'!$AI$2:$AI$6001,0,'Per Line'!$AJ$2:$AJ$6001,0))</f>
        <v/>
      </c>
      <c r="N897" s="7">
        <f>IF($V897="","",M897*L897)</f>
        <v/>
      </c>
      <c r="O897">
        <f>IF($V897="","",Settings!$C$6)</f>
        <v/>
      </c>
      <c r="P897" s="7">
        <f>IF($V897="","",SUMIFS('Per Line'!$R$2:$R$6001,'Per Line'!$C$2:$C$6001,$B897,'Per Line'!$AI$2:$AI$6001,1,'Per Line'!$AJ$2:$AJ$6001,0))</f>
        <v/>
      </c>
      <c r="Q897" s="7">
        <f>IF($V897="","",P897*O897)</f>
        <v/>
      </c>
      <c r="R897" s="7">
        <f>IF($V897="","",Q897+N897)</f>
        <v/>
      </c>
      <c r="S897" s="7">
        <f>IF($V897="","",T897-R897)</f>
        <v/>
      </c>
      <c r="T897" s="7">
        <f>IF($V897="","",M897+P897+K897)</f>
        <v/>
      </c>
      <c r="U897" s="7">
        <f>IF($V897="","",T897-R897-I897)</f>
        <v/>
      </c>
      <c r="V897" s="13">
        <f>IF(ROWS($V$2:$V897)&lt;=MAX('Per Line'!$AH$2:$AH$6001),MATCH(ROWS($V$2:$V897),'Per Line'!$AH$2:$AH$6001,0),"")</f>
        <v/>
      </c>
    </row>
    <row r="898">
      <c r="A898" s="12" t="n"/>
      <c r="B898">
        <f>IF($V898="","",INDEX('Per Line'!$C$2:$C$6001,$V898)&amp;"")</f>
        <v/>
      </c>
      <c r="C898" s="11">
        <f>IF($V898="","",INDEX('Per Line'!$D$2:$D$6001,$V898))</f>
        <v/>
      </c>
      <c r="D898">
        <f>IF($V898="","",INDEX('Per Line'!$E$2:$E$6001,$V898)&amp;"")</f>
        <v/>
      </c>
      <c r="E898">
        <f>IF($V898="","",INDEX('Per Line'!$G$2:$G$6001,$V898)&amp;"")</f>
        <v/>
      </c>
      <c r="F898">
        <f>IF($V898="","",INDEX('Per Line'!$H$2:$H$6001,$V898)&amp;"")</f>
        <v/>
      </c>
      <c r="G898">
        <f>IF($V898="","",INDEX('Per Line'!$I$2:$I$6001,$V898)&amp;"")</f>
        <v/>
      </c>
      <c r="H898">
        <f>IF($V898="","",INDEX('Per Line'!$J$2:$J$6001,$V898))</f>
        <v/>
      </c>
      <c r="I898" s="7">
        <f>IF($V898="","",H898*S898/100)</f>
        <v/>
      </c>
      <c r="J898">
        <f>IF($V898="","",INDEX('Per Line'!$S$2:$S$6001,$V898)&amp;"")</f>
        <v/>
      </c>
      <c r="K898" s="7">
        <f>IF($V898="","",SUMIFS('Per Line'!$R$2:$R$6001,'Per Line'!$C$2:$C$6001,$B898,'Per Line'!$AJ$2:$AJ$6001,1))</f>
        <v/>
      </c>
      <c r="L898">
        <f>IF($V898="","",Settings!$C$7)</f>
        <v/>
      </c>
      <c r="M898" s="7">
        <f>IF($V898="","",SUMIFS('Per Line'!$R$2:$R$6001,'Per Line'!$C$2:$C$6001,$B898,'Per Line'!$AI$2:$AI$6001,0,'Per Line'!$AJ$2:$AJ$6001,0))</f>
        <v/>
      </c>
      <c r="N898" s="7">
        <f>IF($V898="","",M898*L898)</f>
        <v/>
      </c>
      <c r="O898">
        <f>IF($V898="","",Settings!$C$6)</f>
        <v/>
      </c>
      <c r="P898" s="7">
        <f>IF($V898="","",SUMIFS('Per Line'!$R$2:$R$6001,'Per Line'!$C$2:$C$6001,$B898,'Per Line'!$AI$2:$AI$6001,1,'Per Line'!$AJ$2:$AJ$6001,0))</f>
        <v/>
      </c>
      <c r="Q898" s="7">
        <f>IF($V898="","",P898*O898)</f>
        <v/>
      </c>
      <c r="R898" s="7">
        <f>IF($V898="","",Q898+N898)</f>
        <v/>
      </c>
      <c r="S898" s="7">
        <f>IF($V898="","",T898-R898)</f>
        <v/>
      </c>
      <c r="T898" s="7">
        <f>IF($V898="","",M898+P898+K898)</f>
        <v/>
      </c>
      <c r="U898" s="7">
        <f>IF($V898="","",T898-R898-I898)</f>
        <v/>
      </c>
      <c r="V898" s="13">
        <f>IF(ROWS($V$2:$V898)&lt;=MAX('Per Line'!$AH$2:$AH$6001),MATCH(ROWS($V$2:$V898),'Per Line'!$AH$2:$AH$6001,0),"")</f>
        <v/>
      </c>
    </row>
    <row r="899">
      <c r="A899" s="12" t="n"/>
      <c r="B899">
        <f>IF($V899="","",INDEX('Per Line'!$C$2:$C$6001,$V899)&amp;"")</f>
        <v/>
      </c>
      <c r="C899" s="11">
        <f>IF($V899="","",INDEX('Per Line'!$D$2:$D$6001,$V899))</f>
        <v/>
      </c>
      <c r="D899">
        <f>IF($V899="","",INDEX('Per Line'!$E$2:$E$6001,$V899)&amp;"")</f>
        <v/>
      </c>
      <c r="E899">
        <f>IF($V899="","",INDEX('Per Line'!$G$2:$G$6001,$V899)&amp;"")</f>
        <v/>
      </c>
      <c r="F899">
        <f>IF($V899="","",INDEX('Per Line'!$H$2:$H$6001,$V899)&amp;"")</f>
        <v/>
      </c>
      <c r="G899">
        <f>IF($V899="","",INDEX('Per Line'!$I$2:$I$6001,$V899)&amp;"")</f>
        <v/>
      </c>
      <c r="H899">
        <f>IF($V899="","",INDEX('Per Line'!$J$2:$J$6001,$V899))</f>
        <v/>
      </c>
      <c r="I899" s="7">
        <f>IF($V899="","",H899*S899/100)</f>
        <v/>
      </c>
      <c r="J899">
        <f>IF($V899="","",INDEX('Per Line'!$S$2:$S$6001,$V899)&amp;"")</f>
        <v/>
      </c>
      <c r="K899" s="7">
        <f>IF($V899="","",SUMIFS('Per Line'!$R$2:$R$6001,'Per Line'!$C$2:$C$6001,$B899,'Per Line'!$AJ$2:$AJ$6001,1))</f>
        <v/>
      </c>
      <c r="L899">
        <f>IF($V899="","",Settings!$C$7)</f>
        <v/>
      </c>
      <c r="M899" s="7">
        <f>IF($V899="","",SUMIFS('Per Line'!$R$2:$R$6001,'Per Line'!$C$2:$C$6001,$B899,'Per Line'!$AI$2:$AI$6001,0,'Per Line'!$AJ$2:$AJ$6001,0))</f>
        <v/>
      </c>
      <c r="N899" s="7">
        <f>IF($V899="","",M899*L899)</f>
        <v/>
      </c>
      <c r="O899">
        <f>IF($V899="","",Settings!$C$6)</f>
        <v/>
      </c>
      <c r="P899" s="7">
        <f>IF($V899="","",SUMIFS('Per Line'!$R$2:$R$6001,'Per Line'!$C$2:$C$6001,$B899,'Per Line'!$AI$2:$AI$6001,1,'Per Line'!$AJ$2:$AJ$6001,0))</f>
        <v/>
      </c>
      <c r="Q899" s="7">
        <f>IF($V899="","",P899*O899)</f>
        <v/>
      </c>
      <c r="R899" s="7">
        <f>IF($V899="","",Q899+N899)</f>
        <v/>
      </c>
      <c r="S899" s="7">
        <f>IF($V899="","",T899-R899)</f>
        <v/>
      </c>
      <c r="T899" s="7">
        <f>IF($V899="","",M899+P899+K899)</f>
        <v/>
      </c>
      <c r="U899" s="7">
        <f>IF($V899="","",T899-R899-I899)</f>
        <v/>
      </c>
      <c r="V899" s="13">
        <f>IF(ROWS($V$2:$V899)&lt;=MAX('Per Line'!$AH$2:$AH$6001),MATCH(ROWS($V$2:$V899),'Per Line'!$AH$2:$AH$6001,0),"")</f>
        <v/>
      </c>
    </row>
    <row r="900">
      <c r="A900" s="12" t="n"/>
      <c r="B900">
        <f>IF($V900="","",INDEX('Per Line'!$C$2:$C$6001,$V900)&amp;"")</f>
        <v/>
      </c>
      <c r="C900" s="11">
        <f>IF($V900="","",INDEX('Per Line'!$D$2:$D$6001,$V900))</f>
        <v/>
      </c>
      <c r="D900">
        <f>IF($V900="","",INDEX('Per Line'!$E$2:$E$6001,$V900)&amp;"")</f>
        <v/>
      </c>
      <c r="E900">
        <f>IF($V900="","",INDEX('Per Line'!$G$2:$G$6001,$V900)&amp;"")</f>
        <v/>
      </c>
      <c r="F900">
        <f>IF($V900="","",INDEX('Per Line'!$H$2:$H$6001,$V900)&amp;"")</f>
        <v/>
      </c>
      <c r="G900">
        <f>IF($V900="","",INDEX('Per Line'!$I$2:$I$6001,$V900)&amp;"")</f>
        <v/>
      </c>
      <c r="H900">
        <f>IF($V900="","",INDEX('Per Line'!$J$2:$J$6001,$V900))</f>
        <v/>
      </c>
      <c r="I900" s="7">
        <f>IF($V900="","",H900*S900/100)</f>
        <v/>
      </c>
      <c r="J900">
        <f>IF($V900="","",INDEX('Per Line'!$S$2:$S$6001,$V900)&amp;"")</f>
        <v/>
      </c>
      <c r="K900" s="7">
        <f>IF($V900="","",SUMIFS('Per Line'!$R$2:$R$6001,'Per Line'!$C$2:$C$6001,$B900,'Per Line'!$AJ$2:$AJ$6001,1))</f>
        <v/>
      </c>
      <c r="L900">
        <f>IF($V900="","",Settings!$C$7)</f>
        <v/>
      </c>
      <c r="M900" s="7">
        <f>IF($V900="","",SUMIFS('Per Line'!$R$2:$R$6001,'Per Line'!$C$2:$C$6001,$B900,'Per Line'!$AI$2:$AI$6001,0,'Per Line'!$AJ$2:$AJ$6001,0))</f>
        <v/>
      </c>
      <c r="N900" s="7">
        <f>IF($V900="","",M900*L900)</f>
        <v/>
      </c>
      <c r="O900">
        <f>IF($V900="","",Settings!$C$6)</f>
        <v/>
      </c>
      <c r="P900" s="7">
        <f>IF($V900="","",SUMIFS('Per Line'!$R$2:$R$6001,'Per Line'!$C$2:$C$6001,$B900,'Per Line'!$AI$2:$AI$6001,1,'Per Line'!$AJ$2:$AJ$6001,0))</f>
        <v/>
      </c>
      <c r="Q900" s="7">
        <f>IF($V900="","",P900*O900)</f>
        <v/>
      </c>
      <c r="R900" s="7">
        <f>IF($V900="","",Q900+N900)</f>
        <v/>
      </c>
      <c r="S900" s="7">
        <f>IF($V900="","",T900-R900)</f>
        <v/>
      </c>
      <c r="T900" s="7">
        <f>IF($V900="","",M900+P900+K900)</f>
        <v/>
      </c>
      <c r="U900" s="7">
        <f>IF($V900="","",T900-R900-I900)</f>
        <v/>
      </c>
      <c r="V900" s="13">
        <f>IF(ROWS($V$2:$V900)&lt;=MAX('Per Line'!$AH$2:$AH$6001),MATCH(ROWS($V$2:$V900),'Per Line'!$AH$2:$AH$6001,0),"")</f>
        <v/>
      </c>
    </row>
    <row r="901">
      <c r="A901" s="12" t="n"/>
      <c r="B901">
        <f>IF($V901="","",INDEX('Per Line'!$C$2:$C$6001,$V901)&amp;"")</f>
        <v/>
      </c>
      <c r="C901" s="11">
        <f>IF($V901="","",INDEX('Per Line'!$D$2:$D$6001,$V901))</f>
        <v/>
      </c>
      <c r="D901">
        <f>IF($V901="","",INDEX('Per Line'!$E$2:$E$6001,$V901)&amp;"")</f>
        <v/>
      </c>
      <c r="E901">
        <f>IF($V901="","",INDEX('Per Line'!$G$2:$G$6001,$V901)&amp;"")</f>
        <v/>
      </c>
      <c r="F901">
        <f>IF($V901="","",INDEX('Per Line'!$H$2:$H$6001,$V901)&amp;"")</f>
        <v/>
      </c>
      <c r="G901">
        <f>IF($V901="","",INDEX('Per Line'!$I$2:$I$6001,$V901)&amp;"")</f>
        <v/>
      </c>
      <c r="H901">
        <f>IF($V901="","",INDEX('Per Line'!$J$2:$J$6001,$V901))</f>
        <v/>
      </c>
      <c r="I901" s="7">
        <f>IF($V901="","",H901*S901/100)</f>
        <v/>
      </c>
      <c r="J901">
        <f>IF($V901="","",INDEX('Per Line'!$S$2:$S$6001,$V901)&amp;"")</f>
        <v/>
      </c>
      <c r="K901" s="7">
        <f>IF($V901="","",SUMIFS('Per Line'!$R$2:$R$6001,'Per Line'!$C$2:$C$6001,$B901,'Per Line'!$AJ$2:$AJ$6001,1))</f>
        <v/>
      </c>
      <c r="L901">
        <f>IF($V901="","",Settings!$C$7)</f>
        <v/>
      </c>
      <c r="M901" s="7">
        <f>IF($V901="","",SUMIFS('Per Line'!$R$2:$R$6001,'Per Line'!$C$2:$C$6001,$B901,'Per Line'!$AI$2:$AI$6001,0,'Per Line'!$AJ$2:$AJ$6001,0))</f>
        <v/>
      </c>
      <c r="N901" s="7">
        <f>IF($V901="","",M901*L901)</f>
        <v/>
      </c>
      <c r="O901">
        <f>IF($V901="","",Settings!$C$6)</f>
        <v/>
      </c>
      <c r="P901" s="7">
        <f>IF($V901="","",SUMIFS('Per Line'!$R$2:$R$6001,'Per Line'!$C$2:$C$6001,$B901,'Per Line'!$AI$2:$AI$6001,1,'Per Line'!$AJ$2:$AJ$6001,0))</f>
        <v/>
      </c>
      <c r="Q901" s="7">
        <f>IF($V901="","",P901*O901)</f>
        <v/>
      </c>
      <c r="R901" s="7">
        <f>IF($V901="","",Q901+N901)</f>
        <v/>
      </c>
      <c r="S901" s="7">
        <f>IF($V901="","",T901-R901)</f>
        <v/>
      </c>
      <c r="T901" s="7">
        <f>IF($V901="","",M901+P901+K901)</f>
        <v/>
      </c>
      <c r="U901" s="7">
        <f>IF($V901="","",T901-R901-I901)</f>
        <v/>
      </c>
      <c r="V901" s="13">
        <f>IF(ROWS($V$2:$V901)&lt;=MAX('Per Line'!$AH$2:$AH$6001),MATCH(ROWS($V$2:$V901),'Per Line'!$AH$2:$AH$6001,0),"")</f>
        <v/>
      </c>
    </row>
    <row r="902">
      <c r="A902" s="12" t="n"/>
      <c r="B902">
        <f>IF($V902="","",INDEX('Per Line'!$C$2:$C$6001,$V902)&amp;"")</f>
        <v/>
      </c>
      <c r="C902" s="11">
        <f>IF($V902="","",INDEX('Per Line'!$D$2:$D$6001,$V902))</f>
        <v/>
      </c>
      <c r="D902">
        <f>IF($V902="","",INDEX('Per Line'!$E$2:$E$6001,$V902)&amp;"")</f>
        <v/>
      </c>
      <c r="E902">
        <f>IF($V902="","",INDEX('Per Line'!$G$2:$G$6001,$V902)&amp;"")</f>
        <v/>
      </c>
      <c r="F902">
        <f>IF($V902="","",INDEX('Per Line'!$H$2:$H$6001,$V902)&amp;"")</f>
        <v/>
      </c>
      <c r="G902">
        <f>IF($V902="","",INDEX('Per Line'!$I$2:$I$6001,$V902)&amp;"")</f>
        <v/>
      </c>
      <c r="H902">
        <f>IF($V902="","",INDEX('Per Line'!$J$2:$J$6001,$V902))</f>
        <v/>
      </c>
      <c r="I902" s="7">
        <f>IF($V902="","",H902*S902/100)</f>
        <v/>
      </c>
      <c r="J902">
        <f>IF($V902="","",INDEX('Per Line'!$S$2:$S$6001,$V902)&amp;"")</f>
        <v/>
      </c>
      <c r="K902" s="7">
        <f>IF($V902="","",SUMIFS('Per Line'!$R$2:$R$6001,'Per Line'!$C$2:$C$6001,$B902,'Per Line'!$AJ$2:$AJ$6001,1))</f>
        <v/>
      </c>
      <c r="L902">
        <f>IF($V902="","",Settings!$C$7)</f>
        <v/>
      </c>
      <c r="M902" s="7">
        <f>IF($V902="","",SUMIFS('Per Line'!$R$2:$R$6001,'Per Line'!$C$2:$C$6001,$B902,'Per Line'!$AI$2:$AI$6001,0,'Per Line'!$AJ$2:$AJ$6001,0))</f>
        <v/>
      </c>
      <c r="N902" s="7">
        <f>IF($V902="","",M902*L902)</f>
        <v/>
      </c>
      <c r="O902">
        <f>IF($V902="","",Settings!$C$6)</f>
        <v/>
      </c>
      <c r="P902" s="7">
        <f>IF($V902="","",SUMIFS('Per Line'!$R$2:$R$6001,'Per Line'!$C$2:$C$6001,$B902,'Per Line'!$AI$2:$AI$6001,1,'Per Line'!$AJ$2:$AJ$6001,0))</f>
        <v/>
      </c>
      <c r="Q902" s="7">
        <f>IF($V902="","",P902*O902)</f>
        <v/>
      </c>
      <c r="R902" s="7">
        <f>IF($V902="","",Q902+N902)</f>
        <v/>
      </c>
      <c r="S902" s="7">
        <f>IF($V902="","",T902-R902)</f>
        <v/>
      </c>
      <c r="T902" s="7">
        <f>IF($V902="","",M902+P902+K902)</f>
        <v/>
      </c>
      <c r="U902" s="7">
        <f>IF($V902="","",T902-R902-I902)</f>
        <v/>
      </c>
      <c r="V902" s="13">
        <f>IF(ROWS($V$2:$V902)&lt;=MAX('Per Line'!$AH$2:$AH$6001),MATCH(ROWS($V$2:$V902),'Per Line'!$AH$2:$AH$6001,0),"")</f>
        <v/>
      </c>
    </row>
    <row r="903">
      <c r="A903" s="12" t="n"/>
      <c r="B903">
        <f>IF($V903="","",INDEX('Per Line'!$C$2:$C$6001,$V903)&amp;"")</f>
        <v/>
      </c>
      <c r="C903" s="11">
        <f>IF($V903="","",INDEX('Per Line'!$D$2:$D$6001,$V903))</f>
        <v/>
      </c>
      <c r="D903">
        <f>IF($V903="","",INDEX('Per Line'!$E$2:$E$6001,$V903)&amp;"")</f>
        <v/>
      </c>
      <c r="E903">
        <f>IF($V903="","",INDEX('Per Line'!$G$2:$G$6001,$V903)&amp;"")</f>
        <v/>
      </c>
      <c r="F903">
        <f>IF($V903="","",INDEX('Per Line'!$H$2:$H$6001,$V903)&amp;"")</f>
        <v/>
      </c>
      <c r="G903">
        <f>IF($V903="","",INDEX('Per Line'!$I$2:$I$6001,$V903)&amp;"")</f>
        <v/>
      </c>
      <c r="H903">
        <f>IF($V903="","",INDEX('Per Line'!$J$2:$J$6001,$V903))</f>
        <v/>
      </c>
      <c r="I903" s="7">
        <f>IF($V903="","",H903*S903/100)</f>
        <v/>
      </c>
      <c r="J903">
        <f>IF($V903="","",INDEX('Per Line'!$S$2:$S$6001,$V903)&amp;"")</f>
        <v/>
      </c>
      <c r="K903" s="7">
        <f>IF($V903="","",SUMIFS('Per Line'!$R$2:$R$6001,'Per Line'!$C$2:$C$6001,$B903,'Per Line'!$AJ$2:$AJ$6001,1))</f>
        <v/>
      </c>
      <c r="L903">
        <f>IF($V903="","",Settings!$C$7)</f>
        <v/>
      </c>
      <c r="M903" s="7">
        <f>IF($V903="","",SUMIFS('Per Line'!$R$2:$R$6001,'Per Line'!$C$2:$C$6001,$B903,'Per Line'!$AI$2:$AI$6001,0,'Per Line'!$AJ$2:$AJ$6001,0))</f>
        <v/>
      </c>
      <c r="N903" s="7">
        <f>IF($V903="","",M903*L903)</f>
        <v/>
      </c>
      <c r="O903">
        <f>IF($V903="","",Settings!$C$6)</f>
        <v/>
      </c>
      <c r="P903" s="7">
        <f>IF($V903="","",SUMIFS('Per Line'!$R$2:$R$6001,'Per Line'!$C$2:$C$6001,$B903,'Per Line'!$AI$2:$AI$6001,1,'Per Line'!$AJ$2:$AJ$6001,0))</f>
        <v/>
      </c>
      <c r="Q903" s="7">
        <f>IF($V903="","",P903*O903)</f>
        <v/>
      </c>
      <c r="R903" s="7">
        <f>IF($V903="","",Q903+N903)</f>
        <v/>
      </c>
      <c r="S903" s="7">
        <f>IF($V903="","",T903-R903)</f>
        <v/>
      </c>
      <c r="T903" s="7">
        <f>IF($V903="","",M903+P903+K903)</f>
        <v/>
      </c>
      <c r="U903" s="7">
        <f>IF($V903="","",T903-R903-I903)</f>
        <v/>
      </c>
      <c r="V903" s="13">
        <f>IF(ROWS($V$2:$V903)&lt;=MAX('Per Line'!$AH$2:$AH$6001),MATCH(ROWS($V$2:$V903),'Per Line'!$AH$2:$AH$6001,0),"")</f>
        <v/>
      </c>
    </row>
    <row r="904">
      <c r="A904" s="12" t="n"/>
      <c r="B904">
        <f>IF($V904="","",INDEX('Per Line'!$C$2:$C$6001,$V904)&amp;"")</f>
        <v/>
      </c>
      <c r="C904" s="11">
        <f>IF($V904="","",INDEX('Per Line'!$D$2:$D$6001,$V904))</f>
        <v/>
      </c>
      <c r="D904">
        <f>IF($V904="","",INDEX('Per Line'!$E$2:$E$6001,$V904)&amp;"")</f>
        <v/>
      </c>
      <c r="E904">
        <f>IF($V904="","",INDEX('Per Line'!$G$2:$G$6001,$V904)&amp;"")</f>
        <v/>
      </c>
      <c r="F904">
        <f>IF($V904="","",INDEX('Per Line'!$H$2:$H$6001,$V904)&amp;"")</f>
        <v/>
      </c>
      <c r="G904">
        <f>IF($V904="","",INDEX('Per Line'!$I$2:$I$6001,$V904)&amp;"")</f>
        <v/>
      </c>
      <c r="H904">
        <f>IF($V904="","",INDEX('Per Line'!$J$2:$J$6001,$V904))</f>
        <v/>
      </c>
      <c r="I904" s="7">
        <f>IF($V904="","",H904*S904/100)</f>
        <v/>
      </c>
      <c r="J904">
        <f>IF($V904="","",INDEX('Per Line'!$S$2:$S$6001,$V904)&amp;"")</f>
        <v/>
      </c>
      <c r="K904" s="7">
        <f>IF($V904="","",SUMIFS('Per Line'!$R$2:$R$6001,'Per Line'!$C$2:$C$6001,$B904,'Per Line'!$AJ$2:$AJ$6001,1))</f>
        <v/>
      </c>
      <c r="L904">
        <f>IF($V904="","",Settings!$C$7)</f>
        <v/>
      </c>
      <c r="M904" s="7">
        <f>IF($V904="","",SUMIFS('Per Line'!$R$2:$R$6001,'Per Line'!$C$2:$C$6001,$B904,'Per Line'!$AI$2:$AI$6001,0,'Per Line'!$AJ$2:$AJ$6001,0))</f>
        <v/>
      </c>
      <c r="N904" s="7">
        <f>IF($V904="","",M904*L904)</f>
        <v/>
      </c>
      <c r="O904">
        <f>IF($V904="","",Settings!$C$6)</f>
        <v/>
      </c>
      <c r="P904" s="7">
        <f>IF($V904="","",SUMIFS('Per Line'!$R$2:$R$6001,'Per Line'!$C$2:$C$6001,$B904,'Per Line'!$AI$2:$AI$6001,1,'Per Line'!$AJ$2:$AJ$6001,0))</f>
        <v/>
      </c>
      <c r="Q904" s="7">
        <f>IF($V904="","",P904*O904)</f>
        <v/>
      </c>
      <c r="R904" s="7">
        <f>IF($V904="","",Q904+N904)</f>
        <v/>
      </c>
      <c r="S904" s="7">
        <f>IF($V904="","",T904-R904)</f>
        <v/>
      </c>
      <c r="T904" s="7">
        <f>IF($V904="","",M904+P904+K904)</f>
        <v/>
      </c>
      <c r="U904" s="7">
        <f>IF($V904="","",T904-R904-I904)</f>
        <v/>
      </c>
      <c r="V904" s="13">
        <f>IF(ROWS($V$2:$V904)&lt;=MAX('Per Line'!$AH$2:$AH$6001),MATCH(ROWS($V$2:$V904),'Per Line'!$AH$2:$AH$6001,0),"")</f>
        <v/>
      </c>
    </row>
    <row r="905">
      <c r="A905" s="12" t="n"/>
      <c r="B905">
        <f>IF($V905="","",INDEX('Per Line'!$C$2:$C$6001,$V905)&amp;"")</f>
        <v/>
      </c>
      <c r="C905" s="11">
        <f>IF($V905="","",INDEX('Per Line'!$D$2:$D$6001,$V905))</f>
        <v/>
      </c>
      <c r="D905">
        <f>IF($V905="","",INDEX('Per Line'!$E$2:$E$6001,$V905)&amp;"")</f>
        <v/>
      </c>
      <c r="E905">
        <f>IF($V905="","",INDEX('Per Line'!$G$2:$G$6001,$V905)&amp;"")</f>
        <v/>
      </c>
      <c r="F905">
        <f>IF($V905="","",INDEX('Per Line'!$H$2:$H$6001,$V905)&amp;"")</f>
        <v/>
      </c>
      <c r="G905">
        <f>IF($V905="","",INDEX('Per Line'!$I$2:$I$6001,$V905)&amp;"")</f>
        <v/>
      </c>
      <c r="H905">
        <f>IF($V905="","",INDEX('Per Line'!$J$2:$J$6001,$V905))</f>
        <v/>
      </c>
      <c r="I905" s="7">
        <f>IF($V905="","",H905*S905/100)</f>
        <v/>
      </c>
      <c r="J905">
        <f>IF($V905="","",INDEX('Per Line'!$S$2:$S$6001,$V905)&amp;"")</f>
        <v/>
      </c>
      <c r="K905" s="7">
        <f>IF($V905="","",SUMIFS('Per Line'!$R$2:$R$6001,'Per Line'!$C$2:$C$6001,$B905,'Per Line'!$AJ$2:$AJ$6001,1))</f>
        <v/>
      </c>
      <c r="L905">
        <f>IF($V905="","",Settings!$C$7)</f>
        <v/>
      </c>
      <c r="M905" s="7">
        <f>IF($V905="","",SUMIFS('Per Line'!$R$2:$R$6001,'Per Line'!$C$2:$C$6001,$B905,'Per Line'!$AI$2:$AI$6001,0,'Per Line'!$AJ$2:$AJ$6001,0))</f>
        <v/>
      </c>
      <c r="N905" s="7">
        <f>IF($V905="","",M905*L905)</f>
        <v/>
      </c>
      <c r="O905">
        <f>IF($V905="","",Settings!$C$6)</f>
        <v/>
      </c>
      <c r="P905" s="7">
        <f>IF($V905="","",SUMIFS('Per Line'!$R$2:$R$6001,'Per Line'!$C$2:$C$6001,$B905,'Per Line'!$AI$2:$AI$6001,1,'Per Line'!$AJ$2:$AJ$6001,0))</f>
        <v/>
      </c>
      <c r="Q905" s="7">
        <f>IF($V905="","",P905*O905)</f>
        <v/>
      </c>
      <c r="R905" s="7">
        <f>IF($V905="","",Q905+N905)</f>
        <v/>
      </c>
      <c r="S905" s="7">
        <f>IF($V905="","",T905-R905)</f>
        <v/>
      </c>
      <c r="T905" s="7">
        <f>IF($V905="","",M905+P905+K905)</f>
        <v/>
      </c>
      <c r="U905" s="7">
        <f>IF($V905="","",T905-R905-I905)</f>
        <v/>
      </c>
      <c r="V905" s="13">
        <f>IF(ROWS($V$2:$V905)&lt;=MAX('Per Line'!$AH$2:$AH$6001),MATCH(ROWS($V$2:$V905),'Per Line'!$AH$2:$AH$6001,0),"")</f>
        <v/>
      </c>
    </row>
    <row r="906">
      <c r="A906" s="12" t="n"/>
      <c r="B906">
        <f>IF($V906="","",INDEX('Per Line'!$C$2:$C$6001,$V906)&amp;"")</f>
        <v/>
      </c>
      <c r="C906" s="11">
        <f>IF($V906="","",INDEX('Per Line'!$D$2:$D$6001,$V906))</f>
        <v/>
      </c>
      <c r="D906">
        <f>IF($V906="","",INDEX('Per Line'!$E$2:$E$6001,$V906)&amp;"")</f>
        <v/>
      </c>
      <c r="E906">
        <f>IF($V906="","",INDEX('Per Line'!$G$2:$G$6001,$V906)&amp;"")</f>
        <v/>
      </c>
      <c r="F906">
        <f>IF($V906="","",INDEX('Per Line'!$H$2:$H$6001,$V906)&amp;"")</f>
        <v/>
      </c>
      <c r="G906">
        <f>IF($V906="","",INDEX('Per Line'!$I$2:$I$6001,$V906)&amp;"")</f>
        <v/>
      </c>
      <c r="H906">
        <f>IF($V906="","",INDEX('Per Line'!$J$2:$J$6001,$V906))</f>
        <v/>
      </c>
      <c r="I906" s="7">
        <f>IF($V906="","",H906*S906/100)</f>
        <v/>
      </c>
      <c r="J906">
        <f>IF($V906="","",INDEX('Per Line'!$S$2:$S$6001,$V906)&amp;"")</f>
        <v/>
      </c>
      <c r="K906" s="7">
        <f>IF($V906="","",SUMIFS('Per Line'!$R$2:$R$6001,'Per Line'!$C$2:$C$6001,$B906,'Per Line'!$AJ$2:$AJ$6001,1))</f>
        <v/>
      </c>
      <c r="L906">
        <f>IF($V906="","",Settings!$C$7)</f>
        <v/>
      </c>
      <c r="M906" s="7">
        <f>IF($V906="","",SUMIFS('Per Line'!$R$2:$R$6001,'Per Line'!$C$2:$C$6001,$B906,'Per Line'!$AI$2:$AI$6001,0,'Per Line'!$AJ$2:$AJ$6001,0))</f>
        <v/>
      </c>
      <c r="N906" s="7">
        <f>IF($V906="","",M906*L906)</f>
        <v/>
      </c>
      <c r="O906">
        <f>IF($V906="","",Settings!$C$6)</f>
        <v/>
      </c>
      <c r="P906" s="7">
        <f>IF($V906="","",SUMIFS('Per Line'!$R$2:$R$6001,'Per Line'!$C$2:$C$6001,$B906,'Per Line'!$AI$2:$AI$6001,1,'Per Line'!$AJ$2:$AJ$6001,0))</f>
        <v/>
      </c>
      <c r="Q906" s="7">
        <f>IF($V906="","",P906*O906)</f>
        <v/>
      </c>
      <c r="R906" s="7">
        <f>IF($V906="","",Q906+N906)</f>
        <v/>
      </c>
      <c r="S906" s="7">
        <f>IF($V906="","",T906-R906)</f>
        <v/>
      </c>
      <c r="T906" s="7">
        <f>IF($V906="","",M906+P906+K906)</f>
        <v/>
      </c>
      <c r="U906" s="7">
        <f>IF($V906="","",T906-R906-I906)</f>
        <v/>
      </c>
      <c r="V906" s="13">
        <f>IF(ROWS($V$2:$V906)&lt;=MAX('Per Line'!$AH$2:$AH$6001),MATCH(ROWS($V$2:$V906),'Per Line'!$AH$2:$AH$6001,0),"")</f>
        <v/>
      </c>
    </row>
    <row r="907">
      <c r="A907" s="12" t="n"/>
      <c r="B907">
        <f>IF($V907="","",INDEX('Per Line'!$C$2:$C$6001,$V907)&amp;"")</f>
        <v/>
      </c>
      <c r="C907" s="11">
        <f>IF($V907="","",INDEX('Per Line'!$D$2:$D$6001,$V907))</f>
        <v/>
      </c>
      <c r="D907">
        <f>IF($V907="","",INDEX('Per Line'!$E$2:$E$6001,$V907)&amp;"")</f>
        <v/>
      </c>
      <c r="E907">
        <f>IF($V907="","",INDEX('Per Line'!$G$2:$G$6001,$V907)&amp;"")</f>
        <v/>
      </c>
      <c r="F907">
        <f>IF($V907="","",INDEX('Per Line'!$H$2:$H$6001,$V907)&amp;"")</f>
        <v/>
      </c>
      <c r="G907">
        <f>IF($V907="","",INDEX('Per Line'!$I$2:$I$6001,$V907)&amp;"")</f>
        <v/>
      </c>
      <c r="H907">
        <f>IF($V907="","",INDEX('Per Line'!$J$2:$J$6001,$V907))</f>
        <v/>
      </c>
      <c r="I907" s="7">
        <f>IF($V907="","",H907*S907/100)</f>
        <v/>
      </c>
      <c r="J907">
        <f>IF($V907="","",INDEX('Per Line'!$S$2:$S$6001,$V907)&amp;"")</f>
        <v/>
      </c>
      <c r="K907" s="7">
        <f>IF($V907="","",SUMIFS('Per Line'!$R$2:$R$6001,'Per Line'!$C$2:$C$6001,$B907,'Per Line'!$AJ$2:$AJ$6001,1))</f>
        <v/>
      </c>
      <c r="L907">
        <f>IF($V907="","",Settings!$C$7)</f>
        <v/>
      </c>
      <c r="M907" s="7">
        <f>IF($V907="","",SUMIFS('Per Line'!$R$2:$R$6001,'Per Line'!$C$2:$C$6001,$B907,'Per Line'!$AI$2:$AI$6001,0,'Per Line'!$AJ$2:$AJ$6001,0))</f>
        <v/>
      </c>
      <c r="N907" s="7">
        <f>IF($V907="","",M907*L907)</f>
        <v/>
      </c>
      <c r="O907">
        <f>IF($V907="","",Settings!$C$6)</f>
        <v/>
      </c>
      <c r="P907" s="7">
        <f>IF($V907="","",SUMIFS('Per Line'!$R$2:$R$6001,'Per Line'!$C$2:$C$6001,$B907,'Per Line'!$AI$2:$AI$6001,1,'Per Line'!$AJ$2:$AJ$6001,0))</f>
        <v/>
      </c>
      <c r="Q907" s="7">
        <f>IF($V907="","",P907*O907)</f>
        <v/>
      </c>
      <c r="R907" s="7">
        <f>IF($V907="","",Q907+N907)</f>
        <v/>
      </c>
      <c r="S907" s="7">
        <f>IF($V907="","",T907-R907)</f>
        <v/>
      </c>
      <c r="T907" s="7">
        <f>IF($V907="","",M907+P907+K907)</f>
        <v/>
      </c>
      <c r="U907" s="7">
        <f>IF($V907="","",T907-R907-I907)</f>
        <v/>
      </c>
      <c r="V907" s="13">
        <f>IF(ROWS($V$2:$V907)&lt;=MAX('Per Line'!$AH$2:$AH$6001),MATCH(ROWS($V$2:$V907),'Per Line'!$AH$2:$AH$6001,0),"")</f>
        <v/>
      </c>
    </row>
    <row r="908">
      <c r="A908" s="12" t="n"/>
      <c r="B908">
        <f>IF($V908="","",INDEX('Per Line'!$C$2:$C$6001,$V908)&amp;"")</f>
        <v/>
      </c>
      <c r="C908" s="11">
        <f>IF($V908="","",INDEX('Per Line'!$D$2:$D$6001,$V908))</f>
        <v/>
      </c>
      <c r="D908">
        <f>IF($V908="","",INDEX('Per Line'!$E$2:$E$6001,$V908)&amp;"")</f>
        <v/>
      </c>
      <c r="E908">
        <f>IF($V908="","",INDEX('Per Line'!$G$2:$G$6001,$V908)&amp;"")</f>
        <v/>
      </c>
      <c r="F908">
        <f>IF($V908="","",INDEX('Per Line'!$H$2:$H$6001,$V908)&amp;"")</f>
        <v/>
      </c>
      <c r="G908">
        <f>IF($V908="","",INDEX('Per Line'!$I$2:$I$6001,$V908)&amp;"")</f>
        <v/>
      </c>
      <c r="H908">
        <f>IF($V908="","",INDEX('Per Line'!$J$2:$J$6001,$V908))</f>
        <v/>
      </c>
      <c r="I908" s="7">
        <f>IF($V908="","",H908*S908/100)</f>
        <v/>
      </c>
      <c r="J908">
        <f>IF($V908="","",INDEX('Per Line'!$S$2:$S$6001,$V908)&amp;"")</f>
        <v/>
      </c>
      <c r="K908" s="7">
        <f>IF($V908="","",SUMIFS('Per Line'!$R$2:$R$6001,'Per Line'!$C$2:$C$6001,$B908,'Per Line'!$AJ$2:$AJ$6001,1))</f>
        <v/>
      </c>
      <c r="L908">
        <f>IF($V908="","",Settings!$C$7)</f>
        <v/>
      </c>
      <c r="M908" s="7">
        <f>IF($V908="","",SUMIFS('Per Line'!$R$2:$R$6001,'Per Line'!$C$2:$C$6001,$B908,'Per Line'!$AI$2:$AI$6001,0,'Per Line'!$AJ$2:$AJ$6001,0))</f>
        <v/>
      </c>
      <c r="N908" s="7">
        <f>IF($V908="","",M908*L908)</f>
        <v/>
      </c>
      <c r="O908">
        <f>IF($V908="","",Settings!$C$6)</f>
        <v/>
      </c>
      <c r="P908" s="7">
        <f>IF($V908="","",SUMIFS('Per Line'!$R$2:$R$6001,'Per Line'!$C$2:$C$6001,$B908,'Per Line'!$AI$2:$AI$6001,1,'Per Line'!$AJ$2:$AJ$6001,0))</f>
        <v/>
      </c>
      <c r="Q908" s="7">
        <f>IF($V908="","",P908*O908)</f>
        <v/>
      </c>
      <c r="R908" s="7">
        <f>IF($V908="","",Q908+N908)</f>
        <v/>
      </c>
      <c r="S908" s="7">
        <f>IF($V908="","",T908-R908)</f>
        <v/>
      </c>
      <c r="T908" s="7">
        <f>IF($V908="","",M908+P908+K908)</f>
        <v/>
      </c>
      <c r="U908" s="7">
        <f>IF($V908="","",T908-R908-I908)</f>
        <v/>
      </c>
      <c r="V908" s="13">
        <f>IF(ROWS($V$2:$V908)&lt;=MAX('Per Line'!$AH$2:$AH$6001),MATCH(ROWS($V$2:$V908),'Per Line'!$AH$2:$AH$6001,0),"")</f>
        <v/>
      </c>
    </row>
    <row r="909">
      <c r="A909" s="12" t="n"/>
      <c r="B909">
        <f>IF($V909="","",INDEX('Per Line'!$C$2:$C$6001,$V909)&amp;"")</f>
        <v/>
      </c>
      <c r="C909" s="11">
        <f>IF($V909="","",INDEX('Per Line'!$D$2:$D$6001,$V909))</f>
        <v/>
      </c>
      <c r="D909">
        <f>IF($V909="","",INDEX('Per Line'!$E$2:$E$6001,$V909)&amp;"")</f>
        <v/>
      </c>
      <c r="E909">
        <f>IF($V909="","",INDEX('Per Line'!$G$2:$G$6001,$V909)&amp;"")</f>
        <v/>
      </c>
      <c r="F909">
        <f>IF($V909="","",INDEX('Per Line'!$H$2:$H$6001,$V909)&amp;"")</f>
        <v/>
      </c>
      <c r="G909">
        <f>IF($V909="","",INDEX('Per Line'!$I$2:$I$6001,$V909)&amp;"")</f>
        <v/>
      </c>
      <c r="H909">
        <f>IF($V909="","",INDEX('Per Line'!$J$2:$J$6001,$V909))</f>
        <v/>
      </c>
      <c r="I909" s="7">
        <f>IF($V909="","",H909*S909/100)</f>
        <v/>
      </c>
      <c r="J909">
        <f>IF($V909="","",INDEX('Per Line'!$S$2:$S$6001,$V909)&amp;"")</f>
        <v/>
      </c>
      <c r="K909" s="7">
        <f>IF($V909="","",SUMIFS('Per Line'!$R$2:$R$6001,'Per Line'!$C$2:$C$6001,$B909,'Per Line'!$AJ$2:$AJ$6001,1))</f>
        <v/>
      </c>
      <c r="L909">
        <f>IF($V909="","",Settings!$C$7)</f>
        <v/>
      </c>
      <c r="M909" s="7">
        <f>IF($V909="","",SUMIFS('Per Line'!$R$2:$R$6001,'Per Line'!$C$2:$C$6001,$B909,'Per Line'!$AI$2:$AI$6001,0,'Per Line'!$AJ$2:$AJ$6001,0))</f>
        <v/>
      </c>
      <c r="N909" s="7">
        <f>IF($V909="","",M909*L909)</f>
        <v/>
      </c>
      <c r="O909">
        <f>IF($V909="","",Settings!$C$6)</f>
        <v/>
      </c>
      <c r="P909" s="7">
        <f>IF($V909="","",SUMIFS('Per Line'!$R$2:$R$6001,'Per Line'!$C$2:$C$6001,$B909,'Per Line'!$AI$2:$AI$6001,1,'Per Line'!$AJ$2:$AJ$6001,0))</f>
        <v/>
      </c>
      <c r="Q909" s="7">
        <f>IF($V909="","",P909*O909)</f>
        <v/>
      </c>
      <c r="R909" s="7">
        <f>IF($V909="","",Q909+N909)</f>
        <v/>
      </c>
      <c r="S909" s="7">
        <f>IF($V909="","",T909-R909)</f>
        <v/>
      </c>
      <c r="T909" s="7">
        <f>IF($V909="","",M909+P909+K909)</f>
        <v/>
      </c>
      <c r="U909" s="7">
        <f>IF($V909="","",T909-R909-I909)</f>
        <v/>
      </c>
      <c r="V909" s="13">
        <f>IF(ROWS($V$2:$V909)&lt;=MAX('Per Line'!$AH$2:$AH$6001),MATCH(ROWS($V$2:$V909),'Per Line'!$AH$2:$AH$6001,0),"")</f>
        <v/>
      </c>
    </row>
    <row r="910">
      <c r="A910" s="12" t="n"/>
      <c r="B910">
        <f>IF($V910="","",INDEX('Per Line'!$C$2:$C$6001,$V910)&amp;"")</f>
        <v/>
      </c>
      <c r="C910" s="11">
        <f>IF($V910="","",INDEX('Per Line'!$D$2:$D$6001,$V910))</f>
        <v/>
      </c>
      <c r="D910">
        <f>IF($V910="","",INDEX('Per Line'!$E$2:$E$6001,$V910)&amp;"")</f>
        <v/>
      </c>
      <c r="E910">
        <f>IF($V910="","",INDEX('Per Line'!$G$2:$G$6001,$V910)&amp;"")</f>
        <v/>
      </c>
      <c r="F910">
        <f>IF($V910="","",INDEX('Per Line'!$H$2:$H$6001,$V910)&amp;"")</f>
        <v/>
      </c>
      <c r="G910">
        <f>IF($V910="","",INDEX('Per Line'!$I$2:$I$6001,$V910)&amp;"")</f>
        <v/>
      </c>
      <c r="H910">
        <f>IF($V910="","",INDEX('Per Line'!$J$2:$J$6001,$V910))</f>
        <v/>
      </c>
      <c r="I910" s="7">
        <f>IF($V910="","",H910*S910/100)</f>
        <v/>
      </c>
      <c r="J910">
        <f>IF($V910="","",INDEX('Per Line'!$S$2:$S$6001,$V910)&amp;"")</f>
        <v/>
      </c>
      <c r="K910" s="7">
        <f>IF($V910="","",SUMIFS('Per Line'!$R$2:$R$6001,'Per Line'!$C$2:$C$6001,$B910,'Per Line'!$AJ$2:$AJ$6001,1))</f>
        <v/>
      </c>
      <c r="L910">
        <f>IF($V910="","",Settings!$C$7)</f>
        <v/>
      </c>
      <c r="M910" s="7">
        <f>IF($V910="","",SUMIFS('Per Line'!$R$2:$R$6001,'Per Line'!$C$2:$C$6001,$B910,'Per Line'!$AI$2:$AI$6001,0,'Per Line'!$AJ$2:$AJ$6001,0))</f>
        <v/>
      </c>
      <c r="N910" s="7">
        <f>IF($V910="","",M910*L910)</f>
        <v/>
      </c>
      <c r="O910">
        <f>IF($V910="","",Settings!$C$6)</f>
        <v/>
      </c>
      <c r="P910" s="7">
        <f>IF($V910="","",SUMIFS('Per Line'!$R$2:$R$6001,'Per Line'!$C$2:$C$6001,$B910,'Per Line'!$AI$2:$AI$6001,1,'Per Line'!$AJ$2:$AJ$6001,0))</f>
        <v/>
      </c>
      <c r="Q910" s="7">
        <f>IF($V910="","",P910*O910)</f>
        <v/>
      </c>
      <c r="R910" s="7">
        <f>IF($V910="","",Q910+N910)</f>
        <v/>
      </c>
      <c r="S910" s="7">
        <f>IF($V910="","",T910-R910)</f>
        <v/>
      </c>
      <c r="T910" s="7">
        <f>IF($V910="","",M910+P910+K910)</f>
        <v/>
      </c>
      <c r="U910" s="7">
        <f>IF($V910="","",T910-R910-I910)</f>
        <v/>
      </c>
      <c r="V910" s="13">
        <f>IF(ROWS($V$2:$V910)&lt;=MAX('Per Line'!$AH$2:$AH$6001),MATCH(ROWS($V$2:$V910),'Per Line'!$AH$2:$AH$6001,0),"")</f>
        <v/>
      </c>
    </row>
    <row r="911">
      <c r="A911" s="12" t="n"/>
      <c r="B911">
        <f>IF($V911="","",INDEX('Per Line'!$C$2:$C$6001,$V911)&amp;"")</f>
        <v/>
      </c>
      <c r="C911" s="11">
        <f>IF($V911="","",INDEX('Per Line'!$D$2:$D$6001,$V911))</f>
        <v/>
      </c>
      <c r="D911">
        <f>IF($V911="","",INDEX('Per Line'!$E$2:$E$6001,$V911)&amp;"")</f>
        <v/>
      </c>
      <c r="E911">
        <f>IF($V911="","",INDEX('Per Line'!$G$2:$G$6001,$V911)&amp;"")</f>
        <v/>
      </c>
      <c r="F911">
        <f>IF($V911="","",INDEX('Per Line'!$H$2:$H$6001,$V911)&amp;"")</f>
        <v/>
      </c>
      <c r="G911">
        <f>IF($V911="","",INDEX('Per Line'!$I$2:$I$6001,$V911)&amp;"")</f>
        <v/>
      </c>
      <c r="H911">
        <f>IF($V911="","",INDEX('Per Line'!$J$2:$J$6001,$V911))</f>
        <v/>
      </c>
      <c r="I911" s="7">
        <f>IF($V911="","",H911*S911/100)</f>
        <v/>
      </c>
      <c r="J911">
        <f>IF($V911="","",INDEX('Per Line'!$S$2:$S$6001,$V911)&amp;"")</f>
        <v/>
      </c>
      <c r="K911" s="7">
        <f>IF($V911="","",SUMIFS('Per Line'!$R$2:$R$6001,'Per Line'!$C$2:$C$6001,$B911,'Per Line'!$AJ$2:$AJ$6001,1))</f>
        <v/>
      </c>
      <c r="L911">
        <f>IF($V911="","",Settings!$C$7)</f>
        <v/>
      </c>
      <c r="M911" s="7">
        <f>IF($V911="","",SUMIFS('Per Line'!$R$2:$R$6001,'Per Line'!$C$2:$C$6001,$B911,'Per Line'!$AI$2:$AI$6001,0,'Per Line'!$AJ$2:$AJ$6001,0))</f>
        <v/>
      </c>
      <c r="N911" s="7">
        <f>IF($V911="","",M911*L911)</f>
        <v/>
      </c>
      <c r="O911">
        <f>IF($V911="","",Settings!$C$6)</f>
        <v/>
      </c>
      <c r="P911" s="7">
        <f>IF($V911="","",SUMIFS('Per Line'!$R$2:$R$6001,'Per Line'!$C$2:$C$6001,$B911,'Per Line'!$AI$2:$AI$6001,1,'Per Line'!$AJ$2:$AJ$6001,0))</f>
        <v/>
      </c>
      <c r="Q911" s="7">
        <f>IF($V911="","",P911*O911)</f>
        <v/>
      </c>
      <c r="R911" s="7">
        <f>IF($V911="","",Q911+N911)</f>
        <v/>
      </c>
      <c r="S911" s="7">
        <f>IF($V911="","",T911-R911)</f>
        <v/>
      </c>
      <c r="T911" s="7">
        <f>IF($V911="","",M911+P911+K911)</f>
        <v/>
      </c>
      <c r="U911" s="7">
        <f>IF($V911="","",T911-R911-I911)</f>
        <v/>
      </c>
      <c r="V911" s="13">
        <f>IF(ROWS($V$2:$V911)&lt;=MAX('Per Line'!$AH$2:$AH$6001),MATCH(ROWS($V$2:$V911),'Per Line'!$AH$2:$AH$6001,0),"")</f>
        <v/>
      </c>
    </row>
    <row r="912">
      <c r="A912" s="12" t="n"/>
      <c r="B912">
        <f>IF($V912="","",INDEX('Per Line'!$C$2:$C$6001,$V912)&amp;"")</f>
        <v/>
      </c>
      <c r="C912" s="11">
        <f>IF($V912="","",INDEX('Per Line'!$D$2:$D$6001,$V912))</f>
        <v/>
      </c>
      <c r="D912">
        <f>IF($V912="","",INDEX('Per Line'!$E$2:$E$6001,$V912)&amp;"")</f>
        <v/>
      </c>
      <c r="E912">
        <f>IF($V912="","",INDEX('Per Line'!$G$2:$G$6001,$V912)&amp;"")</f>
        <v/>
      </c>
      <c r="F912">
        <f>IF($V912="","",INDEX('Per Line'!$H$2:$H$6001,$V912)&amp;"")</f>
        <v/>
      </c>
      <c r="G912">
        <f>IF($V912="","",INDEX('Per Line'!$I$2:$I$6001,$V912)&amp;"")</f>
        <v/>
      </c>
      <c r="H912">
        <f>IF($V912="","",INDEX('Per Line'!$J$2:$J$6001,$V912))</f>
        <v/>
      </c>
      <c r="I912" s="7">
        <f>IF($V912="","",H912*S912/100)</f>
        <v/>
      </c>
      <c r="J912">
        <f>IF($V912="","",INDEX('Per Line'!$S$2:$S$6001,$V912)&amp;"")</f>
        <v/>
      </c>
      <c r="K912" s="7">
        <f>IF($V912="","",SUMIFS('Per Line'!$R$2:$R$6001,'Per Line'!$C$2:$C$6001,$B912,'Per Line'!$AJ$2:$AJ$6001,1))</f>
        <v/>
      </c>
      <c r="L912">
        <f>IF($V912="","",Settings!$C$7)</f>
        <v/>
      </c>
      <c r="M912" s="7">
        <f>IF($V912="","",SUMIFS('Per Line'!$R$2:$R$6001,'Per Line'!$C$2:$C$6001,$B912,'Per Line'!$AI$2:$AI$6001,0,'Per Line'!$AJ$2:$AJ$6001,0))</f>
        <v/>
      </c>
      <c r="N912" s="7">
        <f>IF($V912="","",M912*L912)</f>
        <v/>
      </c>
      <c r="O912">
        <f>IF($V912="","",Settings!$C$6)</f>
        <v/>
      </c>
      <c r="P912" s="7">
        <f>IF($V912="","",SUMIFS('Per Line'!$R$2:$R$6001,'Per Line'!$C$2:$C$6001,$B912,'Per Line'!$AI$2:$AI$6001,1,'Per Line'!$AJ$2:$AJ$6001,0))</f>
        <v/>
      </c>
      <c r="Q912" s="7">
        <f>IF($V912="","",P912*O912)</f>
        <v/>
      </c>
      <c r="R912" s="7">
        <f>IF($V912="","",Q912+N912)</f>
        <v/>
      </c>
      <c r="S912" s="7">
        <f>IF($V912="","",T912-R912)</f>
        <v/>
      </c>
      <c r="T912" s="7">
        <f>IF($V912="","",M912+P912+K912)</f>
        <v/>
      </c>
      <c r="U912" s="7">
        <f>IF($V912="","",T912-R912-I912)</f>
        <v/>
      </c>
      <c r="V912" s="13">
        <f>IF(ROWS($V$2:$V912)&lt;=MAX('Per Line'!$AH$2:$AH$6001),MATCH(ROWS($V$2:$V912),'Per Line'!$AH$2:$AH$6001,0),"")</f>
        <v/>
      </c>
    </row>
    <row r="913">
      <c r="A913" s="12" t="n"/>
      <c r="B913">
        <f>IF($V913="","",INDEX('Per Line'!$C$2:$C$6001,$V913)&amp;"")</f>
        <v/>
      </c>
      <c r="C913" s="11">
        <f>IF($V913="","",INDEX('Per Line'!$D$2:$D$6001,$V913))</f>
        <v/>
      </c>
      <c r="D913">
        <f>IF($V913="","",INDEX('Per Line'!$E$2:$E$6001,$V913)&amp;"")</f>
        <v/>
      </c>
      <c r="E913">
        <f>IF($V913="","",INDEX('Per Line'!$G$2:$G$6001,$V913)&amp;"")</f>
        <v/>
      </c>
      <c r="F913">
        <f>IF($V913="","",INDEX('Per Line'!$H$2:$H$6001,$V913)&amp;"")</f>
        <v/>
      </c>
      <c r="G913">
        <f>IF($V913="","",INDEX('Per Line'!$I$2:$I$6001,$V913)&amp;"")</f>
        <v/>
      </c>
      <c r="H913">
        <f>IF($V913="","",INDEX('Per Line'!$J$2:$J$6001,$V913))</f>
        <v/>
      </c>
      <c r="I913" s="7">
        <f>IF($V913="","",H913*S913/100)</f>
        <v/>
      </c>
      <c r="J913">
        <f>IF($V913="","",INDEX('Per Line'!$S$2:$S$6001,$V913)&amp;"")</f>
        <v/>
      </c>
      <c r="K913" s="7">
        <f>IF($V913="","",SUMIFS('Per Line'!$R$2:$R$6001,'Per Line'!$C$2:$C$6001,$B913,'Per Line'!$AJ$2:$AJ$6001,1))</f>
        <v/>
      </c>
      <c r="L913">
        <f>IF($V913="","",Settings!$C$7)</f>
        <v/>
      </c>
      <c r="M913" s="7">
        <f>IF($V913="","",SUMIFS('Per Line'!$R$2:$R$6001,'Per Line'!$C$2:$C$6001,$B913,'Per Line'!$AI$2:$AI$6001,0,'Per Line'!$AJ$2:$AJ$6001,0))</f>
        <v/>
      </c>
      <c r="N913" s="7">
        <f>IF($V913="","",M913*L913)</f>
        <v/>
      </c>
      <c r="O913">
        <f>IF($V913="","",Settings!$C$6)</f>
        <v/>
      </c>
      <c r="P913" s="7">
        <f>IF($V913="","",SUMIFS('Per Line'!$R$2:$R$6001,'Per Line'!$C$2:$C$6001,$B913,'Per Line'!$AI$2:$AI$6001,1,'Per Line'!$AJ$2:$AJ$6001,0))</f>
        <v/>
      </c>
      <c r="Q913" s="7">
        <f>IF($V913="","",P913*O913)</f>
        <v/>
      </c>
      <c r="R913" s="7">
        <f>IF($V913="","",Q913+N913)</f>
        <v/>
      </c>
      <c r="S913" s="7">
        <f>IF($V913="","",T913-R913)</f>
        <v/>
      </c>
      <c r="T913" s="7">
        <f>IF($V913="","",M913+P913+K913)</f>
        <v/>
      </c>
      <c r="U913" s="7">
        <f>IF($V913="","",T913-R913-I913)</f>
        <v/>
      </c>
      <c r="V913" s="13">
        <f>IF(ROWS($V$2:$V913)&lt;=MAX('Per Line'!$AH$2:$AH$6001),MATCH(ROWS($V$2:$V913),'Per Line'!$AH$2:$AH$6001,0),"")</f>
        <v/>
      </c>
    </row>
    <row r="914">
      <c r="A914" s="12" t="n"/>
      <c r="B914">
        <f>IF($V914="","",INDEX('Per Line'!$C$2:$C$6001,$V914)&amp;"")</f>
        <v/>
      </c>
      <c r="C914" s="11">
        <f>IF($V914="","",INDEX('Per Line'!$D$2:$D$6001,$V914))</f>
        <v/>
      </c>
      <c r="D914">
        <f>IF($V914="","",INDEX('Per Line'!$E$2:$E$6001,$V914)&amp;"")</f>
        <v/>
      </c>
      <c r="E914">
        <f>IF($V914="","",INDEX('Per Line'!$G$2:$G$6001,$V914)&amp;"")</f>
        <v/>
      </c>
      <c r="F914">
        <f>IF($V914="","",INDEX('Per Line'!$H$2:$H$6001,$V914)&amp;"")</f>
        <v/>
      </c>
      <c r="G914">
        <f>IF($V914="","",INDEX('Per Line'!$I$2:$I$6001,$V914)&amp;"")</f>
        <v/>
      </c>
      <c r="H914">
        <f>IF($V914="","",INDEX('Per Line'!$J$2:$J$6001,$V914))</f>
        <v/>
      </c>
      <c r="I914" s="7">
        <f>IF($V914="","",H914*S914/100)</f>
        <v/>
      </c>
      <c r="J914">
        <f>IF($V914="","",INDEX('Per Line'!$S$2:$S$6001,$V914)&amp;"")</f>
        <v/>
      </c>
      <c r="K914" s="7">
        <f>IF($V914="","",SUMIFS('Per Line'!$R$2:$R$6001,'Per Line'!$C$2:$C$6001,$B914,'Per Line'!$AJ$2:$AJ$6001,1))</f>
        <v/>
      </c>
      <c r="L914">
        <f>IF($V914="","",Settings!$C$7)</f>
        <v/>
      </c>
      <c r="M914" s="7">
        <f>IF($V914="","",SUMIFS('Per Line'!$R$2:$R$6001,'Per Line'!$C$2:$C$6001,$B914,'Per Line'!$AI$2:$AI$6001,0,'Per Line'!$AJ$2:$AJ$6001,0))</f>
        <v/>
      </c>
      <c r="N914" s="7">
        <f>IF($V914="","",M914*L914)</f>
        <v/>
      </c>
      <c r="O914">
        <f>IF($V914="","",Settings!$C$6)</f>
        <v/>
      </c>
      <c r="P914" s="7">
        <f>IF($V914="","",SUMIFS('Per Line'!$R$2:$R$6001,'Per Line'!$C$2:$C$6001,$B914,'Per Line'!$AI$2:$AI$6001,1,'Per Line'!$AJ$2:$AJ$6001,0))</f>
        <v/>
      </c>
      <c r="Q914" s="7">
        <f>IF($V914="","",P914*O914)</f>
        <v/>
      </c>
      <c r="R914" s="7">
        <f>IF($V914="","",Q914+N914)</f>
        <v/>
      </c>
      <c r="S914" s="7">
        <f>IF($V914="","",T914-R914)</f>
        <v/>
      </c>
      <c r="T914" s="7">
        <f>IF($V914="","",M914+P914+K914)</f>
        <v/>
      </c>
      <c r="U914" s="7">
        <f>IF($V914="","",T914-R914-I914)</f>
        <v/>
      </c>
      <c r="V914" s="13">
        <f>IF(ROWS($V$2:$V914)&lt;=MAX('Per Line'!$AH$2:$AH$6001),MATCH(ROWS($V$2:$V914),'Per Line'!$AH$2:$AH$6001,0),"")</f>
        <v/>
      </c>
    </row>
    <row r="915">
      <c r="A915" s="12" t="n"/>
      <c r="B915">
        <f>IF($V915="","",INDEX('Per Line'!$C$2:$C$6001,$V915)&amp;"")</f>
        <v/>
      </c>
      <c r="C915" s="11">
        <f>IF($V915="","",INDEX('Per Line'!$D$2:$D$6001,$V915))</f>
        <v/>
      </c>
      <c r="D915">
        <f>IF($V915="","",INDEX('Per Line'!$E$2:$E$6001,$V915)&amp;"")</f>
        <v/>
      </c>
      <c r="E915">
        <f>IF($V915="","",INDEX('Per Line'!$G$2:$G$6001,$V915)&amp;"")</f>
        <v/>
      </c>
      <c r="F915">
        <f>IF($V915="","",INDEX('Per Line'!$H$2:$H$6001,$V915)&amp;"")</f>
        <v/>
      </c>
      <c r="G915">
        <f>IF($V915="","",INDEX('Per Line'!$I$2:$I$6001,$V915)&amp;"")</f>
        <v/>
      </c>
      <c r="H915">
        <f>IF($V915="","",INDEX('Per Line'!$J$2:$J$6001,$V915))</f>
        <v/>
      </c>
      <c r="I915" s="7">
        <f>IF($V915="","",H915*S915/100)</f>
        <v/>
      </c>
      <c r="J915">
        <f>IF($V915="","",INDEX('Per Line'!$S$2:$S$6001,$V915)&amp;"")</f>
        <v/>
      </c>
      <c r="K915" s="7">
        <f>IF($V915="","",SUMIFS('Per Line'!$R$2:$R$6001,'Per Line'!$C$2:$C$6001,$B915,'Per Line'!$AJ$2:$AJ$6001,1))</f>
        <v/>
      </c>
      <c r="L915">
        <f>IF($V915="","",Settings!$C$7)</f>
        <v/>
      </c>
      <c r="M915" s="7">
        <f>IF($V915="","",SUMIFS('Per Line'!$R$2:$R$6001,'Per Line'!$C$2:$C$6001,$B915,'Per Line'!$AI$2:$AI$6001,0,'Per Line'!$AJ$2:$AJ$6001,0))</f>
        <v/>
      </c>
      <c r="N915" s="7">
        <f>IF($V915="","",M915*L915)</f>
        <v/>
      </c>
      <c r="O915">
        <f>IF($V915="","",Settings!$C$6)</f>
        <v/>
      </c>
      <c r="P915" s="7">
        <f>IF($V915="","",SUMIFS('Per Line'!$R$2:$R$6001,'Per Line'!$C$2:$C$6001,$B915,'Per Line'!$AI$2:$AI$6001,1,'Per Line'!$AJ$2:$AJ$6001,0))</f>
        <v/>
      </c>
      <c r="Q915" s="7">
        <f>IF($V915="","",P915*O915)</f>
        <v/>
      </c>
      <c r="R915" s="7">
        <f>IF($V915="","",Q915+N915)</f>
        <v/>
      </c>
      <c r="S915" s="7">
        <f>IF($V915="","",T915-R915)</f>
        <v/>
      </c>
      <c r="T915" s="7">
        <f>IF($V915="","",M915+P915+K915)</f>
        <v/>
      </c>
      <c r="U915" s="7">
        <f>IF($V915="","",T915-R915-I915)</f>
        <v/>
      </c>
      <c r="V915" s="13">
        <f>IF(ROWS($V$2:$V915)&lt;=MAX('Per Line'!$AH$2:$AH$6001),MATCH(ROWS($V$2:$V915),'Per Line'!$AH$2:$AH$6001,0),"")</f>
        <v/>
      </c>
    </row>
    <row r="916">
      <c r="A916" s="12" t="n"/>
      <c r="B916">
        <f>IF($V916="","",INDEX('Per Line'!$C$2:$C$6001,$V916)&amp;"")</f>
        <v/>
      </c>
      <c r="C916" s="11">
        <f>IF($V916="","",INDEX('Per Line'!$D$2:$D$6001,$V916))</f>
        <v/>
      </c>
      <c r="D916">
        <f>IF($V916="","",INDEX('Per Line'!$E$2:$E$6001,$V916)&amp;"")</f>
        <v/>
      </c>
      <c r="E916">
        <f>IF($V916="","",INDEX('Per Line'!$G$2:$G$6001,$V916)&amp;"")</f>
        <v/>
      </c>
      <c r="F916">
        <f>IF($V916="","",INDEX('Per Line'!$H$2:$H$6001,$V916)&amp;"")</f>
        <v/>
      </c>
      <c r="G916">
        <f>IF($V916="","",INDEX('Per Line'!$I$2:$I$6001,$V916)&amp;"")</f>
        <v/>
      </c>
      <c r="H916">
        <f>IF($V916="","",INDEX('Per Line'!$J$2:$J$6001,$V916))</f>
        <v/>
      </c>
      <c r="I916" s="7">
        <f>IF($V916="","",H916*S916/100)</f>
        <v/>
      </c>
      <c r="J916">
        <f>IF($V916="","",INDEX('Per Line'!$S$2:$S$6001,$V916)&amp;"")</f>
        <v/>
      </c>
      <c r="K916" s="7">
        <f>IF($V916="","",SUMIFS('Per Line'!$R$2:$R$6001,'Per Line'!$C$2:$C$6001,$B916,'Per Line'!$AJ$2:$AJ$6001,1))</f>
        <v/>
      </c>
      <c r="L916">
        <f>IF($V916="","",Settings!$C$7)</f>
        <v/>
      </c>
      <c r="M916" s="7">
        <f>IF($V916="","",SUMIFS('Per Line'!$R$2:$R$6001,'Per Line'!$C$2:$C$6001,$B916,'Per Line'!$AI$2:$AI$6001,0,'Per Line'!$AJ$2:$AJ$6001,0))</f>
        <v/>
      </c>
      <c r="N916" s="7">
        <f>IF($V916="","",M916*L916)</f>
        <v/>
      </c>
      <c r="O916">
        <f>IF($V916="","",Settings!$C$6)</f>
        <v/>
      </c>
      <c r="P916" s="7">
        <f>IF($V916="","",SUMIFS('Per Line'!$R$2:$R$6001,'Per Line'!$C$2:$C$6001,$B916,'Per Line'!$AI$2:$AI$6001,1,'Per Line'!$AJ$2:$AJ$6001,0))</f>
        <v/>
      </c>
      <c r="Q916" s="7">
        <f>IF($V916="","",P916*O916)</f>
        <v/>
      </c>
      <c r="R916" s="7">
        <f>IF($V916="","",Q916+N916)</f>
        <v/>
      </c>
      <c r="S916" s="7">
        <f>IF($V916="","",T916-R916)</f>
        <v/>
      </c>
      <c r="T916" s="7">
        <f>IF($V916="","",M916+P916+K916)</f>
        <v/>
      </c>
      <c r="U916" s="7">
        <f>IF($V916="","",T916-R916-I916)</f>
        <v/>
      </c>
      <c r="V916" s="13">
        <f>IF(ROWS($V$2:$V916)&lt;=MAX('Per Line'!$AH$2:$AH$6001),MATCH(ROWS($V$2:$V916),'Per Line'!$AH$2:$AH$6001,0),"")</f>
        <v/>
      </c>
    </row>
    <row r="917">
      <c r="A917" s="12" t="n"/>
      <c r="B917">
        <f>IF($V917="","",INDEX('Per Line'!$C$2:$C$6001,$V917)&amp;"")</f>
        <v/>
      </c>
      <c r="C917" s="11">
        <f>IF($V917="","",INDEX('Per Line'!$D$2:$D$6001,$V917))</f>
        <v/>
      </c>
      <c r="D917">
        <f>IF($V917="","",INDEX('Per Line'!$E$2:$E$6001,$V917)&amp;"")</f>
        <v/>
      </c>
      <c r="E917">
        <f>IF($V917="","",INDEX('Per Line'!$G$2:$G$6001,$V917)&amp;"")</f>
        <v/>
      </c>
      <c r="F917">
        <f>IF($V917="","",INDEX('Per Line'!$H$2:$H$6001,$V917)&amp;"")</f>
        <v/>
      </c>
      <c r="G917">
        <f>IF($V917="","",INDEX('Per Line'!$I$2:$I$6001,$V917)&amp;"")</f>
        <v/>
      </c>
      <c r="H917">
        <f>IF($V917="","",INDEX('Per Line'!$J$2:$J$6001,$V917))</f>
        <v/>
      </c>
      <c r="I917" s="7">
        <f>IF($V917="","",H917*S917/100)</f>
        <v/>
      </c>
      <c r="J917">
        <f>IF($V917="","",INDEX('Per Line'!$S$2:$S$6001,$V917)&amp;"")</f>
        <v/>
      </c>
      <c r="K917" s="7">
        <f>IF($V917="","",SUMIFS('Per Line'!$R$2:$R$6001,'Per Line'!$C$2:$C$6001,$B917,'Per Line'!$AJ$2:$AJ$6001,1))</f>
        <v/>
      </c>
      <c r="L917">
        <f>IF($V917="","",Settings!$C$7)</f>
        <v/>
      </c>
      <c r="M917" s="7">
        <f>IF($V917="","",SUMIFS('Per Line'!$R$2:$R$6001,'Per Line'!$C$2:$C$6001,$B917,'Per Line'!$AI$2:$AI$6001,0,'Per Line'!$AJ$2:$AJ$6001,0))</f>
        <v/>
      </c>
      <c r="N917" s="7">
        <f>IF($V917="","",M917*L917)</f>
        <v/>
      </c>
      <c r="O917">
        <f>IF($V917="","",Settings!$C$6)</f>
        <v/>
      </c>
      <c r="P917" s="7">
        <f>IF($V917="","",SUMIFS('Per Line'!$R$2:$R$6001,'Per Line'!$C$2:$C$6001,$B917,'Per Line'!$AI$2:$AI$6001,1,'Per Line'!$AJ$2:$AJ$6001,0))</f>
        <v/>
      </c>
      <c r="Q917" s="7">
        <f>IF($V917="","",P917*O917)</f>
        <v/>
      </c>
      <c r="R917" s="7">
        <f>IF($V917="","",Q917+N917)</f>
        <v/>
      </c>
      <c r="S917" s="7">
        <f>IF($V917="","",T917-R917)</f>
        <v/>
      </c>
      <c r="T917" s="7">
        <f>IF($V917="","",M917+P917+K917)</f>
        <v/>
      </c>
      <c r="U917" s="7">
        <f>IF($V917="","",T917-R917-I917)</f>
        <v/>
      </c>
      <c r="V917" s="13">
        <f>IF(ROWS($V$2:$V917)&lt;=MAX('Per Line'!$AH$2:$AH$6001),MATCH(ROWS($V$2:$V917),'Per Line'!$AH$2:$AH$6001,0),"")</f>
        <v/>
      </c>
    </row>
    <row r="918">
      <c r="A918" s="12" t="n"/>
      <c r="B918">
        <f>IF($V918="","",INDEX('Per Line'!$C$2:$C$6001,$V918)&amp;"")</f>
        <v/>
      </c>
      <c r="C918" s="11">
        <f>IF($V918="","",INDEX('Per Line'!$D$2:$D$6001,$V918))</f>
        <v/>
      </c>
      <c r="D918">
        <f>IF($V918="","",INDEX('Per Line'!$E$2:$E$6001,$V918)&amp;"")</f>
        <v/>
      </c>
      <c r="E918">
        <f>IF($V918="","",INDEX('Per Line'!$G$2:$G$6001,$V918)&amp;"")</f>
        <v/>
      </c>
      <c r="F918">
        <f>IF($V918="","",INDEX('Per Line'!$H$2:$H$6001,$V918)&amp;"")</f>
        <v/>
      </c>
      <c r="G918">
        <f>IF($V918="","",INDEX('Per Line'!$I$2:$I$6001,$V918)&amp;"")</f>
        <v/>
      </c>
      <c r="H918">
        <f>IF($V918="","",INDEX('Per Line'!$J$2:$J$6001,$V918))</f>
        <v/>
      </c>
      <c r="I918" s="7">
        <f>IF($V918="","",H918*S918/100)</f>
        <v/>
      </c>
      <c r="J918">
        <f>IF($V918="","",INDEX('Per Line'!$S$2:$S$6001,$V918)&amp;"")</f>
        <v/>
      </c>
      <c r="K918" s="7">
        <f>IF($V918="","",SUMIFS('Per Line'!$R$2:$R$6001,'Per Line'!$C$2:$C$6001,$B918,'Per Line'!$AJ$2:$AJ$6001,1))</f>
        <v/>
      </c>
      <c r="L918">
        <f>IF($V918="","",Settings!$C$7)</f>
        <v/>
      </c>
      <c r="M918" s="7">
        <f>IF($V918="","",SUMIFS('Per Line'!$R$2:$R$6001,'Per Line'!$C$2:$C$6001,$B918,'Per Line'!$AI$2:$AI$6001,0,'Per Line'!$AJ$2:$AJ$6001,0))</f>
        <v/>
      </c>
      <c r="N918" s="7">
        <f>IF($V918="","",M918*L918)</f>
        <v/>
      </c>
      <c r="O918">
        <f>IF($V918="","",Settings!$C$6)</f>
        <v/>
      </c>
      <c r="P918" s="7">
        <f>IF($V918="","",SUMIFS('Per Line'!$R$2:$R$6001,'Per Line'!$C$2:$C$6001,$B918,'Per Line'!$AI$2:$AI$6001,1,'Per Line'!$AJ$2:$AJ$6001,0))</f>
        <v/>
      </c>
      <c r="Q918" s="7">
        <f>IF($V918="","",P918*O918)</f>
        <v/>
      </c>
      <c r="R918" s="7">
        <f>IF($V918="","",Q918+N918)</f>
        <v/>
      </c>
      <c r="S918" s="7">
        <f>IF($V918="","",T918-R918)</f>
        <v/>
      </c>
      <c r="T918" s="7">
        <f>IF($V918="","",M918+P918+K918)</f>
        <v/>
      </c>
      <c r="U918" s="7">
        <f>IF($V918="","",T918-R918-I918)</f>
        <v/>
      </c>
      <c r="V918" s="13">
        <f>IF(ROWS($V$2:$V918)&lt;=MAX('Per Line'!$AH$2:$AH$6001),MATCH(ROWS($V$2:$V918),'Per Line'!$AH$2:$AH$6001,0),"")</f>
        <v/>
      </c>
    </row>
    <row r="919">
      <c r="A919" s="12" t="n"/>
      <c r="B919">
        <f>IF($V919="","",INDEX('Per Line'!$C$2:$C$6001,$V919)&amp;"")</f>
        <v/>
      </c>
      <c r="C919" s="11">
        <f>IF($V919="","",INDEX('Per Line'!$D$2:$D$6001,$V919))</f>
        <v/>
      </c>
      <c r="D919">
        <f>IF($V919="","",INDEX('Per Line'!$E$2:$E$6001,$V919)&amp;"")</f>
        <v/>
      </c>
      <c r="E919">
        <f>IF($V919="","",INDEX('Per Line'!$G$2:$G$6001,$V919)&amp;"")</f>
        <v/>
      </c>
      <c r="F919">
        <f>IF($V919="","",INDEX('Per Line'!$H$2:$H$6001,$V919)&amp;"")</f>
        <v/>
      </c>
      <c r="G919">
        <f>IF($V919="","",INDEX('Per Line'!$I$2:$I$6001,$V919)&amp;"")</f>
        <v/>
      </c>
      <c r="H919">
        <f>IF($V919="","",INDEX('Per Line'!$J$2:$J$6001,$V919))</f>
        <v/>
      </c>
      <c r="I919" s="7">
        <f>IF($V919="","",H919*S919/100)</f>
        <v/>
      </c>
      <c r="J919">
        <f>IF($V919="","",INDEX('Per Line'!$S$2:$S$6001,$V919)&amp;"")</f>
        <v/>
      </c>
      <c r="K919" s="7">
        <f>IF($V919="","",SUMIFS('Per Line'!$R$2:$R$6001,'Per Line'!$C$2:$C$6001,$B919,'Per Line'!$AJ$2:$AJ$6001,1))</f>
        <v/>
      </c>
      <c r="L919">
        <f>IF($V919="","",Settings!$C$7)</f>
        <v/>
      </c>
      <c r="M919" s="7">
        <f>IF($V919="","",SUMIFS('Per Line'!$R$2:$R$6001,'Per Line'!$C$2:$C$6001,$B919,'Per Line'!$AI$2:$AI$6001,0,'Per Line'!$AJ$2:$AJ$6001,0))</f>
        <v/>
      </c>
      <c r="N919" s="7">
        <f>IF($V919="","",M919*L919)</f>
        <v/>
      </c>
      <c r="O919">
        <f>IF($V919="","",Settings!$C$6)</f>
        <v/>
      </c>
      <c r="P919" s="7">
        <f>IF($V919="","",SUMIFS('Per Line'!$R$2:$R$6001,'Per Line'!$C$2:$C$6001,$B919,'Per Line'!$AI$2:$AI$6001,1,'Per Line'!$AJ$2:$AJ$6001,0))</f>
        <v/>
      </c>
      <c r="Q919" s="7">
        <f>IF($V919="","",P919*O919)</f>
        <v/>
      </c>
      <c r="R919" s="7">
        <f>IF($V919="","",Q919+N919)</f>
        <v/>
      </c>
      <c r="S919" s="7">
        <f>IF($V919="","",T919-R919)</f>
        <v/>
      </c>
      <c r="T919" s="7">
        <f>IF($V919="","",M919+P919+K919)</f>
        <v/>
      </c>
      <c r="U919" s="7">
        <f>IF($V919="","",T919-R919-I919)</f>
        <v/>
      </c>
      <c r="V919" s="13">
        <f>IF(ROWS($V$2:$V919)&lt;=MAX('Per Line'!$AH$2:$AH$6001),MATCH(ROWS($V$2:$V919),'Per Line'!$AH$2:$AH$6001,0),"")</f>
        <v/>
      </c>
    </row>
    <row r="920">
      <c r="A920" s="12" t="n"/>
      <c r="B920">
        <f>IF($V920="","",INDEX('Per Line'!$C$2:$C$6001,$V920)&amp;"")</f>
        <v/>
      </c>
      <c r="C920" s="11">
        <f>IF($V920="","",INDEX('Per Line'!$D$2:$D$6001,$V920))</f>
        <v/>
      </c>
      <c r="D920">
        <f>IF($V920="","",INDEX('Per Line'!$E$2:$E$6001,$V920)&amp;"")</f>
        <v/>
      </c>
      <c r="E920">
        <f>IF($V920="","",INDEX('Per Line'!$G$2:$G$6001,$V920)&amp;"")</f>
        <v/>
      </c>
      <c r="F920">
        <f>IF($V920="","",INDEX('Per Line'!$H$2:$H$6001,$V920)&amp;"")</f>
        <v/>
      </c>
      <c r="G920">
        <f>IF($V920="","",INDEX('Per Line'!$I$2:$I$6001,$V920)&amp;"")</f>
        <v/>
      </c>
      <c r="H920">
        <f>IF($V920="","",INDEX('Per Line'!$J$2:$J$6001,$V920))</f>
        <v/>
      </c>
      <c r="I920" s="7">
        <f>IF($V920="","",H920*S920/100)</f>
        <v/>
      </c>
      <c r="J920">
        <f>IF($V920="","",INDEX('Per Line'!$S$2:$S$6001,$V920)&amp;"")</f>
        <v/>
      </c>
      <c r="K920" s="7">
        <f>IF($V920="","",SUMIFS('Per Line'!$R$2:$R$6001,'Per Line'!$C$2:$C$6001,$B920,'Per Line'!$AJ$2:$AJ$6001,1))</f>
        <v/>
      </c>
      <c r="L920">
        <f>IF($V920="","",Settings!$C$7)</f>
        <v/>
      </c>
      <c r="M920" s="7">
        <f>IF($V920="","",SUMIFS('Per Line'!$R$2:$R$6001,'Per Line'!$C$2:$C$6001,$B920,'Per Line'!$AI$2:$AI$6001,0,'Per Line'!$AJ$2:$AJ$6001,0))</f>
        <v/>
      </c>
      <c r="N920" s="7">
        <f>IF($V920="","",M920*L920)</f>
        <v/>
      </c>
      <c r="O920">
        <f>IF($V920="","",Settings!$C$6)</f>
        <v/>
      </c>
      <c r="P920" s="7">
        <f>IF($V920="","",SUMIFS('Per Line'!$R$2:$R$6001,'Per Line'!$C$2:$C$6001,$B920,'Per Line'!$AI$2:$AI$6001,1,'Per Line'!$AJ$2:$AJ$6001,0))</f>
        <v/>
      </c>
      <c r="Q920" s="7">
        <f>IF($V920="","",P920*O920)</f>
        <v/>
      </c>
      <c r="R920" s="7">
        <f>IF($V920="","",Q920+N920)</f>
        <v/>
      </c>
      <c r="S920" s="7">
        <f>IF($V920="","",T920-R920)</f>
        <v/>
      </c>
      <c r="T920" s="7">
        <f>IF($V920="","",M920+P920+K920)</f>
        <v/>
      </c>
      <c r="U920" s="7">
        <f>IF($V920="","",T920-R920-I920)</f>
        <v/>
      </c>
      <c r="V920" s="13">
        <f>IF(ROWS($V$2:$V920)&lt;=MAX('Per Line'!$AH$2:$AH$6001),MATCH(ROWS($V$2:$V920),'Per Line'!$AH$2:$AH$6001,0),"")</f>
        <v/>
      </c>
    </row>
    <row r="921">
      <c r="A921" s="12" t="n"/>
      <c r="B921">
        <f>IF($V921="","",INDEX('Per Line'!$C$2:$C$6001,$V921)&amp;"")</f>
        <v/>
      </c>
      <c r="C921" s="11">
        <f>IF($V921="","",INDEX('Per Line'!$D$2:$D$6001,$V921))</f>
        <v/>
      </c>
      <c r="D921">
        <f>IF($V921="","",INDEX('Per Line'!$E$2:$E$6001,$V921)&amp;"")</f>
        <v/>
      </c>
      <c r="E921">
        <f>IF($V921="","",INDEX('Per Line'!$G$2:$G$6001,$V921)&amp;"")</f>
        <v/>
      </c>
      <c r="F921">
        <f>IF($V921="","",INDEX('Per Line'!$H$2:$H$6001,$V921)&amp;"")</f>
        <v/>
      </c>
      <c r="G921">
        <f>IF($V921="","",INDEX('Per Line'!$I$2:$I$6001,$V921)&amp;"")</f>
        <v/>
      </c>
      <c r="H921">
        <f>IF($V921="","",INDEX('Per Line'!$J$2:$J$6001,$V921))</f>
        <v/>
      </c>
      <c r="I921" s="7">
        <f>IF($V921="","",H921*S921/100)</f>
        <v/>
      </c>
      <c r="J921">
        <f>IF($V921="","",INDEX('Per Line'!$S$2:$S$6001,$V921)&amp;"")</f>
        <v/>
      </c>
      <c r="K921" s="7">
        <f>IF($V921="","",SUMIFS('Per Line'!$R$2:$R$6001,'Per Line'!$C$2:$C$6001,$B921,'Per Line'!$AJ$2:$AJ$6001,1))</f>
        <v/>
      </c>
      <c r="L921">
        <f>IF($V921="","",Settings!$C$7)</f>
        <v/>
      </c>
      <c r="M921" s="7">
        <f>IF($V921="","",SUMIFS('Per Line'!$R$2:$R$6001,'Per Line'!$C$2:$C$6001,$B921,'Per Line'!$AI$2:$AI$6001,0,'Per Line'!$AJ$2:$AJ$6001,0))</f>
        <v/>
      </c>
      <c r="N921" s="7">
        <f>IF($V921="","",M921*L921)</f>
        <v/>
      </c>
      <c r="O921">
        <f>IF($V921="","",Settings!$C$6)</f>
        <v/>
      </c>
      <c r="P921" s="7">
        <f>IF($V921="","",SUMIFS('Per Line'!$R$2:$R$6001,'Per Line'!$C$2:$C$6001,$B921,'Per Line'!$AI$2:$AI$6001,1,'Per Line'!$AJ$2:$AJ$6001,0))</f>
        <v/>
      </c>
      <c r="Q921" s="7">
        <f>IF($V921="","",P921*O921)</f>
        <v/>
      </c>
      <c r="R921" s="7">
        <f>IF($V921="","",Q921+N921)</f>
        <v/>
      </c>
      <c r="S921" s="7">
        <f>IF($V921="","",T921-R921)</f>
        <v/>
      </c>
      <c r="T921" s="7">
        <f>IF($V921="","",M921+P921+K921)</f>
        <v/>
      </c>
      <c r="U921" s="7">
        <f>IF($V921="","",T921-R921-I921)</f>
        <v/>
      </c>
      <c r="V921" s="13">
        <f>IF(ROWS($V$2:$V921)&lt;=MAX('Per Line'!$AH$2:$AH$6001),MATCH(ROWS($V$2:$V921),'Per Line'!$AH$2:$AH$6001,0),"")</f>
        <v/>
      </c>
    </row>
    <row r="922">
      <c r="A922" s="12" t="n"/>
      <c r="B922">
        <f>IF($V922="","",INDEX('Per Line'!$C$2:$C$6001,$V922)&amp;"")</f>
        <v/>
      </c>
      <c r="C922" s="11">
        <f>IF($V922="","",INDEX('Per Line'!$D$2:$D$6001,$V922))</f>
        <v/>
      </c>
      <c r="D922">
        <f>IF($V922="","",INDEX('Per Line'!$E$2:$E$6001,$V922)&amp;"")</f>
        <v/>
      </c>
      <c r="E922">
        <f>IF($V922="","",INDEX('Per Line'!$G$2:$G$6001,$V922)&amp;"")</f>
        <v/>
      </c>
      <c r="F922">
        <f>IF($V922="","",INDEX('Per Line'!$H$2:$H$6001,$V922)&amp;"")</f>
        <v/>
      </c>
      <c r="G922">
        <f>IF($V922="","",INDEX('Per Line'!$I$2:$I$6001,$V922)&amp;"")</f>
        <v/>
      </c>
      <c r="H922">
        <f>IF($V922="","",INDEX('Per Line'!$J$2:$J$6001,$V922))</f>
        <v/>
      </c>
      <c r="I922" s="7">
        <f>IF($V922="","",H922*S922/100)</f>
        <v/>
      </c>
      <c r="J922">
        <f>IF($V922="","",INDEX('Per Line'!$S$2:$S$6001,$V922)&amp;"")</f>
        <v/>
      </c>
      <c r="K922" s="7">
        <f>IF($V922="","",SUMIFS('Per Line'!$R$2:$R$6001,'Per Line'!$C$2:$C$6001,$B922,'Per Line'!$AJ$2:$AJ$6001,1))</f>
        <v/>
      </c>
      <c r="L922">
        <f>IF($V922="","",Settings!$C$7)</f>
        <v/>
      </c>
      <c r="M922" s="7">
        <f>IF($V922="","",SUMIFS('Per Line'!$R$2:$R$6001,'Per Line'!$C$2:$C$6001,$B922,'Per Line'!$AI$2:$AI$6001,0,'Per Line'!$AJ$2:$AJ$6001,0))</f>
        <v/>
      </c>
      <c r="N922" s="7">
        <f>IF($V922="","",M922*L922)</f>
        <v/>
      </c>
      <c r="O922">
        <f>IF($V922="","",Settings!$C$6)</f>
        <v/>
      </c>
      <c r="P922" s="7">
        <f>IF($V922="","",SUMIFS('Per Line'!$R$2:$R$6001,'Per Line'!$C$2:$C$6001,$B922,'Per Line'!$AI$2:$AI$6001,1,'Per Line'!$AJ$2:$AJ$6001,0))</f>
        <v/>
      </c>
      <c r="Q922" s="7">
        <f>IF($V922="","",P922*O922)</f>
        <v/>
      </c>
      <c r="R922" s="7">
        <f>IF($V922="","",Q922+N922)</f>
        <v/>
      </c>
      <c r="S922" s="7">
        <f>IF($V922="","",T922-R922)</f>
        <v/>
      </c>
      <c r="T922" s="7">
        <f>IF($V922="","",M922+P922+K922)</f>
        <v/>
      </c>
      <c r="U922" s="7">
        <f>IF($V922="","",T922-R922-I922)</f>
        <v/>
      </c>
      <c r="V922" s="13">
        <f>IF(ROWS($V$2:$V922)&lt;=MAX('Per Line'!$AH$2:$AH$6001),MATCH(ROWS($V$2:$V922),'Per Line'!$AH$2:$AH$6001,0),"")</f>
        <v/>
      </c>
    </row>
    <row r="923">
      <c r="A923" s="12" t="n"/>
      <c r="B923">
        <f>IF($V923="","",INDEX('Per Line'!$C$2:$C$6001,$V923)&amp;"")</f>
        <v/>
      </c>
      <c r="C923" s="11">
        <f>IF($V923="","",INDEX('Per Line'!$D$2:$D$6001,$V923))</f>
        <v/>
      </c>
      <c r="D923">
        <f>IF($V923="","",INDEX('Per Line'!$E$2:$E$6001,$V923)&amp;"")</f>
        <v/>
      </c>
      <c r="E923">
        <f>IF($V923="","",INDEX('Per Line'!$G$2:$G$6001,$V923)&amp;"")</f>
        <v/>
      </c>
      <c r="F923">
        <f>IF($V923="","",INDEX('Per Line'!$H$2:$H$6001,$V923)&amp;"")</f>
        <v/>
      </c>
      <c r="G923">
        <f>IF($V923="","",INDEX('Per Line'!$I$2:$I$6001,$V923)&amp;"")</f>
        <v/>
      </c>
      <c r="H923">
        <f>IF($V923="","",INDEX('Per Line'!$J$2:$J$6001,$V923))</f>
        <v/>
      </c>
      <c r="I923" s="7">
        <f>IF($V923="","",H923*S923/100)</f>
        <v/>
      </c>
      <c r="J923">
        <f>IF($V923="","",INDEX('Per Line'!$S$2:$S$6001,$V923)&amp;"")</f>
        <v/>
      </c>
      <c r="K923" s="7">
        <f>IF($V923="","",SUMIFS('Per Line'!$R$2:$R$6001,'Per Line'!$C$2:$C$6001,$B923,'Per Line'!$AJ$2:$AJ$6001,1))</f>
        <v/>
      </c>
      <c r="L923">
        <f>IF($V923="","",Settings!$C$7)</f>
        <v/>
      </c>
      <c r="M923" s="7">
        <f>IF($V923="","",SUMIFS('Per Line'!$R$2:$R$6001,'Per Line'!$C$2:$C$6001,$B923,'Per Line'!$AI$2:$AI$6001,0,'Per Line'!$AJ$2:$AJ$6001,0))</f>
        <v/>
      </c>
      <c r="N923" s="7">
        <f>IF($V923="","",M923*L923)</f>
        <v/>
      </c>
      <c r="O923">
        <f>IF($V923="","",Settings!$C$6)</f>
        <v/>
      </c>
      <c r="P923" s="7">
        <f>IF($V923="","",SUMIFS('Per Line'!$R$2:$R$6001,'Per Line'!$C$2:$C$6001,$B923,'Per Line'!$AI$2:$AI$6001,1,'Per Line'!$AJ$2:$AJ$6001,0))</f>
        <v/>
      </c>
      <c r="Q923" s="7">
        <f>IF($V923="","",P923*O923)</f>
        <v/>
      </c>
      <c r="R923" s="7">
        <f>IF($V923="","",Q923+N923)</f>
        <v/>
      </c>
      <c r="S923" s="7">
        <f>IF($V923="","",T923-R923)</f>
        <v/>
      </c>
      <c r="T923" s="7">
        <f>IF($V923="","",M923+P923+K923)</f>
        <v/>
      </c>
      <c r="U923" s="7">
        <f>IF($V923="","",T923-R923-I923)</f>
        <v/>
      </c>
      <c r="V923" s="13">
        <f>IF(ROWS($V$2:$V923)&lt;=MAX('Per Line'!$AH$2:$AH$6001),MATCH(ROWS($V$2:$V923),'Per Line'!$AH$2:$AH$6001,0),"")</f>
        <v/>
      </c>
    </row>
    <row r="924">
      <c r="A924" s="12" t="n"/>
      <c r="B924">
        <f>IF($V924="","",INDEX('Per Line'!$C$2:$C$6001,$V924)&amp;"")</f>
        <v/>
      </c>
      <c r="C924" s="11">
        <f>IF($V924="","",INDEX('Per Line'!$D$2:$D$6001,$V924))</f>
        <v/>
      </c>
      <c r="D924">
        <f>IF($V924="","",INDEX('Per Line'!$E$2:$E$6001,$V924)&amp;"")</f>
        <v/>
      </c>
      <c r="E924">
        <f>IF($V924="","",INDEX('Per Line'!$G$2:$G$6001,$V924)&amp;"")</f>
        <v/>
      </c>
      <c r="F924">
        <f>IF($V924="","",INDEX('Per Line'!$H$2:$H$6001,$V924)&amp;"")</f>
        <v/>
      </c>
      <c r="G924">
        <f>IF($V924="","",INDEX('Per Line'!$I$2:$I$6001,$V924)&amp;"")</f>
        <v/>
      </c>
      <c r="H924">
        <f>IF($V924="","",INDEX('Per Line'!$J$2:$J$6001,$V924))</f>
        <v/>
      </c>
      <c r="I924" s="7">
        <f>IF($V924="","",H924*S924/100)</f>
        <v/>
      </c>
      <c r="J924">
        <f>IF($V924="","",INDEX('Per Line'!$S$2:$S$6001,$V924)&amp;"")</f>
        <v/>
      </c>
      <c r="K924" s="7">
        <f>IF($V924="","",SUMIFS('Per Line'!$R$2:$R$6001,'Per Line'!$C$2:$C$6001,$B924,'Per Line'!$AJ$2:$AJ$6001,1))</f>
        <v/>
      </c>
      <c r="L924">
        <f>IF($V924="","",Settings!$C$7)</f>
        <v/>
      </c>
      <c r="M924" s="7">
        <f>IF($V924="","",SUMIFS('Per Line'!$R$2:$R$6001,'Per Line'!$C$2:$C$6001,$B924,'Per Line'!$AI$2:$AI$6001,0,'Per Line'!$AJ$2:$AJ$6001,0))</f>
        <v/>
      </c>
      <c r="N924" s="7">
        <f>IF($V924="","",M924*L924)</f>
        <v/>
      </c>
      <c r="O924">
        <f>IF($V924="","",Settings!$C$6)</f>
        <v/>
      </c>
      <c r="P924" s="7">
        <f>IF($V924="","",SUMIFS('Per Line'!$R$2:$R$6001,'Per Line'!$C$2:$C$6001,$B924,'Per Line'!$AI$2:$AI$6001,1,'Per Line'!$AJ$2:$AJ$6001,0))</f>
        <v/>
      </c>
      <c r="Q924" s="7">
        <f>IF($V924="","",P924*O924)</f>
        <v/>
      </c>
      <c r="R924" s="7">
        <f>IF($V924="","",Q924+N924)</f>
        <v/>
      </c>
      <c r="S924" s="7">
        <f>IF($V924="","",T924-R924)</f>
        <v/>
      </c>
      <c r="T924" s="7">
        <f>IF($V924="","",M924+P924+K924)</f>
        <v/>
      </c>
      <c r="U924" s="7">
        <f>IF($V924="","",T924-R924-I924)</f>
        <v/>
      </c>
      <c r="V924" s="13">
        <f>IF(ROWS($V$2:$V924)&lt;=MAX('Per Line'!$AH$2:$AH$6001),MATCH(ROWS($V$2:$V924),'Per Line'!$AH$2:$AH$6001,0),"")</f>
        <v/>
      </c>
    </row>
    <row r="925">
      <c r="A925" s="12" t="n"/>
      <c r="B925">
        <f>IF($V925="","",INDEX('Per Line'!$C$2:$C$6001,$V925)&amp;"")</f>
        <v/>
      </c>
      <c r="C925" s="11">
        <f>IF($V925="","",INDEX('Per Line'!$D$2:$D$6001,$V925))</f>
        <v/>
      </c>
      <c r="D925">
        <f>IF($V925="","",INDEX('Per Line'!$E$2:$E$6001,$V925)&amp;"")</f>
        <v/>
      </c>
      <c r="E925">
        <f>IF($V925="","",INDEX('Per Line'!$G$2:$G$6001,$V925)&amp;"")</f>
        <v/>
      </c>
      <c r="F925">
        <f>IF($V925="","",INDEX('Per Line'!$H$2:$H$6001,$V925)&amp;"")</f>
        <v/>
      </c>
      <c r="G925">
        <f>IF($V925="","",INDEX('Per Line'!$I$2:$I$6001,$V925)&amp;"")</f>
        <v/>
      </c>
      <c r="H925">
        <f>IF($V925="","",INDEX('Per Line'!$J$2:$J$6001,$V925))</f>
        <v/>
      </c>
      <c r="I925" s="7">
        <f>IF($V925="","",H925*S925/100)</f>
        <v/>
      </c>
      <c r="J925">
        <f>IF($V925="","",INDEX('Per Line'!$S$2:$S$6001,$V925)&amp;"")</f>
        <v/>
      </c>
      <c r="K925" s="7">
        <f>IF($V925="","",SUMIFS('Per Line'!$R$2:$R$6001,'Per Line'!$C$2:$C$6001,$B925,'Per Line'!$AJ$2:$AJ$6001,1))</f>
        <v/>
      </c>
      <c r="L925">
        <f>IF($V925="","",Settings!$C$7)</f>
        <v/>
      </c>
      <c r="M925" s="7">
        <f>IF($V925="","",SUMIFS('Per Line'!$R$2:$R$6001,'Per Line'!$C$2:$C$6001,$B925,'Per Line'!$AI$2:$AI$6001,0,'Per Line'!$AJ$2:$AJ$6001,0))</f>
        <v/>
      </c>
      <c r="N925" s="7">
        <f>IF($V925="","",M925*L925)</f>
        <v/>
      </c>
      <c r="O925">
        <f>IF($V925="","",Settings!$C$6)</f>
        <v/>
      </c>
      <c r="P925" s="7">
        <f>IF($V925="","",SUMIFS('Per Line'!$R$2:$R$6001,'Per Line'!$C$2:$C$6001,$B925,'Per Line'!$AI$2:$AI$6001,1,'Per Line'!$AJ$2:$AJ$6001,0))</f>
        <v/>
      </c>
      <c r="Q925" s="7">
        <f>IF($V925="","",P925*O925)</f>
        <v/>
      </c>
      <c r="R925" s="7">
        <f>IF($V925="","",Q925+N925)</f>
        <v/>
      </c>
      <c r="S925" s="7">
        <f>IF($V925="","",T925-R925)</f>
        <v/>
      </c>
      <c r="T925" s="7">
        <f>IF($V925="","",M925+P925+K925)</f>
        <v/>
      </c>
      <c r="U925" s="7">
        <f>IF($V925="","",T925-R925-I925)</f>
        <v/>
      </c>
      <c r="V925" s="13">
        <f>IF(ROWS($V$2:$V925)&lt;=MAX('Per Line'!$AH$2:$AH$6001),MATCH(ROWS($V$2:$V925),'Per Line'!$AH$2:$AH$6001,0),"")</f>
        <v/>
      </c>
    </row>
    <row r="926">
      <c r="A926" s="12" t="n"/>
      <c r="B926">
        <f>IF($V926="","",INDEX('Per Line'!$C$2:$C$6001,$V926)&amp;"")</f>
        <v/>
      </c>
      <c r="C926" s="11">
        <f>IF($V926="","",INDEX('Per Line'!$D$2:$D$6001,$V926))</f>
        <v/>
      </c>
      <c r="D926">
        <f>IF($V926="","",INDEX('Per Line'!$E$2:$E$6001,$V926)&amp;"")</f>
        <v/>
      </c>
      <c r="E926">
        <f>IF($V926="","",INDEX('Per Line'!$G$2:$G$6001,$V926)&amp;"")</f>
        <v/>
      </c>
      <c r="F926">
        <f>IF($V926="","",INDEX('Per Line'!$H$2:$H$6001,$V926)&amp;"")</f>
        <v/>
      </c>
      <c r="G926">
        <f>IF($V926="","",INDEX('Per Line'!$I$2:$I$6001,$V926)&amp;"")</f>
        <v/>
      </c>
      <c r="H926">
        <f>IF($V926="","",INDEX('Per Line'!$J$2:$J$6001,$V926))</f>
        <v/>
      </c>
      <c r="I926" s="7">
        <f>IF($V926="","",H926*S926/100)</f>
        <v/>
      </c>
      <c r="J926">
        <f>IF($V926="","",INDEX('Per Line'!$S$2:$S$6001,$V926)&amp;"")</f>
        <v/>
      </c>
      <c r="K926" s="7">
        <f>IF($V926="","",SUMIFS('Per Line'!$R$2:$R$6001,'Per Line'!$C$2:$C$6001,$B926,'Per Line'!$AJ$2:$AJ$6001,1))</f>
        <v/>
      </c>
      <c r="L926">
        <f>IF($V926="","",Settings!$C$7)</f>
        <v/>
      </c>
      <c r="M926" s="7">
        <f>IF($V926="","",SUMIFS('Per Line'!$R$2:$R$6001,'Per Line'!$C$2:$C$6001,$B926,'Per Line'!$AI$2:$AI$6001,0,'Per Line'!$AJ$2:$AJ$6001,0))</f>
        <v/>
      </c>
      <c r="N926" s="7">
        <f>IF($V926="","",M926*L926)</f>
        <v/>
      </c>
      <c r="O926">
        <f>IF($V926="","",Settings!$C$6)</f>
        <v/>
      </c>
      <c r="P926" s="7">
        <f>IF($V926="","",SUMIFS('Per Line'!$R$2:$R$6001,'Per Line'!$C$2:$C$6001,$B926,'Per Line'!$AI$2:$AI$6001,1,'Per Line'!$AJ$2:$AJ$6001,0))</f>
        <v/>
      </c>
      <c r="Q926" s="7">
        <f>IF($V926="","",P926*O926)</f>
        <v/>
      </c>
      <c r="R926" s="7">
        <f>IF($V926="","",Q926+N926)</f>
        <v/>
      </c>
      <c r="S926" s="7">
        <f>IF($V926="","",T926-R926)</f>
        <v/>
      </c>
      <c r="T926" s="7">
        <f>IF($V926="","",M926+P926+K926)</f>
        <v/>
      </c>
      <c r="U926" s="7">
        <f>IF($V926="","",T926-R926-I926)</f>
        <v/>
      </c>
      <c r="V926" s="13">
        <f>IF(ROWS($V$2:$V926)&lt;=MAX('Per Line'!$AH$2:$AH$6001),MATCH(ROWS($V$2:$V926),'Per Line'!$AH$2:$AH$6001,0),"")</f>
        <v/>
      </c>
    </row>
    <row r="927">
      <c r="A927" s="12" t="n"/>
      <c r="B927">
        <f>IF($V927="","",INDEX('Per Line'!$C$2:$C$6001,$V927)&amp;"")</f>
        <v/>
      </c>
      <c r="C927" s="11">
        <f>IF($V927="","",INDEX('Per Line'!$D$2:$D$6001,$V927))</f>
        <v/>
      </c>
      <c r="D927">
        <f>IF($V927="","",INDEX('Per Line'!$E$2:$E$6001,$V927)&amp;"")</f>
        <v/>
      </c>
      <c r="E927">
        <f>IF($V927="","",INDEX('Per Line'!$G$2:$G$6001,$V927)&amp;"")</f>
        <v/>
      </c>
      <c r="F927">
        <f>IF($V927="","",INDEX('Per Line'!$H$2:$H$6001,$V927)&amp;"")</f>
        <v/>
      </c>
      <c r="G927">
        <f>IF($V927="","",INDEX('Per Line'!$I$2:$I$6001,$V927)&amp;"")</f>
        <v/>
      </c>
      <c r="H927">
        <f>IF($V927="","",INDEX('Per Line'!$J$2:$J$6001,$V927))</f>
        <v/>
      </c>
      <c r="I927" s="7">
        <f>IF($V927="","",H927*S927/100)</f>
        <v/>
      </c>
      <c r="J927">
        <f>IF($V927="","",INDEX('Per Line'!$S$2:$S$6001,$V927)&amp;"")</f>
        <v/>
      </c>
      <c r="K927" s="7">
        <f>IF($V927="","",SUMIFS('Per Line'!$R$2:$R$6001,'Per Line'!$C$2:$C$6001,$B927,'Per Line'!$AJ$2:$AJ$6001,1))</f>
        <v/>
      </c>
      <c r="L927">
        <f>IF($V927="","",Settings!$C$7)</f>
        <v/>
      </c>
      <c r="M927" s="7">
        <f>IF($V927="","",SUMIFS('Per Line'!$R$2:$R$6001,'Per Line'!$C$2:$C$6001,$B927,'Per Line'!$AI$2:$AI$6001,0,'Per Line'!$AJ$2:$AJ$6001,0))</f>
        <v/>
      </c>
      <c r="N927" s="7">
        <f>IF($V927="","",M927*L927)</f>
        <v/>
      </c>
      <c r="O927">
        <f>IF($V927="","",Settings!$C$6)</f>
        <v/>
      </c>
      <c r="P927" s="7">
        <f>IF($V927="","",SUMIFS('Per Line'!$R$2:$R$6001,'Per Line'!$C$2:$C$6001,$B927,'Per Line'!$AI$2:$AI$6001,1,'Per Line'!$AJ$2:$AJ$6001,0))</f>
        <v/>
      </c>
      <c r="Q927" s="7">
        <f>IF($V927="","",P927*O927)</f>
        <v/>
      </c>
      <c r="R927" s="7">
        <f>IF($V927="","",Q927+N927)</f>
        <v/>
      </c>
      <c r="S927" s="7">
        <f>IF($V927="","",T927-R927)</f>
        <v/>
      </c>
      <c r="T927" s="7">
        <f>IF($V927="","",M927+P927+K927)</f>
        <v/>
      </c>
      <c r="U927" s="7">
        <f>IF($V927="","",T927-R927-I927)</f>
        <v/>
      </c>
      <c r="V927" s="13">
        <f>IF(ROWS($V$2:$V927)&lt;=MAX('Per Line'!$AH$2:$AH$6001),MATCH(ROWS($V$2:$V927),'Per Line'!$AH$2:$AH$6001,0),"")</f>
        <v/>
      </c>
    </row>
    <row r="928">
      <c r="A928" s="12" t="n"/>
      <c r="B928">
        <f>IF($V928="","",INDEX('Per Line'!$C$2:$C$6001,$V928)&amp;"")</f>
        <v/>
      </c>
      <c r="C928" s="11">
        <f>IF($V928="","",INDEX('Per Line'!$D$2:$D$6001,$V928))</f>
        <v/>
      </c>
      <c r="D928">
        <f>IF($V928="","",INDEX('Per Line'!$E$2:$E$6001,$V928)&amp;"")</f>
        <v/>
      </c>
      <c r="E928">
        <f>IF($V928="","",INDEX('Per Line'!$G$2:$G$6001,$V928)&amp;"")</f>
        <v/>
      </c>
      <c r="F928">
        <f>IF($V928="","",INDEX('Per Line'!$H$2:$H$6001,$V928)&amp;"")</f>
        <v/>
      </c>
      <c r="G928">
        <f>IF($V928="","",INDEX('Per Line'!$I$2:$I$6001,$V928)&amp;"")</f>
        <v/>
      </c>
      <c r="H928">
        <f>IF($V928="","",INDEX('Per Line'!$J$2:$J$6001,$V928))</f>
        <v/>
      </c>
      <c r="I928" s="7">
        <f>IF($V928="","",H928*S928/100)</f>
        <v/>
      </c>
      <c r="J928">
        <f>IF($V928="","",INDEX('Per Line'!$S$2:$S$6001,$V928)&amp;"")</f>
        <v/>
      </c>
      <c r="K928" s="7">
        <f>IF($V928="","",SUMIFS('Per Line'!$R$2:$R$6001,'Per Line'!$C$2:$C$6001,$B928,'Per Line'!$AJ$2:$AJ$6001,1))</f>
        <v/>
      </c>
      <c r="L928">
        <f>IF($V928="","",Settings!$C$7)</f>
        <v/>
      </c>
      <c r="M928" s="7">
        <f>IF($V928="","",SUMIFS('Per Line'!$R$2:$R$6001,'Per Line'!$C$2:$C$6001,$B928,'Per Line'!$AI$2:$AI$6001,0,'Per Line'!$AJ$2:$AJ$6001,0))</f>
        <v/>
      </c>
      <c r="N928" s="7">
        <f>IF($V928="","",M928*L928)</f>
        <v/>
      </c>
      <c r="O928">
        <f>IF($V928="","",Settings!$C$6)</f>
        <v/>
      </c>
      <c r="P928" s="7">
        <f>IF($V928="","",SUMIFS('Per Line'!$R$2:$R$6001,'Per Line'!$C$2:$C$6001,$B928,'Per Line'!$AI$2:$AI$6001,1,'Per Line'!$AJ$2:$AJ$6001,0))</f>
        <v/>
      </c>
      <c r="Q928" s="7">
        <f>IF($V928="","",P928*O928)</f>
        <v/>
      </c>
      <c r="R928" s="7">
        <f>IF($V928="","",Q928+N928)</f>
        <v/>
      </c>
      <c r="S928" s="7">
        <f>IF($V928="","",T928-R928)</f>
        <v/>
      </c>
      <c r="T928" s="7">
        <f>IF($V928="","",M928+P928+K928)</f>
        <v/>
      </c>
      <c r="U928" s="7">
        <f>IF($V928="","",T928-R928-I928)</f>
        <v/>
      </c>
      <c r="V928" s="13">
        <f>IF(ROWS($V$2:$V928)&lt;=MAX('Per Line'!$AH$2:$AH$6001),MATCH(ROWS($V$2:$V928),'Per Line'!$AH$2:$AH$6001,0),"")</f>
        <v/>
      </c>
    </row>
    <row r="929">
      <c r="A929" s="12" t="n"/>
      <c r="B929">
        <f>IF($V929="","",INDEX('Per Line'!$C$2:$C$6001,$V929)&amp;"")</f>
        <v/>
      </c>
      <c r="C929" s="11">
        <f>IF($V929="","",INDEX('Per Line'!$D$2:$D$6001,$V929))</f>
        <v/>
      </c>
      <c r="D929">
        <f>IF($V929="","",INDEX('Per Line'!$E$2:$E$6001,$V929)&amp;"")</f>
        <v/>
      </c>
      <c r="E929">
        <f>IF($V929="","",INDEX('Per Line'!$G$2:$G$6001,$V929)&amp;"")</f>
        <v/>
      </c>
      <c r="F929">
        <f>IF($V929="","",INDEX('Per Line'!$H$2:$H$6001,$V929)&amp;"")</f>
        <v/>
      </c>
      <c r="G929">
        <f>IF($V929="","",INDEX('Per Line'!$I$2:$I$6001,$V929)&amp;"")</f>
        <v/>
      </c>
      <c r="H929">
        <f>IF($V929="","",INDEX('Per Line'!$J$2:$J$6001,$V929))</f>
        <v/>
      </c>
      <c r="I929" s="7">
        <f>IF($V929="","",H929*S929/100)</f>
        <v/>
      </c>
      <c r="J929">
        <f>IF($V929="","",INDEX('Per Line'!$S$2:$S$6001,$V929)&amp;"")</f>
        <v/>
      </c>
      <c r="K929" s="7">
        <f>IF($V929="","",SUMIFS('Per Line'!$R$2:$R$6001,'Per Line'!$C$2:$C$6001,$B929,'Per Line'!$AJ$2:$AJ$6001,1))</f>
        <v/>
      </c>
      <c r="L929">
        <f>IF($V929="","",Settings!$C$7)</f>
        <v/>
      </c>
      <c r="M929" s="7">
        <f>IF($V929="","",SUMIFS('Per Line'!$R$2:$R$6001,'Per Line'!$C$2:$C$6001,$B929,'Per Line'!$AI$2:$AI$6001,0,'Per Line'!$AJ$2:$AJ$6001,0))</f>
        <v/>
      </c>
      <c r="N929" s="7">
        <f>IF($V929="","",M929*L929)</f>
        <v/>
      </c>
      <c r="O929">
        <f>IF($V929="","",Settings!$C$6)</f>
        <v/>
      </c>
      <c r="P929" s="7">
        <f>IF($V929="","",SUMIFS('Per Line'!$R$2:$R$6001,'Per Line'!$C$2:$C$6001,$B929,'Per Line'!$AI$2:$AI$6001,1,'Per Line'!$AJ$2:$AJ$6001,0))</f>
        <v/>
      </c>
      <c r="Q929" s="7">
        <f>IF($V929="","",P929*O929)</f>
        <v/>
      </c>
      <c r="R929" s="7">
        <f>IF($V929="","",Q929+N929)</f>
        <v/>
      </c>
      <c r="S929" s="7">
        <f>IF($V929="","",T929-R929)</f>
        <v/>
      </c>
      <c r="T929" s="7">
        <f>IF($V929="","",M929+P929+K929)</f>
        <v/>
      </c>
      <c r="U929" s="7">
        <f>IF($V929="","",T929-R929-I929)</f>
        <v/>
      </c>
      <c r="V929" s="13">
        <f>IF(ROWS($V$2:$V929)&lt;=MAX('Per Line'!$AH$2:$AH$6001),MATCH(ROWS($V$2:$V929),'Per Line'!$AH$2:$AH$6001,0),"")</f>
        <v/>
      </c>
    </row>
    <row r="930">
      <c r="A930" s="12" t="n"/>
      <c r="B930">
        <f>IF($V930="","",INDEX('Per Line'!$C$2:$C$6001,$V930)&amp;"")</f>
        <v/>
      </c>
      <c r="C930" s="11">
        <f>IF($V930="","",INDEX('Per Line'!$D$2:$D$6001,$V930))</f>
        <v/>
      </c>
      <c r="D930">
        <f>IF($V930="","",INDEX('Per Line'!$E$2:$E$6001,$V930)&amp;"")</f>
        <v/>
      </c>
      <c r="E930">
        <f>IF($V930="","",INDEX('Per Line'!$G$2:$G$6001,$V930)&amp;"")</f>
        <v/>
      </c>
      <c r="F930">
        <f>IF($V930="","",INDEX('Per Line'!$H$2:$H$6001,$V930)&amp;"")</f>
        <v/>
      </c>
      <c r="G930">
        <f>IF($V930="","",INDEX('Per Line'!$I$2:$I$6001,$V930)&amp;"")</f>
        <v/>
      </c>
      <c r="H930">
        <f>IF($V930="","",INDEX('Per Line'!$J$2:$J$6001,$V930))</f>
        <v/>
      </c>
      <c r="I930" s="7">
        <f>IF($V930="","",H930*S930/100)</f>
        <v/>
      </c>
      <c r="J930">
        <f>IF($V930="","",INDEX('Per Line'!$S$2:$S$6001,$V930)&amp;"")</f>
        <v/>
      </c>
      <c r="K930" s="7">
        <f>IF($V930="","",SUMIFS('Per Line'!$R$2:$R$6001,'Per Line'!$C$2:$C$6001,$B930,'Per Line'!$AJ$2:$AJ$6001,1))</f>
        <v/>
      </c>
      <c r="L930">
        <f>IF($V930="","",Settings!$C$7)</f>
        <v/>
      </c>
      <c r="M930" s="7">
        <f>IF($V930="","",SUMIFS('Per Line'!$R$2:$R$6001,'Per Line'!$C$2:$C$6001,$B930,'Per Line'!$AI$2:$AI$6001,0,'Per Line'!$AJ$2:$AJ$6001,0))</f>
        <v/>
      </c>
      <c r="N930" s="7">
        <f>IF($V930="","",M930*L930)</f>
        <v/>
      </c>
      <c r="O930">
        <f>IF($V930="","",Settings!$C$6)</f>
        <v/>
      </c>
      <c r="P930" s="7">
        <f>IF($V930="","",SUMIFS('Per Line'!$R$2:$R$6001,'Per Line'!$C$2:$C$6001,$B930,'Per Line'!$AI$2:$AI$6001,1,'Per Line'!$AJ$2:$AJ$6001,0))</f>
        <v/>
      </c>
      <c r="Q930" s="7">
        <f>IF($V930="","",P930*O930)</f>
        <v/>
      </c>
      <c r="R930" s="7">
        <f>IF($V930="","",Q930+N930)</f>
        <v/>
      </c>
      <c r="S930" s="7">
        <f>IF($V930="","",T930-R930)</f>
        <v/>
      </c>
      <c r="T930" s="7">
        <f>IF($V930="","",M930+P930+K930)</f>
        <v/>
      </c>
      <c r="U930" s="7">
        <f>IF($V930="","",T930-R930-I930)</f>
        <v/>
      </c>
      <c r="V930" s="13">
        <f>IF(ROWS($V$2:$V930)&lt;=MAX('Per Line'!$AH$2:$AH$6001),MATCH(ROWS($V$2:$V930),'Per Line'!$AH$2:$AH$6001,0),"")</f>
        <v/>
      </c>
    </row>
    <row r="931">
      <c r="A931" s="12" t="n"/>
      <c r="B931">
        <f>IF($V931="","",INDEX('Per Line'!$C$2:$C$6001,$V931)&amp;"")</f>
        <v/>
      </c>
      <c r="C931" s="11">
        <f>IF($V931="","",INDEX('Per Line'!$D$2:$D$6001,$V931))</f>
        <v/>
      </c>
      <c r="D931">
        <f>IF($V931="","",INDEX('Per Line'!$E$2:$E$6001,$V931)&amp;"")</f>
        <v/>
      </c>
      <c r="E931">
        <f>IF($V931="","",INDEX('Per Line'!$G$2:$G$6001,$V931)&amp;"")</f>
        <v/>
      </c>
      <c r="F931">
        <f>IF($V931="","",INDEX('Per Line'!$H$2:$H$6001,$V931)&amp;"")</f>
        <v/>
      </c>
      <c r="G931">
        <f>IF($V931="","",INDEX('Per Line'!$I$2:$I$6001,$V931)&amp;"")</f>
        <v/>
      </c>
      <c r="H931">
        <f>IF($V931="","",INDEX('Per Line'!$J$2:$J$6001,$V931))</f>
        <v/>
      </c>
      <c r="I931" s="7">
        <f>IF($V931="","",H931*S931/100)</f>
        <v/>
      </c>
      <c r="J931">
        <f>IF($V931="","",INDEX('Per Line'!$S$2:$S$6001,$V931)&amp;"")</f>
        <v/>
      </c>
      <c r="K931" s="7">
        <f>IF($V931="","",SUMIFS('Per Line'!$R$2:$R$6001,'Per Line'!$C$2:$C$6001,$B931,'Per Line'!$AJ$2:$AJ$6001,1))</f>
        <v/>
      </c>
      <c r="L931">
        <f>IF($V931="","",Settings!$C$7)</f>
        <v/>
      </c>
      <c r="M931" s="7">
        <f>IF($V931="","",SUMIFS('Per Line'!$R$2:$R$6001,'Per Line'!$C$2:$C$6001,$B931,'Per Line'!$AI$2:$AI$6001,0,'Per Line'!$AJ$2:$AJ$6001,0))</f>
        <v/>
      </c>
      <c r="N931" s="7">
        <f>IF($V931="","",M931*L931)</f>
        <v/>
      </c>
      <c r="O931">
        <f>IF($V931="","",Settings!$C$6)</f>
        <v/>
      </c>
      <c r="P931" s="7">
        <f>IF($V931="","",SUMIFS('Per Line'!$R$2:$R$6001,'Per Line'!$C$2:$C$6001,$B931,'Per Line'!$AI$2:$AI$6001,1,'Per Line'!$AJ$2:$AJ$6001,0))</f>
        <v/>
      </c>
      <c r="Q931" s="7">
        <f>IF($V931="","",P931*O931)</f>
        <v/>
      </c>
      <c r="R931" s="7">
        <f>IF($V931="","",Q931+N931)</f>
        <v/>
      </c>
      <c r="S931" s="7">
        <f>IF($V931="","",T931-R931)</f>
        <v/>
      </c>
      <c r="T931" s="7">
        <f>IF($V931="","",M931+P931+K931)</f>
        <v/>
      </c>
      <c r="U931" s="7">
        <f>IF($V931="","",T931-R931-I931)</f>
        <v/>
      </c>
      <c r="V931" s="13">
        <f>IF(ROWS($V$2:$V931)&lt;=MAX('Per Line'!$AH$2:$AH$6001),MATCH(ROWS($V$2:$V931),'Per Line'!$AH$2:$AH$6001,0),"")</f>
        <v/>
      </c>
    </row>
    <row r="932">
      <c r="A932" s="12" t="n"/>
      <c r="B932">
        <f>IF($V932="","",INDEX('Per Line'!$C$2:$C$6001,$V932)&amp;"")</f>
        <v/>
      </c>
      <c r="C932" s="11">
        <f>IF($V932="","",INDEX('Per Line'!$D$2:$D$6001,$V932))</f>
        <v/>
      </c>
      <c r="D932">
        <f>IF($V932="","",INDEX('Per Line'!$E$2:$E$6001,$V932)&amp;"")</f>
        <v/>
      </c>
      <c r="E932">
        <f>IF($V932="","",INDEX('Per Line'!$G$2:$G$6001,$V932)&amp;"")</f>
        <v/>
      </c>
      <c r="F932">
        <f>IF($V932="","",INDEX('Per Line'!$H$2:$H$6001,$V932)&amp;"")</f>
        <v/>
      </c>
      <c r="G932">
        <f>IF($V932="","",INDEX('Per Line'!$I$2:$I$6001,$V932)&amp;"")</f>
        <v/>
      </c>
      <c r="H932">
        <f>IF($V932="","",INDEX('Per Line'!$J$2:$J$6001,$V932))</f>
        <v/>
      </c>
      <c r="I932" s="7">
        <f>IF($V932="","",H932*S932/100)</f>
        <v/>
      </c>
      <c r="J932">
        <f>IF($V932="","",INDEX('Per Line'!$S$2:$S$6001,$V932)&amp;"")</f>
        <v/>
      </c>
      <c r="K932" s="7">
        <f>IF($V932="","",SUMIFS('Per Line'!$R$2:$R$6001,'Per Line'!$C$2:$C$6001,$B932,'Per Line'!$AJ$2:$AJ$6001,1))</f>
        <v/>
      </c>
      <c r="L932">
        <f>IF($V932="","",Settings!$C$7)</f>
        <v/>
      </c>
      <c r="M932" s="7">
        <f>IF($V932="","",SUMIFS('Per Line'!$R$2:$R$6001,'Per Line'!$C$2:$C$6001,$B932,'Per Line'!$AI$2:$AI$6001,0,'Per Line'!$AJ$2:$AJ$6001,0))</f>
        <v/>
      </c>
      <c r="N932" s="7">
        <f>IF($V932="","",M932*L932)</f>
        <v/>
      </c>
      <c r="O932">
        <f>IF($V932="","",Settings!$C$6)</f>
        <v/>
      </c>
      <c r="P932" s="7">
        <f>IF($V932="","",SUMIFS('Per Line'!$R$2:$R$6001,'Per Line'!$C$2:$C$6001,$B932,'Per Line'!$AI$2:$AI$6001,1,'Per Line'!$AJ$2:$AJ$6001,0))</f>
        <v/>
      </c>
      <c r="Q932" s="7">
        <f>IF($V932="","",P932*O932)</f>
        <v/>
      </c>
      <c r="R932" s="7">
        <f>IF($V932="","",Q932+N932)</f>
        <v/>
      </c>
      <c r="S932" s="7">
        <f>IF($V932="","",T932-R932)</f>
        <v/>
      </c>
      <c r="T932" s="7">
        <f>IF($V932="","",M932+P932+K932)</f>
        <v/>
      </c>
      <c r="U932" s="7">
        <f>IF($V932="","",T932-R932-I932)</f>
        <v/>
      </c>
      <c r="V932" s="13">
        <f>IF(ROWS($V$2:$V932)&lt;=MAX('Per Line'!$AH$2:$AH$6001),MATCH(ROWS($V$2:$V932),'Per Line'!$AH$2:$AH$6001,0),"")</f>
        <v/>
      </c>
    </row>
    <row r="933">
      <c r="A933" s="12" t="n"/>
      <c r="B933">
        <f>IF($V933="","",INDEX('Per Line'!$C$2:$C$6001,$V933)&amp;"")</f>
        <v/>
      </c>
      <c r="C933" s="11">
        <f>IF($V933="","",INDEX('Per Line'!$D$2:$D$6001,$V933))</f>
        <v/>
      </c>
      <c r="D933">
        <f>IF($V933="","",INDEX('Per Line'!$E$2:$E$6001,$V933)&amp;"")</f>
        <v/>
      </c>
      <c r="E933">
        <f>IF($V933="","",INDEX('Per Line'!$G$2:$G$6001,$V933)&amp;"")</f>
        <v/>
      </c>
      <c r="F933">
        <f>IF($V933="","",INDEX('Per Line'!$H$2:$H$6001,$V933)&amp;"")</f>
        <v/>
      </c>
      <c r="G933">
        <f>IF($V933="","",INDEX('Per Line'!$I$2:$I$6001,$V933)&amp;"")</f>
        <v/>
      </c>
      <c r="H933">
        <f>IF($V933="","",INDEX('Per Line'!$J$2:$J$6001,$V933))</f>
        <v/>
      </c>
      <c r="I933" s="7">
        <f>IF($V933="","",H933*S933/100)</f>
        <v/>
      </c>
      <c r="J933">
        <f>IF($V933="","",INDEX('Per Line'!$S$2:$S$6001,$V933)&amp;"")</f>
        <v/>
      </c>
      <c r="K933" s="7">
        <f>IF($V933="","",SUMIFS('Per Line'!$R$2:$R$6001,'Per Line'!$C$2:$C$6001,$B933,'Per Line'!$AJ$2:$AJ$6001,1))</f>
        <v/>
      </c>
      <c r="L933">
        <f>IF($V933="","",Settings!$C$7)</f>
        <v/>
      </c>
      <c r="M933" s="7">
        <f>IF($V933="","",SUMIFS('Per Line'!$R$2:$R$6001,'Per Line'!$C$2:$C$6001,$B933,'Per Line'!$AI$2:$AI$6001,0,'Per Line'!$AJ$2:$AJ$6001,0))</f>
        <v/>
      </c>
      <c r="N933" s="7">
        <f>IF($V933="","",M933*L933)</f>
        <v/>
      </c>
      <c r="O933">
        <f>IF($V933="","",Settings!$C$6)</f>
        <v/>
      </c>
      <c r="P933" s="7">
        <f>IF($V933="","",SUMIFS('Per Line'!$R$2:$R$6001,'Per Line'!$C$2:$C$6001,$B933,'Per Line'!$AI$2:$AI$6001,1,'Per Line'!$AJ$2:$AJ$6001,0))</f>
        <v/>
      </c>
      <c r="Q933" s="7">
        <f>IF($V933="","",P933*O933)</f>
        <v/>
      </c>
      <c r="R933" s="7">
        <f>IF($V933="","",Q933+N933)</f>
        <v/>
      </c>
      <c r="S933" s="7">
        <f>IF($V933="","",T933-R933)</f>
        <v/>
      </c>
      <c r="T933" s="7">
        <f>IF($V933="","",M933+P933+K933)</f>
        <v/>
      </c>
      <c r="U933" s="7">
        <f>IF($V933="","",T933-R933-I933)</f>
        <v/>
      </c>
      <c r="V933" s="13">
        <f>IF(ROWS($V$2:$V933)&lt;=MAX('Per Line'!$AH$2:$AH$6001),MATCH(ROWS($V$2:$V933),'Per Line'!$AH$2:$AH$6001,0),"")</f>
        <v/>
      </c>
    </row>
    <row r="934">
      <c r="A934" s="12" t="n"/>
      <c r="B934">
        <f>IF($V934="","",INDEX('Per Line'!$C$2:$C$6001,$V934)&amp;"")</f>
        <v/>
      </c>
      <c r="C934" s="11">
        <f>IF($V934="","",INDEX('Per Line'!$D$2:$D$6001,$V934))</f>
        <v/>
      </c>
      <c r="D934">
        <f>IF($V934="","",INDEX('Per Line'!$E$2:$E$6001,$V934)&amp;"")</f>
        <v/>
      </c>
      <c r="E934">
        <f>IF($V934="","",INDEX('Per Line'!$G$2:$G$6001,$V934)&amp;"")</f>
        <v/>
      </c>
      <c r="F934">
        <f>IF($V934="","",INDEX('Per Line'!$H$2:$H$6001,$V934)&amp;"")</f>
        <v/>
      </c>
      <c r="G934">
        <f>IF($V934="","",INDEX('Per Line'!$I$2:$I$6001,$V934)&amp;"")</f>
        <v/>
      </c>
      <c r="H934">
        <f>IF($V934="","",INDEX('Per Line'!$J$2:$J$6001,$V934))</f>
        <v/>
      </c>
      <c r="I934" s="7">
        <f>IF($V934="","",H934*S934/100)</f>
        <v/>
      </c>
      <c r="J934">
        <f>IF($V934="","",INDEX('Per Line'!$S$2:$S$6001,$V934)&amp;"")</f>
        <v/>
      </c>
      <c r="K934" s="7">
        <f>IF($V934="","",SUMIFS('Per Line'!$R$2:$R$6001,'Per Line'!$C$2:$C$6001,$B934,'Per Line'!$AJ$2:$AJ$6001,1))</f>
        <v/>
      </c>
      <c r="L934">
        <f>IF($V934="","",Settings!$C$7)</f>
        <v/>
      </c>
      <c r="M934" s="7">
        <f>IF($V934="","",SUMIFS('Per Line'!$R$2:$R$6001,'Per Line'!$C$2:$C$6001,$B934,'Per Line'!$AI$2:$AI$6001,0,'Per Line'!$AJ$2:$AJ$6001,0))</f>
        <v/>
      </c>
      <c r="N934" s="7">
        <f>IF($V934="","",M934*L934)</f>
        <v/>
      </c>
      <c r="O934">
        <f>IF($V934="","",Settings!$C$6)</f>
        <v/>
      </c>
      <c r="P934" s="7">
        <f>IF($V934="","",SUMIFS('Per Line'!$R$2:$R$6001,'Per Line'!$C$2:$C$6001,$B934,'Per Line'!$AI$2:$AI$6001,1,'Per Line'!$AJ$2:$AJ$6001,0))</f>
        <v/>
      </c>
      <c r="Q934" s="7">
        <f>IF($V934="","",P934*O934)</f>
        <v/>
      </c>
      <c r="R934" s="7">
        <f>IF($V934="","",Q934+N934)</f>
        <v/>
      </c>
      <c r="S934" s="7">
        <f>IF($V934="","",T934-R934)</f>
        <v/>
      </c>
      <c r="T934" s="7">
        <f>IF($V934="","",M934+P934+K934)</f>
        <v/>
      </c>
      <c r="U934" s="7">
        <f>IF($V934="","",T934-R934-I934)</f>
        <v/>
      </c>
      <c r="V934" s="13">
        <f>IF(ROWS($V$2:$V934)&lt;=MAX('Per Line'!$AH$2:$AH$6001),MATCH(ROWS($V$2:$V934),'Per Line'!$AH$2:$AH$6001,0),"")</f>
        <v/>
      </c>
    </row>
    <row r="935">
      <c r="A935" s="12" t="n"/>
      <c r="B935">
        <f>IF($V935="","",INDEX('Per Line'!$C$2:$C$6001,$V935)&amp;"")</f>
        <v/>
      </c>
      <c r="C935" s="11">
        <f>IF($V935="","",INDEX('Per Line'!$D$2:$D$6001,$V935))</f>
        <v/>
      </c>
      <c r="D935">
        <f>IF($V935="","",INDEX('Per Line'!$E$2:$E$6001,$V935)&amp;"")</f>
        <v/>
      </c>
      <c r="E935">
        <f>IF($V935="","",INDEX('Per Line'!$G$2:$G$6001,$V935)&amp;"")</f>
        <v/>
      </c>
      <c r="F935">
        <f>IF($V935="","",INDEX('Per Line'!$H$2:$H$6001,$V935)&amp;"")</f>
        <v/>
      </c>
      <c r="G935">
        <f>IF($V935="","",INDEX('Per Line'!$I$2:$I$6001,$V935)&amp;"")</f>
        <v/>
      </c>
      <c r="H935">
        <f>IF($V935="","",INDEX('Per Line'!$J$2:$J$6001,$V935))</f>
        <v/>
      </c>
      <c r="I935" s="7">
        <f>IF($V935="","",H935*S935/100)</f>
        <v/>
      </c>
      <c r="J935">
        <f>IF($V935="","",INDEX('Per Line'!$S$2:$S$6001,$V935)&amp;"")</f>
        <v/>
      </c>
      <c r="K935" s="7">
        <f>IF($V935="","",SUMIFS('Per Line'!$R$2:$R$6001,'Per Line'!$C$2:$C$6001,$B935,'Per Line'!$AJ$2:$AJ$6001,1))</f>
        <v/>
      </c>
      <c r="L935">
        <f>IF($V935="","",Settings!$C$7)</f>
        <v/>
      </c>
      <c r="M935" s="7">
        <f>IF($V935="","",SUMIFS('Per Line'!$R$2:$R$6001,'Per Line'!$C$2:$C$6001,$B935,'Per Line'!$AI$2:$AI$6001,0,'Per Line'!$AJ$2:$AJ$6001,0))</f>
        <v/>
      </c>
      <c r="N935" s="7">
        <f>IF($V935="","",M935*L935)</f>
        <v/>
      </c>
      <c r="O935">
        <f>IF($V935="","",Settings!$C$6)</f>
        <v/>
      </c>
      <c r="P935" s="7">
        <f>IF($V935="","",SUMIFS('Per Line'!$R$2:$R$6001,'Per Line'!$C$2:$C$6001,$B935,'Per Line'!$AI$2:$AI$6001,1,'Per Line'!$AJ$2:$AJ$6001,0))</f>
        <v/>
      </c>
      <c r="Q935" s="7">
        <f>IF($V935="","",P935*O935)</f>
        <v/>
      </c>
      <c r="R935" s="7">
        <f>IF($V935="","",Q935+N935)</f>
        <v/>
      </c>
      <c r="S935" s="7">
        <f>IF($V935="","",T935-R935)</f>
        <v/>
      </c>
      <c r="T935" s="7">
        <f>IF($V935="","",M935+P935+K935)</f>
        <v/>
      </c>
      <c r="U935" s="7">
        <f>IF($V935="","",T935-R935-I935)</f>
        <v/>
      </c>
      <c r="V935" s="13">
        <f>IF(ROWS($V$2:$V935)&lt;=MAX('Per Line'!$AH$2:$AH$6001),MATCH(ROWS($V$2:$V935),'Per Line'!$AH$2:$AH$6001,0),"")</f>
        <v/>
      </c>
    </row>
    <row r="936">
      <c r="A936" s="12" t="n"/>
      <c r="B936">
        <f>IF($V936="","",INDEX('Per Line'!$C$2:$C$6001,$V936)&amp;"")</f>
        <v/>
      </c>
      <c r="C936" s="11">
        <f>IF($V936="","",INDEX('Per Line'!$D$2:$D$6001,$V936))</f>
        <v/>
      </c>
      <c r="D936">
        <f>IF($V936="","",INDEX('Per Line'!$E$2:$E$6001,$V936)&amp;"")</f>
        <v/>
      </c>
      <c r="E936">
        <f>IF($V936="","",INDEX('Per Line'!$G$2:$G$6001,$V936)&amp;"")</f>
        <v/>
      </c>
      <c r="F936">
        <f>IF($V936="","",INDEX('Per Line'!$H$2:$H$6001,$V936)&amp;"")</f>
        <v/>
      </c>
      <c r="G936">
        <f>IF($V936="","",INDEX('Per Line'!$I$2:$I$6001,$V936)&amp;"")</f>
        <v/>
      </c>
      <c r="H936">
        <f>IF($V936="","",INDEX('Per Line'!$J$2:$J$6001,$V936))</f>
        <v/>
      </c>
      <c r="I936" s="7">
        <f>IF($V936="","",H936*S936/100)</f>
        <v/>
      </c>
      <c r="J936">
        <f>IF($V936="","",INDEX('Per Line'!$S$2:$S$6001,$V936)&amp;"")</f>
        <v/>
      </c>
      <c r="K936" s="7">
        <f>IF($V936="","",SUMIFS('Per Line'!$R$2:$R$6001,'Per Line'!$C$2:$C$6001,$B936,'Per Line'!$AJ$2:$AJ$6001,1))</f>
        <v/>
      </c>
      <c r="L936">
        <f>IF($V936="","",Settings!$C$7)</f>
        <v/>
      </c>
      <c r="M936" s="7">
        <f>IF($V936="","",SUMIFS('Per Line'!$R$2:$R$6001,'Per Line'!$C$2:$C$6001,$B936,'Per Line'!$AI$2:$AI$6001,0,'Per Line'!$AJ$2:$AJ$6001,0))</f>
        <v/>
      </c>
      <c r="N936" s="7">
        <f>IF($V936="","",M936*L936)</f>
        <v/>
      </c>
      <c r="O936">
        <f>IF($V936="","",Settings!$C$6)</f>
        <v/>
      </c>
      <c r="P936" s="7">
        <f>IF($V936="","",SUMIFS('Per Line'!$R$2:$R$6001,'Per Line'!$C$2:$C$6001,$B936,'Per Line'!$AI$2:$AI$6001,1,'Per Line'!$AJ$2:$AJ$6001,0))</f>
        <v/>
      </c>
      <c r="Q936" s="7">
        <f>IF($V936="","",P936*O936)</f>
        <v/>
      </c>
      <c r="R936" s="7">
        <f>IF($V936="","",Q936+N936)</f>
        <v/>
      </c>
      <c r="S936" s="7">
        <f>IF($V936="","",T936-R936)</f>
        <v/>
      </c>
      <c r="T936" s="7">
        <f>IF($V936="","",M936+P936+K936)</f>
        <v/>
      </c>
      <c r="U936" s="7">
        <f>IF($V936="","",T936-R936-I936)</f>
        <v/>
      </c>
      <c r="V936" s="13">
        <f>IF(ROWS($V$2:$V936)&lt;=MAX('Per Line'!$AH$2:$AH$6001),MATCH(ROWS($V$2:$V936),'Per Line'!$AH$2:$AH$6001,0),"")</f>
        <v/>
      </c>
    </row>
    <row r="937">
      <c r="A937" s="12" t="n"/>
      <c r="B937">
        <f>IF($V937="","",INDEX('Per Line'!$C$2:$C$6001,$V937)&amp;"")</f>
        <v/>
      </c>
      <c r="C937" s="11">
        <f>IF($V937="","",INDEX('Per Line'!$D$2:$D$6001,$V937))</f>
        <v/>
      </c>
      <c r="D937">
        <f>IF($V937="","",INDEX('Per Line'!$E$2:$E$6001,$V937)&amp;"")</f>
        <v/>
      </c>
      <c r="E937">
        <f>IF($V937="","",INDEX('Per Line'!$G$2:$G$6001,$V937)&amp;"")</f>
        <v/>
      </c>
      <c r="F937">
        <f>IF($V937="","",INDEX('Per Line'!$H$2:$H$6001,$V937)&amp;"")</f>
        <v/>
      </c>
      <c r="G937">
        <f>IF($V937="","",INDEX('Per Line'!$I$2:$I$6001,$V937)&amp;"")</f>
        <v/>
      </c>
      <c r="H937">
        <f>IF($V937="","",INDEX('Per Line'!$J$2:$J$6001,$V937))</f>
        <v/>
      </c>
      <c r="I937" s="7">
        <f>IF($V937="","",H937*S937/100)</f>
        <v/>
      </c>
      <c r="J937">
        <f>IF($V937="","",INDEX('Per Line'!$S$2:$S$6001,$V937)&amp;"")</f>
        <v/>
      </c>
      <c r="K937" s="7">
        <f>IF($V937="","",SUMIFS('Per Line'!$R$2:$R$6001,'Per Line'!$C$2:$C$6001,$B937,'Per Line'!$AJ$2:$AJ$6001,1))</f>
        <v/>
      </c>
      <c r="L937">
        <f>IF($V937="","",Settings!$C$7)</f>
        <v/>
      </c>
      <c r="M937" s="7">
        <f>IF($V937="","",SUMIFS('Per Line'!$R$2:$R$6001,'Per Line'!$C$2:$C$6001,$B937,'Per Line'!$AI$2:$AI$6001,0,'Per Line'!$AJ$2:$AJ$6001,0))</f>
        <v/>
      </c>
      <c r="N937" s="7">
        <f>IF($V937="","",M937*L937)</f>
        <v/>
      </c>
      <c r="O937">
        <f>IF($V937="","",Settings!$C$6)</f>
        <v/>
      </c>
      <c r="P937" s="7">
        <f>IF($V937="","",SUMIFS('Per Line'!$R$2:$R$6001,'Per Line'!$C$2:$C$6001,$B937,'Per Line'!$AI$2:$AI$6001,1,'Per Line'!$AJ$2:$AJ$6001,0))</f>
        <v/>
      </c>
      <c r="Q937" s="7">
        <f>IF($V937="","",P937*O937)</f>
        <v/>
      </c>
      <c r="R937" s="7">
        <f>IF($V937="","",Q937+N937)</f>
        <v/>
      </c>
      <c r="S937" s="7">
        <f>IF($V937="","",T937-R937)</f>
        <v/>
      </c>
      <c r="T937" s="7">
        <f>IF($V937="","",M937+P937+K937)</f>
        <v/>
      </c>
      <c r="U937" s="7">
        <f>IF($V937="","",T937-R937-I937)</f>
        <v/>
      </c>
      <c r="V937" s="13">
        <f>IF(ROWS($V$2:$V937)&lt;=MAX('Per Line'!$AH$2:$AH$6001),MATCH(ROWS($V$2:$V937),'Per Line'!$AH$2:$AH$6001,0),"")</f>
        <v/>
      </c>
    </row>
    <row r="938">
      <c r="A938" s="12" t="n"/>
      <c r="B938">
        <f>IF($V938="","",INDEX('Per Line'!$C$2:$C$6001,$V938)&amp;"")</f>
        <v/>
      </c>
      <c r="C938" s="11">
        <f>IF($V938="","",INDEX('Per Line'!$D$2:$D$6001,$V938))</f>
        <v/>
      </c>
      <c r="D938">
        <f>IF($V938="","",INDEX('Per Line'!$E$2:$E$6001,$V938)&amp;"")</f>
        <v/>
      </c>
      <c r="E938">
        <f>IF($V938="","",INDEX('Per Line'!$G$2:$G$6001,$V938)&amp;"")</f>
        <v/>
      </c>
      <c r="F938">
        <f>IF($V938="","",INDEX('Per Line'!$H$2:$H$6001,$V938)&amp;"")</f>
        <v/>
      </c>
      <c r="G938">
        <f>IF($V938="","",INDEX('Per Line'!$I$2:$I$6001,$V938)&amp;"")</f>
        <v/>
      </c>
      <c r="H938">
        <f>IF($V938="","",INDEX('Per Line'!$J$2:$J$6001,$V938))</f>
        <v/>
      </c>
      <c r="I938" s="7">
        <f>IF($V938="","",H938*S938/100)</f>
        <v/>
      </c>
      <c r="J938">
        <f>IF($V938="","",INDEX('Per Line'!$S$2:$S$6001,$V938)&amp;"")</f>
        <v/>
      </c>
      <c r="K938" s="7">
        <f>IF($V938="","",SUMIFS('Per Line'!$R$2:$R$6001,'Per Line'!$C$2:$C$6001,$B938,'Per Line'!$AJ$2:$AJ$6001,1))</f>
        <v/>
      </c>
      <c r="L938">
        <f>IF($V938="","",Settings!$C$7)</f>
        <v/>
      </c>
      <c r="M938" s="7">
        <f>IF($V938="","",SUMIFS('Per Line'!$R$2:$R$6001,'Per Line'!$C$2:$C$6001,$B938,'Per Line'!$AI$2:$AI$6001,0,'Per Line'!$AJ$2:$AJ$6001,0))</f>
        <v/>
      </c>
      <c r="N938" s="7">
        <f>IF($V938="","",M938*L938)</f>
        <v/>
      </c>
      <c r="O938">
        <f>IF($V938="","",Settings!$C$6)</f>
        <v/>
      </c>
      <c r="P938" s="7">
        <f>IF($V938="","",SUMIFS('Per Line'!$R$2:$R$6001,'Per Line'!$C$2:$C$6001,$B938,'Per Line'!$AI$2:$AI$6001,1,'Per Line'!$AJ$2:$AJ$6001,0))</f>
        <v/>
      </c>
      <c r="Q938" s="7">
        <f>IF($V938="","",P938*O938)</f>
        <v/>
      </c>
      <c r="R938" s="7">
        <f>IF($V938="","",Q938+N938)</f>
        <v/>
      </c>
      <c r="S938" s="7">
        <f>IF($V938="","",T938-R938)</f>
        <v/>
      </c>
      <c r="T938" s="7">
        <f>IF($V938="","",M938+P938+K938)</f>
        <v/>
      </c>
      <c r="U938" s="7">
        <f>IF($V938="","",T938-R938-I938)</f>
        <v/>
      </c>
      <c r="V938" s="13">
        <f>IF(ROWS($V$2:$V938)&lt;=MAX('Per Line'!$AH$2:$AH$6001),MATCH(ROWS($V$2:$V938),'Per Line'!$AH$2:$AH$6001,0),"")</f>
        <v/>
      </c>
    </row>
    <row r="939">
      <c r="A939" s="12" t="n"/>
      <c r="B939">
        <f>IF($V939="","",INDEX('Per Line'!$C$2:$C$6001,$V939)&amp;"")</f>
        <v/>
      </c>
      <c r="C939" s="11">
        <f>IF($V939="","",INDEX('Per Line'!$D$2:$D$6001,$V939))</f>
        <v/>
      </c>
      <c r="D939">
        <f>IF($V939="","",INDEX('Per Line'!$E$2:$E$6001,$V939)&amp;"")</f>
        <v/>
      </c>
      <c r="E939">
        <f>IF($V939="","",INDEX('Per Line'!$G$2:$G$6001,$V939)&amp;"")</f>
        <v/>
      </c>
      <c r="F939">
        <f>IF($V939="","",INDEX('Per Line'!$H$2:$H$6001,$V939)&amp;"")</f>
        <v/>
      </c>
      <c r="G939">
        <f>IF($V939="","",INDEX('Per Line'!$I$2:$I$6001,$V939)&amp;"")</f>
        <v/>
      </c>
      <c r="H939">
        <f>IF($V939="","",INDEX('Per Line'!$J$2:$J$6001,$V939))</f>
        <v/>
      </c>
      <c r="I939" s="7">
        <f>IF($V939="","",H939*S939/100)</f>
        <v/>
      </c>
      <c r="J939">
        <f>IF($V939="","",INDEX('Per Line'!$S$2:$S$6001,$V939)&amp;"")</f>
        <v/>
      </c>
      <c r="K939" s="7">
        <f>IF($V939="","",SUMIFS('Per Line'!$R$2:$R$6001,'Per Line'!$C$2:$C$6001,$B939,'Per Line'!$AJ$2:$AJ$6001,1))</f>
        <v/>
      </c>
      <c r="L939">
        <f>IF($V939="","",Settings!$C$7)</f>
        <v/>
      </c>
      <c r="M939" s="7">
        <f>IF($V939="","",SUMIFS('Per Line'!$R$2:$R$6001,'Per Line'!$C$2:$C$6001,$B939,'Per Line'!$AI$2:$AI$6001,0,'Per Line'!$AJ$2:$AJ$6001,0))</f>
        <v/>
      </c>
      <c r="N939" s="7">
        <f>IF($V939="","",M939*L939)</f>
        <v/>
      </c>
      <c r="O939">
        <f>IF($V939="","",Settings!$C$6)</f>
        <v/>
      </c>
      <c r="P939" s="7">
        <f>IF($V939="","",SUMIFS('Per Line'!$R$2:$R$6001,'Per Line'!$C$2:$C$6001,$B939,'Per Line'!$AI$2:$AI$6001,1,'Per Line'!$AJ$2:$AJ$6001,0))</f>
        <v/>
      </c>
      <c r="Q939" s="7">
        <f>IF($V939="","",P939*O939)</f>
        <v/>
      </c>
      <c r="R939" s="7">
        <f>IF($V939="","",Q939+N939)</f>
        <v/>
      </c>
      <c r="S939" s="7">
        <f>IF($V939="","",T939-R939)</f>
        <v/>
      </c>
      <c r="T939" s="7">
        <f>IF($V939="","",M939+P939+K939)</f>
        <v/>
      </c>
      <c r="U939" s="7">
        <f>IF($V939="","",T939-R939-I939)</f>
        <v/>
      </c>
      <c r="V939" s="13">
        <f>IF(ROWS($V$2:$V939)&lt;=MAX('Per Line'!$AH$2:$AH$6001),MATCH(ROWS($V$2:$V939),'Per Line'!$AH$2:$AH$6001,0),"")</f>
        <v/>
      </c>
    </row>
    <row r="940">
      <c r="A940" s="12" t="n"/>
      <c r="B940">
        <f>IF($V940="","",INDEX('Per Line'!$C$2:$C$6001,$V940)&amp;"")</f>
        <v/>
      </c>
      <c r="C940" s="11">
        <f>IF($V940="","",INDEX('Per Line'!$D$2:$D$6001,$V940))</f>
        <v/>
      </c>
      <c r="D940">
        <f>IF($V940="","",INDEX('Per Line'!$E$2:$E$6001,$V940)&amp;"")</f>
        <v/>
      </c>
      <c r="E940">
        <f>IF($V940="","",INDEX('Per Line'!$G$2:$G$6001,$V940)&amp;"")</f>
        <v/>
      </c>
      <c r="F940">
        <f>IF($V940="","",INDEX('Per Line'!$H$2:$H$6001,$V940)&amp;"")</f>
        <v/>
      </c>
      <c r="G940">
        <f>IF($V940="","",INDEX('Per Line'!$I$2:$I$6001,$V940)&amp;"")</f>
        <v/>
      </c>
      <c r="H940">
        <f>IF($V940="","",INDEX('Per Line'!$J$2:$J$6001,$V940))</f>
        <v/>
      </c>
      <c r="I940" s="7">
        <f>IF($V940="","",H940*S940/100)</f>
        <v/>
      </c>
      <c r="J940">
        <f>IF($V940="","",INDEX('Per Line'!$S$2:$S$6001,$V940)&amp;"")</f>
        <v/>
      </c>
      <c r="K940" s="7">
        <f>IF($V940="","",SUMIFS('Per Line'!$R$2:$R$6001,'Per Line'!$C$2:$C$6001,$B940,'Per Line'!$AJ$2:$AJ$6001,1))</f>
        <v/>
      </c>
      <c r="L940">
        <f>IF($V940="","",Settings!$C$7)</f>
        <v/>
      </c>
      <c r="M940" s="7">
        <f>IF($V940="","",SUMIFS('Per Line'!$R$2:$R$6001,'Per Line'!$C$2:$C$6001,$B940,'Per Line'!$AI$2:$AI$6001,0,'Per Line'!$AJ$2:$AJ$6001,0))</f>
        <v/>
      </c>
      <c r="N940" s="7">
        <f>IF($V940="","",M940*L940)</f>
        <v/>
      </c>
      <c r="O940">
        <f>IF($V940="","",Settings!$C$6)</f>
        <v/>
      </c>
      <c r="P940" s="7">
        <f>IF($V940="","",SUMIFS('Per Line'!$R$2:$R$6001,'Per Line'!$C$2:$C$6001,$B940,'Per Line'!$AI$2:$AI$6001,1,'Per Line'!$AJ$2:$AJ$6001,0))</f>
        <v/>
      </c>
      <c r="Q940" s="7">
        <f>IF($V940="","",P940*O940)</f>
        <v/>
      </c>
      <c r="R940" s="7">
        <f>IF($V940="","",Q940+N940)</f>
        <v/>
      </c>
      <c r="S940" s="7">
        <f>IF($V940="","",T940-R940)</f>
        <v/>
      </c>
      <c r="T940" s="7">
        <f>IF($V940="","",M940+P940+K940)</f>
        <v/>
      </c>
      <c r="U940" s="7">
        <f>IF($V940="","",T940-R940-I940)</f>
        <v/>
      </c>
      <c r="V940" s="13">
        <f>IF(ROWS($V$2:$V940)&lt;=MAX('Per Line'!$AH$2:$AH$6001),MATCH(ROWS($V$2:$V940),'Per Line'!$AH$2:$AH$6001,0),"")</f>
        <v/>
      </c>
    </row>
    <row r="941">
      <c r="A941" s="12" t="n"/>
      <c r="B941">
        <f>IF($V941="","",INDEX('Per Line'!$C$2:$C$6001,$V941)&amp;"")</f>
        <v/>
      </c>
      <c r="C941" s="11">
        <f>IF($V941="","",INDEX('Per Line'!$D$2:$D$6001,$V941))</f>
        <v/>
      </c>
      <c r="D941">
        <f>IF($V941="","",INDEX('Per Line'!$E$2:$E$6001,$V941)&amp;"")</f>
        <v/>
      </c>
      <c r="E941">
        <f>IF($V941="","",INDEX('Per Line'!$G$2:$G$6001,$V941)&amp;"")</f>
        <v/>
      </c>
      <c r="F941">
        <f>IF($V941="","",INDEX('Per Line'!$H$2:$H$6001,$V941)&amp;"")</f>
        <v/>
      </c>
      <c r="G941">
        <f>IF($V941="","",INDEX('Per Line'!$I$2:$I$6001,$V941)&amp;"")</f>
        <v/>
      </c>
      <c r="H941">
        <f>IF($V941="","",INDEX('Per Line'!$J$2:$J$6001,$V941))</f>
        <v/>
      </c>
      <c r="I941" s="7">
        <f>IF($V941="","",H941*S941/100)</f>
        <v/>
      </c>
      <c r="J941">
        <f>IF($V941="","",INDEX('Per Line'!$S$2:$S$6001,$V941)&amp;"")</f>
        <v/>
      </c>
      <c r="K941" s="7">
        <f>IF($V941="","",SUMIFS('Per Line'!$R$2:$R$6001,'Per Line'!$C$2:$C$6001,$B941,'Per Line'!$AJ$2:$AJ$6001,1))</f>
        <v/>
      </c>
      <c r="L941">
        <f>IF($V941="","",Settings!$C$7)</f>
        <v/>
      </c>
      <c r="M941" s="7">
        <f>IF($V941="","",SUMIFS('Per Line'!$R$2:$R$6001,'Per Line'!$C$2:$C$6001,$B941,'Per Line'!$AI$2:$AI$6001,0,'Per Line'!$AJ$2:$AJ$6001,0))</f>
        <v/>
      </c>
      <c r="N941" s="7">
        <f>IF($V941="","",M941*L941)</f>
        <v/>
      </c>
      <c r="O941">
        <f>IF($V941="","",Settings!$C$6)</f>
        <v/>
      </c>
      <c r="P941" s="7">
        <f>IF($V941="","",SUMIFS('Per Line'!$R$2:$R$6001,'Per Line'!$C$2:$C$6001,$B941,'Per Line'!$AI$2:$AI$6001,1,'Per Line'!$AJ$2:$AJ$6001,0))</f>
        <v/>
      </c>
      <c r="Q941" s="7">
        <f>IF($V941="","",P941*O941)</f>
        <v/>
      </c>
      <c r="R941" s="7">
        <f>IF($V941="","",Q941+N941)</f>
        <v/>
      </c>
      <c r="S941" s="7">
        <f>IF($V941="","",T941-R941)</f>
        <v/>
      </c>
      <c r="T941" s="7">
        <f>IF($V941="","",M941+P941+K941)</f>
        <v/>
      </c>
      <c r="U941" s="7">
        <f>IF($V941="","",T941-R941-I941)</f>
        <v/>
      </c>
      <c r="V941" s="13">
        <f>IF(ROWS($V$2:$V941)&lt;=MAX('Per Line'!$AH$2:$AH$6001),MATCH(ROWS($V$2:$V941),'Per Line'!$AH$2:$AH$6001,0),"")</f>
        <v/>
      </c>
    </row>
    <row r="942">
      <c r="A942" s="12" t="n"/>
      <c r="B942">
        <f>IF($V942="","",INDEX('Per Line'!$C$2:$C$6001,$V942)&amp;"")</f>
        <v/>
      </c>
      <c r="C942" s="11">
        <f>IF($V942="","",INDEX('Per Line'!$D$2:$D$6001,$V942))</f>
        <v/>
      </c>
      <c r="D942">
        <f>IF($V942="","",INDEX('Per Line'!$E$2:$E$6001,$V942)&amp;"")</f>
        <v/>
      </c>
      <c r="E942">
        <f>IF($V942="","",INDEX('Per Line'!$G$2:$G$6001,$V942)&amp;"")</f>
        <v/>
      </c>
      <c r="F942">
        <f>IF($V942="","",INDEX('Per Line'!$H$2:$H$6001,$V942)&amp;"")</f>
        <v/>
      </c>
      <c r="G942">
        <f>IF($V942="","",INDEX('Per Line'!$I$2:$I$6001,$V942)&amp;"")</f>
        <v/>
      </c>
      <c r="H942">
        <f>IF($V942="","",INDEX('Per Line'!$J$2:$J$6001,$V942))</f>
        <v/>
      </c>
      <c r="I942" s="7">
        <f>IF($V942="","",H942*S942/100)</f>
        <v/>
      </c>
      <c r="J942">
        <f>IF($V942="","",INDEX('Per Line'!$S$2:$S$6001,$V942)&amp;"")</f>
        <v/>
      </c>
      <c r="K942" s="7">
        <f>IF($V942="","",SUMIFS('Per Line'!$R$2:$R$6001,'Per Line'!$C$2:$C$6001,$B942,'Per Line'!$AJ$2:$AJ$6001,1))</f>
        <v/>
      </c>
      <c r="L942">
        <f>IF($V942="","",Settings!$C$7)</f>
        <v/>
      </c>
      <c r="M942" s="7">
        <f>IF($V942="","",SUMIFS('Per Line'!$R$2:$R$6001,'Per Line'!$C$2:$C$6001,$B942,'Per Line'!$AI$2:$AI$6001,0,'Per Line'!$AJ$2:$AJ$6001,0))</f>
        <v/>
      </c>
      <c r="N942" s="7">
        <f>IF($V942="","",M942*L942)</f>
        <v/>
      </c>
      <c r="O942">
        <f>IF($V942="","",Settings!$C$6)</f>
        <v/>
      </c>
      <c r="P942" s="7">
        <f>IF($V942="","",SUMIFS('Per Line'!$R$2:$R$6001,'Per Line'!$C$2:$C$6001,$B942,'Per Line'!$AI$2:$AI$6001,1,'Per Line'!$AJ$2:$AJ$6001,0))</f>
        <v/>
      </c>
      <c r="Q942" s="7">
        <f>IF($V942="","",P942*O942)</f>
        <v/>
      </c>
      <c r="R942" s="7">
        <f>IF($V942="","",Q942+N942)</f>
        <v/>
      </c>
      <c r="S942" s="7">
        <f>IF($V942="","",T942-R942)</f>
        <v/>
      </c>
      <c r="T942" s="7">
        <f>IF($V942="","",M942+P942+K942)</f>
        <v/>
      </c>
      <c r="U942" s="7">
        <f>IF($V942="","",T942-R942-I942)</f>
        <v/>
      </c>
      <c r="V942" s="13">
        <f>IF(ROWS($V$2:$V942)&lt;=MAX('Per Line'!$AH$2:$AH$6001),MATCH(ROWS($V$2:$V942),'Per Line'!$AH$2:$AH$6001,0),"")</f>
        <v/>
      </c>
    </row>
    <row r="943">
      <c r="A943" s="12" t="n"/>
      <c r="B943">
        <f>IF($V943="","",INDEX('Per Line'!$C$2:$C$6001,$V943)&amp;"")</f>
        <v/>
      </c>
      <c r="C943" s="11">
        <f>IF($V943="","",INDEX('Per Line'!$D$2:$D$6001,$V943))</f>
        <v/>
      </c>
      <c r="D943">
        <f>IF($V943="","",INDEX('Per Line'!$E$2:$E$6001,$V943)&amp;"")</f>
        <v/>
      </c>
      <c r="E943">
        <f>IF($V943="","",INDEX('Per Line'!$G$2:$G$6001,$V943)&amp;"")</f>
        <v/>
      </c>
      <c r="F943">
        <f>IF($V943="","",INDEX('Per Line'!$H$2:$H$6001,$V943)&amp;"")</f>
        <v/>
      </c>
      <c r="G943">
        <f>IF($V943="","",INDEX('Per Line'!$I$2:$I$6001,$V943)&amp;"")</f>
        <v/>
      </c>
      <c r="H943">
        <f>IF($V943="","",INDEX('Per Line'!$J$2:$J$6001,$V943))</f>
        <v/>
      </c>
      <c r="I943" s="7">
        <f>IF($V943="","",H943*S943/100)</f>
        <v/>
      </c>
      <c r="J943">
        <f>IF($V943="","",INDEX('Per Line'!$S$2:$S$6001,$V943)&amp;"")</f>
        <v/>
      </c>
      <c r="K943" s="7">
        <f>IF($V943="","",SUMIFS('Per Line'!$R$2:$R$6001,'Per Line'!$C$2:$C$6001,$B943,'Per Line'!$AJ$2:$AJ$6001,1))</f>
        <v/>
      </c>
      <c r="L943">
        <f>IF($V943="","",Settings!$C$7)</f>
        <v/>
      </c>
      <c r="M943" s="7">
        <f>IF($V943="","",SUMIFS('Per Line'!$R$2:$R$6001,'Per Line'!$C$2:$C$6001,$B943,'Per Line'!$AI$2:$AI$6001,0,'Per Line'!$AJ$2:$AJ$6001,0))</f>
        <v/>
      </c>
      <c r="N943" s="7">
        <f>IF($V943="","",M943*L943)</f>
        <v/>
      </c>
      <c r="O943">
        <f>IF($V943="","",Settings!$C$6)</f>
        <v/>
      </c>
      <c r="P943" s="7">
        <f>IF($V943="","",SUMIFS('Per Line'!$R$2:$R$6001,'Per Line'!$C$2:$C$6001,$B943,'Per Line'!$AI$2:$AI$6001,1,'Per Line'!$AJ$2:$AJ$6001,0))</f>
        <v/>
      </c>
      <c r="Q943" s="7">
        <f>IF($V943="","",P943*O943)</f>
        <v/>
      </c>
      <c r="R943" s="7">
        <f>IF($V943="","",Q943+N943)</f>
        <v/>
      </c>
      <c r="S943" s="7">
        <f>IF($V943="","",T943-R943)</f>
        <v/>
      </c>
      <c r="T943" s="7">
        <f>IF($V943="","",M943+P943+K943)</f>
        <v/>
      </c>
      <c r="U943" s="7">
        <f>IF($V943="","",T943-R943-I943)</f>
        <v/>
      </c>
      <c r="V943" s="13">
        <f>IF(ROWS($V$2:$V943)&lt;=MAX('Per Line'!$AH$2:$AH$6001),MATCH(ROWS($V$2:$V943),'Per Line'!$AH$2:$AH$6001,0),"")</f>
        <v/>
      </c>
    </row>
    <row r="944">
      <c r="A944" s="12" t="n"/>
      <c r="B944">
        <f>IF($V944="","",INDEX('Per Line'!$C$2:$C$6001,$V944)&amp;"")</f>
        <v/>
      </c>
      <c r="C944" s="11">
        <f>IF($V944="","",INDEX('Per Line'!$D$2:$D$6001,$V944))</f>
        <v/>
      </c>
      <c r="D944">
        <f>IF($V944="","",INDEX('Per Line'!$E$2:$E$6001,$V944)&amp;"")</f>
        <v/>
      </c>
      <c r="E944">
        <f>IF($V944="","",INDEX('Per Line'!$G$2:$G$6001,$V944)&amp;"")</f>
        <v/>
      </c>
      <c r="F944">
        <f>IF($V944="","",INDEX('Per Line'!$H$2:$H$6001,$V944)&amp;"")</f>
        <v/>
      </c>
      <c r="G944">
        <f>IF($V944="","",INDEX('Per Line'!$I$2:$I$6001,$V944)&amp;"")</f>
        <v/>
      </c>
      <c r="H944">
        <f>IF($V944="","",INDEX('Per Line'!$J$2:$J$6001,$V944))</f>
        <v/>
      </c>
      <c r="I944" s="7">
        <f>IF($V944="","",H944*S944/100)</f>
        <v/>
      </c>
      <c r="J944">
        <f>IF($V944="","",INDEX('Per Line'!$S$2:$S$6001,$V944)&amp;"")</f>
        <v/>
      </c>
      <c r="K944" s="7">
        <f>IF($V944="","",SUMIFS('Per Line'!$R$2:$R$6001,'Per Line'!$C$2:$C$6001,$B944,'Per Line'!$AJ$2:$AJ$6001,1))</f>
        <v/>
      </c>
      <c r="L944">
        <f>IF($V944="","",Settings!$C$7)</f>
        <v/>
      </c>
      <c r="M944" s="7">
        <f>IF($V944="","",SUMIFS('Per Line'!$R$2:$R$6001,'Per Line'!$C$2:$C$6001,$B944,'Per Line'!$AI$2:$AI$6001,0,'Per Line'!$AJ$2:$AJ$6001,0))</f>
        <v/>
      </c>
      <c r="N944" s="7">
        <f>IF($V944="","",M944*L944)</f>
        <v/>
      </c>
      <c r="O944">
        <f>IF($V944="","",Settings!$C$6)</f>
        <v/>
      </c>
      <c r="P944" s="7">
        <f>IF($V944="","",SUMIFS('Per Line'!$R$2:$R$6001,'Per Line'!$C$2:$C$6001,$B944,'Per Line'!$AI$2:$AI$6001,1,'Per Line'!$AJ$2:$AJ$6001,0))</f>
        <v/>
      </c>
      <c r="Q944" s="7">
        <f>IF($V944="","",P944*O944)</f>
        <v/>
      </c>
      <c r="R944" s="7">
        <f>IF($V944="","",Q944+N944)</f>
        <v/>
      </c>
      <c r="S944" s="7">
        <f>IF($V944="","",T944-R944)</f>
        <v/>
      </c>
      <c r="T944" s="7">
        <f>IF($V944="","",M944+P944+K944)</f>
        <v/>
      </c>
      <c r="U944" s="7">
        <f>IF($V944="","",T944-R944-I944)</f>
        <v/>
      </c>
      <c r="V944" s="13">
        <f>IF(ROWS($V$2:$V944)&lt;=MAX('Per Line'!$AH$2:$AH$6001),MATCH(ROWS($V$2:$V944),'Per Line'!$AH$2:$AH$6001,0),"")</f>
        <v/>
      </c>
    </row>
    <row r="945">
      <c r="A945" s="12" t="n"/>
      <c r="B945">
        <f>IF($V945="","",INDEX('Per Line'!$C$2:$C$6001,$V945)&amp;"")</f>
        <v/>
      </c>
      <c r="C945" s="11">
        <f>IF($V945="","",INDEX('Per Line'!$D$2:$D$6001,$V945))</f>
        <v/>
      </c>
      <c r="D945">
        <f>IF($V945="","",INDEX('Per Line'!$E$2:$E$6001,$V945)&amp;"")</f>
        <v/>
      </c>
      <c r="E945">
        <f>IF($V945="","",INDEX('Per Line'!$G$2:$G$6001,$V945)&amp;"")</f>
        <v/>
      </c>
      <c r="F945">
        <f>IF($V945="","",INDEX('Per Line'!$H$2:$H$6001,$V945)&amp;"")</f>
        <v/>
      </c>
      <c r="G945">
        <f>IF($V945="","",INDEX('Per Line'!$I$2:$I$6001,$V945)&amp;"")</f>
        <v/>
      </c>
      <c r="H945">
        <f>IF($V945="","",INDEX('Per Line'!$J$2:$J$6001,$V945))</f>
        <v/>
      </c>
      <c r="I945" s="7">
        <f>IF($V945="","",H945*S945/100)</f>
        <v/>
      </c>
      <c r="J945">
        <f>IF($V945="","",INDEX('Per Line'!$S$2:$S$6001,$V945)&amp;"")</f>
        <v/>
      </c>
      <c r="K945" s="7">
        <f>IF($V945="","",SUMIFS('Per Line'!$R$2:$R$6001,'Per Line'!$C$2:$C$6001,$B945,'Per Line'!$AJ$2:$AJ$6001,1))</f>
        <v/>
      </c>
      <c r="L945">
        <f>IF($V945="","",Settings!$C$7)</f>
        <v/>
      </c>
      <c r="M945" s="7">
        <f>IF($V945="","",SUMIFS('Per Line'!$R$2:$R$6001,'Per Line'!$C$2:$C$6001,$B945,'Per Line'!$AI$2:$AI$6001,0,'Per Line'!$AJ$2:$AJ$6001,0))</f>
        <v/>
      </c>
      <c r="N945" s="7">
        <f>IF($V945="","",M945*L945)</f>
        <v/>
      </c>
      <c r="O945">
        <f>IF($V945="","",Settings!$C$6)</f>
        <v/>
      </c>
      <c r="P945" s="7">
        <f>IF($V945="","",SUMIFS('Per Line'!$R$2:$R$6001,'Per Line'!$C$2:$C$6001,$B945,'Per Line'!$AI$2:$AI$6001,1,'Per Line'!$AJ$2:$AJ$6001,0))</f>
        <v/>
      </c>
      <c r="Q945" s="7">
        <f>IF($V945="","",P945*O945)</f>
        <v/>
      </c>
      <c r="R945" s="7">
        <f>IF($V945="","",Q945+N945)</f>
        <v/>
      </c>
      <c r="S945" s="7">
        <f>IF($V945="","",T945-R945)</f>
        <v/>
      </c>
      <c r="T945" s="7">
        <f>IF($V945="","",M945+P945+K945)</f>
        <v/>
      </c>
      <c r="U945" s="7">
        <f>IF($V945="","",T945-R945-I945)</f>
        <v/>
      </c>
      <c r="V945" s="13">
        <f>IF(ROWS($V$2:$V945)&lt;=MAX('Per Line'!$AH$2:$AH$6001),MATCH(ROWS($V$2:$V945),'Per Line'!$AH$2:$AH$6001,0),"")</f>
        <v/>
      </c>
    </row>
    <row r="946">
      <c r="A946" s="12" t="n"/>
      <c r="B946">
        <f>IF($V946="","",INDEX('Per Line'!$C$2:$C$6001,$V946)&amp;"")</f>
        <v/>
      </c>
      <c r="C946" s="11">
        <f>IF($V946="","",INDEX('Per Line'!$D$2:$D$6001,$V946))</f>
        <v/>
      </c>
      <c r="D946">
        <f>IF($V946="","",INDEX('Per Line'!$E$2:$E$6001,$V946)&amp;"")</f>
        <v/>
      </c>
      <c r="E946">
        <f>IF($V946="","",INDEX('Per Line'!$G$2:$G$6001,$V946)&amp;"")</f>
        <v/>
      </c>
      <c r="F946">
        <f>IF($V946="","",INDEX('Per Line'!$H$2:$H$6001,$V946)&amp;"")</f>
        <v/>
      </c>
      <c r="G946">
        <f>IF($V946="","",INDEX('Per Line'!$I$2:$I$6001,$V946)&amp;"")</f>
        <v/>
      </c>
      <c r="H946">
        <f>IF($V946="","",INDEX('Per Line'!$J$2:$J$6001,$V946))</f>
        <v/>
      </c>
      <c r="I946" s="7">
        <f>IF($V946="","",H946*S946/100)</f>
        <v/>
      </c>
      <c r="J946">
        <f>IF($V946="","",INDEX('Per Line'!$S$2:$S$6001,$V946)&amp;"")</f>
        <v/>
      </c>
      <c r="K946" s="7">
        <f>IF($V946="","",SUMIFS('Per Line'!$R$2:$R$6001,'Per Line'!$C$2:$C$6001,$B946,'Per Line'!$AJ$2:$AJ$6001,1))</f>
        <v/>
      </c>
      <c r="L946">
        <f>IF($V946="","",Settings!$C$7)</f>
        <v/>
      </c>
      <c r="M946" s="7">
        <f>IF($V946="","",SUMIFS('Per Line'!$R$2:$R$6001,'Per Line'!$C$2:$C$6001,$B946,'Per Line'!$AI$2:$AI$6001,0,'Per Line'!$AJ$2:$AJ$6001,0))</f>
        <v/>
      </c>
      <c r="N946" s="7">
        <f>IF($V946="","",M946*L946)</f>
        <v/>
      </c>
      <c r="O946">
        <f>IF($V946="","",Settings!$C$6)</f>
        <v/>
      </c>
      <c r="P946" s="7">
        <f>IF($V946="","",SUMIFS('Per Line'!$R$2:$R$6001,'Per Line'!$C$2:$C$6001,$B946,'Per Line'!$AI$2:$AI$6001,1,'Per Line'!$AJ$2:$AJ$6001,0))</f>
        <v/>
      </c>
      <c r="Q946" s="7">
        <f>IF($V946="","",P946*O946)</f>
        <v/>
      </c>
      <c r="R946" s="7">
        <f>IF($V946="","",Q946+N946)</f>
        <v/>
      </c>
      <c r="S946" s="7">
        <f>IF($V946="","",T946-R946)</f>
        <v/>
      </c>
      <c r="T946" s="7">
        <f>IF($V946="","",M946+P946+K946)</f>
        <v/>
      </c>
      <c r="U946" s="7">
        <f>IF($V946="","",T946-R946-I946)</f>
        <v/>
      </c>
      <c r="V946" s="13">
        <f>IF(ROWS($V$2:$V946)&lt;=MAX('Per Line'!$AH$2:$AH$6001),MATCH(ROWS($V$2:$V946),'Per Line'!$AH$2:$AH$6001,0),"")</f>
        <v/>
      </c>
    </row>
    <row r="947">
      <c r="A947" s="12" t="n"/>
      <c r="B947">
        <f>IF($V947="","",INDEX('Per Line'!$C$2:$C$6001,$V947)&amp;"")</f>
        <v/>
      </c>
      <c r="C947" s="11">
        <f>IF($V947="","",INDEX('Per Line'!$D$2:$D$6001,$V947))</f>
        <v/>
      </c>
      <c r="D947">
        <f>IF($V947="","",INDEX('Per Line'!$E$2:$E$6001,$V947)&amp;"")</f>
        <v/>
      </c>
      <c r="E947">
        <f>IF($V947="","",INDEX('Per Line'!$G$2:$G$6001,$V947)&amp;"")</f>
        <v/>
      </c>
      <c r="F947">
        <f>IF($V947="","",INDEX('Per Line'!$H$2:$H$6001,$V947)&amp;"")</f>
        <v/>
      </c>
      <c r="G947">
        <f>IF($V947="","",INDEX('Per Line'!$I$2:$I$6001,$V947)&amp;"")</f>
        <v/>
      </c>
      <c r="H947">
        <f>IF($V947="","",INDEX('Per Line'!$J$2:$J$6001,$V947))</f>
        <v/>
      </c>
      <c r="I947" s="7">
        <f>IF($V947="","",H947*S947/100)</f>
        <v/>
      </c>
      <c r="J947">
        <f>IF($V947="","",INDEX('Per Line'!$S$2:$S$6001,$V947)&amp;"")</f>
        <v/>
      </c>
      <c r="K947" s="7">
        <f>IF($V947="","",SUMIFS('Per Line'!$R$2:$R$6001,'Per Line'!$C$2:$C$6001,$B947,'Per Line'!$AJ$2:$AJ$6001,1))</f>
        <v/>
      </c>
      <c r="L947">
        <f>IF($V947="","",Settings!$C$7)</f>
        <v/>
      </c>
      <c r="M947" s="7">
        <f>IF($V947="","",SUMIFS('Per Line'!$R$2:$R$6001,'Per Line'!$C$2:$C$6001,$B947,'Per Line'!$AI$2:$AI$6001,0,'Per Line'!$AJ$2:$AJ$6001,0))</f>
        <v/>
      </c>
      <c r="N947" s="7">
        <f>IF($V947="","",M947*L947)</f>
        <v/>
      </c>
      <c r="O947">
        <f>IF($V947="","",Settings!$C$6)</f>
        <v/>
      </c>
      <c r="P947" s="7">
        <f>IF($V947="","",SUMIFS('Per Line'!$R$2:$R$6001,'Per Line'!$C$2:$C$6001,$B947,'Per Line'!$AI$2:$AI$6001,1,'Per Line'!$AJ$2:$AJ$6001,0))</f>
        <v/>
      </c>
      <c r="Q947" s="7">
        <f>IF($V947="","",P947*O947)</f>
        <v/>
      </c>
      <c r="R947" s="7">
        <f>IF($V947="","",Q947+N947)</f>
        <v/>
      </c>
      <c r="S947" s="7">
        <f>IF($V947="","",T947-R947)</f>
        <v/>
      </c>
      <c r="T947" s="7">
        <f>IF($V947="","",M947+P947+K947)</f>
        <v/>
      </c>
      <c r="U947" s="7">
        <f>IF($V947="","",T947-R947-I947)</f>
        <v/>
      </c>
      <c r="V947" s="13">
        <f>IF(ROWS($V$2:$V947)&lt;=MAX('Per Line'!$AH$2:$AH$6001),MATCH(ROWS($V$2:$V947),'Per Line'!$AH$2:$AH$6001,0),"")</f>
        <v/>
      </c>
    </row>
    <row r="948">
      <c r="A948" s="12" t="n"/>
      <c r="B948">
        <f>IF($V948="","",INDEX('Per Line'!$C$2:$C$6001,$V948)&amp;"")</f>
        <v/>
      </c>
      <c r="C948" s="11">
        <f>IF($V948="","",INDEX('Per Line'!$D$2:$D$6001,$V948))</f>
        <v/>
      </c>
      <c r="D948">
        <f>IF($V948="","",INDEX('Per Line'!$E$2:$E$6001,$V948)&amp;"")</f>
        <v/>
      </c>
      <c r="E948">
        <f>IF($V948="","",INDEX('Per Line'!$G$2:$G$6001,$V948)&amp;"")</f>
        <v/>
      </c>
      <c r="F948">
        <f>IF($V948="","",INDEX('Per Line'!$H$2:$H$6001,$V948)&amp;"")</f>
        <v/>
      </c>
      <c r="G948">
        <f>IF($V948="","",INDEX('Per Line'!$I$2:$I$6001,$V948)&amp;"")</f>
        <v/>
      </c>
      <c r="H948">
        <f>IF($V948="","",INDEX('Per Line'!$J$2:$J$6001,$V948))</f>
        <v/>
      </c>
      <c r="I948" s="7">
        <f>IF($V948="","",H948*S948/100)</f>
        <v/>
      </c>
      <c r="J948">
        <f>IF($V948="","",INDEX('Per Line'!$S$2:$S$6001,$V948)&amp;"")</f>
        <v/>
      </c>
      <c r="K948" s="7">
        <f>IF($V948="","",SUMIFS('Per Line'!$R$2:$R$6001,'Per Line'!$C$2:$C$6001,$B948,'Per Line'!$AJ$2:$AJ$6001,1))</f>
        <v/>
      </c>
      <c r="L948">
        <f>IF($V948="","",Settings!$C$7)</f>
        <v/>
      </c>
      <c r="M948" s="7">
        <f>IF($V948="","",SUMIFS('Per Line'!$R$2:$R$6001,'Per Line'!$C$2:$C$6001,$B948,'Per Line'!$AI$2:$AI$6001,0,'Per Line'!$AJ$2:$AJ$6001,0))</f>
        <v/>
      </c>
      <c r="N948" s="7">
        <f>IF($V948="","",M948*L948)</f>
        <v/>
      </c>
      <c r="O948">
        <f>IF($V948="","",Settings!$C$6)</f>
        <v/>
      </c>
      <c r="P948" s="7">
        <f>IF($V948="","",SUMIFS('Per Line'!$R$2:$R$6001,'Per Line'!$C$2:$C$6001,$B948,'Per Line'!$AI$2:$AI$6001,1,'Per Line'!$AJ$2:$AJ$6001,0))</f>
        <v/>
      </c>
      <c r="Q948" s="7">
        <f>IF($V948="","",P948*O948)</f>
        <v/>
      </c>
      <c r="R948" s="7">
        <f>IF($V948="","",Q948+N948)</f>
        <v/>
      </c>
      <c r="S948" s="7">
        <f>IF($V948="","",T948-R948)</f>
        <v/>
      </c>
      <c r="T948" s="7">
        <f>IF($V948="","",M948+P948+K948)</f>
        <v/>
      </c>
      <c r="U948" s="7">
        <f>IF($V948="","",T948-R948-I948)</f>
        <v/>
      </c>
      <c r="V948" s="13">
        <f>IF(ROWS($V$2:$V948)&lt;=MAX('Per Line'!$AH$2:$AH$6001),MATCH(ROWS($V$2:$V948),'Per Line'!$AH$2:$AH$6001,0),"")</f>
        <v/>
      </c>
    </row>
    <row r="949">
      <c r="A949" s="12" t="n"/>
      <c r="B949">
        <f>IF($V949="","",INDEX('Per Line'!$C$2:$C$6001,$V949)&amp;"")</f>
        <v/>
      </c>
      <c r="C949" s="11">
        <f>IF($V949="","",INDEX('Per Line'!$D$2:$D$6001,$V949))</f>
        <v/>
      </c>
      <c r="D949">
        <f>IF($V949="","",INDEX('Per Line'!$E$2:$E$6001,$V949)&amp;"")</f>
        <v/>
      </c>
      <c r="E949">
        <f>IF($V949="","",INDEX('Per Line'!$G$2:$G$6001,$V949)&amp;"")</f>
        <v/>
      </c>
      <c r="F949">
        <f>IF($V949="","",INDEX('Per Line'!$H$2:$H$6001,$V949)&amp;"")</f>
        <v/>
      </c>
      <c r="G949">
        <f>IF($V949="","",INDEX('Per Line'!$I$2:$I$6001,$V949)&amp;"")</f>
        <v/>
      </c>
      <c r="H949">
        <f>IF($V949="","",INDEX('Per Line'!$J$2:$J$6001,$V949))</f>
        <v/>
      </c>
      <c r="I949" s="7">
        <f>IF($V949="","",H949*S949/100)</f>
        <v/>
      </c>
      <c r="J949">
        <f>IF($V949="","",INDEX('Per Line'!$S$2:$S$6001,$V949)&amp;"")</f>
        <v/>
      </c>
      <c r="K949" s="7">
        <f>IF($V949="","",SUMIFS('Per Line'!$R$2:$R$6001,'Per Line'!$C$2:$C$6001,$B949,'Per Line'!$AJ$2:$AJ$6001,1))</f>
        <v/>
      </c>
      <c r="L949">
        <f>IF($V949="","",Settings!$C$7)</f>
        <v/>
      </c>
      <c r="M949" s="7">
        <f>IF($V949="","",SUMIFS('Per Line'!$R$2:$R$6001,'Per Line'!$C$2:$C$6001,$B949,'Per Line'!$AI$2:$AI$6001,0,'Per Line'!$AJ$2:$AJ$6001,0))</f>
        <v/>
      </c>
      <c r="N949" s="7">
        <f>IF($V949="","",M949*L949)</f>
        <v/>
      </c>
      <c r="O949">
        <f>IF($V949="","",Settings!$C$6)</f>
        <v/>
      </c>
      <c r="P949" s="7">
        <f>IF($V949="","",SUMIFS('Per Line'!$R$2:$R$6001,'Per Line'!$C$2:$C$6001,$B949,'Per Line'!$AI$2:$AI$6001,1,'Per Line'!$AJ$2:$AJ$6001,0))</f>
        <v/>
      </c>
      <c r="Q949" s="7">
        <f>IF($V949="","",P949*O949)</f>
        <v/>
      </c>
      <c r="R949" s="7">
        <f>IF($V949="","",Q949+N949)</f>
        <v/>
      </c>
      <c r="S949" s="7">
        <f>IF($V949="","",T949-R949)</f>
        <v/>
      </c>
      <c r="T949" s="7">
        <f>IF($V949="","",M949+P949+K949)</f>
        <v/>
      </c>
      <c r="U949" s="7">
        <f>IF($V949="","",T949-R949-I949)</f>
        <v/>
      </c>
      <c r="V949" s="13">
        <f>IF(ROWS($V$2:$V949)&lt;=MAX('Per Line'!$AH$2:$AH$6001),MATCH(ROWS($V$2:$V949),'Per Line'!$AH$2:$AH$6001,0),"")</f>
        <v/>
      </c>
    </row>
    <row r="950">
      <c r="A950" s="12" t="n"/>
      <c r="B950">
        <f>IF($V950="","",INDEX('Per Line'!$C$2:$C$6001,$V950)&amp;"")</f>
        <v/>
      </c>
      <c r="C950" s="11">
        <f>IF($V950="","",INDEX('Per Line'!$D$2:$D$6001,$V950))</f>
        <v/>
      </c>
      <c r="D950">
        <f>IF($V950="","",INDEX('Per Line'!$E$2:$E$6001,$V950)&amp;"")</f>
        <v/>
      </c>
      <c r="E950">
        <f>IF($V950="","",INDEX('Per Line'!$G$2:$G$6001,$V950)&amp;"")</f>
        <v/>
      </c>
      <c r="F950">
        <f>IF($V950="","",INDEX('Per Line'!$H$2:$H$6001,$V950)&amp;"")</f>
        <v/>
      </c>
      <c r="G950">
        <f>IF($V950="","",INDEX('Per Line'!$I$2:$I$6001,$V950)&amp;"")</f>
        <v/>
      </c>
      <c r="H950">
        <f>IF($V950="","",INDEX('Per Line'!$J$2:$J$6001,$V950))</f>
        <v/>
      </c>
      <c r="I950" s="7">
        <f>IF($V950="","",H950*S950/100)</f>
        <v/>
      </c>
      <c r="J950">
        <f>IF($V950="","",INDEX('Per Line'!$S$2:$S$6001,$V950)&amp;"")</f>
        <v/>
      </c>
      <c r="K950" s="7">
        <f>IF($V950="","",SUMIFS('Per Line'!$R$2:$R$6001,'Per Line'!$C$2:$C$6001,$B950,'Per Line'!$AJ$2:$AJ$6001,1))</f>
        <v/>
      </c>
      <c r="L950">
        <f>IF($V950="","",Settings!$C$7)</f>
        <v/>
      </c>
      <c r="M950" s="7">
        <f>IF($V950="","",SUMIFS('Per Line'!$R$2:$R$6001,'Per Line'!$C$2:$C$6001,$B950,'Per Line'!$AI$2:$AI$6001,0,'Per Line'!$AJ$2:$AJ$6001,0))</f>
        <v/>
      </c>
      <c r="N950" s="7">
        <f>IF($V950="","",M950*L950)</f>
        <v/>
      </c>
      <c r="O950">
        <f>IF($V950="","",Settings!$C$6)</f>
        <v/>
      </c>
      <c r="P950" s="7">
        <f>IF($V950="","",SUMIFS('Per Line'!$R$2:$R$6001,'Per Line'!$C$2:$C$6001,$B950,'Per Line'!$AI$2:$AI$6001,1,'Per Line'!$AJ$2:$AJ$6001,0))</f>
        <v/>
      </c>
      <c r="Q950" s="7">
        <f>IF($V950="","",P950*O950)</f>
        <v/>
      </c>
      <c r="R950" s="7">
        <f>IF($V950="","",Q950+N950)</f>
        <v/>
      </c>
      <c r="S950" s="7">
        <f>IF($V950="","",T950-R950)</f>
        <v/>
      </c>
      <c r="T950" s="7">
        <f>IF($V950="","",M950+P950+K950)</f>
        <v/>
      </c>
      <c r="U950" s="7">
        <f>IF($V950="","",T950-R950-I950)</f>
        <v/>
      </c>
      <c r="V950" s="13">
        <f>IF(ROWS($V$2:$V950)&lt;=MAX('Per Line'!$AH$2:$AH$6001),MATCH(ROWS($V$2:$V950),'Per Line'!$AH$2:$AH$6001,0),"")</f>
        <v/>
      </c>
    </row>
    <row r="951">
      <c r="A951" s="12" t="n"/>
      <c r="B951">
        <f>IF($V951="","",INDEX('Per Line'!$C$2:$C$6001,$V951)&amp;"")</f>
        <v/>
      </c>
      <c r="C951" s="11">
        <f>IF($V951="","",INDEX('Per Line'!$D$2:$D$6001,$V951))</f>
        <v/>
      </c>
      <c r="D951">
        <f>IF($V951="","",INDEX('Per Line'!$E$2:$E$6001,$V951)&amp;"")</f>
        <v/>
      </c>
      <c r="E951">
        <f>IF($V951="","",INDEX('Per Line'!$G$2:$G$6001,$V951)&amp;"")</f>
        <v/>
      </c>
      <c r="F951">
        <f>IF($V951="","",INDEX('Per Line'!$H$2:$H$6001,$V951)&amp;"")</f>
        <v/>
      </c>
      <c r="G951">
        <f>IF($V951="","",INDEX('Per Line'!$I$2:$I$6001,$V951)&amp;"")</f>
        <v/>
      </c>
      <c r="H951">
        <f>IF($V951="","",INDEX('Per Line'!$J$2:$J$6001,$V951))</f>
        <v/>
      </c>
      <c r="I951" s="7">
        <f>IF($V951="","",H951*S951/100)</f>
        <v/>
      </c>
      <c r="J951">
        <f>IF($V951="","",INDEX('Per Line'!$S$2:$S$6001,$V951)&amp;"")</f>
        <v/>
      </c>
      <c r="K951" s="7">
        <f>IF($V951="","",SUMIFS('Per Line'!$R$2:$R$6001,'Per Line'!$C$2:$C$6001,$B951,'Per Line'!$AJ$2:$AJ$6001,1))</f>
        <v/>
      </c>
      <c r="L951">
        <f>IF($V951="","",Settings!$C$7)</f>
        <v/>
      </c>
      <c r="M951" s="7">
        <f>IF($V951="","",SUMIFS('Per Line'!$R$2:$R$6001,'Per Line'!$C$2:$C$6001,$B951,'Per Line'!$AI$2:$AI$6001,0,'Per Line'!$AJ$2:$AJ$6001,0))</f>
        <v/>
      </c>
      <c r="N951" s="7">
        <f>IF($V951="","",M951*L951)</f>
        <v/>
      </c>
      <c r="O951">
        <f>IF($V951="","",Settings!$C$6)</f>
        <v/>
      </c>
      <c r="P951" s="7">
        <f>IF($V951="","",SUMIFS('Per Line'!$R$2:$R$6001,'Per Line'!$C$2:$C$6001,$B951,'Per Line'!$AI$2:$AI$6001,1,'Per Line'!$AJ$2:$AJ$6001,0))</f>
        <v/>
      </c>
      <c r="Q951" s="7">
        <f>IF($V951="","",P951*O951)</f>
        <v/>
      </c>
      <c r="R951" s="7">
        <f>IF($V951="","",Q951+N951)</f>
        <v/>
      </c>
      <c r="S951" s="7">
        <f>IF($V951="","",T951-R951)</f>
        <v/>
      </c>
      <c r="T951" s="7">
        <f>IF($V951="","",M951+P951+K951)</f>
        <v/>
      </c>
      <c r="U951" s="7">
        <f>IF($V951="","",T951-R951-I951)</f>
        <v/>
      </c>
      <c r="V951" s="13">
        <f>IF(ROWS($V$2:$V951)&lt;=MAX('Per Line'!$AH$2:$AH$6001),MATCH(ROWS($V$2:$V951),'Per Line'!$AH$2:$AH$6001,0),"")</f>
        <v/>
      </c>
    </row>
    <row r="952">
      <c r="A952" s="12" t="n"/>
      <c r="B952">
        <f>IF($V952="","",INDEX('Per Line'!$C$2:$C$6001,$V952)&amp;"")</f>
        <v/>
      </c>
      <c r="C952" s="11">
        <f>IF($V952="","",INDEX('Per Line'!$D$2:$D$6001,$V952))</f>
        <v/>
      </c>
      <c r="D952">
        <f>IF($V952="","",INDEX('Per Line'!$E$2:$E$6001,$V952)&amp;"")</f>
        <v/>
      </c>
      <c r="E952">
        <f>IF($V952="","",INDEX('Per Line'!$G$2:$G$6001,$V952)&amp;"")</f>
        <v/>
      </c>
      <c r="F952">
        <f>IF($V952="","",INDEX('Per Line'!$H$2:$H$6001,$V952)&amp;"")</f>
        <v/>
      </c>
      <c r="G952">
        <f>IF($V952="","",INDEX('Per Line'!$I$2:$I$6001,$V952)&amp;"")</f>
        <v/>
      </c>
      <c r="H952">
        <f>IF($V952="","",INDEX('Per Line'!$J$2:$J$6001,$V952))</f>
        <v/>
      </c>
      <c r="I952" s="7">
        <f>IF($V952="","",H952*S952/100)</f>
        <v/>
      </c>
      <c r="J952">
        <f>IF($V952="","",INDEX('Per Line'!$S$2:$S$6001,$V952)&amp;"")</f>
        <v/>
      </c>
      <c r="K952" s="7">
        <f>IF($V952="","",SUMIFS('Per Line'!$R$2:$R$6001,'Per Line'!$C$2:$C$6001,$B952,'Per Line'!$AJ$2:$AJ$6001,1))</f>
        <v/>
      </c>
      <c r="L952">
        <f>IF($V952="","",Settings!$C$7)</f>
        <v/>
      </c>
      <c r="M952" s="7">
        <f>IF($V952="","",SUMIFS('Per Line'!$R$2:$R$6001,'Per Line'!$C$2:$C$6001,$B952,'Per Line'!$AI$2:$AI$6001,0,'Per Line'!$AJ$2:$AJ$6001,0))</f>
        <v/>
      </c>
      <c r="N952" s="7">
        <f>IF($V952="","",M952*L952)</f>
        <v/>
      </c>
      <c r="O952">
        <f>IF($V952="","",Settings!$C$6)</f>
        <v/>
      </c>
      <c r="P952" s="7">
        <f>IF($V952="","",SUMIFS('Per Line'!$R$2:$R$6001,'Per Line'!$C$2:$C$6001,$B952,'Per Line'!$AI$2:$AI$6001,1,'Per Line'!$AJ$2:$AJ$6001,0))</f>
        <v/>
      </c>
      <c r="Q952" s="7">
        <f>IF($V952="","",P952*O952)</f>
        <v/>
      </c>
      <c r="R952" s="7">
        <f>IF($V952="","",Q952+N952)</f>
        <v/>
      </c>
      <c r="S952" s="7">
        <f>IF($V952="","",T952-R952)</f>
        <v/>
      </c>
      <c r="T952" s="7">
        <f>IF($V952="","",M952+P952+K952)</f>
        <v/>
      </c>
      <c r="U952" s="7">
        <f>IF($V952="","",T952-R952-I952)</f>
        <v/>
      </c>
      <c r="V952" s="13">
        <f>IF(ROWS($V$2:$V952)&lt;=MAX('Per Line'!$AH$2:$AH$6001),MATCH(ROWS($V$2:$V952),'Per Line'!$AH$2:$AH$6001,0),"")</f>
        <v/>
      </c>
    </row>
    <row r="953">
      <c r="A953" s="12" t="n"/>
      <c r="B953">
        <f>IF($V953="","",INDEX('Per Line'!$C$2:$C$6001,$V953)&amp;"")</f>
        <v/>
      </c>
      <c r="C953" s="11">
        <f>IF($V953="","",INDEX('Per Line'!$D$2:$D$6001,$V953))</f>
        <v/>
      </c>
      <c r="D953">
        <f>IF($V953="","",INDEX('Per Line'!$E$2:$E$6001,$V953)&amp;"")</f>
        <v/>
      </c>
      <c r="E953">
        <f>IF($V953="","",INDEX('Per Line'!$G$2:$G$6001,$V953)&amp;"")</f>
        <v/>
      </c>
      <c r="F953">
        <f>IF($V953="","",INDEX('Per Line'!$H$2:$H$6001,$V953)&amp;"")</f>
        <v/>
      </c>
      <c r="G953">
        <f>IF($V953="","",INDEX('Per Line'!$I$2:$I$6001,$V953)&amp;"")</f>
        <v/>
      </c>
      <c r="H953">
        <f>IF($V953="","",INDEX('Per Line'!$J$2:$J$6001,$V953))</f>
        <v/>
      </c>
      <c r="I953" s="7">
        <f>IF($V953="","",H953*S953/100)</f>
        <v/>
      </c>
      <c r="J953">
        <f>IF($V953="","",INDEX('Per Line'!$S$2:$S$6001,$V953)&amp;"")</f>
        <v/>
      </c>
      <c r="K953" s="7">
        <f>IF($V953="","",SUMIFS('Per Line'!$R$2:$R$6001,'Per Line'!$C$2:$C$6001,$B953,'Per Line'!$AJ$2:$AJ$6001,1))</f>
        <v/>
      </c>
      <c r="L953">
        <f>IF($V953="","",Settings!$C$7)</f>
        <v/>
      </c>
      <c r="M953" s="7">
        <f>IF($V953="","",SUMIFS('Per Line'!$R$2:$R$6001,'Per Line'!$C$2:$C$6001,$B953,'Per Line'!$AI$2:$AI$6001,0,'Per Line'!$AJ$2:$AJ$6001,0))</f>
        <v/>
      </c>
      <c r="N953" s="7">
        <f>IF($V953="","",M953*L953)</f>
        <v/>
      </c>
      <c r="O953">
        <f>IF($V953="","",Settings!$C$6)</f>
        <v/>
      </c>
      <c r="P953" s="7">
        <f>IF($V953="","",SUMIFS('Per Line'!$R$2:$R$6001,'Per Line'!$C$2:$C$6001,$B953,'Per Line'!$AI$2:$AI$6001,1,'Per Line'!$AJ$2:$AJ$6001,0))</f>
        <v/>
      </c>
      <c r="Q953" s="7">
        <f>IF($V953="","",P953*O953)</f>
        <v/>
      </c>
      <c r="R953" s="7">
        <f>IF($V953="","",Q953+N953)</f>
        <v/>
      </c>
      <c r="S953" s="7">
        <f>IF($V953="","",T953-R953)</f>
        <v/>
      </c>
      <c r="T953" s="7">
        <f>IF($V953="","",M953+P953+K953)</f>
        <v/>
      </c>
      <c r="U953" s="7">
        <f>IF($V953="","",T953-R953-I953)</f>
        <v/>
      </c>
      <c r="V953" s="13">
        <f>IF(ROWS($V$2:$V953)&lt;=MAX('Per Line'!$AH$2:$AH$6001),MATCH(ROWS($V$2:$V953),'Per Line'!$AH$2:$AH$6001,0),"")</f>
        <v/>
      </c>
    </row>
    <row r="954">
      <c r="A954" s="12" t="n"/>
      <c r="B954">
        <f>IF($V954="","",INDEX('Per Line'!$C$2:$C$6001,$V954)&amp;"")</f>
        <v/>
      </c>
      <c r="C954" s="11">
        <f>IF($V954="","",INDEX('Per Line'!$D$2:$D$6001,$V954))</f>
        <v/>
      </c>
      <c r="D954">
        <f>IF($V954="","",INDEX('Per Line'!$E$2:$E$6001,$V954)&amp;"")</f>
        <v/>
      </c>
      <c r="E954">
        <f>IF($V954="","",INDEX('Per Line'!$G$2:$G$6001,$V954)&amp;"")</f>
        <v/>
      </c>
      <c r="F954">
        <f>IF($V954="","",INDEX('Per Line'!$H$2:$H$6001,$V954)&amp;"")</f>
        <v/>
      </c>
      <c r="G954">
        <f>IF($V954="","",INDEX('Per Line'!$I$2:$I$6001,$V954)&amp;"")</f>
        <v/>
      </c>
      <c r="H954">
        <f>IF($V954="","",INDEX('Per Line'!$J$2:$J$6001,$V954))</f>
        <v/>
      </c>
      <c r="I954" s="7">
        <f>IF($V954="","",H954*S954/100)</f>
        <v/>
      </c>
      <c r="J954">
        <f>IF($V954="","",INDEX('Per Line'!$S$2:$S$6001,$V954)&amp;"")</f>
        <v/>
      </c>
      <c r="K954" s="7">
        <f>IF($V954="","",SUMIFS('Per Line'!$R$2:$R$6001,'Per Line'!$C$2:$C$6001,$B954,'Per Line'!$AJ$2:$AJ$6001,1))</f>
        <v/>
      </c>
      <c r="L954">
        <f>IF($V954="","",Settings!$C$7)</f>
        <v/>
      </c>
      <c r="M954" s="7">
        <f>IF($V954="","",SUMIFS('Per Line'!$R$2:$R$6001,'Per Line'!$C$2:$C$6001,$B954,'Per Line'!$AI$2:$AI$6001,0,'Per Line'!$AJ$2:$AJ$6001,0))</f>
        <v/>
      </c>
      <c r="N954" s="7">
        <f>IF($V954="","",M954*L954)</f>
        <v/>
      </c>
      <c r="O954">
        <f>IF($V954="","",Settings!$C$6)</f>
        <v/>
      </c>
      <c r="P954" s="7">
        <f>IF($V954="","",SUMIFS('Per Line'!$R$2:$R$6001,'Per Line'!$C$2:$C$6001,$B954,'Per Line'!$AI$2:$AI$6001,1,'Per Line'!$AJ$2:$AJ$6001,0))</f>
        <v/>
      </c>
      <c r="Q954" s="7">
        <f>IF($V954="","",P954*O954)</f>
        <v/>
      </c>
      <c r="R954" s="7">
        <f>IF($V954="","",Q954+N954)</f>
        <v/>
      </c>
      <c r="S954" s="7">
        <f>IF($V954="","",T954-R954)</f>
        <v/>
      </c>
      <c r="T954" s="7">
        <f>IF($V954="","",M954+P954+K954)</f>
        <v/>
      </c>
      <c r="U954" s="7">
        <f>IF($V954="","",T954-R954-I954)</f>
        <v/>
      </c>
      <c r="V954" s="13">
        <f>IF(ROWS($V$2:$V954)&lt;=MAX('Per Line'!$AH$2:$AH$6001),MATCH(ROWS($V$2:$V954),'Per Line'!$AH$2:$AH$6001,0),"")</f>
        <v/>
      </c>
    </row>
    <row r="955">
      <c r="A955" s="12" t="n"/>
      <c r="B955">
        <f>IF($V955="","",INDEX('Per Line'!$C$2:$C$6001,$V955)&amp;"")</f>
        <v/>
      </c>
      <c r="C955" s="11">
        <f>IF($V955="","",INDEX('Per Line'!$D$2:$D$6001,$V955))</f>
        <v/>
      </c>
      <c r="D955">
        <f>IF($V955="","",INDEX('Per Line'!$E$2:$E$6001,$V955)&amp;"")</f>
        <v/>
      </c>
      <c r="E955">
        <f>IF($V955="","",INDEX('Per Line'!$G$2:$G$6001,$V955)&amp;"")</f>
        <v/>
      </c>
      <c r="F955">
        <f>IF($V955="","",INDEX('Per Line'!$H$2:$H$6001,$V955)&amp;"")</f>
        <v/>
      </c>
      <c r="G955">
        <f>IF($V955="","",INDEX('Per Line'!$I$2:$I$6001,$V955)&amp;"")</f>
        <v/>
      </c>
      <c r="H955">
        <f>IF($V955="","",INDEX('Per Line'!$J$2:$J$6001,$V955))</f>
        <v/>
      </c>
      <c r="I955" s="7">
        <f>IF($V955="","",H955*S955/100)</f>
        <v/>
      </c>
      <c r="J955">
        <f>IF($V955="","",INDEX('Per Line'!$S$2:$S$6001,$V955)&amp;"")</f>
        <v/>
      </c>
      <c r="K955" s="7">
        <f>IF($V955="","",SUMIFS('Per Line'!$R$2:$R$6001,'Per Line'!$C$2:$C$6001,$B955,'Per Line'!$AJ$2:$AJ$6001,1))</f>
        <v/>
      </c>
      <c r="L955">
        <f>IF($V955="","",Settings!$C$7)</f>
        <v/>
      </c>
      <c r="M955" s="7">
        <f>IF($V955="","",SUMIFS('Per Line'!$R$2:$R$6001,'Per Line'!$C$2:$C$6001,$B955,'Per Line'!$AI$2:$AI$6001,0,'Per Line'!$AJ$2:$AJ$6001,0))</f>
        <v/>
      </c>
      <c r="N955" s="7">
        <f>IF($V955="","",M955*L955)</f>
        <v/>
      </c>
      <c r="O955">
        <f>IF($V955="","",Settings!$C$6)</f>
        <v/>
      </c>
      <c r="P955" s="7">
        <f>IF($V955="","",SUMIFS('Per Line'!$R$2:$R$6001,'Per Line'!$C$2:$C$6001,$B955,'Per Line'!$AI$2:$AI$6001,1,'Per Line'!$AJ$2:$AJ$6001,0))</f>
        <v/>
      </c>
      <c r="Q955" s="7">
        <f>IF($V955="","",P955*O955)</f>
        <v/>
      </c>
      <c r="R955" s="7">
        <f>IF($V955="","",Q955+N955)</f>
        <v/>
      </c>
      <c r="S955" s="7">
        <f>IF($V955="","",T955-R955)</f>
        <v/>
      </c>
      <c r="T955" s="7">
        <f>IF($V955="","",M955+P955+K955)</f>
        <v/>
      </c>
      <c r="U955" s="7">
        <f>IF($V955="","",T955-R955-I955)</f>
        <v/>
      </c>
      <c r="V955" s="13">
        <f>IF(ROWS($V$2:$V955)&lt;=MAX('Per Line'!$AH$2:$AH$6001),MATCH(ROWS($V$2:$V955),'Per Line'!$AH$2:$AH$6001,0),"")</f>
        <v/>
      </c>
    </row>
    <row r="956">
      <c r="A956" s="12" t="n"/>
      <c r="B956">
        <f>IF($V956="","",INDEX('Per Line'!$C$2:$C$6001,$V956)&amp;"")</f>
        <v/>
      </c>
      <c r="C956" s="11">
        <f>IF($V956="","",INDEX('Per Line'!$D$2:$D$6001,$V956))</f>
        <v/>
      </c>
      <c r="D956">
        <f>IF($V956="","",INDEX('Per Line'!$E$2:$E$6001,$V956)&amp;"")</f>
        <v/>
      </c>
      <c r="E956">
        <f>IF($V956="","",INDEX('Per Line'!$G$2:$G$6001,$V956)&amp;"")</f>
        <v/>
      </c>
      <c r="F956">
        <f>IF($V956="","",INDEX('Per Line'!$H$2:$H$6001,$V956)&amp;"")</f>
        <v/>
      </c>
      <c r="G956">
        <f>IF($V956="","",INDEX('Per Line'!$I$2:$I$6001,$V956)&amp;"")</f>
        <v/>
      </c>
      <c r="H956">
        <f>IF($V956="","",INDEX('Per Line'!$J$2:$J$6001,$V956))</f>
        <v/>
      </c>
      <c r="I956" s="7">
        <f>IF($V956="","",H956*S956/100)</f>
        <v/>
      </c>
      <c r="J956">
        <f>IF($V956="","",INDEX('Per Line'!$S$2:$S$6001,$V956)&amp;"")</f>
        <v/>
      </c>
      <c r="K956" s="7">
        <f>IF($V956="","",SUMIFS('Per Line'!$R$2:$R$6001,'Per Line'!$C$2:$C$6001,$B956,'Per Line'!$AJ$2:$AJ$6001,1))</f>
        <v/>
      </c>
      <c r="L956">
        <f>IF($V956="","",Settings!$C$7)</f>
        <v/>
      </c>
      <c r="M956" s="7">
        <f>IF($V956="","",SUMIFS('Per Line'!$R$2:$R$6001,'Per Line'!$C$2:$C$6001,$B956,'Per Line'!$AI$2:$AI$6001,0,'Per Line'!$AJ$2:$AJ$6001,0))</f>
        <v/>
      </c>
      <c r="N956" s="7">
        <f>IF($V956="","",M956*L956)</f>
        <v/>
      </c>
      <c r="O956">
        <f>IF($V956="","",Settings!$C$6)</f>
        <v/>
      </c>
      <c r="P956" s="7">
        <f>IF($V956="","",SUMIFS('Per Line'!$R$2:$R$6001,'Per Line'!$C$2:$C$6001,$B956,'Per Line'!$AI$2:$AI$6001,1,'Per Line'!$AJ$2:$AJ$6001,0))</f>
        <v/>
      </c>
      <c r="Q956" s="7">
        <f>IF($V956="","",P956*O956)</f>
        <v/>
      </c>
      <c r="R956" s="7">
        <f>IF($V956="","",Q956+N956)</f>
        <v/>
      </c>
      <c r="S956" s="7">
        <f>IF($V956="","",T956-R956)</f>
        <v/>
      </c>
      <c r="T956" s="7">
        <f>IF($V956="","",M956+P956+K956)</f>
        <v/>
      </c>
      <c r="U956" s="7">
        <f>IF($V956="","",T956-R956-I956)</f>
        <v/>
      </c>
      <c r="V956" s="13">
        <f>IF(ROWS($V$2:$V956)&lt;=MAX('Per Line'!$AH$2:$AH$6001),MATCH(ROWS($V$2:$V956),'Per Line'!$AH$2:$AH$6001,0),"")</f>
        <v/>
      </c>
    </row>
    <row r="957">
      <c r="A957" s="12" t="n"/>
      <c r="B957">
        <f>IF($V957="","",INDEX('Per Line'!$C$2:$C$6001,$V957)&amp;"")</f>
        <v/>
      </c>
      <c r="C957" s="11">
        <f>IF($V957="","",INDEX('Per Line'!$D$2:$D$6001,$V957))</f>
        <v/>
      </c>
      <c r="D957">
        <f>IF($V957="","",INDEX('Per Line'!$E$2:$E$6001,$V957)&amp;"")</f>
        <v/>
      </c>
      <c r="E957">
        <f>IF($V957="","",INDEX('Per Line'!$G$2:$G$6001,$V957)&amp;"")</f>
        <v/>
      </c>
      <c r="F957">
        <f>IF($V957="","",INDEX('Per Line'!$H$2:$H$6001,$V957)&amp;"")</f>
        <v/>
      </c>
      <c r="G957">
        <f>IF($V957="","",INDEX('Per Line'!$I$2:$I$6001,$V957)&amp;"")</f>
        <v/>
      </c>
      <c r="H957">
        <f>IF($V957="","",INDEX('Per Line'!$J$2:$J$6001,$V957))</f>
        <v/>
      </c>
      <c r="I957" s="7">
        <f>IF($V957="","",H957*S957/100)</f>
        <v/>
      </c>
      <c r="J957">
        <f>IF($V957="","",INDEX('Per Line'!$S$2:$S$6001,$V957)&amp;"")</f>
        <v/>
      </c>
      <c r="K957" s="7">
        <f>IF($V957="","",SUMIFS('Per Line'!$R$2:$R$6001,'Per Line'!$C$2:$C$6001,$B957,'Per Line'!$AJ$2:$AJ$6001,1))</f>
        <v/>
      </c>
      <c r="L957">
        <f>IF($V957="","",Settings!$C$7)</f>
        <v/>
      </c>
      <c r="M957" s="7">
        <f>IF($V957="","",SUMIFS('Per Line'!$R$2:$R$6001,'Per Line'!$C$2:$C$6001,$B957,'Per Line'!$AI$2:$AI$6001,0,'Per Line'!$AJ$2:$AJ$6001,0))</f>
        <v/>
      </c>
      <c r="N957" s="7">
        <f>IF($V957="","",M957*L957)</f>
        <v/>
      </c>
      <c r="O957">
        <f>IF($V957="","",Settings!$C$6)</f>
        <v/>
      </c>
      <c r="P957" s="7">
        <f>IF($V957="","",SUMIFS('Per Line'!$R$2:$R$6001,'Per Line'!$C$2:$C$6001,$B957,'Per Line'!$AI$2:$AI$6001,1,'Per Line'!$AJ$2:$AJ$6001,0))</f>
        <v/>
      </c>
      <c r="Q957" s="7">
        <f>IF($V957="","",P957*O957)</f>
        <v/>
      </c>
      <c r="R957" s="7">
        <f>IF($V957="","",Q957+N957)</f>
        <v/>
      </c>
      <c r="S957" s="7">
        <f>IF($V957="","",T957-R957)</f>
        <v/>
      </c>
      <c r="T957" s="7">
        <f>IF($V957="","",M957+P957+K957)</f>
        <v/>
      </c>
      <c r="U957" s="7">
        <f>IF($V957="","",T957-R957-I957)</f>
        <v/>
      </c>
      <c r="V957" s="13">
        <f>IF(ROWS($V$2:$V957)&lt;=MAX('Per Line'!$AH$2:$AH$6001),MATCH(ROWS($V$2:$V957),'Per Line'!$AH$2:$AH$6001,0),"")</f>
        <v/>
      </c>
    </row>
    <row r="958">
      <c r="A958" s="12" t="n"/>
      <c r="B958">
        <f>IF($V958="","",INDEX('Per Line'!$C$2:$C$6001,$V958)&amp;"")</f>
        <v/>
      </c>
      <c r="C958" s="11">
        <f>IF($V958="","",INDEX('Per Line'!$D$2:$D$6001,$V958))</f>
        <v/>
      </c>
      <c r="D958">
        <f>IF($V958="","",INDEX('Per Line'!$E$2:$E$6001,$V958)&amp;"")</f>
        <v/>
      </c>
      <c r="E958">
        <f>IF($V958="","",INDEX('Per Line'!$G$2:$G$6001,$V958)&amp;"")</f>
        <v/>
      </c>
      <c r="F958">
        <f>IF($V958="","",INDEX('Per Line'!$H$2:$H$6001,$V958)&amp;"")</f>
        <v/>
      </c>
      <c r="G958">
        <f>IF($V958="","",INDEX('Per Line'!$I$2:$I$6001,$V958)&amp;"")</f>
        <v/>
      </c>
      <c r="H958">
        <f>IF($V958="","",INDEX('Per Line'!$J$2:$J$6001,$V958))</f>
        <v/>
      </c>
      <c r="I958" s="7">
        <f>IF($V958="","",H958*S958/100)</f>
        <v/>
      </c>
      <c r="J958">
        <f>IF($V958="","",INDEX('Per Line'!$S$2:$S$6001,$V958)&amp;"")</f>
        <v/>
      </c>
      <c r="K958" s="7">
        <f>IF($V958="","",SUMIFS('Per Line'!$R$2:$R$6001,'Per Line'!$C$2:$C$6001,$B958,'Per Line'!$AJ$2:$AJ$6001,1))</f>
        <v/>
      </c>
      <c r="L958">
        <f>IF($V958="","",Settings!$C$7)</f>
        <v/>
      </c>
      <c r="M958" s="7">
        <f>IF($V958="","",SUMIFS('Per Line'!$R$2:$R$6001,'Per Line'!$C$2:$C$6001,$B958,'Per Line'!$AI$2:$AI$6001,0,'Per Line'!$AJ$2:$AJ$6001,0))</f>
        <v/>
      </c>
      <c r="N958" s="7">
        <f>IF($V958="","",M958*L958)</f>
        <v/>
      </c>
      <c r="O958">
        <f>IF($V958="","",Settings!$C$6)</f>
        <v/>
      </c>
      <c r="P958" s="7">
        <f>IF($V958="","",SUMIFS('Per Line'!$R$2:$R$6001,'Per Line'!$C$2:$C$6001,$B958,'Per Line'!$AI$2:$AI$6001,1,'Per Line'!$AJ$2:$AJ$6001,0))</f>
        <v/>
      </c>
      <c r="Q958" s="7">
        <f>IF($V958="","",P958*O958)</f>
        <v/>
      </c>
      <c r="R958" s="7">
        <f>IF($V958="","",Q958+N958)</f>
        <v/>
      </c>
      <c r="S958" s="7">
        <f>IF($V958="","",T958-R958)</f>
        <v/>
      </c>
      <c r="T958" s="7">
        <f>IF($V958="","",M958+P958+K958)</f>
        <v/>
      </c>
      <c r="U958" s="7">
        <f>IF($V958="","",T958-R958-I958)</f>
        <v/>
      </c>
      <c r="V958" s="13">
        <f>IF(ROWS($V$2:$V958)&lt;=MAX('Per Line'!$AH$2:$AH$6001),MATCH(ROWS($V$2:$V958),'Per Line'!$AH$2:$AH$6001,0),"")</f>
        <v/>
      </c>
    </row>
    <row r="959">
      <c r="A959" s="12" t="n"/>
      <c r="B959">
        <f>IF($V959="","",INDEX('Per Line'!$C$2:$C$6001,$V959)&amp;"")</f>
        <v/>
      </c>
      <c r="C959" s="11">
        <f>IF($V959="","",INDEX('Per Line'!$D$2:$D$6001,$V959))</f>
        <v/>
      </c>
      <c r="D959">
        <f>IF($V959="","",INDEX('Per Line'!$E$2:$E$6001,$V959)&amp;"")</f>
        <v/>
      </c>
      <c r="E959">
        <f>IF($V959="","",INDEX('Per Line'!$G$2:$G$6001,$V959)&amp;"")</f>
        <v/>
      </c>
      <c r="F959">
        <f>IF($V959="","",INDEX('Per Line'!$H$2:$H$6001,$V959)&amp;"")</f>
        <v/>
      </c>
      <c r="G959">
        <f>IF($V959="","",INDEX('Per Line'!$I$2:$I$6001,$V959)&amp;"")</f>
        <v/>
      </c>
      <c r="H959">
        <f>IF($V959="","",INDEX('Per Line'!$J$2:$J$6001,$V959))</f>
        <v/>
      </c>
      <c r="I959" s="7">
        <f>IF($V959="","",H959*S959/100)</f>
        <v/>
      </c>
      <c r="J959">
        <f>IF($V959="","",INDEX('Per Line'!$S$2:$S$6001,$V959)&amp;"")</f>
        <v/>
      </c>
      <c r="K959" s="7">
        <f>IF($V959="","",SUMIFS('Per Line'!$R$2:$R$6001,'Per Line'!$C$2:$C$6001,$B959,'Per Line'!$AJ$2:$AJ$6001,1))</f>
        <v/>
      </c>
      <c r="L959">
        <f>IF($V959="","",Settings!$C$7)</f>
        <v/>
      </c>
      <c r="M959" s="7">
        <f>IF($V959="","",SUMIFS('Per Line'!$R$2:$R$6001,'Per Line'!$C$2:$C$6001,$B959,'Per Line'!$AI$2:$AI$6001,0,'Per Line'!$AJ$2:$AJ$6001,0))</f>
        <v/>
      </c>
      <c r="N959" s="7">
        <f>IF($V959="","",M959*L959)</f>
        <v/>
      </c>
      <c r="O959">
        <f>IF($V959="","",Settings!$C$6)</f>
        <v/>
      </c>
      <c r="P959" s="7">
        <f>IF($V959="","",SUMIFS('Per Line'!$R$2:$R$6001,'Per Line'!$C$2:$C$6001,$B959,'Per Line'!$AI$2:$AI$6001,1,'Per Line'!$AJ$2:$AJ$6001,0))</f>
        <v/>
      </c>
      <c r="Q959" s="7">
        <f>IF($V959="","",P959*O959)</f>
        <v/>
      </c>
      <c r="R959" s="7">
        <f>IF($V959="","",Q959+N959)</f>
        <v/>
      </c>
      <c r="S959" s="7">
        <f>IF($V959="","",T959-R959)</f>
        <v/>
      </c>
      <c r="T959" s="7">
        <f>IF($V959="","",M959+P959+K959)</f>
        <v/>
      </c>
      <c r="U959" s="7">
        <f>IF($V959="","",T959-R959-I959)</f>
        <v/>
      </c>
      <c r="V959" s="13">
        <f>IF(ROWS($V$2:$V959)&lt;=MAX('Per Line'!$AH$2:$AH$6001),MATCH(ROWS($V$2:$V959),'Per Line'!$AH$2:$AH$6001,0),"")</f>
        <v/>
      </c>
    </row>
    <row r="960">
      <c r="A960" s="12" t="n"/>
      <c r="B960">
        <f>IF($V960="","",INDEX('Per Line'!$C$2:$C$6001,$V960)&amp;"")</f>
        <v/>
      </c>
      <c r="C960" s="11">
        <f>IF($V960="","",INDEX('Per Line'!$D$2:$D$6001,$V960))</f>
        <v/>
      </c>
      <c r="D960">
        <f>IF($V960="","",INDEX('Per Line'!$E$2:$E$6001,$V960)&amp;"")</f>
        <v/>
      </c>
      <c r="E960">
        <f>IF($V960="","",INDEX('Per Line'!$G$2:$G$6001,$V960)&amp;"")</f>
        <v/>
      </c>
      <c r="F960">
        <f>IF($V960="","",INDEX('Per Line'!$H$2:$H$6001,$V960)&amp;"")</f>
        <v/>
      </c>
      <c r="G960">
        <f>IF($V960="","",INDEX('Per Line'!$I$2:$I$6001,$V960)&amp;"")</f>
        <v/>
      </c>
      <c r="H960">
        <f>IF($V960="","",INDEX('Per Line'!$J$2:$J$6001,$V960))</f>
        <v/>
      </c>
      <c r="I960" s="7">
        <f>IF($V960="","",H960*S960/100)</f>
        <v/>
      </c>
      <c r="J960">
        <f>IF($V960="","",INDEX('Per Line'!$S$2:$S$6001,$V960)&amp;"")</f>
        <v/>
      </c>
      <c r="K960" s="7">
        <f>IF($V960="","",SUMIFS('Per Line'!$R$2:$R$6001,'Per Line'!$C$2:$C$6001,$B960,'Per Line'!$AJ$2:$AJ$6001,1))</f>
        <v/>
      </c>
      <c r="L960">
        <f>IF($V960="","",Settings!$C$7)</f>
        <v/>
      </c>
      <c r="M960" s="7">
        <f>IF($V960="","",SUMIFS('Per Line'!$R$2:$R$6001,'Per Line'!$C$2:$C$6001,$B960,'Per Line'!$AI$2:$AI$6001,0,'Per Line'!$AJ$2:$AJ$6001,0))</f>
        <v/>
      </c>
      <c r="N960" s="7">
        <f>IF($V960="","",M960*L960)</f>
        <v/>
      </c>
      <c r="O960">
        <f>IF($V960="","",Settings!$C$6)</f>
        <v/>
      </c>
      <c r="P960" s="7">
        <f>IF($V960="","",SUMIFS('Per Line'!$R$2:$R$6001,'Per Line'!$C$2:$C$6001,$B960,'Per Line'!$AI$2:$AI$6001,1,'Per Line'!$AJ$2:$AJ$6001,0))</f>
        <v/>
      </c>
      <c r="Q960" s="7">
        <f>IF($V960="","",P960*O960)</f>
        <v/>
      </c>
      <c r="R960" s="7">
        <f>IF($V960="","",Q960+N960)</f>
        <v/>
      </c>
      <c r="S960" s="7">
        <f>IF($V960="","",T960-R960)</f>
        <v/>
      </c>
      <c r="T960" s="7">
        <f>IF($V960="","",M960+P960+K960)</f>
        <v/>
      </c>
      <c r="U960" s="7">
        <f>IF($V960="","",T960-R960-I960)</f>
        <v/>
      </c>
      <c r="V960" s="13">
        <f>IF(ROWS($V$2:$V960)&lt;=MAX('Per Line'!$AH$2:$AH$6001),MATCH(ROWS($V$2:$V960),'Per Line'!$AH$2:$AH$6001,0),"")</f>
        <v/>
      </c>
    </row>
    <row r="961">
      <c r="A961" s="12" t="n"/>
      <c r="B961">
        <f>IF($V961="","",INDEX('Per Line'!$C$2:$C$6001,$V961)&amp;"")</f>
        <v/>
      </c>
      <c r="C961" s="11">
        <f>IF($V961="","",INDEX('Per Line'!$D$2:$D$6001,$V961))</f>
        <v/>
      </c>
      <c r="D961">
        <f>IF($V961="","",INDEX('Per Line'!$E$2:$E$6001,$V961)&amp;"")</f>
        <v/>
      </c>
      <c r="E961">
        <f>IF($V961="","",INDEX('Per Line'!$G$2:$G$6001,$V961)&amp;"")</f>
        <v/>
      </c>
      <c r="F961">
        <f>IF($V961="","",INDEX('Per Line'!$H$2:$H$6001,$V961)&amp;"")</f>
        <v/>
      </c>
      <c r="G961">
        <f>IF($V961="","",INDEX('Per Line'!$I$2:$I$6001,$V961)&amp;"")</f>
        <v/>
      </c>
      <c r="H961">
        <f>IF($V961="","",INDEX('Per Line'!$J$2:$J$6001,$V961))</f>
        <v/>
      </c>
      <c r="I961" s="7">
        <f>IF($V961="","",H961*S961/100)</f>
        <v/>
      </c>
      <c r="J961">
        <f>IF($V961="","",INDEX('Per Line'!$S$2:$S$6001,$V961)&amp;"")</f>
        <v/>
      </c>
      <c r="K961" s="7">
        <f>IF($V961="","",SUMIFS('Per Line'!$R$2:$R$6001,'Per Line'!$C$2:$C$6001,$B961,'Per Line'!$AJ$2:$AJ$6001,1))</f>
        <v/>
      </c>
      <c r="L961">
        <f>IF($V961="","",Settings!$C$7)</f>
        <v/>
      </c>
      <c r="M961" s="7">
        <f>IF($V961="","",SUMIFS('Per Line'!$R$2:$R$6001,'Per Line'!$C$2:$C$6001,$B961,'Per Line'!$AI$2:$AI$6001,0,'Per Line'!$AJ$2:$AJ$6001,0))</f>
        <v/>
      </c>
      <c r="N961" s="7">
        <f>IF($V961="","",M961*L961)</f>
        <v/>
      </c>
      <c r="O961">
        <f>IF($V961="","",Settings!$C$6)</f>
        <v/>
      </c>
      <c r="P961" s="7">
        <f>IF($V961="","",SUMIFS('Per Line'!$R$2:$R$6001,'Per Line'!$C$2:$C$6001,$B961,'Per Line'!$AI$2:$AI$6001,1,'Per Line'!$AJ$2:$AJ$6001,0))</f>
        <v/>
      </c>
      <c r="Q961" s="7">
        <f>IF($V961="","",P961*O961)</f>
        <v/>
      </c>
      <c r="R961" s="7">
        <f>IF($V961="","",Q961+N961)</f>
        <v/>
      </c>
      <c r="S961" s="7">
        <f>IF($V961="","",T961-R961)</f>
        <v/>
      </c>
      <c r="T961" s="7">
        <f>IF($V961="","",M961+P961+K961)</f>
        <v/>
      </c>
      <c r="U961" s="7">
        <f>IF($V961="","",T961-R961-I961)</f>
        <v/>
      </c>
      <c r="V961" s="13">
        <f>IF(ROWS($V$2:$V961)&lt;=MAX('Per Line'!$AH$2:$AH$6001),MATCH(ROWS($V$2:$V961),'Per Line'!$AH$2:$AH$6001,0),"")</f>
        <v/>
      </c>
    </row>
    <row r="962">
      <c r="A962" s="12" t="n"/>
      <c r="B962">
        <f>IF($V962="","",INDEX('Per Line'!$C$2:$C$6001,$V962)&amp;"")</f>
        <v/>
      </c>
      <c r="C962" s="11">
        <f>IF($V962="","",INDEX('Per Line'!$D$2:$D$6001,$V962))</f>
        <v/>
      </c>
      <c r="D962">
        <f>IF($V962="","",INDEX('Per Line'!$E$2:$E$6001,$V962)&amp;"")</f>
        <v/>
      </c>
      <c r="E962">
        <f>IF($V962="","",INDEX('Per Line'!$G$2:$G$6001,$V962)&amp;"")</f>
        <v/>
      </c>
      <c r="F962">
        <f>IF($V962="","",INDEX('Per Line'!$H$2:$H$6001,$V962)&amp;"")</f>
        <v/>
      </c>
      <c r="G962">
        <f>IF($V962="","",INDEX('Per Line'!$I$2:$I$6001,$V962)&amp;"")</f>
        <v/>
      </c>
      <c r="H962">
        <f>IF($V962="","",INDEX('Per Line'!$J$2:$J$6001,$V962))</f>
        <v/>
      </c>
      <c r="I962" s="7">
        <f>IF($V962="","",H962*S962/100)</f>
        <v/>
      </c>
      <c r="J962">
        <f>IF($V962="","",INDEX('Per Line'!$S$2:$S$6001,$V962)&amp;"")</f>
        <v/>
      </c>
      <c r="K962" s="7">
        <f>IF($V962="","",SUMIFS('Per Line'!$R$2:$R$6001,'Per Line'!$C$2:$C$6001,$B962,'Per Line'!$AJ$2:$AJ$6001,1))</f>
        <v/>
      </c>
      <c r="L962">
        <f>IF($V962="","",Settings!$C$7)</f>
        <v/>
      </c>
      <c r="M962" s="7">
        <f>IF($V962="","",SUMIFS('Per Line'!$R$2:$R$6001,'Per Line'!$C$2:$C$6001,$B962,'Per Line'!$AI$2:$AI$6001,0,'Per Line'!$AJ$2:$AJ$6001,0))</f>
        <v/>
      </c>
      <c r="N962" s="7">
        <f>IF($V962="","",M962*L962)</f>
        <v/>
      </c>
      <c r="O962">
        <f>IF($V962="","",Settings!$C$6)</f>
        <v/>
      </c>
      <c r="P962" s="7">
        <f>IF($V962="","",SUMIFS('Per Line'!$R$2:$R$6001,'Per Line'!$C$2:$C$6001,$B962,'Per Line'!$AI$2:$AI$6001,1,'Per Line'!$AJ$2:$AJ$6001,0))</f>
        <v/>
      </c>
      <c r="Q962" s="7">
        <f>IF($V962="","",P962*O962)</f>
        <v/>
      </c>
      <c r="R962" s="7">
        <f>IF($V962="","",Q962+N962)</f>
        <v/>
      </c>
      <c r="S962" s="7">
        <f>IF($V962="","",T962-R962)</f>
        <v/>
      </c>
      <c r="T962" s="7">
        <f>IF($V962="","",M962+P962+K962)</f>
        <v/>
      </c>
      <c r="U962" s="7">
        <f>IF($V962="","",T962-R962-I962)</f>
        <v/>
      </c>
      <c r="V962" s="13">
        <f>IF(ROWS($V$2:$V962)&lt;=MAX('Per Line'!$AH$2:$AH$6001),MATCH(ROWS($V$2:$V962),'Per Line'!$AH$2:$AH$6001,0),"")</f>
        <v/>
      </c>
    </row>
    <row r="963">
      <c r="A963" s="12" t="n"/>
      <c r="B963">
        <f>IF($V963="","",INDEX('Per Line'!$C$2:$C$6001,$V963)&amp;"")</f>
        <v/>
      </c>
      <c r="C963" s="11">
        <f>IF($V963="","",INDEX('Per Line'!$D$2:$D$6001,$V963))</f>
        <v/>
      </c>
      <c r="D963">
        <f>IF($V963="","",INDEX('Per Line'!$E$2:$E$6001,$V963)&amp;"")</f>
        <v/>
      </c>
      <c r="E963">
        <f>IF($V963="","",INDEX('Per Line'!$G$2:$G$6001,$V963)&amp;"")</f>
        <v/>
      </c>
      <c r="F963">
        <f>IF($V963="","",INDEX('Per Line'!$H$2:$H$6001,$V963)&amp;"")</f>
        <v/>
      </c>
      <c r="G963">
        <f>IF($V963="","",INDEX('Per Line'!$I$2:$I$6001,$V963)&amp;"")</f>
        <v/>
      </c>
      <c r="H963">
        <f>IF($V963="","",INDEX('Per Line'!$J$2:$J$6001,$V963))</f>
        <v/>
      </c>
      <c r="I963" s="7">
        <f>IF($V963="","",H963*S963/100)</f>
        <v/>
      </c>
      <c r="J963">
        <f>IF($V963="","",INDEX('Per Line'!$S$2:$S$6001,$V963)&amp;"")</f>
        <v/>
      </c>
      <c r="K963" s="7">
        <f>IF($V963="","",SUMIFS('Per Line'!$R$2:$R$6001,'Per Line'!$C$2:$C$6001,$B963,'Per Line'!$AJ$2:$AJ$6001,1))</f>
        <v/>
      </c>
      <c r="L963">
        <f>IF($V963="","",Settings!$C$7)</f>
        <v/>
      </c>
      <c r="M963" s="7">
        <f>IF($V963="","",SUMIFS('Per Line'!$R$2:$R$6001,'Per Line'!$C$2:$C$6001,$B963,'Per Line'!$AI$2:$AI$6001,0,'Per Line'!$AJ$2:$AJ$6001,0))</f>
        <v/>
      </c>
      <c r="N963" s="7">
        <f>IF($V963="","",M963*L963)</f>
        <v/>
      </c>
      <c r="O963">
        <f>IF($V963="","",Settings!$C$6)</f>
        <v/>
      </c>
      <c r="P963" s="7">
        <f>IF($V963="","",SUMIFS('Per Line'!$R$2:$R$6001,'Per Line'!$C$2:$C$6001,$B963,'Per Line'!$AI$2:$AI$6001,1,'Per Line'!$AJ$2:$AJ$6001,0))</f>
        <v/>
      </c>
      <c r="Q963" s="7">
        <f>IF($V963="","",P963*O963)</f>
        <v/>
      </c>
      <c r="R963" s="7">
        <f>IF($V963="","",Q963+N963)</f>
        <v/>
      </c>
      <c r="S963" s="7">
        <f>IF($V963="","",T963-R963)</f>
        <v/>
      </c>
      <c r="T963" s="7">
        <f>IF($V963="","",M963+P963+K963)</f>
        <v/>
      </c>
      <c r="U963" s="7">
        <f>IF($V963="","",T963-R963-I963)</f>
        <v/>
      </c>
      <c r="V963" s="13">
        <f>IF(ROWS($V$2:$V963)&lt;=MAX('Per Line'!$AH$2:$AH$6001),MATCH(ROWS($V$2:$V963),'Per Line'!$AH$2:$AH$6001,0),"")</f>
        <v/>
      </c>
    </row>
    <row r="964">
      <c r="A964" s="12" t="n"/>
      <c r="B964">
        <f>IF($V964="","",INDEX('Per Line'!$C$2:$C$6001,$V964)&amp;"")</f>
        <v/>
      </c>
      <c r="C964" s="11">
        <f>IF($V964="","",INDEX('Per Line'!$D$2:$D$6001,$V964))</f>
        <v/>
      </c>
      <c r="D964">
        <f>IF($V964="","",INDEX('Per Line'!$E$2:$E$6001,$V964)&amp;"")</f>
        <v/>
      </c>
      <c r="E964">
        <f>IF($V964="","",INDEX('Per Line'!$G$2:$G$6001,$V964)&amp;"")</f>
        <v/>
      </c>
      <c r="F964">
        <f>IF($V964="","",INDEX('Per Line'!$H$2:$H$6001,$V964)&amp;"")</f>
        <v/>
      </c>
      <c r="G964">
        <f>IF($V964="","",INDEX('Per Line'!$I$2:$I$6001,$V964)&amp;"")</f>
        <v/>
      </c>
      <c r="H964">
        <f>IF($V964="","",INDEX('Per Line'!$J$2:$J$6001,$V964))</f>
        <v/>
      </c>
      <c r="I964" s="7">
        <f>IF($V964="","",H964*S964/100)</f>
        <v/>
      </c>
      <c r="J964">
        <f>IF($V964="","",INDEX('Per Line'!$S$2:$S$6001,$V964)&amp;"")</f>
        <v/>
      </c>
      <c r="K964" s="7">
        <f>IF($V964="","",SUMIFS('Per Line'!$R$2:$R$6001,'Per Line'!$C$2:$C$6001,$B964,'Per Line'!$AJ$2:$AJ$6001,1))</f>
        <v/>
      </c>
      <c r="L964">
        <f>IF($V964="","",Settings!$C$7)</f>
        <v/>
      </c>
      <c r="M964" s="7">
        <f>IF($V964="","",SUMIFS('Per Line'!$R$2:$R$6001,'Per Line'!$C$2:$C$6001,$B964,'Per Line'!$AI$2:$AI$6001,0,'Per Line'!$AJ$2:$AJ$6001,0))</f>
        <v/>
      </c>
      <c r="N964" s="7">
        <f>IF($V964="","",M964*L964)</f>
        <v/>
      </c>
      <c r="O964">
        <f>IF($V964="","",Settings!$C$6)</f>
        <v/>
      </c>
      <c r="P964" s="7">
        <f>IF($V964="","",SUMIFS('Per Line'!$R$2:$R$6001,'Per Line'!$C$2:$C$6001,$B964,'Per Line'!$AI$2:$AI$6001,1,'Per Line'!$AJ$2:$AJ$6001,0))</f>
        <v/>
      </c>
      <c r="Q964" s="7">
        <f>IF($V964="","",P964*O964)</f>
        <v/>
      </c>
      <c r="R964" s="7">
        <f>IF($V964="","",Q964+N964)</f>
        <v/>
      </c>
      <c r="S964" s="7">
        <f>IF($V964="","",T964-R964)</f>
        <v/>
      </c>
      <c r="T964" s="7">
        <f>IF($V964="","",M964+P964+K964)</f>
        <v/>
      </c>
      <c r="U964" s="7">
        <f>IF($V964="","",T964-R964-I964)</f>
        <v/>
      </c>
      <c r="V964" s="13">
        <f>IF(ROWS($V$2:$V964)&lt;=MAX('Per Line'!$AH$2:$AH$6001),MATCH(ROWS($V$2:$V964),'Per Line'!$AH$2:$AH$6001,0),"")</f>
        <v/>
      </c>
    </row>
    <row r="965">
      <c r="A965" s="12" t="n"/>
      <c r="B965">
        <f>IF($V965="","",INDEX('Per Line'!$C$2:$C$6001,$V965)&amp;"")</f>
        <v/>
      </c>
      <c r="C965" s="11">
        <f>IF($V965="","",INDEX('Per Line'!$D$2:$D$6001,$V965))</f>
        <v/>
      </c>
      <c r="D965">
        <f>IF($V965="","",INDEX('Per Line'!$E$2:$E$6001,$V965)&amp;"")</f>
        <v/>
      </c>
      <c r="E965">
        <f>IF($V965="","",INDEX('Per Line'!$G$2:$G$6001,$V965)&amp;"")</f>
        <v/>
      </c>
      <c r="F965">
        <f>IF($V965="","",INDEX('Per Line'!$H$2:$H$6001,$V965)&amp;"")</f>
        <v/>
      </c>
      <c r="G965">
        <f>IF($V965="","",INDEX('Per Line'!$I$2:$I$6001,$V965)&amp;"")</f>
        <v/>
      </c>
      <c r="H965">
        <f>IF($V965="","",INDEX('Per Line'!$J$2:$J$6001,$V965))</f>
        <v/>
      </c>
      <c r="I965" s="7">
        <f>IF($V965="","",H965*S965/100)</f>
        <v/>
      </c>
      <c r="J965">
        <f>IF($V965="","",INDEX('Per Line'!$S$2:$S$6001,$V965)&amp;"")</f>
        <v/>
      </c>
      <c r="K965" s="7">
        <f>IF($V965="","",SUMIFS('Per Line'!$R$2:$R$6001,'Per Line'!$C$2:$C$6001,$B965,'Per Line'!$AJ$2:$AJ$6001,1))</f>
        <v/>
      </c>
      <c r="L965">
        <f>IF($V965="","",Settings!$C$7)</f>
        <v/>
      </c>
      <c r="M965" s="7">
        <f>IF($V965="","",SUMIFS('Per Line'!$R$2:$R$6001,'Per Line'!$C$2:$C$6001,$B965,'Per Line'!$AI$2:$AI$6001,0,'Per Line'!$AJ$2:$AJ$6001,0))</f>
        <v/>
      </c>
      <c r="N965" s="7">
        <f>IF($V965="","",M965*L965)</f>
        <v/>
      </c>
      <c r="O965">
        <f>IF($V965="","",Settings!$C$6)</f>
        <v/>
      </c>
      <c r="P965" s="7">
        <f>IF($V965="","",SUMIFS('Per Line'!$R$2:$R$6001,'Per Line'!$C$2:$C$6001,$B965,'Per Line'!$AI$2:$AI$6001,1,'Per Line'!$AJ$2:$AJ$6001,0))</f>
        <v/>
      </c>
      <c r="Q965" s="7">
        <f>IF($V965="","",P965*O965)</f>
        <v/>
      </c>
      <c r="R965" s="7">
        <f>IF($V965="","",Q965+N965)</f>
        <v/>
      </c>
      <c r="S965" s="7">
        <f>IF($V965="","",T965-R965)</f>
        <v/>
      </c>
      <c r="T965" s="7">
        <f>IF($V965="","",M965+P965+K965)</f>
        <v/>
      </c>
      <c r="U965" s="7">
        <f>IF($V965="","",T965-R965-I965)</f>
        <v/>
      </c>
      <c r="V965" s="13">
        <f>IF(ROWS($V$2:$V965)&lt;=MAX('Per Line'!$AH$2:$AH$6001),MATCH(ROWS($V$2:$V965),'Per Line'!$AH$2:$AH$6001,0),"")</f>
        <v/>
      </c>
    </row>
    <row r="966">
      <c r="A966" s="12" t="n"/>
      <c r="B966">
        <f>IF($V966="","",INDEX('Per Line'!$C$2:$C$6001,$V966)&amp;"")</f>
        <v/>
      </c>
      <c r="C966" s="11">
        <f>IF($V966="","",INDEX('Per Line'!$D$2:$D$6001,$V966))</f>
        <v/>
      </c>
      <c r="D966">
        <f>IF($V966="","",INDEX('Per Line'!$E$2:$E$6001,$V966)&amp;"")</f>
        <v/>
      </c>
      <c r="E966">
        <f>IF($V966="","",INDEX('Per Line'!$G$2:$G$6001,$V966)&amp;"")</f>
        <v/>
      </c>
      <c r="F966">
        <f>IF($V966="","",INDEX('Per Line'!$H$2:$H$6001,$V966)&amp;"")</f>
        <v/>
      </c>
      <c r="G966">
        <f>IF($V966="","",INDEX('Per Line'!$I$2:$I$6001,$V966)&amp;"")</f>
        <v/>
      </c>
      <c r="H966">
        <f>IF($V966="","",INDEX('Per Line'!$J$2:$J$6001,$V966))</f>
        <v/>
      </c>
      <c r="I966" s="7">
        <f>IF($V966="","",H966*S966/100)</f>
        <v/>
      </c>
      <c r="J966">
        <f>IF($V966="","",INDEX('Per Line'!$S$2:$S$6001,$V966)&amp;"")</f>
        <v/>
      </c>
      <c r="K966" s="7">
        <f>IF($V966="","",SUMIFS('Per Line'!$R$2:$R$6001,'Per Line'!$C$2:$C$6001,$B966,'Per Line'!$AJ$2:$AJ$6001,1))</f>
        <v/>
      </c>
      <c r="L966">
        <f>IF($V966="","",Settings!$C$7)</f>
        <v/>
      </c>
      <c r="M966" s="7">
        <f>IF($V966="","",SUMIFS('Per Line'!$R$2:$R$6001,'Per Line'!$C$2:$C$6001,$B966,'Per Line'!$AI$2:$AI$6001,0,'Per Line'!$AJ$2:$AJ$6001,0))</f>
        <v/>
      </c>
      <c r="N966" s="7">
        <f>IF($V966="","",M966*L966)</f>
        <v/>
      </c>
      <c r="O966">
        <f>IF($V966="","",Settings!$C$6)</f>
        <v/>
      </c>
      <c r="P966" s="7">
        <f>IF($V966="","",SUMIFS('Per Line'!$R$2:$R$6001,'Per Line'!$C$2:$C$6001,$B966,'Per Line'!$AI$2:$AI$6001,1,'Per Line'!$AJ$2:$AJ$6001,0))</f>
        <v/>
      </c>
      <c r="Q966" s="7">
        <f>IF($V966="","",P966*O966)</f>
        <v/>
      </c>
      <c r="R966" s="7">
        <f>IF($V966="","",Q966+N966)</f>
        <v/>
      </c>
      <c r="S966" s="7">
        <f>IF($V966="","",T966-R966)</f>
        <v/>
      </c>
      <c r="T966" s="7">
        <f>IF($V966="","",M966+P966+K966)</f>
        <v/>
      </c>
      <c r="U966" s="7">
        <f>IF($V966="","",T966-R966-I966)</f>
        <v/>
      </c>
      <c r="V966" s="13">
        <f>IF(ROWS($V$2:$V966)&lt;=MAX('Per Line'!$AH$2:$AH$6001),MATCH(ROWS($V$2:$V966),'Per Line'!$AH$2:$AH$6001,0),"")</f>
        <v/>
      </c>
    </row>
    <row r="967">
      <c r="A967" s="12" t="n"/>
      <c r="B967">
        <f>IF($V967="","",INDEX('Per Line'!$C$2:$C$6001,$V967)&amp;"")</f>
        <v/>
      </c>
      <c r="C967" s="11">
        <f>IF($V967="","",INDEX('Per Line'!$D$2:$D$6001,$V967))</f>
        <v/>
      </c>
      <c r="D967">
        <f>IF($V967="","",INDEX('Per Line'!$E$2:$E$6001,$V967)&amp;"")</f>
        <v/>
      </c>
      <c r="E967">
        <f>IF($V967="","",INDEX('Per Line'!$G$2:$G$6001,$V967)&amp;"")</f>
        <v/>
      </c>
      <c r="F967">
        <f>IF($V967="","",INDEX('Per Line'!$H$2:$H$6001,$V967)&amp;"")</f>
        <v/>
      </c>
      <c r="G967">
        <f>IF($V967="","",INDEX('Per Line'!$I$2:$I$6001,$V967)&amp;"")</f>
        <v/>
      </c>
      <c r="H967">
        <f>IF($V967="","",INDEX('Per Line'!$J$2:$J$6001,$V967))</f>
        <v/>
      </c>
      <c r="I967" s="7">
        <f>IF($V967="","",H967*S967/100)</f>
        <v/>
      </c>
      <c r="J967">
        <f>IF($V967="","",INDEX('Per Line'!$S$2:$S$6001,$V967)&amp;"")</f>
        <v/>
      </c>
      <c r="K967" s="7">
        <f>IF($V967="","",SUMIFS('Per Line'!$R$2:$R$6001,'Per Line'!$C$2:$C$6001,$B967,'Per Line'!$AJ$2:$AJ$6001,1))</f>
        <v/>
      </c>
      <c r="L967">
        <f>IF($V967="","",Settings!$C$7)</f>
        <v/>
      </c>
      <c r="M967" s="7">
        <f>IF($V967="","",SUMIFS('Per Line'!$R$2:$R$6001,'Per Line'!$C$2:$C$6001,$B967,'Per Line'!$AI$2:$AI$6001,0,'Per Line'!$AJ$2:$AJ$6001,0))</f>
        <v/>
      </c>
      <c r="N967" s="7">
        <f>IF($V967="","",M967*L967)</f>
        <v/>
      </c>
      <c r="O967">
        <f>IF($V967="","",Settings!$C$6)</f>
        <v/>
      </c>
      <c r="P967" s="7">
        <f>IF($V967="","",SUMIFS('Per Line'!$R$2:$R$6001,'Per Line'!$C$2:$C$6001,$B967,'Per Line'!$AI$2:$AI$6001,1,'Per Line'!$AJ$2:$AJ$6001,0))</f>
        <v/>
      </c>
      <c r="Q967" s="7">
        <f>IF($V967="","",P967*O967)</f>
        <v/>
      </c>
      <c r="R967" s="7">
        <f>IF($V967="","",Q967+N967)</f>
        <v/>
      </c>
      <c r="S967" s="7">
        <f>IF($V967="","",T967-R967)</f>
        <v/>
      </c>
      <c r="T967" s="7">
        <f>IF($V967="","",M967+P967+K967)</f>
        <v/>
      </c>
      <c r="U967" s="7">
        <f>IF($V967="","",T967-R967-I967)</f>
        <v/>
      </c>
      <c r="V967" s="13">
        <f>IF(ROWS($V$2:$V967)&lt;=MAX('Per Line'!$AH$2:$AH$6001),MATCH(ROWS($V$2:$V967),'Per Line'!$AH$2:$AH$6001,0),"")</f>
        <v/>
      </c>
    </row>
    <row r="968">
      <c r="A968" s="12" t="n"/>
      <c r="B968">
        <f>IF($V968="","",INDEX('Per Line'!$C$2:$C$6001,$V968)&amp;"")</f>
        <v/>
      </c>
      <c r="C968" s="11">
        <f>IF($V968="","",INDEX('Per Line'!$D$2:$D$6001,$V968))</f>
        <v/>
      </c>
      <c r="D968">
        <f>IF($V968="","",INDEX('Per Line'!$E$2:$E$6001,$V968)&amp;"")</f>
        <v/>
      </c>
      <c r="E968">
        <f>IF($V968="","",INDEX('Per Line'!$G$2:$G$6001,$V968)&amp;"")</f>
        <v/>
      </c>
      <c r="F968">
        <f>IF($V968="","",INDEX('Per Line'!$H$2:$H$6001,$V968)&amp;"")</f>
        <v/>
      </c>
      <c r="G968">
        <f>IF($V968="","",INDEX('Per Line'!$I$2:$I$6001,$V968)&amp;"")</f>
        <v/>
      </c>
      <c r="H968">
        <f>IF($V968="","",INDEX('Per Line'!$J$2:$J$6001,$V968))</f>
        <v/>
      </c>
      <c r="I968" s="7">
        <f>IF($V968="","",H968*S968/100)</f>
        <v/>
      </c>
      <c r="J968">
        <f>IF($V968="","",INDEX('Per Line'!$S$2:$S$6001,$V968)&amp;"")</f>
        <v/>
      </c>
      <c r="K968" s="7">
        <f>IF($V968="","",SUMIFS('Per Line'!$R$2:$R$6001,'Per Line'!$C$2:$C$6001,$B968,'Per Line'!$AJ$2:$AJ$6001,1))</f>
        <v/>
      </c>
      <c r="L968">
        <f>IF($V968="","",Settings!$C$7)</f>
        <v/>
      </c>
      <c r="M968" s="7">
        <f>IF($V968="","",SUMIFS('Per Line'!$R$2:$R$6001,'Per Line'!$C$2:$C$6001,$B968,'Per Line'!$AI$2:$AI$6001,0,'Per Line'!$AJ$2:$AJ$6001,0))</f>
        <v/>
      </c>
      <c r="N968" s="7">
        <f>IF($V968="","",M968*L968)</f>
        <v/>
      </c>
      <c r="O968">
        <f>IF($V968="","",Settings!$C$6)</f>
        <v/>
      </c>
      <c r="P968" s="7">
        <f>IF($V968="","",SUMIFS('Per Line'!$R$2:$R$6001,'Per Line'!$C$2:$C$6001,$B968,'Per Line'!$AI$2:$AI$6001,1,'Per Line'!$AJ$2:$AJ$6001,0))</f>
        <v/>
      </c>
      <c r="Q968" s="7">
        <f>IF($V968="","",P968*O968)</f>
        <v/>
      </c>
      <c r="R968" s="7">
        <f>IF($V968="","",Q968+N968)</f>
        <v/>
      </c>
      <c r="S968" s="7">
        <f>IF($V968="","",T968-R968)</f>
        <v/>
      </c>
      <c r="T968" s="7">
        <f>IF($V968="","",M968+P968+K968)</f>
        <v/>
      </c>
      <c r="U968" s="7">
        <f>IF($V968="","",T968-R968-I968)</f>
        <v/>
      </c>
      <c r="V968" s="13">
        <f>IF(ROWS($V$2:$V968)&lt;=MAX('Per Line'!$AH$2:$AH$6001),MATCH(ROWS($V$2:$V968),'Per Line'!$AH$2:$AH$6001,0),"")</f>
        <v/>
      </c>
    </row>
    <row r="969">
      <c r="A969" s="12" t="n"/>
      <c r="B969">
        <f>IF($V969="","",INDEX('Per Line'!$C$2:$C$6001,$V969)&amp;"")</f>
        <v/>
      </c>
      <c r="C969" s="11">
        <f>IF($V969="","",INDEX('Per Line'!$D$2:$D$6001,$V969))</f>
        <v/>
      </c>
      <c r="D969">
        <f>IF($V969="","",INDEX('Per Line'!$E$2:$E$6001,$V969)&amp;"")</f>
        <v/>
      </c>
      <c r="E969">
        <f>IF($V969="","",INDEX('Per Line'!$G$2:$G$6001,$V969)&amp;"")</f>
        <v/>
      </c>
      <c r="F969">
        <f>IF($V969="","",INDEX('Per Line'!$H$2:$H$6001,$V969)&amp;"")</f>
        <v/>
      </c>
      <c r="G969">
        <f>IF($V969="","",INDEX('Per Line'!$I$2:$I$6001,$V969)&amp;"")</f>
        <v/>
      </c>
      <c r="H969">
        <f>IF($V969="","",INDEX('Per Line'!$J$2:$J$6001,$V969))</f>
        <v/>
      </c>
      <c r="I969" s="7">
        <f>IF($V969="","",H969*S969/100)</f>
        <v/>
      </c>
      <c r="J969">
        <f>IF($V969="","",INDEX('Per Line'!$S$2:$S$6001,$V969)&amp;"")</f>
        <v/>
      </c>
      <c r="K969" s="7">
        <f>IF($V969="","",SUMIFS('Per Line'!$R$2:$R$6001,'Per Line'!$C$2:$C$6001,$B969,'Per Line'!$AJ$2:$AJ$6001,1))</f>
        <v/>
      </c>
      <c r="L969">
        <f>IF($V969="","",Settings!$C$7)</f>
        <v/>
      </c>
      <c r="M969" s="7">
        <f>IF($V969="","",SUMIFS('Per Line'!$R$2:$R$6001,'Per Line'!$C$2:$C$6001,$B969,'Per Line'!$AI$2:$AI$6001,0,'Per Line'!$AJ$2:$AJ$6001,0))</f>
        <v/>
      </c>
      <c r="N969" s="7">
        <f>IF($V969="","",M969*L969)</f>
        <v/>
      </c>
      <c r="O969">
        <f>IF($V969="","",Settings!$C$6)</f>
        <v/>
      </c>
      <c r="P969" s="7">
        <f>IF($V969="","",SUMIFS('Per Line'!$R$2:$R$6001,'Per Line'!$C$2:$C$6001,$B969,'Per Line'!$AI$2:$AI$6001,1,'Per Line'!$AJ$2:$AJ$6001,0))</f>
        <v/>
      </c>
      <c r="Q969" s="7">
        <f>IF($V969="","",P969*O969)</f>
        <v/>
      </c>
      <c r="R969" s="7">
        <f>IF($V969="","",Q969+N969)</f>
        <v/>
      </c>
      <c r="S969" s="7">
        <f>IF($V969="","",T969-R969)</f>
        <v/>
      </c>
      <c r="T969" s="7">
        <f>IF($V969="","",M969+P969+K969)</f>
        <v/>
      </c>
      <c r="U969" s="7">
        <f>IF($V969="","",T969-R969-I969)</f>
        <v/>
      </c>
      <c r="V969" s="13">
        <f>IF(ROWS($V$2:$V969)&lt;=MAX('Per Line'!$AH$2:$AH$6001),MATCH(ROWS($V$2:$V969),'Per Line'!$AH$2:$AH$6001,0),"")</f>
        <v/>
      </c>
    </row>
    <row r="970">
      <c r="A970" s="12" t="n"/>
      <c r="B970">
        <f>IF($V970="","",INDEX('Per Line'!$C$2:$C$6001,$V970)&amp;"")</f>
        <v/>
      </c>
      <c r="C970" s="11">
        <f>IF($V970="","",INDEX('Per Line'!$D$2:$D$6001,$V970))</f>
        <v/>
      </c>
      <c r="D970">
        <f>IF($V970="","",INDEX('Per Line'!$E$2:$E$6001,$V970)&amp;"")</f>
        <v/>
      </c>
      <c r="E970">
        <f>IF($V970="","",INDEX('Per Line'!$G$2:$G$6001,$V970)&amp;"")</f>
        <v/>
      </c>
      <c r="F970">
        <f>IF($V970="","",INDEX('Per Line'!$H$2:$H$6001,$V970)&amp;"")</f>
        <v/>
      </c>
      <c r="G970">
        <f>IF($V970="","",INDEX('Per Line'!$I$2:$I$6001,$V970)&amp;"")</f>
        <v/>
      </c>
      <c r="H970">
        <f>IF($V970="","",INDEX('Per Line'!$J$2:$J$6001,$V970))</f>
        <v/>
      </c>
      <c r="I970" s="7">
        <f>IF($V970="","",H970*S970/100)</f>
        <v/>
      </c>
      <c r="J970">
        <f>IF($V970="","",INDEX('Per Line'!$S$2:$S$6001,$V970)&amp;"")</f>
        <v/>
      </c>
      <c r="K970" s="7">
        <f>IF($V970="","",SUMIFS('Per Line'!$R$2:$R$6001,'Per Line'!$C$2:$C$6001,$B970,'Per Line'!$AJ$2:$AJ$6001,1))</f>
        <v/>
      </c>
      <c r="L970">
        <f>IF($V970="","",Settings!$C$7)</f>
        <v/>
      </c>
      <c r="M970" s="7">
        <f>IF($V970="","",SUMIFS('Per Line'!$R$2:$R$6001,'Per Line'!$C$2:$C$6001,$B970,'Per Line'!$AI$2:$AI$6001,0,'Per Line'!$AJ$2:$AJ$6001,0))</f>
        <v/>
      </c>
      <c r="N970" s="7">
        <f>IF($V970="","",M970*L970)</f>
        <v/>
      </c>
      <c r="O970">
        <f>IF($V970="","",Settings!$C$6)</f>
        <v/>
      </c>
      <c r="P970" s="7">
        <f>IF($V970="","",SUMIFS('Per Line'!$R$2:$R$6001,'Per Line'!$C$2:$C$6001,$B970,'Per Line'!$AI$2:$AI$6001,1,'Per Line'!$AJ$2:$AJ$6001,0))</f>
        <v/>
      </c>
      <c r="Q970" s="7">
        <f>IF($V970="","",P970*O970)</f>
        <v/>
      </c>
      <c r="R970" s="7">
        <f>IF($V970="","",Q970+N970)</f>
        <v/>
      </c>
      <c r="S970" s="7">
        <f>IF($V970="","",T970-R970)</f>
        <v/>
      </c>
      <c r="T970" s="7">
        <f>IF($V970="","",M970+P970+K970)</f>
        <v/>
      </c>
      <c r="U970" s="7">
        <f>IF($V970="","",T970-R970-I970)</f>
        <v/>
      </c>
      <c r="V970" s="13">
        <f>IF(ROWS($V$2:$V970)&lt;=MAX('Per Line'!$AH$2:$AH$6001),MATCH(ROWS($V$2:$V970),'Per Line'!$AH$2:$AH$6001,0),"")</f>
        <v/>
      </c>
    </row>
    <row r="971">
      <c r="A971" s="12" t="n"/>
      <c r="B971">
        <f>IF($V971="","",INDEX('Per Line'!$C$2:$C$6001,$V971)&amp;"")</f>
        <v/>
      </c>
      <c r="C971" s="11">
        <f>IF($V971="","",INDEX('Per Line'!$D$2:$D$6001,$V971))</f>
        <v/>
      </c>
      <c r="D971">
        <f>IF($V971="","",INDEX('Per Line'!$E$2:$E$6001,$V971)&amp;"")</f>
        <v/>
      </c>
      <c r="E971">
        <f>IF($V971="","",INDEX('Per Line'!$G$2:$G$6001,$V971)&amp;"")</f>
        <v/>
      </c>
      <c r="F971">
        <f>IF($V971="","",INDEX('Per Line'!$H$2:$H$6001,$V971)&amp;"")</f>
        <v/>
      </c>
      <c r="G971">
        <f>IF($V971="","",INDEX('Per Line'!$I$2:$I$6001,$V971)&amp;"")</f>
        <v/>
      </c>
      <c r="H971">
        <f>IF($V971="","",INDEX('Per Line'!$J$2:$J$6001,$V971))</f>
        <v/>
      </c>
      <c r="I971" s="7">
        <f>IF($V971="","",H971*S971/100)</f>
        <v/>
      </c>
      <c r="J971">
        <f>IF($V971="","",INDEX('Per Line'!$S$2:$S$6001,$V971)&amp;"")</f>
        <v/>
      </c>
      <c r="K971" s="7">
        <f>IF($V971="","",SUMIFS('Per Line'!$R$2:$R$6001,'Per Line'!$C$2:$C$6001,$B971,'Per Line'!$AJ$2:$AJ$6001,1))</f>
        <v/>
      </c>
      <c r="L971">
        <f>IF($V971="","",Settings!$C$7)</f>
        <v/>
      </c>
      <c r="M971" s="7">
        <f>IF($V971="","",SUMIFS('Per Line'!$R$2:$R$6001,'Per Line'!$C$2:$C$6001,$B971,'Per Line'!$AI$2:$AI$6001,0,'Per Line'!$AJ$2:$AJ$6001,0))</f>
        <v/>
      </c>
      <c r="N971" s="7">
        <f>IF($V971="","",M971*L971)</f>
        <v/>
      </c>
      <c r="O971">
        <f>IF($V971="","",Settings!$C$6)</f>
        <v/>
      </c>
      <c r="P971" s="7">
        <f>IF($V971="","",SUMIFS('Per Line'!$R$2:$R$6001,'Per Line'!$C$2:$C$6001,$B971,'Per Line'!$AI$2:$AI$6001,1,'Per Line'!$AJ$2:$AJ$6001,0))</f>
        <v/>
      </c>
      <c r="Q971" s="7">
        <f>IF($V971="","",P971*O971)</f>
        <v/>
      </c>
      <c r="R971" s="7">
        <f>IF($V971="","",Q971+N971)</f>
        <v/>
      </c>
      <c r="S971" s="7">
        <f>IF($V971="","",T971-R971)</f>
        <v/>
      </c>
      <c r="T971" s="7">
        <f>IF($V971="","",M971+P971+K971)</f>
        <v/>
      </c>
      <c r="U971" s="7">
        <f>IF($V971="","",T971-R971-I971)</f>
        <v/>
      </c>
      <c r="V971" s="13">
        <f>IF(ROWS($V$2:$V971)&lt;=MAX('Per Line'!$AH$2:$AH$6001),MATCH(ROWS($V$2:$V971),'Per Line'!$AH$2:$AH$6001,0),"")</f>
        <v/>
      </c>
    </row>
    <row r="972">
      <c r="A972" s="12" t="n"/>
      <c r="B972">
        <f>IF($V972="","",INDEX('Per Line'!$C$2:$C$6001,$V972)&amp;"")</f>
        <v/>
      </c>
      <c r="C972" s="11">
        <f>IF($V972="","",INDEX('Per Line'!$D$2:$D$6001,$V972))</f>
        <v/>
      </c>
      <c r="D972">
        <f>IF($V972="","",INDEX('Per Line'!$E$2:$E$6001,$V972)&amp;"")</f>
        <v/>
      </c>
      <c r="E972">
        <f>IF($V972="","",INDEX('Per Line'!$G$2:$G$6001,$V972)&amp;"")</f>
        <v/>
      </c>
      <c r="F972">
        <f>IF($V972="","",INDEX('Per Line'!$H$2:$H$6001,$V972)&amp;"")</f>
        <v/>
      </c>
      <c r="G972">
        <f>IF($V972="","",INDEX('Per Line'!$I$2:$I$6001,$V972)&amp;"")</f>
        <v/>
      </c>
      <c r="H972">
        <f>IF($V972="","",INDEX('Per Line'!$J$2:$J$6001,$V972))</f>
        <v/>
      </c>
      <c r="I972" s="7">
        <f>IF($V972="","",H972*S972/100)</f>
        <v/>
      </c>
      <c r="J972">
        <f>IF($V972="","",INDEX('Per Line'!$S$2:$S$6001,$V972)&amp;"")</f>
        <v/>
      </c>
      <c r="K972" s="7">
        <f>IF($V972="","",SUMIFS('Per Line'!$R$2:$R$6001,'Per Line'!$C$2:$C$6001,$B972,'Per Line'!$AJ$2:$AJ$6001,1))</f>
        <v/>
      </c>
      <c r="L972">
        <f>IF($V972="","",Settings!$C$7)</f>
        <v/>
      </c>
      <c r="M972" s="7">
        <f>IF($V972="","",SUMIFS('Per Line'!$R$2:$R$6001,'Per Line'!$C$2:$C$6001,$B972,'Per Line'!$AI$2:$AI$6001,0,'Per Line'!$AJ$2:$AJ$6001,0))</f>
        <v/>
      </c>
      <c r="N972" s="7">
        <f>IF($V972="","",M972*L972)</f>
        <v/>
      </c>
      <c r="O972">
        <f>IF($V972="","",Settings!$C$6)</f>
        <v/>
      </c>
      <c r="P972" s="7">
        <f>IF($V972="","",SUMIFS('Per Line'!$R$2:$R$6001,'Per Line'!$C$2:$C$6001,$B972,'Per Line'!$AI$2:$AI$6001,1,'Per Line'!$AJ$2:$AJ$6001,0))</f>
        <v/>
      </c>
      <c r="Q972" s="7">
        <f>IF($V972="","",P972*O972)</f>
        <v/>
      </c>
      <c r="R972" s="7">
        <f>IF($V972="","",Q972+N972)</f>
        <v/>
      </c>
      <c r="S972" s="7">
        <f>IF($V972="","",T972-R972)</f>
        <v/>
      </c>
      <c r="T972" s="7">
        <f>IF($V972="","",M972+P972+K972)</f>
        <v/>
      </c>
      <c r="U972" s="7">
        <f>IF($V972="","",T972-R972-I972)</f>
        <v/>
      </c>
      <c r="V972" s="13">
        <f>IF(ROWS($V$2:$V972)&lt;=MAX('Per Line'!$AH$2:$AH$6001),MATCH(ROWS($V$2:$V972),'Per Line'!$AH$2:$AH$6001,0),"")</f>
        <v/>
      </c>
    </row>
    <row r="973">
      <c r="A973" s="12" t="n"/>
      <c r="B973">
        <f>IF($V973="","",INDEX('Per Line'!$C$2:$C$6001,$V973)&amp;"")</f>
        <v/>
      </c>
      <c r="C973" s="11">
        <f>IF($V973="","",INDEX('Per Line'!$D$2:$D$6001,$V973))</f>
        <v/>
      </c>
      <c r="D973">
        <f>IF($V973="","",INDEX('Per Line'!$E$2:$E$6001,$V973)&amp;"")</f>
        <v/>
      </c>
      <c r="E973">
        <f>IF($V973="","",INDEX('Per Line'!$G$2:$G$6001,$V973)&amp;"")</f>
        <v/>
      </c>
      <c r="F973">
        <f>IF($V973="","",INDEX('Per Line'!$H$2:$H$6001,$V973)&amp;"")</f>
        <v/>
      </c>
      <c r="G973">
        <f>IF($V973="","",INDEX('Per Line'!$I$2:$I$6001,$V973)&amp;"")</f>
        <v/>
      </c>
      <c r="H973">
        <f>IF($V973="","",INDEX('Per Line'!$J$2:$J$6001,$V973))</f>
        <v/>
      </c>
      <c r="I973" s="7">
        <f>IF($V973="","",H973*S973/100)</f>
        <v/>
      </c>
      <c r="J973">
        <f>IF($V973="","",INDEX('Per Line'!$S$2:$S$6001,$V973)&amp;"")</f>
        <v/>
      </c>
      <c r="K973" s="7">
        <f>IF($V973="","",SUMIFS('Per Line'!$R$2:$R$6001,'Per Line'!$C$2:$C$6001,$B973,'Per Line'!$AJ$2:$AJ$6001,1))</f>
        <v/>
      </c>
      <c r="L973">
        <f>IF($V973="","",Settings!$C$7)</f>
        <v/>
      </c>
      <c r="M973" s="7">
        <f>IF($V973="","",SUMIFS('Per Line'!$R$2:$R$6001,'Per Line'!$C$2:$C$6001,$B973,'Per Line'!$AI$2:$AI$6001,0,'Per Line'!$AJ$2:$AJ$6001,0))</f>
        <v/>
      </c>
      <c r="N973" s="7">
        <f>IF($V973="","",M973*L973)</f>
        <v/>
      </c>
      <c r="O973">
        <f>IF($V973="","",Settings!$C$6)</f>
        <v/>
      </c>
      <c r="P973" s="7">
        <f>IF($V973="","",SUMIFS('Per Line'!$R$2:$R$6001,'Per Line'!$C$2:$C$6001,$B973,'Per Line'!$AI$2:$AI$6001,1,'Per Line'!$AJ$2:$AJ$6001,0))</f>
        <v/>
      </c>
      <c r="Q973" s="7">
        <f>IF($V973="","",P973*O973)</f>
        <v/>
      </c>
      <c r="R973" s="7">
        <f>IF($V973="","",Q973+N973)</f>
        <v/>
      </c>
      <c r="S973" s="7">
        <f>IF($V973="","",T973-R973)</f>
        <v/>
      </c>
      <c r="T973" s="7">
        <f>IF($V973="","",M973+P973+K973)</f>
        <v/>
      </c>
      <c r="U973" s="7">
        <f>IF($V973="","",T973-R973-I973)</f>
        <v/>
      </c>
      <c r="V973" s="13">
        <f>IF(ROWS($V$2:$V973)&lt;=MAX('Per Line'!$AH$2:$AH$6001),MATCH(ROWS($V$2:$V973),'Per Line'!$AH$2:$AH$6001,0),"")</f>
        <v/>
      </c>
    </row>
    <row r="974">
      <c r="A974" s="12" t="n"/>
      <c r="B974">
        <f>IF($V974="","",INDEX('Per Line'!$C$2:$C$6001,$V974)&amp;"")</f>
        <v/>
      </c>
      <c r="C974" s="11">
        <f>IF($V974="","",INDEX('Per Line'!$D$2:$D$6001,$V974))</f>
        <v/>
      </c>
      <c r="D974">
        <f>IF($V974="","",INDEX('Per Line'!$E$2:$E$6001,$V974)&amp;"")</f>
        <v/>
      </c>
      <c r="E974">
        <f>IF($V974="","",INDEX('Per Line'!$G$2:$G$6001,$V974)&amp;"")</f>
        <v/>
      </c>
      <c r="F974">
        <f>IF($V974="","",INDEX('Per Line'!$H$2:$H$6001,$V974)&amp;"")</f>
        <v/>
      </c>
      <c r="G974">
        <f>IF($V974="","",INDEX('Per Line'!$I$2:$I$6001,$V974)&amp;"")</f>
        <v/>
      </c>
      <c r="H974">
        <f>IF($V974="","",INDEX('Per Line'!$J$2:$J$6001,$V974))</f>
        <v/>
      </c>
      <c r="I974" s="7">
        <f>IF($V974="","",H974*S974/100)</f>
        <v/>
      </c>
      <c r="J974">
        <f>IF($V974="","",INDEX('Per Line'!$S$2:$S$6001,$V974)&amp;"")</f>
        <v/>
      </c>
      <c r="K974" s="7">
        <f>IF($V974="","",SUMIFS('Per Line'!$R$2:$R$6001,'Per Line'!$C$2:$C$6001,$B974,'Per Line'!$AJ$2:$AJ$6001,1))</f>
        <v/>
      </c>
      <c r="L974">
        <f>IF($V974="","",Settings!$C$7)</f>
        <v/>
      </c>
      <c r="M974" s="7">
        <f>IF($V974="","",SUMIFS('Per Line'!$R$2:$R$6001,'Per Line'!$C$2:$C$6001,$B974,'Per Line'!$AI$2:$AI$6001,0,'Per Line'!$AJ$2:$AJ$6001,0))</f>
        <v/>
      </c>
      <c r="N974" s="7">
        <f>IF($V974="","",M974*L974)</f>
        <v/>
      </c>
      <c r="O974">
        <f>IF($V974="","",Settings!$C$6)</f>
        <v/>
      </c>
      <c r="P974" s="7">
        <f>IF($V974="","",SUMIFS('Per Line'!$R$2:$R$6001,'Per Line'!$C$2:$C$6001,$B974,'Per Line'!$AI$2:$AI$6001,1,'Per Line'!$AJ$2:$AJ$6001,0))</f>
        <v/>
      </c>
      <c r="Q974" s="7">
        <f>IF($V974="","",P974*O974)</f>
        <v/>
      </c>
      <c r="R974" s="7">
        <f>IF($V974="","",Q974+N974)</f>
        <v/>
      </c>
      <c r="S974" s="7">
        <f>IF($V974="","",T974-R974)</f>
        <v/>
      </c>
      <c r="T974" s="7">
        <f>IF($V974="","",M974+P974+K974)</f>
        <v/>
      </c>
      <c r="U974" s="7">
        <f>IF($V974="","",T974-R974-I974)</f>
        <v/>
      </c>
      <c r="V974" s="13">
        <f>IF(ROWS($V$2:$V974)&lt;=MAX('Per Line'!$AH$2:$AH$6001),MATCH(ROWS($V$2:$V974),'Per Line'!$AH$2:$AH$6001,0),"")</f>
        <v/>
      </c>
    </row>
    <row r="975">
      <c r="A975" s="12" t="n"/>
      <c r="B975">
        <f>IF($V975="","",INDEX('Per Line'!$C$2:$C$6001,$V975)&amp;"")</f>
        <v/>
      </c>
      <c r="C975" s="11">
        <f>IF($V975="","",INDEX('Per Line'!$D$2:$D$6001,$V975))</f>
        <v/>
      </c>
      <c r="D975">
        <f>IF($V975="","",INDEX('Per Line'!$E$2:$E$6001,$V975)&amp;"")</f>
        <v/>
      </c>
      <c r="E975">
        <f>IF($V975="","",INDEX('Per Line'!$G$2:$G$6001,$V975)&amp;"")</f>
        <v/>
      </c>
      <c r="F975">
        <f>IF($V975="","",INDEX('Per Line'!$H$2:$H$6001,$V975)&amp;"")</f>
        <v/>
      </c>
      <c r="G975">
        <f>IF($V975="","",INDEX('Per Line'!$I$2:$I$6001,$V975)&amp;"")</f>
        <v/>
      </c>
      <c r="H975">
        <f>IF($V975="","",INDEX('Per Line'!$J$2:$J$6001,$V975))</f>
        <v/>
      </c>
      <c r="I975" s="7">
        <f>IF($V975="","",H975*S975/100)</f>
        <v/>
      </c>
      <c r="J975">
        <f>IF($V975="","",INDEX('Per Line'!$S$2:$S$6001,$V975)&amp;"")</f>
        <v/>
      </c>
      <c r="K975" s="7">
        <f>IF($V975="","",SUMIFS('Per Line'!$R$2:$R$6001,'Per Line'!$C$2:$C$6001,$B975,'Per Line'!$AJ$2:$AJ$6001,1))</f>
        <v/>
      </c>
      <c r="L975">
        <f>IF($V975="","",Settings!$C$7)</f>
        <v/>
      </c>
      <c r="M975" s="7">
        <f>IF($V975="","",SUMIFS('Per Line'!$R$2:$R$6001,'Per Line'!$C$2:$C$6001,$B975,'Per Line'!$AI$2:$AI$6001,0,'Per Line'!$AJ$2:$AJ$6001,0))</f>
        <v/>
      </c>
      <c r="N975" s="7">
        <f>IF($V975="","",M975*L975)</f>
        <v/>
      </c>
      <c r="O975">
        <f>IF($V975="","",Settings!$C$6)</f>
        <v/>
      </c>
      <c r="P975" s="7">
        <f>IF($V975="","",SUMIFS('Per Line'!$R$2:$R$6001,'Per Line'!$C$2:$C$6001,$B975,'Per Line'!$AI$2:$AI$6001,1,'Per Line'!$AJ$2:$AJ$6001,0))</f>
        <v/>
      </c>
      <c r="Q975" s="7">
        <f>IF($V975="","",P975*O975)</f>
        <v/>
      </c>
      <c r="R975" s="7">
        <f>IF($V975="","",Q975+N975)</f>
        <v/>
      </c>
      <c r="S975" s="7">
        <f>IF($V975="","",T975-R975)</f>
        <v/>
      </c>
      <c r="T975" s="7">
        <f>IF($V975="","",M975+P975+K975)</f>
        <v/>
      </c>
      <c r="U975" s="7">
        <f>IF($V975="","",T975-R975-I975)</f>
        <v/>
      </c>
      <c r="V975" s="13">
        <f>IF(ROWS($V$2:$V975)&lt;=MAX('Per Line'!$AH$2:$AH$6001),MATCH(ROWS($V$2:$V975),'Per Line'!$AH$2:$AH$6001,0),"")</f>
        <v/>
      </c>
    </row>
    <row r="976">
      <c r="A976" s="12" t="n"/>
      <c r="B976">
        <f>IF($V976="","",INDEX('Per Line'!$C$2:$C$6001,$V976)&amp;"")</f>
        <v/>
      </c>
      <c r="C976" s="11">
        <f>IF($V976="","",INDEX('Per Line'!$D$2:$D$6001,$V976))</f>
        <v/>
      </c>
      <c r="D976">
        <f>IF($V976="","",INDEX('Per Line'!$E$2:$E$6001,$V976)&amp;"")</f>
        <v/>
      </c>
      <c r="E976">
        <f>IF($V976="","",INDEX('Per Line'!$G$2:$G$6001,$V976)&amp;"")</f>
        <v/>
      </c>
      <c r="F976">
        <f>IF($V976="","",INDEX('Per Line'!$H$2:$H$6001,$V976)&amp;"")</f>
        <v/>
      </c>
      <c r="G976">
        <f>IF($V976="","",INDEX('Per Line'!$I$2:$I$6001,$V976)&amp;"")</f>
        <v/>
      </c>
      <c r="H976">
        <f>IF($V976="","",INDEX('Per Line'!$J$2:$J$6001,$V976))</f>
        <v/>
      </c>
      <c r="I976" s="7">
        <f>IF($V976="","",H976*S976/100)</f>
        <v/>
      </c>
      <c r="J976">
        <f>IF($V976="","",INDEX('Per Line'!$S$2:$S$6001,$V976)&amp;"")</f>
        <v/>
      </c>
      <c r="K976" s="7">
        <f>IF($V976="","",SUMIFS('Per Line'!$R$2:$R$6001,'Per Line'!$C$2:$C$6001,$B976,'Per Line'!$AJ$2:$AJ$6001,1))</f>
        <v/>
      </c>
      <c r="L976">
        <f>IF($V976="","",Settings!$C$7)</f>
        <v/>
      </c>
      <c r="M976" s="7">
        <f>IF($V976="","",SUMIFS('Per Line'!$R$2:$R$6001,'Per Line'!$C$2:$C$6001,$B976,'Per Line'!$AI$2:$AI$6001,0,'Per Line'!$AJ$2:$AJ$6001,0))</f>
        <v/>
      </c>
      <c r="N976" s="7">
        <f>IF($V976="","",M976*L976)</f>
        <v/>
      </c>
      <c r="O976">
        <f>IF($V976="","",Settings!$C$6)</f>
        <v/>
      </c>
      <c r="P976" s="7">
        <f>IF($V976="","",SUMIFS('Per Line'!$R$2:$R$6001,'Per Line'!$C$2:$C$6001,$B976,'Per Line'!$AI$2:$AI$6001,1,'Per Line'!$AJ$2:$AJ$6001,0))</f>
        <v/>
      </c>
      <c r="Q976" s="7">
        <f>IF($V976="","",P976*O976)</f>
        <v/>
      </c>
      <c r="R976" s="7">
        <f>IF($V976="","",Q976+N976)</f>
        <v/>
      </c>
      <c r="S976" s="7">
        <f>IF($V976="","",T976-R976)</f>
        <v/>
      </c>
      <c r="T976" s="7">
        <f>IF($V976="","",M976+P976+K976)</f>
        <v/>
      </c>
      <c r="U976" s="7">
        <f>IF($V976="","",T976-R976-I976)</f>
        <v/>
      </c>
      <c r="V976" s="13">
        <f>IF(ROWS($V$2:$V976)&lt;=MAX('Per Line'!$AH$2:$AH$6001),MATCH(ROWS($V$2:$V976),'Per Line'!$AH$2:$AH$6001,0),"")</f>
        <v/>
      </c>
    </row>
    <row r="977">
      <c r="A977" s="12" t="n"/>
      <c r="B977">
        <f>IF($V977="","",INDEX('Per Line'!$C$2:$C$6001,$V977)&amp;"")</f>
        <v/>
      </c>
      <c r="C977" s="11">
        <f>IF($V977="","",INDEX('Per Line'!$D$2:$D$6001,$V977))</f>
        <v/>
      </c>
      <c r="D977">
        <f>IF($V977="","",INDEX('Per Line'!$E$2:$E$6001,$V977)&amp;"")</f>
        <v/>
      </c>
      <c r="E977">
        <f>IF($V977="","",INDEX('Per Line'!$G$2:$G$6001,$V977)&amp;"")</f>
        <v/>
      </c>
      <c r="F977">
        <f>IF($V977="","",INDEX('Per Line'!$H$2:$H$6001,$V977)&amp;"")</f>
        <v/>
      </c>
      <c r="G977">
        <f>IF($V977="","",INDEX('Per Line'!$I$2:$I$6001,$V977)&amp;"")</f>
        <v/>
      </c>
      <c r="H977">
        <f>IF($V977="","",INDEX('Per Line'!$J$2:$J$6001,$V977))</f>
        <v/>
      </c>
      <c r="I977" s="7">
        <f>IF($V977="","",H977*S977/100)</f>
        <v/>
      </c>
      <c r="J977">
        <f>IF($V977="","",INDEX('Per Line'!$S$2:$S$6001,$V977)&amp;"")</f>
        <v/>
      </c>
      <c r="K977" s="7">
        <f>IF($V977="","",SUMIFS('Per Line'!$R$2:$R$6001,'Per Line'!$C$2:$C$6001,$B977,'Per Line'!$AJ$2:$AJ$6001,1))</f>
        <v/>
      </c>
      <c r="L977">
        <f>IF($V977="","",Settings!$C$7)</f>
        <v/>
      </c>
      <c r="M977" s="7">
        <f>IF($V977="","",SUMIFS('Per Line'!$R$2:$R$6001,'Per Line'!$C$2:$C$6001,$B977,'Per Line'!$AI$2:$AI$6001,0,'Per Line'!$AJ$2:$AJ$6001,0))</f>
        <v/>
      </c>
      <c r="N977" s="7">
        <f>IF($V977="","",M977*L977)</f>
        <v/>
      </c>
      <c r="O977">
        <f>IF($V977="","",Settings!$C$6)</f>
        <v/>
      </c>
      <c r="P977" s="7">
        <f>IF($V977="","",SUMIFS('Per Line'!$R$2:$R$6001,'Per Line'!$C$2:$C$6001,$B977,'Per Line'!$AI$2:$AI$6001,1,'Per Line'!$AJ$2:$AJ$6001,0))</f>
        <v/>
      </c>
      <c r="Q977" s="7">
        <f>IF($V977="","",P977*O977)</f>
        <v/>
      </c>
      <c r="R977" s="7">
        <f>IF($V977="","",Q977+N977)</f>
        <v/>
      </c>
      <c r="S977" s="7">
        <f>IF($V977="","",T977-R977)</f>
        <v/>
      </c>
      <c r="T977" s="7">
        <f>IF($V977="","",M977+P977+K977)</f>
        <v/>
      </c>
      <c r="U977" s="7">
        <f>IF($V977="","",T977-R977-I977)</f>
        <v/>
      </c>
      <c r="V977" s="13">
        <f>IF(ROWS($V$2:$V977)&lt;=MAX('Per Line'!$AH$2:$AH$6001),MATCH(ROWS($V$2:$V977),'Per Line'!$AH$2:$AH$6001,0),"")</f>
        <v/>
      </c>
    </row>
    <row r="978">
      <c r="A978" s="12" t="n"/>
      <c r="B978">
        <f>IF($V978="","",INDEX('Per Line'!$C$2:$C$6001,$V978)&amp;"")</f>
        <v/>
      </c>
      <c r="C978" s="11">
        <f>IF($V978="","",INDEX('Per Line'!$D$2:$D$6001,$V978))</f>
        <v/>
      </c>
      <c r="D978">
        <f>IF($V978="","",INDEX('Per Line'!$E$2:$E$6001,$V978)&amp;"")</f>
        <v/>
      </c>
      <c r="E978">
        <f>IF($V978="","",INDEX('Per Line'!$G$2:$G$6001,$V978)&amp;"")</f>
        <v/>
      </c>
      <c r="F978">
        <f>IF($V978="","",INDEX('Per Line'!$H$2:$H$6001,$V978)&amp;"")</f>
        <v/>
      </c>
      <c r="G978">
        <f>IF($V978="","",INDEX('Per Line'!$I$2:$I$6001,$V978)&amp;"")</f>
        <v/>
      </c>
      <c r="H978">
        <f>IF($V978="","",INDEX('Per Line'!$J$2:$J$6001,$V978))</f>
        <v/>
      </c>
      <c r="I978" s="7">
        <f>IF($V978="","",H978*S978/100)</f>
        <v/>
      </c>
      <c r="J978">
        <f>IF($V978="","",INDEX('Per Line'!$S$2:$S$6001,$V978)&amp;"")</f>
        <v/>
      </c>
      <c r="K978" s="7">
        <f>IF($V978="","",SUMIFS('Per Line'!$R$2:$R$6001,'Per Line'!$C$2:$C$6001,$B978,'Per Line'!$AJ$2:$AJ$6001,1))</f>
        <v/>
      </c>
      <c r="L978">
        <f>IF($V978="","",Settings!$C$7)</f>
        <v/>
      </c>
      <c r="M978" s="7">
        <f>IF($V978="","",SUMIFS('Per Line'!$R$2:$R$6001,'Per Line'!$C$2:$C$6001,$B978,'Per Line'!$AI$2:$AI$6001,0,'Per Line'!$AJ$2:$AJ$6001,0))</f>
        <v/>
      </c>
      <c r="N978" s="7">
        <f>IF($V978="","",M978*L978)</f>
        <v/>
      </c>
      <c r="O978">
        <f>IF($V978="","",Settings!$C$6)</f>
        <v/>
      </c>
      <c r="P978" s="7">
        <f>IF($V978="","",SUMIFS('Per Line'!$R$2:$R$6001,'Per Line'!$C$2:$C$6001,$B978,'Per Line'!$AI$2:$AI$6001,1,'Per Line'!$AJ$2:$AJ$6001,0))</f>
        <v/>
      </c>
      <c r="Q978" s="7">
        <f>IF($V978="","",P978*O978)</f>
        <v/>
      </c>
      <c r="R978" s="7">
        <f>IF($V978="","",Q978+N978)</f>
        <v/>
      </c>
      <c r="S978" s="7">
        <f>IF($V978="","",T978-R978)</f>
        <v/>
      </c>
      <c r="T978" s="7">
        <f>IF($V978="","",M978+P978+K978)</f>
        <v/>
      </c>
      <c r="U978" s="7">
        <f>IF($V978="","",T978-R978-I978)</f>
        <v/>
      </c>
      <c r="V978" s="13">
        <f>IF(ROWS($V$2:$V978)&lt;=MAX('Per Line'!$AH$2:$AH$6001),MATCH(ROWS($V$2:$V978),'Per Line'!$AH$2:$AH$6001,0),"")</f>
        <v/>
      </c>
    </row>
    <row r="979">
      <c r="A979" s="12" t="n"/>
      <c r="B979">
        <f>IF($V979="","",INDEX('Per Line'!$C$2:$C$6001,$V979)&amp;"")</f>
        <v/>
      </c>
      <c r="C979" s="11">
        <f>IF($V979="","",INDEX('Per Line'!$D$2:$D$6001,$V979))</f>
        <v/>
      </c>
      <c r="D979">
        <f>IF($V979="","",INDEX('Per Line'!$E$2:$E$6001,$V979)&amp;"")</f>
        <v/>
      </c>
      <c r="E979">
        <f>IF($V979="","",INDEX('Per Line'!$G$2:$G$6001,$V979)&amp;"")</f>
        <v/>
      </c>
      <c r="F979">
        <f>IF($V979="","",INDEX('Per Line'!$H$2:$H$6001,$V979)&amp;"")</f>
        <v/>
      </c>
      <c r="G979">
        <f>IF($V979="","",INDEX('Per Line'!$I$2:$I$6001,$V979)&amp;"")</f>
        <v/>
      </c>
      <c r="H979">
        <f>IF($V979="","",INDEX('Per Line'!$J$2:$J$6001,$V979))</f>
        <v/>
      </c>
      <c r="I979" s="7">
        <f>IF($V979="","",H979*S979/100)</f>
        <v/>
      </c>
      <c r="J979">
        <f>IF($V979="","",INDEX('Per Line'!$S$2:$S$6001,$V979)&amp;"")</f>
        <v/>
      </c>
      <c r="K979" s="7">
        <f>IF($V979="","",SUMIFS('Per Line'!$R$2:$R$6001,'Per Line'!$C$2:$C$6001,$B979,'Per Line'!$AJ$2:$AJ$6001,1))</f>
        <v/>
      </c>
      <c r="L979">
        <f>IF($V979="","",Settings!$C$7)</f>
        <v/>
      </c>
      <c r="M979" s="7">
        <f>IF($V979="","",SUMIFS('Per Line'!$R$2:$R$6001,'Per Line'!$C$2:$C$6001,$B979,'Per Line'!$AI$2:$AI$6001,0,'Per Line'!$AJ$2:$AJ$6001,0))</f>
        <v/>
      </c>
      <c r="N979" s="7">
        <f>IF($V979="","",M979*L979)</f>
        <v/>
      </c>
      <c r="O979">
        <f>IF($V979="","",Settings!$C$6)</f>
        <v/>
      </c>
      <c r="P979" s="7">
        <f>IF($V979="","",SUMIFS('Per Line'!$R$2:$R$6001,'Per Line'!$C$2:$C$6001,$B979,'Per Line'!$AI$2:$AI$6001,1,'Per Line'!$AJ$2:$AJ$6001,0))</f>
        <v/>
      </c>
      <c r="Q979" s="7">
        <f>IF($V979="","",P979*O979)</f>
        <v/>
      </c>
      <c r="R979" s="7">
        <f>IF($V979="","",Q979+N979)</f>
        <v/>
      </c>
      <c r="S979" s="7">
        <f>IF($V979="","",T979-R979)</f>
        <v/>
      </c>
      <c r="T979" s="7">
        <f>IF($V979="","",M979+P979+K979)</f>
        <v/>
      </c>
      <c r="U979" s="7">
        <f>IF($V979="","",T979-R979-I979)</f>
        <v/>
      </c>
      <c r="V979" s="13">
        <f>IF(ROWS($V$2:$V979)&lt;=MAX('Per Line'!$AH$2:$AH$6001),MATCH(ROWS($V$2:$V979),'Per Line'!$AH$2:$AH$6001,0),"")</f>
        <v/>
      </c>
    </row>
    <row r="980">
      <c r="A980" s="12" t="n"/>
      <c r="B980">
        <f>IF($V980="","",INDEX('Per Line'!$C$2:$C$6001,$V980)&amp;"")</f>
        <v/>
      </c>
      <c r="C980" s="11">
        <f>IF($V980="","",INDEX('Per Line'!$D$2:$D$6001,$V980))</f>
        <v/>
      </c>
      <c r="D980">
        <f>IF($V980="","",INDEX('Per Line'!$E$2:$E$6001,$V980)&amp;"")</f>
        <v/>
      </c>
      <c r="E980">
        <f>IF($V980="","",INDEX('Per Line'!$G$2:$G$6001,$V980)&amp;"")</f>
        <v/>
      </c>
      <c r="F980">
        <f>IF($V980="","",INDEX('Per Line'!$H$2:$H$6001,$V980)&amp;"")</f>
        <v/>
      </c>
      <c r="G980">
        <f>IF($V980="","",INDEX('Per Line'!$I$2:$I$6001,$V980)&amp;"")</f>
        <v/>
      </c>
      <c r="H980">
        <f>IF($V980="","",INDEX('Per Line'!$J$2:$J$6001,$V980))</f>
        <v/>
      </c>
      <c r="I980" s="7">
        <f>IF($V980="","",H980*S980/100)</f>
        <v/>
      </c>
      <c r="J980">
        <f>IF($V980="","",INDEX('Per Line'!$S$2:$S$6001,$V980)&amp;"")</f>
        <v/>
      </c>
      <c r="K980" s="7">
        <f>IF($V980="","",SUMIFS('Per Line'!$R$2:$R$6001,'Per Line'!$C$2:$C$6001,$B980,'Per Line'!$AJ$2:$AJ$6001,1))</f>
        <v/>
      </c>
      <c r="L980">
        <f>IF($V980="","",Settings!$C$7)</f>
        <v/>
      </c>
      <c r="M980" s="7">
        <f>IF($V980="","",SUMIFS('Per Line'!$R$2:$R$6001,'Per Line'!$C$2:$C$6001,$B980,'Per Line'!$AI$2:$AI$6001,0,'Per Line'!$AJ$2:$AJ$6001,0))</f>
        <v/>
      </c>
      <c r="N980" s="7">
        <f>IF($V980="","",M980*L980)</f>
        <v/>
      </c>
      <c r="O980">
        <f>IF($V980="","",Settings!$C$6)</f>
        <v/>
      </c>
      <c r="P980" s="7">
        <f>IF($V980="","",SUMIFS('Per Line'!$R$2:$R$6001,'Per Line'!$C$2:$C$6001,$B980,'Per Line'!$AI$2:$AI$6001,1,'Per Line'!$AJ$2:$AJ$6001,0))</f>
        <v/>
      </c>
      <c r="Q980" s="7">
        <f>IF($V980="","",P980*O980)</f>
        <v/>
      </c>
      <c r="R980" s="7">
        <f>IF($V980="","",Q980+N980)</f>
        <v/>
      </c>
      <c r="S980" s="7">
        <f>IF($V980="","",T980-R980)</f>
        <v/>
      </c>
      <c r="T980" s="7">
        <f>IF($V980="","",M980+P980+K980)</f>
        <v/>
      </c>
      <c r="U980" s="7">
        <f>IF($V980="","",T980-R980-I980)</f>
        <v/>
      </c>
      <c r="V980" s="13">
        <f>IF(ROWS($V$2:$V980)&lt;=MAX('Per Line'!$AH$2:$AH$6001),MATCH(ROWS($V$2:$V980),'Per Line'!$AH$2:$AH$6001,0),"")</f>
        <v/>
      </c>
    </row>
    <row r="981">
      <c r="A981" s="12" t="n"/>
      <c r="B981">
        <f>IF($V981="","",INDEX('Per Line'!$C$2:$C$6001,$V981)&amp;"")</f>
        <v/>
      </c>
      <c r="C981" s="11">
        <f>IF($V981="","",INDEX('Per Line'!$D$2:$D$6001,$V981))</f>
        <v/>
      </c>
      <c r="D981">
        <f>IF($V981="","",INDEX('Per Line'!$E$2:$E$6001,$V981)&amp;"")</f>
        <v/>
      </c>
      <c r="E981">
        <f>IF($V981="","",INDEX('Per Line'!$G$2:$G$6001,$V981)&amp;"")</f>
        <v/>
      </c>
      <c r="F981">
        <f>IF($V981="","",INDEX('Per Line'!$H$2:$H$6001,$V981)&amp;"")</f>
        <v/>
      </c>
      <c r="G981">
        <f>IF($V981="","",INDEX('Per Line'!$I$2:$I$6001,$V981)&amp;"")</f>
        <v/>
      </c>
      <c r="H981">
        <f>IF($V981="","",INDEX('Per Line'!$J$2:$J$6001,$V981))</f>
        <v/>
      </c>
      <c r="I981" s="7">
        <f>IF($V981="","",H981*S981/100)</f>
        <v/>
      </c>
      <c r="J981">
        <f>IF($V981="","",INDEX('Per Line'!$S$2:$S$6001,$V981)&amp;"")</f>
        <v/>
      </c>
      <c r="K981" s="7">
        <f>IF($V981="","",SUMIFS('Per Line'!$R$2:$R$6001,'Per Line'!$C$2:$C$6001,$B981,'Per Line'!$AJ$2:$AJ$6001,1))</f>
        <v/>
      </c>
      <c r="L981">
        <f>IF($V981="","",Settings!$C$7)</f>
        <v/>
      </c>
      <c r="M981" s="7">
        <f>IF($V981="","",SUMIFS('Per Line'!$R$2:$R$6001,'Per Line'!$C$2:$C$6001,$B981,'Per Line'!$AI$2:$AI$6001,0,'Per Line'!$AJ$2:$AJ$6001,0))</f>
        <v/>
      </c>
      <c r="N981" s="7">
        <f>IF($V981="","",M981*L981)</f>
        <v/>
      </c>
      <c r="O981">
        <f>IF($V981="","",Settings!$C$6)</f>
        <v/>
      </c>
      <c r="P981" s="7">
        <f>IF($V981="","",SUMIFS('Per Line'!$R$2:$R$6001,'Per Line'!$C$2:$C$6001,$B981,'Per Line'!$AI$2:$AI$6001,1,'Per Line'!$AJ$2:$AJ$6001,0))</f>
        <v/>
      </c>
      <c r="Q981" s="7">
        <f>IF($V981="","",P981*O981)</f>
        <v/>
      </c>
      <c r="R981" s="7">
        <f>IF($V981="","",Q981+N981)</f>
        <v/>
      </c>
      <c r="S981" s="7">
        <f>IF($V981="","",T981-R981)</f>
        <v/>
      </c>
      <c r="T981" s="7">
        <f>IF($V981="","",M981+P981+K981)</f>
        <v/>
      </c>
      <c r="U981" s="7">
        <f>IF($V981="","",T981-R981-I981)</f>
        <v/>
      </c>
      <c r="V981" s="13">
        <f>IF(ROWS($V$2:$V981)&lt;=MAX('Per Line'!$AH$2:$AH$6001),MATCH(ROWS($V$2:$V981),'Per Line'!$AH$2:$AH$6001,0),"")</f>
        <v/>
      </c>
    </row>
    <row r="982">
      <c r="A982" s="12" t="n"/>
      <c r="B982">
        <f>IF($V982="","",INDEX('Per Line'!$C$2:$C$6001,$V982)&amp;"")</f>
        <v/>
      </c>
      <c r="C982" s="11">
        <f>IF($V982="","",INDEX('Per Line'!$D$2:$D$6001,$V982))</f>
        <v/>
      </c>
      <c r="D982">
        <f>IF($V982="","",INDEX('Per Line'!$E$2:$E$6001,$V982)&amp;"")</f>
        <v/>
      </c>
      <c r="E982">
        <f>IF($V982="","",INDEX('Per Line'!$G$2:$G$6001,$V982)&amp;"")</f>
        <v/>
      </c>
      <c r="F982">
        <f>IF($V982="","",INDEX('Per Line'!$H$2:$H$6001,$V982)&amp;"")</f>
        <v/>
      </c>
      <c r="G982">
        <f>IF($V982="","",INDEX('Per Line'!$I$2:$I$6001,$V982)&amp;"")</f>
        <v/>
      </c>
      <c r="H982">
        <f>IF($V982="","",INDEX('Per Line'!$J$2:$J$6001,$V982))</f>
        <v/>
      </c>
      <c r="I982" s="7">
        <f>IF($V982="","",H982*S982/100)</f>
        <v/>
      </c>
      <c r="J982">
        <f>IF($V982="","",INDEX('Per Line'!$S$2:$S$6001,$V982)&amp;"")</f>
        <v/>
      </c>
      <c r="K982" s="7">
        <f>IF($V982="","",SUMIFS('Per Line'!$R$2:$R$6001,'Per Line'!$C$2:$C$6001,$B982,'Per Line'!$AJ$2:$AJ$6001,1))</f>
        <v/>
      </c>
      <c r="L982">
        <f>IF($V982="","",Settings!$C$7)</f>
        <v/>
      </c>
      <c r="M982" s="7">
        <f>IF($V982="","",SUMIFS('Per Line'!$R$2:$R$6001,'Per Line'!$C$2:$C$6001,$B982,'Per Line'!$AI$2:$AI$6001,0,'Per Line'!$AJ$2:$AJ$6001,0))</f>
        <v/>
      </c>
      <c r="N982" s="7">
        <f>IF($V982="","",M982*L982)</f>
        <v/>
      </c>
      <c r="O982">
        <f>IF($V982="","",Settings!$C$6)</f>
        <v/>
      </c>
      <c r="P982" s="7">
        <f>IF($V982="","",SUMIFS('Per Line'!$R$2:$R$6001,'Per Line'!$C$2:$C$6001,$B982,'Per Line'!$AI$2:$AI$6001,1,'Per Line'!$AJ$2:$AJ$6001,0))</f>
        <v/>
      </c>
      <c r="Q982" s="7">
        <f>IF($V982="","",P982*O982)</f>
        <v/>
      </c>
      <c r="R982" s="7">
        <f>IF($V982="","",Q982+N982)</f>
        <v/>
      </c>
      <c r="S982" s="7">
        <f>IF($V982="","",T982-R982)</f>
        <v/>
      </c>
      <c r="T982" s="7">
        <f>IF($V982="","",M982+P982+K982)</f>
        <v/>
      </c>
      <c r="U982" s="7">
        <f>IF($V982="","",T982-R982-I982)</f>
        <v/>
      </c>
      <c r="V982" s="13">
        <f>IF(ROWS($V$2:$V982)&lt;=MAX('Per Line'!$AH$2:$AH$6001),MATCH(ROWS($V$2:$V982),'Per Line'!$AH$2:$AH$6001,0),"")</f>
        <v/>
      </c>
    </row>
    <row r="983">
      <c r="A983" s="12" t="n"/>
      <c r="B983">
        <f>IF($V983="","",INDEX('Per Line'!$C$2:$C$6001,$V983)&amp;"")</f>
        <v/>
      </c>
      <c r="C983" s="11">
        <f>IF($V983="","",INDEX('Per Line'!$D$2:$D$6001,$V983))</f>
        <v/>
      </c>
      <c r="D983">
        <f>IF($V983="","",INDEX('Per Line'!$E$2:$E$6001,$V983)&amp;"")</f>
        <v/>
      </c>
      <c r="E983">
        <f>IF($V983="","",INDEX('Per Line'!$G$2:$G$6001,$V983)&amp;"")</f>
        <v/>
      </c>
      <c r="F983">
        <f>IF($V983="","",INDEX('Per Line'!$H$2:$H$6001,$V983)&amp;"")</f>
        <v/>
      </c>
      <c r="G983">
        <f>IF($V983="","",INDEX('Per Line'!$I$2:$I$6001,$V983)&amp;"")</f>
        <v/>
      </c>
      <c r="H983">
        <f>IF($V983="","",INDEX('Per Line'!$J$2:$J$6001,$V983))</f>
        <v/>
      </c>
      <c r="I983" s="7">
        <f>IF($V983="","",H983*S983/100)</f>
        <v/>
      </c>
      <c r="J983">
        <f>IF($V983="","",INDEX('Per Line'!$S$2:$S$6001,$V983)&amp;"")</f>
        <v/>
      </c>
      <c r="K983" s="7">
        <f>IF($V983="","",SUMIFS('Per Line'!$R$2:$R$6001,'Per Line'!$C$2:$C$6001,$B983,'Per Line'!$AJ$2:$AJ$6001,1))</f>
        <v/>
      </c>
      <c r="L983">
        <f>IF($V983="","",Settings!$C$7)</f>
        <v/>
      </c>
      <c r="M983" s="7">
        <f>IF($V983="","",SUMIFS('Per Line'!$R$2:$R$6001,'Per Line'!$C$2:$C$6001,$B983,'Per Line'!$AI$2:$AI$6001,0,'Per Line'!$AJ$2:$AJ$6001,0))</f>
        <v/>
      </c>
      <c r="N983" s="7">
        <f>IF($V983="","",M983*L983)</f>
        <v/>
      </c>
      <c r="O983">
        <f>IF($V983="","",Settings!$C$6)</f>
        <v/>
      </c>
      <c r="P983" s="7">
        <f>IF($V983="","",SUMIFS('Per Line'!$R$2:$R$6001,'Per Line'!$C$2:$C$6001,$B983,'Per Line'!$AI$2:$AI$6001,1,'Per Line'!$AJ$2:$AJ$6001,0))</f>
        <v/>
      </c>
      <c r="Q983" s="7">
        <f>IF($V983="","",P983*O983)</f>
        <v/>
      </c>
      <c r="R983" s="7">
        <f>IF($V983="","",Q983+N983)</f>
        <v/>
      </c>
      <c r="S983" s="7">
        <f>IF($V983="","",T983-R983)</f>
        <v/>
      </c>
      <c r="T983" s="7">
        <f>IF($V983="","",M983+P983+K983)</f>
        <v/>
      </c>
      <c r="U983" s="7">
        <f>IF($V983="","",T983-R983-I983)</f>
        <v/>
      </c>
      <c r="V983" s="13">
        <f>IF(ROWS($V$2:$V983)&lt;=MAX('Per Line'!$AH$2:$AH$6001),MATCH(ROWS($V$2:$V983),'Per Line'!$AH$2:$AH$6001,0),"")</f>
        <v/>
      </c>
    </row>
    <row r="984">
      <c r="A984" s="12" t="n"/>
      <c r="B984">
        <f>IF($V984="","",INDEX('Per Line'!$C$2:$C$6001,$V984)&amp;"")</f>
        <v/>
      </c>
      <c r="C984" s="11">
        <f>IF($V984="","",INDEX('Per Line'!$D$2:$D$6001,$V984))</f>
        <v/>
      </c>
      <c r="D984">
        <f>IF($V984="","",INDEX('Per Line'!$E$2:$E$6001,$V984)&amp;"")</f>
        <v/>
      </c>
      <c r="E984">
        <f>IF($V984="","",INDEX('Per Line'!$G$2:$G$6001,$V984)&amp;"")</f>
        <v/>
      </c>
      <c r="F984">
        <f>IF($V984="","",INDEX('Per Line'!$H$2:$H$6001,$V984)&amp;"")</f>
        <v/>
      </c>
      <c r="G984">
        <f>IF($V984="","",INDEX('Per Line'!$I$2:$I$6001,$V984)&amp;"")</f>
        <v/>
      </c>
      <c r="H984">
        <f>IF($V984="","",INDEX('Per Line'!$J$2:$J$6001,$V984))</f>
        <v/>
      </c>
      <c r="I984" s="7">
        <f>IF($V984="","",H984*S984/100)</f>
        <v/>
      </c>
      <c r="J984">
        <f>IF($V984="","",INDEX('Per Line'!$S$2:$S$6001,$V984)&amp;"")</f>
        <v/>
      </c>
      <c r="K984" s="7">
        <f>IF($V984="","",SUMIFS('Per Line'!$R$2:$R$6001,'Per Line'!$C$2:$C$6001,$B984,'Per Line'!$AJ$2:$AJ$6001,1))</f>
        <v/>
      </c>
      <c r="L984">
        <f>IF($V984="","",Settings!$C$7)</f>
        <v/>
      </c>
      <c r="M984" s="7">
        <f>IF($V984="","",SUMIFS('Per Line'!$R$2:$R$6001,'Per Line'!$C$2:$C$6001,$B984,'Per Line'!$AI$2:$AI$6001,0,'Per Line'!$AJ$2:$AJ$6001,0))</f>
        <v/>
      </c>
      <c r="N984" s="7">
        <f>IF($V984="","",M984*L984)</f>
        <v/>
      </c>
      <c r="O984">
        <f>IF($V984="","",Settings!$C$6)</f>
        <v/>
      </c>
      <c r="P984" s="7">
        <f>IF($V984="","",SUMIFS('Per Line'!$R$2:$R$6001,'Per Line'!$C$2:$C$6001,$B984,'Per Line'!$AI$2:$AI$6001,1,'Per Line'!$AJ$2:$AJ$6001,0))</f>
        <v/>
      </c>
      <c r="Q984" s="7">
        <f>IF($V984="","",P984*O984)</f>
        <v/>
      </c>
      <c r="R984" s="7">
        <f>IF($V984="","",Q984+N984)</f>
        <v/>
      </c>
      <c r="S984" s="7">
        <f>IF($V984="","",T984-R984)</f>
        <v/>
      </c>
      <c r="T984" s="7">
        <f>IF($V984="","",M984+P984+K984)</f>
        <v/>
      </c>
      <c r="U984" s="7">
        <f>IF($V984="","",T984-R984-I984)</f>
        <v/>
      </c>
      <c r="V984" s="13">
        <f>IF(ROWS($V$2:$V984)&lt;=MAX('Per Line'!$AH$2:$AH$6001),MATCH(ROWS($V$2:$V984),'Per Line'!$AH$2:$AH$6001,0),"")</f>
        <v/>
      </c>
    </row>
    <row r="985">
      <c r="A985" s="12" t="n"/>
      <c r="B985">
        <f>IF($V985="","",INDEX('Per Line'!$C$2:$C$6001,$V985)&amp;"")</f>
        <v/>
      </c>
      <c r="C985" s="11">
        <f>IF($V985="","",INDEX('Per Line'!$D$2:$D$6001,$V985))</f>
        <v/>
      </c>
      <c r="D985">
        <f>IF($V985="","",INDEX('Per Line'!$E$2:$E$6001,$V985)&amp;"")</f>
        <v/>
      </c>
      <c r="E985">
        <f>IF($V985="","",INDEX('Per Line'!$G$2:$G$6001,$V985)&amp;"")</f>
        <v/>
      </c>
      <c r="F985">
        <f>IF($V985="","",INDEX('Per Line'!$H$2:$H$6001,$V985)&amp;"")</f>
        <v/>
      </c>
      <c r="G985">
        <f>IF($V985="","",INDEX('Per Line'!$I$2:$I$6001,$V985)&amp;"")</f>
        <v/>
      </c>
      <c r="H985">
        <f>IF($V985="","",INDEX('Per Line'!$J$2:$J$6001,$V985))</f>
        <v/>
      </c>
      <c r="I985" s="7">
        <f>IF($V985="","",H985*S985/100)</f>
        <v/>
      </c>
      <c r="J985">
        <f>IF($V985="","",INDEX('Per Line'!$S$2:$S$6001,$V985)&amp;"")</f>
        <v/>
      </c>
      <c r="K985" s="7">
        <f>IF($V985="","",SUMIFS('Per Line'!$R$2:$R$6001,'Per Line'!$C$2:$C$6001,$B985,'Per Line'!$AJ$2:$AJ$6001,1))</f>
        <v/>
      </c>
      <c r="L985">
        <f>IF($V985="","",Settings!$C$7)</f>
        <v/>
      </c>
      <c r="M985" s="7">
        <f>IF($V985="","",SUMIFS('Per Line'!$R$2:$R$6001,'Per Line'!$C$2:$C$6001,$B985,'Per Line'!$AI$2:$AI$6001,0,'Per Line'!$AJ$2:$AJ$6001,0))</f>
        <v/>
      </c>
      <c r="N985" s="7">
        <f>IF($V985="","",M985*L985)</f>
        <v/>
      </c>
      <c r="O985">
        <f>IF($V985="","",Settings!$C$6)</f>
        <v/>
      </c>
      <c r="P985" s="7">
        <f>IF($V985="","",SUMIFS('Per Line'!$R$2:$R$6001,'Per Line'!$C$2:$C$6001,$B985,'Per Line'!$AI$2:$AI$6001,1,'Per Line'!$AJ$2:$AJ$6001,0))</f>
        <v/>
      </c>
      <c r="Q985" s="7">
        <f>IF($V985="","",P985*O985)</f>
        <v/>
      </c>
      <c r="R985" s="7">
        <f>IF($V985="","",Q985+N985)</f>
        <v/>
      </c>
      <c r="S985" s="7">
        <f>IF($V985="","",T985-R985)</f>
        <v/>
      </c>
      <c r="T985" s="7">
        <f>IF($V985="","",M985+P985+K985)</f>
        <v/>
      </c>
      <c r="U985" s="7">
        <f>IF($V985="","",T985-R985-I985)</f>
        <v/>
      </c>
      <c r="V985" s="13">
        <f>IF(ROWS($V$2:$V985)&lt;=MAX('Per Line'!$AH$2:$AH$6001),MATCH(ROWS($V$2:$V985),'Per Line'!$AH$2:$AH$6001,0),"")</f>
        <v/>
      </c>
    </row>
    <row r="986">
      <c r="A986" s="12" t="n"/>
      <c r="B986">
        <f>IF($V986="","",INDEX('Per Line'!$C$2:$C$6001,$V986)&amp;"")</f>
        <v/>
      </c>
      <c r="C986" s="11">
        <f>IF($V986="","",INDEX('Per Line'!$D$2:$D$6001,$V986))</f>
        <v/>
      </c>
      <c r="D986">
        <f>IF($V986="","",INDEX('Per Line'!$E$2:$E$6001,$V986)&amp;"")</f>
        <v/>
      </c>
      <c r="E986">
        <f>IF($V986="","",INDEX('Per Line'!$G$2:$G$6001,$V986)&amp;"")</f>
        <v/>
      </c>
      <c r="F986">
        <f>IF($V986="","",INDEX('Per Line'!$H$2:$H$6001,$V986)&amp;"")</f>
        <v/>
      </c>
      <c r="G986">
        <f>IF($V986="","",INDEX('Per Line'!$I$2:$I$6001,$V986)&amp;"")</f>
        <v/>
      </c>
      <c r="H986">
        <f>IF($V986="","",INDEX('Per Line'!$J$2:$J$6001,$V986))</f>
        <v/>
      </c>
      <c r="I986" s="7">
        <f>IF($V986="","",H986*S986/100)</f>
        <v/>
      </c>
      <c r="J986">
        <f>IF($V986="","",INDEX('Per Line'!$S$2:$S$6001,$V986)&amp;"")</f>
        <v/>
      </c>
      <c r="K986" s="7">
        <f>IF($V986="","",SUMIFS('Per Line'!$R$2:$R$6001,'Per Line'!$C$2:$C$6001,$B986,'Per Line'!$AJ$2:$AJ$6001,1))</f>
        <v/>
      </c>
      <c r="L986">
        <f>IF($V986="","",Settings!$C$7)</f>
        <v/>
      </c>
      <c r="M986" s="7">
        <f>IF($V986="","",SUMIFS('Per Line'!$R$2:$R$6001,'Per Line'!$C$2:$C$6001,$B986,'Per Line'!$AI$2:$AI$6001,0,'Per Line'!$AJ$2:$AJ$6001,0))</f>
        <v/>
      </c>
      <c r="N986" s="7">
        <f>IF($V986="","",M986*L986)</f>
        <v/>
      </c>
      <c r="O986">
        <f>IF($V986="","",Settings!$C$6)</f>
        <v/>
      </c>
      <c r="P986" s="7">
        <f>IF($V986="","",SUMIFS('Per Line'!$R$2:$R$6001,'Per Line'!$C$2:$C$6001,$B986,'Per Line'!$AI$2:$AI$6001,1,'Per Line'!$AJ$2:$AJ$6001,0))</f>
        <v/>
      </c>
      <c r="Q986" s="7">
        <f>IF($V986="","",P986*O986)</f>
        <v/>
      </c>
      <c r="R986" s="7">
        <f>IF($V986="","",Q986+N986)</f>
        <v/>
      </c>
      <c r="S986" s="7">
        <f>IF($V986="","",T986-R986)</f>
        <v/>
      </c>
      <c r="T986" s="7">
        <f>IF($V986="","",M986+P986+K986)</f>
        <v/>
      </c>
      <c r="U986" s="7">
        <f>IF($V986="","",T986-R986-I986)</f>
        <v/>
      </c>
      <c r="V986" s="13">
        <f>IF(ROWS($V$2:$V986)&lt;=MAX('Per Line'!$AH$2:$AH$6001),MATCH(ROWS($V$2:$V986),'Per Line'!$AH$2:$AH$6001,0),"")</f>
        <v/>
      </c>
    </row>
    <row r="987">
      <c r="A987" s="12" t="n"/>
      <c r="B987">
        <f>IF($V987="","",INDEX('Per Line'!$C$2:$C$6001,$V987)&amp;"")</f>
        <v/>
      </c>
      <c r="C987" s="11">
        <f>IF($V987="","",INDEX('Per Line'!$D$2:$D$6001,$V987))</f>
        <v/>
      </c>
      <c r="D987">
        <f>IF($V987="","",INDEX('Per Line'!$E$2:$E$6001,$V987)&amp;"")</f>
        <v/>
      </c>
      <c r="E987">
        <f>IF($V987="","",INDEX('Per Line'!$G$2:$G$6001,$V987)&amp;"")</f>
        <v/>
      </c>
      <c r="F987">
        <f>IF($V987="","",INDEX('Per Line'!$H$2:$H$6001,$V987)&amp;"")</f>
        <v/>
      </c>
      <c r="G987">
        <f>IF($V987="","",INDEX('Per Line'!$I$2:$I$6001,$V987)&amp;"")</f>
        <v/>
      </c>
      <c r="H987">
        <f>IF($V987="","",INDEX('Per Line'!$J$2:$J$6001,$V987))</f>
        <v/>
      </c>
      <c r="I987" s="7">
        <f>IF($V987="","",H987*S987/100)</f>
        <v/>
      </c>
      <c r="J987">
        <f>IF($V987="","",INDEX('Per Line'!$S$2:$S$6001,$V987)&amp;"")</f>
        <v/>
      </c>
      <c r="K987" s="7">
        <f>IF($V987="","",SUMIFS('Per Line'!$R$2:$R$6001,'Per Line'!$C$2:$C$6001,$B987,'Per Line'!$AJ$2:$AJ$6001,1))</f>
        <v/>
      </c>
      <c r="L987">
        <f>IF($V987="","",Settings!$C$7)</f>
        <v/>
      </c>
      <c r="M987" s="7">
        <f>IF($V987="","",SUMIFS('Per Line'!$R$2:$R$6001,'Per Line'!$C$2:$C$6001,$B987,'Per Line'!$AI$2:$AI$6001,0,'Per Line'!$AJ$2:$AJ$6001,0))</f>
        <v/>
      </c>
      <c r="N987" s="7">
        <f>IF($V987="","",M987*L987)</f>
        <v/>
      </c>
      <c r="O987">
        <f>IF($V987="","",Settings!$C$6)</f>
        <v/>
      </c>
      <c r="P987" s="7">
        <f>IF($V987="","",SUMIFS('Per Line'!$R$2:$R$6001,'Per Line'!$C$2:$C$6001,$B987,'Per Line'!$AI$2:$AI$6001,1,'Per Line'!$AJ$2:$AJ$6001,0))</f>
        <v/>
      </c>
      <c r="Q987" s="7">
        <f>IF($V987="","",P987*O987)</f>
        <v/>
      </c>
      <c r="R987" s="7">
        <f>IF($V987="","",Q987+N987)</f>
        <v/>
      </c>
      <c r="S987" s="7">
        <f>IF($V987="","",T987-R987)</f>
        <v/>
      </c>
      <c r="T987" s="7">
        <f>IF($V987="","",M987+P987+K987)</f>
        <v/>
      </c>
      <c r="U987" s="7">
        <f>IF($V987="","",T987-R987-I987)</f>
        <v/>
      </c>
      <c r="V987" s="13">
        <f>IF(ROWS($V$2:$V987)&lt;=MAX('Per Line'!$AH$2:$AH$6001),MATCH(ROWS($V$2:$V987),'Per Line'!$AH$2:$AH$6001,0),"")</f>
        <v/>
      </c>
    </row>
    <row r="988">
      <c r="A988" s="12" t="n"/>
      <c r="B988">
        <f>IF($V988="","",INDEX('Per Line'!$C$2:$C$6001,$V988)&amp;"")</f>
        <v/>
      </c>
      <c r="C988" s="11">
        <f>IF($V988="","",INDEX('Per Line'!$D$2:$D$6001,$V988))</f>
        <v/>
      </c>
      <c r="D988">
        <f>IF($V988="","",INDEX('Per Line'!$E$2:$E$6001,$V988)&amp;"")</f>
        <v/>
      </c>
      <c r="E988">
        <f>IF($V988="","",INDEX('Per Line'!$G$2:$G$6001,$V988)&amp;"")</f>
        <v/>
      </c>
      <c r="F988">
        <f>IF($V988="","",INDEX('Per Line'!$H$2:$H$6001,$V988)&amp;"")</f>
        <v/>
      </c>
      <c r="G988">
        <f>IF($V988="","",INDEX('Per Line'!$I$2:$I$6001,$V988)&amp;"")</f>
        <v/>
      </c>
      <c r="H988">
        <f>IF($V988="","",INDEX('Per Line'!$J$2:$J$6001,$V988))</f>
        <v/>
      </c>
      <c r="I988" s="7">
        <f>IF($V988="","",H988*S988/100)</f>
        <v/>
      </c>
      <c r="J988">
        <f>IF($V988="","",INDEX('Per Line'!$S$2:$S$6001,$V988)&amp;"")</f>
        <v/>
      </c>
      <c r="K988" s="7">
        <f>IF($V988="","",SUMIFS('Per Line'!$R$2:$R$6001,'Per Line'!$C$2:$C$6001,$B988,'Per Line'!$AJ$2:$AJ$6001,1))</f>
        <v/>
      </c>
      <c r="L988">
        <f>IF($V988="","",Settings!$C$7)</f>
        <v/>
      </c>
      <c r="M988" s="7">
        <f>IF($V988="","",SUMIFS('Per Line'!$R$2:$R$6001,'Per Line'!$C$2:$C$6001,$B988,'Per Line'!$AI$2:$AI$6001,0,'Per Line'!$AJ$2:$AJ$6001,0))</f>
        <v/>
      </c>
      <c r="N988" s="7">
        <f>IF($V988="","",M988*L988)</f>
        <v/>
      </c>
      <c r="O988">
        <f>IF($V988="","",Settings!$C$6)</f>
        <v/>
      </c>
      <c r="P988" s="7">
        <f>IF($V988="","",SUMIFS('Per Line'!$R$2:$R$6001,'Per Line'!$C$2:$C$6001,$B988,'Per Line'!$AI$2:$AI$6001,1,'Per Line'!$AJ$2:$AJ$6001,0))</f>
        <v/>
      </c>
      <c r="Q988" s="7">
        <f>IF($V988="","",P988*O988)</f>
        <v/>
      </c>
      <c r="R988" s="7">
        <f>IF($V988="","",Q988+N988)</f>
        <v/>
      </c>
      <c r="S988" s="7">
        <f>IF($V988="","",T988-R988)</f>
        <v/>
      </c>
      <c r="T988" s="7">
        <f>IF($V988="","",M988+P988+K988)</f>
        <v/>
      </c>
      <c r="U988" s="7">
        <f>IF($V988="","",T988-R988-I988)</f>
        <v/>
      </c>
      <c r="V988" s="13">
        <f>IF(ROWS($V$2:$V988)&lt;=MAX('Per Line'!$AH$2:$AH$6001),MATCH(ROWS($V$2:$V988),'Per Line'!$AH$2:$AH$6001,0),"")</f>
        <v/>
      </c>
    </row>
    <row r="989">
      <c r="A989" s="12" t="n"/>
      <c r="B989">
        <f>IF($V989="","",INDEX('Per Line'!$C$2:$C$6001,$V989)&amp;"")</f>
        <v/>
      </c>
      <c r="C989" s="11">
        <f>IF($V989="","",INDEX('Per Line'!$D$2:$D$6001,$V989))</f>
        <v/>
      </c>
      <c r="D989">
        <f>IF($V989="","",INDEX('Per Line'!$E$2:$E$6001,$V989)&amp;"")</f>
        <v/>
      </c>
      <c r="E989">
        <f>IF($V989="","",INDEX('Per Line'!$G$2:$G$6001,$V989)&amp;"")</f>
        <v/>
      </c>
      <c r="F989">
        <f>IF($V989="","",INDEX('Per Line'!$H$2:$H$6001,$V989)&amp;"")</f>
        <v/>
      </c>
      <c r="G989">
        <f>IF($V989="","",INDEX('Per Line'!$I$2:$I$6001,$V989)&amp;"")</f>
        <v/>
      </c>
      <c r="H989">
        <f>IF($V989="","",INDEX('Per Line'!$J$2:$J$6001,$V989))</f>
        <v/>
      </c>
      <c r="I989" s="7">
        <f>IF($V989="","",H989*S989/100)</f>
        <v/>
      </c>
      <c r="J989">
        <f>IF($V989="","",INDEX('Per Line'!$S$2:$S$6001,$V989)&amp;"")</f>
        <v/>
      </c>
      <c r="K989" s="7">
        <f>IF($V989="","",SUMIFS('Per Line'!$R$2:$R$6001,'Per Line'!$C$2:$C$6001,$B989,'Per Line'!$AJ$2:$AJ$6001,1))</f>
        <v/>
      </c>
      <c r="L989">
        <f>IF($V989="","",Settings!$C$7)</f>
        <v/>
      </c>
      <c r="M989" s="7">
        <f>IF($V989="","",SUMIFS('Per Line'!$R$2:$R$6001,'Per Line'!$C$2:$C$6001,$B989,'Per Line'!$AI$2:$AI$6001,0,'Per Line'!$AJ$2:$AJ$6001,0))</f>
        <v/>
      </c>
      <c r="N989" s="7">
        <f>IF($V989="","",M989*L989)</f>
        <v/>
      </c>
      <c r="O989">
        <f>IF($V989="","",Settings!$C$6)</f>
        <v/>
      </c>
      <c r="P989" s="7">
        <f>IF($V989="","",SUMIFS('Per Line'!$R$2:$R$6001,'Per Line'!$C$2:$C$6001,$B989,'Per Line'!$AI$2:$AI$6001,1,'Per Line'!$AJ$2:$AJ$6001,0))</f>
        <v/>
      </c>
      <c r="Q989" s="7">
        <f>IF($V989="","",P989*O989)</f>
        <v/>
      </c>
      <c r="R989" s="7">
        <f>IF($V989="","",Q989+N989)</f>
        <v/>
      </c>
      <c r="S989" s="7">
        <f>IF($V989="","",T989-R989)</f>
        <v/>
      </c>
      <c r="T989" s="7">
        <f>IF($V989="","",M989+P989+K989)</f>
        <v/>
      </c>
      <c r="U989" s="7">
        <f>IF($V989="","",T989-R989-I989)</f>
        <v/>
      </c>
      <c r="V989" s="13">
        <f>IF(ROWS($V$2:$V989)&lt;=MAX('Per Line'!$AH$2:$AH$6001),MATCH(ROWS($V$2:$V989),'Per Line'!$AH$2:$AH$6001,0),"")</f>
        <v/>
      </c>
    </row>
    <row r="990">
      <c r="A990" s="12" t="n"/>
      <c r="B990">
        <f>IF($V990="","",INDEX('Per Line'!$C$2:$C$6001,$V990)&amp;"")</f>
        <v/>
      </c>
      <c r="C990" s="11">
        <f>IF($V990="","",INDEX('Per Line'!$D$2:$D$6001,$V990))</f>
        <v/>
      </c>
      <c r="D990">
        <f>IF($V990="","",INDEX('Per Line'!$E$2:$E$6001,$V990)&amp;"")</f>
        <v/>
      </c>
      <c r="E990">
        <f>IF($V990="","",INDEX('Per Line'!$G$2:$G$6001,$V990)&amp;"")</f>
        <v/>
      </c>
      <c r="F990">
        <f>IF($V990="","",INDEX('Per Line'!$H$2:$H$6001,$V990)&amp;"")</f>
        <v/>
      </c>
      <c r="G990">
        <f>IF($V990="","",INDEX('Per Line'!$I$2:$I$6001,$V990)&amp;"")</f>
        <v/>
      </c>
      <c r="H990">
        <f>IF($V990="","",INDEX('Per Line'!$J$2:$J$6001,$V990))</f>
        <v/>
      </c>
      <c r="I990" s="7">
        <f>IF($V990="","",H990*S990/100)</f>
        <v/>
      </c>
      <c r="J990">
        <f>IF($V990="","",INDEX('Per Line'!$S$2:$S$6001,$V990)&amp;"")</f>
        <v/>
      </c>
      <c r="K990" s="7">
        <f>IF($V990="","",SUMIFS('Per Line'!$R$2:$R$6001,'Per Line'!$C$2:$C$6001,$B990,'Per Line'!$AJ$2:$AJ$6001,1))</f>
        <v/>
      </c>
      <c r="L990">
        <f>IF($V990="","",Settings!$C$7)</f>
        <v/>
      </c>
      <c r="M990" s="7">
        <f>IF($V990="","",SUMIFS('Per Line'!$R$2:$R$6001,'Per Line'!$C$2:$C$6001,$B990,'Per Line'!$AI$2:$AI$6001,0,'Per Line'!$AJ$2:$AJ$6001,0))</f>
        <v/>
      </c>
      <c r="N990" s="7">
        <f>IF($V990="","",M990*L990)</f>
        <v/>
      </c>
      <c r="O990">
        <f>IF($V990="","",Settings!$C$6)</f>
        <v/>
      </c>
      <c r="P990" s="7">
        <f>IF($V990="","",SUMIFS('Per Line'!$R$2:$R$6001,'Per Line'!$C$2:$C$6001,$B990,'Per Line'!$AI$2:$AI$6001,1,'Per Line'!$AJ$2:$AJ$6001,0))</f>
        <v/>
      </c>
      <c r="Q990" s="7">
        <f>IF($V990="","",P990*O990)</f>
        <v/>
      </c>
      <c r="R990" s="7">
        <f>IF($V990="","",Q990+N990)</f>
        <v/>
      </c>
      <c r="S990" s="7">
        <f>IF($V990="","",T990-R990)</f>
        <v/>
      </c>
      <c r="T990" s="7">
        <f>IF($V990="","",M990+P990+K990)</f>
        <v/>
      </c>
      <c r="U990" s="7">
        <f>IF($V990="","",T990-R990-I990)</f>
        <v/>
      </c>
      <c r="V990" s="13">
        <f>IF(ROWS($V$2:$V990)&lt;=MAX('Per Line'!$AH$2:$AH$6001),MATCH(ROWS($V$2:$V990),'Per Line'!$AH$2:$AH$6001,0),"")</f>
        <v/>
      </c>
    </row>
    <row r="991">
      <c r="A991" s="12" t="n"/>
      <c r="B991">
        <f>IF($V991="","",INDEX('Per Line'!$C$2:$C$6001,$V991)&amp;"")</f>
        <v/>
      </c>
      <c r="C991" s="11">
        <f>IF($V991="","",INDEX('Per Line'!$D$2:$D$6001,$V991))</f>
        <v/>
      </c>
      <c r="D991">
        <f>IF($V991="","",INDEX('Per Line'!$E$2:$E$6001,$V991)&amp;"")</f>
        <v/>
      </c>
      <c r="E991">
        <f>IF($V991="","",INDEX('Per Line'!$G$2:$G$6001,$V991)&amp;"")</f>
        <v/>
      </c>
      <c r="F991">
        <f>IF($V991="","",INDEX('Per Line'!$H$2:$H$6001,$V991)&amp;"")</f>
        <v/>
      </c>
      <c r="G991">
        <f>IF($V991="","",INDEX('Per Line'!$I$2:$I$6001,$V991)&amp;"")</f>
        <v/>
      </c>
      <c r="H991">
        <f>IF($V991="","",INDEX('Per Line'!$J$2:$J$6001,$V991))</f>
        <v/>
      </c>
      <c r="I991" s="7">
        <f>IF($V991="","",H991*S991/100)</f>
        <v/>
      </c>
      <c r="J991">
        <f>IF($V991="","",INDEX('Per Line'!$S$2:$S$6001,$V991)&amp;"")</f>
        <v/>
      </c>
      <c r="K991" s="7">
        <f>IF($V991="","",SUMIFS('Per Line'!$R$2:$R$6001,'Per Line'!$C$2:$C$6001,$B991,'Per Line'!$AJ$2:$AJ$6001,1))</f>
        <v/>
      </c>
      <c r="L991">
        <f>IF($V991="","",Settings!$C$7)</f>
        <v/>
      </c>
      <c r="M991" s="7">
        <f>IF($V991="","",SUMIFS('Per Line'!$R$2:$R$6001,'Per Line'!$C$2:$C$6001,$B991,'Per Line'!$AI$2:$AI$6001,0,'Per Line'!$AJ$2:$AJ$6001,0))</f>
        <v/>
      </c>
      <c r="N991" s="7">
        <f>IF($V991="","",M991*L991)</f>
        <v/>
      </c>
      <c r="O991">
        <f>IF($V991="","",Settings!$C$6)</f>
        <v/>
      </c>
      <c r="P991" s="7">
        <f>IF($V991="","",SUMIFS('Per Line'!$R$2:$R$6001,'Per Line'!$C$2:$C$6001,$B991,'Per Line'!$AI$2:$AI$6001,1,'Per Line'!$AJ$2:$AJ$6001,0))</f>
        <v/>
      </c>
      <c r="Q991" s="7">
        <f>IF($V991="","",P991*O991)</f>
        <v/>
      </c>
      <c r="R991" s="7">
        <f>IF($V991="","",Q991+N991)</f>
        <v/>
      </c>
      <c r="S991" s="7">
        <f>IF($V991="","",T991-R991)</f>
        <v/>
      </c>
      <c r="T991" s="7">
        <f>IF($V991="","",M991+P991+K991)</f>
        <v/>
      </c>
      <c r="U991" s="7">
        <f>IF($V991="","",T991-R991-I991)</f>
        <v/>
      </c>
      <c r="V991" s="13">
        <f>IF(ROWS($V$2:$V991)&lt;=MAX('Per Line'!$AH$2:$AH$6001),MATCH(ROWS($V$2:$V991),'Per Line'!$AH$2:$AH$6001,0),"")</f>
        <v/>
      </c>
    </row>
    <row r="992">
      <c r="A992" s="12" t="n"/>
      <c r="B992">
        <f>IF($V992="","",INDEX('Per Line'!$C$2:$C$6001,$V992)&amp;"")</f>
        <v/>
      </c>
      <c r="C992" s="11">
        <f>IF($V992="","",INDEX('Per Line'!$D$2:$D$6001,$V992))</f>
        <v/>
      </c>
      <c r="D992">
        <f>IF($V992="","",INDEX('Per Line'!$E$2:$E$6001,$V992)&amp;"")</f>
        <v/>
      </c>
      <c r="E992">
        <f>IF($V992="","",INDEX('Per Line'!$G$2:$G$6001,$V992)&amp;"")</f>
        <v/>
      </c>
      <c r="F992">
        <f>IF($V992="","",INDEX('Per Line'!$H$2:$H$6001,$V992)&amp;"")</f>
        <v/>
      </c>
      <c r="G992">
        <f>IF($V992="","",INDEX('Per Line'!$I$2:$I$6001,$V992)&amp;"")</f>
        <v/>
      </c>
      <c r="H992">
        <f>IF($V992="","",INDEX('Per Line'!$J$2:$J$6001,$V992))</f>
        <v/>
      </c>
      <c r="I992" s="7">
        <f>IF($V992="","",H992*S992/100)</f>
        <v/>
      </c>
      <c r="J992">
        <f>IF($V992="","",INDEX('Per Line'!$S$2:$S$6001,$V992)&amp;"")</f>
        <v/>
      </c>
      <c r="K992" s="7">
        <f>IF($V992="","",SUMIFS('Per Line'!$R$2:$R$6001,'Per Line'!$C$2:$C$6001,$B992,'Per Line'!$AJ$2:$AJ$6001,1))</f>
        <v/>
      </c>
      <c r="L992">
        <f>IF($V992="","",Settings!$C$7)</f>
        <v/>
      </c>
      <c r="M992" s="7">
        <f>IF($V992="","",SUMIFS('Per Line'!$R$2:$R$6001,'Per Line'!$C$2:$C$6001,$B992,'Per Line'!$AI$2:$AI$6001,0,'Per Line'!$AJ$2:$AJ$6001,0))</f>
        <v/>
      </c>
      <c r="N992" s="7">
        <f>IF($V992="","",M992*L992)</f>
        <v/>
      </c>
      <c r="O992">
        <f>IF($V992="","",Settings!$C$6)</f>
        <v/>
      </c>
      <c r="P992" s="7">
        <f>IF($V992="","",SUMIFS('Per Line'!$R$2:$R$6001,'Per Line'!$C$2:$C$6001,$B992,'Per Line'!$AI$2:$AI$6001,1,'Per Line'!$AJ$2:$AJ$6001,0))</f>
        <v/>
      </c>
      <c r="Q992" s="7">
        <f>IF($V992="","",P992*O992)</f>
        <v/>
      </c>
      <c r="R992" s="7">
        <f>IF($V992="","",Q992+N992)</f>
        <v/>
      </c>
      <c r="S992" s="7">
        <f>IF($V992="","",T992-R992)</f>
        <v/>
      </c>
      <c r="T992" s="7">
        <f>IF($V992="","",M992+P992+K992)</f>
        <v/>
      </c>
      <c r="U992" s="7">
        <f>IF($V992="","",T992-R992-I992)</f>
        <v/>
      </c>
      <c r="V992" s="13">
        <f>IF(ROWS($V$2:$V992)&lt;=MAX('Per Line'!$AH$2:$AH$6001),MATCH(ROWS($V$2:$V992),'Per Line'!$AH$2:$AH$6001,0),"")</f>
        <v/>
      </c>
    </row>
    <row r="993">
      <c r="A993" s="12" t="n"/>
      <c r="B993">
        <f>IF($V993="","",INDEX('Per Line'!$C$2:$C$6001,$V993)&amp;"")</f>
        <v/>
      </c>
      <c r="C993" s="11">
        <f>IF($V993="","",INDEX('Per Line'!$D$2:$D$6001,$V993))</f>
        <v/>
      </c>
      <c r="D993">
        <f>IF($V993="","",INDEX('Per Line'!$E$2:$E$6001,$V993)&amp;"")</f>
        <v/>
      </c>
      <c r="E993">
        <f>IF($V993="","",INDEX('Per Line'!$G$2:$G$6001,$V993)&amp;"")</f>
        <v/>
      </c>
      <c r="F993">
        <f>IF($V993="","",INDEX('Per Line'!$H$2:$H$6001,$V993)&amp;"")</f>
        <v/>
      </c>
      <c r="G993">
        <f>IF($V993="","",INDEX('Per Line'!$I$2:$I$6001,$V993)&amp;"")</f>
        <v/>
      </c>
      <c r="H993">
        <f>IF($V993="","",INDEX('Per Line'!$J$2:$J$6001,$V993))</f>
        <v/>
      </c>
      <c r="I993" s="7">
        <f>IF($V993="","",H993*S993/100)</f>
        <v/>
      </c>
      <c r="J993">
        <f>IF($V993="","",INDEX('Per Line'!$S$2:$S$6001,$V993)&amp;"")</f>
        <v/>
      </c>
      <c r="K993" s="7">
        <f>IF($V993="","",SUMIFS('Per Line'!$R$2:$R$6001,'Per Line'!$C$2:$C$6001,$B993,'Per Line'!$AJ$2:$AJ$6001,1))</f>
        <v/>
      </c>
      <c r="L993">
        <f>IF($V993="","",Settings!$C$7)</f>
        <v/>
      </c>
      <c r="M993" s="7">
        <f>IF($V993="","",SUMIFS('Per Line'!$R$2:$R$6001,'Per Line'!$C$2:$C$6001,$B993,'Per Line'!$AI$2:$AI$6001,0,'Per Line'!$AJ$2:$AJ$6001,0))</f>
        <v/>
      </c>
      <c r="N993" s="7">
        <f>IF($V993="","",M993*L993)</f>
        <v/>
      </c>
      <c r="O993">
        <f>IF($V993="","",Settings!$C$6)</f>
        <v/>
      </c>
      <c r="P993" s="7">
        <f>IF($V993="","",SUMIFS('Per Line'!$R$2:$R$6001,'Per Line'!$C$2:$C$6001,$B993,'Per Line'!$AI$2:$AI$6001,1,'Per Line'!$AJ$2:$AJ$6001,0))</f>
        <v/>
      </c>
      <c r="Q993" s="7">
        <f>IF($V993="","",P993*O993)</f>
        <v/>
      </c>
      <c r="R993" s="7">
        <f>IF($V993="","",Q993+N993)</f>
        <v/>
      </c>
      <c r="S993" s="7">
        <f>IF($V993="","",T993-R993)</f>
        <v/>
      </c>
      <c r="T993" s="7">
        <f>IF($V993="","",M993+P993+K993)</f>
        <v/>
      </c>
      <c r="U993" s="7">
        <f>IF($V993="","",T993-R993-I993)</f>
        <v/>
      </c>
      <c r="V993" s="13">
        <f>IF(ROWS($V$2:$V993)&lt;=MAX('Per Line'!$AH$2:$AH$6001),MATCH(ROWS($V$2:$V993),'Per Line'!$AH$2:$AH$6001,0),"")</f>
        <v/>
      </c>
    </row>
    <row r="994">
      <c r="A994" s="12" t="n"/>
      <c r="B994">
        <f>IF($V994="","",INDEX('Per Line'!$C$2:$C$6001,$V994)&amp;"")</f>
        <v/>
      </c>
      <c r="C994" s="11">
        <f>IF($V994="","",INDEX('Per Line'!$D$2:$D$6001,$V994))</f>
        <v/>
      </c>
      <c r="D994">
        <f>IF($V994="","",INDEX('Per Line'!$E$2:$E$6001,$V994)&amp;"")</f>
        <v/>
      </c>
      <c r="E994">
        <f>IF($V994="","",INDEX('Per Line'!$G$2:$G$6001,$V994)&amp;"")</f>
        <v/>
      </c>
      <c r="F994">
        <f>IF($V994="","",INDEX('Per Line'!$H$2:$H$6001,$V994)&amp;"")</f>
        <v/>
      </c>
      <c r="G994">
        <f>IF($V994="","",INDEX('Per Line'!$I$2:$I$6001,$V994)&amp;"")</f>
        <v/>
      </c>
      <c r="H994">
        <f>IF($V994="","",INDEX('Per Line'!$J$2:$J$6001,$V994))</f>
        <v/>
      </c>
      <c r="I994" s="7">
        <f>IF($V994="","",H994*S994/100)</f>
        <v/>
      </c>
      <c r="J994">
        <f>IF($V994="","",INDEX('Per Line'!$S$2:$S$6001,$V994)&amp;"")</f>
        <v/>
      </c>
      <c r="K994" s="7">
        <f>IF($V994="","",SUMIFS('Per Line'!$R$2:$R$6001,'Per Line'!$C$2:$C$6001,$B994,'Per Line'!$AJ$2:$AJ$6001,1))</f>
        <v/>
      </c>
      <c r="L994">
        <f>IF($V994="","",Settings!$C$7)</f>
        <v/>
      </c>
      <c r="M994" s="7">
        <f>IF($V994="","",SUMIFS('Per Line'!$R$2:$R$6001,'Per Line'!$C$2:$C$6001,$B994,'Per Line'!$AI$2:$AI$6001,0,'Per Line'!$AJ$2:$AJ$6001,0))</f>
        <v/>
      </c>
      <c r="N994" s="7">
        <f>IF($V994="","",M994*L994)</f>
        <v/>
      </c>
      <c r="O994">
        <f>IF($V994="","",Settings!$C$6)</f>
        <v/>
      </c>
      <c r="P994" s="7">
        <f>IF($V994="","",SUMIFS('Per Line'!$R$2:$R$6001,'Per Line'!$C$2:$C$6001,$B994,'Per Line'!$AI$2:$AI$6001,1,'Per Line'!$AJ$2:$AJ$6001,0))</f>
        <v/>
      </c>
      <c r="Q994" s="7">
        <f>IF($V994="","",P994*O994)</f>
        <v/>
      </c>
      <c r="R994" s="7">
        <f>IF($V994="","",Q994+N994)</f>
        <v/>
      </c>
      <c r="S994" s="7">
        <f>IF($V994="","",T994-R994)</f>
        <v/>
      </c>
      <c r="T994" s="7">
        <f>IF($V994="","",M994+P994+K994)</f>
        <v/>
      </c>
      <c r="U994" s="7">
        <f>IF($V994="","",T994-R994-I994)</f>
        <v/>
      </c>
      <c r="V994" s="13">
        <f>IF(ROWS($V$2:$V994)&lt;=MAX('Per Line'!$AH$2:$AH$6001),MATCH(ROWS($V$2:$V994),'Per Line'!$AH$2:$AH$6001,0),"")</f>
        <v/>
      </c>
    </row>
    <row r="995">
      <c r="A995" s="12" t="n"/>
      <c r="B995">
        <f>IF($V995="","",INDEX('Per Line'!$C$2:$C$6001,$V995)&amp;"")</f>
        <v/>
      </c>
      <c r="C995" s="11">
        <f>IF($V995="","",INDEX('Per Line'!$D$2:$D$6001,$V995))</f>
        <v/>
      </c>
      <c r="D995">
        <f>IF($V995="","",INDEX('Per Line'!$E$2:$E$6001,$V995)&amp;"")</f>
        <v/>
      </c>
      <c r="E995">
        <f>IF($V995="","",INDEX('Per Line'!$G$2:$G$6001,$V995)&amp;"")</f>
        <v/>
      </c>
      <c r="F995">
        <f>IF($V995="","",INDEX('Per Line'!$H$2:$H$6001,$V995)&amp;"")</f>
        <v/>
      </c>
      <c r="G995">
        <f>IF($V995="","",INDEX('Per Line'!$I$2:$I$6001,$V995)&amp;"")</f>
        <v/>
      </c>
      <c r="H995">
        <f>IF($V995="","",INDEX('Per Line'!$J$2:$J$6001,$V995))</f>
        <v/>
      </c>
      <c r="I995" s="7">
        <f>IF($V995="","",H995*S995/100)</f>
        <v/>
      </c>
      <c r="J995">
        <f>IF($V995="","",INDEX('Per Line'!$S$2:$S$6001,$V995)&amp;"")</f>
        <v/>
      </c>
      <c r="K995" s="7">
        <f>IF($V995="","",SUMIFS('Per Line'!$R$2:$R$6001,'Per Line'!$C$2:$C$6001,$B995,'Per Line'!$AJ$2:$AJ$6001,1))</f>
        <v/>
      </c>
      <c r="L995">
        <f>IF($V995="","",Settings!$C$7)</f>
        <v/>
      </c>
      <c r="M995" s="7">
        <f>IF($V995="","",SUMIFS('Per Line'!$R$2:$R$6001,'Per Line'!$C$2:$C$6001,$B995,'Per Line'!$AI$2:$AI$6001,0,'Per Line'!$AJ$2:$AJ$6001,0))</f>
        <v/>
      </c>
      <c r="N995" s="7">
        <f>IF($V995="","",M995*L995)</f>
        <v/>
      </c>
      <c r="O995">
        <f>IF($V995="","",Settings!$C$6)</f>
        <v/>
      </c>
      <c r="P995" s="7">
        <f>IF($V995="","",SUMIFS('Per Line'!$R$2:$R$6001,'Per Line'!$C$2:$C$6001,$B995,'Per Line'!$AI$2:$AI$6001,1,'Per Line'!$AJ$2:$AJ$6001,0))</f>
        <v/>
      </c>
      <c r="Q995" s="7">
        <f>IF($V995="","",P995*O995)</f>
        <v/>
      </c>
      <c r="R995" s="7">
        <f>IF($V995="","",Q995+N995)</f>
        <v/>
      </c>
      <c r="S995" s="7">
        <f>IF($V995="","",T995-R995)</f>
        <v/>
      </c>
      <c r="T995" s="7">
        <f>IF($V995="","",M995+P995+K995)</f>
        <v/>
      </c>
      <c r="U995" s="7">
        <f>IF($V995="","",T995-R995-I995)</f>
        <v/>
      </c>
      <c r="V995" s="13">
        <f>IF(ROWS($V$2:$V995)&lt;=MAX('Per Line'!$AH$2:$AH$6001),MATCH(ROWS($V$2:$V995),'Per Line'!$AH$2:$AH$6001,0),"")</f>
        <v/>
      </c>
    </row>
    <row r="996">
      <c r="A996" s="12" t="n"/>
      <c r="B996">
        <f>IF($V996="","",INDEX('Per Line'!$C$2:$C$6001,$V996)&amp;"")</f>
        <v/>
      </c>
      <c r="C996" s="11">
        <f>IF($V996="","",INDEX('Per Line'!$D$2:$D$6001,$V996))</f>
        <v/>
      </c>
      <c r="D996">
        <f>IF($V996="","",INDEX('Per Line'!$E$2:$E$6001,$V996)&amp;"")</f>
        <v/>
      </c>
      <c r="E996">
        <f>IF($V996="","",INDEX('Per Line'!$G$2:$G$6001,$V996)&amp;"")</f>
        <v/>
      </c>
      <c r="F996">
        <f>IF($V996="","",INDEX('Per Line'!$H$2:$H$6001,$V996)&amp;"")</f>
        <v/>
      </c>
      <c r="G996">
        <f>IF($V996="","",INDEX('Per Line'!$I$2:$I$6001,$V996)&amp;"")</f>
        <v/>
      </c>
      <c r="H996">
        <f>IF($V996="","",INDEX('Per Line'!$J$2:$J$6001,$V996))</f>
        <v/>
      </c>
      <c r="I996" s="7">
        <f>IF($V996="","",H996*S996/100)</f>
        <v/>
      </c>
      <c r="J996">
        <f>IF($V996="","",INDEX('Per Line'!$S$2:$S$6001,$V996)&amp;"")</f>
        <v/>
      </c>
      <c r="K996" s="7">
        <f>IF($V996="","",SUMIFS('Per Line'!$R$2:$R$6001,'Per Line'!$C$2:$C$6001,$B996,'Per Line'!$AJ$2:$AJ$6001,1))</f>
        <v/>
      </c>
      <c r="L996">
        <f>IF($V996="","",Settings!$C$7)</f>
        <v/>
      </c>
      <c r="M996" s="7">
        <f>IF($V996="","",SUMIFS('Per Line'!$R$2:$R$6001,'Per Line'!$C$2:$C$6001,$B996,'Per Line'!$AI$2:$AI$6001,0,'Per Line'!$AJ$2:$AJ$6001,0))</f>
        <v/>
      </c>
      <c r="N996" s="7">
        <f>IF($V996="","",M996*L996)</f>
        <v/>
      </c>
      <c r="O996">
        <f>IF($V996="","",Settings!$C$6)</f>
        <v/>
      </c>
      <c r="P996" s="7">
        <f>IF($V996="","",SUMIFS('Per Line'!$R$2:$R$6001,'Per Line'!$C$2:$C$6001,$B996,'Per Line'!$AI$2:$AI$6001,1,'Per Line'!$AJ$2:$AJ$6001,0))</f>
        <v/>
      </c>
      <c r="Q996" s="7">
        <f>IF($V996="","",P996*O996)</f>
        <v/>
      </c>
      <c r="R996" s="7">
        <f>IF($V996="","",Q996+N996)</f>
        <v/>
      </c>
      <c r="S996" s="7">
        <f>IF($V996="","",T996-R996)</f>
        <v/>
      </c>
      <c r="T996" s="7">
        <f>IF($V996="","",M996+P996+K996)</f>
        <v/>
      </c>
      <c r="U996" s="7">
        <f>IF($V996="","",T996-R996-I996)</f>
        <v/>
      </c>
      <c r="V996" s="13">
        <f>IF(ROWS($V$2:$V996)&lt;=MAX('Per Line'!$AH$2:$AH$6001),MATCH(ROWS($V$2:$V996),'Per Line'!$AH$2:$AH$6001,0),"")</f>
        <v/>
      </c>
    </row>
    <row r="997">
      <c r="A997" s="12" t="n"/>
      <c r="B997">
        <f>IF($V997="","",INDEX('Per Line'!$C$2:$C$6001,$V997)&amp;"")</f>
        <v/>
      </c>
      <c r="C997" s="11">
        <f>IF($V997="","",INDEX('Per Line'!$D$2:$D$6001,$V997))</f>
        <v/>
      </c>
      <c r="D997">
        <f>IF($V997="","",INDEX('Per Line'!$E$2:$E$6001,$V997)&amp;"")</f>
        <v/>
      </c>
      <c r="E997">
        <f>IF($V997="","",INDEX('Per Line'!$G$2:$G$6001,$V997)&amp;"")</f>
        <v/>
      </c>
      <c r="F997">
        <f>IF($V997="","",INDEX('Per Line'!$H$2:$H$6001,$V997)&amp;"")</f>
        <v/>
      </c>
      <c r="G997">
        <f>IF($V997="","",INDEX('Per Line'!$I$2:$I$6001,$V997)&amp;"")</f>
        <v/>
      </c>
      <c r="H997">
        <f>IF($V997="","",INDEX('Per Line'!$J$2:$J$6001,$V997))</f>
        <v/>
      </c>
      <c r="I997" s="7">
        <f>IF($V997="","",H997*S997/100)</f>
        <v/>
      </c>
      <c r="J997">
        <f>IF($V997="","",INDEX('Per Line'!$S$2:$S$6001,$V997)&amp;"")</f>
        <v/>
      </c>
      <c r="K997" s="7">
        <f>IF($V997="","",SUMIFS('Per Line'!$R$2:$R$6001,'Per Line'!$C$2:$C$6001,$B997,'Per Line'!$AJ$2:$AJ$6001,1))</f>
        <v/>
      </c>
      <c r="L997">
        <f>IF($V997="","",Settings!$C$7)</f>
        <v/>
      </c>
      <c r="M997" s="7">
        <f>IF($V997="","",SUMIFS('Per Line'!$R$2:$R$6001,'Per Line'!$C$2:$C$6001,$B997,'Per Line'!$AI$2:$AI$6001,0,'Per Line'!$AJ$2:$AJ$6001,0))</f>
        <v/>
      </c>
      <c r="N997" s="7">
        <f>IF($V997="","",M997*L997)</f>
        <v/>
      </c>
      <c r="O997">
        <f>IF($V997="","",Settings!$C$6)</f>
        <v/>
      </c>
      <c r="P997" s="7">
        <f>IF($V997="","",SUMIFS('Per Line'!$R$2:$R$6001,'Per Line'!$C$2:$C$6001,$B997,'Per Line'!$AI$2:$AI$6001,1,'Per Line'!$AJ$2:$AJ$6001,0))</f>
        <v/>
      </c>
      <c r="Q997" s="7">
        <f>IF($V997="","",P997*O997)</f>
        <v/>
      </c>
      <c r="R997" s="7">
        <f>IF($V997="","",Q997+N997)</f>
        <v/>
      </c>
      <c r="S997" s="7">
        <f>IF($V997="","",T997-R997)</f>
        <v/>
      </c>
      <c r="T997" s="7">
        <f>IF($V997="","",M997+P997+K997)</f>
        <v/>
      </c>
      <c r="U997" s="7">
        <f>IF($V997="","",T997-R997-I997)</f>
        <v/>
      </c>
      <c r="V997" s="13">
        <f>IF(ROWS($V$2:$V997)&lt;=MAX('Per Line'!$AH$2:$AH$6001),MATCH(ROWS($V$2:$V997),'Per Line'!$AH$2:$AH$6001,0),"")</f>
        <v/>
      </c>
    </row>
    <row r="998">
      <c r="A998" s="12" t="n"/>
      <c r="B998">
        <f>IF($V998="","",INDEX('Per Line'!$C$2:$C$6001,$V998)&amp;"")</f>
        <v/>
      </c>
      <c r="C998" s="11">
        <f>IF($V998="","",INDEX('Per Line'!$D$2:$D$6001,$V998))</f>
        <v/>
      </c>
      <c r="D998">
        <f>IF($V998="","",INDEX('Per Line'!$E$2:$E$6001,$V998)&amp;"")</f>
        <v/>
      </c>
      <c r="E998">
        <f>IF($V998="","",INDEX('Per Line'!$G$2:$G$6001,$V998)&amp;"")</f>
        <v/>
      </c>
      <c r="F998">
        <f>IF($V998="","",INDEX('Per Line'!$H$2:$H$6001,$V998)&amp;"")</f>
        <v/>
      </c>
      <c r="G998">
        <f>IF($V998="","",INDEX('Per Line'!$I$2:$I$6001,$V998)&amp;"")</f>
        <v/>
      </c>
      <c r="H998">
        <f>IF($V998="","",INDEX('Per Line'!$J$2:$J$6001,$V998))</f>
        <v/>
      </c>
      <c r="I998" s="7">
        <f>IF($V998="","",H998*S998/100)</f>
        <v/>
      </c>
      <c r="J998">
        <f>IF($V998="","",INDEX('Per Line'!$S$2:$S$6001,$V998)&amp;"")</f>
        <v/>
      </c>
      <c r="K998" s="7">
        <f>IF($V998="","",SUMIFS('Per Line'!$R$2:$R$6001,'Per Line'!$C$2:$C$6001,$B998,'Per Line'!$AJ$2:$AJ$6001,1))</f>
        <v/>
      </c>
      <c r="L998">
        <f>IF($V998="","",Settings!$C$7)</f>
        <v/>
      </c>
      <c r="M998" s="7">
        <f>IF($V998="","",SUMIFS('Per Line'!$R$2:$R$6001,'Per Line'!$C$2:$C$6001,$B998,'Per Line'!$AI$2:$AI$6001,0,'Per Line'!$AJ$2:$AJ$6001,0))</f>
        <v/>
      </c>
      <c r="N998" s="7">
        <f>IF($V998="","",M998*L998)</f>
        <v/>
      </c>
      <c r="O998">
        <f>IF($V998="","",Settings!$C$6)</f>
        <v/>
      </c>
      <c r="P998" s="7">
        <f>IF($V998="","",SUMIFS('Per Line'!$R$2:$R$6001,'Per Line'!$C$2:$C$6001,$B998,'Per Line'!$AI$2:$AI$6001,1,'Per Line'!$AJ$2:$AJ$6001,0))</f>
        <v/>
      </c>
      <c r="Q998" s="7">
        <f>IF($V998="","",P998*O998)</f>
        <v/>
      </c>
      <c r="R998" s="7">
        <f>IF($V998="","",Q998+N998)</f>
        <v/>
      </c>
      <c r="S998" s="7">
        <f>IF($V998="","",T998-R998)</f>
        <v/>
      </c>
      <c r="T998" s="7">
        <f>IF($V998="","",M998+P998+K998)</f>
        <v/>
      </c>
      <c r="U998" s="7">
        <f>IF($V998="","",T998-R998-I998)</f>
        <v/>
      </c>
      <c r="V998" s="13">
        <f>IF(ROWS($V$2:$V998)&lt;=MAX('Per Line'!$AH$2:$AH$6001),MATCH(ROWS($V$2:$V998),'Per Line'!$AH$2:$AH$6001,0),"")</f>
        <v/>
      </c>
    </row>
    <row r="999">
      <c r="A999" s="12" t="n"/>
      <c r="B999">
        <f>IF($V999="","",INDEX('Per Line'!$C$2:$C$6001,$V999)&amp;"")</f>
        <v/>
      </c>
      <c r="C999" s="11">
        <f>IF($V999="","",INDEX('Per Line'!$D$2:$D$6001,$V999))</f>
        <v/>
      </c>
      <c r="D999">
        <f>IF($V999="","",INDEX('Per Line'!$E$2:$E$6001,$V999)&amp;"")</f>
        <v/>
      </c>
      <c r="E999">
        <f>IF($V999="","",INDEX('Per Line'!$G$2:$G$6001,$V999)&amp;"")</f>
        <v/>
      </c>
      <c r="F999">
        <f>IF($V999="","",INDEX('Per Line'!$H$2:$H$6001,$V999)&amp;"")</f>
        <v/>
      </c>
      <c r="G999">
        <f>IF($V999="","",INDEX('Per Line'!$I$2:$I$6001,$V999)&amp;"")</f>
        <v/>
      </c>
      <c r="H999">
        <f>IF($V999="","",INDEX('Per Line'!$J$2:$J$6001,$V999))</f>
        <v/>
      </c>
      <c r="I999" s="7">
        <f>IF($V999="","",H999*S999/100)</f>
        <v/>
      </c>
      <c r="J999">
        <f>IF($V999="","",INDEX('Per Line'!$S$2:$S$6001,$V999)&amp;"")</f>
        <v/>
      </c>
      <c r="K999" s="7">
        <f>IF($V999="","",SUMIFS('Per Line'!$R$2:$R$6001,'Per Line'!$C$2:$C$6001,$B999,'Per Line'!$AJ$2:$AJ$6001,1))</f>
        <v/>
      </c>
      <c r="L999">
        <f>IF($V999="","",Settings!$C$7)</f>
        <v/>
      </c>
      <c r="M999" s="7">
        <f>IF($V999="","",SUMIFS('Per Line'!$R$2:$R$6001,'Per Line'!$C$2:$C$6001,$B999,'Per Line'!$AI$2:$AI$6001,0,'Per Line'!$AJ$2:$AJ$6001,0))</f>
        <v/>
      </c>
      <c r="N999" s="7">
        <f>IF($V999="","",M999*L999)</f>
        <v/>
      </c>
      <c r="O999">
        <f>IF($V999="","",Settings!$C$6)</f>
        <v/>
      </c>
      <c r="P999" s="7">
        <f>IF($V999="","",SUMIFS('Per Line'!$R$2:$R$6001,'Per Line'!$C$2:$C$6001,$B999,'Per Line'!$AI$2:$AI$6001,1,'Per Line'!$AJ$2:$AJ$6001,0))</f>
        <v/>
      </c>
      <c r="Q999" s="7">
        <f>IF($V999="","",P999*O999)</f>
        <v/>
      </c>
      <c r="R999" s="7">
        <f>IF($V999="","",Q999+N999)</f>
        <v/>
      </c>
      <c r="S999" s="7">
        <f>IF($V999="","",T999-R999)</f>
        <v/>
      </c>
      <c r="T999" s="7">
        <f>IF($V999="","",M999+P999+K999)</f>
        <v/>
      </c>
      <c r="U999" s="7">
        <f>IF($V999="","",T999-R999-I999)</f>
        <v/>
      </c>
      <c r="V999" s="13">
        <f>IF(ROWS($V$2:$V999)&lt;=MAX('Per Line'!$AH$2:$AH$6001),MATCH(ROWS($V$2:$V999),'Per Line'!$AH$2:$AH$6001,0),"")</f>
        <v/>
      </c>
    </row>
    <row r="1000">
      <c r="A1000" s="12" t="n"/>
      <c r="B1000">
        <f>IF($V1000="","",INDEX('Per Line'!$C$2:$C$6001,$V1000)&amp;"")</f>
        <v/>
      </c>
      <c r="C1000" s="11">
        <f>IF($V1000="","",INDEX('Per Line'!$D$2:$D$6001,$V1000))</f>
        <v/>
      </c>
      <c r="D1000">
        <f>IF($V1000="","",INDEX('Per Line'!$E$2:$E$6001,$V1000)&amp;"")</f>
        <v/>
      </c>
      <c r="E1000">
        <f>IF($V1000="","",INDEX('Per Line'!$G$2:$G$6001,$V1000)&amp;"")</f>
        <v/>
      </c>
      <c r="F1000">
        <f>IF($V1000="","",INDEX('Per Line'!$H$2:$H$6001,$V1000)&amp;"")</f>
        <v/>
      </c>
      <c r="G1000">
        <f>IF($V1000="","",INDEX('Per Line'!$I$2:$I$6001,$V1000)&amp;"")</f>
        <v/>
      </c>
      <c r="H1000">
        <f>IF($V1000="","",INDEX('Per Line'!$J$2:$J$6001,$V1000))</f>
        <v/>
      </c>
      <c r="I1000" s="7">
        <f>IF($V1000="","",H1000*S1000/100)</f>
        <v/>
      </c>
      <c r="J1000">
        <f>IF($V1000="","",INDEX('Per Line'!$S$2:$S$6001,$V1000)&amp;"")</f>
        <v/>
      </c>
      <c r="K1000" s="7">
        <f>IF($V1000="","",SUMIFS('Per Line'!$R$2:$R$6001,'Per Line'!$C$2:$C$6001,$B1000,'Per Line'!$AJ$2:$AJ$6001,1))</f>
        <v/>
      </c>
      <c r="L1000">
        <f>IF($V1000="","",Settings!$C$7)</f>
        <v/>
      </c>
      <c r="M1000" s="7">
        <f>IF($V1000="","",SUMIFS('Per Line'!$R$2:$R$6001,'Per Line'!$C$2:$C$6001,$B1000,'Per Line'!$AI$2:$AI$6001,0,'Per Line'!$AJ$2:$AJ$6001,0))</f>
        <v/>
      </c>
      <c r="N1000" s="7">
        <f>IF($V1000="","",M1000*L1000)</f>
        <v/>
      </c>
      <c r="O1000">
        <f>IF($V1000="","",Settings!$C$6)</f>
        <v/>
      </c>
      <c r="P1000" s="7">
        <f>IF($V1000="","",SUMIFS('Per Line'!$R$2:$R$6001,'Per Line'!$C$2:$C$6001,$B1000,'Per Line'!$AI$2:$AI$6001,1,'Per Line'!$AJ$2:$AJ$6001,0))</f>
        <v/>
      </c>
      <c r="Q1000" s="7">
        <f>IF($V1000="","",P1000*O1000)</f>
        <v/>
      </c>
      <c r="R1000" s="7">
        <f>IF($V1000="","",Q1000+N1000)</f>
        <v/>
      </c>
      <c r="S1000" s="7">
        <f>IF($V1000="","",T1000-R1000)</f>
        <v/>
      </c>
      <c r="T1000" s="7">
        <f>IF($V1000="","",M1000+P1000+K1000)</f>
        <v/>
      </c>
      <c r="U1000" s="7">
        <f>IF($V1000="","",T1000-R1000-I1000)</f>
        <v/>
      </c>
      <c r="V1000" s="13">
        <f>IF(ROWS($V$2:$V1000)&lt;=MAX('Per Line'!$AH$2:$AH$6001),MATCH(ROWS($V$2:$V1000),'Per Line'!$AH$2:$AH$6001,0),"")</f>
        <v/>
      </c>
    </row>
    <row r="1001">
      <c r="A1001" s="12" t="n"/>
      <c r="B1001">
        <f>IF($V1001="","",INDEX('Per Line'!$C$2:$C$6001,$V1001)&amp;"")</f>
        <v/>
      </c>
      <c r="C1001" s="11">
        <f>IF($V1001="","",INDEX('Per Line'!$D$2:$D$6001,$V1001))</f>
        <v/>
      </c>
      <c r="D1001">
        <f>IF($V1001="","",INDEX('Per Line'!$E$2:$E$6001,$V1001)&amp;"")</f>
        <v/>
      </c>
      <c r="E1001">
        <f>IF($V1001="","",INDEX('Per Line'!$G$2:$G$6001,$V1001)&amp;"")</f>
        <v/>
      </c>
      <c r="F1001">
        <f>IF($V1001="","",INDEX('Per Line'!$H$2:$H$6001,$V1001)&amp;"")</f>
        <v/>
      </c>
      <c r="G1001">
        <f>IF($V1001="","",INDEX('Per Line'!$I$2:$I$6001,$V1001)&amp;"")</f>
        <v/>
      </c>
      <c r="H1001">
        <f>IF($V1001="","",INDEX('Per Line'!$J$2:$J$6001,$V1001))</f>
        <v/>
      </c>
      <c r="I1001" s="7">
        <f>IF($V1001="","",H1001*S1001/100)</f>
        <v/>
      </c>
      <c r="J1001">
        <f>IF($V1001="","",INDEX('Per Line'!$S$2:$S$6001,$V1001)&amp;"")</f>
        <v/>
      </c>
      <c r="K1001" s="7">
        <f>IF($V1001="","",SUMIFS('Per Line'!$R$2:$R$6001,'Per Line'!$C$2:$C$6001,$B1001,'Per Line'!$AJ$2:$AJ$6001,1))</f>
        <v/>
      </c>
      <c r="L1001">
        <f>IF($V1001="","",Settings!$C$7)</f>
        <v/>
      </c>
      <c r="M1001" s="7">
        <f>IF($V1001="","",SUMIFS('Per Line'!$R$2:$R$6001,'Per Line'!$C$2:$C$6001,$B1001,'Per Line'!$AI$2:$AI$6001,0,'Per Line'!$AJ$2:$AJ$6001,0))</f>
        <v/>
      </c>
      <c r="N1001" s="7">
        <f>IF($V1001="","",M1001*L1001)</f>
        <v/>
      </c>
      <c r="O1001">
        <f>IF($V1001="","",Settings!$C$6)</f>
        <v/>
      </c>
      <c r="P1001" s="7">
        <f>IF($V1001="","",SUMIFS('Per Line'!$R$2:$R$6001,'Per Line'!$C$2:$C$6001,$B1001,'Per Line'!$AI$2:$AI$6001,1,'Per Line'!$AJ$2:$AJ$6001,0))</f>
        <v/>
      </c>
      <c r="Q1001" s="7">
        <f>IF($V1001="","",P1001*O1001)</f>
        <v/>
      </c>
      <c r="R1001" s="7">
        <f>IF($V1001="","",Q1001+N1001)</f>
        <v/>
      </c>
      <c r="S1001" s="7">
        <f>IF($V1001="","",T1001-R1001)</f>
        <v/>
      </c>
      <c r="T1001" s="7">
        <f>IF($V1001="","",M1001+P1001+K1001)</f>
        <v/>
      </c>
      <c r="U1001" s="7">
        <f>IF($V1001="","",T1001-R1001-I1001)</f>
        <v/>
      </c>
      <c r="V1001" s="13">
        <f>IF(ROWS($V$2:$V1001)&lt;=MAX('Per Line'!$AH$2:$AH$6001),MATCH(ROWS($V$2:$V1001),'Per Line'!$AH$2:$AH$6001,0),"")</f>
        <v/>
      </c>
    </row>
    <row r="1002">
      <c r="A1002" s="12" t="n"/>
      <c r="B1002">
        <f>IF($V1002="","",INDEX('Per Line'!$C$2:$C$6001,$V1002)&amp;"")</f>
        <v/>
      </c>
      <c r="C1002" s="11">
        <f>IF($V1002="","",INDEX('Per Line'!$D$2:$D$6001,$V1002))</f>
        <v/>
      </c>
      <c r="D1002">
        <f>IF($V1002="","",INDEX('Per Line'!$E$2:$E$6001,$V1002)&amp;"")</f>
        <v/>
      </c>
      <c r="E1002">
        <f>IF($V1002="","",INDEX('Per Line'!$G$2:$G$6001,$V1002)&amp;"")</f>
        <v/>
      </c>
      <c r="F1002">
        <f>IF($V1002="","",INDEX('Per Line'!$H$2:$H$6001,$V1002)&amp;"")</f>
        <v/>
      </c>
      <c r="G1002">
        <f>IF($V1002="","",INDEX('Per Line'!$I$2:$I$6001,$V1002)&amp;"")</f>
        <v/>
      </c>
      <c r="H1002">
        <f>IF($V1002="","",INDEX('Per Line'!$J$2:$J$6001,$V1002))</f>
        <v/>
      </c>
      <c r="I1002" s="7">
        <f>IF($V1002="","",H1002*S1002/100)</f>
        <v/>
      </c>
      <c r="J1002">
        <f>IF($V1002="","",INDEX('Per Line'!$S$2:$S$6001,$V1002)&amp;"")</f>
        <v/>
      </c>
      <c r="K1002" s="7">
        <f>IF($V1002="","",SUMIFS('Per Line'!$R$2:$R$6001,'Per Line'!$C$2:$C$6001,$B1002,'Per Line'!$AJ$2:$AJ$6001,1))</f>
        <v/>
      </c>
      <c r="L1002">
        <f>IF($V1002="","",Settings!$C$7)</f>
        <v/>
      </c>
      <c r="M1002" s="7">
        <f>IF($V1002="","",SUMIFS('Per Line'!$R$2:$R$6001,'Per Line'!$C$2:$C$6001,$B1002,'Per Line'!$AI$2:$AI$6001,0,'Per Line'!$AJ$2:$AJ$6001,0))</f>
        <v/>
      </c>
      <c r="N1002" s="7">
        <f>IF($V1002="","",M1002*L1002)</f>
        <v/>
      </c>
      <c r="O1002">
        <f>IF($V1002="","",Settings!$C$6)</f>
        <v/>
      </c>
      <c r="P1002" s="7">
        <f>IF($V1002="","",SUMIFS('Per Line'!$R$2:$R$6001,'Per Line'!$C$2:$C$6001,$B1002,'Per Line'!$AI$2:$AI$6001,1,'Per Line'!$AJ$2:$AJ$6001,0))</f>
        <v/>
      </c>
      <c r="Q1002" s="7">
        <f>IF($V1002="","",P1002*O1002)</f>
        <v/>
      </c>
      <c r="R1002" s="7">
        <f>IF($V1002="","",Q1002+N1002)</f>
        <v/>
      </c>
      <c r="S1002" s="7">
        <f>IF($V1002="","",T1002-R1002)</f>
        <v/>
      </c>
      <c r="T1002" s="7">
        <f>IF($V1002="","",M1002+P1002+K1002)</f>
        <v/>
      </c>
      <c r="U1002" s="7">
        <f>IF($V1002="","",T1002-R1002-I1002)</f>
        <v/>
      </c>
      <c r="V1002" s="13">
        <f>IF(ROWS($V$2:$V1002)&lt;=MAX('Per Line'!$AH$2:$AH$6001),MATCH(ROWS($V$2:$V1002),'Per Line'!$AH$2:$AH$6001,0),"")</f>
        <v/>
      </c>
    </row>
    <row r="1003">
      <c r="A1003" s="12" t="n"/>
      <c r="B1003">
        <f>IF($V1003="","",INDEX('Per Line'!$C$2:$C$6001,$V1003)&amp;"")</f>
        <v/>
      </c>
      <c r="C1003" s="11">
        <f>IF($V1003="","",INDEX('Per Line'!$D$2:$D$6001,$V1003))</f>
        <v/>
      </c>
      <c r="D1003">
        <f>IF($V1003="","",INDEX('Per Line'!$E$2:$E$6001,$V1003)&amp;"")</f>
        <v/>
      </c>
      <c r="E1003">
        <f>IF($V1003="","",INDEX('Per Line'!$G$2:$G$6001,$V1003)&amp;"")</f>
        <v/>
      </c>
      <c r="F1003">
        <f>IF($V1003="","",INDEX('Per Line'!$H$2:$H$6001,$V1003)&amp;"")</f>
        <v/>
      </c>
      <c r="G1003">
        <f>IF($V1003="","",INDEX('Per Line'!$I$2:$I$6001,$V1003)&amp;"")</f>
        <v/>
      </c>
      <c r="H1003">
        <f>IF($V1003="","",INDEX('Per Line'!$J$2:$J$6001,$V1003))</f>
        <v/>
      </c>
      <c r="I1003" s="7">
        <f>IF($V1003="","",H1003*S1003/100)</f>
        <v/>
      </c>
      <c r="J1003">
        <f>IF($V1003="","",INDEX('Per Line'!$S$2:$S$6001,$V1003)&amp;"")</f>
        <v/>
      </c>
      <c r="K1003" s="7">
        <f>IF($V1003="","",SUMIFS('Per Line'!$R$2:$R$6001,'Per Line'!$C$2:$C$6001,$B1003,'Per Line'!$AJ$2:$AJ$6001,1))</f>
        <v/>
      </c>
      <c r="L1003">
        <f>IF($V1003="","",Settings!$C$7)</f>
        <v/>
      </c>
      <c r="M1003" s="7">
        <f>IF($V1003="","",SUMIFS('Per Line'!$R$2:$R$6001,'Per Line'!$C$2:$C$6001,$B1003,'Per Line'!$AI$2:$AI$6001,0,'Per Line'!$AJ$2:$AJ$6001,0))</f>
        <v/>
      </c>
      <c r="N1003" s="7">
        <f>IF($V1003="","",M1003*L1003)</f>
        <v/>
      </c>
      <c r="O1003">
        <f>IF($V1003="","",Settings!$C$6)</f>
        <v/>
      </c>
      <c r="P1003" s="7">
        <f>IF($V1003="","",SUMIFS('Per Line'!$R$2:$R$6001,'Per Line'!$C$2:$C$6001,$B1003,'Per Line'!$AI$2:$AI$6001,1,'Per Line'!$AJ$2:$AJ$6001,0))</f>
        <v/>
      </c>
      <c r="Q1003" s="7">
        <f>IF($V1003="","",P1003*O1003)</f>
        <v/>
      </c>
      <c r="R1003" s="7">
        <f>IF($V1003="","",Q1003+N1003)</f>
        <v/>
      </c>
      <c r="S1003" s="7">
        <f>IF($V1003="","",T1003-R1003)</f>
        <v/>
      </c>
      <c r="T1003" s="7">
        <f>IF($V1003="","",M1003+P1003+K1003)</f>
        <v/>
      </c>
      <c r="U1003" s="7">
        <f>IF($V1003="","",T1003-R1003-I1003)</f>
        <v/>
      </c>
      <c r="V1003" s="13">
        <f>IF(ROWS($V$2:$V1003)&lt;=MAX('Per Line'!$AH$2:$AH$6001),MATCH(ROWS($V$2:$V1003),'Per Line'!$AH$2:$AH$6001,0),"")</f>
        <v/>
      </c>
    </row>
    <row r="1004">
      <c r="A1004" s="12" t="n"/>
      <c r="B1004">
        <f>IF($V1004="","",INDEX('Per Line'!$C$2:$C$6001,$V1004)&amp;"")</f>
        <v/>
      </c>
      <c r="C1004" s="11">
        <f>IF($V1004="","",INDEX('Per Line'!$D$2:$D$6001,$V1004))</f>
        <v/>
      </c>
      <c r="D1004">
        <f>IF($V1004="","",INDEX('Per Line'!$E$2:$E$6001,$V1004)&amp;"")</f>
        <v/>
      </c>
      <c r="E1004">
        <f>IF($V1004="","",INDEX('Per Line'!$G$2:$G$6001,$V1004)&amp;"")</f>
        <v/>
      </c>
      <c r="F1004">
        <f>IF($V1004="","",INDEX('Per Line'!$H$2:$H$6001,$V1004)&amp;"")</f>
        <v/>
      </c>
      <c r="G1004">
        <f>IF($V1004="","",INDEX('Per Line'!$I$2:$I$6001,$V1004)&amp;"")</f>
        <v/>
      </c>
      <c r="H1004">
        <f>IF($V1004="","",INDEX('Per Line'!$J$2:$J$6001,$V1004))</f>
        <v/>
      </c>
      <c r="I1004" s="7">
        <f>IF($V1004="","",H1004*S1004/100)</f>
        <v/>
      </c>
      <c r="J1004">
        <f>IF($V1004="","",INDEX('Per Line'!$S$2:$S$6001,$V1004)&amp;"")</f>
        <v/>
      </c>
      <c r="K1004" s="7">
        <f>IF($V1004="","",SUMIFS('Per Line'!$R$2:$R$6001,'Per Line'!$C$2:$C$6001,$B1004,'Per Line'!$AJ$2:$AJ$6001,1))</f>
        <v/>
      </c>
      <c r="L1004">
        <f>IF($V1004="","",Settings!$C$7)</f>
        <v/>
      </c>
      <c r="M1004" s="7">
        <f>IF($V1004="","",SUMIFS('Per Line'!$R$2:$R$6001,'Per Line'!$C$2:$C$6001,$B1004,'Per Line'!$AI$2:$AI$6001,0,'Per Line'!$AJ$2:$AJ$6001,0))</f>
        <v/>
      </c>
      <c r="N1004" s="7">
        <f>IF($V1004="","",M1004*L1004)</f>
        <v/>
      </c>
      <c r="O1004">
        <f>IF($V1004="","",Settings!$C$6)</f>
        <v/>
      </c>
      <c r="P1004" s="7">
        <f>IF($V1004="","",SUMIFS('Per Line'!$R$2:$R$6001,'Per Line'!$C$2:$C$6001,$B1004,'Per Line'!$AI$2:$AI$6001,1,'Per Line'!$AJ$2:$AJ$6001,0))</f>
        <v/>
      </c>
      <c r="Q1004" s="7">
        <f>IF($V1004="","",P1004*O1004)</f>
        <v/>
      </c>
      <c r="R1004" s="7">
        <f>IF($V1004="","",Q1004+N1004)</f>
        <v/>
      </c>
      <c r="S1004" s="7">
        <f>IF($V1004="","",T1004-R1004)</f>
        <v/>
      </c>
      <c r="T1004" s="7">
        <f>IF($V1004="","",M1004+P1004+K1004)</f>
        <v/>
      </c>
      <c r="U1004" s="7">
        <f>IF($V1004="","",T1004-R1004-I1004)</f>
        <v/>
      </c>
      <c r="V1004" s="13">
        <f>IF(ROWS($V$2:$V1004)&lt;=MAX('Per Line'!$AH$2:$AH$6001),MATCH(ROWS($V$2:$V1004),'Per Line'!$AH$2:$AH$6001,0),"")</f>
        <v/>
      </c>
    </row>
    <row r="1005">
      <c r="A1005" s="12" t="n"/>
      <c r="B1005">
        <f>IF($V1005="","",INDEX('Per Line'!$C$2:$C$6001,$V1005)&amp;"")</f>
        <v/>
      </c>
      <c r="C1005" s="11">
        <f>IF($V1005="","",INDEX('Per Line'!$D$2:$D$6001,$V1005))</f>
        <v/>
      </c>
      <c r="D1005">
        <f>IF($V1005="","",INDEX('Per Line'!$E$2:$E$6001,$V1005)&amp;"")</f>
        <v/>
      </c>
      <c r="E1005">
        <f>IF($V1005="","",INDEX('Per Line'!$G$2:$G$6001,$V1005)&amp;"")</f>
        <v/>
      </c>
      <c r="F1005">
        <f>IF($V1005="","",INDEX('Per Line'!$H$2:$H$6001,$V1005)&amp;"")</f>
        <v/>
      </c>
      <c r="G1005">
        <f>IF($V1005="","",INDEX('Per Line'!$I$2:$I$6001,$V1005)&amp;"")</f>
        <v/>
      </c>
      <c r="H1005">
        <f>IF($V1005="","",INDEX('Per Line'!$J$2:$J$6001,$V1005))</f>
        <v/>
      </c>
      <c r="I1005" s="7">
        <f>IF($V1005="","",H1005*S1005/100)</f>
        <v/>
      </c>
      <c r="J1005">
        <f>IF($V1005="","",INDEX('Per Line'!$S$2:$S$6001,$V1005)&amp;"")</f>
        <v/>
      </c>
      <c r="K1005" s="7">
        <f>IF($V1005="","",SUMIFS('Per Line'!$R$2:$R$6001,'Per Line'!$C$2:$C$6001,$B1005,'Per Line'!$AJ$2:$AJ$6001,1))</f>
        <v/>
      </c>
      <c r="L1005">
        <f>IF($V1005="","",Settings!$C$7)</f>
        <v/>
      </c>
      <c r="M1005" s="7">
        <f>IF($V1005="","",SUMIFS('Per Line'!$R$2:$R$6001,'Per Line'!$C$2:$C$6001,$B1005,'Per Line'!$AI$2:$AI$6001,0,'Per Line'!$AJ$2:$AJ$6001,0))</f>
        <v/>
      </c>
      <c r="N1005" s="7">
        <f>IF($V1005="","",M1005*L1005)</f>
        <v/>
      </c>
      <c r="O1005">
        <f>IF($V1005="","",Settings!$C$6)</f>
        <v/>
      </c>
      <c r="P1005" s="7">
        <f>IF($V1005="","",SUMIFS('Per Line'!$R$2:$R$6001,'Per Line'!$C$2:$C$6001,$B1005,'Per Line'!$AI$2:$AI$6001,1,'Per Line'!$AJ$2:$AJ$6001,0))</f>
        <v/>
      </c>
      <c r="Q1005" s="7">
        <f>IF($V1005="","",P1005*O1005)</f>
        <v/>
      </c>
      <c r="R1005" s="7">
        <f>IF($V1005="","",Q1005+N1005)</f>
        <v/>
      </c>
      <c r="S1005" s="7">
        <f>IF($V1005="","",T1005-R1005)</f>
        <v/>
      </c>
      <c r="T1005" s="7">
        <f>IF($V1005="","",M1005+P1005+K1005)</f>
        <v/>
      </c>
      <c r="U1005" s="7">
        <f>IF($V1005="","",T1005-R1005-I1005)</f>
        <v/>
      </c>
      <c r="V1005" s="13">
        <f>IF(ROWS($V$2:$V1005)&lt;=MAX('Per Line'!$AH$2:$AH$6001),MATCH(ROWS($V$2:$V1005),'Per Line'!$AH$2:$AH$6001,0),"")</f>
        <v/>
      </c>
    </row>
    <row r="1006">
      <c r="A1006" s="12" t="n"/>
      <c r="B1006">
        <f>IF($V1006="","",INDEX('Per Line'!$C$2:$C$6001,$V1006)&amp;"")</f>
        <v/>
      </c>
      <c r="C1006" s="11">
        <f>IF($V1006="","",INDEX('Per Line'!$D$2:$D$6001,$V1006))</f>
        <v/>
      </c>
      <c r="D1006">
        <f>IF($V1006="","",INDEX('Per Line'!$E$2:$E$6001,$V1006)&amp;"")</f>
        <v/>
      </c>
      <c r="E1006">
        <f>IF($V1006="","",INDEX('Per Line'!$G$2:$G$6001,$V1006)&amp;"")</f>
        <v/>
      </c>
      <c r="F1006">
        <f>IF($V1006="","",INDEX('Per Line'!$H$2:$H$6001,$V1006)&amp;"")</f>
        <v/>
      </c>
      <c r="G1006">
        <f>IF($V1006="","",INDEX('Per Line'!$I$2:$I$6001,$V1006)&amp;"")</f>
        <v/>
      </c>
      <c r="H1006">
        <f>IF($V1006="","",INDEX('Per Line'!$J$2:$J$6001,$V1006))</f>
        <v/>
      </c>
      <c r="I1006" s="7">
        <f>IF($V1006="","",H1006*S1006/100)</f>
        <v/>
      </c>
      <c r="J1006">
        <f>IF($V1006="","",INDEX('Per Line'!$S$2:$S$6001,$V1006)&amp;"")</f>
        <v/>
      </c>
      <c r="K1006" s="7">
        <f>IF($V1006="","",SUMIFS('Per Line'!$R$2:$R$6001,'Per Line'!$C$2:$C$6001,$B1006,'Per Line'!$AJ$2:$AJ$6001,1))</f>
        <v/>
      </c>
      <c r="L1006">
        <f>IF($V1006="","",Settings!$C$7)</f>
        <v/>
      </c>
      <c r="M1006" s="7">
        <f>IF($V1006="","",SUMIFS('Per Line'!$R$2:$R$6001,'Per Line'!$C$2:$C$6001,$B1006,'Per Line'!$AI$2:$AI$6001,0,'Per Line'!$AJ$2:$AJ$6001,0))</f>
        <v/>
      </c>
      <c r="N1006" s="7">
        <f>IF($V1006="","",M1006*L1006)</f>
        <v/>
      </c>
      <c r="O1006">
        <f>IF($V1006="","",Settings!$C$6)</f>
        <v/>
      </c>
      <c r="P1006" s="7">
        <f>IF($V1006="","",SUMIFS('Per Line'!$R$2:$R$6001,'Per Line'!$C$2:$C$6001,$B1006,'Per Line'!$AI$2:$AI$6001,1,'Per Line'!$AJ$2:$AJ$6001,0))</f>
        <v/>
      </c>
      <c r="Q1006" s="7">
        <f>IF($V1006="","",P1006*O1006)</f>
        <v/>
      </c>
      <c r="R1006" s="7">
        <f>IF($V1006="","",Q1006+N1006)</f>
        <v/>
      </c>
      <c r="S1006" s="7">
        <f>IF($V1006="","",T1006-R1006)</f>
        <v/>
      </c>
      <c r="T1006" s="7">
        <f>IF($V1006="","",M1006+P1006+K1006)</f>
        <v/>
      </c>
      <c r="U1006" s="7">
        <f>IF($V1006="","",T1006-R1006-I1006)</f>
        <v/>
      </c>
      <c r="V1006" s="13">
        <f>IF(ROWS($V$2:$V1006)&lt;=MAX('Per Line'!$AH$2:$AH$6001),MATCH(ROWS($V$2:$V1006),'Per Line'!$AH$2:$AH$6001,0),"")</f>
        <v/>
      </c>
    </row>
    <row r="1007">
      <c r="A1007" s="12" t="n"/>
      <c r="B1007">
        <f>IF($V1007="","",INDEX('Per Line'!$C$2:$C$6001,$V1007)&amp;"")</f>
        <v/>
      </c>
      <c r="C1007" s="11">
        <f>IF($V1007="","",INDEX('Per Line'!$D$2:$D$6001,$V1007))</f>
        <v/>
      </c>
      <c r="D1007">
        <f>IF($V1007="","",INDEX('Per Line'!$E$2:$E$6001,$V1007)&amp;"")</f>
        <v/>
      </c>
      <c r="E1007">
        <f>IF($V1007="","",INDEX('Per Line'!$G$2:$G$6001,$V1007)&amp;"")</f>
        <v/>
      </c>
      <c r="F1007">
        <f>IF($V1007="","",INDEX('Per Line'!$H$2:$H$6001,$V1007)&amp;"")</f>
        <v/>
      </c>
      <c r="G1007">
        <f>IF($V1007="","",INDEX('Per Line'!$I$2:$I$6001,$V1007)&amp;"")</f>
        <v/>
      </c>
      <c r="H1007">
        <f>IF($V1007="","",INDEX('Per Line'!$J$2:$J$6001,$V1007))</f>
        <v/>
      </c>
      <c r="I1007" s="7">
        <f>IF($V1007="","",H1007*S1007/100)</f>
        <v/>
      </c>
      <c r="J1007">
        <f>IF($V1007="","",INDEX('Per Line'!$S$2:$S$6001,$V1007)&amp;"")</f>
        <v/>
      </c>
      <c r="K1007" s="7">
        <f>IF($V1007="","",SUMIFS('Per Line'!$R$2:$R$6001,'Per Line'!$C$2:$C$6001,$B1007,'Per Line'!$AJ$2:$AJ$6001,1))</f>
        <v/>
      </c>
      <c r="L1007">
        <f>IF($V1007="","",Settings!$C$7)</f>
        <v/>
      </c>
      <c r="M1007" s="7">
        <f>IF($V1007="","",SUMIFS('Per Line'!$R$2:$R$6001,'Per Line'!$C$2:$C$6001,$B1007,'Per Line'!$AI$2:$AI$6001,0,'Per Line'!$AJ$2:$AJ$6001,0))</f>
        <v/>
      </c>
      <c r="N1007" s="7">
        <f>IF($V1007="","",M1007*L1007)</f>
        <v/>
      </c>
      <c r="O1007">
        <f>IF($V1007="","",Settings!$C$6)</f>
        <v/>
      </c>
      <c r="P1007" s="7">
        <f>IF($V1007="","",SUMIFS('Per Line'!$R$2:$R$6001,'Per Line'!$C$2:$C$6001,$B1007,'Per Line'!$AI$2:$AI$6001,1,'Per Line'!$AJ$2:$AJ$6001,0))</f>
        <v/>
      </c>
      <c r="Q1007" s="7">
        <f>IF($V1007="","",P1007*O1007)</f>
        <v/>
      </c>
      <c r="R1007" s="7">
        <f>IF($V1007="","",Q1007+N1007)</f>
        <v/>
      </c>
      <c r="S1007" s="7">
        <f>IF($V1007="","",T1007-R1007)</f>
        <v/>
      </c>
      <c r="T1007" s="7">
        <f>IF($V1007="","",M1007+P1007+K1007)</f>
        <v/>
      </c>
      <c r="U1007" s="7">
        <f>IF($V1007="","",T1007-R1007-I1007)</f>
        <v/>
      </c>
      <c r="V1007" s="13">
        <f>IF(ROWS($V$2:$V1007)&lt;=MAX('Per Line'!$AH$2:$AH$6001),MATCH(ROWS($V$2:$V1007),'Per Line'!$AH$2:$AH$6001,0),"")</f>
        <v/>
      </c>
    </row>
    <row r="1008">
      <c r="A1008" s="12" t="n"/>
      <c r="B1008">
        <f>IF($V1008="","",INDEX('Per Line'!$C$2:$C$6001,$V1008)&amp;"")</f>
        <v/>
      </c>
      <c r="C1008" s="11">
        <f>IF($V1008="","",INDEX('Per Line'!$D$2:$D$6001,$V1008))</f>
        <v/>
      </c>
      <c r="D1008">
        <f>IF($V1008="","",INDEX('Per Line'!$E$2:$E$6001,$V1008)&amp;"")</f>
        <v/>
      </c>
      <c r="E1008">
        <f>IF($V1008="","",INDEX('Per Line'!$G$2:$G$6001,$V1008)&amp;"")</f>
        <v/>
      </c>
      <c r="F1008">
        <f>IF($V1008="","",INDEX('Per Line'!$H$2:$H$6001,$V1008)&amp;"")</f>
        <v/>
      </c>
      <c r="G1008">
        <f>IF($V1008="","",INDEX('Per Line'!$I$2:$I$6001,$V1008)&amp;"")</f>
        <v/>
      </c>
      <c r="H1008">
        <f>IF($V1008="","",INDEX('Per Line'!$J$2:$J$6001,$V1008))</f>
        <v/>
      </c>
      <c r="I1008" s="7">
        <f>IF($V1008="","",H1008*S1008/100)</f>
        <v/>
      </c>
      <c r="J1008">
        <f>IF($V1008="","",INDEX('Per Line'!$S$2:$S$6001,$V1008)&amp;"")</f>
        <v/>
      </c>
      <c r="K1008" s="7">
        <f>IF($V1008="","",SUMIFS('Per Line'!$R$2:$R$6001,'Per Line'!$C$2:$C$6001,$B1008,'Per Line'!$AJ$2:$AJ$6001,1))</f>
        <v/>
      </c>
      <c r="L1008">
        <f>IF($V1008="","",Settings!$C$7)</f>
        <v/>
      </c>
      <c r="M1008" s="7">
        <f>IF($V1008="","",SUMIFS('Per Line'!$R$2:$R$6001,'Per Line'!$C$2:$C$6001,$B1008,'Per Line'!$AI$2:$AI$6001,0,'Per Line'!$AJ$2:$AJ$6001,0))</f>
        <v/>
      </c>
      <c r="N1008" s="7">
        <f>IF($V1008="","",M1008*L1008)</f>
        <v/>
      </c>
      <c r="O1008">
        <f>IF($V1008="","",Settings!$C$6)</f>
        <v/>
      </c>
      <c r="P1008" s="7">
        <f>IF($V1008="","",SUMIFS('Per Line'!$R$2:$R$6001,'Per Line'!$C$2:$C$6001,$B1008,'Per Line'!$AI$2:$AI$6001,1,'Per Line'!$AJ$2:$AJ$6001,0))</f>
        <v/>
      </c>
      <c r="Q1008" s="7">
        <f>IF($V1008="","",P1008*O1008)</f>
        <v/>
      </c>
      <c r="R1008" s="7">
        <f>IF($V1008="","",Q1008+N1008)</f>
        <v/>
      </c>
      <c r="S1008" s="7">
        <f>IF($V1008="","",T1008-R1008)</f>
        <v/>
      </c>
      <c r="T1008" s="7">
        <f>IF($V1008="","",M1008+P1008+K1008)</f>
        <v/>
      </c>
      <c r="U1008" s="7">
        <f>IF($V1008="","",T1008-R1008-I1008)</f>
        <v/>
      </c>
      <c r="V1008" s="13">
        <f>IF(ROWS($V$2:$V1008)&lt;=MAX('Per Line'!$AH$2:$AH$6001),MATCH(ROWS($V$2:$V1008),'Per Line'!$AH$2:$AH$6001,0),"")</f>
        <v/>
      </c>
    </row>
    <row r="1009">
      <c r="A1009" s="12" t="n"/>
      <c r="B1009">
        <f>IF($V1009="","",INDEX('Per Line'!$C$2:$C$6001,$V1009)&amp;"")</f>
        <v/>
      </c>
      <c r="C1009" s="11">
        <f>IF($V1009="","",INDEX('Per Line'!$D$2:$D$6001,$V1009))</f>
        <v/>
      </c>
      <c r="D1009">
        <f>IF($V1009="","",INDEX('Per Line'!$E$2:$E$6001,$V1009)&amp;"")</f>
        <v/>
      </c>
      <c r="E1009">
        <f>IF($V1009="","",INDEX('Per Line'!$G$2:$G$6001,$V1009)&amp;"")</f>
        <v/>
      </c>
      <c r="F1009">
        <f>IF($V1009="","",INDEX('Per Line'!$H$2:$H$6001,$V1009)&amp;"")</f>
        <v/>
      </c>
      <c r="G1009">
        <f>IF($V1009="","",INDEX('Per Line'!$I$2:$I$6001,$V1009)&amp;"")</f>
        <v/>
      </c>
      <c r="H1009">
        <f>IF($V1009="","",INDEX('Per Line'!$J$2:$J$6001,$V1009))</f>
        <v/>
      </c>
      <c r="I1009" s="7">
        <f>IF($V1009="","",H1009*S1009/100)</f>
        <v/>
      </c>
      <c r="J1009">
        <f>IF($V1009="","",INDEX('Per Line'!$S$2:$S$6001,$V1009)&amp;"")</f>
        <v/>
      </c>
      <c r="K1009" s="7">
        <f>IF($V1009="","",SUMIFS('Per Line'!$R$2:$R$6001,'Per Line'!$C$2:$C$6001,$B1009,'Per Line'!$AJ$2:$AJ$6001,1))</f>
        <v/>
      </c>
      <c r="L1009">
        <f>IF($V1009="","",Settings!$C$7)</f>
        <v/>
      </c>
      <c r="M1009" s="7">
        <f>IF($V1009="","",SUMIFS('Per Line'!$R$2:$R$6001,'Per Line'!$C$2:$C$6001,$B1009,'Per Line'!$AI$2:$AI$6001,0,'Per Line'!$AJ$2:$AJ$6001,0))</f>
        <v/>
      </c>
      <c r="N1009" s="7">
        <f>IF($V1009="","",M1009*L1009)</f>
        <v/>
      </c>
      <c r="O1009">
        <f>IF($V1009="","",Settings!$C$6)</f>
        <v/>
      </c>
      <c r="P1009" s="7">
        <f>IF($V1009="","",SUMIFS('Per Line'!$R$2:$R$6001,'Per Line'!$C$2:$C$6001,$B1009,'Per Line'!$AI$2:$AI$6001,1,'Per Line'!$AJ$2:$AJ$6001,0))</f>
        <v/>
      </c>
      <c r="Q1009" s="7">
        <f>IF($V1009="","",P1009*O1009)</f>
        <v/>
      </c>
      <c r="R1009" s="7">
        <f>IF($V1009="","",Q1009+N1009)</f>
        <v/>
      </c>
      <c r="S1009" s="7">
        <f>IF($V1009="","",T1009-R1009)</f>
        <v/>
      </c>
      <c r="T1009" s="7">
        <f>IF($V1009="","",M1009+P1009+K1009)</f>
        <v/>
      </c>
      <c r="U1009" s="7">
        <f>IF($V1009="","",T1009-R1009-I1009)</f>
        <v/>
      </c>
      <c r="V1009" s="13">
        <f>IF(ROWS($V$2:$V1009)&lt;=MAX('Per Line'!$AH$2:$AH$6001),MATCH(ROWS($V$2:$V1009),'Per Line'!$AH$2:$AH$6001,0),"")</f>
        <v/>
      </c>
    </row>
    <row r="1010">
      <c r="A1010" s="12" t="n"/>
      <c r="B1010">
        <f>IF($V1010="","",INDEX('Per Line'!$C$2:$C$6001,$V1010)&amp;"")</f>
        <v/>
      </c>
      <c r="C1010" s="11">
        <f>IF($V1010="","",INDEX('Per Line'!$D$2:$D$6001,$V1010))</f>
        <v/>
      </c>
      <c r="D1010">
        <f>IF($V1010="","",INDEX('Per Line'!$E$2:$E$6001,$V1010)&amp;"")</f>
        <v/>
      </c>
      <c r="E1010">
        <f>IF($V1010="","",INDEX('Per Line'!$G$2:$G$6001,$V1010)&amp;"")</f>
        <v/>
      </c>
      <c r="F1010">
        <f>IF($V1010="","",INDEX('Per Line'!$H$2:$H$6001,$V1010)&amp;"")</f>
        <v/>
      </c>
      <c r="G1010">
        <f>IF($V1010="","",INDEX('Per Line'!$I$2:$I$6001,$V1010)&amp;"")</f>
        <v/>
      </c>
      <c r="H1010">
        <f>IF($V1010="","",INDEX('Per Line'!$J$2:$J$6001,$V1010))</f>
        <v/>
      </c>
      <c r="I1010" s="7">
        <f>IF($V1010="","",H1010*S1010/100)</f>
        <v/>
      </c>
      <c r="J1010">
        <f>IF($V1010="","",INDEX('Per Line'!$S$2:$S$6001,$V1010)&amp;"")</f>
        <v/>
      </c>
      <c r="K1010" s="7">
        <f>IF($V1010="","",SUMIFS('Per Line'!$R$2:$R$6001,'Per Line'!$C$2:$C$6001,$B1010,'Per Line'!$AJ$2:$AJ$6001,1))</f>
        <v/>
      </c>
      <c r="L1010">
        <f>IF($V1010="","",Settings!$C$7)</f>
        <v/>
      </c>
      <c r="M1010" s="7">
        <f>IF($V1010="","",SUMIFS('Per Line'!$R$2:$R$6001,'Per Line'!$C$2:$C$6001,$B1010,'Per Line'!$AI$2:$AI$6001,0,'Per Line'!$AJ$2:$AJ$6001,0))</f>
        <v/>
      </c>
      <c r="N1010" s="7">
        <f>IF($V1010="","",M1010*L1010)</f>
        <v/>
      </c>
      <c r="O1010">
        <f>IF($V1010="","",Settings!$C$6)</f>
        <v/>
      </c>
      <c r="P1010" s="7">
        <f>IF($V1010="","",SUMIFS('Per Line'!$R$2:$R$6001,'Per Line'!$C$2:$C$6001,$B1010,'Per Line'!$AI$2:$AI$6001,1,'Per Line'!$AJ$2:$AJ$6001,0))</f>
        <v/>
      </c>
      <c r="Q1010" s="7">
        <f>IF($V1010="","",P1010*O1010)</f>
        <v/>
      </c>
      <c r="R1010" s="7">
        <f>IF($V1010="","",Q1010+N1010)</f>
        <v/>
      </c>
      <c r="S1010" s="7">
        <f>IF($V1010="","",T1010-R1010)</f>
        <v/>
      </c>
      <c r="T1010" s="7">
        <f>IF($V1010="","",M1010+P1010+K1010)</f>
        <v/>
      </c>
      <c r="U1010" s="7">
        <f>IF($V1010="","",T1010-R1010-I1010)</f>
        <v/>
      </c>
      <c r="V1010" s="13">
        <f>IF(ROWS($V$2:$V1010)&lt;=MAX('Per Line'!$AH$2:$AH$6001),MATCH(ROWS($V$2:$V1010),'Per Line'!$AH$2:$AH$6001,0),"")</f>
        <v/>
      </c>
    </row>
    <row r="1011">
      <c r="A1011" s="12" t="n"/>
      <c r="B1011">
        <f>IF($V1011="","",INDEX('Per Line'!$C$2:$C$6001,$V1011)&amp;"")</f>
        <v/>
      </c>
      <c r="C1011" s="11">
        <f>IF($V1011="","",INDEX('Per Line'!$D$2:$D$6001,$V1011))</f>
        <v/>
      </c>
      <c r="D1011">
        <f>IF($V1011="","",INDEX('Per Line'!$E$2:$E$6001,$V1011)&amp;"")</f>
        <v/>
      </c>
      <c r="E1011">
        <f>IF($V1011="","",INDEX('Per Line'!$G$2:$G$6001,$V1011)&amp;"")</f>
        <v/>
      </c>
      <c r="F1011">
        <f>IF($V1011="","",INDEX('Per Line'!$H$2:$H$6001,$V1011)&amp;"")</f>
        <v/>
      </c>
      <c r="G1011">
        <f>IF($V1011="","",INDEX('Per Line'!$I$2:$I$6001,$V1011)&amp;"")</f>
        <v/>
      </c>
      <c r="H1011">
        <f>IF($V1011="","",INDEX('Per Line'!$J$2:$J$6001,$V1011))</f>
        <v/>
      </c>
      <c r="I1011" s="7">
        <f>IF($V1011="","",H1011*S1011/100)</f>
        <v/>
      </c>
      <c r="J1011">
        <f>IF($V1011="","",INDEX('Per Line'!$S$2:$S$6001,$V1011)&amp;"")</f>
        <v/>
      </c>
      <c r="K1011" s="7">
        <f>IF($V1011="","",SUMIFS('Per Line'!$R$2:$R$6001,'Per Line'!$C$2:$C$6001,$B1011,'Per Line'!$AJ$2:$AJ$6001,1))</f>
        <v/>
      </c>
      <c r="L1011">
        <f>IF($V1011="","",Settings!$C$7)</f>
        <v/>
      </c>
      <c r="M1011" s="7">
        <f>IF($V1011="","",SUMIFS('Per Line'!$R$2:$R$6001,'Per Line'!$C$2:$C$6001,$B1011,'Per Line'!$AI$2:$AI$6001,0,'Per Line'!$AJ$2:$AJ$6001,0))</f>
        <v/>
      </c>
      <c r="N1011" s="7">
        <f>IF($V1011="","",M1011*L1011)</f>
        <v/>
      </c>
      <c r="O1011">
        <f>IF($V1011="","",Settings!$C$6)</f>
        <v/>
      </c>
      <c r="P1011" s="7">
        <f>IF($V1011="","",SUMIFS('Per Line'!$R$2:$R$6001,'Per Line'!$C$2:$C$6001,$B1011,'Per Line'!$AI$2:$AI$6001,1,'Per Line'!$AJ$2:$AJ$6001,0))</f>
        <v/>
      </c>
      <c r="Q1011" s="7">
        <f>IF($V1011="","",P1011*O1011)</f>
        <v/>
      </c>
      <c r="R1011" s="7">
        <f>IF($V1011="","",Q1011+N1011)</f>
        <v/>
      </c>
      <c r="S1011" s="7">
        <f>IF($V1011="","",T1011-R1011)</f>
        <v/>
      </c>
      <c r="T1011" s="7">
        <f>IF($V1011="","",M1011+P1011+K1011)</f>
        <v/>
      </c>
      <c r="U1011" s="7">
        <f>IF($V1011="","",T1011-R1011-I1011)</f>
        <v/>
      </c>
      <c r="V1011" s="13">
        <f>IF(ROWS($V$2:$V1011)&lt;=MAX('Per Line'!$AH$2:$AH$6001),MATCH(ROWS($V$2:$V1011),'Per Line'!$AH$2:$AH$6001,0),"")</f>
        <v/>
      </c>
    </row>
    <row r="1012">
      <c r="A1012" s="12" t="n"/>
      <c r="B1012">
        <f>IF($V1012="","",INDEX('Per Line'!$C$2:$C$6001,$V1012)&amp;"")</f>
        <v/>
      </c>
      <c r="C1012" s="11">
        <f>IF($V1012="","",INDEX('Per Line'!$D$2:$D$6001,$V1012))</f>
        <v/>
      </c>
      <c r="D1012">
        <f>IF($V1012="","",INDEX('Per Line'!$E$2:$E$6001,$V1012)&amp;"")</f>
        <v/>
      </c>
      <c r="E1012">
        <f>IF($V1012="","",INDEX('Per Line'!$G$2:$G$6001,$V1012)&amp;"")</f>
        <v/>
      </c>
      <c r="F1012">
        <f>IF($V1012="","",INDEX('Per Line'!$H$2:$H$6001,$V1012)&amp;"")</f>
        <v/>
      </c>
      <c r="G1012">
        <f>IF($V1012="","",INDEX('Per Line'!$I$2:$I$6001,$V1012)&amp;"")</f>
        <v/>
      </c>
      <c r="H1012">
        <f>IF($V1012="","",INDEX('Per Line'!$J$2:$J$6001,$V1012))</f>
        <v/>
      </c>
      <c r="I1012" s="7">
        <f>IF($V1012="","",H1012*S1012/100)</f>
        <v/>
      </c>
      <c r="J1012">
        <f>IF($V1012="","",INDEX('Per Line'!$S$2:$S$6001,$V1012)&amp;"")</f>
        <v/>
      </c>
      <c r="K1012" s="7">
        <f>IF($V1012="","",SUMIFS('Per Line'!$R$2:$R$6001,'Per Line'!$C$2:$C$6001,$B1012,'Per Line'!$AJ$2:$AJ$6001,1))</f>
        <v/>
      </c>
      <c r="L1012">
        <f>IF($V1012="","",Settings!$C$7)</f>
        <v/>
      </c>
      <c r="M1012" s="7">
        <f>IF($V1012="","",SUMIFS('Per Line'!$R$2:$R$6001,'Per Line'!$C$2:$C$6001,$B1012,'Per Line'!$AI$2:$AI$6001,0,'Per Line'!$AJ$2:$AJ$6001,0))</f>
        <v/>
      </c>
      <c r="N1012" s="7">
        <f>IF($V1012="","",M1012*L1012)</f>
        <v/>
      </c>
      <c r="O1012">
        <f>IF($V1012="","",Settings!$C$6)</f>
        <v/>
      </c>
      <c r="P1012" s="7">
        <f>IF($V1012="","",SUMIFS('Per Line'!$R$2:$R$6001,'Per Line'!$C$2:$C$6001,$B1012,'Per Line'!$AI$2:$AI$6001,1,'Per Line'!$AJ$2:$AJ$6001,0))</f>
        <v/>
      </c>
      <c r="Q1012" s="7">
        <f>IF($V1012="","",P1012*O1012)</f>
        <v/>
      </c>
      <c r="R1012" s="7">
        <f>IF($V1012="","",Q1012+N1012)</f>
        <v/>
      </c>
      <c r="S1012" s="7">
        <f>IF($V1012="","",T1012-R1012)</f>
        <v/>
      </c>
      <c r="T1012" s="7">
        <f>IF($V1012="","",M1012+P1012+K1012)</f>
        <v/>
      </c>
      <c r="U1012" s="7">
        <f>IF($V1012="","",T1012-R1012-I1012)</f>
        <v/>
      </c>
      <c r="V1012" s="13">
        <f>IF(ROWS($V$2:$V1012)&lt;=MAX('Per Line'!$AH$2:$AH$6001),MATCH(ROWS($V$2:$V1012),'Per Line'!$AH$2:$AH$6001,0),"")</f>
        <v/>
      </c>
    </row>
    <row r="1013">
      <c r="A1013" s="12" t="n"/>
      <c r="B1013">
        <f>IF($V1013="","",INDEX('Per Line'!$C$2:$C$6001,$V1013)&amp;"")</f>
        <v/>
      </c>
      <c r="C1013" s="11">
        <f>IF($V1013="","",INDEX('Per Line'!$D$2:$D$6001,$V1013))</f>
        <v/>
      </c>
      <c r="D1013">
        <f>IF($V1013="","",INDEX('Per Line'!$E$2:$E$6001,$V1013)&amp;"")</f>
        <v/>
      </c>
      <c r="E1013">
        <f>IF($V1013="","",INDEX('Per Line'!$G$2:$G$6001,$V1013)&amp;"")</f>
        <v/>
      </c>
      <c r="F1013">
        <f>IF($V1013="","",INDEX('Per Line'!$H$2:$H$6001,$V1013)&amp;"")</f>
        <v/>
      </c>
      <c r="G1013">
        <f>IF($V1013="","",INDEX('Per Line'!$I$2:$I$6001,$V1013)&amp;"")</f>
        <v/>
      </c>
      <c r="H1013">
        <f>IF($V1013="","",INDEX('Per Line'!$J$2:$J$6001,$V1013))</f>
        <v/>
      </c>
      <c r="I1013" s="7">
        <f>IF($V1013="","",H1013*S1013/100)</f>
        <v/>
      </c>
      <c r="J1013">
        <f>IF($V1013="","",INDEX('Per Line'!$S$2:$S$6001,$V1013)&amp;"")</f>
        <v/>
      </c>
      <c r="K1013" s="7">
        <f>IF($V1013="","",SUMIFS('Per Line'!$R$2:$R$6001,'Per Line'!$C$2:$C$6001,$B1013,'Per Line'!$AJ$2:$AJ$6001,1))</f>
        <v/>
      </c>
      <c r="L1013">
        <f>IF($V1013="","",Settings!$C$7)</f>
        <v/>
      </c>
      <c r="M1013" s="7">
        <f>IF($V1013="","",SUMIFS('Per Line'!$R$2:$R$6001,'Per Line'!$C$2:$C$6001,$B1013,'Per Line'!$AI$2:$AI$6001,0,'Per Line'!$AJ$2:$AJ$6001,0))</f>
        <v/>
      </c>
      <c r="N1013" s="7">
        <f>IF($V1013="","",M1013*L1013)</f>
        <v/>
      </c>
      <c r="O1013">
        <f>IF($V1013="","",Settings!$C$6)</f>
        <v/>
      </c>
      <c r="P1013" s="7">
        <f>IF($V1013="","",SUMIFS('Per Line'!$R$2:$R$6001,'Per Line'!$C$2:$C$6001,$B1013,'Per Line'!$AI$2:$AI$6001,1,'Per Line'!$AJ$2:$AJ$6001,0))</f>
        <v/>
      </c>
      <c r="Q1013" s="7">
        <f>IF($V1013="","",P1013*O1013)</f>
        <v/>
      </c>
      <c r="R1013" s="7">
        <f>IF($V1013="","",Q1013+N1013)</f>
        <v/>
      </c>
      <c r="S1013" s="7">
        <f>IF($V1013="","",T1013-R1013)</f>
        <v/>
      </c>
      <c r="T1013" s="7">
        <f>IF($V1013="","",M1013+P1013+K1013)</f>
        <v/>
      </c>
      <c r="U1013" s="7">
        <f>IF($V1013="","",T1013-R1013-I1013)</f>
        <v/>
      </c>
      <c r="V1013" s="13">
        <f>IF(ROWS($V$2:$V1013)&lt;=MAX('Per Line'!$AH$2:$AH$6001),MATCH(ROWS($V$2:$V1013),'Per Line'!$AH$2:$AH$6001,0),"")</f>
        <v/>
      </c>
    </row>
    <row r="1014">
      <c r="A1014" s="12" t="n"/>
      <c r="B1014">
        <f>IF($V1014="","",INDEX('Per Line'!$C$2:$C$6001,$V1014)&amp;"")</f>
        <v/>
      </c>
      <c r="C1014" s="11">
        <f>IF($V1014="","",INDEX('Per Line'!$D$2:$D$6001,$V1014))</f>
        <v/>
      </c>
      <c r="D1014">
        <f>IF($V1014="","",INDEX('Per Line'!$E$2:$E$6001,$V1014)&amp;"")</f>
        <v/>
      </c>
      <c r="E1014">
        <f>IF($V1014="","",INDEX('Per Line'!$G$2:$G$6001,$V1014)&amp;"")</f>
        <v/>
      </c>
      <c r="F1014">
        <f>IF($V1014="","",INDEX('Per Line'!$H$2:$H$6001,$V1014)&amp;"")</f>
        <v/>
      </c>
      <c r="G1014">
        <f>IF($V1014="","",INDEX('Per Line'!$I$2:$I$6001,$V1014)&amp;"")</f>
        <v/>
      </c>
      <c r="H1014">
        <f>IF($V1014="","",INDEX('Per Line'!$J$2:$J$6001,$V1014))</f>
        <v/>
      </c>
      <c r="I1014" s="7">
        <f>IF($V1014="","",H1014*S1014/100)</f>
        <v/>
      </c>
      <c r="J1014">
        <f>IF($V1014="","",INDEX('Per Line'!$S$2:$S$6001,$V1014)&amp;"")</f>
        <v/>
      </c>
      <c r="K1014" s="7">
        <f>IF($V1014="","",SUMIFS('Per Line'!$R$2:$R$6001,'Per Line'!$C$2:$C$6001,$B1014,'Per Line'!$AJ$2:$AJ$6001,1))</f>
        <v/>
      </c>
      <c r="L1014">
        <f>IF($V1014="","",Settings!$C$7)</f>
        <v/>
      </c>
      <c r="M1014" s="7">
        <f>IF($V1014="","",SUMIFS('Per Line'!$R$2:$R$6001,'Per Line'!$C$2:$C$6001,$B1014,'Per Line'!$AI$2:$AI$6001,0,'Per Line'!$AJ$2:$AJ$6001,0))</f>
        <v/>
      </c>
      <c r="N1014" s="7">
        <f>IF($V1014="","",M1014*L1014)</f>
        <v/>
      </c>
      <c r="O1014">
        <f>IF($V1014="","",Settings!$C$6)</f>
        <v/>
      </c>
      <c r="P1014" s="7">
        <f>IF($V1014="","",SUMIFS('Per Line'!$R$2:$R$6001,'Per Line'!$C$2:$C$6001,$B1014,'Per Line'!$AI$2:$AI$6001,1,'Per Line'!$AJ$2:$AJ$6001,0))</f>
        <v/>
      </c>
      <c r="Q1014" s="7">
        <f>IF($V1014="","",P1014*O1014)</f>
        <v/>
      </c>
      <c r="R1014" s="7">
        <f>IF($V1014="","",Q1014+N1014)</f>
        <v/>
      </c>
      <c r="S1014" s="7">
        <f>IF($V1014="","",T1014-R1014)</f>
        <v/>
      </c>
      <c r="T1014" s="7">
        <f>IF($V1014="","",M1014+P1014+K1014)</f>
        <v/>
      </c>
      <c r="U1014" s="7">
        <f>IF($V1014="","",T1014-R1014-I1014)</f>
        <v/>
      </c>
      <c r="V1014" s="13">
        <f>IF(ROWS($V$2:$V1014)&lt;=MAX('Per Line'!$AH$2:$AH$6001),MATCH(ROWS($V$2:$V1014),'Per Line'!$AH$2:$AH$6001,0),"")</f>
        <v/>
      </c>
    </row>
    <row r="1015">
      <c r="A1015" s="12" t="n"/>
      <c r="B1015">
        <f>IF($V1015="","",INDEX('Per Line'!$C$2:$C$6001,$V1015)&amp;"")</f>
        <v/>
      </c>
      <c r="C1015" s="11">
        <f>IF($V1015="","",INDEX('Per Line'!$D$2:$D$6001,$V1015))</f>
        <v/>
      </c>
      <c r="D1015">
        <f>IF($V1015="","",INDEX('Per Line'!$E$2:$E$6001,$V1015)&amp;"")</f>
        <v/>
      </c>
      <c r="E1015">
        <f>IF($V1015="","",INDEX('Per Line'!$G$2:$G$6001,$V1015)&amp;"")</f>
        <v/>
      </c>
      <c r="F1015">
        <f>IF($V1015="","",INDEX('Per Line'!$H$2:$H$6001,$V1015)&amp;"")</f>
        <v/>
      </c>
      <c r="G1015">
        <f>IF($V1015="","",INDEX('Per Line'!$I$2:$I$6001,$V1015)&amp;"")</f>
        <v/>
      </c>
      <c r="H1015">
        <f>IF($V1015="","",INDEX('Per Line'!$J$2:$J$6001,$V1015))</f>
        <v/>
      </c>
      <c r="I1015" s="7">
        <f>IF($V1015="","",H1015*S1015/100)</f>
        <v/>
      </c>
      <c r="J1015">
        <f>IF($V1015="","",INDEX('Per Line'!$S$2:$S$6001,$V1015)&amp;"")</f>
        <v/>
      </c>
      <c r="K1015" s="7">
        <f>IF($V1015="","",SUMIFS('Per Line'!$R$2:$R$6001,'Per Line'!$C$2:$C$6001,$B1015,'Per Line'!$AJ$2:$AJ$6001,1))</f>
        <v/>
      </c>
      <c r="L1015">
        <f>IF($V1015="","",Settings!$C$7)</f>
        <v/>
      </c>
      <c r="M1015" s="7">
        <f>IF($V1015="","",SUMIFS('Per Line'!$R$2:$R$6001,'Per Line'!$C$2:$C$6001,$B1015,'Per Line'!$AI$2:$AI$6001,0,'Per Line'!$AJ$2:$AJ$6001,0))</f>
        <v/>
      </c>
      <c r="N1015" s="7">
        <f>IF($V1015="","",M1015*L1015)</f>
        <v/>
      </c>
      <c r="O1015">
        <f>IF($V1015="","",Settings!$C$6)</f>
        <v/>
      </c>
      <c r="P1015" s="7">
        <f>IF($V1015="","",SUMIFS('Per Line'!$R$2:$R$6001,'Per Line'!$C$2:$C$6001,$B1015,'Per Line'!$AI$2:$AI$6001,1,'Per Line'!$AJ$2:$AJ$6001,0))</f>
        <v/>
      </c>
      <c r="Q1015" s="7">
        <f>IF($V1015="","",P1015*O1015)</f>
        <v/>
      </c>
      <c r="R1015" s="7">
        <f>IF($V1015="","",Q1015+N1015)</f>
        <v/>
      </c>
      <c r="S1015" s="7">
        <f>IF($V1015="","",T1015-R1015)</f>
        <v/>
      </c>
      <c r="T1015" s="7">
        <f>IF($V1015="","",M1015+P1015+K1015)</f>
        <v/>
      </c>
      <c r="U1015" s="7">
        <f>IF($V1015="","",T1015-R1015-I1015)</f>
        <v/>
      </c>
      <c r="V1015" s="13">
        <f>IF(ROWS($V$2:$V1015)&lt;=MAX('Per Line'!$AH$2:$AH$6001),MATCH(ROWS($V$2:$V1015),'Per Line'!$AH$2:$AH$6001,0),"")</f>
        <v/>
      </c>
    </row>
    <row r="1016">
      <c r="A1016" s="12" t="n"/>
      <c r="B1016">
        <f>IF($V1016="","",INDEX('Per Line'!$C$2:$C$6001,$V1016)&amp;"")</f>
        <v/>
      </c>
      <c r="C1016" s="11">
        <f>IF($V1016="","",INDEX('Per Line'!$D$2:$D$6001,$V1016))</f>
        <v/>
      </c>
      <c r="D1016">
        <f>IF($V1016="","",INDEX('Per Line'!$E$2:$E$6001,$V1016)&amp;"")</f>
        <v/>
      </c>
      <c r="E1016">
        <f>IF($V1016="","",INDEX('Per Line'!$G$2:$G$6001,$V1016)&amp;"")</f>
        <v/>
      </c>
      <c r="F1016">
        <f>IF($V1016="","",INDEX('Per Line'!$H$2:$H$6001,$V1016)&amp;"")</f>
        <v/>
      </c>
      <c r="G1016">
        <f>IF($V1016="","",INDEX('Per Line'!$I$2:$I$6001,$V1016)&amp;"")</f>
        <v/>
      </c>
      <c r="H1016">
        <f>IF($V1016="","",INDEX('Per Line'!$J$2:$J$6001,$V1016))</f>
        <v/>
      </c>
      <c r="I1016" s="7">
        <f>IF($V1016="","",H1016*S1016/100)</f>
        <v/>
      </c>
      <c r="J1016">
        <f>IF($V1016="","",INDEX('Per Line'!$S$2:$S$6001,$V1016)&amp;"")</f>
        <v/>
      </c>
      <c r="K1016" s="7">
        <f>IF($V1016="","",SUMIFS('Per Line'!$R$2:$R$6001,'Per Line'!$C$2:$C$6001,$B1016,'Per Line'!$AJ$2:$AJ$6001,1))</f>
        <v/>
      </c>
      <c r="L1016">
        <f>IF($V1016="","",Settings!$C$7)</f>
        <v/>
      </c>
      <c r="M1016" s="7">
        <f>IF($V1016="","",SUMIFS('Per Line'!$R$2:$R$6001,'Per Line'!$C$2:$C$6001,$B1016,'Per Line'!$AI$2:$AI$6001,0,'Per Line'!$AJ$2:$AJ$6001,0))</f>
        <v/>
      </c>
      <c r="N1016" s="7">
        <f>IF($V1016="","",M1016*L1016)</f>
        <v/>
      </c>
      <c r="O1016">
        <f>IF($V1016="","",Settings!$C$6)</f>
        <v/>
      </c>
      <c r="P1016" s="7">
        <f>IF($V1016="","",SUMIFS('Per Line'!$R$2:$R$6001,'Per Line'!$C$2:$C$6001,$B1016,'Per Line'!$AI$2:$AI$6001,1,'Per Line'!$AJ$2:$AJ$6001,0))</f>
        <v/>
      </c>
      <c r="Q1016" s="7">
        <f>IF($V1016="","",P1016*O1016)</f>
        <v/>
      </c>
      <c r="R1016" s="7">
        <f>IF($V1016="","",Q1016+N1016)</f>
        <v/>
      </c>
      <c r="S1016" s="7">
        <f>IF($V1016="","",T1016-R1016)</f>
        <v/>
      </c>
      <c r="T1016" s="7">
        <f>IF($V1016="","",M1016+P1016+K1016)</f>
        <v/>
      </c>
      <c r="U1016" s="7">
        <f>IF($V1016="","",T1016-R1016-I1016)</f>
        <v/>
      </c>
      <c r="V1016" s="13">
        <f>IF(ROWS($V$2:$V1016)&lt;=MAX('Per Line'!$AH$2:$AH$6001),MATCH(ROWS($V$2:$V1016),'Per Line'!$AH$2:$AH$6001,0),"")</f>
        <v/>
      </c>
    </row>
    <row r="1017">
      <c r="A1017" s="12" t="n"/>
      <c r="B1017">
        <f>IF($V1017="","",INDEX('Per Line'!$C$2:$C$6001,$V1017)&amp;"")</f>
        <v/>
      </c>
      <c r="C1017" s="11">
        <f>IF($V1017="","",INDEX('Per Line'!$D$2:$D$6001,$V1017))</f>
        <v/>
      </c>
      <c r="D1017">
        <f>IF($V1017="","",INDEX('Per Line'!$E$2:$E$6001,$V1017)&amp;"")</f>
        <v/>
      </c>
      <c r="E1017">
        <f>IF($V1017="","",INDEX('Per Line'!$G$2:$G$6001,$V1017)&amp;"")</f>
        <v/>
      </c>
      <c r="F1017">
        <f>IF($V1017="","",INDEX('Per Line'!$H$2:$H$6001,$V1017)&amp;"")</f>
        <v/>
      </c>
      <c r="G1017">
        <f>IF($V1017="","",INDEX('Per Line'!$I$2:$I$6001,$V1017)&amp;"")</f>
        <v/>
      </c>
      <c r="H1017">
        <f>IF($V1017="","",INDEX('Per Line'!$J$2:$J$6001,$V1017))</f>
        <v/>
      </c>
      <c r="I1017" s="7">
        <f>IF($V1017="","",H1017*S1017/100)</f>
        <v/>
      </c>
      <c r="J1017">
        <f>IF($V1017="","",INDEX('Per Line'!$S$2:$S$6001,$V1017)&amp;"")</f>
        <v/>
      </c>
      <c r="K1017" s="7">
        <f>IF($V1017="","",SUMIFS('Per Line'!$R$2:$R$6001,'Per Line'!$C$2:$C$6001,$B1017,'Per Line'!$AJ$2:$AJ$6001,1))</f>
        <v/>
      </c>
      <c r="L1017">
        <f>IF($V1017="","",Settings!$C$7)</f>
        <v/>
      </c>
      <c r="M1017" s="7">
        <f>IF($V1017="","",SUMIFS('Per Line'!$R$2:$R$6001,'Per Line'!$C$2:$C$6001,$B1017,'Per Line'!$AI$2:$AI$6001,0,'Per Line'!$AJ$2:$AJ$6001,0))</f>
        <v/>
      </c>
      <c r="N1017" s="7">
        <f>IF($V1017="","",M1017*L1017)</f>
        <v/>
      </c>
      <c r="O1017">
        <f>IF($V1017="","",Settings!$C$6)</f>
        <v/>
      </c>
      <c r="P1017" s="7">
        <f>IF($V1017="","",SUMIFS('Per Line'!$R$2:$R$6001,'Per Line'!$C$2:$C$6001,$B1017,'Per Line'!$AI$2:$AI$6001,1,'Per Line'!$AJ$2:$AJ$6001,0))</f>
        <v/>
      </c>
      <c r="Q1017" s="7">
        <f>IF($V1017="","",P1017*O1017)</f>
        <v/>
      </c>
      <c r="R1017" s="7">
        <f>IF($V1017="","",Q1017+N1017)</f>
        <v/>
      </c>
      <c r="S1017" s="7">
        <f>IF($V1017="","",T1017-R1017)</f>
        <v/>
      </c>
      <c r="T1017" s="7">
        <f>IF($V1017="","",M1017+P1017+K1017)</f>
        <v/>
      </c>
      <c r="U1017" s="7">
        <f>IF($V1017="","",T1017-R1017-I1017)</f>
        <v/>
      </c>
      <c r="V1017" s="13">
        <f>IF(ROWS($V$2:$V1017)&lt;=MAX('Per Line'!$AH$2:$AH$6001),MATCH(ROWS($V$2:$V1017),'Per Line'!$AH$2:$AH$6001,0),"")</f>
        <v/>
      </c>
    </row>
    <row r="1018">
      <c r="A1018" s="12" t="n"/>
      <c r="B1018">
        <f>IF($V1018="","",INDEX('Per Line'!$C$2:$C$6001,$V1018)&amp;"")</f>
        <v/>
      </c>
      <c r="C1018" s="11">
        <f>IF($V1018="","",INDEX('Per Line'!$D$2:$D$6001,$V1018))</f>
        <v/>
      </c>
      <c r="D1018">
        <f>IF($V1018="","",INDEX('Per Line'!$E$2:$E$6001,$V1018)&amp;"")</f>
        <v/>
      </c>
      <c r="E1018">
        <f>IF($V1018="","",INDEX('Per Line'!$G$2:$G$6001,$V1018)&amp;"")</f>
        <v/>
      </c>
      <c r="F1018">
        <f>IF($V1018="","",INDEX('Per Line'!$H$2:$H$6001,$V1018)&amp;"")</f>
        <v/>
      </c>
      <c r="G1018">
        <f>IF($V1018="","",INDEX('Per Line'!$I$2:$I$6001,$V1018)&amp;"")</f>
        <v/>
      </c>
      <c r="H1018">
        <f>IF($V1018="","",INDEX('Per Line'!$J$2:$J$6001,$V1018))</f>
        <v/>
      </c>
      <c r="I1018" s="7">
        <f>IF($V1018="","",H1018*S1018/100)</f>
        <v/>
      </c>
      <c r="J1018">
        <f>IF($V1018="","",INDEX('Per Line'!$S$2:$S$6001,$V1018)&amp;"")</f>
        <v/>
      </c>
      <c r="K1018" s="7">
        <f>IF($V1018="","",SUMIFS('Per Line'!$R$2:$R$6001,'Per Line'!$C$2:$C$6001,$B1018,'Per Line'!$AJ$2:$AJ$6001,1))</f>
        <v/>
      </c>
      <c r="L1018">
        <f>IF($V1018="","",Settings!$C$7)</f>
        <v/>
      </c>
      <c r="M1018" s="7">
        <f>IF($V1018="","",SUMIFS('Per Line'!$R$2:$R$6001,'Per Line'!$C$2:$C$6001,$B1018,'Per Line'!$AI$2:$AI$6001,0,'Per Line'!$AJ$2:$AJ$6001,0))</f>
        <v/>
      </c>
      <c r="N1018" s="7">
        <f>IF($V1018="","",M1018*L1018)</f>
        <v/>
      </c>
      <c r="O1018">
        <f>IF($V1018="","",Settings!$C$6)</f>
        <v/>
      </c>
      <c r="P1018" s="7">
        <f>IF($V1018="","",SUMIFS('Per Line'!$R$2:$R$6001,'Per Line'!$C$2:$C$6001,$B1018,'Per Line'!$AI$2:$AI$6001,1,'Per Line'!$AJ$2:$AJ$6001,0))</f>
        <v/>
      </c>
      <c r="Q1018" s="7">
        <f>IF($V1018="","",P1018*O1018)</f>
        <v/>
      </c>
      <c r="R1018" s="7">
        <f>IF($V1018="","",Q1018+N1018)</f>
        <v/>
      </c>
      <c r="S1018" s="7">
        <f>IF($V1018="","",T1018-R1018)</f>
        <v/>
      </c>
      <c r="T1018" s="7">
        <f>IF($V1018="","",M1018+P1018+K1018)</f>
        <v/>
      </c>
      <c r="U1018" s="7">
        <f>IF($V1018="","",T1018-R1018-I1018)</f>
        <v/>
      </c>
      <c r="V1018" s="13">
        <f>IF(ROWS($V$2:$V1018)&lt;=MAX('Per Line'!$AH$2:$AH$6001),MATCH(ROWS($V$2:$V1018),'Per Line'!$AH$2:$AH$6001,0),"")</f>
        <v/>
      </c>
    </row>
    <row r="1019">
      <c r="A1019" s="12" t="n"/>
      <c r="B1019">
        <f>IF($V1019="","",INDEX('Per Line'!$C$2:$C$6001,$V1019)&amp;"")</f>
        <v/>
      </c>
      <c r="C1019" s="11">
        <f>IF($V1019="","",INDEX('Per Line'!$D$2:$D$6001,$V1019))</f>
        <v/>
      </c>
      <c r="D1019">
        <f>IF($V1019="","",INDEX('Per Line'!$E$2:$E$6001,$V1019)&amp;"")</f>
        <v/>
      </c>
      <c r="E1019">
        <f>IF($V1019="","",INDEX('Per Line'!$G$2:$G$6001,$V1019)&amp;"")</f>
        <v/>
      </c>
      <c r="F1019">
        <f>IF($V1019="","",INDEX('Per Line'!$H$2:$H$6001,$V1019)&amp;"")</f>
        <v/>
      </c>
      <c r="G1019">
        <f>IF($V1019="","",INDEX('Per Line'!$I$2:$I$6001,$V1019)&amp;"")</f>
        <v/>
      </c>
      <c r="H1019">
        <f>IF($V1019="","",INDEX('Per Line'!$J$2:$J$6001,$V1019))</f>
        <v/>
      </c>
      <c r="I1019" s="7">
        <f>IF($V1019="","",H1019*S1019/100)</f>
        <v/>
      </c>
      <c r="J1019">
        <f>IF($V1019="","",INDEX('Per Line'!$S$2:$S$6001,$V1019)&amp;"")</f>
        <v/>
      </c>
      <c r="K1019" s="7">
        <f>IF($V1019="","",SUMIFS('Per Line'!$R$2:$R$6001,'Per Line'!$C$2:$C$6001,$B1019,'Per Line'!$AJ$2:$AJ$6001,1))</f>
        <v/>
      </c>
      <c r="L1019">
        <f>IF($V1019="","",Settings!$C$7)</f>
        <v/>
      </c>
      <c r="M1019" s="7">
        <f>IF($V1019="","",SUMIFS('Per Line'!$R$2:$R$6001,'Per Line'!$C$2:$C$6001,$B1019,'Per Line'!$AI$2:$AI$6001,0,'Per Line'!$AJ$2:$AJ$6001,0))</f>
        <v/>
      </c>
      <c r="N1019" s="7">
        <f>IF($V1019="","",M1019*L1019)</f>
        <v/>
      </c>
      <c r="O1019">
        <f>IF($V1019="","",Settings!$C$6)</f>
        <v/>
      </c>
      <c r="P1019" s="7">
        <f>IF($V1019="","",SUMIFS('Per Line'!$R$2:$R$6001,'Per Line'!$C$2:$C$6001,$B1019,'Per Line'!$AI$2:$AI$6001,1,'Per Line'!$AJ$2:$AJ$6001,0))</f>
        <v/>
      </c>
      <c r="Q1019" s="7">
        <f>IF($V1019="","",P1019*O1019)</f>
        <v/>
      </c>
      <c r="R1019" s="7">
        <f>IF($V1019="","",Q1019+N1019)</f>
        <v/>
      </c>
      <c r="S1019" s="7">
        <f>IF($V1019="","",T1019-R1019)</f>
        <v/>
      </c>
      <c r="T1019" s="7">
        <f>IF($V1019="","",M1019+P1019+K1019)</f>
        <v/>
      </c>
      <c r="U1019" s="7">
        <f>IF($V1019="","",T1019-R1019-I1019)</f>
        <v/>
      </c>
      <c r="V1019" s="13">
        <f>IF(ROWS($V$2:$V1019)&lt;=MAX('Per Line'!$AH$2:$AH$6001),MATCH(ROWS($V$2:$V1019),'Per Line'!$AH$2:$AH$6001,0),"")</f>
        <v/>
      </c>
    </row>
    <row r="1020">
      <c r="A1020" s="12" t="n"/>
      <c r="B1020">
        <f>IF($V1020="","",INDEX('Per Line'!$C$2:$C$6001,$V1020)&amp;"")</f>
        <v/>
      </c>
      <c r="C1020" s="11">
        <f>IF($V1020="","",INDEX('Per Line'!$D$2:$D$6001,$V1020))</f>
        <v/>
      </c>
      <c r="D1020">
        <f>IF($V1020="","",INDEX('Per Line'!$E$2:$E$6001,$V1020)&amp;"")</f>
        <v/>
      </c>
      <c r="E1020">
        <f>IF($V1020="","",INDEX('Per Line'!$G$2:$G$6001,$V1020)&amp;"")</f>
        <v/>
      </c>
      <c r="F1020">
        <f>IF($V1020="","",INDEX('Per Line'!$H$2:$H$6001,$V1020)&amp;"")</f>
        <v/>
      </c>
      <c r="G1020">
        <f>IF($V1020="","",INDEX('Per Line'!$I$2:$I$6001,$V1020)&amp;"")</f>
        <v/>
      </c>
      <c r="H1020">
        <f>IF($V1020="","",INDEX('Per Line'!$J$2:$J$6001,$V1020))</f>
        <v/>
      </c>
      <c r="I1020" s="7">
        <f>IF($V1020="","",H1020*S1020/100)</f>
        <v/>
      </c>
      <c r="J1020">
        <f>IF($V1020="","",INDEX('Per Line'!$S$2:$S$6001,$V1020)&amp;"")</f>
        <v/>
      </c>
      <c r="K1020" s="7">
        <f>IF($V1020="","",SUMIFS('Per Line'!$R$2:$R$6001,'Per Line'!$C$2:$C$6001,$B1020,'Per Line'!$AJ$2:$AJ$6001,1))</f>
        <v/>
      </c>
      <c r="L1020">
        <f>IF($V1020="","",Settings!$C$7)</f>
        <v/>
      </c>
      <c r="M1020" s="7">
        <f>IF($V1020="","",SUMIFS('Per Line'!$R$2:$R$6001,'Per Line'!$C$2:$C$6001,$B1020,'Per Line'!$AI$2:$AI$6001,0,'Per Line'!$AJ$2:$AJ$6001,0))</f>
        <v/>
      </c>
      <c r="N1020" s="7">
        <f>IF($V1020="","",M1020*L1020)</f>
        <v/>
      </c>
      <c r="O1020">
        <f>IF($V1020="","",Settings!$C$6)</f>
        <v/>
      </c>
      <c r="P1020" s="7">
        <f>IF($V1020="","",SUMIFS('Per Line'!$R$2:$R$6001,'Per Line'!$C$2:$C$6001,$B1020,'Per Line'!$AI$2:$AI$6001,1,'Per Line'!$AJ$2:$AJ$6001,0))</f>
        <v/>
      </c>
      <c r="Q1020" s="7">
        <f>IF($V1020="","",P1020*O1020)</f>
        <v/>
      </c>
      <c r="R1020" s="7">
        <f>IF($V1020="","",Q1020+N1020)</f>
        <v/>
      </c>
      <c r="S1020" s="7">
        <f>IF($V1020="","",T1020-R1020)</f>
        <v/>
      </c>
      <c r="T1020" s="7">
        <f>IF($V1020="","",M1020+P1020+K1020)</f>
        <v/>
      </c>
      <c r="U1020" s="7">
        <f>IF($V1020="","",T1020-R1020-I1020)</f>
        <v/>
      </c>
      <c r="V1020" s="13">
        <f>IF(ROWS($V$2:$V1020)&lt;=MAX('Per Line'!$AH$2:$AH$6001),MATCH(ROWS($V$2:$V1020),'Per Line'!$AH$2:$AH$6001,0),"")</f>
        <v/>
      </c>
    </row>
    <row r="1021">
      <c r="A1021" s="12" t="n"/>
      <c r="B1021">
        <f>IF($V1021="","",INDEX('Per Line'!$C$2:$C$6001,$V1021)&amp;"")</f>
        <v/>
      </c>
      <c r="C1021" s="11">
        <f>IF($V1021="","",INDEX('Per Line'!$D$2:$D$6001,$V1021))</f>
        <v/>
      </c>
      <c r="D1021">
        <f>IF($V1021="","",INDEX('Per Line'!$E$2:$E$6001,$V1021)&amp;"")</f>
        <v/>
      </c>
      <c r="E1021">
        <f>IF($V1021="","",INDEX('Per Line'!$G$2:$G$6001,$V1021)&amp;"")</f>
        <v/>
      </c>
      <c r="F1021">
        <f>IF($V1021="","",INDEX('Per Line'!$H$2:$H$6001,$V1021)&amp;"")</f>
        <v/>
      </c>
      <c r="G1021">
        <f>IF($V1021="","",INDEX('Per Line'!$I$2:$I$6001,$V1021)&amp;"")</f>
        <v/>
      </c>
      <c r="H1021">
        <f>IF($V1021="","",INDEX('Per Line'!$J$2:$J$6001,$V1021))</f>
        <v/>
      </c>
      <c r="I1021" s="7">
        <f>IF($V1021="","",H1021*S1021/100)</f>
        <v/>
      </c>
      <c r="J1021">
        <f>IF($V1021="","",INDEX('Per Line'!$S$2:$S$6001,$V1021)&amp;"")</f>
        <v/>
      </c>
      <c r="K1021" s="7">
        <f>IF($V1021="","",SUMIFS('Per Line'!$R$2:$R$6001,'Per Line'!$C$2:$C$6001,$B1021,'Per Line'!$AJ$2:$AJ$6001,1))</f>
        <v/>
      </c>
      <c r="L1021">
        <f>IF($V1021="","",Settings!$C$7)</f>
        <v/>
      </c>
      <c r="M1021" s="7">
        <f>IF($V1021="","",SUMIFS('Per Line'!$R$2:$R$6001,'Per Line'!$C$2:$C$6001,$B1021,'Per Line'!$AI$2:$AI$6001,0,'Per Line'!$AJ$2:$AJ$6001,0))</f>
        <v/>
      </c>
      <c r="N1021" s="7">
        <f>IF($V1021="","",M1021*L1021)</f>
        <v/>
      </c>
      <c r="O1021">
        <f>IF($V1021="","",Settings!$C$6)</f>
        <v/>
      </c>
      <c r="P1021" s="7">
        <f>IF($V1021="","",SUMIFS('Per Line'!$R$2:$R$6001,'Per Line'!$C$2:$C$6001,$B1021,'Per Line'!$AI$2:$AI$6001,1,'Per Line'!$AJ$2:$AJ$6001,0))</f>
        <v/>
      </c>
      <c r="Q1021" s="7">
        <f>IF($V1021="","",P1021*O1021)</f>
        <v/>
      </c>
      <c r="R1021" s="7">
        <f>IF($V1021="","",Q1021+N1021)</f>
        <v/>
      </c>
      <c r="S1021" s="7">
        <f>IF($V1021="","",T1021-R1021)</f>
        <v/>
      </c>
      <c r="T1021" s="7">
        <f>IF($V1021="","",M1021+P1021+K1021)</f>
        <v/>
      </c>
      <c r="U1021" s="7">
        <f>IF($V1021="","",T1021-R1021-I1021)</f>
        <v/>
      </c>
      <c r="V1021" s="13">
        <f>IF(ROWS($V$2:$V1021)&lt;=MAX('Per Line'!$AH$2:$AH$6001),MATCH(ROWS($V$2:$V1021),'Per Line'!$AH$2:$AH$6001,0),"")</f>
        <v/>
      </c>
    </row>
    <row r="1022">
      <c r="A1022" s="12" t="n"/>
      <c r="B1022">
        <f>IF($V1022="","",INDEX('Per Line'!$C$2:$C$6001,$V1022)&amp;"")</f>
        <v/>
      </c>
      <c r="C1022" s="11">
        <f>IF($V1022="","",INDEX('Per Line'!$D$2:$D$6001,$V1022))</f>
        <v/>
      </c>
      <c r="D1022">
        <f>IF($V1022="","",INDEX('Per Line'!$E$2:$E$6001,$V1022)&amp;"")</f>
        <v/>
      </c>
      <c r="E1022">
        <f>IF($V1022="","",INDEX('Per Line'!$G$2:$G$6001,$V1022)&amp;"")</f>
        <v/>
      </c>
      <c r="F1022">
        <f>IF($V1022="","",INDEX('Per Line'!$H$2:$H$6001,$V1022)&amp;"")</f>
        <v/>
      </c>
      <c r="G1022">
        <f>IF($V1022="","",INDEX('Per Line'!$I$2:$I$6001,$V1022)&amp;"")</f>
        <v/>
      </c>
      <c r="H1022">
        <f>IF($V1022="","",INDEX('Per Line'!$J$2:$J$6001,$V1022))</f>
        <v/>
      </c>
      <c r="I1022" s="7">
        <f>IF($V1022="","",H1022*S1022/100)</f>
        <v/>
      </c>
      <c r="J1022">
        <f>IF($V1022="","",INDEX('Per Line'!$S$2:$S$6001,$V1022)&amp;"")</f>
        <v/>
      </c>
      <c r="K1022" s="7">
        <f>IF($V1022="","",SUMIFS('Per Line'!$R$2:$R$6001,'Per Line'!$C$2:$C$6001,$B1022,'Per Line'!$AJ$2:$AJ$6001,1))</f>
        <v/>
      </c>
      <c r="L1022">
        <f>IF($V1022="","",Settings!$C$7)</f>
        <v/>
      </c>
      <c r="M1022" s="7">
        <f>IF($V1022="","",SUMIFS('Per Line'!$R$2:$R$6001,'Per Line'!$C$2:$C$6001,$B1022,'Per Line'!$AI$2:$AI$6001,0,'Per Line'!$AJ$2:$AJ$6001,0))</f>
        <v/>
      </c>
      <c r="N1022" s="7">
        <f>IF($V1022="","",M1022*L1022)</f>
        <v/>
      </c>
      <c r="O1022">
        <f>IF($V1022="","",Settings!$C$6)</f>
        <v/>
      </c>
      <c r="P1022" s="7">
        <f>IF($V1022="","",SUMIFS('Per Line'!$R$2:$R$6001,'Per Line'!$C$2:$C$6001,$B1022,'Per Line'!$AI$2:$AI$6001,1,'Per Line'!$AJ$2:$AJ$6001,0))</f>
        <v/>
      </c>
      <c r="Q1022" s="7">
        <f>IF($V1022="","",P1022*O1022)</f>
        <v/>
      </c>
      <c r="R1022" s="7">
        <f>IF($V1022="","",Q1022+N1022)</f>
        <v/>
      </c>
      <c r="S1022" s="7">
        <f>IF($V1022="","",T1022-R1022)</f>
        <v/>
      </c>
      <c r="T1022" s="7">
        <f>IF($V1022="","",M1022+P1022+K1022)</f>
        <v/>
      </c>
      <c r="U1022" s="7">
        <f>IF($V1022="","",T1022-R1022-I1022)</f>
        <v/>
      </c>
      <c r="V1022" s="13">
        <f>IF(ROWS($V$2:$V1022)&lt;=MAX('Per Line'!$AH$2:$AH$6001),MATCH(ROWS($V$2:$V1022),'Per Line'!$AH$2:$AH$6001,0),"")</f>
        <v/>
      </c>
    </row>
    <row r="1023">
      <c r="A1023" s="12" t="n"/>
      <c r="B1023">
        <f>IF($V1023="","",INDEX('Per Line'!$C$2:$C$6001,$V1023)&amp;"")</f>
        <v/>
      </c>
      <c r="C1023" s="11">
        <f>IF($V1023="","",INDEX('Per Line'!$D$2:$D$6001,$V1023))</f>
        <v/>
      </c>
      <c r="D1023">
        <f>IF($V1023="","",INDEX('Per Line'!$E$2:$E$6001,$V1023)&amp;"")</f>
        <v/>
      </c>
      <c r="E1023">
        <f>IF($V1023="","",INDEX('Per Line'!$G$2:$G$6001,$V1023)&amp;"")</f>
        <v/>
      </c>
      <c r="F1023">
        <f>IF($V1023="","",INDEX('Per Line'!$H$2:$H$6001,$V1023)&amp;"")</f>
        <v/>
      </c>
      <c r="G1023">
        <f>IF($V1023="","",INDEX('Per Line'!$I$2:$I$6001,$V1023)&amp;"")</f>
        <v/>
      </c>
      <c r="H1023">
        <f>IF($V1023="","",INDEX('Per Line'!$J$2:$J$6001,$V1023))</f>
        <v/>
      </c>
      <c r="I1023" s="7">
        <f>IF($V1023="","",H1023*S1023/100)</f>
        <v/>
      </c>
      <c r="J1023">
        <f>IF($V1023="","",INDEX('Per Line'!$S$2:$S$6001,$V1023)&amp;"")</f>
        <v/>
      </c>
      <c r="K1023" s="7">
        <f>IF($V1023="","",SUMIFS('Per Line'!$R$2:$R$6001,'Per Line'!$C$2:$C$6001,$B1023,'Per Line'!$AJ$2:$AJ$6001,1))</f>
        <v/>
      </c>
      <c r="L1023">
        <f>IF($V1023="","",Settings!$C$7)</f>
        <v/>
      </c>
      <c r="M1023" s="7">
        <f>IF($V1023="","",SUMIFS('Per Line'!$R$2:$R$6001,'Per Line'!$C$2:$C$6001,$B1023,'Per Line'!$AI$2:$AI$6001,0,'Per Line'!$AJ$2:$AJ$6001,0))</f>
        <v/>
      </c>
      <c r="N1023" s="7">
        <f>IF($V1023="","",M1023*L1023)</f>
        <v/>
      </c>
      <c r="O1023">
        <f>IF($V1023="","",Settings!$C$6)</f>
        <v/>
      </c>
      <c r="P1023" s="7">
        <f>IF($V1023="","",SUMIFS('Per Line'!$R$2:$R$6001,'Per Line'!$C$2:$C$6001,$B1023,'Per Line'!$AI$2:$AI$6001,1,'Per Line'!$AJ$2:$AJ$6001,0))</f>
        <v/>
      </c>
      <c r="Q1023" s="7">
        <f>IF($V1023="","",P1023*O1023)</f>
        <v/>
      </c>
      <c r="R1023" s="7">
        <f>IF($V1023="","",Q1023+N1023)</f>
        <v/>
      </c>
      <c r="S1023" s="7">
        <f>IF($V1023="","",T1023-R1023)</f>
        <v/>
      </c>
      <c r="T1023" s="7">
        <f>IF($V1023="","",M1023+P1023+K1023)</f>
        <v/>
      </c>
      <c r="U1023" s="7">
        <f>IF($V1023="","",T1023-R1023-I1023)</f>
        <v/>
      </c>
      <c r="V1023" s="13">
        <f>IF(ROWS($V$2:$V1023)&lt;=MAX('Per Line'!$AH$2:$AH$6001),MATCH(ROWS($V$2:$V1023),'Per Line'!$AH$2:$AH$6001,0),"")</f>
        <v/>
      </c>
    </row>
    <row r="1024">
      <c r="A1024" s="12" t="n"/>
      <c r="B1024">
        <f>IF($V1024="","",INDEX('Per Line'!$C$2:$C$6001,$V1024)&amp;"")</f>
        <v/>
      </c>
      <c r="C1024" s="11">
        <f>IF($V1024="","",INDEX('Per Line'!$D$2:$D$6001,$V1024))</f>
        <v/>
      </c>
      <c r="D1024">
        <f>IF($V1024="","",INDEX('Per Line'!$E$2:$E$6001,$V1024)&amp;"")</f>
        <v/>
      </c>
      <c r="E1024">
        <f>IF($V1024="","",INDEX('Per Line'!$G$2:$G$6001,$V1024)&amp;"")</f>
        <v/>
      </c>
      <c r="F1024">
        <f>IF($V1024="","",INDEX('Per Line'!$H$2:$H$6001,$V1024)&amp;"")</f>
        <v/>
      </c>
      <c r="G1024">
        <f>IF($V1024="","",INDEX('Per Line'!$I$2:$I$6001,$V1024)&amp;"")</f>
        <v/>
      </c>
      <c r="H1024">
        <f>IF($V1024="","",INDEX('Per Line'!$J$2:$J$6001,$V1024))</f>
        <v/>
      </c>
      <c r="I1024" s="7">
        <f>IF($V1024="","",H1024*S1024/100)</f>
        <v/>
      </c>
      <c r="J1024">
        <f>IF($V1024="","",INDEX('Per Line'!$S$2:$S$6001,$V1024)&amp;"")</f>
        <v/>
      </c>
      <c r="K1024" s="7">
        <f>IF($V1024="","",SUMIFS('Per Line'!$R$2:$R$6001,'Per Line'!$C$2:$C$6001,$B1024,'Per Line'!$AJ$2:$AJ$6001,1))</f>
        <v/>
      </c>
      <c r="L1024">
        <f>IF($V1024="","",Settings!$C$7)</f>
        <v/>
      </c>
      <c r="M1024" s="7">
        <f>IF($V1024="","",SUMIFS('Per Line'!$R$2:$R$6001,'Per Line'!$C$2:$C$6001,$B1024,'Per Line'!$AI$2:$AI$6001,0,'Per Line'!$AJ$2:$AJ$6001,0))</f>
        <v/>
      </c>
      <c r="N1024" s="7">
        <f>IF($V1024="","",M1024*L1024)</f>
        <v/>
      </c>
      <c r="O1024">
        <f>IF($V1024="","",Settings!$C$6)</f>
        <v/>
      </c>
      <c r="P1024" s="7">
        <f>IF($V1024="","",SUMIFS('Per Line'!$R$2:$R$6001,'Per Line'!$C$2:$C$6001,$B1024,'Per Line'!$AI$2:$AI$6001,1,'Per Line'!$AJ$2:$AJ$6001,0))</f>
        <v/>
      </c>
      <c r="Q1024" s="7">
        <f>IF($V1024="","",P1024*O1024)</f>
        <v/>
      </c>
      <c r="R1024" s="7">
        <f>IF($V1024="","",Q1024+N1024)</f>
        <v/>
      </c>
      <c r="S1024" s="7">
        <f>IF($V1024="","",T1024-R1024)</f>
        <v/>
      </c>
      <c r="T1024" s="7">
        <f>IF($V1024="","",M1024+P1024+K1024)</f>
        <v/>
      </c>
      <c r="U1024" s="7">
        <f>IF($V1024="","",T1024-R1024-I1024)</f>
        <v/>
      </c>
      <c r="V1024" s="13">
        <f>IF(ROWS($V$2:$V1024)&lt;=MAX('Per Line'!$AH$2:$AH$6001),MATCH(ROWS($V$2:$V1024),'Per Line'!$AH$2:$AH$6001,0),"")</f>
        <v/>
      </c>
    </row>
    <row r="1025">
      <c r="A1025" s="12" t="n"/>
      <c r="B1025">
        <f>IF($V1025="","",INDEX('Per Line'!$C$2:$C$6001,$V1025)&amp;"")</f>
        <v/>
      </c>
      <c r="C1025" s="11">
        <f>IF($V1025="","",INDEX('Per Line'!$D$2:$D$6001,$V1025))</f>
        <v/>
      </c>
      <c r="D1025">
        <f>IF($V1025="","",INDEX('Per Line'!$E$2:$E$6001,$V1025)&amp;"")</f>
        <v/>
      </c>
      <c r="E1025">
        <f>IF($V1025="","",INDEX('Per Line'!$G$2:$G$6001,$V1025)&amp;"")</f>
        <v/>
      </c>
      <c r="F1025">
        <f>IF($V1025="","",INDEX('Per Line'!$H$2:$H$6001,$V1025)&amp;"")</f>
        <v/>
      </c>
      <c r="G1025">
        <f>IF($V1025="","",INDEX('Per Line'!$I$2:$I$6001,$V1025)&amp;"")</f>
        <v/>
      </c>
      <c r="H1025">
        <f>IF($V1025="","",INDEX('Per Line'!$J$2:$J$6001,$V1025))</f>
        <v/>
      </c>
      <c r="I1025" s="7">
        <f>IF($V1025="","",H1025*S1025/100)</f>
        <v/>
      </c>
      <c r="J1025">
        <f>IF($V1025="","",INDEX('Per Line'!$S$2:$S$6001,$V1025)&amp;"")</f>
        <v/>
      </c>
      <c r="K1025" s="7">
        <f>IF($V1025="","",SUMIFS('Per Line'!$R$2:$R$6001,'Per Line'!$C$2:$C$6001,$B1025,'Per Line'!$AJ$2:$AJ$6001,1))</f>
        <v/>
      </c>
      <c r="L1025">
        <f>IF($V1025="","",Settings!$C$7)</f>
        <v/>
      </c>
      <c r="M1025" s="7">
        <f>IF($V1025="","",SUMIFS('Per Line'!$R$2:$R$6001,'Per Line'!$C$2:$C$6001,$B1025,'Per Line'!$AI$2:$AI$6001,0,'Per Line'!$AJ$2:$AJ$6001,0))</f>
        <v/>
      </c>
      <c r="N1025" s="7">
        <f>IF($V1025="","",M1025*L1025)</f>
        <v/>
      </c>
      <c r="O1025">
        <f>IF($V1025="","",Settings!$C$6)</f>
        <v/>
      </c>
      <c r="P1025" s="7">
        <f>IF($V1025="","",SUMIFS('Per Line'!$R$2:$R$6001,'Per Line'!$C$2:$C$6001,$B1025,'Per Line'!$AI$2:$AI$6001,1,'Per Line'!$AJ$2:$AJ$6001,0))</f>
        <v/>
      </c>
      <c r="Q1025" s="7">
        <f>IF($V1025="","",P1025*O1025)</f>
        <v/>
      </c>
      <c r="R1025" s="7">
        <f>IF($V1025="","",Q1025+N1025)</f>
        <v/>
      </c>
      <c r="S1025" s="7">
        <f>IF($V1025="","",T1025-R1025)</f>
        <v/>
      </c>
      <c r="T1025" s="7">
        <f>IF($V1025="","",M1025+P1025+K1025)</f>
        <v/>
      </c>
      <c r="U1025" s="7">
        <f>IF($V1025="","",T1025-R1025-I1025)</f>
        <v/>
      </c>
      <c r="V1025" s="13">
        <f>IF(ROWS($V$2:$V1025)&lt;=MAX('Per Line'!$AH$2:$AH$6001),MATCH(ROWS($V$2:$V1025),'Per Line'!$AH$2:$AH$6001,0),"")</f>
        <v/>
      </c>
    </row>
    <row r="1026">
      <c r="A1026" s="12" t="n"/>
      <c r="B1026">
        <f>IF($V1026="","",INDEX('Per Line'!$C$2:$C$6001,$V1026)&amp;"")</f>
        <v/>
      </c>
      <c r="C1026" s="11">
        <f>IF($V1026="","",INDEX('Per Line'!$D$2:$D$6001,$V1026))</f>
        <v/>
      </c>
      <c r="D1026">
        <f>IF($V1026="","",INDEX('Per Line'!$E$2:$E$6001,$V1026)&amp;"")</f>
        <v/>
      </c>
      <c r="E1026">
        <f>IF($V1026="","",INDEX('Per Line'!$G$2:$G$6001,$V1026)&amp;"")</f>
        <v/>
      </c>
      <c r="F1026">
        <f>IF($V1026="","",INDEX('Per Line'!$H$2:$H$6001,$V1026)&amp;"")</f>
        <v/>
      </c>
      <c r="G1026">
        <f>IF($V1026="","",INDEX('Per Line'!$I$2:$I$6001,$V1026)&amp;"")</f>
        <v/>
      </c>
      <c r="H1026">
        <f>IF($V1026="","",INDEX('Per Line'!$J$2:$J$6001,$V1026))</f>
        <v/>
      </c>
      <c r="I1026" s="7">
        <f>IF($V1026="","",H1026*S1026/100)</f>
        <v/>
      </c>
      <c r="J1026">
        <f>IF($V1026="","",INDEX('Per Line'!$S$2:$S$6001,$V1026)&amp;"")</f>
        <v/>
      </c>
      <c r="K1026" s="7">
        <f>IF($V1026="","",SUMIFS('Per Line'!$R$2:$R$6001,'Per Line'!$C$2:$C$6001,$B1026,'Per Line'!$AJ$2:$AJ$6001,1))</f>
        <v/>
      </c>
      <c r="L1026">
        <f>IF($V1026="","",Settings!$C$7)</f>
        <v/>
      </c>
      <c r="M1026" s="7">
        <f>IF($V1026="","",SUMIFS('Per Line'!$R$2:$R$6001,'Per Line'!$C$2:$C$6001,$B1026,'Per Line'!$AI$2:$AI$6001,0,'Per Line'!$AJ$2:$AJ$6001,0))</f>
        <v/>
      </c>
      <c r="N1026" s="7">
        <f>IF($V1026="","",M1026*L1026)</f>
        <v/>
      </c>
      <c r="O1026">
        <f>IF($V1026="","",Settings!$C$6)</f>
        <v/>
      </c>
      <c r="P1026" s="7">
        <f>IF($V1026="","",SUMIFS('Per Line'!$R$2:$R$6001,'Per Line'!$C$2:$C$6001,$B1026,'Per Line'!$AI$2:$AI$6001,1,'Per Line'!$AJ$2:$AJ$6001,0))</f>
        <v/>
      </c>
      <c r="Q1026" s="7">
        <f>IF($V1026="","",P1026*O1026)</f>
        <v/>
      </c>
      <c r="R1026" s="7">
        <f>IF($V1026="","",Q1026+N1026)</f>
        <v/>
      </c>
      <c r="S1026" s="7">
        <f>IF($V1026="","",T1026-R1026)</f>
        <v/>
      </c>
      <c r="T1026" s="7">
        <f>IF($V1026="","",M1026+P1026+K1026)</f>
        <v/>
      </c>
      <c r="U1026" s="7">
        <f>IF($V1026="","",T1026-R1026-I1026)</f>
        <v/>
      </c>
      <c r="V1026" s="13">
        <f>IF(ROWS($V$2:$V1026)&lt;=MAX('Per Line'!$AH$2:$AH$6001),MATCH(ROWS($V$2:$V1026),'Per Line'!$AH$2:$AH$6001,0),"")</f>
        <v/>
      </c>
    </row>
    <row r="1027">
      <c r="A1027" s="12" t="n"/>
      <c r="B1027">
        <f>IF($V1027="","",INDEX('Per Line'!$C$2:$C$6001,$V1027)&amp;"")</f>
        <v/>
      </c>
      <c r="C1027" s="11">
        <f>IF($V1027="","",INDEX('Per Line'!$D$2:$D$6001,$V1027))</f>
        <v/>
      </c>
      <c r="D1027">
        <f>IF($V1027="","",INDEX('Per Line'!$E$2:$E$6001,$V1027)&amp;"")</f>
        <v/>
      </c>
      <c r="E1027">
        <f>IF($V1027="","",INDEX('Per Line'!$G$2:$G$6001,$V1027)&amp;"")</f>
        <v/>
      </c>
      <c r="F1027">
        <f>IF($V1027="","",INDEX('Per Line'!$H$2:$H$6001,$V1027)&amp;"")</f>
        <v/>
      </c>
      <c r="G1027">
        <f>IF($V1027="","",INDEX('Per Line'!$I$2:$I$6001,$V1027)&amp;"")</f>
        <v/>
      </c>
      <c r="H1027">
        <f>IF($V1027="","",INDEX('Per Line'!$J$2:$J$6001,$V1027))</f>
        <v/>
      </c>
      <c r="I1027" s="7">
        <f>IF($V1027="","",H1027*S1027/100)</f>
        <v/>
      </c>
      <c r="J1027">
        <f>IF($V1027="","",INDEX('Per Line'!$S$2:$S$6001,$V1027)&amp;"")</f>
        <v/>
      </c>
      <c r="K1027" s="7">
        <f>IF($V1027="","",SUMIFS('Per Line'!$R$2:$R$6001,'Per Line'!$C$2:$C$6001,$B1027,'Per Line'!$AJ$2:$AJ$6001,1))</f>
        <v/>
      </c>
      <c r="L1027">
        <f>IF($V1027="","",Settings!$C$7)</f>
        <v/>
      </c>
      <c r="M1027" s="7">
        <f>IF($V1027="","",SUMIFS('Per Line'!$R$2:$R$6001,'Per Line'!$C$2:$C$6001,$B1027,'Per Line'!$AI$2:$AI$6001,0,'Per Line'!$AJ$2:$AJ$6001,0))</f>
        <v/>
      </c>
      <c r="N1027" s="7">
        <f>IF($V1027="","",M1027*L1027)</f>
        <v/>
      </c>
      <c r="O1027">
        <f>IF($V1027="","",Settings!$C$6)</f>
        <v/>
      </c>
      <c r="P1027" s="7">
        <f>IF($V1027="","",SUMIFS('Per Line'!$R$2:$R$6001,'Per Line'!$C$2:$C$6001,$B1027,'Per Line'!$AI$2:$AI$6001,1,'Per Line'!$AJ$2:$AJ$6001,0))</f>
        <v/>
      </c>
      <c r="Q1027" s="7">
        <f>IF($V1027="","",P1027*O1027)</f>
        <v/>
      </c>
      <c r="R1027" s="7">
        <f>IF($V1027="","",Q1027+N1027)</f>
        <v/>
      </c>
      <c r="S1027" s="7">
        <f>IF($V1027="","",T1027-R1027)</f>
        <v/>
      </c>
      <c r="T1027" s="7">
        <f>IF($V1027="","",M1027+P1027+K1027)</f>
        <v/>
      </c>
      <c r="U1027" s="7">
        <f>IF($V1027="","",T1027-R1027-I1027)</f>
        <v/>
      </c>
      <c r="V1027" s="13">
        <f>IF(ROWS($V$2:$V1027)&lt;=MAX('Per Line'!$AH$2:$AH$6001),MATCH(ROWS($V$2:$V1027),'Per Line'!$AH$2:$AH$6001,0),"")</f>
        <v/>
      </c>
    </row>
    <row r="1028">
      <c r="A1028" s="12" t="n"/>
      <c r="B1028">
        <f>IF($V1028="","",INDEX('Per Line'!$C$2:$C$6001,$V1028)&amp;"")</f>
        <v/>
      </c>
      <c r="C1028" s="11">
        <f>IF($V1028="","",INDEX('Per Line'!$D$2:$D$6001,$V1028))</f>
        <v/>
      </c>
      <c r="D1028">
        <f>IF($V1028="","",INDEX('Per Line'!$E$2:$E$6001,$V1028)&amp;"")</f>
        <v/>
      </c>
      <c r="E1028">
        <f>IF($V1028="","",INDEX('Per Line'!$G$2:$G$6001,$V1028)&amp;"")</f>
        <v/>
      </c>
      <c r="F1028">
        <f>IF($V1028="","",INDEX('Per Line'!$H$2:$H$6001,$V1028)&amp;"")</f>
        <v/>
      </c>
      <c r="G1028">
        <f>IF($V1028="","",INDEX('Per Line'!$I$2:$I$6001,$V1028)&amp;"")</f>
        <v/>
      </c>
      <c r="H1028">
        <f>IF($V1028="","",INDEX('Per Line'!$J$2:$J$6001,$V1028))</f>
        <v/>
      </c>
      <c r="I1028" s="7">
        <f>IF($V1028="","",H1028*S1028/100)</f>
        <v/>
      </c>
      <c r="J1028">
        <f>IF($V1028="","",INDEX('Per Line'!$S$2:$S$6001,$V1028)&amp;"")</f>
        <v/>
      </c>
      <c r="K1028" s="7">
        <f>IF($V1028="","",SUMIFS('Per Line'!$R$2:$R$6001,'Per Line'!$C$2:$C$6001,$B1028,'Per Line'!$AJ$2:$AJ$6001,1))</f>
        <v/>
      </c>
      <c r="L1028">
        <f>IF($V1028="","",Settings!$C$7)</f>
        <v/>
      </c>
      <c r="M1028" s="7">
        <f>IF($V1028="","",SUMIFS('Per Line'!$R$2:$R$6001,'Per Line'!$C$2:$C$6001,$B1028,'Per Line'!$AI$2:$AI$6001,0,'Per Line'!$AJ$2:$AJ$6001,0))</f>
        <v/>
      </c>
      <c r="N1028" s="7">
        <f>IF($V1028="","",M1028*L1028)</f>
        <v/>
      </c>
      <c r="O1028">
        <f>IF($V1028="","",Settings!$C$6)</f>
        <v/>
      </c>
      <c r="P1028" s="7">
        <f>IF($V1028="","",SUMIFS('Per Line'!$R$2:$R$6001,'Per Line'!$C$2:$C$6001,$B1028,'Per Line'!$AI$2:$AI$6001,1,'Per Line'!$AJ$2:$AJ$6001,0))</f>
        <v/>
      </c>
      <c r="Q1028" s="7">
        <f>IF($V1028="","",P1028*O1028)</f>
        <v/>
      </c>
      <c r="R1028" s="7">
        <f>IF($V1028="","",Q1028+N1028)</f>
        <v/>
      </c>
      <c r="S1028" s="7">
        <f>IF($V1028="","",T1028-R1028)</f>
        <v/>
      </c>
      <c r="T1028" s="7">
        <f>IF($V1028="","",M1028+P1028+K1028)</f>
        <v/>
      </c>
      <c r="U1028" s="7">
        <f>IF($V1028="","",T1028-R1028-I1028)</f>
        <v/>
      </c>
      <c r="V1028" s="13">
        <f>IF(ROWS($V$2:$V1028)&lt;=MAX('Per Line'!$AH$2:$AH$6001),MATCH(ROWS($V$2:$V1028),'Per Line'!$AH$2:$AH$6001,0),"")</f>
        <v/>
      </c>
    </row>
    <row r="1029">
      <c r="A1029" s="12" t="n"/>
      <c r="B1029">
        <f>IF($V1029="","",INDEX('Per Line'!$C$2:$C$6001,$V1029)&amp;"")</f>
        <v/>
      </c>
      <c r="C1029" s="11">
        <f>IF($V1029="","",INDEX('Per Line'!$D$2:$D$6001,$V1029))</f>
        <v/>
      </c>
      <c r="D1029">
        <f>IF($V1029="","",INDEX('Per Line'!$E$2:$E$6001,$V1029)&amp;"")</f>
        <v/>
      </c>
      <c r="E1029">
        <f>IF($V1029="","",INDEX('Per Line'!$G$2:$G$6001,$V1029)&amp;"")</f>
        <v/>
      </c>
      <c r="F1029">
        <f>IF($V1029="","",INDEX('Per Line'!$H$2:$H$6001,$V1029)&amp;"")</f>
        <v/>
      </c>
      <c r="G1029">
        <f>IF($V1029="","",INDEX('Per Line'!$I$2:$I$6001,$V1029)&amp;"")</f>
        <v/>
      </c>
      <c r="H1029">
        <f>IF($V1029="","",INDEX('Per Line'!$J$2:$J$6001,$V1029))</f>
        <v/>
      </c>
      <c r="I1029" s="7">
        <f>IF($V1029="","",H1029*S1029/100)</f>
        <v/>
      </c>
      <c r="J1029">
        <f>IF($V1029="","",INDEX('Per Line'!$S$2:$S$6001,$V1029)&amp;"")</f>
        <v/>
      </c>
      <c r="K1029" s="7">
        <f>IF($V1029="","",SUMIFS('Per Line'!$R$2:$R$6001,'Per Line'!$C$2:$C$6001,$B1029,'Per Line'!$AJ$2:$AJ$6001,1))</f>
        <v/>
      </c>
      <c r="L1029">
        <f>IF($V1029="","",Settings!$C$7)</f>
        <v/>
      </c>
      <c r="M1029" s="7">
        <f>IF($V1029="","",SUMIFS('Per Line'!$R$2:$R$6001,'Per Line'!$C$2:$C$6001,$B1029,'Per Line'!$AI$2:$AI$6001,0,'Per Line'!$AJ$2:$AJ$6001,0))</f>
        <v/>
      </c>
      <c r="N1029" s="7">
        <f>IF($V1029="","",M1029*L1029)</f>
        <v/>
      </c>
      <c r="O1029">
        <f>IF($V1029="","",Settings!$C$6)</f>
        <v/>
      </c>
      <c r="P1029" s="7">
        <f>IF($V1029="","",SUMIFS('Per Line'!$R$2:$R$6001,'Per Line'!$C$2:$C$6001,$B1029,'Per Line'!$AI$2:$AI$6001,1,'Per Line'!$AJ$2:$AJ$6001,0))</f>
        <v/>
      </c>
      <c r="Q1029" s="7">
        <f>IF($V1029="","",P1029*O1029)</f>
        <v/>
      </c>
      <c r="R1029" s="7">
        <f>IF($V1029="","",Q1029+N1029)</f>
        <v/>
      </c>
      <c r="S1029" s="7">
        <f>IF($V1029="","",T1029-R1029)</f>
        <v/>
      </c>
      <c r="T1029" s="7">
        <f>IF($V1029="","",M1029+P1029+K1029)</f>
        <v/>
      </c>
      <c r="U1029" s="7">
        <f>IF($V1029="","",T1029-R1029-I1029)</f>
        <v/>
      </c>
      <c r="V1029" s="13">
        <f>IF(ROWS($V$2:$V1029)&lt;=MAX('Per Line'!$AH$2:$AH$6001),MATCH(ROWS($V$2:$V1029),'Per Line'!$AH$2:$AH$6001,0),"")</f>
        <v/>
      </c>
    </row>
    <row r="1030">
      <c r="A1030" s="12" t="n"/>
      <c r="B1030">
        <f>IF($V1030="","",INDEX('Per Line'!$C$2:$C$6001,$V1030)&amp;"")</f>
        <v/>
      </c>
      <c r="C1030" s="11">
        <f>IF($V1030="","",INDEX('Per Line'!$D$2:$D$6001,$V1030))</f>
        <v/>
      </c>
      <c r="D1030">
        <f>IF($V1030="","",INDEX('Per Line'!$E$2:$E$6001,$V1030)&amp;"")</f>
        <v/>
      </c>
      <c r="E1030">
        <f>IF($V1030="","",INDEX('Per Line'!$G$2:$G$6001,$V1030)&amp;"")</f>
        <v/>
      </c>
      <c r="F1030">
        <f>IF($V1030="","",INDEX('Per Line'!$H$2:$H$6001,$V1030)&amp;"")</f>
        <v/>
      </c>
      <c r="G1030">
        <f>IF($V1030="","",INDEX('Per Line'!$I$2:$I$6001,$V1030)&amp;"")</f>
        <v/>
      </c>
      <c r="H1030">
        <f>IF($V1030="","",INDEX('Per Line'!$J$2:$J$6001,$V1030))</f>
        <v/>
      </c>
      <c r="I1030" s="7">
        <f>IF($V1030="","",H1030*S1030/100)</f>
        <v/>
      </c>
      <c r="J1030">
        <f>IF($V1030="","",INDEX('Per Line'!$S$2:$S$6001,$V1030)&amp;"")</f>
        <v/>
      </c>
      <c r="K1030" s="7">
        <f>IF($V1030="","",SUMIFS('Per Line'!$R$2:$R$6001,'Per Line'!$C$2:$C$6001,$B1030,'Per Line'!$AJ$2:$AJ$6001,1))</f>
        <v/>
      </c>
      <c r="L1030">
        <f>IF($V1030="","",Settings!$C$7)</f>
        <v/>
      </c>
      <c r="M1030" s="7">
        <f>IF($V1030="","",SUMIFS('Per Line'!$R$2:$R$6001,'Per Line'!$C$2:$C$6001,$B1030,'Per Line'!$AI$2:$AI$6001,0,'Per Line'!$AJ$2:$AJ$6001,0))</f>
        <v/>
      </c>
      <c r="N1030" s="7">
        <f>IF($V1030="","",M1030*L1030)</f>
        <v/>
      </c>
      <c r="O1030">
        <f>IF($V1030="","",Settings!$C$6)</f>
        <v/>
      </c>
      <c r="P1030" s="7">
        <f>IF($V1030="","",SUMIFS('Per Line'!$R$2:$R$6001,'Per Line'!$C$2:$C$6001,$B1030,'Per Line'!$AI$2:$AI$6001,1,'Per Line'!$AJ$2:$AJ$6001,0))</f>
        <v/>
      </c>
      <c r="Q1030" s="7">
        <f>IF($V1030="","",P1030*O1030)</f>
        <v/>
      </c>
      <c r="R1030" s="7">
        <f>IF($V1030="","",Q1030+N1030)</f>
        <v/>
      </c>
      <c r="S1030" s="7">
        <f>IF($V1030="","",T1030-R1030)</f>
        <v/>
      </c>
      <c r="T1030" s="7">
        <f>IF($V1030="","",M1030+P1030+K1030)</f>
        <v/>
      </c>
      <c r="U1030" s="7">
        <f>IF($V1030="","",T1030-R1030-I1030)</f>
        <v/>
      </c>
      <c r="V1030" s="13">
        <f>IF(ROWS($V$2:$V1030)&lt;=MAX('Per Line'!$AH$2:$AH$6001),MATCH(ROWS($V$2:$V1030),'Per Line'!$AH$2:$AH$6001,0),"")</f>
        <v/>
      </c>
    </row>
    <row r="1031">
      <c r="A1031" s="12" t="n"/>
      <c r="B1031">
        <f>IF($V1031="","",INDEX('Per Line'!$C$2:$C$6001,$V1031)&amp;"")</f>
        <v/>
      </c>
      <c r="C1031" s="11">
        <f>IF($V1031="","",INDEX('Per Line'!$D$2:$D$6001,$V1031))</f>
        <v/>
      </c>
      <c r="D1031">
        <f>IF($V1031="","",INDEX('Per Line'!$E$2:$E$6001,$V1031)&amp;"")</f>
        <v/>
      </c>
      <c r="E1031">
        <f>IF($V1031="","",INDEX('Per Line'!$G$2:$G$6001,$V1031)&amp;"")</f>
        <v/>
      </c>
      <c r="F1031">
        <f>IF($V1031="","",INDEX('Per Line'!$H$2:$H$6001,$V1031)&amp;"")</f>
        <v/>
      </c>
      <c r="G1031">
        <f>IF($V1031="","",INDEX('Per Line'!$I$2:$I$6001,$V1031)&amp;"")</f>
        <v/>
      </c>
      <c r="H1031">
        <f>IF($V1031="","",INDEX('Per Line'!$J$2:$J$6001,$V1031))</f>
        <v/>
      </c>
      <c r="I1031" s="7">
        <f>IF($V1031="","",H1031*S1031/100)</f>
        <v/>
      </c>
      <c r="J1031">
        <f>IF($V1031="","",INDEX('Per Line'!$S$2:$S$6001,$V1031)&amp;"")</f>
        <v/>
      </c>
      <c r="K1031" s="7">
        <f>IF($V1031="","",SUMIFS('Per Line'!$R$2:$R$6001,'Per Line'!$C$2:$C$6001,$B1031,'Per Line'!$AJ$2:$AJ$6001,1))</f>
        <v/>
      </c>
      <c r="L1031">
        <f>IF($V1031="","",Settings!$C$7)</f>
        <v/>
      </c>
      <c r="M1031" s="7">
        <f>IF($V1031="","",SUMIFS('Per Line'!$R$2:$R$6001,'Per Line'!$C$2:$C$6001,$B1031,'Per Line'!$AI$2:$AI$6001,0,'Per Line'!$AJ$2:$AJ$6001,0))</f>
        <v/>
      </c>
      <c r="N1031" s="7">
        <f>IF($V1031="","",M1031*L1031)</f>
        <v/>
      </c>
      <c r="O1031">
        <f>IF($V1031="","",Settings!$C$6)</f>
        <v/>
      </c>
      <c r="P1031" s="7">
        <f>IF($V1031="","",SUMIFS('Per Line'!$R$2:$R$6001,'Per Line'!$C$2:$C$6001,$B1031,'Per Line'!$AI$2:$AI$6001,1,'Per Line'!$AJ$2:$AJ$6001,0))</f>
        <v/>
      </c>
      <c r="Q1031" s="7">
        <f>IF($V1031="","",P1031*O1031)</f>
        <v/>
      </c>
      <c r="R1031" s="7">
        <f>IF($V1031="","",Q1031+N1031)</f>
        <v/>
      </c>
      <c r="S1031" s="7">
        <f>IF($V1031="","",T1031-R1031)</f>
        <v/>
      </c>
      <c r="T1031" s="7">
        <f>IF($V1031="","",M1031+P1031+K1031)</f>
        <v/>
      </c>
      <c r="U1031" s="7">
        <f>IF($V1031="","",T1031-R1031-I1031)</f>
        <v/>
      </c>
      <c r="V1031" s="13">
        <f>IF(ROWS($V$2:$V1031)&lt;=MAX('Per Line'!$AH$2:$AH$6001),MATCH(ROWS($V$2:$V1031),'Per Line'!$AH$2:$AH$6001,0),"")</f>
        <v/>
      </c>
    </row>
    <row r="1032">
      <c r="A1032" s="12" t="n"/>
      <c r="B1032">
        <f>IF($V1032="","",INDEX('Per Line'!$C$2:$C$6001,$V1032)&amp;"")</f>
        <v/>
      </c>
      <c r="C1032" s="11">
        <f>IF($V1032="","",INDEX('Per Line'!$D$2:$D$6001,$V1032))</f>
        <v/>
      </c>
      <c r="D1032">
        <f>IF($V1032="","",INDEX('Per Line'!$E$2:$E$6001,$V1032)&amp;"")</f>
        <v/>
      </c>
      <c r="E1032">
        <f>IF($V1032="","",INDEX('Per Line'!$G$2:$G$6001,$V1032)&amp;"")</f>
        <v/>
      </c>
      <c r="F1032">
        <f>IF($V1032="","",INDEX('Per Line'!$H$2:$H$6001,$V1032)&amp;"")</f>
        <v/>
      </c>
      <c r="G1032">
        <f>IF($V1032="","",INDEX('Per Line'!$I$2:$I$6001,$V1032)&amp;"")</f>
        <v/>
      </c>
      <c r="H1032">
        <f>IF($V1032="","",INDEX('Per Line'!$J$2:$J$6001,$V1032))</f>
        <v/>
      </c>
      <c r="I1032" s="7">
        <f>IF($V1032="","",H1032*S1032/100)</f>
        <v/>
      </c>
      <c r="J1032">
        <f>IF($V1032="","",INDEX('Per Line'!$S$2:$S$6001,$V1032)&amp;"")</f>
        <v/>
      </c>
      <c r="K1032" s="7">
        <f>IF($V1032="","",SUMIFS('Per Line'!$R$2:$R$6001,'Per Line'!$C$2:$C$6001,$B1032,'Per Line'!$AJ$2:$AJ$6001,1))</f>
        <v/>
      </c>
      <c r="L1032">
        <f>IF($V1032="","",Settings!$C$7)</f>
        <v/>
      </c>
      <c r="M1032" s="7">
        <f>IF($V1032="","",SUMIFS('Per Line'!$R$2:$R$6001,'Per Line'!$C$2:$C$6001,$B1032,'Per Line'!$AI$2:$AI$6001,0,'Per Line'!$AJ$2:$AJ$6001,0))</f>
        <v/>
      </c>
      <c r="N1032" s="7">
        <f>IF($V1032="","",M1032*L1032)</f>
        <v/>
      </c>
      <c r="O1032">
        <f>IF($V1032="","",Settings!$C$6)</f>
        <v/>
      </c>
      <c r="P1032" s="7">
        <f>IF($V1032="","",SUMIFS('Per Line'!$R$2:$R$6001,'Per Line'!$C$2:$C$6001,$B1032,'Per Line'!$AI$2:$AI$6001,1,'Per Line'!$AJ$2:$AJ$6001,0))</f>
        <v/>
      </c>
      <c r="Q1032" s="7">
        <f>IF($V1032="","",P1032*O1032)</f>
        <v/>
      </c>
      <c r="R1032" s="7">
        <f>IF($V1032="","",Q1032+N1032)</f>
        <v/>
      </c>
      <c r="S1032" s="7">
        <f>IF($V1032="","",T1032-R1032)</f>
        <v/>
      </c>
      <c r="T1032" s="7">
        <f>IF($V1032="","",M1032+P1032+K1032)</f>
        <v/>
      </c>
      <c r="U1032" s="7">
        <f>IF($V1032="","",T1032-R1032-I1032)</f>
        <v/>
      </c>
      <c r="V1032" s="13">
        <f>IF(ROWS($V$2:$V1032)&lt;=MAX('Per Line'!$AH$2:$AH$6001),MATCH(ROWS($V$2:$V1032),'Per Line'!$AH$2:$AH$6001,0),"")</f>
        <v/>
      </c>
    </row>
    <row r="1033">
      <c r="A1033" s="12" t="n"/>
      <c r="B1033">
        <f>IF($V1033="","",INDEX('Per Line'!$C$2:$C$6001,$V1033)&amp;"")</f>
        <v/>
      </c>
      <c r="C1033" s="11">
        <f>IF($V1033="","",INDEX('Per Line'!$D$2:$D$6001,$V1033))</f>
        <v/>
      </c>
      <c r="D1033">
        <f>IF($V1033="","",INDEX('Per Line'!$E$2:$E$6001,$V1033)&amp;"")</f>
        <v/>
      </c>
      <c r="E1033">
        <f>IF($V1033="","",INDEX('Per Line'!$G$2:$G$6001,$V1033)&amp;"")</f>
        <v/>
      </c>
      <c r="F1033">
        <f>IF($V1033="","",INDEX('Per Line'!$H$2:$H$6001,$V1033)&amp;"")</f>
        <v/>
      </c>
      <c r="G1033">
        <f>IF($V1033="","",INDEX('Per Line'!$I$2:$I$6001,$V1033)&amp;"")</f>
        <v/>
      </c>
      <c r="H1033">
        <f>IF($V1033="","",INDEX('Per Line'!$J$2:$J$6001,$V1033))</f>
        <v/>
      </c>
      <c r="I1033" s="7">
        <f>IF($V1033="","",H1033*S1033/100)</f>
        <v/>
      </c>
      <c r="J1033">
        <f>IF($V1033="","",INDEX('Per Line'!$S$2:$S$6001,$V1033)&amp;"")</f>
        <v/>
      </c>
      <c r="K1033" s="7">
        <f>IF($V1033="","",SUMIFS('Per Line'!$R$2:$R$6001,'Per Line'!$C$2:$C$6001,$B1033,'Per Line'!$AJ$2:$AJ$6001,1))</f>
        <v/>
      </c>
      <c r="L1033">
        <f>IF($V1033="","",Settings!$C$7)</f>
        <v/>
      </c>
      <c r="M1033" s="7">
        <f>IF($V1033="","",SUMIFS('Per Line'!$R$2:$R$6001,'Per Line'!$C$2:$C$6001,$B1033,'Per Line'!$AI$2:$AI$6001,0,'Per Line'!$AJ$2:$AJ$6001,0))</f>
        <v/>
      </c>
      <c r="N1033" s="7">
        <f>IF($V1033="","",M1033*L1033)</f>
        <v/>
      </c>
      <c r="O1033">
        <f>IF($V1033="","",Settings!$C$6)</f>
        <v/>
      </c>
      <c r="P1033" s="7">
        <f>IF($V1033="","",SUMIFS('Per Line'!$R$2:$R$6001,'Per Line'!$C$2:$C$6001,$B1033,'Per Line'!$AI$2:$AI$6001,1,'Per Line'!$AJ$2:$AJ$6001,0))</f>
        <v/>
      </c>
      <c r="Q1033" s="7">
        <f>IF($V1033="","",P1033*O1033)</f>
        <v/>
      </c>
      <c r="R1033" s="7">
        <f>IF($V1033="","",Q1033+N1033)</f>
        <v/>
      </c>
      <c r="S1033" s="7">
        <f>IF($V1033="","",T1033-R1033)</f>
        <v/>
      </c>
      <c r="T1033" s="7">
        <f>IF($V1033="","",M1033+P1033+K1033)</f>
        <v/>
      </c>
      <c r="U1033" s="7">
        <f>IF($V1033="","",T1033-R1033-I1033)</f>
        <v/>
      </c>
      <c r="V1033" s="13">
        <f>IF(ROWS($V$2:$V1033)&lt;=MAX('Per Line'!$AH$2:$AH$6001),MATCH(ROWS($V$2:$V1033),'Per Line'!$AH$2:$AH$6001,0),"")</f>
        <v/>
      </c>
    </row>
    <row r="1034">
      <c r="A1034" s="12" t="n"/>
      <c r="B1034">
        <f>IF($V1034="","",INDEX('Per Line'!$C$2:$C$6001,$V1034)&amp;"")</f>
        <v/>
      </c>
      <c r="C1034" s="11">
        <f>IF($V1034="","",INDEX('Per Line'!$D$2:$D$6001,$V1034))</f>
        <v/>
      </c>
      <c r="D1034">
        <f>IF($V1034="","",INDEX('Per Line'!$E$2:$E$6001,$V1034)&amp;"")</f>
        <v/>
      </c>
      <c r="E1034">
        <f>IF($V1034="","",INDEX('Per Line'!$G$2:$G$6001,$V1034)&amp;"")</f>
        <v/>
      </c>
      <c r="F1034">
        <f>IF($V1034="","",INDEX('Per Line'!$H$2:$H$6001,$V1034)&amp;"")</f>
        <v/>
      </c>
      <c r="G1034">
        <f>IF($V1034="","",INDEX('Per Line'!$I$2:$I$6001,$V1034)&amp;"")</f>
        <v/>
      </c>
      <c r="H1034">
        <f>IF($V1034="","",INDEX('Per Line'!$J$2:$J$6001,$V1034))</f>
        <v/>
      </c>
      <c r="I1034" s="7">
        <f>IF($V1034="","",H1034*S1034/100)</f>
        <v/>
      </c>
      <c r="J1034">
        <f>IF($V1034="","",INDEX('Per Line'!$S$2:$S$6001,$V1034)&amp;"")</f>
        <v/>
      </c>
      <c r="K1034" s="7">
        <f>IF($V1034="","",SUMIFS('Per Line'!$R$2:$R$6001,'Per Line'!$C$2:$C$6001,$B1034,'Per Line'!$AJ$2:$AJ$6001,1))</f>
        <v/>
      </c>
      <c r="L1034">
        <f>IF($V1034="","",Settings!$C$7)</f>
        <v/>
      </c>
      <c r="M1034" s="7">
        <f>IF($V1034="","",SUMIFS('Per Line'!$R$2:$R$6001,'Per Line'!$C$2:$C$6001,$B1034,'Per Line'!$AI$2:$AI$6001,0,'Per Line'!$AJ$2:$AJ$6001,0))</f>
        <v/>
      </c>
      <c r="N1034" s="7">
        <f>IF($V1034="","",M1034*L1034)</f>
        <v/>
      </c>
      <c r="O1034">
        <f>IF($V1034="","",Settings!$C$6)</f>
        <v/>
      </c>
      <c r="P1034" s="7">
        <f>IF($V1034="","",SUMIFS('Per Line'!$R$2:$R$6001,'Per Line'!$C$2:$C$6001,$B1034,'Per Line'!$AI$2:$AI$6001,1,'Per Line'!$AJ$2:$AJ$6001,0))</f>
        <v/>
      </c>
      <c r="Q1034" s="7">
        <f>IF($V1034="","",P1034*O1034)</f>
        <v/>
      </c>
      <c r="R1034" s="7">
        <f>IF($V1034="","",Q1034+N1034)</f>
        <v/>
      </c>
      <c r="S1034" s="7">
        <f>IF($V1034="","",T1034-R1034)</f>
        <v/>
      </c>
      <c r="T1034" s="7">
        <f>IF($V1034="","",M1034+P1034+K1034)</f>
        <v/>
      </c>
      <c r="U1034" s="7">
        <f>IF($V1034="","",T1034-R1034-I1034)</f>
        <v/>
      </c>
      <c r="V1034" s="13">
        <f>IF(ROWS($V$2:$V1034)&lt;=MAX('Per Line'!$AH$2:$AH$6001),MATCH(ROWS($V$2:$V1034),'Per Line'!$AH$2:$AH$6001,0),"")</f>
        <v/>
      </c>
    </row>
    <row r="1035">
      <c r="A1035" s="12" t="n"/>
      <c r="B1035">
        <f>IF($V1035="","",INDEX('Per Line'!$C$2:$C$6001,$V1035)&amp;"")</f>
        <v/>
      </c>
      <c r="C1035" s="11">
        <f>IF($V1035="","",INDEX('Per Line'!$D$2:$D$6001,$V1035))</f>
        <v/>
      </c>
      <c r="D1035">
        <f>IF($V1035="","",INDEX('Per Line'!$E$2:$E$6001,$V1035)&amp;"")</f>
        <v/>
      </c>
      <c r="E1035">
        <f>IF($V1035="","",INDEX('Per Line'!$G$2:$G$6001,$V1035)&amp;"")</f>
        <v/>
      </c>
      <c r="F1035">
        <f>IF($V1035="","",INDEX('Per Line'!$H$2:$H$6001,$V1035)&amp;"")</f>
        <v/>
      </c>
      <c r="G1035">
        <f>IF($V1035="","",INDEX('Per Line'!$I$2:$I$6001,$V1035)&amp;"")</f>
        <v/>
      </c>
      <c r="H1035">
        <f>IF($V1035="","",INDEX('Per Line'!$J$2:$J$6001,$V1035))</f>
        <v/>
      </c>
      <c r="I1035" s="7">
        <f>IF($V1035="","",H1035*S1035/100)</f>
        <v/>
      </c>
      <c r="J1035">
        <f>IF($V1035="","",INDEX('Per Line'!$S$2:$S$6001,$V1035)&amp;"")</f>
        <v/>
      </c>
      <c r="K1035" s="7">
        <f>IF($V1035="","",SUMIFS('Per Line'!$R$2:$R$6001,'Per Line'!$C$2:$C$6001,$B1035,'Per Line'!$AJ$2:$AJ$6001,1))</f>
        <v/>
      </c>
      <c r="L1035">
        <f>IF($V1035="","",Settings!$C$7)</f>
        <v/>
      </c>
      <c r="M1035" s="7">
        <f>IF($V1035="","",SUMIFS('Per Line'!$R$2:$R$6001,'Per Line'!$C$2:$C$6001,$B1035,'Per Line'!$AI$2:$AI$6001,0,'Per Line'!$AJ$2:$AJ$6001,0))</f>
        <v/>
      </c>
      <c r="N1035" s="7">
        <f>IF($V1035="","",M1035*L1035)</f>
        <v/>
      </c>
      <c r="O1035">
        <f>IF($V1035="","",Settings!$C$6)</f>
        <v/>
      </c>
      <c r="P1035" s="7">
        <f>IF($V1035="","",SUMIFS('Per Line'!$R$2:$R$6001,'Per Line'!$C$2:$C$6001,$B1035,'Per Line'!$AI$2:$AI$6001,1,'Per Line'!$AJ$2:$AJ$6001,0))</f>
        <v/>
      </c>
      <c r="Q1035" s="7">
        <f>IF($V1035="","",P1035*O1035)</f>
        <v/>
      </c>
      <c r="R1035" s="7">
        <f>IF($V1035="","",Q1035+N1035)</f>
        <v/>
      </c>
      <c r="S1035" s="7">
        <f>IF($V1035="","",T1035-R1035)</f>
        <v/>
      </c>
      <c r="T1035" s="7">
        <f>IF($V1035="","",M1035+P1035+K1035)</f>
        <v/>
      </c>
      <c r="U1035" s="7">
        <f>IF($V1035="","",T1035-R1035-I1035)</f>
        <v/>
      </c>
      <c r="V1035" s="13">
        <f>IF(ROWS($V$2:$V1035)&lt;=MAX('Per Line'!$AH$2:$AH$6001),MATCH(ROWS($V$2:$V1035),'Per Line'!$AH$2:$AH$6001,0),"")</f>
        <v/>
      </c>
    </row>
    <row r="1036">
      <c r="A1036" s="12" t="n"/>
      <c r="B1036">
        <f>IF($V1036="","",INDEX('Per Line'!$C$2:$C$6001,$V1036)&amp;"")</f>
        <v/>
      </c>
      <c r="C1036" s="11">
        <f>IF($V1036="","",INDEX('Per Line'!$D$2:$D$6001,$V1036))</f>
        <v/>
      </c>
      <c r="D1036">
        <f>IF($V1036="","",INDEX('Per Line'!$E$2:$E$6001,$V1036)&amp;"")</f>
        <v/>
      </c>
      <c r="E1036">
        <f>IF($V1036="","",INDEX('Per Line'!$G$2:$G$6001,$V1036)&amp;"")</f>
        <v/>
      </c>
      <c r="F1036">
        <f>IF($V1036="","",INDEX('Per Line'!$H$2:$H$6001,$V1036)&amp;"")</f>
        <v/>
      </c>
      <c r="G1036">
        <f>IF($V1036="","",INDEX('Per Line'!$I$2:$I$6001,$V1036)&amp;"")</f>
        <v/>
      </c>
      <c r="H1036">
        <f>IF($V1036="","",INDEX('Per Line'!$J$2:$J$6001,$V1036))</f>
        <v/>
      </c>
      <c r="I1036" s="7">
        <f>IF($V1036="","",H1036*S1036/100)</f>
        <v/>
      </c>
      <c r="J1036">
        <f>IF($V1036="","",INDEX('Per Line'!$S$2:$S$6001,$V1036)&amp;"")</f>
        <v/>
      </c>
      <c r="K1036" s="7">
        <f>IF($V1036="","",SUMIFS('Per Line'!$R$2:$R$6001,'Per Line'!$C$2:$C$6001,$B1036,'Per Line'!$AJ$2:$AJ$6001,1))</f>
        <v/>
      </c>
      <c r="L1036">
        <f>IF($V1036="","",Settings!$C$7)</f>
        <v/>
      </c>
      <c r="M1036" s="7">
        <f>IF($V1036="","",SUMIFS('Per Line'!$R$2:$R$6001,'Per Line'!$C$2:$C$6001,$B1036,'Per Line'!$AI$2:$AI$6001,0,'Per Line'!$AJ$2:$AJ$6001,0))</f>
        <v/>
      </c>
      <c r="N1036" s="7">
        <f>IF($V1036="","",M1036*L1036)</f>
        <v/>
      </c>
      <c r="O1036">
        <f>IF($V1036="","",Settings!$C$6)</f>
        <v/>
      </c>
      <c r="P1036" s="7">
        <f>IF($V1036="","",SUMIFS('Per Line'!$R$2:$R$6001,'Per Line'!$C$2:$C$6001,$B1036,'Per Line'!$AI$2:$AI$6001,1,'Per Line'!$AJ$2:$AJ$6001,0))</f>
        <v/>
      </c>
      <c r="Q1036" s="7">
        <f>IF($V1036="","",P1036*O1036)</f>
        <v/>
      </c>
      <c r="R1036" s="7">
        <f>IF($V1036="","",Q1036+N1036)</f>
        <v/>
      </c>
      <c r="S1036" s="7">
        <f>IF($V1036="","",T1036-R1036)</f>
        <v/>
      </c>
      <c r="T1036" s="7">
        <f>IF($V1036="","",M1036+P1036+K1036)</f>
        <v/>
      </c>
      <c r="U1036" s="7">
        <f>IF($V1036="","",T1036-R1036-I1036)</f>
        <v/>
      </c>
      <c r="V1036" s="13">
        <f>IF(ROWS($V$2:$V1036)&lt;=MAX('Per Line'!$AH$2:$AH$6001),MATCH(ROWS($V$2:$V1036),'Per Line'!$AH$2:$AH$6001,0),"")</f>
        <v/>
      </c>
    </row>
    <row r="1037">
      <c r="A1037" s="12" t="n"/>
      <c r="B1037">
        <f>IF($V1037="","",INDEX('Per Line'!$C$2:$C$6001,$V1037)&amp;"")</f>
        <v/>
      </c>
      <c r="C1037" s="11">
        <f>IF($V1037="","",INDEX('Per Line'!$D$2:$D$6001,$V1037))</f>
        <v/>
      </c>
      <c r="D1037">
        <f>IF($V1037="","",INDEX('Per Line'!$E$2:$E$6001,$V1037)&amp;"")</f>
        <v/>
      </c>
      <c r="E1037">
        <f>IF($V1037="","",INDEX('Per Line'!$G$2:$G$6001,$V1037)&amp;"")</f>
        <v/>
      </c>
      <c r="F1037">
        <f>IF($V1037="","",INDEX('Per Line'!$H$2:$H$6001,$V1037)&amp;"")</f>
        <v/>
      </c>
      <c r="G1037">
        <f>IF($V1037="","",INDEX('Per Line'!$I$2:$I$6001,$V1037)&amp;"")</f>
        <v/>
      </c>
      <c r="H1037">
        <f>IF($V1037="","",INDEX('Per Line'!$J$2:$J$6001,$V1037))</f>
        <v/>
      </c>
      <c r="I1037" s="7">
        <f>IF($V1037="","",H1037*S1037/100)</f>
        <v/>
      </c>
      <c r="J1037">
        <f>IF($V1037="","",INDEX('Per Line'!$S$2:$S$6001,$V1037)&amp;"")</f>
        <v/>
      </c>
      <c r="K1037" s="7">
        <f>IF($V1037="","",SUMIFS('Per Line'!$R$2:$R$6001,'Per Line'!$C$2:$C$6001,$B1037,'Per Line'!$AJ$2:$AJ$6001,1))</f>
        <v/>
      </c>
      <c r="L1037">
        <f>IF($V1037="","",Settings!$C$7)</f>
        <v/>
      </c>
      <c r="M1037" s="7">
        <f>IF($V1037="","",SUMIFS('Per Line'!$R$2:$R$6001,'Per Line'!$C$2:$C$6001,$B1037,'Per Line'!$AI$2:$AI$6001,0,'Per Line'!$AJ$2:$AJ$6001,0))</f>
        <v/>
      </c>
      <c r="N1037" s="7">
        <f>IF($V1037="","",M1037*L1037)</f>
        <v/>
      </c>
      <c r="O1037">
        <f>IF($V1037="","",Settings!$C$6)</f>
        <v/>
      </c>
      <c r="P1037" s="7">
        <f>IF($V1037="","",SUMIFS('Per Line'!$R$2:$R$6001,'Per Line'!$C$2:$C$6001,$B1037,'Per Line'!$AI$2:$AI$6001,1,'Per Line'!$AJ$2:$AJ$6001,0))</f>
        <v/>
      </c>
      <c r="Q1037" s="7">
        <f>IF($V1037="","",P1037*O1037)</f>
        <v/>
      </c>
      <c r="R1037" s="7">
        <f>IF($V1037="","",Q1037+N1037)</f>
        <v/>
      </c>
      <c r="S1037" s="7">
        <f>IF($V1037="","",T1037-R1037)</f>
        <v/>
      </c>
      <c r="T1037" s="7">
        <f>IF($V1037="","",M1037+P1037+K1037)</f>
        <v/>
      </c>
      <c r="U1037" s="7">
        <f>IF($V1037="","",T1037-R1037-I1037)</f>
        <v/>
      </c>
      <c r="V1037" s="13">
        <f>IF(ROWS($V$2:$V1037)&lt;=MAX('Per Line'!$AH$2:$AH$6001),MATCH(ROWS($V$2:$V1037),'Per Line'!$AH$2:$AH$6001,0),"")</f>
        <v/>
      </c>
    </row>
    <row r="1038">
      <c r="A1038" s="12" t="n"/>
      <c r="B1038">
        <f>IF($V1038="","",INDEX('Per Line'!$C$2:$C$6001,$V1038)&amp;"")</f>
        <v/>
      </c>
      <c r="C1038" s="11">
        <f>IF($V1038="","",INDEX('Per Line'!$D$2:$D$6001,$V1038))</f>
        <v/>
      </c>
      <c r="D1038">
        <f>IF($V1038="","",INDEX('Per Line'!$E$2:$E$6001,$V1038)&amp;"")</f>
        <v/>
      </c>
      <c r="E1038">
        <f>IF($V1038="","",INDEX('Per Line'!$G$2:$G$6001,$V1038)&amp;"")</f>
        <v/>
      </c>
      <c r="F1038">
        <f>IF($V1038="","",INDEX('Per Line'!$H$2:$H$6001,$V1038)&amp;"")</f>
        <v/>
      </c>
      <c r="G1038">
        <f>IF($V1038="","",INDEX('Per Line'!$I$2:$I$6001,$V1038)&amp;"")</f>
        <v/>
      </c>
      <c r="H1038">
        <f>IF($V1038="","",INDEX('Per Line'!$J$2:$J$6001,$V1038))</f>
        <v/>
      </c>
      <c r="I1038" s="7">
        <f>IF($V1038="","",H1038*S1038/100)</f>
        <v/>
      </c>
      <c r="J1038">
        <f>IF($V1038="","",INDEX('Per Line'!$S$2:$S$6001,$V1038)&amp;"")</f>
        <v/>
      </c>
      <c r="K1038" s="7">
        <f>IF($V1038="","",SUMIFS('Per Line'!$R$2:$R$6001,'Per Line'!$C$2:$C$6001,$B1038,'Per Line'!$AJ$2:$AJ$6001,1))</f>
        <v/>
      </c>
      <c r="L1038">
        <f>IF($V1038="","",Settings!$C$7)</f>
        <v/>
      </c>
      <c r="M1038" s="7">
        <f>IF($V1038="","",SUMIFS('Per Line'!$R$2:$R$6001,'Per Line'!$C$2:$C$6001,$B1038,'Per Line'!$AI$2:$AI$6001,0,'Per Line'!$AJ$2:$AJ$6001,0))</f>
        <v/>
      </c>
      <c r="N1038" s="7">
        <f>IF($V1038="","",M1038*L1038)</f>
        <v/>
      </c>
      <c r="O1038">
        <f>IF($V1038="","",Settings!$C$6)</f>
        <v/>
      </c>
      <c r="P1038" s="7">
        <f>IF($V1038="","",SUMIFS('Per Line'!$R$2:$R$6001,'Per Line'!$C$2:$C$6001,$B1038,'Per Line'!$AI$2:$AI$6001,1,'Per Line'!$AJ$2:$AJ$6001,0))</f>
        <v/>
      </c>
      <c r="Q1038" s="7">
        <f>IF($V1038="","",P1038*O1038)</f>
        <v/>
      </c>
      <c r="R1038" s="7">
        <f>IF($V1038="","",Q1038+N1038)</f>
        <v/>
      </c>
      <c r="S1038" s="7">
        <f>IF($V1038="","",T1038-R1038)</f>
        <v/>
      </c>
      <c r="T1038" s="7">
        <f>IF($V1038="","",M1038+P1038+K1038)</f>
        <v/>
      </c>
      <c r="U1038" s="7">
        <f>IF($V1038="","",T1038-R1038-I1038)</f>
        <v/>
      </c>
      <c r="V1038" s="13">
        <f>IF(ROWS($V$2:$V1038)&lt;=MAX('Per Line'!$AH$2:$AH$6001),MATCH(ROWS($V$2:$V1038),'Per Line'!$AH$2:$AH$6001,0),"")</f>
        <v/>
      </c>
    </row>
    <row r="1039">
      <c r="A1039" s="12" t="n"/>
      <c r="B1039">
        <f>IF($V1039="","",INDEX('Per Line'!$C$2:$C$6001,$V1039)&amp;"")</f>
        <v/>
      </c>
      <c r="C1039" s="11">
        <f>IF($V1039="","",INDEX('Per Line'!$D$2:$D$6001,$V1039))</f>
        <v/>
      </c>
      <c r="D1039">
        <f>IF($V1039="","",INDEX('Per Line'!$E$2:$E$6001,$V1039)&amp;"")</f>
        <v/>
      </c>
      <c r="E1039">
        <f>IF($V1039="","",INDEX('Per Line'!$G$2:$G$6001,$V1039)&amp;"")</f>
        <v/>
      </c>
      <c r="F1039">
        <f>IF($V1039="","",INDEX('Per Line'!$H$2:$H$6001,$V1039)&amp;"")</f>
        <v/>
      </c>
      <c r="G1039">
        <f>IF($V1039="","",INDEX('Per Line'!$I$2:$I$6001,$V1039)&amp;"")</f>
        <v/>
      </c>
      <c r="H1039">
        <f>IF($V1039="","",INDEX('Per Line'!$J$2:$J$6001,$V1039))</f>
        <v/>
      </c>
      <c r="I1039" s="7">
        <f>IF($V1039="","",H1039*S1039/100)</f>
        <v/>
      </c>
      <c r="J1039">
        <f>IF($V1039="","",INDEX('Per Line'!$S$2:$S$6001,$V1039)&amp;"")</f>
        <v/>
      </c>
      <c r="K1039" s="7">
        <f>IF($V1039="","",SUMIFS('Per Line'!$R$2:$R$6001,'Per Line'!$C$2:$C$6001,$B1039,'Per Line'!$AJ$2:$AJ$6001,1))</f>
        <v/>
      </c>
      <c r="L1039">
        <f>IF($V1039="","",Settings!$C$7)</f>
        <v/>
      </c>
      <c r="M1039" s="7">
        <f>IF($V1039="","",SUMIFS('Per Line'!$R$2:$R$6001,'Per Line'!$C$2:$C$6001,$B1039,'Per Line'!$AI$2:$AI$6001,0,'Per Line'!$AJ$2:$AJ$6001,0))</f>
        <v/>
      </c>
      <c r="N1039" s="7">
        <f>IF($V1039="","",M1039*L1039)</f>
        <v/>
      </c>
      <c r="O1039">
        <f>IF($V1039="","",Settings!$C$6)</f>
        <v/>
      </c>
      <c r="P1039" s="7">
        <f>IF($V1039="","",SUMIFS('Per Line'!$R$2:$R$6001,'Per Line'!$C$2:$C$6001,$B1039,'Per Line'!$AI$2:$AI$6001,1,'Per Line'!$AJ$2:$AJ$6001,0))</f>
        <v/>
      </c>
      <c r="Q1039" s="7">
        <f>IF($V1039="","",P1039*O1039)</f>
        <v/>
      </c>
      <c r="R1039" s="7">
        <f>IF($V1039="","",Q1039+N1039)</f>
        <v/>
      </c>
      <c r="S1039" s="7">
        <f>IF($V1039="","",T1039-R1039)</f>
        <v/>
      </c>
      <c r="T1039" s="7">
        <f>IF($V1039="","",M1039+P1039+K1039)</f>
        <v/>
      </c>
      <c r="U1039" s="7">
        <f>IF($V1039="","",T1039-R1039-I1039)</f>
        <v/>
      </c>
      <c r="V1039" s="13">
        <f>IF(ROWS($V$2:$V1039)&lt;=MAX('Per Line'!$AH$2:$AH$6001),MATCH(ROWS($V$2:$V1039),'Per Line'!$AH$2:$AH$6001,0),"")</f>
        <v/>
      </c>
    </row>
    <row r="1040">
      <c r="A1040" s="12" t="n"/>
      <c r="B1040">
        <f>IF($V1040="","",INDEX('Per Line'!$C$2:$C$6001,$V1040)&amp;"")</f>
        <v/>
      </c>
      <c r="C1040" s="11">
        <f>IF($V1040="","",INDEX('Per Line'!$D$2:$D$6001,$V1040))</f>
        <v/>
      </c>
      <c r="D1040">
        <f>IF($V1040="","",INDEX('Per Line'!$E$2:$E$6001,$V1040)&amp;"")</f>
        <v/>
      </c>
      <c r="E1040">
        <f>IF($V1040="","",INDEX('Per Line'!$G$2:$G$6001,$V1040)&amp;"")</f>
        <v/>
      </c>
      <c r="F1040">
        <f>IF($V1040="","",INDEX('Per Line'!$H$2:$H$6001,$V1040)&amp;"")</f>
        <v/>
      </c>
      <c r="G1040">
        <f>IF($V1040="","",INDEX('Per Line'!$I$2:$I$6001,$V1040)&amp;"")</f>
        <v/>
      </c>
      <c r="H1040">
        <f>IF($V1040="","",INDEX('Per Line'!$J$2:$J$6001,$V1040))</f>
        <v/>
      </c>
      <c r="I1040" s="7">
        <f>IF($V1040="","",H1040*S1040/100)</f>
        <v/>
      </c>
      <c r="J1040">
        <f>IF($V1040="","",INDEX('Per Line'!$S$2:$S$6001,$V1040)&amp;"")</f>
        <v/>
      </c>
      <c r="K1040" s="7">
        <f>IF($V1040="","",SUMIFS('Per Line'!$R$2:$R$6001,'Per Line'!$C$2:$C$6001,$B1040,'Per Line'!$AJ$2:$AJ$6001,1))</f>
        <v/>
      </c>
      <c r="L1040">
        <f>IF($V1040="","",Settings!$C$7)</f>
        <v/>
      </c>
      <c r="M1040" s="7">
        <f>IF($V1040="","",SUMIFS('Per Line'!$R$2:$R$6001,'Per Line'!$C$2:$C$6001,$B1040,'Per Line'!$AI$2:$AI$6001,0,'Per Line'!$AJ$2:$AJ$6001,0))</f>
        <v/>
      </c>
      <c r="N1040" s="7">
        <f>IF($V1040="","",M1040*L1040)</f>
        <v/>
      </c>
      <c r="O1040">
        <f>IF($V1040="","",Settings!$C$6)</f>
        <v/>
      </c>
      <c r="P1040" s="7">
        <f>IF($V1040="","",SUMIFS('Per Line'!$R$2:$R$6001,'Per Line'!$C$2:$C$6001,$B1040,'Per Line'!$AI$2:$AI$6001,1,'Per Line'!$AJ$2:$AJ$6001,0))</f>
        <v/>
      </c>
      <c r="Q1040" s="7">
        <f>IF($V1040="","",P1040*O1040)</f>
        <v/>
      </c>
      <c r="R1040" s="7">
        <f>IF($V1040="","",Q1040+N1040)</f>
        <v/>
      </c>
      <c r="S1040" s="7">
        <f>IF($V1040="","",T1040-R1040)</f>
        <v/>
      </c>
      <c r="T1040" s="7">
        <f>IF($V1040="","",M1040+P1040+K1040)</f>
        <v/>
      </c>
      <c r="U1040" s="7">
        <f>IF($V1040="","",T1040-R1040-I1040)</f>
        <v/>
      </c>
      <c r="V1040" s="13">
        <f>IF(ROWS($V$2:$V1040)&lt;=MAX('Per Line'!$AH$2:$AH$6001),MATCH(ROWS($V$2:$V1040),'Per Line'!$AH$2:$AH$6001,0),"")</f>
        <v/>
      </c>
    </row>
    <row r="1041">
      <c r="A1041" s="12" t="n"/>
      <c r="B1041">
        <f>IF($V1041="","",INDEX('Per Line'!$C$2:$C$6001,$V1041)&amp;"")</f>
        <v/>
      </c>
      <c r="C1041" s="11">
        <f>IF($V1041="","",INDEX('Per Line'!$D$2:$D$6001,$V1041))</f>
        <v/>
      </c>
      <c r="D1041">
        <f>IF($V1041="","",INDEX('Per Line'!$E$2:$E$6001,$V1041)&amp;"")</f>
        <v/>
      </c>
      <c r="E1041">
        <f>IF($V1041="","",INDEX('Per Line'!$G$2:$G$6001,$V1041)&amp;"")</f>
        <v/>
      </c>
      <c r="F1041">
        <f>IF($V1041="","",INDEX('Per Line'!$H$2:$H$6001,$V1041)&amp;"")</f>
        <v/>
      </c>
      <c r="G1041">
        <f>IF($V1041="","",INDEX('Per Line'!$I$2:$I$6001,$V1041)&amp;"")</f>
        <v/>
      </c>
      <c r="H1041">
        <f>IF($V1041="","",INDEX('Per Line'!$J$2:$J$6001,$V1041))</f>
        <v/>
      </c>
      <c r="I1041" s="7">
        <f>IF($V1041="","",H1041*S1041/100)</f>
        <v/>
      </c>
      <c r="J1041">
        <f>IF($V1041="","",INDEX('Per Line'!$S$2:$S$6001,$V1041)&amp;"")</f>
        <v/>
      </c>
      <c r="K1041" s="7">
        <f>IF($V1041="","",SUMIFS('Per Line'!$R$2:$R$6001,'Per Line'!$C$2:$C$6001,$B1041,'Per Line'!$AJ$2:$AJ$6001,1))</f>
        <v/>
      </c>
      <c r="L1041">
        <f>IF($V1041="","",Settings!$C$7)</f>
        <v/>
      </c>
      <c r="M1041" s="7">
        <f>IF($V1041="","",SUMIFS('Per Line'!$R$2:$R$6001,'Per Line'!$C$2:$C$6001,$B1041,'Per Line'!$AI$2:$AI$6001,0,'Per Line'!$AJ$2:$AJ$6001,0))</f>
        <v/>
      </c>
      <c r="N1041" s="7">
        <f>IF($V1041="","",M1041*L1041)</f>
        <v/>
      </c>
      <c r="O1041">
        <f>IF($V1041="","",Settings!$C$6)</f>
        <v/>
      </c>
      <c r="P1041" s="7">
        <f>IF($V1041="","",SUMIFS('Per Line'!$R$2:$R$6001,'Per Line'!$C$2:$C$6001,$B1041,'Per Line'!$AI$2:$AI$6001,1,'Per Line'!$AJ$2:$AJ$6001,0))</f>
        <v/>
      </c>
      <c r="Q1041" s="7">
        <f>IF($V1041="","",P1041*O1041)</f>
        <v/>
      </c>
      <c r="R1041" s="7">
        <f>IF($V1041="","",Q1041+N1041)</f>
        <v/>
      </c>
      <c r="S1041" s="7">
        <f>IF($V1041="","",T1041-R1041)</f>
        <v/>
      </c>
      <c r="T1041" s="7">
        <f>IF($V1041="","",M1041+P1041+K1041)</f>
        <v/>
      </c>
      <c r="U1041" s="7">
        <f>IF($V1041="","",T1041-R1041-I1041)</f>
        <v/>
      </c>
      <c r="V1041" s="13">
        <f>IF(ROWS($V$2:$V1041)&lt;=MAX('Per Line'!$AH$2:$AH$6001),MATCH(ROWS($V$2:$V1041),'Per Line'!$AH$2:$AH$6001,0),"")</f>
        <v/>
      </c>
    </row>
    <row r="1042">
      <c r="A1042" s="12" t="n"/>
      <c r="B1042">
        <f>IF($V1042="","",INDEX('Per Line'!$C$2:$C$6001,$V1042)&amp;"")</f>
        <v/>
      </c>
      <c r="C1042" s="11">
        <f>IF($V1042="","",INDEX('Per Line'!$D$2:$D$6001,$V1042))</f>
        <v/>
      </c>
      <c r="D1042">
        <f>IF($V1042="","",INDEX('Per Line'!$E$2:$E$6001,$V1042)&amp;"")</f>
        <v/>
      </c>
      <c r="E1042">
        <f>IF($V1042="","",INDEX('Per Line'!$G$2:$G$6001,$V1042)&amp;"")</f>
        <v/>
      </c>
      <c r="F1042">
        <f>IF($V1042="","",INDEX('Per Line'!$H$2:$H$6001,$V1042)&amp;"")</f>
        <v/>
      </c>
      <c r="G1042">
        <f>IF($V1042="","",INDEX('Per Line'!$I$2:$I$6001,$V1042)&amp;"")</f>
        <v/>
      </c>
      <c r="H1042">
        <f>IF($V1042="","",INDEX('Per Line'!$J$2:$J$6001,$V1042))</f>
        <v/>
      </c>
      <c r="I1042" s="7">
        <f>IF($V1042="","",H1042*S1042/100)</f>
        <v/>
      </c>
      <c r="J1042">
        <f>IF($V1042="","",INDEX('Per Line'!$S$2:$S$6001,$V1042)&amp;"")</f>
        <v/>
      </c>
      <c r="K1042" s="7">
        <f>IF($V1042="","",SUMIFS('Per Line'!$R$2:$R$6001,'Per Line'!$C$2:$C$6001,$B1042,'Per Line'!$AJ$2:$AJ$6001,1))</f>
        <v/>
      </c>
      <c r="L1042">
        <f>IF($V1042="","",Settings!$C$7)</f>
        <v/>
      </c>
      <c r="M1042" s="7">
        <f>IF($V1042="","",SUMIFS('Per Line'!$R$2:$R$6001,'Per Line'!$C$2:$C$6001,$B1042,'Per Line'!$AI$2:$AI$6001,0,'Per Line'!$AJ$2:$AJ$6001,0))</f>
        <v/>
      </c>
      <c r="N1042" s="7">
        <f>IF($V1042="","",M1042*L1042)</f>
        <v/>
      </c>
      <c r="O1042">
        <f>IF($V1042="","",Settings!$C$6)</f>
        <v/>
      </c>
      <c r="P1042" s="7">
        <f>IF($V1042="","",SUMIFS('Per Line'!$R$2:$R$6001,'Per Line'!$C$2:$C$6001,$B1042,'Per Line'!$AI$2:$AI$6001,1,'Per Line'!$AJ$2:$AJ$6001,0))</f>
        <v/>
      </c>
      <c r="Q1042" s="7">
        <f>IF($V1042="","",P1042*O1042)</f>
        <v/>
      </c>
      <c r="R1042" s="7">
        <f>IF($V1042="","",Q1042+N1042)</f>
        <v/>
      </c>
      <c r="S1042" s="7">
        <f>IF($V1042="","",T1042-R1042)</f>
        <v/>
      </c>
      <c r="T1042" s="7">
        <f>IF($V1042="","",M1042+P1042+K1042)</f>
        <v/>
      </c>
      <c r="U1042" s="7">
        <f>IF($V1042="","",T1042-R1042-I1042)</f>
        <v/>
      </c>
      <c r="V1042" s="13">
        <f>IF(ROWS($V$2:$V1042)&lt;=MAX('Per Line'!$AH$2:$AH$6001),MATCH(ROWS($V$2:$V1042),'Per Line'!$AH$2:$AH$6001,0),"")</f>
        <v/>
      </c>
    </row>
    <row r="1043">
      <c r="A1043" s="12" t="n"/>
      <c r="B1043">
        <f>IF($V1043="","",INDEX('Per Line'!$C$2:$C$6001,$V1043)&amp;"")</f>
        <v/>
      </c>
      <c r="C1043" s="11">
        <f>IF($V1043="","",INDEX('Per Line'!$D$2:$D$6001,$V1043))</f>
        <v/>
      </c>
      <c r="D1043">
        <f>IF($V1043="","",INDEX('Per Line'!$E$2:$E$6001,$V1043)&amp;"")</f>
        <v/>
      </c>
      <c r="E1043">
        <f>IF($V1043="","",INDEX('Per Line'!$G$2:$G$6001,$V1043)&amp;"")</f>
        <v/>
      </c>
      <c r="F1043">
        <f>IF($V1043="","",INDEX('Per Line'!$H$2:$H$6001,$V1043)&amp;"")</f>
        <v/>
      </c>
      <c r="G1043">
        <f>IF($V1043="","",INDEX('Per Line'!$I$2:$I$6001,$V1043)&amp;"")</f>
        <v/>
      </c>
      <c r="H1043">
        <f>IF($V1043="","",INDEX('Per Line'!$J$2:$J$6001,$V1043))</f>
        <v/>
      </c>
      <c r="I1043" s="7">
        <f>IF($V1043="","",H1043*S1043/100)</f>
        <v/>
      </c>
      <c r="J1043">
        <f>IF($V1043="","",INDEX('Per Line'!$S$2:$S$6001,$V1043)&amp;"")</f>
        <v/>
      </c>
      <c r="K1043" s="7">
        <f>IF($V1043="","",SUMIFS('Per Line'!$R$2:$R$6001,'Per Line'!$C$2:$C$6001,$B1043,'Per Line'!$AJ$2:$AJ$6001,1))</f>
        <v/>
      </c>
      <c r="L1043">
        <f>IF($V1043="","",Settings!$C$7)</f>
        <v/>
      </c>
      <c r="M1043" s="7">
        <f>IF($V1043="","",SUMIFS('Per Line'!$R$2:$R$6001,'Per Line'!$C$2:$C$6001,$B1043,'Per Line'!$AI$2:$AI$6001,0,'Per Line'!$AJ$2:$AJ$6001,0))</f>
        <v/>
      </c>
      <c r="N1043" s="7">
        <f>IF($V1043="","",M1043*L1043)</f>
        <v/>
      </c>
      <c r="O1043">
        <f>IF($V1043="","",Settings!$C$6)</f>
        <v/>
      </c>
      <c r="P1043" s="7">
        <f>IF($V1043="","",SUMIFS('Per Line'!$R$2:$R$6001,'Per Line'!$C$2:$C$6001,$B1043,'Per Line'!$AI$2:$AI$6001,1,'Per Line'!$AJ$2:$AJ$6001,0))</f>
        <v/>
      </c>
      <c r="Q1043" s="7">
        <f>IF($V1043="","",P1043*O1043)</f>
        <v/>
      </c>
      <c r="R1043" s="7">
        <f>IF($V1043="","",Q1043+N1043)</f>
        <v/>
      </c>
      <c r="S1043" s="7">
        <f>IF($V1043="","",T1043-R1043)</f>
        <v/>
      </c>
      <c r="T1043" s="7">
        <f>IF($V1043="","",M1043+P1043+K1043)</f>
        <v/>
      </c>
      <c r="U1043" s="7">
        <f>IF($V1043="","",T1043-R1043-I1043)</f>
        <v/>
      </c>
      <c r="V1043" s="13">
        <f>IF(ROWS($V$2:$V1043)&lt;=MAX('Per Line'!$AH$2:$AH$6001),MATCH(ROWS($V$2:$V1043),'Per Line'!$AH$2:$AH$6001,0),"")</f>
        <v/>
      </c>
    </row>
    <row r="1044">
      <c r="A1044" s="12" t="n"/>
      <c r="B1044">
        <f>IF($V1044="","",INDEX('Per Line'!$C$2:$C$6001,$V1044)&amp;"")</f>
        <v/>
      </c>
      <c r="C1044" s="11">
        <f>IF($V1044="","",INDEX('Per Line'!$D$2:$D$6001,$V1044))</f>
        <v/>
      </c>
      <c r="D1044">
        <f>IF($V1044="","",INDEX('Per Line'!$E$2:$E$6001,$V1044)&amp;"")</f>
        <v/>
      </c>
      <c r="E1044">
        <f>IF($V1044="","",INDEX('Per Line'!$G$2:$G$6001,$V1044)&amp;"")</f>
        <v/>
      </c>
      <c r="F1044">
        <f>IF($V1044="","",INDEX('Per Line'!$H$2:$H$6001,$V1044)&amp;"")</f>
        <v/>
      </c>
      <c r="G1044">
        <f>IF($V1044="","",INDEX('Per Line'!$I$2:$I$6001,$V1044)&amp;"")</f>
        <v/>
      </c>
      <c r="H1044">
        <f>IF($V1044="","",INDEX('Per Line'!$J$2:$J$6001,$V1044))</f>
        <v/>
      </c>
      <c r="I1044" s="7">
        <f>IF($V1044="","",H1044*S1044/100)</f>
        <v/>
      </c>
      <c r="J1044">
        <f>IF($V1044="","",INDEX('Per Line'!$S$2:$S$6001,$V1044)&amp;"")</f>
        <v/>
      </c>
      <c r="K1044" s="7">
        <f>IF($V1044="","",SUMIFS('Per Line'!$R$2:$R$6001,'Per Line'!$C$2:$C$6001,$B1044,'Per Line'!$AJ$2:$AJ$6001,1))</f>
        <v/>
      </c>
      <c r="L1044">
        <f>IF($V1044="","",Settings!$C$7)</f>
        <v/>
      </c>
      <c r="M1044" s="7">
        <f>IF($V1044="","",SUMIFS('Per Line'!$R$2:$R$6001,'Per Line'!$C$2:$C$6001,$B1044,'Per Line'!$AI$2:$AI$6001,0,'Per Line'!$AJ$2:$AJ$6001,0))</f>
        <v/>
      </c>
      <c r="N1044" s="7">
        <f>IF($V1044="","",M1044*L1044)</f>
        <v/>
      </c>
      <c r="O1044">
        <f>IF($V1044="","",Settings!$C$6)</f>
        <v/>
      </c>
      <c r="P1044" s="7">
        <f>IF($V1044="","",SUMIFS('Per Line'!$R$2:$R$6001,'Per Line'!$C$2:$C$6001,$B1044,'Per Line'!$AI$2:$AI$6001,1,'Per Line'!$AJ$2:$AJ$6001,0))</f>
        <v/>
      </c>
      <c r="Q1044" s="7">
        <f>IF($V1044="","",P1044*O1044)</f>
        <v/>
      </c>
      <c r="R1044" s="7">
        <f>IF($V1044="","",Q1044+N1044)</f>
        <v/>
      </c>
      <c r="S1044" s="7">
        <f>IF($V1044="","",T1044-R1044)</f>
        <v/>
      </c>
      <c r="T1044" s="7">
        <f>IF($V1044="","",M1044+P1044+K1044)</f>
        <v/>
      </c>
      <c r="U1044" s="7">
        <f>IF($V1044="","",T1044-R1044-I1044)</f>
        <v/>
      </c>
      <c r="V1044" s="13">
        <f>IF(ROWS($V$2:$V1044)&lt;=MAX('Per Line'!$AH$2:$AH$6001),MATCH(ROWS($V$2:$V1044),'Per Line'!$AH$2:$AH$6001,0),"")</f>
        <v/>
      </c>
    </row>
    <row r="1045">
      <c r="A1045" s="12" t="n"/>
      <c r="B1045">
        <f>IF($V1045="","",INDEX('Per Line'!$C$2:$C$6001,$V1045)&amp;"")</f>
        <v/>
      </c>
      <c r="C1045" s="11">
        <f>IF($V1045="","",INDEX('Per Line'!$D$2:$D$6001,$V1045))</f>
        <v/>
      </c>
      <c r="D1045">
        <f>IF($V1045="","",INDEX('Per Line'!$E$2:$E$6001,$V1045)&amp;"")</f>
        <v/>
      </c>
      <c r="E1045">
        <f>IF($V1045="","",INDEX('Per Line'!$G$2:$G$6001,$V1045)&amp;"")</f>
        <v/>
      </c>
      <c r="F1045">
        <f>IF($V1045="","",INDEX('Per Line'!$H$2:$H$6001,$V1045)&amp;"")</f>
        <v/>
      </c>
      <c r="G1045">
        <f>IF($V1045="","",INDEX('Per Line'!$I$2:$I$6001,$V1045)&amp;"")</f>
        <v/>
      </c>
      <c r="H1045">
        <f>IF($V1045="","",INDEX('Per Line'!$J$2:$J$6001,$V1045))</f>
        <v/>
      </c>
      <c r="I1045" s="7">
        <f>IF($V1045="","",H1045*S1045/100)</f>
        <v/>
      </c>
      <c r="J1045">
        <f>IF($V1045="","",INDEX('Per Line'!$S$2:$S$6001,$V1045)&amp;"")</f>
        <v/>
      </c>
      <c r="K1045" s="7">
        <f>IF($V1045="","",SUMIFS('Per Line'!$R$2:$R$6001,'Per Line'!$C$2:$C$6001,$B1045,'Per Line'!$AJ$2:$AJ$6001,1))</f>
        <v/>
      </c>
      <c r="L1045">
        <f>IF($V1045="","",Settings!$C$7)</f>
        <v/>
      </c>
      <c r="M1045" s="7">
        <f>IF($V1045="","",SUMIFS('Per Line'!$R$2:$R$6001,'Per Line'!$C$2:$C$6001,$B1045,'Per Line'!$AI$2:$AI$6001,0,'Per Line'!$AJ$2:$AJ$6001,0))</f>
        <v/>
      </c>
      <c r="N1045" s="7">
        <f>IF($V1045="","",M1045*L1045)</f>
        <v/>
      </c>
      <c r="O1045">
        <f>IF($V1045="","",Settings!$C$6)</f>
        <v/>
      </c>
      <c r="P1045" s="7">
        <f>IF($V1045="","",SUMIFS('Per Line'!$R$2:$R$6001,'Per Line'!$C$2:$C$6001,$B1045,'Per Line'!$AI$2:$AI$6001,1,'Per Line'!$AJ$2:$AJ$6001,0))</f>
        <v/>
      </c>
      <c r="Q1045" s="7">
        <f>IF($V1045="","",P1045*O1045)</f>
        <v/>
      </c>
      <c r="R1045" s="7">
        <f>IF($V1045="","",Q1045+N1045)</f>
        <v/>
      </c>
      <c r="S1045" s="7">
        <f>IF($V1045="","",T1045-R1045)</f>
        <v/>
      </c>
      <c r="T1045" s="7">
        <f>IF($V1045="","",M1045+P1045+K1045)</f>
        <v/>
      </c>
      <c r="U1045" s="7">
        <f>IF($V1045="","",T1045-R1045-I1045)</f>
        <v/>
      </c>
      <c r="V1045" s="13">
        <f>IF(ROWS($V$2:$V1045)&lt;=MAX('Per Line'!$AH$2:$AH$6001),MATCH(ROWS($V$2:$V1045),'Per Line'!$AH$2:$AH$6001,0),"")</f>
        <v/>
      </c>
    </row>
    <row r="1046">
      <c r="A1046" s="12" t="n"/>
      <c r="B1046">
        <f>IF($V1046="","",INDEX('Per Line'!$C$2:$C$6001,$V1046)&amp;"")</f>
        <v/>
      </c>
      <c r="C1046" s="11">
        <f>IF($V1046="","",INDEX('Per Line'!$D$2:$D$6001,$V1046))</f>
        <v/>
      </c>
      <c r="D1046">
        <f>IF($V1046="","",INDEX('Per Line'!$E$2:$E$6001,$V1046)&amp;"")</f>
        <v/>
      </c>
      <c r="E1046">
        <f>IF($V1046="","",INDEX('Per Line'!$G$2:$G$6001,$V1046)&amp;"")</f>
        <v/>
      </c>
      <c r="F1046">
        <f>IF($V1046="","",INDEX('Per Line'!$H$2:$H$6001,$V1046)&amp;"")</f>
        <v/>
      </c>
      <c r="G1046">
        <f>IF($V1046="","",INDEX('Per Line'!$I$2:$I$6001,$V1046)&amp;"")</f>
        <v/>
      </c>
      <c r="H1046">
        <f>IF($V1046="","",INDEX('Per Line'!$J$2:$J$6001,$V1046))</f>
        <v/>
      </c>
      <c r="I1046" s="7">
        <f>IF($V1046="","",H1046*S1046/100)</f>
        <v/>
      </c>
      <c r="J1046">
        <f>IF($V1046="","",INDEX('Per Line'!$S$2:$S$6001,$V1046)&amp;"")</f>
        <v/>
      </c>
      <c r="K1046" s="7">
        <f>IF($V1046="","",SUMIFS('Per Line'!$R$2:$R$6001,'Per Line'!$C$2:$C$6001,$B1046,'Per Line'!$AJ$2:$AJ$6001,1))</f>
        <v/>
      </c>
      <c r="L1046">
        <f>IF($V1046="","",Settings!$C$7)</f>
        <v/>
      </c>
      <c r="M1046" s="7">
        <f>IF($V1046="","",SUMIFS('Per Line'!$R$2:$R$6001,'Per Line'!$C$2:$C$6001,$B1046,'Per Line'!$AI$2:$AI$6001,0,'Per Line'!$AJ$2:$AJ$6001,0))</f>
        <v/>
      </c>
      <c r="N1046" s="7">
        <f>IF($V1046="","",M1046*L1046)</f>
        <v/>
      </c>
      <c r="O1046">
        <f>IF($V1046="","",Settings!$C$6)</f>
        <v/>
      </c>
      <c r="P1046" s="7">
        <f>IF($V1046="","",SUMIFS('Per Line'!$R$2:$R$6001,'Per Line'!$C$2:$C$6001,$B1046,'Per Line'!$AI$2:$AI$6001,1,'Per Line'!$AJ$2:$AJ$6001,0))</f>
        <v/>
      </c>
      <c r="Q1046" s="7">
        <f>IF($V1046="","",P1046*O1046)</f>
        <v/>
      </c>
      <c r="R1046" s="7">
        <f>IF($V1046="","",Q1046+N1046)</f>
        <v/>
      </c>
      <c r="S1046" s="7">
        <f>IF($V1046="","",T1046-R1046)</f>
        <v/>
      </c>
      <c r="T1046" s="7">
        <f>IF($V1046="","",M1046+P1046+K1046)</f>
        <v/>
      </c>
      <c r="U1046" s="7">
        <f>IF($V1046="","",T1046-R1046-I1046)</f>
        <v/>
      </c>
      <c r="V1046" s="13">
        <f>IF(ROWS($V$2:$V1046)&lt;=MAX('Per Line'!$AH$2:$AH$6001),MATCH(ROWS($V$2:$V1046),'Per Line'!$AH$2:$AH$6001,0),"")</f>
        <v/>
      </c>
    </row>
    <row r="1047">
      <c r="A1047" s="12" t="n"/>
      <c r="B1047">
        <f>IF($V1047="","",INDEX('Per Line'!$C$2:$C$6001,$V1047)&amp;"")</f>
        <v/>
      </c>
      <c r="C1047" s="11">
        <f>IF($V1047="","",INDEX('Per Line'!$D$2:$D$6001,$V1047))</f>
        <v/>
      </c>
      <c r="D1047">
        <f>IF($V1047="","",INDEX('Per Line'!$E$2:$E$6001,$V1047)&amp;"")</f>
        <v/>
      </c>
      <c r="E1047">
        <f>IF($V1047="","",INDEX('Per Line'!$G$2:$G$6001,$V1047)&amp;"")</f>
        <v/>
      </c>
      <c r="F1047">
        <f>IF($V1047="","",INDEX('Per Line'!$H$2:$H$6001,$V1047)&amp;"")</f>
        <v/>
      </c>
      <c r="G1047">
        <f>IF($V1047="","",INDEX('Per Line'!$I$2:$I$6001,$V1047)&amp;"")</f>
        <v/>
      </c>
      <c r="H1047">
        <f>IF($V1047="","",INDEX('Per Line'!$J$2:$J$6001,$V1047))</f>
        <v/>
      </c>
      <c r="I1047" s="7">
        <f>IF($V1047="","",H1047*S1047/100)</f>
        <v/>
      </c>
      <c r="J1047">
        <f>IF($V1047="","",INDEX('Per Line'!$S$2:$S$6001,$V1047)&amp;"")</f>
        <v/>
      </c>
      <c r="K1047" s="7">
        <f>IF($V1047="","",SUMIFS('Per Line'!$R$2:$R$6001,'Per Line'!$C$2:$C$6001,$B1047,'Per Line'!$AJ$2:$AJ$6001,1))</f>
        <v/>
      </c>
      <c r="L1047">
        <f>IF($V1047="","",Settings!$C$7)</f>
        <v/>
      </c>
      <c r="M1047" s="7">
        <f>IF($V1047="","",SUMIFS('Per Line'!$R$2:$R$6001,'Per Line'!$C$2:$C$6001,$B1047,'Per Line'!$AI$2:$AI$6001,0,'Per Line'!$AJ$2:$AJ$6001,0))</f>
        <v/>
      </c>
      <c r="N1047" s="7">
        <f>IF($V1047="","",M1047*L1047)</f>
        <v/>
      </c>
      <c r="O1047">
        <f>IF($V1047="","",Settings!$C$6)</f>
        <v/>
      </c>
      <c r="P1047" s="7">
        <f>IF($V1047="","",SUMIFS('Per Line'!$R$2:$R$6001,'Per Line'!$C$2:$C$6001,$B1047,'Per Line'!$AI$2:$AI$6001,1,'Per Line'!$AJ$2:$AJ$6001,0))</f>
        <v/>
      </c>
      <c r="Q1047" s="7">
        <f>IF($V1047="","",P1047*O1047)</f>
        <v/>
      </c>
      <c r="R1047" s="7">
        <f>IF($V1047="","",Q1047+N1047)</f>
        <v/>
      </c>
      <c r="S1047" s="7">
        <f>IF($V1047="","",T1047-R1047)</f>
        <v/>
      </c>
      <c r="T1047" s="7">
        <f>IF($V1047="","",M1047+P1047+K1047)</f>
        <v/>
      </c>
      <c r="U1047" s="7">
        <f>IF($V1047="","",T1047-R1047-I1047)</f>
        <v/>
      </c>
      <c r="V1047" s="13">
        <f>IF(ROWS($V$2:$V1047)&lt;=MAX('Per Line'!$AH$2:$AH$6001),MATCH(ROWS($V$2:$V1047),'Per Line'!$AH$2:$AH$6001,0),"")</f>
        <v/>
      </c>
    </row>
    <row r="1048">
      <c r="A1048" s="12" t="n"/>
      <c r="B1048">
        <f>IF($V1048="","",INDEX('Per Line'!$C$2:$C$6001,$V1048)&amp;"")</f>
        <v/>
      </c>
      <c r="C1048" s="11">
        <f>IF($V1048="","",INDEX('Per Line'!$D$2:$D$6001,$V1048))</f>
        <v/>
      </c>
      <c r="D1048">
        <f>IF($V1048="","",INDEX('Per Line'!$E$2:$E$6001,$V1048)&amp;"")</f>
        <v/>
      </c>
      <c r="E1048">
        <f>IF($V1048="","",INDEX('Per Line'!$G$2:$G$6001,$V1048)&amp;"")</f>
        <v/>
      </c>
      <c r="F1048">
        <f>IF($V1048="","",INDEX('Per Line'!$H$2:$H$6001,$V1048)&amp;"")</f>
        <v/>
      </c>
      <c r="G1048">
        <f>IF($V1048="","",INDEX('Per Line'!$I$2:$I$6001,$V1048)&amp;"")</f>
        <v/>
      </c>
      <c r="H1048">
        <f>IF($V1048="","",INDEX('Per Line'!$J$2:$J$6001,$V1048))</f>
        <v/>
      </c>
      <c r="I1048" s="7">
        <f>IF($V1048="","",H1048*S1048/100)</f>
        <v/>
      </c>
      <c r="J1048">
        <f>IF($V1048="","",INDEX('Per Line'!$S$2:$S$6001,$V1048)&amp;"")</f>
        <v/>
      </c>
      <c r="K1048" s="7">
        <f>IF($V1048="","",SUMIFS('Per Line'!$R$2:$R$6001,'Per Line'!$C$2:$C$6001,$B1048,'Per Line'!$AJ$2:$AJ$6001,1))</f>
        <v/>
      </c>
      <c r="L1048">
        <f>IF($V1048="","",Settings!$C$7)</f>
        <v/>
      </c>
      <c r="M1048" s="7">
        <f>IF($V1048="","",SUMIFS('Per Line'!$R$2:$R$6001,'Per Line'!$C$2:$C$6001,$B1048,'Per Line'!$AI$2:$AI$6001,0,'Per Line'!$AJ$2:$AJ$6001,0))</f>
        <v/>
      </c>
      <c r="N1048" s="7">
        <f>IF($V1048="","",M1048*L1048)</f>
        <v/>
      </c>
      <c r="O1048">
        <f>IF($V1048="","",Settings!$C$6)</f>
        <v/>
      </c>
      <c r="P1048" s="7">
        <f>IF($V1048="","",SUMIFS('Per Line'!$R$2:$R$6001,'Per Line'!$C$2:$C$6001,$B1048,'Per Line'!$AI$2:$AI$6001,1,'Per Line'!$AJ$2:$AJ$6001,0))</f>
        <v/>
      </c>
      <c r="Q1048" s="7">
        <f>IF($V1048="","",P1048*O1048)</f>
        <v/>
      </c>
      <c r="R1048" s="7">
        <f>IF($V1048="","",Q1048+N1048)</f>
        <v/>
      </c>
      <c r="S1048" s="7">
        <f>IF($V1048="","",T1048-R1048)</f>
        <v/>
      </c>
      <c r="T1048" s="7">
        <f>IF($V1048="","",M1048+P1048+K1048)</f>
        <v/>
      </c>
      <c r="U1048" s="7">
        <f>IF($V1048="","",T1048-R1048-I1048)</f>
        <v/>
      </c>
      <c r="V1048" s="13">
        <f>IF(ROWS($V$2:$V1048)&lt;=MAX('Per Line'!$AH$2:$AH$6001),MATCH(ROWS($V$2:$V1048),'Per Line'!$AH$2:$AH$6001,0),"")</f>
        <v/>
      </c>
    </row>
    <row r="1049">
      <c r="A1049" s="12" t="n"/>
      <c r="B1049">
        <f>IF($V1049="","",INDEX('Per Line'!$C$2:$C$6001,$V1049)&amp;"")</f>
        <v/>
      </c>
      <c r="C1049" s="11">
        <f>IF($V1049="","",INDEX('Per Line'!$D$2:$D$6001,$V1049))</f>
        <v/>
      </c>
      <c r="D1049">
        <f>IF($V1049="","",INDEX('Per Line'!$E$2:$E$6001,$V1049)&amp;"")</f>
        <v/>
      </c>
      <c r="E1049">
        <f>IF($V1049="","",INDEX('Per Line'!$G$2:$G$6001,$V1049)&amp;"")</f>
        <v/>
      </c>
      <c r="F1049">
        <f>IF($V1049="","",INDEX('Per Line'!$H$2:$H$6001,$V1049)&amp;"")</f>
        <v/>
      </c>
      <c r="G1049">
        <f>IF($V1049="","",INDEX('Per Line'!$I$2:$I$6001,$V1049)&amp;"")</f>
        <v/>
      </c>
      <c r="H1049">
        <f>IF($V1049="","",INDEX('Per Line'!$J$2:$J$6001,$V1049))</f>
        <v/>
      </c>
      <c r="I1049" s="7">
        <f>IF($V1049="","",H1049*S1049/100)</f>
        <v/>
      </c>
      <c r="J1049">
        <f>IF($V1049="","",INDEX('Per Line'!$S$2:$S$6001,$V1049)&amp;"")</f>
        <v/>
      </c>
      <c r="K1049" s="7">
        <f>IF($V1049="","",SUMIFS('Per Line'!$R$2:$R$6001,'Per Line'!$C$2:$C$6001,$B1049,'Per Line'!$AJ$2:$AJ$6001,1))</f>
        <v/>
      </c>
      <c r="L1049">
        <f>IF($V1049="","",Settings!$C$7)</f>
        <v/>
      </c>
      <c r="M1049" s="7">
        <f>IF($V1049="","",SUMIFS('Per Line'!$R$2:$R$6001,'Per Line'!$C$2:$C$6001,$B1049,'Per Line'!$AI$2:$AI$6001,0,'Per Line'!$AJ$2:$AJ$6001,0))</f>
        <v/>
      </c>
      <c r="N1049" s="7">
        <f>IF($V1049="","",M1049*L1049)</f>
        <v/>
      </c>
      <c r="O1049">
        <f>IF($V1049="","",Settings!$C$6)</f>
        <v/>
      </c>
      <c r="P1049" s="7">
        <f>IF($V1049="","",SUMIFS('Per Line'!$R$2:$R$6001,'Per Line'!$C$2:$C$6001,$B1049,'Per Line'!$AI$2:$AI$6001,1,'Per Line'!$AJ$2:$AJ$6001,0))</f>
        <v/>
      </c>
      <c r="Q1049" s="7">
        <f>IF($V1049="","",P1049*O1049)</f>
        <v/>
      </c>
      <c r="R1049" s="7">
        <f>IF($V1049="","",Q1049+N1049)</f>
        <v/>
      </c>
      <c r="S1049" s="7">
        <f>IF($V1049="","",T1049-R1049)</f>
        <v/>
      </c>
      <c r="T1049" s="7">
        <f>IF($V1049="","",M1049+P1049+K1049)</f>
        <v/>
      </c>
      <c r="U1049" s="7">
        <f>IF($V1049="","",T1049-R1049-I1049)</f>
        <v/>
      </c>
      <c r="V1049" s="13">
        <f>IF(ROWS($V$2:$V1049)&lt;=MAX('Per Line'!$AH$2:$AH$6001),MATCH(ROWS($V$2:$V1049),'Per Line'!$AH$2:$AH$6001,0),"")</f>
        <v/>
      </c>
    </row>
    <row r="1050">
      <c r="A1050" s="12" t="n"/>
      <c r="B1050">
        <f>IF($V1050="","",INDEX('Per Line'!$C$2:$C$6001,$V1050)&amp;"")</f>
        <v/>
      </c>
      <c r="C1050" s="11">
        <f>IF($V1050="","",INDEX('Per Line'!$D$2:$D$6001,$V1050))</f>
        <v/>
      </c>
      <c r="D1050">
        <f>IF($V1050="","",INDEX('Per Line'!$E$2:$E$6001,$V1050)&amp;"")</f>
        <v/>
      </c>
      <c r="E1050">
        <f>IF($V1050="","",INDEX('Per Line'!$G$2:$G$6001,$V1050)&amp;"")</f>
        <v/>
      </c>
      <c r="F1050">
        <f>IF($V1050="","",INDEX('Per Line'!$H$2:$H$6001,$V1050)&amp;"")</f>
        <v/>
      </c>
      <c r="G1050">
        <f>IF($V1050="","",INDEX('Per Line'!$I$2:$I$6001,$V1050)&amp;"")</f>
        <v/>
      </c>
      <c r="H1050">
        <f>IF($V1050="","",INDEX('Per Line'!$J$2:$J$6001,$V1050))</f>
        <v/>
      </c>
      <c r="I1050" s="7">
        <f>IF($V1050="","",H1050*S1050/100)</f>
        <v/>
      </c>
      <c r="J1050">
        <f>IF($V1050="","",INDEX('Per Line'!$S$2:$S$6001,$V1050)&amp;"")</f>
        <v/>
      </c>
      <c r="K1050" s="7">
        <f>IF($V1050="","",SUMIFS('Per Line'!$R$2:$R$6001,'Per Line'!$C$2:$C$6001,$B1050,'Per Line'!$AJ$2:$AJ$6001,1))</f>
        <v/>
      </c>
      <c r="L1050">
        <f>IF($V1050="","",Settings!$C$7)</f>
        <v/>
      </c>
      <c r="M1050" s="7">
        <f>IF($V1050="","",SUMIFS('Per Line'!$R$2:$R$6001,'Per Line'!$C$2:$C$6001,$B1050,'Per Line'!$AI$2:$AI$6001,0,'Per Line'!$AJ$2:$AJ$6001,0))</f>
        <v/>
      </c>
      <c r="N1050" s="7">
        <f>IF($V1050="","",M1050*L1050)</f>
        <v/>
      </c>
      <c r="O1050">
        <f>IF($V1050="","",Settings!$C$6)</f>
        <v/>
      </c>
      <c r="P1050" s="7">
        <f>IF($V1050="","",SUMIFS('Per Line'!$R$2:$R$6001,'Per Line'!$C$2:$C$6001,$B1050,'Per Line'!$AI$2:$AI$6001,1,'Per Line'!$AJ$2:$AJ$6001,0))</f>
        <v/>
      </c>
      <c r="Q1050" s="7">
        <f>IF($V1050="","",P1050*O1050)</f>
        <v/>
      </c>
      <c r="R1050" s="7">
        <f>IF($V1050="","",Q1050+N1050)</f>
        <v/>
      </c>
      <c r="S1050" s="7">
        <f>IF($V1050="","",T1050-R1050)</f>
        <v/>
      </c>
      <c r="T1050" s="7">
        <f>IF($V1050="","",M1050+P1050+K1050)</f>
        <v/>
      </c>
      <c r="U1050" s="7">
        <f>IF($V1050="","",T1050-R1050-I1050)</f>
        <v/>
      </c>
      <c r="V1050" s="13">
        <f>IF(ROWS($V$2:$V1050)&lt;=MAX('Per Line'!$AH$2:$AH$6001),MATCH(ROWS($V$2:$V1050),'Per Line'!$AH$2:$AH$6001,0),"")</f>
        <v/>
      </c>
    </row>
    <row r="1051">
      <c r="A1051" s="12" t="n"/>
      <c r="B1051">
        <f>IF($V1051="","",INDEX('Per Line'!$C$2:$C$6001,$V1051)&amp;"")</f>
        <v/>
      </c>
      <c r="C1051" s="11">
        <f>IF($V1051="","",INDEX('Per Line'!$D$2:$D$6001,$V1051))</f>
        <v/>
      </c>
      <c r="D1051">
        <f>IF($V1051="","",INDEX('Per Line'!$E$2:$E$6001,$V1051)&amp;"")</f>
        <v/>
      </c>
      <c r="E1051">
        <f>IF($V1051="","",INDEX('Per Line'!$G$2:$G$6001,$V1051)&amp;"")</f>
        <v/>
      </c>
      <c r="F1051">
        <f>IF($V1051="","",INDEX('Per Line'!$H$2:$H$6001,$V1051)&amp;"")</f>
        <v/>
      </c>
      <c r="G1051">
        <f>IF($V1051="","",INDEX('Per Line'!$I$2:$I$6001,$V1051)&amp;"")</f>
        <v/>
      </c>
      <c r="H1051">
        <f>IF($V1051="","",INDEX('Per Line'!$J$2:$J$6001,$V1051))</f>
        <v/>
      </c>
      <c r="I1051" s="7">
        <f>IF($V1051="","",H1051*S1051/100)</f>
        <v/>
      </c>
      <c r="J1051">
        <f>IF($V1051="","",INDEX('Per Line'!$S$2:$S$6001,$V1051)&amp;"")</f>
        <v/>
      </c>
      <c r="K1051" s="7">
        <f>IF($V1051="","",SUMIFS('Per Line'!$R$2:$R$6001,'Per Line'!$C$2:$C$6001,$B1051,'Per Line'!$AJ$2:$AJ$6001,1))</f>
        <v/>
      </c>
      <c r="L1051">
        <f>IF($V1051="","",Settings!$C$7)</f>
        <v/>
      </c>
      <c r="M1051" s="7">
        <f>IF($V1051="","",SUMIFS('Per Line'!$R$2:$R$6001,'Per Line'!$C$2:$C$6001,$B1051,'Per Line'!$AI$2:$AI$6001,0,'Per Line'!$AJ$2:$AJ$6001,0))</f>
        <v/>
      </c>
      <c r="N1051" s="7">
        <f>IF($V1051="","",M1051*L1051)</f>
        <v/>
      </c>
      <c r="O1051">
        <f>IF($V1051="","",Settings!$C$6)</f>
        <v/>
      </c>
      <c r="P1051" s="7">
        <f>IF($V1051="","",SUMIFS('Per Line'!$R$2:$R$6001,'Per Line'!$C$2:$C$6001,$B1051,'Per Line'!$AI$2:$AI$6001,1,'Per Line'!$AJ$2:$AJ$6001,0))</f>
        <v/>
      </c>
      <c r="Q1051" s="7">
        <f>IF($V1051="","",P1051*O1051)</f>
        <v/>
      </c>
      <c r="R1051" s="7">
        <f>IF($V1051="","",Q1051+N1051)</f>
        <v/>
      </c>
      <c r="S1051" s="7">
        <f>IF($V1051="","",T1051-R1051)</f>
        <v/>
      </c>
      <c r="T1051" s="7">
        <f>IF($V1051="","",M1051+P1051+K1051)</f>
        <v/>
      </c>
      <c r="U1051" s="7">
        <f>IF($V1051="","",T1051-R1051-I1051)</f>
        <v/>
      </c>
      <c r="V1051" s="13">
        <f>IF(ROWS($V$2:$V1051)&lt;=MAX('Per Line'!$AH$2:$AH$6001),MATCH(ROWS($V$2:$V1051),'Per Line'!$AH$2:$AH$6001,0),"")</f>
        <v/>
      </c>
    </row>
    <row r="1052">
      <c r="A1052" s="12" t="n"/>
      <c r="B1052">
        <f>IF($V1052="","",INDEX('Per Line'!$C$2:$C$6001,$V1052)&amp;"")</f>
        <v/>
      </c>
      <c r="C1052" s="11">
        <f>IF($V1052="","",INDEX('Per Line'!$D$2:$D$6001,$V1052))</f>
        <v/>
      </c>
      <c r="D1052">
        <f>IF($V1052="","",INDEX('Per Line'!$E$2:$E$6001,$V1052)&amp;"")</f>
        <v/>
      </c>
      <c r="E1052">
        <f>IF($V1052="","",INDEX('Per Line'!$G$2:$G$6001,$V1052)&amp;"")</f>
        <v/>
      </c>
      <c r="F1052">
        <f>IF($V1052="","",INDEX('Per Line'!$H$2:$H$6001,$V1052)&amp;"")</f>
        <v/>
      </c>
      <c r="G1052">
        <f>IF($V1052="","",INDEX('Per Line'!$I$2:$I$6001,$V1052)&amp;"")</f>
        <v/>
      </c>
      <c r="H1052">
        <f>IF($V1052="","",INDEX('Per Line'!$J$2:$J$6001,$V1052))</f>
        <v/>
      </c>
      <c r="I1052" s="7">
        <f>IF($V1052="","",H1052*S1052/100)</f>
        <v/>
      </c>
      <c r="J1052">
        <f>IF($V1052="","",INDEX('Per Line'!$S$2:$S$6001,$V1052)&amp;"")</f>
        <v/>
      </c>
      <c r="K1052" s="7">
        <f>IF($V1052="","",SUMIFS('Per Line'!$R$2:$R$6001,'Per Line'!$C$2:$C$6001,$B1052,'Per Line'!$AJ$2:$AJ$6001,1))</f>
        <v/>
      </c>
      <c r="L1052">
        <f>IF($V1052="","",Settings!$C$7)</f>
        <v/>
      </c>
      <c r="M1052" s="7">
        <f>IF($V1052="","",SUMIFS('Per Line'!$R$2:$R$6001,'Per Line'!$C$2:$C$6001,$B1052,'Per Line'!$AI$2:$AI$6001,0,'Per Line'!$AJ$2:$AJ$6001,0))</f>
        <v/>
      </c>
      <c r="N1052" s="7">
        <f>IF($V1052="","",M1052*L1052)</f>
        <v/>
      </c>
      <c r="O1052">
        <f>IF($V1052="","",Settings!$C$6)</f>
        <v/>
      </c>
      <c r="P1052" s="7">
        <f>IF($V1052="","",SUMIFS('Per Line'!$R$2:$R$6001,'Per Line'!$C$2:$C$6001,$B1052,'Per Line'!$AI$2:$AI$6001,1,'Per Line'!$AJ$2:$AJ$6001,0))</f>
        <v/>
      </c>
      <c r="Q1052" s="7">
        <f>IF($V1052="","",P1052*O1052)</f>
        <v/>
      </c>
      <c r="R1052" s="7">
        <f>IF($V1052="","",Q1052+N1052)</f>
        <v/>
      </c>
      <c r="S1052" s="7">
        <f>IF($V1052="","",T1052-R1052)</f>
        <v/>
      </c>
      <c r="T1052" s="7">
        <f>IF($V1052="","",M1052+P1052+K1052)</f>
        <v/>
      </c>
      <c r="U1052" s="7">
        <f>IF($V1052="","",T1052-R1052-I1052)</f>
        <v/>
      </c>
      <c r="V1052" s="13">
        <f>IF(ROWS($V$2:$V1052)&lt;=MAX('Per Line'!$AH$2:$AH$6001),MATCH(ROWS($V$2:$V1052),'Per Line'!$AH$2:$AH$6001,0),"")</f>
        <v/>
      </c>
    </row>
    <row r="1053">
      <c r="A1053" s="12" t="n"/>
      <c r="B1053">
        <f>IF($V1053="","",INDEX('Per Line'!$C$2:$C$6001,$V1053)&amp;"")</f>
        <v/>
      </c>
      <c r="C1053" s="11">
        <f>IF($V1053="","",INDEX('Per Line'!$D$2:$D$6001,$V1053))</f>
        <v/>
      </c>
      <c r="D1053">
        <f>IF($V1053="","",INDEX('Per Line'!$E$2:$E$6001,$V1053)&amp;"")</f>
        <v/>
      </c>
      <c r="E1053">
        <f>IF($V1053="","",INDEX('Per Line'!$G$2:$G$6001,$V1053)&amp;"")</f>
        <v/>
      </c>
      <c r="F1053">
        <f>IF($V1053="","",INDEX('Per Line'!$H$2:$H$6001,$V1053)&amp;"")</f>
        <v/>
      </c>
      <c r="G1053">
        <f>IF($V1053="","",INDEX('Per Line'!$I$2:$I$6001,$V1053)&amp;"")</f>
        <v/>
      </c>
      <c r="H1053">
        <f>IF($V1053="","",INDEX('Per Line'!$J$2:$J$6001,$V1053))</f>
        <v/>
      </c>
      <c r="I1053" s="7">
        <f>IF($V1053="","",H1053*S1053/100)</f>
        <v/>
      </c>
      <c r="J1053">
        <f>IF($V1053="","",INDEX('Per Line'!$S$2:$S$6001,$V1053)&amp;"")</f>
        <v/>
      </c>
      <c r="K1053" s="7">
        <f>IF($V1053="","",SUMIFS('Per Line'!$R$2:$R$6001,'Per Line'!$C$2:$C$6001,$B1053,'Per Line'!$AJ$2:$AJ$6001,1))</f>
        <v/>
      </c>
      <c r="L1053">
        <f>IF($V1053="","",Settings!$C$7)</f>
        <v/>
      </c>
      <c r="M1053" s="7">
        <f>IF($V1053="","",SUMIFS('Per Line'!$R$2:$R$6001,'Per Line'!$C$2:$C$6001,$B1053,'Per Line'!$AI$2:$AI$6001,0,'Per Line'!$AJ$2:$AJ$6001,0))</f>
        <v/>
      </c>
      <c r="N1053" s="7">
        <f>IF($V1053="","",M1053*L1053)</f>
        <v/>
      </c>
      <c r="O1053">
        <f>IF($V1053="","",Settings!$C$6)</f>
        <v/>
      </c>
      <c r="P1053" s="7">
        <f>IF($V1053="","",SUMIFS('Per Line'!$R$2:$R$6001,'Per Line'!$C$2:$C$6001,$B1053,'Per Line'!$AI$2:$AI$6001,1,'Per Line'!$AJ$2:$AJ$6001,0))</f>
        <v/>
      </c>
      <c r="Q1053" s="7">
        <f>IF($V1053="","",P1053*O1053)</f>
        <v/>
      </c>
      <c r="R1053" s="7">
        <f>IF($V1053="","",Q1053+N1053)</f>
        <v/>
      </c>
      <c r="S1053" s="7">
        <f>IF($V1053="","",T1053-R1053)</f>
        <v/>
      </c>
      <c r="T1053" s="7">
        <f>IF($V1053="","",M1053+P1053+K1053)</f>
        <v/>
      </c>
      <c r="U1053" s="7">
        <f>IF($V1053="","",T1053-R1053-I1053)</f>
        <v/>
      </c>
      <c r="V1053" s="13">
        <f>IF(ROWS($V$2:$V1053)&lt;=MAX('Per Line'!$AH$2:$AH$6001),MATCH(ROWS($V$2:$V1053),'Per Line'!$AH$2:$AH$6001,0),"")</f>
        <v/>
      </c>
    </row>
    <row r="1054">
      <c r="A1054" s="12" t="n"/>
      <c r="B1054">
        <f>IF($V1054="","",INDEX('Per Line'!$C$2:$C$6001,$V1054)&amp;"")</f>
        <v/>
      </c>
      <c r="C1054" s="11">
        <f>IF($V1054="","",INDEX('Per Line'!$D$2:$D$6001,$V1054))</f>
        <v/>
      </c>
      <c r="D1054">
        <f>IF($V1054="","",INDEX('Per Line'!$E$2:$E$6001,$V1054)&amp;"")</f>
        <v/>
      </c>
      <c r="E1054">
        <f>IF($V1054="","",INDEX('Per Line'!$G$2:$G$6001,$V1054)&amp;"")</f>
        <v/>
      </c>
      <c r="F1054">
        <f>IF($V1054="","",INDEX('Per Line'!$H$2:$H$6001,$V1054)&amp;"")</f>
        <v/>
      </c>
      <c r="G1054">
        <f>IF($V1054="","",INDEX('Per Line'!$I$2:$I$6001,$V1054)&amp;"")</f>
        <v/>
      </c>
      <c r="H1054">
        <f>IF($V1054="","",INDEX('Per Line'!$J$2:$J$6001,$V1054))</f>
        <v/>
      </c>
      <c r="I1054" s="7">
        <f>IF($V1054="","",H1054*S1054/100)</f>
        <v/>
      </c>
      <c r="J1054">
        <f>IF($V1054="","",INDEX('Per Line'!$S$2:$S$6001,$V1054)&amp;"")</f>
        <v/>
      </c>
      <c r="K1054" s="7">
        <f>IF($V1054="","",SUMIFS('Per Line'!$R$2:$R$6001,'Per Line'!$C$2:$C$6001,$B1054,'Per Line'!$AJ$2:$AJ$6001,1))</f>
        <v/>
      </c>
      <c r="L1054">
        <f>IF($V1054="","",Settings!$C$7)</f>
        <v/>
      </c>
      <c r="M1054" s="7">
        <f>IF($V1054="","",SUMIFS('Per Line'!$R$2:$R$6001,'Per Line'!$C$2:$C$6001,$B1054,'Per Line'!$AI$2:$AI$6001,0,'Per Line'!$AJ$2:$AJ$6001,0))</f>
        <v/>
      </c>
      <c r="N1054" s="7">
        <f>IF($V1054="","",M1054*L1054)</f>
        <v/>
      </c>
      <c r="O1054">
        <f>IF($V1054="","",Settings!$C$6)</f>
        <v/>
      </c>
      <c r="P1054" s="7">
        <f>IF($V1054="","",SUMIFS('Per Line'!$R$2:$R$6001,'Per Line'!$C$2:$C$6001,$B1054,'Per Line'!$AI$2:$AI$6001,1,'Per Line'!$AJ$2:$AJ$6001,0))</f>
        <v/>
      </c>
      <c r="Q1054" s="7">
        <f>IF($V1054="","",P1054*O1054)</f>
        <v/>
      </c>
      <c r="R1054" s="7">
        <f>IF($V1054="","",Q1054+N1054)</f>
        <v/>
      </c>
      <c r="S1054" s="7">
        <f>IF($V1054="","",T1054-R1054)</f>
        <v/>
      </c>
      <c r="T1054" s="7">
        <f>IF($V1054="","",M1054+P1054+K1054)</f>
        <v/>
      </c>
      <c r="U1054" s="7">
        <f>IF($V1054="","",T1054-R1054-I1054)</f>
        <v/>
      </c>
      <c r="V1054" s="13">
        <f>IF(ROWS($V$2:$V1054)&lt;=MAX('Per Line'!$AH$2:$AH$6001),MATCH(ROWS($V$2:$V1054),'Per Line'!$AH$2:$AH$6001,0),"")</f>
        <v/>
      </c>
    </row>
    <row r="1055">
      <c r="A1055" s="12" t="n"/>
      <c r="B1055">
        <f>IF($V1055="","",INDEX('Per Line'!$C$2:$C$6001,$V1055)&amp;"")</f>
        <v/>
      </c>
      <c r="C1055" s="11">
        <f>IF($V1055="","",INDEX('Per Line'!$D$2:$D$6001,$V1055))</f>
        <v/>
      </c>
      <c r="D1055">
        <f>IF($V1055="","",INDEX('Per Line'!$E$2:$E$6001,$V1055)&amp;"")</f>
        <v/>
      </c>
      <c r="E1055">
        <f>IF($V1055="","",INDEX('Per Line'!$G$2:$G$6001,$V1055)&amp;"")</f>
        <v/>
      </c>
      <c r="F1055">
        <f>IF($V1055="","",INDEX('Per Line'!$H$2:$H$6001,$V1055)&amp;"")</f>
        <v/>
      </c>
      <c r="G1055">
        <f>IF($V1055="","",INDEX('Per Line'!$I$2:$I$6001,$V1055)&amp;"")</f>
        <v/>
      </c>
      <c r="H1055">
        <f>IF($V1055="","",INDEX('Per Line'!$J$2:$J$6001,$V1055))</f>
        <v/>
      </c>
      <c r="I1055" s="7">
        <f>IF($V1055="","",H1055*S1055/100)</f>
        <v/>
      </c>
      <c r="J1055">
        <f>IF($V1055="","",INDEX('Per Line'!$S$2:$S$6001,$V1055)&amp;"")</f>
        <v/>
      </c>
      <c r="K1055" s="7">
        <f>IF($V1055="","",SUMIFS('Per Line'!$R$2:$R$6001,'Per Line'!$C$2:$C$6001,$B1055,'Per Line'!$AJ$2:$AJ$6001,1))</f>
        <v/>
      </c>
      <c r="L1055">
        <f>IF($V1055="","",Settings!$C$7)</f>
        <v/>
      </c>
      <c r="M1055" s="7">
        <f>IF($V1055="","",SUMIFS('Per Line'!$R$2:$R$6001,'Per Line'!$C$2:$C$6001,$B1055,'Per Line'!$AI$2:$AI$6001,0,'Per Line'!$AJ$2:$AJ$6001,0))</f>
        <v/>
      </c>
      <c r="N1055" s="7">
        <f>IF($V1055="","",M1055*L1055)</f>
        <v/>
      </c>
      <c r="O1055">
        <f>IF($V1055="","",Settings!$C$6)</f>
        <v/>
      </c>
      <c r="P1055" s="7">
        <f>IF($V1055="","",SUMIFS('Per Line'!$R$2:$R$6001,'Per Line'!$C$2:$C$6001,$B1055,'Per Line'!$AI$2:$AI$6001,1,'Per Line'!$AJ$2:$AJ$6001,0))</f>
        <v/>
      </c>
      <c r="Q1055" s="7">
        <f>IF($V1055="","",P1055*O1055)</f>
        <v/>
      </c>
      <c r="R1055" s="7">
        <f>IF($V1055="","",Q1055+N1055)</f>
        <v/>
      </c>
      <c r="S1055" s="7">
        <f>IF($V1055="","",T1055-R1055)</f>
        <v/>
      </c>
      <c r="T1055" s="7">
        <f>IF($V1055="","",M1055+P1055+K1055)</f>
        <v/>
      </c>
      <c r="U1055" s="7">
        <f>IF($V1055="","",T1055-R1055-I1055)</f>
        <v/>
      </c>
      <c r="V1055" s="13">
        <f>IF(ROWS($V$2:$V1055)&lt;=MAX('Per Line'!$AH$2:$AH$6001),MATCH(ROWS($V$2:$V1055),'Per Line'!$AH$2:$AH$6001,0),"")</f>
        <v/>
      </c>
    </row>
    <row r="1056">
      <c r="A1056" s="12" t="n"/>
      <c r="B1056">
        <f>IF($V1056="","",INDEX('Per Line'!$C$2:$C$6001,$V1056)&amp;"")</f>
        <v/>
      </c>
      <c r="C1056" s="11">
        <f>IF($V1056="","",INDEX('Per Line'!$D$2:$D$6001,$V1056))</f>
        <v/>
      </c>
      <c r="D1056">
        <f>IF($V1056="","",INDEX('Per Line'!$E$2:$E$6001,$V1056)&amp;"")</f>
        <v/>
      </c>
      <c r="E1056">
        <f>IF($V1056="","",INDEX('Per Line'!$G$2:$G$6001,$V1056)&amp;"")</f>
        <v/>
      </c>
      <c r="F1056">
        <f>IF($V1056="","",INDEX('Per Line'!$H$2:$H$6001,$V1056)&amp;"")</f>
        <v/>
      </c>
      <c r="G1056">
        <f>IF($V1056="","",INDEX('Per Line'!$I$2:$I$6001,$V1056)&amp;"")</f>
        <v/>
      </c>
      <c r="H1056">
        <f>IF($V1056="","",INDEX('Per Line'!$J$2:$J$6001,$V1056))</f>
        <v/>
      </c>
      <c r="I1056" s="7">
        <f>IF($V1056="","",H1056*S1056/100)</f>
        <v/>
      </c>
      <c r="J1056">
        <f>IF($V1056="","",INDEX('Per Line'!$S$2:$S$6001,$V1056)&amp;"")</f>
        <v/>
      </c>
      <c r="K1056" s="7">
        <f>IF($V1056="","",SUMIFS('Per Line'!$R$2:$R$6001,'Per Line'!$C$2:$C$6001,$B1056,'Per Line'!$AJ$2:$AJ$6001,1))</f>
        <v/>
      </c>
      <c r="L1056">
        <f>IF($V1056="","",Settings!$C$7)</f>
        <v/>
      </c>
      <c r="M1056" s="7">
        <f>IF($V1056="","",SUMIFS('Per Line'!$R$2:$R$6001,'Per Line'!$C$2:$C$6001,$B1056,'Per Line'!$AI$2:$AI$6001,0,'Per Line'!$AJ$2:$AJ$6001,0))</f>
        <v/>
      </c>
      <c r="N1056" s="7">
        <f>IF($V1056="","",M1056*L1056)</f>
        <v/>
      </c>
      <c r="O1056">
        <f>IF($V1056="","",Settings!$C$6)</f>
        <v/>
      </c>
      <c r="P1056" s="7">
        <f>IF($V1056="","",SUMIFS('Per Line'!$R$2:$R$6001,'Per Line'!$C$2:$C$6001,$B1056,'Per Line'!$AI$2:$AI$6001,1,'Per Line'!$AJ$2:$AJ$6001,0))</f>
        <v/>
      </c>
      <c r="Q1056" s="7">
        <f>IF($V1056="","",P1056*O1056)</f>
        <v/>
      </c>
      <c r="R1056" s="7">
        <f>IF($V1056="","",Q1056+N1056)</f>
        <v/>
      </c>
      <c r="S1056" s="7">
        <f>IF($V1056="","",T1056-R1056)</f>
        <v/>
      </c>
      <c r="T1056" s="7">
        <f>IF($V1056="","",M1056+P1056+K1056)</f>
        <v/>
      </c>
      <c r="U1056" s="7">
        <f>IF($V1056="","",T1056-R1056-I1056)</f>
        <v/>
      </c>
      <c r="V1056" s="13">
        <f>IF(ROWS($V$2:$V1056)&lt;=MAX('Per Line'!$AH$2:$AH$6001),MATCH(ROWS($V$2:$V1056),'Per Line'!$AH$2:$AH$6001,0),"")</f>
        <v/>
      </c>
    </row>
    <row r="1057">
      <c r="A1057" s="12" t="n"/>
      <c r="B1057">
        <f>IF($V1057="","",INDEX('Per Line'!$C$2:$C$6001,$V1057)&amp;"")</f>
        <v/>
      </c>
      <c r="C1057" s="11">
        <f>IF($V1057="","",INDEX('Per Line'!$D$2:$D$6001,$V1057))</f>
        <v/>
      </c>
      <c r="D1057">
        <f>IF($V1057="","",INDEX('Per Line'!$E$2:$E$6001,$V1057)&amp;"")</f>
        <v/>
      </c>
      <c r="E1057">
        <f>IF($V1057="","",INDEX('Per Line'!$G$2:$G$6001,$V1057)&amp;"")</f>
        <v/>
      </c>
      <c r="F1057">
        <f>IF($V1057="","",INDEX('Per Line'!$H$2:$H$6001,$V1057)&amp;"")</f>
        <v/>
      </c>
      <c r="G1057">
        <f>IF($V1057="","",INDEX('Per Line'!$I$2:$I$6001,$V1057)&amp;"")</f>
        <v/>
      </c>
      <c r="H1057">
        <f>IF($V1057="","",INDEX('Per Line'!$J$2:$J$6001,$V1057))</f>
        <v/>
      </c>
      <c r="I1057" s="7">
        <f>IF($V1057="","",H1057*S1057/100)</f>
        <v/>
      </c>
      <c r="J1057">
        <f>IF($V1057="","",INDEX('Per Line'!$S$2:$S$6001,$V1057)&amp;"")</f>
        <v/>
      </c>
      <c r="K1057" s="7">
        <f>IF($V1057="","",SUMIFS('Per Line'!$R$2:$R$6001,'Per Line'!$C$2:$C$6001,$B1057,'Per Line'!$AJ$2:$AJ$6001,1))</f>
        <v/>
      </c>
      <c r="L1057">
        <f>IF($V1057="","",Settings!$C$7)</f>
        <v/>
      </c>
      <c r="M1057" s="7">
        <f>IF($V1057="","",SUMIFS('Per Line'!$R$2:$R$6001,'Per Line'!$C$2:$C$6001,$B1057,'Per Line'!$AI$2:$AI$6001,0,'Per Line'!$AJ$2:$AJ$6001,0))</f>
        <v/>
      </c>
      <c r="N1057" s="7">
        <f>IF($V1057="","",M1057*L1057)</f>
        <v/>
      </c>
      <c r="O1057">
        <f>IF($V1057="","",Settings!$C$6)</f>
        <v/>
      </c>
      <c r="P1057" s="7">
        <f>IF($V1057="","",SUMIFS('Per Line'!$R$2:$R$6001,'Per Line'!$C$2:$C$6001,$B1057,'Per Line'!$AI$2:$AI$6001,1,'Per Line'!$AJ$2:$AJ$6001,0))</f>
        <v/>
      </c>
      <c r="Q1057" s="7">
        <f>IF($V1057="","",P1057*O1057)</f>
        <v/>
      </c>
      <c r="R1057" s="7">
        <f>IF($V1057="","",Q1057+N1057)</f>
        <v/>
      </c>
      <c r="S1057" s="7">
        <f>IF($V1057="","",T1057-R1057)</f>
        <v/>
      </c>
      <c r="T1057" s="7">
        <f>IF($V1057="","",M1057+P1057+K1057)</f>
        <v/>
      </c>
      <c r="U1057" s="7">
        <f>IF($V1057="","",T1057-R1057-I1057)</f>
        <v/>
      </c>
      <c r="V1057" s="13">
        <f>IF(ROWS($V$2:$V1057)&lt;=MAX('Per Line'!$AH$2:$AH$6001),MATCH(ROWS($V$2:$V1057),'Per Line'!$AH$2:$AH$6001,0),"")</f>
        <v/>
      </c>
    </row>
    <row r="1058">
      <c r="A1058" s="12" t="n"/>
      <c r="B1058">
        <f>IF($V1058="","",INDEX('Per Line'!$C$2:$C$6001,$V1058)&amp;"")</f>
        <v/>
      </c>
      <c r="C1058" s="11">
        <f>IF($V1058="","",INDEX('Per Line'!$D$2:$D$6001,$V1058))</f>
        <v/>
      </c>
      <c r="D1058">
        <f>IF($V1058="","",INDEX('Per Line'!$E$2:$E$6001,$V1058)&amp;"")</f>
        <v/>
      </c>
      <c r="E1058">
        <f>IF($V1058="","",INDEX('Per Line'!$G$2:$G$6001,$V1058)&amp;"")</f>
        <v/>
      </c>
      <c r="F1058">
        <f>IF($V1058="","",INDEX('Per Line'!$H$2:$H$6001,$V1058)&amp;"")</f>
        <v/>
      </c>
      <c r="G1058">
        <f>IF($V1058="","",INDEX('Per Line'!$I$2:$I$6001,$V1058)&amp;"")</f>
        <v/>
      </c>
      <c r="H1058">
        <f>IF($V1058="","",INDEX('Per Line'!$J$2:$J$6001,$V1058))</f>
        <v/>
      </c>
      <c r="I1058" s="7">
        <f>IF($V1058="","",H1058*S1058/100)</f>
        <v/>
      </c>
      <c r="J1058">
        <f>IF($V1058="","",INDEX('Per Line'!$S$2:$S$6001,$V1058)&amp;"")</f>
        <v/>
      </c>
      <c r="K1058" s="7">
        <f>IF($V1058="","",SUMIFS('Per Line'!$R$2:$R$6001,'Per Line'!$C$2:$C$6001,$B1058,'Per Line'!$AJ$2:$AJ$6001,1))</f>
        <v/>
      </c>
      <c r="L1058">
        <f>IF($V1058="","",Settings!$C$7)</f>
        <v/>
      </c>
      <c r="M1058" s="7">
        <f>IF($V1058="","",SUMIFS('Per Line'!$R$2:$R$6001,'Per Line'!$C$2:$C$6001,$B1058,'Per Line'!$AI$2:$AI$6001,0,'Per Line'!$AJ$2:$AJ$6001,0))</f>
        <v/>
      </c>
      <c r="N1058" s="7">
        <f>IF($V1058="","",M1058*L1058)</f>
        <v/>
      </c>
      <c r="O1058">
        <f>IF($V1058="","",Settings!$C$6)</f>
        <v/>
      </c>
      <c r="P1058" s="7">
        <f>IF($V1058="","",SUMIFS('Per Line'!$R$2:$R$6001,'Per Line'!$C$2:$C$6001,$B1058,'Per Line'!$AI$2:$AI$6001,1,'Per Line'!$AJ$2:$AJ$6001,0))</f>
        <v/>
      </c>
      <c r="Q1058" s="7">
        <f>IF($V1058="","",P1058*O1058)</f>
        <v/>
      </c>
      <c r="R1058" s="7">
        <f>IF($V1058="","",Q1058+N1058)</f>
        <v/>
      </c>
      <c r="S1058" s="7">
        <f>IF($V1058="","",T1058-R1058)</f>
        <v/>
      </c>
      <c r="T1058" s="7">
        <f>IF($V1058="","",M1058+P1058+K1058)</f>
        <v/>
      </c>
      <c r="U1058" s="7">
        <f>IF($V1058="","",T1058-R1058-I1058)</f>
        <v/>
      </c>
      <c r="V1058" s="13">
        <f>IF(ROWS($V$2:$V1058)&lt;=MAX('Per Line'!$AH$2:$AH$6001),MATCH(ROWS($V$2:$V1058),'Per Line'!$AH$2:$AH$6001,0),"")</f>
        <v/>
      </c>
    </row>
    <row r="1059">
      <c r="A1059" s="12" t="n"/>
      <c r="B1059">
        <f>IF($V1059="","",INDEX('Per Line'!$C$2:$C$6001,$V1059)&amp;"")</f>
        <v/>
      </c>
      <c r="C1059" s="11">
        <f>IF($V1059="","",INDEX('Per Line'!$D$2:$D$6001,$V1059))</f>
        <v/>
      </c>
      <c r="D1059">
        <f>IF($V1059="","",INDEX('Per Line'!$E$2:$E$6001,$V1059)&amp;"")</f>
        <v/>
      </c>
      <c r="E1059">
        <f>IF($V1059="","",INDEX('Per Line'!$G$2:$G$6001,$V1059)&amp;"")</f>
        <v/>
      </c>
      <c r="F1059">
        <f>IF($V1059="","",INDEX('Per Line'!$H$2:$H$6001,$V1059)&amp;"")</f>
        <v/>
      </c>
      <c r="G1059">
        <f>IF($V1059="","",INDEX('Per Line'!$I$2:$I$6001,$V1059)&amp;"")</f>
        <v/>
      </c>
      <c r="H1059">
        <f>IF($V1059="","",INDEX('Per Line'!$J$2:$J$6001,$V1059))</f>
        <v/>
      </c>
      <c r="I1059" s="7">
        <f>IF($V1059="","",H1059*S1059/100)</f>
        <v/>
      </c>
      <c r="J1059">
        <f>IF($V1059="","",INDEX('Per Line'!$S$2:$S$6001,$V1059)&amp;"")</f>
        <v/>
      </c>
      <c r="K1059" s="7">
        <f>IF($V1059="","",SUMIFS('Per Line'!$R$2:$R$6001,'Per Line'!$C$2:$C$6001,$B1059,'Per Line'!$AJ$2:$AJ$6001,1))</f>
        <v/>
      </c>
      <c r="L1059">
        <f>IF($V1059="","",Settings!$C$7)</f>
        <v/>
      </c>
      <c r="M1059" s="7">
        <f>IF($V1059="","",SUMIFS('Per Line'!$R$2:$R$6001,'Per Line'!$C$2:$C$6001,$B1059,'Per Line'!$AI$2:$AI$6001,0,'Per Line'!$AJ$2:$AJ$6001,0))</f>
        <v/>
      </c>
      <c r="N1059" s="7">
        <f>IF($V1059="","",M1059*L1059)</f>
        <v/>
      </c>
      <c r="O1059">
        <f>IF($V1059="","",Settings!$C$6)</f>
        <v/>
      </c>
      <c r="P1059" s="7">
        <f>IF($V1059="","",SUMIFS('Per Line'!$R$2:$R$6001,'Per Line'!$C$2:$C$6001,$B1059,'Per Line'!$AI$2:$AI$6001,1,'Per Line'!$AJ$2:$AJ$6001,0))</f>
        <v/>
      </c>
      <c r="Q1059" s="7">
        <f>IF($V1059="","",P1059*O1059)</f>
        <v/>
      </c>
      <c r="R1059" s="7">
        <f>IF($V1059="","",Q1059+N1059)</f>
        <v/>
      </c>
      <c r="S1059" s="7">
        <f>IF($V1059="","",T1059-R1059)</f>
        <v/>
      </c>
      <c r="T1059" s="7">
        <f>IF($V1059="","",M1059+P1059+K1059)</f>
        <v/>
      </c>
      <c r="U1059" s="7">
        <f>IF($V1059="","",T1059-R1059-I1059)</f>
        <v/>
      </c>
      <c r="V1059" s="13">
        <f>IF(ROWS($V$2:$V1059)&lt;=MAX('Per Line'!$AH$2:$AH$6001),MATCH(ROWS($V$2:$V1059),'Per Line'!$AH$2:$AH$6001,0),"")</f>
        <v/>
      </c>
    </row>
    <row r="1060">
      <c r="A1060" s="12" t="n"/>
      <c r="B1060">
        <f>IF($V1060="","",INDEX('Per Line'!$C$2:$C$6001,$V1060)&amp;"")</f>
        <v/>
      </c>
      <c r="C1060" s="11">
        <f>IF($V1060="","",INDEX('Per Line'!$D$2:$D$6001,$V1060))</f>
        <v/>
      </c>
      <c r="D1060">
        <f>IF($V1060="","",INDEX('Per Line'!$E$2:$E$6001,$V1060)&amp;"")</f>
        <v/>
      </c>
      <c r="E1060">
        <f>IF($V1060="","",INDEX('Per Line'!$G$2:$G$6001,$V1060)&amp;"")</f>
        <v/>
      </c>
      <c r="F1060">
        <f>IF($V1060="","",INDEX('Per Line'!$H$2:$H$6001,$V1060)&amp;"")</f>
        <v/>
      </c>
      <c r="G1060">
        <f>IF($V1060="","",INDEX('Per Line'!$I$2:$I$6001,$V1060)&amp;"")</f>
        <v/>
      </c>
      <c r="H1060">
        <f>IF($V1060="","",INDEX('Per Line'!$J$2:$J$6001,$V1060))</f>
        <v/>
      </c>
      <c r="I1060" s="7">
        <f>IF($V1060="","",H1060*S1060/100)</f>
        <v/>
      </c>
      <c r="J1060">
        <f>IF($V1060="","",INDEX('Per Line'!$S$2:$S$6001,$V1060)&amp;"")</f>
        <v/>
      </c>
      <c r="K1060" s="7">
        <f>IF($V1060="","",SUMIFS('Per Line'!$R$2:$R$6001,'Per Line'!$C$2:$C$6001,$B1060,'Per Line'!$AJ$2:$AJ$6001,1))</f>
        <v/>
      </c>
      <c r="L1060">
        <f>IF($V1060="","",Settings!$C$7)</f>
        <v/>
      </c>
      <c r="M1060" s="7">
        <f>IF($V1060="","",SUMIFS('Per Line'!$R$2:$R$6001,'Per Line'!$C$2:$C$6001,$B1060,'Per Line'!$AI$2:$AI$6001,0,'Per Line'!$AJ$2:$AJ$6001,0))</f>
        <v/>
      </c>
      <c r="N1060" s="7">
        <f>IF($V1060="","",M1060*L1060)</f>
        <v/>
      </c>
      <c r="O1060">
        <f>IF($V1060="","",Settings!$C$6)</f>
        <v/>
      </c>
      <c r="P1060" s="7">
        <f>IF($V1060="","",SUMIFS('Per Line'!$R$2:$R$6001,'Per Line'!$C$2:$C$6001,$B1060,'Per Line'!$AI$2:$AI$6001,1,'Per Line'!$AJ$2:$AJ$6001,0))</f>
        <v/>
      </c>
      <c r="Q1060" s="7">
        <f>IF($V1060="","",P1060*O1060)</f>
        <v/>
      </c>
      <c r="R1060" s="7">
        <f>IF($V1060="","",Q1060+N1060)</f>
        <v/>
      </c>
      <c r="S1060" s="7">
        <f>IF($V1060="","",T1060-R1060)</f>
        <v/>
      </c>
      <c r="T1060" s="7">
        <f>IF($V1060="","",M1060+P1060+K1060)</f>
        <v/>
      </c>
      <c r="U1060" s="7">
        <f>IF($V1060="","",T1060-R1060-I1060)</f>
        <v/>
      </c>
      <c r="V1060" s="13">
        <f>IF(ROWS($V$2:$V1060)&lt;=MAX('Per Line'!$AH$2:$AH$6001),MATCH(ROWS($V$2:$V1060),'Per Line'!$AH$2:$AH$6001,0),"")</f>
        <v/>
      </c>
    </row>
    <row r="1061">
      <c r="A1061" s="12" t="n"/>
      <c r="B1061">
        <f>IF($V1061="","",INDEX('Per Line'!$C$2:$C$6001,$V1061)&amp;"")</f>
        <v/>
      </c>
      <c r="C1061" s="11">
        <f>IF($V1061="","",INDEX('Per Line'!$D$2:$D$6001,$V1061))</f>
        <v/>
      </c>
      <c r="D1061">
        <f>IF($V1061="","",INDEX('Per Line'!$E$2:$E$6001,$V1061)&amp;"")</f>
        <v/>
      </c>
      <c r="E1061">
        <f>IF($V1061="","",INDEX('Per Line'!$G$2:$G$6001,$V1061)&amp;"")</f>
        <v/>
      </c>
      <c r="F1061">
        <f>IF($V1061="","",INDEX('Per Line'!$H$2:$H$6001,$V1061)&amp;"")</f>
        <v/>
      </c>
      <c r="G1061">
        <f>IF($V1061="","",INDEX('Per Line'!$I$2:$I$6001,$V1061)&amp;"")</f>
        <v/>
      </c>
      <c r="H1061">
        <f>IF($V1061="","",INDEX('Per Line'!$J$2:$J$6001,$V1061))</f>
        <v/>
      </c>
      <c r="I1061" s="7">
        <f>IF($V1061="","",H1061*S1061/100)</f>
        <v/>
      </c>
      <c r="J1061">
        <f>IF($V1061="","",INDEX('Per Line'!$S$2:$S$6001,$V1061)&amp;"")</f>
        <v/>
      </c>
      <c r="K1061" s="7">
        <f>IF($V1061="","",SUMIFS('Per Line'!$R$2:$R$6001,'Per Line'!$C$2:$C$6001,$B1061,'Per Line'!$AJ$2:$AJ$6001,1))</f>
        <v/>
      </c>
      <c r="L1061">
        <f>IF($V1061="","",Settings!$C$7)</f>
        <v/>
      </c>
      <c r="M1061" s="7">
        <f>IF($V1061="","",SUMIFS('Per Line'!$R$2:$R$6001,'Per Line'!$C$2:$C$6001,$B1061,'Per Line'!$AI$2:$AI$6001,0,'Per Line'!$AJ$2:$AJ$6001,0))</f>
        <v/>
      </c>
      <c r="N1061" s="7">
        <f>IF($V1061="","",M1061*L1061)</f>
        <v/>
      </c>
      <c r="O1061">
        <f>IF($V1061="","",Settings!$C$6)</f>
        <v/>
      </c>
      <c r="P1061" s="7">
        <f>IF($V1061="","",SUMIFS('Per Line'!$R$2:$R$6001,'Per Line'!$C$2:$C$6001,$B1061,'Per Line'!$AI$2:$AI$6001,1,'Per Line'!$AJ$2:$AJ$6001,0))</f>
        <v/>
      </c>
      <c r="Q1061" s="7">
        <f>IF($V1061="","",P1061*O1061)</f>
        <v/>
      </c>
      <c r="R1061" s="7">
        <f>IF($V1061="","",Q1061+N1061)</f>
        <v/>
      </c>
      <c r="S1061" s="7">
        <f>IF($V1061="","",T1061-R1061)</f>
        <v/>
      </c>
      <c r="T1061" s="7">
        <f>IF($V1061="","",M1061+P1061+K1061)</f>
        <v/>
      </c>
      <c r="U1061" s="7">
        <f>IF($V1061="","",T1061-R1061-I1061)</f>
        <v/>
      </c>
      <c r="V1061" s="13">
        <f>IF(ROWS($V$2:$V1061)&lt;=MAX('Per Line'!$AH$2:$AH$6001),MATCH(ROWS($V$2:$V1061),'Per Line'!$AH$2:$AH$6001,0),"")</f>
        <v/>
      </c>
    </row>
    <row r="1062">
      <c r="A1062" s="12" t="n"/>
      <c r="B1062">
        <f>IF($V1062="","",INDEX('Per Line'!$C$2:$C$6001,$V1062)&amp;"")</f>
        <v/>
      </c>
      <c r="C1062" s="11">
        <f>IF($V1062="","",INDEX('Per Line'!$D$2:$D$6001,$V1062))</f>
        <v/>
      </c>
      <c r="D1062">
        <f>IF($V1062="","",INDEX('Per Line'!$E$2:$E$6001,$V1062)&amp;"")</f>
        <v/>
      </c>
      <c r="E1062">
        <f>IF($V1062="","",INDEX('Per Line'!$G$2:$G$6001,$V1062)&amp;"")</f>
        <v/>
      </c>
      <c r="F1062">
        <f>IF($V1062="","",INDEX('Per Line'!$H$2:$H$6001,$V1062)&amp;"")</f>
        <v/>
      </c>
      <c r="G1062">
        <f>IF($V1062="","",INDEX('Per Line'!$I$2:$I$6001,$V1062)&amp;"")</f>
        <v/>
      </c>
      <c r="H1062">
        <f>IF($V1062="","",INDEX('Per Line'!$J$2:$J$6001,$V1062))</f>
        <v/>
      </c>
      <c r="I1062" s="7">
        <f>IF($V1062="","",H1062*S1062/100)</f>
        <v/>
      </c>
      <c r="J1062">
        <f>IF($V1062="","",INDEX('Per Line'!$S$2:$S$6001,$V1062)&amp;"")</f>
        <v/>
      </c>
      <c r="K1062" s="7">
        <f>IF($V1062="","",SUMIFS('Per Line'!$R$2:$R$6001,'Per Line'!$C$2:$C$6001,$B1062,'Per Line'!$AJ$2:$AJ$6001,1))</f>
        <v/>
      </c>
      <c r="L1062">
        <f>IF($V1062="","",Settings!$C$7)</f>
        <v/>
      </c>
      <c r="M1062" s="7">
        <f>IF($V1062="","",SUMIFS('Per Line'!$R$2:$R$6001,'Per Line'!$C$2:$C$6001,$B1062,'Per Line'!$AI$2:$AI$6001,0,'Per Line'!$AJ$2:$AJ$6001,0))</f>
        <v/>
      </c>
      <c r="N1062" s="7">
        <f>IF($V1062="","",M1062*L1062)</f>
        <v/>
      </c>
      <c r="O1062">
        <f>IF($V1062="","",Settings!$C$6)</f>
        <v/>
      </c>
      <c r="P1062" s="7">
        <f>IF($V1062="","",SUMIFS('Per Line'!$R$2:$R$6001,'Per Line'!$C$2:$C$6001,$B1062,'Per Line'!$AI$2:$AI$6001,1,'Per Line'!$AJ$2:$AJ$6001,0))</f>
        <v/>
      </c>
      <c r="Q1062" s="7">
        <f>IF($V1062="","",P1062*O1062)</f>
        <v/>
      </c>
      <c r="R1062" s="7">
        <f>IF($V1062="","",Q1062+N1062)</f>
        <v/>
      </c>
      <c r="S1062" s="7">
        <f>IF($V1062="","",T1062-R1062)</f>
        <v/>
      </c>
      <c r="T1062" s="7">
        <f>IF($V1062="","",M1062+P1062+K1062)</f>
        <v/>
      </c>
      <c r="U1062" s="7">
        <f>IF($V1062="","",T1062-R1062-I1062)</f>
        <v/>
      </c>
      <c r="V1062" s="13">
        <f>IF(ROWS($V$2:$V1062)&lt;=MAX('Per Line'!$AH$2:$AH$6001),MATCH(ROWS($V$2:$V1062),'Per Line'!$AH$2:$AH$6001,0),"")</f>
        <v/>
      </c>
    </row>
    <row r="1063">
      <c r="A1063" s="12" t="n"/>
      <c r="B1063">
        <f>IF($V1063="","",INDEX('Per Line'!$C$2:$C$6001,$V1063)&amp;"")</f>
        <v/>
      </c>
      <c r="C1063" s="11">
        <f>IF($V1063="","",INDEX('Per Line'!$D$2:$D$6001,$V1063))</f>
        <v/>
      </c>
      <c r="D1063">
        <f>IF($V1063="","",INDEX('Per Line'!$E$2:$E$6001,$V1063)&amp;"")</f>
        <v/>
      </c>
      <c r="E1063">
        <f>IF($V1063="","",INDEX('Per Line'!$G$2:$G$6001,$V1063)&amp;"")</f>
        <v/>
      </c>
      <c r="F1063">
        <f>IF($V1063="","",INDEX('Per Line'!$H$2:$H$6001,$V1063)&amp;"")</f>
        <v/>
      </c>
      <c r="G1063">
        <f>IF($V1063="","",INDEX('Per Line'!$I$2:$I$6001,$V1063)&amp;"")</f>
        <v/>
      </c>
      <c r="H1063">
        <f>IF($V1063="","",INDEX('Per Line'!$J$2:$J$6001,$V1063))</f>
        <v/>
      </c>
      <c r="I1063" s="7">
        <f>IF($V1063="","",H1063*S1063/100)</f>
        <v/>
      </c>
      <c r="J1063">
        <f>IF($V1063="","",INDEX('Per Line'!$S$2:$S$6001,$V1063)&amp;"")</f>
        <v/>
      </c>
      <c r="K1063" s="7">
        <f>IF($V1063="","",SUMIFS('Per Line'!$R$2:$R$6001,'Per Line'!$C$2:$C$6001,$B1063,'Per Line'!$AJ$2:$AJ$6001,1))</f>
        <v/>
      </c>
      <c r="L1063">
        <f>IF($V1063="","",Settings!$C$7)</f>
        <v/>
      </c>
      <c r="M1063" s="7">
        <f>IF($V1063="","",SUMIFS('Per Line'!$R$2:$R$6001,'Per Line'!$C$2:$C$6001,$B1063,'Per Line'!$AI$2:$AI$6001,0,'Per Line'!$AJ$2:$AJ$6001,0))</f>
        <v/>
      </c>
      <c r="N1063" s="7">
        <f>IF($V1063="","",M1063*L1063)</f>
        <v/>
      </c>
      <c r="O1063">
        <f>IF($V1063="","",Settings!$C$6)</f>
        <v/>
      </c>
      <c r="P1063" s="7">
        <f>IF($V1063="","",SUMIFS('Per Line'!$R$2:$R$6001,'Per Line'!$C$2:$C$6001,$B1063,'Per Line'!$AI$2:$AI$6001,1,'Per Line'!$AJ$2:$AJ$6001,0))</f>
        <v/>
      </c>
      <c r="Q1063" s="7">
        <f>IF($V1063="","",P1063*O1063)</f>
        <v/>
      </c>
      <c r="R1063" s="7">
        <f>IF($V1063="","",Q1063+N1063)</f>
        <v/>
      </c>
      <c r="S1063" s="7">
        <f>IF($V1063="","",T1063-R1063)</f>
        <v/>
      </c>
      <c r="T1063" s="7">
        <f>IF($V1063="","",M1063+P1063+K1063)</f>
        <v/>
      </c>
      <c r="U1063" s="7">
        <f>IF($V1063="","",T1063-R1063-I1063)</f>
        <v/>
      </c>
      <c r="V1063" s="13">
        <f>IF(ROWS($V$2:$V1063)&lt;=MAX('Per Line'!$AH$2:$AH$6001),MATCH(ROWS($V$2:$V1063),'Per Line'!$AH$2:$AH$6001,0),"")</f>
        <v/>
      </c>
    </row>
    <row r="1064">
      <c r="A1064" s="12" t="n"/>
      <c r="B1064">
        <f>IF($V1064="","",INDEX('Per Line'!$C$2:$C$6001,$V1064)&amp;"")</f>
        <v/>
      </c>
      <c r="C1064" s="11">
        <f>IF($V1064="","",INDEX('Per Line'!$D$2:$D$6001,$V1064))</f>
        <v/>
      </c>
      <c r="D1064">
        <f>IF($V1064="","",INDEX('Per Line'!$E$2:$E$6001,$V1064)&amp;"")</f>
        <v/>
      </c>
      <c r="E1064">
        <f>IF($V1064="","",INDEX('Per Line'!$G$2:$G$6001,$V1064)&amp;"")</f>
        <v/>
      </c>
      <c r="F1064">
        <f>IF($V1064="","",INDEX('Per Line'!$H$2:$H$6001,$V1064)&amp;"")</f>
        <v/>
      </c>
      <c r="G1064">
        <f>IF($V1064="","",INDEX('Per Line'!$I$2:$I$6001,$V1064)&amp;"")</f>
        <v/>
      </c>
      <c r="H1064">
        <f>IF($V1064="","",INDEX('Per Line'!$J$2:$J$6001,$V1064))</f>
        <v/>
      </c>
      <c r="I1064" s="7">
        <f>IF($V1064="","",H1064*S1064/100)</f>
        <v/>
      </c>
      <c r="J1064">
        <f>IF($V1064="","",INDEX('Per Line'!$S$2:$S$6001,$V1064)&amp;"")</f>
        <v/>
      </c>
      <c r="K1064" s="7">
        <f>IF($V1064="","",SUMIFS('Per Line'!$R$2:$R$6001,'Per Line'!$C$2:$C$6001,$B1064,'Per Line'!$AJ$2:$AJ$6001,1))</f>
        <v/>
      </c>
      <c r="L1064">
        <f>IF($V1064="","",Settings!$C$7)</f>
        <v/>
      </c>
      <c r="M1064" s="7">
        <f>IF($V1064="","",SUMIFS('Per Line'!$R$2:$R$6001,'Per Line'!$C$2:$C$6001,$B1064,'Per Line'!$AI$2:$AI$6001,0,'Per Line'!$AJ$2:$AJ$6001,0))</f>
        <v/>
      </c>
      <c r="N1064" s="7">
        <f>IF($V1064="","",M1064*L1064)</f>
        <v/>
      </c>
      <c r="O1064">
        <f>IF($V1064="","",Settings!$C$6)</f>
        <v/>
      </c>
      <c r="P1064" s="7">
        <f>IF($V1064="","",SUMIFS('Per Line'!$R$2:$R$6001,'Per Line'!$C$2:$C$6001,$B1064,'Per Line'!$AI$2:$AI$6001,1,'Per Line'!$AJ$2:$AJ$6001,0))</f>
        <v/>
      </c>
      <c r="Q1064" s="7">
        <f>IF($V1064="","",P1064*O1064)</f>
        <v/>
      </c>
      <c r="R1064" s="7">
        <f>IF($V1064="","",Q1064+N1064)</f>
        <v/>
      </c>
      <c r="S1064" s="7">
        <f>IF($V1064="","",T1064-R1064)</f>
        <v/>
      </c>
      <c r="T1064" s="7">
        <f>IF($V1064="","",M1064+P1064+K1064)</f>
        <v/>
      </c>
      <c r="U1064" s="7">
        <f>IF($V1064="","",T1064-R1064-I1064)</f>
        <v/>
      </c>
      <c r="V1064" s="13">
        <f>IF(ROWS($V$2:$V1064)&lt;=MAX('Per Line'!$AH$2:$AH$6001),MATCH(ROWS($V$2:$V1064),'Per Line'!$AH$2:$AH$6001,0),"")</f>
        <v/>
      </c>
    </row>
    <row r="1065">
      <c r="A1065" s="12" t="n"/>
      <c r="B1065">
        <f>IF($V1065="","",INDEX('Per Line'!$C$2:$C$6001,$V1065)&amp;"")</f>
        <v/>
      </c>
      <c r="C1065" s="11">
        <f>IF($V1065="","",INDEX('Per Line'!$D$2:$D$6001,$V1065))</f>
        <v/>
      </c>
      <c r="D1065">
        <f>IF($V1065="","",INDEX('Per Line'!$E$2:$E$6001,$V1065)&amp;"")</f>
        <v/>
      </c>
      <c r="E1065">
        <f>IF($V1065="","",INDEX('Per Line'!$G$2:$G$6001,$V1065)&amp;"")</f>
        <v/>
      </c>
      <c r="F1065">
        <f>IF($V1065="","",INDEX('Per Line'!$H$2:$H$6001,$V1065)&amp;"")</f>
        <v/>
      </c>
      <c r="G1065">
        <f>IF($V1065="","",INDEX('Per Line'!$I$2:$I$6001,$V1065)&amp;"")</f>
        <v/>
      </c>
      <c r="H1065">
        <f>IF($V1065="","",INDEX('Per Line'!$J$2:$J$6001,$V1065))</f>
        <v/>
      </c>
      <c r="I1065" s="7">
        <f>IF($V1065="","",H1065*S1065/100)</f>
        <v/>
      </c>
      <c r="J1065">
        <f>IF($V1065="","",INDEX('Per Line'!$S$2:$S$6001,$V1065)&amp;"")</f>
        <v/>
      </c>
      <c r="K1065" s="7">
        <f>IF($V1065="","",SUMIFS('Per Line'!$R$2:$R$6001,'Per Line'!$C$2:$C$6001,$B1065,'Per Line'!$AJ$2:$AJ$6001,1))</f>
        <v/>
      </c>
      <c r="L1065">
        <f>IF($V1065="","",Settings!$C$7)</f>
        <v/>
      </c>
      <c r="M1065" s="7">
        <f>IF($V1065="","",SUMIFS('Per Line'!$R$2:$R$6001,'Per Line'!$C$2:$C$6001,$B1065,'Per Line'!$AI$2:$AI$6001,0,'Per Line'!$AJ$2:$AJ$6001,0))</f>
        <v/>
      </c>
      <c r="N1065" s="7">
        <f>IF($V1065="","",M1065*L1065)</f>
        <v/>
      </c>
      <c r="O1065">
        <f>IF($V1065="","",Settings!$C$6)</f>
        <v/>
      </c>
      <c r="P1065" s="7">
        <f>IF($V1065="","",SUMIFS('Per Line'!$R$2:$R$6001,'Per Line'!$C$2:$C$6001,$B1065,'Per Line'!$AI$2:$AI$6001,1,'Per Line'!$AJ$2:$AJ$6001,0))</f>
        <v/>
      </c>
      <c r="Q1065" s="7">
        <f>IF($V1065="","",P1065*O1065)</f>
        <v/>
      </c>
      <c r="R1065" s="7">
        <f>IF($V1065="","",Q1065+N1065)</f>
        <v/>
      </c>
      <c r="S1065" s="7">
        <f>IF($V1065="","",T1065-R1065)</f>
        <v/>
      </c>
      <c r="T1065" s="7">
        <f>IF($V1065="","",M1065+P1065+K1065)</f>
        <v/>
      </c>
      <c r="U1065" s="7">
        <f>IF($V1065="","",T1065-R1065-I1065)</f>
        <v/>
      </c>
      <c r="V1065" s="13">
        <f>IF(ROWS($V$2:$V1065)&lt;=MAX('Per Line'!$AH$2:$AH$6001),MATCH(ROWS($V$2:$V1065),'Per Line'!$AH$2:$AH$6001,0),"")</f>
        <v/>
      </c>
    </row>
    <row r="1066">
      <c r="A1066" s="12" t="n"/>
      <c r="B1066">
        <f>IF($V1066="","",INDEX('Per Line'!$C$2:$C$6001,$V1066)&amp;"")</f>
        <v/>
      </c>
      <c r="C1066" s="11">
        <f>IF($V1066="","",INDEX('Per Line'!$D$2:$D$6001,$V1066))</f>
        <v/>
      </c>
      <c r="D1066">
        <f>IF($V1066="","",INDEX('Per Line'!$E$2:$E$6001,$V1066)&amp;"")</f>
        <v/>
      </c>
      <c r="E1066">
        <f>IF($V1066="","",INDEX('Per Line'!$G$2:$G$6001,$V1066)&amp;"")</f>
        <v/>
      </c>
      <c r="F1066">
        <f>IF($V1066="","",INDEX('Per Line'!$H$2:$H$6001,$V1066)&amp;"")</f>
        <v/>
      </c>
      <c r="G1066">
        <f>IF($V1066="","",INDEX('Per Line'!$I$2:$I$6001,$V1066)&amp;"")</f>
        <v/>
      </c>
      <c r="H1066">
        <f>IF($V1066="","",INDEX('Per Line'!$J$2:$J$6001,$V1066))</f>
        <v/>
      </c>
      <c r="I1066" s="7">
        <f>IF($V1066="","",H1066*S1066/100)</f>
        <v/>
      </c>
      <c r="J1066">
        <f>IF($V1066="","",INDEX('Per Line'!$S$2:$S$6001,$V1066)&amp;"")</f>
        <v/>
      </c>
      <c r="K1066" s="7">
        <f>IF($V1066="","",SUMIFS('Per Line'!$R$2:$R$6001,'Per Line'!$C$2:$C$6001,$B1066,'Per Line'!$AJ$2:$AJ$6001,1))</f>
        <v/>
      </c>
      <c r="L1066">
        <f>IF($V1066="","",Settings!$C$7)</f>
        <v/>
      </c>
      <c r="M1066" s="7">
        <f>IF($V1066="","",SUMIFS('Per Line'!$R$2:$R$6001,'Per Line'!$C$2:$C$6001,$B1066,'Per Line'!$AI$2:$AI$6001,0,'Per Line'!$AJ$2:$AJ$6001,0))</f>
        <v/>
      </c>
      <c r="N1066" s="7">
        <f>IF($V1066="","",M1066*L1066)</f>
        <v/>
      </c>
      <c r="O1066">
        <f>IF($V1066="","",Settings!$C$6)</f>
        <v/>
      </c>
      <c r="P1066" s="7">
        <f>IF($V1066="","",SUMIFS('Per Line'!$R$2:$R$6001,'Per Line'!$C$2:$C$6001,$B1066,'Per Line'!$AI$2:$AI$6001,1,'Per Line'!$AJ$2:$AJ$6001,0))</f>
        <v/>
      </c>
      <c r="Q1066" s="7">
        <f>IF($V1066="","",P1066*O1066)</f>
        <v/>
      </c>
      <c r="R1066" s="7">
        <f>IF($V1066="","",Q1066+N1066)</f>
        <v/>
      </c>
      <c r="S1066" s="7">
        <f>IF($V1066="","",T1066-R1066)</f>
        <v/>
      </c>
      <c r="T1066" s="7">
        <f>IF($V1066="","",M1066+P1066+K1066)</f>
        <v/>
      </c>
      <c r="U1066" s="7">
        <f>IF($V1066="","",T1066-R1066-I1066)</f>
        <v/>
      </c>
      <c r="V1066" s="13">
        <f>IF(ROWS($V$2:$V1066)&lt;=MAX('Per Line'!$AH$2:$AH$6001),MATCH(ROWS($V$2:$V1066),'Per Line'!$AH$2:$AH$6001,0),"")</f>
        <v/>
      </c>
    </row>
    <row r="1067">
      <c r="A1067" s="12" t="n"/>
      <c r="B1067">
        <f>IF($V1067="","",INDEX('Per Line'!$C$2:$C$6001,$V1067)&amp;"")</f>
        <v/>
      </c>
      <c r="C1067" s="11">
        <f>IF($V1067="","",INDEX('Per Line'!$D$2:$D$6001,$V1067))</f>
        <v/>
      </c>
      <c r="D1067">
        <f>IF($V1067="","",INDEX('Per Line'!$E$2:$E$6001,$V1067)&amp;"")</f>
        <v/>
      </c>
      <c r="E1067">
        <f>IF($V1067="","",INDEX('Per Line'!$G$2:$G$6001,$V1067)&amp;"")</f>
        <v/>
      </c>
      <c r="F1067">
        <f>IF($V1067="","",INDEX('Per Line'!$H$2:$H$6001,$V1067)&amp;"")</f>
        <v/>
      </c>
      <c r="G1067">
        <f>IF($V1067="","",INDEX('Per Line'!$I$2:$I$6001,$V1067)&amp;"")</f>
        <v/>
      </c>
      <c r="H1067">
        <f>IF($V1067="","",INDEX('Per Line'!$J$2:$J$6001,$V1067))</f>
        <v/>
      </c>
      <c r="I1067" s="7">
        <f>IF($V1067="","",H1067*S1067/100)</f>
        <v/>
      </c>
      <c r="J1067">
        <f>IF($V1067="","",INDEX('Per Line'!$S$2:$S$6001,$V1067)&amp;"")</f>
        <v/>
      </c>
      <c r="K1067" s="7">
        <f>IF($V1067="","",SUMIFS('Per Line'!$R$2:$R$6001,'Per Line'!$C$2:$C$6001,$B1067,'Per Line'!$AJ$2:$AJ$6001,1))</f>
        <v/>
      </c>
      <c r="L1067">
        <f>IF($V1067="","",Settings!$C$7)</f>
        <v/>
      </c>
      <c r="M1067" s="7">
        <f>IF($V1067="","",SUMIFS('Per Line'!$R$2:$R$6001,'Per Line'!$C$2:$C$6001,$B1067,'Per Line'!$AI$2:$AI$6001,0,'Per Line'!$AJ$2:$AJ$6001,0))</f>
        <v/>
      </c>
      <c r="N1067" s="7">
        <f>IF($V1067="","",M1067*L1067)</f>
        <v/>
      </c>
      <c r="O1067">
        <f>IF($V1067="","",Settings!$C$6)</f>
        <v/>
      </c>
      <c r="P1067" s="7">
        <f>IF($V1067="","",SUMIFS('Per Line'!$R$2:$R$6001,'Per Line'!$C$2:$C$6001,$B1067,'Per Line'!$AI$2:$AI$6001,1,'Per Line'!$AJ$2:$AJ$6001,0))</f>
        <v/>
      </c>
      <c r="Q1067" s="7">
        <f>IF($V1067="","",P1067*O1067)</f>
        <v/>
      </c>
      <c r="R1067" s="7">
        <f>IF($V1067="","",Q1067+N1067)</f>
        <v/>
      </c>
      <c r="S1067" s="7">
        <f>IF($V1067="","",T1067-R1067)</f>
        <v/>
      </c>
      <c r="T1067" s="7">
        <f>IF($V1067="","",M1067+P1067+K1067)</f>
        <v/>
      </c>
      <c r="U1067" s="7">
        <f>IF($V1067="","",T1067-R1067-I1067)</f>
        <v/>
      </c>
      <c r="V1067" s="13">
        <f>IF(ROWS($V$2:$V1067)&lt;=MAX('Per Line'!$AH$2:$AH$6001),MATCH(ROWS($V$2:$V1067),'Per Line'!$AH$2:$AH$6001,0),"")</f>
        <v/>
      </c>
    </row>
    <row r="1068">
      <c r="A1068" s="12" t="n"/>
      <c r="B1068">
        <f>IF($V1068="","",INDEX('Per Line'!$C$2:$C$6001,$V1068)&amp;"")</f>
        <v/>
      </c>
      <c r="C1068" s="11">
        <f>IF($V1068="","",INDEX('Per Line'!$D$2:$D$6001,$V1068))</f>
        <v/>
      </c>
      <c r="D1068">
        <f>IF($V1068="","",INDEX('Per Line'!$E$2:$E$6001,$V1068)&amp;"")</f>
        <v/>
      </c>
      <c r="E1068">
        <f>IF($V1068="","",INDEX('Per Line'!$G$2:$G$6001,$V1068)&amp;"")</f>
        <v/>
      </c>
      <c r="F1068">
        <f>IF($V1068="","",INDEX('Per Line'!$H$2:$H$6001,$V1068)&amp;"")</f>
        <v/>
      </c>
      <c r="G1068">
        <f>IF($V1068="","",INDEX('Per Line'!$I$2:$I$6001,$V1068)&amp;"")</f>
        <v/>
      </c>
      <c r="H1068">
        <f>IF($V1068="","",INDEX('Per Line'!$J$2:$J$6001,$V1068))</f>
        <v/>
      </c>
      <c r="I1068" s="7">
        <f>IF($V1068="","",H1068*S1068/100)</f>
        <v/>
      </c>
      <c r="J1068">
        <f>IF($V1068="","",INDEX('Per Line'!$S$2:$S$6001,$V1068)&amp;"")</f>
        <v/>
      </c>
      <c r="K1068" s="7">
        <f>IF($V1068="","",SUMIFS('Per Line'!$R$2:$R$6001,'Per Line'!$C$2:$C$6001,$B1068,'Per Line'!$AJ$2:$AJ$6001,1))</f>
        <v/>
      </c>
      <c r="L1068">
        <f>IF($V1068="","",Settings!$C$7)</f>
        <v/>
      </c>
      <c r="M1068" s="7">
        <f>IF($V1068="","",SUMIFS('Per Line'!$R$2:$R$6001,'Per Line'!$C$2:$C$6001,$B1068,'Per Line'!$AI$2:$AI$6001,0,'Per Line'!$AJ$2:$AJ$6001,0))</f>
        <v/>
      </c>
      <c r="N1068" s="7">
        <f>IF($V1068="","",M1068*L1068)</f>
        <v/>
      </c>
      <c r="O1068">
        <f>IF($V1068="","",Settings!$C$6)</f>
        <v/>
      </c>
      <c r="P1068" s="7">
        <f>IF($V1068="","",SUMIFS('Per Line'!$R$2:$R$6001,'Per Line'!$C$2:$C$6001,$B1068,'Per Line'!$AI$2:$AI$6001,1,'Per Line'!$AJ$2:$AJ$6001,0))</f>
        <v/>
      </c>
      <c r="Q1068" s="7">
        <f>IF($V1068="","",P1068*O1068)</f>
        <v/>
      </c>
      <c r="R1068" s="7">
        <f>IF($V1068="","",Q1068+N1068)</f>
        <v/>
      </c>
      <c r="S1068" s="7">
        <f>IF($V1068="","",T1068-R1068)</f>
        <v/>
      </c>
      <c r="T1068" s="7">
        <f>IF($V1068="","",M1068+P1068+K1068)</f>
        <v/>
      </c>
      <c r="U1068" s="7">
        <f>IF($V1068="","",T1068-R1068-I1068)</f>
        <v/>
      </c>
      <c r="V1068" s="13">
        <f>IF(ROWS($V$2:$V1068)&lt;=MAX('Per Line'!$AH$2:$AH$6001),MATCH(ROWS($V$2:$V1068),'Per Line'!$AH$2:$AH$6001,0),"")</f>
        <v/>
      </c>
    </row>
    <row r="1069">
      <c r="A1069" s="12" t="n"/>
      <c r="B1069">
        <f>IF($V1069="","",INDEX('Per Line'!$C$2:$C$6001,$V1069)&amp;"")</f>
        <v/>
      </c>
      <c r="C1069" s="11">
        <f>IF($V1069="","",INDEX('Per Line'!$D$2:$D$6001,$V1069))</f>
        <v/>
      </c>
      <c r="D1069">
        <f>IF($V1069="","",INDEX('Per Line'!$E$2:$E$6001,$V1069)&amp;"")</f>
        <v/>
      </c>
      <c r="E1069">
        <f>IF($V1069="","",INDEX('Per Line'!$G$2:$G$6001,$V1069)&amp;"")</f>
        <v/>
      </c>
      <c r="F1069">
        <f>IF($V1069="","",INDEX('Per Line'!$H$2:$H$6001,$V1069)&amp;"")</f>
        <v/>
      </c>
      <c r="G1069">
        <f>IF($V1069="","",INDEX('Per Line'!$I$2:$I$6001,$V1069)&amp;"")</f>
        <v/>
      </c>
      <c r="H1069">
        <f>IF($V1069="","",INDEX('Per Line'!$J$2:$J$6001,$V1069))</f>
        <v/>
      </c>
      <c r="I1069" s="7">
        <f>IF($V1069="","",H1069*S1069/100)</f>
        <v/>
      </c>
      <c r="J1069">
        <f>IF($V1069="","",INDEX('Per Line'!$S$2:$S$6001,$V1069)&amp;"")</f>
        <v/>
      </c>
      <c r="K1069" s="7">
        <f>IF($V1069="","",SUMIFS('Per Line'!$R$2:$R$6001,'Per Line'!$C$2:$C$6001,$B1069,'Per Line'!$AJ$2:$AJ$6001,1))</f>
        <v/>
      </c>
      <c r="L1069">
        <f>IF($V1069="","",Settings!$C$7)</f>
        <v/>
      </c>
      <c r="M1069" s="7">
        <f>IF($V1069="","",SUMIFS('Per Line'!$R$2:$R$6001,'Per Line'!$C$2:$C$6001,$B1069,'Per Line'!$AI$2:$AI$6001,0,'Per Line'!$AJ$2:$AJ$6001,0))</f>
        <v/>
      </c>
      <c r="N1069" s="7">
        <f>IF($V1069="","",M1069*L1069)</f>
        <v/>
      </c>
      <c r="O1069">
        <f>IF($V1069="","",Settings!$C$6)</f>
        <v/>
      </c>
      <c r="P1069" s="7">
        <f>IF($V1069="","",SUMIFS('Per Line'!$R$2:$R$6001,'Per Line'!$C$2:$C$6001,$B1069,'Per Line'!$AI$2:$AI$6001,1,'Per Line'!$AJ$2:$AJ$6001,0))</f>
        <v/>
      </c>
      <c r="Q1069" s="7">
        <f>IF($V1069="","",P1069*O1069)</f>
        <v/>
      </c>
      <c r="R1069" s="7">
        <f>IF($V1069="","",Q1069+N1069)</f>
        <v/>
      </c>
      <c r="S1069" s="7">
        <f>IF($V1069="","",T1069-R1069)</f>
        <v/>
      </c>
      <c r="T1069" s="7">
        <f>IF($V1069="","",M1069+P1069+K1069)</f>
        <v/>
      </c>
      <c r="U1069" s="7">
        <f>IF($V1069="","",T1069-R1069-I1069)</f>
        <v/>
      </c>
      <c r="V1069" s="13">
        <f>IF(ROWS($V$2:$V1069)&lt;=MAX('Per Line'!$AH$2:$AH$6001),MATCH(ROWS($V$2:$V1069),'Per Line'!$AH$2:$AH$6001,0),"")</f>
        <v/>
      </c>
    </row>
    <row r="1070">
      <c r="A1070" s="12" t="n"/>
      <c r="B1070">
        <f>IF($V1070="","",INDEX('Per Line'!$C$2:$C$6001,$V1070)&amp;"")</f>
        <v/>
      </c>
      <c r="C1070" s="11">
        <f>IF($V1070="","",INDEX('Per Line'!$D$2:$D$6001,$V1070))</f>
        <v/>
      </c>
      <c r="D1070">
        <f>IF($V1070="","",INDEX('Per Line'!$E$2:$E$6001,$V1070)&amp;"")</f>
        <v/>
      </c>
      <c r="E1070">
        <f>IF($V1070="","",INDEX('Per Line'!$G$2:$G$6001,$V1070)&amp;"")</f>
        <v/>
      </c>
      <c r="F1070">
        <f>IF($V1070="","",INDEX('Per Line'!$H$2:$H$6001,$V1070)&amp;"")</f>
        <v/>
      </c>
      <c r="G1070">
        <f>IF($V1070="","",INDEX('Per Line'!$I$2:$I$6001,$V1070)&amp;"")</f>
        <v/>
      </c>
      <c r="H1070">
        <f>IF($V1070="","",INDEX('Per Line'!$J$2:$J$6001,$V1070))</f>
        <v/>
      </c>
      <c r="I1070" s="7">
        <f>IF($V1070="","",H1070*S1070/100)</f>
        <v/>
      </c>
      <c r="J1070">
        <f>IF($V1070="","",INDEX('Per Line'!$S$2:$S$6001,$V1070)&amp;"")</f>
        <v/>
      </c>
      <c r="K1070" s="7">
        <f>IF($V1070="","",SUMIFS('Per Line'!$R$2:$R$6001,'Per Line'!$C$2:$C$6001,$B1070,'Per Line'!$AJ$2:$AJ$6001,1))</f>
        <v/>
      </c>
      <c r="L1070">
        <f>IF($V1070="","",Settings!$C$7)</f>
        <v/>
      </c>
      <c r="M1070" s="7">
        <f>IF($V1070="","",SUMIFS('Per Line'!$R$2:$R$6001,'Per Line'!$C$2:$C$6001,$B1070,'Per Line'!$AI$2:$AI$6001,0,'Per Line'!$AJ$2:$AJ$6001,0))</f>
        <v/>
      </c>
      <c r="N1070" s="7">
        <f>IF($V1070="","",M1070*L1070)</f>
        <v/>
      </c>
      <c r="O1070">
        <f>IF($V1070="","",Settings!$C$6)</f>
        <v/>
      </c>
      <c r="P1070" s="7">
        <f>IF($V1070="","",SUMIFS('Per Line'!$R$2:$R$6001,'Per Line'!$C$2:$C$6001,$B1070,'Per Line'!$AI$2:$AI$6001,1,'Per Line'!$AJ$2:$AJ$6001,0))</f>
        <v/>
      </c>
      <c r="Q1070" s="7">
        <f>IF($V1070="","",P1070*O1070)</f>
        <v/>
      </c>
      <c r="R1070" s="7">
        <f>IF($V1070="","",Q1070+N1070)</f>
        <v/>
      </c>
      <c r="S1070" s="7">
        <f>IF($V1070="","",T1070-R1070)</f>
        <v/>
      </c>
      <c r="T1070" s="7">
        <f>IF($V1070="","",M1070+P1070+K1070)</f>
        <v/>
      </c>
      <c r="U1070" s="7">
        <f>IF($V1070="","",T1070-R1070-I1070)</f>
        <v/>
      </c>
      <c r="V1070" s="13">
        <f>IF(ROWS($V$2:$V1070)&lt;=MAX('Per Line'!$AH$2:$AH$6001),MATCH(ROWS($V$2:$V1070),'Per Line'!$AH$2:$AH$6001,0),"")</f>
        <v/>
      </c>
    </row>
    <row r="1071">
      <c r="A1071" s="12" t="n"/>
      <c r="B1071">
        <f>IF($V1071="","",INDEX('Per Line'!$C$2:$C$6001,$V1071)&amp;"")</f>
        <v/>
      </c>
      <c r="C1071" s="11">
        <f>IF($V1071="","",INDEX('Per Line'!$D$2:$D$6001,$V1071))</f>
        <v/>
      </c>
      <c r="D1071">
        <f>IF($V1071="","",INDEX('Per Line'!$E$2:$E$6001,$V1071)&amp;"")</f>
        <v/>
      </c>
      <c r="E1071">
        <f>IF($V1071="","",INDEX('Per Line'!$G$2:$G$6001,$V1071)&amp;"")</f>
        <v/>
      </c>
      <c r="F1071">
        <f>IF($V1071="","",INDEX('Per Line'!$H$2:$H$6001,$V1071)&amp;"")</f>
        <v/>
      </c>
      <c r="G1071">
        <f>IF($V1071="","",INDEX('Per Line'!$I$2:$I$6001,$V1071)&amp;"")</f>
        <v/>
      </c>
      <c r="H1071">
        <f>IF($V1071="","",INDEX('Per Line'!$J$2:$J$6001,$V1071))</f>
        <v/>
      </c>
      <c r="I1071" s="7">
        <f>IF($V1071="","",H1071*S1071/100)</f>
        <v/>
      </c>
      <c r="J1071">
        <f>IF($V1071="","",INDEX('Per Line'!$S$2:$S$6001,$V1071)&amp;"")</f>
        <v/>
      </c>
      <c r="K1071" s="7">
        <f>IF($V1071="","",SUMIFS('Per Line'!$R$2:$R$6001,'Per Line'!$C$2:$C$6001,$B1071,'Per Line'!$AJ$2:$AJ$6001,1))</f>
        <v/>
      </c>
      <c r="L1071">
        <f>IF($V1071="","",Settings!$C$7)</f>
        <v/>
      </c>
      <c r="M1071" s="7">
        <f>IF($V1071="","",SUMIFS('Per Line'!$R$2:$R$6001,'Per Line'!$C$2:$C$6001,$B1071,'Per Line'!$AI$2:$AI$6001,0,'Per Line'!$AJ$2:$AJ$6001,0))</f>
        <v/>
      </c>
      <c r="N1071" s="7">
        <f>IF($V1071="","",M1071*L1071)</f>
        <v/>
      </c>
      <c r="O1071">
        <f>IF($V1071="","",Settings!$C$6)</f>
        <v/>
      </c>
      <c r="P1071" s="7">
        <f>IF($V1071="","",SUMIFS('Per Line'!$R$2:$R$6001,'Per Line'!$C$2:$C$6001,$B1071,'Per Line'!$AI$2:$AI$6001,1,'Per Line'!$AJ$2:$AJ$6001,0))</f>
        <v/>
      </c>
      <c r="Q1071" s="7">
        <f>IF($V1071="","",P1071*O1071)</f>
        <v/>
      </c>
      <c r="R1071" s="7">
        <f>IF($V1071="","",Q1071+N1071)</f>
        <v/>
      </c>
      <c r="S1071" s="7">
        <f>IF($V1071="","",T1071-R1071)</f>
        <v/>
      </c>
      <c r="T1071" s="7">
        <f>IF($V1071="","",M1071+P1071+K1071)</f>
        <v/>
      </c>
      <c r="U1071" s="7">
        <f>IF($V1071="","",T1071-R1071-I1071)</f>
        <v/>
      </c>
      <c r="V1071" s="13">
        <f>IF(ROWS($V$2:$V1071)&lt;=MAX('Per Line'!$AH$2:$AH$6001),MATCH(ROWS($V$2:$V1071),'Per Line'!$AH$2:$AH$6001,0),"")</f>
        <v/>
      </c>
    </row>
    <row r="1072">
      <c r="A1072" s="12" t="n"/>
      <c r="B1072">
        <f>IF($V1072="","",INDEX('Per Line'!$C$2:$C$6001,$V1072)&amp;"")</f>
        <v/>
      </c>
      <c r="C1072" s="11">
        <f>IF($V1072="","",INDEX('Per Line'!$D$2:$D$6001,$V1072))</f>
        <v/>
      </c>
      <c r="D1072">
        <f>IF($V1072="","",INDEX('Per Line'!$E$2:$E$6001,$V1072)&amp;"")</f>
        <v/>
      </c>
      <c r="E1072">
        <f>IF($V1072="","",INDEX('Per Line'!$G$2:$G$6001,$V1072)&amp;"")</f>
        <v/>
      </c>
      <c r="F1072">
        <f>IF($V1072="","",INDEX('Per Line'!$H$2:$H$6001,$V1072)&amp;"")</f>
        <v/>
      </c>
      <c r="G1072">
        <f>IF($V1072="","",INDEX('Per Line'!$I$2:$I$6001,$V1072)&amp;"")</f>
        <v/>
      </c>
      <c r="H1072">
        <f>IF($V1072="","",INDEX('Per Line'!$J$2:$J$6001,$V1072))</f>
        <v/>
      </c>
      <c r="I1072" s="7">
        <f>IF($V1072="","",H1072*S1072/100)</f>
        <v/>
      </c>
      <c r="J1072">
        <f>IF($V1072="","",INDEX('Per Line'!$S$2:$S$6001,$V1072)&amp;"")</f>
        <v/>
      </c>
      <c r="K1072" s="7">
        <f>IF($V1072="","",SUMIFS('Per Line'!$R$2:$R$6001,'Per Line'!$C$2:$C$6001,$B1072,'Per Line'!$AJ$2:$AJ$6001,1))</f>
        <v/>
      </c>
      <c r="L1072">
        <f>IF($V1072="","",Settings!$C$7)</f>
        <v/>
      </c>
      <c r="M1072" s="7">
        <f>IF($V1072="","",SUMIFS('Per Line'!$R$2:$R$6001,'Per Line'!$C$2:$C$6001,$B1072,'Per Line'!$AI$2:$AI$6001,0,'Per Line'!$AJ$2:$AJ$6001,0))</f>
        <v/>
      </c>
      <c r="N1072" s="7">
        <f>IF($V1072="","",M1072*L1072)</f>
        <v/>
      </c>
      <c r="O1072">
        <f>IF($V1072="","",Settings!$C$6)</f>
        <v/>
      </c>
      <c r="P1072" s="7">
        <f>IF($V1072="","",SUMIFS('Per Line'!$R$2:$R$6001,'Per Line'!$C$2:$C$6001,$B1072,'Per Line'!$AI$2:$AI$6001,1,'Per Line'!$AJ$2:$AJ$6001,0))</f>
        <v/>
      </c>
      <c r="Q1072" s="7">
        <f>IF($V1072="","",P1072*O1072)</f>
        <v/>
      </c>
      <c r="R1072" s="7">
        <f>IF($V1072="","",Q1072+N1072)</f>
        <v/>
      </c>
      <c r="S1072" s="7">
        <f>IF($V1072="","",T1072-R1072)</f>
        <v/>
      </c>
      <c r="T1072" s="7">
        <f>IF($V1072="","",M1072+P1072+K1072)</f>
        <v/>
      </c>
      <c r="U1072" s="7">
        <f>IF($V1072="","",T1072-R1072-I1072)</f>
        <v/>
      </c>
      <c r="V1072" s="13">
        <f>IF(ROWS($V$2:$V1072)&lt;=MAX('Per Line'!$AH$2:$AH$6001),MATCH(ROWS($V$2:$V1072),'Per Line'!$AH$2:$AH$6001,0),"")</f>
        <v/>
      </c>
    </row>
    <row r="1073">
      <c r="A1073" s="12" t="n"/>
      <c r="B1073">
        <f>IF($V1073="","",INDEX('Per Line'!$C$2:$C$6001,$V1073)&amp;"")</f>
        <v/>
      </c>
      <c r="C1073" s="11">
        <f>IF($V1073="","",INDEX('Per Line'!$D$2:$D$6001,$V1073))</f>
        <v/>
      </c>
      <c r="D1073">
        <f>IF($V1073="","",INDEX('Per Line'!$E$2:$E$6001,$V1073)&amp;"")</f>
        <v/>
      </c>
      <c r="E1073">
        <f>IF($V1073="","",INDEX('Per Line'!$G$2:$G$6001,$V1073)&amp;"")</f>
        <v/>
      </c>
      <c r="F1073">
        <f>IF($V1073="","",INDEX('Per Line'!$H$2:$H$6001,$V1073)&amp;"")</f>
        <v/>
      </c>
      <c r="G1073">
        <f>IF($V1073="","",INDEX('Per Line'!$I$2:$I$6001,$V1073)&amp;"")</f>
        <v/>
      </c>
      <c r="H1073">
        <f>IF($V1073="","",INDEX('Per Line'!$J$2:$J$6001,$V1073))</f>
        <v/>
      </c>
      <c r="I1073" s="7">
        <f>IF($V1073="","",H1073*S1073/100)</f>
        <v/>
      </c>
      <c r="J1073">
        <f>IF($V1073="","",INDEX('Per Line'!$S$2:$S$6001,$V1073)&amp;"")</f>
        <v/>
      </c>
      <c r="K1073" s="7">
        <f>IF($V1073="","",SUMIFS('Per Line'!$R$2:$R$6001,'Per Line'!$C$2:$C$6001,$B1073,'Per Line'!$AJ$2:$AJ$6001,1))</f>
        <v/>
      </c>
      <c r="L1073">
        <f>IF($V1073="","",Settings!$C$7)</f>
        <v/>
      </c>
      <c r="M1073" s="7">
        <f>IF($V1073="","",SUMIFS('Per Line'!$R$2:$R$6001,'Per Line'!$C$2:$C$6001,$B1073,'Per Line'!$AI$2:$AI$6001,0,'Per Line'!$AJ$2:$AJ$6001,0))</f>
        <v/>
      </c>
      <c r="N1073" s="7">
        <f>IF($V1073="","",M1073*L1073)</f>
        <v/>
      </c>
      <c r="O1073">
        <f>IF($V1073="","",Settings!$C$6)</f>
        <v/>
      </c>
      <c r="P1073" s="7">
        <f>IF($V1073="","",SUMIFS('Per Line'!$R$2:$R$6001,'Per Line'!$C$2:$C$6001,$B1073,'Per Line'!$AI$2:$AI$6001,1,'Per Line'!$AJ$2:$AJ$6001,0))</f>
        <v/>
      </c>
      <c r="Q1073" s="7">
        <f>IF($V1073="","",P1073*O1073)</f>
        <v/>
      </c>
      <c r="R1073" s="7">
        <f>IF($V1073="","",Q1073+N1073)</f>
        <v/>
      </c>
      <c r="S1073" s="7">
        <f>IF($V1073="","",T1073-R1073)</f>
        <v/>
      </c>
      <c r="T1073" s="7">
        <f>IF($V1073="","",M1073+P1073+K1073)</f>
        <v/>
      </c>
      <c r="U1073" s="7">
        <f>IF($V1073="","",T1073-R1073-I1073)</f>
        <v/>
      </c>
      <c r="V1073" s="13">
        <f>IF(ROWS($V$2:$V1073)&lt;=MAX('Per Line'!$AH$2:$AH$6001),MATCH(ROWS($V$2:$V1073),'Per Line'!$AH$2:$AH$6001,0),"")</f>
        <v/>
      </c>
    </row>
    <row r="1074">
      <c r="A1074" s="12" t="n"/>
      <c r="B1074">
        <f>IF($V1074="","",INDEX('Per Line'!$C$2:$C$6001,$V1074)&amp;"")</f>
        <v/>
      </c>
      <c r="C1074" s="11">
        <f>IF($V1074="","",INDEX('Per Line'!$D$2:$D$6001,$V1074))</f>
        <v/>
      </c>
      <c r="D1074">
        <f>IF($V1074="","",INDEX('Per Line'!$E$2:$E$6001,$V1074)&amp;"")</f>
        <v/>
      </c>
      <c r="E1074">
        <f>IF($V1074="","",INDEX('Per Line'!$G$2:$G$6001,$V1074)&amp;"")</f>
        <v/>
      </c>
      <c r="F1074">
        <f>IF($V1074="","",INDEX('Per Line'!$H$2:$H$6001,$V1074)&amp;"")</f>
        <v/>
      </c>
      <c r="G1074">
        <f>IF($V1074="","",INDEX('Per Line'!$I$2:$I$6001,$V1074)&amp;"")</f>
        <v/>
      </c>
      <c r="H1074">
        <f>IF($V1074="","",INDEX('Per Line'!$J$2:$J$6001,$V1074))</f>
        <v/>
      </c>
      <c r="I1074" s="7">
        <f>IF($V1074="","",H1074*S1074/100)</f>
        <v/>
      </c>
      <c r="J1074">
        <f>IF($V1074="","",INDEX('Per Line'!$S$2:$S$6001,$V1074)&amp;"")</f>
        <v/>
      </c>
      <c r="K1074" s="7">
        <f>IF($V1074="","",SUMIFS('Per Line'!$R$2:$R$6001,'Per Line'!$C$2:$C$6001,$B1074,'Per Line'!$AJ$2:$AJ$6001,1))</f>
        <v/>
      </c>
      <c r="L1074">
        <f>IF($V1074="","",Settings!$C$7)</f>
        <v/>
      </c>
      <c r="M1074" s="7">
        <f>IF($V1074="","",SUMIFS('Per Line'!$R$2:$R$6001,'Per Line'!$C$2:$C$6001,$B1074,'Per Line'!$AI$2:$AI$6001,0,'Per Line'!$AJ$2:$AJ$6001,0))</f>
        <v/>
      </c>
      <c r="N1074" s="7">
        <f>IF($V1074="","",M1074*L1074)</f>
        <v/>
      </c>
      <c r="O1074">
        <f>IF($V1074="","",Settings!$C$6)</f>
        <v/>
      </c>
      <c r="P1074" s="7">
        <f>IF($V1074="","",SUMIFS('Per Line'!$R$2:$R$6001,'Per Line'!$C$2:$C$6001,$B1074,'Per Line'!$AI$2:$AI$6001,1,'Per Line'!$AJ$2:$AJ$6001,0))</f>
        <v/>
      </c>
      <c r="Q1074" s="7">
        <f>IF($V1074="","",P1074*O1074)</f>
        <v/>
      </c>
      <c r="R1074" s="7">
        <f>IF($V1074="","",Q1074+N1074)</f>
        <v/>
      </c>
      <c r="S1074" s="7">
        <f>IF($V1074="","",T1074-R1074)</f>
        <v/>
      </c>
      <c r="T1074" s="7">
        <f>IF($V1074="","",M1074+P1074+K1074)</f>
        <v/>
      </c>
      <c r="U1074" s="7">
        <f>IF($V1074="","",T1074-R1074-I1074)</f>
        <v/>
      </c>
      <c r="V1074" s="13">
        <f>IF(ROWS($V$2:$V1074)&lt;=MAX('Per Line'!$AH$2:$AH$6001),MATCH(ROWS($V$2:$V1074),'Per Line'!$AH$2:$AH$6001,0),"")</f>
        <v/>
      </c>
    </row>
    <row r="1075">
      <c r="A1075" s="12" t="n"/>
      <c r="B1075">
        <f>IF($V1075="","",INDEX('Per Line'!$C$2:$C$6001,$V1075)&amp;"")</f>
        <v/>
      </c>
      <c r="C1075" s="11">
        <f>IF($V1075="","",INDEX('Per Line'!$D$2:$D$6001,$V1075))</f>
        <v/>
      </c>
      <c r="D1075">
        <f>IF($V1075="","",INDEX('Per Line'!$E$2:$E$6001,$V1075)&amp;"")</f>
        <v/>
      </c>
      <c r="E1075">
        <f>IF($V1075="","",INDEX('Per Line'!$G$2:$G$6001,$V1075)&amp;"")</f>
        <v/>
      </c>
      <c r="F1075">
        <f>IF($V1075="","",INDEX('Per Line'!$H$2:$H$6001,$V1075)&amp;"")</f>
        <v/>
      </c>
      <c r="G1075">
        <f>IF($V1075="","",INDEX('Per Line'!$I$2:$I$6001,$V1075)&amp;"")</f>
        <v/>
      </c>
      <c r="H1075">
        <f>IF($V1075="","",INDEX('Per Line'!$J$2:$J$6001,$V1075))</f>
        <v/>
      </c>
      <c r="I1075" s="7">
        <f>IF($V1075="","",H1075*S1075/100)</f>
        <v/>
      </c>
      <c r="J1075">
        <f>IF($V1075="","",INDEX('Per Line'!$S$2:$S$6001,$V1075)&amp;"")</f>
        <v/>
      </c>
      <c r="K1075" s="7">
        <f>IF($V1075="","",SUMIFS('Per Line'!$R$2:$R$6001,'Per Line'!$C$2:$C$6001,$B1075,'Per Line'!$AJ$2:$AJ$6001,1))</f>
        <v/>
      </c>
      <c r="L1075">
        <f>IF($V1075="","",Settings!$C$7)</f>
        <v/>
      </c>
      <c r="M1075" s="7">
        <f>IF($V1075="","",SUMIFS('Per Line'!$R$2:$R$6001,'Per Line'!$C$2:$C$6001,$B1075,'Per Line'!$AI$2:$AI$6001,0,'Per Line'!$AJ$2:$AJ$6001,0))</f>
        <v/>
      </c>
      <c r="N1075" s="7">
        <f>IF($V1075="","",M1075*L1075)</f>
        <v/>
      </c>
      <c r="O1075">
        <f>IF($V1075="","",Settings!$C$6)</f>
        <v/>
      </c>
      <c r="P1075" s="7">
        <f>IF($V1075="","",SUMIFS('Per Line'!$R$2:$R$6001,'Per Line'!$C$2:$C$6001,$B1075,'Per Line'!$AI$2:$AI$6001,1,'Per Line'!$AJ$2:$AJ$6001,0))</f>
        <v/>
      </c>
      <c r="Q1075" s="7">
        <f>IF($V1075="","",P1075*O1075)</f>
        <v/>
      </c>
      <c r="R1075" s="7">
        <f>IF($V1075="","",Q1075+N1075)</f>
        <v/>
      </c>
      <c r="S1075" s="7">
        <f>IF($V1075="","",T1075-R1075)</f>
        <v/>
      </c>
      <c r="T1075" s="7">
        <f>IF($V1075="","",M1075+P1075+K1075)</f>
        <v/>
      </c>
      <c r="U1075" s="7">
        <f>IF($V1075="","",T1075-R1075-I1075)</f>
        <v/>
      </c>
      <c r="V1075" s="13">
        <f>IF(ROWS($V$2:$V1075)&lt;=MAX('Per Line'!$AH$2:$AH$6001),MATCH(ROWS($V$2:$V1075),'Per Line'!$AH$2:$AH$6001,0),"")</f>
        <v/>
      </c>
    </row>
    <row r="1076">
      <c r="A1076" s="12" t="n"/>
      <c r="B1076">
        <f>IF($V1076="","",INDEX('Per Line'!$C$2:$C$6001,$V1076)&amp;"")</f>
        <v/>
      </c>
      <c r="C1076" s="11">
        <f>IF($V1076="","",INDEX('Per Line'!$D$2:$D$6001,$V1076))</f>
        <v/>
      </c>
      <c r="D1076">
        <f>IF($V1076="","",INDEX('Per Line'!$E$2:$E$6001,$V1076)&amp;"")</f>
        <v/>
      </c>
      <c r="E1076">
        <f>IF($V1076="","",INDEX('Per Line'!$G$2:$G$6001,$V1076)&amp;"")</f>
        <v/>
      </c>
      <c r="F1076">
        <f>IF($V1076="","",INDEX('Per Line'!$H$2:$H$6001,$V1076)&amp;"")</f>
        <v/>
      </c>
      <c r="G1076">
        <f>IF($V1076="","",INDEX('Per Line'!$I$2:$I$6001,$V1076)&amp;"")</f>
        <v/>
      </c>
      <c r="H1076">
        <f>IF($V1076="","",INDEX('Per Line'!$J$2:$J$6001,$V1076))</f>
        <v/>
      </c>
      <c r="I1076" s="7">
        <f>IF($V1076="","",H1076*S1076/100)</f>
        <v/>
      </c>
      <c r="J1076">
        <f>IF($V1076="","",INDEX('Per Line'!$S$2:$S$6001,$V1076)&amp;"")</f>
        <v/>
      </c>
      <c r="K1076" s="7">
        <f>IF($V1076="","",SUMIFS('Per Line'!$R$2:$R$6001,'Per Line'!$C$2:$C$6001,$B1076,'Per Line'!$AJ$2:$AJ$6001,1))</f>
        <v/>
      </c>
      <c r="L1076">
        <f>IF($V1076="","",Settings!$C$7)</f>
        <v/>
      </c>
      <c r="M1076" s="7">
        <f>IF($V1076="","",SUMIFS('Per Line'!$R$2:$R$6001,'Per Line'!$C$2:$C$6001,$B1076,'Per Line'!$AI$2:$AI$6001,0,'Per Line'!$AJ$2:$AJ$6001,0))</f>
        <v/>
      </c>
      <c r="N1076" s="7">
        <f>IF($V1076="","",M1076*L1076)</f>
        <v/>
      </c>
      <c r="O1076">
        <f>IF($V1076="","",Settings!$C$6)</f>
        <v/>
      </c>
      <c r="P1076" s="7">
        <f>IF($V1076="","",SUMIFS('Per Line'!$R$2:$R$6001,'Per Line'!$C$2:$C$6001,$B1076,'Per Line'!$AI$2:$AI$6001,1,'Per Line'!$AJ$2:$AJ$6001,0))</f>
        <v/>
      </c>
      <c r="Q1076" s="7">
        <f>IF($V1076="","",P1076*O1076)</f>
        <v/>
      </c>
      <c r="R1076" s="7">
        <f>IF($V1076="","",Q1076+N1076)</f>
        <v/>
      </c>
      <c r="S1076" s="7">
        <f>IF($V1076="","",T1076-R1076)</f>
        <v/>
      </c>
      <c r="T1076" s="7">
        <f>IF($V1076="","",M1076+P1076+K1076)</f>
        <v/>
      </c>
      <c r="U1076" s="7">
        <f>IF($V1076="","",T1076-R1076-I1076)</f>
        <v/>
      </c>
      <c r="V1076" s="13">
        <f>IF(ROWS($V$2:$V1076)&lt;=MAX('Per Line'!$AH$2:$AH$6001),MATCH(ROWS($V$2:$V1076),'Per Line'!$AH$2:$AH$6001,0),"")</f>
        <v/>
      </c>
    </row>
    <row r="1077">
      <c r="A1077" s="12" t="n"/>
      <c r="B1077">
        <f>IF($V1077="","",INDEX('Per Line'!$C$2:$C$6001,$V1077)&amp;"")</f>
        <v/>
      </c>
      <c r="C1077" s="11">
        <f>IF($V1077="","",INDEX('Per Line'!$D$2:$D$6001,$V1077))</f>
        <v/>
      </c>
      <c r="D1077">
        <f>IF($V1077="","",INDEX('Per Line'!$E$2:$E$6001,$V1077)&amp;"")</f>
        <v/>
      </c>
      <c r="E1077">
        <f>IF($V1077="","",INDEX('Per Line'!$G$2:$G$6001,$V1077)&amp;"")</f>
        <v/>
      </c>
      <c r="F1077">
        <f>IF($V1077="","",INDEX('Per Line'!$H$2:$H$6001,$V1077)&amp;"")</f>
        <v/>
      </c>
      <c r="G1077">
        <f>IF($V1077="","",INDEX('Per Line'!$I$2:$I$6001,$V1077)&amp;"")</f>
        <v/>
      </c>
      <c r="H1077">
        <f>IF($V1077="","",INDEX('Per Line'!$J$2:$J$6001,$V1077))</f>
        <v/>
      </c>
      <c r="I1077" s="7">
        <f>IF($V1077="","",H1077*S1077/100)</f>
        <v/>
      </c>
      <c r="J1077">
        <f>IF($V1077="","",INDEX('Per Line'!$S$2:$S$6001,$V1077)&amp;"")</f>
        <v/>
      </c>
      <c r="K1077" s="7">
        <f>IF($V1077="","",SUMIFS('Per Line'!$R$2:$R$6001,'Per Line'!$C$2:$C$6001,$B1077,'Per Line'!$AJ$2:$AJ$6001,1))</f>
        <v/>
      </c>
      <c r="L1077">
        <f>IF($V1077="","",Settings!$C$7)</f>
        <v/>
      </c>
      <c r="M1077" s="7">
        <f>IF($V1077="","",SUMIFS('Per Line'!$R$2:$R$6001,'Per Line'!$C$2:$C$6001,$B1077,'Per Line'!$AI$2:$AI$6001,0,'Per Line'!$AJ$2:$AJ$6001,0))</f>
        <v/>
      </c>
      <c r="N1077" s="7">
        <f>IF($V1077="","",M1077*L1077)</f>
        <v/>
      </c>
      <c r="O1077">
        <f>IF($V1077="","",Settings!$C$6)</f>
        <v/>
      </c>
      <c r="P1077" s="7">
        <f>IF($V1077="","",SUMIFS('Per Line'!$R$2:$R$6001,'Per Line'!$C$2:$C$6001,$B1077,'Per Line'!$AI$2:$AI$6001,1,'Per Line'!$AJ$2:$AJ$6001,0))</f>
        <v/>
      </c>
      <c r="Q1077" s="7">
        <f>IF($V1077="","",P1077*O1077)</f>
        <v/>
      </c>
      <c r="R1077" s="7">
        <f>IF($V1077="","",Q1077+N1077)</f>
        <v/>
      </c>
      <c r="S1077" s="7">
        <f>IF($V1077="","",T1077-R1077)</f>
        <v/>
      </c>
      <c r="T1077" s="7">
        <f>IF($V1077="","",M1077+P1077+K1077)</f>
        <v/>
      </c>
      <c r="U1077" s="7">
        <f>IF($V1077="","",T1077-R1077-I1077)</f>
        <v/>
      </c>
      <c r="V1077" s="13">
        <f>IF(ROWS($V$2:$V1077)&lt;=MAX('Per Line'!$AH$2:$AH$6001),MATCH(ROWS($V$2:$V1077),'Per Line'!$AH$2:$AH$6001,0),"")</f>
        <v/>
      </c>
    </row>
    <row r="1078">
      <c r="A1078" s="12" t="n"/>
      <c r="B1078">
        <f>IF($V1078="","",INDEX('Per Line'!$C$2:$C$6001,$V1078)&amp;"")</f>
        <v/>
      </c>
      <c r="C1078" s="11">
        <f>IF($V1078="","",INDEX('Per Line'!$D$2:$D$6001,$V1078))</f>
        <v/>
      </c>
      <c r="D1078">
        <f>IF($V1078="","",INDEX('Per Line'!$E$2:$E$6001,$V1078)&amp;"")</f>
        <v/>
      </c>
      <c r="E1078">
        <f>IF($V1078="","",INDEX('Per Line'!$G$2:$G$6001,$V1078)&amp;"")</f>
        <v/>
      </c>
      <c r="F1078">
        <f>IF($V1078="","",INDEX('Per Line'!$H$2:$H$6001,$V1078)&amp;"")</f>
        <v/>
      </c>
      <c r="G1078">
        <f>IF($V1078="","",INDEX('Per Line'!$I$2:$I$6001,$V1078)&amp;"")</f>
        <v/>
      </c>
      <c r="H1078">
        <f>IF($V1078="","",INDEX('Per Line'!$J$2:$J$6001,$V1078))</f>
        <v/>
      </c>
      <c r="I1078" s="7">
        <f>IF($V1078="","",H1078*S1078/100)</f>
        <v/>
      </c>
      <c r="J1078">
        <f>IF($V1078="","",INDEX('Per Line'!$S$2:$S$6001,$V1078)&amp;"")</f>
        <v/>
      </c>
      <c r="K1078" s="7">
        <f>IF($V1078="","",SUMIFS('Per Line'!$R$2:$R$6001,'Per Line'!$C$2:$C$6001,$B1078,'Per Line'!$AJ$2:$AJ$6001,1))</f>
        <v/>
      </c>
      <c r="L1078">
        <f>IF($V1078="","",Settings!$C$7)</f>
        <v/>
      </c>
      <c r="M1078" s="7">
        <f>IF($V1078="","",SUMIFS('Per Line'!$R$2:$R$6001,'Per Line'!$C$2:$C$6001,$B1078,'Per Line'!$AI$2:$AI$6001,0,'Per Line'!$AJ$2:$AJ$6001,0))</f>
        <v/>
      </c>
      <c r="N1078" s="7">
        <f>IF($V1078="","",M1078*L1078)</f>
        <v/>
      </c>
      <c r="O1078">
        <f>IF($V1078="","",Settings!$C$6)</f>
        <v/>
      </c>
      <c r="P1078" s="7">
        <f>IF($V1078="","",SUMIFS('Per Line'!$R$2:$R$6001,'Per Line'!$C$2:$C$6001,$B1078,'Per Line'!$AI$2:$AI$6001,1,'Per Line'!$AJ$2:$AJ$6001,0))</f>
        <v/>
      </c>
      <c r="Q1078" s="7">
        <f>IF($V1078="","",P1078*O1078)</f>
        <v/>
      </c>
      <c r="R1078" s="7">
        <f>IF($V1078="","",Q1078+N1078)</f>
        <v/>
      </c>
      <c r="S1078" s="7">
        <f>IF($V1078="","",T1078-R1078)</f>
        <v/>
      </c>
      <c r="T1078" s="7">
        <f>IF($V1078="","",M1078+P1078+K1078)</f>
        <v/>
      </c>
      <c r="U1078" s="7">
        <f>IF($V1078="","",T1078-R1078-I1078)</f>
        <v/>
      </c>
      <c r="V1078" s="13">
        <f>IF(ROWS($V$2:$V1078)&lt;=MAX('Per Line'!$AH$2:$AH$6001),MATCH(ROWS($V$2:$V1078),'Per Line'!$AH$2:$AH$6001,0),"")</f>
        <v/>
      </c>
    </row>
    <row r="1079">
      <c r="A1079" s="12" t="n"/>
      <c r="B1079">
        <f>IF($V1079="","",INDEX('Per Line'!$C$2:$C$6001,$V1079)&amp;"")</f>
        <v/>
      </c>
      <c r="C1079" s="11">
        <f>IF($V1079="","",INDEX('Per Line'!$D$2:$D$6001,$V1079))</f>
        <v/>
      </c>
      <c r="D1079">
        <f>IF($V1079="","",INDEX('Per Line'!$E$2:$E$6001,$V1079)&amp;"")</f>
        <v/>
      </c>
      <c r="E1079">
        <f>IF($V1079="","",INDEX('Per Line'!$G$2:$G$6001,$V1079)&amp;"")</f>
        <v/>
      </c>
      <c r="F1079">
        <f>IF($V1079="","",INDEX('Per Line'!$H$2:$H$6001,$V1079)&amp;"")</f>
        <v/>
      </c>
      <c r="G1079">
        <f>IF($V1079="","",INDEX('Per Line'!$I$2:$I$6001,$V1079)&amp;"")</f>
        <v/>
      </c>
      <c r="H1079">
        <f>IF($V1079="","",INDEX('Per Line'!$J$2:$J$6001,$V1079))</f>
        <v/>
      </c>
      <c r="I1079" s="7">
        <f>IF($V1079="","",H1079*S1079/100)</f>
        <v/>
      </c>
      <c r="J1079">
        <f>IF($V1079="","",INDEX('Per Line'!$S$2:$S$6001,$V1079)&amp;"")</f>
        <v/>
      </c>
      <c r="K1079" s="7">
        <f>IF($V1079="","",SUMIFS('Per Line'!$R$2:$R$6001,'Per Line'!$C$2:$C$6001,$B1079,'Per Line'!$AJ$2:$AJ$6001,1))</f>
        <v/>
      </c>
      <c r="L1079">
        <f>IF($V1079="","",Settings!$C$7)</f>
        <v/>
      </c>
      <c r="M1079" s="7">
        <f>IF($V1079="","",SUMIFS('Per Line'!$R$2:$R$6001,'Per Line'!$C$2:$C$6001,$B1079,'Per Line'!$AI$2:$AI$6001,0,'Per Line'!$AJ$2:$AJ$6001,0))</f>
        <v/>
      </c>
      <c r="N1079" s="7">
        <f>IF($V1079="","",M1079*L1079)</f>
        <v/>
      </c>
      <c r="O1079">
        <f>IF($V1079="","",Settings!$C$6)</f>
        <v/>
      </c>
      <c r="P1079" s="7">
        <f>IF($V1079="","",SUMIFS('Per Line'!$R$2:$R$6001,'Per Line'!$C$2:$C$6001,$B1079,'Per Line'!$AI$2:$AI$6001,1,'Per Line'!$AJ$2:$AJ$6001,0))</f>
        <v/>
      </c>
      <c r="Q1079" s="7">
        <f>IF($V1079="","",P1079*O1079)</f>
        <v/>
      </c>
      <c r="R1079" s="7">
        <f>IF($V1079="","",Q1079+N1079)</f>
        <v/>
      </c>
      <c r="S1079" s="7">
        <f>IF($V1079="","",T1079-R1079)</f>
        <v/>
      </c>
      <c r="T1079" s="7">
        <f>IF($V1079="","",M1079+P1079+K1079)</f>
        <v/>
      </c>
      <c r="U1079" s="7">
        <f>IF($V1079="","",T1079-R1079-I1079)</f>
        <v/>
      </c>
      <c r="V1079" s="13">
        <f>IF(ROWS($V$2:$V1079)&lt;=MAX('Per Line'!$AH$2:$AH$6001),MATCH(ROWS($V$2:$V1079),'Per Line'!$AH$2:$AH$6001,0),"")</f>
        <v/>
      </c>
    </row>
    <row r="1080">
      <c r="A1080" s="12" t="n"/>
      <c r="B1080">
        <f>IF($V1080="","",INDEX('Per Line'!$C$2:$C$6001,$V1080)&amp;"")</f>
        <v/>
      </c>
      <c r="C1080" s="11">
        <f>IF($V1080="","",INDEX('Per Line'!$D$2:$D$6001,$V1080))</f>
        <v/>
      </c>
      <c r="D1080">
        <f>IF($V1080="","",INDEX('Per Line'!$E$2:$E$6001,$V1080)&amp;"")</f>
        <v/>
      </c>
      <c r="E1080">
        <f>IF($V1080="","",INDEX('Per Line'!$G$2:$G$6001,$V1080)&amp;"")</f>
        <v/>
      </c>
      <c r="F1080">
        <f>IF($V1080="","",INDEX('Per Line'!$H$2:$H$6001,$V1080)&amp;"")</f>
        <v/>
      </c>
      <c r="G1080">
        <f>IF($V1080="","",INDEX('Per Line'!$I$2:$I$6001,$V1080)&amp;"")</f>
        <v/>
      </c>
      <c r="H1080">
        <f>IF($V1080="","",INDEX('Per Line'!$J$2:$J$6001,$V1080))</f>
        <v/>
      </c>
      <c r="I1080" s="7">
        <f>IF($V1080="","",H1080*S1080/100)</f>
        <v/>
      </c>
      <c r="J1080">
        <f>IF($V1080="","",INDEX('Per Line'!$S$2:$S$6001,$V1080)&amp;"")</f>
        <v/>
      </c>
      <c r="K1080" s="7">
        <f>IF($V1080="","",SUMIFS('Per Line'!$R$2:$R$6001,'Per Line'!$C$2:$C$6001,$B1080,'Per Line'!$AJ$2:$AJ$6001,1))</f>
        <v/>
      </c>
      <c r="L1080">
        <f>IF($V1080="","",Settings!$C$7)</f>
        <v/>
      </c>
      <c r="M1080" s="7">
        <f>IF($V1080="","",SUMIFS('Per Line'!$R$2:$R$6001,'Per Line'!$C$2:$C$6001,$B1080,'Per Line'!$AI$2:$AI$6001,0,'Per Line'!$AJ$2:$AJ$6001,0))</f>
        <v/>
      </c>
      <c r="N1080" s="7">
        <f>IF($V1080="","",M1080*L1080)</f>
        <v/>
      </c>
      <c r="O1080">
        <f>IF($V1080="","",Settings!$C$6)</f>
        <v/>
      </c>
      <c r="P1080" s="7">
        <f>IF($V1080="","",SUMIFS('Per Line'!$R$2:$R$6001,'Per Line'!$C$2:$C$6001,$B1080,'Per Line'!$AI$2:$AI$6001,1,'Per Line'!$AJ$2:$AJ$6001,0))</f>
        <v/>
      </c>
      <c r="Q1080" s="7">
        <f>IF($V1080="","",P1080*O1080)</f>
        <v/>
      </c>
      <c r="R1080" s="7">
        <f>IF($V1080="","",Q1080+N1080)</f>
        <v/>
      </c>
      <c r="S1080" s="7">
        <f>IF($V1080="","",T1080-R1080)</f>
        <v/>
      </c>
      <c r="T1080" s="7">
        <f>IF($V1080="","",M1080+P1080+K1080)</f>
        <v/>
      </c>
      <c r="U1080" s="7">
        <f>IF($V1080="","",T1080-R1080-I1080)</f>
        <v/>
      </c>
      <c r="V1080" s="13">
        <f>IF(ROWS($V$2:$V1080)&lt;=MAX('Per Line'!$AH$2:$AH$6001),MATCH(ROWS($V$2:$V1080),'Per Line'!$AH$2:$AH$6001,0),"")</f>
        <v/>
      </c>
    </row>
    <row r="1081">
      <c r="A1081" s="12" t="n"/>
      <c r="B1081">
        <f>IF($V1081="","",INDEX('Per Line'!$C$2:$C$6001,$V1081)&amp;"")</f>
        <v/>
      </c>
      <c r="C1081" s="11">
        <f>IF($V1081="","",INDEX('Per Line'!$D$2:$D$6001,$V1081))</f>
        <v/>
      </c>
      <c r="D1081">
        <f>IF($V1081="","",INDEX('Per Line'!$E$2:$E$6001,$V1081)&amp;"")</f>
        <v/>
      </c>
      <c r="E1081">
        <f>IF($V1081="","",INDEX('Per Line'!$G$2:$G$6001,$V1081)&amp;"")</f>
        <v/>
      </c>
      <c r="F1081">
        <f>IF($V1081="","",INDEX('Per Line'!$H$2:$H$6001,$V1081)&amp;"")</f>
        <v/>
      </c>
      <c r="G1081">
        <f>IF($V1081="","",INDEX('Per Line'!$I$2:$I$6001,$V1081)&amp;"")</f>
        <v/>
      </c>
      <c r="H1081">
        <f>IF($V1081="","",INDEX('Per Line'!$J$2:$J$6001,$V1081))</f>
        <v/>
      </c>
      <c r="I1081" s="7">
        <f>IF($V1081="","",H1081*S1081/100)</f>
        <v/>
      </c>
      <c r="J1081">
        <f>IF($V1081="","",INDEX('Per Line'!$S$2:$S$6001,$V1081)&amp;"")</f>
        <v/>
      </c>
      <c r="K1081" s="7">
        <f>IF($V1081="","",SUMIFS('Per Line'!$R$2:$R$6001,'Per Line'!$C$2:$C$6001,$B1081,'Per Line'!$AJ$2:$AJ$6001,1))</f>
        <v/>
      </c>
      <c r="L1081">
        <f>IF($V1081="","",Settings!$C$7)</f>
        <v/>
      </c>
      <c r="M1081" s="7">
        <f>IF($V1081="","",SUMIFS('Per Line'!$R$2:$R$6001,'Per Line'!$C$2:$C$6001,$B1081,'Per Line'!$AI$2:$AI$6001,0,'Per Line'!$AJ$2:$AJ$6001,0))</f>
        <v/>
      </c>
      <c r="N1081" s="7">
        <f>IF($V1081="","",M1081*L1081)</f>
        <v/>
      </c>
      <c r="O1081">
        <f>IF($V1081="","",Settings!$C$6)</f>
        <v/>
      </c>
      <c r="P1081" s="7">
        <f>IF($V1081="","",SUMIFS('Per Line'!$R$2:$R$6001,'Per Line'!$C$2:$C$6001,$B1081,'Per Line'!$AI$2:$AI$6001,1,'Per Line'!$AJ$2:$AJ$6001,0))</f>
        <v/>
      </c>
      <c r="Q1081" s="7">
        <f>IF($V1081="","",P1081*O1081)</f>
        <v/>
      </c>
      <c r="R1081" s="7">
        <f>IF($V1081="","",Q1081+N1081)</f>
        <v/>
      </c>
      <c r="S1081" s="7">
        <f>IF($V1081="","",T1081-R1081)</f>
        <v/>
      </c>
      <c r="T1081" s="7">
        <f>IF($V1081="","",M1081+P1081+K1081)</f>
        <v/>
      </c>
      <c r="U1081" s="7">
        <f>IF($V1081="","",T1081-R1081-I1081)</f>
        <v/>
      </c>
      <c r="V1081" s="13">
        <f>IF(ROWS($V$2:$V1081)&lt;=MAX('Per Line'!$AH$2:$AH$6001),MATCH(ROWS($V$2:$V1081),'Per Line'!$AH$2:$AH$6001,0),"")</f>
        <v/>
      </c>
    </row>
    <row r="1082">
      <c r="A1082" s="12" t="n"/>
      <c r="B1082">
        <f>IF($V1082="","",INDEX('Per Line'!$C$2:$C$6001,$V1082)&amp;"")</f>
        <v/>
      </c>
      <c r="C1082" s="11">
        <f>IF($V1082="","",INDEX('Per Line'!$D$2:$D$6001,$V1082))</f>
        <v/>
      </c>
      <c r="D1082">
        <f>IF($V1082="","",INDEX('Per Line'!$E$2:$E$6001,$V1082)&amp;"")</f>
        <v/>
      </c>
      <c r="E1082">
        <f>IF($V1082="","",INDEX('Per Line'!$G$2:$G$6001,$V1082)&amp;"")</f>
        <v/>
      </c>
      <c r="F1082">
        <f>IF($V1082="","",INDEX('Per Line'!$H$2:$H$6001,$V1082)&amp;"")</f>
        <v/>
      </c>
      <c r="G1082">
        <f>IF($V1082="","",INDEX('Per Line'!$I$2:$I$6001,$V1082)&amp;"")</f>
        <v/>
      </c>
      <c r="H1082">
        <f>IF($V1082="","",INDEX('Per Line'!$J$2:$J$6001,$V1082))</f>
        <v/>
      </c>
      <c r="I1082" s="7">
        <f>IF($V1082="","",H1082*S1082/100)</f>
        <v/>
      </c>
      <c r="J1082">
        <f>IF($V1082="","",INDEX('Per Line'!$S$2:$S$6001,$V1082)&amp;"")</f>
        <v/>
      </c>
      <c r="K1082" s="7">
        <f>IF($V1082="","",SUMIFS('Per Line'!$R$2:$R$6001,'Per Line'!$C$2:$C$6001,$B1082,'Per Line'!$AJ$2:$AJ$6001,1))</f>
        <v/>
      </c>
      <c r="L1082">
        <f>IF($V1082="","",Settings!$C$7)</f>
        <v/>
      </c>
      <c r="M1082" s="7">
        <f>IF($V1082="","",SUMIFS('Per Line'!$R$2:$R$6001,'Per Line'!$C$2:$C$6001,$B1082,'Per Line'!$AI$2:$AI$6001,0,'Per Line'!$AJ$2:$AJ$6001,0))</f>
        <v/>
      </c>
      <c r="N1082" s="7">
        <f>IF($V1082="","",M1082*L1082)</f>
        <v/>
      </c>
      <c r="O1082">
        <f>IF($V1082="","",Settings!$C$6)</f>
        <v/>
      </c>
      <c r="P1082" s="7">
        <f>IF($V1082="","",SUMIFS('Per Line'!$R$2:$R$6001,'Per Line'!$C$2:$C$6001,$B1082,'Per Line'!$AI$2:$AI$6001,1,'Per Line'!$AJ$2:$AJ$6001,0))</f>
        <v/>
      </c>
      <c r="Q1082" s="7">
        <f>IF($V1082="","",P1082*O1082)</f>
        <v/>
      </c>
      <c r="R1082" s="7">
        <f>IF($V1082="","",Q1082+N1082)</f>
        <v/>
      </c>
      <c r="S1082" s="7">
        <f>IF($V1082="","",T1082-R1082)</f>
        <v/>
      </c>
      <c r="T1082" s="7">
        <f>IF($V1082="","",M1082+P1082+K1082)</f>
        <v/>
      </c>
      <c r="U1082" s="7">
        <f>IF($V1082="","",T1082-R1082-I1082)</f>
        <v/>
      </c>
      <c r="V1082" s="13">
        <f>IF(ROWS($V$2:$V1082)&lt;=MAX('Per Line'!$AH$2:$AH$6001),MATCH(ROWS($V$2:$V1082),'Per Line'!$AH$2:$AH$6001,0),"")</f>
        <v/>
      </c>
    </row>
    <row r="1083">
      <c r="A1083" s="12" t="n"/>
      <c r="B1083">
        <f>IF($V1083="","",INDEX('Per Line'!$C$2:$C$6001,$V1083)&amp;"")</f>
        <v/>
      </c>
      <c r="C1083" s="11">
        <f>IF($V1083="","",INDEX('Per Line'!$D$2:$D$6001,$V1083))</f>
        <v/>
      </c>
      <c r="D1083">
        <f>IF($V1083="","",INDEX('Per Line'!$E$2:$E$6001,$V1083)&amp;"")</f>
        <v/>
      </c>
      <c r="E1083">
        <f>IF($V1083="","",INDEX('Per Line'!$G$2:$G$6001,$V1083)&amp;"")</f>
        <v/>
      </c>
      <c r="F1083">
        <f>IF($V1083="","",INDEX('Per Line'!$H$2:$H$6001,$V1083)&amp;"")</f>
        <v/>
      </c>
      <c r="G1083">
        <f>IF($V1083="","",INDEX('Per Line'!$I$2:$I$6001,$V1083)&amp;"")</f>
        <v/>
      </c>
      <c r="H1083">
        <f>IF($V1083="","",INDEX('Per Line'!$J$2:$J$6001,$V1083))</f>
        <v/>
      </c>
      <c r="I1083" s="7">
        <f>IF($V1083="","",H1083*S1083/100)</f>
        <v/>
      </c>
      <c r="J1083">
        <f>IF($V1083="","",INDEX('Per Line'!$S$2:$S$6001,$V1083)&amp;"")</f>
        <v/>
      </c>
      <c r="K1083" s="7">
        <f>IF($V1083="","",SUMIFS('Per Line'!$R$2:$R$6001,'Per Line'!$C$2:$C$6001,$B1083,'Per Line'!$AJ$2:$AJ$6001,1))</f>
        <v/>
      </c>
      <c r="L1083">
        <f>IF($V1083="","",Settings!$C$7)</f>
        <v/>
      </c>
      <c r="M1083" s="7">
        <f>IF($V1083="","",SUMIFS('Per Line'!$R$2:$R$6001,'Per Line'!$C$2:$C$6001,$B1083,'Per Line'!$AI$2:$AI$6001,0,'Per Line'!$AJ$2:$AJ$6001,0))</f>
        <v/>
      </c>
      <c r="N1083" s="7">
        <f>IF($V1083="","",M1083*L1083)</f>
        <v/>
      </c>
      <c r="O1083">
        <f>IF($V1083="","",Settings!$C$6)</f>
        <v/>
      </c>
      <c r="P1083" s="7">
        <f>IF($V1083="","",SUMIFS('Per Line'!$R$2:$R$6001,'Per Line'!$C$2:$C$6001,$B1083,'Per Line'!$AI$2:$AI$6001,1,'Per Line'!$AJ$2:$AJ$6001,0))</f>
        <v/>
      </c>
      <c r="Q1083" s="7">
        <f>IF($V1083="","",P1083*O1083)</f>
        <v/>
      </c>
      <c r="R1083" s="7">
        <f>IF($V1083="","",Q1083+N1083)</f>
        <v/>
      </c>
      <c r="S1083" s="7">
        <f>IF($V1083="","",T1083-R1083)</f>
        <v/>
      </c>
      <c r="T1083" s="7">
        <f>IF($V1083="","",M1083+P1083+K1083)</f>
        <v/>
      </c>
      <c r="U1083" s="7">
        <f>IF($V1083="","",T1083-R1083-I1083)</f>
        <v/>
      </c>
      <c r="V1083" s="13">
        <f>IF(ROWS($V$2:$V1083)&lt;=MAX('Per Line'!$AH$2:$AH$6001),MATCH(ROWS($V$2:$V1083),'Per Line'!$AH$2:$AH$6001,0),"")</f>
        <v/>
      </c>
    </row>
    <row r="1084">
      <c r="A1084" s="12" t="n"/>
      <c r="B1084">
        <f>IF($V1084="","",INDEX('Per Line'!$C$2:$C$6001,$V1084)&amp;"")</f>
        <v/>
      </c>
      <c r="C1084" s="11">
        <f>IF($V1084="","",INDEX('Per Line'!$D$2:$D$6001,$V1084))</f>
        <v/>
      </c>
      <c r="D1084">
        <f>IF($V1084="","",INDEX('Per Line'!$E$2:$E$6001,$V1084)&amp;"")</f>
        <v/>
      </c>
      <c r="E1084">
        <f>IF($V1084="","",INDEX('Per Line'!$G$2:$G$6001,$V1084)&amp;"")</f>
        <v/>
      </c>
      <c r="F1084">
        <f>IF($V1084="","",INDEX('Per Line'!$H$2:$H$6001,$V1084)&amp;"")</f>
        <v/>
      </c>
      <c r="G1084">
        <f>IF($V1084="","",INDEX('Per Line'!$I$2:$I$6001,$V1084)&amp;"")</f>
        <v/>
      </c>
      <c r="H1084">
        <f>IF($V1084="","",INDEX('Per Line'!$J$2:$J$6001,$V1084))</f>
        <v/>
      </c>
      <c r="I1084" s="7">
        <f>IF($V1084="","",H1084*S1084/100)</f>
        <v/>
      </c>
      <c r="J1084">
        <f>IF($V1084="","",INDEX('Per Line'!$S$2:$S$6001,$V1084)&amp;"")</f>
        <v/>
      </c>
      <c r="K1084" s="7">
        <f>IF($V1084="","",SUMIFS('Per Line'!$R$2:$R$6001,'Per Line'!$C$2:$C$6001,$B1084,'Per Line'!$AJ$2:$AJ$6001,1))</f>
        <v/>
      </c>
      <c r="L1084">
        <f>IF($V1084="","",Settings!$C$7)</f>
        <v/>
      </c>
      <c r="M1084" s="7">
        <f>IF($V1084="","",SUMIFS('Per Line'!$R$2:$R$6001,'Per Line'!$C$2:$C$6001,$B1084,'Per Line'!$AI$2:$AI$6001,0,'Per Line'!$AJ$2:$AJ$6001,0))</f>
        <v/>
      </c>
      <c r="N1084" s="7">
        <f>IF($V1084="","",M1084*L1084)</f>
        <v/>
      </c>
      <c r="O1084">
        <f>IF($V1084="","",Settings!$C$6)</f>
        <v/>
      </c>
      <c r="P1084" s="7">
        <f>IF($V1084="","",SUMIFS('Per Line'!$R$2:$R$6001,'Per Line'!$C$2:$C$6001,$B1084,'Per Line'!$AI$2:$AI$6001,1,'Per Line'!$AJ$2:$AJ$6001,0))</f>
        <v/>
      </c>
      <c r="Q1084" s="7">
        <f>IF($V1084="","",P1084*O1084)</f>
        <v/>
      </c>
      <c r="R1084" s="7">
        <f>IF($V1084="","",Q1084+N1084)</f>
        <v/>
      </c>
      <c r="S1084" s="7">
        <f>IF($V1084="","",T1084-R1084)</f>
        <v/>
      </c>
      <c r="T1084" s="7">
        <f>IF($V1084="","",M1084+P1084+K1084)</f>
        <v/>
      </c>
      <c r="U1084" s="7">
        <f>IF($V1084="","",T1084-R1084-I1084)</f>
        <v/>
      </c>
      <c r="V1084" s="13">
        <f>IF(ROWS($V$2:$V1084)&lt;=MAX('Per Line'!$AH$2:$AH$6001),MATCH(ROWS($V$2:$V1084),'Per Line'!$AH$2:$AH$6001,0),"")</f>
        <v/>
      </c>
    </row>
    <row r="1085">
      <c r="A1085" s="12" t="n"/>
      <c r="B1085">
        <f>IF($V1085="","",INDEX('Per Line'!$C$2:$C$6001,$V1085)&amp;"")</f>
        <v/>
      </c>
      <c r="C1085" s="11">
        <f>IF($V1085="","",INDEX('Per Line'!$D$2:$D$6001,$V1085))</f>
        <v/>
      </c>
      <c r="D1085">
        <f>IF($V1085="","",INDEX('Per Line'!$E$2:$E$6001,$V1085)&amp;"")</f>
        <v/>
      </c>
      <c r="E1085">
        <f>IF($V1085="","",INDEX('Per Line'!$G$2:$G$6001,$V1085)&amp;"")</f>
        <v/>
      </c>
      <c r="F1085">
        <f>IF($V1085="","",INDEX('Per Line'!$H$2:$H$6001,$V1085)&amp;"")</f>
        <v/>
      </c>
      <c r="G1085">
        <f>IF($V1085="","",INDEX('Per Line'!$I$2:$I$6001,$V1085)&amp;"")</f>
        <v/>
      </c>
      <c r="H1085">
        <f>IF($V1085="","",INDEX('Per Line'!$J$2:$J$6001,$V1085))</f>
        <v/>
      </c>
      <c r="I1085" s="7">
        <f>IF($V1085="","",H1085*S1085/100)</f>
        <v/>
      </c>
      <c r="J1085">
        <f>IF($V1085="","",INDEX('Per Line'!$S$2:$S$6001,$V1085)&amp;"")</f>
        <v/>
      </c>
      <c r="K1085" s="7">
        <f>IF($V1085="","",SUMIFS('Per Line'!$R$2:$R$6001,'Per Line'!$C$2:$C$6001,$B1085,'Per Line'!$AJ$2:$AJ$6001,1))</f>
        <v/>
      </c>
      <c r="L1085">
        <f>IF($V1085="","",Settings!$C$7)</f>
        <v/>
      </c>
      <c r="M1085" s="7">
        <f>IF($V1085="","",SUMIFS('Per Line'!$R$2:$R$6001,'Per Line'!$C$2:$C$6001,$B1085,'Per Line'!$AI$2:$AI$6001,0,'Per Line'!$AJ$2:$AJ$6001,0))</f>
        <v/>
      </c>
      <c r="N1085" s="7">
        <f>IF($V1085="","",M1085*L1085)</f>
        <v/>
      </c>
      <c r="O1085">
        <f>IF($V1085="","",Settings!$C$6)</f>
        <v/>
      </c>
      <c r="P1085" s="7">
        <f>IF($V1085="","",SUMIFS('Per Line'!$R$2:$R$6001,'Per Line'!$C$2:$C$6001,$B1085,'Per Line'!$AI$2:$AI$6001,1,'Per Line'!$AJ$2:$AJ$6001,0))</f>
        <v/>
      </c>
      <c r="Q1085" s="7">
        <f>IF($V1085="","",P1085*O1085)</f>
        <v/>
      </c>
      <c r="R1085" s="7">
        <f>IF($V1085="","",Q1085+N1085)</f>
        <v/>
      </c>
      <c r="S1085" s="7">
        <f>IF($V1085="","",T1085-R1085)</f>
        <v/>
      </c>
      <c r="T1085" s="7">
        <f>IF($V1085="","",M1085+P1085+K1085)</f>
        <v/>
      </c>
      <c r="U1085" s="7">
        <f>IF($V1085="","",T1085-R1085-I1085)</f>
        <v/>
      </c>
      <c r="V1085" s="13">
        <f>IF(ROWS($V$2:$V1085)&lt;=MAX('Per Line'!$AH$2:$AH$6001),MATCH(ROWS($V$2:$V1085),'Per Line'!$AH$2:$AH$6001,0),"")</f>
        <v/>
      </c>
    </row>
    <row r="1086">
      <c r="A1086" s="12" t="n"/>
      <c r="B1086">
        <f>IF($V1086="","",INDEX('Per Line'!$C$2:$C$6001,$V1086)&amp;"")</f>
        <v/>
      </c>
      <c r="C1086" s="11">
        <f>IF($V1086="","",INDEX('Per Line'!$D$2:$D$6001,$V1086))</f>
        <v/>
      </c>
      <c r="D1086">
        <f>IF($V1086="","",INDEX('Per Line'!$E$2:$E$6001,$V1086)&amp;"")</f>
        <v/>
      </c>
      <c r="E1086">
        <f>IF($V1086="","",INDEX('Per Line'!$G$2:$G$6001,$V1086)&amp;"")</f>
        <v/>
      </c>
      <c r="F1086">
        <f>IF($V1086="","",INDEX('Per Line'!$H$2:$H$6001,$V1086)&amp;"")</f>
        <v/>
      </c>
      <c r="G1086">
        <f>IF($V1086="","",INDEX('Per Line'!$I$2:$I$6001,$V1086)&amp;"")</f>
        <v/>
      </c>
      <c r="H1086">
        <f>IF($V1086="","",INDEX('Per Line'!$J$2:$J$6001,$V1086))</f>
        <v/>
      </c>
      <c r="I1086" s="7">
        <f>IF($V1086="","",H1086*S1086/100)</f>
        <v/>
      </c>
      <c r="J1086">
        <f>IF($V1086="","",INDEX('Per Line'!$S$2:$S$6001,$V1086)&amp;"")</f>
        <v/>
      </c>
      <c r="K1086" s="7">
        <f>IF($V1086="","",SUMIFS('Per Line'!$R$2:$R$6001,'Per Line'!$C$2:$C$6001,$B1086,'Per Line'!$AJ$2:$AJ$6001,1))</f>
        <v/>
      </c>
      <c r="L1086">
        <f>IF($V1086="","",Settings!$C$7)</f>
        <v/>
      </c>
      <c r="M1086" s="7">
        <f>IF($V1086="","",SUMIFS('Per Line'!$R$2:$R$6001,'Per Line'!$C$2:$C$6001,$B1086,'Per Line'!$AI$2:$AI$6001,0,'Per Line'!$AJ$2:$AJ$6001,0))</f>
        <v/>
      </c>
      <c r="N1086" s="7">
        <f>IF($V1086="","",M1086*L1086)</f>
        <v/>
      </c>
      <c r="O1086">
        <f>IF($V1086="","",Settings!$C$6)</f>
        <v/>
      </c>
      <c r="P1086" s="7">
        <f>IF($V1086="","",SUMIFS('Per Line'!$R$2:$R$6001,'Per Line'!$C$2:$C$6001,$B1086,'Per Line'!$AI$2:$AI$6001,1,'Per Line'!$AJ$2:$AJ$6001,0))</f>
        <v/>
      </c>
      <c r="Q1086" s="7">
        <f>IF($V1086="","",P1086*O1086)</f>
        <v/>
      </c>
      <c r="R1086" s="7">
        <f>IF($V1086="","",Q1086+N1086)</f>
        <v/>
      </c>
      <c r="S1086" s="7">
        <f>IF($V1086="","",T1086-R1086)</f>
        <v/>
      </c>
      <c r="T1086" s="7">
        <f>IF($V1086="","",M1086+P1086+K1086)</f>
        <v/>
      </c>
      <c r="U1086" s="7">
        <f>IF($V1086="","",T1086-R1086-I1086)</f>
        <v/>
      </c>
      <c r="V1086" s="13">
        <f>IF(ROWS($V$2:$V1086)&lt;=MAX('Per Line'!$AH$2:$AH$6001),MATCH(ROWS($V$2:$V1086),'Per Line'!$AH$2:$AH$6001,0),"")</f>
        <v/>
      </c>
    </row>
    <row r="1087">
      <c r="A1087" s="12" t="n"/>
      <c r="B1087">
        <f>IF($V1087="","",INDEX('Per Line'!$C$2:$C$6001,$V1087)&amp;"")</f>
        <v/>
      </c>
      <c r="C1087" s="11">
        <f>IF($V1087="","",INDEX('Per Line'!$D$2:$D$6001,$V1087))</f>
        <v/>
      </c>
      <c r="D1087">
        <f>IF($V1087="","",INDEX('Per Line'!$E$2:$E$6001,$V1087)&amp;"")</f>
        <v/>
      </c>
      <c r="E1087">
        <f>IF($V1087="","",INDEX('Per Line'!$G$2:$G$6001,$V1087)&amp;"")</f>
        <v/>
      </c>
      <c r="F1087">
        <f>IF($V1087="","",INDEX('Per Line'!$H$2:$H$6001,$V1087)&amp;"")</f>
        <v/>
      </c>
      <c r="G1087">
        <f>IF($V1087="","",INDEX('Per Line'!$I$2:$I$6001,$V1087)&amp;"")</f>
        <v/>
      </c>
      <c r="H1087">
        <f>IF($V1087="","",INDEX('Per Line'!$J$2:$J$6001,$V1087))</f>
        <v/>
      </c>
      <c r="I1087" s="7">
        <f>IF($V1087="","",H1087*S1087/100)</f>
        <v/>
      </c>
      <c r="J1087">
        <f>IF($V1087="","",INDEX('Per Line'!$S$2:$S$6001,$V1087)&amp;"")</f>
        <v/>
      </c>
      <c r="K1087" s="7">
        <f>IF($V1087="","",SUMIFS('Per Line'!$R$2:$R$6001,'Per Line'!$C$2:$C$6001,$B1087,'Per Line'!$AJ$2:$AJ$6001,1))</f>
        <v/>
      </c>
      <c r="L1087">
        <f>IF($V1087="","",Settings!$C$7)</f>
        <v/>
      </c>
      <c r="M1087" s="7">
        <f>IF($V1087="","",SUMIFS('Per Line'!$R$2:$R$6001,'Per Line'!$C$2:$C$6001,$B1087,'Per Line'!$AI$2:$AI$6001,0,'Per Line'!$AJ$2:$AJ$6001,0))</f>
        <v/>
      </c>
      <c r="N1087" s="7">
        <f>IF($V1087="","",M1087*L1087)</f>
        <v/>
      </c>
      <c r="O1087">
        <f>IF($V1087="","",Settings!$C$6)</f>
        <v/>
      </c>
      <c r="P1087" s="7">
        <f>IF($V1087="","",SUMIFS('Per Line'!$R$2:$R$6001,'Per Line'!$C$2:$C$6001,$B1087,'Per Line'!$AI$2:$AI$6001,1,'Per Line'!$AJ$2:$AJ$6001,0))</f>
        <v/>
      </c>
      <c r="Q1087" s="7">
        <f>IF($V1087="","",P1087*O1087)</f>
        <v/>
      </c>
      <c r="R1087" s="7">
        <f>IF($V1087="","",Q1087+N1087)</f>
        <v/>
      </c>
      <c r="S1087" s="7">
        <f>IF($V1087="","",T1087-R1087)</f>
        <v/>
      </c>
      <c r="T1087" s="7">
        <f>IF($V1087="","",M1087+P1087+K1087)</f>
        <v/>
      </c>
      <c r="U1087" s="7">
        <f>IF($V1087="","",T1087-R1087-I1087)</f>
        <v/>
      </c>
      <c r="V1087" s="13">
        <f>IF(ROWS($V$2:$V1087)&lt;=MAX('Per Line'!$AH$2:$AH$6001),MATCH(ROWS($V$2:$V1087),'Per Line'!$AH$2:$AH$6001,0),"")</f>
        <v/>
      </c>
    </row>
    <row r="1088">
      <c r="A1088" s="12" t="n"/>
      <c r="B1088">
        <f>IF($V1088="","",INDEX('Per Line'!$C$2:$C$6001,$V1088)&amp;"")</f>
        <v/>
      </c>
      <c r="C1088" s="11">
        <f>IF($V1088="","",INDEX('Per Line'!$D$2:$D$6001,$V1088))</f>
        <v/>
      </c>
      <c r="D1088">
        <f>IF($V1088="","",INDEX('Per Line'!$E$2:$E$6001,$V1088)&amp;"")</f>
        <v/>
      </c>
      <c r="E1088">
        <f>IF($V1088="","",INDEX('Per Line'!$G$2:$G$6001,$V1088)&amp;"")</f>
        <v/>
      </c>
      <c r="F1088">
        <f>IF($V1088="","",INDEX('Per Line'!$H$2:$H$6001,$V1088)&amp;"")</f>
        <v/>
      </c>
      <c r="G1088">
        <f>IF($V1088="","",INDEX('Per Line'!$I$2:$I$6001,$V1088)&amp;"")</f>
        <v/>
      </c>
      <c r="H1088">
        <f>IF($V1088="","",INDEX('Per Line'!$J$2:$J$6001,$V1088))</f>
        <v/>
      </c>
      <c r="I1088" s="7">
        <f>IF($V1088="","",H1088*S1088/100)</f>
        <v/>
      </c>
      <c r="J1088">
        <f>IF($V1088="","",INDEX('Per Line'!$S$2:$S$6001,$V1088)&amp;"")</f>
        <v/>
      </c>
      <c r="K1088" s="7">
        <f>IF($V1088="","",SUMIFS('Per Line'!$R$2:$R$6001,'Per Line'!$C$2:$C$6001,$B1088,'Per Line'!$AJ$2:$AJ$6001,1))</f>
        <v/>
      </c>
      <c r="L1088">
        <f>IF($V1088="","",Settings!$C$7)</f>
        <v/>
      </c>
      <c r="M1088" s="7">
        <f>IF($V1088="","",SUMIFS('Per Line'!$R$2:$R$6001,'Per Line'!$C$2:$C$6001,$B1088,'Per Line'!$AI$2:$AI$6001,0,'Per Line'!$AJ$2:$AJ$6001,0))</f>
        <v/>
      </c>
      <c r="N1088" s="7">
        <f>IF($V1088="","",M1088*L1088)</f>
        <v/>
      </c>
      <c r="O1088">
        <f>IF($V1088="","",Settings!$C$6)</f>
        <v/>
      </c>
      <c r="P1088" s="7">
        <f>IF($V1088="","",SUMIFS('Per Line'!$R$2:$R$6001,'Per Line'!$C$2:$C$6001,$B1088,'Per Line'!$AI$2:$AI$6001,1,'Per Line'!$AJ$2:$AJ$6001,0))</f>
        <v/>
      </c>
      <c r="Q1088" s="7">
        <f>IF($V1088="","",P1088*O1088)</f>
        <v/>
      </c>
      <c r="R1088" s="7">
        <f>IF($V1088="","",Q1088+N1088)</f>
        <v/>
      </c>
      <c r="S1088" s="7">
        <f>IF($V1088="","",T1088-R1088)</f>
        <v/>
      </c>
      <c r="T1088" s="7">
        <f>IF($V1088="","",M1088+P1088+K1088)</f>
        <v/>
      </c>
      <c r="U1088" s="7">
        <f>IF($V1088="","",T1088-R1088-I1088)</f>
        <v/>
      </c>
      <c r="V1088" s="13">
        <f>IF(ROWS($V$2:$V1088)&lt;=MAX('Per Line'!$AH$2:$AH$6001),MATCH(ROWS($V$2:$V1088),'Per Line'!$AH$2:$AH$6001,0),"")</f>
        <v/>
      </c>
    </row>
    <row r="1089">
      <c r="A1089" s="12" t="n"/>
      <c r="B1089">
        <f>IF($V1089="","",INDEX('Per Line'!$C$2:$C$6001,$V1089)&amp;"")</f>
        <v/>
      </c>
      <c r="C1089" s="11">
        <f>IF($V1089="","",INDEX('Per Line'!$D$2:$D$6001,$V1089))</f>
        <v/>
      </c>
      <c r="D1089">
        <f>IF($V1089="","",INDEX('Per Line'!$E$2:$E$6001,$V1089)&amp;"")</f>
        <v/>
      </c>
      <c r="E1089">
        <f>IF($V1089="","",INDEX('Per Line'!$G$2:$G$6001,$V1089)&amp;"")</f>
        <v/>
      </c>
      <c r="F1089">
        <f>IF($V1089="","",INDEX('Per Line'!$H$2:$H$6001,$V1089)&amp;"")</f>
        <v/>
      </c>
      <c r="G1089">
        <f>IF($V1089="","",INDEX('Per Line'!$I$2:$I$6001,$V1089)&amp;"")</f>
        <v/>
      </c>
      <c r="H1089">
        <f>IF($V1089="","",INDEX('Per Line'!$J$2:$J$6001,$V1089))</f>
        <v/>
      </c>
      <c r="I1089" s="7">
        <f>IF($V1089="","",H1089*S1089/100)</f>
        <v/>
      </c>
      <c r="J1089">
        <f>IF($V1089="","",INDEX('Per Line'!$S$2:$S$6001,$V1089)&amp;"")</f>
        <v/>
      </c>
      <c r="K1089" s="7">
        <f>IF($V1089="","",SUMIFS('Per Line'!$R$2:$R$6001,'Per Line'!$C$2:$C$6001,$B1089,'Per Line'!$AJ$2:$AJ$6001,1))</f>
        <v/>
      </c>
      <c r="L1089">
        <f>IF($V1089="","",Settings!$C$7)</f>
        <v/>
      </c>
      <c r="M1089" s="7">
        <f>IF($V1089="","",SUMIFS('Per Line'!$R$2:$R$6001,'Per Line'!$C$2:$C$6001,$B1089,'Per Line'!$AI$2:$AI$6001,0,'Per Line'!$AJ$2:$AJ$6001,0))</f>
        <v/>
      </c>
      <c r="N1089" s="7">
        <f>IF($V1089="","",M1089*L1089)</f>
        <v/>
      </c>
      <c r="O1089">
        <f>IF($V1089="","",Settings!$C$6)</f>
        <v/>
      </c>
      <c r="P1089" s="7">
        <f>IF($V1089="","",SUMIFS('Per Line'!$R$2:$R$6001,'Per Line'!$C$2:$C$6001,$B1089,'Per Line'!$AI$2:$AI$6001,1,'Per Line'!$AJ$2:$AJ$6001,0))</f>
        <v/>
      </c>
      <c r="Q1089" s="7">
        <f>IF($V1089="","",P1089*O1089)</f>
        <v/>
      </c>
      <c r="R1089" s="7">
        <f>IF($V1089="","",Q1089+N1089)</f>
        <v/>
      </c>
      <c r="S1089" s="7">
        <f>IF($V1089="","",T1089-R1089)</f>
        <v/>
      </c>
      <c r="T1089" s="7">
        <f>IF($V1089="","",M1089+P1089+K1089)</f>
        <v/>
      </c>
      <c r="U1089" s="7">
        <f>IF($V1089="","",T1089-R1089-I1089)</f>
        <v/>
      </c>
      <c r="V1089" s="13">
        <f>IF(ROWS($V$2:$V1089)&lt;=MAX('Per Line'!$AH$2:$AH$6001),MATCH(ROWS($V$2:$V1089),'Per Line'!$AH$2:$AH$6001,0),"")</f>
        <v/>
      </c>
    </row>
    <row r="1090">
      <c r="A1090" s="12" t="n"/>
      <c r="B1090">
        <f>IF($V1090="","",INDEX('Per Line'!$C$2:$C$6001,$V1090)&amp;"")</f>
        <v/>
      </c>
      <c r="C1090" s="11">
        <f>IF($V1090="","",INDEX('Per Line'!$D$2:$D$6001,$V1090))</f>
        <v/>
      </c>
      <c r="D1090">
        <f>IF($V1090="","",INDEX('Per Line'!$E$2:$E$6001,$V1090)&amp;"")</f>
        <v/>
      </c>
      <c r="E1090">
        <f>IF($V1090="","",INDEX('Per Line'!$G$2:$G$6001,$V1090)&amp;"")</f>
        <v/>
      </c>
      <c r="F1090">
        <f>IF($V1090="","",INDEX('Per Line'!$H$2:$H$6001,$V1090)&amp;"")</f>
        <v/>
      </c>
      <c r="G1090">
        <f>IF($V1090="","",INDEX('Per Line'!$I$2:$I$6001,$V1090)&amp;"")</f>
        <v/>
      </c>
      <c r="H1090">
        <f>IF($V1090="","",INDEX('Per Line'!$J$2:$J$6001,$V1090))</f>
        <v/>
      </c>
      <c r="I1090" s="7">
        <f>IF($V1090="","",H1090*S1090/100)</f>
        <v/>
      </c>
      <c r="J1090">
        <f>IF($V1090="","",INDEX('Per Line'!$S$2:$S$6001,$V1090)&amp;"")</f>
        <v/>
      </c>
      <c r="K1090" s="7">
        <f>IF($V1090="","",SUMIFS('Per Line'!$R$2:$R$6001,'Per Line'!$C$2:$C$6001,$B1090,'Per Line'!$AJ$2:$AJ$6001,1))</f>
        <v/>
      </c>
      <c r="L1090">
        <f>IF($V1090="","",Settings!$C$7)</f>
        <v/>
      </c>
      <c r="M1090" s="7">
        <f>IF($V1090="","",SUMIFS('Per Line'!$R$2:$R$6001,'Per Line'!$C$2:$C$6001,$B1090,'Per Line'!$AI$2:$AI$6001,0,'Per Line'!$AJ$2:$AJ$6001,0))</f>
        <v/>
      </c>
      <c r="N1090" s="7">
        <f>IF($V1090="","",M1090*L1090)</f>
        <v/>
      </c>
      <c r="O1090">
        <f>IF($V1090="","",Settings!$C$6)</f>
        <v/>
      </c>
      <c r="P1090" s="7">
        <f>IF($V1090="","",SUMIFS('Per Line'!$R$2:$R$6001,'Per Line'!$C$2:$C$6001,$B1090,'Per Line'!$AI$2:$AI$6001,1,'Per Line'!$AJ$2:$AJ$6001,0))</f>
        <v/>
      </c>
      <c r="Q1090" s="7">
        <f>IF($V1090="","",P1090*O1090)</f>
        <v/>
      </c>
      <c r="R1090" s="7">
        <f>IF($V1090="","",Q1090+N1090)</f>
        <v/>
      </c>
      <c r="S1090" s="7">
        <f>IF($V1090="","",T1090-R1090)</f>
        <v/>
      </c>
      <c r="T1090" s="7">
        <f>IF($V1090="","",M1090+P1090+K1090)</f>
        <v/>
      </c>
      <c r="U1090" s="7">
        <f>IF($V1090="","",T1090-R1090-I1090)</f>
        <v/>
      </c>
      <c r="V1090" s="13">
        <f>IF(ROWS($V$2:$V1090)&lt;=MAX('Per Line'!$AH$2:$AH$6001),MATCH(ROWS($V$2:$V1090),'Per Line'!$AH$2:$AH$6001,0),"")</f>
        <v/>
      </c>
    </row>
    <row r="1091">
      <c r="A1091" s="12" t="n"/>
      <c r="B1091">
        <f>IF($V1091="","",INDEX('Per Line'!$C$2:$C$6001,$V1091)&amp;"")</f>
        <v/>
      </c>
      <c r="C1091" s="11">
        <f>IF($V1091="","",INDEX('Per Line'!$D$2:$D$6001,$V1091))</f>
        <v/>
      </c>
      <c r="D1091">
        <f>IF($V1091="","",INDEX('Per Line'!$E$2:$E$6001,$V1091)&amp;"")</f>
        <v/>
      </c>
      <c r="E1091">
        <f>IF($V1091="","",INDEX('Per Line'!$G$2:$G$6001,$V1091)&amp;"")</f>
        <v/>
      </c>
      <c r="F1091">
        <f>IF($V1091="","",INDEX('Per Line'!$H$2:$H$6001,$V1091)&amp;"")</f>
        <v/>
      </c>
      <c r="G1091">
        <f>IF($V1091="","",INDEX('Per Line'!$I$2:$I$6001,$V1091)&amp;"")</f>
        <v/>
      </c>
      <c r="H1091">
        <f>IF($V1091="","",INDEX('Per Line'!$J$2:$J$6001,$V1091))</f>
        <v/>
      </c>
      <c r="I1091" s="7">
        <f>IF($V1091="","",H1091*S1091/100)</f>
        <v/>
      </c>
      <c r="J1091">
        <f>IF($V1091="","",INDEX('Per Line'!$S$2:$S$6001,$V1091)&amp;"")</f>
        <v/>
      </c>
      <c r="K1091" s="7">
        <f>IF($V1091="","",SUMIFS('Per Line'!$R$2:$R$6001,'Per Line'!$C$2:$C$6001,$B1091,'Per Line'!$AJ$2:$AJ$6001,1))</f>
        <v/>
      </c>
      <c r="L1091">
        <f>IF($V1091="","",Settings!$C$7)</f>
        <v/>
      </c>
      <c r="M1091" s="7">
        <f>IF($V1091="","",SUMIFS('Per Line'!$R$2:$R$6001,'Per Line'!$C$2:$C$6001,$B1091,'Per Line'!$AI$2:$AI$6001,0,'Per Line'!$AJ$2:$AJ$6001,0))</f>
        <v/>
      </c>
      <c r="N1091" s="7">
        <f>IF($V1091="","",M1091*L1091)</f>
        <v/>
      </c>
      <c r="O1091">
        <f>IF($V1091="","",Settings!$C$6)</f>
        <v/>
      </c>
      <c r="P1091" s="7">
        <f>IF($V1091="","",SUMIFS('Per Line'!$R$2:$R$6001,'Per Line'!$C$2:$C$6001,$B1091,'Per Line'!$AI$2:$AI$6001,1,'Per Line'!$AJ$2:$AJ$6001,0))</f>
        <v/>
      </c>
      <c r="Q1091" s="7">
        <f>IF($V1091="","",P1091*O1091)</f>
        <v/>
      </c>
      <c r="R1091" s="7">
        <f>IF($V1091="","",Q1091+N1091)</f>
        <v/>
      </c>
      <c r="S1091" s="7">
        <f>IF($V1091="","",T1091-R1091)</f>
        <v/>
      </c>
      <c r="T1091" s="7">
        <f>IF($V1091="","",M1091+P1091+K1091)</f>
        <v/>
      </c>
      <c r="U1091" s="7">
        <f>IF($V1091="","",T1091-R1091-I1091)</f>
        <v/>
      </c>
      <c r="V1091" s="13">
        <f>IF(ROWS($V$2:$V1091)&lt;=MAX('Per Line'!$AH$2:$AH$6001),MATCH(ROWS($V$2:$V1091),'Per Line'!$AH$2:$AH$6001,0),"")</f>
        <v/>
      </c>
    </row>
    <row r="1092">
      <c r="A1092" s="12" t="n"/>
      <c r="B1092">
        <f>IF($V1092="","",INDEX('Per Line'!$C$2:$C$6001,$V1092)&amp;"")</f>
        <v/>
      </c>
      <c r="C1092" s="11">
        <f>IF($V1092="","",INDEX('Per Line'!$D$2:$D$6001,$V1092))</f>
        <v/>
      </c>
      <c r="D1092">
        <f>IF($V1092="","",INDEX('Per Line'!$E$2:$E$6001,$V1092)&amp;"")</f>
        <v/>
      </c>
      <c r="E1092">
        <f>IF($V1092="","",INDEX('Per Line'!$G$2:$G$6001,$V1092)&amp;"")</f>
        <v/>
      </c>
      <c r="F1092">
        <f>IF($V1092="","",INDEX('Per Line'!$H$2:$H$6001,$V1092)&amp;"")</f>
        <v/>
      </c>
      <c r="G1092">
        <f>IF($V1092="","",INDEX('Per Line'!$I$2:$I$6001,$V1092)&amp;"")</f>
        <v/>
      </c>
      <c r="H1092">
        <f>IF($V1092="","",INDEX('Per Line'!$J$2:$J$6001,$V1092))</f>
        <v/>
      </c>
      <c r="I1092" s="7">
        <f>IF($V1092="","",H1092*S1092/100)</f>
        <v/>
      </c>
      <c r="J1092">
        <f>IF($V1092="","",INDEX('Per Line'!$S$2:$S$6001,$V1092)&amp;"")</f>
        <v/>
      </c>
      <c r="K1092" s="7">
        <f>IF($V1092="","",SUMIFS('Per Line'!$R$2:$R$6001,'Per Line'!$C$2:$C$6001,$B1092,'Per Line'!$AJ$2:$AJ$6001,1))</f>
        <v/>
      </c>
      <c r="L1092">
        <f>IF($V1092="","",Settings!$C$7)</f>
        <v/>
      </c>
      <c r="M1092" s="7">
        <f>IF($V1092="","",SUMIFS('Per Line'!$R$2:$R$6001,'Per Line'!$C$2:$C$6001,$B1092,'Per Line'!$AI$2:$AI$6001,0,'Per Line'!$AJ$2:$AJ$6001,0))</f>
        <v/>
      </c>
      <c r="N1092" s="7">
        <f>IF($V1092="","",M1092*L1092)</f>
        <v/>
      </c>
      <c r="O1092">
        <f>IF($V1092="","",Settings!$C$6)</f>
        <v/>
      </c>
      <c r="P1092" s="7">
        <f>IF($V1092="","",SUMIFS('Per Line'!$R$2:$R$6001,'Per Line'!$C$2:$C$6001,$B1092,'Per Line'!$AI$2:$AI$6001,1,'Per Line'!$AJ$2:$AJ$6001,0))</f>
        <v/>
      </c>
      <c r="Q1092" s="7">
        <f>IF($V1092="","",P1092*O1092)</f>
        <v/>
      </c>
      <c r="R1092" s="7">
        <f>IF($V1092="","",Q1092+N1092)</f>
        <v/>
      </c>
      <c r="S1092" s="7">
        <f>IF($V1092="","",T1092-R1092)</f>
        <v/>
      </c>
      <c r="T1092" s="7">
        <f>IF($V1092="","",M1092+P1092+K1092)</f>
        <v/>
      </c>
      <c r="U1092" s="7">
        <f>IF($V1092="","",T1092-R1092-I1092)</f>
        <v/>
      </c>
      <c r="V1092" s="13">
        <f>IF(ROWS($V$2:$V1092)&lt;=MAX('Per Line'!$AH$2:$AH$6001),MATCH(ROWS($V$2:$V1092),'Per Line'!$AH$2:$AH$6001,0),"")</f>
        <v/>
      </c>
    </row>
    <row r="1093">
      <c r="A1093" s="12" t="n"/>
      <c r="B1093">
        <f>IF($V1093="","",INDEX('Per Line'!$C$2:$C$6001,$V1093)&amp;"")</f>
        <v/>
      </c>
      <c r="C1093" s="11">
        <f>IF($V1093="","",INDEX('Per Line'!$D$2:$D$6001,$V1093))</f>
        <v/>
      </c>
      <c r="D1093">
        <f>IF($V1093="","",INDEX('Per Line'!$E$2:$E$6001,$V1093)&amp;"")</f>
        <v/>
      </c>
      <c r="E1093">
        <f>IF($V1093="","",INDEX('Per Line'!$G$2:$G$6001,$V1093)&amp;"")</f>
        <v/>
      </c>
      <c r="F1093">
        <f>IF($V1093="","",INDEX('Per Line'!$H$2:$H$6001,$V1093)&amp;"")</f>
        <v/>
      </c>
      <c r="G1093">
        <f>IF($V1093="","",INDEX('Per Line'!$I$2:$I$6001,$V1093)&amp;"")</f>
        <v/>
      </c>
      <c r="H1093">
        <f>IF($V1093="","",INDEX('Per Line'!$J$2:$J$6001,$V1093))</f>
        <v/>
      </c>
      <c r="I1093" s="7">
        <f>IF($V1093="","",H1093*S1093/100)</f>
        <v/>
      </c>
      <c r="J1093">
        <f>IF($V1093="","",INDEX('Per Line'!$S$2:$S$6001,$V1093)&amp;"")</f>
        <v/>
      </c>
      <c r="K1093" s="7">
        <f>IF($V1093="","",SUMIFS('Per Line'!$R$2:$R$6001,'Per Line'!$C$2:$C$6001,$B1093,'Per Line'!$AJ$2:$AJ$6001,1))</f>
        <v/>
      </c>
      <c r="L1093">
        <f>IF($V1093="","",Settings!$C$7)</f>
        <v/>
      </c>
      <c r="M1093" s="7">
        <f>IF($V1093="","",SUMIFS('Per Line'!$R$2:$R$6001,'Per Line'!$C$2:$C$6001,$B1093,'Per Line'!$AI$2:$AI$6001,0,'Per Line'!$AJ$2:$AJ$6001,0))</f>
        <v/>
      </c>
      <c r="N1093" s="7">
        <f>IF($V1093="","",M1093*L1093)</f>
        <v/>
      </c>
      <c r="O1093">
        <f>IF($V1093="","",Settings!$C$6)</f>
        <v/>
      </c>
      <c r="P1093" s="7">
        <f>IF($V1093="","",SUMIFS('Per Line'!$R$2:$R$6001,'Per Line'!$C$2:$C$6001,$B1093,'Per Line'!$AI$2:$AI$6001,1,'Per Line'!$AJ$2:$AJ$6001,0))</f>
        <v/>
      </c>
      <c r="Q1093" s="7">
        <f>IF($V1093="","",P1093*O1093)</f>
        <v/>
      </c>
      <c r="R1093" s="7">
        <f>IF($V1093="","",Q1093+N1093)</f>
        <v/>
      </c>
      <c r="S1093" s="7">
        <f>IF($V1093="","",T1093-R1093)</f>
        <v/>
      </c>
      <c r="T1093" s="7">
        <f>IF($V1093="","",M1093+P1093+K1093)</f>
        <v/>
      </c>
      <c r="U1093" s="7">
        <f>IF($V1093="","",T1093-R1093-I1093)</f>
        <v/>
      </c>
      <c r="V1093" s="13">
        <f>IF(ROWS($V$2:$V1093)&lt;=MAX('Per Line'!$AH$2:$AH$6001),MATCH(ROWS($V$2:$V1093),'Per Line'!$AH$2:$AH$6001,0),"")</f>
        <v/>
      </c>
    </row>
    <row r="1094">
      <c r="A1094" s="12" t="n"/>
      <c r="B1094">
        <f>IF($V1094="","",INDEX('Per Line'!$C$2:$C$6001,$V1094)&amp;"")</f>
        <v/>
      </c>
      <c r="C1094" s="11">
        <f>IF($V1094="","",INDEX('Per Line'!$D$2:$D$6001,$V1094))</f>
        <v/>
      </c>
      <c r="D1094">
        <f>IF($V1094="","",INDEX('Per Line'!$E$2:$E$6001,$V1094)&amp;"")</f>
        <v/>
      </c>
      <c r="E1094">
        <f>IF($V1094="","",INDEX('Per Line'!$G$2:$G$6001,$V1094)&amp;"")</f>
        <v/>
      </c>
      <c r="F1094">
        <f>IF($V1094="","",INDEX('Per Line'!$H$2:$H$6001,$V1094)&amp;"")</f>
        <v/>
      </c>
      <c r="G1094">
        <f>IF($V1094="","",INDEX('Per Line'!$I$2:$I$6001,$V1094)&amp;"")</f>
        <v/>
      </c>
      <c r="H1094">
        <f>IF($V1094="","",INDEX('Per Line'!$J$2:$J$6001,$V1094))</f>
        <v/>
      </c>
      <c r="I1094" s="7">
        <f>IF($V1094="","",H1094*S1094/100)</f>
        <v/>
      </c>
      <c r="J1094">
        <f>IF($V1094="","",INDEX('Per Line'!$S$2:$S$6001,$V1094)&amp;"")</f>
        <v/>
      </c>
      <c r="K1094" s="7">
        <f>IF($V1094="","",SUMIFS('Per Line'!$R$2:$R$6001,'Per Line'!$C$2:$C$6001,$B1094,'Per Line'!$AJ$2:$AJ$6001,1))</f>
        <v/>
      </c>
      <c r="L1094">
        <f>IF($V1094="","",Settings!$C$7)</f>
        <v/>
      </c>
      <c r="M1094" s="7">
        <f>IF($V1094="","",SUMIFS('Per Line'!$R$2:$R$6001,'Per Line'!$C$2:$C$6001,$B1094,'Per Line'!$AI$2:$AI$6001,0,'Per Line'!$AJ$2:$AJ$6001,0))</f>
        <v/>
      </c>
      <c r="N1094" s="7">
        <f>IF($V1094="","",M1094*L1094)</f>
        <v/>
      </c>
      <c r="O1094">
        <f>IF($V1094="","",Settings!$C$6)</f>
        <v/>
      </c>
      <c r="P1094" s="7">
        <f>IF($V1094="","",SUMIFS('Per Line'!$R$2:$R$6001,'Per Line'!$C$2:$C$6001,$B1094,'Per Line'!$AI$2:$AI$6001,1,'Per Line'!$AJ$2:$AJ$6001,0))</f>
        <v/>
      </c>
      <c r="Q1094" s="7">
        <f>IF($V1094="","",P1094*O1094)</f>
        <v/>
      </c>
      <c r="R1094" s="7">
        <f>IF($V1094="","",Q1094+N1094)</f>
        <v/>
      </c>
      <c r="S1094" s="7">
        <f>IF($V1094="","",T1094-R1094)</f>
        <v/>
      </c>
      <c r="T1094" s="7">
        <f>IF($V1094="","",M1094+P1094+K1094)</f>
        <v/>
      </c>
      <c r="U1094" s="7">
        <f>IF($V1094="","",T1094-R1094-I1094)</f>
        <v/>
      </c>
      <c r="V1094" s="13">
        <f>IF(ROWS($V$2:$V1094)&lt;=MAX('Per Line'!$AH$2:$AH$6001),MATCH(ROWS($V$2:$V1094),'Per Line'!$AH$2:$AH$6001,0),"")</f>
        <v/>
      </c>
    </row>
    <row r="1095">
      <c r="A1095" s="12" t="n"/>
      <c r="B1095">
        <f>IF($V1095="","",INDEX('Per Line'!$C$2:$C$6001,$V1095)&amp;"")</f>
        <v/>
      </c>
      <c r="C1095" s="11">
        <f>IF($V1095="","",INDEX('Per Line'!$D$2:$D$6001,$V1095))</f>
        <v/>
      </c>
      <c r="D1095">
        <f>IF($V1095="","",INDEX('Per Line'!$E$2:$E$6001,$V1095)&amp;"")</f>
        <v/>
      </c>
      <c r="E1095">
        <f>IF($V1095="","",INDEX('Per Line'!$G$2:$G$6001,$V1095)&amp;"")</f>
        <v/>
      </c>
      <c r="F1095">
        <f>IF($V1095="","",INDEX('Per Line'!$H$2:$H$6001,$V1095)&amp;"")</f>
        <v/>
      </c>
      <c r="G1095">
        <f>IF($V1095="","",INDEX('Per Line'!$I$2:$I$6001,$V1095)&amp;"")</f>
        <v/>
      </c>
      <c r="H1095">
        <f>IF($V1095="","",INDEX('Per Line'!$J$2:$J$6001,$V1095))</f>
        <v/>
      </c>
      <c r="I1095" s="7">
        <f>IF($V1095="","",H1095*S1095/100)</f>
        <v/>
      </c>
      <c r="J1095">
        <f>IF($V1095="","",INDEX('Per Line'!$S$2:$S$6001,$V1095)&amp;"")</f>
        <v/>
      </c>
      <c r="K1095" s="7">
        <f>IF($V1095="","",SUMIFS('Per Line'!$R$2:$R$6001,'Per Line'!$C$2:$C$6001,$B1095,'Per Line'!$AJ$2:$AJ$6001,1))</f>
        <v/>
      </c>
      <c r="L1095">
        <f>IF($V1095="","",Settings!$C$7)</f>
        <v/>
      </c>
      <c r="M1095" s="7">
        <f>IF($V1095="","",SUMIFS('Per Line'!$R$2:$R$6001,'Per Line'!$C$2:$C$6001,$B1095,'Per Line'!$AI$2:$AI$6001,0,'Per Line'!$AJ$2:$AJ$6001,0))</f>
        <v/>
      </c>
      <c r="N1095" s="7">
        <f>IF($V1095="","",M1095*L1095)</f>
        <v/>
      </c>
      <c r="O1095">
        <f>IF($V1095="","",Settings!$C$6)</f>
        <v/>
      </c>
      <c r="P1095" s="7">
        <f>IF($V1095="","",SUMIFS('Per Line'!$R$2:$R$6001,'Per Line'!$C$2:$C$6001,$B1095,'Per Line'!$AI$2:$AI$6001,1,'Per Line'!$AJ$2:$AJ$6001,0))</f>
        <v/>
      </c>
      <c r="Q1095" s="7">
        <f>IF($V1095="","",P1095*O1095)</f>
        <v/>
      </c>
      <c r="R1095" s="7">
        <f>IF($V1095="","",Q1095+N1095)</f>
        <v/>
      </c>
      <c r="S1095" s="7">
        <f>IF($V1095="","",T1095-R1095)</f>
        <v/>
      </c>
      <c r="T1095" s="7">
        <f>IF($V1095="","",M1095+P1095+K1095)</f>
        <v/>
      </c>
      <c r="U1095" s="7">
        <f>IF($V1095="","",T1095-R1095-I1095)</f>
        <v/>
      </c>
      <c r="V1095" s="13">
        <f>IF(ROWS($V$2:$V1095)&lt;=MAX('Per Line'!$AH$2:$AH$6001),MATCH(ROWS($V$2:$V1095),'Per Line'!$AH$2:$AH$6001,0),"")</f>
        <v/>
      </c>
    </row>
    <row r="1096">
      <c r="A1096" s="12" t="n"/>
      <c r="B1096">
        <f>IF($V1096="","",INDEX('Per Line'!$C$2:$C$6001,$V1096)&amp;"")</f>
        <v/>
      </c>
      <c r="C1096" s="11">
        <f>IF($V1096="","",INDEX('Per Line'!$D$2:$D$6001,$V1096))</f>
        <v/>
      </c>
      <c r="D1096">
        <f>IF($V1096="","",INDEX('Per Line'!$E$2:$E$6001,$V1096)&amp;"")</f>
        <v/>
      </c>
      <c r="E1096">
        <f>IF($V1096="","",INDEX('Per Line'!$G$2:$G$6001,$V1096)&amp;"")</f>
        <v/>
      </c>
      <c r="F1096">
        <f>IF($V1096="","",INDEX('Per Line'!$H$2:$H$6001,$V1096)&amp;"")</f>
        <v/>
      </c>
      <c r="G1096">
        <f>IF($V1096="","",INDEX('Per Line'!$I$2:$I$6001,$V1096)&amp;"")</f>
        <v/>
      </c>
      <c r="H1096">
        <f>IF($V1096="","",INDEX('Per Line'!$J$2:$J$6001,$V1096))</f>
        <v/>
      </c>
      <c r="I1096" s="7">
        <f>IF($V1096="","",H1096*S1096/100)</f>
        <v/>
      </c>
      <c r="J1096">
        <f>IF($V1096="","",INDEX('Per Line'!$S$2:$S$6001,$V1096)&amp;"")</f>
        <v/>
      </c>
      <c r="K1096" s="7">
        <f>IF($V1096="","",SUMIFS('Per Line'!$R$2:$R$6001,'Per Line'!$C$2:$C$6001,$B1096,'Per Line'!$AJ$2:$AJ$6001,1))</f>
        <v/>
      </c>
      <c r="L1096">
        <f>IF($V1096="","",Settings!$C$7)</f>
        <v/>
      </c>
      <c r="M1096" s="7">
        <f>IF($V1096="","",SUMIFS('Per Line'!$R$2:$R$6001,'Per Line'!$C$2:$C$6001,$B1096,'Per Line'!$AI$2:$AI$6001,0,'Per Line'!$AJ$2:$AJ$6001,0))</f>
        <v/>
      </c>
      <c r="N1096" s="7">
        <f>IF($V1096="","",M1096*L1096)</f>
        <v/>
      </c>
      <c r="O1096">
        <f>IF($V1096="","",Settings!$C$6)</f>
        <v/>
      </c>
      <c r="P1096" s="7">
        <f>IF($V1096="","",SUMIFS('Per Line'!$R$2:$R$6001,'Per Line'!$C$2:$C$6001,$B1096,'Per Line'!$AI$2:$AI$6001,1,'Per Line'!$AJ$2:$AJ$6001,0))</f>
        <v/>
      </c>
      <c r="Q1096" s="7">
        <f>IF($V1096="","",P1096*O1096)</f>
        <v/>
      </c>
      <c r="R1096" s="7">
        <f>IF($V1096="","",Q1096+N1096)</f>
        <v/>
      </c>
      <c r="S1096" s="7">
        <f>IF($V1096="","",T1096-R1096)</f>
        <v/>
      </c>
      <c r="T1096" s="7">
        <f>IF($V1096="","",M1096+P1096+K1096)</f>
        <v/>
      </c>
      <c r="U1096" s="7">
        <f>IF($V1096="","",T1096-R1096-I1096)</f>
        <v/>
      </c>
      <c r="V1096" s="13">
        <f>IF(ROWS($V$2:$V1096)&lt;=MAX('Per Line'!$AH$2:$AH$6001),MATCH(ROWS($V$2:$V1096),'Per Line'!$AH$2:$AH$6001,0),"")</f>
        <v/>
      </c>
    </row>
    <row r="1097">
      <c r="A1097" s="12" t="n"/>
      <c r="B1097">
        <f>IF($V1097="","",INDEX('Per Line'!$C$2:$C$6001,$V1097)&amp;"")</f>
        <v/>
      </c>
      <c r="C1097" s="11">
        <f>IF($V1097="","",INDEX('Per Line'!$D$2:$D$6001,$V1097))</f>
        <v/>
      </c>
      <c r="D1097">
        <f>IF($V1097="","",INDEX('Per Line'!$E$2:$E$6001,$V1097)&amp;"")</f>
        <v/>
      </c>
      <c r="E1097">
        <f>IF($V1097="","",INDEX('Per Line'!$G$2:$G$6001,$V1097)&amp;"")</f>
        <v/>
      </c>
      <c r="F1097">
        <f>IF($V1097="","",INDEX('Per Line'!$H$2:$H$6001,$V1097)&amp;"")</f>
        <v/>
      </c>
      <c r="G1097">
        <f>IF($V1097="","",INDEX('Per Line'!$I$2:$I$6001,$V1097)&amp;"")</f>
        <v/>
      </c>
      <c r="H1097">
        <f>IF($V1097="","",INDEX('Per Line'!$J$2:$J$6001,$V1097))</f>
        <v/>
      </c>
      <c r="I1097" s="7">
        <f>IF($V1097="","",H1097*S1097/100)</f>
        <v/>
      </c>
      <c r="J1097">
        <f>IF($V1097="","",INDEX('Per Line'!$S$2:$S$6001,$V1097)&amp;"")</f>
        <v/>
      </c>
      <c r="K1097" s="7">
        <f>IF($V1097="","",SUMIFS('Per Line'!$R$2:$R$6001,'Per Line'!$C$2:$C$6001,$B1097,'Per Line'!$AJ$2:$AJ$6001,1))</f>
        <v/>
      </c>
      <c r="L1097">
        <f>IF($V1097="","",Settings!$C$7)</f>
        <v/>
      </c>
      <c r="M1097" s="7">
        <f>IF($V1097="","",SUMIFS('Per Line'!$R$2:$R$6001,'Per Line'!$C$2:$C$6001,$B1097,'Per Line'!$AI$2:$AI$6001,0,'Per Line'!$AJ$2:$AJ$6001,0))</f>
        <v/>
      </c>
      <c r="N1097" s="7">
        <f>IF($V1097="","",M1097*L1097)</f>
        <v/>
      </c>
      <c r="O1097">
        <f>IF($V1097="","",Settings!$C$6)</f>
        <v/>
      </c>
      <c r="P1097" s="7">
        <f>IF($V1097="","",SUMIFS('Per Line'!$R$2:$R$6001,'Per Line'!$C$2:$C$6001,$B1097,'Per Line'!$AI$2:$AI$6001,1,'Per Line'!$AJ$2:$AJ$6001,0))</f>
        <v/>
      </c>
      <c r="Q1097" s="7">
        <f>IF($V1097="","",P1097*O1097)</f>
        <v/>
      </c>
      <c r="R1097" s="7">
        <f>IF($V1097="","",Q1097+N1097)</f>
        <v/>
      </c>
      <c r="S1097" s="7">
        <f>IF($V1097="","",T1097-R1097)</f>
        <v/>
      </c>
      <c r="T1097" s="7">
        <f>IF($V1097="","",M1097+P1097+K1097)</f>
        <v/>
      </c>
      <c r="U1097" s="7">
        <f>IF($V1097="","",T1097-R1097-I1097)</f>
        <v/>
      </c>
      <c r="V1097" s="13">
        <f>IF(ROWS($V$2:$V1097)&lt;=MAX('Per Line'!$AH$2:$AH$6001),MATCH(ROWS($V$2:$V1097),'Per Line'!$AH$2:$AH$6001,0),"")</f>
        <v/>
      </c>
    </row>
    <row r="1098">
      <c r="A1098" s="12" t="n"/>
      <c r="B1098">
        <f>IF($V1098="","",INDEX('Per Line'!$C$2:$C$6001,$V1098)&amp;"")</f>
        <v/>
      </c>
      <c r="C1098" s="11">
        <f>IF($V1098="","",INDEX('Per Line'!$D$2:$D$6001,$V1098))</f>
        <v/>
      </c>
      <c r="D1098">
        <f>IF($V1098="","",INDEX('Per Line'!$E$2:$E$6001,$V1098)&amp;"")</f>
        <v/>
      </c>
      <c r="E1098">
        <f>IF($V1098="","",INDEX('Per Line'!$G$2:$G$6001,$V1098)&amp;"")</f>
        <v/>
      </c>
      <c r="F1098">
        <f>IF($V1098="","",INDEX('Per Line'!$H$2:$H$6001,$V1098)&amp;"")</f>
        <v/>
      </c>
      <c r="G1098">
        <f>IF($V1098="","",INDEX('Per Line'!$I$2:$I$6001,$V1098)&amp;"")</f>
        <v/>
      </c>
      <c r="H1098">
        <f>IF($V1098="","",INDEX('Per Line'!$J$2:$J$6001,$V1098))</f>
        <v/>
      </c>
      <c r="I1098" s="7">
        <f>IF($V1098="","",H1098*S1098/100)</f>
        <v/>
      </c>
      <c r="J1098">
        <f>IF($V1098="","",INDEX('Per Line'!$S$2:$S$6001,$V1098)&amp;"")</f>
        <v/>
      </c>
      <c r="K1098" s="7">
        <f>IF($V1098="","",SUMIFS('Per Line'!$R$2:$R$6001,'Per Line'!$C$2:$C$6001,$B1098,'Per Line'!$AJ$2:$AJ$6001,1))</f>
        <v/>
      </c>
      <c r="L1098">
        <f>IF($V1098="","",Settings!$C$7)</f>
        <v/>
      </c>
      <c r="M1098" s="7">
        <f>IF($V1098="","",SUMIFS('Per Line'!$R$2:$R$6001,'Per Line'!$C$2:$C$6001,$B1098,'Per Line'!$AI$2:$AI$6001,0,'Per Line'!$AJ$2:$AJ$6001,0))</f>
        <v/>
      </c>
      <c r="N1098" s="7">
        <f>IF($V1098="","",M1098*L1098)</f>
        <v/>
      </c>
      <c r="O1098">
        <f>IF($V1098="","",Settings!$C$6)</f>
        <v/>
      </c>
      <c r="P1098" s="7">
        <f>IF($V1098="","",SUMIFS('Per Line'!$R$2:$R$6001,'Per Line'!$C$2:$C$6001,$B1098,'Per Line'!$AI$2:$AI$6001,1,'Per Line'!$AJ$2:$AJ$6001,0))</f>
        <v/>
      </c>
      <c r="Q1098" s="7">
        <f>IF($V1098="","",P1098*O1098)</f>
        <v/>
      </c>
      <c r="R1098" s="7">
        <f>IF($V1098="","",Q1098+N1098)</f>
        <v/>
      </c>
      <c r="S1098" s="7">
        <f>IF($V1098="","",T1098-R1098)</f>
        <v/>
      </c>
      <c r="T1098" s="7">
        <f>IF($V1098="","",M1098+P1098+K1098)</f>
        <v/>
      </c>
      <c r="U1098" s="7">
        <f>IF($V1098="","",T1098-R1098-I1098)</f>
        <v/>
      </c>
      <c r="V1098" s="13">
        <f>IF(ROWS($V$2:$V1098)&lt;=MAX('Per Line'!$AH$2:$AH$6001),MATCH(ROWS($V$2:$V1098),'Per Line'!$AH$2:$AH$6001,0),"")</f>
        <v/>
      </c>
    </row>
    <row r="1099">
      <c r="A1099" s="12" t="n"/>
      <c r="B1099">
        <f>IF($V1099="","",INDEX('Per Line'!$C$2:$C$6001,$V1099)&amp;"")</f>
        <v/>
      </c>
      <c r="C1099" s="11">
        <f>IF($V1099="","",INDEX('Per Line'!$D$2:$D$6001,$V1099))</f>
        <v/>
      </c>
      <c r="D1099">
        <f>IF($V1099="","",INDEX('Per Line'!$E$2:$E$6001,$V1099)&amp;"")</f>
        <v/>
      </c>
      <c r="E1099">
        <f>IF($V1099="","",INDEX('Per Line'!$G$2:$G$6001,$V1099)&amp;"")</f>
        <v/>
      </c>
      <c r="F1099">
        <f>IF($V1099="","",INDEX('Per Line'!$H$2:$H$6001,$V1099)&amp;"")</f>
        <v/>
      </c>
      <c r="G1099">
        <f>IF($V1099="","",INDEX('Per Line'!$I$2:$I$6001,$V1099)&amp;"")</f>
        <v/>
      </c>
      <c r="H1099">
        <f>IF($V1099="","",INDEX('Per Line'!$J$2:$J$6001,$V1099))</f>
        <v/>
      </c>
      <c r="I1099" s="7">
        <f>IF($V1099="","",H1099*S1099/100)</f>
        <v/>
      </c>
      <c r="J1099">
        <f>IF($V1099="","",INDEX('Per Line'!$S$2:$S$6001,$V1099)&amp;"")</f>
        <v/>
      </c>
      <c r="K1099" s="7">
        <f>IF($V1099="","",SUMIFS('Per Line'!$R$2:$R$6001,'Per Line'!$C$2:$C$6001,$B1099,'Per Line'!$AJ$2:$AJ$6001,1))</f>
        <v/>
      </c>
      <c r="L1099">
        <f>IF($V1099="","",Settings!$C$7)</f>
        <v/>
      </c>
      <c r="M1099" s="7">
        <f>IF($V1099="","",SUMIFS('Per Line'!$R$2:$R$6001,'Per Line'!$C$2:$C$6001,$B1099,'Per Line'!$AI$2:$AI$6001,0,'Per Line'!$AJ$2:$AJ$6001,0))</f>
        <v/>
      </c>
      <c r="N1099" s="7">
        <f>IF($V1099="","",M1099*L1099)</f>
        <v/>
      </c>
      <c r="O1099">
        <f>IF($V1099="","",Settings!$C$6)</f>
        <v/>
      </c>
      <c r="P1099" s="7">
        <f>IF($V1099="","",SUMIFS('Per Line'!$R$2:$R$6001,'Per Line'!$C$2:$C$6001,$B1099,'Per Line'!$AI$2:$AI$6001,1,'Per Line'!$AJ$2:$AJ$6001,0))</f>
        <v/>
      </c>
      <c r="Q1099" s="7">
        <f>IF($V1099="","",P1099*O1099)</f>
        <v/>
      </c>
      <c r="R1099" s="7">
        <f>IF($V1099="","",Q1099+N1099)</f>
        <v/>
      </c>
      <c r="S1099" s="7">
        <f>IF($V1099="","",T1099-R1099)</f>
        <v/>
      </c>
      <c r="T1099" s="7">
        <f>IF($V1099="","",M1099+P1099+K1099)</f>
        <v/>
      </c>
      <c r="U1099" s="7">
        <f>IF($V1099="","",T1099-R1099-I1099)</f>
        <v/>
      </c>
      <c r="V1099" s="13">
        <f>IF(ROWS($V$2:$V1099)&lt;=MAX('Per Line'!$AH$2:$AH$6001),MATCH(ROWS($V$2:$V1099),'Per Line'!$AH$2:$AH$6001,0),"")</f>
        <v/>
      </c>
    </row>
    <row r="1100">
      <c r="A1100" s="12" t="n"/>
      <c r="B1100">
        <f>IF($V1100="","",INDEX('Per Line'!$C$2:$C$6001,$V1100)&amp;"")</f>
        <v/>
      </c>
      <c r="C1100" s="11">
        <f>IF($V1100="","",INDEX('Per Line'!$D$2:$D$6001,$V1100))</f>
        <v/>
      </c>
      <c r="D1100">
        <f>IF($V1100="","",INDEX('Per Line'!$E$2:$E$6001,$V1100)&amp;"")</f>
        <v/>
      </c>
      <c r="E1100">
        <f>IF($V1100="","",INDEX('Per Line'!$G$2:$G$6001,$V1100)&amp;"")</f>
        <v/>
      </c>
      <c r="F1100">
        <f>IF($V1100="","",INDEX('Per Line'!$H$2:$H$6001,$V1100)&amp;"")</f>
        <v/>
      </c>
      <c r="G1100">
        <f>IF($V1100="","",INDEX('Per Line'!$I$2:$I$6001,$V1100)&amp;"")</f>
        <v/>
      </c>
      <c r="H1100">
        <f>IF($V1100="","",INDEX('Per Line'!$J$2:$J$6001,$V1100))</f>
        <v/>
      </c>
      <c r="I1100" s="7">
        <f>IF($V1100="","",H1100*S1100/100)</f>
        <v/>
      </c>
      <c r="J1100">
        <f>IF($V1100="","",INDEX('Per Line'!$S$2:$S$6001,$V1100)&amp;"")</f>
        <v/>
      </c>
      <c r="K1100" s="7">
        <f>IF($V1100="","",SUMIFS('Per Line'!$R$2:$R$6001,'Per Line'!$C$2:$C$6001,$B1100,'Per Line'!$AJ$2:$AJ$6001,1))</f>
        <v/>
      </c>
      <c r="L1100">
        <f>IF($V1100="","",Settings!$C$7)</f>
        <v/>
      </c>
      <c r="M1100" s="7">
        <f>IF($V1100="","",SUMIFS('Per Line'!$R$2:$R$6001,'Per Line'!$C$2:$C$6001,$B1100,'Per Line'!$AI$2:$AI$6001,0,'Per Line'!$AJ$2:$AJ$6001,0))</f>
        <v/>
      </c>
      <c r="N1100" s="7">
        <f>IF($V1100="","",M1100*L1100)</f>
        <v/>
      </c>
      <c r="O1100">
        <f>IF($V1100="","",Settings!$C$6)</f>
        <v/>
      </c>
      <c r="P1100" s="7">
        <f>IF($V1100="","",SUMIFS('Per Line'!$R$2:$R$6001,'Per Line'!$C$2:$C$6001,$B1100,'Per Line'!$AI$2:$AI$6001,1,'Per Line'!$AJ$2:$AJ$6001,0))</f>
        <v/>
      </c>
      <c r="Q1100" s="7">
        <f>IF($V1100="","",P1100*O1100)</f>
        <v/>
      </c>
      <c r="R1100" s="7">
        <f>IF($V1100="","",Q1100+N1100)</f>
        <v/>
      </c>
      <c r="S1100" s="7">
        <f>IF($V1100="","",T1100-R1100)</f>
        <v/>
      </c>
      <c r="T1100" s="7">
        <f>IF($V1100="","",M1100+P1100+K1100)</f>
        <v/>
      </c>
      <c r="U1100" s="7">
        <f>IF($V1100="","",T1100-R1100-I1100)</f>
        <v/>
      </c>
      <c r="V1100" s="13">
        <f>IF(ROWS($V$2:$V1100)&lt;=MAX('Per Line'!$AH$2:$AH$6001),MATCH(ROWS($V$2:$V1100),'Per Line'!$AH$2:$AH$6001,0),"")</f>
        <v/>
      </c>
    </row>
    <row r="1101">
      <c r="A1101" s="12" t="n"/>
      <c r="B1101">
        <f>IF($V1101="","",INDEX('Per Line'!$C$2:$C$6001,$V1101)&amp;"")</f>
        <v/>
      </c>
      <c r="C1101" s="11">
        <f>IF($V1101="","",INDEX('Per Line'!$D$2:$D$6001,$V1101))</f>
        <v/>
      </c>
      <c r="D1101">
        <f>IF($V1101="","",INDEX('Per Line'!$E$2:$E$6001,$V1101)&amp;"")</f>
        <v/>
      </c>
      <c r="E1101">
        <f>IF($V1101="","",INDEX('Per Line'!$G$2:$G$6001,$V1101)&amp;"")</f>
        <v/>
      </c>
      <c r="F1101">
        <f>IF($V1101="","",INDEX('Per Line'!$H$2:$H$6001,$V1101)&amp;"")</f>
        <v/>
      </c>
      <c r="G1101">
        <f>IF($V1101="","",INDEX('Per Line'!$I$2:$I$6001,$V1101)&amp;"")</f>
        <v/>
      </c>
      <c r="H1101">
        <f>IF($V1101="","",INDEX('Per Line'!$J$2:$J$6001,$V1101))</f>
        <v/>
      </c>
      <c r="I1101" s="7">
        <f>IF($V1101="","",H1101*S1101/100)</f>
        <v/>
      </c>
      <c r="J1101">
        <f>IF($V1101="","",INDEX('Per Line'!$S$2:$S$6001,$V1101)&amp;"")</f>
        <v/>
      </c>
      <c r="K1101" s="7">
        <f>IF($V1101="","",SUMIFS('Per Line'!$R$2:$R$6001,'Per Line'!$C$2:$C$6001,$B1101,'Per Line'!$AJ$2:$AJ$6001,1))</f>
        <v/>
      </c>
      <c r="L1101">
        <f>IF($V1101="","",Settings!$C$7)</f>
        <v/>
      </c>
      <c r="M1101" s="7">
        <f>IF($V1101="","",SUMIFS('Per Line'!$R$2:$R$6001,'Per Line'!$C$2:$C$6001,$B1101,'Per Line'!$AI$2:$AI$6001,0,'Per Line'!$AJ$2:$AJ$6001,0))</f>
        <v/>
      </c>
      <c r="N1101" s="7">
        <f>IF($V1101="","",M1101*L1101)</f>
        <v/>
      </c>
      <c r="O1101">
        <f>IF($V1101="","",Settings!$C$6)</f>
        <v/>
      </c>
      <c r="P1101" s="7">
        <f>IF($V1101="","",SUMIFS('Per Line'!$R$2:$R$6001,'Per Line'!$C$2:$C$6001,$B1101,'Per Line'!$AI$2:$AI$6001,1,'Per Line'!$AJ$2:$AJ$6001,0))</f>
        <v/>
      </c>
      <c r="Q1101" s="7">
        <f>IF($V1101="","",P1101*O1101)</f>
        <v/>
      </c>
      <c r="R1101" s="7">
        <f>IF($V1101="","",Q1101+N1101)</f>
        <v/>
      </c>
      <c r="S1101" s="7">
        <f>IF($V1101="","",T1101-R1101)</f>
        <v/>
      </c>
      <c r="T1101" s="7">
        <f>IF($V1101="","",M1101+P1101+K1101)</f>
        <v/>
      </c>
      <c r="U1101" s="7">
        <f>IF($V1101="","",T1101-R1101-I1101)</f>
        <v/>
      </c>
      <c r="V1101" s="13">
        <f>IF(ROWS($V$2:$V1101)&lt;=MAX('Per Line'!$AH$2:$AH$6001),MATCH(ROWS($V$2:$V1101),'Per Line'!$AH$2:$AH$6001,0),"")</f>
        <v/>
      </c>
    </row>
    <row r="1102">
      <c r="A1102" s="12" t="n"/>
      <c r="B1102">
        <f>IF($V1102="","",INDEX('Per Line'!$C$2:$C$6001,$V1102)&amp;"")</f>
        <v/>
      </c>
      <c r="C1102" s="11">
        <f>IF($V1102="","",INDEX('Per Line'!$D$2:$D$6001,$V1102))</f>
        <v/>
      </c>
      <c r="D1102">
        <f>IF($V1102="","",INDEX('Per Line'!$E$2:$E$6001,$V1102)&amp;"")</f>
        <v/>
      </c>
      <c r="E1102">
        <f>IF($V1102="","",INDEX('Per Line'!$G$2:$G$6001,$V1102)&amp;"")</f>
        <v/>
      </c>
      <c r="F1102">
        <f>IF($V1102="","",INDEX('Per Line'!$H$2:$H$6001,$V1102)&amp;"")</f>
        <v/>
      </c>
      <c r="G1102">
        <f>IF($V1102="","",INDEX('Per Line'!$I$2:$I$6001,$V1102)&amp;"")</f>
        <v/>
      </c>
      <c r="H1102">
        <f>IF($V1102="","",INDEX('Per Line'!$J$2:$J$6001,$V1102))</f>
        <v/>
      </c>
      <c r="I1102" s="7">
        <f>IF($V1102="","",H1102*S1102/100)</f>
        <v/>
      </c>
      <c r="J1102">
        <f>IF($V1102="","",INDEX('Per Line'!$S$2:$S$6001,$V1102)&amp;"")</f>
        <v/>
      </c>
      <c r="K1102" s="7">
        <f>IF($V1102="","",SUMIFS('Per Line'!$R$2:$R$6001,'Per Line'!$C$2:$C$6001,$B1102,'Per Line'!$AJ$2:$AJ$6001,1))</f>
        <v/>
      </c>
      <c r="L1102">
        <f>IF($V1102="","",Settings!$C$7)</f>
        <v/>
      </c>
      <c r="M1102" s="7">
        <f>IF($V1102="","",SUMIFS('Per Line'!$R$2:$R$6001,'Per Line'!$C$2:$C$6001,$B1102,'Per Line'!$AI$2:$AI$6001,0,'Per Line'!$AJ$2:$AJ$6001,0))</f>
        <v/>
      </c>
      <c r="N1102" s="7">
        <f>IF($V1102="","",M1102*L1102)</f>
        <v/>
      </c>
      <c r="O1102">
        <f>IF($V1102="","",Settings!$C$6)</f>
        <v/>
      </c>
      <c r="P1102" s="7">
        <f>IF($V1102="","",SUMIFS('Per Line'!$R$2:$R$6001,'Per Line'!$C$2:$C$6001,$B1102,'Per Line'!$AI$2:$AI$6001,1,'Per Line'!$AJ$2:$AJ$6001,0))</f>
        <v/>
      </c>
      <c r="Q1102" s="7">
        <f>IF($V1102="","",P1102*O1102)</f>
        <v/>
      </c>
      <c r="R1102" s="7">
        <f>IF($V1102="","",Q1102+N1102)</f>
        <v/>
      </c>
      <c r="S1102" s="7">
        <f>IF($V1102="","",T1102-R1102)</f>
        <v/>
      </c>
      <c r="T1102" s="7">
        <f>IF($V1102="","",M1102+P1102+K1102)</f>
        <v/>
      </c>
      <c r="U1102" s="7">
        <f>IF($V1102="","",T1102-R1102-I1102)</f>
        <v/>
      </c>
      <c r="V1102" s="13">
        <f>IF(ROWS($V$2:$V1102)&lt;=MAX('Per Line'!$AH$2:$AH$6001),MATCH(ROWS($V$2:$V1102),'Per Line'!$AH$2:$AH$6001,0),"")</f>
        <v/>
      </c>
    </row>
    <row r="1103">
      <c r="A1103" s="12" t="n"/>
      <c r="B1103">
        <f>IF($V1103="","",INDEX('Per Line'!$C$2:$C$6001,$V1103)&amp;"")</f>
        <v/>
      </c>
      <c r="C1103" s="11">
        <f>IF($V1103="","",INDEX('Per Line'!$D$2:$D$6001,$V1103))</f>
        <v/>
      </c>
      <c r="D1103">
        <f>IF($V1103="","",INDEX('Per Line'!$E$2:$E$6001,$V1103)&amp;"")</f>
        <v/>
      </c>
      <c r="E1103">
        <f>IF($V1103="","",INDEX('Per Line'!$G$2:$G$6001,$V1103)&amp;"")</f>
        <v/>
      </c>
      <c r="F1103">
        <f>IF($V1103="","",INDEX('Per Line'!$H$2:$H$6001,$V1103)&amp;"")</f>
        <v/>
      </c>
      <c r="G1103">
        <f>IF($V1103="","",INDEX('Per Line'!$I$2:$I$6001,$V1103)&amp;"")</f>
        <v/>
      </c>
      <c r="H1103">
        <f>IF($V1103="","",INDEX('Per Line'!$J$2:$J$6001,$V1103))</f>
        <v/>
      </c>
      <c r="I1103" s="7">
        <f>IF($V1103="","",H1103*S1103/100)</f>
        <v/>
      </c>
      <c r="J1103">
        <f>IF($V1103="","",INDEX('Per Line'!$S$2:$S$6001,$V1103)&amp;"")</f>
        <v/>
      </c>
      <c r="K1103" s="7">
        <f>IF($V1103="","",SUMIFS('Per Line'!$R$2:$R$6001,'Per Line'!$C$2:$C$6001,$B1103,'Per Line'!$AJ$2:$AJ$6001,1))</f>
        <v/>
      </c>
      <c r="L1103">
        <f>IF($V1103="","",Settings!$C$7)</f>
        <v/>
      </c>
      <c r="M1103" s="7">
        <f>IF($V1103="","",SUMIFS('Per Line'!$R$2:$R$6001,'Per Line'!$C$2:$C$6001,$B1103,'Per Line'!$AI$2:$AI$6001,0,'Per Line'!$AJ$2:$AJ$6001,0))</f>
        <v/>
      </c>
      <c r="N1103" s="7">
        <f>IF($V1103="","",M1103*L1103)</f>
        <v/>
      </c>
      <c r="O1103">
        <f>IF($V1103="","",Settings!$C$6)</f>
        <v/>
      </c>
      <c r="P1103" s="7">
        <f>IF($V1103="","",SUMIFS('Per Line'!$R$2:$R$6001,'Per Line'!$C$2:$C$6001,$B1103,'Per Line'!$AI$2:$AI$6001,1,'Per Line'!$AJ$2:$AJ$6001,0))</f>
        <v/>
      </c>
      <c r="Q1103" s="7">
        <f>IF($V1103="","",P1103*O1103)</f>
        <v/>
      </c>
      <c r="R1103" s="7">
        <f>IF($V1103="","",Q1103+N1103)</f>
        <v/>
      </c>
      <c r="S1103" s="7">
        <f>IF($V1103="","",T1103-R1103)</f>
        <v/>
      </c>
      <c r="T1103" s="7">
        <f>IF($V1103="","",M1103+P1103+K1103)</f>
        <v/>
      </c>
      <c r="U1103" s="7">
        <f>IF($V1103="","",T1103-R1103-I1103)</f>
        <v/>
      </c>
      <c r="V1103" s="13">
        <f>IF(ROWS($V$2:$V1103)&lt;=MAX('Per Line'!$AH$2:$AH$6001),MATCH(ROWS($V$2:$V1103),'Per Line'!$AH$2:$AH$6001,0),"")</f>
        <v/>
      </c>
    </row>
    <row r="1104">
      <c r="A1104" s="12" t="n"/>
      <c r="B1104">
        <f>IF($V1104="","",INDEX('Per Line'!$C$2:$C$6001,$V1104)&amp;"")</f>
        <v/>
      </c>
      <c r="C1104" s="11">
        <f>IF($V1104="","",INDEX('Per Line'!$D$2:$D$6001,$V1104))</f>
        <v/>
      </c>
      <c r="D1104">
        <f>IF($V1104="","",INDEX('Per Line'!$E$2:$E$6001,$V1104)&amp;"")</f>
        <v/>
      </c>
      <c r="E1104">
        <f>IF($V1104="","",INDEX('Per Line'!$G$2:$G$6001,$V1104)&amp;"")</f>
        <v/>
      </c>
      <c r="F1104">
        <f>IF($V1104="","",INDEX('Per Line'!$H$2:$H$6001,$V1104)&amp;"")</f>
        <v/>
      </c>
      <c r="G1104">
        <f>IF($V1104="","",INDEX('Per Line'!$I$2:$I$6001,$V1104)&amp;"")</f>
        <v/>
      </c>
      <c r="H1104">
        <f>IF($V1104="","",INDEX('Per Line'!$J$2:$J$6001,$V1104))</f>
        <v/>
      </c>
      <c r="I1104" s="7">
        <f>IF($V1104="","",H1104*S1104/100)</f>
        <v/>
      </c>
      <c r="J1104">
        <f>IF($V1104="","",INDEX('Per Line'!$S$2:$S$6001,$V1104)&amp;"")</f>
        <v/>
      </c>
      <c r="K1104" s="7">
        <f>IF($V1104="","",SUMIFS('Per Line'!$R$2:$R$6001,'Per Line'!$C$2:$C$6001,$B1104,'Per Line'!$AJ$2:$AJ$6001,1))</f>
        <v/>
      </c>
      <c r="L1104">
        <f>IF($V1104="","",Settings!$C$7)</f>
        <v/>
      </c>
      <c r="M1104" s="7">
        <f>IF($V1104="","",SUMIFS('Per Line'!$R$2:$R$6001,'Per Line'!$C$2:$C$6001,$B1104,'Per Line'!$AI$2:$AI$6001,0,'Per Line'!$AJ$2:$AJ$6001,0))</f>
        <v/>
      </c>
      <c r="N1104" s="7">
        <f>IF($V1104="","",M1104*L1104)</f>
        <v/>
      </c>
      <c r="O1104">
        <f>IF($V1104="","",Settings!$C$6)</f>
        <v/>
      </c>
      <c r="P1104" s="7">
        <f>IF($V1104="","",SUMIFS('Per Line'!$R$2:$R$6001,'Per Line'!$C$2:$C$6001,$B1104,'Per Line'!$AI$2:$AI$6001,1,'Per Line'!$AJ$2:$AJ$6001,0))</f>
        <v/>
      </c>
      <c r="Q1104" s="7">
        <f>IF($V1104="","",P1104*O1104)</f>
        <v/>
      </c>
      <c r="R1104" s="7">
        <f>IF($V1104="","",Q1104+N1104)</f>
        <v/>
      </c>
      <c r="S1104" s="7">
        <f>IF($V1104="","",T1104-R1104)</f>
        <v/>
      </c>
      <c r="T1104" s="7">
        <f>IF($V1104="","",M1104+P1104+K1104)</f>
        <v/>
      </c>
      <c r="U1104" s="7">
        <f>IF($V1104="","",T1104-R1104-I1104)</f>
        <v/>
      </c>
      <c r="V1104" s="13">
        <f>IF(ROWS($V$2:$V1104)&lt;=MAX('Per Line'!$AH$2:$AH$6001),MATCH(ROWS($V$2:$V1104),'Per Line'!$AH$2:$AH$6001,0),"")</f>
        <v/>
      </c>
    </row>
    <row r="1105">
      <c r="A1105" s="12" t="n"/>
      <c r="B1105">
        <f>IF($V1105="","",INDEX('Per Line'!$C$2:$C$6001,$V1105)&amp;"")</f>
        <v/>
      </c>
      <c r="C1105" s="11">
        <f>IF($V1105="","",INDEX('Per Line'!$D$2:$D$6001,$V1105))</f>
        <v/>
      </c>
      <c r="D1105">
        <f>IF($V1105="","",INDEX('Per Line'!$E$2:$E$6001,$V1105)&amp;"")</f>
        <v/>
      </c>
      <c r="E1105">
        <f>IF($V1105="","",INDEX('Per Line'!$G$2:$G$6001,$V1105)&amp;"")</f>
        <v/>
      </c>
      <c r="F1105">
        <f>IF($V1105="","",INDEX('Per Line'!$H$2:$H$6001,$V1105)&amp;"")</f>
        <v/>
      </c>
      <c r="G1105">
        <f>IF($V1105="","",INDEX('Per Line'!$I$2:$I$6001,$V1105)&amp;"")</f>
        <v/>
      </c>
      <c r="H1105">
        <f>IF($V1105="","",INDEX('Per Line'!$J$2:$J$6001,$V1105))</f>
        <v/>
      </c>
      <c r="I1105" s="7">
        <f>IF($V1105="","",H1105*S1105/100)</f>
        <v/>
      </c>
      <c r="J1105">
        <f>IF($V1105="","",INDEX('Per Line'!$S$2:$S$6001,$V1105)&amp;"")</f>
        <v/>
      </c>
      <c r="K1105" s="7">
        <f>IF($V1105="","",SUMIFS('Per Line'!$R$2:$R$6001,'Per Line'!$C$2:$C$6001,$B1105,'Per Line'!$AJ$2:$AJ$6001,1))</f>
        <v/>
      </c>
      <c r="L1105">
        <f>IF($V1105="","",Settings!$C$7)</f>
        <v/>
      </c>
      <c r="M1105" s="7">
        <f>IF($V1105="","",SUMIFS('Per Line'!$R$2:$R$6001,'Per Line'!$C$2:$C$6001,$B1105,'Per Line'!$AI$2:$AI$6001,0,'Per Line'!$AJ$2:$AJ$6001,0))</f>
        <v/>
      </c>
      <c r="N1105" s="7">
        <f>IF($V1105="","",M1105*L1105)</f>
        <v/>
      </c>
      <c r="O1105">
        <f>IF($V1105="","",Settings!$C$6)</f>
        <v/>
      </c>
      <c r="P1105" s="7">
        <f>IF($V1105="","",SUMIFS('Per Line'!$R$2:$R$6001,'Per Line'!$C$2:$C$6001,$B1105,'Per Line'!$AI$2:$AI$6001,1,'Per Line'!$AJ$2:$AJ$6001,0))</f>
        <v/>
      </c>
      <c r="Q1105" s="7">
        <f>IF($V1105="","",P1105*O1105)</f>
        <v/>
      </c>
      <c r="R1105" s="7">
        <f>IF($V1105="","",Q1105+N1105)</f>
        <v/>
      </c>
      <c r="S1105" s="7">
        <f>IF($V1105="","",T1105-R1105)</f>
        <v/>
      </c>
      <c r="T1105" s="7">
        <f>IF($V1105="","",M1105+P1105+K1105)</f>
        <v/>
      </c>
      <c r="U1105" s="7">
        <f>IF($V1105="","",T1105-R1105-I1105)</f>
        <v/>
      </c>
      <c r="V1105" s="13">
        <f>IF(ROWS($V$2:$V1105)&lt;=MAX('Per Line'!$AH$2:$AH$6001),MATCH(ROWS($V$2:$V1105),'Per Line'!$AH$2:$AH$6001,0),"")</f>
        <v/>
      </c>
    </row>
    <row r="1106">
      <c r="A1106" s="12" t="n"/>
      <c r="B1106">
        <f>IF($V1106="","",INDEX('Per Line'!$C$2:$C$6001,$V1106)&amp;"")</f>
        <v/>
      </c>
      <c r="C1106" s="11">
        <f>IF($V1106="","",INDEX('Per Line'!$D$2:$D$6001,$V1106))</f>
        <v/>
      </c>
      <c r="D1106">
        <f>IF($V1106="","",INDEX('Per Line'!$E$2:$E$6001,$V1106)&amp;"")</f>
        <v/>
      </c>
      <c r="E1106">
        <f>IF($V1106="","",INDEX('Per Line'!$G$2:$G$6001,$V1106)&amp;"")</f>
        <v/>
      </c>
      <c r="F1106">
        <f>IF($V1106="","",INDEX('Per Line'!$H$2:$H$6001,$V1106)&amp;"")</f>
        <v/>
      </c>
      <c r="G1106">
        <f>IF($V1106="","",INDEX('Per Line'!$I$2:$I$6001,$V1106)&amp;"")</f>
        <v/>
      </c>
      <c r="H1106">
        <f>IF($V1106="","",INDEX('Per Line'!$J$2:$J$6001,$V1106))</f>
        <v/>
      </c>
      <c r="I1106" s="7">
        <f>IF($V1106="","",H1106*S1106/100)</f>
        <v/>
      </c>
      <c r="J1106">
        <f>IF($V1106="","",INDEX('Per Line'!$S$2:$S$6001,$V1106)&amp;"")</f>
        <v/>
      </c>
      <c r="K1106" s="7">
        <f>IF($V1106="","",SUMIFS('Per Line'!$R$2:$R$6001,'Per Line'!$C$2:$C$6001,$B1106,'Per Line'!$AJ$2:$AJ$6001,1))</f>
        <v/>
      </c>
      <c r="L1106">
        <f>IF($V1106="","",Settings!$C$7)</f>
        <v/>
      </c>
      <c r="M1106" s="7">
        <f>IF($V1106="","",SUMIFS('Per Line'!$R$2:$R$6001,'Per Line'!$C$2:$C$6001,$B1106,'Per Line'!$AI$2:$AI$6001,0,'Per Line'!$AJ$2:$AJ$6001,0))</f>
        <v/>
      </c>
      <c r="N1106" s="7">
        <f>IF($V1106="","",M1106*L1106)</f>
        <v/>
      </c>
      <c r="O1106">
        <f>IF($V1106="","",Settings!$C$6)</f>
        <v/>
      </c>
      <c r="P1106" s="7">
        <f>IF($V1106="","",SUMIFS('Per Line'!$R$2:$R$6001,'Per Line'!$C$2:$C$6001,$B1106,'Per Line'!$AI$2:$AI$6001,1,'Per Line'!$AJ$2:$AJ$6001,0))</f>
        <v/>
      </c>
      <c r="Q1106" s="7">
        <f>IF($V1106="","",P1106*O1106)</f>
        <v/>
      </c>
      <c r="R1106" s="7">
        <f>IF($V1106="","",Q1106+N1106)</f>
        <v/>
      </c>
      <c r="S1106" s="7">
        <f>IF($V1106="","",T1106-R1106)</f>
        <v/>
      </c>
      <c r="T1106" s="7">
        <f>IF($V1106="","",M1106+P1106+K1106)</f>
        <v/>
      </c>
      <c r="U1106" s="7">
        <f>IF($V1106="","",T1106-R1106-I1106)</f>
        <v/>
      </c>
      <c r="V1106" s="13">
        <f>IF(ROWS($V$2:$V1106)&lt;=MAX('Per Line'!$AH$2:$AH$6001),MATCH(ROWS($V$2:$V1106),'Per Line'!$AH$2:$AH$6001,0),"")</f>
        <v/>
      </c>
    </row>
    <row r="1107">
      <c r="A1107" s="12" t="n"/>
      <c r="B1107">
        <f>IF($V1107="","",INDEX('Per Line'!$C$2:$C$6001,$V1107)&amp;"")</f>
        <v/>
      </c>
      <c r="C1107" s="11">
        <f>IF($V1107="","",INDEX('Per Line'!$D$2:$D$6001,$V1107))</f>
        <v/>
      </c>
      <c r="D1107">
        <f>IF($V1107="","",INDEX('Per Line'!$E$2:$E$6001,$V1107)&amp;"")</f>
        <v/>
      </c>
      <c r="E1107">
        <f>IF($V1107="","",INDEX('Per Line'!$G$2:$G$6001,$V1107)&amp;"")</f>
        <v/>
      </c>
      <c r="F1107">
        <f>IF($V1107="","",INDEX('Per Line'!$H$2:$H$6001,$V1107)&amp;"")</f>
        <v/>
      </c>
      <c r="G1107">
        <f>IF($V1107="","",INDEX('Per Line'!$I$2:$I$6001,$V1107)&amp;"")</f>
        <v/>
      </c>
      <c r="H1107">
        <f>IF($V1107="","",INDEX('Per Line'!$J$2:$J$6001,$V1107))</f>
        <v/>
      </c>
      <c r="I1107" s="7">
        <f>IF($V1107="","",H1107*S1107/100)</f>
        <v/>
      </c>
      <c r="J1107">
        <f>IF($V1107="","",INDEX('Per Line'!$S$2:$S$6001,$V1107)&amp;"")</f>
        <v/>
      </c>
      <c r="K1107" s="7">
        <f>IF($V1107="","",SUMIFS('Per Line'!$R$2:$R$6001,'Per Line'!$C$2:$C$6001,$B1107,'Per Line'!$AJ$2:$AJ$6001,1))</f>
        <v/>
      </c>
      <c r="L1107">
        <f>IF($V1107="","",Settings!$C$7)</f>
        <v/>
      </c>
      <c r="M1107" s="7">
        <f>IF($V1107="","",SUMIFS('Per Line'!$R$2:$R$6001,'Per Line'!$C$2:$C$6001,$B1107,'Per Line'!$AI$2:$AI$6001,0,'Per Line'!$AJ$2:$AJ$6001,0))</f>
        <v/>
      </c>
      <c r="N1107" s="7">
        <f>IF($V1107="","",M1107*L1107)</f>
        <v/>
      </c>
      <c r="O1107">
        <f>IF($V1107="","",Settings!$C$6)</f>
        <v/>
      </c>
      <c r="P1107" s="7">
        <f>IF($V1107="","",SUMIFS('Per Line'!$R$2:$R$6001,'Per Line'!$C$2:$C$6001,$B1107,'Per Line'!$AI$2:$AI$6001,1,'Per Line'!$AJ$2:$AJ$6001,0))</f>
        <v/>
      </c>
      <c r="Q1107" s="7">
        <f>IF($V1107="","",P1107*O1107)</f>
        <v/>
      </c>
      <c r="R1107" s="7">
        <f>IF($V1107="","",Q1107+N1107)</f>
        <v/>
      </c>
      <c r="S1107" s="7">
        <f>IF($V1107="","",T1107-R1107)</f>
        <v/>
      </c>
      <c r="T1107" s="7">
        <f>IF($V1107="","",M1107+P1107+K1107)</f>
        <v/>
      </c>
      <c r="U1107" s="7">
        <f>IF($V1107="","",T1107-R1107-I1107)</f>
        <v/>
      </c>
      <c r="V1107" s="13">
        <f>IF(ROWS($V$2:$V1107)&lt;=MAX('Per Line'!$AH$2:$AH$6001),MATCH(ROWS($V$2:$V1107),'Per Line'!$AH$2:$AH$6001,0),"")</f>
        <v/>
      </c>
    </row>
    <row r="1108">
      <c r="A1108" s="12" t="n"/>
      <c r="B1108">
        <f>IF($V1108="","",INDEX('Per Line'!$C$2:$C$6001,$V1108)&amp;"")</f>
        <v/>
      </c>
      <c r="C1108" s="11">
        <f>IF($V1108="","",INDEX('Per Line'!$D$2:$D$6001,$V1108))</f>
        <v/>
      </c>
      <c r="D1108">
        <f>IF($V1108="","",INDEX('Per Line'!$E$2:$E$6001,$V1108)&amp;"")</f>
        <v/>
      </c>
      <c r="E1108">
        <f>IF($V1108="","",INDEX('Per Line'!$G$2:$G$6001,$V1108)&amp;"")</f>
        <v/>
      </c>
      <c r="F1108">
        <f>IF($V1108="","",INDEX('Per Line'!$H$2:$H$6001,$V1108)&amp;"")</f>
        <v/>
      </c>
      <c r="G1108">
        <f>IF($V1108="","",INDEX('Per Line'!$I$2:$I$6001,$V1108)&amp;"")</f>
        <v/>
      </c>
      <c r="H1108">
        <f>IF($V1108="","",INDEX('Per Line'!$J$2:$J$6001,$V1108))</f>
        <v/>
      </c>
      <c r="I1108" s="7">
        <f>IF($V1108="","",H1108*S1108/100)</f>
        <v/>
      </c>
      <c r="J1108">
        <f>IF($V1108="","",INDEX('Per Line'!$S$2:$S$6001,$V1108)&amp;"")</f>
        <v/>
      </c>
      <c r="K1108" s="7">
        <f>IF($V1108="","",SUMIFS('Per Line'!$R$2:$R$6001,'Per Line'!$C$2:$C$6001,$B1108,'Per Line'!$AJ$2:$AJ$6001,1))</f>
        <v/>
      </c>
      <c r="L1108">
        <f>IF($V1108="","",Settings!$C$7)</f>
        <v/>
      </c>
      <c r="M1108" s="7">
        <f>IF($V1108="","",SUMIFS('Per Line'!$R$2:$R$6001,'Per Line'!$C$2:$C$6001,$B1108,'Per Line'!$AI$2:$AI$6001,0,'Per Line'!$AJ$2:$AJ$6001,0))</f>
        <v/>
      </c>
      <c r="N1108" s="7">
        <f>IF($V1108="","",M1108*L1108)</f>
        <v/>
      </c>
      <c r="O1108">
        <f>IF($V1108="","",Settings!$C$6)</f>
        <v/>
      </c>
      <c r="P1108" s="7">
        <f>IF($V1108="","",SUMIFS('Per Line'!$R$2:$R$6001,'Per Line'!$C$2:$C$6001,$B1108,'Per Line'!$AI$2:$AI$6001,1,'Per Line'!$AJ$2:$AJ$6001,0))</f>
        <v/>
      </c>
      <c r="Q1108" s="7">
        <f>IF($V1108="","",P1108*O1108)</f>
        <v/>
      </c>
      <c r="R1108" s="7">
        <f>IF($V1108="","",Q1108+N1108)</f>
        <v/>
      </c>
      <c r="S1108" s="7">
        <f>IF($V1108="","",T1108-R1108)</f>
        <v/>
      </c>
      <c r="T1108" s="7">
        <f>IF($V1108="","",M1108+P1108+K1108)</f>
        <v/>
      </c>
      <c r="U1108" s="7">
        <f>IF($V1108="","",T1108-R1108-I1108)</f>
        <v/>
      </c>
      <c r="V1108" s="13">
        <f>IF(ROWS($V$2:$V1108)&lt;=MAX('Per Line'!$AH$2:$AH$6001),MATCH(ROWS($V$2:$V1108),'Per Line'!$AH$2:$AH$6001,0),"")</f>
        <v/>
      </c>
    </row>
    <row r="1109">
      <c r="A1109" s="12" t="n"/>
      <c r="B1109">
        <f>IF($V1109="","",INDEX('Per Line'!$C$2:$C$6001,$V1109)&amp;"")</f>
        <v/>
      </c>
      <c r="C1109" s="11">
        <f>IF($V1109="","",INDEX('Per Line'!$D$2:$D$6001,$V1109))</f>
        <v/>
      </c>
      <c r="D1109">
        <f>IF($V1109="","",INDEX('Per Line'!$E$2:$E$6001,$V1109)&amp;"")</f>
        <v/>
      </c>
      <c r="E1109">
        <f>IF($V1109="","",INDEX('Per Line'!$G$2:$G$6001,$V1109)&amp;"")</f>
        <v/>
      </c>
      <c r="F1109">
        <f>IF($V1109="","",INDEX('Per Line'!$H$2:$H$6001,$V1109)&amp;"")</f>
        <v/>
      </c>
      <c r="G1109">
        <f>IF($V1109="","",INDEX('Per Line'!$I$2:$I$6001,$V1109)&amp;"")</f>
        <v/>
      </c>
      <c r="H1109">
        <f>IF($V1109="","",INDEX('Per Line'!$J$2:$J$6001,$V1109))</f>
        <v/>
      </c>
      <c r="I1109" s="7">
        <f>IF($V1109="","",H1109*S1109/100)</f>
        <v/>
      </c>
      <c r="J1109">
        <f>IF($V1109="","",INDEX('Per Line'!$S$2:$S$6001,$V1109)&amp;"")</f>
        <v/>
      </c>
      <c r="K1109" s="7">
        <f>IF($V1109="","",SUMIFS('Per Line'!$R$2:$R$6001,'Per Line'!$C$2:$C$6001,$B1109,'Per Line'!$AJ$2:$AJ$6001,1))</f>
        <v/>
      </c>
      <c r="L1109">
        <f>IF($V1109="","",Settings!$C$7)</f>
        <v/>
      </c>
      <c r="M1109" s="7">
        <f>IF($V1109="","",SUMIFS('Per Line'!$R$2:$R$6001,'Per Line'!$C$2:$C$6001,$B1109,'Per Line'!$AI$2:$AI$6001,0,'Per Line'!$AJ$2:$AJ$6001,0))</f>
        <v/>
      </c>
      <c r="N1109" s="7">
        <f>IF($V1109="","",M1109*L1109)</f>
        <v/>
      </c>
      <c r="O1109">
        <f>IF($V1109="","",Settings!$C$6)</f>
        <v/>
      </c>
      <c r="P1109" s="7">
        <f>IF($V1109="","",SUMIFS('Per Line'!$R$2:$R$6001,'Per Line'!$C$2:$C$6001,$B1109,'Per Line'!$AI$2:$AI$6001,1,'Per Line'!$AJ$2:$AJ$6001,0))</f>
        <v/>
      </c>
      <c r="Q1109" s="7">
        <f>IF($V1109="","",P1109*O1109)</f>
        <v/>
      </c>
      <c r="R1109" s="7">
        <f>IF($V1109="","",Q1109+N1109)</f>
        <v/>
      </c>
      <c r="S1109" s="7">
        <f>IF($V1109="","",T1109-R1109)</f>
        <v/>
      </c>
      <c r="T1109" s="7">
        <f>IF($V1109="","",M1109+P1109+K1109)</f>
        <v/>
      </c>
      <c r="U1109" s="7">
        <f>IF($V1109="","",T1109-R1109-I1109)</f>
        <v/>
      </c>
      <c r="V1109" s="13">
        <f>IF(ROWS($V$2:$V1109)&lt;=MAX('Per Line'!$AH$2:$AH$6001),MATCH(ROWS($V$2:$V1109),'Per Line'!$AH$2:$AH$6001,0),"")</f>
        <v/>
      </c>
    </row>
    <row r="1110">
      <c r="A1110" s="12" t="n"/>
      <c r="B1110">
        <f>IF($V1110="","",INDEX('Per Line'!$C$2:$C$6001,$V1110)&amp;"")</f>
        <v/>
      </c>
      <c r="C1110" s="11">
        <f>IF($V1110="","",INDEX('Per Line'!$D$2:$D$6001,$V1110))</f>
        <v/>
      </c>
      <c r="D1110">
        <f>IF($V1110="","",INDEX('Per Line'!$E$2:$E$6001,$V1110)&amp;"")</f>
        <v/>
      </c>
      <c r="E1110">
        <f>IF($V1110="","",INDEX('Per Line'!$G$2:$G$6001,$V1110)&amp;"")</f>
        <v/>
      </c>
      <c r="F1110">
        <f>IF($V1110="","",INDEX('Per Line'!$H$2:$H$6001,$V1110)&amp;"")</f>
        <v/>
      </c>
      <c r="G1110">
        <f>IF($V1110="","",INDEX('Per Line'!$I$2:$I$6001,$V1110)&amp;"")</f>
        <v/>
      </c>
      <c r="H1110">
        <f>IF($V1110="","",INDEX('Per Line'!$J$2:$J$6001,$V1110))</f>
        <v/>
      </c>
      <c r="I1110" s="7">
        <f>IF($V1110="","",H1110*S1110/100)</f>
        <v/>
      </c>
      <c r="J1110">
        <f>IF($V1110="","",INDEX('Per Line'!$S$2:$S$6001,$V1110)&amp;"")</f>
        <v/>
      </c>
      <c r="K1110" s="7">
        <f>IF($V1110="","",SUMIFS('Per Line'!$R$2:$R$6001,'Per Line'!$C$2:$C$6001,$B1110,'Per Line'!$AJ$2:$AJ$6001,1))</f>
        <v/>
      </c>
      <c r="L1110">
        <f>IF($V1110="","",Settings!$C$7)</f>
        <v/>
      </c>
      <c r="M1110" s="7">
        <f>IF($V1110="","",SUMIFS('Per Line'!$R$2:$R$6001,'Per Line'!$C$2:$C$6001,$B1110,'Per Line'!$AI$2:$AI$6001,0,'Per Line'!$AJ$2:$AJ$6001,0))</f>
        <v/>
      </c>
      <c r="N1110" s="7">
        <f>IF($V1110="","",M1110*L1110)</f>
        <v/>
      </c>
      <c r="O1110">
        <f>IF($V1110="","",Settings!$C$6)</f>
        <v/>
      </c>
      <c r="P1110" s="7">
        <f>IF($V1110="","",SUMIFS('Per Line'!$R$2:$R$6001,'Per Line'!$C$2:$C$6001,$B1110,'Per Line'!$AI$2:$AI$6001,1,'Per Line'!$AJ$2:$AJ$6001,0))</f>
        <v/>
      </c>
      <c r="Q1110" s="7">
        <f>IF($V1110="","",P1110*O1110)</f>
        <v/>
      </c>
      <c r="R1110" s="7">
        <f>IF($V1110="","",Q1110+N1110)</f>
        <v/>
      </c>
      <c r="S1110" s="7">
        <f>IF($V1110="","",T1110-R1110)</f>
        <v/>
      </c>
      <c r="T1110" s="7">
        <f>IF($V1110="","",M1110+P1110+K1110)</f>
        <v/>
      </c>
      <c r="U1110" s="7">
        <f>IF($V1110="","",T1110-R1110-I1110)</f>
        <v/>
      </c>
      <c r="V1110" s="13">
        <f>IF(ROWS($V$2:$V1110)&lt;=MAX('Per Line'!$AH$2:$AH$6001),MATCH(ROWS($V$2:$V1110),'Per Line'!$AH$2:$AH$6001,0),"")</f>
        <v/>
      </c>
    </row>
    <row r="1111">
      <c r="A1111" s="12" t="n"/>
      <c r="B1111">
        <f>IF($V1111="","",INDEX('Per Line'!$C$2:$C$6001,$V1111)&amp;"")</f>
        <v/>
      </c>
      <c r="C1111" s="11">
        <f>IF($V1111="","",INDEX('Per Line'!$D$2:$D$6001,$V1111))</f>
        <v/>
      </c>
      <c r="D1111">
        <f>IF($V1111="","",INDEX('Per Line'!$E$2:$E$6001,$V1111)&amp;"")</f>
        <v/>
      </c>
      <c r="E1111">
        <f>IF($V1111="","",INDEX('Per Line'!$G$2:$G$6001,$V1111)&amp;"")</f>
        <v/>
      </c>
      <c r="F1111">
        <f>IF($V1111="","",INDEX('Per Line'!$H$2:$H$6001,$V1111)&amp;"")</f>
        <v/>
      </c>
      <c r="G1111">
        <f>IF($V1111="","",INDEX('Per Line'!$I$2:$I$6001,$V1111)&amp;"")</f>
        <v/>
      </c>
      <c r="H1111">
        <f>IF($V1111="","",INDEX('Per Line'!$J$2:$J$6001,$V1111))</f>
        <v/>
      </c>
      <c r="I1111" s="7">
        <f>IF($V1111="","",H1111*S1111/100)</f>
        <v/>
      </c>
      <c r="J1111">
        <f>IF($V1111="","",INDEX('Per Line'!$S$2:$S$6001,$V1111)&amp;"")</f>
        <v/>
      </c>
      <c r="K1111" s="7">
        <f>IF($V1111="","",SUMIFS('Per Line'!$R$2:$R$6001,'Per Line'!$C$2:$C$6001,$B1111,'Per Line'!$AJ$2:$AJ$6001,1))</f>
        <v/>
      </c>
      <c r="L1111">
        <f>IF($V1111="","",Settings!$C$7)</f>
        <v/>
      </c>
      <c r="M1111" s="7">
        <f>IF($V1111="","",SUMIFS('Per Line'!$R$2:$R$6001,'Per Line'!$C$2:$C$6001,$B1111,'Per Line'!$AI$2:$AI$6001,0,'Per Line'!$AJ$2:$AJ$6001,0))</f>
        <v/>
      </c>
      <c r="N1111" s="7">
        <f>IF($V1111="","",M1111*L1111)</f>
        <v/>
      </c>
      <c r="O1111">
        <f>IF($V1111="","",Settings!$C$6)</f>
        <v/>
      </c>
      <c r="P1111" s="7">
        <f>IF($V1111="","",SUMIFS('Per Line'!$R$2:$R$6001,'Per Line'!$C$2:$C$6001,$B1111,'Per Line'!$AI$2:$AI$6001,1,'Per Line'!$AJ$2:$AJ$6001,0))</f>
        <v/>
      </c>
      <c r="Q1111" s="7">
        <f>IF($V1111="","",P1111*O1111)</f>
        <v/>
      </c>
      <c r="R1111" s="7">
        <f>IF($V1111="","",Q1111+N1111)</f>
        <v/>
      </c>
      <c r="S1111" s="7">
        <f>IF($V1111="","",T1111-R1111)</f>
        <v/>
      </c>
      <c r="T1111" s="7">
        <f>IF($V1111="","",M1111+P1111+K1111)</f>
        <v/>
      </c>
      <c r="U1111" s="7">
        <f>IF($V1111="","",T1111-R1111-I1111)</f>
        <v/>
      </c>
      <c r="V1111" s="13">
        <f>IF(ROWS($V$2:$V1111)&lt;=MAX('Per Line'!$AH$2:$AH$6001),MATCH(ROWS($V$2:$V1111),'Per Line'!$AH$2:$AH$6001,0),"")</f>
        <v/>
      </c>
    </row>
    <row r="1112">
      <c r="A1112" s="12" t="n"/>
      <c r="B1112">
        <f>IF($V1112="","",INDEX('Per Line'!$C$2:$C$6001,$V1112)&amp;"")</f>
        <v/>
      </c>
      <c r="C1112" s="11">
        <f>IF($V1112="","",INDEX('Per Line'!$D$2:$D$6001,$V1112))</f>
        <v/>
      </c>
      <c r="D1112">
        <f>IF($V1112="","",INDEX('Per Line'!$E$2:$E$6001,$V1112)&amp;"")</f>
        <v/>
      </c>
      <c r="E1112">
        <f>IF($V1112="","",INDEX('Per Line'!$G$2:$G$6001,$V1112)&amp;"")</f>
        <v/>
      </c>
      <c r="F1112">
        <f>IF($V1112="","",INDEX('Per Line'!$H$2:$H$6001,$V1112)&amp;"")</f>
        <v/>
      </c>
      <c r="G1112">
        <f>IF($V1112="","",INDEX('Per Line'!$I$2:$I$6001,$V1112)&amp;"")</f>
        <v/>
      </c>
      <c r="H1112">
        <f>IF($V1112="","",INDEX('Per Line'!$J$2:$J$6001,$V1112))</f>
        <v/>
      </c>
      <c r="I1112" s="7">
        <f>IF($V1112="","",H1112*S1112/100)</f>
        <v/>
      </c>
      <c r="J1112">
        <f>IF($V1112="","",INDEX('Per Line'!$S$2:$S$6001,$V1112)&amp;"")</f>
        <v/>
      </c>
      <c r="K1112" s="7">
        <f>IF($V1112="","",SUMIFS('Per Line'!$R$2:$R$6001,'Per Line'!$C$2:$C$6001,$B1112,'Per Line'!$AJ$2:$AJ$6001,1))</f>
        <v/>
      </c>
      <c r="L1112">
        <f>IF($V1112="","",Settings!$C$7)</f>
        <v/>
      </c>
      <c r="M1112" s="7">
        <f>IF($V1112="","",SUMIFS('Per Line'!$R$2:$R$6001,'Per Line'!$C$2:$C$6001,$B1112,'Per Line'!$AI$2:$AI$6001,0,'Per Line'!$AJ$2:$AJ$6001,0))</f>
        <v/>
      </c>
      <c r="N1112" s="7">
        <f>IF($V1112="","",M1112*L1112)</f>
        <v/>
      </c>
      <c r="O1112">
        <f>IF($V1112="","",Settings!$C$6)</f>
        <v/>
      </c>
      <c r="P1112" s="7">
        <f>IF($V1112="","",SUMIFS('Per Line'!$R$2:$R$6001,'Per Line'!$C$2:$C$6001,$B1112,'Per Line'!$AI$2:$AI$6001,1,'Per Line'!$AJ$2:$AJ$6001,0))</f>
        <v/>
      </c>
      <c r="Q1112" s="7">
        <f>IF($V1112="","",P1112*O1112)</f>
        <v/>
      </c>
      <c r="R1112" s="7">
        <f>IF($V1112="","",Q1112+N1112)</f>
        <v/>
      </c>
      <c r="S1112" s="7">
        <f>IF($V1112="","",T1112-R1112)</f>
        <v/>
      </c>
      <c r="T1112" s="7">
        <f>IF($V1112="","",M1112+P1112+K1112)</f>
        <v/>
      </c>
      <c r="U1112" s="7">
        <f>IF($V1112="","",T1112-R1112-I1112)</f>
        <v/>
      </c>
      <c r="V1112" s="13">
        <f>IF(ROWS($V$2:$V1112)&lt;=MAX('Per Line'!$AH$2:$AH$6001),MATCH(ROWS($V$2:$V1112),'Per Line'!$AH$2:$AH$6001,0),"")</f>
        <v/>
      </c>
    </row>
    <row r="1113">
      <c r="A1113" s="12" t="n"/>
      <c r="B1113">
        <f>IF($V1113="","",INDEX('Per Line'!$C$2:$C$6001,$V1113)&amp;"")</f>
        <v/>
      </c>
      <c r="C1113" s="11">
        <f>IF($V1113="","",INDEX('Per Line'!$D$2:$D$6001,$V1113))</f>
        <v/>
      </c>
      <c r="D1113">
        <f>IF($V1113="","",INDEX('Per Line'!$E$2:$E$6001,$V1113)&amp;"")</f>
        <v/>
      </c>
      <c r="E1113">
        <f>IF($V1113="","",INDEX('Per Line'!$G$2:$G$6001,$V1113)&amp;"")</f>
        <v/>
      </c>
      <c r="F1113">
        <f>IF($V1113="","",INDEX('Per Line'!$H$2:$H$6001,$V1113)&amp;"")</f>
        <v/>
      </c>
      <c r="G1113">
        <f>IF($V1113="","",INDEX('Per Line'!$I$2:$I$6001,$V1113)&amp;"")</f>
        <v/>
      </c>
      <c r="H1113">
        <f>IF($V1113="","",INDEX('Per Line'!$J$2:$J$6001,$V1113))</f>
        <v/>
      </c>
      <c r="I1113" s="7">
        <f>IF($V1113="","",H1113*S1113/100)</f>
        <v/>
      </c>
      <c r="J1113">
        <f>IF($V1113="","",INDEX('Per Line'!$S$2:$S$6001,$V1113)&amp;"")</f>
        <v/>
      </c>
      <c r="K1113" s="7">
        <f>IF($V1113="","",SUMIFS('Per Line'!$R$2:$R$6001,'Per Line'!$C$2:$C$6001,$B1113,'Per Line'!$AJ$2:$AJ$6001,1))</f>
        <v/>
      </c>
      <c r="L1113">
        <f>IF($V1113="","",Settings!$C$7)</f>
        <v/>
      </c>
      <c r="M1113" s="7">
        <f>IF($V1113="","",SUMIFS('Per Line'!$R$2:$R$6001,'Per Line'!$C$2:$C$6001,$B1113,'Per Line'!$AI$2:$AI$6001,0,'Per Line'!$AJ$2:$AJ$6001,0))</f>
        <v/>
      </c>
      <c r="N1113" s="7">
        <f>IF($V1113="","",M1113*L1113)</f>
        <v/>
      </c>
      <c r="O1113">
        <f>IF($V1113="","",Settings!$C$6)</f>
        <v/>
      </c>
      <c r="P1113" s="7">
        <f>IF($V1113="","",SUMIFS('Per Line'!$R$2:$R$6001,'Per Line'!$C$2:$C$6001,$B1113,'Per Line'!$AI$2:$AI$6001,1,'Per Line'!$AJ$2:$AJ$6001,0))</f>
        <v/>
      </c>
      <c r="Q1113" s="7">
        <f>IF($V1113="","",P1113*O1113)</f>
        <v/>
      </c>
      <c r="R1113" s="7">
        <f>IF($V1113="","",Q1113+N1113)</f>
        <v/>
      </c>
      <c r="S1113" s="7">
        <f>IF($V1113="","",T1113-R1113)</f>
        <v/>
      </c>
      <c r="T1113" s="7">
        <f>IF($V1113="","",M1113+P1113+K1113)</f>
        <v/>
      </c>
      <c r="U1113" s="7">
        <f>IF($V1113="","",T1113-R1113-I1113)</f>
        <v/>
      </c>
      <c r="V1113" s="13">
        <f>IF(ROWS($V$2:$V1113)&lt;=MAX('Per Line'!$AH$2:$AH$6001),MATCH(ROWS($V$2:$V1113),'Per Line'!$AH$2:$AH$6001,0),"")</f>
        <v/>
      </c>
    </row>
    <row r="1114">
      <c r="A1114" s="12" t="n"/>
      <c r="B1114">
        <f>IF($V1114="","",INDEX('Per Line'!$C$2:$C$6001,$V1114)&amp;"")</f>
        <v/>
      </c>
      <c r="C1114" s="11">
        <f>IF($V1114="","",INDEX('Per Line'!$D$2:$D$6001,$V1114))</f>
        <v/>
      </c>
      <c r="D1114">
        <f>IF($V1114="","",INDEX('Per Line'!$E$2:$E$6001,$V1114)&amp;"")</f>
        <v/>
      </c>
      <c r="E1114">
        <f>IF($V1114="","",INDEX('Per Line'!$G$2:$G$6001,$V1114)&amp;"")</f>
        <v/>
      </c>
      <c r="F1114">
        <f>IF($V1114="","",INDEX('Per Line'!$H$2:$H$6001,$V1114)&amp;"")</f>
        <v/>
      </c>
      <c r="G1114">
        <f>IF($V1114="","",INDEX('Per Line'!$I$2:$I$6001,$V1114)&amp;"")</f>
        <v/>
      </c>
      <c r="H1114">
        <f>IF($V1114="","",INDEX('Per Line'!$J$2:$J$6001,$V1114))</f>
        <v/>
      </c>
      <c r="I1114" s="7">
        <f>IF($V1114="","",H1114*S1114/100)</f>
        <v/>
      </c>
      <c r="J1114">
        <f>IF($V1114="","",INDEX('Per Line'!$S$2:$S$6001,$V1114)&amp;"")</f>
        <v/>
      </c>
      <c r="K1114" s="7">
        <f>IF($V1114="","",SUMIFS('Per Line'!$R$2:$R$6001,'Per Line'!$C$2:$C$6001,$B1114,'Per Line'!$AJ$2:$AJ$6001,1))</f>
        <v/>
      </c>
      <c r="L1114">
        <f>IF($V1114="","",Settings!$C$7)</f>
        <v/>
      </c>
      <c r="M1114" s="7">
        <f>IF($V1114="","",SUMIFS('Per Line'!$R$2:$R$6001,'Per Line'!$C$2:$C$6001,$B1114,'Per Line'!$AI$2:$AI$6001,0,'Per Line'!$AJ$2:$AJ$6001,0))</f>
        <v/>
      </c>
      <c r="N1114" s="7">
        <f>IF($V1114="","",M1114*L1114)</f>
        <v/>
      </c>
      <c r="O1114">
        <f>IF($V1114="","",Settings!$C$6)</f>
        <v/>
      </c>
      <c r="P1114" s="7">
        <f>IF($V1114="","",SUMIFS('Per Line'!$R$2:$R$6001,'Per Line'!$C$2:$C$6001,$B1114,'Per Line'!$AI$2:$AI$6001,1,'Per Line'!$AJ$2:$AJ$6001,0))</f>
        <v/>
      </c>
      <c r="Q1114" s="7">
        <f>IF($V1114="","",P1114*O1114)</f>
        <v/>
      </c>
      <c r="R1114" s="7">
        <f>IF($V1114="","",Q1114+N1114)</f>
        <v/>
      </c>
      <c r="S1114" s="7">
        <f>IF($V1114="","",T1114-R1114)</f>
        <v/>
      </c>
      <c r="T1114" s="7">
        <f>IF($V1114="","",M1114+P1114+K1114)</f>
        <v/>
      </c>
      <c r="U1114" s="7">
        <f>IF($V1114="","",T1114-R1114-I1114)</f>
        <v/>
      </c>
      <c r="V1114" s="13">
        <f>IF(ROWS($V$2:$V1114)&lt;=MAX('Per Line'!$AH$2:$AH$6001),MATCH(ROWS($V$2:$V1114),'Per Line'!$AH$2:$AH$6001,0),"")</f>
        <v/>
      </c>
    </row>
    <row r="1115">
      <c r="A1115" s="12" t="n"/>
      <c r="B1115">
        <f>IF($V1115="","",INDEX('Per Line'!$C$2:$C$6001,$V1115)&amp;"")</f>
        <v/>
      </c>
      <c r="C1115" s="11">
        <f>IF($V1115="","",INDEX('Per Line'!$D$2:$D$6001,$V1115))</f>
        <v/>
      </c>
      <c r="D1115">
        <f>IF($V1115="","",INDEX('Per Line'!$E$2:$E$6001,$V1115)&amp;"")</f>
        <v/>
      </c>
      <c r="E1115">
        <f>IF($V1115="","",INDEX('Per Line'!$G$2:$G$6001,$V1115)&amp;"")</f>
        <v/>
      </c>
      <c r="F1115">
        <f>IF($V1115="","",INDEX('Per Line'!$H$2:$H$6001,$V1115)&amp;"")</f>
        <v/>
      </c>
      <c r="G1115">
        <f>IF($V1115="","",INDEX('Per Line'!$I$2:$I$6001,$V1115)&amp;"")</f>
        <v/>
      </c>
      <c r="H1115">
        <f>IF($V1115="","",INDEX('Per Line'!$J$2:$J$6001,$V1115))</f>
        <v/>
      </c>
      <c r="I1115" s="7">
        <f>IF($V1115="","",H1115*S1115/100)</f>
        <v/>
      </c>
      <c r="J1115">
        <f>IF($V1115="","",INDEX('Per Line'!$S$2:$S$6001,$V1115)&amp;"")</f>
        <v/>
      </c>
      <c r="K1115" s="7">
        <f>IF($V1115="","",SUMIFS('Per Line'!$R$2:$R$6001,'Per Line'!$C$2:$C$6001,$B1115,'Per Line'!$AJ$2:$AJ$6001,1))</f>
        <v/>
      </c>
      <c r="L1115">
        <f>IF($V1115="","",Settings!$C$7)</f>
        <v/>
      </c>
      <c r="M1115" s="7">
        <f>IF($V1115="","",SUMIFS('Per Line'!$R$2:$R$6001,'Per Line'!$C$2:$C$6001,$B1115,'Per Line'!$AI$2:$AI$6001,0,'Per Line'!$AJ$2:$AJ$6001,0))</f>
        <v/>
      </c>
      <c r="N1115" s="7">
        <f>IF($V1115="","",M1115*L1115)</f>
        <v/>
      </c>
      <c r="O1115">
        <f>IF($V1115="","",Settings!$C$6)</f>
        <v/>
      </c>
      <c r="P1115" s="7">
        <f>IF($V1115="","",SUMIFS('Per Line'!$R$2:$R$6001,'Per Line'!$C$2:$C$6001,$B1115,'Per Line'!$AI$2:$AI$6001,1,'Per Line'!$AJ$2:$AJ$6001,0))</f>
        <v/>
      </c>
      <c r="Q1115" s="7">
        <f>IF($V1115="","",P1115*O1115)</f>
        <v/>
      </c>
      <c r="R1115" s="7">
        <f>IF($V1115="","",Q1115+N1115)</f>
        <v/>
      </c>
      <c r="S1115" s="7">
        <f>IF($V1115="","",T1115-R1115)</f>
        <v/>
      </c>
      <c r="T1115" s="7">
        <f>IF($V1115="","",M1115+P1115+K1115)</f>
        <v/>
      </c>
      <c r="U1115" s="7">
        <f>IF($V1115="","",T1115-R1115-I1115)</f>
        <v/>
      </c>
      <c r="V1115" s="13">
        <f>IF(ROWS($V$2:$V1115)&lt;=MAX('Per Line'!$AH$2:$AH$6001),MATCH(ROWS($V$2:$V1115),'Per Line'!$AH$2:$AH$6001,0),"")</f>
        <v/>
      </c>
    </row>
    <row r="1116">
      <c r="A1116" s="12" t="n"/>
      <c r="B1116">
        <f>IF($V1116="","",INDEX('Per Line'!$C$2:$C$6001,$V1116)&amp;"")</f>
        <v/>
      </c>
      <c r="C1116" s="11">
        <f>IF($V1116="","",INDEX('Per Line'!$D$2:$D$6001,$V1116))</f>
        <v/>
      </c>
      <c r="D1116">
        <f>IF($V1116="","",INDEX('Per Line'!$E$2:$E$6001,$V1116)&amp;"")</f>
        <v/>
      </c>
      <c r="E1116">
        <f>IF($V1116="","",INDEX('Per Line'!$G$2:$G$6001,$V1116)&amp;"")</f>
        <v/>
      </c>
      <c r="F1116">
        <f>IF($V1116="","",INDEX('Per Line'!$H$2:$H$6001,$V1116)&amp;"")</f>
        <v/>
      </c>
      <c r="G1116">
        <f>IF($V1116="","",INDEX('Per Line'!$I$2:$I$6001,$V1116)&amp;"")</f>
        <v/>
      </c>
      <c r="H1116">
        <f>IF($V1116="","",INDEX('Per Line'!$J$2:$J$6001,$V1116))</f>
        <v/>
      </c>
      <c r="I1116" s="7">
        <f>IF($V1116="","",H1116*S1116/100)</f>
        <v/>
      </c>
      <c r="J1116">
        <f>IF($V1116="","",INDEX('Per Line'!$S$2:$S$6001,$V1116)&amp;"")</f>
        <v/>
      </c>
      <c r="K1116" s="7">
        <f>IF($V1116="","",SUMIFS('Per Line'!$R$2:$R$6001,'Per Line'!$C$2:$C$6001,$B1116,'Per Line'!$AJ$2:$AJ$6001,1))</f>
        <v/>
      </c>
      <c r="L1116">
        <f>IF($V1116="","",Settings!$C$7)</f>
        <v/>
      </c>
      <c r="M1116" s="7">
        <f>IF($V1116="","",SUMIFS('Per Line'!$R$2:$R$6001,'Per Line'!$C$2:$C$6001,$B1116,'Per Line'!$AI$2:$AI$6001,0,'Per Line'!$AJ$2:$AJ$6001,0))</f>
        <v/>
      </c>
      <c r="N1116" s="7">
        <f>IF($V1116="","",M1116*L1116)</f>
        <v/>
      </c>
      <c r="O1116">
        <f>IF($V1116="","",Settings!$C$6)</f>
        <v/>
      </c>
      <c r="P1116" s="7">
        <f>IF($V1116="","",SUMIFS('Per Line'!$R$2:$R$6001,'Per Line'!$C$2:$C$6001,$B1116,'Per Line'!$AI$2:$AI$6001,1,'Per Line'!$AJ$2:$AJ$6001,0))</f>
        <v/>
      </c>
      <c r="Q1116" s="7">
        <f>IF($V1116="","",P1116*O1116)</f>
        <v/>
      </c>
      <c r="R1116" s="7">
        <f>IF($V1116="","",Q1116+N1116)</f>
        <v/>
      </c>
      <c r="S1116" s="7">
        <f>IF($V1116="","",T1116-R1116)</f>
        <v/>
      </c>
      <c r="T1116" s="7">
        <f>IF($V1116="","",M1116+P1116+K1116)</f>
        <v/>
      </c>
      <c r="U1116" s="7">
        <f>IF($V1116="","",T1116-R1116-I1116)</f>
        <v/>
      </c>
      <c r="V1116" s="13">
        <f>IF(ROWS($V$2:$V1116)&lt;=MAX('Per Line'!$AH$2:$AH$6001),MATCH(ROWS($V$2:$V1116),'Per Line'!$AH$2:$AH$6001,0),"")</f>
        <v/>
      </c>
    </row>
    <row r="1117">
      <c r="A1117" s="12" t="n"/>
      <c r="B1117">
        <f>IF($V1117="","",INDEX('Per Line'!$C$2:$C$6001,$V1117)&amp;"")</f>
        <v/>
      </c>
      <c r="C1117" s="11">
        <f>IF($V1117="","",INDEX('Per Line'!$D$2:$D$6001,$V1117))</f>
        <v/>
      </c>
      <c r="D1117">
        <f>IF($V1117="","",INDEX('Per Line'!$E$2:$E$6001,$V1117)&amp;"")</f>
        <v/>
      </c>
      <c r="E1117">
        <f>IF($V1117="","",INDEX('Per Line'!$G$2:$G$6001,$V1117)&amp;"")</f>
        <v/>
      </c>
      <c r="F1117">
        <f>IF($V1117="","",INDEX('Per Line'!$H$2:$H$6001,$V1117)&amp;"")</f>
        <v/>
      </c>
      <c r="G1117">
        <f>IF($V1117="","",INDEX('Per Line'!$I$2:$I$6001,$V1117)&amp;"")</f>
        <v/>
      </c>
      <c r="H1117">
        <f>IF($V1117="","",INDEX('Per Line'!$J$2:$J$6001,$V1117))</f>
        <v/>
      </c>
      <c r="I1117" s="7">
        <f>IF($V1117="","",H1117*S1117/100)</f>
        <v/>
      </c>
      <c r="J1117">
        <f>IF($V1117="","",INDEX('Per Line'!$S$2:$S$6001,$V1117)&amp;"")</f>
        <v/>
      </c>
      <c r="K1117" s="7">
        <f>IF($V1117="","",SUMIFS('Per Line'!$R$2:$R$6001,'Per Line'!$C$2:$C$6001,$B1117,'Per Line'!$AJ$2:$AJ$6001,1))</f>
        <v/>
      </c>
      <c r="L1117">
        <f>IF($V1117="","",Settings!$C$7)</f>
        <v/>
      </c>
      <c r="M1117" s="7">
        <f>IF($V1117="","",SUMIFS('Per Line'!$R$2:$R$6001,'Per Line'!$C$2:$C$6001,$B1117,'Per Line'!$AI$2:$AI$6001,0,'Per Line'!$AJ$2:$AJ$6001,0))</f>
        <v/>
      </c>
      <c r="N1117" s="7">
        <f>IF($V1117="","",M1117*L1117)</f>
        <v/>
      </c>
      <c r="O1117">
        <f>IF($V1117="","",Settings!$C$6)</f>
        <v/>
      </c>
      <c r="P1117" s="7">
        <f>IF($V1117="","",SUMIFS('Per Line'!$R$2:$R$6001,'Per Line'!$C$2:$C$6001,$B1117,'Per Line'!$AI$2:$AI$6001,1,'Per Line'!$AJ$2:$AJ$6001,0))</f>
        <v/>
      </c>
      <c r="Q1117" s="7">
        <f>IF($V1117="","",P1117*O1117)</f>
        <v/>
      </c>
      <c r="R1117" s="7">
        <f>IF($V1117="","",Q1117+N1117)</f>
        <v/>
      </c>
      <c r="S1117" s="7">
        <f>IF($V1117="","",T1117-R1117)</f>
        <v/>
      </c>
      <c r="T1117" s="7">
        <f>IF($V1117="","",M1117+P1117+K1117)</f>
        <v/>
      </c>
      <c r="U1117" s="7">
        <f>IF($V1117="","",T1117-R1117-I1117)</f>
        <v/>
      </c>
      <c r="V1117" s="13">
        <f>IF(ROWS($V$2:$V1117)&lt;=MAX('Per Line'!$AH$2:$AH$6001),MATCH(ROWS($V$2:$V1117),'Per Line'!$AH$2:$AH$6001,0),"")</f>
        <v/>
      </c>
    </row>
    <row r="1118">
      <c r="A1118" s="12" t="n"/>
      <c r="B1118">
        <f>IF($V1118="","",INDEX('Per Line'!$C$2:$C$6001,$V1118)&amp;"")</f>
        <v/>
      </c>
      <c r="C1118" s="11">
        <f>IF($V1118="","",INDEX('Per Line'!$D$2:$D$6001,$V1118))</f>
        <v/>
      </c>
      <c r="D1118">
        <f>IF($V1118="","",INDEX('Per Line'!$E$2:$E$6001,$V1118)&amp;"")</f>
        <v/>
      </c>
      <c r="E1118">
        <f>IF($V1118="","",INDEX('Per Line'!$G$2:$G$6001,$V1118)&amp;"")</f>
        <v/>
      </c>
      <c r="F1118">
        <f>IF($V1118="","",INDEX('Per Line'!$H$2:$H$6001,$V1118)&amp;"")</f>
        <v/>
      </c>
      <c r="G1118">
        <f>IF($V1118="","",INDEX('Per Line'!$I$2:$I$6001,$V1118)&amp;"")</f>
        <v/>
      </c>
      <c r="H1118">
        <f>IF($V1118="","",INDEX('Per Line'!$J$2:$J$6001,$V1118))</f>
        <v/>
      </c>
      <c r="I1118" s="7">
        <f>IF($V1118="","",H1118*S1118/100)</f>
        <v/>
      </c>
      <c r="J1118">
        <f>IF($V1118="","",INDEX('Per Line'!$S$2:$S$6001,$V1118)&amp;"")</f>
        <v/>
      </c>
      <c r="K1118" s="7">
        <f>IF($V1118="","",SUMIFS('Per Line'!$R$2:$R$6001,'Per Line'!$C$2:$C$6001,$B1118,'Per Line'!$AJ$2:$AJ$6001,1))</f>
        <v/>
      </c>
      <c r="L1118">
        <f>IF($V1118="","",Settings!$C$7)</f>
        <v/>
      </c>
      <c r="M1118" s="7">
        <f>IF($V1118="","",SUMIFS('Per Line'!$R$2:$R$6001,'Per Line'!$C$2:$C$6001,$B1118,'Per Line'!$AI$2:$AI$6001,0,'Per Line'!$AJ$2:$AJ$6001,0))</f>
        <v/>
      </c>
      <c r="N1118" s="7">
        <f>IF($V1118="","",M1118*L1118)</f>
        <v/>
      </c>
      <c r="O1118">
        <f>IF($V1118="","",Settings!$C$6)</f>
        <v/>
      </c>
      <c r="P1118" s="7">
        <f>IF($V1118="","",SUMIFS('Per Line'!$R$2:$R$6001,'Per Line'!$C$2:$C$6001,$B1118,'Per Line'!$AI$2:$AI$6001,1,'Per Line'!$AJ$2:$AJ$6001,0))</f>
        <v/>
      </c>
      <c r="Q1118" s="7">
        <f>IF($V1118="","",P1118*O1118)</f>
        <v/>
      </c>
      <c r="R1118" s="7">
        <f>IF($V1118="","",Q1118+N1118)</f>
        <v/>
      </c>
      <c r="S1118" s="7">
        <f>IF($V1118="","",T1118-R1118)</f>
        <v/>
      </c>
      <c r="T1118" s="7">
        <f>IF($V1118="","",M1118+P1118+K1118)</f>
        <v/>
      </c>
      <c r="U1118" s="7">
        <f>IF($V1118="","",T1118-R1118-I1118)</f>
        <v/>
      </c>
      <c r="V1118" s="13">
        <f>IF(ROWS($V$2:$V1118)&lt;=MAX('Per Line'!$AH$2:$AH$6001),MATCH(ROWS($V$2:$V1118),'Per Line'!$AH$2:$AH$6001,0),"")</f>
        <v/>
      </c>
    </row>
    <row r="1119">
      <c r="A1119" s="12" t="n"/>
      <c r="B1119">
        <f>IF($V1119="","",INDEX('Per Line'!$C$2:$C$6001,$V1119)&amp;"")</f>
        <v/>
      </c>
      <c r="C1119" s="11">
        <f>IF($V1119="","",INDEX('Per Line'!$D$2:$D$6001,$V1119))</f>
        <v/>
      </c>
      <c r="D1119">
        <f>IF($V1119="","",INDEX('Per Line'!$E$2:$E$6001,$V1119)&amp;"")</f>
        <v/>
      </c>
      <c r="E1119">
        <f>IF($V1119="","",INDEX('Per Line'!$G$2:$G$6001,$V1119)&amp;"")</f>
        <v/>
      </c>
      <c r="F1119">
        <f>IF($V1119="","",INDEX('Per Line'!$H$2:$H$6001,$V1119)&amp;"")</f>
        <v/>
      </c>
      <c r="G1119">
        <f>IF($V1119="","",INDEX('Per Line'!$I$2:$I$6001,$V1119)&amp;"")</f>
        <v/>
      </c>
      <c r="H1119">
        <f>IF($V1119="","",INDEX('Per Line'!$J$2:$J$6001,$V1119))</f>
        <v/>
      </c>
      <c r="I1119" s="7">
        <f>IF($V1119="","",H1119*S1119/100)</f>
        <v/>
      </c>
      <c r="J1119">
        <f>IF($V1119="","",INDEX('Per Line'!$S$2:$S$6001,$V1119)&amp;"")</f>
        <v/>
      </c>
      <c r="K1119" s="7">
        <f>IF($V1119="","",SUMIFS('Per Line'!$R$2:$R$6001,'Per Line'!$C$2:$C$6001,$B1119,'Per Line'!$AJ$2:$AJ$6001,1))</f>
        <v/>
      </c>
      <c r="L1119">
        <f>IF($V1119="","",Settings!$C$7)</f>
        <v/>
      </c>
      <c r="M1119" s="7">
        <f>IF($V1119="","",SUMIFS('Per Line'!$R$2:$R$6001,'Per Line'!$C$2:$C$6001,$B1119,'Per Line'!$AI$2:$AI$6001,0,'Per Line'!$AJ$2:$AJ$6001,0))</f>
        <v/>
      </c>
      <c r="N1119" s="7">
        <f>IF($V1119="","",M1119*L1119)</f>
        <v/>
      </c>
      <c r="O1119">
        <f>IF($V1119="","",Settings!$C$6)</f>
        <v/>
      </c>
      <c r="P1119" s="7">
        <f>IF($V1119="","",SUMIFS('Per Line'!$R$2:$R$6001,'Per Line'!$C$2:$C$6001,$B1119,'Per Line'!$AI$2:$AI$6001,1,'Per Line'!$AJ$2:$AJ$6001,0))</f>
        <v/>
      </c>
      <c r="Q1119" s="7">
        <f>IF($V1119="","",P1119*O1119)</f>
        <v/>
      </c>
      <c r="R1119" s="7">
        <f>IF($V1119="","",Q1119+N1119)</f>
        <v/>
      </c>
      <c r="S1119" s="7">
        <f>IF($V1119="","",T1119-R1119)</f>
        <v/>
      </c>
      <c r="T1119" s="7">
        <f>IF($V1119="","",M1119+P1119+K1119)</f>
        <v/>
      </c>
      <c r="U1119" s="7">
        <f>IF($V1119="","",T1119-R1119-I1119)</f>
        <v/>
      </c>
      <c r="V1119" s="13">
        <f>IF(ROWS($V$2:$V1119)&lt;=MAX('Per Line'!$AH$2:$AH$6001),MATCH(ROWS($V$2:$V1119),'Per Line'!$AH$2:$AH$6001,0),"")</f>
        <v/>
      </c>
    </row>
    <row r="1120">
      <c r="A1120" s="12" t="n"/>
      <c r="B1120">
        <f>IF($V1120="","",INDEX('Per Line'!$C$2:$C$6001,$V1120)&amp;"")</f>
        <v/>
      </c>
      <c r="C1120" s="11">
        <f>IF($V1120="","",INDEX('Per Line'!$D$2:$D$6001,$V1120))</f>
        <v/>
      </c>
      <c r="D1120">
        <f>IF($V1120="","",INDEX('Per Line'!$E$2:$E$6001,$V1120)&amp;"")</f>
        <v/>
      </c>
      <c r="E1120">
        <f>IF($V1120="","",INDEX('Per Line'!$G$2:$G$6001,$V1120)&amp;"")</f>
        <v/>
      </c>
      <c r="F1120">
        <f>IF($V1120="","",INDEX('Per Line'!$H$2:$H$6001,$V1120)&amp;"")</f>
        <v/>
      </c>
      <c r="G1120">
        <f>IF($V1120="","",INDEX('Per Line'!$I$2:$I$6001,$V1120)&amp;"")</f>
        <v/>
      </c>
      <c r="H1120">
        <f>IF($V1120="","",INDEX('Per Line'!$J$2:$J$6001,$V1120))</f>
        <v/>
      </c>
      <c r="I1120" s="7">
        <f>IF($V1120="","",H1120*S1120/100)</f>
        <v/>
      </c>
      <c r="J1120">
        <f>IF($V1120="","",INDEX('Per Line'!$S$2:$S$6001,$V1120)&amp;"")</f>
        <v/>
      </c>
      <c r="K1120" s="7">
        <f>IF($V1120="","",SUMIFS('Per Line'!$R$2:$R$6001,'Per Line'!$C$2:$C$6001,$B1120,'Per Line'!$AJ$2:$AJ$6001,1))</f>
        <v/>
      </c>
      <c r="L1120">
        <f>IF($V1120="","",Settings!$C$7)</f>
        <v/>
      </c>
      <c r="M1120" s="7">
        <f>IF($V1120="","",SUMIFS('Per Line'!$R$2:$R$6001,'Per Line'!$C$2:$C$6001,$B1120,'Per Line'!$AI$2:$AI$6001,0,'Per Line'!$AJ$2:$AJ$6001,0))</f>
        <v/>
      </c>
      <c r="N1120" s="7">
        <f>IF($V1120="","",M1120*L1120)</f>
        <v/>
      </c>
      <c r="O1120">
        <f>IF($V1120="","",Settings!$C$6)</f>
        <v/>
      </c>
      <c r="P1120" s="7">
        <f>IF($V1120="","",SUMIFS('Per Line'!$R$2:$R$6001,'Per Line'!$C$2:$C$6001,$B1120,'Per Line'!$AI$2:$AI$6001,1,'Per Line'!$AJ$2:$AJ$6001,0))</f>
        <v/>
      </c>
      <c r="Q1120" s="7">
        <f>IF($V1120="","",P1120*O1120)</f>
        <v/>
      </c>
      <c r="R1120" s="7">
        <f>IF($V1120="","",Q1120+N1120)</f>
        <v/>
      </c>
      <c r="S1120" s="7">
        <f>IF($V1120="","",T1120-R1120)</f>
        <v/>
      </c>
      <c r="T1120" s="7">
        <f>IF($V1120="","",M1120+P1120+K1120)</f>
        <v/>
      </c>
      <c r="U1120" s="7">
        <f>IF($V1120="","",T1120-R1120-I1120)</f>
        <v/>
      </c>
      <c r="V1120" s="13">
        <f>IF(ROWS($V$2:$V1120)&lt;=MAX('Per Line'!$AH$2:$AH$6001),MATCH(ROWS($V$2:$V1120),'Per Line'!$AH$2:$AH$6001,0),"")</f>
        <v/>
      </c>
    </row>
    <row r="1121">
      <c r="A1121" s="12" t="n"/>
      <c r="B1121">
        <f>IF($V1121="","",INDEX('Per Line'!$C$2:$C$6001,$V1121)&amp;"")</f>
        <v/>
      </c>
      <c r="C1121" s="11">
        <f>IF($V1121="","",INDEX('Per Line'!$D$2:$D$6001,$V1121))</f>
        <v/>
      </c>
      <c r="D1121">
        <f>IF($V1121="","",INDEX('Per Line'!$E$2:$E$6001,$V1121)&amp;"")</f>
        <v/>
      </c>
      <c r="E1121">
        <f>IF($V1121="","",INDEX('Per Line'!$G$2:$G$6001,$V1121)&amp;"")</f>
        <v/>
      </c>
      <c r="F1121">
        <f>IF($V1121="","",INDEX('Per Line'!$H$2:$H$6001,$V1121)&amp;"")</f>
        <v/>
      </c>
      <c r="G1121">
        <f>IF($V1121="","",INDEX('Per Line'!$I$2:$I$6001,$V1121)&amp;"")</f>
        <v/>
      </c>
      <c r="H1121">
        <f>IF($V1121="","",INDEX('Per Line'!$J$2:$J$6001,$V1121))</f>
        <v/>
      </c>
      <c r="I1121" s="7">
        <f>IF($V1121="","",H1121*S1121/100)</f>
        <v/>
      </c>
      <c r="J1121">
        <f>IF($V1121="","",INDEX('Per Line'!$S$2:$S$6001,$V1121)&amp;"")</f>
        <v/>
      </c>
      <c r="K1121" s="7">
        <f>IF($V1121="","",SUMIFS('Per Line'!$R$2:$R$6001,'Per Line'!$C$2:$C$6001,$B1121,'Per Line'!$AJ$2:$AJ$6001,1))</f>
        <v/>
      </c>
      <c r="L1121">
        <f>IF($V1121="","",Settings!$C$7)</f>
        <v/>
      </c>
      <c r="M1121" s="7">
        <f>IF($V1121="","",SUMIFS('Per Line'!$R$2:$R$6001,'Per Line'!$C$2:$C$6001,$B1121,'Per Line'!$AI$2:$AI$6001,0,'Per Line'!$AJ$2:$AJ$6001,0))</f>
        <v/>
      </c>
      <c r="N1121" s="7">
        <f>IF($V1121="","",M1121*L1121)</f>
        <v/>
      </c>
      <c r="O1121">
        <f>IF($V1121="","",Settings!$C$6)</f>
        <v/>
      </c>
      <c r="P1121" s="7">
        <f>IF($V1121="","",SUMIFS('Per Line'!$R$2:$R$6001,'Per Line'!$C$2:$C$6001,$B1121,'Per Line'!$AI$2:$AI$6001,1,'Per Line'!$AJ$2:$AJ$6001,0))</f>
        <v/>
      </c>
      <c r="Q1121" s="7">
        <f>IF($V1121="","",P1121*O1121)</f>
        <v/>
      </c>
      <c r="R1121" s="7">
        <f>IF($V1121="","",Q1121+N1121)</f>
        <v/>
      </c>
      <c r="S1121" s="7">
        <f>IF($V1121="","",T1121-R1121)</f>
        <v/>
      </c>
      <c r="T1121" s="7">
        <f>IF($V1121="","",M1121+P1121+K1121)</f>
        <v/>
      </c>
      <c r="U1121" s="7">
        <f>IF($V1121="","",T1121-R1121-I1121)</f>
        <v/>
      </c>
      <c r="V1121" s="13">
        <f>IF(ROWS($V$2:$V1121)&lt;=MAX('Per Line'!$AH$2:$AH$6001),MATCH(ROWS($V$2:$V1121),'Per Line'!$AH$2:$AH$6001,0),"")</f>
        <v/>
      </c>
    </row>
    <row r="1122">
      <c r="A1122" s="12" t="n"/>
      <c r="B1122">
        <f>IF($V1122="","",INDEX('Per Line'!$C$2:$C$6001,$V1122)&amp;"")</f>
        <v/>
      </c>
      <c r="C1122" s="11">
        <f>IF($V1122="","",INDEX('Per Line'!$D$2:$D$6001,$V1122))</f>
        <v/>
      </c>
      <c r="D1122">
        <f>IF($V1122="","",INDEX('Per Line'!$E$2:$E$6001,$V1122)&amp;"")</f>
        <v/>
      </c>
      <c r="E1122">
        <f>IF($V1122="","",INDEX('Per Line'!$G$2:$G$6001,$V1122)&amp;"")</f>
        <v/>
      </c>
      <c r="F1122">
        <f>IF($V1122="","",INDEX('Per Line'!$H$2:$H$6001,$V1122)&amp;"")</f>
        <v/>
      </c>
      <c r="G1122">
        <f>IF($V1122="","",INDEX('Per Line'!$I$2:$I$6001,$V1122)&amp;"")</f>
        <v/>
      </c>
      <c r="H1122">
        <f>IF($V1122="","",INDEX('Per Line'!$J$2:$J$6001,$V1122))</f>
        <v/>
      </c>
      <c r="I1122" s="7">
        <f>IF($V1122="","",H1122*S1122/100)</f>
        <v/>
      </c>
      <c r="J1122">
        <f>IF($V1122="","",INDEX('Per Line'!$S$2:$S$6001,$V1122)&amp;"")</f>
        <v/>
      </c>
      <c r="K1122" s="7">
        <f>IF($V1122="","",SUMIFS('Per Line'!$R$2:$R$6001,'Per Line'!$C$2:$C$6001,$B1122,'Per Line'!$AJ$2:$AJ$6001,1))</f>
        <v/>
      </c>
      <c r="L1122">
        <f>IF($V1122="","",Settings!$C$7)</f>
        <v/>
      </c>
      <c r="M1122" s="7">
        <f>IF($V1122="","",SUMIFS('Per Line'!$R$2:$R$6001,'Per Line'!$C$2:$C$6001,$B1122,'Per Line'!$AI$2:$AI$6001,0,'Per Line'!$AJ$2:$AJ$6001,0))</f>
        <v/>
      </c>
      <c r="N1122" s="7">
        <f>IF($V1122="","",M1122*L1122)</f>
        <v/>
      </c>
      <c r="O1122">
        <f>IF($V1122="","",Settings!$C$6)</f>
        <v/>
      </c>
      <c r="P1122" s="7">
        <f>IF($V1122="","",SUMIFS('Per Line'!$R$2:$R$6001,'Per Line'!$C$2:$C$6001,$B1122,'Per Line'!$AI$2:$AI$6001,1,'Per Line'!$AJ$2:$AJ$6001,0))</f>
        <v/>
      </c>
      <c r="Q1122" s="7">
        <f>IF($V1122="","",P1122*O1122)</f>
        <v/>
      </c>
      <c r="R1122" s="7">
        <f>IF($V1122="","",Q1122+N1122)</f>
        <v/>
      </c>
      <c r="S1122" s="7">
        <f>IF($V1122="","",T1122-R1122)</f>
        <v/>
      </c>
      <c r="T1122" s="7">
        <f>IF($V1122="","",M1122+P1122+K1122)</f>
        <v/>
      </c>
      <c r="U1122" s="7">
        <f>IF($V1122="","",T1122-R1122-I1122)</f>
        <v/>
      </c>
      <c r="V1122" s="13">
        <f>IF(ROWS($V$2:$V1122)&lt;=MAX('Per Line'!$AH$2:$AH$6001),MATCH(ROWS($V$2:$V1122),'Per Line'!$AH$2:$AH$6001,0),"")</f>
        <v/>
      </c>
    </row>
    <row r="1123">
      <c r="A1123" s="12" t="n"/>
      <c r="B1123">
        <f>IF($V1123="","",INDEX('Per Line'!$C$2:$C$6001,$V1123)&amp;"")</f>
        <v/>
      </c>
      <c r="C1123" s="11">
        <f>IF($V1123="","",INDEX('Per Line'!$D$2:$D$6001,$V1123))</f>
        <v/>
      </c>
      <c r="D1123">
        <f>IF($V1123="","",INDEX('Per Line'!$E$2:$E$6001,$V1123)&amp;"")</f>
        <v/>
      </c>
      <c r="E1123">
        <f>IF($V1123="","",INDEX('Per Line'!$G$2:$G$6001,$V1123)&amp;"")</f>
        <v/>
      </c>
      <c r="F1123">
        <f>IF($V1123="","",INDEX('Per Line'!$H$2:$H$6001,$V1123)&amp;"")</f>
        <v/>
      </c>
      <c r="G1123">
        <f>IF($V1123="","",INDEX('Per Line'!$I$2:$I$6001,$V1123)&amp;"")</f>
        <v/>
      </c>
      <c r="H1123">
        <f>IF($V1123="","",INDEX('Per Line'!$J$2:$J$6001,$V1123))</f>
        <v/>
      </c>
      <c r="I1123" s="7">
        <f>IF($V1123="","",H1123*S1123/100)</f>
        <v/>
      </c>
      <c r="J1123">
        <f>IF($V1123="","",INDEX('Per Line'!$S$2:$S$6001,$V1123)&amp;"")</f>
        <v/>
      </c>
      <c r="K1123" s="7">
        <f>IF($V1123="","",SUMIFS('Per Line'!$R$2:$R$6001,'Per Line'!$C$2:$C$6001,$B1123,'Per Line'!$AJ$2:$AJ$6001,1))</f>
        <v/>
      </c>
      <c r="L1123">
        <f>IF($V1123="","",Settings!$C$7)</f>
        <v/>
      </c>
      <c r="M1123" s="7">
        <f>IF($V1123="","",SUMIFS('Per Line'!$R$2:$R$6001,'Per Line'!$C$2:$C$6001,$B1123,'Per Line'!$AI$2:$AI$6001,0,'Per Line'!$AJ$2:$AJ$6001,0))</f>
        <v/>
      </c>
      <c r="N1123" s="7">
        <f>IF($V1123="","",M1123*L1123)</f>
        <v/>
      </c>
      <c r="O1123">
        <f>IF($V1123="","",Settings!$C$6)</f>
        <v/>
      </c>
      <c r="P1123" s="7">
        <f>IF($V1123="","",SUMIFS('Per Line'!$R$2:$R$6001,'Per Line'!$C$2:$C$6001,$B1123,'Per Line'!$AI$2:$AI$6001,1,'Per Line'!$AJ$2:$AJ$6001,0))</f>
        <v/>
      </c>
      <c r="Q1123" s="7">
        <f>IF($V1123="","",P1123*O1123)</f>
        <v/>
      </c>
      <c r="R1123" s="7">
        <f>IF($V1123="","",Q1123+N1123)</f>
        <v/>
      </c>
      <c r="S1123" s="7">
        <f>IF($V1123="","",T1123-R1123)</f>
        <v/>
      </c>
      <c r="T1123" s="7">
        <f>IF($V1123="","",M1123+P1123+K1123)</f>
        <v/>
      </c>
      <c r="U1123" s="7">
        <f>IF($V1123="","",T1123-R1123-I1123)</f>
        <v/>
      </c>
      <c r="V1123" s="13">
        <f>IF(ROWS($V$2:$V1123)&lt;=MAX('Per Line'!$AH$2:$AH$6001),MATCH(ROWS($V$2:$V1123),'Per Line'!$AH$2:$AH$6001,0),"")</f>
        <v/>
      </c>
    </row>
    <row r="1124">
      <c r="A1124" s="12" t="n"/>
      <c r="B1124">
        <f>IF($V1124="","",INDEX('Per Line'!$C$2:$C$6001,$V1124)&amp;"")</f>
        <v/>
      </c>
      <c r="C1124" s="11">
        <f>IF($V1124="","",INDEX('Per Line'!$D$2:$D$6001,$V1124))</f>
        <v/>
      </c>
      <c r="D1124">
        <f>IF($V1124="","",INDEX('Per Line'!$E$2:$E$6001,$V1124)&amp;"")</f>
        <v/>
      </c>
      <c r="E1124">
        <f>IF($V1124="","",INDEX('Per Line'!$G$2:$G$6001,$V1124)&amp;"")</f>
        <v/>
      </c>
      <c r="F1124">
        <f>IF($V1124="","",INDEX('Per Line'!$H$2:$H$6001,$V1124)&amp;"")</f>
        <v/>
      </c>
      <c r="G1124">
        <f>IF($V1124="","",INDEX('Per Line'!$I$2:$I$6001,$V1124)&amp;"")</f>
        <v/>
      </c>
      <c r="H1124">
        <f>IF($V1124="","",INDEX('Per Line'!$J$2:$J$6001,$V1124))</f>
        <v/>
      </c>
      <c r="I1124" s="7">
        <f>IF($V1124="","",H1124*S1124/100)</f>
        <v/>
      </c>
      <c r="J1124">
        <f>IF($V1124="","",INDEX('Per Line'!$S$2:$S$6001,$V1124)&amp;"")</f>
        <v/>
      </c>
      <c r="K1124" s="7">
        <f>IF($V1124="","",SUMIFS('Per Line'!$R$2:$R$6001,'Per Line'!$C$2:$C$6001,$B1124,'Per Line'!$AJ$2:$AJ$6001,1))</f>
        <v/>
      </c>
      <c r="L1124">
        <f>IF($V1124="","",Settings!$C$7)</f>
        <v/>
      </c>
      <c r="M1124" s="7">
        <f>IF($V1124="","",SUMIFS('Per Line'!$R$2:$R$6001,'Per Line'!$C$2:$C$6001,$B1124,'Per Line'!$AI$2:$AI$6001,0,'Per Line'!$AJ$2:$AJ$6001,0))</f>
        <v/>
      </c>
      <c r="N1124" s="7">
        <f>IF($V1124="","",M1124*L1124)</f>
        <v/>
      </c>
      <c r="O1124">
        <f>IF($V1124="","",Settings!$C$6)</f>
        <v/>
      </c>
      <c r="P1124" s="7">
        <f>IF($V1124="","",SUMIFS('Per Line'!$R$2:$R$6001,'Per Line'!$C$2:$C$6001,$B1124,'Per Line'!$AI$2:$AI$6001,1,'Per Line'!$AJ$2:$AJ$6001,0))</f>
        <v/>
      </c>
      <c r="Q1124" s="7">
        <f>IF($V1124="","",P1124*O1124)</f>
        <v/>
      </c>
      <c r="R1124" s="7">
        <f>IF($V1124="","",Q1124+N1124)</f>
        <v/>
      </c>
      <c r="S1124" s="7">
        <f>IF($V1124="","",T1124-R1124)</f>
        <v/>
      </c>
      <c r="T1124" s="7">
        <f>IF($V1124="","",M1124+P1124+K1124)</f>
        <v/>
      </c>
      <c r="U1124" s="7">
        <f>IF($V1124="","",T1124-R1124-I1124)</f>
        <v/>
      </c>
      <c r="V1124" s="13">
        <f>IF(ROWS($V$2:$V1124)&lt;=MAX('Per Line'!$AH$2:$AH$6001),MATCH(ROWS($V$2:$V1124),'Per Line'!$AH$2:$AH$6001,0),"")</f>
        <v/>
      </c>
    </row>
    <row r="1125">
      <c r="A1125" s="12" t="n"/>
      <c r="B1125">
        <f>IF($V1125="","",INDEX('Per Line'!$C$2:$C$6001,$V1125)&amp;"")</f>
        <v/>
      </c>
      <c r="C1125" s="11">
        <f>IF($V1125="","",INDEX('Per Line'!$D$2:$D$6001,$V1125))</f>
        <v/>
      </c>
      <c r="D1125">
        <f>IF($V1125="","",INDEX('Per Line'!$E$2:$E$6001,$V1125)&amp;"")</f>
        <v/>
      </c>
      <c r="E1125">
        <f>IF($V1125="","",INDEX('Per Line'!$G$2:$G$6001,$V1125)&amp;"")</f>
        <v/>
      </c>
      <c r="F1125">
        <f>IF($V1125="","",INDEX('Per Line'!$H$2:$H$6001,$V1125)&amp;"")</f>
        <v/>
      </c>
      <c r="G1125">
        <f>IF($V1125="","",INDEX('Per Line'!$I$2:$I$6001,$V1125)&amp;"")</f>
        <v/>
      </c>
      <c r="H1125">
        <f>IF($V1125="","",INDEX('Per Line'!$J$2:$J$6001,$V1125))</f>
        <v/>
      </c>
      <c r="I1125" s="7">
        <f>IF($V1125="","",H1125*S1125/100)</f>
        <v/>
      </c>
      <c r="J1125">
        <f>IF($V1125="","",INDEX('Per Line'!$S$2:$S$6001,$V1125)&amp;"")</f>
        <v/>
      </c>
      <c r="K1125" s="7">
        <f>IF($V1125="","",SUMIFS('Per Line'!$R$2:$R$6001,'Per Line'!$C$2:$C$6001,$B1125,'Per Line'!$AJ$2:$AJ$6001,1))</f>
        <v/>
      </c>
      <c r="L1125">
        <f>IF($V1125="","",Settings!$C$7)</f>
        <v/>
      </c>
      <c r="M1125" s="7">
        <f>IF($V1125="","",SUMIFS('Per Line'!$R$2:$R$6001,'Per Line'!$C$2:$C$6001,$B1125,'Per Line'!$AI$2:$AI$6001,0,'Per Line'!$AJ$2:$AJ$6001,0))</f>
        <v/>
      </c>
      <c r="N1125" s="7">
        <f>IF($V1125="","",M1125*L1125)</f>
        <v/>
      </c>
      <c r="O1125">
        <f>IF($V1125="","",Settings!$C$6)</f>
        <v/>
      </c>
      <c r="P1125" s="7">
        <f>IF($V1125="","",SUMIFS('Per Line'!$R$2:$R$6001,'Per Line'!$C$2:$C$6001,$B1125,'Per Line'!$AI$2:$AI$6001,1,'Per Line'!$AJ$2:$AJ$6001,0))</f>
        <v/>
      </c>
      <c r="Q1125" s="7">
        <f>IF($V1125="","",P1125*O1125)</f>
        <v/>
      </c>
      <c r="R1125" s="7">
        <f>IF($V1125="","",Q1125+N1125)</f>
        <v/>
      </c>
      <c r="S1125" s="7">
        <f>IF($V1125="","",T1125-R1125)</f>
        <v/>
      </c>
      <c r="T1125" s="7">
        <f>IF($V1125="","",M1125+P1125+K1125)</f>
        <v/>
      </c>
      <c r="U1125" s="7">
        <f>IF($V1125="","",T1125-R1125-I1125)</f>
        <v/>
      </c>
      <c r="V1125" s="13">
        <f>IF(ROWS($V$2:$V1125)&lt;=MAX('Per Line'!$AH$2:$AH$6001),MATCH(ROWS($V$2:$V1125),'Per Line'!$AH$2:$AH$6001,0),"")</f>
        <v/>
      </c>
    </row>
    <row r="1126">
      <c r="A1126" s="12" t="n"/>
      <c r="B1126">
        <f>IF($V1126="","",INDEX('Per Line'!$C$2:$C$6001,$V1126)&amp;"")</f>
        <v/>
      </c>
      <c r="C1126" s="11">
        <f>IF($V1126="","",INDEX('Per Line'!$D$2:$D$6001,$V1126))</f>
        <v/>
      </c>
      <c r="D1126">
        <f>IF($V1126="","",INDEX('Per Line'!$E$2:$E$6001,$V1126)&amp;"")</f>
        <v/>
      </c>
      <c r="E1126">
        <f>IF($V1126="","",INDEX('Per Line'!$G$2:$G$6001,$V1126)&amp;"")</f>
        <v/>
      </c>
      <c r="F1126">
        <f>IF($V1126="","",INDEX('Per Line'!$H$2:$H$6001,$V1126)&amp;"")</f>
        <v/>
      </c>
      <c r="G1126">
        <f>IF($V1126="","",INDEX('Per Line'!$I$2:$I$6001,$V1126)&amp;"")</f>
        <v/>
      </c>
      <c r="H1126">
        <f>IF($V1126="","",INDEX('Per Line'!$J$2:$J$6001,$V1126))</f>
        <v/>
      </c>
      <c r="I1126" s="7">
        <f>IF($V1126="","",H1126*S1126/100)</f>
        <v/>
      </c>
      <c r="J1126">
        <f>IF($V1126="","",INDEX('Per Line'!$S$2:$S$6001,$V1126)&amp;"")</f>
        <v/>
      </c>
      <c r="K1126" s="7">
        <f>IF($V1126="","",SUMIFS('Per Line'!$R$2:$R$6001,'Per Line'!$C$2:$C$6001,$B1126,'Per Line'!$AJ$2:$AJ$6001,1))</f>
        <v/>
      </c>
      <c r="L1126">
        <f>IF($V1126="","",Settings!$C$7)</f>
        <v/>
      </c>
      <c r="M1126" s="7">
        <f>IF($V1126="","",SUMIFS('Per Line'!$R$2:$R$6001,'Per Line'!$C$2:$C$6001,$B1126,'Per Line'!$AI$2:$AI$6001,0,'Per Line'!$AJ$2:$AJ$6001,0))</f>
        <v/>
      </c>
      <c r="N1126" s="7">
        <f>IF($V1126="","",M1126*L1126)</f>
        <v/>
      </c>
      <c r="O1126">
        <f>IF($V1126="","",Settings!$C$6)</f>
        <v/>
      </c>
      <c r="P1126" s="7">
        <f>IF($V1126="","",SUMIFS('Per Line'!$R$2:$R$6001,'Per Line'!$C$2:$C$6001,$B1126,'Per Line'!$AI$2:$AI$6001,1,'Per Line'!$AJ$2:$AJ$6001,0))</f>
        <v/>
      </c>
      <c r="Q1126" s="7">
        <f>IF($V1126="","",P1126*O1126)</f>
        <v/>
      </c>
      <c r="R1126" s="7">
        <f>IF($V1126="","",Q1126+N1126)</f>
        <v/>
      </c>
      <c r="S1126" s="7">
        <f>IF($V1126="","",T1126-R1126)</f>
        <v/>
      </c>
      <c r="T1126" s="7">
        <f>IF($V1126="","",M1126+P1126+K1126)</f>
        <v/>
      </c>
      <c r="U1126" s="7">
        <f>IF($V1126="","",T1126-R1126-I1126)</f>
        <v/>
      </c>
      <c r="V1126" s="13">
        <f>IF(ROWS($V$2:$V1126)&lt;=MAX('Per Line'!$AH$2:$AH$6001),MATCH(ROWS($V$2:$V1126),'Per Line'!$AH$2:$AH$6001,0),"")</f>
        <v/>
      </c>
    </row>
    <row r="1127">
      <c r="A1127" s="12" t="n"/>
      <c r="B1127">
        <f>IF($V1127="","",INDEX('Per Line'!$C$2:$C$6001,$V1127)&amp;"")</f>
        <v/>
      </c>
      <c r="C1127" s="11">
        <f>IF($V1127="","",INDEX('Per Line'!$D$2:$D$6001,$V1127))</f>
        <v/>
      </c>
      <c r="D1127">
        <f>IF($V1127="","",INDEX('Per Line'!$E$2:$E$6001,$V1127)&amp;"")</f>
        <v/>
      </c>
      <c r="E1127">
        <f>IF($V1127="","",INDEX('Per Line'!$G$2:$G$6001,$V1127)&amp;"")</f>
        <v/>
      </c>
      <c r="F1127">
        <f>IF($V1127="","",INDEX('Per Line'!$H$2:$H$6001,$V1127)&amp;"")</f>
        <v/>
      </c>
      <c r="G1127">
        <f>IF($V1127="","",INDEX('Per Line'!$I$2:$I$6001,$V1127)&amp;"")</f>
        <v/>
      </c>
      <c r="H1127">
        <f>IF($V1127="","",INDEX('Per Line'!$J$2:$J$6001,$V1127))</f>
        <v/>
      </c>
      <c r="I1127" s="7">
        <f>IF($V1127="","",H1127*S1127/100)</f>
        <v/>
      </c>
      <c r="J1127">
        <f>IF($V1127="","",INDEX('Per Line'!$S$2:$S$6001,$V1127)&amp;"")</f>
        <v/>
      </c>
      <c r="K1127" s="7">
        <f>IF($V1127="","",SUMIFS('Per Line'!$R$2:$R$6001,'Per Line'!$C$2:$C$6001,$B1127,'Per Line'!$AJ$2:$AJ$6001,1))</f>
        <v/>
      </c>
      <c r="L1127">
        <f>IF($V1127="","",Settings!$C$7)</f>
        <v/>
      </c>
      <c r="M1127" s="7">
        <f>IF($V1127="","",SUMIFS('Per Line'!$R$2:$R$6001,'Per Line'!$C$2:$C$6001,$B1127,'Per Line'!$AI$2:$AI$6001,0,'Per Line'!$AJ$2:$AJ$6001,0))</f>
        <v/>
      </c>
      <c r="N1127" s="7">
        <f>IF($V1127="","",M1127*L1127)</f>
        <v/>
      </c>
      <c r="O1127">
        <f>IF($V1127="","",Settings!$C$6)</f>
        <v/>
      </c>
      <c r="P1127" s="7">
        <f>IF($V1127="","",SUMIFS('Per Line'!$R$2:$R$6001,'Per Line'!$C$2:$C$6001,$B1127,'Per Line'!$AI$2:$AI$6001,1,'Per Line'!$AJ$2:$AJ$6001,0))</f>
        <v/>
      </c>
      <c r="Q1127" s="7">
        <f>IF($V1127="","",P1127*O1127)</f>
        <v/>
      </c>
      <c r="R1127" s="7">
        <f>IF($V1127="","",Q1127+N1127)</f>
        <v/>
      </c>
      <c r="S1127" s="7">
        <f>IF($V1127="","",T1127-R1127)</f>
        <v/>
      </c>
      <c r="T1127" s="7">
        <f>IF($V1127="","",M1127+P1127+K1127)</f>
        <v/>
      </c>
      <c r="U1127" s="7">
        <f>IF($V1127="","",T1127-R1127-I1127)</f>
        <v/>
      </c>
      <c r="V1127" s="13">
        <f>IF(ROWS($V$2:$V1127)&lt;=MAX('Per Line'!$AH$2:$AH$6001),MATCH(ROWS($V$2:$V1127),'Per Line'!$AH$2:$AH$6001,0),"")</f>
        <v/>
      </c>
    </row>
    <row r="1128">
      <c r="A1128" s="12" t="n"/>
      <c r="B1128">
        <f>IF($V1128="","",INDEX('Per Line'!$C$2:$C$6001,$V1128)&amp;"")</f>
        <v/>
      </c>
      <c r="C1128" s="11">
        <f>IF($V1128="","",INDEX('Per Line'!$D$2:$D$6001,$V1128))</f>
        <v/>
      </c>
      <c r="D1128">
        <f>IF($V1128="","",INDEX('Per Line'!$E$2:$E$6001,$V1128)&amp;"")</f>
        <v/>
      </c>
      <c r="E1128">
        <f>IF($V1128="","",INDEX('Per Line'!$G$2:$G$6001,$V1128)&amp;"")</f>
        <v/>
      </c>
      <c r="F1128">
        <f>IF($V1128="","",INDEX('Per Line'!$H$2:$H$6001,$V1128)&amp;"")</f>
        <v/>
      </c>
      <c r="G1128">
        <f>IF($V1128="","",INDEX('Per Line'!$I$2:$I$6001,$V1128)&amp;"")</f>
        <v/>
      </c>
      <c r="H1128">
        <f>IF($V1128="","",INDEX('Per Line'!$J$2:$J$6001,$V1128))</f>
        <v/>
      </c>
      <c r="I1128" s="7">
        <f>IF($V1128="","",H1128*S1128/100)</f>
        <v/>
      </c>
      <c r="J1128">
        <f>IF($V1128="","",INDEX('Per Line'!$S$2:$S$6001,$V1128)&amp;"")</f>
        <v/>
      </c>
      <c r="K1128" s="7">
        <f>IF($V1128="","",SUMIFS('Per Line'!$R$2:$R$6001,'Per Line'!$C$2:$C$6001,$B1128,'Per Line'!$AJ$2:$AJ$6001,1))</f>
        <v/>
      </c>
      <c r="L1128">
        <f>IF($V1128="","",Settings!$C$7)</f>
        <v/>
      </c>
      <c r="M1128" s="7">
        <f>IF($V1128="","",SUMIFS('Per Line'!$R$2:$R$6001,'Per Line'!$C$2:$C$6001,$B1128,'Per Line'!$AI$2:$AI$6001,0,'Per Line'!$AJ$2:$AJ$6001,0))</f>
        <v/>
      </c>
      <c r="N1128" s="7">
        <f>IF($V1128="","",M1128*L1128)</f>
        <v/>
      </c>
      <c r="O1128">
        <f>IF($V1128="","",Settings!$C$6)</f>
        <v/>
      </c>
      <c r="P1128" s="7">
        <f>IF($V1128="","",SUMIFS('Per Line'!$R$2:$R$6001,'Per Line'!$C$2:$C$6001,$B1128,'Per Line'!$AI$2:$AI$6001,1,'Per Line'!$AJ$2:$AJ$6001,0))</f>
        <v/>
      </c>
      <c r="Q1128" s="7">
        <f>IF($V1128="","",P1128*O1128)</f>
        <v/>
      </c>
      <c r="R1128" s="7">
        <f>IF($V1128="","",Q1128+N1128)</f>
        <v/>
      </c>
      <c r="S1128" s="7">
        <f>IF($V1128="","",T1128-R1128)</f>
        <v/>
      </c>
      <c r="T1128" s="7">
        <f>IF($V1128="","",M1128+P1128+K1128)</f>
        <v/>
      </c>
      <c r="U1128" s="7">
        <f>IF($V1128="","",T1128-R1128-I1128)</f>
        <v/>
      </c>
      <c r="V1128" s="13">
        <f>IF(ROWS($V$2:$V1128)&lt;=MAX('Per Line'!$AH$2:$AH$6001),MATCH(ROWS($V$2:$V1128),'Per Line'!$AH$2:$AH$6001,0),"")</f>
        <v/>
      </c>
    </row>
    <row r="1129">
      <c r="A1129" s="12" t="n"/>
      <c r="B1129">
        <f>IF($V1129="","",INDEX('Per Line'!$C$2:$C$6001,$V1129)&amp;"")</f>
        <v/>
      </c>
      <c r="C1129" s="11">
        <f>IF($V1129="","",INDEX('Per Line'!$D$2:$D$6001,$V1129))</f>
        <v/>
      </c>
      <c r="D1129">
        <f>IF($V1129="","",INDEX('Per Line'!$E$2:$E$6001,$V1129)&amp;"")</f>
        <v/>
      </c>
      <c r="E1129">
        <f>IF($V1129="","",INDEX('Per Line'!$G$2:$G$6001,$V1129)&amp;"")</f>
        <v/>
      </c>
      <c r="F1129">
        <f>IF($V1129="","",INDEX('Per Line'!$H$2:$H$6001,$V1129)&amp;"")</f>
        <v/>
      </c>
      <c r="G1129">
        <f>IF($V1129="","",INDEX('Per Line'!$I$2:$I$6001,$V1129)&amp;"")</f>
        <v/>
      </c>
      <c r="H1129">
        <f>IF($V1129="","",INDEX('Per Line'!$J$2:$J$6001,$V1129))</f>
        <v/>
      </c>
      <c r="I1129" s="7">
        <f>IF($V1129="","",H1129*S1129/100)</f>
        <v/>
      </c>
      <c r="J1129">
        <f>IF($V1129="","",INDEX('Per Line'!$S$2:$S$6001,$V1129)&amp;"")</f>
        <v/>
      </c>
      <c r="K1129" s="7">
        <f>IF($V1129="","",SUMIFS('Per Line'!$R$2:$R$6001,'Per Line'!$C$2:$C$6001,$B1129,'Per Line'!$AJ$2:$AJ$6001,1))</f>
        <v/>
      </c>
      <c r="L1129">
        <f>IF($V1129="","",Settings!$C$7)</f>
        <v/>
      </c>
      <c r="M1129" s="7">
        <f>IF($V1129="","",SUMIFS('Per Line'!$R$2:$R$6001,'Per Line'!$C$2:$C$6001,$B1129,'Per Line'!$AI$2:$AI$6001,0,'Per Line'!$AJ$2:$AJ$6001,0))</f>
        <v/>
      </c>
      <c r="N1129" s="7">
        <f>IF($V1129="","",M1129*L1129)</f>
        <v/>
      </c>
      <c r="O1129">
        <f>IF($V1129="","",Settings!$C$6)</f>
        <v/>
      </c>
      <c r="P1129" s="7">
        <f>IF($V1129="","",SUMIFS('Per Line'!$R$2:$R$6001,'Per Line'!$C$2:$C$6001,$B1129,'Per Line'!$AI$2:$AI$6001,1,'Per Line'!$AJ$2:$AJ$6001,0))</f>
        <v/>
      </c>
      <c r="Q1129" s="7">
        <f>IF($V1129="","",P1129*O1129)</f>
        <v/>
      </c>
      <c r="R1129" s="7">
        <f>IF($V1129="","",Q1129+N1129)</f>
        <v/>
      </c>
      <c r="S1129" s="7">
        <f>IF($V1129="","",T1129-R1129)</f>
        <v/>
      </c>
      <c r="T1129" s="7">
        <f>IF($V1129="","",M1129+P1129+K1129)</f>
        <v/>
      </c>
      <c r="U1129" s="7">
        <f>IF($V1129="","",T1129-R1129-I1129)</f>
        <v/>
      </c>
      <c r="V1129" s="13">
        <f>IF(ROWS($V$2:$V1129)&lt;=MAX('Per Line'!$AH$2:$AH$6001),MATCH(ROWS($V$2:$V1129),'Per Line'!$AH$2:$AH$6001,0),"")</f>
        <v/>
      </c>
    </row>
    <row r="1130">
      <c r="A1130" s="12" t="n"/>
      <c r="B1130">
        <f>IF($V1130="","",INDEX('Per Line'!$C$2:$C$6001,$V1130)&amp;"")</f>
        <v/>
      </c>
      <c r="C1130" s="11">
        <f>IF($V1130="","",INDEX('Per Line'!$D$2:$D$6001,$V1130))</f>
        <v/>
      </c>
      <c r="D1130">
        <f>IF($V1130="","",INDEX('Per Line'!$E$2:$E$6001,$V1130)&amp;"")</f>
        <v/>
      </c>
      <c r="E1130">
        <f>IF($V1130="","",INDEX('Per Line'!$G$2:$G$6001,$V1130)&amp;"")</f>
        <v/>
      </c>
      <c r="F1130">
        <f>IF($V1130="","",INDEX('Per Line'!$H$2:$H$6001,$V1130)&amp;"")</f>
        <v/>
      </c>
      <c r="G1130">
        <f>IF($V1130="","",INDEX('Per Line'!$I$2:$I$6001,$V1130)&amp;"")</f>
        <v/>
      </c>
      <c r="H1130">
        <f>IF($V1130="","",INDEX('Per Line'!$J$2:$J$6001,$V1130))</f>
        <v/>
      </c>
      <c r="I1130" s="7">
        <f>IF($V1130="","",H1130*S1130/100)</f>
        <v/>
      </c>
      <c r="J1130">
        <f>IF($V1130="","",INDEX('Per Line'!$S$2:$S$6001,$V1130)&amp;"")</f>
        <v/>
      </c>
      <c r="K1130" s="7">
        <f>IF($V1130="","",SUMIFS('Per Line'!$R$2:$R$6001,'Per Line'!$C$2:$C$6001,$B1130,'Per Line'!$AJ$2:$AJ$6001,1))</f>
        <v/>
      </c>
      <c r="L1130">
        <f>IF($V1130="","",Settings!$C$7)</f>
        <v/>
      </c>
      <c r="M1130" s="7">
        <f>IF($V1130="","",SUMIFS('Per Line'!$R$2:$R$6001,'Per Line'!$C$2:$C$6001,$B1130,'Per Line'!$AI$2:$AI$6001,0,'Per Line'!$AJ$2:$AJ$6001,0))</f>
        <v/>
      </c>
      <c r="N1130" s="7">
        <f>IF($V1130="","",M1130*L1130)</f>
        <v/>
      </c>
      <c r="O1130">
        <f>IF($V1130="","",Settings!$C$6)</f>
        <v/>
      </c>
      <c r="P1130" s="7">
        <f>IF($V1130="","",SUMIFS('Per Line'!$R$2:$R$6001,'Per Line'!$C$2:$C$6001,$B1130,'Per Line'!$AI$2:$AI$6001,1,'Per Line'!$AJ$2:$AJ$6001,0))</f>
        <v/>
      </c>
      <c r="Q1130" s="7">
        <f>IF($V1130="","",P1130*O1130)</f>
        <v/>
      </c>
      <c r="R1130" s="7">
        <f>IF($V1130="","",Q1130+N1130)</f>
        <v/>
      </c>
      <c r="S1130" s="7">
        <f>IF($V1130="","",T1130-R1130)</f>
        <v/>
      </c>
      <c r="T1130" s="7">
        <f>IF($V1130="","",M1130+P1130+K1130)</f>
        <v/>
      </c>
      <c r="U1130" s="7">
        <f>IF($V1130="","",T1130-R1130-I1130)</f>
        <v/>
      </c>
      <c r="V1130" s="13">
        <f>IF(ROWS($V$2:$V1130)&lt;=MAX('Per Line'!$AH$2:$AH$6001),MATCH(ROWS($V$2:$V1130),'Per Line'!$AH$2:$AH$6001,0),"")</f>
        <v/>
      </c>
    </row>
    <row r="1131">
      <c r="A1131" s="12" t="n"/>
      <c r="B1131">
        <f>IF($V1131="","",INDEX('Per Line'!$C$2:$C$6001,$V1131)&amp;"")</f>
        <v/>
      </c>
      <c r="C1131" s="11">
        <f>IF($V1131="","",INDEX('Per Line'!$D$2:$D$6001,$V1131))</f>
        <v/>
      </c>
      <c r="D1131">
        <f>IF($V1131="","",INDEX('Per Line'!$E$2:$E$6001,$V1131)&amp;"")</f>
        <v/>
      </c>
      <c r="E1131">
        <f>IF($V1131="","",INDEX('Per Line'!$G$2:$G$6001,$V1131)&amp;"")</f>
        <v/>
      </c>
      <c r="F1131">
        <f>IF($V1131="","",INDEX('Per Line'!$H$2:$H$6001,$V1131)&amp;"")</f>
        <v/>
      </c>
      <c r="G1131">
        <f>IF($V1131="","",INDEX('Per Line'!$I$2:$I$6001,$V1131)&amp;"")</f>
        <v/>
      </c>
      <c r="H1131">
        <f>IF($V1131="","",INDEX('Per Line'!$J$2:$J$6001,$V1131))</f>
        <v/>
      </c>
      <c r="I1131" s="7">
        <f>IF($V1131="","",H1131*S1131/100)</f>
        <v/>
      </c>
      <c r="J1131">
        <f>IF($V1131="","",INDEX('Per Line'!$S$2:$S$6001,$V1131)&amp;"")</f>
        <v/>
      </c>
      <c r="K1131" s="7">
        <f>IF($V1131="","",SUMIFS('Per Line'!$R$2:$R$6001,'Per Line'!$C$2:$C$6001,$B1131,'Per Line'!$AJ$2:$AJ$6001,1))</f>
        <v/>
      </c>
      <c r="L1131">
        <f>IF($V1131="","",Settings!$C$7)</f>
        <v/>
      </c>
      <c r="M1131" s="7">
        <f>IF($V1131="","",SUMIFS('Per Line'!$R$2:$R$6001,'Per Line'!$C$2:$C$6001,$B1131,'Per Line'!$AI$2:$AI$6001,0,'Per Line'!$AJ$2:$AJ$6001,0))</f>
        <v/>
      </c>
      <c r="N1131" s="7">
        <f>IF($V1131="","",M1131*L1131)</f>
        <v/>
      </c>
      <c r="O1131">
        <f>IF($V1131="","",Settings!$C$6)</f>
        <v/>
      </c>
      <c r="P1131" s="7">
        <f>IF($V1131="","",SUMIFS('Per Line'!$R$2:$R$6001,'Per Line'!$C$2:$C$6001,$B1131,'Per Line'!$AI$2:$AI$6001,1,'Per Line'!$AJ$2:$AJ$6001,0))</f>
        <v/>
      </c>
      <c r="Q1131" s="7">
        <f>IF($V1131="","",P1131*O1131)</f>
        <v/>
      </c>
      <c r="R1131" s="7">
        <f>IF($V1131="","",Q1131+N1131)</f>
        <v/>
      </c>
      <c r="S1131" s="7">
        <f>IF($V1131="","",T1131-R1131)</f>
        <v/>
      </c>
      <c r="T1131" s="7">
        <f>IF($V1131="","",M1131+P1131+K1131)</f>
        <v/>
      </c>
      <c r="U1131" s="7">
        <f>IF($V1131="","",T1131-R1131-I1131)</f>
        <v/>
      </c>
      <c r="V1131" s="13">
        <f>IF(ROWS($V$2:$V1131)&lt;=MAX('Per Line'!$AH$2:$AH$6001),MATCH(ROWS($V$2:$V1131),'Per Line'!$AH$2:$AH$6001,0),"")</f>
        <v/>
      </c>
    </row>
    <row r="1132">
      <c r="A1132" s="12" t="n"/>
      <c r="B1132">
        <f>IF($V1132="","",INDEX('Per Line'!$C$2:$C$6001,$V1132)&amp;"")</f>
        <v/>
      </c>
      <c r="C1132" s="11">
        <f>IF($V1132="","",INDEX('Per Line'!$D$2:$D$6001,$V1132))</f>
        <v/>
      </c>
      <c r="D1132">
        <f>IF($V1132="","",INDEX('Per Line'!$E$2:$E$6001,$V1132)&amp;"")</f>
        <v/>
      </c>
      <c r="E1132">
        <f>IF($V1132="","",INDEX('Per Line'!$G$2:$G$6001,$V1132)&amp;"")</f>
        <v/>
      </c>
      <c r="F1132">
        <f>IF($V1132="","",INDEX('Per Line'!$H$2:$H$6001,$V1132)&amp;"")</f>
        <v/>
      </c>
      <c r="G1132">
        <f>IF($V1132="","",INDEX('Per Line'!$I$2:$I$6001,$V1132)&amp;"")</f>
        <v/>
      </c>
      <c r="H1132">
        <f>IF($V1132="","",INDEX('Per Line'!$J$2:$J$6001,$V1132))</f>
        <v/>
      </c>
      <c r="I1132" s="7">
        <f>IF($V1132="","",H1132*S1132/100)</f>
        <v/>
      </c>
      <c r="J1132">
        <f>IF($V1132="","",INDEX('Per Line'!$S$2:$S$6001,$V1132)&amp;"")</f>
        <v/>
      </c>
      <c r="K1132" s="7">
        <f>IF($V1132="","",SUMIFS('Per Line'!$R$2:$R$6001,'Per Line'!$C$2:$C$6001,$B1132,'Per Line'!$AJ$2:$AJ$6001,1))</f>
        <v/>
      </c>
      <c r="L1132">
        <f>IF($V1132="","",Settings!$C$7)</f>
        <v/>
      </c>
      <c r="M1132" s="7">
        <f>IF($V1132="","",SUMIFS('Per Line'!$R$2:$R$6001,'Per Line'!$C$2:$C$6001,$B1132,'Per Line'!$AI$2:$AI$6001,0,'Per Line'!$AJ$2:$AJ$6001,0))</f>
        <v/>
      </c>
      <c r="N1132" s="7">
        <f>IF($V1132="","",M1132*L1132)</f>
        <v/>
      </c>
      <c r="O1132">
        <f>IF($V1132="","",Settings!$C$6)</f>
        <v/>
      </c>
      <c r="P1132" s="7">
        <f>IF($V1132="","",SUMIFS('Per Line'!$R$2:$R$6001,'Per Line'!$C$2:$C$6001,$B1132,'Per Line'!$AI$2:$AI$6001,1,'Per Line'!$AJ$2:$AJ$6001,0))</f>
        <v/>
      </c>
      <c r="Q1132" s="7">
        <f>IF($V1132="","",P1132*O1132)</f>
        <v/>
      </c>
      <c r="R1132" s="7">
        <f>IF($V1132="","",Q1132+N1132)</f>
        <v/>
      </c>
      <c r="S1132" s="7">
        <f>IF($V1132="","",T1132-R1132)</f>
        <v/>
      </c>
      <c r="T1132" s="7">
        <f>IF($V1132="","",M1132+P1132+K1132)</f>
        <v/>
      </c>
      <c r="U1132" s="7">
        <f>IF($V1132="","",T1132-R1132-I1132)</f>
        <v/>
      </c>
      <c r="V1132" s="13">
        <f>IF(ROWS($V$2:$V1132)&lt;=MAX('Per Line'!$AH$2:$AH$6001),MATCH(ROWS($V$2:$V1132),'Per Line'!$AH$2:$AH$6001,0),"")</f>
        <v/>
      </c>
    </row>
    <row r="1133">
      <c r="A1133" s="12" t="n"/>
      <c r="B1133">
        <f>IF($V1133="","",INDEX('Per Line'!$C$2:$C$6001,$V1133)&amp;"")</f>
        <v/>
      </c>
      <c r="C1133" s="11">
        <f>IF($V1133="","",INDEX('Per Line'!$D$2:$D$6001,$V1133))</f>
        <v/>
      </c>
      <c r="D1133">
        <f>IF($V1133="","",INDEX('Per Line'!$E$2:$E$6001,$V1133)&amp;"")</f>
        <v/>
      </c>
      <c r="E1133">
        <f>IF($V1133="","",INDEX('Per Line'!$G$2:$G$6001,$V1133)&amp;"")</f>
        <v/>
      </c>
      <c r="F1133">
        <f>IF($V1133="","",INDEX('Per Line'!$H$2:$H$6001,$V1133)&amp;"")</f>
        <v/>
      </c>
      <c r="G1133">
        <f>IF($V1133="","",INDEX('Per Line'!$I$2:$I$6001,$V1133)&amp;"")</f>
        <v/>
      </c>
      <c r="H1133">
        <f>IF($V1133="","",INDEX('Per Line'!$J$2:$J$6001,$V1133))</f>
        <v/>
      </c>
      <c r="I1133" s="7">
        <f>IF($V1133="","",H1133*S1133/100)</f>
        <v/>
      </c>
      <c r="J1133">
        <f>IF($V1133="","",INDEX('Per Line'!$S$2:$S$6001,$V1133)&amp;"")</f>
        <v/>
      </c>
      <c r="K1133" s="7">
        <f>IF($V1133="","",SUMIFS('Per Line'!$R$2:$R$6001,'Per Line'!$C$2:$C$6001,$B1133,'Per Line'!$AJ$2:$AJ$6001,1))</f>
        <v/>
      </c>
      <c r="L1133">
        <f>IF($V1133="","",Settings!$C$7)</f>
        <v/>
      </c>
      <c r="M1133" s="7">
        <f>IF($V1133="","",SUMIFS('Per Line'!$R$2:$R$6001,'Per Line'!$C$2:$C$6001,$B1133,'Per Line'!$AI$2:$AI$6001,0,'Per Line'!$AJ$2:$AJ$6001,0))</f>
        <v/>
      </c>
      <c r="N1133" s="7">
        <f>IF($V1133="","",M1133*L1133)</f>
        <v/>
      </c>
      <c r="O1133">
        <f>IF($V1133="","",Settings!$C$6)</f>
        <v/>
      </c>
      <c r="P1133" s="7">
        <f>IF($V1133="","",SUMIFS('Per Line'!$R$2:$R$6001,'Per Line'!$C$2:$C$6001,$B1133,'Per Line'!$AI$2:$AI$6001,1,'Per Line'!$AJ$2:$AJ$6001,0))</f>
        <v/>
      </c>
      <c r="Q1133" s="7">
        <f>IF($V1133="","",P1133*O1133)</f>
        <v/>
      </c>
      <c r="R1133" s="7">
        <f>IF($V1133="","",Q1133+N1133)</f>
        <v/>
      </c>
      <c r="S1133" s="7">
        <f>IF($V1133="","",T1133-R1133)</f>
        <v/>
      </c>
      <c r="T1133" s="7">
        <f>IF($V1133="","",M1133+P1133+K1133)</f>
        <v/>
      </c>
      <c r="U1133" s="7">
        <f>IF($V1133="","",T1133-R1133-I1133)</f>
        <v/>
      </c>
      <c r="V1133" s="13">
        <f>IF(ROWS($V$2:$V1133)&lt;=MAX('Per Line'!$AH$2:$AH$6001),MATCH(ROWS($V$2:$V1133),'Per Line'!$AH$2:$AH$6001,0),"")</f>
        <v/>
      </c>
    </row>
    <row r="1134">
      <c r="A1134" s="12" t="n"/>
      <c r="B1134">
        <f>IF($V1134="","",INDEX('Per Line'!$C$2:$C$6001,$V1134)&amp;"")</f>
        <v/>
      </c>
      <c r="C1134" s="11">
        <f>IF($V1134="","",INDEX('Per Line'!$D$2:$D$6001,$V1134))</f>
        <v/>
      </c>
      <c r="D1134">
        <f>IF($V1134="","",INDEX('Per Line'!$E$2:$E$6001,$V1134)&amp;"")</f>
        <v/>
      </c>
      <c r="E1134">
        <f>IF($V1134="","",INDEX('Per Line'!$G$2:$G$6001,$V1134)&amp;"")</f>
        <v/>
      </c>
      <c r="F1134">
        <f>IF($V1134="","",INDEX('Per Line'!$H$2:$H$6001,$V1134)&amp;"")</f>
        <v/>
      </c>
      <c r="G1134">
        <f>IF($V1134="","",INDEX('Per Line'!$I$2:$I$6001,$V1134)&amp;"")</f>
        <v/>
      </c>
      <c r="H1134">
        <f>IF($V1134="","",INDEX('Per Line'!$J$2:$J$6001,$V1134))</f>
        <v/>
      </c>
      <c r="I1134" s="7">
        <f>IF($V1134="","",H1134*S1134/100)</f>
        <v/>
      </c>
      <c r="J1134">
        <f>IF($V1134="","",INDEX('Per Line'!$S$2:$S$6001,$V1134)&amp;"")</f>
        <v/>
      </c>
      <c r="K1134" s="7">
        <f>IF($V1134="","",SUMIFS('Per Line'!$R$2:$R$6001,'Per Line'!$C$2:$C$6001,$B1134,'Per Line'!$AJ$2:$AJ$6001,1))</f>
        <v/>
      </c>
      <c r="L1134">
        <f>IF($V1134="","",Settings!$C$7)</f>
        <v/>
      </c>
      <c r="M1134" s="7">
        <f>IF($V1134="","",SUMIFS('Per Line'!$R$2:$R$6001,'Per Line'!$C$2:$C$6001,$B1134,'Per Line'!$AI$2:$AI$6001,0,'Per Line'!$AJ$2:$AJ$6001,0))</f>
        <v/>
      </c>
      <c r="N1134" s="7">
        <f>IF($V1134="","",M1134*L1134)</f>
        <v/>
      </c>
      <c r="O1134">
        <f>IF($V1134="","",Settings!$C$6)</f>
        <v/>
      </c>
      <c r="P1134" s="7">
        <f>IF($V1134="","",SUMIFS('Per Line'!$R$2:$R$6001,'Per Line'!$C$2:$C$6001,$B1134,'Per Line'!$AI$2:$AI$6001,1,'Per Line'!$AJ$2:$AJ$6001,0))</f>
        <v/>
      </c>
      <c r="Q1134" s="7">
        <f>IF($V1134="","",P1134*O1134)</f>
        <v/>
      </c>
      <c r="R1134" s="7">
        <f>IF($V1134="","",Q1134+N1134)</f>
        <v/>
      </c>
      <c r="S1134" s="7">
        <f>IF($V1134="","",T1134-R1134)</f>
        <v/>
      </c>
      <c r="T1134" s="7">
        <f>IF($V1134="","",M1134+P1134+K1134)</f>
        <v/>
      </c>
      <c r="U1134" s="7">
        <f>IF($V1134="","",T1134-R1134-I1134)</f>
        <v/>
      </c>
      <c r="V1134" s="13">
        <f>IF(ROWS($V$2:$V1134)&lt;=MAX('Per Line'!$AH$2:$AH$6001),MATCH(ROWS($V$2:$V1134),'Per Line'!$AH$2:$AH$6001,0),"")</f>
        <v/>
      </c>
    </row>
    <row r="1135">
      <c r="A1135" s="12" t="n"/>
      <c r="B1135">
        <f>IF($V1135="","",INDEX('Per Line'!$C$2:$C$6001,$V1135)&amp;"")</f>
        <v/>
      </c>
      <c r="C1135" s="11">
        <f>IF($V1135="","",INDEX('Per Line'!$D$2:$D$6001,$V1135))</f>
        <v/>
      </c>
      <c r="D1135">
        <f>IF($V1135="","",INDEX('Per Line'!$E$2:$E$6001,$V1135)&amp;"")</f>
        <v/>
      </c>
      <c r="E1135">
        <f>IF($V1135="","",INDEX('Per Line'!$G$2:$G$6001,$V1135)&amp;"")</f>
        <v/>
      </c>
      <c r="F1135">
        <f>IF($V1135="","",INDEX('Per Line'!$H$2:$H$6001,$V1135)&amp;"")</f>
        <v/>
      </c>
      <c r="G1135">
        <f>IF($V1135="","",INDEX('Per Line'!$I$2:$I$6001,$V1135)&amp;"")</f>
        <v/>
      </c>
      <c r="H1135">
        <f>IF($V1135="","",INDEX('Per Line'!$J$2:$J$6001,$V1135))</f>
        <v/>
      </c>
      <c r="I1135" s="7">
        <f>IF($V1135="","",H1135*S1135/100)</f>
        <v/>
      </c>
      <c r="J1135">
        <f>IF($V1135="","",INDEX('Per Line'!$S$2:$S$6001,$V1135)&amp;"")</f>
        <v/>
      </c>
      <c r="K1135" s="7">
        <f>IF($V1135="","",SUMIFS('Per Line'!$R$2:$R$6001,'Per Line'!$C$2:$C$6001,$B1135,'Per Line'!$AJ$2:$AJ$6001,1))</f>
        <v/>
      </c>
      <c r="L1135">
        <f>IF($V1135="","",Settings!$C$7)</f>
        <v/>
      </c>
      <c r="M1135" s="7">
        <f>IF($V1135="","",SUMIFS('Per Line'!$R$2:$R$6001,'Per Line'!$C$2:$C$6001,$B1135,'Per Line'!$AI$2:$AI$6001,0,'Per Line'!$AJ$2:$AJ$6001,0))</f>
        <v/>
      </c>
      <c r="N1135" s="7">
        <f>IF($V1135="","",M1135*L1135)</f>
        <v/>
      </c>
      <c r="O1135">
        <f>IF($V1135="","",Settings!$C$6)</f>
        <v/>
      </c>
      <c r="P1135" s="7">
        <f>IF($V1135="","",SUMIFS('Per Line'!$R$2:$R$6001,'Per Line'!$C$2:$C$6001,$B1135,'Per Line'!$AI$2:$AI$6001,1,'Per Line'!$AJ$2:$AJ$6001,0))</f>
        <v/>
      </c>
      <c r="Q1135" s="7">
        <f>IF($V1135="","",P1135*O1135)</f>
        <v/>
      </c>
      <c r="R1135" s="7">
        <f>IF($V1135="","",Q1135+N1135)</f>
        <v/>
      </c>
      <c r="S1135" s="7">
        <f>IF($V1135="","",T1135-R1135)</f>
        <v/>
      </c>
      <c r="T1135" s="7">
        <f>IF($V1135="","",M1135+P1135+K1135)</f>
        <v/>
      </c>
      <c r="U1135" s="7">
        <f>IF($V1135="","",T1135-R1135-I1135)</f>
        <v/>
      </c>
      <c r="V1135" s="13">
        <f>IF(ROWS($V$2:$V1135)&lt;=MAX('Per Line'!$AH$2:$AH$6001),MATCH(ROWS($V$2:$V1135),'Per Line'!$AH$2:$AH$6001,0),"")</f>
        <v/>
      </c>
    </row>
    <row r="1136">
      <c r="A1136" s="12" t="n"/>
      <c r="B1136">
        <f>IF($V1136="","",INDEX('Per Line'!$C$2:$C$6001,$V1136)&amp;"")</f>
        <v/>
      </c>
      <c r="C1136" s="11">
        <f>IF($V1136="","",INDEX('Per Line'!$D$2:$D$6001,$V1136))</f>
        <v/>
      </c>
      <c r="D1136">
        <f>IF($V1136="","",INDEX('Per Line'!$E$2:$E$6001,$V1136)&amp;"")</f>
        <v/>
      </c>
      <c r="E1136">
        <f>IF($V1136="","",INDEX('Per Line'!$G$2:$G$6001,$V1136)&amp;"")</f>
        <v/>
      </c>
      <c r="F1136">
        <f>IF($V1136="","",INDEX('Per Line'!$H$2:$H$6001,$V1136)&amp;"")</f>
        <v/>
      </c>
      <c r="G1136">
        <f>IF($V1136="","",INDEX('Per Line'!$I$2:$I$6001,$V1136)&amp;"")</f>
        <v/>
      </c>
      <c r="H1136">
        <f>IF($V1136="","",INDEX('Per Line'!$J$2:$J$6001,$V1136))</f>
        <v/>
      </c>
      <c r="I1136" s="7">
        <f>IF($V1136="","",H1136*S1136/100)</f>
        <v/>
      </c>
      <c r="J1136">
        <f>IF($V1136="","",INDEX('Per Line'!$S$2:$S$6001,$V1136)&amp;"")</f>
        <v/>
      </c>
      <c r="K1136" s="7">
        <f>IF($V1136="","",SUMIFS('Per Line'!$R$2:$R$6001,'Per Line'!$C$2:$C$6001,$B1136,'Per Line'!$AJ$2:$AJ$6001,1))</f>
        <v/>
      </c>
      <c r="L1136">
        <f>IF($V1136="","",Settings!$C$7)</f>
        <v/>
      </c>
      <c r="M1136" s="7">
        <f>IF($V1136="","",SUMIFS('Per Line'!$R$2:$R$6001,'Per Line'!$C$2:$C$6001,$B1136,'Per Line'!$AI$2:$AI$6001,0,'Per Line'!$AJ$2:$AJ$6001,0))</f>
        <v/>
      </c>
      <c r="N1136" s="7">
        <f>IF($V1136="","",M1136*L1136)</f>
        <v/>
      </c>
      <c r="O1136">
        <f>IF($V1136="","",Settings!$C$6)</f>
        <v/>
      </c>
      <c r="P1136" s="7">
        <f>IF($V1136="","",SUMIFS('Per Line'!$R$2:$R$6001,'Per Line'!$C$2:$C$6001,$B1136,'Per Line'!$AI$2:$AI$6001,1,'Per Line'!$AJ$2:$AJ$6001,0))</f>
        <v/>
      </c>
      <c r="Q1136" s="7">
        <f>IF($V1136="","",P1136*O1136)</f>
        <v/>
      </c>
      <c r="R1136" s="7">
        <f>IF($V1136="","",Q1136+N1136)</f>
        <v/>
      </c>
      <c r="S1136" s="7">
        <f>IF($V1136="","",T1136-R1136)</f>
        <v/>
      </c>
      <c r="T1136" s="7">
        <f>IF($V1136="","",M1136+P1136+K1136)</f>
        <v/>
      </c>
      <c r="U1136" s="7">
        <f>IF($V1136="","",T1136-R1136-I1136)</f>
        <v/>
      </c>
      <c r="V1136" s="13">
        <f>IF(ROWS($V$2:$V1136)&lt;=MAX('Per Line'!$AH$2:$AH$6001),MATCH(ROWS($V$2:$V1136),'Per Line'!$AH$2:$AH$6001,0),"")</f>
        <v/>
      </c>
    </row>
    <row r="1137">
      <c r="A1137" s="12" t="n"/>
      <c r="B1137">
        <f>IF($V1137="","",INDEX('Per Line'!$C$2:$C$6001,$V1137)&amp;"")</f>
        <v/>
      </c>
      <c r="C1137" s="11">
        <f>IF($V1137="","",INDEX('Per Line'!$D$2:$D$6001,$V1137))</f>
        <v/>
      </c>
      <c r="D1137">
        <f>IF($V1137="","",INDEX('Per Line'!$E$2:$E$6001,$V1137)&amp;"")</f>
        <v/>
      </c>
      <c r="E1137">
        <f>IF($V1137="","",INDEX('Per Line'!$G$2:$G$6001,$V1137)&amp;"")</f>
        <v/>
      </c>
      <c r="F1137">
        <f>IF($V1137="","",INDEX('Per Line'!$H$2:$H$6001,$V1137)&amp;"")</f>
        <v/>
      </c>
      <c r="G1137">
        <f>IF($V1137="","",INDEX('Per Line'!$I$2:$I$6001,$V1137)&amp;"")</f>
        <v/>
      </c>
      <c r="H1137">
        <f>IF($V1137="","",INDEX('Per Line'!$J$2:$J$6001,$V1137))</f>
        <v/>
      </c>
      <c r="I1137" s="7">
        <f>IF($V1137="","",H1137*S1137/100)</f>
        <v/>
      </c>
      <c r="J1137">
        <f>IF($V1137="","",INDEX('Per Line'!$S$2:$S$6001,$V1137)&amp;"")</f>
        <v/>
      </c>
      <c r="K1137" s="7">
        <f>IF($V1137="","",SUMIFS('Per Line'!$R$2:$R$6001,'Per Line'!$C$2:$C$6001,$B1137,'Per Line'!$AJ$2:$AJ$6001,1))</f>
        <v/>
      </c>
      <c r="L1137">
        <f>IF($V1137="","",Settings!$C$7)</f>
        <v/>
      </c>
      <c r="M1137" s="7">
        <f>IF($V1137="","",SUMIFS('Per Line'!$R$2:$R$6001,'Per Line'!$C$2:$C$6001,$B1137,'Per Line'!$AI$2:$AI$6001,0,'Per Line'!$AJ$2:$AJ$6001,0))</f>
        <v/>
      </c>
      <c r="N1137" s="7">
        <f>IF($V1137="","",M1137*L1137)</f>
        <v/>
      </c>
      <c r="O1137">
        <f>IF($V1137="","",Settings!$C$6)</f>
        <v/>
      </c>
      <c r="P1137" s="7">
        <f>IF($V1137="","",SUMIFS('Per Line'!$R$2:$R$6001,'Per Line'!$C$2:$C$6001,$B1137,'Per Line'!$AI$2:$AI$6001,1,'Per Line'!$AJ$2:$AJ$6001,0))</f>
        <v/>
      </c>
      <c r="Q1137" s="7">
        <f>IF($V1137="","",P1137*O1137)</f>
        <v/>
      </c>
      <c r="R1137" s="7">
        <f>IF($V1137="","",Q1137+N1137)</f>
        <v/>
      </c>
      <c r="S1137" s="7">
        <f>IF($V1137="","",T1137-R1137)</f>
        <v/>
      </c>
      <c r="T1137" s="7">
        <f>IF($V1137="","",M1137+P1137+K1137)</f>
        <v/>
      </c>
      <c r="U1137" s="7">
        <f>IF($V1137="","",T1137-R1137-I1137)</f>
        <v/>
      </c>
      <c r="V1137" s="13">
        <f>IF(ROWS($V$2:$V1137)&lt;=MAX('Per Line'!$AH$2:$AH$6001),MATCH(ROWS($V$2:$V1137),'Per Line'!$AH$2:$AH$6001,0),"")</f>
        <v/>
      </c>
    </row>
    <row r="1138">
      <c r="A1138" s="12" t="n"/>
      <c r="B1138">
        <f>IF($V1138="","",INDEX('Per Line'!$C$2:$C$6001,$V1138)&amp;"")</f>
        <v/>
      </c>
      <c r="C1138" s="11">
        <f>IF($V1138="","",INDEX('Per Line'!$D$2:$D$6001,$V1138))</f>
        <v/>
      </c>
      <c r="D1138">
        <f>IF($V1138="","",INDEX('Per Line'!$E$2:$E$6001,$V1138)&amp;"")</f>
        <v/>
      </c>
      <c r="E1138">
        <f>IF($V1138="","",INDEX('Per Line'!$G$2:$G$6001,$V1138)&amp;"")</f>
        <v/>
      </c>
      <c r="F1138">
        <f>IF($V1138="","",INDEX('Per Line'!$H$2:$H$6001,$V1138)&amp;"")</f>
        <v/>
      </c>
      <c r="G1138">
        <f>IF($V1138="","",INDEX('Per Line'!$I$2:$I$6001,$V1138)&amp;"")</f>
        <v/>
      </c>
      <c r="H1138">
        <f>IF($V1138="","",INDEX('Per Line'!$J$2:$J$6001,$V1138))</f>
        <v/>
      </c>
      <c r="I1138" s="7">
        <f>IF($V1138="","",H1138*S1138/100)</f>
        <v/>
      </c>
      <c r="J1138">
        <f>IF($V1138="","",INDEX('Per Line'!$S$2:$S$6001,$V1138)&amp;"")</f>
        <v/>
      </c>
      <c r="K1138" s="7">
        <f>IF($V1138="","",SUMIFS('Per Line'!$R$2:$R$6001,'Per Line'!$C$2:$C$6001,$B1138,'Per Line'!$AJ$2:$AJ$6001,1))</f>
        <v/>
      </c>
      <c r="L1138">
        <f>IF($V1138="","",Settings!$C$7)</f>
        <v/>
      </c>
      <c r="M1138" s="7">
        <f>IF($V1138="","",SUMIFS('Per Line'!$R$2:$R$6001,'Per Line'!$C$2:$C$6001,$B1138,'Per Line'!$AI$2:$AI$6001,0,'Per Line'!$AJ$2:$AJ$6001,0))</f>
        <v/>
      </c>
      <c r="N1138" s="7">
        <f>IF($V1138="","",M1138*L1138)</f>
        <v/>
      </c>
      <c r="O1138">
        <f>IF($V1138="","",Settings!$C$6)</f>
        <v/>
      </c>
      <c r="P1138" s="7">
        <f>IF($V1138="","",SUMIFS('Per Line'!$R$2:$R$6001,'Per Line'!$C$2:$C$6001,$B1138,'Per Line'!$AI$2:$AI$6001,1,'Per Line'!$AJ$2:$AJ$6001,0))</f>
        <v/>
      </c>
      <c r="Q1138" s="7">
        <f>IF($V1138="","",P1138*O1138)</f>
        <v/>
      </c>
      <c r="R1138" s="7">
        <f>IF($V1138="","",Q1138+N1138)</f>
        <v/>
      </c>
      <c r="S1138" s="7">
        <f>IF($V1138="","",T1138-R1138)</f>
        <v/>
      </c>
      <c r="T1138" s="7">
        <f>IF($V1138="","",M1138+P1138+K1138)</f>
        <v/>
      </c>
      <c r="U1138" s="7">
        <f>IF($V1138="","",T1138-R1138-I1138)</f>
        <v/>
      </c>
      <c r="V1138" s="13">
        <f>IF(ROWS($V$2:$V1138)&lt;=MAX('Per Line'!$AH$2:$AH$6001),MATCH(ROWS($V$2:$V1138),'Per Line'!$AH$2:$AH$6001,0),"")</f>
        <v/>
      </c>
    </row>
    <row r="1139">
      <c r="A1139" s="12" t="n"/>
      <c r="B1139">
        <f>IF($V1139="","",INDEX('Per Line'!$C$2:$C$6001,$V1139)&amp;"")</f>
        <v/>
      </c>
      <c r="C1139" s="11">
        <f>IF($V1139="","",INDEX('Per Line'!$D$2:$D$6001,$V1139))</f>
        <v/>
      </c>
      <c r="D1139">
        <f>IF($V1139="","",INDEX('Per Line'!$E$2:$E$6001,$V1139)&amp;"")</f>
        <v/>
      </c>
      <c r="E1139">
        <f>IF($V1139="","",INDEX('Per Line'!$G$2:$G$6001,$V1139)&amp;"")</f>
        <v/>
      </c>
      <c r="F1139">
        <f>IF($V1139="","",INDEX('Per Line'!$H$2:$H$6001,$V1139)&amp;"")</f>
        <v/>
      </c>
      <c r="G1139">
        <f>IF($V1139="","",INDEX('Per Line'!$I$2:$I$6001,$V1139)&amp;"")</f>
        <v/>
      </c>
      <c r="H1139">
        <f>IF($V1139="","",INDEX('Per Line'!$J$2:$J$6001,$V1139))</f>
        <v/>
      </c>
      <c r="I1139" s="7">
        <f>IF($V1139="","",H1139*S1139/100)</f>
        <v/>
      </c>
      <c r="J1139">
        <f>IF($V1139="","",INDEX('Per Line'!$S$2:$S$6001,$V1139)&amp;"")</f>
        <v/>
      </c>
      <c r="K1139" s="7">
        <f>IF($V1139="","",SUMIFS('Per Line'!$R$2:$R$6001,'Per Line'!$C$2:$C$6001,$B1139,'Per Line'!$AJ$2:$AJ$6001,1))</f>
        <v/>
      </c>
      <c r="L1139">
        <f>IF($V1139="","",Settings!$C$7)</f>
        <v/>
      </c>
      <c r="M1139" s="7">
        <f>IF($V1139="","",SUMIFS('Per Line'!$R$2:$R$6001,'Per Line'!$C$2:$C$6001,$B1139,'Per Line'!$AI$2:$AI$6001,0,'Per Line'!$AJ$2:$AJ$6001,0))</f>
        <v/>
      </c>
      <c r="N1139" s="7">
        <f>IF($V1139="","",M1139*L1139)</f>
        <v/>
      </c>
      <c r="O1139">
        <f>IF($V1139="","",Settings!$C$6)</f>
        <v/>
      </c>
      <c r="P1139" s="7">
        <f>IF($V1139="","",SUMIFS('Per Line'!$R$2:$R$6001,'Per Line'!$C$2:$C$6001,$B1139,'Per Line'!$AI$2:$AI$6001,1,'Per Line'!$AJ$2:$AJ$6001,0))</f>
        <v/>
      </c>
      <c r="Q1139" s="7">
        <f>IF($V1139="","",P1139*O1139)</f>
        <v/>
      </c>
      <c r="R1139" s="7">
        <f>IF($V1139="","",Q1139+N1139)</f>
        <v/>
      </c>
      <c r="S1139" s="7">
        <f>IF($V1139="","",T1139-R1139)</f>
        <v/>
      </c>
      <c r="T1139" s="7">
        <f>IF($V1139="","",M1139+P1139+K1139)</f>
        <v/>
      </c>
      <c r="U1139" s="7">
        <f>IF($V1139="","",T1139-R1139-I1139)</f>
        <v/>
      </c>
      <c r="V1139" s="13">
        <f>IF(ROWS($V$2:$V1139)&lt;=MAX('Per Line'!$AH$2:$AH$6001),MATCH(ROWS($V$2:$V1139),'Per Line'!$AH$2:$AH$6001,0),"")</f>
        <v/>
      </c>
    </row>
    <row r="1140">
      <c r="A1140" s="12" t="n"/>
      <c r="B1140">
        <f>IF($V1140="","",INDEX('Per Line'!$C$2:$C$6001,$V1140)&amp;"")</f>
        <v/>
      </c>
      <c r="C1140" s="11">
        <f>IF($V1140="","",INDEX('Per Line'!$D$2:$D$6001,$V1140))</f>
        <v/>
      </c>
      <c r="D1140">
        <f>IF($V1140="","",INDEX('Per Line'!$E$2:$E$6001,$V1140)&amp;"")</f>
        <v/>
      </c>
      <c r="E1140">
        <f>IF($V1140="","",INDEX('Per Line'!$G$2:$G$6001,$V1140)&amp;"")</f>
        <v/>
      </c>
      <c r="F1140">
        <f>IF($V1140="","",INDEX('Per Line'!$H$2:$H$6001,$V1140)&amp;"")</f>
        <v/>
      </c>
      <c r="G1140">
        <f>IF($V1140="","",INDEX('Per Line'!$I$2:$I$6001,$V1140)&amp;"")</f>
        <v/>
      </c>
      <c r="H1140">
        <f>IF($V1140="","",INDEX('Per Line'!$J$2:$J$6001,$V1140))</f>
        <v/>
      </c>
      <c r="I1140" s="7">
        <f>IF($V1140="","",H1140*S1140/100)</f>
        <v/>
      </c>
      <c r="J1140">
        <f>IF($V1140="","",INDEX('Per Line'!$S$2:$S$6001,$V1140)&amp;"")</f>
        <v/>
      </c>
      <c r="K1140" s="7">
        <f>IF($V1140="","",SUMIFS('Per Line'!$R$2:$R$6001,'Per Line'!$C$2:$C$6001,$B1140,'Per Line'!$AJ$2:$AJ$6001,1))</f>
        <v/>
      </c>
      <c r="L1140">
        <f>IF($V1140="","",Settings!$C$7)</f>
        <v/>
      </c>
      <c r="M1140" s="7">
        <f>IF($V1140="","",SUMIFS('Per Line'!$R$2:$R$6001,'Per Line'!$C$2:$C$6001,$B1140,'Per Line'!$AI$2:$AI$6001,0,'Per Line'!$AJ$2:$AJ$6001,0))</f>
        <v/>
      </c>
      <c r="N1140" s="7">
        <f>IF($V1140="","",M1140*L1140)</f>
        <v/>
      </c>
      <c r="O1140">
        <f>IF($V1140="","",Settings!$C$6)</f>
        <v/>
      </c>
      <c r="P1140" s="7">
        <f>IF($V1140="","",SUMIFS('Per Line'!$R$2:$R$6001,'Per Line'!$C$2:$C$6001,$B1140,'Per Line'!$AI$2:$AI$6001,1,'Per Line'!$AJ$2:$AJ$6001,0))</f>
        <v/>
      </c>
      <c r="Q1140" s="7">
        <f>IF($V1140="","",P1140*O1140)</f>
        <v/>
      </c>
      <c r="R1140" s="7">
        <f>IF($V1140="","",Q1140+N1140)</f>
        <v/>
      </c>
      <c r="S1140" s="7">
        <f>IF($V1140="","",T1140-R1140)</f>
        <v/>
      </c>
      <c r="T1140" s="7">
        <f>IF($V1140="","",M1140+P1140+K1140)</f>
        <v/>
      </c>
      <c r="U1140" s="7">
        <f>IF($V1140="","",T1140-R1140-I1140)</f>
        <v/>
      </c>
      <c r="V1140" s="13">
        <f>IF(ROWS($V$2:$V1140)&lt;=MAX('Per Line'!$AH$2:$AH$6001),MATCH(ROWS($V$2:$V1140),'Per Line'!$AH$2:$AH$6001,0),"")</f>
        <v/>
      </c>
    </row>
    <row r="1141">
      <c r="A1141" s="12" t="n"/>
      <c r="B1141">
        <f>IF($V1141="","",INDEX('Per Line'!$C$2:$C$6001,$V1141)&amp;"")</f>
        <v/>
      </c>
      <c r="C1141" s="11">
        <f>IF($V1141="","",INDEX('Per Line'!$D$2:$D$6001,$V1141))</f>
        <v/>
      </c>
      <c r="D1141">
        <f>IF($V1141="","",INDEX('Per Line'!$E$2:$E$6001,$V1141)&amp;"")</f>
        <v/>
      </c>
      <c r="E1141">
        <f>IF($V1141="","",INDEX('Per Line'!$G$2:$G$6001,$V1141)&amp;"")</f>
        <v/>
      </c>
      <c r="F1141">
        <f>IF($V1141="","",INDEX('Per Line'!$H$2:$H$6001,$V1141)&amp;"")</f>
        <v/>
      </c>
      <c r="G1141">
        <f>IF($V1141="","",INDEX('Per Line'!$I$2:$I$6001,$V1141)&amp;"")</f>
        <v/>
      </c>
      <c r="H1141">
        <f>IF($V1141="","",INDEX('Per Line'!$J$2:$J$6001,$V1141))</f>
        <v/>
      </c>
      <c r="I1141" s="7">
        <f>IF($V1141="","",H1141*S1141/100)</f>
        <v/>
      </c>
      <c r="J1141">
        <f>IF($V1141="","",INDEX('Per Line'!$S$2:$S$6001,$V1141)&amp;"")</f>
        <v/>
      </c>
      <c r="K1141" s="7">
        <f>IF($V1141="","",SUMIFS('Per Line'!$R$2:$R$6001,'Per Line'!$C$2:$C$6001,$B1141,'Per Line'!$AJ$2:$AJ$6001,1))</f>
        <v/>
      </c>
      <c r="L1141">
        <f>IF($V1141="","",Settings!$C$7)</f>
        <v/>
      </c>
      <c r="M1141" s="7">
        <f>IF($V1141="","",SUMIFS('Per Line'!$R$2:$R$6001,'Per Line'!$C$2:$C$6001,$B1141,'Per Line'!$AI$2:$AI$6001,0,'Per Line'!$AJ$2:$AJ$6001,0))</f>
        <v/>
      </c>
      <c r="N1141" s="7">
        <f>IF($V1141="","",M1141*L1141)</f>
        <v/>
      </c>
      <c r="O1141">
        <f>IF($V1141="","",Settings!$C$6)</f>
        <v/>
      </c>
      <c r="P1141" s="7">
        <f>IF($V1141="","",SUMIFS('Per Line'!$R$2:$R$6001,'Per Line'!$C$2:$C$6001,$B1141,'Per Line'!$AI$2:$AI$6001,1,'Per Line'!$AJ$2:$AJ$6001,0))</f>
        <v/>
      </c>
      <c r="Q1141" s="7">
        <f>IF($V1141="","",P1141*O1141)</f>
        <v/>
      </c>
      <c r="R1141" s="7">
        <f>IF($V1141="","",Q1141+N1141)</f>
        <v/>
      </c>
      <c r="S1141" s="7">
        <f>IF($V1141="","",T1141-R1141)</f>
        <v/>
      </c>
      <c r="T1141" s="7">
        <f>IF($V1141="","",M1141+P1141+K1141)</f>
        <v/>
      </c>
      <c r="U1141" s="7">
        <f>IF($V1141="","",T1141-R1141-I1141)</f>
        <v/>
      </c>
      <c r="V1141" s="13">
        <f>IF(ROWS($V$2:$V1141)&lt;=MAX('Per Line'!$AH$2:$AH$6001),MATCH(ROWS($V$2:$V1141),'Per Line'!$AH$2:$AH$6001,0),"")</f>
        <v/>
      </c>
    </row>
    <row r="1142">
      <c r="A1142" s="12" t="n"/>
      <c r="B1142">
        <f>IF($V1142="","",INDEX('Per Line'!$C$2:$C$6001,$V1142)&amp;"")</f>
        <v/>
      </c>
      <c r="C1142" s="11">
        <f>IF($V1142="","",INDEX('Per Line'!$D$2:$D$6001,$V1142))</f>
        <v/>
      </c>
      <c r="D1142">
        <f>IF($V1142="","",INDEX('Per Line'!$E$2:$E$6001,$V1142)&amp;"")</f>
        <v/>
      </c>
      <c r="E1142">
        <f>IF($V1142="","",INDEX('Per Line'!$G$2:$G$6001,$V1142)&amp;"")</f>
        <v/>
      </c>
      <c r="F1142">
        <f>IF($V1142="","",INDEX('Per Line'!$H$2:$H$6001,$V1142)&amp;"")</f>
        <v/>
      </c>
      <c r="G1142">
        <f>IF($V1142="","",INDEX('Per Line'!$I$2:$I$6001,$V1142)&amp;"")</f>
        <v/>
      </c>
      <c r="H1142">
        <f>IF($V1142="","",INDEX('Per Line'!$J$2:$J$6001,$V1142))</f>
        <v/>
      </c>
      <c r="I1142" s="7">
        <f>IF($V1142="","",H1142*S1142/100)</f>
        <v/>
      </c>
      <c r="J1142">
        <f>IF($V1142="","",INDEX('Per Line'!$S$2:$S$6001,$V1142)&amp;"")</f>
        <v/>
      </c>
      <c r="K1142" s="7">
        <f>IF($V1142="","",SUMIFS('Per Line'!$R$2:$R$6001,'Per Line'!$C$2:$C$6001,$B1142,'Per Line'!$AJ$2:$AJ$6001,1))</f>
        <v/>
      </c>
      <c r="L1142">
        <f>IF($V1142="","",Settings!$C$7)</f>
        <v/>
      </c>
      <c r="M1142" s="7">
        <f>IF($V1142="","",SUMIFS('Per Line'!$R$2:$R$6001,'Per Line'!$C$2:$C$6001,$B1142,'Per Line'!$AI$2:$AI$6001,0,'Per Line'!$AJ$2:$AJ$6001,0))</f>
        <v/>
      </c>
      <c r="N1142" s="7">
        <f>IF($V1142="","",M1142*L1142)</f>
        <v/>
      </c>
      <c r="O1142">
        <f>IF($V1142="","",Settings!$C$6)</f>
        <v/>
      </c>
      <c r="P1142" s="7">
        <f>IF($V1142="","",SUMIFS('Per Line'!$R$2:$R$6001,'Per Line'!$C$2:$C$6001,$B1142,'Per Line'!$AI$2:$AI$6001,1,'Per Line'!$AJ$2:$AJ$6001,0))</f>
        <v/>
      </c>
      <c r="Q1142" s="7">
        <f>IF($V1142="","",P1142*O1142)</f>
        <v/>
      </c>
      <c r="R1142" s="7">
        <f>IF($V1142="","",Q1142+N1142)</f>
        <v/>
      </c>
      <c r="S1142" s="7">
        <f>IF($V1142="","",T1142-R1142)</f>
        <v/>
      </c>
      <c r="T1142" s="7">
        <f>IF($V1142="","",M1142+P1142+K1142)</f>
        <v/>
      </c>
      <c r="U1142" s="7">
        <f>IF($V1142="","",T1142-R1142-I1142)</f>
        <v/>
      </c>
      <c r="V1142" s="13">
        <f>IF(ROWS($V$2:$V1142)&lt;=MAX('Per Line'!$AH$2:$AH$6001),MATCH(ROWS($V$2:$V1142),'Per Line'!$AH$2:$AH$6001,0),"")</f>
        <v/>
      </c>
    </row>
    <row r="1143">
      <c r="A1143" s="12" t="n"/>
      <c r="B1143">
        <f>IF($V1143="","",INDEX('Per Line'!$C$2:$C$6001,$V1143)&amp;"")</f>
        <v/>
      </c>
      <c r="C1143" s="11">
        <f>IF($V1143="","",INDEX('Per Line'!$D$2:$D$6001,$V1143))</f>
        <v/>
      </c>
      <c r="D1143">
        <f>IF($V1143="","",INDEX('Per Line'!$E$2:$E$6001,$V1143)&amp;"")</f>
        <v/>
      </c>
      <c r="E1143">
        <f>IF($V1143="","",INDEX('Per Line'!$G$2:$G$6001,$V1143)&amp;"")</f>
        <v/>
      </c>
      <c r="F1143">
        <f>IF($V1143="","",INDEX('Per Line'!$H$2:$H$6001,$V1143)&amp;"")</f>
        <v/>
      </c>
      <c r="G1143">
        <f>IF($V1143="","",INDEX('Per Line'!$I$2:$I$6001,$V1143)&amp;"")</f>
        <v/>
      </c>
      <c r="H1143">
        <f>IF($V1143="","",INDEX('Per Line'!$J$2:$J$6001,$V1143))</f>
        <v/>
      </c>
      <c r="I1143" s="7">
        <f>IF($V1143="","",H1143*S1143/100)</f>
        <v/>
      </c>
      <c r="J1143">
        <f>IF($V1143="","",INDEX('Per Line'!$S$2:$S$6001,$V1143)&amp;"")</f>
        <v/>
      </c>
      <c r="K1143" s="7">
        <f>IF($V1143="","",SUMIFS('Per Line'!$R$2:$R$6001,'Per Line'!$C$2:$C$6001,$B1143,'Per Line'!$AJ$2:$AJ$6001,1))</f>
        <v/>
      </c>
      <c r="L1143">
        <f>IF($V1143="","",Settings!$C$7)</f>
        <v/>
      </c>
      <c r="M1143" s="7">
        <f>IF($V1143="","",SUMIFS('Per Line'!$R$2:$R$6001,'Per Line'!$C$2:$C$6001,$B1143,'Per Line'!$AI$2:$AI$6001,0,'Per Line'!$AJ$2:$AJ$6001,0))</f>
        <v/>
      </c>
      <c r="N1143" s="7">
        <f>IF($V1143="","",M1143*L1143)</f>
        <v/>
      </c>
      <c r="O1143">
        <f>IF($V1143="","",Settings!$C$6)</f>
        <v/>
      </c>
      <c r="P1143" s="7">
        <f>IF($V1143="","",SUMIFS('Per Line'!$R$2:$R$6001,'Per Line'!$C$2:$C$6001,$B1143,'Per Line'!$AI$2:$AI$6001,1,'Per Line'!$AJ$2:$AJ$6001,0))</f>
        <v/>
      </c>
      <c r="Q1143" s="7">
        <f>IF($V1143="","",P1143*O1143)</f>
        <v/>
      </c>
      <c r="R1143" s="7">
        <f>IF($V1143="","",Q1143+N1143)</f>
        <v/>
      </c>
      <c r="S1143" s="7">
        <f>IF($V1143="","",T1143-R1143)</f>
        <v/>
      </c>
      <c r="T1143" s="7">
        <f>IF($V1143="","",M1143+P1143+K1143)</f>
        <v/>
      </c>
      <c r="U1143" s="7">
        <f>IF($V1143="","",T1143-R1143-I1143)</f>
        <v/>
      </c>
      <c r="V1143" s="13">
        <f>IF(ROWS($V$2:$V1143)&lt;=MAX('Per Line'!$AH$2:$AH$6001),MATCH(ROWS($V$2:$V1143),'Per Line'!$AH$2:$AH$6001,0),"")</f>
        <v/>
      </c>
    </row>
    <row r="1144">
      <c r="A1144" s="12" t="n"/>
      <c r="B1144">
        <f>IF($V1144="","",INDEX('Per Line'!$C$2:$C$6001,$V1144)&amp;"")</f>
        <v/>
      </c>
      <c r="C1144" s="11">
        <f>IF($V1144="","",INDEX('Per Line'!$D$2:$D$6001,$V1144))</f>
        <v/>
      </c>
      <c r="D1144">
        <f>IF($V1144="","",INDEX('Per Line'!$E$2:$E$6001,$V1144)&amp;"")</f>
        <v/>
      </c>
      <c r="E1144">
        <f>IF($V1144="","",INDEX('Per Line'!$G$2:$G$6001,$V1144)&amp;"")</f>
        <v/>
      </c>
      <c r="F1144">
        <f>IF($V1144="","",INDEX('Per Line'!$H$2:$H$6001,$V1144)&amp;"")</f>
        <v/>
      </c>
      <c r="G1144">
        <f>IF($V1144="","",INDEX('Per Line'!$I$2:$I$6001,$V1144)&amp;"")</f>
        <v/>
      </c>
      <c r="H1144">
        <f>IF($V1144="","",INDEX('Per Line'!$J$2:$J$6001,$V1144))</f>
        <v/>
      </c>
      <c r="I1144" s="7">
        <f>IF($V1144="","",H1144*S1144/100)</f>
        <v/>
      </c>
      <c r="J1144">
        <f>IF($V1144="","",INDEX('Per Line'!$S$2:$S$6001,$V1144)&amp;"")</f>
        <v/>
      </c>
      <c r="K1144" s="7">
        <f>IF($V1144="","",SUMIFS('Per Line'!$R$2:$R$6001,'Per Line'!$C$2:$C$6001,$B1144,'Per Line'!$AJ$2:$AJ$6001,1))</f>
        <v/>
      </c>
      <c r="L1144">
        <f>IF($V1144="","",Settings!$C$7)</f>
        <v/>
      </c>
      <c r="M1144" s="7">
        <f>IF($V1144="","",SUMIFS('Per Line'!$R$2:$R$6001,'Per Line'!$C$2:$C$6001,$B1144,'Per Line'!$AI$2:$AI$6001,0,'Per Line'!$AJ$2:$AJ$6001,0))</f>
        <v/>
      </c>
      <c r="N1144" s="7">
        <f>IF($V1144="","",M1144*L1144)</f>
        <v/>
      </c>
      <c r="O1144">
        <f>IF($V1144="","",Settings!$C$6)</f>
        <v/>
      </c>
      <c r="P1144" s="7">
        <f>IF($V1144="","",SUMIFS('Per Line'!$R$2:$R$6001,'Per Line'!$C$2:$C$6001,$B1144,'Per Line'!$AI$2:$AI$6001,1,'Per Line'!$AJ$2:$AJ$6001,0))</f>
        <v/>
      </c>
      <c r="Q1144" s="7">
        <f>IF($V1144="","",P1144*O1144)</f>
        <v/>
      </c>
      <c r="R1144" s="7">
        <f>IF($V1144="","",Q1144+N1144)</f>
        <v/>
      </c>
      <c r="S1144" s="7">
        <f>IF($V1144="","",T1144-R1144)</f>
        <v/>
      </c>
      <c r="T1144" s="7">
        <f>IF($V1144="","",M1144+P1144+K1144)</f>
        <v/>
      </c>
      <c r="U1144" s="7">
        <f>IF($V1144="","",T1144-R1144-I1144)</f>
        <v/>
      </c>
      <c r="V1144" s="13">
        <f>IF(ROWS($V$2:$V1144)&lt;=MAX('Per Line'!$AH$2:$AH$6001),MATCH(ROWS($V$2:$V1144),'Per Line'!$AH$2:$AH$6001,0),"")</f>
        <v/>
      </c>
    </row>
    <row r="1145">
      <c r="A1145" s="12" t="n"/>
      <c r="B1145">
        <f>IF($V1145="","",INDEX('Per Line'!$C$2:$C$6001,$V1145)&amp;"")</f>
        <v/>
      </c>
      <c r="C1145" s="11">
        <f>IF($V1145="","",INDEX('Per Line'!$D$2:$D$6001,$V1145))</f>
        <v/>
      </c>
      <c r="D1145">
        <f>IF($V1145="","",INDEX('Per Line'!$E$2:$E$6001,$V1145)&amp;"")</f>
        <v/>
      </c>
      <c r="E1145">
        <f>IF($V1145="","",INDEX('Per Line'!$G$2:$G$6001,$V1145)&amp;"")</f>
        <v/>
      </c>
      <c r="F1145">
        <f>IF($V1145="","",INDEX('Per Line'!$H$2:$H$6001,$V1145)&amp;"")</f>
        <v/>
      </c>
      <c r="G1145">
        <f>IF($V1145="","",INDEX('Per Line'!$I$2:$I$6001,$V1145)&amp;"")</f>
        <v/>
      </c>
      <c r="H1145">
        <f>IF($V1145="","",INDEX('Per Line'!$J$2:$J$6001,$V1145))</f>
        <v/>
      </c>
      <c r="I1145" s="7">
        <f>IF($V1145="","",H1145*S1145/100)</f>
        <v/>
      </c>
      <c r="J1145">
        <f>IF($V1145="","",INDEX('Per Line'!$S$2:$S$6001,$V1145)&amp;"")</f>
        <v/>
      </c>
      <c r="K1145" s="7">
        <f>IF($V1145="","",SUMIFS('Per Line'!$R$2:$R$6001,'Per Line'!$C$2:$C$6001,$B1145,'Per Line'!$AJ$2:$AJ$6001,1))</f>
        <v/>
      </c>
      <c r="L1145">
        <f>IF($V1145="","",Settings!$C$7)</f>
        <v/>
      </c>
      <c r="M1145" s="7">
        <f>IF($V1145="","",SUMIFS('Per Line'!$R$2:$R$6001,'Per Line'!$C$2:$C$6001,$B1145,'Per Line'!$AI$2:$AI$6001,0,'Per Line'!$AJ$2:$AJ$6001,0))</f>
        <v/>
      </c>
      <c r="N1145" s="7">
        <f>IF($V1145="","",M1145*L1145)</f>
        <v/>
      </c>
      <c r="O1145">
        <f>IF($V1145="","",Settings!$C$6)</f>
        <v/>
      </c>
      <c r="P1145" s="7">
        <f>IF($V1145="","",SUMIFS('Per Line'!$R$2:$R$6001,'Per Line'!$C$2:$C$6001,$B1145,'Per Line'!$AI$2:$AI$6001,1,'Per Line'!$AJ$2:$AJ$6001,0))</f>
        <v/>
      </c>
      <c r="Q1145" s="7">
        <f>IF($V1145="","",P1145*O1145)</f>
        <v/>
      </c>
      <c r="R1145" s="7">
        <f>IF($V1145="","",Q1145+N1145)</f>
        <v/>
      </c>
      <c r="S1145" s="7">
        <f>IF($V1145="","",T1145-R1145)</f>
        <v/>
      </c>
      <c r="T1145" s="7">
        <f>IF($V1145="","",M1145+P1145+K1145)</f>
        <v/>
      </c>
      <c r="U1145" s="7">
        <f>IF($V1145="","",T1145-R1145-I1145)</f>
        <v/>
      </c>
      <c r="V1145" s="13">
        <f>IF(ROWS($V$2:$V1145)&lt;=MAX('Per Line'!$AH$2:$AH$6001),MATCH(ROWS($V$2:$V1145),'Per Line'!$AH$2:$AH$6001,0),"")</f>
        <v/>
      </c>
    </row>
    <row r="1146">
      <c r="A1146" s="12" t="n"/>
      <c r="B1146">
        <f>IF($V1146="","",INDEX('Per Line'!$C$2:$C$6001,$V1146)&amp;"")</f>
        <v/>
      </c>
      <c r="C1146" s="11">
        <f>IF($V1146="","",INDEX('Per Line'!$D$2:$D$6001,$V1146))</f>
        <v/>
      </c>
      <c r="D1146">
        <f>IF($V1146="","",INDEX('Per Line'!$E$2:$E$6001,$V1146)&amp;"")</f>
        <v/>
      </c>
      <c r="E1146">
        <f>IF($V1146="","",INDEX('Per Line'!$G$2:$G$6001,$V1146)&amp;"")</f>
        <v/>
      </c>
      <c r="F1146">
        <f>IF($V1146="","",INDEX('Per Line'!$H$2:$H$6001,$V1146)&amp;"")</f>
        <v/>
      </c>
      <c r="G1146">
        <f>IF($V1146="","",INDEX('Per Line'!$I$2:$I$6001,$V1146)&amp;"")</f>
        <v/>
      </c>
      <c r="H1146">
        <f>IF($V1146="","",INDEX('Per Line'!$J$2:$J$6001,$V1146))</f>
        <v/>
      </c>
      <c r="I1146" s="7">
        <f>IF($V1146="","",H1146*S1146/100)</f>
        <v/>
      </c>
      <c r="J1146">
        <f>IF($V1146="","",INDEX('Per Line'!$S$2:$S$6001,$V1146)&amp;"")</f>
        <v/>
      </c>
      <c r="K1146" s="7">
        <f>IF($V1146="","",SUMIFS('Per Line'!$R$2:$R$6001,'Per Line'!$C$2:$C$6001,$B1146,'Per Line'!$AJ$2:$AJ$6001,1))</f>
        <v/>
      </c>
      <c r="L1146">
        <f>IF($V1146="","",Settings!$C$7)</f>
        <v/>
      </c>
      <c r="M1146" s="7">
        <f>IF($V1146="","",SUMIFS('Per Line'!$R$2:$R$6001,'Per Line'!$C$2:$C$6001,$B1146,'Per Line'!$AI$2:$AI$6001,0,'Per Line'!$AJ$2:$AJ$6001,0))</f>
        <v/>
      </c>
      <c r="N1146" s="7">
        <f>IF($V1146="","",M1146*L1146)</f>
        <v/>
      </c>
      <c r="O1146">
        <f>IF($V1146="","",Settings!$C$6)</f>
        <v/>
      </c>
      <c r="P1146" s="7">
        <f>IF($V1146="","",SUMIFS('Per Line'!$R$2:$R$6001,'Per Line'!$C$2:$C$6001,$B1146,'Per Line'!$AI$2:$AI$6001,1,'Per Line'!$AJ$2:$AJ$6001,0))</f>
        <v/>
      </c>
      <c r="Q1146" s="7">
        <f>IF($V1146="","",P1146*O1146)</f>
        <v/>
      </c>
      <c r="R1146" s="7">
        <f>IF($V1146="","",Q1146+N1146)</f>
        <v/>
      </c>
      <c r="S1146" s="7">
        <f>IF($V1146="","",T1146-R1146)</f>
        <v/>
      </c>
      <c r="T1146" s="7">
        <f>IF($V1146="","",M1146+P1146+K1146)</f>
        <v/>
      </c>
      <c r="U1146" s="7">
        <f>IF($V1146="","",T1146-R1146-I1146)</f>
        <v/>
      </c>
      <c r="V1146" s="13">
        <f>IF(ROWS($V$2:$V1146)&lt;=MAX('Per Line'!$AH$2:$AH$6001),MATCH(ROWS($V$2:$V1146),'Per Line'!$AH$2:$AH$6001,0),"")</f>
        <v/>
      </c>
    </row>
    <row r="1147">
      <c r="A1147" s="12" t="n"/>
      <c r="B1147">
        <f>IF($V1147="","",INDEX('Per Line'!$C$2:$C$6001,$V1147)&amp;"")</f>
        <v/>
      </c>
      <c r="C1147" s="11">
        <f>IF($V1147="","",INDEX('Per Line'!$D$2:$D$6001,$V1147))</f>
        <v/>
      </c>
      <c r="D1147">
        <f>IF($V1147="","",INDEX('Per Line'!$E$2:$E$6001,$V1147)&amp;"")</f>
        <v/>
      </c>
      <c r="E1147">
        <f>IF($V1147="","",INDEX('Per Line'!$G$2:$G$6001,$V1147)&amp;"")</f>
        <v/>
      </c>
      <c r="F1147">
        <f>IF($V1147="","",INDEX('Per Line'!$H$2:$H$6001,$V1147)&amp;"")</f>
        <v/>
      </c>
      <c r="G1147">
        <f>IF($V1147="","",INDEX('Per Line'!$I$2:$I$6001,$V1147)&amp;"")</f>
        <v/>
      </c>
      <c r="H1147">
        <f>IF($V1147="","",INDEX('Per Line'!$J$2:$J$6001,$V1147))</f>
        <v/>
      </c>
      <c r="I1147" s="7">
        <f>IF($V1147="","",H1147*S1147/100)</f>
        <v/>
      </c>
      <c r="J1147">
        <f>IF($V1147="","",INDEX('Per Line'!$S$2:$S$6001,$V1147)&amp;"")</f>
        <v/>
      </c>
      <c r="K1147" s="7">
        <f>IF($V1147="","",SUMIFS('Per Line'!$R$2:$R$6001,'Per Line'!$C$2:$C$6001,$B1147,'Per Line'!$AJ$2:$AJ$6001,1))</f>
        <v/>
      </c>
      <c r="L1147">
        <f>IF($V1147="","",Settings!$C$7)</f>
        <v/>
      </c>
      <c r="M1147" s="7">
        <f>IF($V1147="","",SUMIFS('Per Line'!$R$2:$R$6001,'Per Line'!$C$2:$C$6001,$B1147,'Per Line'!$AI$2:$AI$6001,0,'Per Line'!$AJ$2:$AJ$6001,0))</f>
        <v/>
      </c>
      <c r="N1147" s="7">
        <f>IF($V1147="","",M1147*L1147)</f>
        <v/>
      </c>
      <c r="O1147">
        <f>IF($V1147="","",Settings!$C$6)</f>
        <v/>
      </c>
      <c r="P1147" s="7">
        <f>IF($V1147="","",SUMIFS('Per Line'!$R$2:$R$6001,'Per Line'!$C$2:$C$6001,$B1147,'Per Line'!$AI$2:$AI$6001,1,'Per Line'!$AJ$2:$AJ$6001,0))</f>
        <v/>
      </c>
      <c r="Q1147" s="7">
        <f>IF($V1147="","",P1147*O1147)</f>
        <v/>
      </c>
      <c r="R1147" s="7">
        <f>IF($V1147="","",Q1147+N1147)</f>
        <v/>
      </c>
      <c r="S1147" s="7">
        <f>IF($V1147="","",T1147-R1147)</f>
        <v/>
      </c>
      <c r="T1147" s="7">
        <f>IF($V1147="","",M1147+P1147+K1147)</f>
        <v/>
      </c>
      <c r="U1147" s="7">
        <f>IF($V1147="","",T1147-R1147-I1147)</f>
        <v/>
      </c>
      <c r="V1147" s="13">
        <f>IF(ROWS($V$2:$V1147)&lt;=MAX('Per Line'!$AH$2:$AH$6001),MATCH(ROWS($V$2:$V1147),'Per Line'!$AH$2:$AH$6001,0),"")</f>
        <v/>
      </c>
    </row>
    <row r="1148">
      <c r="A1148" s="12" t="n"/>
      <c r="B1148">
        <f>IF($V1148="","",INDEX('Per Line'!$C$2:$C$6001,$V1148)&amp;"")</f>
        <v/>
      </c>
      <c r="C1148" s="11">
        <f>IF($V1148="","",INDEX('Per Line'!$D$2:$D$6001,$V1148))</f>
        <v/>
      </c>
      <c r="D1148">
        <f>IF($V1148="","",INDEX('Per Line'!$E$2:$E$6001,$V1148)&amp;"")</f>
        <v/>
      </c>
      <c r="E1148">
        <f>IF($V1148="","",INDEX('Per Line'!$G$2:$G$6001,$V1148)&amp;"")</f>
        <v/>
      </c>
      <c r="F1148">
        <f>IF($V1148="","",INDEX('Per Line'!$H$2:$H$6001,$V1148)&amp;"")</f>
        <v/>
      </c>
      <c r="G1148">
        <f>IF($V1148="","",INDEX('Per Line'!$I$2:$I$6001,$V1148)&amp;"")</f>
        <v/>
      </c>
      <c r="H1148">
        <f>IF($V1148="","",INDEX('Per Line'!$J$2:$J$6001,$V1148))</f>
        <v/>
      </c>
      <c r="I1148" s="7">
        <f>IF($V1148="","",H1148*S1148/100)</f>
        <v/>
      </c>
      <c r="J1148">
        <f>IF($V1148="","",INDEX('Per Line'!$S$2:$S$6001,$V1148)&amp;"")</f>
        <v/>
      </c>
      <c r="K1148" s="7">
        <f>IF($V1148="","",SUMIFS('Per Line'!$R$2:$R$6001,'Per Line'!$C$2:$C$6001,$B1148,'Per Line'!$AJ$2:$AJ$6001,1))</f>
        <v/>
      </c>
      <c r="L1148">
        <f>IF($V1148="","",Settings!$C$7)</f>
        <v/>
      </c>
      <c r="M1148" s="7">
        <f>IF($V1148="","",SUMIFS('Per Line'!$R$2:$R$6001,'Per Line'!$C$2:$C$6001,$B1148,'Per Line'!$AI$2:$AI$6001,0,'Per Line'!$AJ$2:$AJ$6001,0))</f>
        <v/>
      </c>
      <c r="N1148" s="7">
        <f>IF($V1148="","",M1148*L1148)</f>
        <v/>
      </c>
      <c r="O1148">
        <f>IF($V1148="","",Settings!$C$6)</f>
        <v/>
      </c>
      <c r="P1148" s="7">
        <f>IF($V1148="","",SUMIFS('Per Line'!$R$2:$R$6001,'Per Line'!$C$2:$C$6001,$B1148,'Per Line'!$AI$2:$AI$6001,1,'Per Line'!$AJ$2:$AJ$6001,0))</f>
        <v/>
      </c>
      <c r="Q1148" s="7">
        <f>IF($V1148="","",P1148*O1148)</f>
        <v/>
      </c>
      <c r="R1148" s="7">
        <f>IF($V1148="","",Q1148+N1148)</f>
        <v/>
      </c>
      <c r="S1148" s="7">
        <f>IF($V1148="","",T1148-R1148)</f>
        <v/>
      </c>
      <c r="T1148" s="7">
        <f>IF($V1148="","",M1148+P1148+K1148)</f>
        <v/>
      </c>
      <c r="U1148" s="7">
        <f>IF($V1148="","",T1148-R1148-I1148)</f>
        <v/>
      </c>
      <c r="V1148" s="13">
        <f>IF(ROWS($V$2:$V1148)&lt;=MAX('Per Line'!$AH$2:$AH$6001),MATCH(ROWS($V$2:$V1148),'Per Line'!$AH$2:$AH$6001,0),"")</f>
        <v/>
      </c>
    </row>
    <row r="1149">
      <c r="A1149" s="12" t="n"/>
      <c r="B1149">
        <f>IF($V1149="","",INDEX('Per Line'!$C$2:$C$6001,$V1149)&amp;"")</f>
        <v/>
      </c>
      <c r="C1149" s="11">
        <f>IF($V1149="","",INDEX('Per Line'!$D$2:$D$6001,$V1149))</f>
        <v/>
      </c>
      <c r="D1149">
        <f>IF($V1149="","",INDEX('Per Line'!$E$2:$E$6001,$V1149)&amp;"")</f>
        <v/>
      </c>
      <c r="E1149">
        <f>IF($V1149="","",INDEX('Per Line'!$G$2:$G$6001,$V1149)&amp;"")</f>
        <v/>
      </c>
      <c r="F1149">
        <f>IF($V1149="","",INDEX('Per Line'!$H$2:$H$6001,$V1149)&amp;"")</f>
        <v/>
      </c>
      <c r="G1149">
        <f>IF($V1149="","",INDEX('Per Line'!$I$2:$I$6001,$V1149)&amp;"")</f>
        <v/>
      </c>
      <c r="H1149">
        <f>IF($V1149="","",INDEX('Per Line'!$J$2:$J$6001,$V1149))</f>
        <v/>
      </c>
      <c r="I1149" s="7">
        <f>IF($V1149="","",H1149*S1149/100)</f>
        <v/>
      </c>
      <c r="J1149">
        <f>IF($V1149="","",INDEX('Per Line'!$S$2:$S$6001,$V1149)&amp;"")</f>
        <v/>
      </c>
      <c r="K1149" s="7">
        <f>IF($V1149="","",SUMIFS('Per Line'!$R$2:$R$6001,'Per Line'!$C$2:$C$6001,$B1149,'Per Line'!$AJ$2:$AJ$6001,1))</f>
        <v/>
      </c>
      <c r="L1149">
        <f>IF($V1149="","",Settings!$C$7)</f>
        <v/>
      </c>
      <c r="M1149" s="7">
        <f>IF($V1149="","",SUMIFS('Per Line'!$R$2:$R$6001,'Per Line'!$C$2:$C$6001,$B1149,'Per Line'!$AI$2:$AI$6001,0,'Per Line'!$AJ$2:$AJ$6001,0))</f>
        <v/>
      </c>
      <c r="N1149" s="7">
        <f>IF($V1149="","",M1149*L1149)</f>
        <v/>
      </c>
      <c r="O1149">
        <f>IF($V1149="","",Settings!$C$6)</f>
        <v/>
      </c>
      <c r="P1149" s="7">
        <f>IF($V1149="","",SUMIFS('Per Line'!$R$2:$R$6001,'Per Line'!$C$2:$C$6001,$B1149,'Per Line'!$AI$2:$AI$6001,1,'Per Line'!$AJ$2:$AJ$6001,0))</f>
        <v/>
      </c>
      <c r="Q1149" s="7">
        <f>IF($V1149="","",P1149*O1149)</f>
        <v/>
      </c>
      <c r="R1149" s="7">
        <f>IF($V1149="","",Q1149+N1149)</f>
        <v/>
      </c>
      <c r="S1149" s="7">
        <f>IF($V1149="","",T1149-R1149)</f>
        <v/>
      </c>
      <c r="T1149" s="7">
        <f>IF($V1149="","",M1149+P1149+K1149)</f>
        <v/>
      </c>
      <c r="U1149" s="7">
        <f>IF($V1149="","",T1149-R1149-I1149)</f>
        <v/>
      </c>
      <c r="V1149" s="13">
        <f>IF(ROWS($V$2:$V1149)&lt;=MAX('Per Line'!$AH$2:$AH$6001),MATCH(ROWS($V$2:$V1149),'Per Line'!$AH$2:$AH$6001,0),"")</f>
        <v/>
      </c>
    </row>
    <row r="1150">
      <c r="A1150" s="12" t="n"/>
      <c r="B1150">
        <f>IF($V1150="","",INDEX('Per Line'!$C$2:$C$6001,$V1150)&amp;"")</f>
        <v/>
      </c>
      <c r="C1150" s="11">
        <f>IF($V1150="","",INDEX('Per Line'!$D$2:$D$6001,$V1150))</f>
        <v/>
      </c>
      <c r="D1150">
        <f>IF($V1150="","",INDEX('Per Line'!$E$2:$E$6001,$V1150)&amp;"")</f>
        <v/>
      </c>
      <c r="E1150">
        <f>IF($V1150="","",INDEX('Per Line'!$G$2:$G$6001,$V1150)&amp;"")</f>
        <v/>
      </c>
      <c r="F1150">
        <f>IF($V1150="","",INDEX('Per Line'!$H$2:$H$6001,$V1150)&amp;"")</f>
        <v/>
      </c>
      <c r="G1150">
        <f>IF($V1150="","",INDEX('Per Line'!$I$2:$I$6001,$V1150)&amp;"")</f>
        <v/>
      </c>
      <c r="H1150">
        <f>IF($V1150="","",INDEX('Per Line'!$J$2:$J$6001,$V1150))</f>
        <v/>
      </c>
      <c r="I1150" s="7">
        <f>IF($V1150="","",H1150*S1150/100)</f>
        <v/>
      </c>
      <c r="J1150">
        <f>IF($V1150="","",INDEX('Per Line'!$S$2:$S$6001,$V1150)&amp;"")</f>
        <v/>
      </c>
      <c r="K1150" s="7">
        <f>IF($V1150="","",SUMIFS('Per Line'!$R$2:$R$6001,'Per Line'!$C$2:$C$6001,$B1150,'Per Line'!$AJ$2:$AJ$6001,1))</f>
        <v/>
      </c>
      <c r="L1150">
        <f>IF($V1150="","",Settings!$C$7)</f>
        <v/>
      </c>
      <c r="M1150" s="7">
        <f>IF($V1150="","",SUMIFS('Per Line'!$R$2:$R$6001,'Per Line'!$C$2:$C$6001,$B1150,'Per Line'!$AI$2:$AI$6001,0,'Per Line'!$AJ$2:$AJ$6001,0))</f>
        <v/>
      </c>
      <c r="N1150" s="7">
        <f>IF($V1150="","",M1150*L1150)</f>
        <v/>
      </c>
      <c r="O1150">
        <f>IF($V1150="","",Settings!$C$6)</f>
        <v/>
      </c>
      <c r="P1150" s="7">
        <f>IF($V1150="","",SUMIFS('Per Line'!$R$2:$R$6001,'Per Line'!$C$2:$C$6001,$B1150,'Per Line'!$AI$2:$AI$6001,1,'Per Line'!$AJ$2:$AJ$6001,0))</f>
        <v/>
      </c>
      <c r="Q1150" s="7">
        <f>IF($V1150="","",P1150*O1150)</f>
        <v/>
      </c>
      <c r="R1150" s="7">
        <f>IF($V1150="","",Q1150+N1150)</f>
        <v/>
      </c>
      <c r="S1150" s="7">
        <f>IF($V1150="","",T1150-R1150)</f>
        <v/>
      </c>
      <c r="T1150" s="7">
        <f>IF($V1150="","",M1150+P1150+K1150)</f>
        <v/>
      </c>
      <c r="U1150" s="7">
        <f>IF($V1150="","",T1150-R1150-I1150)</f>
        <v/>
      </c>
      <c r="V1150" s="13">
        <f>IF(ROWS($V$2:$V1150)&lt;=MAX('Per Line'!$AH$2:$AH$6001),MATCH(ROWS($V$2:$V1150),'Per Line'!$AH$2:$AH$6001,0),"")</f>
        <v/>
      </c>
    </row>
    <row r="1151">
      <c r="A1151" s="12" t="n"/>
      <c r="B1151">
        <f>IF($V1151="","",INDEX('Per Line'!$C$2:$C$6001,$V1151)&amp;"")</f>
        <v/>
      </c>
      <c r="C1151" s="11">
        <f>IF($V1151="","",INDEX('Per Line'!$D$2:$D$6001,$V1151))</f>
        <v/>
      </c>
      <c r="D1151">
        <f>IF($V1151="","",INDEX('Per Line'!$E$2:$E$6001,$V1151)&amp;"")</f>
        <v/>
      </c>
      <c r="E1151">
        <f>IF($V1151="","",INDEX('Per Line'!$G$2:$G$6001,$V1151)&amp;"")</f>
        <v/>
      </c>
      <c r="F1151">
        <f>IF($V1151="","",INDEX('Per Line'!$H$2:$H$6001,$V1151)&amp;"")</f>
        <v/>
      </c>
      <c r="G1151">
        <f>IF($V1151="","",INDEX('Per Line'!$I$2:$I$6001,$V1151)&amp;"")</f>
        <v/>
      </c>
      <c r="H1151">
        <f>IF($V1151="","",INDEX('Per Line'!$J$2:$J$6001,$V1151))</f>
        <v/>
      </c>
      <c r="I1151" s="7">
        <f>IF($V1151="","",H1151*S1151/100)</f>
        <v/>
      </c>
      <c r="J1151">
        <f>IF($V1151="","",INDEX('Per Line'!$S$2:$S$6001,$V1151)&amp;"")</f>
        <v/>
      </c>
      <c r="K1151" s="7">
        <f>IF($V1151="","",SUMIFS('Per Line'!$R$2:$R$6001,'Per Line'!$C$2:$C$6001,$B1151,'Per Line'!$AJ$2:$AJ$6001,1))</f>
        <v/>
      </c>
      <c r="L1151">
        <f>IF($V1151="","",Settings!$C$7)</f>
        <v/>
      </c>
      <c r="M1151" s="7">
        <f>IF($V1151="","",SUMIFS('Per Line'!$R$2:$R$6001,'Per Line'!$C$2:$C$6001,$B1151,'Per Line'!$AI$2:$AI$6001,0,'Per Line'!$AJ$2:$AJ$6001,0))</f>
        <v/>
      </c>
      <c r="N1151" s="7">
        <f>IF($V1151="","",M1151*L1151)</f>
        <v/>
      </c>
      <c r="O1151">
        <f>IF($V1151="","",Settings!$C$6)</f>
        <v/>
      </c>
      <c r="P1151" s="7">
        <f>IF($V1151="","",SUMIFS('Per Line'!$R$2:$R$6001,'Per Line'!$C$2:$C$6001,$B1151,'Per Line'!$AI$2:$AI$6001,1,'Per Line'!$AJ$2:$AJ$6001,0))</f>
        <v/>
      </c>
      <c r="Q1151" s="7">
        <f>IF($V1151="","",P1151*O1151)</f>
        <v/>
      </c>
      <c r="R1151" s="7">
        <f>IF($V1151="","",Q1151+N1151)</f>
        <v/>
      </c>
      <c r="S1151" s="7">
        <f>IF($V1151="","",T1151-R1151)</f>
        <v/>
      </c>
      <c r="T1151" s="7">
        <f>IF($V1151="","",M1151+P1151+K1151)</f>
        <v/>
      </c>
      <c r="U1151" s="7">
        <f>IF($V1151="","",T1151-R1151-I1151)</f>
        <v/>
      </c>
      <c r="V1151" s="13">
        <f>IF(ROWS($V$2:$V1151)&lt;=MAX('Per Line'!$AH$2:$AH$6001),MATCH(ROWS($V$2:$V1151),'Per Line'!$AH$2:$AH$6001,0),"")</f>
        <v/>
      </c>
    </row>
    <row r="1152">
      <c r="A1152" s="12" t="n"/>
      <c r="B1152">
        <f>IF($V1152="","",INDEX('Per Line'!$C$2:$C$6001,$V1152)&amp;"")</f>
        <v/>
      </c>
      <c r="C1152" s="11">
        <f>IF($V1152="","",INDEX('Per Line'!$D$2:$D$6001,$V1152))</f>
        <v/>
      </c>
      <c r="D1152">
        <f>IF($V1152="","",INDEX('Per Line'!$E$2:$E$6001,$V1152)&amp;"")</f>
        <v/>
      </c>
      <c r="E1152">
        <f>IF($V1152="","",INDEX('Per Line'!$G$2:$G$6001,$V1152)&amp;"")</f>
        <v/>
      </c>
      <c r="F1152">
        <f>IF($V1152="","",INDEX('Per Line'!$H$2:$H$6001,$V1152)&amp;"")</f>
        <v/>
      </c>
      <c r="G1152">
        <f>IF($V1152="","",INDEX('Per Line'!$I$2:$I$6001,$V1152)&amp;"")</f>
        <v/>
      </c>
      <c r="H1152">
        <f>IF($V1152="","",INDEX('Per Line'!$J$2:$J$6001,$V1152))</f>
        <v/>
      </c>
      <c r="I1152" s="7">
        <f>IF($V1152="","",H1152*S1152/100)</f>
        <v/>
      </c>
      <c r="J1152">
        <f>IF($V1152="","",INDEX('Per Line'!$S$2:$S$6001,$V1152)&amp;"")</f>
        <v/>
      </c>
      <c r="K1152" s="7">
        <f>IF($V1152="","",SUMIFS('Per Line'!$R$2:$R$6001,'Per Line'!$C$2:$C$6001,$B1152,'Per Line'!$AJ$2:$AJ$6001,1))</f>
        <v/>
      </c>
      <c r="L1152">
        <f>IF($V1152="","",Settings!$C$7)</f>
        <v/>
      </c>
      <c r="M1152" s="7">
        <f>IF($V1152="","",SUMIFS('Per Line'!$R$2:$R$6001,'Per Line'!$C$2:$C$6001,$B1152,'Per Line'!$AI$2:$AI$6001,0,'Per Line'!$AJ$2:$AJ$6001,0))</f>
        <v/>
      </c>
      <c r="N1152" s="7">
        <f>IF($V1152="","",M1152*L1152)</f>
        <v/>
      </c>
      <c r="O1152">
        <f>IF($V1152="","",Settings!$C$6)</f>
        <v/>
      </c>
      <c r="P1152" s="7">
        <f>IF($V1152="","",SUMIFS('Per Line'!$R$2:$R$6001,'Per Line'!$C$2:$C$6001,$B1152,'Per Line'!$AI$2:$AI$6001,1,'Per Line'!$AJ$2:$AJ$6001,0))</f>
        <v/>
      </c>
      <c r="Q1152" s="7">
        <f>IF($V1152="","",P1152*O1152)</f>
        <v/>
      </c>
      <c r="R1152" s="7">
        <f>IF($V1152="","",Q1152+N1152)</f>
        <v/>
      </c>
      <c r="S1152" s="7">
        <f>IF($V1152="","",T1152-R1152)</f>
        <v/>
      </c>
      <c r="T1152" s="7">
        <f>IF($V1152="","",M1152+P1152+K1152)</f>
        <v/>
      </c>
      <c r="U1152" s="7">
        <f>IF($V1152="","",T1152-R1152-I1152)</f>
        <v/>
      </c>
      <c r="V1152" s="13">
        <f>IF(ROWS($V$2:$V1152)&lt;=MAX('Per Line'!$AH$2:$AH$6001),MATCH(ROWS($V$2:$V1152),'Per Line'!$AH$2:$AH$6001,0),"")</f>
        <v/>
      </c>
    </row>
    <row r="1153">
      <c r="A1153" s="12" t="n"/>
      <c r="B1153">
        <f>IF($V1153="","",INDEX('Per Line'!$C$2:$C$6001,$V1153)&amp;"")</f>
        <v/>
      </c>
      <c r="C1153" s="11">
        <f>IF($V1153="","",INDEX('Per Line'!$D$2:$D$6001,$V1153))</f>
        <v/>
      </c>
      <c r="D1153">
        <f>IF($V1153="","",INDEX('Per Line'!$E$2:$E$6001,$V1153)&amp;"")</f>
        <v/>
      </c>
      <c r="E1153">
        <f>IF($V1153="","",INDEX('Per Line'!$G$2:$G$6001,$V1153)&amp;"")</f>
        <v/>
      </c>
      <c r="F1153">
        <f>IF($V1153="","",INDEX('Per Line'!$H$2:$H$6001,$V1153)&amp;"")</f>
        <v/>
      </c>
      <c r="G1153">
        <f>IF($V1153="","",INDEX('Per Line'!$I$2:$I$6001,$V1153)&amp;"")</f>
        <v/>
      </c>
      <c r="H1153">
        <f>IF($V1153="","",INDEX('Per Line'!$J$2:$J$6001,$V1153))</f>
        <v/>
      </c>
      <c r="I1153" s="7">
        <f>IF($V1153="","",H1153*S1153/100)</f>
        <v/>
      </c>
      <c r="J1153">
        <f>IF($V1153="","",INDEX('Per Line'!$S$2:$S$6001,$V1153)&amp;"")</f>
        <v/>
      </c>
      <c r="K1153" s="7">
        <f>IF($V1153="","",SUMIFS('Per Line'!$R$2:$R$6001,'Per Line'!$C$2:$C$6001,$B1153,'Per Line'!$AJ$2:$AJ$6001,1))</f>
        <v/>
      </c>
      <c r="L1153">
        <f>IF($V1153="","",Settings!$C$7)</f>
        <v/>
      </c>
      <c r="M1153" s="7">
        <f>IF($V1153="","",SUMIFS('Per Line'!$R$2:$R$6001,'Per Line'!$C$2:$C$6001,$B1153,'Per Line'!$AI$2:$AI$6001,0,'Per Line'!$AJ$2:$AJ$6001,0))</f>
        <v/>
      </c>
      <c r="N1153" s="7">
        <f>IF($V1153="","",M1153*L1153)</f>
        <v/>
      </c>
      <c r="O1153">
        <f>IF($V1153="","",Settings!$C$6)</f>
        <v/>
      </c>
      <c r="P1153" s="7">
        <f>IF($V1153="","",SUMIFS('Per Line'!$R$2:$R$6001,'Per Line'!$C$2:$C$6001,$B1153,'Per Line'!$AI$2:$AI$6001,1,'Per Line'!$AJ$2:$AJ$6001,0))</f>
        <v/>
      </c>
      <c r="Q1153" s="7">
        <f>IF($V1153="","",P1153*O1153)</f>
        <v/>
      </c>
      <c r="R1153" s="7">
        <f>IF($V1153="","",Q1153+N1153)</f>
        <v/>
      </c>
      <c r="S1153" s="7">
        <f>IF($V1153="","",T1153-R1153)</f>
        <v/>
      </c>
      <c r="T1153" s="7">
        <f>IF($V1153="","",M1153+P1153+K1153)</f>
        <v/>
      </c>
      <c r="U1153" s="7">
        <f>IF($V1153="","",T1153-R1153-I1153)</f>
        <v/>
      </c>
      <c r="V1153" s="13">
        <f>IF(ROWS($V$2:$V1153)&lt;=MAX('Per Line'!$AH$2:$AH$6001),MATCH(ROWS($V$2:$V1153),'Per Line'!$AH$2:$AH$6001,0),"")</f>
        <v/>
      </c>
    </row>
    <row r="1154">
      <c r="A1154" s="12" t="n"/>
      <c r="B1154">
        <f>IF($V1154="","",INDEX('Per Line'!$C$2:$C$6001,$V1154)&amp;"")</f>
        <v/>
      </c>
      <c r="C1154" s="11">
        <f>IF($V1154="","",INDEX('Per Line'!$D$2:$D$6001,$V1154))</f>
        <v/>
      </c>
      <c r="D1154">
        <f>IF($V1154="","",INDEX('Per Line'!$E$2:$E$6001,$V1154)&amp;"")</f>
        <v/>
      </c>
      <c r="E1154">
        <f>IF($V1154="","",INDEX('Per Line'!$G$2:$G$6001,$V1154)&amp;"")</f>
        <v/>
      </c>
      <c r="F1154">
        <f>IF($V1154="","",INDEX('Per Line'!$H$2:$H$6001,$V1154)&amp;"")</f>
        <v/>
      </c>
      <c r="G1154">
        <f>IF($V1154="","",INDEX('Per Line'!$I$2:$I$6001,$V1154)&amp;"")</f>
        <v/>
      </c>
      <c r="H1154">
        <f>IF($V1154="","",INDEX('Per Line'!$J$2:$J$6001,$V1154))</f>
        <v/>
      </c>
      <c r="I1154" s="7">
        <f>IF($V1154="","",H1154*S1154/100)</f>
        <v/>
      </c>
      <c r="J1154">
        <f>IF($V1154="","",INDEX('Per Line'!$S$2:$S$6001,$V1154)&amp;"")</f>
        <v/>
      </c>
      <c r="K1154" s="7">
        <f>IF($V1154="","",SUMIFS('Per Line'!$R$2:$R$6001,'Per Line'!$C$2:$C$6001,$B1154,'Per Line'!$AJ$2:$AJ$6001,1))</f>
        <v/>
      </c>
      <c r="L1154">
        <f>IF($V1154="","",Settings!$C$7)</f>
        <v/>
      </c>
      <c r="M1154" s="7">
        <f>IF($V1154="","",SUMIFS('Per Line'!$R$2:$R$6001,'Per Line'!$C$2:$C$6001,$B1154,'Per Line'!$AI$2:$AI$6001,0,'Per Line'!$AJ$2:$AJ$6001,0))</f>
        <v/>
      </c>
      <c r="N1154" s="7">
        <f>IF($V1154="","",M1154*L1154)</f>
        <v/>
      </c>
      <c r="O1154">
        <f>IF($V1154="","",Settings!$C$6)</f>
        <v/>
      </c>
      <c r="P1154" s="7">
        <f>IF($V1154="","",SUMIFS('Per Line'!$R$2:$R$6001,'Per Line'!$C$2:$C$6001,$B1154,'Per Line'!$AI$2:$AI$6001,1,'Per Line'!$AJ$2:$AJ$6001,0))</f>
        <v/>
      </c>
      <c r="Q1154" s="7">
        <f>IF($V1154="","",P1154*O1154)</f>
        <v/>
      </c>
      <c r="R1154" s="7">
        <f>IF($V1154="","",Q1154+N1154)</f>
        <v/>
      </c>
      <c r="S1154" s="7">
        <f>IF($V1154="","",T1154-R1154)</f>
        <v/>
      </c>
      <c r="T1154" s="7">
        <f>IF($V1154="","",M1154+P1154+K1154)</f>
        <v/>
      </c>
      <c r="U1154" s="7">
        <f>IF($V1154="","",T1154-R1154-I1154)</f>
        <v/>
      </c>
      <c r="V1154" s="13">
        <f>IF(ROWS($V$2:$V1154)&lt;=MAX('Per Line'!$AH$2:$AH$6001),MATCH(ROWS($V$2:$V1154),'Per Line'!$AH$2:$AH$6001,0),"")</f>
        <v/>
      </c>
    </row>
    <row r="1155">
      <c r="A1155" s="12" t="n"/>
      <c r="B1155">
        <f>IF($V1155="","",INDEX('Per Line'!$C$2:$C$6001,$V1155)&amp;"")</f>
        <v/>
      </c>
      <c r="C1155" s="11">
        <f>IF($V1155="","",INDEX('Per Line'!$D$2:$D$6001,$V1155))</f>
        <v/>
      </c>
      <c r="D1155">
        <f>IF($V1155="","",INDEX('Per Line'!$E$2:$E$6001,$V1155)&amp;"")</f>
        <v/>
      </c>
      <c r="E1155">
        <f>IF($V1155="","",INDEX('Per Line'!$G$2:$G$6001,$V1155)&amp;"")</f>
        <v/>
      </c>
      <c r="F1155">
        <f>IF($V1155="","",INDEX('Per Line'!$H$2:$H$6001,$V1155)&amp;"")</f>
        <v/>
      </c>
      <c r="G1155">
        <f>IF($V1155="","",INDEX('Per Line'!$I$2:$I$6001,$V1155)&amp;"")</f>
        <v/>
      </c>
      <c r="H1155">
        <f>IF($V1155="","",INDEX('Per Line'!$J$2:$J$6001,$V1155))</f>
        <v/>
      </c>
      <c r="I1155" s="7">
        <f>IF($V1155="","",H1155*S1155/100)</f>
        <v/>
      </c>
      <c r="J1155">
        <f>IF($V1155="","",INDEX('Per Line'!$S$2:$S$6001,$V1155)&amp;"")</f>
        <v/>
      </c>
      <c r="K1155" s="7">
        <f>IF($V1155="","",SUMIFS('Per Line'!$R$2:$R$6001,'Per Line'!$C$2:$C$6001,$B1155,'Per Line'!$AJ$2:$AJ$6001,1))</f>
        <v/>
      </c>
      <c r="L1155">
        <f>IF($V1155="","",Settings!$C$7)</f>
        <v/>
      </c>
      <c r="M1155" s="7">
        <f>IF($V1155="","",SUMIFS('Per Line'!$R$2:$R$6001,'Per Line'!$C$2:$C$6001,$B1155,'Per Line'!$AI$2:$AI$6001,0,'Per Line'!$AJ$2:$AJ$6001,0))</f>
        <v/>
      </c>
      <c r="N1155" s="7">
        <f>IF($V1155="","",M1155*L1155)</f>
        <v/>
      </c>
      <c r="O1155">
        <f>IF($V1155="","",Settings!$C$6)</f>
        <v/>
      </c>
      <c r="P1155" s="7">
        <f>IF($V1155="","",SUMIFS('Per Line'!$R$2:$R$6001,'Per Line'!$C$2:$C$6001,$B1155,'Per Line'!$AI$2:$AI$6001,1,'Per Line'!$AJ$2:$AJ$6001,0))</f>
        <v/>
      </c>
      <c r="Q1155" s="7">
        <f>IF($V1155="","",P1155*O1155)</f>
        <v/>
      </c>
      <c r="R1155" s="7">
        <f>IF($V1155="","",Q1155+N1155)</f>
        <v/>
      </c>
      <c r="S1155" s="7">
        <f>IF($V1155="","",T1155-R1155)</f>
        <v/>
      </c>
      <c r="T1155" s="7">
        <f>IF($V1155="","",M1155+P1155+K1155)</f>
        <v/>
      </c>
      <c r="U1155" s="7">
        <f>IF($V1155="","",T1155-R1155-I1155)</f>
        <v/>
      </c>
      <c r="V1155" s="13">
        <f>IF(ROWS($V$2:$V1155)&lt;=MAX('Per Line'!$AH$2:$AH$6001),MATCH(ROWS($V$2:$V1155),'Per Line'!$AH$2:$AH$6001,0),"")</f>
        <v/>
      </c>
    </row>
    <row r="1156">
      <c r="A1156" s="12" t="n"/>
      <c r="B1156">
        <f>IF($V1156="","",INDEX('Per Line'!$C$2:$C$6001,$V1156)&amp;"")</f>
        <v/>
      </c>
      <c r="C1156" s="11">
        <f>IF($V1156="","",INDEX('Per Line'!$D$2:$D$6001,$V1156))</f>
        <v/>
      </c>
      <c r="D1156">
        <f>IF($V1156="","",INDEX('Per Line'!$E$2:$E$6001,$V1156)&amp;"")</f>
        <v/>
      </c>
      <c r="E1156">
        <f>IF($V1156="","",INDEX('Per Line'!$G$2:$G$6001,$V1156)&amp;"")</f>
        <v/>
      </c>
      <c r="F1156">
        <f>IF($V1156="","",INDEX('Per Line'!$H$2:$H$6001,$V1156)&amp;"")</f>
        <v/>
      </c>
      <c r="G1156">
        <f>IF($V1156="","",INDEX('Per Line'!$I$2:$I$6001,$V1156)&amp;"")</f>
        <v/>
      </c>
      <c r="H1156">
        <f>IF($V1156="","",INDEX('Per Line'!$J$2:$J$6001,$V1156))</f>
        <v/>
      </c>
      <c r="I1156" s="7">
        <f>IF($V1156="","",H1156*S1156/100)</f>
        <v/>
      </c>
      <c r="J1156">
        <f>IF($V1156="","",INDEX('Per Line'!$S$2:$S$6001,$V1156)&amp;"")</f>
        <v/>
      </c>
      <c r="K1156" s="7">
        <f>IF($V1156="","",SUMIFS('Per Line'!$R$2:$R$6001,'Per Line'!$C$2:$C$6001,$B1156,'Per Line'!$AJ$2:$AJ$6001,1))</f>
        <v/>
      </c>
      <c r="L1156">
        <f>IF($V1156="","",Settings!$C$7)</f>
        <v/>
      </c>
      <c r="M1156" s="7">
        <f>IF($V1156="","",SUMIFS('Per Line'!$R$2:$R$6001,'Per Line'!$C$2:$C$6001,$B1156,'Per Line'!$AI$2:$AI$6001,0,'Per Line'!$AJ$2:$AJ$6001,0))</f>
        <v/>
      </c>
      <c r="N1156" s="7">
        <f>IF($V1156="","",M1156*L1156)</f>
        <v/>
      </c>
      <c r="O1156">
        <f>IF($V1156="","",Settings!$C$6)</f>
        <v/>
      </c>
      <c r="P1156" s="7">
        <f>IF($V1156="","",SUMIFS('Per Line'!$R$2:$R$6001,'Per Line'!$C$2:$C$6001,$B1156,'Per Line'!$AI$2:$AI$6001,1,'Per Line'!$AJ$2:$AJ$6001,0))</f>
        <v/>
      </c>
      <c r="Q1156" s="7">
        <f>IF($V1156="","",P1156*O1156)</f>
        <v/>
      </c>
      <c r="R1156" s="7">
        <f>IF($V1156="","",Q1156+N1156)</f>
        <v/>
      </c>
      <c r="S1156" s="7">
        <f>IF($V1156="","",T1156-R1156)</f>
        <v/>
      </c>
      <c r="T1156" s="7">
        <f>IF($V1156="","",M1156+P1156+K1156)</f>
        <v/>
      </c>
      <c r="U1156" s="7">
        <f>IF($V1156="","",T1156-R1156-I1156)</f>
        <v/>
      </c>
      <c r="V1156" s="13">
        <f>IF(ROWS($V$2:$V1156)&lt;=MAX('Per Line'!$AH$2:$AH$6001),MATCH(ROWS($V$2:$V1156),'Per Line'!$AH$2:$AH$6001,0),"")</f>
        <v/>
      </c>
    </row>
    <row r="1157">
      <c r="A1157" s="12" t="n"/>
      <c r="B1157">
        <f>IF($V1157="","",INDEX('Per Line'!$C$2:$C$6001,$V1157)&amp;"")</f>
        <v/>
      </c>
      <c r="C1157" s="11">
        <f>IF($V1157="","",INDEX('Per Line'!$D$2:$D$6001,$V1157))</f>
        <v/>
      </c>
      <c r="D1157">
        <f>IF($V1157="","",INDEX('Per Line'!$E$2:$E$6001,$V1157)&amp;"")</f>
        <v/>
      </c>
      <c r="E1157">
        <f>IF($V1157="","",INDEX('Per Line'!$G$2:$G$6001,$V1157)&amp;"")</f>
        <v/>
      </c>
      <c r="F1157">
        <f>IF($V1157="","",INDEX('Per Line'!$H$2:$H$6001,$V1157)&amp;"")</f>
        <v/>
      </c>
      <c r="G1157">
        <f>IF($V1157="","",INDEX('Per Line'!$I$2:$I$6001,$V1157)&amp;"")</f>
        <v/>
      </c>
      <c r="H1157">
        <f>IF($V1157="","",INDEX('Per Line'!$J$2:$J$6001,$V1157))</f>
        <v/>
      </c>
      <c r="I1157" s="7">
        <f>IF($V1157="","",H1157*S1157/100)</f>
        <v/>
      </c>
      <c r="J1157">
        <f>IF($V1157="","",INDEX('Per Line'!$S$2:$S$6001,$V1157)&amp;"")</f>
        <v/>
      </c>
      <c r="K1157" s="7">
        <f>IF($V1157="","",SUMIFS('Per Line'!$R$2:$R$6001,'Per Line'!$C$2:$C$6001,$B1157,'Per Line'!$AJ$2:$AJ$6001,1))</f>
        <v/>
      </c>
      <c r="L1157">
        <f>IF($V1157="","",Settings!$C$7)</f>
        <v/>
      </c>
      <c r="M1157" s="7">
        <f>IF($V1157="","",SUMIFS('Per Line'!$R$2:$R$6001,'Per Line'!$C$2:$C$6001,$B1157,'Per Line'!$AI$2:$AI$6001,0,'Per Line'!$AJ$2:$AJ$6001,0))</f>
        <v/>
      </c>
      <c r="N1157" s="7">
        <f>IF($V1157="","",M1157*L1157)</f>
        <v/>
      </c>
      <c r="O1157">
        <f>IF($V1157="","",Settings!$C$6)</f>
        <v/>
      </c>
      <c r="P1157" s="7">
        <f>IF($V1157="","",SUMIFS('Per Line'!$R$2:$R$6001,'Per Line'!$C$2:$C$6001,$B1157,'Per Line'!$AI$2:$AI$6001,1,'Per Line'!$AJ$2:$AJ$6001,0))</f>
        <v/>
      </c>
      <c r="Q1157" s="7">
        <f>IF($V1157="","",P1157*O1157)</f>
        <v/>
      </c>
      <c r="R1157" s="7">
        <f>IF($V1157="","",Q1157+N1157)</f>
        <v/>
      </c>
      <c r="S1157" s="7">
        <f>IF($V1157="","",T1157-R1157)</f>
        <v/>
      </c>
      <c r="T1157" s="7">
        <f>IF($V1157="","",M1157+P1157+K1157)</f>
        <v/>
      </c>
      <c r="U1157" s="7">
        <f>IF($V1157="","",T1157-R1157-I1157)</f>
        <v/>
      </c>
      <c r="V1157" s="13">
        <f>IF(ROWS($V$2:$V1157)&lt;=MAX('Per Line'!$AH$2:$AH$6001),MATCH(ROWS($V$2:$V1157),'Per Line'!$AH$2:$AH$6001,0),"")</f>
        <v/>
      </c>
    </row>
    <row r="1158">
      <c r="A1158" s="12" t="n"/>
      <c r="B1158">
        <f>IF($V1158="","",INDEX('Per Line'!$C$2:$C$6001,$V1158)&amp;"")</f>
        <v/>
      </c>
      <c r="C1158" s="11">
        <f>IF($V1158="","",INDEX('Per Line'!$D$2:$D$6001,$V1158))</f>
        <v/>
      </c>
      <c r="D1158">
        <f>IF($V1158="","",INDEX('Per Line'!$E$2:$E$6001,$V1158)&amp;"")</f>
        <v/>
      </c>
      <c r="E1158">
        <f>IF($V1158="","",INDEX('Per Line'!$G$2:$G$6001,$V1158)&amp;"")</f>
        <v/>
      </c>
      <c r="F1158">
        <f>IF($V1158="","",INDEX('Per Line'!$H$2:$H$6001,$V1158)&amp;"")</f>
        <v/>
      </c>
      <c r="G1158">
        <f>IF($V1158="","",INDEX('Per Line'!$I$2:$I$6001,$V1158)&amp;"")</f>
        <v/>
      </c>
      <c r="H1158">
        <f>IF($V1158="","",INDEX('Per Line'!$J$2:$J$6001,$V1158))</f>
        <v/>
      </c>
      <c r="I1158" s="7">
        <f>IF($V1158="","",H1158*S1158/100)</f>
        <v/>
      </c>
      <c r="J1158">
        <f>IF($V1158="","",INDEX('Per Line'!$S$2:$S$6001,$V1158)&amp;"")</f>
        <v/>
      </c>
      <c r="K1158" s="7">
        <f>IF($V1158="","",SUMIFS('Per Line'!$R$2:$R$6001,'Per Line'!$C$2:$C$6001,$B1158,'Per Line'!$AJ$2:$AJ$6001,1))</f>
        <v/>
      </c>
      <c r="L1158">
        <f>IF($V1158="","",Settings!$C$7)</f>
        <v/>
      </c>
      <c r="M1158" s="7">
        <f>IF($V1158="","",SUMIFS('Per Line'!$R$2:$R$6001,'Per Line'!$C$2:$C$6001,$B1158,'Per Line'!$AI$2:$AI$6001,0,'Per Line'!$AJ$2:$AJ$6001,0))</f>
        <v/>
      </c>
      <c r="N1158" s="7">
        <f>IF($V1158="","",M1158*L1158)</f>
        <v/>
      </c>
      <c r="O1158">
        <f>IF($V1158="","",Settings!$C$6)</f>
        <v/>
      </c>
      <c r="P1158" s="7">
        <f>IF($V1158="","",SUMIFS('Per Line'!$R$2:$R$6001,'Per Line'!$C$2:$C$6001,$B1158,'Per Line'!$AI$2:$AI$6001,1,'Per Line'!$AJ$2:$AJ$6001,0))</f>
        <v/>
      </c>
      <c r="Q1158" s="7">
        <f>IF($V1158="","",P1158*O1158)</f>
        <v/>
      </c>
      <c r="R1158" s="7">
        <f>IF($V1158="","",Q1158+N1158)</f>
        <v/>
      </c>
      <c r="S1158" s="7">
        <f>IF($V1158="","",T1158-R1158)</f>
        <v/>
      </c>
      <c r="T1158" s="7">
        <f>IF($V1158="","",M1158+P1158+K1158)</f>
        <v/>
      </c>
      <c r="U1158" s="7">
        <f>IF($V1158="","",T1158-R1158-I1158)</f>
        <v/>
      </c>
      <c r="V1158" s="13">
        <f>IF(ROWS($V$2:$V1158)&lt;=MAX('Per Line'!$AH$2:$AH$6001),MATCH(ROWS($V$2:$V1158),'Per Line'!$AH$2:$AH$6001,0),"")</f>
        <v/>
      </c>
    </row>
    <row r="1159">
      <c r="A1159" s="12" t="n"/>
      <c r="B1159">
        <f>IF($V1159="","",INDEX('Per Line'!$C$2:$C$6001,$V1159)&amp;"")</f>
        <v/>
      </c>
      <c r="C1159" s="11">
        <f>IF($V1159="","",INDEX('Per Line'!$D$2:$D$6001,$V1159))</f>
        <v/>
      </c>
      <c r="D1159">
        <f>IF($V1159="","",INDEX('Per Line'!$E$2:$E$6001,$V1159)&amp;"")</f>
        <v/>
      </c>
      <c r="E1159">
        <f>IF($V1159="","",INDEX('Per Line'!$G$2:$G$6001,$V1159)&amp;"")</f>
        <v/>
      </c>
      <c r="F1159">
        <f>IF($V1159="","",INDEX('Per Line'!$H$2:$H$6001,$V1159)&amp;"")</f>
        <v/>
      </c>
      <c r="G1159">
        <f>IF($V1159="","",INDEX('Per Line'!$I$2:$I$6001,$V1159)&amp;"")</f>
        <v/>
      </c>
      <c r="H1159">
        <f>IF($V1159="","",INDEX('Per Line'!$J$2:$J$6001,$V1159))</f>
        <v/>
      </c>
      <c r="I1159" s="7">
        <f>IF($V1159="","",H1159*S1159/100)</f>
        <v/>
      </c>
      <c r="J1159">
        <f>IF($V1159="","",INDEX('Per Line'!$S$2:$S$6001,$V1159)&amp;"")</f>
        <v/>
      </c>
      <c r="K1159" s="7">
        <f>IF($V1159="","",SUMIFS('Per Line'!$R$2:$R$6001,'Per Line'!$C$2:$C$6001,$B1159,'Per Line'!$AJ$2:$AJ$6001,1))</f>
        <v/>
      </c>
      <c r="L1159">
        <f>IF($V1159="","",Settings!$C$7)</f>
        <v/>
      </c>
      <c r="M1159" s="7">
        <f>IF($V1159="","",SUMIFS('Per Line'!$R$2:$R$6001,'Per Line'!$C$2:$C$6001,$B1159,'Per Line'!$AI$2:$AI$6001,0,'Per Line'!$AJ$2:$AJ$6001,0))</f>
        <v/>
      </c>
      <c r="N1159" s="7">
        <f>IF($V1159="","",M1159*L1159)</f>
        <v/>
      </c>
      <c r="O1159">
        <f>IF($V1159="","",Settings!$C$6)</f>
        <v/>
      </c>
      <c r="P1159" s="7">
        <f>IF($V1159="","",SUMIFS('Per Line'!$R$2:$R$6001,'Per Line'!$C$2:$C$6001,$B1159,'Per Line'!$AI$2:$AI$6001,1,'Per Line'!$AJ$2:$AJ$6001,0))</f>
        <v/>
      </c>
      <c r="Q1159" s="7">
        <f>IF($V1159="","",P1159*O1159)</f>
        <v/>
      </c>
      <c r="R1159" s="7">
        <f>IF($V1159="","",Q1159+N1159)</f>
        <v/>
      </c>
      <c r="S1159" s="7">
        <f>IF($V1159="","",T1159-R1159)</f>
        <v/>
      </c>
      <c r="T1159" s="7">
        <f>IF($V1159="","",M1159+P1159+K1159)</f>
        <v/>
      </c>
      <c r="U1159" s="7">
        <f>IF($V1159="","",T1159-R1159-I1159)</f>
        <v/>
      </c>
      <c r="V1159" s="13">
        <f>IF(ROWS($V$2:$V1159)&lt;=MAX('Per Line'!$AH$2:$AH$6001),MATCH(ROWS($V$2:$V1159),'Per Line'!$AH$2:$AH$6001,0),"")</f>
        <v/>
      </c>
    </row>
    <row r="1160">
      <c r="A1160" s="12" t="n"/>
      <c r="B1160">
        <f>IF($V1160="","",INDEX('Per Line'!$C$2:$C$6001,$V1160)&amp;"")</f>
        <v/>
      </c>
      <c r="C1160" s="11">
        <f>IF($V1160="","",INDEX('Per Line'!$D$2:$D$6001,$V1160))</f>
        <v/>
      </c>
      <c r="D1160">
        <f>IF($V1160="","",INDEX('Per Line'!$E$2:$E$6001,$V1160)&amp;"")</f>
        <v/>
      </c>
      <c r="E1160">
        <f>IF($V1160="","",INDEX('Per Line'!$G$2:$G$6001,$V1160)&amp;"")</f>
        <v/>
      </c>
      <c r="F1160">
        <f>IF($V1160="","",INDEX('Per Line'!$H$2:$H$6001,$V1160)&amp;"")</f>
        <v/>
      </c>
      <c r="G1160">
        <f>IF($V1160="","",INDEX('Per Line'!$I$2:$I$6001,$V1160)&amp;"")</f>
        <v/>
      </c>
      <c r="H1160">
        <f>IF($V1160="","",INDEX('Per Line'!$J$2:$J$6001,$V1160))</f>
        <v/>
      </c>
      <c r="I1160" s="7">
        <f>IF($V1160="","",H1160*S1160/100)</f>
        <v/>
      </c>
      <c r="J1160">
        <f>IF($V1160="","",INDEX('Per Line'!$S$2:$S$6001,$V1160)&amp;"")</f>
        <v/>
      </c>
      <c r="K1160" s="7">
        <f>IF($V1160="","",SUMIFS('Per Line'!$R$2:$R$6001,'Per Line'!$C$2:$C$6001,$B1160,'Per Line'!$AJ$2:$AJ$6001,1))</f>
        <v/>
      </c>
      <c r="L1160">
        <f>IF($V1160="","",Settings!$C$7)</f>
        <v/>
      </c>
      <c r="M1160" s="7">
        <f>IF($V1160="","",SUMIFS('Per Line'!$R$2:$R$6001,'Per Line'!$C$2:$C$6001,$B1160,'Per Line'!$AI$2:$AI$6001,0,'Per Line'!$AJ$2:$AJ$6001,0))</f>
        <v/>
      </c>
      <c r="N1160" s="7">
        <f>IF($V1160="","",M1160*L1160)</f>
        <v/>
      </c>
      <c r="O1160">
        <f>IF($V1160="","",Settings!$C$6)</f>
        <v/>
      </c>
      <c r="P1160" s="7">
        <f>IF($V1160="","",SUMIFS('Per Line'!$R$2:$R$6001,'Per Line'!$C$2:$C$6001,$B1160,'Per Line'!$AI$2:$AI$6001,1,'Per Line'!$AJ$2:$AJ$6001,0))</f>
        <v/>
      </c>
      <c r="Q1160" s="7">
        <f>IF($V1160="","",P1160*O1160)</f>
        <v/>
      </c>
      <c r="R1160" s="7">
        <f>IF($V1160="","",Q1160+N1160)</f>
        <v/>
      </c>
      <c r="S1160" s="7">
        <f>IF($V1160="","",T1160-R1160)</f>
        <v/>
      </c>
      <c r="T1160" s="7">
        <f>IF($V1160="","",M1160+P1160+K1160)</f>
        <v/>
      </c>
      <c r="U1160" s="7">
        <f>IF($V1160="","",T1160-R1160-I1160)</f>
        <v/>
      </c>
      <c r="V1160" s="13">
        <f>IF(ROWS($V$2:$V1160)&lt;=MAX('Per Line'!$AH$2:$AH$6001),MATCH(ROWS($V$2:$V1160),'Per Line'!$AH$2:$AH$6001,0),"")</f>
        <v/>
      </c>
    </row>
    <row r="1161">
      <c r="A1161" s="12" t="n"/>
      <c r="B1161">
        <f>IF($V1161="","",INDEX('Per Line'!$C$2:$C$6001,$V1161)&amp;"")</f>
        <v/>
      </c>
      <c r="C1161" s="11">
        <f>IF($V1161="","",INDEX('Per Line'!$D$2:$D$6001,$V1161))</f>
        <v/>
      </c>
      <c r="D1161">
        <f>IF($V1161="","",INDEX('Per Line'!$E$2:$E$6001,$V1161)&amp;"")</f>
        <v/>
      </c>
      <c r="E1161">
        <f>IF($V1161="","",INDEX('Per Line'!$G$2:$G$6001,$V1161)&amp;"")</f>
        <v/>
      </c>
      <c r="F1161">
        <f>IF($V1161="","",INDEX('Per Line'!$H$2:$H$6001,$V1161)&amp;"")</f>
        <v/>
      </c>
      <c r="G1161">
        <f>IF($V1161="","",INDEX('Per Line'!$I$2:$I$6001,$V1161)&amp;"")</f>
        <v/>
      </c>
      <c r="H1161">
        <f>IF($V1161="","",INDEX('Per Line'!$J$2:$J$6001,$V1161))</f>
        <v/>
      </c>
      <c r="I1161" s="7">
        <f>IF($V1161="","",H1161*S1161/100)</f>
        <v/>
      </c>
      <c r="J1161">
        <f>IF($V1161="","",INDEX('Per Line'!$S$2:$S$6001,$V1161)&amp;"")</f>
        <v/>
      </c>
      <c r="K1161" s="7">
        <f>IF($V1161="","",SUMIFS('Per Line'!$R$2:$R$6001,'Per Line'!$C$2:$C$6001,$B1161,'Per Line'!$AJ$2:$AJ$6001,1))</f>
        <v/>
      </c>
      <c r="L1161">
        <f>IF($V1161="","",Settings!$C$7)</f>
        <v/>
      </c>
      <c r="M1161" s="7">
        <f>IF($V1161="","",SUMIFS('Per Line'!$R$2:$R$6001,'Per Line'!$C$2:$C$6001,$B1161,'Per Line'!$AI$2:$AI$6001,0,'Per Line'!$AJ$2:$AJ$6001,0))</f>
        <v/>
      </c>
      <c r="N1161" s="7">
        <f>IF($V1161="","",M1161*L1161)</f>
        <v/>
      </c>
      <c r="O1161">
        <f>IF($V1161="","",Settings!$C$6)</f>
        <v/>
      </c>
      <c r="P1161" s="7">
        <f>IF($V1161="","",SUMIFS('Per Line'!$R$2:$R$6001,'Per Line'!$C$2:$C$6001,$B1161,'Per Line'!$AI$2:$AI$6001,1,'Per Line'!$AJ$2:$AJ$6001,0))</f>
        <v/>
      </c>
      <c r="Q1161" s="7">
        <f>IF($V1161="","",P1161*O1161)</f>
        <v/>
      </c>
      <c r="R1161" s="7">
        <f>IF($V1161="","",Q1161+N1161)</f>
        <v/>
      </c>
      <c r="S1161" s="7">
        <f>IF($V1161="","",T1161-R1161)</f>
        <v/>
      </c>
      <c r="T1161" s="7">
        <f>IF($V1161="","",M1161+P1161+K1161)</f>
        <v/>
      </c>
      <c r="U1161" s="7">
        <f>IF($V1161="","",T1161-R1161-I1161)</f>
        <v/>
      </c>
      <c r="V1161" s="13">
        <f>IF(ROWS($V$2:$V1161)&lt;=MAX('Per Line'!$AH$2:$AH$6001),MATCH(ROWS($V$2:$V1161),'Per Line'!$AH$2:$AH$6001,0),"")</f>
        <v/>
      </c>
    </row>
    <row r="1162">
      <c r="A1162" s="12" t="n"/>
      <c r="B1162">
        <f>IF($V1162="","",INDEX('Per Line'!$C$2:$C$6001,$V1162)&amp;"")</f>
        <v/>
      </c>
      <c r="C1162" s="11">
        <f>IF($V1162="","",INDEX('Per Line'!$D$2:$D$6001,$V1162))</f>
        <v/>
      </c>
      <c r="D1162">
        <f>IF($V1162="","",INDEX('Per Line'!$E$2:$E$6001,$V1162)&amp;"")</f>
        <v/>
      </c>
      <c r="E1162">
        <f>IF($V1162="","",INDEX('Per Line'!$G$2:$G$6001,$V1162)&amp;"")</f>
        <v/>
      </c>
      <c r="F1162">
        <f>IF($V1162="","",INDEX('Per Line'!$H$2:$H$6001,$V1162)&amp;"")</f>
        <v/>
      </c>
      <c r="G1162">
        <f>IF($V1162="","",INDEX('Per Line'!$I$2:$I$6001,$V1162)&amp;"")</f>
        <v/>
      </c>
      <c r="H1162">
        <f>IF($V1162="","",INDEX('Per Line'!$J$2:$J$6001,$V1162))</f>
        <v/>
      </c>
      <c r="I1162" s="7">
        <f>IF($V1162="","",H1162*S1162/100)</f>
        <v/>
      </c>
      <c r="J1162">
        <f>IF($V1162="","",INDEX('Per Line'!$S$2:$S$6001,$V1162)&amp;"")</f>
        <v/>
      </c>
      <c r="K1162" s="7">
        <f>IF($V1162="","",SUMIFS('Per Line'!$R$2:$R$6001,'Per Line'!$C$2:$C$6001,$B1162,'Per Line'!$AJ$2:$AJ$6001,1))</f>
        <v/>
      </c>
      <c r="L1162">
        <f>IF($V1162="","",Settings!$C$7)</f>
        <v/>
      </c>
      <c r="M1162" s="7">
        <f>IF($V1162="","",SUMIFS('Per Line'!$R$2:$R$6001,'Per Line'!$C$2:$C$6001,$B1162,'Per Line'!$AI$2:$AI$6001,0,'Per Line'!$AJ$2:$AJ$6001,0))</f>
        <v/>
      </c>
      <c r="N1162" s="7">
        <f>IF($V1162="","",M1162*L1162)</f>
        <v/>
      </c>
      <c r="O1162">
        <f>IF($V1162="","",Settings!$C$6)</f>
        <v/>
      </c>
      <c r="P1162" s="7">
        <f>IF($V1162="","",SUMIFS('Per Line'!$R$2:$R$6001,'Per Line'!$C$2:$C$6001,$B1162,'Per Line'!$AI$2:$AI$6001,1,'Per Line'!$AJ$2:$AJ$6001,0))</f>
        <v/>
      </c>
      <c r="Q1162" s="7">
        <f>IF($V1162="","",P1162*O1162)</f>
        <v/>
      </c>
      <c r="R1162" s="7">
        <f>IF($V1162="","",Q1162+N1162)</f>
        <v/>
      </c>
      <c r="S1162" s="7">
        <f>IF($V1162="","",T1162-R1162)</f>
        <v/>
      </c>
      <c r="T1162" s="7">
        <f>IF($V1162="","",M1162+P1162+K1162)</f>
        <v/>
      </c>
      <c r="U1162" s="7">
        <f>IF($V1162="","",T1162-R1162-I1162)</f>
        <v/>
      </c>
      <c r="V1162" s="13">
        <f>IF(ROWS($V$2:$V1162)&lt;=MAX('Per Line'!$AH$2:$AH$6001),MATCH(ROWS($V$2:$V1162),'Per Line'!$AH$2:$AH$6001,0),"")</f>
        <v/>
      </c>
    </row>
    <row r="1163">
      <c r="A1163" s="12" t="n"/>
      <c r="B1163">
        <f>IF($V1163="","",INDEX('Per Line'!$C$2:$C$6001,$V1163)&amp;"")</f>
        <v/>
      </c>
      <c r="C1163" s="11">
        <f>IF($V1163="","",INDEX('Per Line'!$D$2:$D$6001,$V1163))</f>
        <v/>
      </c>
      <c r="D1163">
        <f>IF($V1163="","",INDEX('Per Line'!$E$2:$E$6001,$V1163)&amp;"")</f>
        <v/>
      </c>
      <c r="E1163">
        <f>IF($V1163="","",INDEX('Per Line'!$G$2:$G$6001,$V1163)&amp;"")</f>
        <v/>
      </c>
      <c r="F1163">
        <f>IF($V1163="","",INDEX('Per Line'!$H$2:$H$6001,$V1163)&amp;"")</f>
        <v/>
      </c>
      <c r="G1163">
        <f>IF($V1163="","",INDEX('Per Line'!$I$2:$I$6001,$V1163)&amp;"")</f>
        <v/>
      </c>
      <c r="H1163">
        <f>IF($V1163="","",INDEX('Per Line'!$J$2:$J$6001,$V1163))</f>
        <v/>
      </c>
      <c r="I1163" s="7">
        <f>IF($V1163="","",H1163*S1163/100)</f>
        <v/>
      </c>
      <c r="J1163">
        <f>IF($V1163="","",INDEX('Per Line'!$S$2:$S$6001,$V1163)&amp;"")</f>
        <v/>
      </c>
      <c r="K1163" s="7">
        <f>IF($V1163="","",SUMIFS('Per Line'!$R$2:$R$6001,'Per Line'!$C$2:$C$6001,$B1163,'Per Line'!$AJ$2:$AJ$6001,1))</f>
        <v/>
      </c>
      <c r="L1163">
        <f>IF($V1163="","",Settings!$C$7)</f>
        <v/>
      </c>
      <c r="M1163" s="7">
        <f>IF($V1163="","",SUMIFS('Per Line'!$R$2:$R$6001,'Per Line'!$C$2:$C$6001,$B1163,'Per Line'!$AI$2:$AI$6001,0,'Per Line'!$AJ$2:$AJ$6001,0))</f>
        <v/>
      </c>
      <c r="N1163" s="7">
        <f>IF($V1163="","",M1163*L1163)</f>
        <v/>
      </c>
      <c r="O1163">
        <f>IF($V1163="","",Settings!$C$6)</f>
        <v/>
      </c>
      <c r="P1163" s="7">
        <f>IF($V1163="","",SUMIFS('Per Line'!$R$2:$R$6001,'Per Line'!$C$2:$C$6001,$B1163,'Per Line'!$AI$2:$AI$6001,1,'Per Line'!$AJ$2:$AJ$6001,0))</f>
        <v/>
      </c>
      <c r="Q1163" s="7">
        <f>IF($V1163="","",P1163*O1163)</f>
        <v/>
      </c>
      <c r="R1163" s="7">
        <f>IF($V1163="","",Q1163+N1163)</f>
        <v/>
      </c>
      <c r="S1163" s="7">
        <f>IF($V1163="","",T1163-R1163)</f>
        <v/>
      </c>
      <c r="T1163" s="7">
        <f>IF($V1163="","",M1163+P1163+K1163)</f>
        <v/>
      </c>
      <c r="U1163" s="7">
        <f>IF($V1163="","",T1163-R1163-I1163)</f>
        <v/>
      </c>
      <c r="V1163" s="13">
        <f>IF(ROWS($V$2:$V1163)&lt;=MAX('Per Line'!$AH$2:$AH$6001),MATCH(ROWS($V$2:$V1163),'Per Line'!$AH$2:$AH$6001,0),"")</f>
        <v/>
      </c>
    </row>
    <row r="1164">
      <c r="A1164" s="12" t="n"/>
      <c r="B1164">
        <f>IF($V1164="","",INDEX('Per Line'!$C$2:$C$6001,$V1164)&amp;"")</f>
        <v/>
      </c>
      <c r="C1164" s="11">
        <f>IF($V1164="","",INDEX('Per Line'!$D$2:$D$6001,$V1164))</f>
        <v/>
      </c>
      <c r="D1164">
        <f>IF($V1164="","",INDEX('Per Line'!$E$2:$E$6001,$V1164)&amp;"")</f>
        <v/>
      </c>
      <c r="E1164">
        <f>IF($V1164="","",INDEX('Per Line'!$G$2:$G$6001,$V1164)&amp;"")</f>
        <v/>
      </c>
      <c r="F1164">
        <f>IF($V1164="","",INDEX('Per Line'!$H$2:$H$6001,$V1164)&amp;"")</f>
        <v/>
      </c>
      <c r="G1164">
        <f>IF($V1164="","",INDEX('Per Line'!$I$2:$I$6001,$V1164)&amp;"")</f>
        <v/>
      </c>
      <c r="H1164">
        <f>IF($V1164="","",INDEX('Per Line'!$J$2:$J$6001,$V1164))</f>
        <v/>
      </c>
      <c r="I1164" s="7">
        <f>IF($V1164="","",H1164*S1164/100)</f>
        <v/>
      </c>
      <c r="J1164">
        <f>IF($V1164="","",INDEX('Per Line'!$S$2:$S$6001,$V1164)&amp;"")</f>
        <v/>
      </c>
      <c r="K1164" s="7">
        <f>IF($V1164="","",SUMIFS('Per Line'!$R$2:$R$6001,'Per Line'!$C$2:$C$6001,$B1164,'Per Line'!$AJ$2:$AJ$6001,1))</f>
        <v/>
      </c>
      <c r="L1164">
        <f>IF($V1164="","",Settings!$C$7)</f>
        <v/>
      </c>
      <c r="M1164" s="7">
        <f>IF($V1164="","",SUMIFS('Per Line'!$R$2:$R$6001,'Per Line'!$C$2:$C$6001,$B1164,'Per Line'!$AI$2:$AI$6001,0,'Per Line'!$AJ$2:$AJ$6001,0))</f>
        <v/>
      </c>
      <c r="N1164" s="7">
        <f>IF($V1164="","",M1164*L1164)</f>
        <v/>
      </c>
      <c r="O1164">
        <f>IF($V1164="","",Settings!$C$6)</f>
        <v/>
      </c>
      <c r="P1164" s="7">
        <f>IF($V1164="","",SUMIFS('Per Line'!$R$2:$R$6001,'Per Line'!$C$2:$C$6001,$B1164,'Per Line'!$AI$2:$AI$6001,1,'Per Line'!$AJ$2:$AJ$6001,0))</f>
        <v/>
      </c>
      <c r="Q1164" s="7">
        <f>IF($V1164="","",P1164*O1164)</f>
        <v/>
      </c>
      <c r="R1164" s="7">
        <f>IF($V1164="","",Q1164+N1164)</f>
        <v/>
      </c>
      <c r="S1164" s="7">
        <f>IF($V1164="","",T1164-R1164)</f>
        <v/>
      </c>
      <c r="T1164" s="7">
        <f>IF($V1164="","",M1164+P1164+K1164)</f>
        <v/>
      </c>
      <c r="U1164" s="7">
        <f>IF($V1164="","",T1164-R1164-I1164)</f>
        <v/>
      </c>
      <c r="V1164" s="13">
        <f>IF(ROWS($V$2:$V1164)&lt;=MAX('Per Line'!$AH$2:$AH$6001),MATCH(ROWS($V$2:$V1164),'Per Line'!$AH$2:$AH$6001,0),"")</f>
        <v/>
      </c>
    </row>
    <row r="1165">
      <c r="A1165" s="12" t="n"/>
      <c r="B1165">
        <f>IF($V1165="","",INDEX('Per Line'!$C$2:$C$6001,$V1165)&amp;"")</f>
        <v/>
      </c>
      <c r="C1165" s="11">
        <f>IF($V1165="","",INDEX('Per Line'!$D$2:$D$6001,$V1165))</f>
        <v/>
      </c>
      <c r="D1165">
        <f>IF($V1165="","",INDEX('Per Line'!$E$2:$E$6001,$V1165)&amp;"")</f>
        <v/>
      </c>
      <c r="E1165">
        <f>IF($V1165="","",INDEX('Per Line'!$G$2:$G$6001,$V1165)&amp;"")</f>
        <v/>
      </c>
      <c r="F1165">
        <f>IF($V1165="","",INDEX('Per Line'!$H$2:$H$6001,$V1165)&amp;"")</f>
        <v/>
      </c>
      <c r="G1165">
        <f>IF($V1165="","",INDEX('Per Line'!$I$2:$I$6001,$V1165)&amp;"")</f>
        <v/>
      </c>
      <c r="H1165">
        <f>IF($V1165="","",INDEX('Per Line'!$J$2:$J$6001,$V1165))</f>
        <v/>
      </c>
      <c r="I1165" s="7">
        <f>IF($V1165="","",H1165*S1165/100)</f>
        <v/>
      </c>
      <c r="J1165">
        <f>IF($V1165="","",INDEX('Per Line'!$S$2:$S$6001,$V1165)&amp;"")</f>
        <v/>
      </c>
      <c r="K1165" s="7">
        <f>IF($V1165="","",SUMIFS('Per Line'!$R$2:$R$6001,'Per Line'!$C$2:$C$6001,$B1165,'Per Line'!$AJ$2:$AJ$6001,1))</f>
        <v/>
      </c>
      <c r="L1165">
        <f>IF($V1165="","",Settings!$C$7)</f>
        <v/>
      </c>
      <c r="M1165" s="7">
        <f>IF($V1165="","",SUMIFS('Per Line'!$R$2:$R$6001,'Per Line'!$C$2:$C$6001,$B1165,'Per Line'!$AI$2:$AI$6001,0,'Per Line'!$AJ$2:$AJ$6001,0))</f>
        <v/>
      </c>
      <c r="N1165" s="7">
        <f>IF($V1165="","",M1165*L1165)</f>
        <v/>
      </c>
      <c r="O1165">
        <f>IF($V1165="","",Settings!$C$6)</f>
        <v/>
      </c>
      <c r="P1165" s="7">
        <f>IF($V1165="","",SUMIFS('Per Line'!$R$2:$R$6001,'Per Line'!$C$2:$C$6001,$B1165,'Per Line'!$AI$2:$AI$6001,1,'Per Line'!$AJ$2:$AJ$6001,0))</f>
        <v/>
      </c>
      <c r="Q1165" s="7">
        <f>IF($V1165="","",P1165*O1165)</f>
        <v/>
      </c>
      <c r="R1165" s="7">
        <f>IF($V1165="","",Q1165+N1165)</f>
        <v/>
      </c>
      <c r="S1165" s="7">
        <f>IF($V1165="","",T1165-R1165)</f>
        <v/>
      </c>
      <c r="T1165" s="7">
        <f>IF($V1165="","",M1165+P1165+K1165)</f>
        <v/>
      </c>
      <c r="U1165" s="7">
        <f>IF($V1165="","",T1165-R1165-I1165)</f>
        <v/>
      </c>
      <c r="V1165" s="13">
        <f>IF(ROWS($V$2:$V1165)&lt;=MAX('Per Line'!$AH$2:$AH$6001),MATCH(ROWS($V$2:$V1165),'Per Line'!$AH$2:$AH$6001,0),"")</f>
        <v/>
      </c>
    </row>
    <row r="1166">
      <c r="A1166" s="12" t="n"/>
      <c r="B1166">
        <f>IF($V1166="","",INDEX('Per Line'!$C$2:$C$6001,$V1166)&amp;"")</f>
        <v/>
      </c>
      <c r="C1166" s="11">
        <f>IF($V1166="","",INDEX('Per Line'!$D$2:$D$6001,$V1166))</f>
        <v/>
      </c>
      <c r="D1166">
        <f>IF($V1166="","",INDEX('Per Line'!$E$2:$E$6001,$V1166)&amp;"")</f>
        <v/>
      </c>
      <c r="E1166">
        <f>IF($V1166="","",INDEX('Per Line'!$G$2:$G$6001,$V1166)&amp;"")</f>
        <v/>
      </c>
      <c r="F1166">
        <f>IF($V1166="","",INDEX('Per Line'!$H$2:$H$6001,$V1166)&amp;"")</f>
        <v/>
      </c>
      <c r="G1166">
        <f>IF($V1166="","",INDEX('Per Line'!$I$2:$I$6001,$V1166)&amp;"")</f>
        <v/>
      </c>
      <c r="H1166">
        <f>IF($V1166="","",INDEX('Per Line'!$J$2:$J$6001,$V1166))</f>
        <v/>
      </c>
      <c r="I1166" s="7">
        <f>IF($V1166="","",H1166*S1166/100)</f>
        <v/>
      </c>
      <c r="J1166">
        <f>IF($V1166="","",INDEX('Per Line'!$S$2:$S$6001,$V1166)&amp;"")</f>
        <v/>
      </c>
      <c r="K1166" s="7">
        <f>IF($V1166="","",SUMIFS('Per Line'!$R$2:$R$6001,'Per Line'!$C$2:$C$6001,$B1166,'Per Line'!$AJ$2:$AJ$6001,1))</f>
        <v/>
      </c>
      <c r="L1166">
        <f>IF($V1166="","",Settings!$C$7)</f>
        <v/>
      </c>
      <c r="M1166" s="7">
        <f>IF($V1166="","",SUMIFS('Per Line'!$R$2:$R$6001,'Per Line'!$C$2:$C$6001,$B1166,'Per Line'!$AI$2:$AI$6001,0,'Per Line'!$AJ$2:$AJ$6001,0))</f>
        <v/>
      </c>
      <c r="N1166" s="7">
        <f>IF($V1166="","",M1166*L1166)</f>
        <v/>
      </c>
      <c r="O1166">
        <f>IF($V1166="","",Settings!$C$6)</f>
        <v/>
      </c>
      <c r="P1166" s="7">
        <f>IF($V1166="","",SUMIFS('Per Line'!$R$2:$R$6001,'Per Line'!$C$2:$C$6001,$B1166,'Per Line'!$AI$2:$AI$6001,1,'Per Line'!$AJ$2:$AJ$6001,0))</f>
        <v/>
      </c>
      <c r="Q1166" s="7">
        <f>IF($V1166="","",P1166*O1166)</f>
        <v/>
      </c>
      <c r="R1166" s="7">
        <f>IF($V1166="","",Q1166+N1166)</f>
        <v/>
      </c>
      <c r="S1166" s="7">
        <f>IF($V1166="","",T1166-R1166)</f>
        <v/>
      </c>
      <c r="T1166" s="7">
        <f>IF($V1166="","",M1166+P1166+K1166)</f>
        <v/>
      </c>
      <c r="U1166" s="7">
        <f>IF($V1166="","",T1166-R1166-I1166)</f>
        <v/>
      </c>
      <c r="V1166" s="13">
        <f>IF(ROWS($V$2:$V1166)&lt;=MAX('Per Line'!$AH$2:$AH$6001),MATCH(ROWS($V$2:$V1166),'Per Line'!$AH$2:$AH$6001,0),"")</f>
        <v/>
      </c>
    </row>
    <row r="1167">
      <c r="A1167" s="12" t="n"/>
      <c r="B1167">
        <f>IF($V1167="","",INDEX('Per Line'!$C$2:$C$6001,$V1167)&amp;"")</f>
        <v/>
      </c>
      <c r="C1167" s="11">
        <f>IF($V1167="","",INDEX('Per Line'!$D$2:$D$6001,$V1167))</f>
        <v/>
      </c>
      <c r="D1167">
        <f>IF($V1167="","",INDEX('Per Line'!$E$2:$E$6001,$V1167)&amp;"")</f>
        <v/>
      </c>
      <c r="E1167">
        <f>IF($V1167="","",INDEX('Per Line'!$G$2:$G$6001,$V1167)&amp;"")</f>
        <v/>
      </c>
      <c r="F1167">
        <f>IF($V1167="","",INDEX('Per Line'!$H$2:$H$6001,$V1167)&amp;"")</f>
        <v/>
      </c>
      <c r="G1167">
        <f>IF($V1167="","",INDEX('Per Line'!$I$2:$I$6001,$V1167)&amp;"")</f>
        <v/>
      </c>
      <c r="H1167">
        <f>IF($V1167="","",INDEX('Per Line'!$J$2:$J$6001,$V1167))</f>
        <v/>
      </c>
      <c r="I1167" s="7">
        <f>IF($V1167="","",H1167*S1167/100)</f>
        <v/>
      </c>
      <c r="J1167">
        <f>IF($V1167="","",INDEX('Per Line'!$S$2:$S$6001,$V1167)&amp;"")</f>
        <v/>
      </c>
      <c r="K1167" s="7">
        <f>IF($V1167="","",SUMIFS('Per Line'!$R$2:$R$6001,'Per Line'!$C$2:$C$6001,$B1167,'Per Line'!$AJ$2:$AJ$6001,1))</f>
        <v/>
      </c>
      <c r="L1167">
        <f>IF($V1167="","",Settings!$C$7)</f>
        <v/>
      </c>
      <c r="M1167" s="7">
        <f>IF($V1167="","",SUMIFS('Per Line'!$R$2:$R$6001,'Per Line'!$C$2:$C$6001,$B1167,'Per Line'!$AI$2:$AI$6001,0,'Per Line'!$AJ$2:$AJ$6001,0))</f>
        <v/>
      </c>
      <c r="N1167" s="7">
        <f>IF($V1167="","",M1167*L1167)</f>
        <v/>
      </c>
      <c r="O1167">
        <f>IF($V1167="","",Settings!$C$6)</f>
        <v/>
      </c>
      <c r="P1167" s="7">
        <f>IF($V1167="","",SUMIFS('Per Line'!$R$2:$R$6001,'Per Line'!$C$2:$C$6001,$B1167,'Per Line'!$AI$2:$AI$6001,1,'Per Line'!$AJ$2:$AJ$6001,0))</f>
        <v/>
      </c>
      <c r="Q1167" s="7">
        <f>IF($V1167="","",P1167*O1167)</f>
        <v/>
      </c>
      <c r="R1167" s="7">
        <f>IF($V1167="","",Q1167+N1167)</f>
        <v/>
      </c>
      <c r="S1167" s="7">
        <f>IF($V1167="","",T1167-R1167)</f>
        <v/>
      </c>
      <c r="T1167" s="7">
        <f>IF($V1167="","",M1167+P1167+K1167)</f>
        <v/>
      </c>
      <c r="U1167" s="7">
        <f>IF($V1167="","",T1167-R1167-I1167)</f>
        <v/>
      </c>
      <c r="V1167" s="13">
        <f>IF(ROWS($V$2:$V1167)&lt;=MAX('Per Line'!$AH$2:$AH$6001),MATCH(ROWS($V$2:$V1167),'Per Line'!$AH$2:$AH$6001,0),"")</f>
        <v/>
      </c>
    </row>
    <row r="1168">
      <c r="A1168" s="12" t="n"/>
      <c r="B1168">
        <f>IF($V1168="","",INDEX('Per Line'!$C$2:$C$6001,$V1168)&amp;"")</f>
        <v/>
      </c>
      <c r="C1168" s="11">
        <f>IF($V1168="","",INDEX('Per Line'!$D$2:$D$6001,$V1168))</f>
        <v/>
      </c>
      <c r="D1168">
        <f>IF($V1168="","",INDEX('Per Line'!$E$2:$E$6001,$V1168)&amp;"")</f>
        <v/>
      </c>
      <c r="E1168">
        <f>IF($V1168="","",INDEX('Per Line'!$G$2:$G$6001,$V1168)&amp;"")</f>
        <v/>
      </c>
      <c r="F1168">
        <f>IF($V1168="","",INDEX('Per Line'!$H$2:$H$6001,$V1168)&amp;"")</f>
        <v/>
      </c>
      <c r="G1168">
        <f>IF($V1168="","",INDEX('Per Line'!$I$2:$I$6001,$V1168)&amp;"")</f>
        <v/>
      </c>
      <c r="H1168">
        <f>IF($V1168="","",INDEX('Per Line'!$J$2:$J$6001,$V1168))</f>
        <v/>
      </c>
      <c r="I1168" s="7">
        <f>IF($V1168="","",H1168*S1168/100)</f>
        <v/>
      </c>
      <c r="J1168">
        <f>IF($V1168="","",INDEX('Per Line'!$S$2:$S$6001,$V1168)&amp;"")</f>
        <v/>
      </c>
      <c r="K1168" s="7">
        <f>IF($V1168="","",SUMIFS('Per Line'!$R$2:$R$6001,'Per Line'!$C$2:$C$6001,$B1168,'Per Line'!$AJ$2:$AJ$6001,1))</f>
        <v/>
      </c>
      <c r="L1168">
        <f>IF($V1168="","",Settings!$C$7)</f>
        <v/>
      </c>
      <c r="M1168" s="7">
        <f>IF($V1168="","",SUMIFS('Per Line'!$R$2:$R$6001,'Per Line'!$C$2:$C$6001,$B1168,'Per Line'!$AI$2:$AI$6001,0,'Per Line'!$AJ$2:$AJ$6001,0))</f>
        <v/>
      </c>
      <c r="N1168" s="7">
        <f>IF($V1168="","",M1168*L1168)</f>
        <v/>
      </c>
      <c r="O1168">
        <f>IF($V1168="","",Settings!$C$6)</f>
        <v/>
      </c>
      <c r="P1168" s="7">
        <f>IF($V1168="","",SUMIFS('Per Line'!$R$2:$R$6001,'Per Line'!$C$2:$C$6001,$B1168,'Per Line'!$AI$2:$AI$6001,1,'Per Line'!$AJ$2:$AJ$6001,0))</f>
        <v/>
      </c>
      <c r="Q1168" s="7">
        <f>IF($V1168="","",P1168*O1168)</f>
        <v/>
      </c>
      <c r="R1168" s="7">
        <f>IF($V1168="","",Q1168+N1168)</f>
        <v/>
      </c>
      <c r="S1168" s="7">
        <f>IF($V1168="","",T1168-R1168)</f>
        <v/>
      </c>
      <c r="T1168" s="7">
        <f>IF($V1168="","",M1168+P1168+K1168)</f>
        <v/>
      </c>
      <c r="U1168" s="7">
        <f>IF($V1168="","",T1168-R1168-I1168)</f>
        <v/>
      </c>
      <c r="V1168" s="13">
        <f>IF(ROWS($V$2:$V1168)&lt;=MAX('Per Line'!$AH$2:$AH$6001),MATCH(ROWS($V$2:$V1168),'Per Line'!$AH$2:$AH$6001,0),"")</f>
        <v/>
      </c>
    </row>
    <row r="1169">
      <c r="A1169" s="12" t="n"/>
      <c r="B1169">
        <f>IF($V1169="","",INDEX('Per Line'!$C$2:$C$6001,$V1169)&amp;"")</f>
        <v/>
      </c>
      <c r="C1169" s="11">
        <f>IF($V1169="","",INDEX('Per Line'!$D$2:$D$6001,$V1169))</f>
        <v/>
      </c>
      <c r="D1169">
        <f>IF($V1169="","",INDEX('Per Line'!$E$2:$E$6001,$V1169)&amp;"")</f>
        <v/>
      </c>
      <c r="E1169">
        <f>IF($V1169="","",INDEX('Per Line'!$G$2:$G$6001,$V1169)&amp;"")</f>
        <v/>
      </c>
      <c r="F1169">
        <f>IF($V1169="","",INDEX('Per Line'!$H$2:$H$6001,$V1169)&amp;"")</f>
        <v/>
      </c>
      <c r="G1169">
        <f>IF($V1169="","",INDEX('Per Line'!$I$2:$I$6001,$V1169)&amp;"")</f>
        <v/>
      </c>
      <c r="H1169">
        <f>IF($V1169="","",INDEX('Per Line'!$J$2:$J$6001,$V1169))</f>
        <v/>
      </c>
      <c r="I1169" s="7">
        <f>IF($V1169="","",H1169*S1169/100)</f>
        <v/>
      </c>
      <c r="J1169">
        <f>IF($V1169="","",INDEX('Per Line'!$S$2:$S$6001,$V1169)&amp;"")</f>
        <v/>
      </c>
      <c r="K1169" s="7">
        <f>IF($V1169="","",SUMIFS('Per Line'!$R$2:$R$6001,'Per Line'!$C$2:$C$6001,$B1169,'Per Line'!$AJ$2:$AJ$6001,1))</f>
        <v/>
      </c>
      <c r="L1169">
        <f>IF($V1169="","",Settings!$C$7)</f>
        <v/>
      </c>
      <c r="M1169" s="7">
        <f>IF($V1169="","",SUMIFS('Per Line'!$R$2:$R$6001,'Per Line'!$C$2:$C$6001,$B1169,'Per Line'!$AI$2:$AI$6001,0,'Per Line'!$AJ$2:$AJ$6001,0))</f>
        <v/>
      </c>
      <c r="N1169" s="7">
        <f>IF($V1169="","",M1169*L1169)</f>
        <v/>
      </c>
      <c r="O1169">
        <f>IF($V1169="","",Settings!$C$6)</f>
        <v/>
      </c>
      <c r="P1169" s="7">
        <f>IF($V1169="","",SUMIFS('Per Line'!$R$2:$R$6001,'Per Line'!$C$2:$C$6001,$B1169,'Per Line'!$AI$2:$AI$6001,1,'Per Line'!$AJ$2:$AJ$6001,0))</f>
        <v/>
      </c>
      <c r="Q1169" s="7">
        <f>IF($V1169="","",P1169*O1169)</f>
        <v/>
      </c>
      <c r="R1169" s="7">
        <f>IF($V1169="","",Q1169+N1169)</f>
        <v/>
      </c>
      <c r="S1169" s="7">
        <f>IF($V1169="","",T1169-R1169)</f>
        <v/>
      </c>
      <c r="T1169" s="7">
        <f>IF($V1169="","",M1169+P1169+K1169)</f>
        <v/>
      </c>
      <c r="U1169" s="7">
        <f>IF($V1169="","",T1169-R1169-I1169)</f>
        <v/>
      </c>
      <c r="V1169" s="13">
        <f>IF(ROWS($V$2:$V1169)&lt;=MAX('Per Line'!$AH$2:$AH$6001),MATCH(ROWS($V$2:$V1169),'Per Line'!$AH$2:$AH$6001,0),"")</f>
        <v/>
      </c>
    </row>
    <row r="1170">
      <c r="A1170" s="12" t="n"/>
      <c r="B1170">
        <f>IF($V1170="","",INDEX('Per Line'!$C$2:$C$6001,$V1170)&amp;"")</f>
        <v/>
      </c>
      <c r="C1170" s="11">
        <f>IF($V1170="","",INDEX('Per Line'!$D$2:$D$6001,$V1170))</f>
        <v/>
      </c>
      <c r="D1170">
        <f>IF($V1170="","",INDEX('Per Line'!$E$2:$E$6001,$V1170)&amp;"")</f>
        <v/>
      </c>
      <c r="E1170">
        <f>IF($V1170="","",INDEX('Per Line'!$G$2:$G$6001,$V1170)&amp;"")</f>
        <v/>
      </c>
      <c r="F1170">
        <f>IF($V1170="","",INDEX('Per Line'!$H$2:$H$6001,$V1170)&amp;"")</f>
        <v/>
      </c>
      <c r="G1170">
        <f>IF($V1170="","",INDEX('Per Line'!$I$2:$I$6001,$V1170)&amp;"")</f>
        <v/>
      </c>
      <c r="H1170">
        <f>IF($V1170="","",INDEX('Per Line'!$J$2:$J$6001,$V1170))</f>
        <v/>
      </c>
      <c r="I1170" s="7">
        <f>IF($V1170="","",H1170*S1170/100)</f>
        <v/>
      </c>
      <c r="J1170">
        <f>IF($V1170="","",INDEX('Per Line'!$S$2:$S$6001,$V1170)&amp;"")</f>
        <v/>
      </c>
      <c r="K1170" s="7">
        <f>IF($V1170="","",SUMIFS('Per Line'!$R$2:$R$6001,'Per Line'!$C$2:$C$6001,$B1170,'Per Line'!$AJ$2:$AJ$6001,1))</f>
        <v/>
      </c>
      <c r="L1170">
        <f>IF($V1170="","",Settings!$C$7)</f>
        <v/>
      </c>
      <c r="M1170" s="7">
        <f>IF($V1170="","",SUMIFS('Per Line'!$R$2:$R$6001,'Per Line'!$C$2:$C$6001,$B1170,'Per Line'!$AI$2:$AI$6001,0,'Per Line'!$AJ$2:$AJ$6001,0))</f>
        <v/>
      </c>
      <c r="N1170" s="7">
        <f>IF($V1170="","",M1170*L1170)</f>
        <v/>
      </c>
      <c r="O1170">
        <f>IF($V1170="","",Settings!$C$6)</f>
        <v/>
      </c>
      <c r="P1170" s="7">
        <f>IF($V1170="","",SUMIFS('Per Line'!$R$2:$R$6001,'Per Line'!$C$2:$C$6001,$B1170,'Per Line'!$AI$2:$AI$6001,1,'Per Line'!$AJ$2:$AJ$6001,0))</f>
        <v/>
      </c>
      <c r="Q1170" s="7">
        <f>IF($V1170="","",P1170*O1170)</f>
        <v/>
      </c>
      <c r="R1170" s="7">
        <f>IF($V1170="","",Q1170+N1170)</f>
        <v/>
      </c>
      <c r="S1170" s="7">
        <f>IF($V1170="","",T1170-R1170)</f>
        <v/>
      </c>
      <c r="T1170" s="7">
        <f>IF($V1170="","",M1170+P1170+K1170)</f>
        <v/>
      </c>
      <c r="U1170" s="7">
        <f>IF($V1170="","",T1170-R1170-I1170)</f>
        <v/>
      </c>
      <c r="V1170" s="13">
        <f>IF(ROWS($V$2:$V1170)&lt;=MAX('Per Line'!$AH$2:$AH$6001),MATCH(ROWS($V$2:$V1170),'Per Line'!$AH$2:$AH$6001,0),"")</f>
        <v/>
      </c>
    </row>
    <row r="1171">
      <c r="A1171" s="12" t="n"/>
      <c r="B1171">
        <f>IF($V1171="","",INDEX('Per Line'!$C$2:$C$6001,$V1171)&amp;"")</f>
        <v/>
      </c>
      <c r="C1171" s="11">
        <f>IF($V1171="","",INDEX('Per Line'!$D$2:$D$6001,$V1171))</f>
        <v/>
      </c>
      <c r="D1171">
        <f>IF($V1171="","",INDEX('Per Line'!$E$2:$E$6001,$V1171)&amp;"")</f>
        <v/>
      </c>
      <c r="E1171">
        <f>IF($V1171="","",INDEX('Per Line'!$G$2:$G$6001,$V1171)&amp;"")</f>
        <v/>
      </c>
      <c r="F1171">
        <f>IF($V1171="","",INDEX('Per Line'!$H$2:$H$6001,$V1171)&amp;"")</f>
        <v/>
      </c>
      <c r="G1171">
        <f>IF($V1171="","",INDEX('Per Line'!$I$2:$I$6001,$V1171)&amp;"")</f>
        <v/>
      </c>
      <c r="H1171">
        <f>IF($V1171="","",INDEX('Per Line'!$J$2:$J$6001,$V1171))</f>
        <v/>
      </c>
      <c r="I1171" s="7">
        <f>IF($V1171="","",H1171*S1171/100)</f>
        <v/>
      </c>
      <c r="J1171">
        <f>IF($V1171="","",INDEX('Per Line'!$S$2:$S$6001,$V1171)&amp;"")</f>
        <v/>
      </c>
      <c r="K1171" s="7">
        <f>IF($V1171="","",SUMIFS('Per Line'!$R$2:$R$6001,'Per Line'!$C$2:$C$6001,$B1171,'Per Line'!$AJ$2:$AJ$6001,1))</f>
        <v/>
      </c>
      <c r="L1171">
        <f>IF($V1171="","",Settings!$C$7)</f>
        <v/>
      </c>
      <c r="M1171" s="7">
        <f>IF($V1171="","",SUMIFS('Per Line'!$R$2:$R$6001,'Per Line'!$C$2:$C$6001,$B1171,'Per Line'!$AI$2:$AI$6001,0,'Per Line'!$AJ$2:$AJ$6001,0))</f>
        <v/>
      </c>
      <c r="N1171" s="7">
        <f>IF($V1171="","",M1171*L1171)</f>
        <v/>
      </c>
      <c r="O1171">
        <f>IF($V1171="","",Settings!$C$6)</f>
        <v/>
      </c>
      <c r="P1171" s="7">
        <f>IF($V1171="","",SUMIFS('Per Line'!$R$2:$R$6001,'Per Line'!$C$2:$C$6001,$B1171,'Per Line'!$AI$2:$AI$6001,1,'Per Line'!$AJ$2:$AJ$6001,0))</f>
        <v/>
      </c>
      <c r="Q1171" s="7">
        <f>IF($V1171="","",P1171*O1171)</f>
        <v/>
      </c>
      <c r="R1171" s="7">
        <f>IF($V1171="","",Q1171+N1171)</f>
        <v/>
      </c>
      <c r="S1171" s="7">
        <f>IF($V1171="","",T1171-R1171)</f>
        <v/>
      </c>
      <c r="T1171" s="7">
        <f>IF($V1171="","",M1171+P1171+K1171)</f>
        <v/>
      </c>
      <c r="U1171" s="7">
        <f>IF($V1171="","",T1171-R1171-I1171)</f>
        <v/>
      </c>
      <c r="V1171" s="13">
        <f>IF(ROWS($V$2:$V1171)&lt;=MAX('Per Line'!$AH$2:$AH$6001),MATCH(ROWS($V$2:$V1171),'Per Line'!$AH$2:$AH$6001,0),"")</f>
        <v/>
      </c>
    </row>
    <row r="1172">
      <c r="A1172" s="12" t="n"/>
      <c r="B1172">
        <f>IF($V1172="","",INDEX('Per Line'!$C$2:$C$6001,$V1172)&amp;"")</f>
        <v/>
      </c>
      <c r="C1172" s="11">
        <f>IF($V1172="","",INDEX('Per Line'!$D$2:$D$6001,$V1172))</f>
        <v/>
      </c>
      <c r="D1172">
        <f>IF($V1172="","",INDEX('Per Line'!$E$2:$E$6001,$V1172)&amp;"")</f>
        <v/>
      </c>
      <c r="E1172">
        <f>IF($V1172="","",INDEX('Per Line'!$G$2:$G$6001,$V1172)&amp;"")</f>
        <v/>
      </c>
      <c r="F1172">
        <f>IF($V1172="","",INDEX('Per Line'!$H$2:$H$6001,$V1172)&amp;"")</f>
        <v/>
      </c>
      <c r="G1172">
        <f>IF($V1172="","",INDEX('Per Line'!$I$2:$I$6001,$V1172)&amp;"")</f>
        <v/>
      </c>
      <c r="H1172">
        <f>IF($V1172="","",INDEX('Per Line'!$J$2:$J$6001,$V1172))</f>
        <v/>
      </c>
      <c r="I1172" s="7">
        <f>IF($V1172="","",H1172*S1172/100)</f>
        <v/>
      </c>
      <c r="J1172">
        <f>IF($V1172="","",INDEX('Per Line'!$S$2:$S$6001,$V1172)&amp;"")</f>
        <v/>
      </c>
      <c r="K1172" s="7">
        <f>IF($V1172="","",SUMIFS('Per Line'!$R$2:$R$6001,'Per Line'!$C$2:$C$6001,$B1172,'Per Line'!$AJ$2:$AJ$6001,1))</f>
        <v/>
      </c>
      <c r="L1172">
        <f>IF($V1172="","",Settings!$C$7)</f>
        <v/>
      </c>
      <c r="M1172" s="7">
        <f>IF($V1172="","",SUMIFS('Per Line'!$R$2:$R$6001,'Per Line'!$C$2:$C$6001,$B1172,'Per Line'!$AI$2:$AI$6001,0,'Per Line'!$AJ$2:$AJ$6001,0))</f>
        <v/>
      </c>
      <c r="N1172" s="7">
        <f>IF($V1172="","",M1172*L1172)</f>
        <v/>
      </c>
      <c r="O1172">
        <f>IF($V1172="","",Settings!$C$6)</f>
        <v/>
      </c>
      <c r="P1172" s="7">
        <f>IF($V1172="","",SUMIFS('Per Line'!$R$2:$R$6001,'Per Line'!$C$2:$C$6001,$B1172,'Per Line'!$AI$2:$AI$6001,1,'Per Line'!$AJ$2:$AJ$6001,0))</f>
        <v/>
      </c>
      <c r="Q1172" s="7">
        <f>IF($V1172="","",P1172*O1172)</f>
        <v/>
      </c>
      <c r="R1172" s="7">
        <f>IF($V1172="","",Q1172+N1172)</f>
        <v/>
      </c>
      <c r="S1172" s="7">
        <f>IF($V1172="","",T1172-R1172)</f>
        <v/>
      </c>
      <c r="T1172" s="7">
        <f>IF($V1172="","",M1172+P1172+K1172)</f>
        <v/>
      </c>
      <c r="U1172" s="7">
        <f>IF($V1172="","",T1172-R1172-I1172)</f>
        <v/>
      </c>
      <c r="V1172" s="13">
        <f>IF(ROWS($V$2:$V1172)&lt;=MAX('Per Line'!$AH$2:$AH$6001),MATCH(ROWS($V$2:$V1172),'Per Line'!$AH$2:$AH$6001,0),"")</f>
        <v/>
      </c>
    </row>
    <row r="1173">
      <c r="A1173" s="12" t="n"/>
      <c r="B1173">
        <f>IF($V1173="","",INDEX('Per Line'!$C$2:$C$6001,$V1173)&amp;"")</f>
        <v/>
      </c>
      <c r="C1173" s="11">
        <f>IF($V1173="","",INDEX('Per Line'!$D$2:$D$6001,$V1173))</f>
        <v/>
      </c>
      <c r="D1173">
        <f>IF($V1173="","",INDEX('Per Line'!$E$2:$E$6001,$V1173)&amp;"")</f>
        <v/>
      </c>
      <c r="E1173">
        <f>IF($V1173="","",INDEX('Per Line'!$G$2:$G$6001,$V1173)&amp;"")</f>
        <v/>
      </c>
      <c r="F1173">
        <f>IF($V1173="","",INDEX('Per Line'!$H$2:$H$6001,$V1173)&amp;"")</f>
        <v/>
      </c>
      <c r="G1173">
        <f>IF($V1173="","",INDEX('Per Line'!$I$2:$I$6001,$V1173)&amp;"")</f>
        <v/>
      </c>
      <c r="H1173">
        <f>IF($V1173="","",INDEX('Per Line'!$J$2:$J$6001,$V1173))</f>
        <v/>
      </c>
      <c r="I1173" s="7">
        <f>IF($V1173="","",H1173*S1173/100)</f>
        <v/>
      </c>
      <c r="J1173">
        <f>IF($V1173="","",INDEX('Per Line'!$S$2:$S$6001,$V1173)&amp;"")</f>
        <v/>
      </c>
      <c r="K1173" s="7">
        <f>IF($V1173="","",SUMIFS('Per Line'!$R$2:$R$6001,'Per Line'!$C$2:$C$6001,$B1173,'Per Line'!$AJ$2:$AJ$6001,1))</f>
        <v/>
      </c>
      <c r="L1173">
        <f>IF($V1173="","",Settings!$C$7)</f>
        <v/>
      </c>
      <c r="M1173" s="7">
        <f>IF($V1173="","",SUMIFS('Per Line'!$R$2:$R$6001,'Per Line'!$C$2:$C$6001,$B1173,'Per Line'!$AI$2:$AI$6001,0,'Per Line'!$AJ$2:$AJ$6001,0))</f>
        <v/>
      </c>
      <c r="N1173" s="7">
        <f>IF($V1173="","",M1173*L1173)</f>
        <v/>
      </c>
      <c r="O1173">
        <f>IF($V1173="","",Settings!$C$6)</f>
        <v/>
      </c>
      <c r="P1173" s="7">
        <f>IF($V1173="","",SUMIFS('Per Line'!$R$2:$R$6001,'Per Line'!$C$2:$C$6001,$B1173,'Per Line'!$AI$2:$AI$6001,1,'Per Line'!$AJ$2:$AJ$6001,0))</f>
        <v/>
      </c>
      <c r="Q1173" s="7">
        <f>IF($V1173="","",P1173*O1173)</f>
        <v/>
      </c>
      <c r="R1173" s="7">
        <f>IF($V1173="","",Q1173+N1173)</f>
        <v/>
      </c>
      <c r="S1173" s="7">
        <f>IF($V1173="","",T1173-R1173)</f>
        <v/>
      </c>
      <c r="T1173" s="7">
        <f>IF($V1173="","",M1173+P1173+K1173)</f>
        <v/>
      </c>
      <c r="U1173" s="7">
        <f>IF($V1173="","",T1173-R1173-I1173)</f>
        <v/>
      </c>
      <c r="V1173" s="13">
        <f>IF(ROWS($V$2:$V1173)&lt;=MAX('Per Line'!$AH$2:$AH$6001),MATCH(ROWS($V$2:$V1173),'Per Line'!$AH$2:$AH$6001,0),"")</f>
        <v/>
      </c>
    </row>
    <row r="1174">
      <c r="A1174" s="12" t="n"/>
      <c r="B1174">
        <f>IF($V1174="","",INDEX('Per Line'!$C$2:$C$6001,$V1174)&amp;"")</f>
        <v/>
      </c>
      <c r="C1174" s="11">
        <f>IF($V1174="","",INDEX('Per Line'!$D$2:$D$6001,$V1174))</f>
        <v/>
      </c>
      <c r="D1174">
        <f>IF($V1174="","",INDEX('Per Line'!$E$2:$E$6001,$V1174)&amp;"")</f>
        <v/>
      </c>
      <c r="E1174">
        <f>IF($V1174="","",INDEX('Per Line'!$G$2:$G$6001,$V1174)&amp;"")</f>
        <v/>
      </c>
      <c r="F1174">
        <f>IF($V1174="","",INDEX('Per Line'!$H$2:$H$6001,$V1174)&amp;"")</f>
        <v/>
      </c>
      <c r="G1174">
        <f>IF($V1174="","",INDEX('Per Line'!$I$2:$I$6001,$V1174)&amp;"")</f>
        <v/>
      </c>
      <c r="H1174">
        <f>IF($V1174="","",INDEX('Per Line'!$J$2:$J$6001,$V1174))</f>
        <v/>
      </c>
      <c r="I1174" s="7">
        <f>IF($V1174="","",H1174*S1174/100)</f>
        <v/>
      </c>
      <c r="J1174">
        <f>IF($V1174="","",INDEX('Per Line'!$S$2:$S$6001,$V1174)&amp;"")</f>
        <v/>
      </c>
      <c r="K1174" s="7">
        <f>IF($V1174="","",SUMIFS('Per Line'!$R$2:$R$6001,'Per Line'!$C$2:$C$6001,$B1174,'Per Line'!$AJ$2:$AJ$6001,1))</f>
        <v/>
      </c>
      <c r="L1174">
        <f>IF($V1174="","",Settings!$C$7)</f>
        <v/>
      </c>
      <c r="M1174" s="7">
        <f>IF($V1174="","",SUMIFS('Per Line'!$R$2:$R$6001,'Per Line'!$C$2:$C$6001,$B1174,'Per Line'!$AI$2:$AI$6001,0,'Per Line'!$AJ$2:$AJ$6001,0))</f>
        <v/>
      </c>
      <c r="N1174" s="7">
        <f>IF($V1174="","",M1174*L1174)</f>
        <v/>
      </c>
      <c r="O1174">
        <f>IF($V1174="","",Settings!$C$6)</f>
        <v/>
      </c>
      <c r="P1174" s="7">
        <f>IF($V1174="","",SUMIFS('Per Line'!$R$2:$R$6001,'Per Line'!$C$2:$C$6001,$B1174,'Per Line'!$AI$2:$AI$6001,1,'Per Line'!$AJ$2:$AJ$6001,0))</f>
        <v/>
      </c>
      <c r="Q1174" s="7">
        <f>IF($V1174="","",P1174*O1174)</f>
        <v/>
      </c>
      <c r="R1174" s="7">
        <f>IF($V1174="","",Q1174+N1174)</f>
        <v/>
      </c>
      <c r="S1174" s="7">
        <f>IF($V1174="","",T1174-R1174)</f>
        <v/>
      </c>
      <c r="T1174" s="7">
        <f>IF($V1174="","",M1174+P1174+K1174)</f>
        <v/>
      </c>
      <c r="U1174" s="7">
        <f>IF($V1174="","",T1174-R1174-I1174)</f>
        <v/>
      </c>
      <c r="V1174" s="13">
        <f>IF(ROWS($V$2:$V1174)&lt;=MAX('Per Line'!$AH$2:$AH$6001),MATCH(ROWS($V$2:$V1174),'Per Line'!$AH$2:$AH$6001,0),"")</f>
        <v/>
      </c>
    </row>
    <row r="1175">
      <c r="A1175" s="12" t="n"/>
      <c r="B1175">
        <f>IF($V1175="","",INDEX('Per Line'!$C$2:$C$6001,$V1175)&amp;"")</f>
        <v/>
      </c>
      <c r="C1175" s="11">
        <f>IF($V1175="","",INDEX('Per Line'!$D$2:$D$6001,$V1175))</f>
        <v/>
      </c>
      <c r="D1175">
        <f>IF($V1175="","",INDEX('Per Line'!$E$2:$E$6001,$V1175)&amp;"")</f>
        <v/>
      </c>
      <c r="E1175">
        <f>IF($V1175="","",INDEX('Per Line'!$G$2:$G$6001,$V1175)&amp;"")</f>
        <v/>
      </c>
      <c r="F1175">
        <f>IF($V1175="","",INDEX('Per Line'!$H$2:$H$6001,$V1175)&amp;"")</f>
        <v/>
      </c>
      <c r="G1175">
        <f>IF($V1175="","",INDEX('Per Line'!$I$2:$I$6001,$V1175)&amp;"")</f>
        <v/>
      </c>
      <c r="H1175">
        <f>IF($V1175="","",INDEX('Per Line'!$J$2:$J$6001,$V1175))</f>
        <v/>
      </c>
      <c r="I1175" s="7">
        <f>IF($V1175="","",H1175*S1175/100)</f>
        <v/>
      </c>
      <c r="J1175">
        <f>IF($V1175="","",INDEX('Per Line'!$S$2:$S$6001,$V1175)&amp;"")</f>
        <v/>
      </c>
      <c r="K1175" s="7">
        <f>IF($V1175="","",SUMIFS('Per Line'!$R$2:$R$6001,'Per Line'!$C$2:$C$6001,$B1175,'Per Line'!$AJ$2:$AJ$6001,1))</f>
        <v/>
      </c>
      <c r="L1175">
        <f>IF($V1175="","",Settings!$C$7)</f>
        <v/>
      </c>
      <c r="M1175" s="7">
        <f>IF($V1175="","",SUMIFS('Per Line'!$R$2:$R$6001,'Per Line'!$C$2:$C$6001,$B1175,'Per Line'!$AI$2:$AI$6001,0,'Per Line'!$AJ$2:$AJ$6001,0))</f>
        <v/>
      </c>
      <c r="N1175" s="7">
        <f>IF($V1175="","",M1175*L1175)</f>
        <v/>
      </c>
      <c r="O1175">
        <f>IF($V1175="","",Settings!$C$6)</f>
        <v/>
      </c>
      <c r="P1175" s="7">
        <f>IF($V1175="","",SUMIFS('Per Line'!$R$2:$R$6001,'Per Line'!$C$2:$C$6001,$B1175,'Per Line'!$AI$2:$AI$6001,1,'Per Line'!$AJ$2:$AJ$6001,0))</f>
        <v/>
      </c>
      <c r="Q1175" s="7">
        <f>IF($V1175="","",P1175*O1175)</f>
        <v/>
      </c>
      <c r="R1175" s="7">
        <f>IF($V1175="","",Q1175+N1175)</f>
        <v/>
      </c>
      <c r="S1175" s="7">
        <f>IF($V1175="","",T1175-R1175)</f>
        <v/>
      </c>
      <c r="T1175" s="7">
        <f>IF($V1175="","",M1175+P1175+K1175)</f>
        <v/>
      </c>
      <c r="U1175" s="7">
        <f>IF($V1175="","",T1175-R1175-I1175)</f>
        <v/>
      </c>
      <c r="V1175" s="13">
        <f>IF(ROWS($V$2:$V1175)&lt;=MAX('Per Line'!$AH$2:$AH$6001),MATCH(ROWS($V$2:$V1175),'Per Line'!$AH$2:$AH$6001,0),"")</f>
        <v/>
      </c>
    </row>
    <row r="1176">
      <c r="A1176" s="12" t="n"/>
      <c r="B1176">
        <f>IF($V1176="","",INDEX('Per Line'!$C$2:$C$6001,$V1176)&amp;"")</f>
        <v/>
      </c>
      <c r="C1176" s="11">
        <f>IF($V1176="","",INDEX('Per Line'!$D$2:$D$6001,$V1176))</f>
        <v/>
      </c>
      <c r="D1176">
        <f>IF($V1176="","",INDEX('Per Line'!$E$2:$E$6001,$V1176)&amp;"")</f>
        <v/>
      </c>
      <c r="E1176">
        <f>IF($V1176="","",INDEX('Per Line'!$G$2:$G$6001,$V1176)&amp;"")</f>
        <v/>
      </c>
      <c r="F1176">
        <f>IF($V1176="","",INDEX('Per Line'!$H$2:$H$6001,$V1176)&amp;"")</f>
        <v/>
      </c>
      <c r="G1176">
        <f>IF($V1176="","",INDEX('Per Line'!$I$2:$I$6001,$V1176)&amp;"")</f>
        <v/>
      </c>
      <c r="H1176">
        <f>IF($V1176="","",INDEX('Per Line'!$J$2:$J$6001,$V1176))</f>
        <v/>
      </c>
      <c r="I1176" s="7">
        <f>IF($V1176="","",H1176*S1176/100)</f>
        <v/>
      </c>
      <c r="J1176">
        <f>IF($V1176="","",INDEX('Per Line'!$S$2:$S$6001,$V1176)&amp;"")</f>
        <v/>
      </c>
      <c r="K1176" s="7">
        <f>IF($V1176="","",SUMIFS('Per Line'!$R$2:$R$6001,'Per Line'!$C$2:$C$6001,$B1176,'Per Line'!$AJ$2:$AJ$6001,1))</f>
        <v/>
      </c>
      <c r="L1176">
        <f>IF($V1176="","",Settings!$C$7)</f>
        <v/>
      </c>
      <c r="M1176" s="7">
        <f>IF($V1176="","",SUMIFS('Per Line'!$R$2:$R$6001,'Per Line'!$C$2:$C$6001,$B1176,'Per Line'!$AI$2:$AI$6001,0,'Per Line'!$AJ$2:$AJ$6001,0))</f>
        <v/>
      </c>
      <c r="N1176" s="7">
        <f>IF($V1176="","",M1176*L1176)</f>
        <v/>
      </c>
      <c r="O1176">
        <f>IF($V1176="","",Settings!$C$6)</f>
        <v/>
      </c>
      <c r="P1176" s="7">
        <f>IF($V1176="","",SUMIFS('Per Line'!$R$2:$R$6001,'Per Line'!$C$2:$C$6001,$B1176,'Per Line'!$AI$2:$AI$6001,1,'Per Line'!$AJ$2:$AJ$6001,0))</f>
        <v/>
      </c>
      <c r="Q1176" s="7">
        <f>IF($V1176="","",P1176*O1176)</f>
        <v/>
      </c>
      <c r="R1176" s="7">
        <f>IF($V1176="","",Q1176+N1176)</f>
        <v/>
      </c>
      <c r="S1176" s="7">
        <f>IF($V1176="","",T1176-R1176)</f>
        <v/>
      </c>
      <c r="T1176" s="7">
        <f>IF($V1176="","",M1176+P1176+K1176)</f>
        <v/>
      </c>
      <c r="U1176" s="7">
        <f>IF($V1176="","",T1176-R1176-I1176)</f>
        <v/>
      </c>
      <c r="V1176" s="13">
        <f>IF(ROWS($V$2:$V1176)&lt;=MAX('Per Line'!$AH$2:$AH$6001),MATCH(ROWS($V$2:$V1176),'Per Line'!$AH$2:$AH$6001,0),"")</f>
        <v/>
      </c>
    </row>
    <row r="1177">
      <c r="A1177" s="12" t="n"/>
      <c r="B1177">
        <f>IF($V1177="","",INDEX('Per Line'!$C$2:$C$6001,$V1177)&amp;"")</f>
        <v/>
      </c>
      <c r="C1177" s="11">
        <f>IF($V1177="","",INDEX('Per Line'!$D$2:$D$6001,$V1177))</f>
        <v/>
      </c>
      <c r="D1177">
        <f>IF($V1177="","",INDEX('Per Line'!$E$2:$E$6001,$V1177)&amp;"")</f>
        <v/>
      </c>
      <c r="E1177">
        <f>IF($V1177="","",INDEX('Per Line'!$G$2:$G$6001,$V1177)&amp;"")</f>
        <v/>
      </c>
      <c r="F1177">
        <f>IF($V1177="","",INDEX('Per Line'!$H$2:$H$6001,$V1177)&amp;"")</f>
        <v/>
      </c>
      <c r="G1177">
        <f>IF($V1177="","",INDEX('Per Line'!$I$2:$I$6001,$V1177)&amp;"")</f>
        <v/>
      </c>
      <c r="H1177">
        <f>IF($V1177="","",INDEX('Per Line'!$J$2:$J$6001,$V1177))</f>
        <v/>
      </c>
      <c r="I1177" s="7">
        <f>IF($V1177="","",H1177*S1177/100)</f>
        <v/>
      </c>
      <c r="J1177">
        <f>IF($V1177="","",INDEX('Per Line'!$S$2:$S$6001,$V1177)&amp;"")</f>
        <v/>
      </c>
      <c r="K1177" s="7">
        <f>IF($V1177="","",SUMIFS('Per Line'!$R$2:$R$6001,'Per Line'!$C$2:$C$6001,$B1177,'Per Line'!$AJ$2:$AJ$6001,1))</f>
        <v/>
      </c>
      <c r="L1177">
        <f>IF($V1177="","",Settings!$C$7)</f>
        <v/>
      </c>
      <c r="M1177" s="7">
        <f>IF($V1177="","",SUMIFS('Per Line'!$R$2:$R$6001,'Per Line'!$C$2:$C$6001,$B1177,'Per Line'!$AI$2:$AI$6001,0,'Per Line'!$AJ$2:$AJ$6001,0))</f>
        <v/>
      </c>
      <c r="N1177" s="7">
        <f>IF($V1177="","",M1177*L1177)</f>
        <v/>
      </c>
      <c r="O1177">
        <f>IF($V1177="","",Settings!$C$6)</f>
        <v/>
      </c>
      <c r="P1177" s="7">
        <f>IF($V1177="","",SUMIFS('Per Line'!$R$2:$R$6001,'Per Line'!$C$2:$C$6001,$B1177,'Per Line'!$AI$2:$AI$6001,1,'Per Line'!$AJ$2:$AJ$6001,0))</f>
        <v/>
      </c>
      <c r="Q1177" s="7">
        <f>IF($V1177="","",P1177*O1177)</f>
        <v/>
      </c>
      <c r="R1177" s="7">
        <f>IF($V1177="","",Q1177+N1177)</f>
        <v/>
      </c>
      <c r="S1177" s="7">
        <f>IF($V1177="","",T1177-R1177)</f>
        <v/>
      </c>
      <c r="T1177" s="7">
        <f>IF($V1177="","",M1177+P1177+K1177)</f>
        <v/>
      </c>
      <c r="U1177" s="7">
        <f>IF($V1177="","",T1177-R1177-I1177)</f>
        <v/>
      </c>
      <c r="V1177" s="13">
        <f>IF(ROWS($V$2:$V1177)&lt;=MAX('Per Line'!$AH$2:$AH$6001),MATCH(ROWS($V$2:$V1177),'Per Line'!$AH$2:$AH$6001,0),"")</f>
        <v/>
      </c>
    </row>
    <row r="1178">
      <c r="A1178" s="12" t="n"/>
      <c r="B1178">
        <f>IF($V1178="","",INDEX('Per Line'!$C$2:$C$6001,$V1178)&amp;"")</f>
        <v/>
      </c>
      <c r="C1178" s="11">
        <f>IF($V1178="","",INDEX('Per Line'!$D$2:$D$6001,$V1178))</f>
        <v/>
      </c>
      <c r="D1178">
        <f>IF($V1178="","",INDEX('Per Line'!$E$2:$E$6001,$V1178)&amp;"")</f>
        <v/>
      </c>
      <c r="E1178">
        <f>IF($V1178="","",INDEX('Per Line'!$G$2:$G$6001,$V1178)&amp;"")</f>
        <v/>
      </c>
      <c r="F1178">
        <f>IF($V1178="","",INDEX('Per Line'!$H$2:$H$6001,$V1178)&amp;"")</f>
        <v/>
      </c>
      <c r="G1178">
        <f>IF($V1178="","",INDEX('Per Line'!$I$2:$I$6001,$V1178)&amp;"")</f>
        <v/>
      </c>
      <c r="H1178">
        <f>IF($V1178="","",INDEX('Per Line'!$J$2:$J$6001,$V1178))</f>
        <v/>
      </c>
      <c r="I1178" s="7">
        <f>IF($V1178="","",H1178*S1178/100)</f>
        <v/>
      </c>
      <c r="J1178">
        <f>IF($V1178="","",INDEX('Per Line'!$S$2:$S$6001,$V1178)&amp;"")</f>
        <v/>
      </c>
      <c r="K1178" s="7">
        <f>IF($V1178="","",SUMIFS('Per Line'!$R$2:$R$6001,'Per Line'!$C$2:$C$6001,$B1178,'Per Line'!$AJ$2:$AJ$6001,1))</f>
        <v/>
      </c>
      <c r="L1178">
        <f>IF($V1178="","",Settings!$C$7)</f>
        <v/>
      </c>
      <c r="M1178" s="7">
        <f>IF($V1178="","",SUMIFS('Per Line'!$R$2:$R$6001,'Per Line'!$C$2:$C$6001,$B1178,'Per Line'!$AI$2:$AI$6001,0,'Per Line'!$AJ$2:$AJ$6001,0))</f>
        <v/>
      </c>
      <c r="N1178" s="7">
        <f>IF($V1178="","",M1178*L1178)</f>
        <v/>
      </c>
      <c r="O1178">
        <f>IF($V1178="","",Settings!$C$6)</f>
        <v/>
      </c>
      <c r="P1178" s="7">
        <f>IF($V1178="","",SUMIFS('Per Line'!$R$2:$R$6001,'Per Line'!$C$2:$C$6001,$B1178,'Per Line'!$AI$2:$AI$6001,1,'Per Line'!$AJ$2:$AJ$6001,0))</f>
        <v/>
      </c>
      <c r="Q1178" s="7">
        <f>IF($V1178="","",P1178*O1178)</f>
        <v/>
      </c>
      <c r="R1178" s="7">
        <f>IF($V1178="","",Q1178+N1178)</f>
        <v/>
      </c>
      <c r="S1178" s="7">
        <f>IF($V1178="","",T1178-R1178)</f>
        <v/>
      </c>
      <c r="T1178" s="7">
        <f>IF($V1178="","",M1178+P1178+K1178)</f>
        <v/>
      </c>
      <c r="U1178" s="7">
        <f>IF($V1178="","",T1178-R1178-I1178)</f>
        <v/>
      </c>
      <c r="V1178" s="13">
        <f>IF(ROWS($V$2:$V1178)&lt;=MAX('Per Line'!$AH$2:$AH$6001),MATCH(ROWS($V$2:$V1178),'Per Line'!$AH$2:$AH$6001,0),"")</f>
        <v/>
      </c>
    </row>
    <row r="1179">
      <c r="A1179" s="12" t="n"/>
      <c r="B1179">
        <f>IF($V1179="","",INDEX('Per Line'!$C$2:$C$6001,$V1179)&amp;"")</f>
        <v/>
      </c>
      <c r="C1179" s="11">
        <f>IF($V1179="","",INDEX('Per Line'!$D$2:$D$6001,$V1179))</f>
        <v/>
      </c>
      <c r="D1179">
        <f>IF($V1179="","",INDEX('Per Line'!$E$2:$E$6001,$V1179)&amp;"")</f>
        <v/>
      </c>
      <c r="E1179">
        <f>IF($V1179="","",INDEX('Per Line'!$G$2:$G$6001,$V1179)&amp;"")</f>
        <v/>
      </c>
      <c r="F1179">
        <f>IF($V1179="","",INDEX('Per Line'!$H$2:$H$6001,$V1179)&amp;"")</f>
        <v/>
      </c>
      <c r="G1179">
        <f>IF($V1179="","",INDEX('Per Line'!$I$2:$I$6001,$V1179)&amp;"")</f>
        <v/>
      </c>
      <c r="H1179">
        <f>IF($V1179="","",INDEX('Per Line'!$J$2:$J$6001,$V1179))</f>
        <v/>
      </c>
      <c r="I1179" s="7">
        <f>IF($V1179="","",H1179*S1179/100)</f>
        <v/>
      </c>
      <c r="J1179">
        <f>IF($V1179="","",INDEX('Per Line'!$S$2:$S$6001,$V1179)&amp;"")</f>
        <v/>
      </c>
      <c r="K1179" s="7">
        <f>IF($V1179="","",SUMIFS('Per Line'!$R$2:$R$6001,'Per Line'!$C$2:$C$6001,$B1179,'Per Line'!$AJ$2:$AJ$6001,1))</f>
        <v/>
      </c>
      <c r="L1179">
        <f>IF($V1179="","",Settings!$C$7)</f>
        <v/>
      </c>
      <c r="M1179" s="7">
        <f>IF($V1179="","",SUMIFS('Per Line'!$R$2:$R$6001,'Per Line'!$C$2:$C$6001,$B1179,'Per Line'!$AI$2:$AI$6001,0,'Per Line'!$AJ$2:$AJ$6001,0))</f>
        <v/>
      </c>
      <c r="N1179" s="7">
        <f>IF($V1179="","",M1179*L1179)</f>
        <v/>
      </c>
      <c r="O1179">
        <f>IF($V1179="","",Settings!$C$6)</f>
        <v/>
      </c>
      <c r="P1179" s="7">
        <f>IF($V1179="","",SUMIFS('Per Line'!$R$2:$R$6001,'Per Line'!$C$2:$C$6001,$B1179,'Per Line'!$AI$2:$AI$6001,1,'Per Line'!$AJ$2:$AJ$6001,0))</f>
        <v/>
      </c>
      <c r="Q1179" s="7">
        <f>IF($V1179="","",P1179*O1179)</f>
        <v/>
      </c>
      <c r="R1179" s="7">
        <f>IF($V1179="","",Q1179+N1179)</f>
        <v/>
      </c>
      <c r="S1179" s="7">
        <f>IF($V1179="","",T1179-R1179)</f>
        <v/>
      </c>
      <c r="T1179" s="7">
        <f>IF($V1179="","",M1179+P1179+K1179)</f>
        <v/>
      </c>
      <c r="U1179" s="7">
        <f>IF($V1179="","",T1179-R1179-I1179)</f>
        <v/>
      </c>
      <c r="V1179" s="13">
        <f>IF(ROWS($V$2:$V1179)&lt;=MAX('Per Line'!$AH$2:$AH$6001),MATCH(ROWS($V$2:$V1179),'Per Line'!$AH$2:$AH$6001,0),"")</f>
        <v/>
      </c>
    </row>
    <row r="1180">
      <c r="A1180" s="12" t="n"/>
      <c r="B1180">
        <f>IF($V1180="","",INDEX('Per Line'!$C$2:$C$6001,$V1180)&amp;"")</f>
        <v/>
      </c>
      <c r="C1180" s="11">
        <f>IF($V1180="","",INDEX('Per Line'!$D$2:$D$6001,$V1180))</f>
        <v/>
      </c>
      <c r="D1180">
        <f>IF($V1180="","",INDEX('Per Line'!$E$2:$E$6001,$V1180)&amp;"")</f>
        <v/>
      </c>
      <c r="E1180">
        <f>IF($V1180="","",INDEX('Per Line'!$G$2:$G$6001,$V1180)&amp;"")</f>
        <v/>
      </c>
      <c r="F1180">
        <f>IF($V1180="","",INDEX('Per Line'!$H$2:$H$6001,$V1180)&amp;"")</f>
        <v/>
      </c>
      <c r="G1180">
        <f>IF($V1180="","",INDEX('Per Line'!$I$2:$I$6001,$V1180)&amp;"")</f>
        <v/>
      </c>
      <c r="H1180">
        <f>IF($V1180="","",INDEX('Per Line'!$J$2:$J$6001,$V1180))</f>
        <v/>
      </c>
      <c r="I1180" s="7">
        <f>IF($V1180="","",H1180*S1180/100)</f>
        <v/>
      </c>
      <c r="J1180">
        <f>IF($V1180="","",INDEX('Per Line'!$S$2:$S$6001,$V1180)&amp;"")</f>
        <v/>
      </c>
      <c r="K1180" s="7">
        <f>IF($V1180="","",SUMIFS('Per Line'!$R$2:$R$6001,'Per Line'!$C$2:$C$6001,$B1180,'Per Line'!$AJ$2:$AJ$6001,1))</f>
        <v/>
      </c>
      <c r="L1180">
        <f>IF($V1180="","",Settings!$C$7)</f>
        <v/>
      </c>
      <c r="M1180" s="7">
        <f>IF($V1180="","",SUMIFS('Per Line'!$R$2:$R$6001,'Per Line'!$C$2:$C$6001,$B1180,'Per Line'!$AI$2:$AI$6001,0,'Per Line'!$AJ$2:$AJ$6001,0))</f>
        <v/>
      </c>
      <c r="N1180" s="7">
        <f>IF($V1180="","",M1180*L1180)</f>
        <v/>
      </c>
      <c r="O1180">
        <f>IF($V1180="","",Settings!$C$6)</f>
        <v/>
      </c>
      <c r="P1180" s="7">
        <f>IF($V1180="","",SUMIFS('Per Line'!$R$2:$R$6001,'Per Line'!$C$2:$C$6001,$B1180,'Per Line'!$AI$2:$AI$6001,1,'Per Line'!$AJ$2:$AJ$6001,0))</f>
        <v/>
      </c>
      <c r="Q1180" s="7">
        <f>IF($V1180="","",P1180*O1180)</f>
        <v/>
      </c>
      <c r="R1180" s="7">
        <f>IF($V1180="","",Q1180+N1180)</f>
        <v/>
      </c>
      <c r="S1180" s="7">
        <f>IF($V1180="","",T1180-R1180)</f>
        <v/>
      </c>
      <c r="T1180" s="7">
        <f>IF($V1180="","",M1180+P1180+K1180)</f>
        <v/>
      </c>
      <c r="U1180" s="7">
        <f>IF($V1180="","",T1180-R1180-I1180)</f>
        <v/>
      </c>
      <c r="V1180" s="13">
        <f>IF(ROWS($V$2:$V1180)&lt;=MAX('Per Line'!$AH$2:$AH$6001),MATCH(ROWS($V$2:$V1180),'Per Line'!$AH$2:$AH$6001,0),"")</f>
        <v/>
      </c>
    </row>
    <row r="1181">
      <c r="A1181" s="12" t="n"/>
      <c r="B1181">
        <f>IF($V1181="","",INDEX('Per Line'!$C$2:$C$6001,$V1181)&amp;"")</f>
        <v/>
      </c>
      <c r="C1181" s="11">
        <f>IF($V1181="","",INDEX('Per Line'!$D$2:$D$6001,$V1181))</f>
        <v/>
      </c>
      <c r="D1181">
        <f>IF($V1181="","",INDEX('Per Line'!$E$2:$E$6001,$V1181)&amp;"")</f>
        <v/>
      </c>
      <c r="E1181">
        <f>IF($V1181="","",INDEX('Per Line'!$G$2:$G$6001,$V1181)&amp;"")</f>
        <v/>
      </c>
      <c r="F1181">
        <f>IF($V1181="","",INDEX('Per Line'!$H$2:$H$6001,$V1181)&amp;"")</f>
        <v/>
      </c>
      <c r="G1181">
        <f>IF($V1181="","",INDEX('Per Line'!$I$2:$I$6001,$V1181)&amp;"")</f>
        <v/>
      </c>
      <c r="H1181">
        <f>IF($V1181="","",INDEX('Per Line'!$J$2:$J$6001,$V1181))</f>
        <v/>
      </c>
      <c r="I1181" s="7">
        <f>IF($V1181="","",H1181*S1181/100)</f>
        <v/>
      </c>
      <c r="J1181">
        <f>IF($V1181="","",INDEX('Per Line'!$S$2:$S$6001,$V1181)&amp;"")</f>
        <v/>
      </c>
      <c r="K1181" s="7">
        <f>IF($V1181="","",SUMIFS('Per Line'!$R$2:$R$6001,'Per Line'!$C$2:$C$6001,$B1181,'Per Line'!$AJ$2:$AJ$6001,1))</f>
        <v/>
      </c>
      <c r="L1181">
        <f>IF($V1181="","",Settings!$C$7)</f>
        <v/>
      </c>
      <c r="M1181" s="7">
        <f>IF($V1181="","",SUMIFS('Per Line'!$R$2:$R$6001,'Per Line'!$C$2:$C$6001,$B1181,'Per Line'!$AI$2:$AI$6001,0,'Per Line'!$AJ$2:$AJ$6001,0))</f>
        <v/>
      </c>
      <c r="N1181" s="7">
        <f>IF($V1181="","",M1181*L1181)</f>
        <v/>
      </c>
      <c r="O1181">
        <f>IF($V1181="","",Settings!$C$6)</f>
        <v/>
      </c>
      <c r="P1181" s="7">
        <f>IF($V1181="","",SUMIFS('Per Line'!$R$2:$R$6001,'Per Line'!$C$2:$C$6001,$B1181,'Per Line'!$AI$2:$AI$6001,1,'Per Line'!$AJ$2:$AJ$6001,0))</f>
        <v/>
      </c>
      <c r="Q1181" s="7">
        <f>IF($V1181="","",P1181*O1181)</f>
        <v/>
      </c>
      <c r="R1181" s="7">
        <f>IF($V1181="","",Q1181+N1181)</f>
        <v/>
      </c>
      <c r="S1181" s="7">
        <f>IF($V1181="","",T1181-R1181)</f>
        <v/>
      </c>
      <c r="T1181" s="7">
        <f>IF($V1181="","",M1181+P1181+K1181)</f>
        <v/>
      </c>
      <c r="U1181" s="7">
        <f>IF($V1181="","",T1181-R1181-I1181)</f>
        <v/>
      </c>
      <c r="V1181" s="13">
        <f>IF(ROWS($V$2:$V1181)&lt;=MAX('Per Line'!$AH$2:$AH$6001),MATCH(ROWS($V$2:$V1181),'Per Line'!$AH$2:$AH$6001,0),"")</f>
        <v/>
      </c>
    </row>
    <row r="1182">
      <c r="A1182" s="12" t="n"/>
      <c r="B1182">
        <f>IF($V1182="","",INDEX('Per Line'!$C$2:$C$6001,$V1182)&amp;"")</f>
        <v/>
      </c>
      <c r="C1182" s="11">
        <f>IF($V1182="","",INDEX('Per Line'!$D$2:$D$6001,$V1182))</f>
        <v/>
      </c>
      <c r="D1182">
        <f>IF($V1182="","",INDEX('Per Line'!$E$2:$E$6001,$V1182)&amp;"")</f>
        <v/>
      </c>
      <c r="E1182">
        <f>IF($V1182="","",INDEX('Per Line'!$G$2:$G$6001,$V1182)&amp;"")</f>
        <v/>
      </c>
      <c r="F1182">
        <f>IF($V1182="","",INDEX('Per Line'!$H$2:$H$6001,$V1182)&amp;"")</f>
        <v/>
      </c>
      <c r="G1182">
        <f>IF($V1182="","",INDEX('Per Line'!$I$2:$I$6001,$V1182)&amp;"")</f>
        <v/>
      </c>
      <c r="H1182">
        <f>IF($V1182="","",INDEX('Per Line'!$J$2:$J$6001,$V1182))</f>
        <v/>
      </c>
      <c r="I1182" s="7">
        <f>IF($V1182="","",H1182*S1182/100)</f>
        <v/>
      </c>
      <c r="J1182">
        <f>IF($V1182="","",INDEX('Per Line'!$S$2:$S$6001,$V1182)&amp;"")</f>
        <v/>
      </c>
      <c r="K1182" s="7">
        <f>IF($V1182="","",SUMIFS('Per Line'!$R$2:$R$6001,'Per Line'!$C$2:$C$6001,$B1182,'Per Line'!$AJ$2:$AJ$6001,1))</f>
        <v/>
      </c>
      <c r="L1182">
        <f>IF($V1182="","",Settings!$C$7)</f>
        <v/>
      </c>
      <c r="M1182" s="7">
        <f>IF($V1182="","",SUMIFS('Per Line'!$R$2:$R$6001,'Per Line'!$C$2:$C$6001,$B1182,'Per Line'!$AI$2:$AI$6001,0,'Per Line'!$AJ$2:$AJ$6001,0))</f>
        <v/>
      </c>
      <c r="N1182" s="7">
        <f>IF($V1182="","",M1182*L1182)</f>
        <v/>
      </c>
      <c r="O1182">
        <f>IF($V1182="","",Settings!$C$6)</f>
        <v/>
      </c>
      <c r="P1182" s="7">
        <f>IF($V1182="","",SUMIFS('Per Line'!$R$2:$R$6001,'Per Line'!$C$2:$C$6001,$B1182,'Per Line'!$AI$2:$AI$6001,1,'Per Line'!$AJ$2:$AJ$6001,0))</f>
        <v/>
      </c>
      <c r="Q1182" s="7">
        <f>IF($V1182="","",P1182*O1182)</f>
        <v/>
      </c>
      <c r="R1182" s="7">
        <f>IF($V1182="","",Q1182+N1182)</f>
        <v/>
      </c>
      <c r="S1182" s="7">
        <f>IF($V1182="","",T1182-R1182)</f>
        <v/>
      </c>
      <c r="T1182" s="7">
        <f>IF($V1182="","",M1182+P1182+K1182)</f>
        <v/>
      </c>
      <c r="U1182" s="7">
        <f>IF($V1182="","",T1182-R1182-I1182)</f>
        <v/>
      </c>
      <c r="V1182" s="13">
        <f>IF(ROWS($V$2:$V1182)&lt;=MAX('Per Line'!$AH$2:$AH$6001),MATCH(ROWS($V$2:$V1182),'Per Line'!$AH$2:$AH$6001,0),"")</f>
        <v/>
      </c>
    </row>
    <row r="1183">
      <c r="A1183" s="12" t="n"/>
      <c r="B1183">
        <f>IF($V1183="","",INDEX('Per Line'!$C$2:$C$6001,$V1183)&amp;"")</f>
        <v/>
      </c>
      <c r="C1183" s="11">
        <f>IF($V1183="","",INDEX('Per Line'!$D$2:$D$6001,$V1183))</f>
        <v/>
      </c>
      <c r="D1183">
        <f>IF($V1183="","",INDEX('Per Line'!$E$2:$E$6001,$V1183)&amp;"")</f>
        <v/>
      </c>
      <c r="E1183">
        <f>IF($V1183="","",INDEX('Per Line'!$G$2:$G$6001,$V1183)&amp;"")</f>
        <v/>
      </c>
      <c r="F1183">
        <f>IF($V1183="","",INDEX('Per Line'!$H$2:$H$6001,$V1183)&amp;"")</f>
        <v/>
      </c>
      <c r="G1183">
        <f>IF($V1183="","",INDEX('Per Line'!$I$2:$I$6001,$V1183)&amp;"")</f>
        <v/>
      </c>
      <c r="H1183">
        <f>IF($V1183="","",INDEX('Per Line'!$J$2:$J$6001,$V1183))</f>
        <v/>
      </c>
      <c r="I1183" s="7">
        <f>IF($V1183="","",H1183*S1183/100)</f>
        <v/>
      </c>
      <c r="J1183">
        <f>IF($V1183="","",INDEX('Per Line'!$S$2:$S$6001,$V1183)&amp;"")</f>
        <v/>
      </c>
      <c r="K1183" s="7">
        <f>IF($V1183="","",SUMIFS('Per Line'!$R$2:$R$6001,'Per Line'!$C$2:$C$6001,$B1183,'Per Line'!$AJ$2:$AJ$6001,1))</f>
        <v/>
      </c>
      <c r="L1183">
        <f>IF($V1183="","",Settings!$C$7)</f>
        <v/>
      </c>
      <c r="M1183" s="7">
        <f>IF($V1183="","",SUMIFS('Per Line'!$R$2:$R$6001,'Per Line'!$C$2:$C$6001,$B1183,'Per Line'!$AI$2:$AI$6001,0,'Per Line'!$AJ$2:$AJ$6001,0))</f>
        <v/>
      </c>
      <c r="N1183" s="7">
        <f>IF($V1183="","",M1183*L1183)</f>
        <v/>
      </c>
      <c r="O1183">
        <f>IF($V1183="","",Settings!$C$6)</f>
        <v/>
      </c>
      <c r="P1183" s="7">
        <f>IF($V1183="","",SUMIFS('Per Line'!$R$2:$R$6001,'Per Line'!$C$2:$C$6001,$B1183,'Per Line'!$AI$2:$AI$6001,1,'Per Line'!$AJ$2:$AJ$6001,0))</f>
        <v/>
      </c>
      <c r="Q1183" s="7">
        <f>IF($V1183="","",P1183*O1183)</f>
        <v/>
      </c>
      <c r="R1183" s="7">
        <f>IF($V1183="","",Q1183+N1183)</f>
        <v/>
      </c>
      <c r="S1183" s="7">
        <f>IF($V1183="","",T1183-R1183)</f>
        <v/>
      </c>
      <c r="T1183" s="7">
        <f>IF($V1183="","",M1183+P1183+K1183)</f>
        <v/>
      </c>
      <c r="U1183" s="7">
        <f>IF($V1183="","",T1183-R1183-I1183)</f>
        <v/>
      </c>
      <c r="V1183" s="13">
        <f>IF(ROWS($V$2:$V1183)&lt;=MAX('Per Line'!$AH$2:$AH$6001),MATCH(ROWS($V$2:$V1183),'Per Line'!$AH$2:$AH$6001,0),"")</f>
        <v/>
      </c>
    </row>
    <row r="1184">
      <c r="A1184" s="12" t="n"/>
      <c r="B1184">
        <f>IF($V1184="","",INDEX('Per Line'!$C$2:$C$6001,$V1184)&amp;"")</f>
        <v/>
      </c>
      <c r="C1184" s="11">
        <f>IF($V1184="","",INDEX('Per Line'!$D$2:$D$6001,$V1184))</f>
        <v/>
      </c>
      <c r="D1184">
        <f>IF($V1184="","",INDEX('Per Line'!$E$2:$E$6001,$V1184)&amp;"")</f>
        <v/>
      </c>
      <c r="E1184">
        <f>IF($V1184="","",INDEX('Per Line'!$G$2:$G$6001,$V1184)&amp;"")</f>
        <v/>
      </c>
      <c r="F1184">
        <f>IF($V1184="","",INDEX('Per Line'!$H$2:$H$6001,$V1184)&amp;"")</f>
        <v/>
      </c>
      <c r="G1184">
        <f>IF($V1184="","",INDEX('Per Line'!$I$2:$I$6001,$V1184)&amp;"")</f>
        <v/>
      </c>
      <c r="H1184">
        <f>IF($V1184="","",INDEX('Per Line'!$J$2:$J$6001,$V1184))</f>
        <v/>
      </c>
      <c r="I1184" s="7">
        <f>IF($V1184="","",H1184*S1184/100)</f>
        <v/>
      </c>
      <c r="J1184">
        <f>IF($V1184="","",INDEX('Per Line'!$S$2:$S$6001,$V1184)&amp;"")</f>
        <v/>
      </c>
      <c r="K1184" s="7">
        <f>IF($V1184="","",SUMIFS('Per Line'!$R$2:$R$6001,'Per Line'!$C$2:$C$6001,$B1184,'Per Line'!$AJ$2:$AJ$6001,1))</f>
        <v/>
      </c>
      <c r="L1184">
        <f>IF($V1184="","",Settings!$C$7)</f>
        <v/>
      </c>
      <c r="M1184" s="7">
        <f>IF($V1184="","",SUMIFS('Per Line'!$R$2:$R$6001,'Per Line'!$C$2:$C$6001,$B1184,'Per Line'!$AI$2:$AI$6001,0,'Per Line'!$AJ$2:$AJ$6001,0))</f>
        <v/>
      </c>
      <c r="N1184" s="7">
        <f>IF($V1184="","",M1184*L1184)</f>
        <v/>
      </c>
      <c r="O1184">
        <f>IF($V1184="","",Settings!$C$6)</f>
        <v/>
      </c>
      <c r="P1184" s="7">
        <f>IF($V1184="","",SUMIFS('Per Line'!$R$2:$R$6001,'Per Line'!$C$2:$C$6001,$B1184,'Per Line'!$AI$2:$AI$6001,1,'Per Line'!$AJ$2:$AJ$6001,0))</f>
        <v/>
      </c>
      <c r="Q1184" s="7">
        <f>IF($V1184="","",P1184*O1184)</f>
        <v/>
      </c>
      <c r="R1184" s="7">
        <f>IF($V1184="","",Q1184+N1184)</f>
        <v/>
      </c>
      <c r="S1184" s="7">
        <f>IF($V1184="","",T1184-R1184)</f>
        <v/>
      </c>
      <c r="T1184" s="7">
        <f>IF($V1184="","",M1184+P1184+K1184)</f>
        <v/>
      </c>
      <c r="U1184" s="7">
        <f>IF($V1184="","",T1184-R1184-I1184)</f>
        <v/>
      </c>
      <c r="V1184" s="13">
        <f>IF(ROWS($V$2:$V1184)&lt;=MAX('Per Line'!$AH$2:$AH$6001),MATCH(ROWS($V$2:$V1184),'Per Line'!$AH$2:$AH$6001,0),"")</f>
        <v/>
      </c>
    </row>
    <row r="1185">
      <c r="A1185" s="12" t="n"/>
      <c r="B1185">
        <f>IF($V1185="","",INDEX('Per Line'!$C$2:$C$6001,$V1185)&amp;"")</f>
        <v/>
      </c>
      <c r="C1185" s="11">
        <f>IF($V1185="","",INDEX('Per Line'!$D$2:$D$6001,$V1185))</f>
        <v/>
      </c>
      <c r="D1185">
        <f>IF($V1185="","",INDEX('Per Line'!$E$2:$E$6001,$V1185)&amp;"")</f>
        <v/>
      </c>
      <c r="E1185">
        <f>IF($V1185="","",INDEX('Per Line'!$G$2:$G$6001,$V1185)&amp;"")</f>
        <v/>
      </c>
      <c r="F1185">
        <f>IF($V1185="","",INDEX('Per Line'!$H$2:$H$6001,$V1185)&amp;"")</f>
        <v/>
      </c>
      <c r="G1185">
        <f>IF($V1185="","",INDEX('Per Line'!$I$2:$I$6001,$V1185)&amp;"")</f>
        <v/>
      </c>
      <c r="H1185">
        <f>IF($V1185="","",INDEX('Per Line'!$J$2:$J$6001,$V1185))</f>
        <v/>
      </c>
      <c r="I1185" s="7">
        <f>IF($V1185="","",H1185*S1185/100)</f>
        <v/>
      </c>
      <c r="J1185">
        <f>IF($V1185="","",INDEX('Per Line'!$S$2:$S$6001,$V1185)&amp;"")</f>
        <v/>
      </c>
      <c r="K1185" s="7">
        <f>IF($V1185="","",SUMIFS('Per Line'!$R$2:$R$6001,'Per Line'!$C$2:$C$6001,$B1185,'Per Line'!$AJ$2:$AJ$6001,1))</f>
        <v/>
      </c>
      <c r="L1185">
        <f>IF($V1185="","",Settings!$C$7)</f>
        <v/>
      </c>
      <c r="M1185" s="7">
        <f>IF($V1185="","",SUMIFS('Per Line'!$R$2:$R$6001,'Per Line'!$C$2:$C$6001,$B1185,'Per Line'!$AI$2:$AI$6001,0,'Per Line'!$AJ$2:$AJ$6001,0))</f>
        <v/>
      </c>
      <c r="N1185" s="7">
        <f>IF($V1185="","",M1185*L1185)</f>
        <v/>
      </c>
      <c r="O1185">
        <f>IF($V1185="","",Settings!$C$6)</f>
        <v/>
      </c>
      <c r="P1185" s="7">
        <f>IF($V1185="","",SUMIFS('Per Line'!$R$2:$R$6001,'Per Line'!$C$2:$C$6001,$B1185,'Per Line'!$AI$2:$AI$6001,1,'Per Line'!$AJ$2:$AJ$6001,0))</f>
        <v/>
      </c>
      <c r="Q1185" s="7">
        <f>IF($V1185="","",P1185*O1185)</f>
        <v/>
      </c>
      <c r="R1185" s="7">
        <f>IF($V1185="","",Q1185+N1185)</f>
        <v/>
      </c>
      <c r="S1185" s="7">
        <f>IF($V1185="","",T1185-R1185)</f>
        <v/>
      </c>
      <c r="T1185" s="7">
        <f>IF($V1185="","",M1185+P1185+K1185)</f>
        <v/>
      </c>
      <c r="U1185" s="7">
        <f>IF($V1185="","",T1185-R1185-I1185)</f>
        <v/>
      </c>
      <c r="V1185" s="13">
        <f>IF(ROWS($V$2:$V1185)&lt;=MAX('Per Line'!$AH$2:$AH$6001),MATCH(ROWS($V$2:$V1185),'Per Line'!$AH$2:$AH$6001,0),"")</f>
        <v/>
      </c>
    </row>
    <row r="1186">
      <c r="A1186" s="12" t="n"/>
      <c r="B1186">
        <f>IF($V1186="","",INDEX('Per Line'!$C$2:$C$6001,$V1186)&amp;"")</f>
        <v/>
      </c>
      <c r="C1186" s="11">
        <f>IF($V1186="","",INDEX('Per Line'!$D$2:$D$6001,$V1186))</f>
        <v/>
      </c>
      <c r="D1186">
        <f>IF($V1186="","",INDEX('Per Line'!$E$2:$E$6001,$V1186)&amp;"")</f>
        <v/>
      </c>
      <c r="E1186">
        <f>IF($V1186="","",INDEX('Per Line'!$G$2:$G$6001,$V1186)&amp;"")</f>
        <v/>
      </c>
      <c r="F1186">
        <f>IF($V1186="","",INDEX('Per Line'!$H$2:$H$6001,$V1186)&amp;"")</f>
        <v/>
      </c>
      <c r="G1186">
        <f>IF($V1186="","",INDEX('Per Line'!$I$2:$I$6001,$V1186)&amp;"")</f>
        <v/>
      </c>
      <c r="H1186">
        <f>IF($V1186="","",INDEX('Per Line'!$J$2:$J$6001,$V1186))</f>
        <v/>
      </c>
      <c r="I1186" s="7">
        <f>IF($V1186="","",H1186*S1186/100)</f>
        <v/>
      </c>
      <c r="J1186">
        <f>IF($V1186="","",INDEX('Per Line'!$S$2:$S$6001,$V1186)&amp;"")</f>
        <v/>
      </c>
      <c r="K1186" s="7">
        <f>IF($V1186="","",SUMIFS('Per Line'!$R$2:$R$6001,'Per Line'!$C$2:$C$6001,$B1186,'Per Line'!$AJ$2:$AJ$6001,1))</f>
        <v/>
      </c>
      <c r="L1186">
        <f>IF($V1186="","",Settings!$C$7)</f>
        <v/>
      </c>
      <c r="M1186" s="7">
        <f>IF($V1186="","",SUMIFS('Per Line'!$R$2:$R$6001,'Per Line'!$C$2:$C$6001,$B1186,'Per Line'!$AI$2:$AI$6001,0,'Per Line'!$AJ$2:$AJ$6001,0))</f>
        <v/>
      </c>
      <c r="N1186" s="7">
        <f>IF($V1186="","",M1186*L1186)</f>
        <v/>
      </c>
      <c r="O1186">
        <f>IF($V1186="","",Settings!$C$6)</f>
        <v/>
      </c>
      <c r="P1186" s="7">
        <f>IF($V1186="","",SUMIFS('Per Line'!$R$2:$R$6001,'Per Line'!$C$2:$C$6001,$B1186,'Per Line'!$AI$2:$AI$6001,1,'Per Line'!$AJ$2:$AJ$6001,0))</f>
        <v/>
      </c>
      <c r="Q1186" s="7">
        <f>IF($V1186="","",P1186*O1186)</f>
        <v/>
      </c>
      <c r="R1186" s="7">
        <f>IF($V1186="","",Q1186+N1186)</f>
        <v/>
      </c>
      <c r="S1186" s="7">
        <f>IF($V1186="","",T1186-R1186)</f>
        <v/>
      </c>
      <c r="T1186" s="7">
        <f>IF($V1186="","",M1186+P1186+K1186)</f>
        <v/>
      </c>
      <c r="U1186" s="7">
        <f>IF($V1186="","",T1186-R1186-I1186)</f>
        <v/>
      </c>
      <c r="V1186" s="13">
        <f>IF(ROWS($V$2:$V1186)&lt;=MAX('Per Line'!$AH$2:$AH$6001),MATCH(ROWS($V$2:$V1186),'Per Line'!$AH$2:$AH$6001,0),"")</f>
        <v/>
      </c>
    </row>
    <row r="1187">
      <c r="A1187" s="12" t="n"/>
      <c r="B1187">
        <f>IF($V1187="","",INDEX('Per Line'!$C$2:$C$6001,$V1187)&amp;"")</f>
        <v/>
      </c>
      <c r="C1187" s="11">
        <f>IF($V1187="","",INDEX('Per Line'!$D$2:$D$6001,$V1187))</f>
        <v/>
      </c>
      <c r="D1187">
        <f>IF($V1187="","",INDEX('Per Line'!$E$2:$E$6001,$V1187)&amp;"")</f>
        <v/>
      </c>
      <c r="E1187">
        <f>IF($V1187="","",INDEX('Per Line'!$G$2:$G$6001,$V1187)&amp;"")</f>
        <v/>
      </c>
      <c r="F1187">
        <f>IF($V1187="","",INDEX('Per Line'!$H$2:$H$6001,$V1187)&amp;"")</f>
        <v/>
      </c>
      <c r="G1187">
        <f>IF($V1187="","",INDEX('Per Line'!$I$2:$I$6001,$V1187)&amp;"")</f>
        <v/>
      </c>
      <c r="H1187">
        <f>IF($V1187="","",INDEX('Per Line'!$J$2:$J$6001,$V1187))</f>
        <v/>
      </c>
      <c r="I1187" s="7">
        <f>IF($V1187="","",H1187*S1187/100)</f>
        <v/>
      </c>
      <c r="J1187">
        <f>IF($V1187="","",INDEX('Per Line'!$S$2:$S$6001,$V1187)&amp;"")</f>
        <v/>
      </c>
      <c r="K1187" s="7">
        <f>IF($V1187="","",SUMIFS('Per Line'!$R$2:$R$6001,'Per Line'!$C$2:$C$6001,$B1187,'Per Line'!$AJ$2:$AJ$6001,1))</f>
        <v/>
      </c>
      <c r="L1187">
        <f>IF($V1187="","",Settings!$C$7)</f>
        <v/>
      </c>
      <c r="M1187" s="7">
        <f>IF($V1187="","",SUMIFS('Per Line'!$R$2:$R$6001,'Per Line'!$C$2:$C$6001,$B1187,'Per Line'!$AI$2:$AI$6001,0,'Per Line'!$AJ$2:$AJ$6001,0))</f>
        <v/>
      </c>
      <c r="N1187" s="7">
        <f>IF($V1187="","",M1187*L1187)</f>
        <v/>
      </c>
      <c r="O1187">
        <f>IF($V1187="","",Settings!$C$6)</f>
        <v/>
      </c>
      <c r="P1187" s="7">
        <f>IF($V1187="","",SUMIFS('Per Line'!$R$2:$R$6001,'Per Line'!$C$2:$C$6001,$B1187,'Per Line'!$AI$2:$AI$6001,1,'Per Line'!$AJ$2:$AJ$6001,0))</f>
        <v/>
      </c>
      <c r="Q1187" s="7">
        <f>IF($V1187="","",P1187*O1187)</f>
        <v/>
      </c>
      <c r="R1187" s="7">
        <f>IF($V1187="","",Q1187+N1187)</f>
        <v/>
      </c>
      <c r="S1187" s="7">
        <f>IF($V1187="","",T1187-R1187)</f>
        <v/>
      </c>
      <c r="T1187" s="7">
        <f>IF($V1187="","",M1187+P1187+K1187)</f>
        <v/>
      </c>
      <c r="U1187" s="7">
        <f>IF($V1187="","",T1187-R1187-I1187)</f>
        <v/>
      </c>
      <c r="V1187" s="13">
        <f>IF(ROWS($V$2:$V1187)&lt;=MAX('Per Line'!$AH$2:$AH$6001),MATCH(ROWS($V$2:$V1187),'Per Line'!$AH$2:$AH$6001,0),"")</f>
        <v/>
      </c>
    </row>
    <row r="1188">
      <c r="A1188" s="12" t="n"/>
      <c r="B1188">
        <f>IF($V1188="","",INDEX('Per Line'!$C$2:$C$6001,$V1188)&amp;"")</f>
        <v/>
      </c>
      <c r="C1188" s="11">
        <f>IF($V1188="","",INDEX('Per Line'!$D$2:$D$6001,$V1188))</f>
        <v/>
      </c>
      <c r="D1188">
        <f>IF($V1188="","",INDEX('Per Line'!$E$2:$E$6001,$V1188)&amp;"")</f>
        <v/>
      </c>
      <c r="E1188">
        <f>IF($V1188="","",INDEX('Per Line'!$G$2:$G$6001,$V1188)&amp;"")</f>
        <v/>
      </c>
      <c r="F1188">
        <f>IF($V1188="","",INDEX('Per Line'!$H$2:$H$6001,$V1188)&amp;"")</f>
        <v/>
      </c>
      <c r="G1188">
        <f>IF($V1188="","",INDEX('Per Line'!$I$2:$I$6001,$V1188)&amp;"")</f>
        <v/>
      </c>
      <c r="H1188">
        <f>IF($V1188="","",INDEX('Per Line'!$J$2:$J$6001,$V1188))</f>
        <v/>
      </c>
      <c r="I1188" s="7">
        <f>IF($V1188="","",H1188*S1188/100)</f>
        <v/>
      </c>
      <c r="J1188">
        <f>IF($V1188="","",INDEX('Per Line'!$S$2:$S$6001,$V1188)&amp;"")</f>
        <v/>
      </c>
      <c r="K1188" s="7">
        <f>IF($V1188="","",SUMIFS('Per Line'!$R$2:$R$6001,'Per Line'!$C$2:$C$6001,$B1188,'Per Line'!$AJ$2:$AJ$6001,1))</f>
        <v/>
      </c>
      <c r="L1188">
        <f>IF($V1188="","",Settings!$C$7)</f>
        <v/>
      </c>
      <c r="M1188" s="7">
        <f>IF($V1188="","",SUMIFS('Per Line'!$R$2:$R$6001,'Per Line'!$C$2:$C$6001,$B1188,'Per Line'!$AI$2:$AI$6001,0,'Per Line'!$AJ$2:$AJ$6001,0))</f>
        <v/>
      </c>
      <c r="N1188" s="7">
        <f>IF($V1188="","",M1188*L1188)</f>
        <v/>
      </c>
      <c r="O1188">
        <f>IF($V1188="","",Settings!$C$6)</f>
        <v/>
      </c>
      <c r="P1188" s="7">
        <f>IF($V1188="","",SUMIFS('Per Line'!$R$2:$R$6001,'Per Line'!$C$2:$C$6001,$B1188,'Per Line'!$AI$2:$AI$6001,1,'Per Line'!$AJ$2:$AJ$6001,0))</f>
        <v/>
      </c>
      <c r="Q1188" s="7">
        <f>IF($V1188="","",P1188*O1188)</f>
        <v/>
      </c>
      <c r="R1188" s="7">
        <f>IF($V1188="","",Q1188+N1188)</f>
        <v/>
      </c>
      <c r="S1188" s="7">
        <f>IF($V1188="","",T1188-R1188)</f>
        <v/>
      </c>
      <c r="T1188" s="7">
        <f>IF($V1188="","",M1188+P1188+K1188)</f>
        <v/>
      </c>
      <c r="U1188" s="7">
        <f>IF($V1188="","",T1188-R1188-I1188)</f>
        <v/>
      </c>
      <c r="V1188" s="13">
        <f>IF(ROWS($V$2:$V1188)&lt;=MAX('Per Line'!$AH$2:$AH$6001),MATCH(ROWS($V$2:$V1188),'Per Line'!$AH$2:$AH$6001,0),"")</f>
        <v/>
      </c>
    </row>
    <row r="1189">
      <c r="A1189" s="12" t="n"/>
      <c r="B1189">
        <f>IF($V1189="","",INDEX('Per Line'!$C$2:$C$6001,$V1189)&amp;"")</f>
        <v/>
      </c>
      <c r="C1189" s="11">
        <f>IF($V1189="","",INDEX('Per Line'!$D$2:$D$6001,$V1189))</f>
        <v/>
      </c>
      <c r="D1189">
        <f>IF($V1189="","",INDEX('Per Line'!$E$2:$E$6001,$V1189)&amp;"")</f>
        <v/>
      </c>
      <c r="E1189">
        <f>IF($V1189="","",INDEX('Per Line'!$G$2:$G$6001,$V1189)&amp;"")</f>
        <v/>
      </c>
      <c r="F1189">
        <f>IF($V1189="","",INDEX('Per Line'!$H$2:$H$6001,$V1189)&amp;"")</f>
        <v/>
      </c>
      <c r="G1189">
        <f>IF($V1189="","",INDEX('Per Line'!$I$2:$I$6001,$V1189)&amp;"")</f>
        <v/>
      </c>
      <c r="H1189">
        <f>IF($V1189="","",INDEX('Per Line'!$J$2:$J$6001,$V1189))</f>
        <v/>
      </c>
      <c r="I1189" s="7">
        <f>IF($V1189="","",H1189*S1189/100)</f>
        <v/>
      </c>
      <c r="J1189">
        <f>IF($V1189="","",INDEX('Per Line'!$S$2:$S$6001,$V1189)&amp;"")</f>
        <v/>
      </c>
      <c r="K1189" s="7">
        <f>IF($V1189="","",SUMIFS('Per Line'!$R$2:$R$6001,'Per Line'!$C$2:$C$6001,$B1189,'Per Line'!$AJ$2:$AJ$6001,1))</f>
        <v/>
      </c>
      <c r="L1189">
        <f>IF($V1189="","",Settings!$C$7)</f>
        <v/>
      </c>
      <c r="M1189" s="7">
        <f>IF($V1189="","",SUMIFS('Per Line'!$R$2:$R$6001,'Per Line'!$C$2:$C$6001,$B1189,'Per Line'!$AI$2:$AI$6001,0,'Per Line'!$AJ$2:$AJ$6001,0))</f>
        <v/>
      </c>
      <c r="N1189" s="7">
        <f>IF($V1189="","",M1189*L1189)</f>
        <v/>
      </c>
      <c r="O1189">
        <f>IF($V1189="","",Settings!$C$6)</f>
        <v/>
      </c>
      <c r="P1189" s="7">
        <f>IF($V1189="","",SUMIFS('Per Line'!$R$2:$R$6001,'Per Line'!$C$2:$C$6001,$B1189,'Per Line'!$AI$2:$AI$6001,1,'Per Line'!$AJ$2:$AJ$6001,0))</f>
        <v/>
      </c>
      <c r="Q1189" s="7">
        <f>IF($V1189="","",P1189*O1189)</f>
        <v/>
      </c>
      <c r="R1189" s="7">
        <f>IF($V1189="","",Q1189+N1189)</f>
        <v/>
      </c>
      <c r="S1189" s="7">
        <f>IF($V1189="","",T1189-R1189)</f>
        <v/>
      </c>
      <c r="T1189" s="7">
        <f>IF($V1189="","",M1189+P1189+K1189)</f>
        <v/>
      </c>
      <c r="U1189" s="7">
        <f>IF($V1189="","",T1189-R1189-I1189)</f>
        <v/>
      </c>
      <c r="V1189" s="13">
        <f>IF(ROWS($V$2:$V1189)&lt;=MAX('Per Line'!$AH$2:$AH$6001),MATCH(ROWS($V$2:$V1189),'Per Line'!$AH$2:$AH$6001,0),"")</f>
        <v/>
      </c>
    </row>
    <row r="1190">
      <c r="A1190" s="12" t="n"/>
      <c r="B1190">
        <f>IF($V1190="","",INDEX('Per Line'!$C$2:$C$6001,$V1190)&amp;"")</f>
        <v/>
      </c>
      <c r="C1190" s="11">
        <f>IF($V1190="","",INDEX('Per Line'!$D$2:$D$6001,$V1190))</f>
        <v/>
      </c>
      <c r="D1190">
        <f>IF($V1190="","",INDEX('Per Line'!$E$2:$E$6001,$V1190)&amp;"")</f>
        <v/>
      </c>
      <c r="E1190">
        <f>IF($V1190="","",INDEX('Per Line'!$G$2:$G$6001,$V1190)&amp;"")</f>
        <v/>
      </c>
      <c r="F1190">
        <f>IF($V1190="","",INDEX('Per Line'!$H$2:$H$6001,$V1190)&amp;"")</f>
        <v/>
      </c>
      <c r="G1190">
        <f>IF($V1190="","",INDEX('Per Line'!$I$2:$I$6001,$V1190)&amp;"")</f>
        <v/>
      </c>
      <c r="H1190">
        <f>IF($V1190="","",INDEX('Per Line'!$J$2:$J$6001,$V1190))</f>
        <v/>
      </c>
      <c r="I1190" s="7">
        <f>IF($V1190="","",H1190*S1190/100)</f>
        <v/>
      </c>
      <c r="J1190">
        <f>IF($V1190="","",INDEX('Per Line'!$S$2:$S$6001,$V1190)&amp;"")</f>
        <v/>
      </c>
      <c r="K1190" s="7">
        <f>IF($V1190="","",SUMIFS('Per Line'!$R$2:$R$6001,'Per Line'!$C$2:$C$6001,$B1190,'Per Line'!$AJ$2:$AJ$6001,1))</f>
        <v/>
      </c>
      <c r="L1190">
        <f>IF($V1190="","",Settings!$C$7)</f>
        <v/>
      </c>
      <c r="M1190" s="7">
        <f>IF($V1190="","",SUMIFS('Per Line'!$R$2:$R$6001,'Per Line'!$C$2:$C$6001,$B1190,'Per Line'!$AI$2:$AI$6001,0,'Per Line'!$AJ$2:$AJ$6001,0))</f>
        <v/>
      </c>
      <c r="N1190" s="7">
        <f>IF($V1190="","",M1190*L1190)</f>
        <v/>
      </c>
      <c r="O1190">
        <f>IF($V1190="","",Settings!$C$6)</f>
        <v/>
      </c>
      <c r="P1190" s="7">
        <f>IF($V1190="","",SUMIFS('Per Line'!$R$2:$R$6001,'Per Line'!$C$2:$C$6001,$B1190,'Per Line'!$AI$2:$AI$6001,1,'Per Line'!$AJ$2:$AJ$6001,0))</f>
        <v/>
      </c>
      <c r="Q1190" s="7">
        <f>IF($V1190="","",P1190*O1190)</f>
        <v/>
      </c>
      <c r="R1190" s="7">
        <f>IF($V1190="","",Q1190+N1190)</f>
        <v/>
      </c>
      <c r="S1190" s="7">
        <f>IF($V1190="","",T1190-R1190)</f>
        <v/>
      </c>
      <c r="T1190" s="7">
        <f>IF($V1190="","",M1190+P1190+K1190)</f>
        <v/>
      </c>
      <c r="U1190" s="7">
        <f>IF($V1190="","",T1190-R1190-I1190)</f>
        <v/>
      </c>
      <c r="V1190" s="13">
        <f>IF(ROWS($V$2:$V1190)&lt;=MAX('Per Line'!$AH$2:$AH$6001),MATCH(ROWS($V$2:$V1190),'Per Line'!$AH$2:$AH$6001,0),"")</f>
        <v/>
      </c>
    </row>
    <row r="1191">
      <c r="A1191" s="12" t="n"/>
      <c r="B1191">
        <f>IF($V1191="","",INDEX('Per Line'!$C$2:$C$6001,$V1191)&amp;"")</f>
        <v/>
      </c>
      <c r="C1191" s="11">
        <f>IF($V1191="","",INDEX('Per Line'!$D$2:$D$6001,$V1191))</f>
        <v/>
      </c>
      <c r="D1191">
        <f>IF($V1191="","",INDEX('Per Line'!$E$2:$E$6001,$V1191)&amp;"")</f>
        <v/>
      </c>
      <c r="E1191">
        <f>IF($V1191="","",INDEX('Per Line'!$G$2:$G$6001,$V1191)&amp;"")</f>
        <v/>
      </c>
      <c r="F1191">
        <f>IF($V1191="","",INDEX('Per Line'!$H$2:$H$6001,$V1191)&amp;"")</f>
        <v/>
      </c>
      <c r="G1191">
        <f>IF($V1191="","",INDEX('Per Line'!$I$2:$I$6001,$V1191)&amp;"")</f>
        <v/>
      </c>
      <c r="H1191">
        <f>IF($V1191="","",INDEX('Per Line'!$J$2:$J$6001,$V1191))</f>
        <v/>
      </c>
      <c r="I1191" s="7">
        <f>IF($V1191="","",H1191*S1191/100)</f>
        <v/>
      </c>
      <c r="J1191">
        <f>IF($V1191="","",INDEX('Per Line'!$S$2:$S$6001,$V1191)&amp;"")</f>
        <v/>
      </c>
      <c r="K1191" s="7">
        <f>IF($V1191="","",SUMIFS('Per Line'!$R$2:$R$6001,'Per Line'!$C$2:$C$6001,$B1191,'Per Line'!$AJ$2:$AJ$6001,1))</f>
        <v/>
      </c>
      <c r="L1191">
        <f>IF($V1191="","",Settings!$C$7)</f>
        <v/>
      </c>
      <c r="M1191" s="7">
        <f>IF($V1191="","",SUMIFS('Per Line'!$R$2:$R$6001,'Per Line'!$C$2:$C$6001,$B1191,'Per Line'!$AI$2:$AI$6001,0,'Per Line'!$AJ$2:$AJ$6001,0))</f>
        <v/>
      </c>
      <c r="N1191" s="7">
        <f>IF($V1191="","",M1191*L1191)</f>
        <v/>
      </c>
      <c r="O1191">
        <f>IF($V1191="","",Settings!$C$6)</f>
        <v/>
      </c>
      <c r="P1191" s="7">
        <f>IF($V1191="","",SUMIFS('Per Line'!$R$2:$R$6001,'Per Line'!$C$2:$C$6001,$B1191,'Per Line'!$AI$2:$AI$6001,1,'Per Line'!$AJ$2:$AJ$6001,0))</f>
        <v/>
      </c>
      <c r="Q1191" s="7">
        <f>IF($V1191="","",P1191*O1191)</f>
        <v/>
      </c>
      <c r="R1191" s="7">
        <f>IF($V1191="","",Q1191+N1191)</f>
        <v/>
      </c>
      <c r="S1191" s="7">
        <f>IF($V1191="","",T1191-R1191)</f>
        <v/>
      </c>
      <c r="T1191" s="7">
        <f>IF($V1191="","",M1191+P1191+K1191)</f>
        <v/>
      </c>
      <c r="U1191" s="7">
        <f>IF($V1191="","",T1191-R1191-I1191)</f>
        <v/>
      </c>
      <c r="V1191" s="13">
        <f>IF(ROWS($V$2:$V1191)&lt;=MAX('Per Line'!$AH$2:$AH$6001),MATCH(ROWS($V$2:$V1191),'Per Line'!$AH$2:$AH$6001,0),"")</f>
        <v/>
      </c>
    </row>
    <row r="1192">
      <c r="A1192" s="12" t="n"/>
      <c r="B1192">
        <f>IF($V1192="","",INDEX('Per Line'!$C$2:$C$6001,$V1192)&amp;"")</f>
        <v/>
      </c>
      <c r="C1192" s="11">
        <f>IF($V1192="","",INDEX('Per Line'!$D$2:$D$6001,$V1192))</f>
        <v/>
      </c>
      <c r="D1192">
        <f>IF($V1192="","",INDEX('Per Line'!$E$2:$E$6001,$V1192)&amp;"")</f>
        <v/>
      </c>
      <c r="E1192">
        <f>IF($V1192="","",INDEX('Per Line'!$G$2:$G$6001,$V1192)&amp;"")</f>
        <v/>
      </c>
      <c r="F1192">
        <f>IF($V1192="","",INDEX('Per Line'!$H$2:$H$6001,$V1192)&amp;"")</f>
        <v/>
      </c>
      <c r="G1192">
        <f>IF($V1192="","",INDEX('Per Line'!$I$2:$I$6001,$V1192)&amp;"")</f>
        <v/>
      </c>
      <c r="H1192">
        <f>IF($V1192="","",INDEX('Per Line'!$J$2:$J$6001,$V1192))</f>
        <v/>
      </c>
      <c r="I1192" s="7">
        <f>IF($V1192="","",H1192*S1192/100)</f>
        <v/>
      </c>
      <c r="J1192">
        <f>IF($V1192="","",INDEX('Per Line'!$S$2:$S$6001,$V1192)&amp;"")</f>
        <v/>
      </c>
      <c r="K1192" s="7">
        <f>IF($V1192="","",SUMIFS('Per Line'!$R$2:$R$6001,'Per Line'!$C$2:$C$6001,$B1192,'Per Line'!$AJ$2:$AJ$6001,1))</f>
        <v/>
      </c>
      <c r="L1192">
        <f>IF($V1192="","",Settings!$C$7)</f>
        <v/>
      </c>
      <c r="M1192" s="7">
        <f>IF($V1192="","",SUMIFS('Per Line'!$R$2:$R$6001,'Per Line'!$C$2:$C$6001,$B1192,'Per Line'!$AI$2:$AI$6001,0,'Per Line'!$AJ$2:$AJ$6001,0))</f>
        <v/>
      </c>
      <c r="N1192" s="7">
        <f>IF($V1192="","",M1192*L1192)</f>
        <v/>
      </c>
      <c r="O1192">
        <f>IF($V1192="","",Settings!$C$6)</f>
        <v/>
      </c>
      <c r="P1192" s="7">
        <f>IF($V1192="","",SUMIFS('Per Line'!$R$2:$R$6001,'Per Line'!$C$2:$C$6001,$B1192,'Per Line'!$AI$2:$AI$6001,1,'Per Line'!$AJ$2:$AJ$6001,0))</f>
        <v/>
      </c>
      <c r="Q1192" s="7">
        <f>IF($V1192="","",P1192*O1192)</f>
        <v/>
      </c>
      <c r="R1192" s="7">
        <f>IF($V1192="","",Q1192+N1192)</f>
        <v/>
      </c>
      <c r="S1192" s="7">
        <f>IF($V1192="","",T1192-R1192)</f>
        <v/>
      </c>
      <c r="T1192" s="7">
        <f>IF($V1192="","",M1192+P1192+K1192)</f>
        <v/>
      </c>
      <c r="U1192" s="7">
        <f>IF($V1192="","",T1192-R1192-I1192)</f>
        <v/>
      </c>
      <c r="V1192" s="13">
        <f>IF(ROWS($V$2:$V1192)&lt;=MAX('Per Line'!$AH$2:$AH$6001),MATCH(ROWS($V$2:$V1192),'Per Line'!$AH$2:$AH$6001,0),"")</f>
        <v/>
      </c>
    </row>
    <row r="1193">
      <c r="A1193" s="12" t="n"/>
      <c r="B1193">
        <f>IF($V1193="","",INDEX('Per Line'!$C$2:$C$6001,$V1193)&amp;"")</f>
        <v/>
      </c>
      <c r="C1193" s="11">
        <f>IF($V1193="","",INDEX('Per Line'!$D$2:$D$6001,$V1193))</f>
        <v/>
      </c>
      <c r="D1193">
        <f>IF($V1193="","",INDEX('Per Line'!$E$2:$E$6001,$V1193)&amp;"")</f>
        <v/>
      </c>
      <c r="E1193">
        <f>IF($V1193="","",INDEX('Per Line'!$G$2:$G$6001,$V1193)&amp;"")</f>
        <v/>
      </c>
      <c r="F1193">
        <f>IF($V1193="","",INDEX('Per Line'!$H$2:$H$6001,$V1193)&amp;"")</f>
        <v/>
      </c>
      <c r="G1193">
        <f>IF($V1193="","",INDEX('Per Line'!$I$2:$I$6001,$V1193)&amp;"")</f>
        <v/>
      </c>
      <c r="H1193">
        <f>IF($V1193="","",INDEX('Per Line'!$J$2:$J$6001,$V1193))</f>
        <v/>
      </c>
      <c r="I1193" s="7">
        <f>IF($V1193="","",H1193*S1193/100)</f>
        <v/>
      </c>
      <c r="J1193">
        <f>IF($V1193="","",INDEX('Per Line'!$S$2:$S$6001,$V1193)&amp;"")</f>
        <v/>
      </c>
      <c r="K1193" s="7">
        <f>IF($V1193="","",SUMIFS('Per Line'!$R$2:$R$6001,'Per Line'!$C$2:$C$6001,$B1193,'Per Line'!$AJ$2:$AJ$6001,1))</f>
        <v/>
      </c>
      <c r="L1193">
        <f>IF($V1193="","",Settings!$C$7)</f>
        <v/>
      </c>
      <c r="M1193" s="7">
        <f>IF($V1193="","",SUMIFS('Per Line'!$R$2:$R$6001,'Per Line'!$C$2:$C$6001,$B1193,'Per Line'!$AI$2:$AI$6001,0,'Per Line'!$AJ$2:$AJ$6001,0))</f>
        <v/>
      </c>
      <c r="N1193" s="7">
        <f>IF($V1193="","",M1193*L1193)</f>
        <v/>
      </c>
      <c r="O1193">
        <f>IF($V1193="","",Settings!$C$6)</f>
        <v/>
      </c>
      <c r="P1193" s="7">
        <f>IF($V1193="","",SUMIFS('Per Line'!$R$2:$R$6001,'Per Line'!$C$2:$C$6001,$B1193,'Per Line'!$AI$2:$AI$6001,1,'Per Line'!$AJ$2:$AJ$6001,0))</f>
        <v/>
      </c>
      <c r="Q1193" s="7">
        <f>IF($V1193="","",P1193*O1193)</f>
        <v/>
      </c>
      <c r="R1193" s="7">
        <f>IF($V1193="","",Q1193+N1193)</f>
        <v/>
      </c>
      <c r="S1193" s="7">
        <f>IF($V1193="","",T1193-R1193)</f>
        <v/>
      </c>
      <c r="T1193" s="7">
        <f>IF($V1193="","",M1193+P1193+K1193)</f>
        <v/>
      </c>
      <c r="U1193" s="7">
        <f>IF($V1193="","",T1193-R1193-I1193)</f>
        <v/>
      </c>
      <c r="V1193" s="13">
        <f>IF(ROWS($V$2:$V1193)&lt;=MAX('Per Line'!$AH$2:$AH$6001),MATCH(ROWS($V$2:$V1193),'Per Line'!$AH$2:$AH$6001,0),"")</f>
        <v/>
      </c>
    </row>
    <row r="1194">
      <c r="A1194" s="12" t="n"/>
      <c r="B1194">
        <f>IF($V1194="","",INDEX('Per Line'!$C$2:$C$6001,$V1194)&amp;"")</f>
        <v/>
      </c>
      <c r="C1194" s="11">
        <f>IF($V1194="","",INDEX('Per Line'!$D$2:$D$6001,$V1194))</f>
        <v/>
      </c>
      <c r="D1194">
        <f>IF($V1194="","",INDEX('Per Line'!$E$2:$E$6001,$V1194)&amp;"")</f>
        <v/>
      </c>
      <c r="E1194">
        <f>IF($V1194="","",INDEX('Per Line'!$G$2:$G$6001,$V1194)&amp;"")</f>
        <v/>
      </c>
      <c r="F1194">
        <f>IF($V1194="","",INDEX('Per Line'!$H$2:$H$6001,$V1194)&amp;"")</f>
        <v/>
      </c>
      <c r="G1194">
        <f>IF($V1194="","",INDEX('Per Line'!$I$2:$I$6001,$V1194)&amp;"")</f>
        <v/>
      </c>
      <c r="H1194">
        <f>IF($V1194="","",INDEX('Per Line'!$J$2:$J$6001,$V1194))</f>
        <v/>
      </c>
      <c r="I1194" s="7">
        <f>IF($V1194="","",H1194*S1194/100)</f>
        <v/>
      </c>
      <c r="J1194">
        <f>IF($V1194="","",INDEX('Per Line'!$S$2:$S$6001,$V1194)&amp;"")</f>
        <v/>
      </c>
      <c r="K1194" s="7">
        <f>IF($V1194="","",SUMIFS('Per Line'!$R$2:$R$6001,'Per Line'!$C$2:$C$6001,$B1194,'Per Line'!$AJ$2:$AJ$6001,1))</f>
        <v/>
      </c>
      <c r="L1194">
        <f>IF($V1194="","",Settings!$C$7)</f>
        <v/>
      </c>
      <c r="M1194" s="7">
        <f>IF($V1194="","",SUMIFS('Per Line'!$R$2:$R$6001,'Per Line'!$C$2:$C$6001,$B1194,'Per Line'!$AI$2:$AI$6001,0,'Per Line'!$AJ$2:$AJ$6001,0))</f>
        <v/>
      </c>
      <c r="N1194" s="7">
        <f>IF($V1194="","",M1194*L1194)</f>
        <v/>
      </c>
      <c r="O1194">
        <f>IF($V1194="","",Settings!$C$6)</f>
        <v/>
      </c>
      <c r="P1194" s="7">
        <f>IF($V1194="","",SUMIFS('Per Line'!$R$2:$R$6001,'Per Line'!$C$2:$C$6001,$B1194,'Per Line'!$AI$2:$AI$6001,1,'Per Line'!$AJ$2:$AJ$6001,0))</f>
        <v/>
      </c>
      <c r="Q1194" s="7">
        <f>IF($V1194="","",P1194*O1194)</f>
        <v/>
      </c>
      <c r="R1194" s="7">
        <f>IF($V1194="","",Q1194+N1194)</f>
        <v/>
      </c>
      <c r="S1194" s="7">
        <f>IF($V1194="","",T1194-R1194)</f>
        <v/>
      </c>
      <c r="T1194" s="7">
        <f>IF($V1194="","",M1194+P1194+K1194)</f>
        <v/>
      </c>
      <c r="U1194" s="7">
        <f>IF($V1194="","",T1194-R1194-I1194)</f>
        <v/>
      </c>
      <c r="V1194" s="13">
        <f>IF(ROWS($V$2:$V1194)&lt;=MAX('Per Line'!$AH$2:$AH$6001),MATCH(ROWS($V$2:$V1194),'Per Line'!$AH$2:$AH$6001,0),"")</f>
        <v/>
      </c>
    </row>
    <row r="1195">
      <c r="A1195" s="12" t="n"/>
      <c r="B1195">
        <f>IF($V1195="","",INDEX('Per Line'!$C$2:$C$6001,$V1195)&amp;"")</f>
        <v/>
      </c>
      <c r="C1195" s="11">
        <f>IF($V1195="","",INDEX('Per Line'!$D$2:$D$6001,$V1195))</f>
        <v/>
      </c>
      <c r="D1195">
        <f>IF($V1195="","",INDEX('Per Line'!$E$2:$E$6001,$V1195)&amp;"")</f>
        <v/>
      </c>
      <c r="E1195">
        <f>IF($V1195="","",INDEX('Per Line'!$G$2:$G$6001,$V1195)&amp;"")</f>
        <v/>
      </c>
      <c r="F1195">
        <f>IF($V1195="","",INDEX('Per Line'!$H$2:$H$6001,$V1195)&amp;"")</f>
        <v/>
      </c>
      <c r="G1195">
        <f>IF($V1195="","",INDEX('Per Line'!$I$2:$I$6001,$V1195)&amp;"")</f>
        <v/>
      </c>
      <c r="H1195">
        <f>IF($V1195="","",INDEX('Per Line'!$J$2:$J$6001,$V1195))</f>
        <v/>
      </c>
      <c r="I1195" s="7">
        <f>IF($V1195="","",H1195*S1195/100)</f>
        <v/>
      </c>
      <c r="J1195">
        <f>IF($V1195="","",INDEX('Per Line'!$S$2:$S$6001,$V1195)&amp;"")</f>
        <v/>
      </c>
      <c r="K1195" s="7">
        <f>IF($V1195="","",SUMIFS('Per Line'!$R$2:$R$6001,'Per Line'!$C$2:$C$6001,$B1195,'Per Line'!$AJ$2:$AJ$6001,1))</f>
        <v/>
      </c>
      <c r="L1195">
        <f>IF($V1195="","",Settings!$C$7)</f>
        <v/>
      </c>
      <c r="M1195" s="7">
        <f>IF($V1195="","",SUMIFS('Per Line'!$R$2:$R$6001,'Per Line'!$C$2:$C$6001,$B1195,'Per Line'!$AI$2:$AI$6001,0,'Per Line'!$AJ$2:$AJ$6001,0))</f>
        <v/>
      </c>
      <c r="N1195" s="7">
        <f>IF($V1195="","",M1195*L1195)</f>
        <v/>
      </c>
      <c r="O1195">
        <f>IF($V1195="","",Settings!$C$6)</f>
        <v/>
      </c>
      <c r="P1195" s="7">
        <f>IF($V1195="","",SUMIFS('Per Line'!$R$2:$R$6001,'Per Line'!$C$2:$C$6001,$B1195,'Per Line'!$AI$2:$AI$6001,1,'Per Line'!$AJ$2:$AJ$6001,0))</f>
        <v/>
      </c>
      <c r="Q1195" s="7">
        <f>IF($V1195="","",P1195*O1195)</f>
        <v/>
      </c>
      <c r="R1195" s="7">
        <f>IF($V1195="","",Q1195+N1195)</f>
        <v/>
      </c>
      <c r="S1195" s="7">
        <f>IF($V1195="","",T1195-R1195)</f>
        <v/>
      </c>
      <c r="T1195" s="7">
        <f>IF($V1195="","",M1195+P1195+K1195)</f>
        <v/>
      </c>
      <c r="U1195" s="7">
        <f>IF($V1195="","",T1195-R1195-I1195)</f>
        <v/>
      </c>
      <c r="V1195" s="13">
        <f>IF(ROWS($V$2:$V1195)&lt;=MAX('Per Line'!$AH$2:$AH$6001),MATCH(ROWS($V$2:$V1195),'Per Line'!$AH$2:$AH$6001,0),"")</f>
        <v/>
      </c>
    </row>
    <row r="1196">
      <c r="A1196" s="12" t="n"/>
      <c r="B1196">
        <f>IF($V1196="","",INDEX('Per Line'!$C$2:$C$6001,$V1196)&amp;"")</f>
        <v/>
      </c>
      <c r="C1196" s="11">
        <f>IF($V1196="","",INDEX('Per Line'!$D$2:$D$6001,$V1196))</f>
        <v/>
      </c>
      <c r="D1196">
        <f>IF($V1196="","",INDEX('Per Line'!$E$2:$E$6001,$V1196)&amp;"")</f>
        <v/>
      </c>
      <c r="E1196">
        <f>IF($V1196="","",INDEX('Per Line'!$G$2:$G$6001,$V1196)&amp;"")</f>
        <v/>
      </c>
      <c r="F1196">
        <f>IF($V1196="","",INDEX('Per Line'!$H$2:$H$6001,$V1196)&amp;"")</f>
        <v/>
      </c>
      <c r="G1196">
        <f>IF($V1196="","",INDEX('Per Line'!$I$2:$I$6001,$V1196)&amp;"")</f>
        <v/>
      </c>
      <c r="H1196">
        <f>IF($V1196="","",INDEX('Per Line'!$J$2:$J$6001,$V1196))</f>
        <v/>
      </c>
      <c r="I1196" s="7">
        <f>IF($V1196="","",H1196*S1196/100)</f>
        <v/>
      </c>
      <c r="J1196">
        <f>IF($V1196="","",INDEX('Per Line'!$S$2:$S$6001,$V1196)&amp;"")</f>
        <v/>
      </c>
      <c r="K1196" s="7">
        <f>IF($V1196="","",SUMIFS('Per Line'!$R$2:$R$6001,'Per Line'!$C$2:$C$6001,$B1196,'Per Line'!$AJ$2:$AJ$6001,1))</f>
        <v/>
      </c>
      <c r="L1196">
        <f>IF($V1196="","",Settings!$C$7)</f>
        <v/>
      </c>
      <c r="M1196" s="7">
        <f>IF($V1196="","",SUMIFS('Per Line'!$R$2:$R$6001,'Per Line'!$C$2:$C$6001,$B1196,'Per Line'!$AI$2:$AI$6001,0,'Per Line'!$AJ$2:$AJ$6001,0))</f>
        <v/>
      </c>
      <c r="N1196" s="7">
        <f>IF($V1196="","",M1196*L1196)</f>
        <v/>
      </c>
      <c r="O1196">
        <f>IF($V1196="","",Settings!$C$6)</f>
        <v/>
      </c>
      <c r="P1196" s="7">
        <f>IF($V1196="","",SUMIFS('Per Line'!$R$2:$R$6001,'Per Line'!$C$2:$C$6001,$B1196,'Per Line'!$AI$2:$AI$6001,1,'Per Line'!$AJ$2:$AJ$6001,0))</f>
        <v/>
      </c>
      <c r="Q1196" s="7">
        <f>IF($V1196="","",P1196*O1196)</f>
        <v/>
      </c>
      <c r="R1196" s="7">
        <f>IF($V1196="","",Q1196+N1196)</f>
        <v/>
      </c>
      <c r="S1196" s="7">
        <f>IF($V1196="","",T1196-R1196)</f>
        <v/>
      </c>
      <c r="T1196" s="7">
        <f>IF($V1196="","",M1196+P1196+K1196)</f>
        <v/>
      </c>
      <c r="U1196" s="7">
        <f>IF($V1196="","",T1196-R1196-I1196)</f>
        <v/>
      </c>
      <c r="V1196" s="13">
        <f>IF(ROWS($V$2:$V1196)&lt;=MAX('Per Line'!$AH$2:$AH$6001),MATCH(ROWS($V$2:$V1196),'Per Line'!$AH$2:$AH$6001,0),"")</f>
        <v/>
      </c>
    </row>
    <row r="1197">
      <c r="A1197" s="12" t="n"/>
      <c r="B1197">
        <f>IF($V1197="","",INDEX('Per Line'!$C$2:$C$6001,$V1197)&amp;"")</f>
        <v/>
      </c>
      <c r="C1197" s="11">
        <f>IF($V1197="","",INDEX('Per Line'!$D$2:$D$6001,$V1197))</f>
        <v/>
      </c>
      <c r="D1197">
        <f>IF($V1197="","",INDEX('Per Line'!$E$2:$E$6001,$V1197)&amp;"")</f>
        <v/>
      </c>
      <c r="E1197">
        <f>IF($V1197="","",INDEX('Per Line'!$G$2:$G$6001,$V1197)&amp;"")</f>
        <v/>
      </c>
      <c r="F1197">
        <f>IF($V1197="","",INDEX('Per Line'!$H$2:$H$6001,$V1197)&amp;"")</f>
        <v/>
      </c>
      <c r="G1197">
        <f>IF($V1197="","",INDEX('Per Line'!$I$2:$I$6001,$V1197)&amp;"")</f>
        <v/>
      </c>
      <c r="H1197">
        <f>IF($V1197="","",INDEX('Per Line'!$J$2:$J$6001,$V1197))</f>
        <v/>
      </c>
      <c r="I1197" s="7">
        <f>IF($V1197="","",H1197*S1197/100)</f>
        <v/>
      </c>
      <c r="J1197">
        <f>IF($V1197="","",INDEX('Per Line'!$S$2:$S$6001,$V1197)&amp;"")</f>
        <v/>
      </c>
      <c r="K1197" s="7">
        <f>IF($V1197="","",SUMIFS('Per Line'!$R$2:$R$6001,'Per Line'!$C$2:$C$6001,$B1197,'Per Line'!$AJ$2:$AJ$6001,1))</f>
        <v/>
      </c>
      <c r="L1197">
        <f>IF($V1197="","",Settings!$C$7)</f>
        <v/>
      </c>
      <c r="M1197" s="7">
        <f>IF($V1197="","",SUMIFS('Per Line'!$R$2:$R$6001,'Per Line'!$C$2:$C$6001,$B1197,'Per Line'!$AI$2:$AI$6001,0,'Per Line'!$AJ$2:$AJ$6001,0))</f>
        <v/>
      </c>
      <c r="N1197" s="7">
        <f>IF($V1197="","",M1197*L1197)</f>
        <v/>
      </c>
      <c r="O1197">
        <f>IF($V1197="","",Settings!$C$6)</f>
        <v/>
      </c>
      <c r="P1197" s="7">
        <f>IF($V1197="","",SUMIFS('Per Line'!$R$2:$R$6001,'Per Line'!$C$2:$C$6001,$B1197,'Per Line'!$AI$2:$AI$6001,1,'Per Line'!$AJ$2:$AJ$6001,0))</f>
        <v/>
      </c>
      <c r="Q1197" s="7">
        <f>IF($V1197="","",P1197*O1197)</f>
        <v/>
      </c>
      <c r="R1197" s="7">
        <f>IF($V1197="","",Q1197+N1197)</f>
        <v/>
      </c>
      <c r="S1197" s="7">
        <f>IF($V1197="","",T1197-R1197)</f>
        <v/>
      </c>
      <c r="T1197" s="7">
        <f>IF($V1197="","",M1197+P1197+K1197)</f>
        <v/>
      </c>
      <c r="U1197" s="7">
        <f>IF($V1197="","",T1197-R1197-I1197)</f>
        <v/>
      </c>
      <c r="V1197" s="13">
        <f>IF(ROWS($V$2:$V1197)&lt;=MAX('Per Line'!$AH$2:$AH$6001),MATCH(ROWS($V$2:$V1197),'Per Line'!$AH$2:$AH$6001,0),"")</f>
        <v/>
      </c>
    </row>
    <row r="1198">
      <c r="A1198" s="12" t="n"/>
      <c r="B1198">
        <f>IF($V1198="","",INDEX('Per Line'!$C$2:$C$6001,$V1198)&amp;"")</f>
        <v/>
      </c>
      <c r="C1198" s="11">
        <f>IF($V1198="","",INDEX('Per Line'!$D$2:$D$6001,$V1198))</f>
        <v/>
      </c>
      <c r="D1198">
        <f>IF($V1198="","",INDEX('Per Line'!$E$2:$E$6001,$V1198)&amp;"")</f>
        <v/>
      </c>
      <c r="E1198">
        <f>IF($V1198="","",INDEX('Per Line'!$G$2:$G$6001,$V1198)&amp;"")</f>
        <v/>
      </c>
      <c r="F1198">
        <f>IF($V1198="","",INDEX('Per Line'!$H$2:$H$6001,$V1198)&amp;"")</f>
        <v/>
      </c>
      <c r="G1198">
        <f>IF($V1198="","",INDEX('Per Line'!$I$2:$I$6001,$V1198)&amp;"")</f>
        <v/>
      </c>
      <c r="H1198">
        <f>IF($V1198="","",INDEX('Per Line'!$J$2:$J$6001,$V1198))</f>
        <v/>
      </c>
      <c r="I1198" s="7">
        <f>IF($V1198="","",H1198*S1198/100)</f>
        <v/>
      </c>
      <c r="J1198">
        <f>IF($V1198="","",INDEX('Per Line'!$S$2:$S$6001,$V1198)&amp;"")</f>
        <v/>
      </c>
      <c r="K1198" s="7">
        <f>IF($V1198="","",SUMIFS('Per Line'!$R$2:$R$6001,'Per Line'!$C$2:$C$6001,$B1198,'Per Line'!$AJ$2:$AJ$6001,1))</f>
        <v/>
      </c>
      <c r="L1198">
        <f>IF($V1198="","",Settings!$C$7)</f>
        <v/>
      </c>
      <c r="M1198" s="7">
        <f>IF($V1198="","",SUMIFS('Per Line'!$R$2:$R$6001,'Per Line'!$C$2:$C$6001,$B1198,'Per Line'!$AI$2:$AI$6001,0,'Per Line'!$AJ$2:$AJ$6001,0))</f>
        <v/>
      </c>
      <c r="N1198" s="7">
        <f>IF($V1198="","",M1198*L1198)</f>
        <v/>
      </c>
      <c r="O1198">
        <f>IF($V1198="","",Settings!$C$6)</f>
        <v/>
      </c>
      <c r="P1198" s="7">
        <f>IF($V1198="","",SUMIFS('Per Line'!$R$2:$R$6001,'Per Line'!$C$2:$C$6001,$B1198,'Per Line'!$AI$2:$AI$6001,1,'Per Line'!$AJ$2:$AJ$6001,0))</f>
        <v/>
      </c>
      <c r="Q1198" s="7">
        <f>IF($V1198="","",P1198*O1198)</f>
        <v/>
      </c>
      <c r="R1198" s="7">
        <f>IF($V1198="","",Q1198+N1198)</f>
        <v/>
      </c>
      <c r="S1198" s="7">
        <f>IF($V1198="","",T1198-R1198)</f>
        <v/>
      </c>
      <c r="T1198" s="7">
        <f>IF($V1198="","",M1198+P1198+K1198)</f>
        <v/>
      </c>
      <c r="U1198" s="7">
        <f>IF($V1198="","",T1198-R1198-I1198)</f>
        <v/>
      </c>
      <c r="V1198" s="13">
        <f>IF(ROWS($V$2:$V1198)&lt;=MAX('Per Line'!$AH$2:$AH$6001),MATCH(ROWS($V$2:$V1198),'Per Line'!$AH$2:$AH$6001,0),"")</f>
        <v/>
      </c>
    </row>
    <row r="1199">
      <c r="A1199" s="12" t="n"/>
      <c r="B1199">
        <f>IF($V1199="","",INDEX('Per Line'!$C$2:$C$6001,$V1199)&amp;"")</f>
        <v/>
      </c>
      <c r="C1199" s="11">
        <f>IF($V1199="","",INDEX('Per Line'!$D$2:$D$6001,$V1199))</f>
        <v/>
      </c>
      <c r="D1199">
        <f>IF($V1199="","",INDEX('Per Line'!$E$2:$E$6001,$V1199)&amp;"")</f>
        <v/>
      </c>
      <c r="E1199">
        <f>IF($V1199="","",INDEX('Per Line'!$G$2:$G$6001,$V1199)&amp;"")</f>
        <v/>
      </c>
      <c r="F1199">
        <f>IF($V1199="","",INDEX('Per Line'!$H$2:$H$6001,$V1199)&amp;"")</f>
        <v/>
      </c>
      <c r="G1199">
        <f>IF($V1199="","",INDEX('Per Line'!$I$2:$I$6001,$V1199)&amp;"")</f>
        <v/>
      </c>
      <c r="H1199">
        <f>IF($V1199="","",INDEX('Per Line'!$J$2:$J$6001,$V1199))</f>
        <v/>
      </c>
      <c r="I1199" s="7">
        <f>IF($V1199="","",H1199*S1199/100)</f>
        <v/>
      </c>
      <c r="J1199">
        <f>IF($V1199="","",INDEX('Per Line'!$S$2:$S$6001,$V1199)&amp;"")</f>
        <v/>
      </c>
      <c r="K1199" s="7">
        <f>IF($V1199="","",SUMIFS('Per Line'!$R$2:$R$6001,'Per Line'!$C$2:$C$6001,$B1199,'Per Line'!$AJ$2:$AJ$6001,1))</f>
        <v/>
      </c>
      <c r="L1199">
        <f>IF($V1199="","",Settings!$C$7)</f>
        <v/>
      </c>
      <c r="M1199" s="7">
        <f>IF($V1199="","",SUMIFS('Per Line'!$R$2:$R$6001,'Per Line'!$C$2:$C$6001,$B1199,'Per Line'!$AI$2:$AI$6001,0,'Per Line'!$AJ$2:$AJ$6001,0))</f>
        <v/>
      </c>
      <c r="N1199" s="7">
        <f>IF($V1199="","",M1199*L1199)</f>
        <v/>
      </c>
      <c r="O1199">
        <f>IF($V1199="","",Settings!$C$6)</f>
        <v/>
      </c>
      <c r="P1199" s="7">
        <f>IF($V1199="","",SUMIFS('Per Line'!$R$2:$R$6001,'Per Line'!$C$2:$C$6001,$B1199,'Per Line'!$AI$2:$AI$6001,1,'Per Line'!$AJ$2:$AJ$6001,0))</f>
        <v/>
      </c>
      <c r="Q1199" s="7">
        <f>IF($V1199="","",P1199*O1199)</f>
        <v/>
      </c>
      <c r="R1199" s="7">
        <f>IF($V1199="","",Q1199+N1199)</f>
        <v/>
      </c>
      <c r="S1199" s="7">
        <f>IF($V1199="","",T1199-R1199)</f>
        <v/>
      </c>
      <c r="T1199" s="7">
        <f>IF($V1199="","",M1199+P1199+K1199)</f>
        <v/>
      </c>
      <c r="U1199" s="7">
        <f>IF($V1199="","",T1199-R1199-I1199)</f>
        <v/>
      </c>
      <c r="V1199" s="13">
        <f>IF(ROWS($V$2:$V1199)&lt;=MAX('Per Line'!$AH$2:$AH$6001),MATCH(ROWS($V$2:$V1199),'Per Line'!$AH$2:$AH$6001,0),"")</f>
        <v/>
      </c>
    </row>
    <row r="1200">
      <c r="A1200" s="12" t="n"/>
      <c r="B1200">
        <f>IF($V1200="","",INDEX('Per Line'!$C$2:$C$6001,$V1200)&amp;"")</f>
        <v/>
      </c>
      <c r="C1200" s="11">
        <f>IF($V1200="","",INDEX('Per Line'!$D$2:$D$6001,$V1200))</f>
        <v/>
      </c>
      <c r="D1200">
        <f>IF($V1200="","",INDEX('Per Line'!$E$2:$E$6001,$V1200)&amp;"")</f>
        <v/>
      </c>
      <c r="E1200">
        <f>IF($V1200="","",INDEX('Per Line'!$G$2:$G$6001,$V1200)&amp;"")</f>
        <v/>
      </c>
      <c r="F1200">
        <f>IF($V1200="","",INDEX('Per Line'!$H$2:$H$6001,$V1200)&amp;"")</f>
        <v/>
      </c>
      <c r="G1200">
        <f>IF($V1200="","",INDEX('Per Line'!$I$2:$I$6001,$V1200)&amp;"")</f>
        <v/>
      </c>
      <c r="H1200">
        <f>IF($V1200="","",INDEX('Per Line'!$J$2:$J$6001,$V1200))</f>
        <v/>
      </c>
      <c r="I1200" s="7">
        <f>IF($V1200="","",H1200*S1200/100)</f>
        <v/>
      </c>
      <c r="J1200">
        <f>IF($V1200="","",INDEX('Per Line'!$S$2:$S$6001,$V1200)&amp;"")</f>
        <v/>
      </c>
      <c r="K1200" s="7">
        <f>IF($V1200="","",SUMIFS('Per Line'!$R$2:$R$6001,'Per Line'!$C$2:$C$6001,$B1200,'Per Line'!$AJ$2:$AJ$6001,1))</f>
        <v/>
      </c>
      <c r="L1200">
        <f>IF($V1200="","",Settings!$C$7)</f>
        <v/>
      </c>
      <c r="M1200" s="7">
        <f>IF($V1200="","",SUMIFS('Per Line'!$R$2:$R$6001,'Per Line'!$C$2:$C$6001,$B1200,'Per Line'!$AI$2:$AI$6001,0,'Per Line'!$AJ$2:$AJ$6001,0))</f>
        <v/>
      </c>
      <c r="N1200" s="7">
        <f>IF($V1200="","",M1200*L1200)</f>
        <v/>
      </c>
      <c r="O1200">
        <f>IF($V1200="","",Settings!$C$6)</f>
        <v/>
      </c>
      <c r="P1200" s="7">
        <f>IF($V1200="","",SUMIFS('Per Line'!$R$2:$R$6001,'Per Line'!$C$2:$C$6001,$B1200,'Per Line'!$AI$2:$AI$6001,1,'Per Line'!$AJ$2:$AJ$6001,0))</f>
        <v/>
      </c>
      <c r="Q1200" s="7">
        <f>IF($V1200="","",P1200*O1200)</f>
        <v/>
      </c>
      <c r="R1200" s="7">
        <f>IF($V1200="","",Q1200+N1200)</f>
        <v/>
      </c>
      <c r="S1200" s="7">
        <f>IF($V1200="","",T1200-R1200)</f>
        <v/>
      </c>
      <c r="T1200" s="7">
        <f>IF($V1200="","",M1200+P1200+K1200)</f>
        <v/>
      </c>
      <c r="U1200" s="7">
        <f>IF($V1200="","",T1200-R1200-I1200)</f>
        <v/>
      </c>
      <c r="V1200" s="13">
        <f>IF(ROWS($V$2:$V1200)&lt;=MAX('Per Line'!$AH$2:$AH$6001),MATCH(ROWS($V$2:$V1200),'Per Line'!$AH$2:$AH$6001,0),"")</f>
        <v/>
      </c>
    </row>
    <row r="1201">
      <c r="A1201" s="12" t="n"/>
      <c r="B1201">
        <f>IF($V1201="","",INDEX('Per Line'!$C$2:$C$6001,$V1201)&amp;"")</f>
        <v/>
      </c>
      <c r="C1201" s="11">
        <f>IF($V1201="","",INDEX('Per Line'!$D$2:$D$6001,$V1201))</f>
        <v/>
      </c>
      <c r="D1201">
        <f>IF($V1201="","",INDEX('Per Line'!$E$2:$E$6001,$V1201)&amp;"")</f>
        <v/>
      </c>
      <c r="E1201">
        <f>IF($V1201="","",INDEX('Per Line'!$G$2:$G$6001,$V1201)&amp;"")</f>
        <v/>
      </c>
      <c r="F1201">
        <f>IF($V1201="","",INDEX('Per Line'!$H$2:$H$6001,$V1201)&amp;"")</f>
        <v/>
      </c>
      <c r="G1201">
        <f>IF($V1201="","",INDEX('Per Line'!$I$2:$I$6001,$V1201)&amp;"")</f>
        <v/>
      </c>
      <c r="H1201">
        <f>IF($V1201="","",INDEX('Per Line'!$J$2:$J$6001,$V1201))</f>
        <v/>
      </c>
      <c r="I1201" s="7">
        <f>IF($V1201="","",H1201*S1201/100)</f>
        <v/>
      </c>
      <c r="J1201">
        <f>IF($V1201="","",INDEX('Per Line'!$S$2:$S$6001,$V1201)&amp;"")</f>
        <v/>
      </c>
      <c r="K1201" s="7">
        <f>IF($V1201="","",SUMIFS('Per Line'!$R$2:$R$6001,'Per Line'!$C$2:$C$6001,$B1201,'Per Line'!$AJ$2:$AJ$6001,1))</f>
        <v/>
      </c>
      <c r="L1201">
        <f>IF($V1201="","",Settings!$C$7)</f>
        <v/>
      </c>
      <c r="M1201" s="7">
        <f>IF($V1201="","",SUMIFS('Per Line'!$R$2:$R$6001,'Per Line'!$C$2:$C$6001,$B1201,'Per Line'!$AI$2:$AI$6001,0,'Per Line'!$AJ$2:$AJ$6001,0))</f>
        <v/>
      </c>
      <c r="N1201" s="7">
        <f>IF($V1201="","",M1201*L1201)</f>
        <v/>
      </c>
      <c r="O1201">
        <f>IF($V1201="","",Settings!$C$6)</f>
        <v/>
      </c>
      <c r="P1201" s="7">
        <f>IF($V1201="","",SUMIFS('Per Line'!$R$2:$R$6001,'Per Line'!$C$2:$C$6001,$B1201,'Per Line'!$AI$2:$AI$6001,1,'Per Line'!$AJ$2:$AJ$6001,0))</f>
        <v/>
      </c>
      <c r="Q1201" s="7">
        <f>IF($V1201="","",P1201*O1201)</f>
        <v/>
      </c>
      <c r="R1201" s="7">
        <f>IF($V1201="","",Q1201+N1201)</f>
        <v/>
      </c>
      <c r="S1201" s="7">
        <f>IF($V1201="","",T1201-R1201)</f>
        <v/>
      </c>
      <c r="T1201" s="7">
        <f>IF($V1201="","",M1201+P1201+K1201)</f>
        <v/>
      </c>
      <c r="U1201" s="7">
        <f>IF($V1201="","",T1201-R1201-I1201)</f>
        <v/>
      </c>
      <c r="V1201" s="13">
        <f>IF(ROWS($V$2:$V1201)&lt;=MAX('Per Line'!$AH$2:$AH$6001),MATCH(ROWS($V$2:$V1201),'Per Line'!$AH$2:$AH$6001,0),"")</f>
        <v/>
      </c>
    </row>
  </sheetData>
  <autoFilter ref="A1:V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2026-10-12T10:41:57Z</dcterms:created>
  <dcterms:modified xmlns:dcterms="http://purl.org/dc/terms/" xmlns:xsi="http://www.w3.org/2001/XMLSchema-instance" xsi:type="dcterms:W3CDTF">2026-10-12T10:41:58Z</dcterms:modified>
</cp:coreProperties>
</file>